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sheets/sheet13.xml" ContentType="application/vnd.openxmlformats-officedocument.spreadsheetml.worksheet+xml"/>
  <Override PartName="/xl/comments/comment13.xml" ContentType="application/vnd.openxmlformats-officedocument.spreadsheetml.comments+xml"/>
  <Override PartName="/xl/worksheets/sheet14.xml" ContentType="application/vnd.openxmlformats-officedocument.spreadsheetml.worksheet+xml"/>
  <Override PartName="/xl/comments/comment14.xml" ContentType="application/vnd.openxmlformats-officedocument.spreadsheetml.comments+xml"/>
  <Override PartName="/xl/worksheets/sheet15.xml" ContentType="application/vnd.openxmlformats-officedocument.spreadsheetml.worksheet+xml"/>
  <Override PartName="/xl/comments/comment15.xml" ContentType="application/vnd.openxmlformats-officedocument.spreadsheetml.comments+xml"/>
  <Override PartName="/xl/worksheets/sheet16.xml" ContentType="application/vnd.openxmlformats-officedocument.spreadsheetml.worksheet+xml"/>
  <Override PartName="/xl/comments/comment16.xml" ContentType="application/vnd.openxmlformats-officedocument.spreadsheetml.comments+xml"/>
  <Override PartName="/xl/worksheets/sheet17.xml" ContentType="application/vnd.openxmlformats-officedocument.spreadsheetml.worksheet+xml"/>
  <Override PartName="/xl/comments/comment17.xml" ContentType="application/vnd.openxmlformats-officedocument.spreadsheetml.comments+xml"/>
  <Override PartName="/xl/worksheets/sheet18.xml" ContentType="application/vnd.openxmlformats-officedocument.spreadsheetml.worksheet+xml"/>
  <Override PartName="/xl/comments/comment18.xml" ContentType="application/vnd.openxmlformats-officedocument.spreadsheetml.comments+xml"/>
  <Override PartName="/xl/worksheets/sheet19.xml" ContentType="application/vnd.openxmlformats-officedocument.spreadsheetml.worksheet+xml"/>
  <Override PartName="/xl/comments/comment19.xml" ContentType="application/vnd.openxmlformats-officedocument.spreadsheetml.comments+xml"/>
  <Override PartName="/xl/worksheets/sheet20.xml" ContentType="application/vnd.openxmlformats-officedocument.spreadsheetml.worksheet+xml"/>
  <Override PartName="/xl/comments/comment20.xml" ContentType="application/vnd.openxmlformats-officedocument.spreadsheetml.comments+xml"/>
  <Override PartName="/xl/worksheets/sheet21.xml" ContentType="application/vnd.openxmlformats-officedocument.spreadsheetml.worksheet+xml"/>
  <Override PartName="/xl/comments/comment2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sheetId="1" state="visible" r:id="rId1"/>
    <sheet xmlns:r="http://schemas.openxmlformats.org/officeDocument/2006/relationships" name="02 START HERE" sheetId="2" state="visible" r:id="rId2"/>
    <sheet xmlns:r="http://schemas.openxmlformats.org/officeDocument/2006/relationships" name="03 EXECUTIVE VIEW" sheetId="3" state="visible" r:id="rId3"/>
    <sheet xmlns:r="http://schemas.openxmlformats.org/officeDocument/2006/relationships" name="04 ISSUES FOR REVIEW" sheetId="4" state="visible" r:id="rId4"/>
    <sheet xmlns:r="http://schemas.openxmlformats.org/officeDocument/2006/relationships" name="05 INTEGRATION HEALTH" sheetId="5" state="visible" r:id="rId5"/>
    <sheet xmlns:r="http://schemas.openxmlformats.org/officeDocument/2006/relationships" name="06 INTEGRATED PROJECT" sheetId="6" state="visible" r:id="rId6"/>
    <sheet xmlns:r="http://schemas.openxmlformats.org/officeDocument/2006/relationships" name="07 CHANGES &amp; REVALIDATION" sheetId="7" state="visible" r:id="rId7"/>
    <sheet xmlns:r="http://schemas.openxmlformats.org/officeDocument/2006/relationships" name="08 CROSSWALK" sheetId="8" state="visible" r:id="rId8"/>
    <sheet xmlns:r="http://schemas.openxmlformats.org/officeDocument/2006/relationships" name="09 WBS EXPLORER" sheetId="9" state="visible" r:id="rId9"/>
    <sheet xmlns:r="http://schemas.openxmlformats.org/officeDocument/2006/relationships" name="10 EVIDENCE &amp; DECISIONS" sheetId="10" state="visible" r:id="rId10"/>
    <sheet xmlns:r="http://schemas.openxmlformats.org/officeDocument/2006/relationships" name="11 SOURCES &amp; PROVENANCE" sheetId="11" state="visible" r:id="rId11"/>
    <sheet xmlns:r="http://schemas.openxmlformats.org/officeDocument/2006/relationships" name="12 ASSURANCE" sheetId="12" state="visible" r:id="rId12"/>
    <sheet xmlns:r="http://schemas.openxmlformats.org/officeDocument/2006/relationships" name="13 REVISIONS &amp; PERIODS" sheetId="13" state="visible" r:id="rId13"/>
    <sheet xmlns:r="http://schemas.openxmlformats.org/officeDocument/2006/relationships" name="14 WBS HIERARCHY" sheetId="14" state="visible" r:id="rId14"/>
    <sheet xmlns:r="http://schemas.openxmlformats.org/officeDocument/2006/relationships" name="15 ANALYSIS" sheetId="15" state="visible" r:id="rId15"/>
    <sheet xmlns:r="http://schemas.openxmlformats.org/officeDocument/2006/relationships" name="MASTER DATA" sheetId="16" state="visible" r:id="rId16"/>
    <sheet xmlns:r="http://schemas.openxmlformats.org/officeDocument/2006/relationships" name="OWNER WBS" sheetId="17" state="visible" r:id="rId17"/>
    <sheet xmlns:r="http://schemas.openxmlformats.org/officeDocument/2006/relationships" name="RELATIONSHIP EXPLORER" sheetId="18" state="visible" r:id="rId18"/>
    <sheet xmlns:r="http://schemas.openxmlformats.org/officeDocument/2006/relationships" name="UNRESOLVED" sheetId="19" state="visible" r:id="rId19"/>
    <sheet xmlns:r="http://schemas.openxmlformats.org/officeDocument/2006/relationships" name="HISTORY" sheetId="20" state="visible" r:id="rId20"/>
    <sheet xmlns:r="http://schemas.openxmlformats.org/officeDocument/2006/relationships" name="SUMMARY" sheetId="21" state="visible" r:id="rId21"/>
  </sheets>
  <definedNames>
    <definedName name="WBSLINK_GOVERNED_RECORDS">'MASTER DATA'!$A$1:$W$1624</definedName>
    <definedName name="_xlnm.Print_Area" localSheetId="0">'01 PROJECT'!$A$1:$L$37</definedName>
    <definedName name="_xlnm.Print_Area" localSheetId="1">'02 START HERE'!$A$1:$H$35</definedName>
    <definedName name="_xlnm.Print_Area" localSheetId="2">'03 EXECUTIVE VIEW'!$A$1:$L$205</definedName>
    <definedName name="_xlnm._FilterDatabase" localSheetId="3" hidden="1">'04 ISSUES FOR REVIEW'!$A$5:$H$9</definedName>
    <definedName name="_xlnm.Print_Titles" localSheetId="3">'04 ISSUES FOR REVIEW'!$1:$5,'04 ISSUES FOR REVIEW'!$A:$C</definedName>
    <definedName name="_xlnm.Print_Area" localSheetId="3">'04 ISSUES FOR REVIEW'!$A$1:$H$11</definedName>
    <definedName name="_xlnm._FilterDatabase" localSheetId="4" hidden="1">'05 INTEGRATION HEALTH'!$A$5:$I$11</definedName>
    <definedName name="_xlnm.Print_Area" localSheetId="4">'05 INTEGRATION HEALTH'!$A$1:$I$14,'05 INTEGRATION HEALTH'!$A$16:$I$27,'05 INTEGRATION HEALTH'!$K$3:$O$14</definedName>
    <definedName name="_xlnm._FilterDatabase" localSheetId="5" hidden="1">'06 INTEGRATED PROJECT'!$A$5:$J$85</definedName>
    <definedName name="_xlnm.Print_Titles" localSheetId="5">'06 INTEGRATED PROJECT'!$1:$5,'06 INTEGRATED PROJECT'!$A:$A</definedName>
    <definedName name="_xlnm.Print_Area" localSheetId="5">'06 INTEGRATED PROJECT'!$A$1:$J$85</definedName>
    <definedName name="_xlnm._FilterDatabase" localSheetId="6" hidden="1">'07 CHANGES &amp; REVALIDATION'!$A$12:$H$1634</definedName>
    <definedName name="_xlnm.Print_Titles" localSheetId="6">'07 CHANGES &amp; REVALIDATION'!$12:$12,'07 CHANGES &amp; REVALIDATION'!$A:$A</definedName>
    <definedName name="_xlnm.Print_Area" localSheetId="6">'07 CHANGES &amp; REVALIDATION'!$A$1:$H$1634</definedName>
    <definedName name="_xlnm._FilterDatabase" localSheetId="7" hidden="1">'08 CROSSWALK'!$A$5:$N$1628</definedName>
    <definedName name="_xlnm.Print_Titles" localSheetId="7">'08 CROSSWALK'!$1:$5,'08 CROSSWALK'!$A:$B</definedName>
    <definedName name="_xlnm.Print_Area" localSheetId="7">'08 CROSSWALK'!$A$1:$N$1628</definedName>
    <definedName name="_xlnm._FilterDatabase" localSheetId="8" hidden="1">'09 WBS EXPLORER'!$A$5:$K$85</definedName>
    <definedName name="_xlnm.Print_Titles" localSheetId="8">'09 WBS EXPLORER'!$1:$5,'09 WBS EXPLORER'!$A:$A</definedName>
    <definedName name="_xlnm.Print_Area" localSheetId="8">'09 WBS EXPLORER'!$A$1:$K$85</definedName>
    <definedName name="_xlnm._FilterDatabase" localSheetId="9" hidden="1">'10 EVIDENCE &amp; DECISIONS'!$A$5:$J$1628</definedName>
    <definedName name="_xlnm.Print_Titles" localSheetId="9">'10 EVIDENCE &amp; DECISIONS'!$1:$5,'10 EVIDENCE &amp; DECISIONS'!$A:$A</definedName>
    <definedName name="_xlnm.Print_Area" localSheetId="9">'10 EVIDENCE &amp; DECISIONS'!$A$1:$J$1628</definedName>
    <definedName name="_xlnm.Print_Titles" localSheetId="10">'11 SOURCES &amp; PROVENANCE'!$1:$7</definedName>
    <definedName name="_xlnm.Print_Area" localSheetId="10">'11 SOURCES &amp; PROVENANCE'!$A$1:$P$14</definedName>
    <definedName name="_xlnm.Print_Area" localSheetId="11">'12 ASSURANCE'!$A$1:$P$32</definedName>
    <definedName name="_xlnm._FilterDatabase" localSheetId="12" hidden="1">'13 REVISIONS &amp; PERIODS'!$A$18:$P$22</definedName>
    <definedName name="_xlnm.Print_Titles" localSheetId="12">'13 REVISIONS &amp; PERIODS'!$18:$18,'13 REVISIONS &amp; PERIODS'!$A:$A</definedName>
    <definedName name="_xlnm.Print_Area" localSheetId="12">'13 REVISIONS &amp; PERIODS'!$A$1:$P$1657</definedName>
    <definedName name="_xlnm._FilterDatabase" localSheetId="13" hidden="1">'14 WBS HIERARCHY'!$A$6:$J$85</definedName>
    <definedName name="_xlnm.Print_Titles" localSheetId="13">'14 WBS HIERARCHY'!$6:$6,'14 WBS HIERARCHY'!$A:$B</definedName>
    <definedName name="_xlnm.Print_Area" localSheetId="13">'14 WBS HIERARCHY'!$A$1:$J$93</definedName>
    <definedName name="_xlnm.Print_Area" localSheetId="14">'15 ANALYSIS'!$A$1:$H$37</definedName>
    <definedName name="_xlnm._FilterDatabase" localSheetId="15" hidden="1">'MASTER DATA'!$A$1:$W$1624</definedName>
    <definedName name="_xlnm.Print_Titles" localSheetId="15">'MASTER DATA'!$1:$1,'MASTER DATA'!$A:$D</definedName>
    <definedName name="_xlnm.Print_Area" localSheetId="15">'MASTER DATA'!$A$1:$W$1624</definedName>
    <definedName name="_xlnm._FilterDatabase" localSheetId="16" hidden="1">'OWNER WBS'!$A$1:$H$80</definedName>
    <definedName name="_xlnm.Print_Titles" localSheetId="16">'OWNER WBS'!$1:$1,'OWNER WBS'!$A:$A</definedName>
    <definedName name="_xlnm.Print_Area" localSheetId="16">'OWNER WBS'!$A$1:$H$80</definedName>
    <definedName name="_xlnm._FilterDatabase" localSheetId="17" hidden="1">'RELATIONSHIP EXPLORER'!$A$1:$J$81</definedName>
    <definedName name="_xlnm.Print_Titles" localSheetId="17">'RELATIONSHIP EXPLORER'!$1:$1,'RELATIONSHIP EXPLORER'!$A:$A</definedName>
    <definedName name="_xlnm.Print_Area" localSheetId="17">'RELATIONSHIP EXPLORER'!$A$1:$J$81</definedName>
    <definedName name="_xlnm._FilterDatabase" localSheetId="18" hidden="1">'UNRESOLVED'!$A$4:$G$269</definedName>
    <definedName name="_xlnm.Print_Titles" localSheetId="18">'UNRESOLVED'!$1:$1,'UNRESOLVED'!$A:$B</definedName>
    <definedName name="_xlnm.Print_Area" localSheetId="18">'UNRESOLVED'!$A$1:$G$269</definedName>
    <definedName name="_xlnm.Print_Area" localSheetId="19">'HISTORY'!$A$1:$E$8</definedName>
    <definedName name="_xlnm.Print_Area" localSheetId="20">'SUMMARY'!$A$1:$S$40</definedName>
  </definedNames>
  <calcPr calcId="124519" fullCalcOnLoad="1"/>
</workbook>
</file>

<file path=xl/styles.xml><?xml version="1.0" encoding="utf-8"?>
<styleSheet xmlns="http://schemas.openxmlformats.org/spreadsheetml/2006/main">
  <numFmts count="0"/>
  <fonts count="57">
    <font>
      <name val="Calibri"/>
      <family val="2"/>
      <color theme="1"/>
      <sz val="11"/>
      <scheme val="minor"/>
    </font>
    <font>
      <name val="Archivo"/>
      <b val="1"/>
      <color rgb="008F5A28"/>
      <sz val="10"/>
    </font>
    <font>
      <name val="Archivo"/>
      <b val="1"/>
      <color rgb="00121A2E"/>
      <sz val="28"/>
    </font>
    <font>
      <name val="Archivo"/>
      <b val="1"/>
      <color rgb="001B2A4A"/>
      <sz val="17"/>
    </font>
    <font>
      <name val="Archivo"/>
      <b val="1"/>
      <color rgb="00121A2E"/>
      <sz val="17"/>
    </font>
    <font>
      <name val="Archivo"/>
      <b val="1"/>
      <color rgb="00565B64"/>
      <sz val="9"/>
    </font>
    <font>
      <name val="Archivo"/>
      <color rgb="00121A2E"/>
      <sz val="9"/>
    </font>
    <font>
      <name val="Archivo"/>
      <i val="1"/>
      <color rgb="00565B64"/>
      <sz val="10"/>
    </font>
    <font>
      <name val="Archivo"/>
      <color rgb="008F5A28"/>
      <sz val="9"/>
      <u val="single"/>
    </font>
    <font>
      <name val="Archivo"/>
      <b val="1"/>
      <color rgb="00121A2E"/>
      <sz val="20"/>
    </font>
    <font>
      <name val="Archivo"/>
      <color rgb="00565B64"/>
      <sz val="9"/>
    </font>
    <font>
      <name val="Archivo"/>
      <b val="1"/>
      <color rgb="008F5A28"/>
      <sz val="8"/>
      <u val="single"/>
    </font>
    <font>
      <name val="Archivo"/>
      <b val="1"/>
      <color rgb="00FFFFFF"/>
      <sz val="9"/>
    </font>
    <font>
      <name val="Archivo"/>
      <b val="1"/>
      <color rgb="00121A2E"/>
      <sz val="11"/>
    </font>
    <font>
      <name val="Archivo"/>
      <b val="1"/>
      <color rgb="00565B64"/>
      <sz val="10"/>
    </font>
    <font>
      <name val="Archivo"/>
      <b val="1"/>
      <color rgb="00121A2E"/>
      <sz val="16"/>
    </font>
    <font>
      <name val="Archivo"/>
      <b val="1"/>
      <color rgb="008F5A28"/>
      <sz val="9"/>
    </font>
    <font>
      <name val="Archivo"/>
      <b val="1"/>
      <color rgb="00121A2E"/>
      <sz val="13"/>
    </font>
    <font>
      <name val="Archivo"/>
      <i val="1"/>
      <color rgb="00565B64"/>
      <sz val="8"/>
    </font>
    <font>
      <name val="Archivo"/>
      <b val="1"/>
      <color rgb="00121A2E"/>
      <sz val="12"/>
    </font>
    <font>
      <name val="Archivo"/>
      <color rgb="00121A2E"/>
      <sz val="10"/>
    </font>
    <font>
      <name val="Archivo"/>
      <i val="1"/>
      <color rgb="00565B64"/>
      <sz val="11"/>
    </font>
    <font>
      <name val="Archivo"/>
      <b val="1"/>
      <color rgb="00FFFFFF"/>
      <sz val="11"/>
    </font>
    <font>
      <name val="Archivo"/>
      <color rgb="00121A2E"/>
      <sz val="11"/>
    </font>
    <font>
      <name val="Archivo"/>
      <b val="1"/>
      <color rgb="00121A2E"/>
      <sz val="10"/>
    </font>
    <font>
      <name val="Archivo"/>
      <b val="1"/>
      <color rgb="00FFFFFF"/>
      <sz val="8"/>
    </font>
    <font>
      <name val="Archivo"/>
      <color rgb="00121A2E"/>
      <sz val="8"/>
    </font>
    <font>
      <name val="Archivo"/>
      <b val="1"/>
      <color rgb="00A66A2C"/>
      <sz val="10"/>
    </font>
    <font>
      <name val="Archivo"/>
      <b val="1"/>
      <color rgb="00121A2E"/>
      <sz val="9"/>
    </font>
    <font>
      <name val="Archivo"/>
      <b val="1"/>
      <color rgb="00121A2E"/>
      <sz val="14"/>
    </font>
    <font>
      <name val="Archivo"/>
      <b val="1"/>
      <color rgb="002F6B4F"/>
      <sz val="12"/>
    </font>
    <font>
      <name val="Archivo"/>
      <b val="1"/>
      <color rgb="00121A2E"/>
      <sz val="15"/>
    </font>
    <font>
      <name val="Archivo"/>
      <i val="1"/>
      <color rgb="00565B64"/>
      <sz val="9"/>
    </font>
    <font>
      <name val="Archivo"/>
      <b val="1"/>
      <color rgb="0024304D"/>
      <sz val="10"/>
    </font>
    <font>
      <name val="Archivo"/>
      <b val="1"/>
      <color rgb="008F5A28"/>
      <sz val="11"/>
    </font>
    <font>
      <name val="Archivo"/>
      <b val="1"/>
      <color rgb="00565B64"/>
      <sz val="11"/>
    </font>
    <font>
      <name val="Archivo"/>
      <color rgb="008F5A28"/>
      <sz val="11"/>
      <u val="single"/>
    </font>
    <font>
      <name val="Archivo"/>
      <color rgb="00565B64"/>
      <sz val="11"/>
    </font>
    <font>
      <name val="Archivo"/>
      <b val="1"/>
      <color rgb="008F5A28"/>
      <sz val="11"/>
      <u val="single"/>
    </font>
    <font>
      <name val="Archivo"/>
      <family val="2"/>
      <color theme="1"/>
      <sz val="11"/>
      <scheme val="minor"/>
    </font>
    <font>
      <name val="Archivo"/>
      <b val="1"/>
      <color rgb="0024304D"/>
      <sz val="11"/>
    </font>
    <font>
      <name val="Archivo"/>
      <color rgb="00121A2E"/>
      <sz val="13"/>
    </font>
    <font>
      <name val="Archivo"/>
      <b val="1"/>
      <color rgb="00121A2E"/>
      <sz val="14"/>
      <u val="single"/>
    </font>
    <font>
      <name val="Archivo"/>
      <b val="1"/>
      <color rgb="00121A2E"/>
      <sz val="22"/>
    </font>
    <font>
      <name val="Archivo"/>
      <color rgb="00121A2E"/>
      <sz val="12"/>
    </font>
    <font>
      <name val="Archivo"/>
      <b val="1"/>
      <color rgb="00121A2E"/>
      <sz val="11"/>
      <u val="single"/>
    </font>
    <font>
      <name val="Archivo"/>
      <b val="1"/>
      <color rgb="00121A2E"/>
      <sz val="13"/>
      <u val="single"/>
    </font>
    <font>
      <name val="Archivo"/>
      <b val="1"/>
      <color rgb="00121A2E"/>
      <sz val="12"/>
      <u val="single"/>
    </font>
    <font>
      <name val="Archivo"/>
      <b val="1"/>
      <color rgb="00121A2E"/>
      <sz val="18"/>
    </font>
    <font>
      <name val="Archivo"/>
      <b val="1"/>
      <color rgb="00121A2E"/>
      <sz val="19"/>
    </font>
    <font>
      <name val="Archivo"/>
      <b val="1"/>
      <color rgb="00121A2E"/>
      <sz val="24"/>
    </font>
    <font>
      <name val="Archivo"/>
      <color rgb="00F5F5F3"/>
      <sz val="10"/>
    </font>
    <font>
      <name val="Archivo"/>
      <b val="1"/>
      <color rgb="00121A2E"/>
      <sz val="27"/>
    </font>
    <font>
      <name val="Archivo"/>
      <b val="1"/>
      <color rgb="00F5F5F3"/>
      <sz val="10"/>
    </font>
    <font>
      <name val="Archivo"/>
      <b val="1"/>
      <color rgb="00F5F5F3"/>
      <sz val="9.5"/>
    </font>
    <font>
      <name val="Archivo"/>
      <b val="1"/>
      <color rgb="00C98F52"/>
      <sz val="11"/>
    </font>
    <font>
      <name val="Archivo"/>
      <b val="1"/>
      <color rgb="00FFFFFF"/>
      <sz val="10"/>
    </font>
  </fonts>
  <fills count="7">
    <fill>
      <patternFill/>
    </fill>
    <fill>
      <patternFill patternType="gray125"/>
    </fill>
    <fill>
      <patternFill patternType="solid">
        <fgColor rgb="00121A2E"/>
      </patternFill>
    </fill>
    <fill>
      <patternFill patternType="solid">
        <fgColor rgb="00F5E9DA"/>
      </patternFill>
    </fill>
    <fill>
      <patternFill patternType="solid">
        <fgColor rgb="00F5F5F3"/>
      </patternFill>
    </fill>
    <fill>
      <patternFill patternType="solid">
        <fgColor rgb="00E7F0EB"/>
      </patternFill>
    </fill>
    <fill>
      <patternFill patternType="solid">
        <fgColor rgb="00F1E9DF"/>
      </patternFill>
    </fill>
  </fills>
  <borders count="6">
    <border>
      <left/>
      <right/>
      <top/>
      <bottom/>
      <diagonal/>
    </border>
    <border>
      <bottom style="thin">
        <color rgb="00EAEAE6"/>
      </bottom>
    </border>
    <border>
      <right/>
      <bottom style="thin">
        <color rgb="00EAEAE6"/>
      </bottom>
    </border>
    <border>
      <left/>
      <right/>
      <top/>
      <bottom style="thin">
        <color rgb="00EAEAE6"/>
      </bottom>
      <diagonal/>
    </border>
    <border/>
    <border>
      <right/>
      <bottom/>
    </border>
  </borders>
  <cellStyleXfs count="1">
    <xf numFmtId="0" fontId="0" fillId="0" borderId="0"/>
  </cellStyleXfs>
  <cellXfs count="107">
    <xf numFmtId="0" fontId="0" fillId="0" borderId="0" pivotButton="0" quotePrefix="0" xfId="0"/>
    <xf numFmtId="0" fontId="13" fillId="0" borderId="0" applyAlignment="1" pivotButton="0" quotePrefix="0" xfId="0">
      <alignment vertical="center" wrapText="1"/>
    </xf>
    <xf numFmtId="0" fontId="2" fillId="0" borderId="0" applyAlignment="1" pivotButton="0" quotePrefix="0" xfId="0">
      <alignment vertical="center" wrapText="1"/>
    </xf>
    <xf numFmtId="0" fontId="4" fillId="0" borderId="0" applyAlignment="1" pivotButton="0" quotePrefix="0" xfId="0">
      <alignment vertical="center" wrapText="1"/>
    </xf>
    <xf numFmtId="0" fontId="35" fillId="0" borderId="0" applyAlignment="1" pivotButton="0" quotePrefix="0" xfId="0">
      <alignment vertical="top" wrapText="1"/>
    </xf>
    <xf numFmtId="0" fontId="23" fillId="0" borderId="0" applyAlignment="1" pivotButton="0" quotePrefix="0" xfId="0">
      <alignment vertical="center" wrapText="1"/>
    </xf>
    <xf numFmtId="0" fontId="41" fillId="4" borderId="0" applyAlignment="1" pivotButton="0" quotePrefix="0" xfId="0">
      <alignment vertical="center" wrapText="1"/>
    </xf>
    <xf numFmtId="0" fontId="0" fillId="4" borderId="0" pivotButton="0" quotePrefix="0" xfId="0"/>
    <xf numFmtId="0" fontId="15" fillId="4" borderId="0" applyAlignment="1" pivotButton="0" quotePrefix="0" xfId="0">
      <alignment vertical="center" wrapText="1"/>
    </xf>
    <xf numFmtId="0" fontId="49" fillId="0" borderId="0" applyAlignment="1" pivotButton="0" quotePrefix="0" xfId="0">
      <alignment vertical="top" wrapText="1"/>
    </xf>
    <xf numFmtId="0" fontId="23" fillId="0" borderId="0" applyAlignment="1" pivotButton="0" quotePrefix="0" xfId="0">
      <alignment vertical="top" wrapText="1"/>
    </xf>
    <xf numFmtId="0" fontId="22" fillId="2" borderId="0" applyAlignment="1" pivotButton="0" quotePrefix="0" xfId="0">
      <alignment vertical="top" wrapText="1"/>
    </xf>
    <xf numFmtId="0" fontId="23" fillId="0" borderId="1" applyAlignment="1" pivotButton="0" quotePrefix="0" xfId="0">
      <alignment vertical="top" wrapText="1"/>
    </xf>
    <xf numFmtId="0" fontId="23" fillId="0" borderId="2" applyAlignment="1" pivotButton="0" quotePrefix="0" xfId="0">
      <alignment vertical="top" wrapText="1"/>
    </xf>
    <xf numFmtId="0" fontId="0" fillId="0" borderId="3" pivotButton="0" quotePrefix="0" xfId="0"/>
    <xf numFmtId="0" fontId="23" fillId="4" borderId="0" applyAlignment="1" pivotButton="0" quotePrefix="0" xfId="0">
      <alignment vertical="top" wrapText="1"/>
    </xf>
    <xf numFmtId="0" fontId="19" fillId="0" borderId="2" applyAlignment="1" pivotButton="0" quotePrefix="0" xfId="0">
      <alignment vertical="top" wrapText="1"/>
    </xf>
    <xf numFmtId="0" fontId="36" fillId="0" borderId="1" applyAlignment="1" pivotButton="0" quotePrefix="0" xfId="0">
      <alignment vertical="top" wrapText="1"/>
    </xf>
    <xf numFmtId="0" fontId="39" fillId="0" borderId="0" applyAlignment="1" pivotButton="0" quotePrefix="0" xfId="0">
      <alignment vertical="top" wrapText="1"/>
    </xf>
    <xf numFmtId="0" fontId="9" fillId="0" borderId="0" applyAlignment="1" pivotButton="0" quotePrefix="0" xfId="0">
      <alignment vertical="top" wrapText="1"/>
    </xf>
    <xf numFmtId="0" fontId="38" fillId="0" borderId="0" applyAlignment="1" pivotButton="0" quotePrefix="0" xfId="0">
      <alignment horizontal="left" vertical="top" wrapText="1"/>
    </xf>
    <xf numFmtId="0" fontId="48" fillId="0" borderId="0" applyAlignment="1" pivotButton="0" quotePrefix="0" xfId="0">
      <alignment vertical="center" wrapText="1"/>
    </xf>
    <xf numFmtId="0" fontId="23" fillId="4" borderId="0" applyAlignment="1" pivotButton="0" quotePrefix="0" xfId="0">
      <alignment vertical="center" wrapText="1"/>
    </xf>
    <xf numFmtId="0" fontId="19" fillId="0" borderId="0" applyAlignment="1" pivotButton="0" quotePrefix="0" xfId="0">
      <alignment vertical="center" wrapText="1"/>
    </xf>
    <xf numFmtId="0" fontId="8" fillId="0" borderId="0" applyAlignment="1" pivotButton="0" quotePrefix="0" xfId="0">
      <alignment vertical="center" wrapText="1"/>
    </xf>
    <xf numFmtId="0" fontId="13" fillId="0" borderId="0" applyAlignment="1" pivotButton="0" quotePrefix="0" xfId="0">
      <alignment vertical="top" wrapText="1"/>
    </xf>
    <xf numFmtId="0" fontId="17" fillId="0" borderId="0" applyAlignment="1" pivotButton="0" quotePrefix="0" xfId="0">
      <alignment vertical="top" wrapText="1"/>
    </xf>
    <xf numFmtId="0" fontId="21" fillId="0" borderId="0" applyAlignment="1" pivotButton="0" quotePrefix="0" xfId="0">
      <alignment vertical="top" wrapText="1"/>
    </xf>
    <xf numFmtId="0" fontId="19" fillId="0" borderId="0" applyAlignment="1" pivotButton="0" quotePrefix="0" xfId="0">
      <alignment vertical="top" wrapText="1"/>
    </xf>
    <xf numFmtId="3" fontId="23" fillId="0" borderId="1" applyAlignment="1" pivotButton="0" quotePrefix="0" xfId="0">
      <alignment vertical="top"/>
    </xf>
    <xf numFmtId="0" fontId="13" fillId="4" borderId="0" applyAlignment="1" pivotButton="0" quotePrefix="0" xfId="0">
      <alignment vertical="top" wrapText="1"/>
    </xf>
    <xf numFmtId="3" fontId="13" fillId="4" borderId="0" applyAlignment="1" pivotButton="0" quotePrefix="0" xfId="0">
      <alignment vertical="top"/>
    </xf>
    <xf numFmtId="0" fontId="23" fillId="0" borderId="1" applyAlignment="1" pivotButton="0" quotePrefix="0" xfId="0">
      <alignment vertical="top"/>
    </xf>
    <xf numFmtId="0" fontId="43" fillId="0" borderId="0" applyAlignment="1" pivotButton="0" quotePrefix="0" xfId="0">
      <alignment vertical="center" wrapText="1"/>
    </xf>
    <xf numFmtId="0" fontId="44" fillId="0" borderId="0" applyAlignment="1" pivotButton="0" quotePrefix="0" xfId="0">
      <alignment vertical="center" wrapText="1"/>
    </xf>
    <xf numFmtId="0" fontId="43" fillId="4" borderId="0" applyAlignment="1" pivotButton="0" quotePrefix="0" xfId="0">
      <alignment vertical="center" wrapText="1"/>
    </xf>
    <xf numFmtId="0" fontId="17" fillId="3" borderId="0" applyAlignment="1" pivotButton="0" quotePrefix="0" xfId="0">
      <alignment vertical="center" wrapText="1"/>
    </xf>
    <xf numFmtId="0" fontId="19" fillId="4" borderId="0" applyAlignment="1" pivotButton="0" quotePrefix="0" xfId="0">
      <alignment vertical="center" wrapText="1"/>
    </xf>
    <xf numFmtId="0" fontId="19" fillId="3" borderId="0" applyAlignment="1" pivotButton="0" quotePrefix="0" xfId="0">
      <alignment vertical="center" wrapText="1"/>
    </xf>
    <xf numFmtId="0" fontId="17" fillId="0" borderId="0" applyAlignment="1" pivotButton="0" quotePrefix="0" xfId="0">
      <alignment vertical="center" wrapText="1"/>
    </xf>
    <xf numFmtId="0" fontId="42" fillId="4" borderId="0" applyAlignment="1" pivotButton="0" quotePrefix="0" xfId="0">
      <alignment vertical="center" wrapText="1"/>
    </xf>
    <xf numFmtId="0" fontId="45" fillId="0" borderId="0" applyAlignment="1" pivotButton="0" quotePrefix="0" xfId="0">
      <alignment vertical="center" wrapText="1"/>
    </xf>
    <xf numFmtId="0" fontId="46" fillId="4" borderId="0" applyAlignment="1" pivotButton="0" quotePrefix="0" xfId="0">
      <alignment vertical="center" wrapText="1"/>
    </xf>
    <xf numFmtId="0" fontId="15" fillId="0" borderId="0" applyAlignment="1" pivotButton="0" quotePrefix="0" xfId="0">
      <alignment vertical="center" wrapText="1"/>
    </xf>
    <xf numFmtId="0" fontId="17" fillId="4" borderId="0" applyAlignment="1" pivotButton="0" quotePrefix="0" xfId="0">
      <alignment vertical="center" wrapText="1"/>
    </xf>
    <xf numFmtId="0" fontId="47" fillId="4" borderId="0" applyAlignment="1" pivotButton="0" quotePrefix="0" xfId="0">
      <alignment vertical="center" wrapText="1"/>
    </xf>
    <xf numFmtId="0" fontId="37" fillId="0" borderId="0" applyAlignment="1" pivotButton="0" quotePrefix="0" xfId="0">
      <alignment vertical="top" wrapText="1"/>
    </xf>
    <xf numFmtId="0" fontId="23" fillId="5" borderId="1" applyAlignment="1" pivotButton="0" quotePrefix="0" xfId="0">
      <alignment vertical="top" wrapText="1"/>
    </xf>
    <xf numFmtId="0" fontId="6" fillId="0" borderId="0" applyAlignment="1" pivotButton="0" quotePrefix="0" xfId="0">
      <alignment vertical="top" wrapText="1"/>
    </xf>
    <xf numFmtId="0" fontId="23" fillId="0" borderId="0" applyAlignment="1" pivotButton="0" quotePrefix="0" xfId="0">
      <alignment vertical="top"/>
    </xf>
    <xf numFmtId="0" fontId="23" fillId="3" borderId="1" applyAlignment="1" pivotButton="0" quotePrefix="0" xfId="0">
      <alignment vertical="top" wrapText="1"/>
    </xf>
    <xf numFmtId="0" fontId="0" fillId="0" borderId="0" applyAlignment="1" pivotButton="0" quotePrefix="0" xfId="0">
      <alignment vertical="top" wrapText="1"/>
    </xf>
    <xf numFmtId="0" fontId="22" fillId="0" borderId="0" applyAlignment="1" pivotButton="0" quotePrefix="0" xfId="0">
      <alignment vertical="top" wrapText="1"/>
    </xf>
    <xf numFmtId="0" fontId="36" fillId="0" borderId="0" applyAlignment="1" pivotButton="0" quotePrefix="0" xfId="0">
      <alignment vertical="top" wrapText="1"/>
    </xf>
    <xf numFmtId="0" fontId="40" fillId="0" borderId="0" applyAlignment="1" pivotButton="0" quotePrefix="0" xfId="0">
      <alignment vertical="top" wrapText="1"/>
    </xf>
    <xf numFmtId="0" fontId="13" fillId="0" borderId="1" applyAlignment="1" pivotButton="0" quotePrefix="0" xfId="0">
      <alignment vertical="top" wrapText="1"/>
    </xf>
    <xf numFmtId="0" fontId="13" fillId="0" borderId="1" applyAlignment="1" pivotButton="0" quotePrefix="0" xfId="0">
      <alignment vertical="top"/>
    </xf>
    <xf numFmtId="0" fontId="13" fillId="0" borderId="1" applyAlignment="1" pivotButton="0" quotePrefix="0" xfId="0">
      <alignment vertical="top" wrapText="1" indent="1"/>
    </xf>
    <xf numFmtId="0" fontId="23" fillId="0" borderId="1" applyAlignment="1" pivotButton="0" quotePrefix="0" xfId="0">
      <alignment vertical="top" wrapText="1" indent="2"/>
    </xf>
    <xf numFmtId="0" fontId="23" fillId="0" borderId="1" applyAlignment="1" pivotButton="0" quotePrefix="0" xfId="0">
      <alignment vertical="top" wrapText="1" indent="3"/>
    </xf>
    <xf numFmtId="0" fontId="23" fillId="0" borderId="1" applyAlignment="1" pivotButton="0" quotePrefix="0" xfId="0">
      <alignment vertical="top" wrapText="1" indent="4"/>
    </xf>
    <xf numFmtId="0" fontId="29" fillId="0" borderId="0" applyAlignment="1" pivotButton="0" quotePrefix="0" xfId="0">
      <alignment vertical="top"/>
    </xf>
    <xf numFmtId="0" fontId="37" fillId="0" borderId="0" pivotButton="0" quotePrefix="0" xfId="0"/>
    <xf numFmtId="0" fontId="30" fillId="0" borderId="0" applyAlignment="1" pivotButton="0" quotePrefix="0" xfId="0">
      <alignment vertical="top" wrapText="1"/>
    </xf>
    <xf numFmtId="0" fontId="35" fillId="0" borderId="1" applyAlignment="1" pivotButton="0" quotePrefix="0" xfId="0">
      <alignment vertical="top" wrapText="1"/>
    </xf>
    <xf numFmtId="0" fontId="36" fillId="0" borderId="2" applyAlignment="1" pivotButton="0" quotePrefix="0" xfId="0">
      <alignment vertical="top" wrapText="1"/>
    </xf>
    <xf numFmtId="0" fontId="13" fillId="0" borderId="2" applyAlignment="1" pivotButton="0" quotePrefix="0" xfId="0">
      <alignment vertical="top" wrapText="1"/>
    </xf>
    <xf numFmtId="0" fontId="37" fillId="0" borderId="1" applyAlignment="1" pivotButton="0" quotePrefix="0" xfId="0">
      <alignment vertical="top" wrapText="1"/>
    </xf>
    <xf numFmtId="0" fontId="23" fillId="0" borderId="1" applyAlignment="1" pivotButton="0" quotePrefix="0" xfId="0">
      <alignment vertical="top" wrapText="1" indent="1"/>
    </xf>
    <xf numFmtId="0" fontId="13" fillId="0" borderId="0" applyAlignment="1" pivotButton="0" quotePrefix="0" xfId="0">
      <alignment wrapText="1"/>
    </xf>
    <xf numFmtId="0" fontId="34" fillId="0" borderId="0" applyAlignment="1" pivotButton="0" quotePrefix="0" xfId="0">
      <alignment vertical="top" wrapText="1"/>
    </xf>
    <xf numFmtId="0" fontId="31" fillId="0" borderId="0" applyAlignment="1" pivotButton="0" quotePrefix="0" xfId="0">
      <alignment vertical="top" wrapText="1"/>
    </xf>
    <xf numFmtId="3" fontId="23" fillId="0" borderId="0" applyAlignment="1" pivotButton="0" quotePrefix="0" xfId="0">
      <alignment vertical="top" wrapText="1"/>
    </xf>
    <xf numFmtId="0" fontId="50" fillId="0" borderId="4" applyAlignment="1" pivotButton="0" quotePrefix="0" xfId="0">
      <alignment horizontal="left" vertical="center" wrapText="1" indent="1"/>
    </xf>
    <xf numFmtId="0" fontId="51" fillId="2" borderId="4" applyAlignment="1" pivotButton="0" quotePrefix="0" xfId="0">
      <alignment horizontal="left" vertical="center" wrapText="1"/>
    </xf>
    <xf numFmtId="0" fontId="0" fillId="2" borderId="0" pivotButton="0" quotePrefix="0" xfId="0"/>
    <xf numFmtId="0" fontId="23" fillId="0" borderId="4" applyAlignment="1" pivotButton="0" quotePrefix="0" xfId="0">
      <alignment vertical="center" wrapText="1"/>
    </xf>
    <xf numFmtId="0" fontId="23" fillId="0" borderId="4" pivotButton="0" quotePrefix="0" xfId="0"/>
    <xf numFmtId="0" fontId="24" fillId="4" borderId="4" applyAlignment="1" pivotButton="0" quotePrefix="0" xfId="0">
      <alignment horizontal="left" vertical="center" wrapText="1"/>
    </xf>
    <xf numFmtId="0" fontId="24" fillId="4" borderId="0" applyAlignment="1" pivotButton="0" quotePrefix="0" xfId="0">
      <alignment horizontal="left" vertical="center" wrapText="1"/>
    </xf>
    <xf numFmtId="0" fontId="52" fillId="4" borderId="4" applyAlignment="1" pivotButton="0" quotePrefix="0" xfId="0">
      <alignment horizontal="left" vertical="center" wrapText="1" indent="1"/>
    </xf>
    <xf numFmtId="0" fontId="52" fillId="4" borderId="0" applyAlignment="1" pivotButton="0" quotePrefix="0" xfId="0">
      <alignment horizontal="left" vertical="center" wrapText="1" indent="1"/>
    </xf>
    <xf numFmtId="0" fontId="20" fillId="0" borderId="4" applyAlignment="1" pivotButton="0" quotePrefix="0" xfId="0">
      <alignment horizontal="left" vertical="center" wrapText="1"/>
    </xf>
    <xf numFmtId="0" fontId="34" fillId="0" borderId="4" applyAlignment="1" pivotButton="0" quotePrefix="0" xfId="0">
      <alignment horizontal="left" vertical="center" wrapText="1"/>
    </xf>
    <xf numFmtId="0" fontId="53" fillId="2" borderId="4" applyAlignment="1" pivotButton="0" quotePrefix="0" xfId="0">
      <alignment horizontal="left" vertical="center" wrapText="1"/>
    </xf>
    <xf numFmtId="0" fontId="54" fillId="2" borderId="0" applyAlignment="1" pivotButton="0" quotePrefix="0" xfId="0">
      <alignment horizontal="left" vertical="center" wrapText="1"/>
    </xf>
    <xf numFmtId="0" fontId="20" fillId="4" borderId="4" applyAlignment="1" pivotButton="0" quotePrefix="0" xfId="0">
      <alignment horizontal="left" vertical="center" wrapText="1"/>
    </xf>
    <xf numFmtId="0" fontId="24" fillId="4" borderId="0" applyAlignment="1" pivotButton="0" quotePrefix="0" xfId="0">
      <alignment horizontal="center" vertical="center" wrapText="1"/>
    </xf>
    <xf numFmtId="0" fontId="24" fillId="6" borderId="0" applyAlignment="1" pivotButton="0" quotePrefix="0" xfId="0">
      <alignment horizontal="center" vertical="center" wrapText="1"/>
    </xf>
    <xf numFmtId="0" fontId="0" fillId="6" borderId="0" pivotButton="0" quotePrefix="0" xfId="0"/>
    <xf numFmtId="0" fontId="23" fillId="6" borderId="4" applyAlignment="1" pivotButton="0" quotePrefix="0" xfId="0">
      <alignment horizontal="left" vertical="center" wrapText="1"/>
    </xf>
    <xf numFmtId="0" fontId="34" fillId="0" borderId="0" applyAlignment="1" pivotButton="0" quotePrefix="0" xfId="0">
      <alignment horizontal="left" vertical="center" wrapText="1"/>
    </xf>
    <xf numFmtId="0" fontId="23" fillId="6" borderId="0" applyAlignment="1" pivotButton="0" quotePrefix="0" xfId="0">
      <alignment horizontal="left" vertical="center" wrapText="1"/>
    </xf>
    <xf numFmtId="0" fontId="34" fillId="4" borderId="0" applyAlignment="1" pivotButton="0" quotePrefix="0" xfId="0">
      <alignment vertical="center" wrapText="1"/>
    </xf>
    <xf numFmtId="0" fontId="20"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24" fillId="0" borderId="0" applyAlignment="1" pivotButton="0" quotePrefix="0" xfId="0">
      <alignment horizontal="left" vertical="center" wrapText="1"/>
    </xf>
    <xf numFmtId="0" fontId="34" fillId="0" borderId="0" applyAlignment="1" pivotButton="0" quotePrefix="0" xfId="0">
      <alignment vertical="center" wrapText="1"/>
    </xf>
    <xf numFmtId="0" fontId="55" fillId="2" borderId="0" applyAlignment="1" pivotButton="0" quotePrefix="0" xfId="0">
      <alignment vertical="center" wrapText="1"/>
    </xf>
    <xf numFmtId="0" fontId="51" fillId="2" borderId="5" applyAlignment="1" pivotButton="0" quotePrefix="0" xfId="0">
      <alignment horizontal="left" vertical="center" wrapText="1"/>
    </xf>
    <xf numFmtId="0" fontId="24" fillId="4" borderId="5" applyAlignment="1" pivotButton="0" quotePrefix="0" xfId="0">
      <alignment horizontal="left" vertical="center" wrapText="1"/>
    </xf>
    <xf numFmtId="0" fontId="52" fillId="4" borderId="5" applyAlignment="1" pivotButton="0" quotePrefix="0" xfId="0">
      <alignment horizontal="left" vertical="center" wrapText="1" indent="1"/>
    </xf>
    <xf numFmtId="0" fontId="53" fillId="2" borderId="5" applyAlignment="1" pivotButton="0" quotePrefix="0" xfId="0">
      <alignment horizontal="left" vertical="center" wrapText="1"/>
    </xf>
    <xf numFmtId="0" fontId="20" fillId="4" borderId="5" applyAlignment="1" pivotButton="0" quotePrefix="0" xfId="0">
      <alignment horizontal="left" vertical="center" wrapText="1"/>
    </xf>
    <xf numFmtId="0" fontId="23" fillId="6" borderId="5" applyAlignment="1" pivotButton="0" quotePrefix="0" xfId="0">
      <alignment horizontal="left" vertical="center" wrapText="1"/>
    </xf>
    <xf numFmtId="0" fontId="20" fillId="0" borderId="0" applyAlignment="1" pivotButton="0" quotePrefix="0" xfId="0">
      <alignment vertical="top" wrapText="1"/>
    </xf>
    <xf numFmtId="0" fontId="56" fillId="2" borderId="0" applyAlignment="1" pivotButton="0" quotePrefix="0" xfId="0">
      <alignment wrapText="1"/>
    </xf>
  </cellXfs>
  <cellStyles count="1">
    <cellStyle name="Normal" xfId="0" builtinId="0" hidden="0"/>
  </cellStyles>
  <dxfs count="1">
    <dxf>
      <font>
        <name val="Archivo"/>
        <color rgb="00121A2E"/>
      </font>
      <fill>
        <patternFill patternType="solid">
          <fgColor rgb="00F5E9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400" b="1">
                <a:latin typeface="Archivo"/>
              </a:defRPr>
            </a:pPr>
            <a:r>
              <a:rPr sz="1400" b="1">
                <a:latin typeface="Archivo"/>
              </a:rPr>
              <a:t>Where do both views connect?</a:t>
            </a:r>
          </a:p>
        </rich>
      </tx>
    </title>
    <plotArea>
      <barChart>
        <barDir val="bar"/>
        <grouping val="clustered"/>
        <ser>
          <idx val="0"/>
          <order val="0"/>
          <spPr>
            <a:solidFill xmlns:a="http://schemas.openxmlformats.org/drawingml/2006/main">
              <a:srgbClr val="121A2E"/>
            </a:solidFill>
            <a:ln xmlns:a="http://schemas.openxmlformats.org/drawingml/2006/main">
              <a:solidFill>
                <a:srgbClr val="121A2E"/>
              </a:solidFill>
              <a:prstDash val="solid"/>
            </a:ln>
          </spPr>
          <dLbls>
            <numFmt formatCode="#,##0;-#,##0;0"/>
            <txPr>
              <a:bodyPr xmlns:a="http://schemas.openxmlformats.org/drawingml/2006/main"/>
              <a:p xmlns:a="http://schemas.openxmlformats.org/drawingml/2006/main">
                <a:pPr>
                  <a:defRPr sz="1200" b="1">
                    <a:solidFill>
                      <a:srgbClr val="121A2E"/>
                    </a:solidFill>
                    <a:latin typeface="Archivo"/>
                  </a:defRPr>
                </a:pPr>
                <a:r>
                  <a:t>None</a:t>
                </a:r>
                <a:endParaRPr sz="1200" b="1">
                  <a:solidFill>
                    <a:srgbClr val="121A2E"/>
                  </a:solidFill>
                  <a:latin typeface="Archivo"/>
                </a:endParaRPr>
              </a:p>
            </txPr>
            <showLegendKey val="0"/>
            <showVal val="1"/>
            <showCatName val="0"/>
            <showSerName val="0"/>
            <showPercent val="0"/>
            <showLeaderLines val="0"/>
          </dLbls>
          <cat>
            <numRef>
              <f>'03 EXECUTIVE VIEW'!$A$105:$A$108</f>
            </numRef>
          </cat>
          <val>
            <numRef>
              <f>'03 EXECUTIVE VIEW'!$C$105:$C$108</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1100" b="0">
                <a:latin typeface="Archivo"/>
              </a:defRPr>
            </a:pPr>
            <a:r>
              <a:t>None</a:t>
            </a:r>
            <a:endParaRPr sz="1100" b="0">
              <a:latin typeface="Archivo"/>
            </a:endParaRPr>
          </a:p>
        </txPr>
        <crossAx val="100"/>
        <lblOffset val="100"/>
      </catAx>
      <valAx>
        <axId val="100"/>
        <scaling>
          <orientation val="minMax"/>
          <max val="5.12"/>
          <min val="0"/>
        </scaling>
        <delete val="0"/>
        <axPos val="l"/>
        <majorTickMark val="none"/>
        <minorTickMark val="none"/>
        <txPr>
          <a:bodyPr xmlns:a="http://schemas.openxmlformats.org/drawingml/2006/main"/>
          <a:p xmlns:a="http://schemas.openxmlformats.org/drawingml/2006/main">
            <a:pPr>
              <a:defRPr sz="1100" b="0">
                <a:latin typeface="Archivo"/>
              </a:defRPr>
            </a:pPr>
            <a:r>
              <a:t>None</a:t>
            </a:r>
            <a:endParaRPr sz="1100" b="0">
              <a:latin typeface="Archivo"/>
            </a:endParaRPr>
          </a:p>
        </txPr>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400" b="1">
                <a:latin typeface="Archivo"/>
              </a:defRPr>
            </a:pPr>
            <a:r>
              <a:rPr sz="1400" b="1">
                <a:latin typeface="Archivo"/>
              </a:rPr>
              <a:t>Where is source review needed?</a:t>
            </a:r>
          </a:p>
        </rich>
      </tx>
    </title>
    <plotArea>
      <barChart>
        <barDir val="bar"/>
        <grouping val="stacked"/>
        <ser>
          <idx val="0"/>
          <order val="0"/>
          <tx>
            <strRef>
              <f>'03 EXECUTIVE VIEW'!C129</f>
              <strCache>
                <ptCount val="1"/>
                <pt idx="0">
                  <v>Related to a WBS element</v>
                </pt>
              </strCache>
            </strRef>
          </tx>
          <spPr>
            <a:solidFill xmlns:a="http://schemas.openxmlformats.org/drawingml/2006/main">
              <a:srgbClr val="121A2E"/>
            </a:solidFill>
            <a:ln xmlns:a="http://schemas.openxmlformats.org/drawingml/2006/main">
              <a:solidFill>
                <a:srgbClr val="121A2E"/>
              </a:solidFill>
              <a:prstDash val="solid"/>
            </a:ln>
          </spPr>
          <cat>
            <numRef>
              <f>'03 EXECUTIVE VIEW'!$A$130:$A$132</f>
            </numRef>
          </cat>
          <val>
            <numRef>
              <f>'03 EXECUTIVE VIEW'!$C$130:$C$132</f>
            </numRef>
          </val>
        </ser>
        <ser>
          <idx val="1"/>
          <order val="1"/>
          <tx>
            <strRef>
              <f>'03 EXECUTIVE VIEW'!E129</f>
              <strCache>
                <ptCount val="1"/>
                <pt idx="0">
                  <v>Recorded outside the WBS</v>
                </pt>
              </strCache>
            </strRef>
          </tx>
          <spPr>
            <a:pattFill xmlns:a="http://schemas.openxmlformats.org/drawingml/2006/main" prst="ltDnDiag">
              <a:fgClr>
                <a:srgbClr val="121A2E"/>
              </a:fgClr>
              <a:bgClr>
                <a:srgbClr val="FFFFFF"/>
              </a:bgClr>
            </a:pattFill>
            <a:ln xmlns:a="http://schemas.openxmlformats.org/drawingml/2006/main">
              <a:solidFill>
                <a:srgbClr val="B5793D"/>
              </a:solidFill>
              <a:prstDash val="solid"/>
            </a:ln>
          </spPr>
          <cat>
            <numRef>
              <f>'03 EXECUTIVE VIEW'!$A$130:$A$132</f>
            </numRef>
          </cat>
          <val>
            <numRef>
              <f>'03 EXECUTIVE VIEW'!$E$130:$E$132</f>
            </numRef>
          </val>
        </ser>
        <ser>
          <idx val="2"/>
          <order val="2"/>
          <tx>
            <strRef>
              <f>'03 EXECUTIVE VIEW'!G129</f>
              <strCache>
                <ptCount val="1"/>
                <pt idx="0">
                  <v>Left unresolved</v>
                </pt>
              </strCache>
            </strRef>
          </tx>
          <spPr>
            <a:pattFill xmlns:a="http://schemas.openxmlformats.org/drawingml/2006/main" prst="pct20">
              <a:fgClr>
                <a:srgbClr val="121A2E"/>
              </a:fgClr>
              <a:bgClr>
                <a:srgbClr val="FFFFFF"/>
              </a:bgClr>
            </a:pattFill>
            <a:ln xmlns:a="http://schemas.openxmlformats.org/drawingml/2006/main">
              <a:solidFill>
                <a:srgbClr val="8B8F97"/>
              </a:solidFill>
              <a:prstDash val="solid"/>
            </a:ln>
          </spPr>
          <cat>
            <numRef>
              <f>'03 EXECUTIVE VIEW'!$A$130:$A$132</f>
            </numRef>
          </cat>
          <val>
            <numRef>
              <f>'03 EXECUTIVE VIEW'!$G$130:$G$132</f>
            </numRef>
          </val>
        </ser>
        <gapWidth val="55"/>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1100" b="0">
                <a:latin typeface="Archivo"/>
              </a:defRPr>
            </a:pPr>
            <a:r>
              <a:t>None</a:t>
            </a:r>
            <a:endParaRPr sz="1100" b="0">
              <a:latin typeface="Archivo"/>
            </a:endParaRPr>
          </a:p>
        </txPr>
        <crossAx val="100"/>
        <lblOffset val="100"/>
      </catAx>
      <valAx>
        <axId val="100"/>
        <scaling>
          <orientation val="minMax"/>
          <max val="1384.96"/>
          <min val="0"/>
        </scaling>
        <delete val="0"/>
        <axPos val="l"/>
        <majorTickMark val="none"/>
        <minorTickMark val="none"/>
        <txPr>
          <a:bodyPr xmlns:a="http://schemas.openxmlformats.org/drawingml/2006/main"/>
          <a:p xmlns:a="http://schemas.openxmlformats.org/drawingml/2006/main">
            <a:pPr>
              <a:defRPr sz="1100" b="0">
                <a:latin typeface="Archivo"/>
              </a:defRPr>
            </a:pPr>
            <a:r>
              <a:t>None</a:t>
            </a:r>
            <a:endParaRPr sz="1100" b="0">
              <a:latin typeface="Archivo"/>
            </a:endParaRPr>
          </a:p>
        </txPr>
        <crossAx val="10"/>
      </valAx>
    </plotArea>
    <legend>
      <legendPos val="b"/>
      <txPr>
        <a:bodyPr xmlns:a="http://schemas.openxmlformats.org/drawingml/2006/main"/>
        <a:p xmlns:a="http://schemas.openxmlformats.org/drawingml/2006/main">
          <a:pPr>
            <a:defRPr sz="1100" b="0">
              <a:latin typeface="Archivo"/>
            </a:defRPr>
          </a:pPr>
          <a:r>
            <a:t>None</a:t>
          </a:r>
          <a:endParaRPr sz="1100" b="0">
            <a:latin typeface="Archivo"/>
          </a:endParaRPr>
        </a:p>
      </txP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sz="1400" b="1">
                <a:latin typeface="Archivo"/>
              </a:defRPr>
            </a:pPr>
            <a:r>
              <a:rPr sz="1400" b="1">
                <a:latin typeface="Archivo"/>
              </a:rPr>
              <a:t>What is the initial baseline?</a:t>
            </a:r>
          </a:p>
        </rich>
      </tx>
    </title>
    <plotArea>
      <barChart>
        <barDir val="bar"/>
        <grouping val="clustered"/>
        <ser>
          <idx val="0"/>
          <order val="0"/>
          <spPr>
            <a:solidFill xmlns:a="http://schemas.openxmlformats.org/drawingml/2006/main">
              <a:srgbClr val="8F5A28"/>
            </a:solidFill>
            <a:ln xmlns:a="http://schemas.openxmlformats.org/drawingml/2006/main">
              <a:solidFill>
                <a:srgbClr val="8F5A28"/>
              </a:solidFill>
              <a:prstDash val="solid"/>
            </a:ln>
          </spPr>
          <dLbls>
            <numFmt formatCode="#,##0;-#,##0;0"/>
            <txPr>
              <a:bodyPr xmlns:a="http://schemas.openxmlformats.org/drawingml/2006/main"/>
              <a:p xmlns:a="http://schemas.openxmlformats.org/drawingml/2006/main">
                <a:pPr>
                  <a:defRPr sz="1200" b="1">
                    <a:solidFill>
                      <a:srgbClr val="121A2E"/>
                    </a:solidFill>
                    <a:latin typeface="Archivo"/>
                  </a:defRPr>
                </a:pPr>
                <a:r>
                  <a:t>None</a:t>
                </a:r>
                <a:endParaRPr sz="1200" b="1">
                  <a:solidFill>
                    <a:srgbClr val="121A2E"/>
                  </a:solidFill>
                  <a:latin typeface="Archivo"/>
                </a:endParaRPr>
              </a:p>
            </txPr>
            <showLegendKey val="0"/>
            <showVal val="1"/>
            <showCatName val="0"/>
            <showSerName val="0"/>
            <showPercent val="0"/>
            <showLeaderLines val="0"/>
          </dLbls>
          <cat>
            <numRef>
              <f>'03 EXECUTIVE VIEW'!$A$154:$A$158</f>
            </numRef>
          </cat>
          <val>
            <numRef>
              <f>'03 EXECUTIVE VIEW'!$C$154:$C$158</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1100" b="0">
                <a:latin typeface="Archivo"/>
              </a:defRPr>
            </a:pPr>
            <a:r>
              <a:t>None</a:t>
            </a:r>
            <a:endParaRPr sz="1100" b="0">
              <a:latin typeface="Archivo"/>
            </a:endParaRPr>
          </a:p>
        </txPr>
        <crossAx val="100"/>
        <lblOffset val="100"/>
      </catAx>
      <valAx>
        <axId val="100"/>
        <scaling>
          <orientation val="minMax"/>
          <max val="2076.16"/>
          <min val="0"/>
        </scaling>
        <delete val="0"/>
        <axPos val="l"/>
        <majorTickMark val="none"/>
        <minorTickMark val="none"/>
        <txPr>
          <a:bodyPr xmlns:a="http://schemas.openxmlformats.org/drawingml/2006/main"/>
          <a:p xmlns:a="http://schemas.openxmlformats.org/drawingml/2006/main">
            <a:pPr>
              <a:defRPr sz="1100" b="0">
                <a:latin typeface="Archivo"/>
              </a:defRPr>
            </a:pPr>
            <a:r>
              <a:t>None</a:t>
            </a:r>
            <a:endParaRPr sz="1100" b="0">
              <a:latin typeface="Archivo"/>
            </a:endParaRPr>
          </a:p>
        </txPr>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sz="1400" b="1">
                <a:latin typeface="Archivo"/>
              </a:defRPr>
            </a:pPr>
            <a:r>
              <a:rPr sz="1400" b="1">
                <a:latin typeface="Archivo"/>
              </a:rPr>
              <a:t>Which outcomes remain open?</a:t>
            </a:r>
          </a:p>
        </rich>
      </tx>
    </title>
    <plotArea>
      <barChart>
        <barDir val="bar"/>
        <grouping val="clustered"/>
        <ser>
          <idx val="0"/>
          <order val="0"/>
          <spPr>
            <a:solidFill xmlns:a="http://schemas.openxmlformats.org/drawingml/2006/main">
              <a:srgbClr val="A66A2C"/>
            </a:solidFill>
            <a:ln xmlns:a="http://schemas.openxmlformats.org/drawingml/2006/main">
              <a:solidFill>
                <a:srgbClr val="A66A2C"/>
              </a:solidFill>
              <a:prstDash val="solid"/>
            </a:ln>
          </spPr>
          <dLbls>
            <numFmt formatCode="#,##0;-#,##0;0"/>
            <txPr>
              <a:bodyPr xmlns:a="http://schemas.openxmlformats.org/drawingml/2006/main"/>
              <a:p xmlns:a="http://schemas.openxmlformats.org/drawingml/2006/main">
                <a:pPr>
                  <a:defRPr sz="1200" b="1">
                    <a:solidFill>
                      <a:srgbClr val="121A2E"/>
                    </a:solidFill>
                    <a:latin typeface="Archivo"/>
                  </a:defRPr>
                </a:pPr>
                <a:r>
                  <a:t>None</a:t>
                </a:r>
                <a:endParaRPr sz="1200" b="1">
                  <a:solidFill>
                    <a:srgbClr val="121A2E"/>
                  </a:solidFill>
                  <a:latin typeface="Archivo"/>
                </a:endParaRPr>
              </a:p>
            </txPr>
            <showLegendKey val="0"/>
            <showVal val="1"/>
            <showCatName val="0"/>
            <showSerName val="0"/>
            <showPercent val="0"/>
            <showLeaderLines val="0"/>
          </dLbls>
          <cat>
            <numRef>
              <f>'03 EXECUTIVE VIEW'!$A$180:$A$182</f>
            </numRef>
          </cat>
          <val>
            <numRef>
              <f>'03 EXECUTIVE VIEW'!$C$180:$C$182</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1100" b="0">
                <a:latin typeface="Archivo"/>
              </a:defRPr>
            </a:pPr>
            <a:r>
              <a:t>None</a:t>
            </a:r>
            <a:endParaRPr sz="1100" b="0">
              <a:latin typeface="Archivo"/>
            </a:endParaRPr>
          </a:p>
        </txPr>
        <crossAx val="100"/>
        <lblOffset val="100"/>
      </catAx>
      <valAx>
        <axId val="100"/>
        <scaling>
          <orientation val="minMax"/>
          <max val="336.64"/>
          <min val="0"/>
        </scaling>
        <delete val="0"/>
        <axPos val="l"/>
        <majorTickMark val="none"/>
        <minorTickMark val="none"/>
        <txPr>
          <a:bodyPr xmlns:a="http://schemas.openxmlformats.org/drawingml/2006/main"/>
          <a:p xmlns:a="http://schemas.openxmlformats.org/drawingml/2006/main">
            <a:pPr>
              <a:defRPr sz="1100" b="0">
                <a:latin typeface="Archivo"/>
              </a:defRPr>
            </a:pPr>
            <a:r>
              <a:t>None</a:t>
            </a:r>
            <a:endParaRPr sz="1100" b="0">
              <a:latin typeface="Archivo"/>
            </a:endParaRPr>
          </a:p>
        </txPr>
        <crossAx val="10"/>
      </valAx>
    </plotArea>
    <plotVisOnly val="1"/>
    <dispBlanksAs val="gap"/>
  </chart>
</chartSpace>
</file>

<file path=xl/comments/comment1.xml><?xml version="1.0" encoding="utf-8"?>
<comments xmlns="http://schemas.openxmlformats.org/spreadsheetml/2006/main">
  <authors>
    <author>ZP Synergy Group</author>
  </authors>
  <commentList>
    <comment ref="A1" authorId="0" shapeId="0">
      <text>
        <t>PURPOSE
Publication identity, approved version and source-set orientation; then open the index.
Start with 02 START HERE. Executive / diagnostics / sources / assurance are separate tasks.</t>
      </text>
    </comment>
  </commentList>
</comments>
</file>

<file path=xl/comments/comment2.xml><?xml version="1.0" encoding="utf-8"?>
<comments xmlns="http://schemas.openxmlformats.org/spreadsheetml/2006/main">
  <authors>
    <author>ZP Synergy Group</author>
  </authors>
  <commentList>
    <comment ref="A1" authorId="0" shapeId="0">
      <text>
        <t>PURPOSE
Primary task index and discoverable supporting/advanced destinations.
Start with 02 START HERE. Executive / diagnostics / sources / assurance are separate tasks.</t>
      </text>
    </comment>
  </commentList>
</comments>
</file>

<file path=xl/comments/comment3.xml><?xml version="1.0" encoding="utf-8"?>
<comments xmlns="http://schemas.openxmlformats.org/spreadsheetml/2006/main">
  <authors>
    <author>ZP Synergy Group</author>
  </authors>
  <commentList>
    <comment ref="A1" authorId="0" shapeId="0">
      <text>
        <t>PURPOSE
Canonical executive decision surface and four retained native charts.
Start with 02 START HERE. Executive / diagnostics / sources / assurance are separate tasks.</t>
      </text>
    </comment>
  </commentList>
</comments>
</file>

<file path=xl/comments/comment4.xml><?xml version="1.0" encoding="utf-8"?>
<comments xmlns="http://schemas.openxmlformats.org/spreadsheetml/2006/main">
  <authors>
    <author>ZP Synergy Group</author>
  </authors>
  <commentList>
    <comment ref="A1" authorId="0" shapeId="0">
      <text>
        <t>PURPOSE
Exact governed matters and professional Actions; no materiality ranking.
Start with 02 START HERE. Executive / diagnostics / sources / assurance are separate tasks.</t>
      </text>
    </comment>
  </commentList>
</comments>
</file>

<file path=xl/comments/comment5.xml><?xml version="1.0" encoding="utf-8"?>
<comments xmlns="http://schemas.openxmlformats.org/spreadsheetml/2006/main">
  <authors>
    <author>ZP Synergy Group</author>
  </authors>
  <commentList>
    <comment ref="A1" authorId="0" shapeId="0">
      <text>
        <t>PURPOSE
Cross-view relationship availability and gated analytical populations.
Start with 02 START HERE. Executive / diagnostics / sources / assurance are separate tasks.</t>
      </text>
    </comment>
  </commentList>
</comments>
</file>

<file path=xl/comments/comment6.xml><?xml version="1.0" encoding="utf-8"?>
<comments xmlns="http://schemas.openxmlformats.org/spreadsheetml/2006/main">
  <authors>
    <author>ZP Synergy Group</author>
  </authors>
  <commentList>
    <comment ref="A1" authorId="0" shapeId="0">
      <text>
        <t>PURPOSE
Supporting cross-view projections by WBS; use 09 for first scope navigation.
Start with 02 START HERE. Executive / diagnostics / sources / assurance are separate tasks.</t>
      </text>
    </comment>
  </commentList>
</comments>
</file>

<file path=xl/comments/comment7.xml><?xml version="1.0" encoding="utf-8"?>
<comments xmlns="http://schemas.openxmlformats.org/spreadsheetml/2006/main">
  <authors>
    <author>ZP Synergy Group</author>
  </authors>
  <commentList>
    <comment ref="A1" authorId="0" shapeId="0">
      <text>
        <t>PURPOSE
Relationship change classification and separate revalidation.
Start with 02 START HERE. Executive / diagnostics / sources / assurance are separate tasks.</t>
      </text>
    </comment>
  </commentList>
</comments>
</file>

<file path=xl/comments/comment8.xml><?xml version="1.0" encoding="utf-8"?>
<comments xmlns="http://schemas.openxmlformats.org/spreadsheetml/2006/main">
  <authors>
    <author>ZP Synergy Group</author>
  </authors>
  <commentList>
    <comment ref="A1" authorId="0" shapeId="0">
      <text>
        <t>PURPOSE
Approved source-to-WBS targets; split targets are separate rows.
Start with 02 START HERE. Executive / diagnostics / sources / assurance are separate tasks.</t>
      </text>
    </comment>
  </commentList>
</comments>
</file>

<file path=xl/comments/comment9.xml><?xml version="1.0" encoding="utf-8"?>
<comments xmlns="http://schemas.openxmlformats.org/spreadsheetml/2006/main">
  <authors>
    <author>ZP Synergy Group</author>
  </authors>
  <commentList>
    <comment ref="A1" authorId="0" shapeId="0">
      <text>
        <t>PURPOSE
Primary scope navigation: distinct relationship coverage/status.
Start with 02 START HERE. Executive / diagnostics / sources / assurance are separate tasks.</t>
      </text>
    </comment>
  </commentList>
</comments>
</file>

<file path=xl/comments/comment10.xml><?xml version="1.0" encoding="utf-8"?>
<comments xmlns="http://schemas.openxmlformats.org/spreadsheetml/2006/main">
  <authors>
    <author>ZP Synergy Group</author>
  </authors>
  <commentList>
    <comment ref="A1" authorId="0" shapeId="0">
      <text>
        <t>PURPOSE
Source assertion, interpretation, contrary evidence and human decision.
Start with 02 START HERE. Executive / diagnostics / sources / assurance are separate tasks.</t>
      </text>
    </comment>
  </commentList>
</comments>
</file>

<file path=xl/comments/comment11.xml><?xml version="1.0" encoding="utf-8"?>
<comments xmlns="http://schemas.openxmlformats.org/spreadsheetml/2006/main">
  <authors>
    <author>ZP Synergy Group</author>
  </authors>
  <commentList>
    <comment ref="A1" authorId="0" shapeId="0">
      <text>
        <t>PURPOSE
Approval-time source revisions and representation integrity.
Start with 02 START HERE. Executive / diagnostics / sources / assurance are separate tasks.</t>
      </text>
    </comment>
  </commentList>
</comments>
</file>

<file path=xl/comments/comment12.xml><?xml version="1.0" encoding="utf-8"?>
<comments xmlns="http://schemas.openxmlformats.org/spreadsheetml/2006/main">
  <authors>
    <author>ZP Synergy Group</author>
  </authors>
  <commentList>
    <comment ref="A1" authorId="0" shapeId="0">
      <text>
        <t>PURPOSE
Withholding, metric ledger, evidence boundary and reconciliation.
Start with 02 START HERE. Executive / diagnostics / sources / assurance are separate tasks.</t>
      </text>
    </comment>
  </commentList>
</comments>
</file>

<file path=xl/comments/comment13.xml><?xml version="1.0" encoding="utf-8"?>
<comments xmlns="http://schemas.openxmlformats.org/spreadsheetml/2006/main">
  <authors>
    <author>ZP Synergy Group</author>
  </authors>
  <commentList>
    <comment ref="A1" authorId="0" shapeId="0">
      <text>
        <t>PURPOSE
Advanced revision lineage and reporting-period state of record.
Start with 02 START HERE. Executive / diagnostics / sources / assurance are separate tasks.</t>
      </text>
    </comment>
  </commentList>
</comments>
</file>

<file path=xl/comments/comment14.xml><?xml version="1.0" encoding="utf-8"?>
<comments xmlns="http://schemas.openxmlformats.org/spreadsheetml/2006/main">
  <authors>
    <author>ZP Synergy Group</author>
  </authors>
  <commentList>
    <comment ref="A1" authorId="0" shapeId="0">
      <text>
        <t>PURPOSE
Advanced approved scope tree and relationship ROW rollups; split/retired included unless filtered.
Start with 02 START HERE. Executive / diagnostics / sources / assurance are separate tasks.</t>
      </text>
    </comment>
  </commentList>
</comments>
</file>

<file path=xl/comments/comment15.xml><?xml version="1.0" encoding="utf-8"?>
<comments xmlns="http://schemas.openxmlformats.org/spreadsheetml/2006/main">
  <authors>
    <author>ZP Synergy Group</author>
  </authors>
  <commentList>
    <comment ref="A1" authorId="0" shapeId="0">
      <text>
        <t>PURPOSE
Advanced filter/formula analysis; not the executive first-use summary.
Start with 02 START HERE. Executive / diagnostics / sources / assurance are separate tasks.</t>
      </text>
    </comment>
  </commentList>
</comments>
</file>

<file path=xl/comments/comment16.xml><?xml version="1.0" encoding="utf-8"?>
<comments xmlns="http://schemas.openxmlformats.org/spreadsheetml/2006/main">
  <authors>
    <author>ZP Synergy Group</author>
  </authors>
  <commentList>
    <comment ref="A1" authorId="0" shapeId="0">
      <text>
        <t>PURPOSE
Compatibility/formula source table; one row per relationship target.
Start with 02 START HERE. Executive / diagnostics / sources / assurance are separate tasks.</t>
      </text>
    </comment>
  </commentList>
</comments>
</file>

<file path=xl/comments/comment17.xml><?xml version="1.0" encoding="utf-8"?>
<comments xmlns="http://schemas.openxmlformats.org/spreadsheetml/2006/main">
  <authors>
    <author>ZP Synergy Group</author>
  </authors>
  <commentList>
    <comment ref="A1" authorId="0" shapeId="0">
      <text>
        <t>PURPOSE
Approved Owner WBS source hierarchy; original names, ancestry and evidence.
Start with 02 START HERE. Executive / diagnostics / sources / assurance are separate tasks.</t>
      </text>
    </comment>
  </commentList>
</comments>
</file>

<file path=xl/comments/comment18.xml><?xml version="1.0" encoding="utf-8"?>
<comments xmlns="http://schemas.openxmlformats.org/spreadsheetml/2006/main">
  <authors>
    <author>ZP Synergy Group</author>
  </authors>
  <commentList>
    <comment ref="A1" authorId="0" shapeId="0">
      <text>
        <t>PURPOSE
Advanced formula-based target-row explorer; 09 is the primary scope view.
Start with 02 START HERE. Executive / diagnostics / sources / assurance are separate tasks.</t>
      </text>
    </comment>
  </commentList>
</comments>
</file>

<file path=xl/comments/comment19.xml><?xml version="1.0" encoding="utf-8"?>
<comments xmlns="http://schemas.openxmlformats.org/spreadsheetml/2006/main">
  <authors>
    <author>ZP Synergy Group</author>
  </authors>
  <commentList>
    <comment ref="A4" authorId="0" shapeId="0">
      <text>
        <t>PURPOSE
Supporting outcome records; uncertainty is not assessed outside scope.
Start with 02 START HERE. Executive / diagnostics / sources / assurance are separate tasks.</t>
      </text>
    </comment>
  </commentList>
</comments>
</file>

<file path=xl/comments/comment20.xml><?xml version="1.0" encoding="utf-8"?>
<comments xmlns="http://schemas.openxmlformats.org/spreadsheetml/2006/main">
  <authors>
    <author>ZP Synergy Group</author>
  </authors>
  <commentList>
    <comment ref="A1" authorId="0" shapeId="0">
      <text>
        <t>PURPOSE
Compatibility approved-version history; 13 provides revision lineage.
Start with 02 START HERE. Executive / diagnostics / sources / assurance are separate tasks.</t>
      </text>
    </comment>
  </commentList>
</comments>
</file>

<file path=xl/comments/comment21.xml><?xml version="1.0" encoding="utf-8"?>
<comments xmlns="http://schemas.openxmlformats.org/spreadsheetml/2006/main">
  <authors>
    <author>ZP Synergy Group</author>
  </authors>
  <commentList>
    <comment ref="A1" authorId="0" shapeId="0">
      <text>
        <t>PURPOSE
Compatibility calculations; 03 is the canonical executive decision surface.
Start with 02 START HERE. Executive / diagnostics / sources / assurance are separate tasks.</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29</row>
      <rowOff>0</rowOff>
    </from>
    <ext cx="4140000"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29</row>
      <rowOff>0</rowOff>
    </from>
    <ext cx="4140000"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59</row>
      <rowOff>0</rowOff>
    </from>
    <ext cx="4140000" cy="2951999"/>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6</col>
      <colOff>0</colOff>
      <row>59</row>
      <rowOff>0</rowOff>
    </from>
    <ext cx="4140000" cy="2951999"/>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3 EXECUTIVE VIEW'!A21" TargetMode="External" Id="rId1"/><Relationship Type="http://schemas.openxmlformats.org/officeDocument/2006/relationships/hyperlink" Target="#'04 ISSUES FOR REVIEW'!A1" TargetMode="External" Id="rId2"/><Relationship Type="http://schemas.openxmlformats.org/officeDocument/2006/relationships/hyperlink" Target="#'10 EVIDENCE &amp; DECISIONS'!A1" TargetMode="External" Id="rId3"/><Relationship Type="http://schemas.openxmlformats.org/officeDocument/2006/relationships/hyperlink" Target="#'09 WBS EXPLORER'!A1" TargetMode="External" Id="rId4"/><Relationship Type="http://schemas.openxmlformats.org/officeDocument/2006/relationships/hyperlink" Target="#'08 CROSSWALK'!A1" TargetMode="External" Id="rId5"/><Relationship Type="http://schemas.openxmlformats.org/officeDocument/2006/relationships/hyperlink" Target="#'02 START HERE'!A1" TargetMode="External" Id="rId6"/><Relationship Type="http://schemas.openxmlformats.org/officeDocument/2006/relationships/hyperlink" Target="#'02 START HERE'!A1" TargetMode="External" Id="rId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1" TargetMode="External" Id="rId2"/><Relationship Type="http://schemas.openxmlformats.org/officeDocument/2006/relationships/hyperlink" Target="#'04 ISSUES FOR REVIEW'!A1" TargetMode="External" Id="rId3"/><Relationship Type="http://schemas.openxmlformats.org/officeDocument/2006/relationships/hyperlink" Target="#'09 WBS EXPLORER'!A1" TargetMode="External" Id="rId4"/><Relationship Type="http://schemas.openxmlformats.org/officeDocument/2006/relationships/hyperlink" Target="#'08 CROSSWALK'!A1" TargetMode="External" Id="rId5"/><Relationship Type="http://schemas.openxmlformats.org/officeDocument/2006/relationships/hyperlink" Target="#'10 EVIDENCE &amp; DECISIONS'!A1" TargetMode="External" Id="rId6"/><Relationship Type="http://schemas.openxmlformats.org/officeDocument/2006/relationships/hyperlink" Target="#'07 CHANGES &amp; REVALIDATION'!A1" TargetMode="External" Id="rId7"/><Relationship Type="http://schemas.openxmlformats.org/officeDocument/2006/relationships/hyperlink" Target="#'01 PROJECT'!A1" TargetMode="External" Id="rId8"/><Relationship Type="http://schemas.openxmlformats.org/officeDocument/2006/relationships/hyperlink" Target="#'05 INTEGRATION HEALTH'!A1" TargetMode="External" Id="rId9"/><Relationship Type="http://schemas.openxmlformats.org/officeDocument/2006/relationships/hyperlink" Target="#'06 INTEGRATED PROJECT'!A1" TargetMode="External" Id="rId10"/><Relationship Type="http://schemas.openxmlformats.org/officeDocument/2006/relationships/hyperlink" Target="#'11 SOURCES &amp; PROVENANCE'!A1" TargetMode="External" Id="rId11"/><Relationship Type="http://schemas.openxmlformats.org/officeDocument/2006/relationships/hyperlink" Target="#'12 ASSURANCE'!A1" TargetMode="External" Id="rId12"/><Relationship Type="http://schemas.openxmlformats.org/officeDocument/2006/relationships/hyperlink" Target="#'MASTER DATA'!A1" TargetMode="External" Id="rId13"/><Relationship Type="http://schemas.openxmlformats.org/officeDocument/2006/relationships/hyperlink" Target="#'OWNER WBS'!A1" TargetMode="External" Id="rId14"/><Relationship Type="http://schemas.openxmlformats.org/officeDocument/2006/relationships/hyperlink" Target="#'RELATIONSHIP EXPLORER'!A1" TargetMode="External" Id="rId15"/><Relationship Type="http://schemas.openxmlformats.org/officeDocument/2006/relationships/hyperlink" Target="#'UNRESOLVED'!A4" TargetMode="External" Id="rId16"/><Relationship Type="http://schemas.openxmlformats.org/officeDocument/2006/relationships/hyperlink" Target="#'HISTORY'!A1" TargetMode="External" Id="rId17"/><Relationship Type="http://schemas.openxmlformats.org/officeDocument/2006/relationships/hyperlink" Target="#'SUMMARY'!A1" TargetMode="External" Id="rId18"/><Relationship Type="http://schemas.openxmlformats.org/officeDocument/2006/relationships/hyperlink" Target="#'13 REVISIONS &amp; PERIODS'!A1" TargetMode="External" Id="rId19"/><Relationship Type="http://schemas.openxmlformats.org/officeDocument/2006/relationships/hyperlink" Target="#'14 WBS HIERARCHY'!A1" TargetMode="External" Id="rId20"/><Relationship Type="http://schemas.openxmlformats.org/officeDocument/2006/relationships/hyperlink" Target="#'15 ANALYSIS'!A1" TargetMode="External" Id="rId2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04 ISSUES FOR REVIEW'!A1" TargetMode="External" Id="rId10"/><Relationship Type="http://schemas.openxmlformats.org/officeDocument/2006/relationships/drawing" Target="/xl/drawings/drawing1.xml" Id="rId1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09 WBS EXPLORER'!A60" TargetMode="External" Id="rId10"/><Relationship Type="http://schemas.openxmlformats.org/officeDocument/2006/relationships/hyperlink" Target="#'05 INTEGRATION HEALTH'!A1" TargetMode="External" Id="rId11"/><Relationship Type="http://schemas.openxmlformats.org/officeDocument/2006/relationships/hyperlink" Target="#'09 WBS EXPLORER'!A73" TargetMode="External" Id="rId12"/><Relationship Type="http://schemas.openxmlformats.org/officeDocument/2006/relationships/hyperlink" Target="#'05 INTEGRATION HEALTH'!A1" TargetMode="External" Id="rId13"/><Relationship Type="http://schemas.openxmlformats.org/officeDocument/2006/relationships/hyperlink" Target="#'08 CROSSWALK'!A1" TargetMode="External" Id="rId14"/><Relationship Type="http://schemas.openxmlformats.org/officeDocument/2006/relationships/hyperlink" Target="#'08 CROSSWALK'!A1" TargetMode="External" Id="rId15"/><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06 INTEGRATED PROJECT'!A8" TargetMode="External" Id="rId10"/><Relationship Type="http://schemas.openxmlformats.org/officeDocument/2006/relationships/hyperlink" Target="#'06 INTEGRATED PROJECT'!A21" TargetMode="External" Id="rId11"/><Relationship Type="http://schemas.openxmlformats.org/officeDocument/2006/relationships/hyperlink" Target="#'06 INTEGRATED PROJECT'!A34" TargetMode="External" Id="rId12"/><Relationship Type="http://schemas.openxmlformats.org/officeDocument/2006/relationships/hyperlink" Target="#'06 INTEGRATED PROJECT'!A47" TargetMode="External" Id="rId13"/><Relationship Type="http://schemas.openxmlformats.org/officeDocument/2006/relationships/hyperlink" Target="#'06 INTEGRATED PROJECT'!A60" TargetMode="External" Id="rId14"/><Relationship Type="http://schemas.openxmlformats.org/officeDocument/2006/relationships/hyperlink" Target="#'06 INTEGRATED PROJECT'!A73" TargetMode="External" Id="rId15"/><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08 CROSSWALK'!A1" TargetMode="External" Id="rId10"/><Relationship Type="http://schemas.openxmlformats.org/officeDocument/2006/relationships/hyperlink" Target="#'08 CROSSWALK'!A6" TargetMode="External" Id="rId11"/><Relationship Type="http://schemas.openxmlformats.org/officeDocument/2006/relationships/hyperlink" Target="#'08 CROSSWALK'!A6" TargetMode="External" Id="rId12"/><Relationship Type="http://schemas.openxmlformats.org/officeDocument/2006/relationships/hyperlink" Target="#'08 CROSSWALK'!A16" TargetMode="External" Id="rId13"/><Relationship Type="http://schemas.openxmlformats.org/officeDocument/2006/relationships/hyperlink" Target="#'08 CROSSWALK'!A1" TargetMode="External" Id="rId14"/><Relationship Type="http://schemas.openxmlformats.org/officeDocument/2006/relationships/hyperlink" Target="#'08 CROSSWALK'!A1" TargetMode="External" Id="rId15"/><Relationship Type="http://schemas.openxmlformats.org/officeDocument/2006/relationships/hyperlink" Target="#'08 CROSSWALK'!A176" TargetMode="External" Id="rId16"/><Relationship Type="http://schemas.openxmlformats.org/officeDocument/2006/relationships/hyperlink" Target="#'08 CROSSWALK'!A1" TargetMode="External" Id="rId17"/><Relationship Type="http://schemas.openxmlformats.org/officeDocument/2006/relationships/hyperlink" Target="#'08 CROSSWALK'!A1" TargetMode="External" Id="rId18"/><Relationship Type="http://schemas.openxmlformats.org/officeDocument/2006/relationships/hyperlink" Target="#'08 CROSSWALK'!A1" TargetMode="External" Id="rId19"/><Relationship Type="http://schemas.openxmlformats.org/officeDocument/2006/relationships/hyperlink" Target="#'08 CROSSWALK'!A1" TargetMode="External" Id="rId20"/><Relationship Type="http://schemas.openxmlformats.org/officeDocument/2006/relationships/hyperlink" Target="#'08 CROSSWALK'!A1" TargetMode="External" Id="rId21"/><Relationship Type="http://schemas.openxmlformats.org/officeDocument/2006/relationships/hyperlink" Target="#'08 CROSSWALK'!A1" TargetMode="External" Id="rId22"/><Relationship Type="http://schemas.openxmlformats.org/officeDocument/2006/relationships/hyperlink" Target="#'08 CROSSWALK'!A1" TargetMode="External" Id="rId23"/><Relationship Type="http://schemas.openxmlformats.org/officeDocument/2006/relationships/hyperlink" Target="#'08 CROSSWALK'!A1" TargetMode="External" Id="rId24"/><Relationship Type="http://schemas.openxmlformats.org/officeDocument/2006/relationships/hyperlink" Target="#'08 CROSSWALK'!A276" TargetMode="External" Id="rId25"/><Relationship Type="http://schemas.openxmlformats.org/officeDocument/2006/relationships/hyperlink" Target="#'08 CROSSWALK'!A287" TargetMode="External" Id="rId26"/><Relationship Type="http://schemas.openxmlformats.org/officeDocument/2006/relationships/hyperlink" Target="#'08 CROSSWALK'!A1" TargetMode="External" Id="rId27"/><Relationship Type="http://schemas.openxmlformats.org/officeDocument/2006/relationships/hyperlink" Target="#'08 CROSSWALK'!A1" TargetMode="External" Id="rId28"/><Relationship Type="http://schemas.openxmlformats.org/officeDocument/2006/relationships/hyperlink" Target="#'08 CROSSWALK'!A447" TargetMode="External" Id="rId29"/><Relationship Type="http://schemas.openxmlformats.org/officeDocument/2006/relationships/hyperlink" Target="#'08 CROSSWALK'!A1" TargetMode="External" Id="rId30"/><Relationship Type="http://schemas.openxmlformats.org/officeDocument/2006/relationships/hyperlink" Target="#'08 CROSSWALK'!A1" TargetMode="External" Id="rId31"/><Relationship Type="http://schemas.openxmlformats.org/officeDocument/2006/relationships/hyperlink" Target="#'08 CROSSWALK'!A1" TargetMode="External" Id="rId32"/><Relationship Type="http://schemas.openxmlformats.org/officeDocument/2006/relationships/hyperlink" Target="#'08 CROSSWALK'!A1" TargetMode="External" Id="rId33"/><Relationship Type="http://schemas.openxmlformats.org/officeDocument/2006/relationships/hyperlink" Target="#'08 CROSSWALK'!A1" TargetMode="External" Id="rId34"/><Relationship Type="http://schemas.openxmlformats.org/officeDocument/2006/relationships/hyperlink" Target="#'08 CROSSWALK'!A1" TargetMode="External" Id="rId35"/><Relationship Type="http://schemas.openxmlformats.org/officeDocument/2006/relationships/hyperlink" Target="#'08 CROSSWALK'!A1" TargetMode="External" Id="rId36"/><Relationship Type="http://schemas.openxmlformats.org/officeDocument/2006/relationships/hyperlink" Target="#'08 CROSSWALK'!A1" TargetMode="External" Id="rId37"/><Relationship Type="http://schemas.openxmlformats.org/officeDocument/2006/relationships/hyperlink" Target="#'08 CROSSWALK'!A546" TargetMode="External" Id="rId38"/><Relationship Type="http://schemas.openxmlformats.org/officeDocument/2006/relationships/hyperlink" Target="#'08 CROSSWALK'!A556" TargetMode="External" Id="rId39"/><Relationship Type="http://schemas.openxmlformats.org/officeDocument/2006/relationships/hyperlink" Target="#'08 CROSSWALK'!A1" TargetMode="External" Id="rId40"/><Relationship Type="http://schemas.openxmlformats.org/officeDocument/2006/relationships/hyperlink" Target="#'08 CROSSWALK'!A1" TargetMode="External" Id="rId41"/><Relationship Type="http://schemas.openxmlformats.org/officeDocument/2006/relationships/hyperlink" Target="#'08 CROSSWALK'!A716" TargetMode="External" Id="rId42"/><Relationship Type="http://schemas.openxmlformats.org/officeDocument/2006/relationships/hyperlink" Target="#'08 CROSSWALK'!A1" TargetMode="External" Id="rId43"/><Relationship Type="http://schemas.openxmlformats.org/officeDocument/2006/relationships/hyperlink" Target="#'08 CROSSWALK'!A1" TargetMode="External" Id="rId44"/><Relationship Type="http://schemas.openxmlformats.org/officeDocument/2006/relationships/hyperlink" Target="#'08 CROSSWALK'!A1" TargetMode="External" Id="rId45"/><Relationship Type="http://schemas.openxmlformats.org/officeDocument/2006/relationships/hyperlink" Target="#'08 CROSSWALK'!A1" TargetMode="External" Id="rId46"/><Relationship Type="http://schemas.openxmlformats.org/officeDocument/2006/relationships/hyperlink" Target="#'08 CROSSWALK'!A1" TargetMode="External" Id="rId47"/><Relationship Type="http://schemas.openxmlformats.org/officeDocument/2006/relationships/hyperlink" Target="#'08 CROSSWALK'!A1" TargetMode="External" Id="rId48"/><Relationship Type="http://schemas.openxmlformats.org/officeDocument/2006/relationships/hyperlink" Target="#'08 CROSSWALK'!A1" TargetMode="External" Id="rId49"/><Relationship Type="http://schemas.openxmlformats.org/officeDocument/2006/relationships/hyperlink" Target="#'08 CROSSWALK'!A1" TargetMode="External" Id="rId50"/><Relationship Type="http://schemas.openxmlformats.org/officeDocument/2006/relationships/hyperlink" Target="#'08 CROSSWALK'!A815" TargetMode="External" Id="rId51"/><Relationship Type="http://schemas.openxmlformats.org/officeDocument/2006/relationships/hyperlink" Target="#'08 CROSSWALK'!A825" TargetMode="External" Id="rId52"/><Relationship Type="http://schemas.openxmlformats.org/officeDocument/2006/relationships/hyperlink" Target="#'08 CROSSWALK'!A1" TargetMode="External" Id="rId53"/><Relationship Type="http://schemas.openxmlformats.org/officeDocument/2006/relationships/hyperlink" Target="#'08 CROSSWALK'!A1" TargetMode="External" Id="rId54"/><Relationship Type="http://schemas.openxmlformats.org/officeDocument/2006/relationships/hyperlink" Target="#'08 CROSSWALK'!A985" TargetMode="External" Id="rId55"/><Relationship Type="http://schemas.openxmlformats.org/officeDocument/2006/relationships/hyperlink" Target="#'08 CROSSWALK'!A1" TargetMode="External" Id="rId56"/><Relationship Type="http://schemas.openxmlformats.org/officeDocument/2006/relationships/hyperlink" Target="#'08 CROSSWALK'!A1" TargetMode="External" Id="rId57"/><Relationship Type="http://schemas.openxmlformats.org/officeDocument/2006/relationships/hyperlink" Target="#'08 CROSSWALK'!A1" TargetMode="External" Id="rId58"/><Relationship Type="http://schemas.openxmlformats.org/officeDocument/2006/relationships/hyperlink" Target="#'08 CROSSWALK'!A1" TargetMode="External" Id="rId59"/><Relationship Type="http://schemas.openxmlformats.org/officeDocument/2006/relationships/hyperlink" Target="#'08 CROSSWALK'!A1" TargetMode="External" Id="rId60"/><Relationship Type="http://schemas.openxmlformats.org/officeDocument/2006/relationships/hyperlink" Target="#'08 CROSSWALK'!A1" TargetMode="External" Id="rId61"/><Relationship Type="http://schemas.openxmlformats.org/officeDocument/2006/relationships/hyperlink" Target="#'08 CROSSWALK'!A1" TargetMode="External" Id="rId62"/><Relationship Type="http://schemas.openxmlformats.org/officeDocument/2006/relationships/hyperlink" Target="#'08 CROSSWALK'!A1" TargetMode="External" Id="rId63"/><Relationship Type="http://schemas.openxmlformats.org/officeDocument/2006/relationships/hyperlink" Target="#'08 CROSSWALK'!A1084" TargetMode="External" Id="rId64"/><Relationship Type="http://schemas.openxmlformats.org/officeDocument/2006/relationships/hyperlink" Target="#'08 CROSSWALK'!A1094" TargetMode="External" Id="rId65"/><Relationship Type="http://schemas.openxmlformats.org/officeDocument/2006/relationships/hyperlink" Target="#'08 CROSSWALK'!A1" TargetMode="External" Id="rId66"/><Relationship Type="http://schemas.openxmlformats.org/officeDocument/2006/relationships/hyperlink" Target="#'08 CROSSWALK'!A1" TargetMode="External" Id="rId67"/><Relationship Type="http://schemas.openxmlformats.org/officeDocument/2006/relationships/hyperlink" Target="#'08 CROSSWALK'!A1214" TargetMode="External" Id="rId68"/><Relationship Type="http://schemas.openxmlformats.org/officeDocument/2006/relationships/hyperlink" Target="#'08 CROSSWALK'!A1" TargetMode="External" Id="rId69"/><Relationship Type="http://schemas.openxmlformats.org/officeDocument/2006/relationships/hyperlink" Target="#'08 CROSSWALK'!A1" TargetMode="External" Id="rId70"/><Relationship Type="http://schemas.openxmlformats.org/officeDocument/2006/relationships/hyperlink" Target="#'08 CROSSWALK'!A1" TargetMode="External" Id="rId71"/><Relationship Type="http://schemas.openxmlformats.org/officeDocument/2006/relationships/hyperlink" Target="#'08 CROSSWALK'!A1" TargetMode="External" Id="rId72"/><Relationship Type="http://schemas.openxmlformats.org/officeDocument/2006/relationships/hyperlink" Target="#'08 CROSSWALK'!A1" TargetMode="External" Id="rId73"/><Relationship Type="http://schemas.openxmlformats.org/officeDocument/2006/relationships/hyperlink" Target="#'08 CROSSWALK'!A1" TargetMode="External" Id="rId74"/><Relationship Type="http://schemas.openxmlformats.org/officeDocument/2006/relationships/hyperlink" Target="#'08 CROSSWALK'!A1" TargetMode="External" Id="rId75"/><Relationship Type="http://schemas.openxmlformats.org/officeDocument/2006/relationships/hyperlink" Target="#'08 CROSSWALK'!A1" TargetMode="External" Id="rId76"/><Relationship Type="http://schemas.openxmlformats.org/officeDocument/2006/relationships/hyperlink" Target="#'08 CROSSWALK'!A1274" TargetMode="External" Id="rId77"/><Relationship Type="http://schemas.openxmlformats.org/officeDocument/2006/relationships/hyperlink" Target="#'08 CROSSWALK'!A1284" TargetMode="External" Id="rId78"/><Relationship Type="http://schemas.openxmlformats.org/officeDocument/2006/relationships/hyperlink" Target="#'08 CROSSWALK'!A1" TargetMode="External" Id="rId79"/><Relationship Type="http://schemas.openxmlformats.org/officeDocument/2006/relationships/hyperlink" Target="#'08 CROSSWALK'!A1" TargetMode="External" Id="rId80"/><Relationship Type="http://schemas.openxmlformats.org/officeDocument/2006/relationships/hyperlink" Target="#'08 CROSSWALK'!A1324" TargetMode="External" Id="rId81"/><Relationship Type="http://schemas.openxmlformats.org/officeDocument/2006/relationships/hyperlink" Target="#'08 CROSSWALK'!A1" TargetMode="External" Id="rId82"/><Relationship Type="http://schemas.openxmlformats.org/officeDocument/2006/relationships/hyperlink" Target="#'08 CROSSWALK'!A1" TargetMode="External" Id="rId83"/><Relationship Type="http://schemas.openxmlformats.org/officeDocument/2006/relationships/hyperlink" Target="#'08 CROSSWALK'!A1" TargetMode="External" Id="rId84"/><Relationship Type="http://schemas.openxmlformats.org/officeDocument/2006/relationships/hyperlink" Target="#'08 CROSSWALK'!A1" TargetMode="External" Id="rId85"/><Relationship Type="http://schemas.openxmlformats.org/officeDocument/2006/relationships/hyperlink" Target="#'08 CROSSWALK'!A1" TargetMode="External" Id="rId86"/><Relationship Type="http://schemas.openxmlformats.org/officeDocument/2006/relationships/hyperlink" Target="#'08 CROSSWALK'!A1" TargetMode="External" Id="rId87"/><Relationship Type="http://schemas.openxmlformats.org/officeDocument/2006/relationships/hyperlink" Target="#'08 CROSSWALK'!A1" TargetMode="External" Id="rId88"/><Relationship Type="http://schemas.openxmlformats.org/officeDocument/2006/relationships/hyperlink" Target="#'08 CROSSWALK'!A1" TargetMode="External" Id="rId89"/><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10 EVIDENCE &amp; DECISIONS'!A6" TargetMode="External" Id="rId10"/><Relationship Type="http://schemas.openxmlformats.org/officeDocument/2006/relationships/hyperlink" Target="#'10 EVIDENCE &amp; DECISIONS'!A7" TargetMode="External" Id="rId11"/><Relationship Type="http://schemas.openxmlformats.org/officeDocument/2006/relationships/hyperlink" Target="#'10 EVIDENCE &amp; DECISIONS'!A8" TargetMode="External" Id="rId12"/><Relationship Type="http://schemas.openxmlformats.org/officeDocument/2006/relationships/hyperlink" Target="#'10 EVIDENCE &amp; DECISIONS'!A9" TargetMode="External" Id="rId13"/><Relationship Type="http://schemas.openxmlformats.org/officeDocument/2006/relationships/hyperlink" Target="#'10 EVIDENCE &amp; DECISIONS'!A10" TargetMode="External" Id="rId14"/><Relationship Type="http://schemas.openxmlformats.org/officeDocument/2006/relationships/hyperlink" Target="#'10 EVIDENCE &amp; DECISIONS'!A11" TargetMode="External" Id="rId15"/><Relationship Type="http://schemas.openxmlformats.org/officeDocument/2006/relationships/hyperlink" Target="#'10 EVIDENCE &amp; DECISIONS'!A12" TargetMode="External" Id="rId16"/><Relationship Type="http://schemas.openxmlformats.org/officeDocument/2006/relationships/hyperlink" Target="#'10 EVIDENCE &amp; DECISIONS'!A13" TargetMode="External" Id="rId17"/><Relationship Type="http://schemas.openxmlformats.org/officeDocument/2006/relationships/hyperlink" Target="#'10 EVIDENCE &amp; DECISIONS'!A14" TargetMode="External" Id="rId18"/><Relationship Type="http://schemas.openxmlformats.org/officeDocument/2006/relationships/hyperlink" Target="#'10 EVIDENCE &amp; DECISIONS'!A15" TargetMode="External" Id="rId19"/><Relationship Type="http://schemas.openxmlformats.org/officeDocument/2006/relationships/hyperlink" Target="#'10 EVIDENCE &amp; DECISIONS'!A16" TargetMode="External" Id="rId20"/><Relationship Type="http://schemas.openxmlformats.org/officeDocument/2006/relationships/hyperlink" Target="#'10 EVIDENCE &amp; DECISIONS'!A22" TargetMode="External" Id="rId21"/><Relationship Type="http://schemas.openxmlformats.org/officeDocument/2006/relationships/hyperlink" Target="#'10 EVIDENCE &amp; DECISIONS'!A82" TargetMode="External" Id="rId22"/><Relationship Type="http://schemas.openxmlformats.org/officeDocument/2006/relationships/hyperlink" Target="#'10 EVIDENCE &amp; DECISIONS'!A83" TargetMode="External" Id="rId23"/><Relationship Type="http://schemas.openxmlformats.org/officeDocument/2006/relationships/hyperlink" Target="#'10 EVIDENCE &amp; DECISIONS'!A84" TargetMode="External" Id="rId24"/><Relationship Type="http://schemas.openxmlformats.org/officeDocument/2006/relationships/hyperlink" Target="#'10 EVIDENCE &amp; DECISIONS'!A85" TargetMode="External" Id="rId25"/><Relationship Type="http://schemas.openxmlformats.org/officeDocument/2006/relationships/hyperlink" Target="#'10 EVIDENCE &amp; DECISIONS'!A86" TargetMode="External" Id="rId26"/><Relationship Type="http://schemas.openxmlformats.org/officeDocument/2006/relationships/hyperlink" Target="#'10 EVIDENCE &amp; DECISIONS'!A87" TargetMode="External" Id="rId27"/><Relationship Type="http://schemas.openxmlformats.org/officeDocument/2006/relationships/hyperlink" Target="#'10 EVIDENCE &amp; DECISIONS'!A136" TargetMode="External" Id="rId28"/><Relationship Type="http://schemas.openxmlformats.org/officeDocument/2006/relationships/hyperlink" Target="#'10 EVIDENCE &amp; DECISIONS'!A137" TargetMode="External" Id="rId29"/><Relationship Type="http://schemas.openxmlformats.org/officeDocument/2006/relationships/hyperlink" Target="#'10 EVIDENCE &amp; DECISIONS'!A138" TargetMode="External" Id="rId30"/><Relationship Type="http://schemas.openxmlformats.org/officeDocument/2006/relationships/hyperlink" Target="#'10 EVIDENCE &amp; DECISIONS'!A139" TargetMode="External" Id="rId31"/><Relationship Type="http://schemas.openxmlformats.org/officeDocument/2006/relationships/hyperlink" Target="#'10 EVIDENCE &amp; DECISIONS'!A88" TargetMode="External" Id="rId32"/><Relationship Type="http://schemas.openxmlformats.org/officeDocument/2006/relationships/hyperlink" Target="#'10 EVIDENCE &amp; DECISIONS'!A140" TargetMode="External" Id="rId33"/><Relationship Type="http://schemas.openxmlformats.org/officeDocument/2006/relationships/hyperlink" Target="#'10 EVIDENCE &amp; DECISIONS'!A141" TargetMode="External" Id="rId34"/><Relationship Type="http://schemas.openxmlformats.org/officeDocument/2006/relationships/hyperlink" Target="#'10 EVIDENCE &amp; DECISIONS'!A142" TargetMode="External" Id="rId35"/><Relationship Type="http://schemas.openxmlformats.org/officeDocument/2006/relationships/hyperlink" Target="#'10 EVIDENCE &amp; DECISIONS'!A143" TargetMode="External" Id="rId36"/><Relationship Type="http://schemas.openxmlformats.org/officeDocument/2006/relationships/hyperlink" Target="#'10 EVIDENCE &amp; DECISIONS'!A144" TargetMode="External" Id="rId37"/><Relationship Type="http://schemas.openxmlformats.org/officeDocument/2006/relationships/hyperlink" Target="#'10 EVIDENCE &amp; DECISIONS'!A23" TargetMode="External" Id="rId38"/><Relationship Type="http://schemas.openxmlformats.org/officeDocument/2006/relationships/hyperlink" Target="#'10 EVIDENCE &amp; DECISIONS'!A89" TargetMode="External" Id="rId39"/><Relationship Type="http://schemas.openxmlformats.org/officeDocument/2006/relationships/hyperlink" Target="#'10 EVIDENCE &amp; DECISIONS'!A145" TargetMode="External" Id="rId40"/><Relationship Type="http://schemas.openxmlformats.org/officeDocument/2006/relationships/hyperlink" Target="#'10 EVIDENCE &amp; DECISIONS'!A146" TargetMode="External" Id="rId41"/><Relationship Type="http://schemas.openxmlformats.org/officeDocument/2006/relationships/hyperlink" Target="#'10 EVIDENCE &amp; DECISIONS'!A147" TargetMode="External" Id="rId42"/><Relationship Type="http://schemas.openxmlformats.org/officeDocument/2006/relationships/hyperlink" Target="#'10 EVIDENCE &amp; DECISIONS'!A148" TargetMode="External" Id="rId43"/><Relationship Type="http://schemas.openxmlformats.org/officeDocument/2006/relationships/hyperlink" Target="#'10 EVIDENCE &amp; DECISIONS'!A149" TargetMode="External" Id="rId44"/><Relationship Type="http://schemas.openxmlformats.org/officeDocument/2006/relationships/hyperlink" Target="#'10 EVIDENCE &amp; DECISIONS'!A150" TargetMode="External" Id="rId45"/><Relationship Type="http://schemas.openxmlformats.org/officeDocument/2006/relationships/hyperlink" Target="#'10 EVIDENCE &amp; DECISIONS'!A151" TargetMode="External" Id="rId46"/><Relationship Type="http://schemas.openxmlformats.org/officeDocument/2006/relationships/hyperlink" Target="#'10 EVIDENCE &amp; DECISIONS'!A152" TargetMode="External" Id="rId47"/><Relationship Type="http://schemas.openxmlformats.org/officeDocument/2006/relationships/hyperlink" Target="#'10 EVIDENCE &amp; DECISIONS'!A153" TargetMode="External" Id="rId48"/><Relationship Type="http://schemas.openxmlformats.org/officeDocument/2006/relationships/hyperlink" Target="#'10 EVIDENCE &amp; DECISIONS'!A154" TargetMode="External" Id="rId49"/><Relationship Type="http://schemas.openxmlformats.org/officeDocument/2006/relationships/hyperlink" Target="#'10 EVIDENCE &amp; DECISIONS'!A90" TargetMode="External" Id="rId50"/><Relationship Type="http://schemas.openxmlformats.org/officeDocument/2006/relationships/hyperlink" Target="#'10 EVIDENCE &amp; DECISIONS'!A155" TargetMode="External" Id="rId51"/><Relationship Type="http://schemas.openxmlformats.org/officeDocument/2006/relationships/hyperlink" Target="#'10 EVIDENCE &amp; DECISIONS'!A156" TargetMode="External" Id="rId52"/><Relationship Type="http://schemas.openxmlformats.org/officeDocument/2006/relationships/hyperlink" Target="#'10 EVIDENCE &amp; DECISIONS'!A157" TargetMode="External" Id="rId53"/><Relationship Type="http://schemas.openxmlformats.org/officeDocument/2006/relationships/hyperlink" Target="#'10 EVIDENCE &amp; DECISIONS'!A158" TargetMode="External" Id="rId54"/><Relationship Type="http://schemas.openxmlformats.org/officeDocument/2006/relationships/hyperlink" Target="#'10 EVIDENCE &amp; DECISIONS'!A159" TargetMode="External" Id="rId55"/><Relationship Type="http://schemas.openxmlformats.org/officeDocument/2006/relationships/hyperlink" Target="#'10 EVIDENCE &amp; DECISIONS'!A91" TargetMode="External" Id="rId56"/><Relationship Type="http://schemas.openxmlformats.org/officeDocument/2006/relationships/hyperlink" Target="#'10 EVIDENCE &amp; DECISIONS'!A160" TargetMode="External" Id="rId57"/><Relationship Type="http://schemas.openxmlformats.org/officeDocument/2006/relationships/hyperlink" Target="#'10 EVIDENCE &amp; DECISIONS'!A161" TargetMode="External" Id="rId58"/><Relationship Type="http://schemas.openxmlformats.org/officeDocument/2006/relationships/hyperlink" Target="#'10 EVIDENCE &amp; DECISIONS'!A162" TargetMode="External" Id="rId59"/><Relationship Type="http://schemas.openxmlformats.org/officeDocument/2006/relationships/hyperlink" Target="#'10 EVIDENCE &amp; DECISIONS'!A163" TargetMode="External" Id="rId60"/><Relationship Type="http://schemas.openxmlformats.org/officeDocument/2006/relationships/hyperlink" Target="#'10 EVIDENCE &amp; DECISIONS'!A164" TargetMode="External" Id="rId61"/><Relationship Type="http://schemas.openxmlformats.org/officeDocument/2006/relationships/hyperlink" Target="#'10 EVIDENCE &amp; DECISIONS'!A165" TargetMode="External" Id="rId62"/><Relationship Type="http://schemas.openxmlformats.org/officeDocument/2006/relationships/hyperlink" Target="#'10 EVIDENCE &amp; DECISIONS'!A166" TargetMode="External" Id="rId63"/><Relationship Type="http://schemas.openxmlformats.org/officeDocument/2006/relationships/hyperlink" Target="#'10 EVIDENCE &amp; DECISIONS'!A167" TargetMode="External" Id="rId64"/><Relationship Type="http://schemas.openxmlformats.org/officeDocument/2006/relationships/hyperlink" Target="#'10 EVIDENCE &amp; DECISIONS'!A168" TargetMode="External" Id="rId65"/><Relationship Type="http://schemas.openxmlformats.org/officeDocument/2006/relationships/hyperlink" Target="#'10 EVIDENCE &amp; DECISIONS'!A169" TargetMode="External" Id="rId66"/><Relationship Type="http://schemas.openxmlformats.org/officeDocument/2006/relationships/hyperlink" Target="#'10 EVIDENCE &amp; DECISIONS'!A92" TargetMode="External" Id="rId67"/><Relationship Type="http://schemas.openxmlformats.org/officeDocument/2006/relationships/hyperlink" Target="#'10 EVIDENCE &amp; DECISIONS'!A170" TargetMode="External" Id="rId68"/><Relationship Type="http://schemas.openxmlformats.org/officeDocument/2006/relationships/hyperlink" Target="#'10 EVIDENCE &amp; DECISIONS'!A171" TargetMode="External" Id="rId69"/><Relationship Type="http://schemas.openxmlformats.org/officeDocument/2006/relationships/hyperlink" Target="#'10 EVIDENCE &amp; DECISIONS'!A172" TargetMode="External" Id="rId70"/><Relationship Type="http://schemas.openxmlformats.org/officeDocument/2006/relationships/hyperlink" Target="#'10 EVIDENCE &amp; DECISIONS'!A173" TargetMode="External" Id="rId71"/><Relationship Type="http://schemas.openxmlformats.org/officeDocument/2006/relationships/hyperlink" Target="#'10 EVIDENCE &amp; DECISIONS'!A174" TargetMode="External" Id="rId72"/><Relationship Type="http://schemas.openxmlformats.org/officeDocument/2006/relationships/hyperlink" Target="#'10 EVIDENCE &amp; DECISIONS'!A93" TargetMode="External" Id="rId73"/><Relationship Type="http://schemas.openxmlformats.org/officeDocument/2006/relationships/hyperlink" Target="#'10 EVIDENCE &amp; DECISIONS'!A175" TargetMode="External" Id="rId74"/><Relationship Type="http://schemas.openxmlformats.org/officeDocument/2006/relationships/hyperlink" Target="#'10 EVIDENCE &amp; DECISIONS'!A94" TargetMode="External" Id="rId75"/><Relationship Type="http://schemas.openxmlformats.org/officeDocument/2006/relationships/hyperlink" Target="#'10 EVIDENCE &amp; DECISIONS'!A95" TargetMode="External" Id="rId76"/><Relationship Type="http://schemas.openxmlformats.org/officeDocument/2006/relationships/hyperlink" Target="#'10 EVIDENCE &amp; DECISIONS'!A96" TargetMode="External" Id="rId77"/><Relationship Type="http://schemas.openxmlformats.org/officeDocument/2006/relationships/hyperlink" Target="#'10 EVIDENCE &amp; DECISIONS'!A97" TargetMode="External" Id="rId78"/><Relationship Type="http://schemas.openxmlformats.org/officeDocument/2006/relationships/hyperlink" Target="#'10 EVIDENCE &amp; DECISIONS'!A98" TargetMode="External" Id="rId79"/><Relationship Type="http://schemas.openxmlformats.org/officeDocument/2006/relationships/hyperlink" Target="#'10 EVIDENCE &amp; DECISIONS'!A99" TargetMode="External" Id="rId80"/><Relationship Type="http://schemas.openxmlformats.org/officeDocument/2006/relationships/hyperlink" Target="#'10 EVIDENCE &amp; DECISIONS'!A100" TargetMode="External" Id="rId81"/><Relationship Type="http://schemas.openxmlformats.org/officeDocument/2006/relationships/hyperlink" Target="#'10 EVIDENCE &amp; DECISIONS'!A101" TargetMode="External" Id="rId82"/><Relationship Type="http://schemas.openxmlformats.org/officeDocument/2006/relationships/hyperlink" Target="#'10 EVIDENCE &amp; DECISIONS'!A24" TargetMode="External" Id="rId83"/><Relationship Type="http://schemas.openxmlformats.org/officeDocument/2006/relationships/hyperlink" Target="#'10 EVIDENCE &amp; DECISIONS'!A102" TargetMode="External" Id="rId84"/><Relationship Type="http://schemas.openxmlformats.org/officeDocument/2006/relationships/hyperlink" Target="#'10 EVIDENCE &amp; DECISIONS'!A103" TargetMode="External" Id="rId85"/><Relationship Type="http://schemas.openxmlformats.org/officeDocument/2006/relationships/hyperlink" Target="#'10 EVIDENCE &amp; DECISIONS'!A104" TargetMode="External" Id="rId86"/><Relationship Type="http://schemas.openxmlformats.org/officeDocument/2006/relationships/hyperlink" Target="#'10 EVIDENCE &amp; DECISIONS'!A105" TargetMode="External" Id="rId87"/><Relationship Type="http://schemas.openxmlformats.org/officeDocument/2006/relationships/hyperlink" Target="#'10 EVIDENCE &amp; DECISIONS'!A106" TargetMode="External" Id="rId88"/><Relationship Type="http://schemas.openxmlformats.org/officeDocument/2006/relationships/hyperlink" Target="#'10 EVIDENCE &amp; DECISIONS'!A107" TargetMode="External" Id="rId89"/><Relationship Type="http://schemas.openxmlformats.org/officeDocument/2006/relationships/hyperlink" Target="#'10 EVIDENCE &amp; DECISIONS'!A108" TargetMode="External" Id="rId90"/><Relationship Type="http://schemas.openxmlformats.org/officeDocument/2006/relationships/hyperlink" Target="#'10 EVIDENCE &amp; DECISIONS'!A25" TargetMode="External" Id="rId91"/><Relationship Type="http://schemas.openxmlformats.org/officeDocument/2006/relationships/hyperlink" Target="#'10 EVIDENCE &amp; DECISIONS'!A109" TargetMode="External" Id="rId92"/><Relationship Type="http://schemas.openxmlformats.org/officeDocument/2006/relationships/hyperlink" Target="#'10 EVIDENCE &amp; DECISIONS'!A110" TargetMode="External" Id="rId93"/><Relationship Type="http://schemas.openxmlformats.org/officeDocument/2006/relationships/hyperlink" Target="#'10 EVIDENCE &amp; DECISIONS'!A111" TargetMode="External" Id="rId94"/><Relationship Type="http://schemas.openxmlformats.org/officeDocument/2006/relationships/hyperlink" Target="#'10 EVIDENCE &amp; DECISIONS'!A112" TargetMode="External" Id="rId95"/><Relationship Type="http://schemas.openxmlformats.org/officeDocument/2006/relationships/hyperlink" Target="#'10 EVIDENCE &amp; DECISIONS'!A113" TargetMode="External" Id="rId96"/><Relationship Type="http://schemas.openxmlformats.org/officeDocument/2006/relationships/hyperlink" Target="#'10 EVIDENCE &amp; DECISIONS'!A114" TargetMode="External" Id="rId97"/><Relationship Type="http://schemas.openxmlformats.org/officeDocument/2006/relationships/hyperlink" Target="#'10 EVIDENCE &amp; DECISIONS'!A115" TargetMode="External" Id="rId98"/><Relationship Type="http://schemas.openxmlformats.org/officeDocument/2006/relationships/hyperlink" Target="#'10 EVIDENCE &amp; DECISIONS'!A116" TargetMode="External" Id="rId99"/><Relationship Type="http://schemas.openxmlformats.org/officeDocument/2006/relationships/hyperlink" Target="#'10 EVIDENCE &amp; DECISIONS'!A117" TargetMode="External" Id="rId100"/><Relationship Type="http://schemas.openxmlformats.org/officeDocument/2006/relationships/hyperlink" Target="#'10 EVIDENCE &amp; DECISIONS'!A118" TargetMode="External" Id="rId101"/><Relationship Type="http://schemas.openxmlformats.org/officeDocument/2006/relationships/hyperlink" Target="#'10 EVIDENCE &amp; DECISIONS'!A119" TargetMode="External" Id="rId102"/><Relationship Type="http://schemas.openxmlformats.org/officeDocument/2006/relationships/hyperlink" Target="#'10 EVIDENCE &amp; DECISIONS'!A120" TargetMode="External" Id="rId103"/><Relationship Type="http://schemas.openxmlformats.org/officeDocument/2006/relationships/hyperlink" Target="#'10 EVIDENCE &amp; DECISIONS'!A121" TargetMode="External" Id="rId104"/><Relationship Type="http://schemas.openxmlformats.org/officeDocument/2006/relationships/hyperlink" Target="#'10 EVIDENCE &amp; DECISIONS'!A26" TargetMode="External" Id="rId105"/><Relationship Type="http://schemas.openxmlformats.org/officeDocument/2006/relationships/hyperlink" Target="#'10 EVIDENCE &amp; DECISIONS'!A122" TargetMode="External" Id="rId106"/><Relationship Type="http://schemas.openxmlformats.org/officeDocument/2006/relationships/hyperlink" Target="#'10 EVIDENCE &amp; DECISIONS'!A123" TargetMode="External" Id="rId107"/><Relationship Type="http://schemas.openxmlformats.org/officeDocument/2006/relationships/hyperlink" Target="#'10 EVIDENCE &amp; DECISIONS'!A124" TargetMode="External" Id="rId108"/><Relationship Type="http://schemas.openxmlformats.org/officeDocument/2006/relationships/hyperlink" Target="#'10 EVIDENCE &amp; DECISIONS'!A125" TargetMode="External" Id="rId109"/><Relationship Type="http://schemas.openxmlformats.org/officeDocument/2006/relationships/hyperlink" Target="#'10 EVIDENCE &amp; DECISIONS'!A126" TargetMode="External" Id="rId110"/><Relationship Type="http://schemas.openxmlformats.org/officeDocument/2006/relationships/hyperlink" Target="#'10 EVIDENCE &amp; DECISIONS'!A127" TargetMode="External" Id="rId111"/><Relationship Type="http://schemas.openxmlformats.org/officeDocument/2006/relationships/hyperlink" Target="#'10 EVIDENCE &amp; DECISIONS'!A128" TargetMode="External" Id="rId112"/><Relationship Type="http://schemas.openxmlformats.org/officeDocument/2006/relationships/hyperlink" Target="#'10 EVIDENCE &amp; DECISIONS'!A27" TargetMode="External" Id="rId113"/><Relationship Type="http://schemas.openxmlformats.org/officeDocument/2006/relationships/hyperlink" Target="#'10 EVIDENCE &amp; DECISIONS'!A129" TargetMode="External" Id="rId114"/><Relationship Type="http://schemas.openxmlformats.org/officeDocument/2006/relationships/hyperlink" Target="#'10 EVIDENCE &amp; DECISIONS'!A130" TargetMode="External" Id="rId115"/><Relationship Type="http://schemas.openxmlformats.org/officeDocument/2006/relationships/hyperlink" Target="#'10 EVIDENCE &amp; DECISIONS'!A131" TargetMode="External" Id="rId116"/><Relationship Type="http://schemas.openxmlformats.org/officeDocument/2006/relationships/hyperlink" Target="#'10 EVIDENCE &amp; DECISIONS'!A132" TargetMode="External" Id="rId117"/><Relationship Type="http://schemas.openxmlformats.org/officeDocument/2006/relationships/hyperlink" Target="#'10 EVIDENCE &amp; DECISIONS'!A133" TargetMode="External" Id="rId118"/><Relationship Type="http://schemas.openxmlformats.org/officeDocument/2006/relationships/hyperlink" Target="#'10 EVIDENCE &amp; DECISIONS'!A134" TargetMode="External" Id="rId119"/><Relationship Type="http://schemas.openxmlformats.org/officeDocument/2006/relationships/hyperlink" Target="#'10 EVIDENCE &amp; DECISIONS'!A135" TargetMode="External" Id="rId120"/><Relationship Type="http://schemas.openxmlformats.org/officeDocument/2006/relationships/hyperlink" Target="#'10 EVIDENCE &amp; DECISIONS'!A28" TargetMode="External" Id="rId121"/><Relationship Type="http://schemas.openxmlformats.org/officeDocument/2006/relationships/hyperlink" Target="#'10 EVIDENCE &amp; DECISIONS'!A17" TargetMode="External" Id="rId122"/><Relationship Type="http://schemas.openxmlformats.org/officeDocument/2006/relationships/hyperlink" Target="#'10 EVIDENCE &amp; DECISIONS'!A29" TargetMode="External" Id="rId123"/><Relationship Type="http://schemas.openxmlformats.org/officeDocument/2006/relationships/hyperlink" Target="#'10 EVIDENCE &amp; DECISIONS'!A30" TargetMode="External" Id="rId124"/><Relationship Type="http://schemas.openxmlformats.org/officeDocument/2006/relationships/hyperlink" Target="#'10 EVIDENCE &amp; DECISIONS'!A31" TargetMode="External" Id="rId125"/><Relationship Type="http://schemas.openxmlformats.org/officeDocument/2006/relationships/hyperlink" Target="#'10 EVIDENCE &amp; DECISIONS'!A32" TargetMode="External" Id="rId126"/><Relationship Type="http://schemas.openxmlformats.org/officeDocument/2006/relationships/hyperlink" Target="#'10 EVIDENCE &amp; DECISIONS'!A33" TargetMode="External" Id="rId127"/><Relationship Type="http://schemas.openxmlformats.org/officeDocument/2006/relationships/hyperlink" Target="#'10 EVIDENCE &amp; DECISIONS'!A34" TargetMode="External" Id="rId128"/><Relationship Type="http://schemas.openxmlformats.org/officeDocument/2006/relationships/hyperlink" Target="#'10 EVIDENCE &amp; DECISIONS'!A35" TargetMode="External" Id="rId129"/><Relationship Type="http://schemas.openxmlformats.org/officeDocument/2006/relationships/hyperlink" Target="#'10 EVIDENCE &amp; DECISIONS'!A36" TargetMode="External" Id="rId130"/><Relationship Type="http://schemas.openxmlformats.org/officeDocument/2006/relationships/hyperlink" Target="#'10 EVIDENCE &amp; DECISIONS'!A37" TargetMode="External" Id="rId131"/><Relationship Type="http://schemas.openxmlformats.org/officeDocument/2006/relationships/hyperlink" Target="#'10 EVIDENCE &amp; DECISIONS'!A38" TargetMode="External" Id="rId132"/><Relationship Type="http://schemas.openxmlformats.org/officeDocument/2006/relationships/hyperlink" Target="#'10 EVIDENCE &amp; DECISIONS'!A39" TargetMode="External" Id="rId133"/><Relationship Type="http://schemas.openxmlformats.org/officeDocument/2006/relationships/hyperlink" Target="#'10 EVIDENCE &amp; DECISIONS'!A40" TargetMode="External" Id="rId134"/><Relationship Type="http://schemas.openxmlformats.org/officeDocument/2006/relationships/hyperlink" Target="#'10 EVIDENCE &amp; DECISIONS'!A41" TargetMode="External" Id="rId135"/><Relationship Type="http://schemas.openxmlformats.org/officeDocument/2006/relationships/hyperlink" Target="#'10 EVIDENCE &amp; DECISIONS'!A18" TargetMode="External" Id="rId136"/><Relationship Type="http://schemas.openxmlformats.org/officeDocument/2006/relationships/hyperlink" Target="#'10 EVIDENCE &amp; DECISIONS'!A42" TargetMode="External" Id="rId137"/><Relationship Type="http://schemas.openxmlformats.org/officeDocument/2006/relationships/hyperlink" Target="#'10 EVIDENCE &amp; DECISIONS'!A43" TargetMode="External" Id="rId138"/><Relationship Type="http://schemas.openxmlformats.org/officeDocument/2006/relationships/hyperlink" Target="#'10 EVIDENCE &amp; DECISIONS'!A44" TargetMode="External" Id="rId139"/><Relationship Type="http://schemas.openxmlformats.org/officeDocument/2006/relationships/hyperlink" Target="#'10 EVIDENCE &amp; DECISIONS'!A45" TargetMode="External" Id="rId140"/><Relationship Type="http://schemas.openxmlformats.org/officeDocument/2006/relationships/hyperlink" Target="#'10 EVIDENCE &amp; DECISIONS'!A46" TargetMode="External" Id="rId141"/><Relationship Type="http://schemas.openxmlformats.org/officeDocument/2006/relationships/hyperlink" Target="#'10 EVIDENCE &amp; DECISIONS'!A47" TargetMode="External" Id="rId142"/><Relationship Type="http://schemas.openxmlformats.org/officeDocument/2006/relationships/hyperlink" Target="#'10 EVIDENCE &amp; DECISIONS'!A48" TargetMode="External" Id="rId143"/><Relationship Type="http://schemas.openxmlformats.org/officeDocument/2006/relationships/hyperlink" Target="#'10 EVIDENCE &amp; DECISIONS'!A19" TargetMode="External" Id="rId144"/><Relationship Type="http://schemas.openxmlformats.org/officeDocument/2006/relationships/hyperlink" Target="#'10 EVIDENCE &amp; DECISIONS'!A49" TargetMode="External" Id="rId145"/><Relationship Type="http://schemas.openxmlformats.org/officeDocument/2006/relationships/hyperlink" Target="#'10 EVIDENCE &amp; DECISIONS'!A50" TargetMode="External" Id="rId146"/><Relationship Type="http://schemas.openxmlformats.org/officeDocument/2006/relationships/hyperlink" Target="#'10 EVIDENCE &amp; DECISIONS'!A51" TargetMode="External" Id="rId147"/><Relationship Type="http://schemas.openxmlformats.org/officeDocument/2006/relationships/hyperlink" Target="#'10 EVIDENCE &amp; DECISIONS'!A52" TargetMode="External" Id="rId148"/><Relationship Type="http://schemas.openxmlformats.org/officeDocument/2006/relationships/hyperlink" Target="#'10 EVIDENCE &amp; DECISIONS'!A53" TargetMode="External" Id="rId149"/><Relationship Type="http://schemas.openxmlformats.org/officeDocument/2006/relationships/hyperlink" Target="#'10 EVIDENCE &amp; DECISIONS'!A54" TargetMode="External" Id="rId150"/><Relationship Type="http://schemas.openxmlformats.org/officeDocument/2006/relationships/hyperlink" Target="#'10 EVIDENCE &amp; DECISIONS'!A55" TargetMode="External" Id="rId151"/><Relationship Type="http://schemas.openxmlformats.org/officeDocument/2006/relationships/hyperlink" Target="#'10 EVIDENCE &amp; DECISIONS'!A56" TargetMode="External" Id="rId152"/><Relationship Type="http://schemas.openxmlformats.org/officeDocument/2006/relationships/hyperlink" Target="#'10 EVIDENCE &amp; DECISIONS'!A57" TargetMode="External" Id="rId153"/><Relationship Type="http://schemas.openxmlformats.org/officeDocument/2006/relationships/hyperlink" Target="#'10 EVIDENCE &amp; DECISIONS'!A58" TargetMode="External" Id="rId154"/><Relationship Type="http://schemas.openxmlformats.org/officeDocument/2006/relationships/hyperlink" Target="#'10 EVIDENCE &amp; DECISIONS'!A59" TargetMode="External" Id="rId155"/><Relationship Type="http://schemas.openxmlformats.org/officeDocument/2006/relationships/hyperlink" Target="#'10 EVIDENCE &amp; DECISIONS'!A60" TargetMode="External" Id="rId156"/><Relationship Type="http://schemas.openxmlformats.org/officeDocument/2006/relationships/hyperlink" Target="#'10 EVIDENCE &amp; DECISIONS'!A61" TargetMode="External" Id="rId157"/><Relationship Type="http://schemas.openxmlformats.org/officeDocument/2006/relationships/hyperlink" Target="#'10 EVIDENCE &amp; DECISIONS'!A20" TargetMode="External" Id="rId158"/><Relationship Type="http://schemas.openxmlformats.org/officeDocument/2006/relationships/hyperlink" Target="#'10 EVIDENCE &amp; DECISIONS'!A62" TargetMode="External" Id="rId159"/><Relationship Type="http://schemas.openxmlformats.org/officeDocument/2006/relationships/hyperlink" Target="#'10 EVIDENCE &amp; DECISIONS'!A63" TargetMode="External" Id="rId160"/><Relationship Type="http://schemas.openxmlformats.org/officeDocument/2006/relationships/hyperlink" Target="#'10 EVIDENCE &amp; DECISIONS'!A64" TargetMode="External" Id="rId161"/><Relationship Type="http://schemas.openxmlformats.org/officeDocument/2006/relationships/hyperlink" Target="#'10 EVIDENCE &amp; DECISIONS'!A65" TargetMode="External" Id="rId162"/><Relationship Type="http://schemas.openxmlformats.org/officeDocument/2006/relationships/hyperlink" Target="#'10 EVIDENCE &amp; DECISIONS'!A66" TargetMode="External" Id="rId163"/><Relationship Type="http://schemas.openxmlformats.org/officeDocument/2006/relationships/hyperlink" Target="#'10 EVIDENCE &amp; DECISIONS'!A67" TargetMode="External" Id="rId164"/><Relationship Type="http://schemas.openxmlformats.org/officeDocument/2006/relationships/hyperlink" Target="#'10 EVIDENCE &amp; DECISIONS'!A68" TargetMode="External" Id="rId165"/><Relationship Type="http://schemas.openxmlformats.org/officeDocument/2006/relationships/hyperlink" Target="#'10 EVIDENCE &amp; DECISIONS'!A21" TargetMode="External" Id="rId166"/><Relationship Type="http://schemas.openxmlformats.org/officeDocument/2006/relationships/hyperlink" Target="#'10 EVIDENCE &amp; DECISIONS'!A69" TargetMode="External" Id="rId167"/><Relationship Type="http://schemas.openxmlformats.org/officeDocument/2006/relationships/hyperlink" Target="#'10 EVIDENCE &amp; DECISIONS'!A70" TargetMode="External" Id="rId168"/><Relationship Type="http://schemas.openxmlformats.org/officeDocument/2006/relationships/hyperlink" Target="#'10 EVIDENCE &amp; DECISIONS'!A71" TargetMode="External" Id="rId169"/><Relationship Type="http://schemas.openxmlformats.org/officeDocument/2006/relationships/hyperlink" Target="#'10 EVIDENCE &amp; DECISIONS'!A72" TargetMode="External" Id="rId170"/><Relationship Type="http://schemas.openxmlformats.org/officeDocument/2006/relationships/hyperlink" Target="#'10 EVIDENCE &amp; DECISIONS'!A73" TargetMode="External" Id="rId171"/><Relationship Type="http://schemas.openxmlformats.org/officeDocument/2006/relationships/hyperlink" Target="#'10 EVIDENCE &amp; DECISIONS'!A74" TargetMode="External" Id="rId172"/><Relationship Type="http://schemas.openxmlformats.org/officeDocument/2006/relationships/hyperlink" Target="#'10 EVIDENCE &amp; DECISIONS'!A75" TargetMode="External" Id="rId173"/><Relationship Type="http://schemas.openxmlformats.org/officeDocument/2006/relationships/hyperlink" Target="#'10 EVIDENCE &amp; DECISIONS'!A76" TargetMode="External" Id="rId174"/><Relationship Type="http://schemas.openxmlformats.org/officeDocument/2006/relationships/hyperlink" Target="#'10 EVIDENCE &amp; DECISIONS'!A77" TargetMode="External" Id="rId175"/><Relationship Type="http://schemas.openxmlformats.org/officeDocument/2006/relationships/hyperlink" Target="#'10 EVIDENCE &amp; DECISIONS'!A78" TargetMode="External" Id="rId176"/><Relationship Type="http://schemas.openxmlformats.org/officeDocument/2006/relationships/hyperlink" Target="#'10 EVIDENCE &amp; DECISIONS'!A79" TargetMode="External" Id="rId177"/><Relationship Type="http://schemas.openxmlformats.org/officeDocument/2006/relationships/hyperlink" Target="#'10 EVIDENCE &amp; DECISIONS'!A80" TargetMode="External" Id="rId178"/><Relationship Type="http://schemas.openxmlformats.org/officeDocument/2006/relationships/hyperlink" Target="#'10 EVIDENCE &amp; DECISIONS'!A81" TargetMode="External" Id="rId179"/><Relationship Type="http://schemas.openxmlformats.org/officeDocument/2006/relationships/hyperlink" Target="#'10 EVIDENCE &amp; DECISIONS'!A209" TargetMode="External" Id="rId180"/><Relationship Type="http://schemas.openxmlformats.org/officeDocument/2006/relationships/hyperlink" Target="#'10 EVIDENCE &amp; DECISIONS'!A210" TargetMode="External" Id="rId181"/><Relationship Type="http://schemas.openxmlformats.org/officeDocument/2006/relationships/hyperlink" Target="#'10 EVIDENCE &amp; DECISIONS'!A211" TargetMode="External" Id="rId182"/><Relationship Type="http://schemas.openxmlformats.org/officeDocument/2006/relationships/hyperlink" Target="#'10 EVIDENCE &amp; DECISIONS'!A236" TargetMode="External" Id="rId183"/><Relationship Type="http://schemas.openxmlformats.org/officeDocument/2006/relationships/hyperlink" Target="#'10 EVIDENCE &amp; DECISIONS'!A237" TargetMode="External" Id="rId184"/><Relationship Type="http://schemas.openxmlformats.org/officeDocument/2006/relationships/hyperlink" Target="#'10 EVIDENCE &amp; DECISIONS'!A238" TargetMode="External" Id="rId185"/><Relationship Type="http://schemas.openxmlformats.org/officeDocument/2006/relationships/hyperlink" Target="#'10 EVIDENCE &amp; DECISIONS'!A239" TargetMode="External" Id="rId186"/><Relationship Type="http://schemas.openxmlformats.org/officeDocument/2006/relationships/hyperlink" Target="#'10 EVIDENCE &amp; DECISIONS'!A240" TargetMode="External" Id="rId187"/><Relationship Type="http://schemas.openxmlformats.org/officeDocument/2006/relationships/hyperlink" Target="#'10 EVIDENCE &amp; DECISIONS'!A241" TargetMode="External" Id="rId188"/><Relationship Type="http://schemas.openxmlformats.org/officeDocument/2006/relationships/hyperlink" Target="#'10 EVIDENCE &amp; DECISIONS'!A242" TargetMode="External" Id="rId189"/><Relationship Type="http://schemas.openxmlformats.org/officeDocument/2006/relationships/hyperlink" Target="#'10 EVIDENCE &amp; DECISIONS'!A243" TargetMode="External" Id="rId190"/><Relationship Type="http://schemas.openxmlformats.org/officeDocument/2006/relationships/hyperlink" Target="#'10 EVIDENCE &amp; DECISIONS'!A244" TargetMode="External" Id="rId191"/><Relationship Type="http://schemas.openxmlformats.org/officeDocument/2006/relationships/hyperlink" Target="#'10 EVIDENCE &amp; DECISIONS'!A245" TargetMode="External" Id="rId192"/><Relationship Type="http://schemas.openxmlformats.org/officeDocument/2006/relationships/hyperlink" Target="#'10 EVIDENCE &amp; DECISIONS'!A246" TargetMode="External" Id="rId193"/><Relationship Type="http://schemas.openxmlformats.org/officeDocument/2006/relationships/hyperlink" Target="#'10 EVIDENCE &amp; DECISIONS'!A247" TargetMode="External" Id="rId194"/><Relationship Type="http://schemas.openxmlformats.org/officeDocument/2006/relationships/hyperlink" Target="#'10 EVIDENCE &amp; DECISIONS'!A248" TargetMode="External" Id="rId195"/><Relationship Type="http://schemas.openxmlformats.org/officeDocument/2006/relationships/hyperlink" Target="#'10 EVIDENCE &amp; DECISIONS'!A212" TargetMode="External" Id="rId196"/><Relationship Type="http://schemas.openxmlformats.org/officeDocument/2006/relationships/hyperlink" Target="#'10 EVIDENCE &amp; DECISIONS'!A249" TargetMode="External" Id="rId197"/><Relationship Type="http://schemas.openxmlformats.org/officeDocument/2006/relationships/hyperlink" Target="#'10 EVIDENCE &amp; DECISIONS'!A250" TargetMode="External" Id="rId198"/><Relationship Type="http://schemas.openxmlformats.org/officeDocument/2006/relationships/hyperlink" Target="#'10 EVIDENCE &amp; DECISIONS'!A251" TargetMode="External" Id="rId199"/><Relationship Type="http://schemas.openxmlformats.org/officeDocument/2006/relationships/hyperlink" Target="#'10 EVIDENCE &amp; DECISIONS'!A252" TargetMode="External" Id="rId200"/><Relationship Type="http://schemas.openxmlformats.org/officeDocument/2006/relationships/hyperlink" Target="#'10 EVIDENCE &amp; DECISIONS'!A253" TargetMode="External" Id="rId201"/><Relationship Type="http://schemas.openxmlformats.org/officeDocument/2006/relationships/hyperlink" Target="#'10 EVIDENCE &amp; DECISIONS'!A254" TargetMode="External" Id="rId202"/><Relationship Type="http://schemas.openxmlformats.org/officeDocument/2006/relationships/hyperlink" Target="#'10 EVIDENCE &amp; DECISIONS'!A255" TargetMode="External" Id="rId203"/><Relationship Type="http://schemas.openxmlformats.org/officeDocument/2006/relationships/hyperlink" Target="#'10 EVIDENCE &amp; DECISIONS'!A256" TargetMode="External" Id="rId204"/><Relationship Type="http://schemas.openxmlformats.org/officeDocument/2006/relationships/hyperlink" Target="#'10 EVIDENCE &amp; DECISIONS'!A257" TargetMode="External" Id="rId205"/><Relationship Type="http://schemas.openxmlformats.org/officeDocument/2006/relationships/hyperlink" Target="#'10 EVIDENCE &amp; DECISIONS'!A258" TargetMode="External" Id="rId206"/><Relationship Type="http://schemas.openxmlformats.org/officeDocument/2006/relationships/hyperlink" Target="#'10 EVIDENCE &amp; DECISIONS'!A259" TargetMode="External" Id="rId207"/><Relationship Type="http://schemas.openxmlformats.org/officeDocument/2006/relationships/hyperlink" Target="#'10 EVIDENCE &amp; DECISIONS'!A260" TargetMode="External" Id="rId208"/><Relationship Type="http://schemas.openxmlformats.org/officeDocument/2006/relationships/hyperlink" Target="#'10 EVIDENCE &amp; DECISIONS'!A261" TargetMode="External" Id="rId209"/><Relationship Type="http://schemas.openxmlformats.org/officeDocument/2006/relationships/hyperlink" Target="#'10 EVIDENCE &amp; DECISIONS'!A262" TargetMode="External" Id="rId210"/><Relationship Type="http://schemas.openxmlformats.org/officeDocument/2006/relationships/hyperlink" Target="#'10 EVIDENCE &amp; DECISIONS'!A263" TargetMode="External" Id="rId211"/><Relationship Type="http://schemas.openxmlformats.org/officeDocument/2006/relationships/hyperlink" Target="#'10 EVIDENCE &amp; DECISIONS'!A213" TargetMode="External" Id="rId212"/><Relationship Type="http://schemas.openxmlformats.org/officeDocument/2006/relationships/hyperlink" Target="#'10 EVIDENCE &amp; DECISIONS'!A264" TargetMode="External" Id="rId213"/><Relationship Type="http://schemas.openxmlformats.org/officeDocument/2006/relationships/hyperlink" Target="#'10 EVIDENCE &amp; DECISIONS'!A265" TargetMode="External" Id="rId214"/><Relationship Type="http://schemas.openxmlformats.org/officeDocument/2006/relationships/hyperlink" Target="#'10 EVIDENCE &amp; DECISIONS'!A266" TargetMode="External" Id="rId215"/><Relationship Type="http://schemas.openxmlformats.org/officeDocument/2006/relationships/hyperlink" Target="#'10 EVIDENCE &amp; DECISIONS'!A267" TargetMode="External" Id="rId216"/><Relationship Type="http://schemas.openxmlformats.org/officeDocument/2006/relationships/hyperlink" Target="#'10 EVIDENCE &amp; DECISIONS'!A268" TargetMode="External" Id="rId217"/><Relationship Type="http://schemas.openxmlformats.org/officeDocument/2006/relationships/hyperlink" Target="#'10 EVIDENCE &amp; DECISIONS'!A269" TargetMode="External" Id="rId218"/><Relationship Type="http://schemas.openxmlformats.org/officeDocument/2006/relationships/hyperlink" Target="#'10 EVIDENCE &amp; DECISIONS'!A270" TargetMode="External" Id="rId219"/><Relationship Type="http://schemas.openxmlformats.org/officeDocument/2006/relationships/hyperlink" Target="#'10 EVIDENCE &amp; DECISIONS'!A271" TargetMode="External" Id="rId220"/><Relationship Type="http://schemas.openxmlformats.org/officeDocument/2006/relationships/hyperlink" Target="#'10 EVIDENCE &amp; DECISIONS'!A272" TargetMode="External" Id="rId221"/><Relationship Type="http://schemas.openxmlformats.org/officeDocument/2006/relationships/hyperlink" Target="#'10 EVIDENCE &amp; DECISIONS'!A273" TargetMode="External" Id="rId222"/><Relationship Type="http://schemas.openxmlformats.org/officeDocument/2006/relationships/hyperlink" Target="#'10 EVIDENCE &amp; DECISIONS'!A274" TargetMode="External" Id="rId223"/><Relationship Type="http://schemas.openxmlformats.org/officeDocument/2006/relationships/hyperlink" Target="#'10 EVIDENCE &amp; DECISIONS'!A275" TargetMode="External" Id="rId224"/><Relationship Type="http://schemas.openxmlformats.org/officeDocument/2006/relationships/hyperlink" Target="#'10 EVIDENCE &amp; DECISIONS'!A214" TargetMode="External" Id="rId225"/><Relationship Type="http://schemas.openxmlformats.org/officeDocument/2006/relationships/hyperlink" Target="#'10 EVIDENCE &amp; DECISIONS'!A179" TargetMode="External" Id="rId226"/><Relationship Type="http://schemas.openxmlformats.org/officeDocument/2006/relationships/hyperlink" Target="#'10 EVIDENCE &amp; DECISIONS'!A215" TargetMode="External" Id="rId227"/><Relationship Type="http://schemas.openxmlformats.org/officeDocument/2006/relationships/hyperlink" Target="#'10 EVIDENCE &amp; DECISIONS'!A216" TargetMode="External" Id="rId228"/><Relationship Type="http://schemas.openxmlformats.org/officeDocument/2006/relationships/hyperlink" Target="#'10 EVIDENCE &amp; DECISIONS'!A217" TargetMode="External" Id="rId229"/><Relationship Type="http://schemas.openxmlformats.org/officeDocument/2006/relationships/hyperlink" Target="#'10 EVIDENCE &amp; DECISIONS'!A218" TargetMode="External" Id="rId230"/><Relationship Type="http://schemas.openxmlformats.org/officeDocument/2006/relationships/hyperlink" Target="#'10 EVIDENCE &amp; DECISIONS'!A219" TargetMode="External" Id="rId231"/><Relationship Type="http://schemas.openxmlformats.org/officeDocument/2006/relationships/hyperlink" Target="#'10 EVIDENCE &amp; DECISIONS'!A220" TargetMode="External" Id="rId232"/><Relationship Type="http://schemas.openxmlformats.org/officeDocument/2006/relationships/hyperlink" Target="#'10 EVIDENCE &amp; DECISIONS'!A221" TargetMode="External" Id="rId233"/><Relationship Type="http://schemas.openxmlformats.org/officeDocument/2006/relationships/hyperlink" Target="#'10 EVIDENCE &amp; DECISIONS'!A222" TargetMode="External" Id="rId234"/><Relationship Type="http://schemas.openxmlformats.org/officeDocument/2006/relationships/hyperlink" Target="#'10 EVIDENCE &amp; DECISIONS'!A223" TargetMode="External" Id="rId235"/><Relationship Type="http://schemas.openxmlformats.org/officeDocument/2006/relationships/hyperlink" Target="#'10 EVIDENCE &amp; DECISIONS'!A224" TargetMode="External" Id="rId236"/><Relationship Type="http://schemas.openxmlformats.org/officeDocument/2006/relationships/hyperlink" Target="#'10 EVIDENCE &amp; DECISIONS'!A180" TargetMode="External" Id="rId237"/><Relationship Type="http://schemas.openxmlformats.org/officeDocument/2006/relationships/hyperlink" Target="#'10 EVIDENCE &amp; DECISIONS'!A225" TargetMode="External" Id="rId238"/><Relationship Type="http://schemas.openxmlformats.org/officeDocument/2006/relationships/hyperlink" Target="#'10 EVIDENCE &amp; DECISIONS'!A226" TargetMode="External" Id="rId239"/><Relationship Type="http://schemas.openxmlformats.org/officeDocument/2006/relationships/hyperlink" Target="#'10 EVIDENCE &amp; DECISIONS'!A227" TargetMode="External" Id="rId240"/><Relationship Type="http://schemas.openxmlformats.org/officeDocument/2006/relationships/hyperlink" Target="#'10 EVIDENCE &amp; DECISIONS'!A228" TargetMode="External" Id="rId241"/><Relationship Type="http://schemas.openxmlformats.org/officeDocument/2006/relationships/hyperlink" Target="#'10 EVIDENCE &amp; DECISIONS'!A229" TargetMode="External" Id="rId242"/><Relationship Type="http://schemas.openxmlformats.org/officeDocument/2006/relationships/hyperlink" Target="#'10 EVIDENCE &amp; DECISIONS'!A230" TargetMode="External" Id="rId243"/><Relationship Type="http://schemas.openxmlformats.org/officeDocument/2006/relationships/hyperlink" Target="#'10 EVIDENCE &amp; DECISIONS'!A231" TargetMode="External" Id="rId244"/><Relationship Type="http://schemas.openxmlformats.org/officeDocument/2006/relationships/hyperlink" Target="#'10 EVIDENCE &amp; DECISIONS'!A232" TargetMode="External" Id="rId245"/><Relationship Type="http://schemas.openxmlformats.org/officeDocument/2006/relationships/hyperlink" Target="#'10 EVIDENCE &amp; DECISIONS'!A233" TargetMode="External" Id="rId246"/><Relationship Type="http://schemas.openxmlformats.org/officeDocument/2006/relationships/hyperlink" Target="#'10 EVIDENCE &amp; DECISIONS'!A234" TargetMode="External" Id="rId247"/><Relationship Type="http://schemas.openxmlformats.org/officeDocument/2006/relationships/hyperlink" Target="#'10 EVIDENCE &amp; DECISIONS'!A181" TargetMode="External" Id="rId248"/><Relationship Type="http://schemas.openxmlformats.org/officeDocument/2006/relationships/hyperlink" Target="#'10 EVIDENCE &amp; DECISIONS'!A235" TargetMode="External" Id="rId249"/><Relationship Type="http://schemas.openxmlformats.org/officeDocument/2006/relationships/hyperlink" Target="#'10 EVIDENCE &amp; DECISIONS'!A182" TargetMode="External" Id="rId250"/><Relationship Type="http://schemas.openxmlformats.org/officeDocument/2006/relationships/hyperlink" Target="#'10 EVIDENCE &amp; DECISIONS'!A183" TargetMode="External" Id="rId251"/><Relationship Type="http://schemas.openxmlformats.org/officeDocument/2006/relationships/hyperlink" Target="#'10 EVIDENCE &amp; DECISIONS'!A184" TargetMode="External" Id="rId252"/><Relationship Type="http://schemas.openxmlformats.org/officeDocument/2006/relationships/hyperlink" Target="#'10 EVIDENCE &amp; DECISIONS'!A176" TargetMode="External" Id="rId253"/><Relationship Type="http://schemas.openxmlformats.org/officeDocument/2006/relationships/hyperlink" Target="#'10 EVIDENCE &amp; DECISIONS'!A185" TargetMode="External" Id="rId254"/><Relationship Type="http://schemas.openxmlformats.org/officeDocument/2006/relationships/hyperlink" Target="#'10 EVIDENCE &amp; DECISIONS'!A186" TargetMode="External" Id="rId255"/><Relationship Type="http://schemas.openxmlformats.org/officeDocument/2006/relationships/hyperlink" Target="#'10 EVIDENCE &amp; DECISIONS'!A187" TargetMode="External" Id="rId256"/><Relationship Type="http://schemas.openxmlformats.org/officeDocument/2006/relationships/hyperlink" Target="#'10 EVIDENCE &amp; DECISIONS'!A188" TargetMode="External" Id="rId257"/><Relationship Type="http://schemas.openxmlformats.org/officeDocument/2006/relationships/hyperlink" Target="#'10 EVIDENCE &amp; DECISIONS'!A189" TargetMode="External" Id="rId258"/><Relationship Type="http://schemas.openxmlformats.org/officeDocument/2006/relationships/hyperlink" Target="#'10 EVIDENCE &amp; DECISIONS'!A190" TargetMode="External" Id="rId259"/><Relationship Type="http://schemas.openxmlformats.org/officeDocument/2006/relationships/hyperlink" Target="#'10 EVIDENCE &amp; DECISIONS'!A191" TargetMode="External" Id="rId260"/><Relationship Type="http://schemas.openxmlformats.org/officeDocument/2006/relationships/hyperlink" Target="#'10 EVIDENCE &amp; DECISIONS'!A192" TargetMode="External" Id="rId261"/><Relationship Type="http://schemas.openxmlformats.org/officeDocument/2006/relationships/hyperlink" Target="#'10 EVIDENCE &amp; DECISIONS'!A193" TargetMode="External" Id="rId262"/><Relationship Type="http://schemas.openxmlformats.org/officeDocument/2006/relationships/hyperlink" Target="#'10 EVIDENCE &amp; DECISIONS'!A194" TargetMode="External" Id="rId263"/><Relationship Type="http://schemas.openxmlformats.org/officeDocument/2006/relationships/hyperlink" Target="#'10 EVIDENCE &amp; DECISIONS'!A177" TargetMode="External" Id="rId264"/><Relationship Type="http://schemas.openxmlformats.org/officeDocument/2006/relationships/hyperlink" Target="#'10 EVIDENCE &amp; DECISIONS'!A195" TargetMode="External" Id="rId265"/><Relationship Type="http://schemas.openxmlformats.org/officeDocument/2006/relationships/hyperlink" Target="#'10 EVIDENCE &amp; DECISIONS'!A196" TargetMode="External" Id="rId266"/><Relationship Type="http://schemas.openxmlformats.org/officeDocument/2006/relationships/hyperlink" Target="#'10 EVIDENCE &amp; DECISIONS'!A197" TargetMode="External" Id="rId267"/><Relationship Type="http://schemas.openxmlformats.org/officeDocument/2006/relationships/hyperlink" Target="#'10 EVIDENCE &amp; DECISIONS'!A198" TargetMode="External" Id="rId268"/><Relationship Type="http://schemas.openxmlformats.org/officeDocument/2006/relationships/hyperlink" Target="#'10 EVIDENCE &amp; DECISIONS'!A199" TargetMode="External" Id="rId269"/><Relationship Type="http://schemas.openxmlformats.org/officeDocument/2006/relationships/hyperlink" Target="#'10 EVIDENCE &amp; DECISIONS'!A200" TargetMode="External" Id="rId270"/><Relationship Type="http://schemas.openxmlformats.org/officeDocument/2006/relationships/hyperlink" Target="#'10 EVIDENCE &amp; DECISIONS'!A201" TargetMode="External" Id="rId271"/><Relationship Type="http://schemas.openxmlformats.org/officeDocument/2006/relationships/hyperlink" Target="#'10 EVIDENCE &amp; DECISIONS'!A202" TargetMode="External" Id="rId272"/><Relationship Type="http://schemas.openxmlformats.org/officeDocument/2006/relationships/hyperlink" Target="#'10 EVIDENCE &amp; DECISIONS'!A203" TargetMode="External" Id="rId273"/><Relationship Type="http://schemas.openxmlformats.org/officeDocument/2006/relationships/hyperlink" Target="#'10 EVIDENCE &amp; DECISIONS'!A204" TargetMode="External" Id="rId274"/><Relationship Type="http://schemas.openxmlformats.org/officeDocument/2006/relationships/hyperlink" Target="#'10 EVIDENCE &amp; DECISIONS'!A178" TargetMode="External" Id="rId275"/><Relationship Type="http://schemas.openxmlformats.org/officeDocument/2006/relationships/hyperlink" Target="#'10 EVIDENCE &amp; DECISIONS'!A205" TargetMode="External" Id="rId276"/><Relationship Type="http://schemas.openxmlformats.org/officeDocument/2006/relationships/hyperlink" Target="#'10 EVIDENCE &amp; DECISIONS'!A206" TargetMode="External" Id="rId277"/><Relationship Type="http://schemas.openxmlformats.org/officeDocument/2006/relationships/hyperlink" Target="#'10 EVIDENCE &amp; DECISIONS'!A207" TargetMode="External" Id="rId278"/><Relationship Type="http://schemas.openxmlformats.org/officeDocument/2006/relationships/hyperlink" Target="#'10 EVIDENCE &amp; DECISIONS'!A208" TargetMode="External" Id="rId279"/><Relationship Type="http://schemas.openxmlformats.org/officeDocument/2006/relationships/hyperlink" Target="#'10 EVIDENCE &amp; DECISIONS'!A277" TargetMode="External" Id="rId280"/><Relationship Type="http://schemas.openxmlformats.org/officeDocument/2006/relationships/hyperlink" Target="#'10 EVIDENCE &amp; DECISIONS'!A278" TargetMode="External" Id="rId281"/><Relationship Type="http://schemas.openxmlformats.org/officeDocument/2006/relationships/hyperlink" Target="#'10 EVIDENCE &amp; DECISIONS'!A279" TargetMode="External" Id="rId282"/><Relationship Type="http://schemas.openxmlformats.org/officeDocument/2006/relationships/hyperlink" Target="#'10 EVIDENCE &amp; DECISIONS'!A280" TargetMode="External" Id="rId283"/><Relationship Type="http://schemas.openxmlformats.org/officeDocument/2006/relationships/hyperlink" Target="#'10 EVIDENCE &amp; DECISIONS'!A281" TargetMode="External" Id="rId284"/><Relationship Type="http://schemas.openxmlformats.org/officeDocument/2006/relationships/hyperlink" Target="#'10 EVIDENCE &amp; DECISIONS'!A282" TargetMode="External" Id="rId285"/><Relationship Type="http://schemas.openxmlformats.org/officeDocument/2006/relationships/hyperlink" Target="#'10 EVIDENCE &amp; DECISIONS'!A283" TargetMode="External" Id="rId286"/><Relationship Type="http://schemas.openxmlformats.org/officeDocument/2006/relationships/hyperlink" Target="#'10 EVIDENCE &amp; DECISIONS'!A284" TargetMode="External" Id="rId287"/><Relationship Type="http://schemas.openxmlformats.org/officeDocument/2006/relationships/hyperlink" Target="#'10 EVIDENCE &amp; DECISIONS'!A285" TargetMode="External" Id="rId288"/><Relationship Type="http://schemas.openxmlformats.org/officeDocument/2006/relationships/hyperlink" Target="#'10 EVIDENCE &amp; DECISIONS'!A286" TargetMode="External" Id="rId289"/><Relationship Type="http://schemas.openxmlformats.org/officeDocument/2006/relationships/hyperlink" Target="#'10 EVIDENCE &amp; DECISIONS'!A407" TargetMode="External" Id="rId290"/><Relationship Type="http://schemas.openxmlformats.org/officeDocument/2006/relationships/hyperlink" Target="#'10 EVIDENCE &amp; DECISIONS'!A408" TargetMode="External" Id="rId291"/><Relationship Type="http://schemas.openxmlformats.org/officeDocument/2006/relationships/hyperlink" Target="#'10 EVIDENCE &amp; DECISIONS'!A409" TargetMode="External" Id="rId292"/><Relationship Type="http://schemas.openxmlformats.org/officeDocument/2006/relationships/hyperlink" Target="#'10 EVIDENCE &amp; DECISIONS'!A410" TargetMode="External" Id="rId293"/><Relationship Type="http://schemas.openxmlformats.org/officeDocument/2006/relationships/hyperlink" Target="#'10 EVIDENCE &amp; DECISIONS'!A411" TargetMode="External" Id="rId294"/><Relationship Type="http://schemas.openxmlformats.org/officeDocument/2006/relationships/hyperlink" Target="#'10 EVIDENCE &amp; DECISIONS'!A412" TargetMode="External" Id="rId295"/><Relationship Type="http://schemas.openxmlformats.org/officeDocument/2006/relationships/hyperlink" Target="#'10 EVIDENCE &amp; DECISIONS'!A413" TargetMode="External" Id="rId296"/><Relationship Type="http://schemas.openxmlformats.org/officeDocument/2006/relationships/hyperlink" Target="#'10 EVIDENCE &amp; DECISIONS'!A414" TargetMode="External" Id="rId297"/><Relationship Type="http://schemas.openxmlformats.org/officeDocument/2006/relationships/hyperlink" Target="#'10 EVIDENCE &amp; DECISIONS'!A415" TargetMode="External" Id="rId298"/><Relationship Type="http://schemas.openxmlformats.org/officeDocument/2006/relationships/hyperlink" Target="#'10 EVIDENCE &amp; DECISIONS'!A416" TargetMode="External" Id="rId299"/><Relationship Type="http://schemas.openxmlformats.org/officeDocument/2006/relationships/hyperlink" Target="#'10 EVIDENCE &amp; DECISIONS'!A417" TargetMode="External" Id="rId300"/><Relationship Type="http://schemas.openxmlformats.org/officeDocument/2006/relationships/hyperlink" Target="#'10 EVIDENCE &amp; DECISIONS'!A418" TargetMode="External" Id="rId301"/><Relationship Type="http://schemas.openxmlformats.org/officeDocument/2006/relationships/hyperlink" Target="#'10 EVIDENCE &amp; DECISIONS'!A419" TargetMode="External" Id="rId302"/><Relationship Type="http://schemas.openxmlformats.org/officeDocument/2006/relationships/hyperlink" Target="#'10 EVIDENCE &amp; DECISIONS'!A420" TargetMode="External" Id="rId303"/><Relationship Type="http://schemas.openxmlformats.org/officeDocument/2006/relationships/hyperlink" Target="#'10 EVIDENCE &amp; DECISIONS'!A421" TargetMode="External" Id="rId304"/><Relationship Type="http://schemas.openxmlformats.org/officeDocument/2006/relationships/hyperlink" Target="#'10 EVIDENCE &amp; DECISIONS'!A422" TargetMode="External" Id="rId305"/><Relationship Type="http://schemas.openxmlformats.org/officeDocument/2006/relationships/hyperlink" Target="#'10 EVIDENCE &amp; DECISIONS'!A423" TargetMode="External" Id="rId306"/><Relationship Type="http://schemas.openxmlformats.org/officeDocument/2006/relationships/hyperlink" Target="#'10 EVIDENCE &amp; DECISIONS'!A424" TargetMode="External" Id="rId307"/><Relationship Type="http://schemas.openxmlformats.org/officeDocument/2006/relationships/hyperlink" Target="#'10 EVIDENCE &amp; DECISIONS'!A425" TargetMode="External" Id="rId308"/><Relationship Type="http://schemas.openxmlformats.org/officeDocument/2006/relationships/hyperlink" Target="#'10 EVIDENCE &amp; DECISIONS'!A426" TargetMode="External" Id="rId309"/><Relationship Type="http://schemas.openxmlformats.org/officeDocument/2006/relationships/hyperlink" Target="#'10 EVIDENCE &amp; DECISIONS'!A427" TargetMode="External" Id="rId310"/><Relationship Type="http://schemas.openxmlformats.org/officeDocument/2006/relationships/hyperlink" Target="#'10 EVIDENCE &amp; DECISIONS'!A428" TargetMode="External" Id="rId311"/><Relationship Type="http://schemas.openxmlformats.org/officeDocument/2006/relationships/hyperlink" Target="#'10 EVIDENCE &amp; DECISIONS'!A429" TargetMode="External" Id="rId312"/><Relationship Type="http://schemas.openxmlformats.org/officeDocument/2006/relationships/hyperlink" Target="#'10 EVIDENCE &amp; DECISIONS'!A430" TargetMode="External" Id="rId313"/><Relationship Type="http://schemas.openxmlformats.org/officeDocument/2006/relationships/hyperlink" Target="#'10 EVIDENCE &amp; DECISIONS'!A431" TargetMode="External" Id="rId314"/><Relationship Type="http://schemas.openxmlformats.org/officeDocument/2006/relationships/hyperlink" Target="#'10 EVIDENCE &amp; DECISIONS'!A432" TargetMode="External" Id="rId315"/><Relationship Type="http://schemas.openxmlformats.org/officeDocument/2006/relationships/hyperlink" Target="#'10 EVIDENCE &amp; DECISIONS'!A433" TargetMode="External" Id="rId316"/><Relationship Type="http://schemas.openxmlformats.org/officeDocument/2006/relationships/hyperlink" Target="#'10 EVIDENCE &amp; DECISIONS'!A434" TargetMode="External" Id="rId317"/><Relationship Type="http://schemas.openxmlformats.org/officeDocument/2006/relationships/hyperlink" Target="#'10 EVIDENCE &amp; DECISIONS'!A435" TargetMode="External" Id="rId318"/><Relationship Type="http://schemas.openxmlformats.org/officeDocument/2006/relationships/hyperlink" Target="#'10 EVIDENCE &amp; DECISIONS'!A436" TargetMode="External" Id="rId319"/><Relationship Type="http://schemas.openxmlformats.org/officeDocument/2006/relationships/hyperlink" Target="#'10 EVIDENCE &amp; DECISIONS'!A437" TargetMode="External" Id="rId320"/><Relationship Type="http://schemas.openxmlformats.org/officeDocument/2006/relationships/hyperlink" Target="#'10 EVIDENCE &amp; DECISIONS'!A438" TargetMode="External" Id="rId321"/><Relationship Type="http://schemas.openxmlformats.org/officeDocument/2006/relationships/hyperlink" Target="#'10 EVIDENCE &amp; DECISIONS'!A439" TargetMode="External" Id="rId322"/><Relationship Type="http://schemas.openxmlformats.org/officeDocument/2006/relationships/hyperlink" Target="#'10 EVIDENCE &amp; DECISIONS'!A440" TargetMode="External" Id="rId323"/><Relationship Type="http://schemas.openxmlformats.org/officeDocument/2006/relationships/hyperlink" Target="#'10 EVIDENCE &amp; DECISIONS'!A441" TargetMode="External" Id="rId324"/><Relationship Type="http://schemas.openxmlformats.org/officeDocument/2006/relationships/hyperlink" Target="#'10 EVIDENCE &amp; DECISIONS'!A442" TargetMode="External" Id="rId325"/><Relationship Type="http://schemas.openxmlformats.org/officeDocument/2006/relationships/hyperlink" Target="#'10 EVIDENCE &amp; DECISIONS'!A443" TargetMode="External" Id="rId326"/><Relationship Type="http://schemas.openxmlformats.org/officeDocument/2006/relationships/hyperlink" Target="#'10 EVIDENCE &amp; DECISIONS'!A444" TargetMode="External" Id="rId327"/><Relationship Type="http://schemas.openxmlformats.org/officeDocument/2006/relationships/hyperlink" Target="#'10 EVIDENCE &amp; DECISIONS'!A445" TargetMode="External" Id="rId328"/><Relationship Type="http://schemas.openxmlformats.org/officeDocument/2006/relationships/hyperlink" Target="#'10 EVIDENCE &amp; DECISIONS'!A446" TargetMode="External" Id="rId329"/><Relationship Type="http://schemas.openxmlformats.org/officeDocument/2006/relationships/hyperlink" Target="#'10 EVIDENCE &amp; DECISIONS'!A287" TargetMode="External" Id="rId330"/><Relationship Type="http://schemas.openxmlformats.org/officeDocument/2006/relationships/hyperlink" Target="#'10 EVIDENCE &amp; DECISIONS'!A288" TargetMode="External" Id="rId331"/><Relationship Type="http://schemas.openxmlformats.org/officeDocument/2006/relationships/hyperlink" Target="#'10 EVIDENCE &amp; DECISIONS'!A289" TargetMode="External" Id="rId332"/><Relationship Type="http://schemas.openxmlformats.org/officeDocument/2006/relationships/hyperlink" Target="#'10 EVIDENCE &amp; DECISIONS'!A290" TargetMode="External" Id="rId333"/><Relationship Type="http://schemas.openxmlformats.org/officeDocument/2006/relationships/hyperlink" Target="#'10 EVIDENCE &amp; DECISIONS'!A291" TargetMode="External" Id="rId334"/><Relationship Type="http://schemas.openxmlformats.org/officeDocument/2006/relationships/hyperlink" Target="#'10 EVIDENCE &amp; DECISIONS'!A292" TargetMode="External" Id="rId335"/><Relationship Type="http://schemas.openxmlformats.org/officeDocument/2006/relationships/hyperlink" Target="#'10 EVIDENCE &amp; DECISIONS'!A293" TargetMode="External" Id="rId336"/><Relationship Type="http://schemas.openxmlformats.org/officeDocument/2006/relationships/hyperlink" Target="#'10 EVIDENCE &amp; DECISIONS'!A294" TargetMode="External" Id="rId337"/><Relationship Type="http://schemas.openxmlformats.org/officeDocument/2006/relationships/hyperlink" Target="#'10 EVIDENCE &amp; DECISIONS'!A295" TargetMode="External" Id="rId338"/><Relationship Type="http://schemas.openxmlformats.org/officeDocument/2006/relationships/hyperlink" Target="#'10 EVIDENCE &amp; DECISIONS'!A296" TargetMode="External" Id="rId339"/><Relationship Type="http://schemas.openxmlformats.org/officeDocument/2006/relationships/hyperlink" Target="#'10 EVIDENCE &amp; DECISIONS'!A297" TargetMode="External" Id="rId340"/><Relationship Type="http://schemas.openxmlformats.org/officeDocument/2006/relationships/hyperlink" Target="#'10 EVIDENCE &amp; DECISIONS'!A298" TargetMode="External" Id="rId341"/><Relationship Type="http://schemas.openxmlformats.org/officeDocument/2006/relationships/hyperlink" Target="#'10 EVIDENCE &amp; DECISIONS'!A299" TargetMode="External" Id="rId342"/><Relationship Type="http://schemas.openxmlformats.org/officeDocument/2006/relationships/hyperlink" Target="#'10 EVIDENCE &amp; DECISIONS'!A300" TargetMode="External" Id="rId343"/><Relationship Type="http://schemas.openxmlformats.org/officeDocument/2006/relationships/hyperlink" Target="#'10 EVIDENCE &amp; DECISIONS'!A301" TargetMode="External" Id="rId344"/><Relationship Type="http://schemas.openxmlformats.org/officeDocument/2006/relationships/hyperlink" Target="#'10 EVIDENCE &amp; DECISIONS'!A302" TargetMode="External" Id="rId345"/><Relationship Type="http://schemas.openxmlformats.org/officeDocument/2006/relationships/hyperlink" Target="#'10 EVIDENCE &amp; DECISIONS'!A303" TargetMode="External" Id="rId346"/><Relationship Type="http://schemas.openxmlformats.org/officeDocument/2006/relationships/hyperlink" Target="#'10 EVIDENCE &amp; DECISIONS'!A304" TargetMode="External" Id="rId347"/><Relationship Type="http://schemas.openxmlformats.org/officeDocument/2006/relationships/hyperlink" Target="#'10 EVIDENCE &amp; DECISIONS'!A305" TargetMode="External" Id="rId348"/><Relationship Type="http://schemas.openxmlformats.org/officeDocument/2006/relationships/hyperlink" Target="#'10 EVIDENCE &amp; DECISIONS'!A306" TargetMode="External" Id="rId349"/><Relationship Type="http://schemas.openxmlformats.org/officeDocument/2006/relationships/hyperlink" Target="#'10 EVIDENCE &amp; DECISIONS'!A307" TargetMode="External" Id="rId350"/><Relationship Type="http://schemas.openxmlformats.org/officeDocument/2006/relationships/hyperlink" Target="#'10 EVIDENCE &amp; DECISIONS'!A308" TargetMode="External" Id="rId351"/><Relationship Type="http://schemas.openxmlformats.org/officeDocument/2006/relationships/hyperlink" Target="#'10 EVIDENCE &amp; DECISIONS'!A309" TargetMode="External" Id="rId352"/><Relationship Type="http://schemas.openxmlformats.org/officeDocument/2006/relationships/hyperlink" Target="#'10 EVIDENCE &amp; DECISIONS'!A310" TargetMode="External" Id="rId353"/><Relationship Type="http://schemas.openxmlformats.org/officeDocument/2006/relationships/hyperlink" Target="#'10 EVIDENCE &amp; DECISIONS'!A311" TargetMode="External" Id="rId354"/><Relationship Type="http://schemas.openxmlformats.org/officeDocument/2006/relationships/hyperlink" Target="#'10 EVIDENCE &amp; DECISIONS'!A312" TargetMode="External" Id="rId355"/><Relationship Type="http://schemas.openxmlformats.org/officeDocument/2006/relationships/hyperlink" Target="#'10 EVIDENCE &amp; DECISIONS'!A313" TargetMode="External" Id="rId356"/><Relationship Type="http://schemas.openxmlformats.org/officeDocument/2006/relationships/hyperlink" Target="#'10 EVIDENCE &amp; DECISIONS'!A314" TargetMode="External" Id="rId357"/><Relationship Type="http://schemas.openxmlformats.org/officeDocument/2006/relationships/hyperlink" Target="#'10 EVIDENCE &amp; DECISIONS'!A315" TargetMode="External" Id="rId358"/><Relationship Type="http://schemas.openxmlformats.org/officeDocument/2006/relationships/hyperlink" Target="#'10 EVIDENCE &amp; DECISIONS'!A316" TargetMode="External" Id="rId359"/><Relationship Type="http://schemas.openxmlformats.org/officeDocument/2006/relationships/hyperlink" Target="#'10 EVIDENCE &amp; DECISIONS'!A317" TargetMode="External" Id="rId360"/><Relationship Type="http://schemas.openxmlformats.org/officeDocument/2006/relationships/hyperlink" Target="#'10 EVIDENCE &amp; DECISIONS'!A318" TargetMode="External" Id="rId361"/><Relationship Type="http://schemas.openxmlformats.org/officeDocument/2006/relationships/hyperlink" Target="#'10 EVIDENCE &amp; DECISIONS'!A319" TargetMode="External" Id="rId362"/><Relationship Type="http://schemas.openxmlformats.org/officeDocument/2006/relationships/hyperlink" Target="#'10 EVIDENCE &amp; DECISIONS'!A320" TargetMode="External" Id="rId363"/><Relationship Type="http://schemas.openxmlformats.org/officeDocument/2006/relationships/hyperlink" Target="#'10 EVIDENCE &amp; DECISIONS'!A321" TargetMode="External" Id="rId364"/><Relationship Type="http://schemas.openxmlformats.org/officeDocument/2006/relationships/hyperlink" Target="#'10 EVIDENCE &amp; DECISIONS'!A322" TargetMode="External" Id="rId365"/><Relationship Type="http://schemas.openxmlformats.org/officeDocument/2006/relationships/hyperlink" Target="#'10 EVIDENCE &amp; DECISIONS'!A323" TargetMode="External" Id="rId366"/><Relationship Type="http://schemas.openxmlformats.org/officeDocument/2006/relationships/hyperlink" Target="#'10 EVIDENCE &amp; DECISIONS'!A324" TargetMode="External" Id="rId367"/><Relationship Type="http://schemas.openxmlformats.org/officeDocument/2006/relationships/hyperlink" Target="#'10 EVIDENCE &amp; DECISIONS'!A325" TargetMode="External" Id="rId368"/><Relationship Type="http://schemas.openxmlformats.org/officeDocument/2006/relationships/hyperlink" Target="#'10 EVIDENCE &amp; DECISIONS'!A326" TargetMode="External" Id="rId369"/><Relationship Type="http://schemas.openxmlformats.org/officeDocument/2006/relationships/hyperlink" Target="#'10 EVIDENCE &amp; DECISIONS'!A327" TargetMode="External" Id="rId370"/><Relationship Type="http://schemas.openxmlformats.org/officeDocument/2006/relationships/hyperlink" Target="#'10 EVIDENCE &amp; DECISIONS'!A328" TargetMode="External" Id="rId371"/><Relationship Type="http://schemas.openxmlformats.org/officeDocument/2006/relationships/hyperlink" Target="#'10 EVIDENCE &amp; DECISIONS'!A329" TargetMode="External" Id="rId372"/><Relationship Type="http://schemas.openxmlformats.org/officeDocument/2006/relationships/hyperlink" Target="#'10 EVIDENCE &amp; DECISIONS'!A330" TargetMode="External" Id="rId373"/><Relationship Type="http://schemas.openxmlformats.org/officeDocument/2006/relationships/hyperlink" Target="#'10 EVIDENCE &amp; DECISIONS'!A331" TargetMode="External" Id="rId374"/><Relationship Type="http://schemas.openxmlformats.org/officeDocument/2006/relationships/hyperlink" Target="#'10 EVIDENCE &amp; DECISIONS'!A332" TargetMode="External" Id="rId375"/><Relationship Type="http://schemas.openxmlformats.org/officeDocument/2006/relationships/hyperlink" Target="#'10 EVIDENCE &amp; DECISIONS'!A333" TargetMode="External" Id="rId376"/><Relationship Type="http://schemas.openxmlformats.org/officeDocument/2006/relationships/hyperlink" Target="#'10 EVIDENCE &amp; DECISIONS'!A334" TargetMode="External" Id="rId377"/><Relationship Type="http://schemas.openxmlformats.org/officeDocument/2006/relationships/hyperlink" Target="#'10 EVIDENCE &amp; DECISIONS'!A335" TargetMode="External" Id="rId378"/><Relationship Type="http://schemas.openxmlformats.org/officeDocument/2006/relationships/hyperlink" Target="#'10 EVIDENCE &amp; DECISIONS'!A336" TargetMode="External" Id="rId379"/><Relationship Type="http://schemas.openxmlformats.org/officeDocument/2006/relationships/hyperlink" Target="#'10 EVIDENCE &amp; DECISIONS'!A337" TargetMode="External" Id="rId380"/><Relationship Type="http://schemas.openxmlformats.org/officeDocument/2006/relationships/hyperlink" Target="#'10 EVIDENCE &amp; DECISIONS'!A338" TargetMode="External" Id="rId381"/><Relationship Type="http://schemas.openxmlformats.org/officeDocument/2006/relationships/hyperlink" Target="#'10 EVIDENCE &amp; DECISIONS'!A339" TargetMode="External" Id="rId382"/><Relationship Type="http://schemas.openxmlformats.org/officeDocument/2006/relationships/hyperlink" Target="#'10 EVIDENCE &amp; DECISIONS'!A340" TargetMode="External" Id="rId383"/><Relationship Type="http://schemas.openxmlformats.org/officeDocument/2006/relationships/hyperlink" Target="#'10 EVIDENCE &amp; DECISIONS'!A341" TargetMode="External" Id="rId384"/><Relationship Type="http://schemas.openxmlformats.org/officeDocument/2006/relationships/hyperlink" Target="#'10 EVIDENCE &amp; DECISIONS'!A342" TargetMode="External" Id="rId385"/><Relationship Type="http://schemas.openxmlformats.org/officeDocument/2006/relationships/hyperlink" Target="#'10 EVIDENCE &amp; DECISIONS'!A343" TargetMode="External" Id="rId386"/><Relationship Type="http://schemas.openxmlformats.org/officeDocument/2006/relationships/hyperlink" Target="#'10 EVIDENCE &amp; DECISIONS'!A344" TargetMode="External" Id="rId387"/><Relationship Type="http://schemas.openxmlformats.org/officeDocument/2006/relationships/hyperlink" Target="#'10 EVIDENCE &amp; DECISIONS'!A345" TargetMode="External" Id="rId388"/><Relationship Type="http://schemas.openxmlformats.org/officeDocument/2006/relationships/hyperlink" Target="#'10 EVIDENCE &amp; DECISIONS'!A346" TargetMode="External" Id="rId389"/><Relationship Type="http://schemas.openxmlformats.org/officeDocument/2006/relationships/hyperlink" Target="#'10 EVIDENCE &amp; DECISIONS'!A347" TargetMode="External" Id="rId390"/><Relationship Type="http://schemas.openxmlformats.org/officeDocument/2006/relationships/hyperlink" Target="#'10 EVIDENCE &amp; DECISIONS'!A348" TargetMode="External" Id="rId391"/><Relationship Type="http://schemas.openxmlformats.org/officeDocument/2006/relationships/hyperlink" Target="#'10 EVIDENCE &amp; DECISIONS'!A349" TargetMode="External" Id="rId392"/><Relationship Type="http://schemas.openxmlformats.org/officeDocument/2006/relationships/hyperlink" Target="#'10 EVIDENCE &amp; DECISIONS'!A350" TargetMode="External" Id="rId393"/><Relationship Type="http://schemas.openxmlformats.org/officeDocument/2006/relationships/hyperlink" Target="#'10 EVIDENCE &amp; DECISIONS'!A351" TargetMode="External" Id="rId394"/><Relationship Type="http://schemas.openxmlformats.org/officeDocument/2006/relationships/hyperlink" Target="#'10 EVIDENCE &amp; DECISIONS'!A352" TargetMode="External" Id="rId395"/><Relationship Type="http://schemas.openxmlformats.org/officeDocument/2006/relationships/hyperlink" Target="#'10 EVIDENCE &amp; DECISIONS'!A353" TargetMode="External" Id="rId396"/><Relationship Type="http://schemas.openxmlformats.org/officeDocument/2006/relationships/hyperlink" Target="#'10 EVIDENCE &amp; DECISIONS'!A354" TargetMode="External" Id="rId397"/><Relationship Type="http://schemas.openxmlformats.org/officeDocument/2006/relationships/hyperlink" Target="#'10 EVIDENCE &amp; DECISIONS'!A355" TargetMode="External" Id="rId398"/><Relationship Type="http://schemas.openxmlformats.org/officeDocument/2006/relationships/hyperlink" Target="#'10 EVIDENCE &amp; DECISIONS'!A356" TargetMode="External" Id="rId399"/><Relationship Type="http://schemas.openxmlformats.org/officeDocument/2006/relationships/hyperlink" Target="#'10 EVIDENCE &amp; DECISIONS'!A357" TargetMode="External" Id="rId400"/><Relationship Type="http://schemas.openxmlformats.org/officeDocument/2006/relationships/hyperlink" Target="#'10 EVIDENCE &amp; DECISIONS'!A358" TargetMode="External" Id="rId401"/><Relationship Type="http://schemas.openxmlformats.org/officeDocument/2006/relationships/hyperlink" Target="#'10 EVIDENCE &amp; DECISIONS'!A359" TargetMode="External" Id="rId402"/><Relationship Type="http://schemas.openxmlformats.org/officeDocument/2006/relationships/hyperlink" Target="#'10 EVIDENCE &amp; DECISIONS'!A360" TargetMode="External" Id="rId403"/><Relationship Type="http://schemas.openxmlformats.org/officeDocument/2006/relationships/hyperlink" Target="#'10 EVIDENCE &amp; DECISIONS'!A361" TargetMode="External" Id="rId404"/><Relationship Type="http://schemas.openxmlformats.org/officeDocument/2006/relationships/hyperlink" Target="#'10 EVIDENCE &amp; DECISIONS'!A362" TargetMode="External" Id="rId405"/><Relationship Type="http://schemas.openxmlformats.org/officeDocument/2006/relationships/hyperlink" Target="#'10 EVIDENCE &amp; DECISIONS'!A363" TargetMode="External" Id="rId406"/><Relationship Type="http://schemas.openxmlformats.org/officeDocument/2006/relationships/hyperlink" Target="#'10 EVIDENCE &amp; DECISIONS'!A364" TargetMode="External" Id="rId407"/><Relationship Type="http://schemas.openxmlformats.org/officeDocument/2006/relationships/hyperlink" Target="#'10 EVIDENCE &amp; DECISIONS'!A365" TargetMode="External" Id="rId408"/><Relationship Type="http://schemas.openxmlformats.org/officeDocument/2006/relationships/hyperlink" Target="#'10 EVIDENCE &amp; DECISIONS'!A366" TargetMode="External" Id="rId409"/><Relationship Type="http://schemas.openxmlformats.org/officeDocument/2006/relationships/hyperlink" Target="#'10 EVIDENCE &amp; DECISIONS'!A367" TargetMode="External" Id="rId410"/><Relationship Type="http://schemas.openxmlformats.org/officeDocument/2006/relationships/hyperlink" Target="#'10 EVIDENCE &amp; DECISIONS'!A368" TargetMode="External" Id="rId411"/><Relationship Type="http://schemas.openxmlformats.org/officeDocument/2006/relationships/hyperlink" Target="#'10 EVIDENCE &amp; DECISIONS'!A369" TargetMode="External" Id="rId412"/><Relationship Type="http://schemas.openxmlformats.org/officeDocument/2006/relationships/hyperlink" Target="#'10 EVIDENCE &amp; DECISIONS'!A370" TargetMode="External" Id="rId413"/><Relationship Type="http://schemas.openxmlformats.org/officeDocument/2006/relationships/hyperlink" Target="#'10 EVIDENCE &amp; DECISIONS'!A371" TargetMode="External" Id="rId414"/><Relationship Type="http://schemas.openxmlformats.org/officeDocument/2006/relationships/hyperlink" Target="#'10 EVIDENCE &amp; DECISIONS'!A372" TargetMode="External" Id="rId415"/><Relationship Type="http://schemas.openxmlformats.org/officeDocument/2006/relationships/hyperlink" Target="#'10 EVIDENCE &amp; DECISIONS'!A373" TargetMode="External" Id="rId416"/><Relationship Type="http://schemas.openxmlformats.org/officeDocument/2006/relationships/hyperlink" Target="#'10 EVIDENCE &amp; DECISIONS'!A374" TargetMode="External" Id="rId417"/><Relationship Type="http://schemas.openxmlformats.org/officeDocument/2006/relationships/hyperlink" Target="#'10 EVIDENCE &amp; DECISIONS'!A375" TargetMode="External" Id="rId418"/><Relationship Type="http://schemas.openxmlformats.org/officeDocument/2006/relationships/hyperlink" Target="#'10 EVIDENCE &amp; DECISIONS'!A376" TargetMode="External" Id="rId419"/><Relationship Type="http://schemas.openxmlformats.org/officeDocument/2006/relationships/hyperlink" Target="#'10 EVIDENCE &amp; DECISIONS'!A377" TargetMode="External" Id="rId420"/><Relationship Type="http://schemas.openxmlformats.org/officeDocument/2006/relationships/hyperlink" Target="#'10 EVIDENCE &amp; DECISIONS'!A378" TargetMode="External" Id="rId421"/><Relationship Type="http://schemas.openxmlformats.org/officeDocument/2006/relationships/hyperlink" Target="#'10 EVIDENCE &amp; DECISIONS'!A379" TargetMode="External" Id="rId422"/><Relationship Type="http://schemas.openxmlformats.org/officeDocument/2006/relationships/hyperlink" Target="#'10 EVIDENCE &amp; DECISIONS'!A380" TargetMode="External" Id="rId423"/><Relationship Type="http://schemas.openxmlformats.org/officeDocument/2006/relationships/hyperlink" Target="#'10 EVIDENCE &amp; DECISIONS'!A381" TargetMode="External" Id="rId424"/><Relationship Type="http://schemas.openxmlformats.org/officeDocument/2006/relationships/hyperlink" Target="#'10 EVIDENCE &amp; DECISIONS'!A382" TargetMode="External" Id="rId425"/><Relationship Type="http://schemas.openxmlformats.org/officeDocument/2006/relationships/hyperlink" Target="#'10 EVIDENCE &amp; DECISIONS'!A383" TargetMode="External" Id="rId426"/><Relationship Type="http://schemas.openxmlformats.org/officeDocument/2006/relationships/hyperlink" Target="#'10 EVIDENCE &amp; DECISIONS'!A384" TargetMode="External" Id="rId427"/><Relationship Type="http://schemas.openxmlformats.org/officeDocument/2006/relationships/hyperlink" Target="#'10 EVIDENCE &amp; DECISIONS'!A385" TargetMode="External" Id="rId428"/><Relationship Type="http://schemas.openxmlformats.org/officeDocument/2006/relationships/hyperlink" Target="#'10 EVIDENCE &amp; DECISIONS'!A386" TargetMode="External" Id="rId429"/><Relationship Type="http://schemas.openxmlformats.org/officeDocument/2006/relationships/hyperlink" Target="#'10 EVIDENCE &amp; DECISIONS'!A387" TargetMode="External" Id="rId430"/><Relationship Type="http://schemas.openxmlformats.org/officeDocument/2006/relationships/hyperlink" Target="#'10 EVIDENCE &amp; DECISIONS'!A388" TargetMode="External" Id="rId431"/><Relationship Type="http://schemas.openxmlformats.org/officeDocument/2006/relationships/hyperlink" Target="#'10 EVIDENCE &amp; DECISIONS'!A389" TargetMode="External" Id="rId432"/><Relationship Type="http://schemas.openxmlformats.org/officeDocument/2006/relationships/hyperlink" Target="#'10 EVIDENCE &amp; DECISIONS'!A390" TargetMode="External" Id="rId433"/><Relationship Type="http://schemas.openxmlformats.org/officeDocument/2006/relationships/hyperlink" Target="#'10 EVIDENCE &amp; DECISIONS'!A391" TargetMode="External" Id="rId434"/><Relationship Type="http://schemas.openxmlformats.org/officeDocument/2006/relationships/hyperlink" Target="#'10 EVIDENCE &amp; DECISIONS'!A392" TargetMode="External" Id="rId435"/><Relationship Type="http://schemas.openxmlformats.org/officeDocument/2006/relationships/hyperlink" Target="#'10 EVIDENCE &amp; DECISIONS'!A393" TargetMode="External" Id="rId436"/><Relationship Type="http://schemas.openxmlformats.org/officeDocument/2006/relationships/hyperlink" Target="#'10 EVIDENCE &amp; DECISIONS'!A394" TargetMode="External" Id="rId437"/><Relationship Type="http://schemas.openxmlformats.org/officeDocument/2006/relationships/hyperlink" Target="#'10 EVIDENCE &amp; DECISIONS'!A395" TargetMode="External" Id="rId438"/><Relationship Type="http://schemas.openxmlformats.org/officeDocument/2006/relationships/hyperlink" Target="#'10 EVIDENCE &amp; DECISIONS'!A396" TargetMode="External" Id="rId439"/><Relationship Type="http://schemas.openxmlformats.org/officeDocument/2006/relationships/hyperlink" Target="#'10 EVIDENCE &amp; DECISIONS'!A397" TargetMode="External" Id="rId440"/><Relationship Type="http://schemas.openxmlformats.org/officeDocument/2006/relationships/hyperlink" Target="#'10 EVIDENCE &amp; DECISIONS'!A398" TargetMode="External" Id="rId441"/><Relationship Type="http://schemas.openxmlformats.org/officeDocument/2006/relationships/hyperlink" Target="#'10 EVIDENCE &amp; DECISIONS'!A399" TargetMode="External" Id="rId442"/><Relationship Type="http://schemas.openxmlformats.org/officeDocument/2006/relationships/hyperlink" Target="#'10 EVIDENCE &amp; DECISIONS'!A400" TargetMode="External" Id="rId443"/><Relationship Type="http://schemas.openxmlformats.org/officeDocument/2006/relationships/hyperlink" Target="#'10 EVIDENCE &amp; DECISIONS'!A401" TargetMode="External" Id="rId444"/><Relationship Type="http://schemas.openxmlformats.org/officeDocument/2006/relationships/hyperlink" Target="#'10 EVIDENCE &amp; DECISIONS'!A402" TargetMode="External" Id="rId445"/><Relationship Type="http://schemas.openxmlformats.org/officeDocument/2006/relationships/hyperlink" Target="#'10 EVIDENCE &amp; DECISIONS'!A403" TargetMode="External" Id="rId446"/><Relationship Type="http://schemas.openxmlformats.org/officeDocument/2006/relationships/hyperlink" Target="#'10 EVIDENCE &amp; DECISIONS'!A404" TargetMode="External" Id="rId447"/><Relationship Type="http://schemas.openxmlformats.org/officeDocument/2006/relationships/hyperlink" Target="#'10 EVIDENCE &amp; DECISIONS'!A405" TargetMode="External" Id="rId448"/><Relationship Type="http://schemas.openxmlformats.org/officeDocument/2006/relationships/hyperlink" Target="#'10 EVIDENCE &amp; DECISIONS'!A406" TargetMode="External" Id="rId449"/><Relationship Type="http://schemas.openxmlformats.org/officeDocument/2006/relationships/hyperlink" Target="#'10 EVIDENCE &amp; DECISIONS'!A506" TargetMode="External" Id="rId450"/><Relationship Type="http://schemas.openxmlformats.org/officeDocument/2006/relationships/hyperlink" Target="#'10 EVIDENCE &amp; DECISIONS'!A507" TargetMode="External" Id="rId451"/><Relationship Type="http://schemas.openxmlformats.org/officeDocument/2006/relationships/hyperlink" Target="#'10 EVIDENCE &amp; DECISIONS'!A508" TargetMode="External" Id="rId452"/><Relationship Type="http://schemas.openxmlformats.org/officeDocument/2006/relationships/hyperlink" Target="#'10 EVIDENCE &amp; DECISIONS'!A509" TargetMode="External" Id="rId453"/><Relationship Type="http://schemas.openxmlformats.org/officeDocument/2006/relationships/hyperlink" Target="#'10 EVIDENCE &amp; DECISIONS'!A510" TargetMode="External" Id="rId454"/><Relationship Type="http://schemas.openxmlformats.org/officeDocument/2006/relationships/hyperlink" Target="#'10 EVIDENCE &amp; DECISIONS'!A511" TargetMode="External" Id="rId455"/><Relationship Type="http://schemas.openxmlformats.org/officeDocument/2006/relationships/hyperlink" Target="#'10 EVIDENCE &amp; DECISIONS'!A512" TargetMode="External" Id="rId456"/><Relationship Type="http://schemas.openxmlformats.org/officeDocument/2006/relationships/hyperlink" Target="#'10 EVIDENCE &amp; DECISIONS'!A513" TargetMode="External" Id="rId457"/><Relationship Type="http://schemas.openxmlformats.org/officeDocument/2006/relationships/hyperlink" Target="#'10 EVIDENCE &amp; DECISIONS'!A514" TargetMode="External" Id="rId458"/><Relationship Type="http://schemas.openxmlformats.org/officeDocument/2006/relationships/hyperlink" Target="#'10 EVIDENCE &amp; DECISIONS'!A515" TargetMode="External" Id="rId459"/><Relationship Type="http://schemas.openxmlformats.org/officeDocument/2006/relationships/hyperlink" Target="#'10 EVIDENCE &amp; DECISIONS'!A516" TargetMode="External" Id="rId460"/><Relationship Type="http://schemas.openxmlformats.org/officeDocument/2006/relationships/hyperlink" Target="#'10 EVIDENCE &amp; DECISIONS'!A517" TargetMode="External" Id="rId461"/><Relationship Type="http://schemas.openxmlformats.org/officeDocument/2006/relationships/hyperlink" Target="#'10 EVIDENCE &amp; DECISIONS'!A518" TargetMode="External" Id="rId462"/><Relationship Type="http://schemas.openxmlformats.org/officeDocument/2006/relationships/hyperlink" Target="#'10 EVIDENCE &amp; DECISIONS'!A519" TargetMode="External" Id="rId463"/><Relationship Type="http://schemas.openxmlformats.org/officeDocument/2006/relationships/hyperlink" Target="#'10 EVIDENCE &amp; DECISIONS'!A520" TargetMode="External" Id="rId464"/><Relationship Type="http://schemas.openxmlformats.org/officeDocument/2006/relationships/hyperlink" Target="#'10 EVIDENCE &amp; DECISIONS'!A521" TargetMode="External" Id="rId465"/><Relationship Type="http://schemas.openxmlformats.org/officeDocument/2006/relationships/hyperlink" Target="#'10 EVIDENCE &amp; DECISIONS'!A522" TargetMode="External" Id="rId466"/><Relationship Type="http://schemas.openxmlformats.org/officeDocument/2006/relationships/hyperlink" Target="#'10 EVIDENCE &amp; DECISIONS'!A523" TargetMode="External" Id="rId467"/><Relationship Type="http://schemas.openxmlformats.org/officeDocument/2006/relationships/hyperlink" Target="#'10 EVIDENCE &amp; DECISIONS'!A524" TargetMode="External" Id="rId468"/><Relationship Type="http://schemas.openxmlformats.org/officeDocument/2006/relationships/hyperlink" Target="#'10 EVIDENCE &amp; DECISIONS'!A525" TargetMode="External" Id="rId469"/><Relationship Type="http://schemas.openxmlformats.org/officeDocument/2006/relationships/hyperlink" Target="#'10 EVIDENCE &amp; DECISIONS'!A526" TargetMode="External" Id="rId470"/><Relationship Type="http://schemas.openxmlformats.org/officeDocument/2006/relationships/hyperlink" Target="#'10 EVIDENCE &amp; DECISIONS'!A527" TargetMode="External" Id="rId471"/><Relationship Type="http://schemas.openxmlformats.org/officeDocument/2006/relationships/hyperlink" Target="#'10 EVIDENCE &amp; DECISIONS'!A528" TargetMode="External" Id="rId472"/><Relationship Type="http://schemas.openxmlformats.org/officeDocument/2006/relationships/hyperlink" Target="#'10 EVIDENCE &amp; DECISIONS'!A529" TargetMode="External" Id="rId473"/><Relationship Type="http://schemas.openxmlformats.org/officeDocument/2006/relationships/hyperlink" Target="#'10 EVIDENCE &amp; DECISIONS'!A530" TargetMode="External" Id="rId474"/><Relationship Type="http://schemas.openxmlformats.org/officeDocument/2006/relationships/hyperlink" Target="#'10 EVIDENCE &amp; DECISIONS'!A531" TargetMode="External" Id="rId475"/><Relationship Type="http://schemas.openxmlformats.org/officeDocument/2006/relationships/hyperlink" Target="#'10 EVIDENCE &amp; DECISIONS'!A532" TargetMode="External" Id="rId476"/><Relationship Type="http://schemas.openxmlformats.org/officeDocument/2006/relationships/hyperlink" Target="#'10 EVIDENCE &amp; DECISIONS'!A533" TargetMode="External" Id="rId477"/><Relationship Type="http://schemas.openxmlformats.org/officeDocument/2006/relationships/hyperlink" Target="#'10 EVIDENCE &amp; DECISIONS'!A534" TargetMode="External" Id="rId478"/><Relationship Type="http://schemas.openxmlformats.org/officeDocument/2006/relationships/hyperlink" Target="#'10 EVIDENCE &amp; DECISIONS'!A535" TargetMode="External" Id="rId479"/><Relationship Type="http://schemas.openxmlformats.org/officeDocument/2006/relationships/hyperlink" Target="#'10 EVIDENCE &amp; DECISIONS'!A536" TargetMode="External" Id="rId480"/><Relationship Type="http://schemas.openxmlformats.org/officeDocument/2006/relationships/hyperlink" Target="#'10 EVIDENCE &amp; DECISIONS'!A537" TargetMode="External" Id="rId481"/><Relationship Type="http://schemas.openxmlformats.org/officeDocument/2006/relationships/hyperlink" Target="#'10 EVIDENCE &amp; DECISIONS'!A538" TargetMode="External" Id="rId482"/><Relationship Type="http://schemas.openxmlformats.org/officeDocument/2006/relationships/hyperlink" Target="#'10 EVIDENCE &amp; DECISIONS'!A539" TargetMode="External" Id="rId483"/><Relationship Type="http://schemas.openxmlformats.org/officeDocument/2006/relationships/hyperlink" Target="#'10 EVIDENCE &amp; DECISIONS'!A540" TargetMode="External" Id="rId484"/><Relationship Type="http://schemas.openxmlformats.org/officeDocument/2006/relationships/hyperlink" Target="#'10 EVIDENCE &amp; DECISIONS'!A541" TargetMode="External" Id="rId485"/><Relationship Type="http://schemas.openxmlformats.org/officeDocument/2006/relationships/hyperlink" Target="#'10 EVIDENCE &amp; DECISIONS'!A542" TargetMode="External" Id="rId486"/><Relationship Type="http://schemas.openxmlformats.org/officeDocument/2006/relationships/hyperlink" Target="#'10 EVIDENCE &amp; DECISIONS'!A543" TargetMode="External" Id="rId487"/><Relationship Type="http://schemas.openxmlformats.org/officeDocument/2006/relationships/hyperlink" Target="#'10 EVIDENCE &amp; DECISIONS'!A544" TargetMode="External" Id="rId488"/><Relationship Type="http://schemas.openxmlformats.org/officeDocument/2006/relationships/hyperlink" Target="#'10 EVIDENCE &amp; DECISIONS'!A545" TargetMode="External" Id="rId489"/><Relationship Type="http://schemas.openxmlformats.org/officeDocument/2006/relationships/hyperlink" Target="#'10 EVIDENCE &amp; DECISIONS'!A447" TargetMode="External" Id="rId490"/><Relationship Type="http://schemas.openxmlformats.org/officeDocument/2006/relationships/hyperlink" Target="#'10 EVIDENCE &amp; DECISIONS'!A448" TargetMode="External" Id="rId491"/><Relationship Type="http://schemas.openxmlformats.org/officeDocument/2006/relationships/hyperlink" Target="#'10 EVIDENCE &amp; DECISIONS'!A449" TargetMode="External" Id="rId492"/><Relationship Type="http://schemas.openxmlformats.org/officeDocument/2006/relationships/hyperlink" Target="#'10 EVIDENCE &amp; DECISIONS'!A450" TargetMode="External" Id="rId493"/><Relationship Type="http://schemas.openxmlformats.org/officeDocument/2006/relationships/hyperlink" Target="#'10 EVIDENCE &amp; DECISIONS'!A451" TargetMode="External" Id="rId494"/><Relationship Type="http://schemas.openxmlformats.org/officeDocument/2006/relationships/hyperlink" Target="#'10 EVIDENCE &amp; DECISIONS'!A452" TargetMode="External" Id="rId495"/><Relationship Type="http://schemas.openxmlformats.org/officeDocument/2006/relationships/hyperlink" Target="#'10 EVIDENCE &amp; DECISIONS'!A453" TargetMode="External" Id="rId496"/><Relationship Type="http://schemas.openxmlformats.org/officeDocument/2006/relationships/hyperlink" Target="#'10 EVIDENCE &amp; DECISIONS'!A454" TargetMode="External" Id="rId497"/><Relationship Type="http://schemas.openxmlformats.org/officeDocument/2006/relationships/hyperlink" Target="#'10 EVIDENCE &amp; DECISIONS'!A455" TargetMode="External" Id="rId498"/><Relationship Type="http://schemas.openxmlformats.org/officeDocument/2006/relationships/hyperlink" Target="#'10 EVIDENCE &amp; DECISIONS'!A456" TargetMode="External" Id="rId499"/><Relationship Type="http://schemas.openxmlformats.org/officeDocument/2006/relationships/hyperlink" Target="#'10 EVIDENCE &amp; DECISIONS'!A457" TargetMode="External" Id="rId500"/><Relationship Type="http://schemas.openxmlformats.org/officeDocument/2006/relationships/hyperlink" Target="#'10 EVIDENCE &amp; DECISIONS'!A458" TargetMode="External" Id="rId501"/><Relationship Type="http://schemas.openxmlformats.org/officeDocument/2006/relationships/hyperlink" Target="#'10 EVIDENCE &amp; DECISIONS'!A459" TargetMode="External" Id="rId502"/><Relationship Type="http://schemas.openxmlformats.org/officeDocument/2006/relationships/hyperlink" Target="#'10 EVIDENCE &amp; DECISIONS'!A460" TargetMode="External" Id="rId503"/><Relationship Type="http://schemas.openxmlformats.org/officeDocument/2006/relationships/hyperlink" Target="#'10 EVIDENCE &amp; DECISIONS'!A461" TargetMode="External" Id="rId504"/><Relationship Type="http://schemas.openxmlformats.org/officeDocument/2006/relationships/hyperlink" Target="#'10 EVIDENCE &amp; DECISIONS'!A462" TargetMode="External" Id="rId505"/><Relationship Type="http://schemas.openxmlformats.org/officeDocument/2006/relationships/hyperlink" Target="#'10 EVIDENCE &amp; DECISIONS'!A463" TargetMode="External" Id="rId506"/><Relationship Type="http://schemas.openxmlformats.org/officeDocument/2006/relationships/hyperlink" Target="#'10 EVIDENCE &amp; DECISIONS'!A464" TargetMode="External" Id="rId507"/><Relationship Type="http://schemas.openxmlformats.org/officeDocument/2006/relationships/hyperlink" Target="#'10 EVIDENCE &amp; DECISIONS'!A465" TargetMode="External" Id="rId508"/><Relationship Type="http://schemas.openxmlformats.org/officeDocument/2006/relationships/hyperlink" Target="#'10 EVIDENCE &amp; DECISIONS'!A466" TargetMode="External" Id="rId509"/><Relationship Type="http://schemas.openxmlformats.org/officeDocument/2006/relationships/hyperlink" Target="#'10 EVIDENCE &amp; DECISIONS'!A467" TargetMode="External" Id="rId510"/><Relationship Type="http://schemas.openxmlformats.org/officeDocument/2006/relationships/hyperlink" Target="#'10 EVIDENCE &amp; DECISIONS'!A468" TargetMode="External" Id="rId511"/><Relationship Type="http://schemas.openxmlformats.org/officeDocument/2006/relationships/hyperlink" Target="#'10 EVIDENCE &amp; DECISIONS'!A469" TargetMode="External" Id="rId512"/><Relationship Type="http://schemas.openxmlformats.org/officeDocument/2006/relationships/hyperlink" Target="#'10 EVIDENCE &amp; DECISIONS'!A470" TargetMode="External" Id="rId513"/><Relationship Type="http://schemas.openxmlformats.org/officeDocument/2006/relationships/hyperlink" Target="#'10 EVIDENCE &amp; DECISIONS'!A471" TargetMode="External" Id="rId514"/><Relationship Type="http://schemas.openxmlformats.org/officeDocument/2006/relationships/hyperlink" Target="#'10 EVIDENCE &amp; DECISIONS'!A472" TargetMode="External" Id="rId515"/><Relationship Type="http://schemas.openxmlformats.org/officeDocument/2006/relationships/hyperlink" Target="#'10 EVIDENCE &amp; DECISIONS'!A473" TargetMode="External" Id="rId516"/><Relationship Type="http://schemas.openxmlformats.org/officeDocument/2006/relationships/hyperlink" Target="#'10 EVIDENCE &amp; DECISIONS'!A474" TargetMode="External" Id="rId517"/><Relationship Type="http://schemas.openxmlformats.org/officeDocument/2006/relationships/hyperlink" Target="#'10 EVIDENCE &amp; DECISIONS'!A475" TargetMode="External" Id="rId518"/><Relationship Type="http://schemas.openxmlformats.org/officeDocument/2006/relationships/hyperlink" Target="#'10 EVIDENCE &amp; DECISIONS'!A476" TargetMode="External" Id="rId519"/><Relationship Type="http://schemas.openxmlformats.org/officeDocument/2006/relationships/hyperlink" Target="#'10 EVIDENCE &amp; DECISIONS'!A477" TargetMode="External" Id="rId520"/><Relationship Type="http://schemas.openxmlformats.org/officeDocument/2006/relationships/hyperlink" Target="#'10 EVIDENCE &amp; DECISIONS'!A478" TargetMode="External" Id="rId521"/><Relationship Type="http://schemas.openxmlformats.org/officeDocument/2006/relationships/hyperlink" Target="#'10 EVIDENCE &amp; DECISIONS'!A479" TargetMode="External" Id="rId522"/><Relationship Type="http://schemas.openxmlformats.org/officeDocument/2006/relationships/hyperlink" Target="#'10 EVIDENCE &amp; DECISIONS'!A480" TargetMode="External" Id="rId523"/><Relationship Type="http://schemas.openxmlformats.org/officeDocument/2006/relationships/hyperlink" Target="#'10 EVIDENCE &amp; DECISIONS'!A481" TargetMode="External" Id="rId524"/><Relationship Type="http://schemas.openxmlformats.org/officeDocument/2006/relationships/hyperlink" Target="#'10 EVIDENCE &amp; DECISIONS'!A482" TargetMode="External" Id="rId525"/><Relationship Type="http://schemas.openxmlformats.org/officeDocument/2006/relationships/hyperlink" Target="#'10 EVIDENCE &amp; DECISIONS'!A483" TargetMode="External" Id="rId526"/><Relationship Type="http://schemas.openxmlformats.org/officeDocument/2006/relationships/hyperlink" Target="#'10 EVIDENCE &amp; DECISIONS'!A484" TargetMode="External" Id="rId527"/><Relationship Type="http://schemas.openxmlformats.org/officeDocument/2006/relationships/hyperlink" Target="#'10 EVIDENCE &amp; DECISIONS'!A485" TargetMode="External" Id="rId528"/><Relationship Type="http://schemas.openxmlformats.org/officeDocument/2006/relationships/hyperlink" Target="#'10 EVIDENCE &amp; DECISIONS'!A486" TargetMode="External" Id="rId529"/><Relationship Type="http://schemas.openxmlformats.org/officeDocument/2006/relationships/hyperlink" Target="#'10 EVIDENCE &amp; DECISIONS'!A487" TargetMode="External" Id="rId530"/><Relationship Type="http://schemas.openxmlformats.org/officeDocument/2006/relationships/hyperlink" Target="#'10 EVIDENCE &amp; DECISIONS'!A488" TargetMode="External" Id="rId531"/><Relationship Type="http://schemas.openxmlformats.org/officeDocument/2006/relationships/hyperlink" Target="#'10 EVIDENCE &amp; DECISIONS'!A489" TargetMode="External" Id="rId532"/><Relationship Type="http://schemas.openxmlformats.org/officeDocument/2006/relationships/hyperlink" Target="#'10 EVIDENCE &amp; DECISIONS'!A490" TargetMode="External" Id="rId533"/><Relationship Type="http://schemas.openxmlformats.org/officeDocument/2006/relationships/hyperlink" Target="#'10 EVIDENCE &amp; DECISIONS'!A491" TargetMode="External" Id="rId534"/><Relationship Type="http://schemas.openxmlformats.org/officeDocument/2006/relationships/hyperlink" Target="#'10 EVIDENCE &amp; DECISIONS'!A492" TargetMode="External" Id="rId535"/><Relationship Type="http://schemas.openxmlformats.org/officeDocument/2006/relationships/hyperlink" Target="#'10 EVIDENCE &amp; DECISIONS'!A493" TargetMode="External" Id="rId536"/><Relationship Type="http://schemas.openxmlformats.org/officeDocument/2006/relationships/hyperlink" Target="#'10 EVIDENCE &amp; DECISIONS'!A494" TargetMode="External" Id="rId537"/><Relationship Type="http://schemas.openxmlformats.org/officeDocument/2006/relationships/hyperlink" Target="#'10 EVIDENCE &amp; DECISIONS'!A495" TargetMode="External" Id="rId538"/><Relationship Type="http://schemas.openxmlformats.org/officeDocument/2006/relationships/hyperlink" Target="#'10 EVIDENCE &amp; DECISIONS'!A496" TargetMode="External" Id="rId539"/><Relationship Type="http://schemas.openxmlformats.org/officeDocument/2006/relationships/hyperlink" Target="#'10 EVIDENCE &amp; DECISIONS'!A497" TargetMode="External" Id="rId540"/><Relationship Type="http://schemas.openxmlformats.org/officeDocument/2006/relationships/hyperlink" Target="#'10 EVIDENCE &amp; DECISIONS'!A498" TargetMode="External" Id="rId541"/><Relationship Type="http://schemas.openxmlformats.org/officeDocument/2006/relationships/hyperlink" Target="#'10 EVIDENCE &amp; DECISIONS'!A499" TargetMode="External" Id="rId542"/><Relationship Type="http://schemas.openxmlformats.org/officeDocument/2006/relationships/hyperlink" Target="#'10 EVIDENCE &amp; DECISIONS'!A500" TargetMode="External" Id="rId543"/><Relationship Type="http://schemas.openxmlformats.org/officeDocument/2006/relationships/hyperlink" Target="#'10 EVIDENCE &amp; DECISIONS'!A501" TargetMode="External" Id="rId544"/><Relationship Type="http://schemas.openxmlformats.org/officeDocument/2006/relationships/hyperlink" Target="#'10 EVIDENCE &amp; DECISIONS'!A502" TargetMode="External" Id="rId545"/><Relationship Type="http://schemas.openxmlformats.org/officeDocument/2006/relationships/hyperlink" Target="#'10 EVIDENCE &amp; DECISIONS'!A503" TargetMode="External" Id="rId546"/><Relationship Type="http://schemas.openxmlformats.org/officeDocument/2006/relationships/hyperlink" Target="#'10 EVIDENCE &amp; DECISIONS'!A504" TargetMode="External" Id="rId547"/><Relationship Type="http://schemas.openxmlformats.org/officeDocument/2006/relationships/hyperlink" Target="#'10 EVIDENCE &amp; DECISIONS'!A505" TargetMode="External" Id="rId548"/><Relationship Type="http://schemas.openxmlformats.org/officeDocument/2006/relationships/hyperlink" Target="#'10 EVIDENCE &amp; DECISIONS'!A546" TargetMode="External" Id="rId549"/><Relationship Type="http://schemas.openxmlformats.org/officeDocument/2006/relationships/hyperlink" Target="#'10 EVIDENCE &amp; DECISIONS'!A547" TargetMode="External" Id="rId550"/><Relationship Type="http://schemas.openxmlformats.org/officeDocument/2006/relationships/hyperlink" Target="#'10 EVIDENCE &amp; DECISIONS'!A548" TargetMode="External" Id="rId551"/><Relationship Type="http://schemas.openxmlformats.org/officeDocument/2006/relationships/hyperlink" Target="#'10 EVIDENCE &amp; DECISIONS'!A549" TargetMode="External" Id="rId552"/><Relationship Type="http://schemas.openxmlformats.org/officeDocument/2006/relationships/hyperlink" Target="#'10 EVIDENCE &amp; DECISIONS'!A550" TargetMode="External" Id="rId553"/><Relationship Type="http://schemas.openxmlformats.org/officeDocument/2006/relationships/hyperlink" Target="#'10 EVIDENCE &amp; DECISIONS'!A551" TargetMode="External" Id="rId554"/><Relationship Type="http://schemas.openxmlformats.org/officeDocument/2006/relationships/hyperlink" Target="#'10 EVIDENCE &amp; DECISIONS'!A552" TargetMode="External" Id="rId555"/><Relationship Type="http://schemas.openxmlformats.org/officeDocument/2006/relationships/hyperlink" Target="#'10 EVIDENCE &amp; DECISIONS'!A553" TargetMode="External" Id="rId556"/><Relationship Type="http://schemas.openxmlformats.org/officeDocument/2006/relationships/hyperlink" Target="#'10 EVIDENCE &amp; DECISIONS'!A554" TargetMode="External" Id="rId557"/><Relationship Type="http://schemas.openxmlformats.org/officeDocument/2006/relationships/hyperlink" Target="#'10 EVIDENCE &amp; DECISIONS'!A555" TargetMode="External" Id="rId558"/><Relationship Type="http://schemas.openxmlformats.org/officeDocument/2006/relationships/hyperlink" Target="#'10 EVIDENCE &amp; DECISIONS'!A676" TargetMode="External" Id="rId559"/><Relationship Type="http://schemas.openxmlformats.org/officeDocument/2006/relationships/hyperlink" Target="#'10 EVIDENCE &amp; DECISIONS'!A677" TargetMode="External" Id="rId560"/><Relationship Type="http://schemas.openxmlformats.org/officeDocument/2006/relationships/hyperlink" Target="#'10 EVIDENCE &amp; DECISIONS'!A678" TargetMode="External" Id="rId561"/><Relationship Type="http://schemas.openxmlformats.org/officeDocument/2006/relationships/hyperlink" Target="#'10 EVIDENCE &amp; DECISIONS'!A679" TargetMode="External" Id="rId562"/><Relationship Type="http://schemas.openxmlformats.org/officeDocument/2006/relationships/hyperlink" Target="#'10 EVIDENCE &amp; DECISIONS'!A680" TargetMode="External" Id="rId563"/><Relationship Type="http://schemas.openxmlformats.org/officeDocument/2006/relationships/hyperlink" Target="#'10 EVIDENCE &amp; DECISIONS'!A681" TargetMode="External" Id="rId564"/><Relationship Type="http://schemas.openxmlformats.org/officeDocument/2006/relationships/hyperlink" Target="#'10 EVIDENCE &amp; DECISIONS'!A682" TargetMode="External" Id="rId565"/><Relationship Type="http://schemas.openxmlformats.org/officeDocument/2006/relationships/hyperlink" Target="#'10 EVIDENCE &amp; DECISIONS'!A683" TargetMode="External" Id="rId566"/><Relationship Type="http://schemas.openxmlformats.org/officeDocument/2006/relationships/hyperlink" Target="#'10 EVIDENCE &amp; DECISIONS'!A684" TargetMode="External" Id="rId567"/><Relationship Type="http://schemas.openxmlformats.org/officeDocument/2006/relationships/hyperlink" Target="#'10 EVIDENCE &amp; DECISIONS'!A685" TargetMode="External" Id="rId568"/><Relationship Type="http://schemas.openxmlformats.org/officeDocument/2006/relationships/hyperlink" Target="#'10 EVIDENCE &amp; DECISIONS'!A686" TargetMode="External" Id="rId569"/><Relationship Type="http://schemas.openxmlformats.org/officeDocument/2006/relationships/hyperlink" Target="#'10 EVIDENCE &amp; DECISIONS'!A687" TargetMode="External" Id="rId570"/><Relationship Type="http://schemas.openxmlformats.org/officeDocument/2006/relationships/hyperlink" Target="#'10 EVIDENCE &amp; DECISIONS'!A688" TargetMode="External" Id="rId571"/><Relationship Type="http://schemas.openxmlformats.org/officeDocument/2006/relationships/hyperlink" Target="#'10 EVIDENCE &amp; DECISIONS'!A689" TargetMode="External" Id="rId572"/><Relationship Type="http://schemas.openxmlformats.org/officeDocument/2006/relationships/hyperlink" Target="#'10 EVIDENCE &amp; DECISIONS'!A690" TargetMode="External" Id="rId573"/><Relationship Type="http://schemas.openxmlformats.org/officeDocument/2006/relationships/hyperlink" Target="#'10 EVIDENCE &amp; DECISIONS'!A691" TargetMode="External" Id="rId574"/><Relationship Type="http://schemas.openxmlformats.org/officeDocument/2006/relationships/hyperlink" Target="#'10 EVIDENCE &amp; DECISIONS'!A692" TargetMode="External" Id="rId575"/><Relationship Type="http://schemas.openxmlformats.org/officeDocument/2006/relationships/hyperlink" Target="#'10 EVIDENCE &amp; DECISIONS'!A693" TargetMode="External" Id="rId576"/><Relationship Type="http://schemas.openxmlformats.org/officeDocument/2006/relationships/hyperlink" Target="#'10 EVIDENCE &amp; DECISIONS'!A694" TargetMode="External" Id="rId577"/><Relationship Type="http://schemas.openxmlformats.org/officeDocument/2006/relationships/hyperlink" Target="#'10 EVIDENCE &amp; DECISIONS'!A695" TargetMode="External" Id="rId578"/><Relationship Type="http://schemas.openxmlformats.org/officeDocument/2006/relationships/hyperlink" Target="#'10 EVIDENCE &amp; DECISIONS'!A696" TargetMode="External" Id="rId579"/><Relationship Type="http://schemas.openxmlformats.org/officeDocument/2006/relationships/hyperlink" Target="#'10 EVIDENCE &amp; DECISIONS'!A697" TargetMode="External" Id="rId580"/><Relationship Type="http://schemas.openxmlformats.org/officeDocument/2006/relationships/hyperlink" Target="#'10 EVIDENCE &amp; DECISIONS'!A698" TargetMode="External" Id="rId581"/><Relationship Type="http://schemas.openxmlformats.org/officeDocument/2006/relationships/hyperlink" Target="#'10 EVIDENCE &amp; DECISIONS'!A699" TargetMode="External" Id="rId582"/><Relationship Type="http://schemas.openxmlformats.org/officeDocument/2006/relationships/hyperlink" Target="#'10 EVIDENCE &amp; DECISIONS'!A700" TargetMode="External" Id="rId583"/><Relationship Type="http://schemas.openxmlformats.org/officeDocument/2006/relationships/hyperlink" Target="#'10 EVIDENCE &amp; DECISIONS'!A701" TargetMode="External" Id="rId584"/><Relationship Type="http://schemas.openxmlformats.org/officeDocument/2006/relationships/hyperlink" Target="#'10 EVIDENCE &amp; DECISIONS'!A702" TargetMode="External" Id="rId585"/><Relationship Type="http://schemas.openxmlformats.org/officeDocument/2006/relationships/hyperlink" Target="#'10 EVIDENCE &amp; DECISIONS'!A703" TargetMode="External" Id="rId586"/><Relationship Type="http://schemas.openxmlformats.org/officeDocument/2006/relationships/hyperlink" Target="#'10 EVIDENCE &amp; DECISIONS'!A704" TargetMode="External" Id="rId587"/><Relationship Type="http://schemas.openxmlformats.org/officeDocument/2006/relationships/hyperlink" Target="#'10 EVIDENCE &amp; DECISIONS'!A705" TargetMode="External" Id="rId588"/><Relationship Type="http://schemas.openxmlformats.org/officeDocument/2006/relationships/hyperlink" Target="#'10 EVIDENCE &amp; DECISIONS'!A706" TargetMode="External" Id="rId589"/><Relationship Type="http://schemas.openxmlformats.org/officeDocument/2006/relationships/hyperlink" Target="#'10 EVIDENCE &amp; DECISIONS'!A707" TargetMode="External" Id="rId590"/><Relationship Type="http://schemas.openxmlformats.org/officeDocument/2006/relationships/hyperlink" Target="#'10 EVIDENCE &amp; DECISIONS'!A708" TargetMode="External" Id="rId591"/><Relationship Type="http://schemas.openxmlformats.org/officeDocument/2006/relationships/hyperlink" Target="#'10 EVIDENCE &amp; DECISIONS'!A709" TargetMode="External" Id="rId592"/><Relationship Type="http://schemas.openxmlformats.org/officeDocument/2006/relationships/hyperlink" Target="#'10 EVIDENCE &amp; DECISIONS'!A710" TargetMode="External" Id="rId593"/><Relationship Type="http://schemas.openxmlformats.org/officeDocument/2006/relationships/hyperlink" Target="#'10 EVIDENCE &amp; DECISIONS'!A711" TargetMode="External" Id="rId594"/><Relationship Type="http://schemas.openxmlformats.org/officeDocument/2006/relationships/hyperlink" Target="#'10 EVIDENCE &amp; DECISIONS'!A712" TargetMode="External" Id="rId595"/><Relationship Type="http://schemas.openxmlformats.org/officeDocument/2006/relationships/hyperlink" Target="#'10 EVIDENCE &amp; DECISIONS'!A713" TargetMode="External" Id="rId596"/><Relationship Type="http://schemas.openxmlformats.org/officeDocument/2006/relationships/hyperlink" Target="#'10 EVIDENCE &amp; DECISIONS'!A714" TargetMode="External" Id="rId597"/><Relationship Type="http://schemas.openxmlformats.org/officeDocument/2006/relationships/hyperlink" Target="#'10 EVIDENCE &amp; DECISIONS'!A715" TargetMode="External" Id="rId598"/><Relationship Type="http://schemas.openxmlformats.org/officeDocument/2006/relationships/hyperlink" Target="#'10 EVIDENCE &amp; DECISIONS'!A556" TargetMode="External" Id="rId599"/><Relationship Type="http://schemas.openxmlformats.org/officeDocument/2006/relationships/hyperlink" Target="#'10 EVIDENCE &amp; DECISIONS'!A557" TargetMode="External" Id="rId600"/><Relationship Type="http://schemas.openxmlformats.org/officeDocument/2006/relationships/hyperlink" Target="#'10 EVIDENCE &amp; DECISIONS'!A558" TargetMode="External" Id="rId601"/><Relationship Type="http://schemas.openxmlformats.org/officeDocument/2006/relationships/hyperlink" Target="#'10 EVIDENCE &amp; DECISIONS'!A559" TargetMode="External" Id="rId602"/><Relationship Type="http://schemas.openxmlformats.org/officeDocument/2006/relationships/hyperlink" Target="#'10 EVIDENCE &amp; DECISIONS'!A560" TargetMode="External" Id="rId603"/><Relationship Type="http://schemas.openxmlformats.org/officeDocument/2006/relationships/hyperlink" Target="#'10 EVIDENCE &amp; DECISIONS'!A561" TargetMode="External" Id="rId604"/><Relationship Type="http://schemas.openxmlformats.org/officeDocument/2006/relationships/hyperlink" Target="#'10 EVIDENCE &amp; DECISIONS'!A562" TargetMode="External" Id="rId605"/><Relationship Type="http://schemas.openxmlformats.org/officeDocument/2006/relationships/hyperlink" Target="#'10 EVIDENCE &amp; DECISIONS'!A563" TargetMode="External" Id="rId606"/><Relationship Type="http://schemas.openxmlformats.org/officeDocument/2006/relationships/hyperlink" Target="#'10 EVIDENCE &amp; DECISIONS'!A564" TargetMode="External" Id="rId607"/><Relationship Type="http://schemas.openxmlformats.org/officeDocument/2006/relationships/hyperlink" Target="#'10 EVIDENCE &amp; DECISIONS'!A565" TargetMode="External" Id="rId608"/><Relationship Type="http://schemas.openxmlformats.org/officeDocument/2006/relationships/hyperlink" Target="#'10 EVIDENCE &amp; DECISIONS'!A566" TargetMode="External" Id="rId609"/><Relationship Type="http://schemas.openxmlformats.org/officeDocument/2006/relationships/hyperlink" Target="#'10 EVIDENCE &amp; DECISIONS'!A567" TargetMode="External" Id="rId610"/><Relationship Type="http://schemas.openxmlformats.org/officeDocument/2006/relationships/hyperlink" Target="#'10 EVIDENCE &amp; DECISIONS'!A568" TargetMode="External" Id="rId611"/><Relationship Type="http://schemas.openxmlformats.org/officeDocument/2006/relationships/hyperlink" Target="#'10 EVIDENCE &amp; DECISIONS'!A569" TargetMode="External" Id="rId612"/><Relationship Type="http://schemas.openxmlformats.org/officeDocument/2006/relationships/hyperlink" Target="#'10 EVIDENCE &amp; DECISIONS'!A570" TargetMode="External" Id="rId613"/><Relationship Type="http://schemas.openxmlformats.org/officeDocument/2006/relationships/hyperlink" Target="#'10 EVIDENCE &amp; DECISIONS'!A571" TargetMode="External" Id="rId614"/><Relationship Type="http://schemas.openxmlformats.org/officeDocument/2006/relationships/hyperlink" Target="#'10 EVIDENCE &amp; DECISIONS'!A572" TargetMode="External" Id="rId615"/><Relationship Type="http://schemas.openxmlformats.org/officeDocument/2006/relationships/hyperlink" Target="#'10 EVIDENCE &amp; DECISIONS'!A573" TargetMode="External" Id="rId616"/><Relationship Type="http://schemas.openxmlformats.org/officeDocument/2006/relationships/hyperlink" Target="#'10 EVIDENCE &amp; DECISIONS'!A574" TargetMode="External" Id="rId617"/><Relationship Type="http://schemas.openxmlformats.org/officeDocument/2006/relationships/hyperlink" Target="#'10 EVIDENCE &amp; DECISIONS'!A575" TargetMode="External" Id="rId618"/><Relationship Type="http://schemas.openxmlformats.org/officeDocument/2006/relationships/hyperlink" Target="#'10 EVIDENCE &amp; DECISIONS'!A576" TargetMode="External" Id="rId619"/><Relationship Type="http://schemas.openxmlformats.org/officeDocument/2006/relationships/hyperlink" Target="#'10 EVIDENCE &amp; DECISIONS'!A577" TargetMode="External" Id="rId620"/><Relationship Type="http://schemas.openxmlformats.org/officeDocument/2006/relationships/hyperlink" Target="#'10 EVIDENCE &amp; DECISIONS'!A578" TargetMode="External" Id="rId621"/><Relationship Type="http://schemas.openxmlformats.org/officeDocument/2006/relationships/hyperlink" Target="#'10 EVIDENCE &amp; DECISIONS'!A579" TargetMode="External" Id="rId622"/><Relationship Type="http://schemas.openxmlformats.org/officeDocument/2006/relationships/hyperlink" Target="#'10 EVIDENCE &amp; DECISIONS'!A580" TargetMode="External" Id="rId623"/><Relationship Type="http://schemas.openxmlformats.org/officeDocument/2006/relationships/hyperlink" Target="#'10 EVIDENCE &amp; DECISIONS'!A581" TargetMode="External" Id="rId624"/><Relationship Type="http://schemas.openxmlformats.org/officeDocument/2006/relationships/hyperlink" Target="#'10 EVIDENCE &amp; DECISIONS'!A582" TargetMode="External" Id="rId625"/><Relationship Type="http://schemas.openxmlformats.org/officeDocument/2006/relationships/hyperlink" Target="#'10 EVIDENCE &amp; DECISIONS'!A583" TargetMode="External" Id="rId626"/><Relationship Type="http://schemas.openxmlformats.org/officeDocument/2006/relationships/hyperlink" Target="#'10 EVIDENCE &amp; DECISIONS'!A584" TargetMode="External" Id="rId627"/><Relationship Type="http://schemas.openxmlformats.org/officeDocument/2006/relationships/hyperlink" Target="#'10 EVIDENCE &amp; DECISIONS'!A585" TargetMode="External" Id="rId628"/><Relationship Type="http://schemas.openxmlformats.org/officeDocument/2006/relationships/hyperlink" Target="#'10 EVIDENCE &amp; DECISIONS'!A586" TargetMode="External" Id="rId629"/><Relationship Type="http://schemas.openxmlformats.org/officeDocument/2006/relationships/hyperlink" Target="#'10 EVIDENCE &amp; DECISIONS'!A587" TargetMode="External" Id="rId630"/><Relationship Type="http://schemas.openxmlformats.org/officeDocument/2006/relationships/hyperlink" Target="#'10 EVIDENCE &amp; DECISIONS'!A588" TargetMode="External" Id="rId631"/><Relationship Type="http://schemas.openxmlformats.org/officeDocument/2006/relationships/hyperlink" Target="#'10 EVIDENCE &amp; DECISIONS'!A589" TargetMode="External" Id="rId632"/><Relationship Type="http://schemas.openxmlformats.org/officeDocument/2006/relationships/hyperlink" Target="#'10 EVIDENCE &amp; DECISIONS'!A590" TargetMode="External" Id="rId633"/><Relationship Type="http://schemas.openxmlformats.org/officeDocument/2006/relationships/hyperlink" Target="#'10 EVIDENCE &amp; DECISIONS'!A591" TargetMode="External" Id="rId634"/><Relationship Type="http://schemas.openxmlformats.org/officeDocument/2006/relationships/hyperlink" Target="#'10 EVIDENCE &amp; DECISIONS'!A592" TargetMode="External" Id="rId635"/><Relationship Type="http://schemas.openxmlformats.org/officeDocument/2006/relationships/hyperlink" Target="#'10 EVIDENCE &amp; DECISIONS'!A593" TargetMode="External" Id="rId636"/><Relationship Type="http://schemas.openxmlformats.org/officeDocument/2006/relationships/hyperlink" Target="#'10 EVIDENCE &amp; DECISIONS'!A594" TargetMode="External" Id="rId637"/><Relationship Type="http://schemas.openxmlformats.org/officeDocument/2006/relationships/hyperlink" Target="#'10 EVIDENCE &amp; DECISIONS'!A595" TargetMode="External" Id="rId638"/><Relationship Type="http://schemas.openxmlformats.org/officeDocument/2006/relationships/hyperlink" Target="#'10 EVIDENCE &amp; DECISIONS'!A596" TargetMode="External" Id="rId639"/><Relationship Type="http://schemas.openxmlformats.org/officeDocument/2006/relationships/hyperlink" Target="#'10 EVIDENCE &amp; DECISIONS'!A597" TargetMode="External" Id="rId640"/><Relationship Type="http://schemas.openxmlformats.org/officeDocument/2006/relationships/hyperlink" Target="#'10 EVIDENCE &amp; DECISIONS'!A598" TargetMode="External" Id="rId641"/><Relationship Type="http://schemas.openxmlformats.org/officeDocument/2006/relationships/hyperlink" Target="#'10 EVIDENCE &amp; DECISIONS'!A599" TargetMode="External" Id="rId642"/><Relationship Type="http://schemas.openxmlformats.org/officeDocument/2006/relationships/hyperlink" Target="#'10 EVIDENCE &amp; DECISIONS'!A600" TargetMode="External" Id="rId643"/><Relationship Type="http://schemas.openxmlformats.org/officeDocument/2006/relationships/hyperlink" Target="#'10 EVIDENCE &amp; DECISIONS'!A601" TargetMode="External" Id="rId644"/><Relationship Type="http://schemas.openxmlformats.org/officeDocument/2006/relationships/hyperlink" Target="#'10 EVIDENCE &amp; DECISIONS'!A602" TargetMode="External" Id="rId645"/><Relationship Type="http://schemas.openxmlformats.org/officeDocument/2006/relationships/hyperlink" Target="#'10 EVIDENCE &amp; DECISIONS'!A603" TargetMode="External" Id="rId646"/><Relationship Type="http://schemas.openxmlformats.org/officeDocument/2006/relationships/hyperlink" Target="#'10 EVIDENCE &amp; DECISIONS'!A604" TargetMode="External" Id="rId647"/><Relationship Type="http://schemas.openxmlformats.org/officeDocument/2006/relationships/hyperlink" Target="#'10 EVIDENCE &amp; DECISIONS'!A605" TargetMode="External" Id="rId648"/><Relationship Type="http://schemas.openxmlformats.org/officeDocument/2006/relationships/hyperlink" Target="#'10 EVIDENCE &amp; DECISIONS'!A606" TargetMode="External" Id="rId649"/><Relationship Type="http://schemas.openxmlformats.org/officeDocument/2006/relationships/hyperlink" Target="#'10 EVIDENCE &amp; DECISIONS'!A607" TargetMode="External" Id="rId650"/><Relationship Type="http://schemas.openxmlformats.org/officeDocument/2006/relationships/hyperlink" Target="#'10 EVIDENCE &amp; DECISIONS'!A608" TargetMode="External" Id="rId651"/><Relationship Type="http://schemas.openxmlformats.org/officeDocument/2006/relationships/hyperlink" Target="#'10 EVIDENCE &amp; DECISIONS'!A609" TargetMode="External" Id="rId652"/><Relationship Type="http://schemas.openxmlformats.org/officeDocument/2006/relationships/hyperlink" Target="#'10 EVIDENCE &amp; DECISIONS'!A610" TargetMode="External" Id="rId653"/><Relationship Type="http://schemas.openxmlformats.org/officeDocument/2006/relationships/hyperlink" Target="#'10 EVIDENCE &amp; DECISIONS'!A611" TargetMode="External" Id="rId654"/><Relationship Type="http://schemas.openxmlformats.org/officeDocument/2006/relationships/hyperlink" Target="#'10 EVIDENCE &amp; DECISIONS'!A612" TargetMode="External" Id="rId655"/><Relationship Type="http://schemas.openxmlformats.org/officeDocument/2006/relationships/hyperlink" Target="#'10 EVIDENCE &amp; DECISIONS'!A613" TargetMode="External" Id="rId656"/><Relationship Type="http://schemas.openxmlformats.org/officeDocument/2006/relationships/hyperlink" Target="#'10 EVIDENCE &amp; DECISIONS'!A614" TargetMode="External" Id="rId657"/><Relationship Type="http://schemas.openxmlformats.org/officeDocument/2006/relationships/hyperlink" Target="#'10 EVIDENCE &amp; DECISIONS'!A615" TargetMode="External" Id="rId658"/><Relationship Type="http://schemas.openxmlformats.org/officeDocument/2006/relationships/hyperlink" Target="#'10 EVIDENCE &amp; DECISIONS'!A616" TargetMode="External" Id="rId659"/><Relationship Type="http://schemas.openxmlformats.org/officeDocument/2006/relationships/hyperlink" Target="#'10 EVIDENCE &amp; DECISIONS'!A617" TargetMode="External" Id="rId660"/><Relationship Type="http://schemas.openxmlformats.org/officeDocument/2006/relationships/hyperlink" Target="#'10 EVIDENCE &amp; DECISIONS'!A618" TargetMode="External" Id="rId661"/><Relationship Type="http://schemas.openxmlformats.org/officeDocument/2006/relationships/hyperlink" Target="#'10 EVIDENCE &amp; DECISIONS'!A619" TargetMode="External" Id="rId662"/><Relationship Type="http://schemas.openxmlformats.org/officeDocument/2006/relationships/hyperlink" Target="#'10 EVIDENCE &amp; DECISIONS'!A620" TargetMode="External" Id="rId663"/><Relationship Type="http://schemas.openxmlformats.org/officeDocument/2006/relationships/hyperlink" Target="#'10 EVIDENCE &amp; DECISIONS'!A621" TargetMode="External" Id="rId664"/><Relationship Type="http://schemas.openxmlformats.org/officeDocument/2006/relationships/hyperlink" Target="#'10 EVIDENCE &amp; DECISIONS'!A622" TargetMode="External" Id="rId665"/><Relationship Type="http://schemas.openxmlformats.org/officeDocument/2006/relationships/hyperlink" Target="#'10 EVIDENCE &amp; DECISIONS'!A623" TargetMode="External" Id="rId666"/><Relationship Type="http://schemas.openxmlformats.org/officeDocument/2006/relationships/hyperlink" Target="#'10 EVIDENCE &amp; DECISIONS'!A624" TargetMode="External" Id="rId667"/><Relationship Type="http://schemas.openxmlformats.org/officeDocument/2006/relationships/hyperlink" Target="#'10 EVIDENCE &amp; DECISIONS'!A625" TargetMode="External" Id="rId668"/><Relationship Type="http://schemas.openxmlformats.org/officeDocument/2006/relationships/hyperlink" Target="#'10 EVIDENCE &amp; DECISIONS'!A626" TargetMode="External" Id="rId669"/><Relationship Type="http://schemas.openxmlformats.org/officeDocument/2006/relationships/hyperlink" Target="#'10 EVIDENCE &amp; DECISIONS'!A627" TargetMode="External" Id="rId670"/><Relationship Type="http://schemas.openxmlformats.org/officeDocument/2006/relationships/hyperlink" Target="#'10 EVIDENCE &amp; DECISIONS'!A628" TargetMode="External" Id="rId671"/><Relationship Type="http://schemas.openxmlformats.org/officeDocument/2006/relationships/hyperlink" Target="#'10 EVIDENCE &amp; DECISIONS'!A629" TargetMode="External" Id="rId672"/><Relationship Type="http://schemas.openxmlformats.org/officeDocument/2006/relationships/hyperlink" Target="#'10 EVIDENCE &amp; DECISIONS'!A630" TargetMode="External" Id="rId673"/><Relationship Type="http://schemas.openxmlformats.org/officeDocument/2006/relationships/hyperlink" Target="#'10 EVIDENCE &amp; DECISIONS'!A631" TargetMode="External" Id="rId674"/><Relationship Type="http://schemas.openxmlformats.org/officeDocument/2006/relationships/hyperlink" Target="#'10 EVIDENCE &amp; DECISIONS'!A632" TargetMode="External" Id="rId675"/><Relationship Type="http://schemas.openxmlformats.org/officeDocument/2006/relationships/hyperlink" Target="#'10 EVIDENCE &amp; DECISIONS'!A633" TargetMode="External" Id="rId676"/><Relationship Type="http://schemas.openxmlformats.org/officeDocument/2006/relationships/hyperlink" Target="#'10 EVIDENCE &amp; DECISIONS'!A634" TargetMode="External" Id="rId677"/><Relationship Type="http://schemas.openxmlformats.org/officeDocument/2006/relationships/hyperlink" Target="#'10 EVIDENCE &amp; DECISIONS'!A635" TargetMode="External" Id="rId678"/><Relationship Type="http://schemas.openxmlformats.org/officeDocument/2006/relationships/hyperlink" Target="#'10 EVIDENCE &amp; DECISIONS'!A636" TargetMode="External" Id="rId679"/><Relationship Type="http://schemas.openxmlformats.org/officeDocument/2006/relationships/hyperlink" Target="#'10 EVIDENCE &amp; DECISIONS'!A637" TargetMode="External" Id="rId680"/><Relationship Type="http://schemas.openxmlformats.org/officeDocument/2006/relationships/hyperlink" Target="#'10 EVIDENCE &amp; DECISIONS'!A638" TargetMode="External" Id="rId681"/><Relationship Type="http://schemas.openxmlformats.org/officeDocument/2006/relationships/hyperlink" Target="#'10 EVIDENCE &amp; DECISIONS'!A639" TargetMode="External" Id="rId682"/><Relationship Type="http://schemas.openxmlformats.org/officeDocument/2006/relationships/hyperlink" Target="#'10 EVIDENCE &amp; DECISIONS'!A640" TargetMode="External" Id="rId683"/><Relationship Type="http://schemas.openxmlformats.org/officeDocument/2006/relationships/hyperlink" Target="#'10 EVIDENCE &amp; DECISIONS'!A641" TargetMode="External" Id="rId684"/><Relationship Type="http://schemas.openxmlformats.org/officeDocument/2006/relationships/hyperlink" Target="#'10 EVIDENCE &amp; DECISIONS'!A642" TargetMode="External" Id="rId685"/><Relationship Type="http://schemas.openxmlformats.org/officeDocument/2006/relationships/hyperlink" Target="#'10 EVIDENCE &amp; DECISIONS'!A643" TargetMode="External" Id="rId686"/><Relationship Type="http://schemas.openxmlformats.org/officeDocument/2006/relationships/hyperlink" Target="#'10 EVIDENCE &amp; DECISIONS'!A644" TargetMode="External" Id="rId687"/><Relationship Type="http://schemas.openxmlformats.org/officeDocument/2006/relationships/hyperlink" Target="#'10 EVIDENCE &amp; DECISIONS'!A645" TargetMode="External" Id="rId688"/><Relationship Type="http://schemas.openxmlformats.org/officeDocument/2006/relationships/hyperlink" Target="#'10 EVIDENCE &amp; DECISIONS'!A646" TargetMode="External" Id="rId689"/><Relationship Type="http://schemas.openxmlformats.org/officeDocument/2006/relationships/hyperlink" Target="#'10 EVIDENCE &amp; DECISIONS'!A647" TargetMode="External" Id="rId690"/><Relationship Type="http://schemas.openxmlformats.org/officeDocument/2006/relationships/hyperlink" Target="#'10 EVIDENCE &amp; DECISIONS'!A648" TargetMode="External" Id="rId691"/><Relationship Type="http://schemas.openxmlformats.org/officeDocument/2006/relationships/hyperlink" Target="#'10 EVIDENCE &amp; DECISIONS'!A649" TargetMode="External" Id="rId692"/><Relationship Type="http://schemas.openxmlformats.org/officeDocument/2006/relationships/hyperlink" Target="#'10 EVIDENCE &amp; DECISIONS'!A650" TargetMode="External" Id="rId693"/><Relationship Type="http://schemas.openxmlformats.org/officeDocument/2006/relationships/hyperlink" Target="#'10 EVIDENCE &amp; DECISIONS'!A651" TargetMode="External" Id="rId694"/><Relationship Type="http://schemas.openxmlformats.org/officeDocument/2006/relationships/hyperlink" Target="#'10 EVIDENCE &amp; DECISIONS'!A652" TargetMode="External" Id="rId695"/><Relationship Type="http://schemas.openxmlformats.org/officeDocument/2006/relationships/hyperlink" Target="#'10 EVIDENCE &amp; DECISIONS'!A653" TargetMode="External" Id="rId696"/><Relationship Type="http://schemas.openxmlformats.org/officeDocument/2006/relationships/hyperlink" Target="#'10 EVIDENCE &amp; DECISIONS'!A654" TargetMode="External" Id="rId697"/><Relationship Type="http://schemas.openxmlformats.org/officeDocument/2006/relationships/hyperlink" Target="#'10 EVIDENCE &amp; DECISIONS'!A655" TargetMode="External" Id="rId698"/><Relationship Type="http://schemas.openxmlformats.org/officeDocument/2006/relationships/hyperlink" Target="#'10 EVIDENCE &amp; DECISIONS'!A656" TargetMode="External" Id="rId699"/><Relationship Type="http://schemas.openxmlformats.org/officeDocument/2006/relationships/hyperlink" Target="#'10 EVIDENCE &amp; DECISIONS'!A657" TargetMode="External" Id="rId700"/><Relationship Type="http://schemas.openxmlformats.org/officeDocument/2006/relationships/hyperlink" Target="#'10 EVIDENCE &amp; DECISIONS'!A658" TargetMode="External" Id="rId701"/><Relationship Type="http://schemas.openxmlformats.org/officeDocument/2006/relationships/hyperlink" Target="#'10 EVIDENCE &amp; DECISIONS'!A659" TargetMode="External" Id="rId702"/><Relationship Type="http://schemas.openxmlformats.org/officeDocument/2006/relationships/hyperlink" Target="#'10 EVIDENCE &amp; DECISIONS'!A660" TargetMode="External" Id="rId703"/><Relationship Type="http://schemas.openxmlformats.org/officeDocument/2006/relationships/hyperlink" Target="#'10 EVIDENCE &amp; DECISIONS'!A661" TargetMode="External" Id="rId704"/><Relationship Type="http://schemas.openxmlformats.org/officeDocument/2006/relationships/hyperlink" Target="#'10 EVIDENCE &amp; DECISIONS'!A662" TargetMode="External" Id="rId705"/><Relationship Type="http://schemas.openxmlformats.org/officeDocument/2006/relationships/hyperlink" Target="#'10 EVIDENCE &amp; DECISIONS'!A663" TargetMode="External" Id="rId706"/><Relationship Type="http://schemas.openxmlformats.org/officeDocument/2006/relationships/hyperlink" Target="#'10 EVIDENCE &amp; DECISIONS'!A664" TargetMode="External" Id="rId707"/><Relationship Type="http://schemas.openxmlformats.org/officeDocument/2006/relationships/hyperlink" Target="#'10 EVIDENCE &amp; DECISIONS'!A665" TargetMode="External" Id="rId708"/><Relationship Type="http://schemas.openxmlformats.org/officeDocument/2006/relationships/hyperlink" Target="#'10 EVIDENCE &amp; DECISIONS'!A666" TargetMode="External" Id="rId709"/><Relationship Type="http://schemas.openxmlformats.org/officeDocument/2006/relationships/hyperlink" Target="#'10 EVIDENCE &amp; DECISIONS'!A667" TargetMode="External" Id="rId710"/><Relationship Type="http://schemas.openxmlformats.org/officeDocument/2006/relationships/hyperlink" Target="#'10 EVIDENCE &amp; DECISIONS'!A668" TargetMode="External" Id="rId711"/><Relationship Type="http://schemas.openxmlformats.org/officeDocument/2006/relationships/hyperlink" Target="#'10 EVIDENCE &amp; DECISIONS'!A669" TargetMode="External" Id="rId712"/><Relationship Type="http://schemas.openxmlformats.org/officeDocument/2006/relationships/hyperlink" Target="#'10 EVIDENCE &amp; DECISIONS'!A670" TargetMode="External" Id="rId713"/><Relationship Type="http://schemas.openxmlformats.org/officeDocument/2006/relationships/hyperlink" Target="#'10 EVIDENCE &amp; DECISIONS'!A671" TargetMode="External" Id="rId714"/><Relationship Type="http://schemas.openxmlformats.org/officeDocument/2006/relationships/hyperlink" Target="#'10 EVIDENCE &amp; DECISIONS'!A672" TargetMode="External" Id="rId715"/><Relationship Type="http://schemas.openxmlformats.org/officeDocument/2006/relationships/hyperlink" Target="#'10 EVIDENCE &amp; DECISIONS'!A673" TargetMode="External" Id="rId716"/><Relationship Type="http://schemas.openxmlformats.org/officeDocument/2006/relationships/hyperlink" Target="#'10 EVIDENCE &amp; DECISIONS'!A674" TargetMode="External" Id="rId717"/><Relationship Type="http://schemas.openxmlformats.org/officeDocument/2006/relationships/hyperlink" Target="#'10 EVIDENCE &amp; DECISIONS'!A675" TargetMode="External" Id="rId718"/><Relationship Type="http://schemas.openxmlformats.org/officeDocument/2006/relationships/hyperlink" Target="#'10 EVIDENCE &amp; DECISIONS'!A776" TargetMode="External" Id="rId719"/><Relationship Type="http://schemas.openxmlformats.org/officeDocument/2006/relationships/hyperlink" Target="#'10 EVIDENCE &amp; DECISIONS'!A777" TargetMode="External" Id="rId720"/><Relationship Type="http://schemas.openxmlformats.org/officeDocument/2006/relationships/hyperlink" Target="#'10 EVIDENCE &amp; DECISIONS'!A778" TargetMode="External" Id="rId721"/><Relationship Type="http://schemas.openxmlformats.org/officeDocument/2006/relationships/hyperlink" Target="#'10 EVIDENCE &amp; DECISIONS'!A779" TargetMode="External" Id="rId722"/><Relationship Type="http://schemas.openxmlformats.org/officeDocument/2006/relationships/hyperlink" Target="#'10 EVIDENCE &amp; DECISIONS'!A780" TargetMode="External" Id="rId723"/><Relationship Type="http://schemas.openxmlformats.org/officeDocument/2006/relationships/hyperlink" Target="#'10 EVIDENCE &amp; DECISIONS'!A781" TargetMode="External" Id="rId724"/><Relationship Type="http://schemas.openxmlformats.org/officeDocument/2006/relationships/hyperlink" Target="#'10 EVIDENCE &amp; DECISIONS'!A782" TargetMode="External" Id="rId725"/><Relationship Type="http://schemas.openxmlformats.org/officeDocument/2006/relationships/hyperlink" Target="#'10 EVIDENCE &amp; DECISIONS'!A783" TargetMode="External" Id="rId726"/><Relationship Type="http://schemas.openxmlformats.org/officeDocument/2006/relationships/hyperlink" Target="#'10 EVIDENCE &amp; DECISIONS'!A784" TargetMode="External" Id="rId727"/><Relationship Type="http://schemas.openxmlformats.org/officeDocument/2006/relationships/hyperlink" Target="#'10 EVIDENCE &amp; DECISIONS'!A785" TargetMode="External" Id="rId728"/><Relationship Type="http://schemas.openxmlformats.org/officeDocument/2006/relationships/hyperlink" Target="#'10 EVIDENCE &amp; DECISIONS'!A786" TargetMode="External" Id="rId729"/><Relationship Type="http://schemas.openxmlformats.org/officeDocument/2006/relationships/hyperlink" Target="#'10 EVIDENCE &amp; DECISIONS'!A787" TargetMode="External" Id="rId730"/><Relationship Type="http://schemas.openxmlformats.org/officeDocument/2006/relationships/hyperlink" Target="#'10 EVIDENCE &amp; DECISIONS'!A788" TargetMode="External" Id="rId731"/><Relationship Type="http://schemas.openxmlformats.org/officeDocument/2006/relationships/hyperlink" Target="#'10 EVIDENCE &amp; DECISIONS'!A789" TargetMode="External" Id="rId732"/><Relationship Type="http://schemas.openxmlformats.org/officeDocument/2006/relationships/hyperlink" Target="#'10 EVIDENCE &amp; DECISIONS'!A790" TargetMode="External" Id="rId733"/><Relationship Type="http://schemas.openxmlformats.org/officeDocument/2006/relationships/hyperlink" Target="#'10 EVIDENCE &amp; DECISIONS'!A791" TargetMode="External" Id="rId734"/><Relationship Type="http://schemas.openxmlformats.org/officeDocument/2006/relationships/hyperlink" Target="#'10 EVIDENCE &amp; DECISIONS'!A792" TargetMode="External" Id="rId735"/><Relationship Type="http://schemas.openxmlformats.org/officeDocument/2006/relationships/hyperlink" Target="#'10 EVIDENCE &amp; DECISIONS'!A793" TargetMode="External" Id="rId736"/><Relationship Type="http://schemas.openxmlformats.org/officeDocument/2006/relationships/hyperlink" Target="#'10 EVIDENCE &amp; DECISIONS'!A794" TargetMode="External" Id="rId737"/><Relationship Type="http://schemas.openxmlformats.org/officeDocument/2006/relationships/hyperlink" Target="#'10 EVIDENCE &amp; DECISIONS'!A795" TargetMode="External" Id="rId738"/><Relationship Type="http://schemas.openxmlformats.org/officeDocument/2006/relationships/hyperlink" Target="#'10 EVIDENCE &amp; DECISIONS'!A796" TargetMode="External" Id="rId739"/><Relationship Type="http://schemas.openxmlformats.org/officeDocument/2006/relationships/hyperlink" Target="#'10 EVIDENCE &amp; DECISIONS'!A797" TargetMode="External" Id="rId740"/><Relationship Type="http://schemas.openxmlformats.org/officeDocument/2006/relationships/hyperlink" Target="#'10 EVIDENCE &amp; DECISIONS'!A798" TargetMode="External" Id="rId741"/><Relationship Type="http://schemas.openxmlformats.org/officeDocument/2006/relationships/hyperlink" Target="#'10 EVIDENCE &amp; DECISIONS'!A799" TargetMode="External" Id="rId742"/><Relationship Type="http://schemas.openxmlformats.org/officeDocument/2006/relationships/hyperlink" Target="#'10 EVIDENCE &amp; DECISIONS'!A800" TargetMode="External" Id="rId743"/><Relationship Type="http://schemas.openxmlformats.org/officeDocument/2006/relationships/hyperlink" Target="#'10 EVIDENCE &amp; DECISIONS'!A801" TargetMode="External" Id="rId744"/><Relationship Type="http://schemas.openxmlformats.org/officeDocument/2006/relationships/hyperlink" Target="#'10 EVIDENCE &amp; DECISIONS'!A802" TargetMode="External" Id="rId745"/><Relationship Type="http://schemas.openxmlformats.org/officeDocument/2006/relationships/hyperlink" Target="#'10 EVIDENCE &amp; DECISIONS'!A803" TargetMode="External" Id="rId746"/><Relationship Type="http://schemas.openxmlformats.org/officeDocument/2006/relationships/hyperlink" Target="#'10 EVIDENCE &amp; DECISIONS'!A804" TargetMode="External" Id="rId747"/><Relationship Type="http://schemas.openxmlformats.org/officeDocument/2006/relationships/hyperlink" Target="#'10 EVIDENCE &amp; DECISIONS'!A805" TargetMode="External" Id="rId748"/><Relationship Type="http://schemas.openxmlformats.org/officeDocument/2006/relationships/hyperlink" Target="#'10 EVIDENCE &amp; DECISIONS'!A806" TargetMode="External" Id="rId749"/><Relationship Type="http://schemas.openxmlformats.org/officeDocument/2006/relationships/hyperlink" Target="#'10 EVIDENCE &amp; DECISIONS'!A807" TargetMode="External" Id="rId750"/><Relationship Type="http://schemas.openxmlformats.org/officeDocument/2006/relationships/hyperlink" Target="#'10 EVIDENCE &amp; DECISIONS'!A808" TargetMode="External" Id="rId751"/><Relationship Type="http://schemas.openxmlformats.org/officeDocument/2006/relationships/hyperlink" Target="#'10 EVIDENCE &amp; DECISIONS'!A809" TargetMode="External" Id="rId752"/><Relationship Type="http://schemas.openxmlformats.org/officeDocument/2006/relationships/hyperlink" Target="#'10 EVIDENCE &amp; DECISIONS'!A810" TargetMode="External" Id="rId753"/><Relationship Type="http://schemas.openxmlformats.org/officeDocument/2006/relationships/hyperlink" Target="#'10 EVIDENCE &amp; DECISIONS'!A811" TargetMode="External" Id="rId754"/><Relationship Type="http://schemas.openxmlformats.org/officeDocument/2006/relationships/hyperlink" Target="#'10 EVIDENCE &amp; DECISIONS'!A812" TargetMode="External" Id="rId755"/><Relationship Type="http://schemas.openxmlformats.org/officeDocument/2006/relationships/hyperlink" Target="#'10 EVIDENCE &amp; DECISIONS'!A813" TargetMode="External" Id="rId756"/><Relationship Type="http://schemas.openxmlformats.org/officeDocument/2006/relationships/hyperlink" Target="#'10 EVIDENCE &amp; DECISIONS'!A814" TargetMode="External" Id="rId757"/><Relationship Type="http://schemas.openxmlformats.org/officeDocument/2006/relationships/hyperlink" Target="#'10 EVIDENCE &amp; DECISIONS'!A716" TargetMode="External" Id="rId758"/><Relationship Type="http://schemas.openxmlformats.org/officeDocument/2006/relationships/hyperlink" Target="#'10 EVIDENCE &amp; DECISIONS'!A717" TargetMode="External" Id="rId759"/><Relationship Type="http://schemas.openxmlformats.org/officeDocument/2006/relationships/hyperlink" Target="#'10 EVIDENCE &amp; DECISIONS'!A718" TargetMode="External" Id="rId760"/><Relationship Type="http://schemas.openxmlformats.org/officeDocument/2006/relationships/hyperlink" Target="#'10 EVIDENCE &amp; DECISIONS'!A719" TargetMode="External" Id="rId761"/><Relationship Type="http://schemas.openxmlformats.org/officeDocument/2006/relationships/hyperlink" Target="#'10 EVIDENCE &amp; DECISIONS'!A720" TargetMode="External" Id="rId762"/><Relationship Type="http://schemas.openxmlformats.org/officeDocument/2006/relationships/hyperlink" Target="#'10 EVIDENCE &amp; DECISIONS'!A721" TargetMode="External" Id="rId763"/><Relationship Type="http://schemas.openxmlformats.org/officeDocument/2006/relationships/hyperlink" Target="#'10 EVIDENCE &amp; DECISIONS'!A722" TargetMode="External" Id="rId764"/><Relationship Type="http://schemas.openxmlformats.org/officeDocument/2006/relationships/hyperlink" Target="#'10 EVIDENCE &amp; DECISIONS'!A723" TargetMode="External" Id="rId765"/><Relationship Type="http://schemas.openxmlformats.org/officeDocument/2006/relationships/hyperlink" Target="#'10 EVIDENCE &amp; DECISIONS'!A724" TargetMode="External" Id="rId766"/><Relationship Type="http://schemas.openxmlformats.org/officeDocument/2006/relationships/hyperlink" Target="#'10 EVIDENCE &amp; DECISIONS'!A725" TargetMode="External" Id="rId767"/><Relationship Type="http://schemas.openxmlformats.org/officeDocument/2006/relationships/hyperlink" Target="#'10 EVIDENCE &amp; DECISIONS'!A726" TargetMode="External" Id="rId768"/><Relationship Type="http://schemas.openxmlformats.org/officeDocument/2006/relationships/hyperlink" Target="#'10 EVIDENCE &amp; DECISIONS'!A727" TargetMode="External" Id="rId769"/><Relationship Type="http://schemas.openxmlformats.org/officeDocument/2006/relationships/hyperlink" Target="#'10 EVIDENCE &amp; DECISIONS'!A728" TargetMode="External" Id="rId770"/><Relationship Type="http://schemas.openxmlformats.org/officeDocument/2006/relationships/hyperlink" Target="#'10 EVIDENCE &amp; DECISIONS'!A729" TargetMode="External" Id="rId771"/><Relationship Type="http://schemas.openxmlformats.org/officeDocument/2006/relationships/hyperlink" Target="#'10 EVIDENCE &amp; DECISIONS'!A730" TargetMode="External" Id="rId772"/><Relationship Type="http://schemas.openxmlformats.org/officeDocument/2006/relationships/hyperlink" Target="#'10 EVIDENCE &amp; DECISIONS'!A731" TargetMode="External" Id="rId773"/><Relationship Type="http://schemas.openxmlformats.org/officeDocument/2006/relationships/hyperlink" Target="#'10 EVIDENCE &amp; DECISIONS'!A732" TargetMode="External" Id="rId774"/><Relationship Type="http://schemas.openxmlformats.org/officeDocument/2006/relationships/hyperlink" Target="#'10 EVIDENCE &amp; DECISIONS'!A733" TargetMode="External" Id="rId775"/><Relationship Type="http://schemas.openxmlformats.org/officeDocument/2006/relationships/hyperlink" Target="#'10 EVIDENCE &amp; DECISIONS'!A734" TargetMode="External" Id="rId776"/><Relationship Type="http://schemas.openxmlformats.org/officeDocument/2006/relationships/hyperlink" Target="#'10 EVIDENCE &amp; DECISIONS'!A735" TargetMode="External" Id="rId777"/><Relationship Type="http://schemas.openxmlformats.org/officeDocument/2006/relationships/hyperlink" Target="#'10 EVIDENCE &amp; DECISIONS'!A736" TargetMode="External" Id="rId778"/><Relationship Type="http://schemas.openxmlformats.org/officeDocument/2006/relationships/hyperlink" Target="#'10 EVIDENCE &amp; DECISIONS'!A737" TargetMode="External" Id="rId779"/><Relationship Type="http://schemas.openxmlformats.org/officeDocument/2006/relationships/hyperlink" Target="#'10 EVIDENCE &amp; DECISIONS'!A738" TargetMode="External" Id="rId780"/><Relationship Type="http://schemas.openxmlformats.org/officeDocument/2006/relationships/hyperlink" Target="#'10 EVIDENCE &amp; DECISIONS'!A739" TargetMode="External" Id="rId781"/><Relationship Type="http://schemas.openxmlformats.org/officeDocument/2006/relationships/hyperlink" Target="#'10 EVIDENCE &amp; DECISIONS'!A740" TargetMode="External" Id="rId782"/><Relationship Type="http://schemas.openxmlformats.org/officeDocument/2006/relationships/hyperlink" Target="#'10 EVIDENCE &amp; DECISIONS'!A741" TargetMode="External" Id="rId783"/><Relationship Type="http://schemas.openxmlformats.org/officeDocument/2006/relationships/hyperlink" Target="#'10 EVIDENCE &amp; DECISIONS'!A742" TargetMode="External" Id="rId784"/><Relationship Type="http://schemas.openxmlformats.org/officeDocument/2006/relationships/hyperlink" Target="#'10 EVIDENCE &amp; DECISIONS'!A743" TargetMode="External" Id="rId785"/><Relationship Type="http://schemas.openxmlformats.org/officeDocument/2006/relationships/hyperlink" Target="#'10 EVIDENCE &amp; DECISIONS'!A744" TargetMode="External" Id="rId786"/><Relationship Type="http://schemas.openxmlformats.org/officeDocument/2006/relationships/hyperlink" Target="#'10 EVIDENCE &amp; DECISIONS'!A745" TargetMode="External" Id="rId787"/><Relationship Type="http://schemas.openxmlformats.org/officeDocument/2006/relationships/hyperlink" Target="#'10 EVIDENCE &amp; DECISIONS'!A746" TargetMode="External" Id="rId788"/><Relationship Type="http://schemas.openxmlformats.org/officeDocument/2006/relationships/hyperlink" Target="#'10 EVIDENCE &amp; DECISIONS'!A747" TargetMode="External" Id="rId789"/><Relationship Type="http://schemas.openxmlformats.org/officeDocument/2006/relationships/hyperlink" Target="#'10 EVIDENCE &amp; DECISIONS'!A748" TargetMode="External" Id="rId790"/><Relationship Type="http://schemas.openxmlformats.org/officeDocument/2006/relationships/hyperlink" Target="#'10 EVIDENCE &amp; DECISIONS'!A749" TargetMode="External" Id="rId791"/><Relationship Type="http://schemas.openxmlformats.org/officeDocument/2006/relationships/hyperlink" Target="#'10 EVIDENCE &amp; DECISIONS'!A750" TargetMode="External" Id="rId792"/><Relationship Type="http://schemas.openxmlformats.org/officeDocument/2006/relationships/hyperlink" Target="#'10 EVIDENCE &amp; DECISIONS'!A751" TargetMode="External" Id="rId793"/><Relationship Type="http://schemas.openxmlformats.org/officeDocument/2006/relationships/hyperlink" Target="#'10 EVIDENCE &amp; DECISIONS'!A752" TargetMode="External" Id="rId794"/><Relationship Type="http://schemas.openxmlformats.org/officeDocument/2006/relationships/hyperlink" Target="#'10 EVIDENCE &amp; DECISIONS'!A753" TargetMode="External" Id="rId795"/><Relationship Type="http://schemas.openxmlformats.org/officeDocument/2006/relationships/hyperlink" Target="#'10 EVIDENCE &amp; DECISIONS'!A754" TargetMode="External" Id="rId796"/><Relationship Type="http://schemas.openxmlformats.org/officeDocument/2006/relationships/hyperlink" Target="#'10 EVIDENCE &amp; DECISIONS'!A755" TargetMode="External" Id="rId797"/><Relationship Type="http://schemas.openxmlformats.org/officeDocument/2006/relationships/hyperlink" Target="#'10 EVIDENCE &amp; DECISIONS'!A756" TargetMode="External" Id="rId798"/><Relationship Type="http://schemas.openxmlformats.org/officeDocument/2006/relationships/hyperlink" Target="#'10 EVIDENCE &amp; DECISIONS'!A757" TargetMode="External" Id="rId799"/><Relationship Type="http://schemas.openxmlformats.org/officeDocument/2006/relationships/hyperlink" Target="#'10 EVIDENCE &amp; DECISIONS'!A758" TargetMode="External" Id="rId800"/><Relationship Type="http://schemas.openxmlformats.org/officeDocument/2006/relationships/hyperlink" Target="#'10 EVIDENCE &amp; DECISIONS'!A759" TargetMode="External" Id="rId801"/><Relationship Type="http://schemas.openxmlformats.org/officeDocument/2006/relationships/hyperlink" Target="#'10 EVIDENCE &amp; DECISIONS'!A760" TargetMode="External" Id="rId802"/><Relationship Type="http://schemas.openxmlformats.org/officeDocument/2006/relationships/hyperlink" Target="#'10 EVIDENCE &amp; DECISIONS'!A761" TargetMode="External" Id="rId803"/><Relationship Type="http://schemas.openxmlformats.org/officeDocument/2006/relationships/hyperlink" Target="#'10 EVIDENCE &amp; DECISIONS'!A762" TargetMode="External" Id="rId804"/><Relationship Type="http://schemas.openxmlformats.org/officeDocument/2006/relationships/hyperlink" Target="#'10 EVIDENCE &amp; DECISIONS'!A763" TargetMode="External" Id="rId805"/><Relationship Type="http://schemas.openxmlformats.org/officeDocument/2006/relationships/hyperlink" Target="#'10 EVIDENCE &amp; DECISIONS'!A764" TargetMode="External" Id="rId806"/><Relationship Type="http://schemas.openxmlformats.org/officeDocument/2006/relationships/hyperlink" Target="#'10 EVIDENCE &amp; DECISIONS'!A765" TargetMode="External" Id="rId807"/><Relationship Type="http://schemas.openxmlformats.org/officeDocument/2006/relationships/hyperlink" Target="#'10 EVIDENCE &amp; DECISIONS'!A766" TargetMode="External" Id="rId808"/><Relationship Type="http://schemas.openxmlformats.org/officeDocument/2006/relationships/hyperlink" Target="#'10 EVIDENCE &amp; DECISIONS'!A767" TargetMode="External" Id="rId809"/><Relationship Type="http://schemas.openxmlformats.org/officeDocument/2006/relationships/hyperlink" Target="#'10 EVIDENCE &amp; DECISIONS'!A768" TargetMode="External" Id="rId810"/><Relationship Type="http://schemas.openxmlformats.org/officeDocument/2006/relationships/hyperlink" Target="#'10 EVIDENCE &amp; DECISIONS'!A769" TargetMode="External" Id="rId811"/><Relationship Type="http://schemas.openxmlformats.org/officeDocument/2006/relationships/hyperlink" Target="#'10 EVIDENCE &amp; DECISIONS'!A770" TargetMode="External" Id="rId812"/><Relationship Type="http://schemas.openxmlformats.org/officeDocument/2006/relationships/hyperlink" Target="#'10 EVIDENCE &amp; DECISIONS'!A771" TargetMode="External" Id="rId813"/><Relationship Type="http://schemas.openxmlformats.org/officeDocument/2006/relationships/hyperlink" Target="#'10 EVIDENCE &amp; DECISIONS'!A772" TargetMode="External" Id="rId814"/><Relationship Type="http://schemas.openxmlformats.org/officeDocument/2006/relationships/hyperlink" Target="#'10 EVIDENCE &amp; DECISIONS'!A773" TargetMode="External" Id="rId815"/><Relationship Type="http://schemas.openxmlformats.org/officeDocument/2006/relationships/hyperlink" Target="#'10 EVIDENCE &amp; DECISIONS'!A774" TargetMode="External" Id="rId816"/><Relationship Type="http://schemas.openxmlformats.org/officeDocument/2006/relationships/hyperlink" Target="#'10 EVIDENCE &amp; DECISIONS'!A775" TargetMode="External" Id="rId817"/><Relationship Type="http://schemas.openxmlformats.org/officeDocument/2006/relationships/hyperlink" Target="#'10 EVIDENCE &amp; DECISIONS'!A815" TargetMode="External" Id="rId818"/><Relationship Type="http://schemas.openxmlformats.org/officeDocument/2006/relationships/hyperlink" Target="#'10 EVIDENCE &amp; DECISIONS'!A816" TargetMode="External" Id="rId819"/><Relationship Type="http://schemas.openxmlformats.org/officeDocument/2006/relationships/hyperlink" Target="#'10 EVIDENCE &amp; DECISIONS'!A817" TargetMode="External" Id="rId820"/><Relationship Type="http://schemas.openxmlformats.org/officeDocument/2006/relationships/hyperlink" Target="#'10 EVIDENCE &amp; DECISIONS'!A818" TargetMode="External" Id="rId821"/><Relationship Type="http://schemas.openxmlformats.org/officeDocument/2006/relationships/hyperlink" Target="#'10 EVIDENCE &amp; DECISIONS'!A819" TargetMode="External" Id="rId822"/><Relationship Type="http://schemas.openxmlformats.org/officeDocument/2006/relationships/hyperlink" Target="#'10 EVIDENCE &amp; DECISIONS'!A820" TargetMode="External" Id="rId823"/><Relationship Type="http://schemas.openxmlformats.org/officeDocument/2006/relationships/hyperlink" Target="#'10 EVIDENCE &amp; DECISIONS'!A821" TargetMode="External" Id="rId824"/><Relationship Type="http://schemas.openxmlformats.org/officeDocument/2006/relationships/hyperlink" Target="#'10 EVIDENCE &amp; DECISIONS'!A822" TargetMode="External" Id="rId825"/><Relationship Type="http://schemas.openxmlformats.org/officeDocument/2006/relationships/hyperlink" Target="#'10 EVIDENCE &amp; DECISIONS'!A823" TargetMode="External" Id="rId826"/><Relationship Type="http://schemas.openxmlformats.org/officeDocument/2006/relationships/hyperlink" Target="#'10 EVIDENCE &amp; DECISIONS'!A824" TargetMode="External" Id="rId827"/><Relationship Type="http://schemas.openxmlformats.org/officeDocument/2006/relationships/hyperlink" Target="#'10 EVIDENCE &amp; DECISIONS'!A945" TargetMode="External" Id="rId828"/><Relationship Type="http://schemas.openxmlformats.org/officeDocument/2006/relationships/hyperlink" Target="#'10 EVIDENCE &amp; DECISIONS'!A946" TargetMode="External" Id="rId829"/><Relationship Type="http://schemas.openxmlformats.org/officeDocument/2006/relationships/hyperlink" Target="#'10 EVIDENCE &amp; DECISIONS'!A947" TargetMode="External" Id="rId830"/><Relationship Type="http://schemas.openxmlformats.org/officeDocument/2006/relationships/hyperlink" Target="#'10 EVIDENCE &amp; DECISIONS'!A948" TargetMode="External" Id="rId831"/><Relationship Type="http://schemas.openxmlformats.org/officeDocument/2006/relationships/hyperlink" Target="#'10 EVIDENCE &amp; DECISIONS'!A949" TargetMode="External" Id="rId832"/><Relationship Type="http://schemas.openxmlformats.org/officeDocument/2006/relationships/hyperlink" Target="#'10 EVIDENCE &amp; DECISIONS'!A950" TargetMode="External" Id="rId833"/><Relationship Type="http://schemas.openxmlformats.org/officeDocument/2006/relationships/hyperlink" Target="#'10 EVIDENCE &amp; DECISIONS'!A951" TargetMode="External" Id="rId834"/><Relationship Type="http://schemas.openxmlformats.org/officeDocument/2006/relationships/hyperlink" Target="#'10 EVIDENCE &amp; DECISIONS'!A952" TargetMode="External" Id="rId835"/><Relationship Type="http://schemas.openxmlformats.org/officeDocument/2006/relationships/hyperlink" Target="#'10 EVIDENCE &amp; DECISIONS'!A953" TargetMode="External" Id="rId836"/><Relationship Type="http://schemas.openxmlformats.org/officeDocument/2006/relationships/hyperlink" Target="#'10 EVIDENCE &amp; DECISIONS'!A954" TargetMode="External" Id="rId837"/><Relationship Type="http://schemas.openxmlformats.org/officeDocument/2006/relationships/hyperlink" Target="#'10 EVIDENCE &amp; DECISIONS'!A955" TargetMode="External" Id="rId838"/><Relationship Type="http://schemas.openxmlformats.org/officeDocument/2006/relationships/hyperlink" Target="#'10 EVIDENCE &amp; DECISIONS'!A956" TargetMode="External" Id="rId839"/><Relationship Type="http://schemas.openxmlformats.org/officeDocument/2006/relationships/hyperlink" Target="#'10 EVIDENCE &amp; DECISIONS'!A957" TargetMode="External" Id="rId840"/><Relationship Type="http://schemas.openxmlformats.org/officeDocument/2006/relationships/hyperlink" Target="#'10 EVIDENCE &amp; DECISIONS'!A958" TargetMode="External" Id="rId841"/><Relationship Type="http://schemas.openxmlformats.org/officeDocument/2006/relationships/hyperlink" Target="#'10 EVIDENCE &amp; DECISIONS'!A959" TargetMode="External" Id="rId842"/><Relationship Type="http://schemas.openxmlformats.org/officeDocument/2006/relationships/hyperlink" Target="#'10 EVIDENCE &amp; DECISIONS'!A960" TargetMode="External" Id="rId843"/><Relationship Type="http://schemas.openxmlformats.org/officeDocument/2006/relationships/hyperlink" Target="#'10 EVIDENCE &amp; DECISIONS'!A961" TargetMode="External" Id="rId844"/><Relationship Type="http://schemas.openxmlformats.org/officeDocument/2006/relationships/hyperlink" Target="#'10 EVIDENCE &amp; DECISIONS'!A962" TargetMode="External" Id="rId845"/><Relationship Type="http://schemas.openxmlformats.org/officeDocument/2006/relationships/hyperlink" Target="#'10 EVIDENCE &amp; DECISIONS'!A963" TargetMode="External" Id="rId846"/><Relationship Type="http://schemas.openxmlformats.org/officeDocument/2006/relationships/hyperlink" Target="#'10 EVIDENCE &amp; DECISIONS'!A964" TargetMode="External" Id="rId847"/><Relationship Type="http://schemas.openxmlformats.org/officeDocument/2006/relationships/hyperlink" Target="#'10 EVIDENCE &amp; DECISIONS'!A965" TargetMode="External" Id="rId848"/><Relationship Type="http://schemas.openxmlformats.org/officeDocument/2006/relationships/hyperlink" Target="#'10 EVIDENCE &amp; DECISIONS'!A966" TargetMode="External" Id="rId849"/><Relationship Type="http://schemas.openxmlformats.org/officeDocument/2006/relationships/hyperlink" Target="#'10 EVIDENCE &amp; DECISIONS'!A967" TargetMode="External" Id="rId850"/><Relationship Type="http://schemas.openxmlformats.org/officeDocument/2006/relationships/hyperlink" Target="#'10 EVIDENCE &amp; DECISIONS'!A968" TargetMode="External" Id="rId851"/><Relationship Type="http://schemas.openxmlformats.org/officeDocument/2006/relationships/hyperlink" Target="#'10 EVIDENCE &amp; DECISIONS'!A969" TargetMode="External" Id="rId852"/><Relationship Type="http://schemas.openxmlformats.org/officeDocument/2006/relationships/hyperlink" Target="#'10 EVIDENCE &amp; DECISIONS'!A970" TargetMode="External" Id="rId853"/><Relationship Type="http://schemas.openxmlformats.org/officeDocument/2006/relationships/hyperlink" Target="#'10 EVIDENCE &amp; DECISIONS'!A971" TargetMode="External" Id="rId854"/><Relationship Type="http://schemas.openxmlformats.org/officeDocument/2006/relationships/hyperlink" Target="#'10 EVIDENCE &amp; DECISIONS'!A972" TargetMode="External" Id="rId855"/><Relationship Type="http://schemas.openxmlformats.org/officeDocument/2006/relationships/hyperlink" Target="#'10 EVIDENCE &amp; DECISIONS'!A973" TargetMode="External" Id="rId856"/><Relationship Type="http://schemas.openxmlformats.org/officeDocument/2006/relationships/hyperlink" Target="#'10 EVIDENCE &amp; DECISIONS'!A974" TargetMode="External" Id="rId857"/><Relationship Type="http://schemas.openxmlformats.org/officeDocument/2006/relationships/hyperlink" Target="#'10 EVIDENCE &amp; DECISIONS'!A975" TargetMode="External" Id="rId858"/><Relationship Type="http://schemas.openxmlformats.org/officeDocument/2006/relationships/hyperlink" Target="#'10 EVIDENCE &amp; DECISIONS'!A976" TargetMode="External" Id="rId859"/><Relationship Type="http://schemas.openxmlformats.org/officeDocument/2006/relationships/hyperlink" Target="#'10 EVIDENCE &amp; DECISIONS'!A977" TargetMode="External" Id="rId860"/><Relationship Type="http://schemas.openxmlformats.org/officeDocument/2006/relationships/hyperlink" Target="#'10 EVIDENCE &amp; DECISIONS'!A978" TargetMode="External" Id="rId861"/><Relationship Type="http://schemas.openxmlformats.org/officeDocument/2006/relationships/hyperlink" Target="#'10 EVIDENCE &amp; DECISIONS'!A979" TargetMode="External" Id="rId862"/><Relationship Type="http://schemas.openxmlformats.org/officeDocument/2006/relationships/hyperlink" Target="#'10 EVIDENCE &amp; DECISIONS'!A980" TargetMode="External" Id="rId863"/><Relationship Type="http://schemas.openxmlformats.org/officeDocument/2006/relationships/hyperlink" Target="#'10 EVIDENCE &amp; DECISIONS'!A981" TargetMode="External" Id="rId864"/><Relationship Type="http://schemas.openxmlformats.org/officeDocument/2006/relationships/hyperlink" Target="#'10 EVIDENCE &amp; DECISIONS'!A982" TargetMode="External" Id="rId865"/><Relationship Type="http://schemas.openxmlformats.org/officeDocument/2006/relationships/hyperlink" Target="#'10 EVIDENCE &amp; DECISIONS'!A983" TargetMode="External" Id="rId866"/><Relationship Type="http://schemas.openxmlformats.org/officeDocument/2006/relationships/hyperlink" Target="#'10 EVIDENCE &amp; DECISIONS'!A984" TargetMode="External" Id="rId867"/><Relationship Type="http://schemas.openxmlformats.org/officeDocument/2006/relationships/hyperlink" Target="#'10 EVIDENCE &amp; DECISIONS'!A825" TargetMode="External" Id="rId868"/><Relationship Type="http://schemas.openxmlformats.org/officeDocument/2006/relationships/hyperlink" Target="#'10 EVIDENCE &amp; DECISIONS'!A826" TargetMode="External" Id="rId869"/><Relationship Type="http://schemas.openxmlformats.org/officeDocument/2006/relationships/hyperlink" Target="#'10 EVIDENCE &amp; DECISIONS'!A827" TargetMode="External" Id="rId870"/><Relationship Type="http://schemas.openxmlformats.org/officeDocument/2006/relationships/hyperlink" Target="#'10 EVIDENCE &amp; DECISIONS'!A828" TargetMode="External" Id="rId871"/><Relationship Type="http://schemas.openxmlformats.org/officeDocument/2006/relationships/hyperlink" Target="#'10 EVIDENCE &amp; DECISIONS'!A829" TargetMode="External" Id="rId872"/><Relationship Type="http://schemas.openxmlformats.org/officeDocument/2006/relationships/hyperlink" Target="#'10 EVIDENCE &amp; DECISIONS'!A830" TargetMode="External" Id="rId873"/><Relationship Type="http://schemas.openxmlformats.org/officeDocument/2006/relationships/hyperlink" Target="#'10 EVIDENCE &amp; DECISIONS'!A831" TargetMode="External" Id="rId874"/><Relationship Type="http://schemas.openxmlformats.org/officeDocument/2006/relationships/hyperlink" Target="#'10 EVIDENCE &amp; DECISIONS'!A832" TargetMode="External" Id="rId875"/><Relationship Type="http://schemas.openxmlformats.org/officeDocument/2006/relationships/hyperlink" Target="#'10 EVIDENCE &amp; DECISIONS'!A833" TargetMode="External" Id="rId876"/><Relationship Type="http://schemas.openxmlformats.org/officeDocument/2006/relationships/hyperlink" Target="#'10 EVIDENCE &amp; DECISIONS'!A834" TargetMode="External" Id="rId877"/><Relationship Type="http://schemas.openxmlformats.org/officeDocument/2006/relationships/hyperlink" Target="#'10 EVIDENCE &amp; DECISIONS'!A835" TargetMode="External" Id="rId878"/><Relationship Type="http://schemas.openxmlformats.org/officeDocument/2006/relationships/hyperlink" Target="#'10 EVIDENCE &amp; DECISIONS'!A836" TargetMode="External" Id="rId879"/><Relationship Type="http://schemas.openxmlformats.org/officeDocument/2006/relationships/hyperlink" Target="#'10 EVIDENCE &amp; DECISIONS'!A837" TargetMode="External" Id="rId880"/><Relationship Type="http://schemas.openxmlformats.org/officeDocument/2006/relationships/hyperlink" Target="#'10 EVIDENCE &amp; DECISIONS'!A838" TargetMode="External" Id="rId881"/><Relationship Type="http://schemas.openxmlformats.org/officeDocument/2006/relationships/hyperlink" Target="#'10 EVIDENCE &amp; DECISIONS'!A839" TargetMode="External" Id="rId882"/><Relationship Type="http://schemas.openxmlformats.org/officeDocument/2006/relationships/hyperlink" Target="#'10 EVIDENCE &amp; DECISIONS'!A840" TargetMode="External" Id="rId883"/><Relationship Type="http://schemas.openxmlformats.org/officeDocument/2006/relationships/hyperlink" Target="#'10 EVIDENCE &amp; DECISIONS'!A841" TargetMode="External" Id="rId884"/><Relationship Type="http://schemas.openxmlformats.org/officeDocument/2006/relationships/hyperlink" Target="#'10 EVIDENCE &amp; DECISIONS'!A842" TargetMode="External" Id="rId885"/><Relationship Type="http://schemas.openxmlformats.org/officeDocument/2006/relationships/hyperlink" Target="#'10 EVIDENCE &amp; DECISIONS'!A843" TargetMode="External" Id="rId886"/><Relationship Type="http://schemas.openxmlformats.org/officeDocument/2006/relationships/hyperlink" Target="#'10 EVIDENCE &amp; DECISIONS'!A844" TargetMode="External" Id="rId887"/><Relationship Type="http://schemas.openxmlformats.org/officeDocument/2006/relationships/hyperlink" Target="#'10 EVIDENCE &amp; DECISIONS'!A845" TargetMode="External" Id="rId888"/><Relationship Type="http://schemas.openxmlformats.org/officeDocument/2006/relationships/hyperlink" Target="#'10 EVIDENCE &amp; DECISIONS'!A846" TargetMode="External" Id="rId889"/><Relationship Type="http://schemas.openxmlformats.org/officeDocument/2006/relationships/hyperlink" Target="#'10 EVIDENCE &amp; DECISIONS'!A847" TargetMode="External" Id="rId890"/><Relationship Type="http://schemas.openxmlformats.org/officeDocument/2006/relationships/hyperlink" Target="#'10 EVIDENCE &amp; DECISIONS'!A848" TargetMode="External" Id="rId891"/><Relationship Type="http://schemas.openxmlformats.org/officeDocument/2006/relationships/hyperlink" Target="#'10 EVIDENCE &amp; DECISIONS'!A849" TargetMode="External" Id="rId892"/><Relationship Type="http://schemas.openxmlformats.org/officeDocument/2006/relationships/hyperlink" Target="#'10 EVIDENCE &amp; DECISIONS'!A850" TargetMode="External" Id="rId893"/><Relationship Type="http://schemas.openxmlformats.org/officeDocument/2006/relationships/hyperlink" Target="#'10 EVIDENCE &amp; DECISIONS'!A851" TargetMode="External" Id="rId894"/><Relationship Type="http://schemas.openxmlformats.org/officeDocument/2006/relationships/hyperlink" Target="#'10 EVIDENCE &amp; DECISIONS'!A852" TargetMode="External" Id="rId895"/><Relationship Type="http://schemas.openxmlformats.org/officeDocument/2006/relationships/hyperlink" Target="#'10 EVIDENCE &amp; DECISIONS'!A853" TargetMode="External" Id="rId896"/><Relationship Type="http://schemas.openxmlformats.org/officeDocument/2006/relationships/hyperlink" Target="#'10 EVIDENCE &amp; DECISIONS'!A854" TargetMode="External" Id="rId897"/><Relationship Type="http://schemas.openxmlformats.org/officeDocument/2006/relationships/hyperlink" Target="#'10 EVIDENCE &amp; DECISIONS'!A855" TargetMode="External" Id="rId898"/><Relationship Type="http://schemas.openxmlformats.org/officeDocument/2006/relationships/hyperlink" Target="#'10 EVIDENCE &amp; DECISIONS'!A856" TargetMode="External" Id="rId899"/><Relationship Type="http://schemas.openxmlformats.org/officeDocument/2006/relationships/hyperlink" Target="#'10 EVIDENCE &amp; DECISIONS'!A857" TargetMode="External" Id="rId900"/><Relationship Type="http://schemas.openxmlformats.org/officeDocument/2006/relationships/hyperlink" Target="#'10 EVIDENCE &amp; DECISIONS'!A858" TargetMode="External" Id="rId901"/><Relationship Type="http://schemas.openxmlformats.org/officeDocument/2006/relationships/hyperlink" Target="#'10 EVIDENCE &amp; DECISIONS'!A859" TargetMode="External" Id="rId902"/><Relationship Type="http://schemas.openxmlformats.org/officeDocument/2006/relationships/hyperlink" Target="#'10 EVIDENCE &amp; DECISIONS'!A860" TargetMode="External" Id="rId903"/><Relationship Type="http://schemas.openxmlformats.org/officeDocument/2006/relationships/hyperlink" Target="#'10 EVIDENCE &amp; DECISIONS'!A861" TargetMode="External" Id="rId904"/><Relationship Type="http://schemas.openxmlformats.org/officeDocument/2006/relationships/hyperlink" Target="#'10 EVIDENCE &amp; DECISIONS'!A862" TargetMode="External" Id="rId905"/><Relationship Type="http://schemas.openxmlformats.org/officeDocument/2006/relationships/hyperlink" Target="#'10 EVIDENCE &amp; DECISIONS'!A863" TargetMode="External" Id="rId906"/><Relationship Type="http://schemas.openxmlformats.org/officeDocument/2006/relationships/hyperlink" Target="#'10 EVIDENCE &amp; DECISIONS'!A864" TargetMode="External" Id="rId907"/><Relationship Type="http://schemas.openxmlformats.org/officeDocument/2006/relationships/hyperlink" Target="#'10 EVIDENCE &amp; DECISIONS'!A865" TargetMode="External" Id="rId908"/><Relationship Type="http://schemas.openxmlformats.org/officeDocument/2006/relationships/hyperlink" Target="#'10 EVIDENCE &amp; DECISIONS'!A866" TargetMode="External" Id="rId909"/><Relationship Type="http://schemas.openxmlformats.org/officeDocument/2006/relationships/hyperlink" Target="#'10 EVIDENCE &amp; DECISIONS'!A867" TargetMode="External" Id="rId910"/><Relationship Type="http://schemas.openxmlformats.org/officeDocument/2006/relationships/hyperlink" Target="#'10 EVIDENCE &amp; DECISIONS'!A868" TargetMode="External" Id="rId911"/><Relationship Type="http://schemas.openxmlformats.org/officeDocument/2006/relationships/hyperlink" Target="#'10 EVIDENCE &amp; DECISIONS'!A869" TargetMode="External" Id="rId912"/><Relationship Type="http://schemas.openxmlformats.org/officeDocument/2006/relationships/hyperlink" Target="#'10 EVIDENCE &amp; DECISIONS'!A870" TargetMode="External" Id="rId913"/><Relationship Type="http://schemas.openxmlformats.org/officeDocument/2006/relationships/hyperlink" Target="#'10 EVIDENCE &amp; DECISIONS'!A871" TargetMode="External" Id="rId914"/><Relationship Type="http://schemas.openxmlformats.org/officeDocument/2006/relationships/hyperlink" Target="#'10 EVIDENCE &amp; DECISIONS'!A872" TargetMode="External" Id="rId915"/><Relationship Type="http://schemas.openxmlformats.org/officeDocument/2006/relationships/hyperlink" Target="#'10 EVIDENCE &amp; DECISIONS'!A873" TargetMode="External" Id="rId916"/><Relationship Type="http://schemas.openxmlformats.org/officeDocument/2006/relationships/hyperlink" Target="#'10 EVIDENCE &amp; DECISIONS'!A874" TargetMode="External" Id="rId917"/><Relationship Type="http://schemas.openxmlformats.org/officeDocument/2006/relationships/hyperlink" Target="#'10 EVIDENCE &amp; DECISIONS'!A875" TargetMode="External" Id="rId918"/><Relationship Type="http://schemas.openxmlformats.org/officeDocument/2006/relationships/hyperlink" Target="#'10 EVIDENCE &amp; DECISIONS'!A876" TargetMode="External" Id="rId919"/><Relationship Type="http://schemas.openxmlformats.org/officeDocument/2006/relationships/hyperlink" Target="#'10 EVIDENCE &amp; DECISIONS'!A877" TargetMode="External" Id="rId920"/><Relationship Type="http://schemas.openxmlformats.org/officeDocument/2006/relationships/hyperlink" Target="#'10 EVIDENCE &amp; DECISIONS'!A878" TargetMode="External" Id="rId921"/><Relationship Type="http://schemas.openxmlformats.org/officeDocument/2006/relationships/hyperlink" Target="#'10 EVIDENCE &amp; DECISIONS'!A879" TargetMode="External" Id="rId922"/><Relationship Type="http://schemas.openxmlformats.org/officeDocument/2006/relationships/hyperlink" Target="#'10 EVIDENCE &amp; DECISIONS'!A880" TargetMode="External" Id="rId923"/><Relationship Type="http://schemas.openxmlformats.org/officeDocument/2006/relationships/hyperlink" Target="#'10 EVIDENCE &amp; DECISIONS'!A881" TargetMode="External" Id="rId924"/><Relationship Type="http://schemas.openxmlformats.org/officeDocument/2006/relationships/hyperlink" Target="#'10 EVIDENCE &amp; DECISIONS'!A882" TargetMode="External" Id="rId925"/><Relationship Type="http://schemas.openxmlformats.org/officeDocument/2006/relationships/hyperlink" Target="#'10 EVIDENCE &amp; DECISIONS'!A883" TargetMode="External" Id="rId926"/><Relationship Type="http://schemas.openxmlformats.org/officeDocument/2006/relationships/hyperlink" Target="#'10 EVIDENCE &amp; DECISIONS'!A884" TargetMode="External" Id="rId927"/><Relationship Type="http://schemas.openxmlformats.org/officeDocument/2006/relationships/hyperlink" Target="#'10 EVIDENCE &amp; DECISIONS'!A885" TargetMode="External" Id="rId928"/><Relationship Type="http://schemas.openxmlformats.org/officeDocument/2006/relationships/hyperlink" Target="#'10 EVIDENCE &amp; DECISIONS'!A886" TargetMode="External" Id="rId929"/><Relationship Type="http://schemas.openxmlformats.org/officeDocument/2006/relationships/hyperlink" Target="#'10 EVIDENCE &amp; DECISIONS'!A887" TargetMode="External" Id="rId930"/><Relationship Type="http://schemas.openxmlformats.org/officeDocument/2006/relationships/hyperlink" Target="#'10 EVIDENCE &amp; DECISIONS'!A888" TargetMode="External" Id="rId931"/><Relationship Type="http://schemas.openxmlformats.org/officeDocument/2006/relationships/hyperlink" Target="#'10 EVIDENCE &amp; DECISIONS'!A889" TargetMode="External" Id="rId932"/><Relationship Type="http://schemas.openxmlformats.org/officeDocument/2006/relationships/hyperlink" Target="#'10 EVIDENCE &amp; DECISIONS'!A890" TargetMode="External" Id="rId933"/><Relationship Type="http://schemas.openxmlformats.org/officeDocument/2006/relationships/hyperlink" Target="#'10 EVIDENCE &amp; DECISIONS'!A891" TargetMode="External" Id="rId934"/><Relationship Type="http://schemas.openxmlformats.org/officeDocument/2006/relationships/hyperlink" Target="#'10 EVIDENCE &amp; DECISIONS'!A892" TargetMode="External" Id="rId935"/><Relationship Type="http://schemas.openxmlformats.org/officeDocument/2006/relationships/hyperlink" Target="#'10 EVIDENCE &amp; DECISIONS'!A893" TargetMode="External" Id="rId936"/><Relationship Type="http://schemas.openxmlformats.org/officeDocument/2006/relationships/hyperlink" Target="#'10 EVIDENCE &amp; DECISIONS'!A894" TargetMode="External" Id="rId937"/><Relationship Type="http://schemas.openxmlformats.org/officeDocument/2006/relationships/hyperlink" Target="#'10 EVIDENCE &amp; DECISIONS'!A895" TargetMode="External" Id="rId938"/><Relationship Type="http://schemas.openxmlformats.org/officeDocument/2006/relationships/hyperlink" Target="#'10 EVIDENCE &amp; DECISIONS'!A896" TargetMode="External" Id="rId939"/><Relationship Type="http://schemas.openxmlformats.org/officeDocument/2006/relationships/hyperlink" Target="#'10 EVIDENCE &amp; DECISIONS'!A897" TargetMode="External" Id="rId940"/><Relationship Type="http://schemas.openxmlformats.org/officeDocument/2006/relationships/hyperlink" Target="#'10 EVIDENCE &amp; DECISIONS'!A898" TargetMode="External" Id="rId941"/><Relationship Type="http://schemas.openxmlformats.org/officeDocument/2006/relationships/hyperlink" Target="#'10 EVIDENCE &amp; DECISIONS'!A899" TargetMode="External" Id="rId942"/><Relationship Type="http://schemas.openxmlformats.org/officeDocument/2006/relationships/hyperlink" Target="#'10 EVIDENCE &amp; DECISIONS'!A900" TargetMode="External" Id="rId943"/><Relationship Type="http://schemas.openxmlformats.org/officeDocument/2006/relationships/hyperlink" Target="#'10 EVIDENCE &amp; DECISIONS'!A901" TargetMode="External" Id="rId944"/><Relationship Type="http://schemas.openxmlformats.org/officeDocument/2006/relationships/hyperlink" Target="#'10 EVIDENCE &amp; DECISIONS'!A902" TargetMode="External" Id="rId945"/><Relationship Type="http://schemas.openxmlformats.org/officeDocument/2006/relationships/hyperlink" Target="#'10 EVIDENCE &amp; DECISIONS'!A903" TargetMode="External" Id="rId946"/><Relationship Type="http://schemas.openxmlformats.org/officeDocument/2006/relationships/hyperlink" Target="#'10 EVIDENCE &amp; DECISIONS'!A904" TargetMode="External" Id="rId947"/><Relationship Type="http://schemas.openxmlformats.org/officeDocument/2006/relationships/hyperlink" Target="#'10 EVIDENCE &amp; DECISIONS'!A905" TargetMode="External" Id="rId948"/><Relationship Type="http://schemas.openxmlformats.org/officeDocument/2006/relationships/hyperlink" Target="#'10 EVIDENCE &amp; DECISIONS'!A906" TargetMode="External" Id="rId949"/><Relationship Type="http://schemas.openxmlformats.org/officeDocument/2006/relationships/hyperlink" Target="#'10 EVIDENCE &amp; DECISIONS'!A907" TargetMode="External" Id="rId950"/><Relationship Type="http://schemas.openxmlformats.org/officeDocument/2006/relationships/hyperlink" Target="#'10 EVIDENCE &amp; DECISIONS'!A908" TargetMode="External" Id="rId951"/><Relationship Type="http://schemas.openxmlformats.org/officeDocument/2006/relationships/hyperlink" Target="#'10 EVIDENCE &amp; DECISIONS'!A909" TargetMode="External" Id="rId952"/><Relationship Type="http://schemas.openxmlformats.org/officeDocument/2006/relationships/hyperlink" Target="#'10 EVIDENCE &amp; DECISIONS'!A910" TargetMode="External" Id="rId953"/><Relationship Type="http://schemas.openxmlformats.org/officeDocument/2006/relationships/hyperlink" Target="#'10 EVIDENCE &amp; DECISIONS'!A911" TargetMode="External" Id="rId954"/><Relationship Type="http://schemas.openxmlformats.org/officeDocument/2006/relationships/hyperlink" Target="#'10 EVIDENCE &amp; DECISIONS'!A912" TargetMode="External" Id="rId955"/><Relationship Type="http://schemas.openxmlformats.org/officeDocument/2006/relationships/hyperlink" Target="#'10 EVIDENCE &amp; DECISIONS'!A913" TargetMode="External" Id="rId956"/><Relationship Type="http://schemas.openxmlformats.org/officeDocument/2006/relationships/hyperlink" Target="#'10 EVIDENCE &amp; DECISIONS'!A914" TargetMode="External" Id="rId957"/><Relationship Type="http://schemas.openxmlformats.org/officeDocument/2006/relationships/hyperlink" Target="#'10 EVIDENCE &amp; DECISIONS'!A915" TargetMode="External" Id="rId958"/><Relationship Type="http://schemas.openxmlformats.org/officeDocument/2006/relationships/hyperlink" Target="#'10 EVIDENCE &amp; DECISIONS'!A916" TargetMode="External" Id="rId959"/><Relationship Type="http://schemas.openxmlformats.org/officeDocument/2006/relationships/hyperlink" Target="#'10 EVIDENCE &amp; DECISIONS'!A917" TargetMode="External" Id="rId960"/><Relationship Type="http://schemas.openxmlformats.org/officeDocument/2006/relationships/hyperlink" Target="#'10 EVIDENCE &amp; DECISIONS'!A918" TargetMode="External" Id="rId961"/><Relationship Type="http://schemas.openxmlformats.org/officeDocument/2006/relationships/hyperlink" Target="#'10 EVIDENCE &amp; DECISIONS'!A919" TargetMode="External" Id="rId962"/><Relationship Type="http://schemas.openxmlformats.org/officeDocument/2006/relationships/hyperlink" Target="#'10 EVIDENCE &amp; DECISIONS'!A920" TargetMode="External" Id="rId963"/><Relationship Type="http://schemas.openxmlformats.org/officeDocument/2006/relationships/hyperlink" Target="#'10 EVIDENCE &amp; DECISIONS'!A921" TargetMode="External" Id="rId964"/><Relationship Type="http://schemas.openxmlformats.org/officeDocument/2006/relationships/hyperlink" Target="#'10 EVIDENCE &amp; DECISIONS'!A922" TargetMode="External" Id="rId965"/><Relationship Type="http://schemas.openxmlformats.org/officeDocument/2006/relationships/hyperlink" Target="#'10 EVIDENCE &amp; DECISIONS'!A923" TargetMode="External" Id="rId966"/><Relationship Type="http://schemas.openxmlformats.org/officeDocument/2006/relationships/hyperlink" Target="#'10 EVIDENCE &amp; DECISIONS'!A924" TargetMode="External" Id="rId967"/><Relationship Type="http://schemas.openxmlformats.org/officeDocument/2006/relationships/hyperlink" Target="#'10 EVIDENCE &amp; DECISIONS'!A925" TargetMode="External" Id="rId968"/><Relationship Type="http://schemas.openxmlformats.org/officeDocument/2006/relationships/hyperlink" Target="#'10 EVIDENCE &amp; DECISIONS'!A926" TargetMode="External" Id="rId969"/><Relationship Type="http://schemas.openxmlformats.org/officeDocument/2006/relationships/hyperlink" Target="#'10 EVIDENCE &amp; DECISIONS'!A927" TargetMode="External" Id="rId970"/><Relationship Type="http://schemas.openxmlformats.org/officeDocument/2006/relationships/hyperlink" Target="#'10 EVIDENCE &amp; DECISIONS'!A928" TargetMode="External" Id="rId971"/><Relationship Type="http://schemas.openxmlformats.org/officeDocument/2006/relationships/hyperlink" Target="#'10 EVIDENCE &amp; DECISIONS'!A929" TargetMode="External" Id="rId972"/><Relationship Type="http://schemas.openxmlformats.org/officeDocument/2006/relationships/hyperlink" Target="#'10 EVIDENCE &amp; DECISIONS'!A930" TargetMode="External" Id="rId973"/><Relationship Type="http://schemas.openxmlformats.org/officeDocument/2006/relationships/hyperlink" Target="#'10 EVIDENCE &amp; DECISIONS'!A931" TargetMode="External" Id="rId974"/><Relationship Type="http://schemas.openxmlformats.org/officeDocument/2006/relationships/hyperlink" Target="#'10 EVIDENCE &amp; DECISIONS'!A932" TargetMode="External" Id="rId975"/><Relationship Type="http://schemas.openxmlformats.org/officeDocument/2006/relationships/hyperlink" Target="#'10 EVIDENCE &amp; DECISIONS'!A933" TargetMode="External" Id="rId976"/><Relationship Type="http://schemas.openxmlformats.org/officeDocument/2006/relationships/hyperlink" Target="#'10 EVIDENCE &amp; DECISIONS'!A934" TargetMode="External" Id="rId977"/><Relationship Type="http://schemas.openxmlformats.org/officeDocument/2006/relationships/hyperlink" Target="#'10 EVIDENCE &amp; DECISIONS'!A935" TargetMode="External" Id="rId978"/><Relationship Type="http://schemas.openxmlformats.org/officeDocument/2006/relationships/hyperlink" Target="#'10 EVIDENCE &amp; DECISIONS'!A936" TargetMode="External" Id="rId979"/><Relationship Type="http://schemas.openxmlformats.org/officeDocument/2006/relationships/hyperlink" Target="#'10 EVIDENCE &amp; DECISIONS'!A937" TargetMode="External" Id="rId980"/><Relationship Type="http://schemas.openxmlformats.org/officeDocument/2006/relationships/hyperlink" Target="#'10 EVIDENCE &amp; DECISIONS'!A938" TargetMode="External" Id="rId981"/><Relationship Type="http://schemas.openxmlformats.org/officeDocument/2006/relationships/hyperlink" Target="#'10 EVIDENCE &amp; DECISIONS'!A939" TargetMode="External" Id="rId982"/><Relationship Type="http://schemas.openxmlformats.org/officeDocument/2006/relationships/hyperlink" Target="#'10 EVIDENCE &amp; DECISIONS'!A940" TargetMode="External" Id="rId983"/><Relationship Type="http://schemas.openxmlformats.org/officeDocument/2006/relationships/hyperlink" Target="#'10 EVIDENCE &amp; DECISIONS'!A941" TargetMode="External" Id="rId984"/><Relationship Type="http://schemas.openxmlformats.org/officeDocument/2006/relationships/hyperlink" Target="#'10 EVIDENCE &amp; DECISIONS'!A942" TargetMode="External" Id="rId985"/><Relationship Type="http://schemas.openxmlformats.org/officeDocument/2006/relationships/hyperlink" Target="#'10 EVIDENCE &amp; DECISIONS'!A943" TargetMode="External" Id="rId986"/><Relationship Type="http://schemas.openxmlformats.org/officeDocument/2006/relationships/hyperlink" Target="#'10 EVIDENCE &amp; DECISIONS'!A944" TargetMode="External" Id="rId987"/><Relationship Type="http://schemas.openxmlformats.org/officeDocument/2006/relationships/hyperlink" Target="#'10 EVIDENCE &amp; DECISIONS'!A1044" TargetMode="External" Id="rId988"/><Relationship Type="http://schemas.openxmlformats.org/officeDocument/2006/relationships/hyperlink" Target="#'10 EVIDENCE &amp; DECISIONS'!A1045" TargetMode="External" Id="rId989"/><Relationship Type="http://schemas.openxmlformats.org/officeDocument/2006/relationships/hyperlink" Target="#'10 EVIDENCE &amp; DECISIONS'!A1046" TargetMode="External" Id="rId990"/><Relationship Type="http://schemas.openxmlformats.org/officeDocument/2006/relationships/hyperlink" Target="#'10 EVIDENCE &amp; DECISIONS'!A1047" TargetMode="External" Id="rId991"/><Relationship Type="http://schemas.openxmlformats.org/officeDocument/2006/relationships/hyperlink" Target="#'10 EVIDENCE &amp; DECISIONS'!A1048" TargetMode="External" Id="rId992"/><Relationship Type="http://schemas.openxmlformats.org/officeDocument/2006/relationships/hyperlink" Target="#'10 EVIDENCE &amp; DECISIONS'!A1049" TargetMode="External" Id="rId993"/><Relationship Type="http://schemas.openxmlformats.org/officeDocument/2006/relationships/hyperlink" Target="#'10 EVIDENCE &amp; DECISIONS'!A1050" TargetMode="External" Id="rId994"/><Relationship Type="http://schemas.openxmlformats.org/officeDocument/2006/relationships/hyperlink" Target="#'10 EVIDENCE &amp; DECISIONS'!A1051" TargetMode="External" Id="rId995"/><Relationship Type="http://schemas.openxmlformats.org/officeDocument/2006/relationships/hyperlink" Target="#'10 EVIDENCE &amp; DECISIONS'!A1052" TargetMode="External" Id="rId996"/><Relationship Type="http://schemas.openxmlformats.org/officeDocument/2006/relationships/hyperlink" Target="#'10 EVIDENCE &amp; DECISIONS'!A1053" TargetMode="External" Id="rId997"/><Relationship Type="http://schemas.openxmlformats.org/officeDocument/2006/relationships/hyperlink" Target="#'10 EVIDENCE &amp; DECISIONS'!A1054" TargetMode="External" Id="rId998"/><Relationship Type="http://schemas.openxmlformats.org/officeDocument/2006/relationships/hyperlink" Target="#'10 EVIDENCE &amp; DECISIONS'!A1055" TargetMode="External" Id="rId999"/><Relationship Type="http://schemas.openxmlformats.org/officeDocument/2006/relationships/hyperlink" Target="#'10 EVIDENCE &amp; DECISIONS'!A1056" TargetMode="External" Id="rId1000"/><Relationship Type="http://schemas.openxmlformats.org/officeDocument/2006/relationships/hyperlink" Target="#'10 EVIDENCE &amp; DECISIONS'!A1057" TargetMode="External" Id="rId1001"/><Relationship Type="http://schemas.openxmlformats.org/officeDocument/2006/relationships/hyperlink" Target="#'10 EVIDENCE &amp; DECISIONS'!A1058" TargetMode="External" Id="rId1002"/><Relationship Type="http://schemas.openxmlformats.org/officeDocument/2006/relationships/hyperlink" Target="#'10 EVIDENCE &amp; DECISIONS'!A1059" TargetMode="External" Id="rId1003"/><Relationship Type="http://schemas.openxmlformats.org/officeDocument/2006/relationships/hyperlink" Target="#'10 EVIDENCE &amp; DECISIONS'!A1060" TargetMode="External" Id="rId1004"/><Relationship Type="http://schemas.openxmlformats.org/officeDocument/2006/relationships/hyperlink" Target="#'10 EVIDENCE &amp; DECISIONS'!A1061" TargetMode="External" Id="rId1005"/><Relationship Type="http://schemas.openxmlformats.org/officeDocument/2006/relationships/hyperlink" Target="#'10 EVIDENCE &amp; DECISIONS'!A1062" TargetMode="External" Id="rId1006"/><Relationship Type="http://schemas.openxmlformats.org/officeDocument/2006/relationships/hyperlink" Target="#'10 EVIDENCE &amp; DECISIONS'!A1063" TargetMode="External" Id="rId1007"/><Relationship Type="http://schemas.openxmlformats.org/officeDocument/2006/relationships/hyperlink" Target="#'10 EVIDENCE &amp; DECISIONS'!A1064" TargetMode="External" Id="rId1008"/><Relationship Type="http://schemas.openxmlformats.org/officeDocument/2006/relationships/hyperlink" Target="#'10 EVIDENCE &amp; DECISIONS'!A1065" TargetMode="External" Id="rId1009"/><Relationship Type="http://schemas.openxmlformats.org/officeDocument/2006/relationships/hyperlink" Target="#'10 EVIDENCE &amp; DECISIONS'!A1066" TargetMode="External" Id="rId1010"/><Relationship Type="http://schemas.openxmlformats.org/officeDocument/2006/relationships/hyperlink" Target="#'10 EVIDENCE &amp; DECISIONS'!A1067" TargetMode="External" Id="rId1011"/><Relationship Type="http://schemas.openxmlformats.org/officeDocument/2006/relationships/hyperlink" Target="#'10 EVIDENCE &amp; DECISIONS'!A1068" TargetMode="External" Id="rId1012"/><Relationship Type="http://schemas.openxmlformats.org/officeDocument/2006/relationships/hyperlink" Target="#'10 EVIDENCE &amp; DECISIONS'!A1069" TargetMode="External" Id="rId1013"/><Relationship Type="http://schemas.openxmlformats.org/officeDocument/2006/relationships/hyperlink" Target="#'10 EVIDENCE &amp; DECISIONS'!A1070" TargetMode="External" Id="rId1014"/><Relationship Type="http://schemas.openxmlformats.org/officeDocument/2006/relationships/hyperlink" Target="#'10 EVIDENCE &amp; DECISIONS'!A1071" TargetMode="External" Id="rId1015"/><Relationship Type="http://schemas.openxmlformats.org/officeDocument/2006/relationships/hyperlink" Target="#'10 EVIDENCE &amp; DECISIONS'!A1072" TargetMode="External" Id="rId1016"/><Relationship Type="http://schemas.openxmlformats.org/officeDocument/2006/relationships/hyperlink" Target="#'10 EVIDENCE &amp; DECISIONS'!A1073" TargetMode="External" Id="rId1017"/><Relationship Type="http://schemas.openxmlformats.org/officeDocument/2006/relationships/hyperlink" Target="#'10 EVIDENCE &amp; DECISIONS'!A1074" TargetMode="External" Id="rId1018"/><Relationship Type="http://schemas.openxmlformats.org/officeDocument/2006/relationships/hyperlink" Target="#'10 EVIDENCE &amp; DECISIONS'!A1075" TargetMode="External" Id="rId1019"/><Relationship Type="http://schemas.openxmlformats.org/officeDocument/2006/relationships/hyperlink" Target="#'10 EVIDENCE &amp; DECISIONS'!A1076" TargetMode="External" Id="rId1020"/><Relationship Type="http://schemas.openxmlformats.org/officeDocument/2006/relationships/hyperlink" Target="#'10 EVIDENCE &amp; DECISIONS'!A1077" TargetMode="External" Id="rId1021"/><Relationship Type="http://schemas.openxmlformats.org/officeDocument/2006/relationships/hyperlink" Target="#'10 EVIDENCE &amp; DECISIONS'!A1078" TargetMode="External" Id="rId1022"/><Relationship Type="http://schemas.openxmlformats.org/officeDocument/2006/relationships/hyperlink" Target="#'10 EVIDENCE &amp; DECISIONS'!A1079" TargetMode="External" Id="rId1023"/><Relationship Type="http://schemas.openxmlformats.org/officeDocument/2006/relationships/hyperlink" Target="#'10 EVIDENCE &amp; DECISIONS'!A1080" TargetMode="External" Id="rId1024"/><Relationship Type="http://schemas.openxmlformats.org/officeDocument/2006/relationships/hyperlink" Target="#'10 EVIDENCE &amp; DECISIONS'!A1081" TargetMode="External" Id="rId1025"/><Relationship Type="http://schemas.openxmlformats.org/officeDocument/2006/relationships/hyperlink" Target="#'10 EVIDENCE &amp; DECISIONS'!A1082" TargetMode="External" Id="rId1026"/><Relationship Type="http://schemas.openxmlformats.org/officeDocument/2006/relationships/hyperlink" Target="#'10 EVIDENCE &amp; DECISIONS'!A1083" TargetMode="External" Id="rId1027"/><Relationship Type="http://schemas.openxmlformats.org/officeDocument/2006/relationships/hyperlink" Target="#'10 EVIDENCE &amp; DECISIONS'!A985" TargetMode="External" Id="rId1028"/><Relationship Type="http://schemas.openxmlformats.org/officeDocument/2006/relationships/hyperlink" Target="#'10 EVIDENCE &amp; DECISIONS'!A986" TargetMode="External" Id="rId1029"/><Relationship Type="http://schemas.openxmlformats.org/officeDocument/2006/relationships/hyperlink" Target="#'10 EVIDENCE &amp; DECISIONS'!A987" TargetMode="External" Id="rId1030"/><Relationship Type="http://schemas.openxmlformats.org/officeDocument/2006/relationships/hyperlink" Target="#'10 EVIDENCE &amp; DECISIONS'!A988" TargetMode="External" Id="rId1031"/><Relationship Type="http://schemas.openxmlformats.org/officeDocument/2006/relationships/hyperlink" Target="#'10 EVIDENCE &amp; DECISIONS'!A989" TargetMode="External" Id="rId1032"/><Relationship Type="http://schemas.openxmlformats.org/officeDocument/2006/relationships/hyperlink" Target="#'10 EVIDENCE &amp; DECISIONS'!A990" TargetMode="External" Id="rId1033"/><Relationship Type="http://schemas.openxmlformats.org/officeDocument/2006/relationships/hyperlink" Target="#'10 EVIDENCE &amp; DECISIONS'!A991" TargetMode="External" Id="rId1034"/><Relationship Type="http://schemas.openxmlformats.org/officeDocument/2006/relationships/hyperlink" Target="#'10 EVIDENCE &amp; DECISIONS'!A992" TargetMode="External" Id="rId1035"/><Relationship Type="http://schemas.openxmlformats.org/officeDocument/2006/relationships/hyperlink" Target="#'10 EVIDENCE &amp; DECISIONS'!A993" TargetMode="External" Id="rId1036"/><Relationship Type="http://schemas.openxmlformats.org/officeDocument/2006/relationships/hyperlink" Target="#'10 EVIDENCE &amp; DECISIONS'!A994" TargetMode="External" Id="rId1037"/><Relationship Type="http://schemas.openxmlformats.org/officeDocument/2006/relationships/hyperlink" Target="#'10 EVIDENCE &amp; DECISIONS'!A995" TargetMode="External" Id="rId1038"/><Relationship Type="http://schemas.openxmlformats.org/officeDocument/2006/relationships/hyperlink" Target="#'10 EVIDENCE &amp; DECISIONS'!A996" TargetMode="External" Id="rId1039"/><Relationship Type="http://schemas.openxmlformats.org/officeDocument/2006/relationships/hyperlink" Target="#'10 EVIDENCE &amp; DECISIONS'!A997" TargetMode="External" Id="rId1040"/><Relationship Type="http://schemas.openxmlformats.org/officeDocument/2006/relationships/hyperlink" Target="#'10 EVIDENCE &amp; DECISIONS'!A998" TargetMode="External" Id="rId1041"/><Relationship Type="http://schemas.openxmlformats.org/officeDocument/2006/relationships/hyperlink" Target="#'10 EVIDENCE &amp; DECISIONS'!A999" TargetMode="External" Id="rId1042"/><Relationship Type="http://schemas.openxmlformats.org/officeDocument/2006/relationships/hyperlink" Target="#'10 EVIDENCE &amp; DECISIONS'!A1000" TargetMode="External" Id="rId1043"/><Relationship Type="http://schemas.openxmlformats.org/officeDocument/2006/relationships/hyperlink" Target="#'10 EVIDENCE &amp; DECISIONS'!A1001" TargetMode="External" Id="rId1044"/><Relationship Type="http://schemas.openxmlformats.org/officeDocument/2006/relationships/hyperlink" Target="#'10 EVIDENCE &amp; DECISIONS'!A1002" TargetMode="External" Id="rId1045"/><Relationship Type="http://schemas.openxmlformats.org/officeDocument/2006/relationships/hyperlink" Target="#'10 EVIDENCE &amp; DECISIONS'!A1003" TargetMode="External" Id="rId1046"/><Relationship Type="http://schemas.openxmlformats.org/officeDocument/2006/relationships/hyperlink" Target="#'10 EVIDENCE &amp; DECISIONS'!A1004" TargetMode="External" Id="rId1047"/><Relationship Type="http://schemas.openxmlformats.org/officeDocument/2006/relationships/hyperlink" Target="#'10 EVIDENCE &amp; DECISIONS'!A1005" TargetMode="External" Id="rId1048"/><Relationship Type="http://schemas.openxmlformats.org/officeDocument/2006/relationships/hyperlink" Target="#'10 EVIDENCE &amp; DECISIONS'!A1006" TargetMode="External" Id="rId1049"/><Relationship Type="http://schemas.openxmlformats.org/officeDocument/2006/relationships/hyperlink" Target="#'10 EVIDENCE &amp; DECISIONS'!A1007" TargetMode="External" Id="rId1050"/><Relationship Type="http://schemas.openxmlformats.org/officeDocument/2006/relationships/hyperlink" Target="#'10 EVIDENCE &amp; DECISIONS'!A1008" TargetMode="External" Id="rId1051"/><Relationship Type="http://schemas.openxmlformats.org/officeDocument/2006/relationships/hyperlink" Target="#'10 EVIDENCE &amp; DECISIONS'!A1009" TargetMode="External" Id="rId1052"/><Relationship Type="http://schemas.openxmlformats.org/officeDocument/2006/relationships/hyperlink" Target="#'10 EVIDENCE &amp; DECISIONS'!A1010" TargetMode="External" Id="rId1053"/><Relationship Type="http://schemas.openxmlformats.org/officeDocument/2006/relationships/hyperlink" Target="#'10 EVIDENCE &amp; DECISIONS'!A1011" TargetMode="External" Id="rId1054"/><Relationship Type="http://schemas.openxmlformats.org/officeDocument/2006/relationships/hyperlink" Target="#'10 EVIDENCE &amp; DECISIONS'!A1012" TargetMode="External" Id="rId1055"/><Relationship Type="http://schemas.openxmlformats.org/officeDocument/2006/relationships/hyperlink" Target="#'10 EVIDENCE &amp; DECISIONS'!A1013" TargetMode="External" Id="rId1056"/><Relationship Type="http://schemas.openxmlformats.org/officeDocument/2006/relationships/hyperlink" Target="#'10 EVIDENCE &amp; DECISIONS'!A1014" TargetMode="External" Id="rId1057"/><Relationship Type="http://schemas.openxmlformats.org/officeDocument/2006/relationships/hyperlink" Target="#'10 EVIDENCE &amp; DECISIONS'!A1015" TargetMode="External" Id="rId1058"/><Relationship Type="http://schemas.openxmlformats.org/officeDocument/2006/relationships/hyperlink" Target="#'10 EVIDENCE &amp; DECISIONS'!A1016" TargetMode="External" Id="rId1059"/><Relationship Type="http://schemas.openxmlformats.org/officeDocument/2006/relationships/hyperlink" Target="#'10 EVIDENCE &amp; DECISIONS'!A1017" TargetMode="External" Id="rId1060"/><Relationship Type="http://schemas.openxmlformats.org/officeDocument/2006/relationships/hyperlink" Target="#'10 EVIDENCE &amp; DECISIONS'!A1018" TargetMode="External" Id="rId1061"/><Relationship Type="http://schemas.openxmlformats.org/officeDocument/2006/relationships/hyperlink" Target="#'10 EVIDENCE &amp; DECISIONS'!A1019" TargetMode="External" Id="rId1062"/><Relationship Type="http://schemas.openxmlformats.org/officeDocument/2006/relationships/hyperlink" Target="#'10 EVIDENCE &amp; DECISIONS'!A1020" TargetMode="External" Id="rId1063"/><Relationship Type="http://schemas.openxmlformats.org/officeDocument/2006/relationships/hyperlink" Target="#'10 EVIDENCE &amp; DECISIONS'!A1021" TargetMode="External" Id="rId1064"/><Relationship Type="http://schemas.openxmlformats.org/officeDocument/2006/relationships/hyperlink" Target="#'10 EVIDENCE &amp; DECISIONS'!A1022" TargetMode="External" Id="rId1065"/><Relationship Type="http://schemas.openxmlformats.org/officeDocument/2006/relationships/hyperlink" Target="#'10 EVIDENCE &amp; DECISIONS'!A1023" TargetMode="External" Id="rId1066"/><Relationship Type="http://schemas.openxmlformats.org/officeDocument/2006/relationships/hyperlink" Target="#'10 EVIDENCE &amp; DECISIONS'!A1024" TargetMode="External" Id="rId1067"/><Relationship Type="http://schemas.openxmlformats.org/officeDocument/2006/relationships/hyperlink" Target="#'10 EVIDENCE &amp; DECISIONS'!A1025" TargetMode="External" Id="rId1068"/><Relationship Type="http://schemas.openxmlformats.org/officeDocument/2006/relationships/hyperlink" Target="#'10 EVIDENCE &amp; DECISIONS'!A1026" TargetMode="External" Id="rId1069"/><Relationship Type="http://schemas.openxmlformats.org/officeDocument/2006/relationships/hyperlink" Target="#'10 EVIDENCE &amp; DECISIONS'!A1027" TargetMode="External" Id="rId1070"/><Relationship Type="http://schemas.openxmlformats.org/officeDocument/2006/relationships/hyperlink" Target="#'10 EVIDENCE &amp; DECISIONS'!A1028" TargetMode="External" Id="rId1071"/><Relationship Type="http://schemas.openxmlformats.org/officeDocument/2006/relationships/hyperlink" Target="#'10 EVIDENCE &amp; DECISIONS'!A1029" TargetMode="External" Id="rId1072"/><Relationship Type="http://schemas.openxmlformats.org/officeDocument/2006/relationships/hyperlink" Target="#'10 EVIDENCE &amp; DECISIONS'!A1030" TargetMode="External" Id="rId1073"/><Relationship Type="http://schemas.openxmlformats.org/officeDocument/2006/relationships/hyperlink" Target="#'10 EVIDENCE &amp; DECISIONS'!A1031" TargetMode="External" Id="rId1074"/><Relationship Type="http://schemas.openxmlformats.org/officeDocument/2006/relationships/hyperlink" Target="#'10 EVIDENCE &amp; DECISIONS'!A1032" TargetMode="External" Id="rId1075"/><Relationship Type="http://schemas.openxmlformats.org/officeDocument/2006/relationships/hyperlink" Target="#'10 EVIDENCE &amp; DECISIONS'!A1033" TargetMode="External" Id="rId1076"/><Relationship Type="http://schemas.openxmlformats.org/officeDocument/2006/relationships/hyperlink" Target="#'10 EVIDENCE &amp; DECISIONS'!A1034" TargetMode="External" Id="rId1077"/><Relationship Type="http://schemas.openxmlformats.org/officeDocument/2006/relationships/hyperlink" Target="#'10 EVIDENCE &amp; DECISIONS'!A1035" TargetMode="External" Id="rId1078"/><Relationship Type="http://schemas.openxmlformats.org/officeDocument/2006/relationships/hyperlink" Target="#'10 EVIDENCE &amp; DECISIONS'!A1036" TargetMode="External" Id="rId1079"/><Relationship Type="http://schemas.openxmlformats.org/officeDocument/2006/relationships/hyperlink" Target="#'10 EVIDENCE &amp; DECISIONS'!A1037" TargetMode="External" Id="rId1080"/><Relationship Type="http://schemas.openxmlformats.org/officeDocument/2006/relationships/hyperlink" Target="#'10 EVIDENCE &amp; DECISIONS'!A1038" TargetMode="External" Id="rId1081"/><Relationship Type="http://schemas.openxmlformats.org/officeDocument/2006/relationships/hyperlink" Target="#'10 EVIDENCE &amp; DECISIONS'!A1039" TargetMode="External" Id="rId1082"/><Relationship Type="http://schemas.openxmlformats.org/officeDocument/2006/relationships/hyperlink" Target="#'10 EVIDENCE &amp; DECISIONS'!A1040" TargetMode="External" Id="rId1083"/><Relationship Type="http://schemas.openxmlformats.org/officeDocument/2006/relationships/hyperlink" Target="#'10 EVIDENCE &amp; DECISIONS'!A1041" TargetMode="External" Id="rId1084"/><Relationship Type="http://schemas.openxmlformats.org/officeDocument/2006/relationships/hyperlink" Target="#'10 EVIDENCE &amp; DECISIONS'!A1042" TargetMode="External" Id="rId1085"/><Relationship Type="http://schemas.openxmlformats.org/officeDocument/2006/relationships/hyperlink" Target="#'10 EVIDENCE &amp; DECISIONS'!A1043" TargetMode="External" Id="rId1086"/><Relationship Type="http://schemas.openxmlformats.org/officeDocument/2006/relationships/hyperlink" Target="#'10 EVIDENCE &amp; DECISIONS'!A1084" TargetMode="External" Id="rId1087"/><Relationship Type="http://schemas.openxmlformats.org/officeDocument/2006/relationships/hyperlink" Target="#'10 EVIDENCE &amp; DECISIONS'!A1085" TargetMode="External" Id="rId1088"/><Relationship Type="http://schemas.openxmlformats.org/officeDocument/2006/relationships/hyperlink" Target="#'10 EVIDENCE &amp; DECISIONS'!A1086" TargetMode="External" Id="rId1089"/><Relationship Type="http://schemas.openxmlformats.org/officeDocument/2006/relationships/hyperlink" Target="#'10 EVIDENCE &amp; DECISIONS'!A1087" TargetMode="External" Id="rId1090"/><Relationship Type="http://schemas.openxmlformats.org/officeDocument/2006/relationships/hyperlink" Target="#'10 EVIDENCE &amp; DECISIONS'!A1088" TargetMode="External" Id="rId1091"/><Relationship Type="http://schemas.openxmlformats.org/officeDocument/2006/relationships/hyperlink" Target="#'10 EVIDENCE &amp; DECISIONS'!A1089" TargetMode="External" Id="rId1092"/><Relationship Type="http://schemas.openxmlformats.org/officeDocument/2006/relationships/hyperlink" Target="#'10 EVIDENCE &amp; DECISIONS'!A1090" TargetMode="External" Id="rId1093"/><Relationship Type="http://schemas.openxmlformats.org/officeDocument/2006/relationships/hyperlink" Target="#'10 EVIDENCE &amp; DECISIONS'!A1091" TargetMode="External" Id="rId1094"/><Relationship Type="http://schemas.openxmlformats.org/officeDocument/2006/relationships/hyperlink" Target="#'10 EVIDENCE &amp; DECISIONS'!A1092" TargetMode="External" Id="rId1095"/><Relationship Type="http://schemas.openxmlformats.org/officeDocument/2006/relationships/hyperlink" Target="#'10 EVIDENCE &amp; DECISIONS'!A1093" TargetMode="External" Id="rId1096"/><Relationship Type="http://schemas.openxmlformats.org/officeDocument/2006/relationships/hyperlink" Target="#'10 EVIDENCE &amp; DECISIONS'!A1094" TargetMode="External" Id="rId1097"/><Relationship Type="http://schemas.openxmlformats.org/officeDocument/2006/relationships/hyperlink" Target="#'10 EVIDENCE &amp; DECISIONS'!A1095" TargetMode="External" Id="rId1098"/><Relationship Type="http://schemas.openxmlformats.org/officeDocument/2006/relationships/hyperlink" Target="#'10 EVIDENCE &amp; DECISIONS'!A1096" TargetMode="External" Id="rId1099"/><Relationship Type="http://schemas.openxmlformats.org/officeDocument/2006/relationships/hyperlink" Target="#'10 EVIDENCE &amp; DECISIONS'!A1097" TargetMode="External" Id="rId1100"/><Relationship Type="http://schemas.openxmlformats.org/officeDocument/2006/relationships/hyperlink" Target="#'10 EVIDENCE &amp; DECISIONS'!A1098" TargetMode="External" Id="rId1101"/><Relationship Type="http://schemas.openxmlformats.org/officeDocument/2006/relationships/hyperlink" Target="#'10 EVIDENCE &amp; DECISIONS'!A1099" TargetMode="External" Id="rId1102"/><Relationship Type="http://schemas.openxmlformats.org/officeDocument/2006/relationships/hyperlink" Target="#'10 EVIDENCE &amp; DECISIONS'!A1100" TargetMode="External" Id="rId1103"/><Relationship Type="http://schemas.openxmlformats.org/officeDocument/2006/relationships/hyperlink" Target="#'10 EVIDENCE &amp; DECISIONS'!A1101" TargetMode="External" Id="rId1104"/><Relationship Type="http://schemas.openxmlformats.org/officeDocument/2006/relationships/hyperlink" Target="#'10 EVIDENCE &amp; DECISIONS'!A1102" TargetMode="External" Id="rId1105"/><Relationship Type="http://schemas.openxmlformats.org/officeDocument/2006/relationships/hyperlink" Target="#'10 EVIDENCE &amp; DECISIONS'!A1103" TargetMode="External" Id="rId1106"/><Relationship Type="http://schemas.openxmlformats.org/officeDocument/2006/relationships/hyperlink" Target="#'10 EVIDENCE &amp; DECISIONS'!A1104" TargetMode="External" Id="rId1107"/><Relationship Type="http://schemas.openxmlformats.org/officeDocument/2006/relationships/hyperlink" Target="#'10 EVIDENCE &amp; DECISIONS'!A1105" TargetMode="External" Id="rId1108"/><Relationship Type="http://schemas.openxmlformats.org/officeDocument/2006/relationships/hyperlink" Target="#'10 EVIDENCE &amp; DECISIONS'!A1106" TargetMode="External" Id="rId1109"/><Relationship Type="http://schemas.openxmlformats.org/officeDocument/2006/relationships/hyperlink" Target="#'10 EVIDENCE &amp; DECISIONS'!A1107" TargetMode="External" Id="rId1110"/><Relationship Type="http://schemas.openxmlformats.org/officeDocument/2006/relationships/hyperlink" Target="#'10 EVIDENCE &amp; DECISIONS'!A1108" TargetMode="External" Id="rId1111"/><Relationship Type="http://schemas.openxmlformats.org/officeDocument/2006/relationships/hyperlink" Target="#'10 EVIDENCE &amp; DECISIONS'!A1109" TargetMode="External" Id="rId1112"/><Relationship Type="http://schemas.openxmlformats.org/officeDocument/2006/relationships/hyperlink" Target="#'10 EVIDENCE &amp; DECISIONS'!A1110" TargetMode="External" Id="rId1113"/><Relationship Type="http://schemas.openxmlformats.org/officeDocument/2006/relationships/hyperlink" Target="#'10 EVIDENCE &amp; DECISIONS'!A1111" TargetMode="External" Id="rId1114"/><Relationship Type="http://schemas.openxmlformats.org/officeDocument/2006/relationships/hyperlink" Target="#'10 EVIDENCE &amp; DECISIONS'!A1112" TargetMode="External" Id="rId1115"/><Relationship Type="http://schemas.openxmlformats.org/officeDocument/2006/relationships/hyperlink" Target="#'10 EVIDENCE &amp; DECISIONS'!A1113" TargetMode="External" Id="rId1116"/><Relationship Type="http://schemas.openxmlformats.org/officeDocument/2006/relationships/hyperlink" Target="#'10 EVIDENCE &amp; DECISIONS'!A1114" TargetMode="External" Id="rId1117"/><Relationship Type="http://schemas.openxmlformats.org/officeDocument/2006/relationships/hyperlink" Target="#'10 EVIDENCE &amp; DECISIONS'!A1115" TargetMode="External" Id="rId1118"/><Relationship Type="http://schemas.openxmlformats.org/officeDocument/2006/relationships/hyperlink" Target="#'10 EVIDENCE &amp; DECISIONS'!A1116" TargetMode="External" Id="rId1119"/><Relationship Type="http://schemas.openxmlformats.org/officeDocument/2006/relationships/hyperlink" Target="#'10 EVIDENCE &amp; DECISIONS'!A1117" TargetMode="External" Id="rId1120"/><Relationship Type="http://schemas.openxmlformats.org/officeDocument/2006/relationships/hyperlink" Target="#'10 EVIDENCE &amp; DECISIONS'!A1118" TargetMode="External" Id="rId1121"/><Relationship Type="http://schemas.openxmlformats.org/officeDocument/2006/relationships/hyperlink" Target="#'10 EVIDENCE &amp; DECISIONS'!A1119" TargetMode="External" Id="rId1122"/><Relationship Type="http://schemas.openxmlformats.org/officeDocument/2006/relationships/hyperlink" Target="#'10 EVIDENCE &amp; DECISIONS'!A1120" TargetMode="External" Id="rId1123"/><Relationship Type="http://schemas.openxmlformats.org/officeDocument/2006/relationships/hyperlink" Target="#'10 EVIDENCE &amp; DECISIONS'!A1121" TargetMode="External" Id="rId1124"/><Relationship Type="http://schemas.openxmlformats.org/officeDocument/2006/relationships/hyperlink" Target="#'10 EVIDENCE &amp; DECISIONS'!A1122" TargetMode="External" Id="rId1125"/><Relationship Type="http://schemas.openxmlformats.org/officeDocument/2006/relationships/hyperlink" Target="#'10 EVIDENCE &amp; DECISIONS'!A1123" TargetMode="External" Id="rId1126"/><Relationship Type="http://schemas.openxmlformats.org/officeDocument/2006/relationships/hyperlink" Target="#'10 EVIDENCE &amp; DECISIONS'!A1124" TargetMode="External" Id="rId1127"/><Relationship Type="http://schemas.openxmlformats.org/officeDocument/2006/relationships/hyperlink" Target="#'10 EVIDENCE &amp; DECISIONS'!A1125" TargetMode="External" Id="rId1128"/><Relationship Type="http://schemas.openxmlformats.org/officeDocument/2006/relationships/hyperlink" Target="#'10 EVIDENCE &amp; DECISIONS'!A1126" TargetMode="External" Id="rId1129"/><Relationship Type="http://schemas.openxmlformats.org/officeDocument/2006/relationships/hyperlink" Target="#'10 EVIDENCE &amp; DECISIONS'!A1127" TargetMode="External" Id="rId1130"/><Relationship Type="http://schemas.openxmlformats.org/officeDocument/2006/relationships/hyperlink" Target="#'10 EVIDENCE &amp; DECISIONS'!A1128" TargetMode="External" Id="rId1131"/><Relationship Type="http://schemas.openxmlformats.org/officeDocument/2006/relationships/hyperlink" Target="#'10 EVIDENCE &amp; DECISIONS'!A1129" TargetMode="External" Id="rId1132"/><Relationship Type="http://schemas.openxmlformats.org/officeDocument/2006/relationships/hyperlink" Target="#'10 EVIDENCE &amp; DECISIONS'!A1130" TargetMode="External" Id="rId1133"/><Relationship Type="http://schemas.openxmlformats.org/officeDocument/2006/relationships/hyperlink" Target="#'10 EVIDENCE &amp; DECISIONS'!A1131" TargetMode="External" Id="rId1134"/><Relationship Type="http://schemas.openxmlformats.org/officeDocument/2006/relationships/hyperlink" Target="#'10 EVIDENCE &amp; DECISIONS'!A1132" TargetMode="External" Id="rId1135"/><Relationship Type="http://schemas.openxmlformats.org/officeDocument/2006/relationships/hyperlink" Target="#'10 EVIDENCE &amp; DECISIONS'!A1133" TargetMode="External" Id="rId1136"/><Relationship Type="http://schemas.openxmlformats.org/officeDocument/2006/relationships/hyperlink" Target="#'10 EVIDENCE &amp; DECISIONS'!A1134" TargetMode="External" Id="rId1137"/><Relationship Type="http://schemas.openxmlformats.org/officeDocument/2006/relationships/hyperlink" Target="#'10 EVIDENCE &amp; DECISIONS'!A1135" TargetMode="External" Id="rId1138"/><Relationship Type="http://schemas.openxmlformats.org/officeDocument/2006/relationships/hyperlink" Target="#'10 EVIDENCE &amp; DECISIONS'!A1136" TargetMode="External" Id="rId1139"/><Relationship Type="http://schemas.openxmlformats.org/officeDocument/2006/relationships/hyperlink" Target="#'10 EVIDENCE &amp; DECISIONS'!A1137" TargetMode="External" Id="rId1140"/><Relationship Type="http://schemas.openxmlformats.org/officeDocument/2006/relationships/hyperlink" Target="#'10 EVIDENCE &amp; DECISIONS'!A1138" TargetMode="External" Id="rId1141"/><Relationship Type="http://schemas.openxmlformats.org/officeDocument/2006/relationships/hyperlink" Target="#'10 EVIDENCE &amp; DECISIONS'!A1139" TargetMode="External" Id="rId1142"/><Relationship Type="http://schemas.openxmlformats.org/officeDocument/2006/relationships/hyperlink" Target="#'10 EVIDENCE &amp; DECISIONS'!A1140" TargetMode="External" Id="rId1143"/><Relationship Type="http://schemas.openxmlformats.org/officeDocument/2006/relationships/hyperlink" Target="#'10 EVIDENCE &amp; DECISIONS'!A1141" TargetMode="External" Id="rId1144"/><Relationship Type="http://schemas.openxmlformats.org/officeDocument/2006/relationships/hyperlink" Target="#'10 EVIDENCE &amp; DECISIONS'!A1142" TargetMode="External" Id="rId1145"/><Relationship Type="http://schemas.openxmlformats.org/officeDocument/2006/relationships/hyperlink" Target="#'10 EVIDENCE &amp; DECISIONS'!A1143" TargetMode="External" Id="rId1146"/><Relationship Type="http://schemas.openxmlformats.org/officeDocument/2006/relationships/hyperlink" Target="#'10 EVIDENCE &amp; DECISIONS'!A1144" TargetMode="External" Id="rId1147"/><Relationship Type="http://schemas.openxmlformats.org/officeDocument/2006/relationships/hyperlink" Target="#'10 EVIDENCE &amp; DECISIONS'!A1145" TargetMode="External" Id="rId1148"/><Relationship Type="http://schemas.openxmlformats.org/officeDocument/2006/relationships/hyperlink" Target="#'10 EVIDENCE &amp; DECISIONS'!A1146" TargetMode="External" Id="rId1149"/><Relationship Type="http://schemas.openxmlformats.org/officeDocument/2006/relationships/hyperlink" Target="#'10 EVIDENCE &amp; DECISIONS'!A1147" TargetMode="External" Id="rId1150"/><Relationship Type="http://schemas.openxmlformats.org/officeDocument/2006/relationships/hyperlink" Target="#'10 EVIDENCE &amp; DECISIONS'!A1148" TargetMode="External" Id="rId1151"/><Relationship Type="http://schemas.openxmlformats.org/officeDocument/2006/relationships/hyperlink" Target="#'10 EVIDENCE &amp; DECISIONS'!A1149" TargetMode="External" Id="rId1152"/><Relationship Type="http://schemas.openxmlformats.org/officeDocument/2006/relationships/hyperlink" Target="#'10 EVIDENCE &amp; DECISIONS'!A1150" TargetMode="External" Id="rId1153"/><Relationship Type="http://schemas.openxmlformats.org/officeDocument/2006/relationships/hyperlink" Target="#'10 EVIDENCE &amp; DECISIONS'!A1151" TargetMode="External" Id="rId1154"/><Relationship Type="http://schemas.openxmlformats.org/officeDocument/2006/relationships/hyperlink" Target="#'10 EVIDENCE &amp; DECISIONS'!A1152" TargetMode="External" Id="rId1155"/><Relationship Type="http://schemas.openxmlformats.org/officeDocument/2006/relationships/hyperlink" Target="#'10 EVIDENCE &amp; DECISIONS'!A1153" TargetMode="External" Id="rId1156"/><Relationship Type="http://schemas.openxmlformats.org/officeDocument/2006/relationships/hyperlink" Target="#'10 EVIDENCE &amp; DECISIONS'!A1154" TargetMode="External" Id="rId1157"/><Relationship Type="http://schemas.openxmlformats.org/officeDocument/2006/relationships/hyperlink" Target="#'10 EVIDENCE &amp; DECISIONS'!A1155" TargetMode="External" Id="rId1158"/><Relationship Type="http://schemas.openxmlformats.org/officeDocument/2006/relationships/hyperlink" Target="#'10 EVIDENCE &amp; DECISIONS'!A1156" TargetMode="External" Id="rId1159"/><Relationship Type="http://schemas.openxmlformats.org/officeDocument/2006/relationships/hyperlink" Target="#'10 EVIDENCE &amp; DECISIONS'!A1157" TargetMode="External" Id="rId1160"/><Relationship Type="http://schemas.openxmlformats.org/officeDocument/2006/relationships/hyperlink" Target="#'10 EVIDENCE &amp; DECISIONS'!A1158" TargetMode="External" Id="rId1161"/><Relationship Type="http://schemas.openxmlformats.org/officeDocument/2006/relationships/hyperlink" Target="#'10 EVIDENCE &amp; DECISIONS'!A1159" TargetMode="External" Id="rId1162"/><Relationship Type="http://schemas.openxmlformats.org/officeDocument/2006/relationships/hyperlink" Target="#'10 EVIDENCE &amp; DECISIONS'!A1160" TargetMode="External" Id="rId1163"/><Relationship Type="http://schemas.openxmlformats.org/officeDocument/2006/relationships/hyperlink" Target="#'10 EVIDENCE &amp; DECISIONS'!A1161" TargetMode="External" Id="rId1164"/><Relationship Type="http://schemas.openxmlformats.org/officeDocument/2006/relationships/hyperlink" Target="#'10 EVIDENCE &amp; DECISIONS'!A1162" TargetMode="External" Id="rId1165"/><Relationship Type="http://schemas.openxmlformats.org/officeDocument/2006/relationships/hyperlink" Target="#'10 EVIDENCE &amp; DECISIONS'!A1163" TargetMode="External" Id="rId1166"/><Relationship Type="http://schemas.openxmlformats.org/officeDocument/2006/relationships/hyperlink" Target="#'10 EVIDENCE &amp; DECISIONS'!A1164" TargetMode="External" Id="rId1167"/><Relationship Type="http://schemas.openxmlformats.org/officeDocument/2006/relationships/hyperlink" Target="#'10 EVIDENCE &amp; DECISIONS'!A1165" TargetMode="External" Id="rId1168"/><Relationship Type="http://schemas.openxmlformats.org/officeDocument/2006/relationships/hyperlink" Target="#'10 EVIDENCE &amp; DECISIONS'!A1166" TargetMode="External" Id="rId1169"/><Relationship Type="http://schemas.openxmlformats.org/officeDocument/2006/relationships/hyperlink" Target="#'10 EVIDENCE &amp; DECISIONS'!A1167" TargetMode="External" Id="rId1170"/><Relationship Type="http://schemas.openxmlformats.org/officeDocument/2006/relationships/hyperlink" Target="#'10 EVIDENCE &amp; DECISIONS'!A1168" TargetMode="External" Id="rId1171"/><Relationship Type="http://schemas.openxmlformats.org/officeDocument/2006/relationships/hyperlink" Target="#'10 EVIDENCE &amp; DECISIONS'!A1169" TargetMode="External" Id="rId1172"/><Relationship Type="http://schemas.openxmlformats.org/officeDocument/2006/relationships/hyperlink" Target="#'10 EVIDENCE &amp; DECISIONS'!A1170" TargetMode="External" Id="rId1173"/><Relationship Type="http://schemas.openxmlformats.org/officeDocument/2006/relationships/hyperlink" Target="#'10 EVIDENCE &amp; DECISIONS'!A1171" TargetMode="External" Id="rId1174"/><Relationship Type="http://schemas.openxmlformats.org/officeDocument/2006/relationships/hyperlink" Target="#'10 EVIDENCE &amp; DECISIONS'!A1172" TargetMode="External" Id="rId1175"/><Relationship Type="http://schemas.openxmlformats.org/officeDocument/2006/relationships/hyperlink" Target="#'10 EVIDENCE &amp; DECISIONS'!A1173" TargetMode="External" Id="rId1176"/><Relationship Type="http://schemas.openxmlformats.org/officeDocument/2006/relationships/hyperlink" Target="#'10 EVIDENCE &amp; DECISIONS'!A1174" TargetMode="External" Id="rId1177"/><Relationship Type="http://schemas.openxmlformats.org/officeDocument/2006/relationships/hyperlink" Target="#'10 EVIDENCE &amp; DECISIONS'!A1175" TargetMode="External" Id="rId1178"/><Relationship Type="http://schemas.openxmlformats.org/officeDocument/2006/relationships/hyperlink" Target="#'10 EVIDENCE &amp; DECISIONS'!A1176" TargetMode="External" Id="rId1179"/><Relationship Type="http://schemas.openxmlformats.org/officeDocument/2006/relationships/hyperlink" Target="#'10 EVIDENCE &amp; DECISIONS'!A1177" TargetMode="External" Id="rId1180"/><Relationship Type="http://schemas.openxmlformats.org/officeDocument/2006/relationships/hyperlink" Target="#'10 EVIDENCE &amp; DECISIONS'!A1178" TargetMode="External" Id="rId1181"/><Relationship Type="http://schemas.openxmlformats.org/officeDocument/2006/relationships/hyperlink" Target="#'10 EVIDENCE &amp; DECISIONS'!A1179" TargetMode="External" Id="rId1182"/><Relationship Type="http://schemas.openxmlformats.org/officeDocument/2006/relationships/hyperlink" Target="#'10 EVIDENCE &amp; DECISIONS'!A1180" TargetMode="External" Id="rId1183"/><Relationship Type="http://schemas.openxmlformats.org/officeDocument/2006/relationships/hyperlink" Target="#'10 EVIDENCE &amp; DECISIONS'!A1181" TargetMode="External" Id="rId1184"/><Relationship Type="http://schemas.openxmlformats.org/officeDocument/2006/relationships/hyperlink" Target="#'10 EVIDENCE &amp; DECISIONS'!A1182" TargetMode="External" Id="rId1185"/><Relationship Type="http://schemas.openxmlformats.org/officeDocument/2006/relationships/hyperlink" Target="#'10 EVIDENCE &amp; DECISIONS'!A1183" TargetMode="External" Id="rId1186"/><Relationship Type="http://schemas.openxmlformats.org/officeDocument/2006/relationships/hyperlink" Target="#'10 EVIDENCE &amp; DECISIONS'!A1184" TargetMode="External" Id="rId1187"/><Relationship Type="http://schemas.openxmlformats.org/officeDocument/2006/relationships/hyperlink" Target="#'10 EVIDENCE &amp; DECISIONS'!A1185" TargetMode="External" Id="rId1188"/><Relationship Type="http://schemas.openxmlformats.org/officeDocument/2006/relationships/hyperlink" Target="#'10 EVIDENCE &amp; DECISIONS'!A1186" TargetMode="External" Id="rId1189"/><Relationship Type="http://schemas.openxmlformats.org/officeDocument/2006/relationships/hyperlink" Target="#'10 EVIDENCE &amp; DECISIONS'!A1187" TargetMode="External" Id="rId1190"/><Relationship Type="http://schemas.openxmlformats.org/officeDocument/2006/relationships/hyperlink" Target="#'10 EVIDENCE &amp; DECISIONS'!A1188" TargetMode="External" Id="rId1191"/><Relationship Type="http://schemas.openxmlformats.org/officeDocument/2006/relationships/hyperlink" Target="#'10 EVIDENCE &amp; DECISIONS'!A1189" TargetMode="External" Id="rId1192"/><Relationship Type="http://schemas.openxmlformats.org/officeDocument/2006/relationships/hyperlink" Target="#'10 EVIDENCE &amp; DECISIONS'!A1190" TargetMode="External" Id="rId1193"/><Relationship Type="http://schemas.openxmlformats.org/officeDocument/2006/relationships/hyperlink" Target="#'10 EVIDENCE &amp; DECISIONS'!A1191" TargetMode="External" Id="rId1194"/><Relationship Type="http://schemas.openxmlformats.org/officeDocument/2006/relationships/hyperlink" Target="#'10 EVIDENCE &amp; DECISIONS'!A1192" TargetMode="External" Id="rId1195"/><Relationship Type="http://schemas.openxmlformats.org/officeDocument/2006/relationships/hyperlink" Target="#'10 EVIDENCE &amp; DECISIONS'!A1193" TargetMode="External" Id="rId1196"/><Relationship Type="http://schemas.openxmlformats.org/officeDocument/2006/relationships/hyperlink" Target="#'10 EVIDENCE &amp; DECISIONS'!A1194" TargetMode="External" Id="rId1197"/><Relationship Type="http://schemas.openxmlformats.org/officeDocument/2006/relationships/hyperlink" Target="#'10 EVIDENCE &amp; DECISIONS'!A1195" TargetMode="External" Id="rId1198"/><Relationship Type="http://schemas.openxmlformats.org/officeDocument/2006/relationships/hyperlink" Target="#'10 EVIDENCE &amp; DECISIONS'!A1196" TargetMode="External" Id="rId1199"/><Relationship Type="http://schemas.openxmlformats.org/officeDocument/2006/relationships/hyperlink" Target="#'10 EVIDENCE &amp; DECISIONS'!A1197" TargetMode="External" Id="rId1200"/><Relationship Type="http://schemas.openxmlformats.org/officeDocument/2006/relationships/hyperlink" Target="#'10 EVIDENCE &amp; DECISIONS'!A1198" TargetMode="External" Id="rId1201"/><Relationship Type="http://schemas.openxmlformats.org/officeDocument/2006/relationships/hyperlink" Target="#'10 EVIDENCE &amp; DECISIONS'!A1199" TargetMode="External" Id="rId1202"/><Relationship Type="http://schemas.openxmlformats.org/officeDocument/2006/relationships/hyperlink" Target="#'10 EVIDENCE &amp; DECISIONS'!A1200" TargetMode="External" Id="rId1203"/><Relationship Type="http://schemas.openxmlformats.org/officeDocument/2006/relationships/hyperlink" Target="#'10 EVIDENCE &amp; DECISIONS'!A1201" TargetMode="External" Id="rId1204"/><Relationship Type="http://schemas.openxmlformats.org/officeDocument/2006/relationships/hyperlink" Target="#'10 EVIDENCE &amp; DECISIONS'!A1202" TargetMode="External" Id="rId1205"/><Relationship Type="http://schemas.openxmlformats.org/officeDocument/2006/relationships/hyperlink" Target="#'10 EVIDENCE &amp; DECISIONS'!A1203" TargetMode="External" Id="rId1206"/><Relationship Type="http://schemas.openxmlformats.org/officeDocument/2006/relationships/hyperlink" Target="#'10 EVIDENCE &amp; DECISIONS'!A1204" TargetMode="External" Id="rId1207"/><Relationship Type="http://schemas.openxmlformats.org/officeDocument/2006/relationships/hyperlink" Target="#'10 EVIDENCE &amp; DECISIONS'!A1205" TargetMode="External" Id="rId1208"/><Relationship Type="http://schemas.openxmlformats.org/officeDocument/2006/relationships/hyperlink" Target="#'10 EVIDENCE &amp; DECISIONS'!A1206" TargetMode="External" Id="rId1209"/><Relationship Type="http://schemas.openxmlformats.org/officeDocument/2006/relationships/hyperlink" Target="#'10 EVIDENCE &amp; DECISIONS'!A1207" TargetMode="External" Id="rId1210"/><Relationship Type="http://schemas.openxmlformats.org/officeDocument/2006/relationships/hyperlink" Target="#'10 EVIDENCE &amp; DECISIONS'!A1208" TargetMode="External" Id="rId1211"/><Relationship Type="http://schemas.openxmlformats.org/officeDocument/2006/relationships/hyperlink" Target="#'10 EVIDENCE &amp; DECISIONS'!A1209" TargetMode="External" Id="rId1212"/><Relationship Type="http://schemas.openxmlformats.org/officeDocument/2006/relationships/hyperlink" Target="#'10 EVIDENCE &amp; DECISIONS'!A1210" TargetMode="External" Id="rId1213"/><Relationship Type="http://schemas.openxmlformats.org/officeDocument/2006/relationships/hyperlink" Target="#'10 EVIDENCE &amp; DECISIONS'!A1211" TargetMode="External" Id="rId1214"/><Relationship Type="http://schemas.openxmlformats.org/officeDocument/2006/relationships/hyperlink" Target="#'10 EVIDENCE &amp; DECISIONS'!A1212" TargetMode="External" Id="rId1215"/><Relationship Type="http://schemas.openxmlformats.org/officeDocument/2006/relationships/hyperlink" Target="#'10 EVIDENCE &amp; DECISIONS'!A1213" TargetMode="External" Id="rId1216"/><Relationship Type="http://schemas.openxmlformats.org/officeDocument/2006/relationships/hyperlink" Target="#'10 EVIDENCE &amp; DECISIONS'!A1214" TargetMode="External" Id="rId1217"/><Relationship Type="http://schemas.openxmlformats.org/officeDocument/2006/relationships/hyperlink" Target="#'10 EVIDENCE &amp; DECISIONS'!A1215" TargetMode="External" Id="rId1218"/><Relationship Type="http://schemas.openxmlformats.org/officeDocument/2006/relationships/hyperlink" Target="#'10 EVIDENCE &amp; DECISIONS'!A1216" TargetMode="External" Id="rId1219"/><Relationship Type="http://schemas.openxmlformats.org/officeDocument/2006/relationships/hyperlink" Target="#'10 EVIDENCE &amp; DECISIONS'!A1217" TargetMode="External" Id="rId1220"/><Relationship Type="http://schemas.openxmlformats.org/officeDocument/2006/relationships/hyperlink" Target="#'10 EVIDENCE &amp; DECISIONS'!A1218" TargetMode="External" Id="rId1221"/><Relationship Type="http://schemas.openxmlformats.org/officeDocument/2006/relationships/hyperlink" Target="#'10 EVIDENCE &amp; DECISIONS'!A1219" TargetMode="External" Id="rId1222"/><Relationship Type="http://schemas.openxmlformats.org/officeDocument/2006/relationships/hyperlink" Target="#'10 EVIDENCE &amp; DECISIONS'!A1220" TargetMode="External" Id="rId1223"/><Relationship Type="http://schemas.openxmlformats.org/officeDocument/2006/relationships/hyperlink" Target="#'10 EVIDENCE &amp; DECISIONS'!A1221" TargetMode="External" Id="rId1224"/><Relationship Type="http://schemas.openxmlformats.org/officeDocument/2006/relationships/hyperlink" Target="#'10 EVIDENCE &amp; DECISIONS'!A1222" TargetMode="External" Id="rId1225"/><Relationship Type="http://schemas.openxmlformats.org/officeDocument/2006/relationships/hyperlink" Target="#'10 EVIDENCE &amp; DECISIONS'!A1223" TargetMode="External" Id="rId1226"/><Relationship Type="http://schemas.openxmlformats.org/officeDocument/2006/relationships/hyperlink" Target="#'10 EVIDENCE &amp; DECISIONS'!A1224" TargetMode="External" Id="rId1227"/><Relationship Type="http://schemas.openxmlformats.org/officeDocument/2006/relationships/hyperlink" Target="#'10 EVIDENCE &amp; DECISIONS'!A1225" TargetMode="External" Id="rId1228"/><Relationship Type="http://schemas.openxmlformats.org/officeDocument/2006/relationships/hyperlink" Target="#'10 EVIDENCE &amp; DECISIONS'!A1226" TargetMode="External" Id="rId1229"/><Relationship Type="http://schemas.openxmlformats.org/officeDocument/2006/relationships/hyperlink" Target="#'10 EVIDENCE &amp; DECISIONS'!A1227" TargetMode="External" Id="rId1230"/><Relationship Type="http://schemas.openxmlformats.org/officeDocument/2006/relationships/hyperlink" Target="#'10 EVIDENCE &amp; DECISIONS'!A1228" TargetMode="External" Id="rId1231"/><Relationship Type="http://schemas.openxmlformats.org/officeDocument/2006/relationships/hyperlink" Target="#'10 EVIDENCE &amp; DECISIONS'!A1229" TargetMode="External" Id="rId1232"/><Relationship Type="http://schemas.openxmlformats.org/officeDocument/2006/relationships/hyperlink" Target="#'10 EVIDENCE &amp; DECISIONS'!A1230" TargetMode="External" Id="rId1233"/><Relationship Type="http://schemas.openxmlformats.org/officeDocument/2006/relationships/hyperlink" Target="#'10 EVIDENCE &amp; DECISIONS'!A1231" TargetMode="External" Id="rId1234"/><Relationship Type="http://schemas.openxmlformats.org/officeDocument/2006/relationships/hyperlink" Target="#'10 EVIDENCE &amp; DECISIONS'!A1232" TargetMode="External" Id="rId1235"/><Relationship Type="http://schemas.openxmlformats.org/officeDocument/2006/relationships/hyperlink" Target="#'10 EVIDENCE &amp; DECISIONS'!A1233" TargetMode="External" Id="rId1236"/><Relationship Type="http://schemas.openxmlformats.org/officeDocument/2006/relationships/hyperlink" Target="#'10 EVIDENCE &amp; DECISIONS'!A1234" TargetMode="External" Id="rId1237"/><Relationship Type="http://schemas.openxmlformats.org/officeDocument/2006/relationships/hyperlink" Target="#'10 EVIDENCE &amp; DECISIONS'!A1235" TargetMode="External" Id="rId1238"/><Relationship Type="http://schemas.openxmlformats.org/officeDocument/2006/relationships/hyperlink" Target="#'10 EVIDENCE &amp; DECISIONS'!A1236" TargetMode="External" Id="rId1239"/><Relationship Type="http://schemas.openxmlformats.org/officeDocument/2006/relationships/hyperlink" Target="#'10 EVIDENCE &amp; DECISIONS'!A1237" TargetMode="External" Id="rId1240"/><Relationship Type="http://schemas.openxmlformats.org/officeDocument/2006/relationships/hyperlink" Target="#'10 EVIDENCE &amp; DECISIONS'!A1238" TargetMode="External" Id="rId1241"/><Relationship Type="http://schemas.openxmlformats.org/officeDocument/2006/relationships/hyperlink" Target="#'10 EVIDENCE &amp; DECISIONS'!A1239" TargetMode="External" Id="rId1242"/><Relationship Type="http://schemas.openxmlformats.org/officeDocument/2006/relationships/hyperlink" Target="#'10 EVIDENCE &amp; DECISIONS'!A1240" TargetMode="External" Id="rId1243"/><Relationship Type="http://schemas.openxmlformats.org/officeDocument/2006/relationships/hyperlink" Target="#'10 EVIDENCE &amp; DECISIONS'!A1241" TargetMode="External" Id="rId1244"/><Relationship Type="http://schemas.openxmlformats.org/officeDocument/2006/relationships/hyperlink" Target="#'10 EVIDENCE &amp; DECISIONS'!A1242" TargetMode="External" Id="rId1245"/><Relationship Type="http://schemas.openxmlformats.org/officeDocument/2006/relationships/hyperlink" Target="#'10 EVIDENCE &amp; DECISIONS'!A1243" TargetMode="External" Id="rId1246"/><Relationship Type="http://schemas.openxmlformats.org/officeDocument/2006/relationships/hyperlink" Target="#'10 EVIDENCE &amp; DECISIONS'!A1244" TargetMode="External" Id="rId1247"/><Relationship Type="http://schemas.openxmlformats.org/officeDocument/2006/relationships/hyperlink" Target="#'10 EVIDENCE &amp; DECISIONS'!A1245" TargetMode="External" Id="rId1248"/><Relationship Type="http://schemas.openxmlformats.org/officeDocument/2006/relationships/hyperlink" Target="#'10 EVIDENCE &amp; DECISIONS'!A1246" TargetMode="External" Id="rId1249"/><Relationship Type="http://schemas.openxmlformats.org/officeDocument/2006/relationships/hyperlink" Target="#'10 EVIDENCE &amp; DECISIONS'!A1247" TargetMode="External" Id="rId1250"/><Relationship Type="http://schemas.openxmlformats.org/officeDocument/2006/relationships/hyperlink" Target="#'10 EVIDENCE &amp; DECISIONS'!A1248" TargetMode="External" Id="rId1251"/><Relationship Type="http://schemas.openxmlformats.org/officeDocument/2006/relationships/hyperlink" Target="#'10 EVIDENCE &amp; DECISIONS'!A1249" TargetMode="External" Id="rId1252"/><Relationship Type="http://schemas.openxmlformats.org/officeDocument/2006/relationships/hyperlink" Target="#'10 EVIDENCE &amp; DECISIONS'!A1250" TargetMode="External" Id="rId1253"/><Relationship Type="http://schemas.openxmlformats.org/officeDocument/2006/relationships/hyperlink" Target="#'10 EVIDENCE &amp; DECISIONS'!A1251" TargetMode="External" Id="rId1254"/><Relationship Type="http://schemas.openxmlformats.org/officeDocument/2006/relationships/hyperlink" Target="#'10 EVIDENCE &amp; DECISIONS'!A1252" TargetMode="External" Id="rId1255"/><Relationship Type="http://schemas.openxmlformats.org/officeDocument/2006/relationships/hyperlink" Target="#'10 EVIDENCE &amp; DECISIONS'!A1253" TargetMode="External" Id="rId1256"/><Relationship Type="http://schemas.openxmlformats.org/officeDocument/2006/relationships/hyperlink" Target="#'10 EVIDENCE &amp; DECISIONS'!A1254" TargetMode="External" Id="rId1257"/><Relationship Type="http://schemas.openxmlformats.org/officeDocument/2006/relationships/hyperlink" Target="#'10 EVIDENCE &amp; DECISIONS'!A1255" TargetMode="External" Id="rId1258"/><Relationship Type="http://schemas.openxmlformats.org/officeDocument/2006/relationships/hyperlink" Target="#'10 EVIDENCE &amp; DECISIONS'!A1256" TargetMode="External" Id="rId1259"/><Relationship Type="http://schemas.openxmlformats.org/officeDocument/2006/relationships/hyperlink" Target="#'10 EVIDENCE &amp; DECISIONS'!A1257" TargetMode="External" Id="rId1260"/><Relationship Type="http://schemas.openxmlformats.org/officeDocument/2006/relationships/hyperlink" Target="#'10 EVIDENCE &amp; DECISIONS'!A1258" TargetMode="External" Id="rId1261"/><Relationship Type="http://schemas.openxmlformats.org/officeDocument/2006/relationships/hyperlink" Target="#'10 EVIDENCE &amp; DECISIONS'!A1259" TargetMode="External" Id="rId1262"/><Relationship Type="http://schemas.openxmlformats.org/officeDocument/2006/relationships/hyperlink" Target="#'10 EVIDENCE &amp; DECISIONS'!A1260" TargetMode="External" Id="rId1263"/><Relationship Type="http://schemas.openxmlformats.org/officeDocument/2006/relationships/hyperlink" Target="#'10 EVIDENCE &amp; DECISIONS'!A1261" TargetMode="External" Id="rId1264"/><Relationship Type="http://schemas.openxmlformats.org/officeDocument/2006/relationships/hyperlink" Target="#'10 EVIDENCE &amp; DECISIONS'!A1262" TargetMode="External" Id="rId1265"/><Relationship Type="http://schemas.openxmlformats.org/officeDocument/2006/relationships/hyperlink" Target="#'10 EVIDENCE &amp; DECISIONS'!A1263" TargetMode="External" Id="rId1266"/><Relationship Type="http://schemas.openxmlformats.org/officeDocument/2006/relationships/hyperlink" Target="#'10 EVIDENCE &amp; DECISIONS'!A1264" TargetMode="External" Id="rId1267"/><Relationship Type="http://schemas.openxmlformats.org/officeDocument/2006/relationships/hyperlink" Target="#'10 EVIDENCE &amp; DECISIONS'!A1265" TargetMode="External" Id="rId1268"/><Relationship Type="http://schemas.openxmlformats.org/officeDocument/2006/relationships/hyperlink" Target="#'10 EVIDENCE &amp; DECISIONS'!A1266" TargetMode="External" Id="rId1269"/><Relationship Type="http://schemas.openxmlformats.org/officeDocument/2006/relationships/hyperlink" Target="#'10 EVIDENCE &amp; DECISIONS'!A1267" TargetMode="External" Id="rId1270"/><Relationship Type="http://schemas.openxmlformats.org/officeDocument/2006/relationships/hyperlink" Target="#'10 EVIDENCE &amp; DECISIONS'!A1268" TargetMode="External" Id="rId1271"/><Relationship Type="http://schemas.openxmlformats.org/officeDocument/2006/relationships/hyperlink" Target="#'10 EVIDENCE &amp; DECISIONS'!A1269" TargetMode="External" Id="rId1272"/><Relationship Type="http://schemas.openxmlformats.org/officeDocument/2006/relationships/hyperlink" Target="#'10 EVIDENCE &amp; DECISIONS'!A1270" TargetMode="External" Id="rId1273"/><Relationship Type="http://schemas.openxmlformats.org/officeDocument/2006/relationships/hyperlink" Target="#'10 EVIDENCE &amp; DECISIONS'!A1271" TargetMode="External" Id="rId1274"/><Relationship Type="http://schemas.openxmlformats.org/officeDocument/2006/relationships/hyperlink" Target="#'10 EVIDENCE &amp; DECISIONS'!A1272" TargetMode="External" Id="rId1275"/><Relationship Type="http://schemas.openxmlformats.org/officeDocument/2006/relationships/hyperlink" Target="#'10 EVIDENCE &amp; DECISIONS'!A1273" TargetMode="External" Id="rId1276"/><Relationship Type="http://schemas.openxmlformats.org/officeDocument/2006/relationships/hyperlink" Target="#'10 EVIDENCE &amp; DECISIONS'!A1274" TargetMode="External" Id="rId1277"/><Relationship Type="http://schemas.openxmlformats.org/officeDocument/2006/relationships/hyperlink" Target="#'10 EVIDENCE &amp; DECISIONS'!A1275" TargetMode="External" Id="rId1278"/><Relationship Type="http://schemas.openxmlformats.org/officeDocument/2006/relationships/hyperlink" Target="#'10 EVIDENCE &amp; DECISIONS'!A1276" TargetMode="External" Id="rId1279"/><Relationship Type="http://schemas.openxmlformats.org/officeDocument/2006/relationships/hyperlink" Target="#'10 EVIDENCE &amp; DECISIONS'!A1277" TargetMode="External" Id="rId1280"/><Relationship Type="http://schemas.openxmlformats.org/officeDocument/2006/relationships/hyperlink" Target="#'10 EVIDENCE &amp; DECISIONS'!A1278" TargetMode="External" Id="rId1281"/><Relationship Type="http://schemas.openxmlformats.org/officeDocument/2006/relationships/hyperlink" Target="#'10 EVIDENCE &amp; DECISIONS'!A1279" TargetMode="External" Id="rId1282"/><Relationship Type="http://schemas.openxmlformats.org/officeDocument/2006/relationships/hyperlink" Target="#'10 EVIDENCE &amp; DECISIONS'!A1280" TargetMode="External" Id="rId1283"/><Relationship Type="http://schemas.openxmlformats.org/officeDocument/2006/relationships/hyperlink" Target="#'10 EVIDENCE &amp; DECISIONS'!A1281" TargetMode="External" Id="rId1284"/><Relationship Type="http://schemas.openxmlformats.org/officeDocument/2006/relationships/hyperlink" Target="#'10 EVIDENCE &amp; DECISIONS'!A1282" TargetMode="External" Id="rId1285"/><Relationship Type="http://schemas.openxmlformats.org/officeDocument/2006/relationships/hyperlink" Target="#'10 EVIDENCE &amp; DECISIONS'!A1283" TargetMode="External" Id="rId1286"/><Relationship Type="http://schemas.openxmlformats.org/officeDocument/2006/relationships/hyperlink" Target="#'10 EVIDENCE &amp; DECISIONS'!A1284" TargetMode="External" Id="rId1287"/><Relationship Type="http://schemas.openxmlformats.org/officeDocument/2006/relationships/hyperlink" Target="#'10 EVIDENCE &amp; DECISIONS'!A1285" TargetMode="External" Id="rId1288"/><Relationship Type="http://schemas.openxmlformats.org/officeDocument/2006/relationships/hyperlink" Target="#'10 EVIDENCE &amp; DECISIONS'!A1286" TargetMode="External" Id="rId1289"/><Relationship Type="http://schemas.openxmlformats.org/officeDocument/2006/relationships/hyperlink" Target="#'10 EVIDENCE &amp; DECISIONS'!A1287" TargetMode="External" Id="rId1290"/><Relationship Type="http://schemas.openxmlformats.org/officeDocument/2006/relationships/hyperlink" Target="#'10 EVIDENCE &amp; DECISIONS'!A1288" TargetMode="External" Id="rId1291"/><Relationship Type="http://schemas.openxmlformats.org/officeDocument/2006/relationships/hyperlink" Target="#'10 EVIDENCE &amp; DECISIONS'!A1289" TargetMode="External" Id="rId1292"/><Relationship Type="http://schemas.openxmlformats.org/officeDocument/2006/relationships/hyperlink" Target="#'10 EVIDENCE &amp; DECISIONS'!A1290" TargetMode="External" Id="rId1293"/><Relationship Type="http://schemas.openxmlformats.org/officeDocument/2006/relationships/hyperlink" Target="#'10 EVIDENCE &amp; DECISIONS'!A1291" TargetMode="External" Id="rId1294"/><Relationship Type="http://schemas.openxmlformats.org/officeDocument/2006/relationships/hyperlink" Target="#'10 EVIDENCE &amp; DECISIONS'!A1292" TargetMode="External" Id="rId1295"/><Relationship Type="http://schemas.openxmlformats.org/officeDocument/2006/relationships/hyperlink" Target="#'10 EVIDENCE &amp; DECISIONS'!A1293" TargetMode="External" Id="rId1296"/><Relationship Type="http://schemas.openxmlformats.org/officeDocument/2006/relationships/hyperlink" Target="#'10 EVIDENCE &amp; DECISIONS'!A1294" TargetMode="External" Id="rId1297"/><Relationship Type="http://schemas.openxmlformats.org/officeDocument/2006/relationships/hyperlink" Target="#'10 EVIDENCE &amp; DECISIONS'!A1295" TargetMode="External" Id="rId1298"/><Relationship Type="http://schemas.openxmlformats.org/officeDocument/2006/relationships/hyperlink" Target="#'10 EVIDENCE &amp; DECISIONS'!A1296" TargetMode="External" Id="rId1299"/><Relationship Type="http://schemas.openxmlformats.org/officeDocument/2006/relationships/hyperlink" Target="#'10 EVIDENCE &amp; DECISIONS'!A1297" TargetMode="External" Id="rId1300"/><Relationship Type="http://schemas.openxmlformats.org/officeDocument/2006/relationships/hyperlink" Target="#'10 EVIDENCE &amp; DECISIONS'!A1298" TargetMode="External" Id="rId1301"/><Relationship Type="http://schemas.openxmlformats.org/officeDocument/2006/relationships/hyperlink" Target="#'10 EVIDENCE &amp; DECISIONS'!A1299" TargetMode="External" Id="rId1302"/><Relationship Type="http://schemas.openxmlformats.org/officeDocument/2006/relationships/hyperlink" Target="#'10 EVIDENCE &amp; DECISIONS'!A1300" TargetMode="External" Id="rId1303"/><Relationship Type="http://schemas.openxmlformats.org/officeDocument/2006/relationships/hyperlink" Target="#'10 EVIDENCE &amp; DECISIONS'!A1301" TargetMode="External" Id="rId1304"/><Relationship Type="http://schemas.openxmlformats.org/officeDocument/2006/relationships/hyperlink" Target="#'10 EVIDENCE &amp; DECISIONS'!A1302" TargetMode="External" Id="rId1305"/><Relationship Type="http://schemas.openxmlformats.org/officeDocument/2006/relationships/hyperlink" Target="#'10 EVIDENCE &amp; DECISIONS'!A1303" TargetMode="External" Id="rId1306"/><Relationship Type="http://schemas.openxmlformats.org/officeDocument/2006/relationships/hyperlink" Target="#'10 EVIDENCE &amp; DECISIONS'!A1304" TargetMode="External" Id="rId1307"/><Relationship Type="http://schemas.openxmlformats.org/officeDocument/2006/relationships/hyperlink" Target="#'10 EVIDENCE &amp; DECISIONS'!A1305" TargetMode="External" Id="rId1308"/><Relationship Type="http://schemas.openxmlformats.org/officeDocument/2006/relationships/hyperlink" Target="#'10 EVIDENCE &amp; DECISIONS'!A1306" TargetMode="External" Id="rId1309"/><Relationship Type="http://schemas.openxmlformats.org/officeDocument/2006/relationships/hyperlink" Target="#'10 EVIDENCE &amp; DECISIONS'!A1307" TargetMode="External" Id="rId1310"/><Relationship Type="http://schemas.openxmlformats.org/officeDocument/2006/relationships/hyperlink" Target="#'10 EVIDENCE &amp; DECISIONS'!A1308" TargetMode="External" Id="rId1311"/><Relationship Type="http://schemas.openxmlformats.org/officeDocument/2006/relationships/hyperlink" Target="#'10 EVIDENCE &amp; DECISIONS'!A1309" TargetMode="External" Id="rId1312"/><Relationship Type="http://schemas.openxmlformats.org/officeDocument/2006/relationships/hyperlink" Target="#'10 EVIDENCE &amp; DECISIONS'!A1310" TargetMode="External" Id="rId1313"/><Relationship Type="http://schemas.openxmlformats.org/officeDocument/2006/relationships/hyperlink" Target="#'10 EVIDENCE &amp; DECISIONS'!A1311" TargetMode="External" Id="rId1314"/><Relationship Type="http://schemas.openxmlformats.org/officeDocument/2006/relationships/hyperlink" Target="#'10 EVIDENCE &amp; DECISIONS'!A1312" TargetMode="External" Id="rId1315"/><Relationship Type="http://schemas.openxmlformats.org/officeDocument/2006/relationships/hyperlink" Target="#'10 EVIDENCE &amp; DECISIONS'!A1313" TargetMode="External" Id="rId1316"/><Relationship Type="http://schemas.openxmlformats.org/officeDocument/2006/relationships/hyperlink" Target="#'10 EVIDENCE &amp; DECISIONS'!A1314" TargetMode="External" Id="rId1317"/><Relationship Type="http://schemas.openxmlformats.org/officeDocument/2006/relationships/hyperlink" Target="#'10 EVIDENCE &amp; DECISIONS'!A1315" TargetMode="External" Id="rId1318"/><Relationship Type="http://schemas.openxmlformats.org/officeDocument/2006/relationships/hyperlink" Target="#'10 EVIDENCE &amp; DECISIONS'!A1316" TargetMode="External" Id="rId1319"/><Relationship Type="http://schemas.openxmlformats.org/officeDocument/2006/relationships/hyperlink" Target="#'10 EVIDENCE &amp; DECISIONS'!A1317" TargetMode="External" Id="rId1320"/><Relationship Type="http://schemas.openxmlformats.org/officeDocument/2006/relationships/hyperlink" Target="#'10 EVIDENCE &amp; DECISIONS'!A1318" TargetMode="External" Id="rId1321"/><Relationship Type="http://schemas.openxmlformats.org/officeDocument/2006/relationships/hyperlink" Target="#'10 EVIDENCE &amp; DECISIONS'!A1319" TargetMode="External" Id="rId1322"/><Relationship Type="http://schemas.openxmlformats.org/officeDocument/2006/relationships/hyperlink" Target="#'10 EVIDENCE &amp; DECISIONS'!A1320" TargetMode="External" Id="rId1323"/><Relationship Type="http://schemas.openxmlformats.org/officeDocument/2006/relationships/hyperlink" Target="#'10 EVIDENCE &amp; DECISIONS'!A1321" TargetMode="External" Id="rId1324"/><Relationship Type="http://schemas.openxmlformats.org/officeDocument/2006/relationships/hyperlink" Target="#'10 EVIDENCE &amp; DECISIONS'!A1322" TargetMode="External" Id="rId1325"/><Relationship Type="http://schemas.openxmlformats.org/officeDocument/2006/relationships/hyperlink" Target="#'10 EVIDENCE &amp; DECISIONS'!A1323" TargetMode="External" Id="rId1326"/><Relationship Type="http://schemas.openxmlformats.org/officeDocument/2006/relationships/hyperlink" Target="#'10 EVIDENCE &amp; DECISIONS'!A1324" TargetMode="External" Id="rId1327"/><Relationship Type="http://schemas.openxmlformats.org/officeDocument/2006/relationships/hyperlink" Target="#'10 EVIDENCE &amp; DECISIONS'!A1325" TargetMode="External" Id="rId1328"/><Relationship Type="http://schemas.openxmlformats.org/officeDocument/2006/relationships/hyperlink" Target="#'10 EVIDENCE &amp; DECISIONS'!A1326" TargetMode="External" Id="rId1329"/><Relationship Type="http://schemas.openxmlformats.org/officeDocument/2006/relationships/hyperlink" Target="#'10 EVIDENCE &amp; DECISIONS'!A1327" TargetMode="External" Id="rId1330"/><Relationship Type="http://schemas.openxmlformats.org/officeDocument/2006/relationships/hyperlink" Target="#'10 EVIDENCE &amp; DECISIONS'!A1328" TargetMode="External" Id="rId1331"/><Relationship Type="http://schemas.openxmlformats.org/officeDocument/2006/relationships/hyperlink" Target="#'10 EVIDENCE &amp; DECISIONS'!A1329" TargetMode="External" Id="rId1332"/><Relationship Type="http://schemas.openxmlformats.org/officeDocument/2006/relationships/hyperlink" Target="#'10 EVIDENCE &amp; DECISIONS'!A1330" TargetMode="External" Id="rId1333"/><Relationship Type="http://schemas.openxmlformats.org/officeDocument/2006/relationships/hyperlink" Target="#'10 EVIDENCE &amp; DECISIONS'!A1331" TargetMode="External" Id="rId1334"/><Relationship Type="http://schemas.openxmlformats.org/officeDocument/2006/relationships/hyperlink" Target="#'10 EVIDENCE &amp; DECISIONS'!A1332" TargetMode="External" Id="rId1335"/><Relationship Type="http://schemas.openxmlformats.org/officeDocument/2006/relationships/hyperlink" Target="#'10 EVIDENCE &amp; DECISIONS'!A1333" TargetMode="External" Id="rId1336"/><Relationship Type="http://schemas.openxmlformats.org/officeDocument/2006/relationships/hyperlink" Target="#'10 EVIDENCE &amp; DECISIONS'!A1334" TargetMode="External" Id="rId1337"/><Relationship Type="http://schemas.openxmlformats.org/officeDocument/2006/relationships/hyperlink" Target="#'10 EVIDENCE &amp; DECISIONS'!A1335" TargetMode="External" Id="rId1338"/><Relationship Type="http://schemas.openxmlformats.org/officeDocument/2006/relationships/hyperlink" Target="#'10 EVIDENCE &amp; DECISIONS'!A1336" TargetMode="External" Id="rId1339"/><Relationship Type="http://schemas.openxmlformats.org/officeDocument/2006/relationships/hyperlink" Target="#'10 EVIDENCE &amp; DECISIONS'!A1337" TargetMode="External" Id="rId1340"/><Relationship Type="http://schemas.openxmlformats.org/officeDocument/2006/relationships/hyperlink" Target="#'10 EVIDENCE &amp; DECISIONS'!A1338" TargetMode="External" Id="rId1341"/><Relationship Type="http://schemas.openxmlformats.org/officeDocument/2006/relationships/hyperlink" Target="#'10 EVIDENCE &amp; DECISIONS'!A1339" TargetMode="External" Id="rId1342"/><Relationship Type="http://schemas.openxmlformats.org/officeDocument/2006/relationships/hyperlink" Target="#'10 EVIDENCE &amp; DECISIONS'!A1340" TargetMode="External" Id="rId1343"/><Relationship Type="http://schemas.openxmlformats.org/officeDocument/2006/relationships/hyperlink" Target="#'10 EVIDENCE &amp; DECISIONS'!A1341" TargetMode="External" Id="rId1344"/><Relationship Type="http://schemas.openxmlformats.org/officeDocument/2006/relationships/hyperlink" Target="#'10 EVIDENCE &amp; DECISIONS'!A1342" TargetMode="External" Id="rId1345"/><Relationship Type="http://schemas.openxmlformats.org/officeDocument/2006/relationships/hyperlink" Target="#'10 EVIDENCE &amp; DECISIONS'!A1343" TargetMode="External" Id="rId1346"/><Relationship Type="http://schemas.openxmlformats.org/officeDocument/2006/relationships/hyperlink" Target="#'10 EVIDENCE &amp; DECISIONS'!A1344" TargetMode="External" Id="rId1347"/><Relationship Type="http://schemas.openxmlformats.org/officeDocument/2006/relationships/hyperlink" Target="#'10 EVIDENCE &amp; DECISIONS'!A1345" TargetMode="External" Id="rId1348"/><Relationship Type="http://schemas.openxmlformats.org/officeDocument/2006/relationships/hyperlink" Target="#'10 EVIDENCE &amp; DECISIONS'!A1346" TargetMode="External" Id="rId1349"/><Relationship Type="http://schemas.openxmlformats.org/officeDocument/2006/relationships/hyperlink" Target="#'10 EVIDENCE &amp; DECISIONS'!A1347" TargetMode="External" Id="rId1350"/><Relationship Type="http://schemas.openxmlformats.org/officeDocument/2006/relationships/hyperlink" Target="#'10 EVIDENCE &amp; DECISIONS'!A1348" TargetMode="External" Id="rId1351"/><Relationship Type="http://schemas.openxmlformats.org/officeDocument/2006/relationships/hyperlink" Target="#'10 EVIDENCE &amp; DECISIONS'!A1349" TargetMode="External" Id="rId1352"/><Relationship Type="http://schemas.openxmlformats.org/officeDocument/2006/relationships/hyperlink" Target="#'10 EVIDENCE &amp; DECISIONS'!A1350" TargetMode="External" Id="rId1353"/><Relationship Type="http://schemas.openxmlformats.org/officeDocument/2006/relationships/hyperlink" Target="#'10 EVIDENCE &amp; DECISIONS'!A1351" TargetMode="External" Id="rId1354"/><Relationship Type="http://schemas.openxmlformats.org/officeDocument/2006/relationships/hyperlink" Target="#'10 EVIDENCE &amp; DECISIONS'!A1352" TargetMode="External" Id="rId1355"/><Relationship Type="http://schemas.openxmlformats.org/officeDocument/2006/relationships/hyperlink" Target="#'10 EVIDENCE &amp; DECISIONS'!A1353" TargetMode="External" Id="rId1356"/><Relationship Type="http://schemas.openxmlformats.org/officeDocument/2006/relationships/hyperlink" Target="#'10 EVIDENCE &amp; DECISIONS'!A1354" TargetMode="External" Id="rId1357"/><Relationship Type="http://schemas.openxmlformats.org/officeDocument/2006/relationships/hyperlink" Target="#'10 EVIDENCE &amp; DECISIONS'!A1355" TargetMode="External" Id="rId1358"/><Relationship Type="http://schemas.openxmlformats.org/officeDocument/2006/relationships/hyperlink" Target="#'10 EVIDENCE &amp; DECISIONS'!A1356" TargetMode="External" Id="rId1359"/><Relationship Type="http://schemas.openxmlformats.org/officeDocument/2006/relationships/hyperlink" Target="#'10 EVIDENCE &amp; DECISIONS'!A1357" TargetMode="External" Id="rId1360"/><Relationship Type="http://schemas.openxmlformats.org/officeDocument/2006/relationships/hyperlink" Target="#'10 EVIDENCE &amp; DECISIONS'!A1358" TargetMode="External" Id="rId1361"/><Relationship Type="http://schemas.openxmlformats.org/officeDocument/2006/relationships/hyperlink" Target="#'10 EVIDENCE &amp; DECISIONS'!A1359" TargetMode="External" Id="rId1362"/><Relationship Type="http://schemas.openxmlformats.org/officeDocument/2006/relationships/hyperlink" Target="#'10 EVIDENCE &amp; DECISIONS'!A1360" TargetMode="External" Id="rId1363"/><Relationship Type="http://schemas.openxmlformats.org/officeDocument/2006/relationships/hyperlink" Target="#'10 EVIDENCE &amp; DECISIONS'!A1361" TargetMode="External" Id="rId1364"/><Relationship Type="http://schemas.openxmlformats.org/officeDocument/2006/relationships/hyperlink" Target="#'10 EVIDENCE &amp; DECISIONS'!A1362" TargetMode="External" Id="rId1365"/><Relationship Type="http://schemas.openxmlformats.org/officeDocument/2006/relationships/hyperlink" Target="#'10 EVIDENCE &amp; DECISIONS'!A1363" TargetMode="External" Id="rId1366"/><Relationship Type="http://schemas.openxmlformats.org/officeDocument/2006/relationships/hyperlink" Target="#'10 EVIDENCE &amp; DECISIONS'!A1364" TargetMode="External" Id="rId1367"/><Relationship Type="http://schemas.openxmlformats.org/officeDocument/2006/relationships/hyperlink" Target="#'10 EVIDENCE &amp; DECISIONS'!A1365" TargetMode="External" Id="rId1368"/><Relationship Type="http://schemas.openxmlformats.org/officeDocument/2006/relationships/hyperlink" Target="#'10 EVIDENCE &amp; DECISIONS'!A1467" TargetMode="External" Id="rId1369"/><Relationship Type="http://schemas.openxmlformats.org/officeDocument/2006/relationships/hyperlink" Target="#'10 EVIDENCE &amp; DECISIONS'!A1468" TargetMode="External" Id="rId1370"/><Relationship Type="http://schemas.openxmlformats.org/officeDocument/2006/relationships/hyperlink" Target="#'10 EVIDENCE &amp; DECISIONS'!A1469" TargetMode="External" Id="rId1371"/><Relationship Type="http://schemas.openxmlformats.org/officeDocument/2006/relationships/hyperlink" Target="#'10 EVIDENCE &amp; DECISIONS'!A1470" TargetMode="External" Id="rId1372"/><Relationship Type="http://schemas.openxmlformats.org/officeDocument/2006/relationships/hyperlink" Target="#'10 EVIDENCE &amp; DECISIONS'!A1471" TargetMode="External" Id="rId1373"/><Relationship Type="http://schemas.openxmlformats.org/officeDocument/2006/relationships/hyperlink" Target="#'10 EVIDENCE &amp; DECISIONS'!A1472" TargetMode="External" Id="rId1374"/><Relationship Type="http://schemas.openxmlformats.org/officeDocument/2006/relationships/hyperlink" Target="#'10 EVIDENCE &amp; DECISIONS'!A1473" TargetMode="External" Id="rId1375"/><Relationship Type="http://schemas.openxmlformats.org/officeDocument/2006/relationships/hyperlink" Target="#'10 EVIDENCE &amp; DECISIONS'!A1474" TargetMode="External" Id="rId1376"/><Relationship Type="http://schemas.openxmlformats.org/officeDocument/2006/relationships/hyperlink" Target="#'10 EVIDENCE &amp; DECISIONS'!A1475" TargetMode="External" Id="rId1377"/><Relationship Type="http://schemas.openxmlformats.org/officeDocument/2006/relationships/hyperlink" Target="#'10 EVIDENCE &amp; DECISIONS'!A1476" TargetMode="External" Id="rId1378"/><Relationship Type="http://schemas.openxmlformats.org/officeDocument/2006/relationships/hyperlink" Target="#'10 EVIDENCE &amp; DECISIONS'!A1477" TargetMode="External" Id="rId1379"/><Relationship Type="http://schemas.openxmlformats.org/officeDocument/2006/relationships/hyperlink" Target="#'10 EVIDENCE &amp; DECISIONS'!A1478" TargetMode="External" Id="rId1380"/><Relationship Type="http://schemas.openxmlformats.org/officeDocument/2006/relationships/hyperlink" Target="#'10 EVIDENCE &amp; DECISIONS'!A1479" TargetMode="External" Id="rId1381"/><Relationship Type="http://schemas.openxmlformats.org/officeDocument/2006/relationships/hyperlink" Target="#'10 EVIDENCE &amp; DECISIONS'!A1480" TargetMode="External" Id="rId1382"/><Relationship Type="http://schemas.openxmlformats.org/officeDocument/2006/relationships/hyperlink" Target="#'10 EVIDENCE &amp; DECISIONS'!A1481" TargetMode="External" Id="rId1383"/><Relationship Type="http://schemas.openxmlformats.org/officeDocument/2006/relationships/hyperlink" Target="#'10 EVIDENCE &amp; DECISIONS'!A1482" TargetMode="External" Id="rId1384"/><Relationship Type="http://schemas.openxmlformats.org/officeDocument/2006/relationships/hyperlink" Target="#'10 EVIDENCE &amp; DECISIONS'!A1483" TargetMode="External" Id="rId1385"/><Relationship Type="http://schemas.openxmlformats.org/officeDocument/2006/relationships/hyperlink" Target="#'10 EVIDENCE &amp; DECISIONS'!A1484" TargetMode="External" Id="rId1386"/><Relationship Type="http://schemas.openxmlformats.org/officeDocument/2006/relationships/hyperlink" Target="#'10 EVIDENCE &amp; DECISIONS'!A1485" TargetMode="External" Id="rId1387"/><Relationship Type="http://schemas.openxmlformats.org/officeDocument/2006/relationships/hyperlink" Target="#'10 EVIDENCE &amp; DECISIONS'!A1486" TargetMode="External" Id="rId1388"/><Relationship Type="http://schemas.openxmlformats.org/officeDocument/2006/relationships/hyperlink" Target="#'10 EVIDENCE &amp; DECISIONS'!A1487" TargetMode="External" Id="rId1389"/><Relationship Type="http://schemas.openxmlformats.org/officeDocument/2006/relationships/hyperlink" Target="#'10 EVIDENCE &amp; DECISIONS'!A1488" TargetMode="External" Id="rId1390"/><Relationship Type="http://schemas.openxmlformats.org/officeDocument/2006/relationships/hyperlink" Target="#'10 EVIDENCE &amp; DECISIONS'!A1489" TargetMode="External" Id="rId1391"/><Relationship Type="http://schemas.openxmlformats.org/officeDocument/2006/relationships/hyperlink" Target="#'10 EVIDENCE &amp; DECISIONS'!A1490" TargetMode="External" Id="rId1392"/><Relationship Type="http://schemas.openxmlformats.org/officeDocument/2006/relationships/hyperlink" Target="#'10 EVIDENCE &amp; DECISIONS'!A1491" TargetMode="External" Id="rId1393"/><Relationship Type="http://schemas.openxmlformats.org/officeDocument/2006/relationships/hyperlink" Target="#'10 EVIDENCE &amp; DECISIONS'!A1492" TargetMode="External" Id="rId1394"/><Relationship Type="http://schemas.openxmlformats.org/officeDocument/2006/relationships/hyperlink" Target="#'10 EVIDENCE &amp; DECISIONS'!A1493" TargetMode="External" Id="rId1395"/><Relationship Type="http://schemas.openxmlformats.org/officeDocument/2006/relationships/hyperlink" Target="#'10 EVIDENCE &amp; DECISIONS'!A1494" TargetMode="External" Id="rId1396"/><Relationship Type="http://schemas.openxmlformats.org/officeDocument/2006/relationships/hyperlink" Target="#'10 EVIDENCE &amp; DECISIONS'!A1495" TargetMode="External" Id="rId1397"/><Relationship Type="http://schemas.openxmlformats.org/officeDocument/2006/relationships/hyperlink" Target="#'10 EVIDENCE &amp; DECISIONS'!A1496" TargetMode="External" Id="rId1398"/><Relationship Type="http://schemas.openxmlformats.org/officeDocument/2006/relationships/hyperlink" Target="#'10 EVIDENCE &amp; DECISIONS'!A1497" TargetMode="External" Id="rId1399"/><Relationship Type="http://schemas.openxmlformats.org/officeDocument/2006/relationships/hyperlink" Target="#'10 EVIDENCE &amp; DECISIONS'!A1498" TargetMode="External" Id="rId1400"/><Relationship Type="http://schemas.openxmlformats.org/officeDocument/2006/relationships/hyperlink" Target="#'10 EVIDENCE &amp; DECISIONS'!A1499" TargetMode="External" Id="rId1401"/><Relationship Type="http://schemas.openxmlformats.org/officeDocument/2006/relationships/hyperlink" Target="#'10 EVIDENCE &amp; DECISIONS'!A1500" TargetMode="External" Id="rId1402"/><Relationship Type="http://schemas.openxmlformats.org/officeDocument/2006/relationships/hyperlink" Target="#'10 EVIDENCE &amp; DECISIONS'!A1501" TargetMode="External" Id="rId1403"/><Relationship Type="http://schemas.openxmlformats.org/officeDocument/2006/relationships/hyperlink" Target="#'10 EVIDENCE &amp; DECISIONS'!A1502" TargetMode="External" Id="rId1404"/><Relationship Type="http://schemas.openxmlformats.org/officeDocument/2006/relationships/hyperlink" Target="#'10 EVIDENCE &amp; DECISIONS'!A1503" TargetMode="External" Id="rId1405"/><Relationship Type="http://schemas.openxmlformats.org/officeDocument/2006/relationships/hyperlink" Target="#'10 EVIDENCE &amp; DECISIONS'!A1504" TargetMode="External" Id="rId1406"/><Relationship Type="http://schemas.openxmlformats.org/officeDocument/2006/relationships/hyperlink" Target="#'10 EVIDENCE &amp; DECISIONS'!A1505" TargetMode="External" Id="rId1407"/><Relationship Type="http://schemas.openxmlformats.org/officeDocument/2006/relationships/hyperlink" Target="#'10 EVIDENCE &amp; DECISIONS'!A1506" TargetMode="External" Id="rId1408"/><Relationship Type="http://schemas.openxmlformats.org/officeDocument/2006/relationships/hyperlink" Target="#'10 EVIDENCE &amp; DECISIONS'!A1507" TargetMode="External" Id="rId1409"/><Relationship Type="http://schemas.openxmlformats.org/officeDocument/2006/relationships/hyperlink" Target="#'10 EVIDENCE &amp; DECISIONS'!A1508" TargetMode="External" Id="rId1410"/><Relationship Type="http://schemas.openxmlformats.org/officeDocument/2006/relationships/hyperlink" Target="#'10 EVIDENCE &amp; DECISIONS'!A1509" TargetMode="External" Id="rId1411"/><Relationship Type="http://schemas.openxmlformats.org/officeDocument/2006/relationships/hyperlink" Target="#'10 EVIDENCE &amp; DECISIONS'!A1510" TargetMode="External" Id="rId1412"/><Relationship Type="http://schemas.openxmlformats.org/officeDocument/2006/relationships/hyperlink" Target="#'10 EVIDENCE &amp; DECISIONS'!A1511" TargetMode="External" Id="rId1413"/><Relationship Type="http://schemas.openxmlformats.org/officeDocument/2006/relationships/hyperlink" Target="#'10 EVIDENCE &amp; DECISIONS'!A1512" TargetMode="External" Id="rId1414"/><Relationship Type="http://schemas.openxmlformats.org/officeDocument/2006/relationships/hyperlink" Target="#'10 EVIDENCE &amp; DECISIONS'!A1513" TargetMode="External" Id="rId1415"/><Relationship Type="http://schemas.openxmlformats.org/officeDocument/2006/relationships/hyperlink" Target="#'10 EVIDENCE &amp; DECISIONS'!A1514" TargetMode="External" Id="rId1416"/><Relationship Type="http://schemas.openxmlformats.org/officeDocument/2006/relationships/hyperlink" Target="#'10 EVIDENCE &amp; DECISIONS'!A1515" TargetMode="External" Id="rId1417"/><Relationship Type="http://schemas.openxmlformats.org/officeDocument/2006/relationships/hyperlink" Target="#'10 EVIDENCE &amp; DECISIONS'!A1516" TargetMode="External" Id="rId1418"/><Relationship Type="http://schemas.openxmlformats.org/officeDocument/2006/relationships/hyperlink" Target="#'10 EVIDENCE &amp; DECISIONS'!A1517" TargetMode="External" Id="rId1419"/><Relationship Type="http://schemas.openxmlformats.org/officeDocument/2006/relationships/hyperlink" Target="#'10 EVIDENCE &amp; DECISIONS'!A1518" TargetMode="External" Id="rId1420"/><Relationship Type="http://schemas.openxmlformats.org/officeDocument/2006/relationships/hyperlink" Target="#'10 EVIDENCE &amp; DECISIONS'!A1519" TargetMode="External" Id="rId1421"/><Relationship Type="http://schemas.openxmlformats.org/officeDocument/2006/relationships/hyperlink" Target="#'10 EVIDENCE &amp; DECISIONS'!A1520" TargetMode="External" Id="rId1422"/><Relationship Type="http://schemas.openxmlformats.org/officeDocument/2006/relationships/hyperlink" Target="#'10 EVIDENCE &amp; DECISIONS'!A1521" TargetMode="External" Id="rId1423"/><Relationship Type="http://schemas.openxmlformats.org/officeDocument/2006/relationships/hyperlink" Target="#'10 EVIDENCE &amp; DECISIONS'!A1522" TargetMode="External" Id="rId1424"/><Relationship Type="http://schemas.openxmlformats.org/officeDocument/2006/relationships/hyperlink" Target="#'10 EVIDENCE &amp; DECISIONS'!A1523" TargetMode="External" Id="rId1425"/><Relationship Type="http://schemas.openxmlformats.org/officeDocument/2006/relationships/hyperlink" Target="#'10 EVIDENCE &amp; DECISIONS'!A1524" TargetMode="External" Id="rId1426"/><Relationship Type="http://schemas.openxmlformats.org/officeDocument/2006/relationships/hyperlink" Target="#'10 EVIDENCE &amp; DECISIONS'!A1525" TargetMode="External" Id="rId1427"/><Relationship Type="http://schemas.openxmlformats.org/officeDocument/2006/relationships/hyperlink" Target="#'10 EVIDENCE &amp; DECISIONS'!A1526" TargetMode="External" Id="rId1428"/><Relationship Type="http://schemas.openxmlformats.org/officeDocument/2006/relationships/hyperlink" Target="#'10 EVIDENCE &amp; DECISIONS'!A1527" TargetMode="External" Id="rId1429"/><Relationship Type="http://schemas.openxmlformats.org/officeDocument/2006/relationships/hyperlink" Target="#'10 EVIDENCE &amp; DECISIONS'!A1528" TargetMode="External" Id="rId1430"/><Relationship Type="http://schemas.openxmlformats.org/officeDocument/2006/relationships/hyperlink" Target="#'10 EVIDENCE &amp; DECISIONS'!A1529" TargetMode="External" Id="rId1431"/><Relationship Type="http://schemas.openxmlformats.org/officeDocument/2006/relationships/hyperlink" Target="#'10 EVIDENCE &amp; DECISIONS'!A1530" TargetMode="External" Id="rId1432"/><Relationship Type="http://schemas.openxmlformats.org/officeDocument/2006/relationships/hyperlink" Target="#'10 EVIDENCE &amp; DECISIONS'!A1531" TargetMode="External" Id="rId1433"/><Relationship Type="http://schemas.openxmlformats.org/officeDocument/2006/relationships/hyperlink" Target="#'10 EVIDENCE &amp; DECISIONS'!A1532" TargetMode="External" Id="rId1434"/><Relationship Type="http://schemas.openxmlformats.org/officeDocument/2006/relationships/hyperlink" Target="#'10 EVIDENCE &amp; DECISIONS'!A1533" TargetMode="External" Id="rId1435"/><Relationship Type="http://schemas.openxmlformats.org/officeDocument/2006/relationships/hyperlink" Target="#'10 EVIDENCE &amp; DECISIONS'!A1534" TargetMode="External" Id="rId1436"/><Relationship Type="http://schemas.openxmlformats.org/officeDocument/2006/relationships/hyperlink" Target="#'10 EVIDENCE &amp; DECISIONS'!A1535" TargetMode="External" Id="rId1437"/><Relationship Type="http://schemas.openxmlformats.org/officeDocument/2006/relationships/hyperlink" Target="#'10 EVIDENCE &amp; DECISIONS'!A1536" TargetMode="External" Id="rId1438"/><Relationship Type="http://schemas.openxmlformats.org/officeDocument/2006/relationships/hyperlink" Target="#'10 EVIDENCE &amp; DECISIONS'!A1537" TargetMode="External" Id="rId1439"/><Relationship Type="http://schemas.openxmlformats.org/officeDocument/2006/relationships/hyperlink" Target="#'10 EVIDENCE &amp; DECISIONS'!A1538" TargetMode="External" Id="rId1440"/><Relationship Type="http://schemas.openxmlformats.org/officeDocument/2006/relationships/hyperlink" Target="#'10 EVIDENCE &amp; DECISIONS'!A1539" TargetMode="External" Id="rId1441"/><Relationship Type="http://schemas.openxmlformats.org/officeDocument/2006/relationships/hyperlink" Target="#'10 EVIDENCE &amp; DECISIONS'!A1540" TargetMode="External" Id="rId1442"/><Relationship Type="http://schemas.openxmlformats.org/officeDocument/2006/relationships/hyperlink" Target="#'10 EVIDENCE &amp; DECISIONS'!A1541" TargetMode="External" Id="rId1443"/><Relationship Type="http://schemas.openxmlformats.org/officeDocument/2006/relationships/hyperlink" Target="#'10 EVIDENCE &amp; DECISIONS'!A1542" TargetMode="External" Id="rId1444"/><Relationship Type="http://schemas.openxmlformats.org/officeDocument/2006/relationships/hyperlink" Target="#'10 EVIDENCE &amp; DECISIONS'!A1543" TargetMode="External" Id="rId1445"/><Relationship Type="http://schemas.openxmlformats.org/officeDocument/2006/relationships/hyperlink" Target="#'10 EVIDENCE &amp; DECISIONS'!A1544" TargetMode="External" Id="rId1446"/><Relationship Type="http://schemas.openxmlformats.org/officeDocument/2006/relationships/hyperlink" Target="#'10 EVIDENCE &amp; DECISIONS'!A1545" TargetMode="External" Id="rId1447"/><Relationship Type="http://schemas.openxmlformats.org/officeDocument/2006/relationships/hyperlink" Target="#'10 EVIDENCE &amp; DECISIONS'!A1546" TargetMode="External" Id="rId1448"/><Relationship Type="http://schemas.openxmlformats.org/officeDocument/2006/relationships/hyperlink" Target="#'10 EVIDENCE &amp; DECISIONS'!A1547" TargetMode="External" Id="rId1449"/><Relationship Type="http://schemas.openxmlformats.org/officeDocument/2006/relationships/hyperlink" Target="#'10 EVIDENCE &amp; DECISIONS'!A1548" TargetMode="External" Id="rId1450"/><Relationship Type="http://schemas.openxmlformats.org/officeDocument/2006/relationships/hyperlink" Target="#'10 EVIDENCE &amp; DECISIONS'!A1549" TargetMode="External" Id="rId1451"/><Relationship Type="http://schemas.openxmlformats.org/officeDocument/2006/relationships/hyperlink" Target="#'10 EVIDENCE &amp; DECISIONS'!A1550" TargetMode="External" Id="rId1452"/><Relationship Type="http://schemas.openxmlformats.org/officeDocument/2006/relationships/hyperlink" Target="#'10 EVIDENCE &amp; DECISIONS'!A1551" TargetMode="External" Id="rId1453"/><Relationship Type="http://schemas.openxmlformats.org/officeDocument/2006/relationships/hyperlink" Target="#'10 EVIDENCE &amp; DECISIONS'!A1552" TargetMode="External" Id="rId1454"/><Relationship Type="http://schemas.openxmlformats.org/officeDocument/2006/relationships/hyperlink" Target="#'10 EVIDENCE &amp; DECISIONS'!A1553" TargetMode="External" Id="rId1455"/><Relationship Type="http://schemas.openxmlformats.org/officeDocument/2006/relationships/hyperlink" Target="#'10 EVIDENCE &amp; DECISIONS'!A1554" TargetMode="External" Id="rId1456"/><Relationship Type="http://schemas.openxmlformats.org/officeDocument/2006/relationships/hyperlink" Target="#'10 EVIDENCE &amp; DECISIONS'!A1555" TargetMode="External" Id="rId1457"/><Relationship Type="http://schemas.openxmlformats.org/officeDocument/2006/relationships/hyperlink" Target="#'10 EVIDENCE &amp; DECISIONS'!A1556" TargetMode="External" Id="rId1458"/><Relationship Type="http://schemas.openxmlformats.org/officeDocument/2006/relationships/hyperlink" Target="#'10 EVIDENCE &amp; DECISIONS'!A1557" TargetMode="External" Id="rId1459"/><Relationship Type="http://schemas.openxmlformats.org/officeDocument/2006/relationships/hyperlink" Target="#'10 EVIDENCE &amp; DECISIONS'!A1558" TargetMode="External" Id="rId1460"/><Relationship Type="http://schemas.openxmlformats.org/officeDocument/2006/relationships/hyperlink" Target="#'10 EVIDENCE &amp; DECISIONS'!A1559" TargetMode="External" Id="rId1461"/><Relationship Type="http://schemas.openxmlformats.org/officeDocument/2006/relationships/hyperlink" Target="#'10 EVIDENCE &amp; DECISIONS'!A1560" TargetMode="External" Id="rId1462"/><Relationship Type="http://schemas.openxmlformats.org/officeDocument/2006/relationships/hyperlink" Target="#'10 EVIDENCE &amp; DECISIONS'!A1561" TargetMode="External" Id="rId1463"/><Relationship Type="http://schemas.openxmlformats.org/officeDocument/2006/relationships/hyperlink" Target="#'10 EVIDENCE &amp; DECISIONS'!A1562" TargetMode="External" Id="rId1464"/><Relationship Type="http://schemas.openxmlformats.org/officeDocument/2006/relationships/hyperlink" Target="#'10 EVIDENCE &amp; DECISIONS'!A1563" TargetMode="External" Id="rId1465"/><Relationship Type="http://schemas.openxmlformats.org/officeDocument/2006/relationships/hyperlink" Target="#'10 EVIDENCE &amp; DECISIONS'!A1564" TargetMode="External" Id="rId1466"/><Relationship Type="http://schemas.openxmlformats.org/officeDocument/2006/relationships/hyperlink" Target="#'10 EVIDENCE &amp; DECISIONS'!A1565" TargetMode="External" Id="rId1467"/><Relationship Type="http://schemas.openxmlformats.org/officeDocument/2006/relationships/hyperlink" Target="#'10 EVIDENCE &amp; DECISIONS'!A1566" TargetMode="External" Id="rId1468"/><Relationship Type="http://schemas.openxmlformats.org/officeDocument/2006/relationships/hyperlink" Target="#'10 EVIDENCE &amp; DECISIONS'!A1567" TargetMode="External" Id="rId1469"/><Relationship Type="http://schemas.openxmlformats.org/officeDocument/2006/relationships/hyperlink" Target="#'10 EVIDENCE &amp; DECISIONS'!A1568" TargetMode="External" Id="rId1470"/><Relationship Type="http://schemas.openxmlformats.org/officeDocument/2006/relationships/hyperlink" Target="#'10 EVIDENCE &amp; DECISIONS'!A1569" TargetMode="External" Id="rId1471"/><Relationship Type="http://schemas.openxmlformats.org/officeDocument/2006/relationships/hyperlink" Target="#'10 EVIDENCE &amp; DECISIONS'!A1570" TargetMode="External" Id="rId1472"/><Relationship Type="http://schemas.openxmlformats.org/officeDocument/2006/relationships/hyperlink" Target="#'10 EVIDENCE &amp; DECISIONS'!A1571" TargetMode="External" Id="rId1473"/><Relationship Type="http://schemas.openxmlformats.org/officeDocument/2006/relationships/hyperlink" Target="#'10 EVIDENCE &amp; DECISIONS'!A1572" TargetMode="External" Id="rId1474"/><Relationship Type="http://schemas.openxmlformats.org/officeDocument/2006/relationships/hyperlink" Target="#'10 EVIDENCE &amp; DECISIONS'!A1573" TargetMode="External" Id="rId1475"/><Relationship Type="http://schemas.openxmlformats.org/officeDocument/2006/relationships/hyperlink" Target="#'10 EVIDENCE &amp; DECISIONS'!A1574" TargetMode="External" Id="rId1476"/><Relationship Type="http://schemas.openxmlformats.org/officeDocument/2006/relationships/hyperlink" Target="#'10 EVIDENCE &amp; DECISIONS'!A1575" TargetMode="External" Id="rId1477"/><Relationship Type="http://schemas.openxmlformats.org/officeDocument/2006/relationships/hyperlink" Target="#'10 EVIDENCE &amp; DECISIONS'!A1576" TargetMode="External" Id="rId1478"/><Relationship Type="http://schemas.openxmlformats.org/officeDocument/2006/relationships/hyperlink" Target="#'10 EVIDENCE &amp; DECISIONS'!A1577" TargetMode="External" Id="rId1479"/><Relationship Type="http://schemas.openxmlformats.org/officeDocument/2006/relationships/hyperlink" Target="#'10 EVIDENCE &amp; DECISIONS'!A1578" TargetMode="External" Id="rId1480"/><Relationship Type="http://schemas.openxmlformats.org/officeDocument/2006/relationships/hyperlink" Target="#'10 EVIDENCE &amp; DECISIONS'!A1579" TargetMode="External" Id="rId1481"/><Relationship Type="http://schemas.openxmlformats.org/officeDocument/2006/relationships/hyperlink" Target="#'10 EVIDENCE &amp; DECISIONS'!A1580" TargetMode="External" Id="rId1482"/><Relationship Type="http://schemas.openxmlformats.org/officeDocument/2006/relationships/hyperlink" Target="#'10 EVIDENCE &amp; DECISIONS'!A1581" TargetMode="External" Id="rId1483"/><Relationship Type="http://schemas.openxmlformats.org/officeDocument/2006/relationships/hyperlink" Target="#'10 EVIDENCE &amp; DECISIONS'!A1582" TargetMode="External" Id="rId1484"/><Relationship Type="http://schemas.openxmlformats.org/officeDocument/2006/relationships/hyperlink" Target="#'10 EVIDENCE &amp; DECISIONS'!A1583" TargetMode="External" Id="rId1485"/><Relationship Type="http://schemas.openxmlformats.org/officeDocument/2006/relationships/hyperlink" Target="#'10 EVIDENCE &amp; DECISIONS'!A1584" TargetMode="External" Id="rId1486"/><Relationship Type="http://schemas.openxmlformats.org/officeDocument/2006/relationships/hyperlink" Target="#'10 EVIDENCE &amp; DECISIONS'!A1585" TargetMode="External" Id="rId1487"/><Relationship Type="http://schemas.openxmlformats.org/officeDocument/2006/relationships/hyperlink" Target="#'10 EVIDENCE &amp; DECISIONS'!A1586" TargetMode="External" Id="rId1488"/><Relationship Type="http://schemas.openxmlformats.org/officeDocument/2006/relationships/hyperlink" Target="#'10 EVIDENCE &amp; DECISIONS'!A1587" TargetMode="External" Id="rId1489"/><Relationship Type="http://schemas.openxmlformats.org/officeDocument/2006/relationships/hyperlink" Target="#'10 EVIDENCE &amp; DECISIONS'!A1588" TargetMode="External" Id="rId1490"/><Relationship Type="http://schemas.openxmlformats.org/officeDocument/2006/relationships/hyperlink" Target="#'10 EVIDENCE &amp; DECISIONS'!A1589" TargetMode="External" Id="rId1491"/><Relationship Type="http://schemas.openxmlformats.org/officeDocument/2006/relationships/hyperlink" Target="#'10 EVIDENCE &amp; DECISIONS'!A1590" TargetMode="External" Id="rId1492"/><Relationship Type="http://schemas.openxmlformats.org/officeDocument/2006/relationships/hyperlink" Target="#'10 EVIDENCE &amp; DECISIONS'!A1591" TargetMode="External" Id="rId1493"/><Relationship Type="http://schemas.openxmlformats.org/officeDocument/2006/relationships/hyperlink" Target="#'10 EVIDENCE &amp; DECISIONS'!A1592" TargetMode="External" Id="rId1494"/><Relationship Type="http://schemas.openxmlformats.org/officeDocument/2006/relationships/hyperlink" Target="#'10 EVIDENCE &amp; DECISIONS'!A1593" TargetMode="External" Id="rId1495"/><Relationship Type="http://schemas.openxmlformats.org/officeDocument/2006/relationships/hyperlink" Target="#'10 EVIDENCE &amp; DECISIONS'!A1594" TargetMode="External" Id="rId1496"/><Relationship Type="http://schemas.openxmlformats.org/officeDocument/2006/relationships/hyperlink" Target="#'10 EVIDENCE &amp; DECISIONS'!A1595" TargetMode="External" Id="rId1497"/><Relationship Type="http://schemas.openxmlformats.org/officeDocument/2006/relationships/hyperlink" Target="#'10 EVIDENCE &amp; DECISIONS'!A1596" TargetMode="External" Id="rId1498"/><Relationship Type="http://schemas.openxmlformats.org/officeDocument/2006/relationships/hyperlink" Target="#'10 EVIDENCE &amp; DECISIONS'!A1597" TargetMode="External" Id="rId1499"/><Relationship Type="http://schemas.openxmlformats.org/officeDocument/2006/relationships/hyperlink" Target="#'10 EVIDENCE &amp; DECISIONS'!A1598" TargetMode="External" Id="rId1500"/><Relationship Type="http://schemas.openxmlformats.org/officeDocument/2006/relationships/hyperlink" Target="#'10 EVIDENCE &amp; DECISIONS'!A1599" TargetMode="External" Id="rId1501"/><Relationship Type="http://schemas.openxmlformats.org/officeDocument/2006/relationships/hyperlink" Target="#'10 EVIDENCE &amp; DECISIONS'!A1600" TargetMode="External" Id="rId1502"/><Relationship Type="http://schemas.openxmlformats.org/officeDocument/2006/relationships/hyperlink" Target="#'10 EVIDENCE &amp; DECISIONS'!A1601" TargetMode="External" Id="rId1503"/><Relationship Type="http://schemas.openxmlformats.org/officeDocument/2006/relationships/hyperlink" Target="#'10 EVIDENCE &amp; DECISIONS'!A1602" TargetMode="External" Id="rId1504"/><Relationship Type="http://schemas.openxmlformats.org/officeDocument/2006/relationships/hyperlink" Target="#'10 EVIDENCE &amp; DECISIONS'!A1603" TargetMode="External" Id="rId1505"/><Relationship Type="http://schemas.openxmlformats.org/officeDocument/2006/relationships/hyperlink" Target="#'10 EVIDENCE &amp; DECISIONS'!A1604" TargetMode="External" Id="rId1506"/><Relationship Type="http://schemas.openxmlformats.org/officeDocument/2006/relationships/hyperlink" Target="#'10 EVIDENCE &amp; DECISIONS'!A1605" TargetMode="External" Id="rId1507"/><Relationship Type="http://schemas.openxmlformats.org/officeDocument/2006/relationships/hyperlink" Target="#'10 EVIDENCE &amp; DECISIONS'!A1606" TargetMode="External" Id="rId1508"/><Relationship Type="http://schemas.openxmlformats.org/officeDocument/2006/relationships/hyperlink" Target="#'10 EVIDENCE &amp; DECISIONS'!A1607" TargetMode="External" Id="rId1509"/><Relationship Type="http://schemas.openxmlformats.org/officeDocument/2006/relationships/hyperlink" Target="#'10 EVIDENCE &amp; DECISIONS'!A1608" TargetMode="External" Id="rId1510"/><Relationship Type="http://schemas.openxmlformats.org/officeDocument/2006/relationships/hyperlink" Target="#'10 EVIDENCE &amp; DECISIONS'!A1609" TargetMode="External" Id="rId1511"/><Relationship Type="http://schemas.openxmlformats.org/officeDocument/2006/relationships/hyperlink" Target="#'10 EVIDENCE &amp; DECISIONS'!A1610" TargetMode="External" Id="rId1512"/><Relationship Type="http://schemas.openxmlformats.org/officeDocument/2006/relationships/hyperlink" Target="#'10 EVIDENCE &amp; DECISIONS'!A1611" TargetMode="External" Id="rId1513"/><Relationship Type="http://schemas.openxmlformats.org/officeDocument/2006/relationships/hyperlink" Target="#'10 EVIDENCE &amp; DECISIONS'!A1612" TargetMode="External" Id="rId1514"/><Relationship Type="http://schemas.openxmlformats.org/officeDocument/2006/relationships/hyperlink" Target="#'10 EVIDENCE &amp; DECISIONS'!A1613" TargetMode="External" Id="rId1515"/><Relationship Type="http://schemas.openxmlformats.org/officeDocument/2006/relationships/hyperlink" Target="#'10 EVIDENCE &amp; DECISIONS'!A1614" TargetMode="External" Id="rId1516"/><Relationship Type="http://schemas.openxmlformats.org/officeDocument/2006/relationships/hyperlink" Target="#'10 EVIDENCE &amp; DECISIONS'!A1615" TargetMode="External" Id="rId1517"/><Relationship Type="http://schemas.openxmlformats.org/officeDocument/2006/relationships/hyperlink" Target="#'10 EVIDENCE &amp; DECISIONS'!A1616" TargetMode="External" Id="rId1518"/><Relationship Type="http://schemas.openxmlformats.org/officeDocument/2006/relationships/hyperlink" Target="#'10 EVIDENCE &amp; DECISIONS'!A1617" TargetMode="External" Id="rId1519"/><Relationship Type="http://schemas.openxmlformats.org/officeDocument/2006/relationships/hyperlink" Target="#'10 EVIDENCE &amp; DECISIONS'!A1618" TargetMode="External" Id="rId1520"/><Relationship Type="http://schemas.openxmlformats.org/officeDocument/2006/relationships/hyperlink" Target="#'10 EVIDENCE &amp; DECISIONS'!A1619" TargetMode="External" Id="rId1521"/><Relationship Type="http://schemas.openxmlformats.org/officeDocument/2006/relationships/hyperlink" Target="#'10 EVIDENCE &amp; DECISIONS'!A1620" TargetMode="External" Id="rId1522"/><Relationship Type="http://schemas.openxmlformats.org/officeDocument/2006/relationships/hyperlink" Target="#'10 EVIDENCE &amp; DECISIONS'!A1621" TargetMode="External" Id="rId1523"/><Relationship Type="http://schemas.openxmlformats.org/officeDocument/2006/relationships/hyperlink" Target="#'10 EVIDENCE &amp; DECISIONS'!A1622" TargetMode="External" Id="rId1524"/><Relationship Type="http://schemas.openxmlformats.org/officeDocument/2006/relationships/hyperlink" Target="#'10 EVIDENCE &amp; DECISIONS'!A1623" TargetMode="External" Id="rId1525"/><Relationship Type="http://schemas.openxmlformats.org/officeDocument/2006/relationships/hyperlink" Target="#'10 EVIDENCE &amp; DECISIONS'!A1624" TargetMode="External" Id="rId1526"/><Relationship Type="http://schemas.openxmlformats.org/officeDocument/2006/relationships/hyperlink" Target="#'10 EVIDENCE &amp; DECISIONS'!A1625" TargetMode="External" Id="rId1527"/><Relationship Type="http://schemas.openxmlformats.org/officeDocument/2006/relationships/hyperlink" Target="#'10 EVIDENCE &amp; DECISIONS'!A1626" TargetMode="External" Id="rId1528"/><Relationship Type="http://schemas.openxmlformats.org/officeDocument/2006/relationships/hyperlink" Target="#'10 EVIDENCE &amp; DECISIONS'!A1627" TargetMode="External" Id="rId1529"/><Relationship Type="http://schemas.openxmlformats.org/officeDocument/2006/relationships/hyperlink" Target="#'10 EVIDENCE &amp; DECISIONS'!A1628" TargetMode="External" Id="rId1530"/><Relationship Type="http://schemas.openxmlformats.org/officeDocument/2006/relationships/hyperlink" Target="#'10 EVIDENCE &amp; DECISIONS'!A1366" TargetMode="External" Id="rId1531"/><Relationship Type="http://schemas.openxmlformats.org/officeDocument/2006/relationships/hyperlink" Target="#'10 EVIDENCE &amp; DECISIONS'!A1367" TargetMode="External" Id="rId1532"/><Relationship Type="http://schemas.openxmlformats.org/officeDocument/2006/relationships/hyperlink" Target="#'10 EVIDENCE &amp; DECISIONS'!A1368" TargetMode="External" Id="rId1533"/><Relationship Type="http://schemas.openxmlformats.org/officeDocument/2006/relationships/hyperlink" Target="#'10 EVIDENCE &amp; DECISIONS'!A1369" TargetMode="External" Id="rId1534"/><Relationship Type="http://schemas.openxmlformats.org/officeDocument/2006/relationships/hyperlink" Target="#'10 EVIDENCE &amp; DECISIONS'!A1370" TargetMode="External" Id="rId1535"/><Relationship Type="http://schemas.openxmlformats.org/officeDocument/2006/relationships/hyperlink" Target="#'10 EVIDENCE &amp; DECISIONS'!A1371" TargetMode="External" Id="rId1536"/><Relationship Type="http://schemas.openxmlformats.org/officeDocument/2006/relationships/hyperlink" Target="#'10 EVIDENCE &amp; DECISIONS'!A1372" TargetMode="External" Id="rId1537"/><Relationship Type="http://schemas.openxmlformats.org/officeDocument/2006/relationships/hyperlink" Target="#'10 EVIDENCE &amp; DECISIONS'!A1373" TargetMode="External" Id="rId1538"/><Relationship Type="http://schemas.openxmlformats.org/officeDocument/2006/relationships/hyperlink" Target="#'10 EVIDENCE &amp; DECISIONS'!A1374" TargetMode="External" Id="rId1539"/><Relationship Type="http://schemas.openxmlformats.org/officeDocument/2006/relationships/hyperlink" Target="#'10 EVIDENCE &amp; DECISIONS'!A1375" TargetMode="External" Id="rId1540"/><Relationship Type="http://schemas.openxmlformats.org/officeDocument/2006/relationships/hyperlink" Target="#'10 EVIDENCE &amp; DECISIONS'!A1376" TargetMode="External" Id="rId1541"/><Relationship Type="http://schemas.openxmlformats.org/officeDocument/2006/relationships/hyperlink" Target="#'10 EVIDENCE &amp; DECISIONS'!A1377" TargetMode="External" Id="rId1542"/><Relationship Type="http://schemas.openxmlformats.org/officeDocument/2006/relationships/hyperlink" Target="#'10 EVIDENCE &amp; DECISIONS'!A1378" TargetMode="External" Id="rId1543"/><Relationship Type="http://schemas.openxmlformats.org/officeDocument/2006/relationships/hyperlink" Target="#'10 EVIDENCE &amp; DECISIONS'!A1379" TargetMode="External" Id="rId1544"/><Relationship Type="http://schemas.openxmlformats.org/officeDocument/2006/relationships/hyperlink" Target="#'10 EVIDENCE &amp; DECISIONS'!A1380" TargetMode="External" Id="rId1545"/><Relationship Type="http://schemas.openxmlformats.org/officeDocument/2006/relationships/hyperlink" Target="#'10 EVIDENCE &amp; DECISIONS'!A1381" TargetMode="External" Id="rId1546"/><Relationship Type="http://schemas.openxmlformats.org/officeDocument/2006/relationships/hyperlink" Target="#'10 EVIDENCE &amp; DECISIONS'!A1382" TargetMode="External" Id="rId1547"/><Relationship Type="http://schemas.openxmlformats.org/officeDocument/2006/relationships/hyperlink" Target="#'10 EVIDENCE &amp; DECISIONS'!A1383" TargetMode="External" Id="rId1548"/><Relationship Type="http://schemas.openxmlformats.org/officeDocument/2006/relationships/hyperlink" Target="#'10 EVIDENCE &amp; DECISIONS'!A1384" TargetMode="External" Id="rId1549"/><Relationship Type="http://schemas.openxmlformats.org/officeDocument/2006/relationships/hyperlink" Target="#'10 EVIDENCE &amp; DECISIONS'!A1385" TargetMode="External" Id="rId1550"/><Relationship Type="http://schemas.openxmlformats.org/officeDocument/2006/relationships/hyperlink" Target="#'10 EVIDENCE &amp; DECISIONS'!A1386" TargetMode="External" Id="rId1551"/><Relationship Type="http://schemas.openxmlformats.org/officeDocument/2006/relationships/hyperlink" Target="#'10 EVIDENCE &amp; DECISIONS'!A1387" TargetMode="External" Id="rId1552"/><Relationship Type="http://schemas.openxmlformats.org/officeDocument/2006/relationships/hyperlink" Target="#'10 EVIDENCE &amp; DECISIONS'!A1388" TargetMode="External" Id="rId1553"/><Relationship Type="http://schemas.openxmlformats.org/officeDocument/2006/relationships/hyperlink" Target="#'10 EVIDENCE &amp; DECISIONS'!A1389" TargetMode="External" Id="rId1554"/><Relationship Type="http://schemas.openxmlformats.org/officeDocument/2006/relationships/hyperlink" Target="#'10 EVIDENCE &amp; DECISIONS'!A1390" TargetMode="External" Id="rId1555"/><Relationship Type="http://schemas.openxmlformats.org/officeDocument/2006/relationships/hyperlink" Target="#'10 EVIDENCE &amp; DECISIONS'!A1391" TargetMode="External" Id="rId1556"/><Relationship Type="http://schemas.openxmlformats.org/officeDocument/2006/relationships/hyperlink" Target="#'10 EVIDENCE &amp; DECISIONS'!A1392" TargetMode="External" Id="rId1557"/><Relationship Type="http://schemas.openxmlformats.org/officeDocument/2006/relationships/hyperlink" Target="#'10 EVIDENCE &amp; DECISIONS'!A1393" TargetMode="External" Id="rId1558"/><Relationship Type="http://schemas.openxmlformats.org/officeDocument/2006/relationships/hyperlink" Target="#'10 EVIDENCE &amp; DECISIONS'!A1394" TargetMode="External" Id="rId1559"/><Relationship Type="http://schemas.openxmlformats.org/officeDocument/2006/relationships/hyperlink" Target="#'10 EVIDENCE &amp; DECISIONS'!A1395" TargetMode="External" Id="rId1560"/><Relationship Type="http://schemas.openxmlformats.org/officeDocument/2006/relationships/hyperlink" Target="#'10 EVIDENCE &amp; DECISIONS'!A1396" TargetMode="External" Id="rId1561"/><Relationship Type="http://schemas.openxmlformats.org/officeDocument/2006/relationships/hyperlink" Target="#'10 EVIDENCE &amp; DECISIONS'!A1397" TargetMode="External" Id="rId1562"/><Relationship Type="http://schemas.openxmlformats.org/officeDocument/2006/relationships/hyperlink" Target="#'10 EVIDENCE &amp; DECISIONS'!A1398" TargetMode="External" Id="rId1563"/><Relationship Type="http://schemas.openxmlformats.org/officeDocument/2006/relationships/hyperlink" Target="#'10 EVIDENCE &amp; DECISIONS'!A1399" TargetMode="External" Id="rId1564"/><Relationship Type="http://schemas.openxmlformats.org/officeDocument/2006/relationships/hyperlink" Target="#'10 EVIDENCE &amp; DECISIONS'!A1400" TargetMode="External" Id="rId1565"/><Relationship Type="http://schemas.openxmlformats.org/officeDocument/2006/relationships/hyperlink" Target="#'10 EVIDENCE &amp; DECISIONS'!A1401" TargetMode="External" Id="rId1566"/><Relationship Type="http://schemas.openxmlformats.org/officeDocument/2006/relationships/hyperlink" Target="#'10 EVIDENCE &amp; DECISIONS'!A1402" TargetMode="External" Id="rId1567"/><Relationship Type="http://schemas.openxmlformats.org/officeDocument/2006/relationships/hyperlink" Target="#'10 EVIDENCE &amp; DECISIONS'!A1403" TargetMode="External" Id="rId1568"/><Relationship Type="http://schemas.openxmlformats.org/officeDocument/2006/relationships/hyperlink" Target="#'10 EVIDENCE &amp; DECISIONS'!A1404" TargetMode="External" Id="rId1569"/><Relationship Type="http://schemas.openxmlformats.org/officeDocument/2006/relationships/hyperlink" Target="#'10 EVIDENCE &amp; DECISIONS'!A1405" TargetMode="External" Id="rId1570"/><Relationship Type="http://schemas.openxmlformats.org/officeDocument/2006/relationships/hyperlink" Target="#'10 EVIDENCE &amp; DECISIONS'!A1406" TargetMode="External" Id="rId1571"/><Relationship Type="http://schemas.openxmlformats.org/officeDocument/2006/relationships/hyperlink" Target="#'10 EVIDENCE &amp; DECISIONS'!A1407" TargetMode="External" Id="rId1572"/><Relationship Type="http://schemas.openxmlformats.org/officeDocument/2006/relationships/hyperlink" Target="#'10 EVIDENCE &amp; DECISIONS'!A1408" TargetMode="External" Id="rId1573"/><Relationship Type="http://schemas.openxmlformats.org/officeDocument/2006/relationships/hyperlink" Target="#'10 EVIDENCE &amp; DECISIONS'!A1409" TargetMode="External" Id="rId1574"/><Relationship Type="http://schemas.openxmlformats.org/officeDocument/2006/relationships/hyperlink" Target="#'10 EVIDENCE &amp; DECISIONS'!A1410" TargetMode="External" Id="rId1575"/><Relationship Type="http://schemas.openxmlformats.org/officeDocument/2006/relationships/hyperlink" Target="#'10 EVIDENCE &amp; DECISIONS'!A1411" TargetMode="External" Id="rId1576"/><Relationship Type="http://schemas.openxmlformats.org/officeDocument/2006/relationships/hyperlink" Target="#'10 EVIDENCE &amp; DECISIONS'!A1412" TargetMode="External" Id="rId1577"/><Relationship Type="http://schemas.openxmlformats.org/officeDocument/2006/relationships/hyperlink" Target="#'10 EVIDENCE &amp; DECISIONS'!A1413" TargetMode="External" Id="rId1578"/><Relationship Type="http://schemas.openxmlformats.org/officeDocument/2006/relationships/hyperlink" Target="#'10 EVIDENCE &amp; DECISIONS'!A1414" TargetMode="External" Id="rId1579"/><Relationship Type="http://schemas.openxmlformats.org/officeDocument/2006/relationships/hyperlink" Target="#'10 EVIDENCE &amp; DECISIONS'!A1415" TargetMode="External" Id="rId1580"/><Relationship Type="http://schemas.openxmlformats.org/officeDocument/2006/relationships/hyperlink" Target="#'10 EVIDENCE &amp; DECISIONS'!A1416" TargetMode="External" Id="rId1581"/><Relationship Type="http://schemas.openxmlformats.org/officeDocument/2006/relationships/hyperlink" Target="#'10 EVIDENCE &amp; DECISIONS'!A1417" TargetMode="External" Id="rId1582"/><Relationship Type="http://schemas.openxmlformats.org/officeDocument/2006/relationships/hyperlink" Target="#'10 EVIDENCE &amp; DECISIONS'!A1418" TargetMode="External" Id="rId1583"/><Relationship Type="http://schemas.openxmlformats.org/officeDocument/2006/relationships/hyperlink" Target="#'10 EVIDENCE &amp; DECISIONS'!A1419" TargetMode="External" Id="rId1584"/><Relationship Type="http://schemas.openxmlformats.org/officeDocument/2006/relationships/hyperlink" Target="#'10 EVIDENCE &amp; DECISIONS'!A1420" TargetMode="External" Id="rId1585"/><Relationship Type="http://schemas.openxmlformats.org/officeDocument/2006/relationships/hyperlink" Target="#'10 EVIDENCE &amp; DECISIONS'!A1421" TargetMode="External" Id="rId1586"/><Relationship Type="http://schemas.openxmlformats.org/officeDocument/2006/relationships/hyperlink" Target="#'10 EVIDENCE &amp; DECISIONS'!A1422" TargetMode="External" Id="rId1587"/><Relationship Type="http://schemas.openxmlformats.org/officeDocument/2006/relationships/hyperlink" Target="#'10 EVIDENCE &amp; DECISIONS'!A1423" TargetMode="External" Id="rId1588"/><Relationship Type="http://schemas.openxmlformats.org/officeDocument/2006/relationships/hyperlink" Target="#'10 EVIDENCE &amp; DECISIONS'!A1424" TargetMode="External" Id="rId1589"/><Relationship Type="http://schemas.openxmlformats.org/officeDocument/2006/relationships/hyperlink" Target="#'10 EVIDENCE &amp; DECISIONS'!A1425" TargetMode="External" Id="rId1590"/><Relationship Type="http://schemas.openxmlformats.org/officeDocument/2006/relationships/hyperlink" Target="#'10 EVIDENCE &amp; DECISIONS'!A1426" TargetMode="External" Id="rId1591"/><Relationship Type="http://schemas.openxmlformats.org/officeDocument/2006/relationships/hyperlink" Target="#'10 EVIDENCE &amp; DECISIONS'!A1427" TargetMode="External" Id="rId1592"/><Relationship Type="http://schemas.openxmlformats.org/officeDocument/2006/relationships/hyperlink" Target="#'10 EVIDENCE &amp; DECISIONS'!A1428" TargetMode="External" Id="rId1593"/><Relationship Type="http://schemas.openxmlformats.org/officeDocument/2006/relationships/hyperlink" Target="#'10 EVIDENCE &amp; DECISIONS'!A1429" TargetMode="External" Id="rId1594"/><Relationship Type="http://schemas.openxmlformats.org/officeDocument/2006/relationships/hyperlink" Target="#'10 EVIDENCE &amp; DECISIONS'!A1430" TargetMode="External" Id="rId1595"/><Relationship Type="http://schemas.openxmlformats.org/officeDocument/2006/relationships/hyperlink" Target="#'10 EVIDENCE &amp; DECISIONS'!A1431" TargetMode="External" Id="rId1596"/><Relationship Type="http://schemas.openxmlformats.org/officeDocument/2006/relationships/hyperlink" Target="#'10 EVIDENCE &amp; DECISIONS'!A1432" TargetMode="External" Id="rId1597"/><Relationship Type="http://schemas.openxmlformats.org/officeDocument/2006/relationships/hyperlink" Target="#'10 EVIDENCE &amp; DECISIONS'!A1433" TargetMode="External" Id="rId1598"/><Relationship Type="http://schemas.openxmlformats.org/officeDocument/2006/relationships/hyperlink" Target="#'10 EVIDENCE &amp; DECISIONS'!A1434" TargetMode="External" Id="rId1599"/><Relationship Type="http://schemas.openxmlformats.org/officeDocument/2006/relationships/hyperlink" Target="#'10 EVIDENCE &amp; DECISIONS'!A1435" TargetMode="External" Id="rId1600"/><Relationship Type="http://schemas.openxmlformats.org/officeDocument/2006/relationships/hyperlink" Target="#'10 EVIDENCE &amp; DECISIONS'!A1436" TargetMode="External" Id="rId1601"/><Relationship Type="http://schemas.openxmlformats.org/officeDocument/2006/relationships/hyperlink" Target="#'10 EVIDENCE &amp; DECISIONS'!A1437" TargetMode="External" Id="rId1602"/><Relationship Type="http://schemas.openxmlformats.org/officeDocument/2006/relationships/hyperlink" Target="#'10 EVIDENCE &amp; DECISIONS'!A1438" TargetMode="External" Id="rId1603"/><Relationship Type="http://schemas.openxmlformats.org/officeDocument/2006/relationships/hyperlink" Target="#'10 EVIDENCE &amp; DECISIONS'!A1439" TargetMode="External" Id="rId1604"/><Relationship Type="http://schemas.openxmlformats.org/officeDocument/2006/relationships/hyperlink" Target="#'10 EVIDENCE &amp; DECISIONS'!A1440" TargetMode="External" Id="rId1605"/><Relationship Type="http://schemas.openxmlformats.org/officeDocument/2006/relationships/hyperlink" Target="#'10 EVIDENCE &amp; DECISIONS'!A1441" TargetMode="External" Id="rId1606"/><Relationship Type="http://schemas.openxmlformats.org/officeDocument/2006/relationships/hyperlink" Target="#'10 EVIDENCE &amp; DECISIONS'!A1442" TargetMode="External" Id="rId1607"/><Relationship Type="http://schemas.openxmlformats.org/officeDocument/2006/relationships/hyperlink" Target="#'10 EVIDENCE &amp; DECISIONS'!A1443" TargetMode="External" Id="rId1608"/><Relationship Type="http://schemas.openxmlformats.org/officeDocument/2006/relationships/hyperlink" Target="#'10 EVIDENCE &amp; DECISIONS'!A1444" TargetMode="External" Id="rId1609"/><Relationship Type="http://schemas.openxmlformats.org/officeDocument/2006/relationships/hyperlink" Target="#'10 EVIDENCE &amp; DECISIONS'!A1445" TargetMode="External" Id="rId1610"/><Relationship Type="http://schemas.openxmlformats.org/officeDocument/2006/relationships/hyperlink" Target="#'10 EVIDENCE &amp; DECISIONS'!A1446" TargetMode="External" Id="rId1611"/><Relationship Type="http://schemas.openxmlformats.org/officeDocument/2006/relationships/hyperlink" Target="#'10 EVIDENCE &amp; DECISIONS'!A1447" TargetMode="External" Id="rId1612"/><Relationship Type="http://schemas.openxmlformats.org/officeDocument/2006/relationships/hyperlink" Target="#'10 EVIDENCE &amp; DECISIONS'!A1448" TargetMode="External" Id="rId1613"/><Relationship Type="http://schemas.openxmlformats.org/officeDocument/2006/relationships/hyperlink" Target="#'10 EVIDENCE &amp; DECISIONS'!A1449" TargetMode="External" Id="rId1614"/><Relationship Type="http://schemas.openxmlformats.org/officeDocument/2006/relationships/hyperlink" Target="#'10 EVIDENCE &amp; DECISIONS'!A1450" TargetMode="External" Id="rId1615"/><Relationship Type="http://schemas.openxmlformats.org/officeDocument/2006/relationships/hyperlink" Target="#'10 EVIDENCE &amp; DECISIONS'!A1451" TargetMode="External" Id="rId1616"/><Relationship Type="http://schemas.openxmlformats.org/officeDocument/2006/relationships/hyperlink" Target="#'10 EVIDENCE &amp; DECISIONS'!A1452" TargetMode="External" Id="rId1617"/><Relationship Type="http://schemas.openxmlformats.org/officeDocument/2006/relationships/hyperlink" Target="#'10 EVIDENCE &amp; DECISIONS'!A1453" TargetMode="External" Id="rId1618"/><Relationship Type="http://schemas.openxmlformats.org/officeDocument/2006/relationships/hyperlink" Target="#'10 EVIDENCE &amp; DECISIONS'!A1454" TargetMode="External" Id="rId1619"/><Relationship Type="http://schemas.openxmlformats.org/officeDocument/2006/relationships/hyperlink" Target="#'10 EVIDENCE &amp; DECISIONS'!A1455" TargetMode="External" Id="rId1620"/><Relationship Type="http://schemas.openxmlformats.org/officeDocument/2006/relationships/hyperlink" Target="#'10 EVIDENCE &amp; DECISIONS'!A1456" TargetMode="External" Id="rId1621"/><Relationship Type="http://schemas.openxmlformats.org/officeDocument/2006/relationships/hyperlink" Target="#'10 EVIDENCE &amp; DECISIONS'!A1457" TargetMode="External" Id="rId1622"/><Relationship Type="http://schemas.openxmlformats.org/officeDocument/2006/relationships/hyperlink" Target="#'10 EVIDENCE &amp; DECISIONS'!A1458" TargetMode="External" Id="rId1623"/><Relationship Type="http://schemas.openxmlformats.org/officeDocument/2006/relationships/hyperlink" Target="#'10 EVIDENCE &amp; DECISIONS'!A1459" TargetMode="External" Id="rId1624"/><Relationship Type="http://schemas.openxmlformats.org/officeDocument/2006/relationships/hyperlink" Target="#'10 EVIDENCE &amp; DECISIONS'!A1460" TargetMode="External" Id="rId1625"/><Relationship Type="http://schemas.openxmlformats.org/officeDocument/2006/relationships/hyperlink" Target="#'10 EVIDENCE &amp; DECISIONS'!A1461" TargetMode="External" Id="rId1626"/><Relationship Type="http://schemas.openxmlformats.org/officeDocument/2006/relationships/hyperlink" Target="#'10 EVIDENCE &amp; DECISIONS'!A1462" TargetMode="External" Id="rId1627"/><Relationship Type="http://schemas.openxmlformats.org/officeDocument/2006/relationships/hyperlink" Target="#'10 EVIDENCE &amp; DECISIONS'!A1463" TargetMode="External" Id="rId1628"/><Relationship Type="http://schemas.openxmlformats.org/officeDocument/2006/relationships/hyperlink" Target="#'10 EVIDENCE &amp; DECISIONS'!A1464" TargetMode="External" Id="rId1629"/><Relationship Type="http://schemas.openxmlformats.org/officeDocument/2006/relationships/hyperlink" Target="#'10 EVIDENCE &amp; DECISIONS'!A1465" TargetMode="External" Id="rId1630"/><Relationship Type="http://schemas.openxmlformats.org/officeDocument/2006/relationships/hyperlink" Target="#'10 EVIDENCE &amp; DECISIONS'!A1466" TargetMode="External" Id="rId163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10 EVIDENCE &amp; DECISIONS'!A6" TargetMode="External" Id="rId10"/><Relationship Type="http://schemas.openxmlformats.org/officeDocument/2006/relationships/hyperlink" Target="#'10 EVIDENCE &amp; DECISIONS'!A7" TargetMode="External" Id="rId11"/><Relationship Type="http://schemas.openxmlformats.org/officeDocument/2006/relationships/hyperlink" Target="#'10 EVIDENCE &amp; DECISIONS'!A8" TargetMode="External" Id="rId12"/><Relationship Type="http://schemas.openxmlformats.org/officeDocument/2006/relationships/hyperlink" Target="#'10 EVIDENCE &amp; DECISIONS'!A9" TargetMode="External" Id="rId13"/><Relationship Type="http://schemas.openxmlformats.org/officeDocument/2006/relationships/hyperlink" Target="#'10 EVIDENCE &amp; DECISIONS'!A10" TargetMode="External" Id="rId14"/><Relationship Type="http://schemas.openxmlformats.org/officeDocument/2006/relationships/hyperlink" Target="#'10 EVIDENCE &amp; DECISIONS'!A11" TargetMode="External" Id="rId15"/><Relationship Type="http://schemas.openxmlformats.org/officeDocument/2006/relationships/hyperlink" Target="#'10 EVIDENCE &amp; DECISIONS'!A12" TargetMode="External" Id="rId16"/><Relationship Type="http://schemas.openxmlformats.org/officeDocument/2006/relationships/hyperlink" Target="#'10 EVIDENCE &amp; DECISIONS'!A13" TargetMode="External" Id="rId17"/><Relationship Type="http://schemas.openxmlformats.org/officeDocument/2006/relationships/hyperlink" Target="#'10 EVIDENCE &amp; DECISIONS'!A14" TargetMode="External" Id="rId18"/><Relationship Type="http://schemas.openxmlformats.org/officeDocument/2006/relationships/hyperlink" Target="#'10 EVIDENCE &amp; DECISIONS'!A15" TargetMode="External" Id="rId19"/><Relationship Type="http://schemas.openxmlformats.org/officeDocument/2006/relationships/hyperlink" Target="#'10 EVIDENCE &amp; DECISIONS'!A16" TargetMode="External" Id="rId20"/><Relationship Type="http://schemas.openxmlformats.org/officeDocument/2006/relationships/hyperlink" Target="#'10 EVIDENCE &amp; DECISIONS'!A17" TargetMode="External" Id="rId21"/><Relationship Type="http://schemas.openxmlformats.org/officeDocument/2006/relationships/hyperlink" Target="#'10 EVIDENCE &amp; DECISIONS'!A18" TargetMode="External" Id="rId22"/><Relationship Type="http://schemas.openxmlformats.org/officeDocument/2006/relationships/hyperlink" Target="#'10 EVIDENCE &amp; DECISIONS'!A19" TargetMode="External" Id="rId23"/><Relationship Type="http://schemas.openxmlformats.org/officeDocument/2006/relationships/hyperlink" Target="#'10 EVIDENCE &amp; DECISIONS'!A20" TargetMode="External" Id="rId24"/><Relationship Type="http://schemas.openxmlformats.org/officeDocument/2006/relationships/hyperlink" Target="#'10 EVIDENCE &amp; DECISIONS'!A21" TargetMode="External" Id="rId25"/><Relationship Type="http://schemas.openxmlformats.org/officeDocument/2006/relationships/hyperlink" Target="#'10 EVIDENCE &amp; DECISIONS'!A22" TargetMode="External" Id="rId26"/><Relationship Type="http://schemas.openxmlformats.org/officeDocument/2006/relationships/hyperlink" Target="#'10 EVIDENCE &amp; DECISIONS'!A23" TargetMode="External" Id="rId27"/><Relationship Type="http://schemas.openxmlformats.org/officeDocument/2006/relationships/hyperlink" Target="#'10 EVIDENCE &amp; DECISIONS'!A24" TargetMode="External" Id="rId28"/><Relationship Type="http://schemas.openxmlformats.org/officeDocument/2006/relationships/hyperlink" Target="#'10 EVIDENCE &amp; DECISIONS'!A25" TargetMode="External" Id="rId29"/><Relationship Type="http://schemas.openxmlformats.org/officeDocument/2006/relationships/hyperlink" Target="#'10 EVIDENCE &amp; DECISIONS'!A26" TargetMode="External" Id="rId30"/><Relationship Type="http://schemas.openxmlformats.org/officeDocument/2006/relationships/hyperlink" Target="#'10 EVIDENCE &amp; DECISIONS'!A27" TargetMode="External" Id="rId31"/><Relationship Type="http://schemas.openxmlformats.org/officeDocument/2006/relationships/hyperlink" Target="#'10 EVIDENCE &amp; DECISIONS'!A28" TargetMode="External" Id="rId32"/><Relationship Type="http://schemas.openxmlformats.org/officeDocument/2006/relationships/hyperlink" Target="#'10 EVIDENCE &amp; DECISIONS'!A29" TargetMode="External" Id="rId33"/><Relationship Type="http://schemas.openxmlformats.org/officeDocument/2006/relationships/hyperlink" Target="#'10 EVIDENCE &amp; DECISIONS'!A30" TargetMode="External" Id="rId34"/><Relationship Type="http://schemas.openxmlformats.org/officeDocument/2006/relationships/hyperlink" Target="#'10 EVIDENCE &amp; DECISIONS'!A31" TargetMode="External" Id="rId35"/><Relationship Type="http://schemas.openxmlformats.org/officeDocument/2006/relationships/hyperlink" Target="#'10 EVIDENCE &amp; DECISIONS'!A32" TargetMode="External" Id="rId36"/><Relationship Type="http://schemas.openxmlformats.org/officeDocument/2006/relationships/hyperlink" Target="#'10 EVIDENCE &amp; DECISIONS'!A33" TargetMode="External" Id="rId37"/><Relationship Type="http://schemas.openxmlformats.org/officeDocument/2006/relationships/hyperlink" Target="#'10 EVIDENCE &amp; DECISIONS'!A34" TargetMode="External" Id="rId38"/><Relationship Type="http://schemas.openxmlformats.org/officeDocument/2006/relationships/hyperlink" Target="#'10 EVIDENCE &amp; DECISIONS'!A35" TargetMode="External" Id="rId39"/><Relationship Type="http://schemas.openxmlformats.org/officeDocument/2006/relationships/hyperlink" Target="#'10 EVIDENCE &amp; DECISIONS'!A36" TargetMode="External" Id="rId40"/><Relationship Type="http://schemas.openxmlformats.org/officeDocument/2006/relationships/hyperlink" Target="#'10 EVIDENCE &amp; DECISIONS'!A37" TargetMode="External" Id="rId41"/><Relationship Type="http://schemas.openxmlformats.org/officeDocument/2006/relationships/hyperlink" Target="#'10 EVIDENCE &amp; DECISIONS'!A38" TargetMode="External" Id="rId42"/><Relationship Type="http://schemas.openxmlformats.org/officeDocument/2006/relationships/hyperlink" Target="#'10 EVIDENCE &amp; DECISIONS'!A39" TargetMode="External" Id="rId43"/><Relationship Type="http://schemas.openxmlformats.org/officeDocument/2006/relationships/hyperlink" Target="#'10 EVIDENCE &amp; DECISIONS'!A40" TargetMode="External" Id="rId44"/><Relationship Type="http://schemas.openxmlformats.org/officeDocument/2006/relationships/hyperlink" Target="#'10 EVIDENCE &amp; DECISIONS'!A41" TargetMode="External" Id="rId45"/><Relationship Type="http://schemas.openxmlformats.org/officeDocument/2006/relationships/hyperlink" Target="#'10 EVIDENCE &amp; DECISIONS'!A42" TargetMode="External" Id="rId46"/><Relationship Type="http://schemas.openxmlformats.org/officeDocument/2006/relationships/hyperlink" Target="#'10 EVIDENCE &amp; DECISIONS'!A43" TargetMode="External" Id="rId47"/><Relationship Type="http://schemas.openxmlformats.org/officeDocument/2006/relationships/hyperlink" Target="#'10 EVIDENCE &amp; DECISIONS'!A44" TargetMode="External" Id="rId48"/><Relationship Type="http://schemas.openxmlformats.org/officeDocument/2006/relationships/hyperlink" Target="#'10 EVIDENCE &amp; DECISIONS'!A45" TargetMode="External" Id="rId49"/><Relationship Type="http://schemas.openxmlformats.org/officeDocument/2006/relationships/hyperlink" Target="#'10 EVIDENCE &amp; DECISIONS'!A46" TargetMode="External" Id="rId50"/><Relationship Type="http://schemas.openxmlformats.org/officeDocument/2006/relationships/hyperlink" Target="#'10 EVIDENCE &amp; DECISIONS'!A47" TargetMode="External" Id="rId51"/><Relationship Type="http://schemas.openxmlformats.org/officeDocument/2006/relationships/hyperlink" Target="#'10 EVIDENCE &amp; DECISIONS'!A48" TargetMode="External" Id="rId52"/><Relationship Type="http://schemas.openxmlformats.org/officeDocument/2006/relationships/hyperlink" Target="#'10 EVIDENCE &amp; DECISIONS'!A49" TargetMode="External" Id="rId53"/><Relationship Type="http://schemas.openxmlformats.org/officeDocument/2006/relationships/hyperlink" Target="#'10 EVIDENCE &amp; DECISIONS'!A50" TargetMode="External" Id="rId54"/><Relationship Type="http://schemas.openxmlformats.org/officeDocument/2006/relationships/hyperlink" Target="#'10 EVIDENCE &amp; DECISIONS'!A51" TargetMode="External" Id="rId55"/><Relationship Type="http://schemas.openxmlformats.org/officeDocument/2006/relationships/hyperlink" Target="#'10 EVIDENCE &amp; DECISIONS'!A52" TargetMode="External" Id="rId56"/><Relationship Type="http://schemas.openxmlformats.org/officeDocument/2006/relationships/hyperlink" Target="#'10 EVIDENCE &amp; DECISIONS'!A53" TargetMode="External" Id="rId57"/><Relationship Type="http://schemas.openxmlformats.org/officeDocument/2006/relationships/hyperlink" Target="#'10 EVIDENCE &amp; DECISIONS'!A54" TargetMode="External" Id="rId58"/><Relationship Type="http://schemas.openxmlformats.org/officeDocument/2006/relationships/hyperlink" Target="#'10 EVIDENCE &amp; DECISIONS'!A55" TargetMode="External" Id="rId59"/><Relationship Type="http://schemas.openxmlformats.org/officeDocument/2006/relationships/hyperlink" Target="#'10 EVIDENCE &amp; DECISIONS'!A56" TargetMode="External" Id="rId60"/><Relationship Type="http://schemas.openxmlformats.org/officeDocument/2006/relationships/hyperlink" Target="#'10 EVIDENCE &amp; DECISIONS'!A57" TargetMode="External" Id="rId61"/><Relationship Type="http://schemas.openxmlformats.org/officeDocument/2006/relationships/hyperlink" Target="#'10 EVIDENCE &amp; DECISIONS'!A58" TargetMode="External" Id="rId62"/><Relationship Type="http://schemas.openxmlformats.org/officeDocument/2006/relationships/hyperlink" Target="#'10 EVIDENCE &amp; DECISIONS'!A59" TargetMode="External" Id="rId63"/><Relationship Type="http://schemas.openxmlformats.org/officeDocument/2006/relationships/hyperlink" Target="#'10 EVIDENCE &amp; DECISIONS'!A60" TargetMode="External" Id="rId64"/><Relationship Type="http://schemas.openxmlformats.org/officeDocument/2006/relationships/hyperlink" Target="#'10 EVIDENCE &amp; DECISIONS'!A61" TargetMode="External" Id="rId65"/><Relationship Type="http://schemas.openxmlformats.org/officeDocument/2006/relationships/hyperlink" Target="#'10 EVIDENCE &amp; DECISIONS'!A62" TargetMode="External" Id="rId66"/><Relationship Type="http://schemas.openxmlformats.org/officeDocument/2006/relationships/hyperlink" Target="#'10 EVIDENCE &amp; DECISIONS'!A63" TargetMode="External" Id="rId67"/><Relationship Type="http://schemas.openxmlformats.org/officeDocument/2006/relationships/hyperlink" Target="#'10 EVIDENCE &amp; DECISIONS'!A64" TargetMode="External" Id="rId68"/><Relationship Type="http://schemas.openxmlformats.org/officeDocument/2006/relationships/hyperlink" Target="#'10 EVIDENCE &amp; DECISIONS'!A65" TargetMode="External" Id="rId69"/><Relationship Type="http://schemas.openxmlformats.org/officeDocument/2006/relationships/hyperlink" Target="#'10 EVIDENCE &amp; DECISIONS'!A66" TargetMode="External" Id="rId70"/><Relationship Type="http://schemas.openxmlformats.org/officeDocument/2006/relationships/hyperlink" Target="#'10 EVIDENCE &amp; DECISIONS'!A67" TargetMode="External" Id="rId71"/><Relationship Type="http://schemas.openxmlformats.org/officeDocument/2006/relationships/hyperlink" Target="#'10 EVIDENCE &amp; DECISIONS'!A68" TargetMode="External" Id="rId72"/><Relationship Type="http://schemas.openxmlformats.org/officeDocument/2006/relationships/hyperlink" Target="#'10 EVIDENCE &amp; DECISIONS'!A69" TargetMode="External" Id="rId73"/><Relationship Type="http://schemas.openxmlformats.org/officeDocument/2006/relationships/hyperlink" Target="#'10 EVIDENCE &amp; DECISIONS'!A70" TargetMode="External" Id="rId74"/><Relationship Type="http://schemas.openxmlformats.org/officeDocument/2006/relationships/hyperlink" Target="#'10 EVIDENCE &amp; DECISIONS'!A71" TargetMode="External" Id="rId75"/><Relationship Type="http://schemas.openxmlformats.org/officeDocument/2006/relationships/hyperlink" Target="#'10 EVIDENCE &amp; DECISIONS'!A72" TargetMode="External" Id="rId76"/><Relationship Type="http://schemas.openxmlformats.org/officeDocument/2006/relationships/hyperlink" Target="#'10 EVIDENCE &amp; DECISIONS'!A73" TargetMode="External" Id="rId77"/><Relationship Type="http://schemas.openxmlformats.org/officeDocument/2006/relationships/hyperlink" Target="#'10 EVIDENCE &amp; DECISIONS'!A74" TargetMode="External" Id="rId78"/><Relationship Type="http://schemas.openxmlformats.org/officeDocument/2006/relationships/hyperlink" Target="#'10 EVIDENCE &amp; DECISIONS'!A75" TargetMode="External" Id="rId79"/><Relationship Type="http://schemas.openxmlformats.org/officeDocument/2006/relationships/hyperlink" Target="#'10 EVIDENCE &amp; DECISIONS'!A76" TargetMode="External" Id="rId80"/><Relationship Type="http://schemas.openxmlformats.org/officeDocument/2006/relationships/hyperlink" Target="#'10 EVIDENCE &amp; DECISIONS'!A77" TargetMode="External" Id="rId81"/><Relationship Type="http://schemas.openxmlformats.org/officeDocument/2006/relationships/hyperlink" Target="#'10 EVIDENCE &amp; DECISIONS'!A78" TargetMode="External" Id="rId82"/><Relationship Type="http://schemas.openxmlformats.org/officeDocument/2006/relationships/hyperlink" Target="#'10 EVIDENCE &amp; DECISIONS'!A79" TargetMode="External" Id="rId83"/><Relationship Type="http://schemas.openxmlformats.org/officeDocument/2006/relationships/hyperlink" Target="#'10 EVIDENCE &amp; DECISIONS'!A80" TargetMode="External" Id="rId84"/><Relationship Type="http://schemas.openxmlformats.org/officeDocument/2006/relationships/hyperlink" Target="#'10 EVIDENCE &amp; DECISIONS'!A81" TargetMode="External" Id="rId85"/><Relationship Type="http://schemas.openxmlformats.org/officeDocument/2006/relationships/hyperlink" Target="#'10 EVIDENCE &amp; DECISIONS'!A82" TargetMode="External" Id="rId86"/><Relationship Type="http://schemas.openxmlformats.org/officeDocument/2006/relationships/hyperlink" Target="#'10 EVIDENCE &amp; DECISIONS'!A83" TargetMode="External" Id="rId87"/><Relationship Type="http://schemas.openxmlformats.org/officeDocument/2006/relationships/hyperlink" Target="#'10 EVIDENCE &amp; DECISIONS'!A84" TargetMode="External" Id="rId88"/><Relationship Type="http://schemas.openxmlformats.org/officeDocument/2006/relationships/hyperlink" Target="#'10 EVIDENCE &amp; DECISIONS'!A85" TargetMode="External" Id="rId89"/><Relationship Type="http://schemas.openxmlformats.org/officeDocument/2006/relationships/hyperlink" Target="#'10 EVIDENCE &amp; DECISIONS'!A86" TargetMode="External" Id="rId90"/><Relationship Type="http://schemas.openxmlformats.org/officeDocument/2006/relationships/hyperlink" Target="#'10 EVIDENCE &amp; DECISIONS'!A87" TargetMode="External" Id="rId91"/><Relationship Type="http://schemas.openxmlformats.org/officeDocument/2006/relationships/hyperlink" Target="#'10 EVIDENCE &amp; DECISIONS'!A88" TargetMode="External" Id="rId92"/><Relationship Type="http://schemas.openxmlformats.org/officeDocument/2006/relationships/hyperlink" Target="#'10 EVIDENCE &amp; DECISIONS'!A89" TargetMode="External" Id="rId93"/><Relationship Type="http://schemas.openxmlformats.org/officeDocument/2006/relationships/hyperlink" Target="#'10 EVIDENCE &amp; DECISIONS'!A90" TargetMode="External" Id="rId94"/><Relationship Type="http://schemas.openxmlformats.org/officeDocument/2006/relationships/hyperlink" Target="#'10 EVIDENCE &amp; DECISIONS'!A91" TargetMode="External" Id="rId95"/><Relationship Type="http://schemas.openxmlformats.org/officeDocument/2006/relationships/hyperlink" Target="#'10 EVIDENCE &amp; DECISIONS'!A92" TargetMode="External" Id="rId96"/><Relationship Type="http://schemas.openxmlformats.org/officeDocument/2006/relationships/hyperlink" Target="#'10 EVIDENCE &amp; DECISIONS'!A93" TargetMode="External" Id="rId97"/><Relationship Type="http://schemas.openxmlformats.org/officeDocument/2006/relationships/hyperlink" Target="#'10 EVIDENCE &amp; DECISIONS'!A94" TargetMode="External" Id="rId98"/><Relationship Type="http://schemas.openxmlformats.org/officeDocument/2006/relationships/hyperlink" Target="#'10 EVIDENCE &amp; DECISIONS'!A95" TargetMode="External" Id="rId99"/><Relationship Type="http://schemas.openxmlformats.org/officeDocument/2006/relationships/hyperlink" Target="#'10 EVIDENCE &amp; DECISIONS'!A96" TargetMode="External" Id="rId100"/><Relationship Type="http://schemas.openxmlformats.org/officeDocument/2006/relationships/hyperlink" Target="#'10 EVIDENCE &amp; DECISIONS'!A97" TargetMode="External" Id="rId101"/><Relationship Type="http://schemas.openxmlformats.org/officeDocument/2006/relationships/hyperlink" Target="#'10 EVIDENCE &amp; DECISIONS'!A98" TargetMode="External" Id="rId102"/><Relationship Type="http://schemas.openxmlformats.org/officeDocument/2006/relationships/hyperlink" Target="#'10 EVIDENCE &amp; DECISIONS'!A99" TargetMode="External" Id="rId103"/><Relationship Type="http://schemas.openxmlformats.org/officeDocument/2006/relationships/hyperlink" Target="#'10 EVIDENCE &amp; DECISIONS'!A100" TargetMode="External" Id="rId104"/><Relationship Type="http://schemas.openxmlformats.org/officeDocument/2006/relationships/hyperlink" Target="#'10 EVIDENCE &amp; DECISIONS'!A101" TargetMode="External" Id="rId105"/><Relationship Type="http://schemas.openxmlformats.org/officeDocument/2006/relationships/hyperlink" Target="#'10 EVIDENCE &amp; DECISIONS'!A102" TargetMode="External" Id="rId106"/><Relationship Type="http://schemas.openxmlformats.org/officeDocument/2006/relationships/hyperlink" Target="#'10 EVIDENCE &amp; DECISIONS'!A103" TargetMode="External" Id="rId107"/><Relationship Type="http://schemas.openxmlformats.org/officeDocument/2006/relationships/hyperlink" Target="#'10 EVIDENCE &amp; DECISIONS'!A104" TargetMode="External" Id="rId108"/><Relationship Type="http://schemas.openxmlformats.org/officeDocument/2006/relationships/hyperlink" Target="#'10 EVIDENCE &amp; DECISIONS'!A105" TargetMode="External" Id="rId109"/><Relationship Type="http://schemas.openxmlformats.org/officeDocument/2006/relationships/hyperlink" Target="#'10 EVIDENCE &amp; DECISIONS'!A106" TargetMode="External" Id="rId110"/><Relationship Type="http://schemas.openxmlformats.org/officeDocument/2006/relationships/hyperlink" Target="#'10 EVIDENCE &amp; DECISIONS'!A107" TargetMode="External" Id="rId111"/><Relationship Type="http://schemas.openxmlformats.org/officeDocument/2006/relationships/hyperlink" Target="#'10 EVIDENCE &amp; DECISIONS'!A108" TargetMode="External" Id="rId112"/><Relationship Type="http://schemas.openxmlformats.org/officeDocument/2006/relationships/hyperlink" Target="#'10 EVIDENCE &amp; DECISIONS'!A109" TargetMode="External" Id="rId113"/><Relationship Type="http://schemas.openxmlformats.org/officeDocument/2006/relationships/hyperlink" Target="#'10 EVIDENCE &amp; DECISIONS'!A110" TargetMode="External" Id="rId114"/><Relationship Type="http://schemas.openxmlformats.org/officeDocument/2006/relationships/hyperlink" Target="#'10 EVIDENCE &amp; DECISIONS'!A111" TargetMode="External" Id="rId115"/><Relationship Type="http://schemas.openxmlformats.org/officeDocument/2006/relationships/hyperlink" Target="#'10 EVIDENCE &amp; DECISIONS'!A112" TargetMode="External" Id="rId116"/><Relationship Type="http://schemas.openxmlformats.org/officeDocument/2006/relationships/hyperlink" Target="#'10 EVIDENCE &amp; DECISIONS'!A113" TargetMode="External" Id="rId117"/><Relationship Type="http://schemas.openxmlformats.org/officeDocument/2006/relationships/hyperlink" Target="#'10 EVIDENCE &amp; DECISIONS'!A114" TargetMode="External" Id="rId118"/><Relationship Type="http://schemas.openxmlformats.org/officeDocument/2006/relationships/hyperlink" Target="#'10 EVIDENCE &amp; DECISIONS'!A115" TargetMode="External" Id="rId119"/><Relationship Type="http://schemas.openxmlformats.org/officeDocument/2006/relationships/hyperlink" Target="#'10 EVIDENCE &amp; DECISIONS'!A116" TargetMode="External" Id="rId120"/><Relationship Type="http://schemas.openxmlformats.org/officeDocument/2006/relationships/hyperlink" Target="#'10 EVIDENCE &amp; DECISIONS'!A117" TargetMode="External" Id="rId121"/><Relationship Type="http://schemas.openxmlformats.org/officeDocument/2006/relationships/hyperlink" Target="#'10 EVIDENCE &amp; DECISIONS'!A118" TargetMode="External" Id="rId122"/><Relationship Type="http://schemas.openxmlformats.org/officeDocument/2006/relationships/hyperlink" Target="#'10 EVIDENCE &amp; DECISIONS'!A119" TargetMode="External" Id="rId123"/><Relationship Type="http://schemas.openxmlformats.org/officeDocument/2006/relationships/hyperlink" Target="#'10 EVIDENCE &amp; DECISIONS'!A120" TargetMode="External" Id="rId124"/><Relationship Type="http://schemas.openxmlformats.org/officeDocument/2006/relationships/hyperlink" Target="#'10 EVIDENCE &amp; DECISIONS'!A121" TargetMode="External" Id="rId125"/><Relationship Type="http://schemas.openxmlformats.org/officeDocument/2006/relationships/hyperlink" Target="#'10 EVIDENCE &amp; DECISIONS'!A122" TargetMode="External" Id="rId126"/><Relationship Type="http://schemas.openxmlformats.org/officeDocument/2006/relationships/hyperlink" Target="#'10 EVIDENCE &amp; DECISIONS'!A123" TargetMode="External" Id="rId127"/><Relationship Type="http://schemas.openxmlformats.org/officeDocument/2006/relationships/hyperlink" Target="#'10 EVIDENCE &amp; DECISIONS'!A124" TargetMode="External" Id="rId128"/><Relationship Type="http://schemas.openxmlformats.org/officeDocument/2006/relationships/hyperlink" Target="#'10 EVIDENCE &amp; DECISIONS'!A125" TargetMode="External" Id="rId129"/><Relationship Type="http://schemas.openxmlformats.org/officeDocument/2006/relationships/hyperlink" Target="#'10 EVIDENCE &amp; DECISIONS'!A126" TargetMode="External" Id="rId130"/><Relationship Type="http://schemas.openxmlformats.org/officeDocument/2006/relationships/hyperlink" Target="#'10 EVIDENCE &amp; DECISIONS'!A127" TargetMode="External" Id="rId131"/><Relationship Type="http://schemas.openxmlformats.org/officeDocument/2006/relationships/hyperlink" Target="#'10 EVIDENCE &amp; DECISIONS'!A128" TargetMode="External" Id="rId132"/><Relationship Type="http://schemas.openxmlformats.org/officeDocument/2006/relationships/hyperlink" Target="#'10 EVIDENCE &amp; DECISIONS'!A129" TargetMode="External" Id="rId133"/><Relationship Type="http://schemas.openxmlformats.org/officeDocument/2006/relationships/hyperlink" Target="#'10 EVIDENCE &amp; DECISIONS'!A130" TargetMode="External" Id="rId134"/><Relationship Type="http://schemas.openxmlformats.org/officeDocument/2006/relationships/hyperlink" Target="#'10 EVIDENCE &amp; DECISIONS'!A131" TargetMode="External" Id="rId135"/><Relationship Type="http://schemas.openxmlformats.org/officeDocument/2006/relationships/hyperlink" Target="#'10 EVIDENCE &amp; DECISIONS'!A132" TargetMode="External" Id="rId136"/><Relationship Type="http://schemas.openxmlformats.org/officeDocument/2006/relationships/hyperlink" Target="#'10 EVIDENCE &amp; DECISIONS'!A133" TargetMode="External" Id="rId137"/><Relationship Type="http://schemas.openxmlformats.org/officeDocument/2006/relationships/hyperlink" Target="#'10 EVIDENCE &amp; DECISIONS'!A134" TargetMode="External" Id="rId138"/><Relationship Type="http://schemas.openxmlformats.org/officeDocument/2006/relationships/hyperlink" Target="#'10 EVIDENCE &amp; DECISIONS'!A135" TargetMode="External" Id="rId139"/><Relationship Type="http://schemas.openxmlformats.org/officeDocument/2006/relationships/hyperlink" Target="#'10 EVIDENCE &amp; DECISIONS'!A136" TargetMode="External" Id="rId140"/><Relationship Type="http://schemas.openxmlformats.org/officeDocument/2006/relationships/hyperlink" Target="#'10 EVIDENCE &amp; DECISIONS'!A137" TargetMode="External" Id="rId141"/><Relationship Type="http://schemas.openxmlformats.org/officeDocument/2006/relationships/hyperlink" Target="#'10 EVIDENCE &amp; DECISIONS'!A138" TargetMode="External" Id="rId142"/><Relationship Type="http://schemas.openxmlformats.org/officeDocument/2006/relationships/hyperlink" Target="#'10 EVIDENCE &amp; DECISIONS'!A139" TargetMode="External" Id="rId143"/><Relationship Type="http://schemas.openxmlformats.org/officeDocument/2006/relationships/hyperlink" Target="#'10 EVIDENCE &amp; DECISIONS'!A140" TargetMode="External" Id="rId144"/><Relationship Type="http://schemas.openxmlformats.org/officeDocument/2006/relationships/hyperlink" Target="#'10 EVIDENCE &amp; DECISIONS'!A141" TargetMode="External" Id="rId145"/><Relationship Type="http://schemas.openxmlformats.org/officeDocument/2006/relationships/hyperlink" Target="#'10 EVIDENCE &amp; DECISIONS'!A142" TargetMode="External" Id="rId146"/><Relationship Type="http://schemas.openxmlformats.org/officeDocument/2006/relationships/hyperlink" Target="#'10 EVIDENCE &amp; DECISIONS'!A143" TargetMode="External" Id="rId147"/><Relationship Type="http://schemas.openxmlformats.org/officeDocument/2006/relationships/hyperlink" Target="#'10 EVIDENCE &amp; DECISIONS'!A144" TargetMode="External" Id="rId148"/><Relationship Type="http://schemas.openxmlformats.org/officeDocument/2006/relationships/hyperlink" Target="#'10 EVIDENCE &amp; DECISIONS'!A145" TargetMode="External" Id="rId149"/><Relationship Type="http://schemas.openxmlformats.org/officeDocument/2006/relationships/hyperlink" Target="#'10 EVIDENCE &amp; DECISIONS'!A146" TargetMode="External" Id="rId150"/><Relationship Type="http://schemas.openxmlformats.org/officeDocument/2006/relationships/hyperlink" Target="#'10 EVIDENCE &amp; DECISIONS'!A147" TargetMode="External" Id="rId151"/><Relationship Type="http://schemas.openxmlformats.org/officeDocument/2006/relationships/hyperlink" Target="#'10 EVIDENCE &amp; DECISIONS'!A148" TargetMode="External" Id="rId152"/><Relationship Type="http://schemas.openxmlformats.org/officeDocument/2006/relationships/hyperlink" Target="#'10 EVIDENCE &amp; DECISIONS'!A149" TargetMode="External" Id="rId153"/><Relationship Type="http://schemas.openxmlformats.org/officeDocument/2006/relationships/hyperlink" Target="#'10 EVIDENCE &amp; DECISIONS'!A150" TargetMode="External" Id="rId154"/><Relationship Type="http://schemas.openxmlformats.org/officeDocument/2006/relationships/hyperlink" Target="#'10 EVIDENCE &amp; DECISIONS'!A151" TargetMode="External" Id="rId155"/><Relationship Type="http://schemas.openxmlformats.org/officeDocument/2006/relationships/hyperlink" Target="#'10 EVIDENCE &amp; DECISIONS'!A152" TargetMode="External" Id="rId156"/><Relationship Type="http://schemas.openxmlformats.org/officeDocument/2006/relationships/hyperlink" Target="#'10 EVIDENCE &amp; DECISIONS'!A153" TargetMode="External" Id="rId157"/><Relationship Type="http://schemas.openxmlformats.org/officeDocument/2006/relationships/hyperlink" Target="#'10 EVIDENCE &amp; DECISIONS'!A154" TargetMode="External" Id="rId158"/><Relationship Type="http://schemas.openxmlformats.org/officeDocument/2006/relationships/hyperlink" Target="#'10 EVIDENCE &amp; DECISIONS'!A155" TargetMode="External" Id="rId159"/><Relationship Type="http://schemas.openxmlformats.org/officeDocument/2006/relationships/hyperlink" Target="#'10 EVIDENCE &amp; DECISIONS'!A156" TargetMode="External" Id="rId160"/><Relationship Type="http://schemas.openxmlformats.org/officeDocument/2006/relationships/hyperlink" Target="#'10 EVIDENCE &amp; DECISIONS'!A157" TargetMode="External" Id="rId161"/><Relationship Type="http://schemas.openxmlformats.org/officeDocument/2006/relationships/hyperlink" Target="#'10 EVIDENCE &amp; DECISIONS'!A158" TargetMode="External" Id="rId162"/><Relationship Type="http://schemas.openxmlformats.org/officeDocument/2006/relationships/hyperlink" Target="#'10 EVIDENCE &amp; DECISIONS'!A159" TargetMode="External" Id="rId163"/><Relationship Type="http://schemas.openxmlformats.org/officeDocument/2006/relationships/hyperlink" Target="#'10 EVIDENCE &amp; DECISIONS'!A160" TargetMode="External" Id="rId164"/><Relationship Type="http://schemas.openxmlformats.org/officeDocument/2006/relationships/hyperlink" Target="#'10 EVIDENCE &amp; DECISIONS'!A161" TargetMode="External" Id="rId165"/><Relationship Type="http://schemas.openxmlformats.org/officeDocument/2006/relationships/hyperlink" Target="#'10 EVIDENCE &amp; DECISIONS'!A162" TargetMode="External" Id="rId166"/><Relationship Type="http://schemas.openxmlformats.org/officeDocument/2006/relationships/hyperlink" Target="#'10 EVIDENCE &amp; DECISIONS'!A163" TargetMode="External" Id="rId167"/><Relationship Type="http://schemas.openxmlformats.org/officeDocument/2006/relationships/hyperlink" Target="#'10 EVIDENCE &amp; DECISIONS'!A164" TargetMode="External" Id="rId168"/><Relationship Type="http://schemas.openxmlformats.org/officeDocument/2006/relationships/hyperlink" Target="#'10 EVIDENCE &amp; DECISIONS'!A165" TargetMode="External" Id="rId169"/><Relationship Type="http://schemas.openxmlformats.org/officeDocument/2006/relationships/hyperlink" Target="#'10 EVIDENCE &amp; DECISIONS'!A166" TargetMode="External" Id="rId170"/><Relationship Type="http://schemas.openxmlformats.org/officeDocument/2006/relationships/hyperlink" Target="#'10 EVIDENCE &amp; DECISIONS'!A167" TargetMode="External" Id="rId171"/><Relationship Type="http://schemas.openxmlformats.org/officeDocument/2006/relationships/hyperlink" Target="#'10 EVIDENCE &amp; DECISIONS'!A168" TargetMode="External" Id="rId172"/><Relationship Type="http://schemas.openxmlformats.org/officeDocument/2006/relationships/hyperlink" Target="#'10 EVIDENCE &amp; DECISIONS'!A169" TargetMode="External" Id="rId173"/><Relationship Type="http://schemas.openxmlformats.org/officeDocument/2006/relationships/hyperlink" Target="#'10 EVIDENCE &amp; DECISIONS'!A170" TargetMode="External" Id="rId174"/><Relationship Type="http://schemas.openxmlformats.org/officeDocument/2006/relationships/hyperlink" Target="#'10 EVIDENCE &amp; DECISIONS'!A171" TargetMode="External" Id="rId175"/><Relationship Type="http://schemas.openxmlformats.org/officeDocument/2006/relationships/hyperlink" Target="#'10 EVIDENCE &amp; DECISIONS'!A172" TargetMode="External" Id="rId176"/><Relationship Type="http://schemas.openxmlformats.org/officeDocument/2006/relationships/hyperlink" Target="#'10 EVIDENCE &amp; DECISIONS'!A173" TargetMode="External" Id="rId177"/><Relationship Type="http://schemas.openxmlformats.org/officeDocument/2006/relationships/hyperlink" Target="#'10 EVIDENCE &amp; DECISIONS'!A174" TargetMode="External" Id="rId178"/><Relationship Type="http://schemas.openxmlformats.org/officeDocument/2006/relationships/hyperlink" Target="#'10 EVIDENCE &amp; DECISIONS'!A175" TargetMode="External" Id="rId179"/><Relationship Type="http://schemas.openxmlformats.org/officeDocument/2006/relationships/hyperlink" Target="#'10 EVIDENCE &amp; DECISIONS'!A176" TargetMode="External" Id="rId180"/><Relationship Type="http://schemas.openxmlformats.org/officeDocument/2006/relationships/hyperlink" Target="#'10 EVIDENCE &amp; DECISIONS'!A177" TargetMode="External" Id="rId181"/><Relationship Type="http://schemas.openxmlformats.org/officeDocument/2006/relationships/hyperlink" Target="#'10 EVIDENCE &amp; DECISIONS'!A178" TargetMode="External" Id="rId182"/><Relationship Type="http://schemas.openxmlformats.org/officeDocument/2006/relationships/hyperlink" Target="#'10 EVIDENCE &amp; DECISIONS'!A179" TargetMode="External" Id="rId183"/><Relationship Type="http://schemas.openxmlformats.org/officeDocument/2006/relationships/hyperlink" Target="#'10 EVIDENCE &amp; DECISIONS'!A180" TargetMode="External" Id="rId184"/><Relationship Type="http://schemas.openxmlformats.org/officeDocument/2006/relationships/hyperlink" Target="#'10 EVIDENCE &amp; DECISIONS'!A181" TargetMode="External" Id="rId185"/><Relationship Type="http://schemas.openxmlformats.org/officeDocument/2006/relationships/hyperlink" Target="#'10 EVIDENCE &amp; DECISIONS'!A182" TargetMode="External" Id="rId186"/><Relationship Type="http://schemas.openxmlformats.org/officeDocument/2006/relationships/hyperlink" Target="#'10 EVIDENCE &amp; DECISIONS'!A183" TargetMode="External" Id="rId187"/><Relationship Type="http://schemas.openxmlformats.org/officeDocument/2006/relationships/hyperlink" Target="#'10 EVIDENCE &amp; DECISIONS'!A184" TargetMode="External" Id="rId188"/><Relationship Type="http://schemas.openxmlformats.org/officeDocument/2006/relationships/hyperlink" Target="#'10 EVIDENCE &amp; DECISIONS'!A185" TargetMode="External" Id="rId189"/><Relationship Type="http://schemas.openxmlformats.org/officeDocument/2006/relationships/hyperlink" Target="#'10 EVIDENCE &amp; DECISIONS'!A186" TargetMode="External" Id="rId190"/><Relationship Type="http://schemas.openxmlformats.org/officeDocument/2006/relationships/hyperlink" Target="#'10 EVIDENCE &amp; DECISIONS'!A187" TargetMode="External" Id="rId191"/><Relationship Type="http://schemas.openxmlformats.org/officeDocument/2006/relationships/hyperlink" Target="#'10 EVIDENCE &amp; DECISIONS'!A188" TargetMode="External" Id="rId192"/><Relationship Type="http://schemas.openxmlformats.org/officeDocument/2006/relationships/hyperlink" Target="#'10 EVIDENCE &amp; DECISIONS'!A189" TargetMode="External" Id="rId193"/><Relationship Type="http://schemas.openxmlformats.org/officeDocument/2006/relationships/hyperlink" Target="#'10 EVIDENCE &amp; DECISIONS'!A190" TargetMode="External" Id="rId194"/><Relationship Type="http://schemas.openxmlformats.org/officeDocument/2006/relationships/hyperlink" Target="#'10 EVIDENCE &amp; DECISIONS'!A191" TargetMode="External" Id="rId195"/><Relationship Type="http://schemas.openxmlformats.org/officeDocument/2006/relationships/hyperlink" Target="#'10 EVIDENCE &amp; DECISIONS'!A192" TargetMode="External" Id="rId196"/><Relationship Type="http://schemas.openxmlformats.org/officeDocument/2006/relationships/hyperlink" Target="#'10 EVIDENCE &amp; DECISIONS'!A193" TargetMode="External" Id="rId197"/><Relationship Type="http://schemas.openxmlformats.org/officeDocument/2006/relationships/hyperlink" Target="#'10 EVIDENCE &amp; DECISIONS'!A194" TargetMode="External" Id="rId198"/><Relationship Type="http://schemas.openxmlformats.org/officeDocument/2006/relationships/hyperlink" Target="#'10 EVIDENCE &amp; DECISIONS'!A195" TargetMode="External" Id="rId199"/><Relationship Type="http://schemas.openxmlformats.org/officeDocument/2006/relationships/hyperlink" Target="#'10 EVIDENCE &amp; DECISIONS'!A196" TargetMode="External" Id="rId200"/><Relationship Type="http://schemas.openxmlformats.org/officeDocument/2006/relationships/hyperlink" Target="#'10 EVIDENCE &amp; DECISIONS'!A197" TargetMode="External" Id="rId201"/><Relationship Type="http://schemas.openxmlformats.org/officeDocument/2006/relationships/hyperlink" Target="#'10 EVIDENCE &amp; DECISIONS'!A198" TargetMode="External" Id="rId202"/><Relationship Type="http://schemas.openxmlformats.org/officeDocument/2006/relationships/hyperlink" Target="#'10 EVIDENCE &amp; DECISIONS'!A199" TargetMode="External" Id="rId203"/><Relationship Type="http://schemas.openxmlformats.org/officeDocument/2006/relationships/hyperlink" Target="#'10 EVIDENCE &amp; DECISIONS'!A200" TargetMode="External" Id="rId204"/><Relationship Type="http://schemas.openxmlformats.org/officeDocument/2006/relationships/hyperlink" Target="#'10 EVIDENCE &amp; DECISIONS'!A201" TargetMode="External" Id="rId205"/><Relationship Type="http://schemas.openxmlformats.org/officeDocument/2006/relationships/hyperlink" Target="#'10 EVIDENCE &amp; DECISIONS'!A202" TargetMode="External" Id="rId206"/><Relationship Type="http://schemas.openxmlformats.org/officeDocument/2006/relationships/hyperlink" Target="#'10 EVIDENCE &amp; DECISIONS'!A203" TargetMode="External" Id="rId207"/><Relationship Type="http://schemas.openxmlformats.org/officeDocument/2006/relationships/hyperlink" Target="#'10 EVIDENCE &amp; DECISIONS'!A204" TargetMode="External" Id="rId208"/><Relationship Type="http://schemas.openxmlformats.org/officeDocument/2006/relationships/hyperlink" Target="#'10 EVIDENCE &amp; DECISIONS'!A205" TargetMode="External" Id="rId209"/><Relationship Type="http://schemas.openxmlformats.org/officeDocument/2006/relationships/hyperlink" Target="#'10 EVIDENCE &amp; DECISIONS'!A206" TargetMode="External" Id="rId210"/><Relationship Type="http://schemas.openxmlformats.org/officeDocument/2006/relationships/hyperlink" Target="#'10 EVIDENCE &amp; DECISIONS'!A207" TargetMode="External" Id="rId211"/><Relationship Type="http://schemas.openxmlformats.org/officeDocument/2006/relationships/hyperlink" Target="#'10 EVIDENCE &amp; DECISIONS'!A208" TargetMode="External" Id="rId212"/><Relationship Type="http://schemas.openxmlformats.org/officeDocument/2006/relationships/hyperlink" Target="#'10 EVIDENCE &amp; DECISIONS'!A209" TargetMode="External" Id="rId213"/><Relationship Type="http://schemas.openxmlformats.org/officeDocument/2006/relationships/hyperlink" Target="#'10 EVIDENCE &amp; DECISIONS'!A210" TargetMode="External" Id="rId214"/><Relationship Type="http://schemas.openxmlformats.org/officeDocument/2006/relationships/hyperlink" Target="#'10 EVIDENCE &amp; DECISIONS'!A211" TargetMode="External" Id="rId215"/><Relationship Type="http://schemas.openxmlformats.org/officeDocument/2006/relationships/hyperlink" Target="#'10 EVIDENCE &amp; DECISIONS'!A212" TargetMode="External" Id="rId216"/><Relationship Type="http://schemas.openxmlformats.org/officeDocument/2006/relationships/hyperlink" Target="#'10 EVIDENCE &amp; DECISIONS'!A213" TargetMode="External" Id="rId217"/><Relationship Type="http://schemas.openxmlformats.org/officeDocument/2006/relationships/hyperlink" Target="#'10 EVIDENCE &amp; DECISIONS'!A214" TargetMode="External" Id="rId218"/><Relationship Type="http://schemas.openxmlformats.org/officeDocument/2006/relationships/hyperlink" Target="#'10 EVIDENCE &amp; DECISIONS'!A215" TargetMode="External" Id="rId219"/><Relationship Type="http://schemas.openxmlformats.org/officeDocument/2006/relationships/hyperlink" Target="#'10 EVIDENCE &amp; DECISIONS'!A216" TargetMode="External" Id="rId220"/><Relationship Type="http://schemas.openxmlformats.org/officeDocument/2006/relationships/hyperlink" Target="#'10 EVIDENCE &amp; DECISIONS'!A217" TargetMode="External" Id="rId221"/><Relationship Type="http://schemas.openxmlformats.org/officeDocument/2006/relationships/hyperlink" Target="#'10 EVIDENCE &amp; DECISIONS'!A218" TargetMode="External" Id="rId222"/><Relationship Type="http://schemas.openxmlformats.org/officeDocument/2006/relationships/hyperlink" Target="#'10 EVIDENCE &amp; DECISIONS'!A219" TargetMode="External" Id="rId223"/><Relationship Type="http://schemas.openxmlformats.org/officeDocument/2006/relationships/hyperlink" Target="#'10 EVIDENCE &amp; DECISIONS'!A220" TargetMode="External" Id="rId224"/><Relationship Type="http://schemas.openxmlformats.org/officeDocument/2006/relationships/hyperlink" Target="#'10 EVIDENCE &amp; DECISIONS'!A221" TargetMode="External" Id="rId225"/><Relationship Type="http://schemas.openxmlformats.org/officeDocument/2006/relationships/hyperlink" Target="#'10 EVIDENCE &amp; DECISIONS'!A222" TargetMode="External" Id="rId226"/><Relationship Type="http://schemas.openxmlformats.org/officeDocument/2006/relationships/hyperlink" Target="#'10 EVIDENCE &amp; DECISIONS'!A223" TargetMode="External" Id="rId227"/><Relationship Type="http://schemas.openxmlformats.org/officeDocument/2006/relationships/hyperlink" Target="#'10 EVIDENCE &amp; DECISIONS'!A224" TargetMode="External" Id="rId228"/><Relationship Type="http://schemas.openxmlformats.org/officeDocument/2006/relationships/hyperlink" Target="#'10 EVIDENCE &amp; DECISIONS'!A225" TargetMode="External" Id="rId229"/><Relationship Type="http://schemas.openxmlformats.org/officeDocument/2006/relationships/hyperlink" Target="#'10 EVIDENCE &amp; DECISIONS'!A226" TargetMode="External" Id="rId230"/><Relationship Type="http://schemas.openxmlformats.org/officeDocument/2006/relationships/hyperlink" Target="#'10 EVIDENCE &amp; DECISIONS'!A227" TargetMode="External" Id="rId231"/><Relationship Type="http://schemas.openxmlformats.org/officeDocument/2006/relationships/hyperlink" Target="#'10 EVIDENCE &amp; DECISIONS'!A228" TargetMode="External" Id="rId232"/><Relationship Type="http://schemas.openxmlformats.org/officeDocument/2006/relationships/hyperlink" Target="#'10 EVIDENCE &amp; DECISIONS'!A229" TargetMode="External" Id="rId233"/><Relationship Type="http://schemas.openxmlformats.org/officeDocument/2006/relationships/hyperlink" Target="#'10 EVIDENCE &amp; DECISIONS'!A230" TargetMode="External" Id="rId234"/><Relationship Type="http://schemas.openxmlformats.org/officeDocument/2006/relationships/hyperlink" Target="#'10 EVIDENCE &amp; DECISIONS'!A231" TargetMode="External" Id="rId235"/><Relationship Type="http://schemas.openxmlformats.org/officeDocument/2006/relationships/hyperlink" Target="#'10 EVIDENCE &amp; DECISIONS'!A232" TargetMode="External" Id="rId236"/><Relationship Type="http://schemas.openxmlformats.org/officeDocument/2006/relationships/hyperlink" Target="#'10 EVIDENCE &amp; DECISIONS'!A233" TargetMode="External" Id="rId237"/><Relationship Type="http://schemas.openxmlformats.org/officeDocument/2006/relationships/hyperlink" Target="#'10 EVIDENCE &amp; DECISIONS'!A234" TargetMode="External" Id="rId238"/><Relationship Type="http://schemas.openxmlformats.org/officeDocument/2006/relationships/hyperlink" Target="#'10 EVIDENCE &amp; DECISIONS'!A235" TargetMode="External" Id="rId239"/><Relationship Type="http://schemas.openxmlformats.org/officeDocument/2006/relationships/hyperlink" Target="#'10 EVIDENCE &amp; DECISIONS'!A236" TargetMode="External" Id="rId240"/><Relationship Type="http://schemas.openxmlformats.org/officeDocument/2006/relationships/hyperlink" Target="#'10 EVIDENCE &amp; DECISIONS'!A237" TargetMode="External" Id="rId241"/><Relationship Type="http://schemas.openxmlformats.org/officeDocument/2006/relationships/hyperlink" Target="#'10 EVIDENCE &amp; DECISIONS'!A238" TargetMode="External" Id="rId242"/><Relationship Type="http://schemas.openxmlformats.org/officeDocument/2006/relationships/hyperlink" Target="#'10 EVIDENCE &amp; DECISIONS'!A239" TargetMode="External" Id="rId243"/><Relationship Type="http://schemas.openxmlformats.org/officeDocument/2006/relationships/hyperlink" Target="#'10 EVIDENCE &amp; DECISIONS'!A240" TargetMode="External" Id="rId244"/><Relationship Type="http://schemas.openxmlformats.org/officeDocument/2006/relationships/hyperlink" Target="#'10 EVIDENCE &amp; DECISIONS'!A241" TargetMode="External" Id="rId245"/><Relationship Type="http://schemas.openxmlformats.org/officeDocument/2006/relationships/hyperlink" Target="#'10 EVIDENCE &amp; DECISIONS'!A242" TargetMode="External" Id="rId246"/><Relationship Type="http://schemas.openxmlformats.org/officeDocument/2006/relationships/hyperlink" Target="#'10 EVIDENCE &amp; DECISIONS'!A243" TargetMode="External" Id="rId247"/><Relationship Type="http://schemas.openxmlformats.org/officeDocument/2006/relationships/hyperlink" Target="#'10 EVIDENCE &amp; DECISIONS'!A244" TargetMode="External" Id="rId248"/><Relationship Type="http://schemas.openxmlformats.org/officeDocument/2006/relationships/hyperlink" Target="#'10 EVIDENCE &amp; DECISIONS'!A245" TargetMode="External" Id="rId249"/><Relationship Type="http://schemas.openxmlformats.org/officeDocument/2006/relationships/hyperlink" Target="#'10 EVIDENCE &amp; DECISIONS'!A246" TargetMode="External" Id="rId250"/><Relationship Type="http://schemas.openxmlformats.org/officeDocument/2006/relationships/hyperlink" Target="#'10 EVIDENCE &amp; DECISIONS'!A247" TargetMode="External" Id="rId251"/><Relationship Type="http://schemas.openxmlformats.org/officeDocument/2006/relationships/hyperlink" Target="#'10 EVIDENCE &amp; DECISIONS'!A248" TargetMode="External" Id="rId252"/><Relationship Type="http://schemas.openxmlformats.org/officeDocument/2006/relationships/hyperlink" Target="#'10 EVIDENCE &amp; DECISIONS'!A249" TargetMode="External" Id="rId253"/><Relationship Type="http://schemas.openxmlformats.org/officeDocument/2006/relationships/hyperlink" Target="#'10 EVIDENCE &amp; DECISIONS'!A250" TargetMode="External" Id="rId254"/><Relationship Type="http://schemas.openxmlformats.org/officeDocument/2006/relationships/hyperlink" Target="#'10 EVIDENCE &amp; DECISIONS'!A251" TargetMode="External" Id="rId255"/><Relationship Type="http://schemas.openxmlformats.org/officeDocument/2006/relationships/hyperlink" Target="#'10 EVIDENCE &amp; DECISIONS'!A252" TargetMode="External" Id="rId256"/><Relationship Type="http://schemas.openxmlformats.org/officeDocument/2006/relationships/hyperlink" Target="#'10 EVIDENCE &amp; DECISIONS'!A253" TargetMode="External" Id="rId257"/><Relationship Type="http://schemas.openxmlformats.org/officeDocument/2006/relationships/hyperlink" Target="#'10 EVIDENCE &amp; DECISIONS'!A254" TargetMode="External" Id="rId258"/><Relationship Type="http://schemas.openxmlformats.org/officeDocument/2006/relationships/hyperlink" Target="#'10 EVIDENCE &amp; DECISIONS'!A255" TargetMode="External" Id="rId259"/><Relationship Type="http://schemas.openxmlformats.org/officeDocument/2006/relationships/hyperlink" Target="#'10 EVIDENCE &amp; DECISIONS'!A256" TargetMode="External" Id="rId260"/><Relationship Type="http://schemas.openxmlformats.org/officeDocument/2006/relationships/hyperlink" Target="#'10 EVIDENCE &amp; DECISIONS'!A257" TargetMode="External" Id="rId261"/><Relationship Type="http://schemas.openxmlformats.org/officeDocument/2006/relationships/hyperlink" Target="#'10 EVIDENCE &amp; DECISIONS'!A258" TargetMode="External" Id="rId262"/><Relationship Type="http://schemas.openxmlformats.org/officeDocument/2006/relationships/hyperlink" Target="#'10 EVIDENCE &amp; DECISIONS'!A259" TargetMode="External" Id="rId263"/><Relationship Type="http://schemas.openxmlformats.org/officeDocument/2006/relationships/hyperlink" Target="#'10 EVIDENCE &amp; DECISIONS'!A260" TargetMode="External" Id="rId264"/><Relationship Type="http://schemas.openxmlformats.org/officeDocument/2006/relationships/hyperlink" Target="#'10 EVIDENCE &amp; DECISIONS'!A261" TargetMode="External" Id="rId265"/><Relationship Type="http://schemas.openxmlformats.org/officeDocument/2006/relationships/hyperlink" Target="#'10 EVIDENCE &amp; DECISIONS'!A262" TargetMode="External" Id="rId266"/><Relationship Type="http://schemas.openxmlformats.org/officeDocument/2006/relationships/hyperlink" Target="#'10 EVIDENCE &amp; DECISIONS'!A263" TargetMode="External" Id="rId267"/><Relationship Type="http://schemas.openxmlformats.org/officeDocument/2006/relationships/hyperlink" Target="#'10 EVIDENCE &amp; DECISIONS'!A264" TargetMode="External" Id="rId268"/><Relationship Type="http://schemas.openxmlformats.org/officeDocument/2006/relationships/hyperlink" Target="#'10 EVIDENCE &amp; DECISIONS'!A265" TargetMode="External" Id="rId269"/><Relationship Type="http://schemas.openxmlformats.org/officeDocument/2006/relationships/hyperlink" Target="#'10 EVIDENCE &amp; DECISIONS'!A266" TargetMode="External" Id="rId270"/><Relationship Type="http://schemas.openxmlformats.org/officeDocument/2006/relationships/hyperlink" Target="#'10 EVIDENCE &amp; DECISIONS'!A267" TargetMode="External" Id="rId271"/><Relationship Type="http://schemas.openxmlformats.org/officeDocument/2006/relationships/hyperlink" Target="#'10 EVIDENCE &amp; DECISIONS'!A268" TargetMode="External" Id="rId272"/><Relationship Type="http://schemas.openxmlformats.org/officeDocument/2006/relationships/hyperlink" Target="#'10 EVIDENCE &amp; DECISIONS'!A269" TargetMode="External" Id="rId273"/><Relationship Type="http://schemas.openxmlformats.org/officeDocument/2006/relationships/hyperlink" Target="#'10 EVIDENCE &amp; DECISIONS'!A270" TargetMode="External" Id="rId274"/><Relationship Type="http://schemas.openxmlformats.org/officeDocument/2006/relationships/hyperlink" Target="#'10 EVIDENCE &amp; DECISIONS'!A271" TargetMode="External" Id="rId275"/><Relationship Type="http://schemas.openxmlformats.org/officeDocument/2006/relationships/hyperlink" Target="#'10 EVIDENCE &amp; DECISIONS'!A272" TargetMode="External" Id="rId276"/><Relationship Type="http://schemas.openxmlformats.org/officeDocument/2006/relationships/hyperlink" Target="#'10 EVIDENCE &amp; DECISIONS'!A273" TargetMode="External" Id="rId277"/><Relationship Type="http://schemas.openxmlformats.org/officeDocument/2006/relationships/hyperlink" Target="#'10 EVIDENCE &amp; DECISIONS'!A274" TargetMode="External" Id="rId278"/><Relationship Type="http://schemas.openxmlformats.org/officeDocument/2006/relationships/hyperlink" Target="#'10 EVIDENCE &amp; DECISIONS'!A275" TargetMode="External" Id="rId279"/><Relationship Type="http://schemas.openxmlformats.org/officeDocument/2006/relationships/hyperlink" Target="#'10 EVIDENCE &amp; DECISIONS'!A276" TargetMode="External" Id="rId280"/><Relationship Type="http://schemas.openxmlformats.org/officeDocument/2006/relationships/hyperlink" Target="#'10 EVIDENCE &amp; DECISIONS'!A277" TargetMode="External" Id="rId281"/><Relationship Type="http://schemas.openxmlformats.org/officeDocument/2006/relationships/hyperlink" Target="#'10 EVIDENCE &amp; DECISIONS'!A278" TargetMode="External" Id="rId282"/><Relationship Type="http://schemas.openxmlformats.org/officeDocument/2006/relationships/hyperlink" Target="#'10 EVIDENCE &amp; DECISIONS'!A279" TargetMode="External" Id="rId283"/><Relationship Type="http://schemas.openxmlformats.org/officeDocument/2006/relationships/hyperlink" Target="#'10 EVIDENCE &amp; DECISIONS'!A280" TargetMode="External" Id="rId284"/><Relationship Type="http://schemas.openxmlformats.org/officeDocument/2006/relationships/hyperlink" Target="#'10 EVIDENCE &amp; DECISIONS'!A281" TargetMode="External" Id="rId285"/><Relationship Type="http://schemas.openxmlformats.org/officeDocument/2006/relationships/hyperlink" Target="#'10 EVIDENCE &amp; DECISIONS'!A282" TargetMode="External" Id="rId286"/><Relationship Type="http://schemas.openxmlformats.org/officeDocument/2006/relationships/hyperlink" Target="#'10 EVIDENCE &amp; DECISIONS'!A283" TargetMode="External" Id="rId287"/><Relationship Type="http://schemas.openxmlformats.org/officeDocument/2006/relationships/hyperlink" Target="#'10 EVIDENCE &amp; DECISIONS'!A284" TargetMode="External" Id="rId288"/><Relationship Type="http://schemas.openxmlformats.org/officeDocument/2006/relationships/hyperlink" Target="#'10 EVIDENCE &amp; DECISIONS'!A285" TargetMode="External" Id="rId289"/><Relationship Type="http://schemas.openxmlformats.org/officeDocument/2006/relationships/hyperlink" Target="#'10 EVIDENCE &amp; DECISIONS'!A286" TargetMode="External" Id="rId290"/><Relationship Type="http://schemas.openxmlformats.org/officeDocument/2006/relationships/hyperlink" Target="#'10 EVIDENCE &amp; DECISIONS'!A287" TargetMode="External" Id="rId291"/><Relationship Type="http://schemas.openxmlformats.org/officeDocument/2006/relationships/hyperlink" Target="#'10 EVIDENCE &amp; DECISIONS'!A288" TargetMode="External" Id="rId292"/><Relationship Type="http://schemas.openxmlformats.org/officeDocument/2006/relationships/hyperlink" Target="#'10 EVIDENCE &amp; DECISIONS'!A289" TargetMode="External" Id="rId293"/><Relationship Type="http://schemas.openxmlformats.org/officeDocument/2006/relationships/hyperlink" Target="#'10 EVIDENCE &amp; DECISIONS'!A290" TargetMode="External" Id="rId294"/><Relationship Type="http://schemas.openxmlformats.org/officeDocument/2006/relationships/hyperlink" Target="#'10 EVIDENCE &amp; DECISIONS'!A291" TargetMode="External" Id="rId295"/><Relationship Type="http://schemas.openxmlformats.org/officeDocument/2006/relationships/hyperlink" Target="#'10 EVIDENCE &amp; DECISIONS'!A292" TargetMode="External" Id="rId296"/><Relationship Type="http://schemas.openxmlformats.org/officeDocument/2006/relationships/hyperlink" Target="#'10 EVIDENCE &amp; DECISIONS'!A293" TargetMode="External" Id="rId297"/><Relationship Type="http://schemas.openxmlformats.org/officeDocument/2006/relationships/hyperlink" Target="#'10 EVIDENCE &amp; DECISIONS'!A294" TargetMode="External" Id="rId298"/><Relationship Type="http://schemas.openxmlformats.org/officeDocument/2006/relationships/hyperlink" Target="#'10 EVIDENCE &amp; DECISIONS'!A295" TargetMode="External" Id="rId299"/><Relationship Type="http://schemas.openxmlformats.org/officeDocument/2006/relationships/hyperlink" Target="#'10 EVIDENCE &amp; DECISIONS'!A296" TargetMode="External" Id="rId300"/><Relationship Type="http://schemas.openxmlformats.org/officeDocument/2006/relationships/hyperlink" Target="#'10 EVIDENCE &amp; DECISIONS'!A297" TargetMode="External" Id="rId301"/><Relationship Type="http://schemas.openxmlformats.org/officeDocument/2006/relationships/hyperlink" Target="#'10 EVIDENCE &amp; DECISIONS'!A298" TargetMode="External" Id="rId302"/><Relationship Type="http://schemas.openxmlformats.org/officeDocument/2006/relationships/hyperlink" Target="#'10 EVIDENCE &amp; DECISIONS'!A299" TargetMode="External" Id="rId303"/><Relationship Type="http://schemas.openxmlformats.org/officeDocument/2006/relationships/hyperlink" Target="#'10 EVIDENCE &amp; DECISIONS'!A300" TargetMode="External" Id="rId304"/><Relationship Type="http://schemas.openxmlformats.org/officeDocument/2006/relationships/hyperlink" Target="#'10 EVIDENCE &amp; DECISIONS'!A301" TargetMode="External" Id="rId305"/><Relationship Type="http://schemas.openxmlformats.org/officeDocument/2006/relationships/hyperlink" Target="#'10 EVIDENCE &amp; DECISIONS'!A302" TargetMode="External" Id="rId306"/><Relationship Type="http://schemas.openxmlformats.org/officeDocument/2006/relationships/hyperlink" Target="#'10 EVIDENCE &amp; DECISIONS'!A303" TargetMode="External" Id="rId307"/><Relationship Type="http://schemas.openxmlformats.org/officeDocument/2006/relationships/hyperlink" Target="#'10 EVIDENCE &amp; DECISIONS'!A304" TargetMode="External" Id="rId308"/><Relationship Type="http://schemas.openxmlformats.org/officeDocument/2006/relationships/hyperlink" Target="#'10 EVIDENCE &amp; DECISIONS'!A305" TargetMode="External" Id="rId309"/><Relationship Type="http://schemas.openxmlformats.org/officeDocument/2006/relationships/hyperlink" Target="#'10 EVIDENCE &amp; DECISIONS'!A306" TargetMode="External" Id="rId310"/><Relationship Type="http://schemas.openxmlformats.org/officeDocument/2006/relationships/hyperlink" Target="#'10 EVIDENCE &amp; DECISIONS'!A307" TargetMode="External" Id="rId311"/><Relationship Type="http://schemas.openxmlformats.org/officeDocument/2006/relationships/hyperlink" Target="#'10 EVIDENCE &amp; DECISIONS'!A308" TargetMode="External" Id="rId312"/><Relationship Type="http://schemas.openxmlformats.org/officeDocument/2006/relationships/hyperlink" Target="#'10 EVIDENCE &amp; DECISIONS'!A309" TargetMode="External" Id="rId313"/><Relationship Type="http://schemas.openxmlformats.org/officeDocument/2006/relationships/hyperlink" Target="#'10 EVIDENCE &amp; DECISIONS'!A310" TargetMode="External" Id="rId314"/><Relationship Type="http://schemas.openxmlformats.org/officeDocument/2006/relationships/hyperlink" Target="#'10 EVIDENCE &amp; DECISIONS'!A311" TargetMode="External" Id="rId315"/><Relationship Type="http://schemas.openxmlformats.org/officeDocument/2006/relationships/hyperlink" Target="#'10 EVIDENCE &amp; DECISIONS'!A312" TargetMode="External" Id="rId316"/><Relationship Type="http://schemas.openxmlformats.org/officeDocument/2006/relationships/hyperlink" Target="#'10 EVIDENCE &amp; DECISIONS'!A313" TargetMode="External" Id="rId317"/><Relationship Type="http://schemas.openxmlformats.org/officeDocument/2006/relationships/hyperlink" Target="#'10 EVIDENCE &amp; DECISIONS'!A314" TargetMode="External" Id="rId318"/><Relationship Type="http://schemas.openxmlformats.org/officeDocument/2006/relationships/hyperlink" Target="#'10 EVIDENCE &amp; DECISIONS'!A315" TargetMode="External" Id="rId319"/><Relationship Type="http://schemas.openxmlformats.org/officeDocument/2006/relationships/hyperlink" Target="#'10 EVIDENCE &amp; DECISIONS'!A316" TargetMode="External" Id="rId320"/><Relationship Type="http://schemas.openxmlformats.org/officeDocument/2006/relationships/hyperlink" Target="#'10 EVIDENCE &amp; DECISIONS'!A317" TargetMode="External" Id="rId321"/><Relationship Type="http://schemas.openxmlformats.org/officeDocument/2006/relationships/hyperlink" Target="#'10 EVIDENCE &amp; DECISIONS'!A318" TargetMode="External" Id="rId322"/><Relationship Type="http://schemas.openxmlformats.org/officeDocument/2006/relationships/hyperlink" Target="#'10 EVIDENCE &amp; DECISIONS'!A319" TargetMode="External" Id="rId323"/><Relationship Type="http://schemas.openxmlformats.org/officeDocument/2006/relationships/hyperlink" Target="#'10 EVIDENCE &amp; DECISIONS'!A320" TargetMode="External" Id="rId324"/><Relationship Type="http://schemas.openxmlformats.org/officeDocument/2006/relationships/hyperlink" Target="#'10 EVIDENCE &amp; DECISIONS'!A321" TargetMode="External" Id="rId325"/><Relationship Type="http://schemas.openxmlformats.org/officeDocument/2006/relationships/hyperlink" Target="#'10 EVIDENCE &amp; DECISIONS'!A322" TargetMode="External" Id="rId326"/><Relationship Type="http://schemas.openxmlformats.org/officeDocument/2006/relationships/hyperlink" Target="#'10 EVIDENCE &amp; DECISIONS'!A323" TargetMode="External" Id="rId327"/><Relationship Type="http://schemas.openxmlformats.org/officeDocument/2006/relationships/hyperlink" Target="#'10 EVIDENCE &amp; DECISIONS'!A324" TargetMode="External" Id="rId328"/><Relationship Type="http://schemas.openxmlformats.org/officeDocument/2006/relationships/hyperlink" Target="#'10 EVIDENCE &amp; DECISIONS'!A325" TargetMode="External" Id="rId329"/><Relationship Type="http://schemas.openxmlformats.org/officeDocument/2006/relationships/hyperlink" Target="#'10 EVIDENCE &amp; DECISIONS'!A326" TargetMode="External" Id="rId330"/><Relationship Type="http://schemas.openxmlformats.org/officeDocument/2006/relationships/hyperlink" Target="#'10 EVIDENCE &amp; DECISIONS'!A327" TargetMode="External" Id="rId331"/><Relationship Type="http://schemas.openxmlformats.org/officeDocument/2006/relationships/hyperlink" Target="#'10 EVIDENCE &amp; DECISIONS'!A328" TargetMode="External" Id="rId332"/><Relationship Type="http://schemas.openxmlformats.org/officeDocument/2006/relationships/hyperlink" Target="#'10 EVIDENCE &amp; DECISIONS'!A329" TargetMode="External" Id="rId333"/><Relationship Type="http://schemas.openxmlformats.org/officeDocument/2006/relationships/hyperlink" Target="#'10 EVIDENCE &amp; DECISIONS'!A330" TargetMode="External" Id="rId334"/><Relationship Type="http://schemas.openxmlformats.org/officeDocument/2006/relationships/hyperlink" Target="#'10 EVIDENCE &amp; DECISIONS'!A331" TargetMode="External" Id="rId335"/><Relationship Type="http://schemas.openxmlformats.org/officeDocument/2006/relationships/hyperlink" Target="#'10 EVIDENCE &amp; DECISIONS'!A332" TargetMode="External" Id="rId336"/><Relationship Type="http://schemas.openxmlformats.org/officeDocument/2006/relationships/hyperlink" Target="#'10 EVIDENCE &amp; DECISIONS'!A333" TargetMode="External" Id="rId337"/><Relationship Type="http://schemas.openxmlformats.org/officeDocument/2006/relationships/hyperlink" Target="#'10 EVIDENCE &amp; DECISIONS'!A334" TargetMode="External" Id="rId338"/><Relationship Type="http://schemas.openxmlformats.org/officeDocument/2006/relationships/hyperlink" Target="#'10 EVIDENCE &amp; DECISIONS'!A335" TargetMode="External" Id="rId339"/><Relationship Type="http://schemas.openxmlformats.org/officeDocument/2006/relationships/hyperlink" Target="#'10 EVIDENCE &amp; DECISIONS'!A336" TargetMode="External" Id="rId340"/><Relationship Type="http://schemas.openxmlformats.org/officeDocument/2006/relationships/hyperlink" Target="#'10 EVIDENCE &amp; DECISIONS'!A337" TargetMode="External" Id="rId341"/><Relationship Type="http://schemas.openxmlformats.org/officeDocument/2006/relationships/hyperlink" Target="#'10 EVIDENCE &amp; DECISIONS'!A338" TargetMode="External" Id="rId342"/><Relationship Type="http://schemas.openxmlformats.org/officeDocument/2006/relationships/hyperlink" Target="#'10 EVIDENCE &amp; DECISIONS'!A339" TargetMode="External" Id="rId343"/><Relationship Type="http://schemas.openxmlformats.org/officeDocument/2006/relationships/hyperlink" Target="#'10 EVIDENCE &amp; DECISIONS'!A340" TargetMode="External" Id="rId344"/><Relationship Type="http://schemas.openxmlformats.org/officeDocument/2006/relationships/hyperlink" Target="#'10 EVIDENCE &amp; DECISIONS'!A341" TargetMode="External" Id="rId345"/><Relationship Type="http://schemas.openxmlformats.org/officeDocument/2006/relationships/hyperlink" Target="#'10 EVIDENCE &amp; DECISIONS'!A342" TargetMode="External" Id="rId346"/><Relationship Type="http://schemas.openxmlformats.org/officeDocument/2006/relationships/hyperlink" Target="#'10 EVIDENCE &amp; DECISIONS'!A343" TargetMode="External" Id="rId347"/><Relationship Type="http://schemas.openxmlformats.org/officeDocument/2006/relationships/hyperlink" Target="#'10 EVIDENCE &amp; DECISIONS'!A344" TargetMode="External" Id="rId348"/><Relationship Type="http://schemas.openxmlformats.org/officeDocument/2006/relationships/hyperlink" Target="#'10 EVIDENCE &amp; DECISIONS'!A345" TargetMode="External" Id="rId349"/><Relationship Type="http://schemas.openxmlformats.org/officeDocument/2006/relationships/hyperlink" Target="#'10 EVIDENCE &amp; DECISIONS'!A346" TargetMode="External" Id="rId350"/><Relationship Type="http://schemas.openxmlformats.org/officeDocument/2006/relationships/hyperlink" Target="#'10 EVIDENCE &amp; DECISIONS'!A347" TargetMode="External" Id="rId351"/><Relationship Type="http://schemas.openxmlformats.org/officeDocument/2006/relationships/hyperlink" Target="#'10 EVIDENCE &amp; DECISIONS'!A348" TargetMode="External" Id="rId352"/><Relationship Type="http://schemas.openxmlformats.org/officeDocument/2006/relationships/hyperlink" Target="#'10 EVIDENCE &amp; DECISIONS'!A349" TargetMode="External" Id="rId353"/><Relationship Type="http://schemas.openxmlformats.org/officeDocument/2006/relationships/hyperlink" Target="#'10 EVIDENCE &amp; DECISIONS'!A350" TargetMode="External" Id="rId354"/><Relationship Type="http://schemas.openxmlformats.org/officeDocument/2006/relationships/hyperlink" Target="#'10 EVIDENCE &amp; DECISIONS'!A351" TargetMode="External" Id="rId355"/><Relationship Type="http://schemas.openxmlformats.org/officeDocument/2006/relationships/hyperlink" Target="#'10 EVIDENCE &amp; DECISIONS'!A352" TargetMode="External" Id="rId356"/><Relationship Type="http://schemas.openxmlformats.org/officeDocument/2006/relationships/hyperlink" Target="#'10 EVIDENCE &amp; DECISIONS'!A353" TargetMode="External" Id="rId357"/><Relationship Type="http://schemas.openxmlformats.org/officeDocument/2006/relationships/hyperlink" Target="#'10 EVIDENCE &amp; DECISIONS'!A354" TargetMode="External" Id="rId358"/><Relationship Type="http://schemas.openxmlformats.org/officeDocument/2006/relationships/hyperlink" Target="#'10 EVIDENCE &amp; DECISIONS'!A355" TargetMode="External" Id="rId359"/><Relationship Type="http://schemas.openxmlformats.org/officeDocument/2006/relationships/hyperlink" Target="#'10 EVIDENCE &amp; DECISIONS'!A356" TargetMode="External" Id="rId360"/><Relationship Type="http://schemas.openxmlformats.org/officeDocument/2006/relationships/hyperlink" Target="#'10 EVIDENCE &amp; DECISIONS'!A357" TargetMode="External" Id="rId361"/><Relationship Type="http://schemas.openxmlformats.org/officeDocument/2006/relationships/hyperlink" Target="#'10 EVIDENCE &amp; DECISIONS'!A358" TargetMode="External" Id="rId362"/><Relationship Type="http://schemas.openxmlformats.org/officeDocument/2006/relationships/hyperlink" Target="#'10 EVIDENCE &amp; DECISIONS'!A359" TargetMode="External" Id="rId363"/><Relationship Type="http://schemas.openxmlformats.org/officeDocument/2006/relationships/hyperlink" Target="#'10 EVIDENCE &amp; DECISIONS'!A360" TargetMode="External" Id="rId364"/><Relationship Type="http://schemas.openxmlformats.org/officeDocument/2006/relationships/hyperlink" Target="#'10 EVIDENCE &amp; DECISIONS'!A361" TargetMode="External" Id="rId365"/><Relationship Type="http://schemas.openxmlformats.org/officeDocument/2006/relationships/hyperlink" Target="#'10 EVIDENCE &amp; DECISIONS'!A362" TargetMode="External" Id="rId366"/><Relationship Type="http://schemas.openxmlformats.org/officeDocument/2006/relationships/hyperlink" Target="#'10 EVIDENCE &amp; DECISIONS'!A363" TargetMode="External" Id="rId367"/><Relationship Type="http://schemas.openxmlformats.org/officeDocument/2006/relationships/hyperlink" Target="#'10 EVIDENCE &amp; DECISIONS'!A364" TargetMode="External" Id="rId368"/><Relationship Type="http://schemas.openxmlformats.org/officeDocument/2006/relationships/hyperlink" Target="#'10 EVIDENCE &amp; DECISIONS'!A365" TargetMode="External" Id="rId369"/><Relationship Type="http://schemas.openxmlformats.org/officeDocument/2006/relationships/hyperlink" Target="#'10 EVIDENCE &amp; DECISIONS'!A366" TargetMode="External" Id="rId370"/><Relationship Type="http://schemas.openxmlformats.org/officeDocument/2006/relationships/hyperlink" Target="#'10 EVIDENCE &amp; DECISIONS'!A367" TargetMode="External" Id="rId371"/><Relationship Type="http://schemas.openxmlformats.org/officeDocument/2006/relationships/hyperlink" Target="#'10 EVIDENCE &amp; DECISIONS'!A368" TargetMode="External" Id="rId372"/><Relationship Type="http://schemas.openxmlformats.org/officeDocument/2006/relationships/hyperlink" Target="#'10 EVIDENCE &amp; DECISIONS'!A369" TargetMode="External" Id="rId373"/><Relationship Type="http://schemas.openxmlformats.org/officeDocument/2006/relationships/hyperlink" Target="#'10 EVIDENCE &amp; DECISIONS'!A370" TargetMode="External" Id="rId374"/><Relationship Type="http://schemas.openxmlformats.org/officeDocument/2006/relationships/hyperlink" Target="#'10 EVIDENCE &amp; DECISIONS'!A371" TargetMode="External" Id="rId375"/><Relationship Type="http://schemas.openxmlformats.org/officeDocument/2006/relationships/hyperlink" Target="#'10 EVIDENCE &amp; DECISIONS'!A372" TargetMode="External" Id="rId376"/><Relationship Type="http://schemas.openxmlformats.org/officeDocument/2006/relationships/hyperlink" Target="#'10 EVIDENCE &amp; DECISIONS'!A373" TargetMode="External" Id="rId377"/><Relationship Type="http://schemas.openxmlformats.org/officeDocument/2006/relationships/hyperlink" Target="#'10 EVIDENCE &amp; DECISIONS'!A374" TargetMode="External" Id="rId378"/><Relationship Type="http://schemas.openxmlformats.org/officeDocument/2006/relationships/hyperlink" Target="#'10 EVIDENCE &amp; DECISIONS'!A375" TargetMode="External" Id="rId379"/><Relationship Type="http://schemas.openxmlformats.org/officeDocument/2006/relationships/hyperlink" Target="#'10 EVIDENCE &amp; DECISIONS'!A376" TargetMode="External" Id="rId380"/><Relationship Type="http://schemas.openxmlformats.org/officeDocument/2006/relationships/hyperlink" Target="#'10 EVIDENCE &amp; DECISIONS'!A377" TargetMode="External" Id="rId381"/><Relationship Type="http://schemas.openxmlformats.org/officeDocument/2006/relationships/hyperlink" Target="#'10 EVIDENCE &amp; DECISIONS'!A378" TargetMode="External" Id="rId382"/><Relationship Type="http://schemas.openxmlformats.org/officeDocument/2006/relationships/hyperlink" Target="#'10 EVIDENCE &amp; DECISIONS'!A379" TargetMode="External" Id="rId383"/><Relationship Type="http://schemas.openxmlformats.org/officeDocument/2006/relationships/hyperlink" Target="#'10 EVIDENCE &amp; DECISIONS'!A380" TargetMode="External" Id="rId384"/><Relationship Type="http://schemas.openxmlformats.org/officeDocument/2006/relationships/hyperlink" Target="#'10 EVIDENCE &amp; DECISIONS'!A381" TargetMode="External" Id="rId385"/><Relationship Type="http://schemas.openxmlformats.org/officeDocument/2006/relationships/hyperlink" Target="#'10 EVIDENCE &amp; DECISIONS'!A382" TargetMode="External" Id="rId386"/><Relationship Type="http://schemas.openxmlformats.org/officeDocument/2006/relationships/hyperlink" Target="#'10 EVIDENCE &amp; DECISIONS'!A383" TargetMode="External" Id="rId387"/><Relationship Type="http://schemas.openxmlformats.org/officeDocument/2006/relationships/hyperlink" Target="#'10 EVIDENCE &amp; DECISIONS'!A384" TargetMode="External" Id="rId388"/><Relationship Type="http://schemas.openxmlformats.org/officeDocument/2006/relationships/hyperlink" Target="#'10 EVIDENCE &amp; DECISIONS'!A385" TargetMode="External" Id="rId389"/><Relationship Type="http://schemas.openxmlformats.org/officeDocument/2006/relationships/hyperlink" Target="#'10 EVIDENCE &amp; DECISIONS'!A386" TargetMode="External" Id="rId390"/><Relationship Type="http://schemas.openxmlformats.org/officeDocument/2006/relationships/hyperlink" Target="#'10 EVIDENCE &amp; DECISIONS'!A387" TargetMode="External" Id="rId391"/><Relationship Type="http://schemas.openxmlformats.org/officeDocument/2006/relationships/hyperlink" Target="#'10 EVIDENCE &amp; DECISIONS'!A388" TargetMode="External" Id="rId392"/><Relationship Type="http://schemas.openxmlformats.org/officeDocument/2006/relationships/hyperlink" Target="#'10 EVIDENCE &amp; DECISIONS'!A389" TargetMode="External" Id="rId393"/><Relationship Type="http://schemas.openxmlformats.org/officeDocument/2006/relationships/hyperlink" Target="#'10 EVIDENCE &amp; DECISIONS'!A390" TargetMode="External" Id="rId394"/><Relationship Type="http://schemas.openxmlformats.org/officeDocument/2006/relationships/hyperlink" Target="#'10 EVIDENCE &amp; DECISIONS'!A391" TargetMode="External" Id="rId395"/><Relationship Type="http://schemas.openxmlformats.org/officeDocument/2006/relationships/hyperlink" Target="#'10 EVIDENCE &amp; DECISIONS'!A392" TargetMode="External" Id="rId396"/><Relationship Type="http://schemas.openxmlformats.org/officeDocument/2006/relationships/hyperlink" Target="#'10 EVIDENCE &amp; DECISIONS'!A393" TargetMode="External" Id="rId397"/><Relationship Type="http://schemas.openxmlformats.org/officeDocument/2006/relationships/hyperlink" Target="#'10 EVIDENCE &amp; DECISIONS'!A394" TargetMode="External" Id="rId398"/><Relationship Type="http://schemas.openxmlformats.org/officeDocument/2006/relationships/hyperlink" Target="#'10 EVIDENCE &amp; DECISIONS'!A395" TargetMode="External" Id="rId399"/><Relationship Type="http://schemas.openxmlformats.org/officeDocument/2006/relationships/hyperlink" Target="#'10 EVIDENCE &amp; DECISIONS'!A396" TargetMode="External" Id="rId400"/><Relationship Type="http://schemas.openxmlformats.org/officeDocument/2006/relationships/hyperlink" Target="#'10 EVIDENCE &amp; DECISIONS'!A397" TargetMode="External" Id="rId401"/><Relationship Type="http://schemas.openxmlformats.org/officeDocument/2006/relationships/hyperlink" Target="#'10 EVIDENCE &amp; DECISIONS'!A398" TargetMode="External" Id="rId402"/><Relationship Type="http://schemas.openxmlformats.org/officeDocument/2006/relationships/hyperlink" Target="#'10 EVIDENCE &amp; DECISIONS'!A399" TargetMode="External" Id="rId403"/><Relationship Type="http://schemas.openxmlformats.org/officeDocument/2006/relationships/hyperlink" Target="#'10 EVIDENCE &amp; DECISIONS'!A400" TargetMode="External" Id="rId404"/><Relationship Type="http://schemas.openxmlformats.org/officeDocument/2006/relationships/hyperlink" Target="#'10 EVIDENCE &amp; DECISIONS'!A401" TargetMode="External" Id="rId405"/><Relationship Type="http://schemas.openxmlformats.org/officeDocument/2006/relationships/hyperlink" Target="#'10 EVIDENCE &amp; DECISIONS'!A402" TargetMode="External" Id="rId406"/><Relationship Type="http://schemas.openxmlformats.org/officeDocument/2006/relationships/hyperlink" Target="#'10 EVIDENCE &amp; DECISIONS'!A403" TargetMode="External" Id="rId407"/><Relationship Type="http://schemas.openxmlformats.org/officeDocument/2006/relationships/hyperlink" Target="#'10 EVIDENCE &amp; DECISIONS'!A404" TargetMode="External" Id="rId408"/><Relationship Type="http://schemas.openxmlformats.org/officeDocument/2006/relationships/hyperlink" Target="#'10 EVIDENCE &amp; DECISIONS'!A405" TargetMode="External" Id="rId409"/><Relationship Type="http://schemas.openxmlformats.org/officeDocument/2006/relationships/hyperlink" Target="#'10 EVIDENCE &amp; DECISIONS'!A406" TargetMode="External" Id="rId410"/><Relationship Type="http://schemas.openxmlformats.org/officeDocument/2006/relationships/hyperlink" Target="#'10 EVIDENCE &amp; DECISIONS'!A407" TargetMode="External" Id="rId411"/><Relationship Type="http://schemas.openxmlformats.org/officeDocument/2006/relationships/hyperlink" Target="#'10 EVIDENCE &amp; DECISIONS'!A408" TargetMode="External" Id="rId412"/><Relationship Type="http://schemas.openxmlformats.org/officeDocument/2006/relationships/hyperlink" Target="#'10 EVIDENCE &amp; DECISIONS'!A409" TargetMode="External" Id="rId413"/><Relationship Type="http://schemas.openxmlformats.org/officeDocument/2006/relationships/hyperlink" Target="#'10 EVIDENCE &amp; DECISIONS'!A410" TargetMode="External" Id="rId414"/><Relationship Type="http://schemas.openxmlformats.org/officeDocument/2006/relationships/hyperlink" Target="#'10 EVIDENCE &amp; DECISIONS'!A411" TargetMode="External" Id="rId415"/><Relationship Type="http://schemas.openxmlformats.org/officeDocument/2006/relationships/hyperlink" Target="#'10 EVIDENCE &amp; DECISIONS'!A412" TargetMode="External" Id="rId416"/><Relationship Type="http://schemas.openxmlformats.org/officeDocument/2006/relationships/hyperlink" Target="#'10 EVIDENCE &amp; DECISIONS'!A413" TargetMode="External" Id="rId417"/><Relationship Type="http://schemas.openxmlformats.org/officeDocument/2006/relationships/hyperlink" Target="#'10 EVIDENCE &amp; DECISIONS'!A414" TargetMode="External" Id="rId418"/><Relationship Type="http://schemas.openxmlformats.org/officeDocument/2006/relationships/hyperlink" Target="#'10 EVIDENCE &amp; DECISIONS'!A415" TargetMode="External" Id="rId419"/><Relationship Type="http://schemas.openxmlformats.org/officeDocument/2006/relationships/hyperlink" Target="#'10 EVIDENCE &amp; DECISIONS'!A416" TargetMode="External" Id="rId420"/><Relationship Type="http://schemas.openxmlformats.org/officeDocument/2006/relationships/hyperlink" Target="#'10 EVIDENCE &amp; DECISIONS'!A417" TargetMode="External" Id="rId421"/><Relationship Type="http://schemas.openxmlformats.org/officeDocument/2006/relationships/hyperlink" Target="#'10 EVIDENCE &amp; DECISIONS'!A418" TargetMode="External" Id="rId422"/><Relationship Type="http://schemas.openxmlformats.org/officeDocument/2006/relationships/hyperlink" Target="#'10 EVIDENCE &amp; DECISIONS'!A419" TargetMode="External" Id="rId423"/><Relationship Type="http://schemas.openxmlformats.org/officeDocument/2006/relationships/hyperlink" Target="#'10 EVIDENCE &amp; DECISIONS'!A420" TargetMode="External" Id="rId424"/><Relationship Type="http://schemas.openxmlformats.org/officeDocument/2006/relationships/hyperlink" Target="#'10 EVIDENCE &amp; DECISIONS'!A421" TargetMode="External" Id="rId425"/><Relationship Type="http://schemas.openxmlformats.org/officeDocument/2006/relationships/hyperlink" Target="#'10 EVIDENCE &amp; DECISIONS'!A422" TargetMode="External" Id="rId426"/><Relationship Type="http://schemas.openxmlformats.org/officeDocument/2006/relationships/hyperlink" Target="#'10 EVIDENCE &amp; DECISIONS'!A423" TargetMode="External" Id="rId427"/><Relationship Type="http://schemas.openxmlformats.org/officeDocument/2006/relationships/hyperlink" Target="#'10 EVIDENCE &amp; DECISIONS'!A424" TargetMode="External" Id="rId428"/><Relationship Type="http://schemas.openxmlformats.org/officeDocument/2006/relationships/hyperlink" Target="#'10 EVIDENCE &amp; DECISIONS'!A425" TargetMode="External" Id="rId429"/><Relationship Type="http://schemas.openxmlformats.org/officeDocument/2006/relationships/hyperlink" Target="#'10 EVIDENCE &amp; DECISIONS'!A426" TargetMode="External" Id="rId430"/><Relationship Type="http://schemas.openxmlformats.org/officeDocument/2006/relationships/hyperlink" Target="#'10 EVIDENCE &amp; DECISIONS'!A427" TargetMode="External" Id="rId431"/><Relationship Type="http://schemas.openxmlformats.org/officeDocument/2006/relationships/hyperlink" Target="#'10 EVIDENCE &amp; DECISIONS'!A428" TargetMode="External" Id="rId432"/><Relationship Type="http://schemas.openxmlformats.org/officeDocument/2006/relationships/hyperlink" Target="#'10 EVIDENCE &amp; DECISIONS'!A429" TargetMode="External" Id="rId433"/><Relationship Type="http://schemas.openxmlformats.org/officeDocument/2006/relationships/hyperlink" Target="#'10 EVIDENCE &amp; DECISIONS'!A430" TargetMode="External" Id="rId434"/><Relationship Type="http://schemas.openxmlformats.org/officeDocument/2006/relationships/hyperlink" Target="#'10 EVIDENCE &amp; DECISIONS'!A431" TargetMode="External" Id="rId435"/><Relationship Type="http://schemas.openxmlformats.org/officeDocument/2006/relationships/hyperlink" Target="#'10 EVIDENCE &amp; DECISIONS'!A432" TargetMode="External" Id="rId436"/><Relationship Type="http://schemas.openxmlformats.org/officeDocument/2006/relationships/hyperlink" Target="#'10 EVIDENCE &amp; DECISIONS'!A433" TargetMode="External" Id="rId437"/><Relationship Type="http://schemas.openxmlformats.org/officeDocument/2006/relationships/hyperlink" Target="#'10 EVIDENCE &amp; DECISIONS'!A434" TargetMode="External" Id="rId438"/><Relationship Type="http://schemas.openxmlformats.org/officeDocument/2006/relationships/hyperlink" Target="#'10 EVIDENCE &amp; DECISIONS'!A435" TargetMode="External" Id="rId439"/><Relationship Type="http://schemas.openxmlformats.org/officeDocument/2006/relationships/hyperlink" Target="#'10 EVIDENCE &amp; DECISIONS'!A436" TargetMode="External" Id="rId440"/><Relationship Type="http://schemas.openxmlformats.org/officeDocument/2006/relationships/hyperlink" Target="#'10 EVIDENCE &amp; DECISIONS'!A437" TargetMode="External" Id="rId441"/><Relationship Type="http://schemas.openxmlformats.org/officeDocument/2006/relationships/hyperlink" Target="#'10 EVIDENCE &amp; DECISIONS'!A438" TargetMode="External" Id="rId442"/><Relationship Type="http://schemas.openxmlformats.org/officeDocument/2006/relationships/hyperlink" Target="#'10 EVIDENCE &amp; DECISIONS'!A439" TargetMode="External" Id="rId443"/><Relationship Type="http://schemas.openxmlformats.org/officeDocument/2006/relationships/hyperlink" Target="#'10 EVIDENCE &amp; DECISIONS'!A440" TargetMode="External" Id="rId444"/><Relationship Type="http://schemas.openxmlformats.org/officeDocument/2006/relationships/hyperlink" Target="#'10 EVIDENCE &amp; DECISIONS'!A441" TargetMode="External" Id="rId445"/><Relationship Type="http://schemas.openxmlformats.org/officeDocument/2006/relationships/hyperlink" Target="#'10 EVIDENCE &amp; DECISIONS'!A442" TargetMode="External" Id="rId446"/><Relationship Type="http://schemas.openxmlformats.org/officeDocument/2006/relationships/hyperlink" Target="#'10 EVIDENCE &amp; DECISIONS'!A443" TargetMode="External" Id="rId447"/><Relationship Type="http://schemas.openxmlformats.org/officeDocument/2006/relationships/hyperlink" Target="#'10 EVIDENCE &amp; DECISIONS'!A444" TargetMode="External" Id="rId448"/><Relationship Type="http://schemas.openxmlformats.org/officeDocument/2006/relationships/hyperlink" Target="#'10 EVIDENCE &amp; DECISIONS'!A445" TargetMode="External" Id="rId449"/><Relationship Type="http://schemas.openxmlformats.org/officeDocument/2006/relationships/hyperlink" Target="#'10 EVIDENCE &amp; DECISIONS'!A446" TargetMode="External" Id="rId450"/><Relationship Type="http://schemas.openxmlformats.org/officeDocument/2006/relationships/hyperlink" Target="#'10 EVIDENCE &amp; DECISIONS'!A447" TargetMode="External" Id="rId451"/><Relationship Type="http://schemas.openxmlformats.org/officeDocument/2006/relationships/hyperlink" Target="#'10 EVIDENCE &amp; DECISIONS'!A448" TargetMode="External" Id="rId452"/><Relationship Type="http://schemas.openxmlformats.org/officeDocument/2006/relationships/hyperlink" Target="#'10 EVIDENCE &amp; DECISIONS'!A449" TargetMode="External" Id="rId453"/><Relationship Type="http://schemas.openxmlformats.org/officeDocument/2006/relationships/hyperlink" Target="#'10 EVIDENCE &amp; DECISIONS'!A450" TargetMode="External" Id="rId454"/><Relationship Type="http://schemas.openxmlformats.org/officeDocument/2006/relationships/hyperlink" Target="#'10 EVIDENCE &amp; DECISIONS'!A451" TargetMode="External" Id="rId455"/><Relationship Type="http://schemas.openxmlformats.org/officeDocument/2006/relationships/hyperlink" Target="#'10 EVIDENCE &amp; DECISIONS'!A452" TargetMode="External" Id="rId456"/><Relationship Type="http://schemas.openxmlformats.org/officeDocument/2006/relationships/hyperlink" Target="#'10 EVIDENCE &amp; DECISIONS'!A453" TargetMode="External" Id="rId457"/><Relationship Type="http://schemas.openxmlformats.org/officeDocument/2006/relationships/hyperlink" Target="#'10 EVIDENCE &amp; DECISIONS'!A454" TargetMode="External" Id="rId458"/><Relationship Type="http://schemas.openxmlformats.org/officeDocument/2006/relationships/hyperlink" Target="#'10 EVIDENCE &amp; DECISIONS'!A455" TargetMode="External" Id="rId459"/><Relationship Type="http://schemas.openxmlformats.org/officeDocument/2006/relationships/hyperlink" Target="#'10 EVIDENCE &amp; DECISIONS'!A456" TargetMode="External" Id="rId460"/><Relationship Type="http://schemas.openxmlformats.org/officeDocument/2006/relationships/hyperlink" Target="#'10 EVIDENCE &amp; DECISIONS'!A457" TargetMode="External" Id="rId461"/><Relationship Type="http://schemas.openxmlformats.org/officeDocument/2006/relationships/hyperlink" Target="#'10 EVIDENCE &amp; DECISIONS'!A458" TargetMode="External" Id="rId462"/><Relationship Type="http://schemas.openxmlformats.org/officeDocument/2006/relationships/hyperlink" Target="#'10 EVIDENCE &amp; DECISIONS'!A459" TargetMode="External" Id="rId463"/><Relationship Type="http://schemas.openxmlformats.org/officeDocument/2006/relationships/hyperlink" Target="#'10 EVIDENCE &amp; DECISIONS'!A460" TargetMode="External" Id="rId464"/><Relationship Type="http://schemas.openxmlformats.org/officeDocument/2006/relationships/hyperlink" Target="#'10 EVIDENCE &amp; DECISIONS'!A461" TargetMode="External" Id="rId465"/><Relationship Type="http://schemas.openxmlformats.org/officeDocument/2006/relationships/hyperlink" Target="#'10 EVIDENCE &amp; DECISIONS'!A462" TargetMode="External" Id="rId466"/><Relationship Type="http://schemas.openxmlformats.org/officeDocument/2006/relationships/hyperlink" Target="#'10 EVIDENCE &amp; DECISIONS'!A463" TargetMode="External" Id="rId467"/><Relationship Type="http://schemas.openxmlformats.org/officeDocument/2006/relationships/hyperlink" Target="#'10 EVIDENCE &amp; DECISIONS'!A464" TargetMode="External" Id="rId468"/><Relationship Type="http://schemas.openxmlformats.org/officeDocument/2006/relationships/hyperlink" Target="#'10 EVIDENCE &amp; DECISIONS'!A465" TargetMode="External" Id="rId469"/><Relationship Type="http://schemas.openxmlformats.org/officeDocument/2006/relationships/hyperlink" Target="#'10 EVIDENCE &amp; DECISIONS'!A466" TargetMode="External" Id="rId470"/><Relationship Type="http://schemas.openxmlformats.org/officeDocument/2006/relationships/hyperlink" Target="#'10 EVIDENCE &amp; DECISIONS'!A467" TargetMode="External" Id="rId471"/><Relationship Type="http://schemas.openxmlformats.org/officeDocument/2006/relationships/hyperlink" Target="#'10 EVIDENCE &amp; DECISIONS'!A468" TargetMode="External" Id="rId472"/><Relationship Type="http://schemas.openxmlformats.org/officeDocument/2006/relationships/hyperlink" Target="#'10 EVIDENCE &amp; DECISIONS'!A469" TargetMode="External" Id="rId473"/><Relationship Type="http://schemas.openxmlformats.org/officeDocument/2006/relationships/hyperlink" Target="#'10 EVIDENCE &amp; DECISIONS'!A470" TargetMode="External" Id="rId474"/><Relationship Type="http://schemas.openxmlformats.org/officeDocument/2006/relationships/hyperlink" Target="#'10 EVIDENCE &amp; DECISIONS'!A471" TargetMode="External" Id="rId475"/><Relationship Type="http://schemas.openxmlformats.org/officeDocument/2006/relationships/hyperlink" Target="#'10 EVIDENCE &amp; DECISIONS'!A472" TargetMode="External" Id="rId476"/><Relationship Type="http://schemas.openxmlformats.org/officeDocument/2006/relationships/hyperlink" Target="#'10 EVIDENCE &amp; DECISIONS'!A473" TargetMode="External" Id="rId477"/><Relationship Type="http://schemas.openxmlformats.org/officeDocument/2006/relationships/hyperlink" Target="#'10 EVIDENCE &amp; DECISIONS'!A474" TargetMode="External" Id="rId478"/><Relationship Type="http://schemas.openxmlformats.org/officeDocument/2006/relationships/hyperlink" Target="#'10 EVIDENCE &amp; DECISIONS'!A475" TargetMode="External" Id="rId479"/><Relationship Type="http://schemas.openxmlformats.org/officeDocument/2006/relationships/hyperlink" Target="#'10 EVIDENCE &amp; DECISIONS'!A476" TargetMode="External" Id="rId480"/><Relationship Type="http://schemas.openxmlformats.org/officeDocument/2006/relationships/hyperlink" Target="#'10 EVIDENCE &amp; DECISIONS'!A477" TargetMode="External" Id="rId481"/><Relationship Type="http://schemas.openxmlformats.org/officeDocument/2006/relationships/hyperlink" Target="#'10 EVIDENCE &amp; DECISIONS'!A478" TargetMode="External" Id="rId482"/><Relationship Type="http://schemas.openxmlformats.org/officeDocument/2006/relationships/hyperlink" Target="#'10 EVIDENCE &amp; DECISIONS'!A479" TargetMode="External" Id="rId483"/><Relationship Type="http://schemas.openxmlformats.org/officeDocument/2006/relationships/hyperlink" Target="#'10 EVIDENCE &amp; DECISIONS'!A480" TargetMode="External" Id="rId484"/><Relationship Type="http://schemas.openxmlformats.org/officeDocument/2006/relationships/hyperlink" Target="#'10 EVIDENCE &amp; DECISIONS'!A481" TargetMode="External" Id="rId485"/><Relationship Type="http://schemas.openxmlformats.org/officeDocument/2006/relationships/hyperlink" Target="#'10 EVIDENCE &amp; DECISIONS'!A482" TargetMode="External" Id="rId486"/><Relationship Type="http://schemas.openxmlformats.org/officeDocument/2006/relationships/hyperlink" Target="#'10 EVIDENCE &amp; DECISIONS'!A483" TargetMode="External" Id="rId487"/><Relationship Type="http://schemas.openxmlformats.org/officeDocument/2006/relationships/hyperlink" Target="#'10 EVIDENCE &amp; DECISIONS'!A484" TargetMode="External" Id="rId488"/><Relationship Type="http://schemas.openxmlformats.org/officeDocument/2006/relationships/hyperlink" Target="#'10 EVIDENCE &amp; DECISIONS'!A485" TargetMode="External" Id="rId489"/><Relationship Type="http://schemas.openxmlformats.org/officeDocument/2006/relationships/hyperlink" Target="#'10 EVIDENCE &amp; DECISIONS'!A486" TargetMode="External" Id="rId490"/><Relationship Type="http://schemas.openxmlformats.org/officeDocument/2006/relationships/hyperlink" Target="#'10 EVIDENCE &amp; DECISIONS'!A487" TargetMode="External" Id="rId491"/><Relationship Type="http://schemas.openxmlformats.org/officeDocument/2006/relationships/hyperlink" Target="#'10 EVIDENCE &amp; DECISIONS'!A488" TargetMode="External" Id="rId492"/><Relationship Type="http://schemas.openxmlformats.org/officeDocument/2006/relationships/hyperlink" Target="#'10 EVIDENCE &amp; DECISIONS'!A489" TargetMode="External" Id="rId493"/><Relationship Type="http://schemas.openxmlformats.org/officeDocument/2006/relationships/hyperlink" Target="#'10 EVIDENCE &amp; DECISIONS'!A490" TargetMode="External" Id="rId494"/><Relationship Type="http://schemas.openxmlformats.org/officeDocument/2006/relationships/hyperlink" Target="#'10 EVIDENCE &amp; DECISIONS'!A491" TargetMode="External" Id="rId495"/><Relationship Type="http://schemas.openxmlformats.org/officeDocument/2006/relationships/hyperlink" Target="#'10 EVIDENCE &amp; DECISIONS'!A492" TargetMode="External" Id="rId496"/><Relationship Type="http://schemas.openxmlformats.org/officeDocument/2006/relationships/hyperlink" Target="#'10 EVIDENCE &amp; DECISIONS'!A493" TargetMode="External" Id="rId497"/><Relationship Type="http://schemas.openxmlformats.org/officeDocument/2006/relationships/hyperlink" Target="#'10 EVIDENCE &amp; DECISIONS'!A494" TargetMode="External" Id="rId498"/><Relationship Type="http://schemas.openxmlformats.org/officeDocument/2006/relationships/hyperlink" Target="#'10 EVIDENCE &amp; DECISIONS'!A495" TargetMode="External" Id="rId499"/><Relationship Type="http://schemas.openxmlformats.org/officeDocument/2006/relationships/hyperlink" Target="#'10 EVIDENCE &amp; DECISIONS'!A496" TargetMode="External" Id="rId500"/><Relationship Type="http://schemas.openxmlformats.org/officeDocument/2006/relationships/hyperlink" Target="#'10 EVIDENCE &amp; DECISIONS'!A497" TargetMode="External" Id="rId501"/><Relationship Type="http://schemas.openxmlformats.org/officeDocument/2006/relationships/hyperlink" Target="#'10 EVIDENCE &amp; DECISIONS'!A498" TargetMode="External" Id="rId502"/><Relationship Type="http://schemas.openxmlformats.org/officeDocument/2006/relationships/hyperlink" Target="#'10 EVIDENCE &amp; DECISIONS'!A499" TargetMode="External" Id="rId503"/><Relationship Type="http://schemas.openxmlformats.org/officeDocument/2006/relationships/hyperlink" Target="#'10 EVIDENCE &amp; DECISIONS'!A500" TargetMode="External" Id="rId504"/><Relationship Type="http://schemas.openxmlformats.org/officeDocument/2006/relationships/hyperlink" Target="#'10 EVIDENCE &amp; DECISIONS'!A501" TargetMode="External" Id="rId505"/><Relationship Type="http://schemas.openxmlformats.org/officeDocument/2006/relationships/hyperlink" Target="#'10 EVIDENCE &amp; DECISIONS'!A502" TargetMode="External" Id="rId506"/><Relationship Type="http://schemas.openxmlformats.org/officeDocument/2006/relationships/hyperlink" Target="#'10 EVIDENCE &amp; DECISIONS'!A503" TargetMode="External" Id="rId507"/><Relationship Type="http://schemas.openxmlformats.org/officeDocument/2006/relationships/hyperlink" Target="#'10 EVIDENCE &amp; DECISIONS'!A504" TargetMode="External" Id="rId508"/><Relationship Type="http://schemas.openxmlformats.org/officeDocument/2006/relationships/hyperlink" Target="#'10 EVIDENCE &amp; DECISIONS'!A505" TargetMode="External" Id="rId509"/><Relationship Type="http://schemas.openxmlformats.org/officeDocument/2006/relationships/hyperlink" Target="#'10 EVIDENCE &amp; DECISIONS'!A506" TargetMode="External" Id="rId510"/><Relationship Type="http://schemas.openxmlformats.org/officeDocument/2006/relationships/hyperlink" Target="#'10 EVIDENCE &amp; DECISIONS'!A507" TargetMode="External" Id="rId511"/><Relationship Type="http://schemas.openxmlformats.org/officeDocument/2006/relationships/hyperlink" Target="#'10 EVIDENCE &amp; DECISIONS'!A508" TargetMode="External" Id="rId512"/><Relationship Type="http://schemas.openxmlformats.org/officeDocument/2006/relationships/hyperlink" Target="#'10 EVIDENCE &amp; DECISIONS'!A509" TargetMode="External" Id="rId513"/><Relationship Type="http://schemas.openxmlformats.org/officeDocument/2006/relationships/hyperlink" Target="#'10 EVIDENCE &amp; DECISIONS'!A510" TargetMode="External" Id="rId514"/><Relationship Type="http://schemas.openxmlformats.org/officeDocument/2006/relationships/hyperlink" Target="#'10 EVIDENCE &amp; DECISIONS'!A511" TargetMode="External" Id="rId515"/><Relationship Type="http://schemas.openxmlformats.org/officeDocument/2006/relationships/hyperlink" Target="#'10 EVIDENCE &amp; DECISIONS'!A512" TargetMode="External" Id="rId516"/><Relationship Type="http://schemas.openxmlformats.org/officeDocument/2006/relationships/hyperlink" Target="#'10 EVIDENCE &amp; DECISIONS'!A513" TargetMode="External" Id="rId517"/><Relationship Type="http://schemas.openxmlformats.org/officeDocument/2006/relationships/hyperlink" Target="#'10 EVIDENCE &amp; DECISIONS'!A514" TargetMode="External" Id="rId518"/><Relationship Type="http://schemas.openxmlformats.org/officeDocument/2006/relationships/hyperlink" Target="#'10 EVIDENCE &amp; DECISIONS'!A515" TargetMode="External" Id="rId519"/><Relationship Type="http://schemas.openxmlformats.org/officeDocument/2006/relationships/hyperlink" Target="#'10 EVIDENCE &amp; DECISIONS'!A516" TargetMode="External" Id="rId520"/><Relationship Type="http://schemas.openxmlformats.org/officeDocument/2006/relationships/hyperlink" Target="#'10 EVIDENCE &amp; DECISIONS'!A517" TargetMode="External" Id="rId521"/><Relationship Type="http://schemas.openxmlformats.org/officeDocument/2006/relationships/hyperlink" Target="#'10 EVIDENCE &amp; DECISIONS'!A518" TargetMode="External" Id="rId522"/><Relationship Type="http://schemas.openxmlformats.org/officeDocument/2006/relationships/hyperlink" Target="#'10 EVIDENCE &amp; DECISIONS'!A519" TargetMode="External" Id="rId523"/><Relationship Type="http://schemas.openxmlformats.org/officeDocument/2006/relationships/hyperlink" Target="#'10 EVIDENCE &amp; DECISIONS'!A520" TargetMode="External" Id="rId524"/><Relationship Type="http://schemas.openxmlformats.org/officeDocument/2006/relationships/hyperlink" Target="#'10 EVIDENCE &amp; DECISIONS'!A521" TargetMode="External" Id="rId525"/><Relationship Type="http://schemas.openxmlformats.org/officeDocument/2006/relationships/hyperlink" Target="#'10 EVIDENCE &amp; DECISIONS'!A522" TargetMode="External" Id="rId526"/><Relationship Type="http://schemas.openxmlformats.org/officeDocument/2006/relationships/hyperlink" Target="#'10 EVIDENCE &amp; DECISIONS'!A523" TargetMode="External" Id="rId527"/><Relationship Type="http://schemas.openxmlformats.org/officeDocument/2006/relationships/hyperlink" Target="#'10 EVIDENCE &amp; DECISIONS'!A524" TargetMode="External" Id="rId528"/><Relationship Type="http://schemas.openxmlformats.org/officeDocument/2006/relationships/hyperlink" Target="#'10 EVIDENCE &amp; DECISIONS'!A525" TargetMode="External" Id="rId529"/><Relationship Type="http://schemas.openxmlformats.org/officeDocument/2006/relationships/hyperlink" Target="#'10 EVIDENCE &amp; DECISIONS'!A526" TargetMode="External" Id="rId530"/><Relationship Type="http://schemas.openxmlformats.org/officeDocument/2006/relationships/hyperlink" Target="#'10 EVIDENCE &amp; DECISIONS'!A527" TargetMode="External" Id="rId531"/><Relationship Type="http://schemas.openxmlformats.org/officeDocument/2006/relationships/hyperlink" Target="#'10 EVIDENCE &amp; DECISIONS'!A528" TargetMode="External" Id="rId532"/><Relationship Type="http://schemas.openxmlformats.org/officeDocument/2006/relationships/hyperlink" Target="#'10 EVIDENCE &amp; DECISIONS'!A529" TargetMode="External" Id="rId533"/><Relationship Type="http://schemas.openxmlformats.org/officeDocument/2006/relationships/hyperlink" Target="#'10 EVIDENCE &amp; DECISIONS'!A530" TargetMode="External" Id="rId534"/><Relationship Type="http://schemas.openxmlformats.org/officeDocument/2006/relationships/hyperlink" Target="#'10 EVIDENCE &amp; DECISIONS'!A531" TargetMode="External" Id="rId535"/><Relationship Type="http://schemas.openxmlformats.org/officeDocument/2006/relationships/hyperlink" Target="#'10 EVIDENCE &amp; DECISIONS'!A532" TargetMode="External" Id="rId536"/><Relationship Type="http://schemas.openxmlformats.org/officeDocument/2006/relationships/hyperlink" Target="#'10 EVIDENCE &amp; DECISIONS'!A533" TargetMode="External" Id="rId537"/><Relationship Type="http://schemas.openxmlformats.org/officeDocument/2006/relationships/hyperlink" Target="#'10 EVIDENCE &amp; DECISIONS'!A534" TargetMode="External" Id="rId538"/><Relationship Type="http://schemas.openxmlformats.org/officeDocument/2006/relationships/hyperlink" Target="#'10 EVIDENCE &amp; DECISIONS'!A535" TargetMode="External" Id="rId539"/><Relationship Type="http://schemas.openxmlformats.org/officeDocument/2006/relationships/hyperlink" Target="#'10 EVIDENCE &amp; DECISIONS'!A536" TargetMode="External" Id="rId540"/><Relationship Type="http://schemas.openxmlformats.org/officeDocument/2006/relationships/hyperlink" Target="#'10 EVIDENCE &amp; DECISIONS'!A537" TargetMode="External" Id="rId541"/><Relationship Type="http://schemas.openxmlformats.org/officeDocument/2006/relationships/hyperlink" Target="#'10 EVIDENCE &amp; DECISIONS'!A538" TargetMode="External" Id="rId542"/><Relationship Type="http://schemas.openxmlformats.org/officeDocument/2006/relationships/hyperlink" Target="#'10 EVIDENCE &amp; DECISIONS'!A539" TargetMode="External" Id="rId543"/><Relationship Type="http://schemas.openxmlformats.org/officeDocument/2006/relationships/hyperlink" Target="#'10 EVIDENCE &amp; DECISIONS'!A540" TargetMode="External" Id="rId544"/><Relationship Type="http://schemas.openxmlformats.org/officeDocument/2006/relationships/hyperlink" Target="#'10 EVIDENCE &amp; DECISIONS'!A541" TargetMode="External" Id="rId545"/><Relationship Type="http://schemas.openxmlformats.org/officeDocument/2006/relationships/hyperlink" Target="#'10 EVIDENCE &amp; DECISIONS'!A542" TargetMode="External" Id="rId546"/><Relationship Type="http://schemas.openxmlformats.org/officeDocument/2006/relationships/hyperlink" Target="#'10 EVIDENCE &amp; DECISIONS'!A543" TargetMode="External" Id="rId547"/><Relationship Type="http://schemas.openxmlformats.org/officeDocument/2006/relationships/hyperlink" Target="#'10 EVIDENCE &amp; DECISIONS'!A544" TargetMode="External" Id="rId548"/><Relationship Type="http://schemas.openxmlformats.org/officeDocument/2006/relationships/hyperlink" Target="#'10 EVIDENCE &amp; DECISIONS'!A545" TargetMode="External" Id="rId549"/><Relationship Type="http://schemas.openxmlformats.org/officeDocument/2006/relationships/hyperlink" Target="#'10 EVIDENCE &amp; DECISIONS'!A546" TargetMode="External" Id="rId550"/><Relationship Type="http://schemas.openxmlformats.org/officeDocument/2006/relationships/hyperlink" Target="#'10 EVIDENCE &amp; DECISIONS'!A547" TargetMode="External" Id="rId551"/><Relationship Type="http://schemas.openxmlformats.org/officeDocument/2006/relationships/hyperlink" Target="#'10 EVIDENCE &amp; DECISIONS'!A548" TargetMode="External" Id="rId552"/><Relationship Type="http://schemas.openxmlformats.org/officeDocument/2006/relationships/hyperlink" Target="#'10 EVIDENCE &amp; DECISIONS'!A549" TargetMode="External" Id="rId553"/><Relationship Type="http://schemas.openxmlformats.org/officeDocument/2006/relationships/hyperlink" Target="#'10 EVIDENCE &amp; DECISIONS'!A550" TargetMode="External" Id="rId554"/><Relationship Type="http://schemas.openxmlformats.org/officeDocument/2006/relationships/hyperlink" Target="#'10 EVIDENCE &amp; DECISIONS'!A551" TargetMode="External" Id="rId555"/><Relationship Type="http://schemas.openxmlformats.org/officeDocument/2006/relationships/hyperlink" Target="#'10 EVIDENCE &amp; DECISIONS'!A552" TargetMode="External" Id="rId556"/><Relationship Type="http://schemas.openxmlformats.org/officeDocument/2006/relationships/hyperlink" Target="#'10 EVIDENCE &amp; DECISIONS'!A553" TargetMode="External" Id="rId557"/><Relationship Type="http://schemas.openxmlformats.org/officeDocument/2006/relationships/hyperlink" Target="#'10 EVIDENCE &amp; DECISIONS'!A554" TargetMode="External" Id="rId558"/><Relationship Type="http://schemas.openxmlformats.org/officeDocument/2006/relationships/hyperlink" Target="#'10 EVIDENCE &amp; DECISIONS'!A555" TargetMode="External" Id="rId559"/><Relationship Type="http://schemas.openxmlformats.org/officeDocument/2006/relationships/hyperlink" Target="#'10 EVIDENCE &amp; DECISIONS'!A556" TargetMode="External" Id="rId560"/><Relationship Type="http://schemas.openxmlformats.org/officeDocument/2006/relationships/hyperlink" Target="#'10 EVIDENCE &amp; DECISIONS'!A557" TargetMode="External" Id="rId561"/><Relationship Type="http://schemas.openxmlformats.org/officeDocument/2006/relationships/hyperlink" Target="#'10 EVIDENCE &amp; DECISIONS'!A558" TargetMode="External" Id="rId562"/><Relationship Type="http://schemas.openxmlformats.org/officeDocument/2006/relationships/hyperlink" Target="#'10 EVIDENCE &amp; DECISIONS'!A559" TargetMode="External" Id="rId563"/><Relationship Type="http://schemas.openxmlformats.org/officeDocument/2006/relationships/hyperlink" Target="#'10 EVIDENCE &amp; DECISIONS'!A560" TargetMode="External" Id="rId564"/><Relationship Type="http://schemas.openxmlformats.org/officeDocument/2006/relationships/hyperlink" Target="#'10 EVIDENCE &amp; DECISIONS'!A561" TargetMode="External" Id="rId565"/><Relationship Type="http://schemas.openxmlformats.org/officeDocument/2006/relationships/hyperlink" Target="#'10 EVIDENCE &amp; DECISIONS'!A562" TargetMode="External" Id="rId566"/><Relationship Type="http://schemas.openxmlformats.org/officeDocument/2006/relationships/hyperlink" Target="#'10 EVIDENCE &amp; DECISIONS'!A563" TargetMode="External" Id="rId567"/><Relationship Type="http://schemas.openxmlformats.org/officeDocument/2006/relationships/hyperlink" Target="#'10 EVIDENCE &amp; DECISIONS'!A564" TargetMode="External" Id="rId568"/><Relationship Type="http://schemas.openxmlformats.org/officeDocument/2006/relationships/hyperlink" Target="#'10 EVIDENCE &amp; DECISIONS'!A565" TargetMode="External" Id="rId569"/><Relationship Type="http://schemas.openxmlformats.org/officeDocument/2006/relationships/hyperlink" Target="#'10 EVIDENCE &amp; DECISIONS'!A566" TargetMode="External" Id="rId570"/><Relationship Type="http://schemas.openxmlformats.org/officeDocument/2006/relationships/hyperlink" Target="#'10 EVIDENCE &amp; DECISIONS'!A567" TargetMode="External" Id="rId571"/><Relationship Type="http://schemas.openxmlformats.org/officeDocument/2006/relationships/hyperlink" Target="#'10 EVIDENCE &amp; DECISIONS'!A568" TargetMode="External" Id="rId572"/><Relationship Type="http://schemas.openxmlformats.org/officeDocument/2006/relationships/hyperlink" Target="#'10 EVIDENCE &amp; DECISIONS'!A569" TargetMode="External" Id="rId573"/><Relationship Type="http://schemas.openxmlformats.org/officeDocument/2006/relationships/hyperlink" Target="#'10 EVIDENCE &amp; DECISIONS'!A570" TargetMode="External" Id="rId574"/><Relationship Type="http://schemas.openxmlformats.org/officeDocument/2006/relationships/hyperlink" Target="#'10 EVIDENCE &amp; DECISIONS'!A571" TargetMode="External" Id="rId575"/><Relationship Type="http://schemas.openxmlformats.org/officeDocument/2006/relationships/hyperlink" Target="#'10 EVIDENCE &amp; DECISIONS'!A572" TargetMode="External" Id="rId576"/><Relationship Type="http://schemas.openxmlformats.org/officeDocument/2006/relationships/hyperlink" Target="#'10 EVIDENCE &amp; DECISIONS'!A573" TargetMode="External" Id="rId577"/><Relationship Type="http://schemas.openxmlformats.org/officeDocument/2006/relationships/hyperlink" Target="#'10 EVIDENCE &amp; DECISIONS'!A574" TargetMode="External" Id="rId578"/><Relationship Type="http://schemas.openxmlformats.org/officeDocument/2006/relationships/hyperlink" Target="#'10 EVIDENCE &amp; DECISIONS'!A575" TargetMode="External" Id="rId579"/><Relationship Type="http://schemas.openxmlformats.org/officeDocument/2006/relationships/hyperlink" Target="#'10 EVIDENCE &amp; DECISIONS'!A576" TargetMode="External" Id="rId580"/><Relationship Type="http://schemas.openxmlformats.org/officeDocument/2006/relationships/hyperlink" Target="#'10 EVIDENCE &amp; DECISIONS'!A577" TargetMode="External" Id="rId581"/><Relationship Type="http://schemas.openxmlformats.org/officeDocument/2006/relationships/hyperlink" Target="#'10 EVIDENCE &amp; DECISIONS'!A578" TargetMode="External" Id="rId582"/><Relationship Type="http://schemas.openxmlformats.org/officeDocument/2006/relationships/hyperlink" Target="#'10 EVIDENCE &amp; DECISIONS'!A579" TargetMode="External" Id="rId583"/><Relationship Type="http://schemas.openxmlformats.org/officeDocument/2006/relationships/hyperlink" Target="#'10 EVIDENCE &amp; DECISIONS'!A580" TargetMode="External" Id="rId584"/><Relationship Type="http://schemas.openxmlformats.org/officeDocument/2006/relationships/hyperlink" Target="#'10 EVIDENCE &amp; DECISIONS'!A581" TargetMode="External" Id="rId585"/><Relationship Type="http://schemas.openxmlformats.org/officeDocument/2006/relationships/hyperlink" Target="#'10 EVIDENCE &amp; DECISIONS'!A582" TargetMode="External" Id="rId586"/><Relationship Type="http://schemas.openxmlformats.org/officeDocument/2006/relationships/hyperlink" Target="#'10 EVIDENCE &amp; DECISIONS'!A583" TargetMode="External" Id="rId587"/><Relationship Type="http://schemas.openxmlformats.org/officeDocument/2006/relationships/hyperlink" Target="#'10 EVIDENCE &amp; DECISIONS'!A584" TargetMode="External" Id="rId588"/><Relationship Type="http://schemas.openxmlformats.org/officeDocument/2006/relationships/hyperlink" Target="#'10 EVIDENCE &amp; DECISIONS'!A585" TargetMode="External" Id="rId589"/><Relationship Type="http://schemas.openxmlformats.org/officeDocument/2006/relationships/hyperlink" Target="#'10 EVIDENCE &amp; DECISIONS'!A586" TargetMode="External" Id="rId590"/><Relationship Type="http://schemas.openxmlformats.org/officeDocument/2006/relationships/hyperlink" Target="#'10 EVIDENCE &amp; DECISIONS'!A587" TargetMode="External" Id="rId591"/><Relationship Type="http://schemas.openxmlformats.org/officeDocument/2006/relationships/hyperlink" Target="#'10 EVIDENCE &amp; DECISIONS'!A588" TargetMode="External" Id="rId592"/><Relationship Type="http://schemas.openxmlformats.org/officeDocument/2006/relationships/hyperlink" Target="#'10 EVIDENCE &amp; DECISIONS'!A589" TargetMode="External" Id="rId593"/><Relationship Type="http://schemas.openxmlformats.org/officeDocument/2006/relationships/hyperlink" Target="#'10 EVIDENCE &amp; DECISIONS'!A590" TargetMode="External" Id="rId594"/><Relationship Type="http://schemas.openxmlformats.org/officeDocument/2006/relationships/hyperlink" Target="#'10 EVIDENCE &amp; DECISIONS'!A591" TargetMode="External" Id="rId595"/><Relationship Type="http://schemas.openxmlformats.org/officeDocument/2006/relationships/hyperlink" Target="#'10 EVIDENCE &amp; DECISIONS'!A592" TargetMode="External" Id="rId596"/><Relationship Type="http://schemas.openxmlformats.org/officeDocument/2006/relationships/hyperlink" Target="#'10 EVIDENCE &amp; DECISIONS'!A593" TargetMode="External" Id="rId597"/><Relationship Type="http://schemas.openxmlformats.org/officeDocument/2006/relationships/hyperlink" Target="#'10 EVIDENCE &amp; DECISIONS'!A594" TargetMode="External" Id="rId598"/><Relationship Type="http://schemas.openxmlformats.org/officeDocument/2006/relationships/hyperlink" Target="#'10 EVIDENCE &amp; DECISIONS'!A595" TargetMode="External" Id="rId599"/><Relationship Type="http://schemas.openxmlformats.org/officeDocument/2006/relationships/hyperlink" Target="#'10 EVIDENCE &amp; DECISIONS'!A596" TargetMode="External" Id="rId600"/><Relationship Type="http://schemas.openxmlformats.org/officeDocument/2006/relationships/hyperlink" Target="#'10 EVIDENCE &amp; DECISIONS'!A597" TargetMode="External" Id="rId601"/><Relationship Type="http://schemas.openxmlformats.org/officeDocument/2006/relationships/hyperlink" Target="#'10 EVIDENCE &amp; DECISIONS'!A598" TargetMode="External" Id="rId602"/><Relationship Type="http://schemas.openxmlformats.org/officeDocument/2006/relationships/hyperlink" Target="#'10 EVIDENCE &amp; DECISIONS'!A599" TargetMode="External" Id="rId603"/><Relationship Type="http://schemas.openxmlformats.org/officeDocument/2006/relationships/hyperlink" Target="#'10 EVIDENCE &amp; DECISIONS'!A600" TargetMode="External" Id="rId604"/><Relationship Type="http://schemas.openxmlformats.org/officeDocument/2006/relationships/hyperlink" Target="#'10 EVIDENCE &amp; DECISIONS'!A601" TargetMode="External" Id="rId605"/><Relationship Type="http://schemas.openxmlformats.org/officeDocument/2006/relationships/hyperlink" Target="#'10 EVIDENCE &amp; DECISIONS'!A602" TargetMode="External" Id="rId606"/><Relationship Type="http://schemas.openxmlformats.org/officeDocument/2006/relationships/hyperlink" Target="#'10 EVIDENCE &amp; DECISIONS'!A603" TargetMode="External" Id="rId607"/><Relationship Type="http://schemas.openxmlformats.org/officeDocument/2006/relationships/hyperlink" Target="#'10 EVIDENCE &amp; DECISIONS'!A604" TargetMode="External" Id="rId608"/><Relationship Type="http://schemas.openxmlformats.org/officeDocument/2006/relationships/hyperlink" Target="#'10 EVIDENCE &amp; DECISIONS'!A605" TargetMode="External" Id="rId609"/><Relationship Type="http://schemas.openxmlformats.org/officeDocument/2006/relationships/hyperlink" Target="#'10 EVIDENCE &amp; DECISIONS'!A606" TargetMode="External" Id="rId610"/><Relationship Type="http://schemas.openxmlformats.org/officeDocument/2006/relationships/hyperlink" Target="#'10 EVIDENCE &amp; DECISIONS'!A607" TargetMode="External" Id="rId611"/><Relationship Type="http://schemas.openxmlformats.org/officeDocument/2006/relationships/hyperlink" Target="#'10 EVIDENCE &amp; DECISIONS'!A608" TargetMode="External" Id="rId612"/><Relationship Type="http://schemas.openxmlformats.org/officeDocument/2006/relationships/hyperlink" Target="#'10 EVIDENCE &amp; DECISIONS'!A609" TargetMode="External" Id="rId613"/><Relationship Type="http://schemas.openxmlformats.org/officeDocument/2006/relationships/hyperlink" Target="#'10 EVIDENCE &amp; DECISIONS'!A610" TargetMode="External" Id="rId614"/><Relationship Type="http://schemas.openxmlformats.org/officeDocument/2006/relationships/hyperlink" Target="#'10 EVIDENCE &amp; DECISIONS'!A611" TargetMode="External" Id="rId615"/><Relationship Type="http://schemas.openxmlformats.org/officeDocument/2006/relationships/hyperlink" Target="#'10 EVIDENCE &amp; DECISIONS'!A612" TargetMode="External" Id="rId616"/><Relationship Type="http://schemas.openxmlformats.org/officeDocument/2006/relationships/hyperlink" Target="#'10 EVIDENCE &amp; DECISIONS'!A613" TargetMode="External" Id="rId617"/><Relationship Type="http://schemas.openxmlformats.org/officeDocument/2006/relationships/hyperlink" Target="#'10 EVIDENCE &amp; DECISIONS'!A614" TargetMode="External" Id="rId618"/><Relationship Type="http://schemas.openxmlformats.org/officeDocument/2006/relationships/hyperlink" Target="#'10 EVIDENCE &amp; DECISIONS'!A615" TargetMode="External" Id="rId619"/><Relationship Type="http://schemas.openxmlformats.org/officeDocument/2006/relationships/hyperlink" Target="#'10 EVIDENCE &amp; DECISIONS'!A616" TargetMode="External" Id="rId620"/><Relationship Type="http://schemas.openxmlformats.org/officeDocument/2006/relationships/hyperlink" Target="#'10 EVIDENCE &amp; DECISIONS'!A617" TargetMode="External" Id="rId621"/><Relationship Type="http://schemas.openxmlformats.org/officeDocument/2006/relationships/hyperlink" Target="#'10 EVIDENCE &amp; DECISIONS'!A618" TargetMode="External" Id="rId622"/><Relationship Type="http://schemas.openxmlformats.org/officeDocument/2006/relationships/hyperlink" Target="#'10 EVIDENCE &amp; DECISIONS'!A619" TargetMode="External" Id="rId623"/><Relationship Type="http://schemas.openxmlformats.org/officeDocument/2006/relationships/hyperlink" Target="#'10 EVIDENCE &amp; DECISIONS'!A620" TargetMode="External" Id="rId624"/><Relationship Type="http://schemas.openxmlformats.org/officeDocument/2006/relationships/hyperlink" Target="#'10 EVIDENCE &amp; DECISIONS'!A621" TargetMode="External" Id="rId625"/><Relationship Type="http://schemas.openxmlformats.org/officeDocument/2006/relationships/hyperlink" Target="#'10 EVIDENCE &amp; DECISIONS'!A622" TargetMode="External" Id="rId626"/><Relationship Type="http://schemas.openxmlformats.org/officeDocument/2006/relationships/hyperlink" Target="#'10 EVIDENCE &amp; DECISIONS'!A623" TargetMode="External" Id="rId627"/><Relationship Type="http://schemas.openxmlformats.org/officeDocument/2006/relationships/hyperlink" Target="#'10 EVIDENCE &amp; DECISIONS'!A624" TargetMode="External" Id="rId628"/><Relationship Type="http://schemas.openxmlformats.org/officeDocument/2006/relationships/hyperlink" Target="#'10 EVIDENCE &amp; DECISIONS'!A625" TargetMode="External" Id="rId629"/><Relationship Type="http://schemas.openxmlformats.org/officeDocument/2006/relationships/hyperlink" Target="#'10 EVIDENCE &amp; DECISIONS'!A626" TargetMode="External" Id="rId630"/><Relationship Type="http://schemas.openxmlformats.org/officeDocument/2006/relationships/hyperlink" Target="#'10 EVIDENCE &amp; DECISIONS'!A627" TargetMode="External" Id="rId631"/><Relationship Type="http://schemas.openxmlformats.org/officeDocument/2006/relationships/hyperlink" Target="#'10 EVIDENCE &amp; DECISIONS'!A628" TargetMode="External" Id="rId632"/><Relationship Type="http://schemas.openxmlformats.org/officeDocument/2006/relationships/hyperlink" Target="#'10 EVIDENCE &amp; DECISIONS'!A629" TargetMode="External" Id="rId633"/><Relationship Type="http://schemas.openxmlformats.org/officeDocument/2006/relationships/hyperlink" Target="#'10 EVIDENCE &amp; DECISIONS'!A630" TargetMode="External" Id="rId634"/><Relationship Type="http://schemas.openxmlformats.org/officeDocument/2006/relationships/hyperlink" Target="#'10 EVIDENCE &amp; DECISIONS'!A631" TargetMode="External" Id="rId635"/><Relationship Type="http://schemas.openxmlformats.org/officeDocument/2006/relationships/hyperlink" Target="#'10 EVIDENCE &amp; DECISIONS'!A632" TargetMode="External" Id="rId636"/><Relationship Type="http://schemas.openxmlformats.org/officeDocument/2006/relationships/hyperlink" Target="#'10 EVIDENCE &amp; DECISIONS'!A633" TargetMode="External" Id="rId637"/><Relationship Type="http://schemas.openxmlformats.org/officeDocument/2006/relationships/hyperlink" Target="#'10 EVIDENCE &amp; DECISIONS'!A634" TargetMode="External" Id="rId638"/><Relationship Type="http://schemas.openxmlformats.org/officeDocument/2006/relationships/hyperlink" Target="#'10 EVIDENCE &amp; DECISIONS'!A635" TargetMode="External" Id="rId639"/><Relationship Type="http://schemas.openxmlformats.org/officeDocument/2006/relationships/hyperlink" Target="#'10 EVIDENCE &amp; DECISIONS'!A636" TargetMode="External" Id="rId640"/><Relationship Type="http://schemas.openxmlformats.org/officeDocument/2006/relationships/hyperlink" Target="#'10 EVIDENCE &amp; DECISIONS'!A637" TargetMode="External" Id="rId641"/><Relationship Type="http://schemas.openxmlformats.org/officeDocument/2006/relationships/hyperlink" Target="#'10 EVIDENCE &amp; DECISIONS'!A638" TargetMode="External" Id="rId642"/><Relationship Type="http://schemas.openxmlformats.org/officeDocument/2006/relationships/hyperlink" Target="#'10 EVIDENCE &amp; DECISIONS'!A639" TargetMode="External" Id="rId643"/><Relationship Type="http://schemas.openxmlformats.org/officeDocument/2006/relationships/hyperlink" Target="#'10 EVIDENCE &amp; DECISIONS'!A640" TargetMode="External" Id="rId644"/><Relationship Type="http://schemas.openxmlformats.org/officeDocument/2006/relationships/hyperlink" Target="#'10 EVIDENCE &amp; DECISIONS'!A641" TargetMode="External" Id="rId645"/><Relationship Type="http://schemas.openxmlformats.org/officeDocument/2006/relationships/hyperlink" Target="#'10 EVIDENCE &amp; DECISIONS'!A642" TargetMode="External" Id="rId646"/><Relationship Type="http://schemas.openxmlformats.org/officeDocument/2006/relationships/hyperlink" Target="#'10 EVIDENCE &amp; DECISIONS'!A643" TargetMode="External" Id="rId647"/><Relationship Type="http://schemas.openxmlformats.org/officeDocument/2006/relationships/hyperlink" Target="#'10 EVIDENCE &amp; DECISIONS'!A644" TargetMode="External" Id="rId648"/><Relationship Type="http://schemas.openxmlformats.org/officeDocument/2006/relationships/hyperlink" Target="#'10 EVIDENCE &amp; DECISIONS'!A645" TargetMode="External" Id="rId649"/><Relationship Type="http://schemas.openxmlformats.org/officeDocument/2006/relationships/hyperlink" Target="#'10 EVIDENCE &amp; DECISIONS'!A646" TargetMode="External" Id="rId650"/><Relationship Type="http://schemas.openxmlformats.org/officeDocument/2006/relationships/hyperlink" Target="#'10 EVIDENCE &amp; DECISIONS'!A647" TargetMode="External" Id="rId651"/><Relationship Type="http://schemas.openxmlformats.org/officeDocument/2006/relationships/hyperlink" Target="#'10 EVIDENCE &amp; DECISIONS'!A648" TargetMode="External" Id="rId652"/><Relationship Type="http://schemas.openxmlformats.org/officeDocument/2006/relationships/hyperlink" Target="#'10 EVIDENCE &amp; DECISIONS'!A649" TargetMode="External" Id="rId653"/><Relationship Type="http://schemas.openxmlformats.org/officeDocument/2006/relationships/hyperlink" Target="#'10 EVIDENCE &amp; DECISIONS'!A650" TargetMode="External" Id="rId654"/><Relationship Type="http://schemas.openxmlformats.org/officeDocument/2006/relationships/hyperlink" Target="#'10 EVIDENCE &amp; DECISIONS'!A651" TargetMode="External" Id="rId655"/><Relationship Type="http://schemas.openxmlformats.org/officeDocument/2006/relationships/hyperlink" Target="#'10 EVIDENCE &amp; DECISIONS'!A652" TargetMode="External" Id="rId656"/><Relationship Type="http://schemas.openxmlformats.org/officeDocument/2006/relationships/hyperlink" Target="#'10 EVIDENCE &amp; DECISIONS'!A653" TargetMode="External" Id="rId657"/><Relationship Type="http://schemas.openxmlformats.org/officeDocument/2006/relationships/hyperlink" Target="#'10 EVIDENCE &amp; DECISIONS'!A654" TargetMode="External" Id="rId658"/><Relationship Type="http://schemas.openxmlformats.org/officeDocument/2006/relationships/hyperlink" Target="#'10 EVIDENCE &amp; DECISIONS'!A655" TargetMode="External" Id="rId659"/><Relationship Type="http://schemas.openxmlformats.org/officeDocument/2006/relationships/hyperlink" Target="#'10 EVIDENCE &amp; DECISIONS'!A656" TargetMode="External" Id="rId660"/><Relationship Type="http://schemas.openxmlformats.org/officeDocument/2006/relationships/hyperlink" Target="#'10 EVIDENCE &amp; DECISIONS'!A657" TargetMode="External" Id="rId661"/><Relationship Type="http://schemas.openxmlformats.org/officeDocument/2006/relationships/hyperlink" Target="#'10 EVIDENCE &amp; DECISIONS'!A658" TargetMode="External" Id="rId662"/><Relationship Type="http://schemas.openxmlformats.org/officeDocument/2006/relationships/hyperlink" Target="#'10 EVIDENCE &amp; DECISIONS'!A659" TargetMode="External" Id="rId663"/><Relationship Type="http://schemas.openxmlformats.org/officeDocument/2006/relationships/hyperlink" Target="#'10 EVIDENCE &amp; DECISIONS'!A660" TargetMode="External" Id="rId664"/><Relationship Type="http://schemas.openxmlformats.org/officeDocument/2006/relationships/hyperlink" Target="#'10 EVIDENCE &amp; DECISIONS'!A661" TargetMode="External" Id="rId665"/><Relationship Type="http://schemas.openxmlformats.org/officeDocument/2006/relationships/hyperlink" Target="#'10 EVIDENCE &amp; DECISIONS'!A662" TargetMode="External" Id="rId666"/><Relationship Type="http://schemas.openxmlformats.org/officeDocument/2006/relationships/hyperlink" Target="#'10 EVIDENCE &amp; DECISIONS'!A663" TargetMode="External" Id="rId667"/><Relationship Type="http://schemas.openxmlformats.org/officeDocument/2006/relationships/hyperlink" Target="#'10 EVIDENCE &amp; DECISIONS'!A664" TargetMode="External" Id="rId668"/><Relationship Type="http://schemas.openxmlformats.org/officeDocument/2006/relationships/hyperlink" Target="#'10 EVIDENCE &amp; DECISIONS'!A665" TargetMode="External" Id="rId669"/><Relationship Type="http://schemas.openxmlformats.org/officeDocument/2006/relationships/hyperlink" Target="#'10 EVIDENCE &amp; DECISIONS'!A666" TargetMode="External" Id="rId670"/><Relationship Type="http://schemas.openxmlformats.org/officeDocument/2006/relationships/hyperlink" Target="#'10 EVIDENCE &amp; DECISIONS'!A667" TargetMode="External" Id="rId671"/><Relationship Type="http://schemas.openxmlformats.org/officeDocument/2006/relationships/hyperlink" Target="#'10 EVIDENCE &amp; DECISIONS'!A668" TargetMode="External" Id="rId672"/><Relationship Type="http://schemas.openxmlformats.org/officeDocument/2006/relationships/hyperlink" Target="#'10 EVIDENCE &amp; DECISIONS'!A669" TargetMode="External" Id="rId673"/><Relationship Type="http://schemas.openxmlformats.org/officeDocument/2006/relationships/hyperlink" Target="#'10 EVIDENCE &amp; DECISIONS'!A670" TargetMode="External" Id="rId674"/><Relationship Type="http://schemas.openxmlformats.org/officeDocument/2006/relationships/hyperlink" Target="#'10 EVIDENCE &amp; DECISIONS'!A671" TargetMode="External" Id="rId675"/><Relationship Type="http://schemas.openxmlformats.org/officeDocument/2006/relationships/hyperlink" Target="#'10 EVIDENCE &amp; DECISIONS'!A672" TargetMode="External" Id="rId676"/><Relationship Type="http://schemas.openxmlformats.org/officeDocument/2006/relationships/hyperlink" Target="#'10 EVIDENCE &amp; DECISIONS'!A673" TargetMode="External" Id="rId677"/><Relationship Type="http://schemas.openxmlformats.org/officeDocument/2006/relationships/hyperlink" Target="#'10 EVIDENCE &amp; DECISIONS'!A674" TargetMode="External" Id="rId678"/><Relationship Type="http://schemas.openxmlformats.org/officeDocument/2006/relationships/hyperlink" Target="#'10 EVIDENCE &amp; DECISIONS'!A675" TargetMode="External" Id="rId679"/><Relationship Type="http://schemas.openxmlformats.org/officeDocument/2006/relationships/hyperlink" Target="#'10 EVIDENCE &amp; DECISIONS'!A676" TargetMode="External" Id="rId680"/><Relationship Type="http://schemas.openxmlformats.org/officeDocument/2006/relationships/hyperlink" Target="#'10 EVIDENCE &amp; DECISIONS'!A677" TargetMode="External" Id="rId681"/><Relationship Type="http://schemas.openxmlformats.org/officeDocument/2006/relationships/hyperlink" Target="#'10 EVIDENCE &amp; DECISIONS'!A678" TargetMode="External" Id="rId682"/><Relationship Type="http://schemas.openxmlformats.org/officeDocument/2006/relationships/hyperlink" Target="#'10 EVIDENCE &amp; DECISIONS'!A679" TargetMode="External" Id="rId683"/><Relationship Type="http://schemas.openxmlformats.org/officeDocument/2006/relationships/hyperlink" Target="#'10 EVIDENCE &amp; DECISIONS'!A680" TargetMode="External" Id="rId684"/><Relationship Type="http://schemas.openxmlformats.org/officeDocument/2006/relationships/hyperlink" Target="#'10 EVIDENCE &amp; DECISIONS'!A681" TargetMode="External" Id="rId685"/><Relationship Type="http://schemas.openxmlformats.org/officeDocument/2006/relationships/hyperlink" Target="#'10 EVIDENCE &amp; DECISIONS'!A682" TargetMode="External" Id="rId686"/><Relationship Type="http://schemas.openxmlformats.org/officeDocument/2006/relationships/hyperlink" Target="#'10 EVIDENCE &amp; DECISIONS'!A683" TargetMode="External" Id="rId687"/><Relationship Type="http://schemas.openxmlformats.org/officeDocument/2006/relationships/hyperlink" Target="#'10 EVIDENCE &amp; DECISIONS'!A684" TargetMode="External" Id="rId688"/><Relationship Type="http://schemas.openxmlformats.org/officeDocument/2006/relationships/hyperlink" Target="#'10 EVIDENCE &amp; DECISIONS'!A685" TargetMode="External" Id="rId689"/><Relationship Type="http://schemas.openxmlformats.org/officeDocument/2006/relationships/hyperlink" Target="#'10 EVIDENCE &amp; DECISIONS'!A686" TargetMode="External" Id="rId690"/><Relationship Type="http://schemas.openxmlformats.org/officeDocument/2006/relationships/hyperlink" Target="#'10 EVIDENCE &amp; DECISIONS'!A687" TargetMode="External" Id="rId691"/><Relationship Type="http://schemas.openxmlformats.org/officeDocument/2006/relationships/hyperlink" Target="#'10 EVIDENCE &amp; DECISIONS'!A688" TargetMode="External" Id="rId692"/><Relationship Type="http://schemas.openxmlformats.org/officeDocument/2006/relationships/hyperlink" Target="#'10 EVIDENCE &amp; DECISIONS'!A689" TargetMode="External" Id="rId693"/><Relationship Type="http://schemas.openxmlformats.org/officeDocument/2006/relationships/hyperlink" Target="#'10 EVIDENCE &amp; DECISIONS'!A690" TargetMode="External" Id="rId694"/><Relationship Type="http://schemas.openxmlformats.org/officeDocument/2006/relationships/hyperlink" Target="#'10 EVIDENCE &amp; DECISIONS'!A691" TargetMode="External" Id="rId695"/><Relationship Type="http://schemas.openxmlformats.org/officeDocument/2006/relationships/hyperlink" Target="#'10 EVIDENCE &amp; DECISIONS'!A692" TargetMode="External" Id="rId696"/><Relationship Type="http://schemas.openxmlformats.org/officeDocument/2006/relationships/hyperlink" Target="#'10 EVIDENCE &amp; DECISIONS'!A693" TargetMode="External" Id="rId697"/><Relationship Type="http://schemas.openxmlformats.org/officeDocument/2006/relationships/hyperlink" Target="#'10 EVIDENCE &amp; DECISIONS'!A694" TargetMode="External" Id="rId698"/><Relationship Type="http://schemas.openxmlformats.org/officeDocument/2006/relationships/hyperlink" Target="#'10 EVIDENCE &amp; DECISIONS'!A695" TargetMode="External" Id="rId699"/><Relationship Type="http://schemas.openxmlformats.org/officeDocument/2006/relationships/hyperlink" Target="#'10 EVIDENCE &amp; DECISIONS'!A696" TargetMode="External" Id="rId700"/><Relationship Type="http://schemas.openxmlformats.org/officeDocument/2006/relationships/hyperlink" Target="#'10 EVIDENCE &amp; DECISIONS'!A697" TargetMode="External" Id="rId701"/><Relationship Type="http://schemas.openxmlformats.org/officeDocument/2006/relationships/hyperlink" Target="#'10 EVIDENCE &amp; DECISIONS'!A698" TargetMode="External" Id="rId702"/><Relationship Type="http://schemas.openxmlformats.org/officeDocument/2006/relationships/hyperlink" Target="#'10 EVIDENCE &amp; DECISIONS'!A699" TargetMode="External" Id="rId703"/><Relationship Type="http://schemas.openxmlformats.org/officeDocument/2006/relationships/hyperlink" Target="#'10 EVIDENCE &amp; DECISIONS'!A700" TargetMode="External" Id="rId704"/><Relationship Type="http://schemas.openxmlformats.org/officeDocument/2006/relationships/hyperlink" Target="#'10 EVIDENCE &amp; DECISIONS'!A701" TargetMode="External" Id="rId705"/><Relationship Type="http://schemas.openxmlformats.org/officeDocument/2006/relationships/hyperlink" Target="#'10 EVIDENCE &amp; DECISIONS'!A702" TargetMode="External" Id="rId706"/><Relationship Type="http://schemas.openxmlformats.org/officeDocument/2006/relationships/hyperlink" Target="#'10 EVIDENCE &amp; DECISIONS'!A703" TargetMode="External" Id="rId707"/><Relationship Type="http://schemas.openxmlformats.org/officeDocument/2006/relationships/hyperlink" Target="#'10 EVIDENCE &amp; DECISIONS'!A704" TargetMode="External" Id="rId708"/><Relationship Type="http://schemas.openxmlformats.org/officeDocument/2006/relationships/hyperlink" Target="#'10 EVIDENCE &amp; DECISIONS'!A705" TargetMode="External" Id="rId709"/><Relationship Type="http://schemas.openxmlformats.org/officeDocument/2006/relationships/hyperlink" Target="#'10 EVIDENCE &amp; DECISIONS'!A706" TargetMode="External" Id="rId710"/><Relationship Type="http://schemas.openxmlformats.org/officeDocument/2006/relationships/hyperlink" Target="#'10 EVIDENCE &amp; DECISIONS'!A707" TargetMode="External" Id="rId711"/><Relationship Type="http://schemas.openxmlformats.org/officeDocument/2006/relationships/hyperlink" Target="#'10 EVIDENCE &amp; DECISIONS'!A708" TargetMode="External" Id="rId712"/><Relationship Type="http://schemas.openxmlformats.org/officeDocument/2006/relationships/hyperlink" Target="#'10 EVIDENCE &amp; DECISIONS'!A709" TargetMode="External" Id="rId713"/><Relationship Type="http://schemas.openxmlformats.org/officeDocument/2006/relationships/hyperlink" Target="#'10 EVIDENCE &amp; DECISIONS'!A710" TargetMode="External" Id="rId714"/><Relationship Type="http://schemas.openxmlformats.org/officeDocument/2006/relationships/hyperlink" Target="#'10 EVIDENCE &amp; DECISIONS'!A711" TargetMode="External" Id="rId715"/><Relationship Type="http://schemas.openxmlformats.org/officeDocument/2006/relationships/hyperlink" Target="#'10 EVIDENCE &amp; DECISIONS'!A712" TargetMode="External" Id="rId716"/><Relationship Type="http://schemas.openxmlformats.org/officeDocument/2006/relationships/hyperlink" Target="#'10 EVIDENCE &amp; DECISIONS'!A713" TargetMode="External" Id="rId717"/><Relationship Type="http://schemas.openxmlformats.org/officeDocument/2006/relationships/hyperlink" Target="#'10 EVIDENCE &amp; DECISIONS'!A714" TargetMode="External" Id="rId718"/><Relationship Type="http://schemas.openxmlformats.org/officeDocument/2006/relationships/hyperlink" Target="#'10 EVIDENCE &amp; DECISIONS'!A715" TargetMode="External" Id="rId719"/><Relationship Type="http://schemas.openxmlformats.org/officeDocument/2006/relationships/hyperlink" Target="#'10 EVIDENCE &amp; DECISIONS'!A716" TargetMode="External" Id="rId720"/><Relationship Type="http://schemas.openxmlformats.org/officeDocument/2006/relationships/hyperlink" Target="#'10 EVIDENCE &amp; DECISIONS'!A717" TargetMode="External" Id="rId721"/><Relationship Type="http://schemas.openxmlformats.org/officeDocument/2006/relationships/hyperlink" Target="#'10 EVIDENCE &amp; DECISIONS'!A718" TargetMode="External" Id="rId722"/><Relationship Type="http://schemas.openxmlformats.org/officeDocument/2006/relationships/hyperlink" Target="#'10 EVIDENCE &amp; DECISIONS'!A719" TargetMode="External" Id="rId723"/><Relationship Type="http://schemas.openxmlformats.org/officeDocument/2006/relationships/hyperlink" Target="#'10 EVIDENCE &amp; DECISIONS'!A720" TargetMode="External" Id="rId724"/><Relationship Type="http://schemas.openxmlformats.org/officeDocument/2006/relationships/hyperlink" Target="#'10 EVIDENCE &amp; DECISIONS'!A721" TargetMode="External" Id="rId725"/><Relationship Type="http://schemas.openxmlformats.org/officeDocument/2006/relationships/hyperlink" Target="#'10 EVIDENCE &amp; DECISIONS'!A722" TargetMode="External" Id="rId726"/><Relationship Type="http://schemas.openxmlformats.org/officeDocument/2006/relationships/hyperlink" Target="#'10 EVIDENCE &amp; DECISIONS'!A723" TargetMode="External" Id="rId727"/><Relationship Type="http://schemas.openxmlformats.org/officeDocument/2006/relationships/hyperlink" Target="#'10 EVIDENCE &amp; DECISIONS'!A724" TargetMode="External" Id="rId728"/><Relationship Type="http://schemas.openxmlformats.org/officeDocument/2006/relationships/hyperlink" Target="#'10 EVIDENCE &amp; DECISIONS'!A725" TargetMode="External" Id="rId729"/><Relationship Type="http://schemas.openxmlformats.org/officeDocument/2006/relationships/hyperlink" Target="#'10 EVIDENCE &amp; DECISIONS'!A726" TargetMode="External" Id="rId730"/><Relationship Type="http://schemas.openxmlformats.org/officeDocument/2006/relationships/hyperlink" Target="#'10 EVIDENCE &amp; DECISIONS'!A727" TargetMode="External" Id="rId731"/><Relationship Type="http://schemas.openxmlformats.org/officeDocument/2006/relationships/hyperlink" Target="#'10 EVIDENCE &amp; DECISIONS'!A728" TargetMode="External" Id="rId732"/><Relationship Type="http://schemas.openxmlformats.org/officeDocument/2006/relationships/hyperlink" Target="#'10 EVIDENCE &amp; DECISIONS'!A729" TargetMode="External" Id="rId733"/><Relationship Type="http://schemas.openxmlformats.org/officeDocument/2006/relationships/hyperlink" Target="#'10 EVIDENCE &amp; DECISIONS'!A730" TargetMode="External" Id="rId734"/><Relationship Type="http://schemas.openxmlformats.org/officeDocument/2006/relationships/hyperlink" Target="#'10 EVIDENCE &amp; DECISIONS'!A731" TargetMode="External" Id="rId735"/><Relationship Type="http://schemas.openxmlformats.org/officeDocument/2006/relationships/hyperlink" Target="#'10 EVIDENCE &amp; DECISIONS'!A732" TargetMode="External" Id="rId736"/><Relationship Type="http://schemas.openxmlformats.org/officeDocument/2006/relationships/hyperlink" Target="#'10 EVIDENCE &amp; DECISIONS'!A733" TargetMode="External" Id="rId737"/><Relationship Type="http://schemas.openxmlformats.org/officeDocument/2006/relationships/hyperlink" Target="#'10 EVIDENCE &amp; DECISIONS'!A734" TargetMode="External" Id="rId738"/><Relationship Type="http://schemas.openxmlformats.org/officeDocument/2006/relationships/hyperlink" Target="#'10 EVIDENCE &amp; DECISIONS'!A735" TargetMode="External" Id="rId739"/><Relationship Type="http://schemas.openxmlformats.org/officeDocument/2006/relationships/hyperlink" Target="#'10 EVIDENCE &amp; DECISIONS'!A736" TargetMode="External" Id="rId740"/><Relationship Type="http://schemas.openxmlformats.org/officeDocument/2006/relationships/hyperlink" Target="#'10 EVIDENCE &amp; DECISIONS'!A737" TargetMode="External" Id="rId741"/><Relationship Type="http://schemas.openxmlformats.org/officeDocument/2006/relationships/hyperlink" Target="#'10 EVIDENCE &amp; DECISIONS'!A738" TargetMode="External" Id="rId742"/><Relationship Type="http://schemas.openxmlformats.org/officeDocument/2006/relationships/hyperlink" Target="#'10 EVIDENCE &amp; DECISIONS'!A739" TargetMode="External" Id="rId743"/><Relationship Type="http://schemas.openxmlformats.org/officeDocument/2006/relationships/hyperlink" Target="#'10 EVIDENCE &amp; DECISIONS'!A740" TargetMode="External" Id="rId744"/><Relationship Type="http://schemas.openxmlformats.org/officeDocument/2006/relationships/hyperlink" Target="#'10 EVIDENCE &amp; DECISIONS'!A741" TargetMode="External" Id="rId745"/><Relationship Type="http://schemas.openxmlformats.org/officeDocument/2006/relationships/hyperlink" Target="#'10 EVIDENCE &amp; DECISIONS'!A742" TargetMode="External" Id="rId746"/><Relationship Type="http://schemas.openxmlformats.org/officeDocument/2006/relationships/hyperlink" Target="#'10 EVIDENCE &amp; DECISIONS'!A743" TargetMode="External" Id="rId747"/><Relationship Type="http://schemas.openxmlformats.org/officeDocument/2006/relationships/hyperlink" Target="#'10 EVIDENCE &amp; DECISIONS'!A744" TargetMode="External" Id="rId748"/><Relationship Type="http://schemas.openxmlformats.org/officeDocument/2006/relationships/hyperlink" Target="#'10 EVIDENCE &amp; DECISIONS'!A745" TargetMode="External" Id="rId749"/><Relationship Type="http://schemas.openxmlformats.org/officeDocument/2006/relationships/hyperlink" Target="#'10 EVIDENCE &amp; DECISIONS'!A746" TargetMode="External" Id="rId750"/><Relationship Type="http://schemas.openxmlformats.org/officeDocument/2006/relationships/hyperlink" Target="#'10 EVIDENCE &amp; DECISIONS'!A747" TargetMode="External" Id="rId751"/><Relationship Type="http://schemas.openxmlformats.org/officeDocument/2006/relationships/hyperlink" Target="#'10 EVIDENCE &amp; DECISIONS'!A748" TargetMode="External" Id="rId752"/><Relationship Type="http://schemas.openxmlformats.org/officeDocument/2006/relationships/hyperlink" Target="#'10 EVIDENCE &amp; DECISIONS'!A749" TargetMode="External" Id="rId753"/><Relationship Type="http://schemas.openxmlformats.org/officeDocument/2006/relationships/hyperlink" Target="#'10 EVIDENCE &amp; DECISIONS'!A750" TargetMode="External" Id="rId754"/><Relationship Type="http://schemas.openxmlformats.org/officeDocument/2006/relationships/hyperlink" Target="#'10 EVIDENCE &amp; DECISIONS'!A751" TargetMode="External" Id="rId755"/><Relationship Type="http://schemas.openxmlformats.org/officeDocument/2006/relationships/hyperlink" Target="#'10 EVIDENCE &amp; DECISIONS'!A752" TargetMode="External" Id="rId756"/><Relationship Type="http://schemas.openxmlformats.org/officeDocument/2006/relationships/hyperlink" Target="#'10 EVIDENCE &amp; DECISIONS'!A753" TargetMode="External" Id="rId757"/><Relationship Type="http://schemas.openxmlformats.org/officeDocument/2006/relationships/hyperlink" Target="#'10 EVIDENCE &amp; DECISIONS'!A754" TargetMode="External" Id="rId758"/><Relationship Type="http://schemas.openxmlformats.org/officeDocument/2006/relationships/hyperlink" Target="#'10 EVIDENCE &amp; DECISIONS'!A755" TargetMode="External" Id="rId759"/><Relationship Type="http://schemas.openxmlformats.org/officeDocument/2006/relationships/hyperlink" Target="#'10 EVIDENCE &amp; DECISIONS'!A756" TargetMode="External" Id="rId760"/><Relationship Type="http://schemas.openxmlformats.org/officeDocument/2006/relationships/hyperlink" Target="#'10 EVIDENCE &amp; DECISIONS'!A757" TargetMode="External" Id="rId761"/><Relationship Type="http://schemas.openxmlformats.org/officeDocument/2006/relationships/hyperlink" Target="#'10 EVIDENCE &amp; DECISIONS'!A758" TargetMode="External" Id="rId762"/><Relationship Type="http://schemas.openxmlformats.org/officeDocument/2006/relationships/hyperlink" Target="#'10 EVIDENCE &amp; DECISIONS'!A759" TargetMode="External" Id="rId763"/><Relationship Type="http://schemas.openxmlformats.org/officeDocument/2006/relationships/hyperlink" Target="#'10 EVIDENCE &amp; DECISIONS'!A760" TargetMode="External" Id="rId764"/><Relationship Type="http://schemas.openxmlformats.org/officeDocument/2006/relationships/hyperlink" Target="#'10 EVIDENCE &amp; DECISIONS'!A761" TargetMode="External" Id="rId765"/><Relationship Type="http://schemas.openxmlformats.org/officeDocument/2006/relationships/hyperlink" Target="#'10 EVIDENCE &amp; DECISIONS'!A762" TargetMode="External" Id="rId766"/><Relationship Type="http://schemas.openxmlformats.org/officeDocument/2006/relationships/hyperlink" Target="#'10 EVIDENCE &amp; DECISIONS'!A763" TargetMode="External" Id="rId767"/><Relationship Type="http://schemas.openxmlformats.org/officeDocument/2006/relationships/hyperlink" Target="#'10 EVIDENCE &amp; DECISIONS'!A764" TargetMode="External" Id="rId768"/><Relationship Type="http://schemas.openxmlformats.org/officeDocument/2006/relationships/hyperlink" Target="#'10 EVIDENCE &amp; DECISIONS'!A765" TargetMode="External" Id="rId769"/><Relationship Type="http://schemas.openxmlformats.org/officeDocument/2006/relationships/hyperlink" Target="#'10 EVIDENCE &amp; DECISIONS'!A766" TargetMode="External" Id="rId770"/><Relationship Type="http://schemas.openxmlformats.org/officeDocument/2006/relationships/hyperlink" Target="#'10 EVIDENCE &amp; DECISIONS'!A767" TargetMode="External" Id="rId771"/><Relationship Type="http://schemas.openxmlformats.org/officeDocument/2006/relationships/hyperlink" Target="#'10 EVIDENCE &amp; DECISIONS'!A768" TargetMode="External" Id="rId772"/><Relationship Type="http://schemas.openxmlformats.org/officeDocument/2006/relationships/hyperlink" Target="#'10 EVIDENCE &amp; DECISIONS'!A769" TargetMode="External" Id="rId773"/><Relationship Type="http://schemas.openxmlformats.org/officeDocument/2006/relationships/hyperlink" Target="#'10 EVIDENCE &amp; DECISIONS'!A770" TargetMode="External" Id="rId774"/><Relationship Type="http://schemas.openxmlformats.org/officeDocument/2006/relationships/hyperlink" Target="#'10 EVIDENCE &amp; DECISIONS'!A771" TargetMode="External" Id="rId775"/><Relationship Type="http://schemas.openxmlformats.org/officeDocument/2006/relationships/hyperlink" Target="#'10 EVIDENCE &amp; DECISIONS'!A772" TargetMode="External" Id="rId776"/><Relationship Type="http://schemas.openxmlformats.org/officeDocument/2006/relationships/hyperlink" Target="#'10 EVIDENCE &amp; DECISIONS'!A773" TargetMode="External" Id="rId777"/><Relationship Type="http://schemas.openxmlformats.org/officeDocument/2006/relationships/hyperlink" Target="#'10 EVIDENCE &amp; DECISIONS'!A774" TargetMode="External" Id="rId778"/><Relationship Type="http://schemas.openxmlformats.org/officeDocument/2006/relationships/hyperlink" Target="#'10 EVIDENCE &amp; DECISIONS'!A775" TargetMode="External" Id="rId779"/><Relationship Type="http://schemas.openxmlformats.org/officeDocument/2006/relationships/hyperlink" Target="#'10 EVIDENCE &amp; DECISIONS'!A776" TargetMode="External" Id="rId780"/><Relationship Type="http://schemas.openxmlformats.org/officeDocument/2006/relationships/hyperlink" Target="#'10 EVIDENCE &amp; DECISIONS'!A777" TargetMode="External" Id="rId781"/><Relationship Type="http://schemas.openxmlformats.org/officeDocument/2006/relationships/hyperlink" Target="#'10 EVIDENCE &amp; DECISIONS'!A778" TargetMode="External" Id="rId782"/><Relationship Type="http://schemas.openxmlformats.org/officeDocument/2006/relationships/hyperlink" Target="#'10 EVIDENCE &amp; DECISIONS'!A779" TargetMode="External" Id="rId783"/><Relationship Type="http://schemas.openxmlformats.org/officeDocument/2006/relationships/hyperlink" Target="#'10 EVIDENCE &amp; DECISIONS'!A780" TargetMode="External" Id="rId784"/><Relationship Type="http://schemas.openxmlformats.org/officeDocument/2006/relationships/hyperlink" Target="#'10 EVIDENCE &amp; DECISIONS'!A781" TargetMode="External" Id="rId785"/><Relationship Type="http://schemas.openxmlformats.org/officeDocument/2006/relationships/hyperlink" Target="#'10 EVIDENCE &amp; DECISIONS'!A782" TargetMode="External" Id="rId786"/><Relationship Type="http://schemas.openxmlformats.org/officeDocument/2006/relationships/hyperlink" Target="#'10 EVIDENCE &amp; DECISIONS'!A783" TargetMode="External" Id="rId787"/><Relationship Type="http://schemas.openxmlformats.org/officeDocument/2006/relationships/hyperlink" Target="#'10 EVIDENCE &amp; DECISIONS'!A784" TargetMode="External" Id="rId788"/><Relationship Type="http://schemas.openxmlformats.org/officeDocument/2006/relationships/hyperlink" Target="#'10 EVIDENCE &amp; DECISIONS'!A785" TargetMode="External" Id="rId789"/><Relationship Type="http://schemas.openxmlformats.org/officeDocument/2006/relationships/hyperlink" Target="#'10 EVIDENCE &amp; DECISIONS'!A786" TargetMode="External" Id="rId790"/><Relationship Type="http://schemas.openxmlformats.org/officeDocument/2006/relationships/hyperlink" Target="#'10 EVIDENCE &amp; DECISIONS'!A787" TargetMode="External" Id="rId791"/><Relationship Type="http://schemas.openxmlformats.org/officeDocument/2006/relationships/hyperlink" Target="#'10 EVIDENCE &amp; DECISIONS'!A788" TargetMode="External" Id="rId792"/><Relationship Type="http://schemas.openxmlformats.org/officeDocument/2006/relationships/hyperlink" Target="#'10 EVIDENCE &amp; DECISIONS'!A789" TargetMode="External" Id="rId793"/><Relationship Type="http://schemas.openxmlformats.org/officeDocument/2006/relationships/hyperlink" Target="#'10 EVIDENCE &amp; DECISIONS'!A790" TargetMode="External" Id="rId794"/><Relationship Type="http://schemas.openxmlformats.org/officeDocument/2006/relationships/hyperlink" Target="#'10 EVIDENCE &amp; DECISIONS'!A791" TargetMode="External" Id="rId795"/><Relationship Type="http://schemas.openxmlformats.org/officeDocument/2006/relationships/hyperlink" Target="#'10 EVIDENCE &amp; DECISIONS'!A792" TargetMode="External" Id="rId796"/><Relationship Type="http://schemas.openxmlformats.org/officeDocument/2006/relationships/hyperlink" Target="#'10 EVIDENCE &amp; DECISIONS'!A793" TargetMode="External" Id="rId797"/><Relationship Type="http://schemas.openxmlformats.org/officeDocument/2006/relationships/hyperlink" Target="#'10 EVIDENCE &amp; DECISIONS'!A794" TargetMode="External" Id="rId798"/><Relationship Type="http://schemas.openxmlformats.org/officeDocument/2006/relationships/hyperlink" Target="#'10 EVIDENCE &amp; DECISIONS'!A795" TargetMode="External" Id="rId799"/><Relationship Type="http://schemas.openxmlformats.org/officeDocument/2006/relationships/hyperlink" Target="#'10 EVIDENCE &amp; DECISIONS'!A796" TargetMode="External" Id="rId800"/><Relationship Type="http://schemas.openxmlformats.org/officeDocument/2006/relationships/hyperlink" Target="#'10 EVIDENCE &amp; DECISIONS'!A797" TargetMode="External" Id="rId801"/><Relationship Type="http://schemas.openxmlformats.org/officeDocument/2006/relationships/hyperlink" Target="#'10 EVIDENCE &amp; DECISIONS'!A798" TargetMode="External" Id="rId802"/><Relationship Type="http://schemas.openxmlformats.org/officeDocument/2006/relationships/hyperlink" Target="#'10 EVIDENCE &amp; DECISIONS'!A799" TargetMode="External" Id="rId803"/><Relationship Type="http://schemas.openxmlformats.org/officeDocument/2006/relationships/hyperlink" Target="#'10 EVIDENCE &amp; DECISIONS'!A800" TargetMode="External" Id="rId804"/><Relationship Type="http://schemas.openxmlformats.org/officeDocument/2006/relationships/hyperlink" Target="#'10 EVIDENCE &amp; DECISIONS'!A801" TargetMode="External" Id="rId805"/><Relationship Type="http://schemas.openxmlformats.org/officeDocument/2006/relationships/hyperlink" Target="#'10 EVIDENCE &amp; DECISIONS'!A802" TargetMode="External" Id="rId806"/><Relationship Type="http://schemas.openxmlformats.org/officeDocument/2006/relationships/hyperlink" Target="#'10 EVIDENCE &amp; DECISIONS'!A803" TargetMode="External" Id="rId807"/><Relationship Type="http://schemas.openxmlformats.org/officeDocument/2006/relationships/hyperlink" Target="#'10 EVIDENCE &amp; DECISIONS'!A804" TargetMode="External" Id="rId808"/><Relationship Type="http://schemas.openxmlformats.org/officeDocument/2006/relationships/hyperlink" Target="#'10 EVIDENCE &amp; DECISIONS'!A805" TargetMode="External" Id="rId809"/><Relationship Type="http://schemas.openxmlformats.org/officeDocument/2006/relationships/hyperlink" Target="#'10 EVIDENCE &amp; DECISIONS'!A806" TargetMode="External" Id="rId810"/><Relationship Type="http://schemas.openxmlformats.org/officeDocument/2006/relationships/hyperlink" Target="#'10 EVIDENCE &amp; DECISIONS'!A807" TargetMode="External" Id="rId811"/><Relationship Type="http://schemas.openxmlformats.org/officeDocument/2006/relationships/hyperlink" Target="#'10 EVIDENCE &amp; DECISIONS'!A808" TargetMode="External" Id="rId812"/><Relationship Type="http://schemas.openxmlformats.org/officeDocument/2006/relationships/hyperlink" Target="#'10 EVIDENCE &amp; DECISIONS'!A809" TargetMode="External" Id="rId813"/><Relationship Type="http://schemas.openxmlformats.org/officeDocument/2006/relationships/hyperlink" Target="#'10 EVIDENCE &amp; DECISIONS'!A810" TargetMode="External" Id="rId814"/><Relationship Type="http://schemas.openxmlformats.org/officeDocument/2006/relationships/hyperlink" Target="#'10 EVIDENCE &amp; DECISIONS'!A811" TargetMode="External" Id="rId815"/><Relationship Type="http://schemas.openxmlformats.org/officeDocument/2006/relationships/hyperlink" Target="#'10 EVIDENCE &amp; DECISIONS'!A812" TargetMode="External" Id="rId816"/><Relationship Type="http://schemas.openxmlformats.org/officeDocument/2006/relationships/hyperlink" Target="#'10 EVIDENCE &amp; DECISIONS'!A813" TargetMode="External" Id="rId817"/><Relationship Type="http://schemas.openxmlformats.org/officeDocument/2006/relationships/hyperlink" Target="#'10 EVIDENCE &amp; DECISIONS'!A814" TargetMode="External" Id="rId818"/><Relationship Type="http://schemas.openxmlformats.org/officeDocument/2006/relationships/hyperlink" Target="#'10 EVIDENCE &amp; DECISIONS'!A815" TargetMode="External" Id="rId819"/><Relationship Type="http://schemas.openxmlformats.org/officeDocument/2006/relationships/hyperlink" Target="#'10 EVIDENCE &amp; DECISIONS'!A816" TargetMode="External" Id="rId820"/><Relationship Type="http://schemas.openxmlformats.org/officeDocument/2006/relationships/hyperlink" Target="#'10 EVIDENCE &amp; DECISIONS'!A817" TargetMode="External" Id="rId821"/><Relationship Type="http://schemas.openxmlformats.org/officeDocument/2006/relationships/hyperlink" Target="#'10 EVIDENCE &amp; DECISIONS'!A818" TargetMode="External" Id="rId822"/><Relationship Type="http://schemas.openxmlformats.org/officeDocument/2006/relationships/hyperlink" Target="#'10 EVIDENCE &amp; DECISIONS'!A819" TargetMode="External" Id="rId823"/><Relationship Type="http://schemas.openxmlformats.org/officeDocument/2006/relationships/hyperlink" Target="#'10 EVIDENCE &amp; DECISIONS'!A820" TargetMode="External" Id="rId824"/><Relationship Type="http://schemas.openxmlformats.org/officeDocument/2006/relationships/hyperlink" Target="#'10 EVIDENCE &amp; DECISIONS'!A821" TargetMode="External" Id="rId825"/><Relationship Type="http://schemas.openxmlformats.org/officeDocument/2006/relationships/hyperlink" Target="#'10 EVIDENCE &amp; DECISIONS'!A822" TargetMode="External" Id="rId826"/><Relationship Type="http://schemas.openxmlformats.org/officeDocument/2006/relationships/hyperlink" Target="#'10 EVIDENCE &amp; DECISIONS'!A823" TargetMode="External" Id="rId827"/><Relationship Type="http://schemas.openxmlformats.org/officeDocument/2006/relationships/hyperlink" Target="#'10 EVIDENCE &amp; DECISIONS'!A824" TargetMode="External" Id="rId828"/><Relationship Type="http://schemas.openxmlformats.org/officeDocument/2006/relationships/hyperlink" Target="#'10 EVIDENCE &amp; DECISIONS'!A825" TargetMode="External" Id="rId829"/><Relationship Type="http://schemas.openxmlformats.org/officeDocument/2006/relationships/hyperlink" Target="#'10 EVIDENCE &amp; DECISIONS'!A826" TargetMode="External" Id="rId830"/><Relationship Type="http://schemas.openxmlformats.org/officeDocument/2006/relationships/hyperlink" Target="#'10 EVIDENCE &amp; DECISIONS'!A827" TargetMode="External" Id="rId831"/><Relationship Type="http://schemas.openxmlformats.org/officeDocument/2006/relationships/hyperlink" Target="#'10 EVIDENCE &amp; DECISIONS'!A828" TargetMode="External" Id="rId832"/><Relationship Type="http://schemas.openxmlformats.org/officeDocument/2006/relationships/hyperlink" Target="#'10 EVIDENCE &amp; DECISIONS'!A829" TargetMode="External" Id="rId833"/><Relationship Type="http://schemas.openxmlformats.org/officeDocument/2006/relationships/hyperlink" Target="#'10 EVIDENCE &amp; DECISIONS'!A830" TargetMode="External" Id="rId834"/><Relationship Type="http://schemas.openxmlformats.org/officeDocument/2006/relationships/hyperlink" Target="#'10 EVIDENCE &amp; DECISIONS'!A831" TargetMode="External" Id="rId835"/><Relationship Type="http://schemas.openxmlformats.org/officeDocument/2006/relationships/hyperlink" Target="#'10 EVIDENCE &amp; DECISIONS'!A832" TargetMode="External" Id="rId836"/><Relationship Type="http://schemas.openxmlformats.org/officeDocument/2006/relationships/hyperlink" Target="#'10 EVIDENCE &amp; DECISIONS'!A833" TargetMode="External" Id="rId837"/><Relationship Type="http://schemas.openxmlformats.org/officeDocument/2006/relationships/hyperlink" Target="#'10 EVIDENCE &amp; DECISIONS'!A834" TargetMode="External" Id="rId838"/><Relationship Type="http://schemas.openxmlformats.org/officeDocument/2006/relationships/hyperlink" Target="#'10 EVIDENCE &amp; DECISIONS'!A835" TargetMode="External" Id="rId839"/><Relationship Type="http://schemas.openxmlformats.org/officeDocument/2006/relationships/hyperlink" Target="#'10 EVIDENCE &amp; DECISIONS'!A836" TargetMode="External" Id="rId840"/><Relationship Type="http://schemas.openxmlformats.org/officeDocument/2006/relationships/hyperlink" Target="#'10 EVIDENCE &amp; DECISIONS'!A837" TargetMode="External" Id="rId841"/><Relationship Type="http://schemas.openxmlformats.org/officeDocument/2006/relationships/hyperlink" Target="#'10 EVIDENCE &amp; DECISIONS'!A838" TargetMode="External" Id="rId842"/><Relationship Type="http://schemas.openxmlformats.org/officeDocument/2006/relationships/hyperlink" Target="#'10 EVIDENCE &amp; DECISIONS'!A839" TargetMode="External" Id="rId843"/><Relationship Type="http://schemas.openxmlformats.org/officeDocument/2006/relationships/hyperlink" Target="#'10 EVIDENCE &amp; DECISIONS'!A840" TargetMode="External" Id="rId844"/><Relationship Type="http://schemas.openxmlformats.org/officeDocument/2006/relationships/hyperlink" Target="#'10 EVIDENCE &amp; DECISIONS'!A841" TargetMode="External" Id="rId845"/><Relationship Type="http://schemas.openxmlformats.org/officeDocument/2006/relationships/hyperlink" Target="#'10 EVIDENCE &amp; DECISIONS'!A842" TargetMode="External" Id="rId846"/><Relationship Type="http://schemas.openxmlformats.org/officeDocument/2006/relationships/hyperlink" Target="#'10 EVIDENCE &amp; DECISIONS'!A843" TargetMode="External" Id="rId847"/><Relationship Type="http://schemas.openxmlformats.org/officeDocument/2006/relationships/hyperlink" Target="#'10 EVIDENCE &amp; DECISIONS'!A844" TargetMode="External" Id="rId848"/><Relationship Type="http://schemas.openxmlformats.org/officeDocument/2006/relationships/hyperlink" Target="#'10 EVIDENCE &amp; DECISIONS'!A845" TargetMode="External" Id="rId849"/><Relationship Type="http://schemas.openxmlformats.org/officeDocument/2006/relationships/hyperlink" Target="#'10 EVIDENCE &amp; DECISIONS'!A846" TargetMode="External" Id="rId850"/><Relationship Type="http://schemas.openxmlformats.org/officeDocument/2006/relationships/hyperlink" Target="#'10 EVIDENCE &amp; DECISIONS'!A847" TargetMode="External" Id="rId851"/><Relationship Type="http://schemas.openxmlformats.org/officeDocument/2006/relationships/hyperlink" Target="#'10 EVIDENCE &amp; DECISIONS'!A848" TargetMode="External" Id="rId852"/><Relationship Type="http://schemas.openxmlformats.org/officeDocument/2006/relationships/hyperlink" Target="#'10 EVIDENCE &amp; DECISIONS'!A849" TargetMode="External" Id="rId853"/><Relationship Type="http://schemas.openxmlformats.org/officeDocument/2006/relationships/hyperlink" Target="#'10 EVIDENCE &amp; DECISIONS'!A850" TargetMode="External" Id="rId854"/><Relationship Type="http://schemas.openxmlformats.org/officeDocument/2006/relationships/hyperlink" Target="#'10 EVIDENCE &amp; DECISIONS'!A851" TargetMode="External" Id="rId855"/><Relationship Type="http://schemas.openxmlformats.org/officeDocument/2006/relationships/hyperlink" Target="#'10 EVIDENCE &amp; DECISIONS'!A852" TargetMode="External" Id="rId856"/><Relationship Type="http://schemas.openxmlformats.org/officeDocument/2006/relationships/hyperlink" Target="#'10 EVIDENCE &amp; DECISIONS'!A853" TargetMode="External" Id="rId857"/><Relationship Type="http://schemas.openxmlformats.org/officeDocument/2006/relationships/hyperlink" Target="#'10 EVIDENCE &amp; DECISIONS'!A854" TargetMode="External" Id="rId858"/><Relationship Type="http://schemas.openxmlformats.org/officeDocument/2006/relationships/hyperlink" Target="#'10 EVIDENCE &amp; DECISIONS'!A855" TargetMode="External" Id="rId859"/><Relationship Type="http://schemas.openxmlformats.org/officeDocument/2006/relationships/hyperlink" Target="#'10 EVIDENCE &amp; DECISIONS'!A856" TargetMode="External" Id="rId860"/><Relationship Type="http://schemas.openxmlformats.org/officeDocument/2006/relationships/hyperlink" Target="#'10 EVIDENCE &amp; DECISIONS'!A857" TargetMode="External" Id="rId861"/><Relationship Type="http://schemas.openxmlformats.org/officeDocument/2006/relationships/hyperlink" Target="#'10 EVIDENCE &amp; DECISIONS'!A858" TargetMode="External" Id="rId862"/><Relationship Type="http://schemas.openxmlformats.org/officeDocument/2006/relationships/hyperlink" Target="#'10 EVIDENCE &amp; DECISIONS'!A859" TargetMode="External" Id="rId863"/><Relationship Type="http://schemas.openxmlformats.org/officeDocument/2006/relationships/hyperlink" Target="#'10 EVIDENCE &amp; DECISIONS'!A860" TargetMode="External" Id="rId864"/><Relationship Type="http://schemas.openxmlformats.org/officeDocument/2006/relationships/hyperlink" Target="#'10 EVIDENCE &amp; DECISIONS'!A861" TargetMode="External" Id="rId865"/><Relationship Type="http://schemas.openxmlformats.org/officeDocument/2006/relationships/hyperlink" Target="#'10 EVIDENCE &amp; DECISIONS'!A862" TargetMode="External" Id="rId866"/><Relationship Type="http://schemas.openxmlformats.org/officeDocument/2006/relationships/hyperlink" Target="#'10 EVIDENCE &amp; DECISIONS'!A863" TargetMode="External" Id="rId867"/><Relationship Type="http://schemas.openxmlformats.org/officeDocument/2006/relationships/hyperlink" Target="#'10 EVIDENCE &amp; DECISIONS'!A864" TargetMode="External" Id="rId868"/><Relationship Type="http://schemas.openxmlformats.org/officeDocument/2006/relationships/hyperlink" Target="#'10 EVIDENCE &amp; DECISIONS'!A865" TargetMode="External" Id="rId869"/><Relationship Type="http://schemas.openxmlformats.org/officeDocument/2006/relationships/hyperlink" Target="#'10 EVIDENCE &amp; DECISIONS'!A866" TargetMode="External" Id="rId870"/><Relationship Type="http://schemas.openxmlformats.org/officeDocument/2006/relationships/hyperlink" Target="#'10 EVIDENCE &amp; DECISIONS'!A867" TargetMode="External" Id="rId871"/><Relationship Type="http://schemas.openxmlformats.org/officeDocument/2006/relationships/hyperlink" Target="#'10 EVIDENCE &amp; DECISIONS'!A868" TargetMode="External" Id="rId872"/><Relationship Type="http://schemas.openxmlformats.org/officeDocument/2006/relationships/hyperlink" Target="#'10 EVIDENCE &amp; DECISIONS'!A869" TargetMode="External" Id="rId873"/><Relationship Type="http://schemas.openxmlformats.org/officeDocument/2006/relationships/hyperlink" Target="#'10 EVIDENCE &amp; DECISIONS'!A870" TargetMode="External" Id="rId874"/><Relationship Type="http://schemas.openxmlformats.org/officeDocument/2006/relationships/hyperlink" Target="#'10 EVIDENCE &amp; DECISIONS'!A871" TargetMode="External" Id="rId875"/><Relationship Type="http://schemas.openxmlformats.org/officeDocument/2006/relationships/hyperlink" Target="#'10 EVIDENCE &amp; DECISIONS'!A872" TargetMode="External" Id="rId876"/><Relationship Type="http://schemas.openxmlformats.org/officeDocument/2006/relationships/hyperlink" Target="#'10 EVIDENCE &amp; DECISIONS'!A873" TargetMode="External" Id="rId877"/><Relationship Type="http://schemas.openxmlformats.org/officeDocument/2006/relationships/hyperlink" Target="#'10 EVIDENCE &amp; DECISIONS'!A874" TargetMode="External" Id="rId878"/><Relationship Type="http://schemas.openxmlformats.org/officeDocument/2006/relationships/hyperlink" Target="#'10 EVIDENCE &amp; DECISIONS'!A875" TargetMode="External" Id="rId879"/><Relationship Type="http://schemas.openxmlformats.org/officeDocument/2006/relationships/hyperlink" Target="#'10 EVIDENCE &amp; DECISIONS'!A876" TargetMode="External" Id="rId880"/><Relationship Type="http://schemas.openxmlformats.org/officeDocument/2006/relationships/hyperlink" Target="#'10 EVIDENCE &amp; DECISIONS'!A877" TargetMode="External" Id="rId881"/><Relationship Type="http://schemas.openxmlformats.org/officeDocument/2006/relationships/hyperlink" Target="#'10 EVIDENCE &amp; DECISIONS'!A878" TargetMode="External" Id="rId882"/><Relationship Type="http://schemas.openxmlformats.org/officeDocument/2006/relationships/hyperlink" Target="#'10 EVIDENCE &amp; DECISIONS'!A879" TargetMode="External" Id="rId883"/><Relationship Type="http://schemas.openxmlformats.org/officeDocument/2006/relationships/hyperlink" Target="#'10 EVIDENCE &amp; DECISIONS'!A880" TargetMode="External" Id="rId884"/><Relationship Type="http://schemas.openxmlformats.org/officeDocument/2006/relationships/hyperlink" Target="#'10 EVIDENCE &amp; DECISIONS'!A881" TargetMode="External" Id="rId885"/><Relationship Type="http://schemas.openxmlformats.org/officeDocument/2006/relationships/hyperlink" Target="#'10 EVIDENCE &amp; DECISIONS'!A882" TargetMode="External" Id="rId886"/><Relationship Type="http://schemas.openxmlformats.org/officeDocument/2006/relationships/hyperlink" Target="#'10 EVIDENCE &amp; DECISIONS'!A883" TargetMode="External" Id="rId887"/><Relationship Type="http://schemas.openxmlformats.org/officeDocument/2006/relationships/hyperlink" Target="#'10 EVIDENCE &amp; DECISIONS'!A884" TargetMode="External" Id="rId888"/><Relationship Type="http://schemas.openxmlformats.org/officeDocument/2006/relationships/hyperlink" Target="#'10 EVIDENCE &amp; DECISIONS'!A885" TargetMode="External" Id="rId889"/><Relationship Type="http://schemas.openxmlformats.org/officeDocument/2006/relationships/hyperlink" Target="#'10 EVIDENCE &amp; DECISIONS'!A886" TargetMode="External" Id="rId890"/><Relationship Type="http://schemas.openxmlformats.org/officeDocument/2006/relationships/hyperlink" Target="#'10 EVIDENCE &amp; DECISIONS'!A887" TargetMode="External" Id="rId891"/><Relationship Type="http://schemas.openxmlformats.org/officeDocument/2006/relationships/hyperlink" Target="#'10 EVIDENCE &amp; DECISIONS'!A888" TargetMode="External" Id="rId892"/><Relationship Type="http://schemas.openxmlformats.org/officeDocument/2006/relationships/hyperlink" Target="#'10 EVIDENCE &amp; DECISIONS'!A889" TargetMode="External" Id="rId893"/><Relationship Type="http://schemas.openxmlformats.org/officeDocument/2006/relationships/hyperlink" Target="#'10 EVIDENCE &amp; DECISIONS'!A890" TargetMode="External" Id="rId894"/><Relationship Type="http://schemas.openxmlformats.org/officeDocument/2006/relationships/hyperlink" Target="#'10 EVIDENCE &amp; DECISIONS'!A891" TargetMode="External" Id="rId895"/><Relationship Type="http://schemas.openxmlformats.org/officeDocument/2006/relationships/hyperlink" Target="#'10 EVIDENCE &amp; DECISIONS'!A892" TargetMode="External" Id="rId896"/><Relationship Type="http://schemas.openxmlformats.org/officeDocument/2006/relationships/hyperlink" Target="#'10 EVIDENCE &amp; DECISIONS'!A893" TargetMode="External" Id="rId897"/><Relationship Type="http://schemas.openxmlformats.org/officeDocument/2006/relationships/hyperlink" Target="#'10 EVIDENCE &amp; DECISIONS'!A894" TargetMode="External" Id="rId898"/><Relationship Type="http://schemas.openxmlformats.org/officeDocument/2006/relationships/hyperlink" Target="#'10 EVIDENCE &amp; DECISIONS'!A895" TargetMode="External" Id="rId899"/><Relationship Type="http://schemas.openxmlformats.org/officeDocument/2006/relationships/hyperlink" Target="#'10 EVIDENCE &amp; DECISIONS'!A896" TargetMode="External" Id="rId900"/><Relationship Type="http://schemas.openxmlformats.org/officeDocument/2006/relationships/hyperlink" Target="#'10 EVIDENCE &amp; DECISIONS'!A897" TargetMode="External" Id="rId901"/><Relationship Type="http://schemas.openxmlformats.org/officeDocument/2006/relationships/hyperlink" Target="#'10 EVIDENCE &amp; DECISIONS'!A898" TargetMode="External" Id="rId902"/><Relationship Type="http://schemas.openxmlformats.org/officeDocument/2006/relationships/hyperlink" Target="#'10 EVIDENCE &amp; DECISIONS'!A899" TargetMode="External" Id="rId903"/><Relationship Type="http://schemas.openxmlformats.org/officeDocument/2006/relationships/hyperlink" Target="#'10 EVIDENCE &amp; DECISIONS'!A900" TargetMode="External" Id="rId904"/><Relationship Type="http://schemas.openxmlformats.org/officeDocument/2006/relationships/hyperlink" Target="#'10 EVIDENCE &amp; DECISIONS'!A901" TargetMode="External" Id="rId905"/><Relationship Type="http://schemas.openxmlformats.org/officeDocument/2006/relationships/hyperlink" Target="#'10 EVIDENCE &amp; DECISIONS'!A902" TargetMode="External" Id="rId906"/><Relationship Type="http://schemas.openxmlformats.org/officeDocument/2006/relationships/hyperlink" Target="#'10 EVIDENCE &amp; DECISIONS'!A903" TargetMode="External" Id="rId907"/><Relationship Type="http://schemas.openxmlformats.org/officeDocument/2006/relationships/hyperlink" Target="#'10 EVIDENCE &amp; DECISIONS'!A904" TargetMode="External" Id="rId908"/><Relationship Type="http://schemas.openxmlformats.org/officeDocument/2006/relationships/hyperlink" Target="#'10 EVIDENCE &amp; DECISIONS'!A905" TargetMode="External" Id="rId909"/><Relationship Type="http://schemas.openxmlformats.org/officeDocument/2006/relationships/hyperlink" Target="#'10 EVIDENCE &amp; DECISIONS'!A906" TargetMode="External" Id="rId910"/><Relationship Type="http://schemas.openxmlformats.org/officeDocument/2006/relationships/hyperlink" Target="#'10 EVIDENCE &amp; DECISIONS'!A907" TargetMode="External" Id="rId911"/><Relationship Type="http://schemas.openxmlformats.org/officeDocument/2006/relationships/hyperlink" Target="#'10 EVIDENCE &amp; DECISIONS'!A908" TargetMode="External" Id="rId912"/><Relationship Type="http://schemas.openxmlformats.org/officeDocument/2006/relationships/hyperlink" Target="#'10 EVIDENCE &amp; DECISIONS'!A909" TargetMode="External" Id="rId913"/><Relationship Type="http://schemas.openxmlformats.org/officeDocument/2006/relationships/hyperlink" Target="#'10 EVIDENCE &amp; DECISIONS'!A910" TargetMode="External" Id="rId914"/><Relationship Type="http://schemas.openxmlformats.org/officeDocument/2006/relationships/hyperlink" Target="#'10 EVIDENCE &amp; DECISIONS'!A911" TargetMode="External" Id="rId915"/><Relationship Type="http://schemas.openxmlformats.org/officeDocument/2006/relationships/hyperlink" Target="#'10 EVIDENCE &amp; DECISIONS'!A912" TargetMode="External" Id="rId916"/><Relationship Type="http://schemas.openxmlformats.org/officeDocument/2006/relationships/hyperlink" Target="#'10 EVIDENCE &amp; DECISIONS'!A913" TargetMode="External" Id="rId917"/><Relationship Type="http://schemas.openxmlformats.org/officeDocument/2006/relationships/hyperlink" Target="#'10 EVIDENCE &amp; DECISIONS'!A914" TargetMode="External" Id="rId918"/><Relationship Type="http://schemas.openxmlformats.org/officeDocument/2006/relationships/hyperlink" Target="#'10 EVIDENCE &amp; DECISIONS'!A915" TargetMode="External" Id="rId919"/><Relationship Type="http://schemas.openxmlformats.org/officeDocument/2006/relationships/hyperlink" Target="#'10 EVIDENCE &amp; DECISIONS'!A916" TargetMode="External" Id="rId920"/><Relationship Type="http://schemas.openxmlformats.org/officeDocument/2006/relationships/hyperlink" Target="#'10 EVIDENCE &amp; DECISIONS'!A917" TargetMode="External" Id="rId921"/><Relationship Type="http://schemas.openxmlformats.org/officeDocument/2006/relationships/hyperlink" Target="#'10 EVIDENCE &amp; DECISIONS'!A918" TargetMode="External" Id="rId922"/><Relationship Type="http://schemas.openxmlformats.org/officeDocument/2006/relationships/hyperlink" Target="#'10 EVIDENCE &amp; DECISIONS'!A919" TargetMode="External" Id="rId923"/><Relationship Type="http://schemas.openxmlformats.org/officeDocument/2006/relationships/hyperlink" Target="#'10 EVIDENCE &amp; DECISIONS'!A920" TargetMode="External" Id="rId924"/><Relationship Type="http://schemas.openxmlformats.org/officeDocument/2006/relationships/hyperlink" Target="#'10 EVIDENCE &amp; DECISIONS'!A921" TargetMode="External" Id="rId925"/><Relationship Type="http://schemas.openxmlformats.org/officeDocument/2006/relationships/hyperlink" Target="#'10 EVIDENCE &amp; DECISIONS'!A922" TargetMode="External" Id="rId926"/><Relationship Type="http://schemas.openxmlformats.org/officeDocument/2006/relationships/hyperlink" Target="#'10 EVIDENCE &amp; DECISIONS'!A923" TargetMode="External" Id="rId927"/><Relationship Type="http://schemas.openxmlformats.org/officeDocument/2006/relationships/hyperlink" Target="#'10 EVIDENCE &amp; DECISIONS'!A924" TargetMode="External" Id="rId928"/><Relationship Type="http://schemas.openxmlformats.org/officeDocument/2006/relationships/hyperlink" Target="#'10 EVIDENCE &amp; DECISIONS'!A925" TargetMode="External" Id="rId929"/><Relationship Type="http://schemas.openxmlformats.org/officeDocument/2006/relationships/hyperlink" Target="#'10 EVIDENCE &amp; DECISIONS'!A926" TargetMode="External" Id="rId930"/><Relationship Type="http://schemas.openxmlformats.org/officeDocument/2006/relationships/hyperlink" Target="#'10 EVIDENCE &amp; DECISIONS'!A927" TargetMode="External" Id="rId931"/><Relationship Type="http://schemas.openxmlformats.org/officeDocument/2006/relationships/hyperlink" Target="#'10 EVIDENCE &amp; DECISIONS'!A928" TargetMode="External" Id="rId932"/><Relationship Type="http://schemas.openxmlformats.org/officeDocument/2006/relationships/hyperlink" Target="#'10 EVIDENCE &amp; DECISIONS'!A929" TargetMode="External" Id="rId933"/><Relationship Type="http://schemas.openxmlformats.org/officeDocument/2006/relationships/hyperlink" Target="#'10 EVIDENCE &amp; DECISIONS'!A930" TargetMode="External" Id="rId934"/><Relationship Type="http://schemas.openxmlformats.org/officeDocument/2006/relationships/hyperlink" Target="#'10 EVIDENCE &amp; DECISIONS'!A931" TargetMode="External" Id="rId935"/><Relationship Type="http://schemas.openxmlformats.org/officeDocument/2006/relationships/hyperlink" Target="#'10 EVIDENCE &amp; DECISIONS'!A932" TargetMode="External" Id="rId936"/><Relationship Type="http://schemas.openxmlformats.org/officeDocument/2006/relationships/hyperlink" Target="#'10 EVIDENCE &amp; DECISIONS'!A933" TargetMode="External" Id="rId937"/><Relationship Type="http://schemas.openxmlformats.org/officeDocument/2006/relationships/hyperlink" Target="#'10 EVIDENCE &amp; DECISIONS'!A934" TargetMode="External" Id="rId938"/><Relationship Type="http://schemas.openxmlformats.org/officeDocument/2006/relationships/hyperlink" Target="#'10 EVIDENCE &amp; DECISIONS'!A935" TargetMode="External" Id="rId939"/><Relationship Type="http://schemas.openxmlformats.org/officeDocument/2006/relationships/hyperlink" Target="#'10 EVIDENCE &amp; DECISIONS'!A936" TargetMode="External" Id="rId940"/><Relationship Type="http://schemas.openxmlformats.org/officeDocument/2006/relationships/hyperlink" Target="#'10 EVIDENCE &amp; DECISIONS'!A937" TargetMode="External" Id="rId941"/><Relationship Type="http://schemas.openxmlformats.org/officeDocument/2006/relationships/hyperlink" Target="#'10 EVIDENCE &amp; DECISIONS'!A938" TargetMode="External" Id="rId942"/><Relationship Type="http://schemas.openxmlformats.org/officeDocument/2006/relationships/hyperlink" Target="#'10 EVIDENCE &amp; DECISIONS'!A939" TargetMode="External" Id="rId943"/><Relationship Type="http://schemas.openxmlformats.org/officeDocument/2006/relationships/hyperlink" Target="#'10 EVIDENCE &amp; DECISIONS'!A940" TargetMode="External" Id="rId944"/><Relationship Type="http://schemas.openxmlformats.org/officeDocument/2006/relationships/hyperlink" Target="#'10 EVIDENCE &amp; DECISIONS'!A941" TargetMode="External" Id="rId945"/><Relationship Type="http://schemas.openxmlformats.org/officeDocument/2006/relationships/hyperlink" Target="#'10 EVIDENCE &amp; DECISIONS'!A942" TargetMode="External" Id="rId946"/><Relationship Type="http://schemas.openxmlformats.org/officeDocument/2006/relationships/hyperlink" Target="#'10 EVIDENCE &amp; DECISIONS'!A943" TargetMode="External" Id="rId947"/><Relationship Type="http://schemas.openxmlformats.org/officeDocument/2006/relationships/hyperlink" Target="#'10 EVIDENCE &amp; DECISIONS'!A944" TargetMode="External" Id="rId948"/><Relationship Type="http://schemas.openxmlformats.org/officeDocument/2006/relationships/hyperlink" Target="#'10 EVIDENCE &amp; DECISIONS'!A945" TargetMode="External" Id="rId949"/><Relationship Type="http://schemas.openxmlformats.org/officeDocument/2006/relationships/hyperlink" Target="#'10 EVIDENCE &amp; DECISIONS'!A946" TargetMode="External" Id="rId950"/><Relationship Type="http://schemas.openxmlformats.org/officeDocument/2006/relationships/hyperlink" Target="#'10 EVIDENCE &amp; DECISIONS'!A947" TargetMode="External" Id="rId951"/><Relationship Type="http://schemas.openxmlformats.org/officeDocument/2006/relationships/hyperlink" Target="#'10 EVIDENCE &amp; DECISIONS'!A948" TargetMode="External" Id="rId952"/><Relationship Type="http://schemas.openxmlformats.org/officeDocument/2006/relationships/hyperlink" Target="#'10 EVIDENCE &amp; DECISIONS'!A949" TargetMode="External" Id="rId953"/><Relationship Type="http://schemas.openxmlformats.org/officeDocument/2006/relationships/hyperlink" Target="#'10 EVIDENCE &amp; DECISIONS'!A950" TargetMode="External" Id="rId954"/><Relationship Type="http://schemas.openxmlformats.org/officeDocument/2006/relationships/hyperlink" Target="#'10 EVIDENCE &amp; DECISIONS'!A951" TargetMode="External" Id="rId955"/><Relationship Type="http://schemas.openxmlformats.org/officeDocument/2006/relationships/hyperlink" Target="#'10 EVIDENCE &amp; DECISIONS'!A952" TargetMode="External" Id="rId956"/><Relationship Type="http://schemas.openxmlformats.org/officeDocument/2006/relationships/hyperlink" Target="#'10 EVIDENCE &amp; DECISIONS'!A953" TargetMode="External" Id="rId957"/><Relationship Type="http://schemas.openxmlformats.org/officeDocument/2006/relationships/hyperlink" Target="#'10 EVIDENCE &amp; DECISIONS'!A954" TargetMode="External" Id="rId958"/><Relationship Type="http://schemas.openxmlformats.org/officeDocument/2006/relationships/hyperlink" Target="#'10 EVIDENCE &amp; DECISIONS'!A955" TargetMode="External" Id="rId959"/><Relationship Type="http://schemas.openxmlformats.org/officeDocument/2006/relationships/hyperlink" Target="#'10 EVIDENCE &amp; DECISIONS'!A956" TargetMode="External" Id="rId960"/><Relationship Type="http://schemas.openxmlformats.org/officeDocument/2006/relationships/hyperlink" Target="#'10 EVIDENCE &amp; DECISIONS'!A957" TargetMode="External" Id="rId961"/><Relationship Type="http://schemas.openxmlformats.org/officeDocument/2006/relationships/hyperlink" Target="#'10 EVIDENCE &amp; DECISIONS'!A958" TargetMode="External" Id="rId962"/><Relationship Type="http://schemas.openxmlformats.org/officeDocument/2006/relationships/hyperlink" Target="#'10 EVIDENCE &amp; DECISIONS'!A959" TargetMode="External" Id="rId963"/><Relationship Type="http://schemas.openxmlformats.org/officeDocument/2006/relationships/hyperlink" Target="#'10 EVIDENCE &amp; DECISIONS'!A960" TargetMode="External" Id="rId964"/><Relationship Type="http://schemas.openxmlformats.org/officeDocument/2006/relationships/hyperlink" Target="#'10 EVIDENCE &amp; DECISIONS'!A961" TargetMode="External" Id="rId965"/><Relationship Type="http://schemas.openxmlformats.org/officeDocument/2006/relationships/hyperlink" Target="#'10 EVIDENCE &amp; DECISIONS'!A962" TargetMode="External" Id="rId966"/><Relationship Type="http://schemas.openxmlformats.org/officeDocument/2006/relationships/hyperlink" Target="#'10 EVIDENCE &amp; DECISIONS'!A963" TargetMode="External" Id="rId967"/><Relationship Type="http://schemas.openxmlformats.org/officeDocument/2006/relationships/hyperlink" Target="#'10 EVIDENCE &amp; DECISIONS'!A964" TargetMode="External" Id="rId968"/><Relationship Type="http://schemas.openxmlformats.org/officeDocument/2006/relationships/hyperlink" Target="#'10 EVIDENCE &amp; DECISIONS'!A965" TargetMode="External" Id="rId969"/><Relationship Type="http://schemas.openxmlformats.org/officeDocument/2006/relationships/hyperlink" Target="#'10 EVIDENCE &amp; DECISIONS'!A966" TargetMode="External" Id="rId970"/><Relationship Type="http://schemas.openxmlformats.org/officeDocument/2006/relationships/hyperlink" Target="#'10 EVIDENCE &amp; DECISIONS'!A967" TargetMode="External" Id="rId971"/><Relationship Type="http://schemas.openxmlformats.org/officeDocument/2006/relationships/hyperlink" Target="#'10 EVIDENCE &amp; DECISIONS'!A968" TargetMode="External" Id="rId972"/><Relationship Type="http://schemas.openxmlformats.org/officeDocument/2006/relationships/hyperlink" Target="#'10 EVIDENCE &amp; DECISIONS'!A969" TargetMode="External" Id="rId973"/><Relationship Type="http://schemas.openxmlformats.org/officeDocument/2006/relationships/hyperlink" Target="#'10 EVIDENCE &amp; DECISIONS'!A970" TargetMode="External" Id="rId974"/><Relationship Type="http://schemas.openxmlformats.org/officeDocument/2006/relationships/hyperlink" Target="#'10 EVIDENCE &amp; DECISIONS'!A971" TargetMode="External" Id="rId975"/><Relationship Type="http://schemas.openxmlformats.org/officeDocument/2006/relationships/hyperlink" Target="#'10 EVIDENCE &amp; DECISIONS'!A972" TargetMode="External" Id="rId976"/><Relationship Type="http://schemas.openxmlformats.org/officeDocument/2006/relationships/hyperlink" Target="#'10 EVIDENCE &amp; DECISIONS'!A973" TargetMode="External" Id="rId977"/><Relationship Type="http://schemas.openxmlformats.org/officeDocument/2006/relationships/hyperlink" Target="#'10 EVIDENCE &amp; DECISIONS'!A974" TargetMode="External" Id="rId978"/><Relationship Type="http://schemas.openxmlformats.org/officeDocument/2006/relationships/hyperlink" Target="#'10 EVIDENCE &amp; DECISIONS'!A975" TargetMode="External" Id="rId979"/><Relationship Type="http://schemas.openxmlformats.org/officeDocument/2006/relationships/hyperlink" Target="#'10 EVIDENCE &amp; DECISIONS'!A976" TargetMode="External" Id="rId980"/><Relationship Type="http://schemas.openxmlformats.org/officeDocument/2006/relationships/hyperlink" Target="#'10 EVIDENCE &amp; DECISIONS'!A977" TargetMode="External" Id="rId981"/><Relationship Type="http://schemas.openxmlformats.org/officeDocument/2006/relationships/hyperlink" Target="#'10 EVIDENCE &amp; DECISIONS'!A978" TargetMode="External" Id="rId982"/><Relationship Type="http://schemas.openxmlformats.org/officeDocument/2006/relationships/hyperlink" Target="#'10 EVIDENCE &amp; DECISIONS'!A979" TargetMode="External" Id="rId983"/><Relationship Type="http://schemas.openxmlformats.org/officeDocument/2006/relationships/hyperlink" Target="#'10 EVIDENCE &amp; DECISIONS'!A980" TargetMode="External" Id="rId984"/><Relationship Type="http://schemas.openxmlformats.org/officeDocument/2006/relationships/hyperlink" Target="#'10 EVIDENCE &amp; DECISIONS'!A981" TargetMode="External" Id="rId985"/><Relationship Type="http://schemas.openxmlformats.org/officeDocument/2006/relationships/hyperlink" Target="#'10 EVIDENCE &amp; DECISIONS'!A982" TargetMode="External" Id="rId986"/><Relationship Type="http://schemas.openxmlformats.org/officeDocument/2006/relationships/hyperlink" Target="#'10 EVIDENCE &amp; DECISIONS'!A983" TargetMode="External" Id="rId987"/><Relationship Type="http://schemas.openxmlformats.org/officeDocument/2006/relationships/hyperlink" Target="#'10 EVIDENCE &amp; DECISIONS'!A984" TargetMode="External" Id="rId988"/><Relationship Type="http://schemas.openxmlformats.org/officeDocument/2006/relationships/hyperlink" Target="#'10 EVIDENCE &amp; DECISIONS'!A985" TargetMode="External" Id="rId989"/><Relationship Type="http://schemas.openxmlformats.org/officeDocument/2006/relationships/hyperlink" Target="#'10 EVIDENCE &amp; DECISIONS'!A986" TargetMode="External" Id="rId990"/><Relationship Type="http://schemas.openxmlformats.org/officeDocument/2006/relationships/hyperlink" Target="#'10 EVIDENCE &amp; DECISIONS'!A987" TargetMode="External" Id="rId991"/><Relationship Type="http://schemas.openxmlformats.org/officeDocument/2006/relationships/hyperlink" Target="#'10 EVIDENCE &amp; DECISIONS'!A988" TargetMode="External" Id="rId992"/><Relationship Type="http://schemas.openxmlformats.org/officeDocument/2006/relationships/hyperlink" Target="#'10 EVIDENCE &amp; DECISIONS'!A989" TargetMode="External" Id="rId993"/><Relationship Type="http://schemas.openxmlformats.org/officeDocument/2006/relationships/hyperlink" Target="#'10 EVIDENCE &amp; DECISIONS'!A990" TargetMode="External" Id="rId994"/><Relationship Type="http://schemas.openxmlformats.org/officeDocument/2006/relationships/hyperlink" Target="#'10 EVIDENCE &amp; DECISIONS'!A991" TargetMode="External" Id="rId995"/><Relationship Type="http://schemas.openxmlformats.org/officeDocument/2006/relationships/hyperlink" Target="#'10 EVIDENCE &amp; DECISIONS'!A992" TargetMode="External" Id="rId996"/><Relationship Type="http://schemas.openxmlformats.org/officeDocument/2006/relationships/hyperlink" Target="#'10 EVIDENCE &amp; DECISIONS'!A993" TargetMode="External" Id="rId997"/><Relationship Type="http://schemas.openxmlformats.org/officeDocument/2006/relationships/hyperlink" Target="#'10 EVIDENCE &amp; DECISIONS'!A994" TargetMode="External" Id="rId998"/><Relationship Type="http://schemas.openxmlformats.org/officeDocument/2006/relationships/hyperlink" Target="#'10 EVIDENCE &amp; DECISIONS'!A995" TargetMode="External" Id="rId999"/><Relationship Type="http://schemas.openxmlformats.org/officeDocument/2006/relationships/hyperlink" Target="#'10 EVIDENCE &amp; DECISIONS'!A996" TargetMode="External" Id="rId1000"/><Relationship Type="http://schemas.openxmlformats.org/officeDocument/2006/relationships/hyperlink" Target="#'10 EVIDENCE &amp; DECISIONS'!A997" TargetMode="External" Id="rId1001"/><Relationship Type="http://schemas.openxmlformats.org/officeDocument/2006/relationships/hyperlink" Target="#'10 EVIDENCE &amp; DECISIONS'!A998" TargetMode="External" Id="rId1002"/><Relationship Type="http://schemas.openxmlformats.org/officeDocument/2006/relationships/hyperlink" Target="#'10 EVIDENCE &amp; DECISIONS'!A999" TargetMode="External" Id="rId1003"/><Relationship Type="http://schemas.openxmlformats.org/officeDocument/2006/relationships/hyperlink" Target="#'10 EVIDENCE &amp; DECISIONS'!A1000" TargetMode="External" Id="rId1004"/><Relationship Type="http://schemas.openxmlformats.org/officeDocument/2006/relationships/hyperlink" Target="#'10 EVIDENCE &amp; DECISIONS'!A1001" TargetMode="External" Id="rId1005"/><Relationship Type="http://schemas.openxmlformats.org/officeDocument/2006/relationships/hyperlink" Target="#'10 EVIDENCE &amp; DECISIONS'!A1002" TargetMode="External" Id="rId1006"/><Relationship Type="http://schemas.openxmlformats.org/officeDocument/2006/relationships/hyperlink" Target="#'10 EVIDENCE &amp; DECISIONS'!A1003" TargetMode="External" Id="rId1007"/><Relationship Type="http://schemas.openxmlformats.org/officeDocument/2006/relationships/hyperlink" Target="#'10 EVIDENCE &amp; DECISIONS'!A1004" TargetMode="External" Id="rId1008"/><Relationship Type="http://schemas.openxmlformats.org/officeDocument/2006/relationships/hyperlink" Target="#'10 EVIDENCE &amp; DECISIONS'!A1005" TargetMode="External" Id="rId1009"/><Relationship Type="http://schemas.openxmlformats.org/officeDocument/2006/relationships/hyperlink" Target="#'10 EVIDENCE &amp; DECISIONS'!A1006" TargetMode="External" Id="rId1010"/><Relationship Type="http://schemas.openxmlformats.org/officeDocument/2006/relationships/hyperlink" Target="#'10 EVIDENCE &amp; DECISIONS'!A1007" TargetMode="External" Id="rId1011"/><Relationship Type="http://schemas.openxmlformats.org/officeDocument/2006/relationships/hyperlink" Target="#'10 EVIDENCE &amp; DECISIONS'!A1008" TargetMode="External" Id="rId1012"/><Relationship Type="http://schemas.openxmlformats.org/officeDocument/2006/relationships/hyperlink" Target="#'10 EVIDENCE &amp; DECISIONS'!A1009" TargetMode="External" Id="rId1013"/><Relationship Type="http://schemas.openxmlformats.org/officeDocument/2006/relationships/hyperlink" Target="#'10 EVIDENCE &amp; DECISIONS'!A1010" TargetMode="External" Id="rId1014"/><Relationship Type="http://schemas.openxmlformats.org/officeDocument/2006/relationships/hyperlink" Target="#'10 EVIDENCE &amp; DECISIONS'!A1011" TargetMode="External" Id="rId1015"/><Relationship Type="http://schemas.openxmlformats.org/officeDocument/2006/relationships/hyperlink" Target="#'10 EVIDENCE &amp; DECISIONS'!A1012" TargetMode="External" Id="rId1016"/><Relationship Type="http://schemas.openxmlformats.org/officeDocument/2006/relationships/hyperlink" Target="#'10 EVIDENCE &amp; DECISIONS'!A1013" TargetMode="External" Id="rId1017"/><Relationship Type="http://schemas.openxmlformats.org/officeDocument/2006/relationships/hyperlink" Target="#'10 EVIDENCE &amp; DECISIONS'!A1014" TargetMode="External" Id="rId1018"/><Relationship Type="http://schemas.openxmlformats.org/officeDocument/2006/relationships/hyperlink" Target="#'10 EVIDENCE &amp; DECISIONS'!A1015" TargetMode="External" Id="rId1019"/><Relationship Type="http://schemas.openxmlformats.org/officeDocument/2006/relationships/hyperlink" Target="#'10 EVIDENCE &amp; DECISIONS'!A1016" TargetMode="External" Id="rId1020"/><Relationship Type="http://schemas.openxmlformats.org/officeDocument/2006/relationships/hyperlink" Target="#'10 EVIDENCE &amp; DECISIONS'!A1017" TargetMode="External" Id="rId1021"/><Relationship Type="http://schemas.openxmlformats.org/officeDocument/2006/relationships/hyperlink" Target="#'10 EVIDENCE &amp; DECISIONS'!A1018" TargetMode="External" Id="rId1022"/><Relationship Type="http://schemas.openxmlformats.org/officeDocument/2006/relationships/hyperlink" Target="#'10 EVIDENCE &amp; DECISIONS'!A1019" TargetMode="External" Id="rId1023"/><Relationship Type="http://schemas.openxmlformats.org/officeDocument/2006/relationships/hyperlink" Target="#'10 EVIDENCE &amp; DECISIONS'!A1020" TargetMode="External" Id="rId1024"/><Relationship Type="http://schemas.openxmlformats.org/officeDocument/2006/relationships/hyperlink" Target="#'10 EVIDENCE &amp; DECISIONS'!A1021" TargetMode="External" Id="rId1025"/><Relationship Type="http://schemas.openxmlformats.org/officeDocument/2006/relationships/hyperlink" Target="#'10 EVIDENCE &amp; DECISIONS'!A1022" TargetMode="External" Id="rId1026"/><Relationship Type="http://schemas.openxmlformats.org/officeDocument/2006/relationships/hyperlink" Target="#'10 EVIDENCE &amp; DECISIONS'!A1023" TargetMode="External" Id="rId1027"/><Relationship Type="http://schemas.openxmlformats.org/officeDocument/2006/relationships/hyperlink" Target="#'10 EVIDENCE &amp; DECISIONS'!A1024" TargetMode="External" Id="rId1028"/><Relationship Type="http://schemas.openxmlformats.org/officeDocument/2006/relationships/hyperlink" Target="#'10 EVIDENCE &amp; DECISIONS'!A1025" TargetMode="External" Id="rId1029"/><Relationship Type="http://schemas.openxmlformats.org/officeDocument/2006/relationships/hyperlink" Target="#'10 EVIDENCE &amp; DECISIONS'!A1026" TargetMode="External" Id="rId1030"/><Relationship Type="http://schemas.openxmlformats.org/officeDocument/2006/relationships/hyperlink" Target="#'10 EVIDENCE &amp; DECISIONS'!A1027" TargetMode="External" Id="rId1031"/><Relationship Type="http://schemas.openxmlformats.org/officeDocument/2006/relationships/hyperlink" Target="#'10 EVIDENCE &amp; DECISIONS'!A1028" TargetMode="External" Id="rId1032"/><Relationship Type="http://schemas.openxmlformats.org/officeDocument/2006/relationships/hyperlink" Target="#'10 EVIDENCE &amp; DECISIONS'!A1029" TargetMode="External" Id="rId1033"/><Relationship Type="http://schemas.openxmlformats.org/officeDocument/2006/relationships/hyperlink" Target="#'10 EVIDENCE &amp; DECISIONS'!A1030" TargetMode="External" Id="rId1034"/><Relationship Type="http://schemas.openxmlformats.org/officeDocument/2006/relationships/hyperlink" Target="#'10 EVIDENCE &amp; DECISIONS'!A1031" TargetMode="External" Id="rId1035"/><Relationship Type="http://schemas.openxmlformats.org/officeDocument/2006/relationships/hyperlink" Target="#'10 EVIDENCE &amp; DECISIONS'!A1032" TargetMode="External" Id="rId1036"/><Relationship Type="http://schemas.openxmlformats.org/officeDocument/2006/relationships/hyperlink" Target="#'10 EVIDENCE &amp; DECISIONS'!A1033" TargetMode="External" Id="rId1037"/><Relationship Type="http://schemas.openxmlformats.org/officeDocument/2006/relationships/hyperlink" Target="#'10 EVIDENCE &amp; DECISIONS'!A1034" TargetMode="External" Id="rId1038"/><Relationship Type="http://schemas.openxmlformats.org/officeDocument/2006/relationships/hyperlink" Target="#'10 EVIDENCE &amp; DECISIONS'!A1035" TargetMode="External" Id="rId1039"/><Relationship Type="http://schemas.openxmlformats.org/officeDocument/2006/relationships/hyperlink" Target="#'10 EVIDENCE &amp; DECISIONS'!A1036" TargetMode="External" Id="rId1040"/><Relationship Type="http://schemas.openxmlformats.org/officeDocument/2006/relationships/hyperlink" Target="#'10 EVIDENCE &amp; DECISIONS'!A1037" TargetMode="External" Id="rId1041"/><Relationship Type="http://schemas.openxmlformats.org/officeDocument/2006/relationships/hyperlink" Target="#'10 EVIDENCE &amp; DECISIONS'!A1038" TargetMode="External" Id="rId1042"/><Relationship Type="http://schemas.openxmlformats.org/officeDocument/2006/relationships/hyperlink" Target="#'10 EVIDENCE &amp; DECISIONS'!A1039" TargetMode="External" Id="rId1043"/><Relationship Type="http://schemas.openxmlformats.org/officeDocument/2006/relationships/hyperlink" Target="#'10 EVIDENCE &amp; DECISIONS'!A1040" TargetMode="External" Id="rId1044"/><Relationship Type="http://schemas.openxmlformats.org/officeDocument/2006/relationships/hyperlink" Target="#'10 EVIDENCE &amp; DECISIONS'!A1041" TargetMode="External" Id="rId1045"/><Relationship Type="http://schemas.openxmlformats.org/officeDocument/2006/relationships/hyperlink" Target="#'10 EVIDENCE &amp; DECISIONS'!A1042" TargetMode="External" Id="rId1046"/><Relationship Type="http://schemas.openxmlformats.org/officeDocument/2006/relationships/hyperlink" Target="#'10 EVIDENCE &amp; DECISIONS'!A1043" TargetMode="External" Id="rId1047"/><Relationship Type="http://schemas.openxmlformats.org/officeDocument/2006/relationships/hyperlink" Target="#'10 EVIDENCE &amp; DECISIONS'!A1044" TargetMode="External" Id="rId1048"/><Relationship Type="http://schemas.openxmlformats.org/officeDocument/2006/relationships/hyperlink" Target="#'10 EVIDENCE &amp; DECISIONS'!A1045" TargetMode="External" Id="rId1049"/><Relationship Type="http://schemas.openxmlformats.org/officeDocument/2006/relationships/hyperlink" Target="#'10 EVIDENCE &amp; DECISIONS'!A1046" TargetMode="External" Id="rId1050"/><Relationship Type="http://schemas.openxmlformats.org/officeDocument/2006/relationships/hyperlink" Target="#'10 EVIDENCE &amp; DECISIONS'!A1047" TargetMode="External" Id="rId1051"/><Relationship Type="http://schemas.openxmlformats.org/officeDocument/2006/relationships/hyperlink" Target="#'10 EVIDENCE &amp; DECISIONS'!A1048" TargetMode="External" Id="rId1052"/><Relationship Type="http://schemas.openxmlformats.org/officeDocument/2006/relationships/hyperlink" Target="#'10 EVIDENCE &amp; DECISIONS'!A1049" TargetMode="External" Id="rId1053"/><Relationship Type="http://schemas.openxmlformats.org/officeDocument/2006/relationships/hyperlink" Target="#'10 EVIDENCE &amp; DECISIONS'!A1050" TargetMode="External" Id="rId1054"/><Relationship Type="http://schemas.openxmlformats.org/officeDocument/2006/relationships/hyperlink" Target="#'10 EVIDENCE &amp; DECISIONS'!A1051" TargetMode="External" Id="rId1055"/><Relationship Type="http://schemas.openxmlformats.org/officeDocument/2006/relationships/hyperlink" Target="#'10 EVIDENCE &amp; DECISIONS'!A1052" TargetMode="External" Id="rId1056"/><Relationship Type="http://schemas.openxmlformats.org/officeDocument/2006/relationships/hyperlink" Target="#'10 EVIDENCE &amp; DECISIONS'!A1053" TargetMode="External" Id="rId1057"/><Relationship Type="http://schemas.openxmlformats.org/officeDocument/2006/relationships/hyperlink" Target="#'10 EVIDENCE &amp; DECISIONS'!A1054" TargetMode="External" Id="rId1058"/><Relationship Type="http://schemas.openxmlformats.org/officeDocument/2006/relationships/hyperlink" Target="#'10 EVIDENCE &amp; DECISIONS'!A1055" TargetMode="External" Id="rId1059"/><Relationship Type="http://schemas.openxmlformats.org/officeDocument/2006/relationships/hyperlink" Target="#'10 EVIDENCE &amp; DECISIONS'!A1056" TargetMode="External" Id="rId1060"/><Relationship Type="http://schemas.openxmlformats.org/officeDocument/2006/relationships/hyperlink" Target="#'10 EVIDENCE &amp; DECISIONS'!A1057" TargetMode="External" Id="rId1061"/><Relationship Type="http://schemas.openxmlformats.org/officeDocument/2006/relationships/hyperlink" Target="#'10 EVIDENCE &amp; DECISIONS'!A1058" TargetMode="External" Id="rId1062"/><Relationship Type="http://schemas.openxmlformats.org/officeDocument/2006/relationships/hyperlink" Target="#'10 EVIDENCE &amp; DECISIONS'!A1059" TargetMode="External" Id="rId1063"/><Relationship Type="http://schemas.openxmlformats.org/officeDocument/2006/relationships/hyperlink" Target="#'10 EVIDENCE &amp; DECISIONS'!A1060" TargetMode="External" Id="rId1064"/><Relationship Type="http://schemas.openxmlformats.org/officeDocument/2006/relationships/hyperlink" Target="#'10 EVIDENCE &amp; DECISIONS'!A1061" TargetMode="External" Id="rId1065"/><Relationship Type="http://schemas.openxmlformats.org/officeDocument/2006/relationships/hyperlink" Target="#'10 EVIDENCE &amp; DECISIONS'!A1062" TargetMode="External" Id="rId1066"/><Relationship Type="http://schemas.openxmlformats.org/officeDocument/2006/relationships/hyperlink" Target="#'10 EVIDENCE &amp; DECISIONS'!A1063" TargetMode="External" Id="rId1067"/><Relationship Type="http://schemas.openxmlformats.org/officeDocument/2006/relationships/hyperlink" Target="#'10 EVIDENCE &amp; DECISIONS'!A1064" TargetMode="External" Id="rId1068"/><Relationship Type="http://schemas.openxmlformats.org/officeDocument/2006/relationships/hyperlink" Target="#'10 EVIDENCE &amp; DECISIONS'!A1065" TargetMode="External" Id="rId1069"/><Relationship Type="http://schemas.openxmlformats.org/officeDocument/2006/relationships/hyperlink" Target="#'10 EVIDENCE &amp; DECISIONS'!A1066" TargetMode="External" Id="rId1070"/><Relationship Type="http://schemas.openxmlformats.org/officeDocument/2006/relationships/hyperlink" Target="#'10 EVIDENCE &amp; DECISIONS'!A1067" TargetMode="External" Id="rId1071"/><Relationship Type="http://schemas.openxmlformats.org/officeDocument/2006/relationships/hyperlink" Target="#'10 EVIDENCE &amp; DECISIONS'!A1068" TargetMode="External" Id="rId1072"/><Relationship Type="http://schemas.openxmlformats.org/officeDocument/2006/relationships/hyperlink" Target="#'10 EVIDENCE &amp; DECISIONS'!A1069" TargetMode="External" Id="rId1073"/><Relationship Type="http://schemas.openxmlformats.org/officeDocument/2006/relationships/hyperlink" Target="#'10 EVIDENCE &amp; DECISIONS'!A1070" TargetMode="External" Id="rId1074"/><Relationship Type="http://schemas.openxmlformats.org/officeDocument/2006/relationships/hyperlink" Target="#'10 EVIDENCE &amp; DECISIONS'!A1071" TargetMode="External" Id="rId1075"/><Relationship Type="http://schemas.openxmlformats.org/officeDocument/2006/relationships/hyperlink" Target="#'10 EVIDENCE &amp; DECISIONS'!A1072" TargetMode="External" Id="rId1076"/><Relationship Type="http://schemas.openxmlformats.org/officeDocument/2006/relationships/hyperlink" Target="#'10 EVIDENCE &amp; DECISIONS'!A1073" TargetMode="External" Id="rId1077"/><Relationship Type="http://schemas.openxmlformats.org/officeDocument/2006/relationships/hyperlink" Target="#'10 EVIDENCE &amp; DECISIONS'!A1074" TargetMode="External" Id="rId1078"/><Relationship Type="http://schemas.openxmlformats.org/officeDocument/2006/relationships/hyperlink" Target="#'10 EVIDENCE &amp; DECISIONS'!A1075" TargetMode="External" Id="rId1079"/><Relationship Type="http://schemas.openxmlformats.org/officeDocument/2006/relationships/hyperlink" Target="#'10 EVIDENCE &amp; DECISIONS'!A1076" TargetMode="External" Id="rId1080"/><Relationship Type="http://schemas.openxmlformats.org/officeDocument/2006/relationships/hyperlink" Target="#'10 EVIDENCE &amp; DECISIONS'!A1077" TargetMode="External" Id="rId1081"/><Relationship Type="http://schemas.openxmlformats.org/officeDocument/2006/relationships/hyperlink" Target="#'10 EVIDENCE &amp; DECISIONS'!A1078" TargetMode="External" Id="rId1082"/><Relationship Type="http://schemas.openxmlformats.org/officeDocument/2006/relationships/hyperlink" Target="#'10 EVIDENCE &amp; DECISIONS'!A1079" TargetMode="External" Id="rId1083"/><Relationship Type="http://schemas.openxmlformats.org/officeDocument/2006/relationships/hyperlink" Target="#'10 EVIDENCE &amp; DECISIONS'!A1080" TargetMode="External" Id="rId1084"/><Relationship Type="http://schemas.openxmlformats.org/officeDocument/2006/relationships/hyperlink" Target="#'10 EVIDENCE &amp; DECISIONS'!A1081" TargetMode="External" Id="rId1085"/><Relationship Type="http://schemas.openxmlformats.org/officeDocument/2006/relationships/hyperlink" Target="#'10 EVIDENCE &amp; DECISIONS'!A1082" TargetMode="External" Id="rId1086"/><Relationship Type="http://schemas.openxmlformats.org/officeDocument/2006/relationships/hyperlink" Target="#'10 EVIDENCE &amp; DECISIONS'!A1083" TargetMode="External" Id="rId1087"/><Relationship Type="http://schemas.openxmlformats.org/officeDocument/2006/relationships/hyperlink" Target="#'10 EVIDENCE &amp; DECISIONS'!A1084" TargetMode="External" Id="rId1088"/><Relationship Type="http://schemas.openxmlformats.org/officeDocument/2006/relationships/hyperlink" Target="#'10 EVIDENCE &amp; DECISIONS'!A1085" TargetMode="External" Id="rId1089"/><Relationship Type="http://schemas.openxmlformats.org/officeDocument/2006/relationships/hyperlink" Target="#'10 EVIDENCE &amp; DECISIONS'!A1086" TargetMode="External" Id="rId1090"/><Relationship Type="http://schemas.openxmlformats.org/officeDocument/2006/relationships/hyperlink" Target="#'10 EVIDENCE &amp; DECISIONS'!A1087" TargetMode="External" Id="rId1091"/><Relationship Type="http://schemas.openxmlformats.org/officeDocument/2006/relationships/hyperlink" Target="#'10 EVIDENCE &amp; DECISIONS'!A1088" TargetMode="External" Id="rId1092"/><Relationship Type="http://schemas.openxmlformats.org/officeDocument/2006/relationships/hyperlink" Target="#'10 EVIDENCE &amp; DECISIONS'!A1089" TargetMode="External" Id="rId1093"/><Relationship Type="http://schemas.openxmlformats.org/officeDocument/2006/relationships/hyperlink" Target="#'10 EVIDENCE &amp; DECISIONS'!A1090" TargetMode="External" Id="rId1094"/><Relationship Type="http://schemas.openxmlformats.org/officeDocument/2006/relationships/hyperlink" Target="#'10 EVIDENCE &amp; DECISIONS'!A1091" TargetMode="External" Id="rId1095"/><Relationship Type="http://schemas.openxmlformats.org/officeDocument/2006/relationships/hyperlink" Target="#'10 EVIDENCE &amp; DECISIONS'!A1092" TargetMode="External" Id="rId1096"/><Relationship Type="http://schemas.openxmlformats.org/officeDocument/2006/relationships/hyperlink" Target="#'10 EVIDENCE &amp; DECISIONS'!A1093" TargetMode="External" Id="rId1097"/><Relationship Type="http://schemas.openxmlformats.org/officeDocument/2006/relationships/hyperlink" Target="#'10 EVIDENCE &amp; DECISIONS'!A1094" TargetMode="External" Id="rId1098"/><Relationship Type="http://schemas.openxmlformats.org/officeDocument/2006/relationships/hyperlink" Target="#'10 EVIDENCE &amp; DECISIONS'!A1095" TargetMode="External" Id="rId1099"/><Relationship Type="http://schemas.openxmlformats.org/officeDocument/2006/relationships/hyperlink" Target="#'10 EVIDENCE &amp; DECISIONS'!A1096" TargetMode="External" Id="rId1100"/><Relationship Type="http://schemas.openxmlformats.org/officeDocument/2006/relationships/hyperlink" Target="#'10 EVIDENCE &amp; DECISIONS'!A1097" TargetMode="External" Id="rId1101"/><Relationship Type="http://schemas.openxmlformats.org/officeDocument/2006/relationships/hyperlink" Target="#'10 EVIDENCE &amp; DECISIONS'!A1098" TargetMode="External" Id="rId1102"/><Relationship Type="http://schemas.openxmlformats.org/officeDocument/2006/relationships/hyperlink" Target="#'10 EVIDENCE &amp; DECISIONS'!A1099" TargetMode="External" Id="rId1103"/><Relationship Type="http://schemas.openxmlformats.org/officeDocument/2006/relationships/hyperlink" Target="#'10 EVIDENCE &amp; DECISIONS'!A1100" TargetMode="External" Id="rId1104"/><Relationship Type="http://schemas.openxmlformats.org/officeDocument/2006/relationships/hyperlink" Target="#'10 EVIDENCE &amp; DECISIONS'!A1101" TargetMode="External" Id="rId1105"/><Relationship Type="http://schemas.openxmlformats.org/officeDocument/2006/relationships/hyperlink" Target="#'10 EVIDENCE &amp; DECISIONS'!A1102" TargetMode="External" Id="rId1106"/><Relationship Type="http://schemas.openxmlformats.org/officeDocument/2006/relationships/hyperlink" Target="#'10 EVIDENCE &amp; DECISIONS'!A1103" TargetMode="External" Id="rId1107"/><Relationship Type="http://schemas.openxmlformats.org/officeDocument/2006/relationships/hyperlink" Target="#'10 EVIDENCE &amp; DECISIONS'!A1104" TargetMode="External" Id="rId1108"/><Relationship Type="http://schemas.openxmlformats.org/officeDocument/2006/relationships/hyperlink" Target="#'10 EVIDENCE &amp; DECISIONS'!A1105" TargetMode="External" Id="rId1109"/><Relationship Type="http://schemas.openxmlformats.org/officeDocument/2006/relationships/hyperlink" Target="#'10 EVIDENCE &amp; DECISIONS'!A1106" TargetMode="External" Id="rId1110"/><Relationship Type="http://schemas.openxmlformats.org/officeDocument/2006/relationships/hyperlink" Target="#'10 EVIDENCE &amp; DECISIONS'!A1107" TargetMode="External" Id="rId1111"/><Relationship Type="http://schemas.openxmlformats.org/officeDocument/2006/relationships/hyperlink" Target="#'10 EVIDENCE &amp; DECISIONS'!A1108" TargetMode="External" Id="rId1112"/><Relationship Type="http://schemas.openxmlformats.org/officeDocument/2006/relationships/hyperlink" Target="#'10 EVIDENCE &amp; DECISIONS'!A1109" TargetMode="External" Id="rId1113"/><Relationship Type="http://schemas.openxmlformats.org/officeDocument/2006/relationships/hyperlink" Target="#'10 EVIDENCE &amp; DECISIONS'!A1110" TargetMode="External" Id="rId1114"/><Relationship Type="http://schemas.openxmlformats.org/officeDocument/2006/relationships/hyperlink" Target="#'10 EVIDENCE &amp; DECISIONS'!A1111" TargetMode="External" Id="rId1115"/><Relationship Type="http://schemas.openxmlformats.org/officeDocument/2006/relationships/hyperlink" Target="#'10 EVIDENCE &amp; DECISIONS'!A1112" TargetMode="External" Id="rId1116"/><Relationship Type="http://schemas.openxmlformats.org/officeDocument/2006/relationships/hyperlink" Target="#'10 EVIDENCE &amp; DECISIONS'!A1113" TargetMode="External" Id="rId1117"/><Relationship Type="http://schemas.openxmlformats.org/officeDocument/2006/relationships/hyperlink" Target="#'10 EVIDENCE &amp; DECISIONS'!A1114" TargetMode="External" Id="rId1118"/><Relationship Type="http://schemas.openxmlformats.org/officeDocument/2006/relationships/hyperlink" Target="#'10 EVIDENCE &amp; DECISIONS'!A1115" TargetMode="External" Id="rId1119"/><Relationship Type="http://schemas.openxmlformats.org/officeDocument/2006/relationships/hyperlink" Target="#'10 EVIDENCE &amp; DECISIONS'!A1116" TargetMode="External" Id="rId1120"/><Relationship Type="http://schemas.openxmlformats.org/officeDocument/2006/relationships/hyperlink" Target="#'10 EVIDENCE &amp; DECISIONS'!A1117" TargetMode="External" Id="rId1121"/><Relationship Type="http://schemas.openxmlformats.org/officeDocument/2006/relationships/hyperlink" Target="#'10 EVIDENCE &amp; DECISIONS'!A1118" TargetMode="External" Id="rId1122"/><Relationship Type="http://schemas.openxmlformats.org/officeDocument/2006/relationships/hyperlink" Target="#'10 EVIDENCE &amp; DECISIONS'!A1119" TargetMode="External" Id="rId1123"/><Relationship Type="http://schemas.openxmlformats.org/officeDocument/2006/relationships/hyperlink" Target="#'10 EVIDENCE &amp; DECISIONS'!A1120" TargetMode="External" Id="rId1124"/><Relationship Type="http://schemas.openxmlformats.org/officeDocument/2006/relationships/hyperlink" Target="#'10 EVIDENCE &amp; DECISIONS'!A1121" TargetMode="External" Id="rId1125"/><Relationship Type="http://schemas.openxmlformats.org/officeDocument/2006/relationships/hyperlink" Target="#'10 EVIDENCE &amp; DECISIONS'!A1122" TargetMode="External" Id="rId1126"/><Relationship Type="http://schemas.openxmlformats.org/officeDocument/2006/relationships/hyperlink" Target="#'10 EVIDENCE &amp; DECISIONS'!A1123" TargetMode="External" Id="rId1127"/><Relationship Type="http://schemas.openxmlformats.org/officeDocument/2006/relationships/hyperlink" Target="#'10 EVIDENCE &amp; DECISIONS'!A1124" TargetMode="External" Id="rId1128"/><Relationship Type="http://schemas.openxmlformats.org/officeDocument/2006/relationships/hyperlink" Target="#'10 EVIDENCE &amp; DECISIONS'!A1125" TargetMode="External" Id="rId1129"/><Relationship Type="http://schemas.openxmlformats.org/officeDocument/2006/relationships/hyperlink" Target="#'10 EVIDENCE &amp; DECISIONS'!A1126" TargetMode="External" Id="rId1130"/><Relationship Type="http://schemas.openxmlformats.org/officeDocument/2006/relationships/hyperlink" Target="#'10 EVIDENCE &amp; DECISIONS'!A1127" TargetMode="External" Id="rId1131"/><Relationship Type="http://schemas.openxmlformats.org/officeDocument/2006/relationships/hyperlink" Target="#'10 EVIDENCE &amp; DECISIONS'!A1128" TargetMode="External" Id="rId1132"/><Relationship Type="http://schemas.openxmlformats.org/officeDocument/2006/relationships/hyperlink" Target="#'10 EVIDENCE &amp; DECISIONS'!A1129" TargetMode="External" Id="rId1133"/><Relationship Type="http://schemas.openxmlformats.org/officeDocument/2006/relationships/hyperlink" Target="#'10 EVIDENCE &amp; DECISIONS'!A1130" TargetMode="External" Id="rId1134"/><Relationship Type="http://schemas.openxmlformats.org/officeDocument/2006/relationships/hyperlink" Target="#'10 EVIDENCE &amp; DECISIONS'!A1131" TargetMode="External" Id="rId1135"/><Relationship Type="http://schemas.openxmlformats.org/officeDocument/2006/relationships/hyperlink" Target="#'10 EVIDENCE &amp; DECISIONS'!A1132" TargetMode="External" Id="rId1136"/><Relationship Type="http://schemas.openxmlformats.org/officeDocument/2006/relationships/hyperlink" Target="#'10 EVIDENCE &amp; DECISIONS'!A1133" TargetMode="External" Id="rId1137"/><Relationship Type="http://schemas.openxmlformats.org/officeDocument/2006/relationships/hyperlink" Target="#'10 EVIDENCE &amp; DECISIONS'!A1134" TargetMode="External" Id="rId1138"/><Relationship Type="http://schemas.openxmlformats.org/officeDocument/2006/relationships/hyperlink" Target="#'10 EVIDENCE &amp; DECISIONS'!A1135" TargetMode="External" Id="rId1139"/><Relationship Type="http://schemas.openxmlformats.org/officeDocument/2006/relationships/hyperlink" Target="#'10 EVIDENCE &amp; DECISIONS'!A1136" TargetMode="External" Id="rId1140"/><Relationship Type="http://schemas.openxmlformats.org/officeDocument/2006/relationships/hyperlink" Target="#'10 EVIDENCE &amp; DECISIONS'!A1137" TargetMode="External" Id="rId1141"/><Relationship Type="http://schemas.openxmlformats.org/officeDocument/2006/relationships/hyperlink" Target="#'10 EVIDENCE &amp; DECISIONS'!A1138" TargetMode="External" Id="rId1142"/><Relationship Type="http://schemas.openxmlformats.org/officeDocument/2006/relationships/hyperlink" Target="#'10 EVIDENCE &amp; DECISIONS'!A1139" TargetMode="External" Id="rId1143"/><Relationship Type="http://schemas.openxmlformats.org/officeDocument/2006/relationships/hyperlink" Target="#'10 EVIDENCE &amp; DECISIONS'!A1140" TargetMode="External" Id="rId1144"/><Relationship Type="http://schemas.openxmlformats.org/officeDocument/2006/relationships/hyperlink" Target="#'10 EVIDENCE &amp; DECISIONS'!A1141" TargetMode="External" Id="rId1145"/><Relationship Type="http://schemas.openxmlformats.org/officeDocument/2006/relationships/hyperlink" Target="#'10 EVIDENCE &amp; DECISIONS'!A1142" TargetMode="External" Id="rId1146"/><Relationship Type="http://schemas.openxmlformats.org/officeDocument/2006/relationships/hyperlink" Target="#'10 EVIDENCE &amp; DECISIONS'!A1143" TargetMode="External" Id="rId1147"/><Relationship Type="http://schemas.openxmlformats.org/officeDocument/2006/relationships/hyperlink" Target="#'10 EVIDENCE &amp; DECISIONS'!A1144" TargetMode="External" Id="rId1148"/><Relationship Type="http://schemas.openxmlformats.org/officeDocument/2006/relationships/hyperlink" Target="#'10 EVIDENCE &amp; DECISIONS'!A1145" TargetMode="External" Id="rId1149"/><Relationship Type="http://schemas.openxmlformats.org/officeDocument/2006/relationships/hyperlink" Target="#'10 EVIDENCE &amp; DECISIONS'!A1146" TargetMode="External" Id="rId1150"/><Relationship Type="http://schemas.openxmlformats.org/officeDocument/2006/relationships/hyperlink" Target="#'10 EVIDENCE &amp; DECISIONS'!A1147" TargetMode="External" Id="rId1151"/><Relationship Type="http://schemas.openxmlformats.org/officeDocument/2006/relationships/hyperlink" Target="#'10 EVIDENCE &amp; DECISIONS'!A1148" TargetMode="External" Id="rId1152"/><Relationship Type="http://schemas.openxmlformats.org/officeDocument/2006/relationships/hyperlink" Target="#'10 EVIDENCE &amp; DECISIONS'!A1149" TargetMode="External" Id="rId1153"/><Relationship Type="http://schemas.openxmlformats.org/officeDocument/2006/relationships/hyperlink" Target="#'10 EVIDENCE &amp; DECISIONS'!A1150" TargetMode="External" Id="rId1154"/><Relationship Type="http://schemas.openxmlformats.org/officeDocument/2006/relationships/hyperlink" Target="#'10 EVIDENCE &amp; DECISIONS'!A1151" TargetMode="External" Id="rId1155"/><Relationship Type="http://schemas.openxmlformats.org/officeDocument/2006/relationships/hyperlink" Target="#'10 EVIDENCE &amp; DECISIONS'!A1152" TargetMode="External" Id="rId1156"/><Relationship Type="http://schemas.openxmlformats.org/officeDocument/2006/relationships/hyperlink" Target="#'10 EVIDENCE &amp; DECISIONS'!A1153" TargetMode="External" Id="rId1157"/><Relationship Type="http://schemas.openxmlformats.org/officeDocument/2006/relationships/hyperlink" Target="#'10 EVIDENCE &amp; DECISIONS'!A1154" TargetMode="External" Id="rId1158"/><Relationship Type="http://schemas.openxmlformats.org/officeDocument/2006/relationships/hyperlink" Target="#'10 EVIDENCE &amp; DECISIONS'!A1155" TargetMode="External" Id="rId1159"/><Relationship Type="http://schemas.openxmlformats.org/officeDocument/2006/relationships/hyperlink" Target="#'10 EVIDENCE &amp; DECISIONS'!A1156" TargetMode="External" Id="rId1160"/><Relationship Type="http://schemas.openxmlformats.org/officeDocument/2006/relationships/hyperlink" Target="#'10 EVIDENCE &amp; DECISIONS'!A1157" TargetMode="External" Id="rId1161"/><Relationship Type="http://schemas.openxmlformats.org/officeDocument/2006/relationships/hyperlink" Target="#'10 EVIDENCE &amp; DECISIONS'!A1158" TargetMode="External" Id="rId1162"/><Relationship Type="http://schemas.openxmlformats.org/officeDocument/2006/relationships/hyperlink" Target="#'10 EVIDENCE &amp; DECISIONS'!A1159" TargetMode="External" Id="rId1163"/><Relationship Type="http://schemas.openxmlformats.org/officeDocument/2006/relationships/hyperlink" Target="#'10 EVIDENCE &amp; DECISIONS'!A1160" TargetMode="External" Id="rId1164"/><Relationship Type="http://schemas.openxmlformats.org/officeDocument/2006/relationships/hyperlink" Target="#'10 EVIDENCE &amp; DECISIONS'!A1161" TargetMode="External" Id="rId1165"/><Relationship Type="http://schemas.openxmlformats.org/officeDocument/2006/relationships/hyperlink" Target="#'10 EVIDENCE &amp; DECISIONS'!A1162" TargetMode="External" Id="rId1166"/><Relationship Type="http://schemas.openxmlformats.org/officeDocument/2006/relationships/hyperlink" Target="#'10 EVIDENCE &amp; DECISIONS'!A1163" TargetMode="External" Id="rId1167"/><Relationship Type="http://schemas.openxmlformats.org/officeDocument/2006/relationships/hyperlink" Target="#'10 EVIDENCE &amp; DECISIONS'!A1164" TargetMode="External" Id="rId1168"/><Relationship Type="http://schemas.openxmlformats.org/officeDocument/2006/relationships/hyperlink" Target="#'10 EVIDENCE &amp; DECISIONS'!A1165" TargetMode="External" Id="rId1169"/><Relationship Type="http://schemas.openxmlformats.org/officeDocument/2006/relationships/hyperlink" Target="#'10 EVIDENCE &amp; DECISIONS'!A1166" TargetMode="External" Id="rId1170"/><Relationship Type="http://schemas.openxmlformats.org/officeDocument/2006/relationships/hyperlink" Target="#'10 EVIDENCE &amp; DECISIONS'!A1167" TargetMode="External" Id="rId1171"/><Relationship Type="http://schemas.openxmlformats.org/officeDocument/2006/relationships/hyperlink" Target="#'10 EVIDENCE &amp; DECISIONS'!A1168" TargetMode="External" Id="rId1172"/><Relationship Type="http://schemas.openxmlformats.org/officeDocument/2006/relationships/hyperlink" Target="#'10 EVIDENCE &amp; DECISIONS'!A1169" TargetMode="External" Id="rId1173"/><Relationship Type="http://schemas.openxmlformats.org/officeDocument/2006/relationships/hyperlink" Target="#'10 EVIDENCE &amp; DECISIONS'!A1170" TargetMode="External" Id="rId1174"/><Relationship Type="http://schemas.openxmlformats.org/officeDocument/2006/relationships/hyperlink" Target="#'10 EVIDENCE &amp; DECISIONS'!A1171" TargetMode="External" Id="rId1175"/><Relationship Type="http://schemas.openxmlformats.org/officeDocument/2006/relationships/hyperlink" Target="#'10 EVIDENCE &amp; DECISIONS'!A1172" TargetMode="External" Id="rId1176"/><Relationship Type="http://schemas.openxmlformats.org/officeDocument/2006/relationships/hyperlink" Target="#'10 EVIDENCE &amp; DECISIONS'!A1173" TargetMode="External" Id="rId1177"/><Relationship Type="http://schemas.openxmlformats.org/officeDocument/2006/relationships/hyperlink" Target="#'10 EVIDENCE &amp; DECISIONS'!A1174" TargetMode="External" Id="rId1178"/><Relationship Type="http://schemas.openxmlformats.org/officeDocument/2006/relationships/hyperlink" Target="#'10 EVIDENCE &amp; DECISIONS'!A1175" TargetMode="External" Id="rId1179"/><Relationship Type="http://schemas.openxmlformats.org/officeDocument/2006/relationships/hyperlink" Target="#'10 EVIDENCE &amp; DECISIONS'!A1176" TargetMode="External" Id="rId1180"/><Relationship Type="http://schemas.openxmlformats.org/officeDocument/2006/relationships/hyperlink" Target="#'10 EVIDENCE &amp; DECISIONS'!A1177" TargetMode="External" Id="rId1181"/><Relationship Type="http://schemas.openxmlformats.org/officeDocument/2006/relationships/hyperlink" Target="#'10 EVIDENCE &amp; DECISIONS'!A1178" TargetMode="External" Id="rId1182"/><Relationship Type="http://schemas.openxmlformats.org/officeDocument/2006/relationships/hyperlink" Target="#'10 EVIDENCE &amp; DECISIONS'!A1179" TargetMode="External" Id="rId1183"/><Relationship Type="http://schemas.openxmlformats.org/officeDocument/2006/relationships/hyperlink" Target="#'10 EVIDENCE &amp; DECISIONS'!A1180" TargetMode="External" Id="rId1184"/><Relationship Type="http://schemas.openxmlformats.org/officeDocument/2006/relationships/hyperlink" Target="#'10 EVIDENCE &amp; DECISIONS'!A1181" TargetMode="External" Id="rId1185"/><Relationship Type="http://schemas.openxmlformats.org/officeDocument/2006/relationships/hyperlink" Target="#'10 EVIDENCE &amp; DECISIONS'!A1182" TargetMode="External" Id="rId1186"/><Relationship Type="http://schemas.openxmlformats.org/officeDocument/2006/relationships/hyperlink" Target="#'10 EVIDENCE &amp; DECISIONS'!A1183" TargetMode="External" Id="rId1187"/><Relationship Type="http://schemas.openxmlformats.org/officeDocument/2006/relationships/hyperlink" Target="#'10 EVIDENCE &amp; DECISIONS'!A1184" TargetMode="External" Id="rId1188"/><Relationship Type="http://schemas.openxmlformats.org/officeDocument/2006/relationships/hyperlink" Target="#'10 EVIDENCE &amp; DECISIONS'!A1185" TargetMode="External" Id="rId1189"/><Relationship Type="http://schemas.openxmlformats.org/officeDocument/2006/relationships/hyperlink" Target="#'10 EVIDENCE &amp; DECISIONS'!A1186" TargetMode="External" Id="rId1190"/><Relationship Type="http://schemas.openxmlformats.org/officeDocument/2006/relationships/hyperlink" Target="#'10 EVIDENCE &amp; DECISIONS'!A1187" TargetMode="External" Id="rId1191"/><Relationship Type="http://schemas.openxmlformats.org/officeDocument/2006/relationships/hyperlink" Target="#'10 EVIDENCE &amp; DECISIONS'!A1188" TargetMode="External" Id="rId1192"/><Relationship Type="http://schemas.openxmlformats.org/officeDocument/2006/relationships/hyperlink" Target="#'10 EVIDENCE &amp; DECISIONS'!A1189" TargetMode="External" Id="rId1193"/><Relationship Type="http://schemas.openxmlformats.org/officeDocument/2006/relationships/hyperlink" Target="#'10 EVIDENCE &amp; DECISIONS'!A1190" TargetMode="External" Id="rId1194"/><Relationship Type="http://schemas.openxmlformats.org/officeDocument/2006/relationships/hyperlink" Target="#'10 EVIDENCE &amp; DECISIONS'!A1191" TargetMode="External" Id="rId1195"/><Relationship Type="http://schemas.openxmlformats.org/officeDocument/2006/relationships/hyperlink" Target="#'10 EVIDENCE &amp; DECISIONS'!A1192" TargetMode="External" Id="rId1196"/><Relationship Type="http://schemas.openxmlformats.org/officeDocument/2006/relationships/hyperlink" Target="#'10 EVIDENCE &amp; DECISIONS'!A1193" TargetMode="External" Id="rId1197"/><Relationship Type="http://schemas.openxmlformats.org/officeDocument/2006/relationships/hyperlink" Target="#'10 EVIDENCE &amp; DECISIONS'!A1194" TargetMode="External" Id="rId1198"/><Relationship Type="http://schemas.openxmlformats.org/officeDocument/2006/relationships/hyperlink" Target="#'10 EVIDENCE &amp; DECISIONS'!A1195" TargetMode="External" Id="rId1199"/><Relationship Type="http://schemas.openxmlformats.org/officeDocument/2006/relationships/hyperlink" Target="#'10 EVIDENCE &amp; DECISIONS'!A1196" TargetMode="External" Id="rId1200"/><Relationship Type="http://schemas.openxmlformats.org/officeDocument/2006/relationships/hyperlink" Target="#'10 EVIDENCE &amp; DECISIONS'!A1197" TargetMode="External" Id="rId1201"/><Relationship Type="http://schemas.openxmlformats.org/officeDocument/2006/relationships/hyperlink" Target="#'10 EVIDENCE &amp; DECISIONS'!A1198" TargetMode="External" Id="rId1202"/><Relationship Type="http://schemas.openxmlformats.org/officeDocument/2006/relationships/hyperlink" Target="#'10 EVIDENCE &amp; DECISIONS'!A1199" TargetMode="External" Id="rId1203"/><Relationship Type="http://schemas.openxmlformats.org/officeDocument/2006/relationships/hyperlink" Target="#'10 EVIDENCE &amp; DECISIONS'!A1200" TargetMode="External" Id="rId1204"/><Relationship Type="http://schemas.openxmlformats.org/officeDocument/2006/relationships/hyperlink" Target="#'10 EVIDENCE &amp; DECISIONS'!A1201" TargetMode="External" Id="rId1205"/><Relationship Type="http://schemas.openxmlformats.org/officeDocument/2006/relationships/hyperlink" Target="#'10 EVIDENCE &amp; DECISIONS'!A1202" TargetMode="External" Id="rId1206"/><Relationship Type="http://schemas.openxmlformats.org/officeDocument/2006/relationships/hyperlink" Target="#'10 EVIDENCE &amp; DECISIONS'!A1203" TargetMode="External" Id="rId1207"/><Relationship Type="http://schemas.openxmlformats.org/officeDocument/2006/relationships/hyperlink" Target="#'10 EVIDENCE &amp; DECISIONS'!A1204" TargetMode="External" Id="rId1208"/><Relationship Type="http://schemas.openxmlformats.org/officeDocument/2006/relationships/hyperlink" Target="#'10 EVIDENCE &amp; DECISIONS'!A1205" TargetMode="External" Id="rId1209"/><Relationship Type="http://schemas.openxmlformats.org/officeDocument/2006/relationships/hyperlink" Target="#'10 EVIDENCE &amp; DECISIONS'!A1206" TargetMode="External" Id="rId1210"/><Relationship Type="http://schemas.openxmlformats.org/officeDocument/2006/relationships/hyperlink" Target="#'10 EVIDENCE &amp; DECISIONS'!A1207" TargetMode="External" Id="rId1211"/><Relationship Type="http://schemas.openxmlformats.org/officeDocument/2006/relationships/hyperlink" Target="#'10 EVIDENCE &amp; DECISIONS'!A1208" TargetMode="External" Id="rId1212"/><Relationship Type="http://schemas.openxmlformats.org/officeDocument/2006/relationships/hyperlink" Target="#'10 EVIDENCE &amp; DECISIONS'!A1209" TargetMode="External" Id="rId1213"/><Relationship Type="http://schemas.openxmlformats.org/officeDocument/2006/relationships/hyperlink" Target="#'10 EVIDENCE &amp; DECISIONS'!A1210" TargetMode="External" Id="rId1214"/><Relationship Type="http://schemas.openxmlformats.org/officeDocument/2006/relationships/hyperlink" Target="#'10 EVIDENCE &amp; DECISIONS'!A1211" TargetMode="External" Id="rId1215"/><Relationship Type="http://schemas.openxmlformats.org/officeDocument/2006/relationships/hyperlink" Target="#'10 EVIDENCE &amp; DECISIONS'!A1212" TargetMode="External" Id="rId1216"/><Relationship Type="http://schemas.openxmlformats.org/officeDocument/2006/relationships/hyperlink" Target="#'10 EVIDENCE &amp; DECISIONS'!A1213" TargetMode="External" Id="rId1217"/><Relationship Type="http://schemas.openxmlformats.org/officeDocument/2006/relationships/hyperlink" Target="#'10 EVIDENCE &amp; DECISIONS'!A1214" TargetMode="External" Id="rId1218"/><Relationship Type="http://schemas.openxmlformats.org/officeDocument/2006/relationships/hyperlink" Target="#'10 EVIDENCE &amp; DECISIONS'!A1215" TargetMode="External" Id="rId1219"/><Relationship Type="http://schemas.openxmlformats.org/officeDocument/2006/relationships/hyperlink" Target="#'10 EVIDENCE &amp; DECISIONS'!A1216" TargetMode="External" Id="rId1220"/><Relationship Type="http://schemas.openxmlformats.org/officeDocument/2006/relationships/hyperlink" Target="#'10 EVIDENCE &amp; DECISIONS'!A1217" TargetMode="External" Id="rId1221"/><Relationship Type="http://schemas.openxmlformats.org/officeDocument/2006/relationships/hyperlink" Target="#'10 EVIDENCE &amp; DECISIONS'!A1218" TargetMode="External" Id="rId1222"/><Relationship Type="http://schemas.openxmlformats.org/officeDocument/2006/relationships/hyperlink" Target="#'10 EVIDENCE &amp; DECISIONS'!A1219" TargetMode="External" Id="rId1223"/><Relationship Type="http://schemas.openxmlformats.org/officeDocument/2006/relationships/hyperlink" Target="#'10 EVIDENCE &amp; DECISIONS'!A1220" TargetMode="External" Id="rId1224"/><Relationship Type="http://schemas.openxmlformats.org/officeDocument/2006/relationships/hyperlink" Target="#'10 EVIDENCE &amp; DECISIONS'!A1221" TargetMode="External" Id="rId1225"/><Relationship Type="http://schemas.openxmlformats.org/officeDocument/2006/relationships/hyperlink" Target="#'10 EVIDENCE &amp; DECISIONS'!A1222" TargetMode="External" Id="rId1226"/><Relationship Type="http://schemas.openxmlformats.org/officeDocument/2006/relationships/hyperlink" Target="#'10 EVIDENCE &amp; DECISIONS'!A1223" TargetMode="External" Id="rId1227"/><Relationship Type="http://schemas.openxmlformats.org/officeDocument/2006/relationships/hyperlink" Target="#'10 EVIDENCE &amp; DECISIONS'!A1224" TargetMode="External" Id="rId1228"/><Relationship Type="http://schemas.openxmlformats.org/officeDocument/2006/relationships/hyperlink" Target="#'10 EVIDENCE &amp; DECISIONS'!A1225" TargetMode="External" Id="rId1229"/><Relationship Type="http://schemas.openxmlformats.org/officeDocument/2006/relationships/hyperlink" Target="#'10 EVIDENCE &amp; DECISIONS'!A1226" TargetMode="External" Id="rId1230"/><Relationship Type="http://schemas.openxmlformats.org/officeDocument/2006/relationships/hyperlink" Target="#'10 EVIDENCE &amp; DECISIONS'!A1227" TargetMode="External" Id="rId1231"/><Relationship Type="http://schemas.openxmlformats.org/officeDocument/2006/relationships/hyperlink" Target="#'10 EVIDENCE &amp; DECISIONS'!A1228" TargetMode="External" Id="rId1232"/><Relationship Type="http://schemas.openxmlformats.org/officeDocument/2006/relationships/hyperlink" Target="#'10 EVIDENCE &amp; DECISIONS'!A1229" TargetMode="External" Id="rId1233"/><Relationship Type="http://schemas.openxmlformats.org/officeDocument/2006/relationships/hyperlink" Target="#'10 EVIDENCE &amp; DECISIONS'!A1230" TargetMode="External" Id="rId1234"/><Relationship Type="http://schemas.openxmlformats.org/officeDocument/2006/relationships/hyperlink" Target="#'10 EVIDENCE &amp; DECISIONS'!A1231" TargetMode="External" Id="rId1235"/><Relationship Type="http://schemas.openxmlformats.org/officeDocument/2006/relationships/hyperlink" Target="#'10 EVIDENCE &amp; DECISIONS'!A1232" TargetMode="External" Id="rId1236"/><Relationship Type="http://schemas.openxmlformats.org/officeDocument/2006/relationships/hyperlink" Target="#'10 EVIDENCE &amp; DECISIONS'!A1233" TargetMode="External" Id="rId1237"/><Relationship Type="http://schemas.openxmlformats.org/officeDocument/2006/relationships/hyperlink" Target="#'10 EVIDENCE &amp; DECISIONS'!A1234" TargetMode="External" Id="rId1238"/><Relationship Type="http://schemas.openxmlformats.org/officeDocument/2006/relationships/hyperlink" Target="#'10 EVIDENCE &amp; DECISIONS'!A1235" TargetMode="External" Id="rId1239"/><Relationship Type="http://schemas.openxmlformats.org/officeDocument/2006/relationships/hyperlink" Target="#'10 EVIDENCE &amp; DECISIONS'!A1236" TargetMode="External" Id="rId1240"/><Relationship Type="http://schemas.openxmlformats.org/officeDocument/2006/relationships/hyperlink" Target="#'10 EVIDENCE &amp; DECISIONS'!A1237" TargetMode="External" Id="rId1241"/><Relationship Type="http://schemas.openxmlformats.org/officeDocument/2006/relationships/hyperlink" Target="#'10 EVIDENCE &amp; DECISIONS'!A1238" TargetMode="External" Id="rId1242"/><Relationship Type="http://schemas.openxmlformats.org/officeDocument/2006/relationships/hyperlink" Target="#'10 EVIDENCE &amp; DECISIONS'!A1239" TargetMode="External" Id="rId1243"/><Relationship Type="http://schemas.openxmlformats.org/officeDocument/2006/relationships/hyperlink" Target="#'10 EVIDENCE &amp; DECISIONS'!A1240" TargetMode="External" Id="rId1244"/><Relationship Type="http://schemas.openxmlformats.org/officeDocument/2006/relationships/hyperlink" Target="#'10 EVIDENCE &amp; DECISIONS'!A1241" TargetMode="External" Id="rId1245"/><Relationship Type="http://schemas.openxmlformats.org/officeDocument/2006/relationships/hyperlink" Target="#'10 EVIDENCE &amp; DECISIONS'!A1242" TargetMode="External" Id="rId1246"/><Relationship Type="http://schemas.openxmlformats.org/officeDocument/2006/relationships/hyperlink" Target="#'10 EVIDENCE &amp; DECISIONS'!A1243" TargetMode="External" Id="rId1247"/><Relationship Type="http://schemas.openxmlformats.org/officeDocument/2006/relationships/hyperlink" Target="#'10 EVIDENCE &amp; DECISIONS'!A1244" TargetMode="External" Id="rId1248"/><Relationship Type="http://schemas.openxmlformats.org/officeDocument/2006/relationships/hyperlink" Target="#'10 EVIDENCE &amp; DECISIONS'!A1245" TargetMode="External" Id="rId1249"/><Relationship Type="http://schemas.openxmlformats.org/officeDocument/2006/relationships/hyperlink" Target="#'10 EVIDENCE &amp; DECISIONS'!A1246" TargetMode="External" Id="rId1250"/><Relationship Type="http://schemas.openxmlformats.org/officeDocument/2006/relationships/hyperlink" Target="#'10 EVIDENCE &amp; DECISIONS'!A1247" TargetMode="External" Id="rId1251"/><Relationship Type="http://schemas.openxmlformats.org/officeDocument/2006/relationships/hyperlink" Target="#'10 EVIDENCE &amp; DECISIONS'!A1248" TargetMode="External" Id="rId1252"/><Relationship Type="http://schemas.openxmlformats.org/officeDocument/2006/relationships/hyperlink" Target="#'10 EVIDENCE &amp; DECISIONS'!A1249" TargetMode="External" Id="rId1253"/><Relationship Type="http://schemas.openxmlformats.org/officeDocument/2006/relationships/hyperlink" Target="#'10 EVIDENCE &amp; DECISIONS'!A1250" TargetMode="External" Id="rId1254"/><Relationship Type="http://schemas.openxmlformats.org/officeDocument/2006/relationships/hyperlink" Target="#'10 EVIDENCE &amp; DECISIONS'!A1251" TargetMode="External" Id="rId1255"/><Relationship Type="http://schemas.openxmlformats.org/officeDocument/2006/relationships/hyperlink" Target="#'10 EVIDENCE &amp; DECISIONS'!A1252" TargetMode="External" Id="rId1256"/><Relationship Type="http://schemas.openxmlformats.org/officeDocument/2006/relationships/hyperlink" Target="#'10 EVIDENCE &amp; DECISIONS'!A1253" TargetMode="External" Id="rId1257"/><Relationship Type="http://schemas.openxmlformats.org/officeDocument/2006/relationships/hyperlink" Target="#'10 EVIDENCE &amp; DECISIONS'!A1254" TargetMode="External" Id="rId1258"/><Relationship Type="http://schemas.openxmlformats.org/officeDocument/2006/relationships/hyperlink" Target="#'10 EVIDENCE &amp; DECISIONS'!A1255" TargetMode="External" Id="rId1259"/><Relationship Type="http://schemas.openxmlformats.org/officeDocument/2006/relationships/hyperlink" Target="#'10 EVIDENCE &amp; DECISIONS'!A1256" TargetMode="External" Id="rId1260"/><Relationship Type="http://schemas.openxmlformats.org/officeDocument/2006/relationships/hyperlink" Target="#'10 EVIDENCE &amp; DECISIONS'!A1257" TargetMode="External" Id="rId1261"/><Relationship Type="http://schemas.openxmlformats.org/officeDocument/2006/relationships/hyperlink" Target="#'10 EVIDENCE &amp; DECISIONS'!A1258" TargetMode="External" Id="rId1262"/><Relationship Type="http://schemas.openxmlformats.org/officeDocument/2006/relationships/hyperlink" Target="#'10 EVIDENCE &amp; DECISIONS'!A1259" TargetMode="External" Id="rId1263"/><Relationship Type="http://schemas.openxmlformats.org/officeDocument/2006/relationships/hyperlink" Target="#'10 EVIDENCE &amp; DECISIONS'!A1260" TargetMode="External" Id="rId1264"/><Relationship Type="http://schemas.openxmlformats.org/officeDocument/2006/relationships/hyperlink" Target="#'10 EVIDENCE &amp; DECISIONS'!A1261" TargetMode="External" Id="rId1265"/><Relationship Type="http://schemas.openxmlformats.org/officeDocument/2006/relationships/hyperlink" Target="#'10 EVIDENCE &amp; DECISIONS'!A1262" TargetMode="External" Id="rId1266"/><Relationship Type="http://schemas.openxmlformats.org/officeDocument/2006/relationships/hyperlink" Target="#'10 EVIDENCE &amp; DECISIONS'!A1263" TargetMode="External" Id="rId1267"/><Relationship Type="http://schemas.openxmlformats.org/officeDocument/2006/relationships/hyperlink" Target="#'10 EVIDENCE &amp; DECISIONS'!A1264" TargetMode="External" Id="rId1268"/><Relationship Type="http://schemas.openxmlformats.org/officeDocument/2006/relationships/hyperlink" Target="#'10 EVIDENCE &amp; DECISIONS'!A1265" TargetMode="External" Id="rId1269"/><Relationship Type="http://schemas.openxmlformats.org/officeDocument/2006/relationships/hyperlink" Target="#'10 EVIDENCE &amp; DECISIONS'!A1266" TargetMode="External" Id="rId1270"/><Relationship Type="http://schemas.openxmlformats.org/officeDocument/2006/relationships/hyperlink" Target="#'10 EVIDENCE &amp; DECISIONS'!A1267" TargetMode="External" Id="rId1271"/><Relationship Type="http://schemas.openxmlformats.org/officeDocument/2006/relationships/hyperlink" Target="#'10 EVIDENCE &amp; DECISIONS'!A1268" TargetMode="External" Id="rId1272"/><Relationship Type="http://schemas.openxmlformats.org/officeDocument/2006/relationships/hyperlink" Target="#'10 EVIDENCE &amp; DECISIONS'!A1269" TargetMode="External" Id="rId1273"/><Relationship Type="http://schemas.openxmlformats.org/officeDocument/2006/relationships/hyperlink" Target="#'10 EVIDENCE &amp; DECISIONS'!A1270" TargetMode="External" Id="rId1274"/><Relationship Type="http://schemas.openxmlformats.org/officeDocument/2006/relationships/hyperlink" Target="#'10 EVIDENCE &amp; DECISIONS'!A1271" TargetMode="External" Id="rId1275"/><Relationship Type="http://schemas.openxmlformats.org/officeDocument/2006/relationships/hyperlink" Target="#'10 EVIDENCE &amp; DECISIONS'!A1272" TargetMode="External" Id="rId1276"/><Relationship Type="http://schemas.openxmlformats.org/officeDocument/2006/relationships/hyperlink" Target="#'10 EVIDENCE &amp; DECISIONS'!A1273" TargetMode="External" Id="rId1277"/><Relationship Type="http://schemas.openxmlformats.org/officeDocument/2006/relationships/hyperlink" Target="#'10 EVIDENCE &amp; DECISIONS'!A1274" TargetMode="External" Id="rId1278"/><Relationship Type="http://schemas.openxmlformats.org/officeDocument/2006/relationships/hyperlink" Target="#'10 EVIDENCE &amp; DECISIONS'!A1275" TargetMode="External" Id="rId1279"/><Relationship Type="http://schemas.openxmlformats.org/officeDocument/2006/relationships/hyperlink" Target="#'10 EVIDENCE &amp; DECISIONS'!A1276" TargetMode="External" Id="rId1280"/><Relationship Type="http://schemas.openxmlformats.org/officeDocument/2006/relationships/hyperlink" Target="#'10 EVIDENCE &amp; DECISIONS'!A1277" TargetMode="External" Id="rId1281"/><Relationship Type="http://schemas.openxmlformats.org/officeDocument/2006/relationships/hyperlink" Target="#'10 EVIDENCE &amp; DECISIONS'!A1278" TargetMode="External" Id="rId1282"/><Relationship Type="http://schemas.openxmlformats.org/officeDocument/2006/relationships/hyperlink" Target="#'10 EVIDENCE &amp; DECISIONS'!A1279" TargetMode="External" Id="rId1283"/><Relationship Type="http://schemas.openxmlformats.org/officeDocument/2006/relationships/hyperlink" Target="#'10 EVIDENCE &amp; DECISIONS'!A1280" TargetMode="External" Id="rId1284"/><Relationship Type="http://schemas.openxmlformats.org/officeDocument/2006/relationships/hyperlink" Target="#'10 EVIDENCE &amp; DECISIONS'!A1281" TargetMode="External" Id="rId1285"/><Relationship Type="http://schemas.openxmlformats.org/officeDocument/2006/relationships/hyperlink" Target="#'10 EVIDENCE &amp; DECISIONS'!A1282" TargetMode="External" Id="rId1286"/><Relationship Type="http://schemas.openxmlformats.org/officeDocument/2006/relationships/hyperlink" Target="#'10 EVIDENCE &amp; DECISIONS'!A1283" TargetMode="External" Id="rId1287"/><Relationship Type="http://schemas.openxmlformats.org/officeDocument/2006/relationships/hyperlink" Target="#'10 EVIDENCE &amp; DECISIONS'!A1284" TargetMode="External" Id="rId1288"/><Relationship Type="http://schemas.openxmlformats.org/officeDocument/2006/relationships/hyperlink" Target="#'10 EVIDENCE &amp; DECISIONS'!A1285" TargetMode="External" Id="rId1289"/><Relationship Type="http://schemas.openxmlformats.org/officeDocument/2006/relationships/hyperlink" Target="#'10 EVIDENCE &amp; DECISIONS'!A1286" TargetMode="External" Id="rId1290"/><Relationship Type="http://schemas.openxmlformats.org/officeDocument/2006/relationships/hyperlink" Target="#'10 EVIDENCE &amp; DECISIONS'!A1287" TargetMode="External" Id="rId1291"/><Relationship Type="http://schemas.openxmlformats.org/officeDocument/2006/relationships/hyperlink" Target="#'10 EVIDENCE &amp; DECISIONS'!A1288" TargetMode="External" Id="rId1292"/><Relationship Type="http://schemas.openxmlformats.org/officeDocument/2006/relationships/hyperlink" Target="#'10 EVIDENCE &amp; DECISIONS'!A1289" TargetMode="External" Id="rId1293"/><Relationship Type="http://schemas.openxmlformats.org/officeDocument/2006/relationships/hyperlink" Target="#'10 EVIDENCE &amp; DECISIONS'!A1290" TargetMode="External" Id="rId1294"/><Relationship Type="http://schemas.openxmlformats.org/officeDocument/2006/relationships/hyperlink" Target="#'10 EVIDENCE &amp; DECISIONS'!A1291" TargetMode="External" Id="rId1295"/><Relationship Type="http://schemas.openxmlformats.org/officeDocument/2006/relationships/hyperlink" Target="#'10 EVIDENCE &amp; DECISIONS'!A1292" TargetMode="External" Id="rId1296"/><Relationship Type="http://schemas.openxmlformats.org/officeDocument/2006/relationships/hyperlink" Target="#'10 EVIDENCE &amp; DECISIONS'!A1293" TargetMode="External" Id="rId1297"/><Relationship Type="http://schemas.openxmlformats.org/officeDocument/2006/relationships/hyperlink" Target="#'10 EVIDENCE &amp; DECISIONS'!A1294" TargetMode="External" Id="rId1298"/><Relationship Type="http://schemas.openxmlformats.org/officeDocument/2006/relationships/hyperlink" Target="#'10 EVIDENCE &amp; DECISIONS'!A1295" TargetMode="External" Id="rId1299"/><Relationship Type="http://schemas.openxmlformats.org/officeDocument/2006/relationships/hyperlink" Target="#'10 EVIDENCE &amp; DECISIONS'!A1296" TargetMode="External" Id="rId1300"/><Relationship Type="http://schemas.openxmlformats.org/officeDocument/2006/relationships/hyperlink" Target="#'10 EVIDENCE &amp; DECISIONS'!A1297" TargetMode="External" Id="rId1301"/><Relationship Type="http://schemas.openxmlformats.org/officeDocument/2006/relationships/hyperlink" Target="#'10 EVIDENCE &amp; DECISIONS'!A1298" TargetMode="External" Id="rId1302"/><Relationship Type="http://schemas.openxmlformats.org/officeDocument/2006/relationships/hyperlink" Target="#'10 EVIDENCE &amp; DECISIONS'!A1299" TargetMode="External" Id="rId1303"/><Relationship Type="http://schemas.openxmlformats.org/officeDocument/2006/relationships/hyperlink" Target="#'10 EVIDENCE &amp; DECISIONS'!A1300" TargetMode="External" Id="rId1304"/><Relationship Type="http://schemas.openxmlformats.org/officeDocument/2006/relationships/hyperlink" Target="#'10 EVIDENCE &amp; DECISIONS'!A1301" TargetMode="External" Id="rId1305"/><Relationship Type="http://schemas.openxmlformats.org/officeDocument/2006/relationships/hyperlink" Target="#'10 EVIDENCE &amp; DECISIONS'!A1302" TargetMode="External" Id="rId1306"/><Relationship Type="http://schemas.openxmlformats.org/officeDocument/2006/relationships/hyperlink" Target="#'10 EVIDENCE &amp; DECISIONS'!A1303" TargetMode="External" Id="rId1307"/><Relationship Type="http://schemas.openxmlformats.org/officeDocument/2006/relationships/hyperlink" Target="#'10 EVIDENCE &amp; DECISIONS'!A1304" TargetMode="External" Id="rId1308"/><Relationship Type="http://schemas.openxmlformats.org/officeDocument/2006/relationships/hyperlink" Target="#'10 EVIDENCE &amp; DECISIONS'!A1305" TargetMode="External" Id="rId1309"/><Relationship Type="http://schemas.openxmlformats.org/officeDocument/2006/relationships/hyperlink" Target="#'10 EVIDENCE &amp; DECISIONS'!A1306" TargetMode="External" Id="rId1310"/><Relationship Type="http://schemas.openxmlformats.org/officeDocument/2006/relationships/hyperlink" Target="#'10 EVIDENCE &amp; DECISIONS'!A1307" TargetMode="External" Id="rId1311"/><Relationship Type="http://schemas.openxmlformats.org/officeDocument/2006/relationships/hyperlink" Target="#'10 EVIDENCE &amp; DECISIONS'!A1308" TargetMode="External" Id="rId1312"/><Relationship Type="http://schemas.openxmlformats.org/officeDocument/2006/relationships/hyperlink" Target="#'10 EVIDENCE &amp; DECISIONS'!A1309" TargetMode="External" Id="rId1313"/><Relationship Type="http://schemas.openxmlformats.org/officeDocument/2006/relationships/hyperlink" Target="#'10 EVIDENCE &amp; DECISIONS'!A1310" TargetMode="External" Id="rId1314"/><Relationship Type="http://schemas.openxmlformats.org/officeDocument/2006/relationships/hyperlink" Target="#'10 EVIDENCE &amp; DECISIONS'!A1311" TargetMode="External" Id="rId1315"/><Relationship Type="http://schemas.openxmlformats.org/officeDocument/2006/relationships/hyperlink" Target="#'10 EVIDENCE &amp; DECISIONS'!A1312" TargetMode="External" Id="rId1316"/><Relationship Type="http://schemas.openxmlformats.org/officeDocument/2006/relationships/hyperlink" Target="#'10 EVIDENCE &amp; DECISIONS'!A1313" TargetMode="External" Id="rId1317"/><Relationship Type="http://schemas.openxmlformats.org/officeDocument/2006/relationships/hyperlink" Target="#'10 EVIDENCE &amp; DECISIONS'!A1314" TargetMode="External" Id="rId1318"/><Relationship Type="http://schemas.openxmlformats.org/officeDocument/2006/relationships/hyperlink" Target="#'10 EVIDENCE &amp; DECISIONS'!A1315" TargetMode="External" Id="rId1319"/><Relationship Type="http://schemas.openxmlformats.org/officeDocument/2006/relationships/hyperlink" Target="#'10 EVIDENCE &amp; DECISIONS'!A1316" TargetMode="External" Id="rId1320"/><Relationship Type="http://schemas.openxmlformats.org/officeDocument/2006/relationships/hyperlink" Target="#'10 EVIDENCE &amp; DECISIONS'!A1317" TargetMode="External" Id="rId1321"/><Relationship Type="http://schemas.openxmlformats.org/officeDocument/2006/relationships/hyperlink" Target="#'10 EVIDENCE &amp; DECISIONS'!A1318" TargetMode="External" Id="rId1322"/><Relationship Type="http://schemas.openxmlformats.org/officeDocument/2006/relationships/hyperlink" Target="#'10 EVIDENCE &amp; DECISIONS'!A1319" TargetMode="External" Id="rId1323"/><Relationship Type="http://schemas.openxmlformats.org/officeDocument/2006/relationships/hyperlink" Target="#'10 EVIDENCE &amp; DECISIONS'!A1320" TargetMode="External" Id="rId1324"/><Relationship Type="http://schemas.openxmlformats.org/officeDocument/2006/relationships/hyperlink" Target="#'10 EVIDENCE &amp; DECISIONS'!A1321" TargetMode="External" Id="rId1325"/><Relationship Type="http://schemas.openxmlformats.org/officeDocument/2006/relationships/hyperlink" Target="#'10 EVIDENCE &amp; DECISIONS'!A1322" TargetMode="External" Id="rId1326"/><Relationship Type="http://schemas.openxmlformats.org/officeDocument/2006/relationships/hyperlink" Target="#'10 EVIDENCE &amp; DECISIONS'!A1323" TargetMode="External" Id="rId1327"/><Relationship Type="http://schemas.openxmlformats.org/officeDocument/2006/relationships/hyperlink" Target="#'10 EVIDENCE &amp; DECISIONS'!A1324" TargetMode="External" Id="rId1328"/><Relationship Type="http://schemas.openxmlformats.org/officeDocument/2006/relationships/hyperlink" Target="#'10 EVIDENCE &amp; DECISIONS'!A1325" TargetMode="External" Id="rId1329"/><Relationship Type="http://schemas.openxmlformats.org/officeDocument/2006/relationships/hyperlink" Target="#'10 EVIDENCE &amp; DECISIONS'!A1326" TargetMode="External" Id="rId1330"/><Relationship Type="http://schemas.openxmlformats.org/officeDocument/2006/relationships/hyperlink" Target="#'10 EVIDENCE &amp; DECISIONS'!A1327" TargetMode="External" Id="rId1331"/><Relationship Type="http://schemas.openxmlformats.org/officeDocument/2006/relationships/hyperlink" Target="#'10 EVIDENCE &amp; DECISIONS'!A1328" TargetMode="External" Id="rId1332"/><Relationship Type="http://schemas.openxmlformats.org/officeDocument/2006/relationships/hyperlink" Target="#'10 EVIDENCE &amp; DECISIONS'!A1329" TargetMode="External" Id="rId1333"/><Relationship Type="http://schemas.openxmlformats.org/officeDocument/2006/relationships/hyperlink" Target="#'10 EVIDENCE &amp; DECISIONS'!A1330" TargetMode="External" Id="rId1334"/><Relationship Type="http://schemas.openxmlformats.org/officeDocument/2006/relationships/hyperlink" Target="#'10 EVIDENCE &amp; DECISIONS'!A1331" TargetMode="External" Id="rId1335"/><Relationship Type="http://schemas.openxmlformats.org/officeDocument/2006/relationships/hyperlink" Target="#'10 EVIDENCE &amp; DECISIONS'!A1332" TargetMode="External" Id="rId1336"/><Relationship Type="http://schemas.openxmlformats.org/officeDocument/2006/relationships/hyperlink" Target="#'10 EVIDENCE &amp; DECISIONS'!A1333" TargetMode="External" Id="rId1337"/><Relationship Type="http://schemas.openxmlformats.org/officeDocument/2006/relationships/hyperlink" Target="#'10 EVIDENCE &amp; DECISIONS'!A1334" TargetMode="External" Id="rId1338"/><Relationship Type="http://schemas.openxmlformats.org/officeDocument/2006/relationships/hyperlink" Target="#'10 EVIDENCE &amp; DECISIONS'!A1335" TargetMode="External" Id="rId1339"/><Relationship Type="http://schemas.openxmlformats.org/officeDocument/2006/relationships/hyperlink" Target="#'10 EVIDENCE &amp; DECISIONS'!A1336" TargetMode="External" Id="rId1340"/><Relationship Type="http://schemas.openxmlformats.org/officeDocument/2006/relationships/hyperlink" Target="#'10 EVIDENCE &amp; DECISIONS'!A1337" TargetMode="External" Id="rId1341"/><Relationship Type="http://schemas.openxmlformats.org/officeDocument/2006/relationships/hyperlink" Target="#'10 EVIDENCE &amp; DECISIONS'!A1338" TargetMode="External" Id="rId1342"/><Relationship Type="http://schemas.openxmlformats.org/officeDocument/2006/relationships/hyperlink" Target="#'10 EVIDENCE &amp; DECISIONS'!A1339" TargetMode="External" Id="rId1343"/><Relationship Type="http://schemas.openxmlformats.org/officeDocument/2006/relationships/hyperlink" Target="#'10 EVIDENCE &amp; DECISIONS'!A1340" TargetMode="External" Id="rId1344"/><Relationship Type="http://schemas.openxmlformats.org/officeDocument/2006/relationships/hyperlink" Target="#'10 EVIDENCE &amp; DECISIONS'!A1341" TargetMode="External" Id="rId1345"/><Relationship Type="http://schemas.openxmlformats.org/officeDocument/2006/relationships/hyperlink" Target="#'10 EVIDENCE &amp; DECISIONS'!A1342" TargetMode="External" Id="rId1346"/><Relationship Type="http://schemas.openxmlformats.org/officeDocument/2006/relationships/hyperlink" Target="#'10 EVIDENCE &amp; DECISIONS'!A1343" TargetMode="External" Id="rId1347"/><Relationship Type="http://schemas.openxmlformats.org/officeDocument/2006/relationships/hyperlink" Target="#'10 EVIDENCE &amp; DECISIONS'!A1344" TargetMode="External" Id="rId1348"/><Relationship Type="http://schemas.openxmlformats.org/officeDocument/2006/relationships/hyperlink" Target="#'10 EVIDENCE &amp; DECISIONS'!A1345" TargetMode="External" Id="rId1349"/><Relationship Type="http://schemas.openxmlformats.org/officeDocument/2006/relationships/hyperlink" Target="#'10 EVIDENCE &amp; DECISIONS'!A1346" TargetMode="External" Id="rId1350"/><Relationship Type="http://schemas.openxmlformats.org/officeDocument/2006/relationships/hyperlink" Target="#'10 EVIDENCE &amp; DECISIONS'!A1347" TargetMode="External" Id="rId1351"/><Relationship Type="http://schemas.openxmlformats.org/officeDocument/2006/relationships/hyperlink" Target="#'10 EVIDENCE &amp; DECISIONS'!A1348" TargetMode="External" Id="rId1352"/><Relationship Type="http://schemas.openxmlformats.org/officeDocument/2006/relationships/hyperlink" Target="#'10 EVIDENCE &amp; DECISIONS'!A1349" TargetMode="External" Id="rId1353"/><Relationship Type="http://schemas.openxmlformats.org/officeDocument/2006/relationships/hyperlink" Target="#'10 EVIDENCE &amp; DECISIONS'!A1350" TargetMode="External" Id="rId1354"/><Relationship Type="http://schemas.openxmlformats.org/officeDocument/2006/relationships/hyperlink" Target="#'10 EVIDENCE &amp; DECISIONS'!A1351" TargetMode="External" Id="rId1355"/><Relationship Type="http://schemas.openxmlformats.org/officeDocument/2006/relationships/hyperlink" Target="#'10 EVIDENCE &amp; DECISIONS'!A1352" TargetMode="External" Id="rId1356"/><Relationship Type="http://schemas.openxmlformats.org/officeDocument/2006/relationships/hyperlink" Target="#'10 EVIDENCE &amp; DECISIONS'!A1353" TargetMode="External" Id="rId1357"/><Relationship Type="http://schemas.openxmlformats.org/officeDocument/2006/relationships/hyperlink" Target="#'10 EVIDENCE &amp; DECISIONS'!A1354" TargetMode="External" Id="rId1358"/><Relationship Type="http://schemas.openxmlformats.org/officeDocument/2006/relationships/hyperlink" Target="#'10 EVIDENCE &amp; DECISIONS'!A1355" TargetMode="External" Id="rId1359"/><Relationship Type="http://schemas.openxmlformats.org/officeDocument/2006/relationships/hyperlink" Target="#'10 EVIDENCE &amp; DECISIONS'!A1356" TargetMode="External" Id="rId1360"/><Relationship Type="http://schemas.openxmlformats.org/officeDocument/2006/relationships/hyperlink" Target="#'10 EVIDENCE &amp; DECISIONS'!A1357" TargetMode="External" Id="rId1361"/><Relationship Type="http://schemas.openxmlformats.org/officeDocument/2006/relationships/hyperlink" Target="#'10 EVIDENCE &amp; DECISIONS'!A1358" TargetMode="External" Id="rId1362"/><Relationship Type="http://schemas.openxmlformats.org/officeDocument/2006/relationships/hyperlink" Target="#'10 EVIDENCE &amp; DECISIONS'!A1359" TargetMode="External" Id="rId1363"/><Relationship Type="http://schemas.openxmlformats.org/officeDocument/2006/relationships/hyperlink" Target="#'10 EVIDENCE &amp; DECISIONS'!A1360" TargetMode="External" Id="rId1364"/><Relationship Type="http://schemas.openxmlformats.org/officeDocument/2006/relationships/hyperlink" Target="#'10 EVIDENCE &amp; DECISIONS'!A1361" TargetMode="External" Id="rId1365"/><Relationship Type="http://schemas.openxmlformats.org/officeDocument/2006/relationships/hyperlink" Target="#'10 EVIDENCE &amp; DECISIONS'!A1362" TargetMode="External" Id="rId1366"/><Relationship Type="http://schemas.openxmlformats.org/officeDocument/2006/relationships/hyperlink" Target="#'10 EVIDENCE &amp; DECISIONS'!A1363" TargetMode="External" Id="rId1367"/><Relationship Type="http://schemas.openxmlformats.org/officeDocument/2006/relationships/hyperlink" Target="#'10 EVIDENCE &amp; DECISIONS'!A1364" TargetMode="External" Id="rId1368"/><Relationship Type="http://schemas.openxmlformats.org/officeDocument/2006/relationships/hyperlink" Target="#'10 EVIDENCE &amp; DECISIONS'!A1365" TargetMode="External" Id="rId1369"/><Relationship Type="http://schemas.openxmlformats.org/officeDocument/2006/relationships/hyperlink" Target="#'10 EVIDENCE &amp; DECISIONS'!A1366" TargetMode="External" Id="rId1370"/><Relationship Type="http://schemas.openxmlformats.org/officeDocument/2006/relationships/hyperlink" Target="#'10 EVIDENCE &amp; DECISIONS'!A1367" TargetMode="External" Id="rId1371"/><Relationship Type="http://schemas.openxmlformats.org/officeDocument/2006/relationships/hyperlink" Target="#'10 EVIDENCE &amp; DECISIONS'!A1368" TargetMode="External" Id="rId1372"/><Relationship Type="http://schemas.openxmlformats.org/officeDocument/2006/relationships/hyperlink" Target="#'10 EVIDENCE &amp; DECISIONS'!A1369" TargetMode="External" Id="rId1373"/><Relationship Type="http://schemas.openxmlformats.org/officeDocument/2006/relationships/hyperlink" Target="#'10 EVIDENCE &amp; DECISIONS'!A1370" TargetMode="External" Id="rId1374"/><Relationship Type="http://schemas.openxmlformats.org/officeDocument/2006/relationships/hyperlink" Target="#'10 EVIDENCE &amp; DECISIONS'!A1371" TargetMode="External" Id="rId1375"/><Relationship Type="http://schemas.openxmlformats.org/officeDocument/2006/relationships/hyperlink" Target="#'10 EVIDENCE &amp; DECISIONS'!A1372" TargetMode="External" Id="rId1376"/><Relationship Type="http://schemas.openxmlformats.org/officeDocument/2006/relationships/hyperlink" Target="#'10 EVIDENCE &amp; DECISIONS'!A1373" TargetMode="External" Id="rId1377"/><Relationship Type="http://schemas.openxmlformats.org/officeDocument/2006/relationships/hyperlink" Target="#'10 EVIDENCE &amp; DECISIONS'!A1374" TargetMode="External" Id="rId1378"/><Relationship Type="http://schemas.openxmlformats.org/officeDocument/2006/relationships/hyperlink" Target="#'10 EVIDENCE &amp; DECISIONS'!A1375" TargetMode="External" Id="rId1379"/><Relationship Type="http://schemas.openxmlformats.org/officeDocument/2006/relationships/hyperlink" Target="#'10 EVIDENCE &amp; DECISIONS'!A1376" TargetMode="External" Id="rId1380"/><Relationship Type="http://schemas.openxmlformats.org/officeDocument/2006/relationships/hyperlink" Target="#'10 EVIDENCE &amp; DECISIONS'!A1377" TargetMode="External" Id="rId1381"/><Relationship Type="http://schemas.openxmlformats.org/officeDocument/2006/relationships/hyperlink" Target="#'10 EVIDENCE &amp; DECISIONS'!A1378" TargetMode="External" Id="rId1382"/><Relationship Type="http://schemas.openxmlformats.org/officeDocument/2006/relationships/hyperlink" Target="#'10 EVIDENCE &amp; DECISIONS'!A1379" TargetMode="External" Id="rId1383"/><Relationship Type="http://schemas.openxmlformats.org/officeDocument/2006/relationships/hyperlink" Target="#'10 EVIDENCE &amp; DECISIONS'!A1380" TargetMode="External" Id="rId1384"/><Relationship Type="http://schemas.openxmlformats.org/officeDocument/2006/relationships/hyperlink" Target="#'10 EVIDENCE &amp; DECISIONS'!A1381" TargetMode="External" Id="rId1385"/><Relationship Type="http://schemas.openxmlformats.org/officeDocument/2006/relationships/hyperlink" Target="#'10 EVIDENCE &amp; DECISIONS'!A1382" TargetMode="External" Id="rId1386"/><Relationship Type="http://schemas.openxmlformats.org/officeDocument/2006/relationships/hyperlink" Target="#'10 EVIDENCE &amp; DECISIONS'!A1383" TargetMode="External" Id="rId1387"/><Relationship Type="http://schemas.openxmlformats.org/officeDocument/2006/relationships/hyperlink" Target="#'10 EVIDENCE &amp; DECISIONS'!A1384" TargetMode="External" Id="rId1388"/><Relationship Type="http://schemas.openxmlformats.org/officeDocument/2006/relationships/hyperlink" Target="#'10 EVIDENCE &amp; DECISIONS'!A1385" TargetMode="External" Id="rId1389"/><Relationship Type="http://schemas.openxmlformats.org/officeDocument/2006/relationships/hyperlink" Target="#'10 EVIDENCE &amp; DECISIONS'!A1386" TargetMode="External" Id="rId1390"/><Relationship Type="http://schemas.openxmlformats.org/officeDocument/2006/relationships/hyperlink" Target="#'10 EVIDENCE &amp; DECISIONS'!A1387" TargetMode="External" Id="rId1391"/><Relationship Type="http://schemas.openxmlformats.org/officeDocument/2006/relationships/hyperlink" Target="#'10 EVIDENCE &amp; DECISIONS'!A1388" TargetMode="External" Id="rId1392"/><Relationship Type="http://schemas.openxmlformats.org/officeDocument/2006/relationships/hyperlink" Target="#'10 EVIDENCE &amp; DECISIONS'!A1389" TargetMode="External" Id="rId1393"/><Relationship Type="http://schemas.openxmlformats.org/officeDocument/2006/relationships/hyperlink" Target="#'10 EVIDENCE &amp; DECISIONS'!A1390" TargetMode="External" Id="rId1394"/><Relationship Type="http://schemas.openxmlformats.org/officeDocument/2006/relationships/hyperlink" Target="#'10 EVIDENCE &amp; DECISIONS'!A1391" TargetMode="External" Id="rId1395"/><Relationship Type="http://schemas.openxmlformats.org/officeDocument/2006/relationships/hyperlink" Target="#'10 EVIDENCE &amp; DECISIONS'!A1392" TargetMode="External" Id="rId1396"/><Relationship Type="http://schemas.openxmlformats.org/officeDocument/2006/relationships/hyperlink" Target="#'10 EVIDENCE &amp; DECISIONS'!A1393" TargetMode="External" Id="rId1397"/><Relationship Type="http://schemas.openxmlformats.org/officeDocument/2006/relationships/hyperlink" Target="#'10 EVIDENCE &amp; DECISIONS'!A1394" TargetMode="External" Id="rId1398"/><Relationship Type="http://schemas.openxmlformats.org/officeDocument/2006/relationships/hyperlink" Target="#'10 EVIDENCE &amp; DECISIONS'!A1395" TargetMode="External" Id="rId1399"/><Relationship Type="http://schemas.openxmlformats.org/officeDocument/2006/relationships/hyperlink" Target="#'10 EVIDENCE &amp; DECISIONS'!A1396" TargetMode="External" Id="rId1400"/><Relationship Type="http://schemas.openxmlformats.org/officeDocument/2006/relationships/hyperlink" Target="#'10 EVIDENCE &amp; DECISIONS'!A1397" TargetMode="External" Id="rId1401"/><Relationship Type="http://schemas.openxmlformats.org/officeDocument/2006/relationships/hyperlink" Target="#'10 EVIDENCE &amp; DECISIONS'!A1398" TargetMode="External" Id="rId1402"/><Relationship Type="http://schemas.openxmlformats.org/officeDocument/2006/relationships/hyperlink" Target="#'10 EVIDENCE &amp; DECISIONS'!A1399" TargetMode="External" Id="rId1403"/><Relationship Type="http://schemas.openxmlformats.org/officeDocument/2006/relationships/hyperlink" Target="#'10 EVIDENCE &amp; DECISIONS'!A1400" TargetMode="External" Id="rId1404"/><Relationship Type="http://schemas.openxmlformats.org/officeDocument/2006/relationships/hyperlink" Target="#'10 EVIDENCE &amp; DECISIONS'!A1401" TargetMode="External" Id="rId1405"/><Relationship Type="http://schemas.openxmlformats.org/officeDocument/2006/relationships/hyperlink" Target="#'10 EVIDENCE &amp; DECISIONS'!A1402" TargetMode="External" Id="rId1406"/><Relationship Type="http://schemas.openxmlformats.org/officeDocument/2006/relationships/hyperlink" Target="#'10 EVIDENCE &amp; DECISIONS'!A1403" TargetMode="External" Id="rId1407"/><Relationship Type="http://schemas.openxmlformats.org/officeDocument/2006/relationships/hyperlink" Target="#'10 EVIDENCE &amp; DECISIONS'!A1404" TargetMode="External" Id="rId1408"/><Relationship Type="http://schemas.openxmlformats.org/officeDocument/2006/relationships/hyperlink" Target="#'10 EVIDENCE &amp; DECISIONS'!A1405" TargetMode="External" Id="rId1409"/><Relationship Type="http://schemas.openxmlformats.org/officeDocument/2006/relationships/hyperlink" Target="#'10 EVIDENCE &amp; DECISIONS'!A1406" TargetMode="External" Id="rId1410"/><Relationship Type="http://schemas.openxmlformats.org/officeDocument/2006/relationships/hyperlink" Target="#'10 EVIDENCE &amp; DECISIONS'!A1407" TargetMode="External" Id="rId1411"/><Relationship Type="http://schemas.openxmlformats.org/officeDocument/2006/relationships/hyperlink" Target="#'10 EVIDENCE &amp; DECISIONS'!A1408" TargetMode="External" Id="rId1412"/><Relationship Type="http://schemas.openxmlformats.org/officeDocument/2006/relationships/hyperlink" Target="#'10 EVIDENCE &amp; DECISIONS'!A1409" TargetMode="External" Id="rId1413"/><Relationship Type="http://schemas.openxmlformats.org/officeDocument/2006/relationships/hyperlink" Target="#'10 EVIDENCE &amp; DECISIONS'!A1410" TargetMode="External" Id="rId1414"/><Relationship Type="http://schemas.openxmlformats.org/officeDocument/2006/relationships/hyperlink" Target="#'10 EVIDENCE &amp; DECISIONS'!A1411" TargetMode="External" Id="rId1415"/><Relationship Type="http://schemas.openxmlformats.org/officeDocument/2006/relationships/hyperlink" Target="#'10 EVIDENCE &amp; DECISIONS'!A1412" TargetMode="External" Id="rId1416"/><Relationship Type="http://schemas.openxmlformats.org/officeDocument/2006/relationships/hyperlink" Target="#'10 EVIDENCE &amp; DECISIONS'!A1413" TargetMode="External" Id="rId1417"/><Relationship Type="http://schemas.openxmlformats.org/officeDocument/2006/relationships/hyperlink" Target="#'10 EVIDENCE &amp; DECISIONS'!A1414" TargetMode="External" Id="rId1418"/><Relationship Type="http://schemas.openxmlformats.org/officeDocument/2006/relationships/hyperlink" Target="#'10 EVIDENCE &amp; DECISIONS'!A1415" TargetMode="External" Id="rId1419"/><Relationship Type="http://schemas.openxmlformats.org/officeDocument/2006/relationships/hyperlink" Target="#'10 EVIDENCE &amp; DECISIONS'!A1416" TargetMode="External" Id="rId1420"/><Relationship Type="http://schemas.openxmlformats.org/officeDocument/2006/relationships/hyperlink" Target="#'10 EVIDENCE &amp; DECISIONS'!A1417" TargetMode="External" Id="rId1421"/><Relationship Type="http://schemas.openxmlformats.org/officeDocument/2006/relationships/hyperlink" Target="#'10 EVIDENCE &amp; DECISIONS'!A1418" TargetMode="External" Id="rId1422"/><Relationship Type="http://schemas.openxmlformats.org/officeDocument/2006/relationships/hyperlink" Target="#'10 EVIDENCE &amp; DECISIONS'!A1419" TargetMode="External" Id="rId1423"/><Relationship Type="http://schemas.openxmlformats.org/officeDocument/2006/relationships/hyperlink" Target="#'10 EVIDENCE &amp; DECISIONS'!A1420" TargetMode="External" Id="rId1424"/><Relationship Type="http://schemas.openxmlformats.org/officeDocument/2006/relationships/hyperlink" Target="#'10 EVIDENCE &amp; DECISIONS'!A1421" TargetMode="External" Id="rId1425"/><Relationship Type="http://schemas.openxmlformats.org/officeDocument/2006/relationships/hyperlink" Target="#'10 EVIDENCE &amp; DECISIONS'!A1422" TargetMode="External" Id="rId1426"/><Relationship Type="http://schemas.openxmlformats.org/officeDocument/2006/relationships/hyperlink" Target="#'10 EVIDENCE &amp; DECISIONS'!A1423" TargetMode="External" Id="rId1427"/><Relationship Type="http://schemas.openxmlformats.org/officeDocument/2006/relationships/hyperlink" Target="#'10 EVIDENCE &amp; DECISIONS'!A1424" TargetMode="External" Id="rId1428"/><Relationship Type="http://schemas.openxmlformats.org/officeDocument/2006/relationships/hyperlink" Target="#'10 EVIDENCE &amp; DECISIONS'!A1425" TargetMode="External" Id="rId1429"/><Relationship Type="http://schemas.openxmlformats.org/officeDocument/2006/relationships/hyperlink" Target="#'10 EVIDENCE &amp; DECISIONS'!A1426" TargetMode="External" Id="rId1430"/><Relationship Type="http://schemas.openxmlformats.org/officeDocument/2006/relationships/hyperlink" Target="#'10 EVIDENCE &amp; DECISIONS'!A1427" TargetMode="External" Id="rId1431"/><Relationship Type="http://schemas.openxmlformats.org/officeDocument/2006/relationships/hyperlink" Target="#'10 EVIDENCE &amp; DECISIONS'!A1428" TargetMode="External" Id="rId1432"/><Relationship Type="http://schemas.openxmlformats.org/officeDocument/2006/relationships/hyperlink" Target="#'10 EVIDENCE &amp; DECISIONS'!A1429" TargetMode="External" Id="rId1433"/><Relationship Type="http://schemas.openxmlformats.org/officeDocument/2006/relationships/hyperlink" Target="#'10 EVIDENCE &amp; DECISIONS'!A1430" TargetMode="External" Id="rId1434"/><Relationship Type="http://schemas.openxmlformats.org/officeDocument/2006/relationships/hyperlink" Target="#'10 EVIDENCE &amp; DECISIONS'!A1431" TargetMode="External" Id="rId1435"/><Relationship Type="http://schemas.openxmlformats.org/officeDocument/2006/relationships/hyperlink" Target="#'10 EVIDENCE &amp; DECISIONS'!A1432" TargetMode="External" Id="rId1436"/><Relationship Type="http://schemas.openxmlformats.org/officeDocument/2006/relationships/hyperlink" Target="#'10 EVIDENCE &amp; DECISIONS'!A1433" TargetMode="External" Id="rId1437"/><Relationship Type="http://schemas.openxmlformats.org/officeDocument/2006/relationships/hyperlink" Target="#'10 EVIDENCE &amp; DECISIONS'!A1434" TargetMode="External" Id="rId1438"/><Relationship Type="http://schemas.openxmlformats.org/officeDocument/2006/relationships/hyperlink" Target="#'10 EVIDENCE &amp; DECISIONS'!A1435" TargetMode="External" Id="rId1439"/><Relationship Type="http://schemas.openxmlformats.org/officeDocument/2006/relationships/hyperlink" Target="#'10 EVIDENCE &amp; DECISIONS'!A1436" TargetMode="External" Id="rId1440"/><Relationship Type="http://schemas.openxmlformats.org/officeDocument/2006/relationships/hyperlink" Target="#'10 EVIDENCE &amp; DECISIONS'!A1437" TargetMode="External" Id="rId1441"/><Relationship Type="http://schemas.openxmlformats.org/officeDocument/2006/relationships/hyperlink" Target="#'10 EVIDENCE &amp; DECISIONS'!A1438" TargetMode="External" Id="rId1442"/><Relationship Type="http://schemas.openxmlformats.org/officeDocument/2006/relationships/hyperlink" Target="#'10 EVIDENCE &amp; DECISIONS'!A1439" TargetMode="External" Id="rId1443"/><Relationship Type="http://schemas.openxmlformats.org/officeDocument/2006/relationships/hyperlink" Target="#'10 EVIDENCE &amp; DECISIONS'!A1440" TargetMode="External" Id="rId1444"/><Relationship Type="http://schemas.openxmlformats.org/officeDocument/2006/relationships/hyperlink" Target="#'10 EVIDENCE &amp; DECISIONS'!A1441" TargetMode="External" Id="rId1445"/><Relationship Type="http://schemas.openxmlformats.org/officeDocument/2006/relationships/hyperlink" Target="#'10 EVIDENCE &amp; DECISIONS'!A1442" TargetMode="External" Id="rId1446"/><Relationship Type="http://schemas.openxmlformats.org/officeDocument/2006/relationships/hyperlink" Target="#'10 EVIDENCE &amp; DECISIONS'!A1443" TargetMode="External" Id="rId1447"/><Relationship Type="http://schemas.openxmlformats.org/officeDocument/2006/relationships/hyperlink" Target="#'10 EVIDENCE &amp; DECISIONS'!A1444" TargetMode="External" Id="rId1448"/><Relationship Type="http://schemas.openxmlformats.org/officeDocument/2006/relationships/hyperlink" Target="#'10 EVIDENCE &amp; DECISIONS'!A1445" TargetMode="External" Id="rId1449"/><Relationship Type="http://schemas.openxmlformats.org/officeDocument/2006/relationships/hyperlink" Target="#'10 EVIDENCE &amp; DECISIONS'!A1446" TargetMode="External" Id="rId1450"/><Relationship Type="http://schemas.openxmlformats.org/officeDocument/2006/relationships/hyperlink" Target="#'10 EVIDENCE &amp; DECISIONS'!A1447" TargetMode="External" Id="rId1451"/><Relationship Type="http://schemas.openxmlformats.org/officeDocument/2006/relationships/hyperlink" Target="#'10 EVIDENCE &amp; DECISIONS'!A1448" TargetMode="External" Id="rId1452"/><Relationship Type="http://schemas.openxmlformats.org/officeDocument/2006/relationships/hyperlink" Target="#'10 EVIDENCE &amp; DECISIONS'!A1449" TargetMode="External" Id="rId1453"/><Relationship Type="http://schemas.openxmlformats.org/officeDocument/2006/relationships/hyperlink" Target="#'10 EVIDENCE &amp; DECISIONS'!A1450" TargetMode="External" Id="rId1454"/><Relationship Type="http://schemas.openxmlformats.org/officeDocument/2006/relationships/hyperlink" Target="#'10 EVIDENCE &amp; DECISIONS'!A1451" TargetMode="External" Id="rId1455"/><Relationship Type="http://schemas.openxmlformats.org/officeDocument/2006/relationships/hyperlink" Target="#'10 EVIDENCE &amp; DECISIONS'!A1452" TargetMode="External" Id="rId1456"/><Relationship Type="http://schemas.openxmlformats.org/officeDocument/2006/relationships/hyperlink" Target="#'10 EVIDENCE &amp; DECISIONS'!A1453" TargetMode="External" Id="rId1457"/><Relationship Type="http://schemas.openxmlformats.org/officeDocument/2006/relationships/hyperlink" Target="#'10 EVIDENCE &amp; DECISIONS'!A1454" TargetMode="External" Id="rId1458"/><Relationship Type="http://schemas.openxmlformats.org/officeDocument/2006/relationships/hyperlink" Target="#'10 EVIDENCE &amp; DECISIONS'!A1455" TargetMode="External" Id="rId1459"/><Relationship Type="http://schemas.openxmlformats.org/officeDocument/2006/relationships/hyperlink" Target="#'10 EVIDENCE &amp; DECISIONS'!A1456" TargetMode="External" Id="rId1460"/><Relationship Type="http://schemas.openxmlformats.org/officeDocument/2006/relationships/hyperlink" Target="#'10 EVIDENCE &amp; DECISIONS'!A1457" TargetMode="External" Id="rId1461"/><Relationship Type="http://schemas.openxmlformats.org/officeDocument/2006/relationships/hyperlink" Target="#'10 EVIDENCE &amp; DECISIONS'!A1458" TargetMode="External" Id="rId1462"/><Relationship Type="http://schemas.openxmlformats.org/officeDocument/2006/relationships/hyperlink" Target="#'10 EVIDENCE &amp; DECISIONS'!A1459" TargetMode="External" Id="rId1463"/><Relationship Type="http://schemas.openxmlformats.org/officeDocument/2006/relationships/hyperlink" Target="#'10 EVIDENCE &amp; DECISIONS'!A1460" TargetMode="External" Id="rId1464"/><Relationship Type="http://schemas.openxmlformats.org/officeDocument/2006/relationships/hyperlink" Target="#'10 EVIDENCE &amp; DECISIONS'!A1461" TargetMode="External" Id="rId1465"/><Relationship Type="http://schemas.openxmlformats.org/officeDocument/2006/relationships/hyperlink" Target="#'10 EVIDENCE &amp; DECISIONS'!A1462" TargetMode="External" Id="rId1466"/><Relationship Type="http://schemas.openxmlformats.org/officeDocument/2006/relationships/hyperlink" Target="#'10 EVIDENCE &amp; DECISIONS'!A1463" TargetMode="External" Id="rId1467"/><Relationship Type="http://schemas.openxmlformats.org/officeDocument/2006/relationships/hyperlink" Target="#'10 EVIDENCE &amp; DECISIONS'!A1464" TargetMode="External" Id="rId1468"/><Relationship Type="http://schemas.openxmlformats.org/officeDocument/2006/relationships/hyperlink" Target="#'10 EVIDENCE &amp; DECISIONS'!A1465" TargetMode="External" Id="rId1469"/><Relationship Type="http://schemas.openxmlformats.org/officeDocument/2006/relationships/hyperlink" Target="#'10 EVIDENCE &amp; DECISIONS'!A1466" TargetMode="External" Id="rId1470"/><Relationship Type="http://schemas.openxmlformats.org/officeDocument/2006/relationships/hyperlink" Target="#'10 EVIDENCE &amp; DECISIONS'!A1467" TargetMode="External" Id="rId1471"/><Relationship Type="http://schemas.openxmlformats.org/officeDocument/2006/relationships/hyperlink" Target="#'10 EVIDENCE &amp; DECISIONS'!A1468" TargetMode="External" Id="rId1472"/><Relationship Type="http://schemas.openxmlformats.org/officeDocument/2006/relationships/hyperlink" Target="#'10 EVIDENCE &amp; DECISIONS'!A1469" TargetMode="External" Id="rId1473"/><Relationship Type="http://schemas.openxmlformats.org/officeDocument/2006/relationships/hyperlink" Target="#'10 EVIDENCE &amp; DECISIONS'!A1470" TargetMode="External" Id="rId1474"/><Relationship Type="http://schemas.openxmlformats.org/officeDocument/2006/relationships/hyperlink" Target="#'10 EVIDENCE &amp; DECISIONS'!A1471" TargetMode="External" Id="rId1475"/><Relationship Type="http://schemas.openxmlformats.org/officeDocument/2006/relationships/hyperlink" Target="#'10 EVIDENCE &amp; DECISIONS'!A1472" TargetMode="External" Id="rId1476"/><Relationship Type="http://schemas.openxmlformats.org/officeDocument/2006/relationships/hyperlink" Target="#'10 EVIDENCE &amp; DECISIONS'!A1473" TargetMode="External" Id="rId1477"/><Relationship Type="http://schemas.openxmlformats.org/officeDocument/2006/relationships/hyperlink" Target="#'10 EVIDENCE &amp; DECISIONS'!A1474" TargetMode="External" Id="rId1478"/><Relationship Type="http://schemas.openxmlformats.org/officeDocument/2006/relationships/hyperlink" Target="#'10 EVIDENCE &amp; DECISIONS'!A1475" TargetMode="External" Id="rId1479"/><Relationship Type="http://schemas.openxmlformats.org/officeDocument/2006/relationships/hyperlink" Target="#'10 EVIDENCE &amp; DECISIONS'!A1476" TargetMode="External" Id="rId1480"/><Relationship Type="http://schemas.openxmlformats.org/officeDocument/2006/relationships/hyperlink" Target="#'10 EVIDENCE &amp; DECISIONS'!A1477" TargetMode="External" Id="rId1481"/><Relationship Type="http://schemas.openxmlformats.org/officeDocument/2006/relationships/hyperlink" Target="#'10 EVIDENCE &amp; DECISIONS'!A1478" TargetMode="External" Id="rId1482"/><Relationship Type="http://schemas.openxmlformats.org/officeDocument/2006/relationships/hyperlink" Target="#'10 EVIDENCE &amp; DECISIONS'!A1479" TargetMode="External" Id="rId1483"/><Relationship Type="http://schemas.openxmlformats.org/officeDocument/2006/relationships/hyperlink" Target="#'10 EVIDENCE &amp; DECISIONS'!A1480" TargetMode="External" Id="rId1484"/><Relationship Type="http://schemas.openxmlformats.org/officeDocument/2006/relationships/hyperlink" Target="#'10 EVIDENCE &amp; DECISIONS'!A1481" TargetMode="External" Id="rId1485"/><Relationship Type="http://schemas.openxmlformats.org/officeDocument/2006/relationships/hyperlink" Target="#'10 EVIDENCE &amp; DECISIONS'!A1482" TargetMode="External" Id="rId1486"/><Relationship Type="http://schemas.openxmlformats.org/officeDocument/2006/relationships/hyperlink" Target="#'10 EVIDENCE &amp; DECISIONS'!A1483" TargetMode="External" Id="rId1487"/><Relationship Type="http://schemas.openxmlformats.org/officeDocument/2006/relationships/hyperlink" Target="#'10 EVIDENCE &amp; DECISIONS'!A1484" TargetMode="External" Id="rId1488"/><Relationship Type="http://schemas.openxmlformats.org/officeDocument/2006/relationships/hyperlink" Target="#'10 EVIDENCE &amp; DECISIONS'!A1485" TargetMode="External" Id="rId1489"/><Relationship Type="http://schemas.openxmlformats.org/officeDocument/2006/relationships/hyperlink" Target="#'10 EVIDENCE &amp; DECISIONS'!A1486" TargetMode="External" Id="rId1490"/><Relationship Type="http://schemas.openxmlformats.org/officeDocument/2006/relationships/hyperlink" Target="#'10 EVIDENCE &amp; DECISIONS'!A1487" TargetMode="External" Id="rId1491"/><Relationship Type="http://schemas.openxmlformats.org/officeDocument/2006/relationships/hyperlink" Target="#'10 EVIDENCE &amp; DECISIONS'!A1488" TargetMode="External" Id="rId1492"/><Relationship Type="http://schemas.openxmlformats.org/officeDocument/2006/relationships/hyperlink" Target="#'10 EVIDENCE &amp; DECISIONS'!A1489" TargetMode="External" Id="rId1493"/><Relationship Type="http://schemas.openxmlformats.org/officeDocument/2006/relationships/hyperlink" Target="#'10 EVIDENCE &amp; DECISIONS'!A1490" TargetMode="External" Id="rId1494"/><Relationship Type="http://schemas.openxmlformats.org/officeDocument/2006/relationships/hyperlink" Target="#'10 EVIDENCE &amp; DECISIONS'!A1491" TargetMode="External" Id="rId1495"/><Relationship Type="http://schemas.openxmlformats.org/officeDocument/2006/relationships/hyperlink" Target="#'10 EVIDENCE &amp; DECISIONS'!A1492" TargetMode="External" Id="rId1496"/><Relationship Type="http://schemas.openxmlformats.org/officeDocument/2006/relationships/hyperlink" Target="#'10 EVIDENCE &amp; DECISIONS'!A1493" TargetMode="External" Id="rId1497"/><Relationship Type="http://schemas.openxmlformats.org/officeDocument/2006/relationships/hyperlink" Target="#'10 EVIDENCE &amp; DECISIONS'!A1494" TargetMode="External" Id="rId1498"/><Relationship Type="http://schemas.openxmlformats.org/officeDocument/2006/relationships/hyperlink" Target="#'10 EVIDENCE &amp; DECISIONS'!A1495" TargetMode="External" Id="rId1499"/><Relationship Type="http://schemas.openxmlformats.org/officeDocument/2006/relationships/hyperlink" Target="#'10 EVIDENCE &amp; DECISIONS'!A1496" TargetMode="External" Id="rId1500"/><Relationship Type="http://schemas.openxmlformats.org/officeDocument/2006/relationships/hyperlink" Target="#'10 EVIDENCE &amp; DECISIONS'!A1497" TargetMode="External" Id="rId1501"/><Relationship Type="http://schemas.openxmlformats.org/officeDocument/2006/relationships/hyperlink" Target="#'10 EVIDENCE &amp; DECISIONS'!A1498" TargetMode="External" Id="rId1502"/><Relationship Type="http://schemas.openxmlformats.org/officeDocument/2006/relationships/hyperlink" Target="#'10 EVIDENCE &amp; DECISIONS'!A1499" TargetMode="External" Id="rId1503"/><Relationship Type="http://schemas.openxmlformats.org/officeDocument/2006/relationships/hyperlink" Target="#'10 EVIDENCE &amp; DECISIONS'!A1500" TargetMode="External" Id="rId1504"/><Relationship Type="http://schemas.openxmlformats.org/officeDocument/2006/relationships/hyperlink" Target="#'10 EVIDENCE &amp; DECISIONS'!A1501" TargetMode="External" Id="rId1505"/><Relationship Type="http://schemas.openxmlformats.org/officeDocument/2006/relationships/hyperlink" Target="#'10 EVIDENCE &amp; DECISIONS'!A1502" TargetMode="External" Id="rId1506"/><Relationship Type="http://schemas.openxmlformats.org/officeDocument/2006/relationships/hyperlink" Target="#'10 EVIDENCE &amp; DECISIONS'!A1503" TargetMode="External" Id="rId1507"/><Relationship Type="http://schemas.openxmlformats.org/officeDocument/2006/relationships/hyperlink" Target="#'10 EVIDENCE &amp; DECISIONS'!A1504" TargetMode="External" Id="rId1508"/><Relationship Type="http://schemas.openxmlformats.org/officeDocument/2006/relationships/hyperlink" Target="#'10 EVIDENCE &amp; DECISIONS'!A1505" TargetMode="External" Id="rId1509"/><Relationship Type="http://schemas.openxmlformats.org/officeDocument/2006/relationships/hyperlink" Target="#'10 EVIDENCE &amp; DECISIONS'!A1506" TargetMode="External" Id="rId1510"/><Relationship Type="http://schemas.openxmlformats.org/officeDocument/2006/relationships/hyperlink" Target="#'10 EVIDENCE &amp; DECISIONS'!A1507" TargetMode="External" Id="rId1511"/><Relationship Type="http://schemas.openxmlformats.org/officeDocument/2006/relationships/hyperlink" Target="#'10 EVIDENCE &amp; DECISIONS'!A1508" TargetMode="External" Id="rId1512"/><Relationship Type="http://schemas.openxmlformats.org/officeDocument/2006/relationships/hyperlink" Target="#'10 EVIDENCE &amp; DECISIONS'!A1509" TargetMode="External" Id="rId1513"/><Relationship Type="http://schemas.openxmlformats.org/officeDocument/2006/relationships/hyperlink" Target="#'10 EVIDENCE &amp; DECISIONS'!A1510" TargetMode="External" Id="rId1514"/><Relationship Type="http://schemas.openxmlformats.org/officeDocument/2006/relationships/hyperlink" Target="#'10 EVIDENCE &amp; DECISIONS'!A1511" TargetMode="External" Id="rId1515"/><Relationship Type="http://schemas.openxmlformats.org/officeDocument/2006/relationships/hyperlink" Target="#'10 EVIDENCE &amp; DECISIONS'!A1512" TargetMode="External" Id="rId1516"/><Relationship Type="http://schemas.openxmlformats.org/officeDocument/2006/relationships/hyperlink" Target="#'10 EVIDENCE &amp; DECISIONS'!A1513" TargetMode="External" Id="rId1517"/><Relationship Type="http://schemas.openxmlformats.org/officeDocument/2006/relationships/hyperlink" Target="#'10 EVIDENCE &amp; DECISIONS'!A1514" TargetMode="External" Id="rId1518"/><Relationship Type="http://schemas.openxmlformats.org/officeDocument/2006/relationships/hyperlink" Target="#'10 EVIDENCE &amp; DECISIONS'!A1515" TargetMode="External" Id="rId1519"/><Relationship Type="http://schemas.openxmlformats.org/officeDocument/2006/relationships/hyperlink" Target="#'10 EVIDENCE &amp; DECISIONS'!A1516" TargetMode="External" Id="rId1520"/><Relationship Type="http://schemas.openxmlformats.org/officeDocument/2006/relationships/hyperlink" Target="#'10 EVIDENCE &amp; DECISIONS'!A1517" TargetMode="External" Id="rId1521"/><Relationship Type="http://schemas.openxmlformats.org/officeDocument/2006/relationships/hyperlink" Target="#'10 EVIDENCE &amp; DECISIONS'!A1518" TargetMode="External" Id="rId1522"/><Relationship Type="http://schemas.openxmlformats.org/officeDocument/2006/relationships/hyperlink" Target="#'10 EVIDENCE &amp; DECISIONS'!A1519" TargetMode="External" Id="rId1523"/><Relationship Type="http://schemas.openxmlformats.org/officeDocument/2006/relationships/hyperlink" Target="#'10 EVIDENCE &amp; DECISIONS'!A1520" TargetMode="External" Id="rId1524"/><Relationship Type="http://schemas.openxmlformats.org/officeDocument/2006/relationships/hyperlink" Target="#'10 EVIDENCE &amp; DECISIONS'!A1521" TargetMode="External" Id="rId1525"/><Relationship Type="http://schemas.openxmlformats.org/officeDocument/2006/relationships/hyperlink" Target="#'10 EVIDENCE &amp; DECISIONS'!A1522" TargetMode="External" Id="rId1526"/><Relationship Type="http://schemas.openxmlformats.org/officeDocument/2006/relationships/hyperlink" Target="#'10 EVIDENCE &amp; DECISIONS'!A1523" TargetMode="External" Id="rId1527"/><Relationship Type="http://schemas.openxmlformats.org/officeDocument/2006/relationships/hyperlink" Target="#'10 EVIDENCE &amp; DECISIONS'!A1524" TargetMode="External" Id="rId1528"/><Relationship Type="http://schemas.openxmlformats.org/officeDocument/2006/relationships/hyperlink" Target="#'10 EVIDENCE &amp; DECISIONS'!A1525" TargetMode="External" Id="rId1529"/><Relationship Type="http://schemas.openxmlformats.org/officeDocument/2006/relationships/hyperlink" Target="#'10 EVIDENCE &amp; DECISIONS'!A1526" TargetMode="External" Id="rId1530"/><Relationship Type="http://schemas.openxmlformats.org/officeDocument/2006/relationships/hyperlink" Target="#'10 EVIDENCE &amp; DECISIONS'!A1527" TargetMode="External" Id="rId1531"/><Relationship Type="http://schemas.openxmlformats.org/officeDocument/2006/relationships/hyperlink" Target="#'10 EVIDENCE &amp; DECISIONS'!A1528" TargetMode="External" Id="rId1532"/><Relationship Type="http://schemas.openxmlformats.org/officeDocument/2006/relationships/hyperlink" Target="#'10 EVIDENCE &amp; DECISIONS'!A1529" TargetMode="External" Id="rId1533"/><Relationship Type="http://schemas.openxmlformats.org/officeDocument/2006/relationships/hyperlink" Target="#'10 EVIDENCE &amp; DECISIONS'!A1530" TargetMode="External" Id="rId1534"/><Relationship Type="http://schemas.openxmlformats.org/officeDocument/2006/relationships/hyperlink" Target="#'10 EVIDENCE &amp; DECISIONS'!A1531" TargetMode="External" Id="rId1535"/><Relationship Type="http://schemas.openxmlformats.org/officeDocument/2006/relationships/hyperlink" Target="#'10 EVIDENCE &amp; DECISIONS'!A1532" TargetMode="External" Id="rId1536"/><Relationship Type="http://schemas.openxmlformats.org/officeDocument/2006/relationships/hyperlink" Target="#'10 EVIDENCE &amp; DECISIONS'!A1533" TargetMode="External" Id="rId1537"/><Relationship Type="http://schemas.openxmlformats.org/officeDocument/2006/relationships/hyperlink" Target="#'10 EVIDENCE &amp; DECISIONS'!A1534" TargetMode="External" Id="rId1538"/><Relationship Type="http://schemas.openxmlformats.org/officeDocument/2006/relationships/hyperlink" Target="#'10 EVIDENCE &amp; DECISIONS'!A1535" TargetMode="External" Id="rId1539"/><Relationship Type="http://schemas.openxmlformats.org/officeDocument/2006/relationships/hyperlink" Target="#'10 EVIDENCE &amp; DECISIONS'!A1536" TargetMode="External" Id="rId1540"/><Relationship Type="http://schemas.openxmlformats.org/officeDocument/2006/relationships/hyperlink" Target="#'10 EVIDENCE &amp; DECISIONS'!A1537" TargetMode="External" Id="rId1541"/><Relationship Type="http://schemas.openxmlformats.org/officeDocument/2006/relationships/hyperlink" Target="#'10 EVIDENCE &amp; DECISIONS'!A1538" TargetMode="External" Id="rId1542"/><Relationship Type="http://schemas.openxmlformats.org/officeDocument/2006/relationships/hyperlink" Target="#'10 EVIDENCE &amp; DECISIONS'!A1539" TargetMode="External" Id="rId1543"/><Relationship Type="http://schemas.openxmlformats.org/officeDocument/2006/relationships/hyperlink" Target="#'10 EVIDENCE &amp; DECISIONS'!A1540" TargetMode="External" Id="rId1544"/><Relationship Type="http://schemas.openxmlformats.org/officeDocument/2006/relationships/hyperlink" Target="#'10 EVIDENCE &amp; DECISIONS'!A1541" TargetMode="External" Id="rId1545"/><Relationship Type="http://schemas.openxmlformats.org/officeDocument/2006/relationships/hyperlink" Target="#'10 EVIDENCE &amp; DECISIONS'!A1542" TargetMode="External" Id="rId1546"/><Relationship Type="http://schemas.openxmlformats.org/officeDocument/2006/relationships/hyperlink" Target="#'10 EVIDENCE &amp; DECISIONS'!A1543" TargetMode="External" Id="rId1547"/><Relationship Type="http://schemas.openxmlformats.org/officeDocument/2006/relationships/hyperlink" Target="#'10 EVIDENCE &amp; DECISIONS'!A1544" TargetMode="External" Id="rId1548"/><Relationship Type="http://schemas.openxmlformats.org/officeDocument/2006/relationships/hyperlink" Target="#'10 EVIDENCE &amp; DECISIONS'!A1545" TargetMode="External" Id="rId1549"/><Relationship Type="http://schemas.openxmlformats.org/officeDocument/2006/relationships/hyperlink" Target="#'10 EVIDENCE &amp; DECISIONS'!A1546" TargetMode="External" Id="rId1550"/><Relationship Type="http://schemas.openxmlformats.org/officeDocument/2006/relationships/hyperlink" Target="#'10 EVIDENCE &amp; DECISIONS'!A1547" TargetMode="External" Id="rId1551"/><Relationship Type="http://schemas.openxmlformats.org/officeDocument/2006/relationships/hyperlink" Target="#'10 EVIDENCE &amp; DECISIONS'!A1548" TargetMode="External" Id="rId1552"/><Relationship Type="http://schemas.openxmlformats.org/officeDocument/2006/relationships/hyperlink" Target="#'10 EVIDENCE &amp; DECISIONS'!A1549" TargetMode="External" Id="rId1553"/><Relationship Type="http://schemas.openxmlformats.org/officeDocument/2006/relationships/hyperlink" Target="#'10 EVIDENCE &amp; DECISIONS'!A1550" TargetMode="External" Id="rId1554"/><Relationship Type="http://schemas.openxmlformats.org/officeDocument/2006/relationships/hyperlink" Target="#'10 EVIDENCE &amp; DECISIONS'!A1551" TargetMode="External" Id="rId1555"/><Relationship Type="http://schemas.openxmlformats.org/officeDocument/2006/relationships/hyperlink" Target="#'10 EVIDENCE &amp; DECISIONS'!A1552" TargetMode="External" Id="rId1556"/><Relationship Type="http://schemas.openxmlformats.org/officeDocument/2006/relationships/hyperlink" Target="#'10 EVIDENCE &amp; DECISIONS'!A1553" TargetMode="External" Id="rId1557"/><Relationship Type="http://schemas.openxmlformats.org/officeDocument/2006/relationships/hyperlink" Target="#'10 EVIDENCE &amp; DECISIONS'!A1554" TargetMode="External" Id="rId1558"/><Relationship Type="http://schemas.openxmlformats.org/officeDocument/2006/relationships/hyperlink" Target="#'10 EVIDENCE &amp; DECISIONS'!A1555" TargetMode="External" Id="rId1559"/><Relationship Type="http://schemas.openxmlformats.org/officeDocument/2006/relationships/hyperlink" Target="#'10 EVIDENCE &amp; DECISIONS'!A1556" TargetMode="External" Id="rId1560"/><Relationship Type="http://schemas.openxmlformats.org/officeDocument/2006/relationships/hyperlink" Target="#'10 EVIDENCE &amp; DECISIONS'!A1557" TargetMode="External" Id="rId1561"/><Relationship Type="http://schemas.openxmlformats.org/officeDocument/2006/relationships/hyperlink" Target="#'10 EVIDENCE &amp; DECISIONS'!A1558" TargetMode="External" Id="rId1562"/><Relationship Type="http://schemas.openxmlformats.org/officeDocument/2006/relationships/hyperlink" Target="#'10 EVIDENCE &amp; DECISIONS'!A1559" TargetMode="External" Id="rId1563"/><Relationship Type="http://schemas.openxmlformats.org/officeDocument/2006/relationships/hyperlink" Target="#'10 EVIDENCE &amp; DECISIONS'!A1560" TargetMode="External" Id="rId1564"/><Relationship Type="http://schemas.openxmlformats.org/officeDocument/2006/relationships/hyperlink" Target="#'10 EVIDENCE &amp; DECISIONS'!A1561" TargetMode="External" Id="rId1565"/><Relationship Type="http://schemas.openxmlformats.org/officeDocument/2006/relationships/hyperlink" Target="#'10 EVIDENCE &amp; DECISIONS'!A1562" TargetMode="External" Id="rId1566"/><Relationship Type="http://schemas.openxmlformats.org/officeDocument/2006/relationships/hyperlink" Target="#'10 EVIDENCE &amp; DECISIONS'!A1563" TargetMode="External" Id="rId1567"/><Relationship Type="http://schemas.openxmlformats.org/officeDocument/2006/relationships/hyperlink" Target="#'10 EVIDENCE &amp; DECISIONS'!A1564" TargetMode="External" Id="rId1568"/><Relationship Type="http://schemas.openxmlformats.org/officeDocument/2006/relationships/hyperlink" Target="#'10 EVIDENCE &amp; DECISIONS'!A1565" TargetMode="External" Id="rId1569"/><Relationship Type="http://schemas.openxmlformats.org/officeDocument/2006/relationships/hyperlink" Target="#'10 EVIDENCE &amp; DECISIONS'!A1566" TargetMode="External" Id="rId1570"/><Relationship Type="http://schemas.openxmlformats.org/officeDocument/2006/relationships/hyperlink" Target="#'10 EVIDENCE &amp; DECISIONS'!A1567" TargetMode="External" Id="rId1571"/><Relationship Type="http://schemas.openxmlformats.org/officeDocument/2006/relationships/hyperlink" Target="#'10 EVIDENCE &amp; DECISIONS'!A1568" TargetMode="External" Id="rId1572"/><Relationship Type="http://schemas.openxmlformats.org/officeDocument/2006/relationships/hyperlink" Target="#'10 EVIDENCE &amp; DECISIONS'!A1569" TargetMode="External" Id="rId1573"/><Relationship Type="http://schemas.openxmlformats.org/officeDocument/2006/relationships/hyperlink" Target="#'10 EVIDENCE &amp; DECISIONS'!A1570" TargetMode="External" Id="rId1574"/><Relationship Type="http://schemas.openxmlformats.org/officeDocument/2006/relationships/hyperlink" Target="#'10 EVIDENCE &amp; DECISIONS'!A1571" TargetMode="External" Id="rId1575"/><Relationship Type="http://schemas.openxmlformats.org/officeDocument/2006/relationships/hyperlink" Target="#'10 EVIDENCE &amp; DECISIONS'!A1572" TargetMode="External" Id="rId1576"/><Relationship Type="http://schemas.openxmlformats.org/officeDocument/2006/relationships/hyperlink" Target="#'10 EVIDENCE &amp; DECISIONS'!A1573" TargetMode="External" Id="rId1577"/><Relationship Type="http://schemas.openxmlformats.org/officeDocument/2006/relationships/hyperlink" Target="#'10 EVIDENCE &amp; DECISIONS'!A1574" TargetMode="External" Id="rId1578"/><Relationship Type="http://schemas.openxmlformats.org/officeDocument/2006/relationships/hyperlink" Target="#'10 EVIDENCE &amp; DECISIONS'!A1575" TargetMode="External" Id="rId1579"/><Relationship Type="http://schemas.openxmlformats.org/officeDocument/2006/relationships/hyperlink" Target="#'10 EVIDENCE &amp; DECISIONS'!A1576" TargetMode="External" Id="rId1580"/><Relationship Type="http://schemas.openxmlformats.org/officeDocument/2006/relationships/hyperlink" Target="#'10 EVIDENCE &amp; DECISIONS'!A1577" TargetMode="External" Id="rId1581"/><Relationship Type="http://schemas.openxmlformats.org/officeDocument/2006/relationships/hyperlink" Target="#'10 EVIDENCE &amp; DECISIONS'!A1578" TargetMode="External" Id="rId1582"/><Relationship Type="http://schemas.openxmlformats.org/officeDocument/2006/relationships/hyperlink" Target="#'10 EVIDENCE &amp; DECISIONS'!A1579" TargetMode="External" Id="rId1583"/><Relationship Type="http://schemas.openxmlformats.org/officeDocument/2006/relationships/hyperlink" Target="#'10 EVIDENCE &amp; DECISIONS'!A1580" TargetMode="External" Id="rId1584"/><Relationship Type="http://schemas.openxmlformats.org/officeDocument/2006/relationships/hyperlink" Target="#'10 EVIDENCE &amp; DECISIONS'!A1581" TargetMode="External" Id="rId1585"/><Relationship Type="http://schemas.openxmlformats.org/officeDocument/2006/relationships/hyperlink" Target="#'10 EVIDENCE &amp; DECISIONS'!A1582" TargetMode="External" Id="rId1586"/><Relationship Type="http://schemas.openxmlformats.org/officeDocument/2006/relationships/hyperlink" Target="#'10 EVIDENCE &amp; DECISIONS'!A1583" TargetMode="External" Id="rId1587"/><Relationship Type="http://schemas.openxmlformats.org/officeDocument/2006/relationships/hyperlink" Target="#'10 EVIDENCE &amp; DECISIONS'!A1584" TargetMode="External" Id="rId1588"/><Relationship Type="http://schemas.openxmlformats.org/officeDocument/2006/relationships/hyperlink" Target="#'10 EVIDENCE &amp; DECISIONS'!A1585" TargetMode="External" Id="rId1589"/><Relationship Type="http://schemas.openxmlformats.org/officeDocument/2006/relationships/hyperlink" Target="#'10 EVIDENCE &amp; DECISIONS'!A1586" TargetMode="External" Id="rId1590"/><Relationship Type="http://schemas.openxmlformats.org/officeDocument/2006/relationships/hyperlink" Target="#'10 EVIDENCE &amp; DECISIONS'!A1587" TargetMode="External" Id="rId1591"/><Relationship Type="http://schemas.openxmlformats.org/officeDocument/2006/relationships/hyperlink" Target="#'10 EVIDENCE &amp; DECISIONS'!A1588" TargetMode="External" Id="rId1592"/><Relationship Type="http://schemas.openxmlformats.org/officeDocument/2006/relationships/hyperlink" Target="#'10 EVIDENCE &amp; DECISIONS'!A1589" TargetMode="External" Id="rId1593"/><Relationship Type="http://schemas.openxmlformats.org/officeDocument/2006/relationships/hyperlink" Target="#'10 EVIDENCE &amp; DECISIONS'!A1590" TargetMode="External" Id="rId1594"/><Relationship Type="http://schemas.openxmlformats.org/officeDocument/2006/relationships/hyperlink" Target="#'10 EVIDENCE &amp; DECISIONS'!A1591" TargetMode="External" Id="rId1595"/><Relationship Type="http://schemas.openxmlformats.org/officeDocument/2006/relationships/hyperlink" Target="#'10 EVIDENCE &amp; DECISIONS'!A1592" TargetMode="External" Id="rId1596"/><Relationship Type="http://schemas.openxmlformats.org/officeDocument/2006/relationships/hyperlink" Target="#'10 EVIDENCE &amp; DECISIONS'!A1593" TargetMode="External" Id="rId1597"/><Relationship Type="http://schemas.openxmlformats.org/officeDocument/2006/relationships/hyperlink" Target="#'10 EVIDENCE &amp; DECISIONS'!A1594" TargetMode="External" Id="rId1598"/><Relationship Type="http://schemas.openxmlformats.org/officeDocument/2006/relationships/hyperlink" Target="#'10 EVIDENCE &amp; DECISIONS'!A1595" TargetMode="External" Id="rId1599"/><Relationship Type="http://schemas.openxmlformats.org/officeDocument/2006/relationships/hyperlink" Target="#'10 EVIDENCE &amp; DECISIONS'!A1596" TargetMode="External" Id="rId1600"/><Relationship Type="http://schemas.openxmlformats.org/officeDocument/2006/relationships/hyperlink" Target="#'10 EVIDENCE &amp; DECISIONS'!A1597" TargetMode="External" Id="rId1601"/><Relationship Type="http://schemas.openxmlformats.org/officeDocument/2006/relationships/hyperlink" Target="#'10 EVIDENCE &amp; DECISIONS'!A1598" TargetMode="External" Id="rId1602"/><Relationship Type="http://schemas.openxmlformats.org/officeDocument/2006/relationships/hyperlink" Target="#'10 EVIDENCE &amp; DECISIONS'!A1599" TargetMode="External" Id="rId1603"/><Relationship Type="http://schemas.openxmlformats.org/officeDocument/2006/relationships/hyperlink" Target="#'10 EVIDENCE &amp; DECISIONS'!A1600" TargetMode="External" Id="rId1604"/><Relationship Type="http://schemas.openxmlformats.org/officeDocument/2006/relationships/hyperlink" Target="#'10 EVIDENCE &amp; DECISIONS'!A1601" TargetMode="External" Id="rId1605"/><Relationship Type="http://schemas.openxmlformats.org/officeDocument/2006/relationships/hyperlink" Target="#'10 EVIDENCE &amp; DECISIONS'!A1602" TargetMode="External" Id="rId1606"/><Relationship Type="http://schemas.openxmlformats.org/officeDocument/2006/relationships/hyperlink" Target="#'10 EVIDENCE &amp; DECISIONS'!A1603" TargetMode="External" Id="rId1607"/><Relationship Type="http://schemas.openxmlformats.org/officeDocument/2006/relationships/hyperlink" Target="#'10 EVIDENCE &amp; DECISIONS'!A1604" TargetMode="External" Id="rId1608"/><Relationship Type="http://schemas.openxmlformats.org/officeDocument/2006/relationships/hyperlink" Target="#'10 EVIDENCE &amp; DECISIONS'!A1605" TargetMode="External" Id="rId1609"/><Relationship Type="http://schemas.openxmlformats.org/officeDocument/2006/relationships/hyperlink" Target="#'10 EVIDENCE &amp; DECISIONS'!A1606" TargetMode="External" Id="rId1610"/><Relationship Type="http://schemas.openxmlformats.org/officeDocument/2006/relationships/hyperlink" Target="#'10 EVIDENCE &amp; DECISIONS'!A1607" TargetMode="External" Id="rId1611"/><Relationship Type="http://schemas.openxmlformats.org/officeDocument/2006/relationships/hyperlink" Target="#'10 EVIDENCE &amp; DECISIONS'!A1608" TargetMode="External" Id="rId1612"/><Relationship Type="http://schemas.openxmlformats.org/officeDocument/2006/relationships/hyperlink" Target="#'10 EVIDENCE &amp; DECISIONS'!A1609" TargetMode="External" Id="rId1613"/><Relationship Type="http://schemas.openxmlformats.org/officeDocument/2006/relationships/hyperlink" Target="#'10 EVIDENCE &amp; DECISIONS'!A1610" TargetMode="External" Id="rId1614"/><Relationship Type="http://schemas.openxmlformats.org/officeDocument/2006/relationships/hyperlink" Target="#'10 EVIDENCE &amp; DECISIONS'!A1611" TargetMode="External" Id="rId1615"/><Relationship Type="http://schemas.openxmlformats.org/officeDocument/2006/relationships/hyperlink" Target="#'10 EVIDENCE &amp; DECISIONS'!A1612" TargetMode="External" Id="rId1616"/><Relationship Type="http://schemas.openxmlformats.org/officeDocument/2006/relationships/hyperlink" Target="#'10 EVIDENCE &amp; DECISIONS'!A1613" TargetMode="External" Id="rId1617"/><Relationship Type="http://schemas.openxmlformats.org/officeDocument/2006/relationships/hyperlink" Target="#'10 EVIDENCE &amp; DECISIONS'!A1614" TargetMode="External" Id="rId1618"/><Relationship Type="http://schemas.openxmlformats.org/officeDocument/2006/relationships/hyperlink" Target="#'10 EVIDENCE &amp; DECISIONS'!A1615" TargetMode="External" Id="rId1619"/><Relationship Type="http://schemas.openxmlformats.org/officeDocument/2006/relationships/hyperlink" Target="#'10 EVIDENCE &amp; DECISIONS'!A1616" TargetMode="External" Id="rId1620"/><Relationship Type="http://schemas.openxmlformats.org/officeDocument/2006/relationships/hyperlink" Target="#'10 EVIDENCE &amp; DECISIONS'!A1617" TargetMode="External" Id="rId1621"/><Relationship Type="http://schemas.openxmlformats.org/officeDocument/2006/relationships/hyperlink" Target="#'10 EVIDENCE &amp; DECISIONS'!A1618" TargetMode="External" Id="rId1622"/><Relationship Type="http://schemas.openxmlformats.org/officeDocument/2006/relationships/hyperlink" Target="#'10 EVIDENCE &amp; DECISIONS'!A1619" TargetMode="External" Id="rId1623"/><Relationship Type="http://schemas.openxmlformats.org/officeDocument/2006/relationships/hyperlink" Target="#'10 EVIDENCE &amp; DECISIONS'!A1620" TargetMode="External" Id="rId1624"/><Relationship Type="http://schemas.openxmlformats.org/officeDocument/2006/relationships/hyperlink" Target="#'10 EVIDENCE &amp; DECISIONS'!A1621" TargetMode="External" Id="rId1625"/><Relationship Type="http://schemas.openxmlformats.org/officeDocument/2006/relationships/hyperlink" Target="#'10 EVIDENCE &amp; DECISIONS'!A1622" TargetMode="External" Id="rId1626"/><Relationship Type="http://schemas.openxmlformats.org/officeDocument/2006/relationships/hyperlink" Target="#'10 EVIDENCE &amp; DECISIONS'!A1623" TargetMode="External" Id="rId1627"/><Relationship Type="http://schemas.openxmlformats.org/officeDocument/2006/relationships/hyperlink" Target="#'10 EVIDENCE &amp; DECISIONS'!A1624" TargetMode="External" Id="rId1628"/><Relationship Type="http://schemas.openxmlformats.org/officeDocument/2006/relationships/hyperlink" Target="#'10 EVIDENCE &amp; DECISIONS'!A1625" TargetMode="External" Id="rId1629"/><Relationship Type="http://schemas.openxmlformats.org/officeDocument/2006/relationships/hyperlink" Target="#'10 EVIDENCE &amp; DECISIONS'!A1626" TargetMode="External" Id="rId1630"/><Relationship Type="http://schemas.openxmlformats.org/officeDocument/2006/relationships/hyperlink" Target="#'10 EVIDENCE &amp; DECISIONS'!A1627" TargetMode="External" Id="rId1631"/><Relationship Type="http://schemas.openxmlformats.org/officeDocument/2006/relationships/hyperlink" Target="#'10 EVIDENCE &amp; DECISIONS'!A1628" TargetMode="External" Id="rId1632"/><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14 WBS HIERARCHY'!A1" TargetMode="External" Id="rId10"/><Relationship Type="http://schemas.openxmlformats.org/officeDocument/2006/relationships/hyperlink" Target="#'08 CROSSWALK'!A1" TargetMode="External" Id="rId11"/><Relationship Type="http://schemas.openxmlformats.org/officeDocument/2006/relationships/hyperlink" Target="#'08 CROSSWALK'!A6" TargetMode="External" Id="rId12"/><Relationship Type="http://schemas.openxmlformats.org/officeDocument/2006/relationships/hyperlink" Target="#'08 CROSSWALK'!A6" TargetMode="External" Id="rId13"/><Relationship Type="http://schemas.openxmlformats.org/officeDocument/2006/relationships/hyperlink" Target="#'08 CROSSWALK'!A16" TargetMode="External" Id="rId14"/><Relationship Type="http://schemas.openxmlformats.org/officeDocument/2006/relationships/hyperlink" Target="#'08 CROSSWALK'!A1" TargetMode="External" Id="rId15"/><Relationship Type="http://schemas.openxmlformats.org/officeDocument/2006/relationships/hyperlink" Target="#'08 CROSSWALK'!A1" TargetMode="External" Id="rId16"/><Relationship Type="http://schemas.openxmlformats.org/officeDocument/2006/relationships/hyperlink" Target="#'08 CROSSWALK'!A176" TargetMode="External" Id="rId17"/><Relationship Type="http://schemas.openxmlformats.org/officeDocument/2006/relationships/hyperlink" Target="#'08 CROSSWALK'!A1" TargetMode="External" Id="rId18"/><Relationship Type="http://schemas.openxmlformats.org/officeDocument/2006/relationships/hyperlink" Target="#'08 CROSSWALK'!A1" TargetMode="External" Id="rId19"/><Relationship Type="http://schemas.openxmlformats.org/officeDocument/2006/relationships/hyperlink" Target="#'08 CROSSWALK'!A1" TargetMode="External" Id="rId20"/><Relationship Type="http://schemas.openxmlformats.org/officeDocument/2006/relationships/hyperlink" Target="#'08 CROSSWALK'!A1" TargetMode="External" Id="rId21"/><Relationship Type="http://schemas.openxmlformats.org/officeDocument/2006/relationships/hyperlink" Target="#'08 CROSSWALK'!A1" TargetMode="External" Id="rId22"/><Relationship Type="http://schemas.openxmlformats.org/officeDocument/2006/relationships/hyperlink" Target="#'08 CROSSWALK'!A1" TargetMode="External" Id="rId23"/><Relationship Type="http://schemas.openxmlformats.org/officeDocument/2006/relationships/hyperlink" Target="#'08 CROSSWALK'!A1" TargetMode="External" Id="rId24"/><Relationship Type="http://schemas.openxmlformats.org/officeDocument/2006/relationships/hyperlink" Target="#'08 CROSSWALK'!A1" TargetMode="External" Id="rId25"/><Relationship Type="http://schemas.openxmlformats.org/officeDocument/2006/relationships/hyperlink" Target="#'08 CROSSWALK'!A276" TargetMode="External" Id="rId26"/><Relationship Type="http://schemas.openxmlformats.org/officeDocument/2006/relationships/hyperlink" Target="#'08 CROSSWALK'!A287" TargetMode="External" Id="rId27"/><Relationship Type="http://schemas.openxmlformats.org/officeDocument/2006/relationships/hyperlink" Target="#'08 CROSSWALK'!A1" TargetMode="External" Id="rId28"/><Relationship Type="http://schemas.openxmlformats.org/officeDocument/2006/relationships/hyperlink" Target="#'08 CROSSWALK'!A1" TargetMode="External" Id="rId29"/><Relationship Type="http://schemas.openxmlformats.org/officeDocument/2006/relationships/hyperlink" Target="#'08 CROSSWALK'!A447" TargetMode="External" Id="rId30"/><Relationship Type="http://schemas.openxmlformats.org/officeDocument/2006/relationships/hyperlink" Target="#'08 CROSSWALK'!A1" TargetMode="External" Id="rId31"/><Relationship Type="http://schemas.openxmlformats.org/officeDocument/2006/relationships/hyperlink" Target="#'08 CROSSWALK'!A1" TargetMode="External" Id="rId32"/><Relationship Type="http://schemas.openxmlformats.org/officeDocument/2006/relationships/hyperlink" Target="#'08 CROSSWALK'!A1" TargetMode="External" Id="rId33"/><Relationship Type="http://schemas.openxmlformats.org/officeDocument/2006/relationships/hyperlink" Target="#'08 CROSSWALK'!A1" TargetMode="External" Id="rId34"/><Relationship Type="http://schemas.openxmlformats.org/officeDocument/2006/relationships/hyperlink" Target="#'08 CROSSWALK'!A1" TargetMode="External" Id="rId35"/><Relationship Type="http://schemas.openxmlformats.org/officeDocument/2006/relationships/hyperlink" Target="#'08 CROSSWALK'!A1" TargetMode="External" Id="rId36"/><Relationship Type="http://schemas.openxmlformats.org/officeDocument/2006/relationships/hyperlink" Target="#'08 CROSSWALK'!A1" TargetMode="External" Id="rId37"/><Relationship Type="http://schemas.openxmlformats.org/officeDocument/2006/relationships/hyperlink" Target="#'08 CROSSWALK'!A1" TargetMode="External" Id="rId38"/><Relationship Type="http://schemas.openxmlformats.org/officeDocument/2006/relationships/hyperlink" Target="#'08 CROSSWALK'!A546" TargetMode="External" Id="rId39"/><Relationship Type="http://schemas.openxmlformats.org/officeDocument/2006/relationships/hyperlink" Target="#'08 CROSSWALK'!A556" TargetMode="External" Id="rId40"/><Relationship Type="http://schemas.openxmlformats.org/officeDocument/2006/relationships/hyperlink" Target="#'08 CROSSWALK'!A1" TargetMode="External" Id="rId41"/><Relationship Type="http://schemas.openxmlformats.org/officeDocument/2006/relationships/hyperlink" Target="#'08 CROSSWALK'!A1" TargetMode="External" Id="rId42"/><Relationship Type="http://schemas.openxmlformats.org/officeDocument/2006/relationships/hyperlink" Target="#'08 CROSSWALK'!A716" TargetMode="External" Id="rId43"/><Relationship Type="http://schemas.openxmlformats.org/officeDocument/2006/relationships/hyperlink" Target="#'08 CROSSWALK'!A1" TargetMode="External" Id="rId44"/><Relationship Type="http://schemas.openxmlformats.org/officeDocument/2006/relationships/hyperlink" Target="#'08 CROSSWALK'!A1" TargetMode="External" Id="rId45"/><Relationship Type="http://schemas.openxmlformats.org/officeDocument/2006/relationships/hyperlink" Target="#'08 CROSSWALK'!A1" TargetMode="External" Id="rId46"/><Relationship Type="http://schemas.openxmlformats.org/officeDocument/2006/relationships/hyperlink" Target="#'08 CROSSWALK'!A1" TargetMode="External" Id="rId47"/><Relationship Type="http://schemas.openxmlformats.org/officeDocument/2006/relationships/hyperlink" Target="#'08 CROSSWALK'!A1" TargetMode="External" Id="rId48"/><Relationship Type="http://schemas.openxmlformats.org/officeDocument/2006/relationships/hyperlink" Target="#'08 CROSSWALK'!A1" TargetMode="External" Id="rId49"/><Relationship Type="http://schemas.openxmlformats.org/officeDocument/2006/relationships/hyperlink" Target="#'08 CROSSWALK'!A1" TargetMode="External" Id="rId50"/><Relationship Type="http://schemas.openxmlformats.org/officeDocument/2006/relationships/hyperlink" Target="#'08 CROSSWALK'!A1" TargetMode="External" Id="rId51"/><Relationship Type="http://schemas.openxmlformats.org/officeDocument/2006/relationships/hyperlink" Target="#'08 CROSSWALK'!A815" TargetMode="External" Id="rId52"/><Relationship Type="http://schemas.openxmlformats.org/officeDocument/2006/relationships/hyperlink" Target="#'08 CROSSWALK'!A825" TargetMode="External" Id="rId53"/><Relationship Type="http://schemas.openxmlformats.org/officeDocument/2006/relationships/hyperlink" Target="#'08 CROSSWALK'!A1" TargetMode="External" Id="rId54"/><Relationship Type="http://schemas.openxmlformats.org/officeDocument/2006/relationships/hyperlink" Target="#'08 CROSSWALK'!A1" TargetMode="External" Id="rId55"/><Relationship Type="http://schemas.openxmlformats.org/officeDocument/2006/relationships/hyperlink" Target="#'08 CROSSWALK'!A985" TargetMode="External" Id="rId56"/><Relationship Type="http://schemas.openxmlformats.org/officeDocument/2006/relationships/hyperlink" Target="#'08 CROSSWALK'!A1" TargetMode="External" Id="rId57"/><Relationship Type="http://schemas.openxmlformats.org/officeDocument/2006/relationships/hyperlink" Target="#'08 CROSSWALK'!A1" TargetMode="External" Id="rId58"/><Relationship Type="http://schemas.openxmlformats.org/officeDocument/2006/relationships/hyperlink" Target="#'08 CROSSWALK'!A1" TargetMode="External" Id="rId59"/><Relationship Type="http://schemas.openxmlformats.org/officeDocument/2006/relationships/hyperlink" Target="#'08 CROSSWALK'!A1" TargetMode="External" Id="rId60"/><Relationship Type="http://schemas.openxmlformats.org/officeDocument/2006/relationships/hyperlink" Target="#'08 CROSSWALK'!A1" TargetMode="External" Id="rId61"/><Relationship Type="http://schemas.openxmlformats.org/officeDocument/2006/relationships/hyperlink" Target="#'08 CROSSWALK'!A1" TargetMode="External" Id="rId62"/><Relationship Type="http://schemas.openxmlformats.org/officeDocument/2006/relationships/hyperlink" Target="#'08 CROSSWALK'!A1" TargetMode="External" Id="rId63"/><Relationship Type="http://schemas.openxmlformats.org/officeDocument/2006/relationships/hyperlink" Target="#'08 CROSSWALK'!A1" TargetMode="External" Id="rId64"/><Relationship Type="http://schemas.openxmlformats.org/officeDocument/2006/relationships/hyperlink" Target="#'08 CROSSWALK'!A1084" TargetMode="External" Id="rId65"/><Relationship Type="http://schemas.openxmlformats.org/officeDocument/2006/relationships/hyperlink" Target="#'08 CROSSWALK'!A1094" TargetMode="External" Id="rId66"/><Relationship Type="http://schemas.openxmlformats.org/officeDocument/2006/relationships/hyperlink" Target="#'08 CROSSWALK'!A1" TargetMode="External" Id="rId67"/><Relationship Type="http://schemas.openxmlformats.org/officeDocument/2006/relationships/hyperlink" Target="#'08 CROSSWALK'!A1" TargetMode="External" Id="rId68"/><Relationship Type="http://schemas.openxmlformats.org/officeDocument/2006/relationships/hyperlink" Target="#'08 CROSSWALK'!A1214" TargetMode="External" Id="rId69"/><Relationship Type="http://schemas.openxmlformats.org/officeDocument/2006/relationships/hyperlink" Target="#'08 CROSSWALK'!A1" TargetMode="External" Id="rId70"/><Relationship Type="http://schemas.openxmlformats.org/officeDocument/2006/relationships/hyperlink" Target="#'08 CROSSWALK'!A1" TargetMode="External" Id="rId71"/><Relationship Type="http://schemas.openxmlformats.org/officeDocument/2006/relationships/hyperlink" Target="#'08 CROSSWALK'!A1" TargetMode="External" Id="rId72"/><Relationship Type="http://schemas.openxmlformats.org/officeDocument/2006/relationships/hyperlink" Target="#'08 CROSSWALK'!A1" TargetMode="External" Id="rId73"/><Relationship Type="http://schemas.openxmlformats.org/officeDocument/2006/relationships/hyperlink" Target="#'08 CROSSWALK'!A1" TargetMode="External" Id="rId74"/><Relationship Type="http://schemas.openxmlformats.org/officeDocument/2006/relationships/hyperlink" Target="#'08 CROSSWALK'!A1" TargetMode="External" Id="rId75"/><Relationship Type="http://schemas.openxmlformats.org/officeDocument/2006/relationships/hyperlink" Target="#'08 CROSSWALK'!A1" TargetMode="External" Id="rId76"/><Relationship Type="http://schemas.openxmlformats.org/officeDocument/2006/relationships/hyperlink" Target="#'08 CROSSWALK'!A1" TargetMode="External" Id="rId77"/><Relationship Type="http://schemas.openxmlformats.org/officeDocument/2006/relationships/hyperlink" Target="#'08 CROSSWALK'!A1274" TargetMode="External" Id="rId78"/><Relationship Type="http://schemas.openxmlformats.org/officeDocument/2006/relationships/hyperlink" Target="#'08 CROSSWALK'!A1284" TargetMode="External" Id="rId79"/><Relationship Type="http://schemas.openxmlformats.org/officeDocument/2006/relationships/hyperlink" Target="#'08 CROSSWALK'!A1" TargetMode="External" Id="rId80"/><Relationship Type="http://schemas.openxmlformats.org/officeDocument/2006/relationships/hyperlink" Target="#'08 CROSSWALK'!A1" TargetMode="External" Id="rId81"/><Relationship Type="http://schemas.openxmlformats.org/officeDocument/2006/relationships/hyperlink" Target="#'08 CROSSWALK'!A1324" TargetMode="External" Id="rId82"/><Relationship Type="http://schemas.openxmlformats.org/officeDocument/2006/relationships/hyperlink" Target="#'08 CROSSWALK'!A1" TargetMode="External" Id="rId83"/><Relationship Type="http://schemas.openxmlformats.org/officeDocument/2006/relationships/hyperlink" Target="#'08 CROSSWALK'!A1" TargetMode="External" Id="rId84"/><Relationship Type="http://schemas.openxmlformats.org/officeDocument/2006/relationships/hyperlink" Target="#'08 CROSSWALK'!A1" TargetMode="External" Id="rId85"/><Relationship Type="http://schemas.openxmlformats.org/officeDocument/2006/relationships/hyperlink" Target="#'08 CROSSWALK'!A1" TargetMode="External" Id="rId86"/><Relationship Type="http://schemas.openxmlformats.org/officeDocument/2006/relationships/hyperlink" Target="#'08 CROSSWALK'!A1" TargetMode="External" Id="rId87"/><Relationship Type="http://schemas.openxmlformats.org/officeDocument/2006/relationships/hyperlink" Target="#'08 CROSSWALK'!A1" TargetMode="External" Id="rId88"/><Relationship Type="http://schemas.openxmlformats.org/officeDocument/2006/relationships/hyperlink" Target="#'08 CROSSWALK'!A1" TargetMode="External" Id="rId89"/><Relationship Type="http://schemas.openxmlformats.org/officeDocument/2006/relationships/hyperlink" Target="#'08 CROSSWALK'!A1" TargetMode="External" Id="rId90"/><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0.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08 CROSSWALK'!A6" TargetMode="External" Id="rId10"/><Relationship Type="http://schemas.openxmlformats.org/officeDocument/2006/relationships/hyperlink" Target="#'08 CROSSWALK'!A7" TargetMode="External" Id="rId11"/><Relationship Type="http://schemas.openxmlformats.org/officeDocument/2006/relationships/hyperlink" Target="#'08 CROSSWALK'!A8" TargetMode="External" Id="rId12"/><Relationship Type="http://schemas.openxmlformats.org/officeDocument/2006/relationships/hyperlink" Target="#'08 CROSSWALK'!A9" TargetMode="External" Id="rId13"/><Relationship Type="http://schemas.openxmlformats.org/officeDocument/2006/relationships/hyperlink" Target="#'08 CROSSWALK'!A10" TargetMode="External" Id="rId14"/><Relationship Type="http://schemas.openxmlformats.org/officeDocument/2006/relationships/hyperlink" Target="#'08 CROSSWALK'!A11" TargetMode="External" Id="rId15"/><Relationship Type="http://schemas.openxmlformats.org/officeDocument/2006/relationships/hyperlink" Target="#'08 CROSSWALK'!A12" TargetMode="External" Id="rId16"/><Relationship Type="http://schemas.openxmlformats.org/officeDocument/2006/relationships/hyperlink" Target="#'08 CROSSWALK'!A13" TargetMode="External" Id="rId17"/><Relationship Type="http://schemas.openxmlformats.org/officeDocument/2006/relationships/hyperlink" Target="#'08 CROSSWALK'!A14" TargetMode="External" Id="rId18"/><Relationship Type="http://schemas.openxmlformats.org/officeDocument/2006/relationships/hyperlink" Target="#'08 CROSSWALK'!A15" TargetMode="External" Id="rId19"/><Relationship Type="http://schemas.openxmlformats.org/officeDocument/2006/relationships/hyperlink" Target="#'08 CROSSWALK'!A16" TargetMode="External" Id="rId20"/><Relationship Type="http://schemas.openxmlformats.org/officeDocument/2006/relationships/hyperlink" Target="#'08 CROSSWALK'!A17" TargetMode="External" Id="rId21"/><Relationship Type="http://schemas.openxmlformats.org/officeDocument/2006/relationships/hyperlink" Target="#'08 CROSSWALK'!A18" TargetMode="External" Id="rId22"/><Relationship Type="http://schemas.openxmlformats.org/officeDocument/2006/relationships/hyperlink" Target="#'08 CROSSWALK'!A19" TargetMode="External" Id="rId23"/><Relationship Type="http://schemas.openxmlformats.org/officeDocument/2006/relationships/hyperlink" Target="#'08 CROSSWALK'!A20" TargetMode="External" Id="rId24"/><Relationship Type="http://schemas.openxmlformats.org/officeDocument/2006/relationships/hyperlink" Target="#'08 CROSSWALK'!A21" TargetMode="External" Id="rId25"/><Relationship Type="http://schemas.openxmlformats.org/officeDocument/2006/relationships/hyperlink" Target="#'08 CROSSWALK'!A22" TargetMode="External" Id="rId26"/><Relationship Type="http://schemas.openxmlformats.org/officeDocument/2006/relationships/hyperlink" Target="#'08 CROSSWALK'!A23" TargetMode="External" Id="rId27"/><Relationship Type="http://schemas.openxmlformats.org/officeDocument/2006/relationships/hyperlink" Target="#'08 CROSSWALK'!A24" TargetMode="External" Id="rId28"/><Relationship Type="http://schemas.openxmlformats.org/officeDocument/2006/relationships/hyperlink" Target="#'08 CROSSWALK'!A25" TargetMode="External" Id="rId29"/><Relationship Type="http://schemas.openxmlformats.org/officeDocument/2006/relationships/hyperlink" Target="#'08 CROSSWALK'!A26" TargetMode="External" Id="rId30"/><Relationship Type="http://schemas.openxmlformats.org/officeDocument/2006/relationships/hyperlink" Target="#'08 CROSSWALK'!A27" TargetMode="External" Id="rId31"/><Relationship Type="http://schemas.openxmlformats.org/officeDocument/2006/relationships/hyperlink" Target="#'08 CROSSWALK'!A28" TargetMode="External" Id="rId32"/><Relationship Type="http://schemas.openxmlformats.org/officeDocument/2006/relationships/hyperlink" Target="#'08 CROSSWALK'!A29" TargetMode="External" Id="rId33"/><Relationship Type="http://schemas.openxmlformats.org/officeDocument/2006/relationships/hyperlink" Target="#'08 CROSSWALK'!A30" TargetMode="External" Id="rId34"/><Relationship Type="http://schemas.openxmlformats.org/officeDocument/2006/relationships/hyperlink" Target="#'08 CROSSWALK'!A31" TargetMode="External" Id="rId35"/><Relationship Type="http://schemas.openxmlformats.org/officeDocument/2006/relationships/hyperlink" Target="#'08 CROSSWALK'!A32" TargetMode="External" Id="rId36"/><Relationship Type="http://schemas.openxmlformats.org/officeDocument/2006/relationships/hyperlink" Target="#'08 CROSSWALK'!A33" TargetMode="External" Id="rId37"/><Relationship Type="http://schemas.openxmlformats.org/officeDocument/2006/relationships/hyperlink" Target="#'08 CROSSWALK'!A34" TargetMode="External" Id="rId38"/><Relationship Type="http://schemas.openxmlformats.org/officeDocument/2006/relationships/hyperlink" Target="#'08 CROSSWALK'!A35" TargetMode="External" Id="rId39"/><Relationship Type="http://schemas.openxmlformats.org/officeDocument/2006/relationships/hyperlink" Target="#'08 CROSSWALK'!A36" TargetMode="External" Id="rId40"/><Relationship Type="http://schemas.openxmlformats.org/officeDocument/2006/relationships/hyperlink" Target="#'08 CROSSWALK'!A37" TargetMode="External" Id="rId41"/><Relationship Type="http://schemas.openxmlformats.org/officeDocument/2006/relationships/hyperlink" Target="#'08 CROSSWALK'!A38" TargetMode="External" Id="rId42"/><Relationship Type="http://schemas.openxmlformats.org/officeDocument/2006/relationships/hyperlink" Target="#'08 CROSSWALK'!A39" TargetMode="External" Id="rId43"/><Relationship Type="http://schemas.openxmlformats.org/officeDocument/2006/relationships/hyperlink" Target="#'08 CROSSWALK'!A40" TargetMode="External" Id="rId44"/><Relationship Type="http://schemas.openxmlformats.org/officeDocument/2006/relationships/hyperlink" Target="#'08 CROSSWALK'!A41" TargetMode="External" Id="rId45"/><Relationship Type="http://schemas.openxmlformats.org/officeDocument/2006/relationships/hyperlink" Target="#'08 CROSSWALK'!A42" TargetMode="External" Id="rId46"/><Relationship Type="http://schemas.openxmlformats.org/officeDocument/2006/relationships/hyperlink" Target="#'08 CROSSWALK'!A43" TargetMode="External" Id="rId47"/><Relationship Type="http://schemas.openxmlformats.org/officeDocument/2006/relationships/hyperlink" Target="#'08 CROSSWALK'!A44" TargetMode="External" Id="rId48"/><Relationship Type="http://schemas.openxmlformats.org/officeDocument/2006/relationships/hyperlink" Target="#'08 CROSSWALK'!A45" TargetMode="External" Id="rId49"/><Relationship Type="http://schemas.openxmlformats.org/officeDocument/2006/relationships/hyperlink" Target="#'08 CROSSWALK'!A46" TargetMode="External" Id="rId50"/><Relationship Type="http://schemas.openxmlformats.org/officeDocument/2006/relationships/hyperlink" Target="#'08 CROSSWALK'!A47" TargetMode="External" Id="rId51"/><Relationship Type="http://schemas.openxmlformats.org/officeDocument/2006/relationships/hyperlink" Target="#'08 CROSSWALK'!A48" TargetMode="External" Id="rId52"/><Relationship Type="http://schemas.openxmlformats.org/officeDocument/2006/relationships/hyperlink" Target="#'08 CROSSWALK'!A49" TargetMode="External" Id="rId53"/><Relationship Type="http://schemas.openxmlformats.org/officeDocument/2006/relationships/hyperlink" Target="#'08 CROSSWALK'!A50" TargetMode="External" Id="rId54"/><Relationship Type="http://schemas.openxmlformats.org/officeDocument/2006/relationships/hyperlink" Target="#'08 CROSSWALK'!A51" TargetMode="External" Id="rId55"/><Relationship Type="http://schemas.openxmlformats.org/officeDocument/2006/relationships/hyperlink" Target="#'08 CROSSWALK'!A52" TargetMode="External" Id="rId56"/><Relationship Type="http://schemas.openxmlformats.org/officeDocument/2006/relationships/hyperlink" Target="#'08 CROSSWALK'!A53" TargetMode="External" Id="rId57"/><Relationship Type="http://schemas.openxmlformats.org/officeDocument/2006/relationships/hyperlink" Target="#'08 CROSSWALK'!A54" TargetMode="External" Id="rId58"/><Relationship Type="http://schemas.openxmlformats.org/officeDocument/2006/relationships/hyperlink" Target="#'08 CROSSWALK'!A55" TargetMode="External" Id="rId59"/><Relationship Type="http://schemas.openxmlformats.org/officeDocument/2006/relationships/hyperlink" Target="#'08 CROSSWALK'!A56" TargetMode="External" Id="rId60"/><Relationship Type="http://schemas.openxmlformats.org/officeDocument/2006/relationships/hyperlink" Target="#'08 CROSSWALK'!A57" TargetMode="External" Id="rId61"/><Relationship Type="http://schemas.openxmlformats.org/officeDocument/2006/relationships/hyperlink" Target="#'08 CROSSWALK'!A58" TargetMode="External" Id="rId62"/><Relationship Type="http://schemas.openxmlformats.org/officeDocument/2006/relationships/hyperlink" Target="#'08 CROSSWALK'!A59" TargetMode="External" Id="rId63"/><Relationship Type="http://schemas.openxmlformats.org/officeDocument/2006/relationships/hyperlink" Target="#'08 CROSSWALK'!A60" TargetMode="External" Id="rId64"/><Relationship Type="http://schemas.openxmlformats.org/officeDocument/2006/relationships/hyperlink" Target="#'08 CROSSWALK'!A61" TargetMode="External" Id="rId65"/><Relationship Type="http://schemas.openxmlformats.org/officeDocument/2006/relationships/hyperlink" Target="#'08 CROSSWALK'!A62" TargetMode="External" Id="rId66"/><Relationship Type="http://schemas.openxmlformats.org/officeDocument/2006/relationships/hyperlink" Target="#'08 CROSSWALK'!A63" TargetMode="External" Id="rId67"/><Relationship Type="http://schemas.openxmlformats.org/officeDocument/2006/relationships/hyperlink" Target="#'08 CROSSWALK'!A64" TargetMode="External" Id="rId68"/><Relationship Type="http://schemas.openxmlformats.org/officeDocument/2006/relationships/hyperlink" Target="#'08 CROSSWALK'!A65" TargetMode="External" Id="rId69"/><Relationship Type="http://schemas.openxmlformats.org/officeDocument/2006/relationships/hyperlink" Target="#'08 CROSSWALK'!A66" TargetMode="External" Id="rId70"/><Relationship Type="http://schemas.openxmlformats.org/officeDocument/2006/relationships/hyperlink" Target="#'08 CROSSWALK'!A67" TargetMode="External" Id="rId71"/><Relationship Type="http://schemas.openxmlformats.org/officeDocument/2006/relationships/hyperlink" Target="#'08 CROSSWALK'!A68" TargetMode="External" Id="rId72"/><Relationship Type="http://schemas.openxmlformats.org/officeDocument/2006/relationships/hyperlink" Target="#'08 CROSSWALK'!A69" TargetMode="External" Id="rId73"/><Relationship Type="http://schemas.openxmlformats.org/officeDocument/2006/relationships/hyperlink" Target="#'08 CROSSWALK'!A70" TargetMode="External" Id="rId74"/><Relationship Type="http://schemas.openxmlformats.org/officeDocument/2006/relationships/hyperlink" Target="#'08 CROSSWALK'!A71" TargetMode="External" Id="rId75"/><Relationship Type="http://schemas.openxmlformats.org/officeDocument/2006/relationships/hyperlink" Target="#'08 CROSSWALK'!A72" TargetMode="External" Id="rId76"/><Relationship Type="http://schemas.openxmlformats.org/officeDocument/2006/relationships/hyperlink" Target="#'08 CROSSWALK'!A73" TargetMode="External" Id="rId77"/><Relationship Type="http://schemas.openxmlformats.org/officeDocument/2006/relationships/hyperlink" Target="#'08 CROSSWALK'!A74" TargetMode="External" Id="rId78"/><Relationship Type="http://schemas.openxmlformats.org/officeDocument/2006/relationships/hyperlink" Target="#'08 CROSSWALK'!A75" TargetMode="External" Id="rId79"/><Relationship Type="http://schemas.openxmlformats.org/officeDocument/2006/relationships/hyperlink" Target="#'08 CROSSWALK'!A76" TargetMode="External" Id="rId80"/><Relationship Type="http://schemas.openxmlformats.org/officeDocument/2006/relationships/hyperlink" Target="#'08 CROSSWALK'!A77" TargetMode="External" Id="rId81"/><Relationship Type="http://schemas.openxmlformats.org/officeDocument/2006/relationships/hyperlink" Target="#'08 CROSSWALK'!A78" TargetMode="External" Id="rId82"/><Relationship Type="http://schemas.openxmlformats.org/officeDocument/2006/relationships/hyperlink" Target="#'08 CROSSWALK'!A79" TargetMode="External" Id="rId83"/><Relationship Type="http://schemas.openxmlformats.org/officeDocument/2006/relationships/hyperlink" Target="#'08 CROSSWALK'!A80" TargetMode="External" Id="rId84"/><Relationship Type="http://schemas.openxmlformats.org/officeDocument/2006/relationships/hyperlink" Target="#'08 CROSSWALK'!A81" TargetMode="External" Id="rId85"/><Relationship Type="http://schemas.openxmlformats.org/officeDocument/2006/relationships/hyperlink" Target="#'08 CROSSWALK'!A82" TargetMode="External" Id="rId86"/><Relationship Type="http://schemas.openxmlformats.org/officeDocument/2006/relationships/hyperlink" Target="#'08 CROSSWALK'!A83" TargetMode="External" Id="rId87"/><Relationship Type="http://schemas.openxmlformats.org/officeDocument/2006/relationships/hyperlink" Target="#'08 CROSSWALK'!A84" TargetMode="External" Id="rId88"/><Relationship Type="http://schemas.openxmlformats.org/officeDocument/2006/relationships/hyperlink" Target="#'08 CROSSWALK'!A85" TargetMode="External" Id="rId89"/><Relationship Type="http://schemas.openxmlformats.org/officeDocument/2006/relationships/hyperlink" Target="#'08 CROSSWALK'!A86" TargetMode="External" Id="rId90"/><Relationship Type="http://schemas.openxmlformats.org/officeDocument/2006/relationships/hyperlink" Target="#'08 CROSSWALK'!A87" TargetMode="External" Id="rId91"/><Relationship Type="http://schemas.openxmlformats.org/officeDocument/2006/relationships/hyperlink" Target="#'08 CROSSWALK'!A88" TargetMode="External" Id="rId92"/><Relationship Type="http://schemas.openxmlformats.org/officeDocument/2006/relationships/hyperlink" Target="#'08 CROSSWALK'!A89" TargetMode="External" Id="rId93"/><Relationship Type="http://schemas.openxmlformats.org/officeDocument/2006/relationships/hyperlink" Target="#'08 CROSSWALK'!A90" TargetMode="External" Id="rId94"/><Relationship Type="http://schemas.openxmlformats.org/officeDocument/2006/relationships/hyperlink" Target="#'08 CROSSWALK'!A91" TargetMode="External" Id="rId95"/><Relationship Type="http://schemas.openxmlformats.org/officeDocument/2006/relationships/hyperlink" Target="#'08 CROSSWALK'!A92" TargetMode="External" Id="rId96"/><Relationship Type="http://schemas.openxmlformats.org/officeDocument/2006/relationships/hyperlink" Target="#'08 CROSSWALK'!A93" TargetMode="External" Id="rId97"/><Relationship Type="http://schemas.openxmlformats.org/officeDocument/2006/relationships/hyperlink" Target="#'08 CROSSWALK'!A94" TargetMode="External" Id="rId98"/><Relationship Type="http://schemas.openxmlformats.org/officeDocument/2006/relationships/hyperlink" Target="#'08 CROSSWALK'!A95" TargetMode="External" Id="rId99"/><Relationship Type="http://schemas.openxmlformats.org/officeDocument/2006/relationships/hyperlink" Target="#'08 CROSSWALK'!A96" TargetMode="External" Id="rId100"/><Relationship Type="http://schemas.openxmlformats.org/officeDocument/2006/relationships/hyperlink" Target="#'08 CROSSWALK'!A97" TargetMode="External" Id="rId101"/><Relationship Type="http://schemas.openxmlformats.org/officeDocument/2006/relationships/hyperlink" Target="#'08 CROSSWALK'!A98" TargetMode="External" Id="rId102"/><Relationship Type="http://schemas.openxmlformats.org/officeDocument/2006/relationships/hyperlink" Target="#'08 CROSSWALK'!A99" TargetMode="External" Id="rId103"/><Relationship Type="http://schemas.openxmlformats.org/officeDocument/2006/relationships/hyperlink" Target="#'08 CROSSWALK'!A100" TargetMode="External" Id="rId104"/><Relationship Type="http://schemas.openxmlformats.org/officeDocument/2006/relationships/hyperlink" Target="#'08 CROSSWALK'!A101" TargetMode="External" Id="rId105"/><Relationship Type="http://schemas.openxmlformats.org/officeDocument/2006/relationships/hyperlink" Target="#'08 CROSSWALK'!A102" TargetMode="External" Id="rId106"/><Relationship Type="http://schemas.openxmlformats.org/officeDocument/2006/relationships/hyperlink" Target="#'08 CROSSWALK'!A103" TargetMode="External" Id="rId107"/><Relationship Type="http://schemas.openxmlformats.org/officeDocument/2006/relationships/hyperlink" Target="#'08 CROSSWALK'!A104" TargetMode="External" Id="rId108"/><Relationship Type="http://schemas.openxmlformats.org/officeDocument/2006/relationships/hyperlink" Target="#'08 CROSSWALK'!A105" TargetMode="External" Id="rId109"/><Relationship Type="http://schemas.openxmlformats.org/officeDocument/2006/relationships/hyperlink" Target="#'08 CROSSWALK'!A106" TargetMode="External" Id="rId110"/><Relationship Type="http://schemas.openxmlformats.org/officeDocument/2006/relationships/hyperlink" Target="#'08 CROSSWALK'!A107" TargetMode="External" Id="rId111"/><Relationship Type="http://schemas.openxmlformats.org/officeDocument/2006/relationships/hyperlink" Target="#'08 CROSSWALK'!A108" TargetMode="External" Id="rId112"/><Relationship Type="http://schemas.openxmlformats.org/officeDocument/2006/relationships/hyperlink" Target="#'08 CROSSWALK'!A109" TargetMode="External" Id="rId113"/><Relationship Type="http://schemas.openxmlformats.org/officeDocument/2006/relationships/hyperlink" Target="#'08 CROSSWALK'!A110" TargetMode="External" Id="rId114"/><Relationship Type="http://schemas.openxmlformats.org/officeDocument/2006/relationships/hyperlink" Target="#'08 CROSSWALK'!A111" TargetMode="External" Id="rId115"/><Relationship Type="http://schemas.openxmlformats.org/officeDocument/2006/relationships/hyperlink" Target="#'08 CROSSWALK'!A112" TargetMode="External" Id="rId116"/><Relationship Type="http://schemas.openxmlformats.org/officeDocument/2006/relationships/hyperlink" Target="#'08 CROSSWALK'!A113" TargetMode="External" Id="rId117"/><Relationship Type="http://schemas.openxmlformats.org/officeDocument/2006/relationships/hyperlink" Target="#'08 CROSSWALK'!A114" TargetMode="External" Id="rId118"/><Relationship Type="http://schemas.openxmlformats.org/officeDocument/2006/relationships/hyperlink" Target="#'08 CROSSWALK'!A115" TargetMode="External" Id="rId119"/><Relationship Type="http://schemas.openxmlformats.org/officeDocument/2006/relationships/hyperlink" Target="#'08 CROSSWALK'!A116" TargetMode="External" Id="rId120"/><Relationship Type="http://schemas.openxmlformats.org/officeDocument/2006/relationships/hyperlink" Target="#'08 CROSSWALK'!A117" TargetMode="External" Id="rId121"/><Relationship Type="http://schemas.openxmlformats.org/officeDocument/2006/relationships/hyperlink" Target="#'08 CROSSWALK'!A118" TargetMode="External" Id="rId122"/><Relationship Type="http://schemas.openxmlformats.org/officeDocument/2006/relationships/hyperlink" Target="#'08 CROSSWALK'!A119" TargetMode="External" Id="rId123"/><Relationship Type="http://schemas.openxmlformats.org/officeDocument/2006/relationships/hyperlink" Target="#'08 CROSSWALK'!A120" TargetMode="External" Id="rId124"/><Relationship Type="http://schemas.openxmlformats.org/officeDocument/2006/relationships/hyperlink" Target="#'08 CROSSWALK'!A121" TargetMode="External" Id="rId125"/><Relationship Type="http://schemas.openxmlformats.org/officeDocument/2006/relationships/hyperlink" Target="#'08 CROSSWALK'!A122" TargetMode="External" Id="rId126"/><Relationship Type="http://schemas.openxmlformats.org/officeDocument/2006/relationships/hyperlink" Target="#'08 CROSSWALK'!A123" TargetMode="External" Id="rId127"/><Relationship Type="http://schemas.openxmlformats.org/officeDocument/2006/relationships/hyperlink" Target="#'08 CROSSWALK'!A124" TargetMode="External" Id="rId128"/><Relationship Type="http://schemas.openxmlformats.org/officeDocument/2006/relationships/hyperlink" Target="#'08 CROSSWALK'!A125" TargetMode="External" Id="rId129"/><Relationship Type="http://schemas.openxmlformats.org/officeDocument/2006/relationships/hyperlink" Target="#'08 CROSSWALK'!A126" TargetMode="External" Id="rId130"/><Relationship Type="http://schemas.openxmlformats.org/officeDocument/2006/relationships/hyperlink" Target="#'08 CROSSWALK'!A127" TargetMode="External" Id="rId131"/><Relationship Type="http://schemas.openxmlformats.org/officeDocument/2006/relationships/hyperlink" Target="#'08 CROSSWALK'!A128" TargetMode="External" Id="rId132"/><Relationship Type="http://schemas.openxmlformats.org/officeDocument/2006/relationships/hyperlink" Target="#'08 CROSSWALK'!A129" TargetMode="External" Id="rId133"/><Relationship Type="http://schemas.openxmlformats.org/officeDocument/2006/relationships/hyperlink" Target="#'08 CROSSWALK'!A130" TargetMode="External" Id="rId134"/><Relationship Type="http://schemas.openxmlformats.org/officeDocument/2006/relationships/hyperlink" Target="#'08 CROSSWALK'!A131" TargetMode="External" Id="rId135"/><Relationship Type="http://schemas.openxmlformats.org/officeDocument/2006/relationships/hyperlink" Target="#'08 CROSSWALK'!A132" TargetMode="External" Id="rId136"/><Relationship Type="http://schemas.openxmlformats.org/officeDocument/2006/relationships/hyperlink" Target="#'08 CROSSWALK'!A133" TargetMode="External" Id="rId137"/><Relationship Type="http://schemas.openxmlformats.org/officeDocument/2006/relationships/hyperlink" Target="#'08 CROSSWALK'!A134" TargetMode="External" Id="rId138"/><Relationship Type="http://schemas.openxmlformats.org/officeDocument/2006/relationships/hyperlink" Target="#'08 CROSSWALK'!A135" TargetMode="External" Id="rId139"/><Relationship Type="http://schemas.openxmlformats.org/officeDocument/2006/relationships/hyperlink" Target="#'08 CROSSWALK'!A136" TargetMode="External" Id="rId140"/><Relationship Type="http://schemas.openxmlformats.org/officeDocument/2006/relationships/hyperlink" Target="#'08 CROSSWALK'!A137" TargetMode="External" Id="rId141"/><Relationship Type="http://schemas.openxmlformats.org/officeDocument/2006/relationships/hyperlink" Target="#'08 CROSSWALK'!A138" TargetMode="External" Id="rId142"/><Relationship Type="http://schemas.openxmlformats.org/officeDocument/2006/relationships/hyperlink" Target="#'08 CROSSWALK'!A139" TargetMode="External" Id="rId143"/><Relationship Type="http://schemas.openxmlformats.org/officeDocument/2006/relationships/hyperlink" Target="#'08 CROSSWALK'!A140" TargetMode="External" Id="rId144"/><Relationship Type="http://schemas.openxmlformats.org/officeDocument/2006/relationships/hyperlink" Target="#'08 CROSSWALK'!A141" TargetMode="External" Id="rId145"/><Relationship Type="http://schemas.openxmlformats.org/officeDocument/2006/relationships/hyperlink" Target="#'08 CROSSWALK'!A142" TargetMode="External" Id="rId146"/><Relationship Type="http://schemas.openxmlformats.org/officeDocument/2006/relationships/hyperlink" Target="#'08 CROSSWALK'!A143" TargetMode="External" Id="rId147"/><Relationship Type="http://schemas.openxmlformats.org/officeDocument/2006/relationships/hyperlink" Target="#'08 CROSSWALK'!A144" TargetMode="External" Id="rId148"/><Relationship Type="http://schemas.openxmlformats.org/officeDocument/2006/relationships/hyperlink" Target="#'08 CROSSWALK'!A145" TargetMode="External" Id="rId149"/><Relationship Type="http://schemas.openxmlformats.org/officeDocument/2006/relationships/hyperlink" Target="#'08 CROSSWALK'!A146" TargetMode="External" Id="rId150"/><Relationship Type="http://schemas.openxmlformats.org/officeDocument/2006/relationships/hyperlink" Target="#'08 CROSSWALK'!A147" TargetMode="External" Id="rId151"/><Relationship Type="http://schemas.openxmlformats.org/officeDocument/2006/relationships/hyperlink" Target="#'08 CROSSWALK'!A148" TargetMode="External" Id="rId152"/><Relationship Type="http://schemas.openxmlformats.org/officeDocument/2006/relationships/hyperlink" Target="#'08 CROSSWALK'!A149" TargetMode="External" Id="rId153"/><Relationship Type="http://schemas.openxmlformats.org/officeDocument/2006/relationships/hyperlink" Target="#'08 CROSSWALK'!A150" TargetMode="External" Id="rId154"/><Relationship Type="http://schemas.openxmlformats.org/officeDocument/2006/relationships/hyperlink" Target="#'08 CROSSWALK'!A151" TargetMode="External" Id="rId155"/><Relationship Type="http://schemas.openxmlformats.org/officeDocument/2006/relationships/hyperlink" Target="#'08 CROSSWALK'!A152" TargetMode="External" Id="rId156"/><Relationship Type="http://schemas.openxmlformats.org/officeDocument/2006/relationships/hyperlink" Target="#'08 CROSSWALK'!A153" TargetMode="External" Id="rId157"/><Relationship Type="http://schemas.openxmlformats.org/officeDocument/2006/relationships/hyperlink" Target="#'08 CROSSWALK'!A154" TargetMode="External" Id="rId158"/><Relationship Type="http://schemas.openxmlformats.org/officeDocument/2006/relationships/hyperlink" Target="#'08 CROSSWALK'!A155" TargetMode="External" Id="rId159"/><Relationship Type="http://schemas.openxmlformats.org/officeDocument/2006/relationships/hyperlink" Target="#'08 CROSSWALK'!A156" TargetMode="External" Id="rId160"/><Relationship Type="http://schemas.openxmlformats.org/officeDocument/2006/relationships/hyperlink" Target="#'08 CROSSWALK'!A157" TargetMode="External" Id="rId161"/><Relationship Type="http://schemas.openxmlformats.org/officeDocument/2006/relationships/hyperlink" Target="#'08 CROSSWALK'!A158" TargetMode="External" Id="rId162"/><Relationship Type="http://schemas.openxmlformats.org/officeDocument/2006/relationships/hyperlink" Target="#'08 CROSSWALK'!A159" TargetMode="External" Id="rId163"/><Relationship Type="http://schemas.openxmlformats.org/officeDocument/2006/relationships/hyperlink" Target="#'08 CROSSWALK'!A160" TargetMode="External" Id="rId164"/><Relationship Type="http://schemas.openxmlformats.org/officeDocument/2006/relationships/hyperlink" Target="#'08 CROSSWALK'!A161" TargetMode="External" Id="rId165"/><Relationship Type="http://schemas.openxmlformats.org/officeDocument/2006/relationships/hyperlink" Target="#'08 CROSSWALK'!A162" TargetMode="External" Id="rId166"/><Relationship Type="http://schemas.openxmlformats.org/officeDocument/2006/relationships/hyperlink" Target="#'08 CROSSWALK'!A163" TargetMode="External" Id="rId167"/><Relationship Type="http://schemas.openxmlformats.org/officeDocument/2006/relationships/hyperlink" Target="#'08 CROSSWALK'!A164" TargetMode="External" Id="rId168"/><Relationship Type="http://schemas.openxmlformats.org/officeDocument/2006/relationships/hyperlink" Target="#'08 CROSSWALK'!A165" TargetMode="External" Id="rId169"/><Relationship Type="http://schemas.openxmlformats.org/officeDocument/2006/relationships/hyperlink" Target="#'08 CROSSWALK'!A166" TargetMode="External" Id="rId170"/><Relationship Type="http://schemas.openxmlformats.org/officeDocument/2006/relationships/hyperlink" Target="#'08 CROSSWALK'!A167" TargetMode="External" Id="rId171"/><Relationship Type="http://schemas.openxmlformats.org/officeDocument/2006/relationships/hyperlink" Target="#'08 CROSSWALK'!A168" TargetMode="External" Id="rId172"/><Relationship Type="http://schemas.openxmlformats.org/officeDocument/2006/relationships/hyperlink" Target="#'08 CROSSWALK'!A169" TargetMode="External" Id="rId173"/><Relationship Type="http://schemas.openxmlformats.org/officeDocument/2006/relationships/hyperlink" Target="#'08 CROSSWALK'!A170" TargetMode="External" Id="rId174"/><Relationship Type="http://schemas.openxmlformats.org/officeDocument/2006/relationships/hyperlink" Target="#'08 CROSSWALK'!A171" TargetMode="External" Id="rId175"/><Relationship Type="http://schemas.openxmlformats.org/officeDocument/2006/relationships/hyperlink" Target="#'08 CROSSWALK'!A172" TargetMode="External" Id="rId176"/><Relationship Type="http://schemas.openxmlformats.org/officeDocument/2006/relationships/hyperlink" Target="#'08 CROSSWALK'!A173" TargetMode="External" Id="rId177"/><Relationship Type="http://schemas.openxmlformats.org/officeDocument/2006/relationships/hyperlink" Target="#'08 CROSSWALK'!A174" TargetMode="External" Id="rId178"/><Relationship Type="http://schemas.openxmlformats.org/officeDocument/2006/relationships/hyperlink" Target="#'08 CROSSWALK'!A175" TargetMode="External" Id="rId179"/><Relationship Type="http://schemas.openxmlformats.org/officeDocument/2006/relationships/hyperlink" Target="#'08 CROSSWALK'!A176" TargetMode="External" Id="rId180"/><Relationship Type="http://schemas.openxmlformats.org/officeDocument/2006/relationships/hyperlink" Target="#'08 CROSSWALK'!A177" TargetMode="External" Id="rId181"/><Relationship Type="http://schemas.openxmlformats.org/officeDocument/2006/relationships/hyperlink" Target="#'08 CROSSWALK'!A178" TargetMode="External" Id="rId182"/><Relationship Type="http://schemas.openxmlformats.org/officeDocument/2006/relationships/hyperlink" Target="#'08 CROSSWALK'!A179" TargetMode="External" Id="rId183"/><Relationship Type="http://schemas.openxmlformats.org/officeDocument/2006/relationships/hyperlink" Target="#'08 CROSSWALK'!A180" TargetMode="External" Id="rId184"/><Relationship Type="http://schemas.openxmlformats.org/officeDocument/2006/relationships/hyperlink" Target="#'08 CROSSWALK'!A181" TargetMode="External" Id="rId185"/><Relationship Type="http://schemas.openxmlformats.org/officeDocument/2006/relationships/hyperlink" Target="#'08 CROSSWALK'!A182" TargetMode="External" Id="rId186"/><Relationship Type="http://schemas.openxmlformats.org/officeDocument/2006/relationships/hyperlink" Target="#'08 CROSSWALK'!A183" TargetMode="External" Id="rId187"/><Relationship Type="http://schemas.openxmlformats.org/officeDocument/2006/relationships/hyperlink" Target="#'08 CROSSWALK'!A184" TargetMode="External" Id="rId188"/><Relationship Type="http://schemas.openxmlformats.org/officeDocument/2006/relationships/hyperlink" Target="#'08 CROSSWALK'!A185" TargetMode="External" Id="rId189"/><Relationship Type="http://schemas.openxmlformats.org/officeDocument/2006/relationships/hyperlink" Target="#'08 CROSSWALK'!A186" TargetMode="External" Id="rId190"/><Relationship Type="http://schemas.openxmlformats.org/officeDocument/2006/relationships/hyperlink" Target="#'08 CROSSWALK'!A187" TargetMode="External" Id="rId191"/><Relationship Type="http://schemas.openxmlformats.org/officeDocument/2006/relationships/hyperlink" Target="#'08 CROSSWALK'!A188" TargetMode="External" Id="rId192"/><Relationship Type="http://schemas.openxmlformats.org/officeDocument/2006/relationships/hyperlink" Target="#'08 CROSSWALK'!A189" TargetMode="External" Id="rId193"/><Relationship Type="http://schemas.openxmlformats.org/officeDocument/2006/relationships/hyperlink" Target="#'08 CROSSWALK'!A190" TargetMode="External" Id="rId194"/><Relationship Type="http://schemas.openxmlformats.org/officeDocument/2006/relationships/hyperlink" Target="#'08 CROSSWALK'!A191" TargetMode="External" Id="rId195"/><Relationship Type="http://schemas.openxmlformats.org/officeDocument/2006/relationships/hyperlink" Target="#'08 CROSSWALK'!A192" TargetMode="External" Id="rId196"/><Relationship Type="http://schemas.openxmlformats.org/officeDocument/2006/relationships/hyperlink" Target="#'08 CROSSWALK'!A193" TargetMode="External" Id="rId197"/><Relationship Type="http://schemas.openxmlformats.org/officeDocument/2006/relationships/hyperlink" Target="#'08 CROSSWALK'!A194" TargetMode="External" Id="rId198"/><Relationship Type="http://schemas.openxmlformats.org/officeDocument/2006/relationships/hyperlink" Target="#'08 CROSSWALK'!A195" TargetMode="External" Id="rId199"/><Relationship Type="http://schemas.openxmlformats.org/officeDocument/2006/relationships/hyperlink" Target="#'08 CROSSWALK'!A196" TargetMode="External" Id="rId200"/><Relationship Type="http://schemas.openxmlformats.org/officeDocument/2006/relationships/hyperlink" Target="#'08 CROSSWALK'!A197" TargetMode="External" Id="rId201"/><Relationship Type="http://schemas.openxmlformats.org/officeDocument/2006/relationships/hyperlink" Target="#'08 CROSSWALK'!A198" TargetMode="External" Id="rId202"/><Relationship Type="http://schemas.openxmlformats.org/officeDocument/2006/relationships/hyperlink" Target="#'08 CROSSWALK'!A199" TargetMode="External" Id="rId203"/><Relationship Type="http://schemas.openxmlformats.org/officeDocument/2006/relationships/hyperlink" Target="#'08 CROSSWALK'!A200" TargetMode="External" Id="rId204"/><Relationship Type="http://schemas.openxmlformats.org/officeDocument/2006/relationships/hyperlink" Target="#'08 CROSSWALK'!A201" TargetMode="External" Id="rId205"/><Relationship Type="http://schemas.openxmlformats.org/officeDocument/2006/relationships/hyperlink" Target="#'08 CROSSWALK'!A202" TargetMode="External" Id="rId206"/><Relationship Type="http://schemas.openxmlformats.org/officeDocument/2006/relationships/hyperlink" Target="#'08 CROSSWALK'!A203" TargetMode="External" Id="rId207"/><Relationship Type="http://schemas.openxmlformats.org/officeDocument/2006/relationships/hyperlink" Target="#'08 CROSSWALK'!A204" TargetMode="External" Id="rId208"/><Relationship Type="http://schemas.openxmlformats.org/officeDocument/2006/relationships/hyperlink" Target="#'08 CROSSWALK'!A205" TargetMode="External" Id="rId209"/><Relationship Type="http://schemas.openxmlformats.org/officeDocument/2006/relationships/hyperlink" Target="#'08 CROSSWALK'!A206" TargetMode="External" Id="rId210"/><Relationship Type="http://schemas.openxmlformats.org/officeDocument/2006/relationships/hyperlink" Target="#'08 CROSSWALK'!A207" TargetMode="External" Id="rId211"/><Relationship Type="http://schemas.openxmlformats.org/officeDocument/2006/relationships/hyperlink" Target="#'08 CROSSWALK'!A208" TargetMode="External" Id="rId212"/><Relationship Type="http://schemas.openxmlformats.org/officeDocument/2006/relationships/hyperlink" Target="#'08 CROSSWALK'!A209" TargetMode="External" Id="rId213"/><Relationship Type="http://schemas.openxmlformats.org/officeDocument/2006/relationships/hyperlink" Target="#'08 CROSSWALK'!A210" TargetMode="External" Id="rId214"/><Relationship Type="http://schemas.openxmlformats.org/officeDocument/2006/relationships/hyperlink" Target="#'08 CROSSWALK'!A211" TargetMode="External" Id="rId215"/><Relationship Type="http://schemas.openxmlformats.org/officeDocument/2006/relationships/hyperlink" Target="#'08 CROSSWALK'!A212" TargetMode="External" Id="rId216"/><Relationship Type="http://schemas.openxmlformats.org/officeDocument/2006/relationships/hyperlink" Target="#'08 CROSSWALK'!A213" TargetMode="External" Id="rId217"/><Relationship Type="http://schemas.openxmlformats.org/officeDocument/2006/relationships/hyperlink" Target="#'08 CROSSWALK'!A214" TargetMode="External" Id="rId218"/><Relationship Type="http://schemas.openxmlformats.org/officeDocument/2006/relationships/hyperlink" Target="#'08 CROSSWALK'!A215" TargetMode="External" Id="rId219"/><Relationship Type="http://schemas.openxmlformats.org/officeDocument/2006/relationships/hyperlink" Target="#'08 CROSSWALK'!A216" TargetMode="External" Id="rId220"/><Relationship Type="http://schemas.openxmlformats.org/officeDocument/2006/relationships/hyperlink" Target="#'08 CROSSWALK'!A217" TargetMode="External" Id="rId221"/><Relationship Type="http://schemas.openxmlformats.org/officeDocument/2006/relationships/hyperlink" Target="#'08 CROSSWALK'!A218" TargetMode="External" Id="rId222"/><Relationship Type="http://schemas.openxmlformats.org/officeDocument/2006/relationships/hyperlink" Target="#'08 CROSSWALK'!A219" TargetMode="External" Id="rId223"/><Relationship Type="http://schemas.openxmlformats.org/officeDocument/2006/relationships/hyperlink" Target="#'08 CROSSWALK'!A220" TargetMode="External" Id="rId224"/><Relationship Type="http://schemas.openxmlformats.org/officeDocument/2006/relationships/hyperlink" Target="#'08 CROSSWALK'!A221" TargetMode="External" Id="rId225"/><Relationship Type="http://schemas.openxmlformats.org/officeDocument/2006/relationships/hyperlink" Target="#'08 CROSSWALK'!A222" TargetMode="External" Id="rId226"/><Relationship Type="http://schemas.openxmlformats.org/officeDocument/2006/relationships/hyperlink" Target="#'08 CROSSWALK'!A223" TargetMode="External" Id="rId227"/><Relationship Type="http://schemas.openxmlformats.org/officeDocument/2006/relationships/hyperlink" Target="#'08 CROSSWALK'!A224" TargetMode="External" Id="rId228"/><Relationship Type="http://schemas.openxmlformats.org/officeDocument/2006/relationships/hyperlink" Target="#'08 CROSSWALK'!A225" TargetMode="External" Id="rId229"/><Relationship Type="http://schemas.openxmlformats.org/officeDocument/2006/relationships/hyperlink" Target="#'08 CROSSWALK'!A226" TargetMode="External" Id="rId230"/><Relationship Type="http://schemas.openxmlformats.org/officeDocument/2006/relationships/hyperlink" Target="#'08 CROSSWALK'!A227" TargetMode="External" Id="rId231"/><Relationship Type="http://schemas.openxmlformats.org/officeDocument/2006/relationships/hyperlink" Target="#'08 CROSSWALK'!A228" TargetMode="External" Id="rId232"/><Relationship Type="http://schemas.openxmlformats.org/officeDocument/2006/relationships/hyperlink" Target="#'08 CROSSWALK'!A229" TargetMode="External" Id="rId233"/><Relationship Type="http://schemas.openxmlformats.org/officeDocument/2006/relationships/hyperlink" Target="#'08 CROSSWALK'!A230" TargetMode="External" Id="rId234"/><Relationship Type="http://schemas.openxmlformats.org/officeDocument/2006/relationships/hyperlink" Target="#'08 CROSSWALK'!A231" TargetMode="External" Id="rId235"/><Relationship Type="http://schemas.openxmlformats.org/officeDocument/2006/relationships/hyperlink" Target="#'08 CROSSWALK'!A232" TargetMode="External" Id="rId236"/><Relationship Type="http://schemas.openxmlformats.org/officeDocument/2006/relationships/hyperlink" Target="#'08 CROSSWALK'!A233" TargetMode="External" Id="rId237"/><Relationship Type="http://schemas.openxmlformats.org/officeDocument/2006/relationships/hyperlink" Target="#'08 CROSSWALK'!A234" TargetMode="External" Id="rId238"/><Relationship Type="http://schemas.openxmlformats.org/officeDocument/2006/relationships/hyperlink" Target="#'08 CROSSWALK'!A235" TargetMode="External" Id="rId239"/><Relationship Type="http://schemas.openxmlformats.org/officeDocument/2006/relationships/hyperlink" Target="#'08 CROSSWALK'!A236" TargetMode="External" Id="rId240"/><Relationship Type="http://schemas.openxmlformats.org/officeDocument/2006/relationships/hyperlink" Target="#'08 CROSSWALK'!A237" TargetMode="External" Id="rId241"/><Relationship Type="http://schemas.openxmlformats.org/officeDocument/2006/relationships/hyperlink" Target="#'08 CROSSWALK'!A238" TargetMode="External" Id="rId242"/><Relationship Type="http://schemas.openxmlformats.org/officeDocument/2006/relationships/hyperlink" Target="#'08 CROSSWALK'!A239" TargetMode="External" Id="rId243"/><Relationship Type="http://schemas.openxmlformats.org/officeDocument/2006/relationships/hyperlink" Target="#'08 CROSSWALK'!A240" TargetMode="External" Id="rId244"/><Relationship Type="http://schemas.openxmlformats.org/officeDocument/2006/relationships/hyperlink" Target="#'08 CROSSWALK'!A241" TargetMode="External" Id="rId245"/><Relationship Type="http://schemas.openxmlformats.org/officeDocument/2006/relationships/hyperlink" Target="#'08 CROSSWALK'!A242" TargetMode="External" Id="rId246"/><Relationship Type="http://schemas.openxmlformats.org/officeDocument/2006/relationships/hyperlink" Target="#'08 CROSSWALK'!A243" TargetMode="External" Id="rId247"/><Relationship Type="http://schemas.openxmlformats.org/officeDocument/2006/relationships/hyperlink" Target="#'08 CROSSWALK'!A244" TargetMode="External" Id="rId248"/><Relationship Type="http://schemas.openxmlformats.org/officeDocument/2006/relationships/hyperlink" Target="#'08 CROSSWALK'!A245" TargetMode="External" Id="rId249"/><Relationship Type="http://schemas.openxmlformats.org/officeDocument/2006/relationships/hyperlink" Target="#'08 CROSSWALK'!A246" TargetMode="External" Id="rId250"/><Relationship Type="http://schemas.openxmlformats.org/officeDocument/2006/relationships/hyperlink" Target="#'08 CROSSWALK'!A247" TargetMode="External" Id="rId251"/><Relationship Type="http://schemas.openxmlformats.org/officeDocument/2006/relationships/hyperlink" Target="#'08 CROSSWALK'!A248" TargetMode="External" Id="rId252"/><Relationship Type="http://schemas.openxmlformats.org/officeDocument/2006/relationships/hyperlink" Target="#'08 CROSSWALK'!A249" TargetMode="External" Id="rId253"/><Relationship Type="http://schemas.openxmlformats.org/officeDocument/2006/relationships/hyperlink" Target="#'08 CROSSWALK'!A250" TargetMode="External" Id="rId254"/><Relationship Type="http://schemas.openxmlformats.org/officeDocument/2006/relationships/hyperlink" Target="#'08 CROSSWALK'!A251" TargetMode="External" Id="rId255"/><Relationship Type="http://schemas.openxmlformats.org/officeDocument/2006/relationships/hyperlink" Target="#'08 CROSSWALK'!A252" TargetMode="External" Id="rId256"/><Relationship Type="http://schemas.openxmlformats.org/officeDocument/2006/relationships/hyperlink" Target="#'08 CROSSWALK'!A253" TargetMode="External" Id="rId257"/><Relationship Type="http://schemas.openxmlformats.org/officeDocument/2006/relationships/hyperlink" Target="#'08 CROSSWALK'!A254" TargetMode="External" Id="rId258"/><Relationship Type="http://schemas.openxmlformats.org/officeDocument/2006/relationships/hyperlink" Target="#'08 CROSSWALK'!A255" TargetMode="External" Id="rId259"/><Relationship Type="http://schemas.openxmlformats.org/officeDocument/2006/relationships/hyperlink" Target="#'08 CROSSWALK'!A256" TargetMode="External" Id="rId260"/><Relationship Type="http://schemas.openxmlformats.org/officeDocument/2006/relationships/hyperlink" Target="#'08 CROSSWALK'!A257" TargetMode="External" Id="rId261"/><Relationship Type="http://schemas.openxmlformats.org/officeDocument/2006/relationships/hyperlink" Target="#'08 CROSSWALK'!A258" TargetMode="External" Id="rId262"/><Relationship Type="http://schemas.openxmlformats.org/officeDocument/2006/relationships/hyperlink" Target="#'08 CROSSWALK'!A259" TargetMode="External" Id="rId263"/><Relationship Type="http://schemas.openxmlformats.org/officeDocument/2006/relationships/hyperlink" Target="#'08 CROSSWALK'!A260" TargetMode="External" Id="rId264"/><Relationship Type="http://schemas.openxmlformats.org/officeDocument/2006/relationships/hyperlink" Target="#'08 CROSSWALK'!A261" TargetMode="External" Id="rId265"/><Relationship Type="http://schemas.openxmlformats.org/officeDocument/2006/relationships/hyperlink" Target="#'08 CROSSWALK'!A262" TargetMode="External" Id="rId266"/><Relationship Type="http://schemas.openxmlformats.org/officeDocument/2006/relationships/hyperlink" Target="#'08 CROSSWALK'!A263" TargetMode="External" Id="rId267"/><Relationship Type="http://schemas.openxmlformats.org/officeDocument/2006/relationships/hyperlink" Target="#'08 CROSSWALK'!A264" TargetMode="External" Id="rId268"/><Relationship Type="http://schemas.openxmlformats.org/officeDocument/2006/relationships/hyperlink" Target="#'08 CROSSWALK'!A265" TargetMode="External" Id="rId269"/><Relationship Type="http://schemas.openxmlformats.org/officeDocument/2006/relationships/hyperlink" Target="#'08 CROSSWALK'!A266" TargetMode="External" Id="rId270"/><Relationship Type="http://schemas.openxmlformats.org/officeDocument/2006/relationships/hyperlink" Target="#'08 CROSSWALK'!A267" TargetMode="External" Id="rId271"/><Relationship Type="http://schemas.openxmlformats.org/officeDocument/2006/relationships/hyperlink" Target="#'08 CROSSWALK'!A268" TargetMode="External" Id="rId272"/><Relationship Type="http://schemas.openxmlformats.org/officeDocument/2006/relationships/hyperlink" Target="#'08 CROSSWALK'!A269" TargetMode="External" Id="rId273"/><Relationship Type="http://schemas.openxmlformats.org/officeDocument/2006/relationships/hyperlink" Target="#'08 CROSSWALK'!A270" TargetMode="External" Id="rId274"/><Relationship Type="http://schemas.openxmlformats.org/officeDocument/2006/relationships/hyperlink" Target="#'08 CROSSWALK'!A271" TargetMode="External" Id="rId275"/><Relationship Type="http://schemas.openxmlformats.org/officeDocument/2006/relationships/hyperlink" Target="#'08 CROSSWALK'!A272" TargetMode="External" Id="rId276"/><Relationship Type="http://schemas.openxmlformats.org/officeDocument/2006/relationships/hyperlink" Target="#'08 CROSSWALK'!A273" TargetMode="External" Id="rId277"/><Relationship Type="http://schemas.openxmlformats.org/officeDocument/2006/relationships/hyperlink" Target="#'08 CROSSWALK'!A274" TargetMode="External" Id="rId278"/><Relationship Type="http://schemas.openxmlformats.org/officeDocument/2006/relationships/hyperlink" Target="#'08 CROSSWALK'!A275" TargetMode="External" Id="rId279"/><Relationship Type="http://schemas.openxmlformats.org/officeDocument/2006/relationships/hyperlink" Target="#'08 CROSSWALK'!A276" TargetMode="External" Id="rId280"/><Relationship Type="http://schemas.openxmlformats.org/officeDocument/2006/relationships/hyperlink" Target="#'08 CROSSWALK'!A277" TargetMode="External" Id="rId281"/><Relationship Type="http://schemas.openxmlformats.org/officeDocument/2006/relationships/hyperlink" Target="#'08 CROSSWALK'!A278" TargetMode="External" Id="rId282"/><Relationship Type="http://schemas.openxmlformats.org/officeDocument/2006/relationships/hyperlink" Target="#'08 CROSSWALK'!A279" TargetMode="External" Id="rId283"/><Relationship Type="http://schemas.openxmlformats.org/officeDocument/2006/relationships/hyperlink" Target="#'08 CROSSWALK'!A280" TargetMode="External" Id="rId284"/><Relationship Type="http://schemas.openxmlformats.org/officeDocument/2006/relationships/hyperlink" Target="#'08 CROSSWALK'!A281" TargetMode="External" Id="rId285"/><Relationship Type="http://schemas.openxmlformats.org/officeDocument/2006/relationships/hyperlink" Target="#'08 CROSSWALK'!A282" TargetMode="External" Id="rId286"/><Relationship Type="http://schemas.openxmlformats.org/officeDocument/2006/relationships/hyperlink" Target="#'08 CROSSWALK'!A283" TargetMode="External" Id="rId287"/><Relationship Type="http://schemas.openxmlformats.org/officeDocument/2006/relationships/hyperlink" Target="#'08 CROSSWALK'!A284" TargetMode="External" Id="rId288"/><Relationship Type="http://schemas.openxmlformats.org/officeDocument/2006/relationships/hyperlink" Target="#'08 CROSSWALK'!A285" TargetMode="External" Id="rId289"/><Relationship Type="http://schemas.openxmlformats.org/officeDocument/2006/relationships/hyperlink" Target="#'08 CROSSWALK'!A286" TargetMode="External" Id="rId290"/><Relationship Type="http://schemas.openxmlformats.org/officeDocument/2006/relationships/hyperlink" Target="#'08 CROSSWALK'!A287" TargetMode="External" Id="rId291"/><Relationship Type="http://schemas.openxmlformats.org/officeDocument/2006/relationships/hyperlink" Target="#'08 CROSSWALK'!A288" TargetMode="External" Id="rId292"/><Relationship Type="http://schemas.openxmlformats.org/officeDocument/2006/relationships/hyperlink" Target="#'08 CROSSWALK'!A289" TargetMode="External" Id="rId293"/><Relationship Type="http://schemas.openxmlformats.org/officeDocument/2006/relationships/hyperlink" Target="#'08 CROSSWALK'!A290" TargetMode="External" Id="rId294"/><Relationship Type="http://schemas.openxmlformats.org/officeDocument/2006/relationships/hyperlink" Target="#'08 CROSSWALK'!A291" TargetMode="External" Id="rId295"/><Relationship Type="http://schemas.openxmlformats.org/officeDocument/2006/relationships/hyperlink" Target="#'08 CROSSWALK'!A292" TargetMode="External" Id="rId296"/><Relationship Type="http://schemas.openxmlformats.org/officeDocument/2006/relationships/hyperlink" Target="#'08 CROSSWALK'!A293" TargetMode="External" Id="rId297"/><Relationship Type="http://schemas.openxmlformats.org/officeDocument/2006/relationships/hyperlink" Target="#'08 CROSSWALK'!A294" TargetMode="External" Id="rId298"/><Relationship Type="http://schemas.openxmlformats.org/officeDocument/2006/relationships/hyperlink" Target="#'08 CROSSWALK'!A295" TargetMode="External" Id="rId299"/><Relationship Type="http://schemas.openxmlformats.org/officeDocument/2006/relationships/hyperlink" Target="#'08 CROSSWALK'!A296" TargetMode="External" Id="rId300"/><Relationship Type="http://schemas.openxmlformats.org/officeDocument/2006/relationships/hyperlink" Target="#'08 CROSSWALK'!A297" TargetMode="External" Id="rId301"/><Relationship Type="http://schemas.openxmlformats.org/officeDocument/2006/relationships/hyperlink" Target="#'08 CROSSWALK'!A298" TargetMode="External" Id="rId302"/><Relationship Type="http://schemas.openxmlformats.org/officeDocument/2006/relationships/hyperlink" Target="#'08 CROSSWALK'!A299" TargetMode="External" Id="rId303"/><Relationship Type="http://schemas.openxmlformats.org/officeDocument/2006/relationships/hyperlink" Target="#'08 CROSSWALK'!A300" TargetMode="External" Id="rId304"/><Relationship Type="http://schemas.openxmlformats.org/officeDocument/2006/relationships/hyperlink" Target="#'08 CROSSWALK'!A301" TargetMode="External" Id="rId305"/><Relationship Type="http://schemas.openxmlformats.org/officeDocument/2006/relationships/hyperlink" Target="#'08 CROSSWALK'!A302" TargetMode="External" Id="rId306"/><Relationship Type="http://schemas.openxmlformats.org/officeDocument/2006/relationships/hyperlink" Target="#'08 CROSSWALK'!A303" TargetMode="External" Id="rId307"/><Relationship Type="http://schemas.openxmlformats.org/officeDocument/2006/relationships/hyperlink" Target="#'08 CROSSWALK'!A304" TargetMode="External" Id="rId308"/><Relationship Type="http://schemas.openxmlformats.org/officeDocument/2006/relationships/hyperlink" Target="#'08 CROSSWALK'!A305" TargetMode="External" Id="rId309"/><Relationship Type="http://schemas.openxmlformats.org/officeDocument/2006/relationships/hyperlink" Target="#'08 CROSSWALK'!A306" TargetMode="External" Id="rId310"/><Relationship Type="http://schemas.openxmlformats.org/officeDocument/2006/relationships/hyperlink" Target="#'08 CROSSWALK'!A307" TargetMode="External" Id="rId311"/><Relationship Type="http://schemas.openxmlformats.org/officeDocument/2006/relationships/hyperlink" Target="#'08 CROSSWALK'!A308" TargetMode="External" Id="rId312"/><Relationship Type="http://schemas.openxmlformats.org/officeDocument/2006/relationships/hyperlink" Target="#'08 CROSSWALK'!A309" TargetMode="External" Id="rId313"/><Relationship Type="http://schemas.openxmlformats.org/officeDocument/2006/relationships/hyperlink" Target="#'08 CROSSWALK'!A310" TargetMode="External" Id="rId314"/><Relationship Type="http://schemas.openxmlformats.org/officeDocument/2006/relationships/hyperlink" Target="#'08 CROSSWALK'!A311" TargetMode="External" Id="rId315"/><Relationship Type="http://schemas.openxmlformats.org/officeDocument/2006/relationships/hyperlink" Target="#'08 CROSSWALK'!A312" TargetMode="External" Id="rId316"/><Relationship Type="http://schemas.openxmlformats.org/officeDocument/2006/relationships/hyperlink" Target="#'08 CROSSWALK'!A313" TargetMode="External" Id="rId317"/><Relationship Type="http://schemas.openxmlformats.org/officeDocument/2006/relationships/hyperlink" Target="#'08 CROSSWALK'!A314" TargetMode="External" Id="rId318"/><Relationship Type="http://schemas.openxmlformats.org/officeDocument/2006/relationships/hyperlink" Target="#'08 CROSSWALK'!A315" TargetMode="External" Id="rId319"/><Relationship Type="http://schemas.openxmlformats.org/officeDocument/2006/relationships/hyperlink" Target="#'08 CROSSWALK'!A316" TargetMode="External" Id="rId320"/><Relationship Type="http://schemas.openxmlformats.org/officeDocument/2006/relationships/hyperlink" Target="#'08 CROSSWALK'!A317" TargetMode="External" Id="rId321"/><Relationship Type="http://schemas.openxmlformats.org/officeDocument/2006/relationships/hyperlink" Target="#'08 CROSSWALK'!A318" TargetMode="External" Id="rId322"/><Relationship Type="http://schemas.openxmlformats.org/officeDocument/2006/relationships/hyperlink" Target="#'08 CROSSWALK'!A319" TargetMode="External" Id="rId323"/><Relationship Type="http://schemas.openxmlformats.org/officeDocument/2006/relationships/hyperlink" Target="#'08 CROSSWALK'!A320" TargetMode="External" Id="rId324"/><Relationship Type="http://schemas.openxmlformats.org/officeDocument/2006/relationships/hyperlink" Target="#'08 CROSSWALK'!A321" TargetMode="External" Id="rId325"/><Relationship Type="http://schemas.openxmlformats.org/officeDocument/2006/relationships/hyperlink" Target="#'08 CROSSWALK'!A322" TargetMode="External" Id="rId326"/><Relationship Type="http://schemas.openxmlformats.org/officeDocument/2006/relationships/hyperlink" Target="#'08 CROSSWALK'!A323" TargetMode="External" Id="rId327"/><Relationship Type="http://schemas.openxmlformats.org/officeDocument/2006/relationships/hyperlink" Target="#'08 CROSSWALK'!A324" TargetMode="External" Id="rId328"/><Relationship Type="http://schemas.openxmlformats.org/officeDocument/2006/relationships/hyperlink" Target="#'08 CROSSWALK'!A325" TargetMode="External" Id="rId329"/><Relationship Type="http://schemas.openxmlformats.org/officeDocument/2006/relationships/hyperlink" Target="#'08 CROSSWALK'!A326" TargetMode="External" Id="rId330"/><Relationship Type="http://schemas.openxmlformats.org/officeDocument/2006/relationships/hyperlink" Target="#'08 CROSSWALK'!A327" TargetMode="External" Id="rId331"/><Relationship Type="http://schemas.openxmlformats.org/officeDocument/2006/relationships/hyperlink" Target="#'08 CROSSWALK'!A328" TargetMode="External" Id="rId332"/><Relationship Type="http://schemas.openxmlformats.org/officeDocument/2006/relationships/hyperlink" Target="#'08 CROSSWALK'!A329" TargetMode="External" Id="rId333"/><Relationship Type="http://schemas.openxmlformats.org/officeDocument/2006/relationships/hyperlink" Target="#'08 CROSSWALK'!A330" TargetMode="External" Id="rId334"/><Relationship Type="http://schemas.openxmlformats.org/officeDocument/2006/relationships/hyperlink" Target="#'08 CROSSWALK'!A331" TargetMode="External" Id="rId335"/><Relationship Type="http://schemas.openxmlformats.org/officeDocument/2006/relationships/hyperlink" Target="#'08 CROSSWALK'!A332" TargetMode="External" Id="rId336"/><Relationship Type="http://schemas.openxmlformats.org/officeDocument/2006/relationships/hyperlink" Target="#'08 CROSSWALK'!A333" TargetMode="External" Id="rId337"/><Relationship Type="http://schemas.openxmlformats.org/officeDocument/2006/relationships/hyperlink" Target="#'08 CROSSWALK'!A334" TargetMode="External" Id="rId338"/><Relationship Type="http://schemas.openxmlformats.org/officeDocument/2006/relationships/hyperlink" Target="#'08 CROSSWALK'!A335" TargetMode="External" Id="rId339"/><Relationship Type="http://schemas.openxmlformats.org/officeDocument/2006/relationships/hyperlink" Target="#'08 CROSSWALK'!A336" TargetMode="External" Id="rId340"/><Relationship Type="http://schemas.openxmlformats.org/officeDocument/2006/relationships/hyperlink" Target="#'08 CROSSWALK'!A337" TargetMode="External" Id="rId341"/><Relationship Type="http://schemas.openxmlformats.org/officeDocument/2006/relationships/hyperlink" Target="#'08 CROSSWALK'!A338" TargetMode="External" Id="rId342"/><Relationship Type="http://schemas.openxmlformats.org/officeDocument/2006/relationships/hyperlink" Target="#'08 CROSSWALK'!A339" TargetMode="External" Id="rId343"/><Relationship Type="http://schemas.openxmlformats.org/officeDocument/2006/relationships/hyperlink" Target="#'08 CROSSWALK'!A340" TargetMode="External" Id="rId344"/><Relationship Type="http://schemas.openxmlformats.org/officeDocument/2006/relationships/hyperlink" Target="#'08 CROSSWALK'!A341" TargetMode="External" Id="rId345"/><Relationship Type="http://schemas.openxmlformats.org/officeDocument/2006/relationships/hyperlink" Target="#'08 CROSSWALK'!A342" TargetMode="External" Id="rId346"/><Relationship Type="http://schemas.openxmlformats.org/officeDocument/2006/relationships/hyperlink" Target="#'08 CROSSWALK'!A343" TargetMode="External" Id="rId347"/><Relationship Type="http://schemas.openxmlformats.org/officeDocument/2006/relationships/hyperlink" Target="#'08 CROSSWALK'!A344" TargetMode="External" Id="rId348"/><Relationship Type="http://schemas.openxmlformats.org/officeDocument/2006/relationships/hyperlink" Target="#'08 CROSSWALK'!A345" TargetMode="External" Id="rId349"/><Relationship Type="http://schemas.openxmlformats.org/officeDocument/2006/relationships/hyperlink" Target="#'08 CROSSWALK'!A346" TargetMode="External" Id="rId350"/><Relationship Type="http://schemas.openxmlformats.org/officeDocument/2006/relationships/hyperlink" Target="#'08 CROSSWALK'!A347" TargetMode="External" Id="rId351"/><Relationship Type="http://schemas.openxmlformats.org/officeDocument/2006/relationships/hyperlink" Target="#'08 CROSSWALK'!A348" TargetMode="External" Id="rId352"/><Relationship Type="http://schemas.openxmlformats.org/officeDocument/2006/relationships/hyperlink" Target="#'08 CROSSWALK'!A349" TargetMode="External" Id="rId353"/><Relationship Type="http://schemas.openxmlformats.org/officeDocument/2006/relationships/hyperlink" Target="#'08 CROSSWALK'!A350" TargetMode="External" Id="rId354"/><Relationship Type="http://schemas.openxmlformats.org/officeDocument/2006/relationships/hyperlink" Target="#'08 CROSSWALK'!A351" TargetMode="External" Id="rId355"/><Relationship Type="http://schemas.openxmlformats.org/officeDocument/2006/relationships/hyperlink" Target="#'08 CROSSWALK'!A352" TargetMode="External" Id="rId356"/><Relationship Type="http://schemas.openxmlformats.org/officeDocument/2006/relationships/hyperlink" Target="#'08 CROSSWALK'!A353" TargetMode="External" Id="rId357"/><Relationship Type="http://schemas.openxmlformats.org/officeDocument/2006/relationships/hyperlink" Target="#'08 CROSSWALK'!A354" TargetMode="External" Id="rId358"/><Relationship Type="http://schemas.openxmlformats.org/officeDocument/2006/relationships/hyperlink" Target="#'08 CROSSWALK'!A355" TargetMode="External" Id="rId359"/><Relationship Type="http://schemas.openxmlformats.org/officeDocument/2006/relationships/hyperlink" Target="#'08 CROSSWALK'!A356" TargetMode="External" Id="rId360"/><Relationship Type="http://schemas.openxmlformats.org/officeDocument/2006/relationships/hyperlink" Target="#'08 CROSSWALK'!A357" TargetMode="External" Id="rId361"/><Relationship Type="http://schemas.openxmlformats.org/officeDocument/2006/relationships/hyperlink" Target="#'08 CROSSWALK'!A358" TargetMode="External" Id="rId362"/><Relationship Type="http://schemas.openxmlformats.org/officeDocument/2006/relationships/hyperlink" Target="#'08 CROSSWALK'!A359" TargetMode="External" Id="rId363"/><Relationship Type="http://schemas.openxmlformats.org/officeDocument/2006/relationships/hyperlink" Target="#'08 CROSSWALK'!A360" TargetMode="External" Id="rId364"/><Relationship Type="http://schemas.openxmlformats.org/officeDocument/2006/relationships/hyperlink" Target="#'08 CROSSWALK'!A361" TargetMode="External" Id="rId365"/><Relationship Type="http://schemas.openxmlformats.org/officeDocument/2006/relationships/hyperlink" Target="#'08 CROSSWALK'!A362" TargetMode="External" Id="rId366"/><Relationship Type="http://schemas.openxmlformats.org/officeDocument/2006/relationships/hyperlink" Target="#'08 CROSSWALK'!A363" TargetMode="External" Id="rId367"/><Relationship Type="http://schemas.openxmlformats.org/officeDocument/2006/relationships/hyperlink" Target="#'08 CROSSWALK'!A364" TargetMode="External" Id="rId368"/><Relationship Type="http://schemas.openxmlformats.org/officeDocument/2006/relationships/hyperlink" Target="#'08 CROSSWALK'!A365" TargetMode="External" Id="rId369"/><Relationship Type="http://schemas.openxmlformats.org/officeDocument/2006/relationships/hyperlink" Target="#'08 CROSSWALK'!A366" TargetMode="External" Id="rId370"/><Relationship Type="http://schemas.openxmlformats.org/officeDocument/2006/relationships/hyperlink" Target="#'08 CROSSWALK'!A367" TargetMode="External" Id="rId371"/><Relationship Type="http://schemas.openxmlformats.org/officeDocument/2006/relationships/hyperlink" Target="#'08 CROSSWALK'!A368" TargetMode="External" Id="rId372"/><Relationship Type="http://schemas.openxmlformats.org/officeDocument/2006/relationships/hyperlink" Target="#'08 CROSSWALK'!A369" TargetMode="External" Id="rId373"/><Relationship Type="http://schemas.openxmlformats.org/officeDocument/2006/relationships/hyperlink" Target="#'08 CROSSWALK'!A370" TargetMode="External" Id="rId374"/><Relationship Type="http://schemas.openxmlformats.org/officeDocument/2006/relationships/hyperlink" Target="#'08 CROSSWALK'!A371" TargetMode="External" Id="rId375"/><Relationship Type="http://schemas.openxmlformats.org/officeDocument/2006/relationships/hyperlink" Target="#'08 CROSSWALK'!A372" TargetMode="External" Id="rId376"/><Relationship Type="http://schemas.openxmlformats.org/officeDocument/2006/relationships/hyperlink" Target="#'08 CROSSWALK'!A373" TargetMode="External" Id="rId377"/><Relationship Type="http://schemas.openxmlformats.org/officeDocument/2006/relationships/hyperlink" Target="#'08 CROSSWALK'!A374" TargetMode="External" Id="rId378"/><Relationship Type="http://schemas.openxmlformats.org/officeDocument/2006/relationships/hyperlink" Target="#'08 CROSSWALK'!A375" TargetMode="External" Id="rId379"/><Relationship Type="http://schemas.openxmlformats.org/officeDocument/2006/relationships/hyperlink" Target="#'08 CROSSWALK'!A376" TargetMode="External" Id="rId380"/><Relationship Type="http://schemas.openxmlformats.org/officeDocument/2006/relationships/hyperlink" Target="#'08 CROSSWALK'!A377" TargetMode="External" Id="rId381"/><Relationship Type="http://schemas.openxmlformats.org/officeDocument/2006/relationships/hyperlink" Target="#'08 CROSSWALK'!A378" TargetMode="External" Id="rId382"/><Relationship Type="http://schemas.openxmlformats.org/officeDocument/2006/relationships/hyperlink" Target="#'08 CROSSWALK'!A379" TargetMode="External" Id="rId383"/><Relationship Type="http://schemas.openxmlformats.org/officeDocument/2006/relationships/hyperlink" Target="#'08 CROSSWALK'!A380" TargetMode="External" Id="rId384"/><Relationship Type="http://schemas.openxmlformats.org/officeDocument/2006/relationships/hyperlink" Target="#'08 CROSSWALK'!A381" TargetMode="External" Id="rId385"/><Relationship Type="http://schemas.openxmlformats.org/officeDocument/2006/relationships/hyperlink" Target="#'08 CROSSWALK'!A382" TargetMode="External" Id="rId386"/><Relationship Type="http://schemas.openxmlformats.org/officeDocument/2006/relationships/hyperlink" Target="#'08 CROSSWALK'!A383" TargetMode="External" Id="rId387"/><Relationship Type="http://schemas.openxmlformats.org/officeDocument/2006/relationships/hyperlink" Target="#'08 CROSSWALK'!A384" TargetMode="External" Id="rId388"/><Relationship Type="http://schemas.openxmlformats.org/officeDocument/2006/relationships/hyperlink" Target="#'08 CROSSWALK'!A385" TargetMode="External" Id="rId389"/><Relationship Type="http://schemas.openxmlformats.org/officeDocument/2006/relationships/hyperlink" Target="#'08 CROSSWALK'!A386" TargetMode="External" Id="rId390"/><Relationship Type="http://schemas.openxmlformats.org/officeDocument/2006/relationships/hyperlink" Target="#'08 CROSSWALK'!A387" TargetMode="External" Id="rId391"/><Relationship Type="http://schemas.openxmlformats.org/officeDocument/2006/relationships/hyperlink" Target="#'08 CROSSWALK'!A388" TargetMode="External" Id="rId392"/><Relationship Type="http://schemas.openxmlformats.org/officeDocument/2006/relationships/hyperlink" Target="#'08 CROSSWALK'!A389" TargetMode="External" Id="rId393"/><Relationship Type="http://schemas.openxmlformats.org/officeDocument/2006/relationships/hyperlink" Target="#'08 CROSSWALK'!A390" TargetMode="External" Id="rId394"/><Relationship Type="http://schemas.openxmlformats.org/officeDocument/2006/relationships/hyperlink" Target="#'08 CROSSWALK'!A391" TargetMode="External" Id="rId395"/><Relationship Type="http://schemas.openxmlformats.org/officeDocument/2006/relationships/hyperlink" Target="#'08 CROSSWALK'!A392" TargetMode="External" Id="rId396"/><Relationship Type="http://schemas.openxmlformats.org/officeDocument/2006/relationships/hyperlink" Target="#'08 CROSSWALK'!A393" TargetMode="External" Id="rId397"/><Relationship Type="http://schemas.openxmlformats.org/officeDocument/2006/relationships/hyperlink" Target="#'08 CROSSWALK'!A394" TargetMode="External" Id="rId398"/><Relationship Type="http://schemas.openxmlformats.org/officeDocument/2006/relationships/hyperlink" Target="#'08 CROSSWALK'!A395" TargetMode="External" Id="rId399"/><Relationship Type="http://schemas.openxmlformats.org/officeDocument/2006/relationships/hyperlink" Target="#'08 CROSSWALK'!A396" TargetMode="External" Id="rId400"/><Relationship Type="http://schemas.openxmlformats.org/officeDocument/2006/relationships/hyperlink" Target="#'08 CROSSWALK'!A397" TargetMode="External" Id="rId401"/><Relationship Type="http://schemas.openxmlformats.org/officeDocument/2006/relationships/hyperlink" Target="#'08 CROSSWALK'!A398" TargetMode="External" Id="rId402"/><Relationship Type="http://schemas.openxmlformats.org/officeDocument/2006/relationships/hyperlink" Target="#'08 CROSSWALK'!A399" TargetMode="External" Id="rId403"/><Relationship Type="http://schemas.openxmlformats.org/officeDocument/2006/relationships/hyperlink" Target="#'08 CROSSWALK'!A400" TargetMode="External" Id="rId404"/><Relationship Type="http://schemas.openxmlformats.org/officeDocument/2006/relationships/hyperlink" Target="#'08 CROSSWALK'!A401" TargetMode="External" Id="rId405"/><Relationship Type="http://schemas.openxmlformats.org/officeDocument/2006/relationships/hyperlink" Target="#'08 CROSSWALK'!A402" TargetMode="External" Id="rId406"/><Relationship Type="http://schemas.openxmlformats.org/officeDocument/2006/relationships/hyperlink" Target="#'08 CROSSWALK'!A403" TargetMode="External" Id="rId407"/><Relationship Type="http://schemas.openxmlformats.org/officeDocument/2006/relationships/hyperlink" Target="#'08 CROSSWALK'!A404" TargetMode="External" Id="rId408"/><Relationship Type="http://schemas.openxmlformats.org/officeDocument/2006/relationships/hyperlink" Target="#'08 CROSSWALK'!A405" TargetMode="External" Id="rId409"/><Relationship Type="http://schemas.openxmlformats.org/officeDocument/2006/relationships/hyperlink" Target="#'08 CROSSWALK'!A406" TargetMode="External" Id="rId410"/><Relationship Type="http://schemas.openxmlformats.org/officeDocument/2006/relationships/hyperlink" Target="#'08 CROSSWALK'!A407" TargetMode="External" Id="rId411"/><Relationship Type="http://schemas.openxmlformats.org/officeDocument/2006/relationships/hyperlink" Target="#'08 CROSSWALK'!A408" TargetMode="External" Id="rId412"/><Relationship Type="http://schemas.openxmlformats.org/officeDocument/2006/relationships/hyperlink" Target="#'08 CROSSWALK'!A409" TargetMode="External" Id="rId413"/><Relationship Type="http://schemas.openxmlformats.org/officeDocument/2006/relationships/hyperlink" Target="#'08 CROSSWALK'!A410" TargetMode="External" Id="rId414"/><Relationship Type="http://schemas.openxmlformats.org/officeDocument/2006/relationships/hyperlink" Target="#'08 CROSSWALK'!A411" TargetMode="External" Id="rId415"/><Relationship Type="http://schemas.openxmlformats.org/officeDocument/2006/relationships/hyperlink" Target="#'08 CROSSWALK'!A412" TargetMode="External" Id="rId416"/><Relationship Type="http://schemas.openxmlformats.org/officeDocument/2006/relationships/hyperlink" Target="#'08 CROSSWALK'!A413" TargetMode="External" Id="rId417"/><Relationship Type="http://schemas.openxmlformats.org/officeDocument/2006/relationships/hyperlink" Target="#'08 CROSSWALK'!A414" TargetMode="External" Id="rId418"/><Relationship Type="http://schemas.openxmlformats.org/officeDocument/2006/relationships/hyperlink" Target="#'08 CROSSWALK'!A415" TargetMode="External" Id="rId419"/><Relationship Type="http://schemas.openxmlformats.org/officeDocument/2006/relationships/hyperlink" Target="#'08 CROSSWALK'!A416" TargetMode="External" Id="rId420"/><Relationship Type="http://schemas.openxmlformats.org/officeDocument/2006/relationships/hyperlink" Target="#'08 CROSSWALK'!A417" TargetMode="External" Id="rId421"/><Relationship Type="http://schemas.openxmlformats.org/officeDocument/2006/relationships/hyperlink" Target="#'08 CROSSWALK'!A418" TargetMode="External" Id="rId422"/><Relationship Type="http://schemas.openxmlformats.org/officeDocument/2006/relationships/hyperlink" Target="#'08 CROSSWALK'!A419" TargetMode="External" Id="rId423"/><Relationship Type="http://schemas.openxmlformats.org/officeDocument/2006/relationships/hyperlink" Target="#'08 CROSSWALK'!A420" TargetMode="External" Id="rId424"/><Relationship Type="http://schemas.openxmlformats.org/officeDocument/2006/relationships/hyperlink" Target="#'08 CROSSWALK'!A421" TargetMode="External" Id="rId425"/><Relationship Type="http://schemas.openxmlformats.org/officeDocument/2006/relationships/hyperlink" Target="#'08 CROSSWALK'!A422" TargetMode="External" Id="rId426"/><Relationship Type="http://schemas.openxmlformats.org/officeDocument/2006/relationships/hyperlink" Target="#'08 CROSSWALK'!A423" TargetMode="External" Id="rId427"/><Relationship Type="http://schemas.openxmlformats.org/officeDocument/2006/relationships/hyperlink" Target="#'08 CROSSWALK'!A424" TargetMode="External" Id="rId428"/><Relationship Type="http://schemas.openxmlformats.org/officeDocument/2006/relationships/hyperlink" Target="#'08 CROSSWALK'!A425" TargetMode="External" Id="rId429"/><Relationship Type="http://schemas.openxmlformats.org/officeDocument/2006/relationships/hyperlink" Target="#'08 CROSSWALK'!A426" TargetMode="External" Id="rId430"/><Relationship Type="http://schemas.openxmlformats.org/officeDocument/2006/relationships/hyperlink" Target="#'08 CROSSWALK'!A427" TargetMode="External" Id="rId431"/><Relationship Type="http://schemas.openxmlformats.org/officeDocument/2006/relationships/hyperlink" Target="#'08 CROSSWALK'!A428" TargetMode="External" Id="rId432"/><Relationship Type="http://schemas.openxmlformats.org/officeDocument/2006/relationships/hyperlink" Target="#'08 CROSSWALK'!A429" TargetMode="External" Id="rId433"/><Relationship Type="http://schemas.openxmlformats.org/officeDocument/2006/relationships/hyperlink" Target="#'08 CROSSWALK'!A430" TargetMode="External" Id="rId434"/><Relationship Type="http://schemas.openxmlformats.org/officeDocument/2006/relationships/hyperlink" Target="#'08 CROSSWALK'!A431" TargetMode="External" Id="rId435"/><Relationship Type="http://schemas.openxmlformats.org/officeDocument/2006/relationships/hyperlink" Target="#'08 CROSSWALK'!A432" TargetMode="External" Id="rId436"/><Relationship Type="http://schemas.openxmlformats.org/officeDocument/2006/relationships/hyperlink" Target="#'08 CROSSWALK'!A433" TargetMode="External" Id="rId437"/><Relationship Type="http://schemas.openxmlformats.org/officeDocument/2006/relationships/hyperlink" Target="#'08 CROSSWALK'!A434" TargetMode="External" Id="rId438"/><Relationship Type="http://schemas.openxmlformats.org/officeDocument/2006/relationships/hyperlink" Target="#'08 CROSSWALK'!A435" TargetMode="External" Id="rId439"/><Relationship Type="http://schemas.openxmlformats.org/officeDocument/2006/relationships/hyperlink" Target="#'08 CROSSWALK'!A436" TargetMode="External" Id="rId440"/><Relationship Type="http://schemas.openxmlformats.org/officeDocument/2006/relationships/hyperlink" Target="#'08 CROSSWALK'!A437" TargetMode="External" Id="rId441"/><Relationship Type="http://schemas.openxmlformats.org/officeDocument/2006/relationships/hyperlink" Target="#'08 CROSSWALK'!A438" TargetMode="External" Id="rId442"/><Relationship Type="http://schemas.openxmlformats.org/officeDocument/2006/relationships/hyperlink" Target="#'08 CROSSWALK'!A439" TargetMode="External" Id="rId443"/><Relationship Type="http://schemas.openxmlformats.org/officeDocument/2006/relationships/hyperlink" Target="#'08 CROSSWALK'!A440" TargetMode="External" Id="rId444"/><Relationship Type="http://schemas.openxmlformats.org/officeDocument/2006/relationships/hyperlink" Target="#'08 CROSSWALK'!A441" TargetMode="External" Id="rId445"/><Relationship Type="http://schemas.openxmlformats.org/officeDocument/2006/relationships/hyperlink" Target="#'08 CROSSWALK'!A442" TargetMode="External" Id="rId446"/><Relationship Type="http://schemas.openxmlformats.org/officeDocument/2006/relationships/hyperlink" Target="#'08 CROSSWALK'!A443" TargetMode="External" Id="rId447"/><Relationship Type="http://schemas.openxmlformats.org/officeDocument/2006/relationships/hyperlink" Target="#'08 CROSSWALK'!A444" TargetMode="External" Id="rId448"/><Relationship Type="http://schemas.openxmlformats.org/officeDocument/2006/relationships/hyperlink" Target="#'08 CROSSWALK'!A445" TargetMode="External" Id="rId449"/><Relationship Type="http://schemas.openxmlformats.org/officeDocument/2006/relationships/hyperlink" Target="#'08 CROSSWALK'!A446" TargetMode="External" Id="rId450"/><Relationship Type="http://schemas.openxmlformats.org/officeDocument/2006/relationships/hyperlink" Target="#'08 CROSSWALK'!A447" TargetMode="External" Id="rId451"/><Relationship Type="http://schemas.openxmlformats.org/officeDocument/2006/relationships/hyperlink" Target="#'08 CROSSWALK'!A448" TargetMode="External" Id="rId452"/><Relationship Type="http://schemas.openxmlformats.org/officeDocument/2006/relationships/hyperlink" Target="#'08 CROSSWALK'!A449" TargetMode="External" Id="rId453"/><Relationship Type="http://schemas.openxmlformats.org/officeDocument/2006/relationships/hyperlink" Target="#'08 CROSSWALK'!A450" TargetMode="External" Id="rId454"/><Relationship Type="http://schemas.openxmlformats.org/officeDocument/2006/relationships/hyperlink" Target="#'08 CROSSWALK'!A451" TargetMode="External" Id="rId455"/><Relationship Type="http://schemas.openxmlformats.org/officeDocument/2006/relationships/hyperlink" Target="#'08 CROSSWALK'!A452" TargetMode="External" Id="rId456"/><Relationship Type="http://schemas.openxmlformats.org/officeDocument/2006/relationships/hyperlink" Target="#'08 CROSSWALK'!A453" TargetMode="External" Id="rId457"/><Relationship Type="http://schemas.openxmlformats.org/officeDocument/2006/relationships/hyperlink" Target="#'08 CROSSWALK'!A454" TargetMode="External" Id="rId458"/><Relationship Type="http://schemas.openxmlformats.org/officeDocument/2006/relationships/hyperlink" Target="#'08 CROSSWALK'!A455" TargetMode="External" Id="rId459"/><Relationship Type="http://schemas.openxmlformats.org/officeDocument/2006/relationships/hyperlink" Target="#'08 CROSSWALK'!A456" TargetMode="External" Id="rId460"/><Relationship Type="http://schemas.openxmlformats.org/officeDocument/2006/relationships/hyperlink" Target="#'08 CROSSWALK'!A457" TargetMode="External" Id="rId461"/><Relationship Type="http://schemas.openxmlformats.org/officeDocument/2006/relationships/hyperlink" Target="#'08 CROSSWALK'!A458" TargetMode="External" Id="rId462"/><Relationship Type="http://schemas.openxmlformats.org/officeDocument/2006/relationships/hyperlink" Target="#'08 CROSSWALK'!A459" TargetMode="External" Id="rId463"/><Relationship Type="http://schemas.openxmlformats.org/officeDocument/2006/relationships/hyperlink" Target="#'08 CROSSWALK'!A460" TargetMode="External" Id="rId464"/><Relationship Type="http://schemas.openxmlformats.org/officeDocument/2006/relationships/hyperlink" Target="#'08 CROSSWALK'!A461" TargetMode="External" Id="rId465"/><Relationship Type="http://schemas.openxmlformats.org/officeDocument/2006/relationships/hyperlink" Target="#'08 CROSSWALK'!A462" TargetMode="External" Id="rId466"/><Relationship Type="http://schemas.openxmlformats.org/officeDocument/2006/relationships/hyperlink" Target="#'08 CROSSWALK'!A463" TargetMode="External" Id="rId467"/><Relationship Type="http://schemas.openxmlformats.org/officeDocument/2006/relationships/hyperlink" Target="#'08 CROSSWALK'!A464" TargetMode="External" Id="rId468"/><Relationship Type="http://schemas.openxmlformats.org/officeDocument/2006/relationships/hyperlink" Target="#'08 CROSSWALK'!A465" TargetMode="External" Id="rId469"/><Relationship Type="http://schemas.openxmlformats.org/officeDocument/2006/relationships/hyperlink" Target="#'08 CROSSWALK'!A466" TargetMode="External" Id="rId470"/><Relationship Type="http://schemas.openxmlformats.org/officeDocument/2006/relationships/hyperlink" Target="#'08 CROSSWALK'!A467" TargetMode="External" Id="rId471"/><Relationship Type="http://schemas.openxmlformats.org/officeDocument/2006/relationships/hyperlink" Target="#'08 CROSSWALK'!A468" TargetMode="External" Id="rId472"/><Relationship Type="http://schemas.openxmlformats.org/officeDocument/2006/relationships/hyperlink" Target="#'08 CROSSWALK'!A469" TargetMode="External" Id="rId473"/><Relationship Type="http://schemas.openxmlformats.org/officeDocument/2006/relationships/hyperlink" Target="#'08 CROSSWALK'!A470" TargetMode="External" Id="rId474"/><Relationship Type="http://schemas.openxmlformats.org/officeDocument/2006/relationships/hyperlink" Target="#'08 CROSSWALK'!A471" TargetMode="External" Id="rId475"/><Relationship Type="http://schemas.openxmlformats.org/officeDocument/2006/relationships/hyperlink" Target="#'08 CROSSWALK'!A472" TargetMode="External" Id="rId476"/><Relationship Type="http://schemas.openxmlformats.org/officeDocument/2006/relationships/hyperlink" Target="#'08 CROSSWALK'!A473" TargetMode="External" Id="rId477"/><Relationship Type="http://schemas.openxmlformats.org/officeDocument/2006/relationships/hyperlink" Target="#'08 CROSSWALK'!A474" TargetMode="External" Id="rId478"/><Relationship Type="http://schemas.openxmlformats.org/officeDocument/2006/relationships/hyperlink" Target="#'08 CROSSWALK'!A475" TargetMode="External" Id="rId479"/><Relationship Type="http://schemas.openxmlformats.org/officeDocument/2006/relationships/hyperlink" Target="#'08 CROSSWALK'!A476" TargetMode="External" Id="rId480"/><Relationship Type="http://schemas.openxmlformats.org/officeDocument/2006/relationships/hyperlink" Target="#'08 CROSSWALK'!A477" TargetMode="External" Id="rId481"/><Relationship Type="http://schemas.openxmlformats.org/officeDocument/2006/relationships/hyperlink" Target="#'08 CROSSWALK'!A478" TargetMode="External" Id="rId482"/><Relationship Type="http://schemas.openxmlformats.org/officeDocument/2006/relationships/hyperlink" Target="#'08 CROSSWALK'!A479" TargetMode="External" Id="rId483"/><Relationship Type="http://schemas.openxmlformats.org/officeDocument/2006/relationships/hyperlink" Target="#'08 CROSSWALK'!A480" TargetMode="External" Id="rId484"/><Relationship Type="http://schemas.openxmlformats.org/officeDocument/2006/relationships/hyperlink" Target="#'08 CROSSWALK'!A481" TargetMode="External" Id="rId485"/><Relationship Type="http://schemas.openxmlformats.org/officeDocument/2006/relationships/hyperlink" Target="#'08 CROSSWALK'!A482" TargetMode="External" Id="rId486"/><Relationship Type="http://schemas.openxmlformats.org/officeDocument/2006/relationships/hyperlink" Target="#'08 CROSSWALK'!A483" TargetMode="External" Id="rId487"/><Relationship Type="http://schemas.openxmlformats.org/officeDocument/2006/relationships/hyperlink" Target="#'08 CROSSWALK'!A484" TargetMode="External" Id="rId488"/><Relationship Type="http://schemas.openxmlformats.org/officeDocument/2006/relationships/hyperlink" Target="#'08 CROSSWALK'!A485" TargetMode="External" Id="rId489"/><Relationship Type="http://schemas.openxmlformats.org/officeDocument/2006/relationships/hyperlink" Target="#'08 CROSSWALK'!A486" TargetMode="External" Id="rId490"/><Relationship Type="http://schemas.openxmlformats.org/officeDocument/2006/relationships/hyperlink" Target="#'08 CROSSWALK'!A487" TargetMode="External" Id="rId491"/><Relationship Type="http://schemas.openxmlformats.org/officeDocument/2006/relationships/hyperlink" Target="#'08 CROSSWALK'!A488" TargetMode="External" Id="rId492"/><Relationship Type="http://schemas.openxmlformats.org/officeDocument/2006/relationships/hyperlink" Target="#'08 CROSSWALK'!A489" TargetMode="External" Id="rId493"/><Relationship Type="http://schemas.openxmlformats.org/officeDocument/2006/relationships/hyperlink" Target="#'08 CROSSWALK'!A490" TargetMode="External" Id="rId494"/><Relationship Type="http://schemas.openxmlformats.org/officeDocument/2006/relationships/hyperlink" Target="#'08 CROSSWALK'!A491" TargetMode="External" Id="rId495"/><Relationship Type="http://schemas.openxmlformats.org/officeDocument/2006/relationships/hyperlink" Target="#'08 CROSSWALK'!A492" TargetMode="External" Id="rId496"/><Relationship Type="http://schemas.openxmlformats.org/officeDocument/2006/relationships/hyperlink" Target="#'08 CROSSWALK'!A493" TargetMode="External" Id="rId497"/><Relationship Type="http://schemas.openxmlformats.org/officeDocument/2006/relationships/hyperlink" Target="#'08 CROSSWALK'!A494" TargetMode="External" Id="rId498"/><Relationship Type="http://schemas.openxmlformats.org/officeDocument/2006/relationships/hyperlink" Target="#'08 CROSSWALK'!A495" TargetMode="External" Id="rId499"/><Relationship Type="http://schemas.openxmlformats.org/officeDocument/2006/relationships/hyperlink" Target="#'08 CROSSWALK'!A496" TargetMode="External" Id="rId500"/><Relationship Type="http://schemas.openxmlformats.org/officeDocument/2006/relationships/hyperlink" Target="#'08 CROSSWALK'!A497" TargetMode="External" Id="rId501"/><Relationship Type="http://schemas.openxmlformats.org/officeDocument/2006/relationships/hyperlink" Target="#'08 CROSSWALK'!A498" TargetMode="External" Id="rId502"/><Relationship Type="http://schemas.openxmlformats.org/officeDocument/2006/relationships/hyperlink" Target="#'08 CROSSWALK'!A499" TargetMode="External" Id="rId503"/><Relationship Type="http://schemas.openxmlformats.org/officeDocument/2006/relationships/hyperlink" Target="#'08 CROSSWALK'!A500" TargetMode="External" Id="rId504"/><Relationship Type="http://schemas.openxmlformats.org/officeDocument/2006/relationships/hyperlink" Target="#'08 CROSSWALK'!A501" TargetMode="External" Id="rId505"/><Relationship Type="http://schemas.openxmlformats.org/officeDocument/2006/relationships/hyperlink" Target="#'08 CROSSWALK'!A502" TargetMode="External" Id="rId506"/><Relationship Type="http://schemas.openxmlformats.org/officeDocument/2006/relationships/hyperlink" Target="#'08 CROSSWALK'!A503" TargetMode="External" Id="rId507"/><Relationship Type="http://schemas.openxmlformats.org/officeDocument/2006/relationships/hyperlink" Target="#'08 CROSSWALK'!A504" TargetMode="External" Id="rId508"/><Relationship Type="http://schemas.openxmlformats.org/officeDocument/2006/relationships/hyperlink" Target="#'08 CROSSWALK'!A505" TargetMode="External" Id="rId509"/><Relationship Type="http://schemas.openxmlformats.org/officeDocument/2006/relationships/hyperlink" Target="#'08 CROSSWALK'!A506" TargetMode="External" Id="rId510"/><Relationship Type="http://schemas.openxmlformats.org/officeDocument/2006/relationships/hyperlink" Target="#'08 CROSSWALK'!A507" TargetMode="External" Id="rId511"/><Relationship Type="http://schemas.openxmlformats.org/officeDocument/2006/relationships/hyperlink" Target="#'08 CROSSWALK'!A508" TargetMode="External" Id="rId512"/><Relationship Type="http://schemas.openxmlformats.org/officeDocument/2006/relationships/hyperlink" Target="#'08 CROSSWALK'!A509" TargetMode="External" Id="rId513"/><Relationship Type="http://schemas.openxmlformats.org/officeDocument/2006/relationships/hyperlink" Target="#'08 CROSSWALK'!A510" TargetMode="External" Id="rId514"/><Relationship Type="http://schemas.openxmlformats.org/officeDocument/2006/relationships/hyperlink" Target="#'08 CROSSWALK'!A511" TargetMode="External" Id="rId515"/><Relationship Type="http://schemas.openxmlformats.org/officeDocument/2006/relationships/hyperlink" Target="#'08 CROSSWALK'!A512" TargetMode="External" Id="rId516"/><Relationship Type="http://schemas.openxmlformats.org/officeDocument/2006/relationships/hyperlink" Target="#'08 CROSSWALK'!A513" TargetMode="External" Id="rId517"/><Relationship Type="http://schemas.openxmlformats.org/officeDocument/2006/relationships/hyperlink" Target="#'08 CROSSWALK'!A514" TargetMode="External" Id="rId518"/><Relationship Type="http://schemas.openxmlformats.org/officeDocument/2006/relationships/hyperlink" Target="#'08 CROSSWALK'!A515" TargetMode="External" Id="rId519"/><Relationship Type="http://schemas.openxmlformats.org/officeDocument/2006/relationships/hyperlink" Target="#'08 CROSSWALK'!A516" TargetMode="External" Id="rId520"/><Relationship Type="http://schemas.openxmlformats.org/officeDocument/2006/relationships/hyperlink" Target="#'08 CROSSWALK'!A517" TargetMode="External" Id="rId521"/><Relationship Type="http://schemas.openxmlformats.org/officeDocument/2006/relationships/hyperlink" Target="#'08 CROSSWALK'!A518" TargetMode="External" Id="rId522"/><Relationship Type="http://schemas.openxmlformats.org/officeDocument/2006/relationships/hyperlink" Target="#'08 CROSSWALK'!A519" TargetMode="External" Id="rId523"/><Relationship Type="http://schemas.openxmlformats.org/officeDocument/2006/relationships/hyperlink" Target="#'08 CROSSWALK'!A520" TargetMode="External" Id="rId524"/><Relationship Type="http://schemas.openxmlformats.org/officeDocument/2006/relationships/hyperlink" Target="#'08 CROSSWALK'!A521" TargetMode="External" Id="rId525"/><Relationship Type="http://schemas.openxmlformats.org/officeDocument/2006/relationships/hyperlink" Target="#'08 CROSSWALK'!A522" TargetMode="External" Id="rId526"/><Relationship Type="http://schemas.openxmlformats.org/officeDocument/2006/relationships/hyperlink" Target="#'08 CROSSWALK'!A523" TargetMode="External" Id="rId527"/><Relationship Type="http://schemas.openxmlformats.org/officeDocument/2006/relationships/hyperlink" Target="#'08 CROSSWALK'!A524" TargetMode="External" Id="rId528"/><Relationship Type="http://schemas.openxmlformats.org/officeDocument/2006/relationships/hyperlink" Target="#'08 CROSSWALK'!A525" TargetMode="External" Id="rId529"/><Relationship Type="http://schemas.openxmlformats.org/officeDocument/2006/relationships/hyperlink" Target="#'08 CROSSWALK'!A526" TargetMode="External" Id="rId530"/><Relationship Type="http://schemas.openxmlformats.org/officeDocument/2006/relationships/hyperlink" Target="#'08 CROSSWALK'!A527" TargetMode="External" Id="rId531"/><Relationship Type="http://schemas.openxmlformats.org/officeDocument/2006/relationships/hyperlink" Target="#'08 CROSSWALK'!A528" TargetMode="External" Id="rId532"/><Relationship Type="http://schemas.openxmlformats.org/officeDocument/2006/relationships/hyperlink" Target="#'08 CROSSWALK'!A529" TargetMode="External" Id="rId533"/><Relationship Type="http://schemas.openxmlformats.org/officeDocument/2006/relationships/hyperlink" Target="#'08 CROSSWALK'!A530" TargetMode="External" Id="rId534"/><Relationship Type="http://schemas.openxmlformats.org/officeDocument/2006/relationships/hyperlink" Target="#'08 CROSSWALK'!A531" TargetMode="External" Id="rId535"/><Relationship Type="http://schemas.openxmlformats.org/officeDocument/2006/relationships/hyperlink" Target="#'08 CROSSWALK'!A532" TargetMode="External" Id="rId536"/><Relationship Type="http://schemas.openxmlformats.org/officeDocument/2006/relationships/hyperlink" Target="#'08 CROSSWALK'!A533" TargetMode="External" Id="rId537"/><Relationship Type="http://schemas.openxmlformats.org/officeDocument/2006/relationships/hyperlink" Target="#'08 CROSSWALK'!A534" TargetMode="External" Id="rId538"/><Relationship Type="http://schemas.openxmlformats.org/officeDocument/2006/relationships/hyperlink" Target="#'08 CROSSWALK'!A535" TargetMode="External" Id="rId539"/><Relationship Type="http://schemas.openxmlformats.org/officeDocument/2006/relationships/hyperlink" Target="#'08 CROSSWALK'!A536" TargetMode="External" Id="rId540"/><Relationship Type="http://schemas.openxmlformats.org/officeDocument/2006/relationships/hyperlink" Target="#'08 CROSSWALK'!A537" TargetMode="External" Id="rId541"/><Relationship Type="http://schemas.openxmlformats.org/officeDocument/2006/relationships/hyperlink" Target="#'08 CROSSWALK'!A538" TargetMode="External" Id="rId542"/><Relationship Type="http://schemas.openxmlformats.org/officeDocument/2006/relationships/hyperlink" Target="#'08 CROSSWALK'!A539" TargetMode="External" Id="rId543"/><Relationship Type="http://schemas.openxmlformats.org/officeDocument/2006/relationships/hyperlink" Target="#'08 CROSSWALK'!A540" TargetMode="External" Id="rId544"/><Relationship Type="http://schemas.openxmlformats.org/officeDocument/2006/relationships/hyperlink" Target="#'08 CROSSWALK'!A541" TargetMode="External" Id="rId545"/><Relationship Type="http://schemas.openxmlformats.org/officeDocument/2006/relationships/hyperlink" Target="#'08 CROSSWALK'!A542" TargetMode="External" Id="rId546"/><Relationship Type="http://schemas.openxmlformats.org/officeDocument/2006/relationships/hyperlink" Target="#'08 CROSSWALK'!A543" TargetMode="External" Id="rId547"/><Relationship Type="http://schemas.openxmlformats.org/officeDocument/2006/relationships/hyperlink" Target="#'08 CROSSWALK'!A544" TargetMode="External" Id="rId548"/><Relationship Type="http://schemas.openxmlformats.org/officeDocument/2006/relationships/hyperlink" Target="#'08 CROSSWALK'!A545" TargetMode="External" Id="rId549"/><Relationship Type="http://schemas.openxmlformats.org/officeDocument/2006/relationships/hyperlink" Target="#'08 CROSSWALK'!A546" TargetMode="External" Id="rId550"/><Relationship Type="http://schemas.openxmlformats.org/officeDocument/2006/relationships/hyperlink" Target="#'08 CROSSWALK'!A547" TargetMode="External" Id="rId551"/><Relationship Type="http://schemas.openxmlformats.org/officeDocument/2006/relationships/hyperlink" Target="#'08 CROSSWALK'!A548" TargetMode="External" Id="rId552"/><Relationship Type="http://schemas.openxmlformats.org/officeDocument/2006/relationships/hyperlink" Target="#'08 CROSSWALK'!A549" TargetMode="External" Id="rId553"/><Relationship Type="http://schemas.openxmlformats.org/officeDocument/2006/relationships/hyperlink" Target="#'08 CROSSWALK'!A550" TargetMode="External" Id="rId554"/><Relationship Type="http://schemas.openxmlformats.org/officeDocument/2006/relationships/hyperlink" Target="#'08 CROSSWALK'!A551" TargetMode="External" Id="rId555"/><Relationship Type="http://schemas.openxmlformats.org/officeDocument/2006/relationships/hyperlink" Target="#'08 CROSSWALK'!A552" TargetMode="External" Id="rId556"/><Relationship Type="http://schemas.openxmlformats.org/officeDocument/2006/relationships/hyperlink" Target="#'08 CROSSWALK'!A553" TargetMode="External" Id="rId557"/><Relationship Type="http://schemas.openxmlformats.org/officeDocument/2006/relationships/hyperlink" Target="#'08 CROSSWALK'!A554" TargetMode="External" Id="rId558"/><Relationship Type="http://schemas.openxmlformats.org/officeDocument/2006/relationships/hyperlink" Target="#'08 CROSSWALK'!A555" TargetMode="External" Id="rId559"/><Relationship Type="http://schemas.openxmlformats.org/officeDocument/2006/relationships/hyperlink" Target="#'08 CROSSWALK'!A556" TargetMode="External" Id="rId560"/><Relationship Type="http://schemas.openxmlformats.org/officeDocument/2006/relationships/hyperlink" Target="#'08 CROSSWALK'!A557" TargetMode="External" Id="rId561"/><Relationship Type="http://schemas.openxmlformats.org/officeDocument/2006/relationships/hyperlink" Target="#'08 CROSSWALK'!A558" TargetMode="External" Id="rId562"/><Relationship Type="http://schemas.openxmlformats.org/officeDocument/2006/relationships/hyperlink" Target="#'08 CROSSWALK'!A559" TargetMode="External" Id="rId563"/><Relationship Type="http://schemas.openxmlformats.org/officeDocument/2006/relationships/hyperlink" Target="#'08 CROSSWALK'!A560" TargetMode="External" Id="rId564"/><Relationship Type="http://schemas.openxmlformats.org/officeDocument/2006/relationships/hyperlink" Target="#'08 CROSSWALK'!A561" TargetMode="External" Id="rId565"/><Relationship Type="http://schemas.openxmlformats.org/officeDocument/2006/relationships/hyperlink" Target="#'08 CROSSWALK'!A562" TargetMode="External" Id="rId566"/><Relationship Type="http://schemas.openxmlformats.org/officeDocument/2006/relationships/hyperlink" Target="#'08 CROSSWALK'!A563" TargetMode="External" Id="rId567"/><Relationship Type="http://schemas.openxmlformats.org/officeDocument/2006/relationships/hyperlink" Target="#'08 CROSSWALK'!A564" TargetMode="External" Id="rId568"/><Relationship Type="http://schemas.openxmlformats.org/officeDocument/2006/relationships/hyperlink" Target="#'08 CROSSWALK'!A565" TargetMode="External" Id="rId569"/><Relationship Type="http://schemas.openxmlformats.org/officeDocument/2006/relationships/hyperlink" Target="#'08 CROSSWALK'!A566" TargetMode="External" Id="rId570"/><Relationship Type="http://schemas.openxmlformats.org/officeDocument/2006/relationships/hyperlink" Target="#'08 CROSSWALK'!A567" TargetMode="External" Id="rId571"/><Relationship Type="http://schemas.openxmlformats.org/officeDocument/2006/relationships/hyperlink" Target="#'08 CROSSWALK'!A568" TargetMode="External" Id="rId572"/><Relationship Type="http://schemas.openxmlformats.org/officeDocument/2006/relationships/hyperlink" Target="#'08 CROSSWALK'!A569" TargetMode="External" Id="rId573"/><Relationship Type="http://schemas.openxmlformats.org/officeDocument/2006/relationships/hyperlink" Target="#'08 CROSSWALK'!A570" TargetMode="External" Id="rId574"/><Relationship Type="http://schemas.openxmlformats.org/officeDocument/2006/relationships/hyperlink" Target="#'08 CROSSWALK'!A571" TargetMode="External" Id="rId575"/><Relationship Type="http://schemas.openxmlformats.org/officeDocument/2006/relationships/hyperlink" Target="#'08 CROSSWALK'!A572" TargetMode="External" Id="rId576"/><Relationship Type="http://schemas.openxmlformats.org/officeDocument/2006/relationships/hyperlink" Target="#'08 CROSSWALK'!A573" TargetMode="External" Id="rId577"/><Relationship Type="http://schemas.openxmlformats.org/officeDocument/2006/relationships/hyperlink" Target="#'08 CROSSWALK'!A574" TargetMode="External" Id="rId578"/><Relationship Type="http://schemas.openxmlformats.org/officeDocument/2006/relationships/hyperlink" Target="#'08 CROSSWALK'!A575" TargetMode="External" Id="rId579"/><Relationship Type="http://schemas.openxmlformats.org/officeDocument/2006/relationships/hyperlink" Target="#'08 CROSSWALK'!A576" TargetMode="External" Id="rId580"/><Relationship Type="http://schemas.openxmlformats.org/officeDocument/2006/relationships/hyperlink" Target="#'08 CROSSWALK'!A577" TargetMode="External" Id="rId581"/><Relationship Type="http://schemas.openxmlformats.org/officeDocument/2006/relationships/hyperlink" Target="#'08 CROSSWALK'!A578" TargetMode="External" Id="rId582"/><Relationship Type="http://schemas.openxmlformats.org/officeDocument/2006/relationships/hyperlink" Target="#'08 CROSSWALK'!A579" TargetMode="External" Id="rId583"/><Relationship Type="http://schemas.openxmlformats.org/officeDocument/2006/relationships/hyperlink" Target="#'08 CROSSWALK'!A580" TargetMode="External" Id="rId584"/><Relationship Type="http://schemas.openxmlformats.org/officeDocument/2006/relationships/hyperlink" Target="#'08 CROSSWALK'!A581" TargetMode="External" Id="rId585"/><Relationship Type="http://schemas.openxmlformats.org/officeDocument/2006/relationships/hyperlink" Target="#'08 CROSSWALK'!A582" TargetMode="External" Id="rId586"/><Relationship Type="http://schemas.openxmlformats.org/officeDocument/2006/relationships/hyperlink" Target="#'08 CROSSWALK'!A583" TargetMode="External" Id="rId587"/><Relationship Type="http://schemas.openxmlformats.org/officeDocument/2006/relationships/hyperlink" Target="#'08 CROSSWALK'!A584" TargetMode="External" Id="rId588"/><Relationship Type="http://schemas.openxmlformats.org/officeDocument/2006/relationships/hyperlink" Target="#'08 CROSSWALK'!A585" TargetMode="External" Id="rId589"/><Relationship Type="http://schemas.openxmlformats.org/officeDocument/2006/relationships/hyperlink" Target="#'08 CROSSWALK'!A586" TargetMode="External" Id="rId590"/><Relationship Type="http://schemas.openxmlformats.org/officeDocument/2006/relationships/hyperlink" Target="#'08 CROSSWALK'!A587" TargetMode="External" Id="rId591"/><Relationship Type="http://schemas.openxmlformats.org/officeDocument/2006/relationships/hyperlink" Target="#'08 CROSSWALK'!A588" TargetMode="External" Id="rId592"/><Relationship Type="http://schemas.openxmlformats.org/officeDocument/2006/relationships/hyperlink" Target="#'08 CROSSWALK'!A589" TargetMode="External" Id="rId593"/><Relationship Type="http://schemas.openxmlformats.org/officeDocument/2006/relationships/hyperlink" Target="#'08 CROSSWALK'!A590" TargetMode="External" Id="rId594"/><Relationship Type="http://schemas.openxmlformats.org/officeDocument/2006/relationships/hyperlink" Target="#'08 CROSSWALK'!A591" TargetMode="External" Id="rId595"/><Relationship Type="http://schemas.openxmlformats.org/officeDocument/2006/relationships/hyperlink" Target="#'08 CROSSWALK'!A592" TargetMode="External" Id="rId596"/><Relationship Type="http://schemas.openxmlformats.org/officeDocument/2006/relationships/hyperlink" Target="#'08 CROSSWALK'!A593" TargetMode="External" Id="rId597"/><Relationship Type="http://schemas.openxmlformats.org/officeDocument/2006/relationships/hyperlink" Target="#'08 CROSSWALK'!A594" TargetMode="External" Id="rId598"/><Relationship Type="http://schemas.openxmlformats.org/officeDocument/2006/relationships/hyperlink" Target="#'08 CROSSWALK'!A595" TargetMode="External" Id="rId599"/><Relationship Type="http://schemas.openxmlformats.org/officeDocument/2006/relationships/hyperlink" Target="#'08 CROSSWALK'!A596" TargetMode="External" Id="rId600"/><Relationship Type="http://schemas.openxmlformats.org/officeDocument/2006/relationships/hyperlink" Target="#'08 CROSSWALK'!A597" TargetMode="External" Id="rId601"/><Relationship Type="http://schemas.openxmlformats.org/officeDocument/2006/relationships/hyperlink" Target="#'08 CROSSWALK'!A598" TargetMode="External" Id="rId602"/><Relationship Type="http://schemas.openxmlformats.org/officeDocument/2006/relationships/hyperlink" Target="#'08 CROSSWALK'!A599" TargetMode="External" Id="rId603"/><Relationship Type="http://schemas.openxmlformats.org/officeDocument/2006/relationships/hyperlink" Target="#'08 CROSSWALK'!A600" TargetMode="External" Id="rId604"/><Relationship Type="http://schemas.openxmlformats.org/officeDocument/2006/relationships/hyperlink" Target="#'08 CROSSWALK'!A601" TargetMode="External" Id="rId605"/><Relationship Type="http://schemas.openxmlformats.org/officeDocument/2006/relationships/hyperlink" Target="#'08 CROSSWALK'!A602" TargetMode="External" Id="rId606"/><Relationship Type="http://schemas.openxmlformats.org/officeDocument/2006/relationships/hyperlink" Target="#'08 CROSSWALK'!A603" TargetMode="External" Id="rId607"/><Relationship Type="http://schemas.openxmlformats.org/officeDocument/2006/relationships/hyperlink" Target="#'08 CROSSWALK'!A604" TargetMode="External" Id="rId608"/><Relationship Type="http://schemas.openxmlformats.org/officeDocument/2006/relationships/hyperlink" Target="#'08 CROSSWALK'!A605" TargetMode="External" Id="rId609"/><Relationship Type="http://schemas.openxmlformats.org/officeDocument/2006/relationships/hyperlink" Target="#'08 CROSSWALK'!A606" TargetMode="External" Id="rId610"/><Relationship Type="http://schemas.openxmlformats.org/officeDocument/2006/relationships/hyperlink" Target="#'08 CROSSWALK'!A607" TargetMode="External" Id="rId611"/><Relationship Type="http://schemas.openxmlformats.org/officeDocument/2006/relationships/hyperlink" Target="#'08 CROSSWALK'!A608" TargetMode="External" Id="rId612"/><Relationship Type="http://schemas.openxmlformats.org/officeDocument/2006/relationships/hyperlink" Target="#'08 CROSSWALK'!A609" TargetMode="External" Id="rId613"/><Relationship Type="http://schemas.openxmlformats.org/officeDocument/2006/relationships/hyperlink" Target="#'08 CROSSWALK'!A610" TargetMode="External" Id="rId614"/><Relationship Type="http://schemas.openxmlformats.org/officeDocument/2006/relationships/hyperlink" Target="#'08 CROSSWALK'!A611" TargetMode="External" Id="rId615"/><Relationship Type="http://schemas.openxmlformats.org/officeDocument/2006/relationships/hyperlink" Target="#'08 CROSSWALK'!A612" TargetMode="External" Id="rId616"/><Relationship Type="http://schemas.openxmlformats.org/officeDocument/2006/relationships/hyperlink" Target="#'08 CROSSWALK'!A613" TargetMode="External" Id="rId617"/><Relationship Type="http://schemas.openxmlformats.org/officeDocument/2006/relationships/hyperlink" Target="#'08 CROSSWALK'!A614" TargetMode="External" Id="rId618"/><Relationship Type="http://schemas.openxmlformats.org/officeDocument/2006/relationships/hyperlink" Target="#'08 CROSSWALK'!A615" TargetMode="External" Id="rId619"/><Relationship Type="http://schemas.openxmlformats.org/officeDocument/2006/relationships/hyperlink" Target="#'08 CROSSWALK'!A616" TargetMode="External" Id="rId620"/><Relationship Type="http://schemas.openxmlformats.org/officeDocument/2006/relationships/hyperlink" Target="#'08 CROSSWALK'!A617" TargetMode="External" Id="rId621"/><Relationship Type="http://schemas.openxmlformats.org/officeDocument/2006/relationships/hyperlink" Target="#'08 CROSSWALK'!A618" TargetMode="External" Id="rId622"/><Relationship Type="http://schemas.openxmlformats.org/officeDocument/2006/relationships/hyperlink" Target="#'08 CROSSWALK'!A619" TargetMode="External" Id="rId623"/><Relationship Type="http://schemas.openxmlformats.org/officeDocument/2006/relationships/hyperlink" Target="#'08 CROSSWALK'!A620" TargetMode="External" Id="rId624"/><Relationship Type="http://schemas.openxmlformats.org/officeDocument/2006/relationships/hyperlink" Target="#'08 CROSSWALK'!A621" TargetMode="External" Id="rId625"/><Relationship Type="http://schemas.openxmlformats.org/officeDocument/2006/relationships/hyperlink" Target="#'08 CROSSWALK'!A622" TargetMode="External" Id="rId626"/><Relationship Type="http://schemas.openxmlformats.org/officeDocument/2006/relationships/hyperlink" Target="#'08 CROSSWALK'!A623" TargetMode="External" Id="rId627"/><Relationship Type="http://schemas.openxmlformats.org/officeDocument/2006/relationships/hyperlink" Target="#'08 CROSSWALK'!A624" TargetMode="External" Id="rId628"/><Relationship Type="http://schemas.openxmlformats.org/officeDocument/2006/relationships/hyperlink" Target="#'08 CROSSWALK'!A625" TargetMode="External" Id="rId629"/><Relationship Type="http://schemas.openxmlformats.org/officeDocument/2006/relationships/hyperlink" Target="#'08 CROSSWALK'!A626" TargetMode="External" Id="rId630"/><Relationship Type="http://schemas.openxmlformats.org/officeDocument/2006/relationships/hyperlink" Target="#'08 CROSSWALK'!A627" TargetMode="External" Id="rId631"/><Relationship Type="http://schemas.openxmlformats.org/officeDocument/2006/relationships/hyperlink" Target="#'08 CROSSWALK'!A628" TargetMode="External" Id="rId632"/><Relationship Type="http://schemas.openxmlformats.org/officeDocument/2006/relationships/hyperlink" Target="#'08 CROSSWALK'!A629" TargetMode="External" Id="rId633"/><Relationship Type="http://schemas.openxmlformats.org/officeDocument/2006/relationships/hyperlink" Target="#'08 CROSSWALK'!A630" TargetMode="External" Id="rId634"/><Relationship Type="http://schemas.openxmlformats.org/officeDocument/2006/relationships/hyperlink" Target="#'08 CROSSWALK'!A631" TargetMode="External" Id="rId635"/><Relationship Type="http://schemas.openxmlformats.org/officeDocument/2006/relationships/hyperlink" Target="#'08 CROSSWALK'!A632" TargetMode="External" Id="rId636"/><Relationship Type="http://schemas.openxmlformats.org/officeDocument/2006/relationships/hyperlink" Target="#'08 CROSSWALK'!A633" TargetMode="External" Id="rId637"/><Relationship Type="http://schemas.openxmlformats.org/officeDocument/2006/relationships/hyperlink" Target="#'08 CROSSWALK'!A634" TargetMode="External" Id="rId638"/><Relationship Type="http://schemas.openxmlformats.org/officeDocument/2006/relationships/hyperlink" Target="#'08 CROSSWALK'!A635" TargetMode="External" Id="rId639"/><Relationship Type="http://schemas.openxmlformats.org/officeDocument/2006/relationships/hyperlink" Target="#'08 CROSSWALK'!A636" TargetMode="External" Id="rId640"/><Relationship Type="http://schemas.openxmlformats.org/officeDocument/2006/relationships/hyperlink" Target="#'08 CROSSWALK'!A637" TargetMode="External" Id="rId641"/><Relationship Type="http://schemas.openxmlformats.org/officeDocument/2006/relationships/hyperlink" Target="#'08 CROSSWALK'!A638" TargetMode="External" Id="rId642"/><Relationship Type="http://schemas.openxmlformats.org/officeDocument/2006/relationships/hyperlink" Target="#'08 CROSSWALK'!A639" TargetMode="External" Id="rId643"/><Relationship Type="http://schemas.openxmlformats.org/officeDocument/2006/relationships/hyperlink" Target="#'08 CROSSWALK'!A640" TargetMode="External" Id="rId644"/><Relationship Type="http://schemas.openxmlformats.org/officeDocument/2006/relationships/hyperlink" Target="#'08 CROSSWALK'!A641" TargetMode="External" Id="rId645"/><Relationship Type="http://schemas.openxmlformats.org/officeDocument/2006/relationships/hyperlink" Target="#'08 CROSSWALK'!A642" TargetMode="External" Id="rId646"/><Relationship Type="http://schemas.openxmlformats.org/officeDocument/2006/relationships/hyperlink" Target="#'08 CROSSWALK'!A643" TargetMode="External" Id="rId647"/><Relationship Type="http://schemas.openxmlformats.org/officeDocument/2006/relationships/hyperlink" Target="#'08 CROSSWALK'!A644" TargetMode="External" Id="rId648"/><Relationship Type="http://schemas.openxmlformats.org/officeDocument/2006/relationships/hyperlink" Target="#'08 CROSSWALK'!A645" TargetMode="External" Id="rId649"/><Relationship Type="http://schemas.openxmlformats.org/officeDocument/2006/relationships/hyperlink" Target="#'08 CROSSWALK'!A646" TargetMode="External" Id="rId650"/><Relationship Type="http://schemas.openxmlformats.org/officeDocument/2006/relationships/hyperlink" Target="#'08 CROSSWALK'!A647" TargetMode="External" Id="rId651"/><Relationship Type="http://schemas.openxmlformats.org/officeDocument/2006/relationships/hyperlink" Target="#'08 CROSSWALK'!A648" TargetMode="External" Id="rId652"/><Relationship Type="http://schemas.openxmlformats.org/officeDocument/2006/relationships/hyperlink" Target="#'08 CROSSWALK'!A649" TargetMode="External" Id="rId653"/><Relationship Type="http://schemas.openxmlformats.org/officeDocument/2006/relationships/hyperlink" Target="#'08 CROSSWALK'!A650" TargetMode="External" Id="rId654"/><Relationship Type="http://schemas.openxmlformats.org/officeDocument/2006/relationships/hyperlink" Target="#'08 CROSSWALK'!A651" TargetMode="External" Id="rId655"/><Relationship Type="http://schemas.openxmlformats.org/officeDocument/2006/relationships/hyperlink" Target="#'08 CROSSWALK'!A652" TargetMode="External" Id="rId656"/><Relationship Type="http://schemas.openxmlformats.org/officeDocument/2006/relationships/hyperlink" Target="#'08 CROSSWALK'!A653" TargetMode="External" Id="rId657"/><Relationship Type="http://schemas.openxmlformats.org/officeDocument/2006/relationships/hyperlink" Target="#'08 CROSSWALK'!A654" TargetMode="External" Id="rId658"/><Relationship Type="http://schemas.openxmlformats.org/officeDocument/2006/relationships/hyperlink" Target="#'08 CROSSWALK'!A655" TargetMode="External" Id="rId659"/><Relationship Type="http://schemas.openxmlformats.org/officeDocument/2006/relationships/hyperlink" Target="#'08 CROSSWALK'!A656" TargetMode="External" Id="rId660"/><Relationship Type="http://schemas.openxmlformats.org/officeDocument/2006/relationships/hyperlink" Target="#'08 CROSSWALK'!A657" TargetMode="External" Id="rId661"/><Relationship Type="http://schemas.openxmlformats.org/officeDocument/2006/relationships/hyperlink" Target="#'08 CROSSWALK'!A658" TargetMode="External" Id="rId662"/><Relationship Type="http://schemas.openxmlformats.org/officeDocument/2006/relationships/hyperlink" Target="#'08 CROSSWALK'!A659" TargetMode="External" Id="rId663"/><Relationship Type="http://schemas.openxmlformats.org/officeDocument/2006/relationships/hyperlink" Target="#'08 CROSSWALK'!A660" TargetMode="External" Id="rId664"/><Relationship Type="http://schemas.openxmlformats.org/officeDocument/2006/relationships/hyperlink" Target="#'08 CROSSWALK'!A661" TargetMode="External" Id="rId665"/><Relationship Type="http://schemas.openxmlformats.org/officeDocument/2006/relationships/hyperlink" Target="#'08 CROSSWALK'!A662" TargetMode="External" Id="rId666"/><Relationship Type="http://schemas.openxmlformats.org/officeDocument/2006/relationships/hyperlink" Target="#'08 CROSSWALK'!A663" TargetMode="External" Id="rId667"/><Relationship Type="http://schemas.openxmlformats.org/officeDocument/2006/relationships/hyperlink" Target="#'08 CROSSWALK'!A664" TargetMode="External" Id="rId668"/><Relationship Type="http://schemas.openxmlformats.org/officeDocument/2006/relationships/hyperlink" Target="#'08 CROSSWALK'!A665" TargetMode="External" Id="rId669"/><Relationship Type="http://schemas.openxmlformats.org/officeDocument/2006/relationships/hyperlink" Target="#'08 CROSSWALK'!A666" TargetMode="External" Id="rId670"/><Relationship Type="http://schemas.openxmlformats.org/officeDocument/2006/relationships/hyperlink" Target="#'08 CROSSWALK'!A667" TargetMode="External" Id="rId671"/><Relationship Type="http://schemas.openxmlformats.org/officeDocument/2006/relationships/hyperlink" Target="#'08 CROSSWALK'!A668" TargetMode="External" Id="rId672"/><Relationship Type="http://schemas.openxmlformats.org/officeDocument/2006/relationships/hyperlink" Target="#'08 CROSSWALK'!A669" TargetMode="External" Id="rId673"/><Relationship Type="http://schemas.openxmlformats.org/officeDocument/2006/relationships/hyperlink" Target="#'08 CROSSWALK'!A670" TargetMode="External" Id="rId674"/><Relationship Type="http://schemas.openxmlformats.org/officeDocument/2006/relationships/hyperlink" Target="#'08 CROSSWALK'!A671" TargetMode="External" Id="rId675"/><Relationship Type="http://schemas.openxmlformats.org/officeDocument/2006/relationships/hyperlink" Target="#'08 CROSSWALK'!A672" TargetMode="External" Id="rId676"/><Relationship Type="http://schemas.openxmlformats.org/officeDocument/2006/relationships/hyperlink" Target="#'08 CROSSWALK'!A673" TargetMode="External" Id="rId677"/><Relationship Type="http://schemas.openxmlformats.org/officeDocument/2006/relationships/hyperlink" Target="#'08 CROSSWALK'!A674" TargetMode="External" Id="rId678"/><Relationship Type="http://schemas.openxmlformats.org/officeDocument/2006/relationships/hyperlink" Target="#'08 CROSSWALK'!A675" TargetMode="External" Id="rId679"/><Relationship Type="http://schemas.openxmlformats.org/officeDocument/2006/relationships/hyperlink" Target="#'08 CROSSWALK'!A676" TargetMode="External" Id="rId680"/><Relationship Type="http://schemas.openxmlformats.org/officeDocument/2006/relationships/hyperlink" Target="#'08 CROSSWALK'!A677" TargetMode="External" Id="rId681"/><Relationship Type="http://schemas.openxmlformats.org/officeDocument/2006/relationships/hyperlink" Target="#'08 CROSSWALK'!A678" TargetMode="External" Id="rId682"/><Relationship Type="http://schemas.openxmlformats.org/officeDocument/2006/relationships/hyperlink" Target="#'08 CROSSWALK'!A679" TargetMode="External" Id="rId683"/><Relationship Type="http://schemas.openxmlformats.org/officeDocument/2006/relationships/hyperlink" Target="#'08 CROSSWALK'!A680" TargetMode="External" Id="rId684"/><Relationship Type="http://schemas.openxmlformats.org/officeDocument/2006/relationships/hyperlink" Target="#'08 CROSSWALK'!A681" TargetMode="External" Id="rId685"/><Relationship Type="http://schemas.openxmlformats.org/officeDocument/2006/relationships/hyperlink" Target="#'08 CROSSWALK'!A682" TargetMode="External" Id="rId686"/><Relationship Type="http://schemas.openxmlformats.org/officeDocument/2006/relationships/hyperlink" Target="#'08 CROSSWALK'!A683" TargetMode="External" Id="rId687"/><Relationship Type="http://schemas.openxmlformats.org/officeDocument/2006/relationships/hyperlink" Target="#'08 CROSSWALK'!A684" TargetMode="External" Id="rId688"/><Relationship Type="http://schemas.openxmlformats.org/officeDocument/2006/relationships/hyperlink" Target="#'08 CROSSWALK'!A685" TargetMode="External" Id="rId689"/><Relationship Type="http://schemas.openxmlformats.org/officeDocument/2006/relationships/hyperlink" Target="#'08 CROSSWALK'!A686" TargetMode="External" Id="rId690"/><Relationship Type="http://schemas.openxmlformats.org/officeDocument/2006/relationships/hyperlink" Target="#'08 CROSSWALK'!A687" TargetMode="External" Id="rId691"/><Relationship Type="http://schemas.openxmlformats.org/officeDocument/2006/relationships/hyperlink" Target="#'08 CROSSWALK'!A688" TargetMode="External" Id="rId692"/><Relationship Type="http://schemas.openxmlformats.org/officeDocument/2006/relationships/hyperlink" Target="#'08 CROSSWALK'!A689" TargetMode="External" Id="rId693"/><Relationship Type="http://schemas.openxmlformats.org/officeDocument/2006/relationships/hyperlink" Target="#'08 CROSSWALK'!A690" TargetMode="External" Id="rId694"/><Relationship Type="http://schemas.openxmlformats.org/officeDocument/2006/relationships/hyperlink" Target="#'08 CROSSWALK'!A691" TargetMode="External" Id="rId695"/><Relationship Type="http://schemas.openxmlformats.org/officeDocument/2006/relationships/hyperlink" Target="#'08 CROSSWALK'!A692" TargetMode="External" Id="rId696"/><Relationship Type="http://schemas.openxmlformats.org/officeDocument/2006/relationships/hyperlink" Target="#'08 CROSSWALK'!A693" TargetMode="External" Id="rId697"/><Relationship Type="http://schemas.openxmlformats.org/officeDocument/2006/relationships/hyperlink" Target="#'08 CROSSWALK'!A694" TargetMode="External" Id="rId698"/><Relationship Type="http://schemas.openxmlformats.org/officeDocument/2006/relationships/hyperlink" Target="#'08 CROSSWALK'!A695" TargetMode="External" Id="rId699"/><Relationship Type="http://schemas.openxmlformats.org/officeDocument/2006/relationships/hyperlink" Target="#'08 CROSSWALK'!A696" TargetMode="External" Id="rId700"/><Relationship Type="http://schemas.openxmlformats.org/officeDocument/2006/relationships/hyperlink" Target="#'08 CROSSWALK'!A697" TargetMode="External" Id="rId701"/><Relationship Type="http://schemas.openxmlformats.org/officeDocument/2006/relationships/hyperlink" Target="#'08 CROSSWALK'!A698" TargetMode="External" Id="rId702"/><Relationship Type="http://schemas.openxmlformats.org/officeDocument/2006/relationships/hyperlink" Target="#'08 CROSSWALK'!A699" TargetMode="External" Id="rId703"/><Relationship Type="http://schemas.openxmlformats.org/officeDocument/2006/relationships/hyperlink" Target="#'08 CROSSWALK'!A700" TargetMode="External" Id="rId704"/><Relationship Type="http://schemas.openxmlformats.org/officeDocument/2006/relationships/hyperlink" Target="#'08 CROSSWALK'!A701" TargetMode="External" Id="rId705"/><Relationship Type="http://schemas.openxmlformats.org/officeDocument/2006/relationships/hyperlink" Target="#'08 CROSSWALK'!A702" TargetMode="External" Id="rId706"/><Relationship Type="http://schemas.openxmlformats.org/officeDocument/2006/relationships/hyperlink" Target="#'08 CROSSWALK'!A703" TargetMode="External" Id="rId707"/><Relationship Type="http://schemas.openxmlformats.org/officeDocument/2006/relationships/hyperlink" Target="#'08 CROSSWALK'!A704" TargetMode="External" Id="rId708"/><Relationship Type="http://schemas.openxmlformats.org/officeDocument/2006/relationships/hyperlink" Target="#'08 CROSSWALK'!A705" TargetMode="External" Id="rId709"/><Relationship Type="http://schemas.openxmlformats.org/officeDocument/2006/relationships/hyperlink" Target="#'08 CROSSWALK'!A706" TargetMode="External" Id="rId710"/><Relationship Type="http://schemas.openxmlformats.org/officeDocument/2006/relationships/hyperlink" Target="#'08 CROSSWALK'!A707" TargetMode="External" Id="rId711"/><Relationship Type="http://schemas.openxmlformats.org/officeDocument/2006/relationships/hyperlink" Target="#'08 CROSSWALK'!A708" TargetMode="External" Id="rId712"/><Relationship Type="http://schemas.openxmlformats.org/officeDocument/2006/relationships/hyperlink" Target="#'08 CROSSWALK'!A709" TargetMode="External" Id="rId713"/><Relationship Type="http://schemas.openxmlformats.org/officeDocument/2006/relationships/hyperlink" Target="#'08 CROSSWALK'!A710" TargetMode="External" Id="rId714"/><Relationship Type="http://schemas.openxmlformats.org/officeDocument/2006/relationships/hyperlink" Target="#'08 CROSSWALK'!A711" TargetMode="External" Id="rId715"/><Relationship Type="http://schemas.openxmlformats.org/officeDocument/2006/relationships/hyperlink" Target="#'08 CROSSWALK'!A712" TargetMode="External" Id="rId716"/><Relationship Type="http://schemas.openxmlformats.org/officeDocument/2006/relationships/hyperlink" Target="#'08 CROSSWALK'!A713" TargetMode="External" Id="rId717"/><Relationship Type="http://schemas.openxmlformats.org/officeDocument/2006/relationships/hyperlink" Target="#'08 CROSSWALK'!A714" TargetMode="External" Id="rId718"/><Relationship Type="http://schemas.openxmlformats.org/officeDocument/2006/relationships/hyperlink" Target="#'08 CROSSWALK'!A715" TargetMode="External" Id="rId719"/><Relationship Type="http://schemas.openxmlformats.org/officeDocument/2006/relationships/hyperlink" Target="#'08 CROSSWALK'!A716" TargetMode="External" Id="rId720"/><Relationship Type="http://schemas.openxmlformats.org/officeDocument/2006/relationships/hyperlink" Target="#'08 CROSSWALK'!A717" TargetMode="External" Id="rId721"/><Relationship Type="http://schemas.openxmlformats.org/officeDocument/2006/relationships/hyperlink" Target="#'08 CROSSWALK'!A718" TargetMode="External" Id="rId722"/><Relationship Type="http://schemas.openxmlformats.org/officeDocument/2006/relationships/hyperlink" Target="#'08 CROSSWALK'!A719" TargetMode="External" Id="rId723"/><Relationship Type="http://schemas.openxmlformats.org/officeDocument/2006/relationships/hyperlink" Target="#'08 CROSSWALK'!A720" TargetMode="External" Id="rId724"/><Relationship Type="http://schemas.openxmlformats.org/officeDocument/2006/relationships/hyperlink" Target="#'08 CROSSWALK'!A721" TargetMode="External" Id="rId725"/><Relationship Type="http://schemas.openxmlformats.org/officeDocument/2006/relationships/hyperlink" Target="#'08 CROSSWALK'!A722" TargetMode="External" Id="rId726"/><Relationship Type="http://schemas.openxmlformats.org/officeDocument/2006/relationships/hyperlink" Target="#'08 CROSSWALK'!A723" TargetMode="External" Id="rId727"/><Relationship Type="http://schemas.openxmlformats.org/officeDocument/2006/relationships/hyperlink" Target="#'08 CROSSWALK'!A724" TargetMode="External" Id="rId728"/><Relationship Type="http://schemas.openxmlformats.org/officeDocument/2006/relationships/hyperlink" Target="#'08 CROSSWALK'!A725" TargetMode="External" Id="rId729"/><Relationship Type="http://schemas.openxmlformats.org/officeDocument/2006/relationships/hyperlink" Target="#'08 CROSSWALK'!A726" TargetMode="External" Id="rId730"/><Relationship Type="http://schemas.openxmlformats.org/officeDocument/2006/relationships/hyperlink" Target="#'08 CROSSWALK'!A727" TargetMode="External" Id="rId731"/><Relationship Type="http://schemas.openxmlformats.org/officeDocument/2006/relationships/hyperlink" Target="#'08 CROSSWALK'!A728" TargetMode="External" Id="rId732"/><Relationship Type="http://schemas.openxmlformats.org/officeDocument/2006/relationships/hyperlink" Target="#'08 CROSSWALK'!A729" TargetMode="External" Id="rId733"/><Relationship Type="http://schemas.openxmlformats.org/officeDocument/2006/relationships/hyperlink" Target="#'08 CROSSWALK'!A730" TargetMode="External" Id="rId734"/><Relationship Type="http://schemas.openxmlformats.org/officeDocument/2006/relationships/hyperlink" Target="#'08 CROSSWALK'!A731" TargetMode="External" Id="rId735"/><Relationship Type="http://schemas.openxmlformats.org/officeDocument/2006/relationships/hyperlink" Target="#'08 CROSSWALK'!A732" TargetMode="External" Id="rId736"/><Relationship Type="http://schemas.openxmlformats.org/officeDocument/2006/relationships/hyperlink" Target="#'08 CROSSWALK'!A733" TargetMode="External" Id="rId737"/><Relationship Type="http://schemas.openxmlformats.org/officeDocument/2006/relationships/hyperlink" Target="#'08 CROSSWALK'!A734" TargetMode="External" Id="rId738"/><Relationship Type="http://schemas.openxmlformats.org/officeDocument/2006/relationships/hyperlink" Target="#'08 CROSSWALK'!A735" TargetMode="External" Id="rId739"/><Relationship Type="http://schemas.openxmlformats.org/officeDocument/2006/relationships/hyperlink" Target="#'08 CROSSWALK'!A736" TargetMode="External" Id="rId740"/><Relationship Type="http://schemas.openxmlformats.org/officeDocument/2006/relationships/hyperlink" Target="#'08 CROSSWALK'!A737" TargetMode="External" Id="rId741"/><Relationship Type="http://schemas.openxmlformats.org/officeDocument/2006/relationships/hyperlink" Target="#'08 CROSSWALK'!A738" TargetMode="External" Id="rId742"/><Relationship Type="http://schemas.openxmlformats.org/officeDocument/2006/relationships/hyperlink" Target="#'08 CROSSWALK'!A739" TargetMode="External" Id="rId743"/><Relationship Type="http://schemas.openxmlformats.org/officeDocument/2006/relationships/hyperlink" Target="#'08 CROSSWALK'!A740" TargetMode="External" Id="rId744"/><Relationship Type="http://schemas.openxmlformats.org/officeDocument/2006/relationships/hyperlink" Target="#'08 CROSSWALK'!A741" TargetMode="External" Id="rId745"/><Relationship Type="http://schemas.openxmlformats.org/officeDocument/2006/relationships/hyperlink" Target="#'08 CROSSWALK'!A742" TargetMode="External" Id="rId746"/><Relationship Type="http://schemas.openxmlformats.org/officeDocument/2006/relationships/hyperlink" Target="#'08 CROSSWALK'!A743" TargetMode="External" Id="rId747"/><Relationship Type="http://schemas.openxmlformats.org/officeDocument/2006/relationships/hyperlink" Target="#'08 CROSSWALK'!A744" TargetMode="External" Id="rId748"/><Relationship Type="http://schemas.openxmlformats.org/officeDocument/2006/relationships/hyperlink" Target="#'08 CROSSWALK'!A745" TargetMode="External" Id="rId749"/><Relationship Type="http://schemas.openxmlformats.org/officeDocument/2006/relationships/hyperlink" Target="#'08 CROSSWALK'!A746" TargetMode="External" Id="rId750"/><Relationship Type="http://schemas.openxmlformats.org/officeDocument/2006/relationships/hyperlink" Target="#'08 CROSSWALK'!A747" TargetMode="External" Id="rId751"/><Relationship Type="http://schemas.openxmlformats.org/officeDocument/2006/relationships/hyperlink" Target="#'08 CROSSWALK'!A748" TargetMode="External" Id="rId752"/><Relationship Type="http://schemas.openxmlformats.org/officeDocument/2006/relationships/hyperlink" Target="#'08 CROSSWALK'!A749" TargetMode="External" Id="rId753"/><Relationship Type="http://schemas.openxmlformats.org/officeDocument/2006/relationships/hyperlink" Target="#'08 CROSSWALK'!A750" TargetMode="External" Id="rId754"/><Relationship Type="http://schemas.openxmlformats.org/officeDocument/2006/relationships/hyperlink" Target="#'08 CROSSWALK'!A751" TargetMode="External" Id="rId755"/><Relationship Type="http://schemas.openxmlformats.org/officeDocument/2006/relationships/hyperlink" Target="#'08 CROSSWALK'!A752" TargetMode="External" Id="rId756"/><Relationship Type="http://schemas.openxmlformats.org/officeDocument/2006/relationships/hyperlink" Target="#'08 CROSSWALK'!A753" TargetMode="External" Id="rId757"/><Relationship Type="http://schemas.openxmlformats.org/officeDocument/2006/relationships/hyperlink" Target="#'08 CROSSWALK'!A754" TargetMode="External" Id="rId758"/><Relationship Type="http://schemas.openxmlformats.org/officeDocument/2006/relationships/hyperlink" Target="#'08 CROSSWALK'!A755" TargetMode="External" Id="rId759"/><Relationship Type="http://schemas.openxmlformats.org/officeDocument/2006/relationships/hyperlink" Target="#'08 CROSSWALK'!A756" TargetMode="External" Id="rId760"/><Relationship Type="http://schemas.openxmlformats.org/officeDocument/2006/relationships/hyperlink" Target="#'08 CROSSWALK'!A757" TargetMode="External" Id="rId761"/><Relationship Type="http://schemas.openxmlformats.org/officeDocument/2006/relationships/hyperlink" Target="#'08 CROSSWALK'!A758" TargetMode="External" Id="rId762"/><Relationship Type="http://schemas.openxmlformats.org/officeDocument/2006/relationships/hyperlink" Target="#'08 CROSSWALK'!A759" TargetMode="External" Id="rId763"/><Relationship Type="http://schemas.openxmlformats.org/officeDocument/2006/relationships/hyperlink" Target="#'08 CROSSWALK'!A760" TargetMode="External" Id="rId764"/><Relationship Type="http://schemas.openxmlformats.org/officeDocument/2006/relationships/hyperlink" Target="#'08 CROSSWALK'!A761" TargetMode="External" Id="rId765"/><Relationship Type="http://schemas.openxmlformats.org/officeDocument/2006/relationships/hyperlink" Target="#'08 CROSSWALK'!A762" TargetMode="External" Id="rId766"/><Relationship Type="http://schemas.openxmlformats.org/officeDocument/2006/relationships/hyperlink" Target="#'08 CROSSWALK'!A763" TargetMode="External" Id="rId767"/><Relationship Type="http://schemas.openxmlformats.org/officeDocument/2006/relationships/hyperlink" Target="#'08 CROSSWALK'!A764" TargetMode="External" Id="rId768"/><Relationship Type="http://schemas.openxmlformats.org/officeDocument/2006/relationships/hyperlink" Target="#'08 CROSSWALK'!A765" TargetMode="External" Id="rId769"/><Relationship Type="http://schemas.openxmlformats.org/officeDocument/2006/relationships/hyperlink" Target="#'08 CROSSWALK'!A766" TargetMode="External" Id="rId770"/><Relationship Type="http://schemas.openxmlformats.org/officeDocument/2006/relationships/hyperlink" Target="#'08 CROSSWALK'!A767" TargetMode="External" Id="rId771"/><Relationship Type="http://schemas.openxmlformats.org/officeDocument/2006/relationships/hyperlink" Target="#'08 CROSSWALK'!A768" TargetMode="External" Id="rId772"/><Relationship Type="http://schemas.openxmlformats.org/officeDocument/2006/relationships/hyperlink" Target="#'08 CROSSWALK'!A769" TargetMode="External" Id="rId773"/><Relationship Type="http://schemas.openxmlformats.org/officeDocument/2006/relationships/hyperlink" Target="#'08 CROSSWALK'!A770" TargetMode="External" Id="rId774"/><Relationship Type="http://schemas.openxmlformats.org/officeDocument/2006/relationships/hyperlink" Target="#'08 CROSSWALK'!A771" TargetMode="External" Id="rId775"/><Relationship Type="http://schemas.openxmlformats.org/officeDocument/2006/relationships/hyperlink" Target="#'08 CROSSWALK'!A772" TargetMode="External" Id="rId776"/><Relationship Type="http://schemas.openxmlformats.org/officeDocument/2006/relationships/hyperlink" Target="#'08 CROSSWALK'!A773" TargetMode="External" Id="rId777"/><Relationship Type="http://schemas.openxmlformats.org/officeDocument/2006/relationships/hyperlink" Target="#'08 CROSSWALK'!A774" TargetMode="External" Id="rId778"/><Relationship Type="http://schemas.openxmlformats.org/officeDocument/2006/relationships/hyperlink" Target="#'08 CROSSWALK'!A775" TargetMode="External" Id="rId779"/><Relationship Type="http://schemas.openxmlformats.org/officeDocument/2006/relationships/hyperlink" Target="#'08 CROSSWALK'!A776" TargetMode="External" Id="rId780"/><Relationship Type="http://schemas.openxmlformats.org/officeDocument/2006/relationships/hyperlink" Target="#'08 CROSSWALK'!A777" TargetMode="External" Id="rId781"/><Relationship Type="http://schemas.openxmlformats.org/officeDocument/2006/relationships/hyperlink" Target="#'08 CROSSWALK'!A778" TargetMode="External" Id="rId782"/><Relationship Type="http://schemas.openxmlformats.org/officeDocument/2006/relationships/hyperlink" Target="#'08 CROSSWALK'!A779" TargetMode="External" Id="rId783"/><Relationship Type="http://schemas.openxmlformats.org/officeDocument/2006/relationships/hyperlink" Target="#'08 CROSSWALK'!A780" TargetMode="External" Id="rId784"/><Relationship Type="http://schemas.openxmlformats.org/officeDocument/2006/relationships/hyperlink" Target="#'08 CROSSWALK'!A781" TargetMode="External" Id="rId785"/><Relationship Type="http://schemas.openxmlformats.org/officeDocument/2006/relationships/hyperlink" Target="#'08 CROSSWALK'!A782" TargetMode="External" Id="rId786"/><Relationship Type="http://schemas.openxmlformats.org/officeDocument/2006/relationships/hyperlink" Target="#'08 CROSSWALK'!A783" TargetMode="External" Id="rId787"/><Relationship Type="http://schemas.openxmlformats.org/officeDocument/2006/relationships/hyperlink" Target="#'08 CROSSWALK'!A784" TargetMode="External" Id="rId788"/><Relationship Type="http://schemas.openxmlformats.org/officeDocument/2006/relationships/hyperlink" Target="#'08 CROSSWALK'!A785" TargetMode="External" Id="rId789"/><Relationship Type="http://schemas.openxmlformats.org/officeDocument/2006/relationships/hyperlink" Target="#'08 CROSSWALK'!A786" TargetMode="External" Id="rId790"/><Relationship Type="http://schemas.openxmlformats.org/officeDocument/2006/relationships/hyperlink" Target="#'08 CROSSWALK'!A787" TargetMode="External" Id="rId791"/><Relationship Type="http://schemas.openxmlformats.org/officeDocument/2006/relationships/hyperlink" Target="#'08 CROSSWALK'!A788" TargetMode="External" Id="rId792"/><Relationship Type="http://schemas.openxmlformats.org/officeDocument/2006/relationships/hyperlink" Target="#'08 CROSSWALK'!A789" TargetMode="External" Id="rId793"/><Relationship Type="http://schemas.openxmlformats.org/officeDocument/2006/relationships/hyperlink" Target="#'08 CROSSWALK'!A790" TargetMode="External" Id="rId794"/><Relationship Type="http://schemas.openxmlformats.org/officeDocument/2006/relationships/hyperlink" Target="#'08 CROSSWALK'!A791" TargetMode="External" Id="rId795"/><Relationship Type="http://schemas.openxmlformats.org/officeDocument/2006/relationships/hyperlink" Target="#'08 CROSSWALK'!A792" TargetMode="External" Id="rId796"/><Relationship Type="http://schemas.openxmlformats.org/officeDocument/2006/relationships/hyperlink" Target="#'08 CROSSWALK'!A793" TargetMode="External" Id="rId797"/><Relationship Type="http://schemas.openxmlformats.org/officeDocument/2006/relationships/hyperlink" Target="#'08 CROSSWALK'!A794" TargetMode="External" Id="rId798"/><Relationship Type="http://schemas.openxmlformats.org/officeDocument/2006/relationships/hyperlink" Target="#'08 CROSSWALK'!A795" TargetMode="External" Id="rId799"/><Relationship Type="http://schemas.openxmlformats.org/officeDocument/2006/relationships/hyperlink" Target="#'08 CROSSWALK'!A796" TargetMode="External" Id="rId800"/><Relationship Type="http://schemas.openxmlformats.org/officeDocument/2006/relationships/hyperlink" Target="#'08 CROSSWALK'!A797" TargetMode="External" Id="rId801"/><Relationship Type="http://schemas.openxmlformats.org/officeDocument/2006/relationships/hyperlink" Target="#'08 CROSSWALK'!A798" TargetMode="External" Id="rId802"/><Relationship Type="http://schemas.openxmlformats.org/officeDocument/2006/relationships/hyperlink" Target="#'08 CROSSWALK'!A799" TargetMode="External" Id="rId803"/><Relationship Type="http://schemas.openxmlformats.org/officeDocument/2006/relationships/hyperlink" Target="#'08 CROSSWALK'!A800" TargetMode="External" Id="rId804"/><Relationship Type="http://schemas.openxmlformats.org/officeDocument/2006/relationships/hyperlink" Target="#'08 CROSSWALK'!A801" TargetMode="External" Id="rId805"/><Relationship Type="http://schemas.openxmlformats.org/officeDocument/2006/relationships/hyperlink" Target="#'08 CROSSWALK'!A802" TargetMode="External" Id="rId806"/><Relationship Type="http://schemas.openxmlformats.org/officeDocument/2006/relationships/hyperlink" Target="#'08 CROSSWALK'!A803" TargetMode="External" Id="rId807"/><Relationship Type="http://schemas.openxmlformats.org/officeDocument/2006/relationships/hyperlink" Target="#'08 CROSSWALK'!A804" TargetMode="External" Id="rId808"/><Relationship Type="http://schemas.openxmlformats.org/officeDocument/2006/relationships/hyperlink" Target="#'08 CROSSWALK'!A805" TargetMode="External" Id="rId809"/><Relationship Type="http://schemas.openxmlformats.org/officeDocument/2006/relationships/hyperlink" Target="#'08 CROSSWALK'!A806" TargetMode="External" Id="rId810"/><Relationship Type="http://schemas.openxmlformats.org/officeDocument/2006/relationships/hyperlink" Target="#'08 CROSSWALK'!A807" TargetMode="External" Id="rId811"/><Relationship Type="http://schemas.openxmlformats.org/officeDocument/2006/relationships/hyperlink" Target="#'08 CROSSWALK'!A808" TargetMode="External" Id="rId812"/><Relationship Type="http://schemas.openxmlformats.org/officeDocument/2006/relationships/hyperlink" Target="#'08 CROSSWALK'!A809" TargetMode="External" Id="rId813"/><Relationship Type="http://schemas.openxmlformats.org/officeDocument/2006/relationships/hyperlink" Target="#'08 CROSSWALK'!A810" TargetMode="External" Id="rId814"/><Relationship Type="http://schemas.openxmlformats.org/officeDocument/2006/relationships/hyperlink" Target="#'08 CROSSWALK'!A811" TargetMode="External" Id="rId815"/><Relationship Type="http://schemas.openxmlformats.org/officeDocument/2006/relationships/hyperlink" Target="#'08 CROSSWALK'!A812" TargetMode="External" Id="rId816"/><Relationship Type="http://schemas.openxmlformats.org/officeDocument/2006/relationships/hyperlink" Target="#'08 CROSSWALK'!A813" TargetMode="External" Id="rId817"/><Relationship Type="http://schemas.openxmlformats.org/officeDocument/2006/relationships/hyperlink" Target="#'08 CROSSWALK'!A814" TargetMode="External" Id="rId818"/><Relationship Type="http://schemas.openxmlformats.org/officeDocument/2006/relationships/hyperlink" Target="#'08 CROSSWALK'!A815" TargetMode="External" Id="rId819"/><Relationship Type="http://schemas.openxmlformats.org/officeDocument/2006/relationships/hyperlink" Target="#'08 CROSSWALK'!A816" TargetMode="External" Id="rId820"/><Relationship Type="http://schemas.openxmlformats.org/officeDocument/2006/relationships/hyperlink" Target="#'08 CROSSWALK'!A817" TargetMode="External" Id="rId821"/><Relationship Type="http://schemas.openxmlformats.org/officeDocument/2006/relationships/hyperlink" Target="#'08 CROSSWALK'!A818" TargetMode="External" Id="rId822"/><Relationship Type="http://schemas.openxmlformats.org/officeDocument/2006/relationships/hyperlink" Target="#'08 CROSSWALK'!A819" TargetMode="External" Id="rId823"/><Relationship Type="http://schemas.openxmlformats.org/officeDocument/2006/relationships/hyperlink" Target="#'08 CROSSWALK'!A820" TargetMode="External" Id="rId824"/><Relationship Type="http://schemas.openxmlformats.org/officeDocument/2006/relationships/hyperlink" Target="#'08 CROSSWALK'!A821" TargetMode="External" Id="rId825"/><Relationship Type="http://schemas.openxmlformats.org/officeDocument/2006/relationships/hyperlink" Target="#'08 CROSSWALK'!A822" TargetMode="External" Id="rId826"/><Relationship Type="http://schemas.openxmlformats.org/officeDocument/2006/relationships/hyperlink" Target="#'08 CROSSWALK'!A823" TargetMode="External" Id="rId827"/><Relationship Type="http://schemas.openxmlformats.org/officeDocument/2006/relationships/hyperlink" Target="#'08 CROSSWALK'!A824" TargetMode="External" Id="rId828"/><Relationship Type="http://schemas.openxmlformats.org/officeDocument/2006/relationships/hyperlink" Target="#'08 CROSSWALK'!A825" TargetMode="External" Id="rId829"/><Relationship Type="http://schemas.openxmlformats.org/officeDocument/2006/relationships/hyperlink" Target="#'08 CROSSWALK'!A826" TargetMode="External" Id="rId830"/><Relationship Type="http://schemas.openxmlformats.org/officeDocument/2006/relationships/hyperlink" Target="#'08 CROSSWALK'!A827" TargetMode="External" Id="rId831"/><Relationship Type="http://schemas.openxmlformats.org/officeDocument/2006/relationships/hyperlink" Target="#'08 CROSSWALK'!A828" TargetMode="External" Id="rId832"/><Relationship Type="http://schemas.openxmlformats.org/officeDocument/2006/relationships/hyperlink" Target="#'08 CROSSWALK'!A829" TargetMode="External" Id="rId833"/><Relationship Type="http://schemas.openxmlformats.org/officeDocument/2006/relationships/hyperlink" Target="#'08 CROSSWALK'!A830" TargetMode="External" Id="rId834"/><Relationship Type="http://schemas.openxmlformats.org/officeDocument/2006/relationships/hyperlink" Target="#'08 CROSSWALK'!A831" TargetMode="External" Id="rId835"/><Relationship Type="http://schemas.openxmlformats.org/officeDocument/2006/relationships/hyperlink" Target="#'08 CROSSWALK'!A832" TargetMode="External" Id="rId836"/><Relationship Type="http://schemas.openxmlformats.org/officeDocument/2006/relationships/hyperlink" Target="#'08 CROSSWALK'!A833" TargetMode="External" Id="rId837"/><Relationship Type="http://schemas.openxmlformats.org/officeDocument/2006/relationships/hyperlink" Target="#'08 CROSSWALK'!A834" TargetMode="External" Id="rId838"/><Relationship Type="http://schemas.openxmlformats.org/officeDocument/2006/relationships/hyperlink" Target="#'08 CROSSWALK'!A835" TargetMode="External" Id="rId839"/><Relationship Type="http://schemas.openxmlformats.org/officeDocument/2006/relationships/hyperlink" Target="#'08 CROSSWALK'!A836" TargetMode="External" Id="rId840"/><Relationship Type="http://schemas.openxmlformats.org/officeDocument/2006/relationships/hyperlink" Target="#'08 CROSSWALK'!A837" TargetMode="External" Id="rId841"/><Relationship Type="http://schemas.openxmlformats.org/officeDocument/2006/relationships/hyperlink" Target="#'08 CROSSWALK'!A838" TargetMode="External" Id="rId842"/><Relationship Type="http://schemas.openxmlformats.org/officeDocument/2006/relationships/hyperlink" Target="#'08 CROSSWALK'!A839" TargetMode="External" Id="rId843"/><Relationship Type="http://schemas.openxmlformats.org/officeDocument/2006/relationships/hyperlink" Target="#'08 CROSSWALK'!A840" TargetMode="External" Id="rId844"/><Relationship Type="http://schemas.openxmlformats.org/officeDocument/2006/relationships/hyperlink" Target="#'08 CROSSWALK'!A841" TargetMode="External" Id="rId845"/><Relationship Type="http://schemas.openxmlformats.org/officeDocument/2006/relationships/hyperlink" Target="#'08 CROSSWALK'!A842" TargetMode="External" Id="rId846"/><Relationship Type="http://schemas.openxmlformats.org/officeDocument/2006/relationships/hyperlink" Target="#'08 CROSSWALK'!A843" TargetMode="External" Id="rId847"/><Relationship Type="http://schemas.openxmlformats.org/officeDocument/2006/relationships/hyperlink" Target="#'08 CROSSWALK'!A844" TargetMode="External" Id="rId848"/><Relationship Type="http://schemas.openxmlformats.org/officeDocument/2006/relationships/hyperlink" Target="#'08 CROSSWALK'!A845" TargetMode="External" Id="rId849"/><Relationship Type="http://schemas.openxmlformats.org/officeDocument/2006/relationships/hyperlink" Target="#'08 CROSSWALK'!A846" TargetMode="External" Id="rId850"/><Relationship Type="http://schemas.openxmlformats.org/officeDocument/2006/relationships/hyperlink" Target="#'08 CROSSWALK'!A847" TargetMode="External" Id="rId851"/><Relationship Type="http://schemas.openxmlformats.org/officeDocument/2006/relationships/hyperlink" Target="#'08 CROSSWALK'!A848" TargetMode="External" Id="rId852"/><Relationship Type="http://schemas.openxmlformats.org/officeDocument/2006/relationships/hyperlink" Target="#'08 CROSSWALK'!A849" TargetMode="External" Id="rId853"/><Relationship Type="http://schemas.openxmlformats.org/officeDocument/2006/relationships/hyperlink" Target="#'08 CROSSWALK'!A850" TargetMode="External" Id="rId854"/><Relationship Type="http://schemas.openxmlformats.org/officeDocument/2006/relationships/hyperlink" Target="#'08 CROSSWALK'!A851" TargetMode="External" Id="rId855"/><Relationship Type="http://schemas.openxmlformats.org/officeDocument/2006/relationships/hyperlink" Target="#'08 CROSSWALK'!A852" TargetMode="External" Id="rId856"/><Relationship Type="http://schemas.openxmlformats.org/officeDocument/2006/relationships/hyperlink" Target="#'08 CROSSWALK'!A853" TargetMode="External" Id="rId857"/><Relationship Type="http://schemas.openxmlformats.org/officeDocument/2006/relationships/hyperlink" Target="#'08 CROSSWALK'!A854" TargetMode="External" Id="rId858"/><Relationship Type="http://schemas.openxmlformats.org/officeDocument/2006/relationships/hyperlink" Target="#'08 CROSSWALK'!A855" TargetMode="External" Id="rId859"/><Relationship Type="http://schemas.openxmlformats.org/officeDocument/2006/relationships/hyperlink" Target="#'08 CROSSWALK'!A856" TargetMode="External" Id="rId860"/><Relationship Type="http://schemas.openxmlformats.org/officeDocument/2006/relationships/hyperlink" Target="#'08 CROSSWALK'!A857" TargetMode="External" Id="rId861"/><Relationship Type="http://schemas.openxmlformats.org/officeDocument/2006/relationships/hyperlink" Target="#'08 CROSSWALK'!A858" TargetMode="External" Id="rId862"/><Relationship Type="http://schemas.openxmlformats.org/officeDocument/2006/relationships/hyperlink" Target="#'08 CROSSWALK'!A859" TargetMode="External" Id="rId863"/><Relationship Type="http://schemas.openxmlformats.org/officeDocument/2006/relationships/hyperlink" Target="#'08 CROSSWALK'!A860" TargetMode="External" Id="rId864"/><Relationship Type="http://schemas.openxmlformats.org/officeDocument/2006/relationships/hyperlink" Target="#'08 CROSSWALK'!A861" TargetMode="External" Id="rId865"/><Relationship Type="http://schemas.openxmlformats.org/officeDocument/2006/relationships/hyperlink" Target="#'08 CROSSWALK'!A862" TargetMode="External" Id="rId866"/><Relationship Type="http://schemas.openxmlformats.org/officeDocument/2006/relationships/hyperlink" Target="#'08 CROSSWALK'!A863" TargetMode="External" Id="rId867"/><Relationship Type="http://schemas.openxmlformats.org/officeDocument/2006/relationships/hyperlink" Target="#'08 CROSSWALK'!A864" TargetMode="External" Id="rId868"/><Relationship Type="http://schemas.openxmlformats.org/officeDocument/2006/relationships/hyperlink" Target="#'08 CROSSWALK'!A865" TargetMode="External" Id="rId869"/><Relationship Type="http://schemas.openxmlformats.org/officeDocument/2006/relationships/hyperlink" Target="#'08 CROSSWALK'!A866" TargetMode="External" Id="rId870"/><Relationship Type="http://schemas.openxmlformats.org/officeDocument/2006/relationships/hyperlink" Target="#'08 CROSSWALK'!A867" TargetMode="External" Id="rId871"/><Relationship Type="http://schemas.openxmlformats.org/officeDocument/2006/relationships/hyperlink" Target="#'08 CROSSWALK'!A868" TargetMode="External" Id="rId872"/><Relationship Type="http://schemas.openxmlformats.org/officeDocument/2006/relationships/hyperlink" Target="#'08 CROSSWALK'!A869" TargetMode="External" Id="rId873"/><Relationship Type="http://schemas.openxmlformats.org/officeDocument/2006/relationships/hyperlink" Target="#'08 CROSSWALK'!A870" TargetMode="External" Id="rId874"/><Relationship Type="http://schemas.openxmlformats.org/officeDocument/2006/relationships/hyperlink" Target="#'08 CROSSWALK'!A871" TargetMode="External" Id="rId875"/><Relationship Type="http://schemas.openxmlformats.org/officeDocument/2006/relationships/hyperlink" Target="#'08 CROSSWALK'!A872" TargetMode="External" Id="rId876"/><Relationship Type="http://schemas.openxmlformats.org/officeDocument/2006/relationships/hyperlink" Target="#'08 CROSSWALK'!A873" TargetMode="External" Id="rId877"/><Relationship Type="http://schemas.openxmlformats.org/officeDocument/2006/relationships/hyperlink" Target="#'08 CROSSWALK'!A874" TargetMode="External" Id="rId878"/><Relationship Type="http://schemas.openxmlformats.org/officeDocument/2006/relationships/hyperlink" Target="#'08 CROSSWALK'!A875" TargetMode="External" Id="rId879"/><Relationship Type="http://schemas.openxmlformats.org/officeDocument/2006/relationships/hyperlink" Target="#'08 CROSSWALK'!A876" TargetMode="External" Id="rId880"/><Relationship Type="http://schemas.openxmlformats.org/officeDocument/2006/relationships/hyperlink" Target="#'08 CROSSWALK'!A877" TargetMode="External" Id="rId881"/><Relationship Type="http://schemas.openxmlformats.org/officeDocument/2006/relationships/hyperlink" Target="#'08 CROSSWALK'!A878" TargetMode="External" Id="rId882"/><Relationship Type="http://schemas.openxmlformats.org/officeDocument/2006/relationships/hyperlink" Target="#'08 CROSSWALK'!A879" TargetMode="External" Id="rId883"/><Relationship Type="http://schemas.openxmlformats.org/officeDocument/2006/relationships/hyperlink" Target="#'08 CROSSWALK'!A880" TargetMode="External" Id="rId884"/><Relationship Type="http://schemas.openxmlformats.org/officeDocument/2006/relationships/hyperlink" Target="#'08 CROSSWALK'!A881" TargetMode="External" Id="rId885"/><Relationship Type="http://schemas.openxmlformats.org/officeDocument/2006/relationships/hyperlink" Target="#'08 CROSSWALK'!A882" TargetMode="External" Id="rId886"/><Relationship Type="http://schemas.openxmlformats.org/officeDocument/2006/relationships/hyperlink" Target="#'08 CROSSWALK'!A883" TargetMode="External" Id="rId887"/><Relationship Type="http://schemas.openxmlformats.org/officeDocument/2006/relationships/hyperlink" Target="#'08 CROSSWALK'!A884" TargetMode="External" Id="rId888"/><Relationship Type="http://schemas.openxmlformats.org/officeDocument/2006/relationships/hyperlink" Target="#'08 CROSSWALK'!A885" TargetMode="External" Id="rId889"/><Relationship Type="http://schemas.openxmlformats.org/officeDocument/2006/relationships/hyperlink" Target="#'08 CROSSWALK'!A886" TargetMode="External" Id="rId890"/><Relationship Type="http://schemas.openxmlformats.org/officeDocument/2006/relationships/hyperlink" Target="#'08 CROSSWALK'!A887" TargetMode="External" Id="rId891"/><Relationship Type="http://schemas.openxmlformats.org/officeDocument/2006/relationships/hyperlink" Target="#'08 CROSSWALK'!A888" TargetMode="External" Id="rId892"/><Relationship Type="http://schemas.openxmlformats.org/officeDocument/2006/relationships/hyperlink" Target="#'08 CROSSWALK'!A889" TargetMode="External" Id="rId893"/><Relationship Type="http://schemas.openxmlformats.org/officeDocument/2006/relationships/hyperlink" Target="#'08 CROSSWALK'!A890" TargetMode="External" Id="rId894"/><Relationship Type="http://schemas.openxmlformats.org/officeDocument/2006/relationships/hyperlink" Target="#'08 CROSSWALK'!A891" TargetMode="External" Id="rId895"/><Relationship Type="http://schemas.openxmlformats.org/officeDocument/2006/relationships/hyperlink" Target="#'08 CROSSWALK'!A892" TargetMode="External" Id="rId896"/><Relationship Type="http://schemas.openxmlformats.org/officeDocument/2006/relationships/hyperlink" Target="#'08 CROSSWALK'!A893" TargetMode="External" Id="rId897"/><Relationship Type="http://schemas.openxmlformats.org/officeDocument/2006/relationships/hyperlink" Target="#'08 CROSSWALK'!A894" TargetMode="External" Id="rId898"/><Relationship Type="http://schemas.openxmlformats.org/officeDocument/2006/relationships/hyperlink" Target="#'08 CROSSWALK'!A895" TargetMode="External" Id="rId899"/><Relationship Type="http://schemas.openxmlformats.org/officeDocument/2006/relationships/hyperlink" Target="#'08 CROSSWALK'!A896" TargetMode="External" Id="rId900"/><Relationship Type="http://schemas.openxmlformats.org/officeDocument/2006/relationships/hyperlink" Target="#'08 CROSSWALK'!A897" TargetMode="External" Id="rId901"/><Relationship Type="http://schemas.openxmlformats.org/officeDocument/2006/relationships/hyperlink" Target="#'08 CROSSWALK'!A898" TargetMode="External" Id="rId902"/><Relationship Type="http://schemas.openxmlformats.org/officeDocument/2006/relationships/hyperlink" Target="#'08 CROSSWALK'!A899" TargetMode="External" Id="rId903"/><Relationship Type="http://schemas.openxmlformats.org/officeDocument/2006/relationships/hyperlink" Target="#'08 CROSSWALK'!A900" TargetMode="External" Id="rId904"/><Relationship Type="http://schemas.openxmlformats.org/officeDocument/2006/relationships/hyperlink" Target="#'08 CROSSWALK'!A901" TargetMode="External" Id="rId905"/><Relationship Type="http://schemas.openxmlformats.org/officeDocument/2006/relationships/hyperlink" Target="#'08 CROSSWALK'!A902" TargetMode="External" Id="rId906"/><Relationship Type="http://schemas.openxmlformats.org/officeDocument/2006/relationships/hyperlink" Target="#'08 CROSSWALK'!A903" TargetMode="External" Id="rId907"/><Relationship Type="http://schemas.openxmlformats.org/officeDocument/2006/relationships/hyperlink" Target="#'08 CROSSWALK'!A904" TargetMode="External" Id="rId908"/><Relationship Type="http://schemas.openxmlformats.org/officeDocument/2006/relationships/hyperlink" Target="#'08 CROSSWALK'!A905" TargetMode="External" Id="rId909"/><Relationship Type="http://schemas.openxmlformats.org/officeDocument/2006/relationships/hyperlink" Target="#'08 CROSSWALK'!A906" TargetMode="External" Id="rId910"/><Relationship Type="http://schemas.openxmlformats.org/officeDocument/2006/relationships/hyperlink" Target="#'08 CROSSWALK'!A907" TargetMode="External" Id="rId911"/><Relationship Type="http://schemas.openxmlformats.org/officeDocument/2006/relationships/hyperlink" Target="#'08 CROSSWALK'!A908" TargetMode="External" Id="rId912"/><Relationship Type="http://schemas.openxmlformats.org/officeDocument/2006/relationships/hyperlink" Target="#'08 CROSSWALK'!A909" TargetMode="External" Id="rId913"/><Relationship Type="http://schemas.openxmlformats.org/officeDocument/2006/relationships/hyperlink" Target="#'08 CROSSWALK'!A910" TargetMode="External" Id="rId914"/><Relationship Type="http://schemas.openxmlformats.org/officeDocument/2006/relationships/hyperlink" Target="#'08 CROSSWALK'!A911" TargetMode="External" Id="rId915"/><Relationship Type="http://schemas.openxmlformats.org/officeDocument/2006/relationships/hyperlink" Target="#'08 CROSSWALK'!A912" TargetMode="External" Id="rId916"/><Relationship Type="http://schemas.openxmlformats.org/officeDocument/2006/relationships/hyperlink" Target="#'08 CROSSWALK'!A913" TargetMode="External" Id="rId917"/><Relationship Type="http://schemas.openxmlformats.org/officeDocument/2006/relationships/hyperlink" Target="#'08 CROSSWALK'!A914" TargetMode="External" Id="rId918"/><Relationship Type="http://schemas.openxmlformats.org/officeDocument/2006/relationships/hyperlink" Target="#'08 CROSSWALK'!A915" TargetMode="External" Id="rId919"/><Relationship Type="http://schemas.openxmlformats.org/officeDocument/2006/relationships/hyperlink" Target="#'08 CROSSWALK'!A916" TargetMode="External" Id="rId920"/><Relationship Type="http://schemas.openxmlformats.org/officeDocument/2006/relationships/hyperlink" Target="#'08 CROSSWALK'!A917" TargetMode="External" Id="rId921"/><Relationship Type="http://schemas.openxmlformats.org/officeDocument/2006/relationships/hyperlink" Target="#'08 CROSSWALK'!A918" TargetMode="External" Id="rId922"/><Relationship Type="http://schemas.openxmlformats.org/officeDocument/2006/relationships/hyperlink" Target="#'08 CROSSWALK'!A919" TargetMode="External" Id="rId923"/><Relationship Type="http://schemas.openxmlformats.org/officeDocument/2006/relationships/hyperlink" Target="#'08 CROSSWALK'!A920" TargetMode="External" Id="rId924"/><Relationship Type="http://schemas.openxmlformats.org/officeDocument/2006/relationships/hyperlink" Target="#'08 CROSSWALK'!A921" TargetMode="External" Id="rId925"/><Relationship Type="http://schemas.openxmlformats.org/officeDocument/2006/relationships/hyperlink" Target="#'08 CROSSWALK'!A922" TargetMode="External" Id="rId926"/><Relationship Type="http://schemas.openxmlformats.org/officeDocument/2006/relationships/hyperlink" Target="#'08 CROSSWALK'!A923" TargetMode="External" Id="rId927"/><Relationship Type="http://schemas.openxmlformats.org/officeDocument/2006/relationships/hyperlink" Target="#'08 CROSSWALK'!A924" TargetMode="External" Id="rId928"/><Relationship Type="http://schemas.openxmlformats.org/officeDocument/2006/relationships/hyperlink" Target="#'08 CROSSWALK'!A925" TargetMode="External" Id="rId929"/><Relationship Type="http://schemas.openxmlformats.org/officeDocument/2006/relationships/hyperlink" Target="#'08 CROSSWALK'!A926" TargetMode="External" Id="rId930"/><Relationship Type="http://schemas.openxmlformats.org/officeDocument/2006/relationships/hyperlink" Target="#'08 CROSSWALK'!A927" TargetMode="External" Id="rId931"/><Relationship Type="http://schemas.openxmlformats.org/officeDocument/2006/relationships/hyperlink" Target="#'08 CROSSWALK'!A928" TargetMode="External" Id="rId932"/><Relationship Type="http://schemas.openxmlformats.org/officeDocument/2006/relationships/hyperlink" Target="#'08 CROSSWALK'!A929" TargetMode="External" Id="rId933"/><Relationship Type="http://schemas.openxmlformats.org/officeDocument/2006/relationships/hyperlink" Target="#'08 CROSSWALK'!A930" TargetMode="External" Id="rId934"/><Relationship Type="http://schemas.openxmlformats.org/officeDocument/2006/relationships/hyperlink" Target="#'08 CROSSWALK'!A931" TargetMode="External" Id="rId935"/><Relationship Type="http://schemas.openxmlformats.org/officeDocument/2006/relationships/hyperlink" Target="#'08 CROSSWALK'!A932" TargetMode="External" Id="rId936"/><Relationship Type="http://schemas.openxmlformats.org/officeDocument/2006/relationships/hyperlink" Target="#'08 CROSSWALK'!A933" TargetMode="External" Id="rId937"/><Relationship Type="http://schemas.openxmlformats.org/officeDocument/2006/relationships/hyperlink" Target="#'08 CROSSWALK'!A934" TargetMode="External" Id="rId938"/><Relationship Type="http://schemas.openxmlformats.org/officeDocument/2006/relationships/hyperlink" Target="#'08 CROSSWALK'!A935" TargetMode="External" Id="rId939"/><Relationship Type="http://schemas.openxmlformats.org/officeDocument/2006/relationships/hyperlink" Target="#'08 CROSSWALK'!A936" TargetMode="External" Id="rId940"/><Relationship Type="http://schemas.openxmlformats.org/officeDocument/2006/relationships/hyperlink" Target="#'08 CROSSWALK'!A937" TargetMode="External" Id="rId941"/><Relationship Type="http://schemas.openxmlformats.org/officeDocument/2006/relationships/hyperlink" Target="#'08 CROSSWALK'!A938" TargetMode="External" Id="rId942"/><Relationship Type="http://schemas.openxmlformats.org/officeDocument/2006/relationships/hyperlink" Target="#'08 CROSSWALK'!A939" TargetMode="External" Id="rId943"/><Relationship Type="http://schemas.openxmlformats.org/officeDocument/2006/relationships/hyperlink" Target="#'08 CROSSWALK'!A940" TargetMode="External" Id="rId944"/><Relationship Type="http://schemas.openxmlformats.org/officeDocument/2006/relationships/hyperlink" Target="#'08 CROSSWALK'!A941" TargetMode="External" Id="rId945"/><Relationship Type="http://schemas.openxmlformats.org/officeDocument/2006/relationships/hyperlink" Target="#'08 CROSSWALK'!A942" TargetMode="External" Id="rId946"/><Relationship Type="http://schemas.openxmlformats.org/officeDocument/2006/relationships/hyperlink" Target="#'08 CROSSWALK'!A943" TargetMode="External" Id="rId947"/><Relationship Type="http://schemas.openxmlformats.org/officeDocument/2006/relationships/hyperlink" Target="#'08 CROSSWALK'!A944" TargetMode="External" Id="rId948"/><Relationship Type="http://schemas.openxmlformats.org/officeDocument/2006/relationships/hyperlink" Target="#'08 CROSSWALK'!A945" TargetMode="External" Id="rId949"/><Relationship Type="http://schemas.openxmlformats.org/officeDocument/2006/relationships/hyperlink" Target="#'08 CROSSWALK'!A946" TargetMode="External" Id="rId950"/><Relationship Type="http://schemas.openxmlformats.org/officeDocument/2006/relationships/hyperlink" Target="#'08 CROSSWALK'!A947" TargetMode="External" Id="rId951"/><Relationship Type="http://schemas.openxmlformats.org/officeDocument/2006/relationships/hyperlink" Target="#'08 CROSSWALK'!A948" TargetMode="External" Id="rId952"/><Relationship Type="http://schemas.openxmlformats.org/officeDocument/2006/relationships/hyperlink" Target="#'08 CROSSWALK'!A949" TargetMode="External" Id="rId953"/><Relationship Type="http://schemas.openxmlformats.org/officeDocument/2006/relationships/hyperlink" Target="#'08 CROSSWALK'!A950" TargetMode="External" Id="rId954"/><Relationship Type="http://schemas.openxmlformats.org/officeDocument/2006/relationships/hyperlink" Target="#'08 CROSSWALK'!A951" TargetMode="External" Id="rId955"/><Relationship Type="http://schemas.openxmlformats.org/officeDocument/2006/relationships/hyperlink" Target="#'08 CROSSWALK'!A952" TargetMode="External" Id="rId956"/><Relationship Type="http://schemas.openxmlformats.org/officeDocument/2006/relationships/hyperlink" Target="#'08 CROSSWALK'!A953" TargetMode="External" Id="rId957"/><Relationship Type="http://schemas.openxmlformats.org/officeDocument/2006/relationships/hyperlink" Target="#'08 CROSSWALK'!A954" TargetMode="External" Id="rId958"/><Relationship Type="http://schemas.openxmlformats.org/officeDocument/2006/relationships/hyperlink" Target="#'08 CROSSWALK'!A955" TargetMode="External" Id="rId959"/><Relationship Type="http://schemas.openxmlformats.org/officeDocument/2006/relationships/hyperlink" Target="#'08 CROSSWALK'!A956" TargetMode="External" Id="rId960"/><Relationship Type="http://schemas.openxmlformats.org/officeDocument/2006/relationships/hyperlink" Target="#'08 CROSSWALK'!A957" TargetMode="External" Id="rId961"/><Relationship Type="http://schemas.openxmlformats.org/officeDocument/2006/relationships/hyperlink" Target="#'08 CROSSWALK'!A958" TargetMode="External" Id="rId962"/><Relationship Type="http://schemas.openxmlformats.org/officeDocument/2006/relationships/hyperlink" Target="#'08 CROSSWALK'!A959" TargetMode="External" Id="rId963"/><Relationship Type="http://schemas.openxmlformats.org/officeDocument/2006/relationships/hyperlink" Target="#'08 CROSSWALK'!A960" TargetMode="External" Id="rId964"/><Relationship Type="http://schemas.openxmlformats.org/officeDocument/2006/relationships/hyperlink" Target="#'08 CROSSWALK'!A961" TargetMode="External" Id="rId965"/><Relationship Type="http://schemas.openxmlformats.org/officeDocument/2006/relationships/hyperlink" Target="#'08 CROSSWALK'!A962" TargetMode="External" Id="rId966"/><Relationship Type="http://schemas.openxmlformats.org/officeDocument/2006/relationships/hyperlink" Target="#'08 CROSSWALK'!A963" TargetMode="External" Id="rId967"/><Relationship Type="http://schemas.openxmlformats.org/officeDocument/2006/relationships/hyperlink" Target="#'08 CROSSWALK'!A964" TargetMode="External" Id="rId968"/><Relationship Type="http://schemas.openxmlformats.org/officeDocument/2006/relationships/hyperlink" Target="#'08 CROSSWALK'!A965" TargetMode="External" Id="rId969"/><Relationship Type="http://schemas.openxmlformats.org/officeDocument/2006/relationships/hyperlink" Target="#'08 CROSSWALK'!A966" TargetMode="External" Id="rId970"/><Relationship Type="http://schemas.openxmlformats.org/officeDocument/2006/relationships/hyperlink" Target="#'08 CROSSWALK'!A967" TargetMode="External" Id="rId971"/><Relationship Type="http://schemas.openxmlformats.org/officeDocument/2006/relationships/hyperlink" Target="#'08 CROSSWALK'!A968" TargetMode="External" Id="rId972"/><Relationship Type="http://schemas.openxmlformats.org/officeDocument/2006/relationships/hyperlink" Target="#'08 CROSSWALK'!A969" TargetMode="External" Id="rId973"/><Relationship Type="http://schemas.openxmlformats.org/officeDocument/2006/relationships/hyperlink" Target="#'08 CROSSWALK'!A970" TargetMode="External" Id="rId974"/><Relationship Type="http://schemas.openxmlformats.org/officeDocument/2006/relationships/hyperlink" Target="#'08 CROSSWALK'!A971" TargetMode="External" Id="rId975"/><Relationship Type="http://schemas.openxmlformats.org/officeDocument/2006/relationships/hyperlink" Target="#'08 CROSSWALK'!A972" TargetMode="External" Id="rId976"/><Relationship Type="http://schemas.openxmlformats.org/officeDocument/2006/relationships/hyperlink" Target="#'08 CROSSWALK'!A973" TargetMode="External" Id="rId977"/><Relationship Type="http://schemas.openxmlformats.org/officeDocument/2006/relationships/hyperlink" Target="#'08 CROSSWALK'!A974" TargetMode="External" Id="rId978"/><Relationship Type="http://schemas.openxmlformats.org/officeDocument/2006/relationships/hyperlink" Target="#'08 CROSSWALK'!A975" TargetMode="External" Id="rId979"/><Relationship Type="http://schemas.openxmlformats.org/officeDocument/2006/relationships/hyperlink" Target="#'08 CROSSWALK'!A976" TargetMode="External" Id="rId980"/><Relationship Type="http://schemas.openxmlformats.org/officeDocument/2006/relationships/hyperlink" Target="#'08 CROSSWALK'!A977" TargetMode="External" Id="rId981"/><Relationship Type="http://schemas.openxmlformats.org/officeDocument/2006/relationships/hyperlink" Target="#'08 CROSSWALK'!A978" TargetMode="External" Id="rId982"/><Relationship Type="http://schemas.openxmlformats.org/officeDocument/2006/relationships/hyperlink" Target="#'08 CROSSWALK'!A979" TargetMode="External" Id="rId983"/><Relationship Type="http://schemas.openxmlformats.org/officeDocument/2006/relationships/hyperlink" Target="#'08 CROSSWALK'!A980" TargetMode="External" Id="rId984"/><Relationship Type="http://schemas.openxmlformats.org/officeDocument/2006/relationships/hyperlink" Target="#'08 CROSSWALK'!A981" TargetMode="External" Id="rId985"/><Relationship Type="http://schemas.openxmlformats.org/officeDocument/2006/relationships/hyperlink" Target="#'08 CROSSWALK'!A982" TargetMode="External" Id="rId986"/><Relationship Type="http://schemas.openxmlformats.org/officeDocument/2006/relationships/hyperlink" Target="#'08 CROSSWALK'!A983" TargetMode="External" Id="rId987"/><Relationship Type="http://schemas.openxmlformats.org/officeDocument/2006/relationships/hyperlink" Target="#'08 CROSSWALK'!A984" TargetMode="External" Id="rId988"/><Relationship Type="http://schemas.openxmlformats.org/officeDocument/2006/relationships/hyperlink" Target="#'08 CROSSWALK'!A985" TargetMode="External" Id="rId989"/><Relationship Type="http://schemas.openxmlformats.org/officeDocument/2006/relationships/hyperlink" Target="#'08 CROSSWALK'!A986" TargetMode="External" Id="rId990"/><Relationship Type="http://schemas.openxmlformats.org/officeDocument/2006/relationships/hyperlink" Target="#'08 CROSSWALK'!A987" TargetMode="External" Id="rId991"/><Relationship Type="http://schemas.openxmlformats.org/officeDocument/2006/relationships/hyperlink" Target="#'08 CROSSWALK'!A988" TargetMode="External" Id="rId992"/><Relationship Type="http://schemas.openxmlformats.org/officeDocument/2006/relationships/hyperlink" Target="#'08 CROSSWALK'!A989" TargetMode="External" Id="rId993"/><Relationship Type="http://schemas.openxmlformats.org/officeDocument/2006/relationships/hyperlink" Target="#'08 CROSSWALK'!A990" TargetMode="External" Id="rId994"/><Relationship Type="http://schemas.openxmlformats.org/officeDocument/2006/relationships/hyperlink" Target="#'08 CROSSWALK'!A991" TargetMode="External" Id="rId995"/><Relationship Type="http://schemas.openxmlformats.org/officeDocument/2006/relationships/hyperlink" Target="#'08 CROSSWALK'!A992" TargetMode="External" Id="rId996"/><Relationship Type="http://schemas.openxmlformats.org/officeDocument/2006/relationships/hyperlink" Target="#'08 CROSSWALK'!A993" TargetMode="External" Id="rId997"/><Relationship Type="http://schemas.openxmlformats.org/officeDocument/2006/relationships/hyperlink" Target="#'08 CROSSWALK'!A994" TargetMode="External" Id="rId998"/><Relationship Type="http://schemas.openxmlformats.org/officeDocument/2006/relationships/hyperlink" Target="#'08 CROSSWALK'!A995" TargetMode="External" Id="rId999"/><Relationship Type="http://schemas.openxmlformats.org/officeDocument/2006/relationships/hyperlink" Target="#'08 CROSSWALK'!A996" TargetMode="External" Id="rId1000"/><Relationship Type="http://schemas.openxmlformats.org/officeDocument/2006/relationships/hyperlink" Target="#'08 CROSSWALK'!A997" TargetMode="External" Id="rId1001"/><Relationship Type="http://schemas.openxmlformats.org/officeDocument/2006/relationships/hyperlink" Target="#'08 CROSSWALK'!A998" TargetMode="External" Id="rId1002"/><Relationship Type="http://schemas.openxmlformats.org/officeDocument/2006/relationships/hyperlink" Target="#'08 CROSSWALK'!A999" TargetMode="External" Id="rId1003"/><Relationship Type="http://schemas.openxmlformats.org/officeDocument/2006/relationships/hyperlink" Target="#'08 CROSSWALK'!A1000" TargetMode="External" Id="rId1004"/><Relationship Type="http://schemas.openxmlformats.org/officeDocument/2006/relationships/hyperlink" Target="#'08 CROSSWALK'!A1001" TargetMode="External" Id="rId1005"/><Relationship Type="http://schemas.openxmlformats.org/officeDocument/2006/relationships/hyperlink" Target="#'08 CROSSWALK'!A1002" TargetMode="External" Id="rId1006"/><Relationship Type="http://schemas.openxmlformats.org/officeDocument/2006/relationships/hyperlink" Target="#'08 CROSSWALK'!A1003" TargetMode="External" Id="rId1007"/><Relationship Type="http://schemas.openxmlformats.org/officeDocument/2006/relationships/hyperlink" Target="#'08 CROSSWALK'!A1004" TargetMode="External" Id="rId1008"/><Relationship Type="http://schemas.openxmlformats.org/officeDocument/2006/relationships/hyperlink" Target="#'08 CROSSWALK'!A1005" TargetMode="External" Id="rId1009"/><Relationship Type="http://schemas.openxmlformats.org/officeDocument/2006/relationships/hyperlink" Target="#'08 CROSSWALK'!A1006" TargetMode="External" Id="rId1010"/><Relationship Type="http://schemas.openxmlformats.org/officeDocument/2006/relationships/hyperlink" Target="#'08 CROSSWALK'!A1007" TargetMode="External" Id="rId1011"/><Relationship Type="http://schemas.openxmlformats.org/officeDocument/2006/relationships/hyperlink" Target="#'08 CROSSWALK'!A1008" TargetMode="External" Id="rId1012"/><Relationship Type="http://schemas.openxmlformats.org/officeDocument/2006/relationships/hyperlink" Target="#'08 CROSSWALK'!A1009" TargetMode="External" Id="rId1013"/><Relationship Type="http://schemas.openxmlformats.org/officeDocument/2006/relationships/hyperlink" Target="#'08 CROSSWALK'!A1010" TargetMode="External" Id="rId1014"/><Relationship Type="http://schemas.openxmlformats.org/officeDocument/2006/relationships/hyperlink" Target="#'08 CROSSWALK'!A1011" TargetMode="External" Id="rId1015"/><Relationship Type="http://schemas.openxmlformats.org/officeDocument/2006/relationships/hyperlink" Target="#'08 CROSSWALK'!A1012" TargetMode="External" Id="rId1016"/><Relationship Type="http://schemas.openxmlformats.org/officeDocument/2006/relationships/hyperlink" Target="#'08 CROSSWALK'!A1013" TargetMode="External" Id="rId1017"/><Relationship Type="http://schemas.openxmlformats.org/officeDocument/2006/relationships/hyperlink" Target="#'08 CROSSWALK'!A1014" TargetMode="External" Id="rId1018"/><Relationship Type="http://schemas.openxmlformats.org/officeDocument/2006/relationships/hyperlink" Target="#'08 CROSSWALK'!A1015" TargetMode="External" Id="rId1019"/><Relationship Type="http://schemas.openxmlformats.org/officeDocument/2006/relationships/hyperlink" Target="#'08 CROSSWALK'!A1016" TargetMode="External" Id="rId1020"/><Relationship Type="http://schemas.openxmlformats.org/officeDocument/2006/relationships/hyperlink" Target="#'08 CROSSWALK'!A1017" TargetMode="External" Id="rId1021"/><Relationship Type="http://schemas.openxmlformats.org/officeDocument/2006/relationships/hyperlink" Target="#'08 CROSSWALK'!A1018" TargetMode="External" Id="rId1022"/><Relationship Type="http://schemas.openxmlformats.org/officeDocument/2006/relationships/hyperlink" Target="#'08 CROSSWALK'!A1019" TargetMode="External" Id="rId1023"/><Relationship Type="http://schemas.openxmlformats.org/officeDocument/2006/relationships/hyperlink" Target="#'08 CROSSWALK'!A1020" TargetMode="External" Id="rId1024"/><Relationship Type="http://schemas.openxmlformats.org/officeDocument/2006/relationships/hyperlink" Target="#'08 CROSSWALK'!A1021" TargetMode="External" Id="rId1025"/><Relationship Type="http://schemas.openxmlformats.org/officeDocument/2006/relationships/hyperlink" Target="#'08 CROSSWALK'!A1022" TargetMode="External" Id="rId1026"/><Relationship Type="http://schemas.openxmlformats.org/officeDocument/2006/relationships/hyperlink" Target="#'08 CROSSWALK'!A1023" TargetMode="External" Id="rId1027"/><Relationship Type="http://schemas.openxmlformats.org/officeDocument/2006/relationships/hyperlink" Target="#'08 CROSSWALK'!A1024" TargetMode="External" Id="rId1028"/><Relationship Type="http://schemas.openxmlformats.org/officeDocument/2006/relationships/hyperlink" Target="#'08 CROSSWALK'!A1025" TargetMode="External" Id="rId1029"/><Relationship Type="http://schemas.openxmlformats.org/officeDocument/2006/relationships/hyperlink" Target="#'08 CROSSWALK'!A1026" TargetMode="External" Id="rId1030"/><Relationship Type="http://schemas.openxmlformats.org/officeDocument/2006/relationships/hyperlink" Target="#'08 CROSSWALK'!A1027" TargetMode="External" Id="rId1031"/><Relationship Type="http://schemas.openxmlformats.org/officeDocument/2006/relationships/hyperlink" Target="#'08 CROSSWALK'!A1028" TargetMode="External" Id="rId1032"/><Relationship Type="http://schemas.openxmlformats.org/officeDocument/2006/relationships/hyperlink" Target="#'08 CROSSWALK'!A1029" TargetMode="External" Id="rId1033"/><Relationship Type="http://schemas.openxmlformats.org/officeDocument/2006/relationships/hyperlink" Target="#'08 CROSSWALK'!A1030" TargetMode="External" Id="rId1034"/><Relationship Type="http://schemas.openxmlformats.org/officeDocument/2006/relationships/hyperlink" Target="#'08 CROSSWALK'!A1031" TargetMode="External" Id="rId1035"/><Relationship Type="http://schemas.openxmlformats.org/officeDocument/2006/relationships/hyperlink" Target="#'08 CROSSWALK'!A1032" TargetMode="External" Id="rId1036"/><Relationship Type="http://schemas.openxmlformats.org/officeDocument/2006/relationships/hyperlink" Target="#'08 CROSSWALK'!A1033" TargetMode="External" Id="rId1037"/><Relationship Type="http://schemas.openxmlformats.org/officeDocument/2006/relationships/hyperlink" Target="#'08 CROSSWALK'!A1034" TargetMode="External" Id="rId1038"/><Relationship Type="http://schemas.openxmlformats.org/officeDocument/2006/relationships/hyperlink" Target="#'08 CROSSWALK'!A1035" TargetMode="External" Id="rId1039"/><Relationship Type="http://schemas.openxmlformats.org/officeDocument/2006/relationships/hyperlink" Target="#'08 CROSSWALK'!A1036" TargetMode="External" Id="rId1040"/><Relationship Type="http://schemas.openxmlformats.org/officeDocument/2006/relationships/hyperlink" Target="#'08 CROSSWALK'!A1037" TargetMode="External" Id="rId1041"/><Relationship Type="http://schemas.openxmlformats.org/officeDocument/2006/relationships/hyperlink" Target="#'08 CROSSWALK'!A1038" TargetMode="External" Id="rId1042"/><Relationship Type="http://schemas.openxmlformats.org/officeDocument/2006/relationships/hyperlink" Target="#'08 CROSSWALK'!A1039" TargetMode="External" Id="rId1043"/><Relationship Type="http://schemas.openxmlformats.org/officeDocument/2006/relationships/hyperlink" Target="#'08 CROSSWALK'!A1040" TargetMode="External" Id="rId1044"/><Relationship Type="http://schemas.openxmlformats.org/officeDocument/2006/relationships/hyperlink" Target="#'08 CROSSWALK'!A1041" TargetMode="External" Id="rId1045"/><Relationship Type="http://schemas.openxmlformats.org/officeDocument/2006/relationships/hyperlink" Target="#'08 CROSSWALK'!A1042" TargetMode="External" Id="rId1046"/><Relationship Type="http://schemas.openxmlformats.org/officeDocument/2006/relationships/hyperlink" Target="#'08 CROSSWALK'!A1043" TargetMode="External" Id="rId1047"/><Relationship Type="http://schemas.openxmlformats.org/officeDocument/2006/relationships/hyperlink" Target="#'08 CROSSWALK'!A1044" TargetMode="External" Id="rId1048"/><Relationship Type="http://schemas.openxmlformats.org/officeDocument/2006/relationships/hyperlink" Target="#'08 CROSSWALK'!A1045" TargetMode="External" Id="rId1049"/><Relationship Type="http://schemas.openxmlformats.org/officeDocument/2006/relationships/hyperlink" Target="#'08 CROSSWALK'!A1046" TargetMode="External" Id="rId1050"/><Relationship Type="http://schemas.openxmlformats.org/officeDocument/2006/relationships/hyperlink" Target="#'08 CROSSWALK'!A1047" TargetMode="External" Id="rId1051"/><Relationship Type="http://schemas.openxmlformats.org/officeDocument/2006/relationships/hyperlink" Target="#'08 CROSSWALK'!A1048" TargetMode="External" Id="rId1052"/><Relationship Type="http://schemas.openxmlformats.org/officeDocument/2006/relationships/hyperlink" Target="#'08 CROSSWALK'!A1049" TargetMode="External" Id="rId1053"/><Relationship Type="http://schemas.openxmlformats.org/officeDocument/2006/relationships/hyperlink" Target="#'08 CROSSWALK'!A1050" TargetMode="External" Id="rId1054"/><Relationship Type="http://schemas.openxmlformats.org/officeDocument/2006/relationships/hyperlink" Target="#'08 CROSSWALK'!A1051" TargetMode="External" Id="rId1055"/><Relationship Type="http://schemas.openxmlformats.org/officeDocument/2006/relationships/hyperlink" Target="#'08 CROSSWALK'!A1052" TargetMode="External" Id="rId1056"/><Relationship Type="http://schemas.openxmlformats.org/officeDocument/2006/relationships/hyperlink" Target="#'08 CROSSWALK'!A1053" TargetMode="External" Id="rId1057"/><Relationship Type="http://schemas.openxmlformats.org/officeDocument/2006/relationships/hyperlink" Target="#'08 CROSSWALK'!A1054" TargetMode="External" Id="rId1058"/><Relationship Type="http://schemas.openxmlformats.org/officeDocument/2006/relationships/hyperlink" Target="#'08 CROSSWALK'!A1055" TargetMode="External" Id="rId1059"/><Relationship Type="http://schemas.openxmlformats.org/officeDocument/2006/relationships/hyperlink" Target="#'08 CROSSWALK'!A1056" TargetMode="External" Id="rId1060"/><Relationship Type="http://schemas.openxmlformats.org/officeDocument/2006/relationships/hyperlink" Target="#'08 CROSSWALK'!A1057" TargetMode="External" Id="rId1061"/><Relationship Type="http://schemas.openxmlformats.org/officeDocument/2006/relationships/hyperlink" Target="#'08 CROSSWALK'!A1058" TargetMode="External" Id="rId1062"/><Relationship Type="http://schemas.openxmlformats.org/officeDocument/2006/relationships/hyperlink" Target="#'08 CROSSWALK'!A1059" TargetMode="External" Id="rId1063"/><Relationship Type="http://schemas.openxmlformats.org/officeDocument/2006/relationships/hyperlink" Target="#'08 CROSSWALK'!A1060" TargetMode="External" Id="rId1064"/><Relationship Type="http://schemas.openxmlformats.org/officeDocument/2006/relationships/hyperlink" Target="#'08 CROSSWALK'!A1061" TargetMode="External" Id="rId1065"/><Relationship Type="http://schemas.openxmlformats.org/officeDocument/2006/relationships/hyperlink" Target="#'08 CROSSWALK'!A1062" TargetMode="External" Id="rId1066"/><Relationship Type="http://schemas.openxmlformats.org/officeDocument/2006/relationships/hyperlink" Target="#'08 CROSSWALK'!A1063" TargetMode="External" Id="rId1067"/><Relationship Type="http://schemas.openxmlformats.org/officeDocument/2006/relationships/hyperlink" Target="#'08 CROSSWALK'!A1064" TargetMode="External" Id="rId1068"/><Relationship Type="http://schemas.openxmlformats.org/officeDocument/2006/relationships/hyperlink" Target="#'08 CROSSWALK'!A1065" TargetMode="External" Id="rId1069"/><Relationship Type="http://schemas.openxmlformats.org/officeDocument/2006/relationships/hyperlink" Target="#'08 CROSSWALK'!A1066" TargetMode="External" Id="rId1070"/><Relationship Type="http://schemas.openxmlformats.org/officeDocument/2006/relationships/hyperlink" Target="#'08 CROSSWALK'!A1067" TargetMode="External" Id="rId1071"/><Relationship Type="http://schemas.openxmlformats.org/officeDocument/2006/relationships/hyperlink" Target="#'08 CROSSWALK'!A1068" TargetMode="External" Id="rId1072"/><Relationship Type="http://schemas.openxmlformats.org/officeDocument/2006/relationships/hyperlink" Target="#'08 CROSSWALK'!A1069" TargetMode="External" Id="rId1073"/><Relationship Type="http://schemas.openxmlformats.org/officeDocument/2006/relationships/hyperlink" Target="#'08 CROSSWALK'!A1070" TargetMode="External" Id="rId1074"/><Relationship Type="http://schemas.openxmlformats.org/officeDocument/2006/relationships/hyperlink" Target="#'08 CROSSWALK'!A1071" TargetMode="External" Id="rId1075"/><Relationship Type="http://schemas.openxmlformats.org/officeDocument/2006/relationships/hyperlink" Target="#'08 CROSSWALK'!A1072" TargetMode="External" Id="rId1076"/><Relationship Type="http://schemas.openxmlformats.org/officeDocument/2006/relationships/hyperlink" Target="#'08 CROSSWALK'!A1073" TargetMode="External" Id="rId1077"/><Relationship Type="http://schemas.openxmlformats.org/officeDocument/2006/relationships/hyperlink" Target="#'08 CROSSWALK'!A1074" TargetMode="External" Id="rId1078"/><Relationship Type="http://schemas.openxmlformats.org/officeDocument/2006/relationships/hyperlink" Target="#'08 CROSSWALK'!A1075" TargetMode="External" Id="rId1079"/><Relationship Type="http://schemas.openxmlformats.org/officeDocument/2006/relationships/hyperlink" Target="#'08 CROSSWALK'!A1076" TargetMode="External" Id="rId1080"/><Relationship Type="http://schemas.openxmlformats.org/officeDocument/2006/relationships/hyperlink" Target="#'08 CROSSWALK'!A1077" TargetMode="External" Id="rId1081"/><Relationship Type="http://schemas.openxmlformats.org/officeDocument/2006/relationships/hyperlink" Target="#'08 CROSSWALK'!A1078" TargetMode="External" Id="rId1082"/><Relationship Type="http://schemas.openxmlformats.org/officeDocument/2006/relationships/hyperlink" Target="#'08 CROSSWALK'!A1079" TargetMode="External" Id="rId1083"/><Relationship Type="http://schemas.openxmlformats.org/officeDocument/2006/relationships/hyperlink" Target="#'08 CROSSWALK'!A1080" TargetMode="External" Id="rId1084"/><Relationship Type="http://schemas.openxmlformats.org/officeDocument/2006/relationships/hyperlink" Target="#'08 CROSSWALK'!A1081" TargetMode="External" Id="rId1085"/><Relationship Type="http://schemas.openxmlformats.org/officeDocument/2006/relationships/hyperlink" Target="#'08 CROSSWALK'!A1082" TargetMode="External" Id="rId1086"/><Relationship Type="http://schemas.openxmlformats.org/officeDocument/2006/relationships/hyperlink" Target="#'08 CROSSWALK'!A1083" TargetMode="External" Id="rId1087"/><Relationship Type="http://schemas.openxmlformats.org/officeDocument/2006/relationships/hyperlink" Target="#'08 CROSSWALK'!A1084" TargetMode="External" Id="rId1088"/><Relationship Type="http://schemas.openxmlformats.org/officeDocument/2006/relationships/hyperlink" Target="#'08 CROSSWALK'!A1085" TargetMode="External" Id="rId1089"/><Relationship Type="http://schemas.openxmlformats.org/officeDocument/2006/relationships/hyperlink" Target="#'08 CROSSWALK'!A1086" TargetMode="External" Id="rId1090"/><Relationship Type="http://schemas.openxmlformats.org/officeDocument/2006/relationships/hyperlink" Target="#'08 CROSSWALK'!A1087" TargetMode="External" Id="rId1091"/><Relationship Type="http://schemas.openxmlformats.org/officeDocument/2006/relationships/hyperlink" Target="#'08 CROSSWALK'!A1088" TargetMode="External" Id="rId1092"/><Relationship Type="http://schemas.openxmlformats.org/officeDocument/2006/relationships/hyperlink" Target="#'08 CROSSWALK'!A1089" TargetMode="External" Id="rId1093"/><Relationship Type="http://schemas.openxmlformats.org/officeDocument/2006/relationships/hyperlink" Target="#'08 CROSSWALK'!A1090" TargetMode="External" Id="rId1094"/><Relationship Type="http://schemas.openxmlformats.org/officeDocument/2006/relationships/hyperlink" Target="#'08 CROSSWALK'!A1091" TargetMode="External" Id="rId1095"/><Relationship Type="http://schemas.openxmlformats.org/officeDocument/2006/relationships/hyperlink" Target="#'08 CROSSWALK'!A1092" TargetMode="External" Id="rId1096"/><Relationship Type="http://schemas.openxmlformats.org/officeDocument/2006/relationships/hyperlink" Target="#'08 CROSSWALK'!A1093" TargetMode="External" Id="rId1097"/><Relationship Type="http://schemas.openxmlformats.org/officeDocument/2006/relationships/hyperlink" Target="#'08 CROSSWALK'!A1094" TargetMode="External" Id="rId1098"/><Relationship Type="http://schemas.openxmlformats.org/officeDocument/2006/relationships/hyperlink" Target="#'08 CROSSWALK'!A1095" TargetMode="External" Id="rId1099"/><Relationship Type="http://schemas.openxmlformats.org/officeDocument/2006/relationships/hyperlink" Target="#'08 CROSSWALK'!A1096" TargetMode="External" Id="rId1100"/><Relationship Type="http://schemas.openxmlformats.org/officeDocument/2006/relationships/hyperlink" Target="#'08 CROSSWALK'!A1097" TargetMode="External" Id="rId1101"/><Relationship Type="http://schemas.openxmlformats.org/officeDocument/2006/relationships/hyperlink" Target="#'08 CROSSWALK'!A1098" TargetMode="External" Id="rId1102"/><Relationship Type="http://schemas.openxmlformats.org/officeDocument/2006/relationships/hyperlink" Target="#'08 CROSSWALK'!A1099" TargetMode="External" Id="rId1103"/><Relationship Type="http://schemas.openxmlformats.org/officeDocument/2006/relationships/hyperlink" Target="#'08 CROSSWALK'!A1100" TargetMode="External" Id="rId1104"/><Relationship Type="http://schemas.openxmlformats.org/officeDocument/2006/relationships/hyperlink" Target="#'08 CROSSWALK'!A1101" TargetMode="External" Id="rId1105"/><Relationship Type="http://schemas.openxmlformats.org/officeDocument/2006/relationships/hyperlink" Target="#'08 CROSSWALK'!A1102" TargetMode="External" Id="rId1106"/><Relationship Type="http://schemas.openxmlformats.org/officeDocument/2006/relationships/hyperlink" Target="#'08 CROSSWALK'!A1103" TargetMode="External" Id="rId1107"/><Relationship Type="http://schemas.openxmlformats.org/officeDocument/2006/relationships/hyperlink" Target="#'08 CROSSWALK'!A1104" TargetMode="External" Id="rId1108"/><Relationship Type="http://schemas.openxmlformats.org/officeDocument/2006/relationships/hyperlink" Target="#'08 CROSSWALK'!A1105" TargetMode="External" Id="rId1109"/><Relationship Type="http://schemas.openxmlformats.org/officeDocument/2006/relationships/hyperlink" Target="#'08 CROSSWALK'!A1106" TargetMode="External" Id="rId1110"/><Relationship Type="http://schemas.openxmlformats.org/officeDocument/2006/relationships/hyperlink" Target="#'08 CROSSWALK'!A1107" TargetMode="External" Id="rId1111"/><Relationship Type="http://schemas.openxmlformats.org/officeDocument/2006/relationships/hyperlink" Target="#'08 CROSSWALK'!A1108" TargetMode="External" Id="rId1112"/><Relationship Type="http://schemas.openxmlformats.org/officeDocument/2006/relationships/hyperlink" Target="#'08 CROSSWALK'!A1109" TargetMode="External" Id="rId1113"/><Relationship Type="http://schemas.openxmlformats.org/officeDocument/2006/relationships/hyperlink" Target="#'08 CROSSWALK'!A1110" TargetMode="External" Id="rId1114"/><Relationship Type="http://schemas.openxmlformats.org/officeDocument/2006/relationships/hyperlink" Target="#'08 CROSSWALK'!A1111" TargetMode="External" Id="rId1115"/><Relationship Type="http://schemas.openxmlformats.org/officeDocument/2006/relationships/hyperlink" Target="#'08 CROSSWALK'!A1112" TargetMode="External" Id="rId1116"/><Relationship Type="http://schemas.openxmlformats.org/officeDocument/2006/relationships/hyperlink" Target="#'08 CROSSWALK'!A1113" TargetMode="External" Id="rId1117"/><Relationship Type="http://schemas.openxmlformats.org/officeDocument/2006/relationships/hyperlink" Target="#'08 CROSSWALK'!A1114" TargetMode="External" Id="rId1118"/><Relationship Type="http://schemas.openxmlformats.org/officeDocument/2006/relationships/hyperlink" Target="#'08 CROSSWALK'!A1115" TargetMode="External" Id="rId1119"/><Relationship Type="http://schemas.openxmlformats.org/officeDocument/2006/relationships/hyperlink" Target="#'08 CROSSWALK'!A1116" TargetMode="External" Id="rId1120"/><Relationship Type="http://schemas.openxmlformats.org/officeDocument/2006/relationships/hyperlink" Target="#'08 CROSSWALK'!A1117" TargetMode="External" Id="rId1121"/><Relationship Type="http://schemas.openxmlformats.org/officeDocument/2006/relationships/hyperlink" Target="#'08 CROSSWALK'!A1118" TargetMode="External" Id="rId1122"/><Relationship Type="http://schemas.openxmlformats.org/officeDocument/2006/relationships/hyperlink" Target="#'08 CROSSWALK'!A1119" TargetMode="External" Id="rId1123"/><Relationship Type="http://schemas.openxmlformats.org/officeDocument/2006/relationships/hyperlink" Target="#'08 CROSSWALK'!A1120" TargetMode="External" Id="rId1124"/><Relationship Type="http://schemas.openxmlformats.org/officeDocument/2006/relationships/hyperlink" Target="#'08 CROSSWALK'!A1121" TargetMode="External" Id="rId1125"/><Relationship Type="http://schemas.openxmlformats.org/officeDocument/2006/relationships/hyperlink" Target="#'08 CROSSWALK'!A1122" TargetMode="External" Id="rId1126"/><Relationship Type="http://schemas.openxmlformats.org/officeDocument/2006/relationships/hyperlink" Target="#'08 CROSSWALK'!A1123" TargetMode="External" Id="rId1127"/><Relationship Type="http://schemas.openxmlformats.org/officeDocument/2006/relationships/hyperlink" Target="#'08 CROSSWALK'!A1124" TargetMode="External" Id="rId1128"/><Relationship Type="http://schemas.openxmlformats.org/officeDocument/2006/relationships/hyperlink" Target="#'08 CROSSWALK'!A1125" TargetMode="External" Id="rId1129"/><Relationship Type="http://schemas.openxmlformats.org/officeDocument/2006/relationships/hyperlink" Target="#'08 CROSSWALK'!A1126" TargetMode="External" Id="rId1130"/><Relationship Type="http://schemas.openxmlformats.org/officeDocument/2006/relationships/hyperlink" Target="#'08 CROSSWALK'!A1127" TargetMode="External" Id="rId1131"/><Relationship Type="http://schemas.openxmlformats.org/officeDocument/2006/relationships/hyperlink" Target="#'08 CROSSWALK'!A1128" TargetMode="External" Id="rId1132"/><Relationship Type="http://schemas.openxmlformats.org/officeDocument/2006/relationships/hyperlink" Target="#'08 CROSSWALK'!A1129" TargetMode="External" Id="rId1133"/><Relationship Type="http://schemas.openxmlformats.org/officeDocument/2006/relationships/hyperlink" Target="#'08 CROSSWALK'!A1130" TargetMode="External" Id="rId1134"/><Relationship Type="http://schemas.openxmlformats.org/officeDocument/2006/relationships/hyperlink" Target="#'08 CROSSWALK'!A1131" TargetMode="External" Id="rId1135"/><Relationship Type="http://schemas.openxmlformats.org/officeDocument/2006/relationships/hyperlink" Target="#'08 CROSSWALK'!A1132" TargetMode="External" Id="rId1136"/><Relationship Type="http://schemas.openxmlformats.org/officeDocument/2006/relationships/hyperlink" Target="#'08 CROSSWALK'!A1133" TargetMode="External" Id="rId1137"/><Relationship Type="http://schemas.openxmlformats.org/officeDocument/2006/relationships/hyperlink" Target="#'08 CROSSWALK'!A1134" TargetMode="External" Id="rId1138"/><Relationship Type="http://schemas.openxmlformats.org/officeDocument/2006/relationships/hyperlink" Target="#'08 CROSSWALK'!A1135" TargetMode="External" Id="rId1139"/><Relationship Type="http://schemas.openxmlformats.org/officeDocument/2006/relationships/hyperlink" Target="#'08 CROSSWALK'!A1136" TargetMode="External" Id="rId1140"/><Relationship Type="http://schemas.openxmlformats.org/officeDocument/2006/relationships/hyperlink" Target="#'08 CROSSWALK'!A1137" TargetMode="External" Id="rId1141"/><Relationship Type="http://schemas.openxmlformats.org/officeDocument/2006/relationships/hyperlink" Target="#'08 CROSSWALK'!A1138" TargetMode="External" Id="rId1142"/><Relationship Type="http://schemas.openxmlformats.org/officeDocument/2006/relationships/hyperlink" Target="#'08 CROSSWALK'!A1139" TargetMode="External" Id="rId1143"/><Relationship Type="http://schemas.openxmlformats.org/officeDocument/2006/relationships/hyperlink" Target="#'08 CROSSWALK'!A1140" TargetMode="External" Id="rId1144"/><Relationship Type="http://schemas.openxmlformats.org/officeDocument/2006/relationships/hyperlink" Target="#'08 CROSSWALK'!A1141" TargetMode="External" Id="rId1145"/><Relationship Type="http://schemas.openxmlformats.org/officeDocument/2006/relationships/hyperlink" Target="#'08 CROSSWALK'!A1142" TargetMode="External" Id="rId1146"/><Relationship Type="http://schemas.openxmlformats.org/officeDocument/2006/relationships/hyperlink" Target="#'08 CROSSWALK'!A1143" TargetMode="External" Id="rId1147"/><Relationship Type="http://schemas.openxmlformats.org/officeDocument/2006/relationships/hyperlink" Target="#'08 CROSSWALK'!A1144" TargetMode="External" Id="rId1148"/><Relationship Type="http://schemas.openxmlformats.org/officeDocument/2006/relationships/hyperlink" Target="#'08 CROSSWALK'!A1145" TargetMode="External" Id="rId1149"/><Relationship Type="http://schemas.openxmlformats.org/officeDocument/2006/relationships/hyperlink" Target="#'08 CROSSWALK'!A1146" TargetMode="External" Id="rId1150"/><Relationship Type="http://schemas.openxmlformats.org/officeDocument/2006/relationships/hyperlink" Target="#'08 CROSSWALK'!A1147" TargetMode="External" Id="rId1151"/><Relationship Type="http://schemas.openxmlformats.org/officeDocument/2006/relationships/hyperlink" Target="#'08 CROSSWALK'!A1148" TargetMode="External" Id="rId1152"/><Relationship Type="http://schemas.openxmlformats.org/officeDocument/2006/relationships/hyperlink" Target="#'08 CROSSWALK'!A1149" TargetMode="External" Id="rId1153"/><Relationship Type="http://schemas.openxmlformats.org/officeDocument/2006/relationships/hyperlink" Target="#'08 CROSSWALK'!A1150" TargetMode="External" Id="rId1154"/><Relationship Type="http://schemas.openxmlformats.org/officeDocument/2006/relationships/hyperlink" Target="#'08 CROSSWALK'!A1151" TargetMode="External" Id="rId1155"/><Relationship Type="http://schemas.openxmlformats.org/officeDocument/2006/relationships/hyperlink" Target="#'08 CROSSWALK'!A1152" TargetMode="External" Id="rId1156"/><Relationship Type="http://schemas.openxmlformats.org/officeDocument/2006/relationships/hyperlink" Target="#'08 CROSSWALK'!A1153" TargetMode="External" Id="rId1157"/><Relationship Type="http://schemas.openxmlformats.org/officeDocument/2006/relationships/hyperlink" Target="#'08 CROSSWALK'!A1154" TargetMode="External" Id="rId1158"/><Relationship Type="http://schemas.openxmlformats.org/officeDocument/2006/relationships/hyperlink" Target="#'08 CROSSWALK'!A1155" TargetMode="External" Id="rId1159"/><Relationship Type="http://schemas.openxmlformats.org/officeDocument/2006/relationships/hyperlink" Target="#'08 CROSSWALK'!A1156" TargetMode="External" Id="rId1160"/><Relationship Type="http://schemas.openxmlformats.org/officeDocument/2006/relationships/hyperlink" Target="#'08 CROSSWALK'!A1157" TargetMode="External" Id="rId1161"/><Relationship Type="http://schemas.openxmlformats.org/officeDocument/2006/relationships/hyperlink" Target="#'08 CROSSWALK'!A1158" TargetMode="External" Id="rId1162"/><Relationship Type="http://schemas.openxmlformats.org/officeDocument/2006/relationships/hyperlink" Target="#'08 CROSSWALK'!A1159" TargetMode="External" Id="rId1163"/><Relationship Type="http://schemas.openxmlformats.org/officeDocument/2006/relationships/hyperlink" Target="#'08 CROSSWALK'!A1160" TargetMode="External" Id="rId1164"/><Relationship Type="http://schemas.openxmlformats.org/officeDocument/2006/relationships/hyperlink" Target="#'08 CROSSWALK'!A1161" TargetMode="External" Id="rId1165"/><Relationship Type="http://schemas.openxmlformats.org/officeDocument/2006/relationships/hyperlink" Target="#'08 CROSSWALK'!A1162" TargetMode="External" Id="rId1166"/><Relationship Type="http://schemas.openxmlformats.org/officeDocument/2006/relationships/hyperlink" Target="#'08 CROSSWALK'!A1163" TargetMode="External" Id="rId1167"/><Relationship Type="http://schemas.openxmlformats.org/officeDocument/2006/relationships/hyperlink" Target="#'08 CROSSWALK'!A1164" TargetMode="External" Id="rId1168"/><Relationship Type="http://schemas.openxmlformats.org/officeDocument/2006/relationships/hyperlink" Target="#'08 CROSSWALK'!A1165" TargetMode="External" Id="rId1169"/><Relationship Type="http://schemas.openxmlformats.org/officeDocument/2006/relationships/hyperlink" Target="#'08 CROSSWALK'!A1166" TargetMode="External" Id="rId1170"/><Relationship Type="http://schemas.openxmlformats.org/officeDocument/2006/relationships/hyperlink" Target="#'08 CROSSWALK'!A1167" TargetMode="External" Id="rId1171"/><Relationship Type="http://schemas.openxmlformats.org/officeDocument/2006/relationships/hyperlink" Target="#'08 CROSSWALK'!A1168" TargetMode="External" Id="rId1172"/><Relationship Type="http://schemas.openxmlformats.org/officeDocument/2006/relationships/hyperlink" Target="#'08 CROSSWALK'!A1169" TargetMode="External" Id="rId1173"/><Relationship Type="http://schemas.openxmlformats.org/officeDocument/2006/relationships/hyperlink" Target="#'08 CROSSWALK'!A1170" TargetMode="External" Id="rId1174"/><Relationship Type="http://schemas.openxmlformats.org/officeDocument/2006/relationships/hyperlink" Target="#'08 CROSSWALK'!A1171" TargetMode="External" Id="rId1175"/><Relationship Type="http://schemas.openxmlformats.org/officeDocument/2006/relationships/hyperlink" Target="#'08 CROSSWALK'!A1172" TargetMode="External" Id="rId1176"/><Relationship Type="http://schemas.openxmlformats.org/officeDocument/2006/relationships/hyperlink" Target="#'08 CROSSWALK'!A1173" TargetMode="External" Id="rId1177"/><Relationship Type="http://schemas.openxmlformats.org/officeDocument/2006/relationships/hyperlink" Target="#'08 CROSSWALK'!A1174" TargetMode="External" Id="rId1178"/><Relationship Type="http://schemas.openxmlformats.org/officeDocument/2006/relationships/hyperlink" Target="#'08 CROSSWALK'!A1175" TargetMode="External" Id="rId1179"/><Relationship Type="http://schemas.openxmlformats.org/officeDocument/2006/relationships/hyperlink" Target="#'08 CROSSWALK'!A1176" TargetMode="External" Id="rId1180"/><Relationship Type="http://schemas.openxmlformats.org/officeDocument/2006/relationships/hyperlink" Target="#'08 CROSSWALK'!A1177" TargetMode="External" Id="rId1181"/><Relationship Type="http://schemas.openxmlformats.org/officeDocument/2006/relationships/hyperlink" Target="#'08 CROSSWALK'!A1178" TargetMode="External" Id="rId1182"/><Relationship Type="http://schemas.openxmlformats.org/officeDocument/2006/relationships/hyperlink" Target="#'08 CROSSWALK'!A1179" TargetMode="External" Id="rId1183"/><Relationship Type="http://schemas.openxmlformats.org/officeDocument/2006/relationships/hyperlink" Target="#'08 CROSSWALK'!A1180" TargetMode="External" Id="rId1184"/><Relationship Type="http://schemas.openxmlformats.org/officeDocument/2006/relationships/hyperlink" Target="#'08 CROSSWALK'!A1181" TargetMode="External" Id="rId1185"/><Relationship Type="http://schemas.openxmlformats.org/officeDocument/2006/relationships/hyperlink" Target="#'08 CROSSWALK'!A1182" TargetMode="External" Id="rId1186"/><Relationship Type="http://schemas.openxmlformats.org/officeDocument/2006/relationships/hyperlink" Target="#'08 CROSSWALK'!A1183" TargetMode="External" Id="rId1187"/><Relationship Type="http://schemas.openxmlformats.org/officeDocument/2006/relationships/hyperlink" Target="#'08 CROSSWALK'!A1184" TargetMode="External" Id="rId1188"/><Relationship Type="http://schemas.openxmlformats.org/officeDocument/2006/relationships/hyperlink" Target="#'08 CROSSWALK'!A1185" TargetMode="External" Id="rId1189"/><Relationship Type="http://schemas.openxmlformats.org/officeDocument/2006/relationships/hyperlink" Target="#'08 CROSSWALK'!A1186" TargetMode="External" Id="rId1190"/><Relationship Type="http://schemas.openxmlformats.org/officeDocument/2006/relationships/hyperlink" Target="#'08 CROSSWALK'!A1187" TargetMode="External" Id="rId1191"/><Relationship Type="http://schemas.openxmlformats.org/officeDocument/2006/relationships/hyperlink" Target="#'08 CROSSWALK'!A1188" TargetMode="External" Id="rId1192"/><Relationship Type="http://schemas.openxmlformats.org/officeDocument/2006/relationships/hyperlink" Target="#'08 CROSSWALK'!A1189" TargetMode="External" Id="rId1193"/><Relationship Type="http://schemas.openxmlformats.org/officeDocument/2006/relationships/hyperlink" Target="#'08 CROSSWALK'!A1190" TargetMode="External" Id="rId1194"/><Relationship Type="http://schemas.openxmlformats.org/officeDocument/2006/relationships/hyperlink" Target="#'08 CROSSWALK'!A1191" TargetMode="External" Id="rId1195"/><Relationship Type="http://schemas.openxmlformats.org/officeDocument/2006/relationships/hyperlink" Target="#'08 CROSSWALK'!A1192" TargetMode="External" Id="rId1196"/><Relationship Type="http://schemas.openxmlformats.org/officeDocument/2006/relationships/hyperlink" Target="#'08 CROSSWALK'!A1193" TargetMode="External" Id="rId1197"/><Relationship Type="http://schemas.openxmlformats.org/officeDocument/2006/relationships/hyperlink" Target="#'08 CROSSWALK'!A1194" TargetMode="External" Id="rId1198"/><Relationship Type="http://schemas.openxmlformats.org/officeDocument/2006/relationships/hyperlink" Target="#'08 CROSSWALK'!A1195" TargetMode="External" Id="rId1199"/><Relationship Type="http://schemas.openxmlformats.org/officeDocument/2006/relationships/hyperlink" Target="#'08 CROSSWALK'!A1196" TargetMode="External" Id="rId1200"/><Relationship Type="http://schemas.openxmlformats.org/officeDocument/2006/relationships/hyperlink" Target="#'08 CROSSWALK'!A1197" TargetMode="External" Id="rId1201"/><Relationship Type="http://schemas.openxmlformats.org/officeDocument/2006/relationships/hyperlink" Target="#'08 CROSSWALK'!A1198" TargetMode="External" Id="rId1202"/><Relationship Type="http://schemas.openxmlformats.org/officeDocument/2006/relationships/hyperlink" Target="#'08 CROSSWALK'!A1199" TargetMode="External" Id="rId1203"/><Relationship Type="http://schemas.openxmlformats.org/officeDocument/2006/relationships/hyperlink" Target="#'08 CROSSWALK'!A1200" TargetMode="External" Id="rId1204"/><Relationship Type="http://schemas.openxmlformats.org/officeDocument/2006/relationships/hyperlink" Target="#'08 CROSSWALK'!A1201" TargetMode="External" Id="rId1205"/><Relationship Type="http://schemas.openxmlformats.org/officeDocument/2006/relationships/hyperlink" Target="#'08 CROSSWALK'!A1202" TargetMode="External" Id="rId1206"/><Relationship Type="http://schemas.openxmlformats.org/officeDocument/2006/relationships/hyperlink" Target="#'08 CROSSWALK'!A1203" TargetMode="External" Id="rId1207"/><Relationship Type="http://schemas.openxmlformats.org/officeDocument/2006/relationships/hyperlink" Target="#'08 CROSSWALK'!A1204" TargetMode="External" Id="rId1208"/><Relationship Type="http://schemas.openxmlformats.org/officeDocument/2006/relationships/hyperlink" Target="#'08 CROSSWALK'!A1205" TargetMode="External" Id="rId1209"/><Relationship Type="http://schemas.openxmlformats.org/officeDocument/2006/relationships/hyperlink" Target="#'08 CROSSWALK'!A1206" TargetMode="External" Id="rId1210"/><Relationship Type="http://schemas.openxmlformats.org/officeDocument/2006/relationships/hyperlink" Target="#'08 CROSSWALK'!A1207" TargetMode="External" Id="rId1211"/><Relationship Type="http://schemas.openxmlformats.org/officeDocument/2006/relationships/hyperlink" Target="#'08 CROSSWALK'!A1208" TargetMode="External" Id="rId1212"/><Relationship Type="http://schemas.openxmlformats.org/officeDocument/2006/relationships/hyperlink" Target="#'08 CROSSWALK'!A1209" TargetMode="External" Id="rId1213"/><Relationship Type="http://schemas.openxmlformats.org/officeDocument/2006/relationships/hyperlink" Target="#'08 CROSSWALK'!A1210" TargetMode="External" Id="rId1214"/><Relationship Type="http://schemas.openxmlformats.org/officeDocument/2006/relationships/hyperlink" Target="#'08 CROSSWALK'!A1211" TargetMode="External" Id="rId1215"/><Relationship Type="http://schemas.openxmlformats.org/officeDocument/2006/relationships/hyperlink" Target="#'08 CROSSWALK'!A1212" TargetMode="External" Id="rId1216"/><Relationship Type="http://schemas.openxmlformats.org/officeDocument/2006/relationships/hyperlink" Target="#'08 CROSSWALK'!A1213" TargetMode="External" Id="rId1217"/><Relationship Type="http://schemas.openxmlformats.org/officeDocument/2006/relationships/hyperlink" Target="#'08 CROSSWALK'!A1214" TargetMode="External" Id="rId1218"/><Relationship Type="http://schemas.openxmlformats.org/officeDocument/2006/relationships/hyperlink" Target="#'08 CROSSWALK'!A1215" TargetMode="External" Id="rId1219"/><Relationship Type="http://schemas.openxmlformats.org/officeDocument/2006/relationships/hyperlink" Target="#'08 CROSSWALK'!A1216" TargetMode="External" Id="rId1220"/><Relationship Type="http://schemas.openxmlformats.org/officeDocument/2006/relationships/hyperlink" Target="#'08 CROSSWALK'!A1217" TargetMode="External" Id="rId1221"/><Relationship Type="http://schemas.openxmlformats.org/officeDocument/2006/relationships/hyperlink" Target="#'08 CROSSWALK'!A1218" TargetMode="External" Id="rId1222"/><Relationship Type="http://schemas.openxmlformats.org/officeDocument/2006/relationships/hyperlink" Target="#'08 CROSSWALK'!A1219" TargetMode="External" Id="rId1223"/><Relationship Type="http://schemas.openxmlformats.org/officeDocument/2006/relationships/hyperlink" Target="#'08 CROSSWALK'!A1220" TargetMode="External" Id="rId1224"/><Relationship Type="http://schemas.openxmlformats.org/officeDocument/2006/relationships/hyperlink" Target="#'08 CROSSWALK'!A1221" TargetMode="External" Id="rId1225"/><Relationship Type="http://schemas.openxmlformats.org/officeDocument/2006/relationships/hyperlink" Target="#'08 CROSSWALK'!A1222" TargetMode="External" Id="rId1226"/><Relationship Type="http://schemas.openxmlformats.org/officeDocument/2006/relationships/hyperlink" Target="#'08 CROSSWALK'!A1223" TargetMode="External" Id="rId1227"/><Relationship Type="http://schemas.openxmlformats.org/officeDocument/2006/relationships/hyperlink" Target="#'08 CROSSWALK'!A1224" TargetMode="External" Id="rId1228"/><Relationship Type="http://schemas.openxmlformats.org/officeDocument/2006/relationships/hyperlink" Target="#'08 CROSSWALK'!A1225" TargetMode="External" Id="rId1229"/><Relationship Type="http://schemas.openxmlformats.org/officeDocument/2006/relationships/hyperlink" Target="#'08 CROSSWALK'!A1226" TargetMode="External" Id="rId1230"/><Relationship Type="http://schemas.openxmlformats.org/officeDocument/2006/relationships/hyperlink" Target="#'08 CROSSWALK'!A1227" TargetMode="External" Id="rId1231"/><Relationship Type="http://schemas.openxmlformats.org/officeDocument/2006/relationships/hyperlink" Target="#'08 CROSSWALK'!A1228" TargetMode="External" Id="rId1232"/><Relationship Type="http://schemas.openxmlformats.org/officeDocument/2006/relationships/hyperlink" Target="#'08 CROSSWALK'!A1229" TargetMode="External" Id="rId1233"/><Relationship Type="http://schemas.openxmlformats.org/officeDocument/2006/relationships/hyperlink" Target="#'08 CROSSWALK'!A1230" TargetMode="External" Id="rId1234"/><Relationship Type="http://schemas.openxmlformats.org/officeDocument/2006/relationships/hyperlink" Target="#'08 CROSSWALK'!A1231" TargetMode="External" Id="rId1235"/><Relationship Type="http://schemas.openxmlformats.org/officeDocument/2006/relationships/hyperlink" Target="#'08 CROSSWALK'!A1232" TargetMode="External" Id="rId1236"/><Relationship Type="http://schemas.openxmlformats.org/officeDocument/2006/relationships/hyperlink" Target="#'08 CROSSWALK'!A1233" TargetMode="External" Id="rId1237"/><Relationship Type="http://schemas.openxmlformats.org/officeDocument/2006/relationships/hyperlink" Target="#'08 CROSSWALK'!A1234" TargetMode="External" Id="rId1238"/><Relationship Type="http://schemas.openxmlformats.org/officeDocument/2006/relationships/hyperlink" Target="#'08 CROSSWALK'!A1235" TargetMode="External" Id="rId1239"/><Relationship Type="http://schemas.openxmlformats.org/officeDocument/2006/relationships/hyperlink" Target="#'08 CROSSWALK'!A1236" TargetMode="External" Id="rId1240"/><Relationship Type="http://schemas.openxmlformats.org/officeDocument/2006/relationships/hyperlink" Target="#'08 CROSSWALK'!A1237" TargetMode="External" Id="rId1241"/><Relationship Type="http://schemas.openxmlformats.org/officeDocument/2006/relationships/hyperlink" Target="#'08 CROSSWALK'!A1238" TargetMode="External" Id="rId1242"/><Relationship Type="http://schemas.openxmlformats.org/officeDocument/2006/relationships/hyperlink" Target="#'08 CROSSWALK'!A1239" TargetMode="External" Id="rId1243"/><Relationship Type="http://schemas.openxmlformats.org/officeDocument/2006/relationships/hyperlink" Target="#'08 CROSSWALK'!A1240" TargetMode="External" Id="rId1244"/><Relationship Type="http://schemas.openxmlformats.org/officeDocument/2006/relationships/hyperlink" Target="#'08 CROSSWALK'!A1241" TargetMode="External" Id="rId1245"/><Relationship Type="http://schemas.openxmlformats.org/officeDocument/2006/relationships/hyperlink" Target="#'08 CROSSWALK'!A1242" TargetMode="External" Id="rId1246"/><Relationship Type="http://schemas.openxmlformats.org/officeDocument/2006/relationships/hyperlink" Target="#'08 CROSSWALK'!A1243" TargetMode="External" Id="rId1247"/><Relationship Type="http://schemas.openxmlformats.org/officeDocument/2006/relationships/hyperlink" Target="#'08 CROSSWALK'!A1244" TargetMode="External" Id="rId1248"/><Relationship Type="http://schemas.openxmlformats.org/officeDocument/2006/relationships/hyperlink" Target="#'08 CROSSWALK'!A1245" TargetMode="External" Id="rId1249"/><Relationship Type="http://schemas.openxmlformats.org/officeDocument/2006/relationships/hyperlink" Target="#'08 CROSSWALK'!A1246" TargetMode="External" Id="rId1250"/><Relationship Type="http://schemas.openxmlformats.org/officeDocument/2006/relationships/hyperlink" Target="#'08 CROSSWALK'!A1247" TargetMode="External" Id="rId1251"/><Relationship Type="http://schemas.openxmlformats.org/officeDocument/2006/relationships/hyperlink" Target="#'08 CROSSWALK'!A1248" TargetMode="External" Id="rId1252"/><Relationship Type="http://schemas.openxmlformats.org/officeDocument/2006/relationships/hyperlink" Target="#'08 CROSSWALK'!A1249" TargetMode="External" Id="rId1253"/><Relationship Type="http://schemas.openxmlformats.org/officeDocument/2006/relationships/hyperlink" Target="#'08 CROSSWALK'!A1250" TargetMode="External" Id="rId1254"/><Relationship Type="http://schemas.openxmlformats.org/officeDocument/2006/relationships/hyperlink" Target="#'08 CROSSWALK'!A1251" TargetMode="External" Id="rId1255"/><Relationship Type="http://schemas.openxmlformats.org/officeDocument/2006/relationships/hyperlink" Target="#'08 CROSSWALK'!A1252" TargetMode="External" Id="rId1256"/><Relationship Type="http://schemas.openxmlformats.org/officeDocument/2006/relationships/hyperlink" Target="#'08 CROSSWALK'!A1253" TargetMode="External" Id="rId1257"/><Relationship Type="http://schemas.openxmlformats.org/officeDocument/2006/relationships/hyperlink" Target="#'08 CROSSWALK'!A1254" TargetMode="External" Id="rId1258"/><Relationship Type="http://schemas.openxmlformats.org/officeDocument/2006/relationships/hyperlink" Target="#'08 CROSSWALK'!A1255" TargetMode="External" Id="rId1259"/><Relationship Type="http://schemas.openxmlformats.org/officeDocument/2006/relationships/hyperlink" Target="#'08 CROSSWALK'!A1256" TargetMode="External" Id="rId1260"/><Relationship Type="http://schemas.openxmlformats.org/officeDocument/2006/relationships/hyperlink" Target="#'08 CROSSWALK'!A1257" TargetMode="External" Id="rId1261"/><Relationship Type="http://schemas.openxmlformats.org/officeDocument/2006/relationships/hyperlink" Target="#'08 CROSSWALK'!A1258" TargetMode="External" Id="rId1262"/><Relationship Type="http://schemas.openxmlformats.org/officeDocument/2006/relationships/hyperlink" Target="#'08 CROSSWALK'!A1259" TargetMode="External" Id="rId1263"/><Relationship Type="http://schemas.openxmlformats.org/officeDocument/2006/relationships/hyperlink" Target="#'08 CROSSWALK'!A1260" TargetMode="External" Id="rId1264"/><Relationship Type="http://schemas.openxmlformats.org/officeDocument/2006/relationships/hyperlink" Target="#'08 CROSSWALK'!A1261" TargetMode="External" Id="rId1265"/><Relationship Type="http://schemas.openxmlformats.org/officeDocument/2006/relationships/hyperlink" Target="#'08 CROSSWALK'!A1262" TargetMode="External" Id="rId1266"/><Relationship Type="http://schemas.openxmlformats.org/officeDocument/2006/relationships/hyperlink" Target="#'08 CROSSWALK'!A1263" TargetMode="External" Id="rId1267"/><Relationship Type="http://schemas.openxmlformats.org/officeDocument/2006/relationships/hyperlink" Target="#'08 CROSSWALK'!A1264" TargetMode="External" Id="rId1268"/><Relationship Type="http://schemas.openxmlformats.org/officeDocument/2006/relationships/hyperlink" Target="#'08 CROSSWALK'!A1265" TargetMode="External" Id="rId1269"/><Relationship Type="http://schemas.openxmlformats.org/officeDocument/2006/relationships/hyperlink" Target="#'08 CROSSWALK'!A1266" TargetMode="External" Id="rId1270"/><Relationship Type="http://schemas.openxmlformats.org/officeDocument/2006/relationships/hyperlink" Target="#'08 CROSSWALK'!A1267" TargetMode="External" Id="rId1271"/><Relationship Type="http://schemas.openxmlformats.org/officeDocument/2006/relationships/hyperlink" Target="#'08 CROSSWALK'!A1268" TargetMode="External" Id="rId1272"/><Relationship Type="http://schemas.openxmlformats.org/officeDocument/2006/relationships/hyperlink" Target="#'08 CROSSWALK'!A1269" TargetMode="External" Id="rId1273"/><Relationship Type="http://schemas.openxmlformats.org/officeDocument/2006/relationships/hyperlink" Target="#'08 CROSSWALK'!A1270" TargetMode="External" Id="rId1274"/><Relationship Type="http://schemas.openxmlformats.org/officeDocument/2006/relationships/hyperlink" Target="#'08 CROSSWALK'!A1271" TargetMode="External" Id="rId1275"/><Relationship Type="http://schemas.openxmlformats.org/officeDocument/2006/relationships/hyperlink" Target="#'08 CROSSWALK'!A1272" TargetMode="External" Id="rId1276"/><Relationship Type="http://schemas.openxmlformats.org/officeDocument/2006/relationships/hyperlink" Target="#'08 CROSSWALK'!A1273" TargetMode="External" Id="rId1277"/><Relationship Type="http://schemas.openxmlformats.org/officeDocument/2006/relationships/hyperlink" Target="#'08 CROSSWALK'!A1274" TargetMode="External" Id="rId1278"/><Relationship Type="http://schemas.openxmlformats.org/officeDocument/2006/relationships/hyperlink" Target="#'08 CROSSWALK'!A1275" TargetMode="External" Id="rId1279"/><Relationship Type="http://schemas.openxmlformats.org/officeDocument/2006/relationships/hyperlink" Target="#'08 CROSSWALK'!A1276" TargetMode="External" Id="rId1280"/><Relationship Type="http://schemas.openxmlformats.org/officeDocument/2006/relationships/hyperlink" Target="#'08 CROSSWALK'!A1277" TargetMode="External" Id="rId1281"/><Relationship Type="http://schemas.openxmlformats.org/officeDocument/2006/relationships/hyperlink" Target="#'08 CROSSWALK'!A1278" TargetMode="External" Id="rId1282"/><Relationship Type="http://schemas.openxmlformats.org/officeDocument/2006/relationships/hyperlink" Target="#'08 CROSSWALK'!A1279" TargetMode="External" Id="rId1283"/><Relationship Type="http://schemas.openxmlformats.org/officeDocument/2006/relationships/hyperlink" Target="#'08 CROSSWALK'!A1280" TargetMode="External" Id="rId1284"/><Relationship Type="http://schemas.openxmlformats.org/officeDocument/2006/relationships/hyperlink" Target="#'08 CROSSWALK'!A1281" TargetMode="External" Id="rId1285"/><Relationship Type="http://schemas.openxmlformats.org/officeDocument/2006/relationships/hyperlink" Target="#'08 CROSSWALK'!A1282" TargetMode="External" Id="rId1286"/><Relationship Type="http://schemas.openxmlformats.org/officeDocument/2006/relationships/hyperlink" Target="#'08 CROSSWALK'!A1283" TargetMode="External" Id="rId1287"/><Relationship Type="http://schemas.openxmlformats.org/officeDocument/2006/relationships/hyperlink" Target="#'08 CROSSWALK'!A1284" TargetMode="External" Id="rId1288"/><Relationship Type="http://schemas.openxmlformats.org/officeDocument/2006/relationships/hyperlink" Target="#'08 CROSSWALK'!A1285" TargetMode="External" Id="rId1289"/><Relationship Type="http://schemas.openxmlformats.org/officeDocument/2006/relationships/hyperlink" Target="#'08 CROSSWALK'!A1286" TargetMode="External" Id="rId1290"/><Relationship Type="http://schemas.openxmlformats.org/officeDocument/2006/relationships/hyperlink" Target="#'08 CROSSWALK'!A1287" TargetMode="External" Id="rId1291"/><Relationship Type="http://schemas.openxmlformats.org/officeDocument/2006/relationships/hyperlink" Target="#'08 CROSSWALK'!A1288" TargetMode="External" Id="rId1292"/><Relationship Type="http://schemas.openxmlformats.org/officeDocument/2006/relationships/hyperlink" Target="#'08 CROSSWALK'!A1289" TargetMode="External" Id="rId1293"/><Relationship Type="http://schemas.openxmlformats.org/officeDocument/2006/relationships/hyperlink" Target="#'08 CROSSWALK'!A1290" TargetMode="External" Id="rId1294"/><Relationship Type="http://schemas.openxmlformats.org/officeDocument/2006/relationships/hyperlink" Target="#'08 CROSSWALK'!A1291" TargetMode="External" Id="rId1295"/><Relationship Type="http://schemas.openxmlformats.org/officeDocument/2006/relationships/hyperlink" Target="#'08 CROSSWALK'!A1292" TargetMode="External" Id="rId1296"/><Relationship Type="http://schemas.openxmlformats.org/officeDocument/2006/relationships/hyperlink" Target="#'08 CROSSWALK'!A1293" TargetMode="External" Id="rId1297"/><Relationship Type="http://schemas.openxmlformats.org/officeDocument/2006/relationships/hyperlink" Target="#'08 CROSSWALK'!A1294" TargetMode="External" Id="rId1298"/><Relationship Type="http://schemas.openxmlformats.org/officeDocument/2006/relationships/hyperlink" Target="#'08 CROSSWALK'!A1295" TargetMode="External" Id="rId1299"/><Relationship Type="http://schemas.openxmlformats.org/officeDocument/2006/relationships/hyperlink" Target="#'08 CROSSWALK'!A1296" TargetMode="External" Id="rId1300"/><Relationship Type="http://schemas.openxmlformats.org/officeDocument/2006/relationships/hyperlink" Target="#'08 CROSSWALK'!A1297" TargetMode="External" Id="rId1301"/><Relationship Type="http://schemas.openxmlformats.org/officeDocument/2006/relationships/hyperlink" Target="#'08 CROSSWALK'!A1298" TargetMode="External" Id="rId1302"/><Relationship Type="http://schemas.openxmlformats.org/officeDocument/2006/relationships/hyperlink" Target="#'08 CROSSWALK'!A1299" TargetMode="External" Id="rId1303"/><Relationship Type="http://schemas.openxmlformats.org/officeDocument/2006/relationships/hyperlink" Target="#'08 CROSSWALK'!A1300" TargetMode="External" Id="rId1304"/><Relationship Type="http://schemas.openxmlformats.org/officeDocument/2006/relationships/hyperlink" Target="#'08 CROSSWALK'!A1301" TargetMode="External" Id="rId1305"/><Relationship Type="http://schemas.openxmlformats.org/officeDocument/2006/relationships/hyperlink" Target="#'08 CROSSWALK'!A1302" TargetMode="External" Id="rId1306"/><Relationship Type="http://schemas.openxmlformats.org/officeDocument/2006/relationships/hyperlink" Target="#'08 CROSSWALK'!A1303" TargetMode="External" Id="rId1307"/><Relationship Type="http://schemas.openxmlformats.org/officeDocument/2006/relationships/hyperlink" Target="#'08 CROSSWALK'!A1304" TargetMode="External" Id="rId1308"/><Relationship Type="http://schemas.openxmlformats.org/officeDocument/2006/relationships/hyperlink" Target="#'08 CROSSWALK'!A1305" TargetMode="External" Id="rId1309"/><Relationship Type="http://schemas.openxmlformats.org/officeDocument/2006/relationships/hyperlink" Target="#'08 CROSSWALK'!A1306" TargetMode="External" Id="rId1310"/><Relationship Type="http://schemas.openxmlformats.org/officeDocument/2006/relationships/hyperlink" Target="#'08 CROSSWALK'!A1307" TargetMode="External" Id="rId1311"/><Relationship Type="http://schemas.openxmlformats.org/officeDocument/2006/relationships/hyperlink" Target="#'08 CROSSWALK'!A1308" TargetMode="External" Id="rId1312"/><Relationship Type="http://schemas.openxmlformats.org/officeDocument/2006/relationships/hyperlink" Target="#'08 CROSSWALK'!A1309" TargetMode="External" Id="rId1313"/><Relationship Type="http://schemas.openxmlformats.org/officeDocument/2006/relationships/hyperlink" Target="#'08 CROSSWALK'!A1310" TargetMode="External" Id="rId1314"/><Relationship Type="http://schemas.openxmlformats.org/officeDocument/2006/relationships/hyperlink" Target="#'08 CROSSWALK'!A1311" TargetMode="External" Id="rId1315"/><Relationship Type="http://schemas.openxmlformats.org/officeDocument/2006/relationships/hyperlink" Target="#'08 CROSSWALK'!A1312" TargetMode="External" Id="rId1316"/><Relationship Type="http://schemas.openxmlformats.org/officeDocument/2006/relationships/hyperlink" Target="#'08 CROSSWALK'!A1313" TargetMode="External" Id="rId1317"/><Relationship Type="http://schemas.openxmlformats.org/officeDocument/2006/relationships/hyperlink" Target="#'08 CROSSWALK'!A1314" TargetMode="External" Id="rId1318"/><Relationship Type="http://schemas.openxmlformats.org/officeDocument/2006/relationships/hyperlink" Target="#'08 CROSSWALK'!A1315" TargetMode="External" Id="rId1319"/><Relationship Type="http://schemas.openxmlformats.org/officeDocument/2006/relationships/hyperlink" Target="#'08 CROSSWALK'!A1316" TargetMode="External" Id="rId1320"/><Relationship Type="http://schemas.openxmlformats.org/officeDocument/2006/relationships/hyperlink" Target="#'08 CROSSWALK'!A1317" TargetMode="External" Id="rId1321"/><Relationship Type="http://schemas.openxmlformats.org/officeDocument/2006/relationships/hyperlink" Target="#'08 CROSSWALK'!A1318" TargetMode="External" Id="rId1322"/><Relationship Type="http://schemas.openxmlformats.org/officeDocument/2006/relationships/hyperlink" Target="#'08 CROSSWALK'!A1319" TargetMode="External" Id="rId1323"/><Relationship Type="http://schemas.openxmlformats.org/officeDocument/2006/relationships/hyperlink" Target="#'08 CROSSWALK'!A1320" TargetMode="External" Id="rId1324"/><Relationship Type="http://schemas.openxmlformats.org/officeDocument/2006/relationships/hyperlink" Target="#'08 CROSSWALK'!A1321" TargetMode="External" Id="rId1325"/><Relationship Type="http://schemas.openxmlformats.org/officeDocument/2006/relationships/hyperlink" Target="#'08 CROSSWALK'!A1322" TargetMode="External" Id="rId1326"/><Relationship Type="http://schemas.openxmlformats.org/officeDocument/2006/relationships/hyperlink" Target="#'08 CROSSWALK'!A1323" TargetMode="External" Id="rId1327"/><Relationship Type="http://schemas.openxmlformats.org/officeDocument/2006/relationships/hyperlink" Target="#'08 CROSSWALK'!A1324" TargetMode="External" Id="rId1328"/><Relationship Type="http://schemas.openxmlformats.org/officeDocument/2006/relationships/hyperlink" Target="#'08 CROSSWALK'!A1325" TargetMode="External" Id="rId1329"/><Relationship Type="http://schemas.openxmlformats.org/officeDocument/2006/relationships/hyperlink" Target="#'08 CROSSWALK'!A1326" TargetMode="External" Id="rId1330"/><Relationship Type="http://schemas.openxmlformats.org/officeDocument/2006/relationships/hyperlink" Target="#'08 CROSSWALK'!A1327" TargetMode="External" Id="rId1331"/><Relationship Type="http://schemas.openxmlformats.org/officeDocument/2006/relationships/hyperlink" Target="#'08 CROSSWALK'!A1328" TargetMode="External" Id="rId1332"/><Relationship Type="http://schemas.openxmlformats.org/officeDocument/2006/relationships/hyperlink" Target="#'08 CROSSWALK'!A1329" TargetMode="External" Id="rId1333"/><Relationship Type="http://schemas.openxmlformats.org/officeDocument/2006/relationships/hyperlink" Target="#'08 CROSSWALK'!A1330" TargetMode="External" Id="rId1334"/><Relationship Type="http://schemas.openxmlformats.org/officeDocument/2006/relationships/hyperlink" Target="#'08 CROSSWALK'!A1331" TargetMode="External" Id="rId1335"/><Relationship Type="http://schemas.openxmlformats.org/officeDocument/2006/relationships/hyperlink" Target="#'08 CROSSWALK'!A1332" TargetMode="External" Id="rId1336"/><Relationship Type="http://schemas.openxmlformats.org/officeDocument/2006/relationships/hyperlink" Target="#'08 CROSSWALK'!A1333" TargetMode="External" Id="rId1337"/><Relationship Type="http://schemas.openxmlformats.org/officeDocument/2006/relationships/hyperlink" Target="#'08 CROSSWALK'!A1334" TargetMode="External" Id="rId1338"/><Relationship Type="http://schemas.openxmlformats.org/officeDocument/2006/relationships/hyperlink" Target="#'08 CROSSWALK'!A1335" TargetMode="External" Id="rId1339"/><Relationship Type="http://schemas.openxmlformats.org/officeDocument/2006/relationships/hyperlink" Target="#'08 CROSSWALK'!A1336" TargetMode="External" Id="rId1340"/><Relationship Type="http://schemas.openxmlformats.org/officeDocument/2006/relationships/hyperlink" Target="#'08 CROSSWALK'!A1337" TargetMode="External" Id="rId1341"/><Relationship Type="http://schemas.openxmlformats.org/officeDocument/2006/relationships/hyperlink" Target="#'08 CROSSWALK'!A1338" TargetMode="External" Id="rId1342"/><Relationship Type="http://schemas.openxmlformats.org/officeDocument/2006/relationships/hyperlink" Target="#'08 CROSSWALK'!A1339" TargetMode="External" Id="rId1343"/><Relationship Type="http://schemas.openxmlformats.org/officeDocument/2006/relationships/hyperlink" Target="#'08 CROSSWALK'!A1340" TargetMode="External" Id="rId1344"/><Relationship Type="http://schemas.openxmlformats.org/officeDocument/2006/relationships/hyperlink" Target="#'08 CROSSWALK'!A1341" TargetMode="External" Id="rId1345"/><Relationship Type="http://schemas.openxmlformats.org/officeDocument/2006/relationships/hyperlink" Target="#'08 CROSSWALK'!A1342" TargetMode="External" Id="rId1346"/><Relationship Type="http://schemas.openxmlformats.org/officeDocument/2006/relationships/hyperlink" Target="#'08 CROSSWALK'!A1343" TargetMode="External" Id="rId1347"/><Relationship Type="http://schemas.openxmlformats.org/officeDocument/2006/relationships/hyperlink" Target="#'08 CROSSWALK'!A1344" TargetMode="External" Id="rId1348"/><Relationship Type="http://schemas.openxmlformats.org/officeDocument/2006/relationships/hyperlink" Target="#'08 CROSSWALK'!A1345" TargetMode="External" Id="rId1349"/><Relationship Type="http://schemas.openxmlformats.org/officeDocument/2006/relationships/hyperlink" Target="#'08 CROSSWALK'!A1346" TargetMode="External" Id="rId1350"/><Relationship Type="http://schemas.openxmlformats.org/officeDocument/2006/relationships/hyperlink" Target="#'08 CROSSWALK'!A1347" TargetMode="External" Id="rId1351"/><Relationship Type="http://schemas.openxmlformats.org/officeDocument/2006/relationships/hyperlink" Target="#'08 CROSSWALK'!A1348" TargetMode="External" Id="rId1352"/><Relationship Type="http://schemas.openxmlformats.org/officeDocument/2006/relationships/hyperlink" Target="#'08 CROSSWALK'!A1349" TargetMode="External" Id="rId1353"/><Relationship Type="http://schemas.openxmlformats.org/officeDocument/2006/relationships/hyperlink" Target="#'08 CROSSWALK'!A1350" TargetMode="External" Id="rId1354"/><Relationship Type="http://schemas.openxmlformats.org/officeDocument/2006/relationships/hyperlink" Target="#'08 CROSSWALK'!A1351" TargetMode="External" Id="rId1355"/><Relationship Type="http://schemas.openxmlformats.org/officeDocument/2006/relationships/hyperlink" Target="#'08 CROSSWALK'!A1352" TargetMode="External" Id="rId1356"/><Relationship Type="http://schemas.openxmlformats.org/officeDocument/2006/relationships/hyperlink" Target="#'08 CROSSWALK'!A1353" TargetMode="External" Id="rId1357"/><Relationship Type="http://schemas.openxmlformats.org/officeDocument/2006/relationships/hyperlink" Target="#'08 CROSSWALK'!A1354" TargetMode="External" Id="rId1358"/><Relationship Type="http://schemas.openxmlformats.org/officeDocument/2006/relationships/hyperlink" Target="#'08 CROSSWALK'!A1355" TargetMode="External" Id="rId1359"/><Relationship Type="http://schemas.openxmlformats.org/officeDocument/2006/relationships/hyperlink" Target="#'08 CROSSWALK'!A1356" TargetMode="External" Id="rId1360"/><Relationship Type="http://schemas.openxmlformats.org/officeDocument/2006/relationships/hyperlink" Target="#'08 CROSSWALK'!A1357" TargetMode="External" Id="rId1361"/><Relationship Type="http://schemas.openxmlformats.org/officeDocument/2006/relationships/hyperlink" Target="#'08 CROSSWALK'!A1358" TargetMode="External" Id="rId1362"/><Relationship Type="http://schemas.openxmlformats.org/officeDocument/2006/relationships/hyperlink" Target="#'08 CROSSWALK'!A1359" TargetMode="External" Id="rId1363"/><Relationship Type="http://schemas.openxmlformats.org/officeDocument/2006/relationships/hyperlink" Target="#'08 CROSSWALK'!A1360" TargetMode="External" Id="rId1364"/><Relationship Type="http://schemas.openxmlformats.org/officeDocument/2006/relationships/hyperlink" Target="#'08 CROSSWALK'!A1361" TargetMode="External" Id="rId1365"/><Relationship Type="http://schemas.openxmlformats.org/officeDocument/2006/relationships/hyperlink" Target="#'08 CROSSWALK'!A1362" TargetMode="External" Id="rId1366"/><Relationship Type="http://schemas.openxmlformats.org/officeDocument/2006/relationships/hyperlink" Target="#'08 CROSSWALK'!A1363" TargetMode="External" Id="rId1367"/><Relationship Type="http://schemas.openxmlformats.org/officeDocument/2006/relationships/hyperlink" Target="#'08 CROSSWALK'!A1364" TargetMode="External" Id="rId1368"/><Relationship Type="http://schemas.openxmlformats.org/officeDocument/2006/relationships/hyperlink" Target="#'08 CROSSWALK'!A1365" TargetMode="External" Id="rId1369"/><Relationship Type="http://schemas.openxmlformats.org/officeDocument/2006/relationships/hyperlink" Target="#'08 CROSSWALK'!A1366" TargetMode="External" Id="rId1370"/><Relationship Type="http://schemas.openxmlformats.org/officeDocument/2006/relationships/hyperlink" Target="#'08 CROSSWALK'!A1367" TargetMode="External" Id="rId1371"/><Relationship Type="http://schemas.openxmlformats.org/officeDocument/2006/relationships/hyperlink" Target="#'08 CROSSWALK'!A1368" TargetMode="External" Id="rId1372"/><Relationship Type="http://schemas.openxmlformats.org/officeDocument/2006/relationships/hyperlink" Target="#'08 CROSSWALK'!A1369" TargetMode="External" Id="rId1373"/><Relationship Type="http://schemas.openxmlformats.org/officeDocument/2006/relationships/hyperlink" Target="#'08 CROSSWALK'!A1370" TargetMode="External" Id="rId1374"/><Relationship Type="http://schemas.openxmlformats.org/officeDocument/2006/relationships/hyperlink" Target="#'08 CROSSWALK'!A1371" TargetMode="External" Id="rId1375"/><Relationship Type="http://schemas.openxmlformats.org/officeDocument/2006/relationships/hyperlink" Target="#'08 CROSSWALK'!A1372" TargetMode="External" Id="rId1376"/><Relationship Type="http://schemas.openxmlformats.org/officeDocument/2006/relationships/hyperlink" Target="#'08 CROSSWALK'!A1373" TargetMode="External" Id="rId1377"/><Relationship Type="http://schemas.openxmlformats.org/officeDocument/2006/relationships/hyperlink" Target="#'08 CROSSWALK'!A1374" TargetMode="External" Id="rId1378"/><Relationship Type="http://schemas.openxmlformats.org/officeDocument/2006/relationships/hyperlink" Target="#'08 CROSSWALK'!A1375" TargetMode="External" Id="rId1379"/><Relationship Type="http://schemas.openxmlformats.org/officeDocument/2006/relationships/hyperlink" Target="#'08 CROSSWALK'!A1376" TargetMode="External" Id="rId1380"/><Relationship Type="http://schemas.openxmlformats.org/officeDocument/2006/relationships/hyperlink" Target="#'08 CROSSWALK'!A1377" TargetMode="External" Id="rId1381"/><Relationship Type="http://schemas.openxmlformats.org/officeDocument/2006/relationships/hyperlink" Target="#'08 CROSSWALK'!A1378" TargetMode="External" Id="rId1382"/><Relationship Type="http://schemas.openxmlformats.org/officeDocument/2006/relationships/hyperlink" Target="#'08 CROSSWALK'!A1379" TargetMode="External" Id="rId1383"/><Relationship Type="http://schemas.openxmlformats.org/officeDocument/2006/relationships/hyperlink" Target="#'08 CROSSWALK'!A1380" TargetMode="External" Id="rId1384"/><Relationship Type="http://schemas.openxmlformats.org/officeDocument/2006/relationships/hyperlink" Target="#'08 CROSSWALK'!A1381" TargetMode="External" Id="rId1385"/><Relationship Type="http://schemas.openxmlformats.org/officeDocument/2006/relationships/hyperlink" Target="#'08 CROSSWALK'!A1382" TargetMode="External" Id="rId1386"/><Relationship Type="http://schemas.openxmlformats.org/officeDocument/2006/relationships/hyperlink" Target="#'08 CROSSWALK'!A1383" TargetMode="External" Id="rId1387"/><Relationship Type="http://schemas.openxmlformats.org/officeDocument/2006/relationships/hyperlink" Target="#'08 CROSSWALK'!A1384" TargetMode="External" Id="rId1388"/><Relationship Type="http://schemas.openxmlformats.org/officeDocument/2006/relationships/hyperlink" Target="#'08 CROSSWALK'!A1385" TargetMode="External" Id="rId1389"/><Relationship Type="http://schemas.openxmlformats.org/officeDocument/2006/relationships/hyperlink" Target="#'08 CROSSWALK'!A1386" TargetMode="External" Id="rId1390"/><Relationship Type="http://schemas.openxmlformats.org/officeDocument/2006/relationships/hyperlink" Target="#'08 CROSSWALK'!A1387" TargetMode="External" Id="rId1391"/><Relationship Type="http://schemas.openxmlformats.org/officeDocument/2006/relationships/hyperlink" Target="#'08 CROSSWALK'!A1388" TargetMode="External" Id="rId1392"/><Relationship Type="http://schemas.openxmlformats.org/officeDocument/2006/relationships/hyperlink" Target="#'08 CROSSWALK'!A1389" TargetMode="External" Id="rId1393"/><Relationship Type="http://schemas.openxmlformats.org/officeDocument/2006/relationships/hyperlink" Target="#'08 CROSSWALK'!A1390" TargetMode="External" Id="rId1394"/><Relationship Type="http://schemas.openxmlformats.org/officeDocument/2006/relationships/hyperlink" Target="#'08 CROSSWALK'!A1391" TargetMode="External" Id="rId1395"/><Relationship Type="http://schemas.openxmlformats.org/officeDocument/2006/relationships/hyperlink" Target="#'08 CROSSWALK'!A1392" TargetMode="External" Id="rId1396"/><Relationship Type="http://schemas.openxmlformats.org/officeDocument/2006/relationships/hyperlink" Target="#'08 CROSSWALK'!A1393" TargetMode="External" Id="rId1397"/><Relationship Type="http://schemas.openxmlformats.org/officeDocument/2006/relationships/hyperlink" Target="#'08 CROSSWALK'!A1394" TargetMode="External" Id="rId1398"/><Relationship Type="http://schemas.openxmlformats.org/officeDocument/2006/relationships/hyperlink" Target="#'08 CROSSWALK'!A1395" TargetMode="External" Id="rId1399"/><Relationship Type="http://schemas.openxmlformats.org/officeDocument/2006/relationships/hyperlink" Target="#'08 CROSSWALK'!A1396" TargetMode="External" Id="rId1400"/><Relationship Type="http://schemas.openxmlformats.org/officeDocument/2006/relationships/hyperlink" Target="#'08 CROSSWALK'!A1397" TargetMode="External" Id="rId1401"/><Relationship Type="http://schemas.openxmlformats.org/officeDocument/2006/relationships/hyperlink" Target="#'08 CROSSWALK'!A1398" TargetMode="External" Id="rId1402"/><Relationship Type="http://schemas.openxmlformats.org/officeDocument/2006/relationships/hyperlink" Target="#'08 CROSSWALK'!A1399" TargetMode="External" Id="rId1403"/><Relationship Type="http://schemas.openxmlformats.org/officeDocument/2006/relationships/hyperlink" Target="#'08 CROSSWALK'!A1400" TargetMode="External" Id="rId1404"/><Relationship Type="http://schemas.openxmlformats.org/officeDocument/2006/relationships/hyperlink" Target="#'08 CROSSWALK'!A1401" TargetMode="External" Id="rId1405"/><Relationship Type="http://schemas.openxmlformats.org/officeDocument/2006/relationships/hyperlink" Target="#'08 CROSSWALK'!A1402" TargetMode="External" Id="rId1406"/><Relationship Type="http://schemas.openxmlformats.org/officeDocument/2006/relationships/hyperlink" Target="#'08 CROSSWALK'!A1403" TargetMode="External" Id="rId1407"/><Relationship Type="http://schemas.openxmlformats.org/officeDocument/2006/relationships/hyperlink" Target="#'08 CROSSWALK'!A1404" TargetMode="External" Id="rId1408"/><Relationship Type="http://schemas.openxmlformats.org/officeDocument/2006/relationships/hyperlink" Target="#'08 CROSSWALK'!A1405" TargetMode="External" Id="rId1409"/><Relationship Type="http://schemas.openxmlformats.org/officeDocument/2006/relationships/hyperlink" Target="#'08 CROSSWALK'!A1406" TargetMode="External" Id="rId1410"/><Relationship Type="http://schemas.openxmlformats.org/officeDocument/2006/relationships/hyperlink" Target="#'08 CROSSWALK'!A1407" TargetMode="External" Id="rId1411"/><Relationship Type="http://schemas.openxmlformats.org/officeDocument/2006/relationships/hyperlink" Target="#'08 CROSSWALK'!A1408" TargetMode="External" Id="rId1412"/><Relationship Type="http://schemas.openxmlformats.org/officeDocument/2006/relationships/hyperlink" Target="#'08 CROSSWALK'!A1409" TargetMode="External" Id="rId1413"/><Relationship Type="http://schemas.openxmlformats.org/officeDocument/2006/relationships/hyperlink" Target="#'08 CROSSWALK'!A1410" TargetMode="External" Id="rId1414"/><Relationship Type="http://schemas.openxmlformats.org/officeDocument/2006/relationships/hyperlink" Target="#'08 CROSSWALK'!A1411" TargetMode="External" Id="rId1415"/><Relationship Type="http://schemas.openxmlformats.org/officeDocument/2006/relationships/hyperlink" Target="#'08 CROSSWALK'!A1412" TargetMode="External" Id="rId1416"/><Relationship Type="http://schemas.openxmlformats.org/officeDocument/2006/relationships/hyperlink" Target="#'08 CROSSWALK'!A1413" TargetMode="External" Id="rId1417"/><Relationship Type="http://schemas.openxmlformats.org/officeDocument/2006/relationships/hyperlink" Target="#'08 CROSSWALK'!A1414" TargetMode="External" Id="rId1418"/><Relationship Type="http://schemas.openxmlformats.org/officeDocument/2006/relationships/hyperlink" Target="#'08 CROSSWALK'!A1415" TargetMode="External" Id="rId1419"/><Relationship Type="http://schemas.openxmlformats.org/officeDocument/2006/relationships/hyperlink" Target="#'08 CROSSWALK'!A1416" TargetMode="External" Id="rId1420"/><Relationship Type="http://schemas.openxmlformats.org/officeDocument/2006/relationships/hyperlink" Target="#'08 CROSSWALK'!A1417" TargetMode="External" Id="rId1421"/><Relationship Type="http://schemas.openxmlformats.org/officeDocument/2006/relationships/hyperlink" Target="#'08 CROSSWALK'!A1418" TargetMode="External" Id="rId1422"/><Relationship Type="http://schemas.openxmlformats.org/officeDocument/2006/relationships/hyperlink" Target="#'08 CROSSWALK'!A1419" TargetMode="External" Id="rId1423"/><Relationship Type="http://schemas.openxmlformats.org/officeDocument/2006/relationships/hyperlink" Target="#'08 CROSSWALK'!A1420" TargetMode="External" Id="rId1424"/><Relationship Type="http://schemas.openxmlformats.org/officeDocument/2006/relationships/hyperlink" Target="#'08 CROSSWALK'!A1421" TargetMode="External" Id="rId1425"/><Relationship Type="http://schemas.openxmlformats.org/officeDocument/2006/relationships/hyperlink" Target="#'08 CROSSWALK'!A1422" TargetMode="External" Id="rId1426"/><Relationship Type="http://schemas.openxmlformats.org/officeDocument/2006/relationships/hyperlink" Target="#'08 CROSSWALK'!A1423" TargetMode="External" Id="rId1427"/><Relationship Type="http://schemas.openxmlformats.org/officeDocument/2006/relationships/hyperlink" Target="#'08 CROSSWALK'!A1424" TargetMode="External" Id="rId1428"/><Relationship Type="http://schemas.openxmlformats.org/officeDocument/2006/relationships/hyperlink" Target="#'08 CROSSWALK'!A1425" TargetMode="External" Id="rId1429"/><Relationship Type="http://schemas.openxmlformats.org/officeDocument/2006/relationships/hyperlink" Target="#'08 CROSSWALK'!A1426" TargetMode="External" Id="rId1430"/><Relationship Type="http://schemas.openxmlformats.org/officeDocument/2006/relationships/hyperlink" Target="#'08 CROSSWALK'!A1427" TargetMode="External" Id="rId1431"/><Relationship Type="http://schemas.openxmlformats.org/officeDocument/2006/relationships/hyperlink" Target="#'08 CROSSWALK'!A1428" TargetMode="External" Id="rId1432"/><Relationship Type="http://schemas.openxmlformats.org/officeDocument/2006/relationships/hyperlink" Target="#'08 CROSSWALK'!A1429" TargetMode="External" Id="rId1433"/><Relationship Type="http://schemas.openxmlformats.org/officeDocument/2006/relationships/hyperlink" Target="#'08 CROSSWALK'!A1430" TargetMode="External" Id="rId1434"/><Relationship Type="http://schemas.openxmlformats.org/officeDocument/2006/relationships/hyperlink" Target="#'08 CROSSWALK'!A1431" TargetMode="External" Id="rId1435"/><Relationship Type="http://schemas.openxmlformats.org/officeDocument/2006/relationships/hyperlink" Target="#'08 CROSSWALK'!A1432" TargetMode="External" Id="rId1436"/><Relationship Type="http://schemas.openxmlformats.org/officeDocument/2006/relationships/hyperlink" Target="#'08 CROSSWALK'!A1433" TargetMode="External" Id="rId1437"/><Relationship Type="http://schemas.openxmlformats.org/officeDocument/2006/relationships/hyperlink" Target="#'08 CROSSWALK'!A1434" TargetMode="External" Id="rId1438"/><Relationship Type="http://schemas.openxmlformats.org/officeDocument/2006/relationships/hyperlink" Target="#'08 CROSSWALK'!A1435" TargetMode="External" Id="rId1439"/><Relationship Type="http://schemas.openxmlformats.org/officeDocument/2006/relationships/hyperlink" Target="#'08 CROSSWALK'!A1436" TargetMode="External" Id="rId1440"/><Relationship Type="http://schemas.openxmlformats.org/officeDocument/2006/relationships/hyperlink" Target="#'08 CROSSWALK'!A1437" TargetMode="External" Id="rId1441"/><Relationship Type="http://schemas.openxmlformats.org/officeDocument/2006/relationships/hyperlink" Target="#'08 CROSSWALK'!A1438" TargetMode="External" Id="rId1442"/><Relationship Type="http://schemas.openxmlformats.org/officeDocument/2006/relationships/hyperlink" Target="#'08 CROSSWALK'!A1439" TargetMode="External" Id="rId1443"/><Relationship Type="http://schemas.openxmlformats.org/officeDocument/2006/relationships/hyperlink" Target="#'08 CROSSWALK'!A1440" TargetMode="External" Id="rId1444"/><Relationship Type="http://schemas.openxmlformats.org/officeDocument/2006/relationships/hyperlink" Target="#'08 CROSSWALK'!A1441" TargetMode="External" Id="rId1445"/><Relationship Type="http://schemas.openxmlformats.org/officeDocument/2006/relationships/hyperlink" Target="#'08 CROSSWALK'!A1442" TargetMode="External" Id="rId1446"/><Relationship Type="http://schemas.openxmlformats.org/officeDocument/2006/relationships/hyperlink" Target="#'08 CROSSWALK'!A1443" TargetMode="External" Id="rId1447"/><Relationship Type="http://schemas.openxmlformats.org/officeDocument/2006/relationships/hyperlink" Target="#'08 CROSSWALK'!A1444" TargetMode="External" Id="rId1448"/><Relationship Type="http://schemas.openxmlformats.org/officeDocument/2006/relationships/hyperlink" Target="#'08 CROSSWALK'!A1445" TargetMode="External" Id="rId1449"/><Relationship Type="http://schemas.openxmlformats.org/officeDocument/2006/relationships/hyperlink" Target="#'08 CROSSWALK'!A1446" TargetMode="External" Id="rId1450"/><Relationship Type="http://schemas.openxmlformats.org/officeDocument/2006/relationships/hyperlink" Target="#'08 CROSSWALK'!A1447" TargetMode="External" Id="rId1451"/><Relationship Type="http://schemas.openxmlformats.org/officeDocument/2006/relationships/hyperlink" Target="#'08 CROSSWALK'!A1448" TargetMode="External" Id="rId1452"/><Relationship Type="http://schemas.openxmlformats.org/officeDocument/2006/relationships/hyperlink" Target="#'08 CROSSWALK'!A1449" TargetMode="External" Id="rId1453"/><Relationship Type="http://schemas.openxmlformats.org/officeDocument/2006/relationships/hyperlink" Target="#'08 CROSSWALK'!A1450" TargetMode="External" Id="rId1454"/><Relationship Type="http://schemas.openxmlformats.org/officeDocument/2006/relationships/hyperlink" Target="#'08 CROSSWALK'!A1451" TargetMode="External" Id="rId1455"/><Relationship Type="http://schemas.openxmlformats.org/officeDocument/2006/relationships/hyperlink" Target="#'08 CROSSWALK'!A1452" TargetMode="External" Id="rId1456"/><Relationship Type="http://schemas.openxmlformats.org/officeDocument/2006/relationships/hyperlink" Target="#'08 CROSSWALK'!A1453" TargetMode="External" Id="rId1457"/><Relationship Type="http://schemas.openxmlformats.org/officeDocument/2006/relationships/hyperlink" Target="#'08 CROSSWALK'!A1454" TargetMode="External" Id="rId1458"/><Relationship Type="http://schemas.openxmlformats.org/officeDocument/2006/relationships/hyperlink" Target="#'08 CROSSWALK'!A1455" TargetMode="External" Id="rId1459"/><Relationship Type="http://schemas.openxmlformats.org/officeDocument/2006/relationships/hyperlink" Target="#'08 CROSSWALK'!A1456" TargetMode="External" Id="rId1460"/><Relationship Type="http://schemas.openxmlformats.org/officeDocument/2006/relationships/hyperlink" Target="#'08 CROSSWALK'!A1457" TargetMode="External" Id="rId1461"/><Relationship Type="http://schemas.openxmlformats.org/officeDocument/2006/relationships/hyperlink" Target="#'08 CROSSWALK'!A1458" TargetMode="External" Id="rId1462"/><Relationship Type="http://schemas.openxmlformats.org/officeDocument/2006/relationships/hyperlink" Target="#'08 CROSSWALK'!A1459" TargetMode="External" Id="rId1463"/><Relationship Type="http://schemas.openxmlformats.org/officeDocument/2006/relationships/hyperlink" Target="#'08 CROSSWALK'!A1460" TargetMode="External" Id="rId1464"/><Relationship Type="http://schemas.openxmlformats.org/officeDocument/2006/relationships/hyperlink" Target="#'08 CROSSWALK'!A1461" TargetMode="External" Id="rId1465"/><Relationship Type="http://schemas.openxmlformats.org/officeDocument/2006/relationships/hyperlink" Target="#'08 CROSSWALK'!A1462" TargetMode="External" Id="rId1466"/><Relationship Type="http://schemas.openxmlformats.org/officeDocument/2006/relationships/hyperlink" Target="#'08 CROSSWALK'!A1463" TargetMode="External" Id="rId1467"/><Relationship Type="http://schemas.openxmlformats.org/officeDocument/2006/relationships/hyperlink" Target="#'08 CROSSWALK'!A1464" TargetMode="External" Id="rId1468"/><Relationship Type="http://schemas.openxmlformats.org/officeDocument/2006/relationships/hyperlink" Target="#'08 CROSSWALK'!A1465" TargetMode="External" Id="rId1469"/><Relationship Type="http://schemas.openxmlformats.org/officeDocument/2006/relationships/hyperlink" Target="#'08 CROSSWALK'!A1466" TargetMode="External" Id="rId1470"/><Relationship Type="http://schemas.openxmlformats.org/officeDocument/2006/relationships/hyperlink" Target="#'08 CROSSWALK'!A1467" TargetMode="External" Id="rId1471"/><Relationship Type="http://schemas.openxmlformats.org/officeDocument/2006/relationships/hyperlink" Target="#'08 CROSSWALK'!A1468" TargetMode="External" Id="rId1472"/><Relationship Type="http://schemas.openxmlformats.org/officeDocument/2006/relationships/hyperlink" Target="#'08 CROSSWALK'!A1469" TargetMode="External" Id="rId1473"/><Relationship Type="http://schemas.openxmlformats.org/officeDocument/2006/relationships/hyperlink" Target="#'08 CROSSWALK'!A1470" TargetMode="External" Id="rId1474"/><Relationship Type="http://schemas.openxmlformats.org/officeDocument/2006/relationships/hyperlink" Target="#'08 CROSSWALK'!A1471" TargetMode="External" Id="rId1475"/><Relationship Type="http://schemas.openxmlformats.org/officeDocument/2006/relationships/hyperlink" Target="#'08 CROSSWALK'!A1472" TargetMode="External" Id="rId1476"/><Relationship Type="http://schemas.openxmlformats.org/officeDocument/2006/relationships/hyperlink" Target="#'08 CROSSWALK'!A1473" TargetMode="External" Id="rId1477"/><Relationship Type="http://schemas.openxmlformats.org/officeDocument/2006/relationships/hyperlink" Target="#'08 CROSSWALK'!A1474" TargetMode="External" Id="rId1478"/><Relationship Type="http://schemas.openxmlformats.org/officeDocument/2006/relationships/hyperlink" Target="#'08 CROSSWALK'!A1475" TargetMode="External" Id="rId1479"/><Relationship Type="http://schemas.openxmlformats.org/officeDocument/2006/relationships/hyperlink" Target="#'08 CROSSWALK'!A1476" TargetMode="External" Id="rId1480"/><Relationship Type="http://schemas.openxmlformats.org/officeDocument/2006/relationships/hyperlink" Target="#'08 CROSSWALK'!A1477" TargetMode="External" Id="rId1481"/><Relationship Type="http://schemas.openxmlformats.org/officeDocument/2006/relationships/hyperlink" Target="#'08 CROSSWALK'!A1478" TargetMode="External" Id="rId1482"/><Relationship Type="http://schemas.openxmlformats.org/officeDocument/2006/relationships/hyperlink" Target="#'08 CROSSWALK'!A1479" TargetMode="External" Id="rId1483"/><Relationship Type="http://schemas.openxmlformats.org/officeDocument/2006/relationships/hyperlink" Target="#'08 CROSSWALK'!A1480" TargetMode="External" Id="rId1484"/><Relationship Type="http://schemas.openxmlformats.org/officeDocument/2006/relationships/hyperlink" Target="#'08 CROSSWALK'!A1481" TargetMode="External" Id="rId1485"/><Relationship Type="http://schemas.openxmlformats.org/officeDocument/2006/relationships/hyperlink" Target="#'08 CROSSWALK'!A1482" TargetMode="External" Id="rId1486"/><Relationship Type="http://schemas.openxmlformats.org/officeDocument/2006/relationships/hyperlink" Target="#'08 CROSSWALK'!A1483" TargetMode="External" Id="rId1487"/><Relationship Type="http://schemas.openxmlformats.org/officeDocument/2006/relationships/hyperlink" Target="#'08 CROSSWALK'!A1484" TargetMode="External" Id="rId1488"/><Relationship Type="http://schemas.openxmlformats.org/officeDocument/2006/relationships/hyperlink" Target="#'08 CROSSWALK'!A1485" TargetMode="External" Id="rId1489"/><Relationship Type="http://schemas.openxmlformats.org/officeDocument/2006/relationships/hyperlink" Target="#'08 CROSSWALK'!A1486" TargetMode="External" Id="rId1490"/><Relationship Type="http://schemas.openxmlformats.org/officeDocument/2006/relationships/hyperlink" Target="#'08 CROSSWALK'!A1487" TargetMode="External" Id="rId1491"/><Relationship Type="http://schemas.openxmlformats.org/officeDocument/2006/relationships/hyperlink" Target="#'08 CROSSWALK'!A1488" TargetMode="External" Id="rId1492"/><Relationship Type="http://schemas.openxmlformats.org/officeDocument/2006/relationships/hyperlink" Target="#'08 CROSSWALK'!A1489" TargetMode="External" Id="rId1493"/><Relationship Type="http://schemas.openxmlformats.org/officeDocument/2006/relationships/hyperlink" Target="#'08 CROSSWALK'!A1490" TargetMode="External" Id="rId1494"/><Relationship Type="http://schemas.openxmlformats.org/officeDocument/2006/relationships/hyperlink" Target="#'08 CROSSWALK'!A1491" TargetMode="External" Id="rId1495"/><Relationship Type="http://schemas.openxmlformats.org/officeDocument/2006/relationships/hyperlink" Target="#'08 CROSSWALK'!A1492" TargetMode="External" Id="rId1496"/><Relationship Type="http://schemas.openxmlformats.org/officeDocument/2006/relationships/hyperlink" Target="#'08 CROSSWALK'!A1493" TargetMode="External" Id="rId1497"/><Relationship Type="http://schemas.openxmlformats.org/officeDocument/2006/relationships/hyperlink" Target="#'08 CROSSWALK'!A1494" TargetMode="External" Id="rId1498"/><Relationship Type="http://schemas.openxmlformats.org/officeDocument/2006/relationships/hyperlink" Target="#'08 CROSSWALK'!A1495" TargetMode="External" Id="rId1499"/><Relationship Type="http://schemas.openxmlformats.org/officeDocument/2006/relationships/hyperlink" Target="#'08 CROSSWALK'!A1496" TargetMode="External" Id="rId1500"/><Relationship Type="http://schemas.openxmlformats.org/officeDocument/2006/relationships/hyperlink" Target="#'08 CROSSWALK'!A1497" TargetMode="External" Id="rId1501"/><Relationship Type="http://schemas.openxmlformats.org/officeDocument/2006/relationships/hyperlink" Target="#'08 CROSSWALK'!A1498" TargetMode="External" Id="rId1502"/><Relationship Type="http://schemas.openxmlformats.org/officeDocument/2006/relationships/hyperlink" Target="#'08 CROSSWALK'!A1499" TargetMode="External" Id="rId1503"/><Relationship Type="http://schemas.openxmlformats.org/officeDocument/2006/relationships/hyperlink" Target="#'08 CROSSWALK'!A1500" TargetMode="External" Id="rId1504"/><Relationship Type="http://schemas.openxmlformats.org/officeDocument/2006/relationships/hyperlink" Target="#'08 CROSSWALK'!A1501" TargetMode="External" Id="rId1505"/><Relationship Type="http://schemas.openxmlformats.org/officeDocument/2006/relationships/hyperlink" Target="#'08 CROSSWALK'!A1502" TargetMode="External" Id="rId1506"/><Relationship Type="http://schemas.openxmlformats.org/officeDocument/2006/relationships/hyperlink" Target="#'08 CROSSWALK'!A1503" TargetMode="External" Id="rId1507"/><Relationship Type="http://schemas.openxmlformats.org/officeDocument/2006/relationships/hyperlink" Target="#'08 CROSSWALK'!A1504" TargetMode="External" Id="rId1508"/><Relationship Type="http://schemas.openxmlformats.org/officeDocument/2006/relationships/hyperlink" Target="#'08 CROSSWALK'!A1505" TargetMode="External" Id="rId1509"/><Relationship Type="http://schemas.openxmlformats.org/officeDocument/2006/relationships/hyperlink" Target="#'08 CROSSWALK'!A1506" TargetMode="External" Id="rId1510"/><Relationship Type="http://schemas.openxmlformats.org/officeDocument/2006/relationships/hyperlink" Target="#'08 CROSSWALK'!A1507" TargetMode="External" Id="rId1511"/><Relationship Type="http://schemas.openxmlformats.org/officeDocument/2006/relationships/hyperlink" Target="#'08 CROSSWALK'!A1508" TargetMode="External" Id="rId1512"/><Relationship Type="http://schemas.openxmlformats.org/officeDocument/2006/relationships/hyperlink" Target="#'08 CROSSWALK'!A1509" TargetMode="External" Id="rId1513"/><Relationship Type="http://schemas.openxmlformats.org/officeDocument/2006/relationships/hyperlink" Target="#'08 CROSSWALK'!A1510" TargetMode="External" Id="rId1514"/><Relationship Type="http://schemas.openxmlformats.org/officeDocument/2006/relationships/hyperlink" Target="#'08 CROSSWALK'!A1511" TargetMode="External" Id="rId1515"/><Relationship Type="http://schemas.openxmlformats.org/officeDocument/2006/relationships/hyperlink" Target="#'08 CROSSWALK'!A1512" TargetMode="External" Id="rId1516"/><Relationship Type="http://schemas.openxmlformats.org/officeDocument/2006/relationships/hyperlink" Target="#'08 CROSSWALK'!A1513" TargetMode="External" Id="rId1517"/><Relationship Type="http://schemas.openxmlformats.org/officeDocument/2006/relationships/hyperlink" Target="#'08 CROSSWALK'!A1514" TargetMode="External" Id="rId1518"/><Relationship Type="http://schemas.openxmlformats.org/officeDocument/2006/relationships/hyperlink" Target="#'08 CROSSWALK'!A1515" TargetMode="External" Id="rId1519"/><Relationship Type="http://schemas.openxmlformats.org/officeDocument/2006/relationships/hyperlink" Target="#'08 CROSSWALK'!A1516" TargetMode="External" Id="rId1520"/><Relationship Type="http://schemas.openxmlformats.org/officeDocument/2006/relationships/hyperlink" Target="#'08 CROSSWALK'!A1517" TargetMode="External" Id="rId1521"/><Relationship Type="http://schemas.openxmlformats.org/officeDocument/2006/relationships/hyperlink" Target="#'08 CROSSWALK'!A1518" TargetMode="External" Id="rId1522"/><Relationship Type="http://schemas.openxmlformats.org/officeDocument/2006/relationships/hyperlink" Target="#'08 CROSSWALK'!A1519" TargetMode="External" Id="rId1523"/><Relationship Type="http://schemas.openxmlformats.org/officeDocument/2006/relationships/hyperlink" Target="#'08 CROSSWALK'!A1520" TargetMode="External" Id="rId1524"/><Relationship Type="http://schemas.openxmlformats.org/officeDocument/2006/relationships/hyperlink" Target="#'08 CROSSWALK'!A1521" TargetMode="External" Id="rId1525"/><Relationship Type="http://schemas.openxmlformats.org/officeDocument/2006/relationships/hyperlink" Target="#'08 CROSSWALK'!A1522" TargetMode="External" Id="rId1526"/><Relationship Type="http://schemas.openxmlformats.org/officeDocument/2006/relationships/hyperlink" Target="#'08 CROSSWALK'!A1523" TargetMode="External" Id="rId1527"/><Relationship Type="http://schemas.openxmlformats.org/officeDocument/2006/relationships/hyperlink" Target="#'08 CROSSWALK'!A1524" TargetMode="External" Id="rId1528"/><Relationship Type="http://schemas.openxmlformats.org/officeDocument/2006/relationships/hyperlink" Target="#'08 CROSSWALK'!A1525" TargetMode="External" Id="rId1529"/><Relationship Type="http://schemas.openxmlformats.org/officeDocument/2006/relationships/hyperlink" Target="#'08 CROSSWALK'!A1526" TargetMode="External" Id="rId1530"/><Relationship Type="http://schemas.openxmlformats.org/officeDocument/2006/relationships/hyperlink" Target="#'08 CROSSWALK'!A1527" TargetMode="External" Id="rId1531"/><Relationship Type="http://schemas.openxmlformats.org/officeDocument/2006/relationships/hyperlink" Target="#'08 CROSSWALK'!A1528" TargetMode="External" Id="rId1532"/><Relationship Type="http://schemas.openxmlformats.org/officeDocument/2006/relationships/hyperlink" Target="#'08 CROSSWALK'!A1529" TargetMode="External" Id="rId1533"/><Relationship Type="http://schemas.openxmlformats.org/officeDocument/2006/relationships/hyperlink" Target="#'08 CROSSWALK'!A1530" TargetMode="External" Id="rId1534"/><Relationship Type="http://schemas.openxmlformats.org/officeDocument/2006/relationships/hyperlink" Target="#'08 CROSSWALK'!A1531" TargetMode="External" Id="rId1535"/><Relationship Type="http://schemas.openxmlformats.org/officeDocument/2006/relationships/hyperlink" Target="#'08 CROSSWALK'!A1532" TargetMode="External" Id="rId1536"/><Relationship Type="http://schemas.openxmlformats.org/officeDocument/2006/relationships/hyperlink" Target="#'08 CROSSWALK'!A1533" TargetMode="External" Id="rId1537"/><Relationship Type="http://schemas.openxmlformats.org/officeDocument/2006/relationships/hyperlink" Target="#'08 CROSSWALK'!A1534" TargetMode="External" Id="rId1538"/><Relationship Type="http://schemas.openxmlformats.org/officeDocument/2006/relationships/hyperlink" Target="#'08 CROSSWALK'!A1535" TargetMode="External" Id="rId1539"/><Relationship Type="http://schemas.openxmlformats.org/officeDocument/2006/relationships/hyperlink" Target="#'08 CROSSWALK'!A1536" TargetMode="External" Id="rId1540"/><Relationship Type="http://schemas.openxmlformats.org/officeDocument/2006/relationships/hyperlink" Target="#'08 CROSSWALK'!A1537" TargetMode="External" Id="rId1541"/><Relationship Type="http://schemas.openxmlformats.org/officeDocument/2006/relationships/hyperlink" Target="#'08 CROSSWALK'!A1538" TargetMode="External" Id="rId1542"/><Relationship Type="http://schemas.openxmlformats.org/officeDocument/2006/relationships/hyperlink" Target="#'08 CROSSWALK'!A1539" TargetMode="External" Id="rId1543"/><Relationship Type="http://schemas.openxmlformats.org/officeDocument/2006/relationships/hyperlink" Target="#'08 CROSSWALK'!A1540" TargetMode="External" Id="rId1544"/><Relationship Type="http://schemas.openxmlformats.org/officeDocument/2006/relationships/hyperlink" Target="#'08 CROSSWALK'!A1541" TargetMode="External" Id="rId1545"/><Relationship Type="http://schemas.openxmlformats.org/officeDocument/2006/relationships/hyperlink" Target="#'08 CROSSWALK'!A1542" TargetMode="External" Id="rId1546"/><Relationship Type="http://schemas.openxmlformats.org/officeDocument/2006/relationships/hyperlink" Target="#'08 CROSSWALK'!A1543" TargetMode="External" Id="rId1547"/><Relationship Type="http://schemas.openxmlformats.org/officeDocument/2006/relationships/hyperlink" Target="#'08 CROSSWALK'!A1544" TargetMode="External" Id="rId1548"/><Relationship Type="http://schemas.openxmlformats.org/officeDocument/2006/relationships/hyperlink" Target="#'08 CROSSWALK'!A1545" TargetMode="External" Id="rId1549"/><Relationship Type="http://schemas.openxmlformats.org/officeDocument/2006/relationships/hyperlink" Target="#'08 CROSSWALK'!A1546" TargetMode="External" Id="rId1550"/><Relationship Type="http://schemas.openxmlformats.org/officeDocument/2006/relationships/hyperlink" Target="#'08 CROSSWALK'!A1547" TargetMode="External" Id="rId1551"/><Relationship Type="http://schemas.openxmlformats.org/officeDocument/2006/relationships/hyperlink" Target="#'08 CROSSWALK'!A1548" TargetMode="External" Id="rId1552"/><Relationship Type="http://schemas.openxmlformats.org/officeDocument/2006/relationships/hyperlink" Target="#'08 CROSSWALK'!A1549" TargetMode="External" Id="rId1553"/><Relationship Type="http://schemas.openxmlformats.org/officeDocument/2006/relationships/hyperlink" Target="#'08 CROSSWALK'!A1550" TargetMode="External" Id="rId1554"/><Relationship Type="http://schemas.openxmlformats.org/officeDocument/2006/relationships/hyperlink" Target="#'08 CROSSWALK'!A1551" TargetMode="External" Id="rId1555"/><Relationship Type="http://schemas.openxmlformats.org/officeDocument/2006/relationships/hyperlink" Target="#'08 CROSSWALK'!A1552" TargetMode="External" Id="rId1556"/><Relationship Type="http://schemas.openxmlformats.org/officeDocument/2006/relationships/hyperlink" Target="#'08 CROSSWALK'!A1553" TargetMode="External" Id="rId1557"/><Relationship Type="http://schemas.openxmlformats.org/officeDocument/2006/relationships/hyperlink" Target="#'08 CROSSWALK'!A1554" TargetMode="External" Id="rId1558"/><Relationship Type="http://schemas.openxmlformats.org/officeDocument/2006/relationships/hyperlink" Target="#'08 CROSSWALK'!A1555" TargetMode="External" Id="rId1559"/><Relationship Type="http://schemas.openxmlformats.org/officeDocument/2006/relationships/hyperlink" Target="#'08 CROSSWALK'!A1556" TargetMode="External" Id="rId1560"/><Relationship Type="http://schemas.openxmlformats.org/officeDocument/2006/relationships/hyperlink" Target="#'08 CROSSWALK'!A1557" TargetMode="External" Id="rId1561"/><Relationship Type="http://schemas.openxmlformats.org/officeDocument/2006/relationships/hyperlink" Target="#'08 CROSSWALK'!A1558" TargetMode="External" Id="rId1562"/><Relationship Type="http://schemas.openxmlformats.org/officeDocument/2006/relationships/hyperlink" Target="#'08 CROSSWALK'!A1559" TargetMode="External" Id="rId1563"/><Relationship Type="http://schemas.openxmlformats.org/officeDocument/2006/relationships/hyperlink" Target="#'08 CROSSWALK'!A1560" TargetMode="External" Id="rId1564"/><Relationship Type="http://schemas.openxmlformats.org/officeDocument/2006/relationships/hyperlink" Target="#'08 CROSSWALK'!A1561" TargetMode="External" Id="rId1565"/><Relationship Type="http://schemas.openxmlformats.org/officeDocument/2006/relationships/hyperlink" Target="#'08 CROSSWALK'!A1562" TargetMode="External" Id="rId1566"/><Relationship Type="http://schemas.openxmlformats.org/officeDocument/2006/relationships/hyperlink" Target="#'08 CROSSWALK'!A1563" TargetMode="External" Id="rId1567"/><Relationship Type="http://schemas.openxmlformats.org/officeDocument/2006/relationships/hyperlink" Target="#'08 CROSSWALK'!A1564" TargetMode="External" Id="rId1568"/><Relationship Type="http://schemas.openxmlformats.org/officeDocument/2006/relationships/hyperlink" Target="#'08 CROSSWALK'!A1565" TargetMode="External" Id="rId1569"/><Relationship Type="http://schemas.openxmlformats.org/officeDocument/2006/relationships/hyperlink" Target="#'08 CROSSWALK'!A1566" TargetMode="External" Id="rId1570"/><Relationship Type="http://schemas.openxmlformats.org/officeDocument/2006/relationships/hyperlink" Target="#'08 CROSSWALK'!A1567" TargetMode="External" Id="rId1571"/><Relationship Type="http://schemas.openxmlformats.org/officeDocument/2006/relationships/hyperlink" Target="#'08 CROSSWALK'!A1568" TargetMode="External" Id="rId1572"/><Relationship Type="http://schemas.openxmlformats.org/officeDocument/2006/relationships/hyperlink" Target="#'08 CROSSWALK'!A1569" TargetMode="External" Id="rId1573"/><Relationship Type="http://schemas.openxmlformats.org/officeDocument/2006/relationships/hyperlink" Target="#'08 CROSSWALK'!A1570" TargetMode="External" Id="rId1574"/><Relationship Type="http://schemas.openxmlformats.org/officeDocument/2006/relationships/hyperlink" Target="#'08 CROSSWALK'!A1571" TargetMode="External" Id="rId1575"/><Relationship Type="http://schemas.openxmlformats.org/officeDocument/2006/relationships/hyperlink" Target="#'08 CROSSWALK'!A1572" TargetMode="External" Id="rId1576"/><Relationship Type="http://schemas.openxmlformats.org/officeDocument/2006/relationships/hyperlink" Target="#'08 CROSSWALK'!A1573" TargetMode="External" Id="rId1577"/><Relationship Type="http://schemas.openxmlformats.org/officeDocument/2006/relationships/hyperlink" Target="#'08 CROSSWALK'!A1574" TargetMode="External" Id="rId1578"/><Relationship Type="http://schemas.openxmlformats.org/officeDocument/2006/relationships/hyperlink" Target="#'08 CROSSWALK'!A1575" TargetMode="External" Id="rId1579"/><Relationship Type="http://schemas.openxmlformats.org/officeDocument/2006/relationships/hyperlink" Target="#'08 CROSSWALK'!A1576" TargetMode="External" Id="rId1580"/><Relationship Type="http://schemas.openxmlformats.org/officeDocument/2006/relationships/hyperlink" Target="#'08 CROSSWALK'!A1577" TargetMode="External" Id="rId1581"/><Relationship Type="http://schemas.openxmlformats.org/officeDocument/2006/relationships/hyperlink" Target="#'08 CROSSWALK'!A1578" TargetMode="External" Id="rId1582"/><Relationship Type="http://schemas.openxmlformats.org/officeDocument/2006/relationships/hyperlink" Target="#'08 CROSSWALK'!A1579" TargetMode="External" Id="rId1583"/><Relationship Type="http://schemas.openxmlformats.org/officeDocument/2006/relationships/hyperlink" Target="#'08 CROSSWALK'!A1580" TargetMode="External" Id="rId1584"/><Relationship Type="http://schemas.openxmlformats.org/officeDocument/2006/relationships/hyperlink" Target="#'08 CROSSWALK'!A1581" TargetMode="External" Id="rId1585"/><Relationship Type="http://schemas.openxmlformats.org/officeDocument/2006/relationships/hyperlink" Target="#'08 CROSSWALK'!A1582" TargetMode="External" Id="rId1586"/><Relationship Type="http://schemas.openxmlformats.org/officeDocument/2006/relationships/hyperlink" Target="#'08 CROSSWALK'!A1583" TargetMode="External" Id="rId1587"/><Relationship Type="http://schemas.openxmlformats.org/officeDocument/2006/relationships/hyperlink" Target="#'08 CROSSWALK'!A1584" TargetMode="External" Id="rId1588"/><Relationship Type="http://schemas.openxmlformats.org/officeDocument/2006/relationships/hyperlink" Target="#'08 CROSSWALK'!A1585" TargetMode="External" Id="rId1589"/><Relationship Type="http://schemas.openxmlformats.org/officeDocument/2006/relationships/hyperlink" Target="#'08 CROSSWALK'!A1586" TargetMode="External" Id="rId1590"/><Relationship Type="http://schemas.openxmlformats.org/officeDocument/2006/relationships/hyperlink" Target="#'08 CROSSWALK'!A1587" TargetMode="External" Id="rId1591"/><Relationship Type="http://schemas.openxmlformats.org/officeDocument/2006/relationships/hyperlink" Target="#'08 CROSSWALK'!A1588" TargetMode="External" Id="rId1592"/><Relationship Type="http://schemas.openxmlformats.org/officeDocument/2006/relationships/hyperlink" Target="#'08 CROSSWALK'!A1589" TargetMode="External" Id="rId1593"/><Relationship Type="http://schemas.openxmlformats.org/officeDocument/2006/relationships/hyperlink" Target="#'08 CROSSWALK'!A1590" TargetMode="External" Id="rId1594"/><Relationship Type="http://schemas.openxmlformats.org/officeDocument/2006/relationships/hyperlink" Target="#'08 CROSSWALK'!A1591" TargetMode="External" Id="rId1595"/><Relationship Type="http://schemas.openxmlformats.org/officeDocument/2006/relationships/hyperlink" Target="#'08 CROSSWALK'!A1592" TargetMode="External" Id="rId1596"/><Relationship Type="http://schemas.openxmlformats.org/officeDocument/2006/relationships/hyperlink" Target="#'08 CROSSWALK'!A1593" TargetMode="External" Id="rId1597"/><Relationship Type="http://schemas.openxmlformats.org/officeDocument/2006/relationships/hyperlink" Target="#'08 CROSSWALK'!A1594" TargetMode="External" Id="rId1598"/><Relationship Type="http://schemas.openxmlformats.org/officeDocument/2006/relationships/hyperlink" Target="#'08 CROSSWALK'!A1595" TargetMode="External" Id="rId1599"/><Relationship Type="http://schemas.openxmlformats.org/officeDocument/2006/relationships/hyperlink" Target="#'08 CROSSWALK'!A1596" TargetMode="External" Id="rId1600"/><Relationship Type="http://schemas.openxmlformats.org/officeDocument/2006/relationships/hyperlink" Target="#'08 CROSSWALK'!A1597" TargetMode="External" Id="rId1601"/><Relationship Type="http://schemas.openxmlformats.org/officeDocument/2006/relationships/hyperlink" Target="#'08 CROSSWALK'!A1598" TargetMode="External" Id="rId1602"/><Relationship Type="http://schemas.openxmlformats.org/officeDocument/2006/relationships/hyperlink" Target="#'08 CROSSWALK'!A1599" TargetMode="External" Id="rId1603"/><Relationship Type="http://schemas.openxmlformats.org/officeDocument/2006/relationships/hyperlink" Target="#'08 CROSSWALK'!A1600" TargetMode="External" Id="rId1604"/><Relationship Type="http://schemas.openxmlformats.org/officeDocument/2006/relationships/hyperlink" Target="#'08 CROSSWALK'!A1601" TargetMode="External" Id="rId1605"/><Relationship Type="http://schemas.openxmlformats.org/officeDocument/2006/relationships/hyperlink" Target="#'08 CROSSWALK'!A1602" TargetMode="External" Id="rId1606"/><Relationship Type="http://schemas.openxmlformats.org/officeDocument/2006/relationships/hyperlink" Target="#'08 CROSSWALK'!A1603" TargetMode="External" Id="rId1607"/><Relationship Type="http://schemas.openxmlformats.org/officeDocument/2006/relationships/hyperlink" Target="#'08 CROSSWALK'!A1604" TargetMode="External" Id="rId1608"/><Relationship Type="http://schemas.openxmlformats.org/officeDocument/2006/relationships/hyperlink" Target="#'08 CROSSWALK'!A1605" TargetMode="External" Id="rId1609"/><Relationship Type="http://schemas.openxmlformats.org/officeDocument/2006/relationships/hyperlink" Target="#'08 CROSSWALK'!A1606" TargetMode="External" Id="rId1610"/><Relationship Type="http://schemas.openxmlformats.org/officeDocument/2006/relationships/hyperlink" Target="#'08 CROSSWALK'!A1607" TargetMode="External" Id="rId1611"/><Relationship Type="http://schemas.openxmlformats.org/officeDocument/2006/relationships/hyperlink" Target="#'08 CROSSWALK'!A1608" TargetMode="External" Id="rId1612"/><Relationship Type="http://schemas.openxmlformats.org/officeDocument/2006/relationships/hyperlink" Target="#'08 CROSSWALK'!A1609" TargetMode="External" Id="rId1613"/><Relationship Type="http://schemas.openxmlformats.org/officeDocument/2006/relationships/hyperlink" Target="#'08 CROSSWALK'!A1610" TargetMode="External" Id="rId1614"/><Relationship Type="http://schemas.openxmlformats.org/officeDocument/2006/relationships/hyperlink" Target="#'08 CROSSWALK'!A1611" TargetMode="External" Id="rId1615"/><Relationship Type="http://schemas.openxmlformats.org/officeDocument/2006/relationships/hyperlink" Target="#'08 CROSSWALK'!A1612" TargetMode="External" Id="rId1616"/><Relationship Type="http://schemas.openxmlformats.org/officeDocument/2006/relationships/hyperlink" Target="#'08 CROSSWALK'!A1613" TargetMode="External" Id="rId1617"/><Relationship Type="http://schemas.openxmlformats.org/officeDocument/2006/relationships/hyperlink" Target="#'08 CROSSWALK'!A1614" TargetMode="External" Id="rId1618"/><Relationship Type="http://schemas.openxmlformats.org/officeDocument/2006/relationships/hyperlink" Target="#'08 CROSSWALK'!A1615" TargetMode="External" Id="rId1619"/><Relationship Type="http://schemas.openxmlformats.org/officeDocument/2006/relationships/hyperlink" Target="#'08 CROSSWALK'!A1616" TargetMode="External" Id="rId1620"/><Relationship Type="http://schemas.openxmlformats.org/officeDocument/2006/relationships/hyperlink" Target="#'08 CROSSWALK'!A1617" TargetMode="External" Id="rId1621"/><Relationship Type="http://schemas.openxmlformats.org/officeDocument/2006/relationships/hyperlink" Target="#'08 CROSSWALK'!A1618" TargetMode="External" Id="rId1622"/><Relationship Type="http://schemas.openxmlformats.org/officeDocument/2006/relationships/hyperlink" Target="#'08 CROSSWALK'!A1619" TargetMode="External" Id="rId1623"/><Relationship Type="http://schemas.openxmlformats.org/officeDocument/2006/relationships/hyperlink" Target="#'08 CROSSWALK'!A1620" TargetMode="External" Id="rId1624"/><Relationship Type="http://schemas.openxmlformats.org/officeDocument/2006/relationships/hyperlink" Target="#'08 CROSSWALK'!A1621" TargetMode="External" Id="rId1625"/><Relationship Type="http://schemas.openxmlformats.org/officeDocument/2006/relationships/hyperlink" Target="#'08 CROSSWALK'!A1622" TargetMode="External" Id="rId1626"/><Relationship Type="http://schemas.openxmlformats.org/officeDocument/2006/relationships/hyperlink" Target="#'08 CROSSWALK'!A1623" TargetMode="External" Id="rId1627"/><Relationship Type="http://schemas.openxmlformats.org/officeDocument/2006/relationships/hyperlink" Target="#'08 CROSSWALK'!A1624" TargetMode="External" Id="rId1628"/><Relationship Type="http://schemas.openxmlformats.org/officeDocument/2006/relationships/hyperlink" Target="#'08 CROSSWALK'!A1625" TargetMode="External" Id="rId1629"/><Relationship Type="http://schemas.openxmlformats.org/officeDocument/2006/relationships/hyperlink" Target="#'08 CROSSWALK'!A1626" TargetMode="External" Id="rId1630"/><Relationship Type="http://schemas.openxmlformats.org/officeDocument/2006/relationships/hyperlink" Target="#'08 CROSSWALK'!A1627" TargetMode="External" Id="rId1631"/><Relationship Type="http://schemas.openxmlformats.org/officeDocument/2006/relationships/hyperlink" Target="#'08 CROSSWALK'!A1628" TargetMode="External" Id="rId1632"/><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1.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2.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3.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10 EVIDENCE &amp; DECISIONS'!A136" TargetMode="External" Id="rId10"/><Relationship Type="http://schemas.openxmlformats.org/officeDocument/2006/relationships/hyperlink" Target="#'10 EVIDENCE &amp; DECISIONS'!A236" TargetMode="External" Id="rId11"/><Relationship Type="http://schemas.openxmlformats.org/officeDocument/2006/relationships/hyperlink" Target="#'10 EVIDENCE &amp; DECISIONS'!A137" TargetMode="External" Id="rId12"/><Relationship Type="http://schemas.openxmlformats.org/officeDocument/2006/relationships/hyperlink" Target="#'10 EVIDENCE &amp; DECISIONS'!A237" TargetMode="External" Id="rId13"/><Relationship Type="http://schemas.openxmlformats.org/officeDocument/2006/relationships/hyperlink" Target="#'10 EVIDENCE &amp; DECISIONS'!A138" TargetMode="External" Id="rId14"/><Relationship Type="http://schemas.openxmlformats.org/officeDocument/2006/relationships/hyperlink" Target="#'10 EVIDENCE &amp; DECISIONS'!A238" TargetMode="External" Id="rId15"/><Relationship Type="http://schemas.openxmlformats.org/officeDocument/2006/relationships/hyperlink" Target="#'10 EVIDENCE &amp; DECISIONS'!A139" TargetMode="External" Id="rId16"/><Relationship Type="http://schemas.openxmlformats.org/officeDocument/2006/relationships/hyperlink" Target="#'10 EVIDENCE &amp; DECISIONS'!A239" TargetMode="External" Id="rId17"/><Relationship Type="http://schemas.openxmlformats.org/officeDocument/2006/relationships/hyperlink" Target="#'10 EVIDENCE &amp; DECISIONS'!A140" TargetMode="External" Id="rId18"/><Relationship Type="http://schemas.openxmlformats.org/officeDocument/2006/relationships/hyperlink" Target="#'10 EVIDENCE &amp; DECISIONS'!A240" TargetMode="External" Id="rId19"/><Relationship Type="http://schemas.openxmlformats.org/officeDocument/2006/relationships/hyperlink" Target="#'10 EVIDENCE &amp; DECISIONS'!A141" TargetMode="External" Id="rId20"/><Relationship Type="http://schemas.openxmlformats.org/officeDocument/2006/relationships/hyperlink" Target="#'10 EVIDENCE &amp; DECISIONS'!A241" TargetMode="External" Id="rId21"/><Relationship Type="http://schemas.openxmlformats.org/officeDocument/2006/relationships/hyperlink" Target="#'10 EVIDENCE &amp; DECISIONS'!A142" TargetMode="External" Id="rId22"/><Relationship Type="http://schemas.openxmlformats.org/officeDocument/2006/relationships/hyperlink" Target="#'10 EVIDENCE &amp; DECISIONS'!A242" TargetMode="External" Id="rId23"/><Relationship Type="http://schemas.openxmlformats.org/officeDocument/2006/relationships/hyperlink" Target="#'10 EVIDENCE &amp; DECISIONS'!A143" TargetMode="External" Id="rId24"/><Relationship Type="http://schemas.openxmlformats.org/officeDocument/2006/relationships/hyperlink" Target="#'10 EVIDENCE &amp; DECISIONS'!A243" TargetMode="External" Id="rId25"/><Relationship Type="http://schemas.openxmlformats.org/officeDocument/2006/relationships/hyperlink" Target="#'10 EVIDENCE &amp; DECISIONS'!A144" TargetMode="External" Id="rId26"/><Relationship Type="http://schemas.openxmlformats.org/officeDocument/2006/relationships/hyperlink" Target="#'10 EVIDENCE &amp; DECISIONS'!A244" TargetMode="External" Id="rId27"/><Relationship Type="http://schemas.openxmlformats.org/officeDocument/2006/relationships/hyperlink" Target="#'10 EVIDENCE &amp; DECISIONS'!A145" TargetMode="External" Id="rId28"/><Relationship Type="http://schemas.openxmlformats.org/officeDocument/2006/relationships/hyperlink" Target="#'10 EVIDENCE &amp; DECISIONS'!A245" TargetMode="External" Id="rId29"/><Relationship Type="http://schemas.openxmlformats.org/officeDocument/2006/relationships/hyperlink" Target="#'10 EVIDENCE &amp; DECISIONS'!A146" TargetMode="External" Id="rId30"/><Relationship Type="http://schemas.openxmlformats.org/officeDocument/2006/relationships/hyperlink" Target="#'10 EVIDENCE &amp; DECISIONS'!A246" TargetMode="External" Id="rId31"/><Relationship Type="http://schemas.openxmlformats.org/officeDocument/2006/relationships/hyperlink" Target="#'10 EVIDENCE &amp; DECISIONS'!A147" TargetMode="External" Id="rId32"/><Relationship Type="http://schemas.openxmlformats.org/officeDocument/2006/relationships/hyperlink" Target="#'10 EVIDENCE &amp; DECISIONS'!A247" TargetMode="External" Id="rId33"/><Relationship Type="http://schemas.openxmlformats.org/officeDocument/2006/relationships/hyperlink" Target="#'10 EVIDENCE &amp; DECISIONS'!A148" TargetMode="External" Id="rId34"/><Relationship Type="http://schemas.openxmlformats.org/officeDocument/2006/relationships/hyperlink" Target="#'10 EVIDENCE &amp; DECISIONS'!A248" TargetMode="External" Id="rId35"/><Relationship Type="http://schemas.openxmlformats.org/officeDocument/2006/relationships/hyperlink" Target="#'10 EVIDENCE &amp; DECISIONS'!A149" TargetMode="External" Id="rId36"/><Relationship Type="http://schemas.openxmlformats.org/officeDocument/2006/relationships/hyperlink" Target="#'10 EVIDENCE &amp; DECISIONS'!A249" TargetMode="External" Id="rId37"/><Relationship Type="http://schemas.openxmlformats.org/officeDocument/2006/relationships/hyperlink" Target="#'10 EVIDENCE &amp; DECISIONS'!A150" TargetMode="External" Id="rId38"/><Relationship Type="http://schemas.openxmlformats.org/officeDocument/2006/relationships/hyperlink" Target="#'10 EVIDENCE &amp; DECISIONS'!A250" TargetMode="External" Id="rId39"/><Relationship Type="http://schemas.openxmlformats.org/officeDocument/2006/relationships/hyperlink" Target="#'10 EVIDENCE &amp; DECISIONS'!A151" TargetMode="External" Id="rId40"/><Relationship Type="http://schemas.openxmlformats.org/officeDocument/2006/relationships/hyperlink" Target="#'10 EVIDENCE &amp; DECISIONS'!A251" TargetMode="External" Id="rId41"/><Relationship Type="http://schemas.openxmlformats.org/officeDocument/2006/relationships/hyperlink" Target="#'10 EVIDENCE &amp; DECISIONS'!A152" TargetMode="External" Id="rId42"/><Relationship Type="http://schemas.openxmlformats.org/officeDocument/2006/relationships/hyperlink" Target="#'10 EVIDENCE &amp; DECISIONS'!A252" TargetMode="External" Id="rId43"/><Relationship Type="http://schemas.openxmlformats.org/officeDocument/2006/relationships/hyperlink" Target="#'10 EVIDENCE &amp; DECISIONS'!A153" TargetMode="External" Id="rId44"/><Relationship Type="http://schemas.openxmlformats.org/officeDocument/2006/relationships/hyperlink" Target="#'10 EVIDENCE &amp; DECISIONS'!A253" TargetMode="External" Id="rId45"/><Relationship Type="http://schemas.openxmlformats.org/officeDocument/2006/relationships/hyperlink" Target="#'10 EVIDENCE &amp; DECISIONS'!A154" TargetMode="External" Id="rId46"/><Relationship Type="http://schemas.openxmlformats.org/officeDocument/2006/relationships/hyperlink" Target="#'10 EVIDENCE &amp; DECISIONS'!A254" TargetMode="External" Id="rId47"/><Relationship Type="http://schemas.openxmlformats.org/officeDocument/2006/relationships/hyperlink" Target="#'10 EVIDENCE &amp; DECISIONS'!A155" TargetMode="External" Id="rId48"/><Relationship Type="http://schemas.openxmlformats.org/officeDocument/2006/relationships/hyperlink" Target="#'10 EVIDENCE &amp; DECISIONS'!A255" TargetMode="External" Id="rId49"/><Relationship Type="http://schemas.openxmlformats.org/officeDocument/2006/relationships/hyperlink" Target="#'10 EVIDENCE &amp; DECISIONS'!A156" TargetMode="External" Id="rId50"/><Relationship Type="http://schemas.openxmlformats.org/officeDocument/2006/relationships/hyperlink" Target="#'10 EVIDENCE &amp; DECISIONS'!A256" TargetMode="External" Id="rId51"/><Relationship Type="http://schemas.openxmlformats.org/officeDocument/2006/relationships/hyperlink" Target="#'10 EVIDENCE &amp; DECISIONS'!A157" TargetMode="External" Id="rId52"/><Relationship Type="http://schemas.openxmlformats.org/officeDocument/2006/relationships/hyperlink" Target="#'10 EVIDENCE &amp; DECISIONS'!A257" TargetMode="External" Id="rId53"/><Relationship Type="http://schemas.openxmlformats.org/officeDocument/2006/relationships/hyperlink" Target="#'10 EVIDENCE &amp; DECISIONS'!A158" TargetMode="External" Id="rId54"/><Relationship Type="http://schemas.openxmlformats.org/officeDocument/2006/relationships/hyperlink" Target="#'10 EVIDENCE &amp; DECISIONS'!A258" TargetMode="External" Id="rId55"/><Relationship Type="http://schemas.openxmlformats.org/officeDocument/2006/relationships/hyperlink" Target="#'10 EVIDENCE &amp; DECISIONS'!A159" TargetMode="External" Id="rId56"/><Relationship Type="http://schemas.openxmlformats.org/officeDocument/2006/relationships/hyperlink" Target="#'10 EVIDENCE &amp; DECISIONS'!A259" TargetMode="External" Id="rId57"/><Relationship Type="http://schemas.openxmlformats.org/officeDocument/2006/relationships/hyperlink" Target="#'10 EVIDENCE &amp; DECISIONS'!A160" TargetMode="External" Id="rId58"/><Relationship Type="http://schemas.openxmlformats.org/officeDocument/2006/relationships/hyperlink" Target="#'10 EVIDENCE &amp; DECISIONS'!A260" TargetMode="External" Id="rId59"/><Relationship Type="http://schemas.openxmlformats.org/officeDocument/2006/relationships/hyperlink" Target="#'10 EVIDENCE &amp; DECISIONS'!A161" TargetMode="External" Id="rId60"/><Relationship Type="http://schemas.openxmlformats.org/officeDocument/2006/relationships/hyperlink" Target="#'10 EVIDENCE &amp; DECISIONS'!A261" TargetMode="External" Id="rId61"/><Relationship Type="http://schemas.openxmlformats.org/officeDocument/2006/relationships/hyperlink" Target="#'10 EVIDENCE &amp; DECISIONS'!A162" TargetMode="External" Id="rId62"/><Relationship Type="http://schemas.openxmlformats.org/officeDocument/2006/relationships/hyperlink" Target="#'10 EVIDENCE &amp; DECISIONS'!A262" TargetMode="External" Id="rId63"/><Relationship Type="http://schemas.openxmlformats.org/officeDocument/2006/relationships/hyperlink" Target="#'10 EVIDENCE &amp; DECISIONS'!A163" TargetMode="External" Id="rId64"/><Relationship Type="http://schemas.openxmlformats.org/officeDocument/2006/relationships/hyperlink" Target="#'10 EVIDENCE &amp; DECISIONS'!A263" TargetMode="External" Id="rId65"/><Relationship Type="http://schemas.openxmlformats.org/officeDocument/2006/relationships/hyperlink" Target="#'10 EVIDENCE &amp; DECISIONS'!A164" TargetMode="External" Id="rId66"/><Relationship Type="http://schemas.openxmlformats.org/officeDocument/2006/relationships/hyperlink" Target="#'10 EVIDENCE &amp; DECISIONS'!A264" TargetMode="External" Id="rId67"/><Relationship Type="http://schemas.openxmlformats.org/officeDocument/2006/relationships/hyperlink" Target="#'10 EVIDENCE &amp; DECISIONS'!A165" TargetMode="External" Id="rId68"/><Relationship Type="http://schemas.openxmlformats.org/officeDocument/2006/relationships/hyperlink" Target="#'10 EVIDENCE &amp; DECISIONS'!A265" TargetMode="External" Id="rId69"/><Relationship Type="http://schemas.openxmlformats.org/officeDocument/2006/relationships/hyperlink" Target="#'10 EVIDENCE &amp; DECISIONS'!A166" TargetMode="External" Id="rId70"/><Relationship Type="http://schemas.openxmlformats.org/officeDocument/2006/relationships/hyperlink" Target="#'10 EVIDENCE &amp; DECISIONS'!A266" TargetMode="External" Id="rId71"/><Relationship Type="http://schemas.openxmlformats.org/officeDocument/2006/relationships/hyperlink" Target="#'10 EVIDENCE &amp; DECISIONS'!A167" TargetMode="External" Id="rId72"/><Relationship Type="http://schemas.openxmlformats.org/officeDocument/2006/relationships/hyperlink" Target="#'10 EVIDENCE &amp; DECISIONS'!A267" TargetMode="External" Id="rId73"/><Relationship Type="http://schemas.openxmlformats.org/officeDocument/2006/relationships/hyperlink" Target="#'10 EVIDENCE &amp; DECISIONS'!A168" TargetMode="External" Id="rId74"/><Relationship Type="http://schemas.openxmlformats.org/officeDocument/2006/relationships/hyperlink" Target="#'10 EVIDENCE &amp; DECISIONS'!A268" TargetMode="External" Id="rId75"/><Relationship Type="http://schemas.openxmlformats.org/officeDocument/2006/relationships/hyperlink" Target="#'10 EVIDENCE &amp; DECISIONS'!A169" TargetMode="External" Id="rId76"/><Relationship Type="http://schemas.openxmlformats.org/officeDocument/2006/relationships/hyperlink" Target="#'10 EVIDENCE &amp; DECISIONS'!A269" TargetMode="External" Id="rId77"/><Relationship Type="http://schemas.openxmlformats.org/officeDocument/2006/relationships/hyperlink" Target="#'10 EVIDENCE &amp; DECISIONS'!A170" TargetMode="External" Id="rId78"/><Relationship Type="http://schemas.openxmlformats.org/officeDocument/2006/relationships/hyperlink" Target="#'10 EVIDENCE &amp; DECISIONS'!A270" TargetMode="External" Id="rId79"/><Relationship Type="http://schemas.openxmlformats.org/officeDocument/2006/relationships/hyperlink" Target="#'10 EVIDENCE &amp; DECISIONS'!A171" TargetMode="External" Id="rId80"/><Relationship Type="http://schemas.openxmlformats.org/officeDocument/2006/relationships/hyperlink" Target="#'10 EVIDENCE &amp; DECISIONS'!A271" TargetMode="External" Id="rId81"/><Relationship Type="http://schemas.openxmlformats.org/officeDocument/2006/relationships/hyperlink" Target="#'10 EVIDENCE &amp; DECISIONS'!A172" TargetMode="External" Id="rId82"/><Relationship Type="http://schemas.openxmlformats.org/officeDocument/2006/relationships/hyperlink" Target="#'10 EVIDENCE &amp; DECISIONS'!A272" TargetMode="External" Id="rId83"/><Relationship Type="http://schemas.openxmlformats.org/officeDocument/2006/relationships/hyperlink" Target="#'10 EVIDENCE &amp; DECISIONS'!A173" TargetMode="External" Id="rId84"/><Relationship Type="http://schemas.openxmlformats.org/officeDocument/2006/relationships/hyperlink" Target="#'10 EVIDENCE &amp; DECISIONS'!A273" TargetMode="External" Id="rId85"/><Relationship Type="http://schemas.openxmlformats.org/officeDocument/2006/relationships/hyperlink" Target="#'10 EVIDENCE &amp; DECISIONS'!A174" TargetMode="External" Id="rId86"/><Relationship Type="http://schemas.openxmlformats.org/officeDocument/2006/relationships/hyperlink" Target="#'10 EVIDENCE &amp; DECISIONS'!A274" TargetMode="External" Id="rId87"/><Relationship Type="http://schemas.openxmlformats.org/officeDocument/2006/relationships/hyperlink" Target="#'10 EVIDENCE &amp; DECISIONS'!A175" TargetMode="External" Id="rId88"/><Relationship Type="http://schemas.openxmlformats.org/officeDocument/2006/relationships/hyperlink" Target="#'10 EVIDENCE &amp; DECISIONS'!A275" TargetMode="External" Id="rId89"/><Relationship Type="http://schemas.openxmlformats.org/officeDocument/2006/relationships/hyperlink" Target="#'10 EVIDENCE &amp; DECISIONS'!A407" TargetMode="External" Id="rId90"/><Relationship Type="http://schemas.openxmlformats.org/officeDocument/2006/relationships/hyperlink" Target="#'10 EVIDENCE &amp; DECISIONS'!A506" TargetMode="External" Id="rId91"/><Relationship Type="http://schemas.openxmlformats.org/officeDocument/2006/relationships/hyperlink" Target="#'10 EVIDENCE &amp; DECISIONS'!A408" TargetMode="External" Id="rId92"/><Relationship Type="http://schemas.openxmlformats.org/officeDocument/2006/relationships/hyperlink" Target="#'10 EVIDENCE &amp; DECISIONS'!A507" TargetMode="External" Id="rId93"/><Relationship Type="http://schemas.openxmlformats.org/officeDocument/2006/relationships/hyperlink" Target="#'10 EVIDENCE &amp; DECISIONS'!A409" TargetMode="External" Id="rId94"/><Relationship Type="http://schemas.openxmlformats.org/officeDocument/2006/relationships/hyperlink" Target="#'10 EVIDENCE &amp; DECISIONS'!A508" TargetMode="External" Id="rId95"/><Relationship Type="http://schemas.openxmlformats.org/officeDocument/2006/relationships/hyperlink" Target="#'10 EVIDENCE &amp; DECISIONS'!A410" TargetMode="External" Id="rId96"/><Relationship Type="http://schemas.openxmlformats.org/officeDocument/2006/relationships/hyperlink" Target="#'10 EVIDENCE &amp; DECISIONS'!A509" TargetMode="External" Id="rId97"/><Relationship Type="http://schemas.openxmlformats.org/officeDocument/2006/relationships/hyperlink" Target="#'10 EVIDENCE &amp; DECISIONS'!A411" TargetMode="External" Id="rId98"/><Relationship Type="http://schemas.openxmlformats.org/officeDocument/2006/relationships/hyperlink" Target="#'10 EVIDENCE &amp; DECISIONS'!A510" TargetMode="External" Id="rId99"/><Relationship Type="http://schemas.openxmlformats.org/officeDocument/2006/relationships/hyperlink" Target="#'10 EVIDENCE &amp; DECISIONS'!A412" TargetMode="External" Id="rId100"/><Relationship Type="http://schemas.openxmlformats.org/officeDocument/2006/relationships/hyperlink" Target="#'10 EVIDENCE &amp; DECISIONS'!A511" TargetMode="External" Id="rId101"/><Relationship Type="http://schemas.openxmlformats.org/officeDocument/2006/relationships/hyperlink" Target="#'10 EVIDENCE &amp; DECISIONS'!A413" TargetMode="External" Id="rId102"/><Relationship Type="http://schemas.openxmlformats.org/officeDocument/2006/relationships/hyperlink" Target="#'10 EVIDENCE &amp; DECISIONS'!A512" TargetMode="External" Id="rId103"/><Relationship Type="http://schemas.openxmlformats.org/officeDocument/2006/relationships/hyperlink" Target="#'10 EVIDENCE &amp; DECISIONS'!A414" TargetMode="External" Id="rId104"/><Relationship Type="http://schemas.openxmlformats.org/officeDocument/2006/relationships/hyperlink" Target="#'10 EVIDENCE &amp; DECISIONS'!A513" TargetMode="External" Id="rId105"/><Relationship Type="http://schemas.openxmlformats.org/officeDocument/2006/relationships/hyperlink" Target="#'10 EVIDENCE &amp; DECISIONS'!A415" TargetMode="External" Id="rId106"/><Relationship Type="http://schemas.openxmlformats.org/officeDocument/2006/relationships/hyperlink" Target="#'10 EVIDENCE &amp; DECISIONS'!A514" TargetMode="External" Id="rId107"/><Relationship Type="http://schemas.openxmlformats.org/officeDocument/2006/relationships/hyperlink" Target="#'10 EVIDENCE &amp; DECISIONS'!A416" TargetMode="External" Id="rId108"/><Relationship Type="http://schemas.openxmlformats.org/officeDocument/2006/relationships/hyperlink" Target="#'10 EVIDENCE &amp; DECISIONS'!A515" TargetMode="External" Id="rId109"/><Relationship Type="http://schemas.openxmlformats.org/officeDocument/2006/relationships/hyperlink" Target="#'10 EVIDENCE &amp; DECISIONS'!A417" TargetMode="External" Id="rId110"/><Relationship Type="http://schemas.openxmlformats.org/officeDocument/2006/relationships/hyperlink" Target="#'10 EVIDENCE &amp; DECISIONS'!A516" TargetMode="External" Id="rId111"/><Relationship Type="http://schemas.openxmlformats.org/officeDocument/2006/relationships/hyperlink" Target="#'10 EVIDENCE &amp; DECISIONS'!A418" TargetMode="External" Id="rId112"/><Relationship Type="http://schemas.openxmlformats.org/officeDocument/2006/relationships/hyperlink" Target="#'10 EVIDENCE &amp; DECISIONS'!A517" TargetMode="External" Id="rId113"/><Relationship Type="http://schemas.openxmlformats.org/officeDocument/2006/relationships/hyperlink" Target="#'10 EVIDENCE &amp; DECISIONS'!A419" TargetMode="External" Id="rId114"/><Relationship Type="http://schemas.openxmlformats.org/officeDocument/2006/relationships/hyperlink" Target="#'10 EVIDENCE &amp; DECISIONS'!A518" TargetMode="External" Id="rId115"/><Relationship Type="http://schemas.openxmlformats.org/officeDocument/2006/relationships/hyperlink" Target="#'10 EVIDENCE &amp; DECISIONS'!A420" TargetMode="External" Id="rId116"/><Relationship Type="http://schemas.openxmlformats.org/officeDocument/2006/relationships/hyperlink" Target="#'10 EVIDENCE &amp; DECISIONS'!A519" TargetMode="External" Id="rId117"/><Relationship Type="http://schemas.openxmlformats.org/officeDocument/2006/relationships/hyperlink" Target="#'10 EVIDENCE &amp; DECISIONS'!A421" TargetMode="External" Id="rId118"/><Relationship Type="http://schemas.openxmlformats.org/officeDocument/2006/relationships/hyperlink" Target="#'10 EVIDENCE &amp; DECISIONS'!A520" TargetMode="External" Id="rId119"/><Relationship Type="http://schemas.openxmlformats.org/officeDocument/2006/relationships/hyperlink" Target="#'10 EVIDENCE &amp; DECISIONS'!A422" TargetMode="External" Id="rId120"/><Relationship Type="http://schemas.openxmlformats.org/officeDocument/2006/relationships/hyperlink" Target="#'10 EVIDENCE &amp; DECISIONS'!A521" TargetMode="External" Id="rId121"/><Relationship Type="http://schemas.openxmlformats.org/officeDocument/2006/relationships/hyperlink" Target="#'10 EVIDENCE &amp; DECISIONS'!A423" TargetMode="External" Id="rId122"/><Relationship Type="http://schemas.openxmlformats.org/officeDocument/2006/relationships/hyperlink" Target="#'10 EVIDENCE &amp; DECISIONS'!A522" TargetMode="External" Id="rId123"/><Relationship Type="http://schemas.openxmlformats.org/officeDocument/2006/relationships/hyperlink" Target="#'10 EVIDENCE &amp; DECISIONS'!A424" TargetMode="External" Id="rId124"/><Relationship Type="http://schemas.openxmlformats.org/officeDocument/2006/relationships/hyperlink" Target="#'10 EVIDENCE &amp; DECISIONS'!A523" TargetMode="External" Id="rId125"/><Relationship Type="http://schemas.openxmlformats.org/officeDocument/2006/relationships/hyperlink" Target="#'10 EVIDENCE &amp; DECISIONS'!A425" TargetMode="External" Id="rId126"/><Relationship Type="http://schemas.openxmlformats.org/officeDocument/2006/relationships/hyperlink" Target="#'10 EVIDENCE &amp; DECISIONS'!A524" TargetMode="External" Id="rId127"/><Relationship Type="http://schemas.openxmlformats.org/officeDocument/2006/relationships/hyperlink" Target="#'10 EVIDENCE &amp; DECISIONS'!A426" TargetMode="External" Id="rId128"/><Relationship Type="http://schemas.openxmlformats.org/officeDocument/2006/relationships/hyperlink" Target="#'10 EVIDENCE &amp; DECISIONS'!A525" TargetMode="External" Id="rId129"/><Relationship Type="http://schemas.openxmlformats.org/officeDocument/2006/relationships/hyperlink" Target="#'10 EVIDENCE &amp; DECISIONS'!A427" TargetMode="External" Id="rId130"/><Relationship Type="http://schemas.openxmlformats.org/officeDocument/2006/relationships/hyperlink" Target="#'10 EVIDENCE &amp; DECISIONS'!A526" TargetMode="External" Id="rId131"/><Relationship Type="http://schemas.openxmlformats.org/officeDocument/2006/relationships/hyperlink" Target="#'10 EVIDENCE &amp; DECISIONS'!A428" TargetMode="External" Id="rId132"/><Relationship Type="http://schemas.openxmlformats.org/officeDocument/2006/relationships/hyperlink" Target="#'10 EVIDENCE &amp; DECISIONS'!A527" TargetMode="External" Id="rId133"/><Relationship Type="http://schemas.openxmlformats.org/officeDocument/2006/relationships/hyperlink" Target="#'10 EVIDENCE &amp; DECISIONS'!A429" TargetMode="External" Id="rId134"/><Relationship Type="http://schemas.openxmlformats.org/officeDocument/2006/relationships/hyperlink" Target="#'10 EVIDENCE &amp; DECISIONS'!A528" TargetMode="External" Id="rId135"/><Relationship Type="http://schemas.openxmlformats.org/officeDocument/2006/relationships/hyperlink" Target="#'10 EVIDENCE &amp; DECISIONS'!A430" TargetMode="External" Id="rId136"/><Relationship Type="http://schemas.openxmlformats.org/officeDocument/2006/relationships/hyperlink" Target="#'10 EVIDENCE &amp; DECISIONS'!A529" TargetMode="External" Id="rId137"/><Relationship Type="http://schemas.openxmlformats.org/officeDocument/2006/relationships/hyperlink" Target="#'10 EVIDENCE &amp; DECISIONS'!A431" TargetMode="External" Id="rId138"/><Relationship Type="http://schemas.openxmlformats.org/officeDocument/2006/relationships/hyperlink" Target="#'10 EVIDENCE &amp; DECISIONS'!A530" TargetMode="External" Id="rId139"/><Relationship Type="http://schemas.openxmlformats.org/officeDocument/2006/relationships/hyperlink" Target="#'10 EVIDENCE &amp; DECISIONS'!A432" TargetMode="External" Id="rId140"/><Relationship Type="http://schemas.openxmlformats.org/officeDocument/2006/relationships/hyperlink" Target="#'10 EVIDENCE &amp; DECISIONS'!A531" TargetMode="External" Id="rId141"/><Relationship Type="http://schemas.openxmlformats.org/officeDocument/2006/relationships/hyperlink" Target="#'10 EVIDENCE &amp; DECISIONS'!A433" TargetMode="External" Id="rId142"/><Relationship Type="http://schemas.openxmlformats.org/officeDocument/2006/relationships/hyperlink" Target="#'10 EVIDENCE &amp; DECISIONS'!A532" TargetMode="External" Id="rId143"/><Relationship Type="http://schemas.openxmlformats.org/officeDocument/2006/relationships/hyperlink" Target="#'10 EVIDENCE &amp; DECISIONS'!A434" TargetMode="External" Id="rId144"/><Relationship Type="http://schemas.openxmlformats.org/officeDocument/2006/relationships/hyperlink" Target="#'10 EVIDENCE &amp; DECISIONS'!A533" TargetMode="External" Id="rId145"/><Relationship Type="http://schemas.openxmlformats.org/officeDocument/2006/relationships/hyperlink" Target="#'10 EVIDENCE &amp; DECISIONS'!A435" TargetMode="External" Id="rId146"/><Relationship Type="http://schemas.openxmlformats.org/officeDocument/2006/relationships/hyperlink" Target="#'10 EVIDENCE &amp; DECISIONS'!A534" TargetMode="External" Id="rId147"/><Relationship Type="http://schemas.openxmlformats.org/officeDocument/2006/relationships/hyperlink" Target="#'10 EVIDENCE &amp; DECISIONS'!A436" TargetMode="External" Id="rId148"/><Relationship Type="http://schemas.openxmlformats.org/officeDocument/2006/relationships/hyperlink" Target="#'10 EVIDENCE &amp; DECISIONS'!A535" TargetMode="External" Id="rId149"/><Relationship Type="http://schemas.openxmlformats.org/officeDocument/2006/relationships/hyperlink" Target="#'10 EVIDENCE &amp; DECISIONS'!A437" TargetMode="External" Id="rId150"/><Relationship Type="http://schemas.openxmlformats.org/officeDocument/2006/relationships/hyperlink" Target="#'10 EVIDENCE &amp; DECISIONS'!A536" TargetMode="External" Id="rId151"/><Relationship Type="http://schemas.openxmlformats.org/officeDocument/2006/relationships/hyperlink" Target="#'10 EVIDENCE &amp; DECISIONS'!A438" TargetMode="External" Id="rId152"/><Relationship Type="http://schemas.openxmlformats.org/officeDocument/2006/relationships/hyperlink" Target="#'10 EVIDENCE &amp; DECISIONS'!A537" TargetMode="External" Id="rId153"/><Relationship Type="http://schemas.openxmlformats.org/officeDocument/2006/relationships/hyperlink" Target="#'10 EVIDENCE &amp; DECISIONS'!A439" TargetMode="External" Id="rId154"/><Relationship Type="http://schemas.openxmlformats.org/officeDocument/2006/relationships/hyperlink" Target="#'10 EVIDENCE &amp; DECISIONS'!A538" TargetMode="External" Id="rId155"/><Relationship Type="http://schemas.openxmlformats.org/officeDocument/2006/relationships/hyperlink" Target="#'10 EVIDENCE &amp; DECISIONS'!A440" TargetMode="External" Id="rId156"/><Relationship Type="http://schemas.openxmlformats.org/officeDocument/2006/relationships/hyperlink" Target="#'10 EVIDENCE &amp; DECISIONS'!A539" TargetMode="External" Id="rId157"/><Relationship Type="http://schemas.openxmlformats.org/officeDocument/2006/relationships/hyperlink" Target="#'10 EVIDENCE &amp; DECISIONS'!A441" TargetMode="External" Id="rId158"/><Relationship Type="http://schemas.openxmlformats.org/officeDocument/2006/relationships/hyperlink" Target="#'10 EVIDENCE &amp; DECISIONS'!A540" TargetMode="External" Id="rId159"/><Relationship Type="http://schemas.openxmlformats.org/officeDocument/2006/relationships/hyperlink" Target="#'10 EVIDENCE &amp; DECISIONS'!A442" TargetMode="External" Id="rId160"/><Relationship Type="http://schemas.openxmlformats.org/officeDocument/2006/relationships/hyperlink" Target="#'10 EVIDENCE &amp; DECISIONS'!A541" TargetMode="External" Id="rId161"/><Relationship Type="http://schemas.openxmlformats.org/officeDocument/2006/relationships/hyperlink" Target="#'10 EVIDENCE &amp; DECISIONS'!A443" TargetMode="External" Id="rId162"/><Relationship Type="http://schemas.openxmlformats.org/officeDocument/2006/relationships/hyperlink" Target="#'10 EVIDENCE &amp; DECISIONS'!A542" TargetMode="External" Id="rId163"/><Relationship Type="http://schemas.openxmlformats.org/officeDocument/2006/relationships/hyperlink" Target="#'10 EVIDENCE &amp; DECISIONS'!A444" TargetMode="External" Id="rId164"/><Relationship Type="http://schemas.openxmlformats.org/officeDocument/2006/relationships/hyperlink" Target="#'10 EVIDENCE &amp; DECISIONS'!A543" TargetMode="External" Id="rId165"/><Relationship Type="http://schemas.openxmlformats.org/officeDocument/2006/relationships/hyperlink" Target="#'10 EVIDENCE &amp; DECISIONS'!A445" TargetMode="External" Id="rId166"/><Relationship Type="http://schemas.openxmlformats.org/officeDocument/2006/relationships/hyperlink" Target="#'10 EVIDENCE &amp; DECISIONS'!A544" TargetMode="External" Id="rId167"/><Relationship Type="http://schemas.openxmlformats.org/officeDocument/2006/relationships/hyperlink" Target="#'10 EVIDENCE &amp; DECISIONS'!A446" TargetMode="External" Id="rId168"/><Relationship Type="http://schemas.openxmlformats.org/officeDocument/2006/relationships/hyperlink" Target="#'10 EVIDENCE &amp; DECISIONS'!A545" TargetMode="External" Id="rId169"/><Relationship Type="http://schemas.openxmlformats.org/officeDocument/2006/relationships/hyperlink" Target="#'10 EVIDENCE &amp; DECISIONS'!A676" TargetMode="External" Id="rId170"/><Relationship Type="http://schemas.openxmlformats.org/officeDocument/2006/relationships/hyperlink" Target="#'10 EVIDENCE &amp; DECISIONS'!A776" TargetMode="External" Id="rId171"/><Relationship Type="http://schemas.openxmlformats.org/officeDocument/2006/relationships/hyperlink" Target="#'10 EVIDENCE &amp; DECISIONS'!A677" TargetMode="External" Id="rId172"/><Relationship Type="http://schemas.openxmlformats.org/officeDocument/2006/relationships/hyperlink" Target="#'10 EVIDENCE &amp; DECISIONS'!A1548" TargetMode="External" Id="rId173"/><Relationship Type="http://schemas.openxmlformats.org/officeDocument/2006/relationships/hyperlink" Target="#'10 EVIDENCE &amp; DECISIONS'!A678" TargetMode="External" Id="rId174"/><Relationship Type="http://schemas.openxmlformats.org/officeDocument/2006/relationships/hyperlink" Target="#'10 EVIDENCE &amp; DECISIONS'!A777" TargetMode="External" Id="rId175"/><Relationship Type="http://schemas.openxmlformats.org/officeDocument/2006/relationships/hyperlink" Target="#'10 EVIDENCE &amp; DECISIONS'!A679" TargetMode="External" Id="rId176"/><Relationship Type="http://schemas.openxmlformats.org/officeDocument/2006/relationships/hyperlink" Target="#'10 EVIDENCE &amp; DECISIONS'!A778" TargetMode="External" Id="rId177"/><Relationship Type="http://schemas.openxmlformats.org/officeDocument/2006/relationships/hyperlink" Target="#'10 EVIDENCE &amp; DECISIONS'!A680" TargetMode="External" Id="rId178"/><Relationship Type="http://schemas.openxmlformats.org/officeDocument/2006/relationships/hyperlink" Target="#'10 EVIDENCE &amp; DECISIONS'!A779" TargetMode="External" Id="rId179"/><Relationship Type="http://schemas.openxmlformats.org/officeDocument/2006/relationships/hyperlink" Target="#'10 EVIDENCE &amp; DECISIONS'!A681" TargetMode="External" Id="rId180"/><Relationship Type="http://schemas.openxmlformats.org/officeDocument/2006/relationships/hyperlink" Target="#'10 EVIDENCE &amp; DECISIONS'!A780" TargetMode="External" Id="rId181"/><Relationship Type="http://schemas.openxmlformats.org/officeDocument/2006/relationships/hyperlink" Target="#'10 EVIDENCE &amp; DECISIONS'!A682" TargetMode="External" Id="rId182"/><Relationship Type="http://schemas.openxmlformats.org/officeDocument/2006/relationships/hyperlink" Target="#'10 EVIDENCE &amp; DECISIONS'!A781" TargetMode="External" Id="rId183"/><Relationship Type="http://schemas.openxmlformats.org/officeDocument/2006/relationships/hyperlink" Target="#'10 EVIDENCE &amp; DECISIONS'!A683" TargetMode="External" Id="rId184"/><Relationship Type="http://schemas.openxmlformats.org/officeDocument/2006/relationships/hyperlink" Target="#'10 EVIDENCE &amp; DECISIONS'!A782" TargetMode="External" Id="rId185"/><Relationship Type="http://schemas.openxmlformats.org/officeDocument/2006/relationships/hyperlink" Target="#'10 EVIDENCE &amp; DECISIONS'!A684" TargetMode="External" Id="rId186"/><Relationship Type="http://schemas.openxmlformats.org/officeDocument/2006/relationships/hyperlink" Target="#'10 EVIDENCE &amp; DECISIONS'!A783" TargetMode="External" Id="rId187"/><Relationship Type="http://schemas.openxmlformats.org/officeDocument/2006/relationships/hyperlink" Target="#'10 EVIDENCE &amp; DECISIONS'!A685" TargetMode="External" Id="rId188"/><Relationship Type="http://schemas.openxmlformats.org/officeDocument/2006/relationships/hyperlink" Target="#'10 EVIDENCE &amp; DECISIONS'!A784" TargetMode="External" Id="rId189"/><Relationship Type="http://schemas.openxmlformats.org/officeDocument/2006/relationships/hyperlink" Target="#'10 EVIDENCE &amp; DECISIONS'!A686" TargetMode="External" Id="rId190"/><Relationship Type="http://schemas.openxmlformats.org/officeDocument/2006/relationships/hyperlink" Target="#'10 EVIDENCE &amp; DECISIONS'!A785" TargetMode="External" Id="rId191"/><Relationship Type="http://schemas.openxmlformats.org/officeDocument/2006/relationships/hyperlink" Target="#'10 EVIDENCE &amp; DECISIONS'!A687" TargetMode="External" Id="rId192"/><Relationship Type="http://schemas.openxmlformats.org/officeDocument/2006/relationships/hyperlink" Target="#'10 EVIDENCE &amp; DECISIONS'!A786" TargetMode="External" Id="rId193"/><Relationship Type="http://schemas.openxmlformats.org/officeDocument/2006/relationships/hyperlink" Target="#'10 EVIDENCE &amp; DECISIONS'!A688" TargetMode="External" Id="rId194"/><Relationship Type="http://schemas.openxmlformats.org/officeDocument/2006/relationships/hyperlink" Target="#'10 EVIDENCE &amp; DECISIONS'!A787" TargetMode="External" Id="rId195"/><Relationship Type="http://schemas.openxmlformats.org/officeDocument/2006/relationships/hyperlink" Target="#'10 EVIDENCE &amp; DECISIONS'!A689" TargetMode="External" Id="rId196"/><Relationship Type="http://schemas.openxmlformats.org/officeDocument/2006/relationships/hyperlink" Target="#'10 EVIDENCE &amp; DECISIONS'!A788" TargetMode="External" Id="rId197"/><Relationship Type="http://schemas.openxmlformats.org/officeDocument/2006/relationships/hyperlink" Target="#'10 EVIDENCE &amp; DECISIONS'!A690" TargetMode="External" Id="rId198"/><Relationship Type="http://schemas.openxmlformats.org/officeDocument/2006/relationships/hyperlink" Target="#'10 EVIDENCE &amp; DECISIONS'!A789" TargetMode="External" Id="rId199"/><Relationship Type="http://schemas.openxmlformats.org/officeDocument/2006/relationships/hyperlink" Target="#'10 EVIDENCE &amp; DECISIONS'!A691" TargetMode="External" Id="rId200"/><Relationship Type="http://schemas.openxmlformats.org/officeDocument/2006/relationships/hyperlink" Target="#'10 EVIDENCE &amp; DECISIONS'!A790" TargetMode="External" Id="rId201"/><Relationship Type="http://schemas.openxmlformats.org/officeDocument/2006/relationships/hyperlink" Target="#'10 EVIDENCE &amp; DECISIONS'!A692" TargetMode="External" Id="rId202"/><Relationship Type="http://schemas.openxmlformats.org/officeDocument/2006/relationships/hyperlink" Target="#'10 EVIDENCE &amp; DECISIONS'!A791" TargetMode="External" Id="rId203"/><Relationship Type="http://schemas.openxmlformats.org/officeDocument/2006/relationships/hyperlink" Target="#'10 EVIDENCE &amp; DECISIONS'!A693" TargetMode="External" Id="rId204"/><Relationship Type="http://schemas.openxmlformats.org/officeDocument/2006/relationships/hyperlink" Target="#'10 EVIDENCE &amp; DECISIONS'!A792" TargetMode="External" Id="rId205"/><Relationship Type="http://schemas.openxmlformats.org/officeDocument/2006/relationships/hyperlink" Target="#'10 EVIDENCE &amp; DECISIONS'!A694" TargetMode="External" Id="rId206"/><Relationship Type="http://schemas.openxmlformats.org/officeDocument/2006/relationships/hyperlink" Target="#'10 EVIDENCE &amp; DECISIONS'!A793" TargetMode="External" Id="rId207"/><Relationship Type="http://schemas.openxmlformats.org/officeDocument/2006/relationships/hyperlink" Target="#'10 EVIDENCE &amp; DECISIONS'!A695" TargetMode="External" Id="rId208"/><Relationship Type="http://schemas.openxmlformats.org/officeDocument/2006/relationships/hyperlink" Target="#'10 EVIDENCE &amp; DECISIONS'!A794" TargetMode="External" Id="rId209"/><Relationship Type="http://schemas.openxmlformats.org/officeDocument/2006/relationships/hyperlink" Target="#'10 EVIDENCE &amp; DECISIONS'!A696" TargetMode="External" Id="rId210"/><Relationship Type="http://schemas.openxmlformats.org/officeDocument/2006/relationships/hyperlink" Target="#'10 EVIDENCE &amp; DECISIONS'!A795" TargetMode="External" Id="rId211"/><Relationship Type="http://schemas.openxmlformats.org/officeDocument/2006/relationships/hyperlink" Target="#'10 EVIDENCE &amp; DECISIONS'!A697" TargetMode="External" Id="rId212"/><Relationship Type="http://schemas.openxmlformats.org/officeDocument/2006/relationships/hyperlink" Target="#'10 EVIDENCE &amp; DECISIONS'!A796" TargetMode="External" Id="rId213"/><Relationship Type="http://schemas.openxmlformats.org/officeDocument/2006/relationships/hyperlink" Target="#'10 EVIDENCE &amp; DECISIONS'!A698" TargetMode="External" Id="rId214"/><Relationship Type="http://schemas.openxmlformats.org/officeDocument/2006/relationships/hyperlink" Target="#'10 EVIDENCE &amp; DECISIONS'!A797" TargetMode="External" Id="rId215"/><Relationship Type="http://schemas.openxmlformats.org/officeDocument/2006/relationships/hyperlink" Target="#'10 EVIDENCE &amp; DECISIONS'!A699" TargetMode="External" Id="rId216"/><Relationship Type="http://schemas.openxmlformats.org/officeDocument/2006/relationships/hyperlink" Target="#'10 EVIDENCE &amp; DECISIONS'!A798" TargetMode="External" Id="rId217"/><Relationship Type="http://schemas.openxmlformats.org/officeDocument/2006/relationships/hyperlink" Target="#'10 EVIDENCE &amp; DECISIONS'!A700" TargetMode="External" Id="rId218"/><Relationship Type="http://schemas.openxmlformats.org/officeDocument/2006/relationships/hyperlink" Target="#'10 EVIDENCE &amp; DECISIONS'!A799" TargetMode="External" Id="rId219"/><Relationship Type="http://schemas.openxmlformats.org/officeDocument/2006/relationships/hyperlink" Target="#'10 EVIDENCE &amp; DECISIONS'!A701" TargetMode="External" Id="rId220"/><Relationship Type="http://schemas.openxmlformats.org/officeDocument/2006/relationships/hyperlink" Target="#'10 EVIDENCE &amp; DECISIONS'!A800" TargetMode="External" Id="rId221"/><Relationship Type="http://schemas.openxmlformats.org/officeDocument/2006/relationships/hyperlink" Target="#'10 EVIDENCE &amp; DECISIONS'!A702" TargetMode="External" Id="rId222"/><Relationship Type="http://schemas.openxmlformats.org/officeDocument/2006/relationships/hyperlink" Target="#'10 EVIDENCE &amp; DECISIONS'!A801" TargetMode="External" Id="rId223"/><Relationship Type="http://schemas.openxmlformats.org/officeDocument/2006/relationships/hyperlink" Target="#'10 EVIDENCE &amp; DECISIONS'!A703" TargetMode="External" Id="rId224"/><Relationship Type="http://schemas.openxmlformats.org/officeDocument/2006/relationships/hyperlink" Target="#'10 EVIDENCE &amp; DECISIONS'!A802" TargetMode="External" Id="rId225"/><Relationship Type="http://schemas.openxmlformats.org/officeDocument/2006/relationships/hyperlink" Target="#'10 EVIDENCE &amp; DECISIONS'!A704" TargetMode="External" Id="rId226"/><Relationship Type="http://schemas.openxmlformats.org/officeDocument/2006/relationships/hyperlink" Target="#'10 EVIDENCE &amp; DECISIONS'!A803" TargetMode="External" Id="rId227"/><Relationship Type="http://schemas.openxmlformats.org/officeDocument/2006/relationships/hyperlink" Target="#'10 EVIDENCE &amp; DECISIONS'!A705" TargetMode="External" Id="rId228"/><Relationship Type="http://schemas.openxmlformats.org/officeDocument/2006/relationships/hyperlink" Target="#'10 EVIDENCE &amp; DECISIONS'!A804" TargetMode="External" Id="rId229"/><Relationship Type="http://schemas.openxmlformats.org/officeDocument/2006/relationships/hyperlink" Target="#'10 EVIDENCE &amp; DECISIONS'!A706" TargetMode="External" Id="rId230"/><Relationship Type="http://schemas.openxmlformats.org/officeDocument/2006/relationships/hyperlink" Target="#'10 EVIDENCE &amp; DECISIONS'!A805" TargetMode="External" Id="rId231"/><Relationship Type="http://schemas.openxmlformats.org/officeDocument/2006/relationships/hyperlink" Target="#'10 EVIDENCE &amp; DECISIONS'!A707" TargetMode="External" Id="rId232"/><Relationship Type="http://schemas.openxmlformats.org/officeDocument/2006/relationships/hyperlink" Target="#'10 EVIDENCE &amp; DECISIONS'!A806" TargetMode="External" Id="rId233"/><Relationship Type="http://schemas.openxmlformats.org/officeDocument/2006/relationships/hyperlink" Target="#'10 EVIDENCE &amp; DECISIONS'!A708" TargetMode="External" Id="rId234"/><Relationship Type="http://schemas.openxmlformats.org/officeDocument/2006/relationships/hyperlink" Target="#'10 EVIDENCE &amp; DECISIONS'!A807" TargetMode="External" Id="rId235"/><Relationship Type="http://schemas.openxmlformats.org/officeDocument/2006/relationships/hyperlink" Target="#'10 EVIDENCE &amp; DECISIONS'!A709" TargetMode="External" Id="rId236"/><Relationship Type="http://schemas.openxmlformats.org/officeDocument/2006/relationships/hyperlink" Target="#'10 EVIDENCE &amp; DECISIONS'!A808" TargetMode="External" Id="rId237"/><Relationship Type="http://schemas.openxmlformats.org/officeDocument/2006/relationships/hyperlink" Target="#'10 EVIDENCE &amp; DECISIONS'!A710" TargetMode="External" Id="rId238"/><Relationship Type="http://schemas.openxmlformats.org/officeDocument/2006/relationships/hyperlink" Target="#'10 EVIDENCE &amp; DECISIONS'!A809" TargetMode="External" Id="rId239"/><Relationship Type="http://schemas.openxmlformats.org/officeDocument/2006/relationships/hyperlink" Target="#'10 EVIDENCE &amp; DECISIONS'!A711" TargetMode="External" Id="rId240"/><Relationship Type="http://schemas.openxmlformats.org/officeDocument/2006/relationships/hyperlink" Target="#'10 EVIDENCE &amp; DECISIONS'!A810" TargetMode="External" Id="rId241"/><Relationship Type="http://schemas.openxmlformats.org/officeDocument/2006/relationships/hyperlink" Target="#'10 EVIDENCE &amp; DECISIONS'!A712" TargetMode="External" Id="rId242"/><Relationship Type="http://schemas.openxmlformats.org/officeDocument/2006/relationships/hyperlink" Target="#'10 EVIDENCE &amp; DECISIONS'!A811" TargetMode="External" Id="rId243"/><Relationship Type="http://schemas.openxmlformats.org/officeDocument/2006/relationships/hyperlink" Target="#'10 EVIDENCE &amp; DECISIONS'!A713" TargetMode="External" Id="rId244"/><Relationship Type="http://schemas.openxmlformats.org/officeDocument/2006/relationships/hyperlink" Target="#'10 EVIDENCE &amp; DECISIONS'!A812" TargetMode="External" Id="rId245"/><Relationship Type="http://schemas.openxmlformats.org/officeDocument/2006/relationships/hyperlink" Target="#'10 EVIDENCE &amp; DECISIONS'!A714" TargetMode="External" Id="rId246"/><Relationship Type="http://schemas.openxmlformats.org/officeDocument/2006/relationships/hyperlink" Target="#'10 EVIDENCE &amp; DECISIONS'!A813" TargetMode="External" Id="rId247"/><Relationship Type="http://schemas.openxmlformats.org/officeDocument/2006/relationships/hyperlink" Target="#'10 EVIDENCE &amp; DECISIONS'!A715" TargetMode="External" Id="rId248"/><Relationship Type="http://schemas.openxmlformats.org/officeDocument/2006/relationships/hyperlink" Target="#'10 EVIDENCE &amp; DECISIONS'!A814" TargetMode="External" Id="rId249"/><Relationship Type="http://schemas.openxmlformats.org/officeDocument/2006/relationships/hyperlink" Target="#'10 EVIDENCE &amp; DECISIONS'!A945" TargetMode="External" Id="rId250"/><Relationship Type="http://schemas.openxmlformats.org/officeDocument/2006/relationships/hyperlink" Target="#'10 EVIDENCE &amp; DECISIONS'!A1044" TargetMode="External" Id="rId251"/><Relationship Type="http://schemas.openxmlformats.org/officeDocument/2006/relationships/hyperlink" Target="#'10 EVIDENCE &amp; DECISIONS'!A946" TargetMode="External" Id="rId252"/><Relationship Type="http://schemas.openxmlformats.org/officeDocument/2006/relationships/hyperlink" Target="#'10 EVIDENCE &amp; DECISIONS'!A1045" TargetMode="External" Id="rId253"/><Relationship Type="http://schemas.openxmlformats.org/officeDocument/2006/relationships/hyperlink" Target="#'10 EVIDENCE &amp; DECISIONS'!A947" TargetMode="External" Id="rId254"/><Relationship Type="http://schemas.openxmlformats.org/officeDocument/2006/relationships/hyperlink" Target="#'10 EVIDENCE &amp; DECISIONS'!A1046" TargetMode="External" Id="rId255"/><Relationship Type="http://schemas.openxmlformats.org/officeDocument/2006/relationships/hyperlink" Target="#'10 EVIDENCE &amp; DECISIONS'!A948" TargetMode="External" Id="rId256"/><Relationship Type="http://schemas.openxmlformats.org/officeDocument/2006/relationships/hyperlink" Target="#'10 EVIDENCE &amp; DECISIONS'!A1047" TargetMode="External" Id="rId257"/><Relationship Type="http://schemas.openxmlformats.org/officeDocument/2006/relationships/hyperlink" Target="#'10 EVIDENCE &amp; DECISIONS'!A949" TargetMode="External" Id="rId258"/><Relationship Type="http://schemas.openxmlformats.org/officeDocument/2006/relationships/hyperlink" Target="#'10 EVIDENCE &amp; DECISIONS'!A1048" TargetMode="External" Id="rId259"/><Relationship Type="http://schemas.openxmlformats.org/officeDocument/2006/relationships/hyperlink" Target="#'10 EVIDENCE &amp; DECISIONS'!A950" TargetMode="External" Id="rId260"/><Relationship Type="http://schemas.openxmlformats.org/officeDocument/2006/relationships/hyperlink" Target="#'10 EVIDENCE &amp; DECISIONS'!A1049" TargetMode="External" Id="rId261"/><Relationship Type="http://schemas.openxmlformats.org/officeDocument/2006/relationships/hyperlink" Target="#'10 EVIDENCE &amp; DECISIONS'!A951" TargetMode="External" Id="rId262"/><Relationship Type="http://schemas.openxmlformats.org/officeDocument/2006/relationships/hyperlink" Target="#'10 EVIDENCE &amp; DECISIONS'!A1050" TargetMode="External" Id="rId263"/><Relationship Type="http://schemas.openxmlformats.org/officeDocument/2006/relationships/hyperlink" Target="#'10 EVIDENCE &amp; DECISIONS'!A952" TargetMode="External" Id="rId264"/><Relationship Type="http://schemas.openxmlformats.org/officeDocument/2006/relationships/hyperlink" Target="#'10 EVIDENCE &amp; DECISIONS'!A1051" TargetMode="External" Id="rId265"/><Relationship Type="http://schemas.openxmlformats.org/officeDocument/2006/relationships/hyperlink" Target="#'10 EVIDENCE &amp; DECISIONS'!A953" TargetMode="External" Id="rId266"/><Relationship Type="http://schemas.openxmlformats.org/officeDocument/2006/relationships/hyperlink" Target="#'10 EVIDENCE &amp; DECISIONS'!A1052" TargetMode="External" Id="rId267"/><Relationship Type="http://schemas.openxmlformats.org/officeDocument/2006/relationships/hyperlink" Target="#'10 EVIDENCE &amp; DECISIONS'!A954" TargetMode="External" Id="rId268"/><Relationship Type="http://schemas.openxmlformats.org/officeDocument/2006/relationships/hyperlink" Target="#'10 EVIDENCE &amp; DECISIONS'!A1053" TargetMode="External" Id="rId269"/><Relationship Type="http://schemas.openxmlformats.org/officeDocument/2006/relationships/hyperlink" Target="#'10 EVIDENCE &amp; DECISIONS'!A955" TargetMode="External" Id="rId270"/><Relationship Type="http://schemas.openxmlformats.org/officeDocument/2006/relationships/hyperlink" Target="#'10 EVIDENCE &amp; DECISIONS'!A1054" TargetMode="External" Id="rId271"/><Relationship Type="http://schemas.openxmlformats.org/officeDocument/2006/relationships/hyperlink" Target="#'10 EVIDENCE &amp; DECISIONS'!A956" TargetMode="External" Id="rId272"/><Relationship Type="http://schemas.openxmlformats.org/officeDocument/2006/relationships/hyperlink" Target="#'10 EVIDENCE &amp; DECISIONS'!A1055" TargetMode="External" Id="rId273"/><Relationship Type="http://schemas.openxmlformats.org/officeDocument/2006/relationships/hyperlink" Target="#'10 EVIDENCE &amp; DECISIONS'!A957" TargetMode="External" Id="rId274"/><Relationship Type="http://schemas.openxmlformats.org/officeDocument/2006/relationships/hyperlink" Target="#'10 EVIDENCE &amp; DECISIONS'!A1056" TargetMode="External" Id="rId275"/><Relationship Type="http://schemas.openxmlformats.org/officeDocument/2006/relationships/hyperlink" Target="#'10 EVIDENCE &amp; DECISIONS'!A958" TargetMode="External" Id="rId276"/><Relationship Type="http://schemas.openxmlformats.org/officeDocument/2006/relationships/hyperlink" Target="#'10 EVIDENCE &amp; DECISIONS'!A1057" TargetMode="External" Id="rId277"/><Relationship Type="http://schemas.openxmlformats.org/officeDocument/2006/relationships/hyperlink" Target="#'10 EVIDENCE &amp; DECISIONS'!A959" TargetMode="External" Id="rId278"/><Relationship Type="http://schemas.openxmlformats.org/officeDocument/2006/relationships/hyperlink" Target="#'10 EVIDENCE &amp; DECISIONS'!A1058" TargetMode="External" Id="rId279"/><Relationship Type="http://schemas.openxmlformats.org/officeDocument/2006/relationships/hyperlink" Target="#'10 EVIDENCE &amp; DECISIONS'!A960" TargetMode="External" Id="rId280"/><Relationship Type="http://schemas.openxmlformats.org/officeDocument/2006/relationships/hyperlink" Target="#'10 EVIDENCE &amp; DECISIONS'!A1059" TargetMode="External" Id="rId281"/><Relationship Type="http://schemas.openxmlformats.org/officeDocument/2006/relationships/hyperlink" Target="#'10 EVIDENCE &amp; DECISIONS'!A961" TargetMode="External" Id="rId282"/><Relationship Type="http://schemas.openxmlformats.org/officeDocument/2006/relationships/hyperlink" Target="#'10 EVIDENCE &amp; DECISIONS'!A1060" TargetMode="External" Id="rId283"/><Relationship Type="http://schemas.openxmlformats.org/officeDocument/2006/relationships/hyperlink" Target="#'10 EVIDENCE &amp; DECISIONS'!A962" TargetMode="External" Id="rId284"/><Relationship Type="http://schemas.openxmlformats.org/officeDocument/2006/relationships/hyperlink" Target="#'10 EVIDENCE &amp; DECISIONS'!A1061" TargetMode="External" Id="rId285"/><Relationship Type="http://schemas.openxmlformats.org/officeDocument/2006/relationships/hyperlink" Target="#'10 EVIDENCE &amp; DECISIONS'!A963" TargetMode="External" Id="rId286"/><Relationship Type="http://schemas.openxmlformats.org/officeDocument/2006/relationships/hyperlink" Target="#'10 EVIDENCE &amp; DECISIONS'!A1062" TargetMode="External" Id="rId287"/><Relationship Type="http://schemas.openxmlformats.org/officeDocument/2006/relationships/hyperlink" Target="#'10 EVIDENCE &amp; DECISIONS'!A964" TargetMode="External" Id="rId288"/><Relationship Type="http://schemas.openxmlformats.org/officeDocument/2006/relationships/hyperlink" Target="#'10 EVIDENCE &amp; DECISIONS'!A1063" TargetMode="External" Id="rId289"/><Relationship Type="http://schemas.openxmlformats.org/officeDocument/2006/relationships/hyperlink" Target="#'10 EVIDENCE &amp; DECISIONS'!A965" TargetMode="External" Id="rId290"/><Relationship Type="http://schemas.openxmlformats.org/officeDocument/2006/relationships/hyperlink" Target="#'10 EVIDENCE &amp; DECISIONS'!A1064" TargetMode="External" Id="rId291"/><Relationship Type="http://schemas.openxmlformats.org/officeDocument/2006/relationships/hyperlink" Target="#'10 EVIDENCE &amp; DECISIONS'!A966" TargetMode="External" Id="rId292"/><Relationship Type="http://schemas.openxmlformats.org/officeDocument/2006/relationships/hyperlink" Target="#'10 EVIDENCE &amp; DECISIONS'!A1065" TargetMode="External" Id="rId293"/><Relationship Type="http://schemas.openxmlformats.org/officeDocument/2006/relationships/hyperlink" Target="#'10 EVIDENCE &amp; DECISIONS'!A967" TargetMode="External" Id="rId294"/><Relationship Type="http://schemas.openxmlformats.org/officeDocument/2006/relationships/hyperlink" Target="#'10 EVIDENCE &amp; DECISIONS'!A1066" TargetMode="External" Id="rId295"/><Relationship Type="http://schemas.openxmlformats.org/officeDocument/2006/relationships/hyperlink" Target="#'10 EVIDENCE &amp; DECISIONS'!A968" TargetMode="External" Id="rId296"/><Relationship Type="http://schemas.openxmlformats.org/officeDocument/2006/relationships/hyperlink" Target="#'10 EVIDENCE &amp; DECISIONS'!A1067" TargetMode="External" Id="rId297"/><Relationship Type="http://schemas.openxmlformats.org/officeDocument/2006/relationships/hyperlink" Target="#'10 EVIDENCE &amp; DECISIONS'!A969" TargetMode="External" Id="rId298"/><Relationship Type="http://schemas.openxmlformats.org/officeDocument/2006/relationships/hyperlink" Target="#'10 EVIDENCE &amp; DECISIONS'!A1068" TargetMode="External" Id="rId299"/><Relationship Type="http://schemas.openxmlformats.org/officeDocument/2006/relationships/hyperlink" Target="#'10 EVIDENCE &amp; DECISIONS'!A970" TargetMode="External" Id="rId300"/><Relationship Type="http://schemas.openxmlformats.org/officeDocument/2006/relationships/hyperlink" Target="#'10 EVIDENCE &amp; DECISIONS'!A1069" TargetMode="External" Id="rId301"/><Relationship Type="http://schemas.openxmlformats.org/officeDocument/2006/relationships/hyperlink" Target="#'10 EVIDENCE &amp; DECISIONS'!A971" TargetMode="External" Id="rId302"/><Relationship Type="http://schemas.openxmlformats.org/officeDocument/2006/relationships/hyperlink" Target="#'10 EVIDENCE &amp; DECISIONS'!A1070" TargetMode="External" Id="rId303"/><Relationship Type="http://schemas.openxmlformats.org/officeDocument/2006/relationships/hyperlink" Target="#'10 EVIDENCE &amp; DECISIONS'!A972" TargetMode="External" Id="rId304"/><Relationship Type="http://schemas.openxmlformats.org/officeDocument/2006/relationships/hyperlink" Target="#'10 EVIDENCE &amp; DECISIONS'!A1071" TargetMode="External" Id="rId305"/><Relationship Type="http://schemas.openxmlformats.org/officeDocument/2006/relationships/hyperlink" Target="#'10 EVIDENCE &amp; DECISIONS'!A973" TargetMode="External" Id="rId306"/><Relationship Type="http://schemas.openxmlformats.org/officeDocument/2006/relationships/hyperlink" Target="#'10 EVIDENCE &amp; DECISIONS'!A1072" TargetMode="External" Id="rId307"/><Relationship Type="http://schemas.openxmlformats.org/officeDocument/2006/relationships/hyperlink" Target="#'10 EVIDENCE &amp; DECISIONS'!A974" TargetMode="External" Id="rId308"/><Relationship Type="http://schemas.openxmlformats.org/officeDocument/2006/relationships/hyperlink" Target="#'10 EVIDENCE &amp; DECISIONS'!A1073" TargetMode="External" Id="rId309"/><Relationship Type="http://schemas.openxmlformats.org/officeDocument/2006/relationships/hyperlink" Target="#'10 EVIDENCE &amp; DECISIONS'!A975" TargetMode="External" Id="rId310"/><Relationship Type="http://schemas.openxmlformats.org/officeDocument/2006/relationships/hyperlink" Target="#'10 EVIDENCE &amp; DECISIONS'!A1074" TargetMode="External" Id="rId311"/><Relationship Type="http://schemas.openxmlformats.org/officeDocument/2006/relationships/hyperlink" Target="#'10 EVIDENCE &amp; DECISIONS'!A976" TargetMode="External" Id="rId312"/><Relationship Type="http://schemas.openxmlformats.org/officeDocument/2006/relationships/hyperlink" Target="#'10 EVIDENCE &amp; DECISIONS'!A1075" TargetMode="External" Id="rId313"/><Relationship Type="http://schemas.openxmlformats.org/officeDocument/2006/relationships/hyperlink" Target="#'10 EVIDENCE &amp; DECISIONS'!A977" TargetMode="External" Id="rId314"/><Relationship Type="http://schemas.openxmlformats.org/officeDocument/2006/relationships/hyperlink" Target="#'10 EVIDENCE &amp; DECISIONS'!A1076" TargetMode="External" Id="rId315"/><Relationship Type="http://schemas.openxmlformats.org/officeDocument/2006/relationships/hyperlink" Target="#'10 EVIDENCE &amp; DECISIONS'!A978" TargetMode="External" Id="rId316"/><Relationship Type="http://schemas.openxmlformats.org/officeDocument/2006/relationships/hyperlink" Target="#'10 EVIDENCE &amp; DECISIONS'!A1077" TargetMode="External" Id="rId317"/><Relationship Type="http://schemas.openxmlformats.org/officeDocument/2006/relationships/hyperlink" Target="#'10 EVIDENCE &amp; DECISIONS'!A979" TargetMode="External" Id="rId318"/><Relationship Type="http://schemas.openxmlformats.org/officeDocument/2006/relationships/hyperlink" Target="#'10 EVIDENCE &amp; DECISIONS'!A1078" TargetMode="External" Id="rId319"/><Relationship Type="http://schemas.openxmlformats.org/officeDocument/2006/relationships/hyperlink" Target="#'10 EVIDENCE &amp; DECISIONS'!A980" TargetMode="External" Id="rId320"/><Relationship Type="http://schemas.openxmlformats.org/officeDocument/2006/relationships/hyperlink" Target="#'10 EVIDENCE &amp; DECISIONS'!A1079" TargetMode="External" Id="rId321"/><Relationship Type="http://schemas.openxmlformats.org/officeDocument/2006/relationships/hyperlink" Target="#'10 EVIDENCE &amp; DECISIONS'!A981" TargetMode="External" Id="rId322"/><Relationship Type="http://schemas.openxmlformats.org/officeDocument/2006/relationships/hyperlink" Target="#'10 EVIDENCE &amp; DECISIONS'!A1080" TargetMode="External" Id="rId323"/><Relationship Type="http://schemas.openxmlformats.org/officeDocument/2006/relationships/hyperlink" Target="#'10 EVIDENCE &amp; DECISIONS'!A982" TargetMode="External" Id="rId324"/><Relationship Type="http://schemas.openxmlformats.org/officeDocument/2006/relationships/hyperlink" Target="#'10 EVIDENCE &amp; DECISIONS'!A1081" TargetMode="External" Id="rId325"/><Relationship Type="http://schemas.openxmlformats.org/officeDocument/2006/relationships/hyperlink" Target="#'10 EVIDENCE &amp; DECISIONS'!A983" TargetMode="External" Id="rId326"/><Relationship Type="http://schemas.openxmlformats.org/officeDocument/2006/relationships/hyperlink" Target="#'10 EVIDENCE &amp; DECISIONS'!A1082" TargetMode="External" Id="rId327"/><Relationship Type="http://schemas.openxmlformats.org/officeDocument/2006/relationships/hyperlink" Target="#'10 EVIDENCE &amp; DECISIONS'!A984" TargetMode="External" Id="rId328"/><Relationship Type="http://schemas.openxmlformats.org/officeDocument/2006/relationships/hyperlink" Target="#'10 EVIDENCE &amp; DECISIONS'!A1083" TargetMode="External" Id="rId329"/><Relationship Type="http://schemas.openxmlformats.org/officeDocument/2006/relationships/hyperlink" Target="#'10 EVIDENCE &amp; DECISIONS'!A1549" TargetMode="External" Id="rId330"/><Relationship Type="http://schemas.openxmlformats.org/officeDocument/2006/relationships/hyperlink" Target="#'10 EVIDENCE &amp; DECISIONS'!A1550" TargetMode="External" Id="rId331"/><Relationship Type="http://schemas.openxmlformats.org/officeDocument/2006/relationships/hyperlink" Target="#'10 EVIDENCE &amp; DECISIONS'!A1551" TargetMode="External" Id="rId332"/><Relationship Type="http://schemas.openxmlformats.org/officeDocument/2006/relationships/hyperlink" Target="#'10 EVIDENCE &amp; DECISIONS'!A1552" TargetMode="External" Id="rId333"/><Relationship Type="http://schemas.openxmlformats.org/officeDocument/2006/relationships/hyperlink" Target="#'10 EVIDENCE &amp; DECISIONS'!A1553" TargetMode="External" Id="rId334"/><Relationship Type="http://schemas.openxmlformats.org/officeDocument/2006/relationships/hyperlink" Target="#'10 EVIDENCE &amp; DECISIONS'!A1554" TargetMode="External" Id="rId335"/><Relationship Type="http://schemas.openxmlformats.org/officeDocument/2006/relationships/hyperlink" Target="#'10 EVIDENCE &amp; DECISIONS'!A1555" TargetMode="External" Id="rId336"/><Relationship Type="http://schemas.openxmlformats.org/officeDocument/2006/relationships/hyperlink" Target="#'10 EVIDENCE &amp; DECISIONS'!A1556" TargetMode="External" Id="rId337"/><Relationship Type="http://schemas.openxmlformats.org/officeDocument/2006/relationships/hyperlink" Target="#'10 EVIDENCE &amp; DECISIONS'!A1557" TargetMode="External" Id="rId338"/><Relationship Type="http://schemas.openxmlformats.org/officeDocument/2006/relationships/hyperlink" Target="#'10 EVIDENCE &amp; DECISIONS'!A1558" TargetMode="External" Id="rId339"/><Relationship Type="http://schemas.openxmlformats.org/officeDocument/2006/relationships/hyperlink" Target="#'10 EVIDENCE &amp; DECISIONS'!A1559" TargetMode="External" Id="rId340"/><Relationship Type="http://schemas.openxmlformats.org/officeDocument/2006/relationships/hyperlink" Target="#'10 EVIDENCE &amp; DECISIONS'!A1560" TargetMode="External" Id="rId341"/><Relationship Type="http://schemas.openxmlformats.org/officeDocument/2006/relationships/hyperlink" Target="#'10 EVIDENCE &amp; DECISIONS'!A1561" TargetMode="External" Id="rId342"/><Relationship Type="http://schemas.openxmlformats.org/officeDocument/2006/relationships/hyperlink" Target="#'10 EVIDENCE &amp; DECISIONS'!A1562" TargetMode="External" Id="rId343"/><Relationship Type="http://schemas.openxmlformats.org/officeDocument/2006/relationships/hyperlink" Target="#'10 EVIDENCE &amp; DECISIONS'!A1563" TargetMode="External" Id="rId344"/><Relationship Type="http://schemas.openxmlformats.org/officeDocument/2006/relationships/hyperlink" Target="#'10 EVIDENCE &amp; DECISIONS'!A1564" TargetMode="External" Id="rId345"/><Relationship Type="http://schemas.openxmlformats.org/officeDocument/2006/relationships/hyperlink" Target="#'10 EVIDENCE &amp; DECISIONS'!A1565" TargetMode="External" Id="rId346"/><Relationship Type="http://schemas.openxmlformats.org/officeDocument/2006/relationships/hyperlink" Target="#'10 EVIDENCE &amp; DECISIONS'!A1566" TargetMode="External" Id="rId347"/><Relationship Type="http://schemas.openxmlformats.org/officeDocument/2006/relationships/hyperlink" Target="#'10 EVIDENCE &amp; DECISIONS'!A1567" TargetMode="External" Id="rId348"/><Relationship Type="http://schemas.openxmlformats.org/officeDocument/2006/relationships/hyperlink" Target="#'10 EVIDENCE &amp; DECISIONS'!A1568" TargetMode="External" Id="rId349"/><Relationship Type="http://schemas.openxmlformats.org/officeDocument/2006/relationships/hyperlink" Target="#'10 EVIDENCE &amp; DECISIONS'!A1569" TargetMode="External" Id="rId350"/><Relationship Type="http://schemas.openxmlformats.org/officeDocument/2006/relationships/hyperlink" Target="#'10 EVIDENCE &amp; DECISIONS'!A1570" TargetMode="External" Id="rId351"/><Relationship Type="http://schemas.openxmlformats.org/officeDocument/2006/relationships/hyperlink" Target="#'10 EVIDENCE &amp; DECISIONS'!A1571" TargetMode="External" Id="rId352"/><Relationship Type="http://schemas.openxmlformats.org/officeDocument/2006/relationships/hyperlink" Target="#'10 EVIDENCE &amp; DECISIONS'!A1572" TargetMode="External" Id="rId353"/><Relationship Type="http://schemas.openxmlformats.org/officeDocument/2006/relationships/hyperlink" Target="#'10 EVIDENCE &amp; DECISIONS'!A1573" TargetMode="External" Id="rId354"/><Relationship Type="http://schemas.openxmlformats.org/officeDocument/2006/relationships/hyperlink" Target="#'10 EVIDENCE &amp; DECISIONS'!A1574" TargetMode="External" Id="rId355"/><Relationship Type="http://schemas.openxmlformats.org/officeDocument/2006/relationships/hyperlink" Target="#'10 EVIDENCE &amp; DECISIONS'!A1575" TargetMode="External" Id="rId356"/><Relationship Type="http://schemas.openxmlformats.org/officeDocument/2006/relationships/hyperlink" Target="#'10 EVIDENCE &amp; DECISIONS'!A1576" TargetMode="External" Id="rId357"/><Relationship Type="http://schemas.openxmlformats.org/officeDocument/2006/relationships/hyperlink" Target="#'10 EVIDENCE &amp; DECISIONS'!A1577" TargetMode="External" Id="rId358"/><Relationship Type="http://schemas.openxmlformats.org/officeDocument/2006/relationships/hyperlink" Target="#'10 EVIDENCE &amp; DECISIONS'!A1578" TargetMode="External" Id="rId359"/><Relationship Type="http://schemas.openxmlformats.org/officeDocument/2006/relationships/hyperlink" Target="#'10 EVIDENCE &amp; DECISIONS'!A1579" TargetMode="External" Id="rId360"/><Relationship Type="http://schemas.openxmlformats.org/officeDocument/2006/relationships/hyperlink" Target="#'10 EVIDENCE &amp; DECISIONS'!A1580" TargetMode="External" Id="rId361"/><Relationship Type="http://schemas.openxmlformats.org/officeDocument/2006/relationships/hyperlink" Target="#'10 EVIDENCE &amp; DECISIONS'!A1581" TargetMode="External" Id="rId362"/><Relationship Type="http://schemas.openxmlformats.org/officeDocument/2006/relationships/hyperlink" Target="#'10 EVIDENCE &amp; DECISIONS'!A1582" TargetMode="External" Id="rId363"/><Relationship Type="http://schemas.openxmlformats.org/officeDocument/2006/relationships/hyperlink" Target="#'10 EVIDENCE &amp; DECISIONS'!A1583" TargetMode="External" Id="rId364"/><Relationship Type="http://schemas.openxmlformats.org/officeDocument/2006/relationships/hyperlink" Target="#'10 EVIDENCE &amp; DECISIONS'!A1584" TargetMode="External" Id="rId365"/><Relationship Type="http://schemas.openxmlformats.org/officeDocument/2006/relationships/hyperlink" Target="#'10 EVIDENCE &amp; DECISIONS'!A1585" TargetMode="External" Id="rId366"/><Relationship Type="http://schemas.openxmlformats.org/officeDocument/2006/relationships/hyperlink" Target="#'10 EVIDENCE &amp; DECISIONS'!A1586" TargetMode="External" Id="rId367"/><Relationship Type="http://schemas.openxmlformats.org/officeDocument/2006/relationships/hyperlink" Target="#'10 EVIDENCE &amp; DECISIONS'!A1587" TargetMode="External" Id="rId368"/><Relationship Type="http://schemas.openxmlformats.org/officeDocument/2006/relationships/hyperlink" Target="#'10 EVIDENCE &amp; DECISIONS'!A1588" TargetMode="External" Id="rId369"/><Relationship Type="http://schemas.openxmlformats.org/officeDocument/2006/relationships/hyperlink" Target="#'10 EVIDENCE &amp; DECISIONS'!A1589" TargetMode="External" Id="rId370"/><Relationship Type="http://schemas.openxmlformats.org/officeDocument/2006/relationships/hyperlink" Target="#'10 EVIDENCE &amp; DECISIONS'!A1590" TargetMode="External" Id="rId371"/><Relationship Type="http://schemas.openxmlformats.org/officeDocument/2006/relationships/hyperlink" Target="#'10 EVIDENCE &amp; DECISIONS'!A1591" TargetMode="External" Id="rId372"/><Relationship Type="http://schemas.openxmlformats.org/officeDocument/2006/relationships/hyperlink" Target="#'10 EVIDENCE &amp; DECISIONS'!A1592" TargetMode="External" Id="rId373"/><Relationship Type="http://schemas.openxmlformats.org/officeDocument/2006/relationships/hyperlink" Target="#'10 EVIDENCE &amp; DECISIONS'!A1593" TargetMode="External" Id="rId374"/><Relationship Type="http://schemas.openxmlformats.org/officeDocument/2006/relationships/hyperlink" Target="#'10 EVIDENCE &amp; DECISIONS'!A1594" TargetMode="External" Id="rId375"/><Relationship Type="http://schemas.openxmlformats.org/officeDocument/2006/relationships/hyperlink" Target="#'10 EVIDENCE &amp; DECISIONS'!A1595" TargetMode="External" Id="rId376"/><Relationship Type="http://schemas.openxmlformats.org/officeDocument/2006/relationships/hyperlink" Target="#'10 EVIDENCE &amp; DECISIONS'!A1596" TargetMode="External" Id="rId377"/><Relationship Type="http://schemas.openxmlformats.org/officeDocument/2006/relationships/hyperlink" Target="#'10 EVIDENCE &amp; DECISIONS'!A1597" TargetMode="External" Id="rId378"/><Relationship Type="http://schemas.openxmlformats.org/officeDocument/2006/relationships/hyperlink" Target="#'10 EVIDENCE &amp; DECISIONS'!A1598" TargetMode="External" Id="rId379"/><Relationship Type="http://schemas.openxmlformats.org/officeDocument/2006/relationships/hyperlink" Target="#'10 EVIDENCE &amp; DECISIONS'!A1599" TargetMode="External" Id="rId380"/><Relationship Type="http://schemas.openxmlformats.org/officeDocument/2006/relationships/hyperlink" Target="#'10 EVIDENCE &amp; DECISIONS'!A1600" TargetMode="External" Id="rId381"/><Relationship Type="http://schemas.openxmlformats.org/officeDocument/2006/relationships/hyperlink" Target="#'10 EVIDENCE &amp; DECISIONS'!A1601" TargetMode="External" Id="rId382"/><Relationship Type="http://schemas.openxmlformats.org/officeDocument/2006/relationships/hyperlink" Target="#'10 EVIDENCE &amp; DECISIONS'!A1602" TargetMode="External" Id="rId383"/><Relationship Type="http://schemas.openxmlformats.org/officeDocument/2006/relationships/hyperlink" Target="#'10 EVIDENCE &amp; DECISIONS'!A1603" TargetMode="External" Id="rId384"/><Relationship Type="http://schemas.openxmlformats.org/officeDocument/2006/relationships/hyperlink" Target="#'10 EVIDENCE &amp; DECISIONS'!A1604" TargetMode="External" Id="rId385"/><Relationship Type="http://schemas.openxmlformats.org/officeDocument/2006/relationships/hyperlink" Target="#'10 EVIDENCE &amp; DECISIONS'!A1605" TargetMode="External" Id="rId386"/><Relationship Type="http://schemas.openxmlformats.org/officeDocument/2006/relationships/hyperlink" Target="#'10 EVIDENCE &amp; DECISIONS'!A1606" TargetMode="External" Id="rId387"/><Relationship Type="http://schemas.openxmlformats.org/officeDocument/2006/relationships/hyperlink" Target="#'10 EVIDENCE &amp; DECISIONS'!A1607" TargetMode="External" Id="rId388"/><Relationship Type="http://schemas.openxmlformats.org/officeDocument/2006/relationships/hyperlink" Target="#'10 EVIDENCE &amp; DECISIONS'!A1608" TargetMode="External" Id="rId389"/><Relationship Type="http://schemas.openxmlformats.org/officeDocument/2006/relationships/hyperlink" Target="#'10 EVIDENCE &amp; DECISIONS'!A1609" TargetMode="External" Id="rId390"/><Relationship Type="http://schemas.openxmlformats.org/officeDocument/2006/relationships/hyperlink" Target="#'10 EVIDENCE &amp; DECISIONS'!A1610" TargetMode="External" Id="rId391"/><Relationship Type="http://schemas.openxmlformats.org/officeDocument/2006/relationships/hyperlink" Target="#'10 EVIDENCE &amp; DECISIONS'!A1611" TargetMode="External" Id="rId392"/><Relationship Type="http://schemas.openxmlformats.org/officeDocument/2006/relationships/hyperlink" Target="#'10 EVIDENCE &amp; DECISIONS'!A1612" TargetMode="External" Id="rId393"/><Relationship Type="http://schemas.openxmlformats.org/officeDocument/2006/relationships/hyperlink" Target="#'10 EVIDENCE &amp; DECISIONS'!A1613" TargetMode="External" Id="rId394"/><Relationship Type="http://schemas.openxmlformats.org/officeDocument/2006/relationships/hyperlink" Target="#'10 EVIDENCE &amp; DECISIONS'!A1614" TargetMode="External" Id="rId395"/><Relationship Type="http://schemas.openxmlformats.org/officeDocument/2006/relationships/hyperlink" Target="#'10 EVIDENCE &amp; DECISIONS'!A1615" TargetMode="External" Id="rId396"/><Relationship Type="http://schemas.openxmlformats.org/officeDocument/2006/relationships/hyperlink" Target="#'10 EVIDENCE &amp; DECISIONS'!A1616" TargetMode="External" Id="rId397"/><Relationship Type="http://schemas.openxmlformats.org/officeDocument/2006/relationships/hyperlink" Target="#'10 EVIDENCE &amp; DECISIONS'!A1617" TargetMode="External" Id="rId398"/><Relationship Type="http://schemas.openxmlformats.org/officeDocument/2006/relationships/hyperlink" Target="#'10 EVIDENCE &amp; DECISIONS'!A1618" TargetMode="External" Id="rId399"/><Relationship Type="http://schemas.openxmlformats.org/officeDocument/2006/relationships/hyperlink" Target="#'10 EVIDENCE &amp; DECISIONS'!A1619" TargetMode="External" Id="rId400"/><Relationship Type="http://schemas.openxmlformats.org/officeDocument/2006/relationships/hyperlink" Target="#'10 EVIDENCE &amp; DECISIONS'!A1620" TargetMode="External" Id="rId401"/><Relationship Type="http://schemas.openxmlformats.org/officeDocument/2006/relationships/hyperlink" Target="#'10 EVIDENCE &amp; DECISIONS'!A1621" TargetMode="External" Id="rId402"/><Relationship Type="http://schemas.openxmlformats.org/officeDocument/2006/relationships/hyperlink" Target="#'10 EVIDENCE &amp; DECISIONS'!A1622" TargetMode="External" Id="rId403"/><Relationship Type="http://schemas.openxmlformats.org/officeDocument/2006/relationships/hyperlink" Target="#'10 EVIDENCE &amp; DECISIONS'!A1623" TargetMode="External" Id="rId404"/><Relationship Type="http://schemas.openxmlformats.org/officeDocument/2006/relationships/hyperlink" Target="#'10 EVIDENCE &amp; DECISIONS'!A1624" TargetMode="External" Id="rId405"/><Relationship Type="http://schemas.openxmlformats.org/officeDocument/2006/relationships/hyperlink" Target="#'10 EVIDENCE &amp; DECISIONS'!A1625" TargetMode="External" Id="rId406"/><Relationship Type="http://schemas.openxmlformats.org/officeDocument/2006/relationships/hyperlink" Target="#'10 EVIDENCE &amp; DECISIONS'!A1626" TargetMode="External" Id="rId407"/><Relationship Type="http://schemas.openxmlformats.org/officeDocument/2006/relationships/hyperlink" Target="#'10 EVIDENCE &amp; DECISIONS'!A1627" TargetMode="External" Id="rId408"/><Relationship Type="http://schemas.openxmlformats.org/officeDocument/2006/relationships/hyperlink" Target="#'10 EVIDENCE &amp; DECISIONS'!A1628" TargetMode="External" Id="rId409"/><Relationship Type="http://schemas.openxmlformats.org/officeDocument/2006/relationships/hyperlink" Target="#'10 EVIDENCE &amp; DECISIONS'!A1284" TargetMode="External" Id="rId410"/><Relationship Type="http://schemas.openxmlformats.org/officeDocument/2006/relationships/hyperlink" Target="#'10 EVIDENCE &amp; DECISIONS'!A1324" TargetMode="External" Id="rId411"/><Relationship Type="http://schemas.openxmlformats.org/officeDocument/2006/relationships/hyperlink" Target="#'10 EVIDENCE &amp; DECISIONS'!A1285" TargetMode="External" Id="rId412"/><Relationship Type="http://schemas.openxmlformats.org/officeDocument/2006/relationships/hyperlink" Target="#'10 EVIDENCE &amp; DECISIONS'!A1325" TargetMode="External" Id="rId413"/><Relationship Type="http://schemas.openxmlformats.org/officeDocument/2006/relationships/hyperlink" Target="#'10 EVIDENCE &amp; DECISIONS'!A1286" TargetMode="External" Id="rId414"/><Relationship Type="http://schemas.openxmlformats.org/officeDocument/2006/relationships/hyperlink" Target="#'10 EVIDENCE &amp; DECISIONS'!A1326" TargetMode="External" Id="rId415"/><Relationship Type="http://schemas.openxmlformats.org/officeDocument/2006/relationships/hyperlink" Target="#'10 EVIDENCE &amp; DECISIONS'!A1287" TargetMode="External" Id="rId416"/><Relationship Type="http://schemas.openxmlformats.org/officeDocument/2006/relationships/hyperlink" Target="#'10 EVIDENCE &amp; DECISIONS'!A1327" TargetMode="External" Id="rId417"/><Relationship Type="http://schemas.openxmlformats.org/officeDocument/2006/relationships/hyperlink" Target="#'10 EVIDENCE &amp; DECISIONS'!A1288" TargetMode="External" Id="rId418"/><Relationship Type="http://schemas.openxmlformats.org/officeDocument/2006/relationships/hyperlink" Target="#'10 EVIDENCE &amp; DECISIONS'!A1328" TargetMode="External" Id="rId419"/><Relationship Type="http://schemas.openxmlformats.org/officeDocument/2006/relationships/hyperlink" Target="#'10 EVIDENCE &amp; DECISIONS'!A1289" TargetMode="External" Id="rId420"/><Relationship Type="http://schemas.openxmlformats.org/officeDocument/2006/relationships/hyperlink" Target="#'10 EVIDENCE &amp; DECISIONS'!A1329" TargetMode="External" Id="rId421"/><Relationship Type="http://schemas.openxmlformats.org/officeDocument/2006/relationships/hyperlink" Target="#'10 EVIDENCE &amp; DECISIONS'!A1290" TargetMode="External" Id="rId422"/><Relationship Type="http://schemas.openxmlformats.org/officeDocument/2006/relationships/hyperlink" Target="#'10 EVIDENCE &amp; DECISIONS'!A1330" TargetMode="External" Id="rId423"/><Relationship Type="http://schemas.openxmlformats.org/officeDocument/2006/relationships/hyperlink" Target="#'10 EVIDENCE &amp; DECISIONS'!A1291" TargetMode="External" Id="rId424"/><Relationship Type="http://schemas.openxmlformats.org/officeDocument/2006/relationships/hyperlink" Target="#'10 EVIDENCE &amp; DECISIONS'!A1331" TargetMode="External" Id="rId425"/><Relationship Type="http://schemas.openxmlformats.org/officeDocument/2006/relationships/hyperlink" Target="#'10 EVIDENCE &amp; DECISIONS'!A1292" TargetMode="External" Id="rId426"/><Relationship Type="http://schemas.openxmlformats.org/officeDocument/2006/relationships/hyperlink" Target="#'10 EVIDENCE &amp; DECISIONS'!A1332" TargetMode="External" Id="rId427"/><Relationship Type="http://schemas.openxmlformats.org/officeDocument/2006/relationships/hyperlink" Target="#'10 EVIDENCE &amp; DECISIONS'!A1293" TargetMode="External" Id="rId428"/><Relationship Type="http://schemas.openxmlformats.org/officeDocument/2006/relationships/hyperlink" Target="#'10 EVIDENCE &amp; DECISIONS'!A1333" TargetMode="External" Id="rId429"/><Relationship Type="http://schemas.openxmlformats.org/officeDocument/2006/relationships/hyperlink" Target="#'10 EVIDENCE &amp; DECISIONS'!A1294" TargetMode="External" Id="rId430"/><Relationship Type="http://schemas.openxmlformats.org/officeDocument/2006/relationships/hyperlink" Target="#'10 EVIDENCE &amp; DECISIONS'!A1334" TargetMode="External" Id="rId431"/><Relationship Type="http://schemas.openxmlformats.org/officeDocument/2006/relationships/hyperlink" Target="#'10 EVIDENCE &amp; DECISIONS'!A1295" TargetMode="External" Id="rId432"/><Relationship Type="http://schemas.openxmlformats.org/officeDocument/2006/relationships/hyperlink" Target="#'10 EVIDENCE &amp; DECISIONS'!A1335" TargetMode="External" Id="rId433"/><Relationship Type="http://schemas.openxmlformats.org/officeDocument/2006/relationships/hyperlink" Target="#'10 EVIDENCE &amp; DECISIONS'!A1296" TargetMode="External" Id="rId434"/><Relationship Type="http://schemas.openxmlformats.org/officeDocument/2006/relationships/hyperlink" Target="#'10 EVIDENCE &amp; DECISIONS'!A1336" TargetMode="External" Id="rId435"/><Relationship Type="http://schemas.openxmlformats.org/officeDocument/2006/relationships/hyperlink" Target="#'10 EVIDENCE &amp; DECISIONS'!A1297" TargetMode="External" Id="rId436"/><Relationship Type="http://schemas.openxmlformats.org/officeDocument/2006/relationships/hyperlink" Target="#'10 EVIDENCE &amp; DECISIONS'!A1337" TargetMode="External" Id="rId437"/><Relationship Type="http://schemas.openxmlformats.org/officeDocument/2006/relationships/hyperlink" Target="#'10 EVIDENCE &amp; DECISIONS'!A1298" TargetMode="External" Id="rId438"/><Relationship Type="http://schemas.openxmlformats.org/officeDocument/2006/relationships/hyperlink" Target="#'10 EVIDENCE &amp; DECISIONS'!A1338" TargetMode="External" Id="rId439"/><Relationship Type="http://schemas.openxmlformats.org/officeDocument/2006/relationships/hyperlink" Target="#'10 EVIDENCE &amp; DECISIONS'!A1299" TargetMode="External" Id="rId440"/><Relationship Type="http://schemas.openxmlformats.org/officeDocument/2006/relationships/hyperlink" Target="#'10 EVIDENCE &amp; DECISIONS'!A1339" TargetMode="External" Id="rId441"/><Relationship Type="http://schemas.openxmlformats.org/officeDocument/2006/relationships/hyperlink" Target="#'10 EVIDENCE &amp; DECISIONS'!A1300" TargetMode="External" Id="rId442"/><Relationship Type="http://schemas.openxmlformats.org/officeDocument/2006/relationships/hyperlink" Target="#'10 EVIDENCE &amp; DECISIONS'!A1340" TargetMode="External" Id="rId443"/><Relationship Type="http://schemas.openxmlformats.org/officeDocument/2006/relationships/hyperlink" Target="#'10 EVIDENCE &amp; DECISIONS'!A1301" TargetMode="External" Id="rId444"/><Relationship Type="http://schemas.openxmlformats.org/officeDocument/2006/relationships/hyperlink" Target="#'10 EVIDENCE &amp; DECISIONS'!A1341" TargetMode="External" Id="rId445"/><Relationship Type="http://schemas.openxmlformats.org/officeDocument/2006/relationships/hyperlink" Target="#'10 EVIDENCE &amp; DECISIONS'!A1302" TargetMode="External" Id="rId446"/><Relationship Type="http://schemas.openxmlformats.org/officeDocument/2006/relationships/hyperlink" Target="#'10 EVIDENCE &amp; DECISIONS'!A1342" TargetMode="External" Id="rId447"/><Relationship Type="http://schemas.openxmlformats.org/officeDocument/2006/relationships/hyperlink" Target="#'10 EVIDENCE &amp; DECISIONS'!A1303" TargetMode="External" Id="rId448"/><Relationship Type="http://schemas.openxmlformats.org/officeDocument/2006/relationships/hyperlink" Target="#'10 EVIDENCE &amp; DECISIONS'!A1343" TargetMode="External" Id="rId449"/><Relationship Type="http://schemas.openxmlformats.org/officeDocument/2006/relationships/hyperlink" Target="#'10 EVIDENCE &amp; DECISIONS'!A1304" TargetMode="External" Id="rId450"/><Relationship Type="http://schemas.openxmlformats.org/officeDocument/2006/relationships/hyperlink" Target="#'10 EVIDENCE &amp; DECISIONS'!A1344" TargetMode="External" Id="rId451"/><Relationship Type="http://schemas.openxmlformats.org/officeDocument/2006/relationships/hyperlink" Target="#'10 EVIDENCE &amp; DECISIONS'!A1305" TargetMode="External" Id="rId452"/><Relationship Type="http://schemas.openxmlformats.org/officeDocument/2006/relationships/hyperlink" Target="#'10 EVIDENCE &amp; DECISIONS'!A1345" TargetMode="External" Id="rId453"/><Relationship Type="http://schemas.openxmlformats.org/officeDocument/2006/relationships/hyperlink" Target="#'10 EVIDENCE &amp; DECISIONS'!A1306" TargetMode="External" Id="rId454"/><Relationship Type="http://schemas.openxmlformats.org/officeDocument/2006/relationships/hyperlink" Target="#'10 EVIDENCE &amp; DECISIONS'!A1346" TargetMode="External" Id="rId455"/><Relationship Type="http://schemas.openxmlformats.org/officeDocument/2006/relationships/hyperlink" Target="#'10 EVIDENCE &amp; DECISIONS'!A1307" TargetMode="External" Id="rId456"/><Relationship Type="http://schemas.openxmlformats.org/officeDocument/2006/relationships/hyperlink" Target="#'10 EVIDENCE &amp; DECISIONS'!A1347" TargetMode="External" Id="rId457"/><Relationship Type="http://schemas.openxmlformats.org/officeDocument/2006/relationships/hyperlink" Target="#'10 EVIDENCE &amp; DECISIONS'!A1308" TargetMode="External" Id="rId458"/><Relationship Type="http://schemas.openxmlformats.org/officeDocument/2006/relationships/hyperlink" Target="#'10 EVIDENCE &amp; DECISIONS'!A1348" TargetMode="External" Id="rId459"/><Relationship Type="http://schemas.openxmlformats.org/officeDocument/2006/relationships/hyperlink" Target="#'10 EVIDENCE &amp; DECISIONS'!A1309" TargetMode="External" Id="rId460"/><Relationship Type="http://schemas.openxmlformats.org/officeDocument/2006/relationships/hyperlink" Target="#'10 EVIDENCE &amp; DECISIONS'!A1349" TargetMode="External" Id="rId461"/><Relationship Type="http://schemas.openxmlformats.org/officeDocument/2006/relationships/hyperlink" Target="#'10 EVIDENCE &amp; DECISIONS'!A1310" TargetMode="External" Id="rId462"/><Relationship Type="http://schemas.openxmlformats.org/officeDocument/2006/relationships/hyperlink" Target="#'10 EVIDENCE &amp; DECISIONS'!A1350" TargetMode="External" Id="rId463"/><Relationship Type="http://schemas.openxmlformats.org/officeDocument/2006/relationships/hyperlink" Target="#'10 EVIDENCE &amp; DECISIONS'!A1311" TargetMode="External" Id="rId464"/><Relationship Type="http://schemas.openxmlformats.org/officeDocument/2006/relationships/hyperlink" Target="#'10 EVIDENCE &amp; DECISIONS'!A1351" TargetMode="External" Id="rId465"/><Relationship Type="http://schemas.openxmlformats.org/officeDocument/2006/relationships/hyperlink" Target="#'10 EVIDENCE &amp; DECISIONS'!A1312" TargetMode="External" Id="rId466"/><Relationship Type="http://schemas.openxmlformats.org/officeDocument/2006/relationships/hyperlink" Target="#'10 EVIDENCE &amp; DECISIONS'!A1352" TargetMode="External" Id="rId467"/><Relationship Type="http://schemas.openxmlformats.org/officeDocument/2006/relationships/hyperlink" Target="#'10 EVIDENCE &amp; DECISIONS'!A1313" TargetMode="External" Id="rId468"/><Relationship Type="http://schemas.openxmlformats.org/officeDocument/2006/relationships/hyperlink" Target="#'10 EVIDENCE &amp; DECISIONS'!A1353" TargetMode="External" Id="rId469"/><Relationship Type="http://schemas.openxmlformats.org/officeDocument/2006/relationships/hyperlink" Target="#'10 EVIDENCE &amp; DECISIONS'!A1314" TargetMode="External" Id="rId470"/><Relationship Type="http://schemas.openxmlformats.org/officeDocument/2006/relationships/hyperlink" Target="#'10 EVIDENCE &amp; DECISIONS'!A1354" TargetMode="External" Id="rId471"/><Relationship Type="http://schemas.openxmlformats.org/officeDocument/2006/relationships/hyperlink" Target="#'10 EVIDENCE &amp; DECISIONS'!A1315" TargetMode="External" Id="rId472"/><Relationship Type="http://schemas.openxmlformats.org/officeDocument/2006/relationships/hyperlink" Target="#'10 EVIDENCE &amp; DECISIONS'!A1355" TargetMode="External" Id="rId473"/><Relationship Type="http://schemas.openxmlformats.org/officeDocument/2006/relationships/hyperlink" Target="#'10 EVIDENCE &amp; DECISIONS'!A1316" TargetMode="External" Id="rId474"/><Relationship Type="http://schemas.openxmlformats.org/officeDocument/2006/relationships/hyperlink" Target="#'10 EVIDENCE &amp; DECISIONS'!A1356" TargetMode="External" Id="rId475"/><Relationship Type="http://schemas.openxmlformats.org/officeDocument/2006/relationships/hyperlink" Target="#'10 EVIDENCE &amp; DECISIONS'!A1317" TargetMode="External" Id="rId476"/><Relationship Type="http://schemas.openxmlformats.org/officeDocument/2006/relationships/hyperlink" Target="#'10 EVIDENCE &amp; DECISIONS'!A1357" TargetMode="External" Id="rId477"/><Relationship Type="http://schemas.openxmlformats.org/officeDocument/2006/relationships/hyperlink" Target="#'10 EVIDENCE &amp; DECISIONS'!A1318" TargetMode="External" Id="rId478"/><Relationship Type="http://schemas.openxmlformats.org/officeDocument/2006/relationships/hyperlink" Target="#'10 EVIDENCE &amp; DECISIONS'!A1358" TargetMode="External" Id="rId479"/><Relationship Type="http://schemas.openxmlformats.org/officeDocument/2006/relationships/hyperlink" Target="#'10 EVIDENCE &amp; DECISIONS'!A1319" TargetMode="External" Id="rId480"/><Relationship Type="http://schemas.openxmlformats.org/officeDocument/2006/relationships/hyperlink" Target="#'10 EVIDENCE &amp; DECISIONS'!A1359" TargetMode="External" Id="rId481"/><Relationship Type="http://schemas.openxmlformats.org/officeDocument/2006/relationships/hyperlink" Target="#'10 EVIDENCE &amp; DECISIONS'!A1320" TargetMode="External" Id="rId482"/><Relationship Type="http://schemas.openxmlformats.org/officeDocument/2006/relationships/hyperlink" Target="#'10 EVIDENCE &amp; DECISIONS'!A1360" TargetMode="External" Id="rId483"/><Relationship Type="http://schemas.openxmlformats.org/officeDocument/2006/relationships/hyperlink" Target="#'10 EVIDENCE &amp; DECISIONS'!A1321" TargetMode="External" Id="rId484"/><Relationship Type="http://schemas.openxmlformats.org/officeDocument/2006/relationships/hyperlink" Target="#'10 EVIDENCE &amp; DECISIONS'!A1361" TargetMode="External" Id="rId485"/><Relationship Type="http://schemas.openxmlformats.org/officeDocument/2006/relationships/hyperlink" Target="#'10 EVIDENCE &amp; DECISIONS'!A1322" TargetMode="External" Id="rId486"/><Relationship Type="http://schemas.openxmlformats.org/officeDocument/2006/relationships/hyperlink" Target="#'10 EVIDENCE &amp; DECISIONS'!A1362" TargetMode="External" Id="rId487"/><Relationship Type="http://schemas.openxmlformats.org/officeDocument/2006/relationships/hyperlink" Target="#'10 EVIDENCE &amp; DECISIONS'!A1323" TargetMode="External" Id="rId488"/><Relationship Type="http://schemas.openxmlformats.org/officeDocument/2006/relationships/hyperlink" Target="#'10 EVIDENCE &amp; DECISIONS'!A1363" TargetMode="External" Id="rId489"/><Relationship Type="http://schemas.openxmlformats.org/officeDocument/2006/relationships/hyperlink" Target="#'10 EVIDENCE &amp; DECISIONS'!A6" TargetMode="External" Id="rId490"/><Relationship Type="http://schemas.openxmlformats.org/officeDocument/2006/relationships/hyperlink" Target="#'10 EVIDENCE &amp; DECISIONS'!A7" TargetMode="External" Id="rId491"/><Relationship Type="http://schemas.openxmlformats.org/officeDocument/2006/relationships/hyperlink" Target="#'10 EVIDENCE &amp; DECISIONS'!A8" TargetMode="External" Id="rId492"/><Relationship Type="http://schemas.openxmlformats.org/officeDocument/2006/relationships/hyperlink" Target="#'10 EVIDENCE &amp; DECISIONS'!A9" TargetMode="External" Id="rId493"/><Relationship Type="http://schemas.openxmlformats.org/officeDocument/2006/relationships/hyperlink" Target="#'10 EVIDENCE &amp; DECISIONS'!A10" TargetMode="External" Id="rId494"/><Relationship Type="http://schemas.openxmlformats.org/officeDocument/2006/relationships/hyperlink" Target="#'10 EVIDENCE &amp; DECISIONS'!A11" TargetMode="External" Id="rId495"/><Relationship Type="http://schemas.openxmlformats.org/officeDocument/2006/relationships/hyperlink" Target="#'10 EVIDENCE &amp; DECISIONS'!A12" TargetMode="External" Id="rId496"/><Relationship Type="http://schemas.openxmlformats.org/officeDocument/2006/relationships/hyperlink" Target="#'10 EVIDENCE &amp; DECISIONS'!A13" TargetMode="External" Id="rId497"/><Relationship Type="http://schemas.openxmlformats.org/officeDocument/2006/relationships/hyperlink" Target="#'10 EVIDENCE &amp; DECISIONS'!A14" TargetMode="External" Id="rId498"/><Relationship Type="http://schemas.openxmlformats.org/officeDocument/2006/relationships/hyperlink" Target="#'10 EVIDENCE &amp; DECISIONS'!A15" TargetMode="External" Id="rId499"/><Relationship Type="http://schemas.openxmlformats.org/officeDocument/2006/relationships/hyperlink" Target="#'10 EVIDENCE &amp; DECISIONS'!A277" TargetMode="External" Id="rId500"/><Relationship Type="http://schemas.openxmlformats.org/officeDocument/2006/relationships/hyperlink" Target="#'10 EVIDENCE &amp; DECISIONS'!A278" TargetMode="External" Id="rId501"/><Relationship Type="http://schemas.openxmlformats.org/officeDocument/2006/relationships/hyperlink" Target="#'10 EVIDENCE &amp; DECISIONS'!A279" TargetMode="External" Id="rId502"/><Relationship Type="http://schemas.openxmlformats.org/officeDocument/2006/relationships/hyperlink" Target="#'10 EVIDENCE &amp; DECISIONS'!A280" TargetMode="External" Id="rId503"/><Relationship Type="http://schemas.openxmlformats.org/officeDocument/2006/relationships/hyperlink" Target="#'10 EVIDENCE &amp; DECISIONS'!A281" TargetMode="External" Id="rId504"/><Relationship Type="http://schemas.openxmlformats.org/officeDocument/2006/relationships/hyperlink" Target="#'10 EVIDENCE &amp; DECISIONS'!A282" TargetMode="External" Id="rId505"/><Relationship Type="http://schemas.openxmlformats.org/officeDocument/2006/relationships/hyperlink" Target="#'10 EVIDENCE &amp; DECISIONS'!A283" TargetMode="External" Id="rId506"/><Relationship Type="http://schemas.openxmlformats.org/officeDocument/2006/relationships/hyperlink" Target="#'10 EVIDENCE &amp; DECISIONS'!A284" TargetMode="External" Id="rId507"/><Relationship Type="http://schemas.openxmlformats.org/officeDocument/2006/relationships/hyperlink" Target="#'10 EVIDENCE &amp; DECISIONS'!A285" TargetMode="External" Id="rId508"/><Relationship Type="http://schemas.openxmlformats.org/officeDocument/2006/relationships/hyperlink" Target="#'10 EVIDENCE &amp; DECISIONS'!A286" TargetMode="External" Id="rId509"/><Relationship Type="http://schemas.openxmlformats.org/officeDocument/2006/relationships/hyperlink" Target="#'10 EVIDENCE &amp; DECISIONS'!A546" TargetMode="External" Id="rId510"/><Relationship Type="http://schemas.openxmlformats.org/officeDocument/2006/relationships/hyperlink" Target="#'10 EVIDENCE &amp; DECISIONS'!A547" TargetMode="External" Id="rId511"/><Relationship Type="http://schemas.openxmlformats.org/officeDocument/2006/relationships/hyperlink" Target="#'10 EVIDENCE &amp; DECISIONS'!A548" TargetMode="External" Id="rId512"/><Relationship Type="http://schemas.openxmlformats.org/officeDocument/2006/relationships/hyperlink" Target="#'10 EVIDENCE &amp; DECISIONS'!A549" TargetMode="External" Id="rId513"/><Relationship Type="http://schemas.openxmlformats.org/officeDocument/2006/relationships/hyperlink" Target="#'10 EVIDENCE &amp; DECISIONS'!A550" TargetMode="External" Id="rId514"/><Relationship Type="http://schemas.openxmlformats.org/officeDocument/2006/relationships/hyperlink" Target="#'10 EVIDENCE &amp; DECISIONS'!A551" TargetMode="External" Id="rId515"/><Relationship Type="http://schemas.openxmlformats.org/officeDocument/2006/relationships/hyperlink" Target="#'10 EVIDENCE &amp; DECISIONS'!A552" TargetMode="External" Id="rId516"/><Relationship Type="http://schemas.openxmlformats.org/officeDocument/2006/relationships/hyperlink" Target="#'10 EVIDENCE &amp; DECISIONS'!A553" TargetMode="External" Id="rId517"/><Relationship Type="http://schemas.openxmlformats.org/officeDocument/2006/relationships/hyperlink" Target="#'10 EVIDENCE &amp; DECISIONS'!A554" TargetMode="External" Id="rId518"/><Relationship Type="http://schemas.openxmlformats.org/officeDocument/2006/relationships/hyperlink" Target="#'10 EVIDENCE &amp; DECISIONS'!A555" TargetMode="External" Id="rId519"/><Relationship Type="http://schemas.openxmlformats.org/officeDocument/2006/relationships/hyperlink" Target="#'10 EVIDENCE &amp; DECISIONS'!A815" TargetMode="External" Id="rId520"/><Relationship Type="http://schemas.openxmlformats.org/officeDocument/2006/relationships/hyperlink" Target="#'10 EVIDENCE &amp; DECISIONS'!A816" TargetMode="External" Id="rId521"/><Relationship Type="http://schemas.openxmlformats.org/officeDocument/2006/relationships/hyperlink" Target="#'10 EVIDENCE &amp; DECISIONS'!A817" TargetMode="External" Id="rId522"/><Relationship Type="http://schemas.openxmlformats.org/officeDocument/2006/relationships/hyperlink" Target="#'10 EVIDENCE &amp; DECISIONS'!A818" TargetMode="External" Id="rId523"/><Relationship Type="http://schemas.openxmlformats.org/officeDocument/2006/relationships/hyperlink" Target="#'10 EVIDENCE &amp; DECISIONS'!A819" TargetMode="External" Id="rId524"/><Relationship Type="http://schemas.openxmlformats.org/officeDocument/2006/relationships/hyperlink" Target="#'10 EVIDENCE &amp; DECISIONS'!A820" TargetMode="External" Id="rId525"/><Relationship Type="http://schemas.openxmlformats.org/officeDocument/2006/relationships/hyperlink" Target="#'10 EVIDENCE &amp; DECISIONS'!A821" TargetMode="External" Id="rId526"/><Relationship Type="http://schemas.openxmlformats.org/officeDocument/2006/relationships/hyperlink" Target="#'10 EVIDENCE &amp; DECISIONS'!A822" TargetMode="External" Id="rId527"/><Relationship Type="http://schemas.openxmlformats.org/officeDocument/2006/relationships/hyperlink" Target="#'10 EVIDENCE &amp; DECISIONS'!A823" TargetMode="External" Id="rId528"/><Relationship Type="http://schemas.openxmlformats.org/officeDocument/2006/relationships/hyperlink" Target="#'10 EVIDENCE &amp; DECISIONS'!A824" TargetMode="External" Id="rId529"/><Relationship Type="http://schemas.openxmlformats.org/officeDocument/2006/relationships/hyperlink" Target="#'10 EVIDENCE &amp; DECISIONS'!A1084" TargetMode="External" Id="rId530"/><Relationship Type="http://schemas.openxmlformats.org/officeDocument/2006/relationships/hyperlink" Target="#'10 EVIDENCE &amp; DECISIONS'!A1085" TargetMode="External" Id="rId531"/><Relationship Type="http://schemas.openxmlformats.org/officeDocument/2006/relationships/hyperlink" Target="#'10 EVIDENCE &amp; DECISIONS'!A1086" TargetMode="External" Id="rId532"/><Relationship Type="http://schemas.openxmlformats.org/officeDocument/2006/relationships/hyperlink" Target="#'10 EVIDENCE &amp; DECISIONS'!A1087" TargetMode="External" Id="rId533"/><Relationship Type="http://schemas.openxmlformats.org/officeDocument/2006/relationships/hyperlink" Target="#'10 EVIDENCE &amp; DECISIONS'!A1088" TargetMode="External" Id="rId534"/><Relationship Type="http://schemas.openxmlformats.org/officeDocument/2006/relationships/hyperlink" Target="#'10 EVIDENCE &amp; DECISIONS'!A1089" TargetMode="External" Id="rId535"/><Relationship Type="http://schemas.openxmlformats.org/officeDocument/2006/relationships/hyperlink" Target="#'10 EVIDENCE &amp; DECISIONS'!A1090" TargetMode="External" Id="rId536"/><Relationship Type="http://schemas.openxmlformats.org/officeDocument/2006/relationships/hyperlink" Target="#'10 EVIDENCE &amp; DECISIONS'!A1091" TargetMode="External" Id="rId537"/><Relationship Type="http://schemas.openxmlformats.org/officeDocument/2006/relationships/hyperlink" Target="#'10 EVIDENCE &amp; DECISIONS'!A1092" TargetMode="External" Id="rId538"/><Relationship Type="http://schemas.openxmlformats.org/officeDocument/2006/relationships/hyperlink" Target="#'10 EVIDENCE &amp; DECISIONS'!A1093" TargetMode="External" Id="rId539"/><Relationship Type="http://schemas.openxmlformats.org/officeDocument/2006/relationships/hyperlink" Target="#'10 EVIDENCE &amp; DECISIONS'!A1274" TargetMode="External" Id="rId540"/><Relationship Type="http://schemas.openxmlformats.org/officeDocument/2006/relationships/hyperlink" Target="#'10 EVIDENCE &amp; DECISIONS'!A1275" TargetMode="External" Id="rId541"/><Relationship Type="http://schemas.openxmlformats.org/officeDocument/2006/relationships/hyperlink" Target="#'10 EVIDENCE &amp; DECISIONS'!A1276" TargetMode="External" Id="rId542"/><Relationship Type="http://schemas.openxmlformats.org/officeDocument/2006/relationships/hyperlink" Target="#'10 EVIDENCE &amp; DECISIONS'!A1277" TargetMode="External" Id="rId543"/><Relationship Type="http://schemas.openxmlformats.org/officeDocument/2006/relationships/hyperlink" Target="#'10 EVIDENCE &amp; DECISIONS'!A1278" TargetMode="External" Id="rId544"/><Relationship Type="http://schemas.openxmlformats.org/officeDocument/2006/relationships/hyperlink" Target="#'10 EVIDENCE &amp; DECISIONS'!A1279" TargetMode="External" Id="rId545"/><Relationship Type="http://schemas.openxmlformats.org/officeDocument/2006/relationships/hyperlink" Target="#'10 EVIDENCE &amp; DECISIONS'!A1280" TargetMode="External" Id="rId546"/><Relationship Type="http://schemas.openxmlformats.org/officeDocument/2006/relationships/hyperlink" Target="#'10 EVIDENCE &amp; DECISIONS'!A1281" TargetMode="External" Id="rId547"/><Relationship Type="http://schemas.openxmlformats.org/officeDocument/2006/relationships/hyperlink" Target="#'10 EVIDENCE &amp; DECISIONS'!A1282" TargetMode="External" Id="rId548"/><Relationship Type="http://schemas.openxmlformats.org/officeDocument/2006/relationships/hyperlink" Target="#'10 EVIDENCE &amp; DECISIONS'!A1283" TargetMode="External" Id="rId549"/><Relationship Type="http://schemas.openxmlformats.org/officeDocument/2006/relationships/hyperlink" Target="#'10 EVIDENCE &amp; DECISIONS'!A16" TargetMode="External" Id="rId550"/><Relationship Type="http://schemas.openxmlformats.org/officeDocument/2006/relationships/hyperlink" Target="#'10 EVIDENCE &amp; DECISIONS'!A17" TargetMode="External" Id="rId551"/><Relationship Type="http://schemas.openxmlformats.org/officeDocument/2006/relationships/hyperlink" Target="#'10 EVIDENCE &amp; DECISIONS'!A176" TargetMode="External" Id="rId552"/><Relationship Type="http://schemas.openxmlformats.org/officeDocument/2006/relationships/hyperlink" Target="#'10 EVIDENCE &amp; DECISIONS'!A18" TargetMode="External" Id="rId553"/><Relationship Type="http://schemas.openxmlformats.org/officeDocument/2006/relationships/hyperlink" Target="#'10 EVIDENCE &amp; DECISIONS'!A19" TargetMode="External" Id="rId554"/><Relationship Type="http://schemas.openxmlformats.org/officeDocument/2006/relationships/hyperlink" Target="#'10 EVIDENCE &amp; DECISIONS'!A177" TargetMode="External" Id="rId555"/><Relationship Type="http://schemas.openxmlformats.org/officeDocument/2006/relationships/hyperlink" Target="#'10 EVIDENCE &amp; DECISIONS'!A20" TargetMode="External" Id="rId556"/><Relationship Type="http://schemas.openxmlformats.org/officeDocument/2006/relationships/hyperlink" Target="#'10 EVIDENCE &amp; DECISIONS'!A21" TargetMode="External" Id="rId557"/><Relationship Type="http://schemas.openxmlformats.org/officeDocument/2006/relationships/hyperlink" Target="#'10 EVIDENCE &amp; DECISIONS'!A178" TargetMode="External" Id="rId558"/><Relationship Type="http://schemas.openxmlformats.org/officeDocument/2006/relationships/hyperlink" Target="#'10 EVIDENCE &amp; DECISIONS'!A22" TargetMode="External" Id="rId559"/><Relationship Type="http://schemas.openxmlformats.org/officeDocument/2006/relationships/hyperlink" Target="#'10 EVIDENCE &amp; DECISIONS'!A23" TargetMode="External" Id="rId560"/><Relationship Type="http://schemas.openxmlformats.org/officeDocument/2006/relationships/hyperlink" Target="#'10 EVIDENCE &amp; DECISIONS'!A179" TargetMode="External" Id="rId561"/><Relationship Type="http://schemas.openxmlformats.org/officeDocument/2006/relationships/hyperlink" Target="#'10 EVIDENCE &amp; DECISIONS'!A24" TargetMode="External" Id="rId562"/><Relationship Type="http://schemas.openxmlformats.org/officeDocument/2006/relationships/hyperlink" Target="#'10 EVIDENCE &amp; DECISIONS'!A25" TargetMode="External" Id="rId563"/><Relationship Type="http://schemas.openxmlformats.org/officeDocument/2006/relationships/hyperlink" Target="#'10 EVIDENCE &amp; DECISIONS'!A180" TargetMode="External" Id="rId564"/><Relationship Type="http://schemas.openxmlformats.org/officeDocument/2006/relationships/hyperlink" Target="#'10 EVIDENCE &amp; DECISIONS'!A26" TargetMode="External" Id="rId565"/><Relationship Type="http://schemas.openxmlformats.org/officeDocument/2006/relationships/hyperlink" Target="#'10 EVIDENCE &amp; DECISIONS'!A27" TargetMode="External" Id="rId566"/><Relationship Type="http://schemas.openxmlformats.org/officeDocument/2006/relationships/hyperlink" Target="#'10 EVIDENCE &amp; DECISIONS'!A181" TargetMode="External" Id="rId567"/><Relationship Type="http://schemas.openxmlformats.org/officeDocument/2006/relationships/hyperlink" Target="#'10 EVIDENCE &amp; DECISIONS'!A28" TargetMode="External" Id="rId568"/><Relationship Type="http://schemas.openxmlformats.org/officeDocument/2006/relationships/hyperlink" Target="#'10 EVIDENCE &amp; DECISIONS'!A29" TargetMode="External" Id="rId569"/><Relationship Type="http://schemas.openxmlformats.org/officeDocument/2006/relationships/hyperlink" Target="#'10 EVIDENCE &amp; DECISIONS'!A182" TargetMode="External" Id="rId570"/><Relationship Type="http://schemas.openxmlformats.org/officeDocument/2006/relationships/hyperlink" Target="#'10 EVIDENCE &amp; DECISIONS'!A30" TargetMode="External" Id="rId571"/><Relationship Type="http://schemas.openxmlformats.org/officeDocument/2006/relationships/hyperlink" Target="#'10 EVIDENCE &amp; DECISIONS'!A31" TargetMode="External" Id="rId572"/><Relationship Type="http://schemas.openxmlformats.org/officeDocument/2006/relationships/hyperlink" Target="#'10 EVIDENCE &amp; DECISIONS'!A183" TargetMode="External" Id="rId573"/><Relationship Type="http://schemas.openxmlformats.org/officeDocument/2006/relationships/hyperlink" Target="#'10 EVIDENCE &amp; DECISIONS'!A32" TargetMode="External" Id="rId574"/><Relationship Type="http://schemas.openxmlformats.org/officeDocument/2006/relationships/hyperlink" Target="#'10 EVIDENCE &amp; DECISIONS'!A33" TargetMode="External" Id="rId575"/><Relationship Type="http://schemas.openxmlformats.org/officeDocument/2006/relationships/hyperlink" Target="#'10 EVIDENCE &amp; DECISIONS'!A184" TargetMode="External" Id="rId576"/><Relationship Type="http://schemas.openxmlformats.org/officeDocument/2006/relationships/hyperlink" Target="#'10 EVIDENCE &amp; DECISIONS'!A34" TargetMode="External" Id="rId577"/><Relationship Type="http://schemas.openxmlformats.org/officeDocument/2006/relationships/hyperlink" Target="#'10 EVIDENCE &amp; DECISIONS'!A35" TargetMode="External" Id="rId578"/><Relationship Type="http://schemas.openxmlformats.org/officeDocument/2006/relationships/hyperlink" Target="#'10 EVIDENCE &amp; DECISIONS'!A185" TargetMode="External" Id="rId579"/><Relationship Type="http://schemas.openxmlformats.org/officeDocument/2006/relationships/hyperlink" Target="#'10 EVIDENCE &amp; DECISIONS'!A36" TargetMode="External" Id="rId580"/><Relationship Type="http://schemas.openxmlformats.org/officeDocument/2006/relationships/hyperlink" Target="#'10 EVIDENCE &amp; DECISIONS'!A37" TargetMode="External" Id="rId581"/><Relationship Type="http://schemas.openxmlformats.org/officeDocument/2006/relationships/hyperlink" Target="#'10 EVIDENCE &amp; DECISIONS'!A186" TargetMode="External" Id="rId582"/><Relationship Type="http://schemas.openxmlformats.org/officeDocument/2006/relationships/hyperlink" Target="#'10 EVIDENCE &amp; DECISIONS'!A38" TargetMode="External" Id="rId583"/><Relationship Type="http://schemas.openxmlformats.org/officeDocument/2006/relationships/hyperlink" Target="#'10 EVIDENCE &amp; DECISIONS'!A39" TargetMode="External" Id="rId584"/><Relationship Type="http://schemas.openxmlformats.org/officeDocument/2006/relationships/hyperlink" Target="#'10 EVIDENCE &amp; DECISIONS'!A187" TargetMode="External" Id="rId585"/><Relationship Type="http://schemas.openxmlformats.org/officeDocument/2006/relationships/hyperlink" Target="#'10 EVIDENCE &amp; DECISIONS'!A40" TargetMode="External" Id="rId586"/><Relationship Type="http://schemas.openxmlformats.org/officeDocument/2006/relationships/hyperlink" Target="#'10 EVIDENCE &amp; DECISIONS'!A41" TargetMode="External" Id="rId587"/><Relationship Type="http://schemas.openxmlformats.org/officeDocument/2006/relationships/hyperlink" Target="#'10 EVIDENCE &amp; DECISIONS'!A188" TargetMode="External" Id="rId588"/><Relationship Type="http://schemas.openxmlformats.org/officeDocument/2006/relationships/hyperlink" Target="#'10 EVIDENCE &amp; DECISIONS'!A42" TargetMode="External" Id="rId589"/><Relationship Type="http://schemas.openxmlformats.org/officeDocument/2006/relationships/hyperlink" Target="#'10 EVIDENCE &amp; DECISIONS'!A43" TargetMode="External" Id="rId590"/><Relationship Type="http://schemas.openxmlformats.org/officeDocument/2006/relationships/hyperlink" Target="#'10 EVIDENCE &amp; DECISIONS'!A189" TargetMode="External" Id="rId591"/><Relationship Type="http://schemas.openxmlformats.org/officeDocument/2006/relationships/hyperlink" Target="#'10 EVIDENCE &amp; DECISIONS'!A44" TargetMode="External" Id="rId592"/><Relationship Type="http://schemas.openxmlformats.org/officeDocument/2006/relationships/hyperlink" Target="#'10 EVIDENCE &amp; DECISIONS'!A45" TargetMode="External" Id="rId593"/><Relationship Type="http://schemas.openxmlformats.org/officeDocument/2006/relationships/hyperlink" Target="#'10 EVIDENCE &amp; DECISIONS'!A190" TargetMode="External" Id="rId594"/><Relationship Type="http://schemas.openxmlformats.org/officeDocument/2006/relationships/hyperlink" Target="#'10 EVIDENCE &amp; DECISIONS'!A46" TargetMode="External" Id="rId595"/><Relationship Type="http://schemas.openxmlformats.org/officeDocument/2006/relationships/hyperlink" Target="#'10 EVIDENCE &amp; DECISIONS'!A47" TargetMode="External" Id="rId596"/><Relationship Type="http://schemas.openxmlformats.org/officeDocument/2006/relationships/hyperlink" Target="#'10 EVIDENCE &amp; DECISIONS'!A191" TargetMode="External" Id="rId597"/><Relationship Type="http://schemas.openxmlformats.org/officeDocument/2006/relationships/hyperlink" Target="#'10 EVIDENCE &amp; DECISIONS'!A48" TargetMode="External" Id="rId598"/><Relationship Type="http://schemas.openxmlformats.org/officeDocument/2006/relationships/hyperlink" Target="#'10 EVIDENCE &amp; DECISIONS'!A49" TargetMode="External" Id="rId599"/><Relationship Type="http://schemas.openxmlformats.org/officeDocument/2006/relationships/hyperlink" Target="#'10 EVIDENCE &amp; DECISIONS'!A192" TargetMode="External" Id="rId600"/><Relationship Type="http://schemas.openxmlformats.org/officeDocument/2006/relationships/hyperlink" Target="#'10 EVIDENCE &amp; DECISIONS'!A50" TargetMode="External" Id="rId601"/><Relationship Type="http://schemas.openxmlformats.org/officeDocument/2006/relationships/hyperlink" Target="#'10 EVIDENCE &amp; DECISIONS'!A51" TargetMode="External" Id="rId602"/><Relationship Type="http://schemas.openxmlformats.org/officeDocument/2006/relationships/hyperlink" Target="#'10 EVIDENCE &amp; DECISIONS'!A193" TargetMode="External" Id="rId603"/><Relationship Type="http://schemas.openxmlformats.org/officeDocument/2006/relationships/hyperlink" Target="#'10 EVIDENCE &amp; DECISIONS'!A52" TargetMode="External" Id="rId604"/><Relationship Type="http://schemas.openxmlformats.org/officeDocument/2006/relationships/hyperlink" Target="#'10 EVIDENCE &amp; DECISIONS'!A53" TargetMode="External" Id="rId605"/><Relationship Type="http://schemas.openxmlformats.org/officeDocument/2006/relationships/hyperlink" Target="#'10 EVIDENCE &amp; DECISIONS'!A194" TargetMode="External" Id="rId606"/><Relationship Type="http://schemas.openxmlformats.org/officeDocument/2006/relationships/hyperlink" Target="#'10 EVIDENCE &amp; DECISIONS'!A54" TargetMode="External" Id="rId607"/><Relationship Type="http://schemas.openxmlformats.org/officeDocument/2006/relationships/hyperlink" Target="#'10 EVIDENCE &amp; DECISIONS'!A55" TargetMode="External" Id="rId608"/><Relationship Type="http://schemas.openxmlformats.org/officeDocument/2006/relationships/hyperlink" Target="#'10 EVIDENCE &amp; DECISIONS'!A195" TargetMode="External" Id="rId609"/><Relationship Type="http://schemas.openxmlformats.org/officeDocument/2006/relationships/hyperlink" Target="#'10 EVIDENCE &amp; DECISIONS'!A56" TargetMode="External" Id="rId610"/><Relationship Type="http://schemas.openxmlformats.org/officeDocument/2006/relationships/hyperlink" Target="#'10 EVIDENCE &amp; DECISIONS'!A57" TargetMode="External" Id="rId611"/><Relationship Type="http://schemas.openxmlformats.org/officeDocument/2006/relationships/hyperlink" Target="#'10 EVIDENCE &amp; DECISIONS'!A196" TargetMode="External" Id="rId612"/><Relationship Type="http://schemas.openxmlformats.org/officeDocument/2006/relationships/hyperlink" Target="#'10 EVIDENCE &amp; DECISIONS'!A58" TargetMode="External" Id="rId613"/><Relationship Type="http://schemas.openxmlformats.org/officeDocument/2006/relationships/hyperlink" Target="#'10 EVIDENCE &amp; DECISIONS'!A59" TargetMode="External" Id="rId614"/><Relationship Type="http://schemas.openxmlformats.org/officeDocument/2006/relationships/hyperlink" Target="#'10 EVIDENCE &amp; DECISIONS'!A197" TargetMode="External" Id="rId615"/><Relationship Type="http://schemas.openxmlformats.org/officeDocument/2006/relationships/hyperlink" Target="#'10 EVIDENCE &amp; DECISIONS'!A60" TargetMode="External" Id="rId616"/><Relationship Type="http://schemas.openxmlformats.org/officeDocument/2006/relationships/hyperlink" Target="#'10 EVIDENCE &amp; DECISIONS'!A61" TargetMode="External" Id="rId617"/><Relationship Type="http://schemas.openxmlformats.org/officeDocument/2006/relationships/hyperlink" Target="#'10 EVIDENCE &amp; DECISIONS'!A198" TargetMode="External" Id="rId618"/><Relationship Type="http://schemas.openxmlformats.org/officeDocument/2006/relationships/hyperlink" Target="#'10 EVIDENCE &amp; DECISIONS'!A62" TargetMode="External" Id="rId619"/><Relationship Type="http://schemas.openxmlformats.org/officeDocument/2006/relationships/hyperlink" Target="#'10 EVIDENCE &amp; DECISIONS'!A63" TargetMode="External" Id="rId620"/><Relationship Type="http://schemas.openxmlformats.org/officeDocument/2006/relationships/hyperlink" Target="#'10 EVIDENCE &amp; DECISIONS'!A199" TargetMode="External" Id="rId621"/><Relationship Type="http://schemas.openxmlformats.org/officeDocument/2006/relationships/hyperlink" Target="#'10 EVIDENCE &amp; DECISIONS'!A64" TargetMode="External" Id="rId622"/><Relationship Type="http://schemas.openxmlformats.org/officeDocument/2006/relationships/hyperlink" Target="#'10 EVIDENCE &amp; DECISIONS'!A65" TargetMode="External" Id="rId623"/><Relationship Type="http://schemas.openxmlformats.org/officeDocument/2006/relationships/hyperlink" Target="#'10 EVIDENCE &amp; DECISIONS'!A200" TargetMode="External" Id="rId624"/><Relationship Type="http://schemas.openxmlformats.org/officeDocument/2006/relationships/hyperlink" Target="#'10 EVIDENCE &amp; DECISIONS'!A66" TargetMode="External" Id="rId625"/><Relationship Type="http://schemas.openxmlformats.org/officeDocument/2006/relationships/hyperlink" Target="#'10 EVIDENCE &amp; DECISIONS'!A67" TargetMode="External" Id="rId626"/><Relationship Type="http://schemas.openxmlformats.org/officeDocument/2006/relationships/hyperlink" Target="#'10 EVIDENCE &amp; DECISIONS'!A201" TargetMode="External" Id="rId627"/><Relationship Type="http://schemas.openxmlformats.org/officeDocument/2006/relationships/hyperlink" Target="#'10 EVIDENCE &amp; DECISIONS'!A68" TargetMode="External" Id="rId628"/><Relationship Type="http://schemas.openxmlformats.org/officeDocument/2006/relationships/hyperlink" Target="#'10 EVIDENCE &amp; DECISIONS'!A69" TargetMode="External" Id="rId629"/><Relationship Type="http://schemas.openxmlformats.org/officeDocument/2006/relationships/hyperlink" Target="#'10 EVIDENCE &amp; DECISIONS'!A202" TargetMode="External" Id="rId630"/><Relationship Type="http://schemas.openxmlformats.org/officeDocument/2006/relationships/hyperlink" Target="#'10 EVIDENCE &amp; DECISIONS'!A70" TargetMode="External" Id="rId631"/><Relationship Type="http://schemas.openxmlformats.org/officeDocument/2006/relationships/hyperlink" Target="#'10 EVIDENCE &amp; DECISIONS'!A71" TargetMode="External" Id="rId632"/><Relationship Type="http://schemas.openxmlformats.org/officeDocument/2006/relationships/hyperlink" Target="#'10 EVIDENCE &amp; DECISIONS'!A203" TargetMode="External" Id="rId633"/><Relationship Type="http://schemas.openxmlformats.org/officeDocument/2006/relationships/hyperlink" Target="#'10 EVIDENCE &amp; DECISIONS'!A72" TargetMode="External" Id="rId634"/><Relationship Type="http://schemas.openxmlformats.org/officeDocument/2006/relationships/hyperlink" Target="#'10 EVIDENCE &amp; DECISIONS'!A73" TargetMode="External" Id="rId635"/><Relationship Type="http://schemas.openxmlformats.org/officeDocument/2006/relationships/hyperlink" Target="#'10 EVIDENCE &amp; DECISIONS'!A204" TargetMode="External" Id="rId636"/><Relationship Type="http://schemas.openxmlformats.org/officeDocument/2006/relationships/hyperlink" Target="#'10 EVIDENCE &amp; DECISIONS'!A74" TargetMode="External" Id="rId637"/><Relationship Type="http://schemas.openxmlformats.org/officeDocument/2006/relationships/hyperlink" Target="#'10 EVIDENCE &amp; DECISIONS'!A75" TargetMode="External" Id="rId638"/><Relationship Type="http://schemas.openxmlformats.org/officeDocument/2006/relationships/hyperlink" Target="#'10 EVIDENCE &amp; DECISIONS'!A205" TargetMode="External" Id="rId639"/><Relationship Type="http://schemas.openxmlformats.org/officeDocument/2006/relationships/hyperlink" Target="#'10 EVIDENCE &amp; DECISIONS'!A76" TargetMode="External" Id="rId640"/><Relationship Type="http://schemas.openxmlformats.org/officeDocument/2006/relationships/hyperlink" Target="#'10 EVIDENCE &amp; DECISIONS'!A77" TargetMode="External" Id="rId641"/><Relationship Type="http://schemas.openxmlformats.org/officeDocument/2006/relationships/hyperlink" Target="#'10 EVIDENCE &amp; DECISIONS'!A206" TargetMode="External" Id="rId642"/><Relationship Type="http://schemas.openxmlformats.org/officeDocument/2006/relationships/hyperlink" Target="#'10 EVIDENCE &amp; DECISIONS'!A78" TargetMode="External" Id="rId643"/><Relationship Type="http://schemas.openxmlformats.org/officeDocument/2006/relationships/hyperlink" Target="#'10 EVIDENCE &amp; DECISIONS'!A79" TargetMode="External" Id="rId644"/><Relationship Type="http://schemas.openxmlformats.org/officeDocument/2006/relationships/hyperlink" Target="#'10 EVIDENCE &amp; DECISIONS'!A207" TargetMode="External" Id="rId645"/><Relationship Type="http://schemas.openxmlformats.org/officeDocument/2006/relationships/hyperlink" Target="#'10 EVIDENCE &amp; DECISIONS'!A80" TargetMode="External" Id="rId646"/><Relationship Type="http://schemas.openxmlformats.org/officeDocument/2006/relationships/hyperlink" Target="#'10 EVIDENCE &amp; DECISIONS'!A81" TargetMode="External" Id="rId647"/><Relationship Type="http://schemas.openxmlformats.org/officeDocument/2006/relationships/hyperlink" Target="#'10 EVIDENCE &amp; DECISIONS'!A208" TargetMode="External" Id="rId648"/><Relationship Type="http://schemas.openxmlformats.org/officeDocument/2006/relationships/hyperlink" Target="#'10 EVIDENCE &amp; DECISIONS'!A82" TargetMode="External" Id="rId649"/><Relationship Type="http://schemas.openxmlformats.org/officeDocument/2006/relationships/hyperlink" Target="#'10 EVIDENCE &amp; DECISIONS'!A83" TargetMode="External" Id="rId650"/><Relationship Type="http://schemas.openxmlformats.org/officeDocument/2006/relationships/hyperlink" Target="#'10 EVIDENCE &amp; DECISIONS'!A209" TargetMode="External" Id="rId651"/><Relationship Type="http://schemas.openxmlformats.org/officeDocument/2006/relationships/hyperlink" Target="#'10 EVIDENCE &amp; DECISIONS'!A84" TargetMode="External" Id="rId652"/><Relationship Type="http://schemas.openxmlformats.org/officeDocument/2006/relationships/hyperlink" Target="#'10 EVIDENCE &amp; DECISIONS'!A85" TargetMode="External" Id="rId653"/><Relationship Type="http://schemas.openxmlformats.org/officeDocument/2006/relationships/hyperlink" Target="#'10 EVIDENCE &amp; DECISIONS'!A210" TargetMode="External" Id="rId654"/><Relationship Type="http://schemas.openxmlformats.org/officeDocument/2006/relationships/hyperlink" Target="#'10 EVIDENCE &amp; DECISIONS'!A86" TargetMode="External" Id="rId655"/><Relationship Type="http://schemas.openxmlformats.org/officeDocument/2006/relationships/hyperlink" Target="#'10 EVIDENCE &amp; DECISIONS'!A87" TargetMode="External" Id="rId656"/><Relationship Type="http://schemas.openxmlformats.org/officeDocument/2006/relationships/hyperlink" Target="#'10 EVIDENCE &amp; DECISIONS'!A211" TargetMode="External" Id="rId657"/><Relationship Type="http://schemas.openxmlformats.org/officeDocument/2006/relationships/hyperlink" Target="#'10 EVIDENCE &amp; DECISIONS'!A88" TargetMode="External" Id="rId658"/><Relationship Type="http://schemas.openxmlformats.org/officeDocument/2006/relationships/hyperlink" Target="#'10 EVIDENCE &amp; DECISIONS'!A89" TargetMode="External" Id="rId659"/><Relationship Type="http://schemas.openxmlformats.org/officeDocument/2006/relationships/hyperlink" Target="#'10 EVIDENCE &amp; DECISIONS'!A212" TargetMode="External" Id="rId660"/><Relationship Type="http://schemas.openxmlformats.org/officeDocument/2006/relationships/hyperlink" Target="#'10 EVIDENCE &amp; DECISIONS'!A90" TargetMode="External" Id="rId661"/><Relationship Type="http://schemas.openxmlformats.org/officeDocument/2006/relationships/hyperlink" Target="#'10 EVIDENCE &amp; DECISIONS'!A91" TargetMode="External" Id="rId662"/><Relationship Type="http://schemas.openxmlformats.org/officeDocument/2006/relationships/hyperlink" Target="#'10 EVIDENCE &amp; DECISIONS'!A213" TargetMode="External" Id="rId663"/><Relationship Type="http://schemas.openxmlformats.org/officeDocument/2006/relationships/hyperlink" Target="#'10 EVIDENCE &amp; DECISIONS'!A92" TargetMode="External" Id="rId664"/><Relationship Type="http://schemas.openxmlformats.org/officeDocument/2006/relationships/hyperlink" Target="#'10 EVIDENCE &amp; DECISIONS'!A93" TargetMode="External" Id="rId665"/><Relationship Type="http://schemas.openxmlformats.org/officeDocument/2006/relationships/hyperlink" Target="#'10 EVIDENCE &amp; DECISIONS'!A214" TargetMode="External" Id="rId666"/><Relationship Type="http://schemas.openxmlformats.org/officeDocument/2006/relationships/hyperlink" Target="#'10 EVIDENCE &amp; DECISIONS'!A94" TargetMode="External" Id="rId667"/><Relationship Type="http://schemas.openxmlformats.org/officeDocument/2006/relationships/hyperlink" Target="#'10 EVIDENCE &amp; DECISIONS'!A95" TargetMode="External" Id="rId668"/><Relationship Type="http://schemas.openxmlformats.org/officeDocument/2006/relationships/hyperlink" Target="#'10 EVIDENCE &amp; DECISIONS'!A215" TargetMode="External" Id="rId669"/><Relationship Type="http://schemas.openxmlformats.org/officeDocument/2006/relationships/hyperlink" Target="#'10 EVIDENCE &amp; DECISIONS'!A96" TargetMode="External" Id="rId670"/><Relationship Type="http://schemas.openxmlformats.org/officeDocument/2006/relationships/hyperlink" Target="#'10 EVIDENCE &amp; DECISIONS'!A97" TargetMode="External" Id="rId671"/><Relationship Type="http://schemas.openxmlformats.org/officeDocument/2006/relationships/hyperlink" Target="#'10 EVIDENCE &amp; DECISIONS'!A216" TargetMode="External" Id="rId672"/><Relationship Type="http://schemas.openxmlformats.org/officeDocument/2006/relationships/hyperlink" Target="#'10 EVIDENCE &amp; DECISIONS'!A98" TargetMode="External" Id="rId673"/><Relationship Type="http://schemas.openxmlformats.org/officeDocument/2006/relationships/hyperlink" Target="#'10 EVIDENCE &amp; DECISIONS'!A99" TargetMode="External" Id="rId674"/><Relationship Type="http://schemas.openxmlformats.org/officeDocument/2006/relationships/hyperlink" Target="#'10 EVIDENCE &amp; DECISIONS'!A217" TargetMode="External" Id="rId675"/><Relationship Type="http://schemas.openxmlformats.org/officeDocument/2006/relationships/hyperlink" Target="#'10 EVIDENCE &amp; DECISIONS'!A100" TargetMode="External" Id="rId676"/><Relationship Type="http://schemas.openxmlformats.org/officeDocument/2006/relationships/hyperlink" Target="#'10 EVIDENCE &amp; DECISIONS'!A101" TargetMode="External" Id="rId677"/><Relationship Type="http://schemas.openxmlformats.org/officeDocument/2006/relationships/hyperlink" Target="#'10 EVIDENCE &amp; DECISIONS'!A218" TargetMode="External" Id="rId678"/><Relationship Type="http://schemas.openxmlformats.org/officeDocument/2006/relationships/hyperlink" Target="#'10 EVIDENCE &amp; DECISIONS'!A102" TargetMode="External" Id="rId679"/><Relationship Type="http://schemas.openxmlformats.org/officeDocument/2006/relationships/hyperlink" Target="#'10 EVIDENCE &amp; DECISIONS'!A103" TargetMode="External" Id="rId680"/><Relationship Type="http://schemas.openxmlformats.org/officeDocument/2006/relationships/hyperlink" Target="#'10 EVIDENCE &amp; DECISIONS'!A219" TargetMode="External" Id="rId681"/><Relationship Type="http://schemas.openxmlformats.org/officeDocument/2006/relationships/hyperlink" Target="#'10 EVIDENCE &amp; DECISIONS'!A104" TargetMode="External" Id="rId682"/><Relationship Type="http://schemas.openxmlformats.org/officeDocument/2006/relationships/hyperlink" Target="#'10 EVIDENCE &amp; DECISIONS'!A105" TargetMode="External" Id="rId683"/><Relationship Type="http://schemas.openxmlformats.org/officeDocument/2006/relationships/hyperlink" Target="#'10 EVIDENCE &amp; DECISIONS'!A220" TargetMode="External" Id="rId684"/><Relationship Type="http://schemas.openxmlformats.org/officeDocument/2006/relationships/hyperlink" Target="#'10 EVIDENCE &amp; DECISIONS'!A106" TargetMode="External" Id="rId685"/><Relationship Type="http://schemas.openxmlformats.org/officeDocument/2006/relationships/hyperlink" Target="#'10 EVIDENCE &amp; DECISIONS'!A107" TargetMode="External" Id="rId686"/><Relationship Type="http://schemas.openxmlformats.org/officeDocument/2006/relationships/hyperlink" Target="#'10 EVIDENCE &amp; DECISIONS'!A221" TargetMode="External" Id="rId687"/><Relationship Type="http://schemas.openxmlformats.org/officeDocument/2006/relationships/hyperlink" Target="#'10 EVIDENCE &amp; DECISIONS'!A108" TargetMode="External" Id="rId688"/><Relationship Type="http://schemas.openxmlformats.org/officeDocument/2006/relationships/hyperlink" Target="#'10 EVIDENCE &amp; DECISIONS'!A109" TargetMode="External" Id="rId689"/><Relationship Type="http://schemas.openxmlformats.org/officeDocument/2006/relationships/hyperlink" Target="#'10 EVIDENCE &amp; DECISIONS'!A222" TargetMode="External" Id="rId690"/><Relationship Type="http://schemas.openxmlformats.org/officeDocument/2006/relationships/hyperlink" Target="#'10 EVIDENCE &amp; DECISIONS'!A110" TargetMode="External" Id="rId691"/><Relationship Type="http://schemas.openxmlformats.org/officeDocument/2006/relationships/hyperlink" Target="#'10 EVIDENCE &amp; DECISIONS'!A111" TargetMode="External" Id="rId692"/><Relationship Type="http://schemas.openxmlformats.org/officeDocument/2006/relationships/hyperlink" Target="#'10 EVIDENCE &amp; DECISIONS'!A223" TargetMode="External" Id="rId693"/><Relationship Type="http://schemas.openxmlformats.org/officeDocument/2006/relationships/hyperlink" Target="#'10 EVIDENCE &amp; DECISIONS'!A112" TargetMode="External" Id="rId694"/><Relationship Type="http://schemas.openxmlformats.org/officeDocument/2006/relationships/hyperlink" Target="#'10 EVIDENCE &amp; DECISIONS'!A113" TargetMode="External" Id="rId695"/><Relationship Type="http://schemas.openxmlformats.org/officeDocument/2006/relationships/hyperlink" Target="#'10 EVIDENCE &amp; DECISIONS'!A224" TargetMode="External" Id="rId696"/><Relationship Type="http://schemas.openxmlformats.org/officeDocument/2006/relationships/hyperlink" Target="#'10 EVIDENCE &amp; DECISIONS'!A114" TargetMode="External" Id="rId697"/><Relationship Type="http://schemas.openxmlformats.org/officeDocument/2006/relationships/hyperlink" Target="#'10 EVIDENCE &amp; DECISIONS'!A115" TargetMode="External" Id="rId698"/><Relationship Type="http://schemas.openxmlformats.org/officeDocument/2006/relationships/hyperlink" Target="#'10 EVIDENCE &amp; DECISIONS'!A225" TargetMode="External" Id="rId699"/><Relationship Type="http://schemas.openxmlformats.org/officeDocument/2006/relationships/hyperlink" Target="#'10 EVIDENCE &amp; DECISIONS'!A116" TargetMode="External" Id="rId700"/><Relationship Type="http://schemas.openxmlformats.org/officeDocument/2006/relationships/hyperlink" Target="#'10 EVIDENCE &amp; DECISIONS'!A117" TargetMode="External" Id="rId701"/><Relationship Type="http://schemas.openxmlformats.org/officeDocument/2006/relationships/hyperlink" Target="#'10 EVIDENCE &amp; DECISIONS'!A226" TargetMode="External" Id="rId702"/><Relationship Type="http://schemas.openxmlformats.org/officeDocument/2006/relationships/hyperlink" Target="#'10 EVIDENCE &amp; DECISIONS'!A118" TargetMode="External" Id="rId703"/><Relationship Type="http://schemas.openxmlformats.org/officeDocument/2006/relationships/hyperlink" Target="#'10 EVIDENCE &amp; DECISIONS'!A119" TargetMode="External" Id="rId704"/><Relationship Type="http://schemas.openxmlformats.org/officeDocument/2006/relationships/hyperlink" Target="#'10 EVIDENCE &amp; DECISIONS'!A227" TargetMode="External" Id="rId705"/><Relationship Type="http://schemas.openxmlformats.org/officeDocument/2006/relationships/hyperlink" Target="#'10 EVIDENCE &amp; DECISIONS'!A120" TargetMode="External" Id="rId706"/><Relationship Type="http://schemas.openxmlformats.org/officeDocument/2006/relationships/hyperlink" Target="#'10 EVIDENCE &amp; DECISIONS'!A121" TargetMode="External" Id="rId707"/><Relationship Type="http://schemas.openxmlformats.org/officeDocument/2006/relationships/hyperlink" Target="#'10 EVIDENCE &amp; DECISIONS'!A228" TargetMode="External" Id="rId708"/><Relationship Type="http://schemas.openxmlformats.org/officeDocument/2006/relationships/hyperlink" Target="#'10 EVIDENCE &amp; DECISIONS'!A122" TargetMode="External" Id="rId709"/><Relationship Type="http://schemas.openxmlformats.org/officeDocument/2006/relationships/hyperlink" Target="#'10 EVIDENCE &amp; DECISIONS'!A123" TargetMode="External" Id="rId710"/><Relationship Type="http://schemas.openxmlformats.org/officeDocument/2006/relationships/hyperlink" Target="#'10 EVIDENCE &amp; DECISIONS'!A229" TargetMode="External" Id="rId711"/><Relationship Type="http://schemas.openxmlformats.org/officeDocument/2006/relationships/hyperlink" Target="#'10 EVIDENCE &amp; DECISIONS'!A124" TargetMode="External" Id="rId712"/><Relationship Type="http://schemas.openxmlformats.org/officeDocument/2006/relationships/hyperlink" Target="#'10 EVIDENCE &amp; DECISIONS'!A125" TargetMode="External" Id="rId713"/><Relationship Type="http://schemas.openxmlformats.org/officeDocument/2006/relationships/hyperlink" Target="#'10 EVIDENCE &amp; DECISIONS'!A230" TargetMode="External" Id="rId714"/><Relationship Type="http://schemas.openxmlformats.org/officeDocument/2006/relationships/hyperlink" Target="#'10 EVIDENCE &amp; DECISIONS'!A126" TargetMode="External" Id="rId715"/><Relationship Type="http://schemas.openxmlformats.org/officeDocument/2006/relationships/hyperlink" Target="#'10 EVIDENCE &amp; DECISIONS'!A127" TargetMode="External" Id="rId716"/><Relationship Type="http://schemas.openxmlformats.org/officeDocument/2006/relationships/hyperlink" Target="#'10 EVIDENCE &amp; DECISIONS'!A231" TargetMode="External" Id="rId717"/><Relationship Type="http://schemas.openxmlformats.org/officeDocument/2006/relationships/hyperlink" Target="#'10 EVIDENCE &amp; DECISIONS'!A128" TargetMode="External" Id="rId718"/><Relationship Type="http://schemas.openxmlformats.org/officeDocument/2006/relationships/hyperlink" Target="#'10 EVIDENCE &amp; DECISIONS'!A129" TargetMode="External" Id="rId719"/><Relationship Type="http://schemas.openxmlformats.org/officeDocument/2006/relationships/hyperlink" Target="#'10 EVIDENCE &amp; DECISIONS'!A232" TargetMode="External" Id="rId720"/><Relationship Type="http://schemas.openxmlformats.org/officeDocument/2006/relationships/hyperlink" Target="#'10 EVIDENCE &amp; DECISIONS'!A130" TargetMode="External" Id="rId721"/><Relationship Type="http://schemas.openxmlformats.org/officeDocument/2006/relationships/hyperlink" Target="#'10 EVIDENCE &amp; DECISIONS'!A131" TargetMode="External" Id="rId722"/><Relationship Type="http://schemas.openxmlformats.org/officeDocument/2006/relationships/hyperlink" Target="#'10 EVIDENCE &amp; DECISIONS'!A233" TargetMode="External" Id="rId723"/><Relationship Type="http://schemas.openxmlformats.org/officeDocument/2006/relationships/hyperlink" Target="#'10 EVIDENCE &amp; DECISIONS'!A132" TargetMode="External" Id="rId724"/><Relationship Type="http://schemas.openxmlformats.org/officeDocument/2006/relationships/hyperlink" Target="#'10 EVIDENCE &amp; DECISIONS'!A133" TargetMode="External" Id="rId725"/><Relationship Type="http://schemas.openxmlformats.org/officeDocument/2006/relationships/hyperlink" Target="#'10 EVIDENCE &amp; DECISIONS'!A234" TargetMode="External" Id="rId726"/><Relationship Type="http://schemas.openxmlformats.org/officeDocument/2006/relationships/hyperlink" Target="#'10 EVIDENCE &amp; DECISIONS'!A134" TargetMode="External" Id="rId727"/><Relationship Type="http://schemas.openxmlformats.org/officeDocument/2006/relationships/hyperlink" Target="#'10 EVIDENCE &amp; DECISIONS'!A135" TargetMode="External" Id="rId728"/><Relationship Type="http://schemas.openxmlformats.org/officeDocument/2006/relationships/hyperlink" Target="#'10 EVIDENCE &amp; DECISIONS'!A235" TargetMode="External" Id="rId729"/><Relationship Type="http://schemas.openxmlformats.org/officeDocument/2006/relationships/hyperlink" Target="#'10 EVIDENCE &amp; DECISIONS'!A287" TargetMode="External" Id="rId730"/><Relationship Type="http://schemas.openxmlformats.org/officeDocument/2006/relationships/hyperlink" Target="#'10 EVIDENCE &amp; DECISIONS'!A288" TargetMode="External" Id="rId731"/><Relationship Type="http://schemas.openxmlformats.org/officeDocument/2006/relationships/hyperlink" Target="#'10 EVIDENCE &amp; DECISIONS'!A1366" TargetMode="External" Id="rId732"/><Relationship Type="http://schemas.openxmlformats.org/officeDocument/2006/relationships/hyperlink" Target="#'10 EVIDENCE &amp; DECISIONS'!A289" TargetMode="External" Id="rId733"/><Relationship Type="http://schemas.openxmlformats.org/officeDocument/2006/relationships/hyperlink" Target="#'10 EVIDENCE &amp; DECISIONS'!A290" TargetMode="External" Id="rId734"/><Relationship Type="http://schemas.openxmlformats.org/officeDocument/2006/relationships/hyperlink" Target="#'10 EVIDENCE &amp; DECISIONS'!A447" TargetMode="External" Id="rId735"/><Relationship Type="http://schemas.openxmlformats.org/officeDocument/2006/relationships/hyperlink" Target="#'10 EVIDENCE &amp; DECISIONS'!A291" TargetMode="External" Id="rId736"/><Relationship Type="http://schemas.openxmlformats.org/officeDocument/2006/relationships/hyperlink" Target="#'10 EVIDENCE &amp; DECISIONS'!A292" TargetMode="External" Id="rId737"/><Relationship Type="http://schemas.openxmlformats.org/officeDocument/2006/relationships/hyperlink" Target="#'10 EVIDENCE &amp; DECISIONS'!A448" TargetMode="External" Id="rId738"/><Relationship Type="http://schemas.openxmlformats.org/officeDocument/2006/relationships/hyperlink" Target="#'10 EVIDENCE &amp; DECISIONS'!A293" TargetMode="External" Id="rId739"/><Relationship Type="http://schemas.openxmlformats.org/officeDocument/2006/relationships/hyperlink" Target="#'10 EVIDENCE &amp; DECISIONS'!A294" TargetMode="External" Id="rId740"/><Relationship Type="http://schemas.openxmlformats.org/officeDocument/2006/relationships/hyperlink" Target="#'10 EVIDENCE &amp; DECISIONS'!A449" TargetMode="External" Id="rId741"/><Relationship Type="http://schemas.openxmlformats.org/officeDocument/2006/relationships/hyperlink" Target="#'10 EVIDENCE &amp; DECISIONS'!A295" TargetMode="External" Id="rId742"/><Relationship Type="http://schemas.openxmlformats.org/officeDocument/2006/relationships/hyperlink" Target="#'10 EVIDENCE &amp; DECISIONS'!A296" TargetMode="External" Id="rId743"/><Relationship Type="http://schemas.openxmlformats.org/officeDocument/2006/relationships/hyperlink" Target="#'10 EVIDENCE &amp; DECISIONS'!A450" TargetMode="External" Id="rId744"/><Relationship Type="http://schemas.openxmlformats.org/officeDocument/2006/relationships/hyperlink" Target="#'10 EVIDENCE &amp; DECISIONS'!A297" TargetMode="External" Id="rId745"/><Relationship Type="http://schemas.openxmlformats.org/officeDocument/2006/relationships/hyperlink" Target="#'10 EVIDENCE &amp; DECISIONS'!A298" TargetMode="External" Id="rId746"/><Relationship Type="http://schemas.openxmlformats.org/officeDocument/2006/relationships/hyperlink" Target="#'10 EVIDENCE &amp; DECISIONS'!A451" TargetMode="External" Id="rId747"/><Relationship Type="http://schemas.openxmlformats.org/officeDocument/2006/relationships/hyperlink" Target="#'10 EVIDENCE &amp; DECISIONS'!A299" TargetMode="External" Id="rId748"/><Relationship Type="http://schemas.openxmlformats.org/officeDocument/2006/relationships/hyperlink" Target="#'10 EVIDENCE &amp; DECISIONS'!A300" TargetMode="External" Id="rId749"/><Relationship Type="http://schemas.openxmlformats.org/officeDocument/2006/relationships/hyperlink" Target="#'10 EVIDENCE &amp; DECISIONS'!A452" TargetMode="External" Id="rId750"/><Relationship Type="http://schemas.openxmlformats.org/officeDocument/2006/relationships/hyperlink" Target="#'10 EVIDENCE &amp; DECISIONS'!A301" TargetMode="External" Id="rId751"/><Relationship Type="http://schemas.openxmlformats.org/officeDocument/2006/relationships/hyperlink" Target="#'10 EVIDENCE &amp; DECISIONS'!A302" TargetMode="External" Id="rId752"/><Relationship Type="http://schemas.openxmlformats.org/officeDocument/2006/relationships/hyperlink" Target="#'10 EVIDENCE &amp; DECISIONS'!A453" TargetMode="External" Id="rId753"/><Relationship Type="http://schemas.openxmlformats.org/officeDocument/2006/relationships/hyperlink" Target="#'10 EVIDENCE &amp; DECISIONS'!A303" TargetMode="External" Id="rId754"/><Relationship Type="http://schemas.openxmlformats.org/officeDocument/2006/relationships/hyperlink" Target="#'10 EVIDENCE &amp; DECISIONS'!A304" TargetMode="External" Id="rId755"/><Relationship Type="http://schemas.openxmlformats.org/officeDocument/2006/relationships/hyperlink" Target="#'10 EVIDENCE &amp; DECISIONS'!A454" TargetMode="External" Id="rId756"/><Relationship Type="http://schemas.openxmlformats.org/officeDocument/2006/relationships/hyperlink" Target="#'10 EVIDENCE &amp; DECISIONS'!A305" TargetMode="External" Id="rId757"/><Relationship Type="http://schemas.openxmlformats.org/officeDocument/2006/relationships/hyperlink" Target="#'10 EVIDENCE &amp; DECISIONS'!A306" TargetMode="External" Id="rId758"/><Relationship Type="http://schemas.openxmlformats.org/officeDocument/2006/relationships/hyperlink" Target="#'10 EVIDENCE &amp; DECISIONS'!A455" TargetMode="External" Id="rId759"/><Relationship Type="http://schemas.openxmlformats.org/officeDocument/2006/relationships/hyperlink" Target="#'10 EVIDENCE &amp; DECISIONS'!A307" TargetMode="External" Id="rId760"/><Relationship Type="http://schemas.openxmlformats.org/officeDocument/2006/relationships/hyperlink" Target="#'10 EVIDENCE &amp; DECISIONS'!A308" TargetMode="External" Id="rId761"/><Relationship Type="http://schemas.openxmlformats.org/officeDocument/2006/relationships/hyperlink" Target="#'10 EVIDENCE &amp; DECISIONS'!A456" TargetMode="External" Id="rId762"/><Relationship Type="http://schemas.openxmlformats.org/officeDocument/2006/relationships/hyperlink" Target="#'10 EVIDENCE &amp; DECISIONS'!A309" TargetMode="External" Id="rId763"/><Relationship Type="http://schemas.openxmlformats.org/officeDocument/2006/relationships/hyperlink" Target="#'10 EVIDENCE &amp; DECISIONS'!A310" TargetMode="External" Id="rId764"/><Relationship Type="http://schemas.openxmlformats.org/officeDocument/2006/relationships/hyperlink" Target="#'10 EVIDENCE &amp; DECISIONS'!A457" TargetMode="External" Id="rId765"/><Relationship Type="http://schemas.openxmlformats.org/officeDocument/2006/relationships/hyperlink" Target="#'10 EVIDENCE &amp; DECISIONS'!A311" TargetMode="External" Id="rId766"/><Relationship Type="http://schemas.openxmlformats.org/officeDocument/2006/relationships/hyperlink" Target="#'10 EVIDENCE &amp; DECISIONS'!A312" TargetMode="External" Id="rId767"/><Relationship Type="http://schemas.openxmlformats.org/officeDocument/2006/relationships/hyperlink" Target="#'10 EVIDENCE &amp; DECISIONS'!A458" TargetMode="External" Id="rId768"/><Relationship Type="http://schemas.openxmlformats.org/officeDocument/2006/relationships/hyperlink" Target="#'10 EVIDENCE &amp; DECISIONS'!A313" TargetMode="External" Id="rId769"/><Relationship Type="http://schemas.openxmlformats.org/officeDocument/2006/relationships/hyperlink" Target="#'10 EVIDENCE &amp; DECISIONS'!A314" TargetMode="External" Id="rId770"/><Relationship Type="http://schemas.openxmlformats.org/officeDocument/2006/relationships/hyperlink" Target="#'10 EVIDENCE &amp; DECISIONS'!A459" TargetMode="External" Id="rId771"/><Relationship Type="http://schemas.openxmlformats.org/officeDocument/2006/relationships/hyperlink" Target="#'10 EVIDENCE &amp; DECISIONS'!A315" TargetMode="External" Id="rId772"/><Relationship Type="http://schemas.openxmlformats.org/officeDocument/2006/relationships/hyperlink" Target="#'10 EVIDENCE &amp; DECISIONS'!A316" TargetMode="External" Id="rId773"/><Relationship Type="http://schemas.openxmlformats.org/officeDocument/2006/relationships/hyperlink" Target="#'10 EVIDENCE &amp; DECISIONS'!A460" TargetMode="External" Id="rId774"/><Relationship Type="http://schemas.openxmlformats.org/officeDocument/2006/relationships/hyperlink" Target="#'10 EVIDENCE &amp; DECISIONS'!A317" TargetMode="External" Id="rId775"/><Relationship Type="http://schemas.openxmlformats.org/officeDocument/2006/relationships/hyperlink" Target="#'10 EVIDENCE &amp; DECISIONS'!A318" TargetMode="External" Id="rId776"/><Relationship Type="http://schemas.openxmlformats.org/officeDocument/2006/relationships/hyperlink" Target="#'10 EVIDENCE &amp; DECISIONS'!A461" TargetMode="External" Id="rId777"/><Relationship Type="http://schemas.openxmlformats.org/officeDocument/2006/relationships/hyperlink" Target="#'10 EVIDENCE &amp; DECISIONS'!A319" TargetMode="External" Id="rId778"/><Relationship Type="http://schemas.openxmlformats.org/officeDocument/2006/relationships/hyperlink" Target="#'10 EVIDENCE &amp; DECISIONS'!A320" TargetMode="External" Id="rId779"/><Relationship Type="http://schemas.openxmlformats.org/officeDocument/2006/relationships/hyperlink" Target="#'10 EVIDENCE &amp; DECISIONS'!A462" TargetMode="External" Id="rId780"/><Relationship Type="http://schemas.openxmlformats.org/officeDocument/2006/relationships/hyperlink" Target="#'10 EVIDENCE &amp; DECISIONS'!A321" TargetMode="External" Id="rId781"/><Relationship Type="http://schemas.openxmlformats.org/officeDocument/2006/relationships/hyperlink" Target="#'10 EVIDENCE &amp; DECISIONS'!A322" TargetMode="External" Id="rId782"/><Relationship Type="http://schemas.openxmlformats.org/officeDocument/2006/relationships/hyperlink" Target="#'10 EVIDENCE &amp; DECISIONS'!A463" TargetMode="External" Id="rId783"/><Relationship Type="http://schemas.openxmlformats.org/officeDocument/2006/relationships/hyperlink" Target="#'10 EVIDENCE &amp; DECISIONS'!A323" TargetMode="External" Id="rId784"/><Relationship Type="http://schemas.openxmlformats.org/officeDocument/2006/relationships/hyperlink" Target="#'10 EVIDENCE &amp; DECISIONS'!A324" TargetMode="External" Id="rId785"/><Relationship Type="http://schemas.openxmlformats.org/officeDocument/2006/relationships/hyperlink" Target="#'10 EVIDENCE &amp; DECISIONS'!A464" TargetMode="External" Id="rId786"/><Relationship Type="http://schemas.openxmlformats.org/officeDocument/2006/relationships/hyperlink" Target="#'10 EVIDENCE &amp; DECISIONS'!A325" TargetMode="External" Id="rId787"/><Relationship Type="http://schemas.openxmlformats.org/officeDocument/2006/relationships/hyperlink" Target="#'10 EVIDENCE &amp; DECISIONS'!A326" TargetMode="External" Id="rId788"/><Relationship Type="http://schemas.openxmlformats.org/officeDocument/2006/relationships/hyperlink" Target="#'10 EVIDENCE &amp; DECISIONS'!A465" TargetMode="External" Id="rId789"/><Relationship Type="http://schemas.openxmlformats.org/officeDocument/2006/relationships/hyperlink" Target="#'10 EVIDENCE &amp; DECISIONS'!A327" TargetMode="External" Id="rId790"/><Relationship Type="http://schemas.openxmlformats.org/officeDocument/2006/relationships/hyperlink" Target="#'10 EVIDENCE &amp; DECISIONS'!A328" TargetMode="External" Id="rId791"/><Relationship Type="http://schemas.openxmlformats.org/officeDocument/2006/relationships/hyperlink" Target="#'10 EVIDENCE &amp; DECISIONS'!A466" TargetMode="External" Id="rId792"/><Relationship Type="http://schemas.openxmlformats.org/officeDocument/2006/relationships/hyperlink" Target="#'10 EVIDENCE &amp; DECISIONS'!A329" TargetMode="External" Id="rId793"/><Relationship Type="http://schemas.openxmlformats.org/officeDocument/2006/relationships/hyperlink" Target="#'10 EVIDENCE &amp; DECISIONS'!A330" TargetMode="External" Id="rId794"/><Relationship Type="http://schemas.openxmlformats.org/officeDocument/2006/relationships/hyperlink" Target="#'10 EVIDENCE &amp; DECISIONS'!A467" TargetMode="External" Id="rId795"/><Relationship Type="http://schemas.openxmlformats.org/officeDocument/2006/relationships/hyperlink" Target="#'10 EVIDENCE &amp; DECISIONS'!A331" TargetMode="External" Id="rId796"/><Relationship Type="http://schemas.openxmlformats.org/officeDocument/2006/relationships/hyperlink" Target="#'10 EVIDENCE &amp; DECISIONS'!A332" TargetMode="External" Id="rId797"/><Relationship Type="http://schemas.openxmlformats.org/officeDocument/2006/relationships/hyperlink" Target="#'10 EVIDENCE &amp; DECISIONS'!A468" TargetMode="External" Id="rId798"/><Relationship Type="http://schemas.openxmlformats.org/officeDocument/2006/relationships/hyperlink" Target="#'10 EVIDENCE &amp; DECISIONS'!A333" TargetMode="External" Id="rId799"/><Relationship Type="http://schemas.openxmlformats.org/officeDocument/2006/relationships/hyperlink" Target="#'10 EVIDENCE &amp; DECISIONS'!A334" TargetMode="External" Id="rId800"/><Relationship Type="http://schemas.openxmlformats.org/officeDocument/2006/relationships/hyperlink" Target="#'10 EVIDENCE &amp; DECISIONS'!A469" TargetMode="External" Id="rId801"/><Relationship Type="http://schemas.openxmlformats.org/officeDocument/2006/relationships/hyperlink" Target="#'10 EVIDENCE &amp; DECISIONS'!A335" TargetMode="External" Id="rId802"/><Relationship Type="http://schemas.openxmlformats.org/officeDocument/2006/relationships/hyperlink" Target="#'10 EVIDENCE &amp; DECISIONS'!A336" TargetMode="External" Id="rId803"/><Relationship Type="http://schemas.openxmlformats.org/officeDocument/2006/relationships/hyperlink" Target="#'10 EVIDENCE &amp; DECISIONS'!A470" TargetMode="External" Id="rId804"/><Relationship Type="http://schemas.openxmlformats.org/officeDocument/2006/relationships/hyperlink" Target="#'10 EVIDENCE &amp; DECISIONS'!A337" TargetMode="External" Id="rId805"/><Relationship Type="http://schemas.openxmlformats.org/officeDocument/2006/relationships/hyperlink" Target="#'10 EVIDENCE &amp; DECISIONS'!A338" TargetMode="External" Id="rId806"/><Relationship Type="http://schemas.openxmlformats.org/officeDocument/2006/relationships/hyperlink" Target="#'10 EVIDENCE &amp; DECISIONS'!A471" TargetMode="External" Id="rId807"/><Relationship Type="http://schemas.openxmlformats.org/officeDocument/2006/relationships/hyperlink" Target="#'10 EVIDENCE &amp; DECISIONS'!A339" TargetMode="External" Id="rId808"/><Relationship Type="http://schemas.openxmlformats.org/officeDocument/2006/relationships/hyperlink" Target="#'10 EVIDENCE &amp; DECISIONS'!A340" TargetMode="External" Id="rId809"/><Relationship Type="http://schemas.openxmlformats.org/officeDocument/2006/relationships/hyperlink" Target="#'10 EVIDENCE &amp; DECISIONS'!A472" TargetMode="External" Id="rId810"/><Relationship Type="http://schemas.openxmlformats.org/officeDocument/2006/relationships/hyperlink" Target="#'10 EVIDENCE &amp; DECISIONS'!A341" TargetMode="External" Id="rId811"/><Relationship Type="http://schemas.openxmlformats.org/officeDocument/2006/relationships/hyperlink" Target="#'10 EVIDENCE &amp; DECISIONS'!A342" TargetMode="External" Id="rId812"/><Relationship Type="http://schemas.openxmlformats.org/officeDocument/2006/relationships/hyperlink" Target="#'10 EVIDENCE &amp; DECISIONS'!A473" TargetMode="External" Id="rId813"/><Relationship Type="http://schemas.openxmlformats.org/officeDocument/2006/relationships/hyperlink" Target="#'10 EVIDENCE &amp; DECISIONS'!A343" TargetMode="External" Id="rId814"/><Relationship Type="http://schemas.openxmlformats.org/officeDocument/2006/relationships/hyperlink" Target="#'10 EVIDENCE &amp; DECISIONS'!A344" TargetMode="External" Id="rId815"/><Relationship Type="http://schemas.openxmlformats.org/officeDocument/2006/relationships/hyperlink" Target="#'10 EVIDENCE &amp; DECISIONS'!A474" TargetMode="External" Id="rId816"/><Relationship Type="http://schemas.openxmlformats.org/officeDocument/2006/relationships/hyperlink" Target="#'10 EVIDENCE &amp; DECISIONS'!A345" TargetMode="External" Id="rId817"/><Relationship Type="http://schemas.openxmlformats.org/officeDocument/2006/relationships/hyperlink" Target="#'10 EVIDENCE &amp; DECISIONS'!A346" TargetMode="External" Id="rId818"/><Relationship Type="http://schemas.openxmlformats.org/officeDocument/2006/relationships/hyperlink" Target="#'10 EVIDENCE &amp; DECISIONS'!A475" TargetMode="External" Id="rId819"/><Relationship Type="http://schemas.openxmlformats.org/officeDocument/2006/relationships/hyperlink" Target="#'10 EVIDENCE &amp; DECISIONS'!A347" TargetMode="External" Id="rId820"/><Relationship Type="http://schemas.openxmlformats.org/officeDocument/2006/relationships/hyperlink" Target="#'10 EVIDENCE &amp; DECISIONS'!A348" TargetMode="External" Id="rId821"/><Relationship Type="http://schemas.openxmlformats.org/officeDocument/2006/relationships/hyperlink" Target="#'10 EVIDENCE &amp; DECISIONS'!A476" TargetMode="External" Id="rId822"/><Relationship Type="http://schemas.openxmlformats.org/officeDocument/2006/relationships/hyperlink" Target="#'10 EVIDENCE &amp; DECISIONS'!A349" TargetMode="External" Id="rId823"/><Relationship Type="http://schemas.openxmlformats.org/officeDocument/2006/relationships/hyperlink" Target="#'10 EVIDENCE &amp; DECISIONS'!A350" TargetMode="External" Id="rId824"/><Relationship Type="http://schemas.openxmlformats.org/officeDocument/2006/relationships/hyperlink" Target="#'10 EVIDENCE &amp; DECISIONS'!A477" TargetMode="External" Id="rId825"/><Relationship Type="http://schemas.openxmlformats.org/officeDocument/2006/relationships/hyperlink" Target="#'10 EVIDENCE &amp; DECISIONS'!A351" TargetMode="External" Id="rId826"/><Relationship Type="http://schemas.openxmlformats.org/officeDocument/2006/relationships/hyperlink" Target="#'10 EVIDENCE &amp; DECISIONS'!A352" TargetMode="External" Id="rId827"/><Relationship Type="http://schemas.openxmlformats.org/officeDocument/2006/relationships/hyperlink" Target="#'10 EVIDENCE &amp; DECISIONS'!A478" TargetMode="External" Id="rId828"/><Relationship Type="http://schemas.openxmlformats.org/officeDocument/2006/relationships/hyperlink" Target="#'10 EVIDENCE &amp; DECISIONS'!A353" TargetMode="External" Id="rId829"/><Relationship Type="http://schemas.openxmlformats.org/officeDocument/2006/relationships/hyperlink" Target="#'10 EVIDENCE &amp; DECISIONS'!A354" TargetMode="External" Id="rId830"/><Relationship Type="http://schemas.openxmlformats.org/officeDocument/2006/relationships/hyperlink" Target="#'10 EVIDENCE &amp; DECISIONS'!A479" TargetMode="External" Id="rId831"/><Relationship Type="http://schemas.openxmlformats.org/officeDocument/2006/relationships/hyperlink" Target="#'10 EVIDENCE &amp; DECISIONS'!A355" TargetMode="External" Id="rId832"/><Relationship Type="http://schemas.openxmlformats.org/officeDocument/2006/relationships/hyperlink" Target="#'10 EVIDENCE &amp; DECISIONS'!A356" TargetMode="External" Id="rId833"/><Relationship Type="http://schemas.openxmlformats.org/officeDocument/2006/relationships/hyperlink" Target="#'10 EVIDENCE &amp; DECISIONS'!A480" TargetMode="External" Id="rId834"/><Relationship Type="http://schemas.openxmlformats.org/officeDocument/2006/relationships/hyperlink" Target="#'10 EVIDENCE &amp; DECISIONS'!A357" TargetMode="External" Id="rId835"/><Relationship Type="http://schemas.openxmlformats.org/officeDocument/2006/relationships/hyperlink" Target="#'10 EVIDENCE &amp; DECISIONS'!A358" TargetMode="External" Id="rId836"/><Relationship Type="http://schemas.openxmlformats.org/officeDocument/2006/relationships/hyperlink" Target="#'10 EVIDENCE &amp; DECISIONS'!A481" TargetMode="External" Id="rId837"/><Relationship Type="http://schemas.openxmlformats.org/officeDocument/2006/relationships/hyperlink" Target="#'10 EVIDENCE &amp; DECISIONS'!A359" TargetMode="External" Id="rId838"/><Relationship Type="http://schemas.openxmlformats.org/officeDocument/2006/relationships/hyperlink" Target="#'10 EVIDENCE &amp; DECISIONS'!A360" TargetMode="External" Id="rId839"/><Relationship Type="http://schemas.openxmlformats.org/officeDocument/2006/relationships/hyperlink" Target="#'10 EVIDENCE &amp; DECISIONS'!A482" TargetMode="External" Id="rId840"/><Relationship Type="http://schemas.openxmlformats.org/officeDocument/2006/relationships/hyperlink" Target="#'10 EVIDENCE &amp; DECISIONS'!A361" TargetMode="External" Id="rId841"/><Relationship Type="http://schemas.openxmlformats.org/officeDocument/2006/relationships/hyperlink" Target="#'10 EVIDENCE &amp; DECISIONS'!A362" TargetMode="External" Id="rId842"/><Relationship Type="http://schemas.openxmlformats.org/officeDocument/2006/relationships/hyperlink" Target="#'10 EVIDENCE &amp; DECISIONS'!A483" TargetMode="External" Id="rId843"/><Relationship Type="http://schemas.openxmlformats.org/officeDocument/2006/relationships/hyperlink" Target="#'10 EVIDENCE &amp; DECISIONS'!A363" TargetMode="External" Id="rId844"/><Relationship Type="http://schemas.openxmlformats.org/officeDocument/2006/relationships/hyperlink" Target="#'10 EVIDENCE &amp; DECISIONS'!A364" TargetMode="External" Id="rId845"/><Relationship Type="http://schemas.openxmlformats.org/officeDocument/2006/relationships/hyperlink" Target="#'10 EVIDENCE &amp; DECISIONS'!A484" TargetMode="External" Id="rId846"/><Relationship Type="http://schemas.openxmlformats.org/officeDocument/2006/relationships/hyperlink" Target="#'10 EVIDENCE &amp; DECISIONS'!A365" TargetMode="External" Id="rId847"/><Relationship Type="http://schemas.openxmlformats.org/officeDocument/2006/relationships/hyperlink" Target="#'10 EVIDENCE &amp; DECISIONS'!A366" TargetMode="External" Id="rId848"/><Relationship Type="http://schemas.openxmlformats.org/officeDocument/2006/relationships/hyperlink" Target="#'10 EVIDENCE &amp; DECISIONS'!A485" TargetMode="External" Id="rId849"/><Relationship Type="http://schemas.openxmlformats.org/officeDocument/2006/relationships/hyperlink" Target="#'10 EVIDENCE &amp; DECISIONS'!A367" TargetMode="External" Id="rId850"/><Relationship Type="http://schemas.openxmlformats.org/officeDocument/2006/relationships/hyperlink" Target="#'10 EVIDENCE &amp; DECISIONS'!A368" TargetMode="External" Id="rId851"/><Relationship Type="http://schemas.openxmlformats.org/officeDocument/2006/relationships/hyperlink" Target="#'10 EVIDENCE &amp; DECISIONS'!A486" TargetMode="External" Id="rId852"/><Relationship Type="http://schemas.openxmlformats.org/officeDocument/2006/relationships/hyperlink" Target="#'10 EVIDENCE &amp; DECISIONS'!A369" TargetMode="External" Id="rId853"/><Relationship Type="http://schemas.openxmlformats.org/officeDocument/2006/relationships/hyperlink" Target="#'10 EVIDENCE &amp; DECISIONS'!A370" TargetMode="External" Id="rId854"/><Relationship Type="http://schemas.openxmlformats.org/officeDocument/2006/relationships/hyperlink" Target="#'10 EVIDENCE &amp; DECISIONS'!A487" TargetMode="External" Id="rId855"/><Relationship Type="http://schemas.openxmlformats.org/officeDocument/2006/relationships/hyperlink" Target="#'10 EVIDENCE &amp; DECISIONS'!A371" TargetMode="External" Id="rId856"/><Relationship Type="http://schemas.openxmlformats.org/officeDocument/2006/relationships/hyperlink" Target="#'10 EVIDENCE &amp; DECISIONS'!A372" TargetMode="External" Id="rId857"/><Relationship Type="http://schemas.openxmlformats.org/officeDocument/2006/relationships/hyperlink" Target="#'10 EVIDENCE &amp; DECISIONS'!A488" TargetMode="External" Id="rId858"/><Relationship Type="http://schemas.openxmlformats.org/officeDocument/2006/relationships/hyperlink" Target="#'10 EVIDENCE &amp; DECISIONS'!A373" TargetMode="External" Id="rId859"/><Relationship Type="http://schemas.openxmlformats.org/officeDocument/2006/relationships/hyperlink" Target="#'10 EVIDENCE &amp; DECISIONS'!A374" TargetMode="External" Id="rId860"/><Relationship Type="http://schemas.openxmlformats.org/officeDocument/2006/relationships/hyperlink" Target="#'10 EVIDENCE &amp; DECISIONS'!A489" TargetMode="External" Id="rId861"/><Relationship Type="http://schemas.openxmlformats.org/officeDocument/2006/relationships/hyperlink" Target="#'10 EVIDENCE &amp; DECISIONS'!A375" TargetMode="External" Id="rId862"/><Relationship Type="http://schemas.openxmlformats.org/officeDocument/2006/relationships/hyperlink" Target="#'10 EVIDENCE &amp; DECISIONS'!A376" TargetMode="External" Id="rId863"/><Relationship Type="http://schemas.openxmlformats.org/officeDocument/2006/relationships/hyperlink" Target="#'10 EVIDENCE &amp; DECISIONS'!A490" TargetMode="External" Id="rId864"/><Relationship Type="http://schemas.openxmlformats.org/officeDocument/2006/relationships/hyperlink" Target="#'10 EVIDENCE &amp; DECISIONS'!A377" TargetMode="External" Id="rId865"/><Relationship Type="http://schemas.openxmlformats.org/officeDocument/2006/relationships/hyperlink" Target="#'10 EVIDENCE &amp; DECISIONS'!A378" TargetMode="External" Id="rId866"/><Relationship Type="http://schemas.openxmlformats.org/officeDocument/2006/relationships/hyperlink" Target="#'10 EVIDENCE &amp; DECISIONS'!A491" TargetMode="External" Id="rId867"/><Relationship Type="http://schemas.openxmlformats.org/officeDocument/2006/relationships/hyperlink" Target="#'10 EVIDENCE &amp; DECISIONS'!A379" TargetMode="External" Id="rId868"/><Relationship Type="http://schemas.openxmlformats.org/officeDocument/2006/relationships/hyperlink" Target="#'10 EVIDENCE &amp; DECISIONS'!A380" TargetMode="External" Id="rId869"/><Relationship Type="http://schemas.openxmlformats.org/officeDocument/2006/relationships/hyperlink" Target="#'10 EVIDENCE &amp; DECISIONS'!A492" TargetMode="External" Id="rId870"/><Relationship Type="http://schemas.openxmlformats.org/officeDocument/2006/relationships/hyperlink" Target="#'10 EVIDENCE &amp; DECISIONS'!A381" TargetMode="External" Id="rId871"/><Relationship Type="http://schemas.openxmlformats.org/officeDocument/2006/relationships/hyperlink" Target="#'10 EVIDENCE &amp; DECISIONS'!A382" TargetMode="External" Id="rId872"/><Relationship Type="http://schemas.openxmlformats.org/officeDocument/2006/relationships/hyperlink" Target="#'10 EVIDENCE &amp; DECISIONS'!A493" TargetMode="External" Id="rId873"/><Relationship Type="http://schemas.openxmlformats.org/officeDocument/2006/relationships/hyperlink" Target="#'10 EVIDENCE &amp; DECISIONS'!A383" TargetMode="External" Id="rId874"/><Relationship Type="http://schemas.openxmlformats.org/officeDocument/2006/relationships/hyperlink" Target="#'10 EVIDENCE &amp; DECISIONS'!A384" TargetMode="External" Id="rId875"/><Relationship Type="http://schemas.openxmlformats.org/officeDocument/2006/relationships/hyperlink" Target="#'10 EVIDENCE &amp; DECISIONS'!A494" TargetMode="External" Id="rId876"/><Relationship Type="http://schemas.openxmlformats.org/officeDocument/2006/relationships/hyperlink" Target="#'10 EVIDENCE &amp; DECISIONS'!A385" TargetMode="External" Id="rId877"/><Relationship Type="http://schemas.openxmlformats.org/officeDocument/2006/relationships/hyperlink" Target="#'10 EVIDENCE &amp; DECISIONS'!A386" TargetMode="External" Id="rId878"/><Relationship Type="http://schemas.openxmlformats.org/officeDocument/2006/relationships/hyperlink" Target="#'10 EVIDENCE &amp; DECISIONS'!A495" TargetMode="External" Id="rId879"/><Relationship Type="http://schemas.openxmlformats.org/officeDocument/2006/relationships/hyperlink" Target="#'10 EVIDENCE &amp; DECISIONS'!A387" TargetMode="External" Id="rId880"/><Relationship Type="http://schemas.openxmlformats.org/officeDocument/2006/relationships/hyperlink" Target="#'10 EVIDENCE &amp; DECISIONS'!A388" TargetMode="External" Id="rId881"/><Relationship Type="http://schemas.openxmlformats.org/officeDocument/2006/relationships/hyperlink" Target="#'10 EVIDENCE &amp; DECISIONS'!A496" TargetMode="External" Id="rId882"/><Relationship Type="http://schemas.openxmlformats.org/officeDocument/2006/relationships/hyperlink" Target="#'10 EVIDENCE &amp; DECISIONS'!A389" TargetMode="External" Id="rId883"/><Relationship Type="http://schemas.openxmlformats.org/officeDocument/2006/relationships/hyperlink" Target="#'10 EVIDENCE &amp; DECISIONS'!A390" TargetMode="External" Id="rId884"/><Relationship Type="http://schemas.openxmlformats.org/officeDocument/2006/relationships/hyperlink" Target="#'10 EVIDENCE &amp; DECISIONS'!A497" TargetMode="External" Id="rId885"/><Relationship Type="http://schemas.openxmlformats.org/officeDocument/2006/relationships/hyperlink" Target="#'10 EVIDENCE &amp; DECISIONS'!A391" TargetMode="External" Id="rId886"/><Relationship Type="http://schemas.openxmlformats.org/officeDocument/2006/relationships/hyperlink" Target="#'10 EVIDENCE &amp; DECISIONS'!A392" TargetMode="External" Id="rId887"/><Relationship Type="http://schemas.openxmlformats.org/officeDocument/2006/relationships/hyperlink" Target="#'10 EVIDENCE &amp; DECISIONS'!A498" TargetMode="External" Id="rId888"/><Relationship Type="http://schemas.openxmlformats.org/officeDocument/2006/relationships/hyperlink" Target="#'10 EVIDENCE &amp; DECISIONS'!A393" TargetMode="External" Id="rId889"/><Relationship Type="http://schemas.openxmlformats.org/officeDocument/2006/relationships/hyperlink" Target="#'10 EVIDENCE &amp; DECISIONS'!A394" TargetMode="External" Id="rId890"/><Relationship Type="http://schemas.openxmlformats.org/officeDocument/2006/relationships/hyperlink" Target="#'10 EVIDENCE &amp; DECISIONS'!A499" TargetMode="External" Id="rId891"/><Relationship Type="http://schemas.openxmlformats.org/officeDocument/2006/relationships/hyperlink" Target="#'10 EVIDENCE &amp; DECISIONS'!A395" TargetMode="External" Id="rId892"/><Relationship Type="http://schemas.openxmlformats.org/officeDocument/2006/relationships/hyperlink" Target="#'10 EVIDENCE &amp; DECISIONS'!A396" TargetMode="External" Id="rId893"/><Relationship Type="http://schemas.openxmlformats.org/officeDocument/2006/relationships/hyperlink" Target="#'10 EVIDENCE &amp; DECISIONS'!A500" TargetMode="External" Id="rId894"/><Relationship Type="http://schemas.openxmlformats.org/officeDocument/2006/relationships/hyperlink" Target="#'10 EVIDENCE &amp; DECISIONS'!A397" TargetMode="External" Id="rId895"/><Relationship Type="http://schemas.openxmlformats.org/officeDocument/2006/relationships/hyperlink" Target="#'10 EVIDENCE &amp; DECISIONS'!A398" TargetMode="External" Id="rId896"/><Relationship Type="http://schemas.openxmlformats.org/officeDocument/2006/relationships/hyperlink" Target="#'10 EVIDENCE &amp; DECISIONS'!A501" TargetMode="External" Id="rId897"/><Relationship Type="http://schemas.openxmlformats.org/officeDocument/2006/relationships/hyperlink" Target="#'10 EVIDENCE &amp; DECISIONS'!A399" TargetMode="External" Id="rId898"/><Relationship Type="http://schemas.openxmlformats.org/officeDocument/2006/relationships/hyperlink" Target="#'10 EVIDENCE &amp; DECISIONS'!A400" TargetMode="External" Id="rId899"/><Relationship Type="http://schemas.openxmlformats.org/officeDocument/2006/relationships/hyperlink" Target="#'10 EVIDENCE &amp; DECISIONS'!A502" TargetMode="External" Id="rId900"/><Relationship Type="http://schemas.openxmlformats.org/officeDocument/2006/relationships/hyperlink" Target="#'10 EVIDENCE &amp; DECISIONS'!A401" TargetMode="External" Id="rId901"/><Relationship Type="http://schemas.openxmlformats.org/officeDocument/2006/relationships/hyperlink" Target="#'10 EVIDENCE &amp; DECISIONS'!A402" TargetMode="External" Id="rId902"/><Relationship Type="http://schemas.openxmlformats.org/officeDocument/2006/relationships/hyperlink" Target="#'10 EVIDENCE &amp; DECISIONS'!A503" TargetMode="External" Id="rId903"/><Relationship Type="http://schemas.openxmlformats.org/officeDocument/2006/relationships/hyperlink" Target="#'10 EVIDENCE &amp; DECISIONS'!A403" TargetMode="External" Id="rId904"/><Relationship Type="http://schemas.openxmlformats.org/officeDocument/2006/relationships/hyperlink" Target="#'10 EVIDENCE &amp; DECISIONS'!A404" TargetMode="External" Id="rId905"/><Relationship Type="http://schemas.openxmlformats.org/officeDocument/2006/relationships/hyperlink" Target="#'10 EVIDENCE &amp; DECISIONS'!A504" TargetMode="External" Id="rId906"/><Relationship Type="http://schemas.openxmlformats.org/officeDocument/2006/relationships/hyperlink" Target="#'10 EVIDENCE &amp; DECISIONS'!A405" TargetMode="External" Id="rId907"/><Relationship Type="http://schemas.openxmlformats.org/officeDocument/2006/relationships/hyperlink" Target="#'10 EVIDENCE &amp; DECISIONS'!A406" TargetMode="External" Id="rId908"/><Relationship Type="http://schemas.openxmlformats.org/officeDocument/2006/relationships/hyperlink" Target="#'10 EVIDENCE &amp; DECISIONS'!A505" TargetMode="External" Id="rId909"/><Relationship Type="http://schemas.openxmlformats.org/officeDocument/2006/relationships/hyperlink" Target="#'10 EVIDENCE &amp; DECISIONS'!A556" TargetMode="External" Id="rId910"/><Relationship Type="http://schemas.openxmlformats.org/officeDocument/2006/relationships/hyperlink" Target="#'10 EVIDENCE &amp; DECISIONS'!A557" TargetMode="External" Id="rId911"/><Relationship Type="http://schemas.openxmlformats.org/officeDocument/2006/relationships/hyperlink" Target="#'10 EVIDENCE &amp; DECISIONS'!A716" TargetMode="External" Id="rId912"/><Relationship Type="http://schemas.openxmlformats.org/officeDocument/2006/relationships/hyperlink" Target="#'10 EVIDENCE &amp; DECISIONS'!A558" TargetMode="External" Id="rId913"/><Relationship Type="http://schemas.openxmlformats.org/officeDocument/2006/relationships/hyperlink" Target="#'10 EVIDENCE &amp; DECISIONS'!A559" TargetMode="External" Id="rId914"/><Relationship Type="http://schemas.openxmlformats.org/officeDocument/2006/relationships/hyperlink" Target="#'10 EVIDENCE &amp; DECISIONS'!A717" TargetMode="External" Id="rId915"/><Relationship Type="http://schemas.openxmlformats.org/officeDocument/2006/relationships/hyperlink" Target="#'10 EVIDENCE &amp; DECISIONS'!A560" TargetMode="External" Id="rId916"/><Relationship Type="http://schemas.openxmlformats.org/officeDocument/2006/relationships/hyperlink" Target="#'10 EVIDENCE &amp; DECISIONS'!A561" TargetMode="External" Id="rId917"/><Relationship Type="http://schemas.openxmlformats.org/officeDocument/2006/relationships/hyperlink" Target="#'10 EVIDENCE &amp; DECISIONS'!A718" TargetMode="External" Id="rId918"/><Relationship Type="http://schemas.openxmlformats.org/officeDocument/2006/relationships/hyperlink" Target="#'10 EVIDENCE &amp; DECISIONS'!A562" TargetMode="External" Id="rId919"/><Relationship Type="http://schemas.openxmlformats.org/officeDocument/2006/relationships/hyperlink" Target="#'10 EVIDENCE &amp; DECISIONS'!A563" TargetMode="External" Id="rId920"/><Relationship Type="http://schemas.openxmlformats.org/officeDocument/2006/relationships/hyperlink" Target="#'10 EVIDENCE &amp; DECISIONS'!A719" TargetMode="External" Id="rId921"/><Relationship Type="http://schemas.openxmlformats.org/officeDocument/2006/relationships/hyperlink" Target="#'10 EVIDENCE &amp; DECISIONS'!A564" TargetMode="External" Id="rId922"/><Relationship Type="http://schemas.openxmlformats.org/officeDocument/2006/relationships/hyperlink" Target="#'10 EVIDENCE &amp; DECISIONS'!A565" TargetMode="External" Id="rId923"/><Relationship Type="http://schemas.openxmlformats.org/officeDocument/2006/relationships/hyperlink" Target="#'10 EVIDENCE &amp; DECISIONS'!A720" TargetMode="External" Id="rId924"/><Relationship Type="http://schemas.openxmlformats.org/officeDocument/2006/relationships/hyperlink" Target="#'10 EVIDENCE &amp; DECISIONS'!A566" TargetMode="External" Id="rId925"/><Relationship Type="http://schemas.openxmlformats.org/officeDocument/2006/relationships/hyperlink" Target="#'10 EVIDENCE &amp; DECISIONS'!A567" TargetMode="External" Id="rId926"/><Relationship Type="http://schemas.openxmlformats.org/officeDocument/2006/relationships/hyperlink" Target="#'10 EVIDENCE &amp; DECISIONS'!A721" TargetMode="External" Id="rId927"/><Relationship Type="http://schemas.openxmlformats.org/officeDocument/2006/relationships/hyperlink" Target="#'10 EVIDENCE &amp; DECISIONS'!A568" TargetMode="External" Id="rId928"/><Relationship Type="http://schemas.openxmlformats.org/officeDocument/2006/relationships/hyperlink" Target="#'10 EVIDENCE &amp; DECISIONS'!A569" TargetMode="External" Id="rId929"/><Relationship Type="http://schemas.openxmlformats.org/officeDocument/2006/relationships/hyperlink" Target="#'10 EVIDENCE &amp; DECISIONS'!A722" TargetMode="External" Id="rId930"/><Relationship Type="http://schemas.openxmlformats.org/officeDocument/2006/relationships/hyperlink" Target="#'10 EVIDENCE &amp; DECISIONS'!A570" TargetMode="External" Id="rId931"/><Relationship Type="http://schemas.openxmlformats.org/officeDocument/2006/relationships/hyperlink" Target="#'10 EVIDENCE &amp; DECISIONS'!A571" TargetMode="External" Id="rId932"/><Relationship Type="http://schemas.openxmlformats.org/officeDocument/2006/relationships/hyperlink" Target="#'10 EVIDENCE &amp; DECISIONS'!A723" TargetMode="External" Id="rId933"/><Relationship Type="http://schemas.openxmlformats.org/officeDocument/2006/relationships/hyperlink" Target="#'10 EVIDENCE &amp; DECISIONS'!A572" TargetMode="External" Id="rId934"/><Relationship Type="http://schemas.openxmlformats.org/officeDocument/2006/relationships/hyperlink" Target="#'10 EVIDENCE &amp; DECISIONS'!A573" TargetMode="External" Id="rId935"/><Relationship Type="http://schemas.openxmlformats.org/officeDocument/2006/relationships/hyperlink" Target="#'10 EVIDENCE &amp; DECISIONS'!A724" TargetMode="External" Id="rId936"/><Relationship Type="http://schemas.openxmlformats.org/officeDocument/2006/relationships/hyperlink" Target="#'10 EVIDENCE &amp; DECISIONS'!A574" TargetMode="External" Id="rId937"/><Relationship Type="http://schemas.openxmlformats.org/officeDocument/2006/relationships/hyperlink" Target="#'10 EVIDENCE &amp; DECISIONS'!A575" TargetMode="External" Id="rId938"/><Relationship Type="http://schemas.openxmlformats.org/officeDocument/2006/relationships/hyperlink" Target="#'10 EVIDENCE &amp; DECISIONS'!A725" TargetMode="External" Id="rId939"/><Relationship Type="http://schemas.openxmlformats.org/officeDocument/2006/relationships/hyperlink" Target="#'10 EVIDENCE &amp; DECISIONS'!A576" TargetMode="External" Id="rId940"/><Relationship Type="http://schemas.openxmlformats.org/officeDocument/2006/relationships/hyperlink" Target="#'10 EVIDENCE &amp; DECISIONS'!A577" TargetMode="External" Id="rId941"/><Relationship Type="http://schemas.openxmlformats.org/officeDocument/2006/relationships/hyperlink" Target="#'10 EVIDENCE &amp; DECISIONS'!A726" TargetMode="External" Id="rId942"/><Relationship Type="http://schemas.openxmlformats.org/officeDocument/2006/relationships/hyperlink" Target="#'10 EVIDENCE &amp; DECISIONS'!A578" TargetMode="External" Id="rId943"/><Relationship Type="http://schemas.openxmlformats.org/officeDocument/2006/relationships/hyperlink" Target="#'10 EVIDENCE &amp; DECISIONS'!A579" TargetMode="External" Id="rId944"/><Relationship Type="http://schemas.openxmlformats.org/officeDocument/2006/relationships/hyperlink" Target="#'10 EVIDENCE &amp; DECISIONS'!A727" TargetMode="External" Id="rId945"/><Relationship Type="http://schemas.openxmlformats.org/officeDocument/2006/relationships/hyperlink" Target="#'10 EVIDENCE &amp; DECISIONS'!A580" TargetMode="External" Id="rId946"/><Relationship Type="http://schemas.openxmlformats.org/officeDocument/2006/relationships/hyperlink" Target="#'10 EVIDENCE &amp; DECISIONS'!A581" TargetMode="External" Id="rId947"/><Relationship Type="http://schemas.openxmlformats.org/officeDocument/2006/relationships/hyperlink" Target="#'10 EVIDENCE &amp; DECISIONS'!A728" TargetMode="External" Id="rId948"/><Relationship Type="http://schemas.openxmlformats.org/officeDocument/2006/relationships/hyperlink" Target="#'10 EVIDENCE &amp; DECISIONS'!A582" TargetMode="External" Id="rId949"/><Relationship Type="http://schemas.openxmlformats.org/officeDocument/2006/relationships/hyperlink" Target="#'10 EVIDENCE &amp; DECISIONS'!A583" TargetMode="External" Id="rId950"/><Relationship Type="http://schemas.openxmlformats.org/officeDocument/2006/relationships/hyperlink" Target="#'10 EVIDENCE &amp; DECISIONS'!A729" TargetMode="External" Id="rId951"/><Relationship Type="http://schemas.openxmlformats.org/officeDocument/2006/relationships/hyperlink" Target="#'10 EVIDENCE &amp; DECISIONS'!A584" TargetMode="External" Id="rId952"/><Relationship Type="http://schemas.openxmlformats.org/officeDocument/2006/relationships/hyperlink" Target="#'10 EVIDENCE &amp; DECISIONS'!A585" TargetMode="External" Id="rId953"/><Relationship Type="http://schemas.openxmlformats.org/officeDocument/2006/relationships/hyperlink" Target="#'10 EVIDENCE &amp; DECISIONS'!A730" TargetMode="External" Id="rId954"/><Relationship Type="http://schemas.openxmlformats.org/officeDocument/2006/relationships/hyperlink" Target="#'10 EVIDENCE &amp; DECISIONS'!A586" TargetMode="External" Id="rId955"/><Relationship Type="http://schemas.openxmlformats.org/officeDocument/2006/relationships/hyperlink" Target="#'10 EVIDENCE &amp; DECISIONS'!A587" TargetMode="External" Id="rId956"/><Relationship Type="http://schemas.openxmlformats.org/officeDocument/2006/relationships/hyperlink" Target="#'10 EVIDENCE &amp; DECISIONS'!A731" TargetMode="External" Id="rId957"/><Relationship Type="http://schemas.openxmlformats.org/officeDocument/2006/relationships/hyperlink" Target="#'10 EVIDENCE &amp; DECISIONS'!A588" TargetMode="External" Id="rId958"/><Relationship Type="http://schemas.openxmlformats.org/officeDocument/2006/relationships/hyperlink" Target="#'10 EVIDENCE &amp; DECISIONS'!A589" TargetMode="External" Id="rId959"/><Relationship Type="http://schemas.openxmlformats.org/officeDocument/2006/relationships/hyperlink" Target="#'10 EVIDENCE &amp; DECISIONS'!A732" TargetMode="External" Id="rId960"/><Relationship Type="http://schemas.openxmlformats.org/officeDocument/2006/relationships/hyperlink" Target="#'10 EVIDENCE &amp; DECISIONS'!A590" TargetMode="External" Id="rId961"/><Relationship Type="http://schemas.openxmlformats.org/officeDocument/2006/relationships/hyperlink" Target="#'10 EVIDENCE &amp; DECISIONS'!A591" TargetMode="External" Id="rId962"/><Relationship Type="http://schemas.openxmlformats.org/officeDocument/2006/relationships/hyperlink" Target="#'10 EVIDENCE &amp; DECISIONS'!A733" TargetMode="External" Id="rId963"/><Relationship Type="http://schemas.openxmlformats.org/officeDocument/2006/relationships/hyperlink" Target="#'10 EVIDENCE &amp; DECISIONS'!A592" TargetMode="External" Id="rId964"/><Relationship Type="http://schemas.openxmlformats.org/officeDocument/2006/relationships/hyperlink" Target="#'10 EVIDENCE &amp; DECISIONS'!A593" TargetMode="External" Id="rId965"/><Relationship Type="http://schemas.openxmlformats.org/officeDocument/2006/relationships/hyperlink" Target="#'10 EVIDENCE &amp; DECISIONS'!A734" TargetMode="External" Id="rId966"/><Relationship Type="http://schemas.openxmlformats.org/officeDocument/2006/relationships/hyperlink" Target="#'10 EVIDENCE &amp; DECISIONS'!A594" TargetMode="External" Id="rId967"/><Relationship Type="http://schemas.openxmlformats.org/officeDocument/2006/relationships/hyperlink" Target="#'10 EVIDENCE &amp; DECISIONS'!A595" TargetMode="External" Id="rId968"/><Relationship Type="http://schemas.openxmlformats.org/officeDocument/2006/relationships/hyperlink" Target="#'10 EVIDENCE &amp; DECISIONS'!A735" TargetMode="External" Id="rId969"/><Relationship Type="http://schemas.openxmlformats.org/officeDocument/2006/relationships/hyperlink" Target="#'10 EVIDENCE &amp; DECISIONS'!A596" TargetMode="External" Id="rId970"/><Relationship Type="http://schemas.openxmlformats.org/officeDocument/2006/relationships/hyperlink" Target="#'10 EVIDENCE &amp; DECISIONS'!A597" TargetMode="External" Id="rId971"/><Relationship Type="http://schemas.openxmlformats.org/officeDocument/2006/relationships/hyperlink" Target="#'10 EVIDENCE &amp; DECISIONS'!A736" TargetMode="External" Id="rId972"/><Relationship Type="http://schemas.openxmlformats.org/officeDocument/2006/relationships/hyperlink" Target="#'10 EVIDENCE &amp; DECISIONS'!A598" TargetMode="External" Id="rId973"/><Relationship Type="http://schemas.openxmlformats.org/officeDocument/2006/relationships/hyperlink" Target="#'10 EVIDENCE &amp; DECISIONS'!A599" TargetMode="External" Id="rId974"/><Relationship Type="http://schemas.openxmlformats.org/officeDocument/2006/relationships/hyperlink" Target="#'10 EVIDENCE &amp; DECISIONS'!A737" TargetMode="External" Id="rId975"/><Relationship Type="http://schemas.openxmlformats.org/officeDocument/2006/relationships/hyperlink" Target="#'10 EVIDENCE &amp; DECISIONS'!A600" TargetMode="External" Id="rId976"/><Relationship Type="http://schemas.openxmlformats.org/officeDocument/2006/relationships/hyperlink" Target="#'10 EVIDENCE &amp; DECISIONS'!A601" TargetMode="External" Id="rId977"/><Relationship Type="http://schemas.openxmlformats.org/officeDocument/2006/relationships/hyperlink" Target="#'10 EVIDENCE &amp; DECISIONS'!A738" TargetMode="External" Id="rId978"/><Relationship Type="http://schemas.openxmlformats.org/officeDocument/2006/relationships/hyperlink" Target="#'10 EVIDENCE &amp; DECISIONS'!A602" TargetMode="External" Id="rId979"/><Relationship Type="http://schemas.openxmlformats.org/officeDocument/2006/relationships/hyperlink" Target="#'10 EVIDENCE &amp; DECISIONS'!A603" TargetMode="External" Id="rId980"/><Relationship Type="http://schemas.openxmlformats.org/officeDocument/2006/relationships/hyperlink" Target="#'10 EVIDENCE &amp; DECISIONS'!A739" TargetMode="External" Id="rId981"/><Relationship Type="http://schemas.openxmlformats.org/officeDocument/2006/relationships/hyperlink" Target="#'10 EVIDENCE &amp; DECISIONS'!A604" TargetMode="External" Id="rId982"/><Relationship Type="http://schemas.openxmlformats.org/officeDocument/2006/relationships/hyperlink" Target="#'10 EVIDENCE &amp; DECISIONS'!A605" TargetMode="External" Id="rId983"/><Relationship Type="http://schemas.openxmlformats.org/officeDocument/2006/relationships/hyperlink" Target="#'10 EVIDENCE &amp; DECISIONS'!A740" TargetMode="External" Id="rId984"/><Relationship Type="http://schemas.openxmlformats.org/officeDocument/2006/relationships/hyperlink" Target="#'10 EVIDENCE &amp; DECISIONS'!A606" TargetMode="External" Id="rId985"/><Relationship Type="http://schemas.openxmlformats.org/officeDocument/2006/relationships/hyperlink" Target="#'10 EVIDENCE &amp; DECISIONS'!A607" TargetMode="External" Id="rId986"/><Relationship Type="http://schemas.openxmlformats.org/officeDocument/2006/relationships/hyperlink" Target="#'10 EVIDENCE &amp; DECISIONS'!A741" TargetMode="External" Id="rId987"/><Relationship Type="http://schemas.openxmlformats.org/officeDocument/2006/relationships/hyperlink" Target="#'10 EVIDENCE &amp; DECISIONS'!A608" TargetMode="External" Id="rId988"/><Relationship Type="http://schemas.openxmlformats.org/officeDocument/2006/relationships/hyperlink" Target="#'10 EVIDENCE &amp; DECISIONS'!A609" TargetMode="External" Id="rId989"/><Relationship Type="http://schemas.openxmlformats.org/officeDocument/2006/relationships/hyperlink" Target="#'10 EVIDENCE &amp; DECISIONS'!A742" TargetMode="External" Id="rId990"/><Relationship Type="http://schemas.openxmlformats.org/officeDocument/2006/relationships/hyperlink" Target="#'10 EVIDENCE &amp; DECISIONS'!A610" TargetMode="External" Id="rId991"/><Relationship Type="http://schemas.openxmlformats.org/officeDocument/2006/relationships/hyperlink" Target="#'10 EVIDENCE &amp; DECISIONS'!A611" TargetMode="External" Id="rId992"/><Relationship Type="http://schemas.openxmlformats.org/officeDocument/2006/relationships/hyperlink" Target="#'10 EVIDENCE &amp; DECISIONS'!A743" TargetMode="External" Id="rId993"/><Relationship Type="http://schemas.openxmlformats.org/officeDocument/2006/relationships/hyperlink" Target="#'10 EVIDENCE &amp; DECISIONS'!A612" TargetMode="External" Id="rId994"/><Relationship Type="http://schemas.openxmlformats.org/officeDocument/2006/relationships/hyperlink" Target="#'10 EVIDENCE &amp; DECISIONS'!A613" TargetMode="External" Id="rId995"/><Relationship Type="http://schemas.openxmlformats.org/officeDocument/2006/relationships/hyperlink" Target="#'10 EVIDENCE &amp; DECISIONS'!A744" TargetMode="External" Id="rId996"/><Relationship Type="http://schemas.openxmlformats.org/officeDocument/2006/relationships/hyperlink" Target="#'10 EVIDENCE &amp; DECISIONS'!A614" TargetMode="External" Id="rId997"/><Relationship Type="http://schemas.openxmlformats.org/officeDocument/2006/relationships/hyperlink" Target="#'10 EVIDENCE &amp; DECISIONS'!A615" TargetMode="External" Id="rId998"/><Relationship Type="http://schemas.openxmlformats.org/officeDocument/2006/relationships/hyperlink" Target="#'10 EVIDENCE &amp; DECISIONS'!A745" TargetMode="External" Id="rId999"/><Relationship Type="http://schemas.openxmlformats.org/officeDocument/2006/relationships/hyperlink" Target="#'10 EVIDENCE &amp; DECISIONS'!A616" TargetMode="External" Id="rId1000"/><Relationship Type="http://schemas.openxmlformats.org/officeDocument/2006/relationships/hyperlink" Target="#'10 EVIDENCE &amp; DECISIONS'!A617" TargetMode="External" Id="rId1001"/><Relationship Type="http://schemas.openxmlformats.org/officeDocument/2006/relationships/hyperlink" Target="#'10 EVIDENCE &amp; DECISIONS'!A746" TargetMode="External" Id="rId1002"/><Relationship Type="http://schemas.openxmlformats.org/officeDocument/2006/relationships/hyperlink" Target="#'10 EVIDENCE &amp; DECISIONS'!A618" TargetMode="External" Id="rId1003"/><Relationship Type="http://schemas.openxmlformats.org/officeDocument/2006/relationships/hyperlink" Target="#'10 EVIDENCE &amp; DECISIONS'!A619" TargetMode="External" Id="rId1004"/><Relationship Type="http://schemas.openxmlformats.org/officeDocument/2006/relationships/hyperlink" Target="#'10 EVIDENCE &amp; DECISIONS'!A747" TargetMode="External" Id="rId1005"/><Relationship Type="http://schemas.openxmlformats.org/officeDocument/2006/relationships/hyperlink" Target="#'10 EVIDENCE &amp; DECISIONS'!A620" TargetMode="External" Id="rId1006"/><Relationship Type="http://schemas.openxmlformats.org/officeDocument/2006/relationships/hyperlink" Target="#'10 EVIDENCE &amp; DECISIONS'!A621" TargetMode="External" Id="rId1007"/><Relationship Type="http://schemas.openxmlformats.org/officeDocument/2006/relationships/hyperlink" Target="#'10 EVIDENCE &amp; DECISIONS'!A748" TargetMode="External" Id="rId1008"/><Relationship Type="http://schemas.openxmlformats.org/officeDocument/2006/relationships/hyperlink" Target="#'10 EVIDENCE &amp; DECISIONS'!A622" TargetMode="External" Id="rId1009"/><Relationship Type="http://schemas.openxmlformats.org/officeDocument/2006/relationships/hyperlink" Target="#'10 EVIDENCE &amp; DECISIONS'!A623" TargetMode="External" Id="rId1010"/><Relationship Type="http://schemas.openxmlformats.org/officeDocument/2006/relationships/hyperlink" Target="#'10 EVIDENCE &amp; DECISIONS'!A749" TargetMode="External" Id="rId1011"/><Relationship Type="http://schemas.openxmlformats.org/officeDocument/2006/relationships/hyperlink" Target="#'10 EVIDENCE &amp; DECISIONS'!A624" TargetMode="External" Id="rId1012"/><Relationship Type="http://schemas.openxmlformats.org/officeDocument/2006/relationships/hyperlink" Target="#'10 EVIDENCE &amp; DECISIONS'!A625" TargetMode="External" Id="rId1013"/><Relationship Type="http://schemas.openxmlformats.org/officeDocument/2006/relationships/hyperlink" Target="#'10 EVIDENCE &amp; DECISIONS'!A750" TargetMode="External" Id="rId1014"/><Relationship Type="http://schemas.openxmlformats.org/officeDocument/2006/relationships/hyperlink" Target="#'10 EVIDENCE &amp; DECISIONS'!A626" TargetMode="External" Id="rId1015"/><Relationship Type="http://schemas.openxmlformats.org/officeDocument/2006/relationships/hyperlink" Target="#'10 EVIDENCE &amp; DECISIONS'!A627" TargetMode="External" Id="rId1016"/><Relationship Type="http://schemas.openxmlformats.org/officeDocument/2006/relationships/hyperlink" Target="#'10 EVIDENCE &amp; DECISIONS'!A751" TargetMode="External" Id="rId1017"/><Relationship Type="http://schemas.openxmlformats.org/officeDocument/2006/relationships/hyperlink" Target="#'10 EVIDENCE &amp; DECISIONS'!A628" TargetMode="External" Id="rId1018"/><Relationship Type="http://schemas.openxmlformats.org/officeDocument/2006/relationships/hyperlink" Target="#'10 EVIDENCE &amp; DECISIONS'!A629" TargetMode="External" Id="rId1019"/><Relationship Type="http://schemas.openxmlformats.org/officeDocument/2006/relationships/hyperlink" Target="#'10 EVIDENCE &amp; DECISIONS'!A752" TargetMode="External" Id="rId1020"/><Relationship Type="http://schemas.openxmlformats.org/officeDocument/2006/relationships/hyperlink" Target="#'10 EVIDENCE &amp; DECISIONS'!A630" TargetMode="External" Id="rId1021"/><Relationship Type="http://schemas.openxmlformats.org/officeDocument/2006/relationships/hyperlink" Target="#'10 EVIDENCE &amp; DECISIONS'!A631" TargetMode="External" Id="rId1022"/><Relationship Type="http://schemas.openxmlformats.org/officeDocument/2006/relationships/hyperlink" Target="#'10 EVIDENCE &amp; DECISIONS'!A753" TargetMode="External" Id="rId1023"/><Relationship Type="http://schemas.openxmlformats.org/officeDocument/2006/relationships/hyperlink" Target="#'10 EVIDENCE &amp; DECISIONS'!A632" TargetMode="External" Id="rId1024"/><Relationship Type="http://schemas.openxmlformats.org/officeDocument/2006/relationships/hyperlink" Target="#'10 EVIDENCE &amp; DECISIONS'!A633" TargetMode="External" Id="rId1025"/><Relationship Type="http://schemas.openxmlformats.org/officeDocument/2006/relationships/hyperlink" Target="#'10 EVIDENCE &amp; DECISIONS'!A754" TargetMode="External" Id="rId1026"/><Relationship Type="http://schemas.openxmlformats.org/officeDocument/2006/relationships/hyperlink" Target="#'10 EVIDENCE &amp; DECISIONS'!A634" TargetMode="External" Id="rId1027"/><Relationship Type="http://schemas.openxmlformats.org/officeDocument/2006/relationships/hyperlink" Target="#'10 EVIDENCE &amp; DECISIONS'!A635" TargetMode="External" Id="rId1028"/><Relationship Type="http://schemas.openxmlformats.org/officeDocument/2006/relationships/hyperlink" Target="#'10 EVIDENCE &amp; DECISIONS'!A755" TargetMode="External" Id="rId1029"/><Relationship Type="http://schemas.openxmlformats.org/officeDocument/2006/relationships/hyperlink" Target="#'10 EVIDENCE &amp; DECISIONS'!A636" TargetMode="External" Id="rId1030"/><Relationship Type="http://schemas.openxmlformats.org/officeDocument/2006/relationships/hyperlink" Target="#'10 EVIDENCE &amp; DECISIONS'!A637" TargetMode="External" Id="rId1031"/><Relationship Type="http://schemas.openxmlformats.org/officeDocument/2006/relationships/hyperlink" Target="#'10 EVIDENCE &amp; DECISIONS'!A756" TargetMode="External" Id="rId1032"/><Relationship Type="http://schemas.openxmlformats.org/officeDocument/2006/relationships/hyperlink" Target="#'10 EVIDENCE &amp; DECISIONS'!A638" TargetMode="External" Id="rId1033"/><Relationship Type="http://schemas.openxmlformats.org/officeDocument/2006/relationships/hyperlink" Target="#'10 EVIDENCE &amp; DECISIONS'!A639" TargetMode="External" Id="rId1034"/><Relationship Type="http://schemas.openxmlformats.org/officeDocument/2006/relationships/hyperlink" Target="#'10 EVIDENCE &amp; DECISIONS'!A757" TargetMode="External" Id="rId1035"/><Relationship Type="http://schemas.openxmlformats.org/officeDocument/2006/relationships/hyperlink" Target="#'10 EVIDENCE &amp; DECISIONS'!A640" TargetMode="External" Id="rId1036"/><Relationship Type="http://schemas.openxmlformats.org/officeDocument/2006/relationships/hyperlink" Target="#'10 EVIDENCE &amp; DECISIONS'!A641" TargetMode="External" Id="rId1037"/><Relationship Type="http://schemas.openxmlformats.org/officeDocument/2006/relationships/hyperlink" Target="#'10 EVIDENCE &amp; DECISIONS'!A758" TargetMode="External" Id="rId1038"/><Relationship Type="http://schemas.openxmlformats.org/officeDocument/2006/relationships/hyperlink" Target="#'10 EVIDENCE &amp; DECISIONS'!A642" TargetMode="External" Id="rId1039"/><Relationship Type="http://schemas.openxmlformats.org/officeDocument/2006/relationships/hyperlink" Target="#'10 EVIDENCE &amp; DECISIONS'!A643" TargetMode="External" Id="rId1040"/><Relationship Type="http://schemas.openxmlformats.org/officeDocument/2006/relationships/hyperlink" Target="#'10 EVIDENCE &amp; DECISIONS'!A759" TargetMode="External" Id="rId1041"/><Relationship Type="http://schemas.openxmlformats.org/officeDocument/2006/relationships/hyperlink" Target="#'10 EVIDENCE &amp; DECISIONS'!A644" TargetMode="External" Id="rId1042"/><Relationship Type="http://schemas.openxmlformats.org/officeDocument/2006/relationships/hyperlink" Target="#'10 EVIDENCE &amp; DECISIONS'!A645" TargetMode="External" Id="rId1043"/><Relationship Type="http://schemas.openxmlformats.org/officeDocument/2006/relationships/hyperlink" Target="#'10 EVIDENCE &amp; DECISIONS'!A760" TargetMode="External" Id="rId1044"/><Relationship Type="http://schemas.openxmlformats.org/officeDocument/2006/relationships/hyperlink" Target="#'10 EVIDENCE &amp; DECISIONS'!A646" TargetMode="External" Id="rId1045"/><Relationship Type="http://schemas.openxmlformats.org/officeDocument/2006/relationships/hyperlink" Target="#'10 EVIDENCE &amp; DECISIONS'!A647" TargetMode="External" Id="rId1046"/><Relationship Type="http://schemas.openxmlformats.org/officeDocument/2006/relationships/hyperlink" Target="#'10 EVIDENCE &amp; DECISIONS'!A761" TargetMode="External" Id="rId1047"/><Relationship Type="http://schemas.openxmlformats.org/officeDocument/2006/relationships/hyperlink" Target="#'10 EVIDENCE &amp; DECISIONS'!A648" TargetMode="External" Id="rId1048"/><Relationship Type="http://schemas.openxmlformats.org/officeDocument/2006/relationships/hyperlink" Target="#'10 EVIDENCE &amp; DECISIONS'!A649" TargetMode="External" Id="rId1049"/><Relationship Type="http://schemas.openxmlformats.org/officeDocument/2006/relationships/hyperlink" Target="#'10 EVIDENCE &amp; DECISIONS'!A762" TargetMode="External" Id="rId1050"/><Relationship Type="http://schemas.openxmlformats.org/officeDocument/2006/relationships/hyperlink" Target="#'10 EVIDENCE &amp; DECISIONS'!A650" TargetMode="External" Id="rId1051"/><Relationship Type="http://schemas.openxmlformats.org/officeDocument/2006/relationships/hyperlink" Target="#'10 EVIDENCE &amp; DECISIONS'!A651" TargetMode="External" Id="rId1052"/><Relationship Type="http://schemas.openxmlformats.org/officeDocument/2006/relationships/hyperlink" Target="#'10 EVIDENCE &amp; DECISIONS'!A763" TargetMode="External" Id="rId1053"/><Relationship Type="http://schemas.openxmlformats.org/officeDocument/2006/relationships/hyperlink" Target="#'10 EVIDENCE &amp; DECISIONS'!A652" TargetMode="External" Id="rId1054"/><Relationship Type="http://schemas.openxmlformats.org/officeDocument/2006/relationships/hyperlink" Target="#'10 EVIDENCE &amp; DECISIONS'!A653" TargetMode="External" Id="rId1055"/><Relationship Type="http://schemas.openxmlformats.org/officeDocument/2006/relationships/hyperlink" Target="#'10 EVIDENCE &amp; DECISIONS'!A764" TargetMode="External" Id="rId1056"/><Relationship Type="http://schemas.openxmlformats.org/officeDocument/2006/relationships/hyperlink" Target="#'10 EVIDENCE &amp; DECISIONS'!A654" TargetMode="External" Id="rId1057"/><Relationship Type="http://schemas.openxmlformats.org/officeDocument/2006/relationships/hyperlink" Target="#'10 EVIDENCE &amp; DECISIONS'!A655" TargetMode="External" Id="rId1058"/><Relationship Type="http://schemas.openxmlformats.org/officeDocument/2006/relationships/hyperlink" Target="#'10 EVIDENCE &amp; DECISIONS'!A765" TargetMode="External" Id="rId1059"/><Relationship Type="http://schemas.openxmlformats.org/officeDocument/2006/relationships/hyperlink" Target="#'10 EVIDENCE &amp; DECISIONS'!A656" TargetMode="External" Id="rId1060"/><Relationship Type="http://schemas.openxmlformats.org/officeDocument/2006/relationships/hyperlink" Target="#'10 EVIDENCE &amp; DECISIONS'!A657" TargetMode="External" Id="rId1061"/><Relationship Type="http://schemas.openxmlformats.org/officeDocument/2006/relationships/hyperlink" Target="#'10 EVIDENCE &amp; DECISIONS'!A766" TargetMode="External" Id="rId1062"/><Relationship Type="http://schemas.openxmlformats.org/officeDocument/2006/relationships/hyperlink" Target="#'10 EVIDENCE &amp; DECISIONS'!A658" TargetMode="External" Id="rId1063"/><Relationship Type="http://schemas.openxmlformats.org/officeDocument/2006/relationships/hyperlink" Target="#'10 EVIDENCE &amp; DECISIONS'!A659" TargetMode="External" Id="rId1064"/><Relationship Type="http://schemas.openxmlformats.org/officeDocument/2006/relationships/hyperlink" Target="#'10 EVIDENCE &amp; DECISIONS'!A767" TargetMode="External" Id="rId1065"/><Relationship Type="http://schemas.openxmlformats.org/officeDocument/2006/relationships/hyperlink" Target="#'10 EVIDENCE &amp; DECISIONS'!A660" TargetMode="External" Id="rId1066"/><Relationship Type="http://schemas.openxmlformats.org/officeDocument/2006/relationships/hyperlink" Target="#'10 EVIDENCE &amp; DECISIONS'!A661" TargetMode="External" Id="rId1067"/><Relationship Type="http://schemas.openxmlformats.org/officeDocument/2006/relationships/hyperlink" Target="#'10 EVIDENCE &amp; DECISIONS'!A768" TargetMode="External" Id="rId1068"/><Relationship Type="http://schemas.openxmlformats.org/officeDocument/2006/relationships/hyperlink" Target="#'10 EVIDENCE &amp; DECISIONS'!A662" TargetMode="External" Id="rId1069"/><Relationship Type="http://schemas.openxmlformats.org/officeDocument/2006/relationships/hyperlink" Target="#'10 EVIDENCE &amp; DECISIONS'!A663" TargetMode="External" Id="rId1070"/><Relationship Type="http://schemas.openxmlformats.org/officeDocument/2006/relationships/hyperlink" Target="#'10 EVIDENCE &amp; DECISIONS'!A769" TargetMode="External" Id="rId1071"/><Relationship Type="http://schemas.openxmlformats.org/officeDocument/2006/relationships/hyperlink" Target="#'10 EVIDENCE &amp; DECISIONS'!A664" TargetMode="External" Id="rId1072"/><Relationship Type="http://schemas.openxmlformats.org/officeDocument/2006/relationships/hyperlink" Target="#'10 EVIDENCE &amp; DECISIONS'!A665" TargetMode="External" Id="rId1073"/><Relationship Type="http://schemas.openxmlformats.org/officeDocument/2006/relationships/hyperlink" Target="#'10 EVIDENCE &amp; DECISIONS'!A770" TargetMode="External" Id="rId1074"/><Relationship Type="http://schemas.openxmlformats.org/officeDocument/2006/relationships/hyperlink" Target="#'10 EVIDENCE &amp; DECISIONS'!A666" TargetMode="External" Id="rId1075"/><Relationship Type="http://schemas.openxmlformats.org/officeDocument/2006/relationships/hyperlink" Target="#'10 EVIDENCE &amp; DECISIONS'!A667" TargetMode="External" Id="rId1076"/><Relationship Type="http://schemas.openxmlformats.org/officeDocument/2006/relationships/hyperlink" Target="#'10 EVIDENCE &amp; DECISIONS'!A771" TargetMode="External" Id="rId1077"/><Relationship Type="http://schemas.openxmlformats.org/officeDocument/2006/relationships/hyperlink" Target="#'10 EVIDENCE &amp; DECISIONS'!A668" TargetMode="External" Id="rId1078"/><Relationship Type="http://schemas.openxmlformats.org/officeDocument/2006/relationships/hyperlink" Target="#'10 EVIDENCE &amp; DECISIONS'!A669" TargetMode="External" Id="rId1079"/><Relationship Type="http://schemas.openxmlformats.org/officeDocument/2006/relationships/hyperlink" Target="#'10 EVIDENCE &amp; DECISIONS'!A772" TargetMode="External" Id="rId1080"/><Relationship Type="http://schemas.openxmlformats.org/officeDocument/2006/relationships/hyperlink" Target="#'10 EVIDENCE &amp; DECISIONS'!A670" TargetMode="External" Id="rId1081"/><Relationship Type="http://schemas.openxmlformats.org/officeDocument/2006/relationships/hyperlink" Target="#'10 EVIDENCE &amp; DECISIONS'!A671" TargetMode="External" Id="rId1082"/><Relationship Type="http://schemas.openxmlformats.org/officeDocument/2006/relationships/hyperlink" Target="#'10 EVIDENCE &amp; DECISIONS'!A773" TargetMode="External" Id="rId1083"/><Relationship Type="http://schemas.openxmlformats.org/officeDocument/2006/relationships/hyperlink" Target="#'10 EVIDENCE &amp; DECISIONS'!A672" TargetMode="External" Id="rId1084"/><Relationship Type="http://schemas.openxmlformats.org/officeDocument/2006/relationships/hyperlink" Target="#'10 EVIDENCE &amp; DECISIONS'!A673" TargetMode="External" Id="rId1085"/><Relationship Type="http://schemas.openxmlformats.org/officeDocument/2006/relationships/hyperlink" Target="#'10 EVIDENCE &amp; DECISIONS'!A774" TargetMode="External" Id="rId1086"/><Relationship Type="http://schemas.openxmlformats.org/officeDocument/2006/relationships/hyperlink" Target="#'10 EVIDENCE &amp; DECISIONS'!A674" TargetMode="External" Id="rId1087"/><Relationship Type="http://schemas.openxmlformats.org/officeDocument/2006/relationships/hyperlink" Target="#'10 EVIDENCE &amp; DECISIONS'!A675" TargetMode="External" Id="rId1088"/><Relationship Type="http://schemas.openxmlformats.org/officeDocument/2006/relationships/hyperlink" Target="#'10 EVIDENCE &amp; DECISIONS'!A775" TargetMode="External" Id="rId1089"/><Relationship Type="http://schemas.openxmlformats.org/officeDocument/2006/relationships/hyperlink" Target="#'10 EVIDENCE &amp; DECISIONS'!A825" TargetMode="External" Id="rId1090"/><Relationship Type="http://schemas.openxmlformats.org/officeDocument/2006/relationships/hyperlink" Target="#'10 EVIDENCE &amp; DECISIONS'!A826" TargetMode="External" Id="rId1091"/><Relationship Type="http://schemas.openxmlformats.org/officeDocument/2006/relationships/hyperlink" Target="#'10 EVIDENCE &amp; DECISIONS'!A1367" TargetMode="External" Id="rId1092"/><Relationship Type="http://schemas.openxmlformats.org/officeDocument/2006/relationships/hyperlink" Target="#'10 EVIDENCE &amp; DECISIONS'!A827" TargetMode="External" Id="rId1093"/><Relationship Type="http://schemas.openxmlformats.org/officeDocument/2006/relationships/hyperlink" Target="#'10 EVIDENCE &amp; DECISIONS'!A828" TargetMode="External" Id="rId1094"/><Relationship Type="http://schemas.openxmlformats.org/officeDocument/2006/relationships/hyperlink" Target="#'10 EVIDENCE &amp; DECISIONS'!A985" TargetMode="External" Id="rId1095"/><Relationship Type="http://schemas.openxmlformats.org/officeDocument/2006/relationships/hyperlink" Target="#'10 EVIDENCE &amp; DECISIONS'!A829" TargetMode="External" Id="rId1096"/><Relationship Type="http://schemas.openxmlformats.org/officeDocument/2006/relationships/hyperlink" Target="#'10 EVIDENCE &amp; DECISIONS'!A830" TargetMode="External" Id="rId1097"/><Relationship Type="http://schemas.openxmlformats.org/officeDocument/2006/relationships/hyperlink" Target="#'10 EVIDENCE &amp; DECISIONS'!A986" TargetMode="External" Id="rId1098"/><Relationship Type="http://schemas.openxmlformats.org/officeDocument/2006/relationships/hyperlink" Target="#'10 EVIDENCE &amp; DECISIONS'!A831" TargetMode="External" Id="rId1099"/><Relationship Type="http://schemas.openxmlformats.org/officeDocument/2006/relationships/hyperlink" Target="#'10 EVIDENCE &amp; DECISIONS'!A832" TargetMode="External" Id="rId1100"/><Relationship Type="http://schemas.openxmlformats.org/officeDocument/2006/relationships/hyperlink" Target="#'10 EVIDENCE &amp; DECISIONS'!A987" TargetMode="External" Id="rId1101"/><Relationship Type="http://schemas.openxmlformats.org/officeDocument/2006/relationships/hyperlink" Target="#'10 EVIDENCE &amp; DECISIONS'!A833" TargetMode="External" Id="rId1102"/><Relationship Type="http://schemas.openxmlformats.org/officeDocument/2006/relationships/hyperlink" Target="#'10 EVIDENCE &amp; DECISIONS'!A834" TargetMode="External" Id="rId1103"/><Relationship Type="http://schemas.openxmlformats.org/officeDocument/2006/relationships/hyperlink" Target="#'10 EVIDENCE &amp; DECISIONS'!A988" TargetMode="External" Id="rId1104"/><Relationship Type="http://schemas.openxmlformats.org/officeDocument/2006/relationships/hyperlink" Target="#'10 EVIDENCE &amp; DECISIONS'!A835" TargetMode="External" Id="rId1105"/><Relationship Type="http://schemas.openxmlformats.org/officeDocument/2006/relationships/hyperlink" Target="#'10 EVIDENCE &amp; DECISIONS'!A836" TargetMode="External" Id="rId1106"/><Relationship Type="http://schemas.openxmlformats.org/officeDocument/2006/relationships/hyperlink" Target="#'10 EVIDENCE &amp; DECISIONS'!A989" TargetMode="External" Id="rId1107"/><Relationship Type="http://schemas.openxmlformats.org/officeDocument/2006/relationships/hyperlink" Target="#'10 EVIDENCE &amp; DECISIONS'!A837" TargetMode="External" Id="rId1108"/><Relationship Type="http://schemas.openxmlformats.org/officeDocument/2006/relationships/hyperlink" Target="#'10 EVIDENCE &amp; DECISIONS'!A838" TargetMode="External" Id="rId1109"/><Relationship Type="http://schemas.openxmlformats.org/officeDocument/2006/relationships/hyperlink" Target="#'10 EVIDENCE &amp; DECISIONS'!A990" TargetMode="External" Id="rId1110"/><Relationship Type="http://schemas.openxmlformats.org/officeDocument/2006/relationships/hyperlink" Target="#'10 EVIDENCE &amp; DECISIONS'!A839" TargetMode="External" Id="rId1111"/><Relationship Type="http://schemas.openxmlformats.org/officeDocument/2006/relationships/hyperlink" Target="#'10 EVIDENCE &amp; DECISIONS'!A840" TargetMode="External" Id="rId1112"/><Relationship Type="http://schemas.openxmlformats.org/officeDocument/2006/relationships/hyperlink" Target="#'10 EVIDENCE &amp; DECISIONS'!A991" TargetMode="External" Id="rId1113"/><Relationship Type="http://schemas.openxmlformats.org/officeDocument/2006/relationships/hyperlink" Target="#'10 EVIDENCE &amp; DECISIONS'!A841" TargetMode="External" Id="rId1114"/><Relationship Type="http://schemas.openxmlformats.org/officeDocument/2006/relationships/hyperlink" Target="#'10 EVIDENCE &amp; DECISIONS'!A842" TargetMode="External" Id="rId1115"/><Relationship Type="http://schemas.openxmlformats.org/officeDocument/2006/relationships/hyperlink" Target="#'10 EVIDENCE &amp; DECISIONS'!A992" TargetMode="External" Id="rId1116"/><Relationship Type="http://schemas.openxmlformats.org/officeDocument/2006/relationships/hyperlink" Target="#'10 EVIDENCE &amp; DECISIONS'!A843" TargetMode="External" Id="rId1117"/><Relationship Type="http://schemas.openxmlformats.org/officeDocument/2006/relationships/hyperlink" Target="#'10 EVIDENCE &amp; DECISIONS'!A844" TargetMode="External" Id="rId1118"/><Relationship Type="http://schemas.openxmlformats.org/officeDocument/2006/relationships/hyperlink" Target="#'10 EVIDENCE &amp; DECISIONS'!A993" TargetMode="External" Id="rId1119"/><Relationship Type="http://schemas.openxmlformats.org/officeDocument/2006/relationships/hyperlink" Target="#'10 EVIDENCE &amp; DECISIONS'!A845" TargetMode="External" Id="rId1120"/><Relationship Type="http://schemas.openxmlformats.org/officeDocument/2006/relationships/hyperlink" Target="#'10 EVIDENCE &amp; DECISIONS'!A846" TargetMode="External" Id="rId1121"/><Relationship Type="http://schemas.openxmlformats.org/officeDocument/2006/relationships/hyperlink" Target="#'10 EVIDENCE &amp; DECISIONS'!A994" TargetMode="External" Id="rId1122"/><Relationship Type="http://schemas.openxmlformats.org/officeDocument/2006/relationships/hyperlink" Target="#'10 EVIDENCE &amp; DECISIONS'!A847" TargetMode="External" Id="rId1123"/><Relationship Type="http://schemas.openxmlformats.org/officeDocument/2006/relationships/hyperlink" Target="#'10 EVIDENCE &amp; DECISIONS'!A848" TargetMode="External" Id="rId1124"/><Relationship Type="http://schemas.openxmlformats.org/officeDocument/2006/relationships/hyperlink" Target="#'10 EVIDENCE &amp; DECISIONS'!A995" TargetMode="External" Id="rId1125"/><Relationship Type="http://schemas.openxmlformats.org/officeDocument/2006/relationships/hyperlink" Target="#'10 EVIDENCE &amp; DECISIONS'!A849" TargetMode="External" Id="rId1126"/><Relationship Type="http://schemas.openxmlformats.org/officeDocument/2006/relationships/hyperlink" Target="#'10 EVIDENCE &amp; DECISIONS'!A850" TargetMode="External" Id="rId1127"/><Relationship Type="http://schemas.openxmlformats.org/officeDocument/2006/relationships/hyperlink" Target="#'10 EVIDENCE &amp; DECISIONS'!A996" TargetMode="External" Id="rId1128"/><Relationship Type="http://schemas.openxmlformats.org/officeDocument/2006/relationships/hyperlink" Target="#'10 EVIDENCE &amp; DECISIONS'!A851" TargetMode="External" Id="rId1129"/><Relationship Type="http://schemas.openxmlformats.org/officeDocument/2006/relationships/hyperlink" Target="#'10 EVIDENCE &amp; DECISIONS'!A852" TargetMode="External" Id="rId1130"/><Relationship Type="http://schemas.openxmlformats.org/officeDocument/2006/relationships/hyperlink" Target="#'10 EVIDENCE &amp; DECISIONS'!A997" TargetMode="External" Id="rId1131"/><Relationship Type="http://schemas.openxmlformats.org/officeDocument/2006/relationships/hyperlink" Target="#'10 EVIDENCE &amp; DECISIONS'!A853" TargetMode="External" Id="rId1132"/><Relationship Type="http://schemas.openxmlformats.org/officeDocument/2006/relationships/hyperlink" Target="#'10 EVIDENCE &amp; DECISIONS'!A854" TargetMode="External" Id="rId1133"/><Relationship Type="http://schemas.openxmlformats.org/officeDocument/2006/relationships/hyperlink" Target="#'10 EVIDENCE &amp; DECISIONS'!A998" TargetMode="External" Id="rId1134"/><Relationship Type="http://schemas.openxmlformats.org/officeDocument/2006/relationships/hyperlink" Target="#'10 EVIDENCE &amp; DECISIONS'!A855" TargetMode="External" Id="rId1135"/><Relationship Type="http://schemas.openxmlformats.org/officeDocument/2006/relationships/hyperlink" Target="#'10 EVIDENCE &amp; DECISIONS'!A856" TargetMode="External" Id="rId1136"/><Relationship Type="http://schemas.openxmlformats.org/officeDocument/2006/relationships/hyperlink" Target="#'10 EVIDENCE &amp; DECISIONS'!A999" TargetMode="External" Id="rId1137"/><Relationship Type="http://schemas.openxmlformats.org/officeDocument/2006/relationships/hyperlink" Target="#'10 EVIDENCE &amp; DECISIONS'!A857" TargetMode="External" Id="rId1138"/><Relationship Type="http://schemas.openxmlformats.org/officeDocument/2006/relationships/hyperlink" Target="#'10 EVIDENCE &amp; DECISIONS'!A858" TargetMode="External" Id="rId1139"/><Relationship Type="http://schemas.openxmlformats.org/officeDocument/2006/relationships/hyperlink" Target="#'10 EVIDENCE &amp; DECISIONS'!A1000" TargetMode="External" Id="rId1140"/><Relationship Type="http://schemas.openxmlformats.org/officeDocument/2006/relationships/hyperlink" Target="#'10 EVIDENCE &amp; DECISIONS'!A859" TargetMode="External" Id="rId1141"/><Relationship Type="http://schemas.openxmlformats.org/officeDocument/2006/relationships/hyperlink" Target="#'10 EVIDENCE &amp; DECISIONS'!A860" TargetMode="External" Id="rId1142"/><Relationship Type="http://schemas.openxmlformats.org/officeDocument/2006/relationships/hyperlink" Target="#'10 EVIDENCE &amp; DECISIONS'!A1001" TargetMode="External" Id="rId1143"/><Relationship Type="http://schemas.openxmlformats.org/officeDocument/2006/relationships/hyperlink" Target="#'10 EVIDENCE &amp; DECISIONS'!A861" TargetMode="External" Id="rId1144"/><Relationship Type="http://schemas.openxmlformats.org/officeDocument/2006/relationships/hyperlink" Target="#'10 EVIDENCE &amp; DECISIONS'!A862" TargetMode="External" Id="rId1145"/><Relationship Type="http://schemas.openxmlformats.org/officeDocument/2006/relationships/hyperlink" Target="#'10 EVIDENCE &amp; DECISIONS'!A1002" TargetMode="External" Id="rId1146"/><Relationship Type="http://schemas.openxmlformats.org/officeDocument/2006/relationships/hyperlink" Target="#'10 EVIDENCE &amp; DECISIONS'!A863" TargetMode="External" Id="rId1147"/><Relationship Type="http://schemas.openxmlformats.org/officeDocument/2006/relationships/hyperlink" Target="#'10 EVIDENCE &amp; DECISIONS'!A864" TargetMode="External" Id="rId1148"/><Relationship Type="http://schemas.openxmlformats.org/officeDocument/2006/relationships/hyperlink" Target="#'10 EVIDENCE &amp; DECISIONS'!A1003" TargetMode="External" Id="rId1149"/><Relationship Type="http://schemas.openxmlformats.org/officeDocument/2006/relationships/hyperlink" Target="#'10 EVIDENCE &amp; DECISIONS'!A865" TargetMode="External" Id="rId1150"/><Relationship Type="http://schemas.openxmlformats.org/officeDocument/2006/relationships/hyperlink" Target="#'10 EVIDENCE &amp; DECISIONS'!A866" TargetMode="External" Id="rId1151"/><Relationship Type="http://schemas.openxmlformats.org/officeDocument/2006/relationships/hyperlink" Target="#'10 EVIDENCE &amp; DECISIONS'!A1004" TargetMode="External" Id="rId1152"/><Relationship Type="http://schemas.openxmlformats.org/officeDocument/2006/relationships/hyperlink" Target="#'10 EVIDENCE &amp; DECISIONS'!A867" TargetMode="External" Id="rId1153"/><Relationship Type="http://schemas.openxmlformats.org/officeDocument/2006/relationships/hyperlink" Target="#'10 EVIDENCE &amp; DECISIONS'!A868" TargetMode="External" Id="rId1154"/><Relationship Type="http://schemas.openxmlformats.org/officeDocument/2006/relationships/hyperlink" Target="#'10 EVIDENCE &amp; DECISIONS'!A1005" TargetMode="External" Id="rId1155"/><Relationship Type="http://schemas.openxmlformats.org/officeDocument/2006/relationships/hyperlink" Target="#'10 EVIDENCE &amp; DECISIONS'!A869" TargetMode="External" Id="rId1156"/><Relationship Type="http://schemas.openxmlformats.org/officeDocument/2006/relationships/hyperlink" Target="#'10 EVIDENCE &amp; DECISIONS'!A870" TargetMode="External" Id="rId1157"/><Relationship Type="http://schemas.openxmlformats.org/officeDocument/2006/relationships/hyperlink" Target="#'10 EVIDENCE &amp; DECISIONS'!A1006" TargetMode="External" Id="rId1158"/><Relationship Type="http://schemas.openxmlformats.org/officeDocument/2006/relationships/hyperlink" Target="#'10 EVIDENCE &amp; DECISIONS'!A871" TargetMode="External" Id="rId1159"/><Relationship Type="http://schemas.openxmlformats.org/officeDocument/2006/relationships/hyperlink" Target="#'10 EVIDENCE &amp; DECISIONS'!A872" TargetMode="External" Id="rId1160"/><Relationship Type="http://schemas.openxmlformats.org/officeDocument/2006/relationships/hyperlink" Target="#'10 EVIDENCE &amp; DECISIONS'!A1007" TargetMode="External" Id="rId1161"/><Relationship Type="http://schemas.openxmlformats.org/officeDocument/2006/relationships/hyperlink" Target="#'10 EVIDENCE &amp; DECISIONS'!A873" TargetMode="External" Id="rId1162"/><Relationship Type="http://schemas.openxmlformats.org/officeDocument/2006/relationships/hyperlink" Target="#'10 EVIDENCE &amp; DECISIONS'!A874" TargetMode="External" Id="rId1163"/><Relationship Type="http://schemas.openxmlformats.org/officeDocument/2006/relationships/hyperlink" Target="#'10 EVIDENCE &amp; DECISIONS'!A1008" TargetMode="External" Id="rId1164"/><Relationship Type="http://schemas.openxmlformats.org/officeDocument/2006/relationships/hyperlink" Target="#'10 EVIDENCE &amp; DECISIONS'!A875" TargetMode="External" Id="rId1165"/><Relationship Type="http://schemas.openxmlformats.org/officeDocument/2006/relationships/hyperlink" Target="#'10 EVIDENCE &amp; DECISIONS'!A876" TargetMode="External" Id="rId1166"/><Relationship Type="http://schemas.openxmlformats.org/officeDocument/2006/relationships/hyperlink" Target="#'10 EVIDENCE &amp; DECISIONS'!A1009" TargetMode="External" Id="rId1167"/><Relationship Type="http://schemas.openxmlformats.org/officeDocument/2006/relationships/hyperlink" Target="#'10 EVIDENCE &amp; DECISIONS'!A877" TargetMode="External" Id="rId1168"/><Relationship Type="http://schemas.openxmlformats.org/officeDocument/2006/relationships/hyperlink" Target="#'10 EVIDENCE &amp; DECISIONS'!A878" TargetMode="External" Id="rId1169"/><Relationship Type="http://schemas.openxmlformats.org/officeDocument/2006/relationships/hyperlink" Target="#'10 EVIDENCE &amp; DECISIONS'!A1010" TargetMode="External" Id="rId1170"/><Relationship Type="http://schemas.openxmlformats.org/officeDocument/2006/relationships/hyperlink" Target="#'10 EVIDENCE &amp; DECISIONS'!A879" TargetMode="External" Id="rId1171"/><Relationship Type="http://schemas.openxmlformats.org/officeDocument/2006/relationships/hyperlink" Target="#'10 EVIDENCE &amp; DECISIONS'!A880" TargetMode="External" Id="rId1172"/><Relationship Type="http://schemas.openxmlformats.org/officeDocument/2006/relationships/hyperlink" Target="#'10 EVIDENCE &amp; DECISIONS'!A1011" TargetMode="External" Id="rId1173"/><Relationship Type="http://schemas.openxmlformats.org/officeDocument/2006/relationships/hyperlink" Target="#'10 EVIDENCE &amp; DECISIONS'!A881" TargetMode="External" Id="rId1174"/><Relationship Type="http://schemas.openxmlformats.org/officeDocument/2006/relationships/hyperlink" Target="#'10 EVIDENCE &amp; DECISIONS'!A882" TargetMode="External" Id="rId1175"/><Relationship Type="http://schemas.openxmlformats.org/officeDocument/2006/relationships/hyperlink" Target="#'10 EVIDENCE &amp; DECISIONS'!A1012" TargetMode="External" Id="rId1176"/><Relationship Type="http://schemas.openxmlformats.org/officeDocument/2006/relationships/hyperlink" Target="#'10 EVIDENCE &amp; DECISIONS'!A883" TargetMode="External" Id="rId1177"/><Relationship Type="http://schemas.openxmlformats.org/officeDocument/2006/relationships/hyperlink" Target="#'10 EVIDENCE &amp; DECISIONS'!A884" TargetMode="External" Id="rId1178"/><Relationship Type="http://schemas.openxmlformats.org/officeDocument/2006/relationships/hyperlink" Target="#'10 EVIDENCE &amp; DECISIONS'!A1013" TargetMode="External" Id="rId1179"/><Relationship Type="http://schemas.openxmlformats.org/officeDocument/2006/relationships/hyperlink" Target="#'10 EVIDENCE &amp; DECISIONS'!A885" TargetMode="External" Id="rId1180"/><Relationship Type="http://schemas.openxmlformats.org/officeDocument/2006/relationships/hyperlink" Target="#'10 EVIDENCE &amp; DECISIONS'!A886" TargetMode="External" Id="rId1181"/><Relationship Type="http://schemas.openxmlformats.org/officeDocument/2006/relationships/hyperlink" Target="#'10 EVIDENCE &amp; DECISIONS'!A1014" TargetMode="External" Id="rId1182"/><Relationship Type="http://schemas.openxmlformats.org/officeDocument/2006/relationships/hyperlink" Target="#'10 EVIDENCE &amp; DECISIONS'!A887" TargetMode="External" Id="rId1183"/><Relationship Type="http://schemas.openxmlformats.org/officeDocument/2006/relationships/hyperlink" Target="#'10 EVIDENCE &amp; DECISIONS'!A888" TargetMode="External" Id="rId1184"/><Relationship Type="http://schemas.openxmlformats.org/officeDocument/2006/relationships/hyperlink" Target="#'10 EVIDENCE &amp; DECISIONS'!A1015" TargetMode="External" Id="rId1185"/><Relationship Type="http://schemas.openxmlformats.org/officeDocument/2006/relationships/hyperlink" Target="#'10 EVIDENCE &amp; DECISIONS'!A889" TargetMode="External" Id="rId1186"/><Relationship Type="http://schemas.openxmlformats.org/officeDocument/2006/relationships/hyperlink" Target="#'10 EVIDENCE &amp; DECISIONS'!A890" TargetMode="External" Id="rId1187"/><Relationship Type="http://schemas.openxmlformats.org/officeDocument/2006/relationships/hyperlink" Target="#'10 EVIDENCE &amp; DECISIONS'!A1016" TargetMode="External" Id="rId1188"/><Relationship Type="http://schemas.openxmlformats.org/officeDocument/2006/relationships/hyperlink" Target="#'10 EVIDENCE &amp; DECISIONS'!A891" TargetMode="External" Id="rId1189"/><Relationship Type="http://schemas.openxmlformats.org/officeDocument/2006/relationships/hyperlink" Target="#'10 EVIDENCE &amp; DECISIONS'!A892" TargetMode="External" Id="rId1190"/><Relationship Type="http://schemas.openxmlformats.org/officeDocument/2006/relationships/hyperlink" Target="#'10 EVIDENCE &amp; DECISIONS'!A1017" TargetMode="External" Id="rId1191"/><Relationship Type="http://schemas.openxmlformats.org/officeDocument/2006/relationships/hyperlink" Target="#'10 EVIDENCE &amp; DECISIONS'!A893" TargetMode="External" Id="rId1192"/><Relationship Type="http://schemas.openxmlformats.org/officeDocument/2006/relationships/hyperlink" Target="#'10 EVIDENCE &amp; DECISIONS'!A894" TargetMode="External" Id="rId1193"/><Relationship Type="http://schemas.openxmlformats.org/officeDocument/2006/relationships/hyperlink" Target="#'10 EVIDENCE &amp; DECISIONS'!A1018" TargetMode="External" Id="rId1194"/><Relationship Type="http://schemas.openxmlformats.org/officeDocument/2006/relationships/hyperlink" Target="#'10 EVIDENCE &amp; DECISIONS'!A895" TargetMode="External" Id="rId1195"/><Relationship Type="http://schemas.openxmlformats.org/officeDocument/2006/relationships/hyperlink" Target="#'10 EVIDENCE &amp; DECISIONS'!A896" TargetMode="External" Id="rId1196"/><Relationship Type="http://schemas.openxmlformats.org/officeDocument/2006/relationships/hyperlink" Target="#'10 EVIDENCE &amp; DECISIONS'!A1019" TargetMode="External" Id="rId1197"/><Relationship Type="http://schemas.openxmlformats.org/officeDocument/2006/relationships/hyperlink" Target="#'10 EVIDENCE &amp; DECISIONS'!A897" TargetMode="External" Id="rId1198"/><Relationship Type="http://schemas.openxmlformats.org/officeDocument/2006/relationships/hyperlink" Target="#'10 EVIDENCE &amp; DECISIONS'!A898" TargetMode="External" Id="rId1199"/><Relationship Type="http://schemas.openxmlformats.org/officeDocument/2006/relationships/hyperlink" Target="#'10 EVIDENCE &amp; DECISIONS'!A1020" TargetMode="External" Id="rId1200"/><Relationship Type="http://schemas.openxmlformats.org/officeDocument/2006/relationships/hyperlink" Target="#'10 EVIDENCE &amp; DECISIONS'!A899" TargetMode="External" Id="rId1201"/><Relationship Type="http://schemas.openxmlformats.org/officeDocument/2006/relationships/hyperlink" Target="#'10 EVIDENCE &amp; DECISIONS'!A900" TargetMode="External" Id="rId1202"/><Relationship Type="http://schemas.openxmlformats.org/officeDocument/2006/relationships/hyperlink" Target="#'10 EVIDENCE &amp; DECISIONS'!A1021" TargetMode="External" Id="rId1203"/><Relationship Type="http://schemas.openxmlformats.org/officeDocument/2006/relationships/hyperlink" Target="#'10 EVIDENCE &amp; DECISIONS'!A901" TargetMode="External" Id="rId1204"/><Relationship Type="http://schemas.openxmlformats.org/officeDocument/2006/relationships/hyperlink" Target="#'10 EVIDENCE &amp; DECISIONS'!A902" TargetMode="External" Id="rId1205"/><Relationship Type="http://schemas.openxmlformats.org/officeDocument/2006/relationships/hyperlink" Target="#'10 EVIDENCE &amp; DECISIONS'!A1022" TargetMode="External" Id="rId1206"/><Relationship Type="http://schemas.openxmlformats.org/officeDocument/2006/relationships/hyperlink" Target="#'10 EVIDENCE &amp; DECISIONS'!A903" TargetMode="External" Id="rId1207"/><Relationship Type="http://schemas.openxmlformats.org/officeDocument/2006/relationships/hyperlink" Target="#'10 EVIDENCE &amp; DECISIONS'!A904" TargetMode="External" Id="rId1208"/><Relationship Type="http://schemas.openxmlformats.org/officeDocument/2006/relationships/hyperlink" Target="#'10 EVIDENCE &amp; DECISIONS'!A1023" TargetMode="External" Id="rId1209"/><Relationship Type="http://schemas.openxmlformats.org/officeDocument/2006/relationships/hyperlink" Target="#'10 EVIDENCE &amp; DECISIONS'!A905" TargetMode="External" Id="rId1210"/><Relationship Type="http://schemas.openxmlformats.org/officeDocument/2006/relationships/hyperlink" Target="#'10 EVIDENCE &amp; DECISIONS'!A906" TargetMode="External" Id="rId1211"/><Relationship Type="http://schemas.openxmlformats.org/officeDocument/2006/relationships/hyperlink" Target="#'10 EVIDENCE &amp; DECISIONS'!A1024" TargetMode="External" Id="rId1212"/><Relationship Type="http://schemas.openxmlformats.org/officeDocument/2006/relationships/hyperlink" Target="#'10 EVIDENCE &amp; DECISIONS'!A907" TargetMode="External" Id="rId1213"/><Relationship Type="http://schemas.openxmlformats.org/officeDocument/2006/relationships/hyperlink" Target="#'10 EVIDENCE &amp; DECISIONS'!A908" TargetMode="External" Id="rId1214"/><Relationship Type="http://schemas.openxmlformats.org/officeDocument/2006/relationships/hyperlink" Target="#'10 EVIDENCE &amp; DECISIONS'!A1025" TargetMode="External" Id="rId1215"/><Relationship Type="http://schemas.openxmlformats.org/officeDocument/2006/relationships/hyperlink" Target="#'10 EVIDENCE &amp; DECISIONS'!A909" TargetMode="External" Id="rId1216"/><Relationship Type="http://schemas.openxmlformats.org/officeDocument/2006/relationships/hyperlink" Target="#'10 EVIDENCE &amp; DECISIONS'!A910" TargetMode="External" Id="rId1217"/><Relationship Type="http://schemas.openxmlformats.org/officeDocument/2006/relationships/hyperlink" Target="#'10 EVIDENCE &amp; DECISIONS'!A1026" TargetMode="External" Id="rId1218"/><Relationship Type="http://schemas.openxmlformats.org/officeDocument/2006/relationships/hyperlink" Target="#'10 EVIDENCE &amp; DECISIONS'!A911" TargetMode="External" Id="rId1219"/><Relationship Type="http://schemas.openxmlformats.org/officeDocument/2006/relationships/hyperlink" Target="#'10 EVIDENCE &amp; DECISIONS'!A912" TargetMode="External" Id="rId1220"/><Relationship Type="http://schemas.openxmlformats.org/officeDocument/2006/relationships/hyperlink" Target="#'10 EVIDENCE &amp; DECISIONS'!A1027" TargetMode="External" Id="rId1221"/><Relationship Type="http://schemas.openxmlformats.org/officeDocument/2006/relationships/hyperlink" Target="#'10 EVIDENCE &amp; DECISIONS'!A913" TargetMode="External" Id="rId1222"/><Relationship Type="http://schemas.openxmlformats.org/officeDocument/2006/relationships/hyperlink" Target="#'10 EVIDENCE &amp; DECISIONS'!A914" TargetMode="External" Id="rId1223"/><Relationship Type="http://schemas.openxmlformats.org/officeDocument/2006/relationships/hyperlink" Target="#'10 EVIDENCE &amp; DECISIONS'!A1028" TargetMode="External" Id="rId1224"/><Relationship Type="http://schemas.openxmlformats.org/officeDocument/2006/relationships/hyperlink" Target="#'10 EVIDENCE &amp; DECISIONS'!A915" TargetMode="External" Id="rId1225"/><Relationship Type="http://schemas.openxmlformats.org/officeDocument/2006/relationships/hyperlink" Target="#'10 EVIDENCE &amp; DECISIONS'!A916" TargetMode="External" Id="rId1226"/><Relationship Type="http://schemas.openxmlformats.org/officeDocument/2006/relationships/hyperlink" Target="#'10 EVIDENCE &amp; DECISIONS'!A1029" TargetMode="External" Id="rId1227"/><Relationship Type="http://schemas.openxmlformats.org/officeDocument/2006/relationships/hyperlink" Target="#'10 EVIDENCE &amp; DECISIONS'!A917" TargetMode="External" Id="rId1228"/><Relationship Type="http://schemas.openxmlformats.org/officeDocument/2006/relationships/hyperlink" Target="#'10 EVIDENCE &amp; DECISIONS'!A918" TargetMode="External" Id="rId1229"/><Relationship Type="http://schemas.openxmlformats.org/officeDocument/2006/relationships/hyperlink" Target="#'10 EVIDENCE &amp; DECISIONS'!A1030" TargetMode="External" Id="rId1230"/><Relationship Type="http://schemas.openxmlformats.org/officeDocument/2006/relationships/hyperlink" Target="#'10 EVIDENCE &amp; DECISIONS'!A919" TargetMode="External" Id="rId1231"/><Relationship Type="http://schemas.openxmlformats.org/officeDocument/2006/relationships/hyperlink" Target="#'10 EVIDENCE &amp; DECISIONS'!A920" TargetMode="External" Id="rId1232"/><Relationship Type="http://schemas.openxmlformats.org/officeDocument/2006/relationships/hyperlink" Target="#'10 EVIDENCE &amp; DECISIONS'!A1031" TargetMode="External" Id="rId1233"/><Relationship Type="http://schemas.openxmlformats.org/officeDocument/2006/relationships/hyperlink" Target="#'10 EVIDENCE &amp; DECISIONS'!A921" TargetMode="External" Id="rId1234"/><Relationship Type="http://schemas.openxmlformats.org/officeDocument/2006/relationships/hyperlink" Target="#'10 EVIDENCE &amp; DECISIONS'!A922" TargetMode="External" Id="rId1235"/><Relationship Type="http://schemas.openxmlformats.org/officeDocument/2006/relationships/hyperlink" Target="#'10 EVIDENCE &amp; DECISIONS'!A1032" TargetMode="External" Id="rId1236"/><Relationship Type="http://schemas.openxmlformats.org/officeDocument/2006/relationships/hyperlink" Target="#'10 EVIDENCE &amp; DECISIONS'!A923" TargetMode="External" Id="rId1237"/><Relationship Type="http://schemas.openxmlformats.org/officeDocument/2006/relationships/hyperlink" Target="#'10 EVIDENCE &amp; DECISIONS'!A924" TargetMode="External" Id="rId1238"/><Relationship Type="http://schemas.openxmlformats.org/officeDocument/2006/relationships/hyperlink" Target="#'10 EVIDENCE &amp; DECISIONS'!A1033" TargetMode="External" Id="rId1239"/><Relationship Type="http://schemas.openxmlformats.org/officeDocument/2006/relationships/hyperlink" Target="#'10 EVIDENCE &amp; DECISIONS'!A925" TargetMode="External" Id="rId1240"/><Relationship Type="http://schemas.openxmlformats.org/officeDocument/2006/relationships/hyperlink" Target="#'10 EVIDENCE &amp; DECISIONS'!A926" TargetMode="External" Id="rId1241"/><Relationship Type="http://schemas.openxmlformats.org/officeDocument/2006/relationships/hyperlink" Target="#'10 EVIDENCE &amp; DECISIONS'!A1034" TargetMode="External" Id="rId1242"/><Relationship Type="http://schemas.openxmlformats.org/officeDocument/2006/relationships/hyperlink" Target="#'10 EVIDENCE &amp; DECISIONS'!A927" TargetMode="External" Id="rId1243"/><Relationship Type="http://schemas.openxmlformats.org/officeDocument/2006/relationships/hyperlink" Target="#'10 EVIDENCE &amp; DECISIONS'!A928" TargetMode="External" Id="rId1244"/><Relationship Type="http://schemas.openxmlformats.org/officeDocument/2006/relationships/hyperlink" Target="#'10 EVIDENCE &amp; DECISIONS'!A1035" TargetMode="External" Id="rId1245"/><Relationship Type="http://schemas.openxmlformats.org/officeDocument/2006/relationships/hyperlink" Target="#'10 EVIDENCE &amp; DECISIONS'!A929" TargetMode="External" Id="rId1246"/><Relationship Type="http://schemas.openxmlformats.org/officeDocument/2006/relationships/hyperlink" Target="#'10 EVIDENCE &amp; DECISIONS'!A930" TargetMode="External" Id="rId1247"/><Relationship Type="http://schemas.openxmlformats.org/officeDocument/2006/relationships/hyperlink" Target="#'10 EVIDENCE &amp; DECISIONS'!A1036" TargetMode="External" Id="rId1248"/><Relationship Type="http://schemas.openxmlformats.org/officeDocument/2006/relationships/hyperlink" Target="#'10 EVIDENCE &amp; DECISIONS'!A931" TargetMode="External" Id="rId1249"/><Relationship Type="http://schemas.openxmlformats.org/officeDocument/2006/relationships/hyperlink" Target="#'10 EVIDENCE &amp; DECISIONS'!A932" TargetMode="External" Id="rId1250"/><Relationship Type="http://schemas.openxmlformats.org/officeDocument/2006/relationships/hyperlink" Target="#'10 EVIDENCE &amp; DECISIONS'!A1037" TargetMode="External" Id="rId1251"/><Relationship Type="http://schemas.openxmlformats.org/officeDocument/2006/relationships/hyperlink" Target="#'10 EVIDENCE &amp; DECISIONS'!A933" TargetMode="External" Id="rId1252"/><Relationship Type="http://schemas.openxmlformats.org/officeDocument/2006/relationships/hyperlink" Target="#'10 EVIDENCE &amp; DECISIONS'!A934" TargetMode="External" Id="rId1253"/><Relationship Type="http://schemas.openxmlformats.org/officeDocument/2006/relationships/hyperlink" Target="#'10 EVIDENCE &amp; DECISIONS'!A1038" TargetMode="External" Id="rId1254"/><Relationship Type="http://schemas.openxmlformats.org/officeDocument/2006/relationships/hyperlink" Target="#'10 EVIDENCE &amp; DECISIONS'!A935" TargetMode="External" Id="rId1255"/><Relationship Type="http://schemas.openxmlformats.org/officeDocument/2006/relationships/hyperlink" Target="#'10 EVIDENCE &amp; DECISIONS'!A936" TargetMode="External" Id="rId1256"/><Relationship Type="http://schemas.openxmlformats.org/officeDocument/2006/relationships/hyperlink" Target="#'10 EVIDENCE &amp; DECISIONS'!A1039" TargetMode="External" Id="rId1257"/><Relationship Type="http://schemas.openxmlformats.org/officeDocument/2006/relationships/hyperlink" Target="#'10 EVIDENCE &amp; DECISIONS'!A937" TargetMode="External" Id="rId1258"/><Relationship Type="http://schemas.openxmlformats.org/officeDocument/2006/relationships/hyperlink" Target="#'10 EVIDENCE &amp; DECISIONS'!A938" TargetMode="External" Id="rId1259"/><Relationship Type="http://schemas.openxmlformats.org/officeDocument/2006/relationships/hyperlink" Target="#'10 EVIDENCE &amp; DECISIONS'!A1040" TargetMode="External" Id="rId1260"/><Relationship Type="http://schemas.openxmlformats.org/officeDocument/2006/relationships/hyperlink" Target="#'10 EVIDENCE &amp; DECISIONS'!A939" TargetMode="External" Id="rId1261"/><Relationship Type="http://schemas.openxmlformats.org/officeDocument/2006/relationships/hyperlink" Target="#'10 EVIDENCE &amp; DECISIONS'!A940" TargetMode="External" Id="rId1262"/><Relationship Type="http://schemas.openxmlformats.org/officeDocument/2006/relationships/hyperlink" Target="#'10 EVIDENCE &amp; DECISIONS'!A1041" TargetMode="External" Id="rId1263"/><Relationship Type="http://schemas.openxmlformats.org/officeDocument/2006/relationships/hyperlink" Target="#'10 EVIDENCE &amp; DECISIONS'!A941" TargetMode="External" Id="rId1264"/><Relationship Type="http://schemas.openxmlformats.org/officeDocument/2006/relationships/hyperlink" Target="#'10 EVIDENCE &amp; DECISIONS'!A942" TargetMode="External" Id="rId1265"/><Relationship Type="http://schemas.openxmlformats.org/officeDocument/2006/relationships/hyperlink" Target="#'10 EVIDENCE &amp; DECISIONS'!A1042" TargetMode="External" Id="rId1266"/><Relationship Type="http://schemas.openxmlformats.org/officeDocument/2006/relationships/hyperlink" Target="#'10 EVIDENCE &amp; DECISIONS'!A943" TargetMode="External" Id="rId1267"/><Relationship Type="http://schemas.openxmlformats.org/officeDocument/2006/relationships/hyperlink" Target="#'10 EVIDENCE &amp; DECISIONS'!A944" TargetMode="External" Id="rId1268"/><Relationship Type="http://schemas.openxmlformats.org/officeDocument/2006/relationships/hyperlink" Target="#'10 EVIDENCE &amp; DECISIONS'!A1043" TargetMode="External" Id="rId1269"/><Relationship Type="http://schemas.openxmlformats.org/officeDocument/2006/relationships/hyperlink" Target="#'10 EVIDENCE &amp; DECISIONS'!A1094" TargetMode="External" Id="rId1270"/><Relationship Type="http://schemas.openxmlformats.org/officeDocument/2006/relationships/hyperlink" Target="#'10 EVIDENCE &amp; DECISIONS'!A1095" TargetMode="External" Id="rId1271"/><Relationship Type="http://schemas.openxmlformats.org/officeDocument/2006/relationships/hyperlink" Target="#'10 EVIDENCE &amp; DECISIONS'!A1214" TargetMode="External" Id="rId1272"/><Relationship Type="http://schemas.openxmlformats.org/officeDocument/2006/relationships/hyperlink" Target="#'10 EVIDENCE &amp; DECISIONS'!A1096" TargetMode="External" Id="rId1273"/><Relationship Type="http://schemas.openxmlformats.org/officeDocument/2006/relationships/hyperlink" Target="#'10 EVIDENCE &amp; DECISIONS'!A1097" TargetMode="External" Id="rId1274"/><Relationship Type="http://schemas.openxmlformats.org/officeDocument/2006/relationships/hyperlink" Target="#'10 EVIDENCE &amp; DECISIONS'!A1215" TargetMode="External" Id="rId1275"/><Relationship Type="http://schemas.openxmlformats.org/officeDocument/2006/relationships/hyperlink" Target="#'10 EVIDENCE &amp; DECISIONS'!A1098" TargetMode="External" Id="rId1276"/><Relationship Type="http://schemas.openxmlformats.org/officeDocument/2006/relationships/hyperlink" Target="#'10 EVIDENCE &amp; DECISIONS'!A1099" TargetMode="External" Id="rId1277"/><Relationship Type="http://schemas.openxmlformats.org/officeDocument/2006/relationships/hyperlink" Target="#'10 EVIDENCE &amp; DECISIONS'!A1216" TargetMode="External" Id="rId1278"/><Relationship Type="http://schemas.openxmlformats.org/officeDocument/2006/relationships/hyperlink" Target="#'10 EVIDENCE &amp; DECISIONS'!A1100" TargetMode="External" Id="rId1279"/><Relationship Type="http://schemas.openxmlformats.org/officeDocument/2006/relationships/hyperlink" Target="#'10 EVIDENCE &amp; DECISIONS'!A1101" TargetMode="External" Id="rId1280"/><Relationship Type="http://schemas.openxmlformats.org/officeDocument/2006/relationships/hyperlink" Target="#'10 EVIDENCE &amp; DECISIONS'!A1217" TargetMode="External" Id="rId1281"/><Relationship Type="http://schemas.openxmlformats.org/officeDocument/2006/relationships/hyperlink" Target="#'10 EVIDENCE &amp; DECISIONS'!A1102" TargetMode="External" Id="rId1282"/><Relationship Type="http://schemas.openxmlformats.org/officeDocument/2006/relationships/hyperlink" Target="#'10 EVIDENCE &amp; DECISIONS'!A1103" TargetMode="External" Id="rId1283"/><Relationship Type="http://schemas.openxmlformats.org/officeDocument/2006/relationships/hyperlink" Target="#'10 EVIDENCE &amp; DECISIONS'!A1218" TargetMode="External" Id="rId1284"/><Relationship Type="http://schemas.openxmlformats.org/officeDocument/2006/relationships/hyperlink" Target="#'10 EVIDENCE &amp; DECISIONS'!A1104" TargetMode="External" Id="rId1285"/><Relationship Type="http://schemas.openxmlformats.org/officeDocument/2006/relationships/hyperlink" Target="#'10 EVIDENCE &amp; DECISIONS'!A1105" TargetMode="External" Id="rId1286"/><Relationship Type="http://schemas.openxmlformats.org/officeDocument/2006/relationships/hyperlink" Target="#'10 EVIDENCE &amp; DECISIONS'!A1219" TargetMode="External" Id="rId1287"/><Relationship Type="http://schemas.openxmlformats.org/officeDocument/2006/relationships/hyperlink" Target="#'10 EVIDENCE &amp; DECISIONS'!A1106" TargetMode="External" Id="rId1288"/><Relationship Type="http://schemas.openxmlformats.org/officeDocument/2006/relationships/hyperlink" Target="#'10 EVIDENCE &amp; DECISIONS'!A1107" TargetMode="External" Id="rId1289"/><Relationship Type="http://schemas.openxmlformats.org/officeDocument/2006/relationships/hyperlink" Target="#'10 EVIDENCE &amp; DECISIONS'!A1220" TargetMode="External" Id="rId1290"/><Relationship Type="http://schemas.openxmlformats.org/officeDocument/2006/relationships/hyperlink" Target="#'10 EVIDENCE &amp; DECISIONS'!A1108" TargetMode="External" Id="rId1291"/><Relationship Type="http://schemas.openxmlformats.org/officeDocument/2006/relationships/hyperlink" Target="#'10 EVIDENCE &amp; DECISIONS'!A1109" TargetMode="External" Id="rId1292"/><Relationship Type="http://schemas.openxmlformats.org/officeDocument/2006/relationships/hyperlink" Target="#'10 EVIDENCE &amp; DECISIONS'!A1221" TargetMode="External" Id="rId1293"/><Relationship Type="http://schemas.openxmlformats.org/officeDocument/2006/relationships/hyperlink" Target="#'10 EVIDENCE &amp; DECISIONS'!A1110" TargetMode="External" Id="rId1294"/><Relationship Type="http://schemas.openxmlformats.org/officeDocument/2006/relationships/hyperlink" Target="#'10 EVIDENCE &amp; DECISIONS'!A1111" TargetMode="External" Id="rId1295"/><Relationship Type="http://schemas.openxmlformats.org/officeDocument/2006/relationships/hyperlink" Target="#'10 EVIDENCE &amp; DECISIONS'!A1222" TargetMode="External" Id="rId1296"/><Relationship Type="http://schemas.openxmlformats.org/officeDocument/2006/relationships/hyperlink" Target="#'10 EVIDENCE &amp; DECISIONS'!A1112" TargetMode="External" Id="rId1297"/><Relationship Type="http://schemas.openxmlformats.org/officeDocument/2006/relationships/hyperlink" Target="#'10 EVIDENCE &amp; DECISIONS'!A1113" TargetMode="External" Id="rId1298"/><Relationship Type="http://schemas.openxmlformats.org/officeDocument/2006/relationships/hyperlink" Target="#'10 EVIDENCE &amp; DECISIONS'!A1223" TargetMode="External" Id="rId1299"/><Relationship Type="http://schemas.openxmlformats.org/officeDocument/2006/relationships/hyperlink" Target="#'10 EVIDENCE &amp; DECISIONS'!A1114" TargetMode="External" Id="rId1300"/><Relationship Type="http://schemas.openxmlformats.org/officeDocument/2006/relationships/hyperlink" Target="#'10 EVIDENCE &amp; DECISIONS'!A1115" TargetMode="External" Id="rId1301"/><Relationship Type="http://schemas.openxmlformats.org/officeDocument/2006/relationships/hyperlink" Target="#'10 EVIDENCE &amp; DECISIONS'!A1224" TargetMode="External" Id="rId1302"/><Relationship Type="http://schemas.openxmlformats.org/officeDocument/2006/relationships/hyperlink" Target="#'10 EVIDENCE &amp; DECISIONS'!A1116" TargetMode="External" Id="rId1303"/><Relationship Type="http://schemas.openxmlformats.org/officeDocument/2006/relationships/hyperlink" Target="#'10 EVIDENCE &amp; DECISIONS'!A1117" TargetMode="External" Id="rId1304"/><Relationship Type="http://schemas.openxmlformats.org/officeDocument/2006/relationships/hyperlink" Target="#'10 EVIDENCE &amp; DECISIONS'!A1225" TargetMode="External" Id="rId1305"/><Relationship Type="http://schemas.openxmlformats.org/officeDocument/2006/relationships/hyperlink" Target="#'10 EVIDENCE &amp; DECISIONS'!A1118" TargetMode="External" Id="rId1306"/><Relationship Type="http://schemas.openxmlformats.org/officeDocument/2006/relationships/hyperlink" Target="#'10 EVIDENCE &amp; DECISIONS'!A1119" TargetMode="External" Id="rId1307"/><Relationship Type="http://schemas.openxmlformats.org/officeDocument/2006/relationships/hyperlink" Target="#'10 EVIDENCE &amp; DECISIONS'!A1226" TargetMode="External" Id="rId1308"/><Relationship Type="http://schemas.openxmlformats.org/officeDocument/2006/relationships/hyperlink" Target="#'10 EVIDENCE &amp; DECISIONS'!A1120" TargetMode="External" Id="rId1309"/><Relationship Type="http://schemas.openxmlformats.org/officeDocument/2006/relationships/hyperlink" Target="#'10 EVIDENCE &amp; DECISIONS'!A1121" TargetMode="External" Id="rId1310"/><Relationship Type="http://schemas.openxmlformats.org/officeDocument/2006/relationships/hyperlink" Target="#'10 EVIDENCE &amp; DECISIONS'!A1227" TargetMode="External" Id="rId1311"/><Relationship Type="http://schemas.openxmlformats.org/officeDocument/2006/relationships/hyperlink" Target="#'10 EVIDENCE &amp; DECISIONS'!A1122" TargetMode="External" Id="rId1312"/><Relationship Type="http://schemas.openxmlformats.org/officeDocument/2006/relationships/hyperlink" Target="#'10 EVIDENCE &amp; DECISIONS'!A1123" TargetMode="External" Id="rId1313"/><Relationship Type="http://schemas.openxmlformats.org/officeDocument/2006/relationships/hyperlink" Target="#'10 EVIDENCE &amp; DECISIONS'!A1228" TargetMode="External" Id="rId1314"/><Relationship Type="http://schemas.openxmlformats.org/officeDocument/2006/relationships/hyperlink" Target="#'10 EVIDENCE &amp; DECISIONS'!A1124" TargetMode="External" Id="rId1315"/><Relationship Type="http://schemas.openxmlformats.org/officeDocument/2006/relationships/hyperlink" Target="#'10 EVIDENCE &amp; DECISIONS'!A1125" TargetMode="External" Id="rId1316"/><Relationship Type="http://schemas.openxmlformats.org/officeDocument/2006/relationships/hyperlink" Target="#'10 EVIDENCE &amp; DECISIONS'!A1229" TargetMode="External" Id="rId1317"/><Relationship Type="http://schemas.openxmlformats.org/officeDocument/2006/relationships/hyperlink" Target="#'10 EVIDENCE &amp; DECISIONS'!A1126" TargetMode="External" Id="rId1318"/><Relationship Type="http://schemas.openxmlformats.org/officeDocument/2006/relationships/hyperlink" Target="#'10 EVIDENCE &amp; DECISIONS'!A1127" TargetMode="External" Id="rId1319"/><Relationship Type="http://schemas.openxmlformats.org/officeDocument/2006/relationships/hyperlink" Target="#'10 EVIDENCE &amp; DECISIONS'!A1230" TargetMode="External" Id="rId1320"/><Relationship Type="http://schemas.openxmlformats.org/officeDocument/2006/relationships/hyperlink" Target="#'10 EVIDENCE &amp; DECISIONS'!A1128" TargetMode="External" Id="rId1321"/><Relationship Type="http://schemas.openxmlformats.org/officeDocument/2006/relationships/hyperlink" Target="#'10 EVIDENCE &amp; DECISIONS'!A1129" TargetMode="External" Id="rId1322"/><Relationship Type="http://schemas.openxmlformats.org/officeDocument/2006/relationships/hyperlink" Target="#'10 EVIDENCE &amp; DECISIONS'!A1231" TargetMode="External" Id="rId1323"/><Relationship Type="http://schemas.openxmlformats.org/officeDocument/2006/relationships/hyperlink" Target="#'10 EVIDENCE &amp; DECISIONS'!A1130" TargetMode="External" Id="rId1324"/><Relationship Type="http://schemas.openxmlformats.org/officeDocument/2006/relationships/hyperlink" Target="#'10 EVIDENCE &amp; DECISIONS'!A1131" TargetMode="External" Id="rId1325"/><Relationship Type="http://schemas.openxmlformats.org/officeDocument/2006/relationships/hyperlink" Target="#'10 EVIDENCE &amp; DECISIONS'!A1232" TargetMode="External" Id="rId1326"/><Relationship Type="http://schemas.openxmlformats.org/officeDocument/2006/relationships/hyperlink" Target="#'10 EVIDENCE &amp; DECISIONS'!A1132" TargetMode="External" Id="rId1327"/><Relationship Type="http://schemas.openxmlformats.org/officeDocument/2006/relationships/hyperlink" Target="#'10 EVIDENCE &amp; DECISIONS'!A1133" TargetMode="External" Id="rId1328"/><Relationship Type="http://schemas.openxmlformats.org/officeDocument/2006/relationships/hyperlink" Target="#'10 EVIDENCE &amp; DECISIONS'!A1233" TargetMode="External" Id="rId1329"/><Relationship Type="http://schemas.openxmlformats.org/officeDocument/2006/relationships/hyperlink" Target="#'10 EVIDENCE &amp; DECISIONS'!A1134" TargetMode="External" Id="rId1330"/><Relationship Type="http://schemas.openxmlformats.org/officeDocument/2006/relationships/hyperlink" Target="#'10 EVIDENCE &amp; DECISIONS'!A1135" TargetMode="External" Id="rId1331"/><Relationship Type="http://schemas.openxmlformats.org/officeDocument/2006/relationships/hyperlink" Target="#'10 EVIDENCE &amp; DECISIONS'!A1234" TargetMode="External" Id="rId1332"/><Relationship Type="http://schemas.openxmlformats.org/officeDocument/2006/relationships/hyperlink" Target="#'10 EVIDENCE &amp; DECISIONS'!A1136" TargetMode="External" Id="rId1333"/><Relationship Type="http://schemas.openxmlformats.org/officeDocument/2006/relationships/hyperlink" Target="#'10 EVIDENCE &amp; DECISIONS'!A1137" TargetMode="External" Id="rId1334"/><Relationship Type="http://schemas.openxmlformats.org/officeDocument/2006/relationships/hyperlink" Target="#'10 EVIDENCE &amp; DECISIONS'!A1235" TargetMode="External" Id="rId1335"/><Relationship Type="http://schemas.openxmlformats.org/officeDocument/2006/relationships/hyperlink" Target="#'10 EVIDENCE &amp; DECISIONS'!A1138" TargetMode="External" Id="rId1336"/><Relationship Type="http://schemas.openxmlformats.org/officeDocument/2006/relationships/hyperlink" Target="#'10 EVIDENCE &amp; DECISIONS'!A1139" TargetMode="External" Id="rId1337"/><Relationship Type="http://schemas.openxmlformats.org/officeDocument/2006/relationships/hyperlink" Target="#'10 EVIDENCE &amp; DECISIONS'!A1236" TargetMode="External" Id="rId1338"/><Relationship Type="http://schemas.openxmlformats.org/officeDocument/2006/relationships/hyperlink" Target="#'10 EVIDENCE &amp; DECISIONS'!A1140" TargetMode="External" Id="rId1339"/><Relationship Type="http://schemas.openxmlformats.org/officeDocument/2006/relationships/hyperlink" Target="#'10 EVIDENCE &amp; DECISIONS'!A1141" TargetMode="External" Id="rId1340"/><Relationship Type="http://schemas.openxmlformats.org/officeDocument/2006/relationships/hyperlink" Target="#'10 EVIDENCE &amp; DECISIONS'!A1237" TargetMode="External" Id="rId1341"/><Relationship Type="http://schemas.openxmlformats.org/officeDocument/2006/relationships/hyperlink" Target="#'10 EVIDENCE &amp; DECISIONS'!A1142" TargetMode="External" Id="rId1342"/><Relationship Type="http://schemas.openxmlformats.org/officeDocument/2006/relationships/hyperlink" Target="#'10 EVIDENCE &amp; DECISIONS'!A1143" TargetMode="External" Id="rId1343"/><Relationship Type="http://schemas.openxmlformats.org/officeDocument/2006/relationships/hyperlink" Target="#'10 EVIDENCE &amp; DECISIONS'!A1238" TargetMode="External" Id="rId1344"/><Relationship Type="http://schemas.openxmlformats.org/officeDocument/2006/relationships/hyperlink" Target="#'10 EVIDENCE &amp; DECISIONS'!A1144" TargetMode="External" Id="rId1345"/><Relationship Type="http://schemas.openxmlformats.org/officeDocument/2006/relationships/hyperlink" Target="#'10 EVIDENCE &amp; DECISIONS'!A1145" TargetMode="External" Id="rId1346"/><Relationship Type="http://schemas.openxmlformats.org/officeDocument/2006/relationships/hyperlink" Target="#'10 EVIDENCE &amp; DECISIONS'!A1239" TargetMode="External" Id="rId1347"/><Relationship Type="http://schemas.openxmlformats.org/officeDocument/2006/relationships/hyperlink" Target="#'10 EVIDENCE &amp; DECISIONS'!A1146" TargetMode="External" Id="rId1348"/><Relationship Type="http://schemas.openxmlformats.org/officeDocument/2006/relationships/hyperlink" Target="#'10 EVIDENCE &amp; DECISIONS'!A1147" TargetMode="External" Id="rId1349"/><Relationship Type="http://schemas.openxmlformats.org/officeDocument/2006/relationships/hyperlink" Target="#'10 EVIDENCE &amp; DECISIONS'!A1240" TargetMode="External" Id="rId1350"/><Relationship Type="http://schemas.openxmlformats.org/officeDocument/2006/relationships/hyperlink" Target="#'10 EVIDENCE &amp; DECISIONS'!A1148" TargetMode="External" Id="rId1351"/><Relationship Type="http://schemas.openxmlformats.org/officeDocument/2006/relationships/hyperlink" Target="#'10 EVIDENCE &amp; DECISIONS'!A1149" TargetMode="External" Id="rId1352"/><Relationship Type="http://schemas.openxmlformats.org/officeDocument/2006/relationships/hyperlink" Target="#'10 EVIDENCE &amp; DECISIONS'!A1241" TargetMode="External" Id="rId1353"/><Relationship Type="http://schemas.openxmlformats.org/officeDocument/2006/relationships/hyperlink" Target="#'10 EVIDENCE &amp; DECISIONS'!A1150" TargetMode="External" Id="rId1354"/><Relationship Type="http://schemas.openxmlformats.org/officeDocument/2006/relationships/hyperlink" Target="#'10 EVIDENCE &amp; DECISIONS'!A1151" TargetMode="External" Id="rId1355"/><Relationship Type="http://schemas.openxmlformats.org/officeDocument/2006/relationships/hyperlink" Target="#'10 EVIDENCE &amp; DECISIONS'!A1242" TargetMode="External" Id="rId1356"/><Relationship Type="http://schemas.openxmlformats.org/officeDocument/2006/relationships/hyperlink" Target="#'10 EVIDENCE &amp; DECISIONS'!A1152" TargetMode="External" Id="rId1357"/><Relationship Type="http://schemas.openxmlformats.org/officeDocument/2006/relationships/hyperlink" Target="#'10 EVIDENCE &amp; DECISIONS'!A1153" TargetMode="External" Id="rId1358"/><Relationship Type="http://schemas.openxmlformats.org/officeDocument/2006/relationships/hyperlink" Target="#'10 EVIDENCE &amp; DECISIONS'!A1243" TargetMode="External" Id="rId1359"/><Relationship Type="http://schemas.openxmlformats.org/officeDocument/2006/relationships/hyperlink" Target="#'10 EVIDENCE &amp; DECISIONS'!A1154" TargetMode="External" Id="rId1360"/><Relationship Type="http://schemas.openxmlformats.org/officeDocument/2006/relationships/hyperlink" Target="#'10 EVIDENCE &amp; DECISIONS'!A1155" TargetMode="External" Id="rId1361"/><Relationship Type="http://schemas.openxmlformats.org/officeDocument/2006/relationships/hyperlink" Target="#'10 EVIDENCE &amp; DECISIONS'!A1244" TargetMode="External" Id="rId1362"/><Relationship Type="http://schemas.openxmlformats.org/officeDocument/2006/relationships/hyperlink" Target="#'10 EVIDENCE &amp; DECISIONS'!A1156" TargetMode="External" Id="rId1363"/><Relationship Type="http://schemas.openxmlformats.org/officeDocument/2006/relationships/hyperlink" Target="#'10 EVIDENCE &amp; DECISIONS'!A1157" TargetMode="External" Id="rId1364"/><Relationship Type="http://schemas.openxmlformats.org/officeDocument/2006/relationships/hyperlink" Target="#'10 EVIDENCE &amp; DECISIONS'!A1245" TargetMode="External" Id="rId1365"/><Relationship Type="http://schemas.openxmlformats.org/officeDocument/2006/relationships/hyperlink" Target="#'10 EVIDENCE &amp; DECISIONS'!A1158" TargetMode="External" Id="rId1366"/><Relationship Type="http://schemas.openxmlformats.org/officeDocument/2006/relationships/hyperlink" Target="#'10 EVIDENCE &amp; DECISIONS'!A1159" TargetMode="External" Id="rId1367"/><Relationship Type="http://schemas.openxmlformats.org/officeDocument/2006/relationships/hyperlink" Target="#'10 EVIDENCE &amp; DECISIONS'!A1246" TargetMode="External" Id="rId1368"/><Relationship Type="http://schemas.openxmlformats.org/officeDocument/2006/relationships/hyperlink" Target="#'10 EVIDENCE &amp; DECISIONS'!A1160" TargetMode="External" Id="rId1369"/><Relationship Type="http://schemas.openxmlformats.org/officeDocument/2006/relationships/hyperlink" Target="#'10 EVIDENCE &amp; DECISIONS'!A1161" TargetMode="External" Id="rId1370"/><Relationship Type="http://schemas.openxmlformats.org/officeDocument/2006/relationships/hyperlink" Target="#'10 EVIDENCE &amp; DECISIONS'!A1247" TargetMode="External" Id="rId1371"/><Relationship Type="http://schemas.openxmlformats.org/officeDocument/2006/relationships/hyperlink" Target="#'10 EVIDENCE &amp; DECISIONS'!A1162" TargetMode="External" Id="rId1372"/><Relationship Type="http://schemas.openxmlformats.org/officeDocument/2006/relationships/hyperlink" Target="#'10 EVIDENCE &amp; DECISIONS'!A1163" TargetMode="External" Id="rId1373"/><Relationship Type="http://schemas.openxmlformats.org/officeDocument/2006/relationships/hyperlink" Target="#'10 EVIDENCE &amp; DECISIONS'!A1248" TargetMode="External" Id="rId1374"/><Relationship Type="http://schemas.openxmlformats.org/officeDocument/2006/relationships/hyperlink" Target="#'10 EVIDENCE &amp; DECISIONS'!A1164" TargetMode="External" Id="rId1375"/><Relationship Type="http://schemas.openxmlformats.org/officeDocument/2006/relationships/hyperlink" Target="#'10 EVIDENCE &amp; DECISIONS'!A1165" TargetMode="External" Id="rId1376"/><Relationship Type="http://schemas.openxmlformats.org/officeDocument/2006/relationships/hyperlink" Target="#'10 EVIDENCE &amp; DECISIONS'!A1249" TargetMode="External" Id="rId1377"/><Relationship Type="http://schemas.openxmlformats.org/officeDocument/2006/relationships/hyperlink" Target="#'10 EVIDENCE &amp; DECISIONS'!A1166" TargetMode="External" Id="rId1378"/><Relationship Type="http://schemas.openxmlformats.org/officeDocument/2006/relationships/hyperlink" Target="#'10 EVIDENCE &amp; DECISIONS'!A1167" TargetMode="External" Id="rId1379"/><Relationship Type="http://schemas.openxmlformats.org/officeDocument/2006/relationships/hyperlink" Target="#'10 EVIDENCE &amp; DECISIONS'!A1250" TargetMode="External" Id="rId1380"/><Relationship Type="http://schemas.openxmlformats.org/officeDocument/2006/relationships/hyperlink" Target="#'10 EVIDENCE &amp; DECISIONS'!A1168" TargetMode="External" Id="rId1381"/><Relationship Type="http://schemas.openxmlformats.org/officeDocument/2006/relationships/hyperlink" Target="#'10 EVIDENCE &amp; DECISIONS'!A1169" TargetMode="External" Id="rId1382"/><Relationship Type="http://schemas.openxmlformats.org/officeDocument/2006/relationships/hyperlink" Target="#'10 EVIDENCE &amp; DECISIONS'!A1251" TargetMode="External" Id="rId1383"/><Relationship Type="http://schemas.openxmlformats.org/officeDocument/2006/relationships/hyperlink" Target="#'10 EVIDENCE &amp; DECISIONS'!A1170" TargetMode="External" Id="rId1384"/><Relationship Type="http://schemas.openxmlformats.org/officeDocument/2006/relationships/hyperlink" Target="#'10 EVIDENCE &amp; DECISIONS'!A1171" TargetMode="External" Id="rId1385"/><Relationship Type="http://schemas.openxmlformats.org/officeDocument/2006/relationships/hyperlink" Target="#'10 EVIDENCE &amp; DECISIONS'!A1252" TargetMode="External" Id="rId1386"/><Relationship Type="http://schemas.openxmlformats.org/officeDocument/2006/relationships/hyperlink" Target="#'10 EVIDENCE &amp; DECISIONS'!A1172" TargetMode="External" Id="rId1387"/><Relationship Type="http://schemas.openxmlformats.org/officeDocument/2006/relationships/hyperlink" Target="#'10 EVIDENCE &amp; DECISIONS'!A1173" TargetMode="External" Id="rId1388"/><Relationship Type="http://schemas.openxmlformats.org/officeDocument/2006/relationships/hyperlink" Target="#'10 EVIDENCE &amp; DECISIONS'!A1253" TargetMode="External" Id="rId1389"/><Relationship Type="http://schemas.openxmlformats.org/officeDocument/2006/relationships/hyperlink" Target="#'10 EVIDENCE &amp; DECISIONS'!A1174" TargetMode="External" Id="rId1390"/><Relationship Type="http://schemas.openxmlformats.org/officeDocument/2006/relationships/hyperlink" Target="#'10 EVIDENCE &amp; DECISIONS'!A1175" TargetMode="External" Id="rId1391"/><Relationship Type="http://schemas.openxmlformats.org/officeDocument/2006/relationships/hyperlink" Target="#'10 EVIDENCE &amp; DECISIONS'!A1254" TargetMode="External" Id="rId1392"/><Relationship Type="http://schemas.openxmlformats.org/officeDocument/2006/relationships/hyperlink" Target="#'10 EVIDENCE &amp; DECISIONS'!A1176" TargetMode="External" Id="rId1393"/><Relationship Type="http://schemas.openxmlformats.org/officeDocument/2006/relationships/hyperlink" Target="#'10 EVIDENCE &amp; DECISIONS'!A1177" TargetMode="External" Id="rId1394"/><Relationship Type="http://schemas.openxmlformats.org/officeDocument/2006/relationships/hyperlink" Target="#'10 EVIDENCE &amp; DECISIONS'!A1255" TargetMode="External" Id="rId1395"/><Relationship Type="http://schemas.openxmlformats.org/officeDocument/2006/relationships/hyperlink" Target="#'10 EVIDENCE &amp; DECISIONS'!A1178" TargetMode="External" Id="rId1396"/><Relationship Type="http://schemas.openxmlformats.org/officeDocument/2006/relationships/hyperlink" Target="#'10 EVIDENCE &amp; DECISIONS'!A1179" TargetMode="External" Id="rId1397"/><Relationship Type="http://schemas.openxmlformats.org/officeDocument/2006/relationships/hyperlink" Target="#'10 EVIDENCE &amp; DECISIONS'!A1256" TargetMode="External" Id="rId1398"/><Relationship Type="http://schemas.openxmlformats.org/officeDocument/2006/relationships/hyperlink" Target="#'10 EVIDENCE &amp; DECISIONS'!A1180" TargetMode="External" Id="rId1399"/><Relationship Type="http://schemas.openxmlformats.org/officeDocument/2006/relationships/hyperlink" Target="#'10 EVIDENCE &amp; DECISIONS'!A1181" TargetMode="External" Id="rId1400"/><Relationship Type="http://schemas.openxmlformats.org/officeDocument/2006/relationships/hyperlink" Target="#'10 EVIDENCE &amp; DECISIONS'!A1257" TargetMode="External" Id="rId1401"/><Relationship Type="http://schemas.openxmlformats.org/officeDocument/2006/relationships/hyperlink" Target="#'10 EVIDENCE &amp; DECISIONS'!A1182" TargetMode="External" Id="rId1402"/><Relationship Type="http://schemas.openxmlformats.org/officeDocument/2006/relationships/hyperlink" Target="#'10 EVIDENCE &amp; DECISIONS'!A1183" TargetMode="External" Id="rId1403"/><Relationship Type="http://schemas.openxmlformats.org/officeDocument/2006/relationships/hyperlink" Target="#'10 EVIDENCE &amp; DECISIONS'!A1258" TargetMode="External" Id="rId1404"/><Relationship Type="http://schemas.openxmlformats.org/officeDocument/2006/relationships/hyperlink" Target="#'10 EVIDENCE &amp; DECISIONS'!A1184" TargetMode="External" Id="rId1405"/><Relationship Type="http://schemas.openxmlformats.org/officeDocument/2006/relationships/hyperlink" Target="#'10 EVIDENCE &amp; DECISIONS'!A1185" TargetMode="External" Id="rId1406"/><Relationship Type="http://schemas.openxmlformats.org/officeDocument/2006/relationships/hyperlink" Target="#'10 EVIDENCE &amp; DECISIONS'!A1259" TargetMode="External" Id="rId1407"/><Relationship Type="http://schemas.openxmlformats.org/officeDocument/2006/relationships/hyperlink" Target="#'10 EVIDENCE &amp; DECISIONS'!A1186" TargetMode="External" Id="rId1408"/><Relationship Type="http://schemas.openxmlformats.org/officeDocument/2006/relationships/hyperlink" Target="#'10 EVIDENCE &amp; DECISIONS'!A1187" TargetMode="External" Id="rId1409"/><Relationship Type="http://schemas.openxmlformats.org/officeDocument/2006/relationships/hyperlink" Target="#'10 EVIDENCE &amp; DECISIONS'!A1260" TargetMode="External" Id="rId1410"/><Relationship Type="http://schemas.openxmlformats.org/officeDocument/2006/relationships/hyperlink" Target="#'10 EVIDENCE &amp; DECISIONS'!A1188" TargetMode="External" Id="rId1411"/><Relationship Type="http://schemas.openxmlformats.org/officeDocument/2006/relationships/hyperlink" Target="#'10 EVIDENCE &amp; DECISIONS'!A1189" TargetMode="External" Id="rId1412"/><Relationship Type="http://schemas.openxmlformats.org/officeDocument/2006/relationships/hyperlink" Target="#'10 EVIDENCE &amp; DECISIONS'!A1261" TargetMode="External" Id="rId1413"/><Relationship Type="http://schemas.openxmlformats.org/officeDocument/2006/relationships/hyperlink" Target="#'10 EVIDENCE &amp; DECISIONS'!A1190" TargetMode="External" Id="rId1414"/><Relationship Type="http://schemas.openxmlformats.org/officeDocument/2006/relationships/hyperlink" Target="#'10 EVIDENCE &amp; DECISIONS'!A1191" TargetMode="External" Id="rId1415"/><Relationship Type="http://schemas.openxmlformats.org/officeDocument/2006/relationships/hyperlink" Target="#'10 EVIDENCE &amp; DECISIONS'!A1262" TargetMode="External" Id="rId1416"/><Relationship Type="http://schemas.openxmlformats.org/officeDocument/2006/relationships/hyperlink" Target="#'10 EVIDENCE &amp; DECISIONS'!A1192" TargetMode="External" Id="rId1417"/><Relationship Type="http://schemas.openxmlformats.org/officeDocument/2006/relationships/hyperlink" Target="#'10 EVIDENCE &amp; DECISIONS'!A1193" TargetMode="External" Id="rId1418"/><Relationship Type="http://schemas.openxmlformats.org/officeDocument/2006/relationships/hyperlink" Target="#'10 EVIDENCE &amp; DECISIONS'!A1263" TargetMode="External" Id="rId1419"/><Relationship Type="http://schemas.openxmlformats.org/officeDocument/2006/relationships/hyperlink" Target="#'10 EVIDENCE &amp; DECISIONS'!A1194" TargetMode="External" Id="rId1420"/><Relationship Type="http://schemas.openxmlformats.org/officeDocument/2006/relationships/hyperlink" Target="#'10 EVIDENCE &amp; DECISIONS'!A1195" TargetMode="External" Id="rId1421"/><Relationship Type="http://schemas.openxmlformats.org/officeDocument/2006/relationships/hyperlink" Target="#'10 EVIDENCE &amp; DECISIONS'!A1264" TargetMode="External" Id="rId1422"/><Relationship Type="http://schemas.openxmlformats.org/officeDocument/2006/relationships/hyperlink" Target="#'10 EVIDENCE &amp; DECISIONS'!A1196" TargetMode="External" Id="rId1423"/><Relationship Type="http://schemas.openxmlformats.org/officeDocument/2006/relationships/hyperlink" Target="#'10 EVIDENCE &amp; DECISIONS'!A1197" TargetMode="External" Id="rId1424"/><Relationship Type="http://schemas.openxmlformats.org/officeDocument/2006/relationships/hyperlink" Target="#'10 EVIDENCE &amp; DECISIONS'!A1265" TargetMode="External" Id="rId1425"/><Relationship Type="http://schemas.openxmlformats.org/officeDocument/2006/relationships/hyperlink" Target="#'10 EVIDENCE &amp; DECISIONS'!A1198" TargetMode="External" Id="rId1426"/><Relationship Type="http://schemas.openxmlformats.org/officeDocument/2006/relationships/hyperlink" Target="#'10 EVIDENCE &amp; DECISIONS'!A1199" TargetMode="External" Id="rId1427"/><Relationship Type="http://schemas.openxmlformats.org/officeDocument/2006/relationships/hyperlink" Target="#'10 EVIDENCE &amp; DECISIONS'!A1266" TargetMode="External" Id="rId1428"/><Relationship Type="http://schemas.openxmlformats.org/officeDocument/2006/relationships/hyperlink" Target="#'10 EVIDENCE &amp; DECISIONS'!A1200" TargetMode="External" Id="rId1429"/><Relationship Type="http://schemas.openxmlformats.org/officeDocument/2006/relationships/hyperlink" Target="#'10 EVIDENCE &amp; DECISIONS'!A1201" TargetMode="External" Id="rId1430"/><Relationship Type="http://schemas.openxmlformats.org/officeDocument/2006/relationships/hyperlink" Target="#'10 EVIDENCE &amp; DECISIONS'!A1267" TargetMode="External" Id="rId1431"/><Relationship Type="http://schemas.openxmlformats.org/officeDocument/2006/relationships/hyperlink" Target="#'10 EVIDENCE &amp; DECISIONS'!A1202" TargetMode="External" Id="rId1432"/><Relationship Type="http://schemas.openxmlformats.org/officeDocument/2006/relationships/hyperlink" Target="#'10 EVIDENCE &amp; DECISIONS'!A1203" TargetMode="External" Id="rId1433"/><Relationship Type="http://schemas.openxmlformats.org/officeDocument/2006/relationships/hyperlink" Target="#'10 EVIDENCE &amp; DECISIONS'!A1268" TargetMode="External" Id="rId1434"/><Relationship Type="http://schemas.openxmlformats.org/officeDocument/2006/relationships/hyperlink" Target="#'10 EVIDENCE &amp; DECISIONS'!A1204" TargetMode="External" Id="rId1435"/><Relationship Type="http://schemas.openxmlformats.org/officeDocument/2006/relationships/hyperlink" Target="#'10 EVIDENCE &amp; DECISIONS'!A1205" TargetMode="External" Id="rId1436"/><Relationship Type="http://schemas.openxmlformats.org/officeDocument/2006/relationships/hyperlink" Target="#'10 EVIDENCE &amp; DECISIONS'!A1269" TargetMode="External" Id="rId1437"/><Relationship Type="http://schemas.openxmlformats.org/officeDocument/2006/relationships/hyperlink" Target="#'10 EVIDENCE &amp; DECISIONS'!A1206" TargetMode="External" Id="rId1438"/><Relationship Type="http://schemas.openxmlformats.org/officeDocument/2006/relationships/hyperlink" Target="#'10 EVIDENCE &amp; DECISIONS'!A1207" TargetMode="External" Id="rId1439"/><Relationship Type="http://schemas.openxmlformats.org/officeDocument/2006/relationships/hyperlink" Target="#'10 EVIDENCE &amp; DECISIONS'!A1270" TargetMode="External" Id="rId1440"/><Relationship Type="http://schemas.openxmlformats.org/officeDocument/2006/relationships/hyperlink" Target="#'10 EVIDENCE &amp; DECISIONS'!A1208" TargetMode="External" Id="rId1441"/><Relationship Type="http://schemas.openxmlformats.org/officeDocument/2006/relationships/hyperlink" Target="#'10 EVIDENCE &amp; DECISIONS'!A1209" TargetMode="External" Id="rId1442"/><Relationship Type="http://schemas.openxmlformats.org/officeDocument/2006/relationships/hyperlink" Target="#'10 EVIDENCE &amp; DECISIONS'!A1271" TargetMode="External" Id="rId1443"/><Relationship Type="http://schemas.openxmlformats.org/officeDocument/2006/relationships/hyperlink" Target="#'10 EVIDENCE &amp; DECISIONS'!A1210" TargetMode="External" Id="rId1444"/><Relationship Type="http://schemas.openxmlformats.org/officeDocument/2006/relationships/hyperlink" Target="#'10 EVIDENCE &amp; DECISIONS'!A1211" TargetMode="External" Id="rId1445"/><Relationship Type="http://schemas.openxmlformats.org/officeDocument/2006/relationships/hyperlink" Target="#'10 EVIDENCE &amp; DECISIONS'!A1272" TargetMode="External" Id="rId1446"/><Relationship Type="http://schemas.openxmlformats.org/officeDocument/2006/relationships/hyperlink" Target="#'10 EVIDENCE &amp; DECISIONS'!A1212" TargetMode="External" Id="rId1447"/><Relationship Type="http://schemas.openxmlformats.org/officeDocument/2006/relationships/hyperlink" Target="#'10 EVIDENCE &amp; DECISIONS'!A1213" TargetMode="External" Id="rId1448"/><Relationship Type="http://schemas.openxmlformats.org/officeDocument/2006/relationships/hyperlink" Target="#'10 EVIDENCE &amp; DECISIONS'!A1273" TargetMode="External" Id="rId1449"/><Relationship Type="http://schemas.openxmlformats.org/officeDocument/2006/relationships/hyperlink" Target="#'10 EVIDENCE &amp; DECISIONS'!A1368" TargetMode="External" Id="rId1450"/><Relationship Type="http://schemas.openxmlformats.org/officeDocument/2006/relationships/hyperlink" Target="#'10 EVIDENCE &amp; DECISIONS'!A1369" TargetMode="External" Id="rId1451"/><Relationship Type="http://schemas.openxmlformats.org/officeDocument/2006/relationships/hyperlink" Target="#'10 EVIDENCE &amp; DECISIONS'!A1370" TargetMode="External" Id="rId1452"/><Relationship Type="http://schemas.openxmlformats.org/officeDocument/2006/relationships/hyperlink" Target="#'10 EVIDENCE &amp; DECISIONS'!A1371" TargetMode="External" Id="rId1453"/><Relationship Type="http://schemas.openxmlformats.org/officeDocument/2006/relationships/hyperlink" Target="#'10 EVIDENCE &amp; DECISIONS'!A1372" TargetMode="External" Id="rId1454"/><Relationship Type="http://schemas.openxmlformats.org/officeDocument/2006/relationships/hyperlink" Target="#'10 EVIDENCE &amp; DECISIONS'!A1373" TargetMode="External" Id="rId1455"/><Relationship Type="http://schemas.openxmlformats.org/officeDocument/2006/relationships/hyperlink" Target="#'10 EVIDENCE &amp; DECISIONS'!A1374" TargetMode="External" Id="rId1456"/><Relationship Type="http://schemas.openxmlformats.org/officeDocument/2006/relationships/hyperlink" Target="#'10 EVIDENCE &amp; DECISIONS'!A1375" TargetMode="External" Id="rId1457"/><Relationship Type="http://schemas.openxmlformats.org/officeDocument/2006/relationships/hyperlink" Target="#'10 EVIDENCE &amp; DECISIONS'!A1376" TargetMode="External" Id="rId1458"/><Relationship Type="http://schemas.openxmlformats.org/officeDocument/2006/relationships/hyperlink" Target="#'10 EVIDENCE &amp; DECISIONS'!A1377" TargetMode="External" Id="rId1459"/><Relationship Type="http://schemas.openxmlformats.org/officeDocument/2006/relationships/hyperlink" Target="#'10 EVIDENCE &amp; DECISIONS'!A1378" TargetMode="External" Id="rId1460"/><Relationship Type="http://schemas.openxmlformats.org/officeDocument/2006/relationships/hyperlink" Target="#'10 EVIDENCE &amp; DECISIONS'!A1379" TargetMode="External" Id="rId1461"/><Relationship Type="http://schemas.openxmlformats.org/officeDocument/2006/relationships/hyperlink" Target="#'10 EVIDENCE &amp; DECISIONS'!A1380" TargetMode="External" Id="rId1462"/><Relationship Type="http://schemas.openxmlformats.org/officeDocument/2006/relationships/hyperlink" Target="#'10 EVIDENCE &amp; DECISIONS'!A1381" TargetMode="External" Id="rId1463"/><Relationship Type="http://schemas.openxmlformats.org/officeDocument/2006/relationships/hyperlink" Target="#'10 EVIDENCE &amp; DECISIONS'!A1382" TargetMode="External" Id="rId1464"/><Relationship Type="http://schemas.openxmlformats.org/officeDocument/2006/relationships/hyperlink" Target="#'10 EVIDENCE &amp; DECISIONS'!A1383" TargetMode="External" Id="rId1465"/><Relationship Type="http://schemas.openxmlformats.org/officeDocument/2006/relationships/hyperlink" Target="#'10 EVIDENCE &amp; DECISIONS'!A1384" TargetMode="External" Id="rId1466"/><Relationship Type="http://schemas.openxmlformats.org/officeDocument/2006/relationships/hyperlink" Target="#'10 EVIDENCE &amp; DECISIONS'!A1385" TargetMode="External" Id="rId1467"/><Relationship Type="http://schemas.openxmlformats.org/officeDocument/2006/relationships/hyperlink" Target="#'10 EVIDENCE &amp; DECISIONS'!A1386" TargetMode="External" Id="rId1468"/><Relationship Type="http://schemas.openxmlformats.org/officeDocument/2006/relationships/hyperlink" Target="#'10 EVIDENCE &amp; DECISIONS'!A1387" TargetMode="External" Id="rId1469"/><Relationship Type="http://schemas.openxmlformats.org/officeDocument/2006/relationships/hyperlink" Target="#'10 EVIDENCE &amp; DECISIONS'!A1388" TargetMode="External" Id="rId1470"/><Relationship Type="http://schemas.openxmlformats.org/officeDocument/2006/relationships/hyperlink" Target="#'10 EVIDENCE &amp; DECISIONS'!A1389" TargetMode="External" Id="rId1471"/><Relationship Type="http://schemas.openxmlformats.org/officeDocument/2006/relationships/hyperlink" Target="#'10 EVIDENCE &amp; DECISIONS'!A1390" TargetMode="External" Id="rId1472"/><Relationship Type="http://schemas.openxmlformats.org/officeDocument/2006/relationships/hyperlink" Target="#'10 EVIDENCE &amp; DECISIONS'!A1391" TargetMode="External" Id="rId1473"/><Relationship Type="http://schemas.openxmlformats.org/officeDocument/2006/relationships/hyperlink" Target="#'10 EVIDENCE &amp; DECISIONS'!A1392" TargetMode="External" Id="rId1474"/><Relationship Type="http://schemas.openxmlformats.org/officeDocument/2006/relationships/hyperlink" Target="#'10 EVIDENCE &amp; DECISIONS'!A1393" TargetMode="External" Id="rId1475"/><Relationship Type="http://schemas.openxmlformats.org/officeDocument/2006/relationships/hyperlink" Target="#'10 EVIDENCE &amp; DECISIONS'!A1394" TargetMode="External" Id="rId1476"/><Relationship Type="http://schemas.openxmlformats.org/officeDocument/2006/relationships/hyperlink" Target="#'10 EVIDENCE &amp; DECISIONS'!A1395" TargetMode="External" Id="rId1477"/><Relationship Type="http://schemas.openxmlformats.org/officeDocument/2006/relationships/hyperlink" Target="#'10 EVIDENCE &amp; DECISIONS'!A1396" TargetMode="External" Id="rId1478"/><Relationship Type="http://schemas.openxmlformats.org/officeDocument/2006/relationships/hyperlink" Target="#'10 EVIDENCE &amp; DECISIONS'!A1397" TargetMode="External" Id="rId1479"/><Relationship Type="http://schemas.openxmlformats.org/officeDocument/2006/relationships/hyperlink" Target="#'10 EVIDENCE &amp; DECISIONS'!A1398" TargetMode="External" Id="rId1480"/><Relationship Type="http://schemas.openxmlformats.org/officeDocument/2006/relationships/hyperlink" Target="#'10 EVIDENCE &amp; DECISIONS'!A1399" TargetMode="External" Id="rId1481"/><Relationship Type="http://schemas.openxmlformats.org/officeDocument/2006/relationships/hyperlink" Target="#'10 EVIDENCE &amp; DECISIONS'!A1400" TargetMode="External" Id="rId1482"/><Relationship Type="http://schemas.openxmlformats.org/officeDocument/2006/relationships/hyperlink" Target="#'10 EVIDENCE &amp; DECISIONS'!A1401" TargetMode="External" Id="rId1483"/><Relationship Type="http://schemas.openxmlformats.org/officeDocument/2006/relationships/hyperlink" Target="#'10 EVIDENCE &amp; DECISIONS'!A1402" TargetMode="External" Id="rId1484"/><Relationship Type="http://schemas.openxmlformats.org/officeDocument/2006/relationships/hyperlink" Target="#'10 EVIDENCE &amp; DECISIONS'!A1403" TargetMode="External" Id="rId1485"/><Relationship Type="http://schemas.openxmlformats.org/officeDocument/2006/relationships/hyperlink" Target="#'10 EVIDENCE &amp; DECISIONS'!A1404" TargetMode="External" Id="rId1486"/><Relationship Type="http://schemas.openxmlformats.org/officeDocument/2006/relationships/hyperlink" Target="#'10 EVIDENCE &amp; DECISIONS'!A1405" TargetMode="External" Id="rId1487"/><Relationship Type="http://schemas.openxmlformats.org/officeDocument/2006/relationships/hyperlink" Target="#'10 EVIDENCE &amp; DECISIONS'!A1406" TargetMode="External" Id="rId1488"/><Relationship Type="http://schemas.openxmlformats.org/officeDocument/2006/relationships/hyperlink" Target="#'10 EVIDENCE &amp; DECISIONS'!A1407" TargetMode="External" Id="rId1489"/><Relationship Type="http://schemas.openxmlformats.org/officeDocument/2006/relationships/hyperlink" Target="#'10 EVIDENCE &amp; DECISIONS'!A1408" TargetMode="External" Id="rId1490"/><Relationship Type="http://schemas.openxmlformats.org/officeDocument/2006/relationships/hyperlink" Target="#'10 EVIDENCE &amp; DECISIONS'!A1409" TargetMode="External" Id="rId1491"/><Relationship Type="http://schemas.openxmlformats.org/officeDocument/2006/relationships/hyperlink" Target="#'10 EVIDENCE &amp; DECISIONS'!A1410" TargetMode="External" Id="rId1492"/><Relationship Type="http://schemas.openxmlformats.org/officeDocument/2006/relationships/hyperlink" Target="#'10 EVIDENCE &amp; DECISIONS'!A1411" TargetMode="External" Id="rId1493"/><Relationship Type="http://schemas.openxmlformats.org/officeDocument/2006/relationships/hyperlink" Target="#'10 EVIDENCE &amp; DECISIONS'!A1412" TargetMode="External" Id="rId1494"/><Relationship Type="http://schemas.openxmlformats.org/officeDocument/2006/relationships/hyperlink" Target="#'10 EVIDENCE &amp; DECISIONS'!A1413" TargetMode="External" Id="rId1495"/><Relationship Type="http://schemas.openxmlformats.org/officeDocument/2006/relationships/hyperlink" Target="#'10 EVIDENCE &amp; DECISIONS'!A1414" TargetMode="External" Id="rId1496"/><Relationship Type="http://schemas.openxmlformats.org/officeDocument/2006/relationships/hyperlink" Target="#'10 EVIDENCE &amp; DECISIONS'!A1415" TargetMode="External" Id="rId1497"/><Relationship Type="http://schemas.openxmlformats.org/officeDocument/2006/relationships/hyperlink" Target="#'10 EVIDENCE &amp; DECISIONS'!A1416" TargetMode="External" Id="rId1498"/><Relationship Type="http://schemas.openxmlformats.org/officeDocument/2006/relationships/hyperlink" Target="#'10 EVIDENCE &amp; DECISIONS'!A1417" TargetMode="External" Id="rId1499"/><Relationship Type="http://schemas.openxmlformats.org/officeDocument/2006/relationships/hyperlink" Target="#'10 EVIDENCE &amp; DECISIONS'!A1418" TargetMode="External" Id="rId1500"/><Relationship Type="http://schemas.openxmlformats.org/officeDocument/2006/relationships/hyperlink" Target="#'10 EVIDENCE &amp; DECISIONS'!A1419" TargetMode="External" Id="rId1501"/><Relationship Type="http://schemas.openxmlformats.org/officeDocument/2006/relationships/hyperlink" Target="#'10 EVIDENCE &amp; DECISIONS'!A1420" TargetMode="External" Id="rId1502"/><Relationship Type="http://schemas.openxmlformats.org/officeDocument/2006/relationships/hyperlink" Target="#'10 EVIDENCE &amp; DECISIONS'!A1421" TargetMode="External" Id="rId1503"/><Relationship Type="http://schemas.openxmlformats.org/officeDocument/2006/relationships/hyperlink" Target="#'10 EVIDENCE &amp; DECISIONS'!A1422" TargetMode="External" Id="rId1504"/><Relationship Type="http://schemas.openxmlformats.org/officeDocument/2006/relationships/hyperlink" Target="#'10 EVIDENCE &amp; DECISIONS'!A1423" TargetMode="External" Id="rId1505"/><Relationship Type="http://schemas.openxmlformats.org/officeDocument/2006/relationships/hyperlink" Target="#'10 EVIDENCE &amp; DECISIONS'!A1424" TargetMode="External" Id="rId1506"/><Relationship Type="http://schemas.openxmlformats.org/officeDocument/2006/relationships/hyperlink" Target="#'10 EVIDENCE &amp; DECISIONS'!A1425" TargetMode="External" Id="rId1507"/><Relationship Type="http://schemas.openxmlformats.org/officeDocument/2006/relationships/hyperlink" Target="#'10 EVIDENCE &amp; DECISIONS'!A1426" TargetMode="External" Id="rId1508"/><Relationship Type="http://schemas.openxmlformats.org/officeDocument/2006/relationships/hyperlink" Target="#'10 EVIDENCE &amp; DECISIONS'!A1427" TargetMode="External" Id="rId1509"/><Relationship Type="http://schemas.openxmlformats.org/officeDocument/2006/relationships/hyperlink" Target="#'10 EVIDENCE &amp; DECISIONS'!A1428" TargetMode="External" Id="rId1510"/><Relationship Type="http://schemas.openxmlformats.org/officeDocument/2006/relationships/hyperlink" Target="#'10 EVIDENCE &amp; DECISIONS'!A1429" TargetMode="External" Id="rId1511"/><Relationship Type="http://schemas.openxmlformats.org/officeDocument/2006/relationships/hyperlink" Target="#'10 EVIDENCE &amp; DECISIONS'!A1430" TargetMode="External" Id="rId1512"/><Relationship Type="http://schemas.openxmlformats.org/officeDocument/2006/relationships/hyperlink" Target="#'10 EVIDENCE &amp; DECISIONS'!A1431" TargetMode="External" Id="rId1513"/><Relationship Type="http://schemas.openxmlformats.org/officeDocument/2006/relationships/hyperlink" Target="#'10 EVIDENCE &amp; DECISIONS'!A1432" TargetMode="External" Id="rId1514"/><Relationship Type="http://schemas.openxmlformats.org/officeDocument/2006/relationships/hyperlink" Target="#'10 EVIDENCE &amp; DECISIONS'!A1433" TargetMode="External" Id="rId1515"/><Relationship Type="http://schemas.openxmlformats.org/officeDocument/2006/relationships/hyperlink" Target="#'10 EVIDENCE &amp; DECISIONS'!A1434" TargetMode="External" Id="rId1516"/><Relationship Type="http://schemas.openxmlformats.org/officeDocument/2006/relationships/hyperlink" Target="#'10 EVIDENCE &amp; DECISIONS'!A1435" TargetMode="External" Id="rId1517"/><Relationship Type="http://schemas.openxmlformats.org/officeDocument/2006/relationships/hyperlink" Target="#'10 EVIDENCE &amp; DECISIONS'!A1436" TargetMode="External" Id="rId1518"/><Relationship Type="http://schemas.openxmlformats.org/officeDocument/2006/relationships/hyperlink" Target="#'10 EVIDENCE &amp; DECISIONS'!A1437" TargetMode="External" Id="rId1519"/><Relationship Type="http://schemas.openxmlformats.org/officeDocument/2006/relationships/hyperlink" Target="#'10 EVIDENCE &amp; DECISIONS'!A1438" TargetMode="External" Id="rId1520"/><Relationship Type="http://schemas.openxmlformats.org/officeDocument/2006/relationships/hyperlink" Target="#'10 EVIDENCE &amp; DECISIONS'!A1439" TargetMode="External" Id="rId1521"/><Relationship Type="http://schemas.openxmlformats.org/officeDocument/2006/relationships/hyperlink" Target="#'10 EVIDENCE &amp; DECISIONS'!A1440" TargetMode="External" Id="rId1522"/><Relationship Type="http://schemas.openxmlformats.org/officeDocument/2006/relationships/hyperlink" Target="#'10 EVIDENCE &amp; DECISIONS'!A1441" TargetMode="External" Id="rId1523"/><Relationship Type="http://schemas.openxmlformats.org/officeDocument/2006/relationships/hyperlink" Target="#'10 EVIDENCE &amp; DECISIONS'!A1442" TargetMode="External" Id="rId1524"/><Relationship Type="http://schemas.openxmlformats.org/officeDocument/2006/relationships/hyperlink" Target="#'10 EVIDENCE &amp; DECISIONS'!A1443" TargetMode="External" Id="rId1525"/><Relationship Type="http://schemas.openxmlformats.org/officeDocument/2006/relationships/hyperlink" Target="#'10 EVIDENCE &amp; DECISIONS'!A1444" TargetMode="External" Id="rId1526"/><Relationship Type="http://schemas.openxmlformats.org/officeDocument/2006/relationships/hyperlink" Target="#'10 EVIDENCE &amp; DECISIONS'!A1445" TargetMode="External" Id="rId1527"/><Relationship Type="http://schemas.openxmlformats.org/officeDocument/2006/relationships/hyperlink" Target="#'10 EVIDENCE &amp; DECISIONS'!A1446" TargetMode="External" Id="rId1528"/><Relationship Type="http://schemas.openxmlformats.org/officeDocument/2006/relationships/hyperlink" Target="#'10 EVIDENCE &amp; DECISIONS'!A1447" TargetMode="External" Id="rId1529"/><Relationship Type="http://schemas.openxmlformats.org/officeDocument/2006/relationships/hyperlink" Target="#'10 EVIDENCE &amp; DECISIONS'!A1448" TargetMode="External" Id="rId1530"/><Relationship Type="http://schemas.openxmlformats.org/officeDocument/2006/relationships/hyperlink" Target="#'10 EVIDENCE &amp; DECISIONS'!A1449" TargetMode="External" Id="rId1531"/><Relationship Type="http://schemas.openxmlformats.org/officeDocument/2006/relationships/hyperlink" Target="#'10 EVIDENCE &amp; DECISIONS'!A1450" TargetMode="External" Id="rId1532"/><Relationship Type="http://schemas.openxmlformats.org/officeDocument/2006/relationships/hyperlink" Target="#'10 EVIDENCE &amp; DECISIONS'!A1451" TargetMode="External" Id="rId1533"/><Relationship Type="http://schemas.openxmlformats.org/officeDocument/2006/relationships/hyperlink" Target="#'10 EVIDENCE &amp; DECISIONS'!A1452" TargetMode="External" Id="rId1534"/><Relationship Type="http://schemas.openxmlformats.org/officeDocument/2006/relationships/hyperlink" Target="#'10 EVIDENCE &amp; DECISIONS'!A1453" TargetMode="External" Id="rId1535"/><Relationship Type="http://schemas.openxmlformats.org/officeDocument/2006/relationships/hyperlink" Target="#'10 EVIDENCE &amp; DECISIONS'!A1454" TargetMode="External" Id="rId1536"/><Relationship Type="http://schemas.openxmlformats.org/officeDocument/2006/relationships/hyperlink" Target="#'10 EVIDENCE &amp; DECISIONS'!A1455" TargetMode="External" Id="rId1537"/><Relationship Type="http://schemas.openxmlformats.org/officeDocument/2006/relationships/hyperlink" Target="#'10 EVIDENCE &amp; DECISIONS'!A1456" TargetMode="External" Id="rId1538"/><Relationship Type="http://schemas.openxmlformats.org/officeDocument/2006/relationships/hyperlink" Target="#'10 EVIDENCE &amp; DECISIONS'!A1457" TargetMode="External" Id="rId1539"/><Relationship Type="http://schemas.openxmlformats.org/officeDocument/2006/relationships/hyperlink" Target="#'10 EVIDENCE &amp; DECISIONS'!A1458" TargetMode="External" Id="rId1540"/><Relationship Type="http://schemas.openxmlformats.org/officeDocument/2006/relationships/hyperlink" Target="#'10 EVIDENCE &amp; DECISIONS'!A1459" TargetMode="External" Id="rId1541"/><Relationship Type="http://schemas.openxmlformats.org/officeDocument/2006/relationships/hyperlink" Target="#'10 EVIDENCE &amp; DECISIONS'!A1460" TargetMode="External" Id="rId1542"/><Relationship Type="http://schemas.openxmlformats.org/officeDocument/2006/relationships/hyperlink" Target="#'10 EVIDENCE &amp; DECISIONS'!A1461" TargetMode="External" Id="rId1543"/><Relationship Type="http://schemas.openxmlformats.org/officeDocument/2006/relationships/hyperlink" Target="#'10 EVIDENCE &amp; DECISIONS'!A1462" TargetMode="External" Id="rId1544"/><Relationship Type="http://schemas.openxmlformats.org/officeDocument/2006/relationships/hyperlink" Target="#'10 EVIDENCE &amp; DECISIONS'!A1463" TargetMode="External" Id="rId1545"/><Relationship Type="http://schemas.openxmlformats.org/officeDocument/2006/relationships/hyperlink" Target="#'10 EVIDENCE &amp; DECISIONS'!A1464" TargetMode="External" Id="rId1546"/><Relationship Type="http://schemas.openxmlformats.org/officeDocument/2006/relationships/hyperlink" Target="#'10 EVIDENCE &amp; DECISIONS'!A1465" TargetMode="External" Id="rId1547"/><Relationship Type="http://schemas.openxmlformats.org/officeDocument/2006/relationships/hyperlink" Target="#'10 EVIDENCE &amp; DECISIONS'!A1466" TargetMode="External" Id="rId1548"/><Relationship Type="http://schemas.openxmlformats.org/officeDocument/2006/relationships/hyperlink" Target="#'10 EVIDENCE &amp; DECISIONS'!A1467" TargetMode="External" Id="rId1549"/><Relationship Type="http://schemas.openxmlformats.org/officeDocument/2006/relationships/hyperlink" Target="#'10 EVIDENCE &amp; DECISIONS'!A1468" TargetMode="External" Id="rId1550"/><Relationship Type="http://schemas.openxmlformats.org/officeDocument/2006/relationships/hyperlink" Target="#'10 EVIDENCE &amp; DECISIONS'!A1469" TargetMode="External" Id="rId1551"/><Relationship Type="http://schemas.openxmlformats.org/officeDocument/2006/relationships/hyperlink" Target="#'10 EVIDENCE &amp; DECISIONS'!A1470" TargetMode="External" Id="rId1552"/><Relationship Type="http://schemas.openxmlformats.org/officeDocument/2006/relationships/hyperlink" Target="#'10 EVIDENCE &amp; DECISIONS'!A1471" TargetMode="External" Id="rId1553"/><Relationship Type="http://schemas.openxmlformats.org/officeDocument/2006/relationships/hyperlink" Target="#'10 EVIDENCE &amp; DECISIONS'!A1472" TargetMode="External" Id="rId1554"/><Relationship Type="http://schemas.openxmlformats.org/officeDocument/2006/relationships/hyperlink" Target="#'10 EVIDENCE &amp; DECISIONS'!A1473" TargetMode="External" Id="rId1555"/><Relationship Type="http://schemas.openxmlformats.org/officeDocument/2006/relationships/hyperlink" Target="#'10 EVIDENCE &amp; DECISIONS'!A1474" TargetMode="External" Id="rId1556"/><Relationship Type="http://schemas.openxmlformats.org/officeDocument/2006/relationships/hyperlink" Target="#'10 EVIDENCE &amp; DECISIONS'!A1475" TargetMode="External" Id="rId1557"/><Relationship Type="http://schemas.openxmlformats.org/officeDocument/2006/relationships/hyperlink" Target="#'10 EVIDENCE &amp; DECISIONS'!A1476" TargetMode="External" Id="rId1558"/><Relationship Type="http://schemas.openxmlformats.org/officeDocument/2006/relationships/hyperlink" Target="#'10 EVIDENCE &amp; DECISIONS'!A1477" TargetMode="External" Id="rId1559"/><Relationship Type="http://schemas.openxmlformats.org/officeDocument/2006/relationships/hyperlink" Target="#'10 EVIDENCE &amp; DECISIONS'!A1478" TargetMode="External" Id="rId1560"/><Relationship Type="http://schemas.openxmlformats.org/officeDocument/2006/relationships/hyperlink" Target="#'10 EVIDENCE &amp; DECISIONS'!A1479" TargetMode="External" Id="rId1561"/><Relationship Type="http://schemas.openxmlformats.org/officeDocument/2006/relationships/hyperlink" Target="#'10 EVIDENCE &amp; DECISIONS'!A1480" TargetMode="External" Id="rId1562"/><Relationship Type="http://schemas.openxmlformats.org/officeDocument/2006/relationships/hyperlink" Target="#'10 EVIDENCE &amp; DECISIONS'!A1481" TargetMode="External" Id="rId1563"/><Relationship Type="http://schemas.openxmlformats.org/officeDocument/2006/relationships/hyperlink" Target="#'10 EVIDENCE &amp; DECISIONS'!A1482" TargetMode="External" Id="rId1564"/><Relationship Type="http://schemas.openxmlformats.org/officeDocument/2006/relationships/hyperlink" Target="#'10 EVIDENCE &amp; DECISIONS'!A1483" TargetMode="External" Id="rId1565"/><Relationship Type="http://schemas.openxmlformats.org/officeDocument/2006/relationships/hyperlink" Target="#'10 EVIDENCE &amp; DECISIONS'!A1484" TargetMode="External" Id="rId1566"/><Relationship Type="http://schemas.openxmlformats.org/officeDocument/2006/relationships/hyperlink" Target="#'10 EVIDENCE &amp; DECISIONS'!A1485" TargetMode="External" Id="rId1567"/><Relationship Type="http://schemas.openxmlformats.org/officeDocument/2006/relationships/hyperlink" Target="#'10 EVIDENCE &amp; DECISIONS'!A1486" TargetMode="External" Id="rId1568"/><Relationship Type="http://schemas.openxmlformats.org/officeDocument/2006/relationships/hyperlink" Target="#'10 EVIDENCE &amp; DECISIONS'!A1487" TargetMode="External" Id="rId1569"/><Relationship Type="http://schemas.openxmlformats.org/officeDocument/2006/relationships/hyperlink" Target="#'10 EVIDENCE &amp; DECISIONS'!A1488" TargetMode="External" Id="rId1570"/><Relationship Type="http://schemas.openxmlformats.org/officeDocument/2006/relationships/hyperlink" Target="#'10 EVIDENCE &amp; DECISIONS'!A1489" TargetMode="External" Id="rId1571"/><Relationship Type="http://schemas.openxmlformats.org/officeDocument/2006/relationships/hyperlink" Target="#'10 EVIDENCE &amp; DECISIONS'!A1490" TargetMode="External" Id="rId1572"/><Relationship Type="http://schemas.openxmlformats.org/officeDocument/2006/relationships/hyperlink" Target="#'10 EVIDENCE &amp; DECISIONS'!A1491" TargetMode="External" Id="rId1573"/><Relationship Type="http://schemas.openxmlformats.org/officeDocument/2006/relationships/hyperlink" Target="#'10 EVIDENCE &amp; DECISIONS'!A1492" TargetMode="External" Id="rId1574"/><Relationship Type="http://schemas.openxmlformats.org/officeDocument/2006/relationships/hyperlink" Target="#'10 EVIDENCE &amp; DECISIONS'!A1493" TargetMode="External" Id="rId1575"/><Relationship Type="http://schemas.openxmlformats.org/officeDocument/2006/relationships/hyperlink" Target="#'10 EVIDENCE &amp; DECISIONS'!A1494" TargetMode="External" Id="rId1576"/><Relationship Type="http://schemas.openxmlformats.org/officeDocument/2006/relationships/hyperlink" Target="#'10 EVIDENCE &amp; DECISIONS'!A1495" TargetMode="External" Id="rId1577"/><Relationship Type="http://schemas.openxmlformats.org/officeDocument/2006/relationships/hyperlink" Target="#'10 EVIDENCE &amp; DECISIONS'!A1496" TargetMode="External" Id="rId1578"/><Relationship Type="http://schemas.openxmlformats.org/officeDocument/2006/relationships/hyperlink" Target="#'10 EVIDENCE &amp; DECISIONS'!A1497" TargetMode="External" Id="rId1579"/><Relationship Type="http://schemas.openxmlformats.org/officeDocument/2006/relationships/hyperlink" Target="#'10 EVIDENCE &amp; DECISIONS'!A1498" TargetMode="External" Id="rId1580"/><Relationship Type="http://schemas.openxmlformats.org/officeDocument/2006/relationships/hyperlink" Target="#'10 EVIDENCE &amp; DECISIONS'!A1499" TargetMode="External" Id="rId1581"/><Relationship Type="http://schemas.openxmlformats.org/officeDocument/2006/relationships/hyperlink" Target="#'10 EVIDENCE &amp; DECISIONS'!A1500" TargetMode="External" Id="rId1582"/><Relationship Type="http://schemas.openxmlformats.org/officeDocument/2006/relationships/hyperlink" Target="#'10 EVIDENCE &amp; DECISIONS'!A1501" TargetMode="External" Id="rId1583"/><Relationship Type="http://schemas.openxmlformats.org/officeDocument/2006/relationships/hyperlink" Target="#'10 EVIDENCE &amp; DECISIONS'!A1502" TargetMode="External" Id="rId1584"/><Relationship Type="http://schemas.openxmlformats.org/officeDocument/2006/relationships/hyperlink" Target="#'10 EVIDENCE &amp; DECISIONS'!A1503" TargetMode="External" Id="rId1585"/><Relationship Type="http://schemas.openxmlformats.org/officeDocument/2006/relationships/hyperlink" Target="#'10 EVIDENCE &amp; DECISIONS'!A1504" TargetMode="External" Id="rId1586"/><Relationship Type="http://schemas.openxmlformats.org/officeDocument/2006/relationships/hyperlink" Target="#'10 EVIDENCE &amp; DECISIONS'!A1505" TargetMode="External" Id="rId1587"/><Relationship Type="http://schemas.openxmlformats.org/officeDocument/2006/relationships/hyperlink" Target="#'10 EVIDENCE &amp; DECISIONS'!A1506" TargetMode="External" Id="rId1588"/><Relationship Type="http://schemas.openxmlformats.org/officeDocument/2006/relationships/hyperlink" Target="#'10 EVIDENCE &amp; DECISIONS'!A1507" TargetMode="External" Id="rId1589"/><Relationship Type="http://schemas.openxmlformats.org/officeDocument/2006/relationships/hyperlink" Target="#'10 EVIDENCE &amp; DECISIONS'!A1508" TargetMode="External" Id="rId1590"/><Relationship Type="http://schemas.openxmlformats.org/officeDocument/2006/relationships/hyperlink" Target="#'10 EVIDENCE &amp; DECISIONS'!A1509" TargetMode="External" Id="rId1591"/><Relationship Type="http://schemas.openxmlformats.org/officeDocument/2006/relationships/hyperlink" Target="#'10 EVIDENCE &amp; DECISIONS'!A1510" TargetMode="External" Id="rId1592"/><Relationship Type="http://schemas.openxmlformats.org/officeDocument/2006/relationships/hyperlink" Target="#'10 EVIDENCE &amp; DECISIONS'!A1511" TargetMode="External" Id="rId1593"/><Relationship Type="http://schemas.openxmlformats.org/officeDocument/2006/relationships/hyperlink" Target="#'10 EVIDENCE &amp; DECISIONS'!A1512" TargetMode="External" Id="rId1594"/><Relationship Type="http://schemas.openxmlformats.org/officeDocument/2006/relationships/hyperlink" Target="#'10 EVIDENCE &amp; DECISIONS'!A1513" TargetMode="External" Id="rId1595"/><Relationship Type="http://schemas.openxmlformats.org/officeDocument/2006/relationships/hyperlink" Target="#'10 EVIDENCE &amp; DECISIONS'!A1514" TargetMode="External" Id="rId1596"/><Relationship Type="http://schemas.openxmlformats.org/officeDocument/2006/relationships/hyperlink" Target="#'10 EVIDENCE &amp; DECISIONS'!A1515" TargetMode="External" Id="rId1597"/><Relationship Type="http://schemas.openxmlformats.org/officeDocument/2006/relationships/hyperlink" Target="#'10 EVIDENCE &amp; DECISIONS'!A1516" TargetMode="External" Id="rId1598"/><Relationship Type="http://schemas.openxmlformats.org/officeDocument/2006/relationships/hyperlink" Target="#'10 EVIDENCE &amp; DECISIONS'!A1517" TargetMode="External" Id="rId1599"/><Relationship Type="http://schemas.openxmlformats.org/officeDocument/2006/relationships/hyperlink" Target="#'10 EVIDENCE &amp; DECISIONS'!A1518" TargetMode="External" Id="rId1600"/><Relationship Type="http://schemas.openxmlformats.org/officeDocument/2006/relationships/hyperlink" Target="#'10 EVIDENCE &amp; DECISIONS'!A1519" TargetMode="External" Id="rId1601"/><Relationship Type="http://schemas.openxmlformats.org/officeDocument/2006/relationships/hyperlink" Target="#'10 EVIDENCE &amp; DECISIONS'!A1520" TargetMode="External" Id="rId1602"/><Relationship Type="http://schemas.openxmlformats.org/officeDocument/2006/relationships/hyperlink" Target="#'10 EVIDENCE &amp; DECISIONS'!A1521" TargetMode="External" Id="rId1603"/><Relationship Type="http://schemas.openxmlformats.org/officeDocument/2006/relationships/hyperlink" Target="#'10 EVIDENCE &amp; DECISIONS'!A1522" TargetMode="External" Id="rId1604"/><Relationship Type="http://schemas.openxmlformats.org/officeDocument/2006/relationships/hyperlink" Target="#'10 EVIDENCE &amp; DECISIONS'!A1523" TargetMode="External" Id="rId1605"/><Relationship Type="http://schemas.openxmlformats.org/officeDocument/2006/relationships/hyperlink" Target="#'10 EVIDENCE &amp; DECISIONS'!A1524" TargetMode="External" Id="rId1606"/><Relationship Type="http://schemas.openxmlformats.org/officeDocument/2006/relationships/hyperlink" Target="#'10 EVIDENCE &amp; DECISIONS'!A1525" TargetMode="External" Id="rId1607"/><Relationship Type="http://schemas.openxmlformats.org/officeDocument/2006/relationships/hyperlink" Target="#'10 EVIDENCE &amp; DECISIONS'!A1526" TargetMode="External" Id="rId1608"/><Relationship Type="http://schemas.openxmlformats.org/officeDocument/2006/relationships/hyperlink" Target="#'10 EVIDENCE &amp; DECISIONS'!A1527" TargetMode="External" Id="rId1609"/><Relationship Type="http://schemas.openxmlformats.org/officeDocument/2006/relationships/hyperlink" Target="#'10 EVIDENCE &amp; DECISIONS'!A1528" TargetMode="External" Id="rId1610"/><Relationship Type="http://schemas.openxmlformats.org/officeDocument/2006/relationships/hyperlink" Target="#'10 EVIDENCE &amp; DECISIONS'!A1529" TargetMode="External" Id="rId1611"/><Relationship Type="http://schemas.openxmlformats.org/officeDocument/2006/relationships/hyperlink" Target="#'10 EVIDENCE &amp; DECISIONS'!A1530" TargetMode="External" Id="rId1612"/><Relationship Type="http://schemas.openxmlformats.org/officeDocument/2006/relationships/hyperlink" Target="#'10 EVIDENCE &amp; DECISIONS'!A1531" TargetMode="External" Id="rId1613"/><Relationship Type="http://schemas.openxmlformats.org/officeDocument/2006/relationships/hyperlink" Target="#'10 EVIDENCE &amp; DECISIONS'!A1532" TargetMode="External" Id="rId1614"/><Relationship Type="http://schemas.openxmlformats.org/officeDocument/2006/relationships/hyperlink" Target="#'10 EVIDENCE &amp; DECISIONS'!A1533" TargetMode="External" Id="rId1615"/><Relationship Type="http://schemas.openxmlformats.org/officeDocument/2006/relationships/hyperlink" Target="#'10 EVIDENCE &amp; DECISIONS'!A1534" TargetMode="External" Id="rId1616"/><Relationship Type="http://schemas.openxmlformats.org/officeDocument/2006/relationships/hyperlink" Target="#'10 EVIDENCE &amp; DECISIONS'!A1535" TargetMode="External" Id="rId1617"/><Relationship Type="http://schemas.openxmlformats.org/officeDocument/2006/relationships/hyperlink" Target="#'10 EVIDENCE &amp; DECISIONS'!A1536" TargetMode="External" Id="rId1618"/><Relationship Type="http://schemas.openxmlformats.org/officeDocument/2006/relationships/hyperlink" Target="#'10 EVIDENCE &amp; DECISIONS'!A1537" TargetMode="External" Id="rId1619"/><Relationship Type="http://schemas.openxmlformats.org/officeDocument/2006/relationships/hyperlink" Target="#'10 EVIDENCE &amp; DECISIONS'!A1538" TargetMode="External" Id="rId1620"/><Relationship Type="http://schemas.openxmlformats.org/officeDocument/2006/relationships/hyperlink" Target="#'10 EVIDENCE &amp; DECISIONS'!A1539" TargetMode="External" Id="rId1621"/><Relationship Type="http://schemas.openxmlformats.org/officeDocument/2006/relationships/hyperlink" Target="#'10 EVIDENCE &amp; DECISIONS'!A1540" TargetMode="External" Id="rId1622"/><Relationship Type="http://schemas.openxmlformats.org/officeDocument/2006/relationships/hyperlink" Target="#'10 EVIDENCE &amp; DECISIONS'!A1541" TargetMode="External" Id="rId1623"/><Relationship Type="http://schemas.openxmlformats.org/officeDocument/2006/relationships/hyperlink" Target="#'10 EVIDENCE &amp; DECISIONS'!A1542" TargetMode="External" Id="rId1624"/><Relationship Type="http://schemas.openxmlformats.org/officeDocument/2006/relationships/hyperlink" Target="#'10 EVIDENCE &amp; DECISIONS'!A1543" TargetMode="External" Id="rId1625"/><Relationship Type="http://schemas.openxmlformats.org/officeDocument/2006/relationships/hyperlink" Target="#'10 EVIDENCE &amp; DECISIONS'!A1544" TargetMode="External" Id="rId1626"/><Relationship Type="http://schemas.openxmlformats.org/officeDocument/2006/relationships/hyperlink" Target="#'10 EVIDENCE &amp; DECISIONS'!A1545" TargetMode="External" Id="rId1627"/><Relationship Type="http://schemas.openxmlformats.org/officeDocument/2006/relationships/hyperlink" Target="#'10 EVIDENCE &amp; DECISIONS'!A1546" TargetMode="External" Id="rId1628"/><Relationship Type="http://schemas.openxmlformats.org/officeDocument/2006/relationships/hyperlink" Target="#'10 EVIDENCE &amp; DECISIONS'!A1547" TargetMode="External" Id="rId1629"/><Relationship Type="http://schemas.openxmlformats.org/officeDocument/2006/relationships/hyperlink" Target="#'10 EVIDENCE &amp; DECISIONS'!A1364" TargetMode="External" Id="rId1630"/><Relationship Type="http://schemas.openxmlformats.org/officeDocument/2006/relationships/hyperlink" Target="#'10 EVIDENCE &amp; DECISIONS'!A1365" TargetMode="External" Id="rId1631"/><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4.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09 WBS EXPLORER'!A1" TargetMode="External" Id="rId10"/><Relationship Type="http://schemas.openxmlformats.org/officeDocument/2006/relationships/hyperlink" Target="#'08 CROSSWALK'!A6" TargetMode="External" Id="rId11"/><Relationship Type="http://schemas.openxmlformats.org/officeDocument/2006/relationships/hyperlink" Target="#'08 CROSSWALK'!A6" TargetMode="External" Id="rId12"/><Relationship Type="http://schemas.openxmlformats.org/officeDocument/2006/relationships/hyperlink" Target="#'08 CROSSWALK'!A16" TargetMode="External" Id="rId13"/><Relationship Type="http://schemas.openxmlformats.org/officeDocument/2006/relationships/hyperlink" Target="#'08 CROSSWALK'!A176" TargetMode="External" Id="rId14"/><Relationship Type="http://schemas.openxmlformats.org/officeDocument/2006/relationships/hyperlink" Target="#'08 CROSSWALK'!A276" TargetMode="External" Id="rId15"/><Relationship Type="http://schemas.openxmlformats.org/officeDocument/2006/relationships/hyperlink" Target="#'08 CROSSWALK'!A287" TargetMode="External" Id="rId16"/><Relationship Type="http://schemas.openxmlformats.org/officeDocument/2006/relationships/hyperlink" Target="#'08 CROSSWALK'!A447" TargetMode="External" Id="rId17"/><Relationship Type="http://schemas.openxmlformats.org/officeDocument/2006/relationships/hyperlink" Target="#'08 CROSSWALK'!A546" TargetMode="External" Id="rId18"/><Relationship Type="http://schemas.openxmlformats.org/officeDocument/2006/relationships/hyperlink" Target="#'08 CROSSWALK'!A556" TargetMode="External" Id="rId19"/><Relationship Type="http://schemas.openxmlformats.org/officeDocument/2006/relationships/hyperlink" Target="#'08 CROSSWALK'!A716" TargetMode="External" Id="rId20"/><Relationship Type="http://schemas.openxmlformats.org/officeDocument/2006/relationships/hyperlink" Target="#'08 CROSSWALK'!A815" TargetMode="External" Id="rId21"/><Relationship Type="http://schemas.openxmlformats.org/officeDocument/2006/relationships/hyperlink" Target="#'08 CROSSWALK'!A825" TargetMode="External" Id="rId22"/><Relationship Type="http://schemas.openxmlformats.org/officeDocument/2006/relationships/hyperlink" Target="#'08 CROSSWALK'!A985" TargetMode="External" Id="rId23"/><Relationship Type="http://schemas.openxmlformats.org/officeDocument/2006/relationships/hyperlink" Target="#'08 CROSSWALK'!A1084" TargetMode="External" Id="rId24"/><Relationship Type="http://schemas.openxmlformats.org/officeDocument/2006/relationships/hyperlink" Target="#'08 CROSSWALK'!A1094" TargetMode="External" Id="rId25"/><Relationship Type="http://schemas.openxmlformats.org/officeDocument/2006/relationships/hyperlink" Target="#'08 CROSSWALK'!A1214" TargetMode="External" Id="rId26"/><Relationship Type="http://schemas.openxmlformats.org/officeDocument/2006/relationships/hyperlink" Target="#'08 CROSSWALK'!A1274" TargetMode="External" Id="rId27"/><Relationship Type="http://schemas.openxmlformats.org/officeDocument/2006/relationships/hyperlink" Target="#'08 CROSSWALK'!A1284" TargetMode="External" Id="rId28"/><Relationship Type="http://schemas.openxmlformats.org/officeDocument/2006/relationships/hyperlink" Target="#'08 CROSSWALK'!A1324" TargetMode="External" Id="rId29"/><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5.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08 CROSSWALK'!A1" TargetMode="External" Id="rId10"/><Relationship Type="http://schemas.openxmlformats.org/officeDocument/2006/relationships/hyperlink" Target="#'08 CROSSWALK'!A1" TargetMode="External" Id="rId11"/><Relationship Type="http://schemas.openxmlformats.org/officeDocument/2006/relationships/hyperlink" Target="#'08 CROSSWALK'!A1" TargetMode="External" Id="rId12"/><Relationship Type="http://schemas.openxmlformats.org/officeDocument/2006/relationships/hyperlink" Target="#'08 CROSSWALK'!A1" TargetMode="External" Id="rId13"/><Relationship Type="http://schemas.openxmlformats.org/officeDocument/2006/relationships/hyperlink" Target="#'08 CROSSWALK'!A1" TargetMode="External" Id="rId14"/><Relationship Type="http://schemas.openxmlformats.org/officeDocument/2006/relationships/hyperlink" Target="#'08 CROSSWALK'!A1" TargetMode="External" Id="rId15"/><Relationship Type="http://schemas.openxmlformats.org/officeDocument/2006/relationships/hyperlink" Target="#'08 CROSSWALK'!A1" TargetMode="External" Id="rId16"/><Relationship Type="http://schemas.openxmlformats.org/officeDocument/2006/relationships/hyperlink" Target="#'08 CROSSWALK'!A1" TargetMode="External" Id="rId17"/><Relationship Type="http://schemas.openxmlformats.org/officeDocument/2006/relationships/hyperlink" Target="#'08 CROSSWALK'!A1" TargetMode="External" Id="rId18"/><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6.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7.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18.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19.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0.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1.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sheet1.xml><?xml version="1.0" encoding="utf-8"?>
<worksheet xmlns="http://schemas.openxmlformats.org/spreadsheetml/2006/main">
  <sheetPr>
    <tabColor rgb="008F5A28"/>
    <outlinePr summaryBelow="0" summaryRight="0"/>
    <pageSetUpPr fitToPage="1"/>
  </sheetPr>
  <dimension ref="A1:L59"/>
  <sheetViews>
    <sheetView showGridLines="0" tabSelected="0" topLeftCell="A1" zoomScale="90" zoomScaleNormal="100" workbookViewId="0">
      <pane ySplit="3" topLeftCell="A4" activePane="bottomLeft" state="frozen"/>
      <selection pane="bottomLeft" activeCell="A4" sqref="A4"/>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s>
  <sheetData>
    <row r="1" ht="25" customHeight="1">
      <c r="A1" s="73" t="inlineStr">
        <is>
          <t>HarbourLink Urban Transit Expansion</t>
        </is>
      </c>
    </row>
    <row r="2" ht="20" customHeight="1"/>
    <row r="3" ht="28" customHeight="1">
      <c r="A3" s="99" t="inlineStr">
        <is>
          <t>Version 1 · Maya Chen, Owner Project Controls</t>
        </is>
      </c>
    </row>
    <row r="4" ht="19" customHeight="1">
      <c r="A4" s="76" t="n"/>
      <c r="B4" s="77" t="n"/>
      <c r="C4" s="77" t="n"/>
      <c r="D4" s="77" t="n"/>
    </row>
    <row r="5" ht="19" customHeight="1">
      <c r="A5" s="100" t="inlineStr">
        <is>
          <t>current mapping records</t>
        </is>
      </c>
      <c r="E5" s="79" t="inlineStr">
        <is>
          <t>unresolved versions</t>
        </is>
      </c>
      <c r="I5" s="79" t="inlineStr">
        <is>
          <t>export / outcome rows</t>
        </is>
      </c>
    </row>
    <row r="6" ht="19" customHeight="1">
      <c r="A6" s="101" t="n">
        <v>1622</v>
      </c>
      <c r="E6" s="81" t="n">
        <v>263</v>
      </c>
      <c r="I6" s="81" t="n">
        <v>1623</v>
      </c>
    </row>
    <row r="7" ht="19" customHeight="1"/>
    <row r="8" ht="19" customHeight="1">
      <c r="A8" s="82" t="inlineStr">
        <is>
          <t>4 of 6 reported work areas have both schedule and cost connections.</t>
        </is>
      </c>
    </row>
    <row r="9" ht="19" customHeight="1">
      <c r="A9" s="83" t="inlineStr">
        <is>
          <t>OWNER WBS · relate the views, then inspect the source</t>
        </is>
      </c>
    </row>
    <row r="10" ht="19" customHeight="1">
      <c r="A10" s="102" t="inlineStr">
        <is>
          <t>Reported work area</t>
        </is>
      </c>
      <c r="G10" s="85" t="inlineStr">
        <is>
          <t>Schedule</t>
        </is>
      </c>
      <c r="I10" s="85" t="inlineStr">
        <is>
          <t>Cost</t>
        </is>
      </c>
      <c r="K10" s="85" t="inlineStr">
        <is>
          <t>Packages</t>
        </is>
      </c>
    </row>
    <row r="11" ht="29" customHeight="1">
      <c r="A11" s="103" t="inlineStr">
        <is>
          <t>1.1 Guideway and Civil</t>
        </is>
      </c>
      <c r="G11" s="87" t="n">
        <v>180</v>
      </c>
      <c r="I11" s="87" t="n">
        <v>80</v>
      </c>
      <c r="K11" s="87" t="n">
        <v>10</v>
      </c>
    </row>
    <row r="12" ht="29" customHeight="1">
      <c r="A12" s="103" t="inlineStr">
        <is>
          <t>1.2 Stations</t>
        </is>
      </c>
      <c r="G12" s="87" t="n">
        <v>179</v>
      </c>
      <c r="I12" s="87" t="n">
        <v>80</v>
      </c>
      <c r="K12" s="87" t="n">
        <v>11</v>
      </c>
    </row>
    <row r="13" ht="29" customHeight="1">
      <c r="A13" s="103" t="inlineStr">
        <is>
          <t>1.3 Systems</t>
        </is>
      </c>
      <c r="G13" s="87" t="n">
        <v>180</v>
      </c>
      <c r="I13" s="87" t="n">
        <v>79</v>
      </c>
      <c r="K13" s="87" t="n">
        <v>10</v>
      </c>
    </row>
    <row r="14" ht="29" customHeight="1">
      <c r="A14" s="103" t="inlineStr">
        <is>
          <t>1.4 Vehicles and Depot</t>
        </is>
      </c>
      <c r="G14" s="87" t="n">
        <v>179</v>
      </c>
      <c r="I14" s="87" t="n">
        <v>80</v>
      </c>
      <c r="K14" s="87" t="n">
        <v>10</v>
      </c>
    </row>
    <row r="15" ht="29" customHeight="1">
      <c r="A15" s="103" t="inlineStr">
        <is>
          <t>1.5 Testing and Commissioning</t>
        </is>
      </c>
      <c r="G15" s="87" t="n">
        <v>180</v>
      </c>
      <c r="I15" s="88" t="inlineStr">
        <is>
          <t>Not found</t>
        </is>
      </c>
      <c r="K15" s="87" t="n">
        <v>10</v>
      </c>
    </row>
    <row r="16" ht="29" customHeight="1">
      <c r="A16" s="103" t="inlineStr">
        <is>
          <t>1.6 Program Management</t>
        </is>
      </c>
      <c r="G16" s="88" t="inlineStr">
        <is>
          <t>Not found</t>
        </is>
      </c>
      <c r="I16" s="87" t="n">
        <v>80</v>
      </c>
      <c r="K16" s="87" t="n">
        <v>10</v>
      </c>
    </row>
    <row r="17" ht="19" customHeight="1">
      <c r="A17" s="77" t="n"/>
      <c r="B17" s="77" t="n"/>
      <c r="C17" s="77" t="n"/>
      <c r="D17" s="77" t="n"/>
    </row>
    <row r="18" ht="19" customHeight="1">
      <c r="A18" s="82" t="inlineStr">
        <is>
          <t>Branch counts are distinct mapped source versions within each work area; a split can appear in several areas. Do not sum branches as project totals. Coverage is not progress or financial health.</t>
        </is>
      </c>
    </row>
    <row r="19" ht="19" customHeight="1"/>
    <row r="20" ht="19" customHeight="1">
      <c r="A20" s="77" t="n"/>
      <c r="B20" s="77" t="n"/>
      <c r="C20" s="77" t="n"/>
      <c r="D20" s="77" t="n"/>
    </row>
    <row r="21" ht="19" customHeight="1">
      <c r="A21" s="83" t="inlineStr">
        <is>
          <t>1.5 Testing and Commissioning</t>
        </is>
      </c>
    </row>
    <row r="22" ht="24" customHeight="1">
      <c r="A22" s="104" t="inlineStr">
        <is>
          <t>Confirm whether the missing governed relationship is expected or requires project-controls attention.</t>
        </is>
      </c>
    </row>
    <row r="23" ht="24" customHeight="1"/>
    <row r="24" ht="19" customHeight="1"/>
    <row r="25" ht="19" customHeight="1">
      <c r="A25" s="91" t="inlineStr">
        <is>
          <t>1.6 Program Management</t>
        </is>
      </c>
    </row>
    <row r="26" ht="24" customHeight="1">
      <c r="A26" s="92" t="inlineStr">
        <is>
          <t>Confirm whether the missing governed relationship is expected or requires project-controls attention.</t>
        </is>
      </c>
    </row>
    <row r="27" ht="24" customHeight="1"/>
    <row r="28" ht="19" customHeight="1"/>
    <row r="29" ht="19" customHeight="1"/>
    <row r="30" ht="19" customHeight="1">
      <c r="A30" s="93" t="inlineStr">
        <is>
          <t>Explore the four charts →</t>
        </is>
      </c>
      <c r="E30" s="93" t="inlineStr">
        <is>
          <t>Findings and exact Actions →</t>
        </is>
      </c>
      <c r="I30" s="93" t="inlineStr">
        <is>
          <t>Follow the evidence →</t>
        </is>
      </c>
    </row>
    <row r="31" ht="19" customHeight="1"/>
    <row r="32" ht="19" customHeight="1"/>
    <row r="33" ht="19" customHeight="1">
      <c r="A33" s="93" t="inlineStr">
        <is>
          <t>Browse work areas →</t>
        </is>
      </c>
      <c r="E33" s="93" t="inlineStr">
        <is>
          <t>Original source records →</t>
        </is>
      </c>
      <c r="I33" s="93" t="inlineStr">
        <is>
          <t>All 21 worksheets →</t>
        </is>
      </c>
    </row>
    <row r="34" ht="19" customHeight="1"/>
    <row r="35" ht="19" customHeight="1"/>
    <row r="36" ht="19" customHeight="1">
      <c r="A36" s="94" t="inlineStr">
        <is>
          <t>Combined cost / forecast totals remain withheld. Whole-version approval is separate from individual professional decisions. Original assertions, split targets and reporting history remain in the supporting sheets.</t>
        </is>
      </c>
    </row>
    <row r="37" ht="19" customHeight="1"/>
    <row r="38" ht="19" customHeight="1"/>
    <row r="39" ht="19" customHeight="1"/>
    <row r="40" ht="19" customHeight="1">
      <c r="A40" s="95" t="inlineStr">
        <is>
          <t>Recorded publication identity · original cover values</t>
        </is>
      </c>
    </row>
    <row r="41" ht="19" customHeight="1"/>
    <row r="42" ht="28" customHeight="1">
      <c r="A42" s="96" t="inlineStr">
        <is>
          <t>A2</t>
        </is>
      </c>
      <c r="C42" s="94" t="inlineStr">
        <is>
          <t>ZP SYNERGY GROUP INC.</t>
        </is>
      </c>
    </row>
    <row r="43" ht="28" customHeight="1">
      <c r="A43" s="96" t="inlineStr">
        <is>
          <t>A4</t>
        </is>
      </c>
      <c r="C43" s="94" t="inlineStr">
        <is>
          <t>WBS↔LINK™</t>
        </is>
      </c>
    </row>
    <row r="44" ht="28" customHeight="1">
      <c r="A44" s="96" t="inlineStr">
        <is>
          <t>A5</t>
        </is>
      </c>
      <c r="C44" s="94" t="inlineStr">
        <is>
          <t>Premium Integrated Project Controls Workbook</t>
        </is>
      </c>
    </row>
    <row r="45" ht="28" customHeight="1">
      <c r="A45" s="96" t="inlineStr">
        <is>
          <t>A7</t>
        </is>
      </c>
      <c r="C45" s="94" t="inlineStr">
        <is>
          <t>HarbourLink Urban Transit Expansion</t>
        </is>
      </c>
    </row>
    <row r="46" ht="28" customHeight="1">
      <c r="A46" s="96" t="inlineStr">
        <is>
          <t>A10</t>
        </is>
      </c>
      <c r="C46" s="94" t="inlineStr">
        <is>
          <t>Workbook state</t>
        </is>
      </c>
    </row>
    <row r="47" ht="28" customHeight="1">
      <c r="A47" s="96" t="inlineStr">
        <is>
          <t>B10</t>
        </is>
      </c>
      <c r="C47" s="94" t="inlineStr">
        <is>
          <t>Approved version 1 · stable mapping reference MV-1 · APPROVED</t>
        </is>
      </c>
    </row>
    <row r="48" ht="28" customHeight="1">
      <c r="A48" s="96" t="inlineStr">
        <is>
          <t>A11</t>
        </is>
      </c>
      <c r="C48" s="94" t="inlineStr">
        <is>
          <t>Reporting / data date</t>
        </is>
      </c>
    </row>
    <row r="49" ht="28" customHeight="1">
      <c r="A49" s="96" t="inlineStr">
        <is>
          <t>B11</t>
        </is>
      </c>
      <c r="C49" s="94" t="inlineStr">
        <is>
          <t>2026-06-30 (Contractor Programme Rev 0); 2026-06-30 (Cost &amp; Forecast Control Accounts Rev 0); 2026-06-30 (Commercial Package Register Rev 0)</t>
        </is>
      </c>
    </row>
    <row r="50" ht="28" customHeight="1">
      <c r="A50" s="96" t="inlineStr">
        <is>
          <t>A12</t>
        </is>
      </c>
      <c r="C50" s="94" t="inlineStr">
        <is>
          <t>Approved by</t>
        </is>
      </c>
    </row>
    <row r="51" ht="28" customHeight="1">
      <c r="A51" s="96" t="inlineStr">
        <is>
          <t>B12</t>
        </is>
      </c>
      <c r="C51" s="94" t="inlineStr">
        <is>
          <t>Maya Chen, Owner Project Controls</t>
        </is>
      </c>
    </row>
    <row r="52" ht="28" customHeight="1">
      <c r="A52" s="96" t="inlineStr">
        <is>
          <t>A13</t>
        </is>
      </c>
      <c r="C52" s="94" t="inlineStr">
        <is>
          <t>Approved (UTC)</t>
        </is>
      </c>
    </row>
    <row r="53" ht="28" customHeight="1">
      <c r="A53" s="96" t="inlineStr">
        <is>
          <t>B13</t>
        </is>
      </c>
      <c r="C53" s="94" t="inlineStr">
        <is>
          <t>2026-10-16 14:11</t>
        </is>
      </c>
    </row>
    <row r="54" ht="28" customHeight="1">
      <c r="A54" s="96" t="inlineStr">
        <is>
          <t>A14</t>
        </is>
      </c>
      <c r="C54" s="94" t="inlineStr">
        <is>
          <t>WBS version</t>
        </is>
      </c>
    </row>
    <row r="55" ht="28" customHeight="1">
      <c r="A55" s="96" t="inlineStr">
        <is>
          <t>B14</t>
        </is>
      </c>
      <c r="C55" s="94" t="inlineStr">
        <is>
          <t>1</t>
        </is>
      </c>
    </row>
    <row r="56" ht="28" customHeight="1">
      <c r="A56" s="96" t="inlineStr">
        <is>
          <t>A15</t>
        </is>
      </c>
      <c r="C56" s="94" t="inlineStr">
        <is>
          <t>Source set</t>
        </is>
      </c>
    </row>
    <row r="57" ht="45" customHeight="1">
      <c r="A57" s="96" t="inlineStr">
        <is>
          <t>B15</t>
        </is>
      </c>
      <c r="C57" s="94" t="inlineStr">
        <is>
          <t>Commercial Package Register (WORK_PACKAGE_LIST, Rev 0); Contractor Programme (SCHEDULE, Rev 0); Cost &amp; Forecast Control Accounts (COST_ESTIMATE, Rev 0); Owner WBS (WBS_DICTIONARY, Rev 0)</t>
        </is>
      </c>
    </row>
    <row r="58" ht="45" customHeight="1">
      <c r="A58" s="96" t="inlineStr">
        <is>
          <t>A18</t>
        </is>
      </c>
      <c r="C58" s="94" t="inlineStr">
        <is>
          <t>Owner WBS is the owner’s common list of project work. Follow one approved finding to its original source, decision and separate approval. Use the Management Report PDF for executive reading and this workbook for working evidence. Source authenticity and client provenance are not independently verified.</t>
        </is>
      </c>
    </row>
    <row r="59" ht="28" customHeight="1">
      <c r="A59" s="96" t="inlineStr">
        <is>
          <t>A22</t>
        </is>
      </c>
      <c r="C59" s="94" t="inlineStr">
        <is>
          <t>Begin with 02 START HERE →</t>
        </is>
      </c>
    </row>
    <row r="60" ht="19" customHeight="1"/>
    <row r="61" ht="19" customHeight="1"/>
    <row r="62" ht="19" customHeight="1"/>
    <row r="63" ht="19" customHeight="1"/>
    <row r="64" ht="19" customHeight="1"/>
    <row r="65" ht="19" customHeight="1"/>
    <row r="66" ht="19" customHeight="1"/>
    <row r="67" ht="19" customHeight="1"/>
    <row r="68" ht="19" customHeight="1"/>
    <row r="69" ht="19" customHeight="1"/>
    <row r="70" ht="19" customHeight="1"/>
    <row r="71" ht="19" customHeight="1"/>
    <row r="72" ht="19" customHeight="1"/>
    <row r="73" ht="19" customHeight="1"/>
    <row r="74" ht="19" customHeight="1"/>
    <row r="75" ht="19" customHeight="1"/>
    <row r="76" ht="19" customHeight="1"/>
    <row r="77" ht="19" customHeight="1"/>
    <row r="78" ht="19" customHeight="1"/>
    <row r="79" ht="19" customHeight="1"/>
  </sheetData>
  <mergeCells count="87">
    <mergeCell ref="A5:D5"/>
    <mergeCell ref="I30:L31"/>
    <mergeCell ref="A51:B51"/>
    <mergeCell ref="A21:L21"/>
    <mergeCell ref="C57:L57"/>
    <mergeCell ref="A54:B54"/>
    <mergeCell ref="I16:J16"/>
    <mergeCell ref="C49:L49"/>
    <mergeCell ref="A1:L2"/>
    <mergeCell ref="A56:B56"/>
    <mergeCell ref="C42:L42"/>
    <mergeCell ref="I33:L34"/>
    <mergeCell ref="A13:F13"/>
    <mergeCell ref="A42:B42"/>
    <mergeCell ref="A15:F15"/>
    <mergeCell ref="A53:B53"/>
    <mergeCell ref="C59:L59"/>
    <mergeCell ref="I13:J13"/>
    <mergeCell ref="A22:L23"/>
    <mergeCell ref="C46:L46"/>
    <mergeCell ref="K13:L13"/>
    <mergeCell ref="A16:F16"/>
    <mergeCell ref="A48:B48"/>
    <mergeCell ref="G12:H12"/>
    <mergeCell ref="A59:B59"/>
    <mergeCell ref="I15:J15"/>
    <mergeCell ref="C48:L48"/>
    <mergeCell ref="K15:L15"/>
    <mergeCell ref="E33:H34"/>
    <mergeCell ref="A45:B45"/>
    <mergeCell ref="A3:L3"/>
    <mergeCell ref="A6:D7"/>
    <mergeCell ref="A46:B46"/>
    <mergeCell ref="E6:H7"/>
    <mergeCell ref="E5:H5"/>
    <mergeCell ref="E30:H31"/>
    <mergeCell ref="A40:L40"/>
    <mergeCell ref="C50:L50"/>
    <mergeCell ref="A11:F11"/>
    <mergeCell ref="C55:L55"/>
    <mergeCell ref="A52:B52"/>
    <mergeCell ref="G16:H16"/>
    <mergeCell ref="I10:J10"/>
    <mergeCell ref="K10:L10"/>
    <mergeCell ref="K16:L16"/>
    <mergeCell ref="A25:L25"/>
    <mergeCell ref="C52:L52"/>
    <mergeCell ref="A49:B49"/>
    <mergeCell ref="G11:H11"/>
    <mergeCell ref="I11:J11"/>
    <mergeCell ref="K11:L11"/>
    <mergeCell ref="G13:H13"/>
    <mergeCell ref="A55:B55"/>
    <mergeCell ref="A10:F10"/>
    <mergeCell ref="A36:L37"/>
    <mergeCell ref="A57:B57"/>
    <mergeCell ref="A33:D34"/>
    <mergeCell ref="G15:H15"/>
    <mergeCell ref="C54:L54"/>
    <mergeCell ref="A26:L27"/>
    <mergeCell ref="A43:B43"/>
    <mergeCell ref="C56:L56"/>
    <mergeCell ref="C43:L43"/>
    <mergeCell ref="A30:D31"/>
    <mergeCell ref="A12:F12"/>
    <mergeCell ref="C53:L53"/>
    <mergeCell ref="A14:F14"/>
    <mergeCell ref="G10:H10"/>
    <mergeCell ref="A8:L8"/>
    <mergeCell ref="C58:L58"/>
    <mergeCell ref="A50:B50"/>
    <mergeCell ref="I12:J12"/>
    <mergeCell ref="C45:L45"/>
    <mergeCell ref="K12:L12"/>
    <mergeCell ref="A47:B47"/>
    <mergeCell ref="G14:H14"/>
    <mergeCell ref="A9:L9"/>
    <mergeCell ref="I14:J14"/>
    <mergeCell ref="C47:L47"/>
    <mergeCell ref="K14:L14"/>
    <mergeCell ref="C44:L44"/>
    <mergeCell ref="A18:L19"/>
    <mergeCell ref="I6:L7"/>
    <mergeCell ref="A44:B44"/>
    <mergeCell ref="C51:L51"/>
    <mergeCell ref="A58:B58"/>
    <mergeCell ref="I5:L5"/>
  </mergeCells>
  <hyperlinks>
    <hyperlink xmlns:r="http://schemas.openxmlformats.org/officeDocument/2006/relationships" ref="A30" r:id="rId1"/>
    <hyperlink xmlns:r="http://schemas.openxmlformats.org/officeDocument/2006/relationships" ref="E30" r:id="rId2"/>
    <hyperlink xmlns:r="http://schemas.openxmlformats.org/officeDocument/2006/relationships" ref="I30" r:id="rId3"/>
    <hyperlink xmlns:r="http://schemas.openxmlformats.org/officeDocument/2006/relationships" ref="A33" r:id="rId4"/>
    <hyperlink xmlns:r="http://schemas.openxmlformats.org/officeDocument/2006/relationships" ref="E33" r:id="rId5"/>
    <hyperlink xmlns:r="http://schemas.openxmlformats.org/officeDocument/2006/relationships" ref="I33" r:id="rId6"/>
    <hyperlink xmlns:r="http://schemas.openxmlformats.org/officeDocument/2006/relationships" ref="C59" r:id="rId7"/>
  </hyperlinks>
  <printOptions horizontalCentered="1"/>
  <pageMargins left="0.25" right="0.25" top="0.35" bottom="0.35" header="0.5" footer="0.5"/>
  <pageSetup orientation="portrait" paperSize="9"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008F5A28"/>
    <outlinePr summaryBelow="0" summaryRight="0"/>
    <pageSetUpPr fitToPage="1"/>
  </sheetPr>
  <dimension ref="A1:H71"/>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1" customWidth="1" min="1" max="1"/>
    <col width="46" customWidth="1" min="2" max="2"/>
    <col width="13" customWidth="1" min="3" max="3"/>
    <col width="13" customWidth="1" min="4" max="4"/>
    <col width="13" customWidth="1" min="5" max="5"/>
    <col width="13" customWidth="1" min="6" max="6"/>
    <col width="13" customWidth="1" min="7" max="7"/>
    <col width="13" customWidth="1" min="8" max="8"/>
  </cols>
  <sheetData>
    <row r="1" ht="30" customHeight="1">
      <c r="A1" s="97" t="inlineStr">
        <is>
          <t>START WITH ONE FINDING</t>
        </is>
      </c>
    </row>
    <row r="2" ht="36" customHeight="1">
      <c r="A2" s="10" t="inlineStr">
        <is>
          <t>Approved version 1 · stable mapping reference MV-1 · APPROVED</t>
        </is>
      </c>
    </row>
    <row r="3" ht="48" customHeight="1">
      <c r="A3" s="10" t="inlineStr">
        <is>
          <t>Owner Work Breakdown Structure (WBS): the approved project-work hierarchy. Source assertions, professional decisions and whole-version approval remain separate.</t>
        </is>
      </c>
    </row>
    <row r="4" ht="12" customHeight="1"/>
    <row r="5" ht="24" customHeight="1">
      <c r="A5" s="11" t="inlineStr">
        <is>
          <t>Destination</t>
        </is>
      </c>
      <c r="B5" s="11" t="inlineStr">
        <is>
          <t>Use and counting population</t>
        </is>
      </c>
    </row>
    <row r="6" ht="36" customHeight="1">
      <c r="A6" s="12" t="inlineStr">
        <is>
          <t>03 EXECUTIVE VIEW</t>
        </is>
      </c>
      <c r="B6" s="13" t="inlineStr">
        <is>
          <t>Approved management position and four native charts.</t>
        </is>
      </c>
      <c r="C6" s="14" t="n"/>
      <c r="D6" s="14" t="n"/>
      <c r="E6" s="14" t="n"/>
      <c r="F6" s="14" t="n"/>
      <c r="G6" s="14" t="n"/>
      <c r="H6" s="14" t="n"/>
    </row>
    <row r="7" ht="36" customHeight="1">
      <c r="A7" s="12" t="inlineStr">
        <is>
          <t>04 ISSUES FOR REVIEW</t>
        </is>
      </c>
      <c r="B7" s="13" t="inlineStr">
        <is>
          <t>Exact governed matters and professional Actions; no materiality ranking.</t>
        </is>
      </c>
      <c r="C7" s="14" t="n"/>
      <c r="D7" s="14" t="n"/>
      <c r="E7" s="14" t="n"/>
      <c r="F7" s="14" t="n"/>
      <c r="G7" s="14" t="n"/>
      <c r="H7" s="14" t="n"/>
    </row>
    <row r="8" ht="36" customHeight="1">
      <c r="A8" s="12" t="inlineStr">
        <is>
          <t>09 WBS EXPLORER</t>
        </is>
      </c>
      <c r="B8" s="13" t="inlineStr">
        <is>
          <t>Primary scope navigation: distinct relationship coverage/status.</t>
        </is>
      </c>
      <c r="C8" s="14" t="n"/>
      <c r="D8" s="14" t="n"/>
      <c r="E8" s="14" t="n"/>
      <c r="F8" s="14" t="n"/>
      <c r="G8" s="14" t="n"/>
      <c r="H8" s="14" t="n"/>
    </row>
    <row r="9" ht="36" customHeight="1">
      <c r="A9" s="12" t="inlineStr">
        <is>
          <t>08 CROSSWALK</t>
        </is>
      </c>
      <c r="B9" s="13" t="inlineStr">
        <is>
          <t>Approved source-to-WBS targets; split targets are separate rows.</t>
        </is>
      </c>
      <c r="C9" s="14" t="n"/>
      <c r="D9" s="14" t="n"/>
      <c r="E9" s="14" t="n"/>
      <c r="F9" s="14" t="n"/>
      <c r="G9" s="14" t="n"/>
      <c r="H9" s="14" t="n"/>
    </row>
    <row r="10" ht="36" customHeight="1">
      <c r="A10" s="12" t="inlineStr">
        <is>
          <t>10 EVIDENCE &amp; DECISIONS</t>
        </is>
      </c>
      <c r="B10" s="13" t="inlineStr">
        <is>
          <t>Source assertion, interpretation, contrary evidence and human decision.</t>
        </is>
      </c>
      <c r="C10" s="14" t="n"/>
      <c r="D10" s="14" t="n"/>
      <c r="E10" s="14" t="n"/>
      <c r="F10" s="14" t="n"/>
      <c r="G10" s="14" t="n"/>
      <c r="H10" s="14" t="n"/>
    </row>
    <row r="11" ht="36" customHeight="1">
      <c r="A11" s="12" t="inlineStr">
        <is>
          <t>07 CHANGES &amp; REVALIDATION</t>
        </is>
      </c>
      <c r="B11" s="13" t="inlineStr">
        <is>
          <t>Relationship change classification and separate revalidation.</t>
        </is>
      </c>
      <c r="C11" s="14" t="n"/>
      <c r="D11" s="14" t="n"/>
      <c r="E11" s="14" t="n"/>
      <c r="F11" s="14" t="n"/>
      <c r="G11" s="14" t="n"/>
      <c r="H11" s="14" t="n"/>
    </row>
    <row r="12" ht="36" customHeight="1">
      <c r="A12" s="12" t="inlineStr">
        <is>
          <t>01 PROJECT</t>
        </is>
      </c>
      <c r="B12" s="13" t="inlineStr">
        <is>
          <t>Publication identity, approved version and source-set orientation; then open the index.</t>
        </is>
      </c>
      <c r="C12" s="14" t="n"/>
      <c r="D12" s="14" t="n"/>
      <c r="E12" s="14" t="n"/>
      <c r="F12" s="14" t="n"/>
      <c r="G12" s="14" t="n"/>
      <c r="H12" s="14" t="n"/>
    </row>
    <row r="13" ht="36" customHeight="1">
      <c r="A13" s="12" t="inlineStr">
        <is>
          <t>05 INTEGRATION HEALTH</t>
        </is>
      </c>
      <c r="B13" s="13" t="inlineStr">
        <is>
          <t>Cross-view relationship availability and gated analytical populations.</t>
        </is>
      </c>
      <c r="C13" s="14" t="n"/>
      <c r="D13" s="14" t="n"/>
      <c r="E13" s="14" t="n"/>
      <c r="F13" s="14" t="n"/>
      <c r="G13" s="14" t="n"/>
      <c r="H13" s="14" t="n"/>
    </row>
    <row r="14" ht="36" customHeight="1">
      <c r="A14" s="12" t="inlineStr">
        <is>
          <t>06 INTEGRATED PROJECT</t>
        </is>
      </c>
      <c r="B14" s="13" t="inlineStr">
        <is>
          <t>Supporting cross-view projections by WBS; use 09 for first scope navigation.</t>
        </is>
      </c>
      <c r="C14" s="14" t="n"/>
      <c r="D14" s="14" t="n"/>
      <c r="E14" s="14" t="n"/>
      <c r="F14" s="14" t="n"/>
      <c r="G14" s="14" t="n"/>
      <c r="H14" s="14" t="n"/>
    </row>
    <row r="15" ht="36" customHeight="1">
      <c r="A15" s="10" t="inlineStr">
        <is>
          <t>11 SOURCES &amp; PROVENANCE</t>
        </is>
      </c>
      <c r="B15" s="10" t="inlineStr">
        <is>
          <t>Approval-time source revisions and representation integrity.</t>
        </is>
      </c>
    </row>
    <row r="16" ht="36" customHeight="1">
      <c r="A16" s="10" t="inlineStr">
        <is>
          <t>12 ASSURANCE</t>
        </is>
      </c>
      <c r="B16" s="10" t="inlineStr">
        <is>
          <t>Withholding, metric ledger, evidence boundary and reconciliation.</t>
        </is>
      </c>
    </row>
    <row r="17" ht="36" customHeight="1">
      <c r="A17" s="10" t="inlineStr">
        <is>
          <t>MASTER DATA</t>
        </is>
      </c>
      <c r="B17" s="10" t="inlineStr">
        <is>
          <t>Record-level source for supporting calculations; one row per relationship target.</t>
        </is>
      </c>
    </row>
    <row r="18" ht="36" customHeight="1">
      <c r="A18" s="15" t="inlineStr">
        <is>
          <t>OWNER WBS</t>
        </is>
      </c>
      <c r="B18" s="10" t="inlineStr">
        <is>
          <t>Original approved Owner WBS hierarchy and supporting counts.</t>
        </is>
      </c>
    </row>
    <row r="19" ht="36" customHeight="1">
      <c r="A19" s="10" t="inlineStr">
        <is>
          <t>RELATIONSHIP EXPLORER</t>
        </is>
      </c>
      <c r="B19" s="10" t="inlineStr">
        <is>
          <t>Supporting static scope projection; 09 is the primary scope view.</t>
        </is>
      </c>
    </row>
    <row r="20" ht="36" customHeight="1">
      <c r="A20" s="10" t="inlineStr">
        <is>
          <t>UNRESOLVED</t>
        </is>
      </c>
      <c r="B20" s="10" t="inlineStr">
        <is>
          <t>Supporting outcome records; uncertainty is not assessed outside scope.</t>
        </is>
      </c>
    </row>
    <row r="21" ht="36" customHeight="1">
      <c r="A21" s="10" t="inlineStr">
        <is>
          <t>HISTORY</t>
        </is>
      </c>
      <c r="B21" s="10" t="inlineStr">
        <is>
          <t>Compatibility approved-version history; 13 provides revision lineage.</t>
        </is>
      </c>
    </row>
    <row r="22" ht="36" customHeight="1">
      <c r="A22" s="10" t="inlineStr">
        <is>
          <t>SUMMARY</t>
        </is>
      </c>
      <c r="B22" s="10" t="inlineStr">
        <is>
          <t>Supporting reconciliation formulas; 03 is the only executive position.</t>
        </is>
      </c>
    </row>
    <row r="23" ht="36" customHeight="1">
      <c r="A23" s="12" t="inlineStr">
        <is>
          <t>13 REVISIONS &amp; PERIODS</t>
        </is>
      </c>
      <c r="B23" s="13" t="inlineStr">
        <is>
          <t>Advanced revision lineage and reporting-period state of record.</t>
        </is>
      </c>
      <c r="C23" s="14" t="n"/>
      <c r="D23" s="14" t="n"/>
      <c r="E23" s="14" t="n"/>
      <c r="F23" s="14" t="n"/>
      <c r="G23" s="14" t="n"/>
      <c r="H23" s="14" t="n"/>
    </row>
    <row r="24" ht="36" customHeight="1">
      <c r="A24" s="12" t="inlineStr">
        <is>
          <t>14 WBS HIERARCHY</t>
        </is>
      </c>
      <c r="B24" s="13" t="inlineStr">
        <is>
          <t>Advanced approved scope tree and relationship ROW rollups; split/retired included unless filtered.</t>
        </is>
      </c>
      <c r="C24" s="14" t="n"/>
      <c r="D24" s="14" t="n"/>
      <c r="E24" s="14" t="n"/>
      <c r="F24" s="14" t="n"/>
      <c r="G24" s="14" t="n"/>
      <c r="H24" s="14" t="n"/>
    </row>
    <row r="25" ht="36" customHeight="1">
      <c r="A25" s="12" t="inlineStr">
        <is>
          <t>15 ANALYSIS</t>
        </is>
      </c>
      <c r="B25" s="13" t="inlineStr">
        <is>
          <t>Advanced filter/formula analysis; not the executive first-use summary.</t>
        </is>
      </c>
      <c r="C25" s="14" t="n"/>
      <c r="D25" s="14" t="n"/>
      <c r="E25" s="14" t="n"/>
      <c r="F25" s="14" t="n"/>
      <c r="G25" s="14" t="n"/>
      <c r="H25" s="14" t="n"/>
    </row>
    <row r="26" ht="20" customHeight="1"/>
    <row r="27" ht="20" customHeight="1"/>
    <row r="28" ht="20" customHeight="1">
      <c r="A28" s="16" t="inlineStr">
        <is>
          <t>Why relationship and row counts differ</t>
        </is>
      </c>
      <c r="B28" s="14" t="n"/>
      <c r="C28" s="14" t="n"/>
      <c r="D28" s="14" t="n"/>
      <c r="E28" s="14" t="n"/>
      <c r="F28" s="14" t="n"/>
      <c r="G28" s="14" t="n"/>
      <c r="H28" s="14" t="n"/>
    </row>
    <row r="29" ht="20" customHeight="1">
      <c r="A29" s="13" t="inlineStr">
        <is>
          <t>Distinct current relationships: 1,622. Current target rows: 1,623. Historical-inclusive relationship versions: 1,622. All target rows: 1,623. 09 WBS EXPLORER counts distinct relationships; 14 WBS HIERARCHY counts relationship ROWS, including split targets and retired rows unless filtered.</t>
        </is>
      </c>
    </row>
    <row r="30" ht="20" customHeight="1"/>
    <row r="31" ht="20" customHeight="1">
      <c r="A31" s="14" t="n"/>
      <c r="B31" s="14" t="n"/>
      <c r="C31" s="14" t="n"/>
      <c r="D31" s="14" t="n"/>
      <c r="E31" s="14" t="n"/>
      <c r="F31" s="14" t="n"/>
      <c r="G31" s="14" t="n"/>
      <c r="H31" s="14" t="n"/>
    </row>
    <row r="32" ht="20" customHeight="1">
      <c r="A32" s="17" t="inlineStr">
        <is>
          <t>NEW PRACTITIONER</t>
        </is>
      </c>
      <c r="B32" s="13" t="inlineStr">
        <is>
          <t>Read the single executive position, then follow your actual WBS scope to its evidence and any explicit withholding. Use the destinations above; no example-specific outcome is prescribed.</t>
        </is>
      </c>
    </row>
    <row r="33" ht="20" customHeight="1">
      <c r="B33" s="14" t="n"/>
      <c r="C33" s="14" t="n"/>
      <c r="D33" s="14" t="n"/>
      <c r="E33" s="14" t="n"/>
      <c r="F33" s="14" t="n"/>
      <c r="G33" s="14" t="n"/>
      <c r="H33" s="14" t="n"/>
    </row>
    <row r="34" ht="20" customHeight="1">
      <c r="A34" s="18" t="n"/>
      <c r="B34" s="18" t="n"/>
    </row>
    <row r="35" ht="20" customHeight="1">
      <c r="A35" s="18" t="n"/>
      <c r="B35" s="18" t="inlineStr">
        <is>
          <t>Population definitions are in A29. Distinct relationships and relationship ROWS are different populations.</t>
        </is>
      </c>
    </row>
    <row r="36"/>
    <row r="37" ht="34" customHeight="1">
      <c r="A37" s="18" t="n"/>
    </row>
    <row r="38" ht="34" customHeight="1">
      <c r="A38" s="17" t="n"/>
      <c r="B38" s="12" t="n"/>
    </row>
    <row r="39" ht="34" customHeight="1">
      <c r="A39" s="17" t="n"/>
      <c r="B39" s="12" t="n"/>
    </row>
    <row r="40" ht="34" customHeight="1">
      <c r="A40" s="17" t="n"/>
      <c r="B40" s="12" t="n"/>
    </row>
    <row r="41" ht="34" customHeight="1">
      <c r="A41" s="17" t="n"/>
      <c r="B41" s="12" t="n"/>
    </row>
    <row r="42" ht="34" customHeight="1">
      <c r="A42" s="17" t="n"/>
      <c r="B42" s="12" t="n"/>
    </row>
    <row r="43" ht="34" customHeight="1">
      <c r="A43" s="17" t="n"/>
      <c r="B43" s="12" t="n"/>
    </row>
    <row r="44" ht="34" customHeight="1">
      <c r="A44" s="17" t="n"/>
      <c r="B44" s="12" t="n"/>
    </row>
    <row r="45" ht="34" customHeight="1">
      <c r="A45" s="17" t="n"/>
      <c r="B45" s="12" t="n"/>
    </row>
    <row r="46"/>
    <row r="47"/>
    <row r="48"/>
    <row r="49"/>
    <row r="50" ht="30" customHeight="1">
      <c r="A50" s="11" t="n"/>
      <c r="B50" s="11" t="n"/>
    </row>
    <row r="51" ht="49" customHeight="1">
      <c r="A51" s="17" t="n"/>
      <c r="B51" s="12" t="n"/>
    </row>
    <row r="52" ht="34" customHeight="1">
      <c r="A52" s="17" t="n"/>
      <c r="B52" s="12" t="n"/>
    </row>
    <row r="53" ht="34" customHeight="1">
      <c r="A53" s="17" t="n"/>
      <c r="B53" s="12" t="n"/>
    </row>
    <row r="54" ht="34" customHeight="1">
      <c r="A54" s="17" t="n"/>
      <c r="B54" s="12" t="n"/>
    </row>
    <row r="55" ht="34" customHeight="1">
      <c r="A55" s="17" t="n"/>
      <c r="B55" s="12" t="n"/>
    </row>
    <row r="56" ht="34" customHeight="1">
      <c r="A56" s="17" t="n"/>
      <c r="B56" s="12" t="n"/>
    </row>
    <row r="57" ht="34" customHeight="1">
      <c r="A57" s="17" t="n"/>
      <c r="B57" s="12" t="n"/>
    </row>
    <row r="58" ht="34" customHeight="1">
      <c r="A58" s="17" t="n"/>
      <c r="B58" s="12" t="n"/>
    </row>
    <row r="59" ht="34" customHeight="1">
      <c r="A59" s="17" t="n"/>
      <c r="B59" s="12" t="n"/>
    </row>
    <row r="60" ht="34" customHeight="1">
      <c r="A60" s="17" t="n"/>
      <c r="B60" s="12" t="n"/>
    </row>
    <row r="61" ht="34" customHeight="1">
      <c r="A61" s="17" t="n"/>
      <c r="B61" s="12" t="n"/>
    </row>
    <row r="62" ht="34" customHeight="1">
      <c r="A62" s="17" t="n"/>
      <c r="B62" s="12" t="n"/>
    </row>
    <row r="63" ht="34" customHeight="1">
      <c r="A63" s="17" t="n"/>
      <c r="B63" s="12" t="n"/>
    </row>
    <row r="64" ht="49" customHeight="1">
      <c r="A64" s="17" t="n"/>
      <c r="B64" s="12" t="n"/>
    </row>
    <row r="65" ht="34" customHeight="1">
      <c r="A65" s="17" t="n"/>
      <c r="B65" s="12" t="n"/>
    </row>
    <row r="66" ht="34" customHeight="1">
      <c r="A66" s="17" t="n"/>
      <c r="B66" s="12" t="n"/>
    </row>
    <row r="67" ht="34" customHeight="1">
      <c r="A67" s="17" t="n"/>
      <c r="B67" s="12" t="n"/>
    </row>
    <row r="68" ht="34" customHeight="1">
      <c r="A68" s="17" t="n"/>
      <c r="B68" s="12" t="n"/>
    </row>
    <row r="69" ht="34" customHeight="1">
      <c r="A69" s="17" t="n"/>
      <c r="B69" s="12" t="n"/>
    </row>
    <row r="70" ht="34" customHeight="1">
      <c r="A70" s="17" t="n"/>
      <c r="B70" s="12" t="n"/>
    </row>
    <row r="71" ht="34" customHeight="1">
      <c r="A71" s="17" t="n"/>
      <c r="B71" s="12" t="n"/>
    </row>
  </sheetData>
  <mergeCells count="27">
    <mergeCell ref="B9:H9"/>
    <mergeCell ref="B6:H6"/>
    <mergeCell ref="B24:H24"/>
    <mergeCell ref="B15:H15"/>
    <mergeCell ref="A1:H1"/>
    <mergeCell ref="B5:H5"/>
    <mergeCell ref="B20:H20"/>
    <mergeCell ref="B16:H16"/>
    <mergeCell ref="B7:H7"/>
    <mergeCell ref="B25:H25"/>
    <mergeCell ref="B22:H22"/>
    <mergeCell ref="A3:H3"/>
    <mergeCell ref="B18:H18"/>
    <mergeCell ref="B21:H21"/>
    <mergeCell ref="A2:H2"/>
    <mergeCell ref="B12:H12"/>
    <mergeCell ref="B11:H11"/>
    <mergeCell ref="B23:H23"/>
    <mergeCell ref="B8:H8"/>
    <mergeCell ref="B14:H14"/>
    <mergeCell ref="B17:H17"/>
    <mergeCell ref="B32:H33"/>
    <mergeCell ref="B13:H13"/>
    <mergeCell ref="A29:H31"/>
    <mergeCell ref="A28:H28"/>
    <mergeCell ref="B10:H10"/>
    <mergeCell ref="B19:H19"/>
  </mergeCells>
  <hyperlinks>
    <hyperlink xmlns:r="http://schemas.openxmlformats.org/officeDocument/2006/relationships" ref="A1"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rowBreaks count="1" manualBreakCount="1">
    <brk id="14" min="0" max="16383" man="1"/>
  </rowBreaks>
  <legacyDrawing xmlns:r="http://schemas.openxmlformats.org/officeDocument/2006/relationships" r:id="anysvml"/>
</worksheet>
</file>

<file path=xl/worksheets/sheet3.xml><?xml version="1.0" encoding="utf-8"?>
<worksheet xmlns="http://schemas.openxmlformats.org/spreadsheetml/2006/main">
  <sheetPr>
    <tabColor rgb="00121A2E"/>
    <outlinePr summaryBelow="0" summaryRight="0"/>
    <pageSetUpPr fitToPage="1"/>
  </sheetPr>
  <dimension ref="A1:O233"/>
  <sheetViews>
    <sheetView showGridLines="0" tabSelected="1" topLeftCell="A5" zoomScale="85" zoomScaleNormal="100" workbookViewId="0">
      <pane ySplit="4" topLeftCell="A5" activePane="bottomLeft" state="frozen"/>
      <selection pane="bottomLeft" activeCell="K198" sqref="K198"/>
    </sheetView>
  </sheetViews>
  <sheetFormatPr baseColWidth="8" defaultRowHeight="15"/>
  <cols>
    <col width="22" customWidth="1" min="1" max="1"/>
    <col width="16" customWidth="1" min="2" max="2"/>
    <col width="22" customWidth="1" min="3" max="3"/>
    <col width="3" customWidth="1" min="4" max="4"/>
    <col width="22" customWidth="1" min="5" max="5"/>
    <col width="3" customWidth="1" min="6" max="6"/>
    <col width="22" customWidth="1" min="7" max="7"/>
    <col width="3" customWidth="1" min="8" max="8"/>
    <col width="13" customWidth="1" min="9" max="9"/>
    <col width="13" customWidth="1" min="10" max="10"/>
    <col width="12" customWidth="1" min="11" max="11"/>
    <col width="31" customWidth="1" min="12" max="12"/>
    <col width="17" customWidth="1" min="13" max="13"/>
    <col width="17" customWidth="1" min="14" max="14"/>
    <col width="17" customWidth="1" min="15" max="15"/>
    <col width="13" customWidth="1" min="16" max="16"/>
    <col width="13" customWidth="1" min="17" max="17"/>
  </cols>
  <sheetData>
    <row r="1" ht="33.2" customHeight="1">
      <c r="A1" s="97" t="inlineStr">
        <is>
          <t>EXECUTIVE VIEW</t>
        </is>
      </c>
    </row>
    <row r="2" ht="36" customHeight="1">
      <c r="A2" s="10" t="inlineStr">
        <is>
          <t>Project: HarbourLink Urban Transit Expansion · Owner Work Breakdown Structure (WBS): the approved hierarchy of project work.</t>
        </is>
      </c>
    </row>
    <row r="3" ht="19" customHeight="1">
      <c r="A3" s="20" t="inlineStr">
        <is>
          <t>Executive</t>
        </is>
      </c>
      <c r="C3" s="20" t="inlineStr">
        <is>
          <t>Issues</t>
        </is>
      </c>
      <c r="E3" s="20" t="inlineStr">
        <is>
          <t>Integration</t>
        </is>
      </c>
      <c r="G3" s="20" t="inlineStr">
        <is>
          <t>Project</t>
        </is>
      </c>
    </row>
    <row r="4" ht="19" customHeight="1">
      <c r="A4" s="20" t="inlineStr">
        <is>
          <t>Changes</t>
        </is>
      </c>
      <c r="C4" s="20" t="inlineStr">
        <is>
          <t>Crosswalk</t>
        </is>
      </c>
      <c r="E4" s="20" t="inlineStr">
        <is>
          <t>Evidence</t>
        </is>
      </c>
      <c r="G4" s="20" t="inlineStr">
        <is>
          <t>Sources</t>
        </is>
      </c>
    </row>
    <row r="5" hidden="1" outlineLevel="1" ht="32" customHeight="1">
      <c r="A5" s="21" t="inlineStr">
        <is>
          <t>APPROVED PROJECT POSITION</t>
        </is>
      </c>
    </row>
    <row r="6" hidden="1" outlineLevel="1" ht="32" customHeight="1">
      <c r="A6" s="22" t="inlineStr">
        <is>
          <t>Approved version 1 · stable mapping reference MV-1 · APPROVED · Maya Chen, Owner Project Controls</t>
        </is>
      </c>
    </row>
    <row r="7" hidden="1" outlineLevel="1" ht="34" customHeight="1">
      <c r="A7" s="3" t="inlineStr">
        <is>
          <t>4 of 6 Owner-WBS work areas have both schedule and cost relationships.</t>
        </is>
      </c>
    </row>
    <row r="8" hidden="1" outlineLevel="1" ht="28" customHeight="1">
      <c r="A8" s="5" t="inlineStr">
        <is>
          <t>Coverage describes relationships, not project progress, health or zero cost.</t>
        </is>
      </c>
    </row>
    <row r="9" hidden="1" outlineLevel="1" ht="32" customHeight="1">
      <c r="A9" s="23" t="inlineStr">
        <is>
          <t>Testing and Commissioning: schedule present · cost relationships ABSENT</t>
        </is>
      </c>
    </row>
    <row r="10" hidden="1" outlineLevel="1" ht="32" customHeight="1">
      <c r="A10" s="23" t="inlineStr">
        <is>
          <t>Program Management: cost present · schedule relationships ABSENT</t>
        </is>
      </c>
    </row>
    <row r="11" hidden="1" outlineLevel="1" ht="28" customHeight="1">
      <c r="A11" s="5" t="inlineStr">
        <is>
          <t>1,622 current relationships · 0 retired versions · 1,622 historical-inclusive relationship versions.</t>
        </is>
      </c>
    </row>
    <row r="12" hidden="1" outlineLevel="1" ht="28" customHeight="1">
      <c r="A12" s="5" t="inlineStr">
        <is>
          <t>1,623 current target rows · 1,623 all target rows. A split relationship has one row per target.</t>
        </is>
      </c>
    </row>
    <row r="13" hidden="1" outlineLevel="1" ht="28" customHeight="1">
      <c r="A13" s="23" t="inlineStr">
        <is>
          <t>Unresolved: 263 · Outside current WBS: 1 · No applicable WBS: 1.</t>
        </is>
      </c>
    </row>
    <row r="14" hidden="1" outlineLevel="1" ht="38" customHeight="1">
      <c r="A14" s="5" t="inlineStr">
        <is>
          <t>Exact recorded Action: Confirm whether the missing governed relationship is expected or requires project-controls attention.</t>
        </is>
      </c>
    </row>
    <row r="15" hidden="1" outlineLevel="1" ht="38" customHeight="1">
      <c r="A15" s="5" t="inlineStr">
        <is>
          <t>Exact recorded Action: Review the governed NEW_SCOPE outcomes in the project-controls context.</t>
        </is>
      </c>
    </row>
    <row r="16" hidden="1" outlineLevel="1" ht="38" customHeight="1">
      <c r="A16" s="5" t="inlineStr">
        <is>
          <t>Exact recorded Action: Use only conclusions that do not depend on these unresolved relationships.</t>
        </is>
      </c>
    </row>
    <row r="17" hidden="1" outlineLevel="1" ht="32" customHeight="1">
      <c r="A17" s="5" t="inlineStr">
        <is>
          <t>Combined cost / forecast amounts remain withheld unless the approved information establishes their aggregation basis.</t>
        </is>
      </c>
    </row>
    <row r="18" hidden="1" outlineLevel="1" ht="34" customHeight="1">
      <c r="A18" s="24" t="inlineStr">
        <is>
          <t>Follow one finding: 04 ISSUES FOR REVIEW → 08 CROSSWALK → 10 EVIDENCE &amp; DECISIONS. Approval is separate from individual decisions.</t>
        </is>
      </c>
    </row>
    <row r="19" hidden="1" outlineLevel="1" ht="25" customHeight="1">
      <c r="A19" s="5" t="inlineStr">
        <is>
          <t>4 figures below support this position; detailed source tables follow the figures.</t>
        </is>
      </c>
    </row>
    <row r="20" ht="18" customHeight="1"/>
    <row r="21" ht="18" customHeight="1">
      <c r="A21" s="25" t="inlineStr">
        <is>
          <t>1 · Schedule and cost relationships by WBS branch</t>
        </is>
      </c>
      <c r="E21" s="25" t="inlineStr">
        <is>
          <t>2 · Relationship outcomes by source</t>
        </is>
      </c>
    </row>
    <row r="22" ht="18" customHeight="1"/>
    <row r="23" ht="22" customHeight="1">
      <c r="A23" s="10" t="inlineStr">
        <is>
          <t>4 of 6 WBS branches carry both schedule and cost relationships; 2 branches are covered by only one of them.</t>
        </is>
      </c>
      <c r="E23" s="10" t="inlineStr">
        <is>
          <t>1,357 of 1,622 current relationships relate a source record to a WBS element, across 3 source documents. 265 are recorded outside the WBS or left unresolved.</t>
        </is>
      </c>
    </row>
    <row r="24" ht="22" customHeight="1"/>
    <row r="25" ht="22" customHeight="1"/>
    <row r="26" ht="22" customHeight="1">
      <c r="A26" s="10" t="inlineStr">
        <is>
          <t>Out of 6 reported WBS branches. Coverage is observed through the WBS; it is not a direct schedule-to-cost link. Detail: 05 INTEGRATION HEALTH.</t>
        </is>
      </c>
      <c r="E26" s="10" t="inlineStr">
        <is>
          <t>Out of 1,622 current relationships (retired relationships excluded); one relationship counted once even when split across several WBS elements. Detail: 08 CROSSWALK.</t>
        </is>
      </c>
    </row>
    <row r="27" ht="22" customHeight="1"/>
    <row r="28" ht="22"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c r="A51" s="25" t="inlineStr">
        <is>
          <t>3 · No previous approved version to compare</t>
        </is>
      </c>
      <c r="E51" s="25" t="inlineStr">
        <is>
          <t>4 · Outcomes left unresolved or outside the WBS</t>
        </is>
      </c>
    </row>
    <row r="52" ht="18" customHeight="1"/>
    <row r="53" ht="27" customHeight="1">
      <c r="A53" s="10" t="inlineStr">
        <is>
          <t>No previous approved version is recorded, so all 1,622 relationships are new in this reporting baseline. The next cycle will show what carried forward and what changed.</t>
        </is>
      </c>
      <c r="E53" s="10" t="inlineStr">
        <is>
          <t>265 of 1,622 current relationships are left unresolved or recorded outside the approved WBS. Rely only on conclusions that do not depend on them; sheet 04 groups them into the issues for review.</t>
        </is>
      </c>
    </row>
    <row r="54" ht="27" customHeight="1"/>
    <row r="55" ht="27" customHeight="1"/>
    <row r="56" ht="22" customHeight="1">
      <c r="A56" s="10" t="inlineStr">
        <is>
          <t>Out of 1,622 relationships in this baseline, by change label. Detail: 07 CHANGES &amp; REVALIDATION.</t>
        </is>
      </c>
      <c r="E56" s="10" t="inlineStr">
        <is>
          <t>Out of 1,622 current relationships (retired excluded). These are recorded, governed outcomes, not errors. Detail: sheet 04 (issues for review) and 08 CROSSWALK.</t>
        </is>
      </c>
    </row>
    <row r="57" ht="22" customHeight="1"/>
    <row r="58" ht="22"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22" customHeight="1">
      <c r="A83" s="26" t="inlineStr">
        <is>
          <t>CHART SOURCE TABLES AND POPULATION DEFINITIONS</t>
        </is>
      </c>
    </row>
    <row r="84" ht="64" customHeight="1">
      <c r="A84" s="27" t="inlineStr">
        <is>
          <t>Each chart draws on the approved relationship records. It states what it counts, the population covered and the source table beneath it.</t>
        </is>
      </c>
    </row>
    <row r="85"/>
    <row r="86" ht="37" customHeight="1">
      <c r="A86" s="28" t="inlineStr">
        <is>
          <t>1 · Schedule and cost relationships by WBS branch</t>
        </is>
      </c>
    </row>
    <row r="87" ht="49" customHeight="1">
      <c r="A87" s="10" t="inlineStr">
        <is>
          <t>4 of 6 WBS branches carry both schedule and cost relationships; 2 branches are covered by only one of them.</t>
        </is>
      </c>
    </row>
    <row r="88" ht="64" customHeight="1">
      <c r="A88" s="27" t="inlineStr">
        <is>
          <t>Out of 6 reported WBS branches. Coverage is observed through the WBS; it is not a direct schedule-to-cost link. Detail: 05 INTEGRATION HEALTH.</t>
        </is>
      </c>
    </row>
    <row r="89"/>
    <row r="90"/>
    <row r="91"/>
    <row r="92"/>
    <row r="93"/>
    <row r="94"/>
    <row r="95"/>
    <row r="96"/>
    <row r="97"/>
    <row r="98"/>
    <row r="99"/>
    <row r="100"/>
    <row r="101"/>
    <row r="102"/>
    <row r="103"/>
    <row r="104" ht="19" customHeight="1">
      <c r="A104" s="11" t="inlineStr">
        <is>
          <t>WBS branches</t>
        </is>
      </c>
      <c r="C104" s="11" t="inlineStr">
        <is>
          <t>Count</t>
        </is>
      </c>
    </row>
    <row r="105" ht="19" customHeight="1">
      <c r="A105" s="12" t="inlineStr">
        <is>
          <t>Schedule and cost</t>
        </is>
      </c>
      <c r="C105" s="29" t="n">
        <v>4</v>
      </c>
    </row>
    <row r="106" ht="19" customHeight="1">
      <c r="A106" s="12" t="inlineStr">
        <is>
          <t>Schedule only</t>
        </is>
      </c>
      <c r="C106" s="29" t="n">
        <v>1</v>
      </c>
    </row>
    <row r="107" ht="19" customHeight="1">
      <c r="A107" s="12" t="inlineStr">
        <is>
          <t>Cost only</t>
        </is>
      </c>
      <c r="C107" s="29" t="n">
        <v>1</v>
      </c>
    </row>
    <row r="108" ht="34" customHeight="1">
      <c r="A108" s="12" t="inlineStr">
        <is>
          <t>Neither schedule nor cost</t>
        </is>
      </c>
      <c r="C108" s="29" t="n">
        <v>0</v>
      </c>
    </row>
    <row r="109" ht="34" customHeight="1">
      <c r="A109" s="30" t="inlineStr">
        <is>
          <t>Total WBS branches</t>
        </is>
      </c>
      <c r="C109" s="31" t="n">
        <v>6</v>
      </c>
    </row>
    <row r="110"/>
    <row r="111" ht="21" customHeight="1">
      <c r="A111" s="28" t="inlineStr">
        <is>
          <t>2 · Relationship outcomes by source</t>
        </is>
      </c>
    </row>
    <row r="112" ht="64" customHeight="1">
      <c r="A112" s="10" t="inlineStr">
        <is>
          <t>1,357 of 1,622 current relationships relate a source record to a WBS element, across 3 source documents. 265 are recorded outside the WBS or left unresolved.</t>
        </is>
      </c>
    </row>
    <row r="113" ht="64" customHeight="1">
      <c r="A113" s="27" t="inlineStr">
        <is>
          <t>Out of 1,622 current relationships (retired relationships excluded); one relationship counted once even when split across several WBS elements. Detail: 08 CROSSWALK.</t>
        </is>
      </c>
    </row>
    <row r="114"/>
    <row r="115"/>
    <row r="116"/>
    <row r="117"/>
    <row r="118"/>
    <row r="119"/>
    <row r="120"/>
    <row r="121"/>
    <row r="122"/>
    <row r="123"/>
    <row r="124"/>
    <row r="125"/>
    <row r="126"/>
    <row r="127"/>
    <row r="128"/>
    <row r="129" ht="34" customHeight="1">
      <c r="A129" s="11" t="inlineStr">
        <is>
          <t>Source document</t>
        </is>
      </c>
      <c r="C129" s="11" t="inlineStr">
        <is>
          <t>Related to a WBS element</t>
        </is>
      </c>
      <c r="E129" s="11" t="inlineStr">
        <is>
          <t>Recorded outside the WBS</t>
        </is>
      </c>
      <c r="G129" s="11" t="inlineStr">
        <is>
          <t>Left unresolved</t>
        </is>
      </c>
      <c r="I129" s="11" t="inlineStr">
        <is>
          <t>Total</t>
        </is>
      </c>
    </row>
    <row r="130" ht="34" customHeight="1">
      <c r="A130" s="12" t="inlineStr">
        <is>
          <t>Commercial Package Register</t>
        </is>
      </c>
      <c r="C130" s="29" t="n">
        <v>60</v>
      </c>
      <c r="E130" s="29" t="n">
        <v>0</v>
      </c>
      <c r="G130" s="29" t="n">
        <v>0</v>
      </c>
      <c r="I130" s="29" t="n">
        <v>60</v>
      </c>
    </row>
    <row r="131" ht="34" customHeight="1">
      <c r="A131" s="12" t="inlineStr">
        <is>
          <t>Contractor Programme</t>
        </is>
      </c>
      <c r="C131" s="29" t="n">
        <v>898</v>
      </c>
      <c r="E131" s="29" t="n">
        <v>2</v>
      </c>
      <c r="G131" s="29" t="n">
        <v>182</v>
      </c>
      <c r="I131" s="29" t="n">
        <v>1082</v>
      </c>
    </row>
    <row r="132" ht="34" customHeight="1">
      <c r="A132" s="12" t="inlineStr">
        <is>
          <t>Cost &amp; Forecast Control Accounts</t>
        </is>
      </c>
      <c r="C132" s="29" t="n">
        <v>399</v>
      </c>
      <c r="E132" s="29" t="n">
        <v>0</v>
      </c>
      <c r="G132" s="29" t="n">
        <v>81</v>
      </c>
      <c r="I132" s="29" t="n">
        <v>480</v>
      </c>
    </row>
    <row r="133" ht="19" customHeight="1">
      <c r="A133" s="30" t="inlineStr">
        <is>
          <t>All sources</t>
        </is>
      </c>
      <c r="C133" s="31" t="n">
        <v>1357</v>
      </c>
      <c r="E133" s="31" t="n">
        <v>2</v>
      </c>
      <c r="G133" s="31" t="n">
        <v>263</v>
      </c>
      <c r="I133" s="31" t="n">
        <v>1622</v>
      </c>
    </row>
    <row r="134"/>
    <row r="135" ht="37" customHeight="1">
      <c r="A135" s="28" t="inlineStr">
        <is>
          <t>3 · No previous approved version to compare</t>
        </is>
      </c>
    </row>
    <row r="136" ht="64" customHeight="1">
      <c r="A136" s="10" t="inlineStr">
        <is>
          <t>No previous approved version is recorded, so all 1,622 relationships are new in this reporting baseline. The next cycle will show what carried forward and what changed.</t>
        </is>
      </c>
    </row>
    <row r="137" ht="49" customHeight="1">
      <c r="A137" s="27" t="inlineStr">
        <is>
          <t>Out of 1,622 relationships in this baseline, by change label. Detail: 07 CHANGES &amp; REVALIDATION.</t>
        </is>
      </c>
    </row>
    <row r="138"/>
    <row r="139"/>
    <row r="140"/>
    <row r="141"/>
    <row r="142"/>
    <row r="143"/>
    <row r="144"/>
    <row r="145"/>
    <row r="146"/>
    <row r="147"/>
    <row r="148"/>
    <row r="149"/>
    <row r="150"/>
    <row r="151"/>
    <row r="152"/>
    <row r="153" ht="19" customHeight="1">
      <c r="A153" s="11" t="inlineStr">
        <is>
          <t>Change label</t>
        </is>
      </c>
      <c r="C153" s="11" t="inlineStr">
        <is>
          <t>Count</t>
        </is>
      </c>
    </row>
    <row r="154" ht="19" customHeight="1">
      <c r="A154" s="12" t="inlineStr">
        <is>
          <t>Carried forward</t>
        </is>
      </c>
      <c r="C154" s="29" t="n">
        <v>0</v>
      </c>
    </row>
    <row r="155" ht="34" customHeight="1">
      <c r="A155" s="12" t="inlineStr">
        <is>
          <t>Re-keyed, revalidated</t>
        </is>
      </c>
      <c r="C155" s="29" t="n">
        <v>0</v>
      </c>
    </row>
    <row r="156" ht="19" customHeight="1">
      <c r="A156" s="12" t="inlineStr">
        <is>
          <t>Changed, re-decided</t>
        </is>
      </c>
      <c r="C156" s="29" t="n">
        <v>0</v>
      </c>
    </row>
    <row r="157" ht="19" customHeight="1">
      <c r="A157" s="12" t="inlineStr">
        <is>
          <t>New</t>
        </is>
      </c>
      <c r="C157" s="29" t="n">
        <v>1622</v>
      </c>
    </row>
    <row r="158" ht="19" customHeight="1">
      <c r="A158" s="12" t="inlineStr">
        <is>
          <t>Retired</t>
        </is>
      </c>
      <c r="C158" s="29" t="n">
        <v>0</v>
      </c>
    </row>
    <row r="159" ht="34" customHeight="1">
      <c r="A159" s="30" t="inlineStr">
        <is>
          <t>Total relationships</t>
        </is>
      </c>
      <c r="C159" s="31" t="n">
        <v>1622</v>
      </c>
    </row>
    <row r="160"/>
    <row r="161" ht="37" customHeight="1">
      <c r="A161" s="28" t="inlineStr">
        <is>
          <t>4 · Outcomes left unresolved or outside the WBS</t>
        </is>
      </c>
    </row>
    <row r="162" ht="79" customHeight="1">
      <c r="A162" s="10" t="inlineStr">
        <is>
          <t>265 of 1,622 current relationships are left unresolved or recorded outside the approved WBS. Rely only on conclusions that do not depend on them; sheet 04 groups them into the issues for review.</t>
        </is>
      </c>
    </row>
    <row r="163" ht="64" customHeight="1">
      <c r="A163" s="27" t="inlineStr">
        <is>
          <t>Out of 1,622 current relationships (retired excluded). These are recorded, governed outcomes, not errors. Detail: sheet 04 (issues for review) and 08 CROSSWALK.</t>
        </is>
      </c>
    </row>
    <row r="164"/>
    <row r="165"/>
    <row r="166"/>
    <row r="167"/>
    <row r="168"/>
    <row r="169"/>
    <row r="170"/>
    <row r="171"/>
    <row r="172"/>
    <row r="173"/>
    <row r="174"/>
    <row r="175"/>
    <row r="176"/>
    <row r="177"/>
    <row r="178"/>
    <row r="179" ht="19" customHeight="1">
      <c r="A179" s="11" t="inlineStr">
        <is>
          <t>Outcome</t>
        </is>
      </c>
      <c r="C179" s="11" t="inlineStr">
        <is>
          <t>Count</t>
        </is>
      </c>
    </row>
    <row r="180" ht="34" customHeight="1">
      <c r="A180" s="12" t="inlineStr">
        <is>
          <t>Unresolved (UNSURE)</t>
        </is>
      </c>
      <c r="C180" s="29" t="n">
        <v>263</v>
      </c>
    </row>
    <row r="181" ht="49" customHeight="1">
      <c r="A181" s="12" t="inlineStr">
        <is>
          <t>Scope not in the approved WBS (NEW_SCOPE)</t>
        </is>
      </c>
      <c r="C181" s="29" t="n">
        <v>1</v>
      </c>
    </row>
    <row r="182" ht="34" customHeight="1">
      <c r="A182" s="12" t="inlineStr">
        <is>
          <t>No WBS element applies (NO_WBS)</t>
        </is>
      </c>
      <c r="C182" s="29" t="n">
        <v>1</v>
      </c>
    </row>
    <row r="183" ht="34" customHeight="1">
      <c r="A183" s="30" t="inlineStr">
        <is>
          <t>Unresolved or outside the WBS</t>
        </is>
      </c>
      <c r="C183" s="31" t="n">
        <v>265</v>
      </c>
    </row>
    <row r="184"/>
    <row r="185"/>
    <row r="186"/>
    <row r="187" ht="56" customHeight="1">
      <c r="A187" s="11" t="inlineStr">
        <is>
          <t>E01 · Owner-WBS branch</t>
        </is>
      </c>
      <c r="B187" s="11" t="inlineStr">
        <is>
          <t>Schedule relationships</t>
        </is>
      </c>
      <c r="C187" s="11" t="inlineStr">
        <is>
          <t>Cost relationships</t>
        </is>
      </c>
      <c r="D187" s="11" t="inlineStr">
        <is>
          <t>Coverage state</t>
        </is>
      </c>
    </row>
    <row r="188" ht="34" customHeight="1">
      <c r="A188" s="12" t="inlineStr">
        <is>
          <t>1.1 Guideway and Civil</t>
        </is>
      </c>
      <c r="B188" s="29" t="n">
        <v>180</v>
      </c>
      <c r="C188" s="29" t="n">
        <v>80</v>
      </c>
      <c r="D188" s="13" t="inlineStr">
        <is>
          <t>Both views present</t>
        </is>
      </c>
      <c r="E188" s="14" t="n"/>
      <c r="F188" s="14" t="n"/>
      <c r="G188" s="14" t="n"/>
    </row>
    <row r="189" ht="34" customHeight="1">
      <c r="A189" s="12" t="inlineStr">
        <is>
          <t>1.2 Stations</t>
        </is>
      </c>
      <c r="B189" s="29" t="n">
        <v>179</v>
      </c>
      <c r="C189" s="29" t="n">
        <v>80</v>
      </c>
      <c r="D189" s="13" t="inlineStr">
        <is>
          <t>Both views present</t>
        </is>
      </c>
      <c r="E189" s="14" t="n"/>
      <c r="F189" s="14" t="n"/>
      <c r="G189" s="14" t="n"/>
    </row>
    <row r="190" ht="34" customHeight="1">
      <c r="A190" s="12" t="inlineStr">
        <is>
          <t>1.3 Systems</t>
        </is>
      </c>
      <c r="B190" s="29" t="n">
        <v>180</v>
      </c>
      <c r="C190" s="29" t="n">
        <v>79</v>
      </c>
      <c r="D190" s="13" t="inlineStr">
        <is>
          <t>Both views present</t>
        </is>
      </c>
      <c r="E190" s="14" t="n"/>
      <c r="F190" s="14" t="n"/>
      <c r="G190" s="14" t="n"/>
    </row>
    <row r="191" ht="34" customHeight="1">
      <c r="A191" s="12" t="inlineStr">
        <is>
          <t>1.4 Vehicles and Depot</t>
        </is>
      </c>
      <c r="B191" s="29" t="n">
        <v>179</v>
      </c>
      <c r="C191" s="29" t="n">
        <v>80</v>
      </c>
      <c r="D191" s="13" t="inlineStr">
        <is>
          <t>Both views present</t>
        </is>
      </c>
      <c r="E191" s="14" t="n"/>
      <c r="F191" s="14" t="n"/>
      <c r="G191" s="14" t="n"/>
    </row>
    <row r="192" ht="34" customHeight="1">
      <c r="A192" s="12" t="inlineStr">
        <is>
          <t>1.5 Testing and Commissioning</t>
        </is>
      </c>
      <c r="B192" s="29" t="n">
        <v>180</v>
      </c>
      <c r="C192" s="29" t="n">
        <v>0</v>
      </c>
      <c r="D192" s="13" t="inlineStr">
        <is>
          <t>Cost coverage gap</t>
        </is>
      </c>
      <c r="E192" s="14" t="n"/>
      <c r="F192" s="14" t="n"/>
      <c r="G192" s="14" t="n"/>
    </row>
    <row r="193" ht="34" customHeight="1">
      <c r="A193" s="12" t="inlineStr">
        <is>
          <t>1.6 Program Management</t>
        </is>
      </c>
      <c r="B193" s="29" t="n">
        <v>0</v>
      </c>
      <c r="C193" s="29" t="n">
        <v>80</v>
      </c>
      <c r="D193" s="13" t="inlineStr">
        <is>
          <t>Schedule coverage gap</t>
        </is>
      </c>
      <c r="E193" s="14" t="n"/>
      <c r="F193" s="14" t="n"/>
      <c r="G193" s="14" t="n"/>
    </row>
    <row r="194" ht="34" customHeight="1"/>
    <row r="195" ht="49" customHeight="1">
      <c r="A195" s="18" t="inlineStr">
        <is>
          <t>Coverage through the Owner WBS; not project health or direct schedule-to-cost equivalence. 2 have only one of these views.</t>
        </is>
      </c>
    </row>
    <row r="196"/>
    <row r="197"/>
    <row r="198" ht="30" customHeight="1">
      <c r="K198" s="33" t="n"/>
    </row>
    <row r="199" ht="20" customHeight="1">
      <c r="K199" s="34" t="n"/>
    </row>
    <row r="200" ht="28" customHeight="1">
      <c r="K200" s="35" t="n"/>
      <c r="N200" s="36" t="n"/>
    </row>
    <row r="201" ht="28" customHeight="1"/>
    <row r="202" ht="22" customHeight="1">
      <c r="K202" s="37" t="n"/>
      <c r="M202" s="37" t="n"/>
      <c r="O202" s="37" t="n"/>
    </row>
    <row r="203" ht="26" customHeight="1">
      <c r="K203" s="23" t="n"/>
      <c r="M203" s="37" t="n"/>
      <c r="O203" s="37" t="n"/>
    </row>
    <row r="204" ht="26" customHeight="1">
      <c r="K204" s="23" t="n"/>
      <c r="M204" s="37" t="n"/>
      <c r="O204" s="37" t="n"/>
    </row>
    <row r="205" ht="26" customHeight="1">
      <c r="K205" s="23" t="n"/>
      <c r="M205" s="37" t="n"/>
      <c r="O205" s="37" t="n"/>
    </row>
    <row r="206" ht="26" customHeight="1">
      <c r="K206" s="23" t="n"/>
      <c r="M206" s="37" t="n"/>
      <c r="O206" s="37" t="n"/>
    </row>
    <row r="207" ht="26" customHeight="1">
      <c r="K207" s="23" t="n"/>
      <c r="M207" s="37" t="n"/>
      <c r="O207" s="38" t="n"/>
    </row>
    <row r="208" ht="26" customHeight="1">
      <c r="K208" s="23" t="n"/>
      <c r="M208" s="38" t="n"/>
      <c r="O208" s="37" t="n"/>
    </row>
    <row r="209" ht="18" customHeight="1">
      <c r="K209" s="39" t="n"/>
    </row>
    <row r="210" ht="18" customHeight="1"/>
    <row r="211" ht="18" customHeight="1">
      <c r="K211" s="36" t="n"/>
    </row>
    <row r="212" ht="18" customHeight="1"/>
    <row r="213" ht="26" customHeight="1">
      <c r="K213" s="40" t="n"/>
      <c r="N213" s="40" t="n"/>
    </row>
    <row r="214" ht="30" customHeight="1">
      <c r="K214" s="41" t="n"/>
    </row>
    <row r="215" ht="24" customHeight="1">
      <c r="K215" s="42" t="n"/>
    </row>
    <row r="216"/>
    <row r="217" ht="26" customHeight="1">
      <c r="K217" s="43" t="n"/>
    </row>
    <row r="218" ht="24" customHeight="1">
      <c r="K218" s="44" t="n"/>
    </row>
    <row r="219" ht="24" customHeight="1">
      <c r="K219" s="34" t="n"/>
    </row>
    <row r="220" ht="24" customHeight="1"/>
    <row r="221" ht="24" customHeight="1">
      <c r="K221" s="45" t="n"/>
      <c r="N221" s="45" t="n"/>
    </row>
    <row r="222" ht="24" customHeight="1">
      <c r="K222" s="44" t="n"/>
    </row>
    <row r="223" ht="24" customHeight="1">
      <c r="K223" s="34" t="n"/>
    </row>
    <row r="224" ht="24" customHeight="1"/>
    <row r="225" ht="24" customHeight="1">
      <c r="K225" s="45" t="n"/>
      <c r="N225" s="45" t="n"/>
    </row>
    <row r="226" ht="24" customHeight="1">
      <c r="K226" s="44" t="n"/>
    </row>
    <row r="227" ht="24" customHeight="1">
      <c r="K227" s="34" t="n"/>
    </row>
    <row r="228" ht="24" customHeight="1"/>
    <row r="229" ht="24" customHeight="1">
      <c r="K229" s="45" t="n"/>
      <c r="N229" s="45" t="n"/>
    </row>
    <row r="230" ht="24" customHeight="1">
      <c r="K230" s="44" t="n"/>
    </row>
    <row r="231" ht="24" customHeight="1">
      <c r="K231" s="34" t="n"/>
    </row>
    <row r="232" ht="24" customHeight="1"/>
    <row r="233" ht="24" customHeight="1">
      <c r="K233" s="45" t="n"/>
      <c r="N233" s="45" t="n"/>
    </row>
  </sheetData>
  <mergeCells count="59">
    <mergeCell ref="A7:I7"/>
    <mergeCell ref="A56:D58"/>
    <mergeCell ref="D193:G193"/>
    <mergeCell ref="A26:D28"/>
    <mergeCell ref="A135:D135"/>
    <mergeCell ref="A51:D52"/>
    <mergeCell ref="D192:G192"/>
    <mergeCell ref="E51:H52"/>
    <mergeCell ref="A18:I18"/>
    <mergeCell ref="A112:D112"/>
    <mergeCell ref="D188:G188"/>
    <mergeCell ref="A23:D25"/>
    <mergeCell ref="A12:I12"/>
    <mergeCell ref="A161:D161"/>
    <mergeCell ref="A111:D111"/>
    <mergeCell ref="C4:D4"/>
    <mergeCell ref="E4:F4"/>
    <mergeCell ref="E26:H28"/>
    <mergeCell ref="A2:I2"/>
    <mergeCell ref="A53:D55"/>
    <mergeCell ref="A83:D83"/>
    <mergeCell ref="E56:H58"/>
    <mergeCell ref="E53:H55"/>
    <mergeCell ref="A5:I5"/>
    <mergeCell ref="A14:I14"/>
    <mergeCell ref="D191:G191"/>
    <mergeCell ref="D187:G187"/>
    <mergeCell ref="A17:I17"/>
    <mergeCell ref="A8:I8"/>
    <mergeCell ref="A3:B3"/>
    <mergeCell ref="G3:H3"/>
    <mergeCell ref="D190:G190"/>
    <mergeCell ref="A1:D1"/>
    <mergeCell ref="A21:D22"/>
    <mergeCell ref="A19:I19"/>
    <mergeCell ref="A88:D88"/>
    <mergeCell ref="A10:I10"/>
    <mergeCell ref="A13:I13"/>
    <mergeCell ref="A162:D162"/>
    <mergeCell ref="A87:D87"/>
    <mergeCell ref="A9:I9"/>
    <mergeCell ref="D189:G189"/>
    <mergeCell ref="A137:D137"/>
    <mergeCell ref="E23:H25"/>
    <mergeCell ref="A84:D84"/>
    <mergeCell ref="A4:B4"/>
    <mergeCell ref="A15:I15"/>
    <mergeCell ref="G4:H4"/>
    <mergeCell ref="A11:I11"/>
    <mergeCell ref="A136:D136"/>
    <mergeCell ref="A163:D163"/>
    <mergeCell ref="A86:D86"/>
    <mergeCell ref="A195:D195"/>
    <mergeCell ref="E21:H22"/>
    <mergeCell ref="A113:D113"/>
    <mergeCell ref="A6:I6"/>
    <mergeCell ref="C3:D3"/>
    <mergeCell ref="E3:F3"/>
    <mergeCell ref="A16:I16"/>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C3" r:id="rId3"/>
    <hyperlink xmlns:r="http://schemas.openxmlformats.org/officeDocument/2006/relationships" ref="E3" r:id="rId4"/>
    <hyperlink xmlns:r="http://schemas.openxmlformats.org/officeDocument/2006/relationships" ref="G3" r:id="rId5"/>
    <hyperlink xmlns:r="http://schemas.openxmlformats.org/officeDocument/2006/relationships" ref="A4" r:id="rId6"/>
    <hyperlink xmlns:r="http://schemas.openxmlformats.org/officeDocument/2006/relationships" ref="C4" r:id="rId7"/>
    <hyperlink xmlns:r="http://schemas.openxmlformats.org/officeDocument/2006/relationships" ref="E4" r:id="rId8"/>
    <hyperlink xmlns:r="http://schemas.openxmlformats.org/officeDocument/2006/relationships" ref="G4" r:id="rId9"/>
    <hyperlink xmlns:r="http://schemas.openxmlformats.org/officeDocument/2006/relationships" ref="A18" r:id="rId10"/>
  </hyperlinks>
  <pageMargins left="0.3" right="0.3" top="0.3" bottom="0.3" header="0.12" footer="0.12"/>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rowBreaks count="4" manualBreakCount="4">
    <brk id="50" min="0" max="16383" man="1"/>
    <brk id="82" min="0" max="16383" man="1"/>
    <brk id="132" min="0" max="16383" man="1"/>
    <brk id="183" min="0" max="16383" man="1"/>
  </rowBreaks>
  <drawing xmlns:r="http://schemas.openxmlformats.org/officeDocument/2006/relationships" r:id="rId11"/>
  <legacyDrawing xmlns:r="http://schemas.openxmlformats.org/officeDocument/2006/relationships" r:id="anysvml"/>
</worksheet>
</file>

<file path=xl/worksheets/sheet4.xml><?xml version="1.0" encoding="utf-8"?>
<worksheet xmlns="http://schemas.openxmlformats.org/spreadsheetml/2006/main">
  <sheetPr>
    <tabColor rgb="00121A2E"/>
    <outlinePr summaryBelow="0" summaryRight="0"/>
    <pageSetUpPr fitToPage="1"/>
  </sheetPr>
  <dimension ref="A1:H11"/>
  <sheetViews>
    <sheetView showGridLines="0" tabSelected="0" topLeftCell="A1" zoomScale="100" zoomScaleNormal="100" workbookViewId="0">
      <pane ySplit="5" topLeftCell="A6" activePane="bottomLeft" state="frozen"/>
      <selection pane="bottomLeft" activeCell="A1" sqref="A1"/>
    </sheetView>
  </sheetViews>
  <sheetFormatPr baseColWidth="8" defaultRowHeight="15"/>
  <cols>
    <col width="31" customWidth="1" min="1" max="1"/>
    <col width="45" customWidth="1" min="2" max="2"/>
    <col width="28" customWidth="1" min="3" max="3"/>
    <col width="22" customWidth="1" min="4" max="4"/>
    <col width="28" customWidth="1" min="5" max="5"/>
    <col width="45" customWidth="1" min="6" max="6"/>
    <col width="32" customWidth="1" min="7" max="7"/>
    <col width="32" customWidth="1" min="8" max="8"/>
  </cols>
  <sheetData>
    <row r="1" ht="33.2" customHeight="1">
      <c r="A1" s="97" t="inlineStr">
        <is>
          <t>ISSUES FOR REVIEW</t>
        </is>
      </c>
    </row>
    <row r="2" ht="35.92" customHeight="1">
      <c r="A2" s="46" t="inlineStr">
        <is>
          <t>The issues the governed evidence supports raising with the project team now. Grouped by type and WBS code; not ranked by importance.</t>
        </is>
      </c>
    </row>
    <row r="3" ht="19"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row>
    <row r="4"/>
    <row r="5" ht="34" customHeight="1">
      <c r="A5" s="11" t="inlineStr">
        <is>
          <t>Matter</t>
        </is>
      </c>
      <c r="B5" s="11" t="inlineStr">
        <is>
          <t>Why it matters</t>
        </is>
      </c>
      <c r="C5" s="11" t="inlineStr">
        <is>
          <t>Affected WBS scope</t>
        </is>
      </c>
      <c r="D5" s="11" t="inlineStr">
        <is>
          <t>Affected source view(s)</t>
        </is>
      </c>
      <c r="E5" s="11" t="inlineStr">
        <is>
          <t>State</t>
        </is>
      </c>
      <c r="F5" s="11" t="inlineStr">
        <is>
          <t>Recommended professional action</t>
        </is>
      </c>
      <c r="G5" s="11" t="inlineStr">
        <is>
          <t>Evidence path</t>
        </is>
      </c>
      <c r="H5" s="11" t="inlineStr">
        <is>
          <t>Authority</t>
        </is>
      </c>
    </row>
    <row r="6" ht="49" customHeight="1">
      <c r="A6" s="12" t="inlineStr">
        <is>
          <t>Schedule scope has no governed cost relationships</t>
        </is>
      </c>
      <c r="B6" s="12" t="inlineStr">
        <is>
          <t>This work area has relationships to one supplied control view but none to the other. Confirm whether that gap is expected.</t>
        </is>
      </c>
      <c r="C6" s="17" t="inlineStr">
        <is>
          <t>1.5 Testing and Commissioning</t>
        </is>
      </c>
      <c r="D6" s="12" t="inlineStr">
        <is>
          <t>Schedule + Cost</t>
        </is>
      </c>
      <c r="E6" s="12" t="inlineStr">
        <is>
          <t>Derived observation from governed relationships</t>
        </is>
      </c>
      <c r="F6" s="12" t="inlineStr">
        <is>
          <t>Confirm whether the missing governed relationship is expected or requires project-controls attention.</t>
        </is>
      </c>
      <c r="G6" s="17" t="inlineStr">
        <is>
          <t>05 INTEGRATION HEALTH / 08 CROSSWALK: WBS 1.5</t>
        </is>
      </c>
      <c r="H6" s="12" t="inlineStr">
        <is>
          <t>Derived observation; no direct schedule-to-cost relationship asserted</t>
        </is>
      </c>
    </row>
    <row r="7" ht="49" customHeight="1">
      <c r="A7" s="12" t="inlineStr">
        <is>
          <t>Cost scope has no governed schedule relationships</t>
        </is>
      </c>
      <c r="B7" s="12" t="inlineStr">
        <is>
          <t>This work area has relationships to one supplied control view but none to the other. Confirm whether that gap is expected.</t>
        </is>
      </c>
      <c r="C7" s="17" t="inlineStr">
        <is>
          <t>1.6 Program Management</t>
        </is>
      </c>
      <c r="D7" s="12" t="inlineStr">
        <is>
          <t>Schedule + Cost</t>
        </is>
      </c>
      <c r="E7" s="12" t="inlineStr">
        <is>
          <t>Derived observation from governed relationships</t>
        </is>
      </c>
      <c r="F7" s="12" t="inlineStr">
        <is>
          <t>Confirm whether the missing governed relationship is expected or requires project-controls attention.</t>
        </is>
      </c>
      <c r="G7" s="17" t="inlineStr">
        <is>
          <t>05 INTEGRATION HEALTH / 08 CROSSWALK: WBS 1.6</t>
        </is>
      </c>
      <c r="H7" s="12" t="inlineStr">
        <is>
          <t>Derived observation; no direct schedule-to-cost relationship asserted</t>
        </is>
      </c>
    </row>
    <row r="8" ht="49" customHeight="1">
      <c r="A8" s="12" t="inlineStr">
        <is>
          <t>1 governed relationship outcome records NEW_SCOPE</t>
        </is>
      </c>
      <c r="B8" s="12" t="inlineStr">
        <is>
          <t>The approved relationship state records scope not represented by the current approved WBS.</t>
        </is>
      </c>
      <c r="C8" s="12" t="inlineStr">
        <is>
          <t>Outside current approved WBS</t>
        </is>
      </c>
      <c r="D8" s="12" t="inlineStr">
        <is>
          <t>See Crosswalk</t>
        </is>
      </c>
      <c r="E8" s="12" t="inlineStr">
        <is>
          <t>Professional/governed outcome</t>
        </is>
      </c>
      <c r="F8" s="12" t="inlineStr">
        <is>
          <t>Review the governed NEW_SCOPE outcomes in the project-controls context.</t>
        </is>
      </c>
      <c r="G8" s="17" t="inlineStr">
        <is>
          <t>08 CROSSWALK: filter Relationship Type = NEW_SCOPE</t>
        </is>
      </c>
      <c r="H8" s="12" t="inlineStr">
        <is>
          <t>Governed relationship outcome</t>
        </is>
      </c>
    </row>
    <row r="9" ht="49" customHeight="1">
      <c r="A9" s="12" t="inlineStr">
        <is>
          <t>263 relationship outcomes remain unresolved</t>
        </is>
      </c>
      <c r="B9" s="12" t="inlineStr">
        <is>
          <t>The approved state preserves uncertainty rather than forcing a WBS relationship.</t>
        </is>
      </c>
      <c r="C9" s="12" t="inlineStr">
        <is>
          <t>See Crosswalk</t>
        </is>
      </c>
      <c r="D9" s="12" t="inlineStr">
        <is>
          <t>See Crosswalk</t>
        </is>
      </c>
      <c r="E9" s="12" t="inlineStr">
        <is>
          <t>Professionally/governed unresolved outcome</t>
        </is>
      </c>
      <c r="F9" s="12" t="inlineStr">
        <is>
          <t>Use only conclusions that do not depend on these unresolved relationships.</t>
        </is>
      </c>
      <c r="G9" s="17" t="inlineStr">
        <is>
          <t>08 CROSSWALK / 10 EVIDENCE &amp; DECISIONS</t>
        </is>
      </c>
      <c r="H9" s="12" t="inlineStr">
        <is>
          <t>Governed uncertainty</t>
        </is>
      </c>
    </row>
    <row r="10"/>
    <row r="11" ht="109" customHeight="1">
      <c r="A11" s="27" t="inlineStr">
        <is>
          <t>Ordering note: matters are grouped by recorded issue type and WBS code. No claim of objective project materiality or #1 priority is made.</t>
        </is>
      </c>
    </row>
  </sheetData>
  <autoFilter ref="A5:H9"/>
  <mergeCells count="2">
    <mergeCell ref="A1:D1"/>
    <mergeCell ref="A2:D2"/>
  </mergeCells>
  <conditionalFormatting sqref="A9">
    <cfRule type="expression" priority="1" dxfId="0">
      <formula>ISNUMBER(SEARCH("Unresolved",A9))</formula>
    </cfRule>
  </conditionalFormatting>
  <conditionalFormatting sqref="E9">
    <cfRule type="expression" priority="2" dxfId="0">
      <formula>ISNUMBER(SEARCH("Unresolved",E9))</formula>
    </cfRule>
  </conditionalFormatting>
  <conditionalFormatting sqref="F9">
    <cfRule type="expression" priority="3" dxfId="0">
      <formula>ISNUMBER(SEARCH("Unresolved",F9))</formula>
    </cfRule>
  </conditionalFormatting>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C6" tooltip="Primary relationship coverage/status view; then follow its exact Crosswalk evidence link. Advanced 14 counts relationship ROWS." r:id="rId10"/>
    <hyperlink xmlns:r="http://schemas.openxmlformats.org/officeDocument/2006/relationships" ref="G6" r:id="rId11"/>
    <hyperlink xmlns:r="http://schemas.openxmlformats.org/officeDocument/2006/relationships" ref="C7" tooltip="Primary relationship coverage/status view; then follow its exact Crosswalk evidence link. Advanced 14 counts relationship ROWS." r:id="rId12"/>
    <hyperlink xmlns:r="http://schemas.openxmlformats.org/officeDocument/2006/relationships" ref="G7" r:id="rId13"/>
    <hyperlink xmlns:r="http://schemas.openxmlformats.org/officeDocument/2006/relationships" ref="G8" r:id="rId14"/>
    <hyperlink xmlns:r="http://schemas.openxmlformats.org/officeDocument/2006/relationships" ref="G9" r:id="rId15"/>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00243553"/>
    <outlinePr summaryBelow="0" summaryRight="0"/>
    <pageSetUpPr fitToPage="1"/>
  </sheetPr>
  <dimension ref="A1:O27"/>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9" customWidth="1" min="2" max="2"/>
    <col width="25" customWidth="1" min="3" max="3"/>
    <col width="25" customWidth="1" min="4" max="4"/>
    <col width="25" customWidth="1" min="5" max="5"/>
    <col width="40" customWidth="1" min="6" max="6"/>
    <col width="18" customWidth="1" min="7" max="7"/>
    <col width="12" customWidth="1" min="8" max="8"/>
    <col width="24" customWidth="1" min="9" max="9"/>
    <col width="22" customWidth="1" min="10" max="10"/>
    <col width="13" customWidth="1" min="11" max="11"/>
    <col width="13" customWidth="1" min="12" max="12"/>
    <col width="13" customWidth="1" min="13" max="13"/>
    <col width="13" customWidth="1" min="14" max="14"/>
    <col width="13" customWidth="1" min="15" max="15"/>
  </cols>
  <sheetData>
    <row r="1" ht="33.2" customHeight="1">
      <c r="A1" s="97" t="inlineStr">
        <is>
          <t>INTEGRATION HEALTH</t>
        </is>
      </c>
    </row>
    <row r="2" ht="42" customHeight="1">
      <c r="A2" s="46" t="inlineStr">
        <is>
          <t>Top-level work-area availability and attention counts by control view.</t>
        </is>
      </c>
    </row>
    <row r="3" ht="30"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c r="K3" s="25" t="inlineStr">
        <is>
          <t>Where is professional attention concentrated?</t>
        </is>
      </c>
    </row>
    <row r="4" ht="44" customHeight="1">
      <c r="K4" s="46" t="inlineStr">
        <is>
          <t>Where are governed reopened, unresolved or contradictory relationship populations concentrated?</t>
        </is>
      </c>
    </row>
    <row r="5" ht="34" customHeight="1">
      <c r="A5" s="11" t="inlineStr">
        <is>
          <t>WBS</t>
        </is>
      </c>
      <c r="B5" s="11" t="inlineStr">
        <is>
          <t>Scope</t>
        </is>
      </c>
      <c r="C5" s="11" t="inlineStr">
        <is>
          <t>Schedule</t>
        </is>
      </c>
      <c r="D5" s="11" t="inlineStr">
        <is>
          <t>Cost / forecast</t>
        </is>
      </c>
      <c r="E5" s="11" t="inlineStr">
        <is>
          <t>Package / contract</t>
        </is>
      </c>
      <c r="F5" s="11" t="inlineStr">
        <is>
          <t>Integration condition</t>
        </is>
      </c>
      <c r="G5" s="11" t="inlineStr">
        <is>
          <t>Attention / unresolved</t>
        </is>
      </c>
      <c r="H5" s="11" t="inlineStr">
        <is>
          <t>Changed</t>
        </is>
      </c>
      <c r="I5" s="11" t="inlineStr">
        <is>
          <t>Evidence path</t>
        </is>
      </c>
      <c r="J5" s="11" t="inlineStr">
        <is>
          <t>Responsibility</t>
        </is>
      </c>
      <c r="K5" s="11" t="inlineStr">
        <is>
          <t>WBS</t>
        </is>
      </c>
      <c r="L5" s="11" t="inlineStr">
        <is>
          <t>Reopened</t>
        </is>
      </c>
      <c r="M5" s="11" t="inlineStr">
        <is>
          <t>Unresolved</t>
        </is>
      </c>
      <c r="N5" s="11" t="inlineStr">
        <is>
          <t>Contradictory</t>
        </is>
      </c>
      <c r="O5" s="11" t="inlineStr">
        <is>
          <t>Attention records</t>
        </is>
      </c>
    </row>
    <row r="6" ht="64" customHeight="1">
      <c r="A6" s="12" t="inlineStr">
        <is>
          <t>1.1</t>
        </is>
      </c>
      <c r="B6" s="12" t="inlineStr">
        <is>
          <t>Guideway and Civil</t>
        </is>
      </c>
      <c r="C6" s="12" t="inlineStr">
        <is>
          <t>180 governed relationships</t>
        </is>
      </c>
      <c r="D6" s="12" t="inlineStr">
        <is>
          <t>80 governed relationships</t>
        </is>
      </c>
      <c r="E6" s="12" t="inlineStr">
        <is>
          <t>10 governed relationships</t>
        </is>
      </c>
      <c r="F6" s="47" t="inlineStr">
        <is>
          <t>Aligned: Schedule and cost both relate through this WBS branch. 10 package/contract relationships also project through this branch.</t>
        </is>
      </c>
      <c r="G6" s="32" t="n">
        <v>0</v>
      </c>
      <c r="H6" s="32" t="n">
        <v>270</v>
      </c>
      <c r="I6" s="17" t="inlineStr">
        <is>
          <t>06 INTEGRATED PROJECT / 08 CROSSWALK: WBS 1.1</t>
        </is>
      </c>
      <c r="J6" s="48" t="inlineStr">
        <is>
          <t>Not supplied</t>
        </is>
      </c>
      <c r="K6" s="10" t="inlineStr">
        <is>
          <t>1.1</t>
        </is>
      </c>
      <c r="L6" s="49" t="n">
        <v>0</v>
      </c>
      <c r="M6" s="49" t="n">
        <v>0</v>
      </c>
      <c r="N6" s="49" t="n">
        <v>1</v>
      </c>
      <c r="O6" s="49" t="n">
        <v>1</v>
      </c>
    </row>
    <row r="7" ht="64" customHeight="1">
      <c r="A7" s="12" t="inlineStr">
        <is>
          <t>1.2</t>
        </is>
      </c>
      <c r="B7" s="12" t="inlineStr">
        <is>
          <t>Stations</t>
        </is>
      </c>
      <c r="C7" s="12" t="inlineStr">
        <is>
          <t>179 governed relationships</t>
        </is>
      </c>
      <c r="D7" s="12" t="inlineStr">
        <is>
          <t>80 governed relationships</t>
        </is>
      </c>
      <c r="E7" s="12" t="inlineStr">
        <is>
          <t>11 governed relationships</t>
        </is>
      </c>
      <c r="F7" s="47" t="inlineStr">
        <is>
          <t>Aligned: Schedule and cost both relate through this WBS branch. 11 package/contract relationships also project through this branch.</t>
        </is>
      </c>
      <c r="G7" s="32" t="n">
        <v>0</v>
      </c>
      <c r="H7" s="32" t="n">
        <v>270</v>
      </c>
      <c r="I7" s="17" t="inlineStr">
        <is>
          <t>06 INTEGRATED PROJECT / 08 CROSSWALK: WBS 1.2</t>
        </is>
      </c>
      <c r="J7" s="48" t="inlineStr">
        <is>
          <t>Not supplied</t>
        </is>
      </c>
      <c r="K7" s="10" t="inlineStr">
        <is>
          <t>1.2</t>
        </is>
      </c>
      <c r="L7" s="49" t="n">
        <v>0</v>
      </c>
      <c r="M7" s="49" t="n">
        <v>0</v>
      </c>
      <c r="N7" s="49" t="n">
        <v>1</v>
      </c>
      <c r="O7" s="49" t="n">
        <v>1</v>
      </c>
    </row>
    <row r="8" ht="64" customHeight="1">
      <c r="A8" s="12" t="inlineStr">
        <is>
          <t>1.3</t>
        </is>
      </c>
      <c r="B8" s="12" t="inlineStr">
        <is>
          <t>Systems</t>
        </is>
      </c>
      <c r="C8" s="12" t="inlineStr">
        <is>
          <t>180 governed relationships</t>
        </is>
      </c>
      <c r="D8" s="12" t="inlineStr">
        <is>
          <t>79 governed relationships</t>
        </is>
      </c>
      <c r="E8" s="12" t="inlineStr">
        <is>
          <t>10 governed relationships</t>
        </is>
      </c>
      <c r="F8" s="47" t="inlineStr">
        <is>
          <t>Aligned: Schedule and cost both relate through this WBS branch. 10 package/contract relationships also project through this branch.</t>
        </is>
      </c>
      <c r="G8" s="32" t="n">
        <v>0</v>
      </c>
      <c r="H8" s="32" t="n">
        <v>269</v>
      </c>
      <c r="I8" s="17" t="inlineStr">
        <is>
          <t>06 INTEGRATED PROJECT / 08 CROSSWALK: WBS 1.3</t>
        </is>
      </c>
      <c r="J8" s="48" t="inlineStr">
        <is>
          <t>Not supplied</t>
        </is>
      </c>
      <c r="K8" s="10" t="inlineStr">
        <is>
          <t>1.3</t>
        </is>
      </c>
      <c r="L8" s="49" t="n">
        <v>0</v>
      </c>
      <c r="M8" s="49" t="n">
        <v>0</v>
      </c>
      <c r="N8" s="49" t="n">
        <v>0</v>
      </c>
      <c r="O8" s="49" t="n">
        <v>0</v>
      </c>
    </row>
    <row r="9" ht="64" customHeight="1">
      <c r="A9" s="12" t="inlineStr">
        <is>
          <t>1.4</t>
        </is>
      </c>
      <c r="B9" s="12" t="inlineStr">
        <is>
          <t>Vehicles and Depot</t>
        </is>
      </c>
      <c r="C9" s="12" t="inlineStr">
        <is>
          <t>179 governed relationships</t>
        </is>
      </c>
      <c r="D9" s="12" t="inlineStr">
        <is>
          <t>80 governed relationships</t>
        </is>
      </c>
      <c r="E9" s="12" t="inlineStr">
        <is>
          <t>10 governed relationships</t>
        </is>
      </c>
      <c r="F9" s="47" t="inlineStr">
        <is>
          <t>Aligned: Schedule and cost both relate through this WBS branch. 10 package/contract relationships also project through this branch.</t>
        </is>
      </c>
      <c r="G9" s="32" t="n">
        <v>0</v>
      </c>
      <c r="H9" s="32" t="n">
        <v>269</v>
      </c>
      <c r="I9" s="17" t="inlineStr">
        <is>
          <t>06 INTEGRATED PROJECT / 08 CROSSWALK: WBS 1.4</t>
        </is>
      </c>
      <c r="J9" s="48" t="inlineStr">
        <is>
          <t>Not supplied</t>
        </is>
      </c>
      <c r="K9" s="10" t="inlineStr">
        <is>
          <t>1.4</t>
        </is>
      </c>
      <c r="L9" s="49" t="n">
        <v>0</v>
      </c>
      <c r="M9" s="49" t="n">
        <v>0</v>
      </c>
      <c r="N9" s="49" t="n">
        <v>0</v>
      </c>
      <c r="O9" s="49" t="n">
        <v>0</v>
      </c>
    </row>
    <row r="10" ht="64" customHeight="1">
      <c r="A10" s="12" t="inlineStr">
        <is>
          <t>1.5</t>
        </is>
      </c>
      <c r="B10" s="12" t="inlineStr">
        <is>
          <t>Testing and Commissioning</t>
        </is>
      </c>
      <c r="C10" s="12" t="inlineStr">
        <is>
          <t>180 governed relationships</t>
        </is>
      </c>
      <c r="D10" s="12" t="inlineStr">
        <is>
          <t>0 governed relationships</t>
        </is>
      </c>
      <c r="E10" s="12" t="inlineStr">
        <is>
          <t>10 governed relationships</t>
        </is>
      </c>
      <c r="F10" s="50" t="inlineStr">
        <is>
          <t>Attention: Schedule scope has no governed cost relationships in this WBS branch. 10 package/contract relationships also project through this branch.</t>
        </is>
      </c>
      <c r="G10" s="32" t="n">
        <v>0</v>
      </c>
      <c r="H10" s="32" t="n">
        <v>190</v>
      </c>
      <c r="I10" s="17" t="inlineStr">
        <is>
          <t>06 INTEGRATED PROJECT / 08 CROSSWALK: WBS 1.5</t>
        </is>
      </c>
      <c r="J10" s="48" t="inlineStr">
        <is>
          <t>Not supplied</t>
        </is>
      </c>
      <c r="K10" s="10" t="inlineStr">
        <is>
          <t>1.5</t>
        </is>
      </c>
      <c r="L10" s="49" t="n">
        <v>0</v>
      </c>
      <c r="M10" s="49" t="n">
        <v>0</v>
      </c>
      <c r="N10" s="49" t="n">
        <v>0</v>
      </c>
      <c r="O10" s="49" t="n">
        <v>0</v>
      </c>
    </row>
    <row r="11" ht="64" customHeight="1">
      <c r="A11" s="12" t="inlineStr">
        <is>
          <t>1.6</t>
        </is>
      </c>
      <c r="B11" s="12" t="inlineStr">
        <is>
          <t>Program Management</t>
        </is>
      </c>
      <c r="C11" s="12" t="inlineStr">
        <is>
          <t>0 governed relationships</t>
        </is>
      </c>
      <c r="D11" s="12" t="inlineStr">
        <is>
          <t>80 governed relationships</t>
        </is>
      </c>
      <c r="E11" s="12" t="inlineStr">
        <is>
          <t>10 governed relationships</t>
        </is>
      </c>
      <c r="F11" s="50" t="inlineStr">
        <is>
          <t>Attention: Cost scope has no governed schedule relationships in this WBS branch. 10 package/contract relationships also project through this branch.</t>
        </is>
      </c>
      <c r="G11" s="32" t="n">
        <v>0</v>
      </c>
      <c r="H11" s="32" t="n">
        <v>90</v>
      </c>
      <c r="I11" s="17" t="inlineStr">
        <is>
          <t>06 INTEGRATED PROJECT / 08 CROSSWALK: WBS 1.6</t>
        </is>
      </c>
      <c r="J11" s="48" t="inlineStr">
        <is>
          <t>Not supplied</t>
        </is>
      </c>
      <c r="K11" s="10" t="inlineStr">
        <is>
          <t>1.6</t>
        </is>
      </c>
      <c r="L11" s="49" t="n">
        <v>0</v>
      </c>
      <c r="M11" s="49" t="n">
        <v>0</v>
      </c>
      <c r="N11" s="49" t="n">
        <v>0</v>
      </c>
      <c r="O11" s="49" t="n">
        <v>0</v>
      </c>
    </row>
    <row r="12" ht="49" customHeight="1">
      <c r="K12" s="27" t="inlineStr">
        <is>
          <t>Counts locate governed professional-attention populations only; they are not financial or schedule materiality rankings.</t>
        </is>
      </c>
    </row>
    <row r="13" ht="34" customHeight="1">
      <c r="B13" s="25" t="n"/>
    </row>
    <row r="14" ht="64" customHeight="1">
      <c r="A14" s="51" t="inlineStr">
        <is>
          <t>One table above shows control-view coverage. Responsibility is retained in column J; professional-attention evidence is in columns K–O.</t>
        </is>
      </c>
    </row>
    <row r="15"/>
    <row r="16" ht="34" customHeight="1">
      <c r="B16" s="52" t="n"/>
      <c r="C16" s="52" t="n"/>
      <c r="D16" s="52" t="n"/>
      <c r="E16" s="52" t="n"/>
      <c r="F16" s="52" t="n"/>
      <c r="G16" s="52" t="n"/>
      <c r="H16" s="52" t="n"/>
    </row>
    <row r="17" ht="34" customHeight="1">
      <c r="B17" s="10" t="n"/>
      <c r="C17" s="10" t="n"/>
      <c r="D17" s="10" t="n"/>
      <c r="E17" s="10" t="n"/>
      <c r="F17" s="10" t="n"/>
      <c r="G17" s="10" t="n"/>
      <c r="H17" s="53" t="n"/>
    </row>
    <row r="18" ht="34" customHeight="1">
      <c r="B18" s="10" t="n"/>
      <c r="C18" s="10" t="n"/>
      <c r="D18" s="10" t="n"/>
      <c r="E18" s="10" t="n"/>
      <c r="F18" s="10" t="n"/>
      <c r="G18" s="10" t="n"/>
      <c r="H18" s="53" t="n"/>
    </row>
    <row r="19" ht="34" customHeight="1">
      <c r="B19" s="10" t="n"/>
      <c r="C19" s="10" t="n"/>
      <c r="D19" s="10" t="n"/>
      <c r="E19" s="10" t="n"/>
      <c r="F19" s="10" t="n"/>
      <c r="G19" s="10" t="n"/>
      <c r="H19" s="53" t="n"/>
    </row>
    <row r="20" ht="34" customHeight="1">
      <c r="B20" s="10" t="n"/>
      <c r="C20" s="10" t="n"/>
      <c r="D20" s="10" t="n"/>
      <c r="E20" s="10" t="n"/>
      <c r="F20" s="10" t="n"/>
      <c r="G20" s="10" t="n"/>
      <c r="H20" s="53" t="n"/>
    </row>
    <row r="21" ht="34" customHeight="1">
      <c r="B21" s="10" t="n"/>
      <c r="C21" s="10" t="n"/>
      <c r="D21" s="10" t="n"/>
      <c r="E21" s="10" t="n"/>
      <c r="F21" s="10" t="n"/>
      <c r="G21" s="10" t="n"/>
      <c r="H21" s="53" t="n"/>
    </row>
    <row r="22" ht="34" customHeight="1">
      <c r="B22" s="10" t="n"/>
      <c r="C22" s="10" t="n"/>
      <c r="D22" s="10" t="n"/>
      <c r="E22" s="10" t="n"/>
      <c r="F22" s="10" t="n"/>
      <c r="G22" s="10" t="n"/>
      <c r="H22" s="53" t="n"/>
    </row>
    <row r="23" ht="49" customHeight="1">
      <c r="B23" s="27" t="n"/>
    </row>
    <row r="24"/>
    <row r="25" ht="19" customHeight="1">
      <c r="A25" s="54" t="inlineStr">
        <is>
          <t>V4 · COST / FORECAST VISUAL WITHHELD</t>
        </is>
      </c>
    </row>
    <row r="26" ht="47" customHeight="1">
      <c r="A26" s="46" t="inlineStr">
        <is>
          <t>Withheld: current generic field-name recognition is not a governed quantitative contract. Measure meaning, currency/unit, period, grain, WBS basis, allocation and unresolved treatment must all be established.</t>
        </is>
      </c>
    </row>
    <row r="27" ht="47" customHeight="1"/>
  </sheetData>
  <autoFilter ref="A5:I11"/>
  <mergeCells count="8">
    <mergeCell ref="A1:D1"/>
    <mergeCell ref="K3:O3"/>
    <mergeCell ref="K12:O12"/>
    <mergeCell ref="A26:B27"/>
    <mergeCell ref="A25:B25"/>
    <mergeCell ref="A14:J15"/>
    <mergeCell ref="A2:D2"/>
    <mergeCell ref="K4:O4"/>
  </mergeCells>
  <conditionalFormatting sqref="B23">
    <cfRule type="expression" priority="1" dxfId="0">
      <formula>ISNUMBER(SEARCH("Unresolved",B23))</formula>
    </cfRule>
  </conditionalFormatting>
  <conditionalFormatting sqref="A26">
    <cfRule type="expression" priority="2" dxfId="0">
      <formula>ISNUMBER(SEARCH("Unresolved",A26))</formula>
    </cfRule>
  </conditionalFormatting>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I6" r:id="rId10"/>
    <hyperlink xmlns:r="http://schemas.openxmlformats.org/officeDocument/2006/relationships" ref="I7" r:id="rId11"/>
    <hyperlink xmlns:r="http://schemas.openxmlformats.org/officeDocument/2006/relationships" ref="I8" r:id="rId12"/>
    <hyperlink xmlns:r="http://schemas.openxmlformats.org/officeDocument/2006/relationships" ref="I9" r:id="rId13"/>
    <hyperlink xmlns:r="http://schemas.openxmlformats.org/officeDocument/2006/relationships" ref="I10" r:id="rId14"/>
    <hyperlink xmlns:r="http://schemas.openxmlformats.org/officeDocument/2006/relationships" ref="I11" r:id="rId15"/>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00243553"/>
    <outlinePr summaryBelow="0" summaryRight="0"/>
    <pageSetUpPr fitToPage="1"/>
  </sheetPr>
  <dimension ref="A1:J85"/>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40" customWidth="1" min="2" max="2"/>
    <col width="22" customWidth="1" min="3" max="3"/>
    <col width="22" customWidth="1" min="4" max="4"/>
    <col width="24" customWidth="1" min="5" max="5"/>
    <col width="20" customWidth="1" min="6" max="6"/>
    <col width="17" customWidth="1" min="7" max="7"/>
    <col width="12" customWidth="1" min="8" max="8"/>
    <col width="46" customWidth="1" min="9" max="9"/>
    <col width="28" customWidth="1" min="10" max="10"/>
  </cols>
  <sheetData>
    <row r="1" ht="33.2" customHeight="1">
      <c r="A1" s="97" t="inlineStr">
        <is>
          <t>INTEGRATED PROJECT</t>
        </is>
      </c>
    </row>
    <row r="2" ht="42" customHeight="1">
      <c r="A2" s="46" t="inlineStr">
        <is>
          <t>Detailed approved scope levels and their source relationship counts; use 09 WBS EXPLORER for primary navigation.</t>
        </is>
      </c>
    </row>
    <row r="3" ht="19"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row>
    <row r="4"/>
    <row r="5" ht="34" customHeight="1">
      <c r="A5" s="11" t="inlineStr">
        <is>
          <t>WBS</t>
        </is>
      </c>
      <c r="B5" s="11" t="inlineStr">
        <is>
          <t>Scope</t>
        </is>
      </c>
      <c r="C5" s="11" t="inlineStr">
        <is>
          <t>Schedule relationships</t>
        </is>
      </c>
      <c r="D5" s="11" t="inlineStr">
        <is>
          <t>Cost relationships</t>
        </is>
      </c>
      <c r="E5" s="11" t="inlineStr">
        <is>
          <t>Package / contract relationships</t>
        </is>
      </c>
      <c r="F5" s="11" t="inlineStr">
        <is>
          <t>Other relationships</t>
        </is>
      </c>
      <c r="G5" s="11" t="inlineStr">
        <is>
          <t>Open / unresolved</t>
        </is>
      </c>
      <c r="H5" s="11" t="inlineStr">
        <is>
          <t>Changed</t>
        </is>
      </c>
      <c r="I5" s="11" t="inlineStr">
        <is>
          <t>Current integration observation</t>
        </is>
      </c>
      <c r="J5" s="11" t="inlineStr">
        <is>
          <t>Drill to proof</t>
        </is>
      </c>
    </row>
    <row r="6" ht="64" customHeight="1">
      <c r="A6" s="55" t="inlineStr"/>
      <c r="B6" s="55" t="inlineStr">
        <is>
          <t>HarbourLink Urban Transit Expansion</t>
        </is>
      </c>
      <c r="C6" s="55" t="inlineStr">
        <is>
          <t>898 governed relationships</t>
        </is>
      </c>
      <c r="D6" s="55" t="inlineStr">
        <is>
          <t>399 governed relationships</t>
        </is>
      </c>
      <c r="E6" s="55" t="inlineStr">
        <is>
          <t>60 governed relationships</t>
        </is>
      </c>
      <c r="F6" s="55" t="inlineStr">
        <is>
          <t>0 governed relationships</t>
        </is>
      </c>
      <c r="G6" s="56" t="n">
        <v>0</v>
      </c>
      <c r="H6" s="56" t="n">
        <v>1357</v>
      </c>
      <c r="I6" s="55" t="inlineStr">
        <is>
          <t>Schedule and cost both relate through this WBS branch. 60 package/contract relationships also project through this branch.</t>
        </is>
      </c>
      <c r="J6" s="17" t="inlineStr">
        <is>
          <t xml:space="preserve">08 CROSSWALK: WBS </t>
        </is>
      </c>
    </row>
    <row r="7" ht="64" customHeight="1">
      <c r="A7" s="55" t="inlineStr">
        <is>
          <t>1</t>
        </is>
      </c>
      <c r="B7" s="57" t="inlineStr">
        <is>
          <t>HarbourLink Urban Transit Expansion</t>
        </is>
      </c>
      <c r="C7" s="55" t="inlineStr">
        <is>
          <t>898 governed relationships</t>
        </is>
      </c>
      <c r="D7" s="55" t="inlineStr">
        <is>
          <t>399 governed relationships</t>
        </is>
      </c>
      <c r="E7" s="55" t="inlineStr">
        <is>
          <t>60 governed relationships</t>
        </is>
      </c>
      <c r="F7" s="55" t="inlineStr">
        <is>
          <t>0 governed relationships</t>
        </is>
      </c>
      <c r="G7" s="56" t="n">
        <v>0</v>
      </c>
      <c r="H7" s="56" t="n">
        <v>1357</v>
      </c>
      <c r="I7" s="55" t="inlineStr">
        <is>
          <t>Schedule and cost both relate through this WBS branch. 60 package/contract relationships also project through this branch.</t>
        </is>
      </c>
      <c r="J7" s="17" t="inlineStr">
        <is>
          <t>08 CROSSWALK: WBS 1</t>
        </is>
      </c>
    </row>
    <row r="8" ht="64" customHeight="1">
      <c r="A8" s="12" t="inlineStr">
        <is>
          <t>1.1</t>
        </is>
      </c>
      <c r="B8" s="58" t="inlineStr">
        <is>
          <t>Guideway and Civil</t>
        </is>
      </c>
      <c r="C8" s="12" t="inlineStr">
        <is>
          <t>180 governed relationships</t>
        </is>
      </c>
      <c r="D8" s="12" t="inlineStr">
        <is>
          <t>80 governed relationships</t>
        </is>
      </c>
      <c r="E8" s="12" t="inlineStr">
        <is>
          <t>10 governed relationships</t>
        </is>
      </c>
      <c r="F8" s="12" t="inlineStr">
        <is>
          <t>0 governed relationships</t>
        </is>
      </c>
      <c r="G8" s="32" t="n">
        <v>0</v>
      </c>
      <c r="H8" s="32" t="n">
        <v>270</v>
      </c>
      <c r="I8" s="12" t="inlineStr">
        <is>
          <t>Schedule and cost both relate through this WBS branch. 10 package/contract relationships also project through this branch.</t>
        </is>
      </c>
      <c r="J8" s="17" t="inlineStr">
        <is>
          <t>08 CROSSWALK: WBS 1.1</t>
        </is>
      </c>
    </row>
    <row r="9" ht="34" customHeight="1">
      <c r="A9" s="12" t="inlineStr">
        <is>
          <t>1.1.1</t>
        </is>
      </c>
      <c r="B9" s="59" t="inlineStr">
        <is>
          <t>Guideway and Civil - Guideway Structures</t>
        </is>
      </c>
      <c r="C9" s="12" t="inlineStr">
        <is>
          <t>120 governed relationships</t>
        </is>
      </c>
      <c r="D9" s="12" t="inlineStr">
        <is>
          <t>40 governed relationships</t>
        </is>
      </c>
      <c r="E9" s="12" t="inlineStr">
        <is>
          <t>0 governed relationships</t>
        </is>
      </c>
      <c r="F9" s="12" t="inlineStr">
        <is>
          <t>0 governed relationships</t>
        </is>
      </c>
      <c r="G9" s="32" t="n">
        <v>0</v>
      </c>
      <c r="H9" s="32" t="n">
        <v>160</v>
      </c>
      <c r="I9" s="12" t="inlineStr">
        <is>
          <t>Schedule and cost both relate through this WBS branch.</t>
        </is>
      </c>
      <c r="J9" s="17" t="inlineStr">
        <is>
          <t>08 CROSSWALK: WBS 1.1.1</t>
        </is>
      </c>
    </row>
    <row r="10" ht="34" customHeight="1">
      <c r="A10" s="12" t="inlineStr">
        <is>
          <t>1.1.1.1</t>
        </is>
      </c>
      <c r="B10" s="60" t="inlineStr">
        <is>
          <t>Guideway Structures - East Segment</t>
        </is>
      </c>
      <c r="C10" s="12" t="inlineStr">
        <is>
          <t>0 governed relationships</t>
        </is>
      </c>
      <c r="D10" s="12" t="inlineStr">
        <is>
          <t>0 governed relationships</t>
        </is>
      </c>
      <c r="E10" s="12" t="inlineStr">
        <is>
          <t>0 governed relationships</t>
        </is>
      </c>
      <c r="F10" s="12" t="inlineStr">
        <is>
          <t>0 governed relationships</t>
        </is>
      </c>
      <c r="G10" s="32" t="n">
        <v>0</v>
      </c>
      <c r="H10" s="32" t="n">
        <v>0</v>
      </c>
      <c r="I10" s="12" t="inlineStr">
        <is>
          <t>No governed schedule or cost relationships in this WBS branch.</t>
        </is>
      </c>
      <c r="J10" s="17" t="inlineStr">
        <is>
          <t>08 CROSSWALK: WBS 1.1.1.1</t>
        </is>
      </c>
    </row>
    <row r="11" ht="34" customHeight="1">
      <c r="A11" s="12" t="inlineStr">
        <is>
          <t>1.1.1.2</t>
        </is>
      </c>
      <c r="B11" s="60" t="inlineStr">
        <is>
          <t>Guideway Structures - West Segment</t>
        </is>
      </c>
      <c r="C11" s="12" t="inlineStr">
        <is>
          <t>0 governed relationships</t>
        </is>
      </c>
      <c r="D11" s="12" t="inlineStr">
        <is>
          <t>0 governed relationships</t>
        </is>
      </c>
      <c r="E11" s="12" t="inlineStr">
        <is>
          <t>0 governed relationships</t>
        </is>
      </c>
      <c r="F11" s="12" t="inlineStr">
        <is>
          <t>0 governed relationships</t>
        </is>
      </c>
      <c r="G11" s="32" t="n">
        <v>0</v>
      </c>
      <c r="H11" s="32" t="n">
        <v>0</v>
      </c>
      <c r="I11" s="12" t="inlineStr">
        <is>
          <t>No governed schedule or cost relationships in this WBS branch.</t>
        </is>
      </c>
      <c r="J11" s="17" t="inlineStr">
        <is>
          <t>08 CROSSWALK: WBS 1.1.1.2</t>
        </is>
      </c>
    </row>
    <row r="12" ht="34" customHeight="1">
      <c r="A12" s="12" t="inlineStr">
        <is>
          <t>1.1.2</t>
        </is>
      </c>
      <c r="B12" s="59" t="inlineStr">
        <is>
          <t>Guideway and Civil - Utility &amp; Roadworks</t>
        </is>
      </c>
      <c r="C12" s="12" t="inlineStr">
        <is>
          <t>60 governed relationships</t>
        </is>
      </c>
      <c r="D12" s="12" t="inlineStr">
        <is>
          <t>40 governed relationships</t>
        </is>
      </c>
      <c r="E12" s="12" t="inlineStr">
        <is>
          <t>0 governed relationships</t>
        </is>
      </c>
      <c r="F12" s="12" t="inlineStr">
        <is>
          <t>0 governed relationships</t>
        </is>
      </c>
      <c r="G12" s="32" t="n">
        <v>0</v>
      </c>
      <c r="H12" s="32" t="n">
        <v>100</v>
      </c>
      <c r="I12" s="12" t="inlineStr">
        <is>
          <t>Schedule and cost both relate through this WBS branch.</t>
        </is>
      </c>
      <c r="J12" s="17" t="inlineStr">
        <is>
          <t>08 CROSSWALK: WBS 1.1.2</t>
        </is>
      </c>
    </row>
    <row r="13" ht="34" customHeight="1">
      <c r="A13" s="12" t="inlineStr">
        <is>
          <t>1.1.2.1</t>
        </is>
      </c>
      <c r="B13" s="60" t="inlineStr">
        <is>
          <t>Utility &amp; Roadworks - East Segment</t>
        </is>
      </c>
      <c r="C13" s="12" t="inlineStr">
        <is>
          <t>0 governed relationships</t>
        </is>
      </c>
      <c r="D13" s="12" t="inlineStr">
        <is>
          <t>0 governed relationships</t>
        </is>
      </c>
      <c r="E13" s="12" t="inlineStr">
        <is>
          <t>0 governed relationships</t>
        </is>
      </c>
      <c r="F13" s="12" t="inlineStr">
        <is>
          <t>0 governed relationships</t>
        </is>
      </c>
      <c r="G13" s="32" t="n">
        <v>0</v>
      </c>
      <c r="H13" s="32" t="n">
        <v>0</v>
      </c>
      <c r="I13" s="12" t="inlineStr">
        <is>
          <t>No governed schedule or cost relationships in this WBS branch.</t>
        </is>
      </c>
      <c r="J13" s="17" t="inlineStr">
        <is>
          <t>08 CROSSWALK: WBS 1.1.2.1</t>
        </is>
      </c>
    </row>
    <row r="14" ht="34" customHeight="1">
      <c r="A14" s="12" t="inlineStr">
        <is>
          <t>1.1.2.2</t>
        </is>
      </c>
      <c r="B14" s="60" t="inlineStr">
        <is>
          <t>Utility &amp; Roadworks - West Segment</t>
        </is>
      </c>
      <c r="C14" s="12" t="inlineStr">
        <is>
          <t>0 governed relationships</t>
        </is>
      </c>
      <c r="D14" s="12" t="inlineStr">
        <is>
          <t>0 governed relationships</t>
        </is>
      </c>
      <c r="E14" s="12" t="inlineStr">
        <is>
          <t>0 governed relationships</t>
        </is>
      </c>
      <c r="F14" s="12" t="inlineStr">
        <is>
          <t>0 governed relationships</t>
        </is>
      </c>
      <c r="G14" s="32" t="n">
        <v>0</v>
      </c>
      <c r="H14" s="32" t="n">
        <v>0</v>
      </c>
      <c r="I14" s="12" t="inlineStr">
        <is>
          <t>No governed schedule or cost relationships in this WBS branch.</t>
        </is>
      </c>
      <c r="J14" s="17" t="inlineStr">
        <is>
          <t>08 CROSSWALK: WBS 1.1.2.2</t>
        </is>
      </c>
    </row>
    <row r="15" ht="34" customHeight="1">
      <c r="A15" s="12" t="inlineStr">
        <is>
          <t>1.1.3</t>
        </is>
      </c>
      <c r="B15" s="59" t="inlineStr">
        <is>
          <t>Guideway and Civil - Track Support Works</t>
        </is>
      </c>
      <c r="C15" s="12" t="inlineStr">
        <is>
          <t>0 governed relationships</t>
        </is>
      </c>
      <c r="D15" s="12" t="inlineStr">
        <is>
          <t>0 governed relationships</t>
        </is>
      </c>
      <c r="E15" s="12" t="inlineStr">
        <is>
          <t>0 governed relationships</t>
        </is>
      </c>
      <c r="F15" s="12" t="inlineStr">
        <is>
          <t>0 governed relationships</t>
        </is>
      </c>
      <c r="G15" s="32" t="n">
        <v>0</v>
      </c>
      <c r="H15" s="32" t="n">
        <v>0</v>
      </c>
      <c r="I15" s="12" t="inlineStr">
        <is>
          <t>No governed schedule or cost relationships in this WBS branch.</t>
        </is>
      </c>
      <c r="J15" s="17" t="inlineStr">
        <is>
          <t>08 CROSSWALK: WBS 1.1.3</t>
        </is>
      </c>
    </row>
    <row r="16" ht="34" customHeight="1">
      <c r="A16" s="12" t="inlineStr">
        <is>
          <t>1.1.3.1</t>
        </is>
      </c>
      <c r="B16" s="60" t="inlineStr">
        <is>
          <t>Track Support Works - East Segment</t>
        </is>
      </c>
      <c r="C16" s="12" t="inlineStr">
        <is>
          <t>0 governed relationships</t>
        </is>
      </c>
      <c r="D16" s="12" t="inlineStr">
        <is>
          <t>0 governed relationships</t>
        </is>
      </c>
      <c r="E16" s="12" t="inlineStr">
        <is>
          <t>0 governed relationships</t>
        </is>
      </c>
      <c r="F16" s="12" t="inlineStr">
        <is>
          <t>0 governed relationships</t>
        </is>
      </c>
      <c r="G16" s="32" t="n">
        <v>0</v>
      </c>
      <c r="H16" s="32" t="n">
        <v>0</v>
      </c>
      <c r="I16" s="12" t="inlineStr">
        <is>
          <t>No governed schedule or cost relationships in this WBS branch.</t>
        </is>
      </c>
      <c r="J16" s="17" t="inlineStr">
        <is>
          <t>08 CROSSWALK: WBS 1.1.3.1</t>
        </is>
      </c>
    </row>
    <row r="17" ht="34" customHeight="1">
      <c r="A17" s="12" t="inlineStr">
        <is>
          <t>1.1.3.2</t>
        </is>
      </c>
      <c r="B17" s="60" t="inlineStr">
        <is>
          <t>Track Support Works - West Segment</t>
        </is>
      </c>
      <c r="C17" s="12" t="inlineStr">
        <is>
          <t>0 governed relationships</t>
        </is>
      </c>
      <c r="D17" s="12" t="inlineStr">
        <is>
          <t>0 governed relationships</t>
        </is>
      </c>
      <c r="E17" s="12" t="inlineStr">
        <is>
          <t>0 governed relationships</t>
        </is>
      </c>
      <c r="F17" s="12" t="inlineStr">
        <is>
          <t>0 governed relationships</t>
        </is>
      </c>
      <c r="G17" s="32" t="n">
        <v>0</v>
      </c>
      <c r="H17" s="32" t="n">
        <v>0</v>
      </c>
      <c r="I17" s="12" t="inlineStr">
        <is>
          <t>No governed schedule or cost relationships in this WBS branch.</t>
        </is>
      </c>
      <c r="J17" s="17" t="inlineStr">
        <is>
          <t>08 CROSSWALK: WBS 1.1.3.2</t>
        </is>
      </c>
    </row>
    <row r="18" ht="34" customHeight="1">
      <c r="A18" s="12" t="inlineStr">
        <is>
          <t>1.1.4</t>
        </is>
      </c>
      <c r="B18" s="59" t="inlineStr">
        <is>
          <t>Guideway and Civil - Civil Interfaces</t>
        </is>
      </c>
      <c r="C18" s="12" t="inlineStr">
        <is>
          <t>0 governed relationships</t>
        </is>
      </c>
      <c r="D18" s="12" t="inlineStr">
        <is>
          <t>0 governed relationships</t>
        </is>
      </c>
      <c r="E18" s="12" t="inlineStr">
        <is>
          <t>0 governed relationships</t>
        </is>
      </c>
      <c r="F18" s="12" t="inlineStr">
        <is>
          <t>0 governed relationships</t>
        </is>
      </c>
      <c r="G18" s="32" t="n">
        <v>0</v>
      </c>
      <c r="H18" s="32" t="n">
        <v>0</v>
      </c>
      <c r="I18" s="12" t="inlineStr">
        <is>
          <t>No governed schedule or cost relationships in this WBS branch.</t>
        </is>
      </c>
      <c r="J18" s="17" t="inlineStr">
        <is>
          <t>08 CROSSWALK: WBS 1.1.4</t>
        </is>
      </c>
    </row>
    <row r="19" ht="34" customHeight="1">
      <c r="A19" s="12" t="inlineStr">
        <is>
          <t>1.1.4.1</t>
        </is>
      </c>
      <c r="B19" s="60" t="inlineStr">
        <is>
          <t>Civil Interfaces - East Segment</t>
        </is>
      </c>
      <c r="C19" s="12" t="inlineStr">
        <is>
          <t>0 governed relationships</t>
        </is>
      </c>
      <c r="D19" s="12" t="inlineStr">
        <is>
          <t>0 governed relationships</t>
        </is>
      </c>
      <c r="E19" s="12" t="inlineStr">
        <is>
          <t>0 governed relationships</t>
        </is>
      </c>
      <c r="F19" s="12" t="inlineStr">
        <is>
          <t>0 governed relationships</t>
        </is>
      </c>
      <c r="G19" s="32" t="n">
        <v>0</v>
      </c>
      <c r="H19" s="32" t="n">
        <v>0</v>
      </c>
      <c r="I19" s="12" t="inlineStr">
        <is>
          <t>No governed schedule or cost relationships in this WBS branch.</t>
        </is>
      </c>
      <c r="J19" s="17" t="inlineStr">
        <is>
          <t>08 CROSSWALK: WBS 1.1.4.1</t>
        </is>
      </c>
    </row>
    <row r="20" ht="34" customHeight="1">
      <c r="A20" s="12" t="inlineStr">
        <is>
          <t>1.1.4.2</t>
        </is>
      </c>
      <c r="B20" s="60" t="inlineStr">
        <is>
          <t>Civil Interfaces - West Segment</t>
        </is>
      </c>
      <c r="C20" s="12" t="inlineStr">
        <is>
          <t>0 governed relationships</t>
        </is>
      </c>
      <c r="D20" s="12" t="inlineStr">
        <is>
          <t>0 governed relationships</t>
        </is>
      </c>
      <c r="E20" s="12" t="inlineStr">
        <is>
          <t>0 governed relationships</t>
        </is>
      </c>
      <c r="F20" s="12" t="inlineStr">
        <is>
          <t>0 governed relationships</t>
        </is>
      </c>
      <c r="G20" s="32" t="n">
        <v>0</v>
      </c>
      <c r="H20" s="32" t="n">
        <v>0</v>
      </c>
      <c r="I20" s="12" t="inlineStr">
        <is>
          <t>No governed schedule or cost relationships in this WBS branch.</t>
        </is>
      </c>
      <c r="J20" s="17" t="inlineStr">
        <is>
          <t>08 CROSSWALK: WBS 1.1.4.2</t>
        </is>
      </c>
    </row>
    <row r="21" ht="64" customHeight="1">
      <c r="A21" s="12" t="inlineStr">
        <is>
          <t>1.2</t>
        </is>
      </c>
      <c r="B21" s="58" t="inlineStr">
        <is>
          <t>Stations</t>
        </is>
      </c>
      <c r="C21" s="12" t="inlineStr">
        <is>
          <t>179 governed relationships</t>
        </is>
      </c>
      <c r="D21" s="12" t="inlineStr">
        <is>
          <t>80 governed relationships</t>
        </is>
      </c>
      <c r="E21" s="12" t="inlineStr">
        <is>
          <t>11 governed relationships</t>
        </is>
      </c>
      <c r="F21" s="12" t="inlineStr">
        <is>
          <t>0 governed relationships</t>
        </is>
      </c>
      <c r="G21" s="32" t="n">
        <v>0</v>
      </c>
      <c r="H21" s="32" t="n">
        <v>270</v>
      </c>
      <c r="I21" s="12" t="inlineStr">
        <is>
          <t>Schedule and cost both relate through this WBS branch. 11 package/contract relationships also project through this branch.</t>
        </is>
      </c>
      <c r="J21" s="17" t="inlineStr">
        <is>
          <t>08 CROSSWALK: WBS 1.2</t>
        </is>
      </c>
    </row>
    <row r="22" ht="34" customHeight="1">
      <c r="A22" s="12" t="inlineStr">
        <is>
          <t>1.2.1</t>
        </is>
      </c>
      <c r="B22" s="59" t="inlineStr">
        <is>
          <t>Stations - Station Structures</t>
        </is>
      </c>
      <c r="C22" s="12" t="inlineStr">
        <is>
          <t>120 governed relationships</t>
        </is>
      </c>
      <c r="D22" s="12" t="inlineStr">
        <is>
          <t>40 governed relationships</t>
        </is>
      </c>
      <c r="E22" s="12" t="inlineStr">
        <is>
          <t>0 governed relationships</t>
        </is>
      </c>
      <c r="F22" s="12" t="inlineStr">
        <is>
          <t>0 governed relationships</t>
        </is>
      </c>
      <c r="G22" s="32" t="n">
        <v>0</v>
      </c>
      <c r="H22" s="32" t="n">
        <v>160</v>
      </c>
      <c r="I22" s="12" t="inlineStr">
        <is>
          <t>Schedule and cost both relate through this WBS branch.</t>
        </is>
      </c>
      <c r="J22" s="17" t="inlineStr">
        <is>
          <t>08 CROSSWALK: WBS 1.2.1</t>
        </is>
      </c>
    </row>
    <row r="23" ht="34" customHeight="1">
      <c r="A23" s="12" t="inlineStr">
        <is>
          <t>1.2.1.1</t>
        </is>
      </c>
      <c r="B23" s="60" t="inlineStr">
        <is>
          <t>Station Structures - Concourse &amp; Entries</t>
        </is>
      </c>
      <c r="C23" s="12" t="inlineStr">
        <is>
          <t>0 governed relationships</t>
        </is>
      </c>
      <c r="D23" s="12" t="inlineStr">
        <is>
          <t>0 governed relationships</t>
        </is>
      </c>
      <c r="E23" s="12" t="inlineStr">
        <is>
          <t>0 governed relationships</t>
        </is>
      </c>
      <c r="F23" s="12" t="inlineStr">
        <is>
          <t>0 governed relationships</t>
        </is>
      </c>
      <c r="G23" s="32" t="n">
        <v>0</v>
      </c>
      <c r="H23" s="32" t="n">
        <v>0</v>
      </c>
      <c r="I23" s="12" t="inlineStr">
        <is>
          <t>No governed schedule or cost relationships in this WBS branch.</t>
        </is>
      </c>
      <c r="J23" s="17" t="inlineStr">
        <is>
          <t>08 CROSSWALK: WBS 1.2.1.1</t>
        </is>
      </c>
    </row>
    <row r="24" ht="34" customHeight="1">
      <c r="A24" s="12" t="inlineStr">
        <is>
          <t>1.2.1.2</t>
        </is>
      </c>
      <c r="B24" s="60" t="inlineStr">
        <is>
          <t>Station Structures - Platforms &amp; Back-of-House</t>
        </is>
      </c>
      <c r="C24" s="12" t="inlineStr">
        <is>
          <t>0 governed relationships</t>
        </is>
      </c>
      <c r="D24" s="12" t="inlineStr">
        <is>
          <t>0 governed relationships</t>
        </is>
      </c>
      <c r="E24" s="12" t="inlineStr">
        <is>
          <t>0 governed relationships</t>
        </is>
      </c>
      <c r="F24" s="12" t="inlineStr">
        <is>
          <t>0 governed relationships</t>
        </is>
      </c>
      <c r="G24" s="32" t="n">
        <v>0</v>
      </c>
      <c r="H24" s="32" t="n">
        <v>0</v>
      </c>
      <c r="I24" s="12" t="inlineStr">
        <is>
          <t>No governed schedule or cost relationships in this WBS branch.</t>
        </is>
      </c>
      <c r="J24" s="17" t="inlineStr">
        <is>
          <t>08 CROSSWALK: WBS 1.2.1.2</t>
        </is>
      </c>
    </row>
    <row r="25" ht="34" customHeight="1">
      <c r="A25" s="12" t="inlineStr">
        <is>
          <t>1.2.2</t>
        </is>
      </c>
      <c r="B25" s="59" t="inlineStr">
        <is>
          <t>Stations - Architectural Fit-Out</t>
        </is>
      </c>
      <c r="C25" s="12" t="inlineStr">
        <is>
          <t>59 governed relationships</t>
        </is>
      </c>
      <c r="D25" s="12" t="inlineStr">
        <is>
          <t>40 governed relationships</t>
        </is>
      </c>
      <c r="E25" s="12" t="inlineStr">
        <is>
          <t>0 governed relationships</t>
        </is>
      </c>
      <c r="F25" s="12" t="inlineStr">
        <is>
          <t>0 governed relationships</t>
        </is>
      </c>
      <c r="G25" s="32" t="n">
        <v>0</v>
      </c>
      <c r="H25" s="32" t="n">
        <v>99</v>
      </c>
      <c r="I25" s="12" t="inlineStr">
        <is>
          <t>Schedule and cost both relate through this WBS branch.</t>
        </is>
      </c>
      <c r="J25" s="17" t="inlineStr">
        <is>
          <t>08 CROSSWALK: WBS 1.2.2</t>
        </is>
      </c>
    </row>
    <row r="26" ht="34" customHeight="1">
      <c r="A26" s="12" t="inlineStr">
        <is>
          <t>1.2.2.1</t>
        </is>
      </c>
      <c r="B26" s="60" t="inlineStr">
        <is>
          <t>Architectural Fit-Out - Concourse &amp; Entries</t>
        </is>
      </c>
      <c r="C26" s="12" t="inlineStr">
        <is>
          <t>0 governed relationships</t>
        </is>
      </c>
      <c r="D26" s="12" t="inlineStr">
        <is>
          <t>0 governed relationships</t>
        </is>
      </c>
      <c r="E26" s="12" t="inlineStr">
        <is>
          <t>0 governed relationships</t>
        </is>
      </c>
      <c r="F26" s="12" t="inlineStr">
        <is>
          <t>0 governed relationships</t>
        </is>
      </c>
      <c r="G26" s="32" t="n">
        <v>0</v>
      </c>
      <c r="H26" s="32" t="n">
        <v>0</v>
      </c>
      <c r="I26" s="12" t="inlineStr">
        <is>
          <t>No governed schedule or cost relationships in this WBS branch.</t>
        </is>
      </c>
      <c r="J26" s="17" t="inlineStr">
        <is>
          <t>08 CROSSWALK: WBS 1.2.2.1</t>
        </is>
      </c>
    </row>
    <row r="27" ht="34" customHeight="1">
      <c r="A27" s="12" t="inlineStr">
        <is>
          <t>1.2.2.2</t>
        </is>
      </c>
      <c r="B27" s="60" t="inlineStr">
        <is>
          <t>Architectural Fit-Out - Platforms &amp; Back-of-House</t>
        </is>
      </c>
      <c r="C27" s="12" t="inlineStr">
        <is>
          <t>0 governed relationships</t>
        </is>
      </c>
      <c r="D27" s="12" t="inlineStr">
        <is>
          <t>0 governed relationships</t>
        </is>
      </c>
      <c r="E27" s="12" t="inlineStr">
        <is>
          <t>0 governed relationships</t>
        </is>
      </c>
      <c r="F27" s="12" t="inlineStr">
        <is>
          <t>0 governed relationships</t>
        </is>
      </c>
      <c r="G27" s="32" t="n">
        <v>0</v>
      </c>
      <c r="H27" s="32" t="n">
        <v>0</v>
      </c>
      <c r="I27" s="12" t="inlineStr">
        <is>
          <t>No governed schedule or cost relationships in this WBS branch.</t>
        </is>
      </c>
      <c r="J27" s="17" t="inlineStr">
        <is>
          <t>08 CROSSWALK: WBS 1.2.2.2</t>
        </is>
      </c>
    </row>
    <row r="28" ht="34" customHeight="1">
      <c r="A28" s="12" t="inlineStr">
        <is>
          <t>1.2.3</t>
        </is>
      </c>
      <c r="B28" s="59" t="inlineStr">
        <is>
          <t>Stations - Station Building Services</t>
        </is>
      </c>
      <c r="C28" s="12" t="inlineStr">
        <is>
          <t>0 governed relationships</t>
        </is>
      </c>
      <c r="D28" s="12" t="inlineStr">
        <is>
          <t>0 governed relationships</t>
        </is>
      </c>
      <c r="E28" s="12" t="inlineStr">
        <is>
          <t>0 governed relationships</t>
        </is>
      </c>
      <c r="F28" s="12" t="inlineStr">
        <is>
          <t>0 governed relationships</t>
        </is>
      </c>
      <c r="G28" s="32" t="n">
        <v>0</v>
      </c>
      <c r="H28" s="32" t="n">
        <v>0</v>
      </c>
      <c r="I28" s="12" t="inlineStr">
        <is>
          <t>No governed schedule or cost relationships in this WBS branch.</t>
        </is>
      </c>
      <c r="J28" s="17" t="inlineStr">
        <is>
          <t>08 CROSSWALK: WBS 1.2.3</t>
        </is>
      </c>
    </row>
    <row r="29" ht="34" customHeight="1">
      <c r="A29" s="12" t="inlineStr">
        <is>
          <t>1.2.3.1</t>
        </is>
      </c>
      <c r="B29" s="60" t="inlineStr">
        <is>
          <t>Station Building Services - Concourse &amp; Entries</t>
        </is>
      </c>
      <c r="C29" s="12" t="inlineStr">
        <is>
          <t>0 governed relationships</t>
        </is>
      </c>
      <c r="D29" s="12" t="inlineStr">
        <is>
          <t>0 governed relationships</t>
        </is>
      </c>
      <c r="E29" s="12" t="inlineStr">
        <is>
          <t>0 governed relationships</t>
        </is>
      </c>
      <c r="F29" s="12" t="inlineStr">
        <is>
          <t>0 governed relationships</t>
        </is>
      </c>
      <c r="G29" s="32" t="n">
        <v>0</v>
      </c>
      <c r="H29" s="32" t="n">
        <v>0</v>
      </c>
      <c r="I29" s="12" t="inlineStr">
        <is>
          <t>No governed schedule or cost relationships in this WBS branch.</t>
        </is>
      </c>
      <c r="J29" s="17" t="inlineStr">
        <is>
          <t>08 CROSSWALK: WBS 1.2.3.1</t>
        </is>
      </c>
    </row>
    <row r="30" ht="34" customHeight="1">
      <c r="A30" s="12" t="inlineStr">
        <is>
          <t>1.2.3.2</t>
        </is>
      </c>
      <c r="B30" s="60" t="inlineStr">
        <is>
          <t>Station Building Services - Platforms &amp; Back-of-House</t>
        </is>
      </c>
      <c r="C30" s="12" t="inlineStr">
        <is>
          <t>0 governed relationships</t>
        </is>
      </c>
      <c r="D30" s="12" t="inlineStr">
        <is>
          <t>0 governed relationships</t>
        </is>
      </c>
      <c r="E30" s="12" t="inlineStr">
        <is>
          <t>0 governed relationships</t>
        </is>
      </c>
      <c r="F30" s="12" t="inlineStr">
        <is>
          <t>0 governed relationships</t>
        </is>
      </c>
      <c r="G30" s="32" t="n">
        <v>0</v>
      </c>
      <c r="H30" s="32" t="n">
        <v>0</v>
      </c>
      <c r="I30" s="12" t="inlineStr">
        <is>
          <t>No governed schedule or cost relationships in this WBS branch.</t>
        </is>
      </c>
      <c r="J30" s="17" t="inlineStr">
        <is>
          <t>08 CROSSWALK: WBS 1.2.3.2</t>
        </is>
      </c>
    </row>
    <row r="31" ht="34" customHeight="1">
      <c r="A31" s="12" t="inlineStr">
        <is>
          <t>1.2.4</t>
        </is>
      </c>
      <c r="B31" s="59" t="inlineStr">
        <is>
          <t>Stations - Public Realm</t>
        </is>
      </c>
      <c r="C31" s="12" t="inlineStr">
        <is>
          <t>0 governed relationships</t>
        </is>
      </c>
      <c r="D31" s="12" t="inlineStr">
        <is>
          <t>0 governed relationships</t>
        </is>
      </c>
      <c r="E31" s="12" t="inlineStr">
        <is>
          <t>0 governed relationships</t>
        </is>
      </c>
      <c r="F31" s="12" t="inlineStr">
        <is>
          <t>0 governed relationships</t>
        </is>
      </c>
      <c r="G31" s="32" t="n">
        <v>0</v>
      </c>
      <c r="H31" s="32" t="n">
        <v>0</v>
      </c>
      <c r="I31" s="12" t="inlineStr">
        <is>
          <t>No governed schedule or cost relationships in this WBS branch.</t>
        </is>
      </c>
      <c r="J31" s="17" t="inlineStr">
        <is>
          <t>08 CROSSWALK: WBS 1.2.4</t>
        </is>
      </c>
    </row>
    <row r="32" ht="34" customHeight="1">
      <c r="A32" s="12" t="inlineStr">
        <is>
          <t>1.2.4.1</t>
        </is>
      </c>
      <c r="B32" s="60" t="inlineStr">
        <is>
          <t>Public Realm - Concourse &amp; Entries</t>
        </is>
      </c>
      <c r="C32" s="12" t="inlineStr">
        <is>
          <t>0 governed relationships</t>
        </is>
      </c>
      <c r="D32" s="12" t="inlineStr">
        <is>
          <t>0 governed relationships</t>
        </is>
      </c>
      <c r="E32" s="12" t="inlineStr">
        <is>
          <t>0 governed relationships</t>
        </is>
      </c>
      <c r="F32" s="12" t="inlineStr">
        <is>
          <t>0 governed relationships</t>
        </is>
      </c>
      <c r="G32" s="32" t="n">
        <v>0</v>
      </c>
      <c r="H32" s="32" t="n">
        <v>0</v>
      </c>
      <c r="I32" s="12" t="inlineStr">
        <is>
          <t>No governed schedule or cost relationships in this WBS branch.</t>
        </is>
      </c>
      <c r="J32" s="17" t="inlineStr">
        <is>
          <t>08 CROSSWALK: WBS 1.2.4.1</t>
        </is>
      </c>
    </row>
    <row r="33" ht="34" customHeight="1">
      <c r="A33" s="12" t="inlineStr">
        <is>
          <t>1.2.4.2</t>
        </is>
      </c>
      <c r="B33" s="60" t="inlineStr">
        <is>
          <t>Public Realm - Platforms &amp; Back-of-House</t>
        </is>
      </c>
      <c r="C33" s="12" t="inlineStr">
        <is>
          <t>0 governed relationships</t>
        </is>
      </c>
      <c r="D33" s="12" t="inlineStr">
        <is>
          <t>0 governed relationships</t>
        </is>
      </c>
      <c r="E33" s="12" t="inlineStr">
        <is>
          <t>0 governed relationships</t>
        </is>
      </c>
      <c r="F33" s="12" t="inlineStr">
        <is>
          <t>0 governed relationships</t>
        </is>
      </c>
      <c r="G33" s="32" t="n">
        <v>0</v>
      </c>
      <c r="H33" s="32" t="n">
        <v>0</v>
      </c>
      <c r="I33" s="12" t="inlineStr">
        <is>
          <t>No governed schedule or cost relationships in this WBS branch.</t>
        </is>
      </c>
      <c r="J33" s="17" t="inlineStr">
        <is>
          <t>08 CROSSWALK: WBS 1.2.4.2</t>
        </is>
      </c>
    </row>
    <row r="34" ht="64" customHeight="1">
      <c r="A34" s="12" t="inlineStr">
        <is>
          <t>1.3</t>
        </is>
      </c>
      <c r="B34" s="58" t="inlineStr">
        <is>
          <t>Systems</t>
        </is>
      </c>
      <c r="C34" s="12" t="inlineStr">
        <is>
          <t>180 governed relationships</t>
        </is>
      </c>
      <c r="D34" s="12" t="inlineStr">
        <is>
          <t>79 governed relationships</t>
        </is>
      </c>
      <c r="E34" s="12" t="inlineStr">
        <is>
          <t>10 governed relationships</t>
        </is>
      </c>
      <c r="F34" s="12" t="inlineStr">
        <is>
          <t>0 governed relationships</t>
        </is>
      </c>
      <c r="G34" s="32" t="n">
        <v>0</v>
      </c>
      <c r="H34" s="32" t="n">
        <v>269</v>
      </c>
      <c r="I34" s="12" t="inlineStr">
        <is>
          <t>Schedule and cost both relate through this WBS branch. 10 package/contract relationships also project through this branch.</t>
        </is>
      </c>
      <c r="J34" s="17" t="inlineStr">
        <is>
          <t>08 CROSSWALK: WBS 1.3</t>
        </is>
      </c>
    </row>
    <row r="35" ht="34" customHeight="1">
      <c r="A35" s="12" t="inlineStr">
        <is>
          <t>1.3.1</t>
        </is>
      </c>
      <c r="B35" s="59" t="inlineStr">
        <is>
          <t>Systems - Traction Power</t>
        </is>
      </c>
      <c r="C35" s="12" t="inlineStr">
        <is>
          <t>120 governed relationships</t>
        </is>
      </c>
      <c r="D35" s="12" t="inlineStr">
        <is>
          <t>40 governed relationships</t>
        </is>
      </c>
      <c r="E35" s="12" t="inlineStr">
        <is>
          <t>0 governed relationships</t>
        </is>
      </c>
      <c r="F35" s="12" t="inlineStr">
        <is>
          <t>0 governed relationships</t>
        </is>
      </c>
      <c r="G35" s="32" t="n">
        <v>0</v>
      </c>
      <c r="H35" s="32" t="n">
        <v>160</v>
      </c>
      <c r="I35" s="12" t="inlineStr">
        <is>
          <t>Schedule and cost both relate through this WBS branch.</t>
        </is>
      </c>
      <c r="J35" s="17" t="inlineStr">
        <is>
          <t>08 CROSSWALK: WBS 1.3.1</t>
        </is>
      </c>
    </row>
    <row r="36" ht="34" customHeight="1">
      <c r="A36" s="12" t="inlineStr">
        <is>
          <t>1.3.1.1</t>
        </is>
      </c>
      <c r="B36" s="60" t="inlineStr">
        <is>
          <t>Traction Power - Wayside</t>
        </is>
      </c>
      <c r="C36" s="12" t="inlineStr">
        <is>
          <t>0 governed relationships</t>
        </is>
      </c>
      <c r="D36" s="12" t="inlineStr">
        <is>
          <t>0 governed relationships</t>
        </is>
      </c>
      <c r="E36" s="12" t="inlineStr">
        <is>
          <t>0 governed relationships</t>
        </is>
      </c>
      <c r="F36" s="12" t="inlineStr">
        <is>
          <t>0 governed relationships</t>
        </is>
      </c>
      <c r="G36" s="32" t="n">
        <v>0</v>
      </c>
      <c r="H36" s="32" t="n">
        <v>0</v>
      </c>
      <c r="I36" s="12" t="inlineStr">
        <is>
          <t>No governed schedule or cost relationships in this WBS branch.</t>
        </is>
      </c>
      <c r="J36" s="17" t="inlineStr">
        <is>
          <t>08 CROSSWALK: WBS 1.3.1.1</t>
        </is>
      </c>
    </row>
    <row r="37" ht="34" customHeight="1">
      <c r="A37" s="12" t="inlineStr">
        <is>
          <t>1.3.1.2</t>
        </is>
      </c>
      <c r="B37" s="60" t="inlineStr">
        <is>
          <t>Traction Power - Control Centre &amp; Stations</t>
        </is>
      </c>
      <c r="C37" s="12" t="inlineStr">
        <is>
          <t>0 governed relationships</t>
        </is>
      </c>
      <c r="D37" s="12" t="inlineStr">
        <is>
          <t>0 governed relationships</t>
        </is>
      </c>
      <c r="E37" s="12" t="inlineStr">
        <is>
          <t>0 governed relationships</t>
        </is>
      </c>
      <c r="F37" s="12" t="inlineStr">
        <is>
          <t>0 governed relationships</t>
        </is>
      </c>
      <c r="G37" s="32" t="n">
        <v>0</v>
      </c>
      <c r="H37" s="32" t="n">
        <v>0</v>
      </c>
      <c r="I37" s="12" t="inlineStr">
        <is>
          <t>No governed schedule or cost relationships in this WBS branch.</t>
        </is>
      </c>
      <c r="J37" s="17" t="inlineStr">
        <is>
          <t>08 CROSSWALK: WBS 1.3.1.2</t>
        </is>
      </c>
    </row>
    <row r="38" ht="34" customHeight="1">
      <c r="A38" s="12" t="inlineStr">
        <is>
          <t>1.3.2</t>
        </is>
      </c>
      <c r="B38" s="59" t="inlineStr">
        <is>
          <t>Systems - Signalling &amp; Train Control</t>
        </is>
      </c>
      <c r="C38" s="12" t="inlineStr">
        <is>
          <t>60 governed relationships</t>
        </is>
      </c>
      <c r="D38" s="12" t="inlineStr">
        <is>
          <t>39 governed relationships</t>
        </is>
      </c>
      <c r="E38" s="12" t="inlineStr">
        <is>
          <t>0 governed relationships</t>
        </is>
      </c>
      <c r="F38" s="12" t="inlineStr">
        <is>
          <t>0 governed relationships</t>
        </is>
      </c>
      <c r="G38" s="32" t="n">
        <v>0</v>
      </c>
      <c r="H38" s="32" t="n">
        <v>99</v>
      </c>
      <c r="I38" s="12" t="inlineStr">
        <is>
          <t>Schedule and cost both relate through this WBS branch.</t>
        </is>
      </c>
      <c r="J38" s="17" t="inlineStr">
        <is>
          <t>08 CROSSWALK: WBS 1.3.2</t>
        </is>
      </c>
    </row>
    <row r="39" ht="34" customHeight="1">
      <c r="A39" s="12" t="inlineStr">
        <is>
          <t>1.3.2.1</t>
        </is>
      </c>
      <c r="B39" s="60" t="inlineStr">
        <is>
          <t>Signalling &amp; Train Control - Wayside</t>
        </is>
      </c>
      <c r="C39" s="12" t="inlineStr">
        <is>
          <t>0 governed relationships</t>
        </is>
      </c>
      <c r="D39" s="12" t="inlineStr">
        <is>
          <t>0 governed relationships</t>
        </is>
      </c>
      <c r="E39" s="12" t="inlineStr">
        <is>
          <t>0 governed relationships</t>
        </is>
      </c>
      <c r="F39" s="12" t="inlineStr">
        <is>
          <t>0 governed relationships</t>
        </is>
      </c>
      <c r="G39" s="32" t="n">
        <v>0</v>
      </c>
      <c r="H39" s="32" t="n">
        <v>0</v>
      </c>
      <c r="I39" s="12" t="inlineStr">
        <is>
          <t>No governed schedule or cost relationships in this WBS branch.</t>
        </is>
      </c>
      <c r="J39" s="17" t="inlineStr">
        <is>
          <t>08 CROSSWALK: WBS 1.3.2.1</t>
        </is>
      </c>
    </row>
    <row r="40" ht="34" customHeight="1">
      <c r="A40" s="12" t="inlineStr">
        <is>
          <t>1.3.2.2</t>
        </is>
      </c>
      <c r="B40" s="60" t="inlineStr">
        <is>
          <t>Signalling &amp; Train Control - Control Centre &amp; Stations</t>
        </is>
      </c>
      <c r="C40" s="12" t="inlineStr">
        <is>
          <t>0 governed relationships</t>
        </is>
      </c>
      <c r="D40" s="12" t="inlineStr">
        <is>
          <t>0 governed relationships</t>
        </is>
      </c>
      <c r="E40" s="12" t="inlineStr">
        <is>
          <t>0 governed relationships</t>
        </is>
      </c>
      <c r="F40" s="12" t="inlineStr">
        <is>
          <t>0 governed relationships</t>
        </is>
      </c>
      <c r="G40" s="32" t="n">
        <v>0</v>
      </c>
      <c r="H40" s="32" t="n">
        <v>0</v>
      </c>
      <c r="I40" s="12" t="inlineStr">
        <is>
          <t>No governed schedule or cost relationships in this WBS branch.</t>
        </is>
      </c>
      <c r="J40" s="17" t="inlineStr">
        <is>
          <t>08 CROSSWALK: WBS 1.3.2.2</t>
        </is>
      </c>
    </row>
    <row r="41" ht="34" customHeight="1">
      <c r="A41" s="12" t="inlineStr">
        <is>
          <t>1.3.3</t>
        </is>
      </c>
      <c r="B41" s="59" t="inlineStr">
        <is>
          <t>Systems - Communications</t>
        </is>
      </c>
      <c r="C41" s="12" t="inlineStr">
        <is>
          <t>0 governed relationships</t>
        </is>
      </c>
      <c r="D41" s="12" t="inlineStr">
        <is>
          <t>0 governed relationships</t>
        </is>
      </c>
      <c r="E41" s="12" t="inlineStr">
        <is>
          <t>0 governed relationships</t>
        </is>
      </c>
      <c r="F41" s="12" t="inlineStr">
        <is>
          <t>0 governed relationships</t>
        </is>
      </c>
      <c r="G41" s="32" t="n">
        <v>0</v>
      </c>
      <c r="H41" s="32" t="n">
        <v>0</v>
      </c>
      <c r="I41" s="12" t="inlineStr">
        <is>
          <t>No governed schedule or cost relationships in this WBS branch.</t>
        </is>
      </c>
      <c r="J41" s="17" t="inlineStr">
        <is>
          <t>08 CROSSWALK: WBS 1.3.3</t>
        </is>
      </c>
    </row>
    <row r="42" ht="34" customHeight="1">
      <c r="A42" s="12" t="inlineStr">
        <is>
          <t>1.3.3.1</t>
        </is>
      </c>
      <c r="B42" s="60" t="inlineStr">
        <is>
          <t>Communications - Wayside</t>
        </is>
      </c>
      <c r="C42" s="12" t="inlineStr">
        <is>
          <t>0 governed relationships</t>
        </is>
      </c>
      <c r="D42" s="12" t="inlineStr">
        <is>
          <t>0 governed relationships</t>
        </is>
      </c>
      <c r="E42" s="12" t="inlineStr">
        <is>
          <t>0 governed relationships</t>
        </is>
      </c>
      <c r="F42" s="12" t="inlineStr">
        <is>
          <t>0 governed relationships</t>
        </is>
      </c>
      <c r="G42" s="32" t="n">
        <v>0</v>
      </c>
      <c r="H42" s="32" t="n">
        <v>0</v>
      </c>
      <c r="I42" s="12" t="inlineStr">
        <is>
          <t>No governed schedule or cost relationships in this WBS branch.</t>
        </is>
      </c>
      <c r="J42" s="17" t="inlineStr">
        <is>
          <t>08 CROSSWALK: WBS 1.3.3.1</t>
        </is>
      </c>
    </row>
    <row r="43" ht="34" customHeight="1">
      <c r="A43" s="12" t="inlineStr">
        <is>
          <t>1.3.3.2</t>
        </is>
      </c>
      <c r="B43" s="60" t="inlineStr">
        <is>
          <t>Communications - Control Centre &amp; Stations</t>
        </is>
      </c>
      <c r="C43" s="12" t="inlineStr">
        <is>
          <t>0 governed relationships</t>
        </is>
      </c>
      <c r="D43" s="12" t="inlineStr">
        <is>
          <t>0 governed relationships</t>
        </is>
      </c>
      <c r="E43" s="12" t="inlineStr">
        <is>
          <t>0 governed relationships</t>
        </is>
      </c>
      <c r="F43" s="12" t="inlineStr">
        <is>
          <t>0 governed relationships</t>
        </is>
      </c>
      <c r="G43" s="32" t="n">
        <v>0</v>
      </c>
      <c r="H43" s="32" t="n">
        <v>0</v>
      </c>
      <c r="I43" s="12" t="inlineStr">
        <is>
          <t>No governed schedule or cost relationships in this WBS branch.</t>
        </is>
      </c>
      <c r="J43" s="17" t="inlineStr">
        <is>
          <t>08 CROSSWALK: WBS 1.3.3.2</t>
        </is>
      </c>
    </row>
    <row r="44" ht="34" customHeight="1">
      <c r="A44" s="12" t="inlineStr">
        <is>
          <t>1.3.4</t>
        </is>
      </c>
      <c r="B44" s="59" t="inlineStr">
        <is>
          <t>Systems - Systems Integration</t>
        </is>
      </c>
      <c r="C44" s="12" t="inlineStr">
        <is>
          <t>0 governed relationships</t>
        </is>
      </c>
      <c r="D44" s="12" t="inlineStr">
        <is>
          <t>0 governed relationships</t>
        </is>
      </c>
      <c r="E44" s="12" t="inlineStr">
        <is>
          <t>0 governed relationships</t>
        </is>
      </c>
      <c r="F44" s="12" t="inlineStr">
        <is>
          <t>0 governed relationships</t>
        </is>
      </c>
      <c r="G44" s="32" t="n">
        <v>0</v>
      </c>
      <c r="H44" s="32" t="n">
        <v>0</v>
      </c>
      <c r="I44" s="12" t="inlineStr">
        <is>
          <t>No governed schedule or cost relationships in this WBS branch.</t>
        </is>
      </c>
      <c r="J44" s="17" t="inlineStr">
        <is>
          <t>08 CROSSWALK: WBS 1.3.4</t>
        </is>
      </c>
    </row>
    <row r="45" ht="34" customHeight="1">
      <c r="A45" s="12" t="inlineStr">
        <is>
          <t>1.3.4.1</t>
        </is>
      </c>
      <c r="B45" s="60" t="inlineStr">
        <is>
          <t>Systems Integration - Wayside</t>
        </is>
      </c>
      <c r="C45" s="12" t="inlineStr">
        <is>
          <t>0 governed relationships</t>
        </is>
      </c>
      <c r="D45" s="12" t="inlineStr">
        <is>
          <t>0 governed relationships</t>
        </is>
      </c>
      <c r="E45" s="12" t="inlineStr">
        <is>
          <t>0 governed relationships</t>
        </is>
      </c>
      <c r="F45" s="12" t="inlineStr">
        <is>
          <t>0 governed relationships</t>
        </is>
      </c>
      <c r="G45" s="32" t="n">
        <v>0</v>
      </c>
      <c r="H45" s="32" t="n">
        <v>0</v>
      </c>
      <c r="I45" s="12" t="inlineStr">
        <is>
          <t>No governed schedule or cost relationships in this WBS branch.</t>
        </is>
      </c>
      <c r="J45" s="17" t="inlineStr">
        <is>
          <t>08 CROSSWALK: WBS 1.3.4.1</t>
        </is>
      </c>
    </row>
    <row r="46" ht="34" customHeight="1">
      <c r="A46" s="12" t="inlineStr">
        <is>
          <t>1.3.4.2</t>
        </is>
      </c>
      <c r="B46" s="60" t="inlineStr">
        <is>
          <t>Systems Integration - Control Centre &amp; Stations</t>
        </is>
      </c>
      <c r="C46" s="12" t="inlineStr">
        <is>
          <t>0 governed relationships</t>
        </is>
      </c>
      <c r="D46" s="12" t="inlineStr">
        <is>
          <t>0 governed relationships</t>
        </is>
      </c>
      <c r="E46" s="12" t="inlineStr">
        <is>
          <t>0 governed relationships</t>
        </is>
      </c>
      <c r="F46" s="12" t="inlineStr">
        <is>
          <t>0 governed relationships</t>
        </is>
      </c>
      <c r="G46" s="32" t="n">
        <v>0</v>
      </c>
      <c r="H46" s="32" t="n">
        <v>0</v>
      </c>
      <c r="I46" s="12" t="inlineStr">
        <is>
          <t>No governed schedule or cost relationships in this WBS branch.</t>
        </is>
      </c>
      <c r="J46" s="17" t="inlineStr">
        <is>
          <t>08 CROSSWALK: WBS 1.3.4.2</t>
        </is>
      </c>
    </row>
    <row r="47" ht="64" customHeight="1">
      <c r="A47" s="12" t="inlineStr">
        <is>
          <t>1.4</t>
        </is>
      </c>
      <c r="B47" s="58" t="inlineStr">
        <is>
          <t>Vehicles and Depot</t>
        </is>
      </c>
      <c r="C47" s="12" t="inlineStr">
        <is>
          <t>179 governed relationships</t>
        </is>
      </c>
      <c r="D47" s="12" t="inlineStr">
        <is>
          <t>80 governed relationships</t>
        </is>
      </c>
      <c r="E47" s="12" t="inlineStr">
        <is>
          <t>10 governed relationships</t>
        </is>
      </c>
      <c r="F47" s="12" t="inlineStr">
        <is>
          <t>0 governed relationships</t>
        </is>
      </c>
      <c r="G47" s="32" t="n">
        <v>0</v>
      </c>
      <c r="H47" s="32" t="n">
        <v>269</v>
      </c>
      <c r="I47" s="12" t="inlineStr">
        <is>
          <t>Schedule and cost both relate through this WBS branch. 10 package/contract relationships also project through this branch.</t>
        </is>
      </c>
      <c r="J47" s="17" t="inlineStr">
        <is>
          <t>08 CROSSWALK: WBS 1.4</t>
        </is>
      </c>
    </row>
    <row r="48" ht="34" customHeight="1">
      <c r="A48" s="12" t="inlineStr">
        <is>
          <t>1.4.1</t>
        </is>
      </c>
      <c r="B48" s="59" t="inlineStr">
        <is>
          <t>Vehicles and Depot - Fleet Supply</t>
        </is>
      </c>
      <c r="C48" s="12" t="inlineStr">
        <is>
          <t>120 governed relationships</t>
        </is>
      </c>
      <c r="D48" s="12" t="inlineStr">
        <is>
          <t>40 governed relationships</t>
        </is>
      </c>
      <c r="E48" s="12" t="inlineStr">
        <is>
          <t>0 governed relationships</t>
        </is>
      </c>
      <c r="F48" s="12" t="inlineStr">
        <is>
          <t>0 governed relationships</t>
        </is>
      </c>
      <c r="G48" s="32" t="n">
        <v>0</v>
      </c>
      <c r="H48" s="32" t="n">
        <v>160</v>
      </c>
      <c r="I48" s="12" t="inlineStr">
        <is>
          <t>Schedule and cost both relate through this WBS branch.</t>
        </is>
      </c>
      <c r="J48" s="17" t="inlineStr">
        <is>
          <t>08 CROSSWALK: WBS 1.4.1</t>
        </is>
      </c>
    </row>
    <row r="49" ht="34" customHeight="1">
      <c r="A49" s="12" t="inlineStr">
        <is>
          <t>1.4.1.1</t>
        </is>
      </c>
      <c r="B49" s="60" t="inlineStr">
        <is>
          <t>Fleet Supply - Maintenance Facility</t>
        </is>
      </c>
      <c r="C49" s="12" t="inlineStr">
        <is>
          <t>0 governed relationships</t>
        </is>
      </c>
      <c r="D49" s="12" t="inlineStr">
        <is>
          <t>0 governed relationships</t>
        </is>
      </c>
      <c r="E49" s="12" t="inlineStr">
        <is>
          <t>0 governed relationships</t>
        </is>
      </c>
      <c r="F49" s="12" t="inlineStr">
        <is>
          <t>0 governed relationships</t>
        </is>
      </c>
      <c r="G49" s="32" t="n">
        <v>0</v>
      </c>
      <c r="H49" s="32" t="n">
        <v>0</v>
      </c>
      <c r="I49" s="12" t="inlineStr">
        <is>
          <t>No governed schedule or cost relationships in this WBS branch.</t>
        </is>
      </c>
      <c r="J49" s="17" t="inlineStr">
        <is>
          <t>08 CROSSWALK: WBS 1.4.1.1</t>
        </is>
      </c>
    </row>
    <row r="50" ht="34" customHeight="1">
      <c r="A50" s="12" t="inlineStr">
        <is>
          <t>1.4.1.2</t>
        </is>
      </c>
      <c r="B50" s="60" t="inlineStr">
        <is>
          <t>Fleet Supply - Storage &amp; Commissioning Yard</t>
        </is>
      </c>
      <c r="C50" s="12" t="inlineStr">
        <is>
          <t>0 governed relationships</t>
        </is>
      </c>
      <c r="D50" s="12" t="inlineStr">
        <is>
          <t>0 governed relationships</t>
        </is>
      </c>
      <c r="E50" s="12" t="inlineStr">
        <is>
          <t>0 governed relationships</t>
        </is>
      </c>
      <c r="F50" s="12" t="inlineStr">
        <is>
          <t>0 governed relationships</t>
        </is>
      </c>
      <c r="G50" s="32" t="n">
        <v>0</v>
      </c>
      <c r="H50" s="32" t="n">
        <v>0</v>
      </c>
      <c r="I50" s="12" t="inlineStr">
        <is>
          <t>No governed schedule or cost relationships in this WBS branch.</t>
        </is>
      </c>
      <c r="J50" s="17" t="inlineStr">
        <is>
          <t>08 CROSSWALK: WBS 1.4.1.2</t>
        </is>
      </c>
    </row>
    <row r="51" ht="34" customHeight="1">
      <c r="A51" s="12" t="inlineStr">
        <is>
          <t>1.4.2</t>
        </is>
      </c>
      <c r="B51" s="59" t="inlineStr">
        <is>
          <t>Vehicles and Depot - Depot Buildings</t>
        </is>
      </c>
      <c r="C51" s="12" t="inlineStr">
        <is>
          <t>59 governed relationships</t>
        </is>
      </c>
      <c r="D51" s="12" t="inlineStr">
        <is>
          <t>40 governed relationships</t>
        </is>
      </c>
      <c r="E51" s="12" t="inlineStr">
        <is>
          <t>0 governed relationships</t>
        </is>
      </c>
      <c r="F51" s="12" t="inlineStr">
        <is>
          <t>0 governed relationships</t>
        </is>
      </c>
      <c r="G51" s="32" t="n">
        <v>0</v>
      </c>
      <c r="H51" s="32" t="n">
        <v>99</v>
      </c>
      <c r="I51" s="12" t="inlineStr">
        <is>
          <t>Schedule and cost both relate through this WBS branch.</t>
        </is>
      </c>
      <c r="J51" s="17" t="inlineStr">
        <is>
          <t>08 CROSSWALK: WBS 1.4.2</t>
        </is>
      </c>
    </row>
    <row r="52" ht="34" customHeight="1">
      <c r="A52" s="12" t="inlineStr">
        <is>
          <t>1.4.2.1</t>
        </is>
      </c>
      <c r="B52" s="60" t="inlineStr">
        <is>
          <t>Depot Buildings - Maintenance Facility</t>
        </is>
      </c>
      <c r="C52" s="12" t="inlineStr">
        <is>
          <t>0 governed relationships</t>
        </is>
      </c>
      <c r="D52" s="12" t="inlineStr">
        <is>
          <t>0 governed relationships</t>
        </is>
      </c>
      <c r="E52" s="12" t="inlineStr">
        <is>
          <t>0 governed relationships</t>
        </is>
      </c>
      <c r="F52" s="12" t="inlineStr">
        <is>
          <t>0 governed relationships</t>
        </is>
      </c>
      <c r="G52" s="32" t="n">
        <v>0</v>
      </c>
      <c r="H52" s="32" t="n">
        <v>0</v>
      </c>
      <c r="I52" s="12" t="inlineStr">
        <is>
          <t>No governed schedule or cost relationships in this WBS branch.</t>
        </is>
      </c>
      <c r="J52" s="17" t="inlineStr">
        <is>
          <t>08 CROSSWALK: WBS 1.4.2.1</t>
        </is>
      </c>
    </row>
    <row r="53" ht="34" customHeight="1">
      <c r="A53" s="12" t="inlineStr">
        <is>
          <t>1.4.2.2</t>
        </is>
      </c>
      <c r="B53" s="60" t="inlineStr">
        <is>
          <t>Depot Buildings - Storage &amp; Commissioning Yard</t>
        </is>
      </c>
      <c r="C53" s="12" t="inlineStr">
        <is>
          <t>0 governed relationships</t>
        </is>
      </c>
      <c r="D53" s="12" t="inlineStr">
        <is>
          <t>0 governed relationships</t>
        </is>
      </c>
      <c r="E53" s="12" t="inlineStr">
        <is>
          <t>0 governed relationships</t>
        </is>
      </c>
      <c r="F53" s="12" t="inlineStr">
        <is>
          <t>0 governed relationships</t>
        </is>
      </c>
      <c r="G53" s="32" t="n">
        <v>0</v>
      </c>
      <c r="H53" s="32" t="n">
        <v>0</v>
      </c>
      <c r="I53" s="12" t="inlineStr">
        <is>
          <t>No governed schedule or cost relationships in this WBS branch.</t>
        </is>
      </c>
      <c r="J53" s="17" t="inlineStr">
        <is>
          <t>08 CROSSWALK: WBS 1.4.2.2</t>
        </is>
      </c>
    </row>
    <row r="54" ht="34" customHeight="1">
      <c r="A54" s="12" t="inlineStr">
        <is>
          <t>1.4.3</t>
        </is>
      </c>
      <c r="B54" s="59" t="inlineStr">
        <is>
          <t>Vehicles and Depot - Workshop Equipment</t>
        </is>
      </c>
      <c r="C54" s="12" t="inlineStr">
        <is>
          <t>0 governed relationships</t>
        </is>
      </c>
      <c r="D54" s="12" t="inlineStr">
        <is>
          <t>0 governed relationships</t>
        </is>
      </c>
      <c r="E54" s="12" t="inlineStr">
        <is>
          <t>0 governed relationships</t>
        </is>
      </c>
      <c r="F54" s="12" t="inlineStr">
        <is>
          <t>0 governed relationships</t>
        </is>
      </c>
      <c r="G54" s="32" t="n">
        <v>0</v>
      </c>
      <c r="H54" s="32" t="n">
        <v>0</v>
      </c>
      <c r="I54" s="12" t="inlineStr">
        <is>
          <t>No governed schedule or cost relationships in this WBS branch.</t>
        </is>
      </c>
      <c r="J54" s="17" t="inlineStr">
        <is>
          <t>08 CROSSWALK: WBS 1.4.3</t>
        </is>
      </c>
    </row>
    <row r="55" ht="34" customHeight="1">
      <c r="A55" s="12" t="inlineStr">
        <is>
          <t>1.4.3.1</t>
        </is>
      </c>
      <c r="B55" s="60" t="inlineStr">
        <is>
          <t>Workshop Equipment - Maintenance Facility</t>
        </is>
      </c>
      <c r="C55" s="12" t="inlineStr">
        <is>
          <t>0 governed relationships</t>
        </is>
      </c>
      <c r="D55" s="12" t="inlineStr">
        <is>
          <t>0 governed relationships</t>
        </is>
      </c>
      <c r="E55" s="12" t="inlineStr">
        <is>
          <t>0 governed relationships</t>
        </is>
      </c>
      <c r="F55" s="12" t="inlineStr">
        <is>
          <t>0 governed relationships</t>
        </is>
      </c>
      <c r="G55" s="32" t="n">
        <v>0</v>
      </c>
      <c r="H55" s="32" t="n">
        <v>0</v>
      </c>
      <c r="I55" s="12" t="inlineStr">
        <is>
          <t>No governed schedule or cost relationships in this WBS branch.</t>
        </is>
      </c>
      <c r="J55" s="17" t="inlineStr">
        <is>
          <t>08 CROSSWALK: WBS 1.4.3.1</t>
        </is>
      </c>
    </row>
    <row r="56" ht="34" customHeight="1">
      <c r="A56" s="12" t="inlineStr">
        <is>
          <t>1.4.3.2</t>
        </is>
      </c>
      <c r="B56" s="60" t="inlineStr">
        <is>
          <t>Workshop Equipment - Storage &amp; Commissioning Yard</t>
        </is>
      </c>
      <c r="C56" s="12" t="inlineStr">
        <is>
          <t>0 governed relationships</t>
        </is>
      </c>
      <c r="D56" s="12" t="inlineStr">
        <is>
          <t>0 governed relationships</t>
        </is>
      </c>
      <c r="E56" s="12" t="inlineStr">
        <is>
          <t>0 governed relationships</t>
        </is>
      </c>
      <c r="F56" s="12" t="inlineStr">
        <is>
          <t>0 governed relationships</t>
        </is>
      </c>
      <c r="G56" s="32" t="n">
        <v>0</v>
      </c>
      <c r="H56" s="32" t="n">
        <v>0</v>
      </c>
      <c r="I56" s="12" t="inlineStr">
        <is>
          <t>No governed schedule or cost relationships in this WBS branch.</t>
        </is>
      </c>
      <c r="J56" s="17" t="inlineStr">
        <is>
          <t>08 CROSSWALK: WBS 1.4.3.2</t>
        </is>
      </c>
    </row>
    <row r="57" ht="34" customHeight="1">
      <c r="A57" s="12" t="inlineStr">
        <is>
          <t>1.4.4</t>
        </is>
      </c>
      <c r="B57" s="59" t="inlineStr">
        <is>
          <t>Vehicles and Depot - Vehicle Integration</t>
        </is>
      </c>
      <c r="C57" s="12" t="inlineStr">
        <is>
          <t>0 governed relationships</t>
        </is>
      </c>
      <c r="D57" s="12" t="inlineStr">
        <is>
          <t>0 governed relationships</t>
        </is>
      </c>
      <c r="E57" s="12" t="inlineStr">
        <is>
          <t>0 governed relationships</t>
        </is>
      </c>
      <c r="F57" s="12" t="inlineStr">
        <is>
          <t>0 governed relationships</t>
        </is>
      </c>
      <c r="G57" s="32" t="n">
        <v>0</v>
      </c>
      <c r="H57" s="32" t="n">
        <v>0</v>
      </c>
      <c r="I57" s="12" t="inlineStr">
        <is>
          <t>No governed schedule or cost relationships in this WBS branch.</t>
        </is>
      </c>
      <c r="J57" s="17" t="inlineStr">
        <is>
          <t>08 CROSSWALK: WBS 1.4.4</t>
        </is>
      </c>
    </row>
    <row r="58" ht="34" customHeight="1">
      <c r="A58" s="12" t="inlineStr">
        <is>
          <t>1.4.4.1</t>
        </is>
      </c>
      <c r="B58" s="60" t="inlineStr">
        <is>
          <t>Vehicle Integration - Maintenance Facility</t>
        </is>
      </c>
      <c r="C58" s="12" t="inlineStr">
        <is>
          <t>0 governed relationships</t>
        </is>
      </c>
      <c r="D58" s="12" t="inlineStr">
        <is>
          <t>0 governed relationships</t>
        </is>
      </c>
      <c r="E58" s="12" t="inlineStr">
        <is>
          <t>0 governed relationships</t>
        </is>
      </c>
      <c r="F58" s="12" t="inlineStr">
        <is>
          <t>0 governed relationships</t>
        </is>
      </c>
      <c r="G58" s="32" t="n">
        <v>0</v>
      </c>
      <c r="H58" s="32" t="n">
        <v>0</v>
      </c>
      <c r="I58" s="12" t="inlineStr">
        <is>
          <t>No governed schedule or cost relationships in this WBS branch.</t>
        </is>
      </c>
      <c r="J58" s="17" t="inlineStr">
        <is>
          <t>08 CROSSWALK: WBS 1.4.4.1</t>
        </is>
      </c>
    </row>
    <row r="59" ht="34" customHeight="1">
      <c r="A59" s="12" t="inlineStr">
        <is>
          <t>1.4.4.2</t>
        </is>
      </c>
      <c r="B59" s="60" t="inlineStr">
        <is>
          <t>Vehicle Integration - Storage &amp; Commissioning Yard</t>
        </is>
      </c>
      <c r="C59" s="12" t="inlineStr">
        <is>
          <t>0 governed relationships</t>
        </is>
      </c>
      <c r="D59" s="12" t="inlineStr">
        <is>
          <t>0 governed relationships</t>
        </is>
      </c>
      <c r="E59" s="12" t="inlineStr">
        <is>
          <t>0 governed relationships</t>
        </is>
      </c>
      <c r="F59" s="12" t="inlineStr">
        <is>
          <t>0 governed relationships</t>
        </is>
      </c>
      <c r="G59" s="32" t="n">
        <v>0</v>
      </c>
      <c r="H59" s="32" t="n">
        <v>0</v>
      </c>
      <c r="I59" s="12" t="inlineStr">
        <is>
          <t>No governed schedule or cost relationships in this WBS branch.</t>
        </is>
      </c>
      <c r="J59" s="17" t="inlineStr">
        <is>
          <t>08 CROSSWALK: WBS 1.4.4.2</t>
        </is>
      </c>
    </row>
    <row r="60" ht="64" customHeight="1">
      <c r="A60" s="12" t="inlineStr">
        <is>
          <t>1.5</t>
        </is>
      </c>
      <c r="B60" s="58" t="inlineStr">
        <is>
          <t>Testing and Commissioning</t>
        </is>
      </c>
      <c r="C60" s="12" t="inlineStr">
        <is>
          <t>180 governed relationships</t>
        </is>
      </c>
      <c r="D60" s="12" t="inlineStr">
        <is>
          <t>0 governed relationships</t>
        </is>
      </c>
      <c r="E60" s="12" t="inlineStr">
        <is>
          <t>10 governed relationships</t>
        </is>
      </c>
      <c r="F60" s="12" t="inlineStr">
        <is>
          <t>0 governed relationships</t>
        </is>
      </c>
      <c r="G60" s="32" t="n">
        <v>0</v>
      </c>
      <c r="H60" s="32" t="n">
        <v>190</v>
      </c>
      <c r="I60" s="12" t="inlineStr">
        <is>
          <t>Schedule scope has no governed cost relationships in this WBS branch. 10 package/contract relationships also project through this branch.</t>
        </is>
      </c>
      <c r="J60" s="17" t="inlineStr">
        <is>
          <t>08 CROSSWALK: WBS 1.5</t>
        </is>
      </c>
    </row>
    <row r="61" ht="34" customHeight="1">
      <c r="A61" s="12" t="inlineStr">
        <is>
          <t>1.5.1</t>
        </is>
      </c>
      <c r="B61" s="59" t="inlineStr">
        <is>
          <t>Testing and Commissioning - Test Readiness</t>
        </is>
      </c>
      <c r="C61" s="12" t="inlineStr">
        <is>
          <t>120 governed relationships</t>
        </is>
      </c>
      <c r="D61" s="12" t="inlineStr">
        <is>
          <t>0 governed relationships</t>
        </is>
      </c>
      <c r="E61" s="12" t="inlineStr">
        <is>
          <t>0 governed relationships</t>
        </is>
      </c>
      <c r="F61" s="12" t="inlineStr">
        <is>
          <t>0 governed relationships</t>
        </is>
      </c>
      <c r="G61" s="32" t="n">
        <v>0</v>
      </c>
      <c r="H61" s="32" t="n">
        <v>120</v>
      </c>
      <c r="I61" s="12" t="inlineStr">
        <is>
          <t>Schedule scope has no governed cost relationships in this WBS branch.</t>
        </is>
      </c>
      <c r="J61" s="17" t="inlineStr">
        <is>
          <t>08 CROSSWALK: WBS 1.5.1</t>
        </is>
      </c>
    </row>
    <row r="62" ht="34" customHeight="1">
      <c r="A62" s="12" t="inlineStr">
        <is>
          <t>1.5.1.1</t>
        </is>
      </c>
      <c r="B62" s="60" t="inlineStr">
        <is>
          <t>Test Readiness - Mainline</t>
        </is>
      </c>
      <c r="C62" s="12" t="inlineStr">
        <is>
          <t>0 governed relationships</t>
        </is>
      </c>
      <c r="D62" s="12" t="inlineStr">
        <is>
          <t>0 governed relationships</t>
        </is>
      </c>
      <c r="E62" s="12" t="inlineStr">
        <is>
          <t>0 governed relationships</t>
        </is>
      </c>
      <c r="F62" s="12" t="inlineStr">
        <is>
          <t>0 governed relationships</t>
        </is>
      </c>
      <c r="G62" s="32" t="n">
        <v>0</v>
      </c>
      <c r="H62" s="32" t="n">
        <v>0</v>
      </c>
      <c r="I62" s="12" t="inlineStr">
        <is>
          <t>No governed schedule or cost relationships in this WBS branch.</t>
        </is>
      </c>
      <c r="J62" s="17" t="inlineStr">
        <is>
          <t>08 CROSSWALK: WBS 1.5.1.1</t>
        </is>
      </c>
    </row>
    <row r="63" ht="34" customHeight="1">
      <c r="A63" s="12" t="inlineStr">
        <is>
          <t>1.5.1.2</t>
        </is>
      </c>
      <c r="B63" s="60" t="inlineStr">
        <is>
          <t>Test Readiness - Depot &amp; Stations</t>
        </is>
      </c>
      <c r="C63" s="12" t="inlineStr">
        <is>
          <t>0 governed relationships</t>
        </is>
      </c>
      <c r="D63" s="12" t="inlineStr">
        <is>
          <t>0 governed relationships</t>
        </is>
      </c>
      <c r="E63" s="12" t="inlineStr">
        <is>
          <t>0 governed relationships</t>
        </is>
      </c>
      <c r="F63" s="12" t="inlineStr">
        <is>
          <t>0 governed relationships</t>
        </is>
      </c>
      <c r="G63" s="32" t="n">
        <v>0</v>
      </c>
      <c r="H63" s="32" t="n">
        <v>0</v>
      </c>
      <c r="I63" s="12" t="inlineStr">
        <is>
          <t>No governed schedule or cost relationships in this WBS branch.</t>
        </is>
      </c>
      <c r="J63" s="17" t="inlineStr">
        <is>
          <t>08 CROSSWALK: WBS 1.5.1.2</t>
        </is>
      </c>
    </row>
    <row r="64" ht="34" customHeight="1">
      <c r="A64" s="12" t="inlineStr">
        <is>
          <t>1.5.2</t>
        </is>
      </c>
      <c r="B64" s="59" t="inlineStr">
        <is>
          <t>Testing and Commissioning - Dynamic Testing</t>
        </is>
      </c>
      <c r="C64" s="12" t="inlineStr">
        <is>
          <t>60 governed relationships</t>
        </is>
      </c>
      <c r="D64" s="12" t="inlineStr">
        <is>
          <t>0 governed relationships</t>
        </is>
      </c>
      <c r="E64" s="12" t="inlineStr">
        <is>
          <t>0 governed relationships</t>
        </is>
      </c>
      <c r="F64" s="12" t="inlineStr">
        <is>
          <t>0 governed relationships</t>
        </is>
      </c>
      <c r="G64" s="32" t="n">
        <v>0</v>
      </c>
      <c r="H64" s="32" t="n">
        <v>60</v>
      </c>
      <c r="I64" s="12" t="inlineStr">
        <is>
          <t>Schedule scope has no governed cost relationships in this WBS branch.</t>
        </is>
      </c>
      <c r="J64" s="17" t="inlineStr">
        <is>
          <t>08 CROSSWALK: WBS 1.5.2</t>
        </is>
      </c>
    </row>
    <row r="65" ht="34" customHeight="1">
      <c r="A65" s="12" t="inlineStr">
        <is>
          <t>1.5.2.1</t>
        </is>
      </c>
      <c r="B65" s="60" t="inlineStr">
        <is>
          <t>Dynamic Testing - Mainline</t>
        </is>
      </c>
      <c r="C65" s="12" t="inlineStr">
        <is>
          <t>0 governed relationships</t>
        </is>
      </c>
      <c r="D65" s="12" t="inlineStr">
        <is>
          <t>0 governed relationships</t>
        </is>
      </c>
      <c r="E65" s="12" t="inlineStr">
        <is>
          <t>0 governed relationships</t>
        </is>
      </c>
      <c r="F65" s="12" t="inlineStr">
        <is>
          <t>0 governed relationships</t>
        </is>
      </c>
      <c r="G65" s="32" t="n">
        <v>0</v>
      </c>
      <c r="H65" s="32" t="n">
        <v>0</v>
      </c>
      <c r="I65" s="12" t="inlineStr">
        <is>
          <t>No governed schedule or cost relationships in this WBS branch.</t>
        </is>
      </c>
      <c r="J65" s="17" t="inlineStr">
        <is>
          <t>08 CROSSWALK: WBS 1.5.2.1</t>
        </is>
      </c>
    </row>
    <row r="66" ht="34" customHeight="1">
      <c r="A66" s="12" t="inlineStr">
        <is>
          <t>1.5.2.2</t>
        </is>
      </c>
      <c r="B66" s="60" t="inlineStr">
        <is>
          <t>Dynamic Testing - Depot &amp; Stations</t>
        </is>
      </c>
      <c r="C66" s="12" t="inlineStr">
        <is>
          <t>0 governed relationships</t>
        </is>
      </c>
      <c r="D66" s="12" t="inlineStr">
        <is>
          <t>0 governed relationships</t>
        </is>
      </c>
      <c r="E66" s="12" t="inlineStr">
        <is>
          <t>0 governed relationships</t>
        </is>
      </c>
      <c r="F66" s="12" t="inlineStr">
        <is>
          <t>0 governed relationships</t>
        </is>
      </c>
      <c r="G66" s="32" t="n">
        <v>0</v>
      </c>
      <c r="H66" s="32" t="n">
        <v>0</v>
      </c>
      <c r="I66" s="12" t="inlineStr">
        <is>
          <t>No governed schedule or cost relationships in this WBS branch.</t>
        </is>
      </c>
      <c r="J66" s="17" t="inlineStr">
        <is>
          <t>08 CROSSWALK: WBS 1.5.2.2</t>
        </is>
      </c>
    </row>
    <row r="67" ht="34" customHeight="1">
      <c r="A67" s="12" t="inlineStr">
        <is>
          <t>1.5.3</t>
        </is>
      </c>
      <c r="B67" s="59" t="inlineStr">
        <is>
          <t>Testing and Commissioning - Safety Certification</t>
        </is>
      </c>
      <c r="C67" s="12" t="inlineStr">
        <is>
          <t>0 governed relationships</t>
        </is>
      </c>
      <c r="D67" s="12" t="inlineStr">
        <is>
          <t>0 governed relationships</t>
        </is>
      </c>
      <c r="E67" s="12" t="inlineStr">
        <is>
          <t>0 governed relationships</t>
        </is>
      </c>
      <c r="F67" s="12" t="inlineStr">
        <is>
          <t>0 governed relationships</t>
        </is>
      </c>
      <c r="G67" s="32" t="n">
        <v>0</v>
      </c>
      <c r="H67" s="32" t="n">
        <v>0</v>
      </c>
      <c r="I67" s="12" t="inlineStr">
        <is>
          <t>No governed schedule or cost relationships in this WBS branch.</t>
        </is>
      </c>
      <c r="J67" s="17" t="inlineStr">
        <is>
          <t>08 CROSSWALK: WBS 1.5.3</t>
        </is>
      </c>
    </row>
    <row r="68" ht="34" customHeight="1">
      <c r="A68" s="12" t="inlineStr">
        <is>
          <t>1.5.3.1</t>
        </is>
      </c>
      <c r="B68" s="60" t="inlineStr">
        <is>
          <t>Safety Certification - Mainline</t>
        </is>
      </c>
      <c r="C68" s="12" t="inlineStr">
        <is>
          <t>0 governed relationships</t>
        </is>
      </c>
      <c r="D68" s="12" t="inlineStr">
        <is>
          <t>0 governed relationships</t>
        </is>
      </c>
      <c r="E68" s="12" t="inlineStr">
        <is>
          <t>0 governed relationships</t>
        </is>
      </c>
      <c r="F68" s="12" t="inlineStr">
        <is>
          <t>0 governed relationships</t>
        </is>
      </c>
      <c r="G68" s="32" t="n">
        <v>0</v>
      </c>
      <c r="H68" s="32" t="n">
        <v>0</v>
      </c>
      <c r="I68" s="12" t="inlineStr">
        <is>
          <t>No governed schedule or cost relationships in this WBS branch.</t>
        </is>
      </c>
      <c r="J68" s="17" t="inlineStr">
        <is>
          <t>08 CROSSWALK: WBS 1.5.3.1</t>
        </is>
      </c>
    </row>
    <row r="69" ht="34" customHeight="1">
      <c r="A69" s="12" t="inlineStr">
        <is>
          <t>1.5.3.2</t>
        </is>
      </c>
      <c r="B69" s="60" t="inlineStr">
        <is>
          <t>Safety Certification - Depot &amp; Stations</t>
        </is>
      </c>
      <c r="C69" s="12" t="inlineStr">
        <is>
          <t>0 governed relationships</t>
        </is>
      </c>
      <c r="D69" s="12" t="inlineStr">
        <is>
          <t>0 governed relationships</t>
        </is>
      </c>
      <c r="E69" s="12" t="inlineStr">
        <is>
          <t>0 governed relationships</t>
        </is>
      </c>
      <c r="F69" s="12" t="inlineStr">
        <is>
          <t>0 governed relationships</t>
        </is>
      </c>
      <c r="G69" s="32" t="n">
        <v>0</v>
      </c>
      <c r="H69" s="32" t="n">
        <v>0</v>
      </c>
      <c r="I69" s="12" t="inlineStr">
        <is>
          <t>No governed schedule or cost relationships in this WBS branch.</t>
        </is>
      </c>
      <c r="J69" s="17" t="inlineStr">
        <is>
          <t>08 CROSSWALK: WBS 1.5.3.2</t>
        </is>
      </c>
    </row>
    <row r="70" ht="34" customHeight="1">
      <c r="A70" s="12" t="inlineStr">
        <is>
          <t>1.5.4</t>
        </is>
      </c>
      <c r="B70" s="59" t="inlineStr">
        <is>
          <t>Testing and Commissioning - Service Readiness</t>
        </is>
      </c>
      <c r="C70" s="12" t="inlineStr">
        <is>
          <t>0 governed relationships</t>
        </is>
      </c>
      <c r="D70" s="12" t="inlineStr">
        <is>
          <t>0 governed relationships</t>
        </is>
      </c>
      <c r="E70" s="12" t="inlineStr">
        <is>
          <t>0 governed relationships</t>
        </is>
      </c>
      <c r="F70" s="12" t="inlineStr">
        <is>
          <t>0 governed relationships</t>
        </is>
      </c>
      <c r="G70" s="32" t="n">
        <v>0</v>
      </c>
      <c r="H70" s="32" t="n">
        <v>0</v>
      </c>
      <c r="I70" s="12" t="inlineStr">
        <is>
          <t>No governed schedule or cost relationships in this WBS branch.</t>
        </is>
      </c>
      <c r="J70" s="17" t="inlineStr">
        <is>
          <t>08 CROSSWALK: WBS 1.5.4</t>
        </is>
      </c>
    </row>
    <row r="71" ht="34" customHeight="1">
      <c r="A71" s="12" t="inlineStr">
        <is>
          <t>1.5.4.1</t>
        </is>
      </c>
      <c r="B71" s="60" t="inlineStr">
        <is>
          <t>Service Readiness - Mainline</t>
        </is>
      </c>
      <c r="C71" s="12" t="inlineStr">
        <is>
          <t>0 governed relationships</t>
        </is>
      </c>
      <c r="D71" s="12" t="inlineStr">
        <is>
          <t>0 governed relationships</t>
        </is>
      </c>
      <c r="E71" s="12" t="inlineStr">
        <is>
          <t>0 governed relationships</t>
        </is>
      </c>
      <c r="F71" s="12" t="inlineStr">
        <is>
          <t>0 governed relationships</t>
        </is>
      </c>
      <c r="G71" s="32" t="n">
        <v>0</v>
      </c>
      <c r="H71" s="32" t="n">
        <v>0</v>
      </c>
      <c r="I71" s="12" t="inlineStr">
        <is>
          <t>No governed schedule or cost relationships in this WBS branch.</t>
        </is>
      </c>
      <c r="J71" s="17" t="inlineStr">
        <is>
          <t>08 CROSSWALK: WBS 1.5.4.1</t>
        </is>
      </c>
    </row>
    <row r="72" ht="34" customHeight="1">
      <c r="A72" s="12" t="inlineStr">
        <is>
          <t>1.5.4.2</t>
        </is>
      </c>
      <c r="B72" s="60" t="inlineStr">
        <is>
          <t>Service Readiness - Depot &amp; Stations</t>
        </is>
      </c>
      <c r="C72" s="12" t="inlineStr">
        <is>
          <t>0 governed relationships</t>
        </is>
      </c>
      <c r="D72" s="12" t="inlineStr">
        <is>
          <t>0 governed relationships</t>
        </is>
      </c>
      <c r="E72" s="12" t="inlineStr">
        <is>
          <t>0 governed relationships</t>
        </is>
      </c>
      <c r="F72" s="12" t="inlineStr">
        <is>
          <t>0 governed relationships</t>
        </is>
      </c>
      <c r="G72" s="32" t="n">
        <v>0</v>
      </c>
      <c r="H72" s="32" t="n">
        <v>0</v>
      </c>
      <c r="I72" s="12" t="inlineStr">
        <is>
          <t>No governed schedule or cost relationships in this WBS branch.</t>
        </is>
      </c>
      <c r="J72" s="17" t="inlineStr">
        <is>
          <t>08 CROSSWALK: WBS 1.5.4.2</t>
        </is>
      </c>
    </row>
    <row r="73" ht="64" customHeight="1">
      <c r="A73" s="12" t="inlineStr">
        <is>
          <t>1.6</t>
        </is>
      </c>
      <c r="B73" s="58" t="inlineStr">
        <is>
          <t>Program Management</t>
        </is>
      </c>
      <c r="C73" s="12" t="inlineStr">
        <is>
          <t>0 governed relationships</t>
        </is>
      </c>
      <c r="D73" s="12" t="inlineStr">
        <is>
          <t>80 governed relationships</t>
        </is>
      </c>
      <c r="E73" s="12" t="inlineStr">
        <is>
          <t>10 governed relationships</t>
        </is>
      </c>
      <c r="F73" s="12" t="inlineStr">
        <is>
          <t>0 governed relationships</t>
        </is>
      </c>
      <c r="G73" s="32" t="n">
        <v>0</v>
      </c>
      <c r="H73" s="32" t="n">
        <v>90</v>
      </c>
      <c r="I73" s="12" t="inlineStr">
        <is>
          <t>Cost scope has no governed schedule relationships in this WBS branch. 10 package/contract relationships also project through this branch.</t>
        </is>
      </c>
      <c r="J73" s="17" t="inlineStr">
        <is>
          <t>08 CROSSWALK: WBS 1.6</t>
        </is>
      </c>
    </row>
    <row r="74" ht="34" customHeight="1">
      <c r="A74" s="12" t="inlineStr">
        <is>
          <t>1.6.1</t>
        </is>
      </c>
      <c r="B74" s="59" t="inlineStr">
        <is>
          <t>Program Management - Program Controls</t>
        </is>
      </c>
      <c r="C74" s="12" t="inlineStr">
        <is>
          <t>0 governed relationships</t>
        </is>
      </c>
      <c r="D74" s="12" t="inlineStr">
        <is>
          <t>40 governed relationships</t>
        </is>
      </c>
      <c r="E74" s="12" t="inlineStr">
        <is>
          <t>0 governed relationships</t>
        </is>
      </c>
      <c r="F74" s="12" t="inlineStr">
        <is>
          <t>0 governed relationships</t>
        </is>
      </c>
      <c r="G74" s="32" t="n">
        <v>0</v>
      </c>
      <c r="H74" s="32" t="n">
        <v>40</v>
      </c>
      <c r="I74" s="12" t="inlineStr">
        <is>
          <t>Cost scope has no governed schedule relationships in this WBS branch.</t>
        </is>
      </c>
      <c r="J74" s="17" t="inlineStr">
        <is>
          <t>08 CROSSWALK: WBS 1.6.1</t>
        </is>
      </c>
    </row>
    <row r="75" ht="34" customHeight="1">
      <c r="A75" s="12" t="inlineStr">
        <is>
          <t>1.6.1.1</t>
        </is>
      </c>
      <c r="B75" s="60" t="inlineStr">
        <is>
          <t>Program Controls - Owner Team</t>
        </is>
      </c>
      <c r="C75" s="12" t="inlineStr">
        <is>
          <t>0 governed relationships</t>
        </is>
      </c>
      <c r="D75" s="12" t="inlineStr">
        <is>
          <t>0 governed relationships</t>
        </is>
      </c>
      <c r="E75" s="12" t="inlineStr">
        <is>
          <t>0 governed relationships</t>
        </is>
      </c>
      <c r="F75" s="12" t="inlineStr">
        <is>
          <t>0 governed relationships</t>
        </is>
      </c>
      <c r="G75" s="32" t="n">
        <v>0</v>
      </c>
      <c r="H75" s="32" t="n">
        <v>0</v>
      </c>
      <c r="I75" s="12" t="inlineStr">
        <is>
          <t>No governed schedule or cost relationships in this WBS branch.</t>
        </is>
      </c>
      <c r="J75" s="17" t="inlineStr">
        <is>
          <t>08 CROSSWALK: WBS 1.6.1.1</t>
        </is>
      </c>
    </row>
    <row r="76" ht="34" customHeight="1">
      <c r="A76" s="12" t="inlineStr">
        <is>
          <t>1.6.1.2</t>
        </is>
      </c>
      <c r="B76" s="60" t="inlineStr">
        <is>
          <t>Program Controls - Delivery Partners</t>
        </is>
      </c>
      <c r="C76" s="12" t="inlineStr">
        <is>
          <t>0 governed relationships</t>
        </is>
      </c>
      <c r="D76" s="12" t="inlineStr">
        <is>
          <t>0 governed relationships</t>
        </is>
      </c>
      <c r="E76" s="12" t="inlineStr">
        <is>
          <t>0 governed relationships</t>
        </is>
      </c>
      <c r="F76" s="12" t="inlineStr">
        <is>
          <t>0 governed relationships</t>
        </is>
      </c>
      <c r="G76" s="32" t="n">
        <v>0</v>
      </c>
      <c r="H76" s="32" t="n">
        <v>0</v>
      </c>
      <c r="I76" s="12" t="inlineStr">
        <is>
          <t>No governed schedule or cost relationships in this WBS branch.</t>
        </is>
      </c>
      <c r="J76" s="17" t="inlineStr">
        <is>
          <t>08 CROSSWALK: WBS 1.6.1.2</t>
        </is>
      </c>
    </row>
    <row r="77" ht="34" customHeight="1">
      <c r="A77" s="12" t="inlineStr">
        <is>
          <t>1.6.2</t>
        </is>
      </c>
      <c r="B77" s="59" t="inlineStr">
        <is>
          <t>Program Management - Commercial &amp; Procurement</t>
        </is>
      </c>
      <c r="C77" s="12" t="inlineStr">
        <is>
          <t>0 governed relationships</t>
        </is>
      </c>
      <c r="D77" s="12" t="inlineStr">
        <is>
          <t>40 governed relationships</t>
        </is>
      </c>
      <c r="E77" s="12" t="inlineStr">
        <is>
          <t>0 governed relationships</t>
        </is>
      </c>
      <c r="F77" s="12" t="inlineStr">
        <is>
          <t>0 governed relationships</t>
        </is>
      </c>
      <c r="G77" s="32" t="n">
        <v>0</v>
      </c>
      <c r="H77" s="32" t="n">
        <v>40</v>
      </c>
      <c r="I77" s="12" t="inlineStr">
        <is>
          <t>Cost scope has no governed schedule relationships in this WBS branch.</t>
        </is>
      </c>
      <c r="J77" s="17" t="inlineStr">
        <is>
          <t>08 CROSSWALK: WBS 1.6.2</t>
        </is>
      </c>
    </row>
    <row r="78" ht="34" customHeight="1">
      <c r="A78" s="12" t="inlineStr">
        <is>
          <t>1.6.2.1</t>
        </is>
      </c>
      <c r="B78" s="60" t="inlineStr">
        <is>
          <t>Commercial &amp; Procurement - Owner Team</t>
        </is>
      </c>
      <c r="C78" s="12" t="inlineStr">
        <is>
          <t>0 governed relationships</t>
        </is>
      </c>
      <c r="D78" s="12" t="inlineStr">
        <is>
          <t>0 governed relationships</t>
        </is>
      </c>
      <c r="E78" s="12" t="inlineStr">
        <is>
          <t>0 governed relationships</t>
        </is>
      </c>
      <c r="F78" s="12" t="inlineStr">
        <is>
          <t>0 governed relationships</t>
        </is>
      </c>
      <c r="G78" s="32" t="n">
        <v>0</v>
      </c>
      <c r="H78" s="32" t="n">
        <v>0</v>
      </c>
      <c r="I78" s="12" t="inlineStr">
        <is>
          <t>No governed schedule or cost relationships in this WBS branch.</t>
        </is>
      </c>
      <c r="J78" s="17" t="inlineStr">
        <is>
          <t>08 CROSSWALK: WBS 1.6.2.1</t>
        </is>
      </c>
    </row>
    <row r="79" ht="34" customHeight="1">
      <c r="A79" s="12" t="inlineStr">
        <is>
          <t>1.6.2.2</t>
        </is>
      </c>
      <c r="B79" s="60" t="inlineStr">
        <is>
          <t>Commercial &amp; Procurement - Delivery Partners</t>
        </is>
      </c>
      <c r="C79" s="12" t="inlineStr">
        <is>
          <t>0 governed relationships</t>
        </is>
      </c>
      <c r="D79" s="12" t="inlineStr">
        <is>
          <t>0 governed relationships</t>
        </is>
      </c>
      <c r="E79" s="12" t="inlineStr">
        <is>
          <t>0 governed relationships</t>
        </is>
      </c>
      <c r="F79" s="12" t="inlineStr">
        <is>
          <t>0 governed relationships</t>
        </is>
      </c>
      <c r="G79" s="32" t="n">
        <v>0</v>
      </c>
      <c r="H79" s="32" t="n">
        <v>0</v>
      </c>
      <c r="I79" s="12" t="inlineStr">
        <is>
          <t>No governed schedule or cost relationships in this WBS branch.</t>
        </is>
      </c>
      <c r="J79" s="17" t="inlineStr">
        <is>
          <t>08 CROSSWALK: WBS 1.6.2.2</t>
        </is>
      </c>
    </row>
    <row r="80" ht="34" customHeight="1">
      <c r="A80" s="12" t="inlineStr">
        <is>
          <t>1.6.3</t>
        </is>
      </c>
      <c r="B80" s="59" t="inlineStr">
        <is>
          <t>Program Management - Stakeholder &amp; Permits</t>
        </is>
      </c>
      <c r="C80" s="12" t="inlineStr">
        <is>
          <t>0 governed relationships</t>
        </is>
      </c>
      <c r="D80" s="12" t="inlineStr">
        <is>
          <t>0 governed relationships</t>
        </is>
      </c>
      <c r="E80" s="12" t="inlineStr">
        <is>
          <t>0 governed relationships</t>
        </is>
      </c>
      <c r="F80" s="12" t="inlineStr">
        <is>
          <t>0 governed relationships</t>
        </is>
      </c>
      <c r="G80" s="32" t="n">
        <v>0</v>
      </c>
      <c r="H80" s="32" t="n">
        <v>0</v>
      </c>
      <c r="I80" s="12" t="inlineStr">
        <is>
          <t>No governed schedule or cost relationships in this WBS branch.</t>
        </is>
      </c>
      <c r="J80" s="17" t="inlineStr">
        <is>
          <t>08 CROSSWALK: WBS 1.6.3</t>
        </is>
      </c>
    </row>
    <row r="81" ht="34" customHeight="1">
      <c r="A81" s="12" t="inlineStr">
        <is>
          <t>1.6.3.1</t>
        </is>
      </c>
      <c r="B81" s="60" t="inlineStr">
        <is>
          <t>Stakeholder &amp; Permits - Owner Team</t>
        </is>
      </c>
      <c r="C81" s="12" t="inlineStr">
        <is>
          <t>0 governed relationships</t>
        </is>
      </c>
      <c r="D81" s="12" t="inlineStr">
        <is>
          <t>0 governed relationships</t>
        </is>
      </c>
      <c r="E81" s="12" t="inlineStr">
        <is>
          <t>0 governed relationships</t>
        </is>
      </c>
      <c r="F81" s="12" t="inlineStr">
        <is>
          <t>0 governed relationships</t>
        </is>
      </c>
      <c r="G81" s="32" t="n">
        <v>0</v>
      </c>
      <c r="H81" s="32" t="n">
        <v>0</v>
      </c>
      <c r="I81" s="12" t="inlineStr">
        <is>
          <t>No governed schedule or cost relationships in this WBS branch.</t>
        </is>
      </c>
      <c r="J81" s="17" t="inlineStr">
        <is>
          <t>08 CROSSWALK: WBS 1.6.3.1</t>
        </is>
      </c>
    </row>
    <row r="82" ht="34" customHeight="1">
      <c r="A82" s="12" t="inlineStr">
        <is>
          <t>1.6.3.2</t>
        </is>
      </c>
      <c r="B82" s="60" t="inlineStr">
        <is>
          <t>Stakeholder &amp; Permits - Delivery Partners</t>
        </is>
      </c>
      <c r="C82" s="12" t="inlineStr">
        <is>
          <t>0 governed relationships</t>
        </is>
      </c>
      <c r="D82" s="12" t="inlineStr">
        <is>
          <t>0 governed relationships</t>
        </is>
      </c>
      <c r="E82" s="12" t="inlineStr">
        <is>
          <t>0 governed relationships</t>
        </is>
      </c>
      <c r="F82" s="12" t="inlineStr">
        <is>
          <t>0 governed relationships</t>
        </is>
      </c>
      <c r="G82" s="32" t="n">
        <v>0</v>
      </c>
      <c r="H82" s="32" t="n">
        <v>0</v>
      </c>
      <c r="I82" s="12" t="inlineStr">
        <is>
          <t>No governed schedule or cost relationships in this WBS branch.</t>
        </is>
      </c>
      <c r="J82" s="17" t="inlineStr">
        <is>
          <t>08 CROSSWALK: WBS 1.6.3.2</t>
        </is>
      </c>
    </row>
    <row r="83" ht="34" customHeight="1">
      <c r="A83" s="12" t="inlineStr">
        <is>
          <t>1.6.4</t>
        </is>
      </c>
      <c r="B83" s="59" t="inlineStr">
        <is>
          <t>Program Management - Delivery Integration</t>
        </is>
      </c>
      <c r="C83" s="12" t="inlineStr">
        <is>
          <t>0 governed relationships</t>
        </is>
      </c>
      <c r="D83" s="12" t="inlineStr">
        <is>
          <t>0 governed relationships</t>
        </is>
      </c>
      <c r="E83" s="12" t="inlineStr">
        <is>
          <t>0 governed relationships</t>
        </is>
      </c>
      <c r="F83" s="12" t="inlineStr">
        <is>
          <t>0 governed relationships</t>
        </is>
      </c>
      <c r="G83" s="32" t="n">
        <v>0</v>
      </c>
      <c r="H83" s="32" t="n">
        <v>0</v>
      </c>
      <c r="I83" s="12" t="inlineStr">
        <is>
          <t>No governed schedule or cost relationships in this WBS branch.</t>
        </is>
      </c>
      <c r="J83" s="17" t="inlineStr">
        <is>
          <t>08 CROSSWALK: WBS 1.6.4</t>
        </is>
      </c>
    </row>
    <row r="84" ht="34" customHeight="1">
      <c r="A84" s="12" t="inlineStr">
        <is>
          <t>1.6.4.1</t>
        </is>
      </c>
      <c r="B84" s="60" t="inlineStr">
        <is>
          <t>Delivery Integration - Owner Team</t>
        </is>
      </c>
      <c r="C84" s="12" t="inlineStr">
        <is>
          <t>0 governed relationships</t>
        </is>
      </c>
      <c r="D84" s="12" t="inlineStr">
        <is>
          <t>0 governed relationships</t>
        </is>
      </c>
      <c r="E84" s="12" t="inlineStr">
        <is>
          <t>0 governed relationships</t>
        </is>
      </c>
      <c r="F84" s="12" t="inlineStr">
        <is>
          <t>0 governed relationships</t>
        </is>
      </c>
      <c r="G84" s="32" t="n">
        <v>0</v>
      </c>
      <c r="H84" s="32" t="n">
        <v>0</v>
      </c>
      <c r="I84" s="12" t="inlineStr">
        <is>
          <t>No governed schedule or cost relationships in this WBS branch.</t>
        </is>
      </c>
      <c r="J84" s="17" t="inlineStr">
        <is>
          <t>08 CROSSWALK: WBS 1.6.4.1</t>
        </is>
      </c>
    </row>
    <row r="85" ht="34" customHeight="1">
      <c r="A85" s="12" t="inlineStr">
        <is>
          <t>1.6.4.2</t>
        </is>
      </c>
      <c r="B85" s="60" t="inlineStr">
        <is>
          <t>Delivery Integration - Delivery Partners</t>
        </is>
      </c>
      <c r="C85" s="12" t="inlineStr">
        <is>
          <t>0 governed relationships</t>
        </is>
      </c>
      <c r="D85" s="12" t="inlineStr">
        <is>
          <t>0 governed relationships</t>
        </is>
      </c>
      <c r="E85" s="12" t="inlineStr">
        <is>
          <t>0 governed relationships</t>
        </is>
      </c>
      <c r="F85" s="12" t="inlineStr">
        <is>
          <t>0 governed relationships</t>
        </is>
      </c>
      <c r="G85" s="32" t="n">
        <v>0</v>
      </c>
      <c r="H85" s="32" t="n">
        <v>0</v>
      </c>
      <c r="I85" s="12" t="inlineStr">
        <is>
          <t>No governed schedule or cost relationships in this WBS branch.</t>
        </is>
      </c>
      <c r="J85" s="17" t="inlineStr">
        <is>
          <t>08 CROSSWALK: WBS 1.6.4.2</t>
        </is>
      </c>
    </row>
  </sheetData>
  <autoFilter ref="A5:J85"/>
  <mergeCells count="2">
    <mergeCell ref="A1:D1"/>
    <mergeCell ref="A2:D2"/>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J6" r:id="rId10"/>
    <hyperlink xmlns:r="http://schemas.openxmlformats.org/officeDocument/2006/relationships" ref="J7" tooltip="First relationship in this approved WBS branch; use the WBS Explorer hierarchy and Target WBS filter to inspect all descendant targets." r:id="rId11"/>
    <hyperlink xmlns:r="http://schemas.openxmlformats.org/officeDocument/2006/relationships" ref="J8" tooltip="First relationship in this approved WBS branch; use the WBS Explorer hierarchy and Target WBS filter to inspect all descendant targets." r:id="rId12"/>
    <hyperlink xmlns:r="http://schemas.openxmlformats.org/officeDocument/2006/relationships" ref="J9" tooltip="First relationship in this approved WBS branch; use the WBS Explorer hierarchy and Target WBS filter to inspect all descendant targets." r:id="rId13"/>
    <hyperlink xmlns:r="http://schemas.openxmlformats.org/officeDocument/2006/relationships" ref="J10" r:id="rId14"/>
    <hyperlink xmlns:r="http://schemas.openxmlformats.org/officeDocument/2006/relationships" ref="J11" r:id="rId15"/>
    <hyperlink xmlns:r="http://schemas.openxmlformats.org/officeDocument/2006/relationships" ref="J12" tooltip="First relationship in this approved WBS branch; use the WBS Explorer hierarchy and Target WBS filter to inspect all descendant targets." r:id="rId16"/>
    <hyperlink xmlns:r="http://schemas.openxmlformats.org/officeDocument/2006/relationships" ref="J13" r:id="rId17"/>
    <hyperlink xmlns:r="http://schemas.openxmlformats.org/officeDocument/2006/relationships" ref="J14" r:id="rId18"/>
    <hyperlink xmlns:r="http://schemas.openxmlformats.org/officeDocument/2006/relationships" ref="J15" r:id="rId19"/>
    <hyperlink xmlns:r="http://schemas.openxmlformats.org/officeDocument/2006/relationships" ref="J16" r:id="rId20"/>
    <hyperlink xmlns:r="http://schemas.openxmlformats.org/officeDocument/2006/relationships" ref="J17" r:id="rId21"/>
    <hyperlink xmlns:r="http://schemas.openxmlformats.org/officeDocument/2006/relationships" ref="J18" r:id="rId22"/>
    <hyperlink xmlns:r="http://schemas.openxmlformats.org/officeDocument/2006/relationships" ref="J19" r:id="rId23"/>
    <hyperlink xmlns:r="http://schemas.openxmlformats.org/officeDocument/2006/relationships" ref="J20" r:id="rId24"/>
    <hyperlink xmlns:r="http://schemas.openxmlformats.org/officeDocument/2006/relationships" ref="J21" tooltip="First relationship in this approved WBS branch; use the WBS Explorer hierarchy and Target WBS filter to inspect all descendant targets." r:id="rId25"/>
    <hyperlink xmlns:r="http://schemas.openxmlformats.org/officeDocument/2006/relationships" ref="J22" tooltip="First relationship in this approved WBS branch; use the WBS Explorer hierarchy and Target WBS filter to inspect all descendant targets." r:id="rId26"/>
    <hyperlink xmlns:r="http://schemas.openxmlformats.org/officeDocument/2006/relationships" ref="J23" r:id="rId27"/>
    <hyperlink xmlns:r="http://schemas.openxmlformats.org/officeDocument/2006/relationships" ref="J24" r:id="rId28"/>
    <hyperlink xmlns:r="http://schemas.openxmlformats.org/officeDocument/2006/relationships" ref="J25" tooltip="First relationship in this approved WBS branch; use the WBS Explorer hierarchy and Target WBS filter to inspect all descendant targets." r:id="rId29"/>
    <hyperlink xmlns:r="http://schemas.openxmlformats.org/officeDocument/2006/relationships" ref="J26" r:id="rId30"/>
    <hyperlink xmlns:r="http://schemas.openxmlformats.org/officeDocument/2006/relationships" ref="J27" r:id="rId31"/>
    <hyperlink xmlns:r="http://schemas.openxmlformats.org/officeDocument/2006/relationships" ref="J28" r:id="rId32"/>
    <hyperlink xmlns:r="http://schemas.openxmlformats.org/officeDocument/2006/relationships" ref="J29" r:id="rId33"/>
    <hyperlink xmlns:r="http://schemas.openxmlformats.org/officeDocument/2006/relationships" ref="J30" r:id="rId34"/>
    <hyperlink xmlns:r="http://schemas.openxmlformats.org/officeDocument/2006/relationships" ref="J31" r:id="rId35"/>
    <hyperlink xmlns:r="http://schemas.openxmlformats.org/officeDocument/2006/relationships" ref="J32" r:id="rId36"/>
    <hyperlink xmlns:r="http://schemas.openxmlformats.org/officeDocument/2006/relationships" ref="J33" r:id="rId37"/>
    <hyperlink xmlns:r="http://schemas.openxmlformats.org/officeDocument/2006/relationships" ref="J34" tooltip="First relationship in this approved WBS branch; use the WBS Explorer hierarchy and Target WBS filter to inspect all descendant targets." r:id="rId38"/>
    <hyperlink xmlns:r="http://schemas.openxmlformats.org/officeDocument/2006/relationships" ref="J35" tooltip="First relationship in this approved WBS branch; use the WBS Explorer hierarchy and Target WBS filter to inspect all descendant targets." r:id="rId39"/>
    <hyperlink xmlns:r="http://schemas.openxmlformats.org/officeDocument/2006/relationships" ref="J36" r:id="rId40"/>
    <hyperlink xmlns:r="http://schemas.openxmlformats.org/officeDocument/2006/relationships" ref="J37" r:id="rId41"/>
    <hyperlink xmlns:r="http://schemas.openxmlformats.org/officeDocument/2006/relationships" ref="J38" tooltip="First relationship in this approved WBS branch; use the WBS Explorer hierarchy and Target WBS filter to inspect all descendant targets." r:id="rId42"/>
    <hyperlink xmlns:r="http://schemas.openxmlformats.org/officeDocument/2006/relationships" ref="J39" r:id="rId43"/>
    <hyperlink xmlns:r="http://schemas.openxmlformats.org/officeDocument/2006/relationships" ref="J40" r:id="rId44"/>
    <hyperlink xmlns:r="http://schemas.openxmlformats.org/officeDocument/2006/relationships" ref="J41" r:id="rId45"/>
    <hyperlink xmlns:r="http://schemas.openxmlformats.org/officeDocument/2006/relationships" ref="J42" r:id="rId46"/>
    <hyperlink xmlns:r="http://schemas.openxmlformats.org/officeDocument/2006/relationships" ref="J43" r:id="rId47"/>
    <hyperlink xmlns:r="http://schemas.openxmlformats.org/officeDocument/2006/relationships" ref="J44" r:id="rId48"/>
    <hyperlink xmlns:r="http://schemas.openxmlformats.org/officeDocument/2006/relationships" ref="J45" r:id="rId49"/>
    <hyperlink xmlns:r="http://schemas.openxmlformats.org/officeDocument/2006/relationships" ref="J46" r:id="rId50"/>
    <hyperlink xmlns:r="http://schemas.openxmlformats.org/officeDocument/2006/relationships" ref="J47" tooltip="First relationship in this approved WBS branch; use the WBS Explorer hierarchy and Target WBS filter to inspect all descendant targets." r:id="rId51"/>
    <hyperlink xmlns:r="http://schemas.openxmlformats.org/officeDocument/2006/relationships" ref="J48" tooltip="First relationship in this approved WBS branch; use the WBS Explorer hierarchy and Target WBS filter to inspect all descendant targets." r:id="rId52"/>
    <hyperlink xmlns:r="http://schemas.openxmlformats.org/officeDocument/2006/relationships" ref="J49" r:id="rId53"/>
    <hyperlink xmlns:r="http://schemas.openxmlformats.org/officeDocument/2006/relationships" ref="J50" r:id="rId54"/>
    <hyperlink xmlns:r="http://schemas.openxmlformats.org/officeDocument/2006/relationships" ref="J51" tooltip="First relationship in this approved WBS branch; use the WBS Explorer hierarchy and Target WBS filter to inspect all descendant targets." r:id="rId55"/>
    <hyperlink xmlns:r="http://schemas.openxmlformats.org/officeDocument/2006/relationships" ref="J52" r:id="rId56"/>
    <hyperlink xmlns:r="http://schemas.openxmlformats.org/officeDocument/2006/relationships" ref="J53" r:id="rId57"/>
    <hyperlink xmlns:r="http://schemas.openxmlformats.org/officeDocument/2006/relationships" ref="J54" r:id="rId58"/>
    <hyperlink xmlns:r="http://schemas.openxmlformats.org/officeDocument/2006/relationships" ref="J55" r:id="rId59"/>
    <hyperlink xmlns:r="http://schemas.openxmlformats.org/officeDocument/2006/relationships" ref="J56" r:id="rId60"/>
    <hyperlink xmlns:r="http://schemas.openxmlformats.org/officeDocument/2006/relationships" ref="J57" r:id="rId61"/>
    <hyperlink xmlns:r="http://schemas.openxmlformats.org/officeDocument/2006/relationships" ref="J58" r:id="rId62"/>
    <hyperlink xmlns:r="http://schemas.openxmlformats.org/officeDocument/2006/relationships" ref="J59" r:id="rId63"/>
    <hyperlink xmlns:r="http://schemas.openxmlformats.org/officeDocument/2006/relationships" ref="J60" tooltip="First relationship in this approved WBS branch; use the WBS Explorer hierarchy and Target WBS filter to inspect all descendant targets." r:id="rId64"/>
    <hyperlink xmlns:r="http://schemas.openxmlformats.org/officeDocument/2006/relationships" ref="J61" tooltip="First relationship in this approved WBS branch; use the WBS Explorer hierarchy and Target WBS filter to inspect all descendant targets." r:id="rId65"/>
    <hyperlink xmlns:r="http://schemas.openxmlformats.org/officeDocument/2006/relationships" ref="J62" r:id="rId66"/>
    <hyperlink xmlns:r="http://schemas.openxmlformats.org/officeDocument/2006/relationships" ref="J63" r:id="rId67"/>
    <hyperlink xmlns:r="http://schemas.openxmlformats.org/officeDocument/2006/relationships" ref="J64" tooltip="First relationship in this approved WBS branch; use the WBS Explorer hierarchy and Target WBS filter to inspect all descendant targets." r:id="rId68"/>
    <hyperlink xmlns:r="http://schemas.openxmlformats.org/officeDocument/2006/relationships" ref="J65" r:id="rId69"/>
    <hyperlink xmlns:r="http://schemas.openxmlformats.org/officeDocument/2006/relationships" ref="J66" r:id="rId70"/>
    <hyperlink xmlns:r="http://schemas.openxmlformats.org/officeDocument/2006/relationships" ref="J67" r:id="rId71"/>
    <hyperlink xmlns:r="http://schemas.openxmlformats.org/officeDocument/2006/relationships" ref="J68" r:id="rId72"/>
    <hyperlink xmlns:r="http://schemas.openxmlformats.org/officeDocument/2006/relationships" ref="J69" r:id="rId73"/>
    <hyperlink xmlns:r="http://schemas.openxmlformats.org/officeDocument/2006/relationships" ref="J70" r:id="rId74"/>
    <hyperlink xmlns:r="http://schemas.openxmlformats.org/officeDocument/2006/relationships" ref="J71" r:id="rId75"/>
    <hyperlink xmlns:r="http://schemas.openxmlformats.org/officeDocument/2006/relationships" ref="J72" r:id="rId76"/>
    <hyperlink xmlns:r="http://schemas.openxmlformats.org/officeDocument/2006/relationships" ref="J73" tooltip="First relationship in this approved WBS branch; use the WBS Explorer hierarchy and Target WBS filter to inspect all descendant targets." r:id="rId77"/>
    <hyperlink xmlns:r="http://schemas.openxmlformats.org/officeDocument/2006/relationships" ref="J74" tooltip="First relationship in this approved WBS branch; use the WBS Explorer hierarchy and Target WBS filter to inspect all descendant targets." r:id="rId78"/>
    <hyperlink xmlns:r="http://schemas.openxmlformats.org/officeDocument/2006/relationships" ref="J75" r:id="rId79"/>
    <hyperlink xmlns:r="http://schemas.openxmlformats.org/officeDocument/2006/relationships" ref="J76" r:id="rId80"/>
    <hyperlink xmlns:r="http://schemas.openxmlformats.org/officeDocument/2006/relationships" ref="J77" tooltip="First relationship in this approved WBS branch; use the WBS Explorer hierarchy and Target WBS filter to inspect all descendant targets." r:id="rId81"/>
    <hyperlink xmlns:r="http://schemas.openxmlformats.org/officeDocument/2006/relationships" ref="J78" r:id="rId82"/>
    <hyperlink xmlns:r="http://schemas.openxmlformats.org/officeDocument/2006/relationships" ref="J79" r:id="rId83"/>
    <hyperlink xmlns:r="http://schemas.openxmlformats.org/officeDocument/2006/relationships" ref="J80" r:id="rId84"/>
    <hyperlink xmlns:r="http://schemas.openxmlformats.org/officeDocument/2006/relationships" ref="J81" r:id="rId85"/>
    <hyperlink xmlns:r="http://schemas.openxmlformats.org/officeDocument/2006/relationships" ref="J82" r:id="rId86"/>
    <hyperlink xmlns:r="http://schemas.openxmlformats.org/officeDocument/2006/relationships" ref="J83" r:id="rId87"/>
    <hyperlink xmlns:r="http://schemas.openxmlformats.org/officeDocument/2006/relationships" ref="J84" r:id="rId88"/>
    <hyperlink xmlns:r="http://schemas.openxmlformats.org/officeDocument/2006/relationships" ref="J85" r:id="rId89"/>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00243553"/>
    <outlinePr summaryBelow="0" summaryRight="0"/>
    <pageSetUpPr fitToPage="1"/>
  </sheetPr>
  <dimension ref="A1:H1634"/>
  <sheetViews>
    <sheetView showGridLines="0" tabSelected="0" topLeftCell="A1" zoomScale="100" zoomScaleNormal="100" workbookViewId="0">
      <pane ySplit="12" topLeftCell="A13" activePane="bottomLeft" state="frozen"/>
      <selection pane="bottomLeft" activeCell="A1" sqref="A1"/>
    </sheetView>
  </sheetViews>
  <sheetFormatPr baseColWidth="8" defaultRowHeight="15"/>
  <cols>
    <col width="18" customWidth="1" min="1" max="1"/>
    <col width="24" customWidth="1" min="2" max="2"/>
    <col width="18" customWidth="1" min="3" max="3"/>
    <col width="34" customWidth="1" min="4" max="4"/>
    <col width="22" customWidth="1" min="5" max="5"/>
    <col width="46" customWidth="1" min="6" max="6"/>
    <col width="30" customWidth="1" min="7" max="7"/>
    <col width="26" customWidth="1" min="8" max="8"/>
  </cols>
  <sheetData>
    <row r="1" ht="33.2" customHeight="1">
      <c r="A1" s="97" t="inlineStr">
        <is>
          <t>CHANGES &amp; REVALIDATION</t>
        </is>
      </c>
    </row>
    <row r="2" ht="26" customHeight="1">
      <c r="A2" s="46" t="inlineStr">
        <is>
          <t>Recorded changes and the review they required. Carried-forward evidence is not individual confirmation of every source assertion.</t>
        </is>
      </c>
    </row>
    <row r="3" ht="19"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row>
    <row r="4"/>
    <row r="5" ht="109" customHeight="1">
      <c r="A5" s="25" t="inlineStr">
        <is>
          <t>Initial approved relationship state · current reporting baseline</t>
        </is>
      </c>
      <c r="D5" s="25" t="inlineStr">
        <is>
          <t>V3 · CYCLE CONTINUITY</t>
        </is>
      </c>
    </row>
    <row r="6" ht="34" customHeight="1">
      <c r="A6" s="4" t="inlineStr">
        <is>
          <t>Carried forward</t>
        </is>
      </c>
      <c r="B6" s="61" t="n">
        <v>0</v>
      </c>
      <c r="D6" s="46" t="inlineStr">
        <is>
          <t>This is the initial approved relationship baseline; the counts at left describe the current governed state.</t>
        </is>
      </c>
    </row>
    <row r="7" ht="34" customHeight="1">
      <c r="A7" s="4" t="inlineStr">
        <is>
          <t>Re-keyed, revalidated</t>
        </is>
      </c>
      <c r="B7" s="61" t="n">
        <v>0</v>
      </c>
    </row>
    <row r="8" ht="34" customHeight="1">
      <c r="A8" s="4" t="inlineStr">
        <is>
          <t>Changed, re-decided</t>
        </is>
      </c>
      <c r="B8" s="61" t="n">
        <v>0</v>
      </c>
    </row>
    <row r="9" ht="24" customHeight="1">
      <c r="A9" s="4" t="inlineStr">
        <is>
          <t>New</t>
        </is>
      </c>
      <c r="B9" s="61" t="n">
        <v>1622</v>
      </c>
      <c r="D9" s="27" t="inlineStr">
        <is>
          <t>All relationships shown as New were established in this initial baseline; they are not changes from a prior approved cycle.</t>
        </is>
      </c>
    </row>
    <row r="10" ht="24" customHeight="1">
      <c r="A10" s="4" t="inlineStr">
        <is>
          <t>Retired</t>
        </is>
      </c>
      <c r="B10" s="61" t="n">
        <v>0</v>
      </c>
    </row>
    <row r="11"/>
    <row r="12" ht="34" customHeight="1">
      <c r="A12" s="11" t="inlineStr">
        <is>
          <t>Relationship</t>
        </is>
      </c>
      <c r="B12" s="11" t="inlineStr">
        <is>
          <t>Source</t>
        </is>
      </c>
      <c r="C12" s="11" t="inlineStr">
        <is>
          <t>Record</t>
        </is>
      </c>
      <c r="D12" s="11" t="inlineStr">
        <is>
          <t>WBS</t>
        </is>
      </c>
      <c r="E12" s="11" t="inlineStr">
        <is>
          <t>Change state</t>
        </is>
      </c>
      <c r="F12" s="11" t="inlineStr">
        <is>
          <t>Reopen / revalidation reason</t>
        </is>
      </c>
      <c r="G12" s="11" t="inlineStr">
        <is>
          <t>Decision provenance</t>
        </is>
      </c>
      <c r="H12" s="11" t="inlineStr">
        <is>
          <t>Evidence path</t>
        </is>
      </c>
    </row>
    <row r="13" ht="34" customHeight="1">
      <c r="A13" s="12" t="inlineStr">
        <is>
          <t>R1563-v2</t>
        </is>
      </c>
      <c r="B13" s="12" t="inlineStr">
        <is>
          <t>Commercial Package Register</t>
        </is>
      </c>
      <c r="C13" s="12" t="inlineStr">
        <is>
          <t>PKG-001</t>
        </is>
      </c>
      <c r="D13" s="12" t="inlineStr">
        <is>
          <t>1.1 Guideway and Civil</t>
        </is>
      </c>
      <c r="E13" s="12" t="inlineStr">
        <is>
          <t>New</t>
        </is>
      </c>
      <c r="F13" s="12" t="inlineStr"/>
      <c r="G13" s="12" t="inlineStr">
        <is>
          <t>Maya Chen, Owner Project Controls</t>
        </is>
      </c>
      <c r="H13" s="17" t="inlineStr">
        <is>
          <t>10 EVIDENCE &amp; DECISIONS</t>
        </is>
      </c>
    </row>
    <row r="14" ht="34" customHeight="1">
      <c r="A14" s="12" t="inlineStr">
        <is>
          <t>R1564-v1</t>
        </is>
      </c>
      <c r="B14" s="12" t="inlineStr">
        <is>
          <t>Commercial Package Register</t>
        </is>
      </c>
      <c r="C14" s="12" t="inlineStr">
        <is>
          <t>PKG-002</t>
        </is>
      </c>
      <c r="D14" s="12" t="inlineStr">
        <is>
          <t>1.1 Guideway and Civil</t>
        </is>
      </c>
      <c r="E14" s="12" t="inlineStr">
        <is>
          <t>New</t>
        </is>
      </c>
      <c r="F14" s="12" t="inlineStr"/>
      <c r="G14" s="12" t="inlineStr">
        <is>
          <t>Source assignment -- not individually reviewed</t>
        </is>
      </c>
      <c r="H14" s="17" t="inlineStr">
        <is>
          <t>10 EVIDENCE &amp; DECISIONS</t>
        </is>
      </c>
    </row>
    <row r="15" ht="34" customHeight="1">
      <c r="A15" s="12" t="inlineStr">
        <is>
          <t>R1565-v1</t>
        </is>
      </c>
      <c r="B15" s="12" t="inlineStr">
        <is>
          <t>Commercial Package Register</t>
        </is>
      </c>
      <c r="C15" s="12" t="inlineStr">
        <is>
          <t>PKG-003</t>
        </is>
      </c>
      <c r="D15" s="12" t="inlineStr">
        <is>
          <t>1.1 Guideway and Civil</t>
        </is>
      </c>
      <c r="E15" s="12" t="inlineStr">
        <is>
          <t>New</t>
        </is>
      </c>
      <c r="F15" s="12" t="inlineStr"/>
      <c r="G15" s="12" t="inlineStr">
        <is>
          <t>Source assignment -- not individually reviewed</t>
        </is>
      </c>
      <c r="H15" s="17" t="inlineStr">
        <is>
          <t>10 EVIDENCE &amp; DECISIONS</t>
        </is>
      </c>
    </row>
    <row r="16" ht="34" customHeight="1">
      <c r="A16" s="12" t="inlineStr">
        <is>
          <t>R1566-v1</t>
        </is>
      </c>
      <c r="B16" s="12" t="inlineStr">
        <is>
          <t>Commercial Package Register</t>
        </is>
      </c>
      <c r="C16" s="12" t="inlineStr">
        <is>
          <t>PKG-004</t>
        </is>
      </c>
      <c r="D16" s="12" t="inlineStr">
        <is>
          <t>1.1 Guideway and Civil</t>
        </is>
      </c>
      <c r="E16" s="12" t="inlineStr">
        <is>
          <t>New</t>
        </is>
      </c>
      <c r="F16" s="12" t="inlineStr"/>
      <c r="G16" s="12" t="inlineStr">
        <is>
          <t>Source assignment -- not individually reviewed</t>
        </is>
      </c>
      <c r="H16" s="17" t="inlineStr">
        <is>
          <t>10 EVIDENCE &amp; DECISIONS</t>
        </is>
      </c>
    </row>
    <row r="17" ht="34" customHeight="1">
      <c r="A17" s="12" t="inlineStr">
        <is>
          <t>R1567-v1</t>
        </is>
      </c>
      <c r="B17" s="12" t="inlineStr">
        <is>
          <t>Commercial Package Register</t>
        </is>
      </c>
      <c r="C17" s="12" t="inlineStr">
        <is>
          <t>PKG-005</t>
        </is>
      </c>
      <c r="D17" s="12" t="inlineStr">
        <is>
          <t>1.1 Guideway and Civil</t>
        </is>
      </c>
      <c r="E17" s="12" t="inlineStr">
        <is>
          <t>New</t>
        </is>
      </c>
      <c r="F17" s="12" t="inlineStr"/>
      <c r="G17" s="12" t="inlineStr">
        <is>
          <t>Source assignment -- not individually reviewed</t>
        </is>
      </c>
      <c r="H17" s="17" t="inlineStr">
        <is>
          <t>10 EVIDENCE &amp; DECISIONS</t>
        </is>
      </c>
    </row>
    <row r="18" ht="34" customHeight="1">
      <c r="A18" s="12" t="inlineStr">
        <is>
          <t>R1568-v1</t>
        </is>
      </c>
      <c r="B18" s="12" t="inlineStr">
        <is>
          <t>Commercial Package Register</t>
        </is>
      </c>
      <c r="C18" s="12" t="inlineStr">
        <is>
          <t>PKG-006</t>
        </is>
      </c>
      <c r="D18" s="12" t="inlineStr">
        <is>
          <t>1.1 Guideway and Civil</t>
        </is>
      </c>
      <c r="E18" s="12" t="inlineStr">
        <is>
          <t>New</t>
        </is>
      </c>
      <c r="F18" s="12" t="inlineStr"/>
      <c r="G18" s="12" t="inlineStr">
        <is>
          <t>Source assignment -- not individually reviewed</t>
        </is>
      </c>
      <c r="H18" s="17" t="inlineStr">
        <is>
          <t>10 EVIDENCE &amp; DECISIONS</t>
        </is>
      </c>
    </row>
    <row r="19" ht="34" customHeight="1">
      <c r="A19" s="12" t="inlineStr">
        <is>
          <t>R1569-v1</t>
        </is>
      </c>
      <c r="B19" s="12" t="inlineStr">
        <is>
          <t>Commercial Package Register</t>
        </is>
      </c>
      <c r="C19" s="12" t="inlineStr">
        <is>
          <t>PKG-007</t>
        </is>
      </c>
      <c r="D19" s="12" t="inlineStr">
        <is>
          <t>1.1 Guideway and Civil</t>
        </is>
      </c>
      <c r="E19" s="12" t="inlineStr">
        <is>
          <t>New</t>
        </is>
      </c>
      <c r="F19" s="12" t="inlineStr"/>
      <c r="G19" s="12" t="inlineStr">
        <is>
          <t>Source assignment -- not individually reviewed</t>
        </is>
      </c>
      <c r="H19" s="17" t="inlineStr">
        <is>
          <t>10 EVIDENCE &amp; DECISIONS</t>
        </is>
      </c>
    </row>
    <row r="20" ht="34" customHeight="1">
      <c r="A20" s="12" t="inlineStr">
        <is>
          <t>R1570-v1</t>
        </is>
      </c>
      <c r="B20" s="12" t="inlineStr">
        <is>
          <t>Commercial Package Register</t>
        </is>
      </c>
      <c r="C20" s="12" t="inlineStr">
        <is>
          <t>PKG-008</t>
        </is>
      </c>
      <c r="D20" s="12" t="inlineStr">
        <is>
          <t>1.1 Guideway and Civil</t>
        </is>
      </c>
      <c r="E20" s="12" t="inlineStr">
        <is>
          <t>New</t>
        </is>
      </c>
      <c r="F20" s="12" t="inlineStr"/>
      <c r="G20" s="12" t="inlineStr">
        <is>
          <t>Source assignment -- not individually reviewed</t>
        </is>
      </c>
      <c r="H20" s="17" t="inlineStr">
        <is>
          <t>10 EVIDENCE &amp; DECISIONS</t>
        </is>
      </c>
    </row>
    <row r="21" ht="34" customHeight="1">
      <c r="A21" s="12" t="inlineStr">
        <is>
          <t>R1571-v1</t>
        </is>
      </c>
      <c r="B21" s="12" t="inlineStr">
        <is>
          <t>Commercial Package Register</t>
        </is>
      </c>
      <c r="C21" s="12" t="inlineStr">
        <is>
          <t>PKG-009</t>
        </is>
      </c>
      <c r="D21" s="12" t="inlineStr">
        <is>
          <t>1.1 Guideway and Civil</t>
        </is>
      </c>
      <c r="E21" s="12" t="inlineStr">
        <is>
          <t>New</t>
        </is>
      </c>
      <c r="F21" s="12" t="inlineStr"/>
      <c r="G21" s="12" t="inlineStr">
        <is>
          <t>Source assignment -- not individually reviewed</t>
        </is>
      </c>
      <c r="H21" s="17" t="inlineStr">
        <is>
          <t>10 EVIDENCE &amp; DECISIONS</t>
        </is>
      </c>
    </row>
    <row r="22" ht="34" customHeight="1">
      <c r="A22" s="12" t="inlineStr">
        <is>
          <t>R1572-v1</t>
        </is>
      </c>
      <c r="B22" s="12" t="inlineStr">
        <is>
          <t>Commercial Package Register</t>
        </is>
      </c>
      <c r="C22" s="12" t="inlineStr">
        <is>
          <t>PKG-010</t>
        </is>
      </c>
      <c r="D22" s="12" t="inlineStr">
        <is>
          <t>1.1 Guideway and Civil</t>
        </is>
      </c>
      <c r="E22" s="12" t="inlineStr">
        <is>
          <t>New</t>
        </is>
      </c>
      <c r="F22" s="12" t="inlineStr"/>
      <c r="G22" s="12" t="inlineStr">
        <is>
          <t>Source assignment -- not individually reviewed</t>
        </is>
      </c>
      <c r="H22" s="17" t="inlineStr">
        <is>
          <t>10 EVIDENCE &amp; DECISIONS</t>
        </is>
      </c>
    </row>
    <row r="23" ht="34" customHeight="1">
      <c r="A23" s="12" t="inlineStr">
        <is>
          <t>R1-v1</t>
        </is>
      </c>
      <c r="B23" s="12" t="inlineStr">
        <is>
          <t>Contractor Programme</t>
        </is>
      </c>
      <c r="C23" s="12" t="inlineStr">
        <is>
          <t>SCH-01-001</t>
        </is>
      </c>
      <c r="D23" s="12" t="inlineStr">
        <is>
          <t>1.1.1 Guideway and Civil - Guideway Structures</t>
        </is>
      </c>
      <c r="E23" s="12" t="inlineStr">
        <is>
          <t>New</t>
        </is>
      </c>
      <c r="F23" s="12" t="inlineStr"/>
      <c r="G23" s="12" t="inlineStr">
        <is>
          <t>Source assignment -- not individually reviewed</t>
        </is>
      </c>
      <c r="H23" s="17" t="inlineStr">
        <is>
          <t>10 EVIDENCE &amp; DECISIONS</t>
        </is>
      </c>
    </row>
    <row r="24" ht="34" customHeight="1">
      <c r="A24" s="12" t="inlineStr">
        <is>
          <t>R10-v1</t>
        </is>
      </c>
      <c r="B24" s="12" t="inlineStr">
        <is>
          <t>Contractor Programme</t>
        </is>
      </c>
      <c r="C24" s="12" t="inlineStr">
        <is>
          <t>SCH-01-010</t>
        </is>
      </c>
      <c r="D24" s="12" t="inlineStr">
        <is>
          <t>1.1.1 Guideway and Civil - Guideway Structures</t>
        </is>
      </c>
      <c r="E24" s="12" t="inlineStr">
        <is>
          <t>New</t>
        </is>
      </c>
      <c r="F24" s="12" t="inlineStr"/>
      <c r="G24" s="12" t="inlineStr">
        <is>
          <t>Source assignment -- not individually reviewed</t>
        </is>
      </c>
      <c r="H24" s="17" t="inlineStr">
        <is>
          <t>10 EVIDENCE &amp; DECISIONS</t>
        </is>
      </c>
    </row>
    <row r="25" ht="34" customHeight="1">
      <c r="A25" s="12" t="inlineStr">
        <is>
          <t>R100-v1</t>
        </is>
      </c>
      <c r="B25" s="12" t="inlineStr">
        <is>
          <t>Contractor Programme</t>
        </is>
      </c>
      <c r="C25" s="12" t="inlineStr">
        <is>
          <t>SCH-01-100</t>
        </is>
      </c>
      <c r="D25" s="12" t="inlineStr">
        <is>
          <t>1.1.1 Guideway and Civil - Guideway Structures</t>
        </is>
      </c>
      <c r="E25" s="12" t="inlineStr">
        <is>
          <t>New</t>
        </is>
      </c>
      <c r="F25" s="12" t="inlineStr"/>
      <c r="G25" s="12" t="inlineStr">
        <is>
          <t>Source assignment -- not individually reviewed</t>
        </is>
      </c>
      <c r="H25" s="17" t="inlineStr">
        <is>
          <t>10 EVIDENCE &amp; DECISIONS</t>
        </is>
      </c>
    </row>
    <row r="26" ht="34" customHeight="1">
      <c r="A26" s="12" t="inlineStr">
        <is>
          <t>R101-v1</t>
        </is>
      </c>
      <c r="B26" s="12" t="inlineStr">
        <is>
          <t>Contractor Programme</t>
        </is>
      </c>
      <c r="C26" s="12" t="inlineStr">
        <is>
          <t>SCH-01-101</t>
        </is>
      </c>
      <c r="D26" s="12" t="inlineStr">
        <is>
          <t>1.1.1 Guideway and Civil - Guideway Structures</t>
        </is>
      </c>
      <c r="E26" s="12" t="inlineStr">
        <is>
          <t>New</t>
        </is>
      </c>
      <c r="F26" s="12" t="inlineStr"/>
      <c r="G26" s="12" t="inlineStr">
        <is>
          <t>Source assignment -- not individually reviewed</t>
        </is>
      </c>
      <c r="H26" s="17" t="inlineStr">
        <is>
          <t>10 EVIDENCE &amp; DECISIONS</t>
        </is>
      </c>
    </row>
    <row r="27" ht="34" customHeight="1">
      <c r="A27" s="12" t="inlineStr">
        <is>
          <t>R103-v1</t>
        </is>
      </c>
      <c r="B27" s="12" t="inlineStr">
        <is>
          <t>Contractor Programme</t>
        </is>
      </c>
      <c r="C27" s="12" t="inlineStr">
        <is>
          <t>SCH-01-103</t>
        </is>
      </c>
      <c r="D27" s="12" t="inlineStr">
        <is>
          <t>1.1.1 Guideway and Civil - Guideway Structures</t>
        </is>
      </c>
      <c r="E27" s="12" t="inlineStr">
        <is>
          <t>New</t>
        </is>
      </c>
      <c r="F27" s="12" t="inlineStr"/>
      <c r="G27" s="12" t="inlineStr">
        <is>
          <t>Source assignment -- not individually reviewed</t>
        </is>
      </c>
      <c r="H27" s="17" t="inlineStr">
        <is>
          <t>10 EVIDENCE &amp; DECISIONS</t>
        </is>
      </c>
    </row>
    <row r="28" ht="34" customHeight="1">
      <c r="A28" s="12" t="inlineStr">
        <is>
          <t>R104-v1</t>
        </is>
      </c>
      <c r="B28" s="12" t="inlineStr">
        <is>
          <t>Contractor Programme</t>
        </is>
      </c>
      <c r="C28" s="12" t="inlineStr">
        <is>
          <t>SCH-01-104</t>
        </is>
      </c>
      <c r="D28" s="12" t="inlineStr">
        <is>
          <t>1.1.1 Guideway and Civil - Guideway Structures</t>
        </is>
      </c>
      <c r="E28" s="12" t="inlineStr">
        <is>
          <t>New</t>
        </is>
      </c>
      <c r="F28" s="12" t="inlineStr"/>
      <c r="G28" s="12" t="inlineStr">
        <is>
          <t>Source assignment -- not individually reviewed</t>
        </is>
      </c>
      <c r="H28" s="17" t="inlineStr">
        <is>
          <t>10 EVIDENCE &amp; DECISIONS</t>
        </is>
      </c>
    </row>
    <row r="29" ht="34" customHeight="1">
      <c r="A29" s="12" t="inlineStr">
        <is>
          <t>R106-v1</t>
        </is>
      </c>
      <c r="B29" s="12" t="inlineStr">
        <is>
          <t>Contractor Programme</t>
        </is>
      </c>
      <c r="C29" s="12" t="inlineStr">
        <is>
          <t>SCH-01-106</t>
        </is>
      </c>
      <c r="D29" s="12" t="inlineStr">
        <is>
          <t>1.1.1 Guideway and Civil - Guideway Structures</t>
        </is>
      </c>
      <c r="E29" s="12" t="inlineStr">
        <is>
          <t>New</t>
        </is>
      </c>
      <c r="F29" s="12" t="inlineStr"/>
      <c r="G29" s="12" t="inlineStr">
        <is>
          <t>Source assignment -- not individually reviewed</t>
        </is>
      </c>
      <c r="H29" s="17" t="inlineStr">
        <is>
          <t>10 EVIDENCE &amp; DECISIONS</t>
        </is>
      </c>
    </row>
    <row r="30" ht="34" customHeight="1">
      <c r="A30" s="12" t="inlineStr">
        <is>
          <t>R107-v1</t>
        </is>
      </c>
      <c r="B30" s="12" t="inlineStr">
        <is>
          <t>Contractor Programme</t>
        </is>
      </c>
      <c r="C30" s="12" t="inlineStr">
        <is>
          <t>SCH-01-107</t>
        </is>
      </c>
      <c r="D30" s="12" t="inlineStr">
        <is>
          <t>1.1.1 Guideway and Civil - Guideway Structures</t>
        </is>
      </c>
      <c r="E30" s="12" t="inlineStr">
        <is>
          <t>New</t>
        </is>
      </c>
      <c r="F30" s="12" t="inlineStr"/>
      <c r="G30" s="12" t="inlineStr">
        <is>
          <t>Source assignment -- not individually reviewed</t>
        </is>
      </c>
      <c r="H30" s="17" t="inlineStr">
        <is>
          <t>10 EVIDENCE &amp; DECISIONS</t>
        </is>
      </c>
    </row>
    <row r="31" ht="34" customHeight="1">
      <c r="A31" s="12" t="inlineStr">
        <is>
          <t>R1083-v1</t>
        </is>
      </c>
      <c r="B31" s="12" t="inlineStr">
        <is>
          <t>Cost &amp; Forecast Control Accounts</t>
        </is>
      </c>
      <c r="C31" s="12" t="inlineStr">
        <is>
          <t>CST-01-001</t>
        </is>
      </c>
      <c r="D31" s="12" t="inlineStr">
        <is>
          <t>1.1.1 Guideway and Civil - Guideway Structures</t>
        </is>
      </c>
      <c r="E31" s="12" t="inlineStr">
        <is>
          <t>New</t>
        </is>
      </c>
      <c r="F31" s="12" t="inlineStr"/>
      <c r="G31" s="12" t="inlineStr">
        <is>
          <t>Source assignment -- not individually reviewed</t>
        </is>
      </c>
      <c r="H31" s="17" t="inlineStr">
        <is>
          <t>10 EVIDENCE &amp; DECISIONS</t>
        </is>
      </c>
    </row>
    <row r="32" ht="34" customHeight="1">
      <c r="A32" s="12" t="inlineStr">
        <is>
          <t>R1085-v1</t>
        </is>
      </c>
      <c r="B32" s="12" t="inlineStr">
        <is>
          <t>Cost &amp; Forecast Control Accounts</t>
        </is>
      </c>
      <c r="C32" s="12" t="inlineStr">
        <is>
          <t>CST-01-003</t>
        </is>
      </c>
      <c r="D32" s="12" t="inlineStr">
        <is>
          <t>1.1.1 Guideway and Civil - Guideway Structures</t>
        </is>
      </c>
      <c r="E32" s="12" t="inlineStr">
        <is>
          <t>New</t>
        </is>
      </c>
      <c r="F32" s="12" t="inlineStr"/>
      <c r="G32" s="12" t="inlineStr">
        <is>
          <t>Source assignment -- not individually reviewed</t>
        </is>
      </c>
      <c r="H32" s="17" t="inlineStr">
        <is>
          <t>10 EVIDENCE &amp; DECISIONS</t>
        </is>
      </c>
    </row>
    <row r="33" ht="34" customHeight="1">
      <c r="A33" s="12" t="inlineStr">
        <is>
          <t>R1087-v1</t>
        </is>
      </c>
      <c r="B33" s="12" t="inlineStr">
        <is>
          <t>Cost &amp; Forecast Control Accounts</t>
        </is>
      </c>
      <c r="C33" s="12" t="inlineStr">
        <is>
          <t>CST-01-005</t>
        </is>
      </c>
      <c r="D33" s="12" t="inlineStr">
        <is>
          <t>1.1.1 Guideway and Civil - Guideway Structures</t>
        </is>
      </c>
      <c r="E33" s="12" t="inlineStr">
        <is>
          <t>New</t>
        </is>
      </c>
      <c r="F33" s="12" t="inlineStr"/>
      <c r="G33" s="12" t="inlineStr">
        <is>
          <t>Source assignment -- not individually reviewed</t>
        </is>
      </c>
      <c r="H33" s="17" t="inlineStr">
        <is>
          <t>10 EVIDENCE &amp; DECISIONS</t>
        </is>
      </c>
    </row>
    <row r="34" ht="34" customHeight="1">
      <c r="A34" s="12" t="inlineStr">
        <is>
          <t>R1089-v1</t>
        </is>
      </c>
      <c r="B34" s="12" t="inlineStr">
        <is>
          <t>Cost &amp; Forecast Control Accounts</t>
        </is>
      </c>
      <c r="C34" s="12" t="inlineStr">
        <is>
          <t>CST-01-007</t>
        </is>
      </c>
      <c r="D34" s="12" t="inlineStr">
        <is>
          <t>1.1.1 Guideway and Civil - Guideway Structures</t>
        </is>
      </c>
      <c r="E34" s="12" t="inlineStr">
        <is>
          <t>New</t>
        </is>
      </c>
      <c r="F34" s="12" t="inlineStr"/>
      <c r="G34" s="12" t="inlineStr">
        <is>
          <t>Source assignment -- not individually reviewed</t>
        </is>
      </c>
      <c r="H34" s="17" t="inlineStr">
        <is>
          <t>10 EVIDENCE &amp; DECISIONS</t>
        </is>
      </c>
    </row>
    <row r="35" ht="34" customHeight="1">
      <c r="A35" s="12" t="inlineStr">
        <is>
          <t>R109-v1</t>
        </is>
      </c>
      <c r="B35" s="12" t="inlineStr">
        <is>
          <t>Contractor Programme</t>
        </is>
      </c>
      <c r="C35" s="12" t="inlineStr">
        <is>
          <t>SCH-01-109</t>
        </is>
      </c>
      <c r="D35" s="12" t="inlineStr">
        <is>
          <t>1.1.1 Guideway and Civil - Guideway Structures</t>
        </is>
      </c>
      <c r="E35" s="12" t="inlineStr">
        <is>
          <t>New</t>
        </is>
      </c>
      <c r="F35" s="12" t="inlineStr"/>
      <c r="G35" s="12" t="inlineStr">
        <is>
          <t>Source assignment -- not individually reviewed</t>
        </is>
      </c>
      <c r="H35" s="17" t="inlineStr">
        <is>
          <t>10 EVIDENCE &amp; DECISIONS</t>
        </is>
      </c>
    </row>
    <row r="36" ht="34" customHeight="1">
      <c r="A36" s="12" t="inlineStr">
        <is>
          <t>R1091-v1</t>
        </is>
      </c>
      <c r="B36" s="12" t="inlineStr">
        <is>
          <t>Cost &amp; Forecast Control Accounts</t>
        </is>
      </c>
      <c r="C36" s="12" t="inlineStr">
        <is>
          <t>CST-01-009</t>
        </is>
      </c>
      <c r="D36" s="12" t="inlineStr">
        <is>
          <t>1.1.1 Guideway and Civil - Guideway Structures</t>
        </is>
      </c>
      <c r="E36" s="12" t="inlineStr">
        <is>
          <t>New</t>
        </is>
      </c>
      <c r="F36" s="12" t="inlineStr"/>
      <c r="G36" s="12" t="inlineStr">
        <is>
          <t>Source assignment -- not individually reviewed</t>
        </is>
      </c>
      <c r="H36" s="17" t="inlineStr">
        <is>
          <t>10 EVIDENCE &amp; DECISIONS</t>
        </is>
      </c>
    </row>
    <row r="37" ht="34" customHeight="1">
      <c r="A37" s="12" t="inlineStr">
        <is>
          <t>R1093-v1</t>
        </is>
      </c>
      <c r="B37" s="12" t="inlineStr">
        <is>
          <t>Cost &amp; Forecast Control Accounts</t>
        </is>
      </c>
      <c r="C37" s="12" t="inlineStr">
        <is>
          <t>CST-01-011</t>
        </is>
      </c>
      <c r="D37" s="12" t="inlineStr">
        <is>
          <t>1.1.1 Guideway and Civil - Guideway Structures</t>
        </is>
      </c>
      <c r="E37" s="12" t="inlineStr">
        <is>
          <t>New</t>
        </is>
      </c>
      <c r="F37" s="12" t="inlineStr"/>
      <c r="G37" s="12" t="inlineStr">
        <is>
          <t>Source assignment -- not individually reviewed</t>
        </is>
      </c>
      <c r="H37" s="17" t="inlineStr">
        <is>
          <t>10 EVIDENCE &amp; DECISIONS</t>
        </is>
      </c>
    </row>
    <row r="38" ht="34" customHeight="1">
      <c r="A38" s="12" t="inlineStr">
        <is>
          <t>R1095-v1</t>
        </is>
      </c>
      <c r="B38" s="12" t="inlineStr">
        <is>
          <t>Cost &amp; Forecast Control Accounts</t>
        </is>
      </c>
      <c r="C38" s="12" t="inlineStr">
        <is>
          <t>CST-01-013</t>
        </is>
      </c>
      <c r="D38" s="12" t="inlineStr">
        <is>
          <t>1.1.1 Guideway and Civil - Guideway Structures</t>
        </is>
      </c>
      <c r="E38" s="12" t="inlineStr">
        <is>
          <t>New</t>
        </is>
      </c>
      <c r="F38" s="12" t="inlineStr"/>
      <c r="G38" s="12" t="inlineStr">
        <is>
          <t>Source assignment -- not individually reviewed</t>
        </is>
      </c>
      <c r="H38" s="17" t="inlineStr">
        <is>
          <t>10 EVIDENCE &amp; DECISIONS</t>
        </is>
      </c>
    </row>
    <row r="39" ht="34" customHeight="1">
      <c r="A39" s="12" t="inlineStr">
        <is>
          <t>R1097-v1</t>
        </is>
      </c>
      <c r="B39" s="12" t="inlineStr">
        <is>
          <t>Cost &amp; Forecast Control Accounts</t>
        </is>
      </c>
      <c r="C39" s="12" t="inlineStr">
        <is>
          <t>CST-01-015</t>
        </is>
      </c>
      <c r="D39" s="12" t="inlineStr">
        <is>
          <t>1.1.1 Guideway and Civil - Guideway Structures</t>
        </is>
      </c>
      <c r="E39" s="12" t="inlineStr">
        <is>
          <t>New</t>
        </is>
      </c>
      <c r="F39" s="12" t="inlineStr"/>
      <c r="G39" s="12" t="inlineStr">
        <is>
          <t>Source assignment -- not individually reviewed</t>
        </is>
      </c>
      <c r="H39" s="17" t="inlineStr">
        <is>
          <t>10 EVIDENCE &amp; DECISIONS</t>
        </is>
      </c>
    </row>
    <row r="40" ht="34" customHeight="1">
      <c r="A40" s="12" t="inlineStr">
        <is>
          <t>R1099-v1</t>
        </is>
      </c>
      <c r="B40" s="12" t="inlineStr">
        <is>
          <t>Cost &amp; Forecast Control Accounts</t>
        </is>
      </c>
      <c r="C40" s="12" t="inlineStr">
        <is>
          <t>CST-01-017</t>
        </is>
      </c>
      <c r="D40" s="12" t="inlineStr">
        <is>
          <t>1.1.1 Guideway and Civil - Guideway Structures</t>
        </is>
      </c>
      <c r="E40" s="12" t="inlineStr">
        <is>
          <t>New</t>
        </is>
      </c>
      <c r="F40" s="12" t="inlineStr"/>
      <c r="G40" s="12" t="inlineStr">
        <is>
          <t>Source assignment -- not individually reviewed</t>
        </is>
      </c>
      <c r="H40" s="17" t="inlineStr">
        <is>
          <t>10 EVIDENCE &amp; DECISIONS</t>
        </is>
      </c>
    </row>
    <row r="41" ht="34" customHeight="1">
      <c r="A41" s="12" t="inlineStr">
        <is>
          <t>R11-v1</t>
        </is>
      </c>
      <c r="B41" s="12" t="inlineStr">
        <is>
          <t>Contractor Programme</t>
        </is>
      </c>
      <c r="C41" s="12" t="inlineStr">
        <is>
          <t>SCH-01-011</t>
        </is>
      </c>
      <c r="D41" s="12" t="inlineStr">
        <is>
          <t>1.1.1 Guideway and Civil - Guideway Structures</t>
        </is>
      </c>
      <c r="E41" s="12" t="inlineStr">
        <is>
          <t>New</t>
        </is>
      </c>
      <c r="F41" s="12" t="inlineStr"/>
      <c r="G41" s="12" t="inlineStr">
        <is>
          <t>Source assignment -- not individually reviewed</t>
        </is>
      </c>
      <c r="H41" s="17" t="inlineStr">
        <is>
          <t>10 EVIDENCE &amp; DECISIONS</t>
        </is>
      </c>
    </row>
    <row r="42" ht="34" customHeight="1">
      <c r="A42" s="12" t="inlineStr">
        <is>
          <t>R110-v1</t>
        </is>
      </c>
      <c r="B42" s="12" t="inlineStr">
        <is>
          <t>Contractor Programme</t>
        </is>
      </c>
      <c r="C42" s="12" t="inlineStr">
        <is>
          <t>SCH-01-110</t>
        </is>
      </c>
      <c r="D42" s="12" t="inlineStr">
        <is>
          <t>1.1.1 Guideway and Civil - Guideway Structures</t>
        </is>
      </c>
      <c r="E42" s="12" t="inlineStr">
        <is>
          <t>New</t>
        </is>
      </c>
      <c r="F42" s="12" t="inlineStr"/>
      <c r="G42" s="12" t="inlineStr">
        <is>
          <t>Source assignment -- not individually reviewed</t>
        </is>
      </c>
      <c r="H42" s="17" t="inlineStr">
        <is>
          <t>10 EVIDENCE &amp; DECISIONS</t>
        </is>
      </c>
    </row>
    <row r="43" ht="34" customHeight="1">
      <c r="A43" s="12" t="inlineStr">
        <is>
          <t>R1101-v1</t>
        </is>
      </c>
      <c r="B43" s="12" t="inlineStr">
        <is>
          <t>Cost &amp; Forecast Control Accounts</t>
        </is>
      </c>
      <c r="C43" s="12" t="inlineStr">
        <is>
          <t>CST-01-019</t>
        </is>
      </c>
      <c r="D43" s="12" t="inlineStr">
        <is>
          <t>1.1.1 Guideway and Civil - Guideway Structures</t>
        </is>
      </c>
      <c r="E43" s="12" t="inlineStr">
        <is>
          <t>New</t>
        </is>
      </c>
      <c r="F43" s="12" t="inlineStr"/>
      <c r="G43" s="12" t="inlineStr">
        <is>
          <t>Source assignment -- not individually reviewed</t>
        </is>
      </c>
      <c r="H43" s="17" t="inlineStr">
        <is>
          <t>10 EVIDENCE &amp; DECISIONS</t>
        </is>
      </c>
    </row>
    <row r="44" ht="34" customHeight="1">
      <c r="A44" s="12" t="inlineStr">
        <is>
          <t>R1103-v1</t>
        </is>
      </c>
      <c r="B44" s="12" t="inlineStr">
        <is>
          <t>Cost &amp; Forecast Control Accounts</t>
        </is>
      </c>
      <c r="C44" s="12" t="inlineStr">
        <is>
          <t>CST-01-021</t>
        </is>
      </c>
      <c r="D44" s="12" t="inlineStr">
        <is>
          <t>1.1.1 Guideway and Civil - Guideway Structures</t>
        </is>
      </c>
      <c r="E44" s="12" t="inlineStr">
        <is>
          <t>New</t>
        </is>
      </c>
      <c r="F44" s="12" t="inlineStr"/>
      <c r="G44" s="12" t="inlineStr">
        <is>
          <t>Source assignment -- not individually reviewed</t>
        </is>
      </c>
      <c r="H44" s="17" t="inlineStr">
        <is>
          <t>10 EVIDENCE &amp; DECISIONS</t>
        </is>
      </c>
    </row>
    <row r="45" ht="34" customHeight="1">
      <c r="A45" s="12" t="inlineStr">
        <is>
          <t>R1105-v1</t>
        </is>
      </c>
      <c r="B45" s="12" t="inlineStr">
        <is>
          <t>Cost &amp; Forecast Control Accounts</t>
        </is>
      </c>
      <c r="C45" s="12" t="inlineStr">
        <is>
          <t>CST-01-023</t>
        </is>
      </c>
      <c r="D45" s="12" t="inlineStr">
        <is>
          <t>1.1.1 Guideway and Civil - Guideway Structures</t>
        </is>
      </c>
      <c r="E45" s="12" t="inlineStr">
        <is>
          <t>New</t>
        </is>
      </c>
      <c r="F45" s="12" t="inlineStr"/>
      <c r="G45" s="12" t="inlineStr">
        <is>
          <t>Source assignment -- not individually reviewed</t>
        </is>
      </c>
      <c r="H45" s="17" t="inlineStr">
        <is>
          <t>10 EVIDENCE &amp; DECISIONS</t>
        </is>
      </c>
    </row>
    <row r="46" ht="34" customHeight="1">
      <c r="A46" s="12" t="inlineStr">
        <is>
          <t>R1107-v1</t>
        </is>
      </c>
      <c r="B46" s="12" t="inlineStr">
        <is>
          <t>Cost &amp; Forecast Control Accounts</t>
        </is>
      </c>
      <c r="C46" s="12" t="inlineStr">
        <is>
          <t>CST-01-025</t>
        </is>
      </c>
      <c r="D46" s="12" t="inlineStr">
        <is>
          <t>1.1.1 Guideway and Civil - Guideway Structures</t>
        </is>
      </c>
      <c r="E46" s="12" t="inlineStr">
        <is>
          <t>New</t>
        </is>
      </c>
      <c r="F46" s="12" t="inlineStr"/>
      <c r="G46" s="12" t="inlineStr">
        <is>
          <t>Source assignment -- not individually reviewed</t>
        </is>
      </c>
      <c r="H46" s="17" t="inlineStr">
        <is>
          <t>10 EVIDENCE &amp; DECISIONS</t>
        </is>
      </c>
    </row>
    <row r="47" ht="34" customHeight="1">
      <c r="A47" s="12" t="inlineStr">
        <is>
          <t>R1109-v1</t>
        </is>
      </c>
      <c r="B47" s="12" t="inlineStr">
        <is>
          <t>Cost &amp; Forecast Control Accounts</t>
        </is>
      </c>
      <c r="C47" s="12" t="inlineStr">
        <is>
          <t>CST-01-027</t>
        </is>
      </c>
      <c r="D47" s="12" t="inlineStr">
        <is>
          <t>1.1.1 Guideway and Civil - Guideway Structures</t>
        </is>
      </c>
      <c r="E47" s="12" t="inlineStr">
        <is>
          <t>New</t>
        </is>
      </c>
      <c r="F47" s="12" t="inlineStr"/>
      <c r="G47" s="12" t="inlineStr">
        <is>
          <t>Source assignment -- not individually reviewed</t>
        </is>
      </c>
      <c r="H47" s="17" t="inlineStr">
        <is>
          <t>10 EVIDENCE &amp; DECISIONS</t>
        </is>
      </c>
    </row>
    <row r="48" ht="34" customHeight="1">
      <c r="A48" s="12" t="inlineStr">
        <is>
          <t>R1111-v1</t>
        </is>
      </c>
      <c r="B48" s="12" t="inlineStr">
        <is>
          <t>Cost &amp; Forecast Control Accounts</t>
        </is>
      </c>
      <c r="C48" s="12" t="inlineStr">
        <is>
          <t>CST-01-029</t>
        </is>
      </c>
      <c r="D48" s="12" t="inlineStr">
        <is>
          <t>1.1.1 Guideway and Civil - Guideway Structures</t>
        </is>
      </c>
      <c r="E48" s="12" t="inlineStr">
        <is>
          <t>New</t>
        </is>
      </c>
      <c r="F48" s="12" t="inlineStr"/>
      <c r="G48" s="12" t="inlineStr">
        <is>
          <t>Source assignment -- not individually reviewed</t>
        </is>
      </c>
      <c r="H48" s="17" t="inlineStr">
        <is>
          <t>10 EVIDENCE &amp; DECISIONS</t>
        </is>
      </c>
    </row>
    <row r="49" ht="34" customHeight="1">
      <c r="A49" s="12" t="inlineStr">
        <is>
          <t>R1113-v1</t>
        </is>
      </c>
      <c r="B49" s="12" t="inlineStr">
        <is>
          <t>Cost &amp; Forecast Control Accounts</t>
        </is>
      </c>
      <c r="C49" s="12" t="inlineStr">
        <is>
          <t>CST-01-031</t>
        </is>
      </c>
      <c r="D49" s="12" t="inlineStr">
        <is>
          <t>1.1.1 Guideway and Civil - Guideway Structures</t>
        </is>
      </c>
      <c r="E49" s="12" t="inlineStr">
        <is>
          <t>New</t>
        </is>
      </c>
      <c r="F49" s="12" t="inlineStr"/>
      <c r="G49" s="12" t="inlineStr">
        <is>
          <t>Source assignment -- not individually reviewed</t>
        </is>
      </c>
      <c r="H49" s="17" t="inlineStr">
        <is>
          <t>10 EVIDENCE &amp; DECISIONS</t>
        </is>
      </c>
    </row>
    <row r="50" ht="34" customHeight="1">
      <c r="A50" s="12" t="inlineStr">
        <is>
          <t>R1115-v1</t>
        </is>
      </c>
      <c r="B50" s="12" t="inlineStr">
        <is>
          <t>Cost &amp; Forecast Control Accounts</t>
        </is>
      </c>
      <c r="C50" s="12" t="inlineStr">
        <is>
          <t>CST-01-033</t>
        </is>
      </c>
      <c r="D50" s="12" t="inlineStr">
        <is>
          <t>1.1.1 Guideway and Civil - Guideway Structures</t>
        </is>
      </c>
      <c r="E50" s="12" t="inlineStr">
        <is>
          <t>New</t>
        </is>
      </c>
      <c r="F50" s="12" t="inlineStr"/>
      <c r="G50" s="12" t="inlineStr">
        <is>
          <t>Source assignment -- not individually reviewed</t>
        </is>
      </c>
      <c r="H50" s="17" t="inlineStr">
        <is>
          <t>10 EVIDENCE &amp; DECISIONS</t>
        </is>
      </c>
    </row>
    <row r="51" ht="34" customHeight="1">
      <c r="A51" s="12" t="inlineStr">
        <is>
          <t>R1117-v1</t>
        </is>
      </c>
      <c r="B51" s="12" t="inlineStr">
        <is>
          <t>Cost &amp; Forecast Control Accounts</t>
        </is>
      </c>
      <c r="C51" s="12" t="inlineStr">
        <is>
          <t>CST-01-035</t>
        </is>
      </c>
      <c r="D51" s="12" t="inlineStr">
        <is>
          <t>1.1.1 Guideway and Civil - Guideway Structures</t>
        </is>
      </c>
      <c r="E51" s="12" t="inlineStr">
        <is>
          <t>New</t>
        </is>
      </c>
      <c r="F51" s="12" t="inlineStr"/>
      <c r="G51" s="12" t="inlineStr">
        <is>
          <t>Source assignment -- not individually reviewed</t>
        </is>
      </c>
      <c r="H51" s="17" t="inlineStr">
        <is>
          <t>10 EVIDENCE &amp; DECISIONS</t>
        </is>
      </c>
    </row>
    <row r="52" ht="34" customHeight="1">
      <c r="A52" s="12" t="inlineStr">
        <is>
          <t>R1119-v1</t>
        </is>
      </c>
      <c r="B52" s="12" t="inlineStr">
        <is>
          <t>Cost &amp; Forecast Control Accounts</t>
        </is>
      </c>
      <c r="C52" s="12" t="inlineStr">
        <is>
          <t>CST-01-037</t>
        </is>
      </c>
      <c r="D52" s="12" t="inlineStr">
        <is>
          <t>1.1.1 Guideway and Civil - Guideway Structures</t>
        </is>
      </c>
      <c r="E52" s="12" t="inlineStr">
        <is>
          <t>New</t>
        </is>
      </c>
      <c r="F52" s="12" t="inlineStr"/>
      <c r="G52" s="12" t="inlineStr">
        <is>
          <t>Source assignment -- not individually reviewed</t>
        </is>
      </c>
      <c r="H52" s="17" t="inlineStr">
        <is>
          <t>10 EVIDENCE &amp; DECISIONS</t>
        </is>
      </c>
    </row>
    <row r="53" ht="34" customHeight="1">
      <c r="A53" s="12" t="inlineStr">
        <is>
          <t>R112-v1</t>
        </is>
      </c>
      <c r="B53" s="12" t="inlineStr">
        <is>
          <t>Contractor Programme</t>
        </is>
      </c>
      <c r="C53" s="12" t="inlineStr">
        <is>
          <t>SCH-01-112</t>
        </is>
      </c>
      <c r="D53" s="12" t="inlineStr">
        <is>
          <t>1.1.1 Guideway and Civil - Guideway Structures</t>
        </is>
      </c>
      <c r="E53" s="12" t="inlineStr">
        <is>
          <t>New</t>
        </is>
      </c>
      <c r="F53" s="12" t="inlineStr"/>
      <c r="G53" s="12" t="inlineStr">
        <is>
          <t>Source assignment -- not individually reviewed</t>
        </is>
      </c>
      <c r="H53" s="17" t="inlineStr">
        <is>
          <t>10 EVIDENCE &amp; DECISIONS</t>
        </is>
      </c>
    </row>
    <row r="54" ht="34" customHeight="1">
      <c r="A54" s="12" t="inlineStr">
        <is>
          <t>R1121-v1</t>
        </is>
      </c>
      <c r="B54" s="12" t="inlineStr">
        <is>
          <t>Cost &amp; Forecast Control Accounts</t>
        </is>
      </c>
      <c r="C54" s="12" t="inlineStr">
        <is>
          <t>CST-01-039</t>
        </is>
      </c>
      <c r="D54" s="12" t="inlineStr">
        <is>
          <t>1.1.1 Guideway and Civil - Guideway Structures</t>
        </is>
      </c>
      <c r="E54" s="12" t="inlineStr">
        <is>
          <t>New</t>
        </is>
      </c>
      <c r="F54" s="12" t="inlineStr"/>
      <c r="G54" s="12" t="inlineStr">
        <is>
          <t>Source assignment -- not individually reviewed</t>
        </is>
      </c>
      <c r="H54" s="17" t="inlineStr">
        <is>
          <t>10 EVIDENCE &amp; DECISIONS</t>
        </is>
      </c>
    </row>
    <row r="55" ht="34" customHeight="1">
      <c r="A55" s="12" t="inlineStr">
        <is>
          <t>R1123-v1</t>
        </is>
      </c>
      <c r="B55" s="12" t="inlineStr">
        <is>
          <t>Cost &amp; Forecast Control Accounts</t>
        </is>
      </c>
      <c r="C55" s="12" t="inlineStr">
        <is>
          <t>CST-01-041</t>
        </is>
      </c>
      <c r="D55" s="12" t="inlineStr">
        <is>
          <t>1.1.1 Guideway and Civil - Guideway Structures</t>
        </is>
      </c>
      <c r="E55" s="12" t="inlineStr">
        <is>
          <t>New</t>
        </is>
      </c>
      <c r="F55" s="12" t="inlineStr"/>
      <c r="G55" s="12" t="inlineStr">
        <is>
          <t>Source assignment -- not individually reviewed</t>
        </is>
      </c>
      <c r="H55" s="17" t="inlineStr">
        <is>
          <t>10 EVIDENCE &amp; DECISIONS</t>
        </is>
      </c>
    </row>
    <row r="56" ht="34" customHeight="1">
      <c r="A56" s="12" t="inlineStr">
        <is>
          <t>R1125-v1</t>
        </is>
      </c>
      <c r="B56" s="12" t="inlineStr">
        <is>
          <t>Cost &amp; Forecast Control Accounts</t>
        </is>
      </c>
      <c r="C56" s="12" t="inlineStr">
        <is>
          <t>CST-01-043</t>
        </is>
      </c>
      <c r="D56" s="12" t="inlineStr">
        <is>
          <t>1.1.1 Guideway and Civil - Guideway Structures</t>
        </is>
      </c>
      <c r="E56" s="12" t="inlineStr">
        <is>
          <t>New</t>
        </is>
      </c>
      <c r="F56" s="12" t="inlineStr"/>
      <c r="G56" s="12" t="inlineStr">
        <is>
          <t>Source assignment -- not individually reviewed</t>
        </is>
      </c>
      <c r="H56" s="17" t="inlineStr">
        <is>
          <t>10 EVIDENCE &amp; DECISIONS</t>
        </is>
      </c>
    </row>
    <row r="57" ht="34" customHeight="1">
      <c r="A57" s="12" t="inlineStr">
        <is>
          <t>R1127-v1</t>
        </is>
      </c>
      <c r="B57" s="12" t="inlineStr">
        <is>
          <t>Cost &amp; Forecast Control Accounts</t>
        </is>
      </c>
      <c r="C57" s="12" t="inlineStr">
        <is>
          <t>CST-01-045</t>
        </is>
      </c>
      <c r="D57" s="12" t="inlineStr">
        <is>
          <t>1.1.1 Guideway and Civil - Guideway Structures</t>
        </is>
      </c>
      <c r="E57" s="12" t="inlineStr">
        <is>
          <t>New</t>
        </is>
      </c>
      <c r="F57" s="12" t="inlineStr"/>
      <c r="G57" s="12" t="inlineStr">
        <is>
          <t>Source assignment -- not individually reviewed</t>
        </is>
      </c>
      <c r="H57" s="17" t="inlineStr">
        <is>
          <t>10 EVIDENCE &amp; DECISIONS</t>
        </is>
      </c>
    </row>
    <row r="58" ht="34" customHeight="1">
      <c r="A58" s="12" t="inlineStr">
        <is>
          <t>R1129-v1</t>
        </is>
      </c>
      <c r="B58" s="12" t="inlineStr">
        <is>
          <t>Cost &amp; Forecast Control Accounts</t>
        </is>
      </c>
      <c r="C58" s="12" t="inlineStr">
        <is>
          <t>CST-01-047</t>
        </is>
      </c>
      <c r="D58" s="12" t="inlineStr">
        <is>
          <t>1.1.1 Guideway and Civil - Guideway Structures</t>
        </is>
      </c>
      <c r="E58" s="12" t="inlineStr">
        <is>
          <t>New</t>
        </is>
      </c>
      <c r="F58" s="12" t="inlineStr"/>
      <c r="G58" s="12" t="inlineStr">
        <is>
          <t>Source assignment -- not individually reviewed</t>
        </is>
      </c>
      <c r="H58" s="17" t="inlineStr">
        <is>
          <t>10 EVIDENCE &amp; DECISIONS</t>
        </is>
      </c>
    </row>
    <row r="59" ht="34" customHeight="1">
      <c r="A59" s="12" t="inlineStr">
        <is>
          <t>R113-v1</t>
        </is>
      </c>
      <c r="B59" s="12" t="inlineStr">
        <is>
          <t>Contractor Programme</t>
        </is>
      </c>
      <c r="C59" s="12" t="inlineStr">
        <is>
          <t>SCH-01-113</t>
        </is>
      </c>
      <c r="D59" s="12" t="inlineStr">
        <is>
          <t>1.1.1 Guideway and Civil - Guideway Structures</t>
        </is>
      </c>
      <c r="E59" s="12" t="inlineStr">
        <is>
          <t>New</t>
        </is>
      </c>
      <c r="F59" s="12" t="inlineStr"/>
      <c r="G59" s="12" t="inlineStr">
        <is>
          <t>Source assignment -- not individually reviewed</t>
        </is>
      </c>
      <c r="H59" s="17" t="inlineStr">
        <is>
          <t>10 EVIDENCE &amp; DECISIONS</t>
        </is>
      </c>
    </row>
    <row r="60" ht="34" customHeight="1">
      <c r="A60" s="12" t="inlineStr">
        <is>
          <t>R1131-v1</t>
        </is>
      </c>
      <c r="B60" s="12" t="inlineStr">
        <is>
          <t>Cost &amp; Forecast Control Accounts</t>
        </is>
      </c>
      <c r="C60" s="12" t="inlineStr">
        <is>
          <t>CST-01-049</t>
        </is>
      </c>
      <c r="D60" s="12" t="inlineStr">
        <is>
          <t>1.1.1 Guideway and Civil - Guideway Structures</t>
        </is>
      </c>
      <c r="E60" s="12" t="inlineStr">
        <is>
          <t>New</t>
        </is>
      </c>
      <c r="F60" s="12" t="inlineStr"/>
      <c r="G60" s="12" t="inlineStr">
        <is>
          <t>Source assignment -- not individually reviewed</t>
        </is>
      </c>
      <c r="H60" s="17" t="inlineStr">
        <is>
          <t>10 EVIDENCE &amp; DECISIONS</t>
        </is>
      </c>
    </row>
    <row r="61" ht="34" customHeight="1">
      <c r="A61" s="12" t="inlineStr">
        <is>
          <t>R1133-v1</t>
        </is>
      </c>
      <c r="B61" s="12" t="inlineStr">
        <is>
          <t>Cost &amp; Forecast Control Accounts</t>
        </is>
      </c>
      <c r="C61" s="12" t="inlineStr">
        <is>
          <t>CST-01-051</t>
        </is>
      </c>
      <c r="D61" s="12" t="inlineStr">
        <is>
          <t>1.1.1 Guideway and Civil - Guideway Structures</t>
        </is>
      </c>
      <c r="E61" s="12" t="inlineStr">
        <is>
          <t>New</t>
        </is>
      </c>
      <c r="F61" s="12" t="inlineStr"/>
      <c r="G61" s="12" t="inlineStr">
        <is>
          <t>Source assignment -- not individually reviewed</t>
        </is>
      </c>
      <c r="H61" s="17" t="inlineStr">
        <is>
          <t>10 EVIDENCE &amp; DECISIONS</t>
        </is>
      </c>
    </row>
    <row r="62" ht="34" customHeight="1">
      <c r="A62" s="12" t="inlineStr">
        <is>
          <t>R1135-v1</t>
        </is>
      </c>
      <c r="B62" s="12" t="inlineStr">
        <is>
          <t>Cost &amp; Forecast Control Accounts</t>
        </is>
      </c>
      <c r="C62" s="12" t="inlineStr">
        <is>
          <t>CST-01-053</t>
        </is>
      </c>
      <c r="D62" s="12" t="inlineStr">
        <is>
          <t>1.1.1 Guideway and Civil - Guideway Structures</t>
        </is>
      </c>
      <c r="E62" s="12" t="inlineStr">
        <is>
          <t>New</t>
        </is>
      </c>
      <c r="F62" s="12" t="inlineStr"/>
      <c r="G62" s="12" t="inlineStr">
        <is>
          <t>Source assignment -- not individually reviewed</t>
        </is>
      </c>
      <c r="H62" s="17" t="inlineStr">
        <is>
          <t>10 EVIDENCE &amp; DECISIONS</t>
        </is>
      </c>
    </row>
    <row r="63" ht="34" customHeight="1">
      <c r="A63" s="12" t="inlineStr">
        <is>
          <t>R1137-v1</t>
        </is>
      </c>
      <c r="B63" s="12" t="inlineStr">
        <is>
          <t>Cost &amp; Forecast Control Accounts</t>
        </is>
      </c>
      <c r="C63" s="12" t="inlineStr">
        <is>
          <t>CST-01-055</t>
        </is>
      </c>
      <c r="D63" s="12" t="inlineStr">
        <is>
          <t>1.1.1 Guideway and Civil - Guideway Structures</t>
        </is>
      </c>
      <c r="E63" s="12" t="inlineStr">
        <is>
          <t>New</t>
        </is>
      </c>
      <c r="F63" s="12" t="inlineStr"/>
      <c r="G63" s="12" t="inlineStr">
        <is>
          <t>Source assignment -- not individually reviewed</t>
        </is>
      </c>
      <c r="H63" s="17" t="inlineStr">
        <is>
          <t>10 EVIDENCE &amp; DECISIONS</t>
        </is>
      </c>
    </row>
    <row r="64" ht="34" customHeight="1">
      <c r="A64" s="12" t="inlineStr">
        <is>
          <t>R1139-v1</t>
        </is>
      </c>
      <c r="B64" s="12" t="inlineStr">
        <is>
          <t>Cost &amp; Forecast Control Accounts</t>
        </is>
      </c>
      <c r="C64" s="12" t="inlineStr">
        <is>
          <t>CST-01-057</t>
        </is>
      </c>
      <c r="D64" s="12" t="inlineStr">
        <is>
          <t>1.1.1 Guideway and Civil - Guideway Structures</t>
        </is>
      </c>
      <c r="E64" s="12" t="inlineStr">
        <is>
          <t>New</t>
        </is>
      </c>
      <c r="F64" s="12" t="inlineStr"/>
      <c r="G64" s="12" t="inlineStr">
        <is>
          <t>Source assignment -- not individually reviewed</t>
        </is>
      </c>
      <c r="H64" s="17" t="inlineStr">
        <is>
          <t>10 EVIDENCE &amp; DECISIONS</t>
        </is>
      </c>
    </row>
    <row r="65" ht="34" customHeight="1">
      <c r="A65" s="12" t="inlineStr">
        <is>
          <t>R1141-v1</t>
        </is>
      </c>
      <c r="B65" s="12" t="inlineStr">
        <is>
          <t>Cost &amp; Forecast Control Accounts</t>
        </is>
      </c>
      <c r="C65" s="12" t="inlineStr">
        <is>
          <t>CST-01-059</t>
        </is>
      </c>
      <c r="D65" s="12" t="inlineStr">
        <is>
          <t>1.1.1 Guideway and Civil - Guideway Structures</t>
        </is>
      </c>
      <c r="E65" s="12" t="inlineStr">
        <is>
          <t>New</t>
        </is>
      </c>
      <c r="F65" s="12" t="inlineStr"/>
      <c r="G65" s="12" t="inlineStr">
        <is>
          <t>Source assignment -- not individually reviewed</t>
        </is>
      </c>
      <c r="H65" s="17" t="inlineStr">
        <is>
          <t>10 EVIDENCE &amp; DECISIONS</t>
        </is>
      </c>
    </row>
    <row r="66" ht="34" customHeight="1">
      <c r="A66" s="12" t="inlineStr">
        <is>
          <t>R1143-v1</t>
        </is>
      </c>
      <c r="B66" s="12" t="inlineStr">
        <is>
          <t>Cost &amp; Forecast Control Accounts</t>
        </is>
      </c>
      <c r="C66" s="12" t="inlineStr">
        <is>
          <t>CST-01-061</t>
        </is>
      </c>
      <c r="D66" s="12" t="inlineStr">
        <is>
          <t>1.1.1 Guideway and Civil - Guideway Structures</t>
        </is>
      </c>
      <c r="E66" s="12" t="inlineStr">
        <is>
          <t>New</t>
        </is>
      </c>
      <c r="F66" s="12" t="inlineStr"/>
      <c r="G66" s="12" t="inlineStr">
        <is>
          <t>Source assignment -- not individually reviewed</t>
        </is>
      </c>
      <c r="H66" s="17" t="inlineStr">
        <is>
          <t>10 EVIDENCE &amp; DECISIONS</t>
        </is>
      </c>
    </row>
    <row r="67" ht="34" customHeight="1">
      <c r="A67" s="12" t="inlineStr">
        <is>
          <t>R1145-v1</t>
        </is>
      </c>
      <c r="B67" s="12" t="inlineStr">
        <is>
          <t>Cost &amp; Forecast Control Accounts</t>
        </is>
      </c>
      <c r="C67" s="12" t="inlineStr">
        <is>
          <t>CST-01-063</t>
        </is>
      </c>
      <c r="D67" s="12" t="inlineStr">
        <is>
          <t>1.1.1 Guideway and Civil - Guideway Structures</t>
        </is>
      </c>
      <c r="E67" s="12" t="inlineStr">
        <is>
          <t>New</t>
        </is>
      </c>
      <c r="F67" s="12" t="inlineStr"/>
      <c r="G67" s="12" t="inlineStr">
        <is>
          <t>Source assignment -- not individually reviewed</t>
        </is>
      </c>
      <c r="H67" s="17" t="inlineStr">
        <is>
          <t>10 EVIDENCE &amp; DECISIONS</t>
        </is>
      </c>
    </row>
    <row r="68" ht="34" customHeight="1">
      <c r="A68" s="12" t="inlineStr">
        <is>
          <t>R1147-v1</t>
        </is>
      </c>
      <c r="B68" s="12" t="inlineStr">
        <is>
          <t>Cost &amp; Forecast Control Accounts</t>
        </is>
      </c>
      <c r="C68" s="12" t="inlineStr">
        <is>
          <t>CST-01-065</t>
        </is>
      </c>
      <c r="D68" s="12" t="inlineStr">
        <is>
          <t>1.1.1 Guideway and Civil - Guideway Structures</t>
        </is>
      </c>
      <c r="E68" s="12" t="inlineStr">
        <is>
          <t>New</t>
        </is>
      </c>
      <c r="F68" s="12" t="inlineStr"/>
      <c r="G68" s="12" t="inlineStr">
        <is>
          <t>Source assignment -- not individually reviewed</t>
        </is>
      </c>
      <c r="H68" s="17" t="inlineStr">
        <is>
          <t>10 EVIDENCE &amp; DECISIONS</t>
        </is>
      </c>
    </row>
    <row r="69" ht="34" customHeight="1">
      <c r="A69" s="12" t="inlineStr">
        <is>
          <t>R1149-v1</t>
        </is>
      </c>
      <c r="B69" s="12" t="inlineStr">
        <is>
          <t>Cost &amp; Forecast Control Accounts</t>
        </is>
      </c>
      <c r="C69" s="12" t="inlineStr">
        <is>
          <t>CST-01-067</t>
        </is>
      </c>
      <c r="D69" s="12" t="inlineStr">
        <is>
          <t>1.1.1 Guideway and Civil - Guideway Structures</t>
        </is>
      </c>
      <c r="E69" s="12" t="inlineStr">
        <is>
          <t>New</t>
        </is>
      </c>
      <c r="F69" s="12" t="inlineStr"/>
      <c r="G69" s="12" t="inlineStr">
        <is>
          <t>Source assignment -- not individually reviewed</t>
        </is>
      </c>
      <c r="H69" s="17" t="inlineStr">
        <is>
          <t>10 EVIDENCE &amp; DECISIONS</t>
        </is>
      </c>
    </row>
    <row r="70" ht="34" customHeight="1">
      <c r="A70" s="12" t="inlineStr">
        <is>
          <t>R115-v1</t>
        </is>
      </c>
      <c r="B70" s="12" t="inlineStr">
        <is>
          <t>Contractor Programme</t>
        </is>
      </c>
      <c r="C70" s="12" t="inlineStr">
        <is>
          <t>SCH-01-115</t>
        </is>
      </c>
      <c r="D70" s="12" t="inlineStr">
        <is>
          <t>1.1.1 Guideway and Civil - Guideway Structures</t>
        </is>
      </c>
      <c r="E70" s="12" t="inlineStr">
        <is>
          <t>New</t>
        </is>
      </c>
      <c r="F70" s="12" t="inlineStr"/>
      <c r="G70" s="12" t="inlineStr">
        <is>
          <t>Source assignment -- not individually reviewed</t>
        </is>
      </c>
      <c r="H70" s="17" t="inlineStr">
        <is>
          <t>10 EVIDENCE &amp; DECISIONS</t>
        </is>
      </c>
    </row>
    <row r="71" ht="34" customHeight="1">
      <c r="A71" s="12" t="inlineStr">
        <is>
          <t>R1151-v1</t>
        </is>
      </c>
      <c r="B71" s="12" t="inlineStr">
        <is>
          <t>Cost &amp; Forecast Control Accounts</t>
        </is>
      </c>
      <c r="C71" s="12" t="inlineStr">
        <is>
          <t>CST-01-069</t>
        </is>
      </c>
      <c r="D71" s="12" t="inlineStr">
        <is>
          <t>1.1.1 Guideway and Civil - Guideway Structures</t>
        </is>
      </c>
      <c r="E71" s="12" t="inlineStr">
        <is>
          <t>New</t>
        </is>
      </c>
      <c r="F71" s="12" t="inlineStr"/>
      <c r="G71" s="12" t="inlineStr">
        <is>
          <t>Source assignment -- not individually reviewed</t>
        </is>
      </c>
      <c r="H71" s="17" t="inlineStr">
        <is>
          <t>10 EVIDENCE &amp; DECISIONS</t>
        </is>
      </c>
    </row>
    <row r="72" ht="34" customHeight="1">
      <c r="A72" s="12" t="inlineStr">
        <is>
          <t>R1153-v1</t>
        </is>
      </c>
      <c r="B72" s="12" t="inlineStr">
        <is>
          <t>Cost &amp; Forecast Control Accounts</t>
        </is>
      </c>
      <c r="C72" s="12" t="inlineStr">
        <is>
          <t>CST-01-071</t>
        </is>
      </c>
      <c r="D72" s="12" t="inlineStr">
        <is>
          <t>1.1.1 Guideway and Civil - Guideway Structures</t>
        </is>
      </c>
      <c r="E72" s="12" t="inlineStr">
        <is>
          <t>New</t>
        </is>
      </c>
      <c r="F72" s="12" t="inlineStr"/>
      <c r="G72" s="12" t="inlineStr">
        <is>
          <t>Source assignment -- not individually reviewed</t>
        </is>
      </c>
      <c r="H72" s="17" t="inlineStr">
        <is>
          <t>10 EVIDENCE &amp; DECISIONS</t>
        </is>
      </c>
    </row>
    <row r="73" ht="34" customHeight="1">
      <c r="A73" s="12" t="inlineStr">
        <is>
          <t>R1155-v1</t>
        </is>
      </c>
      <c r="B73" s="12" t="inlineStr">
        <is>
          <t>Cost &amp; Forecast Control Accounts</t>
        </is>
      </c>
      <c r="C73" s="12" t="inlineStr">
        <is>
          <t>CST-01-073</t>
        </is>
      </c>
      <c r="D73" s="12" t="inlineStr">
        <is>
          <t>1.1.1 Guideway and Civil - Guideway Structures</t>
        </is>
      </c>
      <c r="E73" s="12" t="inlineStr">
        <is>
          <t>New</t>
        </is>
      </c>
      <c r="F73" s="12" t="inlineStr"/>
      <c r="G73" s="12" t="inlineStr">
        <is>
          <t>Source assignment -- not individually reviewed</t>
        </is>
      </c>
      <c r="H73" s="17" t="inlineStr">
        <is>
          <t>10 EVIDENCE &amp; DECISIONS</t>
        </is>
      </c>
    </row>
    <row r="74" ht="34" customHeight="1">
      <c r="A74" s="12" t="inlineStr">
        <is>
          <t>R1157-v1</t>
        </is>
      </c>
      <c r="B74" s="12" t="inlineStr">
        <is>
          <t>Cost &amp; Forecast Control Accounts</t>
        </is>
      </c>
      <c r="C74" s="12" t="inlineStr">
        <is>
          <t>CST-01-075</t>
        </is>
      </c>
      <c r="D74" s="12" t="inlineStr">
        <is>
          <t>1.1.1 Guideway and Civil - Guideway Structures</t>
        </is>
      </c>
      <c r="E74" s="12" t="inlineStr">
        <is>
          <t>New</t>
        </is>
      </c>
      <c r="F74" s="12" t="inlineStr"/>
      <c r="G74" s="12" t="inlineStr">
        <is>
          <t>Source assignment -- not individually reviewed</t>
        </is>
      </c>
      <c r="H74" s="17" t="inlineStr">
        <is>
          <t>10 EVIDENCE &amp; DECISIONS</t>
        </is>
      </c>
    </row>
    <row r="75" ht="34" customHeight="1">
      <c r="A75" s="12" t="inlineStr">
        <is>
          <t>R1159-v1</t>
        </is>
      </c>
      <c r="B75" s="12" t="inlineStr">
        <is>
          <t>Cost &amp; Forecast Control Accounts</t>
        </is>
      </c>
      <c r="C75" s="12" t="inlineStr">
        <is>
          <t>CST-01-077</t>
        </is>
      </c>
      <c r="D75" s="12" t="inlineStr">
        <is>
          <t>1.1.1 Guideway and Civil - Guideway Structures</t>
        </is>
      </c>
      <c r="E75" s="12" t="inlineStr">
        <is>
          <t>New</t>
        </is>
      </c>
      <c r="F75" s="12" t="inlineStr"/>
      <c r="G75" s="12" t="inlineStr">
        <is>
          <t>Source assignment -- not individually reviewed</t>
        </is>
      </c>
      <c r="H75" s="17" t="inlineStr">
        <is>
          <t>10 EVIDENCE &amp; DECISIONS</t>
        </is>
      </c>
    </row>
    <row r="76" ht="34" customHeight="1">
      <c r="A76" s="12" t="inlineStr">
        <is>
          <t>R116-v1</t>
        </is>
      </c>
      <c r="B76" s="12" t="inlineStr">
        <is>
          <t>Contractor Programme</t>
        </is>
      </c>
      <c r="C76" s="12" t="inlineStr">
        <is>
          <t>SCH-01-116</t>
        </is>
      </c>
      <c r="D76" s="12" t="inlineStr">
        <is>
          <t>1.1.1 Guideway and Civil - Guideway Structures</t>
        </is>
      </c>
      <c r="E76" s="12" t="inlineStr">
        <is>
          <t>New</t>
        </is>
      </c>
      <c r="F76" s="12" t="inlineStr"/>
      <c r="G76" s="12" t="inlineStr">
        <is>
          <t>Source assignment -- not individually reviewed</t>
        </is>
      </c>
      <c r="H76" s="17" t="inlineStr">
        <is>
          <t>10 EVIDENCE &amp; DECISIONS</t>
        </is>
      </c>
    </row>
    <row r="77" ht="34" customHeight="1">
      <c r="A77" s="12" t="inlineStr">
        <is>
          <t>R1161-v1</t>
        </is>
      </c>
      <c r="B77" s="12" t="inlineStr">
        <is>
          <t>Cost &amp; Forecast Control Accounts</t>
        </is>
      </c>
      <c r="C77" s="12" t="inlineStr">
        <is>
          <t>CST-01-079</t>
        </is>
      </c>
      <c r="D77" s="12" t="inlineStr">
        <is>
          <t>1.1.1 Guideway and Civil - Guideway Structures</t>
        </is>
      </c>
      <c r="E77" s="12" t="inlineStr">
        <is>
          <t>New</t>
        </is>
      </c>
      <c r="F77" s="12" t="inlineStr"/>
      <c r="G77" s="12" t="inlineStr">
        <is>
          <t>Source assignment -- not individually reviewed</t>
        </is>
      </c>
      <c r="H77" s="17" t="inlineStr">
        <is>
          <t>10 EVIDENCE &amp; DECISIONS</t>
        </is>
      </c>
    </row>
    <row r="78" ht="34" customHeight="1">
      <c r="A78" s="12" t="inlineStr">
        <is>
          <t>R118-v1</t>
        </is>
      </c>
      <c r="B78" s="12" t="inlineStr">
        <is>
          <t>Contractor Programme</t>
        </is>
      </c>
      <c r="C78" s="12" t="inlineStr">
        <is>
          <t>SCH-01-118</t>
        </is>
      </c>
      <c r="D78" s="12" t="inlineStr">
        <is>
          <t>1.1.1 Guideway and Civil - Guideway Structures</t>
        </is>
      </c>
      <c r="E78" s="12" t="inlineStr">
        <is>
          <t>New</t>
        </is>
      </c>
      <c r="F78" s="12" t="inlineStr"/>
      <c r="G78" s="12" t="inlineStr">
        <is>
          <t>Source assignment -- not individually reviewed</t>
        </is>
      </c>
      <c r="H78" s="17" t="inlineStr">
        <is>
          <t>10 EVIDENCE &amp; DECISIONS</t>
        </is>
      </c>
    </row>
    <row r="79" ht="34" customHeight="1">
      <c r="A79" s="12" t="inlineStr">
        <is>
          <t>R119-v1</t>
        </is>
      </c>
      <c r="B79" s="12" t="inlineStr">
        <is>
          <t>Contractor Programme</t>
        </is>
      </c>
      <c r="C79" s="12" t="inlineStr">
        <is>
          <t>SCH-01-119</t>
        </is>
      </c>
      <c r="D79" s="12" t="inlineStr">
        <is>
          <t>1.1.1 Guideway and Civil - Guideway Structures</t>
        </is>
      </c>
      <c r="E79" s="12" t="inlineStr">
        <is>
          <t>New</t>
        </is>
      </c>
      <c r="F79" s="12" t="inlineStr"/>
      <c r="G79" s="12" t="inlineStr">
        <is>
          <t>Source assignment -- not individually reviewed</t>
        </is>
      </c>
      <c r="H79" s="17" t="inlineStr">
        <is>
          <t>10 EVIDENCE &amp; DECISIONS</t>
        </is>
      </c>
    </row>
    <row r="80" ht="34" customHeight="1">
      <c r="A80" s="12" t="inlineStr">
        <is>
          <t>R121-v1</t>
        </is>
      </c>
      <c r="B80" s="12" t="inlineStr">
        <is>
          <t>Contractor Programme</t>
        </is>
      </c>
      <c r="C80" s="12" t="inlineStr">
        <is>
          <t>SCH-01-121</t>
        </is>
      </c>
      <c r="D80" s="12" t="inlineStr">
        <is>
          <t>1.1.1 Guideway and Civil - Guideway Structures</t>
        </is>
      </c>
      <c r="E80" s="12" t="inlineStr">
        <is>
          <t>New</t>
        </is>
      </c>
      <c r="F80" s="12" t="inlineStr"/>
      <c r="G80" s="12" t="inlineStr">
        <is>
          <t>Source assignment -- not individually reviewed</t>
        </is>
      </c>
      <c r="H80" s="17" t="inlineStr">
        <is>
          <t>10 EVIDENCE &amp; DECISIONS</t>
        </is>
      </c>
    </row>
    <row r="81" ht="34" customHeight="1">
      <c r="A81" s="12" t="inlineStr">
        <is>
          <t>R122-v1</t>
        </is>
      </c>
      <c r="B81" s="12" t="inlineStr">
        <is>
          <t>Contractor Programme</t>
        </is>
      </c>
      <c r="C81" s="12" t="inlineStr">
        <is>
          <t>SCH-01-122</t>
        </is>
      </c>
      <c r="D81" s="12" t="inlineStr">
        <is>
          <t>1.1.1 Guideway and Civil - Guideway Structures</t>
        </is>
      </c>
      <c r="E81" s="12" t="inlineStr">
        <is>
          <t>New</t>
        </is>
      </c>
      <c r="F81" s="12" t="inlineStr"/>
      <c r="G81" s="12" t="inlineStr">
        <is>
          <t>Source assignment -- not individually reviewed</t>
        </is>
      </c>
      <c r="H81" s="17" t="inlineStr">
        <is>
          <t>10 EVIDENCE &amp; DECISIONS</t>
        </is>
      </c>
    </row>
    <row r="82" ht="34" customHeight="1">
      <c r="A82" s="12" t="inlineStr">
        <is>
          <t>R124-v1</t>
        </is>
      </c>
      <c r="B82" s="12" t="inlineStr">
        <is>
          <t>Contractor Programme</t>
        </is>
      </c>
      <c r="C82" s="12" t="inlineStr">
        <is>
          <t>SCH-01-124</t>
        </is>
      </c>
      <c r="D82" s="12" t="inlineStr">
        <is>
          <t>1.1.1 Guideway and Civil - Guideway Structures</t>
        </is>
      </c>
      <c r="E82" s="12" t="inlineStr">
        <is>
          <t>New</t>
        </is>
      </c>
      <c r="F82" s="12" t="inlineStr"/>
      <c r="G82" s="12" t="inlineStr">
        <is>
          <t>Source assignment -- not individually reviewed</t>
        </is>
      </c>
      <c r="H82" s="17" t="inlineStr">
        <is>
          <t>10 EVIDENCE &amp; DECISIONS</t>
        </is>
      </c>
    </row>
    <row r="83" ht="34" customHeight="1">
      <c r="A83" s="12" t="inlineStr">
        <is>
          <t>R125-v1</t>
        </is>
      </c>
      <c r="B83" s="12" t="inlineStr">
        <is>
          <t>Contractor Programme</t>
        </is>
      </c>
      <c r="C83" s="12" t="inlineStr">
        <is>
          <t>SCH-01-125</t>
        </is>
      </c>
      <c r="D83" s="12" t="inlineStr">
        <is>
          <t>1.1.1 Guideway and Civil - Guideway Structures</t>
        </is>
      </c>
      <c r="E83" s="12" t="inlineStr">
        <is>
          <t>New</t>
        </is>
      </c>
      <c r="F83" s="12" t="inlineStr"/>
      <c r="G83" s="12" t="inlineStr">
        <is>
          <t>Source assignment -- not individually reviewed</t>
        </is>
      </c>
      <c r="H83" s="17" t="inlineStr">
        <is>
          <t>10 EVIDENCE &amp; DECISIONS</t>
        </is>
      </c>
    </row>
    <row r="84" ht="34" customHeight="1">
      <c r="A84" s="12" t="inlineStr">
        <is>
          <t>R127-v1</t>
        </is>
      </c>
      <c r="B84" s="12" t="inlineStr">
        <is>
          <t>Contractor Programme</t>
        </is>
      </c>
      <c r="C84" s="12" t="inlineStr">
        <is>
          <t>SCH-01-127</t>
        </is>
      </c>
      <c r="D84" s="12" t="inlineStr">
        <is>
          <t>1.1.1 Guideway and Civil - Guideway Structures</t>
        </is>
      </c>
      <c r="E84" s="12" t="inlineStr">
        <is>
          <t>New</t>
        </is>
      </c>
      <c r="F84" s="12" t="inlineStr"/>
      <c r="G84" s="12" t="inlineStr">
        <is>
          <t>Source assignment -- not individually reviewed</t>
        </is>
      </c>
      <c r="H84" s="17" t="inlineStr">
        <is>
          <t>10 EVIDENCE &amp; DECISIONS</t>
        </is>
      </c>
    </row>
    <row r="85" ht="34" customHeight="1">
      <c r="A85" s="12" t="inlineStr">
        <is>
          <t>R128-v1</t>
        </is>
      </c>
      <c r="B85" s="12" t="inlineStr">
        <is>
          <t>Contractor Programme</t>
        </is>
      </c>
      <c r="C85" s="12" t="inlineStr">
        <is>
          <t>SCH-01-128</t>
        </is>
      </c>
      <c r="D85" s="12" t="inlineStr">
        <is>
          <t>1.1.1 Guideway and Civil - Guideway Structures</t>
        </is>
      </c>
      <c r="E85" s="12" t="inlineStr">
        <is>
          <t>New</t>
        </is>
      </c>
      <c r="F85" s="12" t="inlineStr"/>
      <c r="G85" s="12" t="inlineStr">
        <is>
          <t>Source assignment -- not individually reviewed</t>
        </is>
      </c>
      <c r="H85" s="17" t="inlineStr">
        <is>
          <t>10 EVIDENCE &amp; DECISIONS</t>
        </is>
      </c>
    </row>
    <row r="86" ht="34" customHeight="1">
      <c r="A86" s="12" t="inlineStr">
        <is>
          <t>R13-v1</t>
        </is>
      </c>
      <c r="B86" s="12" t="inlineStr">
        <is>
          <t>Contractor Programme</t>
        </is>
      </c>
      <c r="C86" s="12" t="inlineStr">
        <is>
          <t>SCH-01-013</t>
        </is>
      </c>
      <c r="D86" s="12" t="inlineStr">
        <is>
          <t>1.1.1 Guideway and Civil - Guideway Structures</t>
        </is>
      </c>
      <c r="E86" s="12" t="inlineStr">
        <is>
          <t>New</t>
        </is>
      </c>
      <c r="F86" s="12" t="inlineStr"/>
      <c r="G86" s="12" t="inlineStr">
        <is>
          <t>Source assignment -- not individually reviewed</t>
        </is>
      </c>
      <c r="H86" s="17" t="inlineStr">
        <is>
          <t>10 EVIDENCE &amp; DECISIONS</t>
        </is>
      </c>
    </row>
    <row r="87" ht="34" customHeight="1">
      <c r="A87" s="12" t="inlineStr">
        <is>
          <t>R130-v1</t>
        </is>
      </c>
      <c r="B87" s="12" t="inlineStr">
        <is>
          <t>Contractor Programme</t>
        </is>
      </c>
      <c r="C87" s="12" t="inlineStr">
        <is>
          <t>SCH-01-130</t>
        </is>
      </c>
      <c r="D87" s="12" t="inlineStr">
        <is>
          <t>1.1.1 Guideway and Civil - Guideway Structures</t>
        </is>
      </c>
      <c r="E87" s="12" t="inlineStr">
        <is>
          <t>New</t>
        </is>
      </c>
      <c r="F87" s="12" t="inlineStr"/>
      <c r="G87" s="12" t="inlineStr">
        <is>
          <t>Source assignment -- not individually reviewed</t>
        </is>
      </c>
      <c r="H87" s="17" t="inlineStr">
        <is>
          <t>10 EVIDENCE &amp; DECISIONS</t>
        </is>
      </c>
    </row>
    <row r="88" ht="34" customHeight="1">
      <c r="A88" s="12" t="inlineStr">
        <is>
          <t>R131-v1</t>
        </is>
      </c>
      <c r="B88" s="12" t="inlineStr">
        <is>
          <t>Contractor Programme</t>
        </is>
      </c>
      <c r="C88" s="12" t="inlineStr">
        <is>
          <t>SCH-01-131</t>
        </is>
      </c>
      <c r="D88" s="12" t="inlineStr">
        <is>
          <t>1.1.1 Guideway and Civil - Guideway Structures</t>
        </is>
      </c>
      <c r="E88" s="12" t="inlineStr">
        <is>
          <t>New</t>
        </is>
      </c>
      <c r="F88" s="12" t="inlineStr"/>
      <c r="G88" s="12" t="inlineStr">
        <is>
          <t>Source assignment -- not individually reviewed</t>
        </is>
      </c>
      <c r="H88" s="17" t="inlineStr">
        <is>
          <t>10 EVIDENCE &amp; DECISIONS</t>
        </is>
      </c>
    </row>
    <row r="89" ht="34" customHeight="1">
      <c r="A89" s="12" t="inlineStr">
        <is>
          <t>R133-v1</t>
        </is>
      </c>
      <c r="B89" s="12" t="inlineStr">
        <is>
          <t>Contractor Programme</t>
        </is>
      </c>
      <c r="C89" s="12" t="inlineStr">
        <is>
          <t>SCH-01-133</t>
        </is>
      </c>
      <c r="D89" s="12" t="inlineStr">
        <is>
          <t>1.1.1 Guideway and Civil - Guideway Structures</t>
        </is>
      </c>
      <c r="E89" s="12" t="inlineStr">
        <is>
          <t>New</t>
        </is>
      </c>
      <c r="F89" s="12" t="inlineStr"/>
      <c r="G89" s="12" t="inlineStr">
        <is>
          <t>Source assignment -- not individually reviewed</t>
        </is>
      </c>
      <c r="H89" s="17" t="inlineStr">
        <is>
          <t>10 EVIDENCE &amp; DECISIONS</t>
        </is>
      </c>
    </row>
    <row r="90" ht="34" customHeight="1">
      <c r="A90" s="12" t="inlineStr">
        <is>
          <t>R134-v1</t>
        </is>
      </c>
      <c r="B90" s="12" t="inlineStr">
        <is>
          <t>Contractor Programme</t>
        </is>
      </c>
      <c r="C90" s="12" t="inlineStr">
        <is>
          <t>SCH-01-134</t>
        </is>
      </c>
      <c r="D90" s="12" t="inlineStr">
        <is>
          <t>1.1.1 Guideway and Civil - Guideway Structures</t>
        </is>
      </c>
      <c r="E90" s="12" t="inlineStr">
        <is>
          <t>New</t>
        </is>
      </c>
      <c r="F90" s="12" t="inlineStr"/>
      <c r="G90" s="12" t="inlineStr">
        <is>
          <t>Source assignment -- not individually reviewed</t>
        </is>
      </c>
      <c r="H90" s="17" t="inlineStr">
        <is>
          <t>10 EVIDENCE &amp; DECISIONS</t>
        </is>
      </c>
    </row>
    <row r="91" ht="34" customHeight="1">
      <c r="A91" s="12" t="inlineStr">
        <is>
          <t>R136-v1</t>
        </is>
      </c>
      <c r="B91" s="12" t="inlineStr">
        <is>
          <t>Contractor Programme</t>
        </is>
      </c>
      <c r="C91" s="12" t="inlineStr">
        <is>
          <t>SCH-01-136</t>
        </is>
      </c>
      <c r="D91" s="12" t="inlineStr">
        <is>
          <t>1.1.1 Guideway and Civil - Guideway Structures</t>
        </is>
      </c>
      <c r="E91" s="12" t="inlineStr">
        <is>
          <t>New</t>
        </is>
      </c>
      <c r="F91" s="12" t="inlineStr"/>
      <c r="G91" s="12" t="inlineStr">
        <is>
          <t>Source assignment -- not individually reviewed</t>
        </is>
      </c>
      <c r="H91" s="17" t="inlineStr">
        <is>
          <t>10 EVIDENCE &amp; DECISIONS</t>
        </is>
      </c>
    </row>
    <row r="92" ht="34" customHeight="1">
      <c r="A92" s="12" t="inlineStr">
        <is>
          <t>R137-v1</t>
        </is>
      </c>
      <c r="B92" s="12" t="inlineStr">
        <is>
          <t>Contractor Programme</t>
        </is>
      </c>
      <c r="C92" s="12" t="inlineStr">
        <is>
          <t>SCH-01-137</t>
        </is>
      </c>
      <c r="D92" s="12" t="inlineStr">
        <is>
          <t>1.1.1 Guideway and Civil - Guideway Structures</t>
        </is>
      </c>
      <c r="E92" s="12" t="inlineStr">
        <is>
          <t>New</t>
        </is>
      </c>
      <c r="F92" s="12" t="inlineStr"/>
      <c r="G92" s="12" t="inlineStr">
        <is>
          <t>Source assignment -- not individually reviewed</t>
        </is>
      </c>
      <c r="H92" s="17" t="inlineStr">
        <is>
          <t>10 EVIDENCE &amp; DECISIONS</t>
        </is>
      </c>
    </row>
    <row r="93" ht="34" customHeight="1">
      <c r="A93" s="12" t="inlineStr">
        <is>
          <t>R139-v1</t>
        </is>
      </c>
      <c r="B93" s="12" t="inlineStr">
        <is>
          <t>Contractor Programme</t>
        </is>
      </c>
      <c r="C93" s="12" t="inlineStr">
        <is>
          <t>SCH-01-139</t>
        </is>
      </c>
      <c r="D93" s="12" t="inlineStr">
        <is>
          <t>1.1.1 Guideway and Civil - Guideway Structures</t>
        </is>
      </c>
      <c r="E93" s="12" t="inlineStr">
        <is>
          <t>New</t>
        </is>
      </c>
      <c r="F93" s="12" t="inlineStr"/>
      <c r="G93" s="12" t="inlineStr">
        <is>
          <t>Source assignment -- not individually reviewed</t>
        </is>
      </c>
      <c r="H93" s="17" t="inlineStr">
        <is>
          <t>10 EVIDENCE &amp; DECISIONS</t>
        </is>
      </c>
    </row>
    <row r="94" ht="34" customHeight="1">
      <c r="A94" s="12" t="inlineStr">
        <is>
          <t>R14-v1</t>
        </is>
      </c>
      <c r="B94" s="12" t="inlineStr">
        <is>
          <t>Contractor Programme</t>
        </is>
      </c>
      <c r="C94" s="12" t="inlineStr">
        <is>
          <t>SCH-01-014</t>
        </is>
      </c>
      <c r="D94" s="12" t="inlineStr">
        <is>
          <t>1.1.1 Guideway and Civil - Guideway Structures</t>
        </is>
      </c>
      <c r="E94" s="12" t="inlineStr">
        <is>
          <t>New</t>
        </is>
      </c>
      <c r="F94" s="12" t="inlineStr"/>
      <c r="G94" s="12" t="inlineStr">
        <is>
          <t>Source assignment -- not individually reviewed</t>
        </is>
      </c>
      <c r="H94" s="17" t="inlineStr">
        <is>
          <t>10 EVIDENCE &amp; DECISIONS</t>
        </is>
      </c>
    </row>
    <row r="95" ht="34" customHeight="1">
      <c r="A95" s="12" t="inlineStr">
        <is>
          <t>R140-v1</t>
        </is>
      </c>
      <c r="B95" s="12" t="inlineStr">
        <is>
          <t>Contractor Programme</t>
        </is>
      </c>
      <c r="C95" s="12" t="inlineStr">
        <is>
          <t>SCH-01-140</t>
        </is>
      </c>
      <c r="D95" s="12" t="inlineStr">
        <is>
          <t>1.1.1 Guideway and Civil - Guideway Structures</t>
        </is>
      </c>
      <c r="E95" s="12" t="inlineStr">
        <is>
          <t>New</t>
        </is>
      </c>
      <c r="F95" s="12" t="inlineStr"/>
      <c r="G95" s="12" t="inlineStr">
        <is>
          <t>Source assignment -- not individually reviewed</t>
        </is>
      </c>
      <c r="H95" s="17" t="inlineStr">
        <is>
          <t>10 EVIDENCE &amp; DECISIONS</t>
        </is>
      </c>
    </row>
    <row r="96" ht="34" customHeight="1">
      <c r="A96" s="12" t="inlineStr">
        <is>
          <t>R142-v1</t>
        </is>
      </c>
      <c r="B96" s="12" t="inlineStr">
        <is>
          <t>Contractor Programme</t>
        </is>
      </c>
      <c r="C96" s="12" t="inlineStr">
        <is>
          <t>SCH-01-142</t>
        </is>
      </c>
      <c r="D96" s="12" t="inlineStr">
        <is>
          <t>1.1.1 Guideway and Civil - Guideway Structures</t>
        </is>
      </c>
      <c r="E96" s="12" t="inlineStr">
        <is>
          <t>New</t>
        </is>
      </c>
      <c r="F96" s="12" t="inlineStr"/>
      <c r="G96" s="12" t="inlineStr">
        <is>
          <t>Source assignment -- not individually reviewed</t>
        </is>
      </c>
      <c r="H96" s="17" t="inlineStr">
        <is>
          <t>10 EVIDENCE &amp; DECISIONS</t>
        </is>
      </c>
    </row>
    <row r="97" ht="34" customHeight="1">
      <c r="A97" s="12" t="inlineStr">
        <is>
          <t>R143-v1</t>
        </is>
      </c>
      <c r="B97" s="12" t="inlineStr">
        <is>
          <t>Contractor Programme</t>
        </is>
      </c>
      <c r="C97" s="12" t="inlineStr">
        <is>
          <t>SCH-01-143</t>
        </is>
      </c>
      <c r="D97" s="12" t="inlineStr">
        <is>
          <t>1.1.1 Guideway and Civil - Guideway Structures</t>
        </is>
      </c>
      <c r="E97" s="12" t="inlineStr">
        <is>
          <t>New</t>
        </is>
      </c>
      <c r="F97" s="12" t="inlineStr"/>
      <c r="G97" s="12" t="inlineStr">
        <is>
          <t>Source assignment -- not individually reviewed</t>
        </is>
      </c>
      <c r="H97" s="17" t="inlineStr">
        <is>
          <t>10 EVIDENCE &amp; DECISIONS</t>
        </is>
      </c>
    </row>
    <row r="98" ht="34" customHeight="1">
      <c r="A98" s="12" t="inlineStr">
        <is>
          <t>R145-v1</t>
        </is>
      </c>
      <c r="B98" s="12" t="inlineStr">
        <is>
          <t>Contractor Programme</t>
        </is>
      </c>
      <c r="C98" s="12" t="inlineStr">
        <is>
          <t>SCH-01-145</t>
        </is>
      </c>
      <c r="D98" s="12" t="inlineStr">
        <is>
          <t>1.1.1 Guideway and Civil - Guideway Structures</t>
        </is>
      </c>
      <c r="E98" s="12" t="inlineStr">
        <is>
          <t>New</t>
        </is>
      </c>
      <c r="F98" s="12" t="inlineStr"/>
      <c r="G98" s="12" t="inlineStr">
        <is>
          <t>Source assignment -- not individually reviewed</t>
        </is>
      </c>
      <c r="H98" s="17" t="inlineStr">
        <is>
          <t>10 EVIDENCE &amp; DECISIONS</t>
        </is>
      </c>
    </row>
    <row r="99" ht="34" customHeight="1">
      <c r="A99" s="12" t="inlineStr">
        <is>
          <t>R146-v1</t>
        </is>
      </c>
      <c r="B99" s="12" t="inlineStr">
        <is>
          <t>Contractor Programme</t>
        </is>
      </c>
      <c r="C99" s="12" t="inlineStr">
        <is>
          <t>SCH-01-146</t>
        </is>
      </c>
      <c r="D99" s="12" t="inlineStr">
        <is>
          <t>1.1.1 Guideway and Civil - Guideway Structures</t>
        </is>
      </c>
      <c r="E99" s="12" t="inlineStr">
        <is>
          <t>New</t>
        </is>
      </c>
      <c r="F99" s="12" t="inlineStr"/>
      <c r="G99" s="12" t="inlineStr">
        <is>
          <t>Source assignment -- not individually reviewed</t>
        </is>
      </c>
      <c r="H99" s="17" t="inlineStr">
        <is>
          <t>10 EVIDENCE &amp; DECISIONS</t>
        </is>
      </c>
    </row>
    <row r="100" ht="34" customHeight="1">
      <c r="A100" s="12" t="inlineStr">
        <is>
          <t>R148-v1</t>
        </is>
      </c>
      <c r="B100" s="12" t="inlineStr">
        <is>
          <t>Contractor Programme</t>
        </is>
      </c>
      <c r="C100" s="12" t="inlineStr">
        <is>
          <t>SCH-01-148</t>
        </is>
      </c>
      <c r="D100" s="12" t="inlineStr">
        <is>
          <t>1.1.1 Guideway and Civil - Guideway Structures</t>
        </is>
      </c>
      <c r="E100" s="12" t="inlineStr">
        <is>
          <t>New</t>
        </is>
      </c>
      <c r="F100" s="12" t="inlineStr"/>
      <c r="G100" s="12" t="inlineStr">
        <is>
          <t>Source assignment -- not individually reviewed</t>
        </is>
      </c>
      <c r="H100" s="17" t="inlineStr">
        <is>
          <t>10 EVIDENCE &amp; DECISIONS</t>
        </is>
      </c>
    </row>
    <row r="101" ht="34" customHeight="1">
      <c r="A101" s="12" t="inlineStr">
        <is>
          <t>R149-v1</t>
        </is>
      </c>
      <c r="B101" s="12" t="inlineStr">
        <is>
          <t>Contractor Programme</t>
        </is>
      </c>
      <c r="C101" s="12" t="inlineStr">
        <is>
          <t>SCH-01-149</t>
        </is>
      </c>
      <c r="D101" s="12" t="inlineStr">
        <is>
          <t>1.1.1 Guideway and Civil - Guideway Structures</t>
        </is>
      </c>
      <c r="E101" s="12" t="inlineStr">
        <is>
          <t>New</t>
        </is>
      </c>
      <c r="F101" s="12" t="inlineStr"/>
      <c r="G101" s="12" t="inlineStr">
        <is>
          <t>Source assignment -- not individually reviewed</t>
        </is>
      </c>
      <c r="H101" s="17" t="inlineStr">
        <is>
          <t>10 EVIDENCE &amp; DECISIONS</t>
        </is>
      </c>
    </row>
    <row r="102" ht="34" customHeight="1">
      <c r="A102" s="12" t="inlineStr">
        <is>
          <t>R151-v1</t>
        </is>
      </c>
      <c r="B102" s="12" t="inlineStr">
        <is>
          <t>Contractor Programme</t>
        </is>
      </c>
      <c r="C102" s="12" t="inlineStr">
        <is>
          <t>SCH-01-151</t>
        </is>
      </c>
      <c r="D102" s="12" t="inlineStr">
        <is>
          <t>1.1.1 Guideway and Civil - Guideway Structures</t>
        </is>
      </c>
      <c r="E102" s="12" t="inlineStr">
        <is>
          <t>New</t>
        </is>
      </c>
      <c r="F102" s="12" t="inlineStr"/>
      <c r="G102" s="12" t="inlineStr">
        <is>
          <t>Source assignment -- not individually reviewed</t>
        </is>
      </c>
      <c r="H102" s="17" t="inlineStr">
        <is>
          <t>10 EVIDENCE &amp; DECISIONS</t>
        </is>
      </c>
    </row>
    <row r="103" ht="34" customHeight="1">
      <c r="A103" s="12" t="inlineStr">
        <is>
          <t>R152-v1</t>
        </is>
      </c>
      <c r="B103" s="12" t="inlineStr">
        <is>
          <t>Contractor Programme</t>
        </is>
      </c>
      <c r="C103" s="12" t="inlineStr">
        <is>
          <t>SCH-01-152</t>
        </is>
      </c>
      <c r="D103" s="12" t="inlineStr">
        <is>
          <t>1.1.1 Guideway and Civil - Guideway Structures</t>
        </is>
      </c>
      <c r="E103" s="12" t="inlineStr">
        <is>
          <t>New</t>
        </is>
      </c>
      <c r="F103" s="12" t="inlineStr"/>
      <c r="G103" s="12" t="inlineStr">
        <is>
          <t>Source assignment -- not individually reviewed</t>
        </is>
      </c>
      <c r="H103" s="17" t="inlineStr">
        <is>
          <t>10 EVIDENCE &amp; DECISIONS</t>
        </is>
      </c>
    </row>
    <row r="104" ht="34" customHeight="1">
      <c r="A104" s="12" t="inlineStr">
        <is>
          <t>R154-v1</t>
        </is>
      </c>
      <c r="B104" s="12" t="inlineStr">
        <is>
          <t>Contractor Programme</t>
        </is>
      </c>
      <c r="C104" s="12" t="inlineStr">
        <is>
          <t>SCH-01-154</t>
        </is>
      </c>
      <c r="D104" s="12" t="inlineStr">
        <is>
          <t>1.1.1 Guideway and Civil - Guideway Structures</t>
        </is>
      </c>
      <c r="E104" s="12" t="inlineStr">
        <is>
          <t>New</t>
        </is>
      </c>
      <c r="F104" s="12" t="inlineStr"/>
      <c r="G104" s="12" t="inlineStr">
        <is>
          <t>Source assignment -- not individually reviewed</t>
        </is>
      </c>
      <c r="H104" s="17" t="inlineStr">
        <is>
          <t>10 EVIDENCE &amp; DECISIONS</t>
        </is>
      </c>
    </row>
    <row r="105" ht="34" customHeight="1">
      <c r="A105" s="12" t="inlineStr">
        <is>
          <t>R155-v1</t>
        </is>
      </c>
      <c r="B105" s="12" t="inlineStr">
        <is>
          <t>Contractor Programme</t>
        </is>
      </c>
      <c r="C105" s="12" t="inlineStr">
        <is>
          <t>SCH-01-155</t>
        </is>
      </c>
      <c r="D105" s="12" t="inlineStr">
        <is>
          <t>1.1.1 Guideway and Civil - Guideway Structures</t>
        </is>
      </c>
      <c r="E105" s="12" t="inlineStr">
        <is>
          <t>New</t>
        </is>
      </c>
      <c r="F105" s="12" t="inlineStr"/>
      <c r="G105" s="12" t="inlineStr">
        <is>
          <t>Source assignment -- not individually reviewed</t>
        </is>
      </c>
      <c r="H105" s="17" t="inlineStr">
        <is>
          <t>10 EVIDENCE &amp; DECISIONS</t>
        </is>
      </c>
    </row>
    <row r="106" ht="34" customHeight="1">
      <c r="A106" s="12" t="inlineStr">
        <is>
          <t>R157-v1</t>
        </is>
      </c>
      <c r="B106" s="12" t="inlineStr">
        <is>
          <t>Contractor Programme</t>
        </is>
      </c>
      <c r="C106" s="12" t="inlineStr">
        <is>
          <t>SCH-01-157</t>
        </is>
      </c>
      <c r="D106" s="12" t="inlineStr">
        <is>
          <t>1.1.1 Guideway and Civil - Guideway Structures</t>
        </is>
      </c>
      <c r="E106" s="12" t="inlineStr">
        <is>
          <t>New</t>
        </is>
      </c>
      <c r="F106" s="12" t="inlineStr"/>
      <c r="G106" s="12" t="inlineStr">
        <is>
          <t>Source assignment -- not individually reviewed</t>
        </is>
      </c>
      <c r="H106" s="17" t="inlineStr">
        <is>
          <t>10 EVIDENCE &amp; DECISIONS</t>
        </is>
      </c>
    </row>
    <row r="107" ht="34" customHeight="1">
      <c r="A107" s="12" t="inlineStr">
        <is>
          <t>R158-v1</t>
        </is>
      </c>
      <c r="B107" s="12" t="inlineStr">
        <is>
          <t>Contractor Programme</t>
        </is>
      </c>
      <c r="C107" s="12" t="inlineStr">
        <is>
          <t>SCH-01-158</t>
        </is>
      </c>
      <c r="D107" s="12" t="inlineStr">
        <is>
          <t>1.1.1 Guideway and Civil - Guideway Structures</t>
        </is>
      </c>
      <c r="E107" s="12" t="inlineStr">
        <is>
          <t>New</t>
        </is>
      </c>
      <c r="F107" s="12" t="inlineStr"/>
      <c r="G107" s="12" t="inlineStr">
        <is>
          <t>Source assignment -- not individually reviewed</t>
        </is>
      </c>
      <c r="H107" s="17" t="inlineStr">
        <is>
          <t>10 EVIDENCE &amp; DECISIONS</t>
        </is>
      </c>
    </row>
    <row r="108" ht="34" customHeight="1">
      <c r="A108" s="12" t="inlineStr">
        <is>
          <t>R16-v1</t>
        </is>
      </c>
      <c r="B108" s="12" t="inlineStr">
        <is>
          <t>Contractor Programme</t>
        </is>
      </c>
      <c r="C108" s="12" t="inlineStr">
        <is>
          <t>SCH-01-016</t>
        </is>
      </c>
      <c r="D108" s="12" t="inlineStr">
        <is>
          <t>1.1.1 Guideway and Civil - Guideway Structures</t>
        </is>
      </c>
      <c r="E108" s="12" t="inlineStr">
        <is>
          <t>New</t>
        </is>
      </c>
      <c r="F108" s="12" t="inlineStr"/>
      <c r="G108" s="12" t="inlineStr">
        <is>
          <t>Source assignment -- not individually reviewed</t>
        </is>
      </c>
      <c r="H108" s="17" t="inlineStr">
        <is>
          <t>10 EVIDENCE &amp; DECISIONS</t>
        </is>
      </c>
    </row>
    <row r="109" ht="34" customHeight="1">
      <c r="A109" s="12" t="inlineStr">
        <is>
          <t>R160-v1</t>
        </is>
      </c>
      <c r="B109" s="12" t="inlineStr">
        <is>
          <t>Contractor Programme</t>
        </is>
      </c>
      <c r="C109" s="12" t="inlineStr">
        <is>
          <t>SCH-01-160</t>
        </is>
      </c>
      <c r="D109" s="12" t="inlineStr">
        <is>
          <t>1.1.1 Guideway and Civil - Guideway Structures</t>
        </is>
      </c>
      <c r="E109" s="12" t="inlineStr">
        <is>
          <t>New</t>
        </is>
      </c>
      <c r="F109" s="12" t="inlineStr"/>
      <c r="G109" s="12" t="inlineStr">
        <is>
          <t>Source assignment -- not individually reviewed</t>
        </is>
      </c>
      <c r="H109" s="17" t="inlineStr">
        <is>
          <t>10 EVIDENCE &amp; DECISIONS</t>
        </is>
      </c>
    </row>
    <row r="110" ht="34" customHeight="1">
      <c r="A110" s="12" t="inlineStr">
        <is>
          <t>R161-v1</t>
        </is>
      </c>
      <c r="B110" s="12" t="inlineStr">
        <is>
          <t>Contractor Programme</t>
        </is>
      </c>
      <c r="C110" s="12" t="inlineStr">
        <is>
          <t>SCH-01-161</t>
        </is>
      </c>
      <c r="D110" s="12" t="inlineStr">
        <is>
          <t>1.1.1 Guideway and Civil - Guideway Structures</t>
        </is>
      </c>
      <c r="E110" s="12" t="inlineStr">
        <is>
          <t>New</t>
        </is>
      </c>
      <c r="F110" s="12" t="inlineStr"/>
      <c r="G110" s="12" t="inlineStr">
        <is>
          <t>Source assignment -- not individually reviewed</t>
        </is>
      </c>
      <c r="H110" s="17" t="inlineStr">
        <is>
          <t>10 EVIDENCE &amp; DECISIONS</t>
        </is>
      </c>
    </row>
    <row r="111" ht="34" customHeight="1">
      <c r="A111" s="12" t="inlineStr">
        <is>
          <t>R163-v1</t>
        </is>
      </c>
      <c r="B111" s="12" t="inlineStr">
        <is>
          <t>Contractor Programme</t>
        </is>
      </c>
      <c r="C111" s="12" t="inlineStr">
        <is>
          <t>SCH-01-163</t>
        </is>
      </c>
      <c r="D111" s="12" t="inlineStr">
        <is>
          <t>1.1.1 Guideway and Civil - Guideway Structures</t>
        </is>
      </c>
      <c r="E111" s="12" t="inlineStr">
        <is>
          <t>New</t>
        </is>
      </c>
      <c r="F111" s="12" t="inlineStr"/>
      <c r="G111" s="12" t="inlineStr">
        <is>
          <t>Source assignment -- not individually reviewed</t>
        </is>
      </c>
      <c r="H111" s="17" t="inlineStr">
        <is>
          <t>10 EVIDENCE &amp; DECISIONS</t>
        </is>
      </c>
    </row>
    <row r="112" ht="34" customHeight="1">
      <c r="A112" s="12" t="inlineStr">
        <is>
          <t>R164-v1</t>
        </is>
      </c>
      <c r="B112" s="12" t="inlineStr">
        <is>
          <t>Contractor Programme</t>
        </is>
      </c>
      <c r="C112" s="12" t="inlineStr">
        <is>
          <t>SCH-01-164</t>
        </is>
      </c>
      <c r="D112" s="12" t="inlineStr">
        <is>
          <t>1.1.1 Guideway and Civil - Guideway Structures</t>
        </is>
      </c>
      <c r="E112" s="12" t="inlineStr">
        <is>
          <t>New</t>
        </is>
      </c>
      <c r="F112" s="12" t="inlineStr"/>
      <c r="G112" s="12" t="inlineStr">
        <is>
          <t>Source assignment -- not individually reviewed</t>
        </is>
      </c>
      <c r="H112" s="17" t="inlineStr">
        <is>
          <t>10 EVIDENCE &amp; DECISIONS</t>
        </is>
      </c>
    </row>
    <row r="113" ht="34" customHeight="1">
      <c r="A113" s="12" t="inlineStr">
        <is>
          <t>R166-v1</t>
        </is>
      </c>
      <c r="B113" s="12" t="inlineStr">
        <is>
          <t>Contractor Programme</t>
        </is>
      </c>
      <c r="C113" s="12" t="inlineStr">
        <is>
          <t>SCH-01-166</t>
        </is>
      </c>
      <c r="D113" s="12" t="inlineStr">
        <is>
          <t>1.1.1 Guideway and Civil - Guideway Structures</t>
        </is>
      </c>
      <c r="E113" s="12" t="inlineStr">
        <is>
          <t>New</t>
        </is>
      </c>
      <c r="F113" s="12" t="inlineStr"/>
      <c r="G113" s="12" t="inlineStr">
        <is>
          <t>Source assignment -- not individually reviewed</t>
        </is>
      </c>
      <c r="H113" s="17" t="inlineStr">
        <is>
          <t>10 EVIDENCE &amp; DECISIONS</t>
        </is>
      </c>
    </row>
    <row r="114" ht="34" customHeight="1">
      <c r="A114" s="12" t="inlineStr">
        <is>
          <t>R167-v1</t>
        </is>
      </c>
      <c r="B114" s="12" t="inlineStr">
        <is>
          <t>Contractor Programme</t>
        </is>
      </c>
      <c r="C114" s="12" t="inlineStr">
        <is>
          <t>SCH-01-167</t>
        </is>
      </c>
      <c r="D114" s="12" t="inlineStr">
        <is>
          <t>1.1.1 Guideway and Civil - Guideway Structures</t>
        </is>
      </c>
      <c r="E114" s="12" t="inlineStr">
        <is>
          <t>New</t>
        </is>
      </c>
      <c r="F114" s="12" t="inlineStr"/>
      <c r="G114" s="12" t="inlineStr">
        <is>
          <t>Source assignment -- not individually reviewed</t>
        </is>
      </c>
      <c r="H114" s="17" t="inlineStr">
        <is>
          <t>10 EVIDENCE &amp; DECISIONS</t>
        </is>
      </c>
    </row>
    <row r="115" ht="34" customHeight="1">
      <c r="A115" s="12" t="inlineStr">
        <is>
          <t>R169-v1</t>
        </is>
      </c>
      <c r="B115" s="12" t="inlineStr">
        <is>
          <t>Contractor Programme</t>
        </is>
      </c>
      <c r="C115" s="12" t="inlineStr">
        <is>
          <t>SCH-01-169</t>
        </is>
      </c>
      <c r="D115" s="12" t="inlineStr">
        <is>
          <t>1.1.1 Guideway and Civil - Guideway Structures</t>
        </is>
      </c>
      <c r="E115" s="12" t="inlineStr">
        <is>
          <t>New</t>
        </is>
      </c>
      <c r="F115" s="12" t="inlineStr"/>
      <c r="G115" s="12" t="inlineStr">
        <is>
          <t>Source assignment -- not individually reviewed</t>
        </is>
      </c>
      <c r="H115" s="17" t="inlineStr">
        <is>
          <t>10 EVIDENCE &amp; DECISIONS</t>
        </is>
      </c>
    </row>
    <row r="116" ht="34" customHeight="1">
      <c r="A116" s="12" t="inlineStr">
        <is>
          <t>R17-v1</t>
        </is>
      </c>
      <c r="B116" s="12" t="inlineStr">
        <is>
          <t>Contractor Programme</t>
        </is>
      </c>
      <c r="C116" s="12" t="inlineStr">
        <is>
          <t>SCH-01-017</t>
        </is>
      </c>
      <c r="D116" s="12" t="inlineStr">
        <is>
          <t>1.1.1 Guideway and Civil - Guideway Structures</t>
        </is>
      </c>
      <c r="E116" s="12" t="inlineStr">
        <is>
          <t>New</t>
        </is>
      </c>
      <c r="F116" s="12" t="inlineStr"/>
      <c r="G116" s="12" t="inlineStr">
        <is>
          <t>Source assignment -- not individually reviewed</t>
        </is>
      </c>
      <c r="H116" s="17" t="inlineStr">
        <is>
          <t>10 EVIDENCE &amp; DECISIONS</t>
        </is>
      </c>
    </row>
    <row r="117" ht="34" customHeight="1">
      <c r="A117" s="12" t="inlineStr">
        <is>
          <t>R170-v1</t>
        </is>
      </c>
      <c r="B117" s="12" t="inlineStr">
        <is>
          <t>Contractor Programme</t>
        </is>
      </c>
      <c r="C117" s="12" t="inlineStr">
        <is>
          <t>SCH-01-170</t>
        </is>
      </c>
      <c r="D117" s="12" t="inlineStr">
        <is>
          <t>1.1.1 Guideway and Civil - Guideway Structures</t>
        </is>
      </c>
      <c r="E117" s="12" t="inlineStr">
        <is>
          <t>New</t>
        </is>
      </c>
      <c r="F117" s="12" t="inlineStr"/>
      <c r="G117" s="12" t="inlineStr">
        <is>
          <t>Source assignment -- not individually reviewed</t>
        </is>
      </c>
      <c r="H117" s="17" t="inlineStr">
        <is>
          <t>10 EVIDENCE &amp; DECISIONS</t>
        </is>
      </c>
    </row>
    <row r="118" ht="34" customHeight="1">
      <c r="A118" s="12" t="inlineStr">
        <is>
          <t>R172-v1</t>
        </is>
      </c>
      <c r="B118" s="12" t="inlineStr">
        <is>
          <t>Contractor Programme</t>
        </is>
      </c>
      <c r="C118" s="12" t="inlineStr">
        <is>
          <t>SCH-01-172</t>
        </is>
      </c>
      <c r="D118" s="12" t="inlineStr">
        <is>
          <t>1.1.1 Guideway and Civil - Guideway Structures</t>
        </is>
      </c>
      <c r="E118" s="12" t="inlineStr">
        <is>
          <t>New</t>
        </is>
      </c>
      <c r="F118" s="12" t="inlineStr"/>
      <c r="G118" s="12" t="inlineStr">
        <is>
          <t>Source assignment -- not individually reviewed</t>
        </is>
      </c>
      <c r="H118" s="17" t="inlineStr">
        <is>
          <t>10 EVIDENCE &amp; DECISIONS</t>
        </is>
      </c>
    </row>
    <row r="119" ht="34" customHeight="1">
      <c r="A119" s="12" t="inlineStr">
        <is>
          <t>R173-v1</t>
        </is>
      </c>
      <c r="B119" s="12" t="inlineStr">
        <is>
          <t>Contractor Programme</t>
        </is>
      </c>
      <c r="C119" s="12" t="inlineStr">
        <is>
          <t>SCH-01-173</t>
        </is>
      </c>
      <c r="D119" s="12" t="inlineStr">
        <is>
          <t>1.1.1 Guideway and Civil - Guideway Structures</t>
        </is>
      </c>
      <c r="E119" s="12" t="inlineStr">
        <is>
          <t>New</t>
        </is>
      </c>
      <c r="F119" s="12" t="inlineStr"/>
      <c r="G119" s="12" t="inlineStr">
        <is>
          <t>Source assignment -- not individually reviewed</t>
        </is>
      </c>
      <c r="H119" s="17" t="inlineStr">
        <is>
          <t>10 EVIDENCE &amp; DECISIONS</t>
        </is>
      </c>
    </row>
    <row r="120" ht="34" customHeight="1">
      <c r="A120" s="12" t="inlineStr">
        <is>
          <t>R175-v1</t>
        </is>
      </c>
      <c r="B120" s="12" t="inlineStr">
        <is>
          <t>Contractor Programme</t>
        </is>
      </c>
      <c r="C120" s="12" t="inlineStr">
        <is>
          <t>SCH-01-175</t>
        </is>
      </c>
      <c r="D120" s="12" t="inlineStr">
        <is>
          <t>1.1.1 Guideway and Civil - Guideway Structures</t>
        </is>
      </c>
      <c r="E120" s="12" t="inlineStr">
        <is>
          <t>New</t>
        </is>
      </c>
      <c r="F120" s="12" t="inlineStr"/>
      <c r="G120" s="12" t="inlineStr">
        <is>
          <t>Source assignment -- not individually reviewed</t>
        </is>
      </c>
      <c r="H120" s="17" t="inlineStr">
        <is>
          <t>10 EVIDENCE &amp; DECISIONS</t>
        </is>
      </c>
    </row>
    <row r="121" ht="34" customHeight="1">
      <c r="A121" s="12" t="inlineStr">
        <is>
          <t>R176-v1</t>
        </is>
      </c>
      <c r="B121" s="12" t="inlineStr">
        <is>
          <t>Contractor Programme</t>
        </is>
      </c>
      <c r="C121" s="12" t="inlineStr">
        <is>
          <t>SCH-01-176</t>
        </is>
      </c>
      <c r="D121" s="12" t="inlineStr">
        <is>
          <t>1.1.1 Guideway and Civil - Guideway Structures</t>
        </is>
      </c>
      <c r="E121" s="12" t="inlineStr">
        <is>
          <t>New</t>
        </is>
      </c>
      <c r="F121" s="12" t="inlineStr"/>
      <c r="G121" s="12" t="inlineStr">
        <is>
          <t>Source assignment -- not individually reviewed</t>
        </is>
      </c>
      <c r="H121" s="17" t="inlineStr">
        <is>
          <t>10 EVIDENCE &amp; DECISIONS</t>
        </is>
      </c>
    </row>
    <row r="122" ht="34" customHeight="1">
      <c r="A122" s="12" t="inlineStr">
        <is>
          <t>R178-v1</t>
        </is>
      </c>
      <c r="B122" s="12" t="inlineStr">
        <is>
          <t>Contractor Programme</t>
        </is>
      </c>
      <c r="C122" s="12" t="inlineStr">
        <is>
          <t>SCH-01-178</t>
        </is>
      </c>
      <c r="D122" s="12" t="inlineStr">
        <is>
          <t>1.1.1 Guideway and Civil - Guideway Structures</t>
        </is>
      </c>
      <c r="E122" s="12" t="inlineStr">
        <is>
          <t>New</t>
        </is>
      </c>
      <c r="F122" s="12" t="inlineStr"/>
      <c r="G122" s="12" t="inlineStr">
        <is>
          <t>Source assignment -- not individually reviewed</t>
        </is>
      </c>
      <c r="H122" s="17" t="inlineStr">
        <is>
          <t>10 EVIDENCE &amp; DECISIONS</t>
        </is>
      </c>
    </row>
    <row r="123" ht="34" customHeight="1">
      <c r="A123" s="12" t="inlineStr">
        <is>
          <t>R179-v1</t>
        </is>
      </c>
      <c r="B123" s="12" t="inlineStr">
        <is>
          <t>Contractor Programme</t>
        </is>
      </c>
      <c r="C123" s="12" t="inlineStr">
        <is>
          <t>SCH-01-179</t>
        </is>
      </c>
      <c r="D123" s="12" t="inlineStr">
        <is>
          <t>1.1.1 Guideway and Civil - Guideway Structures</t>
        </is>
      </c>
      <c r="E123" s="12" t="inlineStr">
        <is>
          <t>New</t>
        </is>
      </c>
      <c r="F123" s="12" t="inlineStr"/>
      <c r="G123" s="12" t="inlineStr">
        <is>
          <t>Source assignment -- not individually reviewed</t>
        </is>
      </c>
      <c r="H123" s="17" t="inlineStr">
        <is>
          <t>10 EVIDENCE &amp; DECISIONS</t>
        </is>
      </c>
    </row>
    <row r="124" ht="34" customHeight="1">
      <c r="A124" s="12" t="inlineStr">
        <is>
          <t>R19-v1</t>
        </is>
      </c>
      <c r="B124" s="12" t="inlineStr">
        <is>
          <t>Contractor Programme</t>
        </is>
      </c>
      <c r="C124" s="12" t="inlineStr">
        <is>
          <t>SCH-01-019</t>
        </is>
      </c>
      <c r="D124" s="12" t="inlineStr">
        <is>
          <t>1.1.1 Guideway and Civil - Guideway Structures</t>
        </is>
      </c>
      <c r="E124" s="12" t="inlineStr">
        <is>
          <t>New</t>
        </is>
      </c>
      <c r="F124" s="12" t="inlineStr"/>
      <c r="G124" s="12" t="inlineStr">
        <is>
          <t>Source assignment -- not individually reviewed</t>
        </is>
      </c>
      <c r="H124" s="17" t="inlineStr">
        <is>
          <t>10 EVIDENCE &amp; DECISIONS</t>
        </is>
      </c>
    </row>
    <row r="125" ht="34" customHeight="1">
      <c r="A125" s="12" t="inlineStr">
        <is>
          <t>R2-v1</t>
        </is>
      </c>
      <c r="B125" s="12" t="inlineStr">
        <is>
          <t>Contractor Programme</t>
        </is>
      </c>
      <c r="C125" s="12" t="inlineStr">
        <is>
          <t>SCH-01-002</t>
        </is>
      </c>
      <c r="D125" s="12" t="inlineStr">
        <is>
          <t>1.1.1 Guideway and Civil - Guideway Structures</t>
        </is>
      </c>
      <c r="E125" s="12" t="inlineStr">
        <is>
          <t>New</t>
        </is>
      </c>
      <c r="F125" s="12" t="inlineStr"/>
      <c r="G125" s="12" t="inlineStr">
        <is>
          <t>Source assignment -- not individually reviewed</t>
        </is>
      </c>
      <c r="H125" s="17" t="inlineStr">
        <is>
          <t>10 EVIDENCE &amp; DECISIONS</t>
        </is>
      </c>
    </row>
    <row r="126" ht="34" customHeight="1">
      <c r="A126" s="12" t="inlineStr">
        <is>
          <t>R20-v1</t>
        </is>
      </c>
      <c r="B126" s="12" t="inlineStr">
        <is>
          <t>Contractor Programme</t>
        </is>
      </c>
      <c r="C126" s="12" t="inlineStr">
        <is>
          <t>SCH-01-020</t>
        </is>
      </c>
      <c r="D126" s="12" t="inlineStr">
        <is>
          <t>1.1.1 Guideway and Civil - Guideway Structures</t>
        </is>
      </c>
      <c r="E126" s="12" t="inlineStr">
        <is>
          <t>New</t>
        </is>
      </c>
      <c r="F126" s="12" t="inlineStr"/>
      <c r="G126" s="12" t="inlineStr">
        <is>
          <t>Source assignment -- not individually reviewed</t>
        </is>
      </c>
      <c r="H126" s="17" t="inlineStr">
        <is>
          <t>10 EVIDENCE &amp; DECISIONS</t>
        </is>
      </c>
    </row>
    <row r="127" ht="34" customHeight="1">
      <c r="A127" s="12" t="inlineStr">
        <is>
          <t>R22-v1</t>
        </is>
      </c>
      <c r="B127" s="12" t="inlineStr">
        <is>
          <t>Contractor Programme</t>
        </is>
      </c>
      <c r="C127" s="12" t="inlineStr">
        <is>
          <t>SCH-01-022</t>
        </is>
      </c>
      <c r="D127" s="12" t="inlineStr">
        <is>
          <t>1.1.1 Guideway and Civil - Guideway Structures</t>
        </is>
      </c>
      <c r="E127" s="12" t="inlineStr">
        <is>
          <t>New</t>
        </is>
      </c>
      <c r="F127" s="12" t="inlineStr"/>
      <c r="G127" s="12" t="inlineStr">
        <is>
          <t>Source assignment -- not individually reviewed</t>
        </is>
      </c>
      <c r="H127" s="17" t="inlineStr">
        <is>
          <t>10 EVIDENCE &amp; DECISIONS</t>
        </is>
      </c>
    </row>
    <row r="128" ht="34" customHeight="1">
      <c r="A128" s="12" t="inlineStr">
        <is>
          <t>R23-v1</t>
        </is>
      </c>
      <c r="B128" s="12" t="inlineStr">
        <is>
          <t>Contractor Programme</t>
        </is>
      </c>
      <c r="C128" s="12" t="inlineStr">
        <is>
          <t>SCH-01-023</t>
        </is>
      </c>
      <c r="D128" s="12" t="inlineStr">
        <is>
          <t>1.1.1 Guideway and Civil - Guideway Structures</t>
        </is>
      </c>
      <c r="E128" s="12" t="inlineStr">
        <is>
          <t>New</t>
        </is>
      </c>
      <c r="F128" s="12" t="inlineStr"/>
      <c r="G128" s="12" t="inlineStr">
        <is>
          <t>Source assignment -- not individually reviewed</t>
        </is>
      </c>
      <c r="H128" s="17" t="inlineStr">
        <is>
          <t>10 EVIDENCE &amp; DECISIONS</t>
        </is>
      </c>
    </row>
    <row r="129" ht="34" customHeight="1">
      <c r="A129" s="12" t="inlineStr">
        <is>
          <t>R25-v1</t>
        </is>
      </c>
      <c r="B129" s="12" t="inlineStr">
        <is>
          <t>Contractor Programme</t>
        </is>
      </c>
      <c r="C129" s="12" t="inlineStr">
        <is>
          <t>SCH-01-025</t>
        </is>
      </c>
      <c r="D129" s="12" t="inlineStr">
        <is>
          <t>1.1.1 Guideway and Civil - Guideway Structures</t>
        </is>
      </c>
      <c r="E129" s="12" t="inlineStr">
        <is>
          <t>New</t>
        </is>
      </c>
      <c r="F129" s="12" t="inlineStr"/>
      <c r="G129" s="12" t="inlineStr">
        <is>
          <t>Source assignment -- not individually reviewed</t>
        </is>
      </c>
      <c r="H129" s="17" t="inlineStr">
        <is>
          <t>10 EVIDENCE &amp; DECISIONS</t>
        </is>
      </c>
    </row>
    <row r="130" ht="34" customHeight="1">
      <c r="A130" s="12" t="inlineStr">
        <is>
          <t>R26-v1</t>
        </is>
      </c>
      <c r="B130" s="12" t="inlineStr">
        <is>
          <t>Contractor Programme</t>
        </is>
      </c>
      <c r="C130" s="12" t="inlineStr">
        <is>
          <t>SCH-01-026</t>
        </is>
      </c>
      <c r="D130" s="12" t="inlineStr">
        <is>
          <t>1.1.1 Guideway and Civil - Guideway Structures</t>
        </is>
      </c>
      <c r="E130" s="12" t="inlineStr">
        <is>
          <t>New</t>
        </is>
      </c>
      <c r="F130" s="12" t="inlineStr"/>
      <c r="G130" s="12" t="inlineStr">
        <is>
          <t>Source assignment -- not individually reviewed</t>
        </is>
      </c>
      <c r="H130" s="17" t="inlineStr">
        <is>
          <t>10 EVIDENCE &amp; DECISIONS</t>
        </is>
      </c>
    </row>
    <row r="131" ht="34" customHeight="1">
      <c r="A131" s="12" t="inlineStr">
        <is>
          <t>R28-v1</t>
        </is>
      </c>
      <c r="B131" s="12" t="inlineStr">
        <is>
          <t>Contractor Programme</t>
        </is>
      </c>
      <c r="C131" s="12" t="inlineStr">
        <is>
          <t>SCH-01-028</t>
        </is>
      </c>
      <c r="D131" s="12" t="inlineStr">
        <is>
          <t>1.1.1 Guideway and Civil - Guideway Structures</t>
        </is>
      </c>
      <c r="E131" s="12" t="inlineStr">
        <is>
          <t>New</t>
        </is>
      </c>
      <c r="F131" s="12" t="inlineStr"/>
      <c r="G131" s="12" t="inlineStr">
        <is>
          <t>Source assignment -- not individually reviewed</t>
        </is>
      </c>
      <c r="H131" s="17" t="inlineStr">
        <is>
          <t>10 EVIDENCE &amp; DECISIONS</t>
        </is>
      </c>
    </row>
    <row r="132" ht="34" customHeight="1">
      <c r="A132" s="12" t="inlineStr">
        <is>
          <t>R29-v1</t>
        </is>
      </c>
      <c r="B132" s="12" t="inlineStr">
        <is>
          <t>Contractor Programme</t>
        </is>
      </c>
      <c r="C132" s="12" t="inlineStr">
        <is>
          <t>SCH-01-029</t>
        </is>
      </c>
      <c r="D132" s="12" t="inlineStr">
        <is>
          <t>1.1.1 Guideway and Civil - Guideway Structures</t>
        </is>
      </c>
      <c r="E132" s="12" t="inlineStr">
        <is>
          <t>New</t>
        </is>
      </c>
      <c r="F132" s="12" t="inlineStr"/>
      <c r="G132" s="12" t="inlineStr">
        <is>
          <t>Source assignment -- not individually reviewed</t>
        </is>
      </c>
      <c r="H132" s="17" t="inlineStr">
        <is>
          <t>10 EVIDENCE &amp; DECISIONS</t>
        </is>
      </c>
    </row>
    <row r="133" ht="34" customHeight="1">
      <c r="A133" s="12" t="inlineStr">
        <is>
          <t>R31-v1</t>
        </is>
      </c>
      <c r="B133" s="12" t="inlineStr">
        <is>
          <t>Contractor Programme</t>
        </is>
      </c>
      <c r="C133" s="12" t="inlineStr">
        <is>
          <t>SCH-01-031</t>
        </is>
      </c>
      <c r="D133" s="12" t="inlineStr">
        <is>
          <t>1.1.1 Guideway and Civil - Guideway Structures</t>
        </is>
      </c>
      <c r="E133" s="12" t="inlineStr">
        <is>
          <t>New</t>
        </is>
      </c>
      <c r="F133" s="12" t="inlineStr"/>
      <c r="G133" s="12" t="inlineStr">
        <is>
          <t>Source assignment -- not individually reviewed</t>
        </is>
      </c>
      <c r="H133" s="17" t="inlineStr">
        <is>
          <t>10 EVIDENCE &amp; DECISIONS</t>
        </is>
      </c>
    </row>
    <row r="134" ht="34" customHeight="1">
      <c r="A134" s="12" t="inlineStr">
        <is>
          <t>R32-v1</t>
        </is>
      </c>
      <c r="B134" s="12" t="inlineStr">
        <is>
          <t>Contractor Programme</t>
        </is>
      </c>
      <c r="C134" s="12" t="inlineStr">
        <is>
          <t>SCH-01-032</t>
        </is>
      </c>
      <c r="D134" s="12" t="inlineStr">
        <is>
          <t>1.1.1 Guideway and Civil - Guideway Structures</t>
        </is>
      </c>
      <c r="E134" s="12" t="inlineStr">
        <is>
          <t>New</t>
        </is>
      </c>
      <c r="F134" s="12" t="inlineStr"/>
      <c r="G134" s="12" t="inlineStr">
        <is>
          <t>Source assignment -- not individually reviewed</t>
        </is>
      </c>
      <c r="H134" s="17" t="inlineStr">
        <is>
          <t>10 EVIDENCE &amp; DECISIONS</t>
        </is>
      </c>
    </row>
    <row r="135" ht="34" customHeight="1">
      <c r="A135" s="12" t="inlineStr">
        <is>
          <t>R34-v1</t>
        </is>
      </c>
      <c r="B135" s="12" t="inlineStr">
        <is>
          <t>Contractor Programme</t>
        </is>
      </c>
      <c r="C135" s="12" t="inlineStr">
        <is>
          <t>SCH-01-034</t>
        </is>
      </c>
      <c r="D135" s="12" t="inlineStr">
        <is>
          <t>1.1.1 Guideway and Civil - Guideway Structures</t>
        </is>
      </c>
      <c r="E135" s="12" t="inlineStr">
        <is>
          <t>New</t>
        </is>
      </c>
      <c r="F135" s="12" t="inlineStr"/>
      <c r="G135" s="12" t="inlineStr">
        <is>
          <t>Source assignment -- not individually reviewed</t>
        </is>
      </c>
      <c r="H135" s="17" t="inlineStr">
        <is>
          <t>10 EVIDENCE &amp; DECISIONS</t>
        </is>
      </c>
    </row>
    <row r="136" ht="34" customHeight="1">
      <c r="A136" s="12" t="inlineStr">
        <is>
          <t>R35-v1</t>
        </is>
      </c>
      <c r="B136" s="12" t="inlineStr">
        <is>
          <t>Contractor Programme</t>
        </is>
      </c>
      <c r="C136" s="12" t="inlineStr">
        <is>
          <t>SCH-01-035</t>
        </is>
      </c>
      <c r="D136" s="12" t="inlineStr">
        <is>
          <t>1.1.1 Guideway and Civil - Guideway Structures</t>
        </is>
      </c>
      <c r="E136" s="12" t="inlineStr">
        <is>
          <t>New</t>
        </is>
      </c>
      <c r="F136" s="12" t="inlineStr"/>
      <c r="G136" s="12" t="inlineStr">
        <is>
          <t>Source assignment -- not individually reviewed</t>
        </is>
      </c>
      <c r="H136" s="17" t="inlineStr">
        <is>
          <t>10 EVIDENCE &amp; DECISIONS</t>
        </is>
      </c>
    </row>
    <row r="137" ht="34" customHeight="1">
      <c r="A137" s="12" t="inlineStr">
        <is>
          <t>R37-v1</t>
        </is>
      </c>
      <c r="B137" s="12" t="inlineStr">
        <is>
          <t>Contractor Programme</t>
        </is>
      </c>
      <c r="C137" s="12" t="inlineStr">
        <is>
          <t>SCH-01-037</t>
        </is>
      </c>
      <c r="D137" s="12" t="inlineStr">
        <is>
          <t>1.1.1 Guideway and Civil - Guideway Structures</t>
        </is>
      </c>
      <c r="E137" s="12" t="inlineStr">
        <is>
          <t>New</t>
        </is>
      </c>
      <c r="F137" s="12" t="inlineStr"/>
      <c r="G137" s="12" t="inlineStr">
        <is>
          <t>Source assignment -- not individually reviewed</t>
        </is>
      </c>
      <c r="H137" s="17" t="inlineStr">
        <is>
          <t>10 EVIDENCE &amp; DECISIONS</t>
        </is>
      </c>
    </row>
    <row r="138" ht="34" customHeight="1">
      <c r="A138" s="12" t="inlineStr">
        <is>
          <t>R38-v1</t>
        </is>
      </c>
      <c r="B138" s="12" t="inlineStr">
        <is>
          <t>Contractor Programme</t>
        </is>
      </c>
      <c r="C138" s="12" t="inlineStr">
        <is>
          <t>SCH-01-038</t>
        </is>
      </c>
      <c r="D138" s="12" t="inlineStr">
        <is>
          <t>1.1.1 Guideway and Civil - Guideway Structures</t>
        </is>
      </c>
      <c r="E138" s="12" t="inlineStr">
        <is>
          <t>New</t>
        </is>
      </c>
      <c r="F138" s="12" t="inlineStr"/>
      <c r="G138" s="12" t="inlineStr">
        <is>
          <t>Source assignment -- not individually reviewed</t>
        </is>
      </c>
      <c r="H138" s="17" t="inlineStr">
        <is>
          <t>10 EVIDENCE &amp; DECISIONS</t>
        </is>
      </c>
    </row>
    <row r="139" ht="34" customHeight="1">
      <c r="A139" s="12" t="inlineStr">
        <is>
          <t>R4-v1</t>
        </is>
      </c>
      <c r="B139" s="12" t="inlineStr">
        <is>
          <t>Contractor Programme</t>
        </is>
      </c>
      <c r="C139" s="12" t="inlineStr">
        <is>
          <t>SCH-01-004</t>
        </is>
      </c>
      <c r="D139" s="12" t="inlineStr">
        <is>
          <t>1.1.1 Guideway and Civil - Guideway Structures</t>
        </is>
      </c>
      <c r="E139" s="12" t="inlineStr">
        <is>
          <t>New</t>
        </is>
      </c>
      <c r="F139" s="12" t="inlineStr"/>
      <c r="G139" s="12" t="inlineStr">
        <is>
          <t>Source assignment -- not individually reviewed</t>
        </is>
      </c>
      <c r="H139" s="17" t="inlineStr">
        <is>
          <t>10 EVIDENCE &amp; DECISIONS</t>
        </is>
      </c>
    </row>
    <row r="140" ht="34" customHeight="1">
      <c r="A140" s="12" t="inlineStr">
        <is>
          <t>R40-v1</t>
        </is>
      </c>
      <c r="B140" s="12" t="inlineStr">
        <is>
          <t>Contractor Programme</t>
        </is>
      </c>
      <c r="C140" s="12" t="inlineStr">
        <is>
          <t>SCH-01-040</t>
        </is>
      </c>
      <c r="D140" s="12" t="inlineStr">
        <is>
          <t>1.1.1 Guideway and Civil - Guideway Structures</t>
        </is>
      </c>
      <c r="E140" s="12" t="inlineStr">
        <is>
          <t>New</t>
        </is>
      </c>
      <c r="F140" s="12" t="inlineStr"/>
      <c r="G140" s="12" t="inlineStr">
        <is>
          <t>Source assignment -- not individually reviewed</t>
        </is>
      </c>
      <c r="H140" s="17" t="inlineStr">
        <is>
          <t>10 EVIDENCE &amp; DECISIONS</t>
        </is>
      </c>
    </row>
    <row r="141" ht="34" customHeight="1">
      <c r="A141" s="12" t="inlineStr">
        <is>
          <t>R41-v1</t>
        </is>
      </c>
      <c r="B141" s="12" t="inlineStr">
        <is>
          <t>Contractor Programme</t>
        </is>
      </c>
      <c r="C141" s="12" t="inlineStr">
        <is>
          <t>SCH-01-041</t>
        </is>
      </c>
      <c r="D141" s="12" t="inlineStr">
        <is>
          <t>1.1.1 Guideway and Civil - Guideway Structures</t>
        </is>
      </c>
      <c r="E141" s="12" t="inlineStr">
        <is>
          <t>New</t>
        </is>
      </c>
      <c r="F141" s="12" t="inlineStr"/>
      <c r="G141" s="12" t="inlineStr">
        <is>
          <t>Source assignment -- not individually reviewed</t>
        </is>
      </c>
      <c r="H141" s="17" t="inlineStr">
        <is>
          <t>10 EVIDENCE &amp; DECISIONS</t>
        </is>
      </c>
    </row>
    <row r="142" ht="34" customHeight="1">
      <c r="A142" s="12" t="inlineStr">
        <is>
          <t>R43-v1</t>
        </is>
      </c>
      <c r="B142" s="12" t="inlineStr">
        <is>
          <t>Contractor Programme</t>
        </is>
      </c>
      <c r="C142" s="12" t="inlineStr">
        <is>
          <t>SCH-01-043</t>
        </is>
      </c>
      <c r="D142" s="12" t="inlineStr">
        <is>
          <t>1.1.1 Guideway and Civil - Guideway Structures</t>
        </is>
      </c>
      <c r="E142" s="12" t="inlineStr">
        <is>
          <t>New</t>
        </is>
      </c>
      <c r="F142" s="12" t="inlineStr"/>
      <c r="G142" s="12" t="inlineStr">
        <is>
          <t>Source assignment -- not individually reviewed</t>
        </is>
      </c>
      <c r="H142" s="17" t="inlineStr">
        <is>
          <t>10 EVIDENCE &amp; DECISIONS</t>
        </is>
      </c>
    </row>
    <row r="143" ht="34" customHeight="1">
      <c r="A143" s="12" t="inlineStr">
        <is>
          <t>R44-v1</t>
        </is>
      </c>
      <c r="B143" s="12" t="inlineStr">
        <is>
          <t>Contractor Programme</t>
        </is>
      </c>
      <c r="C143" s="12" t="inlineStr">
        <is>
          <t>SCH-01-044</t>
        </is>
      </c>
      <c r="D143" s="12" t="inlineStr">
        <is>
          <t>1.1.1 Guideway and Civil - Guideway Structures</t>
        </is>
      </c>
      <c r="E143" s="12" t="inlineStr">
        <is>
          <t>New</t>
        </is>
      </c>
      <c r="F143" s="12" t="inlineStr"/>
      <c r="G143" s="12" t="inlineStr">
        <is>
          <t>Source assignment -- not individually reviewed</t>
        </is>
      </c>
      <c r="H143" s="17" t="inlineStr">
        <is>
          <t>10 EVIDENCE &amp; DECISIONS</t>
        </is>
      </c>
    </row>
    <row r="144" ht="34" customHeight="1">
      <c r="A144" s="12" t="inlineStr">
        <is>
          <t>R46-v1</t>
        </is>
      </c>
      <c r="B144" s="12" t="inlineStr">
        <is>
          <t>Contractor Programme</t>
        </is>
      </c>
      <c r="C144" s="12" t="inlineStr">
        <is>
          <t>SCH-01-046</t>
        </is>
      </c>
      <c r="D144" s="12" t="inlineStr">
        <is>
          <t>1.1.1 Guideway and Civil - Guideway Structures</t>
        </is>
      </c>
      <c r="E144" s="12" t="inlineStr">
        <is>
          <t>New</t>
        </is>
      </c>
      <c r="F144" s="12" t="inlineStr"/>
      <c r="G144" s="12" t="inlineStr">
        <is>
          <t>Source assignment -- not individually reviewed</t>
        </is>
      </c>
      <c r="H144" s="17" t="inlineStr">
        <is>
          <t>10 EVIDENCE &amp; DECISIONS</t>
        </is>
      </c>
    </row>
    <row r="145" ht="34" customHeight="1">
      <c r="A145" s="12" t="inlineStr">
        <is>
          <t>R47-v1</t>
        </is>
      </c>
      <c r="B145" s="12" t="inlineStr">
        <is>
          <t>Contractor Programme</t>
        </is>
      </c>
      <c r="C145" s="12" t="inlineStr">
        <is>
          <t>SCH-01-047</t>
        </is>
      </c>
      <c r="D145" s="12" t="inlineStr">
        <is>
          <t>1.1.1 Guideway and Civil - Guideway Structures</t>
        </is>
      </c>
      <c r="E145" s="12" t="inlineStr">
        <is>
          <t>New</t>
        </is>
      </c>
      <c r="F145" s="12" t="inlineStr"/>
      <c r="G145" s="12" t="inlineStr">
        <is>
          <t>Source assignment -- not individually reviewed</t>
        </is>
      </c>
      <c r="H145" s="17" t="inlineStr">
        <is>
          <t>10 EVIDENCE &amp; DECISIONS</t>
        </is>
      </c>
    </row>
    <row r="146" ht="34" customHeight="1">
      <c r="A146" s="12" t="inlineStr">
        <is>
          <t>R49-v1</t>
        </is>
      </c>
      <c r="B146" s="12" t="inlineStr">
        <is>
          <t>Contractor Programme</t>
        </is>
      </c>
      <c r="C146" s="12" t="inlineStr">
        <is>
          <t>SCH-01-049</t>
        </is>
      </c>
      <c r="D146" s="12" t="inlineStr">
        <is>
          <t>1.1.1 Guideway and Civil - Guideway Structures</t>
        </is>
      </c>
      <c r="E146" s="12" t="inlineStr">
        <is>
          <t>New</t>
        </is>
      </c>
      <c r="F146" s="12" t="inlineStr"/>
      <c r="G146" s="12" t="inlineStr">
        <is>
          <t>Source assignment -- not individually reviewed</t>
        </is>
      </c>
      <c r="H146" s="17" t="inlineStr">
        <is>
          <t>10 EVIDENCE &amp; DECISIONS</t>
        </is>
      </c>
    </row>
    <row r="147" ht="34" customHeight="1">
      <c r="A147" s="12" t="inlineStr">
        <is>
          <t>R5-v1</t>
        </is>
      </c>
      <c r="B147" s="12" t="inlineStr">
        <is>
          <t>Contractor Programme</t>
        </is>
      </c>
      <c r="C147" s="12" t="inlineStr">
        <is>
          <t>SCH-01-005</t>
        </is>
      </c>
      <c r="D147" s="12" t="inlineStr">
        <is>
          <t>1.1.1 Guideway and Civil - Guideway Structures</t>
        </is>
      </c>
      <c r="E147" s="12" t="inlineStr">
        <is>
          <t>New</t>
        </is>
      </c>
      <c r="F147" s="12" t="inlineStr"/>
      <c r="G147" s="12" t="inlineStr">
        <is>
          <t>Source assignment -- not individually reviewed</t>
        </is>
      </c>
      <c r="H147" s="17" t="inlineStr">
        <is>
          <t>10 EVIDENCE &amp; DECISIONS</t>
        </is>
      </c>
    </row>
    <row r="148" ht="34" customHeight="1">
      <c r="A148" s="12" t="inlineStr">
        <is>
          <t>R50-v1</t>
        </is>
      </c>
      <c r="B148" s="12" t="inlineStr">
        <is>
          <t>Contractor Programme</t>
        </is>
      </c>
      <c r="C148" s="12" t="inlineStr">
        <is>
          <t>SCH-01-050</t>
        </is>
      </c>
      <c r="D148" s="12" t="inlineStr">
        <is>
          <t>1.1.1 Guideway and Civil - Guideway Structures</t>
        </is>
      </c>
      <c r="E148" s="12" t="inlineStr">
        <is>
          <t>New</t>
        </is>
      </c>
      <c r="F148" s="12" t="inlineStr"/>
      <c r="G148" s="12" t="inlineStr">
        <is>
          <t>Source assignment -- not individually reviewed</t>
        </is>
      </c>
      <c r="H148" s="17" t="inlineStr">
        <is>
          <t>10 EVIDENCE &amp; DECISIONS</t>
        </is>
      </c>
    </row>
    <row r="149" ht="34" customHeight="1">
      <c r="A149" s="12" t="inlineStr">
        <is>
          <t>R52-v1</t>
        </is>
      </c>
      <c r="B149" s="12" t="inlineStr">
        <is>
          <t>Contractor Programme</t>
        </is>
      </c>
      <c r="C149" s="12" t="inlineStr">
        <is>
          <t>SCH-01-052</t>
        </is>
      </c>
      <c r="D149" s="12" t="inlineStr">
        <is>
          <t>1.1.1 Guideway and Civil - Guideway Structures</t>
        </is>
      </c>
      <c r="E149" s="12" t="inlineStr">
        <is>
          <t>New</t>
        </is>
      </c>
      <c r="F149" s="12" t="inlineStr"/>
      <c r="G149" s="12" t="inlineStr">
        <is>
          <t>Source assignment -- not individually reviewed</t>
        </is>
      </c>
      <c r="H149" s="17" t="inlineStr">
        <is>
          <t>10 EVIDENCE &amp; DECISIONS</t>
        </is>
      </c>
    </row>
    <row r="150" ht="34" customHeight="1">
      <c r="A150" s="12" t="inlineStr">
        <is>
          <t>R53-v1</t>
        </is>
      </c>
      <c r="B150" s="12" t="inlineStr">
        <is>
          <t>Contractor Programme</t>
        </is>
      </c>
      <c r="C150" s="12" t="inlineStr">
        <is>
          <t>SCH-01-053</t>
        </is>
      </c>
      <c r="D150" s="12" t="inlineStr">
        <is>
          <t>1.1.1 Guideway and Civil - Guideway Structures</t>
        </is>
      </c>
      <c r="E150" s="12" t="inlineStr">
        <is>
          <t>New</t>
        </is>
      </c>
      <c r="F150" s="12" t="inlineStr"/>
      <c r="G150" s="12" t="inlineStr">
        <is>
          <t>Source assignment -- not individually reviewed</t>
        </is>
      </c>
      <c r="H150" s="17" t="inlineStr">
        <is>
          <t>10 EVIDENCE &amp; DECISIONS</t>
        </is>
      </c>
    </row>
    <row r="151" ht="34" customHeight="1">
      <c r="A151" s="12" t="inlineStr">
        <is>
          <t>R55-v1</t>
        </is>
      </c>
      <c r="B151" s="12" t="inlineStr">
        <is>
          <t>Contractor Programme</t>
        </is>
      </c>
      <c r="C151" s="12" t="inlineStr">
        <is>
          <t>SCH-01-055</t>
        </is>
      </c>
      <c r="D151" s="12" t="inlineStr">
        <is>
          <t>1.1.1 Guideway and Civil - Guideway Structures</t>
        </is>
      </c>
      <c r="E151" s="12" t="inlineStr">
        <is>
          <t>New</t>
        </is>
      </c>
      <c r="F151" s="12" t="inlineStr"/>
      <c r="G151" s="12" t="inlineStr">
        <is>
          <t>Source assignment -- not individually reviewed</t>
        </is>
      </c>
      <c r="H151" s="17" t="inlineStr">
        <is>
          <t>10 EVIDENCE &amp; DECISIONS</t>
        </is>
      </c>
    </row>
    <row r="152" ht="34" customHeight="1">
      <c r="A152" s="12" t="inlineStr">
        <is>
          <t>R56-v1</t>
        </is>
      </c>
      <c r="B152" s="12" t="inlineStr">
        <is>
          <t>Contractor Programme</t>
        </is>
      </c>
      <c r="C152" s="12" t="inlineStr">
        <is>
          <t>SCH-01-056</t>
        </is>
      </c>
      <c r="D152" s="12" t="inlineStr">
        <is>
          <t>1.1.1 Guideway and Civil - Guideway Structures</t>
        </is>
      </c>
      <c r="E152" s="12" t="inlineStr">
        <is>
          <t>New</t>
        </is>
      </c>
      <c r="F152" s="12" t="inlineStr"/>
      <c r="G152" s="12" t="inlineStr">
        <is>
          <t>Source assignment -- not individually reviewed</t>
        </is>
      </c>
      <c r="H152" s="17" t="inlineStr">
        <is>
          <t>10 EVIDENCE &amp; DECISIONS</t>
        </is>
      </c>
    </row>
    <row r="153" ht="34" customHeight="1">
      <c r="A153" s="12" t="inlineStr">
        <is>
          <t>R58-v1</t>
        </is>
      </c>
      <c r="B153" s="12" t="inlineStr">
        <is>
          <t>Contractor Programme</t>
        </is>
      </c>
      <c r="C153" s="12" t="inlineStr">
        <is>
          <t>SCH-01-058</t>
        </is>
      </c>
      <c r="D153" s="12" t="inlineStr">
        <is>
          <t>1.1.1 Guideway and Civil - Guideway Structures</t>
        </is>
      </c>
      <c r="E153" s="12" t="inlineStr">
        <is>
          <t>New</t>
        </is>
      </c>
      <c r="F153" s="12" t="inlineStr"/>
      <c r="G153" s="12" t="inlineStr">
        <is>
          <t>Source assignment -- not individually reviewed</t>
        </is>
      </c>
      <c r="H153" s="17" t="inlineStr">
        <is>
          <t>10 EVIDENCE &amp; DECISIONS</t>
        </is>
      </c>
    </row>
    <row r="154" ht="34" customHeight="1">
      <c r="A154" s="12" t="inlineStr">
        <is>
          <t>R59-v1</t>
        </is>
      </c>
      <c r="B154" s="12" t="inlineStr">
        <is>
          <t>Contractor Programme</t>
        </is>
      </c>
      <c r="C154" s="12" t="inlineStr">
        <is>
          <t>SCH-01-059</t>
        </is>
      </c>
      <c r="D154" s="12" t="inlineStr">
        <is>
          <t>1.1.1 Guideway and Civil - Guideway Structures</t>
        </is>
      </c>
      <c r="E154" s="12" t="inlineStr">
        <is>
          <t>New</t>
        </is>
      </c>
      <c r="F154" s="12" t="inlineStr"/>
      <c r="G154" s="12" t="inlineStr">
        <is>
          <t>Source assignment -- not individually reviewed</t>
        </is>
      </c>
      <c r="H154" s="17" t="inlineStr">
        <is>
          <t>10 EVIDENCE &amp; DECISIONS</t>
        </is>
      </c>
    </row>
    <row r="155" ht="34" customHeight="1">
      <c r="A155" s="12" t="inlineStr">
        <is>
          <t>R61-v1</t>
        </is>
      </c>
      <c r="B155" s="12" t="inlineStr">
        <is>
          <t>Contractor Programme</t>
        </is>
      </c>
      <c r="C155" s="12" t="inlineStr">
        <is>
          <t>SCH-01-061</t>
        </is>
      </c>
      <c r="D155" s="12" t="inlineStr">
        <is>
          <t>1.1.1 Guideway and Civil - Guideway Structures</t>
        </is>
      </c>
      <c r="E155" s="12" t="inlineStr">
        <is>
          <t>New</t>
        </is>
      </c>
      <c r="F155" s="12" t="inlineStr"/>
      <c r="G155" s="12" t="inlineStr">
        <is>
          <t>Source assignment -- not individually reviewed</t>
        </is>
      </c>
      <c r="H155" s="17" t="inlineStr">
        <is>
          <t>10 EVIDENCE &amp; DECISIONS</t>
        </is>
      </c>
    </row>
    <row r="156" ht="34" customHeight="1">
      <c r="A156" s="12" t="inlineStr">
        <is>
          <t>R62-v1</t>
        </is>
      </c>
      <c r="B156" s="12" t="inlineStr">
        <is>
          <t>Contractor Programme</t>
        </is>
      </c>
      <c r="C156" s="12" t="inlineStr">
        <is>
          <t>SCH-01-062</t>
        </is>
      </c>
      <c r="D156" s="12" t="inlineStr">
        <is>
          <t>1.1.1 Guideway and Civil - Guideway Structures</t>
        </is>
      </c>
      <c r="E156" s="12" t="inlineStr">
        <is>
          <t>New</t>
        </is>
      </c>
      <c r="F156" s="12" t="inlineStr"/>
      <c r="G156" s="12" t="inlineStr">
        <is>
          <t>Source assignment -- not individually reviewed</t>
        </is>
      </c>
      <c r="H156" s="17" t="inlineStr">
        <is>
          <t>10 EVIDENCE &amp; DECISIONS</t>
        </is>
      </c>
    </row>
    <row r="157" ht="34" customHeight="1">
      <c r="A157" s="12" t="inlineStr">
        <is>
          <t>R64-v1</t>
        </is>
      </c>
      <c r="B157" s="12" t="inlineStr">
        <is>
          <t>Contractor Programme</t>
        </is>
      </c>
      <c r="C157" s="12" t="inlineStr">
        <is>
          <t>SCH-01-064</t>
        </is>
      </c>
      <c r="D157" s="12" t="inlineStr">
        <is>
          <t>1.1.1 Guideway and Civil - Guideway Structures</t>
        </is>
      </c>
      <c r="E157" s="12" t="inlineStr">
        <is>
          <t>New</t>
        </is>
      </c>
      <c r="F157" s="12" t="inlineStr"/>
      <c r="G157" s="12" t="inlineStr">
        <is>
          <t>Source assignment -- not individually reviewed</t>
        </is>
      </c>
      <c r="H157" s="17" t="inlineStr">
        <is>
          <t>10 EVIDENCE &amp; DECISIONS</t>
        </is>
      </c>
    </row>
    <row r="158" ht="34" customHeight="1">
      <c r="A158" s="12" t="inlineStr">
        <is>
          <t>R65-v1</t>
        </is>
      </c>
      <c r="B158" s="12" t="inlineStr">
        <is>
          <t>Contractor Programme</t>
        </is>
      </c>
      <c r="C158" s="12" t="inlineStr">
        <is>
          <t>SCH-01-065</t>
        </is>
      </c>
      <c r="D158" s="12" t="inlineStr">
        <is>
          <t>1.1.1 Guideway and Civil - Guideway Structures</t>
        </is>
      </c>
      <c r="E158" s="12" t="inlineStr">
        <is>
          <t>New</t>
        </is>
      </c>
      <c r="F158" s="12" t="inlineStr"/>
      <c r="G158" s="12" t="inlineStr">
        <is>
          <t>Source assignment -- not individually reviewed</t>
        </is>
      </c>
      <c r="H158" s="17" t="inlineStr">
        <is>
          <t>10 EVIDENCE &amp; DECISIONS</t>
        </is>
      </c>
    </row>
    <row r="159" ht="34" customHeight="1">
      <c r="A159" s="12" t="inlineStr">
        <is>
          <t>R67-v1</t>
        </is>
      </c>
      <c r="B159" s="12" t="inlineStr">
        <is>
          <t>Contractor Programme</t>
        </is>
      </c>
      <c r="C159" s="12" t="inlineStr">
        <is>
          <t>SCH-01-067</t>
        </is>
      </c>
      <c r="D159" s="12" t="inlineStr">
        <is>
          <t>1.1.1 Guideway and Civil - Guideway Structures</t>
        </is>
      </c>
      <c r="E159" s="12" t="inlineStr">
        <is>
          <t>New</t>
        </is>
      </c>
      <c r="F159" s="12" t="inlineStr"/>
      <c r="G159" s="12" t="inlineStr">
        <is>
          <t>Source assignment -- not individually reviewed</t>
        </is>
      </c>
      <c r="H159" s="17" t="inlineStr">
        <is>
          <t>10 EVIDENCE &amp; DECISIONS</t>
        </is>
      </c>
    </row>
    <row r="160" ht="34" customHeight="1">
      <c r="A160" s="12" t="inlineStr">
        <is>
          <t>R68-v1</t>
        </is>
      </c>
      <c r="B160" s="12" t="inlineStr">
        <is>
          <t>Contractor Programme</t>
        </is>
      </c>
      <c r="C160" s="12" t="inlineStr">
        <is>
          <t>SCH-01-068</t>
        </is>
      </c>
      <c r="D160" s="12" t="inlineStr">
        <is>
          <t>1.1.1 Guideway and Civil - Guideway Structures</t>
        </is>
      </c>
      <c r="E160" s="12" t="inlineStr">
        <is>
          <t>New</t>
        </is>
      </c>
      <c r="F160" s="12" t="inlineStr"/>
      <c r="G160" s="12" t="inlineStr">
        <is>
          <t>Source assignment -- not individually reviewed</t>
        </is>
      </c>
      <c r="H160" s="17" t="inlineStr">
        <is>
          <t>10 EVIDENCE &amp; DECISIONS</t>
        </is>
      </c>
    </row>
    <row r="161" ht="34" customHeight="1">
      <c r="A161" s="12" t="inlineStr">
        <is>
          <t>R7-v1</t>
        </is>
      </c>
      <c r="B161" s="12" t="inlineStr">
        <is>
          <t>Contractor Programme</t>
        </is>
      </c>
      <c r="C161" s="12" t="inlineStr">
        <is>
          <t>SCH-01-007</t>
        </is>
      </c>
      <c r="D161" s="12" t="inlineStr">
        <is>
          <t>1.1.1 Guideway and Civil - Guideway Structures</t>
        </is>
      </c>
      <c r="E161" s="12" t="inlineStr">
        <is>
          <t>New</t>
        </is>
      </c>
      <c r="F161" s="12" t="inlineStr"/>
      <c r="G161" s="12" t="inlineStr">
        <is>
          <t>Source assignment -- not individually reviewed</t>
        </is>
      </c>
      <c r="H161" s="17" t="inlineStr">
        <is>
          <t>10 EVIDENCE &amp; DECISIONS</t>
        </is>
      </c>
    </row>
    <row r="162" ht="34" customHeight="1">
      <c r="A162" s="12" t="inlineStr">
        <is>
          <t>R70-v1</t>
        </is>
      </c>
      <c r="B162" s="12" t="inlineStr">
        <is>
          <t>Contractor Programme</t>
        </is>
      </c>
      <c r="C162" s="12" t="inlineStr">
        <is>
          <t>SCH-01-070</t>
        </is>
      </c>
      <c r="D162" s="12" t="inlineStr">
        <is>
          <t>1.1.1 Guideway and Civil - Guideway Structures</t>
        </is>
      </c>
      <c r="E162" s="12" t="inlineStr">
        <is>
          <t>New</t>
        </is>
      </c>
      <c r="F162" s="12" t="inlineStr"/>
      <c r="G162" s="12" t="inlineStr">
        <is>
          <t>Source assignment -- not individually reviewed</t>
        </is>
      </c>
      <c r="H162" s="17" t="inlineStr">
        <is>
          <t>10 EVIDENCE &amp; DECISIONS</t>
        </is>
      </c>
    </row>
    <row r="163" ht="34" customHeight="1">
      <c r="A163" s="12" t="inlineStr">
        <is>
          <t>R71-v1</t>
        </is>
      </c>
      <c r="B163" s="12" t="inlineStr">
        <is>
          <t>Contractor Programme</t>
        </is>
      </c>
      <c r="C163" s="12" t="inlineStr">
        <is>
          <t>SCH-01-071</t>
        </is>
      </c>
      <c r="D163" s="12" t="inlineStr">
        <is>
          <t>1.1.1 Guideway and Civil - Guideway Structures</t>
        </is>
      </c>
      <c r="E163" s="12" t="inlineStr">
        <is>
          <t>New</t>
        </is>
      </c>
      <c r="F163" s="12" t="inlineStr"/>
      <c r="G163" s="12" t="inlineStr">
        <is>
          <t>Source assignment -- not individually reviewed</t>
        </is>
      </c>
      <c r="H163" s="17" t="inlineStr">
        <is>
          <t>10 EVIDENCE &amp; DECISIONS</t>
        </is>
      </c>
    </row>
    <row r="164" ht="34" customHeight="1">
      <c r="A164" s="12" t="inlineStr">
        <is>
          <t>R73-v1</t>
        </is>
      </c>
      <c r="B164" s="12" t="inlineStr">
        <is>
          <t>Contractor Programme</t>
        </is>
      </c>
      <c r="C164" s="12" t="inlineStr">
        <is>
          <t>SCH-01-073</t>
        </is>
      </c>
      <c r="D164" s="12" t="inlineStr">
        <is>
          <t>1.1.1 Guideway and Civil - Guideway Structures</t>
        </is>
      </c>
      <c r="E164" s="12" t="inlineStr">
        <is>
          <t>New</t>
        </is>
      </c>
      <c r="F164" s="12" t="inlineStr"/>
      <c r="G164" s="12" t="inlineStr">
        <is>
          <t>Source assignment -- not individually reviewed</t>
        </is>
      </c>
      <c r="H164" s="17" t="inlineStr">
        <is>
          <t>10 EVIDENCE &amp; DECISIONS</t>
        </is>
      </c>
    </row>
    <row r="165" ht="34" customHeight="1">
      <c r="A165" s="12" t="inlineStr">
        <is>
          <t>R74-v1</t>
        </is>
      </c>
      <c r="B165" s="12" t="inlineStr">
        <is>
          <t>Contractor Programme</t>
        </is>
      </c>
      <c r="C165" s="12" t="inlineStr">
        <is>
          <t>SCH-01-074</t>
        </is>
      </c>
      <c r="D165" s="12" t="inlineStr">
        <is>
          <t>1.1.1 Guideway and Civil - Guideway Structures</t>
        </is>
      </c>
      <c r="E165" s="12" t="inlineStr">
        <is>
          <t>New</t>
        </is>
      </c>
      <c r="F165" s="12" t="inlineStr"/>
      <c r="G165" s="12" t="inlineStr">
        <is>
          <t>Source assignment -- not individually reviewed</t>
        </is>
      </c>
      <c r="H165" s="17" t="inlineStr">
        <is>
          <t>10 EVIDENCE &amp; DECISIONS</t>
        </is>
      </c>
    </row>
    <row r="166" ht="34" customHeight="1">
      <c r="A166" s="12" t="inlineStr">
        <is>
          <t>R76-v1</t>
        </is>
      </c>
      <c r="B166" s="12" t="inlineStr">
        <is>
          <t>Contractor Programme</t>
        </is>
      </c>
      <c r="C166" s="12" t="inlineStr">
        <is>
          <t>SCH-01-076</t>
        </is>
      </c>
      <c r="D166" s="12" t="inlineStr">
        <is>
          <t>1.1.1 Guideway and Civil - Guideway Structures</t>
        </is>
      </c>
      <c r="E166" s="12" t="inlineStr">
        <is>
          <t>New</t>
        </is>
      </c>
      <c r="F166" s="12" t="inlineStr"/>
      <c r="G166" s="12" t="inlineStr">
        <is>
          <t>Source assignment -- not individually reviewed</t>
        </is>
      </c>
      <c r="H166" s="17" t="inlineStr">
        <is>
          <t>10 EVIDENCE &amp; DECISIONS</t>
        </is>
      </c>
    </row>
    <row r="167" ht="34" customHeight="1">
      <c r="A167" s="12" t="inlineStr">
        <is>
          <t>R77-v1</t>
        </is>
      </c>
      <c r="B167" s="12" t="inlineStr">
        <is>
          <t>Contractor Programme</t>
        </is>
      </c>
      <c r="C167" s="12" t="inlineStr">
        <is>
          <t>SCH-01-077</t>
        </is>
      </c>
      <c r="D167" s="12" t="inlineStr">
        <is>
          <t>1.1.1 Guideway and Civil - Guideway Structures</t>
        </is>
      </c>
      <c r="E167" s="12" t="inlineStr">
        <is>
          <t>New</t>
        </is>
      </c>
      <c r="F167" s="12" t="inlineStr"/>
      <c r="G167" s="12" t="inlineStr">
        <is>
          <t>Source assignment -- not individually reviewed</t>
        </is>
      </c>
      <c r="H167" s="17" t="inlineStr">
        <is>
          <t>10 EVIDENCE &amp; DECISIONS</t>
        </is>
      </c>
    </row>
    <row r="168" ht="34" customHeight="1">
      <c r="A168" s="12" t="inlineStr">
        <is>
          <t>R79-v1</t>
        </is>
      </c>
      <c r="B168" s="12" t="inlineStr">
        <is>
          <t>Contractor Programme</t>
        </is>
      </c>
      <c r="C168" s="12" t="inlineStr">
        <is>
          <t>SCH-01-079</t>
        </is>
      </c>
      <c r="D168" s="12" t="inlineStr">
        <is>
          <t>1.1.1 Guideway and Civil - Guideway Structures</t>
        </is>
      </c>
      <c r="E168" s="12" t="inlineStr">
        <is>
          <t>New</t>
        </is>
      </c>
      <c r="F168" s="12" t="inlineStr"/>
      <c r="G168" s="12" t="inlineStr">
        <is>
          <t>Source assignment -- not individually reviewed</t>
        </is>
      </c>
      <c r="H168" s="17" t="inlineStr">
        <is>
          <t>10 EVIDENCE &amp; DECISIONS</t>
        </is>
      </c>
    </row>
    <row r="169" ht="34" customHeight="1">
      <c r="A169" s="12" t="inlineStr">
        <is>
          <t>R8-v1</t>
        </is>
      </c>
      <c r="B169" s="12" t="inlineStr">
        <is>
          <t>Contractor Programme</t>
        </is>
      </c>
      <c r="C169" s="12" t="inlineStr">
        <is>
          <t>SCH-01-008</t>
        </is>
      </c>
      <c r="D169" s="12" t="inlineStr">
        <is>
          <t>1.1.1 Guideway and Civil - Guideway Structures</t>
        </is>
      </c>
      <c r="E169" s="12" t="inlineStr">
        <is>
          <t>New</t>
        </is>
      </c>
      <c r="F169" s="12" t="inlineStr"/>
      <c r="G169" s="12" t="inlineStr">
        <is>
          <t>Source assignment -- not individually reviewed</t>
        </is>
      </c>
      <c r="H169" s="17" t="inlineStr">
        <is>
          <t>10 EVIDENCE &amp; DECISIONS</t>
        </is>
      </c>
    </row>
    <row r="170" ht="34" customHeight="1">
      <c r="A170" s="12" t="inlineStr">
        <is>
          <t>R80-v1</t>
        </is>
      </c>
      <c r="B170" s="12" t="inlineStr">
        <is>
          <t>Contractor Programme</t>
        </is>
      </c>
      <c r="C170" s="12" t="inlineStr">
        <is>
          <t>SCH-01-080</t>
        </is>
      </c>
      <c r="D170" s="12" t="inlineStr">
        <is>
          <t>1.1.1 Guideway and Civil - Guideway Structures</t>
        </is>
      </c>
      <c r="E170" s="12" t="inlineStr">
        <is>
          <t>New</t>
        </is>
      </c>
      <c r="F170" s="12" t="inlineStr"/>
      <c r="G170" s="12" t="inlineStr">
        <is>
          <t>Source assignment -- not individually reviewed</t>
        </is>
      </c>
      <c r="H170" s="17" t="inlineStr">
        <is>
          <t>10 EVIDENCE &amp; DECISIONS</t>
        </is>
      </c>
    </row>
    <row r="171" ht="34" customHeight="1">
      <c r="A171" s="12" t="inlineStr">
        <is>
          <t>R82-v1</t>
        </is>
      </c>
      <c r="B171" s="12" t="inlineStr">
        <is>
          <t>Contractor Programme</t>
        </is>
      </c>
      <c r="C171" s="12" t="inlineStr">
        <is>
          <t>SCH-01-082</t>
        </is>
      </c>
      <c r="D171" s="12" t="inlineStr">
        <is>
          <t>1.1.1 Guideway and Civil - Guideway Structures</t>
        </is>
      </c>
      <c r="E171" s="12" t="inlineStr">
        <is>
          <t>New</t>
        </is>
      </c>
      <c r="F171" s="12" t="inlineStr"/>
      <c r="G171" s="12" t="inlineStr">
        <is>
          <t>Source assignment -- not individually reviewed</t>
        </is>
      </c>
      <c r="H171" s="17" t="inlineStr">
        <is>
          <t>10 EVIDENCE &amp; DECISIONS</t>
        </is>
      </c>
    </row>
    <row r="172" ht="34" customHeight="1">
      <c r="A172" s="12" t="inlineStr">
        <is>
          <t>R83-v1</t>
        </is>
      </c>
      <c r="B172" s="12" t="inlineStr">
        <is>
          <t>Contractor Programme</t>
        </is>
      </c>
      <c r="C172" s="12" t="inlineStr">
        <is>
          <t>SCH-01-083</t>
        </is>
      </c>
      <c r="D172" s="12" t="inlineStr">
        <is>
          <t>1.1.1 Guideway and Civil - Guideway Structures</t>
        </is>
      </c>
      <c r="E172" s="12" t="inlineStr">
        <is>
          <t>New</t>
        </is>
      </c>
      <c r="F172" s="12" t="inlineStr"/>
      <c r="G172" s="12" t="inlineStr">
        <is>
          <t>Source assignment -- not individually reviewed</t>
        </is>
      </c>
      <c r="H172" s="17" t="inlineStr">
        <is>
          <t>10 EVIDENCE &amp; DECISIONS</t>
        </is>
      </c>
    </row>
    <row r="173" ht="34" customHeight="1">
      <c r="A173" s="12" t="inlineStr">
        <is>
          <t>R85-v1</t>
        </is>
      </c>
      <c r="B173" s="12" t="inlineStr">
        <is>
          <t>Contractor Programme</t>
        </is>
      </c>
      <c r="C173" s="12" t="inlineStr">
        <is>
          <t>SCH-01-085</t>
        </is>
      </c>
      <c r="D173" s="12" t="inlineStr">
        <is>
          <t>1.1.1 Guideway and Civil - Guideway Structures</t>
        </is>
      </c>
      <c r="E173" s="12" t="inlineStr">
        <is>
          <t>New</t>
        </is>
      </c>
      <c r="F173" s="12" t="inlineStr"/>
      <c r="G173" s="12" t="inlineStr">
        <is>
          <t>Source assignment -- not individually reviewed</t>
        </is>
      </c>
      <c r="H173" s="17" t="inlineStr">
        <is>
          <t>10 EVIDENCE &amp; DECISIONS</t>
        </is>
      </c>
    </row>
    <row r="174" ht="34" customHeight="1">
      <c r="A174" s="12" t="inlineStr">
        <is>
          <t>R86-v1</t>
        </is>
      </c>
      <c r="B174" s="12" t="inlineStr">
        <is>
          <t>Contractor Programme</t>
        </is>
      </c>
      <c r="C174" s="12" t="inlineStr">
        <is>
          <t>SCH-01-086</t>
        </is>
      </c>
      <c r="D174" s="12" t="inlineStr">
        <is>
          <t>1.1.1 Guideway and Civil - Guideway Structures</t>
        </is>
      </c>
      <c r="E174" s="12" t="inlineStr">
        <is>
          <t>New</t>
        </is>
      </c>
      <c r="F174" s="12" t="inlineStr"/>
      <c r="G174" s="12" t="inlineStr">
        <is>
          <t>Source assignment -- not individually reviewed</t>
        </is>
      </c>
      <c r="H174" s="17" t="inlineStr">
        <is>
          <t>10 EVIDENCE &amp; DECISIONS</t>
        </is>
      </c>
    </row>
    <row r="175" ht="34" customHeight="1">
      <c r="A175" s="12" t="inlineStr">
        <is>
          <t>R88-v1</t>
        </is>
      </c>
      <c r="B175" s="12" t="inlineStr">
        <is>
          <t>Contractor Programme</t>
        </is>
      </c>
      <c r="C175" s="12" t="inlineStr">
        <is>
          <t>SCH-01-088</t>
        </is>
      </c>
      <c r="D175" s="12" t="inlineStr">
        <is>
          <t>1.1.1 Guideway and Civil - Guideway Structures</t>
        </is>
      </c>
      <c r="E175" s="12" t="inlineStr">
        <is>
          <t>New</t>
        </is>
      </c>
      <c r="F175" s="12" t="inlineStr"/>
      <c r="G175" s="12" t="inlineStr">
        <is>
          <t>Source assignment -- not individually reviewed</t>
        </is>
      </c>
      <c r="H175" s="17" t="inlineStr">
        <is>
          <t>10 EVIDENCE &amp; DECISIONS</t>
        </is>
      </c>
    </row>
    <row r="176" ht="34" customHeight="1">
      <c r="A176" s="12" t="inlineStr">
        <is>
          <t>R89-v1</t>
        </is>
      </c>
      <c r="B176" s="12" t="inlineStr">
        <is>
          <t>Contractor Programme</t>
        </is>
      </c>
      <c r="C176" s="12" t="inlineStr">
        <is>
          <t>SCH-01-089</t>
        </is>
      </c>
      <c r="D176" s="12" t="inlineStr">
        <is>
          <t>1.1.1 Guideway and Civil - Guideway Structures</t>
        </is>
      </c>
      <c r="E176" s="12" t="inlineStr">
        <is>
          <t>New</t>
        </is>
      </c>
      <c r="F176" s="12" t="inlineStr"/>
      <c r="G176" s="12" t="inlineStr">
        <is>
          <t>Source assignment -- not individually reviewed</t>
        </is>
      </c>
      <c r="H176" s="17" t="inlineStr">
        <is>
          <t>10 EVIDENCE &amp; DECISIONS</t>
        </is>
      </c>
    </row>
    <row r="177" ht="34" customHeight="1">
      <c r="A177" s="12" t="inlineStr">
        <is>
          <t>R91-v1</t>
        </is>
      </c>
      <c r="B177" s="12" t="inlineStr">
        <is>
          <t>Contractor Programme</t>
        </is>
      </c>
      <c r="C177" s="12" t="inlineStr">
        <is>
          <t>SCH-01-091</t>
        </is>
      </c>
      <c r="D177" s="12" t="inlineStr">
        <is>
          <t>1.1.1 Guideway and Civil - Guideway Structures</t>
        </is>
      </c>
      <c r="E177" s="12" t="inlineStr">
        <is>
          <t>New</t>
        </is>
      </c>
      <c r="F177" s="12" t="inlineStr"/>
      <c r="G177" s="12" t="inlineStr">
        <is>
          <t>Source assignment -- not individually reviewed</t>
        </is>
      </c>
      <c r="H177" s="17" t="inlineStr">
        <is>
          <t>10 EVIDENCE &amp; DECISIONS</t>
        </is>
      </c>
    </row>
    <row r="178" ht="34" customHeight="1">
      <c r="A178" s="12" t="inlineStr">
        <is>
          <t>R92-v1</t>
        </is>
      </c>
      <c r="B178" s="12" t="inlineStr">
        <is>
          <t>Contractor Programme</t>
        </is>
      </c>
      <c r="C178" s="12" t="inlineStr">
        <is>
          <t>SCH-01-092</t>
        </is>
      </c>
      <c r="D178" s="12" t="inlineStr">
        <is>
          <t>1.1.1 Guideway and Civil - Guideway Structures</t>
        </is>
      </c>
      <c r="E178" s="12" t="inlineStr">
        <is>
          <t>New</t>
        </is>
      </c>
      <c r="F178" s="12" t="inlineStr"/>
      <c r="G178" s="12" t="inlineStr">
        <is>
          <t>Source assignment -- not individually reviewed</t>
        </is>
      </c>
      <c r="H178" s="17" t="inlineStr">
        <is>
          <t>10 EVIDENCE &amp; DECISIONS</t>
        </is>
      </c>
    </row>
    <row r="179" ht="34" customHeight="1">
      <c r="A179" s="12" t="inlineStr">
        <is>
          <t>R94-v1</t>
        </is>
      </c>
      <c r="B179" s="12" t="inlineStr">
        <is>
          <t>Contractor Programme</t>
        </is>
      </c>
      <c r="C179" s="12" t="inlineStr">
        <is>
          <t>SCH-01-094</t>
        </is>
      </c>
      <c r="D179" s="12" t="inlineStr">
        <is>
          <t>1.1.1 Guideway and Civil - Guideway Structures</t>
        </is>
      </c>
      <c r="E179" s="12" t="inlineStr">
        <is>
          <t>New</t>
        </is>
      </c>
      <c r="F179" s="12" t="inlineStr"/>
      <c r="G179" s="12" t="inlineStr">
        <is>
          <t>Source assignment -- not individually reviewed</t>
        </is>
      </c>
      <c r="H179" s="17" t="inlineStr">
        <is>
          <t>10 EVIDENCE &amp; DECISIONS</t>
        </is>
      </c>
    </row>
    <row r="180" ht="34" customHeight="1">
      <c r="A180" s="12" t="inlineStr">
        <is>
          <t>R95-v1</t>
        </is>
      </c>
      <c r="B180" s="12" t="inlineStr">
        <is>
          <t>Contractor Programme</t>
        </is>
      </c>
      <c r="C180" s="12" t="inlineStr">
        <is>
          <t>SCH-01-095</t>
        </is>
      </c>
      <c r="D180" s="12" t="inlineStr">
        <is>
          <t>1.1.1 Guideway and Civil - Guideway Structures</t>
        </is>
      </c>
      <c r="E180" s="12" t="inlineStr">
        <is>
          <t>New</t>
        </is>
      </c>
      <c r="F180" s="12" t="inlineStr"/>
      <c r="G180" s="12" t="inlineStr">
        <is>
          <t>Source assignment -- not individually reviewed</t>
        </is>
      </c>
      <c r="H180" s="17" t="inlineStr">
        <is>
          <t>10 EVIDENCE &amp; DECISIONS</t>
        </is>
      </c>
    </row>
    <row r="181" ht="34" customHeight="1">
      <c r="A181" s="12" t="inlineStr">
        <is>
          <t>R97-v1</t>
        </is>
      </c>
      <c r="B181" s="12" t="inlineStr">
        <is>
          <t>Contractor Programme</t>
        </is>
      </c>
      <c r="C181" s="12" t="inlineStr">
        <is>
          <t>SCH-01-097</t>
        </is>
      </c>
      <c r="D181" s="12" t="inlineStr">
        <is>
          <t>1.1.1 Guideway and Civil - Guideway Structures</t>
        </is>
      </c>
      <c r="E181" s="12" t="inlineStr">
        <is>
          <t>New</t>
        </is>
      </c>
      <c r="F181" s="12" t="inlineStr"/>
      <c r="G181" s="12" t="inlineStr">
        <is>
          <t>Source assignment -- not individually reviewed</t>
        </is>
      </c>
      <c r="H181" s="17" t="inlineStr">
        <is>
          <t>10 EVIDENCE &amp; DECISIONS</t>
        </is>
      </c>
    </row>
    <row r="182" ht="34" customHeight="1">
      <c r="A182" s="12" t="inlineStr">
        <is>
          <t>R98-v1</t>
        </is>
      </c>
      <c r="B182" s="12" t="inlineStr">
        <is>
          <t>Contractor Programme</t>
        </is>
      </c>
      <c r="C182" s="12" t="inlineStr">
        <is>
          <t>SCH-01-098</t>
        </is>
      </c>
      <c r="D182" s="12" t="inlineStr">
        <is>
          <t>1.1.1 Guideway and Civil - Guideway Structures</t>
        </is>
      </c>
      <c r="E182" s="12" t="inlineStr">
        <is>
          <t>New</t>
        </is>
      </c>
      <c r="F182" s="12" t="inlineStr"/>
      <c r="G182" s="12" t="inlineStr">
        <is>
          <t>Source assignment -- not individually reviewed</t>
        </is>
      </c>
      <c r="H182" s="17" t="inlineStr">
        <is>
          <t>10 EVIDENCE &amp; DECISIONS</t>
        </is>
      </c>
    </row>
    <row r="183" ht="34" customHeight="1">
      <c r="A183" s="12" t="inlineStr">
        <is>
          <t>R102-v1</t>
        </is>
      </c>
      <c r="B183" s="12" t="inlineStr">
        <is>
          <t>Contractor Programme</t>
        </is>
      </c>
      <c r="C183" s="12" t="inlineStr">
        <is>
          <t>SCH-01-102</t>
        </is>
      </c>
      <c r="D183" s="12" t="inlineStr">
        <is>
          <t>1.1.2 Guideway and Civil - Utility &amp; Roadworks</t>
        </is>
      </c>
      <c r="E183" s="12" t="inlineStr">
        <is>
          <t>New</t>
        </is>
      </c>
      <c r="F183" s="12" t="inlineStr"/>
      <c r="G183" s="12" t="inlineStr">
        <is>
          <t>Source assignment -- not individually reviewed</t>
        </is>
      </c>
      <c r="H183" s="17" t="inlineStr">
        <is>
          <t>10 EVIDENCE &amp; DECISIONS</t>
        </is>
      </c>
    </row>
    <row r="184" ht="34" customHeight="1">
      <c r="A184" s="12" t="inlineStr">
        <is>
          <t>R105-v1</t>
        </is>
      </c>
      <c r="B184" s="12" t="inlineStr">
        <is>
          <t>Contractor Programme</t>
        </is>
      </c>
      <c r="C184" s="12" t="inlineStr">
        <is>
          <t>SCH-01-105</t>
        </is>
      </c>
      <c r="D184" s="12" t="inlineStr">
        <is>
          <t>1.1.2 Guideway and Civil - Utility &amp; Roadworks</t>
        </is>
      </c>
      <c r="E184" s="12" t="inlineStr">
        <is>
          <t>New</t>
        </is>
      </c>
      <c r="F184" s="12" t="inlineStr"/>
      <c r="G184" s="12" t="inlineStr">
        <is>
          <t>Source assignment -- not individually reviewed</t>
        </is>
      </c>
      <c r="H184" s="17" t="inlineStr">
        <is>
          <t>10 EVIDENCE &amp; DECISIONS</t>
        </is>
      </c>
    </row>
    <row r="185" ht="34" customHeight="1">
      <c r="A185" s="12" t="inlineStr">
        <is>
          <t>R108-v1</t>
        </is>
      </c>
      <c r="B185" s="12" t="inlineStr">
        <is>
          <t>Contractor Programme</t>
        </is>
      </c>
      <c r="C185" s="12" t="inlineStr">
        <is>
          <t>SCH-01-108</t>
        </is>
      </c>
      <c r="D185" s="12" t="inlineStr">
        <is>
          <t>1.1.2 Guideway and Civil - Utility &amp; Roadworks</t>
        </is>
      </c>
      <c r="E185" s="12" t="inlineStr">
        <is>
          <t>New</t>
        </is>
      </c>
      <c r="F185" s="12" t="inlineStr"/>
      <c r="G185" s="12" t="inlineStr">
        <is>
          <t>Source assignment -- not individually reviewed</t>
        </is>
      </c>
      <c r="H185" s="17" t="inlineStr">
        <is>
          <t>10 EVIDENCE &amp; DECISIONS</t>
        </is>
      </c>
    </row>
    <row r="186" ht="34" customHeight="1">
      <c r="A186" s="12" t="inlineStr">
        <is>
          <t>R1084-v1</t>
        </is>
      </c>
      <c r="B186" s="12" t="inlineStr">
        <is>
          <t>Cost &amp; Forecast Control Accounts</t>
        </is>
      </c>
      <c r="C186" s="12" t="inlineStr">
        <is>
          <t>CST-01-002</t>
        </is>
      </c>
      <c r="D186" s="12" t="inlineStr">
        <is>
          <t>1.1.2 Guideway and Civil - Utility &amp; Roadworks</t>
        </is>
      </c>
      <c r="E186" s="12" t="inlineStr">
        <is>
          <t>New</t>
        </is>
      </c>
      <c r="F186" s="12" t="inlineStr"/>
      <c r="G186" s="12" t="inlineStr">
        <is>
          <t>Source assignment -- not individually reviewed</t>
        </is>
      </c>
      <c r="H186" s="17" t="inlineStr">
        <is>
          <t>10 EVIDENCE &amp; DECISIONS</t>
        </is>
      </c>
    </row>
    <row r="187" ht="34" customHeight="1">
      <c r="A187" s="12" t="inlineStr">
        <is>
          <t>R1086-v1</t>
        </is>
      </c>
      <c r="B187" s="12" t="inlineStr">
        <is>
          <t>Cost &amp; Forecast Control Accounts</t>
        </is>
      </c>
      <c r="C187" s="12" t="inlineStr">
        <is>
          <t>CST-01-004</t>
        </is>
      </c>
      <c r="D187" s="12" t="inlineStr">
        <is>
          <t>1.1.2 Guideway and Civil - Utility &amp; Roadworks</t>
        </is>
      </c>
      <c r="E187" s="12" t="inlineStr">
        <is>
          <t>New</t>
        </is>
      </c>
      <c r="F187" s="12" t="inlineStr"/>
      <c r="G187" s="12" t="inlineStr">
        <is>
          <t>Source assignment -- not individually reviewed</t>
        </is>
      </c>
      <c r="H187" s="17" t="inlineStr">
        <is>
          <t>10 EVIDENCE &amp; DECISIONS</t>
        </is>
      </c>
    </row>
    <row r="188" ht="34" customHeight="1">
      <c r="A188" s="12" t="inlineStr">
        <is>
          <t>R1088-v1</t>
        </is>
      </c>
      <c r="B188" s="12" t="inlineStr">
        <is>
          <t>Cost &amp; Forecast Control Accounts</t>
        </is>
      </c>
      <c r="C188" s="12" t="inlineStr">
        <is>
          <t>CST-01-006</t>
        </is>
      </c>
      <c r="D188" s="12" t="inlineStr">
        <is>
          <t>1.1.2 Guideway and Civil - Utility &amp; Roadworks</t>
        </is>
      </c>
      <c r="E188" s="12" t="inlineStr">
        <is>
          <t>New</t>
        </is>
      </c>
      <c r="F188" s="12" t="inlineStr"/>
      <c r="G188" s="12" t="inlineStr">
        <is>
          <t>Source assignment -- not individually reviewed</t>
        </is>
      </c>
      <c r="H188" s="17" t="inlineStr">
        <is>
          <t>10 EVIDENCE &amp; DECISIONS</t>
        </is>
      </c>
    </row>
    <row r="189" ht="34" customHeight="1">
      <c r="A189" s="12" t="inlineStr">
        <is>
          <t>R1090-v1</t>
        </is>
      </c>
      <c r="B189" s="12" t="inlineStr">
        <is>
          <t>Cost &amp; Forecast Control Accounts</t>
        </is>
      </c>
      <c r="C189" s="12" t="inlineStr">
        <is>
          <t>CST-01-008</t>
        </is>
      </c>
      <c r="D189" s="12" t="inlineStr">
        <is>
          <t>1.1.2 Guideway and Civil - Utility &amp; Roadworks</t>
        </is>
      </c>
      <c r="E189" s="12" t="inlineStr">
        <is>
          <t>New</t>
        </is>
      </c>
      <c r="F189" s="12" t="inlineStr"/>
      <c r="G189" s="12" t="inlineStr">
        <is>
          <t>Source assignment -- not individually reviewed</t>
        </is>
      </c>
      <c r="H189" s="17" t="inlineStr">
        <is>
          <t>10 EVIDENCE &amp; DECISIONS</t>
        </is>
      </c>
    </row>
    <row r="190" ht="34" customHeight="1">
      <c r="A190" s="12" t="inlineStr">
        <is>
          <t>R1092-v1</t>
        </is>
      </c>
      <c r="B190" s="12" t="inlineStr">
        <is>
          <t>Cost &amp; Forecast Control Accounts</t>
        </is>
      </c>
      <c r="C190" s="12" t="inlineStr">
        <is>
          <t>CST-01-010</t>
        </is>
      </c>
      <c r="D190" s="12" t="inlineStr">
        <is>
          <t>1.1.2 Guideway and Civil - Utility &amp; Roadworks</t>
        </is>
      </c>
      <c r="E190" s="12" t="inlineStr">
        <is>
          <t>New</t>
        </is>
      </c>
      <c r="F190" s="12" t="inlineStr"/>
      <c r="G190" s="12" t="inlineStr">
        <is>
          <t>Source assignment -- not individually reviewed</t>
        </is>
      </c>
      <c r="H190" s="17" t="inlineStr">
        <is>
          <t>10 EVIDENCE &amp; DECISIONS</t>
        </is>
      </c>
    </row>
    <row r="191" ht="34" customHeight="1">
      <c r="A191" s="12" t="inlineStr">
        <is>
          <t>R1094-v1</t>
        </is>
      </c>
      <c r="B191" s="12" t="inlineStr">
        <is>
          <t>Cost &amp; Forecast Control Accounts</t>
        </is>
      </c>
      <c r="C191" s="12" t="inlineStr">
        <is>
          <t>CST-01-012</t>
        </is>
      </c>
      <c r="D191" s="12" t="inlineStr">
        <is>
          <t>1.1.2 Guideway and Civil - Utility &amp; Roadworks</t>
        </is>
      </c>
      <c r="E191" s="12" t="inlineStr">
        <is>
          <t>New</t>
        </is>
      </c>
      <c r="F191" s="12" t="inlineStr"/>
      <c r="G191" s="12" t="inlineStr">
        <is>
          <t>Source assignment -- not individually reviewed</t>
        </is>
      </c>
      <c r="H191" s="17" t="inlineStr">
        <is>
          <t>10 EVIDENCE &amp; DECISIONS</t>
        </is>
      </c>
    </row>
    <row r="192" ht="34" customHeight="1">
      <c r="A192" s="12" t="inlineStr">
        <is>
          <t>R1096-v1</t>
        </is>
      </c>
      <c r="B192" s="12" t="inlineStr">
        <is>
          <t>Cost &amp; Forecast Control Accounts</t>
        </is>
      </c>
      <c r="C192" s="12" t="inlineStr">
        <is>
          <t>CST-01-014</t>
        </is>
      </c>
      <c r="D192" s="12" t="inlineStr">
        <is>
          <t>1.1.2 Guideway and Civil - Utility &amp; Roadworks</t>
        </is>
      </c>
      <c r="E192" s="12" t="inlineStr">
        <is>
          <t>New</t>
        </is>
      </c>
      <c r="F192" s="12" t="inlineStr"/>
      <c r="G192" s="12" t="inlineStr">
        <is>
          <t>Source assignment -- not individually reviewed</t>
        </is>
      </c>
      <c r="H192" s="17" t="inlineStr">
        <is>
          <t>10 EVIDENCE &amp; DECISIONS</t>
        </is>
      </c>
    </row>
    <row r="193" ht="34" customHeight="1">
      <c r="A193" s="12" t="inlineStr">
        <is>
          <t>R1098-v1</t>
        </is>
      </c>
      <c r="B193" s="12" t="inlineStr">
        <is>
          <t>Cost &amp; Forecast Control Accounts</t>
        </is>
      </c>
      <c r="C193" s="12" t="inlineStr">
        <is>
          <t>CST-01-016</t>
        </is>
      </c>
      <c r="D193" s="12" t="inlineStr">
        <is>
          <t>1.1.2 Guideway and Civil - Utility &amp; Roadworks</t>
        </is>
      </c>
      <c r="E193" s="12" t="inlineStr">
        <is>
          <t>New</t>
        </is>
      </c>
      <c r="F193" s="12" t="inlineStr"/>
      <c r="G193" s="12" t="inlineStr">
        <is>
          <t>Source assignment -- not individually reviewed</t>
        </is>
      </c>
      <c r="H193" s="17" t="inlineStr">
        <is>
          <t>10 EVIDENCE &amp; DECISIONS</t>
        </is>
      </c>
    </row>
    <row r="194" ht="34" customHeight="1">
      <c r="A194" s="12" t="inlineStr">
        <is>
          <t>R1100-v1</t>
        </is>
      </c>
      <c r="B194" s="12" t="inlineStr">
        <is>
          <t>Cost &amp; Forecast Control Accounts</t>
        </is>
      </c>
      <c r="C194" s="12" t="inlineStr">
        <is>
          <t>CST-01-018</t>
        </is>
      </c>
      <c r="D194" s="12" t="inlineStr">
        <is>
          <t>1.1.2 Guideway and Civil - Utility &amp; Roadworks</t>
        </is>
      </c>
      <c r="E194" s="12" t="inlineStr">
        <is>
          <t>New</t>
        </is>
      </c>
      <c r="F194" s="12" t="inlineStr"/>
      <c r="G194" s="12" t="inlineStr">
        <is>
          <t>Source assignment -- not individually reviewed</t>
        </is>
      </c>
      <c r="H194" s="17" t="inlineStr">
        <is>
          <t>10 EVIDENCE &amp; DECISIONS</t>
        </is>
      </c>
    </row>
    <row r="195" ht="34" customHeight="1">
      <c r="A195" s="12" t="inlineStr">
        <is>
          <t>R1102-v1</t>
        </is>
      </c>
      <c r="B195" s="12" t="inlineStr">
        <is>
          <t>Cost &amp; Forecast Control Accounts</t>
        </is>
      </c>
      <c r="C195" s="12" t="inlineStr">
        <is>
          <t>CST-01-020</t>
        </is>
      </c>
      <c r="D195" s="12" t="inlineStr">
        <is>
          <t>1.1.2 Guideway and Civil - Utility &amp; Roadworks</t>
        </is>
      </c>
      <c r="E195" s="12" t="inlineStr">
        <is>
          <t>New</t>
        </is>
      </c>
      <c r="F195" s="12" t="inlineStr"/>
      <c r="G195" s="12" t="inlineStr">
        <is>
          <t>Source assignment -- not individually reviewed</t>
        </is>
      </c>
      <c r="H195" s="17" t="inlineStr">
        <is>
          <t>10 EVIDENCE &amp; DECISIONS</t>
        </is>
      </c>
    </row>
    <row r="196" ht="34" customHeight="1">
      <c r="A196" s="12" t="inlineStr">
        <is>
          <t>R1104-v1</t>
        </is>
      </c>
      <c r="B196" s="12" t="inlineStr">
        <is>
          <t>Cost &amp; Forecast Control Accounts</t>
        </is>
      </c>
      <c r="C196" s="12" t="inlineStr">
        <is>
          <t>CST-01-022</t>
        </is>
      </c>
      <c r="D196" s="12" t="inlineStr">
        <is>
          <t>1.1.2 Guideway and Civil - Utility &amp; Roadworks</t>
        </is>
      </c>
      <c r="E196" s="12" t="inlineStr">
        <is>
          <t>New</t>
        </is>
      </c>
      <c r="F196" s="12" t="inlineStr"/>
      <c r="G196" s="12" t="inlineStr">
        <is>
          <t>Source assignment -- not individually reviewed</t>
        </is>
      </c>
      <c r="H196" s="17" t="inlineStr">
        <is>
          <t>10 EVIDENCE &amp; DECISIONS</t>
        </is>
      </c>
    </row>
    <row r="197" ht="34" customHeight="1">
      <c r="A197" s="12" t="inlineStr">
        <is>
          <t>R1106-v1</t>
        </is>
      </c>
      <c r="B197" s="12" t="inlineStr">
        <is>
          <t>Cost &amp; Forecast Control Accounts</t>
        </is>
      </c>
      <c r="C197" s="12" t="inlineStr">
        <is>
          <t>CST-01-024</t>
        </is>
      </c>
      <c r="D197" s="12" t="inlineStr">
        <is>
          <t>1.1.2 Guideway and Civil - Utility &amp; Roadworks</t>
        </is>
      </c>
      <c r="E197" s="12" t="inlineStr">
        <is>
          <t>New</t>
        </is>
      </c>
      <c r="F197" s="12" t="inlineStr"/>
      <c r="G197" s="12" t="inlineStr">
        <is>
          <t>Source assignment -- not individually reviewed</t>
        </is>
      </c>
      <c r="H197" s="17" t="inlineStr">
        <is>
          <t>10 EVIDENCE &amp; DECISIONS</t>
        </is>
      </c>
    </row>
    <row r="198" ht="34" customHeight="1">
      <c r="A198" s="12" t="inlineStr">
        <is>
          <t>R1108-v1</t>
        </is>
      </c>
      <c r="B198" s="12" t="inlineStr">
        <is>
          <t>Cost &amp; Forecast Control Accounts</t>
        </is>
      </c>
      <c r="C198" s="12" t="inlineStr">
        <is>
          <t>CST-01-026</t>
        </is>
      </c>
      <c r="D198" s="12" t="inlineStr">
        <is>
          <t>1.1.2 Guideway and Civil - Utility &amp; Roadworks</t>
        </is>
      </c>
      <c r="E198" s="12" t="inlineStr">
        <is>
          <t>New</t>
        </is>
      </c>
      <c r="F198" s="12" t="inlineStr"/>
      <c r="G198" s="12" t="inlineStr">
        <is>
          <t>Source assignment -- not individually reviewed</t>
        </is>
      </c>
      <c r="H198" s="17" t="inlineStr">
        <is>
          <t>10 EVIDENCE &amp; DECISIONS</t>
        </is>
      </c>
    </row>
    <row r="199" ht="34" customHeight="1">
      <c r="A199" s="12" t="inlineStr">
        <is>
          <t>R111-v1</t>
        </is>
      </c>
      <c r="B199" s="12" t="inlineStr">
        <is>
          <t>Contractor Programme</t>
        </is>
      </c>
      <c r="C199" s="12" t="inlineStr">
        <is>
          <t>SCH-01-111</t>
        </is>
      </c>
      <c r="D199" s="12" t="inlineStr">
        <is>
          <t>1.1.2 Guideway and Civil - Utility &amp; Roadworks</t>
        </is>
      </c>
      <c r="E199" s="12" t="inlineStr">
        <is>
          <t>New</t>
        </is>
      </c>
      <c r="F199" s="12" t="inlineStr"/>
      <c r="G199" s="12" t="inlineStr">
        <is>
          <t>Source assignment -- not individually reviewed</t>
        </is>
      </c>
      <c r="H199" s="17" t="inlineStr">
        <is>
          <t>10 EVIDENCE &amp; DECISIONS</t>
        </is>
      </c>
    </row>
    <row r="200" ht="34" customHeight="1">
      <c r="A200" s="12" t="inlineStr">
        <is>
          <t>R1110-v1</t>
        </is>
      </c>
      <c r="B200" s="12" t="inlineStr">
        <is>
          <t>Cost &amp; Forecast Control Accounts</t>
        </is>
      </c>
      <c r="C200" s="12" t="inlineStr">
        <is>
          <t>CST-01-028</t>
        </is>
      </c>
      <c r="D200" s="12" t="inlineStr">
        <is>
          <t>1.1.2 Guideway and Civil - Utility &amp; Roadworks</t>
        </is>
      </c>
      <c r="E200" s="12" t="inlineStr">
        <is>
          <t>New</t>
        </is>
      </c>
      <c r="F200" s="12" t="inlineStr"/>
      <c r="G200" s="12" t="inlineStr">
        <is>
          <t>Source assignment -- not individually reviewed</t>
        </is>
      </c>
      <c r="H200" s="17" t="inlineStr">
        <is>
          <t>10 EVIDENCE &amp; DECISIONS</t>
        </is>
      </c>
    </row>
    <row r="201" ht="34" customHeight="1">
      <c r="A201" s="12" t="inlineStr">
        <is>
          <t>R1112-v1</t>
        </is>
      </c>
      <c r="B201" s="12" t="inlineStr">
        <is>
          <t>Cost &amp; Forecast Control Accounts</t>
        </is>
      </c>
      <c r="C201" s="12" t="inlineStr">
        <is>
          <t>CST-01-030</t>
        </is>
      </c>
      <c r="D201" s="12" t="inlineStr">
        <is>
          <t>1.1.2 Guideway and Civil - Utility &amp; Roadworks</t>
        </is>
      </c>
      <c r="E201" s="12" t="inlineStr">
        <is>
          <t>New</t>
        </is>
      </c>
      <c r="F201" s="12" t="inlineStr"/>
      <c r="G201" s="12" t="inlineStr">
        <is>
          <t>Source assignment -- not individually reviewed</t>
        </is>
      </c>
      <c r="H201" s="17" t="inlineStr">
        <is>
          <t>10 EVIDENCE &amp; DECISIONS</t>
        </is>
      </c>
    </row>
    <row r="202" ht="34" customHeight="1">
      <c r="A202" s="12" t="inlineStr">
        <is>
          <t>R1114-v1</t>
        </is>
      </c>
      <c r="B202" s="12" t="inlineStr">
        <is>
          <t>Cost &amp; Forecast Control Accounts</t>
        </is>
      </c>
      <c r="C202" s="12" t="inlineStr">
        <is>
          <t>CST-01-032</t>
        </is>
      </c>
      <c r="D202" s="12" t="inlineStr">
        <is>
          <t>1.1.2 Guideway and Civil - Utility &amp; Roadworks</t>
        </is>
      </c>
      <c r="E202" s="12" t="inlineStr">
        <is>
          <t>New</t>
        </is>
      </c>
      <c r="F202" s="12" t="inlineStr"/>
      <c r="G202" s="12" t="inlineStr">
        <is>
          <t>Source assignment -- not individually reviewed</t>
        </is>
      </c>
      <c r="H202" s="17" t="inlineStr">
        <is>
          <t>10 EVIDENCE &amp; DECISIONS</t>
        </is>
      </c>
    </row>
    <row r="203" ht="34" customHeight="1">
      <c r="A203" s="12" t="inlineStr">
        <is>
          <t>R1116-v1</t>
        </is>
      </c>
      <c r="B203" s="12" t="inlineStr">
        <is>
          <t>Cost &amp; Forecast Control Accounts</t>
        </is>
      </c>
      <c r="C203" s="12" t="inlineStr">
        <is>
          <t>CST-01-034</t>
        </is>
      </c>
      <c r="D203" s="12" t="inlineStr">
        <is>
          <t>1.1.2 Guideway and Civil - Utility &amp; Roadworks</t>
        </is>
      </c>
      <c r="E203" s="12" t="inlineStr">
        <is>
          <t>New</t>
        </is>
      </c>
      <c r="F203" s="12" t="inlineStr"/>
      <c r="G203" s="12" t="inlineStr">
        <is>
          <t>Source assignment -- not individually reviewed</t>
        </is>
      </c>
      <c r="H203" s="17" t="inlineStr">
        <is>
          <t>10 EVIDENCE &amp; DECISIONS</t>
        </is>
      </c>
    </row>
    <row r="204" ht="34" customHeight="1">
      <c r="A204" s="12" t="inlineStr">
        <is>
          <t>R1118-v1</t>
        </is>
      </c>
      <c r="B204" s="12" t="inlineStr">
        <is>
          <t>Cost &amp; Forecast Control Accounts</t>
        </is>
      </c>
      <c r="C204" s="12" t="inlineStr">
        <is>
          <t>CST-01-036</t>
        </is>
      </c>
      <c r="D204" s="12" t="inlineStr">
        <is>
          <t>1.1.2 Guideway and Civil - Utility &amp; Roadworks</t>
        </is>
      </c>
      <c r="E204" s="12" t="inlineStr">
        <is>
          <t>New</t>
        </is>
      </c>
      <c r="F204" s="12" t="inlineStr"/>
      <c r="G204" s="12" t="inlineStr">
        <is>
          <t>Source assignment -- not individually reviewed</t>
        </is>
      </c>
      <c r="H204" s="17" t="inlineStr">
        <is>
          <t>10 EVIDENCE &amp; DECISIONS</t>
        </is>
      </c>
    </row>
    <row r="205" ht="34" customHeight="1">
      <c r="A205" s="12" t="inlineStr">
        <is>
          <t>R1120-v1</t>
        </is>
      </c>
      <c r="B205" s="12" t="inlineStr">
        <is>
          <t>Cost &amp; Forecast Control Accounts</t>
        </is>
      </c>
      <c r="C205" s="12" t="inlineStr">
        <is>
          <t>CST-01-038</t>
        </is>
      </c>
      <c r="D205" s="12" t="inlineStr">
        <is>
          <t>1.1.2 Guideway and Civil - Utility &amp; Roadworks</t>
        </is>
      </c>
      <c r="E205" s="12" t="inlineStr">
        <is>
          <t>New</t>
        </is>
      </c>
      <c r="F205" s="12" t="inlineStr"/>
      <c r="G205" s="12" t="inlineStr">
        <is>
          <t>Source assignment -- not individually reviewed</t>
        </is>
      </c>
      <c r="H205" s="17" t="inlineStr">
        <is>
          <t>10 EVIDENCE &amp; DECISIONS</t>
        </is>
      </c>
    </row>
    <row r="206" ht="34" customHeight="1">
      <c r="A206" s="12" t="inlineStr">
        <is>
          <t>R1122-v1</t>
        </is>
      </c>
      <c r="B206" s="12" t="inlineStr">
        <is>
          <t>Cost &amp; Forecast Control Accounts</t>
        </is>
      </c>
      <c r="C206" s="12" t="inlineStr">
        <is>
          <t>CST-01-040</t>
        </is>
      </c>
      <c r="D206" s="12" t="inlineStr">
        <is>
          <t>1.1.2 Guideway and Civil - Utility &amp; Roadworks</t>
        </is>
      </c>
      <c r="E206" s="12" t="inlineStr">
        <is>
          <t>New</t>
        </is>
      </c>
      <c r="F206" s="12" t="inlineStr"/>
      <c r="G206" s="12" t="inlineStr">
        <is>
          <t>Source assignment -- not individually reviewed</t>
        </is>
      </c>
      <c r="H206" s="17" t="inlineStr">
        <is>
          <t>10 EVIDENCE &amp; DECISIONS</t>
        </is>
      </c>
    </row>
    <row r="207" ht="34" customHeight="1">
      <c r="A207" s="12" t="inlineStr">
        <is>
          <t>R1124-v1</t>
        </is>
      </c>
      <c r="B207" s="12" t="inlineStr">
        <is>
          <t>Cost &amp; Forecast Control Accounts</t>
        </is>
      </c>
      <c r="C207" s="12" t="inlineStr">
        <is>
          <t>CST-01-042</t>
        </is>
      </c>
      <c r="D207" s="12" t="inlineStr">
        <is>
          <t>1.1.2 Guideway and Civil - Utility &amp; Roadworks</t>
        </is>
      </c>
      <c r="E207" s="12" t="inlineStr">
        <is>
          <t>New</t>
        </is>
      </c>
      <c r="F207" s="12" t="inlineStr"/>
      <c r="G207" s="12" t="inlineStr">
        <is>
          <t>Source assignment -- not individually reviewed</t>
        </is>
      </c>
      <c r="H207" s="17" t="inlineStr">
        <is>
          <t>10 EVIDENCE &amp; DECISIONS</t>
        </is>
      </c>
    </row>
    <row r="208" ht="34" customHeight="1">
      <c r="A208" s="12" t="inlineStr">
        <is>
          <t>R1126-v1</t>
        </is>
      </c>
      <c r="B208" s="12" t="inlineStr">
        <is>
          <t>Cost &amp; Forecast Control Accounts</t>
        </is>
      </c>
      <c r="C208" s="12" t="inlineStr">
        <is>
          <t>CST-01-044</t>
        </is>
      </c>
      <c r="D208" s="12" t="inlineStr">
        <is>
          <t>1.1.2 Guideway and Civil - Utility &amp; Roadworks</t>
        </is>
      </c>
      <c r="E208" s="12" t="inlineStr">
        <is>
          <t>New</t>
        </is>
      </c>
      <c r="F208" s="12" t="inlineStr"/>
      <c r="G208" s="12" t="inlineStr">
        <is>
          <t>Source assignment -- not individually reviewed</t>
        </is>
      </c>
      <c r="H208" s="17" t="inlineStr">
        <is>
          <t>10 EVIDENCE &amp; DECISIONS</t>
        </is>
      </c>
    </row>
    <row r="209" ht="34" customHeight="1">
      <c r="A209" s="12" t="inlineStr">
        <is>
          <t>R1128-v1</t>
        </is>
      </c>
      <c r="B209" s="12" t="inlineStr">
        <is>
          <t>Cost &amp; Forecast Control Accounts</t>
        </is>
      </c>
      <c r="C209" s="12" t="inlineStr">
        <is>
          <t>CST-01-046</t>
        </is>
      </c>
      <c r="D209" s="12" t="inlineStr">
        <is>
          <t>1.1.2 Guideway and Civil - Utility &amp; Roadworks</t>
        </is>
      </c>
      <c r="E209" s="12" t="inlineStr">
        <is>
          <t>New</t>
        </is>
      </c>
      <c r="F209" s="12" t="inlineStr"/>
      <c r="G209" s="12" t="inlineStr">
        <is>
          <t>Source assignment -- not individually reviewed</t>
        </is>
      </c>
      <c r="H209" s="17" t="inlineStr">
        <is>
          <t>10 EVIDENCE &amp; DECISIONS</t>
        </is>
      </c>
    </row>
    <row r="210" ht="34" customHeight="1">
      <c r="A210" s="12" t="inlineStr">
        <is>
          <t>R1130-v1</t>
        </is>
      </c>
      <c r="B210" s="12" t="inlineStr">
        <is>
          <t>Cost &amp; Forecast Control Accounts</t>
        </is>
      </c>
      <c r="C210" s="12" t="inlineStr">
        <is>
          <t>CST-01-048</t>
        </is>
      </c>
      <c r="D210" s="12" t="inlineStr">
        <is>
          <t>1.1.2 Guideway and Civil - Utility &amp; Roadworks</t>
        </is>
      </c>
      <c r="E210" s="12" t="inlineStr">
        <is>
          <t>New</t>
        </is>
      </c>
      <c r="F210" s="12" t="inlineStr"/>
      <c r="G210" s="12" t="inlineStr">
        <is>
          <t>Source assignment -- not individually reviewed</t>
        </is>
      </c>
      <c r="H210" s="17" t="inlineStr">
        <is>
          <t>10 EVIDENCE &amp; DECISIONS</t>
        </is>
      </c>
    </row>
    <row r="211" ht="34" customHeight="1">
      <c r="A211" s="12" t="inlineStr">
        <is>
          <t>R1132-v1</t>
        </is>
      </c>
      <c r="B211" s="12" t="inlineStr">
        <is>
          <t>Cost &amp; Forecast Control Accounts</t>
        </is>
      </c>
      <c r="C211" s="12" t="inlineStr">
        <is>
          <t>CST-01-050</t>
        </is>
      </c>
      <c r="D211" s="12" t="inlineStr">
        <is>
          <t>1.1.2 Guideway and Civil - Utility &amp; Roadworks</t>
        </is>
      </c>
      <c r="E211" s="12" t="inlineStr">
        <is>
          <t>New</t>
        </is>
      </c>
      <c r="F211" s="12" t="inlineStr"/>
      <c r="G211" s="12" t="inlineStr">
        <is>
          <t>Source assignment -- not individually reviewed</t>
        </is>
      </c>
      <c r="H211" s="17" t="inlineStr">
        <is>
          <t>10 EVIDENCE &amp; DECISIONS</t>
        </is>
      </c>
    </row>
    <row r="212" ht="34" customHeight="1">
      <c r="A212" s="12" t="inlineStr">
        <is>
          <t>R1134-v1</t>
        </is>
      </c>
      <c r="B212" s="12" t="inlineStr">
        <is>
          <t>Cost &amp; Forecast Control Accounts</t>
        </is>
      </c>
      <c r="C212" s="12" t="inlineStr">
        <is>
          <t>CST-01-052</t>
        </is>
      </c>
      <c r="D212" s="12" t="inlineStr">
        <is>
          <t>1.1.2 Guideway and Civil - Utility &amp; Roadworks</t>
        </is>
      </c>
      <c r="E212" s="12" t="inlineStr">
        <is>
          <t>New</t>
        </is>
      </c>
      <c r="F212" s="12" t="inlineStr"/>
      <c r="G212" s="12" t="inlineStr">
        <is>
          <t>Source assignment -- not individually reviewed</t>
        </is>
      </c>
      <c r="H212" s="17" t="inlineStr">
        <is>
          <t>10 EVIDENCE &amp; DECISIONS</t>
        </is>
      </c>
    </row>
    <row r="213" ht="34" customHeight="1">
      <c r="A213" s="12" t="inlineStr">
        <is>
          <t>R1136-v1</t>
        </is>
      </c>
      <c r="B213" s="12" t="inlineStr">
        <is>
          <t>Cost &amp; Forecast Control Accounts</t>
        </is>
      </c>
      <c r="C213" s="12" t="inlineStr">
        <is>
          <t>CST-01-054</t>
        </is>
      </c>
      <c r="D213" s="12" t="inlineStr">
        <is>
          <t>1.1.2 Guideway and Civil - Utility &amp; Roadworks</t>
        </is>
      </c>
      <c r="E213" s="12" t="inlineStr">
        <is>
          <t>New</t>
        </is>
      </c>
      <c r="F213" s="12" t="inlineStr"/>
      <c r="G213" s="12" t="inlineStr">
        <is>
          <t>Source assignment -- not individually reviewed</t>
        </is>
      </c>
      <c r="H213" s="17" t="inlineStr">
        <is>
          <t>10 EVIDENCE &amp; DECISIONS</t>
        </is>
      </c>
    </row>
    <row r="214" ht="34" customHeight="1">
      <c r="A214" s="12" t="inlineStr">
        <is>
          <t>R1138-v1</t>
        </is>
      </c>
      <c r="B214" s="12" t="inlineStr">
        <is>
          <t>Cost &amp; Forecast Control Accounts</t>
        </is>
      </c>
      <c r="C214" s="12" t="inlineStr">
        <is>
          <t>CST-01-056</t>
        </is>
      </c>
      <c r="D214" s="12" t="inlineStr">
        <is>
          <t>1.1.2 Guideway and Civil - Utility &amp; Roadworks</t>
        </is>
      </c>
      <c r="E214" s="12" t="inlineStr">
        <is>
          <t>New</t>
        </is>
      </c>
      <c r="F214" s="12" t="inlineStr"/>
      <c r="G214" s="12" t="inlineStr">
        <is>
          <t>Source assignment -- not individually reviewed</t>
        </is>
      </c>
      <c r="H214" s="17" t="inlineStr">
        <is>
          <t>10 EVIDENCE &amp; DECISIONS</t>
        </is>
      </c>
    </row>
    <row r="215" ht="34" customHeight="1">
      <c r="A215" s="12" t="inlineStr">
        <is>
          <t>R114-v1</t>
        </is>
      </c>
      <c r="B215" s="12" t="inlineStr">
        <is>
          <t>Contractor Programme</t>
        </is>
      </c>
      <c r="C215" s="12" t="inlineStr">
        <is>
          <t>SCH-01-114</t>
        </is>
      </c>
      <c r="D215" s="12" t="inlineStr">
        <is>
          <t>1.1.2 Guideway and Civil - Utility &amp; Roadworks</t>
        </is>
      </c>
      <c r="E215" s="12" t="inlineStr">
        <is>
          <t>New</t>
        </is>
      </c>
      <c r="F215" s="12" t="inlineStr"/>
      <c r="G215" s="12" t="inlineStr">
        <is>
          <t>Source assignment -- not individually reviewed</t>
        </is>
      </c>
      <c r="H215" s="17" t="inlineStr">
        <is>
          <t>10 EVIDENCE &amp; DECISIONS</t>
        </is>
      </c>
    </row>
    <row r="216" ht="34" customHeight="1">
      <c r="A216" s="12" t="inlineStr">
        <is>
          <t>R1140-v1</t>
        </is>
      </c>
      <c r="B216" s="12" t="inlineStr">
        <is>
          <t>Cost &amp; Forecast Control Accounts</t>
        </is>
      </c>
      <c r="C216" s="12" t="inlineStr">
        <is>
          <t>CST-01-058</t>
        </is>
      </c>
      <c r="D216" s="12" t="inlineStr">
        <is>
          <t>1.1.2 Guideway and Civil - Utility &amp; Roadworks</t>
        </is>
      </c>
      <c r="E216" s="12" t="inlineStr">
        <is>
          <t>New</t>
        </is>
      </c>
      <c r="F216" s="12" t="inlineStr"/>
      <c r="G216" s="12" t="inlineStr">
        <is>
          <t>Source assignment -- not individually reviewed</t>
        </is>
      </c>
      <c r="H216" s="17" t="inlineStr">
        <is>
          <t>10 EVIDENCE &amp; DECISIONS</t>
        </is>
      </c>
    </row>
    <row r="217" ht="34" customHeight="1">
      <c r="A217" s="12" t="inlineStr">
        <is>
          <t>R1142-v1</t>
        </is>
      </c>
      <c r="B217" s="12" t="inlineStr">
        <is>
          <t>Cost &amp; Forecast Control Accounts</t>
        </is>
      </c>
      <c r="C217" s="12" t="inlineStr">
        <is>
          <t>CST-01-060</t>
        </is>
      </c>
      <c r="D217" s="12" t="inlineStr">
        <is>
          <t>1.1.2 Guideway and Civil - Utility &amp; Roadworks</t>
        </is>
      </c>
      <c r="E217" s="12" t="inlineStr">
        <is>
          <t>New</t>
        </is>
      </c>
      <c r="F217" s="12" t="inlineStr"/>
      <c r="G217" s="12" t="inlineStr">
        <is>
          <t>Source assignment -- not individually reviewed</t>
        </is>
      </c>
      <c r="H217" s="17" t="inlineStr">
        <is>
          <t>10 EVIDENCE &amp; DECISIONS</t>
        </is>
      </c>
    </row>
    <row r="218" ht="34" customHeight="1">
      <c r="A218" s="12" t="inlineStr">
        <is>
          <t>R1144-v1</t>
        </is>
      </c>
      <c r="B218" s="12" t="inlineStr">
        <is>
          <t>Cost &amp; Forecast Control Accounts</t>
        </is>
      </c>
      <c r="C218" s="12" t="inlineStr">
        <is>
          <t>CST-01-062</t>
        </is>
      </c>
      <c r="D218" s="12" t="inlineStr">
        <is>
          <t>1.1.2 Guideway and Civil - Utility &amp; Roadworks</t>
        </is>
      </c>
      <c r="E218" s="12" t="inlineStr">
        <is>
          <t>New</t>
        </is>
      </c>
      <c r="F218" s="12" t="inlineStr"/>
      <c r="G218" s="12" t="inlineStr">
        <is>
          <t>Source assignment -- not individually reviewed</t>
        </is>
      </c>
      <c r="H218" s="17" t="inlineStr">
        <is>
          <t>10 EVIDENCE &amp; DECISIONS</t>
        </is>
      </c>
    </row>
    <row r="219" ht="34" customHeight="1">
      <c r="A219" s="12" t="inlineStr">
        <is>
          <t>R1146-v1</t>
        </is>
      </c>
      <c r="B219" s="12" t="inlineStr">
        <is>
          <t>Cost &amp; Forecast Control Accounts</t>
        </is>
      </c>
      <c r="C219" s="12" t="inlineStr">
        <is>
          <t>CST-01-064</t>
        </is>
      </c>
      <c r="D219" s="12" t="inlineStr">
        <is>
          <t>1.1.2 Guideway and Civil - Utility &amp; Roadworks</t>
        </is>
      </c>
      <c r="E219" s="12" t="inlineStr">
        <is>
          <t>New</t>
        </is>
      </c>
      <c r="F219" s="12" t="inlineStr"/>
      <c r="G219" s="12" t="inlineStr">
        <is>
          <t>Source assignment -- not individually reviewed</t>
        </is>
      </c>
      <c r="H219" s="17" t="inlineStr">
        <is>
          <t>10 EVIDENCE &amp; DECISIONS</t>
        </is>
      </c>
    </row>
    <row r="220" ht="34" customHeight="1">
      <c r="A220" s="12" t="inlineStr">
        <is>
          <t>R1148-v1</t>
        </is>
      </c>
      <c r="B220" s="12" t="inlineStr">
        <is>
          <t>Cost &amp; Forecast Control Accounts</t>
        </is>
      </c>
      <c r="C220" s="12" t="inlineStr">
        <is>
          <t>CST-01-066</t>
        </is>
      </c>
      <c r="D220" s="12" t="inlineStr">
        <is>
          <t>1.1.2 Guideway and Civil - Utility &amp; Roadworks</t>
        </is>
      </c>
      <c r="E220" s="12" t="inlineStr">
        <is>
          <t>New</t>
        </is>
      </c>
      <c r="F220" s="12" t="inlineStr"/>
      <c r="G220" s="12" t="inlineStr">
        <is>
          <t>Source assignment -- not individually reviewed</t>
        </is>
      </c>
      <c r="H220" s="17" t="inlineStr">
        <is>
          <t>10 EVIDENCE &amp; DECISIONS</t>
        </is>
      </c>
    </row>
    <row r="221" ht="34" customHeight="1">
      <c r="A221" s="12" t="inlineStr">
        <is>
          <t>R1150-v1</t>
        </is>
      </c>
      <c r="B221" s="12" t="inlineStr">
        <is>
          <t>Cost &amp; Forecast Control Accounts</t>
        </is>
      </c>
      <c r="C221" s="12" t="inlineStr">
        <is>
          <t>CST-01-068</t>
        </is>
      </c>
      <c r="D221" s="12" t="inlineStr">
        <is>
          <t>1.1.2 Guideway and Civil - Utility &amp; Roadworks</t>
        </is>
      </c>
      <c r="E221" s="12" t="inlineStr">
        <is>
          <t>New</t>
        </is>
      </c>
      <c r="F221" s="12" t="inlineStr"/>
      <c r="G221" s="12" t="inlineStr">
        <is>
          <t>Source assignment -- not individually reviewed</t>
        </is>
      </c>
      <c r="H221" s="17" t="inlineStr">
        <is>
          <t>10 EVIDENCE &amp; DECISIONS</t>
        </is>
      </c>
    </row>
    <row r="222" ht="34" customHeight="1">
      <c r="A222" s="12" t="inlineStr">
        <is>
          <t>R1152-v1</t>
        </is>
      </c>
      <c r="B222" s="12" t="inlineStr">
        <is>
          <t>Cost &amp; Forecast Control Accounts</t>
        </is>
      </c>
      <c r="C222" s="12" t="inlineStr">
        <is>
          <t>CST-01-070</t>
        </is>
      </c>
      <c r="D222" s="12" t="inlineStr">
        <is>
          <t>1.1.2 Guideway and Civil - Utility &amp; Roadworks</t>
        </is>
      </c>
      <c r="E222" s="12" t="inlineStr">
        <is>
          <t>New</t>
        </is>
      </c>
      <c r="F222" s="12" t="inlineStr"/>
      <c r="G222" s="12" t="inlineStr">
        <is>
          <t>Source assignment -- not individually reviewed</t>
        </is>
      </c>
      <c r="H222" s="17" t="inlineStr">
        <is>
          <t>10 EVIDENCE &amp; DECISIONS</t>
        </is>
      </c>
    </row>
    <row r="223" ht="34" customHeight="1">
      <c r="A223" s="12" t="inlineStr">
        <is>
          <t>R1154-v1</t>
        </is>
      </c>
      <c r="B223" s="12" t="inlineStr">
        <is>
          <t>Cost &amp; Forecast Control Accounts</t>
        </is>
      </c>
      <c r="C223" s="12" t="inlineStr">
        <is>
          <t>CST-01-072</t>
        </is>
      </c>
      <c r="D223" s="12" t="inlineStr">
        <is>
          <t>1.1.2 Guideway and Civil - Utility &amp; Roadworks</t>
        </is>
      </c>
      <c r="E223" s="12" t="inlineStr">
        <is>
          <t>New</t>
        </is>
      </c>
      <c r="F223" s="12" t="inlineStr"/>
      <c r="G223" s="12" t="inlineStr">
        <is>
          <t>Source assignment -- not individually reviewed</t>
        </is>
      </c>
      <c r="H223" s="17" t="inlineStr">
        <is>
          <t>10 EVIDENCE &amp; DECISIONS</t>
        </is>
      </c>
    </row>
    <row r="224" ht="34" customHeight="1">
      <c r="A224" s="12" t="inlineStr">
        <is>
          <t>R1156-v1</t>
        </is>
      </c>
      <c r="B224" s="12" t="inlineStr">
        <is>
          <t>Cost &amp; Forecast Control Accounts</t>
        </is>
      </c>
      <c r="C224" s="12" t="inlineStr">
        <is>
          <t>CST-01-074</t>
        </is>
      </c>
      <c r="D224" s="12" t="inlineStr">
        <is>
          <t>1.1.2 Guideway and Civil - Utility &amp; Roadworks</t>
        </is>
      </c>
      <c r="E224" s="12" t="inlineStr">
        <is>
          <t>New</t>
        </is>
      </c>
      <c r="F224" s="12" t="inlineStr"/>
      <c r="G224" s="12" t="inlineStr">
        <is>
          <t>Source assignment -- not individually reviewed</t>
        </is>
      </c>
      <c r="H224" s="17" t="inlineStr">
        <is>
          <t>10 EVIDENCE &amp; DECISIONS</t>
        </is>
      </c>
    </row>
    <row r="225" ht="34" customHeight="1">
      <c r="A225" s="12" t="inlineStr">
        <is>
          <t>R1158-v1</t>
        </is>
      </c>
      <c r="B225" s="12" t="inlineStr">
        <is>
          <t>Cost &amp; Forecast Control Accounts</t>
        </is>
      </c>
      <c r="C225" s="12" t="inlineStr">
        <is>
          <t>CST-01-076</t>
        </is>
      </c>
      <c r="D225" s="12" t="inlineStr">
        <is>
          <t>1.1.2 Guideway and Civil - Utility &amp; Roadworks</t>
        </is>
      </c>
      <c r="E225" s="12" t="inlineStr">
        <is>
          <t>New</t>
        </is>
      </c>
      <c r="F225" s="12" t="inlineStr"/>
      <c r="G225" s="12" t="inlineStr">
        <is>
          <t>Source assignment -- not individually reviewed</t>
        </is>
      </c>
      <c r="H225" s="17" t="inlineStr">
        <is>
          <t>10 EVIDENCE &amp; DECISIONS</t>
        </is>
      </c>
    </row>
    <row r="226" ht="34" customHeight="1">
      <c r="A226" s="12" t="inlineStr">
        <is>
          <t>R1160-v1</t>
        </is>
      </c>
      <c r="B226" s="12" t="inlineStr">
        <is>
          <t>Cost &amp; Forecast Control Accounts</t>
        </is>
      </c>
      <c r="C226" s="12" t="inlineStr">
        <is>
          <t>CST-01-078</t>
        </is>
      </c>
      <c r="D226" s="12" t="inlineStr">
        <is>
          <t>1.1.2 Guideway and Civil - Utility &amp; Roadworks</t>
        </is>
      </c>
      <c r="E226" s="12" t="inlineStr">
        <is>
          <t>New</t>
        </is>
      </c>
      <c r="F226" s="12" t="inlineStr"/>
      <c r="G226" s="12" t="inlineStr">
        <is>
          <t>Source assignment -- not individually reviewed</t>
        </is>
      </c>
      <c r="H226" s="17" t="inlineStr">
        <is>
          <t>10 EVIDENCE &amp; DECISIONS</t>
        </is>
      </c>
    </row>
    <row r="227" ht="34" customHeight="1">
      <c r="A227" s="12" t="inlineStr">
        <is>
          <t>R1162-v1</t>
        </is>
      </c>
      <c r="B227" s="12" t="inlineStr">
        <is>
          <t>Cost &amp; Forecast Control Accounts</t>
        </is>
      </c>
      <c r="C227" s="12" t="inlineStr">
        <is>
          <t>CST-01-080</t>
        </is>
      </c>
      <c r="D227" s="12" t="inlineStr">
        <is>
          <t>1.1.2 Guideway and Civil - Utility &amp; Roadworks</t>
        </is>
      </c>
      <c r="E227" s="12" t="inlineStr">
        <is>
          <t>New</t>
        </is>
      </c>
      <c r="F227" s="12" t="inlineStr"/>
      <c r="G227" s="12" t="inlineStr">
        <is>
          <t>Source assignment -- not individually reviewed</t>
        </is>
      </c>
      <c r="H227" s="17" t="inlineStr">
        <is>
          <t>10 EVIDENCE &amp; DECISIONS</t>
        </is>
      </c>
    </row>
    <row r="228" ht="34" customHeight="1">
      <c r="A228" s="12" t="inlineStr">
        <is>
          <t>R117-v1</t>
        </is>
      </c>
      <c r="B228" s="12" t="inlineStr">
        <is>
          <t>Contractor Programme</t>
        </is>
      </c>
      <c r="C228" s="12" t="inlineStr">
        <is>
          <t>SCH-01-117</t>
        </is>
      </c>
      <c r="D228" s="12" t="inlineStr">
        <is>
          <t>1.1.2 Guideway and Civil - Utility &amp; Roadworks</t>
        </is>
      </c>
      <c r="E228" s="12" t="inlineStr">
        <is>
          <t>New</t>
        </is>
      </c>
      <c r="F228" s="12" t="inlineStr"/>
      <c r="G228" s="12" t="inlineStr">
        <is>
          <t>Source assignment -- not individually reviewed</t>
        </is>
      </c>
      <c r="H228" s="17" t="inlineStr">
        <is>
          <t>10 EVIDENCE &amp; DECISIONS</t>
        </is>
      </c>
    </row>
    <row r="229" ht="34" customHeight="1">
      <c r="A229" s="12" t="inlineStr">
        <is>
          <t>R12-v1</t>
        </is>
      </c>
      <c r="B229" s="12" t="inlineStr">
        <is>
          <t>Contractor Programme</t>
        </is>
      </c>
      <c r="C229" s="12" t="inlineStr">
        <is>
          <t>SCH-01-012</t>
        </is>
      </c>
      <c r="D229" s="12" t="inlineStr">
        <is>
          <t>1.1.2 Guideway and Civil - Utility &amp; Roadworks</t>
        </is>
      </c>
      <c r="E229" s="12" t="inlineStr">
        <is>
          <t>New</t>
        </is>
      </c>
      <c r="F229" s="12" t="inlineStr"/>
      <c r="G229" s="12" t="inlineStr">
        <is>
          <t>Source assignment -- not individually reviewed</t>
        </is>
      </c>
      <c r="H229" s="17" t="inlineStr">
        <is>
          <t>10 EVIDENCE &amp; DECISIONS</t>
        </is>
      </c>
    </row>
    <row r="230" ht="34" customHeight="1">
      <c r="A230" s="12" t="inlineStr">
        <is>
          <t>R120-v1</t>
        </is>
      </c>
      <c r="B230" s="12" t="inlineStr">
        <is>
          <t>Contractor Programme</t>
        </is>
      </c>
      <c r="C230" s="12" t="inlineStr">
        <is>
          <t>SCH-01-120</t>
        </is>
      </c>
      <c r="D230" s="12" t="inlineStr">
        <is>
          <t>1.1.2 Guideway and Civil - Utility &amp; Roadworks</t>
        </is>
      </c>
      <c r="E230" s="12" t="inlineStr">
        <is>
          <t>New</t>
        </is>
      </c>
      <c r="F230" s="12" t="inlineStr"/>
      <c r="G230" s="12" t="inlineStr">
        <is>
          <t>Source assignment -- not individually reviewed</t>
        </is>
      </c>
      <c r="H230" s="17" t="inlineStr">
        <is>
          <t>10 EVIDENCE &amp; DECISIONS</t>
        </is>
      </c>
    </row>
    <row r="231" ht="34" customHeight="1">
      <c r="A231" s="12" t="inlineStr">
        <is>
          <t>R123-v1</t>
        </is>
      </c>
      <c r="B231" s="12" t="inlineStr">
        <is>
          <t>Contractor Programme</t>
        </is>
      </c>
      <c r="C231" s="12" t="inlineStr">
        <is>
          <t>SCH-01-123</t>
        </is>
      </c>
      <c r="D231" s="12" t="inlineStr">
        <is>
          <t>1.1.2 Guideway and Civil - Utility &amp; Roadworks</t>
        </is>
      </c>
      <c r="E231" s="12" t="inlineStr">
        <is>
          <t>New</t>
        </is>
      </c>
      <c r="F231" s="12" t="inlineStr"/>
      <c r="G231" s="12" t="inlineStr">
        <is>
          <t>Source assignment -- not individually reviewed</t>
        </is>
      </c>
      <c r="H231" s="17" t="inlineStr">
        <is>
          <t>10 EVIDENCE &amp; DECISIONS</t>
        </is>
      </c>
    </row>
    <row r="232" ht="34" customHeight="1">
      <c r="A232" s="12" t="inlineStr">
        <is>
          <t>R126-v1</t>
        </is>
      </c>
      <c r="B232" s="12" t="inlineStr">
        <is>
          <t>Contractor Programme</t>
        </is>
      </c>
      <c r="C232" s="12" t="inlineStr">
        <is>
          <t>SCH-01-126</t>
        </is>
      </c>
      <c r="D232" s="12" t="inlineStr">
        <is>
          <t>1.1.2 Guideway and Civil - Utility &amp; Roadworks</t>
        </is>
      </c>
      <c r="E232" s="12" t="inlineStr">
        <is>
          <t>New</t>
        </is>
      </c>
      <c r="F232" s="12" t="inlineStr"/>
      <c r="G232" s="12" t="inlineStr">
        <is>
          <t>Source assignment -- not individually reviewed</t>
        </is>
      </c>
      <c r="H232" s="17" t="inlineStr">
        <is>
          <t>10 EVIDENCE &amp; DECISIONS</t>
        </is>
      </c>
    </row>
    <row r="233" ht="34" customHeight="1">
      <c r="A233" s="12" t="inlineStr">
        <is>
          <t>R129-v1</t>
        </is>
      </c>
      <c r="B233" s="12" t="inlineStr">
        <is>
          <t>Contractor Programme</t>
        </is>
      </c>
      <c r="C233" s="12" t="inlineStr">
        <is>
          <t>SCH-01-129</t>
        </is>
      </c>
      <c r="D233" s="12" t="inlineStr">
        <is>
          <t>1.1.2 Guideway and Civil - Utility &amp; Roadworks</t>
        </is>
      </c>
      <c r="E233" s="12" t="inlineStr">
        <is>
          <t>New</t>
        </is>
      </c>
      <c r="F233" s="12" t="inlineStr"/>
      <c r="G233" s="12" t="inlineStr">
        <is>
          <t>Source assignment -- not individually reviewed</t>
        </is>
      </c>
      <c r="H233" s="17" t="inlineStr">
        <is>
          <t>10 EVIDENCE &amp; DECISIONS</t>
        </is>
      </c>
    </row>
    <row r="234" ht="34" customHeight="1">
      <c r="A234" s="12" t="inlineStr">
        <is>
          <t>R132-v1</t>
        </is>
      </c>
      <c r="B234" s="12" t="inlineStr">
        <is>
          <t>Contractor Programme</t>
        </is>
      </c>
      <c r="C234" s="12" t="inlineStr">
        <is>
          <t>SCH-01-132</t>
        </is>
      </c>
      <c r="D234" s="12" t="inlineStr">
        <is>
          <t>1.1.2 Guideway and Civil - Utility &amp; Roadworks</t>
        </is>
      </c>
      <c r="E234" s="12" t="inlineStr">
        <is>
          <t>New</t>
        </is>
      </c>
      <c r="F234" s="12" t="inlineStr"/>
      <c r="G234" s="12" t="inlineStr">
        <is>
          <t>Source assignment -- not individually reviewed</t>
        </is>
      </c>
      <c r="H234" s="17" t="inlineStr">
        <is>
          <t>10 EVIDENCE &amp; DECISIONS</t>
        </is>
      </c>
    </row>
    <row r="235" ht="34" customHeight="1">
      <c r="A235" s="12" t="inlineStr">
        <is>
          <t>R135-v1</t>
        </is>
      </c>
      <c r="B235" s="12" t="inlineStr">
        <is>
          <t>Contractor Programme</t>
        </is>
      </c>
      <c r="C235" s="12" t="inlineStr">
        <is>
          <t>SCH-01-135</t>
        </is>
      </c>
      <c r="D235" s="12" t="inlineStr">
        <is>
          <t>1.1.2 Guideway and Civil - Utility &amp; Roadworks</t>
        </is>
      </c>
      <c r="E235" s="12" t="inlineStr">
        <is>
          <t>New</t>
        </is>
      </c>
      <c r="F235" s="12" t="inlineStr"/>
      <c r="G235" s="12" t="inlineStr">
        <is>
          <t>Source assignment -- not individually reviewed</t>
        </is>
      </c>
      <c r="H235" s="17" t="inlineStr">
        <is>
          <t>10 EVIDENCE &amp; DECISIONS</t>
        </is>
      </c>
    </row>
    <row r="236" ht="34" customHeight="1">
      <c r="A236" s="12" t="inlineStr">
        <is>
          <t>R138-v1</t>
        </is>
      </c>
      <c r="B236" s="12" t="inlineStr">
        <is>
          <t>Contractor Programme</t>
        </is>
      </c>
      <c r="C236" s="12" t="inlineStr">
        <is>
          <t>SCH-01-138</t>
        </is>
      </c>
      <c r="D236" s="12" t="inlineStr">
        <is>
          <t>1.1.2 Guideway and Civil - Utility &amp; Roadworks</t>
        </is>
      </c>
      <c r="E236" s="12" t="inlineStr">
        <is>
          <t>New</t>
        </is>
      </c>
      <c r="F236" s="12" t="inlineStr"/>
      <c r="G236" s="12" t="inlineStr">
        <is>
          <t>Source assignment -- not individually reviewed</t>
        </is>
      </c>
      <c r="H236" s="17" t="inlineStr">
        <is>
          <t>10 EVIDENCE &amp; DECISIONS</t>
        </is>
      </c>
    </row>
    <row r="237" ht="34" customHeight="1">
      <c r="A237" s="12" t="inlineStr">
        <is>
          <t>R141-v1</t>
        </is>
      </c>
      <c r="B237" s="12" t="inlineStr">
        <is>
          <t>Contractor Programme</t>
        </is>
      </c>
      <c r="C237" s="12" t="inlineStr">
        <is>
          <t>SCH-01-141</t>
        </is>
      </c>
      <c r="D237" s="12" t="inlineStr">
        <is>
          <t>1.1.2 Guideway and Civil - Utility &amp; Roadworks</t>
        </is>
      </c>
      <c r="E237" s="12" t="inlineStr">
        <is>
          <t>New</t>
        </is>
      </c>
      <c r="F237" s="12" t="inlineStr"/>
      <c r="G237" s="12" t="inlineStr">
        <is>
          <t>Source assignment -- not individually reviewed</t>
        </is>
      </c>
      <c r="H237" s="17" t="inlineStr">
        <is>
          <t>10 EVIDENCE &amp; DECISIONS</t>
        </is>
      </c>
    </row>
    <row r="238" ht="34" customHeight="1">
      <c r="A238" s="12" t="inlineStr">
        <is>
          <t>R144-v1</t>
        </is>
      </c>
      <c r="B238" s="12" t="inlineStr">
        <is>
          <t>Contractor Programme</t>
        </is>
      </c>
      <c r="C238" s="12" t="inlineStr">
        <is>
          <t>SCH-01-144</t>
        </is>
      </c>
      <c r="D238" s="12" t="inlineStr">
        <is>
          <t>1.1.2 Guideway and Civil - Utility &amp; Roadworks</t>
        </is>
      </c>
      <c r="E238" s="12" t="inlineStr">
        <is>
          <t>New</t>
        </is>
      </c>
      <c r="F238" s="12" t="inlineStr"/>
      <c r="G238" s="12" t="inlineStr">
        <is>
          <t>Source assignment -- not individually reviewed</t>
        </is>
      </c>
      <c r="H238" s="17" t="inlineStr">
        <is>
          <t>10 EVIDENCE &amp; DECISIONS</t>
        </is>
      </c>
    </row>
    <row r="239" ht="34" customHeight="1">
      <c r="A239" s="12" t="inlineStr">
        <is>
          <t>R147-v1</t>
        </is>
      </c>
      <c r="B239" s="12" t="inlineStr">
        <is>
          <t>Contractor Programme</t>
        </is>
      </c>
      <c r="C239" s="12" t="inlineStr">
        <is>
          <t>SCH-01-147</t>
        </is>
      </c>
      <c r="D239" s="12" t="inlineStr">
        <is>
          <t>1.1.2 Guideway and Civil - Utility &amp; Roadworks</t>
        </is>
      </c>
      <c r="E239" s="12" t="inlineStr">
        <is>
          <t>New</t>
        </is>
      </c>
      <c r="F239" s="12" t="inlineStr"/>
      <c r="G239" s="12" t="inlineStr">
        <is>
          <t>Source assignment -- not individually reviewed</t>
        </is>
      </c>
      <c r="H239" s="17" t="inlineStr">
        <is>
          <t>10 EVIDENCE &amp; DECISIONS</t>
        </is>
      </c>
    </row>
    <row r="240" ht="34" customHeight="1">
      <c r="A240" s="12" t="inlineStr">
        <is>
          <t>R15-v1</t>
        </is>
      </c>
      <c r="B240" s="12" t="inlineStr">
        <is>
          <t>Contractor Programme</t>
        </is>
      </c>
      <c r="C240" s="12" t="inlineStr">
        <is>
          <t>SCH-01-015</t>
        </is>
      </c>
      <c r="D240" s="12" t="inlineStr">
        <is>
          <t>1.1.2 Guideway and Civil - Utility &amp; Roadworks</t>
        </is>
      </c>
      <c r="E240" s="12" t="inlineStr">
        <is>
          <t>New</t>
        </is>
      </c>
      <c r="F240" s="12" t="inlineStr"/>
      <c r="G240" s="12" t="inlineStr">
        <is>
          <t>Source assignment -- not individually reviewed</t>
        </is>
      </c>
      <c r="H240" s="17" t="inlineStr">
        <is>
          <t>10 EVIDENCE &amp; DECISIONS</t>
        </is>
      </c>
    </row>
    <row r="241" ht="34" customHeight="1">
      <c r="A241" s="12" t="inlineStr">
        <is>
          <t>R150-v1</t>
        </is>
      </c>
      <c r="B241" s="12" t="inlineStr">
        <is>
          <t>Contractor Programme</t>
        </is>
      </c>
      <c r="C241" s="12" t="inlineStr">
        <is>
          <t>SCH-01-150</t>
        </is>
      </c>
      <c r="D241" s="12" t="inlineStr">
        <is>
          <t>1.1.2 Guideway and Civil - Utility &amp; Roadworks</t>
        </is>
      </c>
      <c r="E241" s="12" t="inlineStr">
        <is>
          <t>New</t>
        </is>
      </c>
      <c r="F241" s="12" t="inlineStr"/>
      <c r="G241" s="12" t="inlineStr">
        <is>
          <t>Source assignment -- not individually reviewed</t>
        </is>
      </c>
      <c r="H241" s="17" t="inlineStr">
        <is>
          <t>10 EVIDENCE &amp; DECISIONS</t>
        </is>
      </c>
    </row>
    <row r="242" ht="34" customHeight="1">
      <c r="A242" s="12" t="inlineStr">
        <is>
          <t>R153-v1</t>
        </is>
      </c>
      <c r="B242" s="12" t="inlineStr">
        <is>
          <t>Contractor Programme</t>
        </is>
      </c>
      <c r="C242" s="12" t="inlineStr">
        <is>
          <t>SCH-01-153</t>
        </is>
      </c>
      <c r="D242" s="12" t="inlineStr">
        <is>
          <t>1.1.2 Guideway and Civil - Utility &amp; Roadworks</t>
        </is>
      </c>
      <c r="E242" s="12" t="inlineStr">
        <is>
          <t>New</t>
        </is>
      </c>
      <c r="F242" s="12" t="inlineStr"/>
      <c r="G242" s="12" t="inlineStr">
        <is>
          <t>Source assignment -- not individually reviewed</t>
        </is>
      </c>
      <c r="H242" s="17" t="inlineStr">
        <is>
          <t>10 EVIDENCE &amp; DECISIONS</t>
        </is>
      </c>
    </row>
    <row r="243" ht="34" customHeight="1">
      <c r="A243" s="12" t="inlineStr">
        <is>
          <t>R156-v1</t>
        </is>
      </c>
      <c r="B243" s="12" t="inlineStr">
        <is>
          <t>Contractor Programme</t>
        </is>
      </c>
      <c r="C243" s="12" t="inlineStr">
        <is>
          <t>SCH-01-156</t>
        </is>
      </c>
      <c r="D243" s="12" t="inlineStr">
        <is>
          <t>1.1.2 Guideway and Civil - Utility &amp; Roadworks</t>
        </is>
      </c>
      <c r="E243" s="12" t="inlineStr">
        <is>
          <t>New</t>
        </is>
      </c>
      <c r="F243" s="12" t="inlineStr"/>
      <c r="G243" s="12" t="inlineStr">
        <is>
          <t>Source assignment -- not individually reviewed</t>
        </is>
      </c>
      <c r="H243" s="17" t="inlineStr">
        <is>
          <t>10 EVIDENCE &amp; DECISIONS</t>
        </is>
      </c>
    </row>
    <row r="244" ht="34" customHeight="1">
      <c r="A244" s="12" t="inlineStr">
        <is>
          <t>R159-v1</t>
        </is>
      </c>
      <c r="B244" s="12" t="inlineStr">
        <is>
          <t>Contractor Programme</t>
        </is>
      </c>
      <c r="C244" s="12" t="inlineStr">
        <is>
          <t>SCH-01-159</t>
        </is>
      </c>
      <c r="D244" s="12" t="inlineStr">
        <is>
          <t>1.1.2 Guideway and Civil - Utility &amp; Roadworks</t>
        </is>
      </c>
      <c r="E244" s="12" t="inlineStr">
        <is>
          <t>New</t>
        </is>
      </c>
      <c r="F244" s="12" t="inlineStr"/>
      <c r="G244" s="12" t="inlineStr">
        <is>
          <t>Source assignment -- not individually reviewed</t>
        </is>
      </c>
      <c r="H244" s="17" t="inlineStr">
        <is>
          <t>10 EVIDENCE &amp; DECISIONS</t>
        </is>
      </c>
    </row>
    <row r="245" ht="34" customHeight="1">
      <c r="A245" s="12" t="inlineStr">
        <is>
          <t>R162-v1</t>
        </is>
      </c>
      <c r="B245" s="12" t="inlineStr">
        <is>
          <t>Contractor Programme</t>
        </is>
      </c>
      <c r="C245" s="12" t="inlineStr">
        <is>
          <t>SCH-01-162</t>
        </is>
      </c>
      <c r="D245" s="12" t="inlineStr">
        <is>
          <t>1.1.2 Guideway and Civil - Utility &amp; Roadworks</t>
        </is>
      </c>
      <c r="E245" s="12" t="inlineStr">
        <is>
          <t>New</t>
        </is>
      </c>
      <c r="F245" s="12" t="inlineStr"/>
      <c r="G245" s="12" t="inlineStr">
        <is>
          <t>Source assignment -- not individually reviewed</t>
        </is>
      </c>
      <c r="H245" s="17" t="inlineStr">
        <is>
          <t>10 EVIDENCE &amp; DECISIONS</t>
        </is>
      </c>
    </row>
    <row r="246" ht="34" customHeight="1">
      <c r="A246" s="12" t="inlineStr">
        <is>
          <t>R165-v1</t>
        </is>
      </c>
      <c r="B246" s="12" t="inlineStr">
        <is>
          <t>Contractor Programme</t>
        </is>
      </c>
      <c r="C246" s="12" t="inlineStr">
        <is>
          <t>SCH-01-165</t>
        </is>
      </c>
      <c r="D246" s="12" t="inlineStr">
        <is>
          <t>1.1.2 Guideway and Civil - Utility &amp; Roadworks</t>
        </is>
      </c>
      <c r="E246" s="12" t="inlineStr">
        <is>
          <t>New</t>
        </is>
      </c>
      <c r="F246" s="12" t="inlineStr"/>
      <c r="G246" s="12" t="inlineStr">
        <is>
          <t>Source assignment -- not individually reviewed</t>
        </is>
      </c>
      <c r="H246" s="17" t="inlineStr">
        <is>
          <t>10 EVIDENCE &amp; DECISIONS</t>
        </is>
      </c>
    </row>
    <row r="247" ht="34" customHeight="1">
      <c r="A247" s="12" t="inlineStr">
        <is>
          <t>R168-v1</t>
        </is>
      </c>
      <c r="B247" s="12" t="inlineStr">
        <is>
          <t>Contractor Programme</t>
        </is>
      </c>
      <c r="C247" s="12" t="inlineStr">
        <is>
          <t>SCH-01-168</t>
        </is>
      </c>
      <c r="D247" s="12" t="inlineStr">
        <is>
          <t>1.1.2 Guideway and Civil - Utility &amp; Roadworks</t>
        </is>
      </c>
      <c r="E247" s="12" t="inlineStr">
        <is>
          <t>New</t>
        </is>
      </c>
      <c r="F247" s="12" t="inlineStr"/>
      <c r="G247" s="12" t="inlineStr">
        <is>
          <t>Source assignment -- not individually reviewed</t>
        </is>
      </c>
      <c r="H247" s="17" t="inlineStr">
        <is>
          <t>10 EVIDENCE &amp; DECISIONS</t>
        </is>
      </c>
    </row>
    <row r="248" ht="34" customHeight="1">
      <c r="A248" s="12" t="inlineStr">
        <is>
          <t>R171-v1</t>
        </is>
      </c>
      <c r="B248" s="12" t="inlineStr">
        <is>
          <t>Contractor Programme</t>
        </is>
      </c>
      <c r="C248" s="12" t="inlineStr">
        <is>
          <t>SCH-01-171</t>
        </is>
      </c>
      <c r="D248" s="12" t="inlineStr">
        <is>
          <t>1.1.2 Guideway and Civil - Utility &amp; Roadworks</t>
        </is>
      </c>
      <c r="E248" s="12" t="inlineStr">
        <is>
          <t>New</t>
        </is>
      </c>
      <c r="F248" s="12" t="inlineStr"/>
      <c r="G248" s="12" t="inlineStr">
        <is>
          <t>Source assignment -- not individually reviewed</t>
        </is>
      </c>
      <c r="H248" s="17" t="inlineStr">
        <is>
          <t>10 EVIDENCE &amp; DECISIONS</t>
        </is>
      </c>
    </row>
    <row r="249" ht="34" customHeight="1">
      <c r="A249" s="12" t="inlineStr">
        <is>
          <t>R174-v1</t>
        </is>
      </c>
      <c r="B249" s="12" t="inlineStr">
        <is>
          <t>Contractor Programme</t>
        </is>
      </c>
      <c r="C249" s="12" t="inlineStr">
        <is>
          <t>SCH-01-174</t>
        </is>
      </c>
      <c r="D249" s="12" t="inlineStr">
        <is>
          <t>1.1.2 Guideway and Civil - Utility &amp; Roadworks</t>
        </is>
      </c>
      <c r="E249" s="12" t="inlineStr">
        <is>
          <t>New</t>
        </is>
      </c>
      <c r="F249" s="12" t="inlineStr"/>
      <c r="G249" s="12" t="inlineStr">
        <is>
          <t>Source assignment -- not individually reviewed</t>
        </is>
      </c>
      <c r="H249" s="17" t="inlineStr">
        <is>
          <t>10 EVIDENCE &amp; DECISIONS</t>
        </is>
      </c>
    </row>
    <row r="250" ht="34" customHeight="1">
      <c r="A250" s="12" t="inlineStr">
        <is>
          <t>R177-v1</t>
        </is>
      </c>
      <c r="B250" s="12" t="inlineStr">
        <is>
          <t>Contractor Programme</t>
        </is>
      </c>
      <c r="C250" s="12" t="inlineStr">
        <is>
          <t>SCH-01-177</t>
        </is>
      </c>
      <c r="D250" s="12" t="inlineStr">
        <is>
          <t>1.1.2 Guideway and Civil - Utility &amp; Roadworks</t>
        </is>
      </c>
      <c r="E250" s="12" t="inlineStr">
        <is>
          <t>New</t>
        </is>
      </c>
      <c r="F250" s="12" t="inlineStr"/>
      <c r="G250" s="12" t="inlineStr">
        <is>
          <t>Source assignment -- not individually reviewed</t>
        </is>
      </c>
      <c r="H250" s="17" t="inlineStr">
        <is>
          <t>10 EVIDENCE &amp; DECISIONS</t>
        </is>
      </c>
    </row>
    <row r="251" ht="34" customHeight="1">
      <c r="A251" s="12" t="inlineStr">
        <is>
          <t>R18-v1</t>
        </is>
      </c>
      <c r="B251" s="12" t="inlineStr">
        <is>
          <t>Contractor Programme</t>
        </is>
      </c>
      <c r="C251" s="12" t="inlineStr">
        <is>
          <t>SCH-01-018</t>
        </is>
      </c>
      <c r="D251" s="12" t="inlineStr">
        <is>
          <t>1.1.2 Guideway and Civil - Utility &amp; Roadworks</t>
        </is>
      </c>
      <c r="E251" s="12" t="inlineStr">
        <is>
          <t>New</t>
        </is>
      </c>
      <c r="F251" s="12" t="inlineStr"/>
      <c r="G251" s="12" t="inlineStr">
        <is>
          <t>Source assignment -- not individually reviewed</t>
        </is>
      </c>
      <c r="H251" s="17" t="inlineStr">
        <is>
          <t>10 EVIDENCE &amp; DECISIONS</t>
        </is>
      </c>
    </row>
    <row r="252" ht="34" customHeight="1">
      <c r="A252" s="12" t="inlineStr">
        <is>
          <t>R180-v1</t>
        </is>
      </c>
      <c r="B252" s="12" t="inlineStr">
        <is>
          <t>Contractor Programme</t>
        </is>
      </c>
      <c r="C252" s="12" t="inlineStr">
        <is>
          <t>SCH-01-180</t>
        </is>
      </c>
      <c r="D252" s="12" t="inlineStr">
        <is>
          <t>1.1.2 Guideway and Civil - Utility &amp; Roadworks</t>
        </is>
      </c>
      <c r="E252" s="12" t="inlineStr">
        <is>
          <t>New</t>
        </is>
      </c>
      <c r="F252" s="12" t="inlineStr"/>
      <c r="G252" s="12" t="inlineStr">
        <is>
          <t>Source assignment -- not individually reviewed</t>
        </is>
      </c>
      <c r="H252" s="17" t="inlineStr">
        <is>
          <t>10 EVIDENCE &amp; DECISIONS</t>
        </is>
      </c>
    </row>
    <row r="253" ht="34" customHeight="1">
      <c r="A253" s="12" t="inlineStr">
        <is>
          <t>R21-v1</t>
        </is>
      </c>
      <c r="B253" s="12" t="inlineStr">
        <is>
          <t>Contractor Programme</t>
        </is>
      </c>
      <c r="C253" s="12" t="inlineStr">
        <is>
          <t>SCH-01-021</t>
        </is>
      </c>
      <c r="D253" s="12" t="inlineStr">
        <is>
          <t>1.1.2 Guideway and Civil - Utility &amp; Roadworks</t>
        </is>
      </c>
      <c r="E253" s="12" t="inlineStr">
        <is>
          <t>New</t>
        </is>
      </c>
      <c r="F253" s="12" t="inlineStr"/>
      <c r="G253" s="12" t="inlineStr">
        <is>
          <t>Source assignment -- not individually reviewed</t>
        </is>
      </c>
      <c r="H253" s="17" t="inlineStr">
        <is>
          <t>10 EVIDENCE &amp; DECISIONS</t>
        </is>
      </c>
    </row>
    <row r="254" ht="34" customHeight="1">
      <c r="A254" s="12" t="inlineStr">
        <is>
          <t>R24-v1</t>
        </is>
      </c>
      <c r="B254" s="12" t="inlineStr">
        <is>
          <t>Contractor Programme</t>
        </is>
      </c>
      <c r="C254" s="12" t="inlineStr">
        <is>
          <t>SCH-01-024</t>
        </is>
      </c>
      <c r="D254" s="12" t="inlineStr">
        <is>
          <t>1.1.2 Guideway and Civil - Utility &amp; Roadworks</t>
        </is>
      </c>
      <c r="E254" s="12" t="inlineStr">
        <is>
          <t>New</t>
        </is>
      </c>
      <c r="F254" s="12" t="inlineStr"/>
      <c r="G254" s="12" t="inlineStr">
        <is>
          <t>Source assignment -- not individually reviewed</t>
        </is>
      </c>
      <c r="H254" s="17" t="inlineStr">
        <is>
          <t>10 EVIDENCE &amp; DECISIONS</t>
        </is>
      </c>
    </row>
    <row r="255" ht="34" customHeight="1">
      <c r="A255" s="12" t="inlineStr">
        <is>
          <t>R27-v1</t>
        </is>
      </c>
      <c r="B255" s="12" t="inlineStr">
        <is>
          <t>Contractor Programme</t>
        </is>
      </c>
      <c r="C255" s="12" t="inlineStr">
        <is>
          <t>SCH-01-027</t>
        </is>
      </c>
      <c r="D255" s="12" t="inlineStr">
        <is>
          <t>1.1.2 Guideway and Civil - Utility &amp; Roadworks</t>
        </is>
      </c>
      <c r="E255" s="12" t="inlineStr">
        <is>
          <t>New</t>
        </is>
      </c>
      <c r="F255" s="12" t="inlineStr"/>
      <c r="G255" s="12" t="inlineStr">
        <is>
          <t>Source assignment -- not individually reviewed</t>
        </is>
      </c>
      <c r="H255" s="17" t="inlineStr">
        <is>
          <t>10 EVIDENCE &amp; DECISIONS</t>
        </is>
      </c>
    </row>
    <row r="256" ht="34" customHeight="1">
      <c r="A256" s="12" t="inlineStr">
        <is>
          <t>R3-v1</t>
        </is>
      </c>
      <c r="B256" s="12" t="inlineStr">
        <is>
          <t>Contractor Programme</t>
        </is>
      </c>
      <c r="C256" s="12" t="inlineStr">
        <is>
          <t>SCH-01-003</t>
        </is>
      </c>
      <c r="D256" s="12" t="inlineStr">
        <is>
          <t>1.1.2 Guideway and Civil - Utility &amp; Roadworks</t>
        </is>
      </c>
      <c r="E256" s="12" t="inlineStr">
        <is>
          <t>New</t>
        </is>
      </c>
      <c r="F256" s="12" t="inlineStr"/>
      <c r="G256" s="12" t="inlineStr">
        <is>
          <t>Source assignment -- not individually reviewed</t>
        </is>
      </c>
      <c r="H256" s="17" t="inlineStr">
        <is>
          <t>10 EVIDENCE &amp; DECISIONS</t>
        </is>
      </c>
    </row>
    <row r="257" ht="34" customHeight="1">
      <c r="A257" s="12" t="inlineStr">
        <is>
          <t>R30-v1</t>
        </is>
      </c>
      <c r="B257" s="12" t="inlineStr">
        <is>
          <t>Contractor Programme</t>
        </is>
      </c>
      <c r="C257" s="12" t="inlineStr">
        <is>
          <t>SCH-01-030</t>
        </is>
      </c>
      <c r="D257" s="12" t="inlineStr">
        <is>
          <t>1.1.2 Guideway and Civil - Utility &amp; Roadworks</t>
        </is>
      </c>
      <c r="E257" s="12" t="inlineStr">
        <is>
          <t>New</t>
        </is>
      </c>
      <c r="F257" s="12" t="inlineStr"/>
      <c r="G257" s="12" t="inlineStr">
        <is>
          <t>Source assignment -- not individually reviewed</t>
        </is>
      </c>
      <c r="H257" s="17" t="inlineStr">
        <is>
          <t>10 EVIDENCE &amp; DECISIONS</t>
        </is>
      </c>
    </row>
    <row r="258" ht="34" customHeight="1">
      <c r="A258" s="12" t="inlineStr">
        <is>
          <t>R33-v1</t>
        </is>
      </c>
      <c r="B258" s="12" t="inlineStr">
        <is>
          <t>Contractor Programme</t>
        </is>
      </c>
      <c r="C258" s="12" t="inlineStr">
        <is>
          <t>SCH-01-033</t>
        </is>
      </c>
      <c r="D258" s="12" t="inlineStr">
        <is>
          <t>1.1.2 Guideway and Civil - Utility &amp; Roadworks</t>
        </is>
      </c>
      <c r="E258" s="12" t="inlineStr">
        <is>
          <t>New</t>
        </is>
      </c>
      <c r="F258" s="12" t="inlineStr"/>
      <c r="G258" s="12" t="inlineStr">
        <is>
          <t>Source assignment -- not individually reviewed</t>
        </is>
      </c>
      <c r="H258" s="17" t="inlineStr">
        <is>
          <t>10 EVIDENCE &amp; DECISIONS</t>
        </is>
      </c>
    </row>
    <row r="259" ht="34" customHeight="1">
      <c r="A259" s="12" t="inlineStr">
        <is>
          <t>R36-v1</t>
        </is>
      </c>
      <c r="B259" s="12" t="inlineStr">
        <is>
          <t>Contractor Programme</t>
        </is>
      </c>
      <c r="C259" s="12" t="inlineStr">
        <is>
          <t>SCH-01-036</t>
        </is>
      </c>
      <c r="D259" s="12" t="inlineStr">
        <is>
          <t>1.1.2 Guideway and Civil - Utility &amp; Roadworks</t>
        </is>
      </c>
      <c r="E259" s="12" t="inlineStr">
        <is>
          <t>New</t>
        </is>
      </c>
      <c r="F259" s="12" t="inlineStr"/>
      <c r="G259" s="12" t="inlineStr">
        <is>
          <t>Source assignment -- not individually reviewed</t>
        </is>
      </c>
      <c r="H259" s="17" t="inlineStr">
        <is>
          <t>10 EVIDENCE &amp; DECISIONS</t>
        </is>
      </c>
    </row>
    <row r="260" ht="34" customHeight="1">
      <c r="A260" s="12" t="inlineStr">
        <is>
          <t>R39-v1</t>
        </is>
      </c>
      <c r="B260" s="12" t="inlineStr">
        <is>
          <t>Contractor Programme</t>
        </is>
      </c>
      <c r="C260" s="12" t="inlineStr">
        <is>
          <t>SCH-01-039</t>
        </is>
      </c>
      <c r="D260" s="12" t="inlineStr">
        <is>
          <t>1.1.2 Guideway and Civil - Utility &amp; Roadworks</t>
        </is>
      </c>
      <c r="E260" s="12" t="inlineStr">
        <is>
          <t>New</t>
        </is>
      </c>
      <c r="F260" s="12" t="inlineStr"/>
      <c r="G260" s="12" t="inlineStr">
        <is>
          <t>Source assignment -- not individually reviewed</t>
        </is>
      </c>
      <c r="H260" s="17" t="inlineStr">
        <is>
          <t>10 EVIDENCE &amp; DECISIONS</t>
        </is>
      </c>
    </row>
    <row r="261" ht="34" customHeight="1">
      <c r="A261" s="12" t="inlineStr">
        <is>
          <t>R42-v1</t>
        </is>
      </c>
      <c r="B261" s="12" t="inlineStr">
        <is>
          <t>Contractor Programme</t>
        </is>
      </c>
      <c r="C261" s="12" t="inlineStr">
        <is>
          <t>SCH-01-042</t>
        </is>
      </c>
      <c r="D261" s="12" t="inlineStr">
        <is>
          <t>1.1.2 Guideway and Civil - Utility &amp; Roadworks</t>
        </is>
      </c>
      <c r="E261" s="12" t="inlineStr">
        <is>
          <t>New</t>
        </is>
      </c>
      <c r="F261" s="12" t="inlineStr"/>
      <c r="G261" s="12" t="inlineStr">
        <is>
          <t>Source assignment -- not individually reviewed</t>
        </is>
      </c>
      <c r="H261" s="17" t="inlineStr">
        <is>
          <t>10 EVIDENCE &amp; DECISIONS</t>
        </is>
      </c>
    </row>
    <row r="262" ht="34" customHeight="1">
      <c r="A262" s="12" t="inlineStr">
        <is>
          <t>R45-v1</t>
        </is>
      </c>
      <c r="B262" s="12" t="inlineStr">
        <is>
          <t>Contractor Programme</t>
        </is>
      </c>
      <c r="C262" s="12" t="inlineStr">
        <is>
          <t>SCH-01-045</t>
        </is>
      </c>
      <c r="D262" s="12" t="inlineStr">
        <is>
          <t>1.1.2 Guideway and Civil - Utility &amp; Roadworks</t>
        </is>
      </c>
      <c r="E262" s="12" t="inlineStr">
        <is>
          <t>New</t>
        </is>
      </c>
      <c r="F262" s="12" t="inlineStr"/>
      <c r="G262" s="12" t="inlineStr">
        <is>
          <t>Source assignment -- not individually reviewed</t>
        </is>
      </c>
      <c r="H262" s="17" t="inlineStr">
        <is>
          <t>10 EVIDENCE &amp; DECISIONS</t>
        </is>
      </c>
    </row>
    <row r="263" ht="34" customHeight="1">
      <c r="A263" s="12" t="inlineStr">
        <is>
          <t>R48-v1</t>
        </is>
      </c>
      <c r="B263" s="12" t="inlineStr">
        <is>
          <t>Contractor Programme</t>
        </is>
      </c>
      <c r="C263" s="12" t="inlineStr">
        <is>
          <t>SCH-01-048</t>
        </is>
      </c>
      <c r="D263" s="12" t="inlineStr">
        <is>
          <t>1.1.2 Guideway and Civil - Utility &amp; Roadworks</t>
        </is>
      </c>
      <c r="E263" s="12" t="inlineStr">
        <is>
          <t>New</t>
        </is>
      </c>
      <c r="F263" s="12" t="inlineStr"/>
      <c r="G263" s="12" t="inlineStr">
        <is>
          <t>Source assignment -- not individually reviewed</t>
        </is>
      </c>
      <c r="H263" s="17" t="inlineStr">
        <is>
          <t>10 EVIDENCE &amp; DECISIONS</t>
        </is>
      </c>
    </row>
    <row r="264" ht="34" customHeight="1">
      <c r="A264" s="12" t="inlineStr">
        <is>
          <t>R51-v1</t>
        </is>
      </c>
      <c r="B264" s="12" t="inlineStr">
        <is>
          <t>Contractor Programme</t>
        </is>
      </c>
      <c r="C264" s="12" t="inlineStr">
        <is>
          <t>SCH-01-051</t>
        </is>
      </c>
      <c r="D264" s="12" t="inlineStr">
        <is>
          <t>1.1.2 Guideway and Civil - Utility &amp; Roadworks</t>
        </is>
      </c>
      <c r="E264" s="12" t="inlineStr">
        <is>
          <t>New</t>
        </is>
      </c>
      <c r="F264" s="12" t="inlineStr"/>
      <c r="G264" s="12" t="inlineStr">
        <is>
          <t>Source assignment -- not individually reviewed</t>
        </is>
      </c>
      <c r="H264" s="17" t="inlineStr">
        <is>
          <t>10 EVIDENCE &amp; DECISIONS</t>
        </is>
      </c>
    </row>
    <row r="265" ht="34" customHeight="1">
      <c r="A265" s="12" t="inlineStr">
        <is>
          <t>R54-v1</t>
        </is>
      </c>
      <c r="B265" s="12" t="inlineStr">
        <is>
          <t>Contractor Programme</t>
        </is>
      </c>
      <c r="C265" s="12" t="inlineStr">
        <is>
          <t>SCH-01-054</t>
        </is>
      </c>
      <c r="D265" s="12" t="inlineStr">
        <is>
          <t>1.1.2 Guideway and Civil - Utility &amp; Roadworks</t>
        </is>
      </c>
      <c r="E265" s="12" t="inlineStr">
        <is>
          <t>New</t>
        </is>
      </c>
      <c r="F265" s="12" t="inlineStr"/>
      <c r="G265" s="12" t="inlineStr">
        <is>
          <t>Source assignment -- not individually reviewed</t>
        </is>
      </c>
      <c r="H265" s="17" t="inlineStr">
        <is>
          <t>10 EVIDENCE &amp; DECISIONS</t>
        </is>
      </c>
    </row>
    <row r="266" ht="34" customHeight="1">
      <c r="A266" s="12" t="inlineStr">
        <is>
          <t>R57-v1</t>
        </is>
      </c>
      <c r="B266" s="12" t="inlineStr">
        <is>
          <t>Contractor Programme</t>
        </is>
      </c>
      <c r="C266" s="12" t="inlineStr">
        <is>
          <t>SCH-01-057</t>
        </is>
      </c>
      <c r="D266" s="12" t="inlineStr">
        <is>
          <t>1.1.2 Guideway and Civil - Utility &amp; Roadworks</t>
        </is>
      </c>
      <c r="E266" s="12" t="inlineStr">
        <is>
          <t>New</t>
        </is>
      </c>
      <c r="F266" s="12" t="inlineStr"/>
      <c r="G266" s="12" t="inlineStr">
        <is>
          <t>Source assignment -- not individually reviewed</t>
        </is>
      </c>
      <c r="H266" s="17" t="inlineStr">
        <is>
          <t>10 EVIDENCE &amp; DECISIONS</t>
        </is>
      </c>
    </row>
    <row r="267" ht="34" customHeight="1">
      <c r="A267" s="12" t="inlineStr">
        <is>
          <t>R6-v1</t>
        </is>
      </c>
      <c r="B267" s="12" t="inlineStr">
        <is>
          <t>Contractor Programme</t>
        </is>
      </c>
      <c r="C267" s="12" t="inlineStr">
        <is>
          <t>SCH-01-006</t>
        </is>
      </c>
      <c r="D267" s="12" t="inlineStr">
        <is>
          <t>1.1.2 Guideway and Civil - Utility &amp; Roadworks</t>
        </is>
      </c>
      <c r="E267" s="12" t="inlineStr">
        <is>
          <t>New</t>
        </is>
      </c>
      <c r="F267" s="12" t="inlineStr"/>
      <c r="G267" s="12" t="inlineStr">
        <is>
          <t>Source assignment -- not individually reviewed</t>
        </is>
      </c>
      <c r="H267" s="17" t="inlineStr">
        <is>
          <t>10 EVIDENCE &amp; DECISIONS</t>
        </is>
      </c>
    </row>
    <row r="268" ht="34" customHeight="1">
      <c r="A268" s="12" t="inlineStr">
        <is>
          <t>R60-v1</t>
        </is>
      </c>
      <c r="B268" s="12" t="inlineStr">
        <is>
          <t>Contractor Programme</t>
        </is>
      </c>
      <c r="C268" s="12" t="inlineStr">
        <is>
          <t>SCH-01-060</t>
        </is>
      </c>
      <c r="D268" s="12" t="inlineStr">
        <is>
          <t>1.1.2 Guideway and Civil - Utility &amp; Roadworks</t>
        </is>
      </c>
      <c r="E268" s="12" t="inlineStr">
        <is>
          <t>New</t>
        </is>
      </c>
      <c r="F268" s="12" t="inlineStr"/>
      <c r="G268" s="12" t="inlineStr">
        <is>
          <t>Source assignment -- not individually reviewed</t>
        </is>
      </c>
      <c r="H268" s="17" t="inlineStr">
        <is>
          <t>10 EVIDENCE &amp; DECISIONS</t>
        </is>
      </c>
    </row>
    <row r="269" ht="34" customHeight="1">
      <c r="A269" s="12" t="inlineStr">
        <is>
          <t>R63-v1</t>
        </is>
      </c>
      <c r="B269" s="12" t="inlineStr">
        <is>
          <t>Contractor Programme</t>
        </is>
      </c>
      <c r="C269" s="12" t="inlineStr">
        <is>
          <t>SCH-01-063</t>
        </is>
      </c>
      <c r="D269" s="12" t="inlineStr">
        <is>
          <t>1.1.2 Guideway and Civil - Utility &amp; Roadworks</t>
        </is>
      </c>
      <c r="E269" s="12" t="inlineStr">
        <is>
          <t>New</t>
        </is>
      </c>
      <c r="F269" s="12" t="inlineStr"/>
      <c r="G269" s="12" t="inlineStr">
        <is>
          <t>Source assignment -- not individually reviewed</t>
        </is>
      </c>
      <c r="H269" s="17" t="inlineStr">
        <is>
          <t>10 EVIDENCE &amp; DECISIONS</t>
        </is>
      </c>
    </row>
    <row r="270" ht="34" customHeight="1">
      <c r="A270" s="12" t="inlineStr">
        <is>
          <t>R66-v1</t>
        </is>
      </c>
      <c r="B270" s="12" t="inlineStr">
        <is>
          <t>Contractor Programme</t>
        </is>
      </c>
      <c r="C270" s="12" t="inlineStr">
        <is>
          <t>SCH-01-066</t>
        </is>
      </c>
      <c r="D270" s="12" t="inlineStr">
        <is>
          <t>1.1.2 Guideway and Civil - Utility &amp; Roadworks</t>
        </is>
      </c>
      <c r="E270" s="12" t="inlineStr">
        <is>
          <t>New</t>
        </is>
      </c>
      <c r="F270" s="12" t="inlineStr"/>
      <c r="G270" s="12" t="inlineStr">
        <is>
          <t>Source assignment -- not individually reviewed</t>
        </is>
      </c>
      <c r="H270" s="17" t="inlineStr">
        <is>
          <t>10 EVIDENCE &amp; DECISIONS</t>
        </is>
      </c>
    </row>
    <row r="271" ht="34" customHeight="1">
      <c r="A271" s="12" t="inlineStr">
        <is>
          <t>R69-v1</t>
        </is>
      </c>
      <c r="B271" s="12" t="inlineStr">
        <is>
          <t>Contractor Programme</t>
        </is>
      </c>
      <c r="C271" s="12" t="inlineStr">
        <is>
          <t>SCH-01-069</t>
        </is>
      </c>
      <c r="D271" s="12" t="inlineStr">
        <is>
          <t>1.1.2 Guideway and Civil - Utility &amp; Roadworks</t>
        </is>
      </c>
      <c r="E271" s="12" t="inlineStr">
        <is>
          <t>New</t>
        </is>
      </c>
      <c r="F271" s="12" t="inlineStr"/>
      <c r="G271" s="12" t="inlineStr">
        <is>
          <t>Source assignment -- not individually reviewed</t>
        </is>
      </c>
      <c r="H271" s="17" t="inlineStr">
        <is>
          <t>10 EVIDENCE &amp; DECISIONS</t>
        </is>
      </c>
    </row>
    <row r="272" ht="34" customHeight="1">
      <c r="A272" s="12" t="inlineStr">
        <is>
          <t>R72-v1</t>
        </is>
      </c>
      <c r="B272" s="12" t="inlineStr">
        <is>
          <t>Contractor Programme</t>
        </is>
      </c>
      <c r="C272" s="12" t="inlineStr">
        <is>
          <t>SCH-01-072</t>
        </is>
      </c>
      <c r="D272" s="12" t="inlineStr">
        <is>
          <t>1.1.2 Guideway and Civil - Utility &amp; Roadworks</t>
        </is>
      </c>
      <c r="E272" s="12" t="inlineStr">
        <is>
          <t>New</t>
        </is>
      </c>
      <c r="F272" s="12" t="inlineStr"/>
      <c r="G272" s="12" t="inlineStr">
        <is>
          <t>Source assignment -- not individually reviewed</t>
        </is>
      </c>
      <c r="H272" s="17" t="inlineStr">
        <is>
          <t>10 EVIDENCE &amp; DECISIONS</t>
        </is>
      </c>
    </row>
    <row r="273" ht="34" customHeight="1">
      <c r="A273" s="12" t="inlineStr">
        <is>
          <t>R75-v1</t>
        </is>
      </c>
      <c r="B273" s="12" t="inlineStr">
        <is>
          <t>Contractor Programme</t>
        </is>
      </c>
      <c r="C273" s="12" t="inlineStr">
        <is>
          <t>SCH-01-075</t>
        </is>
      </c>
      <c r="D273" s="12" t="inlineStr">
        <is>
          <t>1.1.2 Guideway and Civil - Utility &amp; Roadworks</t>
        </is>
      </c>
      <c r="E273" s="12" t="inlineStr">
        <is>
          <t>New</t>
        </is>
      </c>
      <c r="F273" s="12" t="inlineStr"/>
      <c r="G273" s="12" t="inlineStr">
        <is>
          <t>Source assignment -- not individually reviewed</t>
        </is>
      </c>
      <c r="H273" s="17" t="inlineStr">
        <is>
          <t>10 EVIDENCE &amp; DECISIONS</t>
        </is>
      </c>
    </row>
    <row r="274" ht="34" customHeight="1">
      <c r="A274" s="12" t="inlineStr">
        <is>
          <t>R78-v1</t>
        </is>
      </c>
      <c r="B274" s="12" t="inlineStr">
        <is>
          <t>Contractor Programme</t>
        </is>
      </c>
      <c r="C274" s="12" t="inlineStr">
        <is>
          <t>SCH-01-078</t>
        </is>
      </c>
      <c r="D274" s="12" t="inlineStr">
        <is>
          <t>1.1.2 Guideway and Civil - Utility &amp; Roadworks</t>
        </is>
      </c>
      <c r="E274" s="12" t="inlineStr">
        <is>
          <t>New</t>
        </is>
      </c>
      <c r="F274" s="12" t="inlineStr"/>
      <c r="G274" s="12" t="inlineStr">
        <is>
          <t>Source assignment -- not individually reviewed</t>
        </is>
      </c>
      <c r="H274" s="17" t="inlineStr">
        <is>
          <t>10 EVIDENCE &amp; DECISIONS</t>
        </is>
      </c>
    </row>
    <row r="275" ht="34" customHeight="1">
      <c r="A275" s="12" t="inlineStr">
        <is>
          <t>R81-v1</t>
        </is>
      </c>
      <c r="B275" s="12" t="inlineStr">
        <is>
          <t>Contractor Programme</t>
        </is>
      </c>
      <c r="C275" s="12" t="inlineStr">
        <is>
          <t>SCH-01-081</t>
        </is>
      </c>
      <c r="D275" s="12" t="inlineStr">
        <is>
          <t>1.1.2 Guideway and Civil - Utility &amp; Roadworks</t>
        </is>
      </c>
      <c r="E275" s="12" t="inlineStr">
        <is>
          <t>New</t>
        </is>
      </c>
      <c r="F275" s="12" t="inlineStr"/>
      <c r="G275" s="12" t="inlineStr">
        <is>
          <t>Source assignment -- not individually reviewed</t>
        </is>
      </c>
      <c r="H275" s="17" t="inlineStr">
        <is>
          <t>10 EVIDENCE &amp; DECISIONS</t>
        </is>
      </c>
    </row>
    <row r="276" ht="34" customHeight="1">
      <c r="A276" s="12" t="inlineStr">
        <is>
          <t>R84-v1</t>
        </is>
      </c>
      <c r="B276" s="12" t="inlineStr">
        <is>
          <t>Contractor Programme</t>
        </is>
      </c>
      <c r="C276" s="12" t="inlineStr">
        <is>
          <t>SCH-01-084</t>
        </is>
      </c>
      <c r="D276" s="12" t="inlineStr">
        <is>
          <t>1.1.2 Guideway and Civil - Utility &amp; Roadworks</t>
        </is>
      </c>
      <c r="E276" s="12" t="inlineStr">
        <is>
          <t>New</t>
        </is>
      </c>
      <c r="F276" s="12" t="inlineStr"/>
      <c r="G276" s="12" t="inlineStr">
        <is>
          <t>Source assignment -- not individually reviewed</t>
        </is>
      </c>
      <c r="H276" s="17" t="inlineStr">
        <is>
          <t>10 EVIDENCE &amp; DECISIONS</t>
        </is>
      </c>
    </row>
    <row r="277" ht="34" customHeight="1">
      <c r="A277" s="12" t="inlineStr">
        <is>
          <t>R87-v1</t>
        </is>
      </c>
      <c r="B277" s="12" t="inlineStr">
        <is>
          <t>Contractor Programme</t>
        </is>
      </c>
      <c r="C277" s="12" t="inlineStr">
        <is>
          <t>SCH-01-087</t>
        </is>
      </c>
      <c r="D277" s="12" t="inlineStr">
        <is>
          <t>1.1.2 Guideway and Civil - Utility &amp; Roadworks</t>
        </is>
      </c>
      <c r="E277" s="12" t="inlineStr">
        <is>
          <t>New</t>
        </is>
      </c>
      <c r="F277" s="12" t="inlineStr"/>
      <c r="G277" s="12" t="inlineStr">
        <is>
          <t>Source assignment -- not individually reviewed</t>
        </is>
      </c>
      <c r="H277" s="17" t="inlineStr">
        <is>
          <t>10 EVIDENCE &amp; DECISIONS</t>
        </is>
      </c>
    </row>
    <row r="278" ht="34" customHeight="1">
      <c r="A278" s="12" t="inlineStr">
        <is>
          <t>R9-v1</t>
        </is>
      </c>
      <c r="B278" s="12" t="inlineStr">
        <is>
          <t>Contractor Programme</t>
        </is>
      </c>
      <c r="C278" s="12" t="inlineStr">
        <is>
          <t>SCH-01-009</t>
        </is>
      </c>
      <c r="D278" s="12" t="inlineStr">
        <is>
          <t>1.1.2 Guideway and Civil - Utility &amp; Roadworks</t>
        </is>
      </c>
      <c r="E278" s="12" t="inlineStr">
        <is>
          <t>New</t>
        </is>
      </c>
      <c r="F278" s="12" t="inlineStr"/>
      <c r="G278" s="12" t="inlineStr">
        <is>
          <t>Source assignment -- not individually reviewed</t>
        </is>
      </c>
      <c r="H278" s="17" t="inlineStr">
        <is>
          <t>10 EVIDENCE &amp; DECISIONS</t>
        </is>
      </c>
    </row>
    <row r="279" ht="34" customHeight="1">
      <c r="A279" s="12" t="inlineStr">
        <is>
          <t>R90-v1</t>
        </is>
      </c>
      <c r="B279" s="12" t="inlineStr">
        <is>
          <t>Contractor Programme</t>
        </is>
      </c>
      <c r="C279" s="12" t="inlineStr">
        <is>
          <t>SCH-01-090</t>
        </is>
      </c>
      <c r="D279" s="12" t="inlineStr">
        <is>
          <t>1.1.2 Guideway and Civil - Utility &amp; Roadworks</t>
        </is>
      </c>
      <c r="E279" s="12" t="inlineStr">
        <is>
          <t>New</t>
        </is>
      </c>
      <c r="F279" s="12" t="inlineStr"/>
      <c r="G279" s="12" t="inlineStr">
        <is>
          <t>Source assignment -- not individually reviewed</t>
        </is>
      </c>
      <c r="H279" s="17" t="inlineStr">
        <is>
          <t>10 EVIDENCE &amp; DECISIONS</t>
        </is>
      </c>
    </row>
    <row r="280" ht="34" customHeight="1">
      <c r="A280" s="12" t="inlineStr">
        <is>
          <t>R93-v1</t>
        </is>
      </c>
      <c r="B280" s="12" t="inlineStr">
        <is>
          <t>Contractor Programme</t>
        </is>
      </c>
      <c r="C280" s="12" t="inlineStr">
        <is>
          <t>SCH-01-093</t>
        </is>
      </c>
      <c r="D280" s="12" t="inlineStr">
        <is>
          <t>1.1.2 Guideway and Civil - Utility &amp; Roadworks</t>
        </is>
      </c>
      <c r="E280" s="12" t="inlineStr">
        <is>
          <t>New</t>
        </is>
      </c>
      <c r="F280" s="12" t="inlineStr"/>
      <c r="G280" s="12" t="inlineStr">
        <is>
          <t>Source assignment -- not individually reviewed</t>
        </is>
      </c>
      <c r="H280" s="17" t="inlineStr">
        <is>
          <t>10 EVIDENCE &amp; DECISIONS</t>
        </is>
      </c>
    </row>
    <row r="281" ht="34" customHeight="1">
      <c r="A281" s="12" t="inlineStr">
        <is>
          <t>R96-v1</t>
        </is>
      </c>
      <c r="B281" s="12" t="inlineStr">
        <is>
          <t>Contractor Programme</t>
        </is>
      </c>
      <c r="C281" s="12" t="inlineStr">
        <is>
          <t>SCH-01-096</t>
        </is>
      </c>
      <c r="D281" s="12" t="inlineStr">
        <is>
          <t>1.1.2 Guideway and Civil - Utility &amp; Roadworks</t>
        </is>
      </c>
      <c r="E281" s="12" t="inlineStr">
        <is>
          <t>New</t>
        </is>
      </c>
      <c r="F281" s="12" t="inlineStr"/>
      <c r="G281" s="12" t="inlineStr">
        <is>
          <t>Source assignment -- not individually reviewed</t>
        </is>
      </c>
      <c r="H281" s="17" t="inlineStr">
        <is>
          <t>10 EVIDENCE &amp; DECISIONS</t>
        </is>
      </c>
    </row>
    <row r="282" ht="34" customHeight="1">
      <c r="A282" s="12" t="inlineStr">
        <is>
          <t>R99-v1</t>
        </is>
      </c>
      <c r="B282" s="12" t="inlineStr">
        <is>
          <t>Contractor Programme</t>
        </is>
      </c>
      <c r="C282" s="12" t="inlineStr">
        <is>
          <t>SCH-01-099</t>
        </is>
      </c>
      <c r="D282" s="12" t="inlineStr">
        <is>
          <t>1.1.2 Guideway and Civil - Utility &amp; Roadworks</t>
        </is>
      </c>
      <c r="E282" s="12" t="inlineStr">
        <is>
          <t>New</t>
        </is>
      </c>
      <c r="F282" s="12" t="inlineStr"/>
      <c r="G282" s="12" t="inlineStr">
        <is>
          <t>Source assignment -- not individually reviewed</t>
        </is>
      </c>
      <c r="H282" s="17" t="inlineStr">
        <is>
          <t>10 EVIDENCE &amp; DECISIONS</t>
        </is>
      </c>
    </row>
    <row r="283" ht="34" customHeight="1">
      <c r="A283" s="12" t="inlineStr">
        <is>
          <t>R1573-v1</t>
        </is>
      </c>
      <c r="B283" s="12" t="inlineStr">
        <is>
          <t>Commercial Package Register</t>
        </is>
      </c>
      <c r="C283" s="12" t="inlineStr">
        <is>
          <t>PKG-011</t>
        </is>
      </c>
      <c r="D283" s="12" t="inlineStr">
        <is>
          <t>1.2 Stations</t>
        </is>
      </c>
      <c r="E283" s="12" t="inlineStr">
        <is>
          <t>New</t>
        </is>
      </c>
      <c r="F283" s="12" t="inlineStr"/>
      <c r="G283" s="12" t="inlineStr">
        <is>
          <t>Source assignment -- not individually reviewed</t>
        </is>
      </c>
      <c r="H283" s="17" t="inlineStr">
        <is>
          <t>10 EVIDENCE &amp; DECISIONS</t>
        </is>
      </c>
    </row>
    <row r="284" ht="34" customHeight="1">
      <c r="A284" s="12" t="inlineStr">
        <is>
          <t>R1574-v1</t>
        </is>
      </c>
      <c r="B284" s="12" t="inlineStr">
        <is>
          <t>Commercial Package Register</t>
        </is>
      </c>
      <c r="C284" s="12" t="inlineStr">
        <is>
          <t>PKG-012</t>
        </is>
      </c>
      <c r="D284" s="12" t="inlineStr">
        <is>
          <t>1.2 Stations</t>
        </is>
      </c>
      <c r="E284" s="12" t="inlineStr">
        <is>
          <t>New</t>
        </is>
      </c>
      <c r="F284" s="12" t="inlineStr"/>
      <c r="G284" s="12" t="inlineStr">
        <is>
          <t>Source assignment -- not individually reviewed</t>
        </is>
      </c>
      <c r="H284" s="17" t="inlineStr">
        <is>
          <t>10 EVIDENCE &amp; DECISIONS</t>
        </is>
      </c>
    </row>
    <row r="285" ht="34" customHeight="1">
      <c r="A285" s="12" t="inlineStr">
        <is>
          <t>R1575-v1</t>
        </is>
      </c>
      <c r="B285" s="12" t="inlineStr">
        <is>
          <t>Commercial Package Register</t>
        </is>
      </c>
      <c r="C285" s="12" t="inlineStr">
        <is>
          <t>PKG-013</t>
        </is>
      </c>
      <c r="D285" s="12" t="inlineStr">
        <is>
          <t>1.2 Stations</t>
        </is>
      </c>
      <c r="E285" s="12" t="inlineStr">
        <is>
          <t>New</t>
        </is>
      </c>
      <c r="F285" s="12" t="inlineStr"/>
      <c r="G285" s="12" t="inlineStr">
        <is>
          <t>Source assignment -- not individually reviewed</t>
        </is>
      </c>
      <c r="H285" s="17" t="inlineStr">
        <is>
          <t>10 EVIDENCE &amp; DECISIONS</t>
        </is>
      </c>
    </row>
    <row r="286" ht="34" customHeight="1">
      <c r="A286" s="12" t="inlineStr">
        <is>
          <t>R1576-v1</t>
        </is>
      </c>
      <c r="B286" s="12" t="inlineStr">
        <is>
          <t>Commercial Package Register</t>
        </is>
      </c>
      <c r="C286" s="12" t="inlineStr">
        <is>
          <t>PKG-014</t>
        </is>
      </c>
      <c r="D286" s="12" t="inlineStr">
        <is>
          <t>1.2 Stations</t>
        </is>
      </c>
      <c r="E286" s="12" t="inlineStr">
        <is>
          <t>New</t>
        </is>
      </c>
      <c r="F286" s="12" t="inlineStr"/>
      <c r="G286" s="12" t="inlineStr">
        <is>
          <t>Source assignment -- not individually reviewed</t>
        </is>
      </c>
      <c r="H286" s="17" t="inlineStr">
        <is>
          <t>10 EVIDENCE &amp; DECISIONS</t>
        </is>
      </c>
    </row>
    <row r="287" ht="34" customHeight="1">
      <c r="A287" s="12" t="inlineStr">
        <is>
          <t>R1577-v1</t>
        </is>
      </c>
      <c r="B287" s="12" t="inlineStr">
        <is>
          <t>Commercial Package Register</t>
        </is>
      </c>
      <c r="C287" s="12" t="inlineStr">
        <is>
          <t>PKG-015</t>
        </is>
      </c>
      <c r="D287" s="12" t="inlineStr">
        <is>
          <t>1.2 Stations</t>
        </is>
      </c>
      <c r="E287" s="12" t="inlineStr">
        <is>
          <t>New</t>
        </is>
      </c>
      <c r="F287" s="12" t="inlineStr"/>
      <c r="G287" s="12" t="inlineStr">
        <is>
          <t>Source assignment -- not individually reviewed</t>
        </is>
      </c>
      <c r="H287" s="17" t="inlineStr">
        <is>
          <t>10 EVIDENCE &amp; DECISIONS</t>
        </is>
      </c>
    </row>
    <row r="288" ht="34" customHeight="1">
      <c r="A288" s="12" t="inlineStr">
        <is>
          <t>R1578-v1</t>
        </is>
      </c>
      <c r="B288" s="12" t="inlineStr">
        <is>
          <t>Commercial Package Register</t>
        </is>
      </c>
      <c r="C288" s="12" t="inlineStr">
        <is>
          <t>PKG-016</t>
        </is>
      </c>
      <c r="D288" s="12" t="inlineStr">
        <is>
          <t>1.2 Stations</t>
        </is>
      </c>
      <c r="E288" s="12" t="inlineStr">
        <is>
          <t>New</t>
        </is>
      </c>
      <c r="F288" s="12" t="inlineStr"/>
      <c r="G288" s="12" t="inlineStr">
        <is>
          <t>Source assignment -- not individually reviewed</t>
        </is>
      </c>
      <c r="H288" s="17" t="inlineStr">
        <is>
          <t>10 EVIDENCE &amp; DECISIONS</t>
        </is>
      </c>
    </row>
    <row r="289" ht="34" customHeight="1">
      <c r="A289" s="12" t="inlineStr">
        <is>
          <t>R1579-v1</t>
        </is>
      </c>
      <c r="B289" s="12" t="inlineStr">
        <is>
          <t>Commercial Package Register</t>
        </is>
      </c>
      <c r="C289" s="12" t="inlineStr">
        <is>
          <t>PKG-017</t>
        </is>
      </c>
      <c r="D289" s="12" t="inlineStr">
        <is>
          <t>1.2 Stations</t>
        </is>
      </c>
      <c r="E289" s="12" t="inlineStr">
        <is>
          <t>New</t>
        </is>
      </c>
      <c r="F289" s="12" t="inlineStr"/>
      <c r="G289" s="12" t="inlineStr">
        <is>
          <t>Source assignment -- not individually reviewed</t>
        </is>
      </c>
      <c r="H289" s="17" t="inlineStr">
        <is>
          <t>10 EVIDENCE &amp; DECISIONS</t>
        </is>
      </c>
    </row>
    <row r="290" ht="34" customHeight="1">
      <c r="A290" s="12" t="inlineStr">
        <is>
          <t>R1580-v1</t>
        </is>
      </c>
      <c r="B290" s="12" t="inlineStr">
        <is>
          <t>Commercial Package Register</t>
        </is>
      </c>
      <c r="C290" s="12" t="inlineStr">
        <is>
          <t>PKG-018</t>
        </is>
      </c>
      <c r="D290" s="12" t="inlineStr">
        <is>
          <t>1.2 Stations</t>
        </is>
      </c>
      <c r="E290" s="12" t="inlineStr">
        <is>
          <t>New</t>
        </is>
      </c>
      <c r="F290" s="12" t="inlineStr"/>
      <c r="G290" s="12" t="inlineStr">
        <is>
          <t>Source assignment -- not individually reviewed</t>
        </is>
      </c>
      <c r="H290" s="17" t="inlineStr">
        <is>
          <t>10 EVIDENCE &amp; DECISIONS</t>
        </is>
      </c>
    </row>
    <row r="291" ht="34" customHeight="1">
      <c r="A291" s="12" t="inlineStr">
        <is>
          <t>R1581-v1</t>
        </is>
      </c>
      <c r="B291" s="12" t="inlineStr">
        <is>
          <t>Commercial Package Register</t>
        </is>
      </c>
      <c r="C291" s="12" t="inlineStr">
        <is>
          <t>PKG-019</t>
        </is>
      </c>
      <c r="D291" s="12" t="inlineStr">
        <is>
          <t>1.2 Stations</t>
        </is>
      </c>
      <c r="E291" s="12" t="inlineStr">
        <is>
          <t>New</t>
        </is>
      </c>
      <c r="F291" s="12" t="inlineStr"/>
      <c r="G291" s="12" t="inlineStr">
        <is>
          <t>Source assignment -- not individually reviewed</t>
        </is>
      </c>
      <c r="H291" s="17" t="inlineStr">
        <is>
          <t>10 EVIDENCE &amp; DECISIONS</t>
        </is>
      </c>
    </row>
    <row r="292" ht="34" customHeight="1">
      <c r="A292" s="12" t="inlineStr">
        <is>
          <t>R1582-v1</t>
        </is>
      </c>
      <c r="B292" s="12" t="inlineStr">
        <is>
          <t>Commercial Package Register</t>
        </is>
      </c>
      <c r="C292" s="12" t="inlineStr">
        <is>
          <t>PKG-020</t>
        </is>
      </c>
      <c r="D292" s="12" t="inlineStr">
        <is>
          <t>1.2 Stations</t>
        </is>
      </c>
      <c r="E292" s="12" t="inlineStr">
        <is>
          <t>New</t>
        </is>
      </c>
      <c r="F292" s="12" t="inlineStr"/>
      <c r="G292" s="12" t="inlineStr">
        <is>
          <t>Source assignment -- not individually reviewed</t>
        </is>
      </c>
      <c r="H292" s="17" t="inlineStr">
        <is>
          <t>10 EVIDENCE &amp; DECISIONS</t>
        </is>
      </c>
    </row>
    <row r="293" ht="34" customHeight="1">
      <c r="A293" s="12" t="inlineStr">
        <is>
          <t>R1163-v1</t>
        </is>
      </c>
      <c r="B293" s="12" t="inlineStr">
        <is>
          <t>Cost &amp; Forecast Control Accounts</t>
        </is>
      </c>
      <c r="C293" s="12" t="inlineStr">
        <is>
          <t>CST-02-001</t>
        </is>
      </c>
      <c r="D293" s="12" t="inlineStr">
        <is>
          <t>1.2.1 Stations - Station Structures</t>
        </is>
      </c>
      <c r="E293" s="12" t="inlineStr">
        <is>
          <t>New</t>
        </is>
      </c>
      <c r="F293" s="12" t="inlineStr"/>
      <c r="G293" s="12" t="inlineStr">
        <is>
          <t>Source assignment -- not individually reviewed</t>
        </is>
      </c>
      <c r="H293" s="17" t="inlineStr">
        <is>
          <t>10 EVIDENCE &amp; DECISIONS</t>
        </is>
      </c>
    </row>
    <row r="294" ht="34" customHeight="1">
      <c r="A294" s="12" t="inlineStr">
        <is>
          <t>R1165-v1</t>
        </is>
      </c>
      <c r="B294" s="12" t="inlineStr">
        <is>
          <t>Cost &amp; Forecast Control Accounts</t>
        </is>
      </c>
      <c r="C294" s="12" t="inlineStr">
        <is>
          <t>CST-02-003</t>
        </is>
      </c>
      <c r="D294" s="12" t="inlineStr">
        <is>
          <t>1.2.1 Stations - Station Structures</t>
        </is>
      </c>
      <c r="E294" s="12" t="inlineStr">
        <is>
          <t>New</t>
        </is>
      </c>
      <c r="F294" s="12" t="inlineStr"/>
      <c r="G294" s="12" t="inlineStr">
        <is>
          <t>Source assignment -- not individually reviewed</t>
        </is>
      </c>
      <c r="H294" s="17" t="inlineStr">
        <is>
          <t>10 EVIDENCE &amp; DECISIONS</t>
        </is>
      </c>
    </row>
    <row r="295" ht="34" customHeight="1">
      <c r="A295" s="12" t="inlineStr">
        <is>
          <t>R1167-v1</t>
        </is>
      </c>
      <c r="B295" s="12" t="inlineStr">
        <is>
          <t>Cost &amp; Forecast Control Accounts</t>
        </is>
      </c>
      <c r="C295" s="12" t="inlineStr">
        <is>
          <t>CST-02-005</t>
        </is>
      </c>
      <c r="D295" s="12" t="inlineStr">
        <is>
          <t>1.2.1 Stations - Station Structures</t>
        </is>
      </c>
      <c r="E295" s="12" t="inlineStr">
        <is>
          <t>New</t>
        </is>
      </c>
      <c r="F295" s="12" t="inlineStr"/>
      <c r="G295" s="12" t="inlineStr">
        <is>
          <t>Source assignment -- not individually reviewed</t>
        </is>
      </c>
      <c r="H295" s="17" t="inlineStr">
        <is>
          <t>10 EVIDENCE &amp; DECISIONS</t>
        </is>
      </c>
    </row>
    <row r="296" ht="34" customHeight="1">
      <c r="A296" s="12" t="inlineStr">
        <is>
          <t>R1169-v1</t>
        </is>
      </c>
      <c r="B296" s="12" t="inlineStr">
        <is>
          <t>Cost &amp; Forecast Control Accounts</t>
        </is>
      </c>
      <c r="C296" s="12" t="inlineStr">
        <is>
          <t>CST-02-007</t>
        </is>
      </c>
      <c r="D296" s="12" t="inlineStr">
        <is>
          <t>1.2.1 Stations - Station Structures</t>
        </is>
      </c>
      <c r="E296" s="12" t="inlineStr">
        <is>
          <t>New</t>
        </is>
      </c>
      <c r="F296" s="12" t="inlineStr"/>
      <c r="G296" s="12" t="inlineStr">
        <is>
          <t>Source assignment -- not individually reviewed</t>
        </is>
      </c>
      <c r="H296" s="17" t="inlineStr">
        <is>
          <t>10 EVIDENCE &amp; DECISIONS</t>
        </is>
      </c>
    </row>
    <row r="297" ht="34" customHeight="1">
      <c r="A297" s="12" t="inlineStr">
        <is>
          <t>R1171-v1</t>
        </is>
      </c>
      <c r="B297" s="12" t="inlineStr">
        <is>
          <t>Cost &amp; Forecast Control Accounts</t>
        </is>
      </c>
      <c r="C297" s="12" t="inlineStr">
        <is>
          <t>CST-02-009</t>
        </is>
      </c>
      <c r="D297" s="12" t="inlineStr">
        <is>
          <t>1.2.1 Stations - Station Structures</t>
        </is>
      </c>
      <c r="E297" s="12" t="inlineStr">
        <is>
          <t>New</t>
        </is>
      </c>
      <c r="F297" s="12" t="inlineStr"/>
      <c r="G297" s="12" t="inlineStr">
        <is>
          <t>Source assignment -- not individually reviewed</t>
        </is>
      </c>
      <c r="H297" s="17" t="inlineStr">
        <is>
          <t>10 EVIDENCE &amp; DECISIONS</t>
        </is>
      </c>
    </row>
    <row r="298" ht="34" customHeight="1">
      <c r="A298" s="12" t="inlineStr">
        <is>
          <t>R1173-v1</t>
        </is>
      </c>
      <c r="B298" s="12" t="inlineStr">
        <is>
          <t>Cost &amp; Forecast Control Accounts</t>
        </is>
      </c>
      <c r="C298" s="12" t="inlineStr">
        <is>
          <t>CST-02-011</t>
        </is>
      </c>
      <c r="D298" s="12" t="inlineStr">
        <is>
          <t>1.2.1 Stations - Station Structures</t>
        </is>
      </c>
      <c r="E298" s="12" t="inlineStr">
        <is>
          <t>New</t>
        </is>
      </c>
      <c r="F298" s="12" t="inlineStr"/>
      <c r="G298" s="12" t="inlineStr">
        <is>
          <t>Source assignment -- not individually reviewed</t>
        </is>
      </c>
      <c r="H298" s="17" t="inlineStr">
        <is>
          <t>10 EVIDENCE &amp; DECISIONS</t>
        </is>
      </c>
    </row>
    <row r="299" ht="34" customHeight="1">
      <c r="A299" s="12" t="inlineStr">
        <is>
          <t>R1175-v1</t>
        </is>
      </c>
      <c r="B299" s="12" t="inlineStr">
        <is>
          <t>Cost &amp; Forecast Control Accounts</t>
        </is>
      </c>
      <c r="C299" s="12" t="inlineStr">
        <is>
          <t>CST-02-013</t>
        </is>
      </c>
      <c r="D299" s="12" t="inlineStr">
        <is>
          <t>1.2.1 Stations - Station Structures</t>
        </is>
      </c>
      <c r="E299" s="12" t="inlineStr">
        <is>
          <t>New</t>
        </is>
      </c>
      <c r="F299" s="12" t="inlineStr"/>
      <c r="G299" s="12" t="inlineStr">
        <is>
          <t>Source assignment -- not individually reviewed</t>
        </is>
      </c>
      <c r="H299" s="17" t="inlineStr">
        <is>
          <t>10 EVIDENCE &amp; DECISIONS</t>
        </is>
      </c>
    </row>
    <row r="300" ht="34" customHeight="1">
      <c r="A300" s="12" t="inlineStr">
        <is>
          <t>R1177-v1</t>
        </is>
      </c>
      <c r="B300" s="12" t="inlineStr">
        <is>
          <t>Cost &amp; Forecast Control Accounts</t>
        </is>
      </c>
      <c r="C300" s="12" t="inlineStr">
        <is>
          <t>CST-02-015</t>
        </is>
      </c>
      <c r="D300" s="12" t="inlineStr">
        <is>
          <t>1.2.1 Stations - Station Structures</t>
        </is>
      </c>
      <c r="E300" s="12" t="inlineStr">
        <is>
          <t>New</t>
        </is>
      </c>
      <c r="F300" s="12" t="inlineStr"/>
      <c r="G300" s="12" t="inlineStr">
        <is>
          <t>Source assignment -- not individually reviewed</t>
        </is>
      </c>
      <c r="H300" s="17" t="inlineStr">
        <is>
          <t>10 EVIDENCE &amp; DECISIONS</t>
        </is>
      </c>
    </row>
    <row r="301" ht="34" customHeight="1">
      <c r="A301" s="12" t="inlineStr">
        <is>
          <t>R1179-v1</t>
        </is>
      </c>
      <c r="B301" s="12" t="inlineStr">
        <is>
          <t>Cost &amp; Forecast Control Accounts</t>
        </is>
      </c>
      <c r="C301" s="12" t="inlineStr">
        <is>
          <t>CST-02-017</t>
        </is>
      </c>
      <c r="D301" s="12" t="inlineStr">
        <is>
          <t>1.2.1 Stations - Station Structures</t>
        </is>
      </c>
      <c r="E301" s="12" t="inlineStr">
        <is>
          <t>New</t>
        </is>
      </c>
      <c r="F301" s="12" t="inlineStr"/>
      <c r="G301" s="12" t="inlineStr">
        <is>
          <t>Source assignment -- not individually reviewed</t>
        </is>
      </c>
      <c r="H301" s="17" t="inlineStr">
        <is>
          <t>10 EVIDENCE &amp; DECISIONS</t>
        </is>
      </c>
    </row>
    <row r="302" ht="34" customHeight="1">
      <c r="A302" s="12" t="inlineStr">
        <is>
          <t>R1181-v1</t>
        </is>
      </c>
      <c r="B302" s="12" t="inlineStr">
        <is>
          <t>Cost &amp; Forecast Control Accounts</t>
        </is>
      </c>
      <c r="C302" s="12" t="inlineStr">
        <is>
          <t>CST-02-019</t>
        </is>
      </c>
      <c r="D302" s="12" t="inlineStr">
        <is>
          <t>1.2.1 Stations - Station Structures</t>
        </is>
      </c>
      <c r="E302" s="12" t="inlineStr">
        <is>
          <t>New</t>
        </is>
      </c>
      <c r="F302" s="12" t="inlineStr"/>
      <c r="G302" s="12" t="inlineStr">
        <is>
          <t>Source assignment -- not individually reviewed</t>
        </is>
      </c>
      <c r="H302" s="17" t="inlineStr">
        <is>
          <t>10 EVIDENCE &amp; DECISIONS</t>
        </is>
      </c>
    </row>
    <row r="303" ht="34" customHeight="1">
      <c r="A303" s="12" t="inlineStr">
        <is>
          <t>R1183-v1</t>
        </is>
      </c>
      <c r="B303" s="12" t="inlineStr">
        <is>
          <t>Cost &amp; Forecast Control Accounts</t>
        </is>
      </c>
      <c r="C303" s="12" t="inlineStr">
        <is>
          <t>CST-02-021</t>
        </is>
      </c>
      <c r="D303" s="12" t="inlineStr">
        <is>
          <t>1.2.1 Stations - Station Structures</t>
        </is>
      </c>
      <c r="E303" s="12" t="inlineStr">
        <is>
          <t>New</t>
        </is>
      </c>
      <c r="F303" s="12" t="inlineStr"/>
      <c r="G303" s="12" t="inlineStr">
        <is>
          <t>Source assignment -- not individually reviewed</t>
        </is>
      </c>
      <c r="H303" s="17" t="inlineStr">
        <is>
          <t>10 EVIDENCE &amp; DECISIONS</t>
        </is>
      </c>
    </row>
    <row r="304" ht="34" customHeight="1">
      <c r="A304" s="12" t="inlineStr">
        <is>
          <t>R1185-v1</t>
        </is>
      </c>
      <c r="B304" s="12" t="inlineStr">
        <is>
          <t>Cost &amp; Forecast Control Accounts</t>
        </is>
      </c>
      <c r="C304" s="12" t="inlineStr">
        <is>
          <t>CST-02-023</t>
        </is>
      </c>
      <c r="D304" s="12" t="inlineStr">
        <is>
          <t>1.2.1 Stations - Station Structures</t>
        </is>
      </c>
      <c r="E304" s="12" t="inlineStr">
        <is>
          <t>New</t>
        </is>
      </c>
      <c r="F304" s="12" t="inlineStr"/>
      <c r="G304" s="12" t="inlineStr">
        <is>
          <t>Source assignment -- not individually reviewed</t>
        </is>
      </c>
      <c r="H304" s="17" t="inlineStr">
        <is>
          <t>10 EVIDENCE &amp; DECISIONS</t>
        </is>
      </c>
    </row>
    <row r="305" ht="34" customHeight="1">
      <c r="A305" s="12" t="inlineStr">
        <is>
          <t>R1187-v1</t>
        </is>
      </c>
      <c r="B305" s="12" t="inlineStr">
        <is>
          <t>Cost &amp; Forecast Control Accounts</t>
        </is>
      </c>
      <c r="C305" s="12" t="inlineStr">
        <is>
          <t>CST-02-025</t>
        </is>
      </c>
      <c r="D305" s="12" t="inlineStr">
        <is>
          <t>1.2.1 Stations - Station Structures</t>
        </is>
      </c>
      <c r="E305" s="12" t="inlineStr">
        <is>
          <t>New</t>
        </is>
      </c>
      <c r="F305" s="12" t="inlineStr"/>
      <c r="G305" s="12" t="inlineStr">
        <is>
          <t>Source assignment -- not individually reviewed</t>
        </is>
      </c>
      <c r="H305" s="17" t="inlineStr">
        <is>
          <t>10 EVIDENCE &amp; DECISIONS</t>
        </is>
      </c>
    </row>
    <row r="306" ht="34" customHeight="1">
      <c r="A306" s="12" t="inlineStr">
        <is>
          <t>R1189-v1</t>
        </is>
      </c>
      <c r="B306" s="12" t="inlineStr">
        <is>
          <t>Cost &amp; Forecast Control Accounts</t>
        </is>
      </c>
      <c r="C306" s="12" t="inlineStr">
        <is>
          <t>CST-02-027</t>
        </is>
      </c>
      <c r="D306" s="12" t="inlineStr">
        <is>
          <t>1.2.1 Stations - Station Structures</t>
        </is>
      </c>
      <c r="E306" s="12" t="inlineStr">
        <is>
          <t>New</t>
        </is>
      </c>
      <c r="F306" s="12" t="inlineStr"/>
      <c r="G306" s="12" t="inlineStr">
        <is>
          <t>Source assignment -- not individually reviewed</t>
        </is>
      </c>
      <c r="H306" s="17" t="inlineStr">
        <is>
          <t>10 EVIDENCE &amp; DECISIONS</t>
        </is>
      </c>
    </row>
    <row r="307" ht="34" customHeight="1">
      <c r="A307" s="12" t="inlineStr">
        <is>
          <t>R1191-v1</t>
        </is>
      </c>
      <c r="B307" s="12" t="inlineStr">
        <is>
          <t>Cost &amp; Forecast Control Accounts</t>
        </is>
      </c>
      <c r="C307" s="12" t="inlineStr">
        <is>
          <t>CST-02-029</t>
        </is>
      </c>
      <c r="D307" s="12" t="inlineStr">
        <is>
          <t>1.2.1 Stations - Station Structures</t>
        </is>
      </c>
      <c r="E307" s="12" t="inlineStr">
        <is>
          <t>New</t>
        </is>
      </c>
      <c r="F307" s="12" t="inlineStr"/>
      <c r="G307" s="12" t="inlineStr">
        <is>
          <t>Source assignment -- not individually reviewed</t>
        </is>
      </c>
      <c r="H307" s="17" t="inlineStr">
        <is>
          <t>10 EVIDENCE &amp; DECISIONS</t>
        </is>
      </c>
    </row>
    <row r="308" ht="34" customHeight="1">
      <c r="A308" s="12" t="inlineStr">
        <is>
          <t>R1193-v1</t>
        </is>
      </c>
      <c r="B308" s="12" t="inlineStr">
        <is>
          <t>Cost &amp; Forecast Control Accounts</t>
        </is>
      </c>
      <c r="C308" s="12" t="inlineStr">
        <is>
          <t>CST-02-031</t>
        </is>
      </c>
      <c r="D308" s="12" t="inlineStr">
        <is>
          <t>1.2.1 Stations - Station Structures</t>
        </is>
      </c>
      <c r="E308" s="12" t="inlineStr">
        <is>
          <t>New</t>
        </is>
      </c>
      <c r="F308" s="12" t="inlineStr"/>
      <c r="G308" s="12" t="inlineStr">
        <is>
          <t>Source assignment -- not individually reviewed</t>
        </is>
      </c>
      <c r="H308" s="17" t="inlineStr">
        <is>
          <t>10 EVIDENCE &amp; DECISIONS</t>
        </is>
      </c>
    </row>
    <row r="309" ht="34" customHeight="1">
      <c r="A309" s="12" t="inlineStr">
        <is>
          <t>R1195-v1</t>
        </is>
      </c>
      <c r="B309" s="12" t="inlineStr">
        <is>
          <t>Cost &amp; Forecast Control Accounts</t>
        </is>
      </c>
      <c r="C309" s="12" t="inlineStr">
        <is>
          <t>CST-02-033</t>
        </is>
      </c>
      <c r="D309" s="12" t="inlineStr">
        <is>
          <t>1.2.1 Stations - Station Structures</t>
        </is>
      </c>
      <c r="E309" s="12" t="inlineStr">
        <is>
          <t>New</t>
        </is>
      </c>
      <c r="F309" s="12" t="inlineStr"/>
      <c r="G309" s="12" t="inlineStr">
        <is>
          <t>Source assignment -- not individually reviewed</t>
        </is>
      </c>
      <c r="H309" s="17" t="inlineStr">
        <is>
          <t>10 EVIDENCE &amp; DECISIONS</t>
        </is>
      </c>
    </row>
    <row r="310" ht="34" customHeight="1">
      <c r="A310" s="12" t="inlineStr">
        <is>
          <t>R1197-v1</t>
        </is>
      </c>
      <c r="B310" s="12" t="inlineStr">
        <is>
          <t>Cost &amp; Forecast Control Accounts</t>
        </is>
      </c>
      <c r="C310" s="12" t="inlineStr">
        <is>
          <t>CST-02-035</t>
        </is>
      </c>
      <c r="D310" s="12" t="inlineStr">
        <is>
          <t>1.2.1 Stations - Station Structures</t>
        </is>
      </c>
      <c r="E310" s="12" t="inlineStr">
        <is>
          <t>New</t>
        </is>
      </c>
      <c r="F310" s="12" t="inlineStr"/>
      <c r="G310" s="12" t="inlineStr">
        <is>
          <t>Source assignment -- not individually reviewed</t>
        </is>
      </c>
      <c r="H310" s="17" t="inlineStr">
        <is>
          <t>10 EVIDENCE &amp; DECISIONS</t>
        </is>
      </c>
    </row>
    <row r="311" ht="34" customHeight="1">
      <c r="A311" s="12" t="inlineStr">
        <is>
          <t>R1199-v1</t>
        </is>
      </c>
      <c r="B311" s="12" t="inlineStr">
        <is>
          <t>Cost &amp; Forecast Control Accounts</t>
        </is>
      </c>
      <c r="C311" s="12" t="inlineStr">
        <is>
          <t>CST-02-037</t>
        </is>
      </c>
      <c r="D311" s="12" t="inlineStr">
        <is>
          <t>1.2.1 Stations - Station Structures</t>
        </is>
      </c>
      <c r="E311" s="12" t="inlineStr">
        <is>
          <t>New</t>
        </is>
      </c>
      <c r="F311" s="12" t="inlineStr"/>
      <c r="G311" s="12" t="inlineStr">
        <is>
          <t>Source assignment -- not individually reviewed</t>
        </is>
      </c>
      <c r="H311" s="17" t="inlineStr">
        <is>
          <t>10 EVIDENCE &amp; DECISIONS</t>
        </is>
      </c>
    </row>
    <row r="312" ht="34" customHeight="1">
      <c r="A312" s="12" t="inlineStr">
        <is>
          <t>R1201-v1</t>
        </is>
      </c>
      <c r="B312" s="12" t="inlineStr">
        <is>
          <t>Cost &amp; Forecast Control Accounts</t>
        </is>
      </c>
      <c r="C312" s="12" t="inlineStr">
        <is>
          <t>CST-02-039</t>
        </is>
      </c>
      <c r="D312" s="12" t="inlineStr">
        <is>
          <t>1.2.1 Stations - Station Structures</t>
        </is>
      </c>
      <c r="E312" s="12" t="inlineStr">
        <is>
          <t>New</t>
        </is>
      </c>
      <c r="F312" s="12" t="inlineStr"/>
      <c r="G312" s="12" t="inlineStr">
        <is>
          <t>Source assignment -- not individually reviewed</t>
        </is>
      </c>
      <c r="H312" s="17" t="inlineStr">
        <is>
          <t>10 EVIDENCE &amp; DECISIONS</t>
        </is>
      </c>
    </row>
    <row r="313" ht="34" customHeight="1">
      <c r="A313" s="12" t="inlineStr">
        <is>
          <t>R1203-v1</t>
        </is>
      </c>
      <c r="B313" s="12" t="inlineStr">
        <is>
          <t>Cost &amp; Forecast Control Accounts</t>
        </is>
      </c>
      <c r="C313" s="12" t="inlineStr">
        <is>
          <t>CST-02-041</t>
        </is>
      </c>
      <c r="D313" s="12" t="inlineStr">
        <is>
          <t>1.2.1 Stations - Station Structures</t>
        </is>
      </c>
      <c r="E313" s="12" t="inlineStr">
        <is>
          <t>New</t>
        </is>
      </c>
      <c r="F313" s="12" t="inlineStr"/>
      <c r="G313" s="12" t="inlineStr">
        <is>
          <t>Source assignment -- not individually reviewed</t>
        </is>
      </c>
      <c r="H313" s="17" t="inlineStr">
        <is>
          <t>10 EVIDENCE &amp; DECISIONS</t>
        </is>
      </c>
    </row>
    <row r="314" ht="34" customHeight="1">
      <c r="A314" s="12" t="inlineStr">
        <is>
          <t>R1205-v1</t>
        </is>
      </c>
      <c r="B314" s="12" t="inlineStr">
        <is>
          <t>Cost &amp; Forecast Control Accounts</t>
        </is>
      </c>
      <c r="C314" s="12" t="inlineStr">
        <is>
          <t>CST-02-043</t>
        </is>
      </c>
      <c r="D314" s="12" t="inlineStr">
        <is>
          <t>1.2.1 Stations - Station Structures</t>
        </is>
      </c>
      <c r="E314" s="12" t="inlineStr">
        <is>
          <t>New</t>
        </is>
      </c>
      <c r="F314" s="12" t="inlineStr"/>
      <c r="G314" s="12" t="inlineStr">
        <is>
          <t>Source assignment -- not individually reviewed</t>
        </is>
      </c>
      <c r="H314" s="17" t="inlineStr">
        <is>
          <t>10 EVIDENCE &amp; DECISIONS</t>
        </is>
      </c>
    </row>
    <row r="315" ht="34" customHeight="1">
      <c r="A315" s="12" t="inlineStr">
        <is>
          <t>R1207-v1</t>
        </is>
      </c>
      <c r="B315" s="12" t="inlineStr">
        <is>
          <t>Cost &amp; Forecast Control Accounts</t>
        </is>
      </c>
      <c r="C315" s="12" t="inlineStr">
        <is>
          <t>CST-02-045</t>
        </is>
      </c>
      <c r="D315" s="12" t="inlineStr">
        <is>
          <t>1.2.1 Stations - Station Structures</t>
        </is>
      </c>
      <c r="E315" s="12" t="inlineStr">
        <is>
          <t>New</t>
        </is>
      </c>
      <c r="F315" s="12" t="inlineStr"/>
      <c r="G315" s="12" t="inlineStr">
        <is>
          <t>Source assignment -- not individually reviewed</t>
        </is>
      </c>
      <c r="H315" s="17" t="inlineStr">
        <is>
          <t>10 EVIDENCE &amp; DECISIONS</t>
        </is>
      </c>
    </row>
    <row r="316" ht="34" customHeight="1">
      <c r="A316" s="12" t="inlineStr">
        <is>
          <t>R1209-v1</t>
        </is>
      </c>
      <c r="B316" s="12" t="inlineStr">
        <is>
          <t>Cost &amp; Forecast Control Accounts</t>
        </is>
      </c>
      <c r="C316" s="12" t="inlineStr">
        <is>
          <t>CST-02-047</t>
        </is>
      </c>
      <c r="D316" s="12" t="inlineStr">
        <is>
          <t>1.2.1 Stations - Station Structures</t>
        </is>
      </c>
      <c r="E316" s="12" t="inlineStr">
        <is>
          <t>New</t>
        </is>
      </c>
      <c r="F316" s="12" t="inlineStr"/>
      <c r="G316" s="12" t="inlineStr">
        <is>
          <t>Source assignment -- not individually reviewed</t>
        </is>
      </c>
      <c r="H316" s="17" t="inlineStr">
        <is>
          <t>10 EVIDENCE &amp; DECISIONS</t>
        </is>
      </c>
    </row>
    <row r="317" ht="34" customHeight="1">
      <c r="A317" s="12" t="inlineStr">
        <is>
          <t>R1211-v1</t>
        </is>
      </c>
      <c r="B317" s="12" t="inlineStr">
        <is>
          <t>Cost &amp; Forecast Control Accounts</t>
        </is>
      </c>
      <c r="C317" s="12" t="inlineStr">
        <is>
          <t>CST-02-049</t>
        </is>
      </c>
      <c r="D317" s="12" t="inlineStr">
        <is>
          <t>1.2.1 Stations - Station Structures</t>
        </is>
      </c>
      <c r="E317" s="12" t="inlineStr">
        <is>
          <t>New</t>
        </is>
      </c>
      <c r="F317" s="12" t="inlineStr"/>
      <c r="G317" s="12" t="inlineStr">
        <is>
          <t>Source assignment -- not individually reviewed</t>
        </is>
      </c>
      <c r="H317" s="17" t="inlineStr">
        <is>
          <t>10 EVIDENCE &amp; DECISIONS</t>
        </is>
      </c>
    </row>
    <row r="318" ht="34" customHeight="1">
      <c r="A318" s="12" t="inlineStr">
        <is>
          <t>R1213-v1</t>
        </is>
      </c>
      <c r="B318" s="12" t="inlineStr">
        <is>
          <t>Cost &amp; Forecast Control Accounts</t>
        </is>
      </c>
      <c r="C318" s="12" t="inlineStr">
        <is>
          <t>CST-02-051</t>
        </is>
      </c>
      <c r="D318" s="12" t="inlineStr">
        <is>
          <t>1.2.1 Stations - Station Structures</t>
        </is>
      </c>
      <c r="E318" s="12" t="inlineStr">
        <is>
          <t>New</t>
        </is>
      </c>
      <c r="F318" s="12" t="inlineStr"/>
      <c r="G318" s="12" t="inlineStr">
        <is>
          <t>Source assignment -- not individually reviewed</t>
        </is>
      </c>
      <c r="H318" s="17" t="inlineStr">
        <is>
          <t>10 EVIDENCE &amp; DECISIONS</t>
        </is>
      </c>
    </row>
    <row r="319" ht="34" customHeight="1">
      <c r="A319" s="12" t="inlineStr">
        <is>
          <t>R1215-v1</t>
        </is>
      </c>
      <c r="B319" s="12" t="inlineStr">
        <is>
          <t>Cost &amp; Forecast Control Accounts</t>
        </is>
      </c>
      <c r="C319" s="12" t="inlineStr">
        <is>
          <t>CST-02-053</t>
        </is>
      </c>
      <c r="D319" s="12" t="inlineStr">
        <is>
          <t>1.2.1 Stations - Station Structures</t>
        </is>
      </c>
      <c r="E319" s="12" t="inlineStr">
        <is>
          <t>New</t>
        </is>
      </c>
      <c r="F319" s="12" t="inlineStr"/>
      <c r="G319" s="12" t="inlineStr">
        <is>
          <t>Source assignment -- not individually reviewed</t>
        </is>
      </c>
      <c r="H319" s="17" t="inlineStr">
        <is>
          <t>10 EVIDENCE &amp; DECISIONS</t>
        </is>
      </c>
    </row>
    <row r="320" ht="34" customHeight="1">
      <c r="A320" s="12" t="inlineStr">
        <is>
          <t>R1217-v1</t>
        </is>
      </c>
      <c r="B320" s="12" t="inlineStr">
        <is>
          <t>Cost &amp; Forecast Control Accounts</t>
        </is>
      </c>
      <c r="C320" s="12" t="inlineStr">
        <is>
          <t>CST-02-055</t>
        </is>
      </c>
      <c r="D320" s="12" t="inlineStr">
        <is>
          <t>1.2.1 Stations - Station Structures</t>
        </is>
      </c>
      <c r="E320" s="12" t="inlineStr">
        <is>
          <t>New</t>
        </is>
      </c>
      <c r="F320" s="12" t="inlineStr"/>
      <c r="G320" s="12" t="inlineStr">
        <is>
          <t>Source assignment -- not individually reviewed</t>
        </is>
      </c>
      <c r="H320" s="17" t="inlineStr">
        <is>
          <t>10 EVIDENCE &amp; DECISIONS</t>
        </is>
      </c>
    </row>
    <row r="321" ht="34" customHeight="1">
      <c r="A321" s="12" t="inlineStr">
        <is>
          <t>R1219-v1</t>
        </is>
      </c>
      <c r="B321" s="12" t="inlineStr">
        <is>
          <t>Cost &amp; Forecast Control Accounts</t>
        </is>
      </c>
      <c r="C321" s="12" t="inlineStr">
        <is>
          <t>CST-02-057</t>
        </is>
      </c>
      <c r="D321" s="12" t="inlineStr">
        <is>
          <t>1.2.1 Stations - Station Structures</t>
        </is>
      </c>
      <c r="E321" s="12" t="inlineStr">
        <is>
          <t>New</t>
        </is>
      </c>
      <c r="F321" s="12" t="inlineStr"/>
      <c r="G321" s="12" t="inlineStr">
        <is>
          <t>Source assignment -- not individually reviewed</t>
        </is>
      </c>
      <c r="H321" s="17" t="inlineStr">
        <is>
          <t>10 EVIDENCE &amp; DECISIONS</t>
        </is>
      </c>
    </row>
    <row r="322" ht="34" customHeight="1">
      <c r="A322" s="12" t="inlineStr">
        <is>
          <t>R1221-v1</t>
        </is>
      </c>
      <c r="B322" s="12" t="inlineStr">
        <is>
          <t>Cost &amp; Forecast Control Accounts</t>
        </is>
      </c>
      <c r="C322" s="12" t="inlineStr">
        <is>
          <t>CST-02-059</t>
        </is>
      </c>
      <c r="D322" s="12" t="inlineStr">
        <is>
          <t>1.2.1 Stations - Station Structures</t>
        </is>
      </c>
      <c r="E322" s="12" t="inlineStr">
        <is>
          <t>New</t>
        </is>
      </c>
      <c r="F322" s="12" t="inlineStr"/>
      <c r="G322" s="12" t="inlineStr">
        <is>
          <t>Source assignment -- not individually reviewed</t>
        </is>
      </c>
      <c r="H322" s="17" t="inlineStr">
        <is>
          <t>10 EVIDENCE &amp; DECISIONS</t>
        </is>
      </c>
    </row>
    <row r="323" ht="34" customHeight="1">
      <c r="A323" s="12" t="inlineStr">
        <is>
          <t>R1223-v1</t>
        </is>
      </c>
      <c r="B323" s="12" t="inlineStr">
        <is>
          <t>Cost &amp; Forecast Control Accounts</t>
        </is>
      </c>
      <c r="C323" s="12" t="inlineStr">
        <is>
          <t>CST-02-061</t>
        </is>
      </c>
      <c r="D323" s="12" t="inlineStr">
        <is>
          <t>1.2.1 Stations - Station Structures</t>
        </is>
      </c>
      <c r="E323" s="12" t="inlineStr">
        <is>
          <t>New</t>
        </is>
      </c>
      <c r="F323" s="12" t="inlineStr"/>
      <c r="G323" s="12" t="inlineStr">
        <is>
          <t>Source assignment -- not individually reviewed</t>
        </is>
      </c>
      <c r="H323" s="17" t="inlineStr">
        <is>
          <t>10 EVIDENCE &amp; DECISIONS</t>
        </is>
      </c>
    </row>
    <row r="324" ht="34" customHeight="1">
      <c r="A324" s="12" t="inlineStr">
        <is>
          <t>R1225-v1</t>
        </is>
      </c>
      <c r="B324" s="12" t="inlineStr">
        <is>
          <t>Cost &amp; Forecast Control Accounts</t>
        </is>
      </c>
      <c r="C324" s="12" t="inlineStr">
        <is>
          <t>CST-02-063</t>
        </is>
      </c>
      <c r="D324" s="12" t="inlineStr">
        <is>
          <t>1.2.1 Stations - Station Structures</t>
        </is>
      </c>
      <c r="E324" s="12" t="inlineStr">
        <is>
          <t>New</t>
        </is>
      </c>
      <c r="F324" s="12" t="inlineStr"/>
      <c r="G324" s="12" t="inlineStr">
        <is>
          <t>Source assignment -- not individually reviewed</t>
        </is>
      </c>
      <c r="H324" s="17" t="inlineStr">
        <is>
          <t>10 EVIDENCE &amp; DECISIONS</t>
        </is>
      </c>
    </row>
    <row r="325" ht="34" customHeight="1">
      <c r="A325" s="12" t="inlineStr">
        <is>
          <t>R1227-v1</t>
        </is>
      </c>
      <c r="B325" s="12" t="inlineStr">
        <is>
          <t>Cost &amp; Forecast Control Accounts</t>
        </is>
      </c>
      <c r="C325" s="12" t="inlineStr">
        <is>
          <t>CST-02-065</t>
        </is>
      </c>
      <c r="D325" s="12" t="inlineStr">
        <is>
          <t>1.2.1 Stations - Station Structures</t>
        </is>
      </c>
      <c r="E325" s="12" t="inlineStr">
        <is>
          <t>New</t>
        </is>
      </c>
      <c r="F325" s="12" t="inlineStr"/>
      <c r="G325" s="12" t="inlineStr">
        <is>
          <t>Source assignment -- not individually reviewed</t>
        </is>
      </c>
      <c r="H325" s="17" t="inlineStr">
        <is>
          <t>10 EVIDENCE &amp; DECISIONS</t>
        </is>
      </c>
    </row>
    <row r="326" ht="34" customHeight="1">
      <c r="A326" s="12" t="inlineStr">
        <is>
          <t>R1229-v1</t>
        </is>
      </c>
      <c r="B326" s="12" t="inlineStr">
        <is>
          <t>Cost &amp; Forecast Control Accounts</t>
        </is>
      </c>
      <c r="C326" s="12" t="inlineStr">
        <is>
          <t>CST-02-067</t>
        </is>
      </c>
      <c r="D326" s="12" t="inlineStr">
        <is>
          <t>1.2.1 Stations - Station Structures</t>
        </is>
      </c>
      <c r="E326" s="12" t="inlineStr">
        <is>
          <t>New</t>
        </is>
      </c>
      <c r="F326" s="12" t="inlineStr"/>
      <c r="G326" s="12" t="inlineStr">
        <is>
          <t>Source assignment -- not individually reviewed</t>
        </is>
      </c>
      <c r="H326" s="17" t="inlineStr">
        <is>
          <t>10 EVIDENCE &amp; DECISIONS</t>
        </is>
      </c>
    </row>
    <row r="327" ht="34" customHeight="1">
      <c r="A327" s="12" t="inlineStr">
        <is>
          <t>R1231-v1</t>
        </is>
      </c>
      <c r="B327" s="12" t="inlineStr">
        <is>
          <t>Cost &amp; Forecast Control Accounts</t>
        </is>
      </c>
      <c r="C327" s="12" t="inlineStr">
        <is>
          <t>CST-02-069</t>
        </is>
      </c>
      <c r="D327" s="12" t="inlineStr">
        <is>
          <t>1.2.1 Stations - Station Structures</t>
        </is>
      </c>
      <c r="E327" s="12" t="inlineStr">
        <is>
          <t>New</t>
        </is>
      </c>
      <c r="F327" s="12" t="inlineStr"/>
      <c r="G327" s="12" t="inlineStr">
        <is>
          <t>Source assignment -- not individually reviewed</t>
        </is>
      </c>
      <c r="H327" s="17" t="inlineStr">
        <is>
          <t>10 EVIDENCE &amp; DECISIONS</t>
        </is>
      </c>
    </row>
    <row r="328" ht="34" customHeight="1">
      <c r="A328" s="12" t="inlineStr">
        <is>
          <t>R1233-v1</t>
        </is>
      </c>
      <c r="B328" s="12" t="inlineStr">
        <is>
          <t>Cost &amp; Forecast Control Accounts</t>
        </is>
      </c>
      <c r="C328" s="12" t="inlineStr">
        <is>
          <t>CST-02-071</t>
        </is>
      </c>
      <c r="D328" s="12" t="inlineStr">
        <is>
          <t>1.2.1 Stations - Station Structures</t>
        </is>
      </c>
      <c r="E328" s="12" t="inlineStr">
        <is>
          <t>New</t>
        </is>
      </c>
      <c r="F328" s="12" t="inlineStr"/>
      <c r="G328" s="12" t="inlineStr">
        <is>
          <t>Source assignment -- not individually reviewed</t>
        </is>
      </c>
      <c r="H328" s="17" t="inlineStr">
        <is>
          <t>10 EVIDENCE &amp; DECISIONS</t>
        </is>
      </c>
    </row>
    <row r="329" ht="34" customHeight="1">
      <c r="A329" s="12" t="inlineStr">
        <is>
          <t>R1235-v1</t>
        </is>
      </c>
      <c r="B329" s="12" t="inlineStr">
        <is>
          <t>Cost &amp; Forecast Control Accounts</t>
        </is>
      </c>
      <c r="C329" s="12" t="inlineStr">
        <is>
          <t>CST-02-073</t>
        </is>
      </c>
      <c r="D329" s="12" t="inlineStr">
        <is>
          <t>1.2.1 Stations - Station Structures</t>
        </is>
      </c>
      <c r="E329" s="12" t="inlineStr">
        <is>
          <t>New</t>
        </is>
      </c>
      <c r="F329" s="12" t="inlineStr"/>
      <c r="G329" s="12" t="inlineStr">
        <is>
          <t>Source assignment -- not individually reviewed</t>
        </is>
      </c>
      <c r="H329" s="17" t="inlineStr">
        <is>
          <t>10 EVIDENCE &amp; DECISIONS</t>
        </is>
      </c>
    </row>
    <row r="330" ht="34" customHeight="1">
      <c r="A330" s="12" t="inlineStr">
        <is>
          <t>R1237-v1</t>
        </is>
      </c>
      <c r="B330" s="12" t="inlineStr">
        <is>
          <t>Cost &amp; Forecast Control Accounts</t>
        </is>
      </c>
      <c r="C330" s="12" t="inlineStr">
        <is>
          <t>CST-02-075</t>
        </is>
      </c>
      <c r="D330" s="12" t="inlineStr">
        <is>
          <t>1.2.1 Stations - Station Structures</t>
        </is>
      </c>
      <c r="E330" s="12" t="inlineStr">
        <is>
          <t>New</t>
        </is>
      </c>
      <c r="F330" s="12" t="inlineStr"/>
      <c r="G330" s="12" t="inlineStr">
        <is>
          <t>Source assignment -- not individually reviewed</t>
        </is>
      </c>
      <c r="H330" s="17" t="inlineStr">
        <is>
          <t>10 EVIDENCE &amp; DECISIONS</t>
        </is>
      </c>
    </row>
    <row r="331" ht="34" customHeight="1">
      <c r="A331" s="12" t="inlineStr">
        <is>
          <t>R1239-v1</t>
        </is>
      </c>
      <c r="B331" s="12" t="inlineStr">
        <is>
          <t>Cost &amp; Forecast Control Accounts</t>
        </is>
      </c>
      <c r="C331" s="12" t="inlineStr">
        <is>
          <t>CST-02-077</t>
        </is>
      </c>
      <c r="D331" s="12" t="inlineStr">
        <is>
          <t>1.2.1 Stations - Station Structures</t>
        </is>
      </c>
      <c r="E331" s="12" t="inlineStr">
        <is>
          <t>New</t>
        </is>
      </c>
      <c r="F331" s="12" t="inlineStr"/>
      <c r="G331" s="12" t="inlineStr">
        <is>
          <t>Source assignment -- not individually reviewed</t>
        </is>
      </c>
      <c r="H331" s="17" t="inlineStr">
        <is>
          <t>10 EVIDENCE &amp; DECISIONS</t>
        </is>
      </c>
    </row>
    <row r="332" ht="34" customHeight="1">
      <c r="A332" s="12" t="inlineStr">
        <is>
          <t>R1241-v1</t>
        </is>
      </c>
      <c r="B332" s="12" t="inlineStr">
        <is>
          <t>Cost &amp; Forecast Control Accounts</t>
        </is>
      </c>
      <c r="C332" s="12" t="inlineStr">
        <is>
          <t>CST-02-079</t>
        </is>
      </c>
      <c r="D332" s="12" t="inlineStr">
        <is>
          <t>1.2.1 Stations - Station Structures</t>
        </is>
      </c>
      <c r="E332" s="12" t="inlineStr">
        <is>
          <t>New</t>
        </is>
      </c>
      <c r="F332" s="12" t="inlineStr"/>
      <c r="G332" s="12" t="inlineStr">
        <is>
          <t>Source assignment -- not individually reviewed</t>
        </is>
      </c>
      <c r="H332" s="17" t="inlineStr">
        <is>
          <t>10 EVIDENCE &amp; DECISIONS</t>
        </is>
      </c>
    </row>
    <row r="333" ht="34" customHeight="1">
      <c r="A333" s="12" t="inlineStr">
        <is>
          <t>R181-v1</t>
        </is>
      </c>
      <c r="B333" s="12" t="inlineStr">
        <is>
          <t>Contractor Programme</t>
        </is>
      </c>
      <c r="C333" s="12" t="inlineStr">
        <is>
          <t>SCH-02-001</t>
        </is>
      </c>
      <c r="D333" s="12" t="inlineStr">
        <is>
          <t>1.2.1 Stations - Station Structures</t>
        </is>
      </c>
      <c r="E333" s="12" t="inlineStr">
        <is>
          <t>New</t>
        </is>
      </c>
      <c r="F333" s="12" t="inlineStr"/>
      <c r="G333" s="12" t="inlineStr">
        <is>
          <t>Source assignment -- not individually reviewed</t>
        </is>
      </c>
      <c r="H333" s="17" t="inlineStr">
        <is>
          <t>10 EVIDENCE &amp; DECISIONS</t>
        </is>
      </c>
    </row>
    <row r="334" ht="34" customHeight="1">
      <c r="A334" s="12" t="inlineStr">
        <is>
          <t>R182-v1</t>
        </is>
      </c>
      <c r="B334" s="12" t="inlineStr">
        <is>
          <t>Contractor Programme</t>
        </is>
      </c>
      <c r="C334" s="12" t="inlineStr">
        <is>
          <t>SCH-02-002</t>
        </is>
      </c>
      <c r="D334" s="12" t="inlineStr">
        <is>
          <t>1.2.1 Stations - Station Structures</t>
        </is>
      </c>
      <c r="E334" s="12" t="inlineStr">
        <is>
          <t>New</t>
        </is>
      </c>
      <c r="F334" s="12" t="inlineStr"/>
      <c r="G334" s="12" t="inlineStr">
        <is>
          <t>Source assignment -- not individually reviewed</t>
        </is>
      </c>
      <c r="H334" s="17" t="inlineStr">
        <is>
          <t>10 EVIDENCE &amp; DECISIONS</t>
        </is>
      </c>
    </row>
    <row r="335" ht="34" customHeight="1">
      <c r="A335" s="12" t="inlineStr">
        <is>
          <t>R184-v1</t>
        </is>
      </c>
      <c r="B335" s="12" t="inlineStr">
        <is>
          <t>Contractor Programme</t>
        </is>
      </c>
      <c r="C335" s="12" t="inlineStr">
        <is>
          <t>SCH-02-004</t>
        </is>
      </c>
      <c r="D335" s="12" t="inlineStr">
        <is>
          <t>1.2.1 Stations - Station Structures</t>
        </is>
      </c>
      <c r="E335" s="12" t="inlineStr">
        <is>
          <t>New</t>
        </is>
      </c>
      <c r="F335" s="12" t="inlineStr"/>
      <c r="G335" s="12" t="inlineStr">
        <is>
          <t>Source assignment -- not individually reviewed</t>
        </is>
      </c>
      <c r="H335" s="17" t="inlineStr">
        <is>
          <t>10 EVIDENCE &amp; DECISIONS</t>
        </is>
      </c>
    </row>
    <row r="336" ht="34" customHeight="1">
      <c r="A336" s="12" t="inlineStr">
        <is>
          <t>R185-v1</t>
        </is>
      </c>
      <c r="B336" s="12" t="inlineStr">
        <is>
          <t>Contractor Programme</t>
        </is>
      </c>
      <c r="C336" s="12" t="inlineStr">
        <is>
          <t>SCH-02-005</t>
        </is>
      </c>
      <c r="D336" s="12" t="inlineStr">
        <is>
          <t>1.2.1 Stations - Station Structures</t>
        </is>
      </c>
      <c r="E336" s="12" t="inlineStr">
        <is>
          <t>New</t>
        </is>
      </c>
      <c r="F336" s="12" t="inlineStr"/>
      <c r="G336" s="12" t="inlineStr">
        <is>
          <t>Source assignment -- not individually reviewed</t>
        </is>
      </c>
      <c r="H336" s="17" t="inlineStr">
        <is>
          <t>10 EVIDENCE &amp; DECISIONS</t>
        </is>
      </c>
    </row>
    <row r="337" ht="34" customHeight="1">
      <c r="A337" s="12" t="inlineStr">
        <is>
          <t>R187-v1</t>
        </is>
      </c>
      <c r="B337" s="12" t="inlineStr">
        <is>
          <t>Contractor Programme</t>
        </is>
      </c>
      <c r="C337" s="12" t="inlineStr">
        <is>
          <t>SCH-02-007</t>
        </is>
      </c>
      <c r="D337" s="12" t="inlineStr">
        <is>
          <t>1.2.1 Stations - Station Structures</t>
        </is>
      </c>
      <c r="E337" s="12" t="inlineStr">
        <is>
          <t>New</t>
        </is>
      </c>
      <c r="F337" s="12" t="inlineStr"/>
      <c r="G337" s="12" t="inlineStr">
        <is>
          <t>Source assignment -- not individually reviewed</t>
        </is>
      </c>
      <c r="H337" s="17" t="inlineStr">
        <is>
          <t>10 EVIDENCE &amp; DECISIONS</t>
        </is>
      </c>
    </row>
    <row r="338" ht="34" customHeight="1">
      <c r="A338" s="12" t="inlineStr">
        <is>
          <t>R188-v1</t>
        </is>
      </c>
      <c r="B338" s="12" t="inlineStr">
        <is>
          <t>Contractor Programme</t>
        </is>
      </c>
      <c r="C338" s="12" t="inlineStr">
        <is>
          <t>SCH-02-008</t>
        </is>
      </c>
      <c r="D338" s="12" t="inlineStr">
        <is>
          <t>1.2.1 Stations - Station Structures</t>
        </is>
      </c>
      <c r="E338" s="12" t="inlineStr">
        <is>
          <t>New</t>
        </is>
      </c>
      <c r="F338" s="12" t="inlineStr"/>
      <c r="G338" s="12" t="inlineStr">
        <is>
          <t>Source assignment -- not individually reviewed</t>
        </is>
      </c>
      <c r="H338" s="17" t="inlineStr">
        <is>
          <t>10 EVIDENCE &amp; DECISIONS</t>
        </is>
      </c>
    </row>
    <row r="339" ht="34" customHeight="1">
      <c r="A339" s="12" t="inlineStr">
        <is>
          <t>R190-v1</t>
        </is>
      </c>
      <c r="B339" s="12" t="inlineStr">
        <is>
          <t>Contractor Programme</t>
        </is>
      </c>
      <c r="C339" s="12" t="inlineStr">
        <is>
          <t>SCH-02-010</t>
        </is>
      </c>
      <c r="D339" s="12" t="inlineStr">
        <is>
          <t>1.2.1 Stations - Station Structures</t>
        </is>
      </c>
      <c r="E339" s="12" t="inlineStr">
        <is>
          <t>New</t>
        </is>
      </c>
      <c r="F339" s="12" t="inlineStr"/>
      <c r="G339" s="12" t="inlineStr">
        <is>
          <t>Source assignment -- not individually reviewed</t>
        </is>
      </c>
      <c r="H339" s="17" t="inlineStr">
        <is>
          <t>10 EVIDENCE &amp; DECISIONS</t>
        </is>
      </c>
    </row>
    <row r="340" ht="34" customHeight="1">
      <c r="A340" s="12" t="inlineStr">
        <is>
          <t>R191-v1</t>
        </is>
      </c>
      <c r="B340" s="12" t="inlineStr">
        <is>
          <t>Contractor Programme</t>
        </is>
      </c>
      <c r="C340" s="12" t="inlineStr">
        <is>
          <t>SCH-02-011</t>
        </is>
      </c>
      <c r="D340" s="12" t="inlineStr">
        <is>
          <t>1.2.1 Stations - Station Structures</t>
        </is>
      </c>
      <c r="E340" s="12" t="inlineStr">
        <is>
          <t>New</t>
        </is>
      </c>
      <c r="F340" s="12" t="inlineStr"/>
      <c r="G340" s="12" t="inlineStr">
        <is>
          <t>Source assignment -- not individually reviewed</t>
        </is>
      </c>
      <c r="H340" s="17" t="inlineStr">
        <is>
          <t>10 EVIDENCE &amp; DECISIONS</t>
        </is>
      </c>
    </row>
    <row r="341" ht="34" customHeight="1">
      <c r="A341" s="12" t="inlineStr">
        <is>
          <t>R193-v1</t>
        </is>
      </c>
      <c r="B341" s="12" t="inlineStr">
        <is>
          <t>Contractor Programme</t>
        </is>
      </c>
      <c r="C341" s="12" t="inlineStr">
        <is>
          <t>SCH-02-013</t>
        </is>
      </c>
      <c r="D341" s="12" t="inlineStr">
        <is>
          <t>1.2.1 Stations - Station Structures</t>
        </is>
      </c>
      <c r="E341" s="12" t="inlineStr">
        <is>
          <t>New</t>
        </is>
      </c>
      <c r="F341" s="12" t="inlineStr"/>
      <c r="G341" s="12" t="inlineStr">
        <is>
          <t>Source assignment -- not individually reviewed</t>
        </is>
      </c>
      <c r="H341" s="17" t="inlineStr">
        <is>
          <t>10 EVIDENCE &amp; DECISIONS</t>
        </is>
      </c>
    </row>
    <row r="342" ht="34" customHeight="1">
      <c r="A342" s="12" t="inlineStr">
        <is>
          <t>R194-v1</t>
        </is>
      </c>
      <c r="B342" s="12" t="inlineStr">
        <is>
          <t>Contractor Programme</t>
        </is>
      </c>
      <c r="C342" s="12" t="inlineStr">
        <is>
          <t>SCH-02-014</t>
        </is>
      </c>
      <c r="D342" s="12" t="inlineStr">
        <is>
          <t>1.2.1 Stations - Station Structures</t>
        </is>
      </c>
      <c r="E342" s="12" t="inlineStr">
        <is>
          <t>New</t>
        </is>
      </c>
      <c r="F342" s="12" t="inlineStr"/>
      <c r="G342" s="12" t="inlineStr">
        <is>
          <t>Source assignment -- not individually reviewed</t>
        </is>
      </c>
      <c r="H342" s="17" t="inlineStr">
        <is>
          <t>10 EVIDENCE &amp; DECISIONS</t>
        </is>
      </c>
    </row>
    <row r="343" ht="34" customHeight="1">
      <c r="A343" s="12" t="inlineStr">
        <is>
          <t>R196-v1</t>
        </is>
      </c>
      <c r="B343" s="12" t="inlineStr">
        <is>
          <t>Contractor Programme</t>
        </is>
      </c>
      <c r="C343" s="12" t="inlineStr">
        <is>
          <t>SCH-02-016</t>
        </is>
      </c>
      <c r="D343" s="12" t="inlineStr">
        <is>
          <t>1.2.1 Stations - Station Structures</t>
        </is>
      </c>
      <c r="E343" s="12" t="inlineStr">
        <is>
          <t>New</t>
        </is>
      </c>
      <c r="F343" s="12" t="inlineStr"/>
      <c r="G343" s="12" t="inlineStr">
        <is>
          <t>Source assignment -- not individually reviewed</t>
        </is>
      </c>
      <c r="H343" s="17" t="inlineStr">
        <is>
          <t>10 EVIDENCE &amp; DECISIONS</t>
        </is>
      </c>
    </row>
    <row r="344" ht="34" customHeight="1">
      <c r="A344" s="12" t="inlineStr">
        <is>
          <t>R197-v1</t>
        </is>
      </c>
      <c r="B344" s="12" t="inlineStr">
        <is>
          <t>Contractor Programme</t>
        </is>
      </c>
      <c r="C344" s="12" t="inlineStr">
        <is>
          <t>SCH-02-017</t>
        </is>
      </c>
      <c r="D344" s="12" t="inlineStr">
        <is>
          <t>1.2.1 Stations - Station Structures</t>
        </is>
      </c>
      <c r="E344" s="12" t="inlineStr">
        <is>
          <t>New</t>
        </is>
      </c>
      <c r="F344" s="12" t="inlineStr"/>
      <c r="G344" s="12" t="inlineStr">
        <is>
          <t>Source assignment -- not individually reviewed</t>
        </is>
      </c>
      <c r="H344" s="17" t="inlineStr">
        <is>
          <t>10 EVIDENCE &amp; DECISIONS</t>
        </is>
      </c>
    </row>
    <row r="345" ht="34" customHeight="1">
      <c r="A345" s="12" t="inlineStr">
        <is>
          <t>R199-v1</t>
        </is>
      </c>
      <c r="B345" s="12" t="inlineStr">
        <is>
          <t>Contractor Programme</t>
        </is>
      </c>
      <c r="C345" s="12" t="inlineStr">
        <is>
          <t>SCH-02-019</t>
        </is>
      </c>
      <c r="D345" s="12" t="inlineStr">
        <is>
          <t>1.2.1 Stations - Station Structures</t>
        </is>
      </c>
      <c r="E345" s="12" t="inlineStr">
        <is>
          <t>New</t>
        </is>
      </c>
      <c r="F345" s="12" t="inlineStr"/>
      <c r="G345" s="12" t="inlineStr">
        <is>
          <t>Source assignment -- not individually reviewed</t>
        </is>
      </c>
      <c r="H345" s="17" t="inlineStr">
        <is>
          <t>10 EVIDENCE &amp; DECISIONS</t>
        </is>
      </c>
    </row>
    <row r="346" ht="34" customHeight="1">
      <c r="A346" s="12" t="inlineStr">
        <is>
          <t>R200-v1</t>
        </is>
      </c>
      <c r="B346" s="12" t="inlineStr">
        <is>
          <t>Contractor Programme</t>
        </is>
      </c>
      <c r="C346" s="12" t="inlineStr">
        <is>
          <t>SCH-02-020</t>
        </is>
      </c>
      <c r="D346" s="12" t="inlineStr">
        <is>
          <t>1.2.1 Stations - Station Structures</t>
        </is>
      </c>
      <c r="E346" s="12" t="inlineStr">
        <is>
          <t>New</t>
        </is>
      </c>
      <c r="F346" s="12" t="inlineStr"/>
      <c r="G346" s="12" t="inlineStr">
        <is>
          <t>Source assignment -- not individually reviewed</t>
        </is>
      </c>
      <c r="H346" s="17" t="inlineStr">
        <is>
          <t>10 EVIDENCE &amp; DECISIONS</t>
        </is>
      </c>
    </row>
    <row r="347" ht="34" customHeight="1">
      <c r="A347" s="12" t="inlineStr">
        <is>
          <t>R202-v1</t>
        </is>
      </c>
      <c r="B347" s="12" t="inlineStr">
        <is>
          <t>Contractor Programme</t>
        </is>
      </c>
      <c r="C347" s="12" t="inlineStr">
        <is>
          <t>SCH-02-022</t>
        </is>
      </c>
      <c r="D347" s="12" t="inlineStr">
        <is>
          <t>1.2.1 Stations - Station Structures</t>
        </is>
      </c>
      <c r="E347" s="12" t="inlineStr">
        <is>
          <t>New</t>
        </is>
      </c>
      <c r="F347" s="12" t="inlineStr"/>
      <c r="G347" s="12" t="inlineStr">
        <is>
          <t>Source assignment -- not individually reviewed</t>
        </is>
      </c>
      <c r="H347" s="17" t="inlineStr">
        <is>
          <t>10 EVIDENCE &amp; DECISIONS</t>
        </is>
      </c>
    </row>
    <row r="348" ht="34" customHeight="1">
      <c r="A348" s="12" t="inlineStr">
        <is>
          <t>R203-v1</t>
        </is>
      </c>
      <c r="B348" s="12" t="inlineStr">
        <is>
          <t>Contractor Programme</t>
        </is>
      </c>
      <c r="C348" s="12" t="inlineStr">
        <is>
          <t>SCH-02-023</t>
        </is>
      </c>
      <c r="D348" s="12" t="inlineStr">
        <is>
          <t>1.2.1 Stations - Station Structures</t>
        </is>
      </c>
      <c r="E348" s="12" t="inlineStr">
        <is>
          <t>New</t>
        </is>
      </c>
      <c r="F348" s="12" t="inlineStr"/>
      <c r="G348" s="12" t="inlineStr">
        <is>
          <t>Source assignment -- not individually reviewed</t>
        </is>
      </c>
      <c r="H348" s="17" t="inlineStr">
        <is>
          <t>10 EVIDENCE &amp; DECISIONS</t>
        </is>
      </c>
    </row>
    <row r="349" ht="34" customHeight="1">
      <c r="A349" s="12" t="inlineStr">
        <is>
          <t>R205-v1</t>
        </is>
      </c>
      <c r="B349" s="12" t="inlineStr">
        <is>
          <t>Contractor Programme</t>
        </is>
      </c>
      <c r="C349" s="12" t="inlineStr">
        <is>
          <t>SCH-02-025</t>
        </is>
      </c>
      <c r="D349" s="12" t="inlineStr">
        <is>
          <t>1.2.1 Stations - Station Structures</t>
        </is>
      </c>
      <c r="E349" s="12" t="inlineStr">
        <is>
          <t>New</t>
        </is>
      </c>
      <c r="F349" s="12" t="inlineStr"/>
      <c r="G349" s="12" t="inlineStr">
        <is>
          <t>Source assignment -- not individually reviewed</t>
        </is>
      </c>
      <c r="H349" s="17" t="inlineStr">
        <is>
          <t>10 EVIDENCE &amp; DECISIONS</t>
        </is>
      </c>
    </row>
    <row r="350" ht="34" customHeight="1">
      <c r="A350" s="12" t="inlineStr">
        <is>
          <t>R206-v1</t>
        </is>
      </c>
      <c r="B350" s="12" t="inlineStr">
        <is>
          <t>Contractor Programme</t>
        </is>
      </c>
      <c r="C350" s="12" t="inlineStr">
        <is>
          <t>SCH-02-026</t>
        </is>
      </c>
      <c r="D350" s="12" t="inlineStr">
        <is>
          <t>1.2.1 Stations - Station Structures</t>
        </is>
      </c>
      <c r="E350" s="12" t="inlineStr">
        <is>
          <t>New</t>
        </is>
      </c>
      <c r="F350" s="12" t="inlineStr"/>
      <c r="G350" s="12" t="inlineStr">
        <is>
          <t>Source assignment -- not individually reviewed</t>
        </is>
      </c>
      <c r="H350" s="17" t="inlineStr">
        <is>
          <t>10 EVIDENCE &amp; DECISIONS</t>
        </is>
      </c>
    </row>
    <row r="351" ht="34" customHeight="1">
      <c r="A351" s="12" t="inlineStr">
        <is>
          <t>R208-v1</t>
        </is>
      </c>
      <c r="B351" s="12" t="inlineStr">
        <is>
          <t>Contractor Programme</t>
        </is>
      </c>
      <c r="C351" s="12" t="inlineStr">
        <is>
          <t>SCH-02-028</t>
        </is>
      </c>
      <c r="D351" s="12" t="inlineStr">
        <is>
          <t>1.2.1 Stations - Station Structures</t>
        </is>
      </c>
      <c r="E351" s="12" t="inlineStr">
        <is>
          <t>New</t>
        </is>
      </c>
      <c r="F351" s="12" t="inlineStr"/>
      <c r="G351" s="12" t="inlineStr">
        <is>
          <t>Source assignment -- not individually reviewed</t>
        </is>
      </c>
      <c r="H351" s="17" t="inlineStr">
        <is>
          <t>10 EVIDENCE &amp; DECISIONS</t>
        </is>
      </c>
    </row>
    <row r="352" ht="34" customHeight="1">
      <c r="A352" s="12" t="inlineStr">
        <is>
          <t>R209-v1</t>
        </is>
      </c>
      <c r="B352" s="12" t="inlineStr">
        <is>
          <t>Contractor Programme</t>
        </is>
      </c>
      <c r="C352" s="12" t="inlineStr">
        <is>
          <t>SCH-02-029</t>
        </is>
      </c>
      <c r="D352" s="12" t="inlineStr">
        <is>
          <t>1.2.1 Stations - Station Structures</t>
        </is>
      </c>
      <c r="E352" s="12" t="inlineStr">
        <is>
          <t>New</t>
        </is>
      </c>
      <c r="F352" s="12" t="inlineStr"/>
      <c r="G352" s="12" t="inlineStr">
        <is>
          <t>Source assignment -- not individually reviewed</t>
        </is>
      </c>
      <c r="H352" s="17" t="inlineStr">
        <is>
          <t>10 EVIDENCE &amp; DECISIONS</t>
        </is>
      </c>
    </row>
    <row r="353" ht="34" customHeight="1">
      <c r="A353" s="12" t="inlineStr">
        <is>
          <t>R211-v1</t>
        </is>
      </c>
      <c r="B353" s="12" t="inlineStr">
        <is>
          <t>Contractor Programme</t>
        </is>
      </c>
      <c r="C353" s="12" t="inlineStr">
        <is>
          <t>SCH-02-031</t>
        </is>
      </c>
      <c r="D353" s="12" t="inlineStr">
        <is>
          <t>1.2.1 Stations - Station Structures</t>
        </is>
      </c>
      <c r="E353" s="12" t="inlineStr">
        <is>
          <t>New</t>
        </is>
      </c>
      <c r="F353" s="12" t="inlineStr"/>
      <c r="G353" s="12" t="inlineStr">
        <is>
          <t>Source assignment -- not individually reviewed</t>
        </is>
      </c>
      <c r="H353" s="17" t="inlineStr">
        <is>
          <t>10 EVIDENCE &amp; DECISIONS</t>
        </is>
      </c>
    </row>
    <row r="354" ht="34" customHeight="1">
      <c r="A354" s="12" t="inlineStr">
        <is>
          <t>R212-v1</t>
        </is>
      </c>
      <c r="B354" s="12" t="inlineStr">
        <is>
          <t>Contractor Programme</t>
        </is>
      </c>
      <c r="C354" s="12" t="inlineStr">
        <is>
          <t>SCH-02-032</t>
        </is>
      </c>
      <c r="D354" s="12" t="inlineStr">
        <is>
          <t>1.2.1 Stations - Station Structures</t>
        </is>
      </c>
      <c r="E354" s="12" t="inlineStr">
        <is>
          <t>New</t>
        </is>
      </c>
      <c r="F354" s="12" t="inlineStr"/>
      <c r="G354" s="12" t="inlineStr">
        <is>
          <t>Source assignment -- not individually reviewed</t>
        </is>
      </c>
      <c r="H354" s="17" t="inlineStr">
        <is>
          <t>10 EVIDENCE &amp; DECISIONS</t>
        </is>
      </c>
    </row>
    <row r="355" ht="34" customHeight="1">
      <c r="A355" s="12" t="inlineStr">
        <is>
          <t>R214-v1</t>
        </is>
      </c>
      <c r="B355" s="12" t="inlineStr">
        <is>
          <t>Contractor Programme</t>
        </is>
      </c>
      <c r="C355" s="12" t="inlineStr">
        <is>
          <t>SCH-02-034</t>
        </is>
      </c>
      <c r="D355" s="12" t="inlineStr">
        <is>
          <t>1.2.1 Stations - Station Structures</t>
        </is>
      </c>
      <c r="E355" s="12" t="inlineStr">
        <is>
          <t>New</t>
        </is>
      </c>
      <c r="F355" s="12" t="inlineStr"/>
      <c r="G355" s="12" t="inlineStr">
        <is>
          <t>Source assignment -- not individually reviewed</t>
        </is>
      </c>
      <c r="H355" s="17" t="inlineStr">
        <is>
          <t>10 EVIDENCE &amp; DECISIONS</t>
        </is>
      </c>
    </row>
    <row r="356" ht="34" customHeight="1">
      <c r="A356" s="12" t="inlineStr">
        <is>
          <t>R215-v1</t>
        </is>
      </c>
      <c r="B356" s="12" t="inlineStr">
        <is>
          <t>Contractor Programme</t>
        </is>
      </c>
      <c r="C356" s="12" t="inlineStr">
        <is>
          <t>SCH-02-035</t>
        </is>
      </c>
      <c r="D356" s="12" t="inlineStr">
        <is>
          <t>1.2.1 Stations - Station Structures</t>
        </is>
      </c>
      <c r="E356" s="12" t="inlineStr">
        <is>
          <t>New</t>
        </is>
      </c>
      <c r="F356" s="12" t="inlineStr"/>
      <c r="G356" s="12" t="inlineStr">
        <is>
          <t>Source assignment -- not individually reviewed</t>
        </is>
      </c>
      <c r="H356" s="17" t="inlineStr">
        <is>
          <t>10 EVIDENCE &amp; DECISIONS</t>
        </is>
      </c>
    </row>
    <row r="357" ht="34" customHeight="1">
      <c r="A357" s="12" t="inlineStr">
        <is>
          <t>R217-v1</t>
        </is>
      </c>
      <c r="B357" s="12" t="inlineStr">
        <is>
          <t>Contractor Programme</t>
        </is>
      </c>
      <c r="C357" s="12" t="inlineStr">
        <is>
          <t>SCH-02-037</t>
        </is>
      </c>
      <c r="D357" s="12" t="inlineStr">
        <is>
          <t>1.2.1 Stations - Station Structures</t>
        </is>
      </c>
      <c r="E357" s="12" t="inlineStr">
        <is>
          <t>New</t>
        </is>
      </c>
      <c r="F357" s="12" t="inlineStr"/>
      <c r="G357" s="12" t="inlineStr">
        <is>
          <t>Source assignment -- not individually reviewed</t>
        </is>
      </c>
      <c r="H357" s="17" t="inlineStr">
        <is>
          <t>10 EVIDENCE &amp; DECISIONS</t>
        </is>
      </c>
    </row>
    <row r="358" ht="34" customHeight="1">
      <c r="A358" s="12" t="inlineStr">
        <is>
          <t>R218-v1</t>
        </is>
      </c>
      <c r="B358" s="12" t="inlineStr">
        <is>
          <t>Contractor Programme</t>
        </is>
      </c>
      <c r="C358" s="12" t="inlineStr">
        <is>
          <t>SCH-02-038</t>
        </is>
      </c>
      <c r="D358" s="12" t="inlineStr">
        <is>
          <t>1.2.1 Stations - Station Structures</t>
        </is>
      </c>
      <c r="E358" s="12" t="inlineStr">
        <is>
          <t>New</t>
        </is>
      </c>
      <c r="F358" s="12" t="inlineStr"/>
      <c r="G358" s="12" t="inlineStr">
        <is>
          <t>Source assignment -- not individually reviewed</t>
        </is>
      </c>
      <c r="H358" s="17" t="inlineStr">
        <is>
          <t>10 EVIDENCE &amp; DECISIONS</t>
        </is>
      </c>
    </row>
    <row r="359" ht="34" customHeight="1">
      <c r="A359" s="12" t="inlineStr">
        <is>
          <t>R220-v1</t>
        </is>
      </c>
      <c r="B359" s="12" t="inlineStr">
        <is>
          <t>Contractor Programme</t>
        </is>
      </c>
      <c r="C359" s="12" t="inlineStr">
        <is>
          <t>SCH-02-040</t>
        </is>
      </c>
      <c r="D359" s="12" t="inlineStr">
        <is>
          <t>1.2.1 Stations - Station Structures</t>
        </is>
      </c>
      <c r="E359" s="12" t="inlineStr">
        <is>
          <t>New</t>
        </is>
      </c>
      <c r="F359" s="12" t="inlineStr"/>
      <c r="G359" s="12" t="inlineStr">
        <is>
          <t>Source assignment -- not individually reviewed</t>
        </is>
      </c>
      <c r="H359" s="17" t="inlineStr">
        <is>
          <t>10 EVIDENCE &amp; DECISIONS</t>
        </is>
      </c>
    </row>
    <row r="360" ht="34" customHeight="1">
      <c r="A360" s="12" t="inlineStr">
        <is>
          <t>R221-v1</t>
        </is>
      </c>
      <c r="B360" s="12" t="inlineStr">
        <is>
          <t>Contractor Programme</t>
        </is>
      </c>
      <c r="C360" s="12" t="inlineStr">
        <is>
          <t>SCH-02-041</t>
        </is>
      </c>
      <c r="D360" s="12" t="inlineStr">
        <is>
          <t>1.2.1 Stations - Station Structures</t>
        </is>
      </c>
      <c r="E360" s="12" t="inlineStr">
        <is>
          <t>New</t>
        </is>
      </c>
      <c r="F360" s="12" t="inlineStr"/>
      <c r="G360" s="12" t="inlineStr">
        <is>
          <t>Source assignment -- not individually reviewed</t>
        </is>
      </c>
      <c r="H360" s="17" t="inlineStr">
        <is>
          <t>10 EVIDENCE &amp; DECISIONS</t>
        </is>
      </c>
    </row>
    <row r="361" ht="34" customHeight="1">
      <c r="A361" s="12" t="inlineStr">
        <is>
          <t>R223-v1</t>
        </is>
      </c>
      <c r="B361" s="12" t="inlineStr">
        <is>
          <t>Contractor Programme</t>
        </is>
      </c>
      <c r="C361" s="12" t="inlineStr">
        <is>
          <t>SCH-02-043</t>
        </is>
      </c>
      <c r="D361" s="12" t="inlineStr">
        <is>
          <t>1.2.1 Stations - Station Structures</t>
        </is>
      </c>
      <c r="E361" s="12" t="inlineStr">
        <is>
          <t>New</t>
        </is>
      </c>
      <c r="F361" s="12" t="inlineStr"/>
      <c r="G361" s="12" t="inlineStr">
        <is>
          <t>Source assignment -- not individually reviewed</t>
        </is>
      </c>
      <c r="H361" s="17" t="inlineStr">
        <is>
          <t>10 EVIDENCE &amp; DECISIONS</t>
        </is>
      </c>
    </row>
    <row r="362" ht="34" customHeight="1">
      <c r="A362" s="12" t="inlineStr">
        <is>
          <t>R224-v1</t>
        </is>
      </c>
      <c r="B362" s="12" t="inlineStr">
        <is>
          <t>Contractor Programme</t>
        </is>
      </c>
      <c r="C362" s="12" t="inlineStr">
        <is>
          <t>SCH-02-044</t>
        </is>
      </c>
      <c r="D362" s="12" t="inlineStr">
        <is>
          <t>1.2.1 Stations - Station Structures</t>
        </is>
      </c>
      <c r="E362" s="12" t="inlineStr">
        <is>
          <t>New</t>
        </is>
      </c>
      <c r="F362" s="12" t="inlineStr"/>
      <c r="G362" s="12" t="inlineStr">
        <is>
          <t>Source assignment -- not individually reviewed</t>
        </is>
      </c>
      <c r="H362" s="17" t="inlineStr">
        <is>
          <t>10 EVIDENCE &amp; DECISIONS</t>
        </is>
      </c>
    </row>
    <row r="363" ht="34" customHeight="1">
      <c r="A363" s="12" t="inlineStr">
        <is>
          <t>R226-v1</t>
        </is>
      </c>
      <c r="B363" s="12" t="inlineStr">
        <is>
          <t>Contractor Programme</t>
        </is>
      </c>
      <c r="C363" s="12" t="inlineStr">
        <is>
          <t>SCH-02-046</t>
        </is>
      </c>
      <c r="D363" s="12" t="inlineStr">
        <is>
          <t>1.2.1 Stations - Station Structures</t>
        </is>
      </c>
      <c r="E363" s="12" t="inlineStr">
        <is>
          <t>New</t>
        </is>
      </c>
      <c r="F363" s="12" t="inlineStr"/>
      <c r="G363" s="12" t="inlineStr">
        <is>
          <t>Source assignment -- not individually reviewed</t>
        </is>
      </c>
      <c r="H363" s="17" t="inlineStr">
        <is>
          <t>10 EVIDENCE &amp; DECISIONS</t>
        </is>
      </c>
    </row>
    <row r="364" ht="34" customHeight="1">
      <c r="A364" s="12" t="inlineStr">
        <is>
          <t>R227-v1</t>
        </is>
      </c>
      <c r="B364" s="12" t="inlineStr">
        <is>
          <t>Contractor Programme</t>
        </is>
      </c>
      <c r="C364" s="12" t="inlineStr">
        <is>
          <t>SCH-02-047</t>
        </is>
      </c>
      <c r="D364" s="12" t="inlineStr">
        <is>
          <t>1.2.1 Stations - Station Structures</t>
        </is>
      </c>
      <c r="E364" s="12" t="inlineStr">
        <is>
          <t>New</t>
        </is>
      </c>
      <c r="F364" s="12" t="inlineStr"/>
      <c r="G364" s="12" t="inlineStr">
        <is>
          <t>Source assignment -- not individually reviewed</t>
        </is>
      </c>
      <c r="H364" s="17" t="inlineStr">
        <is>
          <t>10 EVIDENCE &amp; DECISIONS</t>
        </is>
      </c>
    </row>
    <row r="365" ht="34" customHeight="1">
      <c r="A365" s="12" t="inlineStr">
        <is>
          <t>R229-v1</t>
        </is>
      </c>
      <c r="B365" s="12" t="inlineStr">
        <is>
          <t>Contractor Programme</t>
        </is>
      </c>
      <c r="C365" s="12" t="inlineStr">
        <is>
          <t>SCH-02-049</t>
        </is>
      </c>
      <c r="D365" s="12" t="inlineStr">
        <is>
          <t>1.2.1 Stations - Station Structures</t>
        </is>
      </c>
      <c r="E365" s="12" t="inlineStr">
        <is>
          <t>New</t>
        </is>
      </c>
      <c r="F365" s="12" t="inlineStr"/>
      <c r="G365" s="12" t="inlineStr">
        <is>
          <t>Source assignment -- not individually reviewed</t>
        </is>
      </c>
      <c r="H365" s="17" t="inlineStr">
        <is>
          <t>10 EVIDENCE &amp; DECISIONS</t>
        </is>
      </c>
    </row>
    <row r="366" ht="34" customHeight="1">
      <c r="A366" s="12" t="inlineStr">
        <is>
          <t>R230-v1</t>
        </is>
      </c>
      <c r="B366" s="12" t="inlineStr">
        <is>
          <t>Contractor Programme</t>
        </is>
      </c>
      <c r="C366" s="12" t="inlineStr">
        <is>
          <t>SCH-02-050</t>
        </is>
      </c>
      <c r="D366" s="12" t="inlineStr">
        <is>
          <t>1.2.1 Stations - Station Structures</t>
        </is>
      </c>
      <c r="E366" s="12" t="inlineStr">
        <is>
          <t>New</t>
        </is>
      </c>
      <c r="F366" s="12" t="inlineStr"/>
      <c r="G366" s="12" t="inlineStr">
        <is>
          <t>Source assignment -- not individually reviewed</t>
        </is>
      </c>
      <c r="H366" s="17" t="inlineStr">
        <is>
          <t>10 EVIDENCE &amp; DECISIONS</t>
        </is>
      </c>
    </row>
    <row r="367" ht="34" customHeight="1">
      <c r="A367" s="12" t="inlineStr">
        <is>
          <t>R232-v1</t>
        </is>
      </c>
      <c r="B367" s="12" t="inlineStr">
        <is>
          <t>Contractor Programme</t>
        </is>
      </c>
      <c r="C367" s="12" t="inlineStr">
        <is>
          <t>SCH-02-052</t>
        </is>
      </c>
      <c r="D367" s="12" t="inlineStr">
        <is>
          <t>1.2.1 Stations - Station Structures</t>
        </is>
      </c>
      <c r="E367" s="12" t="inlineStr">
        <is>
          <t>New</t>
        </is>
      </c>
      <c r="F367" s="12" t="inlineStr"/>
      <c r="G367" s="12" t="inlineStr">
        <is>
          <t>Source assignment -- not individually reviewed</t>
        </is>
      </c>
      <c r="H367" s="17" t="inlineStr">
        <is>
          <t>10 EVIDENCE &amp; DECISIONS</t>
        </is>
      </c>
    </row>
    <row r="368" ht="34" customHeight="1">
      <c r="A368" s="12" t="inlineStr">
        <is>
          <t>R233-v1</t>
        </is>
      </c>
      <c r="B368" s="12" t="inlineStr">
        <is>
          <t>Contractor Programme</t>
        </is>
      </c>
      <c r="C368" s="12" t="inlineStr">
        <is>
          <t>SCH-02-053</t>
        </is>
      </c>
      <c r="D368" s="12" t="inlineStr">
        <is>
          <t>1.2.1 Stations - Station Structures</t>
        </is>
      </c>
      <c r="E368" s="12" t="inlineStr">
        <is>
          <t>New</t>
        </is>
      </c>
      <c r="F368" s="12" t="inlineStr"/>
      <c r="G368" s="12" t="inlineStr">
        <is>
          <t>Source assignment -- not individually reviewed</t>
        </is>
      </c>
      <c r="H368" s="17" t="inlineStr">
        <is>
          <t>10 EVIDENCE &amp; DECISIONS</t>
        </is>
      </c>
    </row>
    <row r="369" ht="34" customHeight="1">
      <c r="A369" s="12" t="inlineStr">
        <is>
          <t>R235-v1</t>
        </is>
      </c>
      <c r="B369" s="12" t="inlineStr">
        <is>
          <t>Contractor Programme</t>
        </is>
      </c>
      <c r="C369" s="12" t="inlineStr">
        <is>
          <t>SCH-02-055</t>
        </is>
      </c>
      <c r="D369" s="12" t="inlineStr">
        <is>
          <t>1.2.1 Stations - Station Structures</t>
        </is>
      </c>
      <c r="E369" s="12" t="inlineStr">
        <is>
          <t>New</t>
        </is>
      </c>
      <c r="F369" s="12" t="inlineStr"/>
      <c r="G369" s="12" t="inlineStr">
        <is>
          <t>Source assignment -- not individually reviewed</t>
        </is>
      </c>
      <c r="H369" s="17" t="inlineStr">
        <is>
          <t>10 EVIDENCE &amp; DECISIONS</t>
        </is>
      </c>
    </row>
    <row r="370" ht="34" customHeight="1">
      <c r="A370" s="12" t="inlineStr">
        <is>
          <t>R236-v1</t>
        </is>
      </c>
      <c r="B370" s="12" t="inlineStr">
        <is>
          <t>Contractor Programme</t>
        </is>
      </c>
      <c r="C370" s="12" t="inlineStr">
        <is>
          <t>SCH-02-056</t>
        </is>
      </c>
      <c r="D370" s="12" t="inlineStr">
        <is>
          <t>1.2.1 Stations - Station Structures</t>
        </is>
      </c>
      <c r="E370" s="12" t="inlineStr">
        <is>
          <t>New</t>
        </is>
      </c>
      <c r="F370" s="12" t="inlineStr"/>
      <c r="G370" s="12" t="inlineStr">
        <is>
          <t>Source assignment -- not individually reviewed</t>
        </is>
      </c>
      <c r="H370" s="17" t="inlineStr">
        <is>
          <t>10 EVIDENCE &amp; DECISIONS</t>
        </is>
      </c>
    </row>
    <row r="371" ht="34" customHeight="1">
      <c r="A371" s="12" t="inlineStr">
        <is>
          <t>R238-v1</t>
        </is>
      </c>
      <c r="B371" s="12" t="inlineStr">
        <is>
          <t>Contractor Programme</t>
        </is>
      </c>
      <c r="C371" s="12" t="inlineStr">
        <is>
          <t>SCH-02-058</t>
        </is>
      </c>
      <c r="D371" s="12" t="inlineStr">
        <is>
          <t>1.2.1 Stations - Station Structures</t>
        </is>
      </c>
      <c r="E371" s="12" t="inlineStr">
        <is>
          <t>New</t>
        </is>
      </c>
      <c r="F371" s="12" t="inlineStr"/>
      <c r="G371" s="12" t="inlineStr">
        <is>
          <t>Source assignment -- not individually reviewed</t>
        </is>
      </c>
      <c r="H371" s="17" t="inlineStr">
        <is>
          <t>10 EVIDENCE &amp; DECISIONS</t>
        </is>
      </c>
    </row>
    <row r="372" ht="34" customHeight="1">
      <c r="A372" s="12" t="inlineStr">
        <is>
          <t>R239-v1</t>
        </is>
      </c>
      <c r="B372" s="12" t="inlineStr">
        <is>
          <t>Contractor Programme</t>
        </is>
      </c>
      <c r="C372" s="12" t="inlineStr">
        <is>
          <t>SCH-02-059</t>
        </is>
      </c>
      <c r="D372" s="12" t="inlineStr">
        <is>
          <t>1.2.1 Stations - Station Structures</t>
        </is>
      </c>
      <c r="E372" s="12" t="inlineStr">
        <is>
          <t>New</t>
        </is>
      </c>
      <c r="F372" s="12" t="inlineStr"/>
      <c r="G372" s="12" t="inlineStr">
        <is>
          <t>Source assignment -- not individually reviewed</t>
        </is>
      </c>
      <c r="H372" s="17" t="inlineStr">
        <is>
          <t>10 EVIDENCE &amp; DECISIONS</t>
        </is>
      </c>
    </row>
    <row r="373" ht="34" customHeight="1">
      <c r="A373" s="12" t="inlineStr">
        <is>
          <t>R241-v1</t>
        </is>
      </c>
      <c r="B373" s="12" t="inlineStr">
        <is>
          <t>Contractor Programme</t>
        </is>
      </c>
      <c r="C373" s="12" t="inlineStr">
        <is>
          <t>SCH-02-061</t>
        </is>
      </c>
      <c r="D373" s="12" t="inlineStr">
        <is>
          <t>1.2.1 Stations - Station Structures</t>
        </is>
      </c>
      <c r="E373" s="12" t="inlineStr">
        <is>
          <t>New</t>
        </is>
      </c>
      <c r="F373" s="12" t="inlineStr"/>
      <c r="G373" s="12" t="inlineStr">
        <is>
          <t>Source assignment -- not individually reviewed</t>
        </is>
      </c>
      <c r="H373" s="17" t="inlineStr">
        <is>
          <t>10 EVIDENCE &amp; DECISIONS</t>
        </is>
      </c>
    </row>
    <row r="374" ht="34" customHeight="1">
      <c r="A374" s="12" t="inlineStr">
        <is>
          <t>R242-v1</t>
        </is>
      </c>
      <c r="B374" s="12" t="inlineStr">
        <is>
          <t>Contractor Programme</t>
        </is>
      </c>
      <c r="C374" s="12" t="inlineStr">
        <is>
          <t>SCH-02-062</t>
        </is>
      </c>
      <c r="D374" s="12" t="inlineStr">
        <is>
          <t>1.2.1 Stations - Station Structures</t>
        </is>
      </c>
      <c r="E374" s="12" t="inlineStr">
        <is>
          <t>New</t>
        </is>
      </c>
      <c r="F374" s="12" t="inlineStr"/>
      <c r="G374" s="12" t="inlineStr">
        <is>
          <t>Source assignment -- not individually reviewed</t>
        </is>
      </c>
      <c r="H374" s="17" t="inlineStr">
        <is>
          <t>10 EVIDENCE &amp; DECISIONS</t>
        </is>
      </c>
    </row>
    <row r="375" ht="34" customHeight="1">
      <c r="A375" s="12" t="inlineStr">
        <is>
          <t>R244-v1</t>
        </is>
      </c>
      <c r="B375" s="12" t="inlineStr">
        <is>
          <t>Contractor Programme</t>
        </is>
      </c>
      <c r="C375" s="12" t="inlineStr">
        <is>
          <t>SCH-02-064</t>
        </is>
      </c>
      <c r="D375" s="12" t="inlineStr">
        <is>
          <t>1.2.1 Stations - Station Structures</t>
        </is>
      </c>
      <c r="E375" s="12" t="inlineStr">
        <is>
          <t>New</t>
        </is>
      </c>
      <c r="F375" s="12" t="inlineStr"/>
      <c r="G375" s="12" t="inlineStr">
        <is>
          <t>Source assignment -- not individually reviewed</t>
        </is>
      </c>
      <c r="H375" s="17" t="inlineStr">
        <is>
          <t>10 EVIDENCE &amp; DECISIONS</t>
        </is>
      </c>
    </row>
    <row r="376" ht="34" customHeight="1">
      <c r="A376" s="12" t="inlineStr">
        <is>
          <t>R245-v1</t>
        </is>
      </c>
      <c r="B376" s="12" t="inlineStr">
        <is>
          <t>Contractor Programme</t>
        </is>
      </c>
      <c r="C376" s="12" t="inlineStr">
        <is>
          <t>SCH-02-065</t>
        </is>
      </c>
      <c r="D376" s="12" t="inlineStr">
        <is>
          <t>1.2.1 Stations - Station Structures</t>
        </is>
      </c>
      <c r="E376" s="12" t="inlineStr">
        <is>
          <t>New</t>
        </is>
      </c>
      <c r="F376" s="12" t="inlineStr"/>
      <c r="G376" s="12" t="inlineStr">
        <is>
          <t>Source assignment -- not individually reviewed</t>
        </is>
      </c>
      <c r="H376" s="17" t="inlineStr">
        <is>
          <t>10 EVIDENCE &amp; DECISIONS</t>
        </is>
      </c>
    </row>
    <row r="377" ht="34" customHeight="1">
      <c r="A377" s="12" t="inlineStr">
        <is>
          <t>R247-v1</t>
        </is>
      </c>
      <c r="B377" s="12" t="inlineStr">
        <is>
          <t>Contractor Programme</t>
        </is>
      </c>
      <c r="C377" s="12" t="inlineStr">
        <is>
          <t>SCH-02-067</t>
        </is>
      </c>
      <c r="D377" s="12" t="inlineStr">
        <is>
          <t>1.2.1 Stations - Station Structures</t>
        </is>
      </c>
      <c r="E377" s="12" t="inlineStr">
        <is>
          <t>New</t>
        </is>
      </c>
      <c r="F377" s="12" t="inlineStr"/>
      <c r="G377" s="12" t="inlineStr">
        <is>
          <t>Source assignment -- not individually reviewed</t>
        </is>
      </c>
      <c r="H377" s="17" t="inlineStr">
        <is>
          <t>10 EVIDENCE &amp; DECISIONS</t>
        </is>
      </c>
    </row>
    <row r="378" ht="34" customHeight="1">
      <c r="A378" s="12" t="inlineStr">
        <is>
          <t>R248-v1</t>
        </is>
      </c>
      <c r="B378" s="12" t="inlineStr">
        <is>
          <t>Contractor Programme</t>
        </is>
      </c>
      <c r="C378" s="12" t="inlineStr">
        <is>
          <t>SCH-02-068</t>
        </is>
      </c>
      <c r="D378" s="12" t="inlineStr">
        <is>
          <t>1.2.1 Stations - Station Structures</t>
        </is>
      </c>
      <c r="E378" s="12" t="inlineStr">
        <is>
          <t>New</t>
        </is>
      </c>
      <c r="F378" s="12" t="inlineStr"/>
      <c r="G378" s="12" t="inlineStr">
        <is>
          <t>Source assignment -- not individually reviewed</t>
        </is>
      </c>
      <c r="H378" s="17" t="inlineStr">
        <is>
          <t>10 EVIDENCE &amp; DECISIONS</t>
        </is>
      </c>
    </row>
    <row r="379" ht="34" customHeight="1">
      <c r="A379" s="12" t="inlineStr">
        <is>
          <t>R250-v1</t>
        </is>
      </c>
      <c r="B379" s="12" t="inlineStr">
        <is>
          <t>Contractor Programme</t>
        </is>
      </c>
      <c r="C379" s="12" t="inlineStr">
        <is>
          <t>SCH-02-070</t>
        </is>
      </c>
      <c r="D379" s="12" t="inlineStr">
        <is>
          <t>1.2.1 Stations - Station Structures</t>
        </is>
      </c>
      <c r="E379" s="12" t="inlineStr">
        <is>
          <t>New</t>
        </is>
      </c>
      <c r="F379" s="12" t="inlineStr"/>
      <c r="G379" s="12" t="inlineStr">
        <is>
          <t>Source assignment -- not individually reviewed</t>
        </is>
      </c>
      <c r="H379" s="17" t="inlineStr">
        <is>
          <t>10 EVIDENCE &amp; DECISIONS</t>
        </is>
      </c>
    </row>
    <row r="380" ht="34" customHeight="1">
      <c r="A380" s="12" t="inlineStr">
        <is>
          <t>R251-v1</t>
        </is>
      </c>
      <c r="B380" s="12" t="inlineStr">
        <is>
          <t>Contractor Programme</t>
        </is>
      </c>
      <c r="C380" s="12" t="inlineStr">
        <is>
          <t>SCH-02-071</t>
        </is>
      </c>
      <c r="D380" s="12" t="inlineStr">
        <is>
          <t>1.2.1 Stations - Station Structures</t>
        </is>
      </c>
      <c r="E380" s="12" t="inlineStr">
        <is>
          <t>New</t>
        </is>
      </c>
      <c r="F380" s="12" t="inlineStr"/>
      <c r="G380" s="12" t="inlineStr">
        <is>
          <t>Source assignment -- not individually reviewed</t>
        </is>
      </c>
      <c r="H380" s="17" t="inlineStr">
        <is>
          <t>10 EVIDENCE &amp; DECISIONS</t>
        </is>
      </c>
    </row>
    <row r="381" ht="34" customHeight="1">
      <c r="A381" s="12" t="inlineStr">
        <is>
          <t>R253-v1</t>
        </is>
      </c>
      <c r="B381" s="12" t="inlineStr">
        <is>
          <t>Contractor Programme</t>
        </is>
      </c>
      <c r="C381" s="12" t="inlineStr">
        <is>
          <t>SCH-02-073</t>
        </is>
      </c>
      <c r="D381" s="12" t="inlineStr">
        <is>
          <t>1.2.1 Stations - Station Structures</t>
        </is>
      </c>
      <c r="E381" s="12" t="inlineStr">
        <is>
          <t>New</t>
        </is>
      </c>
      <c r="F381" s="12" t="inlineStr"/>
      <c r="G381" s="12" t="inlineStr">
        <is>
          <t>Source assignment -- not individually reviewed</t>
        </is>
      </c>
      <c r="H381" s="17" t="inlineStr">
        <is>
          <t>10 EVIDENCE &amp; DECISIONS</t>
        </is>
      </c>
    </row>
    <row r="382" ht="34" customHeight="1">
      <c r="A382" s="12" t="inlineStr">
        <is>
          <t>R254-v1</t>
        </is>
      </c>
      <c r="B382" s="12" t="inlineStr">
        <is>
          <t>Contractor Programme</t>
        </is>
      </c>
      <c r="C382" s="12" t="inlineStr">
        <is>
          <t>SCH-02-074</t>
        </is>
      </c>
      <c r="D382" s="12" t="inlineStr">
        <is>
          <t>1.2.1 Stations - Station Structures</t>
        </is>
      </c>
      <c r="E382" s="12" t="inlineStr">
        <is>
          <t>New</t>
        </is>
      </c>
      <c r="F382" s="12" t="inlineStr"/>
      <c r="G382" s="12" t="inlineStr">
        <is>
          <t>Source assignment -- not individually reviewed</t>
        </is>
      </c>
      <c r="H382" s="17" t="inlineStr">
        <is>
          <t>10 EVIDENCE &amp; DECISIONS</t>
        </is>
      </c>
    </row>
    <row r="383" ht="34" customHeight="1">
      <c r="A383" s="12" t="inlineStr">
        <is>
          <t>R256-v1</t>
        </is>
      </c>
      <c r="B383" s="12" t="inlineStr">
        <is>
          <t>Contractor Programme</t>
        </is>
      </c>
      <c r="C383" s="12" t="inlineStr">
        <is>
          <t>SCH-02-076</t>
        </is>
      </c>
      <c r="D383" s="12" t="inlineStr">
        <is>
          <t>1.2.1 Stations - Station Structures</t>
        </is>
      </c>
      <c r="E383" s="12" t="inlineStr">
        <is>
          <t>New</t>
        </is>
      </c>
      <c r="F383" s="12" t="inlineStr"/>
      <c r="G383" s="12" t="inlineStr">
        <is>
          <t>Source assignment -- not individually reviewed</t>
        </is>
      </c>
      <c r="H383" s="17" t="inlineStr">
        <is>
          <t>10 EVIDENCE &amp; DECISIONS</t>
        </is>
      </c>
    </row>
    <row r="384" ht="34" customHeight="1">
      <c r="A384" s="12" t="inlineStr">
        <is>
          <t>R257-v1</t>
        </is>
      </c>
      <c r="B384" s="12" t="inlineStr">
        <is>
          <t>Contractor Programme</t>
        </is>
      </c>
      <c r="C384" s="12" t="inlineStr">
        <is>
          <t>SCH-02-077</t>
        </is>
      </c>
      <c r="D384" s="12" t="inlineStr">
        <is>
          <t>1.2.1 Stations - Station Structures</t>
        </is>
      </c>
      <c r="E384" s="12" t="inlineStr">
        <is>
          <t>New</t>
        </is>
      </c>
      <c r="F384" s="12" t="inlineStr"/>
      <c r="G384" s="12" t="inlineStr">
        <is>
          <t>Source assignment -- not individually reviewed</t>
        </is>
      </c>
      <c r="H384" s="17" t="inlineStr">
        <is>
          <t>10 EVIDENCE &amp; DECISIONS</t>
        </is>
      </c>
    </row>
    <row r="385" ht="34" customHeight="1">
      <c r="A385" s="12" t="inlineStr">
        <is>
          <t>R259-v1</t>
        </is>
      </c>
      <c r="B385" s="12" t="inlineStr">
        <is>
          <t>Contractor Programme</t>
        </is>
      </c>
      <c r="C385" s="12" t="inlineStr">
        <is>
          <t>SCH-02-079</t>
        </is>
      </c>
      <c r="D385" s="12" t="inlineStr">
        <is>
          <t>1.2.1 Stations - Station Structures</t>
        </is>
      </c>
      <c r="E385" s="12" t="inlineStr">
        <is>
          <t>New</t>
        </is>
      </c>
      <c r="F385" s="12" t="inlineStr"/>
      <c r="G385" s="12" t="inlineStr">
        <is>
          <t>Source assignment -- not individually reviewed</t>
        </is>
      </c>
      <c r="H385" s="17" t="inlineStr">
        <is>
          <t>10 EVIDENCE &amp; DECISIONS</t>
        </is>
      </c>
    </row>
    <row r="386" ht="34" customHeight="1">
      <c r="A386" s="12" t="inlineStr">
        <is>
          <t>R260-v1</t>
        </is>
      </c>
      <c r="B386" s="12" t="inlineStr">
        <is>
          <t>Contractor Programme</t>
        </is>
      </c>
      <c r="C386" s="12" t="inlineStr">
        <is>
          <t>SCH-02-080</t>
        </is>
      </c>
      <c r="D386" s="12" t="inlineStr">
        <is>
          <t>1.2.1 Stations - Station Structures</t>
        </is>
      </c>
      <c r="E386" s="12" t="inlineStr">
        <is>
          <t>New</t>
        </is>
      </c>
      <c r="F386" s="12" t="inlineStr"/>
      <c r="G386" s="12" t="inlineStr">
        <is>
          <t>Source assignment -- not individually reviewed</t>
        </is>
      </c>
      <c r="H386" s="17" t="inlineStr">
        <is>
          <t>10 EVIDENCE &amp; DECISIONS</t>
        </is>
      </c>
    </row>
    <row r="387" ht="34" customHeight="1">
      <c r="A387" s="12" t="inlineStr">
        <is>
          <t>R262-v1</t>
        </is>
      </c>
      <c r="B387" s="12" t="inlineStr">
        <is>
          <t>Contractor Programme</t>
        </is>
      </c>
      <c r="C387" s="12" t="inlineStr">
        <is>
          <t>SCH-02-082</t>
        </is>
      </c>
      <c r="D387" s="12" t="inlineStr">
        <is>
          <t>1.2.1 Stations - Station Structures</t>
        </is>
      </c>
      <c r="E387" s="12" t="inlineStr">
        <is>
          <t>New</t>
        </is>
      </c>
      <c r="F387" s="12" t="inlineStr"/>
      <c r="G387" s="12" t="inlineStr">
        <is>
          <t>Source assignment -- not individually reviewed</t>
        </is>
      </c>
      <c r="H387" s="17" t="inlineStr">
        <is>
          <t>10 EVIDENCE &amp; DECISIONS</t>
        </is>
      </c>
    </row>
    <row r="388" ht="34" customHeight="1">
      <c r="A388" s="12" t="inlineStr">
        <is>
          <t>R263-v1</t>
        </is>
      </c>
      <c r="B388" s="12" t="inlineStr">
        <is>
          <t>Contractor Programme</t>
        </is>
      </c>
      <c r="C388" s="12" t="inlineStr">
        <is>
          <t>SCH-02-083</t>
        </is>
      </c>
      <c r="D388" s="12" t="inlineStr">
        <is>
          <t>1.2.1 Stations - Station Structures</t>
        </is>
      </c>
      <c r="E388" s="12" t="inlineStr">
        <is>
          <t>New</t>
        </is>
      </c>
      <c r="F388" s="12" t="inlineStr"/>
      <c r="G388" s="12" t="inlineStr">
        <is>
          <t>Source assignment -- not individually reviewed</t>
        </is>
      </c>
      <c r="H388" s="17" t="inlineStr">
        <is>
          <t>10 EVIDENCE &amp; DECISIONS</t>
        </is>
      </c>
    </row>
    <row r="389" ht="34" customHeight="1">
      <c r="A389" s="12" t="inlineStr">
        <is>
          <t>R265-v1</t>
        </is>
      </c>
      <c r="B389" s="12" t="inlineStr">
        <is>
          <t>Contractor Programme</t>
        </is>
      </c>
      <c r="C389" s="12" t="inlineStr">
        <is>
          <t>SCH-02-085</t>
        </is>
      </c>
      <c r="D389" s="12" t="inlineStr">
        <is>
          <t>1.2.1 Stations - Station Structures</t>
        </is>
      </c>
      <c r="E389" s="12" t="inlineStr">
        <is>
          <t>New</t>
        </is>
      </c>
      <c r="F389" s="12" t="inlineStr"/>
      <c r="G389" s="12" t="inlineStr">
        <is>
          <t>Source assignment -- not individually reviewed</t>
        </is>
      </c>
      <c r="H389" s="17" t="inlineStr">
        <is>
          <t>10 EVIDENCE &amp; DECISIONS</t>
        </is>
      </c>
    </row>
    <row r="390" ht="34" customHeight="1">
      <c r="A390" s="12" t="inlineStr">
        <is>
          <t>R266-v1</t>
        </is>
      </c>
      <c r="B390" s="12" t="inlineStr">
        <is>
          <t>Contractor Programme</t>
        </is>
      </c>
      <c r="C390" s="12" t="inlineStr">
        <is>
          <t>SCH-02-086</t>
        </is>
      </c>
      <c r="D390" s="12" t="inlineStr">
        <is>
          <t>1.2.1 Stations - Station Structures</t>
        </is>
      </c>
      <c r="E390" s="12" t="inlineStr">
        <is>
          <t>New</t>
        </is>
      </c>
      <c r="F390" s="12" t="inlineStr"/>
      <c r="G390" s="12" t="inlineStr">
        <is>
          <t>Source assignment -- not individually reviewed</t>
        </is>
      </c>
      <c r="H390" s="17" t="inlineStr">
        <is>
          <t>10 EVIDENCE &amp; DECISIONS</t>
        </is>
      </c>
    </row>
    <row r="391" ht="34" customHeight="1">
      <c r="A391" s="12" t="inlineStr">
        <is>
          <t>R268-v1</t>
        </is>
      </c>
      <c r="B391" s="12" t="inlineStr">
        <is>
          <t>Contractor Programme</t>
        </is>
      </c>
      <c r="C391" s="12" t="inlineStr">
        <is>
          <t>SCH-02-088</t>
        </is>
      </c>
      <c r="D391" s="12" t="inlineStr">
        <is>
          <t>1.2.1 Stations - Station Structures</t>
        </is>
      </c>
      <c r="E391" s="12" t="inlineStr">
        <is>
          <t>New</t>
        </is>
      </c>
      <c r="F391" s="12" t="inlineStr"/>
      <c r="G391" s="12" t="inlineStr">
        <is>
          <t>Source assignment -- not individually reviewed</t>
        </is>
      </c>
      <c r="H391" s="17" t="inlineStr">
        <is>
          <t>10 EVIDENCE &amp; DECISIONS</t>
        </is>
      </c>
    </row>
    <row r="392" ht="34" customHeight="1">
      <c r="A392" s="12" t="inlineStr">
        <is>
          <t>R269-v1</t>
        </is>
      </c>
      <c r="B392" s="12" t="inlineStr">
        <is>
          <t>Contractor Programme</t>
        </is>
      </c>
      <c r="C392" s="12" t="inlineStr">
        <is>
          <t>SCH-02-089</t>
        </is>
      </c>
      <c r="D392" s="12" t="inlineStr">
        <is>
          <t>1.2.1 Stations - Station Structures</t>
        </is>
      </c>
      <c r="E392" s="12" t="inlineStr">
        <is>
          <t>New</t>
        </is>
      </c>
      <c r="F392" s="12" t="inlineStr"/>
      <c r="G392" s="12" t="inlineStr">
        <is>
          <t>Source assignment -- not individually reviewed</t>
        </is>
      </c>
      <c r="H392" s="17" t="inlineStr">
        <is>
          <t>10 EVIDENCE &amp; DECISIONS</t>
        </is>
      </c>
    </row>
    <row r="393" ht="34" customHeight="1">
      <c r="A393" s="12" t="inlineStr">
        <is>
          <t>R271-v1</t>
        </is>
      </c>
      <c r="B393" s="12" t="inlineStr">
        <is>
          <t>Contractor Programme</t>
        </is>
      </c>
      <c r="C393" s="12" t="inlineStr">
        <is>
          <t>SCH-02-091</t>
        </is>
      </c>
      <c r="D393" s="12" t="inlineStr">
        <is>
          <t>1.2.1 Stations - Station Structures</t>
        </is>
      </c>
      <c r="E393" s="12" t="inlineStr">
        <is>
          <t>New</t>
        </is>
      </c>
      <c r="F393" s="12" t="inlineStr"/>
      <c r="G393" s="12" t="inlineStr">
        <is>
          <t>Source assignment -- not individually reviewed</t>
        </is>
      </c>
      <c r="H393" s="17" t="inlineStr">
        <is>
          <t>10 EVIDENCE &amp; DECISIONS</t>
        </is>
      </c>
    </row>
    <row r="394" ht="34" customHeight="1">
      <c r="A394" s="12" t="inlineStr">
        <is>
          <t>R272-v1</t>
        </is>
      </c>
      <c r="B394" s="12" t="inlineStr">
        <is>
          <t>Contractor Programme</t>
        </is>
      </c>
      <c r="C394" s="12" t="inlineStr">
        <is>
          <t>SCH-02-092</t>
        </is>
      </c>
      <c r="D394" s="12" t="inlineStr">
        <is>
          <t>1.2.1 Stations - Station Structures</t>
        </is>
      </c>
      <c r="E394" s="12" t="inlineStr">
        <is>
          <t>New</t>
        </is>
      </c>
      <c r="F394" s="12" t="inlineStr"/>
      <c r="G394" s="12" t="inlineStr">
        <is>
          <t>Source assignment -- not individually reviewed</t>
        </is>
      </c>
      <c r="H394" s="17" t="inlineStr">
        <is>
          <t>10 EVIDENCE &amp; DECISIONS</t>
        </is>
      </c>
    </row>
    <row r="395" ht="34" customHeight="1">
      <c r="A395" s="12" t="inlineStr">
        <is>
          <t>R274-v1</t>
        </is>
      </c>
      <c r="B395" s="12" t="inlineStr">
        <is>
          <t>Contractor Programme</t>
        </is>
      </c>
      <c r="C395" s="12" t="inlineStr">
        <is>
          <t>SCH-02-094</t>
        </is>
      </c>
      <c r="D395" s="12" t="inlineStr">
        <is>
          <t>1.2.1 Stations - Station Structures</t>
        </is>
      </c>
      <c r="E395" s="12" t="inlineStr">
        <is>
          <t>New</t>
        </is>
      </c>
      <c r="F395" s="12" t="inlineStr"/>
      <c r="G395" s="12" t="inlineStr">
        <is>
          <t>Source assignment -- not individually reviewed</t>
        </is>
      </c>
      <c r="H395" s="17" t="inlineStr">
        <is>
          <t>10 EVIDENCE &amp; DECISIONS</t>
        </is>
      </c>
    </row>
    <row r="396" ht="34" customHeight="1">
      <c r="A396" s="12" t="inlineStr">
        <is>
          <t>R275-v1</t>
        </is>
      </c>
      <c r="B396" s="12" t="inlineStr">
        <is>
          <t>Contractor Programme</t>
        </is>
      </c>
      <c r="C396" s="12" t="inlineStr">
        <is>
          <t>SCH-02-095</t>
        </is>
      </c>
      <c r="D396" s="12" t="inlineStr">
        <is>
          <t>1.2.1 Stations - Station Structures</t>
        </is>
      </c>
      <c r="E396" s="12" t="inlineStr">
        <is>
          <t>New</t>
        </is>
      </c>
      <c r="F396" s="12" t="inlineStr"/>
      <c r="G396" s="12" t="inlineStr">
        <is>
          <t>Source assignment -- not individually reviewed</t>
        </is>
      </c>
      <c r="H396" s="17" t="inlineStr">
        <is>
          <t>10 EVIDENCE &amp; DECISIONS</t>
        </is>
      </c>
    </row>
    <row r="397" ht="34" customHeight="1">
      <c r="A397" s="12" t="inlineStr">
        <is>
          <t>R277-v1</t>
        </is>
      </c>
      <c r="B397" s="12" t="inlineStr">
        <is>
          <t>Contractor Programme</t>
        </is>
      </c>
      <c r="C397" s="12" t="inlineStr">
        <is>
          <t>SCH-02-097</t>
        </is>
      </c>
      <c r="D397" s="12" t="inlineStr">
        <is>
          <t>1.2.1 Stations - Station Structures</t>
        </is>
      </c>
      <c r="E397" s="12" t="inlineStr">
        <is>
          <t>New</t>
        </is>
      </c>
      <c r="F397" s="12" t="inlineStr"/>
      <c r="G397" s="12" t="inlineStr">
        <is>
          <t>Source assignment -- not individually reviewed</t>
        </is>
      </c>
      <c r="H397" s="17" t="inlineStr">
        <is>
          <t>10 EVIDENCE &amp; DECISIONS</t>
        </is>
      </c>
    </row>
    <row r="398" ht="34" customHeight="1">
      <c r="A398" s="12" t="inlineStr">
        <is>
          <t>R278-v1</t>
        </is>
      </c>
      <c r="B398" s="12" t="inlineStr">
        <is>
          <t>Contractor Programme</t>
        </is>
      </c>
      <c r="C398" s="12" t="inlineStr">
        <is>
          <t>SCH-02-098</t>
        </is>
      </c>
      <c r="D398" s="12" t="inlineStr">
        <is>
          <t>1.2.1 Stations - Station Structures</t>
        </is>
      </c>
      <c r="E398" s="12" t="inlineStr">
        <is>
          <t>New</t>
        </is>
      </c>
      <c r="F398" s="12" t="inlineStr"/>
      <c r="G398" s="12" t="inlineStr">
        <is>
          <t>Source assignment -- not individually reviewed</t>
        </is>
      </c>
      <c r="H398" s="17" t="inlineStr">
        <is>
          <t>10 EVIDENCE &amp; DECISIONS</t>
        </is>
      </c>
    </row>
    <row r="399" ht="34" customHeight="1">
      <c r="A399" s="12" t="inlineStr">
        <is>
          <t>R280-v1</t>
        </is>
      </c>
      <c r="B399" s="12" t="inlineStr">
        <is>
          <t>Contractor Programme</t>
        </is>
      </c>
      <c r="C399" s="12" t="inlineStr">
        <is>
          <t>SCH-02-100</t>
        </is>
      </c>
      <c r="D399" s="12" t="inlineStr">
        <is>
          <t>1.2.1 Stations - Station Structures</t>
        </is>
      </c>
      <c r="E399" s="12" t="inlineStr">
        <is>
          <t>New</t>
        </is>
      </c>
      <c r="F399" s="12" t="inlineStr"/>
      <c r="G399" s="12" t="inlineStr">
        <is>
          <t>Source assignment -- not individually reviewed</t>
        </is>
      </c>
      <c r="H399" s="17" t="inlineStr">
        <is>
          <t>10 EVIDENCE &amp; DECISIONS</t>
        </is>
      </c>
    </row>
    <row r="400" ht="34" customHeight="1">
      <c r="A400" s="12" t="inlineStr">
        <is>
          <t>R281-v1</t>
        </is>
      </c>
      <c r="B400" s="12" t="inlineStr">
        <is>
          <t>Contractor Programme</t>
        </is>
      </c>
      <c r="C400" s="12" t="inlineStr">
        <is>
          <t>SCH-02-101</t>
        </is>
      </c>
      <c r="D400" s="12" t="inlineStr">
        <is>
          <t>1.2.1 Stations - Station Structures</t>
        </is>
      </c>
      <c r="E400" s="12" t="inlineStr">
        <is>
          <t>New</t>
        </is>
      </c>
      <c r="F400" s="12" t="inlineStr"/>
      <c r="G400" s="12" t="inlineStr">
        <is>
          <t>Source assignment -- not individually reviewed</t>
        </is>
      </c>
      <c r="H400" s="17" t="inlineStr">
        <is>
          <t>10 EVIDENCE &amp; DECISIONS</t>
        </is>
      </c>
    </row>
    <row r="401" ht="34" customHeight="1">
      <c r="A401" s="12" t="inlineStr">
        <is>
          <t>R283-v1</t>
        </is>
      </c>
      <c r="B401" s="12" t="inlineStr">
        <is>
          <t>Contractor Programme</t>
        </is>
      </c>
      <c r="C401" s="12" t="inlineStr">
        <is>
          <t>SCH-02-103</t>
        </is>
      </c>
      <c r="D401" s="12" t="inlineStr">
        <is>
          <t>1.2.1 Stations - Station Structures</t>
        </is>
      </c>
      <c r="E401" s="12" t="inlineStr">
        <is>
          <t>New</t>
        </is>
      </c>
      <c r="F401" s="12" t="inlineStr"/>
      <c r="G401" s="12" t="inlineStr">
        <is>
          <t>Source assignment -- not individually reviewed</t>
        </is>
      </c>
      <c r="H401" s="17" t="inlineStr">
        <is>
          <t>10 EVIDENCE &amp; DECISIONS</t>
        </is>
      </c>
    </row>
    <row r="402" ht="34" customHeight="1">
      <c r="A402" s="12" t="inlineStr">
        <is>
          <t>R284-v1</t>
        </is>
      </c>
      <c r="B402" s="12" t="inlineStr">
        <is>
          <t>Contractor Programme</t>
        </is>
      </c>
      <c r="C402" s="12" t="inlineStr">
        <is>
          <t>SCH-02-104</t>
        </is>
      </c>
      <c r="D402" s="12" t="inlineStr">
        <is>
          <t>1.2.1 Stations - Station Structures</t>
        </is>
      </c>
      <c r="E402" s="12" t="inlineStr">
        <is>
          <t>New</t>
        </is>
      </c>
      <c r="F402" s="12" t="inlineStr"/>
      <c r="G402" s="12" t="inlineStr">
        <is>
          <t>Source assignment -- not individually reviewed</t>
        </is>
      </c>
      <c r="H402" s="17" t="inlineStr">
        <is>
          <t>10 EVIDENCE &amp; DECISIONS</t>
        </is>
      </c>
    </row>
    <row r="403" ht="34" customHeight="1">
      <c r="A403" s="12" t="inlineStr">
        <is>
          <t>R286-v1</t>
        </is>
      </c>
      <c r="B403" s="12" t="inlineStr">
        <is>
          <t>Contractor Programme</t>
        </is>
      </c>
      <c r="C403" s="12" t="inlineStr">
        <is>
          <t>SCH-02-106</t>
        </is>
      </c>
      <c r="D403" s="12" t="inlineStr">
        <is>
          <t>1.2.1 Stations - Station Structures</t>
        </is>
      </c>
      <c r="E403" s="12" t="inlineStr">
        <is>
          <t>New</t>
        </is>
      </c>
      <c r="F403" s="12" t="inlineStr"/>
      <c r="G403" s="12" t="inlineStr">
        <is>
          <t>Source assignment -- not individually reviewed</t>
        </is>
      </c>
      <c r="H403" s="17" t="inlineStr">
        <is>
          <t>10 EVIDENCE &amp; DECISIONS</t>
        </is>
      </c>
    </row>
    <row r="404" ht="34" customHeight="1">
      <c r="A404" s="12" t="inlineStr">
        <is>
          <t>R287-v1</t>
        </is>
      </c>
      <c r="B404" s="12" t="inlineStr">
        <is>
          <t>Contractor Programme</t>
        </is>
      </c>
      <c r="C404" s="12" t="inlineStr">
        <is>
          <t>SCH-02-107</t>
        </is>
      </c>
      <c r="D404" s="12" t="inlineStr">
        <is>
          <t>1.2.1 Stations - Station Structures</t>
        </is>
      </c>
      <c r="E404" s="12" t="inlineStr">
        <is>
          <t>New</t>
        </is>
      </c>
      <c r="F404" s="12" t="inlineStr"/>
      <c r="G404" s="12" t="inlineStr">
        <is>
          <t>Source assignment -- not individually reviewed</t>
        </is>
      </c>
      <c r="H404" s="17" t="inlineStr">
        <is>
          <t>10 EVIDENCE &amp; DECISIONS</t>
        </is>
      </c>
    </row>
    <row r="405" ht="34" customHeight="1">
      <c r="A405" s="12" t="inlineStr">
        <is>
          <t>R289-v1</t>
        </is>
      </c>
      <c r="B405" s="12" t="inlineStr">
        <is>
          <t>Contractor Programme</t>
        </is>
      </c>
      <c r="C405" s="12" t="inlineStr">
        <is>
          <t>SCH-02-109</t>
        </is>
      </c>
      <c r="D405" s="12" t="inlineStr">
        <is>
          <t>1.2.1 Stations - Station Structures</t>
        </is>
      </c>
      <c r="E405" s="12" t="inlineStr">
        <is>
          <t>New</t>
        </is>
      </c>
      <c r="F405" s="12" t="inlineStr"/>
      <c r="G405" s="12" t="inlineStr">
        <is>
          <t>Source assignment -- not individually reviewed</t>
        </is>
      </c>
      <c r="H405" s="17" t="inlineStr">
        <is>
          <t>10 EVIDENCE &amp; DECISIONS</t>
        </is>
      </c>
    </row>
    <row r="406" ht="34" customHeight="1">
      <c r="A406" s="12" t="inlineStr">
        <is>
          <t>R290-v1</t>
        </is>
      </c>
      <c r="B406" s="12" t="inlineStr">
        <is>
          <t>Contractor Programme</t>
        </is>
      </c>
      <c r="C406" s="12" t="inlineStr">
        <is>
          <t>SCH-02-110</t>
        </is>
      </c>
      <c r="D406" s="12" t="inlineStr">
        <is>
          <t>1.2.1 Stations - Station Structures</t>
        </is>
      </c>
      <c r="E406" s="12" t="inlineStr">
        <is>
          <t>New</t>
        </is>
      </c>
      <c r="F406" s="12" t="inlineStr"/>
      <c r="G406" s="12" t="inlineStr">
        <is>
          <t>Source assignment -- not individually reviewed</t>
        </is>
      </c>
      <c r="H406" s="17" t="inlineStr">
        <is>
          <t>10 EVIDENCE &amp; DECISIONS</t>
        </is>
      </c>
    </row>
    <row r="407" ht="34" customHeight="1">
      <c r="A407" s="12" t="inlineStr">
        <is>
          <t>R292-v1</t>
        </is>
      </c>
      <c r="B407" s="12" t="inlineStr">
        <is>
          <t>Contractor Programme</t>
        </is>
      </c>
      <c r="C407" s="12" t="inlineStr">
        <is>
          <t>SCH-02-112</t>
        </is>
      </c>
      <c r="D407" s="12" t="inlineStr">
        <is>
          <t>1.2.1 Stations - Station Structures</t>
        </is>
      </c>
      <c r="E407" s="12" t="inlineStr">
        <is>
          <t>New</t>
        </is>
      </c>
      <c r="F407" s="12" t="inlineStr"/>
      <c r="G407" s="12" t="inlineStr">
        <is>
          <t>Source assignment -- not individually reviewed</t>
        </is>
      </c>
      <c r="H407" s="17" t="inlineStr">
        <is>
          <t>10 EVIDENCE &amp; DECISIONS</t>
        </is>
      </c>
    </row>
    <row r="408" ht="34" customHeight="1">
      <c r="A408" s="12" t="inlineStr">
        <is>
          <t>R293-v1</t>
        </is>
      </c>
      <c r="B408" s="12" t="inlineStr">
        <is>
          <t>Contractor Programme</t>
        </is>
      </c>
      <c r="C408" s="12" t="inlineStr">
        <is>
          <t>SCH-02-113</t>
        </is>
      </c>
      <c r="D408" s="12" t="inlineStr">
        <is>
          <t>1.2.1 Stations - Station Structures</t>
        </is>
      </c>
      <c r="E408" s="12" t="inlineStr">
        <is>
          <t>New</t>
        </is>
      </c>
      <c r="F408" s="12" t="inlineStr"/>
      <c r="G408" s="12" t="inlineStr">
        <is>
          <t>Source assignment -- not individually reviewed</t>
        </is>
      </c>
      <c r="H408" s="17" t="inlineStr">
        <is>
          <t>10 EVIDENCE &amp; DECISIONS</t>
        </is>
      </c>
    </row>
    <row r="409" ht="34" customHeight="1">
      <c r="A409" s="12" t="inlineStr">
        <is>
          <t>R295-v1</t>
        </is>
      </c>
      <c r="B409" s="12" t="inlineStr">
        <is>
          <t>Contractor Programme</t>
        </is>
      </c>
      <c r="C409" s="12" t="inlineStr">
        <is>
          <t>SCH-02-115</t>
        </is>
      </c>
      <c r="D409" s="12" t="inlineStr">
        <is>
          <t>1.2.1 Stations - Station Structures</t>
        </is>
      </c>
      <c r="E409" s="12" t="inlineStr">
        <is>
          <t>New</t>
        </is>
      </c>
      <c r="F409" s="12" t="inlineStr"/>
      <c r="G409" s="12" t="inlineStr">
        <is>
          <t>Source assignment -- not individually reviewed</t>
        </is>
      </c>
      <c r="H409" s="17" t="inlineStr">
        <is>
          <t>10 EVIDENCE &amp; DECISIONS</t>
        </is>
      </c>
    </row>
    <row r="410" ht="34" customHeight="1">
      <c r="A410" s="12" t="inlineStr">
        <is>
          <t>R296-v1</t>
        </is>
      </c>
      <c r="B410" s="12" t="inlineStr">
        <is>
          <t>Contractor Programme</t>
        </is>
      </c>
      <c r="C410" s="12" t="inlineStr">
        <is>
          <t>SCH-02-116</t>
        </is>
      </c>
      <c r="D410" s="12" t="inlineStr">
        <is>
          <t>1.2.1 Stations - Station Structures</t>
        </is>
      </c>
      <c r="E410" s="12" t="inlineStr">
        <is>
          <t>New</t>
        </is>
      </c>
      <c r="F410" s="12" t="inlineStr"/>
      <c r="G410" s="12" t="inlineStr">
        <is>
          <t>Source assignment -- not individually reviewed</t>
        </is>
      </c>
      <c r="H410" s="17" t="inlineStr">
        <is>
          <t>10 EVIDENCE &amp; DECISIONS</t>
        </is>
      </c>
    </row>
    <row r="411" ht="34" customHeight="1">
      <c r="A411" s="12" t="inlineStr">
        <is>
          <t>R298-v1</t>
        </is>
      </c>
      <c r="B411" s="12" t="inlineStr">
        <is>
          <t>Contractor Programme</t>
        </is>
      </c>
      <c r="C411" s="12" t="inlineStr">
        <is>
          <t>SCH-02-118</t>
        </is>
      </c>
      <c r="D411" s="12" t="inlineStr">
        <is>
          <t>1.2.1 Stations - Station Structures</t>
        </is>
      </c>
      <c r="E411" s="12" t="inlineStr">
        <is>
          <t>New</t>
        </is>
      </c>
      <c r="F411" s="12" t="inlineStr"/>
      <c r="G411" s="12" t="inlineStr">
        <is>
          <t>Source assignment -- not individually reviewed</t>
        </is>
      </c>
      <c r="H411" s="17" t="inlineStr">
        <is>
          <t>10 EVIDENCE &amp; DECISIONS</t>
        </is>
      </c>
    </row>
    <row r="412" ht="34" customHeight="1">
      <c r="A412" s="12" t="inlineStr">
        <is>
          <t>R299-v1</t>
        </is>
      </c>
      <c r="B412" s="12" t="inlineStr">
        <is>
          <t>Contractor Programme</t>
        </is>
      </c>
      <c r="C412" s="12" t="inlineStr">
        <is>
          <t>SCH-02-119</t>
        </is>
      </c>
      <c r="D412" s="12" t="inlineStr">
        <is>
          <t>1.2.1 Stations - Station Structures</t>
        </is>
      </c>
      <c r="E412" s="12" t="inlineStr">
        <is>
          <t>New</t>
        </is>
      </c>
      <c r="F412" s="12" t="inlineStr"/>
      <c r="G412" s="12" t="inlineStr">
        <is>
          <t>Source assignment -- not individually reviewed</t>
        </is>
      </c>
      <c r="H412" s="17" t="inlineStr">
        <is>
          <t>10 EVIDENCE &amp; DECISIONS</t>
        </is>
      </c>
    </row>
    <row r="413" ht="34" customHeight="1">
      <c r="A413" s="12" t="inlineStr">
        <is>
          <t>R301-v1</t>
        </is>
      </c>
      <c r="B413" s="12" t="inlineStr">
        <is>
          <t>Contractor Programme</t>
        </is>
      </c>
      <c r="C413" s="12" t="inlineStr">
        <is>
          <t>SCH-02-121</t>
        </is>
      </c>
      <c r="D413" s="12" t="inlineStr">
        <is>
          <t>1.2.1 Stations - Station Structures</t>
        </is>
      </c>
      <c r="E413" s="12" t="inlineStr">
        <is>
          <t>New</t>
        </is>
      </c>
      <c r="F413" s="12" t="inlineStr"/>
      <c r="G413" s="12" t="inlineStr">
        <is>
          <t>Source assignment -- not individually reviewed</t>
        </is>
      </c>
      <c r="H413" s="17" t="inlineStr">
        <is>
          <t>10 EVIDENCE &amp; DECISIONS</t>
        </is>
      </c>
    </row>
    <row r="414" ht="34" customHeight="1">
      <c r="A414" s="12" t="inlineStr">
        <is>
          <t>R302-v1</t>
        </is>
      </c>
      <c r="B414" s="12" t="inlineStr">
        <is>
          <t>Contractor Programme</t>
        </is>
      </c>
      <c r="C414" s="12" t="inlineStr">
        <is>
          <t>SCH-02-122</t>
        </is>
      </c>
      <c r="D414" s="12" t="inlineStr">
        <is>
          <t>1.2.1 Stations - Station Structures</t>
        </is>
      </c>
      <c r="E414" s="12" t="inlineStr">
        <is>
          <t>New</t>
        </is>
      </c>
      <c r="F414" s="12" t="inlineStr"/>
      <c r="G414" s="12" t="inlineStr">
        <is>
          <t>Source assignment -- not individually reviewed</t>
        </is>
      </c>
      <c r="H414" s="17" t="inlineStr">
        <is>
          <t>10 EVIDENCE &amp; DECISIONS</t>
        </is>
      </c>
    </row>
    <row r="415" ht="34" customHeight="1">
      <c r="A415" s="12" t="inlineStr">
        <is>
          <t>R304-v1</t>
        </is>
      </c>
      <c r="B415" s="12" t="inlineStr">
        <is>
          <t>Contractor Programme</t>
        </is>
      </c>
      <c r="C415" s="12" t="inlineStr">
        <is>
          <t>SCH-02-124</t>
        </is>
      </c>
      <c r="D415" s="12" t="inlineStr">
        <is>
          <t>1.2.1 Stations - Station Structures</t>
        </is>
      </c>
      <c r="E415" s="12" t="inlineStr">
        <is>
          <t>New</t>
        </is>
      </c>
      <c r="F415" s="12" t="inlineStr"/>
      <c r="G415" s="12" t="inlineStr">
        <is>
          <t>Source assignment -- not individually reviewed</t>
        </is>
      </c>
      <c r="H415" s="17" t="inlineStr">
        <is>
          <t>10 EVIDENCE &amp; DECISIONS</t>
        </is>
      </c>
    </row>
    <row r="416" ht="34" customHeight="1">
      <c r="A416" s="12" t="inlineStr">
        <is>
          <t>R305-v1</t>
        </is>
      </c>
      <c r="B416" s="12" t="inlineStr">
        <is>
          <t>Contractor Programme</t>
        </is>
      </c>
      <c r="C416" s="12" t="inlineStr">
        <is>
          <t>SCH-02-125</t>
        </is>
      </c>
      <c r="D416" s="12" t="inlineStr">
        <is>
          <t>1.2.1 Stations - Station Structures</t>
        </is>
      </c>
      <c r="E416" s="12" t="inlineStr">
        <is>
          <t>New</t>
        </is>
      </c>
      <c r="F416" s="12" t="inlineStr"/>
      <c r="G416" s="12" t="inlineStr">
        <is>
          <t>Source assignment -- not individually reviewed</t>
        </is>
      </c>
      <c r="H416" s="17" t="inlineStr">
        <is>
          <t>10 EVIDENCE &amp; DECISIONS</t>
        </is>
      </c>
    </row>
    <row r="417" ht="34" customHeight="1">
      <c r="A417" s="12" t="inlineStr">
        <is>
          <t>R307-v1</t>
        </is>
      </c>
      <c r="B417" s="12" t="inlineStr">
        <is>
          <t>Contractor Programme</t>
        </is>
      </c>
      <c r="C417" s="12" t="inlineStr">
        <is>
          <t>SCH-02-127</t>
        </is>
      </c>
      <c r="D417" s="12" t="inlineStr">
        <is>
          <t>1.2.1 Stations - Station Structures</t>
        </is>
      </c>
      <c r="E417" s="12" t="inlineStr">
        <is>
          <t>New</t>
        </is>
      </c>
      <c r="F417" s="12" t="inlineStr"/>
      <c r="G417" s="12" t="inlineStr">
        <is>
          <t>Source assignment -- not individually reviewed</t>
        </is>
      </c>
      <c r="H417" s="17" t="inlineStr">
        <is>
          <t>10 EVIDENCE &amp; DECISIONS</t>
        </is>
      </c>
    </row>
    <row r="418" ht="34" customHeight="1">
      <c r="A418" s="12" t="inlineStr">
        <is>
          <t>R308-v1</t>
        </is>
      </c>
      <c r="B418" s="12" t="inlineStr">
        <is>
          <t>Contractor Programme</t>
        </is>
      </c>
      <c r="C418" s="12" t="inlineStr">
        <is>
          <t>SCH-02-128</t>
        </is>
      </c>
      <c r="D418" s="12" t="inlineStr">
        <is>
          <t>1.2.1 Stations - Station Structures</t>
        </is>
      </c>
      <c r="E418" s="12" t="inlineStr">
        <is>
          <t>New</t>
        </is>
      </c>
      <c r="F418" s="12" t="inlineStr"/>
      <c r="G418" s="12" t="inlineStr">
        <is>
          <t>Source assignment -- not individually reviewed</t>
        </is>
      </c>
      <c r="H418" s="17" t="inlineStr">
        <is>
          <t>10 EVIDENCE &amp; DECISIONS</t>
        </is>
      </c>
    </row>
    <row r="419" ht="34" customHeight="1">
      <c r="A419" s="12" t="inlineStr">
        <is>
          <t>R310-v1</t>
        </is>
      </c>
      <c r="B419" s="12" t="inlineStr">
        <is>
          <t>Contractor Programme</t>
        </is>
      </c>
      <c r="C419" s="12" t="inlineStr">
        <is>
          <t>SCH-02-130</t>
        </is>
      </c>
      <c r="D419" s="12" t="inlineStr">
        <is>
          <t>1.2.1 Stations - Station Structures</t>
        </is>
      </c>
      <c r="E419" s="12" t="inlineStr">
        <is>
          <t>New</t>
        </is>
      </c>
      <c r="F419" s="12" t="inlineStr"/>
      <c r="G419" s="12" t="inlineStr">
        <is>
          <t>Source assignment -- not individually reviewed</t>
        </is>
      </c>
      <c r="H419" s="17" t="inlineStr">
        <is>
          <t>10 EVIDENCE &amp; DECISIONS</t>
        </is>
      </c>
    </row>
    <row r="420" ht="34" customHeight="1">
      <c r="A420" s="12" t="inlineStr">
        <is>
          <t>R311-v1</t>
        </is>
      </c>
      <c r="B420" s="12" t="inlineStr">
        <is>
          <t>Contractor Programme</t>
        </is>
      </c>
      <c r="C420" s="12" t="inlineStr">
        <is>
          <t>SCH-02-131</t>
        </is>
      </c>
      <c r="D420" s="12" t="inlineStr">
        <is>
          <t>1.2.1 Stations - Station Structures</t>
        </is>
      </c>
      <c r="E420" s="12" t="inlineStr">
        <is>
          <t>New</t>
        </is>
      </c>
      <c r="F420" s="12" t="inlineStr"/>
      <c r="G420" s="12" t="inlineStr">
        <is>
          <t>Source assignment -- not individually reviewed</t>
        </is>
      </c>
      <c r="H420" s="17" t="inlineStr">
        <is>
          <t>10 EVIDENCE &amp; DECISIONS</t>
        </is>
      </c>
    </row>
    <row r="421" ht="34" customHeight="1">
      <c r="A421" s="12" t="inlineStr">
        <is>
          <t>R313-v1</t>
        </is>
      </c>
      <c r="B421" s="12" t="inlineStr">
        <is>
          <t>Contractor Programme</t>
        </is>
      </c>
      <c r="C421" s="12" t="inlineStr">
        <is>
          <t>SCH-02-133</t>
        </is>
      </c>
      <c r="D421" s="12" t="inlineStr">
        <is>
          <t>1.2.1 Stations - Station Structures</t>
        </is>
      </c>
      <c r="E421" s="12" t="inlineStr">
        <is>
          <t>New</t>
        </is>
      </c>
      <c r="F421" s="12" t="inlineStr"/>
      <c r="G421" s="12" t="inlineStr">
        <is>
          <t>Source assignment -- not individually reviewed</t>
        </is>
      </c>
      <c r="H421" s="17" t="inlineStr">
        <is>
          <t>10 EVIDENCE &amp; DECISIONS</t>
        </is>
      </c>
    </row>
    <row r="422" ht="34" customHeight="1">
      <c r="A422" s="12" t="inlineStr">
        <is>
          <t>R314-v1</t>
        </is>
      </c>
      <c r="B422" s="12" t="inlineStr">
        <is>
          <t>Contractor Programme</t>
        </is>
      </c>
      <c r="C422" s="12" t="inlineStr">
        <is>
          <t>SCH-02-134</t>
        </is>
      </c>
      <c r="D422" s="12" t="inlineStr">
        <is>
          <t>1.2.1 Stations - Station Structures</t>
        </is>
      </c>
      <c r="E422" s="12" t="inlineStr">
        <is>
          <t>New</t>
        </is>
      </c>
      <c r="F422" s="12" t="inlineStr"/>
      <c r="G422" s="12" t="inlineStr">
        <is>
          <t>Source assignment -- not individually reviewed</t>
        </is>
      </c>
      <c r="H422" s="17" t="inlineStr">
        <is>
          <t>10 EVIDENCE &amp; DECISIONS</t>
        </is>
      </c>
    </row>
    <row r="423" ht="34" customHeight="1">
      <c r="A423" s="12" t="inlineStr">
        <is>
          <t>R316-v1</t>
        </is>
      </c>
      <c r="B423" s="12" t="inlineStr">
        <is>
          <t>Contractor Programme</t>
        </is>
      </c>
      <c r="C423" s="12" t="inlineStr">
        <is>
          <t>SCH-02-136</t>
        </is>
      </c>
      <c r="D423" s="12" t="inlineStr">
        <is>
          <t>1.2.1 Stations - Station Structures</t>
        </is>
      </c>
      <c r="E423" s="12" t="inlineStr">
        <is>
          <t>New</t>
        </is>
      </c>
      <c r="F423" s="12" t="inlineStr"/>
      <c r="G423" s="12" t="inlineStr">
        <is>
          <t>Source assignment -- not individually reviewed</t>
        </is>
      </c>
      <c r="H423" s="17" t="inlineStr">
        <is>
          <t>10 EVIDENCE &amp; DECISIONS</t>
        </is>
      </c>
    </row>
    <row r="424" ht="34" customHeight="1">
      <c r="A424" s="12" t="inlineStr">
        <is>
          <t>R317-v1</t>
        </is>
      </c>
      <c r="B424" s="12" t="inlineStr">
        <is>
          <t>Contractor Programme</t>
        </is>
      </c>
      <c r="C424" s="12" t="inlineStr">
        <is>
          <t>SCH-02-137</t>
        </is>
      </c>
      <c r="D424" s="12" t="inlineStr">
        <is>
          <t>1.2.1 Stations - Station Structures</t>
        </is>
      </c>
      <c r="E424" s="12" t="inlineStr">
        <is>
          <t>New</t>
        </is>
      </c>
      <c r="F424" s="12" t="inlineStr"/>
      <c r="G424" s="12" t="inlineStr">
        <is>
          <t>Source assignment -- not individually reviewed</t>
        </is>
      </c>
      <c r="H424" s="17" t="inlineStr">
        <is>
          <t>10 EVIDENCE &amp; DECISIONS</t>
        </is>
      </c>
    </row>
    <row r="425" ht="34" customHeight="1">
      <c r="A425" s="12" t="inlineStr">
        <is>
          <t>R319-v1</t>
        </is>
      </c>
      <c r="B425" s="12" t="inlineStr">
        <is>
          <t>Contractor Programme</t>
        </is>
      </c>
      <c r="C425" s="12" t="inlineStr">
        <is>
          <t>SCH-02-139</t>
        </is>
      </c>
      <c r="D425" s="12" t="inlineStr">
        <is>
          <t>1.2.1 Stations - Station Structures</t>
        </is>
      </c>
      <c r="E425" s="12" t="inlineStr">
        <is>
          <t>New</t>
        </is>
      </c>
      <c r="F425" s="12" t="inlineStr"/>
      <c r="G425" s="12" t="inlineStr">
        <is>
          <t>Source assignment -- not individually reviewed</t>
        </is>
      </c>
      <c r="H425" s="17" t="inlineStr">
        <is>
          <t>10 EVIDENCE &amp; DECISIONS</t>
        </is>
      </c>
    </row>
    <row r="426" ht="34" customHeight="1">
      <c r="A426" s="12" t="inlineStr">
        <is>
          <t>R320-v1</t>
        </is>
      </c>
      <c r="B426" s="12" t="inlineStr">
        <is>
          <t>Contractor Programme</t>
        </is>
      </c>
      <c r="C426" s="12" t="inlineStr">
        <is>
          <t>SCH-02-140</t>
        </is>
      </c>
      <c r="D426" s="12" t="inlineStr">
        <is>
          <t>1.2.1 Stations - Station Structures</t>
        </is>
      </c>
      <c r="E426" s="12" t="inlineStr">
        <is>
          <t>New</t>
        </is>
      </c>
      <c r="F426" s="12" t="inlineStr"/>
      <c r="G426" s="12" t="inlineStr">
        <is>
          <t>Source assignment -- not individually reviewed</t>
        </is>
      </c>
      <c r="H426" s="17" t="inlineStr">
        <is>
          <t>10 EVIDENCE &amp; DECISIONS</t>
        </is>
      </c>
    </row>
    <row r="427" ht="34" customHeight="1">
      <c r="A427" s="12" t="inlineStr">
        <is>
          <t>R322-v1</t>
        </is>
      </c>
      <c r="B427" s="12" t="inlineStr">
        <is>
          <t>Contractor Programme</t>
        </is>
      </c>
      <c r="C427" s="12" t="inlineStr">
        <is>
          <t>SCH-02-142</t>
        </is>
      </c>
      <c r="D427" s="12" t="inlineStr">
        <is>
          <t>1.2.1 Stations - Station Structures</t>
        </is>
      </c>
      <c r="E427" s="12" t="inlineStr">
        <is>
          <t>New</t>
        </is>
      </c>
      <c r="F427" s="12" t="inlineStr"/>
      <c r="G427" s="12" t="inlineStr">
        <is>
          <t>Source assignment -- not individually reviewed</t>
        </is>
      </c>
      <c r="H427" s="17" t="inlineStr">
        <is>
          <t>10 EVIDENCE &amp; DECISIONS</t>
        </is>
      </c>
    </row>
    <row r="428" ht="34" customHeight="1">
      <c r="A428" s="12" t="inlineStr">
        <is>
          <t>R323-v1</t>
        </is>
      </c>
      <c r="B428" s="12" t="inlineStr">
        <is>
          <t>Contractor Programme</t>
        </is>
      </c>
      <c r="C428" s="12" t="inlineStr">
        <is>
          <t>SCH-02-143</t>
        </is>
      </c>
      <c r="D428" s="12" t="inlineStr">
        <is>
          <t>1.2.1 Stations - Station Structures</t>
        </is>
      </c>
      <c r="E428" s="12" t="inlineStr">
        <is>
          <t>New</t>
        </is>
      </c>
      <c r="F428" s="12" t="inlineStr"/>
      <c r="G428" s="12" t="inlineStr">
        <is>
          <t>Source assignment -- not individually reviewed</t>
        </is>
      </c>
      <c r="H428" s="17" t="inlineStr">
        <is>
          <t>10 EVIDENCE &amp; DECISIONS</t>
        </is>
      </c>
    </row>
    <row r="429" ht="34" customHeight="1">
      <c r="A429" s="12" t="inlineStr">
        <is>
          <t>R325-v1</t>
        </is>
      </c>
      <c r="B429" s="12" t="inlineStr">
        <is>
          <t>Contractor Programme</t>
        </is>
      </c>
      <c r="C429" s="12" t="inlineStr">
        <is>
          <t>SCH-02-145</t>
        </is>
      </c>
      <c r="D429" s="12" t="inlineStr">
        <is>
          <t>1.2.1 Stations - Station Structures</t>
        </is>
      </c>
      <c r="E429" s="12" t="inlineStr">
        <is>
          <t>New</t>
        </is>
      </c>
      <c r="F429" s="12" t="inlineStr"/>
      <c r="G429" s="12" t="inlineStr">
        <is>
          <t>Source assignment -- not individually reviewed</t>
        </is>
      </c>
      <c r="H429" s="17" t="inlineStr">
        <is>
          <t>10 EVIDENCE &amp; DECISIONS</t>
        </is>
      </c>
    </row>
    <row r="430" ht="34" customHeight="1">
      <c r="A430" s="12" t="inlineStr">
        <is>
          <t>R326-v1</t>
        </is>
      </c>
      <c r="B430" s="12" t="inlineStr">
        <is>
          <t>Contractor Programme</t>
        </is>
      </c>
      <c r="C430" s="12" t="inlineStr">
        <is>
          <t>SCH-02-146</t>
        </is>
      </c>
      <c r="D430" s="12" t="inlineStr">
        <is>
          <t>1.2.1 Stations - Station Structures</t>
        </is>
      </c>
      <c r="E430" s="12" t="inlineStr">
        <is>
          <t>New</t>
        </is>
      </c>
      <c r="F430" s="12" t="inlineStr"/>
      <c r="G430" s="12" t="inlineStr">
        <is>
          <t>Source assignment -- not individually reviewed</t>
        </is>
      </c>
      <c r="H430" s="17" t="inlineStr">
        <is>
          <t>10 EVIDENCE &amp; DECISIONS</t>
        </is>
      </c>
    </row>
    <row r="431" ht="34" customHeight="1">
      <c r="A431" s="12" t="inlineStr">
        <is>
          <t>R328-v1</t>
        </is>
      </c>
      <c r="B431" s="12" t="inlineStr">
        <is>
          <t>Contractor Programme</t>
        </is>
      </c>
      <c r="C431" s="12" t="inlineStr">
        <is>
          <t>SCH-02-148</t>
        </is>
      </c>
      <c r="D431" s="12" t="inlineStr">
        <is>
          <t>1.2.1 Stations - Station Structures</t>
        </is>
      </c>
      <c r="E431" s="12" t="inlineStr">
        <is>
          <t>New</t>
        </is>
      </c>
      <c r="F431" s="12" t="inlineStr"/>
      <c r="G431" s="12" t="inlineStr">
        <is>
          <t>Source assignment -- not individually reviewed</t>
        </is>
      </c>
      <c r="H431" s="17" t="inlineStr">
        <is>
          <t>10 EVIDENCE &amp; DECISIONS</t>
        </is>
      </c>
    </row>
    <row r="432" ht="34" customHeight="1">
      <c r="A432" s="12" t="inlineStr">
        <is>
          <t>R329-v1</t>
        </is>
      </c>
      <c r="B432" s="12" t="inlineStr">
        <is>
          <t>Contractor Programme</t>
        </is>
      </c>
      <c r="C432" s="12" t="inlineStr">
        <is>
          <t>SCH-02-149</t>
        </is>
      </c>
      <c r="D432" s="12" t="inlineStr">
        <is>
          <t>1.2.1 Stations - Station Structures</t>
        </is>
      </c>
      <c r="E432" s="12" t="inlineStr">
        <is>
          <t>New</t>
        </is>
      </c>
      <c r="F432" s="12" t="inlineStr"/>
      <c r="G432" s="12" t="inlineStr">
        <is>
          <t>Source assignment -- not individually reviewed</t>
        </is>
      </c>
      <c r="H432" s="17" t="inlineStr">
        <is>
          <t>10 EVIDENCE &amp; DECISIONS</t>
        </is>
      </c>
    </row>
    <row r="433" ht="34" customHeight="1">
      <c r="A433" s="12" t="inlineStr">
        <is>
          <t>R331-v1</t>
        </is>
      </c>
      <c r="B433" s="12" t="inlineStr">
        <is>
          <t>Contractor Programme</t>
        </is>
      </c>
      <c r="C433" s="12" t="inlineStr">
        <is>
          <t>SCH-02-151</t>
        </is>
      </c>
      <c r="D433" s="12" t="inlineStr">
        <is>
          <t>1.2.1 Stations - Station Structures</t>
        </is>
      </c>
      <c r="E433" s="12" t="inlineStr">
        <is>
          <t>New</t>
        </is>
      </c>
      <c r="F433" s="12" t="inlineStr"/>
      <c r="G433" s="12" t="inlineStr">
        <is>
          <t>Source assignment -- not individually reviewed</t>
        </is>
      </c>
      <c r="H433" s="17" t="inlineStr">
        <is>
          <t>10 EVIDENCE &amp; DECISIONS</t>
        </is>
      </c>
    </row>
    <row r="434" ht="34" customHeight="1">
      <c r="A434" s="12" t="inlineStr">
        <is>
          <t>R332-v1</t>
        </is>
      </c>
      <c r="B434" s="12" t="inlineStr">
        <is>
          <t>Contractor Programme</t>
        </is>
      </c>
      <c r="C434" s="12" t="inlineStr">
        <is>
          <t>SCH-02-152</t>
        </is>
      </c>
      <c r="D434" s="12" t="inlineStr">
        <is>
          <t>1.2.1 Stations - Station Structures</t>
        </is>
      </c>
      <c r="E434" s="12" t="inlineStr">
        <is>
          <t>New</t>
        </is>
      </c>
      <c r="F434" s="12" t="inlineStr"/>
      <c r="G434" s="12" t="inlineStr">
        <is>
          <t>Source assignment -- not individually reviewed</t>
        </is>
      </c>
      <c r="H434" s="17" t="inlineStr">
        <is>
          <t>10 EVIDENCE &amp; DECISIONS</t>
        </is>
      </c>
    </row>
    <row r="435" ht="34" customHeight="1">
      <c r="A435" s="12" t="inlineStr">
        <is>
          <t>R334-v1</t>
        </is>
      </c>
      <c r="B435" s="12" t="inlineStr">
        <is>
          <t>Contractor Programme</t>
        </is>
      </c>
      <c r="C435" s="12" t="inlineStr">
        <is>
          <t>SCH-02-154</t>
        </is>
      </c>
      <c r="D435" s="12" t="inlineStr">
        <is>
          <t>1.2.1 Stations - Station Structures</t>
        </is>
      </c>
      <c r="E435" s="12" t="inlineStr">
        <is>
          <t>New</t>
        </is>
      </c>
      <c r="F435" s="12" t="inlineStr"/>
      <c r="G435" s="12" t="inlineStr">
        <is>
          <t>Source assignment -- not individually reviewed</t>
        </is>
      </c>
      <c r="H435" s="17" t="inlineStr">
        <is>
          <t>10 EVIDENCE &amp; DECISIONS</t>
        </is>
      </c>
    </row>
    <row r="436" ht="34" customHeight="1">
      <c r="A436" s="12" t="inlineStr">
        <is>
          <t>R335-v1</t>
        </is>
      </c>
      <c r="B436" s="12" t="inlineStr">
        <is>
          <t>Contractor Programme</t>
        </is>
      </c>
      <c r="C436" s="12" t="inlineStr">
        <is>
          <t>SCH-02-155</t>
        </is>
      </c>
      <c r="D436" s="12" t="inlineStr">
        <is>
          <t>1.2.1 Stations - Station Structures</t>
        </is>
      </c>
      <c r="E436" s="12" t="inlineStr">
        <is>
          <t>New</t>
        </is>
      </c>
      <c r="F436" s="12" t="inlineStr"/>
      <c r="G436" s="12" t="inlineStr">
        <is>
          <t>Source assignment -- not individually reviewed</t>
        </is>
      </c>
      <c r="H436" s="17" t="inlineStr">
        <is>
          <t>10 EVIDENCE &amp; DECISIONS</t>
        </is>
      </c>
    </row>
    <row r="437" ht="34" customHeight="1">
      <c r="A437" s="12" t="inlineStr">
        <is>
          <t>R337-v1</t>
        </is>
      </c>
      <c r="B437" s="12" t="inlineStr">
        <is>
          <t>Contractor Programme</t>
        </is>
      </c>
      <c r="C437" s="12" t="inlineStr">
        <is>
          <t>SCH-02-157</t>
        </is>
      </c>
      <c r="D437" s="12" t="inlineStr">
        <is>
          <t>1.2.1 Stations - Station Structures</t>
        </is>
      </c>
      <c r="E437" s="12" t="inlineStr">
        <is>
          <t>New</t>
        </is>
      </c>
      <c r="F437" s="12" t="inlineStr"/>
      <c r="G437" s="12" t="inlineStr">
        <is>
          <t>Source assignment -- not individually reviewed</t>
        </is>
      </c>
      <c r="H437" s="17" t="inlineStr">
        <is>
          <t>10 EVIDENCE &amp; DECISIONS</t>
        </is>
      </c>
    </row>
    <row r="438" ht="34" customHeight="1">
      <c r="A438" s="12" t="inlineStr">
        <is>
          <t>R338-v1</t>
        </is>
      </c>
      <c r="B438" s="12" t="inlineStr">
        <is>
          <t>Contractor Programme</t>
        </is>
      </c>
      <c r="C438" s="12" t="inlineStr">
        <is>
          <t>SCH-02-158</t>
        </is>
      </c>
      <c r="D438" s="12" t="inlineStr">
        <is>
          <t>1.2.1 Stations - Station Structures</t>
        </is>
      </c>
      <c r="E438" s="12" t="inlineStr">
        <is>
          <t>New</t>
        </is>
      </c>
      <c r="F438" s="12" t="inlineStr"/>
      <c r="G438" s="12" t="inlineStr">
        <is>
          <t>Source assignment -- not individually reviewed</t>
        </is>
      </c>
      <c r="H438" s="17" t="inlineStr">
        <is>
          <t>10 EVIDENCE &amp; DECISIONS</t>
        </is>
      </c>
    </row>
    <row r="439" ht="34" customHeight="1">
      <c r="A439" s="12" t="inlineStr">
        <is>
          <t>R340-v1</t>
        </is>
      </c>
      <c r="B439" s="12" t="inlineStr">
        <is>
          <t>Contractor Programme</t>
        </is>
      </c>
      <c r="C439" s="12" t="inlineStr">
        <is>
          <t>SCH-02-160</t>
        </is>
      </c>
      <c r="D439" s="12" t="inlineStr">
        <is>
          <t>1.2.1 Stations - Station Structures</t>
        </is>
      </c>
      <c r="E439" s="12" t="inlineStr">
        <is>
          <t>New</t>
        </is>
      </c>
      <c r="F439" s="12" t="inlineStr"/>
      <c r="G439" s="12" t="inlineStr">
        <is>
          <t>Source assignment -- not individually reviewed</t>
        </is>
      </c>
      <c r="H439" s="17" t="inlineStr">
        <is>
          <t>10 EVIDENCE &amp; DECISIONS</t>
        </is>
      </c>
    </row>
    <row r="440" ht="34" customHeight="1">
      <c r="A440" s="12" t="inlineStr">
        <is>
          <t>R341-v1</t>
        </is>
      </c>
      <c r="B440" s="12" t="inlineStr">
        <is>
          <t>Contractor Programme</t>
        </is>
      </c>
      <c r="C440" s="12" t="inlineStr">
        <is>
          <t>SCH-02-161</t>
        </is>
      </c>
      <c r="D440" s="12" t="inlineStr">
        <is>
          <t>1.2.1 Stations - Station Structures</t>
        </is>
      </c>
      <c r="E440" s="12" t="inlineStr">
        <is>
          <t>New</t>
        </is>
      </c>
      <c r="F440" s="12" t="inlineStr"/>
      <c r="G440" s="12" t="inlineStr">
        <is>
          <t>Source assignment -- not individually reviewed</t>
        </is>
      </c>
      <c r="H440" s="17" t="inlineStr">
        <is>
          <t>10 EVIDENCE &amp; DECISIONS</t>
        </is>
      </c>
    </row>
    <row r="441" ht="34" customHeight="1">
      <c r="A441" s="12" t="inlineStr">
        <is>
          <t>R343-v1</t>
        </is>
      </c>
      <c r="B441" s="12" t="inlineStr">
        <is>
          <t>Contractor Programme</t>
        </is>
      </c>
      <c r="C441" s="12" t="inlineStr">
        <is>
          <t>SCH-02-163</t>
        </is>
      </c>
      <c r="D441" s="12" t="inlineStr">
        <is>
          <t>1.2.1 Stations - Station Structures</t>
        </is>
      </c>
      <c r="E441" s="12" t="inlineStr">
        <is>
          <t>New</t>
        </is>
      </c>
      <c r="F441" s="12" t="inlineStr"/>
      <c r="G441" s="12" t="inlineStr">
        <is>
          <t>Source assignment -- not individually reviewed</t>
        </is>
      </c>
      <c r="H441" s="17" t="inlineStr">
        <is>
          <t>10 EVIDENCE &amp; DECISIONS</t>
        </is>
      </c>
    </row>
    <row r="442" ht="34" customHeight="1">
      <c r="A442" s="12" t="inlineStr">
        <is>
          <t>R344-v1</t>
        </is>
      </c>
      <c r="B442" s="12" t="inlineStr">
        <is>
          <t>Contractor Programme</t>
        </is>
      </c>
      <c r="C442" s="12" t="inlineStr">
        <is>
          <t>SCH-02-164</t>
        </is>
      </c>
      <c r="D442" s="12" t="inlineStr">
        <is>
          <t>1.2.1 Stations - Station Structures</t>
        </is>
      </c>
      <c r="E442" s="12" t="inlineStr">
        <is>
          <t>New</t>
        </is>
      </c>
      <c r="F442" s="12" t="inlineStr"/>
      <c r="G442" s="12" t="inlineStr">
        <is>
          <t>Source assignment -- not individually reviewed</t>
        </is>
      </c>
      <c r="H442" s="17" t="inlineStr">
        <is>
          <t>10 EVIDENCE &amp; DECISIONS</t>
        </is>
      </c>
    </row>
    <row r="443" ht="34" customHeight="1">
      <c r="A443" s="12" t="inlineStr">
        <is>
          <t>R346-v1</t>
        </is>
      </c>
      <c r="B443" s="12" t="inlineStr">
        <is>
          <t>Contractor Programme</t>
        </is>
      </c>
      <c r="C443" s="12" t="inlineStr">
        <is>
          <t>SCH-02-166</t>
        </is>
      </c>
      <c r="D443" s="12" t="inlineStr">
        <is>
          <t>1.2.1 Stations - Station Structures</t>
        </is>
      </c>
      <c r="E443" s="12" t="inlineStr">
        <is>
          <t>New</t>
        </is>
      </c>
      <c r="F443" s="12" t="inlineStr"/>
      <c r="G443" s="12" t="inlineStr">
        <is>
          <t>Source assignment -- not individually reviewed</t>
        </is>
      </c>
      <c r="H443" s="17" t="inlineStr">
        <is>
          <t>10 EVIDENCE &amp; DECISIONS</t>
        </is>
      </c>
    </row>
    <row r="444" ht="34" customHeight="1">
      <c r="A444" s="12" t="inlineStr">
        <is>
          <t>R347-v1</t>
        </is>
      </c>
      <c r="B444" s="12" t="inlineStr">
        <is>
          <t>Contractor Programme</t>
        </is>
      </c>
      <c r="C444" s="12" t="inlineStr">
        <is>
          <t>SCH-02-167</t>
        </is>
      </c>
      <c r="D444" s="12" t="inlineStr">
        <is>
          <t>1.2.1 Stations - Station Structures</t>
        </is>
      </c>
      <c r="E444" s="12" t="inlineStr">
        <is>
          <t>New</t>
        </is>
      </c>
      <c r="F444" s="12" t="inlineStr"/>
      <c r="G444" s="12" t="inlineStr">
        <is>
          <t>Source assignment -- not individually reviewed</t>
        </is>
      </c>
      <c r="H444" s="17" t="inlineStr">
        <is>
          <t>10 EVIDENCE &amp; DECISIONS</t>
        </is>
      </c>
    </row>
    <row r="445" ht="34" customHeight="1">
      <c r="A445" s="12" t="inlineStr">
        <is>
          <t>R349-v1</t>
        </is>
      </c>
      <c r="B445" s="12" t="inlineStr">
        <is>
          <t>Contractor Programme</t>
        </is>
      </c>
      <c r="C445" s="12" t="inlineStr">
        <is>
          <t>SCH-02-169</t>
        </is>
      </c>
      <c r="D445" s="12" t="inlineStr">
        <is>
          <t>1.2.1 Stations - Station Structures</t>
        </is>
      </c>
      <c r="E445" s="12" t="inlineStr">
        <is>
          <t>New</t>
        </is>
      </c>
      <c r="F445" s="12" t="inlineStr"/>
      <c r="G445" s="12" t="inlineStr">
        <is>
          <t>Source assignment -- not individually reviewed</t>
        </is>
      </c>
      <c r="H445" s="17" t="inlineStr">
        <is>
          <t>10 EVIDENCE &amp; DECISIONS</t>
        </is>
      </c>
    </row>
    <row r="446" ht="34" customHeight="1">
      <c r="A446" s="12" t="inlineStr">
        <is>
          <t>R350-v1</t>
        </is>
      </c>
      <c r="B446" s="12" t="inlineStr">
        <is>
          <t>Contractor Programme</t>
        </is>
      </c>
      <c r="C446" s="12" t="inlineStr">
        <is>
          <t>SCH-02-170</t>
        </is>
      </c>
      <c r="D446" s="12" t="inlineStr">
        <is>
          <t>1.2.1 Stations - Station Structures</t>
        </is>
      </c>
      <c r="E446" s="12" t="inlineStr">
        <is>
          <t>New</t>
        </is>
      </c>
      <c r="F446" s="12" t="inlineStr"/>
      <c r="G446" s="12" t="inlineStr">
        <is>
          <t>Source assignment -- not individually reviewed</t>
        </is>
      </c>
      <c r="H446" s="17" t="inlineStr">
        <is>
          <t>10 EVIDENCE &amp; DECISIONS</t>
        </is>
      </c>
    </row>
    <row r="447" ht="34" customHeight="1">
      <c r="A447" s="12" t="inlineStr">
        <is>
          <t>R352-v1</t>
        </is>
      </c>
      <c r="B447" s="12" t="inlineStr">
        <is>
          <t>Contractor Programme</t>
        </is>
      </c>
      <c r="C447" s="12" t="inlineStr">
        <is>
          <t>SCH-02-172</t>
        </is>
      </c>
      <c r="D447" s="12" t="inlineStr">
        <is>
          <t>1.2.1 Stations - Station Structures</t>
        </is>
      </c>
      <c r="E447" s="12" t="inlineStr">
        <is>
          <t>New</t>
        </is>
      </c>
      <c r="F447" s="12" t="inlineStr"/>
      <c r="G447" s="12" t="inlineStr">
        <is>
          <t>Source assignment -- not individually reviewed</t>
        </is>
      </c>
      <c r="H447" s="17" t="inlineStr">
        <is>
          <t>10 EVIDENCE &amp; DECISIONS</t>
        </is>
      </c>
    </row>
    <row r="448" ht="34" customHeight="1">
      <c r="A448" s="12" t="inlineStr">
        <is>
          <t>R353-v1</t>
        </is>
      </c>
      <c r="B448" s="12" t="inlineStr">
        <is>
          <t>Contractor Programme</t>
        </is>
      </c>
      <c r="C448" s="12" t="inlineStr">
        <is>
          <t>SCH-02-173</t>
        </is>
      </c>
      <c r="D448" s="12" t="inlineStr">
        <is>
          <t>1.2.1 Stations - Station Structures</t>
        </is>
      </c>
      <c r="E448" s="12" t="inlineStr">
        <is>
          <t>New</t>
        </is>
      </c>
      <c r="F448" s="12" t="inlineStr"/>
      <c r="G448" s="12" t="inlineStr">
        <is>
          <t>Source assignment -- not individually reviewed</t>
        </is>
      </c>
      <c r="H448" s="17" t="inlineStr">
        <is>
          <t>10 EVIDENCE &amp; DECISIONS</t>
        </is>
      </c>
    </row>
    <row r="449" ht="34" customHeight="1">
      <c r="A449" s="12" t="inlineStr">
        <is>
          <t>R355-v1</t>
        </is>
      </c>
      <c r="B449" s="12" t="inlineStr">
        <is>
          <t>Contractor Programme</t>
        </is>
      </c>
      <c r="C449" s="12" t="inlineStr">
        <is>
          <t>SCH-02-175</t>
        </is>
      </c>
      <c r="D449" s="12" t="inlineStr">
        <is>
          <t>1.2.1 Stations - Station Structures</t>
        </is>
      </c>
      <c r="E449" s="12" t="inlineStr">
        <is>
          <t>New</t>
        </is>
      </c>
      <c r="F449" s="12" t="inlineStr"/>
      <c r="G449" s="12" t="inlineStr">
        <is>
          <t>Source assignment -- not individually reviewed</t>
        </is>
      </c>
      <c r="H449" s="17" t="inlineStr">
        <is>
          <t>10 EVIDENCE &amp; DECISIONS</t>
        </is>
      </c>
    </row>
    <row r="450" ht="34" customHeight="1">
      <c r="A450" s="12" t="inlineStr">
        <is>
          <t>R356-v1</t>
        </is>
      </c>
      <c r="B450" s="12" t="inlineStr">
        <is>
          <t>Contractor Programme</t>
        </is>
      </c>
      <c r="C450" s="12" t="inlineStr">
        <is>
          <t>SCH-02-176</t>
        </is>
      </c>
      <c r="D450" s="12" t="inlineStr">
        <is>
          <t>1.2.1 Stations - Station Structures</t>
        </is>
      </c>
      <c r="E450" s="12" t="inlineStr">
        <is>
          <t>New</t>
        </is>
      </c>
      <c r="F450" s="12" t="inlineStr"/>
      <c r="G450" s="12" t="inlineStr">
        <is>
          <t>Source assignment -- not individually reviewed</t>
        </is>
      </c>
      <c r="H450" s="17" t="inlineStr">
        <is>
          <t>10 EVIDENCE &amp; DECISIONS</t>
        </is>
      </c>
    </row>
    <row r="451" ht="34" customHeight="1">
      <c r="A451" s="12" t="inlineStr">
        <is>
          <t>R358-v1</t>
        </is>
      </c>
      <c r="B451" s="12" t="inlineStr">
        <is>
          <t>Contractor Programme</t>
        </is>
      </c>
      <c r="C451" s="12" t="inlineStr">
        <is>
          <t>SCH-02-178</t>
        </is>
      </c>
      <c r="D451" s="12" t="inlineStr">
        <is>
          <t>1.2.1 Stations - Station Structures</t>
        </is>
      </c>
      <c r="E451" s="12" t="inlineStr">
        <is>
          <t>New</t>
        </is>
      </c>
      <c r="F451" s="12" t="inlineStr"/>
      <c r="G451" s="12" t="inlineStr">
        <is>
          <t>Source assignment -- not individually reviewed</t>
        </is>
      </c>
      <c r="H451" s="17" t="inlineStr">
        <is>
          <t>10 EVIDENCE &amp; DECISIONS</t>
        </is>
      </c>
    </row>
    <row r="452" ht="34" customHeight="1">
      <c r="A452" s="12" t="inlineStr">
        <is>
          <t>R359-v1</t>
        </is>
      </c>
      <c r="B452" s="12" t="inlineStr">
        <is>
          <t>Contractor Programme</t>
        </is>
      </c>
      <c r="C452" s="12" t="inlineStr">
        <is>
          <t>SCH-02-179</t>
        </is>
      </c>
      <c r="D452" s="12" t="inlineStr">
        <is>
          <t>1.2.1 Stations - Station Structures</t>
        </is>
      </c>
      <c r="E452" s="12" t="inlineStr">
        <is>
          <t>New</t>
        </is>
      </c>
      <c r="F452" s="12" t="inlineStr"/>
      <c r="G452" s="12" t="inlineStr">
        <is>
          <t>Source assignment -- not individually reviewed</t>
        </is>
      </c>
      <c r="H452" s="17" t="inlineStr">
        <is>
          <t>10 EVIDENCE &amp; DECISIONS</t>
        </is>
      </c>
    </row>
    <row r="453" ht="34" customHeight="1">
      <c r="A453" s="12" t="inlineStr">
        <is>
          <t>R1164-v1</t>
        </is>
      </c>
      <c r="B453" s="12" t="inlineStr">
        <is>
          <t>Cost &amp; Forecast Control Accounts</t>
        </is>
      </c>
      <c r="C453" s="12" t="inlineStr">
        <is>
          <t>CST-02-002</t>
        </is>
      </c>
      <c r="D453" s="12" t="inlineStr">
        <is>
          <t>1.2.2 Stations - Architectural Fit-Out</t>
        </is>
      </c>
      <c r="E453" s="12" t="inlineStr">
        <is>
          <t>New</t>
        </is>
      </c>
      <c r="F453" s="12" t="inlineStr"/>
      <c r="G453" s="12" t="inlineStr">
        <is>
          <t>Source assignment -- not individually reviewed</t>
        </is>
      </c>
      <c r="H453" s="17" t="inlineStr">
        <is>
          <t>10 EVIDENCE &amp; DECISIONS</t>
        </is>
      </c>
    </row>
    <row r="454" ht="34" customHeight="1">
      <c r="A454" s="12" t="inlineStr">
        <is>
          <t>R1166-v1</t>
        </is>
      </c>
      <c r="B454" s="12" t="inlineStr">
        <is>
          <t>Cost &amp; Forecast Control Accounts</t>
        </is>
      </c>
      <c r="C454" s="12" t="inlineStr">
        <is>
          <t>CST-02-004</t>
        </is>
      </c>
      <c r="D454" s="12" t="inlineStr">
        <is>
          <t>1.2.2 Stations - Architectural Fit-Out</t>
        </is>
      </c>
      <c r="E454" s="12" t="inlineStr">
        <is>
          <t>New</t>
        </is>
      </c>
      <c r="F454" s="12" t="inlineStr"/>
      <c r="G454" s="12" t="inlineStr">
        <is>
          <t>Source assignment -- not individually reviewed</t>
        </is>
      </c>
      <c r="H454" s="17" t="inlineStr">
        <is>
          <t>10 EVIDENCE &amp; DECISIONS</t>
        </is>
      </c>
    </row>
    <row r="455" ht="34" customHeight="1">
      <c r="A455" s="12" t="inlineStr">
        <is>
          <t>R1168-v1</t>
        </is>
      </c>
      <c r="B455" s="12" t="inlineStr">
        <is>
          <t>Cost &amp; Forecast Control Accounts</t>
        </is>
      </c>
      <c r="C455" s="12" t="inlineStr">
        <is>
          <t>CST-02-006</t>
        </is>
      </c>
      <c r="D455" s="12" t="inlineStr">
        <is>
          <t>1.2.2 Stations - Architectural Fit-Out</t>
        </is>
      </c>
      <c r="E455" s="12" t="inlineStr">
        <is>
          <t>New</t>
        </is>
      </c>
      <c r="F455" s="12" t="inlineStr"/>
      <c r="G455" s="12" t="inlineStr">
        <is>
          <t>Source assignment -- not individually reviewed</t>
        </is>
      </c>
      <c r="H455" s="17" t="inlineStr">
        <is>
          <t>10 EVIDENCE &amp; DECISIONS</t>
        </is>
      </c>
    </row>
    <row r="456" ht="34" customHeight="1">
      <c r="A456" s="12" t="inlineStr">
        <is>
          <t>R1170-v1</t>
        </is>
      </c>
      <c r="B456" s="12" t="inlineStr">
        <is>
          <t>Cost &amp; Forecast Control Accounts</t>
        </is>
      </c>
      <c r="C456" s="12" t="inlineStr">
        <is>
          <t>CST-02-008</t>
        </is>
      </c>
      <c r="D456" s="12" t="inlineStr">
        <is>
          <t>1.2.2 Stations - Architectural Fit-Out</t>
        </is>
      </c>
      <c r="E456" s="12" t="inlineStr">
        <is>
          <t>New</t>
        </is>
      </c>
      <c r="F456" s="12" t="inlineStr"/>
      <c r="G456" s="12" t="inlineStr">
        <is>
          <t>Source assignment -- not individually reviewed</t>
        </is>
      </c>
      <c r="H456" s="17" t="inlineStr">
        <is>
          <t>10 EVIDENCE &amp; DECISIONS</t>
        </is>
      </c>
    </row>
    <row r="457" ht="34" customHeight="1">
      <c r="A457" s="12" t="inlineStr">
        <is>
          <t>R1172-v1</t>
        </is>
      </c>
      <c r="B457" s="12" t="inlineStr">
        <is>
          <t>Cost &amp; Forecast Control Accounts</t>
        </is>
      </c>
      <c r="C457" s="12" t="inlineStr">
        <is>
          <t>CST-02-010</t>
        </is>
      </c>
      <c r="D457" s="12" t="inlineStr">
        <is>
          <t>1.2.2 Stations - Architectural Fit-Out</t>
        </is>
      </c>
      <c r="E457" s="12" t="inlineStr">
        <is>
          <t>New</t>
        </is>
      </c>
      <c r="F457" s="12" t="inlineStr"/>
      <c r="G457" s="12" t="inlineStr">
        <is>
          <t>Source assignment -- not individually reviewed</t>
        </is>
      </c>
      <c r="H457" s="17" t="inlineStr">
        <is>
          <t>10 EVIDENCE &amp; DECISIONS</t>
        </is>
      </c>
    </row>
    <row r="458" ht="34" customHeight="1">
      <c r="A458" s="12" t="inlineStr">
        <is>
          <t>R1174-v1</t>
        </is>
      </c>
      <c r="B458" s="12" t="inlineStr">
        <is>
          <t>Cost &amp; Forecast Control Accounts</t>
        </is>
      </c>
      <c r="C458" s="12" t="inlineStr">
        <is>
          <t>CST-02-012</t>
        </is>
      </c>
      <c r="D458" s="12" t="inlineStr">
        <is>
          <t>1.2.2 Stations - Architectural Fit-Out</t>
        </is>
      </c>
      <c r="E458" s="12" t="inlineStr">
        <is>
          <t>New</t>
        </is>
      </c>
      <c r="F458" s="12" t="inlineStr"/>
      <c r="G458" s="12" t="inlineStr">
        <is>
          <t>Source assignment -- not individually reviewed</t>
        </is>
      </c>
      <c r="H458" s="17" t="inlineStr">
        <is>
          <t>10 EVIDENCE &amp; DECISIONS</t>
        </is>
      </c>
    </row>
    <row r="459" ht="34" customHeight="1">
      <c r="A459" s="12" t="inlineStr">
        <is>
          <t>R1176-v1</t>
        </is>
      </c>
      <c r="B459" s="12" t="inlineStr">
        <is>
          <t>Cost &amp; Forecast Control Accounts</t>
        </is>
      </c>
      <c r="C459" s="12" t="inlineStr">
        <is>
          <t>CST-02-014</t>
        </is>
      </c>
      <c r="D459" s="12" t="inlineStr">
        <is>
          <t>1.2.2 Stations - Architectural Fit-Out</t>
        </is>
      </c>
      <c r="E459" s="12" t="inlineStr">
        <is>
          <t>New</t>
        </is>
      </c>
      <c r="F459" s="12" t="inlineStr"/>
      <c r="G459" s="12" t="inlineStr">
        <is>
          <t>Source assignment -- not individually reviewed</t>
        </is>
      </c>
      <c r="H459" s="17" t="inlineStr">
        <is>
          <t>10 EVIDENCE &amp; DECISIONS</t>
        </is>
      </c>
    </row>
    <row r="460" ht="34" customHeight="1">
      <c r="A460" s="12" t="inlineStr">
        <is>
          <t>R1178-v1</t>
        </is>
      </c>
      <c r="B460" s="12" t="inlineStr">
        <is>
          <t>Cost &amp; Forecast Control Accounts</t>
        </is>
      </c>
      <c r="C460" s="12" t="inlineStr">
        <is>
          <t>CST-02-016</t>
        </is>
      </c>
      <c r="D460" s="12" t="inlineStr">
        <is>
          <t>1.2.2 Stations - Architectural Fit-Out</t>
        </is>
      </c>
      <c r="E460" s="12" t="inlineStr">
        <is>
          <t>New</t>
        </is>
      </c>
      <c r="F460" s="12" t="inlineStr"/>
      <c r="G460" s="12" t="inlineStr">
        <is>
          <t>Source assignment -- not individually reviewed</t>
        </is>
      </c>
      <c r="H460" s="17" t="inlineStr">
        <is>
          <t>10 EVIDENCE &amp; DECISIONS</t>
        </is>
      </c>
    </row>
    <row r="461" ht="34" customHeight="1">
      <c r="A461" s="12" t="inlineStr">
        <is>
          <t>R1180-v1</t>
        </is>
      </c>
      <c r="B461" s="12" t="inlineStr">
        <is>
          <t>Cost &amp; Forecast Control Accounts</t>
        </is>
      </c>
      <c r="C461" s="12" t="inlineStr">
        <is>
          <t>CST-02-018</t>
        </is>
      </c>
      <c r="D461" s="12" t="inlineStr">
        <is>
          <t>1.2.2 Stations - Architectural Fit-Out</t>
        </is>
      </c>
      <c r="E461" s="12" t="inlineStr">
        <is>
          <t>New</t>
        </is>
      </c>
      <c r="F461" s="12" t="inlineStr"/>
      <c r="G461" s="12" t="inlineStr">
        <is>
          <t>Source assignment -- not individually reviewed</t>
        </is>
      </c>
      <c r="H461" s="17" t="inlineStr">
        <is>
          <t>10 EVIDENCE &amp; DECISIONS</t>
        </is>
      </c>
    </row>
    <row r="462" ht="34" customHeight="1">
      <c r="A462" s="12" t="inlineStr">
        <is>
          <t>R1182-v1</t>
        </is>
      </c>
      <c r="B462" s="12" t="inlineStr">
        <is>
          <t>Cost &amp; Forecast Control Accounts</t>
        </is>
      </c>
      <c r="C462" s="12" t="inlineStr">
        <is>
          <t>CST-02-020</t>
        </is>
      </c>
      <c r="D462" s="12" t="inlineStr">
        <is>
          <t>1.2.2 Stations - Architectural Fit-Out</t>
        </is>
      </c>
      <c r="E462" s="12" t="inlineStr">
        <is>
          <t>New</t>
        </is>
      </c>
      <c r="F462" s="12" t="inlineStr"/>
      <c r="G462" s="12" t="inlineStr">
        <is>
          <t>Source assignment -- not individually reviewed</t>
        </is>
      </c>
      <c r="H462" s="17" t="inlineStr">
        <is>
          <t>10 EVIDENCE &amp; DECISIONS</t>
        </is>
      </c>
    </row>
    <row r="463" ht="34" customHeight="1">
      <c r="A463" s="12" t="inlineStr">
        <is>
          <t>R1184-v1</t>
        </is>
      </c>
      <c r="B463" s="12" t="inlineStr">
        <is>
          <t>Cost &amp; Forecast Control Accounts</t>
        </is>
      </c>
      <c r="C463" s="12" t="inlineStr">
        <is>
          <t>CST-02-022</t>
        </is>
      </c>
      <c r="D463" s="12" t="inlineStr">
        <is>
          <t>1.2.2 Stations - Architectural Fit-Out</t>
        </is>
      </c>
      <c r="E463" s="12" t="inlineStr">
        <is>
          <t>New</t>
        </is>
      </c>
      <c r="F463" s="12" t="inlineStr"/>
      <c r="G463" s="12" t="inlineStr">
        <is>
          <t>Source assignment -- not individually reviewed</t>
        </is>
      </c>
      <c r="H463" s="17" t="inlineStr">
        <is>
          <t>10 EVIDENCE &amp; DECISIONS</t>
        </is>
      </c>
    </row>
    <row r="464" ht="34" customHeight="1">
      <c r="A464" s="12" t="inlineStr">
        <is>
          <t>R1186-v1</t>
        </is>
      </c>
      <c r="B464" s="12" t="inlineStr">
        <is>
          <t>Cost &amp; Forecast Control Accounts</t>
        </is>
      </c>
      <c r="C464" s="12" t="inlineStr">
        <is>
          <t>CST-02-024</t>
        </is>
      </c>
      <c r="D464" s="12" t="inlineStr">
        <is>
          <t>1.2.2 Stations - Architectural Fit-Out</t>
        </is>
      </c>
      <c r="E464" s="12" t="inlineStr">
        <is>
          <t>New</t>
        </is>
      </c>
      <c r="F464" s="12" t="inlineStr"/>
      <c r="G464" s="12" t="inlineStr">
        <is>
          <t>Source assignment -- not individually reviewed</t>
        </is>
      </c>
      <c r="H464" s="17" t="inlineStr">
        <is>
          <t>10 EVIDENCE &amp; DECISIONS</t>
        </is>
      </c>
    </row>
    <row r="465" ht="34" customHeight="1">
      <c r="A465" s="12" t="inlineStr">
        <is>
          <t>R1188-v1</t>
        </is>
      </c>
      <c r="B465" s="12" t="inlineStr">
        <is>
          <t>Cost &amp; Forecast Control Accounts</t>
        </is>
      </c>
      <c r="C465" s="12" t="inlineStr">
        <is>
          <t>CST-02-026</t>
        </is>
      </c>
      <c r="D465" s="12" t="inlineStr">
        <is>
          <t>1.2.2 Stations - Architectural Fit-Out</t>
        </is>
      </c>
      <c r="E465" s="12" t="inlineStr">
        <is>
          <t>New</t>
        </is>
      </c>
      <c r="F465" s="12" t="inlineStr"/>
      <c r="G465" s="12" t="inlineStr">
        <is>
          <t>Source assignment -- not individually reviewed</t>
        </is>
      </c>
      <c r="H465" s="17" t="inlineStr">
        <is>
          <t>10 EVIDENCE &amp; DECISIONS</t>
        </is>
      </c>
    </row>
    <row r="466" ht="34" customHeight="1">
      <c r="A466" s="12" t="inlineStr">
        <is>
          <t>R1190-v1</t>
        </is>
      </c>
      <c r="B466" s="12" t="inlineStr">
        <is>
          <t>Cost &amp; Forecast Control Accounts</t>
        </is>
      </c>
      <c r="C466" s="12" t="inlineStr">
        <is>
          <t>CST-02-028</t>
        </is>
      </c>
      <c r="D466" s="12" t="inlineStr">
        <is>
          <t>1.2.2 Stations - Architectural Fit-Out</t>
        </is>
      </c>
      <c r="E466" s="12" t="inlineStr">
        <is>
          <t>New</t>
        </is>
      </c>
      <c r="F466" s="12" t="inlineStr"/>
      <c r="G466" s="12" t="inlineStr">
        <is>
          <t>Source assignment -- not individually reviewed</t>
        </is>
      </c>
      <c r="H466" s="17" t="inlineStr">
        <is>
          <t>10 EVIDENCE &amp; DECISIONS</t>
        </is>
      </c>
    </row>
    <row r="467" ht="34" customHeight="1">
      <c r="A467" s="12" t="inlineStr">
        <is>
          <t>R1192-v1</t>
        </is>
      </c>
      <c r="B467" s="12" t="inlineStr">
        <is>
          <t>Cost &amp; Forecast Control Accounts</t>
        </is>
      </c>
      <c r="C467" s="12" t="inlineStr">
        <is>
          <t>CST-02-030</t>
        </is>
      </c>
      <c r="D467" s="12" t="inlineStr">
        <is>
          <t>1.2.2 Stations - Architectural Fit-Out</t>
        </is>
      </c>
      <c r="E467" s="12" t="inlineStr">
        <is>
          <t>New</t>
        </is>
      </c>
      <c r="F467" s="12" t="inlineStr"/>
      <c r="G467" s="12" t="inlineStr">
        <is>
          <t>Source assignment -- not individually reviewed</t>
        </is>
      </c>
      <c r="H467" s="17" t="inlineStr">
        <is>
          <t>10 EVIDENCE &amp; DECISIONS</t>
        </is>
      </c>
    </row>
    <row r="468" ht="34" customHeight="1">
      <c r="A468" s="12" t="inlineStr">
        <is>
          <t>R1194-v1</t>
        </is>
      </c>
      <c r="B468" s="12" t="inlineStr">
        <is>
          <t>Cost &amp; Forecast Control Accounts</t>
        </is>
      </c>
      <c r="C468" s="12" t="inlineStr">
        <is>
          <t>CST-02-032</t>
        </is>
      </c>
      <c r="D468" s="12" t="inlineStr">
        <is>
          <t>1.2.2 Stations - Architectural Fit-Out</t>
        </is>
      </c>
      <c r="E468" s="12" t="inlineStr">
        <is>
          <t>New</t>
        </is>
      </c>
      <c r="F468" s="12" t="inlineStr"/>
      <c r="G468" s="12" t="inlineStr">
        <is>
          <t>Source assignment -- not individually reviewed</t>
        </is>
      </c>
      <c r="H468" s="17" t="inlineStr">
        <is>
          <t>10 EVIDENCE &amp; DECISIONS</t>
        </is>
      </c>
    </row>
    <row r="469" ht="34" customHeight="1">
      <c r="A469" s="12" t="inlineStr">
        <is>
          <t>R1196-v1</t>
        </is>
      </c>
      <c r="B469" s="12" t="inlineStr">
        <is>
          <t>Cost &amp; Forecast Control Accounts</t>
        </is>
      </c>
      <c r="C469" s="12" t="inlineStr">
        <is>
          <t>CST-02-034</t>
        </is>
      </c>
      <c r="D469" s="12" t="inlineStr">
        <is>
          <t>1.2.2 Stations - Architectural Fit-Out</t>
        </is>
      </c>
      <c r="E469" s="12" t="inlineStr">
        <is>
          <t>New</t>
        </is>
      </c>
      <c r="F469" s="12" t="inlineStr"/>
      <c r="G469" s="12" t="inlineStr">
        <is>
          <t>Source assignment -- not individually reviewed</t>
        </is>
      </c>
      <c r="H469" s="17" t="inlineStr">
        <is>
          <t>10 EVIDENCE &amp; DECISIONS</t>
        </is>
      </c>
    </row>
    <row r="470" ht="34" customHeight="1">
      <c r="A470" s="12" t="inlineStr">
        <is>
          <t>R1198-v1</t>
        </is>
      </c>
      <c r="B470" s="12" t="inlineStr">
        <is>
          <t>Cost &amp; Forecast Control Accounts</t>
        </is>
      </c>
      <c r="C470" s="12" t="inlineStr">
        <is>
          <t>CST-02-036</t>
        </is>
      </c>
      <c r="D470" s="12" t="inlineStr">
        <is>
          <t>1.2.2 Stations - Architectural Fit-Out</t>
        </is>
      </c>
      <c r="E470" s="12" t="inlineStr">
        <is>
          <t>New</t>
        </is>
      </c>
      <c r="F470" s="12" t="inlineStr"/>
      <c r="G470" s="12" t="inlineStr">
        <is>
          <t>Source assignment -- not individually reviewed</t>
        </is>
      </c>
      <c r="H470" s="17" t="inlineStr">
        <is>
          <t>10 EVIDENCE &amp; DECISIONS</t>
        </is>
      </c>
    </row>
    <row r="471" ht="34" customHeight="1">
      <c r="A471" s="12" t="inlineStr">
        <is>
          <t>R1200-v1</t>
        </is>
      </c>
      <c r="B471" s="12" t="inlineStr">
        <is>
          <t>Cost &amp; Forecast Control Accounts</t>
        </is>
      </c>
      <c r="C471" s="12" t="inlineStr">
        <is>
          <t>CST-02-038</t>
        </is>
      </c>
      <c r="D471" s="12" t="inlineStr">
        <is>
          <t>1.2.2 Stations - Architectural Fit-Out</t>
        </is>
      </c>
      <c r="E471" s="12" t="inlineStr">
        <is>
          <t>New</t>
        </is>
      </c>
      <c r="F471" s="12" t="inlineStr"/>
      <c r="G471" s="12" t="inlineStr">
        <is>
          <t>Source assignment -- not individually reviewed</t>
        </is>
      </c>
      <c r="H471" s="17" t="inlineStr">
        <is>
          <t>10 EVIDENCE &amp; DECISIONS</t>
        </is>
      </c>
    </row>
    <row r="472" ht="34" customHeight="1">
      <c r="A472" s="12" t="inlineStr">
        <is>
          <t>R1202-v1</t>
        </is>
      </c>
      <c r="B472" s="12" t="inlineStr">
        <is>
          <t>Cost &amp; Forecast Control Accounts</t>
        </is>
      </c>
      <c r="C472" s="12" t="inlineStr">
        <is>
          <t>CST-02-040</t>
        </is>
      </c>
      <c r="D472" s="12" t="inlineStr">
        <is>
          <t>1.2.2 Stations - Architectural Fit-Out</t>
        </is>
      </c>
      <c r="E472" s="12" t="inlineStr">
        <is>
          <t>New</t>
        </is>
      </c>
      <c r="F472" s="12" t="inlineStr"/>
      <c r="G472" s="12" t="inlineStr">
        <is>
          <t>Source assignment -- not individually reviewed</t>
        </is>
      </c>
      <c r="H472" s="17" t="inlineStr">
        <is>
          <t>10 EVIDENCE &amp; DECISIONS</t>
        </is>
      </c>
    </row>
    <row r="473" ht="34" customHeight="1">
      <c r="A473" s="12" t="inlineStr">
        <is>
          <t>R1204-v1</t>
        </is>
      </c>
      <c r="B473" s="12" t="inlineStr">
        <is>
          <t>Cost &amp; Forecast Control Accounts</t>
        </is>
      </c>
      <c r="C473" s="12" t="inlineStr">
        <is>
          <t>CST-02-042</t>
        </is>
      </c>
      <c r="D473" s="12" t="inlineStr">
        <is>
          <t>1.2.2 Stations - Architectural Fit-Out</t>
        </is>
      </c>
      <c r="E473" s="12" t="inlineStr">
        <is>
          <t>New</t>
        </is>
      </c>
      <c r="F473" s="12" t="inlineStr"/>
      <c r="G473" s="12" t="inlineStr">
        <is>
          <t>Source assignment -- not individually reviewed</t>
        </is>
      </c>
      <c r="H473" s="17" t="inlineStr">
        <is>
          <t>10 EVIDENCE &amp; DECISIONS</t>
        </is>
      </c>
    </row>
    <row r="474" ht="34" customHeight="1">
      <c r="A474" s="12" t="inlineStr">
        <is>
          <t>R1206-v1</t>
        </is>
      </c>
      <c r="B474" s="12" t="inlineStr">
        <is>
          <t>Cost &amp; Forecast Control Accounts</t>
        </is>
      </c>
      <c r="C474" s="12" t="inlineStr">
        <is>
          <t>CST-02-044</t>
        </is>
      </c>
      <c r="D474" s="12" t="inlineStr">
        <is>
          <t>1.2.2 Stations - Architectural Fit-Out</t>
        </is>
      </c>
      <c r="E474" s="12" t="inlineStr">
        <is>
          <t>New</t>
        </is>
      </c>
      <c r="F474" s="12" t="inlineStr"/>
      <c r="G474" s="12" t="inlineStr">
        <is>
          <t>Source assignment -- not individually reviewed</t>
        </is>
      </c>
      <c r="H474" s="17" t="inlineStr">
        <is>
          <t>10 EVIDENCE &amp; DECISIONS</t>
        </is>
      </c>
    </row>
    <row r="475" ht="34" customHeight="1">
      <c r="A475" s="12" t="inlineStr">
        <is>
          <t>R1208-v1</t>
        </is>
      </c>
      <c r="B475" s="12" t="inlineStr">
        <is>
          <t>Cost &amp; Forecast Control Accounts</t>
        </is>
      </c>
      <c r="C475" s="12" t="inlineStr">
        <is>
          <t>CST-02-046</t>
        </is>
      </c>
      <c r="D475" s="12" t="inlineStr">
        <is>
          <t>1.2.2 Stations - Architectural Fit-Out</t>
        </is>
      </c>
      <c r="E475" s="12" t="inlineStr">
        <is>
          <t>New</t>
        </is>
      </c>
      <c r="F475" s="12" t="inlineStr"/>
      <c r="G475" s="12" t="inlineStr">
        <is>
          <t>Source assignment -- not individually reviewed</t>
        </is>
      </c>
      <c r="H475" s="17" t="inlineStr">
        <is>
          <t>10 EVIDENCE &amp; DECISIONS</t>
        </is>
      </c>
    </row>
    <row r="476" ht="34" customHeight="1">
      <c r="A476" s="12" t="inlineStr">
        <is>
          <t>R1210-v1</t>
        </is>
      </c>
      <c r="B476" s="12" t="inlineStr">
        <is>
          <t>Cost &amp; Forecast Control Accounts</t>
        </is>
      </c>
      <c r="C476" s="12" t="inlineStr">
        <is>
          <t>CST-02-048</t>
        </is>
      </c>
      <c r="D476" s="12" t="inlineStr">
        <is>
          <t>1.2.2 Stations - Architectural Fit-Out</t>
        </is>
      </c>
      <c r="E476" s="12" t="inlineStr">
        <is>
          <t>New</t>
        </is>
      </c>
      <c r="F476" s="12" t="inlineStr"/>
      <c r="G476" s="12" t="inlineStr">
        <is>
          <t>Source assignment -- not individually reviewed</t>
        </is>
      </c>
      <c r="H476" s="17" t="inlineStr">
        <is>
          <t>10 EVIDENCE &amp; DECISIONS</t>
        </is>
      </c>
    </row>
    <row r="477" ht="34" customHeight="1">
      <c r="A477" s="12" t="inlineStr">
        <is>
          <t>R1212-v1</t>
        </is>
      </c>
      <c r="B477" s="12" t="inlineStr">
        <is>
          <t>Cost &amp; Forecast Control Accounts</t>
        </is>
      </c>
      <c r="C477" s="12" t="inlineStr">
        <is>
          <t>CST-02-050</t>
        </is>
      </c>
      <c r="D477" s="12" t="inlineStr">
        <is>
          <t>1.2.2 Stations - Architectural Fit-Out</t>
        </is>
      </c>
      <c r="E477" s="12" t="inlineStr">
        <is>
          <t>New</t>
        </is>
      </c>
      <c r="F477" s="12" t="inlineStr"/>
      <c r="G477" s="12" t="inlineStr">
        <is>
          <t>Source assignment -- not individually reviewed</t>
        </is>
      </c>
      <c r="H477" s="17" t="inlineStr">
        <is>
          <t>10 EVIDENCE &amp; DECISIONS</t>
        </is>
      </c>
    </row>
    <row r="478" ht="34" customHeight="1">
      <c r="A478" s="12" t="inlineStr">
        <is>
          <t>R1214-v1</t>
        </is>
      </c>
      <c r="B478" s="12" t="inlineStr">
        <is>
          <t>Cost &amp; Forecast Control Accounts</t>
        </is>
      </c>
      <c r="C478" s="12" t="inlineStr">
        <is>
          <t>CST-02-052</t>
        </is>
      </c>
      <c r="D478" s="12" t="inlineStr">
        <is>
          <t>1.2.2 Stations - Architectural Fit-Out</t>
        </is>
      </c>
      <c r="E478" s="12" t="inlineStr">
        <is>
          <t>New</t>
        </is>
      </c>
      <c r="F478" s="12" t="inlineStr"/>
      <c r="G478" s="12" t="inlineStr">
        <is>
          <t>Source assignment -- not individually reviewed</t>
        </is>
      </c>
      <c r="H478" s="17" t="inlineStr">
        <is>
          <t>10 EVIDENCE &amp; DECISIONS</t>
        </is>
      </c>
    </row>
    <row r="479" ht="34" customHeight="1">
      <c r="A479" s="12" t="inlineStr">
        <is>
          <t>R1216-v1</t>
        </is>
      </c>
      <c r="B479" s="12" t="inlineStr">
        <is>
          <t>Cost &amp; Forecast Control Accounts</t>
        </is>
      </c>
      <c r="C479" s="12" t="inlineStr">
        <is>
          <t>CST-02-054</t>
        </is>
      </c>
      <c r="D479" s="12" t="inlineStr">
        <is>
          <t>1.2.2 Stations - Architectural Fit-Out</t>
        </is>
      </c>
      <c r="E479" s="12" t="inlineStr">
        <is>
          <t>New</t>
        </is>
      </c>
      <c r="F479" s="12" t="inlineStr"/>
      <c r="G479" s="12" t="inlineStr">
        <is>
          <t>Source assignment -- not individually reviewed</t>
        </is>
      </c>
      <c r="H479" s="17" t="inlineStr">
        <is>
          <t>10 EVIDENCE &amp; DECISIONS</t>
        </is>
      </c>
    </row>
    <row r="480" ht="34" customHeight="1">
      <c r="A480" s="12" t="inlineStr">
        <is>
          <t>R1218-v1</t>
        </is>
      </c>
      <c r="B480" s="12" t="inlineStr">
        <is>
          <t>Cost &amp; Forecast Control Accounts</t>
        </is>
      </c>
      <c r="C480" s="12" t="inlineStr">
        <is>
          <t>CST-02-056</t>
        </is>
      </c>
      <c r="D480" s="12" t="inlineStr">
        <is>
          <t>1.2.2 Stations - Architectural Fit-Out</t>
        </is>
      </c>
      <c r="E480" s="12" t="inlineStr">
        <is>
          <t>New</t>
        </is>
      </c>
      <c r="F480" s="12" t="inlineStr"/>
      <c r="G480" s="12" t="inlineStr">
        <is>
          <t>Source assignment -- not individually reviewed</t>
        </is>
      </c>
      <c r="H480" s="17" t="inlineStr">
        <is>
          <t>10 EVIDENCE &amp; DECISIONS</t>
        </is>
      </c>
    </row>
    <row r="481" ht="34" customHeight="1">
      <c r="A481" s="12" t="inlineStr">
        <is>
          <t>R1220-v1</t>
        </is>
      </c>
      <c r="B481" s="12" t="inlineStr">
        <is>
          <t>Cost &amp; Forecast Control Accounts</t>
        </is>
      </c>
      <c r="C481" s="12" t="inlineStr">
        <is>
          <t>CST-02-058</t>
        </is>
      </c>
      <c r="D481" s="12" t="inlineStr">
        <is>
          <t>1.2.2 Stations - Architectural Fit-Out</t>
        </is>
      </c>
      <c r="E481" s="12" t="inlineStr">
        <is>
          <t>New</t>
        </is>
      </c>
      <c r="F481" s="12" t="inlineStr"/>
      <c r="G481" s="12" t="inlineStr">
        <is>
          <t>Source assignment -- not individually reviewed</t>
        </is>
      </c>
      <c r="H481" s="17" t="inlineStr">
        <is>
          <t>10 EVIDENCE &amp; DECISIONS</t>
        </is>
      </c>
    </row>
    <row r="482" ht="34" customHeight="1">
      <c r="A482" s="12" t="inlineStr">
        <is>
          <t>R1222-v1</t>
        </is>
      </c>
      <c r="B482" s="12" t="inlineStr">
        <is>
          <t>Cost &amp; Forecast Control Accounts</t>
        </is>
      </c>
      <c r="C482" s="12" t="inlineStr">
        <is>
          <t>CST-02-060</t>
        </is>
      </c>
      <c r="D482" s="12" t="inlineStr">
        <is>
          <t>1.2.2 Stations - Architectural Fit-Out</t>
        </is>
      </c>
      <c r="E482" s="12" t="inlineStr">
        <is>
          <t>New</t>
        </is>
      </c>
      <c r="F482" s="12" t="inlineStr"/>
      <c r="G482" s="12" t="inlineStr">
        <is>
          <t>Source assignment -- not individually reviewed</t>
        </is>
      </c>
      <c r="H482" s="17" t="inlineStr">
        <is>
          <t>10 EVIDENCE &amp; DECISIONS</t>
        </is>
      </c>
    </row>
    <row r="483" ht="34" customHeight="1">
      <c r="A483" s="12" t="inlineStr">
        <is>
          <t>R1224-v1</t>
        </is>
      </c>
      <c r="B483" s="12" t="inlineStr">
        <is>
          <t>Cost &amp; Forecast Control Accounts</t>
        </is>
      </c>
      <c r="C483" s="12" t="inlineStr">
        <is>
          <t>CST-02-062</t>
        </is>
      </c>
      <c r="D483" s="12" t="inlineStr">
        <is>
          <t>1.2.2 Stations - Architectural Fit-Out</t>
        </is>
      </c>
      <c r="E483" s="12" t="inlineStr">
        <is>
          <t>New</t>
        </is>
      </c>
      <c r="F483" s="12" t="inlineStr"/>
      <c r="G483" s="12" t="inlineStr">
        <is>
          <t>Source assignment -- not individually reviewed</t>
        </is>
      </c>
      <c r="H483" s="17" t="inlineStr">
        <is>
          <t>10 EVIDENCE &amp; DECISIONS</t>
        </is>
      </c>
    </row>
    <row r="484" ht="34" customHeight="1">
      <c r="A484" s="12" t="inlineStr">
        <is>
          <t>R1226-v1</t>
        </is>
      </c>
      <c r="B484" s="12" t="inlineStr">
        <is>
          <t>Cost &amp; Forecast Control Accounts</t>
        </is>
      </c>
      <c r="C484" s="12" t="inlineStr">
        <is>
          <t>CST-02-064</t>
        </is>
      </c>
      <c r="D484" s="12" t="inlineStr">
        <is>
          <t>1.2.2 Stations - Architectural Fit-Out</t>
        </is>
      </c>
      <c r="E484" s="12" t="inlineStr">
        <is>
          <t>New</t>
        </is>
      </c>
      <c r="F484" s="12" t="inlineStr"/>
      <c r="G484" s="12" t="inlineStr">
        <is>
          <t>Source assignment -- not individually reviewed</t>
        </is>
      </c>
      <c r="H484" s="17" t="inlineStr">
        <is>
          <t>10 EVIDENCE &amp; DECISIONS</t>
        </is>
      </c>
    </row>
    <row r="485" ht="34" customHeight="1">
      <c r="A485" s="12" t="inlineStr">
        <is>
          <t>R1228-v1</t>
        </is>
      </c>
      <c r="B485" s="12" t="inlineStr">
        <is>
          <t>Cost &amp; Forecast Control Accounts</t>
        </is>
      </c>
      <c r="C485" s="12" t="inlineStr">
        <is>
          <t>CST-02-066</t>
        </is>
      </c>
      <c r="D485" s="12" t="inlineStr">
        <is>
          <t>1.2.2 Stations - Architectural Fit-Out</t>
        </is>
      </c>
      <c r="E485" s="12" t="inlineStr">
        <is>
          <t>New</t>
        </is>
      </c>
      <c r="F485" s="12" t="inlineStr"/>
      <c r="G485" s="12" t="inlineStr">
        <is>
          <t>Source assignment -- not individually reviewed</t>
        </is>
      </c>
      <c r="H485" s="17" t="inlineStr">
        <is>
          <t>10 EVIDENCE &amp; DECISIONS</t>
        </is>
      </c>
    </row>
    <row r="486" ht="34" customHeight="1">
      <c r="A486" s="12" t="inlineStr">
        <is>
          <t>R1230-v1</t>
        </is>
      </c>
      <c r="B486" s="12" t="inlineStr">
        <is>
          <t>Cost &amp; Forecast Control Accounts</t>
        </is>
      </c>
      <c r="C486" s="12" t="inlineStr">
        <is>
          <t>CST-02-068</t>
        </is>
      </c>
      <c r="D486" s="12" t="inlineStr">
        <is>
          <t>1.2.2 Stations - Architectural Fit-Out</t>
        </is>
      </c>
      <c r="E486" s="12" t="inlineStr">
        <is>
          <t>New</t>
        </is>
      </c>
      <c r="F486" s="12" t="inlineStr"/>
      <c r="G486" s="12" t="inlineStr">
        <is>
          <t>Source assignment -- not individually reviewed</t>
        </is>
      </c>
      <c r="H486" s="17" t="inlineStr">
        <is>
          <t>10 EVIDENCE &amp; DECISIONS</t>
        </is>
      </c>
    </row>
    <row r="487" ht="34" customHeight="1">
      <c r="A487" s="12" t="inlineStr">
        <is>
          <t>R1232-v1</t>
        </is>
      </c>
      <c r="B487" s="12" t="inlineStr">
        <is>
          <t>Cost &amp; Forecast Control Accounts</t>
        </is>
      </c>
      <c r="C487" s="12" t="inlineStr">
        <is>
          <t>CST-02-070</t>
        </is>
      </c>
      <c r="D487" s="12" t="inlineStr">
        <is>
          <t>1.2.2 Stations - Architectural Fit-Out</t>
        </is>
      </c>
      <c r="E487" s="12" t="inlineStr">
        <is>
          <t>New</t>
        </is>
      </c>
      <c r="F487" s="12" t="inlineStr"/>
      <c r="G487" s="12" t="inlineStr">
        <is>
          <t>Source assignment -- not individually reviewed</t>
        </is>
      </c>
      <c r="H487" s="17" t="inlineStr">
        <is>
          <t>10 EVIDENCE &amp; DECISIONS</t>
        </is>
      </c>
    </row>
    <row r="488" ht="34" customHeight="1">
      <c r="A488" s="12" t="inlineStr">
        <is>
          <t>R1234-v1</t>
        </is>
      </c>
      <c r="B488" s="12" t="inlineStr">
        <is>
          <t>Cost &amp; Forecast Control Accounts</t>
        </is>
      </c>
      <c r="C488" s="12" t="inlineStr">
        <is>
          <t>CST-02-072</t>
        </is>
      </c>
      <c r="D488" s="12" t="inlineStr">
        <is>
          <t>1.2.2 Stations - Architectural Fit-Out</t>
        </is>
      </c>
      <c r="E488" s="12" t="inlineStr">
        <is>
          <t>New</t>
        </is>
      </c>
      <c r="F488" s="12" t="inlineStr"/>
      <c r="G488" s="12" t="inlineStr">
        <is>
          <t>Source assignment -- not individually reviewed</t>
        </is>
      </c>
      <c r="H488" s="17" t="inlineStr">
        <is>
          <t>10 EVIDENCE &amp; DECISIONS</t>
        </is>
      </c>
    </row>
    <row r="489" ht="34" customHeight="1">
      <c r="A489" s="12" t="inlineStr">
        <is>
          <t>R1236-v1</t>
        </is>
      </c>
      <c r="B489" s="12" t="inlineStr">
        <is>
          <t>Cost &amp; Forecast Control Accounts</t>
        </is>
      </c>
      <c r="C489" s="12" t="inlineStr">
        <is>
          <t>CST-02-074</t>
        </is>
      </c>
      <c r="D489" s="12" t="inlineStr">
        <is>
          <t>1.2.2 Stations - Architectural Fit-Out</t>
        </is>
      </c>
      <c r="E489" s="12" t="inlineStr">
        <is>
          <t>New</t>
        </is>
      </c>
      <c r="F489" s="12" t="inlineStr"/>
      <c r="G489" s="12" t="inlineStr">
        <is>
          <t>Source assignment -- not individually reviewed</t>
        </is>
      </c>
      <c r="H489" s="17" t="inlineStr">
        <is>
          <t>10 EVIDENCE &amp; DECISIONS</t>
        </is>
      </c>
    </row>
    <row r="490" ht="34" customHeight="1">
      <c r="A490" s="12" t="inlineStr">
        <is>
          <t>R1238-v1</t>
        </is>
      </c>
      <c r="B490" s="12" t="inlineStr">
        <is>
          <t>Cost &amp; Forecast Control Accounts</t>
        </is>
      </c>
      <c r="C490" s="12" t="inlineStr">
        <is>
          <t>CST-02-076</t>
        </is>
      </c>
      <c r="D490" s="12" t="inlineStr">
        <is>
          <t>1.2.2 Stations - Architectural Fit-Out</t>
        </is>
      </c>
      <c r="E490" s="12" t="inlineStr">
        <is>
          <t>New</t>
        </is>
      </c>
      <c r="F490" s="12" t="inlineStr"/>
      <c r="G490" s="12" t="inlineStr">
        <is>
          <t>Source assignment -- not individually reviewed</t>
        </is>
      </c>
      <c r="H490" s="17" t="inlineStr">
        <is>
          <t>10 EVIDENCE &amp; DECISIONS</t>
        </is>
      </c>
    </row>
    <row r="491" ht="34" customHeight="1">
      <c r="A491" s="12" t="inlineStr">
        <is>
          <t>R1240-v1</t>
        </is>
      </c>
      <c r="B491" s="12" t="inlineStr">
        <is>
          <t>Cost &amp; Forecast Control Accounts</t>
        </is>
      </c>
      <c r="C491" s="12" t="inlineStr">
        <is>
          <t>CST-02-078</t>
        </is>
      </c>
      <c r="D491" s="12" t="inlineStr">
        <is>
          <t>1.2.2 Stations - Architectural Fit-Out</t>
        </is>
      </c>
      <c r="E491" s="12" t="inlineStr">
        <is>
          <t>New</t>
        </is>
      </c>
      <c r="F491" s="12" t="inlineStr"/>
      <c r="G491" s="12" t="inlineStr">
        <is>
          <t>Source assignment -- not individually reviewed</t>
        </is>
      </c>
      <c r="H491" s="17" t="inlineStr">
        <is>
          <t>10 EVIDENCE &amp; DECISIONS</t>
        </is>
      </c>
    </row>
    <row r="492" ht="34" customHeight="1">
      <c r="A492" s="12" t="inlineStr">
        <is>
          <t>R1242-v1</t>
        </is>
      </c>
      <c r="B492" s="12" t="inlineStr">
        <is>
          <t>Cost &amp; Forecast Control Accounts</t>
        </is>
      </c>
      <c r="C492" s="12" t="inlineStr">
        <is>
          <t>CST-02-080</t>
        </is>
      </c>
      <c r="D492" s="12" t="inlineStr">
        <is>
          <t>1.2.2 Stations - Architectural Fit-Out</t>
        </is>
      </c>
      <c r="E492" s="12" t="inlineStr">
        <is>
          <t>New</t>
        </is>
      </c>
      <c r="F492" s="12" t="inlineStr"/>
      <c r="G492" s="12" t="inlineStr">
        <is>
          <t>Source assignment -- not individually reviewed</t>
        </is>
      </c>
      <c r="H492" s="17" t="inlineStr">
        <is>
          <t>10 EVIDENCE &amp; DECISIONS</t>
        </is>
      </c>
    </row>
    <row r="493" ht="34" customHeight="1">
      <c r="A493" s="12" t="inlineStr">
        <is>
          <t>R186-v1</t>
        </is>
      </c>
      <c r="B493" s="12" t="inlineStr">
        <is>
          <t>Contractor Programme</t>
        </is>
      </c>
      <c r="C493" s="12" t="inlineStr">
        <is>
          <t>SCH-02-006</t>
        </is>
      </c>
      <c r="D493" s="12" t="inlineStr">
        <is>
          <t>1.2.2 Stations - Architectural Fit-Out</t>
        </is>
      </c>
      <c r="E493" s="12" t="inlineStr">
        <is>
          <t>New</t>
        </is>
      </c>
      <c r="F493" s="12" t="inlineStr"/>
      <c r="G493" s="12" t="inlineStr">
        <is>
          <t>Source assignment -- not individually reviewed</t>
        </is>
      </c>
      <c r="H493" s="17" t="inlineStr">
        <is>
          <t>10 EVIDENCE &amp; DECISIONS</t>
        </is>
      </c>
    </row>
    <row r="494" ht="34" customHeight="1">
      <c r="A494" s="12" t="inlineStr">
        <is>
          <t>R189-v1</t>
        </is>
      </c>
      <c r="B494" s="12" t="inlineStr">
        <is>
          <t>Contractor Programme</t>
        </is>
      </c>
      <c r="C494" s="12" t="inlineStr">
        <is>
          <t>SCH-02-009</t>
        </is>
      </c>
      <c r="D494" s="12" t="inlineStr">
        <is>
          <t>1.2.2 Stations - Architectural Fit-Out</t>
        </is>
      </c>
      <c r="E494" s="12" t="inlineStr">
        <is>
          <t>New</t>
        </is>
      </c>
      <c r="F494" s="12" t="inlineStr"/>
      <c r="G494" s="12" t="inlineStr">
        <is>
          <t>Source assignment -- not individually reviewed</t>
        </is>
      </c>
      <c r="H494" s="17" t="inlineStr">
        <is>
          <t>10 EVIDENCE &amp; DECISIONS</t>
        </is>
      </c>
    </row>
    <row r="495" ht="34" customHeight="1">
      <c r="A495" s="12" t="inlineStr">
        <is>
          <t>R192-v1</t>
        </is>
      </c>
      <c r="B495" s="12" t="inlineStr">
        <is>
          <t>Contractor Programme</t>
        </is>
      </c>
      <c r="C495" s="12" t="inlineStr">
        <is>
          <t>SCH-02-012</t>
        </is>
      </c>
      <c r="D495" s="12" t="inlineStr">
        <is>
          <t>1.2.2 Stations - Architectural Fit-Out</t>
        </is>
      </c>
      <c r="E495" s="12" t="inlineStr">
        <is>
          <t>New</t>
        </is>
      </c>
      <c r="F495" s="12" t="inlineStr"/>
      <c r="G495" s="12" t="inlineStr">
        <is>
          <t>Source assignment -- not individually reviewed</t>
        </is>
      </c>
      <c r="H495" s="17" t="inlineStr">
        <is>
          <t>10 EVIDENCE &amp; DECISIONS</t>
        </is>
      </c>
    </row>
    <row r="496" ht="34" customHeight="1">
      <c r="A496" s="12" t="inlineStr">
        <is>
          <t>R195-v1</t>
        </is>
      </c>
      <c r="B496" s="12" t="inlineStr">
        <is>
          <t>Contractor Programme</t>
        </is>
      </c>
      <c r="C496" s="12" t="inlineStr">
        <is>
          <t>SCH-02-015</t>
        </is>
      </c>
      <c r="D496" s="12" t="inlineStr">
        <is>
          <t>1.2.2 Stations - Architectural Fit-Out</t>
        </is>
      </c>
      <c r="E496" s="12" t="inlineStr">
        <is>
          <t>New</t>
        </is>
      </c>
      <c r="F496" s="12" t="inlineStr"/>
      <c r="G496" s="12" t="inlineStr">
        <is>
          <t>Source assignment -- not individually reviewed</t>
        </is>
      </c>
      <c r="H496" s="17" t="inlineStr">
        <is>
          <t>10 EVIDENCE &amp; DECISIONS</t>
        </is>
      </c>
    </row>
    <row r="497" ht="34" customHeight="1">
      <c r="A497" s="12" t="inlineStr">
        <is>
          <t>R198-v1</t>
        </is>
      </c>
      <c r="B497" s="12" t="inlineStr">
        <is>
          <t>Contractor Programme</t>
        </is>
      </c>
      <c r="C497" s="12" t="inlineStr">
        <is>
          <t>SCH-02-018</t>
        </is>
      </c>
      <c r="D497" s="12" t="inlineStr">
        <is>
          <t>1.2.2 Stations - Architectural Fit-Out</t>
        </is>
      </c>
      <c r="E497" s="12" t="inlineStr">
        <is>
          <t>New</t>
        </is>
      </c>
      <c r="F497" s="12" t="inlineStr"/>
      <c r="G497" s="12" t="inlineStr">
        <is>
          <t>Source assignment -- not individually reviewed</t>
        </is>
      </c>
      <c r="H497" s="17" t="inlineStr">
        <is>
          <t>10 EVIDENCE &amp; DECISIONS</t>
        </is>
      </c>
    </row>
    <row r="498" ht="34" customHeight="1">
      <c r="A498" s="12" t="inlineStr">
        <is>
          <t>R201-v1</t>
        </is>
      </c>
      <c r="B498" s="12" t="inlineStr">
        <is>
          <t>Contractor Programme</t>
        </is>
      </c>
      <c r="C498" s="12" t="inlineStr">
        <is>
          <t>SCH-02-021</t>
        </is>
      </c>
      <c r="D498" s="12" t="inlineStr">
        <is>
          <t>1.2.2 Stations - Architectural Fit-Out</t>
        </is>
      </c>
      <c r="E498" s="12" t="inlineStr">
        <is>
          <t>New</t>
        </is>
      </c>
      <c r="F498" s="12" t="inlineStr"/>
      <c r="G498" s="12" t="inlineStr">
        <is>
          <t>Source assignment -- not individually reviewed</t>
        </is>
      </c>
      <c r="H498" s="17" t="inlineStr">
        <is>
          <t>10 EVIDENCE &amp; DECISIONS</t>
        </is>
      </c>
    </row>
    <row r="499" ht="34" customHeight="1">
      <c r="A499" s="12" t="inlineStr">
        <is>
          <t>R204-v1</t>
        </is>
      </c>
      <c r="B499" s="12" t="inlineStr">
        <is>
          <t>Contractor Programme</t>
        </is>
      </c>
      <c r="C499" s="12" t="inlineStr">
        <is>
          <t>SCH-02-024</t>
        </is>
      </c>
      <c r="D499" s="12" t="inlineStr">
        <is>
          <t>1.2.2 Stations - Architectural Fit-Out</t>
        </is>
      </c>
      <c r="E499" s="12" t="inlineStr">
        <is>
          <t>New</t>
        </is>
      </c>
      <c r="F499" s="12" t="inlineStr"/>
      <c r="G499" s="12" t="inlineStr">
        <is>
          <t>Source assignment -- not individually reviewed</t>
        </is>
      </c>
      <c r="H499" s="17" t="inlineStr">
        <is>
          <t>10 EVIDENCE &amp; DECISIONS</t>
        </is>
      </c>
    </row>
    <row r="500" ht="34" customHeight="1">
      <c r="A500" s="12" t="inlineStr">
        <is>
          <t>R207-v1</t>
        </is>
      </c>
      <c r="B500" s="12" t="inlineStr">
        <is>
          <t>Contractor Programme</t>
        </is>
      </c>
      <c r="C500" s="12" t="inlineStr">
        <is>
          <t>SCH-02-027</t>
        </is>
      </c>
      <c r="D500" s="12" t="inlineStr">
        <is>
          <t>1.2.2 Stations - Architectural Fit-Out</t>
        </is>
      </c>
      <c r="E500" s="12" t="inlineStr">
        <is>
          <t>New</t>
        </is>
      </c>
      <c r="F500" s="12" t="inlineStr"/>
      <c r="G500" s="12" t="inlineStr">
        <is>
          <t>Source assignment -- not individually reviewed</t>
        </is>
      </c>
      <c r="H500" s="17" t="inlineStr">
        <is>
          <t>10 EVIDENCE &amp; DECISIONS</t>
        </is>
      </c>
    </row>
    <row r="501" ht="34" customHeight="1">
      <c r="A501" s="12" t="inlineStr">
        <is>
          <t>R210-v1</t>
        </is>
      </c>
      <c r="B501" s="12" t="inlineStr">
        <is>
          <t>Contractor Programme</t>
        </is>
      </c>
      <c r="C501" s="12" t="inlineStr">
        <is>
          <t>SCH-02-030</t>
        </is>
      </c>
      <c r="D501" s="12" t="inlineStr">
        <is>
          <t>1.2.2 Stations - Architectural Fit-Out</t>
        </is>
      </c>
      <c r="E501" s="12" t="inlineStr">
        <is>
          <t>New</t>
        </is>
      </c>
      <c r="F501" s="12" t="inlineStr"/>
      <c r="G501" s="12" t="inlineStr">
        <is>
          <t>Source assignment -- not individually reviewed</t>
        </is>
      </c>
      <c r="H501" s="17" t="inlineStr">
        <is>
          <t>10 EVIDENCE &amp; DECISIONS</t>
        </is>
      </c>
    </row>
    <row r="502" ht="34" customHeight="1">
      <c r="A502" s="12" t="inlineStr">
        <is>
          <t>R213-v1</t>
        </is>
      </c>
      <c r="B502" s="12" t="inlineStr">
        <is>
          <t>Contractor Programme</t>
        </is>
      </c>
      <c r="C502" s="12" t="inlineStr">
        <is>
          <t>SCH-02-033</t>
        </is>
      </c>
      <c r="D502" s="12" t="inlineStr">
        <is>
          <t>1.2.2 Stations - Architectural Fit-Out</t>
        </is>
      </c>
      <c r="E502" s="12" t="inlineStr">
        <is>
          <t>New</t>
        </is>
      </c>
      <c r="F502" s="12" t="inlineStr"/>
      <c r="G502" s="12" t="inlineStr">
        <is>
          <t>Source assignment -- not individually reviewed</t>
        </is>
      </c>
      <c r="H502" s="17" t="inlineStr">
        <is>
          <t>10 EVIDENCE &amp; DECISIONS</t>
        </is>
      </c>
    </row>
    <row r="503" ht="34" customHeight="1">
      <c r="A503" s="12" t="inlineStr">
        <is>
          <t>R216-v1</t>
        </is>
      </c>
      <c r="B503" s="12" t="inlineStr">
        <is>
          <t>Contractor Programme</t>
        </is>
      </c>
      <c r="C503" s="12" t="inlineStr">
        <is>
          <t>SCH-02-036</t>
        </is>
      </c>
      <c r="D503" s="12" t="inlineStr">
        <is>
          <t>1.2.2 Stations - Architectural Fit-Out</t>
        </is>
      </c>
      <c r="E503" s="12" t="inlineStr">
        <is>
          <t>New</t>
        </is>
      </c>
      <c r="F503" s="12" t="inlineStr"/>
      <c r="G503" s="12" t="inlineStr">
        <is>
          <t>Source assignment -- not individually reviewed</t>
        </is>
      </c>
      <c r="H503" s="17" t="inlineStr">
        <is>
          <t>10 EVIDENCE &amp; DECISIONS</t>
        </is>
      </c>
    </row>
    <row r="504" ht="34" customHeight="1">
      <c r="A504" s="12" t="inlineStr">
        <is>
          <t>R219-v1</t>
        </is>
      </c>
      <c r="B504" s="12" t="inlineStr">
        <is>
          <t>Contractor Programme</t>
        </is>
      </c>
      <c r="C504" s="12" t="inlineStr">
        <is>
          <t>SCH-02-039</t>
        </is>
      </c>
      <c r="D504" s="12" t="inlineStr">
        <is>
          <t>1.2.2 Stations - Architectural Fit-Out</t>
        </is>
      </c>
      <c r="E504" s="12" t="inlineStr">
        <is>
          <t>New</t>
        </is>
      </c>
      <c r="F504" s="12" t="inlineStr"/>
      <c r="G504" s="12" t="inlineStr">
        <is>
          <t>Source assignment -- not individually reviewed</t>
        </is>
      </c>
      <c r="H504" s="17" t="inlineStr">
        <is>
          <t>10 EVIDENCE &amp; DECISIONS</t>
        </is>
      </c>
    </row>
    <row r="505" ht="34" customHeight="1">
      <c r="A505" s="12" t="inlineStr">
        <is>
          <t>R222-v1</t>
        </is>
      </c>
      <c r="B505" s="12" t="inlineStr">
        <is>
          <t>Contractor Programme</t>
        </is>
      </c>
      <c r="C505" s="12" t="inlineStr">
        <is>
          <t>SCH-02-042</t>
        </is>
      </c>
      <c r="D505" s="12" t="inlineStr">
        <is>
          <t>1.2.2 Stations - Architectural Fit-Out</t>
        </is>
      </c>
      <c r="E505" s="12" t="inlineStr">
        <is>
          <t>New</t>
        </is>
      </c>
      <c r="F505" s="12" t="inlineStr"/>
      <c r="G505" s="12" t="inlineStr">
        <is>
          <t>Source assignment -- not individually reviewed</t>
        </is>
      </c>
      <c r="H505" s="17" t="inlineStr">
        <is>
          <t>10 EVIDENCE &amp; DECISIONS</t>
        </is>
      </c>
    </row>
    <row r="506" ht="34" customHeight="1">
      <c r="A506" s="12" t="inlineStr">
        <is>
          <t>R225-v1</t>
        </is>
      </c>
      <c r="B506" s="12" t="inlineStr">
        <is>
          <t>Contractor Programme</t>
        </is>
      </c>
      <c r="C506" s="12" t="inlineStr">
        <is>
          <t>SCH-02-045</t>
        </is>
      </c>
      <c r="D506" s="12" t="inlineStr">
        <is>
          <t>1.2.2 Stations - Architectural Fit-Out</t>
        </is>
      </c>
      <c r="E506" s="12" t="inlineStr">
        <is>
          <t>New</t>
        </is>
      </c>
      <c r="F506" s="12" t="inlineStr"/>
      <c r="G506" s="12" t="inlineStr">
        <is>
          <t>Source assignment -- not individually reviewed</t>
        </is>
      </c>
      <c r="H506" s="17" t="inlineStr">
        <is>
          <t>10 EVIDENCE &amp; DECISIONS</t>
        </is>
      </c>
    </row>
    <row r="507" ht="34" customHeight="1">
      <c r="A507" s="12" t="inlineStr">
        <is>
          <t>R228-v1</t>
        </is>
      </c>
      <c r="B507" s="12" t="inlineStr">
        <is>
          <t>Contractor Programme</t>
        </is>
      </c>
      <c r="C507" s="12" t="inlineStr">
        <is>
          <t>SCH-02-048</t>
        </is>
      </c>
      <c r="D507" s="12" t="inlineStr">
        <is>
          <t>1.2.2 Stations - Architectural Fit-Out</t>
        </is>
      </c>
      <c r="E507" s="12" t="inlineStr">
        <is>
          <t>New</t>
        </is>
      </c>
      <c r="F507" s="12" t="inlineStr"/>
      <c r="G507" s="12" t="inlineStr">
        <is>
          <t>Source assignment -- not individually reviewed</t>
        </is>
      </c>
      <c r="H507" s="17" t="inlineStr">
        <is>
          <t>10 EVIDENCE &amp; DECISIONS</t>
        </is>
      </c>
    </row>
    <row r="508" ht="34" customHeight="1">
      <c r="A508" s="12" t="inlineStr">
        <is>
          <t>R231-v1</t>
        </is>
      </c>
      <c r="B508" s="12" t="inlineStr">
        <is>
          <t>Contractor Programme</t>
        </is>
      </c>
      <c r="C508" s="12" t="inlineStr">
        <is>
          <t>SCH-02-051</t>
        </is>
      </c>
      <c r="D508" s="12" t="inlineStr">
        <is>
          <t>1.2.2 Stations - Architectural Fit-Out</t>
        </is>
      </c>
      <c r="E508" s="12" t="inlineStr">
        <is>
          <t>New</t>
        </is>
      </c>
      <c r="F508" s="12" t="inlineStr"/>
      <c r="G508" s="12" t="inlineStr">
        <is>
          <t>Source assignment -- not individually reviewed</t>
        </is>
      </c>
      <c r="H508" s="17" t="inlineStr">
        <is>
          <t>10 EVIDENCE &amp; DECISIONS</t>
        </is>
      </c>
    </row>
    <row r="509" ht="34" customHeight="1">
      <c r="A509" s="12" t="inlineStr">
        <is>
          <t>R234-v1</t>
        </is>
      </c>
      <c r="B509" s="12" t="inlineStr">
        <is>
          <t>Contractor Programme</t>
        </is>
      </c>
      <c r="C509" s="12" t="inlineStr">
        <is>
          <t>SCH-02-054</t>
        </is>
      </c>
      <c r="D509" s="12" t="inlineStr">
        <is>
          <t>1.2.2 Stations - Architectural Fit-Out</t>
        </is>
      </c>
      <c r="E509" s="12" t="inlineStr">
        <is>
          <t>New</t>
        </is>
      </c>
      <c r="F509" s="12" t="inlineStr"/>
      <c r="G509" s="12" t="inlineStr">
        <is>
          <t>Source assignment -- not individually reviewed</t>
        </is>
      </c>
      <c r="H509" s="17" t="inlineStr">
        <is>
          <t>10 EVIDENCE &amp; DECISIONS</t>
        </is>
      </c>
    </row>
    <row r="510" ht="34" customHeight="1">
      <c r="A510" s="12" t="inlineStr">
        <is>
          <t>R237-v1</t>
        </is>
      </c>
      <c r="B510" s="12" t="inlineStr">
        <is>
          <t>Contractor Programme</t>
        </is>
      </c>
      <c r="C510" s="12" t="inlineStr">
        <is>
          <t>SCH-02-057</t>
        </is>
      </c>
      <c r="D510" s="12" t="inlineStr">
        <is>
          <t>1.2.2 Stations - Architectural Fit-Out</t>
        </is>
      </c>
      <c r="E510" s="12" t="inlineStr">
        <is>
          <t>New</t>
        </is>
      </c>
      <c r="F510" s="12" t="inlineStr"/>
      <c r="G510" s="12" t="inlineStr">
        <is>
          <t>Source assignment -- not individually reviewed</t>
        </is>
      </c>
      <c r="H510" s="17" t="inlineStr">
        <is>
          <t>10 EVIDENCE &amp; DECISIONS</t>
        </is>
      </c>
    </row>
    <row r="511" ht="34" customHeight="1">
      <c r="A511" s="12" t="inlineStr">
        <is>
          <t>R240-v1</t>
        </is>
      </c>
      <c r="B511" s="12" t="inlineStr">
        <is>
          <t>Contractor Programme</t>
        </is>
      </c>
      <c r="C511" s="12" t="inlineStr">
        <is>
          <t>SCH-02-060</t>
        </is>
      </c>
      <c r="D511" s="12" t="inlineStr">
        <is>
          <t>1.2.2 Stations - Architectural Fit-Out</t>
        </is>
      </c>
      <c r="E511" s="12" t="inlineStr">
        <is>
          <t>New</t>
        </is>
      </c>
      <c r="F511" s="12" t="inlineStr"/>
      <c r="G511" s="12" t="inlineStr">
        <is>
          <t>Source assignment -- not individually reviewed</t>
        </is>
      </c>
      <c r="H511" s="17" t="inlineStr">
        <is>
          <t>10 EVIDENCE &amp; DECISIONS</t>
        </is>
      </c>
    </row>
    <row r="512" ht="34" customHeight="1">
      <c r="A512" s="12" t="inlineStr">
        <is>
          <t>R243-v1</t>
        </is>
      </c>
      <c r="B512" s="12" t="inlineStr">
        <is>
          <t>Contractor Programme</t>
        </is>
      </c>
      <c r="C512" s="12" t="inlineStr">
        <is>
          <t>SCH-02-063</t>
        </is>
      </c>
      <c r="D512" s="12" t="inlineStr">
        <is>
          <t>1.2.2 Stations - Architectural Fit-Out</t>
        </is>
      </c>
      <c r="E512" s="12" t="inlineStr">
        <is>
          <t>New</t>
        </is>
      </c>
      <c r="F512" s="12" t="inlineStr"/>
      <c r="G512" s="12" t="inlineStr">
        <is>
          <t>Source assignment -- not individually reviewed</t>
        </is>
      </c>
      <c r="H512" s="17" t="inlineStr">
        <is>
          <t>10 EVIDENCE &amp; DECISIONS</t>
        </is>
      </c>
    </row>
    <row r="513" ht="34" customHeight="1">
      <c r="A513" s="12" t="inlineStr">
        <is>
          <t>R246-v1</t>
        </is>
      </c>
      <c r="B513" s="12" t="inlineStr">
        <is>
          <t>Contractor Programme</t>
        </is>
      </c>
      <c r="C513" s="12" t="inlineStr">
        <is>
          <t>SCH-02-066</t>
        </is>
      </c>
      <c r="D513" s="12" t="inlineStr">
        <is>
          <t>1.2.2 Stations - Architectural Fit-Out</t>
        </is>
      </c>
      <c r="E513" s="12" t="inlineStr">
        <is>
          <t>New</t>
        </is>
      </c>
      <c r="F513" s="12" t="inlineStr"/>
      <c r="G513" s="12" t="inlineStr">
        <is>
          <t>Source assignment -- not individually reviewed</t>
        </is>
      </c>
      <c r="H513" s="17" t="inlineStr">
        <is>
          <t>10 EVIDENCE &amp; DECISIONS</t>
        </is>
      </c>
    </row>
    <row r="514" ht="34" customHeight="1">
      <c r="A514" s="12" t="inlineStr">
        <is>
          <t>R249-v1</t>
        </is>
      </c>
      <c r="B514" s="12" t="inlineStr">
        <is>
          <t>Contractor Programme</t>
        </is>
      </c>
      <c r="C514" s="12" t="inlineStr">
        <is>
          <t>SCH-02-069</t>
        </is>
      </c>
      <c r="D514" s="12" t="inlineStr">
        <is>
          <t>1.2.2 Stations - Architectural Fit-Out</t>
        </is>
      </c>
      <c r="E514" s="12" t="inlineStr">
        <is>
          <t>New</t>
        </is>
      </c>
      <c r="F514" s="12" t="inlineStr"/>
      <c r="G514" s="12" t="inlineStr">
        <is>
          <t>Source assignment -- not individually reviewed</t>
        </is>
      </c>
      <c r="H514" s="17" t="inlineStr">
        <is>
          <t>10 EVIDENCE &amp; DECISIONS</t>
        </is>
      </c>
    </row>
    <row r="515" ht="34" customHeight="1">
      <c r="A515" s="12" t="inlineStr">
        <is>
          <t>R252-v1</t>
        </is>
      </c>
      <c r="B515" s="12" t="inlineStr">
        <is>
          <t>Contractor Programme</t>
        </is>
      </c>
      <c r="C515" s="12" t="inlineStr">
        <is>
          <t>SCH-02-072</t>
        </is>
      </c>
      <c r="D515" s="12" t="inlineStr">
        <is>
          <t>1.2.2 Stations - Architectural Fit-Out</t>
        </is>
      </c>
      <c r="E515" s="12" t="inlineStr">
        <is>
          <t>New</t>
        </is>
      </c>
      <c r="F515" s="12" t="inlineStr"/>
      <c r="G515" s="12" t="inlineStr">
        <is>
          <t>Source assignment -- not individually reviewed</t>
        </is>
      </c>
      <c r="H515" s="17" t="inlineStr">
        <is>
          <t>10 EVIDENCE &amp; DECISIONS</t>
        </is>
      </c>
    </row>
    <row r="516" ht="34" customHeight="1">
      <c r="A516" s="12" t="inlineStr">
        <is>
          <t>R255-v1</t>
        </is>
      </c>
      <c r="B516" s="12" t="inlineStr">
        <is>
          <t>Contractor Programme</t>
        </is>
      </c>
      <c r="C516" s="12" t="inlineStr">
        <is>
          <t>SCH-02-075</t>
        </is>
      </c>
      <c r="D516" s="12" t="inlineStr">
        <is>
          <t>1.2.2 Stations - Architectural Fit-Out</t>
        </is>
      </c>
      <c r="E516" s="12" t="inlineStr">
        <is>
          <t>New</t>
        </is>
      </c>
      <c r="F516" s="12" t="inlineStr"/>
      <c r="G516" s="12" t="inlineStr">
        <is>
          <t>Source assignment -- not individually reviewed</t>
        </is>
      </c>
      <c r="H516" s="17" t="inlineStr">
        <is>
          <t>10 EVIDENCE &amp; DECISIONS</t>
        </is>
      </c>
    </row>
    <row r="517" ht="34" customHeight="1">
      <c r="A517" s="12" t="inlineStr">
        <is>
          <t>R258-v1</t>
        </is>
      </c>
      <c r="B517" s="12" t="inlineStr">
        <is>
          <t>Contractor Programme</t>
        </is>
      </c>
      <c r="C517" s="12" t="inlineStr">
        <is>
          <t>SCH-02-078</t>
        </is>
      </c>
      <c r="D517" s="12" t="inlineStr">
        <is>
          <t>1.2.2 Stations - Architectural Fit-Out</t>
        </is>
      </c>
      <c r="E517" s="12" t="inlineStr">
        <is>
          <t>New</t>
        </is>
      </c>
      <c r="F517" s="12" t="inlineStr"/>
      <c r="G517" s="12" t="inlineStr">
        <is>
          <t>Source assignment -- not individually reviewed</t>
        </is>
      </c>
      <c r="H517" s="17" t="inlineStr">
        <is>
          <t>10 EVIDENCE &amp; DECISIONS</t>
        </is>
      </c>
    </row>
    <row r="518" ht="34" customHeight="1">
      <c r="A518" s="12" t="inlineStr">
        <is>
          <t>R261-v1</t>
        </is>
      </c>
      <c r="B518" s="12" t="inlineStr">
        <is>
          <t>Contractor Programme</t>
        </is>
      </c>
      <c r="C518" s="12" t="inlineStr">
        <is>
          <t>SCH-02-081</t>
        </is>
      </c>
      <c r="D518" s="12" t="inlineStr">
        <is>
          <t>1.2.2 Stations - Architectural Fit-Out</t>
        </is>
      </c>
      <c r="E518" s="12" t="inlineStr">
        <is>
          <t>New</t>
        </is>
      </c>
      <c r="F518" s="12" t="inlineStr"/>
      <c r="G518" s="12" t="inlineStr">
        <is>
          <t>Source assignment -- not individually reviewed</t>
        </is>
      </c>
      <c r="H518" s="17" t="inlineStr">
        <is>
          <t>10 EVIDENCE &amp; DECISIONS</t>
        </is>
      </c>
    </row>
    <row r="519" ht="34" customHeight="1">
      <c r="A519" s="12" t="inlineStr">
        <is>
          <t>R264-v1</t>
        </is>
      </c>
      <c r="B519" s="12" t="inlineStr">
        <is>
          <t>Contractor Programme</t>
        </is>
      </c>
      <c r="C519" s="12" t="inlineStr">
        <is>
          <t>SCH-02-084</t>
        </is>
      </c>
      <c r="D519" s="12" t="inlineStr">
        <is>
          <t>1.2.2 Stations - Architectural Fit-Out</t>
        </is>
      </c>
      <c r="E519" s="12" t="inlineStr">
        <is>
          <t>New</t>
        </is>
      </c>
      <c r="F519" s="12" t="inlineStr"/>
      <c r="G519" s="12" t="inlineStr">
        <is>
          <t>Source assignment -- not individually reviewed</t>
        </is>
      </c>
      <c r="H519" s="17" t="inlineStr">
        <is>
          <t>10 EVIDENCE &amp; DECISIONS</t>
        </is>
      </c>
    </row>
    <row r="520" ht="34" customHeight="1">
      <c r="A520" s="12" t="inlineStr">
        <is>
          <t>R267-v1</t>
        </is>
      </c>
      <c r="B520" s="12" t="inlineStr">
        <is>
          <t>Contractor Programme</t>
        </is>
      </c>
      <c r="C520" s="12" t="inlineStr">
        <is>
          <t>SCH-02-087</t>
        </is>
      </c>
      <c r="D520" s="12" t="inlineStr">
        <is>
          <t>1.2.2 Stations - Architectural Fit-Out</t>
        </is>
      </c>
      <c r="E520" s="12" t="inlineStr">
        <is>
          <t>New</t>
        </is>
      </c>
      <c r="F520" s="12" t="inlineStr"/>
      <c r="G520" s="12" t="inlineStr">
        <is>
          <t>Source assignment -- not individually reviewed</t>
        </is>
      </c>
      <c r="H520" s="17" t="inlineStr">
        <is>
          <t>10 EVIDENCE &amp; DECISIONS</t>
        </is>
      </c>
    </row>
    <row r="521" ht="34" customHeight="1">
      <c r="A521" s="12" t="inlineStr">
        <is>
          <t>R270-v1</t>
        </is>
      </c>
      <c r="B521" s="12" t="inlineStr">
        <is>
          <t>Contractor Programme</t>
        </is>
      </c>
      <c r="C521" s="12" t="inlineStr">
        <is>
          <t>SCH-02-090</t>
        </is>
      </c>
      <c r="D521" s="12" t="inlineStr">
        <is>
          <t>1.2.2 Stations - Architectural Fit-Out</t>
        </is>
      </c>
      <c r="E521" s="12" t="inlineStr">
        <is>
          <t>New</t>
        </is>
      </c>
      <c r="F521" s="12" t="inlineStr"/>
      <c r="G521" s="12" t="inlineStr">
        <is>
          <t>Source assignment -- not individually reviewed</t>
        </is>
      </c>
      <c r="H521" s="17" t="inlineStr">
        <is>
          <t>10 EVIDENCE &amp; DECISIONS</t>
        </is>
      </c>
    </row>
    <row r="522" ht="34" customHeight="1">
      <c r="A522" s="12" t="inlineStr">
        <is>
          <t>R273-v1</t>
        </is>
      </c>
      <c r="B522" s="12" t="inlineStr">
        <is>
          <t>Contractor Programme</t>
        </is>
      </c>
      <c r="C522" s="12" t="inlineStr">
        <is>
          <t>SCH-02-093</t>
        </is>
      </c>
      <c r="D522" s="12" t="inlineStr">
        <is>
          <t>1.2.2 Stations - Architectural Fit-Out</t>
        </is>
      </c>
      <c r="E522" s="12" t="inlineStr">
        <is>
          <t>New</t>
        </is>
      </c>
      <c r="F522" s="12" t="inlineStr"/>
      <c r="G522" s="12" t="inlineStr">
        <is>
          <t>Source assignment -- not individually reviewed</t>
        </is>
      </c>
      <c r="H522" s="17" t="inlineStr">
        <is>
          <t>10 EVIDENCE &amp; DECISIONS</t>
        </is>
      </c>
    </row>
    <row r="523" ht="34" customHeight="1">
      <c r="A523" s="12" t="inlineStr">
        <is>
          <t>R276-v1</t>
        </is>
      </c>
      <c r="B523" s="12" t="inlineStr">
        <is>
          <t>Contractor Programme</t>
        </is>
      </c>
      <c r="C523" s="12" t="inlineStr">
        <is>
          <t>SCH-02-096</t>
        </is>
      </c>
      <c r="D523" s="12" t="inlineStr">
        <is>
          <t>1.2.2 Stations - Architectural Fit-Out</t>
        </is>
      </c>
      <c r="E523" s="12" t="inlineStr">
        <is>
          <t>New</t>
        </is>
      </c>
      <c r="F523" s="12" t="inlineStr"/>
      <c r="G523" s="12" t="inlineStr">
        <is>
          <t>Source assignment -- not individually reviewed</t>
        </is>
      </c>
      <c r="H523" s="17" t="inlineStr">
        <is>
          <t>10 EVIDENCE &amp; DECISIONS</t>
        </is>
      </c>
    </row>
    <row r="524" ht="34" customHeight="1">
      <c r="A524" s="12" t="inlineStr">
        <is>
          <t>R279-v1</t>
        </is>
      </c>
      <c r="B524" s="12" t="inlineStr">
        <is>
          <t>Contractor Programme</t>
        </is>
      </c>
      <c r="C524" s="12" t="inlineStr">
        <is>
          <t>SCH-02-099</t>
        </is>
      </c>
      <c r="D524" s="12" t="inlineStr">
        <is>
          <t>1.2.2 Stations - Architectural Fit-Out</t>
        </is>
      </c>
      <c r="E524" s="12" t="inlineStr">
        <is>
          <t>New</t>
        </is>
      </c>
      <c r="F524" s="12" t="inlineStr"/>
      <c r="G524" s="12" t="inlineStr">
        <is>
          <t>Source assignment -- not individually reviewed</t>
        </is>
      </c>
      <c r="H524" s="17" t="inlineStr">
        <is>
          <t>10 EVIDENCE &amp; DECISIONS</t>
        </is>
      </c>
    </row>
    <row r="525" ht="34" customHeight="1">
      <c r="A525" s="12" t="inlineStr">
        <is>
          <t>R282-v1</t>
        </is>
      </c>
      <c r="B525" s="12" t="inlineStr">
        <is>
          <t>Contractor Programme</t>
        </is>
      </c>
      <c r="C525" s="12" t="inlineStr">
        <is>
          <t>SCH-02-102</t>
        </is>
      </c>
      <c r="D525" s="12" t="inlineStr">
        <is>
          <t>1.2.2 Stations - Architectural Fit-Out</t>
        </is>
      </c>
      <c r="E525" s="12" t="inlineStr">
        <is>
          <t>New</t>
        </is>
      </c>
      <c r="F525" s="12" t="inlineStr"/>
      <c r="G525" s="12" t="inlineStr">
        <is>
          <t>Source assignment -- not individually reviewed</t>
        </is>
      </c>
      <c r="H525" s="17" t="inlineStr">
        <is>
          <t>10 EVIDENCE &amp; DECISIONS</t>
        </is>
      </c>
    </row>
    <row r="526" ht="34" customHeight="1">
      <c r="A526" s="12" t="inlineStr">
        <is>
          <t>R285-v1</t>
        </is>
      </c>
      <c r="B526" s="12" t="inlineStr">
        <is>
          <t>Contractor Programme</t>
        </is>
      </c>
      <c r="C526" s="12" t="inlineStr">
        <is>
          <t>SCH-02-105</t>
        </is>
      </c>
      <c r="D526" s="12" t="inlineStr">
        <is>
          <t>1.2.2 Stations - Architectural Fit-Out</t>
        </is>
      </c>
      <c r="E526" s="12" t="inlineStr">
        <is>
          <t>New</t>
        </is>
      </c>
      <c r="F526" s="12" t="inlineStr"/>
      <c r="G526" s="12" t="inlineStr">
        <is>
          <t>Source assignment -- not individually reviewed</t>
        </is>
      </c>
      <c r="H526" s="17" t="inlineStr">
        <is>
          <t>10 EVIDENCE &amp; DECISIONS</t>
        </is>
      </c>
    </row>
    <row r="527" ht="34" customHeight="1">
      <c r="A527" s="12" t="inlineStr">
        <is>
          <t>R288-v1</t>
        </is>
      </c>
      <c r="B527" s="12" t="inlineStr">
        <is>
          <t>Contractor Programme</t>
        </is>
      </c>
      <c r="C527" s="12" t="inlineStr">
        <is>
          <t>SCH-02-108</t>
        </is>
      </c>
      <c r="D527" s="12" t="inlineStr">
        <is>
          <t>1.2.2 Stations - Architectural Fit-Out</t>
        </is>
      </c>
      <c r="E527" s="12" t="inlineStr">
        <is>
          <t>New</t>
        </is>
      </c>
      <c r="F527" s="12" t="inlineStr"/>
      <c r="G527" s="12" t="inlineStr">
        <is>
          <t>Source assignment -- not individually reviewed</t>
        </is>
      </c>
      <c r="H527" s="17" t="inlineStr">
        <is>
          <t>10 EVIDENCE &amp; DECISIONS</t>
        </is>
      </c>
    </row>
    <row r="528" ht="34" customHeight="1">
      <c r="A528" s="12" t="inlineStr">
        <is>
          <t>R291-v1</t>
        </is>
      </c>
      <c r="B528" s="12" t="inlineStr">
        <is>
          <t>Contractor Programme</t>
        </is>
      </c>
      <c r="C528" s="12" t="inlineStr">
        <is>
          <t>SCH-02-111</t>
        </is>
      </c>
      <c r="D528" s="12" t="inlineStr">
        <is>
          <t>1.2.2 Stations - Architectural Fit-Out</t>
        </is>
      </c>
      <c r="E528" s="12" t="inlineStr">
        <is>
          <t>New</t>
        </is>
      </c>
      <c r="F528" s="12" t="inlineStr"/>
      <c r="G528" s="12" t="inlineStr">
        <is>
          <t>Source assignment -- not individually reviewed</t>
        </is>
      </c>
      <c r="H528" s="17" t="inlineStr">
        <is>
          <t>10 EVIDENCE &amp; DECISIONS</t>
        </is>
      </c>
    </row>
    <row r="529" ht="34" customHeight="1">
      <c r="A529" s="12" t="inlineStr">
        <is>
          <t>R294-v1</t>
        </is>
      </c>
      <c r="B529" s="12" t="inlineStr">
        <is>
          <t>Contractor Programme</t>
        </is>
      </c>
      <c r="C529" s="12" t="inlineStr">
        <is>
          <t>SCH-02-114</t>
        </is>
      </c>
      <c r="D529" s="12" t="inlineStr">
        <is>
          <t>1.2.2 Stations - Architectural Fit-Out</t>
        </is>
      </c>
      <c r="E529" s="12" t="inlineStr">
        <is>
          <t>New</t>
        </is>
      </c>
      <c r="F529" s="12" t="inlineStr"/>
      <c r="G529" s="12" t="inlineStr">
        <is>
          <t>Source assignment -- not individually reviewed</t>
        </is>
      </c>
      <c r="H529" s="17" t="inlineStr">
        <is>
          <t>10 EVIDENCE &amp; DECISIONS</t>
        </is>
      </c>
    </row>
    <row r="530" ht="34" customHeight="1">
      <c r="A530" s="12" t="inlineStr">
        <is>
          <t>R297-v1</t>
        </is>
      </c>
      <c r="B530" s="12" t="inlineStr">
        <is>
          <t>Contractor Programme</t>
        </is>
      </c>
      <c r="C530" s="12" t="inlineStr">
        <is>
          <t>SCH-02-117</t>
        </is>
      </c>
      <c r="D530" s="12" t="inlineStr">
        <is>
          <t>1.2.2 Stations - Architectural Fit-Out</t>
        </is>
      </c>
      <c r="E530" s="12" t="inlineStr">
        <is>
          <t>New</t>
        </is>
      </c>
      <c r="F530" s="12" t="inlineStr"/>
      <c r="G530" s="12" t="inlineStr">
        <is>
          <t>Source assignment -- not individually reviewed</t>
        </is>
      </c>
      <c r="H530" s="17" t="inlineStr">
        <is>
          <t>10 EVIDENCE &amp; DECISIONS</t>
        </is>
      </c>
    </row>
    <row r="531" ht="34" customHeight="1">
      <c r="A531" s="12" t="inlineStr">
        <is>
          <t>R300-v1</t>
        </is>
      </c>
      <c r="B531" s="12" t="inlineStr">
        <is>
          <t>Contractor Programme</t>
        </is>
      </c>
      <c r="C531" s="12" t="inlineStr">
        <is>
          <t>SCH-02-120</t>
        </is>
      </c>
      <c r="D531" s="12" t="inlineStr">
        <is>
          <t>1.2.2 Stations - Architectural Fit-Out</t>
        </is>
      </c>
      <c r="E531" s="12" t="inlineStr">
        <is>
          <t>New</t>
        </is>
      </c>
      <c r="F531" s="12" t="inlineStr"/>
      <c r="G531" s="12" t="inlineStr">
        <is>
          <t>Source assignment -- not individually reviewed</t>
        </is>
      </c>
      <c r="H531" s="17" t="inlineStr">
        <is>
          <t>10 EVIDENCE &amp; DECISIONS</t>
        </is>
      </c>
    </row>
    <row r="532" ht="34" customHeight="1">
      <c r="A532" s="12" t="inlineStr">
        <is>
          <t>R303-v1</t>
        </is>
      </c>
      <c r="B532" s="12" t="inlineStr">
        <is>
          <t>Contractor Programme</t>
        </is>
      </c>
      <c r="C532" s="12" t="inlineStr">
        <is>
          <t>SCH-02-123</t>
        </is>
      </c>
      <c r="D532" s="12" t="inlineStr">
        <is>
          <t>1.2.2 Stations - Architectural Fit-Out</t>
        </is>
      </c>
      <c r="E532" s="12" t="inlineStr">
        <is>
          <t>New</t>
        </is>
      </c>
      <c r="F532" s="12" t="inlineStr"/>
      <c r="G532" s="12" t="inlineStr">
        <is>
          <t>Source assignment -- not individually reviewed</t>
        </is>
      </c>
      <c r="H532" s="17" t="inlineStr">
        <is>
          <t>10 EVIDENCE &amp; DECISIONS</t>
        </is>
      </c>
    </row>
    <row r="533" ht="34" customHeight="1">
      <c r="A533" s="12" t="inlineStr">
        <is>
          <t>R306-v1</t>
        </is>
      </c>
      <c r="B533" s="12" t="inlineStr">
        <is>
          <t>Contractor Programme</t>
        </is>
      </c>
      <c r="C533" s="12" t="inlineStr">
        <is>
          <t>SCH-02-126</t>
        </is>
      </c>
      <c r="D533" s="12" t="inlineStr">
        <is>
          <t>1.2.2 Stations - Architectural Fit-Out</t>
        </is>
      </c>
      <c r="E533" s="12" t="inlineStr">
        <is>
          <t>New</t>
        </is>
      </c>
      <c r="F533" s="12" t="inlineStr"/>
      <c r="G533" s="12" t="inlineStr">
        <is>
          <t>Source assignment -- not individually reviewed</t>
        </is>
      </c>
      <c r="H533" s="17" t="inlineStr">
        <is>
          <t>10 EVIDENCE &amp; DECISIONS</t>
        </is>
      </c>
    </row>
    <row r="534" ht="34" customHeight="1">
      <c r="A534" s="12" t="inlineStr">
        <is>
          <t>R309-v1</t>
        </is>
      </c>
      <c r="B534" s="12" t="inlineStr">
        <is>
          <t>Contractor Programme</t>
        </is>
      </c>
      <c r="C534" s="12" t="inlineStr">
        <is>
          <t>SCH-02-129</t>
        </is>
      </c>
      <c r="D534" s="12" t="inlineStr">
        <is>
          <t>1.2.2 Stations - Architectural Fit-Out</t>
        </is>
      </c>
      <c r="E534" s="12" t="inlineStr">
        <is>
          <t>New</t>
        </is>
      </c>
      <c r="F534" s="12" t="inlineStr"/>
      <c r="G534" s="12" t="inlineStr">
        <is>
          <t>Source assignment -- not individually reviewed</t>
        </is>
      </c>
      <c r="H534" s="17" t="inlineStr">
        <is>
          <t>10 EVIDENCE &amp; DECISIONS</t>
        </is>
      </c>
    </row>
    <row r="535" ht="34" customHeight="1">
      <c r="A535" s="12" t="inlineStr">
        <is>
          <t>R312-v1</t>
        </is>
      </c>
      <c r="B535" s="12" t="inlineStr">
        <is>
          <t>Contractor Programme</t>
        </is>
      </c>
      <c r="C535" s="12" t="inlineStr">
        <is>
          <t>SCH-02-132</t>
        </is>
      </c>
      <c r="D535" s="12" t="inlineStr">
        <is>
          <t>1.2.2 Stations - Architectural Fit-Out</t>
        </is>
      </c>
      <c r="E535" s="12" t="inlineStr">
        <is>
          <t>New</t>
        </is>
      </c>
      <c r="F535" s="12" t="inlineStr"/>
      <c r="G535" s="12" t="inlineStr">
        <is>
          <t>Source assignment -- not individually reviewed</t>
        </is>
      </c>
      <c r="H535" s="17" t="inlineStr">
        <is>
          <t>10 EVIDENCE &amp; DECISIONS</t>
        </is>
      </c>
    </row>
    <row r="536" ht="34" customHeight="1">
      <c r="A536" s="12" t="inlineStr">
        <is>
          <t>R315-v1</t>
        </is>
      </c>
      <c r="B536" s="12" t="inlineStr">
        <is>
          <t>Contractor Programme</t>
        </is>
      </c>
      <c r="C536" s="12" t="inlineStr">
        <is>
          <t>SCH-02-135</t>
        </is>
      </c>
      <c r="D536" s="12" t="inlineStr">
        <is>
          <t>1.2.2 Stations - Architectural Fit-Out</t>
        </is>
      </c>
      <c r="E536" s="12" t="inlineStr">
        <is>
          <t>New</t>
        </is>
      </c>
      <c r="F536" s="12" t="inlineStr"/>
      <c r="G536" s="12" t="inlineStr">
        <is>
          <t>Source assignment -- not individually reviewed</t>
        </is>
      </c>
      <c r="H536" s="17" t="inlineStr">
        <is>
          <t>10 EVIDENCE &amp; DECISIONS</t>
        </is>
      </c>
    </row>
    <row r="537" ht="34" customHeight="1">
      <c r="A537" s="12" t="inlineStr">
        <is>
          <t>R318-v1</t>
        </is>
      </c>
      <c r="B537" s="12" t="inlineStr">
        <is>
          <t>Contractor Programme</t>
        </is>
      </c>
      <c r="C537" s="12" t="inlineStr">
        <is>
          <t>SCH-02-138</t>
        </is>
      </c>
      <c r="D537" s="12" t="inlineStr">
        <is>
          <t>1.2.2 Stations - Architectural Fit-Out</t>
        </is>
      </c>
      <c r="E537" s="12" t="inlineStr">
        <is>
          <t>New</t>
        </is>
      </c>
      <c r="F537" s="12" t="inlineStr"/>
      <c r="G537" s="12" t="inlineStr">
        <is>
          <t>Source assignment -- not individually reviewed</t>
        </is>
      </c>
      <c r="H537" s="17" t="inlineStr">
        <is>
          <t>10 EVIDENCE &amp; DECISIONS</t>
        </is>
      </c>
    </row>
    <row r="538" ht="34" customHeight="1">
      <c r="A538" s="12" t="inlineStr">
        <is>
          <t>R321-v1</t>
        </is>
      </c>
      <c r="B538" s="12" t="inlineStr">
        <is>
          <t>Contractor Programme</t>
        </is>
      </c>
      <c r="C538" s="12" t="inlineStr">
        <is>
          <t>SCH-02-141</t>
        </is>
      </c>
      <c r="D538" s="12" t="inlineStr">
        <is>
          <t>1.2.2 Stations - Architectural Fit-Out</t>
        </is>
      </c>
      <c r="E538" s="12" t="inlineStr">
        <is>
          <t>New</t>
        </is>
      </c>
      <c r="F538" s="12" t="inlineStr"/>
      <c r="G538" s="12" t="inlineStr">
        <is>
          <t>Source assignment -- not individually reviewed</t>
        </is>
      </c>
      <c r="H538" s="17" t="inlineStr">
        <is>
          <t>10 EVIDENCE &amp; DECISIONS</t>
        </is>
      </c>
    </row>
    <row r="539" ht="34" customHeight="1">
      <c r="A539" s="12" t="inlineStr">
        <is>
          <t>R324-v1</t>
        </is>
      </c>
      <c r="B539" s="12" t="inlineStr">
        <is>
          <t>Contractor Programme</t>
        </is>
      </c>
      <c r="C539" s="12" t="inlineStr">
        <is>
          <t>SCH-02-144</t>
        </is>
      </c>
      <c r="D539" s="12" t="inlineStr">
        <is>
          <t>1.2.2 Stations - Architectural Fit-Out</t>
        </is>
      </c>
      <c r="E539" s="12" t="inlineStr">
        <is>
          <t>New</t>
        </is>
      </c>
      <c r="F539" s="12" t="inlineStr"/>
      <c r="G539" s="12" t="inlineStr">
        <is>
          <t>Source assignment -- not individually reviewed</t>
        </is>
      </c>
      <c r="H539" s="17" t="inlineStr">
        <is>
          <t>10 EVIDENCE &amp; DECISIONS</t>
        </is>
      </c>
    </row>
    <row r="540" ht="34" customHeight="1">
      <c r="A540" s="12" t="inlineStr">
        <is>
          <t>R327-v1</t>
        </is>
      </c>
      <c r="B540" s="12" t="inlineStr">
        <is>
          <t>Contractor Programme</t>
        </is>
      </c>
      <c r="C540" s="12" t="inlineStr">
        <is>
          <t>SCH-02-147</t>
        </is>
      </c>
      <c r="D540" s="12" t="inlineStr">
        <is>
          <t>1.2.2 Stations - Architectural Fit-Out</t>
        </is>
      </c>
      <c r="E540" s="12" t="inlineStr">
        <is>
          <t>New</t>
        </is>
      </c>
      <c r="F540" s="12" t="inlineStr"/>
      <c r="G540" s="12" t="inlineStr">
        <is>
          <t>Source assignment -- not individually reviewed</t>
        </is>
      </c>
      <c r="H540" s="17" t="inlineStr">
        <is>
          <t>10 EVIDENCE &amp; DECISIONS</t>
        </is>
      </c>
    </row>
    <row r="541" ht="34" customHeight="1">
      <c r="A541" s="12" t="inlineStr">
        <is>
          <t>R330-v1</t>
        </is>
      </c>
      <c r="B541" s="12" t="inlineStr">
        <is>
          <t>Contractor Programme</t>
        </is>
      </c>
      <c r="C541" s="12" t="inlineStr">
        <is>
          <t>SCH-02-150</t>
        </is>
      </c>
      <c r="D541" s="12" t="inlineStr">
        <is>
          <t>1.2.2 Stations - Architectural Fit-Out</t>
        </is>
      </c>
      <c r="E541" s="12" t="inlineStr">
        <is>
          <t>New</t>
        </is>
      </c>
      <c r="F541" s="12" t="inlineStr"/>
      <c r="G541" s="12" t="inlineStr">
        <is>
          <t>Source assignment -- not individually reviewed</t>
        </is>
      </c>
      <c r="H541" s="17" t="inlineStr">
        <is>
          <t>10 EVIDENCE &amp; DECISIONS</t>
        </is>
      </c>
    </row>
    <row r="542" ht="34" customHeight="1">
      <c r="A542" s="12" t="inlineStr">
        <is>
          <t>R333-v1</t>
        </is>
      </c>
      <c r="B542" s="12" t="inlineStr">
        <is>
          <t>Contractor Programme</t>
        </is>
      </c>
      <c r="C542" s="12" t="inlineStr">
        <is>
          <t>SCH-02-153</t>
        </is>
      </c>
      <c r="D542" s="12" t="inlineStr">
        <is>
          <t>1.2.2 Stations - Architectural Fit-Out</t>
        </is>
      </c>
      <c r="E542" s="12" t="inlineStr">
        <is>
          <t>New</t>
        </is>
      </c>
      <c r="F542" s="12" t="inlineStr"/>
      <c r="G542" s="12" t="inlineStr">
        <is>
          <t>Source assignment -- not individually reviewed</t>
        </is>
      </c>
      <c r="H542" s="17" t="inlineStr">
        <is>
          <t>10 EVIDENCE &amp; DECISIONS</t>
        </is>
      </c>
    </row>
    <row r="543" ht="34" customHeight="1">
      <c r="A543" s="12" t="inlineStr">
        <is>
          <t>R336-v1</t>
        </is>
      </c>
      <c r="B543" s="12" t="inlineStr">
        <is>
          <t>Contractor Programme</t>
        </is>
      </c>
      <c r="C543" s="12" t="inlineStr">
        <is>
          <t>SCH-02-156</t>
        </is>
      </c>
      <c r="D543" s="12" t="inlineStr">
        <is>
          <t>1.2.2 Stations - Architectural Fit-Out</t>
        </is>
      </c>
      <c r="E543" s="12" t="inlineStr">
        <is>
          <t>New</t>
        </is>
      </c>
      <c r="F543" s="12" t="inlineStr"/>
      <c r="G543" s="12" t="inlineStr">
        <is>
          <t>Source assignment -- not individually reviewed</t>
        </is>
      </c>
      <c r="H543" s="17" t="inlineStr">
        <is>
          <t>10 EVIDENCE &amp; DECISIONS</t>
        </is>
      </c>
    </row>
    <row r="544" ht="34" customHeight="1">
      <c r="A544" s="12" t="inlineStr">
        <is>
          <t>R339-v1</t>
        </is>
      </c>
      <c r="B544" s="12" t="inlineStr">
        <is>
          <t>Contractor Programme</t>
        </is>
      </c>
      <c r="C544" s="12" t="inlineStr">
        <is>
          <t>SCH-02-159</t>
        </is>
      </c>
      <c r="D544" s="12" t="inlineStr">
        <is>
          <t>1.2.2 Stations - Architectural Fit-Out</t>
        </is>
      </c>
      <c r="E544" s="12" t="inlineStr">
        <is>
          <t>New</t>
        </is>
      </c>
      <c r="F544" s="12" t="inlineStr"/>
      <c r="G544" s="12" t="inlineStr">
        <is>
          <t>Source assignment -- not individually reviewed</t>
        </is>
      </c>
      <c r="H544" s="17" t="inlineStr">
        <is>
          <t>10 EVIDENCE &amp; DECISIONS</t>
        </is>
      </c>
    </row>
    <row r="545" ht="34" customHeight="1">
      <c r="A545" s="12" t="inlineStr">
        <is>
          <t>R342-v1</t>
        </is>
      </c>
      <c r="B545" s="12" t="inlineStr">
        <is>
          <t>Contractor Programme</t>
        </is>
      </c>
      <c r="C545" s="12" t="inlineStr">
        <is>
          <t>SCH-02-162</t>
        </is>
      </c>
      <c r="D545" s="12" t="inlineStr">
        <is>
          <t>1.2.2 Stations - Architectural Fit-Out</t>
        </is>
      </c>
      <c r="E545" s="12" t="inlineStr">
        <is>
          <t>New</t>
        </is>
      </c>
      <c r="F545" s="12" t="inlineStr"/>
      <c r="G545" s="12" t="inlineStr">
        <is>
          <t>Source assignment -- not individually reviewed</t>
        </is>
      </c>
      <c r="H545" s="17" t="inlineStr">
        <is>
          <t>10 EVIDENCE &amp; DECISIONS</t>
        </is>
      </c>
    </row>
    <row r="546" ht="34" customHeight="1">
      <c r="A546" s="12" t="inlineStr">
        <is>
          <t>R345-v1</t>
        </is>
      </c>
      <c r="B546" s="12" t="inlineStr">
        <is>
          <t>Contractor Programme</t>
        </is>
      </c>
      <c r="C546" s="12" t="inlineStr">
        <is>
          <t>SCH-02-165</t>
        </is>
      </c>
      <c r="D546" s="12" t="inlineStr">
        <is>
          <t>1.2.2 Stations - Architectural Fit-Out</t>
        </is>
      </c>
      <c r="E546" s="12" t="inlineStr">
        <is>
          <t>New</t>
        </is>
      </c>
      <c r="F546" s="12" t="inlineStr"/>
      <c r="G546" s="12" t="inlineStr">
        <is>
          <t>Source assignment -- not individually reviewed</t>
        </is>
      </c>
      <c r="H546" s="17" t="inlineStr">
        <is>
          <t>10 EVIDENCE &amp; DECISIONS</t>
        </is>
      </c>
    </row>
    <row r="547" ht="34" customHeight="1">
      <c r="A547" s="12" t="inlineStr">
        <is>
          <t>R348-v1</t>
        </is>
      </c>
      <c r="B547" s="12" t="inlineStr">
        <is>
          <t>Contractor Programme</t>
        </is>
      </c>
      <c r="C547" s="12" t="inlineStr">
        <is>
          <t>SCH-02-168</t>
        </is>
      </c>
      <c r="D547" s="12" t="inlineStr">
        <is>
          <t>1.2.2 Stations - Architectural Fit-Out</t>
        </is>
      </c>
      <c r="E547" s="12" t="inlineStr">
        <is>
          <t>New</t>
        </is>
      </c>
      <c r="F547" s="12" t="inlineStr"/>
      <c r="G547" s="12" t="inlineStr">
        <is>
          <t>Source assignment -- not individually reviewed</t>
        </is>
      </c>
      <c r="H547" s="17" t="inlineStr">
        <is>
          <t>10 EVIDENCE &amp; DECISIONS</t>
        </is>
      </c>
    </row>
    <row r="548" ht="34" customHeight="1">
      <c r="A548" s="12" t="inlineStr">
        <is>
          <t>R351-v1</t>
        </is>
      </c>
      <c r="B548" s="12" t="inlineStr">
        <is>
          <t>Contractor Programme</t>
        </is>
      </c>
      <c r="C548" s="12" t="inlineStr">
        <is>
          <t>SCH-02-171</t>
        </is>
      </c>
      <c r="D548" s="12" t="inlineStr">
        <is>
          <t>1.2.2 Stations - Architectural Fit-Out</t>
        </is>
      </c>
      <c r="E548" s="12" t="inlineStr">
        <is>
          <t>New</t>
        </is>
      </c>
      <c r="F548" s="12" t="inlineStr"/>
      <c r="G548" s="12" t="inlineStr">
        <is>
          <t>Source assignment -- not individually reviewed</t>
        </is>
      </c>
      <c r="H548" s="17" t="inlineStr">
        <is>
          <t>10 EVIDENCE &amp; DECISIONS</t>
        </is>
      </c>
    </row>
    <row r="549" ht="34" customHeight="1">
      <c r="A549" s="12" t="inlineStr">
        <is>
          <t>R354-v1</t>
        </is>
      </c>
      <c r="B549" s="12" t="inlineStr">
        <is>
          <t>Contractor Programme</t>
        </is>
      </c>
      <c r="C549" s="12" t="inlineStr">
        <is>
          <t>SCH-02-174</t>
        </is>
      </c>
      <c r="D549" s="12" t="inlineStr">
        <is>
          <t>1.2.2 Stations - Architectural Fit-Out</t>
        </is>
      </c>
      <c r="E549" s="12" t="inlineStr">
        <is>
          <t>New</t>
        </is>
      </c>
      <c r="F549" s="12" t="inlineStr"/>
      <c r="G549" s="12" t="inlineStr">
        <is>
          <t>Source assignment -- not individually reviewed</t>
        </is>
      </c>
      <c r="H549" s="17" t="inlineStr">
        <is>
          <t>10 EVIDENCE &amp; DECISIONS</t>
        </is>
      </c>
    </row>
    <row r="550" ht="34" customHeight="1">
      <c r="A550" s="12" t="inlineStr">
        <is>
          <t>R357-v1</t>
        </is>
      </c>
      <c r="B550" s="12" t="inlineStr">
        <is>
          <t>Contractor Programme</t>
        </is>
      </c>
      <c r="C550" s="12" t="inlineStr">
        <is>
          <t>SCH-02-177</t>
        </is>
      </c>
      <c r="D550" s="12" t="inlineStr">
        <is>
          <t>1.2.2 Stations - Architectural Fit-Out</t>
        </is>
      </c>
      <c r="E550" s="12" t="inlineStr">
        <is>
          <t>New</t>
        </is>
      </c>
      <c r="F550" s="12" t="inlineStr"/>
      <c r="G550" s="12" t="inlineStr">
        <is>
          <t>Source assignment -- not individually reviewed</t>
        </is>
      </c>
      <c r="H550" s="17" t="inlineStr">
        <is>
          <t>10 EVIDENCE &amp; DECISIONS</t>
        </is>
      </c>
    </row>
    <row r="551" ht="34" customHeight="1">
      <c r="A551" s="12" t="inlineStr">
        <is>
          <t>R360-v1</t>
        </is>
      </c>
      <c r="B551" s="12" t="inlineStr">
        <is>
          <t>Contractor Programme</t>
        </is>
      </c>
      <c r="C551" s="12" t="inlineStr">
        <is>
          <t>SCH-02-180</t>
        </is>
      </c>
      <c r="D551" s="12" t="inlineStr">
        <is>
          <t>1.2.2 Stations - Architectural Fit-Out</t>
        </is>
      </c>
      <c r="E551" s="12" t="inlineStr">
        <is>
          <t>New</t>
        </is>
      </c>
      <c r="F551" s="12" t="inlineStr"/>
      <c r="G551" s="12" t="inlineStr">
        <is>
          <t>Source assignment -- not individually reviewed</t>
        </is>
      </c>
      <c r="H551" s="17" t="inlineStr">
        <is>
          <t>10 EVIDENCE &amp; DECISIONS</t>
        </is>
      </c>
    </row>
    <row r="552" ht="34" customHeight="1">
      <c r="A552" s="12" t="inlineStr">
        <is>
          <t>R1583-v1</t>
        </is>
      </c>
      <c r="B552" s="12" t="inlineStr">
        <is>
          <t>Commercial Package Register</t>
        </is>
      </c>
      <c r="C552" s="12" t="inlineStr">
        <is>
          <t>PKG-021</t>
        </is>
      </c>
      <c r="D552" s="12" t="inlineStr">
        <is>
          <t>1.3 Systems</t>
        </is>
      </c>
      <c r="E552" s="12" t="inlineStr">
        <is>
          <t>New</t>
        </is>
      </c>
      <c r="F552" s="12" t="inlineStr"/>
      <c r="G552" s="12" t="inlineStr">
        <is>
          <t>Source assignment -- not individually reviewed</t>
        </is>
      </c>
      <c r="H552" s="17" t="inlineStr">
        <is>
          <t>10 EVIDENCE &amp; DECISIONS</t>
        </is>
      </c>
    </row>
    <row r="553" ht="34" customHeight="1">
      <c r="A553" s="12" t="inlineStr">
        <is>
          <t>R1584-v1</t>
        </is>
      </c>
      <c r="B553" s="12" t="inlineStr">
        <is>
          <t>Commercial Package Register</t>
        </is>
      </c>
      <c r="C553" s="12" t="inlineStr">
        <is>
          <t>PKG-022</t>
        </is>
      </c>
      <c r="D553" s="12" t="inlineStr">
        <is>
          <t>1.3 Systems</t>
        </is>
      </c>
      <c r="E553" s="12" t="inlineStr">
        <is>
          <t>New</t>
        </is>
      </c>
      <c r="F553" s="12" t="inlineStr"/>
      <c r="G553" s="12" t="inlineStr">
        <is>
          <t>Source assignment -- not individually reviewed</t>
        </is>
      </c>
      <c r="H553" s="17" t="inlineStr">
        <is>
          <t>10 EVIDENCE &amp; DECISIONS</t>
        </is>
      </c>
    </row>
    <row r="554" ht="34" customHeight="1">
      <c r="A554" s="12" t="inlineStr">
        <is>
          <t>R1585-v1</t>
        </is>
      </c>
      <c r="B554" s="12" t="inlineStr">
        <is>
          <t>Commercial Package Register</t>
        </is>
      </c>
      <c r="C554" s="12" t="inlineStr">
        <is>
          <t>PKG-023</t>
        </is>
      </c>
      <c r="D554" s="12" t="inlineStr">
        <is>
          <t>1.3 Systems</t>
        </is>
      </c>
      <c r="E554" s="12" t="inlineStr">
        <is>
          <t>New</t>
        </is>
      </c>
      <c r="F554" s="12" t="inlineStr"/>
      <c r="G554" s="12" t="inlineStr">
        <is>
          <t>Source assignment -- not individually reviewed</t>
        </is>
      </c>
      <c r="H554" s="17" t="inlineStr">
        <is>
          <t>10 EVIDENCE &amp; DECISIONS</t>
        </is>
      </c>
    </row>
    <row r="555" ht="34" customHeight="1">
      <c r="A555" s="12" t="inlineStr">
        <is>
          <t>R1586-v1</t>
        </is>
      </c>
      <c r="B555" s="12" t="inlineStr">
        <is>
          <t>Commercial Package Register</t>
        </is>
      </c>
      <c r="C555" s="12" t="inlineStr">
        <is>
          <t>PKG-024</t>
        </is>
      </c>
      <c r="D555" s="12" t="inlineStr">
        <is>
          <t>1.3 Systems</t>
        </is>
      </c>
      <c r="E555" s="12" t="inlineStr">
        <is>
          <t>New</t>
        </is>
      </c>
      <c r="F555" s="12" t="inlineStr"/>
      <c r="G555" s="12" t="inlineStr">
        <is>
          <t>Source assignment -- not individually reviewed</t>
        </is>
      </c>
      <c r="H555" s="17" t="inlineStr">
        <is>
          <t>10 EVIDENCE &amp; DECISIONS</t>
        </is>
      </c>
    </row>
    <row r="556" ht="34" customHeight="1">
      <c r="A556" s="12" t="inlineStr">
        <is>
          <t>R1587-v1</t>
        </is>
      </c>
      <c r="B556" s="12" t="inlineStr">
        <is>
          <t>Commercial Package Register</t>
        </is>
      </c>
      <c r="C556" s="12" t="inlineStr">
        <is>
          <t>PKG-025</t>
        </is>
      </c>
      <c r="D556" s="12" t="inlineStr">
        <is>
          <t>1.3 Systems</t>
        </is>
      </c>
      <c r="E556" s="12" t="inlineStr">
        <is>
          <t>New</t>
        </is>
      </c>
      <c r="F556" s="12" t="inlineStr"/>
      <c r="G556" s="12" t="inlineStr">
        <is>
          <t>Source assignment -- not individually reviewed</t>
        </is>
      </c>
      <c r="H556" s="17" t="inlineStr">
        <is>
          <t>10 EVIDENCE &amp; DECISIONS</t>
        </is>
      </c>
    </row>
    <row r="557" ht="34" customHeight="1">
      <c r="A557" s="12" t="inlineStr">
        <is>
          <t>R1588-v1</t>
        </is>
      </c>
      <c r="B557" s="12" t="inlineStr">
        <is>
          <t>Commercial Package Register</t>
        </is>
      </c>
      <c r="C557" s="12" t="inlineStr">
        <is>
          <t>PKG-026</t>
        </is>
      </c>
      <c r="D557" s="12" t="inlineStr">
        <is>
          <t>1.3 Systems</t>
        </is>
      </c>
      <c r="E557" s="12" t="inlineStr">
        <is>
          <t>New</t>
        </is>
      </c>
      <c r="F557" s="12" t="inlineStr"/>
      <c r="G557" s="12" t="inlineStr">
        <is>
          <t>Source assignment -- not individually reviewed</t>
        </is>
      </c>
      <c r="H557" s="17" t="inlineStr">
        <is>
          <t>10 EVIDENCE &amp; DECISIONS</t>
        </is>
      </c>
    </row>
    <row r="558" ht="34" customHeight="1">
      <c r="A558" s="12" t="inlineStr">
        <is>
          <t>R1589-v1</t>
        </is>
      </c>
      <c r="B558" s="12" t="inlineStr">
        <is>
          <t>Commercial Package Register</t>
        </is>
      </c>
      <c r="C558" s="12" t="inlineStr">
        <is>
          <t>PKG-027</t>
        </is>
      </c>
      <c r="D558" s="12" t="inlineStr">
        <is>
          <t>1.3 Systems</t>
        </is>
      </c>
      <c r="E558" s="12" t="inlineStr">
        <is>
          <t>New</t>
        </is>
      </c>
      <c r="F558" s="12" t="inlineStr"/>
      <c r="G558" s="12" t="inlineStr">
        <is>
          <t>Source assignment -- not individually reviewed</t>
        </is>
      </c>
      <c r="H558" s="17" t="inlineStr">
        <is>
          <t>10 EVIDENCE &amp; DECISIONS</t>
        </is>
      </c>
    </row>
    <row r="559" ht="34" customHeight="1">
      <c r="A559" s="12" t="inlineStr">
        <is>
          <t>R1590-v1</t>
        </is>
      </c>
      <c r="B559" s="12" t="inlineStr">
        <is>
          <t>Commercial Package Register</t>
        </is>
      </c>
      <c r="C559" s="12" t="inlineStr">
        <is>
          <t>PKG-028</t>
        </is>
      </c>
      <c r="D559" s="12" t="inlineStr">
        <is>
          <t>1.3 Systems</t>
        </is>
      </c>
      <c r="E559" s="12" t="inlineStr">
        <is>
          <t>New</t>
        </is>
      </c>
      <c r="F559" s="12" t="inlineStr"/>
      <c r="G559" s="12" t="inlineStr">
        <is>
          <t>Source assignment -- not individually reviewed</t>
        </is>
      </c>
      <c r="H559" s="17" t="inlineStr">
        <is>
          <t>10 EVIDENCE &amp; DECISIONS</t>
        </is>
      </c>
    </row>
    <row r="560" ht="34" customHeight="1">
      <c r="A560" s="12" t="inlineStr">
        <is>
          <t>R1591-v1</t>
        </is>
      </c>
      <c r="B560" s="12" t="inlineStr">
        <is>
          <t>Commercial Package Register</t>
        </is>
      </c>
      <c r="C560" s="12" t="inlineStr">
        <is>
          <t>PKG-029</t>
        </is>
      </c>
      <c r="D560" s="12" t="inlineStr">
        <is>
          <t>1.3 Systems</t>
        </is>
      </c>
      <c r="E560" s="12" t="inlineStr">
        <is>
          <t>New</t>
        </is>
      </c>
      <c r="F560" s="12" t="inlineStr"/>
      <c r="G560" s="12" t="inlineStr">
        <is>
          <t>Source assignment -- not individually reviewed</t>
        </is>
      </c>
      <c r="H560" s="17" t="inlineStr">
        <is>
          <t>10 EVIDENCE &amp; DECISIONS</t>
        </is>
      </c>
    </row>
    <row r="561" ht="34" customHeight="1">
      <c r="A561" s="12" t="inlineStr">
        <is>
          <t>R1592-v1</t>
        </is>
      </c>
      <c r="B561" s="12" t="inlineStr">
        <is>
          <t>Commercial Package Register</t>
        </is>
      </c>
      <c r="C561" s="12" t="inlineStr">
        <is>
          <t>PKG-030</t>
        </is>
      </c>
      <c r="D561" s="12" t="inlineStr">
        <is>
          <t>1.3 Systems</t>
        </is>
      </c>
      <c r="E561" s="12" t="inlineStr">
        <is>
          <t>New</t>
        </is>
      </c>
      <c r="F561" s="12" t="inlineStr"/>
      <c r="G561" s="12" t="inlineStr">
        <is>
          <t>Source assignment -- not individually reviewed</t>
        </is>
      </c>
      <c r="H561" s="17" t="inlineStr">
        <is>
          <t>10 EVIDENCE &amp; DECISIONS</t>
        </is>
      </c>
    </row>
    <row r="562" ht="34" customHeight="1">
      <c r="A562" s="12" t="inlineStr">
        <is>
          <t>R1243-v1</t>
        </is>
      </c>
      <c r="B562" s="12" t="inlineStr">
        <is>
          <t>Cost &amp; Forecast Control Accounts</t>
        </is>
      </c>
      <c r="C562" s="12" t="inlineStr">
        <is>
          <t>CST-03-001</t>
        </is>
      </c>
      <c r="D562" s="12" t="inlineStr">
        <is>
          <t>1.3.1 Systems - Traction Power</t>
        </is>
      </c>
      <c r="E562" s="12" t="inlineStr">
        <is>
          <t>New</t>
        </is>
      </c>
      <c r="F562" s="12" t="inlineStr"/>
      <c r="G562" s="12" t="inlineStr">
        <is>
          <t>Source assignment -- not individually reviewed</t>
        </is>
      </c>
      <c r="H562" s="17" t="inlineStr">
        <is>
          <t>10 EVIDENCE &amp; DECISIONS</t>
        </is>
      </c>
    </row>
    <row r="563" ht="34" customHeight="1">
      <c r="A563" s="12" t="inlineStr">
        <is>
          <t>R1245-v1</t>
        </is>
      </c>
      <c r="B563" s="12" t="inlineStr">
        <is>
          <t>Cost &amp; Forecast Control Accounts</t>
        </is>
      </c>
      <c r="C563" s="12" t="inlineStr">
        <is>
          <t>CST-03-003</t>
        </is>
      </c>
      <c r="D563" s="12" t="inlineStr">
        <is>
          <t>1.3.1 Systems - Traction Power</t>
        </is>
      </c>
      <c r="E563" s="12" t="inlineStr">
        <is>
          <t>New</t>
        </is>
      </c>
      <c r="F563" s="12" t="inlineStr"/>
      <c r="G563" s="12" t="inlineStr">
        <is>
          <t>Source assignment -- not individually reviewed</t>
        </is>
      </c>
      <c r="H563" s="17" t="inlineStr">
        <is>
          <t>10 EVIDENCE &amp; DECISIONS</t>
        </is>
      </c>
    </row>
    <row r="564" ht="34" customHeight="1">
      <c r="A564" s="12" t="inlineStr">
        <is>
          <t>R1247-v1</t>
        </is>
      </c>
      <c r="B564" s="12" t="inlineStr">
        <is>
          <t>Cost &amp; Forecast Control Accounts</t>
        </is>
      </c>
      <c r="C564" s="12" t="inlineStr">
        <is>
          <t>CST-03-005</t>
        </is>
      </c>
      <c r="D564" s="12" t="inlineStr">
        <is>
          <t>1.3.1 Systems - Traction Power</t>
        </is>
      </c>
      <c r="E564" s="12" t="inlineStr">
        <is>
          <t>New</t>
        </is>
      </c>
      <c r="F564" s="12" t="inlineStr"/>
      <c r="G564" s="12" t="inlineStr">
        <is>
          <t>Source assignment -- not individually reviewed</t>
        </is>
      </c>
      <c r="H564" s="17" t="inlineStr">
        <is>
          <t>10 EVIDENCE &amp; DECISIONS</t>
        </is>
      </c>
    </row>
    <row r="565" ht="34" customHeight="1">
      <c r="A565" s="12" t="inlineStr">
        <is>
          <t>R1249-v1</t>
        </is>
      </c>
      <c r="B565" s="12" t="inlineStr">
        <is>
          <t>Cost &amp; Forecast Control Accounts</t>
        </is>
      </c>
      <c r="C565" s="12" t="inlineStr">
        <is>
          <t>CST-03-007</t>
        </is>
      </c>
      <c r="D565" s="12" t="inlineStr">
        <is>
          <t>1.3.1 Systems - Traction Power</t>
        </is>
      </c>
      <c r="E565" s="12" t="inlineStr">
        <is>
          <t>New</t>
        </is>
      </c>
      <c r="F565" s="12" t="inlineStr"/>
      <c r="G565" s="12" t="inlineStr">
        <is>
          <t>Source assignment -- not individually reviewed</t>
        </is>
      </c>
      <c r="H565" s="17" t="inlineStr">
        <is>
          <t>10 EVIDENCE &amp; DECISIONS</t>
        </is>
      </c>
    </row>
    <row r="566" ht="34" customHeight="1">
      <c r="A566" s="12" t="inlineStr">
        <is>
          <t>R1251-v1</t>
        </is>
      </c>
      <c r="B566" s="12" t="inlineStr">
        <is>
          <t>Cost &amp; Forecast Control Accounts</t>
        </is>
      </c>
      <c r="C566" s="12" t="inlineStr">
        <is>
          <t>CST-03-009</t>
        </is>
      </c>
      <c r="D566" s="12" t="inlineStr">
        <is>
          <t>1.3.1 Systems - Traction Power</t>
        </is>
      </c>
      <c r="E566" s="12" t="inlineStr">
        <is>
          <t>New</t>
        </is>
      </c>
      <c r="F566" s="12" t="inlineStr"/>
      <c r="G566" s="12" t="inlineStr">
        <is>
          <t>Source assignment -- not individually reviewed</t>
        </is>
      </c>
      <c r="H566" s="17" t="inlineStr">
        <is>
          <t>10 EVIDENCE &amp; DECISIONS</t>
        </is>
      </c>
    </row>
    <row r="567" ht="34" customHeight="1">
      <c r="A567" s="12" t="inlineStr">
        <is>
          <t>R1253-v1</t>
        </is>
      </c>
      <c r="B567" s="12" t="inlineStr">
        <is>
          <t>Cost &amp; Forecast Control Accounts</t>
        </is>
      </c>
      <c r="C567" s="12" t="inlineStr">
        <is>
          <t>CST-03-011</t>
        </is>
      </c>
      <c r="D567" s="12" t="inlineStr">
        <is>
          <t>1.3.1 Systems - Traction Power</t>
        </is>
      </c>
      <c r="E567" s="12" t="inlineStr">
        <is>
          <t>New</t>
        </is>
      </c>
      <c r="F567" s="12" t="inlineStr"/>
      <c r="G567" s="12" t="inlineStr">
        <is>
          <t>Source assignment -- not individually reviewed</t>
        </is>
      </c>
      <c r="H567" s="17" t="inlineStr">
        <is>
          <t>10 EVIDENCE &amp; DECISIONS</t>
        </is>
      </c>
    </row>
    <row r="568" ht="34" customHeight="1">
      <c r="A568" s="12" t="inlineStr">
        <is>
          <t>R1255-v1</t>
        </is>
      </c>
      <c r="B568" s="12" t="inlineStr">
        <is>
          <t>Cost &amp; Forecast Control Accounts</t>
        </is>
      </c>
      <c r="C568" s="12" t="inlineStr">
        <is>
          <t>CST-03-013</t>
        </is>
      </c>
      <c r="D568" s="12" t="inlineStr">
        <is>
          <t>1.3.1 Systems - Traction Power</t>
        </is>
      </c>
      <c r="E568" s="12" t="inlineStr">
        <is>
          <t>New</t>
        </is>
      </c>
      <c r="F568" s="12" t="inlineStr"/>
      <c r="G568" s="12" t="inlineStr">
        <is>
          <t>Source assignment -- not individually reviewed</t>
        </is>
      </c>
      <c r="H568" s="17" t="inlineStr">
        <is>
          <t>10 EVIDENCE &amp; DECISIONS</t>
        </is>
      </c>
    </row>
    <row r="569" ht="34" customHeight="1">
      <c r="A569" s="12" t="inlineStr">
        <is>
          <t>R1257-v1</t>
        </is>
      </c>
      <c r="B569" s="12" t="inlineStr">
        <is>
          <t>Cost &amp; Forecast Control Accounts</t>
        </is>
      </c>
      <c r="C569" s="12" t="inlineStr">
        <is>
          <t>CST-03-015</t>
        </is>
      </c>
      <c r="D569" s="12" t="inlineStr">
        <is>
          <t>1.3.1 Systems - Traction Power</t>
        </is>
      </c>
      <c r="E569" s="12" t="inlineStr">
        <is>
          <t>New</t>
        </is>
      </c>
      <c r="F569" s="12" t="inlineStr"/>
      <c r="G569" s="12" t="inlineStr">
        <is>
          <t>Source assignment -- not individually reviewed</t>
        </is>
      </c>
      <c r="H569" s="17" t="inlineStr">
        <is>
          <t>10 EVIDENCE &amp; DECISIONS</t>
        </is>
      </c>
    </row>
    <row r="570" ht="34" customHeight="1">
      <c r="A570" s="12" t="inlineStr">
        <is>
          <t>R1259-v1</t>
        </is>
      </c>
      <c r="B570" s="12" t="inlineStr">
        <is>
          <t>Cost &amp; Forecast Control Accounts</t>
        </is>
      </c>
      <c r="C570" s="12" t="inlineStr">
        <is>
          <t>CST-03-017</t>
        </is>
      </c>
      <c r="D570" s="12" t="inlineStr">
        <is>
          <t>1.3.1 Systems - Traction Power</t>
        </is>
      </c>
      <c r="E570" s="12" t="inlineStr">
        <is>
          <t>New</t>
        </is>
      </c>
      <c r="F570" s="12" t="inlineStr"/>
      <c r="G570" s="12" t="inlineStr">
        <is>
          <t>Source assignment -- not individually reviewed</t>
        </is>
      </c>
      <c r="H570" s="17" t="inlineStr">
        <is>
          <t>10 EVIDENCE &amp; DECISIONS</t>
        </is>
      </c>
    </row>
    <row r="571" ht="34" customHeight="1">
      <c r="A571" s="12" t="inlineStr">
        <is>
          <t>R1261-v1</t>
        </is>
      </c>
      <c r="B571" s="12" t="inlineStr">
        <is>
          <t>Cost &amp; Forecast Control Accounts</t>
        </is>
      </c>
      <c r="C571" s="12" t="inlineStr">
        <is>
          <t>CST-03-019</t>
        </is>
      </c>
      <c r="D571" s="12" t="inlineStr">
        <is>
          <t>1.3.1 Systems - Traction Power</t>
        </is>
      </c>
      <c r="E571" s="12" t="inlineStr">
        <is>
          <t>New</t>
        </is>
      </c>
      <c r="F571" s="12" t="inlineStr"/>
      <c r="G571" s="12" t="inlineStr">
        <is>
          <t>Source assignment -- not individually reviewed</t>
        </is>
      </c>
      <c r="H571" s="17" t="inlineStr">
        <is>
          <t>10 EVIDENCE &amp; DECISIONS</t>
        </is>
      </c>
    </row>
    <row r="572" ht="34" customHeight="1">
      <c r="A572" s="12" t="inlineStr">
        <is>
          <t>R1263-v1</t>
        </is>
      </c>
      <c r="B572" s="12" t="inlineStr">
        <is>
          <t>Cost &amp; Forecast Control Accounts</t>
        </is>
      </c>
      <c r="C572" s="12" t="inlineStr">
        <is>
          <t>CST-03-021</t>
        </is>
      </c>
      <c r="D572" s="12" t="inlineStr">
        <is>
          <t>1.3.1 Systems - Traction Power</t>
        </is>
      </c>
      <c r="E572" s="12" t="inlineStr">
        <is>
          <t>New</t>
        </is>
      </c>
      <c r="F572" s="12" t="inlineStr"/>
      <c r="G572" s="12" t="inlineStr">
        <is>
          <t>Source assignment -- not individually reviewed</t>
        </is>
      </c>
      <c r="H572" s="17" t="inlineStr">
        <is>
          <t>10 EVIDENCE &amp; DECISIONS</t>
        </is>
      </c>
    </row>
    <row r="573" ht="34" customHeight="1">
      <c r="A573" s="12" t="inlineStr">
        <is>
          <t>R1265-v1</t>
        </is>
      </c>
      <c r="B573" s="12" t="inlineStr">
        <is>
          <t>Cost &amp; Forecast Control Accounts</t>
        </is>
      </c>
      <c r="C573" s="12" t="inlineStr">
        <is>
          <t>CST-03-023</t>
        </is>
      </c>
      <c r="D573" s="12" t="inlineStr">
        <is>
          <t>1.3.1 Systems - Traction Power</t>
        </is>
      </c>
      <c r="E573" s="12" t="inlineStr">
        <is>
          <t>New</t>
        </is>
      </c>
      <c r="F573" s="12" t="inlineStr"/>
      <c r="G573" s="12" t="inlineStr">
        <is>
          <t>Source assignment -- not individually reviewed</t>
        </is>
      </c>
      <c r="H573" s="17" t="inlineStr">
        <is>
          <t>10 EVIDENCE &amp; DECISIONS</t>
        </is>
      </c>
    </row>
    <row r="574" ht="34" customHeight="1">
      <c r="A574" s="12" t="inlineStr">
        <is>
          <t>R1267-v1</t>
        </is>
      </c>
      <c r="B574" s="12" t="inlineStr">
        <is>
          <t>Cost &amp; Forecast Control Accounts</t>
        </is>
      </c>
      <c r="C574" s="12" t="inlineStr">
        <is>
          <t>CST-03-025</t>
        </is>
      </c>
      <c r="D574" s="12" t="inlineStr">
        <is>
          <t>1.3.1 Systems - Traction Power</t>
        </is>
      </c>
      <c r="E574" s="12" t="inlineStr">
        <is>
          <t>New</t>
        </is>
      </c>
      <c r="F574" s="12" t="inlineStr"/>
      <c r="G574" s="12" t="inlineStr">
        <is>
          <t>Source assignment -- not individually reviewed</t>
        </is>
      </c>
      <c r="H574" s="17" t="inlineStr">
        <is>
          <t>10 EVIDENCE &amp; DECISIONS</t>
        </is>
      </c>
    </row>
    <row r="575" ht="34" customHeight="1">
      <c r="A575" s="12" t="inlineStr">
        <is>
          <t>R1269-v1</t>
        </is>
      </c>
      <c r="B575" s="12" t="inlineStr">
        <is>
          <t>Cost &amp; Forecast Control Accounts</t>
        </is>
      </c>
      <c r="C575" s="12" t="inlineStr">
        <is>
          <t>CST-03-027</t>
        </is>
      </c>
      <c r="D575" s="12" t="inlineStr">
        <is>
          <t>1.3.1 Systems - Traction Power</t>
        </is>
      </c>
      <c r="E575" s="12" t="inlineStr">
        <is>
          <t>New</t>
        </is>
      </c>
      <c r="F575" s="12" t="inlineStr"/>
      <c r="G575" s="12" t="inlineStr">
        <is>
          <t>Source assignment -- not individually reviewed</t>
        </is>
      </c>
      <c r="H575" s="17" t="inlineStr">
        <is>
          <t>10 EVIDENCE &amp; DECISIONS</t>
        </is>
      </c>
    </row>
    <row r="576" ht="34" customHeight="1">
      <c r="A576" s="12" t="inlineStr">
        <is>
          <t>R1271-v1</t>
        </is>
      </c>
      <c r="B576" s="12" t="inlineStr">
        <is>
          <t>Cost &amp; Forecast Control Accounts</t>
        </is>
      </c>
      <c r="C576" s="12" t="inlineStr">
        <is>
          <t>CST-03-029</t>
        </is>
      </c>
      <c r="D576" s="12" t="inlineStr">
        <is>
          <t>1.3.1 Systems - Traction Power</t>
        </is>
      </c>
      <c r="E576" s="12" t="inlineStr">
        <is>
          <t>New</t>
        </is>
      </c>
      <c r="F576" s="12" t="inlineStr"/>
      <c r="G576" s="12" t="inlineStr">
        <is>
          <t>Source assignment -- not individually reviewed</t>
        </is>
      </c>
      <c r="H576" s="17" t="inlineStr">
        <is>
          <t>10 EVIDENCE &amp; DECISIONS</t>
        </is>
      </c>
    </row>
    <row r="577" ht="34" customHeight="1">
      <c r="A577" s="12" t="inlineStr">
        <is>
          <t>R1273-v1</t>
        </is>
      </c>
      <c r="B577" s="12" t="inlineStr">
        <is>
          <t>Cost &amp; Forecast Control Accounts</t>
        </is>
      </c>
      <c r="C577" s="12" t="inlineStr">
        <is>
          <t>CST-03-031</t>
        </is>
      </c>
      <c r="D577" s="12" t="inlineStr">
        <is>
          <t>1.3.1 Systems - Traction Power</t>
        </is>
      </c>
      <c r="E577" s="12" t="inlineStr">
        <is>
          <t>New</t>
        </is>
      </c>
      <c r="F577" s="12" t="inlineStr"/>
      <c r="G577" s="12" t="inlineStr">
        <is>
          <t>Source assignment -- not individually reviewed</t>
        </is>
      </c>
      <c r="H577" s="17" t="inlineStr">
        <is>
          <t>10 EVIDENCE &amp; DECISIONS</t>
        </is>
      </c>
    </row>
    <row r="578" ht="34" customHeight="1">
      <c r="A578" s="12" t="inlineStr">
        <is>
          <t>R1275-v1</t>
        </is>
      </c>
      <c r="B578" s="12" t="inlineStr">
        <is>
          <t>Cost &amp; Forecast Control Accounts</t>
        </is>
      </c>
      <c r="C578" s="12" t="inlineStr">
        <is>
          <t>CST-03-033</t>
        </is>
      </c>
      <c r="D578" s="12" t="inlineStr">
        <is>
          <t>1.3.1 Systems - Traction Power</t>
        </is>
      </c>
      <c r="E578" s="12" t="inlineStr">
        <is>
          <t>New</t>
        </is>
      </c>
      <c r="F578" s="12" t="inlineStr"/>
      <c r="G578" s="12" t="inlineStr">
        <is>
          <t>Source assignment -- not individually reviewed</t>
        </is>
      </c>
      <c r="H578" s="17" t="inlineStr">
        <is>
          <t>10 EVIDENCE &amp; DECISIONS</t>
        </is>
      </c>
    </row>
    <row r="579" ht="34" customHeight="1">
      <c r="A579" s="12" t="inlineStr">
        <is>
          <t>R1277-v1</t>
        </is>
      </c>
      <c r="B579" s="12" t="inlineStr">
        <is>
          <t>Cost &amp; Forecast Control Accounts</t>
        </is>
      </c>
      <c r="C579" s="12" t="inlineStr">
        <is>
          <t>CST-03-035</t>
        </is>
      </c>
      <c r="D579" s="12" t="inlineStr">
        <is>
          <t>1.3.1 Systems - Traction Power</t>
        </is>
      </c>
      <c r="E579" s="12" t="inlineStr">
        <is>
          <t>New</t>
        </is>
      </c>
      <c r="F579" s="12" t="inlineStr"/>
      <c r="G579" s="12" t="inlineStr">
        <is>
          <t>Source assignment -- not individually reviewed</t>
        </is>
      </c>
      <c r="H579" s="17" t="inlineStr">
        <is>
          <t>10 EVIDENCE &amp; DECISIONS</t>
        </is>
      </c>
    </row>
    <row r="580" ht="34" customHeight="1">
      <c r="A580" s="12" t="inlineStr">
        <is>
          <t>R1279-v1</t>
        </is>
      </c>
      <c r="B580" s="12" t="inlineStr">
        <is>
          <t>Cost &amp; Forecast Control Accounts</t>
        </is>
      </c>
      <c r="C580" s="12" t="inlineStr">
        <is>
          <t>CST-03-037</t>
        </is>
      </c>
      <c r="D580" s="12" t="inlineStr">
        <is>
          <t>1.3.1 Systems - Traction Power</t>
        </is>
      </c>
      <c r="E580" s="12" t="inlineStr">
        <is>
          <t>New</t>
        </is>
      </c>
      <c r="F580" s="12" t="inlineStr"/>
      <c r="G580" s="12" t="inlineStr">
        <is>
          <t>Source assignment -- not individually reviewed</t>
        </is>
      </c>
      <c r="H580" s="17" t="inlineStr">
        <is>
          <t>10 EVIDENCE &amp; DECISIONS</t>
        </is>
      </c>
    </row>
    <row r="581" ht="34" customHeight="1">
      <c r="A581" s="12" t="inlineStr">
        <is>
          <t>R1281-v1</t>
        </is>
      </c>
      <c r="B581" s="12" t="inlineStr">
        <is>
          <t>Cost &amp; Forecast Control Accounts</t>
        </is>
      </c>
      <c r="C581" s="12" t="inlineStr">
        <is>
          <t>CST-03-039</t>
        </is>
      </c>
      <c r="D581" s="12" t="inlineStr">
        <is>
          <t>1.3.1 Systems - Traction Power</t>
        </is>
      </c>
      <c r="E581" s="12" t="inlineStr">
        <is>
          <t>New</t>
        </is>
      </c>
      <c r="F581" s="12" t="inlineStr"/>
      <c r="G581" s="12" t="inlineStr">
        <is>
          <t>Source assignment -- not individually reviewed</t>
        </is>
      </c>
      <c r="H581" s="17" t="inlineStr">
        <is>
          <t>10 EVIDENCE &amp; DECISIONS</t>
        </is>
      </c>
    </row>
    <row r="582" ht="34" customHeight="1">
      <c r="A582" s="12" t="inlineStr">
        <is>
          <t>R1283-v1</t>
        </is>
      </c>
      <c r="B582" s="12" t="inlineStr">
        <is>
          <t>Cost &amp; Forecast Control Accounts</t>
        </is>
      </c>
      <c r="C582" s="12" t="inlineStr">
        <is>
          <t>CST-03-041</t>
        </is>
      </c>
      <c r="D582" s="12" t="inlineStr">
        <is>
          <t>1.3.1 Systems - Traction Power</t>
        </is>
      </c>
      <c r="E582" s="12" t="inlineStr">
        <is>
          <t>New</t>
        </is>
      </c>
      <c r="F582" s="12" t="inlineStr"/>
      <c r="G582" s="12" t="inlineStr">
        <is>
          <t>Source assignment -- not individually reviewed</t>
        </is>
      </c>
      <c r="H582" s="17" t="inlineStr">
        <is>
          <t>10 EVIDENCE &amp; DECISIONS</t>
        </is>
      </c>
    </row>
    <row r="583" ht="34" customHeight="1">
      <c r="A583" s="12" t="inlineStr">
        <is>
          <t>R1285-v1</t>
        </is>
      </c>
      <c r="B583" s="12" t="inlineStr">
        <is>
          <t>Cost &amp; Forecast Control Accounts</t>
        </is>
      </c>
      <c r="C583" s="12" t="inlineStr">
        <is>
          <t>CST-03-043</t>
        </is>
      </c>
      <c r="D583" s="12" t="inlineStr">
        <is>
          <t>1.3.1 Systems - Traction Power</t>
        </is>
      </c>
      <c r="E583" s="12" t="inlineStr">
        <is>
          <t>New</t>
        </is>
      </c>
      <c r="F583" s="12" t="inlineStr"/>
      <c r="G583" s="12" t="inlineStr">
        <is>
          <t>Source assignment -- not individually reviewed</t>
        </is>
      </c>
      <c r="H583" s="17" t="inlineStr">
        <is>
          <t>10 EVIDENCE &amp; DECISIONS</t>
        </is>
      </c>
    </row>
    <row r="584" ht="34" customHeight="1">
      <c r="A584" s="12" t="inlineStr">
        <is>
          <t>R1287-v1</t>
        </is>
      </c>
      <c r="B584" s="12" t="inlineStr">
        <is>
          <t>Cost &amp; Forecast Control Accounts</t>
        </is>
      </c>
      <c r="C584" s="12" t="inlineStr">
        <is>
          <t>CST-03-045</t>
        </is>
      </c>
      <c r="D584" s="12" t="inlineStr">
        <is>
          <t>1.3.1 Systems - Traction Power</t>
        </is>
      </c>
      <c r="E584" s="12" t="inlineStr">
        <is>
          <t>New</t>
        </is>
      </c>
      <c r="F584" s="12" t="inlineStr"/>
      <c r="G584" s="12" t="inlineStr">
        <is>
          <t>Source assignment -- not individually reviewed</t>
        </is>
      </c>
      <c r="H584" s="17" t="inlineStr">
        <is>
          <t>10 EVIDENCE &amp; DECISIONS</t>
        </is>
      </c>
    </row>
    <row r="585" ht="34" customHeight="1">
      <c r="A585" s="12" t="inlineStr">
        <is>
          <t>R1289-v1</t>
        </is>
      </c>
      <c r="B585" s="12" t="inlineStr">
        <is>
          <t>Cost &amp; Forecast Control Accounts</t>
        </is>
      </c>
      <c r="C585" s="12" t="inlineStr">
        <is>
          <t>CST-03-047</t>
        </is>
      </c>
      <c r="D585" s="12" t="inlineStr">
        <is>
          <t>1.3.1 Systems - Traction Power</t>
        </is>
      </c>
      <c r="E585" s="12" t="inlineStr">
        <is>
          <t>New</t>
        </is>
      </c>
      <c r="F585" s="12" t="inlineStr"/>
      <c r="G585" s="12" t="inlineStr">
        <is>
          <t>Source assignment -- not individually reviewed</t>
        </is>
      </c>
      <c r="H585" s="17" t="inlineStr">
        <is>
          <t>10 EVIDENCE &amp; DECISIONS</t>
        </is>
      </c>
    </row>
    <row r="586" ht="34" customHeight="1">
      <c r="A586" s="12" t="inlineStr">
        <is>
          <t>R1291-v1</t>
        </is>
      </c>
      <c r="B586" s="12" t="inlineStr">
        <is>
          <t>Cost &amp; Forecast Control Accounts</t>
        </is>
      </c>
      <c r="C586" s="12" t="inlineStr">
        <is>
          <t>CST-03-049</t>
        </is>
      </c>
      <c r="D586" s="12" t="inlineStr">
        <is>
          <t>1.3.1 Systems - Traction Power</t>
        </is>
      </c>
      <c r="E586" s="12" t="inlineStr">
        <is>
          <t>New</t>
        </is>
      </c>
      <c r="F586" s="12" t="inlineStr"/>
      <c r="G586" s="12" t="inlineStr">
        <is>
          <t>Source assignment -- not individually reviewed</t>
        </is>
      </c>
      <c r="H586" s="17" t="inlineStr">
        <is>
          <t>10 EVIDENCE &amp; DECISIONS</t>
        </is>
      </c>
    </row>
    <row r="587" ht="34" customHeight="1">
      <c r="A587" s="12" t="inlineStr">
        <is>
          <t>R1293-v1</t>
        </is>
      </c>
      <c r="B587" s="12" t="inlineStr">
        <is>
          <t>Cost &amp; Forecast Control Accounts</t>
        </is>
      </c>
      <c r="C587" s="12" t="inlineStr">
        <is>
          <t>CST-03-051</t>
        </is>
      </c>
      <c r="D587" s="12" t="inlineStr">
        <is>
          <t>1.3.1 Systems - Traction Power</t>
        </is>
      </c>
      <c r="E587" s="12" t="inlineStr">
        <is>
          <t>New</t>
        </is>
      </c>
      <c r="F587" s="12" t="inlineStr"/>
      <c r="G587" s="12" t="inlineStr">
        <is>
          <t>Source assignment -- not individually reviewed</t>
        </is>
      </c>
      <c r="H587" s="17" t="inlineStr">
        <is>
          <t>10 EVIDENCE &amp; DECISIONS</t>
        </is>
      </c>
    </row>
    <row r="588" ht="34" customHeight="1">
      <c r="A588" s="12" t="inlineStr">
        <is>
          <t>R1295-v1</t>
        </is>
      </c>
      <c r="B588" s="12" t="inlineStr">
        <is>
          <t>Cost &amp; Forecast Control Accounts</t>
        </is>
      </c>
      <c r="C588" s="12" t="inlineStr">
        <is>
          <t>CST-03-053</t>
        </is>
      </c>
      <c r="D588" s="12" t="inlineStr">
        <is>
          <t>1.3.1 Systems - Traction Power</t>
        </is>
      </c>
      <c r="E588" s="12" t="inlineStr">
        <is>
          <t>New</t>
        </is>
      </c>
      <c r="F588" s="12" t="inlineStr"/>
      <c r="G588" s="12" t="inlineStr">
        <is>
          <t>Source assignment -- not individually reviewed</t>
        </is>
      </c>
      <c r="H588" s="17" t="inlineStr">
        <is>
          <t>10 EVIDENCE &amp; DECISIONS</t>
        </is>
      </c>
    </row>
    <row r="589" ht="34" customHeight="1">
      <c r="A589" s="12" t="inlineStr">
        <is>
          <t>R1297-v1</t>
        </is>
      </c>
      <c r="B589" s="12" t="inlineStr">
        <is>
          <t>Cost &amp; Forecast Control Accounts</t>
        </is>
      </c>
      <c r="C589" s="12" t="inlineStr">
        <is>
          <t>CST-03-055</t>
        </is>
      </c>
      <c r="D589" s="12" t="inlineStr">
        <is>
          <t>1.3.1 Systems - Traction Power</t>
        </is>
      </c>
      <c r="E589" s="12" t="inlineStr">
        <is>
          <t>New</t>
        </is>
      </c>
      <c r="F589" s="12" t="inlineStr"/>
      <c r="G589" s="12" t="inlineStr">
        <is>
          <t>Source assignment -- not individually reviewed</t>
        </is>
      </c>
      <c r="H589" s="17" t="inlineStr">
        <is>
          <t>10 EVIDENCE &amp; DECISIONS</t>
        </is>
      </c>
    </row>
    <row r="590" ht="34" customHeight="1">
      <c r="A590" s="12" t="inlineStr">
        <is>
          <t>R1299-v1</t>
        </is>
      </c>
      <c r="B590" s="12" t="inlineStr">
        <is>
          <t>Cost &amp; Forecast Control Accounts</t>
        </is>
      </c>
      <c r="C590" s="12" t="inlineStr">
        <is>
          <t>CST-03-057</t>
        </is>
      </c>
      <c r="D590" s="12" t="inlineStr">
        <is>
          <t>1.3.1 Systems - Traction Power</t>
        </is>
      </c>
      <c r="E590" s="12" t="inlineStr">
        <is>
          <t>New</t>
        </is>
      </c>
      <c r="F590" s="12" t="inlineStr"/>
      <c r="G590" s="12" t="inlineStr">
        <is>
          <t>Source assignment -- not individually reviewed</t>
        </is>
      </c>
      <c r="H590" s="17" t="inlineStr">
        <is>
          <t>10 EVIDENCE &amp; DECISIONS</t>
        </is>
      </c>
    </row>
    <row r="591" ht="34" customHeight="1">
      <c r="A591" s="12" t="inlineStr">
        <is>
          <t>R1301-v1</t>
        </is>
      </c>
      <c r="B591" s="12" t="inlineStr">
        <is>
          <t>Cost &amp; Forecast Control Accounts</t>
        </is>
      </c>
      <c r="C591" s="12" t="inlineStr">
        <is>
          <t>CST-03-059</t>
        </is>
      </c>
      <c r="D591" s="12" t="inlineStr">
        <is>
          <t>1.3.1 Systems - Traction Power</t>
        </is>
      </c>
      <c r="E591" s="12" t="inlineStr">
        <is>
          <t>New</t>
        </is>
      </c>
      <c r="F591" s="12" t="inlineStr"/>
      <c r="G591" s="12" t="inlineStr">
        <is>
          <t>Source assignment -- not individually reviewed</t>
        </is>
      </c>
      <c r="H591" s="17" t="inlineStr">
        <is>
          <t>10 EVIDENCE &amp; DECISIONS</t>
        </is>
      </c>
    </row>
    <row r="592" ht="34" customHeight="1">
      <c r="A592" s="12" t="inlineStr">
        <is>
          <t>R1303-v1</t>
        </is>
      </c>
      <c r="B592" s="12" t="inlineStr">
        <is>
          <t>Cost &amp; Forecast Control Accounts</t>
        </is>
      </c>
      <c r="C592" s="12" t="inlineStr">
        <is>
          <t>CST-03-061</t>
        </is>
      </c>
      <c r="D592" s="12" t="inlineStr">
        <is>
          <t>1.3.1 Systems - Traction Power</t>
        </is>
      </c>
      <c r="E592" s="12" t="inlineStr">
        <is>
          <t>New</t>
        </is>
      </c>
      <c r="F592" s="12" t="inlineStr"/>
      <c r="G592" s="12" t="inlineStr">
        <is>
          <t>Source assignment -- not individually reviewed</t>
        </is>
      </c>
      <c r="H592" s="17" t="inlineStr">
        <is>
          <t>10 EVIDENCE &amp; DECISIONS</t>
        </is>
      </c>
    </row>
    <row r="593" ht="34" customHeight="1">
      <c r="A593" s="12" t="inlineStr">
        <is>
          <t>R1305-v1</t>
        </is>
      </c>
      <c r="B593" s="12" t="inlineStr">
        <is>
          <t>Cost &amp; Forecast Control Accounts</t>
        </is>
      </c>
      <c r="C593" s="12" t="inlineStr">
        <is>
          <t>CST-03-063</t>
        </is>
      </c>
      <c r="D593" s="12" t="inlineStr">
        <is>
          <t>1.3.1 Systems - Traction Power</t>
        </is>
      </c>
      <c r="E593" s="12" t="inlineStr">
        <is>
          <t>New</t>
        </is>
      </c>
      <c r="F593" s="12" t="inlineStr"/>
      <c r="G593" s="12" t="inlineStr">
        <is>
          <t>Source assignment -- not individually reviewed</t>
        </is>
      </c>
      <c r="H593" s="17" t="inlineStr">
        <is>
          <t>10 EVIDENCE &amp; DECISIONS</t>
        </is>
      </c>
    </row>
    <row r="594" ht="34" customHeight="1">
      <c r="A594" s="12" t="inlineStr">
        <is>
          <t>R1307-v1</t>
        </is>
      </c>
      <c r="B594" s="12" t="inlineStr">
        <is>
          <t>Cost &amp; Forecast Control Accounts</t>
        </is>
      </c>
      <c r="C594" s="12" t="inlineStr">
        <is>
          <t>CST-03-065</t>
        </is>
      </c>
      <c r="D594" s="12" t="inlineStr">
        <is>
          <t>1.3.1 Systems - Traction Power</t>
        </is>
      </c>
      <c r="E594" s="12" t="inlineStr">
        <is>
          <t>New</t>
        </is>
      </c>
      <c r="F594" s="12" t="inlineStr"/>
      <c r="G594" s="12" t="inlineStr">
        <is>
          <t>Source assignment -- not individually reviewed</t>
        </is>
      </c>
      <c r="H594" s="17" t="inlineStr">
        <is>
          <t>10 EVIDENCE &amp; DECISIONS</t>
        </is>
      </c>
    </row>
    <row r="595" ht="34" customHeight="1">
      <c r="A595" s="12" t="inlineStr">
        <is>
          <t>R1309-v1</t>
        </is>
      </c>
      <c r="B595" s="12" t="inlineStr">
        <is>
          <t>Cost &amp; Forecast Control Accounts</t>
        </is>
      </c>
      <c r="C595" s="12" t="inlineStr">
        <is>
          <t>CST-03-067</t>
        </is>
      </c>
      <c r="D595" s="12" t="inlineStr">
        <is>
          <t>1.3.1 Systems - Traction Power</t>
        </is>
      </c>
      <c r="E595" s="12" t="inlineStr">
        <is>
          <t>New</t>
        </is>
      </c>
      <c r="F595" s="12" t="inlineStr"/>
      <c r="G595" s="12" t="inlineStr">
        <is>
          <t>Source assignment -- not individually reviewed</t>
        </is>
      </c>
      <c r="H595" s="17" t="inlineStr">
        <is>
          <t>10 EVIDENCE &amp; DECISIONS</t>
        </is>
      </c>
    </row>
    <row r="596" ht="34" customHeight="1">
      <c r="A596" s="12" t="inlineStr">
        <is>
          <t>R1311-v1</t>
        </is>
      </c>
      <c r="B596" s="12" t="inlineStr">
        <is>
          <t>Cost &amp; Forecast Control Accounts</t>
        </is>
      </c>
      <c r="C596" s="12" t="inlineStr">
        <is>
          <t>CST-03-069</t>
        </is>
      </c>
      <c r="D596" s="12" t="inlineStr">
        <is>
          <t>1.3.1 Systems - Traction Power</t>
        </is>
      </c>
      <c r="E596" s="12" t="inlineStr">
        <is>
          <t>New</t>
        </is>
      </c>
      <c r="F596" s="12" t="inlineStr"/>
      <c r="G596" s="12" t="inlineStr">
        <is>
          <t>Source assignment -- not individually reviewed</t>
        </is>
      </c>
      <c r="H596" s="17" t="inlineStr">
        <is>
          <t>10 EVIDENCE &amp; DECISIONS</t>
        </is>
      </c>
    </row>
    <row r="597" ht="34" customHeight="1">
      <c r="A597" s="12" t="inlineStr">
        <is>
          <t>R1313-v1</t>
        </is>
      </c>
      <c r="B597" s="12" t="inlineStr">
        <is>
          <t>Cost &amp; Forecast Control Accounts</t>
        </is>
      </c>
      <c r="C597" s="12" t="inlineStr">
        <is>
          <t>CST-03-071</t>
        </is>
      </c>
      <c r="D597" s="12" t="inlineStr">
        <is>
          <t>1.3.1 Systems - Traction Power</t>
        </is>
      </c>
      <c r="E597" s="12" t="inlineStr">
        <is>
          <t>New</t>
        </is>
      </c>
      <c r="F597" s="12" t="inlineStr"/>
      <c r="G597" s="12" t="inlineStr">
        <is>
          <t>Source assignment -- not individually reviewed</t>
        </is>
      </c>
      <c r="H597" s="17" t="inlineStr">
        <is>
          <t>10 EVIDENCE &amp; DECISIONS</t>
        </is>
      </c>
    </row>
    <row r="598" ht="34" customHeight="1">
      <c r="A598" s="12" t="inlineStr">
        <is>
          <t>R1315-v1</t>
        </is>
      </c>
      <c r="B598" s="12" t="inlineStr">
        <is>
          <t>Cost &amp; Forecast Control Accounts</t>
        </is>
      </c>
      <c r="C598" s="12" t="inlineStr">
        <is>
          <t>CST-03-073</t>
        </is>
      </c>
      <c r="D598" s="12" t="inlineStr">
        <is>
          <t>1.3.1 Systems - Traction Power</t>
        </is>
      </c>
      <c r="E598" s="12" t="inlineStr">
        <is>
          <t>New</t>
        </is>
      </c>
      <c r="F598" s="12" t="inlineStr"/>
      <c r="G598" s="12" t="inlineStr">
        <is>
          <t>Source assignment -- not individually reviewed</t>
        </is>
      </c>
      <c r="H598" s="17" t="inlineStr">
        <is>
          <t>10 EVIDENCE &amp; DECISIONS</t>
        </is>
      </c>
    </row>
    <row r="599" ht="34" customHeight="1">
      <c r="A599" s="12" t="inlineStr">
        <is>
          <t>R1317-v1</t>
        </is>
      </c>
      <c r="B599" s="12" t="inlineStr">
        <is>
          <t>Cost &amp; Forecast Control Accounts</t>
        </is>
      </c>
      <c r="C599" s="12" t="inlineStr">
        <is>
          <t>CST-03-075</t>
        </is>
      </c>
      <c r="D599" s="12" t="inlineStr">
        <is>
          <t>1.3.1 Systems - Traction Power</t>
        </is>
      </c>
      <c r="E599" s="12" t="inlineStr">
        <is>
          <t>New</t>
        </is>
      </c>
      <c r="F599" s="12" t="inlineStr"/>
      <c r="G599" s="12" t="inlineStr">
        <is>
          <t>Source assignment -- not individually reviewed</t>
        </is>
      </c>
      <c r="H599" s="17" t="inlineStr">
        <is>
          <t>10 EVIDENCE &amp; DECISIONS</t>
        </is>
      </c>
    </row>
    <row r="600" ht="34" customHeight="1">
      <c r="A600" s="12" t="inlineStr">
        <is>
          <t>R1319-v1</t>
        </is>
      </c>
      <c r="B600" s="12" t="inlineStr">
        <is>
          <t>Cost &amp; Forecast Control Accounts</t>
        </is>
      </c>
      <c r="C600" s="12" t="inlineStr">
        <is>
          <t>CST-03-077</t>
        </is>
      </c>
      <c r="D600" s="12" t="inlineStr">
        <is>
          <t>1.3.1 Systems - Traction Power</t>
        </is>
      </c>
      <c r="E600" s="12" t="inlineStr">
        <is>
          <t>New</t>
        </is>
      </c>
      <c r="F600" s="12" t="inlineStr"/>
      <c r="G600" s="12" t="inlineStr">
        <is>
          <t>Source assignment -- not individually reviewed</t>
        </is>
      </c>
      <c r="H600" s="17" t="inlineStr">
        <is>
          <t>10 EVIDENCE &amp; DECISIONS</t>
        </is>
      </c>
    </row>
    <row r="601" ht="34" customHeight="1">
      <c r="A601" s="12" t="inlineStr">
        <is>
          <t>R1321-v1</t>
        </is>
      </c>
      <c r="B601" s="12" t="inlineStr">
        <is>
          <t>Cost &amp; Forecast Control Accounts</t>
        </is>
      </c>
      <c r="C601" s="12" t="inlineStr">
        <is>
          <t>CST-03-079</t>
        </is>
      </c>
      <c r="D601" s="12" t="inlineStr">
        <is>
          <t>1.3.1 Systems - Traction Power</t>
        </is>
      </c>
      <c r="E601" s="12" t="inlineStr">
        <is>
          <t>New</t>
        </is>
      </c>
      <c r="F601" s="12" t="inlineStr"/>
      <c r="G601" s="12" t="inlineStr">
        <is>
          <t>Source assignment -- not individually reviewed</t>
        </is>
      </c>
      <c r="H601" s="17" t="inlineStr">
        <is>
          <t>10 EVIDENCE &amp; DECISIONS</t>
        </is>
      </c>
    </row>
    <row r="602" ht="34" customHeight="1">
      <c r="A602" s="12" t="inlineStr">
        <is>
          <t>R361-v1</t>
        </is>
      </c>
      <c r="B602" s="12" t="inlineStr">
        <is>
          <t>Contractor Programme</t>
        </is>
      </c>
      <c r="C602" s="12" t="inlineStr">
        <is>
          <t>SCH-03-001</t>
        </is>
      </c>
      <c r="D602" s="12" t="inlineStr">
        <is>
          <t>1.3.1 Systems - Traction Power</t>
        </is>
      </c>
      <c r="E602" s="12" t="inlineStr">
        <is>
          <t>New</t>
        </is>
      </c>
      <c r="F602" s="12" t="inlineStr"/>
      <c r="G602" s="12" t="inlineStr">
        <is>
          <t>Source assignment -- not individually reviewed</t>
        </is>
      </c>
      <c r="H602" s="17" t="inlineStr">
        <is>
          <t>10 EVIDENCE &amp; DECISIONS</t>
        </is>
      </c>
    </row>
    <row r="603" ht="34" customHeight="1">
      <c r="A603" s="12" t="inlineStr">
        <is>
          <t>R362-v1</t>
        </is>
      </c>
      <c r="B603" s="12" t="inlineStr">
        <is>
          <t>Contractor Programme</t>
        </is>
      </c>
      <c r="C603" s="12" t="inlineStr">
        <is>
          <t>SCH-03-002</t>
        </is>
      </c>
      <c r="D603" s="12" t="inlineStr">
        <is>
          <t>1.3.1 Systems - Traction Power</t>
        </is>
      </c>
      <c r="E603" s="12" t="inlineStr">
        <is>
          <t>New</t>
        </is>
      </c>
      <c r="F603" s="12" t="inlineStr"/>
      <c r="G603" s="12" t="inlineStr">
        <is>
          <t>Source assignment -- not individually reviewed</t>
        </is>
      </c>
      <c r="H603" s="17" t="inlineStr">
        <is>
          <t>10 EVIDENCE &amp; DECISIONS</t>
        </is>
      </c>
    </row>
    <row r="604" ht="34" customHeight="1">
      <c r="A604" s="12" t="inlineStr">
        <is>
          <t>R364-v1</t>
        </is>
      </c>
      <c r="B604" s="12" t="inlineStr">
        <is>
          <t>Contractor Programme</t>
        </is>
      </c>
      <c r="C604" s="12" t="inlineStr">
        <is>
          <t>SCH-03-004</t>
        </is>
      </c>
      <c r="D604" s="12" t="inlineStr">
        <is>
          <t>1.3.1 Systems - Traction Power</t>
        </is>
      </c>
      <c r="E604" s="12" t="inlineStr">
        <is>
          <t>New</t>
        </is>
      </c>
      <c r="F604" s="12" t="inlineStr"/>
      <c r="G604" s="12" t="inlineStr">
        <is>
          <t>Source assignment -- not individually reviewed</t>
        </is>
      </c>
      <c r="H604" s="17" t="inlineStr">
        <is>
          <t>10 EVIDENCE &amp; DECISIONS</t>
        </is>
      </c>
    </row>
    <row r="605" ht="34" customHeight="1">
      <c r="A605" s="12" t="inlineStr">
        <is>
          <t>R365-v1</t>
        </is>
      </c>
      <c r="B605" s="12" t="inlineStr">
        <is>
          <t>Contractor Programme</t>
        </is>
      </c>
      <c r="C605" s="12" t="inlineStr">
        <is>
          <t>SCH-03-005</t>
        </is>
      </c>
      <c r="D605" s="12" t="inlineStr">
        <is>
          <t>1.3.1 Systems - Traction Power</t>
        </is>
      </c>
      <c r="E605" s="12" t="inlineStr">
        <is>
          <t>New</t>
        </is>
      </c>
      <c r="F605" s="12" t="inlineStr"/>
      <c r="G605" s="12" t="inlineStr">
        <is>
          <t>Source assignment -- not individually reviewed</t>
        </is>
      </c>
      <c r="H605" s="17" t="inlineStr">
        <is>
          <t>10 EVIDENCE &amp; DECISIONS</t>
        </is>
      </c>
    </row>
    <row r="606" ht="34" customHeight="1">
      <c r="A606" s="12" t="inlineStr">
        <is>
          <t>R367-v1</t>
        </is>
      </c>
      <c r="B606" s="12" t="inlineStr">
        <is>
          <t>Contractor Programme</t>
        </is>
      </c>
      <c r="C606" s="12" t="inlineStr">
        <is>
          <t>SCH-03-007</t>
        </is>
      </c>
      <c r="D606" s="12" t="inlineStr">
        <is>
          <t>1.3.1 Systems - Traction Power</t>
        </is>
      </c>
      <c r="E606" s="12" t="inlineStr">
        <is>
          <t>New</t>
        </is>
      </c>
      <c r="F606" s="12" t="inlineStr"/>
      <c r="G606" s="12" t="inlineStr">
        <is>
          <t>Source assignment -- not individually reviewed</t>
        </is>
      </c>
      <c r="H606" s="17" t="inlineStr">
        <is>
          <t>10 EVIDENCE &amp; DECISIONS</t>
        </is>
      </c>
    </row>
    <row r="607" ht="34" customHeight="1">
      <c r="A607" s="12" t="inlineStr">
        <is>
          <t>R368-v1</t>
        </is>
      </c>
      <c r="B607" s="12" t="inlineStr">
        <is>
          <t>Contractor Programme</t>
        </is>
      </c>
      <c r="C607" s="12" t="inlineStr">
        <is>
          <t>SCH-03-008</t>
        </is>
      </c>
      <c r="D607" s="12" t="inlineStr">
        <is>
          <t>1.3.1 Systems - Traction Power</t>
        </is>
      </c>
      <c r="E607" s="12" t="inlineStr">
        <is>
          <t>New</t>
        </is>
      </c>
      <c r="F607" s="12" t="inlineStr"/>
      <c r="G607" s="12" t="inlineStr">
        <is>
          <t>Source assignment -- not individually reviewed</t>
        </is>
      </c>
      <c r="H607" s="17" t="inlineStr">
        <is>
          <t>10 EVIDENCE &amp; DECISIONS</t>
        </is>
      </c>
    </row>
    <row r="608" ht="34" customHeight="1">
      <c r="A608" s="12" t="inlineStr">
        <is>
          <t>R370-v1</t>
        </is>
      </c>
      <c r="B608" s="12" t="inlineStr">
        <is>
          <t>Contractor Programme</t>
        </is>
      </c>
      <c r="C608" s="12" t="inlineStr">
        <is>
          <t>SCH-03-010</t>
        </is>
      </c>
      <c r="D608" s="12" t="inlineStr">
        <is>
          <t>1.3.1 Systems - Traction Power</t>
        </is>
      </c>
      <c r="E608" s="12" t="inlineStr">
        <is>
          <t>New</t>
        </is>
      </c>
      <c r="F608" s="12" t="inlineStr"/>
      <c r="G608" s="12" t="inlineStr">
        <is>
          <t>Source assignment -- not individually reviewed</t>
        </is>
      </c>
      <c r="H608" s="17" t="inlineStr">
        <is>
          <t>10 EVIDENCE &amp; DECISIONS</t>
        </is>
      </c>
    </row>
    <row r="609" ht="34" customHeight="1">
      <c r="A609" s="12" t="inlineStr">
        <is>
          <t>R371-v1</t>
        </is>
      </c>
      <c r="B609" s="12" t="inlineStr">
        <is>
          <t>Contractor Programme</t>
        </is>
      </c>
      <c r="C609" s="12" t="inlineStr">
        <is>
          <t>SCH-03-011</t>
        </is>
      </c>
      <c r="D609" s="12" t="inlineStr">
        <is>
          <t>1.3.1 Systems - Traction Power</t>
        </is>
      </c>
      <c r="E609" s="12" t="inlineStr">
        <is>
          <t>New</t>
        </is>
      </c>
      <c r="F609" s="12" t="inlineStr"/>
      <c r="G609" s="12" t="inlineStr">
        <is>
          <t>Source assignment -- not individually reviewed</t>
        </is>
      </c>
      <c r="H609" s="17" t="inlineStr">
        <is>
          <t>10 EVIDENCE &amp; DECISIONS</t>
        </is>
      </c>
    </row>
    <row r="610" ht="34" customHeight="1">
      <c r="A610" s="12" t="inlineStr">
        <is>
          <t>R373-v1</t>
        </is>
      </c>
      <c r="B610" s="12" t="inlineStr">
        <is>
          <t>Contractor Programme</t>
        </is>
      </c>
      <c r="C610" s="12" t="inlineStr">
        <is>
          <t>SCH-03-013</t>
        </is>
      </c>
      <c r="D610" s="12" t="inlineStr">
        <is>
          <t>1.3.1 Systems - Traction Power</t>
        </is>
      </c>
      <c r="E610" s="12" t="inlineStr">
        <is>
          <t>New</t>
        </is>
      </c>
      <c r="F610" s="12" t="inlineStr"/>
      <c r="G610" s="12" t="inlineStr">
        <is>
          <t>Source assignment -- not individually reviewed</t>
        </is>
      </c>
      <c r="H610" s="17" t="inlineStr">
        <is>
          <t>10 EVIDENCE &amp; DECISIONS</t>
        </is>
      </c>
    </row>
    <row r="611" ht="34" customHeight="1">
      <c r="A611" s="12" t="inlineStr">
        <is>
          <t>R374-v1</t>
        </is>
      </c>
      <c r="B611" s="12" t="inlineStr">
        <is>
          <t>Contractor Programme</t>
        </is>
      </c>
      <c r="C611" s="12" t="inlineStr">
        <is>
          <t>SCH-03-014</t>
        </is>
      </c>
      <c r="D611" s="12" t="inlineStr">
        <is>
          <t>1.3.1 Systems - Traction Power</t>
        </is>
      </c>
      <c r="E611" s="12" t="inlineStr">
        <is>
          <t>New</t>
        </is>
      </c>
      <c r="F611" s="12" t="inlineStr"/>
      <c r="G611" s="12" t="inlineStr">
        <is>
          <t>Source assignment -- not individually reviewed</t>
        </is>
      </c>
      <c r="H611" s="17" t="inlineStr">
        <is>
          <t>10 EVIDENCE &amp; DECISIONS</t>
        </is>
      </c>
    </row>
    <row r="612" ht="34" customHeight="1">
      <c r="A612" s="12" t="inlineStr">
        <is>
          <t>R376-v1</t>
        </is>
      </c>
      <c r="B612" s="12" t="inlineStr">
        <is>
          <t>Contractor Programme</t>
        </is>
      </c>
      <c r="C612" s="12" t="inlineStr">
        <is>
          <t>SCH-03-016</t>
        </is>
      </c>
      <c r="D612" s="12" t="inlineStr">
        <is>
          <t>1.3.1 Systems - Traction Power</t>
        </is>
      </c>
      <c r="E612" s="12" t="inlineStr">
        <is>
          <t>New</t>
        </is>
      </c>
      <c r="F612" s="12" t="inlineStr"/>
      <c r="G612" s="12" t="inlineStr">
        <is>
          <t>Source assignment -- not individually reviewed</t>
        </is>
      </c>
      <c r="H612" s="17" t="inlineStr">
        <is>
          <t>10 EVIDENCE &amp; DECISIONS</t>
        </is>
      </c>
    </row>
    <row r="613" ht="34" customHeight="1">
      <c r="A613" s="12" t="inlineStr">
        <is>
          <t>R377-v1</t>
        </is>
      </c>
      <c r="B613" s="12" t="inlineStr">
        <is>
          <t>Contractor Programme</t>
        </is>
      </c>
      <c r="C613" s="12" t="inlineStr">
        <is>
          <t>SCH-03-017</t>
        </is>
      </c>
      <c r="D613" s="12" t="inlineStr">
        <is>
          <t>1.3.1 Systems - Traction Power</t>
        </is>
      </c>
      <c r="E613" s="12" t="inlineStr">
        <is>
          <t>New</t>
        </is>
      </c>
      <c r="F613" s="12" t="inlineStr"/>
      <c r="G613" s="12" t="inlineStr">
        <is>
          <t>Source assignment -- not individually reviewed</t>
        </is>
      </c>
      <c r="H613" s="17" t="inlineStr">
        <is>
          <t>10 EVIDENCE &amp; DECISIONS</t>
        </is>
      </c>
    </row>
    <row r="614" ht="34" customHeight="1">
      <c r="A614" s="12" t="inlineStr">
        <is>
          <t>R379-v1</t>
        </is>
      </c>
      <c r="B614" s="12" t="inlineStr">
        <is>
          <t>Contractor Programme</t>
        </is>
      </c>
      <c r="C614" s="12" t="inlineStr">
        <is>
          <t>SCH-03-019</t>
        </is>
      </c>
      <c r="D614" s="12" t="inlineStr">
        <is>
          <t>1.3.1 Systems - Traction Power</t>
        </is>
      </c>
      <c r="E614" s="12" t="inlineStr">
        <is>
          <t>New</t>
        </is>
      </c>
      <c r="F614" s="12" t="inlineStr"/>
      <c r="G614" s="12" t="inlineStr">
        <is>
          <t>Source assignment -- not individually reviewed</t>
        </is>
      </c>
      <c r="H614" s="17" t="inlineStr">
        <is>
          <t>10 EVIDENCE &amp; DECISIONS</t>
        </is>
      </c>
    </row>
    <row r="615" ht="34" customHeight="1">
      <c r="A615" s="12" t="inlineStr">
        <is>
          <t>R380-v1</t>
        </is>
      </c>
      <c r="B615" s="12" t="inlineStr">
        <is>
          <t>Contractor Programme</t>
        </is>
      </c>
      <c r="C615" s="12" t="inlineStr">
        <is>
          <t>SCH-03-020</t>
        </is>
      </c>
      <c r="D615" s="12" t="inlineStr">
        <is>
          <t>1.3.1 Systems - Traction Power</t>
        </is>
      </c>
      <c r="E615" s="12" t="inlineStr">
        <is>
          <t>New</t>
        </is>
      </c>
      <c r="F615" s="12" t="inlineStr"/>
      <c r="G615" s="12" t="inlineStr">
        <is>
          <t>Source assignment -- not individually reviewed</t>
        </is>
      </c>
      <c r="H615" s="17" t="inlineStr">
        <is>
          <t>10 EVIDENCE &amp; DECISIONS</t>
        </is>
      </c>
    </row>
    <row r="616" ht="34" customHeight="1">
      <c r="A616" s="12" t="inlineStr">
        <is>
          <t>R382-v1</t>
        </is>
      </c>
      <c r="B616" s="12" t="inlineStr">
        <is>
          <t>Contractor Programme</t>
        </is>
      </c>
      <c r="C616" s="12" t="inlineStr">
        <is>
          <t>SCH-03-022</t>
        </is>
      </c>
      <c r="D616" s="12" t="inlineStr">
        <is>
          <t>1.3.1 Systems - Traction Power</t>
        </is>
      </c>
      <c r="E616" s="12" t="inlineStr">
        <is>
          <t>New</t>
        </is>
      </c>
      <c r="F616" s="12" t="inlineStr"/>
      <c r="G616" s="12" t="inlineStr">
        <is>
          <t>Source assignment -- not individually reviewed</t>
        </is>
      </c>
      <c r="H616" s="17" t="inlineStr">
        <is>
          <t>10 EVIDENCE &amp; DECISIONS</t>
        </is>
      </c>
    </row>
    <row r="617" ht="34" customHeight="1">
      <c r="A617" s="12" t="inlineStr">
        <is>
          <t>R383-v1</t>
        </is>
      </c>
      <c r="B617" s="12" t="inlineStr">
        <is>
          <t>Contractor Programme</t>
        </is>
      </c>
      <c r="C617" s="12" t="inlineStr">
        <is>
          <t>SCH-03-023</t>
        </is>
      </c>
      <c r="D617" s="12" t="inlineStr">
        <is>
          <t>1.3.1 Systems - Traction Power</t>
        </is>
      </c>
      <c r="E617" s="12" t="inlineStr">
        <is>
          <t>New</t>
        </is>
      </c>
      <c r="F617" s="12" t="inlineStr"/>
      <c r="G617" s="12" t="inlineStr">
        <is>
          <t>Source assignment -- not individually reviewed</t>
        </is>
      </c>
      <c r="H617" s="17" t="inlineStr">
        <is>
          <t>10 EVIDENCE &amp; DECISIONS</t>
        </is>
      </c>
    </row>
    <row r="618" ht="34" customHeight="1">
      <c r="A618" s="12" t="inlineStr">
        <is>
          <t>R385-v1</t>
        </is>
      </c>
      <c r="B618" s="12" t="inlineStr">
        <is>
          <t>Contractor Programme</t>
        </is>
      </c>
      <c r="C618" s="12" t="inlineStr">
        <is>
          <t>SCH-03-025</t>
        </is>
      </c>
      <c r="D618" s="12" t="inlineStr">
        <is>
          <t>1.3.1 Systems - Traction Power</t>
        </is>
      </c>
      <c r="E618" s="12" t="inlineStr">
        <is>
          <t>New</t>
        </is>
      </c>
      <c r="F618" s="12" t="inlineStr"/>
      <c r="G618" s="12" t="inlineStr">
        <is>
          <t>Source assignment -- not individually reviewed</t>
        </is>
      </c>
      <c r="H618" s="17" t="inlineStr">
        <is>
          <t>10 EVIDENCE &amp; DECISIONS</t>
        </is>
      </c>
    </row>
    <row r="619" ht="34" customHeight="1">
      <c r="A619" s="12" t="inlineStr">
        <is>
          <t>R386-v1</t>
        </is>
      </c>
      <c r="B619" s="12" t="inlineStr">
        <is>
          <t>Contractor Programme</t>
        </is>
      </c>
      <c r="C619" s="12" t="inlineStr">
        <is>
          <t>SCH-03-026</t>
        </is>
      </c>
      <c r="D619" s="12" t="inlineStr">
        <is>
          <t>1.3.1 Systems - Traction Power</t>
        </is>
      </c>
      <c r="E619" s="12" t="inlineStr">
        <is>
          <t>New</t>
        </is>
      </c>
      <c r="F619" s="12" t="inlineStr"/>
      <c r="G619" s="12" t="inlineStr">
        <is>
          <t>Source assignment -- not individually reviewed</t>
        </is>
      </c>
      <c r="H619" s="17" t="inlineStr">
        <is>
          <t>10 EVIDENCE &amp; DECISIONS</t>
        </is>
      </c>
    </row>
    <row r="620" ht="34" customHeight="1">
      <c r="A620" s="12" t="inlineStr">
        <is>
          <t>R388-v1</t>
        </is>
      </c>
      <c r="B620" s="12" t="inlineStr">
        <is>
          <t>Contractor Programme</t>
        </is>
      </c>
      <c r="C620" s="12" t="inlineStr">
        <is>
          <t>SCH-03-028</t>
        </is>
      </c>
      <c r="D620" s="12" t="inlineStr">
        <is>
          <t>1.3.1 Systems - Traction Power</t>
        </is>
      </c>
      <c r="E620" s="12" t="inlineStr">
        <is>
          <t>New</t>
        </is>
      </c>
      <c r="F620" s="12" t="inlineStr"/>
      <c r="G620" s="12" t="inlineStr">
        <is>
          <t>Source assignment -- not individually reviewed</t>
        </is>
      </c>
      <c r="H620" s="17" t="inlineStr">
        <is>
          <t>10 EVIDENCE &amp; DECISIONS</t>
        </is>
      </c>
    </row>
    <row r="621" ht="34" customHeight="1">
      <c r="A621" s="12" t="inlineStr">
        <is>
          <t>R389-v1</t>
        </is>
      </c>
      <c r="B621" s="12" t="inlineStr">
        <is>
          <t>Contractor Programme</t>
        </is>
      </c>
      <c r="C621" s="12" t="inlineStr">
        <is>
          <t>SCH-03-029</t>
        </is>
      </c>
      <c r="D621" s="12" t="inlineStr">
        <is>
          <t>1.3.1 Systems - Traction Power</t>
        </is>
      </c>
      <c r="E621" s="12" t="inlineStr">
        <is>
          <t>New</t>
        </is>
      </c>
      <c r="F621" s="12" t="inlineStr"/>
      <c r="G621" s="12" t="inlineStr">
        <is>
          <t>Source assignment -- not individually reviewed</t>
        </is>
      </c>
      <c r="H621" s="17" t="inlineStr">
        <is>
          <t>10 EVIDENCE &amp; DECISIONS</t>
        </is>
      </c>
    </row>
    <row r="622" ht="34" customHeight="1">
      <c r="A622" s="12" t="inlineStr">
        <is>
          <t>R391-v1</t>
        </is>
      </c>
      <c r="B622" s="12" t="inlineStr">
        <is>
          <t>Contractor Programme</t>
        </is>
      </c>
      <c r="C622" s="12" t="inlineStr">
        <is>
          <t>SCH-03-031</t>
        </is>
      </c>
      <c r="D622" s="12" t="inlineStr">
        <is>
          <t>1.3.1 Systems - Traction Power</t>
        </is>
      </c>
      <c r="E622" s="12" t="inlineStr">
        <is>
          <t>New</t>
        </is>
      </c>
      <c r="F622" s="12" t="inlineStr"/>
      <c r="G622" s="12" t="inlineStr">
        <is>
          <t>Source assignment -- not individually reviewed</t>
        </is>
      </c>
      <c r="H622" s="17" t="inlineStr">
        <is>
          <t>10 EVIDENCE &amp; DECISIONS</t>
        </is>
      </c>
    </row>
    <row r="623" ht="34" customHeight="1">
      <c r="A623" s="12" t="inlineStr">
        <is>
          <t>R392-v1</t>
        </is>
      </c>
      <c r="B623" s="12" t="inlineStr">
        <is>
          <t>Contractor Programme</t>
        </is>
      </c>
      <c r="C623" s="12" t="inlineStr">
        <is>
          <t>SCH-03-032</t>
        </is>
      </c>
      <c r="D623" s="12" t="inlineStr">
        <is>
          <t>1.3.1 Systems - Traction Power</t>
        </is>
      </c>
      <c r="E623" s="12" t="inlineStr">
        <is>
          <t>New</t>
        </is>
      </c>
      <c r="F623" s="12" t="inlineStr"/>
      <c r="G623" s="12" t="inlineStr">
        <is>
          <t>Source assignment -- not individually reviewed</t>
        </is>
      </c>
      <c r="H623" s="17" t="inlineStr">
        <is>
          <t>10 EVIDENCE &amp; DECISIONS</t>
        </is>
      </c>
    </row>
    <row r="624" ht="34" customHeight="1">
      <c r="A624" s="12" t="inlineStr">
        <is>
          <t>R394-v1</t>
        </is>
      </c>
      <c r="B624" s="12" t="inlineStr">
        <is>
          <t>Contractor Programme</t>
        </is>
      </c>
      <c r="C624" s="12" t="inlineStr">
        <is>
          <t>SCH-03-034</t>
        </is>
      </c>
      <c r="D624" s="12" t="inlineStr">
        <is>
          <t>1.3.1 Systems - Traction Power</t>
        </is>
      </c>
      <c r="E624" s="12" t="inlineStr">
        <is>
          <t>New</t>
        </is>
      </c>
      <c r="F624" s="12" t="inlineStr"/>
      <c r="G624" s="12" t="inlineStr">
        <is>
          <t>Source assignment -- not individually reviewed</t>
        </is>
      </c>
      <c r="H624" s="17" t="inlineStr">
        <is>
          <t>10 EVIDENCE &amp; DECISIONS</t>
        </is>
      </c>
    </row>
    <row r="625" ht="34" customHeight="1">
      <c r="A625" s="12" t="inlineStr">
        <is>
          <t>R395-v1</t>
        </is>
      </c>
      <c r="B625" s="12" t="inlineStr">
        <is>
          <t>Contractor Programme</t>
        </is>
      </c>
      <c r="C625" s="12" t="inlineStr">
        <is>
          <t>SCH-03-035</t>
        </is>
      </c>
      <c r="D625" s="12" t="inlineStr">
        <is>
          <t>1.3.1 Systems - Traction Power</t>
        </is>
      </c>
      <c r="E625" s="12" t="inlineStr">
        <is>
          <t>New</t>
        </is>
      </c>
      <c r="F625" s="12" t="inlineStr"/>
      <c r="G625" s="12" t="inlineStr">
        <is>
          <t>Source assignment -- not individually reviewed</t>
        </is>
      </c>
      <c r="H625" s="17" t="inlineStr">
        <is>
          <t>10 EVIDENCE &amp; DECISIONS</t>
        </is>
      </c>
    </row>
    <row r="626" ht="34" customHeight="1">
      <c r="A626" s="12" t="inlineStr">
        <is>
          <t>R397-v1</t>
        </is>
      </c>
      <c r="B626" s="12" t="inlineStr">
        <is>
          <t>Contractor Programme</t>
        </is>
      </c>
      <c r="C626" s="12" t="inlineStr">
        <is>
          <t>SCH-03-037</t>
        </is>
      </c>
      <c r="D626" s="12" t="inlineStr">
        <is>
          <t>1.3.1 Systems - Traction Power</t>
        </is>
      </c>
      <c r="E626" s="12" t="inlineStr">
        <is>
          <t>New</t>
        </is>
      </c>
      <c r="F626" s="12" t="inlineStr"/>
      <c r="G626" s="12" t="inlineStr">
        <is>
          <t>Source assignment -- not individually reviewed</t>
        </is>
      </c>
      <c r="H626" s="17" t="inlineStr">
        <is>
          <t>10 EVIDENCE &amp; DECISIONS</t>
        </is>
      </c>
    </row>
    <row r="627" ht="34" customHeight="1">
      <c r="A627" s="12" t="inlineStr">
        <is>
          <t>R398-v1</t>
        </is>
      </c>
      <c r="B627" s="12" t="inlineStr">
        <is>
          <t>Contractor Programme</t>
        </is>
      </c>
      <c r="C627" s="12" t="inlineStr">
        <is>
          <t>SCH-03-038</t>
        </is>
      </c>
      <c r="D627" s="12" t="inlineStr">
        <is>
          <t>1.3.1 Systems - Traction Power</t>
        </is>
      </c>
      <c r="E627" s="12" t="inlineStr">
        <is>
          <t>New</t>
        </is>
      </c>
      <c r="F627" s="12" t="inlineStr"/>
      <c r="G627" s="12" t="inlineStr">
        <is>
          <t>Source assignment -- not individually reviewed</t>
        </is>
      </c>
      <c r="H627" s="17" t="inlineStr">
        <is>
          <t>10 EVIDENCE &amp; DECISIONS</t>
        </is>
      </c>
    </row>
    <row r="628" ht="34" customHeight="1">
      <c r="A628" s="12" t="inlineStr">
        <is>
          <t>R400-v1</t>
        </is>
      </c>
      <c r="B628" s="12" t="inlineStr">
        <is>
          <t>Contractor Programme</t>
        </is>
      </c>
      <c r="C628" s="12" t="inlineStr">
        <is>
          <t>SCH-03-040</t>
        </is>
      </c>
      <c r="D628" s="12" t="inlineStr">
        <is>
          <t>1.3.1 Systems - Traction Power</t>
        </is>
      </c>
      <c r="E628" s="12" t="inlineStr">
        <is>
          <t>New</t>
        </is>
      </c>
      <c r="F628" s="12" t="inlineStr"/>
      <c r="G628" s="12" t="inlineStr">
        <is>
          <t>Source assignment -- not individually reviewed</t>
        </is>
      </c>
      <c r="H628" s="17" t="inlineStr">
        <is>
          <t>10 EVIDENCE &amp; DECISIONS</t>
        </is>
      </c>
    </row>
    <row r="629" ht="34" customHeight="1">
      <c r="A629" s="12" t="inlineStr">
        <is>
          <t>R401-v1</t>
        </is>
      </c>
      <c r="B629" s="12" t="inlineStr">
        <is>
          <t>Contractor Programme</t>
        </is>
      </c>
      <c r="C629" s="12" t="inlineStr">
        <is>
          <t>SCH-03-041</t>
        </is>
      </c>
      <c r="D629" s="12" t="inlineStr">
        <is>
          <t>1.3.1 Systems - Traction Power</t>
        </is>
      </c>
      <c r="E629" s="12" t="inlineStr">
        <is>
          <t>New</t>
        </is>
      </c>
      <c r="F629" s="12" t="inlineStr"/>
      <c r="G629" s="12" t="inlineStr">
        <is>
          <t>Source assignment -- not individually reviewed</t>
        </is>
      </c>
      <c r="H629" s="17" t="inlineStr">
        <is>
          <t>10 EVIDENCE &amp; DECISIONS</t>
        </is>
      </c>
    </row>
    <row r="630" ht="34" customHeight="1">
      <c r="A630" s="12" t="inlineStr">
        <is>
          <t>R403-v1</t>
        </is>
      </c>
      <c r="B630" s="12" t="inlineStr">
        <is>
          <t>Contractor Programme</t>
        </is>
      </c>
      <c r="C630" s="12" t="inlineStr">
        <is>
          <t>SCH-03-043</t>
        </is>
      </c>
      <c r="D630" s="12" t="inlineStr">
        <is>
          <t>1.3.1 Systems - Traction Power</t>
        </is>
      </c>
      <c r="E630" s="12" t="inlineStr">
        <is>
          <t>New</t>
        </is>
      </c>
      <c r="F630" s="12" t="inlineStr"/>
      <c r="G630" s="12" t="inlineStr">
        <is>
          <t>Source assignment -- not individually reviewed</t>
        </is>
      </c>
      <c r="H630" s="17" t="inlineStr">
        <is>
          <t>10 EVIDENCE &amp; DECISIONS</t>
        </is>
      </c>
    </row>
    <row r="631" ht="34" customHeight="1">
      <c r="A631" s="12" t="inlineStr">
        <is>
          <t>R404-v1</t>
        </is>
      </c>
      <c r="B631" s="12" t="inlineStr">
        <is>
          <t>Contractor Programme</t>
        </is>
      </c>
      <c r="C631" s="12" t="inlineStr">
        <is>
          <t>SCH-03-044</t>
        </is>
      </c>
      <c r="D631" s="12" t="inlineStr">
        <is>
          <t>1.3.1 Systems - Traction Power</t>
        </is>
      </c>
      <c r="E631" s="12" t="inlineStr">
        <is>
          <t>New</t>
        </is>
      </c>
      <c r="F631" s="12" t="inlineStr"/>
      <c r="G631" s="12" t="inlineStr">
        <is>
          <t>Source assignment -- not individually reviewed</t>
        </is>
      </c>
      <c r="H631" s="17" t="inlineStr">
        <is>
          <t>10 EVIDENCE &amp; DECISIONS</t>
        </is>
      </c>
    </row>
    <row r="632" ht="34" customHeight="1">
      <c r="A632" s="12" t="inlineStr">
        <is>
          <t>R406-v1</t>
        </is>
      </c>
      <c r="B632" s="12" t="inlineStr">
        <is>
          <t>Contractor Programme</t>
        </is>
      </c>
      <c r="C632" s="12" t="inlineStr">
        <is>
          <t>SCH-03-046</t>
        </is>
      </c>
      <c r="D632" s="12" t="inlineStr">
        <is>
          <t>1.3.1 Systems - Traction Power</t>
        </is>
      </c>
      <c r="E632" s="12" t="inlineStr">
        <is>
          <t>New</t>
        </is>
      </c>
      <c r="F632" s="12" t="inlineStr"/>
      <c r="G632" s="12" t="inlineStr">
        <is>
          <t>Source assignment -- not individually reviewed</t>
        </is>
      </c>
      <c r="H632" s="17" t="inlineStr">
        <is>
          <t>10 EVIDENCE &amp; DECISIONS</t>
        </is>
      </c>
    </row>
    <row r="633" ht="34" customHeight="1">
      <c r="A633" s="12" t="inlineStr">
        <is>
          <t>R407-v1</t>
        </is>
      </c>
      <c r="B633" s="12" t="inlineStr">
        <is>
          <t>Contractor Programme</t>
        </is>
      </c>
      <c r="C633" s="12" t="inlineStr">
        <is>
          <t>SCH-03-047</t>
        </is>
      </c>
      <c r="D633" s="12" t="inlineStr">
        <is>
          <t>1.3.1 Systems - Traction Power</t>
        </is>
      </c>
      <c r="E633" s="12" t="inlineStr">
        <is>
          <t>New</t>
        </is>
      </c>
      <c r="F633" s="12" t="inlineStr"/>
      <c r="G633" s="12" t="inlineStr">
        <is>
          <t>Source assignment -- not individually reviewed</t>
        </is>
      </c>
      <c r="H633" s="17" t="inlineStr">
        <is>
          <t>10 EVIDENCE &amp; DECISIONS</t>
        </is>
      </c>
    </row>
    <row r="634" ht="34" customHeight="1">
      <c r="A634" s="12" t="inlineStr">
        <is>
          <t>R409-v1</t>
        </is>
      </c>
      <c r="B634" s="12" t="inlineStr">
        <is>
          <t>Contractor Programme</t>
        </is>
      </c>
      <c r="C634" s="12" t="inlineStr">
        <is>
          <t>SCH-03-049</t>
        </is>
      </c>
      <c r="D634" s="12" t="inlineStr">
        <is>
          <t>1.3.1 Systems - Traction Power</t>
        </is>
      </c>
      <c r="E634" s="12" t="inlineStr">
        <is>
          <t>New</t>
        </is>
      </c>
      <c r="F634" s="12" t="inlineStr"/>
      <c r="G634" s="12" t="inlineStr">
        <is>
          <t>Source assignment -- not individually reviewed</t>
        </is>
      </c>
      <c r="H634" s="17" t="inlineStr">
        <is>
          <t>10 EVIDENCE &amp; DECISIONS</t>
        </is>
      </c>
    </row>
    <row r="635" ht="34" customHeight="1">
      <c r="A635" s="12" t="inlineStr">
        <is>
          <t>R410-v1</t>
        </is>
      </c>
      <c r="B635" s="12" t="inlineStr">
        <is>
          <t>Contractor Programme</t>
        </is>
      </c>
      <c r="C635" s="12" t="inlineStr">
        <is>
          <t>SCH-03-050</t>
        </is>
      </c>
      <c r="D635" s="12" t="inlineStr">
        <is>
          <t>1.3.1 Systems - Traction Power</t>
        </is>
      </c>
      <c r="E635" s="12" t="inlineStr">
        <is>
          <t>New</t>
        </is>
      </c>
      <c r="F635" s="12" t="inlineStr"/>
      <c r="G635" s="12" t="inlineStr">
        <is>
          <t>Source assignment -- not individually reviewed</t>
        </is>
      </c>
      <c r="H635" s="17" t="inlineStr">
        <is>
          <t>10 EVIDENCE &amp; DECISIONS</t>
        </is>
      </c>
    </row>
    <row r="636" ht="34" customHeight="1">
      <c r="A636" s="12" t="inlineStr">
        <is>
          <t>R412-v1</t>
        </is>
      </c>
      <c r="B636" s="12" t="inlineStr">
        <is>
          <t>Contractor Programme</t>
        </is>
      </c>
      <c r="C636" s="12" t="inlineStr">
        <is>
          <t>SCH-03-052</t>
        </is>
      </c>
      <c r="D636" s="12" t="inlineStr">
        <is>
          <t>1.3.1 Systems - Traction Power</t>
        </is>
      </c>
      <c r="E636" s="12" t="inlineStr">
        <is>
          <t>New</t>
        </is>
      </c>
      <c r="F636" s="12" t="inlineStr"/>
      <c r="G636" s="12" t="inlineStr">
        <is>
          <t>Source assignment -- not individually reviewed</t>
        </is>
      </c>
      <c r="H636" s="17" t="inlineStr">
        <is>
          <t>10 EVIDENCE &amp; DECISIONS</t>
        </is>
      </c>
    </row>
    <row r="637" ht="34" customHeight="1">
      <c r="A637" s="12" t="inlineStr">
        <is>
          <t>R413-v1</t>
        </is>
      </c>
      <c r="B637" s="12" t="inlineStr">
        <is>
          <t>Contractor Programme</t>
        </is>
      </c>
      <c r="C637" s="12" t="inlineStr">
        <is>
          <t>SCH-03-053</t>
        </is>
      </c>
      <c r="D637" s="12" t="inlineStr">
        <is>
          <t>1.3.1 Systems - Traction Power</t>
        </is>
      </c>
      <c r="E637" s="12" t="inlineStr">
        <is>
          <t>New</t>
        </is>
      </c>
      <c r="F637" s="12" t="inlineStr"/>
      <c r="G637" s="12" t="inlineStr">
        <is>
          <t>Source assignment -- not individually reviewed</t>
        </is>
      </c>
      <c r="H637" s="17" t="inlineStr">
        <is>
          <t>10 EVIDENCE &amp; DECISIONS</t>
        </is>
      </c>
    </row>
    <row r="638" ht="34" customHeight="1">
      <c r="A638" s="12" t="inlineStr">
        <is>
          <t>R415-v1</t>
        </is>
      </c>
      <c r="B638" s="12" t="inlineStr">
        <is>
          <t>Contractor Programme</t>
        </is>
      </c>
      <c r="C638" s="12" t="inlineStr">
        <is>
          <t>SCH-03-055</t>
        </is>
      </c>
      <c r="D638" s="12" t="inlineStr">
        <is>
          <t>1.3.1 Systems - Traction Power</t>
        </is>
      </c>
      <c r="E638" s="12" t="inlineStr">
        <is>
          <t>New</t>
        </is>
      </c>
      <c r="F638" s="12" t="inlineStr"/>
      <c r="G638" s="12" t="inlineStr">
        <is>
          <t>Source assignment -- not individually reviewed</t>
        </is>
      </c>
      <c r="H638" s="17" t="inlineStr">
        <is>
          <t>10 EVIDENCE &amp; DECISIONS</t>
        </is>
      </c>
    </row>
    <row r="639" ht="34" customHeight="1">
      <c r="A639" s="12" t="inlineStr">
        <is>
          <t>R416-v1</t>
        </is>
      </c>
      <c r="B639" s="12" t="inlineStr">
        <is>
          <t>Contractor Programme</t>
        </is>
      </c>
      <c r="C639" s="12" t="inlineStr">
        <is>
          <t>SCH-03-056</t>
        </is>
      </c>
      <c r="D639" s="12" t="inlineStr">
        <is>
          <t>1.3.1 Systems - Traction Power</t>
        </is>
      </c>
      <c r="E639" s="12" t="inlineStr">
        <is>
          <t>New</t>
        </is>
      </c>
      <c r="F639" s="12" t="inlineStr"/>
      <c r="G639" s="12" t="inlineStr">
        <is>
          <t>Source assignment -- not individually reviewed</t>
        </is>
      </c>
      <c r="H639" s="17" t="inlineStr">
        <is>
          <t>10 EVIDENCE &amp; DECISIONS</t>
        </is>
      </c>
    </row>
    <row r="640" ht="34" customHeight="1">
      <c r="A640" s="12" t="inlineStr">
        <is>
          <t>R418-v1</t>
        </is>
      </c>
      <c r="B640" s="12" t="inlineStr">
        <is>
          <t>Contractor Programme</t>
        </is>
      </c>
      <c r="C640" s="12" t="inlineStr">
        <is>
          <t>SCH-03-058</t>
        </is>
      </c>
      <c r="D640" s="12" t="inlineStr">
        <is>
          <t>1.3.1 Systems - Traction Power</t>
        </is>
      </c>
      <c r="E640" s="12" t="inlineStr">
        <is>
          <t>New</t>
        </is>
      </c>
      <c r="F640" s="12" t="inlineStr"/>
      <c r="G640" s="12" t="inlineStr">
        <is>
          <t>Source assignment -- not individually reviewed</t>
        </is>
      </c>
      <c r="H640" s="17" t="inlineStr">
        <is>
          <t>10 EVIDENCE &amp; DECISIONS</t>
        </is>
      </c>
    </row>
    <row r="641" ht="34" customHeight="1">
      <c r="A641" s="12" t="inlineStr">
        <is>
          <t>R419-v1</t>
        </is>
      </c>
      <c r="B641" s="12" t="inlineStr">
        <is>
          <t>Contractor Programme</t>
        </is>
      </c>
      <c r="C641" s="12" t="inlineStr">
        <is>
          <t>SCH-03-059</t>
        </is>
      </c>
      <c r="D641" s="12" t="inlineStr">
        <is>
          <t>1.3.1 Systems - Traction Power</t>
        </is>
      </c>
      <c r="E641" s="12" t="inlineStr">
        <is>
          <t>New</t>
        </is>
      </c>
      <c r="F641" s="12" t="inlineStr"/>
      <c r="G641" s="12" t="inlineStr">
        <is>
          <t>Source assignment -- not individually reviewed</t>
        </is>
      </c>
      <c r="H641" s="17" t="inlineStr">
        <is>
          <t>10 EVIDENCE &amp; DECISIONS</t>
        </is>
      </c>
    </row>
    <row r="642" ht="34" customHeight="1">
      <c r="A642" s="12" t="inlineStr">
        <is>
          <t>R421-v1</t>
        </is>
      </c>
      <c r="B642" s="12" t="inlineStr">
        <is>
          <t>Contractor Programme</t>
        </is>
      </c>
      <c r="C642" s="12" t="inlineStr">
        <is>
          <t>SCH-03-061</t>
        </is>
      </c>
      <c r="D642" s="12" t="inlineStr">
        <is>
          <t>1.3.1 Systems - Traction Power</t>
        </is>
      </c>
      <c r="E642" s="12" t="inlineStr">
        <is>
          <t>New</t>
        </is>
      </c>
      <c r="F642" s="12" t="inlineStr"/>
      <c r="G642" s="12" t="inlineStr">
        <is>
          <t>Source assignment -- not individually reviewed</t>
        </is>
      </c>
      <c r="H642" s="17" t="inlineStr">
        <is>
          <t>10 EVIDENCE &amp; DECISIONS</t>
        </is>
      </c>
    </row>
    <row r="643" ht="34" customHeight="1">
      <c r="A643" s="12" t="inlineStr">
        <is>
          <t>R422-v1</t>
        </is>
      </c>
      <c r="B643" s="12" t="inlineStr">
        <is>
          <t>Contractor Programme</t>
        </is>
      </c>
      <c r="C643" s="12" t="inlineStr">
        <is>
          <t>SCH-03-062</t>
        </is>
      </c>
      <c r="D643" s="12" t="inlineStr">
        <is>
          <t>1.3.1 Systems - Traction Power</t>
        </is>
      </c>
      <c r="E643" s="12" t="inlineStr">
        <is>
          <t>New</t>
        </is>
      </c>
      <c r="F643" s="12" t="inlineStr"/>
      <c r="G643" s="12" t="inlineStr">
        <is>
          <t>Source assignment -- not individually reviewed</t>
        </is>
      </c>
      <c r="H643" s="17" t="inlineStr">
        <is>
          <t>10 EVIDENCE &amp; DECISIONS</t>
        </is>
      </c>
    </row>
    <row r="644" ht="34" customHeight="1">
      <c r="A644" s="12" t="inlineStr">
        <is>
          <t>R424-v1</t>
        </is>
      </c>
      <c r="B644" s="12" t="inlineStr">
        <is>
          <t>Contractor Programme</t>
        </is>
      </c>
      <c r="C644" s="12" t="inlineStr">
        <is>
          <t>SCH-03-064</t>
        </is>
      </c>
      <c r="D644" s="12" t="inlineStr">
        <is>
          <t>1.3.1 Systems - Traction Power</t>
        </is>
      </c>
      <c r="E644" s="12" t="inlineStr">
        <is>
          <t>New</t>
        </is>
      </c>
      <c r="F644" s="12" t="inlineStr"/>
      <c r="G644" s="12" t="inlineStr">
        <is>
          <t>Source assignment -- not individually reviewed</t>
        </is>
      </c>
      <c r="H644" s="17" t="inlineStr">
        <is>
          <t>10 EVIDENCE &amp; DECISIONS</t>
        </is>
      </c>
    </row>
    <row r="645" ht="34" customHeight="1">
      <c r="A645" s="12" t="inlineStr">
        <is>
          <t>R425-v1</t>
        </is>
      </c>
      <c r="B645" s="12" t="inlineStr">
        <is>
          <t>Contractor Programme</t>
        </is>
      </c>
      <c r="C645" s="12" t="inlineStr">
        <is>
          <t>SCH-03-065</t>
        </is>
      </c>
      <c r="D645" s="12" t="inlineStr">
        <is>
          <t>1.3.1 Systems - Traction Power</t>
        </is>
      </c>
      <c r="E645" s="12" t="inlineStr">
        <is>
          <t>New</t>
        </is>
      </c>
      <c r="F645" s="12" t="inlineStr"/>
      <c r="G645" s="12" t="inlineStr">
        <is>
          <t>Source assignment -- not individually reviewed</t>
        </is>
      </c>
      <c r="H645" s="17" t="inlineStr">
        <is>
          <t>10 EVIDENCE &amp; DECISIONS</t>
        </is>
      </c>
    </row>
    <row r="646" ht="34" customHeight="1">
      <c r="A646" s="12" t="inlineStr">
        <is>
          <t>R427-v1</t>
        </is>
      </c>
      <c r="B646" s="12" t="inlineStr">
        <is>
          <t>Contractor Programme</t>
        </is>
      </c>
      <c r="C646" s="12" t="inlineStr">
        <is>
          <t>SCH-03-067</t>
        </is>
      </c>
      <c r="D646" s="12" t="inlineStr">
        <is>
          <t>1.3.1 Systems - Traction Power</t>
        </is>
      </c>
      <c r="E646" s="12" t="inlineStr">
        <is>
          <t>New</t>
        </is>
      </c>
      <c r="F646" s="12" t="inlineStr"/>
      <c r="G646" s="12" t="inlineStr">
        <is>
          <t>Source assignment -- not individually reviewed</t>
        </is>
      </c>
      <c r="H646" s="17" t="inlineStr">
        <is>
          <t>10 EVIDENCE &amp; DECISIONS</t>
        </is>
      </c>
    </row>
    <row r="647" ht="34" customHeight="1">
      <c r="A647" s="12" t="inlineStr">
        <is>
          <t>R428-v1</t>
        </is>
      </c>
      <c r="B647" s="12" t="inlineStr">
        <is>
          <t>Contractor Programme</t>
        </is>
      </c>
      <c r="C647" s="12" t="inlineStr">
        <is>
          <t>SCH-03-068</t>
        </is>
      </c>
      <c r="D647" s="12" t="inlineStr">
        <is>
          <t>1.3.1 Systems - Traction Power</t>
        </is>
      </c>
      <c r="E647" s="12" t="inlineStr">
        <is>
          <t>New</t>
        </is>
      </c>
      <c r="F647" s="12" t="inlineStr"/>
      <c r="G647" s="12" t="inlineStr">
        <is>
          <t>Source assignment -- not individually reviewed</t>
        </is>
      </c>
      <c r="H647" s="17" t="inlineStr">
        <is>
          <t>10 EVIDENCE &amp; DECISIONS</t>
        </is>
      </c>
    </row>
    <row r="648" ht="34" customHeight="1">
      <c r="A648" s="12" t="inlineStr">
        <is>
          <t>R430-v1</t>
        </is>
      </c>
      <c r="B648" s="12" t="inlineStr">
        <is>
          <t>Contractor Programme</t>
        </is>
      </c>
      <c r="C648" s="12" t="inlineStr">
        <is>
          <t>SCH-03-070</t>
        </is>
      </c>
      <c r="D648" s="12" t="inlineStr">
        <is>
          <t>1.3.1 Systems - Traction Power</t>
        </is>
      </c>
      <c r="E648" s="12" t="inlineStr">
        <is>
          <t>New</t>
        </is>
      </c>
      <c r="F648" s="12" t="inlineStr"/>
      <c r="G648" s="12" t="inlineStr">
        <is>
          <t>Source assignment -- not individually reviewed</t>
        </is>
      </c>
      <c r="H648" s="17" t="inlineStr">
        <is>
          <t>10 EVIDENCE &amp; DECISIONS</t>
        </is>
      </c>
    </row>
    <row r="649" ht="34" customHeight="1">
      <c r="A649" s="12" t="inlineStr">
        <is>
          <t>R431-v1</t>
        </is>
      </c>
      <c r="B649" s="12" t="inlineStr">
        <is>
          <t>Contractor Programme</t>
        </is>
      </c>
      <c r="C649" s="12" t="inlineStr">
        <is>
          <t>SCH-03-071</t>
        </is>
      </c>
      <c r="D649" s="12" t="inlineStr">
        <is>
          <t>1.3.1 Systems - Traction Power</t>
        </is>
      </c>
      <c r="E649" s="12" t="inlineStr">
        <is>
          <t>New</t>
        </is>
      </c>
      <c r="F649" s="12" t="inlineStr"/>
      <c r="G649" s="12" t="inlineStr">
        <is>
          <t>Source assignment -- not individually reviewed</t>
        </is>
      </c>
      <c r="H649" s="17" t="inlineStr">
        <is>
          <t>10 EVIDENCE &amp; DECISIONS</t>
        </is>
      </c>
    </row>
    <row r="650" ht="34" customHeight="1">
      <c r="A650" s="12" t="inlineStr">
        <is>
          <t>R433-v1</t>
        </is>
      </c>
      <c r="B650" s="12" t="inlineStr">
        <is>
          <t>Contractor Programme</t>
        </is>
      </c>
      <c r="C650" s="12" t="inlineStr">
        <is>
          <t>SCH-03-073</t>
        </is>
      </c>
      <c r="D650" s="12" t="inlineStr">
        <is>
          <t>1.3.1 Systems - Traction Power</t>
        </is>
      </c>
      <c r="E650" s="12" t="inlineStr">
        <is>
          <t>New</t>
        </is>
      </c>
      <c r="F650" s="12" t="inlineStr"/>
      <c r="G650" s="12" t="inlineStr">
        <is>
          <t>Source assignment -- not individually reviewed</t>
        </is>
      </c>
      <c r="H650" s="17" t="inlineStr">
        <is>
          <t>10 EVIDENCE &amp; DECISIONS</t>
        </is>
      </c>
    </row>
    <row r="651" ht="34" customHeight="1">
      <c r="A651" s="12" t="inlineStr">
        <is>
          <t>R434-v1</t>
        </is>
      </c>
      <c r="B651" s="12" t="inlineStr">
        <is>
          <t>Contractor Programme</t>
        </is>
      </c>
      <c r="C651" s="12" t="inlineStr">
        <is>
          <t>SCH-03-074</t>
        </is>
      </c>
      <c r="D651" s="12" t="inlineStr">
        <is>
          <t>1.3.1 Systems - Traction Power</t>
        </is>
      </c>
      <c r="E651" s="12" t="inlineStr">
        <is>
          <t>New</t>
        </is>
      </c>
      <c r="F651" s="12" t="inlineStr"/>
      <c r="G651" s="12" t="inlineStr">
        <is>
          <t>Source assignment -- not individually reviewed</t>
        </is>
      </c>
      <c r="H651" s="17" t="inlineStr">
        <is>
          <t>10 EVIDENCE &amp; DECISIONS</t>
        </is>
      </c>
    </row>
    <row r="652" ht="34" customHeight="1">
      <c r="A652" s="12" t="inlineStr">
        <is>
          <t>R436-v1</t>
        </is>
      </c>
      <c r="B652" s="12" t="inlineStr">
        <is>
          <t>Contractor Programme</t>
        </is>
      </c>
      <c r="C652" s="12" t="inlineStr">
        <is>
          <t>SCH-03-076</t>
        </is>
      </c>
      <c r="D652" s="12" t="inlineStr">
        <is>
          <t>1.3.1 Systems - Traction Power</t>
        </is>
      </c>
      <c r="E652" s="12" t="inlineStr">
        <is>
          <t>New</t>
        </is>
      </c>
      <c r="F652" s="12" t="inlineStr"/>
      <c r="G652" s="12" t="inlineStr">
        <is>
          <t>Source assignment -- not individually reviewed</t>
        </is>
      </c>
      <c r="H652" s="17" t="inlineStr">
        <is>
          <t>10 EVIDENCE &amp; DECISIONS</t>
        </is>
      </c>
    </row>
    <row r="653" ht="34" customHeight="1">
      <c r="A653" s="12" t="inlineStr">
        <is>
          <t>R437-v1</t>
        </is>
      </c>
      <c r="B653" s="12" t="inlineStr">
        <is>
          <t>Contractor Programme</t>
        </is>
      </c>
      <c r="C653" s="12" t="inlineStr">
        <is>
          <t>SCH-03-077</t>
        </is>
      </c>
      <c r="D653" s="12" t="inlineStr">
        <is>
          <t>1.3.1 Systems - Traction Power</t>
        </is>
      </c>
      <c r="E653" s="12" t="inlineStr">
        <is>
          <t>New</t>
        </is>
      </c>
      <c r="F653" s="12" t="inlineStr"/>
      <c r="G653" s="12" t="inlineStr">
        <is>
          <t>Source assignment -- not individually reviewed</t>
        </is>
      </c>
      <c r="H653" s="17" t="inlineStr">
        <is>
          <t>10 EVIDENCE &amp; DECISIONS</t>
        </is>
      </c>
    </row>
    <row r="654" ht="34" customHeight="1">
      <c r="A654" s="12" t="inlineStr">
        <is>
          <t>R439-v1</t>
        </is>
      </c>
      <c r="B654" s="12" t="inlineStr">
        <is>
          <t>Contractor Programme</t>
        </is>
      </c>
      <c r="C654" s="12" t="inlineStr">
        <is>
          <t>SCH-03-079</t>
        </is>
      </c>
      <c r="D654" s="12" t="inlineStr">
        <is>
          <t>1.3.1 Systems - Traction Power</t>
        </is>
      </c>
      <c r="E654" s="12" t="inlineStr">
        <is>
          <t>New</t>
        </is>
      </c>
      <c r="F654" s="12" t="inlineStr"/>
      <c r="G654" s="12" t="inlineStr">
        <is>
          <t>Source assignment -- not individually reviewed</t>
        </is>
      </c>
      <c r="H654" s="17" t="inlineStr">
        <is>
          <t>10 EVIDENCE &amp; DECISIONS</t>
        </is>
      </c>
    </row>
    <row r="655" ht="34" customHeight="1">
      <c r="A655" s="12" t="inlineStr">
        <is>
          <t>R440-v1</t>
        </is>
      </c>
      <c r="B655" s="12" t="inlineStr">
        <is>
          <t>Contractor Programme</t>
        </is>
      </c>
      <c r="C655" s="12" t="inlineStr">
        <is>
          <t>SCH-03-080</t>
        </is>
      </c>
      <c r="D655" s="12" t="inlineStr">
        <is>
          <t>1.3.1 Systems - Traction Power</t>
        </is>
      </c>
      <c r="E655" s="12" t="inlineStr">
        <is>
          <t>New</t>
        </is>
      </c>
      <c r="F655" s="12" t="inlineStr"/>
      <c r="G655" s="12" t="inlineStr">
        <is>
          <t>Source assignment -- not individually reviewed</t>
        </is>
      </c>
      <c r="H655" s="17" t="inlineStr">
        <is>
          <t>10 EVIDENCE &amp; DECISIONS</t>
        </is>
      </c>
    </row>
    <row r="656" ht="34" customHeight="1">
      <c r="A656" s="12" t="inlineStr">
        <is>
          <t>R442-v1</t>
        </is>
      </c>
      <c r="B656" s="12" t="inlineStr">
        <is>
          <t>Contractor Programme</t>
        </is>
      </c>
      <c r="C656" s="12" t="inlineStr">
        <is>
          <t>SCH-03-082</t>
        </is>
      </c>
      <c r="D656" s="12" t="inlineStr">
        <is>
          <t>1.3.1 Systems - Traction Power</t>
        </is>
      </c>
      <c r="E656" s="12" t="inlineStr">
        <is>
          <t>New</t>
        </is>
      </c>
      <c r="F656" s="12" t="inlineStr"/>
      <c r="G656" s="12" t="inlineStr">
        <is>
          <t>Source assignment -- not individually reviewed</t>
        </is>
      </c>
      <c r="H656" s="17" t="inlineStr">
        <is>
          <t>10 EVIDENCE &amp; DECISIONS</t>
        </is>
      </c>
    </row>
    <row r="657" ht="34" customHeight="1">
      <c r="A657" s="12" t="inlineStr">
        <is>
          <t>R443-v1</t>
        </is>
      </c>
      <c r="B657" s="12" t="inlineStr">
        <is>
          <t>Contractor Programme</t>
        </is>
      </c>
      <c r="C657" s="12" t="inlineStr">
        <is>
          <t>SCH-03-083</t>
        </is>
      </c>
      <c r="D657" s="12" t="inlineStr">
        <is>
          <t>1.3.1 Systems - Traction Power</t>
        </is>
      </c>
      <c r="E657" s="12" t="inlineStr">
        <is>
          <t>New</t>
        </is>
      </c>
      <c r="F657" s="12" t="inlineStr"/>
      <c r="G657" s="12" t="inlineStr">
        <is>
          <t>Source assignment -- not individually reviewed</t>
        </is>
      </c>
      <c r="H657" s="17" t="inlineStr">
        <is>
          <t>10 EVIDENCE &amp; DECISIONS</t>
        </is>
      </c>
    </row>
    <row r="658" ht="34" customHeight="1">
      <c r="A658" s="12" t="inlineStr">
        <is>
          <t>R445-v1</t>
        </is>
      </c>
      <c r="B658" s="12" t="inlineStr">
        <is>
          <t>Contractor Programme</t>
        </is>
      </c>
      <c r="C658" s="12" t="inlineStr">
        <is>
          <t>SCH-03-085</t>
        </is>
      </c>
      <c r="D658" s="12" t="inlineStr">
        <is>
          <t>1.3.1 Systems - Traction Power</t>
        </is>
      </c>
      <c r="E658" s="12" t="inlineStr">
        <is>
          <t>New</t>
        </is>
      </c>
      <c r="F658" s="12" t="inlineStr"/>
      <c r="G658" s="12" t="inlineStr">
        <is>
          <t>Source assignment -- not individually reviewed</t>
        </is>
      </c>
      <c r="H658" s="17" t="inlineStr">
        <is>
          <t>10 EVIDENCE &amp; DECISIONS</t>
        </is>
      </c>
    </row>
    <row r="659" ht="34" customHeight="1">
      <c r="A659" s="12" t="inlineStr">
        <is>
          <t>R446-v1</t>
        </is>
      </c>
      <c r="B659" s="12" t="inlineStr">
        <is>
          <t>Contractor Programme</t>
        </is>
      </c>
      <c r="C659" s="12" t="inlineStr">
        <is>
          <t>SCH-03-086</t>
        </is>
      </c>
      <c r="D659" s="12" t="inlineStr">
        <is>
          <t>1.3.1 Systems - Traction Power</t>
        </is>
      </c>
      <c r="E659" s="12" t="inlineStr">
        <is>
          <t>New</t>
        </is>
      </c>
      <c r="F659" s="12" t="inlineStr"/>
      <c r="G659" s="12" t="inlineStr">
        <is>
          <t>Source assignment -- not individually reviewed</t>
        </is>
      </c>
      <c r="H659" s="17" t="inlineStr">
        <is>
          <t>10 EVIDENCE &amp; DECISIONS</t>
        </is>
      </c>
    </row>
    <row r="660" ht="34" customHeight="1">
      <c r="A660" s="12" t="inlineStr">
        <is>
          <t>R448-v1</t>
        </is>
      </c>
      <c r="B660" s="12" t="inlineStr">
        <is>
          <t>Contractor Programme</t>
        </is>
      </c>
      <c r="C660" s="12" t="inlineStr">
        <is>
          <t>SCH-03-088</t>
        </is>
      </c>
      <c r="D660" s="12" t="inlineStr">
        <is>
          <t>1.3.1 Systems - Traction Power</t>
        </is>
      </c>
      <c r="E660" s="12" t="inlineStr">
        <is>
          <t>New</t>
        </is>
      </c>
      <c r="F660" s="12" t="inlineStr"/>
      <c r="G660" s="12" t="inlineStr">
        <is>
          <t>Source assignment -- not individually reviewed</t>
        </is>
      </c>
      <c r="H660" s="17" t="inlineStr">
        <is>
          <t>10 EVIDENCE &amp; DECISIONS</t>
        </is>
      </c>
    </row>
    <row r="661" ht="34" customHeight="1">
      <c r="A661" s="12" t="inlineStr">
        <is>
          <t>R449-v1</t>
        </is>
      </c>
      <c r="B661" s="12" t="inlineStr">
        <is>
          <t>Contractor Programme</t>
        </is>
      </c>
      <c r="C661" s="12" t="inlineStr">
        <is>
          <t>SCH-03-089</t>
        </is>
      </c>
      <c r="D661" s="12" t="inlineStr">
        <is>
          <t>1.3.1 Systems - Traction Power</t>
        </is>
      </c>
      <c r="E661" s="12" t="inlineStr">
        <is>
          <t>New</t>
        </is>
      </c>
      <c r="F661" s="12" t="inlineStr"/>
      <c r="G661" s="12" t="inlineStr">
        <is>
          <t>Source assignment -- not individually reviewed</t>
        </is>
      </c>
      <c r="H661" s="17" t="inlineStr">
        <is>
          <t>10 EVIDENCE &amp; DECISIONS</t>
        </is>
      </c>
    </row>
    <row r="662" ht="34" customHeight="1">
      <c r="A662" s="12" t="inlineStr">
        <is>
          <t>R451-v1</t>
        </is>
      </c>
      <c r="B662" s="12" t="inlineStr">
        <is>
          <t>Contractor Programme</t>
        </is>
      </c>
      <c r="C662" s="12" t="inlineStr">
        <is>
          <t>SCH-03-091</t>
        </is>
      </c>
      <c r="D662" s="12" t="inlineStr">
        <is>
          <t>1.3.1 Systems - Traction Power</t>
        </is>
      </c>
      <c r="E662" s="12" t="inlineStr">
        <is>
          <t>New</t>
        </is>
      </c>
      <c r="F662" s="12" t="inlineStr"/>
      <c r="G662" s="12" t="inlineStr">
        <is>
          <t>Source assignment -- not individually reviewed</t>
        </is>
      </c>
      <c r="H662" s="17" t="inlineStr">
        <is>
          <t>10 EVIDENCE &amp; DECISIONS</t>
        </is>
      </c>
    </row>
    <row r="663" ht="34" customHeight="1">
      <c r="A663" s="12" t="inlineStr">
        <is>
          <t>R452-v1</t>
        </is>
      </c>
      <c r="B663" s="12" t="inlineStr">
        <is>
          <t>Contractor Programme</t>
        </is>
      </c>
      <c r="C663" s="12" t="inlineStr">
        <is>
          <t>SCH-03-092</t>
        </is>
      </c>
      <c r="D663" s="12" t="inlineStr">
        <is>
          <t>1.3.1 Systems - Traction Power</t>
        </is>
      </c>
      <c r="E663" s="12" t="inlineStr">
        <is>
          <t>New</t>
        </is>
      </c>
      <c r="F663" s="12" t="inlineStr"/>
      <c r="G663" s="12" t="inlineStr">
        <is>
          <t>Source assignment -- not individually reviewed</t>
        </is>
      </c>
      <c r="H663" s="17" t="inlineStr">
        <is>
          <t>10 EVIDENCE &amp; DECISIONS</t>
        </is>
      </c>
    </row>
    <row r="664" ht="34" customHeight="1">
      <c r="A664" s="12" t="inlineStr">
        <is>
          <t>R454-v1</t>
        </is>
      </c>
      <c r="B664" s="12" t="inlineStr">
        <is>
          <t>Contractor Programme</t>
        </is>
      </c>
      <c r="C664" s="12" t="inlineStr">
        <is>
          <t>SCH-03-094</t>
        </is>
      </c>
      <c r="D664" s="12" t="inlineStr">
        <is>
          <t>1.3.1 Systems - Traction Power</t>
        </is>
      </c>
      <c r="E664" s="12" t="inlineStr">
        <is>
          <t>New</t>
        </is>
      </c>
      <c r="F664" s="12" t="inlineStr"/>
      <c r="G664" s="12" t="inlineStr">
        <is>
          <t>Source assignment -- not individually reviewed</t>
        </is>
      </c>
      <c r="H664" s="17" t="inlineStr">
        <is>
          <t>10 EVIDENCE &amp; DECISIONS</t>
        </is>
      </c>
    </row>
    <row r="665" ht="34" customHeight="1">
      <c r="A665" s="12" t="inlineStr">
        <is>
          <t>R455-v1</t>
        </is>
      </c>
      <c r="B665" s="12" t="inlineStr">
        <is>
          <t>Contractor Programme</t>
        </is>
      </c>
      <c r="C665" s="12" t="inlineStr">
        <is>
          <t>SCH-03-095</t>
        </is>
      </c>
      <c r="D665" s="12" t="inlineStr">
        <is>
          <t>1.3.1 Systems - Traction Power</t>
        </is>
      </c>
      <c r="E665" s="12" t="inlineStr">
        <is>
          <t>New</t>
        </is>
      </c>
      <c r="F665" s="12" t="inlineStr"/>
      <c r="G665" s="12" t="inlineStr">
        <is>
          <t>Source assignment -- not individually reviewed</t>
        </is>
      </c>
      <c r="H665" s="17" t="inlineStr">
        <is>
          <t>10 EVIDENCE &amp; DECISIONS</t>
        </is>
      </c>
    </row>
    <row r="666" ht="34" customHeight="1">
      <c r="A666" s="12" t="inlineStr">
        <is>
          <t>R457-v1</t>
        </is>
      </c>
      <c r="B666" s="12" t="inlineStr">
        <is>
          <t>Contractor Programme</t>
        </is>
      </c>
      <c r="C666" s="12" t="inlineStr">
        <is>
          <t>SCH-03-097</t>
        </is>
      </c>
      <c r="D666" s="12" t="inlineStr">
        <is>
          <t>1.3.1 Systems - Traction Power</t>
        </is>
      </c>
      <c r="E666" s="12" t="inlineStr">
        <is>
          <t>New</t>
        </is>
      </c>
      <c r="F666" s="12" t="inlineStr"/>
      <c r="G666" s="12" t="inlineStr">
        <is>
          <t>Source assignment -- not individually reviewed</t>
        </is>
      </c>
      <c r="H666" s="17" t="inlineStr">
        <is>
          <t>10 EVIDENCE &amp; DECISIONS</t>
        </is>
      </c>
    </row>
    <row r="667" ht="34" customHeight="1">
      <c r="A667" s="12" t="inlineStr">
        <is>
          <t>R458-v1</t>
        </is>
      </c>
      <c r="B667" s="12" t="inlineStr">
        <is>
          <t>Contractor Programme</t>
        </is>
      </c>
      <c r="C667" s="12" t="inlineStr">
        <is>
          <t>SCH-03-098</t>
        </is>
      </c>
      <c r="D667" s="12" t="inlineStr">
        <is>
          <t>1.3.1 Systems - Traction Power</t>
        </is>
      </c>
      <c r="E667" s="12" t="inlineStr">
        <is>
          <t>New</t>
        </is>
      </c>
      <c r="F667" s="12" t="inlineStr"/>
      <c r="G667" s="12" t="inlineStr">
        <is>
          <t>Source assignment -- not individually reviewed</t>
        </is>
      </c>
      <c r="H667" s="17" t="inlineStr">
        <is>
          <t>10 EVIDENCE &amp; DECISIONS</t>
        </is>
      </c>
    </row>
    <row r="668" ht="34" customHeight="1">
      <c r="A668" s="12" t="inlineStr">
        <is>
          <t>R460-v1</t>
        </is>
      </c>
      <c r="B668" s="12" t="inlineStr">
        <is>
          <t>Contractor Programme</t>
        </is>
      </c>
      <c r="C668" s="12" t="inlineStr">
        <is>
          <t>SCH-03-100</t>
        </is>
      </c>
      <c r="D668" s="12" t="inlineStr">
        <is>
          <t>1.3.1 Systems - Traction Power</t>
        </is>
      </c>
      <c r="E668" s="12" t="inlineStr">
        <is>
          <t>New</t>
        </is>
      </c>
      <c r="F668" s="12" t="inlineStr"/>
      <c r="G668" s="12" t="inlineStr">
        <is>
          <t>Source assignment -- not individually reviewed</t>
        </is>
      </c>
      <c r="H668" s="17" t="inlineStr">
        <is>
          <t>10 EVIDENCE &amp; DECISIONS</t>
        </is>
      </c>
    </row>
    <row r="669" ht="34" customHeight="1">
      <c r="A669" s="12" t="inlineStr">
        <is>
          <t>R461-v1</t>
        </is>
      </c>
      <c r="B669" s="12" t="inlineStr">
        <is>
          <t>Contractor Programme</t>
        </is>
      </c>
      <c r="C669" s="12" t="inlineStr">
        <is>
          <t>SCH-03-101</t>
        </is>
      </c>
      <c r="D669" s="12" t="inlineStr">
        <is>
          <t>1.3.1 Systems - Traction Power</t>
        </is>
      </c>
      <c r="E669" s="12" t="inlineStr">
        <is>
          <t>New</t>
        </is>
      </c>
      <c r="F669" s="12" t="inlineStr"/>
      <c r="G669" s="12" t="inlineStr">
        <is>
          <t>Source assignment -- not individually reviewed</t>
        </is>
      </c>
      <c r="H669" s="17" t="inlineStr">
        <is>
          <t>10 EVIDENCE &amp; DECISIONS</t>
        </is>
      </c>
    </row>
    <row r="670" ht="34" customHeight="1">
      <c r="A670" s="12" t="inlineStr">
        <is>
          <t>R463-v1</t>
        </is>
      </c>
      <c r="B670" s="12" t="inlineStr">
        <is>
          <t>Contractor Programme</t>
        </is>
      </c>
      <c r="C670" s="12" t="inlineStr">
        <is>
          <t>SCH-03-103</t>
        </is>
      </c>
      <c r="D670" s="12" t="inlineStr">
        <is>
          <t>1.3.1 Systems - Traction Power</t>
        </is>
      </c>
      <c r="E670" s="12" t="inlineStr">
        <is>
          <t>New</t>
        </is>
      </c>
      <c r="F670" s="12" t="inlineStr"/>
      <c r="G670" s="12" t="inlineStr">
        <is>
          <t>Source assignment -- not individually reviewed</t>
        </is>
      </c>
      <c r="H670" s="17" t="inlineStr">
        <is>
          <t>10 EVIDENCE &amp; DECISIONS</t>
        </is>
      </c>
    </row>
    <row r="671" ht="34" customHeight="1">
      <c r="A671" s="12" t="inlineStr">
        <is>
          <t>R464-v1</t>
        </is>
      </c>
      <c r="B671" s="12" t="inlineStr">
        <is>
          <t>Contractor Programme</t>
        </is>
      </c>
      <c r="C671" s="12" t="inlineStr">
        <is>
          <t>SCH-03-104</t>
        </is>
      </c>
      <c r="D671" s="12" t="inlineStr">
        <is>
          <t>1.3.1 Systems - Traction Power</t>
        </is>
      </c>
      <c r="E671" s="12" t="inlineStr">
        <is>
          <t>New</t>
        </is>
      </c>
      <c r="F671" s="12" t="inlineStr"/>
      <c r="G671" s="12" t="inlineStr">
        <is>
          <t>Source assignment -- not individually reviewed</t>
        </is>
      </c>
      <c r="H671" s="17" t="inlineStr">
        <is>
          <t>10 EVIDENCE &amp; DECISIONS</t>
        </is>
      </c>
    </row>
    <row r="672" ht="34" customHeight="1">
      <c r="A672" s="12" t="inlineStr">
        <is>
          <t>R466-v1</t>
        </is>
      </c>
      <c r="B672" s="12" t="inlineStr">
        <is>
          <t>Contractor Programme</t>
        </is>
      </c>
      <c r="C672" s="12" t="inlineStr">
        <is>
          <t>SCH-03-106</t>
        </is>
      </c>
      <c r="D672" s="12" t="inlineStr">
        <is>
          <t>1.3.1 Systems - Traction Power</t>
        </is>
      </c>
      <c r="E672" s="12" t="inlineStr">
        <is>
          <t>New</t>
        </is>
      </c>
      <c r="F672" s="12" t="inlineStr"/>
      <c r="G672" s="12" t="inlineStr">
        <is>
          <t>Source assignment -- not individually reviewed</t>
        </is>
      </c>
      <c r="H672" s="17" t="inlineStr">
        <is>
          <t>10 EVIDENCE &amp; DECISIONS</t>
        </is>
      </c>
    </row>
    <row r="673" ht="34" customHeight="1">
      <c r="A673" s="12" t="inlineStr">
        <is>
          <t>R467-v1</t>
        </is>
      </c>
      <c r="B673" s="12" t="inlineStr">
        <is>
          <t>Contractor Programme</t>
        </is>
      </c>
      <c r="C673" s="12" t="inlineStr">
        <is>
          <t>SCH-03-107</t>
        </is>
      </c>
      <c r="D673" s="12" t="inlineStr">
        <is>
          <t>1.3.1 Systems - Traction Power</t>
        </is>
      </c>
      <c r="E673" s="12" t="inlineStr">
        <is>
          <t>New</t>
        </is>
      </c>
      <c r="F673" s="12" t="inlineStr"/>
      <c r="G673" s="12" t="inlineStr">
        <is>
          <t>Source assignment -- not individually reviewed</t>
        </is>
      </c>
      <c r="H673" s="17" t="inlineStr">
        <is>
          <t>10 EVIDENCE &amp; DECISIONS</t>
        </is>
      </c>
    </row>
    <row r="674" ht="34" customHeight="1">
      <c r="A674" s="12" t="inlineStr">
        <is>
          <t>R469-v1</t>
        </is>
      </c>
      <c r="B674" s="12" t="inlineStr">
        <is>
          <t>Contractor Programme</t>
        </is>
      </c>
      <c r="C674" s="12" t="inlineStr">
        <is>
          <t>SCH-03-109</t>
        </is>
      </c>
      <c r="D674" s="12" t="inlineStr">
        <is>
          <t>1.3.1 Systems - Traction Power</t>
        </is>
      </c>
      <c r="E674" s="12" t="inlineStr">
        <is>
          <t>New</t>
        </is>
      </c>
      <c r="F674" s="12" t="inlineStr"/>
      <c r="G674" s="12" t="inlineStr">
        <is>
          <t>Source assignment -- not individually reviewed</t>
        </is>
      </c>
      <c r="H674" s="17" t="inlineStr">
        <is>
          <t>10 EVIDENCE &amp; DECISIONS</t>
        </is>
      </c>
    </row>
    <row r="675" ht="34" customHeight="1">
      <c r="A675" s="12" t="inlineStr">
        <is>
          <t>R470-v1</t>
        </is>
      </c>
      <c r="B675" s="12" t="inlineStr">
        <is>
          <t>Contractor Programme</t>
        </is>
      </c>
      <c r="C675" s="12" t="inlineStr">
        <is>
          <t>SCH-03-110</t>
        </is>
      </c>
      <c r="D675" s="12" t="inlineStr">
        <is>
          <t>1.3.1 Systems - Traction Power</t>
        </is>
      </c>
      <c r="E675" s="12" t="inlineStr">
        <is>
          <t>New</t>
        </is>
      </c>
      <c r="F675" s="12" t="inlineStr"/>
      <c r="G675" s="12" t="inlineStr">
        <is>
          <t>Source assignment -- not individually reviewed</t>
        </is>
      </c>
      <c r="H675" s="17" t="inlineStr">
        <is>
          <t>10 EVIDENCE &amp; DECISIONS</t>
        </is>
      </c>
    </row>
    <row r="676" ht="34" customHeight="1">
      <c r="A676" s="12" t="inlineStr">
        <is>
          <t>R472-v1</t>
        </is>
      </c>
      <c r="B676" s="12" t="inlineStr">
        <is>
          <t>Contractor Programme</t>
        </is>
      </c>
      <c r="C676" s="12" t="inlineStr">
        <is>
          <t>SCH-03-112</t>
        </is>
      </c>
      <c r="D676" s="12" t="inlineStr">
        <is>
          <t>1.3.1 Systems - Traction Power</t>
        </is>
      </c>
      <c r="E676" s="12" t="inlineStr">
        <is>
          <t>New</t>
        </is>
      </c>
      <c r="F676" s="12" t="inlineStr"/>
      <c r="G676" s="12" t="inlineStr">
        <is>
          <t>Source assignment -- not individually reviewed</t>
        </is>
      </c>
      <c r="H676" s="17" t="inlineStr">
        <is>
          <t>10 EVIDENCE &amp; DECISIONS</t>
        </is>
      </c>
    </row>
    <row r="677" ht="34" customHeight="1">
      <c r="A677" s="12" t="inlineStr">
        <is>
          <t>R473-v1</t>
        </is>
      </c>
      <c r="B677" s="12" t="inlineStr">
        <is>
          <t>Contractor Programme</t>
        </is>
      </c>
      <c r="C677" s="12" t="inlineStr">
        <is>
          <t>SCH-03-113</t>
        </is>
      </c>
      <c r="D677" s="12" t="inlineStr">
        <is>
          <t>1.3.1 Systems - Traction Power</t>
        </is>
      </c>
      <c r="E677" s="12" t="inlineStr">
        <is>
          <t>New</t>
        </is>
      </c>
      <c r="F677" s="12" t="inlineStr"/>
      <c r="G677" s="12" t="inlineStr">
        <is>
          <t>Source assignment -- not individually reviewed</t>
        </is>
      </c>
      <c r="H677" s="17" t="inlineStr">
        <is>
          <t>10 EVIDENCE &amp; DECISIONS</t>
        </is>
      </c>
    </row>
    <row r="678" ht="34" customHeight="1">
      <c r="A678" s="12" t="inlineStr">
        <is>
          <t>R475-v1</t>
        </is>
      </c>
      <c r="B678" s="12" t="inlineStr">
        <is>
          <t>Contractor Programme</t>
        </is>
      </c>
      <c r="C678" s="12" t="inlineStr">
        <is>
          <t>SCH-03-115</t>
        </is>
      </c>
      <c r="D678" s="12" t="inlineStr">
        <is>
          <t>1.3.1 Systems - Traction Power</t>
        </is>
      </c>
      <c r="E678" s="12" t="inlineStr">
        <is>
          <t>New</t>
        </is>
      </c>
      <c r="F678" s="12" t="inlineStr"/>
      <c r="G678" s="12" t="inlineStr">
        <is>
          <t>Source assignment -- not individually reviewed</t>
        </is>
      </c>
      <c r="H678" s="17" t="inlineStr">
        <is>
          <t>10 EVIDENCE &amp; DECISIONS</t>
        </is>
      </c>
    </row>
    <row r="679" ht="34" customHeight="1">
      <c r="A679" s="12" t="inlineStr">
        <is>
          <t>R476-v1</t>
        </is>
      </c>
      <c r="B679" s="12" t="inlineStr">
        <is>
          <t>Contractor Programme</t>
        </is>
      </c>
      <c r="C679" s="12" t="inlineStr">
        <is>
          <t>SCH-03-116</t>
        </is>
      </c>
      <c r="D679" s="12" t="inlineStr">
        <is>
          <t>1.3.1 Systems - Traction Power</t>
        </is>
      </c>
      <c r="E679" s="12" t="inlineStr">
        <is>
          <t>New</t>
        </is>
      </c>
      <c r="F679" s="12" t="inlineStr"/>
      <c r="G679" s="12" t="inlineStr">
        <is>
          <t>Source assignment -- not individually reviewed</t>
        </is>
      </c>
      <c r="H679" s="17" t="inlineStr">
        <is>
          <t>10 EVIDENCE &amp; DECISIONS</t>
        </is>
      </c>
    </row>
    <row r="680" ht="34" customHeight="1">
      <c r="A680" s="12" t="inlineStr">
        <is>
          <t>R478-v1</t>
        </is>
      </c>
      <c r="B680" s="12" t="inlineStr">
        <is>
          <t>Contractor Programme</t>
        </is>
      </c>
      <c r="C680" s="12" t="inlineStr">
        <is>
          <t>SCH-03-118</t>
        </is>
      </c>
      <c r="D680" s="12" t="inlineStr">
        <is>
          <t>1.3.1 Systems - Traction Power</t>
        </is>
      </c>
      <c r="E680" s="12" t="inlineStr">
        <is>
          <t>New</t>
        </is>
      </c>
      <c r="F680" s="12" t="inlineStr"/>
      <c r="G680" s="12" t="inlineStr">
        <is>
          <t>Source assignment -- not individually reviewed</t>
        </is>
      </c>
      <c r="H680" s="17" t="inlineStr">
        <is>
          <t>10 EVIDENCE &amp; DECISIONS</t>
        </is>
      </c>
    </row>
    <row r="681" ht="34" customHeight="1">
      <c r="A681" s="12" t="inlineStr">
        <is>
          <t>R479-v1</t>
        </is>
      </c>
      <c r="B681" s="12" t="inlineStr">
        <is>
          <t>Contractor Programme</t>
        </is>
      </c>
      <c r="C681" s="12" t="inlineStr">
        <is>
          <t>SCH-03-119</t>
        </is>
      </c>
      <c r="D681" s="12" t="inlineStr">
        <is>
          <t>1.3.1 Systems - Traction Power</t>
        </is>
      </c>
      <c r="E681" s="12" t="inlineStr">
        <is>
          <t>New</t>
        </is>
      </c>
      <c r="F681" s="12" t="inlineStr"/>
      <c r="G681" s="12" t="inlineStr">
        <is>
          <t>Source assignment -- not individually reviewed</t>
        </is>
      </c>
      <c r="H681" s="17" t="inlineStr">
        <is>
          <t>10 EVIDENCE &amp; DECISIONS</t>
        </is>
      </c>
    </row>
    <row r="682" ht="34" customHeight="1">
      <c r="A682" s="12" t="inlineStr">
        <is>
          <t>R481-v1</t>
        </is>
      </c>
      <c r="B682" s="12" t="inlineStr">
        <is>
          <t>Contractor Programme</t>
        </is>
      </c>
      <c r="C682" s="12" t="inlineStr">
        <is>
          <t>SCH-03-121</t>
        </is>
      </c>
      <c r="D682" s="12" t="inlineStr">
        <is>
          <t>1.3.1 Systems - Traction Power</t>
        </is>
      </c>
      <c r="E682" s="12" t="inlineStr">
        <is>
          <t>New</t>
        </is>
      </c>
      <c r="F682" s="12" t="inlineStr"/>
      <c r="G682" s="12" t="inlineStr">
        <is>
          <t>Source assignment -- not individually reviewed</t>
        </is>
      </c>
      <c r="H682" s="17" t="inlineStr">
        <is>
          <t>10 EVIDENCE &amp; DECISIONS</t>
        </is>
      </c>
    </row>
    <row r="683" ht="34" customHeight="1">
      <c r="A683" s="12" t="inlineStr">
        <is>
          <t>R482-v1</t>
        </is>
      </c>
      <c r="B683" s="12" t="inlineStr">
        <is>
          <t>Contractor Programme</t>
        </is>
      </c>
      <c r="C683" s="12" t="inlineStr">
        <is>
          <t>SCH-03-122</t>
        </is>
      </c>
      <c r="D683" s="12" t="inlineStr">
        <is>
          <t>1.3.1 Systems - Traction Power</t>
        </is>
      </c>
      <c r="E683" s="12" t="inlineStr">
        <is>
          <t>New</t>
        </is>
      </c>
      <c r="F683" s="12" t="inlineStr"/>
      <c r="G683" s="12" t="inlineStr">
        <is>
          <t>Source assignment -- not individually reviewed</t>
        </is>
      </c>
      <c r="H683" s="17" t="inlineStr">
        <is>
          <t>10 EVIDENCE &amp; DECISIONS</t>
        </is>
      </c>
    </row>
    <row r="684" ht="34" customHeight="1">
      <c r="A684" s="12" t="inlineStr">
        <is>
          <t>R484-v1</t>
        </is>
      </c>
      <c r="B684" s="12" t="inlineStr">
        <is>
          <t>Contractor Programme</t>
        </is>
      </c>
      <c r="C684" s="12" t="inlineStr">
        <is>
          <t>SCH-03-124</t>
        </is>
      </c>
      <c r="D684" s="12" t="inlineStr">
        <is>
          <t>1.3.1 Systems - Traction Power</t>
        </is>
      </c>
      <c r="E684" s="12" t="inlineStr">
        <is>
          <t>New</t>
        </is>
      </c>
      <c r="F684" s="12" t="inlineStr"/>
      <c r="G684" s="12" t="inlineStr">
        <is>
          <t>Source assignment -- not individually reviewed</t>
        </is>
      </c>
      <c r="H684" s="17" t="inlineStr">
        <is>
          <t>10 EVIDENCE &amp; DECISIONS</t>
        </is>
      </c>
    </row>
    <row r="685" ht="34" customHeight="1">
      <c r="A685" s="12" t="inlineStr">
        <is>
          <t>R485-v1</t>
        </is>
      </c>
      <c r="B685" s="12" t="inlineStr">
        <is>
          <t>Contractor Programme</t>
        </is>
      </c>
      <c r="C685" s="12" t="inlineStr">
        <is>
          <t>SCH-03-125</t>
        </is>
      </c>
      <c r="D685" s="12" t="inlineStr">
        <is>
          <t>1.3.1 Systems - Traction Power</t>
        </is>
      </c>
      <c r="E685" s="12" t="inlineStr">
        <is>
          <t>New</t>
        </is>
      </c>
      <c r="F685" s="12" t="inlineStr"/>
      <c r="G685" s="12" t="inlineStr">
        <is>
          <t>Source assignment -- not individually reviewed</t>
        </is>
      </c>
      <c r="H685" s="17" t="inlineStr">
        <is>
          <t>10 EVIDENCE &amp; DECISIONS</t>
        </is>
      </c>
    </row>
    <row r="686" ht="34" customHeight="1">
      <c r="A686" s="12" t="inlineStr">
        <is>
          <t>R487-v1</t>
        </is>
      </c>
      <c r="B686" s="12" t="inlineStr">
        <is>
          <t>Contractor Programme</t>
        </is>
      </c>
      <c r="C686" s="12" t="inlineStr">
        <is>
          <t>SCH-03-127</t>
        </is>
      </c>
      <c r="D686" s="12" t="inlineStr">
        <is>
          <t>1.3.1 Systems - Traction Power</t>
        </is>
      </c>
      <c r="E686" s="12" t="inlineStr">
        <is>
          <t>New</t>
        </is>
      </c>
      <c r="F686" s="12" t="inlineStr"/>
      <c r="G686" s="12" t="inlineStr">
        <is>
          <t>Source assignment -- not individually reviewed</t>
        </is>
      </c>
      <c r="H686" s="17" t="inlineStr">
        <is>
          <t>10 EVIDENCE &amp; DECISIONS</t>
        </is>
      </c>
    </row>
    <row r="687" ht="34" customHeight="1">
      <c r="A687" s="12" t="inlineStr">
        <is>
          <t>R488-v1</t>
        </is>
      </c>
      <c r="B687" s="12" t="inlineStr">
        <is>
          <t>Contractor Programme</t>
        </is>
      </c>
      <c r="C687" s="12" t="inlineStr">
        <is>
          <t>SCH-03-128</t>
        </is>
      </c>
      <c r="D687" s="12" t="inlineStr">
        <is>
          <t>1.3.1 Systems - Traction Power</t>
        </is>
      </c>
      <c r="E687" s="12" t="inlineStr">
        <is>
          <t>New</t>
        </is>
      </c>
      <c r="F687" s="12" t="inlineStr"/>
      <c r="G687" s="12" t="inlineStr">
        <is>
          <t>Source assignment -- not individually reviewed</t>
        </is>
      </c>
      <c r="H687" s="17" t="inlineStr">
        <is>
          <t>10 EVIDENCE &amp; DECISIONS</t>
        </is>
      </c>
    </row>
    <row r="688" ht="34" customHeight="1">
      <c r="A688" s="12" t="inlineStr">
        <is>
          <t>R490-v1</t>
        </is>
      </c>
      <c r="B688" s="12" t="inlineStr">
        <is>
          <t>Contractor Programme</t>
        </is>
      </c>
      <c r="C688" s="12" t="inlineStr">
        <is>
          <t>SCH-03-130</t>
        </is>
      </c>
      <c r="D688" s="12" t="inlineStr">
        <is>
          <t>1.3.1 Systems - Traction Power</t>
        </is>
      </c>
      <c r="E688" s="12" t="inlineStr">
        <is>
          <t>New</t>
        </is>
      </c>
      <c r="F688" s="12" t="inlineStr"/>
      <c r="G688" s="12" t="inlineStr">
        <is>
          <t>Source assignment -- not individually reviewed</t>
        </is>
      </c>
      <c r="H688" s="17" t="inlineStr">
        <is>
          <t>10 EVIDENCE &amp; DECISIONS</t>
        </is>
      </c>
    </row>
    <row r="689" ht="34" customHeight="1">
      <c r="A689" s="12" t="inlineStr">
        <is>
          <t>R491-v1</t>
        </is>
      </c>
      <c r="B689" s="12" t="inlineStr">
        <is>
          <t>Contractor Programme</t>
        </is>
      </c>
      <c r="C689" s="12" t="inlineStr">
        <is>
          <t>SCH-03-131</t>
        </is>
      </c>
      <c r="D689" s="12" t="inlineStr">
        <is>
          <t>1.3.1 Systems - Traction Power</t>
        </is>
      </c>
      <c r="E689" s="12" t="inlineStr">
        <is>
          <t>New</t>
        </is>
      </c>
      <c r="F689" s="12" t="inlineStr"/>
      <c r="G689" s="12" t="inlineStr">
        <is>
          <t>Source assignment -- not individually reviewed</t>
        </is>
      </c>
      <c r="H689" s="17" t="inlineStr">
        <is>
          <t>10 EVIDENCE &amp; DECISIONS</t>
        </is>
      </c>
    </row>
    <row r="690" ht="34" customHeight="1">
      <c r="A690" s="12" t="inlineStr">
        <is>
          <t>R493-v1</t>
        </is>
      </c>
      <c r="B690" s="12" t="inlineStr">
        <is>
          <t>Contractor Programme</t>
        </is>
      </c>
      <c r="C690" s="12" t="inlineStr">
        <is>
          <t>SCH-03-133</t>
        </is>
      </c>
      <c r="D690" s="12" t="inlineStr">
        <is>
          <t>1.3.1 Systems - Traction Power</t>
        </is>
      </c>
      <c r="E690" s="12" t="inlineStr">
        <is>
          <t>New</t>
        </is>
      </c>
      <c r="F690" s="12" t="inlineStr"/>
      <c r="G690" s="12" t="inlineStr">
        <is>
          <t>Source assignment -- not individually reviewed</t>
        </is>
      </c>
      <c r="H690" s="17" t="inlineStr">
        <is>
          <t>10 EVIDENCE &amp; DECISIONS</t>
        </is>
      </c>
    </row>
    <row r="691" ht="34" customHeight="1">
      <c r="A691" s="12" t="inlineStr">
        <is>
          <t>R494-v1</t>
        </is>
      </c>
      <c r="B691" s="12" t="inlineStr">
        <is>
          <t>Contractor Programme</t>
        </is>
      </c>
      <c r="C691" s="12" t="inlineStr">
        <is>
          <t>SCH-03-134</t>
        </is>
      </c>
      <c r="D691" s="12" t="inlineStr">
        <is>
          <t>1.3.1 Systems - Traction Power</t>
        </is>
      </c>
      <c r="E691" s="12" t="inlineStr">
        <is>
          <t>New</t>
        </is>
      </c>
      <c r="F691" s="12" t="inlineStr"/>
      <c r="G691" s="12" t="inlineStr">
        <is>
          <t>Source assignment -- not individually reviewed</t>
        </is>
      </c>
      <c r="H691" s="17" t="inlineStr">
        <is>
          <t>10 EVIDENCE &amp; DECISIONS</t>
        </is>
      </c>
    </row>
    <row r="692" ht="34" customHeight="1">
      <c r="A692" s="12" t="inlineStr">
        <is>
          <t>R496-v1</t>
        </is>
      </c>
      <c r="B692" s="12" t="inlineStr">
        <is>
          <t>Contractor Programme</t>
        </is>
      </c>
      <c r="C692" s="12" t="inlineStr">
        <is>
          <t>SCH-03-136</t>
        </is>
      </c>
      <c r="D692" s="12" t="inlineStr">
        <is>
          <t>1.3.1 Systems - Traction Power</t>
        </is>
      </c>
      <c r="E692" s="12" t="inlineStr">
        <is>
          <t>New</t>
        </is>
      </c>
      <c r="F692" s="12" t="inlineStr"/>
      <c r="G692" s="12" t="inlineStr">
        <is>
          <t>Source assignment -- not individually reviewed</t>
        </is>
      </c>
      <c r="H692" s="17" t="inlineStr">
        <is>
          <t>10 EVIDENCE &amp; DECISIONS</t>
        </is>
      </c>
    </row>
    <row r="693" ht="34" customHeight="1">
      <c r="A693" s="12" t="inlineStr">
        <is>
          <t>R497-v1</t>
        </is>
      </c>
      <c r="B693" s="12" t="inlineStr">
        <is>
          <t>Contractor Programme</t>
        </is>
      </c>
      <c r="C693" s="12" t="inlineStr">
        <is>
          <t>SCH-03-137</t>
        </is>
      </c>
      <c r="D693" s="12" t="inlineStr">
        <is>
          <t>1.3.1 Systems - Traction Power</t>
        </is>
      </c>
      <c r="E693" s="12" t="inlineStr">
        <is>
          <t>New</t>
        </is>
      </c>
      <c r="F693" s="12" t="inlineStr"/>
      <c r="G693" s="12" t="inlineStr">
        <is>
          <t>Source assignment -- not individually reviewed</t>
        </is>
      </c>
      <c r="H693" s="17" t="inlineStr">
        <is>
          <t>10 EVIDENCE &amp; DECISIONS</t>
        </is>
      </c>
    </row>
    <row r="694" ht="34" customHeight="1">
      <c r="A694" s="12" t="inlineStr">
        <is>
          <t>R499-v1</t>
        </is>
      </c>
      <c r="B694" s="12" t="inlineStr">
        <is>
          <t>Contractor Programme</t>
        </is>
      </c>
      <c r="C694" s="12" t="inlineStr">
        <is>
          <t>SCH-03-139</t>
        </is>
      </c>
      <c r="D694" s="12" t="inlineStr">
        <is>
          <t>1.3.1 Systems - Traction Power</t>
        </is>
      </c>
      <c r="E694" s="12" t="inlineStr">
        <is>
          <t>New</t>
        </is>
      </c>
      <c r="F694" s="12" t="inlineStr"/>
      <c r="G694" s="12" t="inlineStr">
        <is>
          <t>Source assignment -- not individually reviewed</t>
        </is>
      </c>
      <c r="H694" s="17" t="inlineStr">
        <is>
          <t>10 EVIDENCE &amp; DECISIONS</t>
        </is>
      </c>
    </row>
    <row r="695" ht="34" customHeight="1">
      <c r="A695" s="12" t="inlineStr">
        <is>
          <t>R500-v1</t>
        </is>
      </c>
      <c r="B695" s="12" t="inlineStr">
        <is>
          <t>Contractor Programme</t>
        </is>
      </c>
      <c r="C695" s="12" t="inlineStr">
        <is>
          <t>SCH-03-140</t>
        </is>
      </c>
      <c r="D695" s="12" t="inlineStr">
        <is>
          <t>1.3.1 Systems - Traction Power</t>
        </is>
      </c>
      <c r="E695" s="12" t="inlineStr">
        <is>
          <t>New</t>
        </is>
      </c>
      <c r="F695" s="12" t="inlineStr"/>
      <c r="G695" s="12" t="inlineStr">
        <is>
          <t>Source assignment -- not individually reviewed</t>
        </is>
      </c>
      <c r="H695" s="17" t="inlineStr">
        <is>
          <t>10 EVIDENCE &amp; DECISIONS</t>
        </is>
      </c>
    </row>
    <row r="696" ht="34" customHeight="1">
      <c r="A696" s="12" t="inlineStr">
        <is>
          <t>R502-v1</t>
        </is>
      </c>
      <c r="B696" s="12" t="inlineStr">
        <is>
          <t>Contractor Programme</t>
        </is>
      </c>
      <c r="C696" s="12" t="inlineStr">
        <is>
          <t>SCH-03-142</t>
        </is>
      </c>
      <c r="D696" s="12" t="inlineStr">
        <is>
          <t>1.3.1 Systems - Traction Power</t>
        </is>
      </c>
      <c r="E696" s="12" t="inlineStr">
        <is>
          <t>New</t>
        </is>
      </c>
      <c r="F696" s="12" t="inlineStr"/>
      <c r="G696" s="12" t="inlineStr">
        <is>
          <t>Source assignment -- not individually reviewed</t>
        </is>
      </c>
      <c r="H696" s="17" t="inlineStr">
        <is>
          <t>10 EVIDENCE &amp; DECISIONS</t>
        </is>
      </c>
    </row>
    <row r="697" ht="34" customHeight="1">
      <c r="A697" s="12" t="inlineStr">
        <is>
          <t>R503-v1</t>
        </is>
      </c>
      <c r="B697" s="12" t="inlineStr">
        <is>
          <t>Contractor Programme</t>
        </is>
      </c>
      <c r="C697" s="12" t="inlineStr">
        <is>
          <t>SCH-03-143</t>
        </is>
      </c>
      <c r="D697" s="12" t="inlineStr">
        <is>
          <t>1.3.1 Systems - Traction Power</t>
        </is>
      </c>
      <c r="E697" s="12" t="inlineStr">
        <is>
          <t>New</t>
        </is>
      </c>
      <c r="F697" s="12" t="inlineStr"/>
      <c r="G697" s="12" t="inlineStr">
        <is>
          <t>Source assignment -- not individually reviewed</t>
        </is>
      </c>
      <c r="H697" s="17" t="inlineStr">
        <is>
          <t>10 EVIDENCE &amp; DECISIONS</t>
        </is>
      </c>
    </row>
    <row r="698" ht="34" customHeight="1">
      <c r="A698" s="12" t="inlineStr">
        <is>
          <t>R505-v1</t>
        </is>
      </c>
      <c r="B698" s="12" t="inlineStr">
        <is>
          <t>Contractor Programme</t>
        </is>
      </c>
      <c r="C698" s="12" t="inlineStr">
        <is>
          <t>SCH-03-145</t>
        </is>
      </c>
      <c r="D698" s="12" t="inlineStr">
        <is>
          <t>1.3.1 Systems - Traction Power</t>
        </is>
      </c>
      <c r="E698" s="12" t="inlineStr">
        <is>
          <t>New</t>
        </is>
      </c>
      <c r="F698" s="12" t="inlineStr"/>
      <c r="G698" s="12" t="inlineStr">
        <is>
          <t>Source assignment -- not individually reviewed</t>
        </is>
      </c>
      <c r="H698" s="17" t="inlineStr">
        <is>
          <t>10 EVIDENCE &amp; DECISIONS</t>
        </is>
      </c>
    </row>
    <row r="699" ht="34" customHeight="1">
      <c r="A699" s="12" t="inlineStr">
        <is>
          <t>R506-v1</t>
        </is>
      </c>
      <c r="B699" s="12" t="inlineStr">
        <is>
          <t>Contractor Programme</t>
        </is>
      </c>
      <c r="C699" s="12" t="inlineStr">
        <is>
          <t>SCH-03-146</t>
        </is>
      </c>
      <c r="D699" s="12" t="inlineStr">
        <is>
          <t>1.3.1 Systems - Traction Power</t>
        </is>
      </c>
      <c r="E699" s="12" t="inlineStr">
        <is>
          <t>New</t>
        </is>
      </c>
      <c r="F699" s="12" t="inlineStr"/>
      <c r="G699" s="12" t="inlineStr">
        <is>
          <t>Source assignment -- not individually reviewed</t>
        </is>
      </c>
      <c r="H699" s="17" t="inlineStr">
        <is>
          <t>10 EVIDENCE &amp; DECISIONS</t>
        </is>
      </c>
    </row>
    <row r="700" ht="34" customHeight="1">
      <c r="A700" s="12" t="inlineStr">
        <is>
          <t>R508-v1</t>
        </is>
      </c>
      <c r="B700" s="12" t="inlineStr">
        <is>
          <t>Contractor Programme</t>
        </is>
      </c>
      <c r="C700" s="12" t="inlineStr">
        <is>
          <t>SCH-03-148</t>
        </is>
      </c>
      <c r="D700" s="12" t="inlineStr">
        <is>
          <t>1.3.1 Systems - Traction Power</t>
        </is>
      </c>
      <c r="E700" s="12" t="inlineStr">
        <is>
          <t>New</t>
        </is>
      </c>
      <c r="F700" s="12" t="inlineStr"/>
      <c r="G700" s="12" t="inlineStr">
        <is>
          <t>Source assignment -- not individually reviewed</t>
        </is>
      </c>
      <c r="H700" s="17" t="inlineStr">
        <is>
          <t>10 EVIDENCE &amp; DECISIONS</t>
        </is>
      </c>
    </row>
    <row r="701" ht="34" customHeight="1">
      <c r="A701" s="12" t="inlineStr">
        <is>
          <t>R509-v1</t>
        </is>
      </c>
      <c r="B701" s="12" t="inlineStr">
        <is>
          <t>Contractor Programme</t>
        </is>
      </c>
      <c r="C701" s="12" t="inlineStr">
        <is>
          <t>SCH-03-149</t>
        </is>
      </c>
      <c r="D701" s="12" t="inlineStr">
        <is>
          <t>1.3.1 Systems - Traction Power</t>
        </is>
      </c>
      <c r="E701" s="12" t="inlineStr">
        <is>
          <t>New</t>
        </is>
      </c>
      <c r="F701" s="12" t="inlineStr"/>
      <c r="G701" s="12" t="inlineStr">
        <is>
          <t>Source assignment -- not individually reviewed</t>
        </is>
      </c>
      <c r="H701" s="17" t="inlineStr">
        <is>
          <t>10 EVIDENCE &amp; DECISIONS</t>
        </is>
      </c>
    </row>
    <row r="702" ht="34" customHeight="1">
      <c r="A702" s="12" t="inlineStr">
        <is>
          <t>R511-v1</t>
        </is>
      </c>
      <c r="B702" s="12" t="inlineStr">
        <is>
          <t>Contractor Programme</t>
        </is>
      </c>
      <c r="C702" s="12" t="inlineStr">
        <is>
          <t>SCH-03-151</t>
        </is>
      </c>
      <c r="D702" s="12" t="inlineStr">
        <is>
          <t>1.3.1 Systems - Traction Power</t>
        </is>
      </c>
      <c r="E702" s="12" t="inlineStr">
        <is>
          <t>New</t>
        </is>
      </c>
      <c r="F702" s="12" t="inlineStr"/>
      <c r="G702" s="12" t="inlineStr">
        <is>
          <t>Source assignment -- not individually reviewed</t>
        </is>
      </c>
      <c r="H702" s="17" t="inlineStr">
        <is>
          <t>10 EVIDENCE &amp; DECISIONS</t>
        </is>
      </c>
    </row>
    <row r="703" ht="34" customHeight="1">
      <c r="A703" s="12" t="inlineStr">
        <is>
          <t>R512-v1</t>
        </is>
      </c>
      <c r="B703" s="12" t="inlineStr">
        <is>
          <t>Contractor Programme</t>
        </is>
      </c>
      <c r="C703" s="12" t="inlineStr">
        <is>
          <t>SCH-03-152</t>
        </is>
      </c>
      <c r="D703" s="12" t="inlineStr">
        <is>
          <t>1.3.1 Systems - Traction Power</t>
        </is>
      </c>
      <c r="E703" s="12" t="inlineStr">
        <is>
          <t>New</t>
        </is>
      </c>
      <c r="F703" s="12" t="inlineStr"/>
      <c r="G703" s="12" t="inlineStr">
        <is>
          <t>Source assignment -- not individually reviewed</t>
        </is>
      </c>
      <c r="H703" s="17" t="inlineStr">
        <is>
          <t>10 EVIDENCE &amp; DECISIONS</t>
        </is>
      </c>
    </row>
    <row r="704" ht="34" customHeight="1">
      <c r="A704" s="12" t="inlineStr">
        <is>
          <t>R514-v1</t>
        </is>
      </c>
      <c r="B704" s="12" t="inlineStr">
        <is>
          <t>Contractor Programme</t>
        </is>
      </c>
      <c r="C704" s="12" t="inlineStr">
        <is>
          <t>SCH-03-154</t>
        </is>
      </c>
      <c r="D704" s="12" t="inlineStr">
        <is>
          <t>1.3.1 Systems - Traction Power</t>
        </is>
      </c>
      <c r="E704" s="12" t="inlineStr">
        <is>
          <t>New</t>
        </is>
      </c>
      <c r="F704" s="12" t="inlineStr"/>
      <c r="G704" s="12" t="inlineStr">
        <is>
          <t>Source assignment -- not individually reviewed</t>
        </is>
      </c>
      <c r="H704" s="17" t="inlineStr">
        <is>
          <t>10 EVIDENCE &amp; DECISIONS</t>
        </is>
      </c>
    </row>
    <row r="705" ht="34" customHeight="1">
      <c r="A705" s="12" t="inlineStr">
        <is>
          <t>R515-v1</t>
        </is>
      </c>
      <c r="B705" s="12" t="inlineStr">
        <is>
          <t>Contractor Programme</t>
        </is>
      </c>
      <c r="C705" s="12" t="inlineStr">
        <is>
          <t>SCH-03-155</t>
        </is>
      </c>
      <c r="D705" s="12" t="inlineStr">
        <is>
          <t>1.3.1 Systems - Traction Power</t>
        </is>
      </c>
      <c r="E705" s="12" t="inlineStr">
        <is>
          <t>New</t>
        </is>
      </c>
      <c r="F705" s="12" t="inlineStr"/>
      <c r="G705" s="12" t="inlineStr">
        <is>
          <t>Source assignment -- not individually reviewed</t>
        </is>
      </c>
      <c r="H705" s="17" t="inlineStr">
        <is>
          <t>10 EVIDENCE &amp; DECISIONS</t>
        </is>
      </c>
    </row>
    <row r="706" ht="34" customHeight="1">
      <c r="A706" s="12" t="inlineStr">
        <is>
          <t>R517-v1</t>
        </is>
      </c>
      <c r="B706" s="12" t="inlineStr">
        <is>
          <t>Contractor Programme</t>
        </is>
      </c>
      <c r="C706" s="12" t="inlineStr">
        <is>
          <t>SCH-03-157</t>
        </is>
      </c>
      <c r="D706" s="12" t="inlineStr">
        <is>
          <t>1.3.1 Systems - Traction Power</t>
        </is>
      </c>
      <c r="E706" s="12" t="inlineStr">
        <is>
          <t>New</t>
        </is>
      </c>
      <c r="F706" s="12" t="inlineStr"/>
      <c r="G706" s="12" t="inlineStr">
        <is>
          <t>Source assignment -- not individually reviewed</t>
        </is>
      </c>
      <c r="H706" s="17" t="inlineStr">
        <is>
          <t>10 EVIDENCE &amp; DECISIONS</t>
        </is>
      </c>
    </row>
    <row r="707" ht="34" customHeight="1">
      <c r="A707" s="12" t="inlineStr">
        <is>
          <t>R518-v1</t>
        </is>
      </c>
      <c r="B707" s="12" t="inlineStr">
        <is>
          <t>Contractor Programme</t>
        </is>
      </c>
      <c r="C707" s="12" t="inlineStr">
        <is>
          <t>SCH-03-158</t>
        </is>
      </c>
      <c r="D707" s="12" t="inlineStr">
        <is>
          <t>1.3.1 Systems - Traction Power</t>
        </is>
      </c>
      <c r="E707" s="12" t="inlineStr">
        <is>
          <t>New</t>
        </is>
      </c>
      <c r="F707" s="12" t="inlineStr"/>
      <c r="G707" s="12" t="inlineStr">
        <is>
          <t>Source assignment -- not individually reviewed</t>
        </is>
      </c>
      <c r="H707" s="17" t="inlineStr">
        <is>
          <t>10 EVIDENCE &amp; DECISIONS</t>
        </is>
      </c>
    </row>
    <row r="708" ht="34" customHeight="1">
      <c r="A708" s="12" t="inlineStr">
        <is>
          <t>R520-v1</t>
        </is>
      </c>
      <c r="B708" s="12" t="inlineStr">
        <is>
          <t>Contractor Programme</t>
        </is>
      </c>
      <c r="C708" s="12" t="inlineStr">
        <is>
          <t>SCH-03-160</t>
        </is>
      </c>
      <c r="D708" s="12" t="inlineStr">
        <is>
          <t>1.3.1 Systems - Traction Power</t>
        </is>
      </c>
      <c r="E708" s="12" t="inlineStr">
        <is>
          <t>New</t>
        </is>
      </c>
      <c r="F708" s="12" t="inlineStr"/>
      <c r="G708" s="12" t="inlineStr">
        <is>
          <t>Source assignment -- not individually reviewed</t>
        </is>
      </c>
      <c r="H708" s="17" t="inlineStr">
        <is>
          <t>10 EVIDENCE &amp; DECISIONS</t>
        </is>
      </c>
    </row>
    <row r="709" ht="34" customHeight="1">
      <c r="A709" s="12" t="inlineStr">
        <is>
          <t>R521-v1</t>
        </is>
      </c>
      <c r="B709" s="12" t="inlineStr">
        <is>
          <t>Contractor Programme</t>
        </is>
      </c>
      <c r="C709" s="12" t="inlineStr">
        <is>
          <t>SCH-03-161</t>
        </is>
      </c>
      <c r="D709" s="12" t="inlineStr">
        <is>
          <t>1.3.1 Systems - Traction Power</t>
        </is>
      </c>
      <c r="E709" s="12" t="inlineStr">
        <is>
          <t>New</t>
        </is>
      </c>
      <c r="F709" s="12" t="inlineStr"/>
      <c r="G709" s="12" t="inlineStr">
        <is>
          <t>Source assignment -- not individually reviewed</t>
        </is>
      </c>
      <c r="H709" s="17" t="inlineStr">
        <is>
          <t>10 EVIDENCE &amp; DECISIONS</t>
        </is>
      </c>
    </row>
    <row r="710" ht="34" customHeight="1">
      <c r="A710" s="12" t="inlineStr">
        <is>
          <t>R523-v1</t>
        </is>
      </c>
      <c r="B710" s="12" t="inlineStr">
        <is>
          <t>Contractor Programme</t>
        </is>
      </c>
      <c r="C710" s="12" t="inlineStr">
        <is>
          <t>SCH-03-163</t>
        </is>
      </c>
      <c r="D710" s="12" t="inlineStr">
        <is>
          <t>1.3.1 Systems - Traction Power</t>
        </is>
      </c>
      <c r="E710" s="12" t="inlineStr">
        <is>
          <t>New</t>
        </is>
      </c>
      <c r="F710" s="12" t="inlineStr"/>
      <c r="G710" s="12" t="inlineStr">
        <is>
          <t>Source assignment -- not individually reviewed</t>
        </is>
      </c>
      <c r="H710" s="17" t="inlineStr">
        <is>
          <t>10 EVIDENCE &amp; DECISIONS</t>
        </is>
      </c>
    </row>
    <row r="711" ht="34" customHeight="1">
      <c r="A711" s="12" t="inlineStr">
        <is>
          <t>R524-v1</t>
        </is>
      </c>
      <c r="B711" s="12" t="inlineStr">
        <is>
          <t>Contractor Programme</t>
        </is>
      </c>
      <c r="C711" s="12" t="inlineStr">
        <is>
          <t>SCH-03-164</t>
        </is>
      </c>
      <c r="D711" s="12" t="inlineStr">
        <is>
          <t>1.3.1 Systems - Traction Power</t>
        </is>
      </c>
      <c r="E711" s="12" t="inlineStr">
        <is>
          <t>New</t>
        </is>
      </c>
      <c r="F711" s="12" t="inlineStr"/>
      <c r="G711" s="12" t="inlineStr">
        <is>
          <t>Source assignment -- not individually reviewed</t>
        </is>
      </c>
      <c r="H711" s="17" t="inlineStr">
        <is>
          <t>10 EVIDENCE &amp; DECISIONS</t>
        </is>
      </c>
    </row>
    <row r="712" ht="34" customHeight="1">
      <c r="A712" s="12" t="inlineStr">
        <is>
          <t>R526-v1</t>
        </is>
      </c>
      <c r="B712" s="12" t="inlineStr">
        <is>
          <t>Contractor Programme</t>
        </is>
      </c>
      <c r="C712" s="12" t="inlineStr">
        <is>
          <t>SCH-03-166</t>
        </is>
      </c>
      <c r="D712" s="12" t="inlineStr">
        <is>
          <t>1.3.1 Systems - Traction Power</t>
        </is>
      </c>
      <c r="E712" s="12" t="inlineStr">
        <is>
          <t>New</t>
        </is>
      </c>
      <c r="F712" s="12" t="inlineStr"/>
      <c r="G712" s="12" t="inlineStr">
        <is>
          <t>Source assignment -- not individually reviewed</t>
        </is>
      </c>
      <c r="H712" s="17" t="inlineStr">
        <is>
          <t>10 EVIDENCE &amp; DECISIONS</t>
        </is>
      </c>
    </row>
    <row r="713" ht="34" customHeight="1">
      <c r="A713" s="12" t="inlineStr">
        <is>
          <t>R527-v1</t>
        </is>
      </c>
      <c r="B713" s="12" t="inlineStr">
        <is>
          <t>Contractor Programme</t>
        </is>
      </c>
      <c r="C713" s="12" t="inlineStr">
        <is>
          <t>SCH-03-167</t>
        </is>
      </c>
      <c r="D713" s="12" t="inlineStr">
        <is>
          <t>1.3.1 Systems - Traction Power</t>
        </is>
      </c>
      <c r="E713" s="12" t="inlineStr">
        <is>
          <t>New</t>
        </is>
      </c>
      <c r="F713" s="12" t="inlineStr"/>
      <c r="G713" s="12" t="inlineStr">
        <is>
          <t>Source assignment -- not individually reviewed</t>
        </is>
      </c>
      <c r="H713" s="17" t="inlineStr">
        <is>
          <t>10 EVIDENCE &amp; DECISIONS</t>
        </is>
      </c>
    </row>
    <row r="714" ht="34" customHeight="1">
      <c r="A714" s="12" t="inlineStr">
        <is>
          <t>R529-v1</t>
        </is>
      </c>
      <c r="B714" s="12" t="inlineStr">
        <is>
          <t>Contractor Programme</t>
        </is>
      </c>
      <c r="C714" s="12" t="inlineStr">
        <is>
          <t>SCH-03-169</t>
        </is>
      </c>
      <c r="D714" s="12" t="inlineStr">
        <is>
          <t>1.3.1 Systems - Traction Power</t>
        </is>
      </c>
      <c r="E714" s="12" t="inlineStr">
        <is>
          <t>New</t>
        </is>
      </c>
      <c r="F714" s="12" t="inlineStr"/>
      <c r="G714" s="12" t="inlineStr">
        <is>
          <t>Source assignment -- not individually reviewed</t>
        </is>
      </c>
      <c r="H714" s="17" t="inlineStr">
        <is>
          <t>10 EVIDENCE &amp; DECISIONS</t>
        </is>
      </c>
    </row>
    <row r="715" ht="34" customHeight="1">
      <c r="A715" s="12" t="inlineStr">
        <is>
          <t>R530-v1</t>
        </is>
      </c>
      <c r="B715" s="12" t="inlineStr">
        <is>
          <t>Contractor Programme</t>
        </is>
      </c>
      <c r="C715" s="12" t="inlineStr">
        <is>
          <t>SCH-03-170</t>
        </is>
      </c>
      <c r="D715" s="12" t="inlineStr">
        <is>
          <t>1.3.1 Systems - Traction Power</t>
        </is>
      </c>
      <c r="E715" s="12" t="inlineStr">
        <is>
          <t>New</t>
        </is>
      </c>
      <c r="F715" s="12" t="inlineStr"/>
      <c r="G715" s="12" t="inlineStr">
        <is>
          <t>Source assignment -- not individually reviewed</t>
        </is>
      </c>
      <c r="H715" s="17" t="inlineStr">
        <is>
          <t>10 EVIDENCE &amp; DECISIONS</t>
        </is>
      </c>
    </row>
    <row r="716" ht="34" customHeight="1">
      <c r="A716" s="12" t="inlineStr">
        <is>
          <t>R532-v1</t>
        </is>
      </c>
      <c r="B716" s="12" t="inlineStr">
        <is>
          <t>Contractor Programme</t>
        </is>
      </c>
      <c r="C716" s="12" t="inlineStr">
        <is>
          <t>SCH-03-172</t>
        </is>
      </c>
      <c r="D716" s="12" t="inlineStr">
        <is>
          <t>1.3.1 Systems - Traction Power</t>
        </is>
      </c>
      <c r="E716" s="12" t="inlineStr">
        <is>
          <t>New</t>
        </is>
      </c>
      <c r="F716" s="12" t="inlineStr"/>
      <c r="G716" s="12" t="inlineStr">
        <is>
          <t>Source assignment -- not individually reviewed</t>
        </is>
      </c>
      <c r="H716" s="17" t="inlineStr">
        <is>
          <t>10 EVIDENCE &amp; DECISIONS</t>
        </is>
      </c>
    </row>
    <row r="717" ht="34" customHeight="1">
      <c r="A717" s="12" t="inlineStr">
        <is>
          <t>R533-v1</t>
        </is>
      </c>
      <c r="B717" s="12" t="inlineStr">
        <is>
          <t>Contractor Programme</t>
        </is>
      </c>
      <c r="C717" s="12" t="inlineStr">
        <is>
          <t>SCH-03-173</t>
        </is>
      </c>
      <c r="D717" s="12" t="inlineStr">
        <is>
          <t>1.3.1 Systems - Traction Power</t>
        </is>
      </c>
      <c r="E717" s="12" t="inlineStr">
        <is>
          <t>New</t>
        </is>
      </c>
      <c r="F717" s="12" t="inlineStr"/>
      <c r="G717" s="12" t="inlineStr">
        <is>
          <t>Source assignment -- not individually reviewed</t>
        </is>
      </c>
      <c r="H717" s="17" t="inlineStr">
        <is>
          <t>10 EVIDENCE &amp; DECISIONS</t>
        </is>
      </c>
    </row>
    <row r="718" ht="34" customHeight="1">
      <c r="A718" s="12" t="inlineStr">
        <is>
          <t>R535-v1</t>
        </is>
      </c>
      <c r="B718" s="12" t="inlineStr">
        <is>
          <t>Contractor Programme</t>
        </is>
      </c>
      <c r="C718" s="12" t="inlineStr">
        <is>
          <t>SCH-03-175</t>
        </is>
      </c>
      <c r="D718" s="12" t="inlineStr">
        <is>
          <t>1.3.1 Systems - Traction Power</t>
        </is>
      </c>
      <c r="E718" s="12" t="inlineStr">
        <is>
          <t>New</t>
        </is>
      </c>
      <c r="F718" s="12" t="inlineStr"/>
      <c r="G718" s="12" t="inlineStr">
        <is>
          <t>Source assignment -- not individually reviewed</t>
        </is>
      </c>
      <c r="H718" s="17" t="inlineStr">
        <is>
          <t>10 EVIDENCE &amp; DECISIONS</t>
        </is>
      </c>
    </row>
    <row r="719" ht="34" customHeight="1">
      <c r="A719" s="12" t="inlineStr">
        <is>
          <t>R536-v1</t>
        </is>
      </c>
      <c r="B719" s="12" t="inlineStr">
        <is>
          <t>Contractor Programme</t>
        </is>
      </c>
      <c r="C719" s="12" t="inlineStr">
        <is>
          <t>SCH-03-176</t>
        </is>
      </c>
      <c r="D719" s="12" t="inlineStr">
        <is>
          <t>1.3.1 Systems - Traction Power</t>
        </is>
      </c>
      <c r="E719" s="12" t="inlineStr">
        <is>
          <t>New</t>
        </is>
      </c>
      <c r="F719" s="12" t="inlineStr"/>
      <c r="G719" s="12" t="inlineStr">
        <is>
          <t>Source assignment -- not individually reviewed</t>
        </is>
      </c>
      <c r="H719" s="17" t="inlineStr">
        <is>
          <t>10 EVIDENCE &amp; DECISIONS</t>
        </is>
      </c>
    </row>
    <row r="720" ht="34" customHeight="1">
      <c r="A720" s="12" t="inlineStr">
        <is>
          <t>R538-v1</t>
        </is>
      </c>
      <c r="B720" s="12" t="inlineStr">
        <is>
          <t>Contractor Programme</t>
        </is>
      </c>
      <c r="C720" s="12" t="inlineStr">
        <is>
          <t>SCH-03-178</t>
        </is>
      </c>
      <c r="D720" s="12" t="inlineStr">
        <is>
          <t>1.3.1 Systems - Traction Power</t>
        </is>
      </c>
      <c r="E720" s="12" t="inlineStr">
        <is>
          <t>New</t>
        </is>
      </c>
      <c r="F720" s="12" t="inlineStr"/>
      <c r="G720" s="12" t="inlineStr">
        <is>
          <t>Source assignment -- not individually reviewed</t>
        </is>
      </c>
      <c r="H720" s="17" t="inlineStr">
        <is>
          <t>10 EVIDENCE &amp; DECISIONS</t>
        </is>
      </c>
    </row>
    <row r="721" ht="34" customHeight="1">
      <c r="A721" s="12" t="inlineStr">
        <is>
          <t>R539-v1</t>
        </is>
      </c>
      <c r="B721" s="12" t="inlineStr">
        <is>
          <t>Contractor Programme</t>
        </is>
      </c>
      <c r="C721" s="12" t="inlineStr">
        <is>
          <t>SCH-03-179</t>
        </is>
      </c>
      <c r="D721" s="12" t="inlineStr">
        <is>
          <t>1.3.1 Systems - Traction Power</t>
        </is>
      </c>
      <c r="E721" s="12" t="inlineStr">
        <is>
          <t>New</t>
        </is>
      </c>
      <c r="F721" s="12" t="inlineStr"/>
      <c r="G721" s="12" t="inlineStr">
        <is>
          <t>Source assignment -- not individually reviewed</t>
        </is>
      </c>
      <c r="H721" s="17" t="inlineStr">
        <is>
          <t>10 EVIDENCE &amp; DECISIONS</t>
        </is>
      </c>
    </row>
    <row r="722" ht="34" customHeight="1">
      <c r="A722" s="12" t="inlineStr">
        <is>
          <t>R1244-v1</t>
        </is>
      </c>
      <c r="B722" s="12" t="inlineStr">
        <is>
          <t>Cost &amp; Forecast Control Accounts</t>
        </is>
      </c>
      <c r="C722" s="12" t="inlineStr">
        <is>
          <t>CST-03-002</t>
        </is>
      </c>
      <c r="D722" s="12" t="inlineStr">
        <is>
          <t>1.3.2 Systems - Signalling &amp; Train Control</t>
        </is>
      </c>
      <c r="E722" s="12" t="inlineStr">
        <is>
          <t>New</t>
        </is>
      </c>
      <c r="F722" s="12" t="inlineStr"/>
      <c r="G722" s="12" t="inlineStr">
        <is>
          <t>Source assignment -- not individually reviewed</t>
        </is>
      </c>
      <c r="H722" s="17" t="inlineStr">
        <is>
          <t>10 EVIDENCE &amp; DECISIONS</t>
        </is>
      </c>
    </row>
    <row r="723" ht="34" customHeight="1">
      <c r="A723" s="12" t="inlineStr">
        <is>
          <t>R1248-v1</t>
        </is>
      </c>
      <c r="B723" s="12" t="inlineStr">
        <is>
          <t>Cost &amp; Forecast Control Accounts</t>
        </is>
      </c>
      <c r="C723" s="12" t="inlineStr">
        <is>
          <t>CST-03-006</t>
        </is>
      </c>
      <c r="D723" s="12" t="inlineStr">
        <is>
          <t>1.3.2 Systems - Signalling &amp; Train Control</t>
        </is>
      </c>
      <c r="E723" s="12" t="inlineStr">
        <is>
          <t>New</t>
        </is>
      </c>
      <c r="F723" s="12" t="inlineStr"/>
      <c r="G723" s="12" t="inlineStr">
        <is>
          <t>Source assignment -- not individually reviewed</t>
        </is>
      </c>
      <c r="H723" s="17" t="inlineStr">
        <is>
          <t>10 EVIDENCE &amp; DECISIONS</t>
        </is>
      </c>
    </row>
    <row r="724" ht="34" customHeight="1">
      <c r="A724" s="12" t="inlineStr">
        <is>
          <t>R1250-v1</t>
        </is>
      </c>
      <c r="B724" s="12" t="inlineStr">
        <is>
          <t>Cost &amp; Forecast Control Accounts</t>
        </is>
      </c>
      <c r="C724" s="12" t="inlineStr">
        <is>
          <t>CST-03-008</t>
        </is>
      </c>
      <c r="D724" s="12" t="inlineStr">
        <is>
          <t>1.3.2 Systems - Signalling &amp; Train Control</t>
        </is>
      </c>
      <c r="E724" s="12" t="inlineStr">
        <is>
          <t>New</t>
        </is>
      </c>
      <c r="F724" s="12" t="inlineStr"/>
      <c r="G724" s="12" t="inlineStr">
        <is>
          <t>Source assignment -- not individually reviewed</t>
        </is>
      </c>
      <c r="H724" s="17" t="inlineStr">
        <is>
          <t>10 EVIDENCE &amp; DECISIONS</t>
        </is>
      </c>
    </row>
    <row r="725" ht="34" customHeight="1">
      <c r="A725" s="12" t="inlineStr">
        <is>
          <t>R1252-v1</t>
        </is>
      </c>
      <c r="B725" s="12" t="inlineStr">
        <is>
          <t>Cost &amp; Forecast Control Accounts</t>
        </is>
      </c>
      <c r="C725" s="12" t="inlineStr">
        <is>
          <t>CST-03-010</t>
        </is>
      </c>
      <c r="D725" s="12" t="inlineStr">
        <is>
          <t>1.3.2 Systems - Signalling &amp; Train Control</t>
        </is>
      </c>
      <c r="E725" s="12" t="inlineStr">
        <is>
          <t>New</t>
        </is>
      </c>
      <c r="F725" s="12" t="inlineStr"/>
      <c r="G725" s="12" t="inlineStr">
        <is>
          <t>Source assignment -- not individually reviewed</t>
        </is>
      </c>
      <c r="H725" s="17" t="inlineStr">
        <is>
          <t>10 EVIDENCE &amp; DECISIONS</t>
        </is>
      </c>
    </row>
    <row r="726" ht="34" customHeight="1">
      <c r="A726" s="12" t="inlineStr">
        <is>
          <t>R1254-v1</t>
        </is>
      </c>
      <c r="B726" s="12" t="inlineStr">
        <is>
          <t>Cost &amp; Forecast Control Accounts</t>
        </is>
      </c>
      <c r="C726" s="12" t="inlineStr">
        <is>
          <t>CST-03-012</t>
        </is>
      </c>
      <c r="D726" s="12" t="inlineStr">
        <is>
          <t>1.3.2 Systems - Signalling &amp; Train Control</t>
        </is>
      </c>
      <c r="E726" s="12" t="inlineStr">
        <is>
          <t>New</t>
        </is>
      </c>
      <c r="F726" s="12" t="inlineStr"/>
      <c r="G726" s="12" t="inlineStr">
        <is>
          <t>Source assignment -- not individually reviewed</t>
        </is>
      </c>
      <c r="H726" s="17" t="inlineStr">
        <is>
          <t>10 EVIDENCE &amp; DECISIONS</t>
        </is>
      </c>
    </row>
    <row r="727" ht="34" customHeight="1">
      <c r="A727" s="12" t="inlineStr">
        <is>
          <t>R1256-v1</t>
        </is>
      </c>
      <c r="B727" s="12" t="inlineStr">
        <is>
          <t>Cost &amp; Forecast Control Accounts</t>
        </is>
      </c>
      <c r="C727" s="12" t="inlineStr">
        <is>
          <t>CST-03-014</t>
        </is>
      </c>
      <c r="D727" s="12" t="inlineStr">
        <is>
          <t>1.3.2 Systems - Signalling &amp; Train Control</t>
        </is>
      </c>
      <c r="E727" s="12" t="inlineStr">
        <is>
          <t>New</t>
        </is>
      </c>
      <c r="F727" s="12" t="inlineStr"/>
      <c r="G727" s="12" t="inlineStr">
        <is>
          <t>Source assignment -- not individually reviewed</t>
        </is>
      </c>
      <c r="H727" s="17" t="inlineStr">
        <is>
          <t>10 EVIDENCE &amp; DECISIONS</t>
        </is>
      </c>
    </row>
    <row r="728" ht="34" customHeight="1">
      <c r="A728" s="12" t="inlineStr">
        <is>
          <t>R1258-v1</t>
        </is>
      </c>
      <c r="B728" s="12" t="inlineStr">
        <is>
          <t>Cost &amp; Forecast Control Accounts</t>
        </is>
      </c>
      <c r="C728" s="12" t="inlineStr">
        <is>
          <t>CST-03-016</t>
        </is>
      </c>
      <c r="D728" s="12" t="inlineStr">
        <is>
          <t>1.3.2 Systems - Signalling &amp; Train Control</t>
        </is>
      </c>
      <c r="E728" s="12" t="inlineStr">
        <is>
          <t>New</t>
        </is>
      </c>
      <c r="F728" s="12" t="inlineStr"/>
      <c r="G728" s="12" t="inlineStr">
        <is>
          <t>Source assignment -- not individually reviewed</t>
        </is>
      </c>
      <c r="H728" s="17" t="inlineStr">
        <is>
          <t>10 EVIDENCE &amp; DECISIONS</t>
        </is>
      </c>
    </row>
    <row r="729" ht="34" customHeight="1">
      <c r="A729" s="12" t="inlineStr">
        <is>
          <t>R1260-v1</t>
        </is>
      </c>
      <c r="B729" s="12" t="inlineStr">
        <is>
          <t>Cost &amp; Forecast Control Accounts</t>
        </is>
      </c>
      <c r="C729" s="12" t="inlineStr">
        <is>
          <t>CST-03-018</t>
        </is>
      </c>
      <c r="D729" s="12" t="inlineStr">
        <is>
          <t>1.3.2 Systems - Signalling &amp; Train Control</t>
        </is>
      </c>
      <c r="E729" s="12" t="inlineStr">
        <is>
          <t>New</t>
        </is>
      </c>
      <c r="F729" s="12" t="inlineStr"/>
      <c r="G729" s="12" t="inlineStr">
        <is>
          <t>Source assignment -- not individually reviewed</t>
        </is>
      </c>
      <c r="H729" s="17" t="inlineStr">
        <is>
          <t>10 EVIDENCE &amp; DECISIONS</t>
        </is>
      </c>
    </row>
    <row r="730" ht="34" customHeight="1">
      <c r="A730" s="12" t="inlineStr">
        <is>
          <t>R1262-v1</t>
        </is>
      </c>
      <c r="B730" s="12" t="inlineStr">
        <is>
          <t>Cost &amp; Forecast Control Accounts</t>
        </is>
      </c>
      <c r="C730" s="12" t="inlineStr">
        <is>
          <t>CST-03-020</t>
        </is>
      </c>
      <c r="D730" s="12" t="inlineStr">
        <is>
          <t>1.3.2 Systems - Signalling &amp; Train Control</t>
        </is>
      </c>
      <c r="E730" s="12" t="inlineStr">
        <is>
          <t>New</t>
        </is>
      </c>
      <c r="F730" s="12" t="inlineStr"/>
      <c r="G730" s="12" t="inlineStr">
        <is>
          <t>Source assignment -- not individually reviewed</t>
        </is>
      </c>
      <c r="H730" s="17" t="inlineStr">
        <is>
          <t>10 EVIDENCE &amp; DECISIONS</t>
        </is>
      </c>
    </row>
    <row r="731" ht="34" customHeight="1">
      <c r="A731" s="12" t="inlineStr">
        <is>
          <t>R1264-v1</t>
        </is>
      </c>
      <c r="B731" s="12" t="inlineStr">
        <is>
          <t>Cost &amp; Forecast Control Accounts</t>
        </is>
      </c>
      <c r="C731" s="12" t="inlineStr">
        <is>
          <t>CST-03-022</t>
        </is>
      </c>
      <c r="D731" s="12" t="inlineStr">
        <is>
          <t>1.3.2 Systems - Signalling &amp; Train Control</t>
        </is>
      </c>
      <c r="E731" s="12" t="inlineStr">
        <is>
          <t>New</t>
        </is>
      </c>
      <c r="F731" s="12" t="inlineStr"/>
      <c r="G731" s="12" t="inlineStr">
        <is>
          <t>Source assignment -- not individually reviewed</t>
        </is>
      </c>
      <c r="H731" s="17" t="inlineStr">
        <is>
          <t>10 EVIDENCE &amp; DECISIONS</t>
        </is>
      </c>
    </row>
    <row r="732" ht="34" customHeight="1">
      <c r="A732" s="12" t="inlineStr">
        <is>
          <t>R1266-v1</t>
        </is>
      </c>
      <c r="B732" s="12" t="inlineStr">
        <is>
          <t>Cost &amp; Forecast Control Accounts</t>
        </is>
      </c>
      <c r="C732" s="12" t="inlineStr">
        <is>
          <t>CST-03-024</t>
        </is>
      </c>
      <c r="D732" s="12" t="inlineStr">
        <is>
          <t>1.3.2 Systems - Signalling &amp; Train Control</t>
        </is>
      </c>
      <c r="E732" s="12" t="inlineStr">
        <is>
          <t>New</t>
        </is>
      </c>
      <c r="F732" s="12" t="inlineStr"/>
      <c r="G732" s="12" t="inlineStr">
        <is>
          <t>Source assignment -- not individually reviewed</t>
        </is>
      </c>
      <c r="H732" s="17" t="inlineStr">
        <is>
          <t>10 EVIDENCE &amp; DECISIONS</t>
        </is>
      </c>
    </row>
    <row r="733" ht="34" customHeight="1">
      <c r="A733" s="12" t="inlineStr">
        <is>
          <t>R1268-v1</t>
        </is>
      </c>
      <c r="B733" s="12" t="inlineStr">
        <is>
          <t>Cost &amp; Forecast Control Accounts</t>
        </is>
      </c>
      <c r="C733" s="12" t="inlineStr">
        <is>
          <t>CST-03-026</t>
        </is>
      </c>
      <c r="D733" s="12" t="inlineStr">
        <is>
          <t>1.3.2 Systems - Signalling &amp; Train Control</t>
        </is>
      </c>
      <c r="E733" s="12" t="inlineStr">
        <is>
          <t>New</t>
        </is>
      </c>
      <c r="F733" s="12" t="inlineStr"/>
      <c r="G733" s="12" t="inlineStr">
        <is>
          <t>Source assignment -- not individually reviewed</t>
        </is>
      </c>
      <c r="H733" s="17" t="inlineStr">
        <is>
          <t>10 EVIDENCE &amp; DECISIONS</t>
        </is>
      </c>
    </row>
    <row r="734" ht="34" customHeight="1">
      <c r="A734" s="12" t="inlineStr">
        <is>
          <t>R1270-v1</t>
        </is>
      </c>
      <c r="B734" s="12" t="inlineStr">
        <is>
          <t>Cost &amp; Forecast Control Accounts</t>
        </is>
      </c>
      <c r="C734" s="12" t="inlineStr">
        <is>
          <t>CST-03-028</t>
        </is>
      </c>
      <c r="D734" s="12" t="inlineStr">
        <is>
          <t>1.3.2 Systems - Signalling &amp; Train Control</t>
        </is>
      </c>
      <c r="E734" s="12" t="inlineStr">
        <is>
          <t>New</t>
        </is>
      </c>
      <c r="F734" s="12" t="inlineStr"/>
      <c r="G734" s="12" t="inlineStr">
        <is>
          <t>Source assignment -- not individually reviewed</t>
        </is>
      </c>
      <c r="H734" s="17" t="inlineStr">
        <is>
          <t>10 EVIDENCE &amp; DECISIONS</t>
        </is>
      </c>
    </row>
    <row r="735" ht="34" customHeight="1">
      <c r="A735" s="12" t="inlineStr">
        <is>
          <t>R1272-v1</t>
        </is>
      </c>
      <c r="B735" s="12" t="inlineStr">
        <is>
          <t>Cost &amp; Forecast Control Accounts</t>
        </is>
      </c>
      <c r="C735" s="12" t="inlineStr">
        <is>
          <t>CST-03-030</t>
        </is>
      </c>
      <c r="D735" s="12" t="inlineStr">
        <is>
          <t>1.3.2 Systems - Signalling &amp; Train Control</t>
        </is>
      </c>
      <c r="E735" s="12" t="inlineStr">
        <is>
          <t>New</t>
        </is>
      </c>
      <c r="F735" s="12" t="inlineStr"/>
      <c r="G735" s="12" t="inlineStr">
        <is>
          <t>Source assignment -- not individually reviewed</t>
        </is>
      </c>
      <c r="H735" s="17" t="inlineStr">
        <is>
          <t>10 EVIDENCE &amp; DECISIONS</t>
        </is>
      </c>
    </row>
    <row r="736" ht="34" customHeight="1">
      <c r="A736" s="12" t="inlineStr">
        <is>
          <t>R1274-v1</t>
        </is>
      </c>
      <c r="B736" s="12" t="inlineStr">
        <is>
          <t>Cost &amp; Forecast Control Accounts</t>
        </is>
      </c>
      <c r="C736" s="12" t="inlineStr">
        <is>
          <t>CST-03-032</t>
        </is>
      </c>
      <c r="D736" s="12" t="inlineStr">
        <is>
          <t>1.3.2 Systems - Signalling &amp; Train Control</t>
        </is>
      </c>
      <c r="E736" s="12" t="inlineStr">
        <is>
          <t>New</t>
        </is>
      </c>
      <c r="F736" s="12" t="inlineStr"/>
      <c r="G736" s="12" t="inlineStr">
        <is>
          <t>Source assignment -- not individually reviewed</t>
        </is>
      </c>
      <c r="H736" s="17" t="inlineStr">
        <is>
          <t>10 EVIDENCE &amp; DECISIONS</t>
        </is>
      </c>
    </row>
    <row r="737" ht="34" customHeight="1">
      <c r="A737" s="12" t="inlineStr">
        <is>
          <t>R1276-v1</t>
        </is>
      </c>
      <c r="B737" s="12" t="inlineStr">
        <is>
          <t>Cost &amp; Forecast Control Accounts</t>
        </is>
      </c>
      <c r="C737" s="12" t="inlineStr">
        <is>
          <t>CST-03-034</t>
        </is>
      </c>
      <c r="D737" s="12" t="inlineStr">
        <is>
          <t>1.3.2 Systems - Signalling &amp; Train Control</t>
        </is>
      </c>
      <c r="E737" s="12" t="inlineStr">
        <is>
          <t>New</t>
        </is>
      </c>
      <c r="F737" s="12" t="inlineStr"/>
      <c r="G737" s="12" t="inlineStr">
        <is>
          <t>Source assignment -- not individually reviewed</t>
        </is>
      </c>
      <c r="H737" s="17" t="inlineStr">
        <is>
          <t>10 EVIDENCE &amp; DECISIONS</t>
        </is>
      </c>
    </row>
    <row r="738" ht="34" customHeight="1">
      <c r="A738" s="12" t="inlineStr">
        <is>
          <t>R1278-v1</t>
        </is>
      </c>
      <c r="B738" s="12" t="inlineStr">
        <is>
          <t>Cost &amp; Forecast Control Accounts</t>
        </is>
      </c>
      <c r="C738" s="12" t="inlineStr">
        <is>
          <t>CST-03-036</t>
        </is>
      </c>
      <c r="D738" s="12" t="inlineStr">
        <is>
          <t>1.3.2 Systems - Signalling &amp; Train Control</t>
        </is>
      </c>
      <c r="E738" s="12" t="inlineStr">
        <is>
          <t>New</t>
        </is>
      </c>
      <c r="F738" s="12" t="inlineStr"/>
      <c r="G738" s="12" t="inlineStr">
        <is>
          <t>Source assignment -- not individually reviewed</t>
        </is>
      </c>
      <c r="H738" s="17" t="inlineStr">
        <is>
          <t>10 EVIDENCE &amp; DECISIONS</t>
        </is>
      </c>
    </row>
    <row r="739" ht="34" customHeight="1">
      <c r="A739" s="12" t="inlineStr">
        <is>
          <t>R1280-v1</t>
        </is>
      </c>
      <c r="B739" s="12" t="inlineStr">
        <is>
          <t>Cost &amp; Forecast Control Accounts</t>
        </is>
      </c>
      <c r="C739" s="12" t="inlineStr">
        <is>
          <t>CST-03-038</t>
        </is>
      </c>
      <c r="D739" s="12" t="inlineStr">
        <is>
          <t>1.3.2 Systems - Signalling &amp; Train Control</t>
        </is>
      </c>
      <c r="E739" s="12" t="inlineStr">
        <is>
          <t>New</t>
        </is>
      </c>
      <c r="F739" s="12" t="inlineStr"/>
      <c r="G739" s="12" t="inlineStr">
        <is>
          <t>Source assignment -- not individually reviewed</t>
        </is>
      </c>
      <c r="H739" s="17" t="inlineStr">
        <is>
          <t>10 EVIDENCE &amp; DECISIONS</t>
        </is>
      </c>
    </row>
    <row r="740" ht="34" customHeight="1">
      <c r="A740" s="12" t="inlineStr">
        <is>
          <t>R1282-v1</t>
        </is>
      </c>
      <c r="B740" s="12" t="inlineStr">
        <is>
          <t>Cost &amp; Forecast Control Accounts</t>
        </is>
      </c>
      <c r="C740" s="12" t="inlineStr">
        <is>
          <t>CST-03-040</t>
        </is>
      </c>
      <c r="D740" s="12" t="inlineStr">
        <is>
          <t>1.3.2 Systems - Signalling &amp; Train Control</t>
        </is>
      </c>
      <c r="E740" s="12" t="inlineStr">
        <is>
          <t>New</t>
        </is>
      </c>
      <c r="F740" s="12" t="inlineStr"/>
      <c r="G740" s="12" t="inlineStr">
        <is>
          <t>Source assignment -- not individually reviewed</t>
        </is>
      </c>
      <c r="H740" s="17" t="inlineStr">
        <is>
          <t>10 EVIDENCE &amp; DECISIONS</t>
        </is>
      </c>
    </row>
    <row r="741" ht="34" customHeight="1">
      <c r="A741" s="12" t="inlineStr">
        <is>
          <t>R1284-v1</t>
        </is>
      </c>
      <c r="B741" s="12" t="inlineStr">
        <is>
          <t>Cost &amp; Forecast Control Accounts</t>
        </is>
      </c>
      <c r="C741" s="12" t="inlineStr">
        <is>
          <t>CST-03-042</t>
        </is>
      </c>
      <c r="D741" s="12" t="inlineStr">
        <is>
          <t>1.3.2 Systems - Signalling &amp; Train Control</t>
        </is>
      </c>
      <c r="E741" s="12" t="inlineStr">
        <is>
          <t>New</t>
        </is>
      </c>
      <c r="F741" s="12" t="inlineStr"/>
      <c r="G741" s="12" t="inlineStr">
        <is>
          <t>Source assignment -- not individually reviewed</t>
        </is>
      </c>
      <c r="H741" s="17" t="inlineStr">
        <is>
          <t>10 EVIDENCE &amp; DECISIONS</t>
        </is>
      </c>
    </row>
    <row r="742" ht="34" customHeight="1">
      <c r="A742" s="12" t="inlineStr">
        <is>
          <t>R1286-v1</t>
        </is>
      </c>
      <c r="B742" s="12" t="inlineStr">
        <is>
          <t>Cost &amp; Forecast Control Accounts</t>
        </is>
      </c>
      <c r="C742" s="12" t="inlineStr">
        <is>
          <t>CST-03-044</t>
        </is>
      </c>
      <c r="D742" s="12" t="inlineStr">
        <is>
          <t>1.3.2 Systems - Signalling &amp; Train Control</t>
        </is>
      </c>
      <c r="E742" s="12" t="inlineStr">
        <is>
          <t>New</t>
        </is>
      </c>
      <c r="F742" s="12" t="inlineStr"/>
      <c r="G742" s="12" t="inlineStr">
        <is>
          <t>Source assignment -- not individually reviewed</t>
        </is>
      </c>
      <c r="H742" s="17" t="inlineStr">
        <is>
          <t>10 EVIDENCE &amp; DECISIONS</t>
        </is>
      </c>
    </row>
    <row r="743" ht="34" customHeight="1">
      <c r="A743" s="12" t="inlineStr">
        <is>
          <t>R1288-v1</t>
        </is>
      </c>
      <c r="B743" s="12" t="inlineStr">
        <is>
          <t>Cost &amp; Forecast Control Accounts</t>
        </is>
      </c>
      <c r="C743" s="12" t="inlineStr">
        <is>
          <t>CST-03-046</t>
        </is>
      </c>
      <c r="D743" s="12" t="inlineStr">
        <is>
          <t>1.3.2 Systems - Signalling &amp; Train Control</t>
        </is>
      </c>
      <c r="E743" s="12" t="inlineStr">
        <is>
          <t>New</t>
        </is>
      </c>
      <c r="F743" s="12" t="inlineStr"/>
      <c r="G743" s="12" t="inlineStr">
        <is>
          <t>Source assignment -- not individually reviewed</t>
        </is>
      </c>
      <c r="H743" s="17" t="inlineStr">
        <is>
          <t>10 EVIDENCE &amp; DECISIONS</t>
        </is>
      </c>
    </row>
    <row r="744" ht="34" customHeight="1">
      <c r="A744" s="12" t="inlineStr">
        <is>
          <t>R1290-v1</t>
        </is>
      </c>
      <c r="B744" s="12" t="inlineStr">
        <is>
          <t>Cost &amp; Forecast Control Accounts</t>
        </is>
      </c>
      <c r="C744" s="12" t="inlineStr">
        <is>
          <t>CST-03-048</t>
        </is>
      </c>
      <c r="D744" s="12" t="inlineStr">
        <is>
          <t>1.3.2 Systems - Signalling &amp; Train Control</t>
        </is>
      </c>
      <c r="E744" s="12" t="inlineStr">
        <is>
          <t>New</t>
        </is>
      </c>
      <c r="F744" s="12" t="inlineStr"/>
      <c r="G744" s="12" t="inlineStr">
        <is>
          <t>Source assignment -- not individually reviewed</t>
        </is>
      </c>
      <c r="H744" s="17" t="inlineStr">
        <is>
          <t>10 EVIDENCE &amp; DECISIONS</t>
        </is>
      </c>
    </row>
    <row r="745" ht="34" customHeight="1">
      <c r="A745" s="12" t="inlineStr">
        <is>
          <t>R1292-v1</t>
        </is>
      </c>
      <c r="B745" s="12" t="inlineStr">
        <is>
          <t>Cost &amp; Forecast Control Accounts</t>
        </is>
      </c>
      <c r="C745" s="12" t="inlineStr">
        <is>
          <t>CST-03-050</t>
        </is>
      </c>
      <c r="D745" s="12" t="inlineStr">
        <is>
          <t>1.3.2 Systems - Signalling &amp; Train Control</t>
        </is>
      </c>
      <c r="E745" s="12" t="inlineStr">
        <is>
          <t>New</t>
        </is>
      </c>
      <c r="F745" s="12" t="inlineStr"/>
      <c r="G745" s="12" t="inlineStr">
        <is>
          <t>Source assignment -- not individually reviewed</t>
        </is>
      </c>
      <c r="H745" s="17" t="inlineStr">
        <is>
          <t>10 EVIDENCE &amp; DECISIONS</t>
        </is>
      </c>
    </row>
    <row r="746" ht="34" customHeight="1">
      <c r="A746" s="12" t="inlineStr">
        <is>
          <t>R1294-v1</t>
        </is>
      </c>
      <c r="B746" s="12" t="inlineStr">
        <is>
          <t>Cost &amp; Forecast Control Accounts</t>
        </is>
      </c>
      <c r="C746" s="12" t="inlineStr">
        <is>
          <t>CST-03-052</t>
        </is>
      </c>
      <c r="D746" s="12" t="inlineStr">
        <is>
          <t>1.3.2 Systems - Signalling &amp; Train Control</t>
        </is>
      </c>
      <c r="E746" s="12" t="inlineStr">
        <is>
          <t>New</t>
        </is>
      </c>
      <c r="F746" s="12" t="inlineStr"/>
      <c r="G746" s="12" t="inlineStr">
        <is>
          <t>Source assignment -- not individually reviewed</t>
        </is>
      </c>
      <c r="H746" s="17" t="inlineStr">
        <is>
          <t>10 EVIDENCE &amp; DECISIONS</t>
        </is>
      </c>
    </row>
    <row r="747" ht="34" customHeight="1">
      <c r="A747" s="12" t="inlineStr">
        <is>
          <t>R1296-v1</t>
        </is>
      </c>
      <c r="B747" s="12" t="inlineStr">
        <is>
          <t>Cost &amp; Forecast Control Accounts</t>
        </is>
      </c>
      <c r="C747" s="12" t="inlineStr">
        <is>
          <t>CST-03-054</t>
        </is>
      </c>
      <c r="D747" s="12" t="inlineStr">
        <is>
          <t>1.3.2 Systems - Signalling &amp; Train Control</t>
        </is>
      </c>
      <c r="E747" s="12" t="inlineStr">
        <is>
          <t>New</t>
        </is>
      </c>
      <c r="F747" s="12" t="inlineStr"/>
      <c r="G747" s="12" t="inlineStr">
        <is>
          <t>Source assignment -- not individually reviewed</t>
        </is>
      </c>
      <c r="H747" s="17" t="inlineStr">
        <is>
          <t>10 EVIDENCE &amp; DECISIONS</t>
        </is>
      </c>
    </row>
    <row r="748" ht="34" customHeight="1">
      <c r="A748" s="12" t="inlineStr">
        <is>
          <t>R1298-v1</t>
        </is>
      </c>
      <c r="B748" s="12" t="inlineStr">
        <is>
          <t>Cost &amp; Forecast Control Accounts</t>
        </is>
      </c>
      <c r="C748" s="12" t="inlineStr">
        <is>
          <t>CST-03-056</t>
        </is>
      </c>
      <c r="D748" s="12" t="inlineStr">
        <is>
          <t>1.3.2 Systems - Signalling &amp; Train Control</t>
        </is>
      </c>
      <c r="E748" s="12" t="inlineStr">
        <is>
          <t>New</t>
        </is>
      </c>
      <c r="F748" s="12" t="inlineStr"/>
      <c r="G748" s="12" t="inlineStr">
        <is>
          <t>Source assignment -- not individually reviewed</t>
        </is>
      </c>
      <c r="H748" s="17" t="inlineStr">
        <is>
          <t>10 EVIDENCE &amp; DECISIONS</t>
        </is>
      </c>
    </row>
    <row r="749" ht="34" customHeight="1">
      <c r="A749" s="12" t="inlineStr">
        <is>
          <t>R1300-v1</t>
        </is>
      </c>
      <c r="B749" s="12" t="inlineStr">
        <is>
          <t>Cost &amp; Forecast Control Accounts</t>
        </is>
      </c>
      <c r="C749" s="12" t="inlineStr">
        <is>
          <t>CST-03-058</t>
        </is>
      </c>
      <c r="D749" s="12" t="inlineStr">
        <is>
          <t>1.3.2 Systems - Signalling &amp; Train Control</t>
        </is>
      </c>
      <c r="E749" s="12" t="inlineStr">
        <is>
          <t>New</t>
        </is>
      </c>
      <c r="F749" s="12" t="inlineStr"/>
      <c r="G749" s="12" t="inlineStr">
        <is>
          <t>Source assignment -- not individually reviewed</t>
        </is>
      </c>
      <c r="H749" s="17" t="inlineStr">
        <is>
          <t>10 EVIDENCE &amp; DECISIONS</t>
        </is>
      </c>
    </row>
    <row r="750" ht="34" customHeight="1">
      <c r="A750" s="12" t="inlineStr">
        <is>
          <t>R1302-v1</t>
        </is>
      </c>
      <c r="B750" s="12" t="inlineStr">
        <is>
          <t>Cost &amp; Forecast Control Accounts</t>
        </is>
      </c>
      <c r="C750" s="12" t="inlineStr">
        <is>
          <t>CST-03-060</t>
        </is>
      </c>
      <c r="D750" s="12" t="inlineStr">
        <is>
          <t>1.3.2 Systems - Signalling &amp; Train Control</t>
        </is>
      </c>
      <c r="E750" s="12" t="inlineStr">
        <is>
          <t>New</t>
        </is>
      </c>
      <c r="F750" s="12" t="inlineStr"/>
      <c r="G750" s="12" t="inlineStr">
        <is>
          <t>Source assignment -- not individually reviewed</t>
        </is>
      </c>
      <c r="H750" s="17" t="inlineStr">
        <is>
          <t>10 EVIDENCE &amp; DECISIONS</t>
        </is>
      </c>
    </row>
    <row r="751" ht="34" customHeight="1">
      <c r="A751" s="12" t="inlineStr">
        <is>
          <t>R1304-v1</t>
        </is>
      </c>
      <c r="B751" s="12" t="inlineStr">
        <is>
          <t>Cost &amp; Forecast Control Accounts</t>
        </is>
      </c>
      <c r="C751" s="12" t="inlineStr">
        <is>
          <t>CST-03-062</t>
        </is>
      </c>
      <c r="D751" s="12" t="inlineStr">
        <is>
          <t>1.3.2 Systems - Signalling &amp; Train Control</t>
        </is>
      </c>
      <c r="E751" s="12" t="inlineStr">
        <is>
          <t>New</t>
        </is>
      </c>
      <c r="F751" s="12" t="inlineStr"/>
      <c r="G751" s="12" t="inlineStr">
        <is>
          <t>Source assignment -- not individually reviewed</t>
        </is>
      </c>
      <c r="H751" s="17" t="inlineStr">
        <is>
          <t>10 EVIDENCE &amp; DECISIONS</t>
        </is>
      </c>
    </row>
    <row r="752" ht="34" customHeight="1">
      <c r="A752" s="12" t="inlineStr">
        <is>
          <t>R1306-v1</t>
        </is>
      </c>
      <c r="B752" s="12" t="inlineStr">
        <is>
          <t>Cost &amp; Forecast Control Accounts</t>
        </is>
      </c>
      <c r="C752" s="12" t="inlineStr">
        <is>
          <t>CST-03-064</t>
        </is>
      </c>
      <c r="D752" s="12" t="inlineStr">
        <is>
          <t>1.3.2 Systems - Signalling &amp; Train Control</t>
        </is>
      </c>
      <c r="E752" s="12" t="inlineStr">
        <is>
          <t>New</t>
        </is>
      </c>
      <c r="F752" s="12" t="inlineStr"/>
      <c r="G752" s="12" t="inlineStr">
        <is>
          <t>Source assignment -- not individually reviewed</t>
        </is>
      </c>
      <c r="H752" s="17" t="inlineStr">
        <is>
          <t>10 EVIDENCE &amp; DECISIONS</t>
        </is>
      </c>
    </row>
    <row r="753" ht="34" customHeight="1">
      <c r="A753" s="12" t="inlineStr">
        <is>
          <t>R1308-v1</t>
        </is>
      </c>
      <c r="B753" s="12" t="inlineStr">
        <is>
          <t>Cost &amp; Forecast Control Accounts</t>
        </is>
      </c>
      <c r="C753" s="12" t="inlineStr">
        <is>
          <t>CST-03-066</t>
        </is>
      </c>
      <c r="D753" s="12" t="inlineStr">
        <is>
          <t>1.3.2 Systems - Signalling &amp; Train Control</t>
        </is>
      </c>
      <c r="E753" s="12" t="inlineStr">
        <is>
          <t>New</t>
        </is>
      </c>
      <c r="F753" s="12" t="inlineStr"/>
      <c r="G753" s="12" t="inlineStr">
        <is>
          <t>Source assignment -- not individually reviewed</t>
        </is>
      </c>
      <c r="H753" s="17" t="inlineStr">
        <is>
          <t>10 EVIDENCE &amp; DECISIONS</t>
        </is>
      </c>
    </row>
    <row r="754" ht="34" customHeight="1">
      <c r="A754" s="12" t="inlineStr">
        <is>
          <t>R1310-v1</t>
        </is>
      </c>
      <c r="B754" s="12" t="inlineStr">
        <is>
          <t>Cost &amp; Forecast Control Accounts</t>
        </is>
      </c>
      <c r="C754" s="12" t="inlineStr">
        <is>
          <t>CST-03-068</t>
        </is>
      </c>
      <c r="D754" s="12" t="inlineStr">
        <is>
          <t>1.3.2 Systems - Signalling &amp; Train Control</t>
        </is>
      </c>
      <c r="E754" s="12" t="inlineStr">
        <is>
          <t>New</t>
        </is>
      </c>
      <c r="F754" s="12" t="inlineStr"/>
      <c r="G754" s="12" t="inlineStr">
        <is>
          <t>Source assignment -- not individually reviewed</t>
        </is>
      </c>
      <c r="H754" s="17" t="inlineStr">
        <is>
          <t>10 EVIDENCE &amp; DECISIONS</t>
        </is>
      </c>
    </row>
    <row r="755" ht="34" customHeight="1">
      <c r="A755" s="12" t="inlineStr">
        <is>
          <t>R1312-v1</t>
        </is>
      </c>
      <c r="B755" s="12" t="inlineStr">
        <is>
          <t>Cost &amp; Forecast Control Accounts</t>
        </is>
      </c>
      <c r="C755" s="12" t="inlineStr">
        <is>
          <t>CST-03-070</t>
        </is>
      </c>
      <c r="D755" s="12" t="inlineStr">
        <is>
          <t>1.3.2 Systems - Signalling &amp; Train Control</t>
        </is>
      </c>
      <c r="E755" s="12" t="inlineStr">
        <is>
          <t>New</t>
        </is>
      </c>
      <c r="F755" s="12" t="inlineStr"/>
      <c r="G755" s="12" t="inlineStr">
        <is>
          <t>Source assignment -- not individually reviewed</t>
        </is>
      </c>
      <c r="H755" s="17" t="inlineStr">
        <is>
          <t>10 EVIDENCE &amp; DECISIONS</t>
        </is>
      </c>
    </row>
    <row r="756" ht="34" customHeight="1">
      <c r="A756" s="12" t="inlineStr">
        <is>
          <t>R1314-v1</t>
        </is>
      </c>
      <c r="B756" s="12" t="inlineStr">
        <is>
          <t>Cost &amp; Forecast Control Accounts</t>
        </is>
      </c>
      <c r="C756" s="12" t="inlineStr">
        <is>
          <t>CST-03-072</t>
        </is>
      </c>
      <c r="D756" s="12" t="inlineStr">
        <is>
          <t>1.3.2 Systems - Signalling &amp; Train Control</t>
        </is>
      </c>
      <c r="E756" s="12" t="inlineStr">
        <is>
          <t>New</t>
        </is>
      </c>
      <c r="F756" s="12" t="inlineStr"/>
      <c r="G756" s="12" t="inlineStr">
        <is>
          <t>Source assignment -- not individually reviewed</t>
        </is>
      </c>
      <c r="H756" s="17" t="inlineStr">
        <is>
          <t>10 EVIDENCE &amp; DECISIONS</t>
        </is>
      </c>
    </row>
    <row r="757" ht="34" customHeight="1">
      <c r="A757" s="12" t="inlineStr">
        <is>
          <t>R1316-v1</t>
        </is>
      </c>
      <c r="B757" s="12" t="inlineStr">
        <is>
          <t>Cost &amp; Forecast Control Accounts</t>
        </is>
      </c>
      <c r="C757" s="12" t="inlineStr">
        <is>
          <t>CST-03-074</t>
        </is>
      </c>
      <c r="D757" s="12" t="inlineStr">
        <is>
          <t>1.3.2 Systems - Signalling &amp; Train Control</t>
        </is>
      </c>
      <c r="E757" s="12" t="inlineStr">
        <is>
          <t>New</t>
        </is>
      </c>
      <c r="F757" s="12" t="inlineStr"/>
      <c r="G757" s="12" t="inlineStr">
        <is>
          <t>Source assignment -- not individually reviewed</t>
        </is>
      </c>
      <c r="H757" s="17" t="inlineStr">
        <is>
          <t>10 EVIDENCE &amp; DECISIONS</t>
        </is>
      </c>
    </row>
    <row r="758" ht="34" customHeight="1">
      <c r="A758" s="12" t="inlineStr">
        <is>
          <t>R1318-v1</t>
        </is>
      </c>
      <c r="B758" s="12" t="inlineStr">
        <is>
          <t>Cost &amp; Forecast Control Accounts</t>
        </is>
      </c>
      <c r="C758" s="12" t="inlineStr">
        <is>
          <t>CST-03-076</t>
        </is>
      </c>
      <c r="D758" s="12" t="inlineStr">
        <is>
          <t>1.3.2 Systems - Signalling &amp; Train Control</t>
        </is>
      </c>
      <c r="E758" s="12" t="inlineStr">
        <is>
          <t>New</t>
        </is>
      </c>
      <c r="F758" s="12" t="inlineStr"/>
      <c r="G758" s="12" t="inlineStr">
        <is>
          <t>Source assignment -- not individually reviewed</t>
        </is>
      </c>
      <c r="H758" s="17" t="inlineStr">
        <is>
          <t>10 EVIDENCE &amp; DECISIONS</t>
        </is>
      </c>
    </row>
    <row r="759" ht="34" customHeight="1">
      <c r="A759" s="12" t="inlineStr">
        <is>
          <t>R1320-v1</t>
        </is>
      </c>
      <c r="B759" s="12" t="inlineStr">
        <is>
          <t>Cost &amp; Forecast Control Accounts</t>
        </is>
      </c>
      <c r="C759" s="12" t="inlineStr">
        <is>
          <t>CST-03-078</t>
        </is>
      </c>
      <c r="D759" s="12" t="inlineStr">
        <is>
          <t>1.3.2 Systems - Signalling &amp; Train Control</t>
        </is>
      </c>
      <c r="E759" s="12" t="inlineStr">
        <is>
          <t>New</t>
        </is>
      </c>
      <c r="F759" s="12" t="inlineStr"/>
      <c r="G759" s="12" t="inlineStr">
        <is>
          <t>Source assignment -- not individually reviewed</t>
        </is>
      </c>
      <c r="H759" s="17" t="inlineStr">
        <is>
          <t>10 EVIDENCE &amp; DECISIONS</t>
        </is>
      </c>
    </row>
    <row r="760" ht="34" customHeight="1">
      <c r="A760" s="12" t="inlineStr">
        <is>
          <t>R1322-v1</t>
        </is>
      </c>
      <c r="B760" s="12" t="inlineStr">
        <is>
          <t>Cost &amp; Forecast Control Accounts</t>
        </is>
      </c>
      <c r="C760" s="12" t="inlineStr">
        <is>
          <t>CST-03-080</t>
        </is>
      </c>
      <c r="D760" s="12" t="inlineStr">
        <is>
          <t>1.3.2 Systems - Signalling &amp; Train Control</t>
        </is>
      </c>
      <c r="E760" s="12" t="inlineStr">
        <is>
          <t>New</t>
        </is>
      </c>
      <c r="F760" s="12" t="inlineStr"/>
      <c r="G760" s="12" t="inlineStr">
        <is>
          <t>Source assignment -- not individually reviewed</t>
        </is>
      </c>
      <c r="H760" s="17" t="inlineStr">
        <is>
          <t>10 EVIDENCE &amp; DECISIONS</t>
        </is>
      </c>
    </row>
    <row r="761" ht="34" customHeight="1">
      <c r="A761" s="12" t="inlineStr">
        <is>
          <t>R363-v1</t>
        </is>
      </c>
      <c r="B761" s="12" t="inlineStr">
        <is>
          <t>Contractor Programme</t>
        </is>
      </c>
      <c r="C761" s="12" t="inlineStr">
        <is>
          <t>SCH-03-003</t>
        </is>
      </c>
      <c r="D761" s="12" t="inlineStr">
        <is>
          <t>1.3.2 Systems - Signalling &amp; Train Control</t>
        </is>
      </c>
      <c r="E761" s="12" t="inlineStr">
        <is>
          <t>New</t>
        </is>
      </c>
      <c r="F761" s="12" t="inlineStr"/>
      <c r="G761" s="12" t="inlineStr">
        <is>
          <t>Source assignment -- not individually reviewed</t>
        </is>
      </c>
      <c r="H761" s="17" t="inlineStr">
        <is>
          <t>10 EVIDENCE &amp; DECISIONS</t>
        </is>
      </c>
    </row>
    <row r="762" ht="34" customHeight="1">
      <c r="A762" s="12" t="inlineStr">
        <is>
          <t>R366-v1</t>
        </is>
      </c>
      <c r="B762" s="12" t="inlineStr">
        <is>
          <t>Contractor Programme</t>
        </is>
      </c>
      <c r="C762" s="12" t="inlineStr">
        <is>
          <t>SCH-03-006</t>
        </is>
      </c>
      <c r="D762" s="12" t="inlineStr">
        <is>
          <t>1.3.2 Systems - Signalling &amp; Train Control</t>
        </is>
      </c>
      <c r="E762" s="12" t="inlineStr">
        <is>
          <t>New</t>
        </is>
      </c>
      <c r="F762" s="12" t="inlineStr"/>
      <c r="G762" s="12" t="inlineStr">
        <is>
          <t>Source assignment -- not individually reviewed</t>
        </is>
      </c>
      <c r="H762" s="17" t="inlineStr">
        <is>
          <t>10 EVIDENCE &amp; DECISIONS</t>
        </is>
      </c>
    </row>
    <row r="763" ht="34" customHeight="1">
      <c r="A763" s="12" t="inlineStr">
        <is>
          <t>R369-v1</t>
        </is>
      </c>
      <c r="B763" s="12" t="inlineStr">
        <is>
          <t>Contractor Programme</t>
        </is>
      </c>
      <c r="C763" s="12" t="inlineStr">
        <is>
          <t>SCH-03-009</t>
        </is>
      </c>
      <c r="D763" s="12" t="inlineStr">
        <is>
          <t>1.3.2 Systems - Signalling &amp; Train Control</t>
        </is>
      </c>
      <c r="E763" s="12" t="inlineStr">
        <is>
          <t>New</t>
        </is>
      </c>
      <c r="F763" s="12" t="inlineStr"/>
      <c r="G763" s="12" t="inlineStr">
        <is>
          <t>Source assignment -- not individually reviewed</t>
        </is>
      </c>
      <c r="H763" s="17" t="inlineStr">
        <is>
          <t>10 EVIDENCE &amp; DECISIONS</t>
        </is>
      </c>
    </row>
    <row r="764" ht="34" customHeight="1">
      <c r="A764" s="12" t="inlineStr">
        <is>
          <t>R372-v1</t>
        </is>
      </c>
      <c r="B764" s="12" t="inlineStr">
        <is>
          <t>Contractor Programme</t>
        </is>
      </c>
      <c r="C764" s="12" t="inlineStr">
        <is>
          <t>SCH-03-012</t>
        </is>
      </c>
      <c r="D764" s="12" t="inlineStr">
        <is>
          <t>1.3.2 Systems - Signalling &amp; Train Control</t>
        </is>
      </c>
      <c r="E764" s="12" t="inlineStr">
        <is>
          <t>New</t>
        </is>
      </c>
      <c r="F764" s="12" t="inlineStr"/>
      <c r="G764" s="12" t="inlineStr">
        <is>
          <t>Source assignment -- not individually reviewed</t>
        </is>
      </c>
      <c r="H764" s="17" t="inlineStr">
        <is>
          <t>10 EVIDENCE &amp; DECISIONS</t>
        </is>
      </c>
    </row>
    <row r="765" ht="34" customHeight="1">
      <c r="A765" s="12" t="inlineStr">
        <is>
          <t>R375-v1</t>
        </is>
      </c>
      <c r="B765" s="12" t="inlineStr">
        <is>
          <t>Contractor Programme</t>
        </is>
      </c>
      <c r="C765" s="12" t="inlineStr">
        <is>
          <t>SCH-03-015</t>
        </is>
      </c>
      <c r="D765" s="12" t="inlineStr">
        <is>
          <t>1.3.2 Systems - Signalling &amp; Train Control</t>
        </is>
      </c>
      <c r="E765" s="12" t="inlineStr">
        <is>
          <t>New</t>
        </is>
      </c>
      <c r="F765" s="12" t="inlineStr"/>
      <c r="G765" s="12" t="inlineStr">
        <is>
          <t>Source assignment -- not individually reviewed</t>
        </is>
      </c>
      <c r="H765" s="17" t="inlineStr">
        <is>
          <t>10 EVIDENCE &amp; DECISIONS</t>
        </is>
      </c>
    </row>
    <row r="766" ht="34" customHeight="1">
      <c r="A766" s="12" t="inlineStr">
        <is>
          <t>R378-v1</t>
        </is>
      </c>
      <c r="B766" s="12" t="inlineStr">
        <is>
          <t>Contractor Programme</t>
        </is>
      </c>
      <c r="C766" s="12" t="inlineStr">
        <is>
          <t>SCH-03-018</t>
        </is>
      </c>
      <c r="D766" s="12" t="inlineStr">
        <is>
          <t>1.3.2 Systems - Signalling &amp; Train Control</t>
        </is>
      </c>
      <c r="E766" s="12" t="inlineStr">
        <is>
          <t>New</t>
        </is>
      </c>
      <c r="F766" s="12" t="inlineStr"/>
      <c r="G766" s="12" t="inlineStr">
        <is>
          <t>Source assignment -- not individually reviewed</t>
        </is>
      </c>
      <c r="H766" s="17" t="inlineStr">
        <is>
          <t>10 EVIDENCE &amp; DECISIONS</t>
        </is>
      </c>
    </row>
    <row r="767" ht="34" customHeight="1">
      <c r="A767" s="12" t="inlineStr">
        <is>
          <t>R381-v1</t>
        </is>
      </c>
      <c r="B767" s="12" t="inlineStr">
        <is>
          <t>Contractor Programme</t>
        </is>
      </c>
      <c r="C767" s="12" t="inlineStr">
        <is>
          <t>SCH-03-021</t>
        </is>
      </c>
      <c r="D767" s="12" t="inlineStr">
        <is>
          <t>1.3.2 Systems - Signalling &amp; Train Control</t>
        </is>
      </c>
      <c r="E767" s="12" t="inlineStr">
        <is>
          <t>New</t>
        </is>
      </c>
      <c r="F767" s="12" t="inlineStr"/>
      <c r="G767" s="12" t="inlineStr">
        <is>
          <t>Source assignment -- not individually reviewed</t>
        </is>
      </c>
      <c r="H767" s="17" t="inlineStr">
        <is>
          <t>10 EVIDENCE &amp; DECISIONS</t>
        </is>
      </c>
    </row>
    <row r="768" ht="34" customHeight="1">
      <c r="A768" s="12" t="inlineStr">
        <is>
          <t>R384-v1</t>
        </is>
      </c>
      <c r="B768" s="12" t="inlineStr">
        <is>
          <t>Contractor Programme</t>
        </is>
      </c>
      <c r="C768" s="12" t="inlineStr">
        <is>
          <t>SCH-03-024</t>
        </is>
      </c>
      <c r="D768" s="12" t="inlineStr">
        <is>
          <t>1.3.2 Systems - Signalling &amp; Train Control</t>
        </is>
      </c>
      <c r="E768" s="12" t="inlineStr">
        <is>
          <t>New</t>
        </is>
      </c>
      <c r="F768" s="12" t="inlineStr"/>
      <c r="G768" s="12" t="inlineStr">
        <is>
          <t>Source assignment -- not individually reviewed</t>
        </is>
      </c>
      <c r="H768" s="17" t="inlineStr">
        <is>
          <t>10 EVIDENCE &amp; DECISIONS</t>
        </is>
      </c>
    </row>
    <row r="769" ht="34" customHeight="1">
      <c r="A769" s="12" t="inlineStr">
        <is>
          <t>R387-v1</t>
        </is>
      </c>
      <c r="B769" s="12" t="inlineStr">
        <is>
          <t>Contractor Programme</t>
        </is>
      </c>
      <c r="C769" s="12" t="inlineStr">
        <is>
          <t>SCH-03-027</t>
        </is>
      </c>
      <c r="D769" s="12" t="inlineStr">
        <is>
          <t>1.3.2 Systems - Signalling &amp; Train Control</t>
        </is>
      </c>
      <c r="E769" s="12" t="inlineStr">
        <is>
          <t>New</t>
        </is>
      </c>
      <c r="F769" s="12" t="inlineStr"/>
      <c r="G769" s="12" t="inlineStr">
        <is>
          <t>Source assignment -- not individually reviewed</t>
        </is>
      </c>
      <c r="H769" s="17" t="inlineStr">
        <is>
          <t>10 EVIDENCE &amp; DECISIONS</t>
        </is>
      </c>
    </row>
    <row r="770" ht="34" customHeight="1">
      <c r="A770" s="12" t="inlineStr">
        <is>
          <t>R390-v1</t>
        </is>
      </c>
      <c r="B770" s="12" t="inlineStr">
        <is>
          <t>Contractor Programme</t>
        </is>
      </c>
      <c r="C770" s="12" t="inlineStr">
        <is>
          <t>SCH-03-030</t>
        </is>
      </c>
      <c r="D770" s="12" t="inlineStr">
        <is>
          <t>1.3.2 Systems - Signalling &amp; Train Control</t>
        </is>
      </c>
      <c r="E770" s="12" t="inlineStr">
        <is>
          <t>New</t>
        </is>
      </c>
      <c r="F770" s="12" t="inlineStr"/>
      <c r="G770" s="12" t="inlineStr">
        <is>
          <t>Source assignment -- not individually reviewed</t>
        </is>
      </c>
      <c r="H770" s="17" t="inlineStr">
        <is>
          <t>10 EVIDENCE &amp; DECISIONS</t>
        </is>
      </c>
    </row>
    <row r="771" ht="34" customHeight="1">
      <c r="A771" s="12" t="inlineStr">
        <is>
          <t>R393-v1</t>
        </is>
      </c>
      <c r="B771" s="12" t="inlineStr">
        <is>
          <t>Contractor Programme</t>
        </is>
      </c>
      <c r="C771" s="12" t="inlineStr">
        <is>
          <t>SCH-03-033</t>
        </is>
      </c>
      <c r="D771" s="12" t="inlineStr">
        <is>
          <t>1.3.2 Systems - Signalling &amp; Train Control</t>
        </is>
      </c>
      <c r="E771" s="12" t="inlineStr">
        <is>
          <t>New</t>
        </is>
      </c>
      <c r="F771" s="12" t="inlineStr"/>
      <c r="G771" s="12" t="inlineStr">
        <is>
          <t>Source assignment -- not individually reviewed</t>
        </is>
      </c>
      <c r="H771" s="17" t="inlineStr">
        <is>
          <t>10 EVIDENCE &amp; DECISIONS</t>
        </is>
      </c>
    </row>
    <row r="772" ht="34" customHeight="1">
      <c r="A772" s="12" t="inlineStr">
        <is>
          <t>R396-v1</t>
        </is>
      </c>
      <c r="B772" s="12" t="inlineStr">
        <is>
          <t>Contractor Programme</t>
        </is>
      </c>
      <c r="C772" s="12" t="inlineStr">
        <is>
          <t>SCH-03-036</t>
        </is>
      </c>
      <c r="D772" s="12" t="inlineStr">
        <is>
          <t>1.3.2 Systems - Signalling &amp; Train Control</t>
        </is>
      </c>
      <c r="E772" s="12" t="inlineStr">
        <is>
          <t>New</t>
        </is>
      </c>
      <c r="F772" s="12" t="inlineStr"/>
      <c r="G772" s="12" t="inlineStr">
        <is>
          <t>Source assignment -- not individually reviewed</t>
        </is>
      </c>
      <c r="H772" s="17" t="inlineStr">
        <is>
          <t>10 EVIDENCE &amp; DECISIONS</t>
        </is>
      </c>
    </row>
    <row r="773" ht="34" customHeight="1">
      <c r="A773" s="12" t="inlineStr">
        <is>
          <t>R399-v1</t>
        </is>
      </c>
      <c r="B773" s="12" t="inlineStr">
        <is>
          <t>Contractor Programme</t>
        </is>
      </c>
      <c r="C773" s="12" t="inlineStr">
        <is>
          <t>SCH-03-039</t>
        </is>
      </c>
      <c r="D773" s="12" t="inlineStr">
        <is>
          <t>1.3.2 Systems - Signalling &amp; Train Control</t>
        </is>
      </c>
      <c r="E773" s="12" t="inlineStr">
        <is>
          <t>New</t>
        </is>
      </c>
      <c r="F773" s="12" t="inlineStr"/>
      <c r="G773" s="12" t="inlineStr">
        <is>
          <t>Source assignment -- not individually reviewed</t>
        </is>
      </c>
      <c r="H773" s="17" t="inlineStr">
        <is>
          <t>10 EVIDENCE &amp; DECISIONS</t>
        </is>
      </c>
    </row>
    <row r="774" ht="34" customHeight="1">
      <c r="A774" s="12" t="inlineStr">
        <is>
          <t>R402-v1</t>
        </is>
      </c>
      <c r="B774" s="12" t="inlineStr">
        <is>
          <t>Contractor Programme</t>
        </is>
      </c>
      <c r="C774" s="12" t="inlineStr">
        <is>
          <t>SCH-03-042</t>
        </is>
      </c>
      <c r="D774" s="12" t="inlineStr">
        <is>
          <t>1.3.2 Systems - Signalling &amp; Train Control</t>
        </is>
      </c>
      <c r="E774" s="12" t="inlineStr">
        <is>
          <t>New</t>
        </is>
      </c>
      <c r="F774" s="12" t="inlineStr"/>
      <c r="G774" s="12" t="inlineStr">
        <is>
          <t>Source assignment -- not individually reviewed</t>
        </is>
      </c>
      <c r="H774" s="17" t="inlineStr">
        <is>
          <t>10 EVIDENCE &amp; DECISIONS</t>
        </is>
      </c>
    </row>
    <row r="775" ht="34" customHeight="1">
      <c r="A775" s="12" t="inlineStr">
        <is>
          <t>R405-v1</t>
        </is>
      </c>
      <c r="B775" s="12" t="inlineStr">
        <is>
          <t>Contractor Programme</t>
        </is>
      </c>
      <c r="C775" s="12" t="inlineStr">
        <is>
          <t>SCH-03-045</t>
        </is>
      </c>
      <c r="D775" s="12" t="inlineStr">
        <is>
          <t>1.3.2 Systems - Signalling &amp; Train Control</t>
        </is>
      </c>
      <c r="E775" s="12" t="inlineStr">
        <is>
          <t>New</t>
        </is>
      </c>
      <c r="F775" s="12" t="inlineStr"/>
      <c r="G775" s="12" t="inlineStr">
        <is>
          <t>Source assignment -- not individually reviewed</t>
        </is>
      </c>
      <c r="H775" s="17" t="inlineStr">
        <is>
          <t>10 EVIDENCE &amp; DECISIONS</t>
        </is>
      </c>
    </row>
    <row r="776" ht="34" customHeight="1">
      <c r="A776" s="12" t="inlineStr">
        <is>
          <t>R408-v1</t>
        </is>
      </c>
      <c r="B776" s="12" t="inlineStr">
        <is>
          <t>Contractor Programme</t>
        </is>
      </c>
      <c r="C776" s="12" t="inlineStr">
        <is>
          <t>SCH-03-048</t>
        </is>
      </c>
      <c r="D776" s="12" t="inlineStr">
        <is>
          <t>1.3.2 Systems - Signalling &amp; Train Control</t>
        </is>
      </c>
      <c r="E776" s="12" t="inlineStr">
        <is>
          <t>New</t>
        </is>
      </c>
      <c r="F776" s="12" t="inlineStr"/>
      <c r="G776" s="12" t="inlineStr">
        <is>
          <t>Source assignment -- not individually reviewed</t>
        </is>
      </c>
      <c r="H776" s="17" t="inlineStr">
        <is>
          <t>10 EVIDENCE &amp; DECISIONS</t>
        </is>
      </c>
    </row>
    <row r="777" ht="34" customHeight="1">
      <c r="A777" s="12" t="inlineStr">
        <is>
          <t>R411-v1</t>
        </is>
      </c>
      <c r="B777" s="12" t="inlineStr">
        <is>
          <t>Contractor Programme</t>
        </is>
      </c>
      <c r="C777" s="12" t="inlineStr">
        <is>
          <t>SCH-03-051</t>
        </is>
      </c>
      <c r="D777" s="12" t="inlineStr">
        <is>
          <t>1.3.2 Systems - Signalling &amp; Train Control</t>
        </is>
      </c>
      <c r="E777" s="12" t="inlineStr">
        <is>
          <t>New</t>
        </is>
      </c>
      <c r="F777" s="12" t="inlineStr"/>
      <c r="G777" s="12" t="inlineStr">
        <is>
          <t>Source assignment -- not individually reviewed</t>
        </is>
      </c>
      <c r="H777" s="17" t="inlineStr">
        <is>
          <t>10 EVIDENCE &amp; DECISIONS</t>
        </is>
      </c>
    </row>
    <row r="778" ht="34" customHeight="1">
      <c r="A778" s="12" t="inlineStr">
        <is>
          <t>R414-v1</t>
        </is>
      </c>
      <c r="B778" s="12" t="inlineStr">
        <is>
          <t>Contractor Programme</t>
        </is>
      </c>
      <c r="C778" s="12" t="inlineStr">
        <is>
          <t>SCH-03-054</t>
        </is>
      </c>
      <c r="D778" s="12" t="inlineStr">
        <is>
          <t>1.3.2 Systems - Signalling &amp; Train Control</t>
        </is>
      </c>
      <c r="E778" s="12" t="inlineStr">
        <is>
          <t>New</t>
        </is>
      </c>
      <c r="F778" s="12" t="inlineStr"/>
      <c r="G778" s="12" t="inlineStr">
        <is>
          <t>Source assignment -- not individually reviewed</t>
        </is>
      </c>
      <c r="H778" s="17" t="inlineStr">
        <is>
          <t>10 EVIDENCE &amp; DECISIONS</t>
        </is>
      </c>
    </row>
    <row r="779" ht="34" customHeight="1">
      <c r="A779" s="12" t="inlineStr">
        <is>
          <t>R417-v1</t>
        </is>
      </c>
      <c r="B779" s="12" t="inlineStr">
        <is>
          <t>Contractor Programme</t>
        </is>
      </c>
      <c r="C779" s="12" t="inlineStr">
        <is>
          <t>SCH-03-057</t>
        </is>
      </c>
      <c r="D779" s="12" t="inlineStr">
        <is>
          <t>1.3.2 Systems - Signalling &amp; Train Control</t>
        </is>
      </c>
      <c r="E779" s="12" t="inlineStr">
        <is>
          <t>New</t>
        </is>
      </c>
      <c r="F779" s="12" t="inlineStr"/>
      <c r="G779" s="12" t="inlineStr">
        <is>
          <t>Source assignment -- not individually reviewed</t>
        </is>
      </c>
      <c r="H779" s="17" t="inlineStr">
        <is>
          <t>10 EVIDENCE &amp; DECISIONS</t>
        </is>
      </c>
    </row>
    <row r="780" ht="34" customHeight="1">
      <c r="A780" s="12" t="inlineStr">
        <is>
          <t>R420-v1</t>
        </is>
      </c>
      <c r="B780" s="12" t="inlineStr">
        <is>
          <t>Contractor Programme</t>
        </is>
      </c>
      <c r="C780" s="12" t="inlineStr">
        <is>
          <t>SCH-03-060</t>
        </is>
      </c>
      <c r="D780" s="12" t="inlineStr">
        <is>
          <t>1.3.2 Systems - Signalling &amp; Train Control</t>
        </is>
      </c>
      <c r="E780" s="12" t="inlineStr">
        <is>
          <t>New</t>
        </is>
      </c>
      <c r="F780" s="12" t="inlineStr"/>
      <c r="G780" s="12" t="inlineStr">
        <is>
          <t>Source assignment -- not individually reviewed</t>
        </is>
      </c>
      <c r="H780" s="17" t="inlineStr">
        <is>
          <t>10 EVIDENCE &amp; DECISIONS</t>
        </is>
      </c>
    </row>
    <row r="781" ht="34" customHeight="1">
      <c r="A781" s="12" t="inlineStr">
        <is>
          <t>R423-v1</t>
        </is>
      </c>
      <c r="B781" s="12" t="inlineStr">
        <is>
          <t>Contractor Programme</t>
        </is>
      </c>
      <c r="C781" s="12" t="inlineStr">
        <is>
          <t>SCH-03-063</t>
        </is>
      </c>
      <c r="D781" s="12" t="inlineStr">
        <is>
          <t>1.3.2 Systems - Signalling &amp; Train Control</t>
        </is>
      </c>
      <c r="E781" s="12" t="inlineStr">
        <is>
          <t>New</t>
        </is>
      </c>
      <c r="F781" s="12" t="inlineStr"/>
      <c r="G781" s="12" t="inlineStr">
        <is>
          <t>Source assignment -- not individually reviewed</t>
        </is>
      </c>
      <c r="H781" s="17" t="inlineStr">
        <is>
          <t>10 EVIDENCE &amp; DECISIONS</t>
        </is>
      </c>
    </row>
    <row r="782" ht="34" customHeight="1">
      <c r="A782" s="12" t="inlineStr">
        <is>
          <t>R426-v1</t>
        </is>
      </c>
      <c r="B782" s="12" t="inlineStr">
        <is>
          <t>Contractor Programme</t>
        </is>
      </c>
      <c r="C782" s="12" t="inlineStr">
        <is>
          <t>SCH-03-066</t>
        </is>
      </c>
      <c r="D782" s="12" t="inlineStr">
        <is>
          <t>1.3.2 Systems - Signalling &amp; Train Control</t>
        </is>
      </c>
      <c r="E782" s="12" t="inlineStr">
        <is>
          <t>New</t>
        </is>
      </c>
      <c r="F782" s="12" t="inlineStr"/>
      <c r="G782" s="12" t="inlineStr">
        <is>
          <t>Source assignment -- not individually reviewed</t>
        </is>
      </c>
      <c r="H782" s="17" t="inlineStr">
        <is>
          <t>10 EVIDENCE &amp; DECISIONS</t>
        </is>
      </c>
    </row>
    <row r="783" ht="34" customHeight="1">
      <c r="A783" s="12" t="inlineStr">
        <is>
          <t>R429-v1</t>
        </is>
      </c>
      <c r="B783" s="12" t="inlineStr">
        <is>
          <t>Contractor Programme</t>
        </is>
      </c>
      <c r="C783" s="12" t="inlineStr">
        <is>
          <t>SCH-03-069</t>
        </is>
      </c>
      <c r="D783" s="12" t="inlineStr">
        <is>
          <t>1.3.2 Systems - Signalling &amp; Train Control</t>
        </is>
      </c>
      <c r="E783" s="12" t="inlineStr">
        <is>
          <t>New</t>
        </is>
      </c>
      <c r="F783" s="12" t="inlineStr"/>
      <c r="G783" s="12" t="inlineStr">
        <is>
          <t>Source assignment -- not individually reviewed</t>
        </is>
      </c>
      <c r="H783" s="17" t="inlineStr">
        <is>
          <t>10 EVIDENCE &amp; DECISIONS</t>
        </is>
      </c>
    </row>
    <row r="784" ht="34" customHeight="1">
      <c r="A784" s="12" t="inlineStr">
        <is>
          <t>R432-v1</t>
        </is>
      </c>
      <c r="B784" s="12" t="inlineStr">
        <is>
          <t>Contractor Programme</t>
        </is>
      </c>
      <c r="C784" s="12" t="inlineStr">
        <is>
          <t>SCH-03-072</t>
        </is>
      </c>
      <c r="D784" s="12" t="inlineStr">
        <is>
          <t>1.3.2 Systems - Signalling &amp; Train Control</t>
        </is>
      </c>
      <c r="E784" s="12" t="inlineStr">
        <is>
          <t>New</t>
        </is>
      </c>
      <c r="F784" s="12" t="inlineStr"/>
      <c r="G784" s="12" t="inlineStr">
        <is>
          <t>Source assignment -- not individually reviewed</t>
        </is>
      </c>
      <c r="H784" s="17" t="inlineStr">
        <is>
          <t>10 EVIDENCE &amp; DECISIONS</t>
        </is>
      </c>
    </row>
    <row r="785" ht="34" customHeight="1">
      <c r="A785" s="12" t="inlineStr">
        <is>
          <t>R435-v1</t>
        </is>
      </c>
      <c r="B785" s="12" t="inlineStr">
        <is>
          <t>Contractor Programme</t>
        </is>
      </c>
      <c r="C785" s="12" t="inlineStr">
        <is>
          <t>SCH-03-075</t>
        </is>
      </c>
      <c r="D785" s="12" t="inlineStr">
        <is>
          <t>1.3.2 Systems - Signalling &amp; Train Control</t>
        </is>
      </c>
      <c r="E785" s="12" t="inlineStr">
        <is>
          <t>New</t>
        </is>
      </c>
      <c r="F785" s="12" t="inlineStr"/>
      <c r="G785" s="12" t="inlineStr">
        <is>
          <t>Source assignment -- not individually reviewed</t>
        </is>
      </c>
      <c r="H785" s="17" t="inlineStr">
        <is>
          <t>10 EVIDENCE &amp; DECISIONS</t>
        </is>
      </c>
    </row>
    <row r="786" ht="34" customHeight="1">
      <c r="A786" s="12" t="inlineStr">
        <is>
          <t>R438-v1</t>
        </is>
      </c>
      <c r="B786" s="12" t="inlineStr">
        <is>
          <t>Contractor Programme</t>
        </is>
      </c>
      <c r="C786" s="12" t="inlineStr">
        <is>
          <t>SCH-03-078</t>
        </is>
      </c>
      <c r="D786" s="12" t="inlineStr">
        <is>
          <t>1.3.2 Systems - Signalling &amp; Train Control</t>
        </is>
      </c>
      <c r="E786" s="12" t="inlineStr">
        <is>
          <t>New</t>
        </is>
      </c>
      <c r="F786" s="12" t="inlineStr"/>
      <c r="G786" s="12" t="inlineStr">
        <is>
          <t>Source assignment -- not individually reviewed</t>
        </is>
      </c>
      <c r="H786" s="17" t="inlineStr">
        <is>
          <t>10 EVIDENCE &amp; DECISIONS</t>
        </is>
      </c>
    </row>
    <row r="787" ht="34" customHeight="1">
      <c r="A787" s="12" t="inlineStr">
        <is>
          <t>R441-v1</t>
        </is>
      </c>
      <c r="B787" s="12" t="inlineStr">
        <is>
          <t>Contractor Programme</t>
        </is>
      </c>
      <c r="C787" s="12" t="inlineStr">
        <is>
          <t>SCH-03-081</t>
        </is>
      </c>
      <c r="D787" s="12" t="inlineStr">
        <is>
          <t>1.3.2 Systems - Signalling &amp; Train Control</t>
        </is>
      </c>
      <c r="E787" s="12" t="inlineStr">
        <is>
          <t>New</t>
        </is>
      </c>
      <c r="F787" s="12" t="inlineStr"/>
      <c r="G787" s="12" t="inlineStr">
        <is>
          <t>Source assignment -- not individually reviewed</t>
        </is>
      </c>
      <c r="H787" s="17" t="inlineStr">
        <is>
          <t>10 EVIDENCE &amp; DECISIONS</t>
        </is>
      </c>
    </row>
    <row r="788" ht="34" customHeight="1">
      <c r="A788" s="12" t="inlineStr">
        <is>
          <t>R444-v1</t>
        </is>
      </c>
      <c r="B788" s="12" t="inlineStr">
        <is>
          <t>Contractor Programme</t>
        </is>
      </c>
      <c r="C788" s="12" t="inlineStr">
        <is>
          <t>SCH-03-084</t>
        </is>
      </c>
      <c r="D788" s="12" t="inlineStr">
        <is>
          <t>1.3.2 Systems - Signalling &amp; Train Control</t>
        </is>
      </c>
      <c r="E788" s="12" t="inlineStr">
        <is>
          <t>New</t>
        </is>
      </c>
      <c r="F788" s="12" t="inlineStr"/>
      <c r="G788" s="12" t="inlineStr">
        <is>
          <t>Source assignment -- not individually reviewed</t>
        </is>
      </c>
      <c r="H788" s="17" t="inlineStr">
        <is>
          <t>10 EVIDENCE &amp; DECISIONS</t>
        </is>
      </c>
    </row>
    <row r="789" ht="34" customHeight="1">
      <c r="A789" s="12" t="inlineStr">
        <is>
          <t>R447-v1</t>
        </is>
      </c>
      <c r="B789" s="12" t="inlineStr">
        <is>
          <t>Contractor Programme</t>
        </is>
      </c>
      <c r="C789" s="12" t="inlineStr">
        <is>
          <t>SCH-03-087</t>
        </is>
      </c>
      <c r="D789" s="12" t="inlineStr">
        <is>
          <t>1.3.2 Systems - Signalling &amp; Train Control</t>
        </is>
      </c>
      <c r="E789" s="12" t="inlineStr">
        <is>
          <t>New</t>
        </is>
      </c>
      <c r="F789" s="12" t="inlineStr"/>
      <c r="G789" s="12" t="inlineStr">
        <is>
          <t>Source assignment -- not individually reviewed</t>
        </is>
      </c>
      <c r="H789" s="17" t="inlineStr">
        <is>
          <t>10 EVIDENCE &amp; DECISIONS</t>
        </is>
      </c>
    </row>
    <row r="790" ht="34" customHeight="1">
      <c r="A790" s="12" t="inlineStr">
        <is>
          <t>R450-v1</t>
        </is>
      </c>
      <c r="B790" s="12" t="inlineStr">
        <is>
          <t>Contractor Programme</t>
        </is>
      </c>
      <c r="C790" s="12" t="inlineStr">
        <is>
          <t>SCH-03-090</t>
        </is>
      </c>
      <c r="D790" s="12" t="inlineStr">
        <is>
          <t>1.3.2 Systems - Signalling &amp; Train Control</t>
        </is>
      </c>
      <c r="E790" s="12" t="inlineStr">
        <is>
          <t>New</t>
        </is>
      </c>
      <c r="F790" s="12" t="inlineStr"/>
      <c r="G790" s="12" t="inlineStr">
        <is>
          <t>Source assignment -- not individually reviewed</t>
        </is>
      </c>
      <c r="H790" s="17" t="inlineStr">
        <is>
          <t>10 EVIDENCE &amp; DECISIONS</t>
        </is>
      </c>
    </row>
    <row r="791" ht="34" customHeight="1">
      <c r="A791" s="12" t="inlineStr">
        <is>
          <t>R453-v1</t>
        </is>
      </c>
      <c r="B791" s="12" t="inlineStr">
        <is>
          <t>Contractor Programme</t>
        </is>
      </c>
      <c r="C791" s="12" t="inlineStr">
        <is>
          <t>SCH-03-093</t>
        </is>
      </c>
      <c r="D791" s="12" t="inlineStr">
        <is>
          <t>1.3.2 Systems - Signalling &amp; Train Control</t>
        </is>
      </c>
      <c r="E791" s="12" t="inlineStr">
        <is>
          <t>New</t>
        </is>
      </c>
      <c r="F791" s="12" t="inlineStr"/>
      <c r="G791" s="12" t="inlineStr">
        <is>
          <t>Source assignment -- not individually reviewed</t>
        </is>
      </c>
      <c r="H791" s="17" t="inlineStr">
        <is>
          <t>10 EVIDENCE &amp; DECISIONS</t>
        </is>
      </c>
    </row>
    <row r="792" ht="34" customHeight="1">
      <c r="A792" s="12" t="inlineStr">
        <is>
          <t>R456-v1</t>
        </is>
      </c>
      <c r="B792" s="12" t="inlineStr">
        <is>
          <t>Contractor Programme</t>
        </is>
      </c>
      <c r="C792" s="12" t="inlineStr">
        <is>
          <t>SCH-03-096</t>
        </is>
      </c>
      <c r="D792" s="12" t="inlineStr">
        <is>
          <t>1.3.2 Systems - Signalling &amp; Train Control</t>
        </is>
      </c>
      <c r="E792" s="12" t="inlineStr">
        <is>
          <t>New</t>
        </is>
      </c>
      <c r="F792" s="12" t="inlineStr"/>
      <c r="G792" s="12" t="inlineStr">
        <is>
          <t>Source assignment -- not individually reviewed</t>
        </is>
      </c>
      <c r="H792" s="17" t="inlineStr">
        <is>
          <t>10 EVIDENCE &amp; DECISIONS</t>
        </is>
      </c>
    </row>
    <row r="793" ht="34" customHeight="1">
      <c r="A793" s="12" t="inlineStr">
        <is>
          <t>R459-v1</t>
        </is>
      </c>
      <c r="B793" s="12" t="inlineStr">
        <is>
          <t>Contractor Programme</t>
        </is>
      </c>
      <c r="C793" s="12" t="inlineStr">
        <is>
          <t>SCH-03-099</t>
        </is>
      </c>
      <c r="D793" s="12" t="inlineStr">
        <is>
          <t>1.3.2 Systems - Signalling &amp; Train Control</t>
        </is>
      </c>
      <c r="E793" s="12" t="inlineStr">
        <is>
          <t>New</t>
        </is>
      </c>
      <c r="F793" s="12" t="inlineStr"/>
      <c r="G793" s="12" t="inlineStr">
        <is>
          <t>Source assignment -- not individually reviewed</t>
        </is>
      </c>
      <c r="H793" s="17" t="inlineStr">
        <is>
          <t>10 EVIDENCE &amp; DECISIONS</t>
        </is>
      </c>
    </row>
    <row r="794" ht="34" customHeight="1">
      <c r="A794" s="12" t="inlineStr">
        <is>
          <t>R462-v1</t>
        </is>
      </c>
      <c r="B794" s="12" t="inlineStr">
        <is>
          <t>Contractor Programme</t>
        </is>
      </c>
      <c r="C794" s="12" t="inlineStr">
        <is>
          <t>SCH-03-102</t>
        </is>
      </c>
      <c r="D794" s="12" t="inlineStr">
        <is>
          <t>1.3.2 Systems - Signalling &amp; Train Control</t>
        </is>
      </c>
      <c r="E794" s="12" t="inlineStr">
        <is>
          <t>New</t>
        </is>
      </c>
      <c r="F794" s="12" t="inlineStr"/>
      <c r="G794" s="12" t="inlineStr">
        <is>
          <t>Source assignment -- not individually reviewed</t>
        </is>
      </c>
      <c r="H794" s="17" t="inlineStr">
        <is>
          <t>10 EVIDENCE &amp; DECISIONS</t>
        </is>
      </c>
    </row>
    <row r="795" ht="34" customHeight="1">
      <c r="A795" s="12" t="inlineStr">
        <is>
          <t>R465-v1</t>
        </is>
      </c>
      <c r="B795" s="12" t="inlineStr">
        <is>
          <t>Contractor Programme</t>
        </is>
      </c>
      <c r="C795" s="12" t="inlineStr">
        <is>
          <t>SCH-03-105</t>
        </is>
      </c>
      <c r="D795" s="12" t="inlineStr">
        <is>
          <t>1.3.2 Systems - Signalling &amp; Train Control</t>
        </is>
      </c>
      <c r="E795" s="12" t="inlineStr">
        <is>
          <t>New</t>
        </is>
      </c>
      <c r="F795" s="12" t="inlineStr"/>
      <c r="G795" s="12" t="inlineStr">
        <is>
          <t>Source assignment -- not individually reviewed</t>
        </is>
      </c>
      <c r="H795" s="17" t="inlineStr">
        <is>
          <t>10 EVIDENCE &amp; DECISIONS</t>
        </is>
      </c>
    </row>
    <row r="796" ht="34" customHeight="1">
      <c r="A796" s="12" t="inlineStr">
        <is>
          <t>R468-v1</t>
        </is>
      </c>
      <c r="B796" s="12" t="inlineStr">
        <is>
          <t>Contractor Programme</t>
        </is>
      </c>
      <c r="C796" s="12" t="inlineStr">
        <is>
          <t>SCH-03-108</t>
        </is>
      </c>
      <c r="D796" s="12" t="inlineStr">
        <is>
          <t>1.3.2 Systems - Signalling &amp; Train Control</t>
        </is>
      </c>
      <c r="E796" s="12" t="inlineStr">
        <is>
          <t>New</t>
        </is>
      </c>
      <c r="F796" s="12" t="inlineStr"/>
      <c r="G796" s="12" t="inlineStr">
        <is>
          <t>Source assignment -- not individually reviewed</t>
        </is>
      </c>
      <c r="H796" s="17" t="inlineStr">
        <is>
          <t>10 EVIDENCE &amp; DECISIONS</t>
        </is>
      </c>
    </row>
    <row r="797" ht="34" customHeight="1">
      <c r="A797" s="12" t="inlineStr">
        <is>
          <t>R471-v1</t>
        </is>
      </c>
      <c r="B797" s="12" t="inlineStr">
        <is>
          <t>Contractor Programme</t>
        </is>
      </c>
      <c r="C797" s="12" t="inlineStr">
        <is>
          <t>SCH-03-111</t>
        </is>
      </c>
      <c r="D797" s="12" t="inlineStr">
        <is>
          <t>1.3.2 Systems - Signalling &amp; Train Control</t>
        </is>
      </c>
      <c r="E797" s="12" t="inlineStr">
        <is>
          <t>New</t>
        </is>
      </c>
      <c r="F797" s="12" t="inlineStr"/>
      <c r="G797" s="12" t="inlineStr">
        <is>
          <t>Source assignment -- not individually reviewed</t>
        </is>
      </c>
      <c r="H797" s="17" t="inlineStr">
        <is>
          <t>10 EVIDENCE &amp; DECISIONS</t>
        </is>
      </c>
    </row>
    <row r="798" ht="34" customHeight="1">
      <c r="A798" s="12" t="inlineStr">
        <is>
          <t>R474-v1</t>
        </is>
      </c>
      <c r="B798" s="12" t="inlineStr">
        <is>
          <t>Contractor Programme</t>
        </is>
      </c>
      <c r="C798" s="12" t="inlineStr">
        <is>
          <t>SCH-03-114</t>
        </is>
      </c>
      <c r="D798" s="12" t="inlineStr">
        <is>
          <t>1.3.2 Systems - Signalling &amp; Train Control</t>
        </is>
      </c>
      <c r="E798" s="12" t="inlineStr">
        <is>
          <t>New</t>
        </is>
      </c>
      <c r="F798" s="12" t="inlineStr"/>
      <c r="G798" s="12" t="inlineStr">
        <is>
          <t>Source assignment -- not individually reviewed</t>
        </is>
      </c>
      <c r="H798" s="17" t="inlineStr">
        <is>
          <t>10 EVIDENCE &amp; DECISIONS</t>
        </is>
      </c>
    </row>
    <row r="799" ht="34" customHeight="1">
      <c r="A799" s="12" t="inlineStr">
        <is>
          <t>R477-v1</t>
        </is>
      </c>
      <c r="B799" s="12" t="inlineStr">
        <is>
          <t>Contractor Programme</t>
        </is>
      </c>
      <c r="C799" s="12" t="inlineStr">
        <is>
          <t>SCH-03-117</t>
        </is>
      </c>
      <c r="D799" s="12" t="inlineStr">
        <is>
          <t>1.3.2 Systems - Signalling &amp; Train Control</t>
        </is>
      </c>
      <c r="E799" s="12" t="inlineStr">
        <is>
          <t>New</t>
        </is>
      </c>
      <c r="F799" s="12" t="inlineStr"/>
      <c r="G799" s="12" t="inlineStr">
        <is>
          <t>Source assignment -- not individually reviewed</t>
        </is>
      </c>
      <c r="H799" s="17" t="inlineStr">
        <is>
          <t>10 EVIDENCE &amp; DECISIONS</t>
        </is>
      </c>
    </row>
    <row r="800" ht="34" customHeight="1">
      <c r="A800" s="12" t="inlineStr">
        <is>
          <t>R480-v1</t>
        </is>
      </c>
      <c r="B800" s="12" t="inlineStr">
        <is>
          <t>Contractor Programme</t>
        </is>
      </c>
      <c r="C800" s="12" t="inlineStr">
        <is>
          <t>SCH-03-120</t>
        </is>
      </c>
      <c r="D800" s="12" t="inlineStr">
        <is>
          <t>1.3.2 Systems - Signalling &amp; Train Control</t>
        </is>
      </c>
      <c r="E800" s="12" t="inlineStr">
        <is>
          <t>New</t>
        </is>
      </c>
      <c r="F800" s="12" t="inlineStr"/>
      <c r="G800" s="12" t="inlineStr">
        <is>
          <t>Source assignment -- not individually reviewed</t>
        </is>
      </c>
      <c r="H800" s="17" t="inlineStr">
        <is>
          <t>10 EVIDENCE &amp; DECISIONS</t>
        </is>
      </c>
    </row>
    <row r="801" ht="34" customHeight="1">
      <c r="A801" s="12" t="inlineStr">
        <is>
          <t>R483-v1</t>
        </is>
      </c>
      <c r="B801" s="12" t="inlineStr">
        <is>
          <t>Contractor Programme</t>
        </is>
      </c>
      <c r="C801" s="12" t="inlineStr">
        <is>
          <t>SCH-03-123</t>
        </is>
      </c>
      <c r="D801" s="12" t="inlineStr">
        <is>
          <t>1.3.2 Systems - Signalling &amp; Train Control</t>
        </is>
      </c>
      <c r="E801" s="12" t="inlineStr">
        <is>
          <t>New</t>
        </is>
      </c>
      <c r="F801" s="12" t="inlineStr"/>
      <c r="G801" s="12" t="inlineStr">
        <is>
          <t>Source assignment -- not individually reviewed</t>
        </is>
      </c>
      <c r="H801" s="17" t="inlineStr">
        <is>
          <t>10 EVIDENCE &amp; DECISIONS</t>
        </is>
      </c>
    </row>
    <row r="802" ht="34" customHeight="1">
      <c r="A802" s="12" t="inlineStr">
        <is>
          <t>R486-v1</t>
        </is>
      </c>
      <c r="B802" s="12" t="inlineStr">
        <is>
          <t>Contractor Programme</t>
        </is>
      </c>
      <c r="C802" s="12" t="inlineStr">
        <is>
          <t>SCH-03-126</t>
        </is>
      </c>
      <c r="D802" s="12" t="inlineStr">
        <is>
          <t>1.3.2 Systems - Signalling &amp; Train Control</t>
        </is>
      </c>
      <c r="E802" s="12" t="inlineStr">
        <is>
          <t>New</t>
        </is>
      </c>
      <c r="F802" s="12" t="inlineStr"/>
      <c r="G802" s="12" t="inlineStr">
        <is>
          <t>Source assignment -- not individually reviewed</t>
        </is>
      </c>
      <c r="H802" s="17" t="inlineStr">
        <is>
          <t>10 EVIDENCE &amp; DECISIONS</t>
        </is>
      </c>
    </row>
    <row r="803" ht="34" customHeight="1">
      <c r="A803" s="12" t="inlineStr">
        <is>
          <t>R489-v1</t>
        </is>
      </c>
      <c r="B803" s="12" t="inlineStr">
        <is>
          <t>Contractor Programme</t>
        </is>
      </c>
      <c r="C803" s="12" t="inlineStr">
        <is>
          <t>SCH-03-129</t>
        </is>
      </c>
      <c r="D803" s="12" t="inlineStr">
        <is>
          <t>1.3.2 Systems - Signalling &amp; Train Control</t>
        </is>
      </c>
      <c r="E803" s="12" t="inlineStr">
        <is>
          <t>New</t>
        </is>
      </c>
      <c r="F803" s="12" t="inlineStr"/>
      <c r="G803" s="12" t="inlineStr">
        <is>
          <t>Source assignment -- not individually reviewed</t>
        </is>
      </c>
      <c r="H803" s="17" t="inlineStr">
        <is>
          <t>10 EVIDENCE &amp; DECISIONS</t>
        </is>
      </c>
    </row>
    <row r="804" ht="34" customHeight="1">
      <c r="A804" s="12" t="inlineStr">
        <is>
          <t>R492-v1</t>
        </is>
      </c>
      <c r="B804" s="12" t="inlineStr">
        <is>
          <t>Contractor Programme</t>
        </is>
      </c>
      <c r="C804" s="12" t="inlineStr">
        <is>
          <t>SCH-03-132</t>
        </is>
      </c>
      <c r="D804" s="12" t="inlineStr">
        <is>
          <t>1.3.2 Systems - Signalling &amp; Train Control</t>
        </is>
      </c>
      <c r="E804" s="12" t="inlineStr">
        <is>
          <t>New</t>
        </is>
      </c>
      <c r="F804" s="12" t="inlineStr"/>
      <c r="G804" s="12" t="inlineStr">
        <is>
          <t>Source assignment -- not individually reviewed</t>
        </is>
      </c>
      <c r="H804" s="17" t="inlineStr">
        <is>
          <t>10 EVIDENCE &amp; DECISIONS</t>
        </is>
      </c>
    </row>
    <row r="805" ht="34" customHeight="1">
      <c r="A805" s="12" t="inlineStr">
        <is>
          <t>R495-v1</t>
        </is>
      </c>
      <c r="B805" s="12" t="inlineStr">
        <is>
          <t>Contractor Programme</t>
        </is>
      </c>
      <c r="C805" s="12" t="inlineStr">
        <is>
          <t>SCH-03-135</t>
        </is>
      </c>
      <c r="D805" s="12" t="inlineStr">
        <is>
          <t>1.3.2 Systems - Signalling &amp; Train Control</t>
        </is>
      </c>
      <c r="E805" s="12" t="inlineStr">
        <is>
          <t>New</t>
        </is>
      </c>
      <c r="F805" s="12" t="inlineStr"/>
      <c r="G805" s="12" t="inlineStr">
        <is>
          <t>Source assignment -- not individually reviewed</t>
        </is>
      </c>
      <c r="H805" s="17" t="inlineStr">
        <is>
          <t>10 EVIDENCE &amp; DECISIONS</t>
        </is>
      </c>
    </row>
    <row r="806" ht="34" customHeight="1">
      <c r="A806" s="12" t="inlineStr">
        <is>
          <t>R498-v1</t>
        </is>
      </c>
      <c r="B806" s="12" t="inlineStr">
        <is>
          <t>Contractor Programme</t>
        </is>
      </c>
      <c r="C806" s="12" t="inlineStr">
        <is>
          <t>SCH-03-138</t>
        </is>
      </c>
      <c r="D806" s="12" t="inlineStr">
        <is>
          <t>1.3.2 Systems - Signalling &amp; Train Control</t>
        </is>
      </c>
      <c r="E806" s="12" t="inlineStr">
        <is>
          <t>New</t>
        </is>
      </c>
      <c r="F806" s="12" t="inlineStr"/>
      <c r="G806" s="12" t="inlineStr">
        <is>
          <t>Source assignment -- not individually reviewed</t>
        </is>
      </c>
      <c r="H806" s="17" t="inlineStr">
        <is>
          <t>10 EVIDENCE &amp; DECISIONS</t>
        </is>
      </c>
    </row>
    <row r="807" ht="34" customHeight="1">
      <c r="A807" s="12" t="inlineStr">
        <is>
          <t>R501-v1</t>
        </is>
      </c>
      <c r="B807" s="12" t="inlineStr">
        <is>
          <t>Contractor Programme</t>
        </is>
      </c>
      <c r="C807" s="12" t="inlineStr">
        <is>
          <t>SCH-03-141</t>
        </is>
      </c>
      <c r="D807" s="12" t="inlineStr">
        <is>
          <t>1.3.2 Systems - Signalling &amp; Train Control</t>
        </is>
      </c>
      <c r="E807" s="12" t="inlineStr">
        <is>
          <t>New</t>
        </is>
      </c>
      <c r="F807" s="12" t="inlineStr"/>
      <c r="G807" s="12" t="inlineStr">
        <is>
          <t>Source assignment -- not individually reviewed</t>
        </is>
      </c>
      <c r="H807" s="17" t="inlineStr">
        <is>
          <t>10 EVIDENCE &amp; DECISIONS</t>
        </is>
      </c>
    </row>
    <row r="808" ht="34" customHeight="1">
      <c r="A808" s="12" t="inlineStr">
        <is>
          <t>R504-v1</t>
        </is>
      </c>
      <c r="B808" s="12" t="inlineStr">
        <is>
          <t>Contractor Programme</t>
        </is>
      </c>
      <c r="C808" s="12" t="inlineStr">
        <is>
          <t>SCH-03-144</t>
        </is>
      </c>
      <c r="D808" s="12" t="inlineStr">
        <is>
          <t>1.3.2 Systems - Signalling &amp; Train Control</t>
        </is>
      </c>
      <c r="E808" s="12" t="inlineStr">
        <is>
          <t>New</t>
        </is>
      </c>
      <c r="F808" s="12" t="inlineStr"/>
      <c r="G808" s="12" t="inlineStr">
        <is>
          <t>Source assignment -- not individually reviewed</t>
        </is>
      </c>
      <c r="H808" s="17" t="inlineStr">
        <is>
          <t>10 EVIDENCE &amp; DECISIONS</t>
        </is>
      </c>
    </row>
    <row r="809" ht="34" customHeight="1">
      <c r="A809" s="12" t="inlineStr">
        <is>
          <t>R507-v1</t>
        </is>
      </c>
      <c r="B809" s="12" t="inlineStr">
        <is>
          <t>Contractor Programme</t>
        </is>
      </c>
      <c r="C809" s="12" t="inlineStr">
        <is>
          <t>SCH-03-147</t>
        </is>
      </c>
      <c r="D809" s="12" t="inlineStr">
        <is>
          <t>1.3.2 Systems - Signalling &amp; Train Control</t>
        </is>
      </c>
      <c r="E809" s="12" t="inlineStr">
        <is>
          <t>New</t>
        </is>
      </c>
      <c r="F809" s="12" t="inlineStr"/>
      <c r="G809" s="12" t="inlineStr">
        <is>
          <t>Source assignment -- not individually reviewed</t>
        </is>
      </c>
      <c r="H809" s="17" t="inlineStr">
        <is>
          <t>10 EVIDENCE &amp; DECISIONS</t>
        </is>
      </c>
    </row>
    <row r="810" ht="34" customHeight="1">
      <c r="A810" s="12" t="inlineStr">
        <is>
          <t>R510-v1</t>
        </is>
      </c>
      <c r="B810" s="12" t="inlineStr">
        <is>
          <t>Contractor Programme</t>
        </is>
      </c>
      <c r="C810" s="12" t="inlineStr">
        <is>
          <t>SCH-03-150</t>
        </is>
      </c>
      <c r="D810" s="12" t="inlineStr">
        <is>
          <t>1.3.2 Systems - Signalling &amp; Train Control</t>
        </is>
      </c>
      <c r="E810" s="12" t="inlineStr">
        <is>
          <t>New</t>
        </is>
      </c>
      <c r="F810" s="12" t="inlineStr"/>
      <c r="G810" s="12" t="inlineStr">
        <is>
          <t>Source assignment -- not individually reviewed</t>
        </is>
      </c>
      <c r="H810" s="17" t="inlineStr">
        <is>
          <t>10 EVIDENCE &amp; DECISIONS</t>
        </is>
      </c>
    </row>
    <row r="811" ht="34" customHeight="1">
      <c r="A811" s="12" t="inlineStr">
        <is>
          <t>R513-v1</t>
        </is>
      </c>
      <c r="B811" s="12" t="inlineStr">
        <is>
          <t>Contractor Programme</t>
        </is>
      </c>
      <c r="C811" s="12" t="inlineStr">
        <is>
          <t>SCH-03-153</t>
        </is>
      </c>
      <c r="D811" s="12" t="inlineStr">
        <is>
          <t>1.3.2 Systems - Signalling &amp; Train Control</t>
        </is>
      </c>
      <c r="E811" s="12" t="inlineStr">
        <is>
          <t>New</t>
        </is>
      </c>
      <c r="F811" s="12" t="inlineStr"/>
      <c r="G811" s="12" t="inlineStr">
        <is>
          <t>Source assignment -- not individually reviewed</t>
        </is>
      </c>
      <c r="H811" s="17" t="inlineStr">
        <is>
          <t>10 EVIDENCE &amp; DECISIONS</t>
        </is>
      </c>
    </row>
    <row r="812" ht="34" customHeight="1">
      <c r="A812" s="12" t="inlineStr">
        <is>
          <t>R516-v1</t>
        </is>
      </c>
      <c r="B812" s="12" t="inlineStr">
        <is>
          <t>Contractor Programme</t>
        </is>
      </c>
      <c r="C812" s="12" t="inlineStr">
        <is>
          <t>SCH-03-156</t>
        </is>
      </c>
      <c r="D812" s="12" t="inlineStr">
        <is>
          <t>1.3.2 Systems - Signalling &amp; Train Control</t>
        </is>
      </c>
      <c r="E812" s="12" t="inlineStr">
        <is>
          <t>New</t>
        </is>
      </c>
      <c r="F812" s="12" t="inlineStr"/>
      <c r="G812" s="12" t="inlineStr">
        <is>
          <t>Source assignment -- not individually reviewed</t>
        </is>
      </c>
      <c r="H812" s="17" t="inlineStr">
        <is>
          <t>10 EVIDENCE &amp; DECISIONS</t>
        </is>
      </c>
    </row>
    <row r="813" ht="34" customHeight="1">
      <c r="A813" s="12" t="inlineStr">
        <is>
          <t>R519-v1</t>
        </is>
      </c>
      <c r="B813" s="12" t="inlineStr">
        <is>
          <t>Contractor Programme</t>
        </is>
      </c>
      <c r="C813" s="12" t="inlineStr">
        <is>
          <t>SCH-03-159</t>
        </is>
      </c>
      <c r="D813" s="12" t="inlineStr">
        <is>
          <t>1.3.2 Systems - Signalling &amp; Train Control</t>
        </is>
      </c>
      <c r="E813" s="12" t="inlineStr">
        <is>
          <t>New</t>
        </is>
      </c>
      <c r="F813" s="12" t="inlineStr"/>
      <c r="G813" s="12" t="inlineStr">
        <is>
          <t>Source assignment -- not individually reviewed</t>
        </is>
      </c>
      <c r="H813" s="17" t="inlineStr">
        <is>
          <t>10 EVIDENCE &amp; DECISIONS</t>
        </is>
      </c>
    </row>
    <row r="814" ht="34" customHeight="1">
      <c r="A814" s="12" t="inlineStr">
        <is>
          <t>R522-v1</t>
        </is>
      </c>
      <c r="B814" s="12" t="inlineStr">
        <is>
          <t>Contractor Programme</t>
        </is>
      </c>
      <c r="C814" s="12" t="inlineStr">
        <is>
          <t>SCH-03-162</t>
        </is>
      </c>
      <c r="D814" s="12" t="inlineStr">
        <is>
          <t>1.3.2 Systems - Signalling &amp; Train Control</t>
        </is>
      </c>
      <c r="E814" s="12" t="inlineStr">
        <is>
          <t>New</t>
        </is>
      </c>
      <c r="F814" s="12" t="inlineStr"/>
      <c r="G814" s="12" t="inlineStr">
        <is>
          <t>Source assignment -- not individually reviewed</t>
        </is>
      </c>
      <c r="H814" s="17" t="inlineStr">
        <is>
          <t>10 EVIDENCE &amp; DECISIONS</t>
        </is>
      </c>
    </row>
    <row r="815" ht="34" customHeight="1">
      <c r="A815" s="12" t="inlineStr">
        <is>
          <t>R525-v1</t>
        </is>
      </c>
      <c r="B815" s="12" t="inlineStr">
        <is>
          <t>Contractor Programme</t>
        </is>
      </c>
      <c r="C815" s="12" t="inlineStr">
        <is>
          <t>SCH-03-165</t>
        </is>
      </c>
      <c r="D815" s="12" t="inlineStr">
        <is>
          <t>1.3.2 Systems - Signalling &amp; Train Control</t>
        </is>
      </c>
      <c r="E815" s="12" t="inlineStr">
        <is>
          <t>New</t>
        </is>
      </c>
      <c r="F815" s="12" t="inlineStr"/>
      <c r="G815" s="12" t="inlineStr">
        <is>
          <t>Source assignment -- not individually reviewed</t>
        </is>
      </c>
      <c r="H815" s="17" t="inlineStr">
        <is>
          <t>10 EVIDENCE &amp; DECISIONS</t>
        </is>
      </c>
    </row>
    <row r="816" ht="34" customHeight="1">
      <c r="A816" s="12" t="inlineStr">
        <is>
          <t>R528-v1</t>
        </is>
      </c>
      <c r="B816" s="12" t="inlineStr">
        <is>
          <t>Contractor Programme</t>
        </is>
      </c>
      <c r="C816" s="12" t="inlineStr">
        <is>
          <t>SCH-03-168</t>
        </is>
      </c>
      <c r="D816" s="12" t="inlineStr">
        <is>
          <t>1.3.2 Systems - Signalling &amp; Train Control</t>
        </is>
      </c>
      <c r="E816" s="12" t="inlineStr">
        <is>
          <t>New</t>
        </is>
      </c>
      <c r="F816" s="12" t="inlineStr"/>
      <c r="G816" s="12" t="inlineStr">
        <is>
          <t>Source assignment -- not individually reviewed</t>
        </is>
      </c>
      <c r="H816" s="17" t="inlineStr">
        <is>
          <t>10 EVIDENCE &amp; DECISIONS</t>
        </is>
      </c>
    </row>
    <row r="817" ht="34" customHeight="1">
      <c r="A817" s="12" t="inlineStr">
        <is>
          <t>R531-v1</t>
        </is>
      </c>
      <c r="B817" s="12" t="inlineStr">
        <is>
          <t>Contractor Programme</t>
        </is>
      </c>
      <c r="C817" s="12" t="inlineStr">
        <is>
          <t>SCH-03-171</t>
        </is>
      </c>
      <c r="D817" s="12" t="inlineStr">
        <is>
          <t>1.3.2 Systems - Signalling &amp; Train Control</t>
        </is>
      </c>
      <c r="E817" s="12" t="inlineStr">
        <is>
          <t>New</t>
        </is>
      </c>
      <c r="F817" s="12" t="inlineStr"/>
      <c r="G817" s="12" t="inlineStr">
        <is>
          <t>Source assignment -- not individually reviewed</t>
        </is>
      </c>
      <c r="H817" s="17" t="inlineStr">
        <is>
          <t>10 EVIDENCE &amp; DECISIONS</t>
        </is>
      </c>
    </row>
    <row r="818" ht="34" customHeight="1">
      <c r="A818" s="12" t="inlineStr">
        <is>
          <t>R534-v1</t>
        </is>
      </c>
      <c r="B818" s="12" t="inlineStr">
        <is>
          <t>Contractor Programme</t>
        </is>
      </c>
      <c r="C818" s="12" t="inlineStr">
        <is>
          <t>SCH-03-174</t>
        </is>
      </c>
      <c r="D818" s="12" t="inlineStr">
        <is>
          <t>1.3.2 Systems - Signalling &amp; Train Control</t>
        </is>
      </c>
      <c r="E818" s="12" t="inlineStr">
        <is>
          <t>New</t>
        </is>
      </c>
      <c r="F818" s="12" t="inlineStr"/>
      <c r="G818" s="12" t="inlineStr">
        <is>
          <t>Source assignment -- not individually reviewed</t>
        </is>
      </c>
      <c r="H818" s="17" t="inlineStr">
        <is>
          <t>10 EVIDENCE &amp; DECISIONS</t>
        </is>
      </c>
    </row>
    <row r="819" ht="34" customHeight="1">
      <c r="A819" s="12" t="inlineStr">
        <is>
          <t>R537-v1</t>
        </is>
      </c>
      <c r="B819" s="12" t="inlineStr">
        <is>
          <t>Contractor Programme</t>
        </is>
      </c>
      <c r="C819" s="12" t="inlineStr">
        <is>
          <t>SCH-03-177</t>
        </is>
      </c>
      <c r="D819" s="12" t="inlineStr">
        <is>
          <t>1.3.2 Systems - Signalling &amp; Train Control</t>
        </is>
      </c>
      <c r="E819" s="12" t="inlineStr">
        <is>
          <t>New</t>
        </is>
      </c>
      <c r="F819" s="12" t="inlineStr"/>
      <c r="G819" s="12" t="inlineStr">
        <is>
          <t>Source assignment -- not individually reviewed</t>
        </is>
      </c>
      <c r="H819" s="17" t="inlineStr">
        <is>
          <t>10 EVIDENCE &amp; DECISIONS</t>
        </is>
      </c>
    </row>
    <row r="820" ht="34" customHeight="1">
      <c r="A820" s="12" t="inlineStr">
        <is>
          <t>R540-v1</t>
        </is>
      </c>
      <c r="B820" s="12" t="inlineStr">
        <is>
          <t>Contractor Programme</t>
        </is>
      </c>
      <c r="C820" s="12" t="inlineStr">
        <is>
          <t>SCH-03-180</t>
        </is>
      </c>
      <c r="D820" s="12" t="inlineStr">
        <is>
          <t>1.3.2 Systems - Signalling &amp; Train Control</t>
        </is>
      </c>
      <c r="E820" s="12" t="inlineStr">
        <is>
          <t>New</t>
        </is>
      </c>
      <c r="F820" s="12" t="inlineStr"/>
      <c r="G820" s="12" t="inlineStr">
        <is>
          <t>Source assignment -- not individually reviewed</t>
        </is>
      </c>
      <c r="H820" s="17" t="inlineStr">
        <is>
          <t>10 EVIDENCE &amp; DECISIONS</t>
        </is>
      </c>
    </row>
    <row r="821" ht="34" customHeight="1">
      <c r="A821" s="12" t="inlineStr">
        <is>
          <t>R1593-v1</t>
        </is>
      </c>
      <c r="B821" s="12" t="inlineStr">
        <is>
          <t>Commercial Package Register</t>
        </is>
      </c>
      <c r="C821" s="12" t="inlineStr">
        <is>
          <t>PKG-031</t>
        </is>
      </c>
      <c r="D821" s="12" t="inlineStr">
        <is>
          <t>1.4 Vehicles and Depot</t>
        </is>
      </c>
      <c r="E821" s="12" t="inlineStr">
        <is>
          <t>New</t>
        </is>
      </c>
      <c r="F821" s="12" t="inlineStr"/>
      <c r="G821" s="12" t="inlineStr">
        <is>
          <t>Source assignment -- not individually reviewed</t>
        </is>
      </c>
      <c r="H821" s="17" t="inlineStr">
        <is>
          <t>10 EVIDENCE &amp; DECISIONS</t>
        </is>
      </c>
    </row>
    <row r="822" ht="34" customHeight="1">
      <c r="A822" s="12" t="inlineStr">
        <is>
          <t>R1594-v1</t>
        </is>
      </c>
      <c r="B822" s="12" t="inlineStr">
        <is>
          <t>Commercial Package Register</t>
        </is>
      </c>
      <c r="C822" s="12" t="inlineStr">
        <is>
          <t>PKG-032</t>
        </is>
      </c>
      <c r="D822" s="12" t="inlineStr">
        <is>
          <t>1.4 Vehicles and Depot</t>
        </is>
      </c>
      <c r="E822" s="12" t="inlineStr">
        <is>
          <t>New</t>
        </is>
      </c>
      <c r="F822" s="12" t="inlineStr"/>
      <c r="G822" s="12" t="inlineStr">
        <is>
          <t>Source assignment -- not individually reviewed</t>
        </is>
      </c>
      <c r="H822" s="17" t="inlineStr">
        <is>
          <t>10 EVIDENCE &amp; DECISIONS</t>
        </is>
      </c>
    </row>
    <row r="823" ht="34" customHeight="1">
      <c r="A823" s="12" t="inlineStr">
        <is>
          <t>R1595-v1</t>
        </is>
      </c>
      <c r="B823" s="12" t="inlineStr">
        <is>
          <t>Commercial Package Register</t>
        </is>
      </c>
      <c r="C823" s="12" t="inlineStr">
        <is>
          <t>PKG-033</t>
        </is>
      </c>
      <c r="D823" s="12" t="inlineStr">
        <is>
          <t>1.4 Vehicles and Depot</t>
        </is>
      </c>
      <c r="E823" s="12" t="inlineStr">
        <is>
          <t>New</t>
        </is>
      </c>
      <c r="F823" s="12" t="inlineStr"/>
      <c r="G823" s="12" t="inlineStr">
        <is>
          <t>Source assignment -- not individually reviewed</t>
        </is>
      </c>
      <c r="H823" s="17" t="inlineStr">
        <is>
          <t>10 EVIDENCE &amp; DECISIONS</t>
        </is>
      </c>
    </row>
    <row r="824" ht="34" customHeight="1">
      <c r="A824" s="12" t="inlineStr">
        <is>
          <t>R1596-v1</t>
        </is>
      </c>
      <c r="B824" s="12" t="inlineStr">
        <is>
          <t>Commercial Package Register</t>
        </is>
      </c>
      <c r="C824" s="12" t="inlineStr">
        <is>
          <t>PKG-034</t>
        </is>
      </c>
      <c r="D824" s="12" t="inlineStr">
        <is>
          <t>1.4 Vehicles and Depot</t>
        </is>
      </c>
      <c r="E824" s="12" t="inlineStr">
        <is>
          <t>New</t>
        </is>
      </c>
      <c r="F824" s="12" t="inlineStr"/>
      <c r="G824" s="12" t="inlineStr">
        <is>
          <t>Source assignment -- not individually reviewed</t>
        </is>
      </c>
      <c r="H824" s="17" t="inlineStr">
        <is>
          <t>10 EVIDENCE &amp; DECISIONS</t>
        </is>
      </c>
    </row>
    <row r="825" ht="34" customHeight="1">
      <c r="A825" s="12" t="inlineStr">
        <is>
          <t>R1597-v1</t>
        </is>
      </c>
      <c r="B825" s="12" t="inlineStr">
        <is>
          <t>Commercial Package Register</t>
        </is>
      </c>
      <c r="C825" s="12" t="inlineStr">
        <is>
          <t>PKG-035</t>
        </is>
      </c>
      <c r="D825" s="12" t="inlineStr">
        <is>
          <t>1.4 Vehicles and Depot</t>
        </is>
      </c>
      <c r="E825" s="12" t="inlineStr">
        <is>
          <t>New</t>
        </is>
      </c>
      <c r="F825" s="12" t="inlineStr"/>
      <c r="G825" s="12" t="inlineStr">
        <is>
          <t>Source assignment -- not individually reviewed</t>
        </is>
      </c>
      <c r="H825" s="17" t="inlineStr">
        <is>
          <t>10 EVIDENCE &amp; DECISIONS</t>
        </is>
      </c>
    </row>
    <row r="826" ht="34" customHeight="1">
      <c r="A826" s="12" t="inlineStr">
        <is>
          <t>R1598-v1</t>
        </is>
      </c>
      <c r="B826" s="12" t="inlineStr">
        <is>
          <t>Commercial Package Register</t>
        </is>
      </c>
      <c r="C826" s="12" t="inlineStr">
        <is>
          <t>PKG-036</t>
        </is>
      </c>
      <c r="D826" s="12" t="inlineStr">
        <is>
          <t>1.4 Vehicles and Depot</t>
        </is>
      </c>
      <c r="E826" s="12" t="inlineStr">
        <is>
          <t>New</t>
        </is>
      </c>
      <c r="F826" s="12" t="inlineStr"/>
      <c r="G826" s="12" t="inlineStr">
        <is>
          <t>Source assignment -- not individually reviewed</t>
        </is>
      </c>
      <c r="H826" s="17" t="inlineStr">
        <is>
          <t>10 EVIDENCE &amp; DECISIONS</t>
        </is>
      </c>
    </row>
    <row r="827" ht="34" customHeight="1">
      <c r="A827" s="12" t="inlineStr">
        <is>
          <t>R1599-v1</t>
        </is>
      </c>
      <c r="B827" s="12" t="inlineStr">
        <is>
          <t>Commercial Package Register</t>
        </is>
      </c>
      <c r="C827" s="12" t="inlineStr">
        <is>
          <t>PKG-037</t>
        </is>
      </c>
      <c r="D827" s="12" t="inlineStr">
        <is>
          <t>1.4 Vehicles and Depot</t>
        </is>
      </c>
      <c r="E827" s="12" t="inlineStr">
        <is>
          <t>New</t>
        </is>
      </c>
      <c r="F827" s="12" t="inlineStr"/>
      <c r="G827" s="12" t="inlineStr">
        <is>
          <t>Source assignment -- not individually reviewed</t>
        </is>
      </c>
      <c r="H827" s="17" t="inlineStr">
        <is>
          <t>10 EVIDENCE &amp; DECISIONS</t>
        </is>
      </c>
    </row>
    <row r="828" ht="34" customHeight="1">
      <c r="A828" s="12" t="inlineStr">
        <is>
          <t>R1600-v1</t>
        </is>
      </c>
      <c r="B828" s="12" t="inlineStr">
        <is>
          <t>Commercial Package Register</t>
        </is>
      </c>
      <c r="C828" s="12" t="inlineStr">
        <is>
          <t>PKG-038</t>
        </is>
      </c>
      <c r="D828" s="12" t="inlineStr">
        <is>
          <t>1.4 Vehicles and Depot</t>
        </is>
      </c>
      <c r="E828" s="12" t="inlineStr">
        <is>
          <t>New</t>
        </is>
      </c>
      <c r="F828" s="12" t="inlineStr"/>
      <c r="G828" s="12" t="inlineStr">
        <is>
          <t>Source assignment -- not individually reviewed</t>
        </is>
      </c>
      <c r="H828" s="17" t="inlineStr">
        <is>
          <t>10 EVIDENCE &amp; DECISIONS</t>
        </is>
      </c>
    </row>
    <row r="829" ht="34" customHeight="1">
      <c r="A829" s="12" t="inlineStr">
        <is>
          <t>R1601-v1</t>
        </is>
      </c>
      <c r="B829" s="12" t="inlineStr">
        <is>
          <t>Commercial Package Register</t>
        </is>
      </c>
      <c r="C829" s="12" t="inlineStr">
        <is>
          <t>PKG-039</t>
        </is>
      </c>
      <c r="D829" s="12" t="inlineStr">
        <is>
          <t>1.4 Vehicles and Depot</t>
        </is>
      </c>
      <c r="E829" s="12" t="inlineStr">
        <is>
          <t>New</t>
        </is>
      </c>
      <c r="F829" s="12" t="inlineStr"/>
      <c r="G829" s="12" t="inlineStr">
        <is>
          <t>Source assignment -- not individually reviewed</t>
        </is>
      </c>
      <c r="H829" s="17" t="inlineStr">
        <is>
          <t>10 EVIDENCE &amp; DECISIONS</t>
        </is>
      </c>
    </row>
    <row r="830" ht="34" customHeight="1">
      <c r="A830" s="12" t="inlineStr">
        <is>
          <t>R1602-v1</t>
        </is>
      </c>
      <c r="B830" s="12" t="inlineStr">
        <is>
          <t>Commercial Package Register</t>
        </is>
      </c>
      <c r="C830" s="12" t="inlineStr">
        <is>
          <t>PKG-040</t>
        </is>
      </c>
      <c r="D830" s="12" t="inlineStr">
        <is>
          <t>1.4 Vehicles and Depot</t>
        </is>
      </c>
      <c r="E830" s="12" t="inlineStr">
        <is>
          <t>New</t>
        </is>
      </c>
      <c r="F830" s="12" t="inlineStr"/>
      <c r="G830" s="12" t="inlineStr">
        <is>
          <t>Source assignment -- not individually reviewed</t>
        </is>
      </c>
      <c r="H830" s="17" t="inlineStr">
        <is>
          <t>10 EVIDENCE &amp; DECISIONS</t>
        </is>
      </c>
    </row>
    <row r="831" ht="34" customHeight="1">
      <c r="A831" s="12" t="inlineStr">
        <is>
          <t>R1323-v1</t>
        </is>
      </c>
      <c r="B831" s="12" t="inlineStr">
        <is>
          <t>Cost &amp; Forecast Control Accounts</t>
        </is>
      </c>
      <c r="C831" s="12" t="inlineStr">
        <is>
          <t>CST-04-001</t>
        </is>
      </c>
      <c r="D831" s="12" t="inlineStr">
        <is>
          <t>1.4.1 Vehicles and Depot - Fleet Supply</t>
        </is>
      </c>
      <c r="E831" s="12" t="inlineStr">
        <is>
          <t>New</t>
        </is>
      </c>
      <c r="F831" s="12" t="inlineStr"/>
      <c r="G831" s="12" t="inlineStr">
        <is>
          <t>Source assignment -- not individually reviewed</t>
        </is>
      </c>
      <c r="H831" s="17" t="inlineStr">
        <is>
          <t>10 EVIDENCE &amp; DECISIONS</t>
        </is>
      </c>
    </row>
    <row r="832" ht="34" customHeight="1">
      <c r="A832" s="12" t="inlineStr">
        <is>
          <t>R1325-v1</t>
        </is>
      </c>
      <c r="B832" s="12" t="inlineStr">
        <is>
          <t>Cost &amp; Forecast Control Accounts</t>
        </is>
      </c>
      <c r="C832" s="12" t="inlineStr">
        <is>
          <t>CST-04-003</t>
        </is>
      </c>
      <c r="D832" s="12" t="inlineStr">
        <is>
          <t>1.4.1 Vehicles and Depot - Fleet Supply</t>
        </is>
      </c>
      <c r="E832" s="12" t="inlineStr">
        <is>
          <t>New</t>
        </is>
      </c>
      <c r="F832" s="12" t="inlineStr"/>
      <c r="G832" s="12" t="inlineStr">
        <is>
          <t>Source assignment -- not individually reviewed</t>
        </is>
      </c>
      <c r="H832" s="17" t="inlineStr">
        <is>
          <t>10 EVIDENCE &amp; DECISIONS</t>
        </is>
      </c>
    </row>
    <row r="833" ht="34" customHeight="1">
      <c r="A833" s="12" t="inlineStr">
        <is>
          <t>R1327-v1</t>
        </is>
      </c>
      <c r="B833" s="12" t="inlineStr">
        <is>
          <t>Cost &amp; Forecast Control Accounts</t>
        </is>
      </c>
      <c r="C833" s="12" t="inlineStr">
        <is>
          <t>CST-04-005</t>
        </is>
      </c>
      <c r="D833" s="12" t="inlineStr">
        <is>
          <t>1.4.1 Vehicles and Depot - Fleet Supply</t>
        </is>
      </c>
      <c r="E833" s="12" t="inlineStr">
        <is>
          <t>New</t>
        </is>
      </c>
      <c r="F833" s="12" t="inlineStr"/>
      <c r="G833" s="12" t="inlineStr">
        <is>
          <t>Source assignment -- not individually reviewed</t>
        </is>
      </c>
      <c r="H833" s="17" t="inlineStr">
        <is>
          <t>10 EVIDENCE &amp; DECISIONS</t>
        </is>
      </c>
    </row>
    <row r="834" ht="34" customHeight="1">
      <c r="A834" s="12" t="inlineStr">
        <is>
          <t>R1329-v1</t>
        </is>
      </c>
      <c r="B834" s="12" t="inlineStr">
        <is>
          <t>Cost &amp; Forecast Control Accounts</t>
        </is>
      </c>
      <c r="C834" s="12" t="inlineStr">
        <is>
          <t>CST-04-007</t>
        </is>
      </c>
      <c r="D834" s="12" t="inlineStr">
        <is>
          <t>1.4.1 Vehicles and Depot - Fleet Supply</t>
        </is>
      </c>
      <c r="E834" s="12" t="inlineStr">
        <is>
          <t>New</t>
        </is>
      </c>
      <c r="F834" s="12" t="inlineStr"/>
      <c r="G834" s="12" t="inlineStr">
        <is>
          <t>Source assignment -- not individually reviewed</t>
        </is>
      </c>
      <c r="H834" s="17" t="inlineStr">
        <is>
          <t>10 EVIDENCE &amp; DECISIONS</t>
        </is>
      </c>
    </row>
    <row r="835" ht="34" customHeight="1">
      <c r="A835" s="12" t="inlineStr">
        <is>
          <t>R1331-v1</t>
        </is>
      </c>
      <c r="B835" s="12" t="inlineStr">
        <is>
          <t>Cost &amp; Forecast Control Accounts</t>
        </is>
      </c>
      <c r="C835" s="12" t="inlineStr">
        <is>
          <t>CST-04-009</t>
        </is>
      </c>
      <c r="D835" s="12" t="inlineStr">
        <is>
          <t>1.4.1 Vehicles and Depot - Fleet Supply</t>
        </is>
      </c>
      <c r="E835" s="12" t="inlineStr">
        <is>
          <t>New</t>
        </is>
      </c>
      <c r="F835" s="12" t="inlineStr"/>
      <c r="G835" s="12" t="inlineStr">
        <is>
          <t>Source assignment -- not individually reviewed</t>
        </is>
      </c>
      <c r="H835" s="17" t="inlineStr">
        <is>
          <t>10 EVIDENCE &amp; DECISIONS</t>
        </is>
      </c>
    </row>
    <row r="836" ht="34" customHeight="1">
      <c r="A836" s="12" t="inlineStr">
        <is>
          <t>R1333-v1</t>
        </is>
      </c>
      <c r="B836" s="12" t="inlineStr">
        <is>
          <t>Cost &amp; Forecast Control Accounts</t>
        </is>
      </c>
      <c r="C836" s="12" t="inlineStr">
        <is>
          <t>CST-04-011</t>
        </is>
      </c>
      <c r="D836" s="12" t="inlineStr">
        <is>
          <t>1.4.1 Vehicles and Depot - Fleet Supply</t>
        </is>
      </c>
      <c r="E836" s="12" t="inlineStr">
        <is>
          <t>New</t>
        </is>
      </c>
      <c r="F836" s="12" t="inlineStr"/>
      <c r="G836" s="12" t="inlineStr">
        <is>
          <t>Source assignment -- not individually reviewed</t>
        </is>
      </c>
      <c r="H836" s="17" t="inlineStr">
        <is>
          <t>10 EVIDENCE &amp; DECISIONS</t>
        </is>
      </c>
    </row>
    <row r="837" ht="34" customHeight="1">
      <c r="A837" s="12" t="inlineStr">
        <is>
          <t>R1335-v1</t>
        </is>
      </c>
      <c r="B837" s="12" t="inlineStr">
        <is>
          <t>Cost &amp; Forecast Control Accounts</t>
        </is>
      </c>
      <c r="C837" s="12" t="inlineStr">
        <is>
          <t>CST-04-013</t>
        </is>
      </c>
      <c r="D837" s="12" t="inlineStr">
        <is>
          <t>1.4.1 Vehicles and Depot - Fleet Supply</t>
        </is>
      </c>
      <c r="E837" s="12" t="inlineStr">
        <is>
          <t>New</t>
        </is>
      </c>
      <c r="F837" s="12" t="inlineStr"/>
      <c r="G837" s="12" t="inlineStr">
        <is>
          <t>Source assignment -- not individually reviewed</t>
        </is>
      </c>
      <c r="H837" s="17" t="inlineStr">
        <is>
          <t>10 EVIDENCE &amp; DECISIONS</t>
        </is>
      </c>
    </row>
    <row r="838" ht="34" customHeight="1">
      <c r="A838" s="12" t="inlineStr">
        <is>
          <t>R1337-v1</t>
        </is>
      </c>
      <c r="B838" s="12" t="inlineStr">
        <is>
          <t>Cost &amp; Forecast Control Accounts</t>
        </is>
      </c>
      <c r="C838" s="12" t="inlineStr">
        <is>
          <t>CST-04-015</t>
        </is>
      </c>
      <c r="D838" s="12" t="inlineStr">
        <is>
          <t>1.4.1 Vehicles and Depot - Fleet Supply</t>
        </is>
      </c>
      <c r="E838" s="12" t="inlineStr">
        <is>
          <t>New</t>
        </is>
      </c>
      <c r="F838" s="12" t="inlineStr"/>
      <c r="G838" s="12" t="inlineStr">
        <is>
          <t>Source assignment -- not individually reviewed</t>
        </is>
      </c>
      <c r="H838" s="17" t="inlineStr">
        <is>
          <t>10 EVIDENCE &amp; DECISIONS</t>
        </is>
      </c>
    </row>
    <row r="839" ht="34" customHeight="1">
      <c r="A839" s="12" t="inlineStr">
        <is>
          <t>R1339-v1</t>
        </is>
      </c>
      <c r="B839" s="12" t="inlineStr">
        <is>
          <t>Cost &amp; Forecast Control Accounts</t>
        </is>
      </c>
      <c r="C839" s="12" t="inlineStr">
        <is>
          <t>CST-04-017</t>
        </is>
      </c>
      <c r="D839" s="12" t="inlineStr">
        <is>
          <t>1.4.1 Vehicles and Depot - Fleet Supply</t>
        </is>
      </c>
      <c r="E839" s="12" t="inlineStr">
        <is>
          <t>New</t>
        </is>
      </c>
      <c r="F839" s="12" t="inlineStr"/>
      <c r="G839" s="12" t="inlineStr">
        <is>
          <t>Source assignment -- not individually reviewed</t>
        </is>
      </c>
      <c r="H839" s="17" t="inlineStr">
        <is>
          <t>10 EVIDENCE &amp; DECISIONS</t>
        </is>
      </c>
    </row>
    <row r="840" ht="34" customHeight="1">
      <c r="A840" s="12" t="inlineStr">
        <is>
          <t>R1341-v1</t>
        </is>
      </c>
      <c r="B840" s="12" t="inlineStr">
        <is>
          <t>Cost &amp; Forecast Control Accounts</t>
        </is>
      </c>
      <c r="C840" s="12" t="inlineStr">
        <is>
          <t>CST-04-019</t>
        </is>
      </c>
      <c r="D840" s="12" t="inlineStr">
        <is>
          <t>1.4.1 Vehicles and Depot - Fleet Supply</t>
        </is>
      </c>
      <c r="E840" s="12" t="inlineStr">
        <is>
          <t>New</t>
        </is>
      </c>
      <c r="F840" s="12" t="inlineStr"/>
      <c r="G840" s="12" t="inlineStr">
        <is>
          <t>Source assignment -- not individually reviewed</t>
        </is>
      </c>
      <c r="H840" s="17" t="inlineStr">
        <is>
          <t>10 EVIDENCE &amp; DECISIONS</t>
        </is>
      </c>
    </row>
    <row r="841" ht="34" customHeight="1">
      <c r="A841" s="12" t="inlineStr">
        <is>
          <t>R1343-v1</t>
        </is>
      </c>
      <c r="B841" s="12" t="inlineStr">
        <is>
          <t>Cost &amp; Forecast Control Accounts</t>
        </is>
      </c>
      <c r="C841" s="12" t="inlineStr">
        <is>
          <t>CST-04-021</t>
        </is>
      </c>
      <c r="D841" s="12" t="inlineStr">
        <is>
          <t>1.4.1 Vehicles and Depot - Fleet Supply</t>
        </is>
      </c>
      <c r="E841" s="12" t="inlineStr">
        <is>
          <t>New</t>
        </is>
      </c>
      <c r="F841" s="12" t="inlineStr"/>
      <c r="G841" s="12" t="inlineStr">
        <is>
          <t>Source assignment -- not individually reviewed</t>
        </is>
      </c>
      <c r="H841" s="17" t="inlineStr">
        <is>
          <t>10 EVIDENCE &amp; DECISIONS</t>
        </is>
      </c>
    </row>
    <row r="842" ht="34" customHeight="1">
      <c r="A842" s="12" t="inlineStr">
        <is>
          <t>R1345-v1</t>
        </is>
      </c>
      <c r="B842" s="12" t="inlineStr">
        <is>
          <t>Cost &amp; Forecast Control Accounts</t>
        </is>
      </c>
      <c r="C842" s="12" t="inlineStr">
        <is>
          <t>CST-04-023</t>
        </is>
      </c>
      <c r="D842" s="12" t="inlineStr">
        <is>
          <t>1.4.1 Vehicles and Depot - Fleet Supply</t>
        </is>
      </c>
      <c r="E842" s="12" t="inlineStr">
        <is>
          <t>New</t>
        </is>
      </c>
      <c r="F842" s="12" t="inlineStr"/>
      <c r="G842" s="12" t="inlineStr">
        <is>
          <t>Source assignment -- not individually reviewed</t>
        </is>
      </c>
      <c r="H842" s="17" t="inlineStr">
        <is>
          <t>10 EVIDENCE &amp; DECISIONS</t>
        </is>
      </c>
    </row>
    <row r="843" ht="34" customHeight="1">
      <c r="A843" s="12" t="inlineStr">
        <is>
          <t>R1347-v1</t>
        </is>
      </c>
      <c r="B843" s="12" t="inlineStr">
        <is>
          <t>Cost &amp; Forecast Control Accounts</t>
        </is>
      </c>
      <c r="C843" s="12" t="inlineStr">
        <is>
          <t>CST-04-025</t>
        </is>
      </c>
      <c r="D843" s="12" t="inlineStr">
        <is>
          <t>1.4.1 Vehicles and Depot - Fleet Supply</t>
        </is>
      </c>
      <c r="E843" s="12" t="inlineStr">
        <is>
          <t>New</t>
        </is>
      </c>
      <c r="F843" s="12" t="inlineStr"/>
      <c r="G843" s="12" t="inlineStr">
        <is>
          <t>Source assignment -- not individually reviewed</t>
        </is>
      </c>
      <c r="H843" s="17" t="inlineStr">
        <is>
          <t>10 EVIDENCE &amp; DECISIONS</t>
        </is>
      </c>
    </row>
    <row r="844" ht="34" customHeight="1">
      <c r="A844" s="12" t="inlineStr">
        <is>
          <t>R1349-v1</t>
        </is>
      </c>
      <c r="B844" s="12" t="inlineStr">
        <is>
          <t>Cost &amp; Forecast Control Accounts</t>
        </is>
      </c>
      <c r="C844" s="12" t="inlineStr">
        <is>
          <t>CST-04-027</t>
        </is>
      </c>
      <c r="D844" s="12" t="inlineStr">
        <is>
          <t>1.4.1 Vehicles and Depot - Fleet Supply</t>
        </is>
      </c>
      <c r="E844" s="12" t="inlineStr">
        <is>
          <t>New</t>
        </is>
      </c>
      <c r="F844" s="12" t="inlineStr"/>
      <c r="G844" s="12" t="inlineStr">
        <is>
          <t>Source assignment -- not individually reviewed</t>
        </is>
      </c>
      <c r="H844" s="17" t="inlineStr">
        <is>
          <t>10 EVIDENCE &amp; DECISIONS</t>
        </is>
      </c>
    </row>
    <row r="845" ht="34" customHeight="1">
      <c r="A845" s="12" t="inlineStr">
        <is>
          <t>R1351-v1</t>
        </is>
      </c>
      <c r="B845" s="12" t="inlineStr">
        <is>
          <t>Cost &amp; Forecast Control Accounts</t>
        </is>
      </c>
      <c r="C845" s="12" t="inlineStr">
        <is>
          <t>CST-04-029</t>
        </is>
      </c>
      <c r="D845" s="12" t="inlineStr">
        <is>
          <t>1.4.1 Vehicles and Depot - Fleet Supply</t>
        </is>
      </c>
      <c r="E845" s="12" t="inlineStr">
        <is>
          <t>New</t>
        </is>
      </c>
      <c r="F845" s="12" t="inlineStr"/>
      <c r="G845" s="12" t="inlineStr">
        <is>
          <t>Source assignment -- not individually reviewed</t>
        </is>
      </c>
      <c r="H845" s="17" t="inlineStr">
        <is>
          <t>10 EVIDENCE &amp; DECISIONS</t>
        </is>
      </c>
    </row>
    <row r="846" ht="34" customHeight="1">
      <c r="A846" s="12" t="inlineStr">
        <is>
          <t>R1353-v1</t>
        </is>
      </c>
      <c r="B846" s="12" t="inlineStr">
        <is>
          <t>Cost &amp; Forecast Control Accounts</t>
        </is>
      </c>
      <c r="C846" s="12" t="inlineStr">
        <is>
          <t>CST-04-031</t>
        </is>
      </c>
      <c r="D846" s="12" t="inlineStr">
        <is>
          <t>1.4.1 Vehicles and Depot - Fleet Supply</t>
        </is>
      </c>
      <c r="E846" s="12" t="inlineStr">
        <is>
          <t>New</t>
        </is>
      </c>
      <c r="F846" s="12" t="inlineStr"/>
      <c r="G846" s="12" t="inlineStr">
        <is>
          <t>Source assignment -- not individually reviewed</t>
        </is>
      </c>
      <c r="H846" s="17" t="inlineStr">
        <is>
          <t>10 EVIDENCE &amp; DECISIONS</t>
        </is>
      </c>
    </row>
    <row r="847" ht="34" customHeight="1">
      <c r="A847" s="12" t="inlineStr">
        <is>
          <t>R1355-v1</t>
        </is>
      </c>
      <c r="B847" s="12" t="inlineStr">
        <is>
          <t>Cost &amp; Forecast Control Accounts</t>
        </is>
      </c>
      <c r="C847" s="12" t="inlineStr">
        <is>
          <t>CST-04-033</t>
        </is>
      </c>
      <c r="D847" s="12" t="inlineStr">
        <is>
          <t>1.4.1 Vehicles and Depot - Fleet Supply</t>
        </is>
      </c>
      <c r="E847" s="12" t="inlineStr">
        <is>
          <t>New</t>
        </is>
      </c>
      <c r="F847" s="12" t="inlineStr"/>
      <c r="G847" s="12" t="inlineStr">
        <is>
          <t>Source assignment -- not individually reviewed</t>
        </is>
      </c>
      <c r="H847" s="17" t="inlineStr">
        <is>
          <t>10 EVIDENCE &amp; DECISIONS</t>
        </is>
      </c>
    </row>
    <row r="848" ht="34" customHeight="1">
      <c r="A848" s="12" t="inlineStr">
        <is>
          <t>R1357-v1</t>
        </is>
      </c>
      <c r="B848" s="12" t="inlineStr">
        <is>
          <t>Cost &amp; Forecast Control Accounts</t>
        </is>
      </c>
      <c r="C848" s="12" t="inlineStr">
        <is>
          <t>CST-04-035</t>
        </is>
      </c>
      <c r="D848" s="12" t="inlineStr">
        <is>
          <t>1.4.1 Vehicles and Depot - Fleet Supply</t>
        </is>
      </c>
      <c r="E848" s="12" t="inlineStr">
        <is>
          <t>New</t>
        </is>
      </c>
      <c r="F848" s="12" t="inlineStr"/>
      <c r="G848" s="12" t="inlineStr">
        <is>
          <t>Source assignment -- not individually reviewed</t>
        </is>
      </c>
      <c r="H848" s="17" t="inlineStr">
        <is>
          <t>10 EVIDENCE &amp; DECISIONS</t>
        </is>
      </c>
    </row>
    <row r="849" ht="34" customHeight="1">
      <c r="A849" s="12" t="inlineStr">
        <is>
          <t>R1359-v1</t>
        </is>
      </c>
      <c r="B849" s="12" t="inlineStr">
        <is>
          <t>Cost &amp; Forecast Control Accounts</t>
        </is>
      </c>
      <c r="C849" s="12" t="inlineStr">
        <is>
          <t>CST-04-037</t>
        </is>
      </c>
      <c r="D849" s="12" t="inlineStr">
        <is>
          <t>1.4.1 Vehicles and Depot - Fleet Supply</t>
        </is>
      </c>
      <c r="E849" s="12" t="inlineStr">
        <is>
          <t>New</t>
        </is>
      </c>
      <c r="F849" s="12" t="inlineStr"/>
      <c r="G849" s="12" t="inlineStr">
        <is>
          <t>Source assignment -- not individually reviewed</t>
        </is>
      </c>
      <c r="H849" s="17" t="inlineStr">
        <is>
          <t>10 EVIDENCE &amp; DECISIONS</t>
        </is>
      </c>
    </row>
    <row r="850" ht="34" customHeight="1">
      <c r="A850" s="12" t="inlineStr">
        <is>
          <t>R1361-v1</t>
        </is>
      </c>
      <c r="B850" s="12" t="inlineStr">
        <is>
          <t>Cost &amp; Forecast Control Accounts</t>
        </is>
      </c>
      <c r="C850" s="12" t="inlineStr">
        <is>
          <t>CST-04-039</t>
        </is>
      </c>
      <c r="D850" s="12" t="inlineStr">
        <is>
          <t>1.4.1 Vehicles and Depot - Fleet Supply</t>
        </is>
      </c>
      <c r="E850" s="12" t="inlineStr">
        <is>
          <t>New</t>
        </is>
      </c>
      <c r="F850" s="12" t="inlineStr"/>
      <c r="G850" s="12" t="inlineStr">
        <is>
          <t>Source assignment -- not individually reviewed</t>
        </is>
      </c>
      <c r="H850" s="17" t="inlineStr">
        <is>
          <t>10 EVIDENCE &amp; DECISIONS</t>
        </is>
      </c>
    </row>
    <row r="851" ht="34" customHeight="1">
      <c r="A851" s="12" t="inlineStr">
        <is>
          <t>R1363-v1</t>
        </is>
      </c>
      <c r="B851" s="12" t="inlineStr">
        <is>
          <t>Cost &amp; Forecast Control Accounts</t>
        </is>
      </c>
      <c r="C851" s="12" t="inlineStr">
        <is>
          <t>CST-04-041</t>
        </is>
      </c>
      <c r="D851" s="12" t="inlineStr">
        <is>
          <t>1.4.1 Vehicles and Depot - Fleet Supply</t>
        </is>
      </c>
      <c r="E851" s="12" t="inlineStr">
        <is>
          <t>New</t>
        </is>
      </c>
      <c r="F851" s="12" t="inlineStr"/>
      <c r="G851" s="12" t="inlineStr">
        <is>
          <t>Source assignment -- not individually reviewed</t>
        </is>
      </c>
      <c r="H851" s="17" t="inlineStr">
        <is>
          <t>10 EVIDENCE &amp; DECISIONS</t>
        </is>
      </c>
    </row>
    <row r="852" ht="34" customHeight="1">
      <c r="A852" s="12" t="inlineStr">
        <is>
          <t>R1365-v1</t>
        </is>
      </c>
      <c r="B852" s="12" t="inlineStr">
        <is>
          <t>Cost &amp; Forecast Control Accounts</t>
        </is>
      </c>
      <c r="C852" s="12" t="inlineStr">
        <is>
          <t>CST-04-043</t>
        </is>
      </c>
      <c r="D852" s="12" t="inlineStr">
        <is>
          <t>1.4.1 Vehicles and Depot - Fleet Supply</t>
        </is>
      </c>
      <c r="E852" s="12" t="inlineStr">
        <is>
          <t>New</t>
        </is>
      </c>
      <c r="F852" s="12" t="inlineStr"/>
      <c r="G852" s="12" t="inlineStr">
        <is>
          <t>Source assignment -- not individually reviewed</t>
        </is>
      </c>
      <c r="H852" s="17" t="inlineStr">
        <is>
          <t>10 EVIDENCE &amp; DECISIONS</t>
        </is>
      </c>
    </row>
    <row r="853" ht="34" customHeight="1">
      <c r="A853" s="12" t="inlineStr">
        <is>
          <t>R1367-v1</t>
        </is>
      </c>
      <c r="B853" s="12" t="inlineStr">
        <is>
          <t>Cost &amp; Forecast Control Accounts</t>
        </is>
      </c>
      <c r="C853" s="12" t="inlineStr">
        <is>
          <t>CST-04-045</t>
        </is>
      </c>
      <c r="D853" s="12" t="inlineStr">
        <is>
          <t>1.4.1 Vehicles and Depot - Fleet Supply</t>
        </is>
      </c>
      <c r="E853" s="12" t="inlineStr">
        <is>
          <t>New</t>
        </is>
      </c>
      <c r="F853" s="12" t="inlineStr"/>
      <c r="G853" s="12" t="inlineStr">
        <is>
          <t>Source assignment -- not individually reviewed</t>
        </is>
      </c>
      <c r="H853" s="17" t="inlineStr">
        <is>
          <t>10 EVIDENCE &amp; DECISIONS</t>
        </is>
      </c>
    </row>
    <row r="854" ht="34" customHeight="1">
      <c r="A854" s="12" t="inlineStr">
        <is>
          <t>R1369-v1</t>
        </is>
      </c>
      <c r="B854" s="12" t="inlineStr">
        <is>
          <t>Cost &amp; Forecast Control Accounts</t>
        </is>
      </c>
      <c r="C854" s="12" t="inlineStr">
        <is>
          <t>CST-04-047</t>
        </is>
      </c>
      <c r="D854" s="12" t="inlineStr">
        <is>
          <t>1.4.1 Vehicles and Depot - Fleet Supply</t>
        </is>
      </c>
      <c r="E854" s="12" t="inlineStr">
        <is>
          <t>New</t>
        </is>
      </c>
      <c r="F854" s="12" t="inlineStr"/>
      <c r="G854" s="12" t="inlineStr">
        <is>
          <t>Source assignment -- not individually reviewed</t>
        </is>
      </c>
      <c r="H854" s="17" t="inlineStr">
        <is>
          <t>10 EVIDENCE &amp; DECISIONS</t>
        </is>
      </c>
    </row>
    <row r="855" ht="34" customHeight="1">
      <c r="A855" s="12" t="inlineStr">
        <is>
          <t>R1371-v1</t>
        </is>
      </c>
      <c r="B855" s="12" t="inlineStr">
        <is>
          <t>Cost &amp; Forecast Control Accounts</t>
        </is>
      </c>
      <c r="C855" s="12" t="inlineStr">
        <is>
          <t>CST-04-049</t>
        </is>
      </c>
      <c r="D855" s="12" t="inlineStr">
        <is>
          <t>1.4.1 Vehicles and Depot - Fleet Supply</t>
        </is>
      </c>
      <c r="E855" s="12" t="inlineStr">
        <is>
          <t>New</t>
        </is>
      </c>
      <c r="F855" s="12" t="inlineStr"/>
      <c r="G855" s="12" t="inlineStr">
        <is>
          <t>Source assignment -- not individually reviewed</t>
        </is>
      </c>
      <c r="H855" s="17" t="inlineStr">
        <is>
          <t>10 EVIDENCE &amp; DECISIONS</t>
        </is>
      </c>
    </row>
    <row r="856" ht="34" customHeight="1">
      <c r="A856" s="12" t="inlineStr">
        <is>
          <t>R1373-v1</t>
        </is>
      </c>
      <c r="B856" s="12" t="inlineStr">
        <is>
          <t>Cost &amp; Forecast Control Accounts</t>
        </is>
      </c>
      <c r="C856" s="12" t="inlineStr">
        <is>
          <t>CST-04-051</t>
        </is>
      </c>
      <c r="D856" s="12" t="inlineStr">
        <is>
          <t>1.4.1 Vehicles and Depot - Fleet Supply</t>
        </is>
      </c>
      <c r="E856" s="12" t="inlineStr">
        <is>
          <t>New</t>
        </is>
      </c>
      <c r="F856" s="12" t="inlineStr"/>
      <c r="G856" s="12" t="inlineStr">
        <is>
          <t>Source assignment -- not individually reviewed</t>
        </is>
      </c>
      <c r="H856" s="17" t="inlineStr">
        <is>
          <t>10 EVIDENCE &amp; DECISIONS</t>
        </is>
      </c>
    </row>
    <row r="857" ht="34" customHeight="1">
      <c r="A857" s="12" t="inlineStr">
        <is>
          <t>R1375-v1</t>
        </is>
      </c>
      <c r="B857" s="12" t="inlineStr">
        <is>
          <t>Cost &amp; Forecast Control Accounts</t>
        </is>
      </c>
      <c r="C857" s="12" t="inlineStr">
        <is>
          <t>CST-04-053</t>
        </is>
      </c>
      <c r="D857" s="12" t="inlineStr">
        <is>
          <t>1.4.1 Vehicles and Depot - Fleet Supply</t>
        </is>
      </c>
      <c r="E857" s="12" t="inlineStr">
        <is>
          <t>New</t>
        </is>
      </c>
      <c r="F857" s="12" t="inlineStr"/>
      <c r="G857" s="12" t="inlineStr">
        <is>
          <t>Source assignment -- not individually reviewed</t>
        </is>
      </c>
      <c r="H857" s="17" t="inlineStr">
        <is>
          <t>10 EVIDENCE &amp; DECISIONS</t>
        </is>
      </c>
    </row>
    <row r="858" ht="34" customHeight="1">
      <c r="A858" s="12" t="inlineStr">
        <is>
          <t>R1377-v1</t>
        </is>
      </c>
      <c r="B858" s="12" t="inlineStr">
        <is>
          <t>Cost &amp; Forecast Control Accounts</t>
        </is>
      </c>
      <c r="C858" s="12" t="inlineStr">
        <is>
          <t>CST-04-055</t>
        </is>
      </c>
      <c r="D858" s="12" t="inlineStr">
        <is>
          <t>1.4.1 Vehicles and Depot - Fleet Supply</t>
        </is>
      </c>
      <c r="E858" s="12" t="inlineStr">
        <is>
          <t>New</t>
        </is>
      </c>
      <c r="F858" s="12" t="inlineStr"/>
      <c r="G858" s="12" t="inlineStr">
        <is>
          <t>Source assignment -- not individually reviewed</t>
        </is>
      </c>
      <c r="H858" s="17" t="inlineStr">
        <is>
          <t>10 EVIDENCE &amp; DECISIONS</t>
        </is>
      </c>
    </row>
    <row r="859" ht="34" customHeight="1">
      <c r="A859" s="12" t="inlineStr">
        <is>
          <t>R1379-v1</t>
        </is>
      </c>
      <c r="B859" s="12" t="inlineStr">
        <is>
          <t>Cost &amp; Forecast Control Accounts</t>
        </is>
      </c>
      <c r="C859" s="12" t="inlineStr">
        <is>
          <t>CST-04-057</t>
        </is>
      </c>
      <c r="D859" s="12" t="inlineStr">
        <is>
          <t>1.4.1 Vehicles and Depot - Fleet Supply</t>
        </is>
      </c>
      <c r="E859" s="12" t="inlineStr">
        <is>
          <t>New</t>
        </is>
      </c>
      <c r="F859" s="12" t="inlineStr"/>
      <c r="G859" s="12" t="inlineStr">
        <is>
          <t>Source assignment -- not individually reviewed</t>
        </is>
      </c>
      <c r="H859" s="17" t="inlineStr">
        <is>
          <t>10 EVIDENCE &amp; DECISIONS</t>
        </is>
      </c>
    </row>
    <row r="860" ht="34" customHeight="1">
      <c r="A860" s="12" t="inlineStr">
        <is>
          <t>R1381-v1</t>
        </is>
      </c>
      <c r="B860" s="12" t="inlineStr">
        <is>
          <t>Cost &amp; Forecast Control Accounts</t>
        </is>
      </c>
      <c r="C860" s="12" t="inlineStr">
        <is>
          <t>CST-04-059</t>
        </is>
      </c>
      <c r="D860" s="12" t="inlineStr">
        <is>
          <t>1.4.1 Vehicles and Depot - Fleet Supply</t>
        </is>
      </c>
      <c r="E860" s="12" t="inlineStr">
        <is>
          <t>New</t>
        </is>
      </c>
      <c r="F860" s="12" t="inlineStr"/>
      <c r="G860" s="12" t="inlineStr">
        <is>
          <t>Source assignment -- not individually reviewed</t>
        </is>
      </c>
      <c r="H860" s="17" t="inlineStr">
        <is>
          <t>10 EVIDENCE &amp; DECISIONS</t>
        </is>
      </c>
    </row>
    <row r="861" ht="34" customHeight="1">
      <c r="A861" s="12" t="inlineStr">
        <is>
          <t>R1383-v1</t>
        </is>
      </c>
      <c r="B861" s="12" t="inlineStr">
        <is>
          <t>Cost &amp; Forecast Control Accounts</t>
        </is>
      </c>
      <c r="C861" s="12" t="inlineStr">
        <is>
          <t>CST-04-061</t>
        </is>
      </c>
      <c r="D861" s="12" t="inlineStr">
        <is>
          <t>1.4.1 Vehicles and Depot - Fleet Supply</t>
        </is>
      </c>
      <c r="E861" s="12" t="inlineStr">
        <is>
          <t>New</t>
        </is>
      </c>
      <c r="F861" s="12" t="inlineStr"/>
      <c r="G861" s="12" t="inlineStr">
        <is>
          <t>Source assignment -- not individually reviewed</t>
        </is>
      </c>
      <c r="H861" s="17" t="inlineStr">
        <is>
          <t>10 EVIDENCE &amp; DECISIONS</t>
        </is>
      </c>
    </row>
    <row r="862" ht="34" customHeight="1">
      <c r="A862" s="12" t="inlineStr">
        <is>
          <t>R1385-v1</t>
        </is>
      </c>
      <c r="B862" s="12" t="inlineStr">
        <is>
          <t>Cost &amp; Forecast Control Accounts</t>
        </is>
      </c>
      <c r="C862" s="12" t="inlineStr">
        <is>
          <t>CST-04-063</t>
        </is>
      </c>
      <c r="D862" s="12" t="inlineStr">
        <is>
          <t>1.4.1 Vehicles and Depot - Fleet Supply</t>
        </is>
      </c>
      <c r="E862" s="12" t="inlineStr">
        <is>
          <t>New</t>
        </is>
      </c>
      <c r="F862" s="12" t="inlineStr"/>
      <c r="G862" s="12" t="inlineStr">
        <is>
          <t>Source assignment -- not individually reviewed</t>
        </is>
      </c>
      <c r="H862" s="17" t="inlineStr">
        <is>
          <t>10 EVIDENCE &amp; DECISIONS</t>
        </is>
      </c>
    </row>
    <row r="863" ht="34" customHeight="1">
      <c r="A863" s="12" t="inlineStr">
        <is>
          <t>R1387-v1</t>
        </is>
      </c>
      <c r="B863" s="12" t="inlineStr">
        <is>
          <t>Cost &amp; Forecast Control Accounts</t>
        </is>
      </c>
      <c r="C863" s="12" t="inlineStr">
        <is>
          <t>CST-04-065</t>
        </is>
      </c>
      <c r="D863" s="12" t="inlineStr">
        <is>
          <t>1.4.1 Vehicles and Depot - Fleet Supply</t>
        </is>
      </c>
      <c r="E863" s="12" t="inlineStr">
        <is>
          <t>New</t>
        </is>
      </c>
      <c r="F863" s="12" t="inlineStr"/>
      <c r="G863" s="12" t="inlineStr">
        <is>
          <t>Source assignment -- not individually reviewed</t>
        </is>
      </c>
      <c r="H863" s="17" t="inlineStr">
        <is>
          <t>10 EVIDENCE &amp; DECISIONS</t>
        </is>
      </c>
    </row>
    <row r="864" ht="34" customHeight="1">
      <c r="A864" s="12" t="inlineStr">
        <is>
          <t>R1389-v1</t>
        </is>
      </c>
      <c r="B864" s="12" t="inlineStr">
        <is>
          <t>Cost &amp; Forecast Control Accounts</t>
        </is>
      </c>
      <c r="C864" s="12" t="inlineStr">
        <is>
          <t>CST-04-067</t>
        </is>
      </c>
      <c r="D864" s="12" t="inlineStr">
        <is>
          <t>1.4.1 Vehicles and Depot - Fleet Supply</t>
        </is>
      </c>
      <c r="E864" s="12" t="inlineStr">
        <is>
          <t>New</t>
        </is>
      </c>
      <c r="F864" s="12" t="inlineStr"/>
      <c r="G864" s="12" t="inlineStr">
        <is>
          <t>Source assignment -- not individually reviewed</t>
        </is>
      </c>
      <c r="H864" s="17" t="inlineStr">
        <is>
          <t>10 EVIDENCE &amp; DECISIONS</t>
        </is>
      </c>
    </row>
    <row r="865" ht="34" customHeight="1">
      <c r="A865" s="12" t="inlineStr">
        <is>
          <t>R1391-v1</t>
        </is>
      </c>
      <c r="B865" s="12" t="inlineStr">
        <is>
          <t>Cost &amp; Forecast Control Accounts</t>
        </is>
      </c>
      <c r="C865" s="12" t="inlineStr">
        <is>
          <t>CST-04-069</t>
        </is>
      </c>
      <c r="D865" s="12" t="inlineStr">
        <is>
          <t>1.4.1 Vehicles and Depot - Fleet Supply</t>
        </is>
      </c>
      <c r="E865" s="12" t="inlineStr">
        <is>
          <t>New</t>
        </is>
      </c>
      <c r="F865" s="12" t="inlineStr"/>
      <c r="G865" s="12" t="inlineStr">
        <is>
          <t>Source assignment -- not individually reviewed</t>
        </is>
      </c>
      <c r="H865" s="17" t="inlineStr">
        <is>
          <t>10 EVIDENCE &amp; DECISIONS</t>
        </is>
      </c>
    </row>
    <row r="866" ht="34" customHeight="1">
      <c r="A866" s="12" t="inlineStr">
        <is>
          <t>R1393-v1</t>
        </is>
      </c>
      <c r="B866" s="12" t="inlineStr">
        <is>
          <t>Cost &amp; Forecast Control Accounts</t>
        </is>
      </c>
      <c r="C866" s="12" t="inlineStr">
        <is>
          <t>CST-04-071</t>
        </is>
      </c>
      <c r="D866" s="12" t="inlineStr">
        <is>
          <t>1.4.1 Vehicles and Depot - Fleet Supply</t>
        </is>
      </c>
      <c r="E866" s="12" t="inlineStr">
        <is>
          <t>New</t>
        </is>
      </c>
      <c r="F866" s="12" t="inlineStr"/>
      <c r="G866" s="12" t="inlineStr">
        <is>
          <t>Source assignment -- not individually reviewed</t>
        </is>
      </c>
      <c r="H866" s="17" t="inlineStr">
        <is>
          <t>10 EVIDENCE &amp; DECISIONS</t>
        </is>
      </c>
    </row>
    <row r="867" ht="34" customHeight="1">
      <c r="A867" s="12" t="inlineStr">
        <is>
          <t>R1395-v1</t>
        </is>
      </c>
      <c r="B867" s="12" t="inlineStr">
        <is>
          <t>Cost &amp; Forecast Control Accounts</t>
        </is>
      </c>
      <c r="C867" s="12" t="inlineStr">
        <is>
          <t>CST-04-073</t>
        </is>
      </c>
      <c r="D867" s="12" t="inlineStr">
        <is>
          <t>1.4.1 Vehicles and Depot - Fleet Supply</t>
        </is>
      </c>
      <c r="E867" s="12" t="inlineStr">
        <is>
          <t>New</t>
        </is>
      </c>
      <c r="F867" s="12" t="inlineStr"/>
      <c r="G867" s="12" t="inlineStr">
        <is>
          <t>Source assignment -- not individually reviewed</t>
        </is>
      </c>
      <c r="H867" s="17" t="inlineStr">
        <is>
          <t>10 EVIDENCE &amp; DECISIONS</t>
        </is>
      </c>
    </row>
    <row r="868" ht="34" customHeight="1">
      <c r="A868" s="12" t="inlineStr">
        <is>
          <t>R1397-v1</t>
        </is>
      </c>
      <c r="B868" s="12" t="inlineStr">
        <is>
          <t>Cost &amp; Forecast Control Accounts</t>
        </is>
      </c>
      <c r="C868" s="12" t="inlineStr">
        <is>
          <t>CST-04-075</t>
        </is>
      </c>
      <c r="D868" s="12" t="inlineStr">
        <is>
          <t>1.4.1 Vehicles and Depot - Fleet Supply</t>
        </is>
      </c>
      <c r="E868" s="12" t="inlineStr">
        <is>
          <t>New</t>
        </is>
      </c>
      <c r="F868" s="12" t="inlineStr"/>
      <c r="G868" s="12" t="inlineStr">
        <is>
          <t>Source assignment -- not individually reviewed</t>
        </is>
      </c>
      <c r="H868" s="17" t="inlineStr">
        <is>
          <t>10 EVIDENCE &amp; DECISIONS</t>
        </is>
      </c>
    </row>
    <row r="869" ht="34" customHeight="1">
      <c r="A869" s="12" t="inlineStr">
        <is>
          <t>R1399-v1</t>
        </is>
      </c>
      <c r="B869" s="12" t="inlineStr">
        <is>
          <t>Cost &amp; Forecast Control Accounts</t>
        </is>
      </c>
      <c r="C869" s="12" t="inlineStr">
        <is>
          <t>CST-04-077</t>
        </is>
      </c>
      <c r="D869" s="12" t="inlineStr">
        <is>
          <t>1.4.1 Vehicles and Depot - Fleet Supply</t>
        </is>
      </c>
      <c r="E869" s="12" t="inlineStr">
        <is>
          <t>New</t>
        </is>
      </c>
      <c r="F869" s="12" t="inlineStr"/>
      <c r="G869" s="12" t="inlineStr">
        <is>
          <t>Source assignment -- not individually reviewed</t>
        </is>
      </c>
      <c r="H869" s="17" t="inlineStr">
        <is>
          <t>10 EVIDENCE &amp; DECISIONS</t>
        </is>
      </c>
    </row>
    <row r="870" ht="34" customHeight="1">
      <c r="A870" s="12" t="inlineStr">
        <is>
          <t>R1401-v1</t>
        </is>
      </c>
      <c r="B870" s="12" t="inlineStr">
        <is>
          <t>Cost &amp; Forecast Control Accounts</t>
        </is>
      </c>
      <c r="C870" s="12" t="inlineStr">
        <is>
          <t>CST-04-079</t>
        </is>
      </c>
      <c r="D870" s="12" t="inlineStr">
        <is>
          <t>1.4.1 Vehicles and Depot - Fleet Supply</t>
        </is>
      </c>
      <c r="E870" s="12" t="inlineStr">
        <is>
          <t>New</t>
        </is>
      </c>
      <c r="F870" s="12" t="inlineStr"/>
      <c r="G870" s="12" t="inlineStr">
        <is>
          <t>Source assignment -- not individually reviewed</t>
        </is>
      </c>
      <c r="H870" s="17" t="inlineStr">
        <is>
          <t>10 EVIDENCE &amp; DECISIONS</t>
        </is>
      </c>
    </row>
    <row r="871" ht="34" customHeight="1">
      <c r="A871" s="12" t="inlineStr">
        <is>
          <t>R541-v1</t>
        </is>
      </c>
      <c r="B871" s="12" t="inlineStr">
        <is>
          <t>Contractor Programme</t>
        </is>
      </c>
      <c r="C871" s="12" t="inlineStr">
        <is>
          <t>SCH-04-001</t>
        </is>
      </c>
      <c r="D871" s="12" t="inlineStr">
        <is>
          <t>1.4.1 Vehicles and Depot - Fleet Supply</t>
        </is>
      </c>
      <c r="E871" s="12" t="inlineStr">
        <is>
          <t>New</t>
        </is>
      </c>
      <c r="F871" s="12" t="inlineStr"/>
      <c r="G871" s="12" t="inlineStr">
        <is>
          <t>Source assignment -- not individually reviewed</t>
        </is>
      </c>
      <c r="H871" s="17" t="inlineStr">
        <is>
          <t>10 EVIDENCE &amp; DECISIONS</t>
        </is>
      </c>
    </row>
    <row r="872" ht="34" customHeight="1">
      <c r="A872" s="12" t="inlineStr">
        <is>
          <t>R542-v1</t>
        </is>
      </c>
      <c r="B872" s="12" t="inlineStr">
        <is>
          <t>Contractor Programme</t>
        </is>
      </c>
      <c r="C872" s="12" t="inlineStr">
        <is>
          <t>SCH-04-002</t>
        </is>
      </c>
      <c r="D872" s="12" t="inlineStr">
        <is>
          <t>1.4.1 Vehicles and Depot - Fleet Supply</t>
        </is>
      </c>
      <c r="E872" s="12" t="inlineStr">
        <is>
          <t>New</t>
        </is>
      </c>
      <c r="F872" s="12" t="inlineStr"/>
      <c r="G872" s="12" t="inlineStr">
        <is>
          <t>Source assignment -- not individually reviewed</t>
        </is>
      </c>
      <c r="H872" s="17" t="inlineStr">
        <is>
          <t>10 EVIDENCE &amp; DECISIONS</t>
        </is>
      </c>
    </row>
    <row r="873" ht="34" customHeight="1">
      <c r="A873" s="12" t="inlineStr">
        <is>
          <t>R544-v1</t>
        </is>
      </c>
      <c r="B873" s="12" t="inlineStr">
        <is>
          <t>Contractor Programme</t>
        </is>
      </c>
      <c r="C873" s="12" t="inlineStr">
        <is>
          <t>SCH-04-004</t>
        </is>
      </c>
      <c r="D873" s="12" t="inlineStr">
        <is>
          <t>1.4.1 Vehicles and Depot - Fleet Supply</t>
        </is>
      </c>
      <c r="E873" s="12" t="inlineStr">
        <is>
          <t>New</t>
        </is>
      </c>
      <c r="F873" s="12" t="inlineStr"/>
      <c r="G873" s="12" t="inlineStr">
        <is>
          <t>Source assignment -- not individually reviewed</t>
        </is>
      </c>
      <c r="H873" s="17" t="inlineStr">
        <is>
          <t>10 EVIDENCE &amp; DECISIONS</t>
        </is>
      </c>
    </row>
    <row r="874" ht="34" customHeight="1">
      <c r="A874" s="12" t="inlineStr">
        <is>
          <t>R545-v1</t>
        </is>
      </c>
      <c r="B874" s="12" t="inlineStr">
        <is>
          <t>Contractor Programme</t>
        </is>
      </c>
      <c r="C874" s="12" t="inlineStr">
        <is>
          <t>SCH-04-005</t>
        </is>
      </c>
      <c r="D874" s="12" t="inlineStr">
        <is>
          <t>1.4.1 Vehicles and Depot - Fleet Supply</t>
        </is>
      </c>
      <c r="E874" s="12" t="inlineStr">
        <is>
          <t>New</t>
        </is>
      </c>
      <c r="F874" s="12" t="inlineStr"/>
      <c r="G874" s="12" t="inlineStr">
        <is>
          <t>Source assignment -- not individually reviewed</t>
        </is>
      </c>
      <c r="H874" s="17" t="inlineStr">
        <is>
          <t>10 EVIDENCE &amp; DECISIONS</t>
        </is>
      </c>
    </row>
    <row r="875" ht="34" customHeight="1">
      <c r="A875" s="12" t="inlineStr">
        <is>
          <t>R547-v1</t>
        </is>
      </c>
      <c r="B875" s="12" t="inlineStr">
        <is>
          <t>Contractor Programme</t>
        </is>
      </c>
      <c r="C875" s="12" t="inlineStr">
        <is>
          <t>SCH-04-007</t>
        </is>
      </c>
      <c r="D875" s="12" t="inlineStr">
        <is>
          <t>1.4.1 Vehicles and Depot - Fleet Supply</t>
        </is>
      </c>
      <c r="E875" s="12" t="inlineStr">
        <is>
          <t>New</t>
        </is>
      </c>
      <c r="F875" s="12" t="inlineStr"/>
      <c r="G875" s="12" t="inlineStr">
        <is>
          <t>Source assignment -- not individually reviewed</t>
        </is>
      </c>
      <c r="H875" s="17" t="inlineStr">
        <is>
          <t>10 EVIDENCE &amp; DECISIONS</t>
        </is>
      </c>
    </row>
    <row r="876" ht="34" customHeight="1">
      <c r="A876" s="12" t="inlineStr">
        <is>
          <t>R548-v1</t>
        </is>
      </c>
      <c r="B876" s="12" t="inlineStr">
        <is>
          <t>Contractor Programme</t>
        </is>
      </c>
      <c r="C876" s="12" t="inlineStr">
        <is>
          <t>SCH-04-008</t>
        </is>
      </c>
      <c r="D876" s="12" t="inlineStr">
        <is>
          <t>1.4.1 Vehicles and Depot - Fleet Supply</t>
        </is>
      </c>
      <c r="E876" s="12" t="inlineStr">
        <is>
          <t>New</t>
        </is>
      </c>
      <c r="F876" s="12" t="inlineStr"/>
      <c r="G876" s="12" t="inlineStr">
        <is>
          <t>Source assignment -- not individually reviewed</t>
        </is>
      </c>
      <c r="H876" s="17" t="inlineStr">
        <is>
          <t>10 EVIDENCE &amp; DECISIONS</t>
        </is>
      </c>
    </row>
    <row r="877" ht="34" customHeight="1">
      <c r="A877" s="12" t="inlineStr">
        <is>
          <t>R550-v1</t>
        </is>
      </c>
      <c r="B877" s="12" t="inlineStr">
        <is>
          <t>Contractor Programme</t>
        </is>
      </c>
      <c r="C877" s="12" t="inlineStr">
        <is>
          <t>SCH-04-010</t>
        </is>
      </c>
      <c r="D877" s="12" t="inlineStr">
        <is>
          <t>1.4.1 Vehicles and Depot - Fleet Supply</t>
        </is>
      </c>
      <c r="E877" s="12" t="inlineStr">
        <is>
          <t>New</t>
        </is>
      </c>
      <c r="F877" s="12" t="inlineStr"/>
      <c r="G877" s="12" t="inlineStr">
        <is>
          <t>Source assignment -- not individually reviewed</t>
        </is>
      </c>
      <c r="H877" s="17" t="inlineStr">
        <is>
          <t>10 EVIDENCE &amp; DECISIONS</t>
        </is>
      </c>
    </row>
    <row r="878" ht="34" customHeight="1">
      <c r="A878" s="12" t="inlineStr">
        <is>
          <t>R551-v1</t>
        </is>
      </c>
      <c r="B878" s="12" t="inlineStr">
        <is>
          <t>Contractor Programme</t>
        </is>
      </c>
      <c r="C878" s="12" t="inlineStr">
        <is>
          <t>SCH-04-011</t>
        </is>
      </c>
      <c r="D878" s="12" t="inlineStr">
        <is>
          <t>1.4.1 Vehicles and Depot - Fleet Supply</t>
        </is>
      </c>
      <c r="E878" s="12" t="inlineStr">
        <is>
          <t>New</t>
        </is>
      </c>
      <c r="F878" s="12" t="inlineStr"/>
      <c r="G878" s="12" t="inlineStr">
        <is>
          <t>Source assignment -- not individually reviewed</t>
        </is>
      </c>
      <c r="H878" s="17" t="inlineStr">
        <is>
          <t>10 EVIDENCE &amp; DECISIONS</t>
        </is>
      </c>
    </row>
    <row r="879" ht="34" customHeight="1">
      <c r="A879" s="12" t="inlineStr">
        <is>
          <t>R553-v1</t>
        </is>
      </c>
      <c r="B879" s="12" t="inlineStr">
        <is>
          <t>Contractor Programme</t>
        </is>
      </c>
      <c r="C879" s="12" t="inlineStr">
        <is>
          <t>SCH-04-013</t>
        </is>
      </c>
      <c r="D879" s="12" t="inlineStr">
        <is>
          <t>1.4.1 Vehicles and Depot - Fleet Supply</t>
        </is>
      </c>
      <c r="E879" s="12" t="inlineStr">
        <is>
          <t>New</t>
        </is>
      </c>
      <c r="F879" s="12" t="inlineStr"/>
      <c r="G879" s="12" t="inlineStr">
        <is>
          <t>Source assignment -- not individually reviewed</t>
        </is>
      </c>
      <c r="H879" s="17" t="inlineStr">
        <is>
          <t>10 EVIDENCE &amp; DECISIONS</t>
        </is>
      </c>
    </row>
    <row r="880" ht="34" customHeight="1">
      <c r="A880" s="12" t="inlineStr">
        <is>
          <t>R554-v1</t>
        </is>
      </c>
      <c r="B880" s="12" t="inlineStr">
        <is>
          <t>Contractor Programme</t>
        </is>
      </c>
      <c r="C880" s="12" t="inlineStr">
        <is>
          <t>SCH-04-014</t>
        </is>
      </c>
      <c r="D880" s="12" t="inlineStr">
        <is>
          <t>1.4.1 Vehicles and Depot - Fleet Supply</t>
        </is>
      </c>
      <c r="E880" s="12" t="inlineStr">
        <is>
          <t>New</t>
        </is>
      </c>
      <c r="F880" s="12" t="inlineStr"/>
      <c r="G880" s="12" t="inlineStr">
        <is>
          <t>Source assignment -- not individually reviewed</t>
        </is>
      </c>
      <c r="H880" s="17" t="inlineStr">
        <is>
          <t>10 EVIDENCE &amp; DECISIONS</t>
        </is>
      </c>
    </row>
    <row r="881" ht="34" customHeight="1">
      <c r="A881" s="12" t="inlineStr">
        <is>
          <t>R556-v1</t>
        </is>
      </c>
      <c r="B881" s="12" t="inlineStr">
        <is>
          <t>Contractor Programme</t>
        </is>
      </c>
      <c r="C881" s="12" t="inlineStr">
        <is>
          <t>SCH-04-016</t>
        </is>
      </c>
      <c r="D881" s="12" t="inlineStr">
        <is>
          <t>1.4.1 Vehicles and Depot - Fleet Supply</t>
        </is>
      </c>
      <c r="E881" s="12" t="inlineStr">
        <is>
          <t>New</t>
        </is>
      </c>
      <c r="F881" s="12" t="inlineStr"/>
      <c r="G881" s="12" t="inlineStr">
        <is>
          <t>Source assignment -- not individually reviewed</t>
        </is>
      </c>
      <c r="H881" s="17" t="inlineStr">
        <is>
          <t>10 EVIDENCE &amp; DECISIONS</t>
        </is>
      </c>
    </row>
    <row r="882" ht="34" customHeight="1">
      <c r="A882" s="12" t="inlineStr">
        <is>
          <t>R557-v1</t>
        </is>
      </c>
      <c r="B882" s="12" t="inlineStr">
        <is>
          <t>Contractor Programme</t>
        </is>
      </c>
      <c r="C882" s="12" t="inlineStr">
        <is>
          <t>SCH-04-017</t>
        </is>
      </c>
      <c r="D882" s="12" t="inlineStr">
        <is>
          <t>1.4.1 Vehicles and Depot - Fleet Supply</t>
        </is>
      </c>
      <c r="E882" s="12" t="inlineStr">
        <is>
          <t>New</t>
        </is>
      </c>
      <c r="F882" s="12" t="inlineStr"/>
      <c r="G882" s="12" t="inlineStr">
        <is>
          <t>Source assignment -- not individually reviewed</t>
        </is>
      </c>
      <c r="H882" s="17" t="inlineStr">
        <is>
          <t>10 EVIDENCE &amp; DECISIONS</t>
        </is>
      </c>
    </row>
    <row r="883" ht="34" customHeight="1">
      <c r="A883" s="12" t="inlineStr">
        <is>
          <t>R559-v1</t>
        </is>
      </c>
      <c r="B883" s="12" t="inlineStr">
        <is>
          <t>Contractor Programme</t>
        </is>
      </c>
      <c r="C883" s="12" t="inlineStr">
        <is>
          <t>SCH-04-019</t>
        </is>
      </c>
      <c r="D883" s="12" t="inlineStr">
        <is>
          <t>1.4.1 Vehicles and Depot - Fleet Supply</t>
        </is>
      </c>
      <c r="E883" s="12" t="inlineStr">
        <is>
          <t>New</t>
        </is>
      </c>
      <c r="F883" s="12" t="inlineStr"/>
      <c r="G883" s="12" t="inlineStr">
        <is>
          <t>Source assignment -- not individually reviewed</t>
        </is>
      </c>
      <c r="H883" s="17" t="inlineStr">
        <is>
          <t>10 EVIDENCE &amp; DECISIONS</t>
        </is>
      </c>
    </row>
    <row r="884" ht="34" customHeight="1">
      <c r="A884" s="12" t="inlineStr">
        <is>
          <t>R560-v1</t>
        </is>
      </c>
      <c r="B884" s="12" t="inlineStr">
        <is>
          <t>Contractor Programme</t>
        </is>
      </c>
      <c r="C884" s="12" t="inlineStr">
        <is>
          <t>SCH-04-020</t>
        </is>
      </c>
      <c r="D884" s="12" t="inlineStr">
        <is>
          <t>1.4.1 Vehicles and Depot - Fleet Supply</t>
        </is>
      </c>
      <c r="E884" s="12" t="inlineStr">
        <is>
          <t>New</t>
        </is>
      </c>
      <c r="F884" s="12" t="inlineStr"/>
      <c r="G884" s="12" t="inlineStr">
        <is>
          <t>Source assignment -- not individually reviewed</t>
        </is>
      </c>
      <c r="H884" s="17" t="inlineStr">
        <is>
          <t>10 EVIDENCE &amp; DECISIONS</t>
        </is>
      </c>
    </row>
    <row r="885" ht="34" customHeight="1">
      <c r="A885" s="12" t="inlineStr">
        <is>
          <t>R562-v1</t>
        </is>
      </c>
      <c r="B885" s="12" t="inlineStr">
        <is>
          <t>Contractor Programme</t>
        </is>
      </c>
      <c r="C885" s="12" t="inlineStr">
        <is>
          <t>SCH-04-022</t>
        </is>
      </c>
      <c r="D885" s="12" t="inlineStr">
        <is>
          <t>1.4.1 Vehicles and Depot - Fleet Supply</t>
        </is>
      </c>
      <c r="E885" s="12" t="inlineStr">
        <is>
          <t>New</t>
        </is>
      </c>
      <c r="F885" s="12" t="inlineStr"/>
      <c r="G885" s="12" t="inlineStr">
        <is>
          <t>Source assignment -- not individually reviewed</t>
        </is>
      </c>
      <c r="H885" s="17" t="inlineStr">
        <is>
          <t>10 EVIDENCE &amp; DECISIONS</t>
        </is>
      </c>
    </row>
    <row r="886" ht="34" customHeight="1">
      <c r="A886" s="12" t="inlineStr">
        <is>
          <t>R563-v1</t>
        </is>
      </c>
      <c r="B886" s="12" t="inlineStr">
        <is>
          <t>Contractor Programme</t>
        </is>
      </c>
      <c r="C886" s="12" t="inlineStr">
        <is>
          <t>SCH-04-023</t>
        </is>
      </c>
      <c r="D886" s="12" t="inlineStr">
        <is>
          <t>1.4.1 Vehicles and Depot - Fleet Supply</t>
        </is>
      </c>
      <c r="E886" s="12" t="inlineStr">
        <is>
          <t>New</t>
        </is>
      </c>
      <c r="F886" s="12" t="inlineStr"/>
      <c r="G886" s="12" t="inlineStr">
        <is>
          <t>Source assignment -- not individually reviewed</t>
        </is>
      </c>
      <c r="H886" s="17" t="inlineStr">
        <is>
          <t>10 EVIDENCE &amp; DECISIONS</t>
        </is>
      </c>
    </row>
    <row r="887" ht="34" customHeight="1">
      <c r="A887" s="12" t="inlineStr">
        <is>
          <t>R565-v1</t>
        </is>
      </c>
      <c r="B887" s="12" t="inlineStr">
        <is>
          <t>Contractor Programme</t>
        </is>
      </c>
      <c r="C887" s="12" t="inlineStr">
        <is>
          <t>SCH-04-025</t>
        </is>
      </c>
      <c r="D887" s="12" t="inlineStr">
        <is>
          <t>1.4.1 Vehicles and Depot - Fleet Supply</t>
        </is>
      </c>
      <c r="E887" s="12" t="inlineStr">
        <is>
          <t>New</t>
        </is>
      </c>
      <c r="F887" s="12" t="inlineStr"/>
      <c r="G887" s="12" t="inlineStr">
        <is>
          <t>Source assignment -- not individually reviewed</t>
        </is>
      </c>
      <c r="H887" s="17" t="inlineStr">
        <is>
          <t>10 EVIDENCE &amp; DECISIONS</t>
        </is>
      </c>
    </row>
    <row r="888" ht="34" customHeight="1">
      <c r="A888" s="12" t="inlineStr">
        <is>
          <t>R566-v1</t>
        </is>
      </c>
      <c r="B888" s="12" t="inlineStr">
        <is>
          <t>Contractor Programme</t>
        </is>
      </c>
      <c r="C888" s="12" t="inlineStr">
        <is>
          <t>SCH-04-026</t>
        </is>
      </c>
      <c r="D888" s="12" t="inlineStr">
        <is>
          <t>1.4.1 Vehicles and Depot - Fleet Supply</t>
        </is>
      </c>
      <c r="E888" s="12" t="inlineStr">
        <is>
          <t>New</t>
        </is>
      </c>
      <c r="F888" s="12" t="inlineStr"/>
      <c r="G888" s="12" t="inlineStr">
        <is>
          <t>Source assignment -- not individually reviewed</t>
        </is>
      </c>
      <c r="H888" s="17" t="inlineStr">
        <is>
          <t>10 EVIDENCE &amp; DECISIONS</t>
        </is>
      </c>
    </row>
    <row r="889" ht="34" customHeight="1">
      <c r="A889" s="12" t="inlineStr">
        <is>
          <t>R568-v1</t>
        </is>
      </c>
      <c r="B889" s="12" t="inlineStr">
        <is>
          <t>Contractor Programme</t>
        </is>
      </c>
      <c r="C889" s="12" t="inlineStr">
        <is>
          <t>SCH-04-028</t>
        </is>
      </c>
      <c r="D889" s="12" t="inlineStr">
        <is>
          <t>1.4.1 Vehicles and Depot - Fleet Supply</t>
        </is>
      </c>
      <c r="E889" s="12" t="inlineStr">
        <is>
          <t>New</t>
        </is>
      </c>
      <c r="F889" s="12" t="inlineStr"/>
      <c r="G889" s="12" t="inlineStr">
        <is>
          <t>Source assignment -- not individually reviewed</t>
        </is>
      </c>
      <c r="H889" s="17" t="inlineStr">
        <is>
          <t>10 EVIDENCE &amp; DECISIONS</t>
        </is>
      </c>
    </row>
    <row r="890" ht="34" customHeight="1">
      <c r="A890" s="12" t="inlineStr">
        <is>
          <t>R569-v1</t>
        </is>
      </c>
      <c r="B890" s="12" t="inlineStr">
        <is>
          <t>Contractor Programme</t>
        </is>
      </c>
      <c r="C890" s="12" t="inlineStr">
        <is>
          <t>SCH-04-029</t>
        </is>
      </c>
      <c r="D890" s="12" t="inlineStr">
        <is>
          <t>1.4.1 Vehicles and Depot - Fleet Supply</t>
        </is>
      </c>
      <c r="E890" s="12" t="inlineStr">
        <is>
          <t>New</t>
        </is>
      </c>
      <c r="F890" s="12" t="inlineStr"/>
      <c r="G890" s="12" t="inlineStr">
        <is>
          <t>Source assignment -- not individually reviewed</t>
        </is>
      </c>
      <c r="H890" s="17" t="inlineStr">
        <is>
          <t>10 EVIDENCE &amp; DECISIONS</t>
        </is>
      </c>
    </row>
    <row r="891" ht="34" customHeight="1">
      <c r="A891" s="12" t="inlineStr">
        <is>
          <t>R571-v1</t>
        </is>
      </c>
      <c r="B891" s="12" t="inlineStr">
        <is>
          <t>Contractor Programme</t>
        </is>
      </c>
      <c r="C891" s="12" t="inlineStr">
        <is>
          <t>SCH-04-031</t>
        </is>
      </c>
      <c r="D891" s="12" t="inlineStr">
        <is>
          <t>1.4.1 Vehicles and Depot - Fleet Supply</t>
        </is>
      </c>
      <c r="E891" s="12" t="inlineStr">
        <is>
          <t>New</t>
        </is>
      </c>
      <c r="F891" s="12" t="inlineStr"/>
      <c r="G891" s="12" t="inlineStr">
        <is>
          <t>Source assignment -- not individually reviewed</t>
        </is>
      </c>
      <c r="H891" s="17" t="inlineStr">
        <is>
          <t>10 EVIDENCE &amp; DECISIONS</t>
        </is>
      </c>
    </row>
    <row r="892" ht="34" customHeight="1">
      <c r="A892" s="12" t="inlineStr">
        <is>
          <t>R572-v1</t>
        </is>
      </c>
      <c r="B892" s="12" t="inlineStr">
        <is>
          <t>Contractor Programme</t>
        </is>
      </c>
      <c r="C892" s="12" t="inlineStr">
        <is>
          <t>SCH-04-032</t>
        </is>
      </c>
      <c r="D892" s="12" t="inlineStr">
        <is>
          <t>1.4.1 Vehicles and Depot - Fleet Supply</t>
        </is>
      </c>
      <c r="E892" s="12" t="inlineStr">
        <is>
          <t>New</t>
        </is>
      </c>
      <c r="F892" s="12" t="inlineStr"/>
      <c r="G892" s="12" t="inlineStr">
        <is>
          <t>Source assignment -- not individually reviewed</t>
        </is>
      </c>
      <c r="H892" s="17" t="inlineStr">
        <is>
          <t>10 EVIDENCE &amp; DECISIONS</t>
        </is>
      </c>
    </row>
    <row r="893" ht="34" customHeight="1">
      <c r="A893" s="12" t="inlineStr">
        <is>
          <t>R574-v1</t>
        </is>
      </c>
      <c r="B893" s="12" t="inlineStr">
        <is>
          <t>Contractor Programme</t>
        </is>
      </c>
      <c r="C893" s="12" t="inlineStr">
        <is>
          <t>SCH-04-034</t>
        </is>
      </c>
      <c r="D893" s="12" t="inlineStr">
        <is>
          <t>1.4.1 Vehicles and Depot - Fleet Supply</t>
        </is>
      </c>
      <c r="E893" s="12" t="inlineStr">
        <is>
          <t>New</t>
        </is>
      </c>
      <c r="F893" s="12" t="inlineStr"/>
      <c r="G893" s="12" t="inlineStr">
        <is>
          <t>Source assignment -- not individually reviewed</t>
        </is>
      </c>
      <c r="H893" s="17" t="inlineStr">
        <is>
          <t>10 EVIDENCE &amp; DECISIONS</t>
        </is>
      </c>
    </row>
    <row r="894" ht="34" customHeight="1">
      <c r="A894" s="12" t="inlineStr">
        <is>
          <t>R575-v1</t>
        </is>
      </c>
      <c r="B894" s="12" t="inlineStr">
        <is>
          <t>Contractor Programme</t>
        </is>
      </c>
      <c r="C894" s="12" t="inlineStr">
        <is>
          <t>SCH-04-035</t>
        </is>
      </c>
      <c r="D894" s="12" t="inlineStr">
        <is>
          <t>1.4.1 Vehicles and Depot - Fleet Supply</t>
        </is>
      </c>
      <c r="E894" s="12" t="inlineStr">
        <is>
          <t>New</t>
        </is>
      </c>
      <c r="F894" s="12" t="inlineStr"/>
      <c r="G894" s="12" t="inlineStr">
        <is>
          <t>Source assignment -- not individually reviewed</t>
        </is>
      </c>
      <c r="H894" s="17" t="inlineStr">
        <is>
          <t>10 EVIDENCE &amp; DECISIONS</t>
        </is>
      </c>
    </row>
    <row r="895" ht="34" customHeight="1">
      <c r="A895" s="12" t="inlineStr">
        <is>
          <t>R577-v1</t>
        </is>
      </c>
      <c r="B895" s="12" t="inlineStr">
        <is>
          <t>Contractor Programme</t>
        </is>
      </c>
      <c r="C895" s="12" t="inlineStr">
        <is>
          <t>SCH-04-037</t>
        </is>
      </c>
      <c r="D895" s="12" t="inlineStr">
        <is>
          <t>1.4.1 Vehicles and Depot - Fleet Supply</t>
        </is>
      </c>
      <c r="E895" s="12" t="inlineStr">
        <is>
          <t>New</t>
        </is>
      </c>
      <c r="F895" s="12" t="inlineStr"/>
      <c r="G895" s="12" t="inlineStr">
        <is>
          <t>Source assignment -- not individually reviewed</t>
        </is>
      </c>
      <c r="H895" s="17" t="inlineStr">
        <is>
          <t>10 EVIDENCE &amp; DECISIONS</t>
        </is>
      </c>
    </row>
    <row r="896" ht="34" customHeight="1">
      <c r="A896" s="12" t="inlineStr">
        <is>
          <t>R578-v1</t>
        </is>
      </c>
      <c r="B896" s="12" t="inlineStr">
        <is>
          <t>Contractor Programme</t>
        </is>
      </c>
      <c r="C896" s="12" t="inlineStr">
        <is>
          <t>SCH-04-038</t>
        </is>
      </c>
      <c r="D896" s="12" t="inlineStr">
        <is>
          <t>1.4.1 Vehicles and Depot - Fleet Supply</t>
        </is>
      </c>
      <c r="E896" s="12" t="inlineStr">
        <is>
          <t>New</t>
        </is>
      </c>
      <c r="F896" s="12" t="inlineStr"/>
      <c r="G896" s="12" t="inlineStr">
        <is>
          <t>Source assignment -- not individually reviewed</t>
        </is>
      </c>
      <c r="H896" s="17" t="inlineStr">
        <is>
          <t>10 EVIDENCE &amp; DECISIONS</t>
        </is>
      </c>
    </row>
    <row r="897" ht="34" customHeight="1">
      <c r="A897" s="12" t="inlineStr">
        <is>
          <t>R580-v1</t>
        </is>
      </c>
      <c r="B897" s="12" t="inlineStr">
        <is>
          <t>Contractor Programme</t>
        </is>
      </c>
      <c r="C897" s="12" t="inlineStr">
        <is>
          <t>SCH-04-040</t>
        </is>
      </c>
      <c r="D897" s="12" t="inlineStr">
        <is>
          <t>1.4.1 Vehicles and Depot - Fleet Supply</t>
        </is>
      </c>
      <c r="E897" s="12" t="inlineStr">
        <is>
          <t>New</t>
        </is>
      </c>
      <c r="F897" s="12" t="inlineStr"/>
      <c r="G897" s="12" t="inlineStr">
        <is>
          <t>Source assignment -- not individually reviewed</t>
        </is>
      </c>
      <c r="H897" s="17" t="inlineStr">
        <is>
          <t>10 EVIDENCE &amp; DECISIONS</t>
        </is>
      </c>
    </row>
    <row r="898" ht="34" customHeight="1">
      <c r="A898" s="12" t="inlineStr">
        <is>
          <t>R581-v1</t>
        </is>
      </c>
      <c r="B898" s="12" t="inlineStr">
        <is>
          <t>Contractor Programme</t>
        </is>
      </c>
      <c r="C898" s="12" t="inlineStr">
        <is>
          <t>SCH-04-041</t>
        </is>
      </c>
      <c r="D898" s="12" t="inlineStr">
        <is>
          <t>1.4.1 Vehicles and Depot - Fleet Supply</t>
        </is>
      </c>
      <c r="E898" s="12" t="inlineStr">
        <is>
          <t>New</t>
        </is>
      </c>
      <c r="F898" s="12" t="inlineStr"/>
      <c r="G898" s="12" t="inlineStr">
        <is>
          <t>Source assignment -- not individually reviewed</t>
        </is>
      </c>
      <c r="H898" s="17" t="inlineStr">
        <is>
          <t>10 EVIDENCE &amp; DECISIONS</t>
        </is>
      </c>
    </row>
    <row r="899" ht="34" customHeight="1">
      <c r="A899" s="12" t="inlineStr">
        <is>
          <t>R583-v1</t>
        </is>
      </c>
      <c r="B899" s="12" t="inlineStr">
        <is>
          <t>Contractor Programme</t>
        </is>
      </c>
      <c r="C899" s="12" t="inlineStr">
        <is>
          <t>SCH-04-043</t>
        </is>
      </c>
      <c r="D899" s="12" t="inlineStr">
        <is>
          <t>1.4.1 Vehicles and Depot - Fleet Supply</t>
        </is>
      </c>
      <c r="E899" s="12" t="inlineStr">
        <is>
          <t>New</t>
        </is>
      </c>
      <c r="F899" s="12" t="inlineStr"/>
      <c r="G899" s="12" t="inlineStr">
        <is>
          <t>Source assignment -- not individually reviewed</t>
        </is>
      </c>
      <c r="H899" s="17" t="inlineStr">
        <is>
          <t>10 EVIDENCE &amp; DECISIONS</t>
        </is>
      </c>
    </row>
    <row r="900" ht="34" customHeight="1">
      <c r="A900" s="12" t="inlineStr">
        <is>
          <t>R584-v1</t>
        </is>
      </c>
      <c r="B900" s="12" t="inlineStr">
        <is>
          <t>Contractor Programme</t>
        </is>
      </c>
      <c r="C900" s="12" t="inlineStr">
        <is>
          <t>SCH-04-044</t>
        </is>
      </c>
      <c r="D900" s="12" t="inlineStr">
        <is>
          <t>1.4.1 Vehicles and Depot - Fleet Supply</t>
        </is>
      </c>
      <c r="E900" s="12" t="inlineStr">
        <is>
          <t>New</t>
        </is>
      </c>
      <c r="F900" s="12" t="inlineStr"/>
      <c r="G900" s="12" t="inlineStr">
        <is>
          <t>Source assignment -- not individually reviewed</t>
        </is>
      </c>
      <c r="H900" s="17" t="inlineStr">
        <is>
          <t>10 EVIDENCE &amp; DECISIONS</t>
        </is>
      </c>
    </row>
    <row r="901" ht="34" customHeight="1">
      <c r="A901" s="12" t="inlineStr">
        <is>
          <t>R586-v1</t>
        </is>
      </c>
      <c r="B901" s="12" t="inlineStr">
        <is>
          <t>Contractor Programme</t>
        </is>
      </c>
      <c r="C901" s="12" t="inlineStr">
        <is>
          <t>SCH-04-046</t>
        </is>
      </c>
      <c r="D901" s="12" t="inlineStr">
        <is>
          <t>1.4.1 Vehicles and Depot - Fleet Supply</t>
        </is>
      </c>
      <c r="E901" s="12" t="inlineStr">
        <is>
          <t>New</t>
        </is>
      </c>
      <c r="F901" s="12" t="inlineStr"/>
      <c r="G901" s="12" t="inlineStr">
        <is>
          <t>Source assignment -- not individually reviewed</t>
        </is>
      </c>
      <c r="H901" s="17" t="inlineStr">
        <is>
          <t>10 EVIDENCE &amp; DECISIONS</t>
        </is>
      </c>
    </row>
    <row r="902" ht="34" customHeight="1">
      <c r="A902" s="12" t="inlineStr">
        <is>
          <t>R587-v1</t>
        </is>
      </c>
      <c r="B902" s="12" t="inlineStr">
        <is>
          <t>Contractor Programme</t>
        </is>
      </c>
      <c r="C902" s="12" t="inlineStr">
        <is>
          <t>SCH-04-047</t>
        </is>
      </c>
      <c r="D902" s="12" t="inlineStr">
        <is>
          <t>1.4.1 Vehicles and Depot - Fleet Supply</t>
        </is>
      </c>
      <c r="E902" s="12" t="inlineStr">
        <is>
          <t>New</t>
        </is>
      </c>
      <c r="F902" s="12" t="inlineStr"/>
      <c r="G902" s="12" t="inlineStr">
        <is>
          <t>Source assignment -- not individually reviewed</t>
        </is>
      </c>
      <c r="H902" s="17" t="inlineStr">
        <is>
          <t>10 EVIDENCE &amp; DECISIONS</t>
        </is>
      </c>
    </row>
    <row r="903" ht="34" customHeight="1">
      <c r="A903" s="12" t="inlineStr">
        <is>
          <t>R589-v1</t>
        </is>
      </c>
      <c r="B903" s="12" t="inlineStr">
        <is>
          <t>Contractor Programme</t>
        </is>
      </c>
      <c r="C903" s="12" t="inlineStr">
        <is>
          <t>SCH-04-049</t>
        </is>
      </c>
      <c r="D903" s="12" t="inlineStr">
        <is>
          <t>1.4.1 Vehicles and Depot - Fleet Supply</t>
        </is>
      </c>
      <c r="E903" s="12" t="inlineStr">
        <is>
          <t>New</t>
        </is>
      </c>
      <c r="F903" s="12" t="inlineStr"/>
      <c r="G903" s="12" t="inlineStr">
        <is>
          <t>Source assignment -- not individually reviewed</t>
        </is>
      </c>
      <c r="H903" s="17" t="inlineStr">
        <is>
          <t>10 EVIDENCE &amp; DECISIONS</t>
        </is>
      </c>
    </row>
    <row r="904" ht="34" customHeight="1">
      <c r="A904" s="12" t="inlineStr">
        <is>
          <t>R590-v1</t>
        </is>
      </c>
      <c r="B904" s="12" t="inlineStr">
        <is>
          <t>Contractor Programme</t>
        </is>
      </c>
      <c r="C904" s="12" t="inlineStr">
        <is>
          <t>SCH-04-050</t>
        </is>
      </c>
      <c r="D904" s="12" t="inlineStr">
        <is>
          <t>1.4.1 Vehicles and Depot - Fleet Supply</t>
        </is>
      </c>
      <c r="E904" s="12" t="inlineStr">
        <is>
          <t>New</t>
        </is>
      </c>
      <c r="F904" s="12" t="inlineStr"/>
      <c r="G904" s="12" t="inlineStr">
        <is>
          <t>Source assignment -- not individually reviewed</t>
        </is>
      </c>
      <c r="H904" s="17" t="inlineStr">
        <is>
          <t>10 EVIDENCE &amp; DECISIONS</t>
        </is>
      </c>
    </row>
    <row r="905" ht="34" customHeight="1">
      <c r="A905" s="12" t="inlineStr">
        <is>
          <t>R592-v1</t>
        </is>
      </c>
      <c r="B905" s="12" t="inlineStr">
        <is>
          <t>Contractor Programme</t>
        </is>
      </c>
      <c r="C905" s="12" t="inlineStr">
        <is>
          <t>SCH-04-052</t>
        </is>
      </c>
      <c r="D905" s="12" t="inlineStr">
        <is>
          <t>1.4.1 Vehicles and Depot - Fleet Supply</t>
        </is>
      </c>
      <c r="E905" s="12" t="inlineStr">
        <is>
          <t>New</t>
        </is>
      </c>
      <c r="F905" s="12" t="inlineStr"/>
      <c r="G905" s="12" t="inlineStr">
        <is>
          <t>Source assignment -- not individually reviewed</t>
        </is>
      </c>
      <c r="H905" s="17" t="inlineStr">
        <is>
          <t>10 EVIDENCE &amp; DECISIONS</t>
        </is>
      </c>
    </row>
    <row r="906" ht="34" customHeight="1">
      <c r="A906" s="12" t="inlineStr">
        <is>
          <t>R593-v1</t>
        </is>
      </c>
      <c r="B906" s="12" t="inlineStr">
        <is>
          <t>Contractor Programme</t>
        </is>
      </c>
      <c r="C906" s="12" t="inlineStr">
        <is>
          <t>SCH-04-053</t>
        </is>
      </c>
      <c r="D906" s="12" t="inlineStr">
        <is>
          <t>1.4.1 Vehicles and Depot - Fleet Supply</t>
        </is>
      </c>
      <c r="E906" s="12" t="inlineStr">
        <is>
          <t>New</t>
        </is>
      </c>
      <c r="F906" s="12" t="inlineStr"/>
      <c r="G906" s="12" t="inlineStr">
        <is>
          <t>Source assignment -- not individually reviewed</t>
        </is>
      </c>
      <c r="H906" s="17" t="inlineStr">
        <is>
          <t>10 EVIDENCE &amp; DECISIONS</t>
        </is>
      </c>
    </row>
    <row r="907" ht="34" customHeight="1">
      <c r="A907" s="12" t="inlineStr">
        <is>
          <t>R595-v1</t>
        </is>
      </c>
      <c r="B907" s="12" t="inlineStr">
        <is>
          <t>Contractor Programme</t>
        </is>
      </c>
      <c r="C907" s="12" t="inlineStr">
        <is>
          <t>SCH-04-055</t>
        </is>
      </c>
      <c r="D907" s="12" t="inlineStr">
        <is>
          <t>1.4.1 Vehicles and Depot - Fleet Supply</t>
        </is>
      </c>
      <c r="E907" s="12" t="inlineStr">
        <is>
          <t>New</t>
        </is>
      </c>
      <c r="F907" s="12" t="inlineStr"/>
      <c r="G907" s="12" t="inlineStr">
        <is>
          <t>Source assignment -- not individually reviewed</t>
        </is>
      </c>
      <c r="H907" s="17" t="inlineStr">
        <is>
          <t>10 EVIDENCE &amp; DECISIONS</t>
        </is>
      </c>
    </row>
    <row r="908" ht="34" customHeight="1">
      <c r="A908" s="12" t="inlineStr">
        <is>
          <t>R596-v1</t>
        </is>
      </c>
      <c r="B908" s="12" t="inlineStr">
        <is>
          <t>Contractor Programme</t>
        </is>
      </c>
      <c r="C908" s="12" t="inlineStr">
        <is>
          <t>SCH-04-056</t>
        </is>
      </c>
      <c r="D908" s="12" t="inlineStr">
        <is>
          <t>1.4.1 Vehicles and Depot - Fleet Supply</t>
        </is>
      </c>
      <c r="E908" s="12" t="inlineStr">
        <is>
          <t>New</t>
        </is>
      </c>
      <c r="F908" s="12" t="inlineStr"/>
      <c r="G908" s="12" t="inlineStr">
        <is>
          <t>Source assignment -- not individually reviewed</t>
        </is>
      </c>
      <c r="H908" s="17" t="inlineStr">
        <is>
          <t>10 EVIDENCE &amp; DECISIONS</t>
        </is>
      </c>
    </row>
    <row r="909" ht="34" customHeight="1">
      <c r="A909" s="12" t="inlineStr">
        <is>
          <t>R598-v1</t>
        </is>
      </c>
      <c r="B909" s="12" t="inlineStr">
        <is>
          <t>Contractor Programme</t>
        </is>
      </c>
      <c r="C909" s="12" t="inlineStr">
        <is>
          <t>SCH-04-058</t>
        </is>
      </c>
      <c r="D909" s="12" t="inlineStr">
        <is>
          <t>1.4.1 Vehicles and Depot - Fleet Supply</t>
        </is>
      </c>
      <c r="E909" s="12" t="inlineStr">
        <is>
          <t>New</t>
        </is>
      </c>
      <c r="F909" s="12" t="inlineStr"/>
      <c r="G909" s="12" t="inlineStr">
        <is>
          <t>Source assignment -- not individually reviewed</t>
        </is>
      </c>
      <c r="H909" s="17" t="inlineStr">
        <is>
          <t>10 EVIDENCE &amp; DECISIONS</t>
        </is>
      </c>
    </row>
    <row r="910" ht="34" customHeight="1">
      <c r="A910" s="12" t="inlineStr">
        <is>
          <t>R599-v1</t>
        </is>
      </c>
      <c r="B910" s="12" t="inlineStr">
        <is>
          <t>Contractor Programme</t>
        </is>
      </c>
      <c r="C910" s="12" t="inlineStr">
        <is>
          <t>SCH-04-059</t>
        </is>
      </c>
      <c r="D910" s="12" t="inlineStr">
        <is>
          <t>1.4.1 Vehicles and Depot - Fleet Supply</t>
        </is>
      </c>
      <c r="E910" s="12" t="inlineStr">
        <is>
          <t>New</t>
        </is>
      </c>
      <c r="F910" s="12" t="inlineStr"/>
      <c r="G910" s="12" t="inlineStr">
        <is>
          <t>Source assignment -- not individually reviewed</t>
        </is>
      </c>
      <c r="H910" s="17" t="inlineStr">
        <is>
          <t>10 EVIDENCE &amp; DECISIONS</t>
        </is>
      </c>
    </row>
    <row r="911" ht="34" customHeight="1">
      <c r="A911" s="12" t="inlineStr">
        <is>
          <t>R601-v1</t>
        </is>
      </c>
      <c r="B911" s="12" t="inlineStr">
        <is>
          <t>Contractor Programme</t>
        </is>
      </c>
      <c r="C911" s="12" t="inlineStr">
        <is>
          <t>SCH-04-061</t>
        </is>
      </c>
      <c r="D911" s="12" t="inlineStr">
        <is>
          <t>1.4.1 Vehicles and Depot - Fleet Supply</t>
        </is>
      </c>
      <c r="E911" s="12" t="inlineStr">
        <is>
          <t>New</t>
        </is>
      </c>
      <c r="F911" s="12" t="inlineStr"/>
      <c r="G911" s="12" t="inlineStr">
        <is>
          <t>Source assignment -- not individually reviewed</t>
        </is>
      </c>
      <c r="H911" s="17" t="inlineStr">
        <is>
          <t>10 EVIDENCE &amp; DECISIONS</t>
        </is>
      </c>
    </row>
    <row r="912" ht="34" customHeight="1">
      <c r="A912" s="12" t="inlineStr">
        <is>
          <t>R602-v1</t>
        </is>
      </c>
      <c r="B912" s="12" t="inlineStr">
        <is>
          <t>Contractor Programme</t>
        </is>
      </c>
      <c r="C912" s="12" t="inlineStr">
        <is>
          <t>SCH-04-062</t>
        </is>
      </c>
      <c r="D912" s="12" t="inlineStr">
        <is>
          <t>1.4.1 Vehicles and Depot - Fleet Supply</t>
        </is>
      </c>
      <c r="E912" s="12" t="inlineStr">
        <is>
          <t>New</t>
        </is>
      </c>
      <c r="F912" s="12" t="inlineStr"/>
      <c r="G912" s="12" t="inlineStr">
        <is>
          <t>Source assignment -- not individually reviewed</t>
        </is>
      </c>
      <c r="H912" s="17" t="inlineStr">
        <is>
          <t>10 EVIDENCE &amp; DECISIONS</t>
        </is>
      </c>
    </row>
    <row r="913" ht="34" customHeight="1">
      <c r="A913" s="12" t="inlineStr">
        <is>
          <t>R604-v1</t>
        </is>
      </c>
      <c r="B913" s="12" t="inlineStr">
        <is>
          <t>Contractor Programme</t>
        </is>
      </c>
      <c r="C913" s="12" t="inlineStr">
        <is>
          <t>SCH-04-064</t>
        </is>
      </c>
      <c r="D913" s="12" t="inlineStr">
        <is>
          <t>1.4.1 Vehicles and Depot - Fleet Supply</t>
        </is>
      </c>
      <c r="E913" s="12" t="inlineStr">
        <is>
          <t>New</t>
        </is>
      </c>
      <c r="F913" s="12" t="inlineStr"/>
      <c r="G913" s="12" t="inlineStr">
        <is>
          <t>Source assignment -- not individually reviewed</t>
        </is>
      </c>
      <c r="H913" s="17" t="inlineStr">
        <is>
          <t>10 EVIDENCE &amp; DECISIONS</t>
        </is>
      </c>
    </row>
    <row r="914" ht="34" customHeight="1">
      <c r="A914" s="12" t="inlineStr">
        <is>
          <t>R605-v1</t>
        </is>
      </c>
      <c r="B914" s="12" t="inlineStr">
        <is>
          <t>Contractor Programme</t>
        </is>
      </c>
      <c r="C914" s="12" t="inlineStr">
        <is>
          <t>SCH-04-065</t>
        </is>
      </c>
      <c r="D914" s="12" t="inlineStr">
        <is>
          <t>1.4.1 Vehicles and Depot - Fleet Supply</t>
        </is>
      </c>
      <c r="E914" s="12" t="inlineStr">
        <is>
          <t>New</t>
        </is>
      </c>
      <c r="F914" s="12" t="inlineStr"/>
      <c r="G914" s="12" t="inlineStr">
        <is>
          <t>Source assignment -- not individually reviewed</t>
        </is>
      </c>
      <c r="H914" s="17" t="inlineStr">
        <is>
          <t>10 EVIDENCE &amp; DECISIONS</t>
        </is>
      </c>
    </row>
    <row r="915" ht="34" customHeight="1">
      <c r="A915" s="12" t="inlineStr">
        <is>
          <t>R607-v1</t>
        </is>
      </c>
      <c r="B915" s="12" t="inlineStr">
        <is>
          <t>Contractor Programme</t>
        </is>
      </c>
      <c r="C915" s="12" t="inlineStr">
        <is>
          <t>SCH-04-067</t>
        </is>
      </c>
      <c r="D915" s="12" t="inlineStr">
        <is>
          <t>1.4.1 Vehicles and Depot - Fleet Supply</t>
        </is>
      </c>
      <c r="E915" s="12" t="inlineStr">
        <is>
          <t>New</t>
        </is>
      </c>
      <c r="F915" s="12" t="inlineStr"/>
      <c r="G915" s="12" t="inlineStr">
        <is>
          <t>Source assignment -- not individually reviewed</t>
        </is>
      </c>
      <c r="H915" s="17" t="inlineStr">
        <is>
          <t>10 EVIDENCE &amp; DECISIONS</t>
        </is>
      </c>
    </row>
    <row r="916" ht="34" customHeight="1">
      <c r="A916" s="12" t="inlineStr">
        <is>
          <t>R608-v1</t>
        </is>
      </c>
      <c r="B916" s="12" t="inlineStr">
        <is>
          <t>Contractor Programme</t>
        </is>
      </c>
      <c r="C916" s="12" t="inlineStr">
        <is>
          <t>SCH-04-068</t>
        </is>
      </c>
      <c r="D916" s="12" t="inlineStr">
        <is>
          <t>1.4.1 Vehicles and Depot - Fleet Supply</t>
        </is>
      </c>
      <c r="E916" s="12" t="inlineStr">
        <is>
          <t>New</t>
        </is>
      </c>
      <c r="F916" s="12" t="inlineStr"/>
      <c r="G916" s="12" t="inlineStr">
        <is>
          <t>Source assignment -- not individually reviewed</t>
        </is>
      </c>
      <c r="H916" s="17" t="inlineStr">
        <is>
          <t>10 EVIDENCE &amp; DECISIONS</t>
        </is>
      </c>
    </row>
    <row r="917" ht="34" customHeight="1">
      <c r="A917" s="12" t="inlineStr">
        <is>
          <t>R610-v1</t>
        </is>
      </c>
      <c r="B917" s="12" t="inlineStr">
        <is>
          <t>Contractor Programme</t>
        </is>
      </c>
      <c r="C917" s="12" t="inlineStr">
        <is>
          <t>SCH-04-070</t>
        </is>
      </c>
      <c r="D917" s="12" t="inlineStr">
        <is>
          <t>1.4.1 Vehicles and Depot - Fleet Supply</t>
        </is>
      </c>
      <c r="E917" s="12" t="inlineStr">
        <is>
          <t>New</t>
        </is>
      </c>
      <c r="F917" s="12" t="inlineStr"/>
      <c r="G917" s="12" t="inlineStr">
        <is>
          <t>Source assignment -- not individually reviewed</t>
        </is>
      </c>
      <c r="H917" s="17" t="inlineStr">
        <is>
          <t>10 EVIDENCE &amp; DECISIONS</t>
        </is>
      </c>
    </row>
    <row r="918" ht="34" customHeight="1">
      <c r="A918" s="12" t="inlineStr">
        <is>
          <t>R611-v1</t>
        </is>
      </c>
      <c r="B918" s="12" t="inlineStr">
        <is>
          <t>Contractor Programme</t>
        </is>
      </c>
      <c r="C918" s="12" t="inlineStr">
        <is>
          <t>SCH-04-071</t>
        </is>
      </c>
      <c r="D918" s="12" t="inlineStr">
        <is>
          <t>1.4.1 Vehicles and Depot - Fleet Supply</t>
        </is>
      </c>
      <c r="E918" s="12" t="inlineStr">
        <is>
          <t>New</t>
        </is>
      </c>
      <c r="F918" s="12" t="inlineStr"/>
      <c r="G918" s="12" t="inlineStr">
        <is>
          <t>Source assignment -- not individually reviewed</t>
        </is>
      </c>
      <c r="H918" s="17" t="inlineStr">
        <is>
          <t>10 EVIDENCE &amp; DECISIONS</t>
        </is>
      </c>
    </row>
    <row r="919" ht="34" customHeight="1">
      <c r="A919" s="12" t="inlineStr">
        <is>
          <t>R613-v1</t>
        </is>
      </c>
      <c r="B919" s="12" t="inlineStr">
        <is>
          <t>Contractor Programme</t>
        </is>
      </c>
      <c r="C919" s="12" t="inlineStr">
        <is>
          <t>SCH-04-073</t>
        </is>
      </c>
      <c r="D919" s="12" t="inlineStr">
        <is>
          <t>1.4.1 Vehicles and Depot - Fleet Supply</t>
        </is>
      </c>
      <c r="E919" s="12" t="inlineStr">
        <is>
          <t>New</t>
        </is>
      </c>
      <c r="F919" s="12" t="inlineStr"/>
      <c r="G919" s="12" t="inlineStr">
        <is>
          <t>Source assignment -- not individually reviewed</t>
        </is>
      </c>
      <c r="H919" s="17" t="inlineStr">
        <is>
          <t>10 EVIDENCE &amp; DECISIONS</t>
        </is>
      </c>
    </row>
    <row r="920" ht="34" customHeight="1">
      <c r="A920" s="12" t="inlineStr">
        <is>
          <t>R614-v1</t>
        </is>
      </c>
      <c r="B920" s="12" t="inlineStr">
        <is>
          <t>Contractor Programme</t>
        </is>
      </c>
      <c r="C920" s="12" t="inlineStr">
        <is>
          <t>SCH-04-074</t>
        </is>
      </c>
      <c r="D920" s="12" t="inlineStr">
        <is>
          <t>1.4.1 Vehicles and Depot - Fleet Supply</t>
        </is>
      </c>
      <c r="E920" s="12" t="inlineStr">
        <is>
          <t>New</t>
        </is>
      </c>
      <c r="F920" s="12" t="inlineStr"/>
      <c r="G920" s="12" t="inlineStr">
        <is>
          <t>Source assignment -- not individually reviewed</t>
        </is>
      </c>
      <c r="H920" s="17" t="inlineStr">
        <is>
          <t>10 EVIDENCE &amp; DECISIONS</t>
        </is>
      </c>
    </row>
    <row r="921" ht="34" customHeight="1">
      <c r="A921" s="12" t="inlineStr">
        <is>
          <t>R616-v1</t>
        </is>
      </c>
      <c r="B921" s="12" t="inlineStr">
        <is>
          <t>Contractor Programme</t>
        </is>
      </c>
      <c r="C921" s="12" t="inlineStr">
        <is>
          <t>SCH-04-076</t>
        </is>
      </c>
      <c r="D921" s="12" t="inlineStr">
        <is>
          <t>1.4.1 Vehicles and Depot - Fleet Supply</t>
        </is>
      </c>
      <c r="E921" s="12" t="inlineStr">
        <is>
          <t>New</t>
        </is>
      </c>
      <c r="F921" s="12" t="inlineStr"/>
      <c r="G921" s="12" t="inlineStr">
        <is>
          <t>Source assignment -- not individually reviewed</t>
        </is>
      </c>
      <c r="H921" s="17" t="inlineStr">
        <is>
          <t>10 EVIDENCE &amp; DECISIONS</t>
        </is>
      </c>
    </row>
    <row r="922" ht="34" customHeight="1">
      <c r="A922" s="12" t="inlineStr">
        <is>
          <t>R617-v1</t>
        </is>
      </c>
      <c r="B922" s="12" t="inlineStr">
        <is>
          <t>Contractor Programme</t>
        </is>
      </c>
      <c r="C922" s="12" t="inlineStr">
        <is>
          <t>SCH-04-077</t>
        </is>
      </c>
      <c r="D922" s="12" t="inlineStr">
        <is>
          <t>1.4.1 Vehicles and Depot - Fleet Supply</t>
        </is>
      </c>
      <c r="E922" s="12" t="inlineStr">
        <is>
          <t>New</t>
        </is>
      </c>
      <c r="F922" s="12" t="inlineStr"/>
      <c r="G922" s="12" t="inlineStr">
        <is>
          <t>Source assignment -- not individually reviewed</t>
        </is>
      </c>
      <c r="H922" s="17" t="inlineStr">
        <is>
          <t>10 EVIDENCE &amp; DECISIONS</t>
        </is>
      </c>
    </row>
    <row r="923" ht="34" customHeight="1">
      <c r="A923" s="12" t="inlineStr">
        <is>
          <t>R619-v1</t>
        </is>
      </c>
      <c r="B923" s="12" t="inlineStr">
        <is>
          <t>Contractor Programme</t>
        </is>
      </c>
      <c r="C923" s="12" t="inlineStr">
        <is>
          <t>SCH-04-079</t>
        </is>
      </c>
      <c r="D923" s="12" t="inlineStr">
        <is>
          <t>1.4.1 Vehicles and Depot - Fleet Supply</t>
        </is>
      </c>
      <c r="E923" s="12" t="inlineStr">
        <is>
          <t>New</t>
        </is>
      </c>
      <c r="F923" s="12" t="inlineStr"/>
      <c r="G923" s="12" t="inlineStr">
        <is>
          <t>Source assignment -- not individually reviewed</t>
        </is>
      </c>
      <c r="H923" s="17" t="inlineStr">
        <is>
          <t>10 EVIDENCE &amp; DECISIONS</t>
        </is>
      </c>
    </row>
    <row r="924" ht="34" customHeight="1">
      <c r="A924" s="12" t="inlineStr">
        <is>
          <t>R620-v1</t>
        </is>
      </c>
      <c r="B924" s="12" t="inlineStr">
        <is>
          <t>Contractor Programme</t>
        </is>
      </c>
      <c r="C924" s="12" t="inlineStr">
        <is>
          <t>SCH-04-080</t>
        </is>
      </c>
      <c r="D924" s="12" t="inlineStr">
        <is>
          <t>1.4.1 Vehicles and Depot - Fleet Supply</t>
        </is>
      </c>
      <c r="E924" s="12" t="inlineStr">
        <is>
          <t>New</t>
        </is>
      </c>
      <c r="F924" s="12" t="inlineStr"/>
      <c r="G924" s="12" t="inlineStr">
        <is>
          <t>Source assignment -- not individually reviewed</t>
        </is>
      </c>
      <c r="H924" s="17" t="inlineStr">
        <is>
          <t>10 EVIDENCE &amp; DECISIONS</t>
        </is>
      </c>
    </row>
    <row r="925" ht="34" customHeight="1">
      <c r="A925" s="12" t="inlineStr">
        <is>
          <t>R622-v1</t>
        </is>
      </c>
      <c r="B925" s="12" t="inlineStr">
        <is>
          <t>Contractor Programme</t>
        </is>
      </c>
      <c r="C925" s="12" t="inlineStr">
        <is>
          <t>SCH-04-082</t>
        </is>
      </c>
      <c r="D925" s="12" t="inlineStr">
        <is>
          <t>1.4.1 Vehicles and Depot - Fleet Supply</t>
        </is>
      </c>
      <c r="E925" s="12" t="inlineStr">
        <is>
          <t>New</t>
        </is>
      </c>
      <c r="F925" s="12" t="inlineStr"/>
      <c r="G925" s="12" t="inlineStr">
        <is>
          <t>Source assignment -- not individually reviewed</t>
        </is>
      </c>
      <c r="H925" s="17" t="inlineStr">
        <is>
          <t>10 EVIDENCE &amp; DECISIONS</t>
        </is>
      </c>
    </row>
    <row r="926" ht="34" customHeight="1">
      <c r="A926" s="12" t="inlineStr">
        <is>
          <t>R623-v1</t>
        </is>
      </c>
      <c r="B926" s="12" t="inlineStr">
        <is>
          <t>Contractor Programme</t>
        </is>
      </c>
      <c r="C926" s="12" t="inlineStr">
        <is>
          <t>SCH-04-083</t>
        </is>
      </c>
      <c r="D926" s="12" t="inlineStr">
        <is>
          <t>1.4.1 Vehicles and Depot - Fleet Supply</t>
        </is>
      </c>
      <c r="E926" s="12" t="inlineStr">
        <is>
          <t>New</t>
        </is>
      </c>
      <c r="F926" s="12" t="inlineStr"/>
      <c r="G926" s="12" t="inlineStr">
        <is>
          <t>Source assignment -- not individually reviewed</t>
        </is>
      </c>
      <c r="H926" s="17" t="inlineStr">
        <is>
          <t>10 EVIDENCE &amp; DECISIONS</t>
        </is>
      </c>
    </row>
    <row r="927" ht="34" customHeight="1">
      <c r="A927" s="12" t="inlineStr">
        <is>
          <t>R625-v1</t>
        </is>
      </c>
      <c r="B927" s="12" t="inlineStr">
        <is>
          <t>Contractor Programme</t>
        </is>
      </c>
      <c r="C927" s="12" t="inlineStr">
        <is>
          <t>SCH-04-085</t>
        </is>
      </c>
      <c r="D927" s="12" t="inlineStr">
        <is>
          <t>1.4.1 Vehicles and Depot - Fleet Supply</t>
        </is>
      </c>
      <c r="E927" s="12" t="inlineStr">
        <is>
          <t>New</t>
        </is>
      </c>
      <c r="F927" s="12" t="inlineStr"/>
      <c r="G927" s="12" t="inlineStr">
        <is>
          <t>Source assignment -- not individually reviewed</t>
        </is>
      </c>
      <c r="H927" s="17" t="inlineStr">
        <is>
          <t>10 EVIDENCE &amp; DECISIONS</t>
        </is>
      </c>
    </row>
    <row r="928" ht="34" customHeight="1">
      <c r="A928" s="12" t="inlineStr">
        <is>
          <t>R626-v1</t>
        </is>
      </c>
      <c r="B928" s="12" t="inlineStr">
        <is>
          <t>Contractor Programme</t>
        </is>
      </c>
      <c r="C928" s="12" t="inlineStr">
        <is>
          <t>SCH-04-086</t>
        </is>
      </c>
      <c r="D928" s="12" t="inlineStr">
        <is>
          <t>1.4.1 Vehicles and Depot - Fleet Supply</t>
        </is>
      </c>
      <c r="E928" s="12" t="inlineStr">
        <is>
          <t>New</t>
        </is>
      </c>
      <c r="F928" s="12" t="inlineStr"/>
      <c r="G928" s="12" t="inlineStr">
        <is>
          <t>Source assignment -- not individually reviewed</t>
        </is>
      </c>
      <c r="H928" s="17" t="inlineStr">
        <is>
          <t>10 EVIDENCE &amp; DECISIONS</t>
        </is>
      </c>
    </row>
    <row r="929" ht="34" customHeight="1">
      <c r="A929" s="12" t="inlineStr">
        <is>
          <t>R628-v1</t>
        </is>
      </c>
      <c r="B929" s="12" t="inlineStr">
        <is>
          <t>Contractor Programme</t>
        </is>
      </c>
      <c r="C929" s="12" t="inlineStr">
        <is>
          <t>SCH-04-088</t>
        </is>
      </c>
      <c r="D929" s="12" t="inlineStr">
        <is>
          <t>1.4.1 Vehicles and Depot - Fleet Supply</t>
        </is>
      </c>
      <c r="E929" s="12" t="inlineStr">
        <is>
          <t>New</t>
        </is>
      </c>
      <c r="F929" s="12" t="inlineStr"/>
      <c r="G929" s="12" t="inlineStr">
        <is>
          <t>Source assignment -- not individually reviewed</t>
        </is>
      </c>
      <c r="H929" s="17" t="inlineStr">
        <is>
          <t>10 EVIDENCE &amp; DECISIONS</t>
        </is>
      </c>
    </row>
    <row r="930" ht="34" customHeight="1">
      <c r="A930" s="12" t="inlineStr">
        <is>
          <t>R629-v1</t>
        </is>
      </c>
      <c r="B930" s="12" t="inlineStr">
        <is>
          <t>Contractor Programme</t>
        </is>
      </c>
      <c r="C930" s="12" t="inlineStr">
        <is>
          <t>SCH-04-089</t>
        </is>
      </c>
      <c r="D930" s="12" t="inlineStr">
        <is>
          <t>1.4.1 Vehicles and Depot - Fleet Supply</t>
        </is>
      </c>
      <c r="E930" s="12" t="inlineStr">
        <is>
          <t>New</t>
        </is>
      </c>
      <c r="F930" s="12" t="inlineStr"/>
      <c r="G930" s="12" t="inlineStr">
        <is>
          <t>Source assignment -- not individually reviewed</t>
        </is>
      </c>
      <c r="H930" s="17" t="inlineStr">
        <is>
          <t>10 EVIDENCE &amp; DECISIONS</t>
        </is>
      </c>
    </row>
    <row r="931" ht="34" customHeight="1">
      <c r="A931" s="12" t="inlineStr">
        <is>
          <t>R631-v1</t>
        </is>
      </c>
      <c r="B931" s="12" t="inlineStr">
        <is>
          <t>Contractor Programme</t>
        </is>
      </c>
      <c r="C931" s="12" t="inlineStr">
        <is>
          <t>SCH-04-091</t>
        </is>
      </c>
      <c r="D931" s="12" t="inlineStr">
        <is>
          <t>1.4.1 Vehicles and Depot - Fleet Supply</t>
        </is>
      </c>
      <c r="E931" s="12" t="inlineStr">
        <is>
          <t>New</t>
        </is>
      </c>
      <c r="F931" s="12" t="inlineStr"/>
      <c r="G931" s="12" t="inlineStr">
        <is>
          <t>Source assignment -- not individually reviewed</t>
        </is>
      </c>
      <c r="H931" s="17" t="inlineStr">
        <is>
          <t>10 EVIDENCE &amp; DECISIONS</t>
        </is>
      </c>
    </row>
    <row r="932" ht="34" customHeight="1">
      <c r="A932" s="12" t="inlineStr">
        <is>
          <t>R632-v1</t>
        </is>
      </c>
      <c r="B932" s="12" t="inlineStr">
        <is>
          <t>Contractor Programme</t>
        </is>
      </c>
      <c r="C932" s="12" t="inlineStr">
        <is>
          <t>SCH-04-092</t>
        </is>
      </c>
      <c r="D932" s="12" t="inlineStr">
        <is>
          <t>1.4.1 Vehicles and Depot - Fleet Supply</t>
        </is>
      </c>
      <c r="E932" s="12" t="inlineStr">
        <is>
          <t>New</t>
        </is>
      </c>
      <c r="F932" s="12" t="inlineStr"/>
      <c r="G932" s="12" t="inlineStr">
        <is>
          <t>Source assignment -- not individually reviewed</t>
        </is>
      </c>
      <c r="H932" s="17" t="inlineStr">
        <is>
          <t>10 EVIDENCE &amp; DECISIONS</t>
        </is>
      </c>
    </row>
    <row r="933" ht="34" customHeight="1">
      <c r="A933" s="12" t="inlineStr">
        <is>
          <t>R634-v1</t>
        </is>
      </c>
      <c r="B933" s="12" t="inlineStr">
        <is>
          <t>Contractor Programme</t>
        </is>
      </c>
      <c r="C933" s="12" t="inlineStr">
        <is>
          <t>SCH-04-094</t>
        </is>
      </c>
      <c r="D933" s="12" t="inlineStr">
        <is>
          <t>1.4.1 Vehicles and Depot - Fleet Supply</t>
        </is>
      </c>
      <c r="E933" s="12" t="inlineStr">
        <is>
          <t>New</t>
        </is>
      </c>
      <c r="F933" s="12" t="inlineStr"/>
      <c r="G933" s="12" t="inlineStr">
        <is>
          <t>Source assignment -- not individually reviewed</t>
        </is>
      </c>
      <c r="H933" s="17" t="inlineStr">
        <is>
          <t>10 EVIDENCE &amp; DECISIONS</t>
        </is>
      </c>
    </row>
    <row r="934" ht="34" customHeight="1">
      <c r="A934" s="12" t="inlineStr">
        <is>
          <t>R635-v1</t>
        </is>
      </c>
      <c r="B934" s="12" t="inlineStr">
        <is>
          <t>Contractor Programme</t>
        </is>
      </c>
      <c r="C934" s="12" t="inlineStr">
        <is>
          <t>SCH-04-095</t>
        </is>
      </c>
      <c r="D934" s="12" t="inlineStr">
        <is>
          <t>1.4.1 Vehicles and Depot - Fleet Supply</t>
        </is>
      </c>
      <c r="E934" s="12" t="inlineStr">
        <is>
          <t>New</t>
        </is>
      </c>
      <c r="F934" s="12" t="inlineStr"/>
      <c r="G934" s="12" t="inlineStr">
        <is>
          <t>Source assignment -- not individually reviewed</t>
        </is>
      </c>
      <c r="H934" s="17" t="inlineStr">
        <is>
          <t>10 EVIDENCE &amp; DECISIONS</t>
        </is>
      </c>
    </row>
    <row r="935" ht="34" customHeight="1">
      <c r="A935" s="12" t="inlineStr">
        <is>
          <t>R637-v1</t>
        </is>
      </c>
      <c r="B935" s="12" t="inlineStr">
        <is>
          <t>Contractor Programme</t>
        </is>
      </c>
      <c r="C935" s="12" t="inlineStr">
        <is>
          <t>SCH-04-097</t>
        </is>
      </c>
      <c r="D935" s="12" t="inlineStr">
        <is>
          <t>1.4.1 Vehicles and Depot - Fleet Supply</t>
        </is>
      </c>
      <c r="E935" s="12" t="inlineStr">
        <is>
          <t>New</t>
        </is>
      </c>
      <c r="F935" s="12" t="inlineStr"/>
      <c r="G935" s="12" t="inlineStr">
        <is>
          <t>Source assignment -- not individually reviewed</t>
        </is>
      </c>
      <c r="H935" s="17" t="inlineStr">
        <is>
          <t>10 EVIDENCE &amp; DECISIONS</t>
        </is>
      </c>
    </row>
    <row r="936" ht="34" customHeight="1">
      <c r="A936" s="12" t="inlineStr">
        <is>
          <t>R638-v1</t>
        </is>
      </c>
      <c r="B936" s="12" t="inlineStr">
        <is>
          <t>Contractor Programme</t>
        </is>
      </c>
      <c r="C936" s="12" t="inlineStr">
        <is>
          <t>SCH-04-098</t>
        </is>
      </c>
      <c r="D936" s="12" t="inlineStr">
        <is>
          <t>1.4.1 Vehicles and Depot - Fleet Supply</t>
        </is>
      </c>
      <c r="E936" s="12" t="inlineStr">
        <is>
          <t>New</t>
        </is>
      </c>
      <c r="F936" s="12" t="inlineStr"/>
      <c r="G936" s="12" t="inlineStr">
        <is>
          <t>Source assignment -- not individually reviewed</t>
        </is>
      </c>
      <c r="H936" s="17" t="inlineStr">
        <is>
          <t>10 EVIDENCE &amp; DECISIONS</t>
        </is>
      </c>
    </row>
    <row r="937" ht="34" customHeight="1">
      <c r="A937" s="12" t="inlineStr">
        <is>
          <t>R640-v1</t>
        </is>
      </c>
      <c r="B937" s="12" t="inlineStr">
        <is>
          <t>Contractor Programme</t>
        </is>
      </c>
      <c r="C937" s="12" t="inlineStr">
        <is>
          <t>SCH-04-100</t>
        </is>
      </c>
      <c r="D937" s="12" t="inlineStr">
        <is>
          <t>1.4.1 Vehicles and Depot - Fleet Supply</t>
        </is>
      </c>
      <c r="E937" s="12" t="inlineStr">
        <is>
          <t>New</t>
        </is>
      </c>
      <c r="F937" s="12" t="inlineStr"/>
      <c r="G937" s="12" t="inlineStr">
        <is>
          <t>Source assignment -- not individually reviewed</t>
        </is>
      </c>
      <c r="H937" s="17" t="inlineStr">
        <is>
          <t>10 EVIDENCE &amp; DECISIONS</t>
        </is>
      </c>
    </row>
    <row r="938" ht="34" customHeight="1">
      <c r="A938" s="12" t="inlineStr">
        <is>
          <t>R641-v1</t>
        </is>
      </c>
      <c r="B938" s="12" t="inlineStr">
        <is>
          <t>Contractor Programme</t>
        </is>
      </c>
      <c r="C938" s="12" t="inlineStr">
        <is>
          <t>SCH-04-101</t>
        </is>
      </c>
      <c r="D938" s="12" t="inlineStr">
        <is>
          <t>1.4.1 Vehicles and Depot - Fleet Supply</t>
        </is>
      </c>
      <c r="E938" s="12" t="inlineStr">
        <is>
          <t>New</t>
        </is>
      </c>
      <c r="F938" s="12" t="inlineStr"/>
      <c r="G938" s="12" t="inlineStr">
        <is>
          <t>Source assignment -- not individually reviewed</t>
        </is>
      </c>
      <c r="H938" s="17" t="inlineStr">
        <is>
          <t>10 EVIDENCE &amp; DECISIONS</t>
        </is>
      </c>
    </row>
    <row r="939" ht="34" customHeight="1">
      <c r="A939" s="12" t="inlineStr">
        <is>
          <t>R643-v1</t>
        </is>
      </c>
      <c r="B939" s="12" t="inlineStr">
        <is>
          <t>Contractor Programme</t>
        </is>
      </c>
      <c r="C939" s="12" t="inlineStr">
        <is>
          <t>SCH-04-103</t>
        </is>
      </c>
      <c r="D939" s="12" t="inlineStr">
        <is>
          <t>1.4.1 Vehicles and Depot - Fleet Supply</t>
        </is>
      </c>
      <c r="E939" s="12" t="inlineStr">
        <is>
          <t>New</t>
        </is>
      </c>
      <c r="F939" s="12" t="inlineStr"/>
      <c r="G939" s="12" t="inlineStr">
        <is>
          <t>Source assignment -- not individually reviewed</t>
        </is>
      </c>
      <c r="H939" s="17" t="inlineStr">
        <is>
          <t>10 EVIDENCE &amp; DECISIONS</t>
        </is>
      </c>
    </row>
    <row r="940" ht="34" customHeight="1">
      <c r="A940" s="12" t="inlineStr">
        <is>
          <t>R644-v1</t>
        </is>
      </c>
      <c r="B940" s="12" t="inlineStr">
        <is>
          <t>Contractor Programme</t>
        </is>
      </c>
      <c r="C940" s="12" t="inlineStr">
        <is>
          <t>SCH-04-104</t>
        </is>
      </c>
      <c r="D940" s="12" t="inlineStr">
        <is>
          <t>1.4.1 Vehicles and Depot - Fleet Supply</t>
        </is>
      </c>
      <c r="E940" s="12" t="inlineStr">
        <is>
          <t>New</t>
        </is>
      </c>
      <c r="F940" s="12" t="inlineStr"/>
      <c r="G940" s="12" t="inlineStr">
        <is>
          <t>Source assignment -- not individually reviewed</t>
        </is>
      </c>
      <c r="H940" s="17" t="inlineStr">
        <is>
          <t>10 EVIDENCE &amp; DECISIONS</t>
        </is>
      </c>
    </row>
    <row r="941" ht="34" customHeight="1">
      <c r="A941" s="12" t="inlineStr">
        <is>
          <t>R646-v1</t>
        </is>
      </c>
      <c r="B941" s="12" t="inlineStr">
        <is>
          <t>Contractor Programme</t>
        </is>
      </c>
      <c r="C941" s="12" t="inlineStr">
        <is>
          <t>SCH-04-106</t>
        </is>
      </c>
      <c r="D941" s="12" t="inlineStr">
        <is>
          <t>1.4.1 Vehicles and Depot - Fleet Supply</t>
        </is>
      </c>
      <c r="E941" s="12" t="inlineStr">
        <is>
          <t>New</t>
        </is>
      </c>
      <c r="F941" s="12" t="inlineStr"/>
      <c r="G941" s="12" t="inlineStr">
        <is>
          <t>Source assignment -- not individually reviewed</t>
        </is>
      </c>
      <c r="H941" s="17" t="inlineStr">
        <is>
          <t>10 EVIDENCE &amp; DECISIONS</t>
        </is>
      </c>
    </row>
    <row r="942" ht="34" customHeight="1">
      <c r="A942" s="12" t="inlineStr">
        <is>
          <t>R647-v1</t>
        </is>
      </c>
      <c r="B942" s="12" t="inlineStr">
        <is>
          <t>Contractor Programme</t>
        </is>
      </c>
      <c r="C942" s="12" t="inlineStr">
        <is>
          <t>SCH-04-107</t>
        </is>
      </c>
      <c r="D942" s="12" t="inlineStr">
        <is>
          <t>1.4.1 Vehicles and Depot - Fleet Supply</t>
        </is>
      </c>
      <c r="E942" s="12" t="inlineStr">
        <is>
          <t>New</t>
        </is>
      </c>
      <c r="F942" s="12" t="inlineStr"/>
      <c r="G942" s="12" t="inlineStr">
        <is>
          <t>Source assignment -- not individually reviewed</t>
        </is>
      </c>
      <c r="H942" s="17" t="inlineStr">
        <is>
          <t>10 EVIDENCE &amp; DECISIONS</t>
        </is>
      </c>
    </row>
    <row r="943" ht="34" customHeight="1">
      <c r="A943" s="12" t="inlineStr">
        <is>
          <t>R649-v1</t>
        </is>
      </c>
      <c r="B943" s="12" t="inlineStr">
        <is>
          <t>Contractor Programme</t>
        </is>
      </c>
      <c r="C943" s="12" t="inlineStr">
        <is>
          <t>SCH-04-109</t>
        </is>
      </c>
      <c r="D943" s="12" t="inlineStr">
        <is>
          <t>1.4.1 Vehicles and Depot - Fleet Supply</t>
        </is>
      </c>
      <c r="E943" s="12" t="inlineStr">
        <is>
          <t>New</t>
        </is>
      </c>
      <c r="F943" s="12" t="inlineStr"/>
      <c r="G943" s="12" t="inlineStr">
        <is>
          <t>Source assignment -- not individually reviewed</t>
        </is>
      </c>
      <c r="H943" s="17" t="inlineStr">
        <is>
          <t>10 EVIDENCE &amp; DECISIONS</t>
        </is>
      </c>
    </row>
    <row r="944" ht="34" customHeight="1">
      <c r="A944" s="12" t="inlineStr">
        <is>
          <t>R650-v1</t>
        </is>
      </c>
      <c r="B944" s="12" t="inlineStr">
        <is>
          <t>Contractor Programme</t>
        </is>
      </c>
      <c r="C944" s="12" t="inlineStr">
        <is>
          <t>SCH-04-110</t>
        </is>
      </c>
      <c r="D944" s="12" t="inlineStr">
        <is>
          <t>1.4.1 Vehicles and Depot - Fleet Supply</t>
        </is>
      </c>
      <c r="E944" s="12" t="inlineStr">
        <is>
          <t>New</t>
        </is>
      </c>
      <c r="F944" s="12" t="inlineStr"/>
      <c r="G944" s="12" t="inlineStr">
        <is>
          <t>Source assignment -- not individually reviewed</t>
        </is>
      </c>
      <c r="H944" s="17" t="inlineStr">
        <is>
          <t>10 EVIDENCE &amp; DECISIONS</t>
        </is>
      </c>
    </row>
    <row r="945" ht="34" customHeight="1">
      <c r="A945" s="12" t="inlineStr">
        <is>
          <t>R652-v1</t>
        </is>
      </c>
      <c r="B945" s="12" t="inlineStr">
        <is>
          <t>Contractor Programme</t>
        </is>
      </c>
      <c r="C945" s="12" t="inlineStr">
        <is>
          <t>SCH-04-112</t>
        </is>
      </c>
      <c r="D945" s="12" t="inlineStr">
        <is>
          <t>1.4.1 Vehicles and Depot - Fleet Supply</t>
        </is>
      </c>
      <c r="E945" s="12" t="inlineStr">
        <is>
          <t>New</t>
        </is>
      </c>
      <c r="F945" s="12" t="inlineStr"/>
      <c r="G945" s="12" t="inlineStr">
        <is>
          <t>Source assignment -- not individually reviewed</t>
        </is>
      </c>
      <c r="H945" s="17" t="inlineStr">
        <is>
          <t>10 EVIDENCE &amp; DECISIONS</t>
        </is>
      </c>
    </row>
    <row r="946" ht="34" customHeight="1">
      <c r="A946" s="12" t="inlineStr">
        <is>
          <t>R653-v1</t>
        </is>
      </c>
      <c r="B946" s="12" t="inlineStr">
        <is>
          <t>Contractor Programme</t>
        </is>
      </c>
      <c r="C946" s="12" t="inlineStr">
        <is>
          <t>SCH-04-113</t>
        </is>
      </c>
      <c r="D946" s="12" t="inlineStr">
        <is>
          <t>1.4.1 Vehicles and Depot - Fleet Supply</t>
        </is>
      </c>
      <c r="E946" s="12" t="inlineStr">
        <is>
          <t>New</t>
        </is>
      </c>
      <c r="F946" s="12" t="inlineStr"/>
      <c r="G946" s="12" t="inlineStr">
        <is>
          <t>Source assignment -- not individually reviewed</t>
        </is>
      </c>
      <c r="H946" s="17" t="inlineStr">
        <is>
          <t>10 EVIDENCE &amp; DECISIONS</t>
        </is>
      </c>
    </row>
    <row r="947" ht="34" customHeight="1">
      <c r="A947" s="12" t="inlineStr">
        <is>
          <t>R655-v1</t>
        </is>
      </c>
      <c r="B947" s="12" t="inlineStr">
        <is>
          <t>Contractor Programme</t>
        </is>
      </c>
      <c r="C947" s="12" t="inlineStr">
        <is>
          <t>SCH-04-115</t>
        </is>
      </c>
      <c r="D947" s="12" t="inlineStr">
        <is>
          <t>1.4.1 Vehicles and Depot - Fleet Supply</t>
        </is>
      </c>
      <c r="E947" s="12" t="inlineStr">
        <is>
          <t>New</t>
        </is>
      </c>
      <c r="F947" s="12" t="inlineStr"/>
      <c r="G947" s="12" t="inlineStr">
        <is>
          <t>Source assignment -- not individually reviewed</t>
        </is>
      </c>
      <c r="H947" s="17" t="inlineStr">
        <is>
          <t>10 EVIDENCE &amp; DECISIONS</t>
        </is>
      </c>
    </row>
    <row r="948" ht="34" customHeight="1">
      <c r="A948" s="12" t="inlineStr">
        <is>
          <t>R656-v1</t>
        </is>
      </c>
      <c r="B948" s="12" t="inlineStr">
        <is>
          <t>Contractor Programme</t>
        </is>
      </c>
      <c r="C948" s="12" t="inlineStr">
        <is>
          <t>SCH-04-116</t>
        </is>
      </c>
      <c r="D948" s="12" t="inlineStr">
        <is>
          <t>1.4.1 Vehicles and Depot - Fleet Supply</t>
        </is>
      </c>
      <c r="E948" s="12" t="inlineStr">
        <is>
          <t>New</t>
        </is>
      </c>
      <c r="F948" s="12" t="inlineStr"/>
      <c r="G948" s="12" t="inlineStr">
        <is>
          <t>Source assignment -- not individually reviewed</t>
        </is>
      </c>
      <c r="H948" s="17" t="inlineStr">
        <is>
          <t>10 EVIDENCE &amp; DECISIONS</t>
        </is>
      </c>
    </row>
    <row r="949" ht="34" customHeight="1">
      <c r="A949" s="12" t="inlineStr">
        <is>
          <t>R658-v1</t>
        </is>
      </c>
      <c r="B949" s="12" t="inlineStr">
        <is>
          <t>Contractor Programme</t>
        </is>
      </c>
      <c r="C949" s="12" t="inlineStr">
        <is>
          <t>SCH-04-118</t>
        </is>
      </c>
      <c r="D949" s="12" t="inlineStr">
        <is>
          <t>1.4.1 Vehicles and Depot - Fleet Supply</t>
        </is>
      </c>
      <c r="E949" s="12" t="inlineStr">
        <is>
          <t>New</t>
        </is>
      </c>
      <c r="F949" s="12" t="inlineStr"/>
      <c r="G949" s="12" t="inlineStr">
        <is>
          <t>Source assignment -- not individually reviewed</t>
        </is>
      </c>
      <c r="H949" s="17" t="inlineStr">
        <is>
          <t>10 EVIDENCE &amp; DECISIONS</t>
        </is>
      </c>
    </row>
    <row r="950" ht="34" customHeight="1">
      <c r="A950" s="12" t="inlineStr">
        <is>
          <t>R659-v1</t>
        </is>
      </c>
      <c r="B950" s="12" t="inlineStr">
        <is>
          <t>Contractor Programme</t>
        </is>
      </c>
      <c r="C950" s="12" t="inlineStr">
        <is>
          <t>SCH-04-119</t>
        </is>
      </c>
      <c r="D950" s="12" t="inlineStr">
        <is>
          <t>1.4.1 Vehicles and Depot - Fleet Supply</t>
        </is>
      </c>
      <c r="E950" s="12" t="inlineStr">
        <is>
          <t>New</t>
        </is>
      </c>
      <c r="F950" s="12" t="inlineStr"/>
      <c r="G950" s="12" t="inlineStr">
        <is>
          <t>Source assignment -- not individually reviewed</t>
        </is>
      </c>
      <c r="H950" s="17" t="inlineStr">
        <is>
          <t>10 EVIDENCE &amp; DECISIONS</t>
        </is>
      </c>
    </row>
    <row r="951" ht="34" customHeight="1">
      <c r="A951" s="12" t="inlineStr">
        <is>
          <t>R661-v1</t>
        </is>
      </c>
      <c r="B951" s="12" t="inlineStr">
        <is>
          <t>Contractor Programme</t>
        </is>
      </c>
      <c r="C951" s="12" t="inlineStr">
        <is>
          <t>SCH-04-121</t>
        </is>
      </c>
      <c r="D951" s="12" t="inlineStr">
        <is>
          <t>1.4.1 Vehicles and Depot - Fleet Supply</t>
        </is>
      </c>
      <c r="E951" s="12" t="inlineStr">
        <is>
          <t>New</t>
        </is>
      </c>
      <c r="F951" s="12" t="inlineStr"/>
      <c r="G951" s="12" t="inlineStr">
        <is>
          <t>Source assignment -- not individually reviewed</t>
        </is>
      </c>
      <c r="H951" s="17" t="inlineStr">
        <is>
          <t>10 EVIDENCE &amp; DECISIONS</t>
        </is>
      </c>
    </row>
    <row r="952" ht="34" customHeight="1">
      <c r="A952" s="12" t="inlineStr">
        <is>
          <t>R662-v1</t>
        </is>
      </c>
      <c r="B952" s="12" t="inlineStr">
        <is>
          <t>Contractor Programme</t>
        </is>
      </c>
      <c r="C952" s="12" t="inlineStr">
        <is>
          <t>SCH-04-122</t>
        </is>
      </c>
      <c r="D952" s="12" t="inlineStr">
        <is>
          <t>1.4.1 Vehicles and Depot - Fleet Supply</t>
        </is>
      </c>
      <c r="E952" s="12" t="inlineStr">
        <is>
          <t>New</t>
        </is>
      </c>
      <c r="F952" s="12" t="inlineStr"/>
      <c r="G952" s="12" t="inlineStr">
        <is>
          <t>Source assignment -- not individually reviewed</t>
        </is>
      </c>
      <c r="H952" s="17" t="inlineStr">
        <is>
          <t>10 EVIDENCE &amp; DECISIONS</t>
        </is>
      </c>
    </row>
    <row r="953" ht="34" customHeight="1">
      <c r="A953" s="12" t="inlineStr">
        <is>
          <t>R664-v1</t>
        </is>
      </c>
      <c r="B953" s="12" t="inlineStr">
        <is>
          <t>Contractor Programme</t>
        </is>
      </c>
      <c r="C953" s="12" t="inlineStr">
        <is>
          <t>SCH-04-124</t>
        </is>
      </c>
      <c r="D953" s="12" t="inlineStr">
        <is>
          <t>1.4.1 Vehicles and Depot - Fleet Supply</t>
        </is>
      </c>
      <c r="E953" s="12" t="inlineStr">
        <is>
          <t>New</t>
        </is>
      </c>
      <c r="F953" s="12" t="inlineStr"/>
      <c r="G953" s="12" t="inlineStr">
        <is>
          <t>Source assignment -- not individually reviewed</t>
        </is>
      </c>
      <c r="H953" s="17" t="inlineStr">
        <is>
          <t>10 EVIDENCE &amp; DECISIONS</t>
        </is>
      </c>
    </row>
    <row r="954" ht="34" customHeight="1">
      <c r="A954" s="12" t="inlineStr">
        <is>
          <t>R665-v1</t>
        </is>
      </c>
      <c r="B954" s="12" t="inlineStr">
        <is>
          <t>Contractor Programme</t>
        </is>
      </c>
      <c r="C954" s="12" t="inlineStr">
        <is>
          <t>SCH-04-125</t>
        </is>
      </c>
      <c r="D954" s="12" t="inlineStr">
        <is>
          <t>1.4.1 Vehicles and Depot - Fleet Supply</t>
        </is>
      </c>
      <c r="E954" s="12" t="inlineStr">
        <is>
          <t>New</t>
        </is>
      </c>
      <c r="F954" s="12" t="inlineStr"/>
      <c r="G954" s="12" t="inlineStr">
        <is>
          <t>Source assignment -- not individually reviewed</t>
        </is>
      </c>
      <c r="H954" s="17" t="inlineStr">
        <is>
          <t>10 EVIDENCE &amp; DECISIONS</t>
        </is>
      </c>
    </row>
    <row r="955" ht="34" customHeight="1">
      <c r="A955" s="12" t="inlineStr">
        <is>
          <t>R667-v1</t>
        </is>
      </c>
      <c r="B955" s="12" t="inlineStr">
        <is>
          <t>Contractor Programme</t>
        </is>
      </c>
      <c r="C955" s="12" t="inlineStr">
        <is>
          <t>SCH-04-127</t>
        </is>
      </c>
      <c r="D955" s="12" t="inlineStr">
        <is>
          <t>1.4.1 Vehicles and Depot - Fleet Supply</t>
        </is>
      </c>
      <c r="E955" s="12" t="inlineStr">
        <is>
          <t>New</t>
        </is>
      </c>
      <c r="F955" s="12" t="inlineStr"/>
      <c r="G955" s="12" t="inlineStr">
        <is>
          <t>Source assignment -- not individually reviewed</t>
        </is>
      </c>
      <c r="H955" s="17" t="inlineStr">
        <is>
          <t>10 EVIDENCE &amp; DECISIONS</t>
        </is>
      </c>
    </row>
    <row r="956" ht="34" customHeight="1">
      <c r="A956" s="12" t="inlineStr">
        <is>
          <t>R668-v1</t>
        </is>
      </c>
      <c r="B956" s="12" t="inlineStr">
        <is>
          <t>Contractor Programme</t>
        </is>
      </c>
      <c r="C956" s="12" t="inlineStr">
        <is>
          <t>SCH-04-128</t>
        </is>
      </c>
      <c r="D956" s="12" t="inlineStr">
        <is>
          <t>1.4.1 Vehicles and Depot - Fleet Supply</t>
        </is>
      </c>
      <c r="E956" s="12" t="inlineStr">
        <is>
          <t>New</t>
        </is>
      </c>
      <c r="F956" s="12" t="inlineStr"/>
      <c r="G956" s="12" t="inlineStr">
        <is>
          <t>Source assignment -- not individually reviewed</t>
        </is>
      </c>
      <c r="H956" s="17" t="inlineStr">
        <is>
          <t>10 EVIDENCE &amp; DECISIONS</t>
        </is>
      </c>
    </row>
    <row r="957" ht="34" customHeight="1">
      <c r="A957" s="12" t="inlineStr">
        <is>
          <t>R670-v1</t>
        </is>
      </c>
      <c r="B957" s="12" t="inlineStr">
        <is>
          <t>Contractor Programme</t>
        </is>
      </c>
      <c r="C957" s="12" t="inlineStr">
        <is>
          <t>SCH-04-130</t>
        </is>
      </c>
      <c r="D957" s="12" t="inlineStr">
        <is>
          <t>1.4.1 Vehicles and Depot - Fleet Supply</t>
        </is>
      </c>
      <c r="E957" s="12" t="inlineStr">
        <is>
          <t>New</t>
        </is>
      </c>
      <c r="F957" s="12" t="inlineStr"/>
      <c r="G957" s="12" t="inlineStr">
        <is>
          <t>Source assignment -- not individually reviewed</t>
        </is>
      </c>
      <c r="H957" s="17" t="inlineStr">
        <is>
          <t>10 EVIDENCE &amp; DECISIONS</t>
        </is>
      </c>
    </row>
    <row r="958" ht="34" customHeight="1">
      <c r="A958" s="12" t="inlineStr">
        <is>
          <t>R671-v1</t>
        </is>
      </c>
      <c r="B958" s="12" t="inlineStr">
        <is>
          <t>Contractor Programme</t>
        </is>
      </c>
      <c r="C958" s="12" t="inlineStr">
        <is>
          <t>SCH-04-131</t>
        </is>
      </c>
      <c r="D958" s="12" t="inlineStr">
        <is>
          <t>1.4.1 Vehicles and Depot - Fleet Supply</t>
        </is>
      </c>
      <c r="E958" s="12" t="inlineStr">
        <is>
          <t>New</t>
        </is>
      </c>
      <c r="F958" s="12" t="inlineStr"/>
      <c r="G958" s="12" t="inlineStr">
        <is>
          <t>Source assignment -- not individually reviewed</t>
        </is>
      </c>
      <c r="H958" s="17" t="inlineStr">
        <is>
          <t>10 EVIDENCE &amp; DECISIONS</t>
        </is>
      </c>
    </row>
    <row r="959" ht="34" customHeight="1">
      <c r="A959" s="12" t="inlineStr">
        <is>
          <t>R673-v1</t>
        </is>
      </c>
      <c r="B959" s="12" t="inlineStr">
        <is>
          <t>Contractor Programme</t>
        </is>
      </c>
      <c r="C959" s="12" t="inlineStr">
        <is>
          <t>SCH-04-133</t>
        </is>
      </c>
      <c r="D959" s="12" t="inlineStr">
        <is>
          <t>1.4.1 Vehicles and Depot - Fleet Supply</t>
        </is>
      </c>
      <c r="E959" s="12" t="inlineStr">
        <is>
          <t>New</t>
        </is>
      </c>
      <c r="F959" s="12" t="inlineStr"/>
      <c r="G959" s="12" t="inlineStr">
        <is>
          <t>Source assignment -- not individually reviewed</t>
        </is>
      </c>
      <c r="H959" s="17" t="inlineStr">
        <is>
          <t>10 EVIDENCE &amp; DECISIONS</t>
        </is>
      </c>
    </row>
    <row r="960" ht="34" customHeight="1">
      <c r="A960" s="12" t="inlineStr">
        <is>
          <t>R674-v1</t>
        </is>
      </c>
      <c r="B960" s="12" t="inlineStr">
        <is>
          <t>Contractor Programme</t>
        </is>
      </c>
      <c r="C960" s="12" t="inlineStr">
        <is>
          <t>SCH-04-134</t>
        </is>
      </c>
      <c r="D960" s="12" t="inlineStr">
        <is>
          <t>1.4.1 Vehicles and Depot - Fleet Supply</t>
        </is>
      </c>
      <c r="E960" s="12" t="inlineStr">
        <is>
          <t>New</t>
        </is>
      </c>
      <c r="F960" s="12" t="inlineStr"/>
      <c r="G960" s="12" t="inlineStr">
        <is>
          <t>Source assignment -- not individually reviewed</t>
        </is>
      </c>
      <c r="H960" s="17" t="inlineStr">
        <is>
          <t>10 EVIDENCE &amp; DECISIONS</t>
        </is>
      </c>
    </row>
    <row r="961" ht="34" customHeight="1">
      <c r="A961" s="12" t="inlineStr">
        <is>
          <t>R676-v1</t>
        </is>
      </c>
      <c r="B961" s="12" t="inlineStr">
        <is>
          <t>Contractor Programme</t>
        </is>
      </c>
      <c r="C961" s="12" t="inlineStr">
        <is>
          <t>SCH-04-136</t>
        </is>
      </c>
      <c r="D961" s="12" t="inlineStr">
        <is>
          <t>1.4.1 Vehicles and Depot - Fleet Supply</t>
        </is>
      </c>
      <c r="E961" s="12" t="inlineStr">
        <is>
          <t>New</t>
        </is>
      </c>
      <c r="F961" s="12" t="inlineStr"/>
      <c r="G961" s="12" t="inlineStr">
        <is>
          <t>Source assignment -- not individually reviewed</t>
        </is>
      </c>
      <c r="H961" s="17" t="inlineStr">
        <is>
          <t>10 EVIDENCE &amp; DECISIONS</t>
        </is>
      </c>
    </row>
    <row r="962" ht="34" customHeight="1">
      <c r="A962" s="12" t="inlineStr">
        <is>
          <t>R677-v1</t>
        </is>
      </c>
      <c r="B962" s="12" t="inlineStr">
        <is>
          <t>Contractor Programme</t>
        </is>
      </c>
      <c r="C962" s="12" t="inlineStr">
        <is>
          <t>SCH-04-137</t>
        </is>
      </c>
      <c r="D962" s="12" t="inlineStr">
        <is>
          <t>1.4.1 Vehicles and Depot - Fleet Supply</t>
        </is>
      </c>
      <c r="E962" s="12" t="inlineStr">
        <is>
          <t>New</t>
        </is>
      </c>
      <c r="F962" s="12" t="inlineStr"/>
      <c r="G962" s="12" t="inlineStr">
        <is>
          <t>Source assignment -- not individually reviewed</t>
        </is>
      </c>
      <c r="H962" s="17" t="inlineStr">
        <is>
          <t>10 EVIDENCE &amp; DECISIONS</t>
        </is>
      </c>
    </row>
    <row r="963" ht="34" customHeight="1">
      <c r="A963" s="12" t="inlineStr">
        <is>
          <t>R679-v1</t>
        </is>
      </c>
      <c r="B963" s="12" t="inlineStr">
        <is>
          <t>Contractor Programme</t>
        </is>
      </c>
      <c r="C963" s="12" t="inlineStr">
        <is>
          <t>SCH-04-139</t>
        </is>
      </c>
      <c r="D963" s="12" t="inlineStr">
        <is>
          <t>1.4.1 Vehicles and Depot - Fleet Supply</t>
        </is>
      </c>
      <c r="E963" s="12" t="inlineStr">
        <is>
          <t>New</t>
        </is>
      </c>
      <c r="F963" s="12" t="inlineStr"/>
      <c r="G963" s="12" t="inlineStr">
        <is>
          <t>Source assignment -- not individually reviewed</t>
        </is>
      </c>
      <c r="H963" s="17" t="inlineStr">
        <is>
          <t>10 EVIDENCE &amp; DECISIONS</t>
        </is>
      </c>
    </row>
    <row r="964" ht="34" customHeight="1">
      <c r="A964" s="12" t="inlineStr">
        <is>
          <t>R680-v1</t>
        </is>
      </c>
      <c r="B964" s="12" t="inlineStr">
        <is>
          <t>Contractor Programme</t>
        </is>
      </c>
      <c r="C964" s="12" t="inlineStr">
        <is>
          <t>SCH-04-140</t>
        </is>
      </c>
      <c r="D964" s="12" t="inlineStr">
        <is>
          <t>1.4.1 Vehicles and Depot - Fleet Supply</t>
        </is>
      </c>
      <c r="E964" s="12" t="inlineStr">
        <is>
          <t>New</t>
        </is>
      </c>
      <c r="F964" s="12" t="inlineStr"/>
      <c r="G964" s="12" t="inlineStr">
        <is>
          <t>Source assignment -- not individually reviewed</t>
        </is>
      </c>
      <c r="H964" s="17" t="inlineStr">
        <is>
          <t>10 EVIDENCE &amp; DECISIONS</t>
        </is>
      </c>
    </row>
    <row r="965" ht="34" customHeight="1">
      <c r="A965" s="12" t="inlineStr">
        <is>
          <t>R682-v1</t>
        </is>
      </c>
      <c r="B965" s="12" t="inlineStr">
        <is>
          <t>Contractor Programme</t>
        </is>
      </c>
      <c r="C965" s="12" t="inlineStr">
        <is>
          <t>SCH-04-142</t>
        </is>
      </c>
      <c r="D965" s="12" t="inlineStr">
        <is>
          <t>1.4.1 Vehicles and Depot - Fleet Supply</t>
        </is>
      </c>
      <c r="E965" s="12" t="inlineStr">
        <is>
          <t>New</t>
        </is>
      </c>
      <c r="F965" s="12" t="inlineStr"/>
      <c r="G965" s="12" t="inlineStr">
        <is>
          <t>Source assignment -- not individually reviewed</t>
        </is>
      </c>
      <c r="H965" s="17" t="inlineStr">
        <is>
          <t>10 EVIDENCE &amp; DECISIONS</t>
        </is>
      </c>
    </row>
    <row r="966" ht="34" customHeight="1">
      <c r="A966" s="12" t="inlineStr">
        <is>
          <t>R683-v1</t>
        </is>
      </c>
      <c r="B966" s="12" t="inlineStr">
        <is>
          <t>Contractor Programme</t>
        </is>
      </c>
      <c r="C966" s="12" t="inlineStr">
        <is>
          <t>SCH-04-143</t>
        </is>
      </c>
      <c r="D966" s="12" t="inlineStr">
        <is>
          <t>1.4.1 Vehicles and Depot - Fleet Supply</t>
        </is>
      </c>
      <c r="E966" s="12" t="inlineStr">
        <is>
          <t>New</t>
        </is>
      </c>
      <c r="F966" s="12" t="inlineStr"/>
      <c r="G966" s="12" t="inlineStr">
        <is>
          <t>Source assignment -- not individually reviewed</t>
        </is>
      </c>
      <c r="H966" s="17" t="inlineStr">
        <is>
          <t>10 EVIDENCE &amp; DECISIONS</t>
        </is>
      </c>
    </row>
    <row r="967" ht="34" customHeight="1">
      <c r="A967" s="12" t="inlineStr">
        <is>
          <t>R685-v1</t>
        </is>
      </c>
      <c r="B967" s="12" t="inlineStr">
        <is>
          <t>Contractor Programme</t>
        </is>
      </c>
      <c r="C967" s="12" t="inlineStr">
        <is>
          <t>SCH-04-145</t>
        </is>
      </c>
      <c r="D967" s="12" t="inlineStr">
        <is>
          <t>1.4.1 Vehicles and Depot - Fleet Supply</t>
        </is>
      </c>
      <c r="E967" s="12" t="inlineStr">
        <is>
          <t>New</t>
        </is>
      </c>
      <c r="F967" s="12" t="inlineStr"/>
      <c r="G967" s="12" t="inlineStr">
        <is>
          <t>Source assignment -- not individually reviewed</t>
        </is>
      </c>
      <c r="H967" s="17" t="inlineStr">
        <is>
          <t>10 EVIDENCE &amp; DECISIONS</t>
        </is>
      </c>
    </row>
    <row r="968" ht="34" customHeight="1">
      <c r="A968" s="12" t="inlineStr">
        <is>
          <t>R686-v1</t>
        </is>
      </c>
      <c r="B968" s="12" t="inlineStr">
        <is>
          <t>Contractor Programme</t>
        </is>
      </c>
      <c r="C968" s="12" t="inlineStr">
        <is>
          <t>SCH-04-146</t>
        </is>
      </c>
      <c r="D968" s="12" t="inlineStr">
        <is>
          <t>1.4.1 Vehicles and Depot - Fleet Supply</t>
        </is>
      </c>
      <c r="E968" s="12" t="inlineStr">
        <is>
          <t>New</t>
        </is>
      </c>
      <c r="F968" s="12" t="inlineStr"/>
      <c r="G968" s="12" t="inlineStr">
        <is>
          <t>Source assignment -- not individually reviewed</t>
        </is>
      </c>
      <c r="H968" s="17" t="inlineStr">
        <is>
          <t>10 EVIDENCE &amp; DECISIONS</t>
        </is>
      </c>
    </row>
    <row r="969" ht="34" customHeight="1">
      <c r="A969" s="12" t="inlineStr">
        <is>
          <t>R688-v1</t>
        </is>
      </c>
      <c r="B969" s="12" t="inlineStr">
        <is>
          <t>Contractor Programme</t>
        </is>
      </c>
      <c r="C969" s="12" t="inlineStr">
        <is>
          <t>SCH-04-148</t>
        </is>
      </c>
      <c r="D969" s="12" t="inlineStr">
        <is>
          <t>1.4.1 Vehicles and Depot - Fleet Supply</t>
        </is>
      </c>
      <c r="E969" s="12" t="inlineStr">
        <is>
          <t>New</t>
        </is>
      </c>
      <c r="F969" s="12" t="inlineStr"/>
      <c r="G969" s="12" t="inlineStr">
        <is>
          <t>Source assignment -- not individually reviewed</t>
        </is>
      </c>
      <c r="H969" s="17" t="inlineStr">
        <is>
          <t>10 EVIDENCE &amp; DECISIONS</t>
        </is>
      </c>
    </row>
    <row r="970" ht="34" customHeight="1">
      <c r="A970" s="12" t="inlineStr">
        <is>
          <t>R689-v1</t>
        </is>
      </c>
      <c r="B970" s="12" t="inlineStr">
        <is>
          <t>Contractor Programme</t>
        </is>
      </c>
      <c r="C970" s="12" t="inlineStr">
        <is>
          <t>SCH-04-149</t>
        </is>
      </c>
      <c r="D970" s="12" t="inlineStr">
        <is>
          <t>1.4.1 Vehicles and Depot - Fleet Supply</t>
        </is>
      </c>
      <c r="E970" s="12" t="inlineStr">
        <is>
          <t>New</t>
        </is>
      </c>
      <c r="F970" s="12" t="inlineStr"/>
      <c r="G970" s="12" t="inlineStr">
        <is>
          <t>Source assignment -- not individually reviewed</t>
        </is>
      </c>
      <c r="H970" s="17" t="inlineStr">
        <is>
          <t>10 EVIDENCE &amp; DECISIONS</t>
        </is>
      </c>
    </row>
    <row r="971" ht="34" customHeight="1">
      <c r="A971" s="12" t="inlineStr">
        <is>
          <t>R691-v1</t>
        </is>
      </c>
      <c r="B971" s="12" t="inlineStr">
        <is>
          <t>Contractor Programme</t>
        </is>
      </c>
      <c r="C971" s="12" t="inlineStr">
        <is>
          <t>SCH-04-151</t>
        </is>
      </c>
      <c r="D971" s="12" t="inlineStr">
        <is>
          <t>1.4.1 Vehicles and Depot - Fleet Supply</t>
        </is>
      </c>
      <c r="E971" s="12" t="inlineStr">
        <is>
          <t>New</t>
        </is>
      </c>
      <c r="F971" s="12" t="inlineStr"/>
      <c r="G971" s="12" t="inlineStr">
        <is>
          <t>Source assignment -- not individually reviewed</t>
        </is>
      </c>
      <c r="H971" s="17" t="inlineStr">
        <is>
          <t>10 EVIDENCE &amp; DECISIONS</t>
        </is>
      </c>
    </row>
    <row r="972" ht="34" customHeight="1">
      <c r="A972" s="12" t="inlineStr">
        <is>
          <t>R692-v1</t>
        </is>
      </c>
      <c r="B972" s="12" t="inlineStr">
        <is>
          <t>Contractor Programme</t>
        </is>
      </c>
      <c r="C972" s="12" t="inlineStr">
        <is>
          <t>SCH-04-152</t>
        </is>
      </c>
      <c r="D972" s="12" t="inlineStr">
        <is>
          <t>1.4.1 Vehicles and Depot - Fleet Supply</t>
        </is>
      </c>
      <c r="E972" s="12" t="inlineStr">
        <is>
          <t>New</t>
        </is>
      </c>
      <c r="F972" s="12" t="inlineStr"/>
      <c r="G972" s="12" t="inlineStr">
        <is>
          <t>Source assignment -- not individually reviewed</t>
        </is>
      </c>
      <c r="H972" s="17" t="inlineStr">
        <is>
          <t>10 EVIDENCE &amp; DECISIONS</t>
        </is>
      </c>
    </row>
    <row r="973" ht="34" customHeight="1">
      <c r="A973" s="12" t="inlineStr">
        <is>
          <t>R694-v1</t>
        </is>
      </c>
      <c r="B973" s="12" t="inlineStr">
        <is>
          <t>Contractor Programme</t>
        </is>
      </c>
      <c r="C973" s="12" t="inlineStr">
        <is>
          <t>SCH-04-154</t>
        </is>
      </c>
      <c r="D973" s="12" t="inlineStr">
        <is>
          <t>1.4.1 Vehicles and Depot - Fleet Supply</t>
        </is>
      </c>
      <c r="E973" s="12" t="inlineStr">
        <is>
          <t>New</t>
        </is>
      </c>
      <c r="F973" s="12" t="inlineStr"/>
      <c r="G973" s="12" t="inlineStr">
        <is>
          <t>Source assignment -- not individually reviewed</t>
        </is>
      </c>
      <c r="H973" s="17" t="inlineStr">
        <is>
          <t>10 EVIDENCE &amp; DECISIONS</t>
        </is>
      </c>
    </row>
    <row r="974" ht="34" customHeight="1">
      <c r="A974" s="12" t="inlineStr">
        <is>
          <t>R695-v1</t>
        </is>
      </c>
      <c r="B974" s="12" t="inlineStr">
        <is>
          <t>Contractor Programme</t>
        </is>
      </c>
      <c r="C974" s="12" t="inlineStr">
        <is>
          <t>SCH-04-155</t>
        </is>
      </c>
      <c r="D974" s="12" t="inlineStr">
        <is>
          <t>1.4.1 Vehicles and Depot - Fleet Supply</t>
        </is>
      </c>
      <c r="E974" s="12" t="inlineStr">
        <is>
          <t>New</t>
        </is>
      </c>
      <c r="F974" s="12" t="inlineStr"/>
      <c r="G974" s="12" t="inlineStr">
        <is>
          <t>Source assignment -- not individually reviewed</t>
        </is>
      </c>
      <c r="H974" s="17" t="inlineStr">
        <is>
          <t>10 EVIDENCE &amp; DECISIONS</t>
        </is>
      </c>
    </row>
    <row r="975" ht="34" customHeight="1">
      <c r="A975" s="12" t="inlineStr">
        <is>
          <t>R697-v1</t>
        </is>
      </c>
      <c r="B975" s="12" t="inlineStr">
        <is>
          <t>Contractor Programme</t>
        </is>
      </c>
      <c r="C975" s="12" t="inlineStr">
        <is>
          <t>SCH-04-157</t>
        </is>
      </c>
      <c r="D975" s="12" t="inlineStr">
        <is>
          <t>1.4.1 Vehicles and Depot - Fleet Supply</t>
        </is>
      </c>
      <c r="E975" s="12" t="inlineStr">
        <is>
          <t>New</t>
        </is>
      </c>
      <c r="F975" s="12" t="inlineStr"/>
      <c r="G975" s="12" t="inlineStr">
        <is>
          <t>Source assignment -- not individually reviewed</t>
        </is>
      </c>
      <c r="H975" s="17" t="inlineStr">
        <is>
          <t>10 EVIDENCE &amp; DECISIONS</t>
        </is>
      </c>
    </row>
    <row r="976" ht="34" customHeight="1">
      <c r="A976" s="12" t="inlineStr">
        <is>
          <t>R698-v1</t>
        </is>
      </c>
      <c r="B976" s="12" t="inlineStr">
        <is>
          <t>Contractor Programme</t>
        </is>
      </c>
      <c r="C976" s="12" t="inlineStr">
        <is>
          <t>SCH-04-158</t>
        </is>
      </c>
      <c r="D976" s="12" t="inlineStr">
        <is>
          <t>1.4.1 Vehicles and Depot - Fleet Supply</t>
        </is>
      </c>
      <c r="E976" s="12" t="inlineStr">
        <is>
          <t>New</t>
        </is>
      </c>
      <c r="F976" s="12" t="inlineStr"/>
      <c r="G976" s="12" t="inlineStr">
        <is>
          <t>Source assignment -- not individually reviewed</t>
        </is>
      </c>
      <c r="H976" s="17" t="inlineStr">
        <is>
          <t>10 EVIDENCE &amp; DECISIONS</t>
        </is>
      </c>
    </row>
    <row r="977" ht="34" customHeight="1">
      <c r="A977" s="12" t="inlineStr">
        <is>
          <t>R700-v1</t>
        </is>
      </c>
      <c r="B977" s="12" t="inlineStr">
        <is>
          <t>Contractor Programme</t>
        </is>
      </c>
      <c r="C977" s="12" t="inlineStr">
        <is>
          <t>SCH-04-160</t>
        </is>
      </c>
      <c r="D977" s="12" t="inlineStr">
        <is>
          <t>1.4.1 Vehicles and Depot - Fleet Supply</t>
        </is>
      </c>
      <c r="E977" s="12" t="inlineStr">
        <is>
          <t>New</t>
        </is>
      </c>
      <c r="F977" s="12" t="inlineStr"/>
      <c r="G977" s="12" t="inlineStr">
        <is>
          <t>Source assignment -- not individually reviewed</t>
        </is>
      </c>
      <c r="H977" s="17" t="inlineStr">
        <is>
          <t>10 EVIDENCE &amp; DECISIONS</t>
        </is>
      </c>
    </row>
    <row r="978" ht="34" customHeight="1">
      <c r="A978" s="12" t="inlineStr">
        <is>
          <t>R701-v1</t>
        </is>
      </c>
      <c r="B978" s="12" t="inlineStr">
        <is>
          <t>Contractor Programme</t>
        </is>
      </c>
      <c r="C978" s="12" t="inlineStr">
        <is>
          <t>SCH-04-161</t>
        </is>
      </c>
      <c r="D978" s="12" t="inlineStr">
        <is>
          <t>1.4.1 Vehicles and Depot - Fleet Supply</t>
        </is>
      </c>
      <c r="E978" s="12" t="inlineStr">
        <is>
          <t>New</t>
        </is>
      </c>
      <c r="F978" s="12" t="inlineStr"/>
      <c r="G978" s="12" t="inlineStr">
        <is>
          <t>Source assignment -- not individually reviewed</t>
        </is>
      </c>
      <c r="H978" s="17" t="inlineStr">
        <is>
          <t>10 EVIDENCE &amp; DECISIONS</t>
        </is>
      </c>
    </row>
    <row r="979" ht="34" customHeight="1">
      <c r="A979" s="12" t="inlineStr">
        <is>
          <t>R703-v1</t>
        </is>
      </c>
      <c r="B979" s="12" t="inlineStr">
        <is>
          <t>Contractor Programme</t>
        </is>
      </c>
      <c r="C979" s="12" t="inlineStr">
        <is>
          <t>SCH-04-163</t>
        </is>
      </c>
      <c r="D979" s="12" t="inlineStr">
        <is>
          <t>1.4.1 Vehicles and Depot - Fleet Supply</t>
        </is>
      </c>
      <c r="E979" s="12" t="inlineStr">
        <is>
          <t>New</t>
        </is>
      </c>
      <c r="F979" s="12" t="inlineStr"/>
      <c r="G979" s="12" t="inlineStr">
        <is>
          <t>Source assignment -- not individually reviewed</t>
        </is>
      </c>
      <c r="H979" s="17" t="inlineStr">
        <is>
          <t>10 EVIDENCE &amp; DECISIONS</t>
        </is>
      </c>
    </row>
    <row r="980" ht="34" customHeight="1">
      <c r="A980" s="12" t="inlineStr">
        <is>
          <t>R704-v1</t>
        </is>
      </c>
      <c r="B980" s="12" t="inlineStr">
        <is>
          <t>Contractor Programme</t>
        </is>
      </c>
      <c r="C980" s="12" t="inlineStr">
        <is>
          <t>SCH-04-164</t>
        </is>
      </c>
      <c r="D980" s="12" t="inlineStr">
        <is>
          <t>1.4.1 Vehicles and Depot - Fleet Supply</t>
        </is>
      </c>
      <c r="E980" s="12" t="inlineStr">
        <is>
          <t>New</t>
        </is>
      </c>
      <c r="F980" s="12" t="inlineStr"/>
      <c r="G980" s="12" t="inlineStr">
        <is>
          <t>Source assignment -- not individually reviewed</t>
        </is>
      </c>
      <c r="H980" s="17" t="inlineStr">
        <is>
          <t>10 EVIDENCE &amp; DECISIONS</t>
        </is>
      </c>
    </row>
    <row r="981" ht="34" customHeight="1">
      <c r="A981" s="12" t="inlineStr">
        <is>
          <t>R706-v1</t>
        </is>
      </c>
      <c r="B981" s="12" t="inlineStr">
        <is>
          <t>Contractor Programme</t>
        </is>
      </c>
      <c r="C981" s="12" t="inlineStr">
        <is>
          <t>SCH-04-166</t>
        </is>
      </c>
      <c r="D981" s="12" t="inlineStr">
        <is>
          <t>1.4.1 Vehicles and Depot - Fleet Supply</t>
        </is>
      </c>
      <c r="E981" s="12" t="inlineStr">
        <is>
          <t>New</t>
        </is>
      </c>
      <c r="F981" s="12" t="inlineStr"/>
      <c r="G981" s="12" t="inlineStr">
        <is>
          <t>Source assignment -- not individually reviewed</t>
        </is>
      </c>
      <c r="H981" s="17" t="inlineStr">
        <is>
          <t>10 EVIDENCE &amp; DECISIONS</t>
        </is>
      </c>
    </row>
    <row r="982" ht="34" customHeight="1">
      <c r="A982" s="12" t="inlineStr">
        <is>
          <t>R707-v1</t>
        </is>
      </c>
      <c r="B982" s="12" t="inlineStr">
        <is>
          <t>Contractor Programme</t>
        </is>
      </c>
      <c r="C982" s="12" t="inlineStr">
        <is>
          <t>SCH-04-167</t>
        </is>
      </c>
      <c r="D982" s="12" t="inlineStr">
        <is>
          <t>1.4.1 Vehicles and Depot - Fleet Supply</t>
        </is>
      </c>
      <c r="E982" s="12" t="inlineStr">
        <is>
          <t>New</t>
        </is>
      </c>
      <c r="F982" s="12" t="inlineStr"/>
      <c r="G982" s="12" t="inlineStr">
        <is>
          <t>Source assignment -- not individually reviewed</t>
        </is>
      </c>
      <c r="H982" s="17" t="inlineStr">
        <is>
          <t>10 EVIDENCE &amp; DECISIONS</t>
        </is>
      </c>
    </row>
    <row r="983" ht="34" customHeight="1">
      <c r="A983" s="12" t="inlineStr">
        <is>
          <t>R709-v1</t>
        </is>
      </c>
      <c r="B983" s="12" t="inlineStr">
        <is>
          <t>Contractor Programme</t>
        </is>
      </c>
      <c r="C983" s="12" t="inlineStr">
        <is>
          <t>SCH-04-169</t>
        </is>
      </c>
      <c r="D983" s="12" t="inlineStr">
        <is>
          <t>1.4.1 Vehicles and Depot - Fleet Supply</t>
        </is>
      </c>
      <c r="E983" s="12" t="inlineStr">
        <is>
          <t>New</t>
        </is>
      </c>
      <c r="F983" s="12" t="inlineStr"/>
      <c r="G983" s="12" t="inlineStr">
        <is>
          <t>Source assignment -- not individually reviewed</t>
        </is>
      </c>
      <c r="H983" s="17" t="inlineStr">
        <is>
          <t>10 EVIDENCE &amp; DECISIONS</t>
        </is>
      </c>
    </row>
    <row r="984" ht="34" customHeight="1">
      <c r="A984" s="12" t="inlineStr">
        <is>
          <t>R710-v1</t>
        </is>
      </c>
      <c r="B984" s="12" t="inlineStr">
        <is>
          <t>Contractor Programme</t>
        </is>
      </c>
      <c r="C984" s="12" t="inlineStr">
        <is>
          <t>SCH-04-170</t>
        </is>
      </c>
      <c r="D984" s="12" t="inlineStr">
        <is>
          <t>1.4.1 Vehicles and Depot - Fleet Supply</t>
        </is>
      </c>
      <c r="E984" s="12" t="inlineStr">
        <is>
          <t>New</t>
        </is>
      </c>
      <c r="F984" s="12" t="inlineStr"/>
      <c r="G984" s="12" t="inlineStr">
        <is>
          <t>Source assignment -- not individually reviewed</t>
        </is>
      </c>
      <c r="H984" s="17" t="inlineStr">
        <is>
          <t>10 EVIDENCE &amp; DECISIONS</t>
        </is>
      </c>
    </row>
    <row r="985" ht="34" customHeight="1">
      <c r="A985" s="12" t="inlineStr">
        <is>
          <t>R712-v1</t>
        </is>
      </c>
      <c r="B985" s="12" t="inlineStr">
        <is>
          <t>Contractor Programme</t>
        </is>
      </c>
      <c r="C985" s="12" t="inlineStr">
        <is>
          <t>SCH-04-172</t>
        </is>
      </c>
      <c r="D985" s="12" t="inlineStr">
        <is>
          <t>1.4.1 Vehicles and Depot - Fleet Supply</t>
        </is>
      </c>
      <c r="E985" s="12" t="inlineStr">
        <is>
          <t>New</t>
        </is>
      </c>
      <c r="F985" s="12" t="inlineStr"/>
      <c r="G985" s="12" t="inlineStr">
        <is>
          <t>Source assignment -- not individually reviewed</t>
        </is>
      </c>
      <c r="H985" s="17" t="inlineStr">
        <is>
          <t>10 EVIDENCE &amp; DECISIONS</t>
        </is>
      </c>
    </row>
    <row r="986" ht="34" customHeight="1">
      <c r="A986" s="12" t="inlineStr">
        <is>
          <t>R713-v1</t>
        </is>
      </c>
      <c r="B986" s="12" t="inlineStr">
        <is>
          <t>Contractor Programme</t>
        </is>
      </c>
      <c r="C986" s="12" t="inlineStr">
        <is>
          <t>SCH-04-173</t>
        </is>
      </c>
      <c r="D986" s="12" t="inlineStr">
        <is>
          <t>1.4.1 Vehicles and Depot - Fleet Supply</t>
        </is>
      </c>
      <c r="E986" s="12" t="inlineStr">
        <is>
          <t>New</t>
        </is>
      </c>
      <c r="F986" s="12" t="inlineStr"/>
      <c r="G986" s="12" t="inlineStr">
        <is>
          <t>Source assignment -- not individually reviewed</t>
        </is>
      </c>
      <c r="H986" s="17" t="inlineStr">
        <is>
          <t>10 EVIDENCE &amp; DECISIONS</t>
        </is>
      </c>
    </row>
    <row r="987" ht="34" customHeight="1">
      <c r="A987" s="12" t="inlineStr">
        <is>
          <t>R715-v1</t>
        </is>
      </c>
      <c r="B987" s="12" t="inlineStr">
        <is>
          <t>Contractor Programme</t>
        </is>
      </c>
      <c r="C987" s="12" t="inlineStr">
        <is>
          <t>SCH-04-175</t>
        </is>
      </c>
      <c r="D987" s="12" t="inlineStr">
        <is>
          <t>1.4.1 Vehicles and Depot - Fleet Supply</t>
        </is>
      </c>
      <c r="E987" s="12" t="inlineStr">
        <is>
          <t>New</t>
        </is>
      </c>
      <c r="F987" s="12" t="inlineStr"/>
      <c r="G987" s="12" t="inlineStr">
        <is>
          <t>Source assignment -- not individually reviewed</t>
        </is>
      </c>
      <c r="H987" s="17" t="inlineStr">
        <is>
          <t>10 EVIDENCE &amp; DECISIONS</t>
        </is>
      </c>
    </row>
    <row r="988" ht="34" customHeight="1">
      <c r="A988" s="12" t="inlineStr">
        <is>
          <t>R716-v1</t>
        </is>
      </c>
      <c r="B988" s="12" t="inlineStr">
        <is>
          <t>Contractor Programme</t>
        </is>
      </c>
      <c r="C988" s="12" t="inlineStr">
        <is>
          <t>SCH-04-176</t>
        </is>
      </c>
      <c r="D988" s="12" t="inlineStr">
        <is>
          <t>1.4.1 Vehicles and Depot - Fleet Supply</t>
        </is>
      </c>
      <c r="E988" s="12" t="inlineStr">
        <is>
          <t>New</t>
        </is>
      </c>
      <c r="F988" s="12" t="inlineStr"/>
      <c r="G988" s="12" t="inlineStr">
        <is>
          <t>Source assignment -- not individually reviewed</t>
        </is>
      </c>
      <c r="H988" s="17" t="inlineStr">
        <is>
          <t>10 EVIDENCE &amp; DECISIONS</t>
        </is>
      </c>
    </row>
    <row r="989" ht="34" customHeight="1">
      <c r="A989" s="12" t="inlineStr">
        <is>
          <t>R718-v1</t>
        </is>
      </c>
      <c r="B989" s="12" t="inlineStr">
        <is>
          <t>Contractor Programme</t>
        </is>
      </c>
      <c r="C989" s="12" t="inlineStr">
        <is>
          <t>SCH-04-178</t>
        </is>
      </c>
      <c r="D989" s="12" t="inlineStr">
        <is>
          <t>1.4.1 Vehicles and Depot - Fleet Supply</t>
        </is>
      </c>
      <c r="E989" s="12" t="inlineStr">
        <is>
          <t>New</t>
        </is>
      </c>
      <c r="F989" s="12" t="inlineStr"/>
      <c r="G989" s="12" t="inlineStr">
        <is>
          <t>Source assignment -- not individually reviewed</t>
        </is>
      </c>
      <c r="H989" s="17" t="inlineStr">
        <is>
          <t>10 EVIDENCE &amp; DECISIONS</t>
        </is>
      </c>
    </row>
    <row r="990" ht="34" customHeight="1">
      <c r="A990" s="12" t="inlineStr">
        <is>
          <t>R719-v1</t>
        </is>
      </c>
      <c r="B990" s="12" t="inlineStr">
        <is>
          <t>Contractor Programme</t>
        </is>
      </c>
      <c r="C990" s="12" t="inlineStr">
        <is>
          <t>SCH-04-179</t>
        </is>
      </c>
      <c r="D990" s="12" t="inlineStr">
        <is>
          <t>1.4.1 Vehicles and Depot - Fleet Supply</t>
        </is>
      </c>
      <c r="E990" s="12" t="inlineStr">
        <is>
          <t>New</t>
        </is>
      </c>
      <c r="F990" s="12" t="inlineStr"/>
      <c r="G990" s="12" t="inlineStr">
        <is>
          <t>Source assignment -- not individually reviewed</t>
        </is>
      </c>
      <c r="H990" s="17" t="inlineStr">
        <is>
          <t>10 EVIDENCE &amp; DECISIONS</t>
        </is>
      </c>
    </row>
    <row r="991" ht="34" customHeight="1">
      <c r="A991" s="12" t="inlineStr">
        <is>
          <t>R1324-v1</t>
        </is>
      </c>
      <c r="B991" s="12" t="inlineStr">
        <is>
          <t>Cost &amp; Forecast Control Accounts</t>
        </is>
      </c>
      <c r="C991" s="12" t="inlineStr">
        <is>
          <t>CST-04-002</t>
        </is>
      </c>
      <c r="D991" s="12" t="inlineStr">
        <is>
          <t>1.4.2 Vehicles and Depot - Depot Buildings</t>
        </is>
      </c>
      <c r="E991" s="12" t="inlineStr">
        <is>
          <t>New</t>
        </is>
      </c>
      <c r="F991" s="12" t="inlineStr"/>
      <c r="G991" s="12" t="inlineStr">
        <is>
          <t>Source assignment -- not individually reviewed</t>
        </is>
      </c>
      <c r="H991" s="17" t="inlineStr">
        <is>
          <t>10 EVIDENCE &amp; DECISIONS</t>
        </is>
      </c>
    </row>
    <row r="992" ht="34" customHeight="1">
      <c r="A992" s="12" t="inlineStr">
        <is>
          <t>R1326-v1</t>
        </is>
      </c>
      <c r="B992" s="12" t="inlineStr">
        <is>
          <t>Cost &amp; Forecast Control Accounts</t>
        </is>
      </c>
      <c r="C992" s="12" t="inlineStr">
        <is>
          <t>CST-04-004</t>
        </is>
      </c>
      <c r="D992" s="12" t="inlineStr">
        <is>
          <t>1.4.2 Vehicles and Depot - Depot Buildings</t>
        </is>
      </c>
      <c r="E992" s="12" t="inlineStr">
        <is>
          <t>New</t>
        </is>
      </c>
      <c r="F992" s="12" t="inlineStr"/>
      <c r="G992" s="12" t="inlineStr">
        <is>
          <t>Source assignment -- not individually reviewed</t>
        </is>
      </c>
      <c r="H992" s="17" t="inlineStr">
        <is>
          <t>10 EVIDENCE &amp; DECISIONS</t>
        </is>
      </c>
    </row>
    <row r="993" ht="34" customHeight="1">
      <c r="A993" s="12" t="inlineStr">
        <is>
          <t>R1328-v1</t>
        </is>
      </c>
      <c r="B993" s="12" t="inlineStr">
        <is>
          <t>Cost &amp; Forecast Control Accounts</t>
        </is>
      </c>
      <c r="C993" s="12" t="inlineStr">
        <is>
          <t>CST-04-006</t>
        </is>
      </c>
      <c r="D993" s="12" t="inlineStr">
        <is>
          <t>1.4.2 Vehicles and Depot - Depot Buildings</t>
        </is>
      </c>
      <c r="E993" s="12" t="inlineStr">
        <is>
          <t>New</t>
        </is>
      </c>
      <c r="F993" s="12" t="inlineStr"/>
      <c r="G993" s="12" t="inlineStr">
        <is>
          <t>Source assignment -- not individually reviewed</t>
        </is>
      </c>
      <c r="H993" s="17" t="inlineStr">
        <is>
          <t>10 EVIDENCE &amp; DECISIONS</t>
        </is>
      </c>
    </row>
    <row r="994" ht="34" customHeight="1">
      <c r="A994" s="12" t="inlineStr">
        <is>
          <t>R1330-v1</t>
        </is>
      </c>
      <c r="B994" s="12" t="inlineStr">
        <is>
          <t>Cost &amp; Forecast Control Accounts</t>
        </is>
      </c>
      <c r="C994" s="12" t="inlineStr">
        <is>
          <t>CST-04-008</t>
        </is>
      </c>
      <c r="D994" s="12" t="inlineStr">
        <is>
          <t>1.4.2 Vehicles and Depot - Depot Buildings</t>
        </is>
      </c>
      <c r="E994" s="12" t="inlineStr">
        <is>
          <t>New</t>
        </is>
      </c>
      <c r="F994" s="12" t="inlineStr"/>
      <c r="G994" s="12" t="inlineStr">
        <is>
          <t>Source assignment -- not individually reviewed</t>
        </is>
      </c>
      <c r="H994" s="17" t="inlineStr">
        <is>
          <t>10 EVIDENCE &amp; DECISIONS</t>
        </is>
      </c>
    </row>
    <row r="995" ht="34" customHeight="1">
      <c r="A995" s="12" t="inlineStr">
        <is>
          <t>R1332-v1</t>
        </is>
      </c>
      <c r="B995" s="12" t="inlineStr">
        <is>
          <t>Cost &amp; Forecast Control Accounts</t>
        </is>
      </c>
      <c r="C995" s="12" t="inlineStr">
        <is>
          <t>CST-04-010</t>
        </is>
      </c>
      <c r="D995" s="12" t="inlineStr">
        <is>
          <t>1.4.2 Vehicles and Depot - Depot Buildings</t>
        </is>
      </c>
      <c r="E995" s="12" t="inlineStr">
        <is>
          <t>New</t>
        </is>
      </c>
      <c r="F995" s="12" t="inlineStr"/>
      <c r="G995" s="12" t="inlineStr">
        <is>
          <t>Source assignment -- not individually reviewed</t>
        </is>
      </c>
      <c r="H995" s="17" t="inlineStr">
        <is>
          <t>10 EVIDENCE &amp; DECISIONS</t>
        </is>
      </c>
    </row>
    <row r="996" ht="34" customHeight="1">
      <c r="A996" s="12" t="inlineStr">
        <is>
          <t>R1334-v1</t>
        </is>
      </c>
      <c r="B996" s="12" t="inlineStr">
        <is>
          <t>Cost &amp; Forecast Control Accounts</t>
        </is>
      </c>
      <c r="C996" s="12" t="inlineStr">
        <is>
          <t>CST-04-012</t>
        </is>
      </c>
      <c r="D996" s="12" t="inlineStr">
        <is>
          <t>1.4.2 Vehicles and Depot - Depot Buildings</t>
        </is>
      </c>
      <c r="E996" s="12" t="inlineStr">
        <is>
          <t>New</t>
        </is>
      </c>
      <c r="F996" s="12" t="inlineStr"/>
      <c r="G996" s="12" t="inlineStr">
        <is>
          <t>Source assignment -- not individually reviewed</t>
        </is>
      </c>
      <c r="H996" s="17" t="inlineStr">
        <is>
          <t>10 EVIDENCE &amp; DECISIONS</t>
        </is>
      </c>
    </row>
    <row r="997" ht="34" customHeight="1">
      <c r="A997" s="12" t="inlineStr">
        <is>
          <t>R1336-v1</t>
        </is>
      </c>
      <c r="B997" s="12" t="inlineStr">
        <is>
          <t>Cost &amp; Forecast Control Accounts</t>
        </is>
      </c>
      <c r="C997" s="12" t="inlineStr">
        <is>
          <t>CST-04-014</t>
        </is>
      </c>
      <c r="D997" s="12" t="inlineStr">
        <is>
          <t>1.4.2 Vehicles and Depot - Depot Buildings</t>
        </is>
      </c>
      <c r="E997" s="12" t="inlineStr">
        <is>
          <t>New</t>
        </is>
      </c>
      <c r="F997" s="12" t="inlineStr"/>
      <c r="G997" s="12" t="inlineStr">
        <is>
          <t>Source assignment -- not individually reviewed</t>
        </is>
      </c>
      <c r="H997" s="17" t="inlineStr">
        <is>
          <t>10 EVIDENCE &amp; DECISIONS</t>
        </is>
      </c>
    </row>
    <row r="998" ht="34" customHeight="1">
      <c r="A998" s="12" t="inlineStr">
        <is>
          <t>R1338-v1</t>
        </is>
      </c>
      <c r="B998" s="12" t="inlineStr">
        <is>
          <t>Cost &amp; Forecast Control Accounts</t>
        </is>
      </c>
      <c r="C998" s="12" t="inlineStr">
        <is>
          <t>CST-04-016</t>
        </is>
      </c>
      <c r="D998" s="12" t="inlineStr">
        <is>
          <t>1.4.2 Vehicles and Depot - Depot Buildings</t>
        </is>
      </c>
      <c r="E998" s="12" t="inlineStr">
        <is>
          <t>New</t>
        </is>
      </c>
      <c r="F998" s="12" t="inlineStr"/>
      <c r="G998" s="12" t="inlineStr">
        <is>
          <t>Source assignment -- not individually reviewed</t>
        </is>
      </c>
      <c r="H998" s="17" t="inlineStr">
        <is>
          <t>10 EVIDENCE &amp; DECISIONS</t>
        </is>
      </c>
    </row>
    <row r="999" ht="34" customHeight="1">
      <c r="A999" s="12" t="inlineStr">
        <is>
          <t>R1340-v1</t>
        </is>
      </c>
      <c r="B999" s="12" t="inlineStr">
        <is>
          <t>Cost &amp; Forecast Control Accounts</t>
        </is>
      </c>
      <c r="C999" s="12" t="inlineStr">
        <is>
          <t>CST-04-018</t>
        </is>
      </c>
      <c r="D999" s="12" t="inlineStr">
        <is>
          <t>1.4.2 Vehicles and Depot - Depot Buildings</t>
        </is>
      </c>
      <c r="E999" s="12" t="inlineStr">
        <is>
          <t>New</t>
        </is>
      </c>
      <c r="F999" s="12" t="inlineStr"/>
      <c r="G999" s="12" t="inlineStr">
        <is>
          <t>Source assignment -- not individually reviewed</t>
        </is>
      </c>
      <c r="H999" s="17" t="inlineStr">
        <is>
          <t>10 EVIDENCE &amp; DECISIONS</t>
        </is>
      </c>
    </row>
    <row r="1000" ht="34" customHeight="1">
      <c r="A1000" s="12" t="inlineStr">
        <is>
          <t>R1342-v1</t>
        </is>
      </c>
      <c r="B1000" s="12" t="inlineStr">
        <is>
          <t>Cost &amp; Forecast Control Accounts</t>
        </is>
      </c>
      <c r="C1000" s="12" t="inlineStr">
        <is>
          <t>CST-04-020</t>
        </is>
      </c>
      <c r="D1000" s="12" t="inlineStr">
        <is>
          <t>1.4.2 Vehicles and Depot - Depot Buildings</t>
        </is>
      </c>
      <c r="E1000" s="12" t="inlineStr">
        <is>
          <t>New</t>
        </is>
      </c>
      <c r="F1000" s="12" t="inlineStr"/>
      <c r="G1000" s="12" t="inlineStr">
        <is>
          <t>Source assignment -- not individually reviewed</t>
        </is>
      </c>
      <c r="H1000" s="17" t="inlineStr">
        <is>
          <t>10 EVIDENCE &amp; DECISIONS</t>
        </is>
      </c>
    </row>
    <row r="1001" ht="34" customHeight="1">
      <c r="A1001" s="12" t="inlineStr">
        <is>
          <t>R1344-v1</t>
        </is>
      </c>
      <c r="B1001" s="12" t="inlineStr">
        <is>
          <t>Cost &amp; Forecast Control Accounts</t>
        </is>
      </c>
      <c r="C1001" s="12" t="inlineStr">
        <is>
          <t>CST-04-022</t>
        </is>
      </c>
      <c r="D1001" s="12" t="inlineStr">
        <is>
          <t>1.4.2 Vehicles and Depot - Depot Buildings</t>
        </is>
      </c>
      <c r="E1001" s="12" t="inlineStr">
        <is>
          <t>New</t>
        </is>
      </c>
      <c r="F1001" s="12" t="inlineStr"/>
      <c r="G1001" s="12" t="inlineStr">
        <is>
          <t>Source assignment -- not individually reviewed</t>
        </is>
      </c>
      <c r="H1001" s="17" t="inlineStr">
        <is>
          <t>10 EVIDENCE &amp; DECISIONS</t>
        </is>
      </c>
    </row>
    <row r="1002" ht="34" customHeight="1">
      <c r="A1002" s="12" t="inlineStr">
        <is>
          <t>R1346-v1</t>
        </is>
      </c>
      <c r="B1002" s="12" t="inlineStr">
        <is>
          <t>Cost &amp; Forecast Control Accounts</t>
        </is>
      </c>
      <c r="C1002" s="12" t="inlineStr">
        <is>
          <t>CST-04-024</t>
        </is>
      </c>
      <c r="D1002" s="12" t="inlineStr">
        <is>
          <t>1.4.2 Vehicles and Depot - Depot Buildings</t>
        </is>
      </c>
      <c r="E1002" s="12" t="inlineStr">
        <is>
          <t>New</t>
        </is>
      </c>
      <c r="F1002" s="12" t="inlineStr"/>
      <c r="G1002" s="12" t="inlineStr">
        <is>
          <t>Source assignment -- not individually reviewed</t>
        </is>
      </c>
      <c r="H1002" s="17" t="inlineStr">
        <is>
          <t>10 EVIDENCE &amp; DECISIONS</t>
        </is>
      </c>
    </row>
    <row r="1003" ht="34" customHeight="1">
      <c r="A1003" s="12" t="inlineStr">
        <is>
          <t>R1348-v1</t>
        </is>
      </c>
      <c r="B1003" s="12" t="inlineStr">
        <is>
          <t>Cost &amp; Forecast Control Accounts</t>
        </is>
      </c>
      <c r="C1003" s="12" t="inlineStr">
        <is>
          <t>CST-04-026</t>
        </is>
      </c>
      <c r="D1003" s="12" t="inlineStr">
        <is>
          <t>1.4.2 Vehicles and Depot - Depot Buildings</t>
        </is>
      </c>
      <c r="E1003" s="12" t="inlineStr">
        <is>
          <t>New</t>
        </is>
      </c>
      <c r="F1003" s="12" t="inlineStr"/>
      <c r="G1003" s="12" t="inlineStr">
        <is>
          <t>Source assignment -- not individually reviewed</t>
        </is>
      </c>
      <c r="H1003" s="17" t="inlineStr">
        <is>
          <t>10 EVIDENCE &amp; DECISIONS</t>
        </is>
      </c>
    </row>
    <row r="1004" ht="34" customHeight="1">
      <c r="A1004" s="12" t="inlineStr">
        <is>
          <t>R1350-v1</t>
        </is>
      </c>
      <c r="B1004" s="12" t="inlineStr">
        <is>
          <t>Cost &amp; Forecast Control Accounts</t>
        </is>
      </c>
      <c r="C1004" s="12" t="inlineStr">
        <is>
          <t>CST-04-028</t>
        </is>
      </c>
      <c r="D1004" s="12" t="inlineStr">
        <is>
          <t>1.4.2 Vehicles and Depot - Depot Buildings</t>
        </is>
      </c>
      <c r="E1004" s="12" t="inlineStr">
        <is>
          <t>New</t>
        </is>
      </c>
      <c r="F1004" s="12" t="inlineStr"/>
      <c r="G1004" s="12" t="inlineStr">
        <is>
          <t>Source assignment -- not individually reviewed</t>
        </is>
      </c>
      <c r="H1004" s="17" t="inlineStr">
        <is>
          <t>10 EVIDENCE &amp; DECISIONS</t>
        </is>
      </c>
    </row>
    <row r="1005" ht="34" customHeight="1">
      <c r="A1005" s="12" t="inlineStr">
        <is>
          <t>R1352-v1</t>
        </is>
      </c>
      <c r="B1005" s="12" t="inlineStr">
        <is>
          <t>Cost &amp; Forecast Control Accounts</t>
        </is>
      </c>
      <c r="C1005" s="12" t="inlineStr">
        <is>
          <t>CST-04-030</t>
        </is>
      </c>
      <c r="D1005" s="12" t="inlineStr">
        <is>
          <t>1.4.2 Vehicles and Depot - Depot Buildings</t>
        </is>
      </c>
      <c r="E1005" s="12" t="inlineStr">
        <is>
          <t>New</t>
        </is>
      </c>
      <c r="F1005" s="12" t="inlineStr"/>
      <c r="G1005" s="12" t="inlineStr">
        <is>
          <t>Source assignment -- not individually reviewed</t>
        </is>
      </c>
      <c r="H1005" s="17" t="inlineStr">
        <is>
          <t>10 EVIDENCE &amp; DECISIONS</t>
        </is>
      </c>
    </row>
    <row r="1006" ht="34" customHeight="1">
      <c r="A1006" s="12" t="inlineStr">
        <is>
          <t>R1354-v1</t>
        </is>
      </c>
      <c r="B1006" s="12" t="inlineStr">
        <is>
          <t>Cost &amp; Forecast Control Accounts</t>
        </is>
      </c>
      <c r="C1006" s="12" t="inlineStr">
        <is>
          <t>CST-04-032</t>
        </is>
      </c>
      <c r="D1006" s="12" t="inlineStr">
        <is>
          <t>1.4.2 Vehicles and Depot - Depot Buildings</t>
        </is>
      </c>
      <c r="E1006" s="12" t="inlineStr">
        <is>
          <t>New</t>
        </is>
      </c>
      <c r="F1006" s="12" t="inlineStr"/>
      <c r="G1006" s="12" t="inlineStr">
        <is>
          <t>Source assignment -- not individually reviewed</t>
        </is>
      </c>
      <c r="H1006" s="17" t="inlineStr">
        <is>
          <t>10 EVIDENCE &amp; DECISIONS</t>
        </is>
      </c>
    </row>
    <row r="1007" ht="34" customHeight="1">
      <c r="A1007" s="12" t="inlineStr">
        <is>
          <t>R1356-v1</t>
        </is>
      </c>
      <c r="B1007" s="12" t="inlineStr">
        <is>
          <t>Cost &amp; Forecast Control Accounts</t>
        </is>
      </c>
      <c r="C1007" s="12" t="inlineStr">
        <is>
          <t>CST-04-034</t>
        </is>
      </c>
      <c r="D1007" s="12" t="inlineStr">
        <is>
          <t>1.4.2 Vehicles and Depot - Depot Buildings</t>
        </is>
      </c>
      <c r="E1007" s="12" t="inlineStr">
        <is>
          <t>New</t>
        </is>
      </c>
      <c r="F1007" s="12" t="inlineStr"/>
      <c r="G1007" s="12" t="inlineStr">
        <is>
          <t>Source assignment -- not individually reviewed</t>
        </is>
      </c>
      <c r="H1007" s="17" t="inlineStr">
        <is>
          <t>10 EVIDENCE &amp; DECISIONS</t>
        </is>
      </c>
    </row>
    <row r="1008" ht="34" customHeight="1">
      <c r="A1008" s="12" t="inlineStr">
        <is>
          <t>R1358-v1</t>
        </is>
      </c>
      <c r="B1008" s="12" t="inlineStr">
        <is>
          <t>Cost &amp; Forecast Control Accounts</t>
        </is>
      </c>
      <c r="C1008" s="12" t="inlineStr">
        <is>
          <t>CST-04-036</t>
        </is>
      </c>
      <c r="D1008" s="12" t="inlineStr">
        <is>
          <t>1.4.2 Vehicles and Depot - Depot Buildings</t>
        </is>
      </c>
      <c r="E1008" s="12" t="inlineStr">
        <is>
          <t>New</t>
        </is>
      </c>
      <c r="F1008" s="12" t="inlineStr"/>
      <c r="G1008" s="12" t="inlineStr">
        <is>
          <t>Source assignment -- not individually reviewed</t>
        </is>
      </c>
      <c r="H1008" s="17" t="inlineStr">
        <is>
          <t>10 EVIDENCE &amp; DECISIONS</t>
        </is>
      </c>
    </row>
    <row r="1009" ht="34" customHeight="1">
      <c r="A1009" s="12" t="inlineStr">
        <is>
          <t>R1360-v1</t>
        </is>
      </c>
      <c r="B1009" s="12" t="inlineStr">
        <is>
          <t>Cost &amp; Forecast Control Accounts</t>
        </is>
      </c>
      <c r="C1009" s="12" t="inlineStr">
        <is>
          <t>CST-04-038</t>
        </is>
      </c>
      <c r="D1009" s="12" t="inlineStr">
        <is>
          <t>1.4.2 Vehicles and Depot - Depot Buildings</t>
        </is>
      </c>
      <c r="E1009" s="12" t="inlineStr">
        <is>
          <t>New</t>
        </is>
      </c>
      <c r="F1009" s="12" t="inlineStr"/>
      <c r="G1009" s="12" t="inlineStr">
        <is>
          <t>Source assignment -- not individually reviewed</t>
        </is>
      </c>
      <c r="H1009" s="17" t="inlineStr">
        <is>
          <t>10 EVIDENCE &amp; DECISIONS</t>
        </is>
      </c>
    </row>
    <row r="1010" ht="34" customHeight="1">
      <c r="A1010" s="12" t="inlineStr">
        <is>
          <t>R1362-v1</t>
        </is>
      </c>
      <c r="B1010" s="12" t="inlineStr">
        <is>
          <t>Cost &amp; Forecast Control Accounts</t>
        </is>
      </c>
      <c r="C1010" s="12" t="inlineStr">
        <is>
          <t>CST-04-040</t>
        </is>
      </c>
      <c r="D1010" s="12" t="inlineStr">
        <is>
          <t>1.4.2 Vehicles and Depot - Depot Buildings</t>
        </is>
      </c>
      <c r="E1010" s="12" t="inlineStr">
        <is>
          <t>New</t>
        </is>
      </c>
      <c r="F1010" s="12" t="inlineStr"/>
      <c r="G1010" s="12" t="inlineStr">
        <is>
          <t>Source assignment -- not individually reviewed</t>
        </is>
      </c>
      <c r="H1010" s="17" t="inlineStr">
        <is>
          <t>10 EVIDENCE &amp; DECISIONS</t>
        </is>
      </c>
    </row>
    <row r="1011" ht="34" customHeight="1">
      <c r="A1011" s="12" t="inlineStr">
        <is>
          <t>R1364-v1</t>
        </is>
      </c>
      <c r="B1011" s="12" t="inlineStr">
        <is>
          <t>Cost &amp; Forecast Control Accounts</t>
        </is>
      </c>
      <c r="C1011" s="12" t="inlineStr">
        <is>
          <t>CST-04-042</t>
        </is>
      </c>
      <c r="D1011" s="12" t="inlineStr">
        <is>
          <t>1.4.2 Vehicles and Depot - Depot Buildings</t>
        </is>
      </c>
      <c r="E1011" s="12" t="inlineStr">
        <is>
          <t>New</t>
        </is>
      </c>
      <c r="F1011" s="12" t="inlineStr"/>
      <c r="G1011" s="12" t="inlineStr">
        <is>
          <t>Source assignment -- not individually reviewed</t>
        </is>
      </c>
      <c r="H1011" s="17" t="inlineStr">
        <is>
          <t>10 EVIDENCE &amp; DECISIONS</t>
        </is>
      </c>
    </row>
    <row r="1012" ht="34" customHeight="1">
      <c r="A1012" s="12" t="inlineStr">
        <is>
          <t>R1366-v1</t>
        </is>
      </c>
      <c r="B1012" s="12" t="inlineStr">
        <is>
          <t>Cost &amp; Forecast Control Accounts</t>
        </is>
      </c>
      <c r="C1012" s="12" t="inlineStr">
        <is>
          <t>CST-04-044</t>
        </is>
      </c>
      <c r="D1012" s="12" t="inlineStr">
        <is>
          <t>1.4.2 Vehicles and Depot - Depot Buildings</t>
        </is>
      </c>
      <c r="E1012" s="12" t="inlineStr">
        <is>
          <t>New</t>
        </is>
      </c>
      <c r="F1012" s="12" t="inlineStr"/>
      <c r="G1012" s="12" t="inlineStr">
        <is>
          <t>Source assignment -- not individually reviewed</t>
        </is>
      </c>
      <c r="H1012" s="17" t="inlineStr">
        <is>
          <t>10 EVIDENCE &amp; DECISIONS</t>
        </is>
      </c>
    </row>
    <row r="1013" ht="34" customHeight="1">
      <c r="A1013" s="12" t="inlineStr">
        <is>
          <t>R1368-v1</t>
        </is>
      </c>
      <c r="B1013" s="12" t="inlineStr">
        <is>
          <t>Cost &amp; Forecast Control Accounts</t>
        </is>
      </c>
      <c r="C1013" s="12" t="inlineStr">
        <is>
          <t>CST-04-046</t>
        </is>
      </c>
      <c r="D1013" s="12" t="inlineStr">
        <is>
          <t>1.4.2 Vehicles and Depot - Depot Buildings</t>
        </is>
      </c>
      <c r="E1013" s="12" t="inlineStr">
        <is>
          <t>New</t>
        </is>
      </c>
      <c r="F1013" s="12" t="inlineStr"/>
      <c r="G1013" s="12" t="inlineStr">
        <is>
          <t>Source assignment -- not individually reviewed</t>
        </is>
      </c>
      <c r="H1013" s="17" t="inlineStr">
        <is>
          <t>10 EVIDENCE &amp; DECISIONS</t>
        </is>
      </c>
    </row>
    <row r="1014" ht="34" customHeight="1">
      <c r="A1014" s="12" t="inlineStr">
        <is>
          <t>R1370-v1</t>
        </is>
      </c>
      <c r="B1014" s="12" t="inlineStr">
        <is>
          <t>Cost &amp; Forecast Control Accounts</t>
        </is>
      </c>
      <c r="C1014" s="12" t="inlineStr">
        <is>
          <t>CST-04-048</t>
        </is>
      </c>
      <c r="D1014" s="12" t="inlineStr">
        <is>
          <t>1.4.2 Vehicles and Depot - Depot Buildings</t>
        </is>
      </c>
      <c r="E1014" s="12" t="inlineStr">
        <is>
          <t>New</t>
        </is>
      </c>
      <c r="F1014" s="12" t="inlineStr"/>
      <c r="G1014" s="12" t="inlineStr">
        <is>
          <t>Source assignment -- not individually reviewed</t>
        </is>
      </c>
      <c r="H1014" s="17" t="inlineStr">
        <is>
          <t>10 EVIDENCE &amp; DECISIONS</t>
        </is>
      </c>
    </row>
    <row r="1015" ht="34" customHeight="1">
      <c r="A1015" s="12" t="inlineStr">
        <is>
          <t>R1372-v1</t>
        </is>
      </c>
      <c r="B1015" s="12" t="inlineStr">
        <is>
          <t>Cost &amp; Forecast Control Accounts</t>
        </is>
      </c>
      <c r="C1015" s="12" t="inlineStr">
        <is>
          <t>CST-04-050</t>
        </is>
      </c>
      <c r="D1015" s="12" t="inlineStr">
        <is>
          <t>1.4.2 Vehicles and Depot - Depot Buildings</t>
        </is>
      </c>
      <c r="E1015" s="12" t="inlineStr">
        <is>
          <t>New</t>
        </is>
      </c>
      <c r="F1015" s="12" t="inlineStr"/>
      <c r="G1015" s="12" t="inlineStr">
        <is>
          <t>Source assignment -- not individually reviewed</t>
        </is>
      </c>
      <c r="H1015" s="17" t="inlineStr">
        <is>
          <t>10 EVIDENCE &amp; DECISIONS</t>
        </is>
      </c>
    </row>
    <row r="1016" ht="34" customHeight="1">
      <c r="A1016" s="12" t="inlineStr">
        <is>
          <t>R1374-v1</t>
        </is>
      </c>
      <c r="B1016" s="12" t="inlineStr">
        <is>
          <t>Cost &amp; Forecast Control Accounts</t>
        </is>
      </c>
      <c r="C1016" s="12" t="inlineStr">
        <is>
          <t>CST-04-052</t>
        </is>
      </c>
      <c r="D1016" s="12" t="inlineStr">
        <is>
          <t>1.4.2 Vehicles and Depot - Depot Buildings</t>
        </is>
      </c>
      <c r="E1016" s="12" t="inlineStr">
        <is>
          <t>New</t>
        </is>
      </c>
      <c r="F1016" s="12" t="inlineStr"/>
      <c r="G1016" s="12" t="inlineStr">
        <is>
          <t>Source assignment -- not individually reviewed</t>
        </is>
      </c>
      <c r="H1016" s="17" t="inlineStr">
        <is>
          <t>10 EVIDENCE &amp; DECISIONS</t>
        </is>
      </c>
    </row>
    <row r="1017" ht="34" customHeight="1">
      <c r="A1017" s="12" t="inlineStr">
        <is>
          <t>R1376-v1</t>
        </is>
      </c>
      <c r="B1017" s="12" t="inlineStr">
        <is>
          <t>Cost &amp; Forecast Control Accounts</t>
        </is>
      </c>
      <c r="C1017" s="12" t="inlineStr">
        <is>
          <t>CST-04-054</t>
        </is>
      </c>
      <c r="D1017" s="12" t="inlineStr">
        <is>
          <t>1.4.2 Vehicles and Depot - Depot Buildings</t>
        </is>
      </c>
      <c r="E1017" s="12" t="inlineStr">
        <is>
          <t>New</t>
        </is>
      </c>
      <c r="F1017" s="12" t="inlineStr"/>
      <c r="G1017" s="12" t="inlineStr">
        <is>
          <t>Source assignment -- not individually reviewed</t>
        </is>
      </c>
      <c r="H1017" s="17" t="inlineStr">
        <is>
          <t>10 EVIDENCE &amp; DECISIONS</t>
        </is>
      </c>
    </row>
    <row r="1018" ht="34" customHeight="1">
      <c r="A1018" s="12" t="inlineStr">
        <is>
          <t>R1378-v1</t>
        </is>
      </c>
      <c r="B1018" s="12" t="inlineStr">
        <is>
          <t>Cost &amp; Forecast Control Accounts</t>
        </is>
      </c>
      <c r="C1018" s="12" t="inlineStr">
        <is>
          <t>CST-04-056</t>
        </is>
      </c>
      <c r="D1018" s="12" t="inlineStr">
        <is>
          <t>1.4.2 Vehicles and Depot - Depot Buildings</t>
        </is>
      </c>
      <c r="E1018" s="12" t="inlineStr">
        <is>
          <t>New</t>
        </is>
      </c>
      <c r="F1018" s="12" t="inlineStr"/>
      <c r="G1018" s="12" t="inlineStr">
        <is>
          <t>Source assignment -- not individually reviewed</t>
        </is>
      </c>
      <c r="H1018" s="17" t="inlineStr">
        <is>
          <t>10 EVIDENCE &amp; DECISIONS</t>
        </is>
      </c>
    </row>
    <row r="1019" ht="34" customHeight="1">
      <c r="A1019" s="12" t="inlineStr">
        <is>
          <t>R1380-v1</t>
        </is>
      </c>
      <c r="B1019" s="12" t="inlineStr">
        <is>
          <t>Cost &amp; Forecast Control Accounts</t>
        </is>
      </c>
      <c r="C1019" s="12" t="inlineStr">
        <is>
          <t>CST-04-058</t>
        </is>
      </c>
      <c r="D1019" s="12" t="inlineStr">
        <is>
          <t>1.4.2 Vehicles and Depot - Depot Buildings</t>
        </is>
      </c>
      <c r="E1019" s="12" t="inlineStr">
        <is>
          <t>New</t>
        </is>
      </c>
      <c r="F1019" s="12" t="inlineStr"/>
      <c r="G1019" s="12" t="inlineStr">
        <is>
          <t>Source assignment -- not individually reviewed</t>
        </is>
      </c>
      <c r="H1019" s="17" t="inlineStr">
        <is>
          <t>10 EVIDENCE &amp; DECISIONS</t>
        </is>
      </c>
    </row>
    <row r="1020" ht="34" customHeight="1">
      <c r="A1020" s="12" t="inlineStr">
        <is>
          <t>R1382-v1</t>
        </is>
      </c>
      <c r="B1020" s="12" t="inlineStr">
        <is>
          <t>Cost &amp; Forecast Control Accounts</t>
        </is>
      </c>
      <c r="C1020" s="12" t="inlineStr">
        <is>
          <t>CST-04-060</t>
        </is>
      </c>
      <c r="D1020" s="12" t="inlineStr">
        <is>
          <t>1.4.2 Vehicles and Depot - Depot Buildings</t>
        </is>
      </c>
      <c r="E1020" s="12" t="inlineStr">
        <is>
          <t>New</t>
        </is>
      </c>
      <c r="F1020" s="12" t="inlineStr"/>
      <c r="G1020" s="12" t="inlineStr">
        <is>
          <t>Source assignment -- not individually reviewed</t>
        </is>
      </c>
      <c r="H1020" s="17" t="inlineStr">
        <is>
          <t>10 EVIDENCE &amp; DECISIONS</t>
        </is>
      </c>
    </row>
    <row r="1021" ht="34" customHeight="1">
      <c r="A1021" s="12" t="inlineStr">
        <is>
          <t>R1384-v1</t>
        </is>
      </c>
      <c r="B1021" s="12" t="inlineStr">
        <is>
          <t>Cost &amp; Forecast Control Accounts</t>
        </is>
      </c>
      <c r="C1021" s="12" t="inlineStr">
        <is>
          <t>CST-04-062</t>
        </is>
      </c>
      <c r="D1021" s="12" t="inlineStr">
        <is>
          <t>1.4.2 Vehicles and Depot - Depot Buildings</t>
        </is>
      </c>
      <c r="E1021" s="12" t="inlineStr">
        <is>
          <t>New</t>
        </is>
      </c>
      <c r="F1021" s="12" t="inlineStr"/>
      <c r="G1021" s="12" t="inlineStr">
        <is>
          <t>Source assignment -- not individually reviewed</t>
        </is>
      </c>
      <c r="H1021" s="17" t="inlineStr">
        <is>
          <t>10 EVIDENCE &amp; DECISIONS</t>
        </is>
      </c>
    </row>
    <row r="1022" ht="34" customHeight="1">
      <c r="A1022" s="12" t="inlineStr">
        <is>
          <t>R1386-v1</t>
        </is>
      </c>
      <c r="B1022" s="12" t="inlineStr">
        <is>
          <t>Cost &amp; Forecast Control Accounts</t>
        </is>
      </c>
      <c r="C1022" s="12" t="inlineStr">
        <is>
          <t>CST-04-064</t>
        </is>
      </c>
      <c r="D1022" s="12" t="inlineStr">
        <is>
          <t>1.4.2 Vehicles and Depot - Depot Buildings</t>
        </is>
      </c>
      <c r="E1022" s="12" t="inlineStr">
        <is>
          <t>New</t>
        </is>
      </c>
      <c r="F1022" s="12" t="inlineStr"/>
      <c r="G1022" s="12" t="inlineStr">
        <is>
          <t>Source assignment -- not individually reviewed</t>
        </is>
      </c>
      <c r="H1022" s="17" t="inlineStr">
        <is>
          <t>10 EVIDENCE &amp; DECISIONS</t>
        </is>
      </c>
    </row>
    <row r="1023" ht="34" customHeight="1">
      <c r="A1023" s="12" t="inlineStr">
        <is>
          <t>R1388-v1</t>
        </is>
      </c>
      <c r="B1023" s="12" t="inlineStr">
        <is>
          <t>Cost &amp; Forecast Control Accounts</t>
        </is>
      </c>
      <c r="C1023" s="12" t="inlineStr">
        <is>
          <t>CST-04-066</t>
        </is>
      </c>
      <c r="D1023" s="12" t="inlineStr">
        <is>
          <t>1.4.2 Vehicles and Depot - Depot Buildings</t>
        </is>
      </c>
      <c r="E1023" s="12" t="inlineStr">
        <is>
          <t>New</t>
        </is>
      </c>
      <c r="F1023" s="12" t="inlineStr"/>
      <c r="G1023" s="12" t="inlineStr">
        <is>
          <t>Source assignment -- not individually reviewed</t>
        </is>
      </c>
      <c r="H1023" s="17" t="inlineStr">
        <is>
          <t>10 EVIDENCE &amp; DECISIONS</t>
        </is>
      </c>
    </row>
    <row r="1024" ht="34" customHeight="1">
      <c r="A1024" s="12" t="inlineStr">
        <is>
          <t>R1390-v1</t>
        </is>
      </c>
      <c r="B1024" s="12" t="inlineStr">
        <is>
          <t>Cost &amp; Forecast Control Accounts</t>
        </is>
      </c>
      <c r="C1024" s="12" t="inlineStr">
        <is>
          <t>CST-04-068</t>
        </is>
      </c>
      <c r="D1024" s="12" t="inlineStr">
        <is>
          <t>1.4.2 Vehicles and Depot - Depot Buildings</t>
        </is>
      </c>
      <c r="E1024" s="12" t="inlineStr">
        <is>
          <t>New</t>
        </is>
      </c>
      <c r="F1024" s="12" t="inlineStr"/>
      <c r="G1024" s="12" t="inlineStr">
        <is>
          <t>Source assignment -- not individually reviewed</t>
        </is>
      </c>
      <c r="H1024" s="17" t="inlineStr">
        <is>
          <t>10 EVIDENCE &amp; DECISIONS</t>
        </is>
      </c>
    </row>
    <row r="1025" ht="34" customHeight="1">
      <c r="A1025" s="12" t="inlineStr">
        <is>
          <t>R1392-v1</t>
        </is>
      </c>
      <c r="B1025" s="12" t="inlineStr">
        <is>
          <t>Cost &amp; Forecast Control Accounts</t>
        </is>
      </c>
      <c r="C1025" s="12" t="inlineStr">
        <is>
          <t>CST-04-070</t>
        </is>
      </c>
      <c r="D1025" s="12" t="inlineStr">
        <is>
          <t>1.4.2 Vehicles and Depot - Depot Buildings</t>
        </is>
      </c>
      <c r="E1025" s="12" t="inlineStr">
        <is>
          <t>New</t>
        </is>
      </c>
      <c r="F1025" s="12" t="inlineStr"/>
      <c r="G1025" s="12" t="inlineStr">
        <is>
          <t>Source assignment -- not individually reviewed</t>
        </is>
      </c>
      <c r="H1025" s="17" t="inlineStr">
        <is>
          <t>10 EVIDENCE &amp; DECISIONS</t>
        </is>
      </c>
    </row>
    <row r="1026" ht="34" customHeight="1">
      <c r="A1026" s="12" t="inlineStr">
        <is>
          <t>R1394-v1</t>
        </is>
      </c>
      <c r="B1026" s="12" t="inlineStr">
        <is>
          <t>Cost &amp; Forecast Control Accounts</t>
        </is>
      </c>
      <c r="C1026" s="12" t="inlineStr">
        <is>
          <t>CST-04-072</t>
        </is>
      </c>
      <c r="D1026" s="12" t="inlineStr">
        <is>
          <t>1.4.2 Vehicles and Depot - Depot Buildings</t>
        </is>
      </c>
      <c r="E1026" s="12" t="inlineStr">
        <is>
          <t>New</t>
        </is>
      </c>
      <c r="F1026" s="12" t="inlineStr"/>
      <c r="G1026" s="12" t="inlineStr">
        <is>
          <t>Source assignment -- not individually reviewed</t>
        </is>
      </c>
      <c r="H1026" s="17" t="inlineStr">
        <is>
          <t>10 EVIDENCE &amp; DECISIONS</t>
        </is>
      </c>
    </row>
    <row r="1027" ht="34" customHeight="1">
      <c r="A1027" s="12" t="inlineStr">
        <is>
          <t>R1396-v1</t>
        </is>
      </c>
      <c r="B1027" s="12" t="inlineStr">
        <is>
          <t>Cost &amp; Forecast Control Accounts</t>
        </is>
      </c>
      <c r="C1027" s="12" t="inlineStr">
        <is>
          <t>CST-04-074</t>
        </is>
      </c>
      <c r="D1027" s="12" t="inlineStr">
        <is>
          <t>1.4.2 Vehicles and Depot - Depot Buildings</t>
        </is>
      </c>
      <c r="E1027" s="12" t="inlineStr">
        <is>
          <t>New</t>
        </is>
      </c>
      <c r="F1027" s="12" t="inlineStr"/>
      <c r="G1027" s="12" t="inlineStr">
        <is>
          <t>Source assignment -- not individually reviewed</t>
        </is>
      </c>
      <c r="H1027" s="17" t="inlineStr">
        <is>
          <t>10 EVIDENCE &amp; DECISIONS</t>
        </is>
      </c>
    </row>
    <row r="1028" ht="34" customHeight="1">
      <c r="A1028" s="12" t="inlineStr">
        <is>
          <t>R1398-v1</t>
        </is>
      </c>
      <c r="B1028" s="12" t="inlineStr">
        <is>
          <t>Cost &amp; Forecast Control Accounts</t>
        </is>
      </c>
      <c r="C1028" s="12" t="inlineStr">
        <is>
          <t>CST-04-076</t>
        </is>
      </c>
      <c r="D1028" s="12" t="inlineStr">
        <is>
          <t>1.4.2 Vehicles and Depot - Depot Buildings</t>
        </is>
      </c>
      <c r="E1028" s="12" t="inlineStr">
        <is>
          <t>New</t>
        </is>
      </c>
      <c r="F1028" s="12" t="inlineStr"/>
      <c r="G1028" s="12" t="inlineStr">
        <is>
          <t>Source assignment -- not individually reviewed</t>
        </is>
      </c>
      <c r="H1028" s="17" t="inlineStr">
        <is>
          <t>10 EVIDENCE &amp; DECISIONS</t>
        </is>
      </c>
    </row>
    <row r="1029" ht="34" customHeight="1">
      <c r="A1029" s="12" t="inlineStr">
        <is>
          <t>R1400-v1</t>
        </is>
      </c>
      <c r="B1029" s="12" t="inlineStr">
        <is>
          <t>Cost &amp; Forecast Control Accounts</t>
        </is>
      </c>
      <c r="C1029" s="12" t="inlineStr">
        <is>
          <t>CST-04-078</t>
        </is>
      </c>
      <c r="D1029" s="12" t="inlineStr">
        <is>
          <t>1.4.2 Vehicles and Depot - Depot Buildings</t>
        </is>
      </c>
      <c r="E1029" s="12" t="inlineStr">
        <is>
          <t>New</t>
        </is>
      </c>
      <c r="F1029" s="12" t="inlineStr"/>
      <c r="G1029" s="12" t="inlineStr">
        <is>
          <t>Source assignment -- not individually reviewed</t>
        </is>
      </c>
      <c r="H1029" s="17" t="inlineStr">
        <is>
          <t>10 EVIDENCE &amp; DECISIONS</t>
        </is>
      </c>
    </row>
    <row r="1030" ht="34" customHeight="1">
      <c r="A1030" s="12" t="inlineStr">
        <is>
          <t>R1402-v1</t>
        </is>
      </c>
      <c r="B1030" s="12" t="inlineStr">
        <is>
          <t>Cost &amp; Forecast Control Accounts</t>
        </is>
      </c>
      <c r="C1030" s="12" t="inlineStr">
        <is>
          <t>CST-04-080</t>
        </is>
      </c>
      <c r="D1030" s="12" t="inlineStr">
        <is>
          <t>1.4.2 Vehicles and Depot - Depot Buildings</t>
        </is>
      </c>
      <c r="E1030" s="12" t="inlineStr">
        <is>
          <t>New</t>
        </is>
      </c>
      <c r="F1030" s="12" t="inlineStr"/>
      <c r="G1030" s="12" t="inlineStr">
        <is>
          <t>Source assignment -- not individually reviewed</t>
        </is>
      </c>
      <c r="H1030" s="17" t="inlineStr">
        <is>
          <t>10 EVIDENCE &amp; DECISIONS</t>
        </is>
      </c>
    </row>
    <row r="1031" ht="34" customHeight="1">
      <c r="A1031" s="12" t="inlineStr">
        <is>
          <t>R546-v1</t>
        </is>
      </c>
      <c r="B1031" s="12" t="inlineStr">
        <is>
          <t>Contractor Programme</t>
        </is>
      </c>
      <c r="C1031" s="12" t="inlineStr">
        <is>
          <t>SCH-04-006</t>
        </is>
      </c>
      <c r="D1031" s="12" t="inlineStr">
        <is>
          <t>1.4.2 Vehicles and Depot - Depot Buildings</t>
        </is>
      </c>
      <c r="E1031" s="12" t="inlineStr">
        <is>
          <t>New</t>
        </is>
      </c>
      <c r="F1031" s="12" t="inlineStr"/>
      <c r="G1031" s="12" t="inlineStr">
        <is>
          <t>Source assignment -- not individually reviewed</t>
        </is>
      </c>
      <c r="H1031" s="17" t="inlineStr">
        <is>
          <t>10 EVIDENCE &amp; DECISIONS</t>
        </is>
      </c>
    </row>
    <row r="1032" ht="34" customHeight="1">
      <c r="A1032" s="12" t="inlineStr">
        <is>
          <t>R549-v1</t>
        </is>
      </c>
      <c r="B1032" s="12" t="inlineStr">
        <is>
          <t>Contractor Programme</t>
        </is>
      </c>
      <c r="C1032" s="12" t="inlineStr">
        <is>
          <t>SCH-04-009</t>
        </is>
      </c>
      <c r="D1032" s="12" t="inlineStr">
        <is>
          <t>1.4.2 Vehicles and Depot - Depot Buildings</t>
        </is>
      </c>
      <c r="E1032" s="12" t="inlineStr">
        <is>
          <t>New</t>
        </is>
      </c>
      <c r="F1032" s="12" t="inlineStr"/>
      <c r="G1032" s="12" t="inlineStr">
        <is>
          <t>Source assignment -- not individually reviewed</t>
        </is>
      </c>
      <c r="H1032" s="17" t="inlineStr">
        <is>
          <t>10 EVIDENCE &amp; DECISIONS</t>
        </is>
      </c>
    </row>
    <row r="1033" ht="34" customHeight="1">
      <c r="A1033" s="12" t="inlineStr">
        <is>
          <t>R552-v1</t>
        </is>
      </c>
      <c r="B1033" s="12" t="inlineStr">
        <is>
          <t>Contractor Programme</t>
        </is>
      </c>
      <c r="C1033" s="12" t="inlineStr">
        <is>
          <t>SCH-04-012</t>
        </is>
      </c>
      <c r="D1033" s="12" t="inlineStr">
        <is>
          <t>1.4.2 Vehicles and Depot - Depot Buildings</t>
        </is>
      </c>
      <c r="E1033" s="12" t="inlineStr">
        <is>
          <t>New</t>
        </is>
      </c>
      <c r="F1033" s="12" t="inlineStr"/>
      <c r="G1033" s="12" t="inlineStr">
        <is>
          <t>Source assignment -- not individually reviewed</t>
        </is>
      </c>
      <c r="H1033" s="17" t="inlineStr">
        <is>
          <t>10 EVIDENCE &amp; DECISIONS</t>
        </is>
      </c>
    </row>
    <row r="1034" ht="34" customHeight="1">
      <c r="A1034" s="12" t="inlineStr">
        <is>
          <t>R555-v1</t>
        </is>
      </c>
      <c r="B1034" s="12" t="inlineStr">
        <is>
          <t>Contractor Programme</t>
        </is>
      </c>
      <c r="C1034" s="12" t="inlineStr">
        <is>
          <t>SCH-04-015</t>
        </is>
      </c>
      <c r="D1034" s="12" t="inlineStr">
        <is>
          <t>1.4.2 Vehicles and Depot - Depot Buildings</t>
        </is>
      </c>
      <c r="E1034" s="12" t="inlineStr">
        <is>
          <t>New</t>
        </is>
      </c>
      <c r="F1034" s="12" t="inlineStr"/>
      <c r="G1034" s="12" t="inlineStr">
        <is>
          <t>Source assignment -- not individually reviewed</t>
        </is>
      </c>
      <c r="H1034" s="17" t="inlineStr">
        <is>
          <t>10 EVIDENCE &amp; DECISIONS</t>
        </is>
      </c>
    </row>
    <row r="1035" ht="34" customHeight="1">
      <c r="A1035" s="12" t="inlineStr">
        <is>
          <t>R558-v1</t>
        </is>
      </c>
      <c r="B1035" s="12" t="inlineStr">
        <is>
          <t>Contractor Programme</t>
        </is>
      </c>
      <c r="C1035" s="12" t="inlineStr">
        <is>
          <t>SCH-04-018</t>
        </is>
      </c>
      <c r="D1035" s="12" t="inlineStr">
        <is>
          <t>1.4.2 Vehicles and Depot - Depot Buildings</t>
        </is>
      </c>
      <c r="E1035" s="12" t="inlineStr">
        <is>
          <t>New</t>
        </is>
      </c>
      <c r="F1035" s="12" t="inlineStr"/>
      <c r="G1035" s="12" t="inlineStr">
        <is>
          <t>Source assignment -- not individually reviewed</t>
        </is>
      </c>
      <c r="H1035" s="17" t="inlineStr">
        <is>
          <t>10 EVIDENCE &amp; DECISIONS</t>
        </is>
      </c>
    </row>
    <row r="1036" ht="34" customHeight="1">
      <c r="A1036" s="12" t="inlineStr">
        <is>
          <t>R561-v1</t>
        </is>
      </c>
      <c r="B1036" s="12" t="inlineStr">
        <is>
          <t>Contractor Programme</t>
        </is>
      </c>
      <c r="C1036" s="12" t="inlineStr">
        <is>
          <t>SCH-04-021</t>
        </is>
      </c>
      <c r="D1036" s="12" t="inlineStr">
        <is>
          <t>1.4.2 Vehicles and Depot - Depot Buildings</t>
        </is>
      </c>
      <c r="E1036" s="12" t="inlineStr">
        <is>
          <t>New</t>
        </is>
      </c>
      <c r="F1036" s="12" t="inlineStr"/>
      <c r="G1036" s="12" t="inlineStr">
        <is>
          <t>Source assignment -- not individually reviewed</t>
        </is>
      </c>
      <c r="H1036" s="17" t="inlineStr">
        <is>
          <t>10 EVIDENCE &amp; DECISIONS</t>
        </is>
      </c>
    </row>
    <row r="1037" ht="34" customHeight="1">
      <c r="A1037" s="12" t="inlineStr">
        <is>
          <t>R564-v1</t>
        </is>
      </c>
      <c r="B1037" s="12" t="inlineStr">
        <is>
          <t>Contractor Programme</t>
        </is>
      </c>
      <c r="C1037" s="12" t="inlineStr">
        <is>
          <t>SCH-04-024</t>
        </is>
      </c>
      <c r="D1037" s="12" t="inlineStr">
        <is>
          <t>1.4.2 Vehicles and Depot - Depot Buildings</t>
        </is>
      </c>
      <c r="E1037" s="12" t="inlineStr">
        <is>
          <t>New</t>
        </is>
      </c>
      <c r="F1037" s="12" t="inlineStr"/>
      <c r="G1037" s="12" t="inlineStr">
        <is>
          <t>Source assignment -- not individually reviewed</t>
        </is>
      </c>
      <c r="H1037" s="17" t="inlineStr">
        <is>
          <t>10 EVIDENCE &amp; DECISIONS</t>
        </is>
      </c>
    </row>
    <row r="1038" ht="34" customHeight="1">
      <c r="A1038" s="12" t="inlineStr">
        <is>
          <t>R567-v1</t>
        </is>
      </c>
      <c r="B1038" s="12" t="inlineStr">
        <is>
          <t>Contractor Programme</t>
        </is>
      </c>
      <c r="C1038" s="12" t="inlineStr">
        <is>
          <t>SCH-04-027</t>
        </is>
      </c>
      <c r="D1038" s="12" t="inlineStr">
        <is>
          <t>1.4.2 Vehicles and Depot - Depot Buildings</t>
        </is>
      </c>
      <c r="E1038" s="12" t="inlineStr">
        <is>
          <t>New</t>
        </is>
      </c>
      <c r="F1038" s="12" t="inlineStr"/>
      <c r="G1038" s="12" t="inlineStr">
        <is>
          <t>Source assignment -- not individually reviewed</t>
        </is>
      </c>
      <c r="H1038" s="17" t="inlineStr">
        <is>
          <t>10 EVIDENCE &amp; DECISIONS</t>
        </is>
      </c>
    </row>
    <row r="1039" ht="34" customHeight="1">
      <c r="A1039" s="12" t="inlineStr">
        <is>
          <t>R570-v1</t>
        </is>
      </c>
      <c r="B1039" s="12" t="inlineStr">
        <is>
          <t>Contractor Programme</t>
        </is>
      </c>
      <c r="C1039" s="12" t="inlineStr">
        <is>
          <t>SCH-04-030</t>
        </is>
      </c>
      <c r="D1039" s="12" t="inlineStr">
        <is>
          <t>1.4.2 Vehicles and Depot - Depot Buildings</t>
        </is>
      </c>
      <c r="E1039" s="12" t="inlineStr">
        <is>
          <t>New</t>
        </is>
      </c>
      <c r="F1039" s="12" t="inlineStr"/>
      <c r="G1039" s="12" t="inlineStr">
        <is>
          <t>Source assignment -- not individually reviewed</t>
        </is>
      </c>
      <c r="H1039" s="17" t="inlineStr">
        <is>
          <t>10 EVIDENCE &amp; DECISIONS</t>
        </is>
      </c>
    </row>
    <row r="1040" ht="34" customHeight="1">
      <c r="A1040" s="12" t="inlineStr">
        <is>
          <t>R573-v1</t>
        </is>
      </c>
      <c r="B1040" s="12" t="inlineStr">
        <is>
          <t>Contractor Programme</t>
        </is>
      </c>
      <c r="C1040" s="12" t="inlineStr">
        <is>
          <t>SCH-04-033</t>
        </is>
      </c>
      <c r="D1040" s="12" t="inlineStr">
        <is>
          <t>1.4.2 Vehicles and Depot - Depot Buildings</t>
        </is>
      </c>
      <c r="E1040" s="12" t="inlineStr">
        <is>
          <t>New</t>
        </is>
      </c>
      <c r="F1040" s="12" t="inlineStr"/>
      <c r="G1040" s="12" t="inlineStr">
        <is>
          <t>Source assignment -- not individually reviewed</t>
        </is>
      </c>
      <c r="H1040" s="17" t="inlineStr">
        <is>
          <t>10 EVIDENCE &amp; DECISIONS</t>
        </is>
      </c>
    </row>
    <row r="1041" ht="34" customHeight="1">
      <c r="A1041" s="12" t="inlineStr">
        <is>
          <t>R576-v1</t>
        </is>
      </c>
      <c r="B1041" s="12" t="inlineStr">
        <is>
          <t>Contractor Programme</t>
        </is>
      </c>
      <c r="C1041" s="12" t="inlineStr">
        <is>
          <t>SCH-04-036</t>
        </is>
      </c>
      <c r="D1041" s="12" t="inlineStr">
        <is>
          <t>1.4.2 Vehicles and Depot - Depot Buildings</t>
        </is>
      </c>
      <c r="E1041" s="12" t="inlineStr">
        <is>
          <t>New</t>
        </is>
      </c>
      <c r="F1041" s="12" t="inlineStr"/>
      <c r="G1041" s="12" t="inlineStr">
        <is>
          <t>Source assignment -- not individually reviewed</t>
        </is>
      </c>
      <c r="H1041" s="17" t="inlineStr">
        <is>
          <t>10 EVIDENCE &amp; DECISIONS</t>
        </is>
      </c>
    </row>
    <row r="1042" ht="34" customHeight="1">
      <c r="A1042" s="12" t="inlineStr">
        <is>
          <t>R579-v1</t>
        </is>
      </c>
      <c r="B1042" s="12" t="inlineStr">
        <is>
          <t>Contractor Programme</t>
        </is>
      </c>
      <c r="C1042" s="12" t="inlineStr">
        <is>
          <t>SCH-04-039</t>
        </is>
      </c>
      <c r="D1042" s="12" t="inlineStr">
        <is>
          <t>1.4.2 Vehicles and Depot - Depot Buildings</t>
        </is>
      </c>
      <c r="E1042" s="12" t="inlineStr">
        <is>
          <t>New</t>
        </is>
      </c>
      <c r="F1042" s="12" t="inlineStr"/>
      <c r="G1042" s="12" t="inlineStr">
        <is>
          <t>Source assignment -- not individually reviewed</t>
        </is>
      </c>
      <c r="H1042" s="17" t="inlineStr">
        <is>
          <t>10 EVIDENCE &amp; DECISIONS</t>
        </is>
      </c>
    </row>
    <row r="1043" ht="34" customHeight="1">
      <c r="A1043" s="12" t="inlineStr">
        <is>
          <t>R582-v1</t>
        </is>
      </c>
      <c r="B1043" s="12" t="inlineStr">
        <is>
          <t>Contractor Programme</t>
        </is>
      </c>
      <c r="C1043" s="12" t="inlineStr">
        <is>
          <t>SCH-04-042</t>
        </is>
      </c>
      <c r="D1043" s="12" t="inlineStr">
        <is>
          <t>1.4.2 Vehicles and Depot - Depot Buildings</t>
        </is>
      </c>
      <c r="E1043" s="12" t="inlineStr">
        <is>
          <t>New</t>
        </is>
      </c>
      <c r="F1043" s="12" t="inlineStr"/>
      <c r="G1043" s="12" t="inlineStr">
        <is>
          <t>Source assignment -- not individually reviewed</t>
        </is>
      </c>
      <c r="H1043" s="17" t="inlineStr">
        <is>
          <t>10 EVIDENCE &amp; DECISIONS</t>
        </is>
      </c>
    </row>
    <row r="1044" ht="34" customHeight="1">
      <c r="A1044" s="12" t="inlineStr">
        <is>
          <t>R585-v1</t>
        </is>
      </c>
      <c r="B1044" s="12" t="inlineStr">
        <is>
          <t>Contractor Programme</t>
        </is>
      </c>
      <c r="C1044" s="12" t="inlineStr">
        <is>
          <t>SCH-04-045</t>
        </is>
      </c>
      <c r="D1044" s="12" t="inlineStr">
        <is>
          <t>1.4.2 Vehicles and Depot - Depot Buildings</t>
        </is>
      </c>
      <c r="E1044" s="12" t="inlineStr">
        <is>
          <t>New</t>
        </is>
      </c>
      <c r="F1044" s="12" t="inlineStr"/>
      <c r="G1044" s="12" t="inlineStr">
        <is>
          <t>Source assignment -- not individually reviewed</t>
        </is>
      </c>
      <c r="H1044" s="17" t="inlineStr">
        <is>
          <t>10 EVIDENCE &amp; DECISIONS</t>
        </is>
      </c>
    </row>
    <row r="1045" ht="34" customHeight="1">
      <c r="A1045" s="12" t="inlineStr">
        <is>
          <t>R588-v1</t>
        </is>
      </c>
      <c r="B1045" s="12" t="inlineStr">
        <is>
          <t>Contractor Programme</t>
        </is>
      </c>
      <c r="C1045" s="12" t="inlineStr">
        <is>
          <t>SCH-04-048</t>
        </is>
      </c>
      <c r="D1045" s="12" t="inlineStr">
        <is>
          <t>1.4.2 Vehicles and Depot - Depot Buildings</t>
        </is>
      </c>
      <c r="E1045" s="12" t="inlineStr">
        <is>
          <t>New</t>
        </is>
      </c>
      <c r="F1045" s="12" t="inlineStr"/>
      <c r="G1045" s="12" t="inlineStr">
        <is>
          <t>Source assignment -- not individually reviewed</t>
        </is>
      </c>
      <c r="H1045" s="17" t="inlineStr">
        <is>
          <t>10 EVIDENCE &amp; DECISIONS</t>
        </is>
      </c>
    </row>
    <row r="1046" ht="34" customHeight="1">
      <c r="A1046" s="12" t="inlineStr">
        <is>
          <t>R591-v1</t>
        </is>
      </c>
      <c r="B1046" s="12" t="inlineStr">
        <is>
          <t>Contractor Programme</t>
        </is>
      </c>
      <c r="C1046" s="12" t="inlineStr">
        <is>
          <t>SCH-04-051</t>
        </is>
      </c>
      <c r="D1046" s="12" t="inlineStr">
        <is>
          <t>1.4.2 Vehicles and Depot - Depot Buildings</t>
        </is>
      </c>
      <c r="E1046" s="12" t="inlineStr">
        <is>
          <t>New</t>
        </is>
      </c>
      <c r="F1046" s="12" t="inlineStr"/>
      <c r="G1046" s="12" t="inlineStr">
        <is>
          <t>Source assignment -- not individually reviewed</t>
        </is>
      </c>
      <c r="H1046" s="17" t="inlineStr">
        <is>
          <t>10 EVIDENCE &amp; DECISIONS</t>
        </is>
      </c>
    </row>
    <row r="1047" ht="34" customHeight="1">
      <c r="A1047" s="12" t="inlineStr">
        <is>
          <t>R594-v1</t>
        </is>
      </c>
      <c r="B1047" s="12" t="inlineStr">
        <is>
          <t>Contractor Programme</t>
        </is>
      </c>
      <c r="C1047" s="12" t="inlineStr">
        <is>
          <t>SCH-04-054</t>
        </is>
      </c>
      <c r="D1047" s="12" t="inlineStr">
        <is>
          <t>1.4.2 Vehicles and Depot - Depot Buildings</t>
        </is>
      </c>
      <c r="E1047" s="12" t="inlineStr">
        <is>
          <t>New</t>
        </is>
      </c>
      <c r="F1047" s="12" t="inlineStr"/>
      <c r="G1047" s="12" t="inlineStr">
        <is>
          <t>Source assignment -- not individually reviewed</t>
        </is>
      </c>
      <c r="H1047" s="17" t="inlineStr">
        <is>
          <t>10 EVIDENCE &amp; DECISIONS</t>
        </is>
      </c>
    </row>
    <row r="1048" ht="34" customHeight="1">
      <c r="A1048" s="12" t="inlineStr">
        <is>
          <t>R597-v1</t>
        </is>
      </c>
      <c r="B1048" s="12" t="inlineStr">
        <is>
          <t>Contractor Programme</t>
        </is>
      </c>
      <c r="C1048" s="12" t="inlineStr">
        <is>
          <t>SCH-04-057</t>
        </is>
      </c>
      <c r="D1048" s="12" t="inlineStr">
        <is>
          <t>1.4.2 Vehicles and Depot - Depot Buildings</t>
        </is>
      </c>
      <c r="E1048" s="12" t="inlineStr">
        <is>
          <t>New</t>
        </is>
      </c>
      <c r="F1048" s="12" t="inlineStr"/>
      <c r="G1048" s="12" t="inlineStr">
        <is>
          <t>Source assignment -- not individually reviewed</t>
        </is>
      </c>
      <c r="H1048" s="17" t="inlineStr">
        <is>
          <t>10 EVIDENCE &amp; DECISIONS</t>
        </is>
      </c>
    </row>
    <row r="1049" ht="34" customHeight="1">
      <c r="A1049" s="12" t="inlineStr">
        <is>
          <t>R600-v1</t>
        </is>
      </c>
      <c r="B1049" s="12" t="inlineStr">
        <is>
          <t>Contractor Programme</t>
        </is>
      </c>
      <c r="C1049" s="12" t="inlineStr">
        <is>
          <t>SCH-04-060</t>
        </is>
      </c>
      <c r="D1049" s="12" t="inlineStr">
        <is>
          <t>1.4.2 Vehicles and Depot - Depot Buildings</t>
        </is>
      </c>
      <c r="E1049" s="12" t="inlineStr">
        <is>
          <t>New</t>
        </is>
      </c>
      <c r="F1049" s="12" t="inlineStr"/>
      <c r="G1049" s="12" t="inlineStr">
        <is>
          <t>Source assignment -- not individually reviewed</t>
        </is>
      </c>
      <c r="H1049" s="17" t="inlineStr">
        <is>
          <t>10 EVIDENCE &amp; DECISIONS</t>
        </is>
      </c>
    </row>
    <row r="1050" ht="34" customHeight="1">
      <c r="A1050" s="12" t="inlineStr">
        <is>
          <t>R603-v1</t>
        </is>
      </c>
      <c r="B1050" s="12" t="inlineStr">
        <is>
          <t>Contractor Programme</t>
        </is>
      </c>
      <c r="C1050" s="12" t="inlineStr">
        <is>
          <t>SCH-04-063</t>
        </is>
      </c>
      <c r="D1050" s="12" t="inlineStr">
        <is>
          <t>1.4.2 Vehicles and Depot - Depot Buildings</t>
        </is>
      </c>
      <c r="E1050" s="12" t="inlineStr">
        <is>
          <t>New</t>
        </is>
      </c>
      <c r="F1050" s="12" t="inlineStr"/>
      <c r="G1050" s="12" t="inlineStr">
        <is>
          <t>Source assignment -- not individually reviewed</t>
        </is>
      </c>
      <c r="H1050" s="17" t="inlineStr">
        <is>
          <t>10 EVIDENCE &amp; DECISIONS</t>
        </is>
      </c>
    </row>
    <row r="1051" ht="34" customHeight="1">
      <c r="A1051" s="12" t="inlineStr">
        <is>
          <t>R606-v1</t>
        </is>
      </c>
      <c r="B1051" s="12" t="inlineStr">
        <is>
          <t>Contractor Programme</t>
        </is>
      </c>
      <c r="C1051" s="12" t="inlineStr">
        <is>
          <t>SCH-04-066</t>
        </is>
      </c>
      <c r="D1051" s="12" t="inlineStr">
        <is>
          <t>1.4.2 Vehicles and Depot - Depot Buildings</t>
        </is>
      </c>
      <c r="E1051" s="12" t="inlineStr">
        <is>
          <t>New</t>
        </is>
      </c>
      <c r="F1051" s="12" t="inlineStr"/>
      <c r="G1051" s="12" t="inlineStr">
        <is>
          <t>Source assignment -- not individually reviewed</t>
        </is>
      </c>
      <c r="H1051" s="17" t="inlineStr">
        <is>
          <t>10 EVIDENCE &amp; DECISIONS</t>
        </is>
      </c>
    </row>
    <row r="1052" ht="34" customHeight="1">
      <c r="A1052" s="12" t="inlineStr">
        <is>
          <t>R609-v1</t>
        </is>
      </c>
      <c r="B1052" s="12" t="inlineStr">
        <is>
          <t>Contractor Programme</t>
        </is>
      </c>
      <c r="C1052" s="12" t="inlineStr">
        <is>
          <t>SCH-04-069</t>
        </is>
      </c>
      <c r="D1052" s="12" t="inlineStr">
        <is>
          <t>1.4.2 Vehicles and Depot - Depot Buildings</t>
        </is>
      </c>
      <c r="E1052" s="12" t="inlineStr">
        <is>
          <t>New</t>
        </is>
      </c>
      <c r="F1052" s="12" t="inlineStr"/>
      <c r="G1052" s="12" t="inlineStr">
        <is>
          <t>Source assignment -- not individually reviewed</t>
        </is>
      </c>
      <c r="H1052" s="17" t="inlineStr">
        <is>
          <t>10 EVIDENCE &amp; DECISIONS</t>
        </is>
      </c>
    </row>
    <row r="1053" ht="34" customHeight="1">
      <c r="A1053" s="12" t="inlineStr">
        <is>
          <t>R612-v1</t>
        </is>
      </c>
      <c r="B1053" s="12" t="inlineStr">
        <is>
          <t>Contractor Programme</t>
        </is>
      </c>
      <c r="C1053" s="12" t="inlineStr">
        <is>
          <t>SCH-04-072</t>
        </is>
      </c>
      <c r="D1053" s="12" t="inlineStr">
        <is>
          <t>1.4.2 Vehicles and Depot - Depot Buildings</t>
        </is>
      </c>
      <c r="E1053" s="12" t="inlineStr">
        <is>
          <t>New</t>
        </is>
      </c>
      <c r="F1053" s="12" t="inlineStr"/>
      <c r="G1053" s="12" t="inlineStr">
        <is>
          <t>Source assignment -- not individually reviewed</t>
        </is>
      </c>
      <c r="H1053" s="17" t="inlineStr">
        <is>
          <t>10 EVIDENCE &amp; DECISIONS</t>
        </is>
      </c>
    </row>
    <row r="1054" ht="34" customHeight="1">
      <c r="A1054" s="12" t="inlineStr">
        <is>
          <t>R615-v1</t>
        </is>
      </c>
      <c r="B1054" s="12" t="inlineStr">
        <is>
          <t>Contractor Programme</t>
        </is>
      </c>
      <c r="C1054" s="12" t="inlineStr">
        <is>
          <t>SCH-04-075</t>
        </is>
      </c>
      <c r="D1054" s="12" t="inlineStr">
        <is>
          <t>1.4.2 Vehicles and Depot - Depot Buildings</t>
        </is>
      </c>
      <c r="E1054" s="12" t="inlineStr">
        <is>
          <t>New</t>
        </is>
      </c>
      <c r="F1054" s="12" t="inlineStr"/>
      <c r="G1054" s="12" t="inlineStr">
        <is>
          <t>Source assignment -- not individually reviewed</t>
        </is>
      </c>
      <c r="H1054" s="17" t="inlineStr">
        <is>
          <t>10 EVIDENCE &amp; DECISIONS</t>
        </is>
      </c>
    </row>
    <row r="1055" ht="34" customHeight="1">
      <c r="A1055" s="12" t="inlineStr">
        <is>
          <t>R618-v1</t>
        </is>
      </c>
      <c r="B1055" s="12" t="inlineStr">
        <is>
          <t>Contractor Programme</t>
        </is>
      </c>
      <c r="C1055" s="12" t="inlineStr">
        <is>
          <t>SCH-04-078</t>
        </is>
      </c>
      <c r="D1055" s="12" t="inlineStr">
        <is>
          <t>1.4.2 Vehicles and Depot - Depot Buildings</t>
        </is>
      </c>
      <c r="E1055" s="12" t="inlineStr">
        <is>
          <t>New</t>
        </is>
      </c>
      <c r="F1055" s="12" t="inlineStr"/>
      <c r="G1055" s="12" t="inlineStr">
        <is>
          <t>Source assignment -- not individually reviewed</t>
        </is>
      </c>
      <c r="H1055" s="17" t="inlineStr">
        <is>
          <t>10 EVIDENCE &amp; DECISIONS</t>
        </is>
      </c>
    </row>
    <row r="1056" ht="34" customHeight="1">
      <c r="A1056" s="12" t="inlineStr">
        <is>
          <t>R621-v1</t>
        </is>
      </c>
      <c r="B1056" s="12" t="inlineStr">
        <is>
          <t>Contractor Programme</t>
        </is>
      </c>
      <c r="C1056" s="12" t="inlineStr">
        <is>
          <t>SCH-04-081</t>
        </is>
      </c>
      <c r="D1056" s="12" t="inlineStr">
        <is>
          <t>1.4.2 Vehicles and Depot - Depot Buildings</t>
        </is>
      </c>
      <c r="E1056" s="12" t="inlineStr">
        <is>
          <t>New</t>
        </is>
      </c>
      <c r="F1056" s="12" t="inlineStr"/>
      <c r="G1056" s="12" t="inlineStr">
        <is>
          <t>Source assignment -- not individually reviewed</t>
        </is>
      </c>
      <c r="H1056" s="17" t="inlineStr">
        <is>
          <t>10 EVIDENCE &amp; DECISIONS</t>
        </is>
      </c>
    </row>
    <row r="1057" ht="34" customHeight="1">
      <c r="A1057" s="12" t="inlineStr">
        <is>
          <t>R624-v1</t>
        </is>
      </c>
      <c r="B1057" s="12" t="inlineStr">
        <is>
          <t>Contractor Programme</t>
        </is>
      </c>
      <c r="C1057" s="12" t="inlineStr">
        <is>
          <t>SCH-04-084</t>
        </is>
      </c>
      <c r="D1057" s="12" t="inlineStr">
        <is>
          <t>1.4.2 Vehicles and Depot - Depot Buildings</t>
        </is>
      </c>
      <c r="E1057" s="12" t="inlineStr">
        <is>
          <t>New</t>
        </is>
      </c>
      <c r="F1057" s="12" t="inlineStr"/>
      <c r="G1057" s="12" t="inlineStr">
        <is>
          <t>Source assignment -- not individually reviewed</t>
        </is>
      </c>
      <c r="H1057" s="17" t="inlineStr">
        <is>
          <t>10 EVIDENCE &amp; DECISIONS</t>
        </is>
      </c>
    </row>
    <row r="1058" ht="34" customHeight="1">
      <c r="A1058" s="12" t="inlineStr">
        <is>
          <t>R627-v1</t>
        </is>
      </c>
      <c r="B1058" s="12" t="inlineStr">
        <is>
          <t>Contractor Programme</t>
        </is>
      </c>
      <c r="C1058" s="12" t="inlineStr">
        <is>
          <t>SCH-04-087</t>
        </is>
      </c>
      <c r="D1058" s="12" t="inlineStr">
        <is>
          <t>1.4.2 Vehicles and Depot - Depot Buildings</t>
        </is>
      </c>
      <c r="E1058" s="12" t="inlineStr">
        <is>
          <t>New</t>
        </is>
      </c>
      <c r="F1058" s="12" t="inlineStr"/>
      <c r="G1058" s="12" t="inlineStr">
        <is>
          <t>Source assignment -- not individually reviewed</t>
        </is>
      </c>
      <c r="H1058" s="17" t="inlineStr">
        <is>
          <t>10 EVIDENCE &amp; DECISIONS</t>
        </is>
      </c>
    </row>
    <row r="1059" ht="34" customHeight="1">
      <c r="A1059" s="12" t="inlineStr">
        <is>
          <t>R630-v1</t>
        </is>
      </c>
      <c r="B1059" s="12" t="inlineStr">
        <is>
          <t>Contractor Programme</t>
        </is>
      </c>
      <c r="C1059" s="12" t="inlineStr">
        <is>
          <t>SCH-04-090</t>
        </is>
      </c>
      <c r="D1059" s="12" t="inlineStr">
        <is>
          <t>1.4.2 Vehicles and Depot - Depot Buildings</t>
        </is>
      </c>
      <c r="E1059" s="12" t="inlineStr">
        <is>
          <t>New</t>
        </is>
      </c>
      <c r="F1059" s="12" t="inlineStr"/>
      <c r="G1059" s="12" t="inlineStr">
        <is>
          <t>Source assignment -- not individually reviewed</t>
        </is>
      </c>
      <c r="H1059" s="17" t="inlineStr">
        <is>
          <t>10 EVIDENCE &amp; DECISIONS</t>
        </is>
      </c>
    </row>
    <row r="1060" ht="34" customHeight="1">
      <c r="A1060" s="12" t="inlineStr">
        <is>
          <t>R633-v1</t>
        </is>
      </c>
      <c r="B1060" s="12" t="inlineStr">
        <is>
          <t>Contractor Programme</t>
        </is>
      </c>
      <c r="C1060" s="12" t="inlineStr">
        <is>
          <t>SCH-04-093</t>
        </is>
      </c>
      <c r="D1060" s="12" t="inlineStr">
        <is>
          <t>1.4.2 Vehicles and Depot - Depot Buildings</t>
        </is>
      </c>
      <c r="E1060" s="12" t="inlineStr">
        <is>
          <t>New</t>
        </is>
      </c>
      <c r="F1060" s="12" t="inlineStr"/>
      <c r="G1060" s="12" t="inlineStr">
        <is>
          <t>Source assignment -- not individually reviewed</t>
        </is>
      </c>
      <c r="H1060" s="17" t="inlineStr">
        <is>
          <t>10 EVIDENCE &amp; DECISIONS</t>
        </is>
      </c>
    </row>
    <row r="1061" ht="34" customHeight="1">
      <c r="A1061" s="12" t="inlineStr">
        <is>
          <t>R636-v1</t>
        </is>
      </c>
      <c r="B1061" s="12" t="inlineStr">
        <is>
          <t>Contractor Programme</t>
        </is>
      </c>
      <c r="C1061" s="12" t="inlineStr">
        <is>
          <t>SCH-04-096</t>
        </is>
      </c>
      <c r="D1061" s="12" t="inlineStr">
        <is>
          <t>1.4.2 Vehicles and Depot - Depot Buildings</t>
        </is>
      </c>
      <c r="E1061" s="12" t="inlineStr">
        <is>
          <t>New</t>
        </is>
      </c>
      <c r="F1061" s="12" t="inlineStr"/>
      <c r="G1061" s="12" t="inlineStr">
        <is>
          <t>Source assignment -- not individually reviewed</t>
        </is>
      </c>
      <c r="H1061" s="17" t="inlineStr">
        <is>
          <t>10 EVIDENCE &amp; DECISIONS</t>
        </is>
      </c>
    </row>
    <row r="1062" ht="34" customHeight="1">
      <c r="A1062" s="12" t="inlineStr">
        <is>
          <t>R639-v1</t>
        </is>
      </c>
      <c r="B1062" s="12" t="inlineStr">
        <is>
          <t>Contractor Programme</t>
        </is>
      </c>
      <c r="C1062" s="12" t="inlineStr">
        <is>
          <t>SCH-04-099</t>
        </is>
      </c>
      <c r="D1062" s="12" t="inlineStr">
        <is>
          <t>1.4.2 Vehicles and Depot - Depot Buildings</t>
        </is>
      </c>
      <c r="E1062" s="12" t="inlineStr">
        <is>
          <t>New</t>
        </is>
      </c>
      <c r="F1062" s="12" t="inlineStr"/>
      <c r="G1062" s="12" t="inlineStr">
        <is>
          <t>Source assignment -- not individually reviewed</t>
        </is>
      </c>
      <c r="H1062" s="17" t="inlineStr">
        <is>
          <t>10 EVIDENCE &amp; DECISIONS</t>
        </is>
      </c>
    </row>
    <row r="1063" ht="34" customHeight="1">
      <c r="A1063" s="12" t="inlineStr">
        <is>
          <t>R642-v1</t>
        </is>
      </c>
      <c r="B1063" s="12" t="inlineStr">
        <is>
          <t>Contractor Programme</t>
        </is>
      </c>
      <c r="C1063" s="12" t="inlineStr">
        <is>
          <t>SCH-04-102</t>
        </is>
      </c>
      <c r="D1063" s="12" t="inlineStr">
        <is>
          <t>1.4.2 Vehicles and Depot - Depot Buildings</t>
        </is>
      </c>
      <c r="E1063" s="12" t="inlineStr">
        <is>
          <t>New</t>
        </is>
      </c>
      <c r="F1063" s="12" t="inlineStr"/>
      <c r="G1063" s="12" t="inlineStr">
        <is>
          <t>Source assignment -- not individually reviewed</t>
        </is>
      </c>
      <c r="H1063" s="17" t="inlineStr">
        <is>
          <t>10 EVIDENCE &amp; DECISIONS</t>
        </is>
      </c>
    </row>
    <row r="1064" ht="34" customHeight="1">
      <c r="A1064" s="12" t="inlineStr">
        <is>
          <t>R645-v1</t>
        </is>
      </c>
      <c r="B1064" s="12" t="inlineStr">
        <is>
          <t>Contractor Programme</t>
        </is>
      </c>
      <c r="C1064" s="12" t="inlineStr">
        <is>
          <t>SCH-04-105</t>
        </is>
      </c>
      <c r="D1064" s="12" t="inlineStr">
        <is>
          <t>1.4.2 Vehicles and Depot - Depot Buildings</t>
        </is>
      </c>
      <c r="E1064" s="12" t="inlineStr">
        <is>
          <t>New</t>
        </is>
      </c>
      <c r="F1064" s="12" t="inlineStr"/>
      <c r="G1064" s="12" t="inlineStr">
        <is>
          <t>Source assignment -- not individually reviewed</t>
        </is>
      </c>
      <c r="H1064" s="17" t="inlineStr">
        <is>
          <t>10 EVIDENCE &amp; DECISIONS</t>
        </is>
      </c>
    </row>
    <row r="1065" ht="34" customHeight="1">
      <c r="A1065" s="12" t="inlineStr">
        <is>
          <t>R648-v1</t>
        </is>
      </c>
      <c r="B1065" s="12" t="inlineStr">
        <is>
          <t>Contractor Programme</t>
        </is>
      </c>
      <c r="C1065" s="12" t="inlineStr">
        <is>
          <t>SCH-04-108</t>
        </is>
      </c>
      <c r="D1065" s="12" t="inlineStr">
        <is>
          <t>1.4.2 Vehicles and Depot - Depot Buildings</t>
        </is>
      </c>
      <c r="E1065" s="12" t="inlineStr">
        <is>
          <t>New</t>
        </is>
      </c>
      <c r="F1065" s="12" t="inlineStr"/>
      <c r="G1065" s="12" t="inlineStr">
        <is>
          <t>Source assignment -- not individually reviewed</t>
        </is>
      </c>
      <c r="H1065" s="17" t="inlineStr">
        <is>
          <t>10 EVIDENCE &amp; DECISIONS</t>
        </is>
      </c>
    </row>
    <row r="1066" ht="34" customHeight="1">
      <c r="A1066" s="12" t="inlineStr">
        <is>
          <t>R651-v1</t>
        </is>
      </c>
      <c r="B1066" s="12" t="inlineStr">
        <is>
          <t>Contractor Programme</t>
        </is>
      </c>
      <c r="C1066" s="12" t="inlineStr">
        <is>
          <t>SCH-04-111</t>
        </is>
      </c>
      <c r="D1066" s="12" t="inlineStr">
        <is>
          <t>1.4.2 Vehicles and Depot - Depot Buildings</t>
        </is>
      </c>
      <c r="E1066" s="12" t="inlineStr">
        <is>
          <t>New</t>
        </is>
      </c>
      <c r="F1066" s="12" t="inlineStr"/>
      <c r="G1066" s="12" t="inlineStr">
        <is>
          <t>Source assignment -- not individually reviewed</t>
        </is>
      </c>
      <c r="H1066" s="17" t="inlineStr">
        <is>
          <t>10 EVIDENCE &amp; DECISIONS</t>
        </is>
      </c>
    </row>
    <row r="1067" ht="34" customHeight="1">
      <c r="A1067" s="12" t="inlineStr">
        <is>
          <t>R654-v1</t>
        </is>
      </c>
      <c r="B1067" s="12" t="inlineStr">
        <is>
          <t>Contractor Programme</t>
        </is>
      </c>
      <c r="C1067" s="12" t="inlineStr">
        <is>
          <t>SCH-04-114</t>
        </is>
      </c>
      <c r="D1067" s="12" t="inlineStr">
        <is>
          <t>1.4.2 Vehicles and Depot - Depot Buildings</t>
        </is>
      </c>
      <c r="E1067" s="12" t="inlineStr">
        <is>
          <t>New</t>
        </is>
      </c>
      <c r="F1067" s="12" t="inlineStr"/>
      <c r="G1067" s="12" t="inlineStr">
        <is>
          <t>Source assignment -- not individually reviewed</t>
        </is>
      </c>
      <c r="H1067" s="17" t="inlineStr">
        <is>
          <t>10 EVIDENCE &amp; DECISIONS</t>
        </is>
      </c>
    </row>
    <row r="1068" ht="34" customHeight="1">
      <c r="A1068" s="12" t="inlineStr">
        <is>
          <t>R657-v1</t>
        </is>
      </c>
      <c r="B1068" s="12" t="inlineStr">
        <is>
          <t>Contractor Programme</t>
        </is>
      </c>
      <c r="C1068" s="12" t="inlineStr">
        <is>
          <t>SCH-04-117</t>
        </is>
      </c>
      <c r="D1068" s="12" t="inlineStr">
        <is>
          <t>1.4.2 Vehicles and Depot - Depot Buildings</t>
        </is>
      </c>
      <c r="E1068" s="12" t="inlineStr">
        <is>
          <t>New</t>
        </is>
      </c>
      <c r="F1068" s="12" t="inlineStr"/>
      <c r="G1068" s="12" t="inlineStr">
        <is>
          <t>Source assignment -- not individually reviewed</t>
        </is>
      </c>
      <c r="H1068" s="17" t="inlineStr">
        <is>
          <t>10 EVIDENCE &amp; DECISIONS</t>
        </is>
      </c>
    </row>
    <row r="1069" ht="34" customHeight="1">
      <c r="A1069" s="12" t="inlineStr">
        <is>
          <t>R660-v1</t>
        </is>
      </c>
      <c r="B1069" s="12" t="inlineStr">
        <is>
          <t>Contractor Programme</t>
        </is>
      </c>
      <c r="C1069" s="12" t="inlineStr">
        <is>
          <t>SCH-04-120</t>
        </is>
      </c>
      <c r="D1069" s="12" t="inlineStr">
        <is>
          <t>1.4.2 Vehicles and Depot - Depot Buildings</t>
        </is>
      </c>
      <c r="E1069" s="12" t="inlineStr">
        <is>
          <t>New</t>
        </is>
      </c>
      <c r="F1069" s="12" t="inlineStr"/>
      <c r="G1069" s="12" t="inlineStr">
        <is>
          <t>Source assignment -- not individually reviewed</t>
        </is>
      </c>
      <c r="H1069" s="17" t="inlineStr">
        <is>
          <t>10 EVIDENCE &amp; DECISIONS</t>
        </is>
      </c>
    </row>
    <row r="1070" ht="34" customHeight="1">
      <c r="A1070" s="12" t="inlineStr">
        <is>
          <t>R663-v1</t>
        </is>
      </c>
      <c r="B1070" s="12" t="inlineStr">
        <is>
          <t>Contractor Programme</t>
        </is>
      </c>
      <c r="C1070" s="12" t="inlineStr">
        <is>
          <t>SCH-04-123</t>
        </is>
      </c>
      <c r="D1070" s="12" t="inlineStr">
        <is>
          <t>1.4.2 Vehicles and Depot - Depot Buildings</t>
        </is>
      </c>
      <c r="E1070" s="12" t="inlineStr">
        <is>
          <t>New</t>
        </is>
      </c>
      <c r="F1070" s="12" t="inlineStr"/>
      <c r="G1070" s="12" t="inlineStr">
        <is>
          <t>Source assignment -- not individually reviewed</t>
        </is>
      </c>
      <c r="H1070" s="17" t="inlineStr">
        <is>
          <t>10 EVIDENCE &amp; DECISIONS</t>
        </is>
      </c>
    </row>
    <row r="1071" ht="34" customHeight="1">
      <c r="A1071" s="12" t="inlineStr">
        <is>
          <t>R666-v1</t>
        </is>
      </c>
      <c r="B1071" s="12" t="inlineStr">
        <is>
          <t>Contractor Programme</t>
        </is>
      </c>
      <c r="C1071" s="12" t="inlineStr">
        <is>
          <t>SCH-04-126</t>
        </is>
      </c>
      <c r="D1071" s="12" t="inlineStr">
        <is>
          <t>1.4.2 Vehicles and Depot - Depot Buildings</t>
        </is>
      </c>
      <c r="E1071" s="12" t="inlineStr">
        <is>
          <t>New</t>
        </is>
      </c>
      <c r="F1071" s="12" t="inlineStr"/>
      <c r="G1071" s="12" t="inlineStr">
        <is>
          <t>Source assignment -- not individually reviewed</t>
        </is>
      </c>
      <c r="H1071" s="17" t="inlineStr">
        <is>
          <t>10 EVIDENCE &amp; DECISIONS</t>
        </is>
      </c>
    </row>
    <row r="1072" ht="34" customHeight="1">
      <c r="A1072" s="12" t="inlineStr">
        <is>
          <t>R669-v1</t>
        </is>
      </c>
      <c r="B1072" s="12" t="inlineStr">
        <is>
          <t>Contractor Programme</t>
        </is>
      </c>
      <c r="C1072" s="12" t="inlineStr">
        <is>
          <t>SCH-04-129</t>
        </is>
      </c>
      <c r="D1072" s="12" t="inlineStr">
        <is>
          <t>1.4.2 Vehicles and Depot - Depot Buildings</t>
        </is>
      </c>
      <c r="E1072" s="12" t="inlineStr">
        <is>
          <t>New</t>
        </is>
      </c>
      <c r="F1072" s="12" t="inlineStr"/>
      <c r="G1072" s="12" t="inlineStr">
        <is>
          <t>Source assignment -- not individually reviewed</t>
        </is>
      </c>
      <c r="H1072" s="17" t="inlineStr">
        <is>
          <t>10 EVIDENCE &amp; DECISIONS</t>
        </is>
      </c>
    </row>
    <row r="1073" ht="34" customHeight="1">
      <c r="A1073" s="12" t="inlineStr">
        <is>
          <t>R672-v1</t>
        </is>
      </c>
      <c r="B1073" s="12" t="inlineStr">
        <is>
          <t>Contractor Programme</t>
        </is>
      </c>
      <c r="C1073" s="12" t="inlineStr">
        <is>
          <t>SCH-04-132</t>
        </is>
      </c>
      <c r="D1073" s="12" t="inlineStr">
        <is>
          <t>1.4.2 Vehicles and Depot - Depot Buildings</t>
        </is>
      </c>
      <c r="E1073" s="12" t="inlineStr">
        <is>
          <t>New</t>
        </is>
      </c>
      <c r="F1073" s="12" t="inlineStr"/>
      <c r="G1073" s="12" t="inlineStr">
        <is>
          <t>Source assignment -- not individually reviewed</t>
        </is>
      </c>
      <c r="H1073" s="17" t="inlineStr">
        <is>
          <t>10 EVIDENCE &amp; DECISIONS</t>
        </is>
      </c>
    </row>
    <row r="1074" ht="34" customHeight="1">
      <c r="A1074" s="12" t="inlineStr">
        <is>
          <t>R675-v1</t>
        </is>
      </c>
      <c r="B1074" s="12" t="inlineStr">
        <is>
          <t>Contractor Programme</t>
        </is>
      </c>
      <c r="C1074" s="12" t="inlineStr">
        <is>
          <t>SCH-04-135</t>
        </is>
      </c>
      <c r="D1074" s="12" t="inlineStr">
        <is>
          <t>1.4.2 Vehicles and Depot - Depot Buildings</t>
        </is>
      </c>
      <c r="E1074" s="12" t="inlineStr">
        <is>
          <t>New</t>
        </is>
      </c>
      <c r="F1074" s="12" t="inlineStr"/>
      <c r="G1074" s="12" t="inlineStr">
        <is>
          <t>Source assignment -- not individually reviewed</t>
        </is>
      </c>
      <c r="H1074" s="17" t="inlineStr">
        <is>
          <t>10 EVIDENCE &amp; DECISIONS</t>
        </is>
      </c>
    </row>
    <row r="1075" ht="34" customHeight="1">
      <c r="A1075" s="12" t="inlineStr">
        <is>
          <t>R678-v1</t>
        </is>
      </c>
      <c r="B1075" s="12" t="inlineStr">
        <is>
          <t>Contractor Programme</t>
        </is>
      </c>
      <c r="C1075" s="12" t="inlineStr">
        <is>
          <t>SCH-04-138</t>
        </is>
      </c>
      <c r="D1075" s="12" t="inlineStr">
        <is>
          <t>1.4.2 Vehicles and Depot - Depot Buildings</t>
        </is>
      </c>
      <c r="E1075" s="12" t="inlineStr">
        <is>
          <t>New</t>
        </is>
      </c>
      <c r="F1075" s="12" t="inlineStr"/>
      <c r="G1075" s="12" t="inlineStr">
        <is>
          <t>Source assignment -- not individually reviewed</t>
        </is>
      </c>
      <c r="H1075" s="17" t="inlineStr">
        <is>
          <t>10 EVIDENCE &amp; DECISIONS</t>
        </is>
      </c>
    </row>
    <row r="1076" ht="34" customHeight="1">
      <c r="A1076" s="12" t="inlineStr">
        <is>
          <t>R681-v1</t>
        </is>
      </c>
      <c r="B1076" s="12" t="inlineStr">
        <is>
          <t>Contractor Programme</t>
        </is>
      </c>
      <c r="C1076" s="12" t="inlineStr">
        <is>
          <t>SCH-04-141</t>
        </is>
      </c>
      <c r="D1076" s="12" t="inlineStr">
        <is>
          <t>1.4.2 Vehicles and Depot - Depot Buildings</t>
        </is>
      </c>
      <c r="E1076" s="12" t="inlineStr">
        <is>
          <t>New</t>
        </is>
      </c>
      <c r="F1076" s="12" t="inlineStr"/>
      <c r="G1076" s="12" t="inlineStr">
        <is>
          <t>Source assignment -- not individually reviewed</t>
        </is>
      </c>
      <c r="H1076" s="17" t="inlineStr">
        <is>
          <t>10 EVIDENCE &amp; DECISIONS</t>
        </is>
      </c>
    </row>
    <row r="1077" ht="34" customHeight="1">
      <c r="A1077" s="12" t="inlineStr">
        <is>
          <t>R684-v1</t>
        </is>
      </c>
      <c r="B1077" s="12" t="inlineStr">
        <is>
          <t>Contractor Programme</t>
        </is>
      </c>
      <c r="C1077" s="12" t="inlineStr">
        <is>
          <t>SCH-04-144</t>
        </is>
      </c>
      <c r="D1077" s="12" t="inlineStr">
        <is>
          <t>1.4.2 Vehicles and Depot - Depot Buildings</t>
        </is>
      </c>
      <c r="E1077" s="12" t="inlineStr">
        <is>
          <t>New</t>
        </is>
      </c>
      <c r="F1077" s="12" t="inlineStr"/>
      <c r="G1077" s="12" t="inlineStr">
        <is>
          <t>Source assignment -- not individually reviewed</t>
        </is>
      </c>
      <c r="H1077" s="17" t="inlineStr">
        <is>
          <t>10 EVIDENCE &amp; DECISIONS</t>
        </is>
      </c>
    </row>
    <row r="1078" ht="34" customHeight="1">
      <c r="A1078" s="12" t="inlineStr">
        <is>
          <t>R687-v1</t>
        </is>
      </c>
      <c r="B1078" s="12" t="inlineStr">
        <is>
          <t>Contractor Programme</t>
        </is>
      </c>
      <c r="C1078" s="12" t="inlineStr">
        <is>
          <t>SCH-04-147</t>
        </is>
      </c>
      <c r="D1078" s="12" t="inlineStr">
        <is>
          <t>1.4.2 Vehicles and Depot - Depot Buildings</t>
        </is>
      </c>
      <c r="E1078" s="12" t="inlineStr">
        <is>
          <t>New</t>
        </is>
      </c>
      <c r="F1078" s="12" t="inlineStr"/>
      <c r="G1078" s="12" t="inlineStr">
        <is>
          <t>Source assignment -- not individually reviewed</t>
        </is>
      </c>
      <c r="H1078" s="17" t="inlineStr">
        <is>
          <t>10 EVIDENCE &amp; DECISIONS</t>
        </is>
      </c>
    </row>
    <row r="1079" ht="34" customHeight="1">
      <c r="A1079" s="12" t="inlineStr">
        <is>
          <t>R690-v1</t>
        </is>
      </c>
      <c r="B1079" s="12" t="inlineStr">
        <is>
          <t>Contractor Programme</t>
        </is>
      </c>
      <c r="C1079" s="12" t="inlineStr">
        <is>
          <t>SCH-04-150</t>
        </is>
      </c>
      <c r="D1079" s="12" t="inlineStr">
        <is>
          <t>1.4.2 Vehicles and Depot - Depot Buildings</t>
        </is>
      </c>
      <c r="E1079" s="12" t="inlineStr">
        <is>
          <t>New</t>
        </is>
      </c>
      <c r="F1079" s="12" t="inlineStr"/>
      <c r="G1079" s="12" t="inlineStr">
        <is>
          <t>Source assignment -- not individually reviewed</t>
        </is>
      </c>
      <c r="H1079" s="17" t="inlineStr">
        <is>
          <t>10 EVIDENCE &amp; DECISIONS</t>
        </is>
      </c>
    </row>
    <row r="1080" ht="34" customHeight="1">
      <c r="A1080" s="12" t="inlineStr">
        <is>
          <t>R693-v1</t>
        </is>
      </c>
      <c r="B1080" s="12" t="inlineStr">
        <is>
          <t>Contractor Programme</t>
        </is>
      </c>
      <c r="C1080" s="12" t="inlineStr">
        <is>
          <t>SCH-04-153</t>
        </is>
      </c>
      <c r="D1080" s="12" t="inlineStr">
        <is>
          <t>1.4.2 Vehicles and Depot - Depot Buildings</t>
        </is>
      </c>
      <c r="E1080" s="12" t="inlineStr">
        <is>
          <t>New</t>
        </is>
      </c>
      <c r="F1080" s="12" t="inlineStr"/>
      <c r="G1080" s="12" t="inlineStr">
        <is>
          <t>Source assignment -- not individually reviewed</t>
        </is>
      </c>
      <c r="H1080" s="17" t="inlineStr">
        <is>
          <t>10 EVIDENCE &amp; DECISIONS</t>
        </is>
      </c>
    </row>
    <row r="1081" ht="34" customHeight="1">
      <c r="A1081" s="12" t="inlineStr">
        <is>
          <t>R696-v1</t>
        </is>
      </c>
      <c r="B1081" s="12" t="inlineStr">
        <is>
          <t>Contractor Programme</t>
        </is>
      </c>
      <c r="C1081" s="12" t="inlineStr">
        <is>
          <t>SCH-04-156</t>
        </is>
      </c>
      <c r="D1081" s="12" t="inlineStr">
        <is>
          <t>1.4.2 Vehicles and Depot - Depot Buildings</t>
        </is>
      </c>
      <c r="E1081" s="12" t="inlineStr">
        <is>
          <t>New</t>
        </is>
      </c>
      <c r="F1081" s="12" t="inlineStr"/>
      <c r="G1081" s="12" t="inlineStr">
        <is>
          <t>Source assignment -- not individually reviewed</t>
        </is>
      </c>
      <c r="H1081" s="17" t="inlineStr">
        <is>
          <t>10 EVIDENCE &amp; DECISIONS</t>
        </is>
      </c>
    </row>
    <row r="1082" ht="34" customHeight="1">
      <c r="A1082" s="12" t="inlineStr">
        <is>
          <t>R699-v1</t>
        </is>
      </c>
      <c r="B1082" s="12" t="inlineStr">
        <is>
          <t>Contractor Programme</t>
        </is>
      </c>
      <c r="C1082" s="12" t="inlineStr">
        <is>
          <t>SCH-04-159</t>
        </is>
      </c>
      <c r="D1082" s="12" t="inlineStr">
        <is>
          <t>1.4.2 Vehicles and Depot - Depot Buildings</t>
        </is>
      </c>
      <c r="E1082" s="12" t="inlineStr">
        <is>
          <t>New</t>
        </is>
      </c>
      <c r="F1082" s="12" t="inlineStr"/>
      <c r="G1082" s="12" t="inlineStr">
        <is>
          <t>Source assignment -- not individually reviewed</t>
        </is>
      </c>
      <c r="H1082" s="17" t="inlineStr">
        <is>
          <t>10 EVIDENCE &amp; DECISIONS</t>
        </is>
      </c>
    </row>
    <row r="1083" ht="34" customHeight="1">
      <c r="A1083" s="12" t="inlineStr">
        <is>
          <t>R702-v1</t>
        </is>
      </c>
      <c r="B1083" s="12" t="inlineStr">
        <is>
          <t>Contractor Programme</t>
        </is>
      </c>
      <c r="C1083" s="12" t="inlineStr">
        <is>
          <t>SCH-04-162</t>
        </is>
      </c>
      <c r="D1083" s="12" t="inlineStr">
        <is>
          <t>1.4.2 Vehicles and Depot - Depot Buildings</t>
        </is>
      </c>
      <c r="E1083" s="12" t="inlineStr">
        <is>
          <t>New</t>
        </is>
      </c>
      <c r="F1083" s="12" t="inlineStr"/>
      <c r="G1083" s="12" t="inlineStr">
        <is>
          <t>Source assignment -- not individually reviewed</t>
        </is>
      </c>
      <c r="H1083" s="17" t="inlineStr">
        <is>
          <t>10 EVIDENCE &amp; DECISIONS</t>
        </is>
      </c>
    </row>
    <row r="1084" ht="34" customHeight="1">
      <c r="A1084" s="12" t="inlineStr">
        <is>
          <t>R705-v1</t>
        </is>
      </c>
      <c r="B1084" s="12" t="inlineStr">
        <is>
          <t>Contractor Programme</t>
        </is>
      </c>
      <c r="C1084" s="12" t="inlineStr">
        <is>
          <t>SCH-04-165</t>
        </is>
      </c>
      <c r="D1084" s="12" t="inlineStr">
        <is>
          <t>1.4.2 Vehicles and Depot - Depot Buildings</t>
        </is>
      </c>
      <c r="E1084" s="12" t="inlineStr">
        <is>
          <t>New</t>
        </is>
      </c>
      <c r="F1084" s="12" t="inlineStr"/>
      <c r="G1084" s="12" t="inlineStr">
        <is>
          <t>Source assignment -- not individually reviewed</t>
        </is>
      </c>
      <c r="H1084" s="17" t="inlineStr">
        <is>
          <t>10 EVIDENCE &amp; DECISIONS</t>
        </is>
      </c>
    </row>
    <row r="1085" ht="34" customHeight="1">
      <c r="A1085" s="12" t="inlineStr">
        <is>
          <t>R708-v1</t>
        </is>
      </c>
      <c r="B1085" s="12" t="inlineStr">
        <is>
          <t>Contractor Programme</t>
        </is>
      </c>
      <c r="C1085" s="12" t="inlineStr">
        <is>
          <t>SCH-04-168</t>
        </is>
      </c>
      <c r="D1085" s="12" t="inlineStr">
        <is>
          <t>1.4.2 Vehicles and Depot - Depot Buildings</t>
        </is>
      </c>
      <c r="E1085" s="12" t="inlineStr">
        <is>
          <t>New</t>
        </is>
      </c>
      <c r="F1085" s="12" t="inlineStr"/>
      <c r="G1085" s="12" t="inlineStr">
        <is>
          <t>Source assignment -- not individually reviewed</t>
        </is>
      </c>
      <c r="H1085" s="17" t="inlineStr">
        <is>
          <t>10 EVIDENCE &amp; DECISIONS</t>
        </is>
      </c>
    </row>
    <row r="1086" ht="34" customHeight="1">
      <c r="A1086" s="12" t="inlineStr">
        <is>
          <t>R711-v1</t>
        </is>
      </c>
      <c r="B1086" s="12" t="inlineStr">
        <is>
          <t>Contractor Programme</t>
        </is>
      </c>
      <c r="C1086" s="12" t="inlineStr">
        <is>
          <t>SCH-04-171</t>
        </is>
      </c>
      <c r="D1086" s="12" t="inlineStr">
        <is>
          <t>1.4.2 Vehicles and Depot - Depot Buildings</t>
        </is>
      </c>
      <c r="E1086" s="12" t="inlineStr">
        <is>
          <t>New</t>
        </is>
      </c>
      <c r="F1086" s="12" t="inlineStr"/>
      <c r="G1086" s="12" t="inlineStr">
        <is>
          <t>Source assignment -- not individually reviewed</t>
        </is>
      </c>
      <c r="H1086" s="17" t="inlineStr">
        <is>
          <t>10 EVIDENCE &amp; DECISIONS</t>
        </is>
      </c>
    </row>
    <row r="1087" ht="34" customHeight="1">
      <c r="A1087" s="12" t="inlineStr">
        <is>
          <t>R714-v1</t>
        </is>
      </c>
      <c r="B1087" s="12" t="inlineStr">
        <is>
          <t>Contractor Programme</t>
        </is>
      </c>
      <c r="C1087" s="12" t="inlineStr">
        <is>
          <t>SCH-04-174</t>
        </is>
      </c>
      <c r="D1087" s="12" t="inlineStr">
        <is>
          <t>1.4.2 Vehicles and Depot - Depot Buildings</t>
        </is>
      </c>
      <c r="E1087" s="12" t="inlineStr">
        <is>
          <t>New</t>
        </is>
      </c>
      <c r="F1087" s="12" t="inlineStr"/>
      <c r="G1087" s="12" t="inlineStr">
        <is>
          <t>Source assignment -- not individually reviewed</t>
        </is>
      </c>
      <c r="H1087" s="17" t="inlineStr">
        <is>
          <t>10 EVIDENCE &amp; DECISIONS</t>
        </is>
      </c>
    </row>
    <row r="1088" ht="34" customHeight="1">
      <c r="A1088" s="12" t="inlineStr">
        <is>
          <t>R717-v1</t>
        </is>
      </c>
      <c r="B1088" s="12" t="inlineStr">
        <is>
          <t>Contractor Programme</t>
        </is>
      </c>
      <c r="C1088" s="12" t="inlineStr">
        <is>
          <t>SCH-04-177</t>
        </is>
      </c>
      <c r="D1088" s="12" t="inlineStr">
        <is>
          <t>1.4.2 Vehicles and Depot - Depot Buildings</t>
        </is>
      </c>
      <c r="E1088" s="12" t="inlineStr">
        <is>
          <t>New</t>
        </is>
      </c>
      <c r="F1088" s="12" t="inlineStr"/>
      <c r="G1088" s="12" t="inlineStr">
        <is>
          <t>Source assignment -- not individually reviewed</t>
        </is>
      </c>
      <c r="H1088" s="17" t="inlineStr">
        <is>
          <t>10 EVIDENCE &amp; DECISIONS</t>
        </is>
      </c>
    </row>
    <row r="1089" ht="34" customHeight="1">
      <c r="A1089" s="12" t="inlineStr">
        <is>
          <t>R720-v1</t>
        </is>
      </c>
      <c r="B1089" s="12" t="inlineStr">
        <is>
          <t>Contractor Programme</t>
        </is>
      </c>
      <c r="C1089" s="12" t="inlineStr">
        <is>
          <t>SCH-04-180</t>
        </is>
      </c>
      <c r="D1089" s="12" t="inlineStr">
        <is>
          <t>1.4.2 Vehicles and Depot - Depot Buildings</t>
        </is>
      </c>
      <c r="E1089" s="12" t="inlineStr">
        <is>
          <t>New</t>
        </is>
      </c>
      <c r="F1089" s="12" t="inlineStr"/>
      <c r="G1089" s="12" t="inlineStr">
        <is>
          <t>Source assignment -- not individually reviewed</t>
        </is>
      </c>
      <c r="H1089" s="17" t="inlineStr">
        <is>
          <t>10 EVIDENCE &amp; DECISIONS</t>
        </is>
      </c>
    </row>
    <row r="1090" ht="34" customHeight="1">
      <c r="A1090" s="12" t="inlineStr">
        <is>
          <t>R1603-v1</t>
        </is>
      </c>
      <c r="B1090" s="12" t="inlineStr">
        <is>
          <t>Commercial Package Register</t>
        </is>
      </c>
      <c r="C1090" s="12" t="inlineStr">
        <is>
          <t>PKG-041</t>
        </is>
      </c>
      <c r="D1090" s="12" t="inlineStr">
        <is>
          <t>1.5 Testing and Commissioning</t>
        </is>
      </c>
      <c r="E1090" s="12" t="inlineStr">
        <is>
          <t>New</t>
        </is>
      </c>
      <c r="F1090" s="12" t="inlineStr"/>
      <c r="G1090" s="12" t="inlineStr">
        <is>
          <t>Source assignment -- not individually reviewed</t>
        </is>
      </c>
      <c r="H1090" s="17" t="inlineStr">
        <is>
          <t>10 EVIDENCE &amp; DECISIONS</t>
        </is>
      </c>
    </row>
    <row r="1091" ht="34" customHeight="1">
      <c r="A1091" s="12" t="inlineStr">
        <is>
          <t>R1604-v1</t>
        </is>
      </c>
      <c r="B1091" s="12" t="inlineStr">
        <is>
          <t>Commercial Package Register</t>
        </is>
      </c>
      <c r="C1091" s="12" t="inlineStr">
        <is>
          <t>PKG-042</t>
        </is>
      </c>
      <c r="D1091" s="12" t="inlineStr">
        <is>
          <t>1.5 Testing and Commissioning</t>
        </is>
      </c>
      <c r="E1091" s="12" t="inlineStr">
        <is>
          <t>New</t>
        </is>
      </c>
      <c r="F1091" s="12" t="inlineStr"/>
      <c r="G1091" s="12" t="inlineStr">
        <is>
          <t>Source assignment -- not individually reviewed</t>
        </is>
      </c>
      <c r="H1091" s="17" t="inlineStr">
        <is>
          <t>10 EVIDENCE &amp; DECISIONS</t>
        </is>
      </c>
    </row>
    <row r="1092" ht="34" customHeight="1">
      <c r="A1092" s="12" t="inlineStr">
        <is>
          <t>R1605-v1</t>
        </is>
      </c>
      <c r="B1092" s="12" t="inlineStr">
        <is>
          <t>Commercial Package Register</t>
        </is>
      </c>
      <c r="C1092" s="12" t="inlineStr">
        <is>
          <t>PKG-043</t>
        </is>
      </c>
      <c r="D1092" s="12" t="inlineStr">
        <is>
          <t>1.5 Testing and Commissioning</t>
        </is>
      </c>
      <c r="E1092" s="12" t="inlineStr">
        <is>
          <t>New</t>
        </is>
      </c>
      <c r="F1092" s="12" t="inlineStr"/>
      <c r="G1092" s="12" t="inlineStr">
        <is>
          <t>Source assignment -- not individually reviewed</t>
        </is>
      </c>
      <c r="H1092" s="17" t="inlineStr">
        <is>
          <t>10 EVIDENCE &amp; DECISIONS</t>
        </is>
      </c>
    </row>
    <row r="1093" ht="34" customHeight="1">
      <c r="A1093" s="12" t="inlineStr">
        <is>
          <t>R1606-v1</t>
        </is>
      </c>
      <c r="B1093" s="12" t="inlineStr">
        <is>
          <t>Commercial Package Register</t>
        </is>
      </c>
      <c r="C1093" s="12" t="inlineStr">
        <is>
          <t>PKG-044</t>
        </is>
      </c>
      <c r="D1093" s="12" t="inlineStr">
        <is>
          <t>1.5 Testing and Commissioning</t>
        </is>
      </c>
      <c r="E1093" s="12" t="inlineStr">
        <is>
          <t>New</t>
        </is>
      </c>
      <c r="F1093" s="12" t="inlineStr"/>
      <c r="G1093" s="12" t="inlineStr">
        <is>
          <t>Source assignment -- not individually reviewed</t>
        </is>
      </c>
      <c r="H1093" s="17" t="inlineStr">
        <is>
          <t>10 EVIDENCE &amp; DECISIONS</t>
        </is>
      </c>
    </row>
    <row r="1094" ht="34" customHeight="1">
      <c r="A1094" s="12" t="inlineStr">
        <is>
          <t>R1607-v1</t>
        </is>
      </c>
      <c r="B1094" s="12" t="inlineStr">
        <is>
          <t>Commercial Package Register</t>
        </is>
      </c>
      <c r="C1094" s="12" t="inlineStr">
        <is>
          <t>PKG-045</t>
        </is>
      </c>
      <c r="D1094" s="12" t="inlineStr">
        <is>
          <t>1.5 Testing and Commissioning</t>
        </is>
      </c>
      <c r="E1094" s="12" t="inlineStr">
        <is>
          <t>New</t>
        </is>
      </c>
      <c r="F1094" s="12" t="inlineStr"/>
      <c r="G1094" s="12" t="inlineStr">
        <is>
          <t>Source assignment -- not individually reviewed</t>
        </is>
      </c>
      <c r="H1094" s="17" t="inlineStr">
        <is>
          <t>10 EVIDENCE &amp; DECISIONS</t>
        </is>
      </c>
    </row>
    <row r="1095" ht="34" customHeight="1">
      <c r="A1095" s="12" t="inlineStr">
        <is>
          <t>R1608-v1</t>
        </is>
      </c>
      <c r="B1095" s="12" t="inlineStr">
        <is>
          <t>Commercial Package Register</t>
        </is>
      </c>
      <c r="C1095" s="12" t="inlineStr">
        <is>
          <t>PKG-046</t>
        </is>
      </c>
      <c r="D1095" s="12" t="inlineStr">
        <is>
          <t>1.5 Testing and Commissioning</t>
        </is>
      </c>
      <c r="E1095" s="12" t="inlineStr">
        <is>
          <t>New</t>
        </is>
      </c>
      <c r="F1095" s="12" t="inlineStr"/>
      <c r="G1095" s="12" t="inlineStr">
        <is>
          <t>Source assignment -- not individually reviewed</t>
        </is>
      </c>
      <c r="H1095" s="17" t="inlineStr">
        <is>
          <t>10 EVIDENCE &amp; DECISIONS</t>
        </is>
      </c>
    </row>
    <row r="1096" ht="34" customHeight="1">
      <c r="A1096" s="12" t="inlineStr">
        <is>
          <t>R1609-v1</t>
        </is>
      </c>
      <c r="B1096" s="12" t="inlineStr">
        <is>
          <t>Commercial Package Register</t>
        </is>
      </c>
      <c r="C1096" s="12" t="inlineStr">
        <is>
          <t>PKG-047</t>
        </is>
      </c>
      <c r="D1096" s="12" t="inlineStr">
        <is>
          <t>1.5 Testing and Commissioning</t>
        </is>
      </c>
      <c r="E1096" s="12" t="inlineStr">
        <is>
          <t>New</t>
        </is>
      </c>
      <c r="F1096" s="12" t="inlineStr"/>
      <c r="G1096" s="12" t="inlineStr">
        <is>
          <t>Source assignment -- not individually reviewed</t>
        </is>
      </c>
      <c r="H1096" s="17" t="inlineStr">
        <is>
          <t>10 EVIDENCE &amp; DECISIONS</t>
        </is>
      </c>
    </row>
    <row r="1097" ht="34" customHeight="1">
      <c r="A1097" s="12" t="inlineStr">
        <is>
          <t>R1610-v1</t>
        </is>
      </c>
      <c r="B1097" s="12" t="inlineStr">
        <is>
          <t>Commercial Package Register</t>
        </is>
      </c>
      <c r="C1097" s="12" t="inlineStr">
        <is>
          <t>PKG-048</t>
        </is>
      </c>
      <c r="D1097" s="12" t="inlineStr">
        <is>
          <t>1.5 Testing and Commissioning</t>
        </is>
      </c>
      <c r="E1097" s="12" t="inlineStr">
        <is>
          <t>New</t>
        </is>
      </c>
      <c r="F1097" s="12" t="inlineStr"/>
      <c r="G1097" s="12" t="inlineStr">
        <is>
          <t>Source assignment -- not individually reviewed</t>
        </is>
      </c>
      <c r="H1097" s="17" t="inlineStr">
        <is>
          <t>10 EVIDENCE &amp; DECISIONS</t>
        </is>
      </c>
    </row>
    <row r="1098" ht="34" customHeight="1">
      <c r="A1098" s="12" t="inlineStr">
        <is>
          <t>R1611-v1</t>
        </is>
      </c>
      <c r="B1098" s="12" t="inlineStr">
        <is>
          <t>Commercial Package Register</t>
        </is>
      </c>
      <c r="C1098" s="12" t="inlineStr">
        <is>
          <t>PKG-049</t>
        </is>
      </c>
      <c r="D1098" s="12" t="inlineStr">
        <is>
          <t>1.5 Testing and Commissioning</t>
        </is>
      </c>
      <c r="E1098" s="12" t="inlineStr">
        <is>
          <t>New</t>
        </is>
      </c>
      <c r="F1098" s="12" t="inlineStr"/>
      <c r="G1098" s="12" t="inlineStr">
        <is>
          <t>Source assignment -- not individually reviewed</t>
        </is>
      </c>
      <c r="H1098" s="17" t="inlineStr">
        <is>
          <t>10 EVIDENCE &amp; DECISIONS</t>
        </is>
      </c>
    </row>
    <row r="1099" ht="34" customHeight="1">
      <c r="A1099" s="12" t="inlineStr">
        <is>
          <t>R1612-v1</t>
        </is>
      </c>
      <c r="B1099" s="12" t="inlineStr">
        <is>
          <t>Commercial Package Register</t>
        </is>
      </c>
      <c r="C1099" s="12" t="inlineStr">
        <is>
          <t>PKG-050</t>
        </is>
      </c>
      <c r="D1099" s="12" t="inlineStr">
        <is>
          <t>1.5 Testing and Commissioning</t>
        </is>
      </c>
      <c r="E1099" s="12" t="inlineStr">
        <is>
          <t>New</t>
        </is>
      </c>
      <c r="F1099" s="12" t="inlineStr"/>
      <c r="G1099" s="12" t="inlineStr">
        <is>
          <t>Source assignment -- not individually reviewed</t>
        </is>
      </c>
      <c r="H1099" s="17" t="inlineStr">
        <is>
          <t>10 EVIDENCE &amp; DECISIONS</t>
        </is>
      </c>
    </row>
    <row r="1100" ht="34" customHeight="1">
      <c r="A1100" s="12" t="inlineStr">
        <is>
          <t>R721-v1</t>
        </is>
      </c>
      <c r="B1100" s="12" t="inlineStr">
        <is>
          <t>Contractor Programme</t>
        </is>
      </c>
      <c r="C1100" s="12" t="inlineStr">
        <is>
          <t>SCH-05-001</t>
        </is>
      </c>
      <c r="D1100" s="12" t="inlineStr">
        <is>
          <t>1.5.1 Testing and Commissioning - Test Readiness</t>
        </is>
      </c>
      <c r="E1100" s="12" t="inlineStr">
        <is>
          <t>New</t>
        </is>
      </c>
      <c r="F1100" s="12" t="inlineStr"/>
      <c r="G1100" s="12" t="inlineStr">
        <is>
          <t>Source assignment -- not individually reviewed</t>
        </is>
      </c>
      <c r="H1100" s="17" t="inlineStr">
        <is>
          <t>10 EVIDENCE &amp; DECISIONS</t>
        </is>
      </c>
    </row>
    <row r="1101" ht="34" customHeight="1">
      <c r="A1101" s="12" t="inlineStr">
        <is>
          <t>R722-v1</t>
        </is>
      </c>
      <c r="B1101" s="12" t="inlineStr">
        <is>
          <t>Contractor Programme</t>
        </is>
      </c>
      <c r="C1101" s="12" t="inlineStr">
        <is>
          <t>SCH-05-002</t>
        </is>
      </c>
      <c r="D1101" s="12" t="inlineStr">
        <is>
          <t>1.5.1 Testing and Commissioning - Test Readiness</t>
        </is>
      </c>
      <c r="E1101" s="12" t="inlineStr">
        <is>
          <t>New</t>
        </is>
      </c>
      <c r="F1101" s="12" t="inlineStr"/>
      <c r="G1101" s="12" t="inlineStr">
        <is>
          <t>Source assignment -- not individually reviewed</t>
        </is>
      </c>
      <c r="H1101" s="17" t="inlineStr">
        <is>
          <t>10 EVIDENCE &amp; DECISIONS</t>
        </is>
      </c>
    </row>
    <row r="1102" ht="34" customHeight="1">
      <c r="A1102" s="12" t="inlineStr">
        <is>
          <t>R724-v1</t>
        </is>
      </c>
      <c r="B1102" s="12" t="inlineStr">
        <is>
          <t>Contractor Programme</t>
        </is>
      </c>
      <c r="C1102" s="12" t="inlineStr">
        <is>
          <t>SCH-05-004</t>
        </is>
      </c>
      <c r="D1102" s="12" t="inlineStr">
        <is>
          <t>1.5.1 Testing and Commissioning - Test Readiness</t>
        </is>
      </c>
      <c r="E1102" s="12" t="inlineStr">
        <is>
          <t>New</t>
        </is>
      </c>
      <c r="F1102" s="12" t="inlineStr"/>
      <c r="G1102" s="12" t="inlineStr">
        <is>
          <t>Source assignment -- not individually reviewed</t>
        </is>
      </c>
      <c r="H1102" s="17" t="inlineStr">
        <is>
          <t>10 EVIDENCE &amp; DECISIONS</t>
        </is>
      </c>
    </row>
    <row r="1103" ht="34" customHeight="1">
      <c r="A1103" s="12" t="inlineStr">
        <is>
          <t>R725-v1</t>
        </is>
      </c>
      <c r="B1103" s="12" t="inlineStr">
        <is>
          <t>Contractor Programme</t>
        </is>
      </c>
      <c r="C1103" s="12" t="inlineStr">
        <is>
          <t>SCH-05-005</t>
        </is>
      </c>
      <c r="D1103" s="12" t="inlineStr">
        <is>
          <t>1.5.1 Testing and Commissioning - Test Readiness</t>
        </is>
      </c>
      <c r="E1103" s="12" t="inlineStr">
        <is>
          <t>New</t>
        </is>
      </c>
      <c r="F1103" s="12" t="inlineStr"/>
      <c r="G1103" s="12" t="inlineStr">
        <is>
          <t>Source assignment -- not individually reviewed</t>
        </is>
      </c>
      <c r="H1103" s="17" t="inlineStr">
        <is>
          <t>10 EVIDENCE &amp; DECISIONS</t>
        </is>
      </c>
    </row>
    <row r="1104" ht="34" customHeight="1">
      <c r="A1104" s="12" t="inlineStr">
        <is>
          <t>R727-v1</t>
        </is>
      </c>
      <c r="B1104" s="12" t="inlineStr">
        <is>
          <t>Contractor Programme</t>
        </is>
      </c>
      <c r="C1104" s="12" t="inlineStr">
        <is>
          <t>SCH-05-007</t>
        </is>
      </c>
      <c r="D1104" s="12" t="inlineStr">
        <is>
          <t>1.5.1 Testing and Commissioning - Test Readiness</t>
        </is>
      </c>
      <c r="E1104" s="12" t="inlineStr">
        <is>
          <t>New</t>
        </is>
      </c>
      <c r="F1104" s="12" t="inlineStr"/>
      <c r="G1104" s="12" t="inlineStr">
        <is>
          <t>Source assignment -- not individually reviewed</t>
        </is>
      </c>
      <c r="H1104" s="17" t="inlineStr">
        <is>
          <t>10 EVIDENCE &amp; DECISIONS</t>
        </is>
      </c>
    </row>
    <row r="1105" ht="34" customHeight="1">
      <c r="A1105" s="12" t="inlineStr">
        <is>
          <t>R728-v1</t>
        </is>
      </c>
      <c r="B1105" s="12" t="inlineStr">
        <is>
          <t>Contractor Programme</t>
        </is>
      </c>
      <c r="C1105" s="12" t="inlineStr">
        <is>
          <t>SCH-05-008</t>
        </is>
      </c>
      <c r="D1105" s="12" t="inlineStr">
        <is>
          <t>1.5.1 Testing and Commissioning - Test Readiness</t>
        </is>
      </c>
      <c r="E1105" s="12" t="inlineStr">
        <is>
          <t>New</t>
        </is>
      </c>
      <c r="F1105" s="12" t="inlineStr"/>
      <c r="G1105" s="12" t="inlineStr">
        <is>
          <t>Source assignment -- not individually reviewed</t>
        </is>
      </c>
      <c r="H1105" s="17" t="inlineStr">
        <is>
          <t>10 EVIDENCE &amp; DECISIONS</t>
        </is>
      </c>
    </row>
    <row r="1106" ht="34" customHeight="1">
      <c r="A1106" s="12" t="inlineStr">
        <is>
          <t>R730-v1</t>
        </is>
      </c>
      <c r="B1106" s="12" t="inlineStr">
        <is>
          <t>Contractor Programme</t>
        </is>
      </c>
      <c r="C1106" s="12" t="inlineStr">
        <is>
          <t>SCH-05-010</t>
        </is>
      </c>
      <c r="D1106" s="12" t="inlineStr">
        <is>
          <t>1.5.1 Testing and Commissioning - Test Readiness</t>
        </is>
      </c>
      <c r="E1106" s="12" t="inlineStr">
        <is>
          <t>New</t>
        </is>
      </c>
      <c r="F1106" s="12" t="inlineStr"/>
      <c r="G1106" s="12" t="inlineStr">
        <is>
          <t>Source assignment -- not individually reviewed</t>
        </is>
      </c>
      <c r="H1106" s="17" t="inlineStr">
        <is>
          <t>10 EVIDENCE &amp; DECISIONS</t>
        </is>
      </c>
    </row>
    <row r="1107" ht="34" customHeight="1">
      <c r="A1107" s="12" t="inlineStr">
        <is>
          <t>R731-v1</t>
        </is>
      </c>
      <c r="B1107" s="12" t="inlineStr">
        <is>
          <t>Contractor Programme</t>
        </is>
      </c>
      <c r="C1107" s="12" t="inlineStr">
        <is>
          <t>SCH-05-011</t>
        </is>
      </c>
      <c r="D1107" s="12" t="inlineStr">
        <is>
          <t>1.5.1 Testing and Commissioning - Test Readiness</t>
        </is>
      </c>
      <c r="E1107" s="12" t="inlineStr">
        <is>
          <t>New</t>
        </is>
      </c>
      <c r="F1107" s="12" t="inlineStr"/>
      <c r="G1107" s="12" t="inlineStr">
        <is>
          <t>Source assignment -- not individually reviewed</t>
        </is>
      </c>
      <c r="H1107" s="17" t="inlineStr">
        <is>
          <t>10 EVIDENCE &amp; DECISIONS</t>
        </is>
      </c>
    </row>
    <row r="1108" ht="34" customHeight="1">
      <c r="A1108" s="12" t="inlineStr">
        <is>
          <t>R733-v1</t>
        </is>
      </c>
      <c r="B1108" s="12" t="inlineStr">
        <is>
          <t>Contractor Programme</t>
        </is>
      </c>
      <c r="C1108" s="12" t="inlineStr">
        <is>
          <t>SCH-05-013</t>
        </is>
      </c>
      <c r="D1108" s="12" t="inlineStr">
        <is>
          <t>1.5.1 Testing and Commissioning - Test Readiness</t>
        </is>
      </c>
      <c r="E1108" s="12" t="inlineStr">
        <is>
          <t>New</t>
        </is>
      </c>
      <c r="F1108" s="12" t="inlineStr"/>
      <c r="G1108" s="12" t="inlineStr">
        <is>
          <t>Source assignment -- not individually reviewed</t>
        </is>
      </c>
      <c r="H1108" s="17" t="inlineStr">
        <is>
          <t>10 EVIDENCE &amp; DECISIONS</t>
        </is>
      </c>
    </row>
    <row r="1109" ht="34" customHeight="1">
      <c r="A1109" s="12" t="inlineStr">
        <is>
          <t>R734-v1</t>
        </is>
      </c>
      <c r="B1109" s="12" t="inlineStr">
        <is>
          <t>Contractor Programme</t>
        </is>
      </c>
      <c r="C1109" s="12" t="inlineStr">
        <is>
          <t>SCH-05-014</t>
        </is>
      </c>
      <c r="D1109" s="12" t="inlineStr">
        <is>
          <t>1.5.1 Testing and Commissioning - Test Readiness</t>
        </is>
      </c>
      <c r="E1109" s="12" t="inlineStr">
        <is>
          <t>New</t>
        </is>
      </c>
      <c r="F1109" s="12" t="inlineStr"/>
      <c r="G1109" s="12" t="inlineStr">
        <is>
          <t>Source assignment -- not individually reviewed</t>
        </is>
      </c>
      <c r="H1109" s="17" t="inlineStr">
        <is>
          <t>10 EVIDENCE &amp; DECISIONS</t>
        </is>
      </c>
    </row>
    <row r="1110" ht="34" customHeight="1">
      <c r="A1110" s="12" t="inlineStr">
        <is>
          <t>R736-v1</t>
        </is>
      </c>
      <c r="B1110" s="12" t="inlineStr">
        <is>
          <t>Contractor Programme</t>
        </is>
      </c>
      <c r="C1110" s="12" t="inlineStr">
        <is>
          <t>SCH-05-016</t>
        </is>
      </c>
      <c r="D1110" s="12" t="inlineStr">
        <is>
          <t>1.5.1 Testing and Commissioning - Test Readiness</t>
        </is>
      </c>
      <c r="E1110" s="12" t="inlineStr">
        <is>
          <t>New</t>
        </is>
      </c>
      <c r="F1110" s="12" t="inlineStr"/>
      <c r="G1110" s="12" t="inlineStr">
        <is>
          <t>Source assignment -- not individually reviewed</t>
        </is>
      </c>
      <c r="H1110" s="17" t="inlineStr">
        <is>
          <t>10 EVIDENCE &amp; DECISIONS</t>
        </is>
      </c>
    </row>
    <row r="1111" ht="34" customHeight="1">
      <c r="A1111" s="12" t="inlineStr">
        <is>
          <t>R737-v1</t>
        </is>
      </c>
      <c r="B1111" s="12" t="inlineStr">
        <is>
          <t>Contractor Programme</t>
        </is>
      </c>
      <c r="C1111" s="12" t="inlineStr">
        <is>
          <t>SCH-05-017</t>
        </is>
      </c>
      <c r="D1111" s="12" t="inlineStr">
        <is>
          <t>1.5.1 Testing and Commissioning - Test Readiness</t>
        </is>
      </c>
      <c r="E1111" s="12" t="inlineStr">
        <is>
          <t>New</t>
        </is>
      </c>
      <c r="F1111" s="12" t="inlineStr"/>
      <c r="G1111" s="12" t="inlineStr">
        <is>
          <t>Source assignment -- not individually reviewed</t>
        </is>
      </c>
      <c r="H1111" s="17" t="inlineStr">
        <is>
          <t>10 EVIDENCE &amp; DECISIONS</t>
        </is>
      </c>
    </row>
    <row r="1112" ht="34" customHeight="1">
      <c r="A1112" s="12" t="inlineStr">
        <is>
          <t>R739-v1</t>
        </is>
      </c>
      <c r="B1112" s="12" t="inlineStr">
        <is>
          <t>Contractor Programme</t>
        </is>
      </c>
      <c r="C1112" s="12" t="inlineStr">
        <is>
          <t>SCH-05-019</t>
        </is>
      </c>
      <c r="D1112" s="12" t="inlineStr">
        <is>
          <t>1.5.1 Testing and Commissioning - Test Readiness</t>
        </is>
      </c>
      <c r="E1112" s="12" t="inlineStr">
        <is>
          <t>New</t>
        </is>
      </c>
      <c r="F1112" s="12" t="inlineStr"/>
      <c r="G1112" s="12" t="inlineStr">
        <is>
          <t>Source assignment -- not individually reviewed</t>
        </is>
      </c>
      <c r="H1112" s="17" t="inlineStr">
        <is>
          <t>10 EVIDENCE &amp; DECISIONS</t>
        </is>
      </c>
    </row>
    <row r="1113" ht="34" customHeight="1">
      <c r="A1113" s="12" t="inlineStr">
        <is>
          <t>R740-v1</t>
        </is>
      </c>
      <c r="B1113" s="12" t="inlineStr">
        <is>
          <t>Contractor Programme</t>
        </is>
      </c>
      <c r="C1113" s="12" t="inlineStr">
        <is>
          <t>SCH-05-020</t>
        </is>
      </c>
      <c r="D1113" s="12" t="inlineStr">
        <is>
          <t>1.5.1 Testing and Commissioning - Test Readiness</t>
        </is>
      </c>
      <c r="E1113" s="12" t="inlineStr">
        <is>
          <t>New</t>
        </is>
      </c>
      <c r="F1113" s="12" t="inlineStr"/>
      <c r="G1113" s="12" t="inlineStr">
        <is>
          <t>Source assignment -- not individually reviewed</t>
        </is>
      </c>
      <c r="H1113" s="17" t="inlineStr">
        <is>
          <t>10 EVIDENCE &amp; DECISIONS</t>
        </is>
      </c>
    </row>
    <row r="1114" ht="34" customHeight="1">
      <c r="A1114" s="12" t="inlineStr">
        <is>
          <t>R742-v1</t>
        </is>
      </c>
      <c r="B1114" s="12" t="inlineStr">
        <is>
          <t>Contractor Programme</t>
        </is>
      </c>
      <c r="C1114" s="12" t="inlineStr">
        <is>
          <t>SCH-05-022</t>
        </is>
      </c>
      <c r="D1114" s="12" t="inlineStr">
        <is>
          <t>1.5.1 Testing and Commissioning - Test Readiness</t>
        </is>
      </c>
      <c r="E1114" s="12" t="inlineStr">
        <is>
          <t>New</t>
        </is>
      </c>
      <c r="F1114" s="12" t="inlineStr"/>
      <c r="G1114" s="12" t="inlineStr">
        <is>
          <t>Source assignment -- not individually reviewed</t>
        </is>
      </c>
      <c r="H1114" s="17" t="inlineStr">
        <is>
          <t>10 EVIDENCE &amp; DECISIONS</t>
        </is>
      </c>
    </row>
    <row r="1115" ht="34" customHeight="1">
      <c r="A1115" s="12" t="inlineStr">
        <is>
          <t>R743-v1</t>
        </is>
      </c>
      <c r="B1115" s="12" t="inlineStr">
        <is>
          <t>Contractor Programme</t>
        </is>
      </c>
      <c r="C1115" s="12" t="inlineStr">
        <is>
          <t>SCH-05-023</t>
        </is>
      </c>
      <c r="D1115" s="12" t="inlineStr">
        <is>
          <t>1.5.1 Testing and Commissioning - Test Readiness</t>
        </is>
      </c>
      <c r="E1115" s="12" t="inlineStr">
        <is>
          <t>New</t>
        </is>
      </c>
      <c r="F1115" s="12" t="inlineStr"/>
      <c r="G1115" s="12" t="inlineStr">
        <is>
          <t>Source assignment -- not individually reviewed</t>
        </is>
      </c>
      <c r="H1115" s="17" t="inlineStr">
        <is>
          <t>10 EVIDENCE &amp; DECISIONS</t>
        </is>
      </c>
    </row>
    <row r="1116" ht="34" customHeight="1">
      <c r="A1116" s="12" t="inlineStr">
        <is>
          <t>R745-v1</t>
        </is>
      </c>
      <c r="B1116" s="12" t="inlineStr">
        <is>
          <t>Contractor Programme</t>
        </is>
      </c>
      <c r="C1116" s="12" t="inlineStr">
        <is>
          <t>SCH-05-025</t>
        </is>
      </c>
      <c r="D1116" s="12" t="inlineStr">
        <is>
          <t>1.5.1 Testing and Commissioning - Test Readiness</t>
        </is>
      </c>
      <c r="E1116" s="12" t="inlineStr">
        <is>
          <t>New</t>
        </is>
      </c>
      <c r="F1116" s="12" t="inlineStr"/>
      <c r="G1116" s="12" t="inlineStr">
        <is>
          <t>Source assignment -- not individually reviewed</t>
        </is>
      </c>
      <c r="H1116" s="17" t="inlineStr">
        <is>
          <t>10 EVIDENCE &amp; DECISIONS</t>
        </is>
      </c>
    </row>
    <row r="1117" ht="34" customHeight="1">
      <c r="A1117" s="12" t="inlineStr">
        <is>
          <t>R746-v1</t>
        </is>
      </c>
      <c r="B1117" s="12" t="inlineStr">
        <is>
          <t>Contractor Programme</t>
        </is>
      </c>
      <c r="C1117" s="12" t="inlineStr">
        <is>
          <t>SCH-05-026</t>
        </is>
      </c>
      <c r="D1117" s="12" t="inlineStr">
        <is>
          <t>1.5.1 Testing and Commissioning - Test Readiness</t>
        </is>
      </c>
      <c r="E1117" s="12" t="inlineStr">
        <is>
          <t>New</t>
        </is>
      </c>
      <c r="F1117" s="12" t="inlineStr"/>
      <c r="G1117" s="12" t="inlineStr">
        <is>
          <t>Source assignment -- not individually reviewed</t>
        </is>
      </c>
      <c r="H1117" s="17" t="inlineStr">
        <is>
          <t>10 EVIDENCE &amp; DECISIONS</t>
        </is>
      </c>
    </row>
    <row r="1118" ht="34" customHeight="1">
      <c r="A1118" s="12" t="inlineStr">
        <is>
          <t>R748-v1</t>
        </is>
      </c>
      <c r="B1118" s="12" t="inlineStr">
        <is>
          <t>Contractor Programme</t>
        </is>
      </c>
      <c r="C1118" s="12" t="inlineStr">
        <is>
          <t>SCH-05-028</t>
        </is>
      </c>
      <c r="D1118" s="12" t="inlineStr">
        <is>
          <t>1.5.1 Testing and Commissioning - Test Readiness</t>
        </is>
      </c>
      <c r="E1118" s="12" t="inlineStr">
        <is>
          <t>New</t>
        </is>
      </c>
      <c r="F1118" s="12" t="inlineStr"/>
      <c r="G1118" s="12" t="inlineStr">
        <is>
          <t>Source assignment -- not individually reviewed</t>
        </is>
      </c>
      <c r="H1118" s="17" t="inlineStr">
        <is>
          <t>10 EVIDENCE &amp; DECISIONS</t>
        </is>
      </c>
    </row>
    <row r="1119" ht="34" customHeight="1">
      <c r="A1119" s="12" t="inlineStr">
        <is>
          <t>R749-v1</t>
        </is>
      </c>
      <c r="B1119" s="12" t="inlineStr">
        <is>
          <t>Contractor Programme</t>
        </is>
      </c>
      <c r="C1119" s="12" t="inlineStr">
        <is>
          <t>SCH-05-029</t>
        </is>
      </c>
      <c r="D1119" s="12" t="inlineStr">
        <is>
          <t>1.5.1 Testing and Commissioning - Test Readiness</t>
        </is>
      </c>
      <c r="E1119" s="12" t="inlineStr">
        <is>
          <t>New</t>
        </is>
      </c>
      <c r="F1119" s="12" t="inlineStr"/>
      <c r="G1119" s="12" t="inlineStr">
        <is>
          <t>Source assignment -- not individually reviewed</t>
        </is>
      </c>
      <c r="H1119" s="17" t="inlineStr">
        <is>
          <t>10 EVIDENCE &amp; DECISIONS</t>
        </is>
      </c>
    </row>
    <row r="1120" ht="34" customHeight="1">
      <c r="A1120" s="12" t="inlineStr">
        <is>
          <t>R751-v1</t>
        </is>
      </c>
      <c r="B1120" s="12" t="inlineStr">
        <is>
          <t>Contractor Programme</t>
        </is>
      </c>
      <c r="C1120" s="12" t="inlineStr">
        <is>
          <t>SCH-05-031</t>
        </is>
      </c>
      <c r="D1120" s="12" t="inlineStr">
        <is>
          <t>1.5.1 Testing and Commissioning - Test Readiness</t>
        </is>
      </c>
      <c r="E1120" s="12" t="inlineStr">
        <is>
          <t>New</t>
        </is>
      </c>
      <c r="F1120" s="12" t="inlineStr"/>
      <c r="G1120" s="12" t="inlineStr">
        <is>
          <t>Source assignment -- not individually reviewed</t>
        </is>
      </c>
      <c r="H1120" s="17" t="inlineStr">
        <is>
          <t>10 EVIDENCE &amp; DECISIONS</t>
        </is>
      </c>
    </row>
    <row r="1121" ht="34" customHeight="1">
      <c r="A1121" s="12" t="inlineStr">
        <is>
          <t>R752-v1</t>
        </is>
      </c>
      <c r="B1121" s="12" t="inlineStr">
        <is>
          <t>Contractor Programme</t>
        </is>
      </c>
      <c r="C1121" s="12" t="inlineStr">
        <is>
          <t>SCH-05-032</t>
        </is>
      </c>
      <c r="D1121" s="12" t="inlineStr">
        <is>
          <t>1.5.1 Testing and Commissioning - Test Readiness</t>
        </is>
      </c>
      <c r="E1121" s="12" t="inlineStr">
        <is>
          <t>New</t>
        </is>
      </c>
      <c r="F1121" s="12" t="inlineStr"/>
      <c r="G1121" s="12" t="inlineStr">
        <is>
          <t>Source assignment -- not individually reviewed</t>
        </is>
      </c>
      <c r="H1121" s="17" t="inlineStr">
        <is>
          <t>10 EVIDENCE &amp; DECISIONS</t>
        </is>
      </c>
    </row>
    <row r="1122" ht="34" customHeight="1">
      <c r="A1122" s="12" t="inlineStr">
        <is>
          <t>R754-v1</t>
        </is>
      </c>
      <c r="B1122" s="12" t="inlineStr">
        <is>
          <t>Contractor Programme</t>
        </is>
      </c>
      <c r="C1122" s="12" t="inlineStr">
        <is>
          <t>SCH-05-034</t>
        </is>
      </c>
      <c r="D1122" s="12" t="inlineStr">
        <is>
          <t>1.5.1 Testing and Commissioning - Test Readiness</t>
        </is>
      </c>
      <c r="E1122" s="12" t="inlineStr">
        <is>
          <t>New</t>
        </is>
      </c>
      <c r="F1122" s="12" t="inlineStr"/>
      <c r="G1122" s="12" t="inlineStr">
        <is>
          <t>Source assignment -- not individually reviewed</t>
        </is>
      </c>
      <c r="H1122" s="17" t="inlineStr">
        <is>
          <t>10 EVIDENCE &amp; DECISIONS</t>
        </is>
      </c>
    </row>
    <row r="1123" ht="34" customHeight="1">
      <c r="A1123" s="12" t="inlineStr">
        <is>
          <t>R755-v1</t>
        </is>
      </c>
      <c r="B1123" s="12" t="inlineStr">
        <is>
          <t>Contractor Programme</t>
        </is>
      </c>
      <c r="C1123" s="12" t="inlineStr">
        <is>
          <t>SCH-05-035</t>
        </is>
      </c>
      <c r="D1123" s="12" t="inlineStr">
        <is>
          <t>1.5.1 Testing and Commissioning - Test Readiness</t>
        </is>
      </c>
      <c r="E1123" s="12" t="inlineStr">
        <is>
          <t>New</t>
        </is>
      </c>
      <c r="F1123" s="12" t="inlineStr"/>
      <c r="G1123" s="12" t="inlineStr">
        <is>
          <t>Source assignment -- not individually reviewed</t>
        </is>
      </c>
      <c r="H1123" s="17" t="inlineStr">
        <is>
          <t>10 EVIDENCE &amp; DECISIONS</t>
        </is>
      </c>
    </row>
    <row r="1124" ht="34" customHeight="1">
      <c r="A1124" s="12" t="inlineStr">
        <is>
          <t>R757-v1</t>
        </is>
      </c>
      <c r="B1124" s="12" t="inlineStr">
        <is>
          <t>Contractor Programme</t>
        </is>
      </c>
      <c r="C1124" s="12" t="inlineStr">
        <is>
          <t>SCH-05-037</t>
        </is>
      </c>
      <c r="D1124" s="12" t="inlineStr">
        <is>
          <t>1.5.1 Testing and Commissioning - Test Readiness</t>
        </is>
      </c>
      <c r="E1124" s="12" t="inlineStr">
        <is>
          <t>New</t>
        </is>
      </c>
      <c r="F1124" s="12" t="inlineStr"/>
      <c r="G1124" s="12" t="inlineStr">
        <is>
          <t>Source assignment -- not individually reviewed</t>
        </is>
      </c>
      <c r="H1124" s="17" t="inlineStr">
        <is>
          <t>10 EVIDENCE &amp; DECISIONS</t>
        </is>
      </c>
    </row>
    <row r="1125" ht="34" customHeight="1">
      <c r="A1125" s="12" t="inlineStr">
        <is>
          <t>R758-v1</t>
        </is>
      </c>
      <c r="B1125" s="12" t="inlineStr">
        <is>
          <t>Contractor Programme</t>
        </is>
      </c>
      <c r="C1125" s="12" t="inlineStr">
        <is>
          <t>SCH-05-038</t>
        </is>
      </c>
      <c r="D1125" s="12" t="inlineStr">
        <is>
          <t>1.5.1 Testing and Commissioning - Test Readiness</t>
        </is>
      </c>
      <c r="E1125" s="12" t="inlineStr">
        <is>
          <t>New</t>
        </is>
      </c>
      <c r="F1125" s="12" t="inlineStr"/>
      <c r="G1125" s="12" t="inlineStr">
        <is>
          <t>Source assignment -- not individually reviewed</t>
        </is>
      </c>
      <c r="H1125" s="17" t="inlineStr">
        <is>
          <t>10 EVIDENCE &amp; DECISIONS</t>
        </is>
      </c>
    </row>
    <row r="1126" ht="34" customHeight="1">
      <c r="A1126" s="12" t="inlineStr">
        <is>
          <t>R760-v1</t>
        </is>
      </c>
      <c r="B1126" s="12" t="inlineStr">
        <is>
          <t>Contractor Programme</t>
        </is>
      </c>
      <c r="C1126" s="12" t="inlineStr">
        <is>
          <t>SCH-05-040</t>
        </is>
      </c>
      <c r="D1126" s="12" t="inlineStr">
        <is>
          <t>1.5.1 Testing and Commissioning - Test Readiness</t>
        </is>
      </c>
      <c r="E1126" s="12" t="inlineStr">
        <is>
          <t>New</t>
        </is>
      </c>
      <c r="F1126" s="12" t="inlineStr"/>
      <c r="G1126" s="12" t="inlineStr">
        <is>
          <t>Source assignment -- not individually reviewed</t>
        </is>
      </c>
      <c r="H1126" s="17" t="inlineStr">
        <is>
          <t>10 EVIDENCE &amp; DECISIONS</t>
        </is>
      </c>
    </row>
    <row r="1127" ht="34" customHeight="1">
      <c r="A1127" s="12" t="inlineStr">
        <is>
          <t>R761-v1</t>
        </is>
      </c>
      <c r="B1127" s="12" t="inlineStr">
        <is>
          <t>Contractor Programme</t>
        </is>
      </c>
      <c r="C1127" s="12" t="inlineStr">
        <is>
          <t>SCH-05-041</t>
        </is>
      </c>
      <c r="D1127" s="12" t="inlineStr">
        <is>
          <t>1.5.1 Testing and Commissioning - Test Readiness</t>
        </is>
      </c>
      <c r="E1127" s="12" t="inlineStr">
        <is>
          <t>New</t>
        </is>
      </c>
      <c r="F1127" s="12" t="inlineStr"/>
      <c r="G1127" s="12" t="inlineStr">
        <is>
          <t>Source assignment -- not individually reviewed</t>
        </is>
      </c>
      <c r="H1127" s="17" t="inlineStr">
        <is>
          <t>10 EVIDENCE &amp; DECISIONS</t>
        </is>
      </c>
    </row>
    <row r="1128" ht="34" customHeight="1">
      <c r="A1128" s="12" t="inlineStr">
        <is>
          <t>R763-v1</t>
        </is>
      </c>
      <c r="B1128" s="12" t="inlineStr">
        <is>
          <t>Contractor Programme</t>
        </is>
      </c>
      <c r="C1128" s="12" t="inlineStr">
        <is>
          <t>SCH-05-043</t>
        </is>
      </c>
      <c r="D1128" s="12" t="inlineStr">
        <is>
          <t>1.5.1 Testing and Commissioning - Test Readiness</t>
        </is>
      </c>
      <c r="E1128" s="12" t="inlineStr">
        <is>
          <t>New</t>
        </is>
      </c>
      <c r="F1128" s="12" t="inlineStr"/>
      <c r="G1128" s="12" t="inlineStr">
        <is>
          <t>Source assignment -- not individually reviewed</t>
        </is>
      </c>
      <c r="H1128" s="17" t="inlineStr">
        <is>
          <t>10 EVIDENCE &amp; DECISIONS</t>
        </is>
      </c>
    </row>
    <row r="1129" ht="34" customHeight="1">
      <c r="A1129" s="12" t="inlineStr">
        <is>
          <t>R764-v1</t>
        </is>
      </c>
      <c r="B1129" s="12" t="inlineStr">
        <is>
          <t>Contractor Programme</t>
        </is>
      </c>
      <c r="C1129" s="12" t="inlineStr">
        <is>
          <t>SCH-05-044</t>
        </is>
      </c>
      <c r="D1129" s="12" t="inlineStr">
        <is>
          <t>1.5.1 Testing and Commissioning - Test Readiness</t>
        </is>
      </c>
      <c r="E1129" s="12" t="inlineStr">
        <is>
          <t>New</t>
        </is>
      </c>
      <c r="F1129" s="12" t="inlineStr"/>
      <c r="G1129" s="12" t="inlineStr">
        <is>
          <t>Source assignment -- not individually reviewed</t>
        </is>
      </c>
      <c r="H1129" s="17" t="inlineStr">
        <is>
          <t>10 EVIDENCE &amp; DECISIONS</t>
        </is>
      </c>
    </row>
    <row r="1130" ht="34" customHeight="1">
      <c r="A1130" s="12" t="inlineStr">
        <is>
          <t>R766-v1</t>
        </is>
      </c>
      <c r="B1130" s="12" t="inlineStr">
        <is>
          <t>Contractor Programme</t>
        </is>
      </c>
      <c r="C1130" s="12" t="inlineStr">
        <is>
          <t>SCH-05-046</t>
        </is>
      </c>
      <c r="D1130" s="12" t="inlineStr">
        <is>
          <t>1.5.1 Testing and Commissioning - Test Readiness</t>
        </is>
      </c>
      <c r="E1130" s="12" t="inlineStr">
        <is>
          <t>New</t>
        </is>
      </c>
      <c r="F1130" s="12" t="inlineStr"/>
      <c r="G1130" s="12" t="inlineStr">
        <is>
          <t>Source assignment -- not individually reviewed</t>
        </is>
      </c>
      <c r="H1130" s="17" t="inlineStr">
        <is>
          <t>10 EVIDENCE &amp; DECISIONS</t>
        </is>
      </c>
    </row>
    <row r="1131" ht="34" customHeight="1">
      <c r="A1131" s="12" t="inlineStr">
        <is>
          <t>R767-v1</t>
        </is>
      </c>
      <c r="B1131" s="12" t="inlineStr">
        <is>
          <t>Contractor Programme</t>
        </is>
      </c>
      <c r="C1131" s="12" t="inlineStr">
        <is>
          <t>SCH-05-047</t>
        </is>
      </c>
      <c r="D1131" s="12" t="inlineStr">
        <is>
          <t>1.5.1 Testing and Commissioning - Test Readiness</t>
        </is>
      </c>
      <c r="E1131" s="12" t="inlineStr">
        <is>
          <t>New</t>
        </is>
      </c>
      <c r="F1131" s="12" t="inlineStr"/>
      <c r="G1131" s="12" t="inlineStr">
        <is>
          <t>Source assignment -- not individually reviewed</t>
        </is>
      </c>
      <c r="H1131" s="17" t="inlineStr">
        <is>
          <t>10 EVIDENCE &amp; DECISIONS</t>
        </is>
      </c>
    </row>
    <row r="1132" ht="34" customHeight="1">
      <c r="A1132" s="12" t="inlineStr">
        <is>
          <t>R769-v1</t>
        </is>
      </c>
      <c r="B1132" s="12" t="inlineStr">
        <is>
          <t>Contractor Programme</t>
        </is>
      </c>
      <c r="C1132" s="12" t="inlineStr">
        <is>
          <t>SCH-05-049</t>
        </is>
      </c>
      <c r="D1132" s="12" t="inlineStr">
        <is>
          <t>1.5.1 Testing and Commissioning - Test Readiness</t>
        </is>
      </c>
      <c r="E1132" s="12" t="inlineStr">
        <is>
          <t>New</t>
        </is>
      </c>
      <c r="F1132" s="12" t="inlineStr"/>
      <c r="G1132" s="12" t="inlineStr">
        <is>
          <t>Source assignment -- not individually reviewed</t>
        </is>
      </c>
      <c r="H1132" s="17" t="inlineStr">
        <is>
          <t>10 EVIDENCE &amp; DECISIONS</t>
        </is>
      </c>
    </row>
    <row r="1133" ht="34" customHeight="1">
      <c r="A1133" s="12" t="inlineStr">
        <is>
          <t>R770-v1</t>
        </is>
      </c>
      <c r="B1133" s="12" t="inlineStr">
        <is>
          <t>Contractor Programme</t>
        </is>
      </c>
      <c r="C1133" s="12" t="inlineStr">
        <is>
          <t>SCH-05-050</t>
        </is>
      </c>
      <c r="D1133" s="12" t="inlineStr">
        <is>
          <t>1.5.1 Testing and Commissioning - Test Readiness</t>
        </is>
      </c>
      <c r="E1133" s="12" t="inlineStr">
        <is>
          <t>New</t>
        </is>
      </c>
      <c r="F1133" s="12" t="inlineStr"/>
      <c r="G1133" s="12" t="inlineStr">
        <is>
          <t>Source assignment -- not individually reviewed</t>
        </is>
      </c>
      <c r="H1133" s="17" t="inlineStr">
        <is>
          <t>10 EVIDENCE &amp; DECISIONS</t>
        </is>
      </c>
    </row>
    <row r="1134" ht="34" customHeight="1">
      <c r="A1134" s="12" t="inlineStr">
        <is>
          <t>R772-v1</t>
        </is>
      </c>
      <c r="B1134" s="12" t="inlineStr">
        <is>
          <t>Contractor Programme</t>
        </is>
      </c>
      <c r="C1134" s="12" t="inlineStr">
        <is>
          <t>SCH-05-052</t>
        </is>
      </c>
      <c r="D1134" s="12" t="inlineStr">
        <is>
          <t>1.5.1 Testing and Commissioning - Test Readiness</t>
        </is>
      </c>
      <c r="E1134" s="12" t="inlineStr">
        <is>
          <t>New</t>
        </is>
      </c>
      <c r="F1134" s="12" t="inlineStr"/>
      <c r="G1134" s="12" t="inlineStr">
        <is>
          <t>Source assignment -- not individually reviewed</t>
        </is>
      </c>
      <c r="H1134" s="17" t="inlineStr">
        <is>
          <t>10 EVIDENCE &amp; DECISIONS</t>
        </is>
      </c>
    </row>
    <row r="1135" ht="34" customHeight="1">
      <c r="A1135" s="12" t="inlineStr">
        <is>
          <t>R773-v1</t>
        </is>
      </c>
      <c r="B1135" s="12" t="inlineStr">
        <is>
          <t>Contractor Programme</t>
        </is>
      </c>
      <c r="C1135" s="12" t="inlineStr">
        <is>
          <t>SCH-05-053</t>
        </is>
      </c>
      <c r="D1135" s="12" t="inlineStr">
        <is>
          <t>1.5.1 Testing and Commissioning - Test Readiness</t>
        </is>
      </c>
      <c r="E1135" s="12" t="inlineStr">
        <is>
          <t>New</t>
        </is>
      </c>
      <c r="F1135" s="12" t="inlineStr"/>
      <c r="G1135" s="12" t="inlineStr">
        <is>
          <t>Source assignment -- not individually reviewed</t>
        </is>
      </c>
      <c r="H1135" s="17" t="inlineStr">
        <is>
          <t>10 EVIDENCE &amp; DECISIONS</t>
        </is>
      </c>
    </row>
    <row r="1136" ht="34" customHeight="1">
      <c r="A1136" s="12" t="inlineStr">
        <is>
          <t>R775-v1</t>
        </is>
      </c>
      <c r="B1136" s="12" t="inlineStr">
        <is>
          <t>Contractor Programme</t>
        </is>
      </c>
      <c r="C1136" s="12" t="inlineStr">
        <is>
          <t>SCH-05-055</t>
        </is>
      </c>
      <c r="D1136" s="12" t="inlineStr">
        <is>
          <t>1.5.1 Testing and Commissioning - Test Readiness</t>
        </is>
      </c>
      <c r="E1136" s="12" t="inlineStr">
        <is>
          <t>New</t>
        </is>
      </c>
      <c r="F1136" s="12" t="inlineStr"/>
      <c r="G1136" s="12" t="inlineStr">
        <is>
          <t>Source assignment -- not individually reviewed</t>
        </is>
      </c>
      <c r="H1136" s="17" t="inlineStr">
        <is>
          <t>10 EVIDENCE &amp; DECISIONS</t>
        </is>
      </c>
    </row>
    <row r="1137" ht="34" customHeight="1">
      <c r="A1137" s="12" t="inlineStr">
        <is>
          <t>R776-v1</t>
        </is>
      </c>
      <c r="B1137" s="12" t="inlineStr">
        <is>
          <t>Contractor Programme</t>
        </is>
      </c>
      <c r="C1137" s="12" t="inlineStr">
        <is>
          <t>SCH-05-056</t>
        </is>
      </c>
      <c r="D1137" s="12" t="inlineStr">
        <is>
          <t>1.5.1 Testing and Commissioning - Test Readiness</t>
        </is>
      </c>
      <c r="E1137" s="12" t="inlineStr">
        <is>
          <t>New</t>
        </is>
      </c>
      <c r="F1137" s="12" t="inlineStr"/>
      <c r="G1137" s="12" t="inlineStr">
        <is>
          <t>Source assignment -- not individually reviewed</t>
        </is>
      </c>
      <c r="H1137" s="17" t="inlineStr">
        <is>
          <t>10 EVIDENCE &amp; DECISIONS</t>
        </is>
      </c>
    </row>
    <row r="1138" ht="34" customHeight="1">
      <c r="A1138" s="12" t="inlineStr">
        <is>
          <t>R778-v1</t>
        </is>
      </c>
      <c r="B1138" s="12" t="inlineStr">
        <is>
          <t>Contractor Programme</t>
        </is>
      </c>
      <c r="C1138" s="12" t="inlineStr">
        <is>
          <t>SCH-05-058</t>
        </is>
      </c>
      <c r="D1138" s="12" t="inlineStr">
        <is>
          <t>1.5.1 Testing and Commissioning - Test Readiness</t>
        </is>
      </c>
      <c r="E1138" s="12" t="inlineStr">
        <is>
          <t>New</t>
        </is>
      </c>
      <c r="F1138" s="12" t="inlineStr"/>
      <c r="G1138" s="12" t="inlineStr">
        <is>
          <t>Source assignment -- not individually reviewed</t>
        </is>
      </c>
      <c r="H1138" s="17" t="inlineStr">
        <is>
          <t>10 EVIDENCE &amp; DECISIONS</t>
        </is>
      </c>
    </row>
    <row r="1139" ht="34" customHeight="1">
      <c r="A1139" s="12" t="inlineStr">
        <is>
          <t>R779-v1</t>
        </is>
      </c>
      <c r="B1139" s="12" t="inlineStr">
        <is>
          <t>Contractor Programme</t>
        </is>
      </c>
      <c r="C1139" s="12" t="inlineStr">
        <is>
          <t>SCH-05-059</t>
        </is>
      </c>
      <c r="D1139" s="12" t="inlineStr">
        <is>
          <t>1.5.1 Testing and Commissioning - Test Readiness</t>
        </is>
      </c>
      <c r="E1139" s="12" t="inlineStr">
        <is>
          <t>New</t>
        </is>
      </c>
      <c r="F1139" s="12" t="inlineStr"/>
      <c r="G1139" s="12" t="inlineStr">
        <is>
          <t>Source assignment -- not individually reviewed</t>
        </is>
      </c>
      <c r="H1139" s="17" t="inlineStr">
        <is>
          <t>10 EVIDENCE &amp; DECISIONS</t>
        </is>
      </c>
    </row>
    <row r="1140" ht="34" customHeight="1">
      <c r="A1140" s="12" t="inlineStr">
        <is>
          <t>R781-v1</t>
        </is>
      </c>
      <c r="B1140" s="12" t="inlineStr">
        <is>
          <t>Contractor Programme</t>
        </is>
      </c>
      <c r="C1140" s="12" t="inlineStr">
        <is>
          <t>SCH-05-061</t>
        </is>
      </c>
      <c r="D1140" s="12" t="inlineStr">
        <is>
          <t>1.5.1 Testing and Commissioning - Test Readiness</t>
        </is>
      </c>
      <c r="E1140" s="12" t="inlineStr">
        <is>
          <t>New</t>
        </is>
      </c>
      <c r="F1140" s="12" t="inlineStr"/>
      <c r="G1140" s="12" t="inlineStr">
        <is>
          <t>Source assignment -- not individually reviewed</t>
        </is>
      </c>
      <c r="H1140" s="17" t="inlineStr">
        <is>
          <t>10 EVIDENCE &amp; DECISIONS</t>
        </is>
      </c>
    </row>
    <row r="1141" ht="34" customHeight="1">
      <c r="A1141" s="12" t="inlineStr">
        <is>
          <t>R782-v1</t>
        </is>
      </c>
      <c r="B1141" s="12" t="inlineStr">
        <is>
          <t>Contractor Programme</t>
        </is>
      </c>
      <c r="C1141" s="12" t="inlineStr">
        <is>
          <t>SCH-05-062</t>
        </is>
      </c>
      <c r="D1141" s="12" t="inlineStr">
        <is>
          <t>1.5.1 Testing and Commissioning - Test Readiness</t>
        </is>
      </c>
      <c r="E1141" s="12" t="inlineStr">
        <is>
          <t>New</t>
        </is>
      </c>
      <c r="F1141" s="12" t="inlineStr"/>
      <c r="G1141" s="12" t="inlineStr">
        <is>
          <t>Source assignment -- not individually reviewed</t>
        </is>
      </c>
      <c r="H1141" s="17" t="inlineStr">
        <is>
          <t>10 EVIDENCE &amp; DECISIONS</t>
        </is>
      </c>
    </row>
    <row r="1142" ht="34" customHeight="1">
      <c r="A1142" s="12" t="inlineStr">
        <is>
          <t>R784-v1</t>
        </is>
      </c>
      <c r="B1142" s="12" t="inlineStr">
        <is>
          <t>Contractor Programme</t>
        </is>
      </c>
      <c r="C1142" s="12" t="inlineStr">
        <is>
          <t>SCH-05-064</t>
        </is>
      </c>
      <c r="D1142" s="12" t="inlineStr">
        <is>
          <t>1.5.1 Testing and Commissioning - Test Readiness</t>
        </is>
      </c>
      <c r="E1142" s="12" t="inlineStr">
        <is>
          <t>New</t>
        </is>
      </c>
      <c r="F1142" s="12" t="inlineStr"/>
      <c r="G1142" s="12" t="inlineStr">
        <is>
          <t>Source assignment -- not individually reviewed</t>
        </is>
      </c>
      <c r="H1142" s="17" t="inlineStr">
        <is>
          <t>10 EVIDENCE &amp; DECISIONS</t>
        </is>
      </c>
    </row>
    <row r="1143" ht="34" customHeight="1">
      <c r="A1143" s="12" t="inlineStr">
        <is>
          <t>R785-v1</t>
        </is>
      </c>
      <c r="B1143" s="12" t="inlineStr">
        <is>
          <t>Contractor Programme</t>
        </is>
      </c>
      <c r="C1143" s="12" t="inlineStr">
        <is>
          <t>SCH-05-065</t>
        </is>
      </c>
      <c r="D1143" s="12" t="inlineStr">
        <is>
          <t>1.5.1 Testing and Commissioning - Test Readiness</t>
        </is>
      </c>
      <c r="E1143" s="12" t="inlineStr">
        <is>
          <t>New</t>
        </is>
      </c>
      <c r="F1143" s="12" t="inlineStr"/>
      <c r="G1143" s="12" t="inlineStr">
        <is>
          <t>Source assignment -- not individually reviewed</t>
        </is>
      </c>
      <c r="H1143" s="17" t="inlineStr">
        <is>
          <t>10 EVIDENCE &amp; DECISIONS</t>
        </is>
      </c>
    </row>
    <row r="1144" ht="34" customHeight="1">
      <c r="A1144" s="12" t="inlineStr">
        <is>
          <t>R787-v1</t>
        </is>
      </c>
      <c r="B1144" s="12" t="inlineStr">
        <is>
          <t>Contractor Programme</t>
        </is>
      </c>
      <c r="C1144" s="12" t="inlineStr">
        <is>
          <t>SCH-05-067</t>
        </is>
      </c>
      <c r="D1144" s="12" t="inlineStr">
        <is>
          <t>1.5.1 Testing and Commissioning - Test Readiness</t>
        </is>
      </c>
      <c r="E1144" s="12" t="inlineStr">
        <is>
          <t>New</t>
        </is>
      </c>
      <c r="F1144" s="12" t="inlineStr"/>
      <c r="G1144" s="12" t="inlineStr">
        <is>
          <t>Source assignment -- not individually reviewed</t>
        </is>
      </c>
      <c r="H1144" s="17" t="inlineStr">
        <is>
          <t>10 EVIDENCE &amp; DECISIONS</t>
        </is>
      </c>
    </row>
    <row r="1145" ht="34" customHeight="1">
      <c r="A1145" s="12" t="inlineStr">
        <is>
          <t>R788-v1</t>
        </is>
      </c>
      <c r="B1145" s="12" t="inlineStr">
        <is>
          <t>Contractor Programme</t>
        </is>
      </c>
      <c r="C1145" s="12" t="inlineStr">
        <is>
          <t>SCH-05-068</t>
        </is>
      </c>
      <c r="D1145" s="12" t="inlineStr">
        <is>
          <t>1.5.1 Testing and Commissioning - Test Readiness</t>
        </is>
      </c>
      <c r="E1145" s="12" t="inlineStr">
        <is>
          <t>New</t>
        </is>
      </c>
      <c r="F1145" s="12" t="inlineStr"/>
      <c r="G1145" s="12" t="inlineStr">
        <is>
          <t>Source assignment -- not individually reviewed</t>
        </is>
      </c>
      <c r="H1145" s="17" t="inlineStr">
        <is>
          <t>10 EVIDENCE &amp; DECISIONS</t>
        </is>
      </c>
    </row>
    <row r="1146" ht="34" customHeight="1">
      <c r="A1146" s="12" t="inlineStr">
        <is>
          <t>R790-v1</t>
        </is>
      </c>
      <c r="B1146" s="12" t="inlineStr">
        <is>
          <t>Contractor Programme</t>
        </is>
      </c>
      <c r="C1146" s="12" t="inlineStr">
        <is>
          <t>SCH-05-070</t>
        </is>
      </c>
      <c r="D1146" s="12" t="inlineStr">
        <is>
          <t>1.5.1 Testing and Commissioning - Test Readiness</t>
        </is>
      </c>
      <c r="E1146" s="12" t="inlineStr">
        <is>
          <t>New</t>
        </is>
      </c>
      <c r="F1146" s="12" t="inlineStr"/>
      <c r="G1146" s="12" t="inlineStr">
        <is>
          <t>Source assignment -- not individually reviewed</t>
        </is>
      </c>
      <c r="H1146" s="17" t="inlineStr">
        <is>
          <t>10 EVIDENCE &amp; DECISIONS</t>
        </is>
      </c>
    </row>
    <row r="1147" ht="34" customHeight="1">
      <c r="A1147" s="12" t="inlineStr">
        <is>
          <t>R791-v1</t>
        </is>
      </c>
      <c r="B1147" s="12" t="inlineStr">
        <is>
          <t>Contractor Programme</t>
        </is>
      </c>
      <c r="C1147" s="12" t="inlineStr">
        <is>
          <t>SCH-05-071</t>
        </is>
      </c>
      <c r="D1147" s="12" t="inlineStr">
        <is>
          <t>1.5.1 Testing and Commissioning - Test Readiness</t>
        </is>
      </c>
      <c r="E1147" s="12" t="inlineStr">
        <is>
          <t>New</t>
        </is>
      </c>
      <c r="F1147" s="12" t="inlineStr"/>
      <c r="G1147" s="12" t="inlineStr">
        <is>
          <t>Source assignment -- not individually reviewed</t>
        </is>
      </c>
      <c r="H1147" s="17" t="inlineStr">
        <is>
          <t>10 EVIDENCE &amp; DECISIONS</t>
        </is>
      </c>
    </row>
    <row r="1148" ht="34" customHeight="1">
      <c r="A1148" s="12" t="inlineStr">
        <is>
          <t>R793-v1</t>
        </is>
      </c>
      <c r="B1148" s="12" t="inlineStr">
        <is>
          <t>Contractor Programme</t>
        </is>
      </c>
      <c r="C1148" s="12" t="inlineStr">
        <is>
          <t>SCH-05-073</t>
        </is>
      </c>
      <c r="D1148" s="12" t="inlineStr">
        <is>
          <t>1.5.1 Testing and Commissioning - Test Readiness</t>
        </is>
      </c>
      <c r="E1148" s="12" t="inlineStr">
        <is>
          <t>New</t>
        </is>
      </c>
      <c r="F1148" s="12" t="inlineStr"/>
      <c r="G1148" s="12" t="inlineStr">
        <is>
          <t>Source assignment -- not individually reviewed</t>
        </is>
      </c>
      <c r="H1148" s="17" t="inlineStr">
        <is>
          <t>10 EVIDENCE &amp; DECISIONS</t>
        </is>
      </c>
    </row>
    <row r="1149" ht="34" customHeight="1">
      <c r="A1149" s="12" t="inlineStr">
        <is>
          <t>R794-v1</t>
        </is>
      </c>
      <c r="B1149" s="12" t="inlineStr">
        <is>
          <t>Contractor Programme</t>
        </is>
      </c>
      <c r="C1149" s="12" t="inlineStr">
        <is>
          <t>SCH-05-074</t>
        </is>
      </c>
      <c r="D1149" s="12" t="inlineStr">
        <is>
          <t>1.5.1 Testing and Commissioning - Test Readiness</t>
        </is>
      </c>
      <c r="E1149" s="12" t="inlineStr">
        <is>
          <t>New</t>
        </is>
      </c>
      <c r="F1149" s="12" t="inlineStr"/>
      <c r="G1149" s="12" t="inlineStr">
        <is>
          <t>Source assignment -- not individually reviewed</t>
        </is>
      </c>
      <c r="H1149" s="17" t="inlineStr">
        <is>
          <t>10 EVIDENCE &amp; DECISIONS</t>
        </is>
      </c>
    </row>
    <row r="1150" ht="34" customHeight="1">
      <c r="A1150" s="12" t="inlineStr">
        <is>
          <t>R796-v1</t>
        </is>
      </c>
      <c r="B1150" s="12" t="inlineStr">
        <is>
          <t>Contractor Programme</t>
        </is>
      </c>
      <c r="C1150" s="12" t="inlineStr">
        <is>
          <t>SCH-05-076</t>
        </is>
      </c>
      <c r="D1150" s="12" t="inlineStr">
        <is>
          <t>1.5.1 Testing and Commissioning - Test Readiness</t>
        </is>
      </c>
      <c r="E1150" s="12" t="inlineStr">
        <is>
          <t>New</t>
        </is>
      </c>
      <c r="F1150" s="12" t="inlineStr"/>
      <c r="G1150" s="12" t="inlineStr">
        <is>
          <t>Source assignment -- not individually reviewed</t>
        </is>
      </c>
      <c r="H1150" s="17" t="inlineStr">
        <is>
          <t>10 EVIDENCE &amp; DECISIONS</t>
        </is>
      </c>
    </row>
    <row r="1151" ht="34" customHeight="1">
      <c r="A1151" s="12" t="inlineStr">
        <is>
          <t>R797-v1</t>
        </is>
      </c>
      <c r="B1151" s="12" t="inlineStr">
        <is>
          <t>Contractor Programme</t>
        </is>
      </c>
      <c r="C1151" s="12" t="inlineStr">
        <is>
          <t>SCH-05-077</t>
        </is>
      </c>
      <c r="D1151" s="12" t="inlineStr">
        <is>
          <t>1.5.1 Testing and Commissioning - Test Readiness</t>
        </is>
      </c>
      <c r="E1151" s="12" t="inlineStr">
        <is>
          <t>New</t>
        </is>
      </c>
      <c r="F1151" s="12" t="inlineStr"/>
      <c r="G1151" s="12" t="inlineStr">
        <is>
          <t>Source assignment -- not individually reviewed</t>
        </is>
      </c>
      <c r="H1151" s="17" t="inlineStr">
        <is>
          <t>10 EVIDENCE &amp; DECISIONS</t>
        </is>
      </c>
    </row>
    <row r="1152" ht="34" customHeight="1">
      <c r="A1152" s="12" t="inlineStr">
        <is>
          <t>R799-v1</t>
        </is>
      </c>
      <c r="B1152" s="12" t="inlineStr">
        <is>
          <t>Contractor Programme</t>
        </is>
      </c>
      <c r="C1152" s="12" t="inlineStr">
        <is>
          <t>SCH-05-079</t>
        </is>
      </c>
      <c r="D1152" s="12" t="inlineStr">
        <is>
          <t>1.5.1 Testing and Commissioning - Test Readiness</t>
        </is>
      </c>
      <c r="E1152" s="12" t="inlineStr">
        <is>
          <t>New</t>
        </is>
      </c>
      <c r="F1152" s="12" t="inlineStr"/>
      <c r="G1152" s="12" t="inlineStr">
        <is>
          <t>Source assignment -- not individually reviewed</t>
        </is>
      </c>
      <c r="H1152" s="17" t="inlineStr">
        <is>
          <t>10 EVIDENCE &amp; DECISIONS</t>
        </is>
      </c>
    </row>
    <row r="1153" ht="34" customHeight="1">
      <c r="A1153" s="12" t="inlineStr">
        <is>
          <t>R800-v1</t>
        </is>
      </c>
      <c r="B1153" s="12" t="inlineStr">
        <is>
          <t>Contractor Programme</t>
        </is>
      </c>
      <c r="C1153" s="12" t="inlineStr">
        <is>
          <t>SCH-05-080</t>
        </is>
      </c>
      <c r="D1153" s="12" t="inlineStr">
        <is>
          <t>1.5.1 Testing and Commissioning - Test Readiness</t>
        </is>
      </c>
      <c r="E1153" s="12" t="inlineStr">
        <is>
          <t>New</t>
        </is>
      </c>
      <c r="F1153" s="12" t="inlineStr"/>
      <c r="G1153" s="12" t="inlineStr">
        <is>
          <t>Source assignment -- not individually reviewed</t>
        </is>
      </c>
      <c r="H1153" s="17" t="inlineStr">
        <is>
          <t>10 EVIDENCE &amp; DECISIONS</t>
        </is>
      </c>
    </row>
    <row r="1154" ht="34" customHeight="1">
      <c r="A1154" s="12" t="inlineStr">
        <is>
          <t>R802-v1</t>
        </is>
      </c>
      <c r="B1154" s="12" t="inlineStr">
        <is>
          <t>Contractor Programme</t>
        </is>
      </c>
      <c r="C1154" s="12" t="inlineStr">
        <is>
          <t>SCH-05-082</t>
        </is>
      </c>
      <c r="D1154" s="12" t="inlineStr">
        <is>
          <t>1.5.1 Testing and Commissioning - Test Readiness</t>
        </is>
      </c>
      <c r="E1154" s="12" t="inlineStr">
        <is>
          <t>New</t>
        </is>
      </c>
      <c r="F1154" s="12" t="inlineStr"/>
      <c r="G1154" s="12" t="inlineStr">
        <is>
          <t>Source assignment -- not individually reviewed</t>
        </is>
      </c>
      <c r="H1154" s="17" t="inlineStr">
        <is>
          <t>10 EVIDENCE &amp; DECISIONS</t>
        </is>
      </c>
    </row>
    <row r="1155" ht="34" customHeight="1">
      <c r="A1155" s="12" t="inlineStr">
        <is>
          <t>R803-v1</t>
        </is>
      </c>
      <c r="B1155" s="12" t="inlineStr">
        <is>
          <t>Contractor Programme</t>
        </is>
      </c>
      <c r="C1155" s="12" t="inlineStr">
        <is>
          <t>SCH-05-083</t>
        </is>
      </c>
      <c r="D1155" s="12" t="inlineStr">
        <is>
          <t>1.5.1 Testing and Commissioning - Test Readiness</t>
        </is>
      </c>
      <c r="E1155" s="12" t="inlineStr">
        <is>
          <t>New</t>
        </is>
      </c>
      <c r="F1155" s="12" t="inlineStr"/>
      <c r="G1155" s="12" t="inlineStr">
        <is>
          <t>Source assignment -- not individually reviewed</t>
        </is>
      </c>
      <c r="H1155" s="17" t="inlineStr">
        <is>
          <t>10 EVIDENCE &amp; DECISIONS</t>
        </is>
      </c>
    </row>
    <row r="1156" ht="34" customHeight="1">
      <c r="A1156" s="12" t="inlineStr">
        <is>
          <t>R805-v1</t>
        </is>
      </c>
      <c r="B1156" s="12" t="inlineStr">
        <is>
          <t>Contractor Programme</t>
        </is>
      </c>
      <c r="C1156" s="12" t="inlineStr">
        <is>
          <t>SCH-05-085</t>
        </is>
      </c>
      <c r="D1156" s="12" t="inlineStr">
        <is>
          <t>1.5.1 Testing and Commissioning - Test Readiness</t>
        </is>
      </c>
      <c r="E1156" s="12" t="inlineStr">
        <is>
          <t>New</t>
        </is>
      </c>
      <c r="F1156" s="12" t="inlineStr"/>
      <c r="G1156" s="12" t="inlineStr">
        <is>
          <t>Source assignment -- not individually reviewed</t>
        </is>
      </c>
      <c r="H1156" s="17" t="inlineStr">
        <is>
          <t>10 EVIDENCE &amp; DECISIONS</t>
        </is>
      </c>
    </row>
    <row r="1157" ht="34" customHeight="1">
      <c r="A1157" s="12" t="inlineStr">
        <is>
          <t>R806-v1</t>
        </is>
      </c>
      <c r="B1157" s="12" t="inlineStr">
        <is>
          <t>Contractor Programme</t>
        </is>
      </c>
      <c r="C1157" s="12" t="inlineStr">
        <is>
          <t>SCH-05-086</t>
        </is>
      </c>
      <c r="D1157" s="12" t="inlineStr">
        <is>
          <t>1.5.1 Testing and Commissioning - Test Readiness</t>
        </is>
      </c>
      <c r="E1157" s="12" t="inlineStr">
        <is>
          <t>New</t>
        </is>
      </c>
      <c r="F1157" s="12" t="inlineStr"/>
      <c r="G1157" s="12" t="inlineStr">
        <is>
          <t>Source assignment -- not individually reviewed</t>
        </is>
      </c>
      <c r="H1157" s="17" t="inlineStr">
        <is>
          <t>10 EVIDENCE &amp; DECISIONS</t>
        </is>
      </c>
    </row>
    <row r="1158" ht="34" customHeight="1">
      <c r="A1158" s="12" t="inlineStr">
        <is>
          <t>R808-v1</t>
        </is>
      </c>
      <c r="B1158" s="12" t="inlineStr">
        <is>
          <t>Contractor Programme</t>
        </is>
      </c>
      <c r="C1158" s="12" t="inlineStr">
        <is>
          <t>SCH-05-088</t>
        </is>
      </c>
      <c r="D1158" s="12" t="inlineStr">
        <is>
          <t>1.5.1 Testing and Commissioning - Test Readiness</t>
        </is>
      </c>
      <c r="E1158" s="12" t="inlineStr">
        <is>
          <t>New</t>
        </is>
      </c>
      <c r="F1158" s="12" t="inlineStr"/>
      <c r="G1158" s="12" t="inlineStr">
        <is>
          <t>Source assignment -- not individually reviewed</t>
        </is>
      </c>
      <c r="H1158" s="17" t="inlineStr">
        <is>
          <t>10 EVIDENCE &amp; DECISIONS</t>
        </is>
      </c>
    </row>
    <row r="1159" ht="34" customHeight="1">
      <c r="A1159" s="12" t="inlineStr">
        <is>
          <t>R809-v1</t>
        </is>
      </c>
      <c r="B1159" s="12" t="inlineStr">
        <is>
          <t>Contractor Programme</t>
        </is>
      </c>
      <c r="C1159" s="12" t="inlineStr">
        <is>
          <t>SCH-05-089</t>
        </is>
      </c>
      <c r="D1159" s="12" t="inlineStr">
        <is>
          <t>1.5.1 Testing and Commissioning - Test Readiness</t>
        </is>
      </c>
      <c r="E1159" s="12" t="inlineStr">
        <is>
          <t>New</t>
        </is>
      </c>
      <c r="F1159" s="12" t="inlineStr"/>
      <c r="G1159" s="12" t="inlineStr">
        <is>
          <t>Source assignment -- not individually reviewed</t>
        </is>
      </c>
      <c r="H1159" s="17" t="inlineStr">
        <is>
          <t>10 EVIDENCE &amp; DECISIONS</t>
        </is>
      </c>
    </row>
    <row r="1160" ht="34" customHeight="1">
      <c r="A1160" s="12" t="inlineStr">
        <is>
          <t>R811-v1</t>
        </is>
      </c>
      <c r="B1160" s="12" t="inlineStr">
        <is>
          <t>Contractor Programme</t>
        </is>
      </c>
      <c r="C1160" s="12" t="inlineStr">
        <is>
          <t>SCH-05-091</t>
        </is>
      </c>
      <c r="D1160" s="12" t="inlineStr">
        <is>
          <t>1.5.1 Testing and Commissioning - Test Readiness</t>
        </is>
      </c>
      <c r="E1160" s="12" t="inlineStr">
        <is>
          <t>New</t>
        </is>
      </c>
      <c r="F1160" s="12" t="inlineStr"/>
      <c r="G1160" s="12" t="inlineStr">
        <is>
          <t>Source assignment -- not individually reviewed</t>
        </is>
      </c>
      <c r="H1160" s="17" t="inlineStr">
        <is>
          <t>10 EVIDENCE &amp; DECISIONS</t>
        </is>
      </c>
    </row>
    <row r="1161" ht="34" customHeight="1">
      <c r="A1161" s="12" t="inlineStr">
        <is>
          <t>R812-v1</t>
        </is>
      </c>
      <c r="B1161" s="12" t="inlineStr">
        <is>
          <t>Contractor Programme</t>
        </is>
      </c>
      <c r="C1161" s="12" t="inlineStr">
        <is>
          <t>SCH-05-092</t>
        </is>
      </c>
      <c r="D1161" s="12" t="inlineStr">
        <is>
          <t>1.5.1 Testing and Commissioning - Test Readiness</t>
        </is>
      </c>
      <c r="E1161" s="12" t="inlineStr">
        <is>
          <t>New</t>
        </is>
      </c>
      <c r="F1161" s="12" t="inlineStr"/>
      <c r="G1161" s="12" t="inlineStr">
        <is>
          <t>Source assignment -- not individually reviewed</t>
        </is>
      </c>
      <c r="H1161" s="17" t="inlineStr">
        <is>
          <t>10 EVIDENCE &amp; DECISIONS</t>
        </is>
      </c>
    </row>
    <row r="1162" ht="34" customHeight="1">
      <c r="A1162" s="12" t="inlineStr">
        <is>
          <t>R814-v1</t>
        </is>
      </c>
      <c r="B1162" s="12" t="inlineStr">
        <is>
          <t>Contractor Programme</t>
        </is>
      </c>
      <c r="C1162" s="12" t="inlineStr">
        <is>
          <t>SCH-05-094</t>
        </is>
      </c>
      <c r="D1162" s="12" t="inlineStr">
        <is>
          <t>1.5.1 Testing and Commissioning - Test Readiness</t>
        </is>
      </c>
      <c r="E1162" s="12" t="inlineStr">
        <is>
          <t>New</t>
        </is>
      </c>
      <c r="F1162" s="12" t="inlineStr"/>
      <c r="G1162" s="12" t="inlineStr">
        <is>
          <t>Source assignment -- not individually reviewed</t>
        </is>
      </c>
      <c r="H1162" s="17" t="inlineStr">
        <is>
          <t>10 EVIDENCE &amp; DECISIONS</t>
        </is>
      </c>
    </row>
    <row r="1163" ht="34" customHeight="1">
      <c r="A1163" s="12" t="inlineStr">
        <is>
          <t>R815-v1</t>
        </is>
      </c>
      <c r="B1163" s="12" t="inlineStr">
        <is>
          <t>Contractor Programme</t>
        </is>
      </c>
      <c r="C1163" s="12" t="inlineStr">
        <is>
          <t>SCH-05-095</t>
        </is>
      </c>
      <c r="D1163" s="12" t="inlineStr">
        <is>
          <t>1.5.1 Testing and Commissioning - Test Readiness</t>
        </is>
      </c>
      <c r="E1163" s="12" t="inlineStr">
        <is>
          <t>New</t>
        </is>
      </c>
      <c r="F1163" s="12" t="inlineStr"/>
      <c r="G1163" s="12" t="inlineStr">
        <is>
          <t>Source assignment -- not individually reviewed</t>
        </is>
      </c>
      <c r="H1163" s="17" t="inlineStr">
        <is>
          <t>10 EVIDENCE &amp; DECISIONS</t>
        </is>
      </c>
    </row>
    <row r="1164" ht="34" customHeight="1">
      <c r="A1164" s="12" t="inlineStr">
        <is>
          <t>R817-v1</t>
        </is>
      </c>
      <c r="B1164" s="12" t="inlineStr">
        <is>
          <t>Contractor Programme</t>
        </is>
      </c>
      <c r="C1164" s="12" t="inlineStr">
        <is>
          <t>SCH-05-097</t>
        </is>
      </c>
      <c r="D1164" s="12" t="inlineStr">
        <is>
          <t>1.5.1 Testing and Commissioning - Test Readiness</t>
        </is>
      </c>
      <c r="E1164" s="12" t="inlineStr">
        <is>
          <t>New</t>
        </is>
      </c>
      <c r="F1164" s="12" t="inlineStr"/>
      <c r="G1164" s="12" t="inlineStr">
        <is>
          <t>Source assignment -- not individually reviewed</t>
        </is>
      </c>
      <c r="H1164" s="17" t="inlineStr">
        <is>
          <t>10 EVIDENCE &amp; DECISIONS</t>
        </is>
      </c>
    </row>
    <row r="1165" ht="34" customHeight="1">
      <c r="A1165" s="12" t="inlineStr">
        <is>
          <t>R818-v1</t>
        </is>
      </c>
      <c r="B1165" s="12" t="inlineStr">
        <is>
          <t>Contractor Programme</t>
        </is>
      </c>
      <c r="C1165" s="12" t="inlineStr">
        <is>
          <t>SCH-05-098</t>
        </is>
      </c>
      <c r="D1165" s="12" t="inlineStr">
        <is>
          <t>1.5.1 Testing and Commissioning - Test Readiness</t>
        </is>
      </c>
      <c r="E1165" s="12" t="inlineStr">
        <is>
          <t>New</t>
        </is>
      </c>
      <c r="F1165" s="12" t="inlineStr"/>
      <c r="G1165" s="12" t="inlineStr">
        <is>
          <t>Source assignment -- not individually reviewed</t>
        </is>
      </c>
      <c r="H1165" s="17" t="inlineStr">
        <is>
          <t>10 EVIDENCE &amp; DECISIONS</t>
        </is>
      </c>
    </row>
    <row r="1166" ht="34" customHeight="1">
      <c r="A1166" s="12" t="inlineStr">
        <is>
          <t>R820-v1</t>
        </is>
      </c>
      <c r="B1166" s="12" t="inlineStr">
        <is>
          <t>Contractor Programme</t>
        </is>
      </c>
      <c r="C1166" s="12" t="inlineStr">
        <is>
          <t>SCH-05-100</t>
        </is>
      </c>
      <c r="D1166" s="12" t="inlineStr">
        <is>
          <t>1.5.1 Testing and Commissioning - Test Readiness</t>
        </is>
      </c>
      <c r="E1166" s="12" t="inlineStr">
        <is>
          <t>New</t>
        </is>
      </c>
      <c r="F1166" s="12" t="inlineStr"/>
      <c r="G1166" s="12" t="inlineStr">
        <is>
          <t>Source assignment -- not individually reviewed</t>
        </is>
      </c>
      <c r="H1166" s="17" t="inlineStr">
        <is>
          <t>10 EVIDENCE &amp; DECISIONS</t>
        </is>
      </c>
    </row>
    <row r="1167" ht="34" customHeight="1">
      <c r="A1167" s="12" t="inlineStr">
        <is>
          <t>R821-v1</t>
        </is>
      </c>
      <c r="B1167" s="12" t="inlineStr">
        <is>
          <t>Contractor Programme</t>
        </is>
      </c>
      <c r="C1167" s="12" t="inlineStr">
        <is>
          <t>SCH-05-101</t>
        </is>
      </c>
      <c r="D1167" s="12" t="inlineStr">
        <is>
          <t>1.5.1 Testing and Commissioning - Test Readiness</t>
        </is>
      </c>
      <c r="E1167" s="12" t="inlineStr">
        <is>
          <t>New</t>
        </is>
      </c>
      <c r="F1167" s="12" t="inlineStr"/>
      <c r="G1167" s="12" t="inlineStr">
        <is>
          <t>Source assignment -- not individually reviewed</t>
        </is>
      </c>
      <c r="H1167" s="17" t="inlineStr">
        <is>
          <t>10 EVIDENCE &amp; DECISIONS</t>
        </is>
      </c>
    </row>
    <row r="1168" ht="34" customHeight="1">
      <c r="A1168" s="12" t="inlineStr">
        <is>
          <t>R823-v1</t>
        </is>
      </c>
      <c r="B1168" s="12" t="inlineStr">
        <is>
          <t>Contractor Programme</t>
        </is>
      </c>
      <c r="C1168" s="12" t="inlineStr">
        <is>
          <t>SCH-05-103</t>
        </is>
      </c>
      <c r="D1168" s="12" t="inlineStr">
        <is>
          <t>1.5.1 Testing and Commissioning - Test Readiness</t>
        </is>
      </c>
      <c r="E1168" s="12" t="inlineStr">
        <is>
          <t>New</t>
        </is>
      </c>
      <c r="F1168" s="12" t="inlineStr"/>
      <c r="G1168" s="12" t="inlineStr">
        <is>
          <t>Source assignment -- not individually reviewed</t>
        </is>
      </c>
      <c r="H1168" s="17" t="inlineStr">
        <is>
          <t>10 EVIDENCE &amp; DECISIONS</t>
        </is>
      </c>
    </row>
    <row r="1169" ht="34" customHeight="1">
      <c r="A1169" s="12" t="inlineStr">
        <is>
          <t>R824-v1</t>
        </is>
      </c>
      <c r="B1169" s="12" t="inlineStr">
        <is>
          <t>Contractor Programme</t>
        </is>
      </c>
      <c r="C1169" s="12" t="inlineStr">
        <is>
          <t>SCH-05-104</t>
        </is>
      </c>
      <c r="D1169" s="12" t="inlineStr">
        <is>
          <t>1.5.1 Testing and Commissioning - Test Readiness</t>
        </is>
      </c>
      <c r="E1169" s="12" t="inlineStr">
        <is>
          <t>New</t>
        </is>
      </c>
      <c r="F1169" s="12" t="inlineStr"/>
      <c r="G1169" s="12" t="inlineStr">
        <is>
          <t>Source assignment -- not individually reviewed</t>
        </is>
      </c>
      <c r="H1169" s="17" t="inlineStr">
        <is>
          <t>10 EVIDENCE &amp; DECISIONS</t>
        </is>
      </c>
    </row>
    <row r="1170" ht="34" customHeight="1">
      <c r="A1170" s="12" t="inlineStr">
        <is>
          <t>R826-v1</t>
        </is>
      </c>
      <c r="B1170" s="12" t="inlineStr">
        <is>
          <t>Contractor Programme</t>
        </is>
      </c>
      <c r="C1170" s="12" t="inlineStr">
        <is>
          <t>SCH-05-106</t>
        </is>
      </c>
      <c r="D1170" s="12" t="inlineStr">
        <is>
          <t>1.5.1 Testing and Commissioning - Test Readiness</t>
        </is>
      </c>
      <c r="E1170" s="12" t="inlineStr">
        <is>
          <t>New</t>
        </is>
      </c>
      <c r="F1170" s="12" t="inlineStr"/>
      <c r="G1170" s="12" t="inlineStr">
        <is>
          <t>Source assignment -- not individually reviewed</t>
        </is>
      </c>
      <c r="H1170" s="17" t="inlineStr">
        <is>
          <t>10 EVIDENCE &amp; DECISIONS</t>
        </is>
      </c>
    </row>
    <row r="1171" ht="34" customHeight="1">
      <c r="A1171" s="12" t="inlineStr">
        <is>
          <t>R827-v1</t>
        </is>
      </c>
      <c r="B1171" s="12" t="inlineStr">
        <is>
          <t>Contractor Programme</t>
        </is>
      </c>
      <c r="C1171" s="12" t="inlineStr">
        <is>
          <t>SCH-05-107</t>
        </is>
      </c>
      <c r="D1171" s="12" t="inlineStr">
        <is>
          <t>1.5.1 Testing and Commissioning - Test Readiness</t>
        </is>
      </c>
      <c r="E1171" s="12" t="inlineStr">
        <is>
          <t>New</t>
        </is>
      </c>
      <c r="F1171" s="12" t="inlineStr"/>
      <c r="G1171" s="12" t="inlineStr">
        <is>
          <t>Source assignment -- not individually reviewed</t>
        </is>
      </c>
      <c r="H1171" s="17" t="inlineStr">
        <is>
          <t>10 EVIDENCE &amp; DECISIONS</t>
        </is>
      </c>
    </row>
    <row r="1172" ht="34" customHeight="1">
      <c r="A1172" s="12" t="inlineStr">
        <is>
          <t>R829-v1</t>
        </is>
      </c>
      <c r="B1172" s="12" t="inlineStr">
        <is>
          <t>Contractor Programme</t>
        </is>
      </c>
      <c r="C1172" s="12" t="inlineStr">
        <is>
          <t>SCH-05-109</t>
        </is>
      </c>
      <c r="D1172" s="12" t="inlineStr">
        <is>
          <t>1.5.1 Testing and Commissioning - Test Readiness</t>
        </is>
      </c>
      <c r="E1172" s="12" t="inlineStr">
        <is>
          <t>New</t>
        </is>
      </c>
      <c r="F1172" s="12" t="inlineStr"/>
      <c r="G1172" s="12" t="inlineStr">
        <is>
          <t>Source assignment -- not individually reviewed</t>
        </is>
      </c>
      <c r="H1172" s="17" t="inlineStr">
        <is>
          <t>10 EVIDENCE &amp; DECISIONS</t>
        </is>
      </c>
    </row>
    <row r="1173" ht="34" customHeight="1">
      <c r="A1173" s="12" t="inlineStr">
        <is>
          <t>R830-v1</t>
        </is>
      </c>
      <c r="B1173" s="12" t="inlineStr">
        <is>
          <t>Contractor Programme</t>
        </is>
      </c>
      <c r="C1173" s="12" t="inlineStr">
        <is>
          <t>SCH-05-110</t>
        </is>
      </c>
      <c r="D1173" s="12" t="inlineStr">
        <is>
          <t>1.5.1 Testing and Commissioning - Test Readiness</t>
        </is>
      </c>
      <c r="E1173" s="12" t="inlineStr">
        <is>
          <t>New</t>
        </is>
      </c>
      <c r="F1173" s="12" t="inlineStr"/>
      <c r="G1173" s="12" t="inlineStr">
        <is>
          <t>Source assignment -- not individually reviewed</t>
        </is>
      </c>
      <c r="H1173" s="17" t="inlineStr">
        <is>
          <t>10 EVIDENCE &amp; DECISIONS</t>
        </is>
      </c>
    </row>
    <row r="1174" ht="34" customHeight="1">
      <c r="A1174" s="12" t="inlineStr">
        <is>
          <t>R832-v1</t>
        </is>
      </c>
      <c r="B1174" s="12" t="inlineStr">
        <is>
          <t>Contractor Programme</t>
        </is>
      </c>
      <c r="C1174" s="12" t="inlineStr">
        <is>
          <t>SCH-05-112</t>
        </is>
      </c>
      <c r="D1174" s="12" t="inlineStr">
        <is>
          <t>1.5.1 Testing and Commissioning - Test Readiness</t>
        </is>
      </c>
      <c r="E1174" s="12" t="inlineStr">
        <is>
          <t>New</t>
        </is>
      </c>
      <c r="F1174" s="12" t="inlineStr"/>
      <c r="G1174" s="12" t="inlineStr">
        <is>
          <t>Source assignment -- not individually reviewed</t>
        </is>
      </c>
      <c r="H1174" s="17" t="inlineStr">
        <is>
          <t>10 EVIDENCE &amp; DECISIONS</t>
        </is>
      </c>
    </row>
    <row r="1175" ht="34" customHeight="1">
      <c r="A1175" s="12" t="inlineStr">
        <is>
          <t>R833-v1</t>
        </is>
      </c>
      <c r="B1175" s="12" t="inlineStr">
        <is>
          <t>Contractor Programme</t>
        </is>
      </c>
      <c r="C1175" s="12" t="inlineStr">
        <is>
          <t>SCH-05-113</t>
        </is>
      </c>
      <c r="D1175" s="12" t="inlineStr">
        <is>
          <t>1.5.1 Testing and Commissioning - Test Readiness</t>
        </is>
      </c>
      <c r="E1175" s="12" t="inlineStr">
        <is>
          <t>New</t>
        </is>
      </c>
      <c r="F1175" s="12" t="inlineStr"/>
      <c r="G1175" s="12" t="inlineStr">
        <is>
          <t>Source assignment -- not individually reviewed</t>
        </is>
      </c>
      <c r="H1175" s="17" t="inlineStr">
        <is>
          <t>10 EVIDENCE &amp; DECISIONS</t>
        </is>
      </c>
    </row>
    <row r="1176" ht="34" customHeight="1">
      <c r="A1176" s="12" t="inlineStr">
        <is>
          <t>R835-v1</t>
        </is>
      </c>
      <c r="B1176" s="12" t="inlineStr">
        <is>
          <t>Contractor Programme</t>
        </is>
      </c>
      <c r="C1176" s="12" t="inlineStr">
        <is>
          <t>SCH-05-115</t>
        </is>
      </c>
      <c r="D1176" s="12" t="inlineStr">
        <is>
          <t>1.5.1 Testing and Commissioning - Test Readiness</t>
        </is>
      </c>
      <c r="E1176" s="12" t="inlineStr">
        <is>
          <t>New</t>
        </is>
      </c>
      <c r="F1176" s="12" t="inlineStr"/>
      <c r="G1176" s="12" t="inlineStr">
        <is>
          <t>Source assignment -- not individually reviewed</t>
        </is>
      </c>
      <c r="H1176" s="17" t="inlineStr">
        <is>
          <t>10 EVIDENCE &amp; DECISIONS</t>
        </is>
      </c>
    </row>
    <row r="1177" ht="34" customHeight="1">
      <c r="A1177" s="12" t="inlineStr">
        <is>
          <t>R836-v1</t>
        </is>
      </c>
      <c r="B1177" s="12" t="inlineStr">
        <is>
          <t>Contractor Programme</t>
        </is>
      </c>
      <c r="C1177" s="12" t="inlineStr">
        <is>
          <t>SCH-05-116</t>
        </is>
      </c>
      <c r="D1177" s="12" t="inlineStr">
        <is>
          <t>1.5.1 Testing and Commissioning - Test Readiness</t>
        </is>
      </c>
      <c r="E1177" s="12" t="inlineStr">
        <is>
          <t>New</t>
        </is>
      </c>
      <c r="F1177" s="12" t="inlineStr"/>
      <c r="G1177" s="12" t="inlineStr">
        <is>
          <t>Source assignment -- not individually reviewed</t>
        </is>
      </c>
      <c r="H1177" s="17" t="inlineStr">
        <is>
          <t>10 EVIDENCE &amp; DECISIONS</t>
        </is>
      </c>
    </row>
    <row r="1178" ht="34" customHeight="1">
      <c r="A1178" s="12" t="inlineStr">
        <is>
          <t>R838-v1</t>
        </is>
      </c>
      <c r="B1178" s="12" t="inlineStr">
        <is>
          <t>Contractor Programme</t>
        </is>
      </c>
      <c r="C1178" s="12" t="inlineStr">
        <is>
          <t>SCH-05-118</t>
        </is>
      </c>
      <c r="D1178" s="12" t="inlineStr">
        <is>
          <t>1.5.1 Testing and Commissioning - Test Readiness</t>
        </is>
      </c>
      <c r="E1178" s="12" t="inlineStr">
        <is>
          <t>New</t>
        </is>
      </c>
      <c r="F1178" s="12" t="inlineStr"/>
      <c r="G1178" s="12" t="inlineStr">
        <is>
          <t>Source assignment -- not individually reviewed</t>
        </is>
      </c>
      <c r="H1178" s="17" t="inlineStr">
        <is>
          <t>10 EVIDENCE &amp; DECISIONS</t>
        </is>
      </c>
    </row>
    <row r="1179" ht="34" customHeight="1">
      <c r="A1179" s="12" t="inlineStr">
        <is>
          <t>R839-v1</t>
        </is>
      </c>
      <c r="B1179" s="12" t="inlineStr">
        <is>
          <t>Contractor Programme</t>
        </is>
      </c>
      <c r="C1179" s="12" t="inlineStr">
        <is>
          <t>SCH-05-119</t>
        </is>
      </c>
      <c r="D1179" s="12" t="inlineStr">
        <is>
          <t>1.5.1 Testing and Commissioning - Test Readiness</t>
        </is>
      </c>
      <c r="E1179" s="12" t="inlineStr">
        <is>
          <t>New</t>
        </is>
      </c>
      <c r="F1179" s="12" t="inlineStr"/>
      <c r="G1179" s="12" t="inlineStr">
        <is>
          <t>Source assignment -- not individually reviewed</t>
        </is>
      </c>
      <c r="H1179" s="17" t="inlineStr">
        <is>
          <t>10 EVIDENCE &amp; DECISIONS</t>
        </is>
      </c>
    </row>
    <row r="1180" ht="34" customHeight="1">
      <c r="A1180" s="12" t="inlineStr">
        <is>
          <t>R841-v1</t>
        </is>
      </c>
      <c r="B1180" s="12" t="inlineStr">
        <is>
          <t>Contractor Programme</t>
        </is>
      </c>
      <c r="C1180" s="12" t="inlineStr">
        <is>
          <t>SCH-05-121</t>
        </is>
      </c>
      <c r="D1180" s="12" t="inlineStr">
        <is>
          <t>1.5.1 Testing and Commissioning - Test Readiness</t>
        </is>
      </c>
      <c r="E1180" s="12" t="inlineStr">
        <is>
          <t>New</t>
        </is>
      </c>
      <c r="F1180" s="12" t="inlineStr"/>
      <c r="G1180" s="12" t="inlineStr">
        <is>
          <t>Source assignment -- not individually reviewed</t>
        </is>
      </c>
      <c r="H1180" s="17" t="inlineStr">
        <is>
          <t>10 EVIDENCE &amp; DECISIONS</t>
        </is>
      </c>
    </row>
    <row r="1181" ht="34" customHeight="1">
      <c r="A1181" s="12" t="inlineStr">
        <is>
          <t>R842-v1</t>
        </is>
      </c>
      <c r="B1181" s="12" t="inlineStr">
        <is>
          <t>Contractor Programme</t>
        </is>
      </c>
      <c r="C1181" s="12" t="inlineStr">
        <is>
          <t>SCH-05-122</t>
        </is>
      </c>
      <c r="D1181" s="12" t="inlineStr">
        <is>
          <t>1.5.1 Testing and Commissioning - Test Readiness</t>
        </is>
      </c>
      <c r="E1181" s="12" t="inlineStr">
        <is>
          <t>New</t>
        </is>
      </c>
      <c r="F1181" s="12" t="inlineStr"/>
      <c r="G1181" s="12" t="inlineStr">
        <is>
          <t>Source assignment -- not individually reviewed</t>
        </is>
      </c>
      <c r="H1181" s="17" t="inlineStr">
        <is>
          <t>10 EVIDENCE &amp; DECISIONS</t>
        </is>
      </c>
    </row>
    <row r="1182" ht="34" customHeight="1">
      <c r="A1182" s="12" t="inlineStr">
        <is>
          <t>R844-v1</t>
        </is>
      </c>
      <c r="B1182" s="12" t="inlineStr">
        <is>
          <t>Contractor Programme</t>
        </is>
      </c>
      <c r="C1182" s="12" t="inlineStr">
        <is>
          <t>SCH-05-124</t>
        </is>
      </c>
      <c r="D1182" s="12" t="inlineStr">
        <is>
          <t>1.5.1 Testing and Commissioning - Test Readiness</t>
        </is>
      </c>
      <c r="E1182" s="12" t="inlineStr">
        <is>
          <t>New</t>
        </is>
      </c>
      <c r="F1182" s="12" t="inlineStr"/>
      <c r="G1182" s="12" t="inlineStr">
        <is>
          <t>Source assignment -- not individually reviewed</t>
        </is>
      </c>
      <c r="H1182" s="17" t="inlineStr">
        <is>
          <t>10 EVIDENCE &amp; DECISIONS</t>
        </is>
      </c>
    </row>
    <row r="1183" ht="34" customHeight="1">
      <c r="A1183" s="12" t="inlineStr">
        <is>
          <t>R845-v1</t>
        </is>
      </c>
      <c r="B1183" s="12" t="inlineStr">
        <is>
          <t>Contractor Programme</t>
        </is>
      </c>
      <c r="C1183" s="12" t="inlineStr">
        <is>
          <t>SCH-05-125</t>
        </is>
      </c>
      <c r="D1183" s="12" t="inlineStr">
        <is>
          <t>1.5.1 Testing and Commissioning - Test Readiness</t>
        </is>
      </c>
      <c r="E1183" s="12" t="inlineStr">
        <is>
          <t>New</t>
        </is>
      </c>
      <c r="F1183" s="12" t="inlineStr"/>
      <c r="G1183" s="12" t="inlineStr">
        <is>
          <t>Source assignment -- not individually reviewed</t>
        </is>
      </c>
      <c r="H1183" s="17" t="inlineStr">
        <is>
          <t>10 EVIDENCE &amp; DECISIONS</t>
        </is>
      </c>
    </row>
    <row r="1184" ht="34" customHeight="1">
      <c r="A1184" s="12" t="inlineStr">
        <is>
          <t>R847-v1</t>
        </is>
      </c>
      <c r="B1184" s="12" t="inlineStr">
        <is>
          <t>Contractor Programme</t>
        </is>
      </c>
      <c r="C1184" s="12" t="inlineStr">
        <is>
          <t>SCH-05-127</t>
        </is>
      </c>
      <c r="D1184" s="12" t="inlineStr">
        <is>
          <t>1.5.1 Testing and Commissioning - Test Readiness</t>
        </is>
      </c>
      <c r="E1184" s="12" t="inlineStr">
        <is>
          <t>New</t>
        </is>
      </c>
      <c r="F1184" s="12" t="inlineStr"/>
      <c r="G1184" s="12" t="inlineStr">
        <is>
          <t>Source assignment -- not individually reviewed</t>
        </is>
      </c>
      <c r="H1184" s="17" t="inlineStr">
        <is>
          <t>10 EVIDENCE &amp; DECISIONS</t>
        </is>
      </c>
    </row>
    <row r="1185" ht="34" customHeight="1">
      <c r="A1185" s="12" t="inlineStr">
        <is>
          <t>R848-v1</t>
        </is>
      </c>
      <c r="B1185" s="12" t="inlineStr">
        <is>
          <t>Contractor Programme</t>
        </is>
      </c>
      <c r="C1185" s="12" t="inlineStr">
        <is>
          <t>SCH-05-128</t>
        </is>
      </c>
      <c r="D1185" s="12" t="inlineStr">
        <is>
          <t>1.5.1 Testing and Commissioning - Test Readiness</t>
        </is>
      </c>
      <c r="E1185" s="12" t="inlineStr">
        <is>
          <t>New</t>
        </is>
      </c>
      <c r="F1185" s="12" t="inlineStr"/>
      <c r="G1185" s="12" t="inlineStr">
        <is>
          <t>Source assignment -- not individually reviewed</t>
        </is>
      </c>
      <c r="H1185" s="17" t="inlineStr">
        <is>
          <t>10 EVIDENCE &amp; DECISIONS</t>
        </is>
      </c>
    </row>
    <row r="1186" ht="34" customHeight="1">
      <c r="A1186" s="12" t="inlineStr">
        <is>
          <t>R850-v1</t>
        </is>
      </c>
      <c r="B1186" s="12" t="inlineStr">
        <is>
          <t>Contractor Programme</t>
        </is>
      </c>
      <c r="C1186" s="12" t="inlineStr">
        <is>
          <t>SCH-05-130</t>
        </is>
      </c>
      <c r="D1186" s="12" t="inlineStr">
        <is>
          <t>1.5.1 Testing and Commissioning - Test Readiness</t>
        </is>
      </c>
      <c r="E1186" s="12" t="inlineStr">
        <is>
          <t>New</t>
        </is>
      </c>
      <c r="F1186" s="12" t="inlineStr"/>
      <c r="G1186" s="12" t="inlineStr">
        <is>
          <t>Source assignment -- not individually reviewed</t>
        </is>
      </c>
      <c r="H1186" s="17" t="inlineStr">
        <is>
          <t>10 EVIDENCE &amp; DECISIONS</t>
        </is>
      </c>
    </row>
    <row r="1187" ht="34" customHeight="1">
      <c r="A1187" s="12" t="inlineStr">
        <is>
          <t>R851-v1</t>
        </is>
      </c>
      <c r="B1187" s="12" t="inlineStr">
        <is>
          <t>Contractor Programme</t>
        </is>
      </c>
      <c r="C1187" s="12" t="inlineStr">
        <is>
          <t>SCH-05-131</t>
        </is>
      </c>
      <c r="D1187" s="12" t="inlineStr">
        <is>
          <t>1.5.1 Testing and Commissioning - Test Readiness</t>
        </is>
      </c>
      <c r="E1187" s="12" t="inlineStr">
        <is>
          <t>New</t>
        </is>
      </c>
      <c r="F1187" s="12" t="inlineStr"/>
      <c r="G1187" s="12" t="inlineStr">
        <is>
          <t>Source assignment -- not individually reviewed</t>
        </is>
      </c>
      <c r="H1187" s="17" t="inlineStr">
        <is>
          <t>10 EVIDENCE &amp; DECISIONS</t>
        </is>
      </c>
    </row>
    <row r="1188" ht="34" customHeight="1">
      <c r="A1188" s="12" t="inlineStr">
        <is>
          <t>R853-v1</t>
        </is>
      </c>
      <c r="B1188" s="12" t="inlineStr">
        <is>
          <t>Contractor Programme</t>
        </is>
      </c>
      <c r="C1188" s="12" t="inlineStr">
        <is>
          <t>SCH-05-133</t>
        </is>
      </c>
      <c r="D1188" s="12" t="inlineStr">
        <is>
          <t>1.5.1 Testing and Commissioning - Test Readiness</t>
        </is>
      </c>
      <c r="E1188" s="12" t="inlineStr">
        <is>
          <t>New</t>
        </is>
      </c>
      <c r="F1188" s="12" t="inlineStr"/>
      <c r="G1188" s="12" t="inlineStr">
        <is>
          <t>Source assignment -- not individually reviewed</t>
        </is>
      </c>
      <c r="H1188" s="17" t="inlineStr">
        <is>
          <t>10 EVIDENCE &amp; DECISIONS</t>
        </is>
      </c>
    </row>
    <row r="1189" ht="34" customHeight="1">
      <c r="A1189" s="12" t="inlineStr">
        <is>
          <t>R854-v1</t>
        </is>
      </c>
      <c r="B1189" s="12" t="inlineStr">
        <is>
          <t>Contractor Programme</t>
        </is>
      </c>
      <c r="C1189" s="12" t="inlineStr">
        <is>
          <t>SCH-05-134</t>
        </is>
      </c>
      <c r="D1189" s="12" t="inlineStr">
        <is>
          <t>1.5.1 Testing and Commissioning - Test Readiness</t>
        </is>
      </c>
      <c r="E1189" s="12" t="inlineStr">
        <is>
          <t>New</t>
        </is>
      </c>
      <c r="F1189" s="12" t="inlineStr"/>
      <c r="G1189" s="12" t="inlineStr">
        <is>
          <t>Source assignment -- not individually reviewed</t>
        </is>
      </c>
      <c r="H1189" s="17" t="inlineStr">
        <is>
          <t>10 EVIDENCE &amp; DECISIONS</t>
        </is>
      </c>
    </row>
    <row r="1190" ht="34" customHeight="1">
      <c r="A1190" s="12" t="inlineStr">
        <is>
          <t>R856-v1</t>
        </is>
      </c>
      <c r="B1190" s="12" t="inlineStr">
        <is>
          <t>Contractor Programme</t>
        </is>
      </c>
      <c r="C1190" s="12" t="inlineStr">
        <is>
          <t>SCH-05-136</t>
        </is>
      </c>
      <c r="D1190" s="12" t="inlineStr">
        <is>
          <t>1.5.1 Testing and Commissioning - Test Readiness</t>
        </is>
      </c>
      <c r="E1190" s="12" t="inlineStr">
        <is>
          <t>New</t>
        </is>
      </c>
      <c r="F1190" s="12" t="inlineStr"/>
      <c r="G1190" s="12" t="inlineStr">
        <is>
          <t>Source assignment -- not individually reviewed</t>
        </is>
      </c>
      <c r="H1190" s="17" t="inlineStr">
        <is>
          <t>10 EVIDENCE &amp; DECISIONS</t>
        </is>
      </c>
    </row>
    <row r="1191" ht="34" customHeight="1">
      <c r="A1191" s="12" t="inlineStr">
        <is>
          <t>R857-v1</t>
        </is>
      </c>
      <c r="B1191" s="12" t="inlineStr">
        <is>
          <t>Contractor Programme</t>
        </is>
      </c>
      <c r="C1191" s="12" t="inlineStr">
        <is>
          <t>SCH-05-137</t>
        </is>
      </c>
      <c r="D1191" s="12" t="inlineStr">
        <is>
          <t>1.5.1 Testing and Commissioning - Test Readiness</t>
        </is>
      </c>
      <c r="E1191" s="12" t="inlineStr">
        <is>
          <t>New</t>
        </is>
      </c>
      <c r="F1191" s="12" t="inlineStr"/>
      <c r="G1191" s="12" t="inlineStr">
        <is>
          <t>Source assignment -- not individually reviewed</t>
        </is>
      </c>
      <c r="H1191" s="17" t="inlineStr">
        <is>
          <t>10 EVIDENCE &amp; DECISIONS</t>
        </is>
      </c>
    </row>
    <row r="1192" ht="34" customHeight="1">
      <c r="A1192" s="12" t="inlineStr">
        <is>
          <t>R859-v1</t>
        </is>
      </c>
      <c r="B1192" s="12" t="inlineStr">
        <is>
          <t>Contractor Programme</t>
        </is>
      </c>
      <c r="C1192" s="12" t="inlineStr">
        <is>
          <t>SCH-05-139</t>
        </is>
      </c>
      <c r="D1192" s="12" t="inlineStr">
        <is>
          <t>1.5.1 Testing and Commissioning - Test Readiness</t>
        </is>
      </c>
      <c r="E1192" s="12" t="inlineStr">
        <is>
          <t>New</t>
        </is>
      </c>
      <c r="F1192" s="12" t="inlineStr"/>
      <c r="G1192" s="12" t="inlineStr">
        <is>
          <t>Source assignment -- not individually reviewed</t>
        </is>
      </c>
      <c r="H1192" s="17" t="inlineStr">
        <is>
          <t>10 EVIDENCE &amp; DECISIONS</t>
        </is>
      </c>
    </row>
    <row r="1193" ht="34" customHeight="1">
      <c r="A1193" s="12" t="inlineStr">
        <is>
          <t>R860-v1</t>
        </is>
      </c>
      <c r="B1193" s="12" t="inlineStr">
        <is>
          <t>Contractor Programme</t>
        </is>
      </c>
      <c r="C1193" s="12" t="inlineStr">
        <is>
          <t>SCH-05-140</t>
        </is>
      </c>
      <c r="D1193" s="12" t="inlineStr">
        <is>
          <t>1.5.1 Testing and Commissioning - Test Readiness</t>
        </is>
      </c>
      <c r="E1193" s="12" t="inlineStr">
        <is>
          <t>New</t>
        </is>
      </c>
      <c r="F1193" s="12" t="inlineStr"/>
      <c r="G1193" s="12" t="inlineStr">
        <is>
          <t>Source assignment -- not individually reviewed</t>
        </is>
      </c>
      <c r="H1193" s="17" t="inlineStr">
        <is>
          <t>10 EVIDENCE &amp; DECISIONS</t>
        </is>
      </c>
    </row>
    <row r="1194" ht="34" customHeight="1">
      <c r="A1194" s="12" t="inlineStr">
        <is>
          <t>R862-v1</t>
        </is>
      </c>
      <c r="B1194" s="12" t="inlineStr">
        <is>
          <t>Contractor Programme</t>
        </is>
      </c>
      <c r="C1194" s="12" t="inlineStr">
        <is>
          <t>SCH-05-142</t>
        </is>
      </c>
      <c r="D1194" s="12" t="inlineStr">
        <is>
          <t>1.5.1 Testing and Commissioning - Test Readiness</t>
        </is>
      </c>
      <c r="E1194" s="12" t="inlineStr">
        <is>
          <t>New</t>
        </is>
      </c>
      <c r="F1194" s="12" t="inlineStr"/>
      <c r="G1194" s="12" t="inlineStr">
        <is>
          <t>Source assignment -- not individually reviewed</t>
        </is>
      </c>
      <c r="H1194" s="17" t="inlineStr">
        <is>
          <t>10 EVIDENCE &amp; DECISIONS</t>
        </is>
      </c>
    </row>
    <row r="1195" ht="34" customHeight="1">
      <c r="A1195" s="12" t="inlineStr">
        <is>
          <t>R863-v1</t>
        </is>
      </c>
      <c r="B1195" s="12" t="inlineStr">
        <is>
          <t>Contractor Programme</t>
        </is>
      </c>
      <c r="C1195" s="12" t="inlineStr">
        <is>
          <t>SCH-05-143</t>
        </is>
      </c>
      <c r="D1195" s="12" t="inlineStr">
        <is>
          <t>1.5.1 Testing and Commissioning - Test Readiness</t>
        </is>
      </c>
      <c r="E1195" s="12" t="inlineStr">
        <is>
          <t>New</t>
        </is>
      </c>
      <c r="F1195" s="12" t="inlineStr"/>
      <c r="G1195" s="12" t="inlineStr">
        <is>
          <t>Source assignment -- not individually reviewed</t>
        </is>
      </c>
      <c r="H1195" s="17" t="inlineStr">
        <is>
          <t>10 EVIDENCE &amp; DECISIONS</t>
        </is>
      </c>
    </row>
    <row r="1196" ht="34" customHeight="1">
      <c r="A1196" s="12" t="inlineStr">
        <is>
          <t>R865-v1</t>
        </is>
      </c>
      <c r="B1196" s="12" t="inlineStr">
        <is>
          <t>Contractor Programme</t>
        </is>
      </c>
      <c r="C1196" s="12" t="inlineStr">
        <is>
          <t>SCH-05-145</t>
        </is>
      </c>
      <c r="D1196" s="12" t="inlineStr">
        <is>
          <t>1.5.1 Testing and Commissioning - Test Readiness</t>
        </is>
      </c>
      <c r="E1196" s="12" t="inlineStr">
        <is>
          <t>New</t>
        </is>
      </c>
      <c r="F1196" s="12" t="inlineStr"/>
      <c r="G1196" s="12" t="inlineStr">
        <is>
          <t>Source assignment -- not individually reviewed</t>
        </is>
      </c>
      <c r="H1196" s="17" t="inlineStr">
        <is>
          <t>10 EVIDENCE &amp; DECISIONS</t>
        </is>
      </c>
    </row>
    <row r="1197" ht="34" customHeight="1">
      <c r="A1197" s="12" t="inlineStr">
        <is>
          <t>R866-v1</t>
        </is>
      </c>
      <c r="B1197" s="12" t="inlineStr">
        <is>
          <t>Contractor Programme</t>
        </is>
      </c>
      <c r="C1197" s="12" t="inlineStr">
        <is>
          <t>SCH-05-146</t>
        </is>
      </c>
      <c r="D1197" s="12" t="inlineStr">
        <is>
          <t>1.5.1 Testing and Commissioning - Test Readiness</t>
        </is>
      </c>
      <c r="E1197" s="12" t="inlineStr">
        <is>
          <t>New</t>
        </is>
      </c>
      <c r="F1197" s="12" t="inlineStr"/>
      <c r="G1197" s="12" t="inlineStr">
        <is>
          <t>Source assignment -- not individually reviewed</t>
        </is>
      </c>
      <c r="H1197" s="17" t="inlineStr">
        <is>
          <t>10 EVIDENCE &amp; DECISIONS</t>
        </is>
      </c>
    </row>
    <row r="1198" ht="34" customHeight="1">
      <c r="A1198" s="12" t="inlineStr">
        <is>
          <t>R868-v1</t>
        </is>
      </c>
      <c r="B1198" s="12" t="inlineStr">
        <is>
          <t>Contractor Programme</t>
        </is>
      </c>
      <c r="C1198" s="12" t="inlineStr">
        <is>
          <t>SCH-05-148</t>
        </is>
      </c>
      <c r="D1198" s="12" t="inlineStr">
        <is>
          <t>1.5.1 Testing and Commissioning - Test Readiness</t>
        </is>
      </c>
      <c r="E1198" s="12" t="inlineStr">
        <is>
          <t>New</t>
        </is>
      </c>
      <c r="F1198" s="12" t="inlineStr"/>
      <c r="G1198" s="12" t="inlineStr">
        <is>
          <t>Source assignment -- not individually reviewed</t>
        </is>
      </c>
      <c r="H1198" s="17" t="inlineStr">
        <is>
          <t>10 EVIDENCE &amp; DECISIONS</t>
        </is>
      </c>
    </row>
    <row r="1199" ht="34" customHeight="1">
      <c r="A1199" s="12" t="inlineStr">
        <is>
          <t>R869-v1</t>
        </is>
      </c>
      <c r="B1199" s="12" t="inlineStr">
        <is>
          <t>Contractor Programme</t>
        </is>
      </c>
      <c r="C1199" s="12" t="inlineStr">
        <is>
          <t>SCH-05-149</t>
        </is>
      </c>
      <c r="D1199" s="12" t="inlineStr">
        <is>
          <t>1.5.1 Testing and Commissioning - Test Readiness</t>
        </is>
      </c>
      <c r="E1199" s="12" t="inlineStr">
        <is>
          <t>New</t>
        </is>
      </c>
      <c r="F1199" s="12" t="inlineStr"/>
      <c r="G1199" s="12" t="inlineStr">
        <is>
          <t>Source assignment -- not individually reviewed</t>
        </is>
      </c>
      <c r="H1199" s="17" t="inlineStr">
        <is>
          <t>10 EVIDENCE &amp; DECISIONS</t>
        </is>
      </c>
    </row>
    <row r="1200" ht="34" customHeight="1">
      <c r="A1200" s="12" t="inlineStr">
        <is>
          <t>R871-v1</t>
        </is>
      </c>
      <c r="B1200" s="12" t="inlineStr">
        <is>
          <t>Contractor Programme</t>
        </is>
      </c>
      <c r="C1200" s="12" t="inlineStr">
        <is>
          <t>SCH-05-151</t>
        </is>
      </c>
      <c r="D1200" s="12" t="inlineStr">
        <is>
          <t>1.5.1 Testing and Commissioning - Test Readiness</t>
        </is>
      </c>
      <c r="E1200" s="12" t="inlineStr">
        <is>
          <t>New</t>
        </is>
      </c>
      <c r="F1200" s="12" t="inlineStr"/>
      <c r="G1200" s="12" t="inlineStr">
        <is>
          <t>Source assignment -- not individually reviewed</t>
        </is>
      </c>
      <c r="H1200" s="17" t="inlineStr">
        <is>
          <t>10 EVIDENCE &amp; DECISIONS</t>
        </is>
      </c>
    </row>
    <row r="1201" ht="34" customHeight="1">
      <c r="A1201" s="12" t="inlineStr">
        <is>
          <t>R872-v1</t>
        </is>
      </c>
      <c r="B1201" s="12" t="inlineStr">
        <is>
          <t>Contractor Programme</t>
        </is>
      </c>
      <c r="C1201" s="12" t="inlineStr">
        <is>
          <t>SCH-05-152</t>
        </is>
      </c>
      <c r="D1201" s="12" t="inlineStr">
        <is>
          <t>1.5.1 Testing and Commissioning - Test Readiness</t>
        </is>
      </c>
      <c r="E1201" s="12" t="inlineStr">
        <is>
          <t>New</t>
        </is>
      </c>
      <c r="F1201" s="12" t="inlineStr"/>
      <c r="G1201" s="12" t="inlineStr">
        <is>
          <t>Source assignment -- not individually reviewed</t>
        </is>
      </c>
      <c r="H1201" s="17" t="inlineStr">
        <is>
          <t>10 EVIDENCE &amp; DECISIONS</t>
        </is>
      </c>
    </row>
    <row r="1202" ht="34" customHeight="1">
      <c r="A1202" s="12" t="inlineStr">
        <is>
          <t>R874-v1</t>
        </is>
      </c>
      <c r="B1202" s="12" t="inlineStr">
        <is>
          <t>Contractor Programme</t>
        </is>
      </c>
      <c r="C1202" s="12" t="inlineStr">
        <is>
          <t>SCH-05-154</t>
        </is>
      </c>
      <c r="D1202" s="12" t="inlineStr">
        <is>
          <t>1.5.1 Testing and Commissioning - Test Readiness</t>
        </is>
      </c>
      <c r="E1202" s="12" t="inlineStr">
        <is>
          <t>New</t>
        </is>
      </c>
      <c r="F1202" s="12" t="inlineStr"/>
      <c r="G1202" s="12" t="inlineStr">
        <is>
          <t>Source assignment -- not individually reviewed</t>
        </is>
      </c>
      <c r="H1202" s="17" t="inlineStr">
        <is>
          <t>10 EVIDENCE &amp; DECISIONS</t>
        </is>
      </c>
    </row>
    <row r="1203" ht="34" customHeight="1">
      <c r="A1203" s="12" t="inlineStr">
        <is>
          <t>R875-v1</t>
        </is>
      </c>
      <c r="B1203" s="12" t="inlineStr">
        <is>
          <t>Contractor Programme</t>
        </is>
      </c>
      <c r="C1203" s="12" t="inlineStr">
        <is>
          <t>SCH-05-155</t>
        </is>
      </c>
      <c r="D1203" s="12" t="inlineStr">
        <is>
          <t>1.5.1 Testing and Commissioning - Test Readiness</t>
        </is>
      </c>
      <c r="E1203" s="12" t="inlineStr">
        <is>
          <t>New</t>
        </is>
      </c>
      <c r="F1203" s="12" t="inlineStr"/>
      <c r="G1203" s="12" t="inlineStr">
        <is>
          <t>Source assignment -- not individually reviewed</t>
        </is>
      </c>
      <c r="H1203" s="17" t="inlineStr">
        <is>
          <t>10 EVIDENCE &amp; DECISIONS</t>
        </is>
      </c>
    </row>
    <row r="1204" ht="34" customHeight="1">
      <c r="A1204" s="12" t="inlineStr">
        <is>
          <t>R877-v1</t>
        </is>
      </c>
      <c r="B1204" s="12" t="inlineStr">
        <is>
          <t>Contractor Programme</t>
        </is>
      </c>
      <c r="C1204" s="12" t="inlineStr">
        <is>
          <t>SCH-05-157</t>
        </is>
      </c>
      <c r="D1204" s="12" t="inlineStr">
        <is>
          <t>1.5.1 Testing and Commissioning - Test Readiness</t>
        </is>
      </c>
      <c r="E1204" s="12" t="inlineStr">
        <is>
          <t>New</t>
        </is>
      </c>
      <c r="F1204" s="12" t="inlineStr"/>
      <c r="G1204" s="12" t="inlineStr">
        <is>
          <t>Source assignment -- not individually reviewed</t>
        </is>
      </c>
      <c r="H1204" s="17" t="inlineStr">
        <is>
          <t>10 EVIDENCE &amp; DECISIONS</t>
        </is>
      </c>
    </row>
    <row r="1205" ht="34" customHeight="1">
      <c r="A1205" s="12" t="inlineStr">
        <is>
          <t>R878-v1</t>
        </is>
      </c>
      <c r="B1205" s="12" t="inlineStr">
        <is>
          <t>Contractor Programme</t>
        </is>
      </c>
      <c r="C1205" s="12" t="inlineStr">
        <is>
          <t>SCH-05-158</t>
        </is>
      </c>
      <c r="D1205" s="12" t="inlineStr">
        <is>
          <t>1.5.1 Testing and Commissioning - Test Readiness</t>
        </is>
      </c>
      <c r="E1205" s="12" t="inlineStr">
        <is>
          <t>New</t>
        </is>
      </c>
      <c r="F1205" s="12" t="inlineStr"/>
      <c r="G1205" s="12" t="inlineStr">
        <is>
          <t>Source assignment -- not individually reviewed</t>
        </is>
      </c>
      <c r="H1205" s="17" t="inlineStr">
        <is>
          <t>10 EVIDENCE &amp; DECISIONS</t>
        </is>
      </c>
    </row>
    <row r="1206" ht="34" customHeight="1">
      <c r="A1206" s="12" t="inlineStr">
        <is>
          <t>R880-v1</t>
        </is>
      </c>
      <c r="B1206" s="12" t="inlineStr">
        <is>
          <t>Contractor Programme</t>
        </is>
      </c>
      <c r="C1206" s="12" t="inlineStr">
        <is>
          <t>SCH-05-160</t>
        </is>
      </c>
      <c r="D1206" s="12" t="inlineStr">
        <is>
          <t>1.5.1 Testing and Commissioning - Test Readiness</t>
        </is>
      </c>
      <c r="E1206" s="12" t="inlineStr">
        <is>
          <t>New</t>
        </is>
      </c>
      <c r="F1206" s="12" t="inlineStr"/>
      <c r="G1206" s="12" t="inlineStr">
        <is>
          <t>Source assignment -- not individually reviewed</t>
        </is>
      </c>
      <c r="H1206" s="17" t="inlineStr">
        <is>
          <t>10 EVIDENCE &amp; DECISIONS</t>
        </is>
      </c>
    </row>
    <row r="1207" ht="34" customHeight="1">
      <c r="A1207" s="12" t="inlineStr">
        <is>
          <t>R881-v1</t>
        </is>
      </c>
      <c r="B1207" s="12" t="inlineStr">
        <is>
          <t>Contractor Programme</t>
        </is>
      </c>
      <c r="C1207" s="12" t="inlineStr">
        <is>
          <t>SCH-05-161</t>
        </is>
      </c>
      <c r="D1207" s="12" t="inlineStr">
        <is>
          <t>1.5.1 Testing and Commissioning - Test Readiness</t>
        </is>
      </c>
      <c r="E1207" s="12" t="inlineStr">
        <is>
          <t>New</t>
        </is>
      </c>
      <c r="F1207" s="12" t="inlineStr"/>
      <c r="G1207" s="12" t="inlineStr">
        <is>
          <t>Source assignment -- not individually reviewed</t>
        </is>
      </c>
      <c r="H1207" s="17" t="inlineStr">
        <is>
          <t>10 EVIDENCE &amp; DECISIONS</t>
        </is>
      </c>
    </row>
    <row r="1208" ht="34" customHeight="1">
      <c r="A1208" s="12" t="inlineStr">
        <is>
          <t>R883-v1</t>
        </is>
      </c>
      <c r="B1208" s="12" t="inlineStr">
        <is>
          <t>Contractor Programme</t>
        </is>
      </c>
      <c r="C1208" s="12" t="inlineStr">
        <is>
          <t>SCH-05-163</t>
        </is>
      </c>
      <c r="D1208" s="12" t="inlineStr">
        <is>
          <t>1.5.1 Testing and Commissioning - Test Readiness</t>
        </is>
      </c>
      <c r="E1208" s="12" t="inlineStr">
        <is>
          <t>New</t>
        </is>
      </c>
      <c r="F1208" s="12" t="inlineStr"/>
      <c r="G1208" s="12" t="inlineStr">
        <is>
          <t>Source assignment -- not individually reviewed</t>
        </is>
      </c>
      <c r="H1208" s="17" t="inlineStr">
        <is>
          <t>10 EVIDENCE &amp; DECISIONS</t>
        </is>
      </c>
    </row>
    <row r="1209" ht="34" customHeight="1">
      <c r="A1209" s="12" t="inlineStr">
        <is>
          <t>R884-v1</t>
        </is>
      </c>
      <c r="B1209" s="12" t="inlineStr">
        <is>
          <t>Contractor Programme</t>
        </is>
      </c>
      <c r="C1209" s="12" t="inlineStr">
        <is>
          <t>SCH-05-164</t>
        </is>
      </c>
      <c r="D1209" s="12" t="inlineStr">
        <is>
          <t>1.5.1 Testing and Commissioning - Test Readiness</t>
        </is>
      </c>
      <c r="E1209" s="12" t="inlineStr">
        <is>
          <t>New</t>
        </is>
      </c>
      <c r="F1209" s="12" t="inlineStr"/>
      <c r="G1209" s="12" t="inlineStr">
        <is>
          <t>Source assignment -- not individually reviewed</t>
        </is>
      </c>
      <c r="H1209" s="17" t="inlineStr">
        <is>
          <t>10 EVIDENCE &amp; DECISIONS</t>
        </is>
      </c>
    </row>
    <row r="1210" ht="34" customHeight="1">
      <c r="A1210" s="12" t="inlineStr">
        <is>
          <t>R886-v1</t>
        </is>
      </c>
      <c r="B1210" s="12" t="inlineStr">
        <is>
          <t>Contractor Programme</t>
        </is>
      </c>
      <c r="C1210" s="12" t="inlineStr">
        <is>
          <t>SCH-05-166</t>
        </is>
      </c>
      <c r="D1210" s="12" t="inlineStr">
        <is>
          <t>1.5.1 Testing and Commissioning - Test Readiness</t>
        </is>
      </c>
      <c r="E1210" s="12" t="inlineStr">
        <is>
          <t>New</t>
        </is>
      </c>
      <c r="F1210" s="12" t="inlineStr"/>
      <c r="G1210" s="12" t="inlineStr">
        <is>
          <t>Source assignment -- not individually reviewed</t>
        </is>
      </c>
      <c r="H1210" s="17" t="inlineStr">
        <is>
          <t>10 EVIDENCE &amp; DECISIONS</t>
        </is>
      </c>
    </row>
    <row r="1211" ht="34" customHeight="1">
      <c r="A1211" s="12" t="inlineStr">
        <is>
          <t>R887-v1</t>
        </is>
      </c>
      <c r="B1211" s="12" t="inlineStr">
        <is>
          <t>Contractor Programme</t>
        </is>
      </c>
      <c r="C1211" s="12" t="inlineStr">
        <is>
          <t>SCH-05-167</t>
        </is>
      </c>
      <c r="D1211" s="12" t="inlineStr">
        <is>
          <t>1.5.1 Testing and Commissioning - Test Readiness</t>
        </is>
      </c>
      <c r="E1211" s="12" t="inlineStr">
        <is>
          <t>New</t>
        </is>
      </c>
      <c r="F1211" s="12" t="inlineStr"/>
      <c r="G1211" s="12" t="inlineStr">
        <is>
          <t>Source assignment -- not individually reviewed</t>
        </is>
      </c>
      <c r="H1211" s="17" t="inlineStr">
        <is>
          <t>10 EVIDENCE &amp; DECISIONS</t>
        </is>
      </c>
    </row>
    <row r="1212" ht="34" customHeight="1">
      <c r="A1212" s="12" t="inlineStr">
        <is>
          <t>R889-v1</t>
        </is>
      </c>
      <c r="B1212" s="12" t="inlineStr">
        <is>
          <t>Contractor Programme</t>
        </is>
      </c>
      <c r="C1212" s="12" t="inlineStr">
        <is>
          <t>SCH-05-169</t>
        </is>
      </c>
      <c r="D1212" s="12" t="inlineStr">
        <is>
          <t>1.5.1 Testing and Commissioning - Test Readiness</t>
        </is>
      </c>
      <c r="E1212" s="12" t="inlineStr">
        <is>
          <t>New</t>
        </is>
      </c>
      <c r="F1212" s="12" t="inlineStr"/>
      <c r="G1212" s="12" t="inlineStr">
        <is>
          <t>Source assignment -- not individually reviewed</t>
        </is>
      </c>
      <c r="H1212" s="17" t="inlineStr">
        <is>
          <t>10 EVIDENCE &amp; DECISIONS</t>
        </is>
      </c>
    </row>
    <row r="1213" ht="34" customHeight="1">
      <c r="A1213" s="12" t="inlineStr">
        <is>
          <t>R890-v1</t>
        </is>
      </c>
      <c r="B1213" s="12" t="inlineStr">
        <is>
          <t>Contractor Programme</t>
        </is>
      </c>
      <c r="C1213" s="12" t="inlineStr">
        <is>
          <t>SCH-05-170</t>
        </is>
      </c>
      <c r="D1213" s="12" t="inlineStr">
        <is>
          <t>1.5.1 Testing and Commissioning - Test Readiness</t>
        </is>
      </c>
      <c r="E1213" s="12" t="inlineStr">
        <is>
          <t>New</t>
        </is>
      </c>
      <c r="F1213" s="12" t="inlineStr"/>
      <c r="G1213" s="12" t="inlineStr">
        <is>
          <t>Source assignment -- not individually reviewed</t>
        </is>
      </c>
      <c r="H1213" s="17" t="inlineStr">
        <is>
          <t>10 EVIDENCE &amp; DECISIONS</t>
        </is>
      </c>
    </row>
    <row r="1214" ht="34" customHeight="1">
      <c r="A1214" s="12" t="inlineStr">
        <is>
          <t>R892-v1</t>
        </is>
      </c>
      <c r="B1214" s="12" t="inlineStr">
        <is>
          <t>Contractor Programme</t>
        </is>
      </c>
      <c r="C1214" s="12" t="inlineStr">
        <is>
          <t>SCH-05-172</t>
        </is>
      </c>
      <c r="D1214" s="12" t="inlineStr">
        <is>
          <t>1.5.1 Testing and Commissioning - Test Readiness</t>
        </is>
      </c>
      <c r="E1214" s="12" t="inlineStr">
        <is>
          <t>New</t>
        </is>
      </c>
      <c r="F1214" s="12" t="inlineStr"/>
      <c r="G1214" s="12" t="inlineStr">
        <is>
          <t>Source assignment -- not individually reviewed</t>
        </is>
      </c>
      <c r="H1214" s="17" t="inlineStr">
        <is>
          <t>10 EVIDENCE &amp; DECISIONS</t>
        </is>
      </c>
    </row>
    <row r="1215" ht="34" customHeight="1">
      <c r="A1215" s="12" t="inlineStr">
        <is>
          <t>R893-v1</t>
        </is>
      </c>
      <c r="B1215" s="12" t="inlineStr">
        <is>
          <t>Contractor Programme</t>
        </is>
      </c>
      <c r="C1215" s="12" t="inlineStr">
        <is>
          <t>SCH-05-173</t>
        </is>
      </c>
      <c r="D1215" s="12" t="inlineStr">
        <is>
          <t>1.5.1 Testing and Commissioning - Test Readiness</t>
        </is>
      </c>
      <c r="E1215" s="12" t="inlineStr">
        <is>
          <t>New</t>
        </is>
      </c>
      <c r="F1215" s="12" t="inlineStr"/>
      <c r="G1215" s="12" t="inlineStr">
        <is>
          <t>Source assignment -- not individually reviewed</t>
        </is>
      </c>
      <c r="H1215" s="17" t="inlineStr">
        <is>
          <t>10 EVIDENCE &amp; DECISIONS</t>
        </is>
      </c>
    </row>
    <row r="1216" ht="34" customHeight="1">
      <c r="A1216" s="12" t="inlineStr">
        <is>
          <t>R895-v1</t>
        </is>
      </c>
      <c r="B1216" s="12" t="inlineStr">
        <is>
          <t>Contractor Programme</t>
        </is>
      </c>
      <c r="C1216" s="12" t="inlineStr">
        <is>
          <t>SCH-05-175</t>
        </is>
      </c>
      <c r="D1216" s="12" t="inlineStr">
        <is>
          <t>1.5.1 Testing and Commissioning - Test Readiness</t>
        </is>
      </c>
      <c r="E1216" s="12" t="inlineStr">
        <is>
          <t>New</t>
        </is>
      </c>
      <c r="F1216" s="12" t="inlineStr"/>
      <c r="G1216" s="12" t="inlineStr">
        <is>
          <t>Source assignment -- not individually reviewed</t>
        </is>
      </c>
      <c r="H1216" s="17" t="inlineStr">
        <is>
          <t>10 EVIDENCE &amp; DECISIONS</t>
        </is>
      </c>
    </row>
    <row r="1217" ht="34" customHeight="1">
      <c r="A1217" s="12" t="inlineStr">
        <is>
          <t>R896-v1</t>
        </is>
      </c>
      <c r="B1217" s="12" t="inlineStr">
        <is>
          <t>Contractor Programme</t>
        </is>
      </c>
      <c r="C1217" s="12" t="inlineStr">
        <is>
          <t>SCH-05-176</t>
        </is>
      </c>
      <c r="D1217" s="12" t="inlineStr">
        <is>
          <t>1.5.1 Testing and Commissioning - Test Readiness</t>
        </is>
      </c>
      <c r="E1217" s="12" t="inlineStr">
        <is>
          <t>New</t>
        </is>
      </c>
      <c r="F1217" s="12" t="inlineStr"/>
      <c r="G1217" s="12" t="inlineStr">
        <is>
          <t>Source assignment -- not individually reviewed</t>
        </is>
      </c>
      <c r="H1217" s="17" t="inlineStr">
        <is>
          <t>10 EVIDENCE &amp; DECISIONS</t>
        </is>
      </c>
    </row>
    <row r="1218" ht="34" customHeight="1">
      <c r="A1218" s="12" t="inlineStr">
        <is>
          <t>R898-v1</t>
        </is>
      </c>
      <c r="B1218" s="12" t="inlineStr">
        <is>
          <t>Contractor Programme</t>
        </is>
      </c>
      <c r="C1218" s="12" t="inlineStr">
        <is>
          <t>SCH-05-178</t>
        </is>
      </c>
      <c r="D1218" s="12" t="inlineStr">
        <is>
          <t>1.5.1 Testing and Commissioning - Test Readiness</t>
        </is>
      </c>
      <c r="E1218" s="12" t="inlineStr">
        <is>
          <t>New</t>
        </is>
      </c>
      <c r="F1218" s="12" t="inlineStr"/>
      <c r="G1218" s="12" t="inlineStr">
        <is>
          <t>Source assignment -- not individually reviewed</t>
        </is>
      </c>
      <c r="H1218" s="17" t="inlineStr">
        <is>
          <t>10 EVIDENCE &amp; DECISIONS</t>
        </is>
      </c>
    </row>
    <row r="1219" ht="34" customHeight="1">
      <c r="A1219" s="12" t="inlineStr">
        <is>
          <t>R899-v1</t>
        </is>
      </c>
      <c r="B1219" s="12" t="inlineStr">
        <is>
          <t>Contractor Programme</t>
        </is>
      </c>
      <c r="C1219" s="12" t="inlineStr">
        <is>
          <t>SCH-05-179</t>
        </is>
      </c>
      <c r="D1219" s="12" t="inlineStr">
        <is>
          <t>1.5.1 Testing and Commissioning - Test Readiness</t>
        </is>
      </c>
      <c r="E1219" s="12" t="inlineStr">
        <is>
          <t>New</t>
        </is>
      </c>
      <c r="F1219" s="12" t="inlineStr"/>
      <c r="G1219" s="12" t="inlineStr">
        <is>
          <t>Source assignment -- not individually reviewed</t>
        </is>
      </c>
      <c r="H1219" s="17" t="inlineStr">
        <is>
          <t>10 EVIDENCE &amp; DECISIONS</t>
        </is>
      </c>
    </row>
    <row r="1220" ht="49" customHeight="1">
      <c r="A1220" s="12" t="inlineStr">
        <is>
          <t>R723-v1</t>
        </is>
      </c>
      <c r="B1220" s="12" t="inlineStr">
        <is>
          <t>Contractor Programme</t>
        </is>
      </c>
      <c r="C1220" s="12" t="inlineStr">
        <is>
          <t>SCH-05-003</t>
        </is>
      </c>
      <c r="D1220" s="12" t="inlineStr">
        <is>
          <t>1.5.2 Testing and Commissioning - Dynamic Testing</t>
        </is>
      </c>
      <c r="E1220" s="12" t="inlineStr">
        <is>
          <t>New</t>
        </is>
      </c>
      <c r="F1220" s="12" t="inlineStr"/>
      <c r="G1220" s="12" t="inlineStr">
        <is>
          <t>Source assignment -- not individually reviewed</t>
        </is>
      </c>
      <c r="H1220" s="17" t="inlineStr">
        <is>
          <t>10 EVIDENCE &amp; DECISIONS</t>
        </is>
      </c>
    </row>
    <row r="1221" ht="49" customHeight="1">
      <c r="A1221" s="12" t="inlineStr">
        <is>
          <t>R726-v1</t>
        </is>
      </c>
      <c r="B1221" s="12" t="inlineStr">
        <is>
          <t>Contractor Programme</t>
        </is>
      </c>
      <c r="C1221" s="12" t="inlineStr">
        <is>
          <t>SCH-05-006</t>
        </is>
      </c>
      <c r="D1221" s="12" t="inlineStr">
        <is>
          <t>1.5.2 Testing and Commissioning - Dynamic Testing</t>
        </is>
      </c>
      <c r="E1221" s="12" t="inlineStr">
        <is>
          <t>New</t>
        </is>
      </c>
      <c r="F1221" s="12" t="inlineStr"/>
      <c r="G1221" s="12" t="inlineStr">
        <is>
          <t>Source assignment -- not individually reviewed</t>
        </is>
      </c>
      <c r="H1221" s="17" t="inlineStr">
        <is>
          <t>10 EVIDENCE &amp; DECISIONS</t>
        </is>
      </c>
    </row>
    <row r="1222" ht="49" customHeight="1">
      <c r="A1222" s="12" t="inlineStr">
        <is>
          <t>R729-v1</t>
        </is>
      </c>
      <c r="B1222" s="12" t="inlineStr">
        <is>
          <t>Contractor Programme</t>
        </is>
      </c>
      <c r="C1222" s="12" t="inlineStr">
        <is>
          <t>SCH-05-009</t>
        </is>
      </c>
      <c r="D1222" s="12" t="inlineStr">
        <is>
          <t>1.5.2 Testing and Commissioning - Dynamic Testing</t>
        </is>
      </c>
      <c r="E1222" s="12" t="inlineStr">
        <is>
          <t>New</t>
        </is>
      </c>
      <c r="F1222" s="12" t="inlineStr"/>
      <c r="G1222" s="12" t="inlineStr">
        <is>
          <t>Source assignment -- not individually reviewed</t>
        </is>
      </c>
      <c r="H1222" s="17" t="inlineStr">
        <is>
          <t>10 EVIDENCE &amp; DECISIONS</t>
        </is>
      </c>
    </row>
    <row r="1223" ht="49" customHeight="1">
      <c r="A1223" s="12" t="inlineStr">
        <is>
          <t>R732-v1</t>
        </is>
      </c>
      <c r="B1223" s="12" t="inlineStr">
        <is>
          <t>Contractor Programme</t>
        </is>
      </c>
      <c r="C1223" s="12" t="inlineStr">
        <is>
          <t>SCH-05-012</t>
        </is>
      </c>
      <c r="D1223" s="12" t="inlineStr">
        <is>
          <t>1.5.2 Testing and Commissioning - Dynamic Testing</t>
        </is>
      </c>
      <c r="E1223" s="12" t="inlineStr">
        <is>
          <t>New</t>
        </is>
      </c>
      <c r="F1223" s="12" t="inlineStr"/>
      <c r="G1223" s="12" t="inlineStr">
        <is>
          <t>Source assignment -- not individually reviewed</t>
        </is>
      </c>
      <c r="H1223" s="17" t="inlineStr">
        <is>
          <t>10 EVIDENCE &amp; DECISIONS</t>
        </is>
      </c>
    </row>
    <row r="1224" ht="49" customHeight="1">
      <c r="A1224" s="12" t="inlineStr">
        <is>
          <t>R735-v1</t>
        </is>
      </c>
      <c r="B1224" s="12" t="inlineStr">
        <is>
          <t>Contractor Programme</t>
        </is>
      </c>
      <c r="C1224" s="12" t="inlineStr">
        <is>
          <t>SCH-05-015</t>
        </is>
      </c>
      <c r="D1224" s="12" t="inlineStr">
        <is>
          <t>1.5.2 Testing and Commissioning - Dynamic Testing</t>
        </is>
      </c>
      <c r="E1224" s="12" t="inlineStr">
        <is>
          <t>New</t>
        </is>
      </c>
      <c r="F1224" s="12" t="inlineStr"/>
      <c r="G1224" s="12" t="inlineStr">
        <is>
          <t>Source assignment -- not individually reviewed</t>
        </is>
      </c>
      <c r="H1224" s="17" t="inlineStr">
        <is>
          <t>10 EVIDENCE &amp; DECISIONS</t>
        </is>
      </c>
    </row>
    <row r="1225" ht="49" customHeight="1">
      <c r="A1225" s="12" t="inlineStr">
        <is>
          <t>R738-v1</t>
        </is>
      </c>
      <c r="B1225" s="12" t="inlineStr">
        <is>
          <t>Contractor Programme</t>
        </is>
      </c>
      <c r="C1225" s="12" t="inlineStr">
        <is>
          <t>SCH-05-018</t>
        </is>
      </c>
      <c r="D1225" s="12" t="inlineStr">
        <is>
          <t>1.5.2 Testing and Commissioning - Dynamic Testing</t>
        </is>
      </c>
      <c r="E1225" s="12" t="inlineStr">
        <is>
          <t>New</t>
        </is>
      </c>
      <c r="F1225" s="12" t="inlineStr"/>
      <c r="G1225" s="12" t="inlineStr">
        <is>
          <t>Source assignment -- not individually reviewed</t>
        </is>
      </c>
      <c r="H1225" s="17" t="inlineStr">
        <is>
          <t>10 EVIDENCE &amp; DECISIONS</t>
        </is>
      </c>
    </row>
    <row r="1226" ht="49" customHeight="1">
      <c r="A1226" s="12" t="inlineStr">
        <is>
          <t>R741-v1</t>
        </is>
      </c>
      <c r="B1226" s="12" t="inlineStr">
        <is>
          <t>Contractor Programme</t>
        </is>
      </c>
      <c r="C1226" s="12" t="inlineStr">
        <is>
          <t>SCH-05-021</t>
        </is>
      </c>
      <c r="D1226" s="12" t="inlineStr">
        <is>
          <t>1.5.2 Testing and Commissioning - Dynamic Testing</t>
        </is>
      </c>
      <c r="E1226" s="12" t="inlineStr">
        <is>
          <t>New</t>
        </is>
      </c>
      <c r="F1226" s="12" t="inlineStr"/>
      <c r="G1226" s="12" t="inlineStr">
        <is>
          <t>Source assignment -- not individually reviewed</t>
        </is>
      </c>
      <c r="H1226" s="17" t="inlineStr">
        <is>
          <t>10 EVIDENCE &amp; DECISIONS</t>
        </is>
      </c>
    </row>
    <row r="1227" ht="49" customHeight="1">
      <c r="A1227" s="12" t="inlineStr">
        <is>
          <t>R744-v1</t>
        </is>
      </c>
      <c r="B1227" s="12" t="inlineStr">
        <is>
          <t>Contractor Programme</t>
        </is>
      </c>
      <c r="C1227" s="12" t="inlineStr">
        <is>
          <t>SCH-05-024</t>
        </is>
      </c>
      <c r="D1227" s="12" t="inlineStr">
        <is>
          <t>1.5.2 Testing and Commissioning - Dynamic Testing</t>
        </is>
      </c>
      <c r="E1227" s="12" t="inlineStr">
        <is>
          <t>New</t>
        </is>
      </c>
      <c r="F1227" s="12" t="inlineStr"/>
      <c r="G1227" s="12" t="inlineStr">
        <is>
          <t>Source assignment -- not individually reviewed</t>
        </is>
      </c>
      <c r="H1227" s="17" t="inlineStr">
        <is>
          <t>10 EVIDENCE &amp; DECISIONS</t>
        </is>
      </c>
    </row>
    <row r="1228" ht="49" customHeight="1">
      <c r="A1228" s="12" t="inlineStr">
        <is>
          <t>R747-v1</t>
        </is>
      </c>
      <c r="B1228" s="12" t="inlineStr">
        <is>
          <t>Contractor Programme</t>
        </is>
      </c>
      <c r="C1228" s="12" t="inlineStr">
        <is>
          <t>SCH-05-027</t>
        </is>
      </c>
      <c r="D1228" s="12" t="inlineStr">
        <is>
          <t>1.5.2 Testing and Commissioning - Dynamic Testing</t>
        </is>
      </c>
      <c r="E1228" s="12" t="inlineStr">
        <is>
          <t>New</t>
        </is>
      </c>
      <c r="F1228" s="12" t="inlineStr"/>
      <c r="G1228" s="12" t="inlineStr">
        <is>
          <t>Source assignment -- not individually reviewed</t>
        </is>
      </c>
      <c r="H1228" s="17" t="inlineStr">
        <is>
          <t>10 EVIDENCE &amp; DECISIONS</t>
        </is>
      </c>
    </row>
    <row r="1229" ht="49" customHeight="1">
      <c r="A1229" s="12" t="inlineStr">
        <is>
          <t>R750-v1</t>
        </is>
      </c>
      <c r="B1229" s="12" t="inlineStr">
        <is>
          <t>Contractor Programme</t>
        </is>
      </c>
      <c r="C1229" s="12" t="inlineStr">
        <is>
          <t>SCH-05-030</t>
        </is>
      </c>
      <c r="D1229" s="12" t="inlineStr">
        <is>
          <t>1.5.2 Testing and Commissioning - Dynamic Testing</t>
        </is>
      </c>
      <c r="E1229" s="12" t="inlineStr">
        <is>
          <t>New</t>
        </is>
      </c>
      <c r="F1229" s="12" t="inlineStr"/>
      <c r="G1229" s="12" t="inlineStr">
        <is>
          <t>Source assignment -- not individually reviewed</t>
        </is>
      </c>
      <c r="H1229" s="17" t="inlineStr">
        <is>
          <t>10 EVIDENCE &amp; DECISIONS</t>
        </is>
      </c>
    </row>
    <row r="1230" ht="49" customHeight="1">
      <c r="A1230" s="12" t="inlineStr">
        <is>
          <t>R753-v1</t>
        </is>
      </c>
      <c r="B1230" s="12" t="inlineStr">
        <is>
          <t>Contractor Programme</t>
        </is>
      </c>
      <c r="C1230" s="12" t="inlineStr">
        <is>
          <t>SCH-05-033</t>
        </is>
      </c>
      <c r="D1230" s="12" t="inlineStr">
        <is>
          <t>1.5.2 Testing and Commissioning - Dynamic Testing</t>
        </is>
      </c>
      <c r="E1230" s="12" t="inlineStr">
        <is>
          <t>New</t>
        </is>
      </c>
      <c r="F1230" s="12" t="inlineStr"/>
      <c r="G1230" s="12" t="inlineStr">
        <is>
          <t>Source assignment -- not individually reviewed</t>
        </is>
      </c>
      <c r="H1230" s="17" t="inlineStr">
        <is>
          <t>10 EVIDENCE &amp; DECISIONS</t>
        </is>
      </c>
    </row>
    <row r="1231" ht="49" customHeight="1">
      <c r="A1231" s="12" t="inlineStr">
        <is>
          <t>R756-v1</t>
        </is>
      </c>
      <c r="B1231" s="12" t="inlineStr">
        <is>
          <t>Contractor Programme</t>
        </is>
      </c>
      <c r="C1231" s="12" t="inlineStr">
        <is>
          <t>SCH-05-036</t>
        </is>
      </c>
      <c r="D1231" s="12" t="inlineStr">
        <is>
          <t>1.5.2 Testing and Commissioning - Dynamic Testing</t>
        </is>
      </c>
      <c r="E1231" s="12" t="inlineStr">
        <is>
          <t>New</t>
        </is>
      </c>
      <c r="F1231" s="12" t="inlineStr"/>
      <c r="G1231" s="12" t="inlineStr">
        <is>
          <t>Source assignment -- not individually reviewed</t>
        </is>
      </c>
      <c r="H1231" s="17" t="inlineStr">
        <is>
          <t>10 EVIDENCE &amp; DECISIONS</t>
        </is>
      </c>
    </row>
    <row r="1232" ht="49" customHeight="1">
      <c r="A1232" s="12" t="inlineStr">
        <is>
          <t>R759-v1</t>
        </is>
      </c>
      <c r="B1232" s="12" t="inlineStr">
        <is>
          <t>Contractor Programme</t>
        </is>
      </c>
      <c r="C1232" s="12" t="inlineStr">
        <is>
          <t>SCH-05-039</t>
        </is>
      </c>
      <c r="D1232" s="12" t="inlineStr">
        <is>
          <t>1.5.2 Testing and Commissioning - Dynamic Testing</t>
        </is>
      </c>
      <c r="E1232" s="12" t="inlineStr">
        <is>
          <t>New</t>
        </is>
      </c>
      <c r="F1232" s="12" t="inlineStr"/>
      <c r="G1232" s="12" t="inlineStr">
        <is>
          <t>Source assignment -- not individually reviewed</t>
        </is>
      </c>
      <c r="H1232" s="17" t="inlineStr">
        <is>
          <t>10 EVIDENCE &amp; DECISIONS</t>
        </is>
      </c>
    </row>
    <row r="1233" ht="49" customHeight="1">
      <c r="A1233" s="12" t="inlineStr">
        <is>
          <t>R762-v1</t>
        </is>
      </c>
      <c r="B1233" s="12" t="inlineStr">
        <is>
          <t>Contractor Programme</t>
        </is>
      </c>
      <c r="C1233" s="12" t="inlineStr">
        <is>
          <t>SCH-05-042</t>
        </is>
      </c>
      <c r="D1233" s="12" t="inlineStr">
        <is>
          <t>1.5.2 Testing and Commissioning - Dynamic Testing</t>
        </is>
      </c>
      <c r="E1233" s="12" t="inlineStr">
        <is>
          <t>New</t>
        </is>
      </c>
      <c r="F1233" s="12" t="inlineStr"/>
      <c r="G1233" s="12" t="inlineStr">
        <is>
          <t>Source assignment -- not individually reviewed</t>
        </is>
      </c>
      <c r="H1233" s="17" t="inlineStr">
        <is>
          <t>10 EVIDENCE &amp; DECISIONS</t>
        </is>
      </c>
    </row>
    <row r="1234" ht="49" customHeight="1">
      <c r="A1234" s="12" t="inlineStr">
        <is>
          <t>R765-v1</t>
        </is>
      </c>
      <c r="B1234" s="12" t="inlineStr">
        <is>
          <t>Contractor Programme</t>
        </is>
      </c>
      <c r="C1234" s="12" t="inlineStr">
        <is>
          <t>SCH-05-045</t>
        </is>
      </c>
      <c r="D1234" s="12" t="inlineStr">
        <is>
          <t>1.5.2 Testing and Commissioning - Dynamic Testing</t>
        </is>
      </c>
      <c r="E1234" s="12" t="inlineStr">
        <is>
          <t>New</t>
        </is>
      </c>
      <c r="F1234" s="12" t="inlineStr"/>
      <c r="G1234" s="12" t="inlineStr">
        <is>
          <t>Source assignment -- not individually reviewed</t>
        </is>
      </c>
      <c r="H1234" s="17" t="inlineStr">
        <is>
          <t>10 EVIDENCE &amp; DECISIONS</t>
        </is>
      </c>
    </row>
    <row r="1235" ht="49" customHeight="1">
      <c r="A1235" s="12" t="inlineStr">
        <is>
          <t>R768-v1</t>
        </is>
      </c>
      <c r="B1235" s="12" t="inlineStr">
        <is>
          <t>Contractor Programme</t>
        </is>
      </c>
      <c r="C1235" s="12" t="inlineStr">
        <is>
          <t>SCH-05-048</t>
        </is>
      </c>
      <c r="D1235" s="12" t="inlineStr">
        <is>
          <t>1.5.2 Testing and Commissioning - Dynamic Testing</t>
        </is>
      </c>
      <c r="E1235" s="12" t="inlineStr">
        <is>
          <t>New</t>
        </is>
      </c>
      <c r="F1235" s="12" t="inlineStr"/>
      <c r="G1235" s="12" t="inlineStr">
        <is>
          <t>Source assignment -- not individually reviewed</t>
        </is>
      </c>
      <c r="H1235" s="17" t="inlineStr">
        <is>
          <t>10 EVIDENCE &amp; DECISIONS</t>
        </is>
      </c>
    </row>
    <row r="1236" ht="49" customHeight="1">
      <c r="A1236" s="12" t="inlineStr">
        <is>
          <t>R771-v1</t>
        </is>
      </c>
      <c r="B1236" s="12" t="inlineStr">
        <is>
          <t>Contractor Programme</t>
        </is>
      </c>
      <c r="C1236" s="12" t="inlineStr">
        <is>
          <t>SCH-05-051</t>
        </is>
      </c>
      <c r="D1236" s="12" t="inlineStr">
        <is>
          <t>1.5.2 Testing and Commissioning - Dynamic Testing</t>
        </is>
      </c>
      <c r="E1236" s="12" t="inlineStr">
        <is>
          <t>New</t>
        </is>
      </c>
      <c r="F1236" s="12" t="inlineStr"/>
      <c r="G1236" s="12" t="inlineStr">
        <is>
          <t>Source assignment -- not individually reviewed</t>
        </is>
      </c>
      <c r="H1236" s="17" t="inlineStr">
        <is>
          <t>10 EVIDENCE &amp; DECISIONS</t>
        </is>
      </c>
    </row>
    <row r="1237" ht="49" customHeight="1">
      <c r="A1237" s="12" t="inlineStr">
        <is>
          <t>R774-v1</t>
        </is>
      </c>
      <c r="B1237" s="12" t="inlineStr">
        <is>
          <t>Contractor Programme</t>
        </is>
      </c>
      <c r="C1237" s="12" t="inlineStr">
        <is>
          <t>SCH-05-054</t>
        </is>
      </c>
      <c r="D1237" s="12" t="inlineStr">
        <is>
          <t>1.5.2 Testing and Commissioning - Dynamic Testing</t>
        </is>
      </c>
      <c r="E1237" s="12" t="inlineStr">
        <is>
          <t>New</t>
        </is>
      </c>
      <c r="F1237" s="12" t="inlineStr"/>
      <c r="G1237" s="12" t="inlineStr">
        <is>
          <t>Source assignment -- not individually reviewed</t>
        </is>
      </c>
      <c r="H1237" s="17" t="inlineStr">
        <is>
          <t>10 EVIDENCE &amp; DECISIONS</t>
        </is>
      </c>
    </row>
    <row r="1238" ht="49" customHeight="1">
      <c r="A1238" s="12" t="inlineStr">
        <is>
          <t>R777-v1</t>
        </is>
      </c>
      <c r="B1238" s="12" t="inlineStr">
        <is>
          <t>Contractor Programme</t>
        </is>
      </c>
      <c r="C1238" s="12" t="inlineStr">
        <is>
          <t>SCH-05-057</t>
        </is>
      </c>
      <c r="D1238" s="12" t="inlineStr">
        <is>
          <t>1.5.2 Testing and Commissioning - Dynamic Testing</t>
        </is>
      </c>
      <c r="E1238" s="12" t="inlineStr">
        <is>
          <t>New</t>
        </is>
      </c>
      <c r="F1238" s="12" t="inlineStr"/>
      <c r="G1238" s="12" t="inlineStr">
        <is>
          <t>Source assignment -- not individually reviewed</t>
        </is>
      </c>
      <c r="H1238" s="17" t="inlineStr">
        <is>
          <t>10 EVIDENCE &amp; DECISIONS</t>
        </is>
      </c>
    </row>
    <row r="1239" ht="49" customHeight="1">
      <c r="A1239" s="12" t="inlineStr">
        <is>
          <t>R780-v1</t>
        </is>
      </c>
      <c r="B1239" s="12" t="inlineStr">
        <is>
          <t>Contractor Programme</t>
        </is>
      </c>
      <c r="C1239" s="12" t="inlineStr">
        <is>
          <t>SCH-05-060</t>
        </is>
      </c>
      <c r="D1239" s="12" t="inlineStr">
        <is>
          <t>1.5.2 Testing and Commissioning - Dynamic Testing</t>
        </is>
      </c>
      <c r="E1239" s="12" t="inlineStr">
        <is>
          <t>New</t>
        </is>
      </c>
      <c r="F1239" s="12" t="inlineStr"/>
      <c r="G1239" s="12" t="inlineStr">
        <is>
          <t>Source assignment -- not individually reviewed</t>
        </is>
      </c>
      <c r="H1239" s="17" t="inlineStr">
        <is>
          <t>10 EVIDENCE &amp; DECISIONS</t>
        </is>
      </c>
    </row>
    <row r="1240" ht="49" customHeight="1">
      <c r="A1240" s="12" t="inlineStr">
        <is>
          <t>R783-v1</t>
        </is>
      </c>
      <c r="B1240" s="12" t="inlineStr">
        <is>
          <t>Contractor Programme</t>
        </is>
      </c>
      <c r="C1240" s="12" t="inlineStr">
        <is>
          <t>SCH-05-063</t>
        </is>
      </c>
      <c r="D1240" s="12" t="inlineStr">
        <is>
          <t>1.5.2 Testing and Commissioning - Dynamic Testing</t>
        </is>
      </c>
      <c r="E1240" s="12" t="inlineStr">
        <is>
          <t>New</t>
        </is>
      </c>
      <c r="F1240" s="12" t="inlineStr"/>
      <c r="G1240" s="12" t="inlineStr">
        <is>
          <t>Source assignment -- not individually reviewed</t>
        </is>
      </c>
      <c r="H1240" s="17" t="inlineStr">
        <is>
          <t>10 EVIDENCE &amp; DECISIONS</t>
        </is>
      </c>
    </row>
    <row r="1241" ht="49" customHeight="1">
      <c r="A1241" s="12" t="inlineStr">
        <is>
          <t>R786-v1</t>
        </is>
      </c>
      <c r="B1241" s="12" t="inlineStr">
        <is>
          <t>Contractor Programme</t>
        </is>
      </c>
      <c r="C1241" s="12" t="inlineStr">
        <is>
          <t>SCH-05-066</t>
        </is>
      </c>
      <c r="D1241" s="12" t="inlineStr">
        <is>
          <t>1.5.2 Testing and Commissioning - Dynamic Testing</t>
        </is>
      </c>
      <c r="E1241" s="12" t="inlineStr">
        <is>
          <t>New</t>
        </is>
      </c>
      <c r="F1241" s="12" t="inlineStr"/>
      <c r="G1241" s="12" t="inlineStr">
        <is>
          <t>Source assignment -- not individually reviewed</t>
        </is>
      </c>
      <c r="H1241" s="17" t="inlineStr">
        <is>
          <t>10 EVIDENCE &amp; DECISIONS</t>
        </is>
      </c>
    </row>
    <row r="1242" ht="49" customHeight="1">
      <c r="A1242" s="12" t="inlineStr">
        <is>
          <t>R789-v1</t>
        </is>
      </c>
      <c r="B1242" s="12" t="inlineStr">
        <is>
          <t>Contractor Programme</t>
        </is>
      </c>
      <c r="C1242" s="12" t="inlineStr">
        <is>
          <t>SCH-05-069</t>
        </is>
      </c>
      <c r="D1242" s="12" t="inlineStr">
        <is>
          <t>1.5.2 Testing and Commissioning - Dynamic Testing</t>
        </is>
      </c>
      <c r="E1242" s="12" t="inlineStr">
        <is>
          <t>New</t>
        </is>
      </c>
      <c r="F1242" s="12" t="inlineStr"/>
      <c r="G1242" s="12" t="inlineStr">
        <is>
          <t>Source assignment -- not individually reviewed</t>
        </is>
      </c>
      <c r="H1242" s="17" t="inlineStr">
        <is>
          <t>10 EVIDENCE &amp; DECISIONS</t>
        </is>
      </c>
    </row>
    <row r="1243" ht="49" customHeight="1">
      <c r="A1243" s="12" t="inlineStr">
        <is>
          <t>R792-v1</t>
        </is>
      </c>
      <c r="B1243" s="12" t="inlineStr">
        <is>
          <t>Contractor Programme</t>
        </is>
      </c>
      <c r="C1243" s="12" t="inlineStr">
        <is>
          <t>SCH-05-072</t>
        </is>
      </c>
      <c r="D1243" s="12" t="inlineStr">
        <is>
          <t>1.5.2 Testing and Commissioning - Dynamic Testing</t>
        </is>
      </c>
      <c r="E1243" s="12" t="inlineStr">
        <is>
          <t>New</t>
        </is>
      </c>
      <c r="F1243" s="12" t="inlineStr"/>
      <c r="G1243" s="12" t="inlineStr">
        <is>
          <t>Source assignment -- not individually reviewed</t>
        </is>
      </c>
      <c r="H1243" s="17" t="inlineStr">
        <is>
          <t>10 EVIDENCE &amp; DECISIONS</t>
        </is>
      </c>
    </row>
    <row r="1244" ht="49" customHeight="1">
      <c r="A1244" s="12" t="inlineStr">
        <is>
          <t>R795-v1</t>
        </is>
      </c>
      <c r="B1244" s="12" t="inlineStr">
        <is>
          <t>Contractor Programme</t>
        </is>
      </c>
      <c r="C1244" s="12" t="inlineStr">
        <is>
          <t>SCH-05-075</t>
        </is>
      </c>
      <c r="D1244" s="12" t="inlineStr">
        <is>
          <t>1.5.2 Testing and Commissioning - Dynamic Testing</t>
        </is>
      </c>
      <c r="E1244" s="12" t="inlineStr">
        <is>
          <t>New</t>
        </is>
      </c>
      <c r="F1244" s="12" t="inlineStr"/>
      <c r="G1244" s="12" t="inlineStr">
        <is>
          <t>Source assignment -- not individually reviewed</t>
        </is>
      </c>
      <c r="H1244" s="17" t="inlineStr">
        <is>
          <t>10 EVIDENCE &amp; DECISIONS</t>
        </is>
      </c>
    </row>
    <row r="1245" ht="49" customHeight="1">
      <c r="A1245" s="12" t="inlineStr">
        <is>
          <t>R798-v1</t>
        </is>
      </c>
      <c r="B1245" s="12" t="inlineStr">
        <is>
          <t>Contractor Programme</t>
        </is>
      </c>
      <c r="C1245" s="12" t="inlineStr">
        <is>
          <t>SCH-05-078</t>
        </is>
      </c>
      <c r="D1245" s="12" t="inlineStr">
        <is>
          <t>1.5.2 Testing and Commissioning - Dynamic Testing</t>
        </is>
      </c>
      <c r="E1245" s="12" t="inlineStr">
        <is>
          <t>New</t>
        </is>
      </c>
      <c r="F1245" s="12" t="inlineStr"/>
      <c r="G1245" s="12" t="inlineStr">
        <is>
          <t>Source assignment -- not individually reviewed</t>
        </is>
      </c>
      <c r="H1245" s="17" t="inlineStr">
        <is>
          <t>10 EVIDENCE &amp; DECISIONS</t>
        </is>
      </c>
    </row>
    <row r="1246" ht="49" customHeight="1">
      <c r="A1246" s="12" t="inlineStr">
        <is>
          <t>R801-v1</t>
        </is>
      </c>
      <c r="B1246" s="12" t="inlineStr">
        <is>
          <t>Contractor Programme</t>
        </is>
      </c>
      <c r="C1246" s="12" t="inlineStr">
        <is>
          <t>SCH-05-081</t>
        </is>
      </c>
      <c r="D1246" s="12" t="inlineStr">
        <is>
          <t>1.5.2 Testing and Commissioning - Dynamic Testing</t>
        </is>
      </c>
      <c r="E1246" s="12" t="inlineStr">
        <is>
          <t>New</t>
        </is>
      </c>
      <c r="F1246" s="12" t="inlineStr"/>
      <c r="G1246" s="12" t="inlineStr">
        <is>
          <t>Source assignment -- not individually reviewed</t>
        </is>
      </c>
      <c r="H1246" s="17" t="inlineStr">
        <is>
          <t>10 EVIDENCE &amp; DECISIONS</t>
        </is>
      </c>
    </row>
    <row r="1247" ht="49" customHeight="1">
      <c r="A1247" s="12" t="inlineStr">
        <is>
          <t>R804-v1</t>
        </is>
      </c>
      <c r="B1247" s="12" t="inlineStr">
        <is>
          <t>Contractor Programme</t>
        </is>
      </c>
      <c r="C1247" s="12" t="inlineStr">
        <is>
          <t>SCH-05-084</t>
        </is>
      </c>
      <c r="D1247" s="12" t="inlineStr">
        <is>
          <t>1.5.2 Testing and Commissioning - Dynamic Testing</t>
        </is>
      </c>
      <c r="E1247" s="12" t="inlineStr">
        <is>
          <t>New</t>
        </is>
      </c>
      <c r="F1247" s="12" t="inlineStr"/>
      <c r="G1247" s="12" t="inlineStr">
        <is>
          <t>Source assignment -- not individually reviewed</t>
        </is>
      </c>
      <c r="H1247" s="17" t="inlineStr">
        <is>
          <t>10 EVIDENCE &amp; DECISIONS</t>
        </is>
      </c>
    </row>
    <row r="1248" ht="49" customHeight="1">
      <c r="A1248" s="12" t="inlineStr">
        <is>
          <t>R807-v1</t>
        </is>
      </c>
      <c r="B1248" s="12" t="inlineStr">
        <is>
          <t>Contractor Programme</t>
        </is>
      </c>
      <c r="C1248" s="12" t="inlineStr">
        <is>
          <t>SCH-05-087</t>
        </is>
      </c>
      <c r="D1248" s="12" t="inlineStr">
        <is>
          <t>1.5.2 Testing and Commissioning - Dynamic Testing</t>
        </is>
      </c>
      <c r="E1248" s="12" t="inlineStr">
        <is>
          <t>New</t>
        </is>
      </c>
      <c r="F1248" s="12" t="inlineStr"/>
      <c r="G1248" s="12" t="inlineStr">
        <is>
          <t>Source assignment -- not individually reviewed</t>
        </is>
      </c>
      <c r="H1248" s="17" t="inlineStr">
        <is>
          <t>10 EVIDENCE &amp; DECISIONS</t>
        </is>
      </c>
    </row>
    <row r="1249" ht="49" customHeight="1">
      <c r="A1249" s="12" t="inlineStr">
        <is>
          <t>R810-v1</t>
        </is>
      </c>
      <c r="B1249" s="12" t="inlineStr">
        <is>
          <t>Contractor Programme</t>
        </is>
      </c>
      <c r="C1249" s="12" t="inlineStr">
        <is>
          <t>SCH-05-090</t>
        </is>
      </c>
      <c r="D1249" s="12" t="inlineStr">
        <is>
          <t>1.5.2 Testing and Commissioning - Dynamic Testing</t>
        </is>
      </c>
      <c r="E1249" s="12" t="inlineStr">
        <is>
          <t>New</t>
        </is>
      </c>
      <c r="F1249" s="12" t="inlineStr"/>
      <c r="G1249" s="12" t="inlineStr">
        <is>
          <t>Source assignment -- not individually reviewed</t>
        </is>
      </c>
      <c r="H1249" s="17" t="inlineStr">
        <is>
          <t>10 EVIDENCE &amp; DECISIONS</t>
        </is>
      </c>
    </row>
    <row r="1250" ht="49" customHeight="1">
      <c r="A1250" s="12" t="inlineStr">
        <is>
          <t>R813-v1</t>
        </is>
      </c>
      <c r="B1250" s="12" t="inlineStr">
        <is>
          <t>Contractor Programme</t>
        </is>
      </c>
      <c r="C1250" s="12" t="inlineStr">
        <is>
          <t>SCH-05-093</t>
        </is>
      </c>
      <c r="D1250" s="12" t="inlineStr">
        <is>
          <t>1.5.2 Testing and Commissioning - Dynamic Testing</t>
        </is>
      </c>
      <c r="E1250" s="12" t="inlineStr">
        <is>
          <t>New</t>
        </is>
      </c>
      <c r="F1250" s="12" t="inlineStr"/>
      <c r="G1250" s="12" t="inlineStr">
        <is>
          <t>Source assignment -- not individually reviewed</t>
        </is>
      </c>
      <c r="H1250" s="17" t="inlineStr">
        <is>
          <t>10 EVIDENCE &amp; DECISIONS</t>
        </is>
      </c>
    </row>
    <row r="1251" ht="49" customHeight="1">
      <c r="A1251" s="12" t="inlineStr">
        <is>
          <t>R816-v1</t>
        </is>
      </c>
      <c r="B1251" s="12" t="inlineStr">
        <is>
          <t>Contractor Programme</t>
        </is>
      </c>
      <c r="C1251" s="12" t="inlineStr">
        <is>
          <t>SCH-05-096</t>
        </is>
      </c>
      <c r="D1251" s="12" t="inlineStr">
        <is>
          <t>1.5.2 Testing and Commissioning - Dynamic Testing</t>
        </is>
      </c>
      <c r="E1251" s="12" t="inlineStr">
        <is>
          <t>New</t>
        </is>
      </c>
      <c r="F1251" s="12" t="inlineStr"/>
      <c r="G1251" s="12" t="inlineStr">
        <is>
          <t>Source assignment -- not individually reviewed</t>
        </is>
      </c>
      <c r="H1251" s="17" t="inlineStr">
        <is>
          <t>10 EVIDENCE &amp; DECISIONS</t>
        </is>
      </c>
    </row>
    <row r="1252" ht="49" customHeight="1">
      <c r="A1252" s="12" t="inlineStr">
        <is>
          <t>R819-v1</t>
        </is>
      </c>
      <c r="B1252" s="12" t="inlineStr">
        <is>
          <t>Contractor Programme</t>
        </is>
      </c>
      <c r="C1252" s="12" t="inlineStr">
        <is>
          <t>SCH-05-099</t>
        </is>
      </c>
      <c r="D1252" s="12" t="inlineStr">
        <is>
          <t>1.5.2 Testing and Commissioning - Dynamic Testing</t>
        </is>
      </c>
      <c r="E1252" s="12" t="inlineStr">
        <is>
          <t>New</t>
        </is>
      </c>
      <c r="F1252" s="12" t="inlineStr"/>
      <c r="G1252" s="12" t="inlineStr">
        <is>
          <t>Source assignment -- not individually reviewed</t>
        </is>
      </c>
      <c r="H1252" s="17" t="inlineStr">
        <is>
          <t>10 EVIDENCE &amp; DECISIONS</t>
        </is>
      </c>
    </row>
    <row r="1253" ht="49" customHeight="1">
      <c r="A1253" s="12" t="inlineStr">
        <is>
          <t>R822-v1</t>
        </is>
      </c>
      <c r="B1253" s="12" t="inlineStr">
        <is>
          <t>Contractor Programme</t>
        </is>
      </c>
      <c r="C1253" s="12" t="inlineStr">
        <is>
          <t>SCH-05-102</t>
        </is>
      </c>
      <c r="D1253" s="12" t="inlineStr">
        <is>
          <t>1.5.2 Testing and Commissioning - Dynamic Testing</t>
        </is>
      </c>
      <c r="E1253" s="12" t="inlineStr">
        <is>
          <t>New</t>
        </is>
      </c>
      <c r="F1253" s="12" t="inlineStr"/>
      <c r="G1253" s="12" t="inlineStr">
        <is>
          <t>Source assignment -- not individually reviewed</t>
        </is>
      </c>
      <c r="H1253" s="17" t="inlineStr">
        <is>
          <t>10 EVIDENCE &amp; DECISIONS</t>
        </is>
      </c>
    </row>
    <row r="1254" ht="49" customHeight="1">
      <c r="A1254" s="12" t="inlineStr">
        <is>
          <t>R825-v1</t>
        </is>
      </c>
      <c r="B1254" s="12" t="inlineStr">
        <is>
          <t>Contractor Programme</t>
        </is>
      </c>
      <c r="C1254" s="12" t="inlineStr">
        <is>
          <t>SCH-05-105</t>
        </is>
      </c>
      <c r="D1254" s="12" t="inlineStr">
        <is>
          <t>1.5.2 Testing and Commissioning - Dynamic Testing</t>
        </is>
      </c>
      <c r="E1254" s="12" t="inlineStr">
        <is>
          <t>New</t>
        </is>
      </c>
      <c r="F1254" s="12" t="inlineStr"/>
      <c r="G1254" s="12" t="inlineStr">
        <is>
          <t>Source assignment -- not individually reviewed</t>
        </is>
      </c>
      <c r="H1254" s="17" t="inlineStr">
        <is>
          <t>10 EVIDENCE &amp; DECISIONS</t>
        </is>
      </c>
    </row>
    <row r="1255" ht="49" customHeight="1">
      <c r="A1255" s="12" t="inlineStr">
        <is>
          <t>R828-v1</t>
        </is>
      </c>
      <c r="B1255" s="12" t="inlineStr">
        <is>
          <t>Contractor Programme</t>
        </is>
      </c>
      <c r="C1255" s="12" t="inlineStr">
        <is>
          <t>SCH-05-108</t>
        </is>
      </c>
      <c r="D1255" s="12" t="inlineStr">
        <is>
          <t>1.5.2 Testing and Commissioning - Dynamic Testing</t>
        </is>
      </c>
      <c r="E1255" s="12" t="inlineStr">
        <is>
          <t>New</t>
        </is>
      </c>
      <c r="F1255" s="12" t="inlineStr"/>
      <c r="G1255" s="12" t="inlineStr">
        <is>
          <t>Source assignment -- not individually reviewed</t>
        </is>
      </c>
      <c r="H1255" s="17" t="inlineStr">
        <is>
          <t>10 EVIDENCE &amp; DECISIONS</t>
        </is>
      </c>
    </row>
    <row r="1256" ht="49" customHeight="1">
      <c r="A1256" s="12" t="inlineStr">
        <is>
          <t>R831-v1</t>
        </is>
      </c>
      <c r="B1256" s="12" t="inlineStr">
        <is>
          <t>Contractor Programme</t>
        </is>
      </c>
      <c r="C1256" s="12" t="inlineStr">
        <is>
          <t>SCH-05-111</t>
        </is>
      </c>
      <c r="D1256" s="12" t="inlineStr">
        <is>
          <t>1.5.2 Testing and Commissioning - Dynamic Testing</t>
        </is>
      </c>
      <c r="E1256" s="12" t="inlineStr">
        <is>
          <t>New</t>
        </is>
      </c>
      <c r="F1256" s="12" t="inlineStr"/>
      <c r="G1256" s="12" t="inlineStr">
        <is>
          <t>Source assignment -- not individually reviewed</t>
        </is>
      </c>
      <c r="H1256" s="17" t="inlineStr">
        <is>
          <t>10 EVIDENCE &amp; DECISIONS</t>
        </is>
      </c>
    </row>
    <row r="1257" ht="49" customHeight="1">
      <c r="A1257" s="12" t="inlineStr">
        <is>
          <t>R834-v1</t>
        </is>
      </c>
      <c r="B1257" s="12" t="inlineStr">
        <is>
          <t>Contractor Programme</t>
        </is>
      </c>
      <c r="C1257" s="12" t="inlineStr">
        <is>
          <t>SCH-05-114</t>
        </is>
      </c>
      <c r="D1257" s="12" t="inlineStr">
        <is>
          <t>1.5.2 Testing and Commissioning - Dynamic Testing</t>
        </is>
      </c>
      <c r="E1257" s="12" t="inlineStr">
        <is>
          <t>New</t>
        </is>
      </c>
      <c r="F1257" s="12" t="inlineStr"/>
      <c r="G1257" s="12" t="inlineStr">
        <is>
          <t>Source assignment -- not individually reviewed</t>
        </is>
      </c>
      <c r="H1257" s="17" t="inlineStr">
        <is>
          <t>10 EVIDENCE &amp; DECISIONS</t>
        </is>
      </c>
    </row>
    <row r="1258" ht="49" customHeight="1">
      <c r="A1258" s="12" t="inlineStr">
        <is>
          <t>R837-v1</t>
        </is>
      </c>
      <c r="B1258" s="12" t="inlineStr">
        <is>
          <t>Contractor Programme</t>
        </is>
      </c>
      <c r="C1258" s="12" t="inlineStr">
        <is>
          <t>SCH-05-117</t>
        </is>
      </c>
      <c r="D1258" s="12" t="inlineStr">
        <is>
          <t>1.5.2 Testing and Commissioning - Dynamic Testing</t>
        </is>
      </c>
      <c r="E1258" s="12" t="inlineStr">
        <is>
          <t>New</t>
        </is>
      </c>
      <c r="F1258" s="12" t="inlineStr"/>
      <c r="G1258" s="12" t="inlineStr">
        <is>
          <t>Source assignment -- not individually reviewed</t>
        </is>
      </c>
      <c r="H1258" s="17" t="inlineStr">
        <is>
          <t>10 EVIDENCE &amp; DECISIONS</t>
        </is>
      </c>
    </row>
    <row r="1259" ht="49" customHeight="1">
      <c r="A1259" s="12" t="inlineStr">
        <is>
          <t>R840-v1</t>
        </is>
      </c>
      <c r="B1259" s="12" t="inlineStr">
        <is>
          <t>Contractor Programme</t>
        </is>
      </c>
      <c r="C1259" s="12" t="inlineStr">
        <is>
          <t>SCH-05-120</t>
        </is>
      </c>
      <c r="D1259" s="12" t="inlineStr">
        <is>
          <t>1.5.2 Testing and Commissioning - Dynamic Testing</t>
        </is>
      </c>
      <c r="E1259" s="12" t="inlineStr">
        <is>
          <t>New</t>
        </is>
      </c>
      <c r="F1259" s="12" t="inlineStr"/>
      <c r="G1259" s="12" t="inlineStr">
        <is>
          <t>Source assignment -- not individually reviewed</t>
        </is>
      </c>
      <c r="H1259" s="17" t="inlineStr">
        <is>
          <t>10 EVIDENCE &amp; DECISIONS</t>
        </is>
      </c>
    </row>
    <row r="1260" ht="49" customHeight="1">
      <c r="A1260" s="12" t="inlineStr">
        <is>
          <t>R843-v1</t>
        </is>
      </c>
      <c r="B1260" s="12" t="inlineStr">
        <is>
          <t>Contractor Programme</t>
        </is>
      </c>
      <c r="C1260" s="12" t="inlineStr">
        <is>
          <t>SCH-05-123</t>
        </is>
      </c>
      <c r="D1260" s="12" t="inlineStr">
        <is>
          <t>1.5.2 Testing and Commissioning - Dynamic Testing</t>
        </is>
      </c>
      <c r="E1260" s="12" t="inlineStr">
        <is>
          <t>New</t>
        </is>
      </c>
      <c r="F1260" s="12" t="inlineStr"/>
      <c r="G1260" s="12" t="inlineStr">
        <is>
          <t>Source assignment -- not individually reviewed</t>
        </is>
      </c>
      <c r="H1260" s="17" t="inlineStr">
        <is>
          <t>10 EVIDENCE &amp; DECISIONS</t>
        </is>
      </c>
    </row>
    <row r="1261" ht="49" customHeight="1">
      <c r="A1261" s="12" t="inlineStr">
        <is>
          <t>R846-v1</t>
        </is>
      </c>
      <c r="B1261" s="12" t="inlineStr">
        <is>
          <t>Contractor Programme</t>
        </is>
      </c>
      <c r="C1261" s="12" t="inlineStr">
        <is>
          <t>SCH-05-126</t>
        </is>
      </c>
      <c r="D1261" s="12" t="inlineStr">
        <is>
          <t>1.5.2 Testing and Commissioning - Dynamic Testing</t>
        </is>
      </c>
      <c r="E1261" s="12" t="inlineStr">
        <is>
          <t>New</t>
        </is>
      </c>
      <c r="F1261" s="12" t="inlineStr"/>
      <c r="G1261" s="12" t="inlineStr">
        <is>
          <t>Source assignment -- not individually reviewed</t>
        </is>
      </c>
      <c r="H1261" s="17" t="inlineStr">
        <is>
          <t>10 EVIDENCE &amp; DECISIONS</t>
        </is>
      </c>
    </row>
    <row r="1262" ht="49" customHeight="1">
      <c r="A1262" s="12" t="inlineStr">
        <is>
          <t>R849-v1</t>
        </is>
      </c>
      <c r="B1262" s="12" t="inlineStr">
        <is>
          <t>Contractor Programme</t>
        </is>
      </c>
      <c r="C1262" s="12" t="inlineStr">
        <is>
          <t>SCH-05-129</t>
        </is>
      </c>
      <c r="D1262" s="12" t="inlineStr">
        <is>
          <t>1.5.2 Testing and Commissioning - Dynamic Testing</t>
        </is>
      </c>
      <c r="E1262" s="12" t="inlineStr">
        <is>
          <t>New</t>
        </is>
      </c>
      <c r="F1262" s="12" t="inlineStr"/>
      <c r="G1262" s="12" t="inlineStr">
        <is>
          <t>Source assignment -- not individually reviewed</t>
        </is>
      </c>
      <c r="H1262" s="17" t="inlineStr">
        <is>
          <t>10 EVIDENCE &amp; DECISIONS</t>
        </is>
      </c>
    </row>
    <row r="1263" ht="49" customHeight="1">
      <c r="A1263" s="12" t="inlineStr">
        <is>
          <t>R852-v1</t>
        </is>
      </c>
      <c r="B1263" s="12" t="inlineStr">
        <is>
          <t>Contractor Programme</t>
        </is>
      </c>
      <c r="C1263" s="12" t="inlineStr">
        <is>
          <t>SCH-05-132</t>
        </is>
      </c>
      <c r="D1263" s="12" t="inlineStr">
        <is>
          <t>1.5.2 Testing and Commissioning - Dynamic Testing</t>
        </is>
      </c>
      <c r="E1263" s="12" t="inlineStr">
        <is>
          <t>New</t>
        </is>
      </c>
      <c r="F1263" s="12" t="inlineStr"/>
      <c r="G1263" s="12" t="inlineStr">
        <is>
          <t>Source assignment -- not individually reviewed</t>
        </is>
      </c>
      <c r="H1263" s="17" t="inlineStr">
        <is>
          <t>10 EVIDENCE &amp; DECISIONS</t>
        </is>
      </c>
    </row>
    <row r="1264" ht="49" customHeight="1">
      <c r="A1264" s="12" t="inlineStr">
        <is>
          <t>R855-v1</t>
        </is>
      </c>
      <c r="B1264" s="12" t="inlineStr">
        <is>
          <t>Contractor Programme</t>
        </is>
      </c>
      <c r="C1264" s="12" t="inlineStr">
        <is>
          <t>SCH-05-135</t>
        </is>
      </c>
      <c r="D1264" s="12" t="inlineStr">
        <is>
          <t>1.5.2 Testing and Commissioning - Dynamic Testing</t>
        </is>
      </c>
      <c r="E1264" s="12" t="inlineStr">
        <is>
          <t>New</t>
        </is>
      </c>
      <c r="F1264" s="12" t="inlineStr"/>
      <c r="G1264" s="12" t="inlineStr">
        <is>
          <t>Source assignment -- not individually reviewed</t>
        </is>
      </c>
      <c r="H1264" s="17" t="inlineStr">
        <is>
          <t>10 EVIDENCE &amp; DECISIONS</t>
        </is>
      </c>
    </row>
    <row r="1265" ht="49" customHeight="1">
      <c r="A1265" s="12" t="inlineStr">
        <is>
          <t>R858-v1</t>
        </is>
      </c>
      <c r="B1265" s="12" t="inlineStr">
        <is>
          <t>Contractor Programme</t>
        </is>
      </c>
      <c r="C1265" s="12" t="inlineStr">
        <is>
          <t>SCH-05-138</t>
        </is>
      </c>
      <c r="D1265" s="12" t="inlineStr">
        <is>
          <t>1.5.2 Testing and Commissioning - Dynamic Testing</t>
        </is>
      </c>
      <c r="E1265" s="12" t="inlineStr">
        <is>
          <t>New</t>
        </is>
      </c>
      <c r="F1265" s="12" t="inlineStr"/>
      <c r="G1265" s="12" t="inlineStr">
        <is>
          <t>Source assignment -- not individually reviewed</t>
        </is>
      </c>
      <c r="H1265" s="17" t="inlineStr">
        <is>
          <t>10 EVIDENCE &amp; DECISIONS</t>
        </is>
      </c>
    </row>
    <row r="1266" ht="49" customHeight="1">
      <c r="A1266" s="12" t="inlineStr">
        <is>
          <t>R861-v1</t>
        </is>
      </c>
      <c r="B1266" s="12" t="inlineStr">
        <is>
          <t>Contractor Programme</t>
        </is>
      </c>
      <c r="C1266" s="12" t="inlineStr">
        <is>
          <t>SCH-05-141</t>
        </is>
      </c>
      <c r="D1266" s="12" t="inlineStr">
        <is>
          <t>1.5.2 Testing and Commissioning - Dynamic Testing</t>
        </is>
      </c>
      <c r="E1266" s="12" t="inlineStr">
        <is>
          <t>New</t>
        </is>
      </c>
      <c r="F1266" s="12" t="inlineStr"/>
      <c r="G1266" s="12" t="inlineStr">
        <is>
          <t>Source assignment -- not individually reviewed</t>
        </is>
      </c>
      <c r="H1266" s="17" t="inlineStr">
        <is>
          <t>10 EVIDENCE &amp; DECISIONS</t>
        </is>
      </c>
    </row>
    <row r="1267" ht="49" customHeight="1">
      <c r="A1267" s="12" t="inlineStr">
        <is>
          <t>R864-v1</t>
        </is>
      </c>
      <c r="B1267" s="12" t="inlineStr">
        <is>
          <t>Contractor Programme</t>
        </is>
      </c>
      <c r="C1267" s="12" t="inlineStr">
        <is>
          <t>SCH-05-144</t>
        </is>
      </c>
      <c r="D1267" s="12" t="inlineStr">
        <is>
          <t>1.5.2 Testing and Commissioning - Dynamic Testing</t>
        </is>
      </c>
      <c r="E1267" s="12" t="inlineStr">
        <is>
          <t>New</t>
        </is>
      </c>
      <c r="F1267" s="12" t="inlineStr"/>
      <c r="G1267" s="12" t="inlineStr">
        <is>
          <t>Source assignment -- not individually reviewed</t>
        </is>
      </c>
      <c r="H1267" s="17" t="inlineStr">
        <is>
          <t>10 EVIDENCE &amp; DECISIONS</t>
        </is>
      </c>
    </row>
    <row r="1268" ht="49" customHeight="1">
      <c r="A1268" s="12" t="inlineStr">
        <is>
          <t>R867-v1</t>
        </is>
      </c>
      <c r="B1268" s="12" t="inlineStr">
        <is>
          <t>Contractor Programme</t>
        </is>
      </c>
      <c r="C1268" s="12" t="inlineStr">
        <is>
          <t>SCH-05-147</t>
        </is>
      </c>
      <c r="D1268" s="12" t="inlineStr">
        <is>
          <t>1.5.2 Testing and Commissioning - Dynamic Testing</t>
        </is>
      </c>
      <c r="E1268" s="12" t="inlineStr">
        <is>
          <t>New</t>
        </is>
      </c>
      <c r="F1268" s="12" t="inlineStr"/>
      <c r="G1268" s="12" t="inlineStr">
        <is>
          <t>Source assignment -- not individually reviewed</t>
        </is>
      </c>
      <c r="H1268" s="17" t="inlineStr">
        <is>
          <t>10 EVIDENCE &amp; DECISIONS</t>
        </is>
      </c>
    </row>
    <row r="1269" ht="49" customHeight="1">
      <c r="A1269" s="12" t="inlineStr">
        <is>
          <t>R870-v1</t>
        </is>
      </c>
      <c r="B1269" s="12" t="inlineStr">
        <is>
          <t>Contractor Programme</t>
        </is>
      </c>
      <c r="C1269" s="12" t="inlineStr">
        <is>
          <t>SCH-05-150</t>
        </is>
      </c>
      <c r="D1269" s="12" t="inlineStr">
        <is>
          <t>1.5.2 Testing and Commissioning - Dynamic Testing</t>
        </is>
      </c>
      <c r="E1269" s="12" t="inlineStr">
        <is>
          <t>New</t>
        </is>
      </c>
      <c r="F1269" s="12" t="inlineStr"/>
      <c r="G1269" s="12" t="inlineStr">
        <is>
          <t>Source assignment -- not individually reviewed</t>
        </is>
      </c>
      <c r="H1269" s="17" t="inlineStr">
        <is>
          <t>10 EVIDENCE &amp; DECISIONS</t>
        </is>
      </c>
    </row>
    <row r="1270" ht="49" customHeight="1">
      <c r="A1270" s="12" t="inlineStr">
        <is>
          <t>R873-v1</t>
        </is>
      </c>
      <c r="B1270" s="12" t="inlineStr">
        <is>
          <t>Contractor Programme</t>
        </is>
      </c>
      <c r="C1270" s="12" t="inlineStr">
        <is>
          <t>SCH-05-153</t>
        </is>
      </c>
      <c r="D1270" s="12" t="inlineStr">
        <is>
          <t>1.5.2 Testing and Commissioning - Dynamic Testing</t>
        </is>
      </c>
      <c r="E1270" s="12" t="inlineStr">
        <is>
          <t>New</t>
        </is>
      </c>
      <c r="F1270" s="12" t="inlineStr"/>
      <c r="G1270" s="12" t="inlineStr">
        <is>
          <t>Source assignment -- not individually reviewed</t>
        </is>
      </c>
      <c r="H1270" s="17" t="inlineStr">
        <is>
          <t>10 EVIDENCE &amp; DECISIONS</t>
        </is>
      </c>
    </row>
    <row r="1271" ht="49" customHeight="1">
      <c r="A1271" s="12" t="inlineStr">
        <is>
          <t>R876-v1</t>
        </is>
      </c>
      <c r="B1271" s="12" t="inlineStr">
        <is>
          <t>Contractor Programme</t>
        </is>
      </c>
      <c r="C1271" s="12" t="inlineStr">
        <is>
          <t>SCH-05-156</t>
        </is>
      </c>
      <c r="D1271" s="12" t="inlineStr">
        <is>
          <t>1.5.2 Testing and Commissioning - Dynamic Testing</t>
        </is>
      </c>
      <c r="E1271" s="12" t="inlineStr">
        <is>
          <t>New</t>
        </is>
      </c>
      <c r="F1271" s="12" t="inlineStr"/>
      <c r="G1271" s="12" t="inlineStr">
        <is>
          <t>Source assignment -- not individually reviewed</t>
        </is>
      </c>
      <c r="H1271" s="17" t="inlineStr">
        <is>
          <t>10 EVIDENCE &amp; DECISIONS</t>
        </is>
      </c>
    </row>
    <row r="1272" ht="49" customHeight="1">
      <c r="A1272" s="12" t="inlineStr">
        <is>
          <t>R879-v1</t>
        </is>
      </c>
      <c r="B1272" s="12" t="inlineStr">
        <is>
          <t>Contractor Programme</t>
        </is>
      </c>
      <c r="C1272" s="12" t="inlineStr">
        <is>
          <t>SCH-05-159</t>
        </is>
      </c>
      <c r="D1272" s="12" t="inlineStr">
        <is>
          <t>1.5.2 Testing and Commissioning - Dynamic Testing</t>
        </is>
      </c>
      <c r="E1272" s="12" t="inlineStr">
        <is>
          <t>New</t>
        </is>
      </c>
      <c r="F1272" s="12" t="inlineStr"/>
      <c r="G1272" s="12" t="inlineStr">
        <is>
          <t>Source assignment -- not individually reviewed</t>
        </is>
      </c>
      <c r="H1272" s="17" t="inlineStr">
        <is>
          <t>10 EVIDENCE &amp; DECISIONS</t>
        </is>
      </c>
    </row>
    <row r="1273" ht="49" customHeight="1">
      <c r="A1273" s="12" t="inlineStr">
        <is>
          <t>R882-v1</t>
        </is>
      </c>
      <c r="B1273" s="12" t="inlineStr">
        <is>
          <t>Contractor Programme</t>
        </is>
      </c>
      <c r="C1273" s="12" t="inlineStr">
        <is>
          <t>SCH-05-162</t>
        </is>
      </c>
      <c r="D1273" s="12" t="inlineStr">
        <is>
          <t>1.5.2 Testing and Commissioning - Dynamic Testing</t>
        </is>
      </c>
      <c r="E1273" s="12" t="inlineStr">
        <is>
          <t>New</t>
        </is>
      </c>
      <c r="F1273" s="12" t="inlineStr"/>
      <c r="G1273" s="12" t="inlineStr">
        <is>
          <t>Source assignment -- not individually reviewed</t>
        </is>
      </c>
      <c r="H1273" s="17" t="inlineStr">
        <is>
          <t>10 EVIDENCE &amp; DECISIONS</t>
        </is>
      </c>
    </row>
    <row r="1274" ht="49" customHeight="1">
      <c r="A1274" s="12" t="inlineStr">
        <is>
          <t>R885-v1</t>
        </is>
      </c>
      <c r="B1274" s="12" t="inlineStr">
        <is>
          <t>Contractor Programme</t>
        </is>
      </c>
      <c r="C1274" s="12" t="inlineStr">
        <is>
          <t>SCH-05-165</t>
        </is>
      </c>
      <c r="D1274" s="12" t="inlineStr">
        <is>
          <t>1.5.2 Testing and Commissioning - Dynamic Testing</t>
        </is>
      </c>
      <c r="E1274" s="12" t="inlineStr">
        <is>
          <t>New</t>
        </is>
      </c>
      <c r="F1274" s="12" t="inlineStr"/>
      <c r="G1274" s="12" t="inlineStr">
        <is>
          <t>Source assignment -- not individually reviewed</t>
        </is>
      </c>
      <c r="H1274" s="17" t="inlineStr">
        <is>
          <t>10 EVIDENCE &amp; DECISIONS</t>
        </is>
      </c>
    </row>
    <row r="1275" ht="49" customHeight="1">
      <c r="A1275" s="12" t="inlineStr">
        <is>
          <t>R888-v1</t>
        </is>
      </c>
      <c r="B1275" s="12" t="inlineStr">
        <is>
          <t>Contractor Programme</t>
        </is>
      </c>
      <c r="C1275" s="12" t="inlineStr">
        <is>
          <t>SCH-05-168</t>
        </is>
      </c>
      <c r="D1275" s="12" t="inlineStr">
        <is>
          <t>1.5.2 Testing and Commissioning - Dynamic Testing</t>
        </is>
      </c>
      <c r="E1275" s="12" t="inlineStr">
        <is>
          <t>New</t>
        </is>
      </c>
      <c r="F1275" s="12" t="inlineStr"/>
      <c r="G1275" s="12" t="inlineStr">
        <is>
          <t>Source assignment -- not individually reviewed</t>
        </is>
      </c>
      <c r="H1275" s="17" t="inlineStr">
        <is>
          <t>10 EVIDENCE &amp; DECISIONS</t>
        </is>
      </c>
    </row>
    <row r="1276" ht="49" customHeight="1">
      <c r="A1276" s="12" t="inlineStr">
        <is>
          <t>R891-v1</t>
        </is>
      </c>
      <c r="B1276" s="12" t="inlineStr">
        <is>
          <t>Contractor Programme</t>
        </is>
      </c>
      <c r="C1276" s="12" t="inlineStr">
        <is>
          <t>SCH-05-171</t>
        </is>
      </c>
      <c r="D1276" s="12" t="inlineStr">
        <is>
          <t>1.5.2 Testing and Commissioning - Dynamic Testing</t>
        </is>
      </c>
      <c r="E1276" s="12" t="inlineStr">
        <is>
          <t>New</t>
        </is>
      </c>
      <c r="F1276" s="12" t="inlineStr"/>
      <c r="G1276" s="12" t="inlineStr">
        <is>
          <t>Source assignment -- not individually reviewed</t>
        </is>
      </c>
      <c r="H1276" s="17" t="inlineStr">
        <is>
          <t>10 EVIDENCE &amp; DECISIONS</t>
        </is>
      </c>
    </row>
    <row r="1277" ht="49" customHeight="1">
      <c r="A1277" s="12" t="inlineStr">
        <is>
          <t>R894-v1</t>
        </is>
      </c>
      <c r="B1277" s="12" t="inlineStr">
        <is>
          <t>Contractor Programme</t>
        </is>
      </c>
      <c r="C1277" s="12" t="inlineStr">
        <is>
          <t>SCH-05-174</t>
        </is>
      </c>
      <c r="D1277" s="12" t="inlineStr">
        <is>
          <t>1.5.2 Testing and Commissioning - Dynamic Testing</t>
        </is>
      </c>
      <c r="E1277" s="12" t="inlineStr">
        <is>
          <t>New</t>
        </is>
      </c>
      <c r="F1277" s="12" t="inlineStr"/>
      <c r="G1277" s="12" t="inlineStr">
        <is>
          <t>Source assignment -- not individually reviewed</t>
        </is>
      </c>
      <c r="H1277" s="17" t="inlineStr">
        <is>
          <t>10 EVIDENCE &amp; DECISIONS</t>
        </is>
      </c>
    </row>
    <row r="1278" ht="49" customHeight="1">
      <c r="A1278" s="12" t="inlineStr">
        <is>
          <t>R897-v1</t>
        </is>
      </c>
      <c r="B1278" s="12" t="inlineStr">
        <is>
          <t>Contractor Programme</t>
        </is>
      </c>
      <c r="C1278" s="12" t="inlineStr">
        <is>
          <t>SCH-05-177</t>
        </is>
      </c>
      <c r="D1278" s="12" t="inlineStr">
        <is>
          <t>1.5.2 Testing and Commissioning - Dynamic Testing</t>
        </is>
      </c>
      <c r="E1278" s="12" t="inlineStr">
        <is>
          <t>New</t>
        </is>
      </c>
      <c r="F1278" s="12" t="inlineStr"/>
      <c r="G1278" s="12" t="inlineStr">
        <is>
          <t>Source assignment -- not individually reviewed</t>
        </is>
      </c>
      <c r="H1278" s="17" t="inlineStr">
        <is>
          <t>10 EVIDENCE &amp; DECISIONS</t>
        </is>
      </c>
    </row>
    <row r="1279" ht="49" customHeight="1">
      <c r="A1279" s="12" t="inlineStr">
        <is>
          <t>R900-v1</t>
        </is>
      </c>
      <c r="B1279" s="12" t="inlineStr">
        <is>
          <t>Contractor Programme</t>
        </is>
      </c>
      <c r="C1279" s="12" t="inlineStr">
        <is>
          <t>SCH-05-180</t>
        </is>
      </c>
      <c r="D1279" s="12" t="inlineStr">
        <is>
          <t>1.5.2 Testing and Commissioning - Dynamic Testing</t>
        </is>
      </c>
      <c r="E1279" s="12" t="inlineStr">
        <is>
          <t>New</t>
        </is>
      </c>
      <c r="F1279" s="12" t="inlineStr"/>
      <c r="G1279" s="12" t="inlineStr">
        <is>
          <t>Source assignment -- not individually reviewed</t>
        </is>
      </c>
      <c r="H1279" s="17" t="inlineStr">
        <is>
          <t>10 EVIDENCE &amp; DECISIONS</t>
        </is>
      </c>
    </row>
    <row r="1280" ht="34" customHeight="1">
      <c r="A1280" s="12" t="inlineStr">
        <is>
          <t>R1613-v1</t>
        </is>
      </c>
      <c r="B1280" s="12" t="inlineStr">
        <is>
          <t>Commercial Package Register</t>
        </is>
      </c>
      <c r="C1280" s="12" t="inlineStr">
        <is>
          <t>PKG-051</t>
        </is>
      </c>
      <c r="D1280" s="12" t="inlineStr">
        <is>
          <t>1.6 Program Management</t>
        </is>
      </c>
      <c r="E1280" s="12" t="inlineStr">
        <is>
          <t>New</t>
        </is>
      </c>
      <c r="F1280" s="12" t="inlineStr"/>
      <c r="G1280" s="12" t="inlineStr">
        <is>
          <t>Source assignment -- not individually reviewed</t>
        </is>
      </c>
      <c r="H1280" s="17" t="inlineStr">
        <is>
          <t>10 EVIDENCE &amp; DECISIONS</t>
        </is>
      </c>
    </row>
    <row r="1281" ht="34" customHeight="1">
      <c r="A1281" s="12" t="inlineStr">
        <is>
          <t>R1614-v1</t>
        </is>
      </c>
      <c r="B1281" s="12" t="inlineStr">
        <is>
          <t>Commercial Package Register</t>
        </is>
      </c>
      <c r="C1281" s="12" t="inlineStr">
        <is>
          <t>PKG-052</t>
        </is>
      </c>
      <c r="D1281" s="12" t="inlineStr">
        <is>
          <t>1.6 Program Management</t>
        </is>
      </c>
      <c r="E1281" s="12" t="inlineStr">
        <is>
          <t>New</t>
        </is>
      </c>
      <c r="F1281" s="12" t="inlineStr"/>
      <c r="G1281" s="12" t="inlineStr">
        <is>
          <t>Source assignment -- not individually reviewed</t>
        </is>
      </c>
      <c r="H1281" s="17" t="inlineStr">
        <is>
          <t>10 EVIDENCE &amp; DECISIONS</t>
        </is>
      </c>
    </row>
    <row r="1282" ht="34" customHeight="1">
      <c r="A1282" s="12" t="inlineStr">
        <is>
          <t>R1615-v1</t>
        </is>
      </c>
      <c r="B1282" s="12" t="inlineStr">
        <is>
          <t>Commercial Package Register</t>
        </is>
      </c>
      <c r="C1282" s="12" t="inlineStr">
        <is>
          <t>PKG-053</t>
        </is>
      </c>
      <c r="D1282" s="12" t="inlineStr">
        <is>
          <t>1.6 Program Management</t>
        </is>
      </c>
      <c r="E1282" s="12" t="inlineStr">
        <is>
          <t>New</t>
        </is>
      </c>
      <c r="F1282" s="12" t="inlineStr"/>
      <c r="G1282" s="12" t="inlineStr">
        <is>
          <t>Source assignment -- not individually reviewed</t>
        </is>
      </c>
      <c r="H1282" s="17" t="inlineStr">
        <is>
          <t>10 EVIDENCE &amp; DECISIONS</t>
        </is>
      </c>
    </row>
    <row r="1283" ht="34" customHeight="1">
      <c r="A1283" s="12" t="inlineStr">
        <is>
          <t>R1616-v1</t>
        </is>
      </c>
      <c r="B1283" s="12" t="inlineStr">
        <is>
          <t>Commercial Package Register</t>
        </is>
      </c>
      <c r="C1283" s="12" t="inlineStr">
        <is>
          <t>PKG-054</t>
        </is>
      </c>
      <c r="D1283" s="12" t="inlineStr">
        <is>
          <t>1.6 Program Management</t>
        </is>
      </c>
      <c r="E1283" s="12" t="inlineStr">
        <is>
          <t>New</t>
        </is>
      </c>
      <c r="F1283" s="12" t="inlineStr"/>
      <c r="G1283" s="12" t="inlineStr">
        <is>
          <t>Source assignment -- not individually reviewed</t>
        </is>
      </c>
      <c r="H1283" s="17" t="inlineStr">
        <is>
          <t>10 EVIDENCE &amp; DECISIONS</t>
        </is>
      </c>
    </row>
    <row r="1284" ht="34" customHeight="1">
      <c r="A1284" s="12" t="inlineStr">
        <is>
          <t>R1617-v1</t>
        </is>
      </c>
      <c r="B1284" s="12" t="inlineStr">
        <is>
          <t>Commercial Package Register</t>
        </is>
      </c>
      <c r="C1284" s="12" t="inlineStr">
        <is>
          <t>PKG-055</t>
        </is>
      </c>
      <c r="D1284" s="12" t="inlineStr">
        <is>
          <t>1.6 Program Management</t>
        </is>
      </c>
      <c r="E1284" s="12" t="inlineStr">
        <is>
          <t>New</t>
        </is>
      </c>
      <c r="F1284" s="12" t="inlineStr"/>
      <c r="G1284" s="12" t="inlineStr">
        <is>
          <t>Source assignment -- not individually reviewed</t>
        </is>
      </c>
      <c r="H1284" s="17" t="inlineStr">
        <is>
          <t>10 EVIDENCE &amp; DECISIONS</t>
        </is>
      </c>
    </row>
    <row r="1285" ht="34" customHeight="1">
      <c r="A1285" s="12" t="inlineStr">
        <is>
          <t>R1618-v1</t>
        </is>
      </c>
      <c r="B1285" s="12" t="inlineStr">
        <is>
          <t>Commercial Package Register</t>
        </is>
      </c>
      <c r="C1285" s="12" t="inlineStr">
        <is>
          <t>PKG-056</t>
        </is>
      </c>
      <c r="D1285" s="12" t="inlineStr">
        <is>
          <t>1.6 Program Management</t>
        </is>
      </c>
      <c r="E1285" s="12" t="inlineStr">
        <is>
          <t>New</t>
        </is>
      </c>
      <c r="F1285" s="12" t="inlineStr"/>
      <c r="G1285" s="12" t="inlineStr">
        <is>
          <t>Source assignment -- not individually reviewed</t>
        </is>
      </c>
      <c r="H1285" s="17" t="inlineStr">
        <is>
          <t>10 EVIDENCE &amp; DECISIONS</t>
        </is>
      </c>
    </row>
    <row r="1286" ht="34" customHeight="1">
      <c r="A1286" s="12" t="inlineStr">
        <is>
          <t>R1619-v1</t>
        </is>
      </c>
      <c r="B1286" s="12" t="inlineStr">
        <is>
          <t>Commercial Package Register</t>
        </is>
      </c>
      <c r="C1286" s="12" t="inlineStr">
        <is>
          <t>PKG-057</t>
        </is>
      </c>
      <c r="D1286" s="12" t="inlineStr">
        <is>
          <t>1.6 Program Management</t>
        </is>
      </c>
      <c r="E1286" s="12" t="inlineStr">
        <is>
          <t>New</t>
        </is>
      </c>
      <c r="F1286" s="12" t="inlineStr"/>
      <c r="G1286" s="12" t="inlineStr">
        <is>
          <t>Source assignment -- not individually reviewed</t>
        </is>
      </c>
      <c r="H1286" s="17" t="inlineStr">
        <is>
          <t>10 EVIDENCE &amp; DECISIONS</t>
        </is>
      </c>
    </row>
    <row r="1287" ht="34" customHeight="1">
      <c r="A1287" s="12" t="inlineStr">
        <is>
          <t>R1620-v1</t>
        </is>
      </c>
      <c r="B1287" s="12" t="inlineStr">
        <is>
          <t>Commercial Package Register</t>
        </is>
      </c>
      <c r="C1287" s="12" t="inlineStr">
        <is>
          <t>PKG-058</t>
        </is>
      </c>
      <c r="D1287" s="12" t="inlineStr">
        <is>
          <t>1.6 Program Management</t>
        </is>
      </c>
      <c r="E1287" s="12" t="inlineStr">
        <is>
          <t>New</t>
        </is>
      </c>
      <c r="F1287" s="12" t="inlineStr"/>
      <c r="G1287" s="12" t="inlineStr">
        <is>
          <t>Source assignment -- not individually reviewed</t>
        </is>
      </c>
      <c r="H1287" s="17" t="inlineStr">
        <is>
          <t>10 EVIDENCE &amp; DECISIONS</t>
        </is>
      </c>
    </row>
    <row r="1288" ht="34" customHeight="1">
      <c r="A1288" s="12" t="inlineStr">
        <is>
          <t>R1621-v1</t>
        </is>
      </c>
      <c r="B1288" s="12" t="inlineStr">
        <is>
          <t>Commercial Package Register</t>
        </is>
      </c>
      <c r="C1288" s="12" t="inlineStr">
        <is>
          <t>PKG-059</t>
        </is>
      </c>
      <c r="D1288" s="12" t="inlineStr">
        <is>
          <t>1.6 Program Management</t>
        </is>
      </c>
      <c r="E1288" s="12" t="inlineStr">
        <is>
          <t>New</t>
        </is>
      </c>
      <c r="F1288" s="12" t="inlineStr"/>
      <c r="G1288" s="12" t="inlineStr">
        <is>
          <t>Source assignment -- not individually reviewed</t>
        </is>
      </c>
      <c r="H1288" s="17" t="inlineStr">
        <is>
          <t>10 EVIDENCE &amp; DECISIONS</t>
        </is>
      </c>
    </row>
    <row r="1289" ht="34" customHeight="1">
      <c r="A1289" s="12" t="inlineStr">
        <is>
          <t>R1622-v1</t>
        </is>
      </c>
      <c r="B1289" s="12" t="inlineStr">
        <is>
          <t>Commercial Package Register</t>
        </is>
      </c>
      <c r="C1289" s="12" t="inlineStr">
        <is>
          <t>PKG-060</t>
        </is>
      </c>
      <c r="D1289" s="12" t="inlineStr">
        <is>
          <t>1.6 Program Management</t>
        </is>
      </c>
      <c r="E1289" s="12" t="inlineStr">
        <is>
          <t>New</t>
        </is>
      </c>
      <c r="F1289" s="12" t="inlineStr"/>
      <c r="G1289" s="12" t="inlineStr">
        <is>
          <t>Source assignment -- not individually reviewed</t>
        </is>
      </c>
      <c r="H1289" s="17" t="inlineStr">
        <is>
          <t>10 EVIDENCE &amp; DECISIONS</t>
        </is>
      </c>
    </row>
    <row r="1290" ht="34" customHeight="1">
      <c r="A1290" s="12" t="inlineStr">
        <is>
          <t>R1483-v1</t>
        </is>
      </c>
      <c r="B1290" s="12" t="inlineStr">
        <is>
          <t>Cost &amp; Forecast Control Accounts</t>
        </is>
      </c>
      <c r="C1290" s="12" t="inlineStr">
        <is>
          <t>CST-06-001</t>
        </is>
      </c>
      <c r="D1290" s="12" t="inlineStr">
        <is>
          <t>1.6.1 Program Management - Program Controls</t>
        </is>
      </c>
      <c r="E1290" s="12" t="inlineStr">
        <is>
          <t>New</t>
        </is>
      </c>
      <c r="F1290" s="12" t="inlineStr"/>
      <c r="G1290" s="12" t="inlineStr">
        <is>
          <t>Source assignment -- not individually reviewed</t>
        </is>
      </c>
      <c r="H1290" s="17" t="inlineStr">
        <is>
          <t>10 EVIDENCE &amp; DECISIONS</t>
        </is>
      </c>
    </row>
    <row r="1291" ht="34" customHeight="1">
      <c r="A1291" s="12" t="inlineStr">
        <is>
          <t>R1485-v1</t>
        </is>
      </c>
      <c r="B1291" s="12" t="inlineStr">
        <is>
          <t>Cost &amp; Forecast Control Accounts</t>
        </is>
      </c>
      <c r="C1291" s="12" t="inlineStr">
        <is>
          <t>CST-06-003</t>
        </is>
      </c>
      <c r="D1291" s="12" t="inlineStr">
        <is>
          <t>1.6.1 Program Management - Program Controls</t>
        </is>
      </c>
      <c r="E1291" s="12" t="inlineStr">
        <is>
          <t>New</t>
        </is>
      </c>
      <c r="F1291" s="12" t="inlineStr"/>
      <c r="G1291" s="12" t="inlineStr">
        <is>
          <t>Source assignment -- not individually reviewed</t>
        </is>
      </c>
      <c r="H1291" s="17" t="inlineStr">
        <is>
          <t>10 EVIDENCE &amp; DECISIONS</t>
        </is>
      </c>
    </row>
    <row r="1292" ht="34" customHeight="1">
      <c r="A1292" s="12" t="inlineStr">
        <is>
          <t>R1487-v1</t>
        </is>
      </c>
      <c r="B1292" s="12" t="inlineStr">
        <is>
          <t>Cost &amp; Forecast Control Accounts</t>
        </is>
      </c>
      <c r="C1292" s="12" t="inlineStr">
        <is>
          <t>CST-06-005</t>
        </is>
      </c>
      <c r="D1292" s="12" t="inlineStr">
        <is>
          <t>1.6.1 Program Management - Program Controls</t>
        </is>
      </c>
      <c r="E1292" s="12" t="inlineStr">
        <is>
          <t>New</t>
        </is>
      </c>
      <c r="F1292" s="12" t="inlineStr"/>
      <c r="G1292" s="12" t="inlineStr">
        <is>
          <t>Source assignment -- not individually reviewed</t>
        </is>
      </c>
      <c r="H1292" s="17" t="inlineStr">
        <is>
          <t>10 EVIDENCE &amp; DECISIONS</t>
        </is>
      </c>
    </row>
    <row r="1293" ht="34" customHeight="1">
      <c r="A1293" s="12" t="inlineStr">
        <is>
          <t>R1489-v1</t>
        </is>
      </c>
      <c r="B1293" s="12" t="inlineStr">
        <is>
          <t>Cost &amp; Forecast Control Accounts</t>
        </is>
      </c>
      <c r="C1293" s="12" t="inlineStr">
        <is>
          <t>CST-06-007</t>
        </is>
      </c>
      <c r="D1293" s="12" t="inlineStr">
        <is>
          <t>1.6.1 Program Management - Program Controls</t>
        </is>
      </c>
      <c r="E1293" s="12" t="inlineStr">
        <is>
          <t>New</t>
        </is>
      </c>
      <c r="F1293" s="12" t="inlineStr"/>
      <c r="G1293" s="12" t="inlineStr">
        <is>
          <t>Source assignment -- not individually reviewed</t>
        </is>
      </c>
      <c r="H1293" s="17" t="inlineStr">
        <is>
          <t>10 EVIDENCE &amp; DECISIONS</t>
        </is>
      </c>
    </row>
    <row r="1294" ht="34" customHeight="1">
      <c r="A1294" s="12" t="inlineStr">
        <is>
          <t>R1491-v1</t>
        </is>
      </c>
      <c r="B1294" s="12" t="inlineStr">
        <is>
          <t>Cost &amp; Forecast Control Accounts</t>
        </is>
      </c>
      <c r="C1294" s="12" t="inlineStr">
        <is>
          <t>CST-06-009</t>
        </is>
      </c>
      <c r="D1294" s="12" t="inlineStr">
        <is>
          <t>1.6.1 Program Management - Program Controls</t>
        </is>
      </c>
      <c r="E1294" s="12" t="inlineStr">
        <is>
          <t>New</t>
        </is>
      </c>
      <c r="F1294" s="12" t="inlineStr"/>
      <c r="G1294" s="12" t="inlineStr">
        <is>
          <t>Source assignment -- not individually reviewed</t>
        </is>
      </c>
      <c r="H1294" s="17" t="inlineStr">
        <is>
          <t>10 EVIDENCE &amp; DECISIONS</t>
        </is>
      </c>
    </row>
    <row r="1295" ht="34" customHeight="1">
      <c r="A1295" s="12" t="inlineStr">
        <is>
          <t>R1493-v1</t>
        </is>
      </c>
      <c r="B1295" s="12" t="inlineStr">
        <is>
          <t>Cost &amp; Forecast Control Accounts</t>
        </is>
      </c>
      <c r="C1295" s="12" t="inlineStr">
        <is>
          <t>CST-06-011</t>
        </is>
      </c>
      <c r="D1295" s="12" t="inlineStr">
        <is>
          <t>1.6.1 Program Management - Program Controls</t>
        </is>
      </c>
      <c r="E1295" s="12" t="inlineStr">
        <is>
          <t>New</t>
        </is>
      </c>
      <c r="F1295" s="12" t="inlineStr"/>
      <c r="G1295" s="12" t="inlineStr">
        <is>
          <t>Source assignment -- not individually reviewed</t>
        </is>
      </c>
      <c r="H1295" s="17" t="inlineStr">
        <is>
          <t>10 EVIDENCE &amp; DECISIONS</t>
        </is>
      </c>
    </row>
    <row r="1296" ht="34" customHeight="1">
      <c r="A1296" s="12" t="inlineStr">
        <is>
          <t>R1495-v1</t>
        </is>
      </c>
      <c r="B1296" s="12" t="inlineStr">
        <is>
          <t>Cost &amp; Forecast Control Accounts</t>
        </is>
      </c>
      <c r="C1296" s="12" t="inlineStr">
        <is>
          <t>CST-06-013</t>
        </is>
      </c>
      <c r="D1296" s="12" t="inlineStr">
        <is>
          <t>1.6.1 Program Management - Program Controls</t>
        </is>
      </c>
      <c r="E1296" s="12" t="inlineStr">
        <is>
          <t>New</t>
        </is>
      </c>
      <c r="F1296" s="12" t="inlineStr"/>
      <c r="G1296" s="12" t="inlineStr">
        <is>
          <t>Source assignment -- not individually reviewed</t>
        </is>
      </c>
      <c r="H1296" s="17" t="inlineStr">
        <is>
          <t>10 EVIDENCE &amp; DECISIONS</t>
        </is>
      </c>
    </row>
    <row r="1297" ht="34" customHeight="1">
      <c r="A1297" s="12" t="inlineStr">
        <is>
          <t>R1497-v1</t>
        </is>
      </c>
      <c r="B1297" s="12" t="inlineStr">
        <is>
          <t>Cost &amp; Forecast Control Accounts</t>
        </is>
      </c>
      <c r="C1297" s="12" t="inlineStr">
        <is>
          <t>CST-06-015</t>
        </is>
      </c>
      <c r="D1297" s="12" t="inlineStr">
        <is>
          <t>1.6.1 Program Management - Program Controls</t>
        </is>
      </c>
      <c r="E1297" s="12" t="inlineStr">
        <is>
          <t>New</t>
        </is>
      </c>
      <c r="F1297" s="12" t="inlineStr"/>
      <c r="G1297" s="12" t="inlineStr">
        <is>
          <t>Source assignment -- not individually reviewed</t>
        </is>
      </c>
      <c r="H1297" s="17" t="inlineStr">
        <is>
          <t>10 EVIDENCE &amp; DECISIONS</t>
        </is>
      </c>
    </row>
    <row r="1298" ht="34" customHeight="1">
      <c r="A1298" s="12" t="inlineStr">
        <is>
          <t>R1499-v1</t>
        </is>
      </c>
      <c r="B1298" s="12" t="inlineStr">
        <is>
          <t>Cost &amp; Forecast Control Accounts</t>
        </is>
      </c>
      <c r="C1298" s="12" t="inlineStr">
        <is>
          <t>CST-06-017</t>
        </is>
      </c>
      <c r="D1298" s="12" t="inlineStr">
        <is>
          <t>1.6.1 Program Management - Program Controls</t>
        </is>
      </c>
      <c r="E1298" s="12" t="inlineStr">
        <is>
          <t>New</t>
        </is>
      </c>
      <c r="F1298" s="12" t="inlineStr"/>
      <c r="G1298" s="12" t="inlineStr">
        <is>
          <t>Source assignment -- not individually reviewed</t>
        </is>
      </c>
      <c r="H1298" s="17" t="inlineStr">
        <is>
          <t>10 EVIDENCE &amp; DECISIONS</t>
        </is>
      </c>
    </row>
    <row r="1299" ht="34" customHeight="1">
      <c r="A1299" s="12" t="inlineStr">
        <is>
          <t>R1501-v1</t>
        </is>
      </c>
      <c r="B1299" s="12" t="inlineStr">
        <is>
          <t>Cost &amp; Forecast Control Accounts</t>
        </is>
      </c>
      <c r="C1299" s="12" t="inlineStr">
        <is>
          <t>CST-06-019</t>
        </is>
      </c>
      <c r="D1299" s="12" t="inlineStr">
        <is>
          <t>1.6.1 Program Management - Program Controls</t>
        </is>
      </c>
      <c r="E1299" s="12" t="inlineStr">
        <is>
          <t>New</t>
        </is>
      </c>
      <c r="F1299" s="12" t="inlineStr"/>
      <c r="G1299" s="12" t="inlineStr">
        <is>
          <t>Source assignment -- not individually reviewed</t>
        </is>
      </c>
      <c r="H1299" s="17" t="inlineStr">
        <is>
          <t>10 EVIDENCE &amp; DECISIONS</t>
        </is>
      </c>
    </row>
    <row r="1300" ht="34" customHeight="1">
      <c r="A1300" s="12" t="inlineStr">
        <is>
          <t>R1503-v1</t>
        </is>
      </c>
      <c r="B1300" s="12" t="inlineStr">
        <is>
          <t>Cost &amp; Forecast Control Accounts</t>
        </is>
      </c>
      <c r="C1300" s="12" t="inlineStr">
        <is>
          <t>CST-06-021</t>
        </is>
      </c>
      <c r="D1300" s="12" t="inlineStr">
        <is>
          <t>1.6.1 Program Management - Program Controls</t>
        </is>
      </c>
      <c r="E1300" s="12" t="inlineStr">
        <is>
          <t>New</t>
        </is>
      </c>
      <c r="F1300" s="12" t="inlineStr"/>
      <c r="G1300" s="12" t="inlineStr">
        <is>
          <t>Source assignment -- not individually reviewed</t>
        </is>
      </c>
      <c r="H1300" s="17" t="inlineStr">
        <is>
          <t>10 EVIDENCE &amp; DECISIONS</t>
        </is>
      </c>
    </row>
    <row r="1301" ht="34" customHeight="1">
      <c r="A1301" s="12" t="inlineStr">
        <is>
          <t>R1505-v1</t>
        </is>
      </c>
      <c r="B1301" s="12" t="inlineStr">
        <is>
          <t>Cost &amp; Forecast Control Accounts</t>
        </is>
      </c>
      <c r="C1301" s="12" t="inlineStr">
        <is>
          <t>CST-06-023</t>
        </is>
      </c>
      <c r="D1301" s="12" t="inlineStr">
        <is>
          <t>1.6.1 Program Management - Program Controls</t>
        </is>
      </c>
      <c r="E1301" s="12" t="inlineStr">
        <is>
          <t>New</t>
        </is>
      </c>
      <c r="F1301" s="12" t="inlineStr"/>
      <c r="G1301" s="12" t="inlineStr">
        <is>
          <t>Source assignment -- not individually reviewed</t>
        </is>
      </c>
      <c r="H1301" s="17" t="inlineStr">
        <is>
          <t>10 EVIDENCE &amp; DECISIONS</t>
        </is>
      </c>
    </row>
    <row r="1302" ht="34" customHeight="1">
      <c r="A1302" s="12" t="inlineStr">
        <is>
          <t>R1507-v1</t>
        </is>
      </c>
      <c r="B1302" s="12" t="inlineStr">
        <is>
          <t>Cost &amp; Forecast Control Accounts</t>
        </is>
      </c>
      <c r="C1302" s="12" t="inlineStr">
        <is>
          <t>CST-06-025</t>
        </is>
      </c>
      <c r="D1302" s="12" t="inlineStr">
        <is>
          <t>1.6.1 Program Management - Program Controls</t>
        </is>
      </c>
      <c r="E1302" s="12" t="inlineStr">
        <is>
          <t>New</t>
        </is>
      </c>
      <c r="F1302" s="12" t="inlineStr"/>
      <c r="G1302" s="12" t="inlineStr">
        <is>
          <t>Source assignment -- not individually reviewed</t>
        </is>
      </c>
      <c r="H1302" s="17" t="inlineStr">
        <is>
          <t>10 EVIDENCE &amp; DECISIONS</t>
        </is>
      </c>
    </row>
    <row r="1303" ht="34" customHeight="1">
      <c r="A1303" s="12" t="inlineStr">
        <is>
          <t>R1509-v1</t>
        </is>
      </c>
      <c r="B1303" s="12" t="inlineStr">
        <is>
          <t>Cost &amp; Forecast Control Accounts</t>
        </is>
      </c>
      <c r="C1303" s="12" t="inlineStr">
        <is>
          <t>CST-06-027</t>
        </is>
      </c>
      <c r="D1303" s="12" t="inlineStr">
        <is>
          <t>1.6.1 Program Management - Program Controls</t>
        </is>
      </c>
      <c r="E1303" s="12" t="inlineStr">
        <is>
          <t>New</t>
        </is>
      </c>
      <c r="F1303" s="12" t="inlineStr"/>
      <c r="G1303" s="12" t="inlineStr">
        <is>
          <t>Source assignment -- not individually reviewed</t>
        </is>
      </c>
      <c r="H1303" s="17" t="inlineStr">
        <is>
          <t>10 EVIDENCE &amp; DECISIONS</t>
        </is>
      </c>
    </row>
    <row r="1304" ht="34" customHeight="1">
      <c r="A1304" s="12" t="inlineStr">
        <is>
          <t>R1511-v1</t>
        </is>
      </c>
      <c r="B1304" s="12" t="inlineStr">
        <is>
          <t>Cost &amp; Forecast Control Accounts</t>
        </is>
      </c>
      <c r="C1304" s="12" t="inlineStr">
        <is>
          <t>CST-06-029</t>
        </is>
      </c>
      <c r="D1304" s="12" t="inlineStr">
        <is>
          <t>1.6.1 Program Management - Program Controls</t>
        </is>
      </c>
      <c r="E1304" s="12" t="inlineStr">
        <is>
          <t>New</t>
        </is>
      </c>
      <c r="F1304" s="12" t="inlineStr"/>
      <c r="G1304" s="12" t="inlineStr">
        <is>
          <t>Source assignment -- not individually reviewed</t>
        </is>
      </c>
      <c r="H1304" s="17" t="inlineStr">
        <is>
          <t>10 EVIDENCE &amp; DECISIONS</t>
        </is>
      </c>
    </row>
    <row r="1305" ht="34" customHeight="1">
      <c r="A1305" s="12" t="inlineStr">
        <is>
          <t>R1513-v1</t>
        </is>
      </c>
      <c r="B1305" s="12" t="inlineStr">
        <is>
          <t>Cost &amp; Forecast Control Accounts</t>
        </is>
      </c>
      <c r="C1305" s="12" t="inlineStr">
        <is>
          <t>CST-06-031</t>
        </is>
      </c>
      <c r="D1305" s="12" t="inlineStr">
        <is>
          <t>1.6.1 Program Management - Program Controls</t>
        </is>
      </c>
      <c r="E1305" s="12" t="inlineStr">
        <is>
          <t>New</t>
        </is>
      </c>
      <c r="F1305" s="12" t="inlineStr"/>
      <c r="G1305" s="12" t="inlineStr">
        <is>
          <t>Source assignment -- not individually reviewed</t>
        </is>
      </c>
      <c r="H1305" s="17" t="inlineStr">
        <is>
          <t>10 EVIDENCE &amp; DECISIONS</t>
        </is>
      </c>
    </row>
    <row r="1306" ht="34" customHeight="1">
      <c r="A1306" s="12" t="inlineStr">
        <is>
          <t>R1515-v1</t>
        </is>
      </c>
      <c r="B1306" s="12" t="inlineStr">
        <is>
          <t>Cost &amp; Forecast Control Accounts</t>
        </is>
      </c>
      <c r="C1306" s="12" t="inlineStr">
        <is>
          <t>CST-06-033</t>
        </is>
      </c>
      <c r="D1306" s="12" t="inlineStr">
        <is>
          <t>1.6.1 Program Management - Program Controls</t>
        </is>
      </c>
      <c r="E1306" s="12" t="inlineStr">
        <is>
          <t>New</t>
        </is>
      </c>
      <c r="F1306" s="12" t="inlineStr"/>
      <c r="G1306" s="12" t="inlineStr">
        <is>
          <t>Source assignment -- not individually reviewed</t>
        </is>
      </c>
      <c r="H1306" s="17" t="inlineStr">
        <is>
          <t>10 EVIDENCE &amp; DECISIONS</t>
        </is>
      </c>
    </row>
    <row r="1307" ht="34" customHeight="1">
      <c r="A1307" s="12" t="inlineStr">
        <is>
          <t>R1517-v1</t>
        </is>
      </c>
      <c r="B1307" s="12" t="inlineStr">
        <is>
          <t>Cost &amp; Forecast Control Accounts</t>
        </is>
      </c>
      <c r="C1307" s="12" t="inlineStr">
        <is>
          <t>CST-06-035</t>
        </is>
      </c>
      <c r="D1307" s="12" t="inlineStr">
        <is>
          <t>1.6.1 Program Management - Program Controls</t>
        </is>
      </c>
      <c r="E1307" s="12" t="inlineStr">
        <is>
          <t>New</t>
        </is>
      </c>
      <c r="F1307" s="12" t="inlineStr"/>
      <c r="G1307" s="12" t="inlineStr">
        <is>
          <t>Source assignment -- not individually reviewed</t>
        </is>
      </c>
      <c r="H1307" s="17" t="inlineStr">
        <is>
          <t>10 EVIDENCE &amp; DECISIONS</t>
        </is>
      </c>
    </row>
    <row r="1308" ht="34" customHeight="1">
      <c r="A1308" s="12" t="inlineStr">
        <is>
          <t>R1519-v1</t>
        </is>
      </c>
      <c r="B1308" s="12" t="inlineStr">
        <is>
          <t>Cost &amp; Forecast Control Accounts</t>
        </is>
      </c>
      <c r="C1308" s="12" t="inlineStr">
        <is>
          <t>CST-06-037</t>
        </is>
      </c>
      <c r="D1308" s="12" t="inlineStr">
        <is>
          <t>1.6.1 Program Management - Program Controls</t>
        </is>
      </c>
      <c r="E1308" s="12" t="inlineStr">
        <is>
          <t>New</t>
        </is>
      </c>
      <c r="F1308" s="12" t="inlineStr"/>
      <c r="G1308" s="12" t="inlineStr">
        <is>
          <t>Source assignment -- not individually reviewed</t>
        </is>
      </c>
      <c r="H1308" s="17" t="inlineStr">
        <is>
          <t>10 EVIDENCE &amp; DECISIONS</t>
        </is>
      </c>
    </row>
    <row r="1309" ht="34" customHeight="1">
      <c r="A1309" s="12" t="inlineStr">
        <is>
          <t>R1521-v1</t>
        </is>
      </c>
      <c r="B1309" s="12" t="inlineStr">
        <is>
          <t>Cost &amp; Forecast Control Accounts</t>
        </is>
      </c>
      <c r="C1309" s="12" t="inlineStr">
        <is>
          <t>CST-06-039</t>
        </is>
      </c>
      <c r="D1309" s="12" t="inlineStr">
        <is>
          <t>1.6.1 Program Management - Program Controls</t>
        </is>
      </c>
      <c r="E1309" s="12" t="inlineStr">
        <is>
          <t>New</t>
        </is>
      </c>
      <c r="F1309" s="12" t="inlineStr"/>
      <c r="G1309" s="12" t="inlineStr">
        <is>
          <t>Source assignment -- not individually reviewed</t>
        </is>
      </c>
      <c r="H1309" s="17" t="inlineStr">
        <is>
          <t>10 EVIDENCE &amp; DECISIONS</t>
        </is>
      </c>
    </row>
    <row r="1310" ht="34" customHeight="1">
      <c r="A1310" s="12" t="inlineStr">
        <is>
          <t>R1523-v1</t>
        </is>
      </c>
      <c r="B1310" s="12" t="inlineStr">
        <is>
          <t>Cost &amp; Forecast Control Accounts</t>
        </is>
      </c>
      <c r="C1310" s="12" t="inlineStr">
        <is>
          <t>CST-06-041</t>
        </is>
      </c>
      <c r="D1310" s="12" t="inlineStr">
        <is>
          <t>1.6.1 Program Management - Program Controls</t>
        </is>
      </c>
      <c r="E1310" s="12" t="inlineStr">
        <is>
          <t>New</t>
        </is>
      </c>
      <c r="F1310" s="12" t="inlineStr"/>
      <c r="G1310" s="12" t="inlineStr">
        <is>
          <t>Source assignment -- not individually reviewed</t>
        </is>
      </c>
      <c r="H1310" s="17" t="inlineStr">
        <is>
          <t>10 EVIDENCE &amp; DECISIONS</t>
        </is>
      </c>
    </row>
    <row r="1311" ht="34" customHeight="1">
      <c r="A1311" s="12" t="inlineStr">
        <is>
          <t>R1525-v1</t>
        </is>
      </c>
      <c r="B1311" s="12" t="inlineStr">
        <is>
          <t>Cost &amp; Forecast Control Accounts</t>
        </is>
      </c>
      <c r="C1311" s="12" t="inlineStr">
        <is>
          <t>CST-06-043</t>
        </is>
      </c>
      <c r="D1311" s="12" t="inlineStr">
        <is>
          <t>1.6.1 Program Management - Program Controls</t>
        </is>
      </c>
      <c r="E1311" s="12" t="inlineStr">
        <is>
          <t>New</t>
        </is>
      </c>
      <c r="F1311" s="12" t="inlineStr"/>
      <c r="G1311" s="12" t="inlineStr">
        <is>
          <t>Source assignment -- not individually reviewed</t>
        </is>
      </c>
      <c r="H1311" s="17" t="inlineStr">
        <is>
          <t>10 EVIDENCE &amp; DECISIONS</t>
        </is>
      </c>
    </row>
    <row r="1312" ht="34" customHeight="1">
      <c r="A1312" s="12" t="inlineStr">
        <is>
          <t>R1527-v1</t>
        </is>
      </c>
      <c r="B1312" s="12" t="inlineStr">
        <is>
          <t>Cost &amp; Forecast Control Accounts</t>
        </is>
      </c>
      <c r="C1312" s="12" t="inlineStr">
        <is>
          <t>CST-06-045</t>
        </is>
      </c>
      <c r="D1312" s="12" t="inlineStr">
        <is>
          <t>1.6.1 Program Management - Program Controls</t>
        </is>
      </c>
      <c r="E1312" s="12" t="inlineStr">
        <is>
          <t>New</t>
        </is>
      </c>
      <c r="F1312" s="12" t="inlineStr"/>
      <c r="G1312" s="12" t="inlineStr">
        <is>
          <t>Source assignment -- not individually reviewed</t>
        </is>
      </c>
      <c r="H1312" s="17" t="inlineStr">
        <is>
          <t>10 EVIDENCE &amp; DECISIONS</t>
        </is>
      </c>
    </row>
    <row r="1313" ht="34" customHeight="1">
      <c r="A1313" s="12" t="inlineStr">
        <is>
          <t>R1529-v1</t>
        </is>
      </c>
      <c r="B1313" s="12" t="inlineStr">
        <is>
          <t>Cost &amp; Forecast Control Accounts</t>
        </is>
      </c>
      <c r="C1313" s="12" t="inlineStr">
        <is>
          <t>CST-06-047</t>
        </is>
      </c>
      <c r="D1313" s="12" t="inlineStr">
        <is>
          <t>1.6.1 Program Management - Program Controls</t>
        </is>
      </c>
      <c r="E1313" s="12" t="inlineStr">
        <is>
          <t>New</t>
        </is>
      </c>
      <c r="F1313" s="12" t="inlineStr"/>
      <c r="G1313" s="12" t="inlineStr">
        <is>
          <t>Source assignment -- not individually reviewed</t>
        </is>
      </c>
      <c r="H1313" s="17" t="inlineStr">
        <is>
          <t>10 EVIDENCE &amp; DECISIONS</t>
        </is>
      </c>
    </row>
    <row r="1314" ht="34" customHeight="1">
      <c r="A1314" s="12" t="inlineStr">
        <is>
          <t>R1531-v1</t>
        </is>
      </c>
      <c r="B1314" s="12" t="inlineStr">
        <is>
          <t>Cost &amp; Forecast Control Accounts</t>
        </is>
      </c>
      <c r="C1314" s="12" t="inlineStr">
        <is>
          <t>CST-06-049</t>
        </is>
      </c>
      <c r="D1314" s="12" t="inlineStr">
        <is>
          <t>1.6.1 Program Management - Program Controls</t>
        </is>
      </c>
      <c r="E1314" s="12" t="inlineStr">
        <is>
          <t>New</t>
        </is>
      </c>
      <c r="F1314" s="12" t="inlineStr"/>
      <c r="G1314" s="12" t="inlineStr">
        <is>
          <t>Source assignment -- not individually reviewed</t>
        </is>
      </c>
      <c r="H1314" s="17" t="inlineStr">
        <is>
          <t>10 EVIDENCE &amp; DECISIONS</t>
        </is>
      </c>
    </row>
    <row r="1315" ht="34" customHeight="1">
      <c r="A1315" s="12" t="inlineStr">
        <is>
          <t>R1533-v1</t>
        </is>
      </c>
      <c r="B1315" s="12" t="inlineStr">
        <is>
          <t>Cost &amp; Forecast Control Accounts</t>
        </is>
      </c>
      <c r="C1315" s="12" t="inlineStr">
        <is>
          <t>CST-06-051</t>
        </is>
      </c>
      <c r="D1315" s="12" t="inlineStr">
        <is>
          <t>1.6.1 Program Management - Program Controls</t>
        </is>
      </c>
      <c r="E1315" s="12" t="inlineStr">
        <is>
          <t>New</t>
        </is>
      </c>
      <c r="F1315" s="12" t="inlineStr"/>
      <c r="G1315" s="12" t="inlineStr">
        <is>
          <t>Source assignment -- not individually reviewed</t>
        </is>
      </c>
      <c r="H1315" s="17" t="inlineStr">
        <is>
          <t>10 EVIDENCE &amp; DECISIONS</t>
        </is>
      </c>
    </row>
    <row r="1316" ht="34" customHeight="1">
      <c r="A1316" s="12" t="inlineStr">
        <is>
          <t>R1535-v1</t>
        </is>
      </c>
      <c r="B1316" s="12" t="inlineStr">
        <is>
          <t>Cost &amp; Forecast Control Accounts</t>
        </is>
      </c>
      <c r="C1316" s="12" t="inlineStr">
        <is>
          <t>CST-06-053</t>
        </is>
      </c>
      <c r="D1316" s="12" t="inlineStr">
        <is>
          <t>1.6.1 Program Management - Program Controls</t>
        </is>
      </c>
      <c r="E1316" s="12" t="inlineStr">
        <is>
          <t>New</t>
        </is>
      </c>
      <c r="F1316" s="12" t="inlineStr"/>
      <c r="G1316" s="12" t="inlineStr">
        <is>
          <t>Source assignment -- not individually reviewed</t>
        </is>
      </c>
      <c r="H1316" s="17" t="inlineStr">
        <is>
          <t>10 EVIDENCE &amp; DECISIONS</t>
        </is>
      </c>
    </row>
    <row r="1317" ht="34" customHeight="1">
      <c r="A1317" s="12" t="inlineStr">
        <is>
          <t>R1537-v1</t>
        </is>
      </c>
      <c r="B1317" s="12" t="inlineStr">
        <is>
          <t>Cost &amp; Forecast Control Accounts</t>
        </is>
      </c>
      <c r="C1317" s="12" t="inlineStr">
        <is>
          <t>CST-06-055</t>
        </is>
      </c>
      <c r="D1317" s="12" t="inlineStr">
        <is>
          <t>1.6.1 Program Management - Program Controls</t>
        </is>
      </c>
      <c r="E1317" s="12" t="inlineStr">
        <is>
          <t>New</t>
        </is>
      </c>
      <c r="F1317" s="12" t="inlineStr"/>
      <c r="G1317" s="12" t="inlineStr">
        <is>
          <t>Source assignment -- not individually reviewed</t>
        </is>
      </c>
      <c r="H1317" s="17" t="inlineStr">
        <is>
          <t>10 EVIDENCE &amp; DECISIONS</t>
        </is>
      </c>
    </row>
    <row r="1318" ht="34" customHeight="1">
      <c r="A1318" s="12" t="inlineStr">
        <is>
          <t>R1539-v1</t>
        </is>
      </c>
      <c r="B1318" s="12" t="inlineStr">
        <is>
          <t>Cost &amp; Forecast Control Accounts</t>
        </is>
      </c>
      <c r="C1318" s="12" t="inlineStr">
        <is>
          <t>CST-06-057</t>
        </is>
      </c>
      <c r="D1318" s="12" t="inlineStr">
        <is>
          <t>1.6.1 Program Management - Program Controls</t>
        </is>
      </c>
      <c r="E1318" s="12" t="inlineStr">
        <is>
          <t>New</t>
        </is>
      </c>
      <c r="F1318" s="12" t="inlineStr"/>
      <c r="G1318" s="12" t="inlineStr">
        <is>
          <t>Source assignment -- not individually reviewed</t>
        </is>
      </c>
      <c r="H1318" s="17" t="inlineStr">
        <is>
          <t>10 EVIDENCE &amp; DECISIONS</t>
        </is>
      </c>
    </row>
    <row r="1319" ht="34" customHeight="1">
      <c r="A1319" s="12" t="inlineStr">
        <is>
          <t>R1541-v1</t>
        </is>
      </c>
      <c r="B1319" s="12" t="inlineStr">
        <is>
          <t>Cost &amp; Forecast Control Accounts</t>
        </is>
      </c>
      <c r="C1319" s="12" t="inlineStr">
        <is>
          <t>CST-06-059</t>
        </is>
      </c>
      <c r="D1319" s="12" t="inlineStr">
        <is>
          <t>1.6.1 Program Management - Program Controls</t>
        </is>
      </c>
      <c r="E1319" s="12" t="inlineStr">
        <is>
          <t>New</t>
        </is>
      </c>
      <c r="F1319" s="12" t="inlineStr"/>
      <c r="G1319" s="12" t="inlineStr">
        <is>
          <t>Source assignment -- not individually reviewed</t>
        </is>
      </c>
      <c r="H1319" s="17" t="inlineStr">
        <is>
          <t>10 EVIDENCE &amp; DECISIONS</t>
        </is>
      </c>
    </row>
    <row r="1320" ht="34" customHeight="1">
      <c r="A1320" s="12" t="inlineStr">
        <is>
          <t>R1543-v1</t>
        </is>
      </c>
      <c r="B1320" s="12" t="inlineStr">
        <is>
          <t>Cost &amp; Forecast Control Accounts</t>
        </is>
      </c>
      <c r="C1320" s="12" t="inlineStr">
        <is>
          <t>CST-06-061</t>
        </is>
      </c>
      <c r="D1320" s="12" t="inlineStr">
        <is>
          <t>1.6.1 Program Management - Program Controls</t>
        </is>
      </c>
      <c r="E1320" s="12" t="inlineStr">
        <is>
          <t>New</t>
        </is>
      </c>
      <c r="F1320" s="12" t="inlineStr"/>
      <c r="G1320" s="12" t="inlineStr">
        <is>
          <t>Source assignment -- not individually reviewed</t>
        </is>
      </c>
      <c r="H1320" s="17" t="inlineStr">
        <is>
          <t>10 EVIDENCE &amp; DECISIONS</t>
        </is>
      </c>
    </row>
    <row r="1321" ht="34" customHeight="1">
      <c r="A1321" s="12" t="inlineStr">
        <is>
          <t>R1545-v1</t>
        </is>
      </c>
      <c r="B1321" s="12" t="inlineStr">
        <is>
          <t>Cost &amp; Forecast Control Accounts</t>
        </is>
      </c>
      <c r="C1321" s="12" t="inlineStr">
        <is>
          <t>CST-06-063</t>
        </is>
      </c>
      <c r="D1321" s="12" t="inlineStr">
        <is>
          <t>1.6.1 Program Management - Program Controls</t>
        </is>
      </c>
      <c r="E1321" s="12" t="inlineStr">
        <is>
          <t>New</t>
        </is>
      </c>
      <c r="F1321" s="12" t="inlineStr"/>
      <c r="G1321" s="12" t="inlineStr">
        <is>
          <t>Source assignment -- not individually reviewed</t>
        </is>
      </c>
      <c r="H1321" s="17" t="inlineStr">
        <is>
          <t>10 EVIDENCE &amp; DECISIONS</t>
        </is>
      </c>
    </row>
    <row r="1322" ht="34" customHeight="1">
      <c r="A1322" s="12" t="inlineStr">
        <is>
          <t>R1547-v1</t>
        </is>
      </c>
      <c r="B1322" s="12" t="inlineStr">
        <is>
          <t>Cost &amp; Forecast Control Accounts</t>
        </is>
      </c>
      <c r="C1322" s="12" t="inlineStr">
        <is>
          <t>CST-06-065</t>
        </is>
      </c>
      <c r="D1322" s="12" t="inlineStr">
        <is>
          <t>1.6.1 Program Management - Program Controls</t>
        </is>
      </c>
      <c r="E1322" s="12" t="inlineStr">
        <is>
          <t>New</t>
        </is>
      </c>
      <c r="F1322" s="12" t="inlineStr"/>
      <c r="G1322" s="12" t="inlineStr">
        <is>
          <t>Source assignment -- not individually reviewed</t>
        </is>
      </c>
      <c r="H1322" s="17" t="inlineStr">
        <is>
          <t>10 EVIDENCE &amp; DECISIONS</t>
        </is>
      </c>
    </row>
    <row r="1323" ht="34" customHeight="1">
      <c r="A1323" s="12" t="inlineStr">
        <is>
          <t>R1549-v1</t>
        </is>
      </c>
      <c r="B1323" s="12" t="inlineStr">
        <is>
          <t>Cost &amp; Forecast Control Accounts</t>
        </is>
      </c>
      <c r="C1323" s="12" t="inlineStr">
        <is>
          <t>CST-06-067</t>
        </is>
      </c>
      <c r="D1323" s="12" t="inlineStr">
        <is>
          <t>1.6.1 Program Management - Program Controls</t>
        </is>
      </c>
      <c r="E1323" s="12" t="inlineStr">
        <is>
          <t>New</t>
        </is>
      </c>
      <c r="F1323" s="12" t="inlineStr"/>
      <c r="G1323" s="12" t="inlineStr">
        <is>
          <t>Source assignment -- not individually reviewed</t>
        </is>
      </c>
      <c r="H1323" s="17" t="inlineStr">
        <is>
          <t>10 EVIDENCE &amp; DECISIONS</t>
        </is>
      </c>
    </row>
    <row r="1324" ht="34" customHeight="1">
      <c r="A1324" s="12" t="inlineStr">
        <is>
          <t>R1551-v1</t>
        </is>
      </c>
      <c r="B1324" s="12" t="inlineStr">
        <is>
          <t>Cost &amp; Forecast Control Accounts</t>
        </is>
      </c>
      <c r="C1324" s="12" t="inlineStr">
        <is>
          <t>CST-06-069</t>
        </is>
      </c>
      <c r="D1324" s="12" t="inlineStr">
        <is>
          <t>1.6.1 Program Management - Program Controls</t>
        </is>
      </c>
      <c r="E1324" s="12" t="inlineStr">
        <is>
          <t>New</t>
        </is>
      </c>
      <c r="F1324" s="12" t="inlineStr"/>
      <c r="G1324" s="12" t="inlineStr">
        <is>
          <t>Source assignment -- not individually reviewed</t>
        </is>
      </c>
      <c r="H1324" s="17" t="inlineStr">
        <is>
          <t>10 EVIDENCE &amp; DECISIONS</t>
        </is>
      </c>
    </row>
    <row r="1325" ht="34" customHeight="1">
      <c r="A1325" s="12" t="inlineStr">
        <is>
          <t>R1553-v1</t>
        </is>
      </c>
      <c r="B1325" s="12" t="inlineStr">
        <is>
          <t>Cost &amp; Forecast Control Accounts</t>
        </is>
      </c>
      <c r="C1325" s="12" t="inlineStr">
        <is>
          <t>CST-06-071</t>
        </is>
      </c>
      <c r="D1325" s="12" t="inlineStr">
        <is>
          <t>1.6.1 Program Management - Program Controls</t>
        </is>
      </c>
      <c r="E1325" s="12" t="inlineStr">
        <is>
          <t>New</t>
        </is>
      </c>
      <c r="F1325" s="12" t="inlineStr"/>
      <c r="G1325" s="12" t="inlineStr">
        <is>
          <t>Source assignment -- not individually reviewed</t>
        </is>
      </c>
      <c r="H1325" s="17" t="inlineStr">
        <is>
          <t>10 EVIDENCE &amp; DECISIONS</t>
        </is>
      </c>
    </row>
    <row r="1326" ht="34" customHeight="1">
      <c r="A1326" s="12" t="inlineStr">
        <is>
          <t>R1555-v1</t>
        </is>
      </c>
      <c r="B1326" s="12" t="inlineStr">
        <is>
          <t>Cost &amp; Forecast Control Accounts</t>
        </is>
      </c>
      <c r="C1326" s="12" t="inlineStr">
        <is>
          <t>CST-06-073</t>
        </is>
      </c>
      <c r="D1326" s="12" t="inlineStr">
        <is>
          <t>1.6.1 Program Management - Program Controls</t>
        </is>
      </c>
      <c r="E1326" s="12" t="inlineStr">
        <is>
          <t>New</t>
        </is>
      </c>
      <c r="F1326" s="12" t="inlineStr"/>
      <c r="G1326" s="12" t="inlineStr">
        <is>
          <t>Source assignment -- not individually reviewed</t>
        </is>
      </c>
      <c r="H1326" s="17" t="inlineStr">
        <is>
          <t>10 EVIDENCE &amp; DECISIONS</t>
        </is>
      </c>
    </row>
    <row r="1327" ht="34" customHeight="1">
      <c r="A1327" s="12" t="inlineStr">
        <is>
          <t>R1557-v1</t>
        </is>
      </c>
      <c r="B1327" s="12" t="inlineStr">
        <is>
          <t>Cost &amp; Forecast Control Accounts</t>
        </is>
      </c>
      <c r="C1327" s="12" t="inlineStr">
        <is>
          <t>CST-06-075</t>
        </is>
      </c>
      <c r="D1327" s="12" t="inlineStr">
        <is>
          <t>1.6.1 Program Management - Program Controls</t>
        </is>
      </c>
      <c r="E1327" s="12" t="inlineStr">
        <is>
          <t>New</t>
        </is>
      </c>
      <c r="F1327" s="12" t="inlineStr"/>
      <c r="G1327" s="12" t="inlineStr">
        <is>
          <t>Source assignment -- not individually reviewed</t>
        </is>
      </c>
      <c r="H1327" s="17" t="inlineStr">
        <is>
          <t>10 EVIDENCE &amp; DECISIONS</t>
        </is>
      </c>
    </row>
    <row r="1328" ht="34" customHeight="1">
      <c r="A1328" s="12" t="inlineStr">
        <is>
          <t>R1559-v1</t>
        </is>
      </c>
      <c r="B1328" s="12" t="inlineStr">
        <is>
          <t>Cost &amp; Forecast Control Accounts</t>
        </is>
      </c>
      <c r="C1328" s="12" t="inlineStr">
        <is>
          <t>CST-06-077</t>
        </is>
      </c>
      <c r="D1328" s="12" t="inlineStr">
        <is>
          <t>1.6.1 Program Management - Program Controls</t>
        </is>
      </c>
      <c r="E1328" s="12" t="inlineStr">
        <is>
          <t>New</t>
        </is>
      </c>
      <c r="F1328" s="12" t="inlineStr"/>
      <c r="G1328" s="12" t="inlineStr">
        <is>
          <t>Source assignment -- not individually reviewed</t>
        </is>
      </c>
      <c r="H1328" s="17" t="inlineStr">
        <is>
          <t>10 EVIDENCE &amp; DECISIONS</t>
        </is>
      </c>
    </row>
    <row r="1329" ht="34" customHeight="1">
      <c r="A1329" s="12" t="inlineStr">
        <is>
          <t>R1561-v1</t>
        </is>
      </c>
      <c r="B1329" s="12" t="inlineStr">
        <is>
          <t>Cost &amp; Forecast Control Accounts</t>
        </is>
      </c>
      <c r="C1329" s="12" t="inlineStr">
        <is>
          <t>CST-06-079</t>
        </is>
      </c>
      <c r="D1329" s="12" t="inlineStr">
        <is>
          <t>1.6.1 Program Management - Program Controls</t>
        </is>
      </c>
      <c r="E1329" s="12" t="inlineStr">
        <is>
          <t>New</t>
        </is>
      </c>
      <c r="F1329" s="12" t="inlineStr"/>
      <c r="G1329" s="12" t="inlineStr">
        <is>
          <t>Source assignment -- not individually reviewed</t>
        </is>
      </c>
      <c r="H1329" s="17" t="inlineStr">
        <is>
          <t>10 EVIDENCE &amp; DECISIONS</t>
        </is>
      </c>
    </row>
    <row r="1330" ht="34" customHeight="1">
      <c r="A1330" s="12" t="inlineStr">
        <is>
          <t>R1484-v1</t>
        </is>
      </c>
      <c r="B1330" s="12" t="inlineStr">
        <is>
          <t>Cost &amp; Forecast Control Accounts</t>
        </is>
      </c>
      <c r="C1330" s="12" t="inlineStr">
        <is>
          <t>CST-06-002</t>
        </is>
      </c>
      <c r="D1330" s="12" t="inlineStr">
        <is>
          <t>1.6.2 Program Management - Commercial &amp; Procurement</t>
        </is>
      </c>
      <c r="E1330" s="12" t="inlineStr">
        <is>
          <t>New</t>
        </is>
      </c>
      <c r="F1330" s="12" t="inlineStr"/>
      <c r="G1330" s="12" t="inlineStr">
        <is>
          <t>Source assignment -- not individually reviewed</t>
        </is>
      </c>
      <c r="H1330" s="17" t="inlineStr">
        <is>
          <t>10 EVIDENCE &amp; DECISIONS</t>
        </is>
      </c>
    </row>
    <row r="1331" ht="34" customHeight="1">
      <c r="A1331" s="12" t="inlineStr">
        <is>
          <t>R1486-v1</t>
        </is>
      </c>
      <c r="B1331" s="12" t="inlineStr">
        <is>
          <t>Cost &amp; Forecast Control Accounts</t>
        </is>
      </c>
      <c r="C1331" s="12" t="inlineStr">
        <is>
          <t>CST-06-004</t>
        </is>
      </c>
      <c r="D1331" s="12" t="inlineStr">
        <is>
          <t>1.6.2 Program Management - Commercial &amp; Procurement</t>
        </is>
      </c>
      <c r="E1331" s="12" t="inlineStr">
        <is>
          <t>New</t>
        </is>
      </c>
      <c r="F1331" s="12" t="inlineStr"/>
      <c r="G1331" s="12" t="inlineStr">
        <is>
          <t>Source assignment -- not individually reviewed</t>
        </is>
      </c>
      <c r="H1331" s="17" t="inlineStr">
        <is>
          <t>10 EVIDENCE &amp; DECISIONS</t>
        </is>
      </c>
    </row>
    <row r="1332" ht="34" customHeight="1">
      <c r="A1332" s="12" t="inlineStr">
        <is>
          <t>R1488-v1</t>
        </is>
      </c>
      <c r="B1332" s="12" t="inlineStr">
        <is>
          <t>Cost &amp; Forecast Control Accounts</t>
        </is>
      </c>
      <c r="C1332" s="12" t="inlineStr">
        <is>
          <t>CST-06-006</t>
        </is>
      </c>
      <c r="D1332" s="12" t="inlineStr">
        <is>
          <t>1.6.2 Program Management - Commercial &amp; Procurement</t>
        </is>
      </c>
      <c r="E1332" s="12" t="inlineStr">
        <is>
          <t>New</t>
        </is>
      </c>
      <c r="F1332" s="12" t="inlineStr"/>
      <c r="G1332" s="12" t="inlineStr">
        <is>
          <t>Source assignment -- not individually reviewed</t>
        </is>
      </c>
      <c r="H1332" s="17" t="inlineStr">
        <is>
          <t>10 EVIDENCE &amp; DECISIONS</t>
        </is>
      </c>
    </row>
    <row r="1333" ht="34" customHeight="1">
      <c r="A1333" s="12" t="inlineStr">
        <is>
          <t>R1490-v1</t>
        </is>
      </c>
      <c r="B1333" s="12" t="inlineStr">
        <is>
          <t>Cost &amp; Forecast Control Accounts</t>
        </is>
      </c>
      <c r="C1333" s="12" t="inlineStr">
        <is>
          <t>CST-06-008</t>
        </is>
      </c>
      <c r="D1333" s="12" t="inlineStr">
        <is>
          <t>1.6.2 Program Management - Commercial &amp; Procurement</t>
        </is>
      </c>
      <c r="E1333" s="12" t="inlineStr">
        <is>
          <t>New</t>
        </is>
      </c>
      <c r="F1333" s="12" t="inlineStr"/>
      <c r="G1333" s="12" t="inlineStr">
        <is>
          <t>Source assignment -- not individually reviewed</t>
        </is>
      </c>
      <c r="H1333" s="17" t="inlineStr">
        <is>
          <t>10 EVIDENCE &amp; DECISIONS</t>
        </is>
      </c>
    </row>
    <row r="1334" ht="34" customHeight="1">
      <c r="A1334" s="12" t="inlineStr">
        <is>
          <t>R1492-v1</t>
        </is>
      </c>
      <c r="B1334" s="12" t="inlineStr">
        <is>
          <t>Cost &amp; Forecast Control Accounts</t>
        </is>
      </c>
      <c r="C1334" s="12" t="inlineStr">
        <is>
          <t>CST-06-010</t>
        </is>
      </c>
      <c r="D1334" s="12" t="inlineStr">
        <is>
          <t>1.6.2 Program Management - Commercial &amp; Procurement</t>
        </is>
      </c>
      <c r="E1334" s="12" t="inlineStr">
        <is>
          <t>New</t>
        </is>
      </c>
      <c r="F1334" s="12" t="inlineStr"/>
      <c r="G1334" s="12" t="inlineStr">
        <is>
          <t>Source assignment -- not individually reviewed</t>
        </is>
      </c>
      <c r="H1334" s="17" t="inlineStr">
        <is>
          <t>10 EVIDENCE &amp; DECISIONS</t>
        </is>
      </c>
    </row>
    <row r="1335" ht="34" customHeight="1">
      <c r="A1335" s="12" t="inlineStr">
        <is>
          <t>R1494-v1</t>
        </is>
      </c>
      <c r="B1335" s="12" t="inlineStr">
        <is>
          <t>Cost &amp; Forecast Control Accounts</t>
        </is>
      </c>
      <c r="C1335" s="12" t="inlineStr">
        <is>
          <t>CST-06-012</t>
        </is>
      </c>
      <c r="D1335" s="12" t="inlineStr">
        <is>
          <t>1.6.2 Program Management - Commercial &amp; Procurement</t>
        </is>
      </c>
      <c r="E1335" s="12" t="inlineStr">
        <is>
          <t>New</t>
        </is>
      </c>
      <c r="F1335" s="12" t="inlineStr"/>
      <c r="G1335" s="12" t="inlineStr">
        <is>
          <t>Source assignment -- not individually reviewed</t>
        </is>
      </c>
      <c r="H1335" s="17" t="inlineStr">
        <is>
          <t>10 EVIDENCE &amp; DECISIONS</t>
        </is>
      </c>
    </row>
    <row r="1336" ht="34" customHeight="1">
      <c r="A1336" s="12" t="inlineStr">
        <is>
          <t>R1496-v1</t>
        </is>
      </c>
      <c r="B1336" s="12" t="inlineStr">
        <is>
          <t>Cost &amp; Forecast Control Accounts</t>
        </is>
      </c>
      <c r="C1336" s="12" t="inlineStr">
        <is>
          <t>CST-06-014</t>
        </is>
      </c>
      <c r="D1336" s="12" t="inlineStr">
        <is>
          <t>1.6.2 Program Management - Commercial &amp; Procurement</t>
        </is>
      </c>
      <c r="E1336" s="12" t="inlineStr">
        <is>
          <t>New</t>
        </is>
      </c>
      <c r="F1336" s="12" t="inlineStr"/>
      <c r="G1336" s="12" t="inlineStr">
        <is>
          <t>Source assignment -- not individually reviewed</t>
        </is>
      </c>
      <c r="H1336" s="17" t="inlineStr">
        <is>
          <t>10 EVIDENCE &amp; DECISIONS</t>
        </is>
      </c>
    </row>
    <row r="1337" ht="34" customHeight="1">
      <c r="A1337" s="12" t="inlineStr">
        <is>
          <t>R1498-v1</t>
        </is>
      </c>
      <c r="B1337" s="12" t="inlineStr">
        <is>
          <t>Cost &amp; Forecast Control Accounts</t>
        </is>
      </c>
      <c r="C1337" s="12" t="inlineStr">
        <is>
          <t>CST-06-016</t>
        </is>
      </c>
      <c r="D1337" s="12" t="inlineStr">
        <is>
          <t>1.6.2 Program Management - Commercial &amp; Procurement</t>
        </is>
      </c>
      <c r="E1337" s="12" t="inlineStr">
        <is>
          <t>New</t>
        </is>
      </c>
      <c r="F1337" s="12" t="inlineStr"/>
      <c r="G1337" s="12" t="inlineStr">
        <is>
          <t>Source assignment -- not individually reviewed</t>
        </is>
      </c>
      <c r="H1337" s="17" t="inlineStr">
        <is>
          <t>10 EVIDENCE &amp; DECISIONS</t>
        </is>
      </c>
    </row>
    <row r="1338" ht="34" customHeight="1">
      <c r="A1338" s="12" t="inlineStr">
        <is>
          <t>R1500-v1</t>
        </is>
      </c>
      <c r="B1338" s="12" t="inlineStr">
        <is>
          <t>Cost &amp; Forecast Control Accounts</t>
        </is>
      </c>
      <c r="C1338" s="12" t="inlineStr">
        <is>
          <t>CST-06-018</t>
        </is>
      </c>
      <c r="D1338" s="12" t="inlineStr">
        <is>
          <t>1.6.2 Program Management - Commercial &amp; Procurement</t>
        </is>
      </c>
      <c r="E1338" s="12" t="inlineStr">
        <is>
          <t>New</t>
        </is>
      </c>
      <c r="F1338" s="12" t="inlineStr"/>
      <c r="G1338" s="12" t="inlineStr">
        <is>
          <t>Source assignment -- not individually reviewed</t>
        </is>
      </c>
      <c r="H1338" s="17" t="inlineStr">
        <is>
          <t>10 EVIDENCE &amp; DECISIONS</t>
        </is>
      </c>
    </row>
    <row r="1339" ht="34" customHeight="1">
      <c r="A1339" s="12" t="inlineStr">
        <is>
          <t>R1502-v1</t>
        </is>
      </c>
      <c r="B1339" s="12" t="inlineStr">
        <is>
          <t>Cost &amp; Forecast Control Accounts</t>
        </is>
      </c>
      <c r="C1339" s="12" t="inlineStr">
        <is>
          <t>CST-06-020</t>
        </is>
      </c>
      <c r="D1339" s="12" t="inlineStr">
        <is>
          <t>1.6.2 Program Management - Commercial &amp; Procurement</t>
        </is>
      </c>
      <c r="E1339" s="12" t="inlineStr">
        <is>
          <t>New</t>
        </is>
      </c>
      <c r="F1339" s="12" t="inlineStr"/>
      <c r="G1339" s="12" t="inlineStr">
        <is>
          <t>Source assignment -- not individually reviewed</t>
        </is>
      </c>
      <c r="H1339" s="17" t="inlineStr">
        <is>
          <t>10 EVIDENCE &amp; DECISIONS</t>
        </is>
      </c>
    </row>
    <row r="1340" ht="34" customHeight="1">
      <c r="A1340" s="12" t="inlineStr">
        <is>
          <t>R1504-v1</t>
        </is>
      </c>
      <c r="B1340" s="12" t="inlineStr">
        <is>
          <t>Cost &amp; Forecast Control Accounts</t>
        </is>
      </c>
      <c r="C1340" s="12" t="inlineStr">
        <is>
          <t>CST-06-022</t>
        </is>
      </c>
      <c r="D1340" s="12" t="inlineStr">
        <is>
          <t>1.6.2 Program Management - Commercial &amp; Procurement</t>
        </is>
      </c>
      <c r="E1340" s="12" t="inlineStr">
        <is>
          <t>New</t>
        </is>
      </c>
      <c r="F1340" s="12" t="inlineStr"/>
      <c r="G1340" s="12" t="inlineStr">
        <is>
          <t>Source assignment -- not individually reviewed</t>
        </is>
      </c>
      <c r="H1340" s="17" t="inlineStr">
        <is>
          <t>10 EVIDENCE &amp; DECISIONS</t>
        </is>
      </c>
    </row>
    <row r="1341" ht="34" customHeight="1">
      <c r="A1341" s="12" t="inlineStr">
        <is>
          <t>R1506-v1</t>
        </is>
      </c>
      <c r="B1341" s="12" t="inlineStr">
        <is>
          <t>Cost &amp; Forecast Control Accounts</t>
        </is>
      </c>
      <c r="C1341" s="12" t="inlineStr">
        <is>
          <t>CST-06-024</t>
        </is>
      </c>
      <c r="D1341" s="12" t="inlineStr">
        <is>
          <t>1.6.2 Program Management - Commercial &amp; Procurement</t>
        </is>
      </c>
      <c r="E1341" s="12" t="inlineStr">
        <is>
          <t>New</t>
        </is>
      </c>
      <c r="F1341" s="12" t="inlineStr"/>
      <c r="G1341" s="12" t="inlineStr">
        <is>
          <t>Source assignment -- not individually reviewed</t>
        </is>
      </c>
      <c r="H1341" s="17" t="inlineStr">
        <is>
          <t>10 EVIDENCE &amp; DECISIONS</t>
        </is>
      </c>
    </row>
    <row r="1342" ht="34" customHeight="1">
      <c r="A1342" s="12" t="inlineStr">
        <is>
          <t>R1508-v1</t>
        </is>
      </c>
      <c r="B1342" s="12" t="inlineStr">
        <is>
          <t>Cost &amp; Forecast Control Accounts</t>
        </is>
      </c>
      <c r="C1342" s="12" t="inlineStr">
        <is>
          <t>CST-06-026</t>
        </is>
      </c>
      <c r="D1342" s="12" t="inlineStr">
        <is>
          <t>1.6.2 Program Management - Commercial &amp; Procurement</t>
        </is>
      </c>
      <c r="E1342" s="12" t="inlineStr">
        <is>
          <t>New</t>
        </is>
      </c>
      <c r="F1342" s="12" t="inlineStr"/>
      <c r="G1342" s="12" t="inlineStr">
        <is>
          <t>Source assignment -- not individually reviewed</t>
        </is>
      </c>
      <c r="H1342" s="17" t="inlineStr">
        <is>
          <t>10 EVIDENCE &amp; DECISIONS</t>
        </is>
      </c>
    </row>
    <row r="1343" ht="34" customHeight="1">
      <c r="A1343" s="12" t="inlineStr">
        <is>
          <t>R1510-v1</t>
        </is>
      </c>
      <c r="B1343" s="12" t="inlineStr">
        <is>
          <t>Cost &amp; Forecast Control Accounts</t>
        </is>
      </c>
      <c r="C1343" s="12" t="inlineStr">
        <is>
          <t>CST-06-028</t>
        </is>
      </c>
      <c r="D1343" s="12" t="inlineStr">
        <is>
          <t>1.6.2 Program Management - Commercial &amp; Procurement</t>
        </is>
      </c>
      <c r="E1343" s="12" t="inlineStr">
        <is>
          <t>New</t>
        </is>
      </c>
      <c r="F1343" s="12" t="inlineStr"/>
      <c r="G1343" s="12" t="inlineStr">
        <is>
          <t>Source assignment -- not individually reviewed</t>
        </is>
      </c>
      <c r="H1343" s="17" t="inlineStr">
        <is>
          <t>10 EVIDENCE &amp; DECISIONS</t>
        </is>
      </c>
    </row>
    <row r="1344" ht="34" customHeight="1">
      <c r="A1344" s="12" t="inlineStr">
        <is>
          <t>R1512-v1</t>
        </is>
      </c>
      <c r="B1344" s="12" t="inlineStr">
        <is>
          <t>Cost &amp; Forecast Control Accounts</t>
        </is>
      </c>
      <c r="C1344" s="12" t="inlineStr">
        <is>
          <t>CST-06-030</t>
        </is>
      </c>
      <c r="D1344" s="12" t="inlineStr">
        <is>
          <t>1.6.2 Program Management - Commercial &amp; Procurement</t>
        </is>
      </c>
      <c r="E1344" s="12" t="inlineStr">
        <is>
          <t>New</t>
        </is>
      </c>
      <c r="F1344" s="12" t="inlineStr"/>
      <c r="G1344" s="12" t="inlineStr">
        <is>
          <t>Source assignment -- not individually reviewed</t>
        </is>
      </c>
      <c r="H1344" s="17" t="inlineStr">
        <is>
          <t>10 EVIDENCE &amp; DECISIONS</t>
        </is>
      </c>
    </row>
    <row r="1345" ht="34" customHeight="1">
      <c r="A1345" s="12" t="inlineStr">
        <is>
          <t>R1514-v1</t>
        </is>
      </c>
      <c r="B1345" s="12" t="inlineStr">
        <is>
          <t>Cost &amp; Forecast Control Accounts</t>
        </is>
      </c>
      <c r="C1345" s="12" t="inlineStr">
        <is>
          <t>CST-06-032</t>
        </is>
      </c>
      <c r="D1345" s="12" t="inlineStr">
        <is>
          <t>1.6.2 Program Management - Commercial &amp; Procurement</t>
        </is>
      </c>
      <c r="E1345" s="12" t="inlineStr">
        <is>
          <t>New</t>
        </is>
      </c>
      <c r="F1345" s="12" t="inlineStr"/>
      <c r="G1345" s="12" t="inlineStr">
        <is>
          <t>Source assignment -- not individually reviewed</t>
        </is>
      </c>
      <c r="H1345" s="17" t="inlineStr">
        <is>
          <t>10 EVIDENCE &amp; DECISIONS</t>
        </is>
      </c>
    </row>
    <row r="1346" ht="34" customHeight="1">
      <c r="A1346" s="12" t="inlineStr">
        <is>
          <t>R1516-v1</t>
        </is>
      </c>
      <c r="B1346" s="12" t="inlineStr">
        <is>
          <t>Cost &amp; Forecast Control Accounts</t>
        </is>
      </c>
      <c r="C1346" s="12" t="inlineStr">
        <is>
          <t>CST-06-034</t>
        </is>
      </c>
      <c r="D1346" s="12" t="inlineStr">
        <is>
          <t>1.6.2 Program Management - Commercial &amp; Procurement</t>
        </is>
      </c>
      <c r="E1346" s="12" t="inlineStr">
        <is>
          <t>New</t>
        </is>
      </c>
      <c r="F1346" s="12" t="inlineStr"/>
      <c r="G1346" s="12" t="inlineStr">
        <is>
          <t>Source assignment -- not individually reviewed</t>
        </is>
      </c>
      <c r="H1346" s="17" t="inlineStr">
        <is>
          <t>10 EVIDENCE &amp; DECISIONS</t>
        </is>
      </c>
    </row>
    <row r="1347" ht="34" customHeight="1">
      <c r="A1347" s="12" t="inlineStr">
        <is>
          <t>R1518-v1</t>
        </is>
      </c>
      <c r="B1347" s="12" t="inlineStr">
        <is>
          <t>Cost &amp; Forecast Control Accounts</t>
        </is>
      </c>
      <c r="C1347" s="12" t="inlineStr">
        <is>
          <t>CST-06-036</t>
        </is>
      </c>
      <c r="D1347" s="12" t="inlineStr">
        <is>
          <t>1.6.2 Program Management - Commercial &amp; Procurement</t>
        </is>
      </c>
      <c r="E1347" s="12" t="inlineStr">
        <is>
          <t>New</t>
        </is>
      </c>
      <c r="F1347" s="12" t="inlineStr"/>
      <c r="G1347" s="12" t="inlineStr">
        <is>
          <t>Source assignment -- not individually reviewed</t>
        </is>
      </c>
      <c r="H1347" s="17" t="inlineStr">
        <is>
          <t>10 EVIDENCE &amp; DECISIONS</t>
        </is>
      </c>
    </row>
    <row r="1348" ht="34" customHeight="1">
      <c r="A1348" s="12" t="inlineStr">
        <is>
          <t>R1520-v1</t>
        </is>
      </c>
      <c r="B1348" s="12" t="inlineStr">
        <is>
          <t>Cost &amp; Forecast Control Accounts</t>
        </is>
      </c>
      <c r="C1348" s="12" t="inlineStr">
        <is>
          <t>CST-06-038</t>
        </is>
      </c>
      <c r="D1348" s="12" t="inlineStr">
        <is>
          <t>1.6.2 Program Management - Commercial &amp; Procurement</t>
        </is>
      </c>
      <c r="E1348" s="12" t="inlineStr">
        <is>
          <t>New</t>
        </is>
      </c>
      <c r="F1348" s="12" t="inlineStr"/>
      <c r="G1348" s="12" t="inlineStr">
        <is>
          <t>Source assignment -- not individually reviewed</t>
        </is>
      </c>
      <c r="H1348" s="17" t="inlineStr">
        <is>
          <t>10 EVIDENCE &amp; DECISIONS</t>
        </is>
      </c>
    </row>
    <row r="1349" ht="34" customHeight="1">
      <c r="A1349" s="12" t="inlineStr">
        <is>
          <t>R1522-v1</t>
        </is>
      </c>
      <c r="B1349" s="12" t="inlineStr">
        <is>
          <t>Cost &amp; Forecast Control Accounts</t>
        </is>
      </c>
      <c r="C1349" s="12" t="inlineStr">
        <is>
          <t>CST-06-040</t>
        </is>
      </c>
      <c r="D1349" s="12" t="inlineStr">
        <is>
          <t>1.6.2 Program Management - Commercial &amp; Procurement</t>
        </is>
      </c>
      <c r="E1349" s="12" t="inlineStr">
        <is>
          <t>New</t>
        </is>
      </c>
      <c r="F1349" s="12" t="inlineStr"/>
      <c r="G1349" s="12" t="inlineStr">
        <is>
          <t>Source assignment -- not individually reviewed</t>
        </is>
      </c>
      <c r="H1349" s="17" t="inlineStr">
        <is>
          <t>10 EVIDENCE &amp; DECISIONS</t>
        </is>
      </c>
    </row>
    <row r="1350" ht="34" customHeight="1">
      <c r="A1350" s="12" t="inlineStr">
        <is>
          <t>R1524-v1</t>
        </is>
      </c>
      <c r="B1350" s="12" t="inlineStr">
        <is>
          <t>Cost &amp; Forecast Control Accounts</t>
        </is>
      </c>
      <c r="C1350" s="12" t="inlineStr">
        <is>
          <t>CST-06-042</t>
        </is>
      </c>
      <c r="D1350" s="12" t="inlineStr">
        <is>
          <t>1.6.2 Program Management - Commercial &amp; Procurement</t>
        </is>
      </c>
      <c r="E1350" s="12" t="inlineStr">
        <is>
          <t>New</t>
        </is>
      </c>
      <c r="F1350" s="12" t="inlineStr"/>
      <c r="G1350" s="12" t="inlineStr">
        <is>
          <t>Source assignment -- not individually reviewed</t>
        </is>
      </c>
      <c r="H1350" s="17" t="inlineStr">
        <is>
          <t>10 EVIDENCE &amp; DECISIONS</t>
        </is>
      </c>
    </row>
    <row r="1351" ht="34" customHeight="1">
      <c r="A1351" s="12" t="inlineStr">
        <is>
          <t>R1526-v1</t>
        </is>
      </c>
      <c r="B1351" s="12" t="inlineStr">
        <is>
          <t>Cost &amp; Forecast Control Accounts</t>
        </is>
      </c>
      <c r="C1351" s="12" t="inlineStr">
        <is>
          <t>CST-06-044</t>
        </is>
      </c>
      <c r="D1351" s="12" t="inlineStr">
        <is>
          <t>1.6.2 Program Management - Commercial &amp; Procurement</t>
        </is>
      </c>
      <c r="E1351" s="12" t="inlineStr">
        <is>
          <t>New</t>
        </is>
      </c>
      <c r="F1351" s="12" t="inlineStr"/>
      <c r="G1351" s="12" t="inlineStr">
        <is>
          <t>Source assignment -- not individually reviewed</t>
        </is>
      </c>
      <c r="H1351" s="17" t="inlineStr">
        <is>
          <t>10 EVIDENCE &amp; DECISIONS</t>
        </is>
      </c>
    </row>
    <row r="1352" ht="34" customHeight="1">
      <c r="A1352" s="12" t="inlineStr">
        <is>
          <t>R1528-v1</t>
        </is>
      </c>
      <c r="B1352" s="12" t="inlineStr">
        <is>
          <t>Cost &amp; Forecast Control Accounts</t>
        </is>
      </c>
      <c r="C1352" s="12" t="inlineStr">
        <is>
          <t>CST-06-046</t>
        </is>
      </c>
      <c r="D1352" s="12" t="inlineStr">
        <is>
          <t>1.6.2 Program Management - Commercial &amp; Procurement</t>
        </is>
      </c>
      <c r="E1352" s="12" t="inlineStr">
        <is>
          <t>New</t>
        </is>
      </c>
      <c r="F1352" s="12" t="inlineStr"/>
      <c r="G1352" s="12" t="inlineStr">
        <is>
          <t>Source assignment -- not individually reviewed</t>
        </is>
      </c>
      <c r="H1352" s="17" t="inlineStr">
        <is>
          <t>10 EVIDENCE &amp; DECISIONS</t>
        </is>
      </c>
    </row>
    <row r="1353" ht="34" customHeight="1">
      <c r="A1353" s="12" t="inlineStr">
        <is>
          <t>R1530-v1</t>
        </is>
      </c>
      <c r="B1353" s="12" t="inlineStr">
        <is>
          <t>Cost &amp; Forecast Control Accounts</t>
        </is>
      </c>
      <c r="C1353" s="12" t="inlineStr">
        <is>
          <t>CST-06-048</t>
        </is>
      </c>
      <c r="D1353" s="12" t="inlineStr">
        <is>
          <t>1.6.2 Program Management - Commercial &amp; Procurement</t>
        </is>
      </c>
      <c r="E1353" s="12" t="inlineStr">
        <is>
          <t>New</t>
        </is>
      </c>
      <c r="F1353" s="12" t="inlineStr"/>
      <c r="G1353" s="12" t="inlineStr">
        <is>
          <t>Source assignment -- not individually reviewed</t>
        </is>
      </c>
      <c r="H1353" s="17" t="inlineStr">
        <is>
          <t>10 EVIDENCE &amp; DECISIONS</t>
        </is>
      </c>
    </row>
    <row r="1354" ht="34" customHeight="1">
      <c r="A1354" s="12" t="inlineStr">
        <is>
          <t>R1532-v1</t>
        </is>
      </c>
      <c r="B1354" s="12" t="inlineStr">
        <is>
          <t>Cost &amp; Forecast Control Accounts</t>
        </is>
      </c>
      <c r="C1354" s="12" t="inlineStr">
        <is>
          <t>CST-06-050</t>
        </is>
      </c>
      <c r="D1354" s="12" t="inlineStr">
        <is>
          <t>1.6.2 Program Management - Commercial &amp; Procurement</t>
        </is>
      </c>
      <c r="E1354" s="12" t="inlineStr">
        <is>
          <t>New</t>
        </is>
      </c>
      <c r="F1354" s="12" t="inlineStr"/>
      <c r="G1354" s="12" t="inlineStr">
        <is>
          <t>Source assignment -- not individually reviewed</t>
        </is>
      </c>
      <c r="H1354" s="17" t="inlineStr">
        <is>
          <t>10 EVIDENCE &amp; DECISIONS</t>
        </is>
      </c>
    </row>
    <row r="1355" ht="34" customHeight="1">
      <c r="A1355" s="12" t="inlineStr">
        <is>
          <t>R1534-v1</t>
        </is>
      </c>
      <c r="B1355" s="12" t="inlineStr">
        <is>
          <t>Cost &amp; Forecast Control Accounts</t>
        </is>
      </c>
      <c r="C1355" s="12" t="inlineStr">
        <is>
          <t>CST-06-052</t>
        </is>
      </c>
      <c r="D1355" s="12" t="inlineStr">
        <is>
          <t>1.6.2 Program Management - Commercial &amp; Procurement</t>
        </is>
      </c>
      <c r="E1355" s="12" t="inlineStr">
        <is>
          <t>New</t>
        </is>
      </c>
      <c r="F1355" s="12" t="inlineStr"/>
      <c r="G1355" s="12" t="inlineStr">
        <is>
          <t>Source assignment -- not individually reviewed</t>
        </is>
      </c>
      <c r="H1355" s="17" t="inlineStr">
        <is>
          <t>10 EVIDENCE &amp; DECISIONS</t>
        </is>
      </c>
    </row>
    <row r="1356" ht="34" customHeight="1">
      <c r="A1356" s="12" t="inlineStr">
        <is>
          <t>R1536-v1</t>
        </is>
      </c>
      <c r="B1356" s="12" t="inlineStr">
        <is>
          <t>Cost &amp; Forecast Control Accounts</t>
        </is>
      </c>
      <c r="C1356" s="12" t="inlineStr">
        <is>
          <t>CST-06-054</t>
        </is>
      </c>
      <c r="D1356" s="12" t="inlineStr">
        <is>
          <t>1.6.2 Program Management - Commercial &amp; Procurement</t>
        </is>
      </c>
      <c r="E1356" s="12" t="inlineStr">
        <is>
          <t>New</t>
        </is>
      </c>
      <c r="F1356" s="12" t="inlineStr"/>
      <c r="G1356" s="12" t="inlineStr">
        <is>
          <t>Source assignment -- not individually reviewed</t>
        </is>
      </c>
      <c r="H1356" s="17" t="inlineStr">
        <is>
          <t>10 EVIDENCE &amp; DECISIONS</t>
        </is>
      </c>
    </row>
    <row r="1357" ht="34" customHeight="1">
      <c r="A1357" s="12" t="inlineStr">
        <is>
          <t>R1538-v1</t>
        </is>
      </c>
      <c r="B1357" s="12" t="inlineStr">
        <is>
          <t>Cost &amp; Forecast Control Accounts</t>
        </is>
      </c>
      <c r="C1357" s="12" t="inlineStr">
        <is>
          <t>CST-06-056</t>
        </is>
      </c>
      <c r="D1357" s="12" t="inlineStr">
        <is>
          <t>1.6.2 Program Management - Commercial &amp; Procurement</t>
        </is>
      </c>
      <c r="E1357" s="12" t="inlineStr">
        <is>
          <t>New</t>
        </is>
      </c>
      <c r="F1357" s="12" t="inlineStr"/>
      <c r="G1357" s="12" t="inlineStr">
        <is>
          <t>Source assignment -- not individually reviewed</t>
        </is>
      </c>
      <c r="H1357" s="17" t="inlineStr">
        <is>
          <t>10 EVIDENCE &amp; DECISIONS</t>
        </is>
      </c>
    </row>
    <row r="1358" ht="34" customHeight="1">
      <c r="A1358" s="12" t="inlineStr">
        <is>
          <t>R1540-v1</t>
        </is>
      </c>
      <c r="B1358" s="12" t="inlineStr">
        <is>
          <t>Cost &amp; Forecast Control Accounts</t>
        </is>
      </c>
      <c r="C1358" s="12" t="inlineStr">
        <is>
          <t>CST-06-058</t>
        </is>
      </c>
      <c r="D1358" s="12" t="inlineStr">
        <is>
          <t>1.6.2 Program Management - Commercial &amp; Procurement</t>
        </is>
      </c>
      <c r="E1358" s="12" t="inlineStr">
        <is>
          <t>New</t>
        </is>
      </c>
      <c r="F1358" s="12" t="inlineStr"/>
      <c r="G1358" s="12" t="inlineStr">
        <is>
          <t>Source assignment -- not individually reviewed</t>
        </is>
      </c>
      <c r="H1358" s="17" t="inlineStr">
        <is>
          <t>10 EVIDENCE &amp; DECISIONS</t>
        </is>
      </c>
    </row>
    <row r="1359" ht="34" customHeight="1">
      <c r="A1359" s="12" t="inlineStr">
        <is>
          <t>R1542-v1</t>
        </is>
      </c>
      <c r="B1359" s="12" t="inlineStr">
        <is>
          <t>Cost &amp; Forecast Control Accounts</t>
        </is>
      </c>
      <c r="C1359" s="12" t="inlineStr">
        <is>
          <t>CST-06-060</t>
        </is>
      </c>
      <c r="D1359" s="12" t="inlineStr">
        <is>
          <t>1.6.2 Program Management - Commercial &amp; Procurement</t>
        </is>
      </c>
      <c r="E1359" s="12" t="inlineStr">
        <is>
          <t>New</t>
        </is>
      </c>
      <c r="F1359" s="12" t="inlineStr"/>
      <c r="G1359" s="12" t="inlineStr">
        <is>
          <t>Source assignment -- not individually reviewed</t>
        </is>
      </c>
      <c r="H1359" s="17" t="inlineStr">
        <is>
          <t>10 EVIDENCE &amp; DECISIONS</t>
        </is>
      </c>
    </row>
    <row r="1360" ht="34" customHeight="1">
      <c r="A1360" s="12" t="inlineStr">
        <is>
          <t>R1544-v1</t>
        </is>
      </c>
      <c r="B1360" s="12" t="inlineStr">
        <is>
          <t>Cost &amp; Forecast Control Accounts</t>
        </is>
      </c>
      <c r="C1360" s="12" t="inlineStr">
        <is>
          <t>CST-06-062</t>
        </is>
      </c>
      <c r="D1360" s="12" t="inlineStr">
        <is>
          <t>1.6.2 Program Management - Commercial &amp; Procurement</t>
        </is>
      </c>
      <c r="E1360" s="12" t="inlineStr">
        <is>
          <t>New</t>
        </is>
      </c>
      <c r="F1360" s="12" t="inlineStr"/>
      <c r="G1360" s="12" t="inlineStr">
        <is>
          <t>Source assignment -- not individually reviewed</t>
        </is>
      </c>
      <c r="H1360" s="17" t="inlineStr">
        <is>
          <t>10 EVIDENCE &amp; DECISIONS</t>
        </is>
      </c>
    </row>
    <row r="1361" ht="34" customHeight="1">
      <c r="A1361" s="12" t="inlineStr">
        <is>
          <t>R1546-v1</t>
        </is>
      </c>
      <c r="B1361" s="12" t="inlineStr">
        <is>
          <t>Cost &amp; Forecast Control Accounts</t>
        </is>
      </c>
      <c r="C1361" s="12" t="inlineStr">
        <is>
          <t>CST-06-064</t>
        </is>
      </c>
      <c r="D1361" s="12" t="inlineStr">
        <is>
          <t>1.6.2 Program Management - Commercial &amp; Procurement</t>
        </is>
      </c>
      <c r="E1361" s="12" t="inlineStr">
        <is>
          <t>New</t>
        </is>
      </c>
      <c r="F1361" s="12" t="inlineStr"/>
      <c r="G1361" s="12" t="inlineStr">
        <is>
          <t>Source assignment -- not individually reviewed</t>
        </is>
      </c>
      <c r="H1361" s="17" t="inlineStr">
        <is>
          <t>10 EVIDENCE &amp; DECISIONS</t>
        </is>
      </c>
    </row>
    <row r="1362" ht="34" customHeight="1">
      <c r="A1362" s="12" t="inlineStr">
        <is>
          <t>R1548-v1</t>
        </is>
      </c>
      <c r="B1362" s="12" t="inlineStr">
        <is>
          <t>Cost &amp; Forecast Control Accounts</t>
        </is>
      </c>
      <c r="C1362" s="12" t="inlineStr">
        <is>
          <t>CST-06-066</t>
        </is>
      </c>
      <c r="D1362" s="12" t="inlineStr">
        <is>
          <t>1.6.2 Program Management - Commercial &amp; Procurement</t>
        </is>
      </c>
      <c r="E1362" s="12" t="inlineStr">
        <is>
          <t>New</t>
        </is>
      </c>
      <c r="F1362" s="12" t="inlineStr"/>
      <c r="G1362" s="12" t="inlineStr">
        <is>
          <t>Source assignment -- not individually reviewed</t>
        </is>
      </c>
      <c r="H1362" s="17" t="inlineStr">
        <is>
          <t>10 EVIDENCE &amp; DECISIONS</t>
        </is>
      </c>
    </row>
    <row r="1363" ht="34" customHeight="1">
      <c r="A1363" s="12" t="inlineStr">
        <is>
          <t>R1550-v1</t>
        </is>
      </c>
      <c r="B1363" s="12" t="inlineStr">
        <is>
          <t>Cost &amp; Forecast Control Accounts</t>
        </is>
      </c>
      <c r="C1363" s="12" t="inlineStr">
        <is>
          <t>CST-06-068</t>
        </is>
      </c>
      <c r="D1363" s="12" t="inlineStr">
        <is>
          <t>1.6.2 Program Management - Commercial &amp; Procurement</t>
        </is>
      </c>
      <c r="E1363" s="12" t="inlineStr">
        <is>
          <t>New</t>
        </is>
      </c>
      <c r="F1363" s="12" t="inlineStr"/>
      <c r="G1363" s="12" t="inlineStr">
        <is>
          <t>Source assignment -- not individually reviewed</t>
        </is>
      </c>
      <c r="H1363" s="17" t="inlineStr">
        <is>
          <t>10 EVIDENCE &amp; DECISIONS</t>
        </is>
      </c>
    </row>
    <row r="1364" ht="34" customHeight="1">
      <c r="A1364" s="12" t="inlineStr">
        <is>
          <t>R1552-v1</t>
        </is>
      </c>
      <c r="B1364" s="12" t="inlineStr">
        <is>
          <t>Cost &amp; Forecast Control Accounts</t>
        </is>
      </c>
      <c r="C1364" s="12" t="inlineStr">
        <is>
          <t>CST-06-070</t>
        </is>
      </c>
      <c r="D1364" s="12" t="inlineStr">
        <is>
          <t>1.6.2 Program Management - Commercial &amp; Procurement</t>
        </is>
      </c>
      <c r="E1364" s="12" t="inlineStr">
        <is>
          <t>New</t>
        </is>
      </c>
      <c r="F1364" s="12" t="inlineStr"/>
      <c r="G1364" s="12" t="inlineStr">
        <is>
          <t>Source assignment -- not individually reviewed</t>
        </is>
      </c>
      <c r="H1364" s="17" t="inlineStr">
        <is>
          <t>10 EVIDENCE &amp; DECISIONS</t>
        </is>
      </c>
    </row>
    <row r="1365" ht="34" customHeight="1">
      <c r="A1365" s="12" t="inlineStr">
        <is>
          <t>R1554-v1</t>
        </is>
      </c>
      <c r="B1365" s="12" t="inlineStr">
        <is>
          <t>Cost &amp; Forecast Control Accounts</t>
        </is>
      </c>
      <c r="C1365" s="12" t="inlineStr">
        <is>
          <t>CST-06-072</t>
        </is>
      </c>
      <c r="D1365" s="12" t="inlineStr">
        <is>
          <t>1.6.2 Program Management - Commercial &amp; Procurement</t>
        </is>
      </c>
      <c r="E1365" s="12" t="inlineStr">
        <is>
          <t>New</t>
        </is>
      </c>
      <c r="F1365" s="12" t="inlineStr"/>
      <c r="G1365" s="12" t="inlineStr">
        <is>
          <t>Source assignment -- not individually reviewed</t>
        </is>
      </c>
      <c r="H1365" s="17" t="inlineStr">
        <is>
          <t>10 EVIDENCE &amp; DECISIONS</t>
        </is>
      </c>
    </row>
    <row r="1366" ht="34" customHeight="1">
      <c r="A1366" s="12" t="inlineStr">
        <is>
          <t>R1556-v1</t>
        </is>
      </c>
      <c r="B1366" s="12" t="inlineStr">
        <is>
          <t>Cost &amp; Forecast Control Accounts</t>
        </is>
      </c>
      <c r="C1366" s="12" t="inlineStr">
        <is>
          <t>CST-06-074</t>
        </is>
      </c>
      <c r="D1366" s="12" t="inlineStr">
        <is>
          <t>1.6.2 Program Management - Commercial &amp; Procurement</t>
        </is>
      </c>
      <c r="E1366" s="12" t="inlineStr">
        <is>
          <t>New</t>
        </is>
      </c>
      <c r="F1366" s="12" t="inlineStr"/>
      <c r="G1366" s="12" t="inlineStr">
        <is>
          <t>Source assignment -- not individually reviewed</t>
        </is>
      </c>
      <c r="H1366" s="17" t="inlineStr">
        <is>
          <t>10 EVIDENCE &amp; DECISIONS</t>
        </is>
      </c>
    </row>
    <row r="1367" ht="34" customHeight="1">
      <c r="A1367" s="12" t="inlineStr">
        <is>
          <t>R1558-v1</t>
        </is>
      </c>
      <c r="B1367" s="12" t="inlineStr">
        <is>
          <t>Cost &amp; Forecast Control Accounts</t>
        </is>
      </c>
      <c r="C1367" s="12" t="inlineStr">
        <is>
          <t>CST-06-076</t>
        </is>
      </c>
      <c r="D1367" s="12" t="inlineStr">
        <is>
          <t>1.6.2 Program Management - Commercial &amp; Procurement</t>
        </is>
      </c>
      <c r="E1367" s="12" t="inlineStr">
        <is>
          <t>New</t>
        </is>
      </c>
      <c r="F1367" s="12" t="inlineStr"/>
      <c r="G1367" s="12" t="inlineStr">
        <is>
          <t>Source assignment -- not individually reviewed</t>
        </is>
      </c>
      <c r="H1367" s="17" t="inlineStr">
        <is>
          <t>10 EVIDENCE &amp; DECISIONS</t>
        </is>
      </c>
    </row>
    <row r="1368" ht="34" customHeight="1">
      <c r="A1368" s="12" t="inlineStr">
        <is>
          <t>R1560-v1</t>
        </is>
      </c>
      <c r="B1368" s="12" t="inlineStr">
        <is>
          <t>Cost &amp; Forecast Control Accounts</t>
        </is>
      </c>
      <c r="C1368" s="12" t="inlineStr">
        <is>
          <t>CST-06-078</t>
        </is>
      </c>
      <c r="D1368" s="12" t="inlineStr">
        <is>
          <t>1.6.2 Program Management - Commercial &amp; Procurement</t>
        </is>
      </c>
      <c r="E1368" s="12" t="inlineStr">
        <is>
          <t>New</t>
        </is>
      </c>
      <c r="F1368" s="12" t="inlineStr"/>
      <c r="G1368" s="12" t="inlineStr">
        <is>
          <t>Source assignment -- not individually reviewed</t>
        </is>
      </c>
      <c r="H1368" s="17" t="inlineStr">
        <is>
          <t>10 EVIDENCE &amp; DECISIONS</t>
        </is>
      </c>
    </row>
    <row r="1369" ht="34" customHeight="1">
      <c r="A1369" s="12" t="inlineStr">
        <is>
          <t>R1562-v1</t>
        </is>
      </c>
      <c r="B1369" s="12" t="inlineStr">
        <is>
          <t>Cost &amp; Forecast Control Accounts</t>
        </is>
      </c>
      <c r="C1369" s="12" t="inlineStr">
        <is>
          <t>CST-06-080</t>
        </is>
      </c>
      <c r="D1369" s="12" t="inlineStr">
        <is>
          <t>1.6.2 Program Management - Commercial &amp; Procurement</t>
        </is>
      </c>
      <c r="E1369" s="12" t="inlineStr">
        <is>
          <t>New</t>
        </is>
      </c>
      <c r="F1369" s="12" t="inlineStr"/>
      <c r="G1369" s="12" t="inlineStr">
        <is>
          <t>Source assignment -- not individually reviewed</t>
        </is>
      </c>
      <c r="H1369" s="17" t="inlineStr">
        <is>
          <t>10 EVIDENCE &amp; DECISIONS</t>
        </is>
      </c>
    </row>
    <row r="1370" ht="34" customHeight="1">
      <c r="A1370" s="12" t="inlineStr">
        <is>
          <t>R1081-v2</t>
        </is>
      </c>
      <c r="B1370" s="12" t="inlineStr">
        <is>
          <t>Contractor Programme</t>
        </is>
      </c>
      <c r="C1370" s="12" t="inlineStr">
        <is>
          <t>SCH-90-901</t>
        </is>
      </c>
      <c r="D1370" s="12" t="inlineStr">
        <is>
          <t>NEW_SCOPE</t>
        </is>
      </c>
      <c r="E1370" s="12" t="inlineStr">
        <is>
          <t>New</t>
        </is>
      </c>
      <c r="F1370" s="12" t="inlineStr"/>
      <c r="G1370" s="12" t="inlineStr">
        <is>
          <t>Maya Chen, Owner Project Controls</t>
        </is>
      </c>
      <c r="H1370" s="17" t="inlineStr">
        <is>
          <t>10 EVIDENCE &amp; DECISIONS</t>
        </is>
      </c>
    </row>
    <row r="1371" ht="34" customHeight="1">
      <c r="A1371" s="12" t="inlineStr">
        <is>
          <t>R1082-v2</t>
        </is>
      </c>
      <c r="B1371" s="12" t="inlineStr">
        <is>
          <t>Contractor Programme</t>
        </is>
      </c>
      <c r="C1371" s="12" t="inlineStr">
        <is>
          <t>SCH-90-902</t>
        </is>
      </c>
      <c r="D1371" s="12" t="inlineStr">
        <is>
          <t>NO_WBS</t>
        </is>
      </c>
      <c r="E1371" s="12" t="inlineStr">
        <is>
          <t>New</t>
        </is>
      </c>
      <c r="F1371" s="12" t="inlineStr"/>
      <c r="G1371" s="12" t="inlineStr">
        <is>
          <t>Maya Chen, Owner Project Controls</t>
        </is>
      </c>
      <c r="H1371" s="17" t="inlineStr">
        <is>
          <t>10 EVIDENCE &amp; DECISIONS</t>
        </is>
      </c>
    </row>
    <row r="1372" ht="34" customHeight="1">
      <c r="A1372" s="12" t="inlineStr">
        <is>
          <t>R1000-v2</t>
        </is>
      </c>
      <c r="B1372" s="12" t="inlineStr">
        <is>
          <t>Contractor Programme</t>
        </is>
      </c>
      <c r="C1372" s="12" t="inlineStr">
        <is>
          <t>SCH-06-100</t>
        </is>
      </c>
      <c r="D1372" s="12" t="inlineStr">
        <is>
          <t>UNSURE</t>
        </is>
      </c>
      <c r="E1372" s="12" t="inlineStr">
        <is>
          <t>New</t>
        </is>
      </c>
      <c r="F1372" s="12" t="inlineStr"/>
      <c r="G1372" s="12" t="inlineStr">
        <is>
          <t>Maya Chen, Owner Project Controls</t>
        </is>
      </c>
      <c r="H1372" s="17" t="inlineStr">
        <is>
          <t>10 EVIDENCE &amp; DECISIONS</t>
        </is>
      </c>
    </row>
    <row r="1373" ht="34" customHeight="1">
      <c r="A1373" s="12" t="inlineStr">
        <is>
          <t>R1001-v2</t>
        </is>
      </c>
      <c r="B1373" s="12" t="inlineStr">
        <is>
          <t>Contractor Programme</t>
        </is>
      </c>
      <c r="C1373" s="12" t="inlineStr">
        <is>
          <t>SCH-06-101</t>
        </is>
      </c>
      <c r="D1373" s="12" t="inlineStr">
        <is>
          <t>UNSURE</t>
        </is>
      </c>
      <c r="E1373" s="12" t="inlineStr">
        <is>
          <t>New</t>
        </is>
      </c>
      <c r="F1373" s="12" t="inlineStr"/>
      <c r="G1373" s="12" t="inlineStr">
        <is>
          <t>Maya Chen, Owner Project Controls</t>
        </is>
      </c>
      <c r="H1373" s="17" t="inlineStr">
        <is>
          <t>10 EVIDENCE &amp; DECISIONS</t>
        </is>
      </c>
    </row>
    <row r="1374" ht="34" customHeight="1">
      <c r="A1374" s="12" t="inlineStr">
        <is>
          <t>R1002-v2</t>
        </is>
      </c>
      <c r="B1374" s="12" t="inlineStr">
        <is>
          <t>Contractor Programme</t>
        </is>
      </c>
      <c r="C1374" s="12" t="inlineStr">
        <is>
          <t>SCH-06-102</t>
        </is>
      </c>
      <c r="D1374" s="12" t="inlineStr">
        <is>
          <t>UNSURE</t>
        </is>
      </c>
      <c r="E1374" s="12" t="inlineStr">
        <is>
          <t>New</t>
        </is>
      </c>
      <c r="F1374" s="12" t="inlineStr"/>
      <c r="G1374" s="12" t="inlineStr">
        <is>
          <t>Maya Chen, Owner Project Controls</t>
        </is>
      </c>
      <c r="H1374" s="17" t="inlineStr">
        <is>
          <t>10 EVIDENCE &amp; DECISIONS</t>
        </is>
      </c>
    </row>
    <row r="1375" ht="34" customHeight="1">
      <c r="A1375" s="12" t="inlineStr">
        <is>
          <t>R1003-v2</t>
        </is>
      </c>
      <c r="B1375" s="12" t="inlineStr">
        <is>
          <t>Contractor Programme</t>
        </is>
      </c>
      <c r="C1375" s="12" t="inlineStr">
        <is>
          <t>SCH-06-103</t>
        </is>
      </c>
      <c r="D1375" s="12" t="inlineStr">
        <is>
          <t>UNSURE</t>
        </is>
      </c>
      <c r="E1375" s="12" t="inlineStr">
        <is>
          <t>New</t>
        </is>
      </c>
      <c r="F1375" s="12" t="inlineStr"/>
      <c r="G1375" s="12" t="inlineStr">
        <is>
          <t>Maya Chen, Owner Project Controls</t>
        </is>
      </c>
      <c r="H1375" s="17" t="inlineStr">
        <is>
          <t>10 EVIDENCE &amp; DECISIONS</t>
        </is>
      </c>
    </row>
    <row r="1376" ht="34" customHeight="1">
      <c r="A1376" s="12" t="inlineStr">
        <is>
          <t>R1004-v2</t>
        </is>
      </c>
      <c r="B1376" s="12" t="inlineStr">
        <is>
          <t>Contractor Programme</t>
        </is>
      </c>
      <c r="C1376" s="12" t="inlineStr">
        <is>
          <t>SCH-06-104</t>
        </is>
      </c>
      <c r="D1376" s="12" t="inlineStr">
        <is>
          <t>UNSURE</t>
        </is>
      </c>
      <c r="E1376" s="12" t="inlineStr">
        <is>
          <t>New</t>
        </is>
      </c>
      <c r="F1376" s="12" t="inlineStr"/>
      <c r="G1376" s="12" t="inlineStr">
        <is>
          <t>Maya Chen, Owner Project Controls</t>
        </is>
      </c>
      <c r="H1376" s="17" t="inlineStr">
        <is>
          <t>10 EVIDENCE &amp; DECISIONS</t>
        </is>
      </c>
    </row>
    <row r="1377" ht="34" customHeight="1">
      <c r="A1377" s="12" t="inlineStr">
        <is>
          <t>R1005-v2</t>
        </is>
      </c>
      <c r="B1377" s="12" t="inlineStr">
        <is>
          <t>Contractor Programme</t>
        </is>
      </c>
      <c r="C1377" s="12" t="inlineStr">
        <is>
          <t>SCH-06-105</t>
        </is>
      </c>
      <c r="D1377" s="12" t="inlineStr">
        <is>
          <t>UNSURE</t>
        </is>
      </c>
      <c r="E1377" s="12" t="inlineStr">
        <is>
          <t>New</t>
        </is>
      </c>
      <c r="F1377" s="12" t="inlineStr"/>
      <c r="G1377" s="12" t="inlineStr">
        <is>
          <t>Maya Chen, Owner Project Controls</t>
        </is>
      </c>
      <c r="H1377" s="17" t="inlineStr">
        <is>
          <t>10 EVIDENCE &amp; DECISIONS</t>
        </is>
      </c>
    </row>
    <row r="1378" ht="34" customHeight="1">
      <c r="A1378" s="12" t="inlineStr">
        <is>
          <t>R1006-v2</t>
        </is>
      </c>
      <c r="B1378" s="12" t="inlineStr">
        <is>
          <t>Contractor Programme</t>
        </is>
      </c>
      <c r="C1378" s="12" t="inlineStr">
        <is>
          <t>SCH-06-106</t>
        </is>
      </c>
      <c r="D1378" s="12" t="inlineStr">
        <is>
          <t>UNSURE</t>
        </is>
      </c>
      <c r="E1378" s="12" t="inlineStr">
        <is>
          <t>New</t>
        </is>
      </c>
      <c r="F1378" s="12" t="inlineStr"/>
      <c r="G1378" s="12" t="inlineStr">
        <is>
          <t>Maya Chen, Owner Project Controls</t>
        </is>
      </c>
      <c r="H1378" s="17" t="inlineStr">
        <is>
          <t>10 EVIDENCE &amp; DECISIONS</t>
        </is>
      </c>
    </row>
    <row r="1379" ht="34" customHeight="1">
      <c r="A1379" s="12" t="inlineStr">
        <is>
          <t>R1007-v2</t>
        </is>
      </c>
      <c r="B1379" s="12" t="inlineStr">
        <is>
          <t>Contractor Programme</t>
        </is>
      </c>
      <c r="C1379" s="12" t="inlineStr">
        <is>
          <t>SCH-06-107</t>
        </is>
      </c>
      <c r="D1379" s="12" t="inlineStr">
        <is>
          <t>UNSURE</t>
        </is>
      </c>
      <c r="E1379" s="12" t="inlineStr">
        <is>
          <t>New</t>
        </is>
      </c>
      <c r="F1379" s="12" t="inlineStr"/>
      <c r="G1379" s="12" t="inlineStr">
        <is>
          <t>Maya Chen, Owner Project Controls</t>
        </is>
      </c>
      <c r="H1379" s="17" t="inlineStr">
        <is>
          <t>10 EVIDENCE &amp; DECISIONS</t>
        </is>
      </c>
    </row>
    <row r="1380" ht="34" customHeight="1">
      <c r="A1380" s="12" t="inlineStr">
        <is>
          <t>R1008-v2</t>
        </is>
      </c>
      <c r="B1380" s="12" t="inlineStr">
        <is>
          <t>Contractor Programme</t>
        </is>
      </c>
      <c r="C1380" s="12" t="inlineStr">
        <is>
          <t>SCH-06-108</t>
        </is>
      </c>
      <c r="D1380" s="12" t="inlineStr">
        <is>
          <t>UNSURE</t>
        </is>
      </c>
      <c r="E1380" s="12" t="inlineStr">
        <is>
          <t>New</t>
        </is>
      </c>
      <c r="F1380" s="12" t="inlineStr"/>
      <c r="G1380" s="12" t="inlineStr">
        <is>
          <t>Maya Chen, Owner Project Controls</t>
        </is>
      </c>
      <c r="H1380" s="17" t="inlineStr">
        <is>
          <t>10 EVIDENCE &amp; DECISIONS</t>
        </is>
      </c>
    </row>
    <row r="1381" ht="34" customHeight="1">
      <c r="A1381" s="12" t="inlineStr">
        <is>
          <t>R1009-v2</t>
        </is>
      </c>
      <c r="B1381" s="12" t="inlineStr">
        <is>
          <t>Contractor Programme</t>
        </is>
      </c>
      <c r="C1381" s="12" t="inlineStr">
        <is>
          <t>SCH-06-109</t>
        </is>
      </c>
      <c r="D1381" s="12" t="inlineStr">
        <is>
          <t>UNSURE</t>
        </is>
      </c>
      <c r="E1381" s="12" t="inlineStr">
        <is>
          <t>New</t>
        </is>
      </c>
      <c r="F1381" s="12" t="inlineStr"/>
      <c r="G1381" s="12" t="inlineStr">
        <is>
          <t>Maya Chen, Owner Project Controls</t>
        </is>
      </c>
      <c r="H1381" s="17" t="inlineStr">
        <is>
          <t>10 EVIDENCE &amp; DECISIONS</t>
        </is>
      </c>
    </row>
    <row r="1382" ht="34" customHeight="1">
      <c r="A1382" s="12" t="inlineStr">
        <is>
          <t>R1010-v2</t>
        </is>
      </c>
      <c r="B1382" s="12" t="inlineStr">
        <is>
          <t>Contractor Programme</t>
        </is>
      </c>
      <c r="C1382" s="12" t="inlineStr">
        <is>
          <t>SCH-06-110</t>
        </is>
      </c>
      <c r="D1382" s="12" t="inlineStr">
        <is>
          <t>UNSURE</t>
        </is>
      </c>
      <c r="E1382" s="12" t="inlineStr">
        <is>
          <t>New</t>
        </is>
      </c>
      <c r="F1382" s="12" t="inlineStr"/>
      <c r="G1382" s="12" t="inlineStr">
        <is>
          <t>Maya Chen, Owner Project Controls</t>
        </is>
      </c>
      <c r="H1382" s="17" t="inlineStr">
        <is>
          <t>10 EVIDENCE &amp; DECISIONS</t>
        </is>
      </c>
    </row>
    <row r="1383" ht="34" customHeight="1">
      <c r="A1383" s="12" t="inlineStr">
        <is>
          <t>R1011-v2</t>
        </is>
      </c>
      <c r="B1383" s="12" t="inlineStr">
        <is>
          <t>Contractor Programme</t>
        </is>
      </c>
      <c r="C1383" s="12" t="inlineStr">
        <is>
          <t>SCH-06-111</t>
        </is>
      </c>
      <c r="D1383" s="12" t="inlineStr">
        <is>
          <t>UNSURE</t>
        </is>
      </c>
      <c r="E1383" s="12" t="inlineStr">
        <is>
          <t>New</t>
        </is>
      </c>
      <c r="F1383" s="12" t="inlineStr"/>
      <c r="G1383" s="12" t="inlineStr">
        <is>
          <t>Maya Chen, Owner Project Controls</t>
        </is>
      </c>
      <c r="H1383" s="17" t="inlineStr">
        <is>
          <t>10 EVIDENCE &amp; DECISIONS</t>
        </is>
      </c>
    </row>
    <row r="1384" ht="34" customHeight="1">
      <c r="A1384" s="12" t="inlineStr">
        <is>
          <t>R1012-v2</t>
        </is>
      </c>
      <c r="B1384" s="12" t="inlineStr">
        <is>
          <t>Contractor Programme</t>
        </is>
      </c>
      <c r="C1384" s="12" t="inlineStr">
        <is>
          <t>SCH-06-112</t>
        </is>
      </c>
      <c r="D1384" s="12" t="inlineStr">
        <is>
          <t>UNSURE</t>
        </is>
      </c>
      <c r="E1384" s="12" t="inlineStr">
        <is>
          <t>New</t>
        </is>
      </c>
      <c r="F1384" s="12" t="inlineStr"/>
      <c r="G1384" s="12" t="inlineStr">
        <is>
          <t>Maya Chen, Owner Project Controls</t>
        </is>
      </c>
      <c r="H1384" s="17" t="inlineStr">
        <is>
          <t>10 EVIDENCE &amp; DECISIONS</t>
        </is>
      </c>
    </row>
    <row r="1385" ht="34" customHeight="1">
      <c r="A1385" s="12" t="inlineStr">
        <is>
          <t>R1013-v2</t>
        </is>
      </c>
      <c r="B1385" s="12" t="inlineStr">
        <is>
          <t>Contractor Programme</t>
        </is>
      </c>
      <c r="C1385" s="12" t="inlineStr">
        <is>
          <t>SCH-06-113</t>
        </is>
      </c>
      <c r="D1385" s="12" t="inlineStr">
        <is>
          <t>UNSURE</t>
        </is>
      </c>
      <c r="E1385" s="12" t="inlineStr">
        <is>
          <t>New</t>
        </is>
      </c>
      <c r="F1385" s="12" t="inlineStr"/>
      <c r="G1385" s="12" t="inlineStr">
        <is>
          <t>Maya Chen, Owner Project Controls</t>
        </is>
      </c>
      <c r="H1385" s="17" t="inlineStr">
        <is>
          <t>10 EVIDENCE &amp; DECISIONS</t>
        </is>
      </c>
    </row>
    <row r="1386" ht="34" customHeight="1">
      <c r="A1386" s="12" t="inlineStr">
        <is>
          <t>R1014-v2</t>
        </is>
      </c>
      <c r="B1386" s="12" t="inlineStr">
        <is>
          <t>Contractor Programme</t>
        </is>
      </c>
      <c r="C1386" s="12" t="inlineStr">
        <is>
          <t>SCH-06-114</t>
        </is>
      </c>
      <c r="D1386" s="12" t="inlineStr">
        <is>
          <t>UNSURE</t>
        </is>
      </c>
      <c r="E1386" s="12" t="inlineStr">
        <is>
          <t>New</t>
        </is>
      </c>
      <c r="F1386" s="12" t="inlineStr"/>
      <c r="G1386" s="12" t="inlineStr">
        <is>
          <t>Maya Chen, Owner Project Controls</t>
        </is>
      </c>
      <c r="H1386" s="17" t="inlineStr">
        <is>
          <t>10 EVIDENCE &amp; DECISIONS</t>
        </is>
      </c>
    </row>
    <row r="1387" ht="34" customHeight="1">
      <c r="A1387" s="12" t="inlineStr">
        <is>
          <t>R1015-v2</t>
        </is>
      </c>
      <c r="B1387" s="12" t="inlineStr">
        <is>
          <t>Contractor Programme</t>
        </is>
      </c>
      <c r="C1387" s="12" t="inlineStr">
        <is>
          <t>SCH-06-115</t>
        </is>
      </c>
      <c r="D1387" s="12" t="inlineStr">
        <is>
          <t>UNSURE</t>
        </is>
      </c>
      <c r="E1387" s="12" t="inlineStr">
        <is>
          <t>New</t>
        </is>
      </c>
      <c r="F1387" s="12" t="inlineStr"/>
      <c r="G1387" s="12" t="inlineStr">
        <is>
          <t>Maya Chen, Owner Project Controls</t>
        </is>
      </c>
      <c r="H1387" s="17" t="inlineStr">
        <is>
          <t>10 EVIDENCE &amp; DECISIONS</t>
        </is>
      </c>
    </row>
    <row r="1388" ht="34" customHeight="1">
      <c r="A1388" s="12" t="inlineStr">
        <is>
          <t>R1016-v2</t>
        </is>
      </c>
      <c r="B1388" s="12" t="inlineStr">
        <is>
          <t>Contractor Programme</t>
        </is>
      </c>
      <c r="C1388" s="12" t="inlineStr">
        <is>
          <t>SCH-06-116</t>
        </is>
      </c>
      <c r="D1388" s="12" t="inlineStr">
        <is>
          <t>UNSURE</t>
        </is>
      </c>
      <c r="E1388" s="12" t="inlineStr">
        <is>
          <t>New</t>
        </is>
      </c>
      <c r="F1388" s="12" t="inlineStr"/>
      <c r="G1388" s="12" t="inlineStr">
        <is>
          <t>Maya Chen, Owner Project Controls</t>
        </is>
      </c>
      <c r="H1388" s="17" t="inlineStr">
        <is>
          <t>10 EVIDENCE &amp; DECISIONS</t>
        </is>
      </c>
    </row>
    <row r="1389" ht="34" customHeight="1">
      <c r="A1389" s="12" t="inlineStr">
        <is>
          <t>R1017-v2</t>
        </is>
      </c>
      <c r="B1389" s="12" t="inlineStr">
        <is>
          <t>Contractor Programme</t>
        </is>
      </c>
      <c r="C1389" s="12" t="inlineStr">
        <is>
          <t>SCH-06-117</t>
        </is>
      </c>
      <c r="D1389" s="12" t="inlineStr">
        <is>
          <t>UNSURE</t>
        </is>
      </c>
      <c r="E1389" s="12" t="inlineStr">
        <is>
          <t>New</t>
        </is>
      </c>
      <c r="F1389" s="12" t="inlineStr"/>
      <c r="G1389" s="12" t="inlineStr">
        <is>
          <t>Maya Chen, Owner Project Controls</t>
        </is>
      </c>
      <c r="H1389" s="17" t="inlineStr">
        <is>
          <t>10 EVIDENCE &amp; DECISIONS</t>
        </is>
      </c>
    </row>
    <row r="1390" ht="34" customHeight="1">
      <c r="A1390" s="12" t="inlineStr">
        <is>
          <t>R1018-v2</t>
        </is>
      </c>
      <c r="B1390" s="12" t="inlineStr">
        <is>
          <t>Contractor Programme</t>
        </is>
      </c>
      <c r="C1390" s="12" t="inlineStr">
        <is>
          <t>SCH-06-118</t>
        </is>
      </c>
      <c r="D1390" s="12" t="inlineStr">
        <is>
          <t>UNSURE</t>
        </is>
      </c>
      <c r="E1390" s="12" t="inlineStr">
        <is>
          <t>New</t>
        </is>
      </c>
      <c r="F1390" s="12" t="inlineStr"/>
      <c r="G1390" s="12" t="inlineStr">
        <is>
          <t>Maya Chen, Owner Project Controls</t>
        </is>
      </c>
      <c r="H1390" s="17" t="inlineStr">
        <is>
          <t>10 EVIDENCE &amp; DECISIONS</t>
        </is>
      </c>
    </row>
    <row r="1391" ht="34" customHeight="1">
      <c r="A1391" s="12" t="inlineStr">
        <is>
          <t>R1019-v2</t>
        </is>
      </c>
      <c r="B1391" s="12" t="inlineStr">
        <is>
          <t>Contractor Programme</t>
        </is>
      </c>
      <c r="C1391" s="12" t="inlineStr">
        <is>
          <t>SCH-06-119</t>
        </is>
      </c>
      <c r="D1391" s="12" t="inlineStr">
        <is>
          <t>UNSURE</t>
        </is>
      </c>
      <c r="E1391" s="12" t="inlineStr">
        <is>
          <t>New</t>
        </is>
      </c>
      <c r="F1391" s="12" t="inlineStr"/>
      <c r="G1391" s="12" t="inlineStr">
        <is>
          <t>Maya Chen, Owner Project Controls</t>
        </is>
      </c>
      <c r="H1391" s="17" t="inlineStr">
        <is>
          <t>10 EVIDENCE &amp; DECISIONS</t>
        </is>
      </c>
    </row>
    <row r="1392" ht="34" customHeight="1">
      <c r="A1392" s="12" t="inlineStr">
        <is>
          <t>R1020-v2</t>
        </is>
      </c>
      <c r="B1392" s="12" t="inlineStr">
        <is>
          <t>Contractor Programme</t>
        </is>
      </c>
      <c r="C1392" s="12" t="inlineStr">
        <is>
          <t>SCH-06-120</t>
        </is>
      </c>
      <c r="D1392" s="12" t="inlineStr">
        <is>
          <t>UNSURE</t>
        </is>
      </c>
      <c r="E1392" s="12" t="inlineStr">
        <is>
          <t>New</t>
        </is>
      </c>
      <c r="F1392" s="12" t="inlineStr"/>
      <c r="G1392" s="12" t="inlineStr">
        <is>
          <t>Maya Chen, Owner Project Controls</t>
        </is>
      </c>
      <c r="H1392" s="17" t="inlineStr">
        <is>
          <t>10 EVIDENCE &amp; DECISIONS</t>
        </is>
      </c>
    </row>
    <row r="1393" ht="34" customHeight="1">
      <c r="A1393" s="12" t="inlineStr">
        <is>
          <t>R1021-v2</t>
        </is>
      </c>
      <c r="B1393" s="12" t="inlineStr">
        <is>
          <t>Contractor Programme</t>
        </is>
      </c>
      <c r="C1393" s="12" t="inlineStr">
        <is>
          <t>SCH-06-121</t>
        </is>
      </c>
      <c r="D1393" s="12" t="inlineStr">
        <is>
          <t>UNSURE</t>
        </is>
      </c>
      <c r="E1393" s="12" t="inlineStr">
        <is>
          <t>New</t>
        </is>
      </c>
      <c r="F1393" s="12" t="inlineStr"/>
      <c r="G1393" s="12" t="inlineStr">
        <is>
          <t>Maya Chen, Owner Project Controls</t>
        </is>
      </c>
      <c r="H1393" s="17" t="inlineStr">
        <is>
          <t>10 EVIDENCE &amp; DECISIONS</t>
        </is>
      </c>
    </row>
    <row r="1394" ht="34" customHeight="1">
      <c r="A1394" s="12" t="inlineStr">
        <is>
          <t>R1022-v2</t>
        </is>
      </c>
      <c r="B1394" s="12" t="inlineStr">
        <is>
          <t>Contractor Programme</t>
        </is>
      </c>
      <c r="C1394" s="12" t="inlineStr">
        <is>
          <t>SCH-06-122</t>
        </is>
      </c>
      <c r="D1394" s="12" t="inlineStr">
        <is>
          <t>UNSURE</t>
        </is>
      </c>
      <c r="E1394" s="12" t="inlineStr">
        <is>
          <t>New</t>
        </is>
      </c>
      <c r="F1394" s="12" t="inlineStr"/>
      <c r="G1394" s="12" t="inlineStr">
        <is>
          <t>Maya Chen, Owner Project Controls</t>
        </is>
      </c>
      <c r="H1394" s="17" t="inlineStr">
        <is>
          <t>10 EVIDENCE &amp; DECISIONS</t>
        </is>
      </c>
    </row>
    <row r="1395" ht="34" customHeight="1">
      <c r="A1395" s="12" t="inlineStr">
        <is>
          <t>R1023-v2</t>
        </is>
      </c>
      <c r="B1395" s="12" t="inlineStr">
        <is>
          <t>Contractor Programme</t>
        </is>
      </c>
      <c r="C1395" s="12" t="inlineStr">
        <is>
          <t>SCH-06-123</t>
        </is>
      </c>
      <c r="D1395" s="12" t="inlineStr">
        <is>
          <t>UNSURE</t>
        </is>
      </c>
      <c r="E1395" s="12" t="inlineStr">
        <is>
          <t>New</t>
        </is>
      </c>
      <c r="F1395" s="12" t="inlineStr"/>
      <c r="G1395" s="12" t="inlineStr">
        <is>
          <t>Maya Chen, Owner Project Controls</t>
        </is>
      </c>
      <c r="H1395" s="17" t="inlineStr">
        <is>
          <t>10 EVIDENCE &amp; DECISIONS</t>
        </is>
      </c>
    </row>
    <row r="1396" ht="34" customHeight="1">
      <c r="A1396" s="12" t="inlineStr">
        <is>
          <t>R1024-v2</t>
        </is>
      </c>
      <c r="B1396" s="12" t="inlineStr">
        <is>
          <t>Contractor Programme</t>
        </is>
      </c>
      <c r="C1396" s="12" t="inlineStr">
        <is>
          <t>SCH-06-124</t>
        </is>
      </c>
      <c r="D1396" s="12" t="inlineStr">
        <is>
          <t>UNSURE</t>
        </is>
      </c>
      <c r="E1396" s="12" t="inlineStr">
        <is>
          <t>New</t>
        </is>
      </c>
      <c r="F1396" s="12" t="inlineStr"/>
      <c r="G1396" s="12" t="inlineStr">
        <is>
          <t>Maya Chen, Owner Project Controls</t>
        </is>
      </c>
      <c r="H1396" s="17" t="inlineStr">
        <is>
          <t>10 EVIDENCE &amp; DECISIONS</t>
        </is>
      </c>
    </row>
    <row r="1397" ht="34" customHeight="1">
      <c r="A1397" s="12" t="inlineStr">
        <is>
          <t>R1025-v2</t>
        </is>
      </c>
      <c r="B1397" s="12" t="inlineStr">
        <is>
          <t>Contractor Programme</t>
        </is>
      </c>
      <c r="C1397" s="12" t="inlineStr">
        <is>
          <t>SCH-06-125</t>
        </is>
      </c>
      <c r="D1397" s="12" t="inlineStr">
        <is>
          <t>UNSURE</t>
        </is>
      </c>
      <c r="E1397" s="12" t="inlineStr">
        <is>
          <t>New</t>
        </is>
      </c>
      <c r="F1397" s="12" t="inlineStr"/>
      <c r="G1397" s="12" t="inlineStr">
        <is>
          <t>Maya Chen, Owner Project Controls</t>
        </is>
      </c>
      <c r="H1397" s="17" t="inlineStr">
        <is>
          <t>10 EVIDENCE &amp; DECISIONS</t>
        </is>
      </c>
    </row>
    <row r="1398" ht="34" customHeight="1">
      <c r="A1398" s="12" t="inlineStr">
        <is>
          <t>R1026-v2</t>
        </is>
      </c>
      <c r="B1398" s="12" t="inlineStr">
        <is>
          <t>Contractor Programme</t>
        </is>
      </c>
      <c r="C1398" s="12" t="inlineStr">
        <is>
          <t>SCH-06-126</t>
        </is>
      </c>
      <c r="D1398" s="12" t="inlineStr">
        <is>
          <t>UNSURE</t>
        </is>
      </c>
      <c r="E1398" s="12" t="inlineStr">
        <is>
          <t>New</t>
        </is>
      </c>
      <c r="F1398" s="12" t="inlineStr"/>
      <c r="G1398" s="12" t="inlineStr">
        <is>
          <t>Maya Chen, Owner Project Controls</t>
        </is>
      </c>
      <c r="H1398" s="17" t="inlineStr">
        <is>
          <t>10 EVIDENCE &amp; DECISIONS</t>
        </is>
      </c>
    </row>
    <row r="1399" ht="34" customHeight="1">
      <c r="A1399" s="12" t="inlineStr">
        <is>
          <t>R1027-v2</t>
        </is>
      </c>
      <c r="B1399" s="12" t="inlineStr">
        <is>
          <t>Contractor Programme</t>
        </is>
      </c>
      <c r="C1399" s="12" t="inlineStr">
        <is>
          <t>SCH-06-127</t>
        </is>
      </c>
      <c r="D1399" s="12" t="inlineStr">
        <is>
          <t>UNSURE</t>
        </is>
      </c>
      <c r="E1399" s="12" t="inlineStr">
        <is>
          <t>New</t>
        </is>
      </c>
      <c r="F1399" s="12" t="inlineStr"/>
      <c r="G1399" s="12" t="inlineStr">
        <is>
          <t>Maya Chen, Owner Project Controls</t>
        </is>
      </c>
      <c r="H1399" s="17" t="inlineStr">
        <is>
          <t>10 EVIDENCE &amp; DECISIONS</t>
        </is>
      </c>
    </row>
    <row r="1400" ht="34" customHeight="1">
      <c r="A1400" s="12" t="inlineStr">
        <is>
          <t>R1028-v2</t>
        </is>
      </c>
      <c r="B1400" s="12" t="inlineStr">
        <is>
          <t>Contractor Programme</t>
        </is>
      </c>
      <c r="C1400" s="12" t="inlineStr">
        <is>
          <t>SCH-06-128</t>
        </is>
      </c>
      <c r="D1400" s="12" t="inlineStr">
        <is>
          <t>UNSURE</t>
        </is>
      </c>
      <c r="E1400" s="12" t="inlineStr">
        <is>
          <t>New</t>
        </is>
      </c>
      <c r="F1400" s="12" t="inlineStr"/>
      <c r="G1400" s="12" t="inlineStr">
        <is>
          <t>Maya Chen, Owner Project Controls</t>
        </is>
      </c>
      <c r="H1400" s="17" t="inlineStr">
        <is>
          <t>10 EVIDENCE &amp; DECISIONS</t>
        </is>
      </c>
    </row>
    <row r="1401" ht="34" customHeight="1">
      <c r="A1401" s="12" t="inlineStr">
        <is>
          <t>R1029-v2</t>
        </is>
      </c>
      <c r="B1401" s="12" t="inlineStr">
        <is>
          <t>Contractor Programme</t>
        </is>
      </c>
      <c r="C1401" s="12" t="inlineStr">
        <is>
          <t>SCH-06-129</t>
        </is>
      </c>
      <c r="D1401" s="12" t="inlineStr">
        <is>
          <t>UNSURE</t>
        </is>
      </c>
      <c r="E1401" s="12" t="inlineStr">
        <is>
          <t>New</t>
        </is>
      </c>
      <c r="F1401" s="12" t="inlineStr"/>
      <c r="G1401" s="12" t="inlineStr">
        <is>
          <t>Maya Chen, Owner Project Controls</t>
        </is>
      </c>
      <c r="H1401" s="17" t="inlineStr">
        <is>
          <t>10 EVIDENCE &amp; DECISIONS</t>
        </is>
      </c>
    </row>
    <row r="1402" ht="34" customHeight="1">
      <c r="A1402" s="12" t="inlineStr">
        <is>
          <t>R1030-v2</t>
        </is>
      </c>
      <c r="B1402" s="12" t="inlineStr">
        <is>
          <t>Contractor Programme</t>
        </is>
      </c>
      <c r="C1402" s="12" t="inlineStr">
        <is>
          <t>SCH-06-130</t>
        </is>
      </c>
      <c r="D1402" s="12" t="inlineStr">
        <is>
          <t>UNSURE</t>
        </is>
      </c>
      <c r="E1402" s="12" t="inlineStr">
        <is>
          <t>New</t>
        </is>
      </c>
      <c r="F1402" s="12" t="inlineStr"/>
      <c r="G1402" s="12" t="inlineStr">
        <is>
          <t>Maya Chen, Owner Project Controls</t>
        </is>
      </c>
      <c r="H1402" s="17" t="inlineStr">
        <is>
          <t>10 EVIDENCE &amp; DECISIONS</t>
        </is>
      </c>
    </row>
    <row r="1403" ht="34" customHeight="1">
      <c r="A1403" s="12" t="inlineStr">
        <is>
          <t>R1031-v2</t>
        </is>
      </c>
      <c r="B1403" s="12" t="inlineStr">
        <is>
          <t>Contractor Programme</t>
        </is>
      </c>
      <c r="C1403" s="12" t="inlineStr">
        <is>
          <t>SCH-06-131</t>
        </is>
      </c>
      <c r="D1403" s="12" t="inlineStr">
        <is>
          <t>UNSURE</t>
        </is>
      </c>
      <c r="E1403" s="12" t="inlineStr">
        <is>
          <t>New</t>
        </is>
      </c>
      <c r="F1403" s="12" t="inlineStr"/>
      <c r="G1403" s="12" t="inlineStr">
        <is>
          <t>Maya Chen, Owner Project Controls</t>
        </is>
      </c>
      <c r="H1403" s="17" t="inlineStr">
        <is>
          <t>10 EVIDENCE &amp; DECISIONS</t>
        </is>
      </c>
    </row>
    <row r="1404" ht="34" customHeight="1">
      <c r="A1404" s="12" t="inlineStr">
        <is>
          <t>R1032-v2</t>
        </is>
      </c>
      <c r="B1404" s="12" t="inlineStr">
        <is>
          <t>Contractor Programme</t>
        </is>
      </c>
      <c r="C1404" s="12" t="inlineStr">
        <is>
          <t>SCH-06-132</t>
        </is>
      </c>
      <c r="D1404" s="12" t="inlineStr">
        <is>
          <t>UNSURE</t>
        </is>
      </c>
      <c r="E1404" s="12" t="inlineStr">
        <is>
          <t>New</t>
        </is>
      </c>
      <c r="F1404" s="12" t="inlineStr"/>
      <c r="G1404" s="12" t="inlineStr">
        <is>
          <t>Maya Chen, Owner Project Controls</t>
        </is>
      </c>
      <c r="H1404" s="17" t="inlineStr">
        <is>
          <t>10 EVIDENCE &amp; DECISIONS</t>
        </is>
      </c>
    </row>
    <row r="1405" ht="34" customHeight="1">
      <c r="A1405" s="12" t="inlineStr">
        <is>
          <t>R1033-v2</t>
        </is>
      </c>
      <c r="B1405" s="12" t="inlineStr">
        <is>
          <t>Contractor Programme</t>
        </is>
      </c>
      <c r="C1405" s="12" t="inlineStr">
        <is>
          <t>SCH-06-133</t>
        </is>
      </c>
      <c r="D1405" s="12" t="inlineStr">
        <is>
          <t>UNSURE</t>
        </is>
      </c>
      <c r="E1405" s="12" t="inlineStr">
        <is>
          <t>New</t>
        </is>
      </c>
      <c r="F1405" s="12" t="inlineStr"/>
      <c r="G1405" s="12" t="inlineStr">
        <is>
          <t>Maya Chen, Owner Project Controls</t>
        </is>
      </c>
      <c r="H1405" s="17" t="inlineStr">
        <is>
          <t>10 EVIDENCE &amp; DECISIONS</t>
        </is>
      </c>
    </row>
    <row r="1406" ht="34" customHeight="1">
      <c r="A1406" s="12" t="inlineStr">
        <is>
          <t>R1034-v2</t>
        </is>
      </c>
      <c r="B1406" s="12" t="inlineStr">
        <is>
          <t>Contractor Programme</t>
        </is>
      </c>
      <c r="C1406" s="12" t="inlineStr">
        <is>
          <t>SCH-06-134</t>
        </is>
      </c>
      <c r="D1406" s="12" t="inlineStr">
        <is>
          <t>UNSURE</t>
        </is>
      </c>
      <c r="E1406" s="12" t="inlineStr">
        <is>
          <t>New</t>
        </is>
      </c>
      <c r="F1406" s="12" t="inlineStr"/>
      <c r="G1406" s="12" t="inlineStr">
        <is>
          <t>Maya Chen, Owner Project Controls</t>
        </is>
      </c>
      <c r="H1406" s="17" t="inlineStr">
        <is>
          <t>10 EVIDENCE &amp; DECISIONS</t>
        </is>
      </c>
    </row>
    <row r="1407" ht="34" customHeight="1">
      <c r="A1407" s="12" t="inlineStr">
        <is>
          <t>R1035-v2</t>
        </is>
      </c>
      <c r="B1407" s="12" t="inlineStr">
        <is>
          <t>Contractor Programme</t>
        </is>
      </c>
      <c r="C1407" s="12" t="inlineStr">
        <is>
          <t>SCH-06-135</t>
        </is>
      </c>
      <c r="D1407" s="12" t="inlineStr">
        <is>
          <t>UNSURE</t>
        </is>
      </c>
      <c r="E1407" s="12" t="inlineStr">
        <is>
          <t>New</t>
        </is>
      </c>
      <c r="F1407" s="12" t="inlineStr"/>
      <c r="G1407" s="12" t="inlineStr">
        <is>
          <t>Maya Chen, Owner Project Controls</t>
        </is>
      </c>
      <c r="H1407" s="17" t="inlineStr">
        <is>
          <t>10 EVIDENCE &amp; DECISIONS</t>
        </is>
      </c>
    </row>
    <row r="1408" ht="34" customHeight="1">
      <c r="A1408" s="12" t="inlineStr">
        <is>
          <t>R1036-v2</t>
        </is>
      </c>
      <c r="B1408" s="12" t="inlineStr">
        <is>
          <t>Contractor Programme</t>
        </is>
      </c>
      <c r="C1408" s="12" t="inlineStr">
        <is>
          <t>SCH-06-136</t>
        </is>
      </c>
      <c r="D1408" s="12" t="inlineStr">
        <is>
          <t>UNSURE</t>
        </is>
      </c>
      <c r="E1408" s="12" t="inlineStr">
        <is>
          <t>New</t>
        </is>
      </c>
      <c r="F1408" s="12" t="inlineStr"/>
      <c r="G1408" s="12" t="inlineStr">
        <is>
          <t>Maya Chen, Owner Project Controls</t>
        </is>
      </c>
      <c r="H1408" s="17" t="inlineStr">
        <is>
          <t>10 EVIDENCE &amp; DECISIONS</t>
        </is>
      </c>
    </row>
    <row r="1409" ht="34" customHeight="1">
      <c r="A1409" s="12" t="inlineStr">
        <is>
          <t>R1037-v2</t>
        </is>
      </c>
      <c r="B1409" s="12" t="inlineStr">
        <is>
          <t>Contractor Programme</t>
        </is>
      </c>
      <c r="C1409" s="12" t="inlineStr">
        <is>
          <t>SCH-06-137</t>
        </is>
      </c>
      <c r="D1409" s="12" t="inlineStr">
        <is>
          <t>UNSURE</t>
        </is>
      </c>
      <c r="E1409" s="12" t="inlineStr">
        <is>
          <t>New</t>
        </is>
      </c>
      <c r="F1409" s="12" t="inlineStr"/>
      <c r="G1409" s="12" t="inlineStr">
        <is>
          <t>Maya Chen, Owner Project Controls</t>
        </is>
      </c>
      <c r="H1409" s="17" t="inlineStr">
        <is>
          <t>10 EVIDENCE &amp; DECISIONS</t>
        </is>
      </c>
    </row>
    <row r="1410" ht="34" customHeight="1">
      <c r="A1410" s="12" t="inlineStr">
        <is>
          <t>R1038-v2</t>
        </is>
      </c>
      <c r="B1410" s="12" t="inlineStr">
        <is>
          <t>Contractor Programme</t>
        </is>
      </c>
      <c r="C1410" s="12" t="inlineStr">
        <is>
          <t>SCH-06-138</t>
        </is>
      </c>
      <c r="D1410" s="12" t="inlineStr">
        <is>
          <t>UNSURE</t>
        </is>
      </c>
      <c r="E1410" s="12" t="inlineStr">
        <is>
          <t>New</t>
        </is>
      </c>
      <c r="F1410" s="12" t="inlineStr"/>
      <c r="G1410" s="12" t="inlineStr">
        <is>
          <t>Maya Chen, Owner Project Controls</t>
        </is>
      </c>
      <c r="H1410" s="17" t="inlineStr">
        <is>
          <t>10 EVIDENCE &amp; DECISIONS</t>
        </is>
      </c>
    </row>
    <row r="1411" ht="34" customHeight="1">
      <c r="A1411" s="12" t="inlineStr">
        <is>
          <t>R1039-v2</t>
        </is>
      </c>
      <c r="B1411" s="12" t="inlineStr">
        <is>
          <t>Contractor Programme</t>
        </is>
      </c>
      <c r="C1411" s="12" t="inlineStr">
        <is>
          <t>SCH-06-139</t>
        </is>
      </c>
      <c r="D1411" s="12" t="inlineStr">
        <is>
          <t>UNSURE</t>
        </is>
      </c>
      <c r="E1411" s="12" t="inlineStr">
        <is>
          <t>New</t>
        </is>
      </c>
      <c r="F1411" s="12" t="inlineStr"/>
      <c r="G1411" s="12" t="inlineStr">
        <is>
          <t>Maya Chen, Owner Project Controls</t>
        </is>
      </c>
      <c r="H1411" s="17" t="inlineStr">
        <is>
          <t>10 EVIDENCE &amp; DECISIONS</t>
        </is>
      </c>
    </row>
    <row r="1412" ht="34" customHeight="1">
      <c r="A1412" s="12" t="inlineStr">
        <is>
          <t>R1040-v2</t>
        </is>
      </c>
      <c r="B1412" s="12" t="inlineStr">
        <is>
          <t>Contractor Programme</t>
        </is>
      </c>
      <c r="C1412" s="12" t="inlineStr">
        <is>
          <t>SCH-06-140</t>
        </is>
      </c>
      <c r="D1412" s="12" t="inlineStr">
        <is>
          <t>UNSURE</t>
        </is>
      </c>
      <c r="E1412" s="12" t="inlineStr">
        <is>
          <t>New</t>
        </is>
      </c>
      <c r="F1412" s="12" t="inlineStr"/>
      <c r="G1412" s="12" t="inlineStr">
        <is>
          <t>Maya Chen, Owner Project Controls</t>
        </is>
      </c>
      <c r="H1412" s="17" t="inlineStr">
        <is>
          <t>10 EVIDENCE &amp; DECISIONS</t>
        </is>
      </c>
    </row>
    <row r="1413" ht="34" customHeight="1">
      <c r="A1413" s="12" t="inlineStr">
        <is>
          <t>R1041-v2</t>
        </is>
      </c>
      <c r="B1413" s="12" t="inlineStr">
        <is>
          <t>Contractor Programme</t>
        </is>
      </c>
      <c r="C1413" s="12" t="inlineStr">
        <is>
          <t>SCH-06-141</t>
        </is>
      </c>
      <c r="D1413" s="12" t="inlineStr">
        <is>
          <t>UNSURE</t>
        </is>
      </c>
      <c r="E1413" s="12" t="inlineStr">
        <is>
          <t>New</t>
        </is>
      </c>
      <c r="F1413" s="12" t="inlineStr"/>
      <c r="G1413" s="12" t="inlineStr">
        <is>
          <t>Maya Chen, Owner Project Controls</t>
        </is>
      </c>
      <c r="H1413" s="17" t="inlineStr">
        <is>
          <t>10 EVIDENCE &amp; DECISIONS</t>
        </is>
      </c>
    </row>
    <row r="1414" ht="34" customHeight="1">
      <c r="A1414" s="12" t="inlineStr">
        <is>
          <t>R1042-v2</t>
        </is>
      </c>
      <c r="B1414" s="12" t="inlineStr">
        <is>
          <t>Contractor Programme</t>
        </is>
      </c>
      <c r="C1414" s="12" t="inlineStr">
        <is>
          <t>SCH-06-142</t>
        </is>
      </c>
      <c r="D1414" s="12" t="inlineStr">
        <is>
          <t>UNSURE</t>
        </is>
      </c>
      <c r="E1414" s="12" t="inlineStr">
        <is>
          <t>New</t>
        </is>
      </c>
      <c r="F1414" s="12" t="inlineStr"/>
      <c r="G1414" s="12" t="inlineStr">
        <is>
          <t>Maya Chen, Owner Project Controls</t>
        </is>
      </c>
      <c r="H1414" s="17" t="inlineStr">
        <is>
          <t>10 EVIDENCE &amp; DECISIONS</t>
        </is>
      </c>
    </row>
    <row r="1415" ht="34" customHeight="1">
      <c r="A1415" s="12" t="inlineStr">
        <is>
          <t>R1043-v2</t>
        </is>
      </c>
      <c r="B1415" s="12" t="inlineStr">
        <is>
          <t>Contractor Programme</t>
        </is>
      </c>
      <c r="C1415" s="12" t="inlineStr">
        <is>
          <t>SCH-06-143</t>
        </is>
      </c>
      <c r="D1415" s="12" t="inlineStr">
        <is>
          <t>UNSURE</t>
        </is>
      </c>
      <c r="E1415" s="12" t="inlineStr">
        <is>
          <t>New</t>
        </is>
      </c>
      <c r="F1415" s="12" t="inlineStr"/>
      <c r="G1415" s="12" t="inlineStr">
        <is>
          <t>Maya Chen, Owner Project Controls</t>
        </is>
      </c>
      <c r="H1415" s="17" t="inlineStr">
        <is>
          <t>10 EVIDENCE &amp; DECISIONS</t>
        </is>
      </c>
    </row>
    <row r="1416" ht="34" customHeight="1">
      <c r="A1416" s="12" t="inlineStr">
        <is>
          <t>R1044-v2</t>
        </is>
      </c>
      <c r="B1416" s="12" t="inlineStr">
        <is>
          <t>Contractor Programme</t>
        </is>
      </c>
      <c r="C1416" s="12" t="inlineStr">
        <is>
          <t>SCH-06-144</t>
        </is>
      </c>
      <c r="D1416" s="12" t="inlineStr">
        <is>
          <t>UNSURE</t>
        </is>
      </c>
      <c r="E1416" s="12" t="inlineStr">
        <is>
          <t>New</t>
        </is>
      </c>
      <c r="F1416" s="12" t="inlineStr"/>
      <c r="G1416" s="12" t="inlineStr">
        <is>
          <t>Maya Chen, Owner Project Controls</t>
        </is>
      </c>
      <c r="H1416" s="17" t="inlineStr">
        <is>
          <t>10 EVIDENCE &amp; DECISIONS</t>
        </is>
      </c>
    </row>
    <row r="1417" ht="34" customHeight="1">
      <c r="A1417" s="12" t="inlineStr">
        <is>
          <t>R1045-v2</t>
        </is>
      </c>
      <c r="B1417" s="12" t="inlineStr">
        <is>
          <t>Contractor Programme</t>
        </is>
      </c>
      <c r="C1417" s="12" t="inlineStr">
        <is>
          <t>SCH-06-145</t>
        </is>
      </c>
      <c r="D1417" s="12" t="inlineStr">
        <is>
          <t>UNSURE</t>
        </is>
      </c>
      <c r="E1417" s="12" t="inlineStr">
        <is>
          <t>New</t>
        </is>
      </c>
      <c r="F1417" s="12" t="inlineStr"/>
      <c r="G1417" s="12" t="inlineStr">
        <is>
          <t>Maya Chen, Owner Project Controls</t>
        </is>
      </c>
      <c r="H1417" s="17" t="inlineStr">
        <is>
          <t>10 EVIDENCE &amp; DECISIONS</t>
        </is>
      </c>
    </row>
    <row r="1418" ht="34" customHeight="1">
      <c r="A1418" s="12" t="inlineStr">
        <is>
          <t>R1046-v2</t>
        </is>
      </c>
      <c r="B1418" s="12" t="inlineStr">
        <is>
          <t>Contractor Programme</t>
        </is>
      </c>
      <c r="C1418" s="12" t="inlineStr">
        <is>
          <t>SCH-06-146</t>
        </is>
      </c>
      <c r="D1418" s="12" t="inlineStr">
        <is>
          <t>UNSURE</t>
        </is>
      </c>
      <c r="E1418" s="12" t="inlineStr">
        <is>
          <t>New</t>
        </is>
      </c>
      <c r="F1418" s="12" t="inlineStr"/>
      <c r="G1418" s="12" t="inlineStr">
        <is>
          <t>Maya Chen, Owner Project Controls</t>
        </is>
      </c>
      <c r="H1418" s="17" t="inlineStr">
        <is>
          <t>10 EVIDENCE &amp; DECISIONS</t>
        </is>
      </c>
    </row>
    <row r="1419" ht="34" customHeight="1">
      <c r="A1419" s="12" t="inlineStr">
        <is>
          <t>R1047-v2</t>
        </is>
      </c>
      <c r="B1419" s="12" t="inlineStr">
        <is>
          <t>Contractor Programme</t>
        </is>
      </c>
      <c r="C1419" s="12" t="inlineStr">
        <is>
          <t>SCH-06-147</t>
        </is>
      </c>
      <c r="D1419" s="12" t="inlineStr">
        <is>
          <t>UNSURE</t>
        </is>
      </c>
      <c r="E1419" s="12" t="inlineStr">
        <is>
          <t>New</t>
        </is>
      </c>
      <c r="F1419" s="12" t="inlineStr"/>
      <c r="G1419" s="12" t="inlineStr">
        <is>
          <t>Maya Chen, Owner Project Controls</t>
        </is>
      </c>
      <c r="H1419" s="17" t="inlineStr">
        <is>
          <t>10 EVIDENCE &amp; DECISIONS</t>
        </is>
      </c>
    </row>
    <row r="1420" ht="34" customHeight="1">
      <c r="A1420" s="12" t="inlineStr">
        <is>
          <t>R1048-v2</t>
        </is>
      </c>
      <c r="B1420" s="12" t="inlineStr">
        <is>
          <t>Contractor Programme</t>
        </is>
      </c>
      <c r="C1420" s="12" t="inlineStr">
        <is>
          <t>SCH-06-148</t>
        </is>
      </c>
      <c r="D1420" s="12" t="inlineStr">
        <is>
          <t>UNSURE</t>
        </is>
      </c>
      <c r="E1420" s="12" t="inlineStr">
        <is>
          <t>New</t>
        </is>
      </c>
      <c r="F1420" s="12" t="inlineStr"/>
      <c r="G1420" s="12" t="inlineStr">
        <is>
          <t>Maya Chen, Owner Project Controls</t>
        </is>
      </c>
      <c r="H1420" s="17" t="inlineStr">
        <is>
          <t>10 EVIDENCE &amp; DECISIONS</t>
        </is>
      </c>
    </row>
    <row r="1421" ht="34" customHeight="1">
      <c r="A1421" s="12" t="inlineStr">
        <is>
          <t>R1049-v2</t>
        </is>
      </c>
      <c r="B1421" s="12" t="inlineStr">
        <is>
          <t>Contractor Programme</t>
        </is>
      </c>
      <c r="C1421" s="12" t="inlineStr">
        <is>
          <t>SCH-06-149</t>
        </is>
      </c>
      <c r="D1421" s="12" t="inlineStr">
        <is>
          <t>UNSURE</t>
        </is>
      </c>
      <c r="E1421" s="12" t="inlineStr">
        <is>
          <t>New</t>
        </is>
      </c>
      <c r="F1421" s="12" t="inlineStr"/>
      <c r="G1421" s="12" t="inlineStr">
        <is>
          <t>Maya Chen, Owner Project Controls</t>
        </is>
      </c>
      <c r="H1421" s="17" t="inlineStr">
        <is>
          <t>10 EVIDENCE &amp; DECISIONS</t>
        </is>
      </c>
    </row>
    <row r="1422" ht="34" customHeight="1">
      <c r="A1422" s="12" t="inlineStr">
        <is>
          <t>R1050-v2</t>
        </is>
      </c>
      <c r="B1422" s="12" t="inlineStr">
        <is>
          <t>Contractor Programme</t>
        </is>
      </c>
      <c r="C1422" s="12" t="inlineStr">
        <is>
          <t>SCH-06-150</t>
        </is>
      </c>
      <c r="D1422" s="12" t="inlineStr">
        <is>
          <t>UNSURE</t>
        </is>
      </c>
      <c r="E1422" s="12" t="inlineStr">
        <is>
          <t>New</t>
        </is>
      </c>
      <c r="F1422" s="12" t="inlineStr"/>
      <c r="G1422" s="12" t="inlineStr">
        <is>
          <t>Maya Chen, Owner Project Controls</t>
        </is>
      </c>
      <c r="H1422" s="17" t="inlineStr">
        <is>
          <t>10 EVIDENCE &amp; DECISIONS</t>
        </is>
      </c>
    </row>
    <row r="1423" ht="34" customHeight="1">
      <c r="A1423" s="12" t="inlineStr">
        <is>
          <t>R1051-v2</t>
        </is>
      </c>
      <c r="B1423" s="12" t="inlineStr">
        <is>
          <t>Contractor Programme</t>
        </is>
      </c>
      <c r="C1423" s="12" t="inlineStr">
        <is>
          <t>SCH-06-151</t>
        </is>
      </c>
      <c r="D1423" s="12" t="inlineStr">
        <is>
          <t>UNSURE</t>
        </is>
      </c>
      <c r="E1423" s="12" t="inlineStr">
        <is>
          <t>New</t>
        </is>
      </c>
      <c r="F1423" s="12" t="inlineStr"/>
      <c r="G1423" s="12" t="inlineStr">
        <is>
          <t>Maya Chen, Owner Project Controls</t>
        </is>
      </c>
      <c r="H1423" s="17" t="inlineStr">
        <is>
          <t>10 EVIDENCE &amp; DECISIONS</t>
        </is>
      </c>
    </row>
    <row r="1424" ht="34" customHeight="1">
      <c r="A1424" s="12" t="inlineStr">
        <is>
          <t>R1052-v2</t>
        </is>
      </c>
      <c r="B1424" s="12" t="inlineStr">
        <is>
          <t>Contractor Programme</t>
        </is>
      </c>
      <c r="C1424" s="12" t="inlineStr">
        <is>
          <t>SCH-06-152</t>
        </is>
      </c>
      <c r="D1424" s="12" t="inlineStr">
        <is>
          <t>UNSURE</t>
        </is>
      </c>
      <c r="E1424" s="12" t="inlineStr">
        <is>
          <t>New</t>
        </is>
      </c>
      <c r="F1424" s="12" t="inlineStr"/>
      <c r="G1424" s="12" t="inlineStr">
        <is>
          <t>Maya Chen, Owner Project Controls</t>
        </is>
      </c>
      <c r="H1424" s="17" t="inlineStr">
        <is>
          <t>10 EVIDENCE &amp; DECISIONS</t>
        </is>
      </c>
    </row>
    <row r="1425" ht="34" customHeight="1">
      <c r="A1425" s="12" t="inlineStr">
        <is>
          <t>R1053-v2</t>
        </is>
      </c>
      <c r="B1425" s="12" t="inlineStr">
        <is>
          <t>Contractor Programme</t>
        </is>
      </c>
      <c r="C1425" s="12" t="inlineStr">
        <is>
          <t>SCH-06-153</t>
        </is>
      </c>
      <c r="D1425" s="12" t="inlineStr">
        <is>
          <t>UNSURE</t>
        </is>
      </c>
      <c r="E1425" s="12" t="inlineStr">
        <is>
          <t>New</t>
        </is>
      </c>
      <c r="F1425" s="12" t="inlineStr"/>
      <c r="G1425" s="12" t="inlineStr">
        <is>
          <t>Maya Chen, Owner Project Controls</t>
        </is>
      </c>
      <c r="H1425" s="17" t="inlineStr">
        <is>
          <t>10 EVIDENCE &amp; DECISIONS</t>
        </is>
      </c>
    </row>
    <row r="1426" ht="34" customHeight="1">
      <c r="A1426" s="12" t="inlineStr">
        <is>
          <t>R1054-v2</t>
        </is>
      </c>
      <c r="B1426" s="12" t="inlineStr">
        <is>
          <t>Contractor Programme</t>
        </is>
      </c>
      <c r="C1426" s="12" t="inlineStr">
        <is>
          <t>SCH-06-154</t>
        </is>
      </c>
      <c r="D1426" s="12" t="inlineStr">
        <is>
          <t>UNSURE</t>
        </is>
      </c>
      <c r="E1426" s="12" t="inlineStr">
        <is>
          <t>New</t>
        </is>
      </c>
      <c r="F1426" s="12" t="inlineStr"/>
      <c r="G1426" s="12" t="inlineStr">
        <is>
          <t>Maya Chen, Owner Project Controls</t>
        </is>
      </c>
      <c r="H1426" s="17" t="inlineStr">
        <is>
          <t>10 EVIDENCE &amp; DECISIONS</t>
        </is>
      </c>
    </row>
    <row r="1427" ht="34" customHeight="1">
      <c r="A1427" s="12" t="inlineStr">
        <is>
          <t>R1055-v2</t>
        </is>
      </c>
      <c r="B1427" s="12" t="inlineStr">
        <is>
          <t>Contractor Programme</t>
        </is>
      </c>
      <c r="C1427" s="12" t="inlineStr">
        <is>
          <t>SCH-06-155</t>
        </is>
      </c>
      <c r="D1427" s="12" t="inlineStr">
        <is>
          <t>UNSURE</t>
        </is>
      </c>
      <c r="E1427" s="12" t="inlineStr">
        <is>
          <t>New</t>
        </is>
      </c>
      <c r="F1427" s="12" t="inlineStr"/>
      <c r="G1427" s="12" t="inlineStr">
        <is>
          <t>Maya Chen, Owner Project Controls</t>
        </is>
      </c>
      <c r="H1427" s="17" t="inlineStr">
        <is>
          <t>10 EVIDENCE &amp; DECISIONS</t>
        </is>
      </c>
    </row>
    <row r="1428" ht="34" customHeight="1">
      <c r="A1428" s="12" t="inlineStr">
        <is>
          <t>R1056-v2</t>
        </is>
      </c>
      <c r="B1428" s="12" t="inlineStr">
        <is>
          <t>Contractor Programme</t>
        </is>
      </c>
      <c r="C1428" s="12" t="inlineStr">
        <is>
          <t>SCH-06-156</t>
        </is>
      </c>
      <c r="D1428" s="12" t="inlineStr">
        <is>
          <t>UNSURE</t>
        </is>
      </c>
      <c r="E1428" s="12" t="inlineStr">
        <is>
          <t>New</t>
        </is>
      </c>
      <c r="F1428" s="12" t="inlineStr"/>
      <c r="G1428" s="12" t="inlineStr">
        <is>
          <t>Maya Chen, Owner Project Controls</t>
        </is>
      </c>
      <c r="H1428" s="17" t="inlineStr">
        <is>
          <t>10 EVIDENCE &amp; DECISIONS</t>
        </is>
      </c>
    </row>
    <row r="1429" ht="34" customHeight="1">
      <c r="A1429" s="12" t="inlineStr">
        <is>
          <t>R1057-v2</t>
        </is>
      </c>
      <c r="B1429" s="12" t="inlineStr">
        <is>
          <t>Contractor Programme</t>
        </is>
      </c>
      <c r="C1429" s="12" t="inlineStr">
        <is>
          <t>SCH-06-157</t>
        </is>
      </c>
      <c r="D1429" s="12" t="inlineStr">
        <is>
          <t>UNSURE</t>
        </is>
      </c>
      <c r="E1429" s="12" t="inlineStr">
        <is>
          <t>New</t>
        </is>
      </c>
      <c r="F1429" s="12" t="inlineStr"/>
      <c r="G1429" s="12" t="inlineStr">
        <is>
          <t>Maya Chen, Owner Project Controls</t>
        </is>
      </c>
      <c r="H1429" s="17" t="inlineStr">
        <is>
          <t>10 EVIDENCE &amp; DECISIONS</t>
        </is>
      </c>
    </row>
    <row r="1430" ht="34" customHeight="1">
      <c r="A1430" s="12" t="inlineStr">
        <is>
          <t>R1058-v2</t>
        </is>
      </c>
      <c r="B1430" s="12" t="inlineStr">
        <is>
          <t>Contractor Programme</t>
        </is>
      </c>
      <c r="C1430" s="12" t="inlineStr">
        <is>
          <t>SCH-06-158</t>
        </is>
      </c>
      <c r="D1430" s="12" t="inlineStr">
        <is>
          <t>UNSURE</t>
        </is>
      </c>
      <c r="E1430" s="12" t="inlineStr">
        <is>
          <t>New</t>
        </is>
      </c>
      <c r="F1430" s="12" t="inlineStr"/>
      <c r="G1430" s="12" t="inlineStr">
        <is>
          <t>Maya Chen, Owner Project Controls</t>
        </is>
      </c>
      <c r="H1430" s="17" t="inlineStr">
        <is>
          <t>10 EVIDENCE &amp; DECISIONS</t>
        </is>
      </c>
    </row>
    <row r="1431" ht="34" customHeight="1">
      <c r="A1431" s="12" t="inlineStr">
        <is>
          <t>R1059-v2</t>
        </is>
      </c>
      <c r="B1431" s="12" t="inlineStr">
        <is>
          <t>Contractor Programme</t>
        </is>
      </c>
      <c r="C1431" s="12" t="inlineStr">
        <is>
          <t>SCH-06-159</t>
        </is>
      </c>
      <c r="D1431" s="12" t="inlineStr">
        <is>
          <t>UNSURE</t>
        </is>
      </c>
      <c r="E1431" s="12" t="inlineStr">
        <is>
          <t>New</t>
        </is>
      </c>
      <c r="F1431" s="12" t="inlineStr"/>
      <c r="G1431" s="12" t="inlineStr">
        <is>
          <t>Maya Chen, Owner Project Controls</t>
        </is>
      </c>
      <c r="H1431" s="17" t="inlineStr">
        <is>
          <t>10 EVIDENCE &amp; DECISIONS</t>
        </is>
      </c>
    </row>
    <row r="1432" ht="34" customHeight="1">
      <c r="A1432" s="12" t="inlineStr">
        <is>
          <t>R1060-v2</t>
        </is>
      </c>
      <c r="B1432" s="12" t="inlineStr">
        <is>
          <t>Contractor Programme</t>
        </is>
      </c>
      <c r="C1432" s="12" t="inlineStr">
        <is>
          <t>SCH-06-160</t>
        </is>
      </c>
      <c r="D1432" s="12" t="inlineStr">
        <is>
          <t>UNSURE</t>
        </is>
      </c>
      <c r="E1432" s="12" t="inlineStr">
        <is>
          <t>New</t>
        </is>
      </c>
      <c r="F1432" s="12" t="inlineStr"/>
      <c r="G1432" s="12" t="inlineStr">
        <is>
          <t>Maya Chen, Owner Project Controls</t>
        </is>
      </c>
      <c r="H1432" s="17" t="inlineStr">
        <is>
          <t>10 EVIDENCE &amp; DECISIONS</t>
        </is>
      </c>
    </row>
    <row r="1433" ht="34" customHeight="1">
      <c r="A1433" s="12" t="inlineStr">
        <is>
          <t>R1061-v2</t>
        </is>
      </c>
      <c r="B1433" s="12" t="inlineStr">
        <is>
          <t>Contractor Programme</t>
        </is>
      </c>
      <c r="C1433" s="12" t="inlineStr">
        <is>
          <t>SCH-06-161</t>
        </is>
      </c>
      <c r="D1433" s="12" t="inlineStr">
        <is>
          <t>UNSURE</t>
        </is>
      </c>
      <c r="E1433" s="12" t="inlineStr">
        <is>
          <t>New</t>
        </is>
      </c>
      <c r="F1433" s="12" t="inlineStr"/>
      <c r="G1433" s="12" t="inlineStr">
        <is>
          <t>Maya Chen, Owner Project Controls</t>
        </is>
      </c>
      <c r="H1433" s="17" t="inlineStr">
        <is>
          <t>10 EVIDENCE &amp; DECISIONS</t>
        </is>
      </c>
    </row>
    <row r="1434" ht="34" customHeight="1">
      <c r="A1434" s="12" t="inlineStr">
        <is>
          <t>R1062-v2</t>
        </is>
      </c>
      <c r="B1434" s="12" t="inlineStr">
        <is>
          <t>Contractor Programme</t>
        </is>
      </c>
      <c r="C1434" s="12" t="inlineStr">
        <is>
          <t>SCH-06-162</t>
        </is>
      </c>
      <c r="D1434" s="12" t="inlineStr">
        <is>
          <t>UNSURE</t>
        </is>
      </c>
      <c r="E1434" s="12" t="inlineStr">
        <is>
          <t>New</t>
        </is>
      </c>
      <c r="F1434" s="12" t="inlineStr"/>
      <c r="G1434" s="12" t="inlineStr">
        <is>
          <t>Maya Chen, Owner Project Controls</t>
        </is>
      </c>
      <c r="H1434" s="17" t="inlineStr">
        <is>
          <t>10 EVIDENCE &amp; DECISIONS</t>
        </is>
      </c>
    </row>
    <row r="1435" ht="34" customHeight="1">
      <c r="A1435" s="12" t="inlineStr">
        <is>
          <t>R1063-v2</t>
        </is>
      </c>
      <c r="B1435" s="12" t="inlineStr">
        <is>
          <t>Contractor Programme</t>
        </is>
      </c>
      <c r="C1435" s="12" t="inlineStr">
        <is>
          <t>SCH-06-163</t>
        </is>
      </c>
      <c r="D1435" s="12" t="inlineStr">
        <is>
          <t>UNSURE</t>
        </is>
      </c>
      <c r="E1435" s="12" t="inlineStr">
        <is>
          <t>New</t>
        </is>
      </c>
      <c r="F1435" s="12" t="inlineStr"/>
      <c r="G1435" s="12" t="inlineStr">
        <is>
          <t>Maya Chen, Owner Project Controls</t>
        </is>
      </c>
      <c r="H1435" s="17" t="inlineStr">
        <is>
          <t>10 EVIDENCE &amp; DECISIONS</t>
        </is>
      </c>
    </row>
    <row r="1436" ht="34" customHeight="1">
      <c r="A1436" s="12" t="inlineStr">
        <is>
          <t>R1064-v2</t>
        </is>
      </c>
      <c r="B1436" s="12" t="inlineStr">
        <is>
          <t>Contractor Programme</t>
        </is>
      </c>
      <c r="C1436" s="12" t="inlineStr">
        <is>
          <t>SCH-06-164</t>
        </is>
      </c>
      <c r="D1436" s="12" t="inlineStr">
        <is>
          <t>UNSURE</t>
        </is>
      </c>
      <c r="E1436" s="12" t="inlineStr">
        <is>
          <t>New</t>
        </is>
      </c>
      <c r="F1436" s="12" t="inlineStr"/>
      <c r="G1436" s="12" t="inlineStr">
        <is>
          <t>Maya Chen, Owner Project Controls</t>
        </is>
      </c>
      <c r="H1436" s="17" t="inlineStr">
        <is>
          <t>10 EVIDENCE &amp; DECISIONS</t>
        </is>
      </c>
    </row>
    <row r="1437" ht="34" customHeight="1">
      <c r="A1437" s="12" t="inlineStr">
        <is>
          <t>R1065-v2</t>
        </is>
      </c>
      <c r="B1437" s="12" t="inlineStr">
        <is>
          <t>Contractor Programme</t>
        </is>
      </c>
      <c r="C1437" s="12" t="inlineStr">
        <is>
          <t>SCH-06-165</t>
        </is>
      </c>
      <c r="D1437" s="12" t="inlineStr">
        <is>
          <t>UNSURE</t>
        </is>
      </c>
      <c r="E1437" s="12" t="inlineStr">
        <is>
          <t>New</t>
        </is>
      </c>
      <c r="F1437" s="12" t="inlineStr"/>
      <c r="G1437" s="12" t="inlineStr">
        <is>
          <t>Maya Chen, Owner Project Controls</t>
        </is>
      </c>
      <c r="H1437" s="17" t="inlineStr">
        <is>
          <t>10 EVIDENCE &amp; DECISIONS</t>
        </is>
      </c>
    </row>
    <row r="1438" ht="34" customHeight="1">
      <c r="A1438" s="12" t="inlineStr">
        <is>
          <t>R1066-v2</t>
        </is>
      </c>
      <c r="B1438" s="12" t="inlineStr">
        <is>
          <t>Contractor Programme</t>
        </is>
      </c>
      <c r="C1438" s="12" t="inlineStr">
        <is>
          <t>SCH-06-166</t>
        </is>
      </c>
      <c r="D1438" s="12" t="inlineStr">
        <is>
          <t>UNSURE</t>
        </is>
      </c>
      <c r="E1438" s="12" t="inlineStr">
        <is>
          <t>New</t>
        </is>
      </c>
      <c r="F1438" s="12" t="inlineStr"/>
      <c r="G1438" s="12" t="inlineStr">
        <is>
          <t>Maya Chen, Owner Project Controls</t>
        </is>
      </c>
      <c r="H1438" s="17" t="inlineStr">
        <is>
          <t>10 EVIDENCE &amp; DECISIONS</t>
        </is>
      </c>
    </row>
    <row r="1439" ht="34" customHeight="1">
      <c r="A1439" s="12" t="inlineStr">
        <is>
          <t>R1067-v2</t>
        </is>
      </c>
      <c r="B1439" s="12" t="inlineStr">
        <is>
          <t>Contractor Programme</t>
        </is>
      </c>
      <c r="C1439" s="12" t="inlineStr">
        <is>
          <t>SCH-06-167</t>
        </is>
      </c>
      <c r="D1439" s="12" t="inlineStr">
        <is>
          <t>UNSURE</t>
        </is>
      </c>
      <c r="E1439" s="12" t="inlineStr">
        <is>
          <t>New</t>
        </is>
      </c>
      <c r="F1439" s="12" t="inlineStr"/>
      <c r="G1439" s="12" t="inlineStr">
        <is>
          <t>Maya Chen, Owner Project Controls</t>
        </is>
      </c>
      <c r="H1439" s="17" t="inlineStr">
        <is>
          <t>10 EVIDENCE &amp; DECISIONS</t>
        </is>
      </c>
    </row>
    <row r="1440" ht="34" customHeight="1">
      <c r="A1440" s="12" t="inlineStr">
        <is>
          <t>R1068-v2</t>
        </is>
      </c>
      <c r="B1440" s="12" t="inlineStr">
        <is>
          <t>Contractor Programme</t>
        </is>
      </c>
      <c r="C1440" s="12" t="inlineStr">
        <is>
          <t>SCH-06-168</t>
        </is>
      </c>
      <c r="D1440" s="12" t="inlineStr">
        <is>
          <t>UNSURE</t>
        </is>
      </c>
      <c r="E1440" s="12" t="inlineStr">
        <is>
          <t>New</t>
        </is>
      </c>
      <c r="F1440" s="12" t="inlineStr"/>
      <c r="G1440" s="12" t="inlineStr">
        <is>
          <t>Maya Chen, Owner Project Controls</t>
        </is>
      </c>
      <c r="H1440" s="17" t="inlineStr">
        <is>
          <t>10 EVIDENCE &amp; DECISIONS</t>
        </is>
      </c>
    </row>
    <row r="1441" ht="34" customHeight="1">
      <c r="A1441" s="12" t="inlineStr">
        <is>
          <t>R1069-v2</t>
        </is>
      </c>
      <c r="B1441" s="12" t="inlineStr">
        <is>
          <t>Contractor Programme</t>
        </is>
      </c>
      <c r="C1441" s="12" t="inlineStr">
        <is>
          <t>SCH-06-169</t>
        </is>
      </c>
      <c r="D1441" s="12" t="inlineStr">
        <is>
          <t>UNSURE</t>
        </is>
      </c>
      <c r="E1441" s="12" t="inlineStr">
        <is>
          <t>New</t>
        </is>
      </c>
      <c r="F1441" s="12" t="inlineStr"/>
      <c r="G1441" s="12" t="inlineStr">
        <is>
          <t>Maya Chen, Owner Project Controls</t>
        </is>
      </c>
      <c r="H1441" s="17" t="inlineStr">
        <is>
          <t>10 EVIDENCE &amp; DECISIONS</t>
        </is>
      </c>
    </row>
    <row r="1442" ht="34" customHeight="1">
      <c r="A1442" s="12" t="inlineStr">
        <is>
          <t>R1070-v2</t>
        </is>
      </c>
      <c r="B1442" s="12" t="inlineStr">
        <is>
          <t>Contractor Programme</t>
        </is>
      </c>
      <c r="C1442" s="12" t="inlineStr">
        <is>
          <t>SCH-06-170</t>
        </is>
      </c>
      <c r="D1442" s="12" t="inlineStr">
        <is>
          <t>UNSURE</t>
        </is>
      </c>
      <c r="E1442" s="12" t="inlineStr">
        <is>
          <t>New</t>
        </is>
      </c>
      <c r="F1442" s="12" t="inlineStr"/>
      <c r="G1442" s="12" t="inlineStr">
        <is>
          <t>Maya Chen, Owner Project Controls</t>
        </is>
      </c>
      <c r="H1442" s="17" t="inlineStr">
        <is>
          <t>10 EVIDENCE &amp; DECISIONS</t>
        </is>
      </c>
    </row>
    <row r="1443" ht="34" customHeight="1">
      <c r="A1443" s="12" t="inlineStr">
        <is>
          <t>R1071-v2</t>
        </is>
      </c>
      <c r="B1443" s="12" t="inlineStr">
        <is>
          <t>Contractor Programme</t>
        </is>
      </c>
      <c r="C1443" s="12" t="inlineStr">
        <is>
          <t>SCH-06-171</t>
        </is>
      </c>
      <c r="D1443" s="12" t="inlineStr">
        <is>
          <t>UNSURE</t>
        </is>
      </c>
      <c r="E1443" s="12" t="inlineStr">
        <is>
          <t>New</t>
        </is>
      </c>
      <c r="F1443" s="12" t="inlineStr"/>
      <c r="G1443" s="12" t="inlineStr">
        <is>
          <t>Maya Chen, Owner Project Controls</t>
        </is>
      </c>
      <c r="H1443" s="17" t="inlineStr">
        <is>
          <t>10 EVIDENCE &amp; DECISIONS</t>
        </is>
      </c>
    </row>
    <row r="1444" ht="34" customHeight="1">
      <c r="A1444" s="12" t="inlineStr">
        <is>
          <t>R1072-v2</t>
        </is>
      </c>
      <c r="B1444" s="12" t="inlineStr">
        <is>
          <t>Contractor Programme</t>
        </is>
      </c>
      <c r="C1444" s="12" t="inlineStr">
        <is>
          <t>SCH-06-172</t>
        </is>
      </c>
      <c r="D1444" s="12" t="inlineStr">
        <is>
          <t>UNSURE</t>
        </is>
      </c>
      <c r="E1444" s="12" t="inlineStr">
        <is>
          <t>New</t>
        </is>
      </c>
      <c r="F1444" s="12" t="inlineStr"/>
      <c r="G1444" s="12" t="inlineStr">
        <is>
          <t>Maya Chen, Owner Project Controls</t>
        </is>
      </c>
      <c r="H1444" s="17" t="inlineStr">
        <is>
          <t>10 EVIDENCE &amp; DECISIONS</t>
        </is>
      </c>
    </row>
    <row r="1445" ht="34" customHeight="1">
      <c r="A1445" s="12" t="inlineStr">
        <is>
          <t>R1073-v2</t>
        </is>
      </c>
      <c r="B1445" s="12" t="inlineStr">
        <is>
          <t>Contractor Programme</t>
        </is>
      </c>
      <c r="C1445" s="12" t="inlineStr">
        <is>
          <t>SCH-06-173</t>
        </is>
      </c>
      <c r="D1445" s="12" t="inlineStr">
        <is>
          <t>UNSURE</t>
        </is>
      </c>
      <c r="E1445" s="12" t="inlineStr">
        <is>
          <t>New</t>
        </is>
      </c>
      <c r="F1445" s="12" t="inlineStr"/>
      <c r="G1445" s="12" t="inlineStr">
        <is>
          <t>Maya Chen, Owner Project Controls</t>
        </is>
      </c>
      <c r="H1445" s="17" t="inlineStr">
        <is>
          <t>10 EVIDENCE &amp; DECISIONS</t>
        </is>
      </c>
    </row>
    <row r="1446" ht="34" customHeight="1">
      <c r="A1446" s="12" t="inlineStr">
        <is>
          <t>R1074-v2</t>
        </is>
      </c>
      <c r="B1446" s="12" t="inlineStr">
        <is>
          <t>Contractor Programme</t>
        </is>
      </c>
      <c r="C1446" s="12" t="inlineStr">
        <is>
          <t>SCH-06-174</t>
        </is>
      </c>
      <c r="D1446" s="12" t="inlineStr">
        <is>
          <t>UNSURE</t>
        </is>
      </c>
      <c r="E1446" s="12" t="inlineStr">
        <is>
          <t>New</t>
        </is>
      </c>
      <c r="F1446" s="12" t="inlineStr"/>
      <c r="G1446" s="12" t="inlineStr">
        <is>
          <t>Maya Chen, Owner Project Controls</t>
        </is>
      </c>
      <c r="H1446" s="17" t="inlineStr">
        <is>
          <t>10 EVIDENCE &amp; DECISIONS</t>
        </is>
      </c>
    </row>
    <row r="1447" ht="34" customHeight="1">
      <c r="A1447" s="12" t="inlineStr">
        <is>
          <t>R1075-v2</t>
        </is>
      </c>
      <c r="B1447" s="12" t="inlineStr">
        <is>
          <t>Contractor Programme</t>
        </is>
      </c>
      <c r="C1447" s="12" t="inlineStr">
        <is>
          <t>SCH-06-175</t>
        </is>
      </c>
      <c r="D1447" s="12" t="inlineStr">
        <is>
          <t>UNSURE</t>
        </is>
      </c>
      <c r="E1447" s="12" t="inlineStr">
        <is>
          <t>New</t>
        </is>
      </c>
      <c r="F1447" s="12" t="inlineStr"/>
      <c r="G1447" s="12" t="inlineStr">
        <is>
          <t>Maya Chen, Owner Project Controls</t>
        </is>
      </c>
      <c r="H1447" s="17" t="inlineStr">
        <is>
          <t>10 EVIDENCE &amp; DECISIONS</t>
        </is>
      </c>
    </row>
    <row r="1448" ht="34" customHeight="1">
      <c r="A1448" s="12" t="inlineStr">
        <is>
          <t>R1076-v2</t>
        </is>
      </c>
      <c r="B1448" s="12" t="inlineStr">
        <is>
          <t>Contractor Programme</t>
        </is>
      </c>
      <c r="C1448" s="12" t="inlineStr">
        <is>
          <t>SCH-06-176</t>
        </is>
      </c>
      <c r="D1448" s="12" t="inlineStr">
        <is>
          <t>UNSURE</t>
        </is>
      </c>
      <c r="E1448" s="12" t="inlineStr">
        <is>
          <t>New</t>
        </is>
      </c>
      <c r="F1448" s="12" t="inlineStr"/>
      <c r="G1448" s="12" t="inlineStr">
        <is>
          <t>Maya Chen, Owner Project Controls</t>
        </is>
      </c>
      <c r="H1448" s="17" t="inlineStr">
        <is>
          <t>10 EVIDENCE &amp; DECISIONS</t>
        </is>
      </c>
    </row>
    <row r="1449" ht="34" customHeight="1">
      <c r="A1449" s="12" t="inlineStr">
        <is>
          <t>R1077-v2</t>
        </is>
      </c>
      <c r="B1449" s="12" t="inlineStr">
        <is>
          <t>Contractor Programme</t>
        </is>
      </c>
      <c r="C1449" s="12" t="inlineStr">
        <is>
          <t>SCH-06-177</t>
        </is>
      </c>
      <c r="D1449" s="12" t="inlineStr">
        <is>
          <t>UNSURE</t>
        </is>
      </c>
      <c r="E1449" s="12" t="inlineStr">
        <is>
          <t>New</t>
        </is>
      </c>
      <c r="F1449" s="12" t="inlineStr"/>
      <c r="G1449" s="12" t="inlineStr">
        <is>
          <t>Maya Chen, Owner Project Controls</t>
        </is>
      </c>
      <c r="H1449" s="17" t="inlineStr">
        <is>
          <t>10 EVIDENCE &amp; DECISIONS</t>
        </is>
      </c>
    </row>
    <row r="1450" ht="34" customHeight="1">
      <c r="A1450" s="12" t="inlineStr">
        <is>
          <t>R1078-v2</t>
        </is>
      </c>
      <c r="B1450" s="12" t="inlineStr">
        <is>
          <t>Contractor Programme</t>
        </is>
      </c>
      <c r="C1450" s="12" t="inlineStr">
        <is>
          <t>SCH-06-178</t>
        </is>
      </c>
      <c r="D1450" s="12" t="inlineStr">
        <is>
          <t>UNSURE</t>
        </is>
      </c>
      <c r="E1450" s="12" t="inlineStr">
        <is>
          <t>New</t>
        </is>
      </c>
      <c r="F1450" s="12" t="inlineStr"/>
      <c r="G1450" s="12" t="inlineStr">
        <is>
          <t>Maya Chen, Owner Project Controls</t>
        </is>
      </c>
      <c r="H1450" s="17" t="inlineStr">
        <is>
          <t>10 EVIDENCE &amp; DECISIONS</t>
        </is>
      </c>
    </row>
    <row r="1451" ht="34" customHeight="1">
      <c r="A1451" s="12" t="inlineStr">
        <is>
          <t>R1079-v2</t>
        </is>
      </c>
      <c r="B1451" s="12" t="inlineStr">
        <is>
          <t>Contractor Programme</t>
        </is>
      </c>
      <c r="C1451" s="12" t="inlineStr">
        <is>
          <t>SCH-06-179</t>
        </is>
      </c>
      <c r="D1451" s="12" t="inlineStr">
        <is>
          <t>UNSURE</t>
        </is>
      </c>
      <c r="E1451" s="12" t="inlineStr">
        <is>
          <t>New</t>
        </is>
      </c>
      <c r="F1451" s="12" t="inlineStr"/>
      <c r="G1451" s="12" t="inlineStr">
        <is>
          <t>Maya Chen, Owner Project Controls</t>
        </is>
      </c>
      <c r="H1451" s="17" t="inlineStr">
        <is>
          <t>10 EVIDENCE &amp; DECISIONS</t>
        </is>
      </c>
    </row>
    <row r="1452" ht="34" customHeight="1">
      <c r="A1452" s="12" t="inlineStr">
        <is>
          <t>R1080-v2</t>
        </is>
      </c>
      <c r="B1452" s="12" t="inlineStr">
        <is>
          <t>Contractor Programme</t>
        </is>
      </c>
      <c r="C1452" s="12" t="inlineStr">
        <is>
          <t>SCH-06-180</t>
        </is>
      </c>
      <c r="D1452" s="12" t="inlineStr">
        <is>
          <t>UNSURE</t>
        </is>
      </c>
      <c r="E1452" s="12" t="inlineStr">
        <is>
          <t>New</t>
        </is>
      </c>
      <c r="F1452" s="12" t="inlineStr"/>
      <c r="G1452" s="12" t="inlineStr">
        <is>
          <t>Maya Chen, Owner Project Controls</t>
        </is>
      </c>
      <c r="H1452" s="17" t="inlineStr">
        <is>
          <t>10 EVIDENCE &amp; DECISIONS</t>
        </is>
      </c>
    </row>
    <row r="1453" ht="34" customHeight="1">
      <c r="A1453" s="12" t="inlineStr">
        <is>
          <t>R1246-v2</t>
        </is>
      </c>
      <c r="B1453" s="12" t="inlineStr">
        <is>
          <t>Cost &amp; Forecast Control Accounts</t>
        </is>
      </c>
      <c r="C1453" s="12" t="inlineStr">
        <is>
          <t>CST-03-004</t>
        </is>
      </c>
      <c r="D1453" s="12" t="inlineStr">
        <is>
          <t>UNSURE</t>
        </is>
      </c>
      <c r="E1453" s="12" t="inlineStr">
        <is>
          <t>New</t>
        </is>
      </c>
      <c r="F1453" s="12" t="inlineStr"/>
      <c r="G1453" s="12" t="inlineStr">
        <is>
          <t>Maya Chen, Owner Project Controls</t>
        </is>
      </c>
      <c r="H1453" s="17" t="inlineStr">
        <is>
          <t>10 EVIDENCE &amp; DECISIONS</t>
        </is>
      </c>
    </row>
    <row r="1454" ht="34" customHeight="1">
      <c r="A1454" s="12" t="inlineStr">
        <is>
          <t>R1403-v2</t>
        </is>
      </c>
      <c r="B1454" s="12" t="inlineStr">
        <is>
          <t>Cost &amp; Forecast Control Accounts</t>
        </is>
      </c>
      <c r="C1454" s="12" t="inlineStr">
        <is>
          <t>CST-05-001</t>
        </is>
      </c>
      <c r="D1454" s="12" t="inlineStr">
        <is>
          <t>UNSURE</t>
        </is>
      </c>
      <c r="E1454" s="12" t="inlineStr">
        <is>
          <t>New</t>
        </is>
      </c>
      <c r="F1454" s="12" t="inlineStr"/>
      <c r="G1454" s="12" t="inlineStr">
        <is>
          <t>Maya Chen, Owner Project Controls</t>
        </is>
      </c>
      <c r="H1454" s="17" t="inlineStr">
        <is>
          <t>10 EVIDENCE &amp; DECISIONS</t>
        </is>
      </c>
    </row>
    <row r="1455" ht="34" customHeight="1">
      <c r="A1455" s="12" t="inlineStr">
        <is>
          <t>R1404-v2</t>
        </is>
      </c>
      <c r="B1455" s="12" t="inlineStr">
        <is>
          <t>Cost &amp; Forecast Control Accounts</t>
        </is>
      </c>
      <c r="C1455" s="12" t="inlineStr">
        <is>
          <t>CST-05-002</t>
        </is>
      </c>
      <c r="D1455" s="12" t="inlineStr">
        <is>
          <t>UNSURE</t>
        </is>
      </c>
      <c r="E1455" s="12" t="inlineStr">
        <is>
          <t>New</t>
        </is>
      </c>
      <c r="F1455" s="12" t="inlineStr"/>
      <c r="G1455" s="12" t="inlineStr">
        <is>
          <t>Maya Chen, Owner Project Controls</t>
        </is>
      </c>
      <c r="H1455" s="17" t="inlineStr">
        <is>
          <t>10 EVIDENCE &amp; DECISIONS</t>
        </is>
      </c>
    </row>
    <row r="1456" ht="34" customHeight="1">
      <c r="A1456" s="12" t="inlineStr">
        <is>
          <t>R1405-v2</t>
        </is>
      </c>
      <c r="B1456" s="12" t="inlineStr">
        <is>
          <t>Cost &amp; Forecast Control Accounts</t>
        </is>
      </c>
      <c r="C1456" s="12" t="inlineStr">
        <is>
          <t>CST-05-003</t>
        </is>
      </c>
      <c r="D1456" s="12" t="inlineStr">
        <is>
          <t>UNSURE</t>
        </is>
      </c>
      <c r="E1456" s="12" t="inlineStr">
        <is>
          <t>New</t>
        </is>
      </c>
      <c r="F1456" s="12" t="inlineStr"/>
      <c r="G1456" s="12" t="inlineStr">
        <is>
          <t>Maya Chen, Owner Project Controls</t>
        </is>
      </c>
      <c r="H1456" s="17" t="inlineStr">
        <is>
          <t>10 EVIDENCE &amp; DECISIONS</t>
        </is>
      </c>
    </row>
    <row r="1457" ht="34" customHeight="1">
      <c r="A1457" s="12" t="inlineStr">
        <is>
          <t>R1406-v2</t>
        </is>
      </c>
      <c r="B1457" s="12" t="inlineStr">
        <is>
          <t>Cost &amp; Forecast Control Accounts</t>
        </is>
      </c>
      <c r="C1457" s="12" t="inlineStr">
        <is>
          <t>CST-05-004</t>
        </is>
      </c>
      <c r="D1457" s="12" t="inlineStr">
        <is>
          <t>UNSURE</t>
        </is>
      </c>
      <c r="E1457" s="12" t="inlineStr">
        <is>
          <t>New</t>
        </is>
      </c>
      <c r="F1457" s="12" t="inlineStr"/>
      <c r="G1457" s="12" t="inlineStr">
        <is>
          <t>Maya Chen, Owner Project Controls</t>
        </is>
      </c>
      <c r="H1457" s="17" t="inlineStr">
        <is>
          <t>10 EVIDENCE &amp; DECISIONS</t>
        </is>
      </c>
    </row>
    <row r="1458" ht="34" customHeight="1">
      <c r="A1458" s="12" t="inlineStr">
        <is>
          <t>R1407-v2</t>
        </is>
      </c>
      <c r="B1458" s="12" t="inlineStr">
        <is>
          <t>Cost &amp; Forecast Control Accounts</t>
        </is>
      </c>
      <c r="C1458" s="12" t="inlineStr">
        <is>
          <t>CST-05-005</t>
        </is>
      </c>
      <c r="D1458" s="12" t="inlineStr">
        <is>
          <t>UNSURE</t>
        </is>
      </c>
      <c r="E1458" s="12" t="inlineStr">
        <is>
          <t>New</t>
        </is>
      </c>
      <c r="F1458" s="12" t="inlineStr"/>
      <c r="G1458" s="12" t="inlineStr">
        <is>
          <t>Maya Chen, Owner Project Controls</t>
        </is>
      </c>
      <c r="H1458" s="17" t="inlineStr">
        <is>
          <t>10 EVIDENCE &amp; DECISIONS</t>
        </is>
      </c>
    </row>
    <row r="1459" ht="34" customHeight="1">
      <c r="A1459" s="12" t="inlineStr">
        <is>
          <t>R1408-v2</t>
        </is>
      </c>
      <c r="B1459" s="12" t="inlineStr">
        <is>
          <t>Cost &amp; Forecast Control Accounts</t>
        </is>
      </c>
      <c r="C1459" s="12" t="inlineStr">
        <is>
          <t>CST-05-006</t>
        </is>
      </c>
      <c r="D1459" s="12" t="inlineStr">
        <is>
          <t>UNSURE</t>
        </is>
      </c>
      <c r="E1459" s="12" t="inlineStr">
        <is>
          <t>New</t>
        </is>
      </c>
      <c r="F1459" s="12" t="inlineStr"/>
      <c r="G1459" s="12" t="inlineStr">
        <is>
          <t>Maya Chen, Owner Project Controls</t>
        </is>
      </c>
      <c r="H1459" s="17" t="inlineStr">
        <is>
          <t>10 EVIDENCE &amp; DECISIONS</t>
        </is>
      </c>
    </row>
    <row r="1460" ht="34" customHeight="1">
      <c r="A1460" s="12" t="inlineStr">
        <is>
          <t>R1409-v2</t>
        </is>
      </c>
      <c r="B1460" s="12" t="inlineStr">
        <is>
          <t>Cost &amp; Forecast Control Accounts</t>
        </is>
      </c>
      <c r="C1460" s="12" t="inlineStr">
        <is>
          <t>CST-05-007</t>
        </is>
      </c>
      <c r="D1460" s="12" t="inlineStr">
        <is>
          <t>UNSURE</t>
        </is>
      </c>
      <c r="E1460" s="12" t="inlineStr">
        <is>
          <t>New</t>
        </is>
      </c>
      <c r="F1460" s="12" t="inlineStr"/>
      <c r="G1460" s="12" t="inlineStr">
        <is>
          <t>Maya Chen, Owner Project Controls</t>
        </is>
      </c>
      <c r="H1460" s="17" t="inlineStr">
        <is>
          <t>10 EVIDENCE &amp; DECISIONS</t>
        </is>
      </c>
    </row>
    <row r="1461" ht="34" customHeight="1">
      <c r="A1461" s="12" t="inlineStr">
        <is>
          <t>R1410-v2</t>
        </is>
      </c>
      <c r="B1461" s="12" t="inlineStr">
        <is>
          <t>Cost &amp; Forecast Control Accounts</t>
        </is>
      </c>
      <c r="C1461" s="12" t="inlineStr">
        <is>
          <t>CST-05-008</t>
        </is>
      </c>
      <c r="D1461" s="12" t="inlineStr">
        <is>
          <t>UNSURE</t>
        </is>
      </c>
      <c r="E1461" s="12" t="inlineStr">
        <is>
          <t>New</t>
        </is>
      </c>
      <c r="F1461" s="12" t="inlineStr"/>
      <c r="G1461" s="12" t="inlineStr">
        <is>
          <t>Maya Chen, Owner Project Controls</t>
        </is>
      </c>
      <c r="H1461" s="17" t="inlineStr">
        <is>
          <t>10 EVIDENCE &amp; DECISIONS</t>
        </is>
      </c>
    </row>
    <row r="1462" ht="34" customHeight="1">
      <c r="A1462" s="12" t="inlineStr">
        <is>
          <t>R1411-v2</t>
        </is>
      </c>
      <c r="B1462" s="12" t="inlineStr">
        <is>
          <t>Cost &amp; Forecast Control Accounts</t>
        </is>
      </c>
      <c r="C1462" s="12" t="inlineStr">
        <is>
          <t>CST-05-009</t>
        </is>
      </c>
      <c r="D1462" s="12" t="inlineStr">
        <is>
          <t>UNSURE</t>
        </is>
      </c>
      <c r="E1462" s="12" t="inlineStr">
        <is>
          <t>New</t>
        </is>
      </c>
      <c r="F1462" s="12" t="inlineStr"/>
      <c r="G1462" s="12" t="inlineStr">
        <is>
          <t>Maya Chen, Owner Project Controls</t>
        </is>
      </c>
      <c r="H1462" s="17" t="inlineStr">
        <is>
          <t>10 EVIDENCE &amp; DECISIONS</t>
        </is>
      </c>
    </row>
    <row r="1463" ht="34" customHeight="1">
      <c r="A1463" s="12" t="inlineStr">
        <is>
          <t>R1412-v2</t>
        </is>
      </c>
      <c r="B1463" s="12" t="inlineStr">
        <is>
          <t>Cost &amp; Forecast Control Accounts</t>
        </is>
      </c>
      <c r="C1463" s="12" t="inlineStr">
        <is>
          <t>CST-05-010</t>
        </is>
      </c>
      <c r="D1463" s="12" t="inlineStr">
        <is>
          <t>UNSURE</t>
        </is>
      </c>
      <c r="E1463" s="12" t="inlineStr">
        <is>
          <t>New</t>
        </is>
      </c>
      <c r="F1463" s="12" t="inlineStr"/>
      <c r="G1463" s="12" t="inlineStr">
        <is>
          <t>Maya Chen, Owner Project Controls</t>
        </is>
      </c>
      <c r="H1463" s="17" t="inlineStr">
        <is>
          <t>10 EVIDENCE &amp; DECISIONS</t>
        </is>
      </c>
    </row>
    <row r="1464" ht="34" customHeight="1">
      <c r="A1464" s="12" t="inlineStr">
        <is>
          <t>R1413-v2</t>
        </is>
      </c>
      <c r="B1464" s="12" t="inlineStr">
        <is>
          <t>Cost &amp; Forecast Control Accounts</t>
        </is>
      </c>
      <c r="C1464" s="12" t="inlineStr">
        <is>
          <t>CST-05-011</t>
        </is>
      </c>
      <c r="D1464" s="12" t="inlineStr">
        <is>
          <t>UNSURE</t>
        </is>
      </c>
      <c r="E1464" s="12" t="inlineStr">
        <is>
          <t>New</t>
        </is>
      </c>
      <c r="F1464" s="12" t="inlineStr"/>
      <c r="G1464" s="12" t="inlineStr">
        <is>
          <t>Maya Chen, Owner Project Controls</t>
        </is>
      </c>
      <c r="H1464" s="17" t="inlineStr">
        <is>
          <t>10 EVIDENCE &amp; DECISIONS</t>
        </is>
      </c>
    </row>
    <row r="1465" ht="34" customHeight="1">
      <c r="A1465" s="12" t="inlineStr">
        <is>
          <t>R1414-v2</t>
        </is>
      </c>
      <c r="B1465" s="12" t="inlineStr">
        <is>
          <t>Cost &amp; Forecast Control Accounts</t>
        </is>
      </c>
      <c r="C1465" s="12" t="inlineStr">
        <is>
          <t>CST-05-012</t>
        </is>
      </c>
      <c r="D1465" s="12" t="inlineStr">
        <is>
          <t>UNSURE</t>
        </is>
      </c>
      <c r="E1465" s="12" t="inlineStr">
        <is>
          <t>New</t>
        </is>
      </c>
      <c r="F1465" s="12" t="inlineStr"/>
      <c r="G1465" s="12" t="inlineStr">
        <is>
          <t>Maya Chen, Owner Project Controls</t>
        </is>
      </c>
      <c r="H1465" s="17" t="inlineStr">
        <is>
          <t>10 EVIDENCE &amp; DECISIONS</t>
        </is>
      </c>
    </row>
    <row r="1466" ht="34" customHeight="1">
      <c r="A1466" s="12" t="inlineStr">
        <is>
          <t>R1415-v2</t>
        </is>
      </c>
      <c r="B1466" s="12" t="inlineStr">
        <is>
          <t>Cost &amp; Forecast Control Accounts</t>
        </is>
      </c>
      <c r="C1466" s="12" t="inlineStr">
        <is>
          <t>CST-05-013</t>
        </is>
      </c>
      <c r="D1466" s="12" t="inlineStr">
        <is>
          <t>UNSURE</t>
        </is>
      </c>
      <c r="E1466" s="12" t="inlineStr">
        <is>
          <t>New</t>
        </is>
      </c>
      <c r="F1466" s="12" t="inlineStr"/>
      <c r="G1466" s="12" t="inlineStr">
        <is>
          <t>Maya Chen, Owner Project Controls</t>
        </is>
      </c>
      <c r="H1466" s="17" t="inlineStr">
        <is>
          <t>10 EVIDENCE &amp; DECISIONS</t>
        </is>
      </c>
    </row>
    <row r="1467" ht="34" customHeight="1">
      <c r="A1467" s="12" t="inlineStr">
        <is>
          <t>R1416-v2</t>
        </is>
      </c>
      <c r="B1467" s="12" t="inlineStr">
        <is>
          <t>Cost &amp; Forecast Control Accounts</t>
        </is>
      </c>
      <c r="C1467" s="12" t="inlineStr">
        <is>
          <t>CST-05-014</t>
        </is>
      </c>
      <c r="D1467" s="12" t="inlineStr">
        <is>
          <t>UNSURE</t>
        </is>
      </c>
      <c r="E1467" s="12" t="inlineStr">
        <is>
          <t>New</t>
        </is>
      </c>
      <c r="F1467" s="12" t="inlineStr"/>
      <c r="G1467" s="12" t="inlineStr">
        <is>
          <t>Maya Chen, Owner Project Controls</t>
        </is>
      </c>
      <c r="H1467" s="17" t="inlineStr">
        <is>
          <t>10 EVIDENCE &amp; DECISIONS</t>
        </is>
      </c>
    </row>
    <row r="1468" ht="34" customHeight="1">
      <c r="A1468" s="12" t="inlineStr">
        <is>
          <t>R1417-v2</t>
        </is>
      </c>
      <c r="B1468" s="12" t="inlineStr">
        <is>
          <t>Cost &amp; Forecast Control Accounts</t>
        </is>
      </c>
      <c r="C1468" s="12" t="inlineStr">
        <is>
          <t>CST-05-015</t>
        </is>
      </c>
      <c r="D1468" s="12" t="inlineStr">
        <is>
          <t>UNSURE</t>
        </is>
      </c>
      <c r="E1468" s="12" t="inlineStr">
        <is>
          <t>New</t>
        </is>
      </c>
      <c r="F1468" s="12" t="inlineStr"/>
      <c r="G1468" s="12" t="inlineStr">
        <is>
          <t>Maya Chen, Owner Project Controls</t>
        </is>
      </c>
      <c r="H1468" s="17" t="inlineStr">
        <is>
          <t>10 EVIDENCE &amp; DECISIONS</t>
        </is>
      </c>
    </row>
    <row r="1469" ht="34" customHeight="1">
      <c r="A1469" s="12" t="inlineStr">
        <is>
          <t>R1418-v2</t>
        </is>
      </c>
      <c r="B1469" s="12" t="inlineStr">
        <is>
          <t>Cost &amp; Forecast Control Accounts</t>
        </is>
      </c>
      <c r="C1469" s="12" t="inlineStr">
        <is>
          <t>CST-05-016</t>
        </is>
      </c>
      <c r="D1469" s="12" t="inlineStr">
        <is>
          <t>UNSURE</t>
        </is>
      </c>
      <c r="E1469" s="12" t="inlineStr">
        <is>
          <t>New</t>
        </is>
      </c>
      <c r="F1469" s="12" t="inlineStr"/>
      <c r="G1469" s="12" t="inlineStr">
        <is>
          <t>Maya Chen, Owner Project Controls</t>
        </is>
      </c>
      <c r="H1469" s="17" t="inlineStr">
        <is>
          <t>10 EVIDENCE &amp; DECISIONS</t>
        </is>
      </c>
    </row>
    <row r="1470" ht="34" customHeight="1">
      <c r="A1470" s="12" t="inlineStr">
        <is>
          <t>R1419-v2</t>
        </is>
      </c>
      <c r="B1470" s="12" t="inlineStr">
        <is>
          <t>Cost &amp; Forecast Control Accounts</t>
        </is>
      </c>
      <c r="C1470" s="12" t="inlineStr">
        <is>
          <t>CST-05-017</t>
        </is>
      </c>
      <c r="D1470" s="12" t="inlineStr">
        <is>
          <t>UNSURE</t>
        </is>
      </c>
      <c r="E1470" s="12" t="inlineStr">
        <is>
          <t>New</t>
        </is>
      </c>
      <c r="F1470" s="12" t="inlineStr"/>
      <c r="G1470" s="12" t="inlineStr">
        <is>
          <t>Maya Chen, Owner Project Controls</t>
        </is>
      </c>
      <c r="H1470" s="17" t="inlineStr">
        <is>
          <t>10 EVIDENCE &amp; DECISIONS</t>
        </is>
      </c>
    </row>
    <row r="1471" ht="34" customHeight="1">
      <c r="A1471" s="12" t="inlineStr">
        <is>
          <t>R1420-v2</t>
        </is>
      </c>
      <c r="B1471" s="12" t="inlineStr">
        <is>
          <t>Cost &amp; Forecast Control Accounts</t>
        </is>
      </c>
      <c r="C1471" s="12" t="inlineStr">
        <is>
          <t>CST-05-018</t>
        </is>
      </c>
      <c r="D1471" s="12" t="inlineStr">
        <is>
          <t>UNSURE</t>
        </is>
      </c>
      <c r="E1471" s="12" t="inlineStr">
        <is>
          <t>New</t>
        </is>
      </c>
      <c r="F1471" s="12" t="inlineStr"/>
      <c r="G1471" s="12" t="inlineStr">
        <is>
          <t>Maya Chen, Owner Project Controls</t>
        </is>
      </c>
      <c r="H1471" s="17" t="inlineStr">
        <is>
          <t>10 EVIDENCE &amp; DECISIONS</t>
        </is>
      </c>
    </row>
    <row r="1472" ht="34" customHeight="1">
      <c r="A1472" s="12" t="inlineStr">
        <is>
          <t>R1421-v2</t>
        </is>
      </c>
      <c r="B1472" s="12" t="inlineStr">
        <is>
          <t>Cost &amp; Forecast Control Accounts</t>
        </is>
      </c>
      <c r="C1472" s="12" t="inlineStr">
        <is>
          <t>CST-05-019</t>
        </is>
      </c>
      <c r="D1472" s="12" t="inlineStr">
        <is>
          <t>UNSURE</t>
        </is>
      </c>
      <c r="E1472" s="12" t="inlineStr">
        <is>
          <t>New</t>
        </is>
      </c>
      <c r="F1472" s="12" t="inlineStr"/>
      <c r="G1472" s="12" t="inlineStr">
        <is>
          <t>Maya Chen, Owner Project Controls</t>
        </is>
      </c>
      <c r="H1472" s="17" t="inlineStr">
        <is>
          <t>10 EVIDENCE &amp; DECISIONS</t>
        </is>
      </c>
    </row>
    <row r="1473" ht="34" customHeight="1">
      <c r="A1473" s="12" t="inlineStr">
        <is>
          <t>R1422-v2</t>
        </is>
      </c>
      <c r="B1473" s="12" t="inlineStr">
        <is>
          <t>Cost &amp; Forecast Control Accounts</t>
        </is>
      </c>
      <c r="C1473" s="12" t="inlineStr">
        <is>
          <t>CST-05-020</t>
        </is>
      </c>
      <c r="D1473" s="12" t="inlineStr">
        <is>
          <t>UNSURE</t>
        </is>
      </c>
      <c r="E1473" s="12" t="inlineStr">
        <is>
          <t>New</t>
        </is>
      </c>
      <c r="F1473" s="12" t="inlineStr"/>
      <c r="G1473" s="12" t="inlineStr">
        <is>
          <t>Maya Chen, Owner Project Controls</t>
        </is>
      </c>
      <c r="H1473" s="17" t="inlineStr">
        <is>
          <t>10 EVIDENCE &amp; DECISIONS</t>
        </is>
      </c>
    </row>
    <row r="1474" ht="34" customHeight="1">
      <c r="A1474" s="12" t="inlineStr">
        <is>
          <t>R1423-v2</t>
        </is>
      </c>
      <c r="B1474" s="12" t="inlineStr">
        <is>
          <t>Cost &amp; Forecast Control Accounts</t>
        </is>
      </c>
      <c r="C1474" s="12" t="inlineStr">
        <is>
          <t>CST-05-021</t>
        </is>
      </c>
      <c r="D1474" s="12" t="inlineStr">
        <is>
          <t>UNSURE</t>
        </is>
      </c>
      <c r="E1474" s="12" t="inlineStr">
        <is>
          <t>New</t>
        </is>
      </c>
      <c r="F1474" s="12" t="inlineStr"/>
      <c r="G1474" s="12" t="inlineStr">
        <is>
          <t>Maya Chen, Owner Project Controls</t>
        </is>
      </c>
      <c r="H1474" s="17" t="inlineStr">
        <is>
          <t>10 EVIDENCE &amp; DECISIONS</t>
        </is>
      </c>
    </row>
    <row r="1475" ht="34" customHeight="1">
      <c r="A1475" s="12" t="inlineStr">
        <is>
          <t>R1424-v2</t>
        </is>
      </c>
      <c r="B1475" s="12" t="inlineStr">
        <is>
          <t>Cost &amp; Forecast Control Accounts</t>
        </is>
      </c>
      <c r="C1475" s="12" t="inlineStr">
        <is>
          <t>CST-05-022</t>
        </is>
      </c>
      <c r="D1475" s="12" t="inlineStr">
        <is>
          <t>UNSURE</t>
        </is>
      </c>
      <c r="E1475" s="12" t="inlineStr">
        <is>
          <t>New</t>
        </is>
      </c>
      <c r="F1475" s="12" t="inlineStr"/>
      <c r="G1475" s="12" t="inlineStr">
        <is>
          <t>Maya Chen, Owner Project Controls</t>
        </is>
      </c>
      <c r="H1475" s="17" t="inlineStr">
        <is>
          <t>10 EVIDENCE &amp; DECISIONS</t>
        </is>
      </c>
    </row>
    <row r="1476" ht="34" customHeight="1">
      <c r="A1476" s="12" t="inlineStr">
        <is>
          <t>R1425-v2</t>
        </is>
      </c>
      <c r="B1476" s="12" t="inlineStr">
        <is>
          <t>Cost &amp; Forecast Control Accounts</t>
        </is>
      </c>
      <c r="C1476" s="12" t="inlineStr">
        <is>
          <t>CST-05-023</t>
        </is>
      </c>
      <c r="D1476" s="12" t="inlineStr">
        <is>
          <t>UNSURE</t>
        </is>
      </c>
      <c r="E1476" s="12" t="inlineStr">
        <is>
          <t>New</t>
        </is>
      </c>
      <c r="F1476" s="12" t="inlineStr"/>
      <c r="G1476" s="12" t="inlineStr">
        <is>
          <t>Maya Chen, Owner Project Controls</t>
        </is>
      </c>
      <c r="H1476" s="17" t="inlineStr">
        <is>
          <t>10 EVIDENCE &amp; DECISIONS</t>
        </is>
      </c>
    </row>
    <row r="1477" ht="34" customHeight="1">
      <c r="A1477" s="12" t="inlineStr">
        <is>
          <t>R1426-v2</t>
        </is>
      </c>
      <c r="B1477" s="12" t="inlineStr">
        <is>
          <t>Cost &amp; Forecast Control Accounts</t>
        </is>
      </c>
      <c r="C1477" s="12" t="inlineStr">
        <is>
          <t>CST-05-024</t>
        </is>
      </c>
      <c r="D1477" s="12" t="inlineStr">
        <is>
          <t>UNSURE</t>
        </is>
      </c>
      <c r="E1477" s="12" t="inlineStr">
        <is>
          <t>New</t>
        </is>
      </c>
      <c r="F1477" s="12" t="inlineStr"/>
      <c r="G1477" s="12" t="inlineStr">
        <is>
          <t>Maya Chen, Owner Project Controls</t>
        </is>
      </c>
      <c r="H1477" s="17" t="inlineStr">
        <is>
          <t>10 EVIDENCE &amp; DECISIONS</t>
        </is>
      </c>
    </row>
    <row r="1478" ht="34" customHeight="1">
      <c r="A1478" s="12" t="inlineStr">
        <is>
          <t>R1427-v2</t>
        </is>
      </c>
      <c r="B1478" s="12" t="inlineStr">
        <is>
          <t>Cost &amp; Forecast Control Accounts</t>
        </is>
      </c>
      <c r="C1478" s="12" t="inlineStr">
        <is>
          <t>CST-05-025</t>
        </is>
      </c>
      <c r="D1478" s="12" t="inlineStr">
        <is>
          <t>UNSURE</t>
        </is>
      </c>
      <c r="E1478" s="12" t="inlineStr">
        <is>
          <t>New</t>
        </is>
      </c>
      <c r="F1478" s="12" t="inlineStr"/>
      <c r="G1478" s="12" t="inlineStr">
        <is>
          <t>Maya Chen, Owner Project Controls</t>
        </is>
      </c>
      <c r="H1478" s="17" t="inlineStr">
        <is>
          <t>10 EVIDENCE &amp; DECISIONS</t>
        </is>
      </c>
    </row>
    <row r="1479" ht="34" customHeight="1">
      <c r="A1479" s="12" t="inlineStr">
        <is>
          <t>R1428-v2</t>
        </is>
      </c>
      <c r="B1479" s="12" t="inlineStr">
        <is>
          <t>Cost &amp; Forecast Control Accounts</t>
        </is>
      </c>
      <c r="C1479" s="12" t="inlineStr">
        <is>
          <t>CST-05-026</t>
        </is>
      </c>
      <c r="D1479" s="12" t="inlineStr">
        <is>
          <t>UNSURE</t>
        </is>
      </c>
      <c r="E1479" s="12" t="inlineStr">
        <is>
          <t>New</t>
        </is>
      </c>
      <c r="F1479" s="12" t="inlineStr"/>
      <c r="G1479" s="12" t="inlineStr">
        <is>
          <t>Maya Chen, Owner Project Controls</t>
        </is>
      </c>
      <c r="H1479" s="17" t="inlineStr">
        <is>
          <t>10 EVIDENCE &amp; DECISIONS</t>
        </is>
      </c>
    </row>
    <row r="1480" ht="34" customHeight="1">
      <c r="A1480" s="12" t="inlineStr">
        <is>
          <t>R1429-v2</t>
        </is>
      </c>
      <c r="B1480" s="12" t="inlineStr">
        <is>
          <t>Cost &amp; Forecast Control Accounts</t>
        </is>
      </c>
      <c r="C1480" s="12" t="inlineStr">
        <is>
          <t>CST-05-027</t>
        </is>
      </c>
      <c r="D1480" s="12" t="inlineStr">
        <is>
          <t>UNSURE</t>
        </is>
      </c>
      <c r="E1480" s="12" t="inlineStr">
        <is>
          <t>New</t>
        </is>
      </c>
      <c r="F1480" s="12" t="inlineStr"/>
      <c r="G1480" s="12" t="inlineStr">
        <is>
          <t>Maya Chen, Owner Project Controls</t>
        </is>
      </c>
      <c r="H1480" s="17" t="inlineStr">
        <is>
          <t>10 EVIDENCE &amp; DECISIONS</t>
        </is>
      </c>
    </row>
    <row r="1481" ht="34" customHeight="1">
      <c r="A1481" s="12" t="inlineStr">
        <is>
          <t>R1430-v2</t>
        </is>
      </c>
      <c r="B1481" s="12" t="inlineStr">
        <is>
          <t>Cost &amp; Forecast Control Accounts</t>
        </is>
      </c>
      <c r="C1481" s="12" t="inlineStr">
        <is>
          <t>CST-05-028</t>
        </is>
      </c>
      <c r="D1481" s="12" t="inlineStr">
        <is>
          <t>UNSURE</t>
        </is>
      </c>
      <c r="E1481" s="12" t="inlineStr">
        <is>
          <t>New</t>
        </is>
      </c>
      <c r="F1481" s="12" t="inlineStr"/>
      <c r="G1481" s="12" t="inlineStr">
        <is>
          <t>Maya Chen, Owner Project Controls</t>
        </is>
      </c>
      <c r="H1481" s="17" t="inlineStr">
        <is>
          <t>10 EVIDENCE &amp; DECISIONS</t>
        </is>
      </c>
    </row>
    <row r="1482" ht="34" customHeight="1">
      <c r="A1482" s="12" t="inlineStr">
        <is>
          <t>R1431-v2</t>
        </is>
      </c>
      <c r="B1482" s="12" t="inlineStr">
        <is>
          <t>Cost &amp; Forecast Control Accounts</t>
        </is>
      </c>
      <c r="C1482" s="12" t="inlineStr">
        <is>
          <t>CST-05-029</t>
        </is>
      </c>
      <c r="D1482" s="12" t="inlineStr">
        <is>
          <t>UNSURE</t>
        </is>
      </c>
      <c r="E1482" s="12" t="inlineStr">
        <is>
          <t>New</t>
        </is>
      </c>
      <c r="F1482" s="12" t="inlineStr"/>
      <c r="G1482" s="12" t="inlineStr">
        <is>
          <t>Maya Chen, Owner Project Controls</t>
        </is>
      </c>
      <c r="H1482" s="17" t="inlineStr">
        <is>
          <t>10 EVIDENCE &amp; DECISIONS</t>
        </is>
      </c>
    </row>
    <row r="1483" ht="34" customHeight="1">
      <c r="A1483" s="12" t="inlineStr">
        <is>
          <t>R1432-v2</t>
        </is>
      </c>
      <c r="B1483" s="12" t="inlineStr">
        <is>
          <t>Cost &amp; Forecast Control Accounts</t>
        </is>
      </c>
      <c r="C1483" s="12" t="inlineStr">
        <is>
          <t>CST-05-030</t>
        </is>
      </c>
      <c r="D1483" s="12" t="inlineStr">
        <is>
          <t>UNSURE</t>
        </is>
      </c>
      <c r="E1483" s="12" t="inlineStr">
        <is>
          <t>New</t>
        </is>
      </c>
      <c r="F1483" s="12" t="inlineStr"/>
      <c r="G1483" s="12" t="inlineStr">
        <is>
          <t>Maya Chen, Owner Project Controls</t>
        </is>
      </c>
      <c r="H1483" s="17" t="inlineStr">
        <is>
          <t>10 EVIDENCE &amp; DECISIONS</t>
        </is>
      </c>
    </row>
    <row r="1484" ht="34" customHeight="1">
      <c r="A1484" s="12" t="inlineStr">
        <is>
          <t>R1433-v2</t>
        </is>
      </c>
      <c r="B1484" s="12" t="inlineStr">
        <is>
          <t>Cost &amp; Forecast Control Accounts</t>
        </is>
      </c>
      <c r="C1484" s="12" t="inlineStr">
        <is>
          <t>CST-05-031</t>
        </is>
      </c>
      <c r="D1484" s="12" t="inlineStr">
        <is>
          <t>UNSURE</t>
        </is>
      </c>
      <c r="E1484" s="12" t="inlineStr">
        <is>
          <t>New</t>
        </is>
      </c>
      <c r="F1484" s="12" t="inlineStr"/>
      <c r="G1484" s="12" t="inlineStr">
        <is>
          <t>Maya Chen, Owner Project Controls</t>
        </is>
      </c>
      <c r="H1484" s="17" t="inlineStr">
        <is>
          <t>10 EVIDENCE &amp; DECISIONS</t>
        </is>
      </c>
    </row>
    <row r="1485" ht="34" customHeight="1">
      <c r="A1485" s="12" t="inlineStr">
        <is>
          <t>R1434-v2</t>
        </is>
      </c>
      <c r="B1485" s="12" t="inlineStr">
        <is>
          <t>Cost &amp; Forecast Control Accounts</t>
        </is>
      </c>
      <c r="C1485" s="12" t="inlineStr">
        <is>
          <t>CST-05-032</t>
        </is>
      </c>
      <c r="D1485" s="12" t="inlineStr">
        <is>
          <t>UNSURE</t>
        </is>
      </c>
      <c r="E1485" s="12" t="inlineStr">
        <is>
          <t>New</t>
        </is>
      </c>
      <c r="F1485" s="12" t="inlineStr"/>
      <c r="G1485" s="12" t="inlineStr">
        <is>
          <t>Maya Chen, Owner Project Controls</t>
        </is>
      </c>
      <c r="H1485" s="17" t="inlineStr">
        <is>
          <t>10 EVIDENCE &amp; DECISIONS</t>
        </is>
      </c>
    </row>
    <row r="1486" ht="34" customHeight="1">
      <c r="A1486" s="12" t="inlineStr">
        <is>
          <t>R1435-v2</t>
        </is>
      </c>
      <c r="B1486" s="12" t="inlineStr">
        <is>
          <t>Cost &amp; Forecast Control Accounts</t>
        </is>
      </c>
      <c r="C1486" s="12" t="inlineStr">
        <is>
          <t>CST-05-033</t>
        </is>
      </c>
      <c r="D1486" s="12" t="inlineStr">
        <is>
          <t>UNSURE</t>
        </is>
      </c>
      <c r="E1486" s="12" t="inlineStr">
        <is>
          <t>New</t>
        </is>
      </c>
      <c r="F1486" s="12" t="inlineStr"/>
      <c r="G1486" s="12" t="inlineStr">
        <is>
          <t>Maya Chen, Owner Project Controls</t>
        </is>
      </c>
      <c r="H1486" s="17" t="inlineStr">
        <is>
          <t>10 EVIDENCE &amp; DECISIONS</t>
        </is>
      </c>
    </row>
    <row r="1487" ht="34" customHeight="1">
      <c r="A1487" s="12" t="inlineStr">
        <is>
          <t>R1436-v2</t>
        </is>
      </c>
      <c r="B1487" s="12" t="inlineStr">
        <is>
          <t>Cost &amp; Forecast Control Accounts</t>
        </is>
      </c>
      <c r="C1487" s="12" t="inlineStr">
        <is>
          <t>CST-05-034</t>
        </is>
      </c>
      <c r="D1487" s="12" t="inlineStr">
        <is>
          <t>UNSURE</t>
        </is>
      </c>
      <c r="E1487" s="12" t="inlineStr">
        <is>
          <t>New</t>
        </is>
      </c>
      <c r="F1487" s="12" t="inlineStr"/>
      <c r="G1487" s="12" t="inlineStr">
        <is>
          <t>Maya Chen, Owner Project Controls</t>
        </is>
      </c>
      <c r="H1487" s="17" t="inlineStr">
        <is>
          <t>10 EVIDENCE &amp; DECISIONS</t>
        </is>
      </c>
    </row>
    <row r="1488" ht="34" customHeight="1">
      <c r="A1488" s="12" t="inlineStr">
        <is>
          <t>R1437-v2</t>
        </is>
      </c>
      <c r="B1488" s="12" t="inlineStr">
        <is>
          <t>Cost &amp; Forecast Control Accounts</t>
        </is>
      </c>
      <c r="C1488" s="12" t="inlineStr">
        <is>
          <t>CST-05-035</t>
        </is>
      </c>
      <c r="D1488" s="12" t="inlineStr">
        <is>
          <t>UNSURE</t>
        </is>
      </c>
      <c r="E1488" s="12" t="inlineStr">
        <is>
          <t>New</t>
        </is>
      </c>
      <c r="F1488" s="12" t="inlineStr"/>
      <c r="G1488" s="12" t="inlineStr">
        <is>
          <t>Maya Chen, Owner Project Controls</t>
        </is>
      </c>
      <c r="H1488" s="17" t="inlineStr">
        <is>
          <t>10 EVIDENCE &amp; DECISIONS</t>
        </is>
      </c>
    </row>
    <row r="1489" ht="34" customHeight="1">
      <c r="A1489" s="12" t="inlineStr">
        <is>
          <t>R1438-v2</t>
        </is>
      </c>
      <c r="B1489" s="12" t="inlineStr">
        <is>
          <t>Cost &amp; Forecast Control Accounts</t>
        </is>
      </c>
      <c r="C1489" s="12" t="inlineStr">
        <is>
          <t>CST-05-036</t>
        </is>
      </c>
      <c r="D1489" s="12" t="inlineStr">
        <is>
          <t>UNSURE</t>
        </is>
      </c>
      <c r="E1489" s="12" t="inlineStr">
        <is>
          <t>New</t>
        </is>
      </c>
      <c r="F1489" s="12" t="inlineStr"/>
      <c r="G1489" s="12" t="inlineStr">
        <is>
          <t>Maya Chen, Owner Project Controls</t>
        </is>
      </c>
      <c r="H1489" s="17" t="inlineStr">
        <is>
          <t>10 EVIDENCE &amp; DECISIONS</t>
        </is>
      </c>
    </row>
    <row r="1490" ht="34" customHeight="1">
      <c r="A1490" s="12" t="inlineStr">
        <is>
          <t>R1439-v2</t>
        </is>
      </c>
      <c r="B1490" s="12" t="inlineStr">
        <is>
          <t>Cost &amp; Forecast Control Accounts</t>
        </is>
      </c>
      <c r="C1490" s="12" t="inlineStr">
        <is>
          <t>CST-05-037</t>
        </is>
      </c>
      <c r="D1490" s="12" t="inlineStr">
        <is>
          <t>UNSURE</t>
        </is>
      </c>
      <c r="E1490" s="12" t="inlineStr">
        <is>
          <t>New</t>
        </is>
      </c>
      <c r="F1490" s="12" t="inlineStr"/>
      <c r="G1490" s="12" t="inlineStr">
        <is>
          <t>Maya Chen, Owner Project Controls</t>
        </is>
      </c>
      <c r="H1490" s="17" t="inlineStr">
        <is>
          <t>10 EVIDENCE &amp; DECISIONS</t>
        </is>
      </c>
    </row>
    <row r="1491" ht="34" customHeight="1">
      <c r="A1491" s="12" t="inlineStr">
        <is>
          <t>R1440-v2</t>
        </is>
      </c>
      <c r="B1491" s="12" t="inlineStr">
        <is>
          <t>Cost &amp; Forecast Control Accounts</t>
        </is>
      </c>
      <c r="C1491" s="12" t="inlineStr">
        <is>
          <t>CST-05-038</t>
        </is>
      </c>
      <c r="D1491" s="12" t="inlineStr">
        <is>
          <t>UNSURE</t>
        </is>
      </c>
      <c r="E1491" s="12" t="inlineStr">
        <is>
          <t>New</t>
        </is>
      </c>
      <c r="F1491" s="12" t="inlineStr"/>
      <c r="G1491" s="12" t="inlineStr">
        <is>
          <t>Maya Chen, Owner Project Controls</t>
        </is>
      </c>
      <c r="H1491" s="17" t="inlineStr">
        <is>
          <t>10 EVIDENCE &amp; DECISIONS</t>
        </is>
      </c>
    </row>
    <row r="1492" ht="34" customHeight="1">
      <c r="A1492" s="12" t="inlineStr">
        <is>
          <t>R1441-v2</t>
        </is>
      </c>
      <c r="B1492" s="12" t="inlineStr">
        <is>
          <t>Cost &amp; Forecast Control Accounts</t>
        </is>
      </c>
      <c r="C1492" s="12" t="inlineStr">
        <is>
          <t>CST-05-039</t>
        </is>
      </c>
      <c r="D1492" s="12" t="inlineStr">
        <is>
          <t>UNSURE</t>
        </is>
      </c>
      <c r="E1492" s="12" t="inlineStr">
        <is>
          <t>New</t>
        </is>
      </c>
      <c r="F1492" s="12" t="inlineStr"/>
      <c r="G1492" s="12" t="inlineStr">
        <is>
          <t>Maya Chen, Owner Project Controls</t>
        </is>
      </c>
      <c r="H1492" s="17" t="inlineStr">
        <is>
          <t>10 EVIDENCE &amp; DECISIONS</t>
        </is>
      </c>
    </row>
    <row r="1493" ht="34" customHeight="1">
      <c r="A1493" s="12" t="inlineStr">
        <is>
          <t>R1442-v2</t>
        </is>
      </c>
      <c r="B1493" s="12" t="inlineStr">
        <is>
          <t>Cost &amp; Forecast Control Accounts</t>
        </is>
      </c>
      <c r="C1493" s="12" t="inlineStr">
        <is>
          <t>CST-05-040</t>
        </is>
      </c>
      <c r="D1493" s="12" t="inlineStr">
        <is>
          <t>UNSURE</t>
        </is>
      </c>
      <c r="E1493" s="12" t="inlineStr">
        <is>
          <t>New</t>
        </is>
      </c>
      <c r="F1493" s="12" t="inlineStr"/>
      <c r="G1493" s="12" t="inlineStr">
        <is>
          <t>Maya Chen, Owner Project Controls</t>
        </is>
      </c>
      <c r="H1493" s="17" t="inlineStr">
        <is>
          <t>10 EVIDENCE &amp; DECISIONS</t>
        </is>
      </c>
    </row>
    <row r="1494" ht="34" customHeight="1">
      <c r="A1494" s="12" t="inlineStr">
        <is>
          <t>R1443-v2</t>
        </is>
      </c>
      <c r="B1494" s="12" t="inlineStr">
        <is>
          <t>Cost &amp; Forecast Control Accounts</t>
        </is>
      </c>
      <c r="C1494" s="12" t="inlineStr">
        <is>
          <t>CST-05-041</t>
        </is>
      </c>
      <c r="D1494" s="12" t="inlineStr">
        <is>
          <t>UNSURE</t>
        </is>
      </c>
      <c r="E1494" s="12" t="inlineStr">
        <is>
          <t>New</t>
        </is>
      </c>
      <c r="F1494" s="12" t="inlineStr"/>
      <c r="G1494" s="12" t="inlineStr">
        <is>
          <t>Maya Chen, Owner Project Controls</t>
        </is>
      </c>
      <c r="H1494" s="17" t="inlineStr">
        <is>
          <t>10 EVIDENCE &amp; DECISIONS</t>
        </is>
      </c>
    </row>
    <row r="1495" ht="34" customHeight="1">
      <c r="A1495" s="12" t="inlineStr">
        <is>
          <t>R1444-v2</t>
        </is>
      </c>
      <c r="B1495" s="12" t="inlineStr">
        <is>
          <t>Cost &amp; Forecast Control Accounts</t>
        </is>
      </c>
      <c r="C1495" s="12" t="inlineStr">
        <is>
          <t>CST-05-042</t>
        </is>
      </c>
      <c r="D1495" s="12" t="inlineStr">
        <is>
          <t>UNSURE</t>
        </is>
      </c>
      <c r="E1495" s="12" t="inlineStr">
        <is>
          <t>New</t>
        </is>
      </c>
      <c r="F1495" s="12" t="inlineStr"/>
      <c r="G1495" s="12" t="inlineStr">
        <is>
          <t>Maya Chen, Owner Project Controls</t>
        </is>
      </c>
      <c r="H1495" s="17" t="inlineStr">
        <is>
          <t>10 EVIDENCE &amp; DECISIONS</t>
        </is>
      </c>
    </row>
    <row r="1496" ht="34" customHeight="1">
      <c r="A1496" s="12" t="inlineStr">
        <is>
          <t>R1445-v2</t>
        </is>
      </c>
      <c r="B1496" s="12" t="inlineStr">
        <is>
          <t>Cost &amp; Forecast Control Accounts</t>
        </is>
      </c>
      <c r="C1496" s="12" t="inlineStr">
        <is>
          <t>CST-05-043</t>
        </is>
      </c>
      <c r="D1496" s="12" t="inlineStr">
        <is>
          <t>UNSURE</t>
        </is>
      </c>
      <c r="E1496" s="12" t="inlineStr">
        <is>
          <t>New</t>
        </is>
      </c>
      <c r="F1496" s="12" t="inlineStr"/>
      <c r="G1496" s="12" t="inlineStr">
        <is>
          <t>Maya Chen, Owner Project Controls</t>
        </is>
      </c>
      <c r="H1496" s="17" t="inlineStr">
        <is>
          <t>10 EVIDENCE &amp; DECISIONS</t>
        </is>
      </c>
    </row>
    <row r="1497" ht="34" customHeight="1">
      <c r="A1497" s="12" t="inlineStr">
        <is>
          <t>R1446-v2</t>
        </is>
      </c>
      <c r="B1497" s="12" t="inlineStr">
        <is>
          <t>Cost &amp; Forecast Control Accounts</t>
        </is>
      </c>
      <c r="C1497" s="12" t="inlineStr">
        <is>
          <t>CST-05-044</t>
        </is>
      </c>
      <c r="D1497" s="12" t="inlineStr">
        <is>
          <t>UNSURE</t>
        </is>
      </c>
      <c r="E1497" s="12" t="inlineStr">
        <is>
          <t>New</t>
        </is>
      </c>
      <c r="F1497" s="12" t="inlineStr"/>
      <c r="G1497" s="12" t="inlineStr">
        <is>
          <t>Maya Chen, Owner Project Controls</t>
        </is>
      </c>
      <c r="H1497" s="17" t="inlineStr">
        <is>
          <t>10 EVIDENCE &amp; DECISIONS</t>
        </is>
      </c>
    </row>
    <row r="1498" ht="34" customHeight="1">
      <c r="A1498" s="12" t="inlineStr">
        <is>
          <t>R1447-v2</t>
        </is>
      </c>
      <c r="B1498" s="12" t="inlineStr">
        <is>
          <t>Cost &amp; Forecast Control Accounts</t>
        </is>
      </c>
      <c r="C1498" s="12" t="inlineStr">
        <is>
          <t>CST-05-045</t>
        </is>
      </c>
      <c r="D1498" s="12" t="inlineStr">
        <is>
          <t>UNSURE</t>
        </is>
      </c>
      <c r="E1498" s="12" t="inlineStr">
        <is>
          <t>New</t>
        </is>
      </c>
      <c r="F1498" s="12" t="inlineStr"/>
      <c r="G1498" s="12" t="inlineStr">
        <is>
          <t>Maya Chen, Owner Project Controls</t>
        </is>
      </c>
      <c r="H1498" s="17" t="inlineStr">
        <is>
          <t>10 EVIDENCE &amp; DECISIONS</t>
        </is>
      </c>
    </row>
    <row r="1499" ht="34" customHeight="1">
      <c r="A1499" s="12" t="inlineStr">
        <is>
          <t>R1448-v2</t>
        </is>
      </c>
      <c r="B1499" s="12" t="inlineStr">
        <is>
          <t>Cost &amp; Forecast Control Accounts</t>
        </is>
      </c>
      <c r="C1499" s="12" t="inlineStr">
        <is>
          <t>CST-05-046</t>
        </is>
      </c>
      <c r="D1499" s="12" t="inlineStr">
        <is>
          <t>UNSURE</t>
        </is>
      </c>
      <c r="E1499" s="12" t="inlineStr">
        <is>
          <t>New</t>
        </is>
      </c>
      <c r="F1499" s="12" t="inlineStr"/>
      <c r="G1499" s="12" t="inlineStr">
        <is>
          <t>Maya Chen, Owner Project Controls</t>
        </is>
      </c>
      <c r="H1499" s="17" t="inlineStr">
        <is>
          <t>10 EVIDENCE &amp; DECISIONS</t>
        </is>
      </c>
    </row>
    <row r="1500" ht="34" customHeight="1">
      <c r="A1500" s="12" t="inlineStr">
        <is>
          <t>R1449-v2</t>
        </is>
      </c>
      <c r="B1500" s="12" t="inlineStr">
        <is>
          <t>Cost &amp; Forecast Control Accounts</t>
        </is>
      </c>
      <c r="C1500" s="12" t="inlineStr">
        <is>
          <t>CST-05-047</t>
        </is>
      </c>
      <c r="D1500" s="12" t="inlineStr">
        <is>
          <t>UNSURE</t>
        </is>
      </c>
      <c r="E1500" s="12" t="inlineStr">
        <is>
          <t>New</t>
        </is>
      </c>
      <c r="F1500" s="12" t="inlineStr"/>
      <c r="G1500" s="12" t="inlineStr">
        <is>
          <t>Maya Chen, Owner Project Controls</t>
        </is>
      </c>
      <c r="H1500" s="17" t="inlineStr">
        <is>
          <t>10 EVIDENCE &amp; DECISIONS</t>
        </is>
      </c>
    </row>
    <row r="1501" ht="34" customHeight="1">
      <c r="A1501" s="12" t="inlineStr">
        <is>
          <t>R1450-v2</t>
        </is>
      </c>
      <c r="B1501" s="12" t="inlineStr">
        <is>
          <t>Cost &amp; Forecast Control Accounts</t>
        </is>
      </c>
      <c r="C1501" s="12" t="inlineStr">
        <is>
          <t>CST-05-048</t>
        </is>
      </c>
      <c r="D1501" s="12" t="inlineStr">
        <is>
          <t>UNSURE</t>
        </is>
      </c>
      <c r="E1501" s="12" t="inlineStr">
        <is>
          <t>New</t>
        </is>
      </c>
      <c r="F1501" s="12" t="inlineStr"/>
      <c r="G1501" s="12" t="inlineStr">
        <is>
          <t>Maya Chen, Owner Project Controls</t>
        </is>
      </c>
      <c r="H1501" s="17" t="inlineStr">
        <is>
          <t>10 EVIDENCE &amp; DECISIONS</t>
        </is>
      </c>
    </row>
    <row r="1502" ht="34" customHeight="1">
      <c r="A1502" s="12" t="inlineStr">
        <is>
          <t>R1451-v2</t>
        </is>
      </c>
      <c r="B1502" s="12" t="inlineStr">
        <is>
          <t>Cost &amp; Forecast Control Accounts</t>
        </is>
      </c>
      <c r="C1502" s="12" t="inlineStr">
        <is>
          <t>CST-05-049</t>
        </is>
      </c>
      <c r="D1502" s="12" t="inlineStr">
        <is>
          <t>UNSURE</t>
        </is>
      </c>
      <c r="E1502" s="12" t="inlineStr">
        <is>
          <t>New</t>
        </is>
      </c>
      <c r="F1502" s="12" t="inlineStr"/>
      <c r="G1502" s="12" t="inlineStr">
        <is>
          <t>Maya Chen, Owner Project Controls</t>
        </is>
      </c>
      <c r="H1502" s="17" t="inlineStr">
        <is>
          <t>10 EVIDENCE &amp; DECISIONS</t>
        </is>
      </c>
    </row>
    <row r="1503" ht="34" customHeight="1">
      <c r="A1503" s="12" t="inlineStr">
        <is>
          <t>R1452-v2</t>
        </is>
      </c>
      <c r="B1503" s="12" t="inlineStr">
        <is>
          <t>Cost &amp; Forecast Control Accounts</t>
        </is>
      </c>
      <c r="C1503" s="12" t="inlineStr">
        <is>
          <t>CST-05-050</t>
        </is>
      </c>
      <c r="D1503" s="12" t="inlineStr">
        <is>
          <t>UNSURE</t>
        </is>
      </c>
      <c r="E1503" s="12" t="inlineStr">
        <is>
          <t>New</t>
        </is>
      </c>
      <c r="F1503" s="12" t="inlineStr"/>
      <c r="G1503" s="12" t="inlineStr">
        <is>
          <t>Maya Chen, Owner Project Controls</t>
        </is>
      </c>
      <c r="H1503" s="17" t="inlineStr">
        <is>
          <t>10 EVIDENCE &amp; DECISIONS</t>
        </is>
      </c>
    </row>
    <row r="1504" ht="34" customHeight="1">
      <c r="A1504" s="12" t="inlineStr">
        <is>
          <t>R1453-v2</t>
        </is>
      </c>
      <c r="B1504" s="12" t="inlineStr">
        <is>
          <t>Cost &amp; Forecast Control Accounts</t>
        </is>
      </c>
      <c r="C1504" s="12" t="inlineStr">
        <is>
          <t>CST-05-051</t>
        </is>
      </c>
      <c r="D1504" s="12" t="inlineStr">
        <is>
          <t>UNSURE</t>
        </is>
      </c>
      <c r="E1504" s="12" t="inlineStr">
        <is>
          <t>New</t>
        </is>
      </c>
      <c r="F1504" s="12" t="inlineStr"/>
      <c r="G1504" s="12" t="inlineStr">
        <is>
          <t>Maya Chen, Owner Project Controls</t>
        </is>
      </c>
      <c r="H1504" s="17" t="inlineStr">
        <is>
          <t>10 EVIDENCE &amp; DECISIONS</t>
        </is>
      </c>
    </row>
    <row r="1505" ht="34" customHeight="1">
      <c r="A1505" s="12" t="inlineStr">
        <is>
          <t>R1454-v2</t>
        </is>
      </c>
      <c r="B1505" s="12" t="inlineStr">
        <is>
          <t>Cost &amp; Forecast Control Accounts</t>
        </is>
      </c>
      <c r="C1505" s="12" t="inlineStr">
        <is>
          <t>CST-05-052</t>
        </is>
      </c>
      <c r="D1505" s="12" t="inlineStr">
        <is>
          <t>UNSURE</t>
        </is>
      </c>
      <c r="E1505" s="12" t="inlineStr">
        <is>
          <t>New</t>
        </is>
      </c>
      <c r="F1505" s="12" t="inlineStr"/>
      <c r="G1505" s="12" t="inlineStr">
        <is>
          <t>Maya Chen, Owner Project Controls</t>
        </is>
      </c>
      <c r="H1505" s="17" t="inlineStr">
        <is>
          <t>10 EVIDENCE &amp; DECISIONS</t>
        </is>
      </c>
    </row>
    <row r="1506" ht="34" customHeight="1">
      <c r="A1506" s="12" t="inlineStr">
        <is>
          <t>R1455-v2</t>
        </is>
      </c>
      <c r="B1506" s="12" t="inlineStr">
        <is>
          <t>Cost &amp; Forecast Control Accounts</t>
        </is>
      </c>
      <c r="C1506" s="12" t="inlineStr">
        <is>
          <t>CST-05-053</t>
        </is>
      </c>
      <c r="D1506" s="12" t="inlineStr">
        <is>
          <t>UNSURE</t>
        </is>
      </c>
      <c r="E1506" s="12" t="inlineStr">
        <is>
          <t>New</t>
        </is>
      </c>
      <c r="F1506" s="12" t="inlineStr"/>
      <c r="G1506" s="12" t="inlineStr">
        <is>
          <t>Maya Chen, Owner Project Controls</t>
        </is>
      </c>
      <c r="H1506" s="17" t="inlineStr">
        <is>
          <t>10 EVIDENCE &amp; DECISIONS</t>
        </is>
      </c>
    </row>
    <row r="1507" ht="34" customHeight="1">
      <c r="A1507" s="12" t="inlineStr">
        <is>
          <t>R1456-v2</t>
        </is>
      </c>
      <c r="B1507" s="12" t="inlineStr">
        <is>
          <t>Cost &amp; Forecast Control Accounts</t>
        </is>
      </c>
      <c r="C1507" s="12" t="inlineStr">
        <is>
          <t>CST-05-054</t>
        </is>
      </c>
      <c r="D1507" s="12" t="inlineStr">
        <is>
          <t>UNSURE</t>
        </is>
      </c>
      <c r="E1507" s="12" t="inlineStr">
        <is>
          <t>New</t>
        </is>
      </c>
      <c r="F1507" s="12" t="inlineStr"/>
      <c r="G1507" s="12" t="inlineStr">
        <is>
          <t>Maya Chen, Owner Project Controls</t>
        </is>
      </c>
      <c r="H1507" s="17" t="inlineStr">
        <is>
          <t>10 EVIDENCE &amp; DECISIONS</t>
        </is>
      </c>
    </row>
    <row r="1508" ht="34" customHeight="1">
      <c r="A1508" s="12" t="inlineStr">
        <is>
          <t>R1457-v2</t>
        </is>
      </c>
      <c r="B1508" s="12" t="inlineStr">
        <is>
          <t>Cost &amp; Forecast Control Accounts</t>
        </is>
      </c>
      <c r="C1508" s="12" t="inlineStr">
        <is>
          <t>CST-05-055</t>
        </is>
      </c>
      <c r="D1508" s="12" t="inlineStr">
        <is>
          <t>UNSURE</t>
        </is>
      </c>
      <c r="E1508" s="12" t="inlineStr">
        <is>
          <t>New</t>
        </is>
      </c>
      <c r="F1508" s="12" t="inlineStr"/>
      <c r="G1508" s="12" t="inlineStr">
        <is>
          <t>Maya Chen, Owner Project Controls</t>
        </is>
      </c>
      <c r="H1508" s="17" t="inlineStr">
        <is>
          <t>10 EVIDENCE &amp; DECISIONS</t>
        </is>
      </c>
    </row>
    <row r="1509" ht="34" customHeight="1">
      <c r="A1509" s="12" t="inlineStr">
        <is>
          <t>R1458-v2</t>
        </is>
      </c>
      <c r="B1509" s="12" t="inlineStr">
        <is>
          <t>Cost &amp; Forecast Control Accounts</t>
        </is>
      </c>
      <c r="C1509" s="12" t="inlineStr">
        <is>
          <t>CST-05-056</t>
        </is>
      </c>
      <c r="D1509" s="12" t="inlineStr">
        <is>
          <t>UNSURE</t>
        </is>
      </c>
      <c r="E1509" s="12" t="inlineStr">
        <is>
          <t>New</t>
        </is>
      </c>
      <c r="F1509" s="12" t="inlineStr"/>
      <c r="G1509" s="12" t="inlineStr">
        <is>
          <t>Maya Chen, Owner Project Controls</t>
        </is>
      </c>
      <c r="H1509" s="17" t="inlineStr">
        <is>
          <t>10 EVIDENCE &amp; DECISIONS</t>
        </is>
      </c>
    </row>
    <row r="1510" ht="34" customHeight="1">
      <c r="A1510" s="12" t="inlineStr">
        <is>
          <t>R1459-v2</t>
        </is>
      </c>
      <c r="B1510" s="12" t="inlineStr">
        <is>
          <t>Cost &amp; Forecast Control Accounts</t>
        </is>
      </c>
      <c r="C1510" s="12" t="inlineStr">
        <is>
          <t>CST-05-057</t>
        </is>
      </c>
      <c r="D1510" s="12" t="inlineStr">
        <is>
          <t>UNSURE</t>
        </is>
      </c>
      <c r="E1510" s="12" t="inlineStr">
        <is>
          <t>New</t>
        </is>
      </c>
      <c r="F1510" s="12" t="inlineStr"/>
      <c r="G1510" s="12" t="inlineStr">
        <is>
          <t>Maya Chen, Owner Project Controls</t>
        </is>
      </c>
      <c r="H1510" s="17" t="inlineStr">
        <is>
          <t>10 EVIDENCE &amp; DECISIONS</t>
        </is>
      </c>
    </row>
    <row r="1511" ht="34" customHeight="1">
      <c r="A1511" s="12" t="inlineStr">
        <is>
          <t>R1460-v2</t>
        </is>
      </c>
      <c r="B1511" s="12" t="inlineStr">
        <is>
          <t>Cost &amp; Forecast Control Accounts</t>
        </is>
      </c>
      <c r="C1511" s="12" t="inlineStr">
        <is>
          <t>CST-05-058</t>
        </is>
      </c>
      <c r="D1511" s="12" t="inlineStr">
        <is>
          <t>UNSURE</t>
        </is>
      </c>
      <c r="E1511" s="12" t="inlineStr">
        <is>
          <t>New</t>
        </is>
      </c>
      <c r="F1511" s="12" t="inlineStr"/>
      <c r="G1511" s="12" t="inlineStr">
        <is>
          <t>Maya Chen, Owner Project Controls</t>
        </is>
      </c>
      <c r="H1511" s="17" t="inlineStr">
        <is>
          <t>10 EVIDENCE &amp; DECISIONS</t>
        </is>
      </c>
    </row>
    <row r="1512" ht="34" customHeight="1">
      <c r="A1512" s="12" t="inlineStr">
        <is>
          <t>R1461-v2</t>
        </is>
      </c>
      <c r="B1512" s="12" t="inlineStr">
        <is>
          <t>Cost &amp; Forecast Control Accounts</t>
        </is>
      </c>
      <c r="C1512" s="12" t="inlineStr">
        <is>
          <t>CST-05-059</t>
        </is>
      </c>
      <c r="D1512" s="12" t="inlineStr">
        <is>
          <t>UNSURE</t>
        </is>
      </c>
      <c r="E1512" s="12" t="inlineStr">
        <is>
          <t>New</t>
        </is>
      </c>
      <c r="F1512" s="12" t="inlineStr"/>
      <c r="G1512" s="12" t="inlineStr">
        <is>
          <t>Maya Chen, Owner Project Controls</t>
        </is>
      </c>
      <c r="H1512" s="17" t="inlineStr">
        <is>
          <t>10 EVIDENCE &amp; DECISIONS</t>
        </is>
      </c>
    </row>
    <row r="1513" ht="34" customHeight="1">
      <c r="A1513" s="12" t="inlineStr">
        <is>
          <t>R1462-v2</t>
        </is>
      </c>
      <c r="B1513" s="12" t="inlineStr">
        <is>
          <t>Cost &amp; Forecast Control Accounts</t>
        </is>
      </c>
      <c r="C1513" s="12" t="inlineStr">
        <is>
          <t>CST-05-060</t>
        </is>
      </c>
      <c r="D1513" s="12" t="inlineStr">
        <is>
          <t>UNSURE</t>
        </is>
      </c>
      <c r="E1513" s="12" t="inlineStr">
        <is>
          <t>New</t>
        </is>
      </c>
      <c r="F1513" s="12" t="inlineStr"/>
      <c r="G1513" s="12" t="inlineStr">
        <is>
          <t>Maya Chen, Owner Project Controls</t>
        </is>
      </c>
      <c r="H1513" s="17" t="inlineStr">
        <is>
          <t>10 EVIDENCE &amp; DECISIONS</t>
        </is>
      </c>
    </row>
    <row r="1514" ht="34" customHeight="1">
      <c r="A1514" s="12" t="inlineStr">
        <is>
          <t>R1463-v2</t>
        </is>
      </c>
      <c r="B1514" s="12" t="inlineStr">
        <is>
          <t>Cost &amp; Forecast Control Accounts</t>
        </is>
      </c>
      <c r="C1514" s="12" t="inlineStr">
        <is>
          <t>CST-05-061</t>
        </is>
      </c>
      <c r="D1514" s="12" t="inlineStr">
        <is>
          <t>UNSURE</t>
        </is>
      </c>
      <c r="E1514" s="12" t="inlineStr">
        <is>
          <t>New</t>
        </is>
      </c>
      <c r="F1514" s="12" t="inlineStr"/>
      <c r="G1514" s="12" t="inlineStr">
        <is>
          <t>Maya Chen, Owner Project Controls</t>
        </is>
      </c>
      <c r="H1514" s="17" t="inlineStr">
        <is>
          <t>10 EVIDENCE &amp; DECISIONS</t>
        </is>
      </c>
    </row>
    <row r="1515" ht="34" customHeight="1">
      <c r="A1515" s="12" t="inlineStr">
        <is>
          <t>R1464-v2</t>
        </is>
      </c>
      <c r="B1515" s="12" t="inlineStr">
        <is>
          <t>Cost &amp; Forecast Control Accounts</t>
        </is>
      </c>
      <c r="C1515" s="12" t="inlineStr">
        <is>
          <t>CST-05-062</t>
        </is>
      </c>
      <c r="D1515" s="12" t="inlineStr">
        <is>
          <t>UNSURE</t>
        </is>
      </c>
      <c r="E1515" s="12" t="inlineStr">
        <is>
          <t>New</t>
        </is>
      </c>
      <c r="F1515" s="12" t="inlineStr"/>
      <c r="G1515" s="12" t="inlineStr">
        <is>
          <t>Maya Chen, Owner Project Controls</t>
        </is>
      </c>
      <c r="H1515" s="17" t="inlineStr">
        <is>
          <t>10 EVIDENCE &amp; DECISIONS</t>
        </is>
      </c>
    </row>
    <row r="1516" ht="34" customHeight="1">
      <c r="A1516" s="12" t="inlineStr">
        <is>
          <t>R1465-v2</t>
        </is>
      </c>
      <c r="B1516" s="12" t="inlineStr">
        <is>
          <t>Cost &amp; Forecast Control Accounts</t>
        </is>
      </c>
      <c r="C1516" s="12" t="inlineStr">
        <is>
          <t>CST-05-063</t>
        </is>
      </c>
      <c r="D1516" s="12" t="inlineStr">
        <is>
          <t>UNSURE</t>
        </is>
      </c>
      <c r="E1516" s="12" t="inlineStr">
        <is>
          <t>New</t>
        </is>
      </c>
      <c r="F1516" s="12" t="inlineStr"/>
      <c r="G1516" s="12" t="inlineStr">
        <is>
          <t>Maya Chen, Owner Project Controls</t>
        </is>
      </c>
      <c r="H1516" s="17" t="inlineStr">
        <is>
          <t>10 EVIDENCE &amp; DECISIONS</t>
        </is>
      </c>
    </row>
    <row r="1517" ht="34" customHeight="1">
      <c r="A1517" s="12" t="inlineStr">
        <is>
          <t>R1466-v2</t>
        </is>
      </c>
      <c r="B1517" s="12" t="inlineStr">
        <is>
          <t>Cost &amp; Forecast Control Accounts</t>
        </is>
      </c>
      <c r="C1517" s="12" t="inlineStr">
        <is>
          <t>CST-05-064</t>
        </is>
      </c>
      <c r="D1517" s="12" t="inlineStr">
        <is>
          <t>UNSURE</t>
        </is>
      </c>
      <c r="E1517" s="12" t="inlineStr">
        <is>
          <t>New</t>
        </is>
      </c>
      <c r="F1517" s="12" t="inlineStr"/>
      <c r="G1517" s="12" t="inlineStr">
        <is>
          <t>Maya Chen, Owner Project Controls</t>
        </is>
      </c>
      <c r="H1517" s="17" t="inlineStr">
        <is>
          <t>10 EVIDENCE &amp; DECISIONS</t>
        </is>
      </c>
    </row>
    <row r="1518" ht="34" customHeight="1">
      <c r="A1518" s="12" t="inlineStr">
        <is>
          <t>R1467-v2</t>
        </is>
      </c>
      <c r="B1518" s="12" t="inlineStr">
        <is>
          <t>Cost &amp; Forecast Control Accounts</t>
        </is>
      </c>
      <c r="C1518" s="12" t="inlineStr">
        <is>
          <t>CST-05-065</t>
        </is>
      </c>
      <c r="D1518" s="12" t="inlineStr">
        <is>
          <t>UNSURE</t>
        </is>
      </c>
      <c r="E1518" s="12" t="inlineStr">
        <is>
          <t>New</t>
        </is>
      </c>
      <c r="F1518" s="12" t="inlineStr"/>
      <c r="G1518" s="12" t="inlineStr">
        <is>
          <t>Maya Chen, Owner Project Controls</t>
        </is>
      </c>
      <c r="H1518" s="17" t="inlineStr">
        <is>
          <t>10 EVIDENCE &amp; DECISIONS</t>
        </is>
      </c>
    </row>
    <row r="1519" ht="34" customHeight="1">
      <c r="A1519" s="12" t="inlineStr">
        <is>
          <t>R1468-v2</t>
        </is>
      </c>
      <c r="B1519" s="12" t="inlineStr">
        <is>
          <t>Cost &amp; Forecast Control Accounts</t>
        </is>
      </c>
      <c r="C1519" s="12" t="inlineStr">
        <is>
          <t>CST-05-066</t>
        </is>
      </c>
      <c r="D1519" s="12" t="inlineStr">
        <is>
          <t>UNSURE</t>
        </is>
      </c>
      <c r="E1519" s="12" t="inlineStr">
        <is>
          <t>New</t>
        </is>
      </c>
      <c r="F1519" s="12" t="inlineStr"/>
      <c r="G1519" s="12" t="inlineStr">
        <is>
          <t>Maya Chen, Owner Project Controls</t>
        </is>
      </c>
      <c r="H1519" s="17" t="inlineStr">
        <is>
          <t>10 EVIDENCE &amp; DECISIONS</t>
        </is>
      </c>
    </row>
    <row r="1520" ht="34" customHeight="1">
      <c r="A1520" s="12" t="inlineStr">
        <is>
          <t>R1469-v2</t>
        </is>
      </c>
      <c r="B1520" s="12" t="inlineStr">
        <is>
          <t>Cost &amp; Forecast Control Accounts</t>
        </is>
      </c>
      <c r="C1520" s="12" t="inlineStr">
        <is>
          <t>CST-05-067</t>
        </is>
      </c>
      <c r="D1520" s="12" t="inlineStr">
        <is>
          <t>UNSURE</t>
        </is>
      </c>
      <c r="E1520" s="12" t="inlineStr">
        <is>
          <t>New</t>
        </is>
      </c>
      <c r="F1520" s="12" t="inlineStr"/>
      <c r="G1520" s="12" t="inlineStr">
        <is>
          <t>Maya Chen, Owner Project Controls</t>
        </is>
      </c>
      <c r="H1520" s="17" t="inlineStr">
        <is>
          <t>10 EVIDENCE &amp; DECISIONS</t>
        </is>
      </c>
    </row>
    <row r="1521" ht="34" customHeight="1">
      <c r="A1521" s="12" t="inlineStr">
        <is>
          <t>R1470-v2</t>
        </is>
      </c>
      <c r="B1521" s="12" t="inlineStr">
        <is>
          <t>Cost &amp; Forecast Control Accounts</t>
        </is>
      </c>
      <c r="C1521" s="12" t="inlineStr">
        <is>
          <t>CST-05-068</t>
        </is>
      </c>
      <c r="D1521" s="12" t="inlineStr">
        <is>
          <t>UNSURE</t>
        </is>
      </c>
      <c r="E1521" s="12" t="inlineStr">
        <is>
          <t>New</t>
        </is>
      </c>
      <c r="F1521" s="12" t="inlineStr"/>
      <c r="G1521" s="12" t="inlineStr">
        <is>
          <t>Maya Chen, Owner Project Controls</t>
        </is>
      </c>
      <c r="H1521" s="17" t="inlineStr">
        <is>
          <t>10 EVIDENCE &amp; DECISIONS</t>
        </is>
      </c>
    </row>
    <row r="1522" ht="34" customHeight="1">
      <c r="A1522" s="12" t="inlineStr">
        <is>
          <t>R1471-v2</t>
        </is>
      </c>
      <c r="B1522" s="12" t="inlineStr">
        <is>
          <t>Cost &amp; Forecast Control Accounts</t>
        </is>
      </c>
      <c r="C1522" s="12" t="inlineStr">
        <is>
          <t>CST-05-069</t>
        </is>
      </c>
      <c r="D1522" s="12" t="inlineStr">
        <is>
          <t>UNSURE</t>
        </is>
      </c>
      <c r="E1522" s="12" t="inlineStr">
        <is>
          <t>New</t>
        </is>
      </c>
      <c r="F1522" s="12" t="inlineStr"/>
      <c r="G1522" s="12" t="inlineStr">
        <is>
          <t>Maya Chen, Owner Project Controls</t>
        </is>
      </c>
      <c r="H1522" s="17" t="inlineStr">
        <is>
          <t>10 EVIDENCE &amp; DECISIONS</t>
        </is>
      </c>
    </row>
    <row r="1523" ht="34" customHeight="1">
      <c r="A1523" s="12" t="inlineStr">
        <is>
          <t>R1472-v2</t>
        </is>
      </c>
      <c r="B1523" s="12" t="inlineStr">
        <is>
          <t>Cost &amp; Forecast Control Accounts</t>
        </is>
      </c>
      <c r="C1523" s="12" t="inlineStr">
        <is>
          <t>CST-05-070</t>
        </is>
      </c>
      <c r="D1523" s="12" t="inlineStr">
        <is>
          <t>UNSURE</t>
        </is>
      </c>
      <c r="E1523" s="12" t="inlineStr">
        <is>
          <t>New</t>
        </is>
      </c>
      <c r="F1523" s="12" t="inlineStr"/>
      <c r="G1523" s="12" t="inlineStr">
        <is>
          <t>Maya Chen, Owner Project Controls</t>
        </is>
      </c>
      <c r="H1523" s="17" t="inlineStr">
        <is>
          <t>10 EVIDENCE &amp; DECISIONS</t>
        </is>
      </c>
    </row>
    <row r="1524" ht="34" customHeight="1">
      <c r="A1524" s="12" t="inlineStr">
        <is>
          <t>R1473-v2</t>
        </is>
      </c>
      <c r="B1524" s="12" t="inlineStr">
        <is>
          <t>Cost &amp; Forecast Control Accounts</t>
        </is>
      </c>
      <c r="C1524" s="12" t="inlineStr">
        <is>
          <t>CST-05-071</t>
        </is>
      </c>
      <c r="D1524" s="12" t="inlineStr">
        <is>
          <t>UNSURE</t>
        </is>
      </c>
      <c r="E1524" s="12" t="inlineStr">
        <is>
          <t>New</t>
        </is>
      </c>
      <c r="F1524" s="12" t="inlineStr"/>
      <c r="G1524" s="12" t="inlineStr">
        <is>
          <t>Maya Chen, Owner Project Controls</t>
        </is>
      </c>
      <c r="H1524" s="17" t="inlineStr">
        <is>
          <t>10 EVIDENCE &amp; DECISIONS</t>
        </is>
      </c>
    </row>
    <row r="1525" ht="34" customHeight="1">
      <c r="A1525" s="12" t="inlineStr">
        <is>
          <t>R1474-v2</t>
        </is>
      </c>
      <c r="B1525" s="12" t="inlineStr">
        <is>
          <t>Cost &amp; Forecast Control Accounts</t>
        </is>
      </c>
      <c r="C1525" s="12" t="inlineStr">
        <is>
          <t>CST-05-072</t>
        </is>
      </c>
      <c r="D1525" s="12" t="inlineStr">
        <is>
          <t>UNSURE</t>
        </is>
      </c>
      <c r="E1525" s="12" t="inlineStr">
        <is>
          <t>New</t>
        </is>
      </c>
      <c r="F1525" s="12" t="inlineStr"/>
      <c r="G1525" s="12" t="inlineStr">
        <is>
          <t>Maya Chen, Owner Project Controls</t>
        </is>
      </c>
      <c r="H1525" s="17" t="inlineStr">
        <is>
          <t>10 EVIDENCE &amp; DECISIONS</t>
        </is>
      </c>
    </row>
    <row r="1526" ht="34" customHeight="1">
      <c r="A1526" s="12" t="inlineStr">
        <is>
          <t>R1475-v2</t>
        </is>
      </c>
      <c r="B1526" s="12" t="inlineStr">
        <is>
          <t>Cost &amp; Forecast Control Accounts</t>
        </is>
      </c>
      <c r="C1526" s="12" t="inlineStr">
        <is>
          <t>CST-05-073</t>
        </is>
      </c>
      <c r="D1526" s="12" t="inlineStr">
        <is>
          <t>UNSURE</t>
        </is>
      </c>
      <c r="E1526" s="12" t="inlineStr">
        <is>
          <t>New</t>
        </is>
      </c>
      <c r="F1526" s="12" t="inlineStr"/>
      <c r="G1526" s="12" t="inlineStr">
        <is>
          <t>Maya Chen, Owner Project Controls</t>
        </is>
      </c>
      <c r="H1526" s="17" t="inlineStr">
        <is>
          <t>10 EVIDENCE &amp; DECISIONS</t>
        </is>
      </c>
    </row>
    <row r="1527" ht="34" customHeight="1">
      <c r="A1527" s="12" t="inlineStr">
        <is>
          <t>R1476-v2</t>
        </is>
      </c>
      <c r="B1527" s="12" t="inlineStr">
        <is>
          <t>Cost &amp; Forecast Control Accounts</t>
        </is>
      </c>
      <c r="C1527" s="12" t="inlineStr">
        <is>
          <t>CST-05-074</t>
        </is>
      </c>
      <c r="D1527" s="12" t="inlineStr">
        <is>
          <t>UNSURE</t>
        </is>
      </c>
      <c r="E1527" s="12" t="inlineStr">
        <is>
          <t>New</t>
        </is>
      </c>
      <c r="F1527" s="12" t="inlineStr"/>
      <c r="G1527" s="12" t="inlineStr">
        <is>
          <t>Maya Chen, Owner Project Controls</t>
        </is>
      </c>
      <c r="H1527" s="17" t="inlineStr">
        <is>
          <t>10 EVIDENCE &amp; DECISIONS</t>
        </is>
      </c>
    </row>
    <row r="1528" ht="34" customHeight="1">
      <c r="A1528" s="12" t="inlineStr">
        <is>
          <t>R1477-v2</t>
        </is>
      </c>
      <c r="B1528" s="12" t="inlineStr">
        <is>
          <t>Cost &amp; Forecast Control Accounts</t>
        </is>
      </c>
      <c r="C1528" s="12" t="inlineStr">
        <is>
          <t>CST-05-075</t>
        </is>
      </c>
      <c r="D1528" s="12" t="inlineStr">
        <is>
          <t>UNSURE</t>
        </is>
      </c>
      <c r="E1528" s="12" t="inlineStr">
        <is>
          <t>New</t>
        </is>
      </c>
      <c r="F1528" s="12" t="inlineStr"/>
      <c r="G1528" s="12" t="inlineStr">
        <is>
          <t>Maya Chen, Owner Project Controls</t>
        </is>
      </c>
      <c r="H1528" s="17" t="inlineStr">
        <is>
          <t>10 EVIDENCE &amp; DECISIONS</t>
        </is>
      </c>
    </row>
    <row r="1529" ht="34" customHeight="1">
      <c r="A1529" s="12" t="inlineStr">
        <is>
          <t>R1478-v2</t>
        </is>
      </c>
      <c r="B1529" s="12" t="inlineStr">
        <is>
          <t>Cost &amp; Forecast Control Accounts</t>
        </is>
      </c>
      <c r="C1529" s="12" t="inlineStr">
        <is>
          <t>CST-05-076</t>
        </is>
      </c>
      <c r="D1529" s="12" t="inlineStr">
        <is>
          <t>UNSURE</t>
        </is>
      </c>
      <c r="E1529" s="12" t="inlineStr">
        <is>
          <t>New</t>
        </is>
      </c>
      <c r="F1529" s="12" t="inlineStr"/>
      <c r="G1529" s="12" t="inlineStr">
        <is>
          <t>Maya Chen, Owner Project Controls</t>
        </is>
      </c>
      <c r="H1529" s="17" t="inlineStr">
        <is>
          <t>10 EVIDENCE &amp; DECISIONS</t>
        </is>
      </c>
    </row>
    <row r="1530" ht="34" customHeight="1">
      <c r="A1530" s="12" t="inlineStr">
        <is>
          <t>R1479-v2</t>
        </is>
      </c>
      <c r="B1530" s="12" t="inlineStr">
        <is>
          <t>Cost &amp; Forecast Control Accounts</t>
        </is>
      </c>
      <c r="C1530" s="12" t="inlineStr">
        <is>
          <t>CST-05-077</t>
        </is>
      </c>
      <c r="D1530" s="12" t="inlineStr">
        <is>
          <t>UNSURE</t>
        </is>
      </c>
      <c r="E1530" s="12" t="inlineStr">
        <is>
          <t>New</t>
        </is>
      </c>
      <c r="F1530" s="12" t="inlineStr"/>
      <c r="G1530" s="12" t="inlineStr">
        <is>
          <t>Maya Chen, Owner Project Controls</t>
        </is>
      </c>
      <c r="H1530" s="17" t="inlineStr">
        <is>
          <t>10 EVIDENCE &amp; DECISIONS</t>
        </is>
      </c>
    </row>
    <row r="1531" ht="34" customHeight="1">
      <c r="A1531" s="12" t="inlineStr">
        <is>
          <t>R1480-v2</t>
        </is>
      </c>
      <c r="B1531" s="12" t="inlineStr">
        <is>
          <t>Cost &amp; Forecast Control Accounts</t>
        </is>
      </c>
      <c r="C1531" s="12" t="inlineStr">
        <is>
          <t>CST-05-078</t>
        </is>
      </c>
      <c r="D1531" s="12" t="inlineStr">
        <is>
          <t>UNSURE</t>
        </is>
      </c>
      <c r="E1531" s="12" t="inlineStr">
        <is>
          <t>New</t>
        </is>
      </c>
      <c r="F1531" s="12" t="inlineStr"/>
      <c r="G1531" s="12" t="inlineStr">
        <is>
          <t>Maya Chen, Owner Project Controls</t>
        </is>
      </c>
      <c r="H1531" s="17" t="inlineStr">
        <is>
          <t>10 EVIDENCE &amp; DECISIONS</t>
        </is>
      </c>
    </row>
    <row r="1532" ht="34" customHeight="1">
      <c r="A1532" s="12" t="inlineStr">
        <is>
          <t>R1481-v2</t>
        </is>
      </c>
      <c r="B1532" s="12" t="inlineStr">
        <is>
          <t>Cost &amp; Forecast Control Accounts</t>
        </is>
      </c>
      <c r="C1532" s="12" t="inlineStr">
        <is>
          <t>CST-05-079</t>
        </is>
      </c>
      <c r="D1532" s="12" t="inlineStr">
        <is>
          <t>UNSURE</t>
        </is>
      </c>
      <c r="E1532" s="12" t="inlineStr">
        <is>
          <t>New</t>
        </is>
      </c>
      <c r="F1532" s="12" t="inlineStr"/>
      <c r="G1532" s="12" t="inlineStr">
        <is>
          <t>Maya Chen, Owner Project Controls</t>
        </is>
      </c>
      <c r="H1532" s="17" t="inlineStr">
        <is>
          <t>10 EVIDENCE &amp; DECISIONS</t>
        </is>
      </c>
    </row>
    <row r="1533" ht="34" customHeight="1">
      <c r="A1533" s="12" t="inlineStr">
        <is>
          <t>R1482-v2</t>
        </is>
      </c>
      <c r="B1533" s="12" t="inlineStr">
        <is>
          <t>Cost &amp; Forecast Control Accounts</t>
        </is>
      </c>
      <c r="C1533" s="12" t="inlineStr">
        <is>
          <t>CST-05-080</t>
        </is>
      </c>
      <c r="D1533" s="12" t="inlineStr">
        <is>
          <t>UNSURE</t>
        </is>
      </c>
      <c r="E1533" s="12" t="inlineStr">
        <is>
          <t>New</t>
        </is>
      </c>
      <c r="F1533" s="12" t="inlineStr"/>
      <c r="G1533" s="12" t="inlineStr">
        <is>
          <t>Maya Chen, Owner Project Controls</t>
        </is>
      </c>
      <c r="H1533" s="17" t="inlineStr">
        <is>
          <t>10 EVIDENCE &amp; DECISIONS</t>
        </is>
      </c>
    </row>
    <row r="1534" ht="34" customHeight="1">
      <c r="A1534" s="12" t="inlineStr">
        <is>
          <t>R183-v2</t>
        </is>
      </c>
      <c r="B1534" s="12" t="inlineStr">
        <is>
          <t>Contractor Programme</t>
        </is>
      </c>
      <c r="C1534" s="12" t="inlineStr">
        <is>
          <t>SCH-02-003</t>
        </is>
      </c>
      <c r="D1534" s="12" t="inlineStr">
        <is>
          <t>UNSURE</t>
        </is>
      </c>
      <c r="E1534" s="12" t="inlineStr">
        <is>
          <t>New</t>
        </is>
      </c>
      <c r="F1534" s="12" t="inlineStr"/>
      <c r="G1534" s="12" t="inlineStr">
        <is>
          <t>Maya Chen, Owner Project Controls</t>
        </is>
      </c>
      <c r="H1534" s="17" t="inlineStr">
        <is>
          <t>10 EVIDENCE &amp; DECISIONS</t>
        </is>
      </c>
    </row>
    <row r="1535" ht="34" customHeight="1">
      <c r="A1535" s="12" t="inlineStr">
        <is>
          <t>R543-v2</t>
        </is>
      </c>
      <c r="B1535" s="12" t="inlineStr">
        <is>
          <t>Contractor Programme</t>
        </is>
      </c>
      <c r="C1535" s="12" t="inlineStr">
        <is>
          <t>SCH-04-003</t>
        </is>
      </c>
      <c r="D1535" s="12" t="inlineStr">
        <is>
          <t>UNSURE</t>
        </is>
      </c>
      <c r="E1535" s="12" t="inlineStr">
        <is>
          <t>New</t>
        </is>
      </c>
      <c r="F1535" s="12" t="inlineStr"/>
      <c r="G1535" s="12" t="inlineStr">
        <is>
          <t>Maya Chen, Owner Project Controls</t>
        </is>
      </c>
      <c r="H1535" s="17" t="inlineStr">
        <is>
          <t>10 EVIDENCE &amp; DECISIONS</t>
        </is>
      </c>
    </row>
    <row r="1536" ht="34" customHeight="1">
      <c r="A1536" s="12" t="inlineStr">
        <is>
          <t>R901-v2</t>
        </is>
      </c>
      <c r="B1536" s="12" t="inlineStr">
        <is>
          <t>Contractor Programme</t>
        </is>
      </c>
      <c r="C1536" s="12" t="inlineStr">
        <is>
          <t>SCH-06-001</t>
        </is>
      </c>
      <c r="D1536" s="12" t="inlineStr">
        <is>
          <t>UNSURE</t>
        </is>
      </c>
      <c r="E1536" s="12" t="inlineStr">
        <is>
          <t>New</t>
        </is>
      </c>
      <c r="F1536" s="12" t="inlineStr"/>
      <c r="G1536" s="12" t="inlineStr">
        <is>
          <t>Maya Chen, Owner Project Controls</t>
        </is>
      </c>
      <c r="H1536" s="17" t="inlineStr">
        <is>
          <t>10 EVIDENCE &amp; DECISIONS</t>
        </is>
      </c>
    </row>
    <row r="1537" ht="34" customHeight="1">
      <c r="A1537" s="12" t="inlineStr">
        <is>
          <t>R902-v2</t>
        </is>
      </c>
      <c r="B1537" s="12" t="inlineStr">
        <is>
          <t>Contractor Programme</t>
        </is>
      </c>
      <c r="C1537" s="12" t="inlineStr">
        <is>
          <t>SCH-06-002</t>
        </is>
      </c>
      <c r="D1537" s="12" t="inlineStr">
        <is>
          <t>UNSURE</t>
        </is>
      </c>
      <c r="E1537" s="12" t="inlineStr">
        <is>
          <t>New</t>
        </is>
      </c>
      <c r="F1537" s="12" t="inlineStr"/>
      <c r="G1537" s="12" t="inlineStr">
        <is>
          <t>Maya Chen, Owner Project Controls</t>
        </is>
      </c>
      <c r="H1537" s="17" t="inlineStr">
        <is>
          <t>10 EVIDENCE &amp; DECISIONS</t>
        </is>
      </c>
    </row>
    <row r="1538" ht="34" customHeight="1">
      <c r="A1538" s="12" t="inlineStr">
        <is>
          <t>R903-v2</t>
        </is>
      </c>
      <c r="B1538" s="12" t="inlineStr">
        <is>
          <t>Contractor Programme</t>
        </is>
      </c>
      <c r="C1538" s="12" t="inlineStr">
        <is>
          <t>SCH-06-003</t>
        </is>
      </c>
      <c r="D1538" s="12" t="inlineStr">
        <is>
          <t>UNSURE</t>
        </is>
      </c>
      <c r="E1538" s="12" t="inlineStr">
        <is>
          <t>New</t>
        </is>
      </c>
      <c r="F1538" s="12" t="inlineStr"/>
      <c r="G1538" s="12" t="inlineStr">
        <is>
          <t>Maya Chen, Owner Project Controls</t>
        </is>
      </c>
      <c r="H1538" s="17" t="inlineStr">
        <is>
          <t>10 EVIDENCE &amp; DECISIONS</t>
        </is>
      </c>
    </row>
    <row r="1539" ht="34" customHeight="1">
      <c r="A1539" s="12" t="inlineStr">
        <is>
          <t>R904-v2</t>
        </is>
      </c>
      <c r="B1539" s="12" t="inlineStr">
        <is>
          <t>Contractor Programme</t>
        </is>
      </c>
      <c r="C1539" s="12" t="inlineStr">
        <is>
          <t>SCH-06-004</t>
        </is>
      </c>
      <c r="D1539" s="12" t="inlineStr">
        <is>
          <t>UNSURE</t>
        </is>
      </c>
      <c r="E1539" s="12" t="inlineStr">
        <is>
          <t>New</t>
        </is>
      </c>
      <c r="F1539" s="12" t="inlineStr"/>
      <c r="G1539" s="12" t="inlineStr">
        <is>
          <t>Maya Chen, Owner Project Controls</t>
        </is>
      </c>
      <c r="H1539" s="17" t="inlineStr">
        <is>
          <t>10 EVIDENCE &amp; DECISIONS</t>
        </is>
      </c>
    </row>
    <row r="1540" ht="34" customHeight="1">
      <c r="A1540" s="12" t="inlineStr">
        <is>
          <t>R905-v2</t>
        </is>
      </c>
      <c r="B1540" s="12" t="inlineStr">
        <is>
          <t>Contractor Programme</t>
        </is>
      </c>
      <c r="C1540" s="12" t="inlineStr">
        <is>
          <t>SCH-06-005</t>
        </is>
      </c>
      <c r="D1540" s="12" t="inlineStr">
        <is>
          <t>UNSURE</t>
        </is>
      </c>
      <c r="E1540" s="12" t="inlineStr">
        <is>
          <t>New</t>
        </is>
      </c>
      <c r="F1540" s="12" t="inlineStr"/>
      <c r="G1540" s="12" t="inlineStr">
        <is>
          <t>Maya Chen, Owner Project Controls</t>
        </is>
      </c>
      <c r="H1540" s="17" t="inlineStr">
        <is>
          <t>10 EVIDENCE &amp; DECISIONS</t>
        </is>
      </c>
    </row>
    <row r="1541" ht="34" customHeight="1">
      <c r="A1541" s="12" t="inlineStr">
        <is>
          <t>R906-v2</t>
        </is>
      </c>
      <c r="B1541" s="12" t="inlineStr">
        <is>
          <t>Contractor Programme</t>
        </is>
      </c>
      <c r="C1541" s="12" t="inlineStr">
        <is>
          <t>SCH-06-006</t>
        </is>
      </c>
      <c r="D1541" s="12" t="inlineStr">
        <is>
          <t>UNSURE</t>
        </is>
      </c>
      <c r="E1541" s="12" t="inlineStr">
        <is>
          <t>New</t>
        </is>
      </c>
      <c r="F1541" s="12" t="inlineStr"/>
      <c r="G1541" s="12" t="inlineStr">
        <is>
          <t>Maya Chen, Owner Project Controls</t>
        </is>
      </c>
      <c r="H1541" s="17" t="inlineStr">
        <is>
          <t>10 EVIDENCE &amp; DECISIONS</t>
        </is>
      </c>
    </row>
    <row r="1542" ht="34" customHeight="1">
      <c r="A1542" s="12" t="inlineStr">
        <is>
          <t>R907-v2</t>
        </is>
      </c>
      <c r="B1542" s="12" t="inlineStr">
        <is>
          <t>Contractor Programme</t>
        </is>
      </c>
      <c r="C1542" s="12" t="inlineStr">
        <is>
          <t>SCH-06-007</t>
        </is>
      </c>
      <c r="D1542" s="12" t="inlineStr">
        <is>
          <t>UNSURE</t>
        </is>
      </c>
      <c r="E1542" s="12" t="inlineStr">
        <is>
          <t>New</t>
        </is>
      </c>
      <c r="F1542" s="12" t="inlineStr"/>
      <c r="G1542" s="12" t="inlineStr">
        <is>
          <t>Maya Chen, Owner Project Controls</t>
        </is>
      </c>
      <c r="H1542" s="17" t="inlineStr">
        <is>
          <t>10 EVIDENCE &amp; DECISIONS</t>
        </is>
      </c>
    </row>
    <row r="1543" ht="34" customHeight="1">
      <c r="A1543" s="12" t="inlineStr">
        <is>
          <t>R908-v2</t>
        </is>
      </c>
      <c r="B1543" s="12" t="inlineStr">
        <is>
          <t>Contractor Programme</t>
        </is>
      </c>
      <c r="C1543" s="12" t="inlineStr">
        <is>
          <t>SCH-06-008</t>
        </is>
      </c>
      <c r="D1543" s="12" t="inlineStr">
        <is>
          <t>UNSURE</t>
        </is>
      </c>
      <c r="E1543" s="12" t="inlineStr">
        <is>
          <t>New</t>
        </is>
      </c>
      <c r="F1543" s="12" t="inlineStr"/>
      <c r="G1543" s="12" t="inlineStr">
        <is>
          <t>Maya Chen, Owner Project Controls</t>
        </is>
      </c>
      <c r="H1543" s="17" t="inlineStr">
        <is>
          <t>10 EVIDENCE &amp; DECISIONS</t>
        </is>
      </c>
    </row>
    <row r="1544" ht="34" customHeight="1">
      <c r="A1544" s="12" t="inlineStr">
        <is>
          <t>R909-v2</t>
        </is>
      </c>
      <c r="B1544" s="12" t="inlineStr">
        <is>
          <t>Contractor Programme</t>
        </is>
      </c>
      <c r="C1544" s="12" t="inlineStr">
        <is>
          <t>SCH-06-009</t>
        </is>
      </c>
      <c r="D1544" s="12" t="inlineStr">
        <is>
          <t>UNSURE</t>
        </is>
      </c>
      <c r="E1544" s="12" t="inlineStr">
        <is>
          <t>New</t>
        </is>
      </c>
      <c r="F1544" s="12" t="inlineStr"/>
      <c r="G1544" s="12" t="inlineStr">
        <is>
          <t>Maya Chen, Owner Project Controls</t>
        </is>
      </c>
      <c r="H1544" s="17" t="inlineStr">
        <is>
          <t>10 EVIDENCE &amp; DECISIONS</t>
        </is>
      </c>
    </row>
    <row r="1545" ht="34" customHeight="1">
      <c r="A1545" s="12" t="inlineStr">
        <is>
          <t>R910-v2</t>
        </is>
      </c>
      <c r="B1545" s="12" t="inlineStr">
        <is>
          <t>Contractor Programme</t>
        </is>
      </c>
      <c r="C1545" s="12" t="inlineStr">
        <is>
          <t>SCH-06-010</t>
        </is>
      </c>
      <c r="D1545" s="12" t="inlineStr">
        <is>
          <t>UNSURE</t>
        </is>
      </c>
      <c r="E1545" s="12" t="inlineStr">
        <is>
          <t>New</t>
        </is>
      </c>
      <c r="F1545" s="12" t="inlineStr"/>
      <c r="G1545" s="12" t="inlineStr">
        <is>
          <t>Maya Chen, Owner Project Controls</t>
        </is>
      </c>
      <c r="H1545" s="17" t="inlineStr">
        <is>
          <t>10 EVIDENCE &amp; DECISIONS</t>
        </is>
      </c>
    </row>
    <row r="1546" ht="34" customHeight="1">
      <c r="A1546" s="12" t="inlineStr">
        <is>
          <t>R911-v2</t>
        </is>
      </c>
      <c r="B1546" s="12" t="inlineStr">
        <is>
          <t>Contractor Programme</t>
        </is>
      </c>
      <c r="C1546" s="12" t="inlineStr">
        <is>
          <t>SCH-06-011</t>
        </is>
      </c>
      <c r="D1546" s="12" t="inlineStr">
        <is>
          <t>UNSURE</t>
        </is>
      </c>
      <c r="E1546" s="12" t="inlineStr">
        <is>
          <t>New</t>
        </is>
      </c>
      <c r="F1546" s="12" t="inlineStr"/>
      <c r="G1546" s="12" t="inlineStr">
        <is>
          <t>Maya Chen, Owner Project Controls</t>
        </is>
      </c>
      <c r="H1546" s="17" t="inlineStr">
        <is>
          <t>10 EVIDENCE &amp; DECISIONS</t>
        </is>
      </c>
    </row>
    <row r="1547" ht="34" customHeight="1">
      <c r="A1547" s="12" t="inlineStr">
        <is>
          <t>R912-v2</t>
        </is>
      </c>
      <c r="B1547" s="12" t="inlineStr">
        <is>
          <t>Contractor Programme</t>
        </is>
      </c>
      <c r="C1547" s="12" t="inlineStr">
        <is>
          <t>SCH-06-012</t>
        </is>
      </c>
      <c r="D1547" s="12" t="inlineStr">
        <is>
          <t>UNSURE</t>
        </is>
      </c>
      <c r="E1547" s="12" t="inlineStr">
        <is>
          <t>New</t>
        </is>
      </c>
      <c r="F1547" s="12" t="inlineStr"/>
      <c r="G1547" s="12" t="inlineStr">
        <is>
          <t>Maya Chen, Owner Project Controls</t>
        </is>
      </c>
      <c r="H1547" s="17" t="inlineStr">
        <is>
          <t>10 EVIDENCE &amp; DECISIONS</t>
        </is>
      </c>
    </row>
    <row r="1548" ht="34" customHeight="1">
      <c r="A1548" s="12" t="inlineStr">
        <is>
          <t>R913-v2</t>
        </is>
      </c>
      <c r="B1548" s="12" t="inlineStr">
        <is>
          <t>Contractor Programme</t>
        </is>
      </c>
      <c r="C1548" s="12" t="inlineStr">
        <is>
          <t>SCH-06-013</t>
        </is>
      </c>
      <c r="D1548" s="12" t="inlineStr">
        <is>
          <t>UNSURE</t>
        </is>
      </c>
      <c r="E1548" s="12" t="inlineStr">
        <is>
          <t>New</t>
        </is>
      </c>
      <c r="F1548" s="12" t="inlineStr"/>
      <c r="G1548" s="12" t="inlineStr">
        <is>
          <t>Maya Chen, Owner Project Controls</t>
        </is>
      </c>
      <c r="H1548" s="17" t="inlineStr">
        <is>
          <t>10 EVIDENCE &amp; DECISIONS</t>
        </is>
      </c>
    </row>
    <row r="1549" ht="34" customHeight="1">
      <c r="A1549" s="12" t="inlineStr">
        <is>
          <t>R914-v2</t>
        </is>
      </c>
      <c r="B1549" s="12" t="inlineStr">
        <is>
          <t>Contractor Programme</t>
        </is>
      </c>
      <c r="C1549" s="12" t="inlineStr">
        <is>
          <t>SCH-06-014</t>
        </is>
      </c>
      <c r="D1549" s="12" t="inlineStr">
        <is>
          <t>UNSURE</t>
        </is>
      </c>
      <c r="E1549" s="12" t="inlineStr">
        <is>
          <t>New</t>
        </is>
      </c>
      <c r="F1549" s="12" t="inlineStr"/>
      <c r="G1549" s="12" t="inlineStr">
        <is>
          <t>Maya Chen, Owner Project Controls</t>
        </is>
      </c>
      <c r="H1549" s="17" t="inlineStr">
        <is>
          <t>10 EVIDENCE &amp; DECISIONS</t>
        </is>
      </c>
    </row>
    <row r="1550" ht="34" customHeight="1">
      <c r="A1550" s="12" t="inlineStr">
        <is>
          <t>R915-v2</t>
        </is>
      </c>
      <c r="B1550" s="12" t="inlineStr">
        <is>
          <t>Contractor Programme</t>
        </is>
      </c>
      <c r="C1550" s="12" t="inlineStr">
        <is>
          <t>SCH-06-015</t>
        </is>
      </c>
      <c r="D1550" s="12" t="inlineStr">
        <is>
          <t>UNSURE</t>
        </is>
      </c>
      <c r="E1550" s="12" t="inlineStr">
        <is>
          <t>New</t>
        </is>
      </c>
      <c r="F1550" s="12" t="inlineStr"/>
      <c r="G1550" s="12" t="inlineStr">
        <is>
          <t>Maya Chen, Owner Project Controls</t>
        </is>
      </c>
      <c r="H1550" s="17" t="inlineStr">
        <is>
          <t>10 EVIDENCE &amp; DECISIONS</t>
        </is>
      </c>
    </row>
    <row r="1551" ht="34" customHeight="1">
      <c r="A1551" s="12" t="inlineStr">
        <is>
          <t>R916-v2</t>
        </is>
      </c>
      <c r="B1551" s="12" t="inlineStr">
        <is>
          <t>Contractor Programme</t>
        </is>
      </c>
      <c r="C1551" s="12" t="inlineStr">
        <is>
          <t>SCH-06-016</t>
        </is>
      </c>
      <c r="D1551" s="12" t="inlineStr">
        <is>
          <t>UNSURE</t>
        </is>
      </c>
      <c r="E1551" s="12" t="inlineStr">
        <is>
          <t>New</t>
        </is>
      </c>
      <c r="F1551" s="12" t="inlineStr"/>
      <c r="G1551" s="12" t="inlineStr">
        <is>
          <t>Maya Chen, Owner Project Controls</t>
        </is>
      </c>
      <c r="H1551" s="17" t="inlineStr">
        <is>
          <t>10 EVIDENCE &amp; DECISIONS</t>
        </is>
      </c>
    </row>
    <row r="1552" ht="34" customHeight="1">
      <c r="A1552" s="12" t="inlineStr">
        <is>
          <t>R917-v2</t>
        </is>
      </c>
      <c r="B1552" s="12" t="inlineStr">
        <is>
          <t>Contractor Programme</t>
        </is>
      </c>
      <c r="C1552" s="12" t="inlineStr">
        <is>
          <t>SCH-06-017</t>
        </is>
      </c>
      <c r="D1552" s="12" t="inlineStr">
        <is>
          <t>UNSURE</t>
        </is>
      </c>
      <c r="E1552" s="12" t="inlineStr">
        <is>
          <t>New</t>
        </is>
      </c>
      <c r="F1552" s="12" t="inlineStr"/>
      <c r="G1552" s="12" t="inlineStr">
        <is>
          <t>Maya Chen, Owner Project Controls</t>
        </is>
      </c>
      <c r="H1552" s="17" t="inlineStr">
        <is>
          <t>10 EVIDENCE &amp; DECISIONS</t>
        </is>
      </c>
    </row>
    <row r="1553" ht="34" customHeight="1">
      <c r="A1553" s="12" t="inlineStr">
        <is>
          <t>R918-v2</t>
        </is>
      </c>
      <c r="B1553" s="12" t="inlineStr">
        <is>
          <t>Contractor Programme</t>
        </is>
      </c>
      <c r="C1553" s="12" t="inlineStr">
        <is>
          <t>SCH-06-018</t>
        </is>
      </c>
      <c r="D1553" s="12" t="inlineStr">
        <is>
          <t>UNSURE</t>
        </is>
      </c>
      <c r="E1553" s="12" t="inlineStr">
        <is>
          <t>New</t>
        </is>
      </c>
      <c r="F1553" s="12" t="inlineStr"/>
      <c r="G1553" s="12" t="inlineStr">
        <is>
          <t>Maya Chen, Owner Project Controls</t>
        </is>
      </c>
      <c r="H1553" s="17" t="inlineStr">
        <is>
          <t>10 EVIDENCE &amp; DECISIONS</t>
        </is>
      </c>
    </row>
    <row r="1554" ht="34" customHeight="1">
      <c r="A1554" s="12" t="inlineStr">
        <is>
          <t>R919-v2</t>
        </is>
      </c>
      <c r="B1554" s="12" t="inlineStr">
        <is>
          <t>Contractor Programme</t>
        </is>
      </c>
      <c r="C1554" s="12" t="inlineStr">
        <is>
          <t>SCH-06-019</t>
        </is>
      </c>
      <c r="D1554" s="12" t="inlineStr">
        <is>
          <t>UNSURE</t>
        </is>
      </c>
      <c r="E1554" s="12" t="inlineStr">
        <is>
          <t>New</t>
        </is>
      </c>
      <c r="F1554" s="12" t="inlineStr"/>
      <c r="G1554" s="12" t="inlineStr">
        <is>
          <t>Maya Chen, Owner Project Controls</t>
        </is>
      </c>
      <c r="H1554" s="17" t="inlineStr">
        <is>
          <t>10 EVIDENCE &amp; DECISIONS</t>
        </is>
      </c>
    </row>
    <row r="1555" ht="34" customHeight="1">
      <c r="A1555" s="12" t="inlineStr">
        <is>
          <t>R920-v2</t>
        </is>
      </c>
      <c r="B1555" s="12" t="inlineStr">
        <is>
          <t>Contractor Programme</t>
        </is>
      </c>
      <c r="C1555" s="12" t="inlineStr">
        <is>
          <t>SCH-06-020</t>
        </is>
      </c>
      <c r="D1555" s="12" t="inlineStr">
        <is>
          <t>UNSURE</t>
        </is>
      </c>
      <c r="E1555" s="12" t="inlineStr">
        <is>
          <t>New</t>
        </is>
      </c>
      <c r="F1555" s="12" t="inlineStr"/>
      <c r="G1555" s="12" t="inlineStr">
        <is>
          <t>Maya Chen, Owner Project Controls</t>
        </is>
      </c>
      <c r="H1555" s="17" t="inlineStr">
        <is>
          <t>10 EVIDENCE &amp; DECISIONS</t>
        </is>
      </c>
    </row>
    <row r="1556" ht="34" customHeight="1">
      <c r="A1556" s="12" t="inlineStr">
        <is>
          <t>R921-v2</t>
        </is>
      </c>
      <c r="B1556" s="12" t="inlineStr">
        <is>
          <t>Contractor Programme</t>
        </is>
      </c>
      <c r="C1556" s="12" t="inlineStr">
        <is>
          <t>SCH-06-021</t>
        </is>
      </c>
      <c r="D1556" s="12" t="inlineStr">
        <is>
          <t>UNSURE</t>
        </is>
      </c>
      <c r="E1556" s="12" t="inlineStr">
        <is>
          <t>New</t>
        </is>
      </c>
      <c r="F1556" s="12" t="inlineStr"/>
      <c r="G1556" s="12" t="inlineStr">
        <is>
          <t>Maya Chen, Owner Project Controls</t>
        </is>
      </c>
      <c r="H1556" s="17" t="inlineStr">
        <is>
          <t>10 EVIDENCE &amp; DECISIONS</t>
        </is>
      </c>
    </row>
    <row r="1557" ht="34" customHeight="1">
      <c r="A1557" s="12" t="inlineStr">
        <is>
          <t>R922-v2</t>
        </is>
      </c>
      <c r="B1557" s="12" t="inlineStr">
        <is>
          <t>Contractor Programme</t>
        </is>
      </c>
      <c r="C1557" s="12" t="inlineStr">
        <is>
          <t>SCH-06-022</t>
        </is>
      </c>
      <c r="D1557" s="12" t="inlineStr">
        <is>
          <t>UNSURE</t>
        </is>
      </c>
      <c r="E1557" s="12" t="inlineStr">
        <is>
          <t>New</t>
        </is>
      </c>
      <c r="F1557" s="12" t="inlineStr"/>
      <c r="G1557" s="12" t="inlineStr">
        <is>
          <t>Maya Chen, Owner Project Controls</t>
        </is>
      </c>
      <c r="H1557" s="17" t="inlineStr">
        <is>
          <t>10 EVIDENCE &amp; DECISIONS</t>
        </is>
      </c>
    </row>
    <row r="1558" ht="34" customHeight="1">
      <c r="A1558" s="12" t="inlineStr">
        <is>
          <t>R923-v2</t>
        </is>
      </c>
      <c r="B1558" s="12" t="inlineStr">
        <is>
          <t>Contractor Programme</t>
        </is>
      </c>
      <c r="C1558" s="12" t="inlineStr">
        <is>
          <t>SCH-06-023</t>
        </is>
      </c>
      <c r="D1558" s="12" t="inlineStr">
        <is>
          <t>UNSURE</t>
        </is>
      </c>
      <c r="E1558" s="12" t="inlineStr">
        <is>
          <t>New</t>
        </is>
      </c>
      <c r="F1558" s="12" t="inlineStr"/>
      <c r="G1558" s="12" t="inlineStr">
        <is>
          <t>Maya Chen, Owner Project Controls</t>
        </is>
      </c>
      <c r="H1558" s="17" t="inlineStr">
        <is>
          <t>10 EVIDENCE &amp; DECISIONS</t>
        </is>
      </c>
    </row>
    <row r="1559" ht="34" customHeight="1">
      <c r="A1559" s="12" t="inlineStr">
        <is>
          <t>R924-v2</t>
        </is>
      </c>
      <c r="B1559" s="12" t="inlineStr">
        <is>
          <t>Contractor Programme</t>
        </is>
      </c>
      <c r="C1559" s="12" t="inlineStr">
        <is>
          <t>SCH-06-024</t>
        </is>
      </c>
      <c r="D1559" s="12" t="inlineStr">
        <is>
          <t>UNSURE</t>
        </is>
      </c>
      <c r="E1559" s="12" t="inlineStr">
        <is>
          <t>New</t>
        </is>
      </c>
      <c r="F1559" s="12" t="inlineStr"/>
      <c r="G1559" s="12" t="inlineStr">
        <is>
          <t>Maya Chen, Owner Project Controls</t>
        </is>
      </c>
      <c r="H1559" s="17" t="inlineStr">
        <is>
          <t>10 EVIDENCE &amp; DECISIONS</t>
        </is>
      </c>
    </row>
    <row r="1560" ht="34" customHeight="1">
      <c r="A1560" s="12" t="inlineStr">
        <is>
          <t>R925-v2</t>
        </is>
      </c>
      <c r="B1560" s="12" t="inlineStr">
        <is>
          <t>Contractor Programme</t>
        </is>
      </c>
      <c r="C1560" s="12" t="inlineStr">
        <is>
          <t>SCH-06-025</t>
        </is>
      </c>
      <c r="D1560" s="12" t="inlineStr">
        <is>
          <t>UNSURE</t>
        </is>
      </c>
      <c r="E1560" s="12" t="inlineStr">
        <is>
          <t>New</t>
        </is>
      </c>
      <c r="F1560" s="12" t="inlineStr"/>
      <c r="G1560" s="12" t="inlineStr">
        <is>
          <t>Maya Chen, Owner Project Controls</t>
        </is>
      </c>
      <c r="H1560" s="17" t="inlineStr">
        <is>
          <t>10 EVIDENCE &amp; DECISIONS</t>
        </is>
      </c>
    </row>
    <row r="1561" ht="34" customHeight="1">
      <c r="A1561" s="12" t="inlineStr">
        <is>
          <t>R926-v2</t>
        </is>
      </c>
      <c r="B1561" s="12" t="inlineStr">
        <is>
          <t>Contractor Programme</t>
        </is>
      </c>
      <c r="C1561" s="12" t="inlineStr">
        <is>
          <t>SCH-06-026</t>
        </is>
      </c>
      <c r="D1561" s="12" t="inlineStr">
        <is>
          <t>UNSURE</t>
        </is>
      </c>
      <c r="E1561" s="12" t="inlineStr">
        <is>
          <t>New</t>
        </is>
      </c>
      <c r="F1561" s="12" t="inlineStr"/>
      <c r="G1561" s="12" t="inlineStr">
        <is>
          <t>Maya Chen, Owner Project Controls</t>
        </is>
      </c>
      <c r="H1561" s="17" t="inlineStr">
        <is>
          <t>10 EVIDENCE &amp; DECISIONS</t>
        </is>
      </c>
    </row>
    <row r="1562" ht="34" customHeight="1">
      <c r="A1562" s="12" t="inlineStr">
        <is>
          <t>R927-v2</t>
        </is>
      </c>
      <c r="B1562" s="12" t="inlineStr">
        <is>
          <t>Contractor Programme</t>
        </is>
      </c>
      <c r="C1562" s="12" t="inlineStr">
        <is>
          <t>SCH-06-027</t>
        </is>
      </c>
      <c r="D1562" s="12" t="inlineStr">
        <is>
          <t>UNSURE</t>
        </is>
      </c>
      <c r="E1562" s="12" t="inlineStr">
        <is>
          <t>New</t>
        </is>
      </c>
      <c r="F1562" s="12" t="inlineStr"/>
      <c r="G1562" s="12" t="inlineStr">
        <is>
          <t>Maya Chen, Owner Project Controls</t>
        </is>
      </c>
      <c r="H1562" s="17" t="inlineStr">
        <is>
          <t>10 EVIDENCE &amp; DECISIONS</t>
        </is>
      </c>
    </row>
    <row r="1563" ht="34" customHeight="1">
      <c r="A1563" s="12" t="inlineStr">
        <is>
          <t>R928-v2</t>
        </is>
      </c>
      <c r="B1563" s="12" t="inlineStr">
        <is>
          <t>Contractor Programme</t>
        </is>
      </c>
      <c r="C1563" s="12" t="inlineStr">
        <is>
          <t>SCH-06-028</t>
        </is>
      </c>
      <c r="D1563" s="12" t="inlineStr">
        <is>
          <t>UNSURE</t>
        </is>
      </c>
      <c r="E1563" s="12" t="inlineStr">
        <is>
          <t>New</t>
        </is>
      </c>
      <c r="F1563" s="12" t="inlineStr"/>
      <c r="G1563" s="12" t="inlineStr">
        <is>
          <t>Maya Chen, Owner Project Controls</t>
        </is>
      </c>
      <c r="H1563" s="17" t="inlineStr">
        <is>
          <t>10 EVIDENCE &amp; DECISIONS</t>
        </is>
      </c>
    </row>
    <row r="1564" ht="34" customHeight="1">
      <c r="A1564" s="12" t="inlineStr">
        <is>
          <t>R929-v2</t>
        </is>
      </c>
      <c r="B1564" s="12" t="inlineStr">
        <is>
          <t>Contractor Programme</t>
        </is>
      </c>
      <c r="C1564" s="12" t="inlineStr">
        <is>
          <t>SCH-06-029</t>
        </is>
      </c>
      <c r="D1564" s="12" t="inlineStr">
        <is>
          <t>UNSURE</t>
        </is>
      </c>
      <c r="E1564" s="12" t="inlineStr">
        <is>
          <t>New</t>
        </is>
      </c>
      <c r="F1564" s="12" t="inlineStr"/>
      <c r="G1564" s="12" t="inlineStr">
        <is>
          <t>Maya Chen, Owner Project Controls</t>
        </is>
      </c>
      <c r="H1564" s="17" t="inlineStr">
        <is>
          <t>10 EVIDENCE &amp; DECISIONS</t>
        </is>
      </c>
    </row>
    <row r="1565" ht="34" customHeight="1">
      <c r="A1565" s="12" t="inlineStr">
        <is>
          <t>R930-v2</t>
        </is>
      </c>
      <c r="B1565" s="12" t="inlineStr">
        <is>
          <t>Contractor Programme</t>
        </is>
      </c>
      <c r="C1565" s="12" t="inlineStr">
        <is>
          <t>SCH-06-030</t>
        </is>
      </c>
      <c r="D1565" s="12" t="inlineStr">
        <is>
          <t>UNSURE</t>
        </is>
      </c>
      <c r="E1565" s="12" t="inlineStr">
        <is>
          <t>New</t>
        </is>
      </c>
      <c r="F1565" s="12" t="inlineStr"/>
      <c r="G1565" s="12" t="inlineStr">
        <is>
          <t>Maya Chen, Owner Project Controls</t>
        </is>
      </c>
      <c r="H1565" s="17" t="inlineStr">
        <is>
          <t>10 EVIDENCE &amp; DECISIONS</t>
        </is>
      </c>
    </row>
    <row r="1566" ht="34" customHeight="1">
      <c r="A1566" s="12" t="inlineStr">
        <is>
          <t>R931-v2</t>
        </is>
      </c>
      <c r="B1566" s="12" t="inlineStr">
        <is>
          <t>Contractor Programme</t>
        </is>
      </c>
      <c r="C1566" s="12" t="inlineStr">
        <is>
          <t>SCH-06-031</t>
        </is>
      </c>
      <c r="D1566" s="12" t="inlineStr">
        <is>
          <t>UNSURE</t>
        </is>
      </c>
      <c r="E1566" s="12" t="inlineStr">
        <is>
          <t>New</t>
        </is>
      </c>
      <c r="F1566" s="12" t="inlineStr"/>
      <c r="G1566" s="12" t="inlineStr">
        <is>
          <t>Maya Chen, Owner Project Controls</t>
        </is>
      </c>
      <c r="H1566" s="17" t="inlineStr">
        <is>
          <t>10 EVIDENCE &amp; DECISIONS</t>
        </is>
      </c>
    </row>
    <row r="1567" ht="34" customHeight="1">
      <c r="A1567" s="12" t="inlineStr">
        <is>
          <t>R932-v2</t>
        </is>
      </c>
      <c r="B1567" s="12" t="inlineStr">
        <is>
          <t>Contractor Programme</t>
        </is>
      </c>
      <c r="C1567" s="12" t="inlineStr">
        <is>
          <t>SCH-06-032</t>
        </is>
      </c>
      <c r="D1567" s="12" t="inlineStr">
        <is>
          <t>UNSURE</t>
        </is>
      </c>
      <c r="E1567" s="12" t="inlineStr">
        <is>
          <t>New</t>
        </is>
      </c>
      <c r="F1567" s="12" t="inlineStr"/>
      <c r="G1567" s="12" t="inlineStr">
        <is>
          <t>Maya Chen, Owner Project Controls</t>
        </is>
      </c>
      <c r="H1567" s="17" t="inlineStr">
        <is>
          <t>10 EVIDENCE &amp; DECISIONS</t>
        </is>
      </c>
    </row>
    <row r="1568" ht="34" customHeight="1">
      <c r="A1568" s="12" t="inlineStr">
        <is>
          <t>R933-v2</t>
        </is>
      </c>
      <c r="B1568" s="12" t="inlineStr">
        <is>
          <t>Contractor Programme</t>
        </is>
      </c>
      <c r="C1568" s="12" t="inlineStr">
        <is>
          <t>SCH-06-033</t>
        </is>
      </c>
      <c r="D1568" s="12" t="inlineStr">
        <is>
          <t>UNSURE</t>
        </is>
      </c>
      <c r="E1568" s="12" t="inlineStr">
        <is>
          <t>New</t>
        </is>
      </c>
      <c r="F1568" s="12" t="inlineStr"/>
      <c r="G1568" s="12" t="inlineStr">
        <is>
          <t>Maya Chen, Owner Project Controls</t>
        </is>
      </c>
      <c r="H1568" s="17" t="inlineStr">
        <is>
          <t>10 EVIDENCE &amp; DECISIONS</t>
        </is>
      </c>
    </row>
    <row r="1569" ht="34" customHeight="1">
      <c r="A1569" s="12" t="inlineStr">
        <is>
          <t>R934-v2</t>
        </is>
      </c>
      <c r="B1569" s="12" t="inlineStr">
        <is>
          <t>Contractor Programme</t>
        </is>
      </c>
      <c r="C1569" s="12" t="inlineStr">
        <is>
          <t>SCH-06-034</t>
        </is>
      </c>
      <c r="D1569" s="12" t="inlineStr">
        <is>
          <t>UNSURE</t>
        </is>
      </c>
      <c r="E1569" s="12" t="inlineStr">
        <is>
          <t>New</t>
        </is>
      </c>
      <c r="F1569" s="12" t="inlineStr"/>
      <c r="G1569" s="12" t="inlineStr">
        <is>
          <t>Maya Chen, Owner Project Controls</t>
        </is>
      </c>
      <c r="H1569" s="17" t="inlineStr">
        <is>
          <t>10 EVIDENCE &amp; DECISIONS</t>
        </is>
      </c>
    </row>
    <row r="1570" ht="34" customHeight="1">
      <c r="A1570" s="12" t="inlineStr">
        <is>
          <t>R935-v2</t>
        </is>
      </c>
      <c r="B1570" s="12" t="inlineStr">
        <is>
          <t>Contractor Programme</t>
        </is>
      </c>
      <c r="C1570" s="12" t="inlineStr">
        <is>
          <t>SCH-06-035</t>
        </is>
      </c>
      <c r="D1570" s="12" t="inlineStr">
        <is>
          <t>UNSURE</t>
        </is>
      </c>
      <c r="E1570" s="12" t="inlineStr">
        <is>
          <t>New</t>
        </is>
      </c>
      <c r="F1570" s="12" t="inlineStr"/>
      <c r="G1570" s="12" t="inlineStr">
        <is>
          <t>Maya Chen, Owner Project Controls</t>
        </is>
      </c>
      <c r="H1570" s="17" t="inlineStr">
        <is>
          <t>10 EVIDENCE &amp; DECISIONS</t>
        </is>
      </c>
    </row>
    <row r="1571" ht="34" customHeight="1">
      <c r="A1571" s="12" t="inlineStr">
        <is>
          <t>R936-v2</t>
        </is>
      </c>
      <c r="B1571" s="12" t="inlineStr">
        <is>
          <t>Contractor Programme</t>
        </is>
      </c>
      <c r="C1571" s="12" t="inlineStr">
        <is>
          <t>SCH-06-036</t>
        </is>
      </c>
      <c r="D1571" s="12" t="inlineStr">
        <is>
          <t>UNSURE</t>
        </is>
      </c>
      <c r="E1571" s="12" t="inlineStr">
        <is>
          <t>New</t>
        </is>
      </c>
      <c r="F1571" s="12" t="inlineStr"/>
      <c r="G1571" s="12" t="inlineStr">
        <is>
          <t>Maya Chen, Owner Project Controls</t>
        </is>
      </c>
      <c r="H1571" s="17" t="inlineStr">
        <is>
          <t>10 EVIDENCE &amp; DECISIONS</t>
        </is>
      </c>
    </row>
    <row r="1572" ht="34" customHeight="1">
      <c r="A1572" s="12" t="inlineStr">
        <is>
          <t>R937-v2</t>
        </is>
      </c>
      <c r="B1572" s="12" t="inlineStr">
        <is>
          <t>Contractor Programme</t>
        </is>
      </c>
      <c r="C1572" s="12" t="inlineStr">
        <is>
          <t>SCH-06-037</t>
        </is>
      </c>
      <c r="D1572" s="12" t="inlineStr">
        <is>
          <t>UNSURE</t>
        </is>
      </c>
      <c r="E1572" s="12" t="inlineStr">
        <is>
          <t>New</t>
        </is>
      </c>
      <c r="F1572" s="12" t="inlineStr"/>
      <c r="G1572" s="12" t="inlineStr">
        <is>
          <t>Maya Chen, Owner Project Controls</t>
        </is>
      </c>
      <c r="H1572" s="17" t="inlineStr">
        <is>
          <t>10 EVIDENCE &amp; DECISIONS</t>
        </is>
      </c>
    </row>
    <row r="1573" ht="34" customHeight="1">
      <c r="A1573" s="12" t="inlineStr">
        <is>
          <t>R938-v2</t>
        </is>
      </c>
      <c r="B1573" s="12" t="inlineStr">
        <is>
          <t>Contractor Programme</t>
        </is>
      </c>
      <c r="C1573" s="12" t="inlineStr">
        <is>
          <t>SCH-06-038</t>
        </is>
      </c>
      <c r="D1573" s="12" t="inlineStr">
        <is>
          <t>UNSURE</t>
        </is>
      </c>
      <c r="E1573" s="12" t="inlineStr">
        <is>
          <t>New</t>
        </is>
      </c>
      <c r="F1573" s="12" t="inlineStr"/>
      <c r="G1573" s="12" t="inlineStr">
        <is>
          <t>Maya Chen, Owner Project Controls</t>
        </is>
      </c>
      <c r="H1573" s="17" t="inlineStr">
        <is>
          <t>10 EVIDENCE &amp; DECISIONS</t>
        </is>
      </c>
    </row>
    <row r="1574" ht="34" customHeight="1">
      <c r="A1574" s="12" t="inlineStr">
        <is>
          <t>R939-v2</t>
        </is>
      </c>
      <c r="B1574" s="12" t="inlineStr">
        <is>
          <t>Contractor Programme</t>
        </is>
      </c>
      <c r="C1574" s="12" t="inlineStr">
        <is>
          <t>SCH-06-039</t>
        </is>
      </c>
      <c r="D1574" s="12" t="inlineStr">
        <is>
          <t>UNSURE</t>
        </is>
      </c>
      <c r="E1574" s="12" t="inlineStr">
        <is>
          <t>New</t>
        </is>
      </c>
      <c r="F1574" s="12" t="inlineStr"/>
      <c r="G1574" s="12" t="inlineStr">
        <is>
          <t>Maya Chen, Owner Project Controls</t>
        </is>
      </c>
      <c r="H1574" s="17" t="inlineStr">
        <is>
          <t>10 EVIDENCE &amp; DECISIONS</t>
        </is>
      </c>
    </row>
    <row r="1575" ht="34" customHeight="1">
      <c r="A1575" s="12" t="inlineStr">
        <is>
          <t>R940-v2</t>
        </is>
      </c>
      <c r="B1575" s="12" t="inlineStr">
        <is>
          <t>Contractor Programme</t>
        </is>
      </c>
      <c r="C1575" s="12" t="inlineStr">
        <is>
          <t>SCH-06-040</t>
        </is>
      </c>
      <c r="D1575" s="12" t="inlineStr">
        <is>
          <t>UNSURE</t>
        </is>
      </c>
      <c r="E1575" s="12" t="inlineStr">
        <is>
          <t>New</t>
        </is>
      </c>
      <c r="F1575" s="12" t="inlineStr"/>
      <c r="G1575" s="12" t="inlineStr">
        <is>
          <t>Maya Chen, Owner Project Controls</t>
        </is>
      </c>
      <c r="H1575" s="17" t="inlineStr">
        <is>
          <t>10 EVIDENCE &amp; DECISIONS</t>
        </is>
      </c>
    </row>
    <row r="1576" ht="34" customHeight="1">
      <c r="A1576" s="12" t="inlineStr">
        <is>
          <t>R941-v2</t>
        </is>
      </c>
      <c r="B1576" s="12" t="inlineStr">
        <is>
          <t>Contractor Programme</t>
        </is>
      </c>
      <c r="C1576" s="12" t="inlineStr">
        <is>
          <t>SCH-06-041</t>
        </is>
      </c>
      <c r="D1576" s="12" t="inlineStr">
        <is>
          <t>UNSURE</t>
        </is>
      </c>
      <c r="E1576" s="12" t="inlineStr">
        <is>
          <t>New</t>
        </is>
      </c>
      <c r="F1576" s="12" t="inlineStr"/>
      <c r="G1576" s="12" t="inlineStr">
        <is>
          <t>Maya Chen, Owner Project Controls</t>
        </is>
      </c>
      <c r="H1576" s="17" t="inlineStr">
        <is>
          <t>10 EVIDENCE &amp; DECISIONS</t>
        </is>
      </c>
    </row>
    <row r="1577" ht="34" customHeight="1">
      <c r="A1577" s="12" t="inlineStr">
        <is>
          <t>R942-v2</t>
        </is>
      </c>
      <c r="B1577" s="12" t="inlineStr">
        <is>
          <t>Contractor Programme</t>
        </is>
      </c>
      <c r="C1577" s="12" t="inlineStr">
        <is>
          <t>SCH-06-042</t>
        </is>
      </c>
      <c r="D1577" s="12" t="inlineStr">
        <is>
          <t>UNSURE</t>
        </is>
      </c>
      <c r="E1577" s="12" t="inlineStr">
        <is>
          <t>New</t>
        </is>
      </c>
      <c r="F1577" s="12" t="inlineStr"/>
      <c r="G1577" s="12" t="inlineStr">
        <is>
          <t>Maya Chen, Owner Project Controls</t>
        </is>
      </c>
      <c r="H1577" s="17" t="inlineStr">
        <is>
          <t>10 EVIDENCE &amp; DECISIONS</t>
        </is>
      </c>
    </row>
    <row r="1578" ht="34" customHeight="1">
      <c r="A1578" s="12" t="inlineStr">
        <is>
          <t>R943-v2</t>
        </is>
      </c>
      <c r="B1578" s="12" t="inlineStr">
        <is>
          <t>Contractor Programme</t>
        </is>
      </c>
      <c r="C1578" s="12" t="inlineStr">
        <is>
          <t>SCH-06-043</t>
        </is>
      </c>
      <c r="D1578" s="12" t="inlineStr">
        <is>
          <t>UNSURE</t>
        </is>
      </c>
      <c r="E1578" s="12" t="inlineStr">
        <is>
          <t>New</t>
        </is>
      </c>
      <c r="F1578" s="12" t="inlineStr"/>
      <c r="G1578" s="12" t="inlineStr">
        <is>
          <t>Maya Chen, Owner Project Controls</t>
        </is>
      </c>
      <c r="H1578" s="17" t="inlineStr">
        <is>
          <t>10 EVIDENCE &amp; DECISIONS</t>
        </is>
      </c>
    </row>
    <row r="1579" ht="34" customHeight="1">
      <c r="A1579" s="12" t="inlineStr">
        <is>
          <t>R944-v2</t>
        </is>
      </c>
      <c r="B1579" s="12" t="inlineStr">
        <is>
          <t>Contractor Programme</t>
        </is>
      </c>
      <c r="C1579" s="12" t="inlineStr">
        <is>
          <t>SCH-06-044</t>
        </is>
      </c>
      <c r="D1579" s="12" t="inlineStr">
        <is>
          <t>UNSURE</t>
        </is>
      </c>
      <c r="E1579" s="12" t="inlineStr">
        <is>
          <t>New</t>
        </is>
      </c>
      <c r="F1579" s="12" t="inlineStr"/>
      <c r="G1579" s="12" t="inlineStr">
        <is>
          <t>Maya Chen, Owner Project Controls</t>
        </is>
      </c>
      <c r="H1579" s="17" t="inlineStr">
        <is>
          <t>10 EVIDENCE &amp; DECISIONS</t>
        </is>
      </c>
    </row>
    <row r="1580" ht="34" customHeight="1">
      <c r="A1580" s="12" t="inlineStr">
        <is>
          <t>R945-v2</t>
        </is>
      </c>
      <c r="B1580" s="12" t="inlineStr">
        <is>
          <t>Contractor Programme</t>
        </is>
      </c>
      <c r="C1580" s="12" t="inlineStr">
        <is>
          <t>SCH-06-045</t>
        </is>
      </c>
      <c r="D1580" s="12" t="inlineStr">
        <is>
          <t>UNSURE</t>
        </is>
      </c>
      <c r="E1580" s="12" t="inlineStr">
        <is>
          <t>New</t>
        </is>
      </c>
      <c r="F1580" s="12" t="inlineStr"/>
      <c r="G1580" s="12" t="inlineStr">
        <is>
          <t>Maya Chen, Owner Project Controls</t>
        </is>
      </c>
      <c r="H1580" s="17" t="inlineStr">
        <is>
          <t>10 EVIDENCE &amp; DECISIONS</t>
        </is>
      </c>
    </row>
    <row r="1581" ht="34" customHeight="1">
      <c r="A1581" s="12" t="inlineStr">
        <is>
          <t>R946-v2</t>
        </is>
      </c>
      <c r="B1581" s="12" t="inlineStr">
        <is>
          <t>Contractor Programme</t>
        </is>
      </c>
      <c r="C1581" s="12" t="inlineStr">
        <is>
          <t>SCH-06-046</t>
        </is>
      </c>
      <c r="D1581" s="12" t="inlineStr">
        <is>
          <t>UNSURE</t>
        </is>
      </c>
      <c r="E1581" s="12" t="inlineStr">
        <is>
          <t>New</t>
        </is>
      </c>
      <c r="F1581" s="12" t="inlineStr"/>
      <c r="G1581" s="12" t="inlineStr">
        <is>
          <t>Maya Chen, Owner Project Controls</t>
        </is>
      </c>
      <c r="H1581" s="17" t="inlineStr">
        <is>
          <t>10 EVIDENCE &amp; DECISIONS</t>
        </is>
      </c>
    </row>
    <row r="1582" ht="34" customHeight="1">
      <c r="A1582" s="12" t="inlineStr">
        <is>
          <t>R947-v2</t>
        </is>
      </c>
      <c r="B1582" s="12" t="inlineStr">
        <is>
          <t>Contractor Programme</t>
        </is>
      </c>
      <c r="C1582" s="12" t="inlineStr">
        <is>
          <t>SCH-06-047</t>
        </is>
      </c>
      <c r="D1582" s="12" t="inlineStr">
        <is>
          <t>UNSURE</t>
        </is>
      </c>
      <c r="E1582" s="12" t="inlineStr">
        <is>
          <t>New</t>
        </is>
      </c>
      <c r="F1582" s="12" t="inlineStr"/>
      <c r="G1582" s="12" t="inlineStr">
        <is>
          <t>Maya Chen, Owner Project Controls</t>
        </is>
      </c>
      <c r="H1582" s="17" t="inlineStr">
        <is>
          <t>10 EVIDENCE &amp; DECISIONS</t>
        </is>
      </c>
    </row>
    <row r="1583" ht="34" customHeight="1">
      <c r="A1583" s="12" t="inlineStr">
        <is>
          <t>R948-v2</t>
        </is>
      </c>
      <c r="B1583" s="12" t="inlineStr">
        <is>
          <t>Contractor Programme</t>
        </is>
      </c>
      <c r="C1583" s="12" t="inlineStr">
        <is>
          <t>SCH-06-048</t>
        </is>
      </c>
      <c r="D1583" s="12" t="inlineStr">
        <is>
          <t>UNSURE</t>
        </is>
      </c>
      <c r="E1583" s="12" t="inlineStr">
        <is>
          <t>New</t>
        </is>
      </c>
      <c r="F1583" s="12" t="inlineStr"/>
      <c r="G1583" s="12" t="inlineStr">
        <is>
          <t>Maya Chen, Owner Project Controls</t>
        </is>
      </c>
      <c r="H1583" s="17" t="inlineStr">
        <is>
          <t>10 EVIDENCE &amp; DECISIONS</t>
        </is>
      </c>
    </row>
    <row r="1584" ht="34" customHeight="1">
      <c r="A1584" s="12" t="inlineStr">
        <is>
          <t>R949-v2</t>
        </is>
      </c>
      <c r="B1584" s="12" t="inlineStr">
        <is>
          <t>Contractor Programme</t>
        </is>
      </c>
      <c r="C1584" s="12" t="inlineStr">
        <is>
          <t>SCH-06-049</t>
        </is>
      </c>
      <c r="D1584" s="12" t="inlineStr">
        <is>
          <t>UNSURE</t>
        </is>
      </c>
      <c r="E1584" s="12" t="inlineStr">
        <is>
          <t>New</t>
        </is>
      </c>
      <c r="F1584" s="12" t="inlineStr"/>
      <c r="G1584" s="12" t="inlineStr">
        <is>
          <t>Maya Chen, Owner Project Controls</t>
        </is>
      </c>
      <c r="H1584" s="17" t="inlineStr">
        <is>
          <t>10 EVIDENCE &amp; DECISIONS</t>
        </is>
      </c>
    </row>
    <row r="1585" ht="34" customHeight="1">
      <c r="A1585" s="12" t="inlineStr">
        <is>
          <t>R950-v2</t>
        </is>
      </c>
      <c r="B1585" s="12" t="inlineStr">
        <is>
          <t>Contractor Programme</t>
        </is>
      </c>
      <c r="C1585" s="12" t="inlineStr">
        <is>
          <t>SCH-06-050</t>
        </is>
      </c>
      <c r="D1585" s="12" t="inlineStr">
        <is>
          <t>UNSURE</t>
        </is>
      </c>
      <c r="E1585" s="12" t="inlineStr">
        <is>
          <t>New</t>
        </is>
      </c>
      <c r="F1585" s="12" t="inlineStr"/>
      <c r="G1585" s="12" t="inlineStr">
        <is>
          <t>Maya Chen, Owner Project Controls</t>
        </is>
      </c>
      <c r="H1585" s="17" t="inlineStr">
        <is>
          <t>10 EVIDENCE &amp; DECISIONS</t>
        </is>
      </c>
    </row>
    <row r="1586" ht="34" customHeight="1">
      <c r="A1586" s="12" t="inlineStr">
        <is>
          <t>R951-v2</t>
        </is>
      </c>
      <c r="B1586" s="12" t="inlineStr">
        <is>
          <t>Contractor Programme</t>
        </is>
      </c>
      <c r="C1586" s="12" t="inlineStr">
        <is>
          <t>SCH-06-051</t>
        </is>
      </c>
      <c r="D1586" s="12" t="inlineStr">
        <is>
          <t>UNSURE</t>
        </is>
      </c>
      <c r="E1586" s="12" t="inlineStr">
        <is>
          <t>New</t>
        </is>
      </c>
      <c r="F1586" s="12" t="inlineStr"/>
      <c r="G1586" s="12" t="inlineStr">
        <is>
          <t>Maya Chen, Owner Project Controls</t>
        </is>
      </c>
      <c r="H1586" s="17" t="inlineStr">
        <is>
          <t>10 EVIDENCE &amp; DECISIONS</t>
        </is>
      </c>
    </row>
    <row r="1587" ht="34" customHeight="1">
      <c r="A1587" s="12" t="inlineStr">
        <is>
          <t>R952-v2</t>
        </is>
      </c>
      <c r="B1587" s="12" t="inlineStr">
        <is>
          <t>Contractor Programme</t>
        </is>
      </c>
      <c r="C1587" s="12" t="inlineStr">
        <is>
          <t>SCH-06-052</t>
        </is>
      </c>
      <c r="D1587" s="12" t="inlineStr">
        <is>
          <t>UNSURE</t>
        </is>
      </c>
      <c r="E1587" s="12" t="inlineStr">
        <is>
          <t>New</t>
        </is>
      </c>
      <c r="F1587" s="12" t="inlineStr"/>
      <c r="G1587" s="12" t="inlineStr">
        <is>
          <t>Maya Chen, Owner Project Controls</t>
        </is>
      </c>
      <c r="H1587" s="17" t="inlineStr">
        <is>
          <t>10 EVIDENCE &amp; DECISIONS</t>
        </is>
      </c>
    </row>
    <row r="1588" ht="34" customHeight="1">
      <c r="A1588" s="12" t="inlineStr">
        <is>
          <t>R953-v2</t>
        </is>
      </c>
      <c r="B1588" s="12" t="inlineStr">
        <is>
          <t>Contractor Programme</t>
        </is>
      </c>
      <c r="C1588" s="12" t="inlineStr">
        <is>
          <t>SCH-06-053</t>
        </is>
      </c>
      <c r="D1588" s="12" t="inlineStr">
        <is>
          <t>UNSURE</t>
        </is>
      </c>
      <c r="E1588" s="12" t="inlineStr">
        <is>
          <t>New</t>
        </is>
      </c>
      <c r="F1588" s="12" t="inlineStr"/>
      <c r="G1588" s="12" t="inlineStr">
        <is>
          <t>Maya Chen, Owner Project Controls</t>
        </is>
      </c>
      <c r="H1588" s="17" t="inlineStr">
        <is>
          <t>10 EVIDENCE &amp; DECISIONS</t>
        </is>
      </c>
    </row>
    <row r="1589" ht="34" customHeight="1">
      <c r="A1589" s="12" t="inlineStr">
        <is>
          <t>R954-v2</t>
        </is>
      </c>
      <c r="B1589" s="12" t="inlineStr">
        <is>
          <t>Contractor Programme</t>
        </is>
      </c>
      <c r="C1589" s="12" t="inlineStr">
        <is>
          <t>SCH-06-054</t>
        </is>
      </c>
      <c r="D1589" s="12" t="inlineStr">
        <is>
          <t>UNSURE</t>
        </is>
      </c>
      <c r="E1589" s="12" t="inlineStr">
        <is>
          <t>New</t>
        </is>
      </c>
      <c r="F1589" s="12" t="inlineStr"/>
      <c r="G1589" s="12" t="inlineStr">
        <is>
          <t>Maya Chen, Owner Project Controls</t>
        </is>
      </c>
      <c r="H1589" s="17" t="inlineStr">
        <is>
          <t>10 EVIDENCE &amp; DECISIONS</t>
        </is>
      </c>
    </row>
    <row r="1590" ht="34" customHeight="1">
      <c r="A1590" s="12" t="inlineStr">
        <is>
          <t>R955-v2</t>
        </is>
      </c>
      <c r="B1590" s="12" t="inlineStr">
        <is>
          <t>Contractor Programme</t>
        </is>
      </c>
      <c r="C1590" s="12" t="inlineStr">
        <is>
          <t>SCH-06-055</t>
        </is>
      </c>
      <c r="D1590" s="12" t="inlineStr">
        <is>
          <t>UNSURE</t>
        </is>
      </c>
      <c r="E1590" s="12" t="inlineStr">
        <is>
          <t>New</t>
        </is>
      </c>
      <c r="F1590" s="12" t="inlineStr"/>
      <c r="G1590" s="12" t="inlineStr">
        <is>
          <t>Maya Chen, Owner Project Controls</t>
        </is>
      </c>
      <c r="H1590" s="17" t="inlineStr">
        <is>
          <t>10 EVIDENCE &amp; DECISIONS</t>
        </is>
      </c>
    </row>
    <row r="1591" ht="34" customHeight="1">
      <c r="A1591" s="12" t="inlineStr">
        <is>
          <t>R956-v2</t>
        </is>
      </c>
      <c r="B1591" s="12" t="inlineStr">
        <is>
          <t>Contractor Programme</t>
        </is>
      </c>
      <c r="C1591" s="12" t="inlineStr">
        <is>
          <t>SCH-06-056</t>
        </is>
      </c>
      <c r="D1591" s="12" t="inlineStr">
        <is>
          <t>UNSURE</t>
        </is>
      </c>
      <c r="E1591" s="12" t="inlineStr">
        <is>
          <t>New</t>
        </is>
      </c>
      <c r="F1591" s="12" t="inlineStr"/>
      <c r="G1591" s="12" t="inlineStr">
        <is>
          <t>Maya Chen, Owner Project Controls</t>
        </is>
      </c>
      <c r="H1591" s="17" t="inlineStr">
        <is>
          <t>10 EVIDENCE &amp; DECISIONS</t>
        </is>
      </c>
    </row>
    <row r="1592" ht="34" customHeight="1">
      <c r="A1592" s="12" t="inlineStr">
        <is>
          <t>R957-v2</t>
        </is>
      </c>
      <c r="B1592" s="12" t="inlineStr">
        <is>
          <t>Contractor Programme</t>
        </is>
      </c>
      <c r="C1592" s="12" t="inlineStr">
        <is>
          <t>SCH-06-057</t>
        </is>
      </c>
      <c r="D1592" s="12" t="inlineStr">
        <is>
          <t>UNSURE</t>
        </is>
      </c>
      <c r="E1592" s="12" t="inlineStr">
        <is>
          <t>New</t>
        </is>
      </c>
      <c r="F1592" s="12" t="inlineStr"/>
      <c r="G1592" s="12" t="inlineStr">
        <is>
          <t>Maya Chen, Owner Project Controls</t>
        </is>
      </c>
      <c r="H1592" s="17" t="inlineStr">
        <is>
          <t>10 EVIDENCE &amp; DECISIONS</t>
        </is>
      </c>
    </row>
    <row r="1593" ht="34" customHeight="1">
      <c r="A1593" s="12" t="inlineStr">
        <is>
          <t>R958-v2</t>
        </is>
      </c>
      <c r="B1593" s="12" t="inlineStr">
        <is>
          <t>Contractor Programme</t>
        </is>
      </c>
      <c r="C1593" s="12" t="inlineStr">
        <is>
          <t>SCH-06-058</t>
        </is>
      </c>
      <c r="D1593" s="12" t="inlineStr">
        <is>
          <t>UNSURE</t>
        </is>
      </c>
      <c r="E1593" s="12" t="inlineStr">
        <is>
          <t>New</t>
        </is>
      </c>
      <c r="F1593" s="12" t="inlineStr"/>
      <c r="G1593" s="12" t="inlineStr">
        <is>
          <t>Maya Chen, Owner Project Controls</t>
        </is>
      </c>
      <c r="H1593" s="17" t="inlineStr">
        <is>
          <t>10 EVIDENCE &amp; DECISIONS</t>
        </is>
      </c>
    </row>
    <row r="1594" ht="34" customHeight="1">
      <c r="A1594" s="12" t="inlineStr">
        <is>
          <t>R959-v2</t>
        </is>
      </c>
      <c r="B1594" s="12" t="inlineStr">
        <is>
          <t>Contractor Programme</t>
        </is>
      </c>
      <c r="C1594" s="12" t="inlineStr">
        <is>
          <t>SCH-06-059</t>
        </is>
      </c>
      <c r="D1594" s="12" t="inlineStr">
        <is>
          <t>UNSURE</t>
        </is>
      </c>
      <c r="E1594" s="12" t="inlineStr">
        <is>
          <t>New</t>
        </is>
      </c>
      <c r="F1594" s="12" t="inlineStr"/>
      <c r="G1594" s="12" t="inlineStr">
        <is>
          <t>Maya Chen, Owner Project Controls</t>
        </is>
      </c>
      <c r="H1594" s="17" t="inlineStr">
        <is>
          <t>10 EVIDENCE &amp; DECISIONS</t>
        </is>
      </c>
    </row>
    <row r="1595" ht="34" customHeight="1">
      <c r="A1595" s="12" t="inlineStr">
        <is>
          <t>R960-v2</t>
        </is>
      </c>
      <c r="B1595" s="12" t="inlineStr">
        <is>
          <t>Contractor Programme</t>
        </is>
      </c>
      <c r="C1595" s="12" t="inlineStr">
        <is>
          <t>SCH-06-060</t>
        </is>
      </c>
      <c r="D1595" s="12" t="inlineStr">
        <is>
          <t>UNSURE</t>
        </is>
      </c>
      <c r="E1595" s="12" t="inlineStr">
        <is>
          <t>New</t>
        </is>
      </c>
      <c r="F1595" s="12" t="inlineStr"/>
      <c r="G1595" s="12" t="inlineStr">
        <is>
          <t>Maya Chen, Owner Project Controls</t>
        </is>
      </c>
      <c r="H1595" s="17" t="inlineStr">
        <is>
          <t>10 EVIDENCE &amp; DECISIONS</t>
        </is>
      </c>
    </row>
    <row r="1596" ht="34" customHeight="1">
      <c r="A1596" s="12" t="inlineStr">
        <is>
          <t>R961-v2</t>
        </is>
      </c>
      <c r="B1596" s="12" t="inlineStr">
        <is>
          <t>Contractor Programme</t>
        </is>
      </c>
      <c r="C1596" s="12" t="inlineStr">
        <is>
          <t>SCH-06-061</t>
        </is>
      </c>
      <c r="D1596" s="12" t="inlineStr">
        <is>
          <t>UNSURE</t>
        </is>
      </c>
      <c r="E1596" s="12" t="inlineStr">
        <is>
          <t>New</t>
        </is>
      </c>
      <c r="F1596" s="12" t="inlineStr"/>
      <c r="G1596" s="12" t="inlineStr">
        <is>
          <t>Maya Chen, Owner Project Controls</t>
        </is>
      </c>
      <c r="H1596" s="17" t="inlineStr">
        <is>
          <t>10 EVIDENCE &amp; DECISIONS</t>
        </is>
      </c>
    </row>
    <row r="1597" ht="34" customHeight="1">
      <c r="A1597" s="12" t="inlineStr">
        <is>
          <t>R962-v2</t>
        </is>
      </c>
      <c r="B1597" s="12" t="inlineStr">
        <is>
          <t>Contractor Programme</t>
        </is>
      </c>
      <c r="C1597" s="12" t="inlineStr">
        <is>
          <t>SCH-06-062</t>
        </is>
      </c>
      <c r="D1597" s="12" t="inlineStr">
        <is>
          <t>UNSURE</t>
        </is>
      </c>
      <c r="E1597" s="12" t="inlineStr">
        <is>
          <t>New</t>
        </is>
      </c>
      <c r="F1597" s="12" t="inlineStr"/>
      <c r="G1597" s="12" t="inlineStr">
        <is>
          <t>Maya Chen, Owner Project Controls</t>
        </is>
      </c>
      <c r="H1597" s="17" t="inlineStr">
        <is>
          <t>10 EVIDENCE &amp; DECISIONS</t>
        </is>
      </c>
    </row>
    <row r="1598" ht="34" customHeight="1">
      <c r="A1598" s="12" t="inlineStr">
        <is>
          <t>R963-v2</t>
        </is>
      </c>
      <c r="B1598" s="12" t="inlineStr">
        <is>
          <t>Contractor Programme</t>
        </is>
      </c>
      <c r="C1598" s="12" t="inlineStr">
        <is>
          <t>SCH-06-063</t>
        </is>
      </c>
      <c r="D1598" s="12" t="inlineStr">
        <is>
          <t>UNSURE</t>
        </is>
      </c>
      <c r="E1598" s="12" t="inlineStr">
        <is>
          <t>New</t>
        </is>
      </c>
      <c r="F1598" s="12" t="inlineStr"/>
      <c r="G1598" s="12" t="inlineStr">
        <is>
          <t>Maya Chen, Owner Project Controls</t>
        </is>
      </c>
      <c r="H1598" s="17" t="inlineStr">
        <is>
          <t>10 EVIDENCE &amp; DECISIONS</t>
        </is>
      </c>
    </row>
    <row r="1599" ht="34" customHeight="1">
      <c r="A1599" s="12" t="inlineStr">
        <is>
          <t>R964-v2</t>
        </is>
      </c>
      <c r="B1599" s="12" t="inlineStr">
        <is>
          <t>Contractor Programme</t>
        </is>
      </c>
      <c r="C1599" s="12" t="inlineStr">
        <is>
          <t>SCH-06-064</t>
        </is>
      </c>
      <c r="D1599" s="12" t="inlineStr">
        <is>
          <t>UNSURE</t>
        </is>
      </c>
      <c r="E1599" s="12" t="inlineStr">
        <is>
          <t>New</t>
        </is>
      </c>
      <c r="F1599" s="12" t="inlineStr"/>
      <c r="G1599" s="12" t="inlineStr">
        <is>
          <t>Maya Chen, Owner Project Controls</t>
        </is>
      </c>
      <c r="H1599" s="17" t="inlineStr">
        <is>
          <t>10 EVIDENCE &amp; DECISIONS</t>
        </is>
      </c>
    </row>
    <row r="1600" ht="34" customHeight="1">
      <c r="A1600" s="12" t="inlineStr">
        <is>
          <t>R965-v2</t>
        </is>
      </c>
      <c r="B1600" s="12" t="inlineStr">
        <is>
          <t>Contractor Programme</t>
        </is>
      </c>
      <c r="C1600" s="12" t="inlineStr">
        <is>
          <t>SCH-06-065</t>
        </is>
      </c>
      <c r="D1600" s="12" t="inlineStr">
        <is>
          <t>UNSURE</t>
        </is>
      </c>
      <c r="E1600" s="12" t="inlineStr">
        <is>
          <t>New</t>
        </is>
      </c>
      <c r="F1600" s="12" t="inlineStr"/>
      <c r="G1600" s="12" t="inlineStr">
        <is>
          <t>Maya Chen, Owner Project Controls</t>
        </is>
      </c>
      <c r="H1600" s="17" t="inlineStr">
        <is>
          <t>10 EVIDENCE &amp; DECISIONS</t>
        </is>
      </c>
    </row>
    <row r="1601" ht="34" customHeight="1">
      <c r="A1601" s="12" t="inlineStr">
        <is>
          <t>R966-v2</t>
        </is>
      </c>
      <c r="B1601" s="12" t="inlineStr">
        <is>
          <t>Contractor Programme</t>
        </is>
      </c>
      <c r="C1601" s="12" t="inlineStr">
        <is>
          <t>SCH-06-066</t>
        </is>
      </c>
      <c r="D1601" s="12" t="inlineStr">
        <is>
          <t>UNSURE</t>
        </is>
      </c>
      <c r="E1601" s="12" t="inlineStr">
        <is>
          <t>New</t>
        </is>
      </c>
      <c r="F1601" s="12" t="inlineStr"/>
      <c r="G1601" s="12" t="inlineStr">
        <is>
          <t>Maya Chen, Owner Project Controls</t>
        </is>
      </c>
      <c r="H1601" s="17" t="inlineStr">
        <is>
          <t>10 EVIDENCE &amp; DECISIONS</t>
        </is>
      </c>
    </row>
    <row r="1602" ht="34" customHeight="1">
      <c r="A1602" s="12" t="inlineStr">
        <is>
          <t>R967-v2</t>
        </is>
      </c>
      <c r="B1602" s="12" t="inlineStr">
        <is>
          <t>Contractor Programme</t>
        </is>
      </c>
      <c r="C1602" s="12" t="inlineStr">
        <is>
          <t>SCH-06-067</t>
        </is>
      </c>
      <c r="D1602" s="12" t="inlineStr">
        <is>
          <t>UNSURE</t>
        </is>
      </c>
      <c r="E1602" s="12" t="inlineStr">
        <is>
          <t>New</t>
        </is>
      </c>
      <c r="F1602" s="12" t="inlineStr"/>
      <c r="G1602" s="12" t="inlineStr">
        <is>
          <t>Maya Chen, Owner Project Controls</t>
        </is>
      </c>
      <c r="H1602" s="17" t="inlineStr">
        <is>
          <t>10 EVIDENCE &amp; DECISIONS</t>
        </is>
      </c>
    </row>
    <row r="1603" ht="34" customHeight="1">
      <c r="A1603" s="12" t="inlineStr">
        <is>
          <t>R968-v2</t>
        </is>
      </c>
      <c r="B1603" s="12" t="inlineStr">
        <is>
          <t>Contractor Programme</t>
        </is>
      </c>
      <c r="C1603" s="12" t="inlineStr">
        <is>
          <t>SCH-06-068</t>
        </is>
      </c>
      <c r="D1603" s="12" t="inlineStr">
        <is>
          <t>UNSURE</t>
        </is>
      </c>
      <c r="E1603" s="12" t="inlineStr">
        <is>
          <t>New</t>
        </is>
      </c>
      <c r="F1603" s="12" t="inlineStr"/>
      <c r="G1603" s="12" t="inlineStr">
        <is>
          <t>Maya Chen, Owner Project Controls</t>
        </is>
      </c>
      <c r="H1603" s="17" t="inlineStr">
        <is>
          <t>10 EVIDENCE &amp; DECISIONS</t>
        </is>
      </c>
    </row>
    <row r="1604" ht="34" customHeight="1">
      <c r="A1604" s="12" t="inlineStr">
        <is>
          <t>R969-v2</t>
        </is>
      </c>
      <c r="B1604" s="12" t="inlineStr">
        <is>
          <t>Contractor Programme</t>
        </is>
      </c>
      <c r="C1604" s="12" t="inlineStr">
        <is>
          <t>SCH-06-069</t>
        </is>
      </c>
      <c r="D1604" s="12" t="inlineStr">
        <is>
          <t>UNSURE</t>
        </is>
      </c>
      <c r="E1604" s="12" t="inlineStr">
        <is>
          <t>New</t>
        </is>
      </c>
      <c r="F1604" s="12" t="inlineStr"/>
      <c r="G1604" s="12" t="inlineStr">
        <is>
          <t>Maya Chen, Owner Project Controls</t>
        </is>
      </c>
      <c r="H1604" s="17" t="inlineStr">
        <is>
          <t>10 EVIDENCE &amp; DECISIONS</t>
        </is>
      </c>
    </row>
    <row r="1605" ht="34" customHeight="1">
      <c r="A1605" s="12" t="inlineStr">
        <is>
          <t>R970-v2</t>
        </is>
      </c>
      <c r="B1605" s="12" t="inlineStr">
        <is>
          <t>Contractor Programme</t>
        </is>
      </c>
      <c r="C1605" s="12" t="inlineStr">
        <is>
          <t>SCH-06-070</t>
        </is>
      </c>
      <c r="D1605" s="12" t="inlineStr">
        <is>
          <t>UNSURE</t>
        </is>
      </c>
      <c r="E1605" s="12" t="inlineStr">
        <is>
          <t>New</t>
        </is>
      </c>
      <c r="F1605" s="12" t="inlineStr"/>
      <c r="G1605" s="12" t="inlineStr">
        <is>
          <t>Maya Chen, Owner Project Controls</t>
        </is>
      </c>
      <c r="H1605" s="17" t="inlineStr">
        <is>
          <t>10 EVIDENCE &amp; DECISIONS</t>
        </is>
      </c>
    </row>
    <row r="1606" ht="34" customHeight="1">
      <c r="A1606" s="12" t="inlineStr">
        <is>
          <t>R971-v2</t>
        </is>
      </c>
      <c r="B1606" s="12" t="inlineStr">
        <is>
          <t>Contractor Programme</t>
        </is>
      </c>
      <c r="C1606" s="12" t="inlineStr">
        <is>
          <t>SCH-06-071</t>
        </is>
      </c>
      <c r="D1606" s="12" t="inlineStr">
        <is>
          <t>UNSURE</t>
        </is>
      </c>
      <c r="E1606" s="12" t="inlineStr">
        <is>
          <t>New</t>
        </is>
      </c>
      <c r="F1606" s="12" t="inlineStr"/>
      <c r="G1606" s="12" t="inlineStr">
        <is>
          <t>Maya Chen, Owner Project Controls</t>
        </is>
      </c>
      <c r="H1606" s="17" t="inlineStr">
        <is>
          <t>10 EVIDENCE &amp; DECISIONS</t>
        </is>
      </c>
    </row>
    <row r="1607" ht="34" customHeight="1">
      <c r="A1607" s="12" t="inlineStr">
        <is>
          <t>R972-v2</t>
        </is>
      </c>
      <c r="B1607" s="12" t="inlineStr">
        <is>
          <t>Contractor Programme</t>
        </is>
      </c>
      <c r="C1607" s="12" t="inlineStr">
        <is>
          <t>SCH-06-072</t>
        </is>
      </c>
      <c r="D1607" s="12" t="inlineStr">
        <is>
          <t>UNSURE</t>
        </is>
      </c>
      <c r="E1607" s="12" t="inlineStr">
        <is>
          <t>New</t>
        </is>
      </c>
      <c r="F1607" s="12" t="inlineStr"/>
      <c r="G1607" s="12" t="inlineStr">
        <is>
          <t>Maya Chen, Owner Project Controls</t>
        </is>
      </c>
      <c r="H1607" s="17" t="inlineStr">
        <is>
          <t>10 EVIDENCE &amp; DECISIONS</t>
        </is>
      </c>
    </row>
    <row r="1608" ht="34" customHeight="1">
      <c r="A1608" s="12" t="inlineStr">
        <is>
          <t>R973-v2</t>
        </is>
      </c>
      <c r="B1608" s="12" t="inlineStr">
        <is>
          <t>Contractor Programme</t>
        </is>
      </c>
      <c r="C1608" s="12" t="inlineStr">
        <is>
          <t>SCH-06-073</t>
        </is>
      </c>
      <c r="D1608" s="12" t="inlineStr">
        <is>
          <t>UNSURE</t>
        </is>
      </c>
      <c r="E1608" s="12" t="inlineStr">
        <is>
          <t>New</t>
        </is>
      </c>
      <c r="F1608" s="12" t="inlineStr"/>
      <c r="G1608" s="12" t="inlineStr">
        <is>
          <t>Maya Chen, Owner Project Controls</t>
        </is>
      </c>
      <c r="H1608" s="17" t="inlineStr">
        <is>
          <t>10 EVIDENCE &amp; DECISIONS</t>
        </is>
      </c>
    </row>
    <row r="1609" ht="34" customHeight="1">
      <c r="A1609" s="12" t="inlineStr">
        <is>
          <t>R974-v2</t>
        </is>
      </c>
      <c r="B1609" s="12" t="inlineStr">
        <is>
          <t>Contractor Programme</t>
        </is>
      </c>
      <c r="C1609" s="12" t="inlineStr">
        <is>
          <t>SCH-06-074</t>
        </is>
      </c>
      <c r="D1609" s="12" t="inlineStr">
        <is>
          <t>UNSURE</t>
        </is>
      </c>
      <c r="E1609" s="12" t="inlineStr">
        <is>
          <t>New</t>
        </is>
      </c>
      <c r="F1609" s="12" t="inlineStr"/>
      <c r="G1609" s="12" t="inlineStr">
        <is>
          <t>Maya Chen, Owner Project Controls</t>
        </is>
      </c>
      <c r="H1609" s="17" t="inlineStr">
        <is>
          <t>10 EVIDENCE &amp; DECISIONS</t>
        </is>
      </c>
    </row>
    <row r="1610" ht="34" customHeight="1">
      <c r="A1610" s="12" t="inlineStr">
        <is>
          <t>R975-v2</t>
        </is>
      </c>
      <c r="B1610" s="12" t="inlineStr">
        <is>
          <t>Contractor Programme</t>
        </is>
      </c>
      <c r="C1610" s="12" t="inlineStr">
        <is>
          <t>SCH-06-075</t>
        </is>
      </c>
      <c r="D1610" s="12" t="inlineStr">
        <is>
          <t>UNSURE</t>
        </is>
      </c>
      <c r="E1610" s="12" t="inlineStr">
        <is>
          <t>New</t>
        </is>
      </c>
      <c r="F1610" s="12" t="inlineStr"/>
      <c r="G1610" s="12" t="inlineStr">
        <is>
          <t>Maya Chen, Owner Project Controls</t>
        </is>
      </c>
      <c r="H1610" s="17" t="inlineStr">
        <is>
          <t>10 EVIDENCE &amp; DECISIONS</t>
        </is>
      </c>
    </row>
    <row r="1611" ht="34" customHeight="1">
      <c r="A1611" s="12" t="inlineStr">
        <is>
          <t>R976-v2</t>
        </is>
      </c>
      <c r="B1611" s="12" t="inlineStr">
        <is>
          <t>Contractor Programme</t>
        </is>
      </c>
      <c r="C1611" s="12" t="inlineStr">
        <is>
          <t>SCH-06-076</t>
        </is>
      </c>
      <c r="D1611" s="12" t="inlineStr">
        <is>
          <t>UNSURE</t>
        </is>
      </c>
      <c r="E1611" s="12" t="inlineStr">
        <is>
          <t>New</t>
        </is>
      </c>
      <c r="F1611" s="12" t="inlineStr"/>
      <c r="G1611" s="12" t="inlineStr">
        <is>
          <t>Maya Chen, Owner Project Controls</t>
        </is>
      </c>
      <c r="H1611" s="17" t="inlineStr">
        <is>
          <t>10 EVIDENCE &amp; DECISIONS</t>
        </is>
      </c>
    </row>
    <row r="1612" ht="34" customHeight="1">
      <c r="A1612" s="12" t="inlineStr">
        <is>
          <t>R977-v2</t>
        </is>
      </c>
      <c r="B1612" s="12" t="inlineStr">
        <is>
          <t>Contractor Programme</t>
        </is>
      </c>
      <c r="C1612" s="12" t="inlineStr">
        <is>
          <t>SCH-06-077</t>
        </is>
      </c>
      <c r="D1612" s="12" t="inlineStr">
        <is>
          <t>UNSURE</t>
        </is>
      </c>
      <c r="E1612" s="12" t="inlineStr">
        <is>
          <t>New</t>
        </is>
      </c>
      <c r="F1612" s="12" t="inlineStr"/>
      <c r="G1612" s="12" t="inlineStr">
        <is>
          <t>Maya Chen, Owner Project Controls</t>
        </is>
      </c>
      <c r="H1612" s="17" t="inlineStr">
        <is>
          <t>10 EVIDENCE &amp; DECISIONS</t>
        </is>
      </c>
    </row>
    <row r="1613" ht="34" customHeight="1">
      <c r="A1613" s="12" t="inlineStr">
        <is>
          <t>R978-v2</t>
        </is>
      </c>
      <c r="B1613" s="12" t="inlineStr">
        <is>
          <t>Contractor Programme</t>
        </is>
      </c>
      <c r="C1613" s="12" t="inlineStr">
        <is>
          <t>SCH-06-078</t>
        </is>
      </c>
      <c r="D1613" s="12" t="inlineStr">
        <is>
          <t>UNSURE</t>
        </is>
      </c>
      <c r="E1613" s="12" t="inlineStr">
        <is>
          <t>New</t>
        </is>
      </c>
      <c r="F1613" s="12" t="inlineStr"/>
      <c r="G1613" s="12" t="inlineStr">
        <is>
          <t>Maya Chen, Owner Project Controls</t>
        </is>
      </c>
      <c r="H1613" s="17" t="inlineStr">
        <is>
          <t>10 EVIDENCE &amp; DECISIONS</t>
        </is>
      </c>
    </row>
    <row r="1614" ht="34" customHeight="1">
      <c r="A1614" s="12" t="inlineStr">
        <is>
          <t>R979-v2</t>
        </is>
      </c>
      <c r="B1614" s="12" t="inlineStr">
        <is>
          <t>Contractor Programme</t>
        </is>
      </c>
      <c r="C1614" s="12" t="inlineStr">
        <is>
          <t>SCH-06-079</t>
        </is>
      </c>
      <c r="D1614" s="12" t="inlineStr">
        <is>
          <t>UNSURE</t>
        </is>
      </c>
      <c r="E1614" s="12" t="inlineStr">
        <is>
          <t>New</t>
        </is>
      </c>
      <c r="F1614" s="12" t="inlineStr"/>
      <c r="G1614" s="12" t="inlineStr">
        <is>
          <t>Maya Chen, Owner Project Controls</t>
        </is>
      </c>
      <c r="H1614" s="17" t="inlineStr">
        <is>
          <t>10 EVIDENCE &amp; DECISIONS</t>
        </is>
      </c>
    </row>
    <row r="1615" ht="34" customHeight="1">
      <c r="A1615" s="12" t="inlineStr">
        <is>
          <t>R980-v2</t>
        </is>
      </c>
      <c r="B1615" s="12" t="inlineStr">
        <is>
          <t>Contractor Programme</t>
        </is>
      </c>
      <c r="C1615" s="12" t="inlineStr">
        <is>
          <t>SCH-06-080</t>
        </is>
      </c>
      <c r="D1615" s="12" t="inlineStr">
        <is>
          <t>UNSURE</t>
        </is>
      </c>
      <c r="E1615" s="12" t="inlineStr">
        <is>
          <t>New</t>
        </is>
      </c>
      <c r="F1615" s="12" t="inlineStr"/>
      <c r="G1615" s="12" t="inlineStr">
        <is>
          <t>Maya Chen, Owner Project Controls</t>
        </is>
      </c>
      <c r="H1615" s="17" t="inlineStr">
        <is>
          <t>10 EVIDENCE &amp; DECISIONS</t>
        </is>
      </c>
    </row>
    <row r="1616" ht="34" customHeight="1">
      <c r="A1616" s="12" t="inlineStr">
        <is>
          <t>R981-v2</t>
        </is>
      </c>
      <c r="B1616" s="12" t="inlineStr">
        <is>
          <t>Contractor Programme</t>
        </is>
      </c>
      <c r="C1616" s="12" t="inlineStr">
        <is>
          <t>SCH-06-081</t>
        </is>
      </c>
      <c r="D1616" s="12" t="inlineStr">
        <is>
          <t>UNSURE</t>
        </is>
      </c>
      <c r="E1616" s="12" t="inlineStr">
        <is>
          <t>New</t>
        </is>
      </c>
      <c r="F1616" s="12" t="inlineStr"/>
      <c r="G1616" s="12" t="inlineStr">
        <is>
          <t>Maya Chen, Owner Project Controls</t>
        </is>
      </c>
      <c r="H1616" s="17" t="inlineStr">
        <is>
          <t>10 EVIDENCE &amp; DECISIONS</t>
        </is>
      </c>
    </row>
    <row r="1617" ht="34" customHeight="1">
      <c r="A1617" s="12" t="inlineStr">
        <is>
          <t>R982-v2</t>
        </is>
      </c>
      <c r="B1617" s="12" t="inlineStr">
        <is>
          <t>Contractor Programme</t>
        </is>
      </c>
      <c r="C1617" s="12" t="inlineStr">
        <is>
          <t>SCH-06-082</t>
        </is>
      </c>
      <c r="D1617" s="12" t="inlineStr">
        <is>
          <t>UNSURE</t>
        </is>
      </c>
      <c r="E1617" s="12" t="inlineStr">
        <is>
          <t>New</t>
        </is>
      </c>
      <c r="F1617" s="12" t="inlineStr"/>
      <c r="G1617" s="12" t="inlineStr">
        <is>
          <t>Maya Chen, Owner Project Controls</t>
        </is>
      </c>
      <c r="H1617" s="17" t="inlineStr">
        <is>
          <t>10 EVIDENCE &amp; DECISIONS</t>
        </is>
      </c>
    </row>
    <row r="1618" ht="34" customHeight="1">
      <c r="A1618" s="12" t="inlineStr">
        <is>
          <t>R983-v2</t>
        </is>
      </c>
      <c r="B1618" s="12" t="inlineStr">
        <is>
          <t>Contractor Programme</t>
        </is>
      </c>
      <c r="C1618" s="12" t="inlineStr">
        <is>
          <t>SCH-06-083</t>
        </is>
      </c>
      <c r="D1618" s="12" t="inlineStr">
        <is>
          <t>UNSURE</t>
        </is>
      </c>
      <c r="E1618" s="12" t="inlineStr">
        <is>
          <t>New</t>
        </is>
      </c>
      <c r="F1618" s="12" t="inlineStr"/>
      <c r="G1618" s="12" t="inlineStr">
        <is>
          <t>Maya Chen, Owner Project Controls</t>
        </is>
      </c>
      <c r="H1618" s="17" t="inlineStr">
        <is>
          <t>10 EVIDENCE &amp; DECISIONS</t>
        </is>
      </c>
    </row>
    <row r="1619" ht="34" customHeight="1">
      <c r="A1619" s="12" t="inlineStr">
        <is>
          <t>R984-v2</t>
        </is>
      </c>
      <c r="B1619" s="12" t="inlineStr">
        <is>
          <t>Contractor Programme</t>
        </is>
      </c>
      <c r="C1619" s="12" t="inlineStr">
        <is>
          <t>SCH-06-084</t>
        </is>
      </c>
      <c r="D1619" s="12" t="inlineStr">
        <is>
          <t>UNSURE</t>
        </is>
      </c>
      <c r="E1619" s="12" t="inlineStr">
        <is>
          <t>New</t>
        </is>
      </c>
      <c r="F1619" s="12" t="inlineStr"/>
      <c r="G1619" s="12" t="inlineStr">
        <is>
          <t>Maya Chen, Owner Project Controls</t>
        </is>
      </c>
      <c r="H1619" s="17" t="inlineStr">
        <is>
          <t>10 EVIDENCE &amp; DECISIONS</t>
        </is>
      </c>
    </row>
    <row r="1620" ht="34" customHeight="1">
      <c r="A1620" s="12" t="inlineStr">
        <is>
          <t>R985-v2</t>
        </is>
      </c>
      <c r="B1620" s="12" t="inlineStr">
        <is>
          <t>Contractor Programme</t>
        </is>
      </c>
      <c r="C1620" s="12" t="inlineStr">
        <is>
          <t>SCH-06-085</t>
        </is>
      </c>
      <c r="D1620" s="12" t="inlineStr">
        <is>
          <t>UNSURE</t>
        </is>
      </c>
      <c r="E1620" s="12" t="inlineStr">
        <is>
          <t>New</t>
        </is>
      </c>
      <c r="F1620" s="12" t="inlineStr"/>
      <c r="G1620" s="12" t="inlineStr">
        <is>
          <t>Maya Chen, Owner Project Controls</t>
        </is>
      </c>
      <c r="H1620" s="17" t="inlineStr">
        <is>
          <t>10 EVIDENCE &amp; DECISIONS</t>
        </is>
      </c>
    </row>
    <row r="1621" ht="34" customHeight="1">
      <c r="A1621" s="12" t="inlineStr">
        <is>
          <t>R986-v2</t>
        </is>
      </c>
      <c r="B1621" s="12" t="inlineStr">
        <is>
          <t>Contractor Programme</t>
        </is>
      </c>
      <c r="C1621" s="12" t="inlineStr">
        <is>
          <t>SCH-06-086</t>
        </is>
      </c>
      <c r="D1621" s="12" t="inlineStr">
        <is>
          <t>UNSURE</t>
        </is>
      </c>
      <c r="E1621" s="12" t="inlineStr">
        <is>
          <t>New</t>
        </is>
      </c>
      <c r="F1621" s="12" t="inlineStr"/>
      <c r="G1621" s="12" t="inlineStr">
        <is>
          <t>Maya Chen, Owner Project Controls</t>
        </is>
      </c>
      <c r="H1621" s="17" t="inlineStr">
        <is>
          <t>10 EVIDENCE &amp; DECISIONS</t>
        </is>
      </c>
    </row>
    <row r="1622" ht="34" customHeight="1">
      <c r="A1622" s="12" t="inlineStr">
        <is>
          <t>R987-v2</t>
        </is>
      </c>
      <c r="B1622" s="12" t="inlineStr">
        <is>
          <t>Contractor Programme</t>
        </is>
      </c>
      <c r="C1622" s="12" t="inlineStr">
        <is>
          <t>SCH-06-087</t>
        </is>
      </c>
      <c r="D1622" s="12" t="inlineStr">
        <is>
          <t>UNSURE</t>
        </is>
      </c>
      <c r="E1622" s="12" t="inlineStr">
        <is>
          <t>New</t>
        </is>
      </c>
      <c r="F1622" s="12" t="inlineStr"/>
      <c r="G1622" s="12" t="inlineStr">
        <is>
          <t>Maya Chen, Owner Project Controls</t>
        </is>
      </c>
      <c r="H1622" s="17" t="inlineStr">
        <is>
          <t>10 EVIDENCE &amp; DECISIONS</t>
        </is>
      </c>
    </row>
    <row r="1623" ht="34" customHeight="1">
      <c r="A1623" s="12" t="inlineStr">
        <is>
          <t>R988-v2</t>
        </is>
      </c>
      <c r="B1623" s="12" t="inlineStr">
        <is>
          <t>Contractor Programme</t>
        </is>
      </c>
      <c r="C1623" s="12" t="inlineStr">
        <is>
          <t>SCH-06-088</t>
        </is>
      </c>
      <c r="D1623" s="12" t="inlineStr">
        <is>
          <t>UNSURE</t>
        </is>
      </c>
      <c r="E1623" s="12" t="inlineStr">
        <is>
          <t>New</t>
        </is>
      </c>
      <c r="F1623" s="12" t="inlineStr"/>
      <c r="G1623" s="12" t="inlineStr">
        <is>
          <t>Maya Chen, Owner Project Controls</t>
        </is>
      </c>
      <c r="H1623" s="17" t="inlineStr">
        <is>
          <t>10 EVIDENCE &amp; DECISIONS</t>
        </is>
      </c>
    </row>
    <row r="1624" ht="34" customHeight="1">
      <c r="A1624" s="12" t="inlineStr">
        <is>
          <t>R989-v2</t>
        </is>
      </c>
      <c r="B1624" s="12" t="inlineStr">
        <is>
          <t>Contractor Programme</t>
        </is>
      </c>
      <c r="C1624" s="12" t="inlineStr">
        <is>
          <t>SCH-06-089</t>
        </is>
      </c>
      <c r="D1624" s="12" t="inlineStr">
        <is>
          <t>UNSURE</t>
        </is>
      </c>
      <c r="E1624" s="12" t="inlineStr">
        <is>
          <t>New</t>
        </is>
      </c>
      <c r="F1624" s="12" t="inlineStr"/>
      <c r="G1624" s="12" t="inlineStr">
        <is>
          <t>Maya Chen, Owner Project Controls</t>
        </is>
      </c>
      <c r="H1624" s="17" t="inlineStr">
        <is>
          <t>10 EVIDENCE &amp; DECISIONS</t>
        </is>
      </c>
    </row>
    <row r="1625" ht="34" customHeight="1">
      <c r="A1625" s="12" t="inlineStr">
        <is>
          <t>R990-v2</t>
        </is>
      </c>
      <c r="B1625" s="12" t="inlineStr">
        <is>
          <t>Contractor Programme</t>
        </is>
      </c>
      <c r="C1625" s="12" t="inlineStr">
        <is>
          <t>SCH-06-090</t>
        </is>
      </c>
      <c r="D1625" s="12" t="inlineStr">
        <is>
          <t>UNSURE</t>
        </is>
      </c>
      <c r="E1625" s="12" t="inlineStr">
        <is>
          <t>New</t>
        </is>
      </c>
      <c r="F1625" s="12" t="inlineStr"/>
      <c r="G1625" s="12" t="inlineStr">
        <is>
          <t>Maya Chen, Owner Project Controls</t>
        </is>
      </c>
      <c r="H1625" s="17" t="inlineStr">
        <is>
          <t>10 EVIDENCE &amp; DECISIONS</t>
        </is>
      </c>
    </row>
    <row r="1626" ht="34" customHeight="1">
      <c r="A1626" s="12" t="inlineStr">
        <is>
          <t>R991-v2</t>
        </is>
      </c>
      <c r="B1626" s="12" t="inlineStr">
        <is>
          <t>Contractor Programme</t>
        </is>
      </c>
      <c r="C1626" s="12" t="inlineStr">
        <is>
          <t>SCH-06-091</t>
        </is>
      </c>
      <c r="D1626" s="12" t="inlineStr">
        <is>
          <t>UNSURE</t>
        </is>
      </c>
      <c r="E1626" s="12" t="inlineStr">
        <is>
          <t>New</t>
        </is>
      </c>
      <c r="F1626" s="12" t="inlineStr"/>
      <c r="G1626" s="12" t="inlineStr">
        <is>
          <t>Maya Chen, Owner Project Controls</t>
        </is>
      </c>
      <c r="H1626" s="17" t="inlineStr">
        <is>
          <t>10 EVIDENCE &amp; DECISIONS</t>
        </is>
      </c>
    </row>
    <row r="1627" ht="34" customHeight="1">
      <c r="A1627" s="12" t="inlineStr">
        <is>
          <t>R992-v2</t>
        </is>
      </c>
      <c r="B1627" s="12" t="inlineStr">
        <is>
          <t>Contractor Programme</t>
        </is>
      </c>
      <c r="C1627" s="12" t="inlineStr">
        <is>
          <t>SCH-06-092</t>
        </is>
      </c>
      <c r="D1627" s="12" t="inlineStr">
        <is>
          <t>UNSURE</t>
        </is>
      </c>
      <c r="E1627" s="12" t="inlineStr">
        <is>
          <t>New</t>
        </is>
      </c>
      <c r="F1627" s="12" t="inlineStr"/>
      <c r="G1627" s="12" t="inlineStr">
        <is>
          <t>Maya Chen, Owner Project Controls</t>
        </is>
      </c>
      <c r="H1627" s="17" t="inlineStr">
        <is>
          <t>10 EVIDENCE &amp; DECISIONS</t>
        </is>
      </c>
    </row>
    <row r="1628" ht="34" customHeight="1">
      <c r="A1628" s="12" t="inlineStr">
        <is>
          <t>R993-v2</t>
        </is>
      </c>
      <c r="B1628" s="12" t="inlineStr">
        <is>
          <t>Contractor Programme</t>
        </is>
      </c>
      <c r="C1628" s="12" t="inlineStr">
        <is>
          <t>SCH-06-093</t>
        </is>
      </c>
      <c r="D1628" s="12" t="inlineStr">
        <is>
          <t>UNSURE</t>
        </is>
      </c>
      <c r="E1628" s="12" t="inlineStr">
        <is>
          <t>New</t>
        </is>
      </c>
      <c r="F1628" s="12" t="inlineStr"/>
      <c r="G1628" s="12" t="inlineStr">
        <is>
          <t>Maya Chen, Owner Project Controls</t>
        </is>
      </c>
      <c r="H1628" s="17" t="inlineStr">
        <is>
          <t>10 EVIDENCE &amp; DECISIONS</t>
        </is>
      </c>
    </row>
    <row r="1629" ht="34" customHeight="1">
      <c r="A1629" s="12" t="inlineStr">
        <is>
          <t>R994-v2</t>
        </is>
      </c>
      <c r="B1629" s="12" t="inlineStr">
        <is>
          <t>Contractor Programme</t>
        </is>
      </c>
      <c r="C1629" s="12" t="inlineStr">
        <is>
          <t>SCH-06-094</t>
        </is>
      </c>
      <c r="D1629" s="12" t="inlineStr">
        <is>
          <t>UNSURE</t>
        </is>
      </c>
      <c r="E1629" s="12" t="inlineStr">
        <is>
          <t>New</t>
        </is>
      </c>
      <c r="F1629" s="12" t="inlineStr"/>
      <c r="G1629" s="12" t="inlineStr">
        <is>
          <t>Maya Chen, Owner Project Controls</t>
        </is>
      </c>
      <c r="H1629" s="17" t="inlineStr">
        <is>
          <t>10 EVIDENCE &amp; DECISIONS</t>
        </is>
      </c>
    </row>
    <row r="1630" ht="34" customHeight="1">
      <c r="A1630" s="12" t="inlineStr">
        <is>
          <t>R995-v2</t>
        </is>
      </c>
      <c r="B1630" s="12" t="inlineStr">
        <is>
          <t>Contractor Programme</t>
        </is>
      </c>
      <c r="C1630" s="12" t="inlineStr">
        <is>
          <t>SCH-06-095</t>
        </is>
      </c>
      <c r="D1630" s="12" t="inlineStr">
        <is>
          <t>UNSURE</t>
        </is>
      </c>
      <c r="E1630" s="12" t="inlineStr">
        <is>
          <t>New</t>
        </is>
      </c>
      <c r="F1630" s="12" t="inlineStr"/>
      <c r="G1630" s="12" t="inlineStr">
        <is>
          <t>Maya Chen, Owner Project Controls</t>
        </is>
      </c>
      <c r="H1630" s="17" t="inlineStr">
        <is>
          <t>10 EVIDENCE &amp; DECISIONS</t>
        </is>
      </c>
    </row>
    <row r="1631" ht="34" customHeight="1">
      <c r="A1631" s="12" t="inlineStr">
        <is>
          <t>R996-v2</t>
        </is>
      </c>
      <c r="B1631" s="12" t="inlineStr">
        <is>
          <t>Contractor Programme</t>
        </is>
      </c>
      <c r="C1631" s="12" t="inlineStr">
        <is>
          <t>SCH-06-096</t>
        </is>
      </c>
      <c r="D1631" s="12" t="inlineStr">
        <is>
          <t>UNSURE</t>
        </is>
      </c>
      <c r="E1631" s="12" t="inlineStr">
        <is>
          <t>New</t>
        </is>
      </c>
      <c r="F1631" s="12" t="inlineStr"/>
      <c r="G1631" s="12" t="inlineStr">
        <is>
          <t>Maya Chen, Owner Project Controls</t>
        </is>
      </c>
      <c r="H1631" s="17" t="inlineStr">
        <is>
          <t>10 EVIDENCE &amp; DECISIONS</t>
        </is>
      </c>
    </row>
    <row r="1632" ht="34" customHeight="1">
      <c r="A1632" s="12" t="inlineStr">
        <is>
          <t>R997-v2</t>
        </is>
      </c>
      <c r="B1632" s="12" t="inlineStr">
        <is>
          <t>Contractor Programme</t>
        </is>
      </c>
      <c r="C1632" s="12" t="inlineStr">
        <is>
          <t>SCH-06-097</t>
        </is>
      </c>
      <c r="D1632" s="12" t="inlineStr">
        <is>
          <t>UNSURE</t>
        </is>
      </c>
      <c r="E1632" s="12" t="inlineStr">
        <is>
          <t>New</t>
        </is>
      </c>
      <c r="F1632" s="12" t="inlineStr"/>
      <c r="G1632" s="12" t="inlineStr">
        <is>
          <t>Maya Chen, Owner Project Controls</t>
        </is>
      </c>
      <c r="H1632" s="17" t="inlineStr">
        <is>
          <t>10 EVIDENCE &amp; DECISIONS</t>
        </is>
      </c>
    </row>
    <row r="1633" ht="34" customHeight="1">
      <c r="A1633" s="12" t="inlineStr">
        <is>
          <t>R998-v2</t>
        </is>
      </c>
      <c r="B1633" s="12" t="inlineStr">
        <is>
          <t>Contractor Programme</t>
        </is>
      </c>
      <c r="C1633" s="12" t="inlineStr">
        <is>
          <t>SCH-06-098</t>
        </is>
      </c>
      <c r="D1633" s="12" t="inlineStr">
        <is>
          <t>UNSURE</t>
        </is>
      </c>
      <c r="E1633" s="12" t="inlineStr">
        <is>
          <t>New</t>
        </is>
      </c>
      <c r="F1633" s="12" t="inlineStr"/>
      <c r="G1633" s="12" t="inlineStr">
        <is>
          <t>Maya Chen, Owner Project Controls</t>
        </is>
      </c>
      <c r="H1633" s="17" t="inlineStr">
        <is>
          <t>10 EVIDENCE &amp; DECISIONS</t>
        </is>
      </c>
    </row>
    <row r="1634" ht="34" customHeight="1">
      <c r="A1634" s="12" t="inlineStr">
        <is>
          <t>R999-v2</t>
        </is>
      </c>
      <c r="B1634" s="12" t="inlineStr">
        <is>
          <t>Contractor Programme</t>
        </is>
      </c>
      <c r="C1634" s="12" t="inlineStr">
        <is>
          <t>SCH-06-099</t>
        </is>
      </c>
      <c r="D1634" s="12" t="inlineStr">
        <is>
          <t>UNSURE</t>
        </is>
      </c>
      <c r="E1634" s="12" t="inlineStr">
        <is>
          <t>New</t>
        </is>
      </c>
      <c r="F1634" s="12" t="inlineStr"/>
      <c r="G1634" s="12" t="inlineStr">
        <is>
          <t>Maya Chen, Owner Project Controls</t>
        </is>
      </c>
      <c r="H1634" s="17" t="inlineStr">
        <is>
          <t>10 EVIDENCE &amp; DECISIONS</t>
        </is>
      </c>
    </row>
  </sheetData>
  <autoFilter ref="A12:H1634"/>
  <mergeCells count="4">
    <mergeCell ref="A1:D1"/>
    <mergeCell ref="A2:D2"/>
    <mergeCell ref="D9:H10"/>
    <mergeCell ref="D6:H7"/>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H13" r:id="rId10"/>
    <hyperlink xmlns:r="http://schemas.openxmlformats.org/officeDocument/2006/relationships" ref="H14" r:id="rId11"/>
    <hyperlink xmlns:r="http://schemas.openxmlformats.org/officeDocument/2006/relationships" ref="H15" r:id="rId12"/>
    <hyperlink xmlns:r="http://schemas.openxmlformats.org/officeDocument/2006/relationships" ref="H16" r:id="rId13"/>
    <hyperlink xmlns:r="http://schemas.openxmlformats.org/officeDocument/2006/relationships" ref="H17" r:id="rId14"/>
    <hyperlink xmlns:r="http://schemas.openxmlformats.org/officeDocument/2006/relationships" ref="H18" r:id="rId15"/>
    <hyperlink xmlns:r="http://schemas.openxmlformats.org/officeDocument/2006/relationships" ref="H19" r:id="rId16"/>
    <hyperlink xmlns:r="http://schemas.openxmlformats.org/officeDocument/2006/relationships" ref="H20" r:id="rId17"/>
    <hyperlink xmlns:r="http://schemas.openxmlformats.org/officeDocument/2006/relationships" ref="H21" r:id="rId18"/>
    <hyperlink xmlns:r="http://schemas.openxmlformats.org/officeDocument/2006/relationships" ref="H22" r:id="rId19"/>
    <hyperlink xmlns:r="http://schemas.openxmlformats.org/officeDocument/2006/relationships" ref="H23" r:id="rId20"/>
    <hyperlink xmlns:r="http://schemas.openxmlformats.org/officeDocument/2006/relationships" ref="H24" r:id="rId21"/>
    <hyperlink xmlns:r="http://schemas.openxmlformats.org/officeDocument/2006/relationships" ref="H25" r:id="rId22"/>
    <hyperlink xmlns:r="http://schemas.openxmlformats.org/officeDocument/2006/relationships" ref="H26" r:id="rId23"/>
    <hyperlink xmlns:r="http://schemas.openxmlformats.org/officeDocument/2006/relationships" ref="H27" r:id="rId24"/>
    <hyperlink xmlns:r="http://schemas.openxmlformats.org/officeDocument/2006/relationships" ref="H28" r:id="rId25"/>
    <hyperlink xmlns:r="http://schemas.openxmlformats.org/officeDocument/2006/relationships" ref="H29" r:id="rId26"/>
    <hyperlink xmlns:r="http://schemas.openxmlformats.org/officeDocument/2006/relationships" ref="H30" r:id="rId27"/>
    <hyperlink xmlns:r="http://schemas.openxmlformats.org/officeDocument/2006/relationships" ref="H31" r:id="rId28"/>
    <hyperlink xmlns:r="http://schemas.openxmlformats.org/officeDocument/2006/relationships" ref="H32" r:id="rId29"/>
    <hyperlink xmlns:r="http://schemas.openxmlformats.org/officeDocument/2006/relationships" ref="H33" r:id="rId30"/>
    <hyperlink xmlns:r="http://schemas.openxmlformats.org/officeDocument/2006/relationships" ref="H34" r:id="rId31"/>
    <hyperlink xmlns:r="http://schemas.openxmlformats.org/officeDocument/2006/relationships" ref="H35" r:id="rId32"/>
    <hyperlink xmlns:r="http://schemas.openxmlformats.org/officeDocument/2006/relationships" ref="H36" r:id="rId33"/>
    <hyperlink xmlns:r="http://schemas.openxmlformats.org/officeDocument/2006/relationships" ref="H37" r:id="rId34"/>
    <hyperlink xmlns:r="http://schemas.openxmlformats.org/officeDocument/2006/relationships" ref="H38" r:id="rId35"/>
    <hyperlink xmlns:r="http://schemas.openxmlformats.org/officeDocument/2006/relationships" ref="H39" r:id="rId36"/>
    <hyperlink xmlns:r="http://schemas.openxmlformats.org/officeDocument/2006/relationships" ref="H40" r:id="rId37"/>
    <hyperlink xmlns:r="http://schemas.openxmlformats.org/officeDocument/2006/relationships" ref="H41" r:id="rId38"/>
    <hyperlink xmlns:r="http://schemas.openxmlformats.org/officeDocument/2006/relationships" ref="H42" r:id="rId39"/>
    <hyperlink xmlns:r="http://schemas.openxmlformats.org/officeDocument/2006/relationships" ref="H43" r:id="rId40"/>
    <hyperlink xmlns:r="http://schemas.openxmlformats.org/officeDocument/2006/relationships" ref="H44" r:id="rId41"/>
    <hyperlink xmlns:r="http://schemas.openxmlformats.org/officeDocument/2006/relationships" ref="H45" r:id="rId42"/>
    <hyperlink xmlns:r="http://schemas.openxmlformats.org/officeDocument/2006/relationships" ref="H46" r:id="rId43"/>
    <hyperlink xmlns:r="http://schemas.openxmlformats.org/officeDocument/2006/relationships" ref="H47" r:id="rId44"/>
    <hyperlink xmlns:r="http://schemas.openxmlformats.org/officeDocument/2006/relationships" ref="H48" r:id="rId45"/>
    <hyperlink xmlns:r="http://schemas.openxmlformats.org/officeDocument/2006/relationships" ref="H49" r:id="rId46"/>
    <hyperlink xmlns:r="http://schemas.openxmlformats.org/officeDocument/2006/relationships" ref="H50" r:id="rId47"/>
    <hyperlink xmlns:r="http://schemas.openxmlformats.org/officeDocument/2006/relationships" ref="H51" r:id="rId48"/>
    <hyperlink xmlns:r="http://schemas.openxmlformats.org/officeDocument/2006/relationships" ref="H52" r:id="rId49"/>
    <hyperlink xmlns:r="http://schemas.openxmlformats.org/officeDocument/2006/relationships" ref="H53" r:id="rId50"/>
    <hyperlink xmlns:r="http://schemas.openxmlformats.org/officeDocument/2006/relationships" ref="H54" r:id="rId51"/>
    <hyperlink xmlns:r="http://schemas.openxmlformats.org/officeDocument/2006/relationships" ref="H55" r:id="rId52"/>
    <hyperlink xmlns:r="http://schemas.openxmlformats.org/officeDocument/2006/relationships" ref="H56" r:id="rId53"/>
    <hyperlink xmlns:r="http://schemas.openxmlformats.org/officeDocument/2006/relationships" ref="H57" r:id="rId54"/>
    <hyperlink xmlns:r="http://schemas.openxmlformats.org/officeDocument/2006/relationships" ref="H58" r:id="rId55"/>
    <hyperlink xmlns:r="http://schemas.openxmlformats.org/officeDocument/2006/relationships" ref="H59" r:id="rId56"/>
    <hyperlink xmlns:r="http://schemas.openxmlformats.org/officeDocument/2006/relationships" ref="H60" r:id="rId57"/>
    <hyperlink xmlns:r="http://schemas.openxmlformats.org/officeDocument/2006/relationships" ref="H61" r:id="rId58"/>
    <hyperlink xmlns:r="http://schemas.openxmlformats.org/officeDocument/2006/relationships" ref="H62" r:id="rId59"/>
    <hyperlink xmlns:r="http://schemas.openxmlformats.org/officeDocument/2006/relationships" ref="H63" r:id="rId60"/>
    <hyperlink xmlns:r="http://schemas.openxmlformats.org/officeDocument/2006/relationships" ref="H64" r:id="rId61"/>
    <hyperlink xmlns:r="http://schemas.openxmlformats.org/officeDocument/2006/relationships" ref="H65" r:id="rId62"/>
    <hyperlink xmlns:r="http://schemas.openxmlformats.org/officeDocument/2006/relationships" ref="H66" r:id="rId63"/>
    <hyperlink xmlns:r="http://schemas.openxmlformats.org/officeDocument/2006/relationships" ref="H67" r:id="rId64"/>
    <hyperlink xmlns:r="http://schemas.openxmlformats.org/officeDocument/2006/relationships" ref="H68" r:id="rId65"/>
    <hyperlink xmlns:r="http://schemas.openxmlformats.org/officeDocument/2006/relationships" ref="H69" r:id="rId66"/>
    <hyperlink xmlns:r="http://schemas.openxmlformats.org/officeDocument/2006/relationships" ref="H70" r:id="rId67"/>
    <hyperlink xmlns:r="http://schemas.openxmlformats.org/officeDocument/2006/relationships" ref="H71" r:id="rId68"/>
    <hyperlink xmlns:r="http://schemas.openxmlformats.org/officeDocument/2006/relationships" ref="H72" r:id="rId69"/>
    <hyperlink xmlns:r="http://schemas.openxmlformats.org/officeDocument/2006/relationships" ref="H73" r:id="rId70"/>
    <hyperlink xmlns:r="http://schemas.openxmlformats.org/officeDocument/2006/relationships" ref="H74" r:id="rId71"/>
    <hyperlink xmlns:r="http://schemas.openxmlformats.org/officeDocument/2006/relationships" ref="H75" r:id="rId72"/>
    <hyperlink xmlns:r="http://schemas.openxmlformats.org/officeDocument/2006/relationships" ref="H76" r:id="rId73"/>
    <hyperlink xmlns:r="http://schemas.openxmlformats.org/officeDocument/2006/relationships" ref="H77" r:id="rId74"/>
    <hyperlink xmlns:r="http://schemas.openxmlformats.org/officeDocument/2006/relationships" ref="H78" r:id="rId75"/>
    <hyperlink xmlns:r="http://schemas.openxmlformats.org/officeDocument/2006/relationships" ref="H79" r:id="rId76"/>
    <hyperlink xmlns:r="http://schemas.openxmlformats.org/officeDocument/2006/relationships" ref="H80" r:id="rId77"/>
    <hyperlink xmlns:r="http://schemas.openxmlformats.org/officeDocument/2006/relationships" ref="H81" r:id="rId78"/>
    <hyperlink xmlns:r="http://schemas.openxmlformats.org/officeDocument/2006/relationships" ref="H82" r:id="rId79"/>
    <hyperlink xmlns:r="http://schemas.openxmlformats.org/officeDocument/2006/relationships" ref="H83" r:id="rId80"/>
    <hyperlink xmlns:r="http://schemas.openxmlformats.org/officeDocument/2006/relationships" ref="H84" r:id="rId81"/>
    <hyperlink xmlns:r="http://schemas.openxmlformats.org/officeDocument/2006/relationships" ref="H85" r:id="rId82"/>
    <hyperlink xmlns:r="http://schemas.openxmlformats.org/officeDocument/2006/relationships" ref="H86" r:id="rId83"/>
    <hyperlink xmlns:r="http://schemas.openxmlformats.org/officeDocument/2006/relationships" ref="H87" r:id="rId84"/>
    <hyperlink xmlns:r="http://schemas.openxmlformats.org/officeDocument/2006/relationships" ref="H88" r:id="rId85"/>
    <hyperlink xmlns:r="http://schemas.openxmlformats.org/officeDocument/2006/relationships" ref="H89" r:id="rId86"/>
    <hyperlink xmlns:r="http://schemas.openxmlformats.org/officeDocument/2006/relationships" ref="H90" r:id="rId87"/>
    <hyperlink xmlns:r="http://schemas.openxmlformats.org/officeDocument/2006/relationships" ref="H91" r:id="rId88"/>
    <hyperlink xmlns:r="http://schemas.openxmlformats.org/officeDocument/2006/relationships" ref="H92" r:id="rId89"/>
    <hyperlink xmlns:r="http://schemas.openxmlformats.org/officeDocument/2006/relationships" ref="H93" r:id="rId90"/>
    <hyperlink xmlns:r="http://schemas.openxmlformats.org/officeDocument/2006/relationships" ref="H94" r:id="rId91"/>
    <hyperlink xmlns:r="http://schemas.openxmlformats.org/officeDocument/2006/relationships" ref="H95" r:id="rId92"/>
    <hyperlink xmlns:r="http://schemas.openxmlformats.org/officeDocument/2006/relationships" ref="H96" r:id="rId93"/>
    <hyperlink xmlns:r="http://schemas.openxmlformats.org/officeDocument/2006/relationships" ref="H97" r:id="rId94"/>
    <hyperlink xmlns:r="http://schemas.openxmlformats.org/officeDocument/2006/relationships" ref="H98" r:id="rId95"/>
    <hyperlink xmlns:r="http://schemas.openxmlformats.org/officeDocument/2006/relationships" ref="H99" r:id="rId96"/>
    <hyperlink xmlns:r="http://schemas.openxmlformats.org/officeDocument/2006/relationships" ref="H100" r:id="rId97"/>
    <hyperlink xmlns:r="http://schemas.openxmlformats.org/officeDocument/2006/relationships" ref="H101" r:id="rId98"/>
    <hyperlink xmlns:r="http://schemas.openxmlformats.org/officeDocument/2006/relationships" ref="H102" r:id="rId99"/>
    <hyperlink xmlns:r="http://schemas.openxmlformats.org/officeDocument/2006/relationships" ref="H103" r:id="rId100"/>
    <hyperlink xmlns:r="http://schemas.openxmlformats.org/officeDocument/2006/relationships" ref="H104" r:id="rId101"/>
    <hyperlink xmlns:r="http://schemas.openxmlformats.org/officeDocument/2006/relationships" ref="H105" r:id="rId102"/>
    <hyperlink xmlns:r="http://schemas.openxmlformats.org/officeDocument/2006/relationships" ref="H106" r:id="rId103"/>
    <hyperlink xmlns:r="http://schemas.openxmlformats.org/officeDocument/2006/relationships" ref="H107" r:id="rId104"/>
    <hyperlink xmlns:r="http://schemas.openxmlformats.org/officeDocument/2006/relationships" ref="H108" r:id="rId105"/>
    <hyperlink xmlns:r="http://schemas.openxmlformats.org/officeDocument/2006/relationships" ref="H109" r:id="rId106"/>
    <hyperlink xmlns:r="http://schemas.openxmlformats.org/officeDocument/2006/relationships" ref="H110" r:id="rId107"/>
    <hyperlink xmlns:r="http://schemas.openxmlformats.org/officeDocument/2006/relationships" ref="H111" r:id="rId108"/>
    <hyperlink xmlns:r="http://schemas.openxmlformats.org/officeDocument/2006/relationships" ref="H112" r:id="rId109"/>
    <hyperlink xmlns:r="http://schemas.openxmlformats.org/officeDocument/2006/relationships" ref="H113" r:id="rId110"/>
    <hyperlink xmlns:r="http://schemas.openxmlformats.org/officeDocument/2006/relationships" ref="H114" r:id="rId111"/>
    <hyperlink xmlns:r="http://schemas.openxmlformats.org/officeDocument/2006/relationships" ref="H115" r:id="rId112"/>
    <hyperlink xmlns:r="http://schemas.openxmlformats.org/officeDocument/2006/relationships" ref="H116" r:id="rId113"/>
    <hyperlink xmlns:r="http://schemas.openxmlformats.org/officeDocument/2006/relationships" ref="H117" r:id="rId114"/>
    <hyperlink xmlns:r="http://schemas.openxmlformats.org/officeDocument/2006/relationships" ref="H118" r:id="rId115"/>
    <hyperlink xmlns:r="http://schemas.openxmlformats.org/officeDocument/2006/relationships" ref="H119" r:id="rId116"/>
    <hyperlink xmlns:r="http://schemas.openxmlformats.org/officeDocument/2006/relationships" ref="H120" r:id="rId117"/>
    <hyperlink xmlns:r="http://schemas.openxmlformats.org/officeDocument/2006/relationships" ref="H121" r:id="rId118"/>
    <hyperlink xmlns:r="http://schemas.openxmlformats.org/officeDocument/2006/relationships" ref="H122" r:id="rId119"/>
    <hyperlink xmlns:r="http://schemas.openxmlformats.org/officeDocument/2006/relationships" ref="H123" r:id="rId120"/>
    <hyperlink xmlns:r="http://schemas.openxmlformats.org/officeDocument/2006/relationships" ref="H124" r:id="rId121"/>
    <hyperlink xmlns:r="http://schemas.openxmlformats.org/officeDocument/2006/relationships" ref="H125" r:id="rId122"/>
    <hyperlink xmlns:r="http://schemas.openxmlformats.org/officeDocument/2006/relationships" ref="H126" r:id="rId123"/>
    <hyperlink xmlns:r="http://schemas.openxmlformats.org/officeDocument/2006/relationships" ref="H127" r:id="rId124"/>
    <hyperlink xmlns:r="http://schemas.openxmlformats.org/officeDocument/2006/relationships" ref="H128" r:id="rId125"/>
    <hyperlink xmlns:r="http://schemas.openxmlformats.org/officeDocument/2006/relationships" ref="H129" r:id="rId126"/>
    <hyperlink xmlns:r="http://schemas.openxmlformats.org/officeDocument/2006/relationships" ref="H130" r:id="rId127"/>
    <hyperlink xmlns:r="http://schemas.openxmlformats.org/officeDocument/2006/relationships" ref="H131" r:id="rId128"/>
    <hyperlink xmlns:r="http://schemas.openxmlformats.org/officeDocument/2006/relationships" ref="H132" r:id="rId129"/>
    <hyperlink xmlns:r="http://schemas.openxmlformats.org/officeDocument/2006/relationships" ref="H133" r:id="rId130"/>
    <hyperlink xmlns:r="http://schemas.openxmlformats.org/officeDocument/2006/relationships" ref="H134" r:id="rId131"/>
    <hyperlink xmlns:r="http://schemas.openxmlformats.org/officeDocument/2006/relationships" ref="H135" r:id="rId132"/>
    <hyperlink xmlns:r="http://schemas.openxmlformats.org/officeDocument/2006/relationships" ref="H136" r:id="rId133"/>
    <hyperlink xmlns:r="http://schemas.openxmlformats.org/officeDocument/2006/relationships" ref="H137" r:id="rId134"/>
    <hyperlink xmlns:r="http://schemas.openxmlformats.org/officeDocument/2006/relationships" ref="H138" r:id="rId135"/>
    <hyperlink xmlns:r="http://schemas.openxmlformats.org/officeDocument/2006/relationships" ref="H139" r:id="rId136"/>
    <hyperlink xmlns:r="http://schemas.openxmlformats.org/officeDocument/2006/relationships" ref="H140" r:id="rId137"/>
    <hyperlink xmlns:r="http://schemas.openxmlformats.org/officeDocument/2006/relationships" ref="H141" r:id="rId138"/>
    <hyperlink xmlns:r="http://schemas.openxmlformats.org/officeDocument/2006/relationships" ref="H142" r:id="rId139"/>
    <hyperlink xmlns:r="http://schemas.openxmlformats.org/officeDocument/2006/relationships" ref="H143" r:id="rId140"/>
    <hyperlink xmlns:r="http://schemas.openxmlformats.org/officeDocument/2006/relationships" ref="H144" r:id="rId141"/>
    <hyperlink xmlns:r="http://schemas.openxmlformats.org/officeDocument/2006/relationships" ref="H145" r:id="rId142"/>
    <hyperlink xmlns:r="http://schemas.openxmlformats.org/officeDocument/2006/relationships" ref="H146" r:id="rId143"/>
    <hyperlink xmlns:r="http://schemas.openxmlformats.org/officeDocument/2006/relationships" ref="H147" r:id="rId144"/>
    <hyperlink xmlns:r="http://schemas.openxmlformats.org/officeDocument/2006/relationships" ref="H148" r:id="rId145"/>
    <hyperlink xmlns:r="http://schemas.openxmlformats.org/officeDocument/2006/relationships" ref="H149" r:id="rId146"/>
    <hyperlink xmlns:r="http://schemas.openxmlformats.org/officeDocument/2006/relationships" ref="H150" r:id="rId147"/>
    <hyperlink xmlns:r="http://schemas.openxmlformats.org/officeDocument/2006/relationships" ref="H151" r:id="rId148"/>
    <hyperlink xmlns:r="http://schemas.openxmlformats.org/officeDocument/2006/relationships" ref="H152" r:id="rId149"/>
    <hyperlink xmlns:r="http://schemas.openxmlformats.org/officeDocument/2006/relationships" ref="H153" r:id="rId150"/>
    <hyperlink xmlns:r="http://schemas.openxmlformats.org/officeDocument/2006/relationships" ref="H154" r:id="rId151"/>
    <hyperlink xmlns:r="http://schemas.openxmlformats.org/officeDocument/2006/relationships" ref="H155" r:id="rId152"/>
    <hyperlink xmlns:r="http://schemas.openxmlformats.org/officeDocument/2006/relationships" ref="H156" r:id="rId153"/>
    <hyperlink xmlns:r="http://schemas.openxmlformats.org/officeDocument/2006/relationships" ref="H157" r:id="rId154"/>
    <hyperlink xmlns:r="http://schemas.openxmlformats.org/officeDocument/2006/relationships" ref="H158" r:id="rId155"/>
    <hyperlink xmlns:r="http://schemas.openxmlformats.org/officeDocument/2006/relationships" ref="H159" r:id="rId156"/>
    <hyperlink xmlns:r="http://schemas.openxmlformats.org/officeDocument/2006/relationships" ref="H160" r:id="rId157"/>
    <hyperlink xmlns:r="http://schemas.openxmlformats.org/officeDocument/2006/relationships" ref="H161" r:id="rId158"/>
    <hyperlink xmlns:r="http://schemas.openxmlformats.org/officeDocument/2006/relationships" ref="H162" r:id="rId159"/>
    <hyperlink xmlns:r="http://schemas.openxmlformats.org/officeDocument/2006/relationships" ref="H163" r:id="rId160"/>
    <hyperlink xmlns:r="http://schemas.openxmlformats.org/officeDocument/2006/relationships" ref="H164" r:id="rId161"/>
    <hyperlink xmlns:r="http://schemas.openxmlformats.org/officeDocument/2006/relationships" ref="H165" r:id="rId162"/>
    <hyperlink xmlns:r="http://schemas.openxmlformats.org/officeDocument/2006/relationships" ref="H166" r:id="rId163"/>
    <hyperlink xmlns:r="http://schemas.openxmlformats.org/officeDocument/2006/relationships" ref="H167" r:id="rId164"/>
    <hyperlink xmlns:r="http://schemas.openxmlformats.org/officeDocument/2006/relationships" ref="H168" r:id="rId165"/>
    <hyperlink xmlns:r="http://schemas.openxmlformats.org/officeDocument/2006/relationships" ref="H169" r:id="rId166"/>
    <hyperlink xmlns:r="http://schemas.openxmlformats.org/officeDocument/2006/relationships" ref="H170" r:id="rId167"/>
    <hyperlink xmlns:r="http://schemas.openxmlformats.org/officeDocument/2006/relationships" ref="H171" r:id="rId168"/>
    <hyperlink xmlns:r="http://schemas.openxmlformats.org/officeDocument/2006/relationships" ref="H172" r:id="rId169"/>
    <hyperlink xmlns:r="http://schemas.openxmlformats.org/officeDocument/2006/relationships" ref="H173" r:id="rId170"/>
    <hyperlink xmlns:r="http://schemas.openxmlformats.org/officeDocument/2006/relationships" ref="H174" r:id="rId171"/>
    <hyperlink xmlns:r="http://schemas.openxmlformats.org/officeDocument/2006/relationships" ref="H175" r:id="rId172"/>
    <hyperlink xmlns:r="http://schemas.openxmlformats.org/officeDocument/2006/relationships" ref="H176" r:id="rId173"/>
    <hyperlink xmlns:r="http://schemas.openxmlformats.org/officeDocument/2006/relationships" ref="H177" r:id="rId174"/>
    <hyperlink xmlns:r="http://schemas.openxmlformats.org/officeDocument/2006/relationships" ref="H178" r:id="rId175"/>
    <hyperlink xmlns:r="http://schemas.openxmlformats.org/officeDocument/2006/relationships" ref="H179" r:id="rId176"/>
    <hyperlink xmlns:r="http://schemas.openxmlformats.org/officeDocument/2006/relationships" ref="H180" r:id="rId177"/>
    <hyperlink xmlns:r="http://schemas.openxmlformats.org/officeDocument/2006/relationships" ref="H181" r:id="rId178"/>
    <hyperlink xmlns:r="http://schemas.openxmlformats.org/officeDocument/2006/relationships" ref="H182" r:id="rId179"/>
    <hyperlink xmlns:r="http://schemas.openxmlformats.org/officeDocument/2006/relationships" ref="H183" r:id="rId180"/>
    <hyperlink xmlns:r="http://schemas.openxmlformats.org/officeDocument/2006/relationships" ref="H184" r:id="rId181"/>
    <hyperlink xmlns:r="http://schemas.openxmlformats.org/officeDocument/2006/relationships" ref="H185" r:id="rId182"/>
    <hyperlink xmlns:r="http://schemas.openxmlformats.org/officeDocument/2006/relationships" ref="H186" r:id="rId183"/>
    <hyperlink xmlns:r="http://schemas.openxmlformats.org/officeDocument/2006/relationships" ref="H187" r:id="rId184"/>
    <hyperlink xmlns:r="http://schemas.openxmlformats.org/officeDocument/2006/relationships" ref="H188" r:id="rId185"/>
    <hyperlink xmlns:r="http://schemas.openxmlformats.org/officeDocument/2006/relationships" ref="H189" r:id="rId186"/>
    <hyperlink xmlns:r="http://schemas.openxmlformats.org/officeDocument/2006/relationships" ref="H190" r:id="rId187"/>
    <hyperlink xmlns:r="http://schemas.openxmlformats.org/officeDocument/2006/relationships" ref="H191" r:id="rId188"/>
    <hyperlink xmlns:r="http://schemas.openxmlformats.org/officeDocument/2006/relationships" ref="H192" r:id="rId189"/>
    <hyperlink xmlns:r="http://schemas.openxmlformats.org/officeDocument/2006/relationships" ref="H193" r:id="rId190"/>
    <hyperlink xmlns:r="http://schemas.openxmlformats.org/officeDocument/2006/relationships" ref="H194" r:id="rId191"/>
    <hyperlink xmlns:r="http://schemas.openxmlformats.org/officeDocument/2006/relationships" ref="H195" r:id="rId192"/>
    <hyperlink xmlns:r="http://schemas.openxmlformats.org/officeDocument/2006/relationships" ref="H196" r:id="rId193"/>
    <hyperlink xmlns:r="http://schemas.openxmlformats.org/officeDocument/2006/relationships" ref="H197" r:id="rId194"/>
    <hyperlink xmlns:r="http://schemas.openxmlformats.org/officeDocument/2006/relationships" ref="H198" r:id="rId195"/>
    <hyperlink xmlns:r="http://schemas.openxmlformats.org/officeDocument/2006/relationships" ref="H199" r:id="rId196"/>
    <hyperlink xmlns:r="http://schemas.openxmlformats.org/officeDocument/2006/relationships" ref="H200" r:id="rId197"/>
    <hyperlink xmlns:r="http://schemas.openxmlformats.org/officeDocument/2006/relationships" ref="H201" r:id="rId198"/>
    <hyperlink xmlns:r="http://schemas.openxmlformats.org/officeDocument/2006/relationships" ref="H202" r:id="rId199"/>
    <hyperlink xmlns:r="http://schemas.openxmlformats.org/officeDocument/2006/relationships" ref="H203" r:id="rId200"/>
    <hyperlink xmlns:r="http://schemas.openxmlformats.org/officeDocument/2006/relationships" ref="H204" r:id="rId201"/>
    <hyperlink xmlns:r="http://schemas.openxmlformats.org/officeDocument/2006/relationships" ref="H205" r:id="rId202"/>
    <hyperlink xmlns:r="http://schemas.openxmlformats.org/officeDocument/2006/relationships" ref="H206" r:id="rId203"/>
    <hyperlink xmlns:r="http://schemas.openxmlformats.org/officeDocument/2006/relationships" ref="H207" r:id="rId204"/>
    <hyperlink xmlns:r="http://schemas.openxmlformats.org/officeDocument/2006/relationships" ref="H208" r:id="rId205"/>
    <hyperlink xmlns:r="http://schemas.openxmlformats.org/officeDocument/2006/relationships" ref="H209" r:id="rId206"/>
    <hyperlink xmlns:r="http://schemas.openxmlformats.org/officeDocument/2006/relationships" ref="H210" r:id="rId207"/>
    <hyperlink xmlns:r="http://schemas.openxmlformats.org/officeDocument/2006/relationships" ref="H211" r:id="rId208"/>
    <hyperlink xmlns:r="http://schemas.openxmlformats.org/officeDocument/2006/relationships" ref="H212" r:id="rId209"/>
    <hyperlink xmlns:r="http://schemas.openxmlformats.org/officeDocument/2006/relationships" ref="H213" r:id="rId210"/>
    <hyperlink xmlns:r="http://schemas.openxmlformats.org/officeDocument/2006/relationships" ref="H214" r:id="rId211"/>
    <hyperlink xmlns:r="http://schemas.openxmlformats.org/officeDocument/2006/relationships" ref="H215" r:id="rId212"/>
    <hyperlink xmlns:r="http://schemas.openxmlformats.org/officeDocument/2006/relationships" ref="H216" r:id="rId213"/>
    <hyperlink xmlns:r="http://schemas.openxmlformats.org/officeDocument/2006/relationships" ref="H217" r:id="rId214"/>
    <hyperlink xmlns:r="http://schemas.openxmlformats.org/officeDocument/2006/relationships" ref="H218" r:id="rId215"/>
    <hyperlink xmlns:r="http://schemas.openxmlformats.org/officeDocument/2006/relationships" ref="H219" r:id="rId216"/>
    <hyperlink xmlns:r="http://schemas.openxmlformats.org/officeDocument/2006/relationships" ref="H220" r:id="rId217"/>
    <hyperlink xmlns:r="http://schemas.openxmlformats.org/officeDocument/2006/relationships" ref="H221" r:id="rId218"/>
    <hyperlink xmlns:r="http://schemas.openxmlformats.org/officeDocument/2006/relationships" ref="H222" r:id="rId219"/>
    <hyperlink xmlns:r="http://schemas.openxmlformats.org/officeDocument/2006/relationships" ref="H223" r:id="rId220"/>
    <hyperlink xmlns:r="http://schemas.openxmlformats.org/officeDocument/2006/relationships" ref="H224" r:id="rId221"/>
    <hyperlink xmlns:r="http://schemas.openxmlformats.org/officeDocument/2006/relationships" ref="H225" r:id="rId222"/>
    <hyperlink xmlns:r="http://schemas.openxmlformats.org/officeDocument/2006/relationships" ref="H226" r:id="rId223"/>
    <hyperlink xmlns:r="http://schemas.openxmlformats.org/officeDocument/2006/relationships" ref="H227" r:id="rId224"/>
    <hyperlink xmlns:r="http://schemas.openxmlformats.org/officeDocument/2006/relationships" ref="H228" r:id="rId225"/>
    <hyperlink xmlns:r="http://schemas.openxmlformats.org/officeDocument/2006/relationships" ref="H229" r:id="rId226"/>
    <hyperlink xmlns:r="http://schemas.openxmlformats.org/officeDocument/2006/relationships" ref="H230" r:id="rId227"/>
    <hyperlink xmlns:r="http://schemas.openxmlformats.org/officeDocument/2006/relationships" ref="H231" r:id="rId228"/>
    <hyperlink xmlns:r="http://schemas.openxmlformats.org/officeDocument/2006/relationships" ref="H232" r:id="rId229"/>
    <hyperlink xmlns:r="http://schemas.openxmlformats.org/officeDocument/2006/relationships" ref="H233" r:id="rId230"/>
    <hyperlink xmlns:r="http://schemas.openxmlformats.org/officeDocument/2006/relationships" ref="H234" r:id="rId231"/>
    <hyperlink xmlns:r="http://schemas.openxmlformats.org/officeDocument/2006/relationships" ref="H235" r:id="rId232"/>
    <hyperlink xmlns:r="http://schemas.openxmlformats.org/officeDocument/2006/relationships" ref="H236" r:id="rId233"/>
    <hyperlink xmlns:r="http://schemas.openxmlformats.org/officeDocument/2006/relationships" ref="H237" r:id="rId234"/>
    <hyperlink xmlns:r="http://schemas.openxmlformats.org/officeDocument/2006/relationships" ref="H238" r:id="rId235"/>
    <hyperlink xmlns:r="http://schemas.openxmlformats.org/officeDocument/2006/relationships" ref="H239" r:id="rId236"/>
    <hyperlink xmlns:r="http://schemas.openxmlformats.org/officeDocument/2006/relationships" ref="H240" r:id="rId237"/>
    <hyperlink xmlns:r="http://schemas.openxmlformats.org/officeDocument/2006/relationships" ref="H241" r:id="rId238"/>
    <hyperlink xmlns:r="http://schemas.openxmlformats.org/officeDocument/2006/relationships" ref="H242" r:id="rId239"/>
    <hyperlink xmlns:r="http://schemas.openxmlformats.org/officeDocument/2006/relationships" ref="H243" r:id="rId240"/>
    <hyperlink xmlns:r="http://schemas.openxmlformats.org/officeDocument/2006/relationships" ref="H244" r:id="rId241"/>
    <hyperlink xmlns:r="http://schemas.openxmlformats.org/officeDocument/2006/relationships" ref="H245" r:id="rId242"/>
    <hyperlink xmlns:r="http://schemas.openxmlformats.org/officeDocument/2006/relationships" ref="H246" r:id="rId243"/>
    <hyperlink xmlns:r="http://schemas.openxmlformats.org/officeDocument/2006/relationships" ref="H247" r:id="rId244"/>
    <hyperlink xmlns:r="http://schemas.openxmlformats.org/officeDocument/2006/relationships" ref="H248" r:id="rId245"/>
    <hyperlink xmlns:r="http://schemas.openxmlformats.org/officeDocument/2006/relationships" ref="H249" r:id="rId246"/>
    <hyperlink xmlns:r="http://schemas.openxmlformats.org/officeDocument/2006/relationships" ref="H250" r:id="rId247"/>
    <hyperlink xmlns:r="http://schemas.openxmlformats.org/officeDocument/2006/relationships" ref="H251" r:id="rId248"/>
    <hyperlink xmlns:r="http://schemas.openxmlformats.org/officeDocument/2006/relationships" ref="H252" r:id="rId249"/>
    <hyperlink xmlns:r="http://schemas.openxmlformats.org/officeDocument/2006/relationships" ref="H253" r:id="rId250"/>
    <hyperlink xmlns:r="http://schemas.openxmlformats.org/officeDocument/2006/relationships" ref="H254" r:id="rId251"/>
    <hyperlink xmlns:r="http://schemas.openxmlformats.org/officeDocument/2006/relationships" ref="H255" r:id="rId252"/>
    <hyperlink xmlns:r="http://schemas.openxmlformats.org/officeDocument/2006/relationships" ref="H256" r:id="rId253"/>
    <hyperlink xmlns:r="http://schemas.openxmlformats.org/officeDocument/2006/relationships" ref="H257" r:id="rId254"/>
    <hyperlink xmlns:r="http://schemas.openxmlformats.org/officeDocument/2006/relationships" ref="H258" r:id="rId255"/>
    <hyperlink xmlns:r="http://schemas.openxmlformats.org/officeDocument/2006/relationships" ref="H259" r:id="rId256"/>
    <hyperlink xmlns:r="http://schemas.openxmlformats.org/officeDocument/2006/relationships" ref="H260" r:id="rId257"/>
    <hyperlink xmlns:r="http://schemas.openxmlformats.org/officeDocument/2006/relationships" ref="H261" r:id="rId258"/>
    <hyperlink xmlns:r="http://schemas.openxmlformats.org/officeDocument/2006/relationships" ref="H262" r:id="rId259"/>
    <hyperlink xmlns:r="http://schemas.openxmlformats.org/officeDocument/2006/relationships" ref="H263" r:id="rId260"/>
    <hyperlink xmlns:r="http://schemas.openxmlformats.org/officeDocument/2006/relationships" ref="H264" r:id="rId261"/>
    <hyperlink xmlns:r="http://schemas.openxmlformats.org/officeDocument/2006/relationships" ref="H265" r:id="rId262"/>
    <hyperlink xmlns:r="http://schemas.openxmlformats.org/officeDocument/2006/relationships" ref="H266" r:id="rId263"/>
    <hyperlink xmlns:r="http://schemas.openxmlformats.org/officeDocument/2006/relationships" ref="H267" r:id="rId264"/>
    <hyperlink xmlns:r="http://schemas.openxmlformats.org/officeDocument/2006/relationships" ref="H268" r:id="rId265"/>
    <hyperlink xmlns:r="http://schemas.openxmlformats.org/officeDocument/2006/relationships" ref="H269" r:id="rId266"/>
    <hyperlink xmlns:r="http://schemas.openxmlformats.org/officeDocument/2006/relationships" ref="H270" r:id="rId267"/>
    <hyperlink xmlns:r="http://schemas.openxmlformats.org/officeDocument/2006/relationships" ref="H271" r:id="rId268"/>
    <hyperlink xmlns:r="http://schemas.openxmlformats.org/officeDocument/2006/relationships" ref="H272" r:id="rId269"/>
    <hyperlink xmlns:r="http://schemas.openxmlformats.org/officeDocument/2006/relationships" ref="H273" r:id="rId270"/>
    <hyperlink xmlns:r="http://schemas.openxmlformats.org/officeDocument/2006/relationships" ref="H274" r:id="rId271"/>
    <hyperlink xmlns:r="http://schemas.openxmlformats.org/officeDocument/2006/relationships" ref="H275" r:id="rId272"/>
    <hyperlink xmlns:r="http://schemas.openxmlformats.org/officeDocument/2006/relationships" ref="H276" r:id="rId273"/>
    <hyperlink xmlns:r="http://schemas.openxmlformats.org/officeDocument/2006/relationships" ref="H277" r:id="rId274"/>
    <hyperlink xmlns:r="http://schemas.openxmlformats.org/officeDocument/2006/relationships" ref="H278" r:id="rId275"/>
    <hyperlink xmlns:r="http://schemas.openxmlformats.org/officeDocument/2006/relationships" ref="H279" r:id="rId276"/>
    <hyperlink xmlns:r="http://schemas.openxmlformats.org/officeDocument/2006/relationships" ref="H280" r:id="rId277"/>
    <hyperlink xmlns:r="http://schemas.openxmlformats.org/officeDocument/2006/relationships" ref="H281" r:id="rId278"/>
    <hyperlink xmlns:r="http://schemas.openxmlformats.org/officeDocument/2006/relationships" ref="H282" r:id="rId279"/>
    <hyperlink xmlns:r="http://schemas.openxmlformats.org/officeDocument/2006/relationships" ref="H283" r:id="rId280"/>
    <hyperlink xmlns:r="http://schemas.openxmlformats.org/officeDocument/2006/relationships" ref="H284" r:id="rId281"/>
    <hyperlink xmlns:r="http://schemas.openxmlformats.org/officeDocument/2006/relationships" ref="H285" r:id="rId282"/>
    <hyperlink xmlns:r="http://schemas.openxmlformats.org/officeDocument/2006/relationships" ref="H286" r:id="rId283"/>
    <hyperlink xmlns:r="http://schemas.openxmlformats.org/officeDocument/2006/relationships" ref="H287" r:id="rId284"/>
    <hyperlink xmlns:r="http://schemas.openxmlformats.org/officeDocument/2006/relationships" ref="H288" r:id="rId285"/>
    <hyperlink xmlns:r="http://schemas.openxmlformats.org/officeDocument/2006/relationships" ref="H289" r:id="rId286"/>
    <hyperlink xmlns:r="http://schemas.openxmlformats.org/officeDocument/2006/relationships" ref="H290" r:id="rId287"/>
    <hyperlink xmlns:r="http://schemas.openxmlformats.org/officeDocument/2006/relationships" ref="H291" r:id="rId288"/>
    <hyperlink xmlns:r="http://schemas.openxmlformats.org/officeDocument/2006/relationships" ref="H292" r:id="rId289"/>
    <hyperlink xmlns:r="http://schemas.openxmlformats.org/officeDocument/2006/relationships" ref="H293" r:id="rId290"/>
    <hyperlink xmlns:r="http://schemas.openxmlformats.org/officeDocument/2006/relationships" ref="H294" r:id="rId291"/>
    <hyperlink xmlns:r="http://schemas.openxmlformats.org/officeDocument/2006/relationships" ref="H295" r:id="rId292"/>
    <hyperlink xmlns:r="http://schemas.openxmlformats.org/officeDocument/2006/relationships" ref="H296" r:id="rId293"/>
    <hyperlink xmlns:r="http://schemas.openxmlformats.org/officeDocument/2006/relationships" ref="H297" r:id="rId294"/>
    <hyperlink xmlns:r="http://schemas.openxmlformats.org/officeDocument/2006/relationships" ref="H298" r:id="rId295"/>
    <hyperlink xmlns:r="http://schemas.openxmlformats.org/officeDocument/2006/relationships" ref="H299" r:id="rId296"/>
    <hyperlink xmlns:r="http://schemas.openxmlformats.org/officeDocument/2006/relationships" ref="H300" r:id="rId297"/>
    <hyperlink xmlns:r="http://schemas.openxmlformats.org/officeDocument/2006/relationships" ref="H301" r:id="rId298"/>
    <hyperlink xmlns:r="http://schemas.openxmlformats.org/officeDocument/2006/relationships" ref="H302" r:id="rId299"/>
    <hyperlink xmlns:r="http://schemas.openxmlformats.org/officeDocument/2006/relationships" ref="H303" r:id="rId300"/>
    <hyperlink xmlns:r="http://schemas.openxmlformats.org/officeDocument/2006/relationships" ref="H304" r:id="rId301"/>
    <hyperlink xmlns:r="http://schemas.openxmlformats.org/officeDocument/2006/relationships" ref="H305" r:id="rId302"/>
    <hyperlink xmlns:r="http://schemas.openxmlformats.org/officeDocument/2006/relationships" ref="H306" r:id="rId303"/>
    <hyperlink xmlns:r="http://schemas.openxmlformats.org/officeDocument/2006/relationships" ref="H307" r:id="rId304"/>
    <hyperlink xmlns:r="http://schemas.openxmlformats.org/officeDocument/2006/relationships" ref="H308" r:id="rId305"/>
    <hyperlink xmlns:r="http://schemas.openxmlformats.org/officeDocument/2006/relationships" ref="H309" r:id="rId306"/>
    <hyperlink xmlns:r="http://schemas.openxmlformats.org/officeDocument/2006/relationships" ref="H310" r:id="rId307"/>
    <hyperlink xmlns:r="http://schemas.openxmlformats.org/officeDocument/2006/relationships" ref="H311" r:id="rId308"/>
    <hyperlink xmlns:r="http://schemas.openxmlformats.org/officeDocument/2006/relationships" ref="H312" r:id="rId309"/>
    <hyperlink xmlns:r="http://schemas.openxmlformats.org/officeDocument/2006/relationships" ref="H313" r:id="rId310"/>
    <hyperlink xmlns:r="http://schemas.openxmlformats.org/officeDocument/2006/relationships" ref="H314" r:id="rId311"/>
    <hyperlink xmlns:r="http://schemas.openxmlformats.org/officeDocument/2006/relationships" ref="H315" r:id="rId312"/>
    <hyperlink xmlns:r="http://schemas.openxmlformats.org/officeDocument/2006/relationships" ref="H316" r:id="rId313"/>
    <hyperlink xmlns:r="http://schemas.openxmlformats.org/officeDocument/2006/relationships" ref="H317" r:id="rId314"/>
    <hyperlink xmlns:r="http://schemas.openxmlformats.org/officeDocument/2006/relationships" ref="H318" r:id="rId315"/>
    <hyperlink xmlns:r="http://schemas.openxmlformats.org/officeDocument/2006/relationships" ref="H319" r:id="rId316"/>
    <hyperlink xmlns:r="http://schemas.openxmlformats.org/officeDocument/2006/relationships" ref="H320" r:id="rId317"/>
    <hyperlink xmlns:r="http://schemas.openxmlformats.org/officeDocument/2006/relationships" ref="H321" r:id="rId318"/>
    <hyperlink xmlns:r="http://schemas.openxmlformats.org/officeDocument/2006/relationships" ref="H322" r:id="rId319"/>
    <hyperlink xmlns:r="http://schemas.openxmlformats.org/officeDocument/2006/relationships" ref="H323" r:id="rId320"/>
    <hyperlink xmlns:r="http://schemas.openxmlformats.org/officeDocument/2006/relationships" ref="H324" r:id="rId321"/>
    <hyperlink xmlns:r="http://schemas.openxmlformats.org/officeDocument/2006/relationships" ref="H325" r:id="rId322"/>
    <hyperlink xmlns:r="http://schemas.openxmlformats.org/officeDocument/2006/relationships" ref="H326" r:id="rId323"/>
    <hyperlink xmlns:r="http://schemas.openxmlformats.org/officeDocument/2006/relationships" ref="H327" r:id="rId324"/>
    <hyperlink xmlns:r="http://schemas.openxmlformats.org/officeDocument/2006/relationships" ref="H328" r:id="rId325"/>
    <hyperlink xmlns:r="http://schemas.openxmlformats.org/officeDocument/2006/relationships" ref="H329" r:id="rId326"/>
    <hyperlink xmlns:r="http://schemas.openxmlformats.org/officeDocument/2006/relationships" ref="H330" r:id="rId327"/>
    <hyperlink xmlns:r="http://schemas.openxmlformats.org/officeDocument/2006/relationships" ref="H331" r:id="rId328"/>
    <hyperlink xmlns:r="http://schemas.openxmlformats.org/officeDocument/2006/relationships" ref="H332" r:id="rId329"/>
    <hyperlink xmlns:r="http://schemas.openxmlformats.org/officeDocument/2006/relationships" ref="H333" r:id="rId330"/>
    <hyperlink xmlns:r="http://schemas.openxmlformats.org/officeDocument/2006/relationships" ref="H334" r:id="rId331"/>
    <hyperlink xmlns:r="http://schemas.openxmlformats.org/officeDocument/2006/relationships" ref="H335" r:id="rId332"/>
    <hyperlink xmlns:r="http://schemas.openxmlformats.org/officeDocument/2006/relationships" ref="H336" r:id="rId333"/>
    <hyperlink xmlns:r="http://schemas.openxmlformats.org/officeDocument/2006/relationships" ref="H337" r:id="rId334"/>
    <hyperlink xmlns:r="http://schemas.openxmlformats.org/officeDocument/2006/relationships" ref="H338" r:id="rId335"/>
    <hyperlink xmlns:r="http://schemas.openxmlformats.org/officeDocument/2006/relationships" ref="H339" r:id="rId336"/>
    <hyperlink xmlns:r="http://schemas.openxmlformats.org/officeDocument/2006/relationships" ref="H340" r:id="rId337"/>
    <hyperlink xmlns:r="http://schemas.openxmlformats.org/officeDocument/2006/relationships" ref="H341" r:id="rId338"/>
    <hyperlink xmlns:r="http://schemas.openxmlformats.org/officeDocument/2006/relationships" ref="H342" r:id="rId339"/>
    <hyperlink xmlns:r="http://schemas.openxmlformats.org/officeDocument/2006/relationships" ref="H343" r:id="rId340"/>
    <hyperlink xmlns:r="http://schemas.openxmlformats.org/officeDocument/2006/relationships" ref="H344" r:id="rId341"/>
    <hyperlink xmlns:r="http://schemas.openxmlformats.org/officeDocument/2006/relationships" ref="H345" r:id="rId342"/>
    <hyperlink xmlns:r="http://schemas.openxmlformats.org/officeDocument/2006/relationships" ref="H346" r:id="rId343"/>
    <hyperlink xmlns:r="http://schemas.openxmlformats.org/officeDocument/2006/relationships" ref="H347" r:id="rId344"/>
    <hyperlink xmlns:r="http://schemas.openxmlformats.org/officeDocument/2006/relationships" ref="H348" r:id="rId345"/>
    <hyperlink xmlns:r="http://schemas.openxmlformats.org/officeDocument/2006/relationships" ref="H349" r:id="rId346"/>
    <hyperlink xmlns:r="http://schemas.openxmlformats.org/officeDocument/2006/relationships" ref="H350" r:id="rId347"/>
    <hyperlink xmlns:r="http://schemas.openxmlformats.org/officeDocument/2006/relationships" ref="H351" r:id="rId348"/>
    <hyperlink xmlns:r="http://schemas.openxmlformats.org/officeDocument/2006/relationships" ref="H352" r:id="rId349"/>
    <hyperlink xmlns:r="http://schemas.openxmlformats.org/officeDocument/2006/relationships" ref="H353" r:id="rId350"/>
    <hyperlink xmlns:r="http://schemas.openxmlformats.org/officeDocument/2006/relationships" ref="H354" r:id="rId351"/>
    <hyperlink xmlns:r="http://schemas.openxmlformats.org/officeDocument/2006/relationships" ref="H355" r:id="rId352"/>
    <hyperlink xmlns:r="http://schemas.openxmlformats.org/officeDocument/2006/relationships" ref="H356" r:id="rId353"/>
    <hyperlink xmlns:r="http://schemas.openxmlformats.org/officeDocument/2006/relationships" ref="H357" r:id="rId354"/>
    <hyperlink xmlns:r="http://schemas.openxmlformats.org/officeDocument/2006/relationships" ref="H358" r:id="rId355"/>
    <hyperlink xmlns:r="http://schemas.openxmlformats.org/officeDocument/2006/relationships" ref="H359" r:id="rId356"/>
    <hyperlink xmlns:r="http://schemas.openxmlformats.org/officeDocument/2006/relationships" ref="H360" r:id="rId357"/>
    <hyperlink xmlns:r="http://schemas.openxmlformats.org/officeDocument/2006/relationships" ref="H361" r:id="rId358"/>
    <hyperlink xmlns:r="http://schemas.openxmlformats.org/officeDocument/2006/relationships" ref="H362" r:id="rId359"/>
    <hyperlink xmlns:r="http://schemas.openxmlformats.org/officeDocument/2006/relationships" ref="H363" r:id="rId360"/>
    <hyperlink xmlns:r="http://schemas.openxmlformats.org/officeDocument/2006/relationships" ref="H364" r:id="rId361"/>
    <hyperlink xmlns:r="http://schemas.openxmlformats.org/officeDocument/2006/relationships" ref="H365" r:id="rId362"/>
    <hyperlink xmlns:r="http://schemas.openxmlformats.org/officeDocument/2006/relationships" ref="H366" r:id="rId363"/>
    <hyperlink xmlns:r="http://schemas.openxmlformats.org/officeDocument/2006/relationships" ref="H367" r:id="rId364"/>
    <hyperlink xmlns:r="http://schemas.openxmlformats.org/officeDocument/2006/relationships" ref="H368" r:id="rId365"/>
    <hyperlink xmlns:r="http://schemas.openxmlformats.org/officeDocument/2006/relationships" ref="H369" r:id="rId366"/>
    <hyperlink xmlns:r="http://schemas.openxmlformats.org/officeDocument/2006/relationships" ref="H370" r:id="rId367"/>
    <hyperlink xmlns:r="http://schemas.openxmlformats.org/officeDocument/2006/relationships" ref="H371" r:id="rId368"/>
    <hyperlink xmlns:r="http://schemas.openxmlformats.org/officeDocument/2006/relationships" ref="H372" r:id="rId369"/>
    <hyperlink xmlns:r="http://schemas.openxmlformats.org/officeDocument/2006/relationships" ref="H373" r:id="rId370"/>
    <hyperlink xmlns:r="http://schemas.openxmlformats.org/officeDocument/2006/relationships" ref="H374" r:id="rId371"/>
    <hyperlink xmlns:r="http://schemas.openxmlformats.org/officeDocument/2006/relationships" ref="H375" r:id="rId372"/>
    <hyperlink xmlns:r="http://schemas.openxmlformats.org/officeDocument/2006/relationships" ref="H376" r:id="rId373"/>
    <hyperlink xmlns:r="http://schemas.openxmlformats.org/officeDocument/2006/relationships" ref="H377" r:id="rId374"/>
    <hyperlink xmlns:r="http://schemas.openxmlformats.org/officeDocument/2006/relationships" ref="H378" r:id="rId375"/>
    <hyperlink xmlns:r="http://schemas.openxmlformats.org/officeDocument/2006/relationships" ref="H379" r:id="rId376"/>
    <hyperlink xmlns:r="http://schemas.openxmlformats.org/officeDocument/2006/relationships" ref="H380" r:id="rId377"/>
    <hyperlink xmlns:r="http://schemas.openxmlformats.org/officeDocument/2006/relationships" ref="H381" r:id="rId378"/>
    <hyperlink xmlns:r="http://schemas.openxmlformats.org/officeDocument/2006/relationships" ref="H382" r:id="rId379"/>
    <hyperlink xmlns:r="http://schemas.openxmlformats.org/officeDocument/2006/relationships" ref="H383" r:id="rId380"/>
    <hyperlink xmlns:r="http://schemas.openxmlformats.org/officeDocument/2006/relationships" ref="H384" r:id="rId381"/>
    <hyperlink xmlns:r="http://schemas.openxmlformats.org/officeDocument/2006/relationships" ref="H385" r:id="rId382"/>
    <hyperlink xmlns:r="http://schemas.openxmlformats.org/officeDocument/2006/relationships" ref="H386" r:id="rId383"/>
    <hyperlink xmlns:r="http://schemas.openxmlformats.org/officeDocument/2006/relationships" ref="H387" r:id="rId384"/>
    <hyperlink xmlns:r="http://schemas.openxmlformats.org/officeDocument/2006/relationships" ref="H388" r:id="rId385"/>
    <hyperlink xmlns:r="http://schemas.openxmlformats.org/officeDocument/2006/relationships" ref="H389" r:id="rId386"/>
    <hyperlink xmlns:r="http://schemas.openxmlformats.org/officeDocument/2006/relationships" ref="H390" r:id="rId387"/>
    <hyperlink xmlns:r="http://schemas.openxmlformats.org/officeDocument/2006/relationships" ref="H391" r:id="rId388"/>
    <hyperlink xmlns:r="http://schemas.openxmlformats.org/officeDocument/2006/relationships" ref="H392" r:id="rId389"/>
    <hyperlink xmlns:r="http://schemas.openxmlformats.org/officeDocument/2006/relationships" ref="H393" r:id="rId390"/>
    <hyperlink xmlns:r="http://schemas.openxmlformats.org/officeDocument/2006/relationships" ref="H394" r:id="rId391"/>
    <hyperlink xmlns:r="http://schemas.openxmlformats.org/officeDocument/2006/relationships" ref="H395" r:id="rId392"/>
    <hyperlink xmlns:r="http://schemas.openxmlformats.org/officeDocument/2006/relationships" ref="H396" r:id="rId393"/>
    <hyperlink xmlns:r="http://schemas.openxmlformats.org/officeDocument/2006/relationships" ref="H397" r:id="rId394"/>
    <hyperlink xmlns:r="http://schemas.openxmlformats.org/officeDocument/2006/relationships" ref="H398" r:id="rId395"/>
    <hyperlink xmlns:r="http://schemas.openxmlformats.org/officeDocument/2006/relationships" ref="H399" r:id="rId396"/>
    <hyperlink xmlns:r="http://schemas.openxmlformats.org/officeDocument/2006/relationships" ref="H400" r:id="rId397"/>
    <hyperlink xmlns:r="http://schemas.openxmlformats.org/officeDocument/2006/relationships" ref="H401" r:id="rId398"/>
    <hyperlink xmlns:r="http://schemas.openxmlformats.org/officeDocument/2006/relationships" ref="H402" r:id="rId399"/>
    <hyperlink xmlns:r="http://schemas.openxmlformats.org/officeDocument/2006/relationships" ref="H403" r:id="rId400"/>
    <hyperlink xmlns:r="http://schemas.openxmlformats.org/officeDocument/2006/relationships" ref="H404" r:id="rId401"/>
    <hyperlink xmlns:r="http://schemas.openxmlformats.org/officeDocument/2006/relationships" ref="H405" r:id="rId402"/>
    <hyperlink xmlns:r="http://schemas.openxmlformats.org/officeDocument/2006/relationships" ref="H406" r:id="rId403"/>
    <hyperlink xmlns:r="http://schemas.openxmlformats.org/officeDocument/2006/relationships" ref="H407" r:id="rId404"/>
    <hyperlink xmlns:r="http://schemas.openxmlformats.org/officeDocument/2006/relationships" ref="H408" r:id="rId405"/>
    <hyperlink xmlns:r="http://schemas.openxmlformats.org/officeDocument/2006/relationships" ref="H409" r:id="rId406"/>
    <hyperlink xmlns:r="http://schemas.openxmlformats.org/officeDocument/2006/relationships" ref="H410" r:id="rId407"/>
    <hyperlink xmlns:r="http://schemas.openxmlformats.org/officeDocument/2006/relationships" ref="H411" r:id="rId408"/>
    <hyperlink xmlns:r="http://schemas.openxmlformats.org/officeDocument/2006/relationships" ref="H412" r:id="rId409"/>
    <hyperlink xmlns:r="http://schemas.openxmlformats.org/officeDocument/2006/relationships" ref="H413" r:id="rId410"/>
    <hyperlink xmlns:r="http://schemas.openxmlformats.org/officeDocument/2006/relationships" ref="H414" r:id="rId411"/>
    <hyperlink xmlns:r="http://schemas.openxmlformats.org/officeDocument/2006/relationships" ref="H415" r:id="rId412"/>
    <hyperlink xmlns:r="http://schemas.openxmlformats.org/officeDocument/2006/relationships" ref="H416" r:id="rId413"/>
    <hyperlink xmlns:r="http://schemas.openxmlformats.org/officeDocument/2006/relationships" ref="H417" r:id="rId414"/>
    <hyperlink xmlns:r="http://schemas.openxmlformats.org/officeDocument/2006/relationships" ref="H418" r:id="rId415"/>
    <hyperlink xmlns:r="http://schemas.openxmlformats.org/officeDocument/2006/relationships" ref="H419" r:id="rId416"/>
    <hyperlink xmlns:r="http://schemas.openxmlformats.org/officeDocument/2006/relationships" ref="H420" r:id="rId417"/>
    <hyperlink xmlns:r="http://schemas.openxmlformats.org/officeDocument/2006/relationships" ref="H421" r:id="rId418"/>
    <hyperlink xmlns:r="http://schemas.openxmlformats.org/officeDocument/2006/relationships" ref="H422" r:id="rId419"/>
    <hyperlink xmlns:r="http://schemas.openxmlformats.org/officeDocument/2006/relationships" ref="H423" r:id="rId420"/>
    <hyperlink xmlns:r="http://schemas.openxmlformats.org/officeDocument/2006/relationships" ref="H424" r:id="rId421"/>
    <hyperlink xmlns:r="http://schemas.openxmlformats.org/officeDocument/2006/relationships" ref="H425" r:id="rId422"/>
    <hyperlink xmlns:r="http://schemas.openxmlformats.org/officeDocument/2006/relationships" ref="H426" r:id="rId423"/>
    <hyperlink xmlns:r="http://schemas.openxmlformats.org/officeDocument/2006/relationships" ref="H427" r:id="rId424"/>
    <hyperlink xmlns:r="http://schemas.openxmlformats.org/officeDocument/2006/relationships" ref="H428" r:id="rId425"/>
    <hyperlink xmlns:r="http://schemas.openxmlformats.org/officeDocument/2006/relationships" ref="H429" r:id="rId426"/>
    <hyperlink xmlns:r="http://schemas.openxmlformats.org/officeDocument/2006/relationships" ref="H430" r:id="rId427"/>
    <hyperlink xmlns:r="http://schemas.openxmlformats.org/officeDocument/2006/relationships" ref="H431" r:id="rId428"/>
    <hyperlink xmlns:r="http://schemas.openxmlformats.org/officeDocument/2006/relationships" ref="H432" r:id="rId429"/>
    <hyperlink xmlns:r="http://schemas.openxmlformats.org/officeDocument/2006/relationships" ref="H433" r:id="rId430"/>
    <hyperlink xmlns:r="http://schemas.openxmlformats.org/officeDocument/2006/relationships" ref="H434" r:id="rId431"/>
    <hyperlink xmlns:r="http://schemas.openxmlformats.org/officeDocument/2006/relationships" ref="H435" r:id="rId432"/>
    <hyperlink xmlns:r="http://schemas.openxmlformats.org/officeDocument/2006/relationships" ref="H436" r:id="rId433"/>
    <hyperlink xmlns:r="http://schemas.openxmlformats.org/officeDocument/2006/relationships" ref="H437" r:id="rId434"/>
    <hyperlink xmlns:r="http://schemas.openxmlformats.org/officeDocument/2006/relationships" ref="H438" r:id="rId435"/>
    <hyperlink xmlns:r="http://schemas.openxmlformats.org/officeDocument/2006/relationships" ref="H439" r:id="rId436"/>
    <hyperlink xmlns:r="http://schemas.openxmlformats.org/officeDocument/2006/relationships" ref="H440" r:id="rId437"/>
    <hyperlink xmlns:r="http://schemas.openxmlformats.org/officeDocument/2006/relationships" ref="H441" r:id="rId438"/>
    <hyperlink xmlns:r="http://schemas.openxmlformats.org/officeDocument/2006/relationships" ref="H442" r:id="rId439"/>
    <hyperlink xmlns:r="http://schemas.openxmlformats.org/officeDocument/2006/relationships" ref="H443" r:id="rId440"/>
    <hyperlink xmlns:r="http://schemas.openxmlformats.org/officeDocument/2006/relationships" ref="H444" r:id="rId441"/>
    <hyperlink xmlns:r="http://schemas.openxmlformats.org/officeDocument/2006/relationships" ref="H445" r:id="rId442"/>
    <hyperlink xmlns:r="http://schemas.openxmlformats.org/officeDocument/2006/relationships" ref="H446" r:id="rId443"/>
    <hyperlink xmlns:r="http://schemas.openxmlformats.org/officeDocument/2006/relationships" ref="H447" r:id="rId444"/>
    <hyperlink xmlns:r="http://schemas.openxmlformats.org/officeDocument/2006/relationships" ref="H448" r:id="rId445"/>
    <hyperlink xmlns:r="http://schemas.openxmlformats.org/officeDocument/2006/relationships" ref="H449" r:id="rId446"/>
    <hyperlink xmlns:r="http://schemas.openxmlformats.org/officeDocument/2006/relationships" ref="H450" r:id="rId447"/>
    <hyperlink xmlns:r="http://schemas.openxmlformats.org/officeDocument/2006/relationships" ref="H451" r:id="rId448"/>
    <hyperlink xmlns:r="http://schemas.openxmlformats.org/officeDocument/2006/relationships" ref="H452" r:id="rId449"/>
    <hyperlink xmlns:r="http://schemas.openxmlformats.org/officeDocument/2006/relationships" ref="H453" r:id="rId450"/>
    <hyperlink xmlns:r="http://schemas.openxmlformats.org/officeDocument/2006/relationships" ref="H454" r:id="rId451"/>
    <hyperlink xmlns:r="http://schemas.openxmlformats.org/officeDocument/2006/relationships" ref="H455" r:id="rId452"/>
    <hyperlink xmlns:r="http://schemas.openxmlformats.org/officeDocument/2006/relationships" ref="H456" r:id="rId453"/>
    <hyperlink xmlns:r="http://schemas.openxmlformats.org/officeDocument/2006/relationships" ref="H457" r:id="rId454"/>
    <hyperlink xmlns:r="http://schemas.openxmlformats.org/officeDocument/2006/relationships" ref="H458" r:id="rId455"/>
    <hyperlink xmlns:r="http://schemas.openxmlformats.org/officeDocument/2006/relationships" ref="H459" r:id="rId456"/>
    <hyperlink xmlns:r="http://schemas.openxmlformats.org/officeDocument/2006/relationships" ref="H460" r:id="rId457"/>
    <hyperlink xmlns:r="http://schemas.openxmlformats.org/officeDocument/2006/relationships" ref="H461" r:id="rId458"/>
    <hyperlink xmlns:r="http://schemas.openxmlformats.org/officeDocument/2006/relationships" ref="H462" r:id="rId459"/>
    <hyperlink xmlns:r="http://schemas.openxmlformats.org/officeDocument/2006/relationships" ref="H463" r:id="rId460"/>
    <hyperlink xmlns:r="http://schemas.openxmlformats.org/officeDocument/2006/relationships" ref="H464" r:id="rId461"/>
    <hyperlink xmlns:r="http://schemas.openxmlformats.org/officeDocument/2006/relationships" ref="H465" r:id="rId462"/>
    <hyperlink xmlns:r="http://schemas.openxmlformats.org/officeDocument/2006/relationships" ref="H466" r:id="rId463"/>
    <hyperlink xmlns:r="http://schemas.openxmlformats.org/officeDocument/2006/relationships" ref="H467" r:id="rId464"/>
    <hyperlink xmlns:r="http://schemas.openxmlformats.org/officeDocument/2006/relationships" ref="H468" r:id="rId465"/>
    <hyperlink xmlns:r="http://schemas.openxmlformats.org/officeDocument/2006/relationships" ref="H469" r:id="rId466"/>
    <hyperlink xmlns:r="http://schemas.openxmlformats.org/officeDocument/2006/relationships" ref="H470" r:id="rId467"/>
    <hyperlink xmlns:r="http://schemas.openxmlformats.org/officeDocument/2006/relationships" ref="H471" r:id="rId468"/>
    <hyperlink xmlns:r="http://schemas.openxmlformats.org/officeDocument/2006/relationships" ref="H472" r:id="rId469"/>
    <hyperlink xmlns:r="http://schemas.openxmlformats.org/officeDocument/2006/relationships" ref="H473" r:id="rId470"/>
    <hyperlink xmlns:r="http://schemas.openxmlformats.org/officeDocument/2006/relationships" ref="H474" r:id="rId471"/>
    <hyperlink xmlns:r="http://schemas.openxmlformats.org/officeDocument/2006/relationships" ref="H475" r:id="rId472"/>
    <hyperlink xmlns:r="http://schemas.openxmlformats.org/officeDocument/2006/relationships" ref="H476" r:id="rId473"/>
    <hyperlink xmlns:r="http://schemas.openxmlformats.org/officeDocument/2006/relationships" ref="H477" r:id="rId474"/>
    <hyperlink xmlns:r="http://schemas.openxmlformats.org/officeDocument/2006/relationships" ref="H478" r:id="rId475"/>
    <hyperlink xmlns:r="http://schemas.openxmlformats.org/officeDocument/2006/relationships" ref="H479" r:id="rId476"/>
    <hyperlink xmlns:r="http://schemas.openxmlformats.org/officeDocument/2006/relationships" ref="H480" r:id="rId477"/>
    <hyperlink xmlns:r="http://schemas.openxmlformats.org/officeDocument/2006/relationships" ref="H481" r:id="rId478"/>
    <hyperlink xmlns:r="http://schemas.openxmlformats.org/officeDocument/2006/relationships" ref="H482" r:id="rId479"/>
    <hyperlink xmlns:r="http://schemas.openxmlformats.org/officeDocument/2006/relationships" ref="H483" r:id="rId480"/>
    <hyperlink xmlns:r="http://schemas.openxmlformats.org/officeDocument/2006/relationships" ref="H484" r:id="rId481"/>
    <hyperlink xmlns:r="http://schemas.openxmlformats.org/officeDocument/2006/relationships" ref="H485" r:id="rId482"/>
    <hyperlink xmlns:r="http://schemas.openxmlformats.org/officeDocument/2006/relationships" ref="H486" r:id="rId483"/>
    <hyperlink xmlns:r="http://schemas.openxmlformats.org/officeDocument/2006/relationships" ref="H487" r:id="rId484"/>
    <hyperlink xmlns:r="http://schemas.openxmlformats.org/officeDocument/2006/relationships" ref="H488" r:id="rId485"/>
    <hyperlink xmlns:r="http://schemas.openxmlformats.org/officeDocument/2006/relationships" ref="H489" r:id="rId486"/>
    <hyperlink xmlns:r="http://schemas.openxmlformats.org/officeDocument/2006/relationships" ref="H490" r:id="rId487"/>
    <hyperlink xmlns:r="http://schemas.openxmlformats.org/officeDocument/2006/relationships" ref="H491" r:id="rId488"/>
    <hyperlink xmlns:r="http://schemas.openxmlformats.org/officeDocument/2006/relationships" ref="H492" r:id="rId489"/>
    <hyperlink xmlns:r="http://schemas.openxmlformats.org/officeDocument/2006/relationships" ref="H493" r:id="rId490"/>
    <hyperlink xmlns:r="http://schemas.openxmlformats.org/officeDocument/2006/relationships" ref="H494" r:id="rId491"/>
    <hyperlink xmlns:r="http://schemas.openxmlformats.org/officeDocument/2006/relationships" ref="H495" r:id="rId492"/>
    <hyperlink xmlns:r="http://schemas.openxmlformats.org/officeDocument/2006/relationships" ref="H496" r:id="rId493"/>
    <hyperlink xmlns:r="http://schemas.openxmlformats.org/officeDocument/2006/relationships" ref="H497" r:id="rId494"/>
    <hyperlink xmlns:r="http://schemas.openxmlformats.org/officeDocument/2006/relationships" ref="H498" r:id="rId495"/>
    <hyperlink xmlns:r="http://schemas.openxmlformats.org/officeDocument/2006/relationships" ref="H499" r:id="rId496"/>
    <hyperlink xmlns:r="http://schemas.openxmlformats.org/officeDocument/2006/relationships" ref="H500" r:id="rId497"/>
    <hyperlink xmlns:r="http://schemas.openxmlformats.org/officeDocument/2006/relationships" ref="H501" r:id="rId498"/>
    <hyperlink xmlns:r="http://schemas.openxmlformats.org/officeDocument/2006/relationships" ref="H502" r:id="rId499"/>
    <hyperlink xmlns:r="http://schemas.openxmlformats.org/officeDocument/2006/relationships" ref="H503" r:id="rId500"/>
    <hyperlink xmlns:r="http://schemas.openxmlformats.org/officeDocument/2006/relationships" ref="H504" r:id="rId501"/>
    <hyperlink xmlns:r="http://schemas.openxmlformats.org/officeDocument/2006/relationships" ref="H505" r:id="rId502"/>
    <hyperlink xmlns:r="http://schemas.openxmlformats.org/officeDocument/2006/relationships" ref="H506" r:id="rId503"/>
    <hyperlink xmlns:r="http://schemas.openxmlformats.org/officeDocument/2006/relationships" ref="H507" r:id="rId504"/>
    <hyperlink xmlns:r="http://schemas.openxmlformats.org/officeDocument/2006/relationships" ref="H508" r:id="rId505"/>
    <hyperlink xmlns:r="http://schemas.openxmlformats.org/officeDocument/2006/relationships" ref="H509" r:id="rId506"/>
    <hyperlink xmlns:r="http://schemas.openxmlformats.org/officeDocument/2006/relationships" ref="H510" r:id="rId507"/>
    <hyperlink xmlns:r="http://schemas.openxmlformats.org/officeDocument/2006/relationships" ref="H511" r:id="rId508"/>
    <hyperlink xmlns:r="http://schemas.openxmlformats.org/officeDocument/2006/relationships" ref="H512" r:id="rId509"/>
    <hyperlink xmlns:r="http://schemas.openxmlformats.org/officeDocument/2006/relationships" ref="H513" r:id="rId510"/>
    <hyperlink xmlns:r="http://schemas.openxmlformats.org/officeDocument/2006/relationships" ref="H514" r:id="rId511"/>
    <hyperlink xmlns:r="http://schemas.openxmlformats.org/officeDocument/2006/relationships" ref="H515" r:id="rId512"/>
    <hyperlink xmlns:r="http://schemas.openxmlformats.org/officeDocument/2006/relationships" ref="H516" r:id="rId513"/>
    <hyperlink xmlns:r="http://schemas.openxmlformats.org/officeDocument/2006/relationships" ref="H517" r:id="rId514"/>
    <hyperlink xmlns:r="http://schemas.openxmlformats.org/officeDocument/2006/relationships" ref="H518" r:id="rId515"/>
    <hyperlink xmlns:r="http://schemas.openxmlformats.org/officeDocument/2006/relationships" ref="H519" r:id="rId516"/>
    <hyperlink xmlns:r="http://schemas.openxmlformats.org/officeDocument/2006/relationships" ref="H520" r:id="rId517"/>
    <hyperlink xmlns:r="http://schemas.openxmlformats.org/officeDocument/2006/relationships" ref="H521" r:id="rId518"/>
    <hyperlink xmlns:r="http://schemas.openxmlformats.org/officeDocument/2006/relationships" ref="H522" r:id="rId519"/>
    <hyperlink xmlns:r="http://schemas.openxmlformats.org/officeDocument/2006/relationships" ref="H523" r:id="rId520"/>
    <hyperlink xmlns:r="http://schemas.openxmlformats.org/officeDocument/2006/relationships" ref="H524" r:id="rId521"/>
    <hyperlink xmlns:r="http://schemas.openxmlformats.org/officeDocument/2006/relationships" ref="H525" r:id="rId522"/>
    <hyperlink xmlns:r="http://schemas.openxmlformats.org/officeDocument/2006/relationships" ref="H526" r:id="rId523"/>
    <hyperlink xmlns:r="http://schemas.openxmlformats.org/officeDocument/2006/relationships" ref="H527" r:id="rId524"/>
    <hyperlink xmlns:r="http://schemas.openxmlformats.org/officeDocument/2006/relationships" ref="H528" r:id="rId525"/>
    <hyperlink xmlns:r="http://schemas.openxmlformats.org/officeDocument/2006/relationships" ref="H529" r:id="rId526"/>
    <hyperlink xmlns:r="http://schemas.openxmlformats.org/officeDocument/2006/relationships" ref="H530" r:id="rId527"/>
    <hyperlink xmlns:r="http://schemas.openxmlformats.org/officeDocument/2006/relationships" ref="H531" r:id="rId528"/>
    <hyperlink xmlns:r="http://schemas.openxmlformats.org/officeDocument/2006/relationships" ref="H532" r:id="rId529"/>
    <hyperlink xmlns:r="http://schemas.openxmlformats.org/officeDocument/2006/relationships" ref="H533" r:id="rId530"/>
    <hyperlink xmlns:r="http://schemas.openxmlformats.org/officeDocument/2006/relationships" ref="H534" r:id="rId531"/>
    <hyperlink xmlns:r="http://schemas.openxmlformats.org/officeDocument/2006/relationships" ref="H535" r:id="rId532"/>
    <hyperlink xmlns:r="http://schemas.openxmlformats.org/officeDocument/2006/relationships" ref="H536" r:id="rId533"/>
    <hyperlink xmlns:r="http://schemas.openxmlformats.org/officeDocument/2006/relationships" ref="H537" r:id="rId534"/>
    <hyperlink xmlns:r="http://schemas.openxmlformats.org/officeDocument/2006/relationships" ref="H538" r:id="rId535"/>
    <hyperlink xmlns:r="http://schemas.openxmlformats.org/officeDocument/2006/relationships" ref="H539" r:id="rId536"/>
    <hyperlink xmlns:r="http://schemas.openxmlformats.org/officeDocument/2006/relationships" ref="H540" r:id="rId537"/>
    <hyperlink xmlns:r="http://schemas.openxmlformats.org/officeDocument/2006/relationships" ref="H541" r:id="rId538"/>
    <hyperlink xmlns:r="http://schemas.openxmlformats.org/officeDocument/2006/relationships" ref="H542" r:id="rId539"/>
    <hyperlink xmlns:r="http://schemas.openxmlformats.org/officeDocument/2006/relationships" ref="H543" r:id="rId540"/>
    <hyperlink xmlns:r="http://schemas.openxmlformats.org/officeDocument/2006/relationships" ref="H544" r:id="rId541"/>
    <hyperlink xmlns:r="http://schemas.openxmlformats.org/officeDocument/2006/relationships" ref="H545" r:id="rId542"/>
    <hyperlink xmlns:r="http://schemas.openxmlformats.org/officeDocument/2006/relationships" ref="H546" r:id="rId543"/>
    <hyperlink xmlns:r="http://schemas.openxmlformats.org/officeDocument/2006/relationships" ref="H547" r:id="rId544"/>
    <hyperlink xmlns:r="http://schemas.openxmlformats.org/officeDocument/2006/relationships" ref="H548" r:id="rId545"/>
    <hyperlink xmlns:r="http://schemas.openxmlformats.org/officeDocument/2006/relationships" ref="H549" r:id="rId546"/>
    <hyperlink xmlns:r="http://schemas.openxmlformats.org/officeDocument/2006/relationships" ref="H550" r:id="rId547"/>
    <hyperlink xmlns:r="http://schemas.openxmlformats.org/officeDocument/2006/relationships" ref="H551" r:id="rId548"/>
    <hyperlink xmlns:r="http://schemas.openxmlformats.org/officeDocument/2006/relationships" ref="H552" r:id="rId549"/>
    <hyperlink xmlns:r="http://schemas.openxmlformats.org/officeDocument/2006/relationships" ref="H553" r:id="rId550"/>
    <hyperlink xmlns:r="http://schemas.openxmlformats.org/officeDocument/2006/relationships" ref="H554" r:id="rId551"/>
    <hyperlink xmlns:r="http://schemas.openxmlformats.org/officeDocument/2006/relationships" ref="H555" r:id="rId552"/>
    <hyperlink xmlns:r="http://schemas.openxmlformats.org/officeDocument/2006/relationships" ref="H556" r:id="rId553"/>
    <hyperlink xmlns:r="http://schemas.openxmlformats.org/officeDocument/2006/relationships" ref="H557" r:id="rId554"/>
    <hyperlink xmlns:r="http://schemas.openxmlformats.org/officeDocument/2006/relationships" ref="H558" r:id="rId555"/>
    <hyperlink xmlns:r="http://schemas.openxmlformats.org/officeDocument/2006/relationships" ref="H559" r:id="rId556"/>
    <hyperlink xmlns:r="http://schemas.openxmlformats.org/officeDocument/2006/relationships" ref="H560" r:id="rId557"/>
    <hyperlink xmlns:r="http://schemas.openxmlformats.org/officeDocument/2006/relationships" ref="H561" r:id="rId558"/>
    <hyperlink xmlns:r="http://schemas.openxmlformats.org/officeDocument/2006/relationships" ref="H562" r:id="rId559"/>
    <hyperlink xmlns:r="http://schemas.openxmlformats.org/officeDocument/2006/relationships" ref="H563" r:id="rId560"/>
    <hyperlink xmlns:r="http://schemas.openxmlformats.org/officeDocument/2006/relationships" ref="H564" r:id="rId561"/>
    <hyperlink xmlns:r="http://schemas.openxmlformats.org/officeDocument/2006/relationships" ref="H565" r:id="rId562"/>
    <hyperlink xmlns:r="http://schemas.openxmlformats.org/officeDocument/2006/relationships" ref="H566" r:id="rId563"/>
    <hyperlink xmlns:r="http://schemas.openxmlformats.org/officeDocument/2006/relationships" ref="H567" r:id="rId564"/>
    <hyperlink xmlns:r="http://schemas.openxmlformats.org/officeDocument/2006/relationships" ref="H568" r:id="rId565"/>
    <hyperlink xmlns:r="http://schemas.openxmlformats.org/officeDocument/2006/relationships" ref="H569" r:id="rId566"/>
    <hyperlink xmlns:r="http://schemas.openxmlformats.org/officeDocument/2006/relationships" ref="H570" r:id="rId567"/>
    <hyperlink xmlns:r="http://schemas.openxmlformats.org/officeDocument/2006/relationships" ref="H571" r:id="rId568"/>
    <hyperlink xmlns:r="http://schemas.openxmlformats.org/officeDocument/2006/relationships" ref="H572" r:id="rId569"/>
    <hyperlink xmlns:r="http://schemas.openxmlformats.org/officeDocument/2006/relationships" ref="H573" r:id="rId570"/>
    <hyperlink xmlns:r="http://schemas.openxmlformats.org/officeDocument/2006/relationships" ref="H574" r:id="rId571"/>
    <hyperlink xmlns:r="http://schemas.openxmlformats.org/officeDocument/2006/relationships" ref="H575" r:id="rId572"/>
    <hyperlink xmlns:r="http://schemas.openxmlformats.org/officeDocument/2006/relationships" ref="H576" r:id="rId573"/>
    <hyperlink xmlns:r="http://schemas.openxmlformats.org/officeDocument/2006/relationships" ref="H577" r:id="rId574"/>
    <hyperlink xmlns:r="http://schemas.openxmlformats.org/officeDocument/2006/relationships" ref="H578" r:id="rId575"/>
    <hyperlink xmlns:r="http://schemas.openxmlformats.org/officeDocument/2006/relationships" ref="H579" r:id="rId576"/>
    <hyperlink xmlns:r="http://schemas.openxmlformats.org/officeDocument/2006/relationships" ref="H580" r:id="rId577"/>
    <hyperlink xmlns:r="http://schemas.openxmlformats.org/officeDocument/2006/relationships" ref="H581" r:id="rId578"/>
    <hyperlink xmlns:r="http://schemas.openxmlformats.org/officeDocument/2006/relationships" ref="H582" r:id="rId579"/>
    <hyperlink xmlns:r="http://schemas.openxmlformats.org/officeDocument/2006/relationships" ref="H583" r:id="rId580"/>
    <hyperlink xmlns:r="http://schemas.openxmlformats.org/officeDocument/2006/relationships" ref="H584" r:id="rId581"/>
    <hyperlink xmlns:r="http://schemas.openxmlformats.org/officeDocument/2006/relationships" ref="H585" r:id="rId582"/>
    <hyperlink xmlns:r="http://schemas.openxmlformats.org/officeDocument/2006/relationships" ref="H586" r:id="rId583"/>
    <hyperlink xmlns:r="http://schemas.openxmlformats.org/officeDocument/2006/relationships" ref="H587" r:id="rId584"/>
    <hyperlink xmlns:r="http://schemas.openxmlformats.org/officeDocument/2006/relationships" ref="H588" r:id="rId585"/>
    <hyperlink xmlns:r="http://schemas.openxmlformats.org/officeDocument/2006/relationships" ref="H589" r:id="rId586"/>
    <hyperlink xmlns:r="http://schemas.openxmlformats.org/officeDocument/2006/relationships" ref="H590" r:id="rId587"/>
    <hyperlink xmlns:r="http://schemas.openxmlformats.org/officeDocument/2006/relationships" ref="H591" r:id="rId588"/>
    <hyperlink xmlns:r="http://schemas.openxmlformats.org/officeDocument/2006/relationships" ref="H592" r:id="rId589"/>
    <hyperlink xmlns:r="http://schemas.openxmlformats.org/officeDocument/2006/relationships" ref="H593" r:id="rId590"/>
    <hyperlink xmlns:r="http://schemas.openxmlformats.org/officeDocument/2006/relationships" ref="H594" r:id="rId591"/>
    <hyperlink xmlns:r="http://schemas.openxmlformats.org/officeDocument/2006/relationships" ref="H595" r:id="rId592"/>
    <hyperlink xmlns:r="http://schemas.openxmlformats.org/officeDocument/2006/relationships" ref="H596" r:id="rId593"/>
    <hyperlink xmlns:r="http://schemas.openxmlformats.org/officeDocument/2006/relationships" ref="H597" r:id="rId594"/>
    <hyperlink xmlns:r="http://schemas.openxmlformats.org/officeDocument/2006/relationships" ref="H598" r:id="rId595"/>
    <hyperlink xmlns:r="http://schemas.openxmlformats.org/officeDocument/2006/relationships" ref="H599" r:id="rId596"/>
    <hyperlink xmlns:r="http://schemas.openxmlformats.org/officeDocument/2006/relationships" ref="H600" r:id="rId597"/>
    <hyperlink xmlns:r="http://schemas.openxmlformats.org/officeDocument/2006/relationships" ref="H601" r:id="rId598"/>
    <hyperlink xmlns:r="http://schemas.openxmlformats.org/officeDocument/2006/relationships" ref="H602" r:id="rId599"/>
    <hyperlink xmlns:r="http://schemas.openxmlformats.org/officeDocument/2006/relationships" ref="H603" r:id="rId600"/>
    <hyperlink xmlns:r="http://schemas.openxmlformats.org/officeDocument/2006/relationships" ref="H604" r:id="rId601"/>
    <hyperlink xmlns:r="http://schemas.openxmlformats.org/officeDocument/2006/relationships" ref="H605" r:id="rId602"/>
    <hyperlink xmlns:r="http://schemas.openxmlformats.org/officeDocument/2006/relationships" ref="H606" r:id="rId603"/>
    <hyperlink xmlns:r="http://schemas.openxmlformats.org/officeDocument/2006/relationships" ref="H607" r:id="rId604"/>
    <hyperlink xmlns:r="http://schemas.openxmlformats.org/officeDocument/2006/relationships" ref="H608" r:id="rId605"/>
    <hyperlink xmlns:r="http://schemas.openxmlformats.org/officeDocument/2006/relationships" ref="H609" r:id="rId606"/>
    <hyperlink xmlns:r="http://schemas.openxmlformats.org/officeDocument/2006/relationships" ref="H610" r:id="rId607"/>
    <hyperlink xmlns:r="http://schemas.openxmlformats.org/officeDocument/2006/relationships" ref="H611" r:id="rId608"/>
    <hyperlink xmlns:r="http://schemas.openxmlformats.org/officeDocument/2006/relationships" ref="H612" r:id="rId609"/>
    <hyperlink xmlns:r="http://schemas.openxmlformats.org/officeDocument/2006/relationships" ref="H613" r:id="rId610"/>
    <hyperlink xmlns:r="http://schemas.openxmlformats.org/officeDocument/2006/relationships" ref="H614" r:id="rId611"/>
    <hyperlink xmlns:r="http://schemas.openxmlformats.org/officeDocument/2006/relationships" ref="H615" r:id="rId612"/>
    <hyperlink xmlns:r="http://schemas.openxmlformats.org/officeDocument/2006/relationships" ref="H616" r:id="rId613"/>
    <hyperlink xmlns:r="http://schemas.openxmlformats.org/officeDocument/2006/relationships" ref="H617" r:id="rId614"/>
    <hyperlink xmlns:r="http://schemas.openxmlformats.org/officeDocument/2006/relationships" ref="H618" r:id="rId615"/>
    <hyperlink xmlns:r="http://schemas.openxmlformats.org/officeDocument/2006/relationships" ref="H619" r:id="rId616"/>
    <hyperlink xmlns:r="http://schemas.openxmlformats.org/officeDocument/2006/relationships" ref="H620" r:id="rId617"/>
    <hyperlink xmlns:r="http://schemas.openxmlformats.org/officeDocument/2006/relationships" ref="H621" r:id="rId618"/>
    <hyperlink xmlns:r="http://schemas.openxmlformats.org/officeDocument/2006/relationships" ref="H622" r:id="rId619"/>
    <hyperlink xmlns:r="http://schemas.openxmlformats.org/officeDocument/2006/relationships" ref="H623" r:id="rId620"/>
    <hyperlink xmlns:r="http://schemas.openxmlformats.org/officeDocument/2006/relationships" ref="H624" r:id="rId621"/>
    <hyperlink xmlns:r="http://schemas.openxmlformats.org/officeDocument/2006/relationships" ref="H625" r:id="rId622"/>
    <hyperlink xmlns:r="http://schemas.openxmlformats.org/officeDocument/2006/relationships" ref="H626" r:id="rId623"/>
    <hyperlink xmlns:r="http://schemas.openxmlformats.org/officeDocument/2006/relationships" ref="H627" r:id="rId624"/>
    <hyperlink xmlns:r="http://schemas.openxmlformats.org/officeDocument/2006/relationships" ref="H628" r:id="rId625"/>
    <hyperlink xmlns:r="http://schemas.openxmlformats.org/officeDocument/2006/relationships" ref="H629" r:id="rId626"/>
    <hyperlink xmlns:r="http://schemas.openxmlformats.org/officeDocument/2006/relationships" ref="H630" r:id="rId627"/>
    <hyperlink xmlns:r="http://schemas.openxmlformats.org/officeDocument/2006/relationships" ref="H631" r:id="rId628"/>
    <hyperlink xmlns:r="http://schemas.openxmlformats.org/officeDocument/2006/relationships" ref="H632" r:id="rId629"/>
    <hyperlink xmlns:r="http://schemas.openxmlformats.org/officeDocument/2006/relationships" ref="H633" r:id="rId630"/>
    <hyperlink xmlns:r="http://schemas.openxmlformats.org/officeDocument/2006/relationships" ref="H634" r:id="rId631"/>
    <hyperlink xmlns:r="http://schemas.openxmlformats.org/officeDocument/2006/relationships" ref="H635" r:id="rId632"/>
    <hyperlink xmlns:r="http://schemas.openxmlformats.org/officeDocument/2006/relationships" ref="H636" r:id="rId633"/>
    <hyperlink xmlns:r="http://schemas.openxmlformats.org/officeDocument/2006/relationships" ref="H637" r:id="rId634"/>
    <hyperlink xmlns:r="http://schemas.openxmlformats.org/officeDocument/2006/relationships" ref="H638" r:id="rId635"/>
    <hyperlink xmlns:r="http://schemas.openxmlformats.org/officeDocument/2006/relationships" ref="H639" r:id="rId636"/>
    <hyperlink xmlns:r="http://schemas.openxmlformats.org/officeDocument/2006/relationships" ref="H640" r:id="rId637"/>
    <hyperlink xmlns:r="http://schemas.openxmlformats.org/officeDocument/2006/relationships" ref="H641" r:id="rId638"/>
    <hyperlink xmlns:r="http://schemas.openxmlformats.org/officeDocument/2006/relationships" ref="H642" r:id="rId639"/>
    <hyperlink xmlns:r="http://schemas.openxmlformats.org/officeDocument/2006/relationships" ref="H643" r:id="rId640"/>
    <hyperlink xmlns:r="http://schemas.openxmlformats.org/officeDocument/2006/relationships" ref="H644" r:id="rId641"/>
    <hyperlink xmlns:r="http://schemas.openxmlformats.org/officeDocument/2006/relationships" ref="H645" r:id="rId642"/>
    <hyperlink xmlns:r="http://schemas.openxmlformats.org/officeDocument/2006/relationships" ref="H646" r:id="rId643"/>
    <hyperlink xmlns:r="http://schemas.openxmlformats.org/officeDocument/2006/relationships" ref="H647" r:id="rId644"/>
    <hyperlink xmlns:r="http://schemas.openxmlformats.org/officeDocument/2006/relationships" ref="H648" r:id="rId645"/>
    <hyperlink xmlns:r="http://schemas.openxmlformats.org/officeDocument/2006/relationships" ref="H649" r:id="rId646"/>
    <hyperlink xmlns:r="http://schemas.openxmlformats.org/officeDocument/2006/relationships" ref="H650" r:id="rId647"/>
    <hyperlink xmlns:r="http://schemas.openxmlformats.org/officeDocument/2006/relationships" ref="H651" r:id="rId648"/>
    <hyperlink xmlns:r="http://schemas.openxmlformats.org/officeDocument/2006/relationships" ref="H652" r:id="rId649"/>
    <hyperlink xmlns:r="http://schemas.openxmlformats.org/officeDocument/2006/relationships" ref="H653" r:id="rId650"/>
    <hyperlink xmlns:r="http://schemas.openxmlformats.org/officeDocument/2006/relationships" ref="H654" r:id="rId651"/>
    <hyperlink xmlns:r="http://schemas.openxmlformats.org/officeDocument/2006/relationships" ref="H655" r:id="rId652"/>
    <hyperlink xmlns:r="http://schemas.openxmlformats.org/officeDocument/2006/relationships" ref="H656" r:id="rId653"/>
    <hyperlink xmlns:r="http://schemas.openxmlformats.org/officeDocument/2006/relationships" ref="H657" r:id="rId654"/>
    <hyperlink xmlns:r="http://schemas.openxmlformats.org/officeDocument/2006/relationships" ref="H658" r:id="rId655"/>
    <hyperlink xmlns:r="http://schemas.openxmlformats.org/officeDocument/2006/relationships" ref="H659" r:id="rId656"/>
    <hyperlink xmlns:r="http://schemas.openxmlformats.org/officeDocument/2006/relationships" ref="H660" r:id="rId657"/>
    <hyperlink xmlns:r="http://schemas.openxmlformats.org/officeDocument/2006/relationships" ref="H661" r:id="rId658"/>
    <hyperlink xmlns:r="http://schemas.openxmlformats.org/officeDocument/2006/relationships" ref="H662" r:id="rId659"/>
    <hyperlink xmlns:r="http://schemas.openxmlformats.org/officeDocument/2006/relationships" ref="H663" r:id="rId660"/>
    <hyperlink xmlns:r="http://schemas.openxmlformats.org/officeDocument/2006/relationships" ref="H664" r:id="rId661"/>
    <hyperlink xmlns:r="http://schemas.openxmlformats.org/officeDocument/2006/relationships" ref="H665" r:id="rId662"/>
    <hyperlink xmlns:r="http://schemas.openxmlformats.org/officeDocument/2006/relationships" ref="H666" r:id="rId663"/>
    <hyperlink xmlns:r="http://schemas.openxmlformats.org/officeDocument/2006/relationships" ref="H667" r:id="rId664"/>
    <hyperlink xmlns:r="http://schemas.openxmlformats.org/officeDocument/2006/relationships" ref="H668" r:id="rId665"/>
    <hyperlink xmlns:r="http://schemas.openxmlformats.org/officeDocument/2006/relationships" ref="H669" r:id="rId666"/>
    <hyperlink xmlns:r="http://schemas.openxmlformats.org/officeDocument/2006/relationships" ref="H670" r:id="rId667"/>
    <hyperlink xmlns:r="http://schemas.openxmlformats.org/officeDocument/2006/relationships" ref="H671" r:id="rId668"/>
    <hyperlink xmlns:r="http://schemas.openxmlformats.org/officeDocument/2006/relationships" ref="H672" r:id="rId669"/>
    <hyperlink xmlns:r="http://schemas.openxmlformats.org/officeDocument/2006/relationships" ref="H673" r:id="rId670"/>
    <hyperlink xmlns:r="http://schemas.openxmlformats.org/officeDocument/2006/relationships" ref="H674" r:id="rId671"/>
    <hyperlink xmlns:r="http://schemas.openxmlformats.org/officeDocument/2006/relationships" ref="H675" r:id="rId672"/>
    <hyperlink xmlns:r="http://schemas.openxmlformats.org/officeDocument/2006/relationships" ref="H676" r:id="rId673"/>
    <hyperlink xmlns:r="http://schemas.openxmlformats.org/officeDocument/2006/relationships" ref="H677" r:id="rId674"/>
    <hyperlink xmlns:r="http://schemas.openxmlformats.org/officeDocument/2006/relationships" ref="H678" r:id="rId675"/>
    <hyperlink xmlns:r="http://schemas.openxmlformats.org/officeDocument/2006/relationships" ref="H679" r:id="rId676"/>
    <hyperlink xmlns:r="http://schemas.openxmlformats.org/officeDocument/2006/relationships" ref="H680" r:id="rId677"/>
    <hyperlink xmlns:r="http://schemas.openxmlformats.org/officeDocument/2006/relationships" ref="H681" r:id="rId678"/>
    <hyperlink xmlns:r="http://schemas.openxmlformats.org/officeDocument/2006/relationships" ref="H682" r:id="rId679"/>
    <hyperlink xmlns:r="http://schemas.openxmlformats.org/officeDocument/2006/relationships" ref="H683" r:id="rId680"/>
    <hyperlink xmlns:r="http://schemas.openxmlformats.org/officeDocument/2006/relationships" ref="H684" r:id="rId681"/>
    <hyperlink xmlns:r="http://schemas.openxmlformats.org/officeDocument/2006/relationships" ref="H685" r:id="rId682"/>
    <hyperlink xmlns:r="http://schemas.openxmlformats.org/officeDocument/2006/relationships" ref="H686" r:id="rId683"/>
    <hyperlink xmlns:r="http://schemas.openxmlformats.org/officeDocument/2006/relationships" ref="H687" r:id="rId684"/>
    <hyperlink xmlns:r="http://schemas.openxmlformats.org/officeDocument/2006/relationships" ref="H688" r:id="rId685"/>
    <hyperlink xmlns:r="http://schemas.openxmlformats.org/officeDocument/2006/relationships" ref="H689" r:id="rId686"/>
    <hyperlink xmlns:r="http://schemas.openxmlformats.org/officeDocument/2006/relationships" ref="H690" r:id="rId687"/>
    <hyperlink xmlns:r="http://schemas.openxmlformats.org/officeDocument/2006/relationships" ref="H691" r:id="rId688"/>
    <hyperlink xmlns:r="http://schemas.openxmlformats.org/officeDocument/2006/relationships" ref="H692" r:id="rId689"/>
    <hyperlink xmlns:r="http://schemas.openxmlformats.org/officeDocument/2006/relationships" ref="H693" r:id="rId690"/>
    <hyperlink xmlns:r="http://schemas.openxmlformats.org/officeDocument/2006/relationships" ref="H694" r:id="rId691"/>
    <hyperlink xmlns:r="http://schemas.openxmlformats.org/officeDocument/2006/relationships" ref="H695" r:id="rId692"/>
    <hyperlink xmlns:r="http://schemas.openxmlformats.org/officeDocument/2006/relationships" ref="H696" r:id="rId693"/>
    <hyperlink xmlns:r="http://schemas.openxmlformats.org/officeDocument/2006/relationships" ref="H697" r:id="rId694"/>
    <hyperlink xmlns:r="http://schemas.openxmlformats.org/officeDocument/2006/relationships" ref="H698" r:id="rId695"/>
    <hyperlink xmlns:r="http://schemas.openxmlformats.org/officeDocument/2006/relationships" ref="H699" r:id="rId696"/>
    <hyperlink xmlns:r="http://schemas.openxmlformats.org/officeDocument/2006/relationships" ref="H700" r:id="rId697"/>
    <hyperlink xmlns:r="http://schemas.openxmlformats.org/officeDocument/2006/relationships" ref="H701" r:id="rId698"/>
    <hyperlink xmlns:r="http://schemas.openxmlformats.org/officeDocument/2006/relationships" ref="H702" r:id="rId699"/>
    <hyperlink xmlns:r="http://schemas.openxmlformats.org/officeDocument/2006/relationships" ref="H703" r:id="rId700"/>
    <hyperlink xmlns:r="http://schemas.openxmlformats.org/officeDocument/2006/relationships" ref="H704" r:id="rId701"/>
    <hyperlink xmlns:r="http://schemas.openxmlformats.org/officeDocument/2006/relationships" ref="H705" r:id="rId702"/>
    <hyperlink xmlns:r="http://schemas.openxmlformats.org/officeDocument/2006/relationships" ref="H706" r:id="rId703"/>
    <hyperlink xmlns:r="http://schemas.openxmlformats.org/officeDocument/2006/relationships" ref="H707" r:id="rId704"/>
    <hyperlink xmlns:r="http://schemas.openxmlformats.org/officeDocument/2006/relationships" ref="H708" r:id="rId705"/>
    <hyperlink xmlns:r="http://schemas.openxmlformats.org/officeDocument/2006/relationships" ref="H709" r:id="rId706"/>
    <hyperlink xmlns:r="http://schemas.openxmlformats.org/officeDocument/2006/relationships" ref="H710" r:id="rId707"/>
    <hyperlink xmlns:r="http://schemas.openxmlformats.org/officeDocument/2006/relationships" ref="H711" r:id="rId708"/>
    <hyperlink xmlns:r="http://schemas.openxmlformats.org/officeDocument/2006/relationships" ref="H712" r:id="rId709"/>
    <hyperlink xmlns:r="http://schemas.openxmlformats.org/officeDocument/2006/relationships" ref="H713" r:id="rId710"/>
    <hyperlink xmlns:r="http://schemas.openxmlformats.org/officeDocument/2006/relationships" ref="H714" r:id="rId711"/>
    <hyperlink xmlns:r="http://schemas.openxmlformats.org/officeDocument/2006/relationships" ref="H715" r:id="rId712"/>
    <hyperlink xmlns:r="http://schemas.openxmlformats.org/officeDocument/2006/relationships" ref="H716" r:id="rId713"/>
    <hyperlink xmlns:r="http://schemas.openxmlformats.org/officeDocument/2006/relationships" ref="H717" r:id="rId714"/>
    <hyperlink xmlns:r="http://schemas.openxmlformats.org/officeDocument/2006/relationships" ref="H718" r:id="rId715"/>
    <hyperlink xmlns:r="http://schemas.openxmlformats.org/officeDocument/2006/relationships" ref="H719" r:id="rId716"/>
    <hyperlink xmlns:r="http://schemas.openxmlformats.org/officeDocument/2006/relationships" ref="H720" r:id="rId717"/>
    <hyperlink xmlns:r="http://schemas.openxmlformats.org/officeDocument/2006/relationships" ref="H721" r:id="rId718"/>
    <hyperlink xmlns:r="http://schemas.openxmlformats.org/officeDocument/2006/relationships" ref="H722" r:id="rId719"/>
    <hyperlink xmlns:r="http://schemas.openxmlformats.org/officeDocument/2006/relationships" ref="H723" r:id="rId720"/>
    <hyperlink xmlns:r="http://schemas.openxmlformats.org/officeDocument/2006/relationships" ref="H724" r:id="rId721"/>
    <hyperlink xmlns:r="http://schemas.openxmlformats.org/officeDocument/2006/relationships" ref="H725" r:id="rId722"/>
    <hyperlink xmlns:r="http://schemas.openxmlformats.org/officeDocument/2006/relationships" ref="H726" r:id="rId723"/>
    <hyperlink xmlns:r="http://schemas.openxmlformats.org/officeDocument/2006/relationships" ref="H727" r:id="rId724"/>
    <hyperlink xmlns:r="http://schemas.openxmlformats.org/officeDocument/2006/relationships" ref="H728" r:id="rId725"/>
    <hyperlink xmlns:r="http://schemas.openxmlformats.org/officeDocument/2006/relationships" ref="H729" r:id="rId726"/>
    <hyperlink xmlns:r="http://schemas.openxmlformats.org/officeDocument/2006/relationships" ref="H730" r:id="rId727"/>
    <hyperlink xmlns:r="http://schemas.openxmlformats.org/officeDocument/2006/relationships" ref="H731" r:id="rId728"/>
    <hyperlink xmlns:r="http://schemas.openxmlformats.org/officeDocument/2006/relationships" ref="H732" r:id="rId729"/>
    <hyperlink xmlns:r="http://schemas.openxmlformats.org/officeDocument/2006/relationships" ref="H733" r:id="rId730"/>
    <hyperlink xmlns:r="http://schemas.openxmlformats.org/officeDocument/2006/relationships" ref="H734" r:id="rId731"/>
    <hyperlink xmlns:r="http://schemas.openxmlformats.org/officeDocument/2006/relationships" ref="H735" r:id="rId732"/>
    <hyperlink xmlns:r="http://schemas.openxmlformats.org/officeDocument/2006/relationships" ref="H736" r:id="rId733"/>
    <hyperlink xmlns:r="http://schemas.openxmlformats.org/officeDocument/2006/relationships" ref="H737" r:id="rId734"/>
    <hyperlink xmlns:r="http://schemas.openxmlformats.org/officeDocument/2006/relationships" ref="H738" r:id="rId735"/>
    <hyperlink xmlns:r="http://schemas.openxmlformats.org/officeDocument/2006/relationships" ref="H739" r:id="rId736"/>
    <hyperlink xmlns:r="http://schemas.openxmlformats.org/officeDocument/2006/relationships" ref="H740" r:id="rId737"/>
    <hyperlink xmlns:r="http://schemas.openxmlformats.org/officeDocument/2006/relationships" ref="H741" r:id="rId738"/>
    <hyperlink xmlns:r="http://schemas.openxmlformats.org/officeDocument/2006/relationships" ref="H742" r:id="rId739"/>
    <hyperlink xmlns:r="http://schemas.openxmlformats.org/officeDocument/2006/relationships" ref="H743" r:id="rId740"/>
    <hyperlink xmlns:r="http://schemas.openxmlformats.org/officeDocument/2006/relationships" ref="H744" r:id="rId741"/>
    <hyperlink xmlns:r="http://schemas.openxmlformats.org/officeDocument/2006/relationships" ref="H745" r:id="rId742"/>
    <hyperlink xmlns:r="http://schemas.openxmlformats.org/officeDocument/2006/relationships" ref="H746" r:id="rId743"/>
    <hyperlink xmlns:r="http://schemas.openxmlformats.org/officeDocument/2006/relationships" ref="H747" r:id="rId744"/>
    <hyperlink xmlns:r="http://schemas.openxmlformats.org/officeDocument/2006/relationships" ref="H748" r:id="rId745"/>
    <hyperlink xmlns:r="http://schemas.openxmlformats.org/officeDocument/2006/relationships" ref="H749" r:id="rId746"/>
    <hyperlink xmlns:r="http://schemas.openxmlformats.org/officeDocument/2006/relationships" ref="H750" r:id="rId747"/>
    <hyperlink xmlns:r="http://schemas.openxmlformats.org/officeDocument/2006/relationships" ref="H751" r:id="rId748"/>
    <hyperlink xmlns:r="http://schemas.openxmlformats.org/officeDocument/2006/relationships" ref="H752" r:id="rId749"/>
    <hyperlink xmlns:r="http://schemas.openxmlformats.org/officeDocument/2006/relationships" ref="H753" r:id="rId750"/>
    <hyperlink xmlns:r="http://schemas.openxmlformats.org/officeDocument/2006/relationships" ref="H754" r:id="rId751"/>
    <hyperlink xmlns:r="http://schemas.openxmlformats.org/officeDocument/2006/relationships" ref="H755" r:id="rId752"/>
    <hyperlink xmlns:r="http://schemas.openxmlformats.org/officeDocument/2006/relationships" ref="H756" r:id="rId753"/>
    <hyperlink xmlns:r="http://schemas.openxmlformats.org/officeDocument/2006/relationships" ref="H757" r:id="rId754"/>
    <hyperlink xmlns:r="http://schemas.openxmlformats.org/officeDocument/2006/relationships" ref="H758" r:id="rId755"/>
    <hyperlink xmlns:r="http://schemas.openxmlformats.org/officeDocument/2006/relationships" ref="H759" r:id="rId756"/>
    <hyperlink xmlns:r="http://schemas.openxmlformats.org/officeDocument/2006/relationships" ref="H760" r:id="rId757"/>
    <hyperlink xmlns:r="http://schemas.openxmlformats.org/officeDocument/2006/relationships" ref="H761" r:id="rId758"/>
    <hyperlink xmlns:r="http://schemas.openxmlformats.org/officeDocument/2006/relationships" ref="H762" r:id="rId759"/>
    <hyperlink xmlns:r="http://schemas.openxmlformats.org/officeDocument/2006/relationships" ref="H763" r:id="rId760"/>
    <hyperlink xmlns:r="http://schemas.openxmlformats.org/officeDocument/2006/relationships" ref="H764" r:id="rId761"/>
    <hyperlink xmlns:r="http://schemas.openxmlformats.org/officeDocument/2006/relationships" ref="H765" r:id="rId762"/>
    <hyperlink xmlns:r="http://schemas.openxmlformats.org/officeDocument/2006/relationships" ref="H766" r:id="rId763"/>
    <hyperlink xmlns:r="http://schemas.openxmlformats.org/officeDocument/2006/relationships" ref="H767" r:id="rId764"/>
    <hyperlink xmlns:r="http://schemas.openxmlformats.org/officeDocument/2006/relationships" ref="H768" r:id="rId765"/>
    <hyperlink xmlns:r="http://schemas.openxmlformats.org/officeDocument/2006/relationships" ref="H769" r:id="rId766"/>
    <hyperlink xmlns:r="http://schemas.openxmlformats.org/officeDocument/2006/relationships" ref="H770" r:id="rId767"/>
    <hyperlink xmlns:r="http://schemas.openxmlformats.org/officeDocument/2006/relationships" ref="H771" r:id="rId768"/>
    <hyperlink xmlns:r="http://schemas.openxmlformats.org/officeDocument/2006/relationships" ref="H772" r:id="rId769"/>
    <hyperlink xmlns:r="http://schemas.openxmlformats.org/officeDocument/2006/relationships" ref="H773" r:id="rId770"/>
    <hyperlink xmlns:r="http://schemas.openxmlformats.org/officeDocument/2006/relationships" ref="H774" r:id="rId771"/>
    <hyperlink xmlns:r="http://schemas.openxmlformats.org/officeDocument/2006/relationships" ref="H775" r:id="rId772"/>
    <hyperlink xmlns:r="http://schemas.openxmlformats.org/officeDocument/2006/relationships" ref="H776" r:id="rId773"/>
    <hyperlink xmlns:r="http://schemas.openxmlformats.org/officeDocument/2006/relationships" ref="H777" r:id="rId774"/>
    <hyperlink xmlns:r="http://schemas.openxmlformats.org/officeDocument/2006/relationships" ref="H778" r:id="rId775"/>
    <hyperlink xmlns:r="http://schemas.openxmlformats.org/officeDocument/2006/relationships" ref="H779" r:id="rId776"/>
    <hyperlink xmlns:r="http://schemas.openxmlformats.org/officeDocument/2006/relationships" ref="H780" r:id="rId777"/>
    <hyperlink xmlns:r="http://schemas.openxmlformats.org/officeDocument/2006/relationships" ref="H781" r:id="rId778"/>
    <hyperlink xmlns:r="http://schemas.openxmlformats.org/officeDocument/2006/relationships" ref="H782" r:id="rId779"/>
    <hyperlink xmlns:r="http://schemas.openxmlformats.org/officeDocument/2006/relationships" ref="H783" r:id="rId780"/>
    <hyperlink xmlns:r="http://schemas.openxmlformats.org/officeDocument/2006/relationships" ref="H784" r:id="rId781"/>
    <hyperlink xmlns:r="http://schemas.openxmlformats.org/officeDocument/2006/relationships" ref="H785" r:id="rId782"/>
    <hyperlink xmlns:r="http://schemas.openxmlformats.org/officeDocument/2006/relationships" ref="H786" r:id="rId783"/>
    <hyperlink xmlns:r="http://schemas.openxmlformats.org/officeDocument/2006/relationships" ref="H787" r:id="rId784"/>
    <hyperlink xmlns:r="http://schemas.openxmlformats.org/officeDocument/2006/relationships" ref="H788" r:id="rId785"/>
    <hyperlink xmlns:r="http://schemas.openxmlformats.org/officeDocument/2006/relationships" ref="H789" r:id="rId786"/>
    <hyperlink xmlns:r="http://schemas.openxmlformats.org/officeDocument/2006/relationships" ref="H790" r:id="rId787"/>
    <hyperlink xmlns:r="http://schemas.openxmlformats.org/officeDocument/2006/relationships" ref="H791" r:id="rId788"/>
    <hyperlink xmlns:r="http://schemas.openxmlformats.org/officeDocument/2006/relationships" ref="H792" r:id="rId789"/>
    <hyperlink xmlns:r="http://schemas.openxmlformats.org/officeDocument/2006/relationships" ref="H793" r:id="rId790"/>
    <hyperlink xmlns:r="http://schemas.openxmlformats.org/officeDocument/2006/relationships" ref="H794" r:id="rId791"/>
    <hyperlink xmlns:r="http://schemas.openxmlformats.org/officeDocument/2006/relationships" ref="H795" r:id="rId792"/>
    <hyperlink xmlns:r="http://schemas.openxmlformats.org/officeDocument/2006/relationships" ref="H796" r:id="rId793"/>
    <hyperlink xmlns:r="http://schemas.openxmlformats.org/officeDocument/2006/relationships" ref="H797" r:id="rId794"/>
    <hyperlink xmlns:r="http://schemas.openxmlformats.org/officeDocument/2006/relationships" ref="H798" r:id="rId795"/>
    <hyperlink xmlns:r="http://schemas.openxmlformats.org/officeDocument/2006/relationships" ref="H799" r:id="rId796"/>
    <hyperlink xmlns:r="http://schemas.openxmlformats.org/officeDocument/2006/relationships" ref="H800" r:id="rId797"/>
    <hyperlink xmlns:r="http://schemas.openxmlformats.org/officeDocument/2006/relationships" ref="H801" r:id="rId798"/>
    <hyperlink xmlns:r="http://schemas.openxmlformats.org/officeDocument/2006/relationships" ref="H802" r:id="rId799"/>
    <hyperlink xmlns:r="http://schemas.openxmlformats.org/officeDocument/2006/relationships" ref="H803" r:id="rId800"/>
    <hyperlink xmlns:r="http://schemas.openxmlformats.org/officeDocument/2006/relationships" ref="H804" r:id="rId801"/>
    <hyperlink xmlns:r="http://schemas.openxmlformats.org/officeDocument/2006/relationships" ref="H805" r:id="rId802"/>
    <hyperlink xmlns:r="http://schemas.openxmlformats.org/officeDocument/2006/relationships" ref="H806" r:id="rId803"/>
    <hyperlink xmlns:r="http://schemas.openxmlformats.org/officeDocument/2006/relationships" ref="H807" r:id="rId804"/>
    <hyperlink xmlns:r="http://schemas.openxmlformats.org/officeDocument/2006/relationships" ref="H808" r:id="rId805"/>
    <hyperlink xmlns:r="http://schemas.openxmlformats.org/officeDocument/2006/relationships" ref="H809" r:id="rId806"/>
    <hyperlink xmlns:r="http://schemas.openxmlformats.org/officeDocument/2006/relationships" ref="H810" r:id="rId807"/>
    <hyperlink xmlns:r="http://schemas.openxmlformats.org/officeDocument/2006/relationships" ref="H811" r:id="rId808"/>
    <hyperlink xmlns:r="http://schemas.openxmlformats.org/officeDocument/2006/relationships" ref="H812" r:id="rId809"/>
    <hyperlink xmlns:r="http://schemas.openxmlformats.org/officeDocument/2006/relationships" ref="H813" r:id="rId810"/>
    <hyperlink xmlns:r="http://schemas.openxmlformats.org/officeDocument/2006/relationships" ref="H814" r:id="rId811"/>
    <hyperlink xmlns:r="http://schemas.openxmlformats.org/officeDocument/2006/relationships" ref="H815" r:id="rId812"/>
    <hyperlink xmlns:r="http://schemas.openxmlformats.org/officeDocument/2006/relationships" ref="H816" r:id="rId813"/>
    <hyperlink xmlns:r="http://schemas.openxmlformats.org/officeDocument/2006/relationships" ref="H817" r:id="rId814"/>
    <hyperlink xmlns:r="http://schemas.openxmlformats.org/officeDocument/2006/relationships" ref="H818" r:id="rId815"/>
    <hyperlink xmlns:r="http://schemas.openxmlformats.org/officeDocument/2006/relationships" ref="H819" r:id="rId816"/>
    <hyperlink xmlns:r="http://schemas.openxmlformats.org/officeDocument/2006/relationships" ref="H820" r:id="rId817"/>
    <hyperlink xmlns:r="http://schemas.openxmlformats.org/officeDocument/2006/relationships" ref="H821" r:id="rId818"/>
    <hyperlink xmlns:r="http://schemas.openxmlformats.org/officeDocument/2006/relationships" ref="H822" r:id="rId819"/>
    <hyperlink xmlns:r="http://schemas.openxmlformats.org/officeDocument/2006/relationships" ref="H823" r:id="rId820"/>
    <hyperlink xmlns:r="http://schemas.openxmlformats.org/officeDocument/2006/relationships" ref="H824" r:id="rId821"/>
    <hyperlink xmlns:r="http://schemas.openxmlformats.org/officeDocument/2006/relationships" ref="H825" r:id="rId822"/>
    <hyperlink xmlns:r="http://schemas.openxmlformats.org/officeDocument/2006/relationships" ref="H826" r:id="rId823"/>
    <hyperlink xmlns:r="http://schemas.openxmlformats.org/officeDocument/2006/relationships" ref="H827" r:id="rId824"/>
    <hyperlink xmlns:r="http://schemas.openxmlformats.org/officeDocument/2006/relationships" ref="H828" r:id="rId825"/>
    <hyperlink xmlns:r="http://schemas.openxmlformats.org/officeDocument/2006/relationships" ref="H829" r:id="rId826"/>
    <hyperlink xmlns:r="http://schemas.openxmlformats.org/officeDocument/2006/relationships" ref="H830" r:id="rId827"/>
    <hyperlink xmlns:r="http://schemas.openxmlformats.org/officeDocument/2006/relationships" ref="H831" r:id="rId828"/>
    <hyperlink xmlns:r="http://schemas.openxmlformats.org/officeDocument/2006/relationships" ref="H832" r:id="rId829"/>
    <hyperlink xmlns:r="http://schemas.openxmlformats.org/officeDocument/2006/relationships" ref="H833" r:id="rId830"/>
    <hyperlink xmlns:r="http://schemas.openxmlformats.org/officeDocument/2006/relationships" ref="H834" r:id="rId831"/>
    <hyperlink xmlns:r="http://schemas.openxmlformats.org/officeDocument/2006/relationships" ref="H835" r:id="rId832"/>
    <hyperlink xmlns:r="http://schemas.openxmlformats.org/officeDocument/2006/relationships" ref="H836" r:id="rId833"/>
    <hyperlink xmlns:r="http://schemas.openxmlformats.org/officeDocument/2006/relationships" ref="H837" r:id="rId834"/>
    <hyperlink xmlns:r="http://schemas.openxmlformats.org/officeDocument/2006/relationships" ref="H838" r:id="rId835"/>
    <hyperlink xmlns:r="http://schemas.openxmlformats.org/officeDocument/2006/relationships" ref="H839" r:id="rId836"/>
    <hyperlink xmlns:r="http://schemas.openxmlformats.org/officeDocument/2006/relationships" ref="H840" r:id="rId837"/>
    <hyperlink xmlns:r="http://schemas.openxmlformats.org/officeDocument/2006/relationships" ref="H841" r:id="rId838"/>
    <hyperlink xmlns:r="http://schemas.openxmlformats.org/officeDocument/2006/relationships" ref="H842" r:id="rId839"/>
    <hyperlink xmlns:r="http://schemas.openxmlformats.org/officeDocument/2006/relationships" ref="H843" r:id="rId840"/>
    <hyperlink xmlns:r="http://schemas.openxmlformats.org/officeDocument/2006/relationships" ref="H844" r:id="rId841"/>
    <hyperlink xmlns:r="http://schemas.openxmlformats.org/officeDocument/2006/relationships" ref="H845" r:id="rId842"/>
    <hyperlink xmlns:r="http://schemas.openxmlformats.org/officeDocument/2006/relationships" ref="H846" r:id="rId843"/>
    <hyperlink xmlns:r="http://schemas.openxmlformats.org/officeDocument/2006/relationships" ref="H847" r:id="rId844"/>
    <hyperlink xmlns:r="http://schemas.openxmlformats.org/officeDocument/2006/relationships" ref="H848" r:id="rId845"/>
    <hyperlink xmlns:r="http://schemas.openxmlformats.org/officeDocument/2006/relationships" ref="H849" r:id="rId846"/>
    <hyperlink xmlns:r="http://schemas.openxmlformats.org/officeDocument/2006/relationships" ref="H850" r:id="rId847"/>
    <hyperlink xmlns:r="http://schemas.openxmlformats.org/officeDocument/2006/relationships" ref="H851" r:id="rId848"/>
    <hyperlink xmlns:r="http://schemas.openxmlformats.org/officeDocument/2006/relationships" ref="H852" r:id="rId849"/>
    <hyperlink xmlns:r="http://schemas.openxmlformats.org/officeDocument/2006/relationships" ref="H853" r:id="rId850"/>
    <hyperlink xmlns:r="http://schemas.openxmlformats.org/officeDocument/2006/relationships" ref="H854" r:id="rId851"/>
    <hyperlink xmlns:r="http://schemas.openxmlformats.org/officeDocument/2006/relationships" ref="H855" r:id="rId852"/>
    <hyperlink xmlns:r="http://schemas.openxmlformats.org/officeDocument/2006/relationships" ref="H856" r:id="rId853"/>
    <hyperlink xmlns:r="http://schemas.openxmlformats.org/officeDocument/2006/relationships" ref="H857" r:id="rId854"/>
    <hyperlink xmlns:r="http://schemas.openxmlformats.org/officeDocument/2006/relationships" ref="H858" r:id="rId855"/>
    <hyperlink xmlns:r="http://schemas.openxmlformats.org/officeDocument/2006/relationships" ref="H859" r:id="rId856"/>
    <hyperlink xmlns:r="http://schemas.openxmlformats.org/officeDocument/2006/relationships" ref="H860" r:id="rId857"/>
    <hyperlink xmlns:r="http://schemas.openxmlformats.org/officeDocument/2006/relationships" ref="H861" r:id="rId858"/>
    <hyperlink xmlns:r="http://schemas.openxmlformats.org/officeDocument/2006/relationships" ref="H862" r:id="rId859"/>
    <hyperlink xmlns:r="http://schemas.openxmlformats.org/officeDocument/2006/relationships" ref="H863" r:id="rId860"/>
    <hyperlink xmlns:r="http://schemas.openxmlformats.org/officeDocument/2006/relationships" ref="H864" r:id="rId861"/>
    <hyperlink xmlns:r="http://schemas.openxmlformats.org/officeDocument/2006/relationships" ref="H865" r:id="rId862"/>
    <hyperlink xmlns:r="http://schemas.openxmlformats.org/officeDocument/2006/relationships" ref="H866" r:id="rId863"/>
    <hyperlink xmlns:r="http://schemas.openxmlformats.org/officeDocument/2006/relationships" ref="H867" r:id="rId864"/>
    <hyperlink xmlns:r="http://schemas.openxmlformats.org/officeDocument/2006/relationships" ref="H868" r:id="rId865"/>
    <hyperlink xmlns:r="http://schemas.openxmlformats.org/officeDocument/2006/relationships" ref="H869" r:id="rId866"/>
    <hyperlink xmlns:r="http://schemas.openxmlformats.org/officeDocument/2006/relationships" ref="H870" r:id="rId867"/>
    <hyperlink xmlns:r="http://schemas.openxmlformats.org/officeDocument/2006/relationships" ref="H871" r:id="rId868"/>
    <hyperlink xmlns:r="http://schemas.openxmlformats.org/officeDocument/2006/relationships" ref="H872" r:id="rId869"/>
    <hyperlink xmlns:r="http://schemas.openxmlformats.org/officeDocument/2006/relationships" ref="H873" r:id="rId870"/>
    <hyperlink xmlns:r="http://schemas.openxmlformats.org/officeDocument/2006/relationships" ref="H874" r:id="rId871"/>
    <hyperlink xmlns:r="http://schemas.openxmlformats.org/officeDocument/2006/relationships" ref="H875" r:id="rId872"/>
    <hyperlink xmlns:r="http://schemas.openxmlformats.org/officeDocument/2006/relationships" ref="H876" r:id="rId873"/>
    <hyperlink xmlns:r="http://schemas.openxmlformats.org/officeDocument/2006/relationships" ref="H877" r:id="rId874"/>
    <hyperlink xmlns:r="http://schemas.openxmlformats.org/officeDocument/2006/relationships" ref="H878" r:id="rId875"/>
    <hyperlink xmlns:r="http://schemas.openxmlformats.org/officeDocument/2006/relationships" ref="H879" r:id="rId876"/>
    <hyperlink xmlns:r="http://schemas.openxmlformats.org/officeDocument/2006/relationships" ref="H880" r:id="rId877"/>
    <hyperlink xmlns:r="http://schemas.openxmlformats.org/officeDocument/2006/relationships" ref="H881" r:id="rId878"/>
    <hyperlink xmlns:r="http://schemas.openxmlformats.org/officeDocument/2006/relationships" ref="H882" r:id="rId879"/>
    <hyperlink xmlns:r="http://schemas.openxmlformats.org/officeDocument/2006/relationships" ref="H883" r:id="rId880"/>
    <hyperlink xmlns:r="http://schemas.openxmlformats.org/officeDocument/2006/relationships" ref="H884" r:id="rId881"/>
    <hyperlink xmlns:r="http://schemas.openxmlformats.org/officeDocument/2006/relationships" ref="H885" r:id="rId882"/>
    <hyperlink xmlns:r="http://schemas.openxmlformats.org/officeDocument/2006/relationships" ref="H886" r:id="rId883"/>
    <hyperlink xmlns:r="http://schemas.openxmlformats.org/officeDocument/2006/relationships" ref="H887" r:id="rId884"/>
    <hyperlink xmlns:r="http://schemas.openxmlformats.org/officeDocument/2006/relationships" ref="H888" r:id="rId885"/>
    <hyperlink xmlns:r="http://schemas.openxmlformats.org/officeDocument/2006/relationships" ref="H889" r:id="rId886"/>
    <hyperlink xmlns:r="http://schemas.openxmlformats.org/officeDocument/2006/relationships" ref="H890" r:id="rId887"/>
    <hyperlink xmlns:r="http://schemas.openxmlformats.org/officeDocument/2006/relationships" ref="H891" r:id="rId888"/>
    <hyperlink xmlns:r="http://schemas.openxmlformats.org/officeDocument/2006/relationships" ref="H892" r:id="rId889"/>
    <hyperlink xmlns:r="http://schemas.openxmlformats.org/officeDocument/2006/relationships" ref="H893" r:id="rId890"/>
    <hyperlink xmlns:r="http://schemas.openxmlformats.org/officeDocument/2006/relationships" ref="H894" r:id="rId891"/>
    <hyperlink xmlns:r="http://schemas.openxmlformats.org/officeDocument/2006/relationships" ref="H895" r:id="rId892"/>
    <hyperlink xmlns:r="http://schemas.openxmlformats.org/officeDocument/2006/relationships" ref="H896" r:id="rId893"/>
    <hyperlink xmlns:r="http://schemas.openxmlformats.org/officeDocument/2006/relationships" ref="H897" r:id="rId894"/>
    <hyperlink xmlns:r="http://schemas.openxmlformats.org/officeDocument/2006/relationships" ref="H898" r:id="rId895"/>
    <hyperlink xmlns:r="http://schemas.openxmlformats.org/officeDocument/2006/relationships" ref="H899" r:id="rId896"/>
    <hyperlink xmlns:r="http://schemas.openxmlformats.org/officeDocument/2006/relationships" ref="H900" r:id="rId897"/>
    <hyperlink xmlns:r="http://schemas.openxmlformats.org/officeDocument/2006/relationships" ref="H901" r:id="rId898"/>
    <hyperlink xmlns:r="http://schemas.openxmlformats.org/officeDocument/2006/relationships" ref="H902" r:id="rId899"/>
    <hyperlink xmlns:r="http://schemas.openxmlformats.org/officeDocument/2006/relationships" ref="H903" r:id="rId900"/>
    <hyperlink xmlns:r="http://schemas.openxmlformats.org/officeDocument/2006/relationships" ref="H904" r:id="rId901"/>
    <hyperlink xmlns:r="http://schemas.openxmlformats.org/officeDocument/2006/relationships" ref="H905" r:id="rId902"/>
    <hyperlink xmlns:r="http://schemas.openxmlformats.org/officeDocument/2006/relationships" ref="H906" r:id="rId903"/>
    <hyperlink xmlns:r="http://schemas.openxmlformats.org/officeDocument/2006/relationships" ref="H907" r:id="rId904"/>
    <hyperlink xmlns:r="http://schemas.openxmlformats.org/officeDocument/2006/relationships" ref="H908" r:id="rId905"/>
    <hyperlink xmlns:r="http://schemas.openxmlformats.org/officeDocument/2006/relationships" ref="H909" r:id="rId906"/>
    <hyperlink xmlns:r="http://schemas.openxmlformats.org/officeDocument/2006/relationships" ref="H910" r:id="rId907"/>
    <hyperlink xmlns:r="http://schemas.openxmlformats.org/officeDocument/2006/relationships" ref="H911" r:id="rId908"/>
    <hyperlink xmlns:r="http://schemas.openxmlformats.org/officeDocument/2006/relationships" ref="H912" r:id="rId909"/>
    <hyperlink xmlns:r="http://schemas.openxmlformats.org/officeDocument/2006/relationships" ref="H913" r:id="rId910"/>
    <hyperlink xmlns:r="http://schemas.openxmlformats.org/officeDocument/2006/relationships" ref="H914" r:id="rId911"/>
    <hyperlink xmlns:r="http://schemas.openxmlformats.org/officeDocument/2006/relationships" ref="H915" r:id="rId912"/>
    <hyperlink xmlns:r="http://schemas.openxmlformats.org/officeDocument/2006/relationships" ref="H916" r:id="rId913"/>
    <hyperlink xmlns:r="http://schemas.openxmlformats.org/officeDocument/2006/relationships" ref="H917" r:id="rId914"/>
    <hyperlink xmlns:r="http://schemas.openxmlformats.org/officeDocument/2006/relationships" ref="H918" r:id="rId915"/>
    <hyperlink xmlns:r="http://schemas.openxmlformats.org/officeDocument/2006/relationships" ref="H919" r:id="rId916"/>
    <hyperlink xmlns:r="http://schemas.openxmlformats.org/officeDocument/2006/relationships" ref="H920" r:id="rId917"/>
    <hyperlink xmlns:r="http://schemas.openxmlformats.org/officeDocument/2006/relationships" ref="H921" r:id="rId918"/>
    <hyperlink xmlns:r="http://schemas.openxmlformats.org/officeDocument/2006/relationships" ref="H922" r:id="rId919"/>
    <hyperlink xmlns:r="http://schemas.openxmlformats.org/officeDocument/2006/relationships" ref="H923" r:id="rId920"/>
    <hyperlink xmlns:r="http://schemas.openxmlformats.org/officeDocument/2006/relationships" ref="H924" r:id="rId921"/>
    <hyperlink xmlns:r="http://schemas.openxmlformats.org/officeDocument/2006/relationships" ref="H925" r:id="rId922"/>
    <hyperlink xmlns:r="http://schemas.openxmlformats.org/officeDocument/2006/relationships" ref="H926" r:id="rId923"/>
    <hyperlink xmlns:r="http://schemas.openxmlformats.org/officeDocument/2006/relationships" ref="H927" r:id="rId924"/>
    <hyperlink xmlns:r="http://schemas.openxmlformats.org/officeDocument/2006/relationships" ref="H928" r:id="rId925"/>
    <hyperlink xmlns:r="http://schemas.openxmlformats.org/officeDocument/2006/relationships" ref="H929" r:id="rId926"/>
    <hyperlink xmlns:r="http://schemas.openxmlformats.org/officeDocument/2006/relationships" ref="H930" r:id="rId927"/>
    <hyperlink xmlns:r="http://schemas.openxmlformats.org/officeDocument/2006/relationships" ref="H931" r:id="rId928"/>
    <hyperlink xmlns:r="http://schemas.openxmlformats.org/officeDocument/2006/relationships" ref="H932" r:id="rId929"/>
    <hyperlink xmlns:r="http://schemas.openxmlformats.org/officeDocument/2006/relationships" ref="H933" r:id="rId930"/>
    <hyperlink xmlns:r="http://schemas.openxmlformats.org/officeDocument/2006/relationships" ref="H934" r:id="rId931"/>
    <hyperlink xmlns:r="http://schemas.openxmlformats.org/officeDocument/2006/relationships" ref="H935" r:id="rId932"/>
    <hyperlink xmlns:r="http://schemas.openxmlformats.org/officeDocument/2006/relationships" ref="H936" r:id="rId933"/>
    <hyperlink xmlns:r="http://schemas.openxmlformats.org/officeDocument/2006/relationships" ref="H937" r:id="rId934"/>
    <hyperlink xmlns:r="http://schemas.openxmlformats.org/officeDocument/2006/relationships" ref="H938" r:id="rId935"/>
    <hyperlink xmlns:r="http://schemas.openxmlformats.org/officeDocument/2006/relationships" ref="H939" r:id="rId936"/>
    <hyperlink xmlns:r="http://schemas.openxmlformats.org/officeDocument/2006/relationships" ref="H940" r:id="rId937"/>
    <hyperlink xmlns:r="http://schemas.openxmlformats.org/officeDocument/2006/relationships" ref="H941" r:id="rId938"/>
    <hyperlink xmlns:r="http://schemas.openxmlformats.org/officeDocument/2006/relationships" ref="H942" r:id="rId939"/>
    <hyperlink xmlns:r="http://schemas.openxmlformats.org/officeDocument/2006/relationships" ref="H943" r:id="rId940"/>
    <hyperlink xmlns:r="http://schemas.openxmlformats.org/officeDocument/2006/relationships" ref="H944" r:id="rId941"/>
    <hyperlink xmlns:r="http://schemas.openxmlformats.org/officeDocument/2006/relationships" ref="H945" r:id="rId942"/>
    <hyperlink xmlns:r="http://schemas.openxmlformats.org/officeDocument/2006/relationships" ref="H946" r:id="rId943"/>
    <hyperlink xmlns:r="http://schemas.openxmlformats.org/officeDocument/2006/relationships" ref="H947" r:id="rId944"/>
    <hyperlink xmlns:r="http://schemas.openxmlformats.org/officeDocument/2006/relationships" ref="H948" r:id="rId945"/>
    <hyperlink xmlns:r="http://schemas.openxmlformats.org/officeDocument/2006/relationships" ref="H949" r:id="rId946"/>
    <hyperlink xmlns:r="http://schemas.openxmlformats.org/officeDocument/2006/relationships" ref="H950" r:id="rId947"/>
    <hyperlink xmlns:r="http://schemas.openxmlformats.org/officeDocument/2006/relationships" ref="H951" r:id="rId948"/>
    <hyperlink xmlns:r="http://schemas.openxmlformats.org/officeDocument/2006/relationships" ref="H952" r:id="rId949"/>
    <hyperlink xmlns:r="http://schemas.openxmlformats.org/officeDocument/2006/relationships" ref="H953" r:id="rId950"/>
    <hyperlink xmlns:r="http://schemas.openxmlformats.org/officeDocument/2006/relationships" ref="H954" r:id="rId951"/>
    <hyperlink xmlns:r="http://schemas.openxmlformats.org/officeDocument/2006/relationships" ref="H955" r:id="rId952"/>
    <hyperlink xmlns:r="http://schemas.openxmlformats.org/officeDocument/2006/relationships" ref="H956" r:id="rId953"/>
    <hyperlink xmlns:r="http://schemas.openxmlformats.org/officeDocument/2006/relationships" ref="H957" r:id="rId954"/>
    <hyperlink xmlns:r="http://schemas.openxmlformats.org/officeDocument/2006/relationships" ref="H958" r:id="rId955"/>
    <hyperlink xmlns:r="http://schemas.openxmlformats.org/officeDocument/2006/relationships" ref="H959" r:id="rId956"/>
    <hyperlink xmlns:r="http://schemas.openxmlformats.org/officeDocument/2006/relationships" ref="H960" r:id="rId957"/>
    <hyperlink xmlns:r="http://schemas.openxmlformats.org/officeDocument/2006/relationships" ref="H961" r:id="rId958"/>
    <hyperlink xmlns:r="http://schemas.openxmlformats.org/officeDocument/2006/relationships" ref="H962" r:id="rId959"/>
    <hyperlink xmlns:r="http://schemas.openxmlformats.org/officeDocument/2006/relationships" ref="H963" r:id="rId960"/>
    <hyperlink xmlns:r="http://schemas.openxmlformats.org/officeDocument/2006/relationships" ref="H964" r:id="rId961"/>
    <hyperlink xmlns:r="http://schemas.openxmlformats.org/officeDocument/2006/relationships" ref="H965" r:id="rId962"/>
    <hyperlink xmlns:r="http://schemas.openxmlformats.org/officeDocument/2006/relationships" ref="H966" r:id="rId963"/>
    <hyperlink xmlns:r="http://schemas.openxmlformats.org/officeDocument/2006/relationships" ref="H967" r:id="rId964"/>
    <hyperlink xmlns:r="http://schemas.openxmlformats.org/officeDocument/2006/relationships" ref="H968" r:id="rId965"/>
    <hyperlink xmlns:r="http://schemas.openxmlformats.org/officeDocument/2006/relationships" ref="H969" r:id="rId966"/>
    <hyperlink xmlns:r="http://schemas.openxmlformats.org/officeDocument/2006/relationships" ref="H970" r:id="rId967"/>
    <hyperlink xmlns:r="http://schemas.openxmlformats.org/officeDocument/2006/relationships" ref="H971" r:id="rId968"/>
    <hyperlink xmlns:r="http://schemas.openxmlformats.org/officeDocument/2006/relationships" ref="H972" r:id="rId969"/>
    <hyperlink xmlns:r="http://schemas.openxmlformats.org/officeDocument/2006/relationships" ref="H973" r:id="rId970"/>
    <hyperlink xmlns:r="http://schemas.openxmlformats.org/officeDocument/2006/relationships" ref="H974" r:id="rId971"/>
    <hyperlink xmlns:r="http://schemas.openxmlformats.org/officeDocument/2006/relationships" ref="H975" r:id="rId972"/>
    <hyperlink xmlns:r="http://schemas.openxmlformats.org/officeDocument/2006/relationships" ref="H976" r:id="rId973"/>
    <hyperlink xmlns:r="http://schemas.openxmlformats.org/officeDocument/2006/relationships" ref="H977" r:id="rId974"/>
    <hyperlink xmlns:r="http://schemas.openxmlformats.org/officeDocument/2006/relationships" ref="H978" r:id="rId975"/>
    <hyperlink xmlns:r="http://schemas.openxmlformats.org/officeDocument/2006/relationships" ref="H979" r:id="rId976"/>
    <hyperlink xmlns:r="http://schemas.openxmlformats.org/officeDocument/2006/relationships" ref="H980" r:id="rId977"/>
    <hyperlink xmlns:r="http://schemas.openxmlformats.org/officeDocument/2006/relationships" ref="H981" r:id="rId978"/>
    <hyperlink xmlns:r="http://schemas.openxmlformats.org/officeDocument/2006/relationships" ref="H982" r:id="rId979"/>
    <hyperlink xmlns:r="http://schemas.openxmlformats.org/officeDocument/2006/relationships" ref="H983" r:id="rId980"/>
    <hyperlink xmlns:r="http://schemas.openxmlformats.org/officeDocument/2006/relationships" ref="H984" r:id="rId981"/>
    <hyperlink xmlns:r="http://schemas.openxmlformats.org/officeDocument/2006/relationships" ref="H985" r:id="rId982"/>
    <hyperlink xmlns:r="http://schemas.openxmlformats.org/officeDocument/2006/relationships" ref="H986" r:id="rId983"/>
    <hyperlink xmlns:r="http://schemas.openxmlformats.org/officeDocument/2006/relationships" ref="H987" r:id="rId984"/>
    <hyperlink xmlns:r="http://schemas.openxmlformats.org/officeDocument/2006/relationships" ref="H988" r:id="rId985"/>
    <hyperlink xmlns:r="http://schemas.openxmlformats.org/officeDocument/2006/relationships" ref="H989" r:id="rId986"/>
    <hyperlink xmlns:r="http://schemas.openxmlformats.org/officeDocument/2006/relationships" ref="H990" r:id="rId987"/>
    <hyperlink xmlns:r="http://schemas.openxmlformats.org/officeDocument/2006/relationships" ref="H991" r:id="rId988"/>
    <hyperlink xmlns:r="http://schemas.openxmlformats.org/officeDocument/2006/relationships" ref="H992" r:id="rId989"/>
    <hyperlink xmlns:r="http://schemas.openxmlformats.org/officeDocument/2006/relationships" ref="H993" r:id="rId990"/>
    <hyperlink xmlns:r="http://schemas.openxmlformats.org/officeDocument/2006/relationships" ref="H994" r:id="rId991"/>
    <hyperlink xmlns:r="http://schemas.openxmlformats.org/officeDocument/2006/relationships" ref="H995" r:id="rId992"/>
    <hyperlink xmlns:r="http://schemas.openxmlformats.org/officeDocument/2006/relationships" ref="H996" r:id="rId993"/>
    <hyperlink xmlns:r="http://schemas.openxmlformats.org/officeDocument/2006/relationships" ref="H997" r:id="rId994"/>
    <hyperlink xmlns:r="http://schemas.openxmlformats.org/officeDocument/2006/relationships" ref="H998" r:id="rId995"/>
    <hyperlink xmlns:r="http://schemas.openxmlformats.org/officeDocument/2006/relationships" ref="H999" r:id="rId996"/>
    <hyperlink xmlns:r="http://schemas.openxmlformats.org/officeDocument/2006/relationships" ref="H1000" r:id="rId997"/>
    <hyperlink xmlns:r="http://schemas.openxmlformats.org/officeDocument/2006/relationships" ref="H1001" r:id="rId998"/>
    <hyperlink xmlns:r="http://schemas.openxmlformats.org/officeDocument/2006/relationships" ref="H1002" r:id="rId999"/>
    <hyperlink xmlns:r="http://schemas.openxmlformats.org/officeDocument/2006/relationships" ref="H1003" r:id="rId1000"/>
    <hyperlink xmlns:r="http://schemas.openxmlformats.org/officeDocument/2006/relationships" ref="H1004" r:id="rId1001"/>
    <hyperlink xmlns:r="http://schemas.openxmlformats.org/officeDocument/2006/relationships" ref="H1005" r:id="rId1002"/>
    <hyperlink xmlns:r="http://schemas.openxmlformats.org/officeDocument/2006/relationships" ref="H1006" r:id="rId1003"/>
    <hyperlink xmlns:r="http://schemas.openxmlformats.org/officeDocument/2006/relationships" ref="H1007" r:id="rId1004"/>
    <hyperlink xmlns:r="http://schemas.openxmlformats.org/officeDocument/2006/relationships" ref="H1008" r:id="rId1005"/>
    <hyperlink xmlns:r="http://schemas.openxmlformats.org/officeDocument/2006/relationships" ref="H1009" r:id="rId1006"/>
    <hyperlink xmlns:r="http://schemas.openxmlformats.org/officeDocument/2006/relationships" ref="H1010" r:id="rId1007"/>
    <hyperlink xmlns:r="http://schemas.openxmlformats.org/officeDocument/2006/relationships" ref="H1011" r:id="rId1008"/>
    <hyperlink xmlns:r="http://schemas.openxmlformats.org/officeDocument/2006/relationships" ref="H1012" r:id="rId1009"/>
    <hyperlink xmlns:r="http://schemas.openxmlformats.org/officeDocument/2006/relationships" ref="H1013" r:id="rId1010"/>
    <hyperlink xmlns:r="http://schemas.openxmlformats.org/officeDocument/2006/relationships" ref="H1014" r:id="rId1011"/>
    <hyperlink xmlns:r="http://schemas.openxmlformats.org/officeDocument/2006/relationships" ref="H1015" r:id="rId1012"/>
    <hyperlink xmlns:r="http://schemas.openxmlformats.org/officeDocument/2006/relationships" ref="H1016" r:id="rId1013"/>
    <hyperlink xmlns:r="http://schemas.openxmlformats.org/officeDocument/2006/relationships" ref="H1017" r:id="rId1014"/>
    <hyperlink xmlns:r="http://schemas.openxmlformats.org/officeDocument/2006/relationships" ref="H1018" r:id="rId1015"/>
    <hyperlink xmlns:r="http://schemas.openxmlformats.org/officeDocument/2006/relationships" ref="H1019" r:id="rId1016"/>
    <hyperlink xmlns:r="http://schemas.openxmlformats.org/officeDocument/2006/relationships" ref="H1020" r:id="rId1017"/>
    <hyperlink xmlns:r="http://schemas.openxmlformats.org/officeDocument/2006/relationships" ref="H1021" r:id="rId1018"/>
    <hyperlink xmlns:r="http://schemas.openxmlformats.org/officeDocument/2006/relationships" ref="H1022" r:id="rId1019"/>
    <hyperlink xmlns:r="http://schemas.openxmlformats.org/officeDocument/2006/relationships" ref="H1023" r:id="rId1020"/>
    <hyperlink xmlns:r="http://schemas.openxmlformats.org/officeDocument/2006/relationships" ref="H1024" r:id="rId1021"/>
    <hyperlink xmlns:r="http://schemas.openxmlformats.org/officeDocument/2006/relationships" ref="H1025" r:id="rId1022"/>
    <hyperlink xmlns:r="http://schemas.openxmlformats.org/officeDocument/2006/relationships" ref="H1026" r:id="rId1023"/>
    <hyperlink xmlns:r="http://schemas.openxmlformats.org/officeDocument/2006/relationships" ref="H1027" r:id="rId1024"/>
    <hyperlink xmlns:r="http://schemas.openxmlformats.org/officeDocument/2006/relationships" ref="H1028" r:id="rId1025"/>
    <hyperlink xmlns:r="http://schemas.openxmlformats.org/officeDocument/2006/relationships" ref="H1029" r:id="rId1026"/>
    <hyperlink xmlns:r="http://schemas.openxmlformats.org/officeDocument/2006/relationships" ref="H1030" r:id="rId1027"/>
    <hyperlink xmlns:r="http://schemas.openxmlformats.org/officeDocument/2006/relationships" ref="H1031" r:id="rId1028"/>
    <hyperlink xmlns:r="http://schemas.openxmlformats.org/officeDocument/2006/relationships" ref="H1032" r:id="rId1029"/>
    <hyperlink xmlns:r="http://schemas.openxmlformats.org/officeDocument/2006/relationships" ref="H1033" r:id="rId1030"/>
    <hyperlink xmlns:r="http://schemas.openxmlformats.org/officeDocument/2006/relationships" ref="H1034" r:id="rId1031"/>
    <hyperlink xmlns:r="http://schemas.openxmlformats.org/officeDocument/2006/relationships" ref="H1035" r:id="rId1032"/>
    <hyperlink xmlns:r="http://schemas.openxmlformats.org/officeDocument/2006/relationships" ref="H1036" r:id="rId1033"/>
    <hyperlink xmlns:r="http://schemas.openxmlformats.org/officeDocument/2006/relationships" ref="H1037" r:id="rId1034"/>
    <hyperlink xmlns:r="http://schemas.openxmlformats.org/officeDocument/2006/relationships" ref="H1038" r:id="rId1035"/>
    <hyperlink xmlns:r="http://schemas.openxmlformats.org/officeDocument/2006/relationships" ref="H1039" r:id="rId1036"/>
    <hyperlink xmlns:r="http://schemas.openxmlformats.org/officeDocument/2006/relationships" ref="H1040" r:id="rId1037"/>
    <hyperlink xmlns:r="http://schemas.openxmlformats.org/officeDocument/2006/relationships" ref="H1041" r:id="rId1038"/>
    <hyperlink xmlns:r="http://schemas.openxmlformats.org/officeDocument/2006/relationships" ref="H1042" r:id="rId1039"/>
    <hyperlink xmlns:r="http://schemas.openxmlformats.org/officeDocument/2006/relationships" ref="H1043" r:id="rId1040"/>
    <hyperlink xmlns:r="http://schemas.openxmlformats.org/officeDocument/2006/relationships" ref="H1044" r:id="rId1041"/>
    <hyperlink xmlns:r="http://schemas.openxmlformats.org/officeDocument/2006/relationships" ref="H1045" r:id="rId1042"/>
    <hyperlink xmlns:r="http://schemas.openxmlformats.org/officeDocument/2006/relationships" ref="H1046" r:id="rId1043"/>
    <hyperlink xmlns:r="http://schemas.openxmlformats.org/officeDocument/2006/relationships" ref="H1047" r:id="rId1044"/>
    <hyperlink xmlns:r="http://schemas.openxmlformats.org/officeDocument/2006/relationships" ref="H1048" r:id="rId1045"/>
    <hyperlink xmlns:r="http://schemas.openxmlformats.org/officeDocument/2006/relationships" ref="H1049" r:id="rId1046"/>
    <hyperlink xmlns:r="http://schemas.openxmlformats.org/officeDocument/2006/relationships" ref="H1050" r:id="rId1047"/>
    <hyperlink xmlns:r="http://schemas.openxmlformats.org/officeDocument/2006/relationships" ref="H1051" r:id="rId1048"/>
    <hyperlink xmlns:r="http://schemas.openxmlformats.org/officeDocument/2006/relationships" ref="H1052" r:id="rId1049"/>
    <hyperlink xmlns:r="http://schemas.openxmlformats.org/officeDocument/2006/relationships" ref="H1053" r:id="rId1050"/>
    <hyperlink xmlns:r="http://schemas.openxmlformats.org/officeDocument/2006/relationships" ref="H1054" r:id="rId1051"/>
    <hyperlink xmlns:r="http://schemas.openxmlformats.org/officeDocument/2006/relationships" ref="H1055" r:id="rId1052"/>
    <hyperlink xmlns:r="http://schemas.openxmlformats.org/officeDocument/2006/relationships" ref="H1056" r:id="rId1053"/>
    <hyperlink xmlns:r="http://schemas.openxmlformats.org/officeDocument/2006/relationships" ref="H1057" r:id="rId1054"/>
    <hyperlink xmlns:r="http://schemas.openxmlformats.org/officeDocument/2006/relationships" ref="H1058" r:id="rId1055"/>
    <hyperlink xmlns:r="http://schemas.openxmlformats.org/officeDocument/2006/relationships" ref="H1059" r:id="rId1056"/>
    <hyperlink xmlns:r="http://schemas.openxmlformats.org/officeDocument/2006/relationships" ref="H1060" r:id="rId1057"/>
    <hyperlink xmlns:r="http://schemas.openxmlformats.org/officeDocument/2006/relationships" ref="H1061" r:id="rId1058"/>
    <hyperlink xmlns:r="http://schemas.openxmlformats.org/officeDocument/2006/relationships" ref="H1062" r:id="rId1059"/>
    <hyperlink xmlns:r="http://schemas.openxmlformats.org/officeDocument/2006/relationships" ref="H1063" r:id="rId1060"/>
    <hyperlink xmlns:r="http://schemas.openxmlformats.org/officeDocument/2006/relationships" ref="H1064" r:id="rId1061"/>
    <hyperlink xmlns:r="http://schemas.openxmlformats.org/officeDocument/2006/relationships" ref="H1065" r:id="rId1062"/>
    <hyperlink xmlns:r="http://schemas.openxmlformats.org/officeDocument/2006/relationships" ref="H1066" r:id="rId1063"/>
    <hyperlink xmlns:r="http://schemas.openxmlformats.org/officeDocument/2006/relationships" ref="H1067" r:id="rId1064"/>
    <hyperlink xmlns:r="http://schemas.openxmlformats.org/officeDocument/2006/relationships" ref="H1068" r:id="rId1065"/>
    <hyperlink xmlns:r="http://schemas.openxmlformats.org/officeDocument/2006/relationships" ref="H1069" r:id="rId1066"/>
    <hyperlink xmlns:r="http://schemas.openxmlformats.org/officeDocument/2006/relationships" ref="H1070" r:id="rId1067"/>
    <hyperlink xmlns:r="http://schemas.openxmlformats.org/officeDocument/2006/relationships" ref="H1071" r:id="rId1068"/>
    <hyperlink xmlns:r="http://schemas.openxmlformats.org/officeDocument/2006/relationships" ref="H1072" r:id="rId1069"/>
    <hyperlink xmlns:r="http://schemas.openxmlformats.org/officeDocument/2006/relationships" ref="H1073" r:id="rId1070"/>
    <hyperlink xmlns:r="http://schemas.openxmlformats.org/officeDocument/2006/relationships" ref="H1074" r:id="rId1071"/>
    <hyperlink xmlns:r="http://schemas.openxmlformats.org/officeDocument/2006/relationships" ref="H1075" r:id="rId1072"/>
    <hyperlink xmlns:r="http://schemas.openxmlformats.org/officeDocument/2006/relationships" ref="H1076" r:id="rId1073"/>
    <hyperlink xmlns:r="http://schemas.openxmlformats.org/officeDocument/2006/relationships" ref="H1077" r:id="rId1074"/>
    <hyperlink xmlns:r="http://schemas.openxmlformats.org/officeDocument/2006/relationships" ref="H1078" r:id="rId1075"/>
    <hyperlink xmlns:r="http://schemas.openxmlformats.org/officeDocument/2006/relationships" ref="H1079" r:id="rId1076"/>
    <hyperlink xmlns:r="http://schemas.openxmlformats.org/officeDocument/2006/relationships" ref="H1080" r:id="rId1077"/>
    <hyperlink xmlns:r="http://schemas.openxmlformats.org/officeDocument/2006/relationships" ref="H1081" r:id="rId1078"/>
    <hyperlink xmlns:r="http://schemas.openxmlformats.org/officeDocument/2006/relationships" ref="H1082" r:id="rId1079"/>
    <hyperlink xmlns:r="http://schemas.openxmlformats.org/officeDocument/2006/relationships" ref="H1083" r:id="rId1080"/>
    <hyperlink xmlns:r="http://schemas.openxmlformats.org/officeDocument/2006/relationships" ref="H1084" r:id="rId1081"/>
    <hyperlink xmlns:r="http://schemas.openxmlformats.org/officeDocument/2006/relationships" ref="H1085" r:id="rId1082"/>
    <hyperlink xmlns:r="http://schemas.openxmlformats.org/officeDocument/2006/relationships" ref="H1086" r:id="rId1083"/>
    <hyperlink xmlns:r="http://schemas.openxmlformats.org/officeDocument/2006/relationships" ref="H1087" r:id="rId1084"/>
    <hyperlink xmlns:r="http://schemas.openxmlformats.org/officeDocument/2006/relationships" ref="H1088" r:id="rId1085"/>
    <hyperlink xmlns:r="http://schemas.openxmlformats.org/officeDocument/2006/relationships" ref="H1089" r:id="rId1086"/>
    <hyperlink xmlns:r="http://schemas.openxmlformats.org/officeDocument/2006/relationships" ref="H1090" r:id="rId1087"/>
    <hyperlink xmlns:r="http://schemas.openxmlformats.org/officeDocument/2006/relationships" ref="H1091" r:id="rId1088"/>
    <hyperlink xmlns:r="http://schemas.openxmlformats.org/officeDocument/2006/relationships" ref="H1092" r:id="rId1089"/>
    <hyperlink xmlns:r="http://schemas.openxmlformats.org/officeDocument/2006/relationships" ref="H1093" r:id="rId1090"/>
    <hyperlink xmlns:r="http://schemas.openxmlformats.org/officeDocument/2006/relationships" ref="H1094" r:id="rId1091"/>
    <hyperlink xmlns:r="http://schemas.openxmlformats.org/officeDocument/2006/relationships" ref="H1095" r:id="rId1092"/>
    <hyperlink xmlns:r="http://schemas.openxmlformats.org/officeDocument/2006/relationships" ref="H1096" r:id="rId1093"/>
    <hyperlink xmlns:r="http://schemas.openxmlformats.org/officeDocument/2006/relationships" ref="H1097" r:id="rId1094"/>
    <hyperlink xmlns:r="http://schemas.openxmlformats.org/officeDocument/2006/relationships" ref="H1098" r:id="rId1095"/>
    <hyperlink xmlns:r="http://schemas.openxmlformats.org/officeDocument/2006/relationships" ref="H1099" r:id="rId1096"/>
    <hyperlink xmlns:r="http://schemas.openxmlformats.org/officeDocument/2006/relationships" ref="H1100" r:id="rId1097"/>
    <hyperlink xmlns:r="http://schemas.openxmlformats.org/officeDocument/2006/relationships" ref="H1101" r:id="rId1098"/>
    <hyperlink xmlns:r="http://schemas.openxmlformats.org/officeDocument/2006/relationships" ref="H1102" r:id="rId1099"/>
    <hyperlink xmlns:r="http://schemas.openxmlformats.org/officeDocument/2006/relationships" ref="H1103" r:id="rId1100"/>
    <hyperlink xmlns:r="http://schemas.openxmlformats.org/officeDocument/2006/relationships" ref="H1104" r:id="rId1101"/>
    <hyperlink xmlns:r="http://schemas.openxmlformats.org/officeDocument/2006/relationships" ref="H1105" r:id="rId1102"/>
    <hyperlink xmlns:r="http://schemas.openxmlformats.org/officeDocument/2006/relationships" ref="H1106" r:id="rId1103"/>
    <hyperlink xmlns:r="http://schemas.openxmlformats.org/officeDocument/2006/relationships" ref="H1107" r:id="rId1104"/>
    <hyperlink xmlns:r="http://schemas.openxmlformats.org/officeDocument/2006/relationships" ref="H1108" r:id="rId1105"/>
    <hyperlink xmlns:r="http://schemas.openxmlformats.org/officeDocument/2006/relationships" ref="H1109" r:id="rId1106"/>
    <hyperlink xmlns:r="http://schemas.openxmlformats.org/officeDocument/2006/relationships" ref="H1110" r:id="rId1107"/>
    <hyperlink xmlns:r="http://schemas.openxmlformats.org/officeDocument/2006/relationships" ref="H1111" r:id="rId1108"/>
    <hyperlink xmlns:r="http://schemas.openxmlformats.org/officeDocument/2006/relationships" ref="H1112" r:id="rId1109"/>
    <hyperlink xmlns:r="http://schemas.openxmlformats.org/officeDocument/2006/relationships" ref="H1113" r:id="rId1110"/>
    <hyperlink xmlns:r="http://schemas.openxmlformats.org/officeDocument/2006/relationships" ref="H1114" r:id="rId1111"/>
    <hyperlink xmlns:r="http://schemas.openxmlformats.org/officeDocument/2006/relationships" ref="H1115" r:id="rId1112"/>
    <hyperlink xmlns:r="http://schemas.openxmlformats.org/officeDocument/2006/relationships" ref="H1116" r:id="rId1113"/>
    <hyperlink xmlns:r="http://schemas.openxmlformats.org/officeDocument/2006/relationships" ref="H1117" r:id="rId1114"/>
    <hyperlink xmlns:r="http://schemas.openxmlformats.org/officeDocument/2006/relationships" ref="H1118" r:id="rId1115"/>
    <hyperlink xmlns:r="http://schemas.openxmlformats.org/officeDocument/2006/relationships" ref="H1119" r:id="rId1116"/>
    <hyperlink xmlns:r="http://schemas.openxmlformats.org/officeDocument/2006/relationships" ref="H1120" r:id="rId1117"/>
    <hyperlink xmlns:r="http://schemas.openxmlformats.org/officeDocument/2006/relationships" ref="H1121" r:id="rId1118"/>
    <hyperlink xmlns:r="http://schemas.openxmlformats.org/officeDocument/2006/relationships" ref="H1122" r:id="rId1119"/>
    <hyperlink xmlns:r="http://schemas.openxmlformats.org/officeDocument/2006/relationships" ref="H1123" r:id="rId1120"/>
    <hyperlink xmlns:r="http://schemas.openxmlformats.org/officeDocument/2006/relationships" ref="H1124" r:id="rId1121"/>
    <hyperlink xmlns:r="http://schemas.openxmlformats.org/officeDocument/2006/relationships" ref="H1125" r:id="rId1122"/>
    <hyperlink xmlns:r="http://schemas.openxmlformats.org/officeDocument/2006/relationships" ref="H1126" r:id="rId1123"/>
    <hyperlink xmlns:r="http://schemas.openxmlformats.org/officeDocument/2006/relationships" ref="H1127" r:id="rId1124"/>
    <hyperlink xmlns:r="http://schemas.openxmlformats.org/officeDocument/2006/relationships" ref="H1128" r:id="rId1125"/>
    <hyperlink xmlns:r="http://schemas.openxmlformats.org/officeDocument/2006/relationships" ref="H1129" r:id="rId1126"/>
    <hyperlink xmlns:r="http://schemas.openxmlformats.org/officeDocument/2006/relationships" ref="H1130" r:id="rId1127"/>
    <hyperlink xmlns:r="http://schemas.openxmlformats.org/officeDocument/2006/relationships" ref="H1131" r:id="rId1128"/>
    <hyperlink xmlns:r="http://schemas.openxmlformats.org/officeDocument/2006/relationships" ref="H1132" r:id="rId1129"/>
    <hyperlink xmlns:r="http://schemas.openxmlformats.org/officeDocument/2006/relationships" ref="H1133" r:id="rId1130"/>
    <hyperlink xmlns:r="http://schemas.openxmlformats.org/officeDocument/2006/relationships" ref="H1134" r:id="rId1131"/>
    <hyperlink xmlns:r="http://schemas.openxmlformats.org/officeDocument/2006/relationships" ref="H1135" r:id="rId1132"/>
    <hyperlink xmlns:r="http://schemas.openxmlformats.org/officeDocument/2006/relationships" ref="H1136" r:id="rId1133"/>
    <hyperlink xmlns:r="http://schemas.openxmlformats.org/officeDocument/2006/relationships" ref="H1137" r:id="rId1134"/>
    <hyperlink xmlns:r="http://schemas.openxmlformats.org/officeDocument/2006/relationships" ref="H1138" r:id="rId1135"/>
    <hyperlink xmlns:r="http://schemas.openxmlformats.org/officeDocument/2006/relationships" ref="H1139" r:id="rId1136"/>
    <hyperlink xmlns:r="http://schemas.openxmlformats.org/officeDocument/2006/relationships" ref="H1140" r:id="rId1137"/>
    <hyperlink xmlns:r="http://schemas.openxmlformats.org/officeDocument/2006/relationships" ref="H1141" r:id="rId1138"/>
    <hyperlink xmlns:r="http://schemas.openxmlformats.org/officeDocument/2006/relationships" ref="H1142" r:id="rId1139"/>
    <hyperlink xmlns:r="http://schemas.openxmlformats.org/officeDocument/2006/relationships" ref="H1143" r:id="rId1140"/>
    <hyperlink xmlns:r="http://schemas.openxmlformats.org/officeDocument/2006/relationships" ref="H1144" r:id="rId1141"/>
    <hyperlink xmlns:r="http://schemas.openxmlformats.org/officeDocument/2006/relationships" ref="H1145" r:id="rId1142"/>
    <hyperlink xmlns:r="http://schemas.openxmlformats.org/officeDocument/2006/relationships" ref="H1146" r:id="rId1143"/>
    <hyperlink xmlns:r="http://schemas.openxmlformats.org/officeDocument/2006/relationships" ref="H1147" r:id="rId1144"/>
    <hyperlink xmlns:r="http://schemas.openxmlformats.org/officeDocument/2006/relationships" ref="H1148" r:id="rId1145"/>
    <hyperlink xmlns:r="http://schemas.openxmlformats.org/officeDocument/2006/relationships" ref="H1149" r:id="rId1146"/>
    <hyperlink xmlns:r="http://schemas.openxmlformats.org/officeDocument/2006/relationships" ref="H1150" r:id="rId1147"/>
    <hyperlink xmlns:r="http://schemas.openxmlformats.org/officeDocument/2006/relationships" ref="H1151" r:id="rId1148"/>
    <hyperlink xmlns:r="http://schemas.openxmlformats.org/officeDocument/2006/relationships" ref="H1152" r:id="rId1149"/>
    <hyperlink xmlns:r="http://schemas.openxmlformats.org/officeDocument/2006/relationships" ref="H1153" r:id="rId1150"/>
    <hyperlink xmlns:r="http://schemas.openxmlformats.org/officeDocument/2006/relationships" ref="H1154" r:id="rId1151"/>
    <hyperlink xmlns:r="http://schemas.openxmlformats.org/officeDocument/2006/relationships" ref="H1155" r:id="rId1152"/>
    <hyperlink xmlns:r="http://schemas.openxmlformats.org/officeDocument/2006/relationships" ref="H1156" r:id="rId1153"/>
    <hyperlink xmlns:r="http://schemas.openxmlformats.org/officeDocument/2006/relationships" ref="H1157" r:id="rId1154"/>
    <hyperlink xmlns:r="http://schemas.openxmlformats.org/officeDocument/2006/relationships" ref="H1158" r:id="rId1155"/>
    <hyperlink xmlns:r="http://schemas.openxmlformats.org/officeDocument/2006/relationships" ref="H1159" r:id="rId1156"/>
    <hyperlink xmlns:r="http://schemas.openxmlformats.org/officeDocument/2006/relationships" ref="H1160" r:id="rId1157"/>
    <hyperlink xmlns:r="http://schemas.openxmlformats.org/officeDocument/2006/relationships" ref="H1161" r:id="rId1158"/>
    <hyperlink xmlns:r="http://schemas.openxmlformats.org/officeDocument/2006/relationships" ref="H1162" r:id="rId1159"/>
    <hyperlink xmlns:r="http://schemas.openxmlformats.org/officeDocument/2006/relationships" ref="H1163" r:id="rId1160"/>
    <hyperlink xmlns:r="http://schemas.openxmlformats.org/officeDocument/2006/relationships" ref="H1164" r:id="rId1161"/>
    <hyperlink xmlns:r="http://schemas.openxmlformats.org/officeDocument/2006/relationships" ref="H1165" r:id="rId1162"/>
    <hyperlink xmlns:r="http://schemas.openxmlformats.org/officeDocument/2006/relationships" ref="H1166" r:id="rId1163"/>
    <hyperlink xmlns:r="http://schemas.openxmlformats.org/officeDocument/2006/relationships" ref="H1167" r:id="rId1164"/>
    <hyperlink xmlns:r="http://schemas.openxmlformats.org/officeDocument/2006/relationships" ref="H1168" r:id="rId1165"/>
    <hyperlink xmlns:r="http://schemas.openxmlformats.org/officeDocument/2006/relationships" ref="H1169" r:id="rId1166"/>
    <hyperlink xmlns:r="http://schemas.openxmlformats.org/officeDocument/2006/relationships" ref="H1170" r:id="rId1167"/>
    <hyperlink xmlns:r="http://schemas.openxmlformats.org/officeDocument/2006/relationships" ref="H1171" r:id="rId1168"/>
    <hyperlink xmlns:r="http://schemas.openxmlformats.org/officeDocument/2006/relationships" ref="H1172" r:id="rId1169"/>
    <hyperlink xmlns:r="http://schemas.openxmlformats.org/officeDocument/2006/relationships" ref="H1173" r:id="rId1170"/>
    <hyperlink xmlns:r="http://schemas.openxmlformats.org/officeDocument/2006/relationships" ref="H1174" r:id="rId1171"/>
    <hyperlink xmlns:r="http://schemas.openxmlformats.org/officeDocument/2006/relationships" ref="H1175" r:id="rId1172"/>
    <hyperlink xmlns:r="http://schemas.openxmlformats.org/officeDocument/2006/relationships" ref="H1176" r:id="rId1173"/>
    <hyperlink xmlns:r="http://schemas.openxmlformats.org/officeDocument/2006/relationships" ref="H1177" r:id="rId1174"/>
    <hyperlink xmlns:r="http://schemas.openxmlformats.org/officeDocument/2006/relationships" ref="H1178" r:id="rId1175"/>
    <hyperlink xmlns:r="http://schemas.openxmlformats.org/officeDocument/2006/relationships" ref="H1179" r:id="rId1176"/>
    <hyperlink xmlns:r="http://schemas.openxmlformats.org/officeDocument/2006/relationships" ref="H1180" r:id="rId1177"/>
    <hyperlink xmlns:r="http://schemas.openxmlformats.org/officeDocument/2006/relationships" ref="H1181" r:id="rId1178"/>
    <hyperlink xmlns:r="http://schemas.openxmlformats.org/officeDocument/2006/relationships" ref="H1182" r:id="rId1179"/>
    <hyperlink xmlns:r="http://schemas.openxmlformats.org/officeDocument/2006/relationships" ref="H1183" r:id="rId1180"/>
    <hyperlink xmlns:r="http://schemas.openxmlformats.org/officeDocument/2006/relationships" ref="H1184" r:id="rId1181"/>
    <hyperlink xmlns:r="http://schemas.openxmlformats.org/officeDocument/2006/relationships" ref="H1185" r:id="rId1182"/>
    <hyperlink xmlns:r="http://schemas.openxmlformats.org/officeDocument/2006/relationships" ref="H1186" r:id="rId1183"/>
    <hyperlink xmlns:r="http://schemas.openxmlformats.org/officeDocument/2006/relationships" ref="H1187" r:id="rId1184"/>
    <hyperlink xmlns:r="http://schemas.openxmlformats.org/officeDocument/2006/relationships" ref="H1188" r:id="rId1185"/>
    <hyperlink xmlns:r="http://schemas.openxmlformats.org/officeDocument/2006/relationships" ref="H1189" r:id="rId1186"/>
    <hyperlink xmlns:r="http://schemas.openxmlformats.org/officeDocument/2006/relationships" ref="H1190" r:id="rId1187"/>
    <hyperlink xmlns:r="http://schemas.openxmlformats.org/officeDocument/2006/relationships" ref="H1191" r:id="rId1188"/>
    <hyperlink xmlns:r="http://schemas.openxmlformats.org/officeDocument/2006/relationships" ref="H1192" r:id="rId1189"/>
    <hyperlink xmlns:r="http://schemas.openxmlformats.org/officeDocument/2006/relationships" ref="H1193" r:id="rId1190"/>
    <hyperlink xmlns:r="http://schemas.openxmlformats.org/officeDocument/2006/relationships" ref="H1194" r:id="rId1191"/>
    <hyperlink xmlns:r="http://schemas.openxmlformats.org/officeDocument/2006/relationships" ref="H1195" r:id="rId1192"/>
    <hyperlink xmlns:r="http://schemas.openxmlformats.org/officeDocument/2006/relationships" ref="H1196" r:id="rId1193"/>
    <hyperlink xmlns:r="http://schemas.openxmlformats.org/officeDocument/2006/relationships" ref="H1197" r:id="rId1194"/>
    <hyperlink xmlns:r="http://schemas.openxmlformats.org/officeDocument/2006/relationships" ref="H1198" r:id="rId1195"/>
    <hyperlink xmlns:r="http://schemas.openxmlformats.org/officeDocument/2006/relationships" ref="H1199" r:id="rId1196"/>
    <hyperlink xmlns:r="http://schemas.openxmlformats.org/officeDocument/2006/relationships" ref="H1200" r:id="rId1197"/>
    <hyperlink xmlns:r="http://schemas.openxmlformats.org/officeDocument/2006/relationships" ref="H1201" r:id="rId1198"/>
    <hyperlink xmlns:r="http://schemas.openxmlformats.org/officeDocument/2006/relationships" ref="H1202" r:id="rId1199"/>
    <hyperlink xmlns:r="http://schemas.openxmlformats.org/officeDocument/2006/relationships" ref="H1203" r:id="rId1200"/>
    <hyperlink xmlns:r="http://schemas.openxmlformats.org/officeDocument/2006/relationships" ref="H1204" r:id="rId1201"/>
    <hyperlink xmlns:r="http://schemas.openxmlformats.org/officeDocument/2006/relationships" ref="H1205" r:id="rId1202"/>
    <hyperlink xmlns:r="http://schemas.openxmlformats.org/officeDocument/2006/relationships" ref="H1206" r:id="rId1203"/>
    <hyperlink xmlns:r="http://schemas.openxmlformats.org/officeDocument/2006/relationships" ref="H1207" r:id="rId1204"/>
    <hyperlink xmlns:r="http://schemas.openxmlformats.org/officeDocument/2006/relationships" ref="H1208" r:id="rId1205"/>
    <hyperlink xmlns:r="http://schemas.openxmlformats.org/officeDocument/2006/relationships" ref="H1209" r:id="rId1206"/>
    <hyperlink xmlns:r="http://schemas.openxmlformats.org/officeDocument/2006/relationships" ref="H1210" r:id="rId1207"/>
    <hyperlink xmlns:r="http://schemas.openxmlformats.org/officeDocument/2006/relationships" ref="H1211" r:id="rId1208"/>
    <hyperlink xmlns:r="http://schemas.openxmlformats.org/officeDocument/2006/relationships" ref="H1212" r:id="rId1209"/>
    <hyperlink xmlns:r="http://schemas.openxmlformats.org/officeDocument/2006/relationships" ref="H1213" r:id="rId1210"/>
    <hyperlink xmlns:r="http://schemas.openxmlformats.org/officeDocument/2006/relationships" ref="H1214" r:id="rId1211"/>
    <hyperlink xmlns:r="http://schemas.openxmlformats.org/officeDocument/2006/relationships" ref="H1215" r:id="rId1212"/>
    <hyperlink xmlns:r="http://schemas.openxmlformats.org/officeDocument/2006/relationships" ref="H1216" r:id="rId1213"/>
    <hyperlink xmlns:r="http://schemas.openxmlformats.org/officeDocument/2006/relationships" ref="H1217" r:id="rId1214"/>
    <hyperlink xmlns:r="http://schemas.openxmlformats.org/officeDocument/2006/relationships" ref="H1218" r:id="rId1215"/>
    <hyperlink xmlns:r="http://schemas.openxmlformats.org/officeDocument/2006/relationships" ref="H1219" r:id="rId1216"/>
    <hyperlink xmlns:r="http://schemas.openxmlformats.org/officeDocument/2006/relationships" ref="H1220" r:id="rId1217"/>
    <hyperlink xmlns:r="http://schemas.openxmlformats.org/officeDocument/2006/relationships" ref="H1221" r:id="rId1218"/>
    <hyperlink xmlns:r="http://schemas.openxmlformats.org/officeDocument/2006/relationships" ref="H1222" r:id="rId1219"/>
    <hyperlink xmlns:r="http://schemas.openxmlformats.org/officeDocument/2006/relationships" ref="H1223" r:id="rId1220"/>
    <hyperlink xmlns:r="http://schemas.openxmlformats.org/officeDocument/2006/relationships" ref="H1224" r:id="rId1221"/>
    <hyperlink xmlns:r="http://schemas.openxmlformats.org/officeDocument/2006/relationships" ref="H1225" r:id="rId1222"/>
    <hyperlink xmlns:r="http://schemas.openxmlformats.org/officeDocument/2006/relationships" ref="H1226" r:id="rId1223"/>
    <hyperlink xmlns:r="http://schemas.openxmlformats.org/officeDocument/2006/relationships" ref="H1227" r:id="rId1224"/>
    <hyperlink xmlns:r="http://schemas.openxmlformats.org/officeDocument/2006/relationships" ref="H1228" r:id="rId1225"/>
    <hyperlink xmlns:r="http://schemas.openxmlformats.org/officeDocument/2006/relationships" ref="H1229" r:id="rId1226"/>
    <hyperlink xmlns:r="http://schemas.openxmlformats.org/officeDocument/2006/relationships" ref="H1230" r:id="rId1227"/>
    <hyperlink xmlns:r="http://schemas.openxmlformats.org/officeDocument/2006/relationships" ref="H1231" r:id="rId1228"/>
    <hyperlink xmlns:r="http://schemas.openxmlformats.org/officeDocument/2006/relationships" ref="H1232" r:id="rId1229"/>
    <hyperlink xmlns:r="http://schemas.openxmlformats.org/officeDocument/2006/relationships" ref="H1233" r:id="rId1230"/>
    <hyperlink xmlns:r="http://schemas.openxmlformats.org/officeDocument/2006/relationships" ref="H1234" r:id="rId1231"/>
    <hyperlink xmlns:r="http://schemas.openxmlformats.org/officeDocument/2006/relationships" ref="H1235" r:id="rId1232"/>
    <hyperlink xmlns:r="http://schemas.openxmlformats.org/officeDocument/2006/relationships" ref="H1236" r:id="rId1233"/>
    <hyperlink xmlns:r="http://schemas.openxmlformats.org/officeDocument/2006/relationships" ref="H1237" r:id="rId1234"/>
    <hyperlink xmlns:r="http://schemas.openxmlformats.org/officeDocument/2006/relationships" ref="H1238" r:id="rId1235"/>
    <hyperlink xmlns:r="http://schemas.openxmlformats.org/officeDocument/2006/relationships" ref="H1239" r:id="rId1236"/>
    <hyperlink xmlns:r="http://schemas.openxmlformats.org/officeDocument/2006/relationships" ref="H1240" r:id="rId1237"/>
    <hyperlink xmlns:r="http://schemas.openxmlformats.org/officeDocument/2006/relationships" ref="H1241" r:id="rId1238"/>
    <hyperlink xmlns:r="http://schemas.openxmlformats.org/officeDocument/2006/relationships" ref="H1242" r:id="rId1239"/>
    <hyperlink xmlns:r="http://schemas.openxmlformats.org/officeDocument/2006/relationships" ref="H1243" r:id="rId1240"/>
    <hyperlink xmlns:r="http://schemas.openxmlformats.org/officeDocument/2006/relationships" ref="H1244" r:id="rId1241"/>
    <hyperlink xmlns:r="http://schemas.openxmlformats.org/officeDocument/2006/relationships" ref="H1245" r:id="rId1242"/>
    <hyperlink xmlns:r="http://schemas.openxmlformats.org/officeDocument/2006/relationships" ref="H1246" r:id="rId1243"/>
    <hyperlink xmlns:r="http://schemas.openxmlformats.org/officeDocument/2006/relationships" ref="H1247" r:id="rId1244"/>
    <hyperlink xmlns:r="http://schemas.openxmlformats.org/officeDocument/2006/relationships" ref="H1248" r:id="rId1245"/>
    <hyperlink xmlns:r="http://schemas.openxmlformats.org/officeDocument/2006/relationships" ref="H1249" r:id="rId1246"/>
    <hyperlink xmlns:r="http://schemas.openxmlformats.org/officeDocument/2006/relationships" ref="H1250" r:id="rId1247"/>
    <hyperlink xmlns:r="http://schemas.openxmlformats.org/officeDocument/2006/relationships" ref="H1251" r:id="rId1248"/>
    <hyperlink xmlns:r="http://schemas.openxmlformats.org/officeDocument/2006/relationships" ref="H1252" r:id="rId1249"/>
    <hyperlink xmlns:r="http://schemas.openxmlformats.org/officeDocument/2006/relationships" ref="H1253" r:id="rId1250"/>
    <hyperlink xmlns:r="http://schemas.openxmlformats.org/officeDocument/2006/relationships" ref="H1254" r:id="rId1251"/>
    <hyperlink xmlns:r="http://schemas.openxmlformats.org/officeDocument/2006/relationships" ref="H1255" r:id="rId1252"/>
    <hyperlink xmlns:r="http://schemas.openxmlformats.org/officeDocument/2006/relationships" ref="H1256" r:id="rId1253"/>
    <hyperlink xmlns:r="http://schemas.openxmlformats.org/officeDocument/2006/relationships" ref="H1257" r:id="rId1254"/>
    <hyperlink xmlns:r="http://schemas.openxmlformats.org/officeDocument/2006/relationships" ref="H1258" r:id="rId1255"/>
    <hyperlink xmlns:r="http://schemas.openxmlformats.org/officeDocument/2006/relationships" ref="H1259" r:id="rId1256"/>
    <hyperlink xmlns:r="http://schemas.openxmlformats.org/officeDocument/2006/relationships" ref="H1260" r:id="rId1257"/>
    <hyperlink xmlns:r="http://schemas.openxmlformats.org/officeDocument/2006/relationships" ref="H1261" r:id="rId1258"/>
    <hyperlink xmlns:r="http://schemas.openxmlformats.org/officeDocument/2006/relationships" ref="H1262" r:id="rId1259"/>
    <hyperlink xmlns:r="http://schemas.openxmlformats.org/officeDocument/2006/relationships" ref="H1263" r:id="rId1260"/>
    <hyperlink xmlns:r="http://schemas.openxmlformats.org/officeDocument/2006/relationships" ref="H1264" r:id="rId1261"/>
    <hyperlink xmlns:r="http://schemas.openxmlformats.org/officeDocument/2006/relationships" ref="H1265" r:id="rId1262"/>
    <hyperlink xmlns:r="http://schemas.openxmlformats.org/officeDocument/2006/relationships" ref="H1266" r:id="rId1263"/>
    <hyperlink xmlns:r="http://schemas.openxmlformats.org/officeDocument/2006/relationships" ref="H1267" r:id="rId1264"/>
    <hyperlink xmlns:r="http://schemas.openxmlformats.org/officeDocument/2006/relationships" ref="H1268" r:id="rId1265"/>
    <hyperlink xmlns:r="http://schemas.openxmlformats.org/officeDocument/2006/relationships" ref="H1269" r:id="rId1266"/>
    <hyperlink xmlns:r="http://schemas.openxmlformats.org/officeDocument/2006/relationships" ref="H1270" r:id="rId1267"/>
    <hyperlink xmlns:r="http://schemas.openxmlformats.org/officeDocument/2006/relationships" ref="H1271" r:id="rId1268"/>
    <hyperlink xmlns:r="http://schemas.openxmlformats.org/officeDocument/2006/relationships" ref="H1272" r:id="rId1269"/>
    <hyperlink xmlns:r="http://schemas.openxmlformats.org/officeDocument/2006/relationships" ref="H1273" r:id="rId1270"/>
    <hyperlink xmlns:r="http://schemas.openxmlformats.org/officeDocument/2006/relationships" ref="H1274" r:id="rId1271"/>
    <hyperlink xmlns:r="http://schemas.openxmlformats.org/officeDocument/2006/relationships" ref="H1275" r:id="rId1272"/>
    <hyperlink xmlns:r="http://schemas.openxmlformats.org/officeDocument/2006/relationships" ref="H1276" r:id="rId1273"/>
    <hyperlink xmlns:r="http://schemas.openxmlformats.org/officeDocument/2006/relationships" ref="H1277" r:id="rId1274"/>
    <hyperlink xmlns:r="http://schemas.openxmlformats.org/officeDocument/2006/relationships" ref="H1278" r:id="rId1275"/>
    <hyperlink xmlns:r="http://schemas.openxmlformats.org/officeDocument/2006/relationships" ref="H1279" r:id="rId1276"/>
    <hyperlink xmlns:r="http://schemas.openxmlformats.org/officeDocument/2006/relationships" ref="H1280" r:id="rId1277"/>
    <hyperlink xmlns:r="http://schemas.openxmlformats.org/officeDocument/2006/relationships" ref="H1281" r:id="rId1278"/>
    <hyperlink xmlns:r="http://schemas.openxmlformats.org/officeDocument/2006/relationships" ref="H1282" r:id="rId1279"/>
    <hyperlink xmlns:r="http://schemas.openxmlformats.org/officeDocument/2006/relationships" ref="H1283" r:id="rId1280"/>
    <hyperlink xmlns:r="http://schemas.openxmlformats.org/officeDocument/2006/relationships" ref="H1284" r:id="rId1281"/>
    <hyperlink xmlns:r="http://schemas.openxmlformats.org/officeDocument/2006/relationships" ref="H1285" r:id="rId1282"/>
    <hyperlink xmlns:r="http://schemas.openxmlformats.org/officeDocument/2006/relationships" ref="H1286" r:id="rId1283"/>
    <hyperlink xmlns:r="http://schemas.openxmlformats.org/officeDocument/2006/relationships" ref="H1287" r:id="rId1284"/>
    <hyperlink xmlns:r="http://schemas.openxmlformats.org/officeDocument/2006/relationships" ref="H1288" r:id="rId1285"/>
    <hyperlink xmlns:r="http://schemas.openxmlformats.org/officeDocument/2006/relationships" ref="H1289" r:id="rId1286"/>
    <hyperlink xmlns:r="http://schemas.openxmlformats.org/officeDocument/2006/relationships" ref="H1290" r:id="rId1287"/>
    <hyperlink xmlns:r="http://schemas.openxmlformats.org/officeDocument/2006/relationships" ref="H1291" r:id="rId1288"/>
    <hyperlink xmlns:r="http://schemas.openxmlformats.org/officeDocument/2006/relationships" ref="H1292" r:id="rId1289"/>
    <hyperlink xmlns:r="http://schemas.openxmlformats.org/officeDocument/2006/relationships" ref="H1293" r:id="rId1290"/>
    <hyperlink xmlns:r="http://schemas.openxmlformats.org/officeDocument/2006/relationships" ref="H1294" r:id="rId1291"/>
    <hyperlink xmlns:r="http://schemas.openxmlformats.org/officeDocument/2006/relationships" ref="H1295" r:id="rId1292"/>
    <hyperlink xmlns:r="http://schemas.openxmlformats.org/officeDocument/2006/relationships" ref="H1296" r:id="rId1293"/>
    <hyperlink xmlns:r="http://schemas.openxmlformats.org/officeDocument/2006/relationships" ref="H1297" r:id="rId1294"/>
    <hyperlink xmlns:r="http://schemas.openxmlformats.org/officeDocument/2006/relationships" ref="H1298" r:id="rId1295"/>
    <hyperlink xmlns:r="http://schemas.openxmlformats.org/officeDocument/2006/relationships" ref="H1299" r:id="rId1296"/>
    <hyperlink xmlns:r="http://schemas.openxmlformats.org/officeDocument/2006/relationships" ref="H1300" r:id="rId1297"/>
    <hyperlink xmlns:r="http://schemas.openxmlformats.org/officeDocument/2006/relationships" ref="H1301" r:id="rId1298"/>
    <hyperlink xmlns:r="http://schemas.openxmlformats.org/officeDocument/2006/relationships" ref="H1302" r:id="rId1299"/>
    <hyperlink xmlns:r="http://schemas.openxmlformats.org/officeDocument/2006/relationships" ref="H1303" r:id="rId1300"/>
    <hyperlink xmlns:r="http://schemas.openxmlformats.org/officeDocument/2006/relationships" ref="H1304" r:id="rId1301"/>
    <hyperlink xmlns:r="http://schemas.openxmlformats.org/officeDocument/2006/relationships" ref="H1305" r:id="rId1302"/>
    <hyperlink xmlns:r="http://schemas.openxmlformats.org/officeDocument/2006/relationships" ref="H1306" r:id="rId1303"/>
    <hyperlink xmlns:r="http://schemas.openxmlformats.org/officeDocument/2006/relationships" ref="H1307" r:id="rId1304"/>
    <hyperlink xmlns:r="http://schemas.openxmlformats.org/officeDocument/2006/relationships" ref="H1308" r:id="rId1305"/>
    <hyperlink xmlns:r="http://schemas.openxmlformats.org/officeDocument/2006/relationships" ref="H1309" r:id="rId1306"/>
    <hyperlink xmlns:r="http://schemas.openxmlformats.org/officeDocument/2006/relationships" ref="H1310" r:id="rId1307"/>
    <hyperlink xmlns:r="http://schemas.openxmlformats.org/officeDocument/2006/relationships" ref="H1311" r:id="rId1308"/>
    <hyperlink xmlns:r="http://schemas.openxmlformats.org/officeDocument/2006/relationships" ref="H1312" r:id="rId1309"/>
    <hyperlink xmlns:r="http://schemas.openxmlformats.org/officeDocument/2006/relationships" ref="H1313" r:id="rId1310"/>
    <hyperlink xmlns:r="http://schemas.openxmlformats.org/officeDocument/2006/relationships" ref="H1314" r:id="rId1311"/>
    <hyperlink xmlns:r="http://schemas.openxmlformats.org/officeDocument/2006/relationships" ref="H1315" r:id="rId1312"/>
    <hyperlink xmlns:r="http://schemas.openxmlformats.org/officeDocument/2006/relationships" ref="H1316" r:id="rId1313"/>
    <hyperlink xmlns:r="http://schemas.openxmlformats.org/officeDocument/2006/relationships" ref="H1317" r:id="rId1314"/>
    <hyperlink xmlns:r="http://schemas.openxmlformats.org/officeDocument/2006/relationships" ref="H1318" r:id="rId1315"/>
    <hyperlink xmlns:r="http://schemas.openxmlformats.org/officeDocument/2006/relationships" ref="H1319" r:id="rId1316"/>
    <hyperlink xmlns:r="http://schemas.openxmlformats.org/officeDocument/2006/relationships" ref="H1320" r:id="rId1317"/>
    <hyperlink xmlns:r="http://schemas.openxmlformats.org/officeDocument/2006/relationships" ref="H1321" r:id="rId1318"/>
    <hyperlink xmlns:r="http://schemas.openxmlformats.org/officeDocument/2006/relationships" ref="H1322" r:id="rId1319"/>
    <hyperlink xmlns:r="http://schemas.openxmlformats.org/officeDocument/2006/relationships" ref="H1323" r:id="rId1320"/>
    <hyperlink xmlns:r="http://schemas.openxmlformats.org/officeDocument/2006/relationships" ref="H1324" r:id="rId1321"/>
    <hyperlink xmlns:r="http://schemas.openxmlformats.org/officeDocument/2006/relationships" ref="H1325" r:id="rId1322"/>
    <hyperlink xmlns:r="http://schemas.openxmlformats.org/officeDocument/2006/relationships" ref="H1326" r:id="rId1323"/>
    <hyperlink xmlns:r="http://schemas.openxmlformats.org/officeDocument/2006/relationships" ref="H1327" r:id="rId1324"/>
    <hyperlink xmlns:r="http://schemas.openxmlformats.org/officeDocument/2006/relationships" ref="H1328" r:id="rId1325"/>
    <hyperlink xmlns:r="http://schemas.openxmlformats.org/officeDocument/2006/relationships" ref="H1329" r:id="rId1326"/>
    <hyperlink xmlns:r="http://schemas.openxmlformats.org/officeDocument/2006/relationships" ref="H1330" r:id="rId1327"/>
    <hyperlink xmlns:r="http://schemas.openxmlformats.org/officeDocument/2006/relationships" ref="H1331" r:id="rId1328"/>
    <hyperlink xmlns:r="http://schemas.openxmlformats.org/officeDocument/2006/relationships" ref="H1332" r:id="rId1329"/>
    <hyperlink xmlns:r="http://schemas.openxmlformats.org/officeDocument/2006/relationships" ref="H1333" r:id="rId1330"/>
    <hyperlink xmlns:r="http://schemas.openxmlformats.org/officeDocument/2006/relationships" ref="H1334" r:id="rId1331"/>
    <hyperlink xmlns:r="http://schemas.openxmlformats.org/officeDocument/2006/relationships" ref="H1335" r:id="rId1332"/>
    <hyperlink xmlns:r="http://schemas.openxmlformats.org/officeDocument/2006/relationships" ref="H1336" r:id="rId1333"/>
    <hyperlink xmlns:r="http://schemas.openxmlformats.org/officeDocument/2006/relationships" ref="H1337" r:id="rId1334"/>
    <hyperlink xmlns:r="http://schemas.openxmlformats.org/officeDocument/2006/relationships" ref="H1338" r:id="rId1335"/>
    <hyperlink xmlns:r="http://schemas.openxmlformats.org/officeDocument/2006/relationships" ref="H1339" r:id="rId1336"/>
    <hyperlink xmlns:r="http://schemas.openxmlformats.org/officeDocument/2006/relationships" ref="H1340" r:id="rId1337"/>
    <hyperlink xmlns:r="http://schemas.openxmlformats.org/officeDocument/2006/relationships" ref="H1341" r:id="rId1338"/>
    <hyperlink xmlns:r="http://schemas.openxmlformats.org/officeDocument/2006/relationships" ref="H1342" r:id="rId1339"/>
    <hyperlink xmlns:r="http://schemas.openxmlformats.org/officeDocument/2006/relationships" ref="H1343" r:id="rId1340"/>
    <hyperlink xmlns:r="http://schemas.openxmlformats.org/officeDocument/2006/relationships" ref="H1344" r:id="rId1341"/>
    <hyperlink xmlns:r="http://schemas.openxmlformats.org/officeDocument/2006/relationships" ref="H1345" r:id="rId1342"/>
    <hyperlink xmlns:r="http://schemas.openxmlformats.org/officeDocument/2006/relationships" ref="H1346" r:id="rId1343"/>
    <hyperlink xmlns:r="http://schemas.openxmlformats.org/officeDocument/2006/relationships" ref="H1347" r:id="rId1344"/>
    <hyperlink xmlns:r="http://schemas.openxmlformats.org/officeDocument/2006/relationships" ref="H1348" r:id="rId1345"/>
    <hyperlink xmlns:r="http://schemas.openxmlformats.org/officeDocument/2006/relationships" ref="H1349" r:id="rId1346"/>
    <hyperlink xmlns:r="http://schemas.openxmlformats.org/officeDocument/2006/relationships" ref="H1350" r:id="rId1347"/>
    <hyperlink xmlns:r="http://schemas.openxmlformats.org/officeDocument/2006/relationships" ref="H1351" r:id="rId1348"/>
    <hyperlink xmlns:r="http://schemas.openxmlformats.org/officeDocument/2006/relationships" ref="H1352" r:id="rId1349"/>
    <hyperlink xmlns:r="http://schemas.openxmlformats.org/officeDocument/2006/relationships" ref="H1353" r:id="rId1350"/>
    <hyperlink xmlns:r="http://schemas.openxmlformats.org/officeDocument/2006/relationships" ref="H1354" r:id="rId1351"/>
    <hyperlink xmlns:r="http://schemas.openxmlformats.org/officeDocument/2006/relationships" ref="H1355" r:id="rId1352"/>
    <hyperlink xmlns:r="http://schemas.openxmlformats.org/officeDocument/2006/relationships" ref="H1356" r:id="rId1353"/>
    <hyperlink xmlns:r="http://schemas.openxmlformats.org/officeDocument/2006/relationships" ref="H1357" r:id="rId1354"/>
    <hyperlink xmlns:r="http://schemas.openxmlformats.org/officeDocument/2006/relationships" ref="H1358" r:id="rId1355"/>
    <hyperlink xmlns:r="http://schemas.openxmlformats.org/officeDocument/2006/relationships" ref="H1359" r:id="rId1356"/>
    <hyperlink xmlns:r="http://schemas.openxmlformats.org/officeDocument/2006/relationships" ref="H1360" r:id="rId1357"/>
    <hyperlink xmlns:r="http://schemas.openxmlformats.org/officeDocument/2006/relationships" ref="H1361" r:id="rId1358"/>
    <hyperlink xmlns:r="http://schemas.openxmlformats.org/officeDocument/2006/relationships" ref="H1362" r:id="rId1359"/>
    <hyperlink xmlns:r="http://schemas.openxmlformats.org/officeDocument/2006/relationships" ref="H1363" r:id="rId1360"/>
    <hyperlink xmlns:r="http://schemas.openxmlformats.org/officeDocument/2006/relationships" ref="H1364" r:id="rId1361"/>
    <hyperlink xmlns:r="http://schemas.openxmlformats.org/officeDocument/2006/relationships" ref="H1365" r:id="rId1362"/>
    <hyperlink xmlns:r="http://schemas.openxmlformats.org/officeDocument/2006/relationships" ref="H1366" r:id="rId1363"/>
    <hyperlink xmlns:r="http://schemas.openxmlformats.org/officeDocument/2006/relationships" ref="H1367" r:id="rId1364"/>
    <hyperlink xmlns:r="http://schemas.openxmlformats.org/officeDocument/2006/relationships" ref="H1368" r:id="rId1365"/>
    <hyperlink xmlns:r="http://schemas.openxmlformats.org/officeDocument/2006/relationships" ref="H1369" r:id="rId1366"/>
    <hyperlink xmlns:r="http://schemas.openxmlformats.org/officeDocument/2006/relationships" ref="H1370" r:id="rId1367"/>
    <hyperlink xmlns:r="http://schemas.openxmlformats.org/officeDocument/2006/relationships" ref="H1371" r:id="rId1368"/>
    <hyperlink xmlns:r="http://schemas.openxmlformats.org/officeDocument/2006/relationships" ref="H1372" r:id="rId1369"/>
    <hyperlink xmlns:r="http://schemas.openxmlformats.org/officeDocument/2006/relationships" ref="H1373" r:id="rId1370"/>
    <hyperlink xmlns:r="http://schemas.openxmlformats.org/officeDocument/2006/relationships" ref="H1374" r:id="rId1371"/>
    <hyperlink xmlns:r="http://schemas.openxmlformats.org/officeDocument/2006/relationships" ref="H1375" r:id="rId1372"/>
    <hyperlink xmlns:r="http://schemas.openxmlformats.org/officeDocument/2006/relationships" ref="H1376" r:id="rId1373"/>
    <hyperlink xmlns:r="http://schemas.openxmlformats.org/officeDocument/2006/relationships" ref="H1377" r:id="rId1374"/>
    <hyperlink xmlns:r="http://schemas.openxmlformats.org/officeDocument/2006/relationships" ref="H1378" r:id="rId1375"/>
    <hyperlink xmlns:r="http://schemas.openxmlformats.org/officeDocument/2006/relationships" ref="H1379" r:id="rId1376"/>
    <hyperlink xmlns:r="http://schemas.openxmlformats.org/officeDocument/2006/relationships" ref="H1380" r:id="rId1377"/>
    <hyperlink xmlns:r="http://schemas.openxmlformats.org/officeDocument/2006/relationships" ref="H1381" r:id="rId1378"/>
    <hyperlink xmlns:r="http://schemas.openxmlformats.org/officeDocument/2006/relationships" ref="H1382" r:id="rId1379"/>
    <hyperlink xmlns:r="http://schemas.openxmlformats.org/officeDocument/2006/relationships" ref="H1383" r:id="rId1380"/>
    <hyperlink xmlns:r="http://schemas.openxmlformats.org/officeDocument/2006/relationships" ref="H1384" r:id="rId1381"/>
    <hyperlink xmlns:r="http://schemas.openxmlformats.org/officeDocument/2006/relationships" ref="H1385" r:id="rId1382"/>
    <hyperlink xmlns:r="http://schemas.openxmlformats.org/officeDocument/2006/relationships" ref="H1386" r:id="rId1383"/>
    <hyperlink xmlns:r="http://schemas.openxmlformats.org/officeDocument/2006/relationships" ref="H1387" r:id="rId1384"/>
    <hyperlink xmlns:r="http://schemas.openxmlformats.org/officeDocument/2006/relationships" ref="H1388" r:id="rId1385"/>
    <hyperlink xmlns:r="http://schemas.openxmlformats.org/officeDocument/2006/relationships" ref="H1389" r:id="rId1386"/>
    <hyperlink xmlns:r="http://schemas.openxmlformats.org/officeDocument/2006/relationships" ref="H1390" r:id="rId1387"/>
    <hyperlink xmlns:r="http://schemas.openxmlformats.org/officeDocument/2006/relationships" ref="H1391" r:id="rId1388"/>
    <hyperlink xmlns:r="http://schemas.openxmlformats.org/officeDocument/2006/relationships" ref="H1392" r:id="rId1389"/>
    <hyperlink xmlns:r="http://schemas.openxmlformats.org/officeDocument/2006/relationships" ref="H1393" r:id="rId1390"/>
    <hyperlink xmlns:r="http://schemas.openxmlformats.org/officeDocument/2006/relationships" ref="H1394" r:id="rId1391"/>
    <hyperlink xmlns:r="http://schemas.openxmlformats.org/officeDocument/2006/relationships" ref="H1395" r:id="rId1392"/>
    <hyperlink xmlns:r="http://schemas.openxmlformats.org/officeDocument/2006/relationships" ref="H1396" r:id="rId1393"/>
    <hyperlink xmlns:r="http://schemas.openxmlformats.org/officeDocument/2006/relationships" ref="H1397" r:id="rId1394"/>
    <hyperlink xmlns:r="http://schemas.openxmlformats.org/officeDocument/2006/relationships" ref="H1398" r:id="rId1395"/>
    <hyperlink xmlns:r="http://schemas.openxmlformats.org/officeDocument/2006/relationships" ref="H1399" r:id="rId1396"/>
    <hyperlink xmlns:r="http://schemas.openxmlformats.org/officeDocument/2006/relationships" ref="H1400" r:id="rId1397"/>
    <hyperlink xmlns:r="http://schemas.openxmlformats.org/officeDocument/2006/relationships" ref="H1401" r:id="rId1398"/>
    <hyperlink xmlns:r="http://schemas.openxmlformats.org/officeDocument/2006/relationships" ref="H1402" r:id="rId1399"/>
    <hyperlink xmlns:r="http://schemas.openxmlformats.org/officeDocument/2006/relationships" ref="H1403" r:id="rId1400"/>
    <hyperlink xmlns:r="http://schemas.openxmlformats.org/officeDocument/2006/relationships" ref="H1404" r:id="rId1401"/>
    <hyperlink xmlns:r="http://schemas.openxmlformats.org/officeDocument/2006/relationships" ref="H1405" r:id="rId1402"/>
    <hyperlink xmlns:r="http://schemas.openxmlformats.org/officeDocument/2006/relationships" ref="H1406" r:id="rId1403"/>
    <hyperlink xmlns:r="http://schemas.openxmlformats.org/officeDocument/2006/relationships" ref="H1407" r:id="rId1404"/>
    <hyperlink xmlns:r="http://schemas.openxmlformats.org/officeDocument/2006/relationships" ref="H1408" r:id="rId1405"/>
    <hyperlink xmlns:r="http://schemas.openxmlformats.org/officeDocument/2006/relationships" ref="H1409" r:id="rId1406"/>
    <hyperlink xmlns:r="http://schemas.openxmlformats.org/officeDocument/2006/relationships" ref="H1410" r:id="rId1407"/>
    <hyperlink xmlns:r="http://schemas.openxmlformats.org/officeDocument/2006/relationships" ref="H1411" r:id="rId1408"/>
    <hyperlink xmlns:r="http://schemas.openxmlformats.org/officeDocument/2006/relationships" ref="H1412" r:id="rId1409"/>
    <hyperlink xmlns:r="http://schemas.openxmlformats.org/officeDocument/2006/relationships" ref="H1413" r:id="rId1410"/>
    <hyperlink xmlns:r="http://schemas.openxmlformats.org/officeDocument/2006/relationships" ref="H1414" r:id="rId1411"/>
    <hyperlink xmlns:r="http://schemas.openxmlformats.org/officeDocument/2006/relationships" ref="H1415" r:id="rId1412"/>
    <hyperlink xmlns:r="http://schemas.openxmlformats.org/officeDocument/2006/relationships" ref="H1416" r:id="rId1413"/>
    <hyperlink xmlns:r="http://schemas.openxmlformats.org/officeDocument/2006/relationships" ref="H1417" r:id="rId1414"/>
    <hyperlink xmlns:r="http://schemas.openxmlformats.org/officeDocument/2006/relationships" ref="H1418" r:id="rId1415"/>
    <hyperlink xmlns:r="http://schemas.openxmlformats.org/officeDocument/2006/relationships" ref="H1419" r:id="rId1416"/>
    <hyperlink xmlns:r="http://schemas.openxmlformats.org/officeDocument/2006/relationships" ref="H1420" r:id="rId1417"/>
    <hyperlink xmlns:r="http://schemas.openxmlformats.org/officeDocument/2006/relationships" ref="H1421" r:id="rId1418"/>
    <hyperlink xmlns:r="http://schemas.openxmlformats.org/officeDocument/2006/relationships" ref="H1422" r:id="rId1419"/>
    <hyperlink xmlns:r="http://schemas.openxmlformats.org/officeDocument/2006/relationships" ref="H1423" r:id="rId1420"/>
    <hyperlink xmlns:r="http://schemas.openxmlformats.org/officeDocument/2006/relationships" ref="H1424" r:id="rId1421"/>
    <hyperlink xmlns:r="http://schemas.openxmlformats.org/officeDocument/2006/relationships" ref="H1425" r:id="rId1422"/>
    <hyperlink xmlns:r="http://schemas.openxmlformats.org/officeDocument/2006/relationships" ref="H1426" r:id="rId1423"/>
    <hyperlink xmlns:r="http://schemas.openxmlformats.org/officeDocument/2006/relationships" ref="H1427" r:id="rId1424"/>
    <hyperlink xmlns:r="http://schemas.openxmlformats.org/officeDocument/2006/relationships" ref="H1428" r:id="rId1425"/>
    <hyperlink xmlns:r="http://schemas.openxmlformats.org/officeDocument/2006/relationships" ref="H1429" r:id="rId1426"/>
    <hyperlink xmlns:r="http://schemas.openxmlformats.org/officeDocument/2006/relationships" ref="H1430" r:id="rId1427"/>
    <hyperlink xmlns:r="http://schemas.openxmlformats.org/officeDocument/2006/relationships" ref="H1431" r:id="rId1428"/>
    <hyperlink xmlns:r="http://schemas.openxmlformats.org/officeDocument/2006/relationships" ref="H1432" r:id="rId1429"/>
    <hyperlink xmlns:r="http://schemas.openxmlformats.org/officeDocument/2006/relationships" ref="H1433" r:id="rId1430"/>
    <hyperlink xmlns:r="http://schemas.openxmlformats.org/officeDocument/2006/relationships" ref="H1434" r:id="rId1431"/>
    <hyperlink xmlns:r="http://schemas.openxmlformats.org/officeDocument/2006/relationships" ref="H1435" r:id="rId1432"/>
    <hyperlink xmlns:r="http://schemas.openxmlformats.org/officeDocument/2006/relationships" ref="H1436" r:id="rId1433"/>
    <hyperlink xmlns:r="http://schemas.openxmlformats.org/officeDocument/2006/relationships" ref="H1437" r:id="rId1434"/>
    <hyperlink xmlns:r="http://schemas.openxmlformats.org/officeDocument/2006/relationships" ref="H1438" r:id="rId1435"/>
    <hyperlink xmlns:r="http://schemas.openxmlformats.org/officeDocument/2006/relationships" ref="H1439" r:id="rId1436"/>
    <hyperlink xmlns:r="http://schemas.openxmlformats.org/officeDocument/2006/relationships" ref="H1440" r:id="rId1437"/>
    <hyperlink xmlns:r="http://schemas.openxmlformats.org/officeDocument/2006/relationships" ref="H1441" r:id="rId1438"/>
    <hyperlink xmlns:r="http://schemas.openxmlformats.org/officeDocument/2006/relationships" ref="H1442" r:id="rId1439"/>
    <hyperlink xmlns:r="http://schemas.openxmlformats.org/officeDocument/2006/relationships" ref="H1443" r:id="rId1440"/>
    <hyperlink xmlns:r="http://schemas.openxmlformats.org/officeDocument/2006/relationships" ref="H1444" r:id="rId1441"/>
    <hyperlink xmlns:r="http://schemas.openxmlformats.org/officeDocument/2006/relationships" ref="H1445" r:id="rId1442"/>
    <hyperlink xmlns:r="http://schemas.openxmlformats.org/officeDocument/2006/relationships" ref="H1446" r:id="rId1443"/>
    <hyperlink xmlns:r="http://schemas.openxmlformats.org/officeDocument/2006/relationships" ref="H1447" r:id="rId1444"/>
    <hyperlink xmlns:r="http://schemas.openxmlformats.org/officeDocument/2006/relationships" ref="H1448" r:id="rId1445"/>
    <hyperlink xmlns:r="http://schemas.openxmlformats.org/officeDocument/2006/relationships" ref="H1449" r:id="rId1446"/>
    <hyperlink xmlns:r="http://schemas.openxmlformats.org/officeDocument/2006/relationships" ref="H1450" r:id="rId1447"/>
    <hyperlink xmlns:r="http://schemas.openxmlformats.org/officeDocument/2006/relationships" ref="H1451" r:id="rId1448"/>
    <hyperlink xmlns:r="http://schemas.openxmlformats.org/officeDocument/2006/relationships" ref="H1452" r:id="rId1449"/>
    <hyperlink xmlns:r="http://schemas.openxmlformats.org/officeDocument/2006/relationships" ref="H1453" r:id="rId1450"/>
    <hyperlink xmlns:r="http://schemas.openxmlformats.org/officeDocument/2006/relationships" ref="H1454" r:id="rId1451"/>
    <hyperlink xmlns:r="http://schemas.openxmlformats.org/officeDocument/2006/relationships" ref="H1455" r:id="rId1452"/>
    <hyperlink xmlns:r="http://schemas.openxmlformats.org/officeDocument/2006/relationships" ref="H1456" r:id="rId1453"/>
    <hyperlink xmlns:r="http://schemas.openxmlformats.org/officeDocument/2006/relationships" ref="H1457" r:id="rId1454"/>
    <hyperlink xmlns:r="http://schemas.openxmlformats.org/officeDocument/2006/relationships" ref="H1458" r:id="rId1455"/>
    <hyperlink xmlns:r="http://schemas.openxmlformats.org/officeDocument/2006/relationships" ref="H1459" r:id="rId1456"/>
    <hyperlink xmlns:r="http://schemas.openxmlformats.org/officeDocument/2006/relationships" ref="H1460" r:id="rId1457"/>
    <hyperlink xmlns:r="http://schemas.openxmlformats.org/officeDocument/2006/relationships" ref="H1461" r:id="rId1458"/>
    <hyperlink xmlns:r="http://schemas.openxmlformats.org/officeDocument/2006/relationships" ref="H1462" r:id="rId1459"/>
    <hyperlink xmlns:r="http://schemas.openxmlformats.org/officeDocument/2006/relationships" ref="H1463" r:id="rId1460"/>
    <hyperlink xmlns:r="http://schemas.openxmlformats.org/officeDocument/2006/relationships" ref="H1464" r:id="rId1461"/>
    <hyperlink xmlns:r="http://schemas.openxmlformats.org/officeDocument/2006/relationships" ref="H1465" r:id="rId1462"/>
    <hyperlink xmlns:r="http://schemas.openxmlformats.org/officeDocument/2006/relationships" ref="H1466" r:id="rId1463"/>
    <hyperlink xmlns:r="http://schemas.openxmlformats.org/officeDocument/2006/relationships" ref="H1467" r:id="rId1464"/>
    <hyperlink xmlns:r="http://schemas.openxmlformats.org/officeDocument/2006/relationships" ref="H1468" r:id="rId1465"/>
    <hyperlink xmlns:r="http://schemas.openxmlformats.org/officeDocument/2006/relationships" ref="H1469" r:id="rId1466"/>
    <hyperlink xmlns:r="http://schemas.openxmlformats.org/officeDocument/2006/relationships" ref="H1470" r:id="rId1467"/>
    <hyperlink xmlns:r="http://schemas.openxmlformats.org/officeDocument/2006/relationships" ref="H1471" r:id="rId1468"/>
    <hyperlink xmlns:r="http://schemas.openxmlformats.org/officeDocument/2006/relationships" ref="H1472" r:id="rId1469"/>
    <hyperlink xmlns:r="http://schemas.openxmlformats.org/officeDocument/2006/relationships" ref="H1473" r:id="rId1470"/>
    <hyperlink xmlns:r="http://schemas.openxmlformats.org/officeDocument/2006/relationships" ref="H1474" r:id="rId1471"/>
    <hyperlink xmlns:r="http://schemas.openxmlformats.org/officeDocument/2006/relationships" ref="H1475" r:id="rId1472"/>
    <hyperlink xmlns:r="http://schemas.openxmlformats.org/officeDocument/2006/relationships" ref="H1476" r:id="rId1473"/>
    <hyperlink xmlns:r="http://schemas.openxmlformats.org/officeDocument/2006/relationships" ref="H1477" r:id="rId1474"/>
    <hyperlink xmlns:r="http://schemas.openxmlformats.org/officeDocument/2006/relationships" ref="H1478" r:id="rId1475"/>
    <hyperlink xmlns:r="http://schemas.openxmlformats.org/officeDocument/2006/relationships" ref="H1479" r:id="rId1476"/>
    <hyperlink xmlns:r="http://schemas.openxmlformats.org/officeDocument/2006/relationships" ref="H1480" r:id="rId1477"/>
    <hyperlink xmlns:r="http://schemas.openxmlformats.org/officeDocument/2006/relationships" ref="H1481" r:id="rId1478"/>
    <hyperlink xmlns:r="http://schemas.openxmlformats.org/officeDocument/2006/relationships" ref="H1482" r:id="rId1479"/>
    <hyperlink xmlns:r="http://schemas.openxmlformats.org/officeDocument/2006/relationships" ref="H1483" r:id="rId1480"/>
    <hyperlink xmlns:r="http://schemas.openxmlformats.org/officeDocument/2006/relationships" ref="H1484" r:id="rId1481"/>
    <hyperlink xmlns:r="http://schemas.openxmlformats.org/officeDocument/2006/relationships" ref="H1485" r:id="rId1482"/>
    <hyperlink xmlns:r="http://schemas.openxmlformats.org/officeDocument/2006/relationships" ref="H1486" r:id="rId1483"/>
    <hyperlink xmlns:r="http://schemas.openxmlformats.org/officeDocument/2006/relationships" ref="H1487" r:id="rId1484"/>
    <hyperlink xmlns:r="http://schemas.openxmlformats.org/officeDocument/2006/relationships" ref="H1488" r:id="rId1485"/>
    <hyperlink xmlns:r="http://schemas.openxmlformats.org/officeDocument/2006/relationships" ref="H1489" r:id="rId1486"/>
    <hyperlink xmlns:r="http://schemas.openxmlformats.org/officeDocument/2006/relationships" ref="H1490" r:id="rId1487"/>
    <hyperlink xmlns:r="http://schemas.openxmlformats.org/officeDocument/2006/relationships" ref="H1491" r:id="rId1488"/>
    <hyperlink xmlns:r="http://schemas.openxmlformats.org/officeDocument/2006/relationships" ref="H1492" r:id="rId1489"/>
    <hyperlink xmlns:r="http://schemas.openxmlformats.org/officeDocument/2006/relationships" ref="H1493" r:id="rId1490"/>
    <hyperlink xmlns:r="http://schemas.openxmlformats.org/officeDocument/2006/relationships" ref="H1494" r:id="rId1491"/>
    <hyperlink xmlns:r="http://schemas.openxmlformats.org/officeDocument/2006/relationships" ref="H1495" r:id="rId1492"/>
    <hyperlink xmlns:r="http://schemas.openxmlformats.org/officeDocument/2006/relationships" ref="H1496" r:id="rId1493"/>
    <hyperlink xmlns:r="http://schemas.openxmlformats.org/officeDocument/2006/relationships" ref="H1497" r:id="rId1494"/>
    <hyperlink xmlns:r="http://schemas.openxmlformats.org/officeDocument/2006/relationships" ref="H1498" r:id="rId1495"/>
    <hyperlink xmlns:r="http://schemas.openxmlformats.org/officeDocument/2006/relationships" ref="H1499" r:id="rId1496"/>
    <hyperlink xmlns:r="http://schemas.openxmlformats.org/officeDocument/2006/relationships" ref="H1500" r:id="rId1497"/>
    <hyperlink xmlns:r="http://schemas.openxmlformats.org/officeDocument/2006/relationships" ref="H1501" r:id="rId1498"/>
    <hyperlink xmlns:r="http://schemas.openxmlformats.org/officeDocument/2006/relationships" ref="H1502" r:id="rId1499"/>
    <hyperlink xmlns:r="http://schemas.openxmlformats.org/officeDocument/2006/relationships" ref="H1503" r:id="rId1500"/>
    <hyperlink xmlns:r="http://schemas.openxmlformats.org/officeDocument/2006/relationships" ref="H1504" r:id="rId1501"/>
    <hyperlink xmlns:r="http://schemas.openxmlformats.org/officeDocument/2006/relationships" ref="H1505" r:id="rId1502"/>
    <hyperlink xmlns:r="http://schemas.openxmlformats.org/officeDocument/2006/relationships" ref="H1506" r:id="rId1503"/>
    <hyperlink xmlns:r="http://schemas.openxmlformats.org/officeDocument/2006/relationships" ref="H1507" r:id="rId1504"/>
    <hyperlink xmlns:r="http://schemas.openxmlformats.org/officeDocument/2006/relationships" ref="H1508" r:id="rId1505"/>
    <hyperlink xmlns:r="http://schemas.openxmlformats.org/officeDocument/2006/relationships" ref="H1509" r:id="rId1506"/>
    <hyperlink xmlns:r="http://schemas.openxmlformats.org/officeDocument/2006/relationships" ref="H1510" r:id="rId1507"/>
    <hyperlink xmlns:r="http://schemas.openxmlformats.org/officeDocument/2006/relationships" ref="H1511" r:id="rId1508"/>
    <hyperlink xmlns:r="http://schemas.openxmlformats.org/officeDocument/2006/relationships" ref="H1512" r:id="rId1509"/>
    <hyperlink xmlns:r="http://schemas.openxmlformats.org/officeDocument/2006/relationships" ref="H1513" r:id="rId1510"/>
    <hyperlink xmlns:r="http://schemas.openxmlformats.org/officeDocument/2006/relationships" ref="H1514" r:id="rId1511"/>
    <hyperlink xmlns:r="http://schemas.openxmlformats.org/officeDocument/2006/relationships" ref="H1515" r:id="rId1512"/>
    <hyperlink xmlns:r="http://schemas.openxmlformats.org/officeDocument/2006/relationships" ref="H1516" r:id="rId1513"/>
    <hyperlink xmlns:r="http://schemas.openxmlformats.org/officeDocument/2006/relationships" ref="H1517" r:id="rId1514"/>
    <hyperlink xmlns:r="http://schemas.openxmlformats.org/officeDocument/2006/relationships" ref="H1518" r:id="rId1515"/>
    <hyperlink xmlns:r="http://schemas.openxmlformats.org/officeDocument/2006/relationships" ref="H1519" r:id="rId1516"/>
    <hyperlink xmlns:r="http://schemas.openxmlformats.org/officeDocument/2006/relationships" ref="H1520" r:id="rId1517"/>
    <hyperlink xmlns:r="http://schemas.openxmlformats.org/officeDocument/2006/relationships" ref="H1521" r:id="rId1518"/>
    <hyperlink xmlns:r="http://schemas.openxmlformats.org/officeDocument/2006/relationships" ref="H1522" r:id="rId1519"/>
    <hyperlink xmlns:r="http://schemas.openxmlformats.org/officeDocument/2006/relationships" ref="H1523" r:id="rId1520"/>
    <hyperlink xmlns:r="http://schemas.openxmlformats.org/officeDocument/2006/relationships" ref="H1524" r:id="rId1521"/>
    <hyperlink xmlns:r="http://schemas.openxmlformats.org/officeDocument/2006/relationships" ref="H1525" r:id="rId1522"/>
    <hyperlink xmlns:r="http://schemas.openxmlformats.org/officeDocument/2006/relationships" ref="H1526" r:id="rId1523"/>
    <hyperlink xmlns:r="http://schemas.openxmlformats.org/officeDocument/2006/relationships" ref="H1527" r:id="rId1524"/>
    <hyperlink xmlns:r="http://schemas.openxmlformats.org/officeDocument/2006/relationships" ref="H1528" r:id="rId1525"/>
    <hyperlink xmlns:r="http://schemas.openxmlformats.org/officeDocument/2006/relationships" ref="H1529" r:id="rId1526"/>
    <hyperlink xmlns:r="http://schemas.openxmlformats.org/officeDocument/2006/relationships" ref="H1530" r:id="rId1527"/>
    <hyperlink xmlns:r="http://schemas.openxmlformats.org/officeDocument/2006/relationships" ref="H1531" r:id="rId1528"/>
    <hyperlink xmlns:r="http://schemas.openxmlformats.org/officeDocument/2006/relationships" ref="H1532" r:id="rId1529"/>
    <hyperlink xmlns:r="http://schemas.openxmlformats.org/officeDocument/2006/relationships" ref="H1533" r:id="rId1530"/>
    <hyperlink xmlns:r="http://schemas.openxmlformats.org/officeDocument/2006/relationships" ref="H1534" r:id="rId1531"/>
    <hyperlink xmlns:r="http://schemas.openxmlformats.org/officeDocument/2006/relationships" ref="H1535" r:id="rId1532"/>
    <hyperlink xmlns:r="http://schemas.openxmlformats.org/officeDocument/2006/relationships" ref="H1536" r:id="rId1533"/>
    <hyperlink xmlns:r="http://schemas.openxmlformats.org/officeDocument/2006/relationships" ref="H1537" r:id="rId1534"/>
    <hyperlink xmlns:r="http://schemas.openxmlformats.org/officeDocument/2006/relationships" ref="H1538" r:id="rId1535"/>
    <hyperlink xmlns:r="http://schemas.openxmlformats.org/officeDocument/2006/relationships" ref="H1539" r:id="rId1536"/>
    <hyperlink xmlns:r="http://schemas.openxmlformats.org/officeDocument/2006/relationships" ref="H1540" r:id="rId1537"/>
    <hyperlink xmlns:r="http://schemas.openxmlformats.org/officeDocument/2006/relationships" ref="H1541" r:id="rId1538"/>
    <hyperlink xmlns:r="http://schemas.openxmlformats.org/officeDocument/2006/relationships" ref="H1542" r:id="rId1539"/>
    <hyperlink xmlns:r="http://schemas.openxmlformats.org/officeDocument/2006/relationships" ref="H1543" r:id="rId1540"/>
    <hyperlink xmlns:r="http://schemas.openxmlformats.org/officeDocument/2006/relationships" ref="H1544" r:id="rId1541"/>
    <hyperlink xmlns:r="http://schemas.openxmlformats.org/officeDocument/2006/relationships" ref="H1545" r:id="rId1542"/>
    <hyperlink xmlns:r="http://schemas.openxmlformats.org/officeDocument/2006/relationships" ref="H1546" r:id="rId1543"/>
    <hyperlink xmlns:r="http://schemas.openxmlformats.org/officeDocument/2006/relationships" ref="H1547" r:id="rId1544"/>
    <hyperlink xmlns:r="http://schemas.openxmlformats.org/officeDocument/2006/relationships" ref="H1548" r:id="rId1545"/>
    <hyperlink xmlns:r="http://schemas.openxmlformats.org/officeDocument/2006/relationships" ref="H1549" r:id="rId1546"/>
    <hyperlink xmlns:r="http://schemas.openxmlformats.org/officeDocument/2006/relationships" ref="H1550" r:id="rId1547"/>
    <hyperlink xmlns:r="http://schemas.openxmlformats.org/officeDocument/2006/relationships" ref="H1551" r:id="rId1548"/>
    <hyperlink xmlns:r="http://schemas.openxmlformats.org/officeDocument/2006/relationships" ref="H1552" r:id="rId1549"/>
    <hyperlink xmlns:r="http://schemas.openxmlformats.org/officeDocument/2006/relationships" ref="H1553" r:id="rId1550"/>
    <hyperlink xmlns:r="http://schemas.openxmlformats.org/officeDocument/2006/relationships" ref="H1554" r:id="rId1551"/>
    <hyperlink xmlns:r="http://schemas.openxmlformats.org/officeDocument/2006/relationships" ref="H1555" r:id="rId1552"/>
    <hyperlink xmlns:r="http://schemas.openxmlformats.org/officeDocument/2006/relationships" ref="H1556" r:id="rId1553"/>
    <hyperlink xmlns:r="http://schemas.openxmlformats.org/officeDocument/2006/relationships" ref="H1557" r:id="rId1554"/>
    <hyperlink xmlns:r="http://schemas.openxmlformats.org/officeDocument/2006/relationships" ref="H1558" r:id="rId1555"/>
    <hyperlink xmlns:r="http://schemas.openxmlformats.org/officeDocument/2006/relationships" ref="H1559" r:id="rId1556"/>
    <hyperlink xmlns:r="http://schemas.openxmlformats.org/officeDocument/2006/relationships" ref="H1560" r:id="rId1557"/>
    <hyperlink xmlns:r="http://schemas.openxmlformats.org/officeDocument/2006/relationships" ref="H1561" r:id="rId1558"/>
    <hyperlink xmlns:r="http://schemas.openxmlformats.org/officeDocument/2006/relationships" ref="H1562" r:id="rId1559"/>
    <hyperlink xmlns:r="http://schemas.openxmlformats.org/officeDocument/2006/relationships" ref="H1563" r:id="rId1560"/>
    <hyperlink xmlns:r="http://schemas.openxmlformats.org/officeDocument/2006/relationships" ref="H1564" r:id="rId1561"/>
    <hyperlink xmlns:r="http://schemas.openxmlformats.org/officeDocument/2006/relationships" ref="H1565" r:id="rId1562"/>
    <hyperlink xmlns:r="http://schemas.openxmlformats.org/officeDocument/2006/relationships" ref="H1566" r:id="rId1563"/>
    <hyperlink xmlns:r="http://schemas.openxmlformats.org/officeDocument/2006/relationships" ref="H1567" r:id="rId1564"/>
    <hyperlink xmlns:r="http://schemas.openxmlformats.org/officeDocument/2006/relationships" ref="H1568" r:id="rId1565"/>
    <hyperlink xmlns:r="http://schemas.openxmlformats.org/officeDocument/2006/relationships" ref="H1569" r:id="rId1566"/>
    <hyperlink xmlns:r="http://schemas.openxmlformats.org/officeDocument/2006/relationships" ref="H1570" r:id="rId1567"/>
    <hyperlink xmlns:r="http://schemas.openxmlformats.org/officeDocument/2006/relationships" ref="H1571" r:id="rId1568"/>
    <hyperlink xmlns:r="http://schemas.openxmlformats.org/officeDocument/2006/relationships" ref="H1572" r:id="rId1569"/>
    <hyperlink xmlns:r="http://schemas.openxmlformats.org/officeDocument/2006/relationships" ref="H1573" r:id="rId1570"/>
    <hyperlink xmlns:r="http://schemas.openxmlformats.org/officeDocument/2006/relationships" ref="H1574" r:id="rId1571"/>
    <hyperlink xmlns:r="http://schemas.openxmlformats.org/officeDocument/2006/relationships" ref="H1575" r:id="rId1572"/>
    <hyperlink xmlns:r="http://schemas.openxmlformats.org/officeDocument/2006/relationships" ref="H1576" r:id="rId1573"/>
    <hyperlink xmlns:r="http://schemas.openxmlformats.org/officeDocument/2006/relationships" ref="H1577" r:id="rId1574"/>
    <hyperlink xmlns:r="http://schemas.openxmlformats.org/officeDocument/2006/relationships" ref="H1578" r:id="rId1575"/>
    <hyperlink xmlns:r="http://schemas.openxmlformats.org/officeDocument/2006/relationships" ref="H1579" r:id="rId1576"/>
    <hyperlink xmlns:r="http://schemas.openxmlformats.org/officeDocument/2006/relationships" ref="H1580" r:id="rId1577"/>
    <hyperlink xmlns:r="http://schemas.openxmlformats.org/officeDocument/2006/relationships" ref="H1581" r:id="rId1578"/>
    <hyperlink xmlns:r="http://schemas.openxmlformats.org/officeDocument/2006/relationships" ref="H1582" r:id="rId1579"/>
    <hyperlink xmlns:r="http://schemas.openxmlformats.org/officeDocument/2006/relationships" ref="H1583" r:id="rId1580"/>
    <hyperlink xmlns:r="http://schemas.openxmlformats.org/officeDocument/2006/relationships" ref="H1584" r:id="rId1581"/>
    <hyperlink xmlns:r="http://schemas.openxmlformats.org/officeDocument/2006/relationships" ref="H1585" r:id="rId1582"/>
    <hyperlink xmlns:r="http://schemas.openxmlformats.org/officeDocument/2006/relationships" ref="H1586" r:id="rId1583"/>
    <hyperlink xmlns:r="http://schemas.openxmlformats.org/officeDocument/2006/relationships" ref="H1587" r:id="rId1584"/>
    <hyperlink xmlns:r="http://schemas.openxmlformats.org/officeDocument/2006/relationships" ref="H1588" r:id="rId1585"/>
    <hyperlink xmlns:r="http://schemas.openxmlformats.org/officeDocument/2006/relationships" ref="H1589" r:id="rId1586"/>
    <hyperlink xmlns:r="http://schemas.openxmlformats.org/officeDocument/2006/relationships" ref="H1590" r:id="rId1587"/>
    <hyperlink xmlns:r="http://schemas.openxmlformats.org/officeDocument/2006/relationships" ref="H1591" r:id="rId1588"/>
    <hyperlink xmlns:r="http://schemas.openxmlformats.org/officeDocument/2006/relationships" ref="H1592" r:id="rId1589"/>
    <hyperlink xmlns:r="http://schemas.openxmlformats.org/officeDocument/2006/relationships" ref="H1593" r:id="rId1590"/>
    <hyperlink xmlns:r="http://schemas.openxmlformats.org/officeDocument/2006/relationships" ref="H1594" r:id="rId1591"/>
    <hyperlink xmlns:r="http://schemas.openxmlformats.org/officeDocument/2006/relationships" ref="H1595" r:id="rId1592"/>
    <hyperlink xmlns:r="http://schemas.openxmlformats.org/officeDocument/2006/relationships" ref="H1596" r:id="rId1593"/>
    <hyperlink xmlns:r="http://schemas.openxmlformats.org/officeDocument/2006/relationships" ref="H1597" r:id="rId1594"/>
    <hyperlink xmlns:r="http://schemas.openxmlformats.org/officeDocument/2006/relationships" ref="H1598" r:id="rId1595"/>
    <hyperlink xmlns:r="http://schemas.openxmlformats.org/officeDocument/2006/relationships" ref="H1599" r:id="rId1596"/>
    <hyperlink xmlns:r="http://schemas.openxmlformats.org/officeDocument/2006/relationships" ref="H1600" r:id="rId1597"/>
    <hyperlink xmlns:r="http://schemas.openxmlformats.org/officeDocument/2006/relationships" ref="H1601" r:id="rId1598"/>
    <hyperlink xmlns:r="http://schemas.openxmlformats.org/officeDocument/2006/relationships" ref="H1602" r:id="rId1599"/>
    <hyperlink xmlns:r="http://schemas.openxmlformats.org/officeDocument/2006/relationships" ref="H1603" r:id="rId1600"/>
    <hyperlink xmlns:r="http://schemas.openxmlformats.org/officeDocument/2006/relationships" ref="H1604" r:id="rId1601"/>
    <hyperlink xmlns:r="http://schemas.openxmlformats.org/officeDocument/2006/relationships" ref="H1605" r:id="rId1602"/>
    <hyperlink xmlns:r="http://schemas.openxmlformats.org/officeDocument/2006/relationships" ref="H1606" r:id="rId1603"/>
    <hyperlink xmlns:r="http://schemas.openxmlformats.org/officeDocument/2006/relationships" ref="H1607" r:id="rId1604"/>
    <hyperlink xmlns:r="http://schemas.openxmlformats.org/officeDocument/2006/relationships" ref="H1608" r:id="rId1605"/>
    <hyperlink xmlns:r="http://schemas.openxmlformats.org/officeDocument/2006/relationships" ref="H1609" r:id="rId1606"/>
    <hyperlink xmlns:r="http://schemas.openxmlformats.org/officeDocument/2006/relationships" ref="H1610" r:id="rId1607"/>
    <hyperlink xmlns:r="http://schemas.openxmlformats.org/officeDocument/2006/relationships" ref="H1611" r:id="rId1608"/>
    <hyperlink xmlns:r="http://schemas.openxmlformats.org/officeDocument/2006/relationships" ref="H1612" r:id="rId1609"/>
    <hyperlink xmlns:r="http://schemas.openxmlformats.org/officeDocument/2006/relationships" ref="H1613" r:id="rId1610"/>
    <hyperlink xmlns:r="http://schemas.openxmlformats.org/officeDocument/2006/relationships" ref="H1614" r:id="rId1611"/>
    <hyperlink xmlns:r="http://schemas.openxmlformats.org/officeDocument/2006/relationships" ref="H1615" r:id="rId1612"/>
    <hyperlink xmlns:r="http://schemas.openxmlformats.org/officeDocument/2006/relationships" ref="H1616" r:id="rId1613"/>
    <hyperlink xmlns:r="http://schemas.openxmlformats.org/officeDocument/2006/relationships" ref="H1617" r:id="rId1614"/>
    <hyperlink xmlns:r="http://schemas.openxmlformats.org/officeDocument/2006/relationships" ref="H1618" r:id="rId1615"/>
    <hyperlink xmlns:r="http://schemas.openxmlformats.org/officeDocument/2006/relationships" ref="H1619" r:id="rId1616"/>
    <hyperlink xmlns:r="http://schemas.openxmlformats.org/officeDocument/2006/relationships" ref="H1620" r:id="rId1617"/>
    <hyperlink xmlns:r="http://schemas.openxmlformats.org/officeDocument/2006/relationships" ref="H1621" r:id="rId1618"/>
    <hyperlink xmlns:r="http://schemas.openxmlformats.org/officeDocument/2006/relationships" ref="H1622" r:id="rId1619"/>
    <hyperlink xmlns:r="http://schemas.openxmlformats.org/officeDocument/2006/relationships" ref="H1623" r:id="rId1620"/>
    <hyperlink xmlns:r="http://schemas.openxmlformats.org/officeDocument/2006/relationships" ref="H1624" r:id="rId1621"/>
    <hyperlink xmlns:r="http://schemas.openxmlformats.org/officeDocument/2006/relationships" ref="H1625" r:id="rId1622"/>
    <hyperlink xmlns:r="http://schemas.openxmlformats.org/officeDocument/2006/relationships" ref="H1626" r:id="rId1623"/>
    <hyperlink xmlns:r="http://schemas.openxmlformats.org/officeDocument/2006/relationships" ref="H1627" r:id="rId1624"/>
    <hyperlink xmlns:r="http://schemas.openxmlformats.org/officeDocument/2006/relationships" ref="H1628" r:id="rId1625"/>
    <hyperlink xmlns:r="http://schemas.openxmlformats.org/officeDocument/2006/relationships" ref="H1629" r:id="rId1626"/>
    <hyperlink xmlns:r="http://schemas.openxmlformats.org/officeDocument/2006/relationships" ref="H1630" r:id="rId1627"/>
    <hyperlink xmlns:r="http://schemas.openxmlformats.org/officeDocument/2006/relationships" ref="H1631" r:id="rId1628"/>
    <hyperlink xmlns:r="http://schemas.openxmlformats.org/officeDocument/2006/relationships" ref="H1632" r:id="rId1629"/>
    <hyperlink xmlns:r="http://schemas.openxmlformats.org/officeDocument/2006/relationships" ref="H1633" r:id="rId1630"/>
    <hyperlink xmlns:r="http://schemas.openxmlformats.org/officeDocument/2006/relationships" ref="H1634" r:id="rId1631"/>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00565B64"/>
    <outlinePr summaryBelow="0" summaryRight="0"/>
    <pageSetUpPr fitToPage="1"/>
  </sheetPr>
  <dimension ref="A1:V1628"/>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18" customWidth="1" min="2" max="2"/>
    <col width="42" customWidth="1" min="3" max="3"/>
    <col width="38" customWidth="1" min="4" max="4"/>
    <col width="18" customWidth="1" min="5" max="5"/>
    <col width="36" customWidth="1" min="6" max="6"/>
    <col width="18" customWidth="1" min="7" max="7"/>
    <col width="18" customWidth="1" min="8" max="8"/>
    <col width="22" customWidth="1" min="9" max="9"/>
    <col width="34" customWidth="1" min="10" max="10"/>
    <col width="20" customWidth="1" min="11" max="11"/>
    <col width="34" customWidth="1" min="12" max="12"/>
    <col width="46" customWidth="1" min="13" max="13"/>
    <col width="26" customWidth="1" min="14" max="14"/>
    <col width="24" customWidth="1" min="15" max="15"/>
    <col width="24" customWidth="1" min="16" max="16"/>
    <col width="24" customWidth="1" min="17" max="17"/>
    <col width="44" customWidth="1" min="18" max="18"/>
    <col width="44" customWidth="1" min="19" max="19"/>
    <col width="44" customWidth="1" min="20" max="20"/>
    <col width="44" customWidth="1" min="21" max="21"/>
    <col width="44" customWidth="1" min="22" max="22"/>
  </cols>
  <sheetData>
    <row r="1" ht="33.2" customHeight="1">
      <c r="A1" s="97" t="inlineStr">
        <is>
          <t>CROSSWALK</t>
        </is>
      </c>
    </row>
    <row r="2" ht="26" customHeight="1">
      <c r="A2" s="46" t="inlineStr">
        <is>
          <t>Inspectable relationship truth: source record → governed relationship → WBS target.</t>
        </is>
      </c>
      <c r="O2" s="105" t="inlineStr">
        <is>
          <t>Literal source values only. Whole source account, not a target allocation. Repeated target rows must not be summed. Aggregate cost / forecast remains withheld.</t>
        </is>
      </c>
    </row>
    <row r="3" ht="19"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row>
    <row r="4"/>
    <row r="5" ht="34" customHeight="1">
      <c r="A5" s="11" t="inlineStr">
        <is>
          <t>Source</t>
        </is>
      </c>
      <c r="B5" s="11" t="inlineStr">
        <is>
          <t>Record</t>
        </is>
      </c>
      <c r="C5" s="11" t="inlineStr">
        <is>
          <t>Description</t>
        </is>
      </c>
      <c r="D5" s="11" t="inlineStr">
        <is>
          <t>Source assertion</t>
        </is>
      </c>
      <c r="E5" s="11" t="inlineStr">
        <is>
          <t>Relationship</t>
        </is>
      </c>
      <c r="F5" s="11" t="inlineStr">
        <is>
          <t>Target WBS</t>
        </is>
      </c>
      <c r="G5" s="11" t="inlineStr">
        <is>
          <t>Relationship type</t>
        </is>
      </c>
      <c r="H5" s="11" t="inlineStr">
        <is>
          <t>Lifecycle state</t>
        </is>
      </c>
      <c r="I5" s="11" t="inlineStr">
        <is>
          <t>Change</t>
        </is>
      </c>
      <c r="J5" s="11" t="inlineStr">
        <is>
          <t>Basis / origin</t>
        </is>
      </c>
      <c r="K5" s="11" t="inlineStr">
        <is>
          <t>Decided by</t>
        </is>
      </c>
      <c r="L5" s="11" t="inlineStr">
        <is>
          <t>Target status</t>
        </is>
      </c>
      <c r="M5" s="11" t="inlineStr">
        <is>
          <t>Contrary evidence</t>
        </is>
      </c>
      <c r="N5" s="11" t="inlineStr">
        <is>
          <t>Evidence &amp; decisions</t>
        </is>
      </c>
      <c r="O5" s="106" t="inlineStr">
        <is>
          <t>Whole-source budget</t>
        </is>
      </c>
      <c r="P5" s="106" t="inlineStr">
        <is>
          <t>Whole-source forecast</t>
        </is>
      </c>
      <c r="Q5" s="106" t="inlineStr">
        <is>
          <t>Source currency</t>
        </is>
      </c>
      <c r="R5" s="106" t="inlineStr">
        <is>
          <t>Dedicated source basis</t>
        </is>
      </c>
      <c r="S5" s="106" t="inlineStr">
        <is>
          <t>Source as of</t>
        </is>
      </c>
      <c r="T5" s="106" t="inlineStr">
        <is>
          <t>Original source revision</t>
        </is>
      </c>
      <c r="U5" s="106" t="inlineStr">
        <is>
          <t>Exact source location</t>
        </is>
      </c>
      <c r="V5" s="106" t="inlineStr">
        <is>
          <t>Whole-source allocation boundary</t>
        </is>
      </c>
    </row>
    <row r="6" ht="94" customHeight="1">
      <c r="A6" s="12" t="inlineStr">
        <is>
          <t>Commercial Package Register</t>
        </is>
      </c>
      <c r="B6" s="12" t="inlineStr">
        <is>
          <t>PKG-001</t>
        </is>
      </c>
      <c r="C6" s="12" t="inlineStr">
        <is>
          <t>Guideway Civil Works</t>
        </is>
      </c>
      <c r="D6" s="12" t="inlineStr">
        <is>
          <t>Package Code = PK-101; WBS Code = 1.1;1.2</t>
        </is>
      </c>
      <c r="E6" s="12" t="inlineStr">
        <is>
          <t>R1563-v2</t>
        </is>
      </c>
      <c r="F6" s="12" t="inlineStr">
        <is>
          <t>1.1 Guideway and Civil</t>
        </is>
      </c>
      <c r="G6" s="12" t="inlineStr">
        <is>
          <t>ONE_TO_MANY</t>
        </is>
      </c>
      <c r="H6" s="12" t="inlineStr">
        <is>
          <t>APPROVED</t>
        </is>
      </c>
      <c r="I6" s="12" t="inlineStr">
        <is>
          <t>New</t>
        </is>
      </c>
      <c r="J6" s="12" t="inlineStr">
        <is>
          <t>Professional decision</t>
        </is>
      </c>
      <c r="K6" s="12" t="inlineStr">
        <is>
          <t>Maya Chen, Owner Project Controls</t>
        </is>
      </c>
      <c r="L6" s="12" t="inlineStr"/>
      <c r="M6" s="12" t="inlineStr">
        <is>
          <t>Source states 'WBS Code' = '1.1;1.2' -- names no element of this WBS -- professional reason (Maya Chen, Owner Project Controls): Source package register explicitly states both Owner-WBS branches.</t>
        </is>
      </c>
      <c r="N6" s="17" t="inlineStr">
        <is>
          <t>10 EVIDENCE &amp; DECISIONS</t>
        </is>
      </c>
    </row>
    <row r="7" ht="34" customHeight="1">
      <c r="A7" s="12" t="inlineStr">
        <is>
          <t>Commercial Package Register</t>
        </is>
      </c>
      <c r="B7" s="12" t="inlineStr">
        <is>
          <t>PKG-002</t>
        </is>
      </c>
      <c r="C7" s="12" t="inlineStr">
        <is>
          <t>Utility Relocations</t>
        </is>
      </c>
      <c r="D7" s="12" t="inlineStr">
        <is>
          <t>Package Code = PK-102; WBS Code = 1.1</t>
        </is>
      </c>
      <c r="E7" s="12" t="inlineStr">
        <is>
          <t>R1564-v1</t>
        </is>
      </c>
      <c r="F7" s="12" t="inlineStr">
        <is>
          <t>1.1 Guideway and Civil</t>
        </is>
      </c>
      <c r="G7" s="12" t="inlineStr">
        <is>
          <t>ONE_TO_ONE</t>
        </is>
      </c>
      <c r="H7" s="12" t="inlineStr">
        <is>
          <t>APPROVED</t>
        </is>
      </c>
      <c r="I7" s="12" t="inlineStr">
        <is>
          <t>New</t>
        </is>
      </c>
      <c r="J7" s="12" t="inlineStr">
        <is>
          <t>Source assignment -- not individually reviewed</t>
        </is>
      </c>
      <c r="K7" s="12" t="inlineStr"/>
      <c r="L7" s="12" t="inlineStr"/>
      <c r="M7" s="12" t="inlineStr"/>
      <c r="N7" s="17" t="inlineStr">
        <is>
          <t>10 EVIDENCE &amp; DECISIONS</t>
        </is>
      </c>
    </row>
    <row r="8" ht="34" customHeight="1">
      <c r="A8" s="12" t="inlineStr">
        <is>
          <t>Commercial Package Register</t>
        </is>
      </c>
      <c r="B8" s="12" t="inlineStr">
        <is>
          <t>PKG-003</t>
        </is>
      </c>
      <c r="C8" s="12" t="inlineStr">
        <is>
          <t>Road &amp; Drainage</t>
        </is>
      </c>
      <c r="D8" s="12" t="inlineStr">
        <is>
          <t>Package Code = PK-103; WBS Code = 1.1</t>
        </is>
      </c>
      <c r="E8" s="12" t="inlineStr">
        <is>
          <t>R1565-v1</t>
        </is>
      </c>
      <c r="F8" s="12" t="inlineStr">
        <is>
          <t>1.1 Guideway and Civil</t>
        </is>
      </c>
      <c r="G8" s="12" t="inlineStr">
        <is>
          <t>ONE_TO_ONE</t>
        </is>
      </c>
      <c r="H8" s="12" t="inlineStr">
        <is>
          <t>APPROVED</t>
        </is>
      </c>
      <c r="I8" s="12" t="inlineStr">
        <is>
          <t>New</t>
        </is>
      </c>
      <c r="J8" s="12" t="inlineStr">
        <is>
          <t>Source assignment -- not individually reviewed</t>
        </is>
      </c>
      <c r="K8" s="12" t="inlineStr"/>
      <c r="L8" s="12" t="inlineStr"/>
      <c r="M8" s="12" t="inlineStr"/>
      <c r="N8" s="17" t="inlineStr">
        <is>
          <t>10 EVIDENCE &amp; DECISIONS</t>
        </is>
      </c>
    </row>
    <row r="9" ht="34" customHeight="1">
      <c r="A9" s="12" t="inlineStr">
        <is>
          <t>Commercial Package Register</t>
        </is>
      </c>
      <c r="B9" s="12" t="inlineStr">
        <is>
          <t>PKG-004</t>
        </is>
      </c>
      <c r="C9" s="12" t="inlineStr">
        <is>
          <t>Track Support Works</t>
        </is>
      </c>
      <c r="D9" s="12" t="inlineStr">
        <is>
          <t>Package Code = PK-104; WBS Code = 1.1</t>
        </is>
      </c>
      <c r="E9" s="12" t="inlineStr">
        <is>
          <t>R1566-v1</t>
        </is>
      </c>
      <c r="F9" s="12" t="inlineStr">
        <is>
          <t>1.1 Guideway and Civil</t>
        </is>
      </c>
      <c r="G9" s="12" t="inlineStr">
        <is>
          <t>ONE_TO_ONE</t>
        </is>
      </c>
      <c r="H9" s="12" t="inlineStr">
        <is>
          <t>APPROVED</t>
        </is>
      </c>
      <c r="I9" s="12" t="inlineStr">
        <is>
          <t>New</t>
        </is>
      </c>
      <c r="J9" s="12" t="inlineStr">
        <is>
          <t>Source assignment -- not individually reviewed</t>
        </is>
      </c>
      <c r="K9" s="12" t="inlineStr"/>
      <c r="L9" s="12" t="inlineStr"/>
      <c r="M9" s="12" t="inlineStr"/>
      <c r="N9" s="17" t="inlineStr">
        <is>
          <t>10 EVIDENCE &amp; DECISIONS</t>
        </is>
      </c>
    </row>
    <row r="10" ht="34" customHeight="1">
      <c r="A10" s="12" t="inlineStr">
        <is>
          <t>Commercial Package Register</t>
        </is>
      </c>
      <c r="B10" s="12" t="inlineStr">
        <is>
          <t>PKG-005</t>
        </is>
      </c>
      <c r="C10" s="12" t="inlineStr">
        <is>
          <t>Guideway Civil Works - Lot 2</t>
        </is>
      </c>
      <c r="D10" s="12" t="inlineStr">
        <is>
          <t>Package Code = PK-105; WBS Code = 1.1</t>
        </is>
      </c>
      <c r="E10" s="12" t="inlineStr">
        <is>
          <t>R1567-v1</t>
        </is>
      </c>
      <c r="F10" s="12" t="inlineStr">
        <is>
          <t>1.1 Guideway and Civil</t>
        </is>
      </c>
      <c r="G10" s="12" t="inlineStr">
        <is>
          <t>ONE_TO_ONE</t>
        </is>
      </c>
      <c r="H10" s="12" t="inlineStr">
        <is>
          <t>APPROVED</t>
        </is>
      </c>
      <c r="I10" s="12" t="inlineStr">
        <is>
          <t>New</t>
        </is>
      </c>
      <c r="J10" s="12" t="inlineStr">
        <is>
          <t>Source assignment -- not individually reviewed</t>
        </is>
      </c>
      <c r="K10" s="12" t="inlineStr"/>
      <c r="L10" s="12" t="inlineStr"/>
      <c r="M10" s="12" t="inlineStr"/>
      <c r="N10" s="17" t="inlineStr">
        <is>
          <t>10 EVIDENCE &amp; DECISIONS</t>
        </is>
      </c>
    </row>
    <row r="11" ht="34" customHeight="1">
      <c r="A11" s="12" t="inlineStr">
        <is>
          <t>Commercial Package Register</t>
        </is>
      </c>
      <c r="B11" s="12" t="inlineStr">
        <is>
          <t>PKG-006</t>
        </is>
      </c>
      <c r="C11" s="12" t="inlineStr">
        <is>
          <t>Utility Relocations - Lot 2</t>
        </is>
      </c>
      <c r="D11" s="12" t="inlineStr">
        <is>
          <t>Package Code = PK-106; WBS Code = 1.1</t>
        </is>
      </c>
      <c r="E11" s="12" t="inlineStr">
        <is>
          <t>R1568-v1</t>
        </is>
      </c>
      <c r="F11" s="12" t="inlineStr">
        <is>
          <t>1.1 Guideway and Civil</t>
        </is>
      </c>
      <c r="G11" s="12" t="inlineStr">
        <is>
          <t>ONE_TO_ONE</t>
        </is>
      </c>
      <c r="H11" s="12" t="inlineStr">
        <is>
          <t>APPROVED</t>
        </is>
      </c>
      <c r="I11" s="12" t="inlineStr">
        <is>
          <t>New</t>
        </is>
      </c>
      <c r="J11" s="12" t="inlineStr">
        <is>
          <t>Source assignment -- not individually reviewed</t>
        </is>
      </c>
      <c r="K11" s="12" t="inlineStr"/>
      <c r="L11" s="12" t="inlineStr"/>
      <c r="M11" s="12" t="inlineStr"/>
      <c r="N11" s="17" t="inlineStr">
        <is>
          <t>10 EVIDENCE &amp; DECISIONS</t>
        </is>
      </c>
    </row>
    <row r="12" ht="34" customHeight="1">
      <c r="A12" s="12" t="inlineStr">
        <is>
          <t>Commercial Package Register</t>
        </is>
      </c>
      <c r="B12" s="12" t="inlineStr">
        <is>
          <t>PKG-007</t>
        </is>
      </c>
      <c r="C12" s="12" t="inlineStr">
        <is>
          <t>Road &amp; Drainage - Lot 2</t>
        </is>
      </c>
      <c r="D12" s="12" t="inlineStr">
        <is>
          <t>Package Code = PK-107; WBS Code = 1.1</t>
        </is>
      </c>
      <c r="E12" s="12" t="inlineStr">
        <is>
          <t>R1569-v1</t>
        </is>
      </c>
      <c r="F12" s="12" t="inlineStr">
        <is>
          <t>1.1 Guideway and Civil</t>
        </is>
      </c>
      <c r="G12" s="12" t="inlineStr">
        <is>
          <t>ONE_TO_ONE</t>
        </is>
      </c>
      <c r="H12" s="12" t="inlineStr">
        <is>
          <t>APPROVED</t>
        </is>
      </c>
      <c r="I12" s="12" t="inlineStr">
        <is>
          <t>New</t>
        </is>
      </c>
      <c r="J12" s="12" t="inlineStr">
        <is>
          <t>Source assignment -- not individually reviewed</t>
        </is>
      </c>
      <c r="K12" s="12" t="inlineStr"/>
      <c r="L12" s="12" t="inlineStr"/>
      <c r="M12" s="12" t="inlineStr"/>
      <c r="N12" s="17" t="inlineStr">
        <is>
          <t>10 EVIDENCE &amp; DECISIONS</t>
        </is>
      </c>
    </row>
    <row r="13" ht="34" customHeight="1">
      <c r="A13" s="12" t="inlineStr">
        <is>
          <t>Commercial Package Register</t>
        </is>
      </c>
      <c r="B13" s="12" t="inlineStr">
        <is>
          <t>PKG-008</t>
        </is>
      </c>
      <c r="C13" s="12" t="inlineStr">
        <is>
          <t>Track Support Works - Lot 2</t>
        </is>
      </c>
      <c r="D13" s="12" t="inlineStr">
        <is>
          <t>Package Code = PK-108; WBS Code = 1.1</t>
        </is>
      </c>
      <c r="E13" s="12" t="inlineStr">
        <is>
          <t>R1570-v1</t>
        </is>
      </c>
      <c r="F13" s="12" t="inlineStr">
        <is>
          <t>1.1 Guideway and Civil</t>
        </is>
      </c>
      <c r="G13" s="12" t="inlineStr">
        <is>
          <t>ONE_TO_ONE</t>
        </is>
      </c>
      <c r="H13" s="12" t="inlineStr">
        <is>
          <t>APPROVED</t>
        </is>
      </c>
      <c r="I13" s="12" t="inlineStr">
        <is>
          <t>New</t>
        </is>
      </c>
      <c r="J13" s="12" t="inlineStr">
        <is>
          <t>Source assignment -- not individually reviewed</t>
        </is>
      </c>
      <c r="K13" s="12" t="inlineStr"/>
      <c r="L13" s="12" t="inlineStr"/>
      <c r="M13" s="12" t="inlineStr"/>
      <c r="N13" s="17" t="inlineStr">
        <is>
          <t>10 EVIDENCE &amp; DECISIONS</t>
        </is>
      </c>
    </row>
    <row r="14" ht="34" customHeight="1">
      <c r="A14" s="12" t="inlineStr">
        <is>
          <t>Commercial Package Register</t>
        </is>
      </c>
      <c r="B14" s="12" t="inlineStr">
        <is>
          <t>PKG-009</t>
        </is>
      </c>
      <c r="C14" s="12" t="inlineStr">
        <is>
          <t>Guideway Civil Works - Lot 3</t>
        </is>
      </c>
      <c r="D14" s="12" t="inlineStr">
        <is>
          <t>Package Code = PK-109; WBS Code = 1.1</t>
        </is>
      </c>
      <c r="E14" s="12" t="inlineStr">
        <is>
          <t>R1571-v1</t>
        </is>
      </c>
      <c r="F14" s="12" t="inlineStr">
        <is>
          <t>1.1 Guideway and Civil</t>
        </is>
      </c>
      <c r="G14" s="12" t="inlineStr">
        <is>
          <t>ONE_TO_ONE</t>
        </is>
      </c>
      <c r="H14" s="12" t="inlineStr">
        <is>
          <t>APPROVED</t>
        </is>
      </c>
      <c r="I14" s="12" t="inlineStr">
        <is>
          <t>New</t>
        </is>
      </c>
      <c r="J14" s="12" t="inlineStr">
        <is>
          <t>Source assignment -- not individually reviewed</t>
        </is>
      </c>
      <c r="K14" s="12" t="inlineStr"/>
      <c r="L14" s="12" t="inlineStr"/>
      <c r="M14" s="12" t="inlineStr"/>
      <c r="N14" s="17" t="inlineStr">
        <is>
          <t>10 EVIDENCE &amp; DECISIONS</t>
        </is>
      </c>
    </row>
    <row r="15" ht="34" customHeight="1">
      <c r="A15" s="12" t="inlineStr">
        <is>
          <t>Commercial Package Register</t>
        </is>
      </c>
      <c r="B15" s="12" t="inlineStr">
        <is>
          <t>PKG-010</t>
        </is>
      </c>
      <c r="C15" s="12" t="inlineStr">
        <is>
          <t>Utility Relocations - Lot 3</t>
        </is>
      </c>
      <c r="D15" s="12" t="inlineStr">
        <is>
          <t>Package Code = PK-110; WBS Code = 1.1</t>
        </is>
      </c>
      <c r="E15" s="12" t="inlineStr">
        <is>
          <t>R1572-v1</t>
        </is>
      </c>
      <c r="F15" s="12" t="inlineStr">
        <is>
          <t>1.1 Guideway and Civil</t>
        </is>
      </c>
      <c r="G15" s="12" t="inlineStr">
        <is>
          <t>ONE_TO_ONE</t>
        </is>
      </c>
      <c r="H15" s="12" t="inlineStr">
        <is>
          <t>APPROVED</t>
        </is>
      </c>
      <c r="I15" s="12" t="inlineStr">
        <is>
          <t>New</t>
        </is>
      </c>
      <c r="J15" s="12" t="inlineStr">
        <is>
          <t>Source assignment -- not individually reviewed</t>
        </is>
      </c>
      <c r="K15" s="12" t="inlineStr"/>
      <c r="L15" s="12" t="inlineStr"/>
      <c r="M15" s="12" t="inlineStr"/>
      <c r="N15" s="17" t="inlineStr">
        <is>
          <t>10 EVIDENCE &amp; DECISIONS</t>
        </is>
      </c>
    </row>
    <row r="16" ht="34" customHeight="1">
      <c r="A16" s="12" t="inlineStr">
        <is>
          <t>Contractor Programme</t>
        </is>
      </c>
      <c r="B16" s="12" t="inlineStr">
        <is>
          <t>SCH-01-001</t>
        </is>
      </c>
      <c r="C16" s="12" t="inlineStr">
        <is>
          <t>West approach: track-slab survey - installation</t>
        </is>
      </c>
      <c r="D16" s="12" t="inlineStr">
        <is>
          <t>WBS Code = 1.1.1</t>
        </is>
      </c>
      <c r="E16" s="12" t="inlineStr">
        <is>
          <t>R1-v1</t>
        </is>
      </c>
      <c r="F16" s="12" t="inlineStr">
        <is>
          <t>1.1.1 Guideway and Civil - Guideway Structures</t>
        </is>
      </c>
      <c r="G16" s="12" t="inlineStr">
        <is>
          <t>ONE_TO_ONE</t>
        </is>
      </c>
      <c r="H16" s="12" t="inlineStr">
        <is>
          <t>APPROVED</t>
        </is>
      </c>
      <c r="I16" s="12" t="inlineStr">
        <is>
          <t>New</t>
        </is>
      </c>
      <c r="J16" s="12" t="inlineStr">
        <is>
          <t>Source assignment -- not individually reviewed</t>
        </is>
      </c>
      <c r="K16" s="12" t="inlineStr"/>
      <c r="L16" s="12" t="inlineStr"/>
      <c r="M16" s="12" t="inlineStr"/>
      <c r="N16" s="17" t="inlineStr">
        <is>
          <t>10 EVIDENCE &amp; DECISIONS</t>
        </is>
      </c>
    </row>
    <row r="17" ht="34" customHeight="1">
      <c r="A17" s="12" t="inlineStr">
        <is>
          <t>Contractor Programme</t>
        </is>
      </c>
      <c r="B17" s="12" t="inlineStr">
        <is>
          <t>SCH-01-002</t>
        </is>
      </c>
      <c r="C17" s="12" t="inlineStr">
        <is>
          <t>Depot lead: temporary traffic staging - inspection</t>
        </is>
      </c>
      <c r="D17" s="12" t="inlineStr">
        <is>
          <t>WBS Code = 1.1.1</t>
        </is>
      </c>
      <c r="E17" s="12" t="inlineStr">
        <is>
          <t>R2-v1</t>
        </is>
      </c>
      <c r="F17" s="12" t="inlineStr">
        <is>
          <t>1.1.1 Guideway and Civil - Guideway Structures</t>
        </is>
      </c>
      <c r="G17" s="12" t="inlineStr">
        <is>
          <t>ONE_TO_ONE</t>
        </is>
      </c>
      <c r="H17" s="12" t="inlineStr">
        <is>
          <t>APPROVED</t>
        </is>
      </c>
      <c r="I17" s="12" t="inlineStr">
        <is>
          <t>New</t>
        </is>
      </c>
      <c r="J17" s="12" t="inlineStr">
        <is>
          <t>Source assignment -- not individually reviewed</t>
        </is>
      </c>
      <c r="K17" s="12" t="inlineStr"/>
      <c r="L17" s="12" t="inlineStr"/>
      <c r="M17" s="12" t="inlineStr"/>
      <c r="N17" s="17" t="inlineStr">
        <is>
          <t>10 EVIDENCE &amp; DECISIONS</t>
        </is>
      </c>
    </row>
    <row r="18" ht="34" customHeight="1">
      <c r="A18" s="12" t="inlineStr">
        <is>
          <t>Contractor Programme</t>
        </is>
      </c>
      <c r="B18" s="12" t="inlineStr">
        <is>
          <t>SCH-01-004</t>
        </is>
      </c>
      <c r="C18" s="12" t="inlineStr">
        <is>
          <t>River crossing: road restoration - release</t>
        </is>
      </c>
      <c r="D18" s="12" t="inlineStr">
        <is>
          <t>WBS Code = 1.1.1</t>
        </is>
      </c>
      <c r="E18" s="12" t="inlineStr">
        <is>
          <t>R4-v1</t>
        </is>
      </c>
      <c r="F18" s="12" t="inlineStr">
        <is>
          <t>1.1.1 Guideway and Civil - Guideway Structures</t>
        </is>
      </c>
      <c r="G18" s="12" t="inlineStr">
        <is>
          <t>ONE_TO_ONE</t>
        </is>
      </c>
      <c r="H18" s="12" t="inlineStr">
        <is>
          <t>APPROVED</t>
        </is>
      </c>
      <c r="I18" s="12" t="inlineStr">
        <is>
          <t>New</t>
        </is>
      </c>
      <c r="J18" s="12" t="inlineStr">
        <is>
          <t>Source assignment -- not individually reviewed</t>
        </is>
      </c>
      <c r="K18" s="12" t="inlineStr"/>
      <c r="L18" s="12" t="inlineStr"/>
      <c r="M18" s="12" t="inlineStr"/>
      <c r="N18" s="17" t="inlineStr">
        <is>
          <t>10 EVIDENCE &amp; DECISIONS</t>
        </is>
      </c>
    </row>
    <row r="19" ht="34" customHeight="1">
      <c r="A19" s="12" t="inlineStr">
        <is>
          <t>Contractor Programme</t>
        </is>
      </c>
      <c r="B19" s="12" t="inlineStr">
        <is>
          <t>SCH-01-005</t>
        </is>
      </c>
      <c r="C19" s="12" t="inlineStr">
        <is>
          <t>Central guideway: drilled-shaft installation - field start</t>
        </is>
      </c>
      <c r="D19" s="12" t="inlineStr">
        <is>
          <t>WBS Code = 1.1.1</t>
        </is>
      </c>
      <c r="E19" s="12" t="inlineStr">
        <is>
          <t>R5-v1</t>
        </is>
      </c>
      <c r="F19" s="12" t="inlineStr">
        <is>
          <t>1.1.1 Guideway and Civil - Guideway Structures</t>
        </is>
      </c>
      <c r="G19" s="12" t="inlineStr">
        <is>
          <t>ONE_TO_ONE</t>
        </is>
      </c>
      <c r="H19" s="12" t="inlineStr">
        <is>
          <t>APPROVED</t>
        </is>
      </c>
      <c r="I19" s="12" t="inlineStr">
        <is>
          <t>New</t>
        </is>
      </c>
      <c r="J19" s="12" t="inlineStr">
        <is>
          <t>Source assignment -- not individually reviewed</t>
        </is>
      </c>
      <c r="K19" s="12" t="inlineStr"/>
      <c r="L19" s="12" t="inlineStr"/>
      <c r="M19" s="12" t="inlineStr"/>
      <c r="N19" s="17" t="inlineStr">
        <is>
          <t>10 EVIDENCE &amp; DECISIONS</t>
        </is>
      </c>
    </row>
    <row r="20" ht="34" customHeight="1">
      <c r="A20" s="12" t="inlineStr">
        <is>
          <t>Contractor Programme</t>
        </is>
      </c>
      <c r="B20" s="12" t="inlineStr">
        <is>
          <t>SCH-01-007</t>
        </is>
      </c>
      <c r="C20" s="12" t="inlineStr">
        <is>
          <t>Depot lead: drainage tie-in - inspection</t>
        </is>
      </c>
      <c r="D20" s="12" t="inlineStr">
        <is>
          <t>WBS Code = 1.1.1</t>
        </is>
      </c>
      <c r="E20" s="12" t="inlineStr">
        <is>
          <t>R7-v1</t>
        </is>
      </c>
      <c r="F20" s="12" t="inlineStr">
        <is>
          <t>1.1.1 Guideway and Civil - Guideway Structures</t>
        </is>
      </c>
      <c r="G20" s="12" t="inlineStr">
        <is>
          <t>ONE_TO_ONE</t>
        </is>
      </c>
      <c r="H20" s="12" t="inlineStr">
        <is>
          <t>APPROVED</t>
        </is>
      </c>
      <c r="I20" s="12" t="inlineStr">
        <is>
          <t>New</t>
        </is>
      </c>
      <c r="J20" s="12" t="inlineStr">
        <is>
          <t>Source assignment -- not individually reviewed</t>
        </is>
      </c>
      <c r="K20" s="12" t="inlineStr"/>
      <c r="L20" s="12" t="inlineStr"/>
      <c r="M20" s="12" t="inlineStr"/>
      <c r="N20" s="17" t="inlineStr">
        <is>
          <t>10 EVIDENCE &amp; DECISIONS</t>
        </is>
      </c>
    </row>
    <row r="21" ht="34" customHeight="1">
      <c r="A21" s="12" t="inlineStr">
        <is>
          <t>Contractor Programme</t>
        </is>
      </c>
      <c r="B21" s="12" t="inlineStr">
        <is>
          <t>SCH-01-008</t>
        </is>
      </c>
      <c r="C21" s="12" t="inlineStr">
        <is>
          <t>East portal: utility relocation - turnover</t>
        </is>
      </c>
      <c r="D21" s="12" t="inlineStr">
        <is>
          <t>WBS Code = 1.1.1</t>
        </is>
      </c>
      <c r="E21" s="12" t="inlineStr">
        <is>
          <t>R8-v1</t>
        </is>
      </c>
      <c r="F21" s="12" t="inlineStr">
        <is>
          <t>1.1.1 Guideway and Civil - Guideway Structures</t>
        </is>
      </c>
      <c r="G21" s="12" t="inlineStr">
        <is>
          <t>ONE_TO_ONE</t>
        </is>
      </c>
      <c r="H21" s="12" t="inlineStr">
        <is>
          <t>APPROVED</t>
        </is>
      </c>
      <c r="I21" s="12" t="inlineStr">
        <is>
          <t>New</t>
        </is>
      </c>
      <c r="J21" s="12" t="inlineStr">
        <is>
          <t>Source assignment -- not individually reviewed</t>
        </is>
      </c>
      <c r="K21" s="12" t="inlineStr"/>
      <c r="L21" s="12" t="inlineStr"/>
      <c r="M21" s="12" t="inlineStr"/>
      <c r="N21" s="17" t="inlineStr">
        <is>
          <t>10 EVIDENCE &amp; DECISIONS</t>
        </is>
      </c>
    </row>
    <row r="22" ht="34" customHeight="1">
      <c r="A22" s="12" t="inlineStr">
        <is>
          <t>Contractor Programme</t>
        </is>
      </c>
      <c r="B22" s="12" t="inlineStr">
        <is>
          <t>SCH-01-010</t>
        </is>
      </c>
      <c r="C22" s="12" t="inlineStr">
        <is>
          <t>Central guideway: temporary traffic staging - field start</t>
        </is>
      </c>
      <c r="D22" s="12" t="inlineStr">
        <is>
          <t>WBS Code = 1.1.1</t>
        </is>
      </c>
      <c r="E22" s="12" t="inlineStr">
        <is>
          <t>R10-v1</t>
        </is>
      </c>
      <c r="F22" s="12" t="inlineStr">
        <is>
          <t>1.1.1 Guideway and Civil - Guideway Structures</t>
        </is>
      </c>
      <c r="G22" s="12" t="inlineStr">
        <is>
          <t>ONE_TO_ONE</t>
        </is>
      </c>
      <c r="H22" s="12" t="inlineStr">
        <is>
          <t>APPROVED</t>
        </is>
      </c>
      <c r="I22" s="12" t="inlineStr">
        <is>
          <t>New</t>
        </is>
      </c>
      <c r="J22" s="12" t="inlineStr">
        <is>
          <t>Source assignment -- not individually reviewed</t>
        </is>
      </c>
      <c r="K22" s="12" t="inlineStr"/>
      <c r="L22" s="12" t="inlineStr"/>
      <c r="M22" s="12" t="inlineStr"/>
      <c r="N22" s="17" t="inlineStr">
        <is>
          <t>10 EVIDENCE &amp; DECISIONS</t>
        </is>
      </c>
    </row>
    <row r="23" ht="34" customHeight="1">
      <c r="A23" s="12" t="inlineStr">
        <is>
          <t>Contractor Programme</t>
        </is>
      </c>
      <c r="B23" s="12" t="inlineStr">
        <is>
          <t>SCH-01-011</t>
        </is>
      </c>
      <c r="C23" s="12" t="inlineStr">
        <is>
          <t>West approach: guideway pier reinforcement - installation</t>
        </is>
      </c>
      <c r="D23" s="12" t="inlineStr">
        <is>
          <t>WBS Code = 1.1.1</t>
        </is>
      </c>
      <c r="E23" s="12" t="inlineStr">
        <is>
          <t>R11-v1</t>
        </is>
      </c>
      <c r="F23" s="12" t="inlineStr">
        <is>
          <t>1.1.1 Guideway and Civil - Guideway Structures</t>
        </is>
      </c>
      <c r="G23" s="12" t="inlineStr">
        <is>
          <t>ONE_TO_ONE</t>
        </is>
      </c>
      <c r="H23" s="12" t="inlineStr">
        <is>
          <t>APPROVED</t>
        </is>
      </c>
      <c r="I23" s="12" t="inlineStr">
        <is>
          <t>New</t>
        </is>
      </c>
      <c r="J23" s="12" t="inlineStr">
        <is>
          <t>Source assignment -- not individually reviewed</t>
        </is>
      </c>
      <c r="K23" s="12" t="inlineStr"/>
      <c r="L23" s="12" t="inlineStr"/>
      <c r="M23" s="12" t="inlineStr"/>
      <c r="N23" s="17" t="inlineStr">
        <is>
          <t>10 EVIDENCE &amp; DECISIONS</t>
        </is>
      </c>
    </row>
    <row r="24" ht="34" customHeight="1">
      <c r="A24" s="12" t="inlineStr">
        <is>
          <t>Contractor Programme</t>
        </is>
      </c>
      <c r="B24" s="12" t="inlineStr">
        <is>
          <t>SCH-01-013</t>
        </is>
      </c>
      <c r="C24" s="12" t="inlineStr">
        <is>
          <t>East portal: drilled-shaft installation - turnover</t>
        </is>
      </c>
      <c r="D24" s="12" t="inlineStr">
        <is>
          <t>WBS Code = 1.1.1</t>
        </is>
      </c>
      <c r="E24" s="12" t="inlineStr">
        <is>
          <t>R13-v1</t>
        </is>
      </c>
      <c r="F24" s="12" t="inlineStr">
        <is>
          <t>1.1.1 Guideway and Civil - Guideway Structures</t>
        </is>
      </c>
      <c r="G24" s="12" t="inlineStr">
        <is>
          <t>ONE_TO_ONE</t>
        </is>
      </c>
      <c r="H24" s="12" t="inlineStr">
        <is>
          <t>APPROVED</t>
        </is>
      </c>
      <c r="I24" s="12" t="inlineStr">
        <is>
          <t>New</t>
        </is>
      </c>
      <c r="J24" s="12" t="inlineStr">
        <is>
          <t>Source assignment -- not individually reviewed</t>
        </is>
      </c>
      <c r="K24" s="12" t="inlineStr"/>
      <c r="L24" s="12" t="inlineStr"/>
      <c r="M24" s="12" t="inlineStr"/>
      <c r="N24" s="17" t="inlineStr">
        <is>
          <t>10 EVIDENCE &amp; DECISIONS</t>
        </is>
      </c>
    </row>
    <row r="25" ht="34" customHeight="1">
      <c r="A25" s="12" t="inlineStr">
        <is>
          <t>Contractor Programme</t>
        </is>
      </c>
      <c r="B25" s="12" t="inlineStr">
        <is>
          <t>SCH-01-014</t>
        </is>
      </c>
      <c r="C25" s="12" t="inlineStr">
        <is>
          <t>River crossing: retaining-wall excavation - release</t>
        </is>
      </c>
      <c r="D25" s="12" t="inlineStr">
        <is>
          <t>WBS Code = 1.1.1</t>
        </is>
      </c>
      <c r="E25" s="12" t="inlineStr">
        <is>
          <t>R14-v1</t>
        </is>
      </c>
      <c r="F25" s="12" t="inlineStr">
        <is>
          <t>1.1.1 Guideway and Civil - Guideway Structures</t>
        </is>
      </c>
      <c r="G25" s="12" t="inlineStr">
        <is>
          <t>ONE_TO_ONE</t>
        </is>
      </c>
      <c r="H25" s="12" t="inlineStr">
        <is>
          <t>APPROVED</t>
        </is>
      </c>
      <c r="I25" s="12" t="inlineStr">
        <is>
          <t>New</t>
        </is>
      </c>
      <c r="J25" s="12" t="inlineStr">
        <is>
          <t>Source assignment -- not individually reviewed</t>
        </is>
      </c>
      <c r="K25" s="12" t="inlineStr"/>
      <c r="L25" s="12" t="inlineStr"/>
      <c r="M25" s="12" t="inlineStr"/>
      <c r="N25" s="17" t="inlineStr">
        <is>
          <t>10 EVIDENCE &amp; DECISIONS</t>
        </is>
      </c>
    </row>
    <row r="26" ht="34" customHeight="1">
      <c r="A26" s="12" t="inlineStr">
        <is>
          <t>Contractor Programme</t>
        </is>
      </c>
      <c r="B26" s="12" t="inlineStr">
        <is>
          <t>SCH-01-016</t>
        </is>
      </c>
      <c r="C26" s="12" t="inlineStr">
        <is>
          <t>West approach: utility relocation - installation</t>
        </is>
      </c>
      <c r="D26" s="12" t="inlineStr">
        <is>
          <t>WBS Code = 1.1.1</t>
        </is>
      </c>
      <c r="E26" s="12" t="inlineStr">
        <is>
          <t>R16-v1</t>
        </is>
      </c>
      <c r="F26" s="12" t="inlineStr">
        <is>
          <t>1.1.1 Guideway and Civil - Guideway Structures</t>
        </is>
      </c>
      <c r="G26" s="12" t="inlineStr">
        <is>
          <t>ONE_TO_ONE</t>
        </is>
      </c>
      <c r="H26" s="12" t="inlineStr">
        <is>
          <t>APPROVED</t>
        </is>
      </c>
      <c r="I26" s="12" t="inlineStr">
        <is>
          <t>New</t>
        </is>
      </c>
      <c r="J26" s="12" t="inlineStr">
        <is>
          <t>Source assignment -- not individually reviewed</t>
        </is>
      </c>
      <c r="K26" s="12" t="inlineStr"/>
      <c r="L26" s="12" t="inlineStr"/>
      <c r="M26" s="12" t="inlineStr"/>
      <c r="N26" s="17" t="inlineStr">
        <is>
          <t>10 EVIDENCE &amp; DECISIONS</t>
        </is>
      </c>
    </row>
    <row r="27" ht="34" customHeight="1">
      <c r="A27" s="12" t="inlineStr">
        <is>
          <t>Contractor Programme</t>
        </is>
      </c>
      <c r="B27" s="12" t="inlineStr">
        <is>
          <t>SCH-01-017</t>
        </is>
      </c>
      <c r="C27" s="12" t="inlineStr">
        <is>
          <t>Depot lead: track-slab survey - inspection</t>
        </is>
      </c>
      <c r="D27" s="12" t="inlineStr">
        <is>
          <t>WBS Code = 1.1.1</t>
        </is>
      </c>
      <c r="E27" s="12" t="inlineStr">
        <is>
          <t>R17-v1</t>
        </is>
      </c>
      <c r="F27" s="12" t="inlineStr">
        <is>
          <t>1.1.1 Guideway and Civil - Guideway Structures</t>
        </is>
      </c>
      <c r="G27" s="12" t="inlineStr">
        <is>
          <t>ONE_TO_ONE</t>
        </is>
      </c>
      <c r="H27" s="12" t="inlineStr">
        <is>
          <t>APPROVED</t>
        </is>
      </c>
      <c r="I27" s="12" t="inlineStr">
        <is>
          <t>New</t>
        </is>
      </c>
      <c r="J27" s="12" t="inlineStr">
        <is>
          <t>Source assignment -- not individually reviewed</t>
        </is>
      </c>
      <c r="K27" s="12" t="inlineStr"/>
      <c r="L27" s="12" t="inlineStr"/>
      <c r="M27" s="12" t="inlineStr"/>
      <c r="N27" s="17" t="inlineStr">
        <is>
          <t>10 EVIDENCE &amp; DECISIONS</t>
        </is>
      </c>
    </row>
    <row r="28" ht="34" customHeight="1">
      <c r="A28" s="12" t="inlineStr">
        <is>
          <t>Contractor Programme</t>
        </is>
      </c>
      <c r="B28" s="12" t="inlineStr">
        <is>
          <t>SCH-01-019</t>
        </is>
      </c>
      <c r="C28" s="12" t="inlineStr">
        <is>
          <t>River crossing: guideway pier reinforcement - release</t>
        </is>
      </c>
      <c r="D28" s="12" t="inlineStr">
        <is>
          <t>WBS Code = 1.1.1</t>
        </is>
      </c>
      <c r="E28" s="12" t="inlineStr">
        <is>
          <t>R19-v1</t>
        </is>
      </c>
      <c r="F28" s="12" t="inlineStr">
        <is>
          <t>1.1.1 Guideway and Civil - Guideway Structures</t>
        </is>
      </c>
      <c r="G28" s="12" t="inlineStr">
        <is>
          <t>ONE_TO_ONE</t>
        </is>
      </c>
      <c r="H28" s="12" t="inlineStr">
        <is>
          <t>APPROVED</t>
        </is>
      </c>
      <c r="I28" s="12" t="inlineStr">
        <is>
          <t>New</t>
        </is>
      </c>
      <c r="J28" s="12" t="inlineStr">
        <is>
          <t>Source assignment -- not individually reviewed</t>
        </is>
      </c>
      <c r="K28" s="12" t="inlineStr"/>
      <c r="L28" s="12" t="inlineStr"/>
      <c r="M28" s="12" t="inlineStr"/>
      <c r="N28" s="17" t="inlineStr">
        <is>
          <t>10 EVIDENCE &amp; DECISIONS</t>
        </is>
      </c>
    </row>
    <row r="29" ht="34" customHeight="1">
      <c r="A29" s="12" t="inlineStr">
        <is>
          <t>Contractor Programme</t>
        </is>
      </c>
      <c r="B29" s="12" t="inlineStr">
        <is>
          <t>SCH-01-020</t>
        </is>
      </c>
      <c r="C29" s="12" t="inlineStr">
        <is>
          <t>Central guideway: road restoration - field start</t>
        </is>
      </c>
      <c r="D29" s="12" t="inlineStr">
        <is>
          <t>WBS Code = 1.1.1</t>
        </is>
      </c>
      <c r="E29" s="12" t="inlineStr">
        <is>
          <t>R20-v1</t>
        </is>
      </c>
      <c r="F29" s="12" t="inlineStr">
        <is>
          <t>1.1.1 Guideway and Civil - Guideway Structures</t>
        </is>
      </c>
      <c r="G29" s="12" t="inlineStr">
        <is>
          <t>ONE_TO_ONE</t>
        </is>
      </c>
      <c r="H29" s="12" t="inlineStr">
        <is>
          <t>APPROVED</t>
        </is>
      </c>
      <c r="I29" s="12" t="inlineStr">
        <is>
          <t>New</t>
        </is>
      </c>
      <c r="J29" s="12" t="inlineStr">
        <is>
          <t>Source assignment -- not individually reviewed</t>
        </is>
      </c>
      <c r="K29" s="12" t="inlineStr"/>
      <c r="L29" s="12" t="inlineStr"/>
      <c r="M29" s="12" t="inlineStr"/>
      <c r="N29" s="17" t="inlineStr">
        <is>
          <t>10 EVIDENCE &amp; DECISIONS</t>
        </is>
      </c>
    </row>
    <row r="30" ht="34" customHeight="1">
      <c r="A30" s="12" t="inlineStr">
        <is>
          <t>Contractor Programme</t>
        </is>
      </c>
      <c r="B30" s="12" t="inlineStr">
        <is>
          <t>SCH-01-022</t>
        </is>
      </c>
      <c r="C30" s="12" t="inlineStr">
        <is>
          <t>Depot lead: retaining-wall excavation - inspection</t>
        </is>
      </c>
      <c r="D30" s="12" t="inlineStr">
        <is>
          <t>WBS Code = 1.1.1</t>
        </is>
      </c>
      <c r="E30" s="12" t="inlineStr">
        <is>
          <t>R22-v1</t>
        </is>
      </c>
      <c r="F30" s="12" t="inlineStr">
        <is>
          <t>1.1.1 Guideway and Civil - Guideway Structures</t>
        </is>
      </c>
      <c r="G30" s="12" t="inlineStr">
        <is>
          <t>ONE_TO_ONE</t>
        </is>
      </c>
      <c r="H30" s="12" t="inlineStr">
        <is>
          <t>APPROVED</t>
        </is>
      </c>
      <c r="I30" s="12" t="inlineStr">
        <is>
          <t>New</t>
        </is>
      </c>
      <c r="J30" s="12" t="inlineStr">
        <is>
          <t>Source assignment -- not individually reviewed</t>
        </is>
      </c>
      <c r="K30" s="12" t="inlineStr"/>
      <c r="L30" s="12" t="inlineStr"/>
      <c r="M30" s="12" t="inlineStr"/>
      <c r="N30" s="17" t="inlineStr">
        <is>
          <t>10 EVIDENCE &amp; DECISIONS</t>
        </is>
      </c>
    </row>
    <row r="31" ht="34" customHeight="1">
      <c r="A31" s="12" t="inlineStr">
        <is>
          <t>Contractor Programme</t>
        </is>
      </c>
      <c r="B31" s="12" t="inlineStr">
        <is>
          <t>SCH-01-023</t>
        </is>
      </c>
      <c r="C31" s="12" t="inlineStr">
        <is>
          <t>East portal: drainage tie-in - turnover</t>
        </is>
      </c>
      <c r="D31" s="12" t="inlineStr">
        <is>
          <t>WBS Code = 1.1.1</t>
        </is>
      </c>
      <c r="E31" s="12" t="inlineStr">
        <is>
          <t>R23-v1</t>
        </is>
      </c>
      <c r="F31" s="12" t="inlineStr">
        <is>
          <t>1.1.1 Guideway and Civil - Guideway Structures</t>
        </is>
      </c>
      <c r="G31" s="12" t="inlineStr">
        <is>
          <t>ONE_TO_ONE</t>
        </is>
      </c>
      <c r="H31" s="12" t="inlineStr">
        <is>
          <t>APPROVED</t>
        </is>
      </c>
      <c r="I31" s="12" t="inlineStr">
        <is>
          <t>New</t>
        </is>
      </c>
      <c r="J31" s="12" t="inlineStr">
        <is>
          <t>Source assignment -- not individually reviewed</t>
        </is>
      </c>
      <c r="K31" s="12" t="inlineStr"/>
      <c r="L31" s="12" t="inlineStr"/>
      <c r="M31" s="12" t="inlineStr"/>
      <c r="N31" s="17" t="inlineStr">
        <is>
          <t>10 EVIDENCE &amp; DECISIONS</t>
        </is>
      </c>
    </row>
    <row r="32" ht="34" customHeight="1">
      <c r="A32" s="12" t="inlineStr">
        <is>
          <t>Contractor Programme</t>
        </is>
      </c>
      <c r="B32" s="12" t="inlineStr">
        <is>
          <t>SCH-01-025</t>
        </is>
      </c>
      <c r="C32" s="12" t="inlineStr">
        <is>
          <t>Central guideway: track-slab survey - field start</t>
        </is>
      </c>
      <c r="D32" s="12" t="inlineStr">
        <is>
          <t>WBS Code = 1.1.1</t>
        </is>
      </c>
      <c r="E32" s="12" t="inlineStr">
        <is>
          <t>R25-v1</t>
        </is>
      </c>
      <c r="F32" s="12" t="inlineStr">
        <is>
          <t>1.1.1 Guideway and Civil - Guideway Structures</t>
        </is>
      </c>
      <c r="G32" s="12" t="inlineStr">
        <is>
          <t>ONE_TO_ONE</t>
        </is>
      </c>
      <c r="H32" s="12" t="inlineStr">
        <is>
          <t>APPROVED</t>
        </is>
      </c>
      <c r="I32" s="12" t="inlineStr">
        <is>
          <t>New</t>
        </is>
      </c>
      <c r="J32" s="12" t="inlineStr">
        <is>
          <t>Source assignment -- not individually reviewed</t>
        </is>
      </c>
      <c r="K32" s="12" t="inlineStr"/>
      <c r="L32" s="12" t="inlineStr"/>
      <c r="M32" s="12" t="inlineStr"/>
      <c r="N32" s="17" t="inlineStr">
        <is>
          <t>10 EVIDENCE &amp; DECISIONS</t>
        </is>
      </c>
    </row>
    <row r="33" ht="34" customHeight="1">
      <c r="A33" s="12" t="inlineStr">
        <is>
          <t>Contractor Programme</t>
        </is>
      </c>
      <c r="B33" s="12" t="inlineStr">
        <is>
          <t>SCH-01-026</t>
        </is>
      </c>
      <c r="C33" s="12" t="inlineStr">
        <is>
          <t>West approach: temporary traffic staging - installation</t>
        </is>
      </c>
      <c r="D33" s="12" t="inlineStr">
        <is>
          <t>WBS Code = 1.1.1</t>
        </is>
      </c>
      <c r="E33" s="12" t="inlineStr">
        <is>
          <t>R26-v1</t>
        </is>
      </c>
      <c r="F33" s="12" t="inlineStr">
        <is>
          <t>1.1.1 Guideway and Civil - Guideway Structures</t>
        </is>
      </c>
      <c r="G33" s="12" t="inlineStr">
        <is>
          <t>ONE_TO_ONE</t>
        </is>
      </c>
      <c r="H33" s="12" t="inlineStr">
        <is>
          <t>APPROVED</t>
        </is>
      </c>
      <c r="I33" s="12" t="inlineStr">
        <is>
          <t>New</t>
        </is>
      </c>
      <c r="J33" s="12" t="inlineStr">
        <is>
          <t>Source assignment -- not individually reviewed</t>
        </is>
      </c>
      <c r="K33" s="12" t="inlineStr"/>
      <c r="L33" s="12" t="inlineStr"/>
      <c r="M33" s="12" t="inlineStr"/>
      <c r="N33" s="17" t="inlineStr">
        <is>
          <t>10 EVIDENCE &amp; DECISIONS</t>
        </is>
      </c>
    </row>
    <row r="34" ht="34" customHeight="1">
      <c r="A34" s="12" t="inlineStr">
        <is>
          <t>Contractor Programme</t>
        </is>
      </c>
      <c r="B34" s="12" t="inlineStr">
        <is>
          <t>SCH-01-028</t>
        </is>
      </c>
      <c r="C34" s="12" t="inlineStr">
        <is>
          <t>East portal: road restoration - turnover</t>
        </is>
      </c>
      <c r="D34" s="12" t="inlineStr">
        <is>
          <t>WBS Code = 1.1.1</t>
        </is>
      </c>
      <c r="E34" s="12" t="inlineStr">
        <is>
          <t>R28-v1</t>
        </is>
      </c>
      <c r="F34" s="12" t="inlineStr">
        <is>
          <t>1.1.1 Guideway and Civil - Guideway Structures</t>
        </is>
      </c>
      <c r="G34" s="12" t="inlineStr">
        <is>
          <t>ONE_TO_ONE</t>
        </is>
      </c>
      <c r="H34" s="12" t="inlineStr">
        <is>
          <t>APPROVED</t>
        </is>
      </c>
      <c r="I34" s="12" t="inlineStr">
        <is>
          <t>New</t>
        </is>
      </c>
      <c r="J34" s="12" t="inlineStr">
        <is>
          <t>Source assignment -- not individually reviewed</t>
        </is>
      </c>
      <c r="K34" s="12" t="inlineStr"/>
      <c r="L34" s="12" t="inlineStr"/>
      <c r="M34" s="12" t="inlineStr"/>
      <c r="N34" s="17" t="inlineStr">
        <is>
          <t>10 EVIDENCE &amp; DECISIONS</t>
        </is>
      </c>
    </row>
    <row r="35" ht="34" customHeight="1">
      <c r="A35" s="12" t="inlineStr">
        <is>
          <t>Contractor Programme</t>
        </is>
      </c>
      <c r="B35" s="12" t="inlineStr">
        <is>
          <t>SCH-01-029</t>
        </is>
      </c>
      <c r="C35" s="12" t="inlineStr">
        <is>
          <t>River crossing: drilled-shaft installation - release</t>
        </is>
      </c>
      <c r="D35" s="12" t="inlineStr">
        <is>
          <t>WBS Code = 1.1.1</t>
        </is>
      </c>
      <c r="E35" s="12" t="inlineStr">
        <is>
          <t>R29-v1</t>
        </is>
      </c>
      <c r="F35" s="12" t="inlineStr">
        <is>
          <t>1.1.1 Guideway and Civil - Guideway Structures</t>
        </is>
      </c>
      <c r="G35" s="12" t="inlineStr">
        <is>
          <t>ONE_TO_ONE</t>
        </is>
      </c>
      <c r="H35" s="12" t="inlineStr">
        <is>
          <t>APPROVED</t>
        </is>
      </c>
      <c r="I35" s="12" t="inlineStr">
        <is>
          <t>New</t>
        </is>
      </c>
      <c r="J35" s="12" t="inlineStr">
        <is>
          <t>Source assignment -- not individually reviewed</t>
        </is>
      </c>
      <c r="K35" s="12" t="inlineStr"/>
      <c r="L35" s="12" t="inlineStr"/>
      <c r="M35" s="12" t="inlineStr"/>
      <c r="N35" s="17" t="inlineStr">
        <is>
          <t>10 EVIDENCE &amp; DECISIONS</t>
        </is>
      </c>
    </row>
    <row r="36" ht="34" customHeight="1">
      <c r="A36" s="12" t="inlineStr">
        <is>
          <t>Contractor Programme</t>
        </is>
      </c>
      <c r="B36" s="12" t="inlineStr">
        <is>
          <t>SCH-01-031</t>
        </is>
      </c>
      <c r="C36" s="12" t="inlineStr">
        <is>
          <t>West approach: drainage tie-in - installation</t>
        </is>
      </c>
      <c r="D36" s="12" t="inlineStr">
        <is>
          <t>WBS Code = 1.1.1</t>
        </is>
      </c>
      <c r="E36" s="12" t="inlineStr">
        <is>
          <t>R31-v1</t>
        </is>
      </c>
      <c r="F36" s="12" t="inlineStr">
        <is>
          <t>1.1.1 Guideway and Civil - Guideway Structures</t>
        </is>
      </c>
      <c r="G36" s="12" t="inlineStr">
        <is>
          <t>ONE_TO_ONE</t>
        </is>
      </c>
      <c r="H36" s="12" t="inlineStr">
        <is>
          <t>APPROVED</t>
        </is>
      </c>
      <c r="I36" s="12" t="inlineStr">
        <is>
          <t>New</t>
        </is>
      </c>
      <c r="J36" s="12" t="inlineStr">
        <is>
          <t>Source assignment -- not individually reviewed</t>
        </is>
      </c>
      <c r="K36" s="12" t="inlineStr"/>
      <c r="L36" s="12" t="inlineStr"/>
      <c r="M36" s="12" t="inlineStr"/>
      <c r="N36" s="17" t="inlineStr">
        <is>
          <t>10 EVIDENCE &amp; DECISIONS</t>
        </is>
      </c>
    </row>
    <row r="37" ht="34" customHeight="1">
      <c r="A37" s="12" t="inlineStr">
        <is>
          <t>Contractor Programme</t>
        </is>
      </c>
      <c r="B37" s="12" t="inlineStr">
        <is>
          <t>SCH-01-032</t>
        </is>
      </c>
      <c r="C37" s="12" t="inlineStr">
        <is>
          <t>Depot lead: utility relocation - inspection</t>
        </is>
      </c>
      <c r="D37" s="12" t="inlineStr">
        <is>
          <t>WBS Code = 1.1.1</t>
        </is>
      </c>
      <c r="E37" s="12" t="inlineStr">
        <is>
          <t>R32-v1</t>
        </is>
      </c>
      <c r="F37" s="12" t="inlineStr">
        <is>
          <t>1.1.1 Guideway and Civil - Guideway Structures</t>
        </is>
      </c>
      <c r="G37" s="12" t="inlineStr">
        <is>
          <t>ONE_TO_ONE</t>
        </is>
      </c>
      <c r="H37" s="12" t="inlineStr">
        <is>
          <t>APPROVED</t>
        </is>
      </c>
      <c r="I37" s="12" t="inlineStr">
        <is>
          <t>New</t>
        </is>
      </c>
      <c r="J37" s="12" t="inlineStr">
        <is>
          <t>Source assignment -- not individually reviewed</t>
        </is>
      </c>
      <c r="K37" s="12" t="inlineStr"/>
      <c r="L37" s="12" t="inlineStr"/>
      <c r="M37" s="12" t="inlineStr"/>
      <c r="N37" s="17" t="inlineStr">
        <is>
          <t>10 EVIDENCE &amp; DECISIONS</t>
        </is>
      </c>
    </row>
    <row r="38" ht="34" customHeight="1">
      <c r="A38" s="12" t="inlineStr">
        <is>
          <t>Contractor Programme</t>
        </is>
      </c>
      <c r="B38" s="12" t="inlineStr">
        <is>
          <t>SCH-01-034</t>
        </is>
      </c>
      <c r="C38" s="12" t="inlineStr">
        <is>
          <t>River crossing: temporary traffic staging - release</t>
        </is>
      </c>
      <c r="D38" s="12" t="inlineStr">
        <is>
          <t>WBS Code = 1.1.1</t>
        </is>
      </c>
      <c r="E38" s="12" t="inlineStr">
        <is>
          <t>R34-v1</t>
        </is>
      </c>
      <c r="F38" s="12" t="inlineStr">
        <is>
          <t>1.1.1 Guideway and Civil - Guideway Structures</t>
        </is>
      </c>
      <c r="G38" s="12" t="inlineStr">
        <is>
          <t>ONE_TO_ONE</t>
        </is>
      </c>
      <c r="H38" s="12" t="inlineStr">
        <is>
          <t>APPROVED</t>
        </is>
      </c>
      <c r="I38" s="12" t="inlineStr">
        <is>
          <t>New</t>
        </is>
      </c>
      <c r="J38" s="12" t="inlineStr">
        <is>
          <t>Source assignment -- not individually reviewed</t>
        </is>
      </c>
      <c r="K38" s="12" t="inlineStr"/>
      <c r="L38" s="12" t="inlineStr"/>
      <c r="M38" s="12" t="inlineStr"/>
      <c r="N38" s="17" t="inlineStr">
        <is>
          <t>10 EVIDENCE &amp; DECISIONS</t>
        </is>
      </c>
    </row>
    <row r="39" ht="34" customHeight="1">
      <c r="A39" s="12" t="inlineStr">
        <is>
          <t>Contractor Programme</t>
        </is>
      </c>
      <c r="B39" s="12" t="inlineStr">
        <is>
          <t>SCH-01-035</t>
        </is>
      </c>
      <c r="C39" s="12" t="inlineStr">
        <is>
          <t>Central guideway: guideway pier reinforcement - field start</t>
        </is>
      </c>
      <c r="D39" s="12" t="inlineStr">
        <is>
          <t>WBS Code = 1.1.1</t>
        </is>
      </c>
      <c r="E39" s="12" t="inlineStr">
        <is>
          <t>R35-v1</t>
        </is>
      </c>
      <c r="F39" s="12" t="inlineStr">
        <is>
          <t>1.1.1 Guideway and Civil - Guideway Structures</t>
        </is>
      </c>
      <c r="G39" s="12" t="inlineStr">
        <is>
          <t>ONE_TO_ONE</t>
        </is>
      </c>
      <c r="H39" s="12" t="inlineStr">
        <is>
          <t>APPROVED</t>
        </is>
      </c>
      <c r="I39" s="12" t="inlineStr">
        <is>
          <t>New</t>
        </is>
      </c>
      <c r="J39" s="12" t="inlineStr">
        <is>
          <t>Source assignment -- not individually reviewed</t>
        </is>
      </c>
      <c r="K39" s="12" t="inlineStr"/>
      <c r="L39" s="12" t="inlineStr"/>
      <c r="M39" s="12" t="inlineStr"/>
      <c r="N39" s="17" t="inlineStr">
        <is>
          <t>10 EVIDENCE &amp; DECISIONS</t>
        </is>
      </c>
    </row>
    <row r="40" ht="34" customHeight="1">
      <c r="A40" s="12" t="inlineStr">
        <is>
          <t>Contractor Programme</t>
        </is>
      </c>
      <c r="B40" s="12" t="inlineStr">
        <is>
          <t>SCH-01-037</t>
        </is>
      </c>
      <c r="C40" s="12" t="inlineStr">
        <is>
          <t>Depot lead: drilled-shaft installation - inspection</t>
        </is>
      </c>
      <c r="D40" s="12" t="inlineStr">
        <is>
          <t>WBS Code = 1.1.1</t>
        </is>
      </c>
      <c r="E40" s="12" t="inlineStr">
        <is>
          <t>R37-v1</t>
        </is>
      </c>
      <c r="F40" s="12" t="inlineStr">
        <is>
          <t>1.1.1 Guideway and Civil - Guideway Structures</t>
        </is>
      </c>
      <c r="G40" s="12" t="inlineStr">
        <is>
          <t>ONE_TO_ONE</t>
        </is>
      </c>
      <c r="H40" s="12" t="inlineStr">
        <is>
          <t>APPROVED</t>
        </is>
      </c>
      <c r="I40" s="12" t="inlineStr">
        <is>
          <t>New</t>
        </is>
      </c>
      <c r="J40" s="12" t="inlineStr">
        <is>
          <t>Source assignment -- not individually reviewed</t>
        </is>
      </c>
      <c r="K40" s="12" t="inlineStr"/>
      <c r="L40" s="12" t="inlineStr"/>
      <c r="M40" s="12" t="inlineStr"/>
      <c r="N40" s="17" t="inlineStr">
        <is>
          <t>10 EVIDENCE &amp; DECISIONS</t>
        </is>
      </c>
    </row>
    <row r="41" ht="34" customHeight="1">
      <c r="A41" s="12" t="inlineStr">
        <is>
          <t>Contractor Programme</t>
        </is>
      </c>
      <c r="B41" s="12" t="inlineStr">
        <is>
          <t>SCH-01-038</t>
        </is>
      </c>
      <c r="C41" s="12" t="inlineStr">
        <is>
          <t>East portal: retaining-wall excavation - turnover</t>
        </is>
      </c>
      <c r="D41" s="12" t="inlineStr">
        <is>
          <t>WBS Code = 1.1.1</t>
        </is>
      </c>
      <c r="E41" s="12" t="inlineStr">
        <is>
          <t>R38-v1</t>
        </is>
      </c>
      <c r="F41" s="12" t="inlineStr">
        <is>
          <t>1.1.1 Guideway and Civil - Guideway Structures</t>
        </is>
      </c>
      <c r="G41" s="12" t="inlineStr">
        <is>
          <t>ONE_TO_ONE</t>
        </is>
      </c>
      <c r="H41" s="12" t="inlineStr">
        <is>
          <t>APPROVED</t>
        </is>
      </c>
      <c r="I41" s="12" t="inlineStr">
        <is>
          <t>New</t>
        </is>
      </c>
      <c r="J41" s="12" t="inlineStr">
        <is>
          <t>Source assignment -- not individually reviewed</t>
        </is>
      </c>
      <c r="K41" s="12" t="inlineStr"/>
      <c r="L41" s="12" t="inlineStr"/>
      <c r="M41" s="12" t="inlineStr"/>
      <c r="N41" s="17" t="inlineStr">
        <is>
          <t>10 EVIDENCE &amp; DECISIONS</t>
        </is>
      </c>
    </row>
    <row r="42" ht="34" customHeight="1">
      <c r="A42" s="12" t="inlineStr">
        <is>
          <t>Contractor Programme</t>
        </is>
      </c>
      <c r="B42" s="12" t="inlineStr">
        <is>
          <t>SCH-01-040</t>
        </is>
      </c>
      <c r="C42" s="12" t="inlineStr">
        <is>
          <t>Central guideway: utility relocation - field start</t>
        </is>
      </c>
      <c r="D42" s="12" t="inlineStr">
        <is>
          <t>WBS Code = 1.1.1</t>
        </is>
      </c>
      <c r="E42" s="12" t="inlineStr">
        <is>
          <t>R40-v1</t>
        </is>
      </c>
      <c r="F42" s="12" t="inlineStr">
        <is>
          <t>1.1.1 Guideway and Civil - Guideway Structures</t>
        </is>
      </c>
      <c r="G42" s="12" t="inlineStr">
        <is>
          <t>ONE_TO_ONE</t>
        </is>
      </c>
      <c r="H42" s="12" t="inlineStr">
        <is>
          <t>APPROVED</t>
        </is>
      </c>
      <c r="I42" s="12" t="inlineStr">
        <is>
          <t>New</t>
        </is>
      </c>
      <c r="J42" s="12" t="inlineStr">
        <is>
          <t>Source assignment -- not individually reviewed</t>
        </is>
      </c>
      <c r="K42" s="12" t="inlineStr"/>
      <c r="L42" s="12" t="inlineStr"/>
      <c r="M42" s="12" t="inlineStr"/>
      <c r="N42" s="17" t="inlineStr">
        <is>
          <t>10 EVIDENCE &amp; DECISIONS</t>
        </is>
      </c>
    </row>
    <row r="43" ht="34" customHeight="1">
      <c r="A43" s="12" t="inlineStr">
        <is>
          <t>Contractor Programme</t>
        </is>
      </c>
      <c r="B43" s="12" t="inlineStr">
        <is>
          <t>SCH-01-041</t>
        </is>
      </c>
      <c r="C43" s="12" t="inlineStr">
        <is>
          <t>West approach: track-slab survey - installation</t>
        </is>
      </c>
      <c r="D43" s="12" t="inlineStr">
        <is>
          <t>WBS Code = 1.1.1</t>
        </is>
      </c>
      <c r="E43" s="12" t="inlineStr">
        <is>
          <t>R41-v1</t>
        </is>
      </c>
      <c r="F43" s="12" t="inlineStr">
        <is>
          <t>1.1.1 Guideway and Civil - Guideway Structures</t>
        </is>
      </c>
      <c r="G43" s="12" t="inlineStr">
        <is>
          <t>ONE_TO_ONE</t>
        </is>
      </c>
      <c r="H43" s="12" t="inlineStr">
        <is>
          <t>APPROVED</t>
        </is>
      </c>
      <c r="I43" s="12" t="inlineStr">
        <is>
          <t>New</t>
        </is>
      </c>
      <c r="J43" s="12" t="inlineStr">
        <is>
          <t>Source assignment -- not individually reviewed</t>
        </is>
      </c>
      <c r="K43" s="12" t="inlineStr"/>
      <c r="L43" s="12" t="inlineStr"/>
      <c r="M43" s="12" t="inlineStr"/>
      <c r="N43" s="17" t="inlineStr">
        <is>
          <t>10 EVIDENCE &amp; DECISIONS</t>
        </is>
      </c>
    </row>
    <row r="44" ht="34" customHeight="1">
      <c r="A44" s="12" t="inlineStr">
        <is>
          <t>Contractor Programme</t>
        </is>
      </c>
      <c r="B44" s="12" t="inlineStr">
        <is>
          <t>SCH-01-043</t>
        </is>
      </c>
      <c r="C44" s="12" t="inlineStr">
        <is>
          <t>East portal: guideway pier reinforcement - turnover</t>
        </is>
      </c>
      <c r="D44" s="12" t="inlineStr">
        <is>
          <t>WBS Code = 1.1.1</t>
        </is>
      </c>
      <c r="E44" s="12" t="inlineStr">
        <is>
          <t>R43-v1</t>
        </is>
      </c>
      <c r="F44" s="12" t="inlineStr">
        <is>
          <t>1.1.1 Guideway and Civil - Guideway Structures</t>
        </is>
      </c>
      <c r="G44" s="12" t="inlineStr">
        <is>
          <t>ONE_TO_ONE</t>
        </is>
      </c>
      <c r="H44" s="12" t="inlineStr">
        <is>
          <t>APPROVED</t>
        </is>
      </c>
      <c r="I44" s="12" t="inlineStr">
        <is>
          <t>New</t>
        </is>
      </c>
      <c r="J44" s="12" t="inlineStr">
        <is>
          <t>Source assignment -- not individually reviewed</t>
        </is>
      </c>
      <c r="K44" s="12" t="inlineStr"/>
      <c r="L44" s="12" t="inlineStr"/>
      <c r="M44" s="12" t="inlineStr"/>
      <c r="N44" s="17" t="inlineStr">
        <is>
          <t>10 EVIDENCE &amp; DECISIONS</t>
        </is>
      </c>
    </row>
    <row r="45" ht="34" customHeight="1">
      <c r="A45" s="12" t="inlineStr">
        <is>
          <t>Contractor Programme</t>
        </is>
      </c>
      <c r="B45" s="12" t="inlineStr">
        <is>
          <t>SCH-01-044</t>
        </is>
      </c>
      <c r="C45" s="12" t="inlineStr">
        <is>
          <t>River crossing: road restoration - release</t>
        </is>
      </c>
      <c r="D45" s="12" t="inlineStr">
        <is>
          <t>WBS Code = 1.1.1</t>
        </is>
      </c>
      <c r="E45" s="12" t="inlineStr">
        <is>
          <t>R44-v1</t>
        </is>
      </c>
      <c r="F45" s="12" t="inlineStr">
        <is>
          <t>1.1.1 Guideway and Civil - Guideway Structures</t>
        </is>
      </c>
      <c r="G45" s="12" t="inlineStr">
        <is>
          <t>ONE_TO_ONE</t>
        </is>
      </c>
      <c r="H45" s="12" t="inlineStr">
        <is>
          <t>APPROVED</t>
        </is>
      </c>
      <c r="I45" s="12" t="inlineStr">
        <is>
          <t>New</t>
        </is>
      </c>
      <c r="J45" s="12" t="inlineStr">
        <is>
          <t>Source assignment -- not individually reviewed</t>
        </is>
      </c>
      <c r="K45" s="12" t="inlineStr"/>
      <c r="L45" s="12" t="inlineStr"/>
      <c r="M45" s="12" t="inlineStr"/>
      <c r="N45" s="17" t="inlineStr">
        <is>
          <t>10 EVIDENCE &amp; DECISIONS</t>
        </is>
      </c>
    </row>
    <row r="46" ht="34" customHeight="1">
      <c r="A46" s="12" t="inlineStr">
        <is>
          <t>Contractor Programme</t>
        </is>
      </c>
      <c r="B46" s="12" t="inlineStr">
        <is>
          <t>SCH-01-046</t>
        </is>
      </c>
      <c r="C46" s="12" t="inlineStr">
        <is>
          <t>West approach: retaining-wall excavation - installation</t>
        </is>
      </c>
      <c r="D46" s="12" t="inlineStr">
        <is>
          <t>WBS Code = 1.1.1</t>
        </is>
      </c>
      <c r="E46" s="12" t="inlineStr">
        <is>
          <t>R46-v1</t>
        </is>
      </c>
      <c r="F46" s="12" t="inlineStr">
        <is>
          <t>1.1.1 Guideway and Civil - Guideway Structures</t>
        </is>
      </c>
      <c r="G46" s="12" t="inlineStr">
        <is>
          <t>ONE_TO_ONE</t>
        </is>
      </c>
      <c r="H46" s="12" t="inlineStr">
        <is>
          <t>APPROVED</t>
        </is>
      </c>
      <c r="I46" s="12" t="inlineStr">
        <is>
          <t>New</t>
        </is>
      </c>
      <c r="J46" s="12" t="inlineStr">
        <is>
          <t>Source assignment -- not individually reviewed</t>
        </is>
      </c>
      <c r="K46" s="12" t="inlineStr"/>
      <c r="L46" s="12" t="inlineStr"/>
      <c r="M46" s="12" t="inlineStr"/>
      <c r="N46" s="17" t="inlineStr">
        <is>
          <t>10 EVIDENCE &amp; DECISIONS</t>
        </is>
      </c>
    </row>
    <row r="47" ht="34" customHeight="1">
      <c r="A47" s="12" t="inlineStr">
        <is>
          <t>Contractor Programme</t>
        </is>
      </c>
      <c r="B47" s="12" t="inlineStr">
        <is>
          <t>SCH-01-047</t>
        </is>
      </c>
      <c r="C47" s="12" t="inlineStr">
        <is>
          <t>Depot lead: drainage tie-in - inspection</t>
        </is>
      </c>
      <c r="D47" s="12" t="inlineStr">
        <is>
          <t>WBS Code = 1.1.1</t>
        </is>
      </c>
      <c r="E47" s="12" t="inlineStr">
        <is>
          <t>R47-v1</t>
        </is>
      </c>
      <c r="F47" s="12" t="inlineStr">
        <is>
          <t>1.1.1 Guideway and Civil - Guideway Structures</t>
        </is>
      </c>
      <c r="G47" s="12" t="inlineStr">
        <is>
          <t>ONE_TO_ONE</t>
        </is>
      </c>
      <c r="H47" s="12" t="inlineStr">
        <is>
          <t>APPROVED</t>
        </is>
      </c>
      <c r="I47" s="12" t="inlineStr">
        <is>
          <t>New</t>
        </is>
      </c>
      <c r="J47" s="12" t="inlineStr">
        <is>
          <t>Source assignment -- not individually reviewed</t>
        </is>
      </c>
      <c r="K47" s="12" t="inlineStr"/>
      <c r="L47" s="12" t="inlineStr"/>
      <c r="M47" s="12" t="inlineStr"/>
      <c r="N47" s="17" t="inlineStr">
        <is>
          <t>10 EVIDENCE &amp; DECISIONS</t>
        </is>
      </c>
    </row>
    <row r="48" ht="34" customHeight="1">
      <c r="A48" s="12" t="inlineStr">
        <is>
          <t>Contractor Programme</t>
        </is>
      </c>
      <c r="B48" s="12" t="inlineStr">
        <is>
          <t>SCH-01-049</t>
        </is>
      </c>
      <c r="C48" s="12" t="inlineStr">
        <is>
          <t>River crossing: track-slab survey - release</t>
        </is>
      </c>
      <c r="D48" s="12" t="inlineStr">
        <is>
          <t>WBS Code = 1.1.1</t>
        </is>
      </c>
      <c r="E48" s="12" t="inlineStr">
        <is>
          <t>R49-v1</t>
        </is>
      </c>
      <c r="F48" s="12" t="inlineStr">
        <is>
          <t>1.1.1 Guideway and Civil - Guideway Structures</t>
        </is>
      </c>
      <c r="G48" s="12" t="inlineStr">
        <is>
          <t>ONE_TO_ONE</t>
        </is>
      </c>
      <c r="H48" s="12" t="inlineStr">
        <is>
          <t>APPROVED</t>
        </is>
      </c>
      <c r="I48" s="12" t="inlineStr">
        <is>
          <t>New</t>
        </is>
      </c>
      <c r="J48" s="12" t="inlineStr">
        <is>
          <t>Source assignment -- not individually reviewed</t>
        </is>
      </c>
      <c r="K48" s="12" t="inlineStr"/>
      <c r="L48" s="12" t="inlineStr"/>
      <c r="M48" s="12" t="inlineStr"/>
      <c r="N48" s="17" t="inlineStr">
        <is>
          <t>10 EVIDENCE &amp; DECISIONS</t>
        </is>
      </c>
    </row>
    <row r="49" ht="34" customHeight="1">
      <c r="A49" s="12" t="inlineStr">
        <is>
          <t>Contractor Programme</t>
        </is>
      </c>
      <c r="B49" s="12" t="inlineStr">
        <is>
          <t>SCH-01-050</t>
        </is>
      </c>
      <c r="C49" s="12" t="inlineStr">
        <is>
          <t>Central guideway: temporary traffic staging - field start</t>
        </is>
      </c>
      <c r="D49" s="12" t="inlineStr">
        <is>
          <t>WBS Code = 1.1.1</t>
        </is>
      </c>
      <c r="E49" s="12" t="inlineStr">
        <is>
          <t>R50-v1</t>
        </is>
      </c>
      <c r="F49" s="12" t="inlineStr">
        <is>
          <t>1.1.1 Guideway and Civil - Guideway Structures</t>
        </is>
      </c>
      <c r="G49" s="12" t="inlineStr">
        <is>
          <t>ONE_TO_ONE</t>
        </is>
      </c>
      <c r="H49" s="12" t="inlineStr">
        <is>
          <t>APPROVED</t>
        </is>
      </c>
      <c r="I49" s="12" t="inlineStr">
        <is>
          <t>New</t>
        </is>
      </c>
      <c r="J49" s="12" t="inlineStr">
        <is>
          <t>Source assignment -- not individually reviewed</t>
        </is>
      </c>
      <c r="K49" s="12" t="inlineStr"/>
      <c r="L49" s="12" t="inlineStr"/>
      <c r="M49" s="12" t="inlineStr"/>
      <c r="N49" s="17" t="inlineStr">
        <is>
          <t>10 EVIDENCE &amp; DECISIONS</t>
        </is>
      </c>
    </row>
    <row r="50" ht="34" customHeight="1">
      <c r="A50" s="12" t="inlineStr">
        <is>
          <t>Contractor Programme</t>
        </is>
      </c>
      <c r="B50" s="12" t="inlineStr">
        <is>
          <t>SCH-01-052</t>
        </is>
      </c>
      <c r="C50" s="12" t="inlineStr">
        <is>
          <t>Depot lead: road restoration - inspection</t>
        </is>
      </c>
      <c r="D50" s="12" t="inlineStr">
        <is>
          <t>WBS Code = 1.1.1</t>
        </is>
      </c>
      <c r="E50" s="12" t="inlineStr">
        <is>
          <t>R52-v1</t>
        </is>
      </c>
      <c r="F50" s="12" t="inlineStr">
        <is>
          <t>1.1.1 Guideway and Civil - Guideway Structures</t>
        </is>
      </c>
      <c r="G50" s="12" t="inlineStr">
        <is>
          <t>ONE_TO_ONE</t>
        </is>
      </c>
      <c r="H50" s="12" t="inlineStr">
        <is>
          <t>APPROVED</t>
        </is>
      </c>
      <c r="I50" s="12" t="inlineStr">
        <is>
          <t>New</t>
        </is>
      </c>
      <c r="J50" s="12" t="inlineStr">
        <is>
          <t>Source assignment -- not individually reviewed</t>
        </is>
      </c>
      <c r="K50" s="12" t="inlineStr"/>
      <c r="L50" s="12" t="inlineStr"/>
      <c r="M50" s="12" t="inlineStr"/>
      <c r="N50" s="17" t="inlineStr">
        <is>
          <t>10 EVIDENCE &amp; DECISIONS</t>
        </is>
      </c>
    </row>
    <row r="51" ht="34" customHeight="1">
      <c r="A51" s="12" t="inlineStr">
        <is>
          <t>Contractor Programme</t>
        </is>
      </c>
      <c r="B51" s="12" t="inlineStr">
        <is>
          <t>SCH-01-053</t>
        </is>
      </c>
      <c r="C51" s="12" t="inlineStr">
        <is>
          <t>East portal: drilled-shaft installation - turnover</t>
        </is>
      </c>
      <c r="D51" s="12" t="inlineStr">
        <is>
          <t>WBS Code = 1.1.1</t>
        </is>
      </c>
      <c r="E51" s="12" t="inlineStr">
        <is>
          <t>R53-v1</t>
        </is>
      </c>
      <c r="F51" s="12" t="inlineStr">
        <is>
          <t>1.1.1 Guideway and Civil - Guideway Structures</t>
        </is>
      </c>
      <c r="G51" s="12" t="inlineStr">
        <is>
          <t>ONE_TO_ONE</t>
        </is>
      </c>
      <c r="H51" s="12" t="inlineStr">
        <is>
          <t>APPROVED</t>
        </is>
      </c>
      <c r="I51" s="12" t="inlineStr">
        <is>
          <t>New</t>
        </is>
      </c>
      <c r="J51" s="12" t="inlineStr">
        <is>
          <t>Source assignment -- not individually reviewed</t>
        </is>
      </c>
      <c r="K51" s="12" t="inlineStr"/>
      <c r="L51" s="12" t="inlineStr"/>
      <c r="M51" s="12" t="inlineStr"/>
      <c r="N51" s="17" t="inlineStr">
        <is>
          <t>10 EVIDENCE &amp; DECISIONS</t>
        </is>
      </c>
    </row>
    <row r="52" ht="34" customHeight="1">
      <c r="A52" s="12" t="inlineStr">
        <is>
          <t>Contractor Programme</t>
        </is>
      </c>
      <c r="B52" s="12" t="inlineStr">
        <is>
          <t>SCH-01-055</t>
        </is>
      </c>
      <c r="C52" s="12" t="inlineStr">
        <is>
          <t>Central guideway: drainage tie-in - field start</t>
        </is>
      </c>
      <c r="D52" s="12" t="inlineStr">
        <is>
          <t>WBS Code = 1.1.1</t>
        </is>
      </c>
      <c r="E52" s="12" t="inlineStr">
        <is>
          <t>R55-v1</t>
        </is>
      </c>
      <c r="F52" s="12" t="inlineStr">
        <is>
          <t>1.1.1 Guideway and Civil - Guideway Structures</t>
        </is>
      </c>
      <c r="G52" s="12" t="inlineStr">
        <is>
          <t>ONE_TO_ONE</t>
        </is>
      </c>
      <c r="H52" s="12" t="inlineStr">
        <is>
          <t>APPROVED</t>
        </is>
      </c>
      <c r="I52" s="12" t="inlineStr">
        <is>
          <t>New</t>
        </is>
      </c>
      <c r="J52" s="12" t="inlineStr">
        <is>
          <t>Source assignment -- not individually reviewed</t>
        </is>
      </c>
      <c r="K52" s="12" t="inlineStr"/>
      <c r="L52" s="12" t="inlineStr"/>
      <c r="M52" s="12" t="inlineStr"/>
      <c r="N52" s="17" t="inlineStr">
        <is>
          <t>10 EVIDENCE &amp; DECISIONS</t>
        </is>
      </c>
    </row>
    <row r="53" ht="34" customHeight="1">
      <c r="A53" s="12" t="inlineStr">
        <is>
          <t>Contractor Programme</t>
        </is>
      </c>
      <c r="B53" s="12" t="inlineStr">
        <is>
          <t>SCH-01-056</t>
        </is>
      </c>
      <c r="C53" s="12" t="inlineStr">
        <is>
          <t>West approach: utility relocation - installation</t>
        </is>
      </c>
      <c r="D53" s="12" t="inlineStr">
        <is>
          <t>WBS Code = 1.1.1</t>
        </is>
      </c>
      <c r="E53" s="12" t="inlineStr">
        <is>
          <t>R56-v1</t>
        </is>
      </c>
      <c r="F53" s="12" t="inlineStr">
        <is>
          <t>1.1.1 Guideway and Civil - Guideway Structures</t>
        </is>
      </c>
      <c r="G53" s="12" t="inlineStr">
        <is>
          <t>ONE_TO_ONE</t>
        </is>
      </c>
      <c r="H53" s="12" t="inlineStr">
        <is>
          <t>APPROVED</t>
        </is>
      </c>
      <c r="I53" s="12" t="inlineStr">
        <is>
          <t>New</t>
        </is>
      </c>
      <c r="J53" s="12" t="inlineStr">
        <is>
          <t>Source assignment -- not individually reviewed</t>
        </is>
      </c>
      <c r="K53" s="12" t="inlineStr"/>
      <c r="L53" s="12" t="inlineStr"/>
      <c r="M53" s="12" t="inlineStr"/>
      <c r="N53" s="17" t="inlineStr">
        <is>
          <t>10 EVIDENCE &amp; DECISIONS</t>
        </is>
      </c>
    </row>
    <row r="54" ht="34" customHeight="1">
      <c r="A54" s="12" t="inlineStr">
        <is>
          <t>Contractor Programme</t>
        </is>
      </c>
      <c r="B54" s="12" t="inlineStr">
        <is>
          <t>SCH-01-058</t>
        </is>
      </c>
      <c r="C54" s="12" t="inlineStr">
        <is>
          <t>East portal: temporary traffic staging - turnover</t>
        </is>
      </c>
      <c r="D54" s="12" t="inlineStr">
        <is>
          <t>WBS Code = 1.1.1</t>
        </is>
      </c>
      <c r="E54" s="12" t="inlineStr">
        <is>
          <t>R58-v1</t>
        </is>
      </c>
      <c r="F54" s="12" t="inlineStr">
        <is>
          <t>1.1.1 Guideway and Civil - Guideway Structures</t>
        </is>
      </c>
      <c r="G54" s="12" t="inlineStr">
        <is>
          <t>ONE_TO_ONE</t>
        </is>
      </c>
      <c r="H54" s="12" t="inlineStr">
        <is>
          <t>APPROVED</t>
        </is>
      </c>
      <c r="I54" s="12" t="inlineStr">
        <is>
          <t>New</t>
        </is>
      </c>
      <c r="J54" s="12" t="inlineStr">
        <is>
          <t>Source assignment -- not individually reviewed</t>
        </is>
      </c>
      <c r="K54" s="12" t="inlineStr"/>
      <c r="L54" s="12" t="inlineStr"/>
      <c r="M54" s="12" t="inlineStr"/>
      <c r="N54" s="17" t="inlineStr">
        <is>
          <t>10 EVIDENCE &amp; DECISIONS</t>
        </is>
      </c>
    </row>
    <row r="55" ht="34" customHeight="1">
      <c r="A55" s="12" t="inlineStr">
        <is>
          <t>Contractor Programme</t>
        </is>
      </c>
      <c r="B55" s="12" t="inlineStr">
        <is>
          <t>SCH-01-059</t>
        </is>
      </c>
      <c r="C55" s="12" t="inlineStr">
        <is>
          <t>River crossing: guideway pier reinforcement - release</t>
        </is>
      </c>
      <c r="D55" s="12" t="inlineStr">
        <is>
          <t>WBS Code = 1.1.1</t>
        </is>
      </c>
      <c r="E55" s="12" t="inlineStr">
        <is>
          <t>R59-v1</t>
        </is>
      </c>
      <c r="F55" s="12" t="inlineStr">
        <is>
          <t>1.1.1 Guideway and Civil - Guideway Structures</t>
        </is>
      </c>
      <c r="G55" s="12" t="inlineStr">
        <is>
          <t>ONE_TO_ONE</t>
        </is>
      </c>
      <c r="H55" s="12" t="inlineStr">
        <is>
          <t>APPROVED</t>
        </is>
      </c>
      <c r="I55" s="12" t="inlineStr">
        <is>
          <t>New</t>
        </is>
      </c>
      <c r="J55" s="12" t="inlineStr">
        <is>
          <t>Source assignment -- not individually reviewed</t>
        </is>
      </c>
      <c r="K55" s="12" t="inlineStr"/>
      <c r="L55" s="12" t="inlineStr"/>
      <c r="M55" s="12" t="inlineStr"/>
      <c r="N55" s="17" t="inlineStr">
        <is>
          <t>10 EVIDENCE &amp; DECISIONS</t>
        </is>
      </c>
    </row>
    <row r="56" ht="34" customHeight="1">
      <c r="A56" s="12" t="inlineStr">
        <is>
          <t>Contractor Programme</t>
        </is>
      </c>
      <c r="B56" s="12" t="inlineStr">
        <is>
          <t>SCH-01-061</t>
        </is>
      </c>
      <c r="C56" s="12" t="inlineStr">
        <is>
          <t>West approach: drilled-shaft installation - installation</t>
        </is>
      </c>
      <c r="D56" s="12" t="inlineStr">
        <is>
          <t>WBS Code = 1.1.1</t>
        </is>
      </c>
      <c r="E56" s="12" t="inlineStr">
        <is>
          <t>R61-v1</t>
        </is>
      </c>
      <c r="F56" s="12" t="inlineStr">
        <is>
          <t>1.1.1 Guideway and Civil - Guideway Structures</t>
        </is>
      </c>
      <c r="G56" s="12" t="inlineStr">
        <is>
          <t>ONE_TO_ONE</t>
        </is>
      </c>
      <c r="H56" s="12" t="inlineStr">
        <is>
          <t>APPROVED</t>
        </is>
      </c>
      <c r="I56" s="12" t="inlineStr">
        <is>
          <t>New</t>
        </is>
      </c>
      <c r="J56" s="12" t="inlineStr">
        <is>
          <t>Source assignment -- not individually reviewed</t>
        </is>
      </c>
      <c r="K56" s="12" t="inlineStr"/>
      <c r="L56" s="12" t="inlineStr"/>
      <c r="M56" s="12" t="inlineStr"/>
      <c r="N56" s="17" t="inlineStr">
        <is>
          <t>10 EVIDENCE &amp; DECISIONS</t>
        </is>
      </c>
    </row>
    <row r="57" ht="34" customHeight="1">
      <c r="A57" s="12" t="inlineStr">
        <is>
          <t>Contractor Programme</t>
        </is>
      </c>
      <c r="B57" s="12" t="inlineStr">
        <is>
          <t>SCH-01-062</t>
        </is>
      </c>
      <c r="C57" s="12" t="inlineStr">
        <is>
          <t>Depot lead: retaining-wall excavation - inspection</t>
        </is>
      </c>
      <c r="D57" s="12" t="inlineStr">
        <is>
          <t>WBS Code = 1.1.1</t>
        </is>
      </c>
      <c r="E57" s="12" t="inlineStr">
        <is>
          <t>R62-v1</t>
        </is>
      </c>
      <c r="F57" s="12" t="inlineStr">
        <is>
          <t>1.1.1 Guideway and Civil - Guideway Structures</t>
        </is>
      </c>
      <c r="G57" s="12" t="inlineStr">
        <is>
          <t>ONE_TO_ONE</t>
        </is>
      </c>
      <c r="H57" s="12" t="inlineStr">
        <is>
          <t>APPROVED</t>
        </is>
      </c>
      <c r="I57" s="12" t="inlineStr">
        <is>
          <t>New</t>
        </is>
      </c>
      <c r="J57" s="12" t="inlineStr">
        <is>
          <t>Source assignment -- not individually reviewed</t>
        </is>
      </c>
      <c r="K57" s="12" t="inlineStr"/>
      <c r="L57" s="12" t="inlineStr"/>
      <c r="M57" s="12" t="inlineStr"/>
      <c r="N57" s="17" t="inlineStr">
        <is>
          <t>10 EVIDENCE &amp; DECISIONS</t>
        </is>
      </c>
    </row>
    <row r="58" ht="34" customHeight="1">
      <c r="A58" s="12" t="inlineStr">
        <is>
          <t>Contractor Programme</t>
        </is>
      </c>
      <c r="B58" s="12" t="inlineStr">
        <is>
          <t>SCH-01-064</t>
        </is>
      </c>
      <c r="C58" s="12" t="inlineStr">
        <is>
          <t>River crossing: utility relocation - release</t>
        </is>
      </c>
      <c r="D58" s="12" t="inlineStr">
        <is>
          <t>WBS Code = 1.1.1</t>
        </is>
      </c>
      <c r="E58" s="12" t="inlineStr">
        <is>
          <t>R64-v1</t>
        </is>
      </c>
      <c r="F58" s="12" t="inlineStr">
        <is>
          <t>1.1.1 Guideway and Civil - Guideway Structures</t>
        </is>
      </c>
      <c r="G58" s="12" t="inlineStr">
        <is>
          <t>ONE_TO_ONE</t>
        </is>
      </c>
      <c r="H58" s="12" t="inlineStr">
        <is>
          <t>APPROVED</t>
        </is>
      </c>
      <c r="I58" s="12" t="inlineStr">
        <is>
          <t>New</t>
        </is>
      </c>
      <c r="J58" s="12" t="inlineStr">
        <is>
          <t>Source assignment -- not individually reviewed</t>
        </is>
      </c>
      <c r="K58" s="12" t="inlineStr"/>
      <c r="L58" s="12" t="inlineStr"/>
      <c r="M58" s="12" t="inlineStr"/>
      <c r="N58" s="17" t="inlineStr">
        <is>
          <t>10 EVIDENCE &amp; DECISIONS</t>
        </is>
      </c>
    </row>
    <row r="59" ht="34" customHeight="1">
      <c r="A59" s="12" t="inlineStr">
        <is>
          <t>Contractor Programme</t>
        </is>
      </c>
      <c r="B59" s="12" t="inlineStr">
        <is>
          <t>SCH-01-065</t>
        </is>
      </c>
      <c r="C59" s="12" t="inlineStr">
        <is>
          <t>Central guideway: track-slab survey - field start</t>
        </is>
      </c>
      <c r="D59" s="12" t="inlineStr">
        <is>
          <t>WBS Code = 1.1.1</t>
        </is>
      </c>
      <c r="E59" s="12" t="inlineStr">
        <is>
          <t>R65-v1</t>
        </is>
      </c>
      <c r="F59" s="12" t="inlineStr">
        <is>
          <t>1.1.1 Guideway and Civil - Guideway Structures</t>
        </is>
      </c>
      <c r="G59" s="12" t="inlineStr">
        <is>
          <t>ONE_TO_ONE</t>
        </is>
      </c>
      <c r="H59" s="12" t="inlineStr">
        <is>
          <t>APPROVED</t>
        </is>
      </c>
      <c r="I59" s="12" t="inlineStr">
        <is>
          <t>New</t>
        </is>
      </c>
      <c r="J59" s="12" t="inlineStr">
        <is>
          <t>Source assignment -- not individually reviewed</t>
        </is>
      </c>
      <c r="K59" s="12" t="inlineStr"/>
      <c r="L59" s="12" t="inlineStr"/>
      <c r="M59" s="12" t="inlineStr"/>
      <c r="N59" s="17" t="inlineStr">
        <is>
          <t>10 EVIDENCE &amp; DECISIONS</t>
        </is>
      </c>
    </row>
    <row r="60" ht="34" customHeight="1">
      <c r="A60" s="12" t="inlineStr">
        <is>
          <t>Contractor Programme</t>
        </is>
      </c>
      <c r="B60" s="12" t="inlineStr">
        <is>
          <t>SCH-01-067</t>
        </is>
      </c>
      <c r="C60" s="12" t="inlineStr">
        <is>
          <t>Depot lead: guideway pier reinforcement - inspection</t>
        </is>
      </c>
      <c r="D60" s="12" t="inlineStr">
        <is>
          <t>WBS Code = 1.1.1</t>
        </is>
      </c>
      <c r="E60" s="12" t="inlineStr">
        <is>
          <t>R67-v1</t>
        </is>
      </c>
      <c r="F60" s="12" t="inlineStr">
        <is>
          <t>1.1.1 Guideway and Civil - Guideway Structures</t>
        </is>
      </c>
      <c r="G60" s="12" t="inlineStr">
        <is>
          <t>ONE_TO_ONE</t>
        </is>
      </c>
      <c r="H60" s="12" t="inlineStr">
        <is>
          <t>APPROVED</t>
        </is>
      </c>
      <c r="I60" s="12" t="inlineStr">
        <is>
          <t>New</t>
        </is>
      </c>
      <c r="J60" s="12" t="inlineStr">
        <is>
          <t>Source assignment -- not individually reviewed</t>
        </is>
      </c>
      <c r="K60" s="12" t="inlineStr"/>
      <c r="L60" s="12" t="inlineStr"/>
      <c r="M60" s="12" t="inlineStr"/>
      <c r="N60" s="17" t="inlineStr">
        <is>
          <t>10 EVIDENCE &amp; DECISIONS</t>
        </is>
      </c>
    </row>
    <row r="61" ht="34" customHeight="1">
      <c r="A61" s="12" t="inlineStr">
        <is>
          <t>Contractor Programme</t>
        </is>
      </c>
      <c r="B61" s="12" t="inlineStr">
        <is>
          <t>SCH-01-068</t>
        </is>
      </c>
      <c r="C61" s="12" t="inlineStr">
        <is>
          <t>East portal: road restoration - turnover</t>
        </is>
      </c>
      <c r="D61" s="12" t="inlineStr">
        <is>
          <t>WBS Code = 1.1.1</t>
        </is>
      </c>
      <c r="E61" s="12" t="inlineStr">
        <is>
          <t>R68-v1</t>
        </is>
      </c>
      <c r="F61" s="12" t="inlineStr">
        <is>
          <t>1.1.1 Guideway and Civil - Guideway Structures</t>
        </is>
      </c>
      <c r="G61" s="12" t="inlineStr">
        <is>
          <t>ONE_TO_ONE</t>
        </is>
      </c>
      <c r="H61" s="12" t="inlineStr">
        <is>
          <t>APPROVED</t>
        </is>
      </c>
      <c r="I61" s="12" t="inlineStr">
        <is>
          <t>New</t>
        </is>
      </c>
      <c r="J61" s="12" t="inlineStr">
        <is>
          <t>Source assignment -- not individually reviewed</t>
        </is>
      </c>
      <c r="K61" s="12" t="inlineStr"/>
      <c r="L61" s="12" t="inlineStr"/>
      <c r="M61" s="12" t="inlineStr"/>
      <c r="N61" s="17" t="inlineStr">
        <is>
          <t>10 EVIDENCE &amp; DECISIONS</t>
        </is>
      </c>
    </row>
    <row r="62" ht="34" customHeight="1">
      <c r="A62" s="12" t="inlineStr">
        <is>
          <t>Contractor Programme</t>
        </is>
      </c>
      <c r="B62" s="12" t="inlineStr">
        <is>
          <t>SCH-01-070</t>
        </is>
      </c>
      <c r="C62" s="12" t="inlineStr">
        <is>
          <t>Central guideway: retaining-wall excavation - field start</t>
        </is>
      </c>
      <c r="D62" s="12" t="inlineStr">
        <is>
          <t>WBS Code = 1.1.1</t>
        </is>
      </c>
      <c r="E62" s="12" t="inlineStr">
        <is>
          <t>R70-v1</t>
        </is>
      </c>
      <c r="F62" s="12" t="inlineStr">
        <is>
          <t>1.1.1 Guideway and Civil - Guideway Structures</t>
        </is>
      </c>
      <c r="G62" s="12" t="inlineStr">
        <is>
          <t>ONE_TO_ONE</t>
        </is>
      </c>
      <c r="H62" s="12" t="inlineStr">
        <is>
          <t>APPROVED</t>
        </is>
      </c>
      <c r="I62" s="12" t="inlineStr">
        <is>
          <t>New</t>
        </is>
      </c>
      <c r="J62" s="12" t="inlineStr">
        <is>
          <t>Source assignment -- not individually reviewed</t>
        </is>
      </c>
      <c r="K62" s="12" t="inlineStr"/>
      <c r="L62" s="12" t="inlineStr"/>
      <c r="M62" s="12" t="inlineStr"/>
      <c r="N62" s="17" t="inlineStr">
        <is>
          <t>10 EVIDENCE &amp; DECISIONS</t>
        </is>
      </c>
    </row>
    <row r="63" ht="34" customHeight="1">
      <c r="A63" s="12" t="inlineStr">
        <is>
          <t>Contractor Programme</t>
        </is>
      </c>
      <c r="B63" s="12" t="inlineStr">
        <is>
          <t>SCH-01-071</t>
        </is>
      </c>
      <c r="C63" s="12" t="inlineStr">
        <is>
          <t>West approach: drainage tie-in - installation</t>
        </is>
      </c>
      <c r="D63" s="12" t="inlineStr">
        <is>
          <t>WBS Code = 1.1.1</t>
        </is>
      </c>
      <c r="E63" s="12" t="inlineStr">
        <is>
          <t>R71-v1</t>
        </is>
      </c>
      <c r="F63" s="12" t="inlineStr">
        <is>
          <t>1.1.1 Guideway and Civil - Guideway Structures</t>
        </is>
      </c>
      <c r="G63" s="12" t="inlineStr">
        <is>
          <t>ONE_TO_ONE</t>
        </is>
      </c>
      <c r="H63" s="12" t="inlineStr">
        <is>
          <t>APPROVED</t>
        </is>
      </c>
      <c r="I63" s="12" t="inlineStr">
        <is>
          <t>New</t>
        </is>
      </c>
      <c r="J63" s="12" t="inlineStr">
        <is>
          <t>Source assignment -- not individually reviewed</t>
        </is>
      </c>
      <c r="K63" s="12" t="inlineStr"/>
      <c r="L63" s="12" t="inlineStr"/>
      <c r="M63" s="12" t="inlineStr"/>
      <c r="N63" s="17" t="inlineStr">
        <is>
          <t>10 EVIDENCE &amp; DECISIONS</t>
        </is>
      </c>
    </row>
    <row r="64" ht="34" customHeight="1">
      <c r="A64" s="12" t="inlineStr">
        <is>
          <t>Contractor Programme</t>
        </is>
      </c>
      <c r="B64" s="12" t="inlineStr">
        <is>
          <t>SCH-01-073</t>
        </is>
      </c>
      <c r="C64" s="12" t="inlineStr">
        <is>
          <t>East portal: track-slab survey - turnover</t>
        </is>
      </c>
      <c r="D64" s="12" t="inlineStr">
        <is>
          <t>WBS Code = 1.1.1</t>
        </is>
      </c>
      <c r="E64" s="12" t="inlineStr">
        <is>
          <t>R73-v1</t>
        </is>
      </c>
      <c r="F64" s="12" t="inlineStr">
        <is>
          <t>1.1.1 Guideway and Civil - Guideway Structures</t>
        </is>
      </c>
      <c r="G64" s="12" t="inlineStr">
        <is>
          <t>ONE_TO_ONE</t>
        </is>
      </c>
      <c r="H64" s="12" t="inlineStr">
        <is>
          <t>APPROVED</t>
        </is>
      </c>
      <c r="I64" s="12" t="inlineStr">
        <is>
          <t>New</t>
        </is>
      </c>
      <c r="J64" s="12" t="inlineStr">
        <is>
          <t>Source assignment -- not individually reviewed</t>
        </is>
      </c>
      <c r="K64" s="12" t="inlineStr"/>
      <c r="L64" s="12" t="inlineStr"/>
      <c r="M64" s="12" t="inlineStr"/>
      <c r="N64" s="17" t="inlineStr">
        <is>
          <t>10 EVIDENCE &amp; DECISIONS</t>
        </is>
      </c>
    </row>
    <row r="65" ht="34" customHeight="1">
      <c r="A65" s="12" t="inlineStr">
        <is>
          <t>Contractor Programme</t>
        </is>
      </c>
      <c r="B65" s="12" t="inlineStr">
        <is>
          <t>SCH-01-074</t>
        </is>
      </c>
      <c r="C65" s="12" t="inlineStr">
        <is>
          <t>River crossing: temporary traffic staging - release</t>
        </is>
      </c>
      <c r="D65" s="12" t="inlineStr">
        <is>
          <t>WBS Code = 1.1.1</t>
        </is>
      </c>
      <c r="E65" s="12" t="inlineStr">
        <is>
          <t>R74-v1</t>
        </is>
      </c>
      <c r="F65" s="12" t="inlineStr">
        <is>
          <t>1.1.1 Guideway and Civil - Guideway Structures</t>
        </is>
      </c>
      <c r="G65" s="12" t="inlineStr">
        <is>
          <t>ONE_TO_ONE</t>
        </is>
      </c>
      <c r="H65" s="12" t="inlineStr">
        <is>
          <t>APPROVED</t>
        </is>
      </c>
      <c r="I65" s="12" t="inlineStr">
        <is>
          <t>New</t>
        </is>
      </c>
      <c r="J65" s="12" t="inlineStr">
        <is>
          <t>Source assignment -- not individually reviewed</t>
        </is>
      </c>
      <c r="K65" s="12" t="inlineStr"/>
      <c r="L65" s="12" t="inlineStr"/>
      <c r="M65" s="12" t="inlineStr"/>
      <c r="N65" s="17" t="inlineStr">
        <is>
          <t>10 EVIDENCE &amp; DECISIONS</t>
        </is>
      </c>
    </row>
    <row r="66" ht="34" customHeight="1">
      <c r="A66" s="12" t="inlineStr">
        <is>
          <t>Contractor Programme</t>
        </is>
      </c>
      <c r="B66" s="12" t="inlineStr">
        <is>
          <t>SCH-01-076</t>
        </is>
      </c>
      <c r="C66" s="12" t="inlineStr">
        <is>
          <t>West approach: road restoration - installation</t>
        </is>
      </c>
      <c r="D66" s="12" t="inlineStr">
        <is>
          <t>WBS Code = 1.1.1</t>
        </is>
      </c>
      <c r="E66" s="12" t="inlineStr">
        <is>
          <t>R76-v1</t>
        </is>
      </c>
      <c r="F66" s="12" t="inlineStr">
        <is>
          <t>1.1.1 Guideway and Civil - Guideway Structures</t>
        </is>
      </c>
      <c r="G66" s="12" t="inlineStr">
        <is>
          <t>ONE_TO_ONE</t>
        </is>
      </c>
      <c r="H66" s="12" t="inlineStr">
        <is>
          <t>APPROVED</t>
        </is>
      </c>
      <c r="I66" s="12" t="inlineStr">
        <is>
          <t>New</t>
        </is>
      </c>
      <c r="J66" s="12" t="inlineStr">
        <is>
          <t>Source assignment -- not individually reviewed</t>
        </is>
      </c>
      <c r="K66" s="12" t="inlineStr"/>
      <c r="L66" s="12" t="inlineStr"/>
      <c r="M66" s="12" t="inlineStr"/>
      <c r="N66" s="17" t="inlineStr">
        <is>
          <t>10 EVIDENCE &amp; DECISIONS</t>
        </is>
      </c>
    </row>
    <row r="67" ht="34" customHeight="1">
      <c r="A67" s="12" t="inlineStr">
        <is>
          <t>Contractor Programme</t>
        </is>
      </c>
      <c r="B67" s="12" t="inlineStr">
        <is>
          <t>SCH-01-077</t>
        </is>
      </c>
      <c r="C67" s="12" t="inlineStr">
        <is>
          <t>Depot lead: drilled-shaft installation - inspection</t>
        </is>
      </c>
      <c r="D67" s="12" t="inlineStr">
        <is>
          <t>WBS Code = 1.1.1</t>
        </is>
      </c>
      <c r="E67" s="12" t="inlineStr">
        <is>
          <t>R77-v1</t>
        </is>
      </c>
      <c r="F67" s="12" t="inlineStr">
        <is>
          <t>1.1.1 Guideway and Civil - Guideway Structures</t>
        </is>
      </c>
      <c r="G67" s="12" t="inlineStr">
        <is>
          <t>ONE_TO_ONE</t>
        </is>
      </c>
      <c r="H67" s="12" t="inlineStr">
        <is>
          <t>APPROVED</t>
        </is>
      </c>
      <c r="I67" s="12" t="inlineStr">
        <is>
          <t>New</t>
        </is>
      </c>
      <c r="J67" s="12" t="inlineStr">
        <is>
          <t>Source assignment -- not individually reviewed</t>
        </is>
      </c>
      <c r="K67" s="12" t="inlineStr"/>
      <c r="L67" s="12" t="inlineStr"/>
      <c r="M67" s="12" t="inlineStr"/>
      <c r="N67" s="17" t="inlineStr">
        <is>
          <t>10 EVIDENCE &amp; DECISIONS</t>
        </is>
      </c>
    </row>
    <row r="68" ht="34" customHeight="1">
      <c r="A68" s="12" t="inlineStr">
        <is>
          <t>Contractor Programme</t>
        </is>
      </c>
      <c r="B68" s="12" t="inlineStr">
        <is>
          <t>SCH-01-079</t>
        </is>
      </c>
      <c r="C68" s="12" t="inlineStr">
        <is>
          <t>River crossing: drainage tie-in - release</t>
        </is>
      </c>
      <c r="D68" s="12" t="inlineStr">
        <is>
          <t>WBS Code = 1.1.1</t>
        </is>
      </c>
      <c r="E68" s="12" t="inlineStr">
        <is>
          <t>R79-v1</t>
        </is>
      </c>
      <c r="F68" s="12" t="inlineStr">
        <is>
          <t>1.1.1 Guideway and Civil - Guideway Structures</t>
        </is>
      </c>
      <c r="G68" s="12" t="inlineStr">
        <is>
          <t>ONE_TO_ONE</t>
        </is>
      </c>
      <c r="H68" s="12" t="inlineStr">
        <is>
          <t>APPROVED</t>
        </is>
      </c>
      <c r="I68" s="12" t="inlineStr">
        <is>
          <t>New</t>
        </is>
      </c>
      <c r="J68" s="12" t="inlineStr">
        <is>
          <t>Source assignment -- not individually reviewed</t>
        </is>
      </c>
      <c r="K68" s="12" t="inlineStr"/>
      <c r="L68" s="12" t="inlineStr"/>
      <c r="M68" s="12" t="inlineStr"/>
      <c r="N68" s="17" t="inlineStr">
        <is>
          <t>10 EVIDENCE &amp; DECISIONS</t>
        </is>
      </c>
    </row>
    <row r="69" ht="34" customHeight="1">
      <c r="A69" s="12" t="inlineStr">
        <is>
          <t>Contractor Programme</t>
        </is>
      </c>
      <c r="B69" s="12" t="inlineStr">
        <is>
          <t>SCH-01-080</t>
        </is>
      </c>
      <c r="C69" s="12" t="inlineStr">
        <is>
          <t>Central guideway: utility relocation - field start</t>
        </is>
      </c>
      <c r="D69" s="12" t="inlineStr">
        <is>
          <t>WBS Code = 1.1.1</t>
        </is>
      </c>
      <c r="E69" s="12" t="inlineStr">
        <is>
          <t>R80-v1</t>
        </is>
      </c>
      <c r="F69" s="12" t="inlineStr">
        <is>
          <t>1.1.1 Guideway and Civil - Guideway Structures</t>
        </is>
      </c>
      <c r="G69" s="12" t="inlineStr">
        <is>
          <t>ONE_TO_ONE</t>
        </is>
      </c>
      <c r="H69" s="12" t="inlineStr">
        <is>
          <t>APPROVED</t>
        </is>
      </c>
      <c r="I69" s="12" t="inlineStr">
        <is>
          <t>New</t>
        </is>
      </c>
      <c r="J69" s="12" t="inlineStr">
        <is>
          <t>Source assignment -- not individually reviewed</t>
        </is>
      </c>
      <c r="K69" s="12" t="inlineStr"/>
      <c r="L69" s="12" t="inlineStr"/>
      <c r="M69" s="12" t="inlineStr"/>
      <c r="N69" s="17" t="inlineStr">
        <is>
          <t>10 EVIDENCE &amp; DECISIONS</t>
        </is>
      </c>
    </row>
    <row r="70" ht="34" customHeight="1">
      <c r="A70" s="12" t="inlineStr">
        <is>
          <t>Contractor Programme</t>
        </is>
      </c>
      <c r="B70" s="12" t="inlineStr">
        <is>
          <t>SCH-01-082</t>
        </is>
      </c>
      <c r="C70" s="12" t="inlineStr">
        <is>
          <t>Depot lead: temporary traffic staging - inspection</t>
        </is>
      </c>
      <c r="D70" s="12" t="inlineStr">
        <is>
          <t>WBS Code = 1.1.1</t>
        </is>
      </c>
      <c r="E70" s="12" t="inlineStr">
        <is>
          <t>R82-v1</t>
        </is>
      </c>
      <c r="F70" s="12" t="inlineStr">
        <is>
          <t>1.1.1 Guideway and Civil - Guideway Structures</t>
        </is>
      </c>
      <c r="G70" s="12" t="inlineStr">
        <is>
          <t>ONE_TO_ONE</t>
        </is>
      </c>
      <c r="H70" s="12" t="inlineStr">
        <is>
          <t>APPROVED</t>
        </is>
      </c>
      <c r="I70" s="12" t="inlineStr">
        <is>
          <t>New</t>
        </is>
      </c>
      <c r="J70" s="12" t="inlineStr">
        <is>
          <t>Source assignment -- not individually reviewed</t>
        </is>
      </c>
      <c r="K70" s="12" t="inlineStr"/>
      <c r="L70" s="12" t="inlineStr"/>
      <c r="M70" s="12" t="inlineStr"/>
      <c r="N70" s="17" t="inlineStr">
        <is>
          <t>10 EVIDENCE &amp; DECISIONS</t>
        </is>
      </c>
    </row>
    <row r="71" ht="34" customHeight="1">
      <c r="A71" s="12" t="inlineStr">
        <is>
          <t>Contractor Programme</t>
        </is>
      </c>
      <c r="B71" s="12" t="inlineStr">
        <is>
          <t>SCH-01-083</t>
        </is>
      </c>
      <c r="C71" s="12" t="inlineStr">
        <is>
          <t>East portal: guideway pier reinforcement - turnover</t>
        </is>
      </c>
      <c r="D71" s="12" t="inlineStr">
        <is>
          <t>WBS Code = 1.1.1</t>
        </is>
      </c>
      <c r="E71" s="12" t="inlineStr">
        <is>
          <t>R83-v1</t>
        </is>
      </c>
      <c r="F71" s="12" t="inlineStr">
        <is>
          <t>1.1.1 Guideway and Civil - Guideway Structures</t>
        </is>
      </c>
      <c r="G71" s="12" t="inlineStr">
        <is>
          <t>ONE_TO_ONE</t>
        </is>
      </c>
      <c r="H71" s="12" t="inlineStr">
        <is>
          <t>APPROVED</t>
        </is>
      </c>
      <c r="I71" s="12" t="inlineStr">
        <is>
          <t>New</t>
        </is>
      </c>
      <c r="J71" s="12" t="inlineStr">
        <is>
          <t>Source assignment -- not individually reviewed</t>
        </is>
      </c>
      <c r="K71" s="12" t="inlineStr"/>
      <c r="L71" s="12" t="inlineStr"/>
      <c r="M71" s="12" t="inlineStr"/>
      <c r="N71" s="17" t="inlineStr">
        <is>
          <t>10 EVIDENCE &amp; DECISIONS</t>
        </is>
      </c>
    </row>
    <row r="72" ht="34" customHeight="1">
      <c r="A72" s="12" t="inlineStr">
        <is>
          <t>Contractor Programme</t>
        </is>
      </c>
      <c r="B72" s="12" t="inlineStr">
        <is>
          <t>SCH-01-085</t>
        </is>
      </c>
      <c r="C72" s="12" t="inlineStr">
        <is>
          <t>Central guideway: drilled-shaft installation - field start</t>
        </is>
      </c>
      <c r="D72" s="12" t="inlineStr">
        <is>
          <t>WBS Code = 1.1.1</t>
        </is>
      </c>
      <c r="E72" s="12" t="inlineStr">
        <is>
          <t>R85-v1</t>
        </is>
      </c>
      <c r="F72" s="12" t="inlineStr">
        <is>
          <t>1.1.1 Guideway and Civil - Guideway Structures</t>
        </is>
      </c>
      <c r="G72" s="12" t="inlineStr">
        <is>
          <t>ONE_TO_ONE</t>
        </is>
      </c>
      <c r="H72" s="12" t="inlineStr">
        <is>
          <t>APPROVED</t>
        </is>
      </c>
      <c r="I72" s="12" t="inlineStr">
        <is>
          <t>New</t>
        </is>
      </c>
      <c r="J72" s="12" t="inlineStr">
        <is>
          <t>Source assignment -- not individually reviewed</t>
        </is>
      </c>
      <c r="K72" s="12" t="inlineStr"/>
      <c r="L72" s="12" t="inlineStr"/>
      <c r="M72" s="12" t="inlineStr"/>
      <c r="N72" s="17" t="inlineStr">
        <is>
          <t>10 EVIDENCE &amp; DECISIONS</t>
        </is>
      </c>
    </row>
    <row r="73" ht="34" customHeight="1">
      <c r="A73" s="12" t="inlineStr">
        <is>
          <t>Contractor Programme</t>
        </is>
      </c>
      <c r="B73" s="12" t="inlineStr">
        <is>
          <t>SCH-01-086</t>
        </is>
      </c>
      <c r="C73" s="12" t="inlineStr">
        <is>
          <t>West approach: retaining-wall excavation - installation</t>
        </is>
      </c>
      <c r="D73" s="12" t="inlineStr">
        <is>
          <t>WBS Code = 1.1.1</t>
        </is>
      </c>
      <c r="E73" s="12" t="inlineStr">
        <is>
          <t>R86-v1</t>
        </is>
      </c>
      <c r="F73" s="12" t="inlineStr">
        <is>
          <t>1.1.1 Guideway and Civil - Guideway Structures</t>
        </is>
      </c>
      <c r="G73" s="12" t="inlineStr">
        <is>
          <t>ONE_TO_ONE</t>
        </is>
      </c>
      <c r="H73" s="12" t="inlineStr">
        <is>
          <t>APPROVED</t>
        </is>
      </c>
      <c r="I73" s="12" t="inlineStr">
        <is>
          <t>New</t>
        </is>
      </c>
      <c r="J73" s="12" t="inlineStr">
        <is>
          <t>Source assignment -- not individually reviewed</t>
        </is>
      </c>
      <c r="K73" s="12" t="inlineStr"/>
      <c r="L73" s="12" t="inlineStr"/>
      <c r="M73" s="12" t="inlineStr"/>
      <c r="N73" s="17" t="inlineStr">
        <is>
          <t>10 EVIDENCE &amp; DECISIONS</t>
        </is>
      </c>
    </row>
    <row r="74" ht="34" customHeight="1">
      <c r="A74" s="12" t="inlineStr">
        <is>
          <t>Contractor Programme</t>
        </is>
      </c>
      <c r="B74" s="12" t="inlineStr">
        <is>
          <t>SCH-01-088</t>
        </is>
      </c>
      <c r="C74" s="12" t="inlineStr">
        <is>
          <t>East portal: utility relocation - turnover</t>
        </is>
      </c>
      <c r="D74" s="12" t="inlineStr">
        <is>
          <t>WBS Code = 1.1.1</t>
        </is>
      </c>
      <c r="E74" s="12" t="inlineStr">
        <is>
          <t>R88-v1</t>
        </is>
      </c>
      <c r="F74" s="12" t="inlineStr">
        <is>
          <t>1.1.1 Guideway and Civil - Guideway Structures</t>
        </is>
      </c>
      <c r="G74" s="12" t="inlineStr">
        <is>
          <t>ONE_TO_ONE</t>
        </is>
      </c>
      <c r="H74" s="12" t="inlineStr">
        <is>
          <t>APPROVED</t>
        </is>
      </c>
      <c r="I74" s="12" t="inlineStr">
        <is>
          <t>New</t>
        </is>
      </c>
      <c r="J74" s="12" t="inlineStr">
        <is>
          <t>Source assignment -- not individually reviewed</t>
        </is>
      </c>
      <c r="K74" s="12" t="inlineStr"/>
      <c r="L74" s="12" t="inlineStr"/>
      <c r="M74" s="12" t="inlineStr"/>
      <c r="N74" s="17" t="inlineStr">
        <is>
          <t>10 EVIDENCE &amp; DECISIONS</t>
        </is>
      </c>
    </row>
    <row r="75" ht="34" customHeight="1">
      <c r="A75" s="12" t="inlineStr">
        <is>
          <t>Contractor Programme</t>
        </is>
      </c>
      <c r="B75" s="12" t="inlineStr">
        <is>
          <t>SCH-01-089</t>
        </is>
      </c>
      <c r="C75" s="12" t="inlineStr">
        <is>
          <t>River crossing: track-slab survey - release</t>
        </is>
      </c>
      <c r="D75" s="12" t="inlineStr">
        <is>
          <t>WBS Code = 1.1.1</t>
        </is>
      </c>
      <c r="E75" s="12" t="inlineStr">
        <is>
          <t>R89-v1</t>
        </is>
      </c>
      <c r="F75" s="12" t="inlineStr">
        <is>
          <t>1.1.1 Guideway and Civil - Guideway Structures</t>
        </is>
      </c>
      <c r="G75" s="12" t="inlineStr">
        <is>
          <t>ONE_TO_ONE</t>
        </is>
      </c>
      <c r="H75" s="12" t="inlineStr">
        <is>
          <t>APPROVED</t>
        </is>
      </c>
      <c r="I75" s="12" t="inlineStr">
        <is>
          <t>New</t>
        </is>
      </c>
      <c r="J75" s="12" t="inlineStr">
        <is>
          <t>Source assignment -- not individually reviewed</t>
        </is>
      </c>
      <c r="K75" s="12" t="inlineStr"/>
      <c r="L75" s="12" t="inlineStr"/>
      <c r="M75" s="12" t="inlineStr"/>
      <c r="N75" s="17" t="inlineStr">
        <is>
          <t>10 EVIDENCE &amp; DECISIONS</t>
        </is>
      </c>
    </row>
    <row r="76" ht="34" customHeight="1">
      <c r="A76" s="12" t="inlineStr">
        <is>
          <t>Contractor Programme</t>
        </is>
      </c>
      <c r="B76" s="12" t="inlineStr">
        <is>
          <t>SCH-01-091</t>
        </is>
      </c>
      <c r="C76" s="12" t="inlineStr">
        <is>
          <t>West approach: guideway pier reinforcement - installation</t>
        </is>
      </c>
      <c r="D76" s="12" t="inlineStr">
        <is>
          <t>WBS Code = 1.1.1</t>
        </is>
      </c>
      <c r="E76" s="12" t="inlineStr">
        <is>
          <t>R91-v1</t>
        </is>
      </c>
      <c r="F76" s="12" t="inlineStr">
        <is>
          <t>1.1.1 Guideway and Civil - Guideway Structures</t>
        </is>
      </c>
      <c r="G76" s="12" t="inlineStr">
        <is>
          <t>ONE_TO_ONE</t>
        </is>
      </c>
      <c r="H76" s="12" t="inlineStr">
        <is>
          <t>APPROVED</t>
        </is>
      </c>
      <c r="I76" s="12" t="inlineStr">
        <is>
          <t>New</t>
        </is>
      </c>
      <c r="J76" s="12" t="inlineStr">
        <is>
          <t>Source assignment -- not individually reviewed</t>
        </is>
      </c>
      <c r="K76" s="12" t="inlineStr"/>
      <c r="L76" s="12" t="inlineStr"/>
      <c r="M76" s="12" t="inlineStr"/>
      <c r="N76" s="17" t="inlineStr">
        <is>
          <t>10 EVIDENCE &amp; DECISIONS</t>
        </is>
      </c>
    </row>
    <row r="77" ht="34" customHeight="1">
      <c r="A77" s="12" t="inlineStr">
        <is>
          <t>Contractor Programme</t>
        </is>
      </c>
      <c r="B77" s="12" t="inlineStr">
        <is>
          <t>SCH-01-092</t>
        </is>
      </c>
      <c r="C77" s="12" t="inlineStr">
        <is>
          <t>Depot lead: road restoration - inspection</t>
        </is>
      </c>
      <c r="D77" s="12" t="inlineStr">
        <is>
          <t>WBS Code = 1.1.1</t>
        </is>
      </c>
      <c r="E77" s="12" t="inlineStr">
        <is>
          <t>R92-v1</t>
        </is>
      </c>
      <c r="F77" s="12" t="inlineStr">
        <is>
          <t>1.1.1 Guideway and Civil - Guideway Structures</t>
        </is>
      </c>
      <c r="G77" s="12" t="inlineStr">
        <is>
          <t>ONE_TO_ONE</t>
        </is>
      </c>
      <c r="H77" s="12" t="inlineStr">
        <is>
          <t>APPROVED</t>
        </is>
      </c>
      <c r="I77" s="12" t="inlineStr">
        <is>
          <t>New</t>
        </is>
      </c>
      <c r="J77" s="12" t="inlineStr">
        <is>
          <t>Source assignment -- not individually reviewed</t>
        </is>
      </c>
      <c r="K77" s="12" t="inlineStr"/>
      <c r="L77" s="12" t="inlineStr"/>
      <c r="M77" s="12" t="inlineStr"/>
      <c r="N77" s="17" t="inlineStr">
        <is>
          <t>10 EVIDENCE &amp; DECISIONS</t>
        </is>
      </c>
    </row>
    <row r="78" ht="34" customHeight="1">
      <c r="A78" s="12" t="inlineStr">
        <is>
          <t>Contractor Programme</t>
        </is>
      </c>
      <c r="B78" s="12" t="inlineStr">
        <is>
          <t>SCH-01-094</t>
        </is>
      </c>
      <c r="C78" s="12" t="inlineStr">
        <is>
          <t>River crossing: retaining-wall excavation - release</t>
        </is>
      </c>
      <c r="D78" s="12" t="inlineStr">
        <is>
          <t>WBS Code = 1.1.1</t>
        </is>
      </c>
      <c r="E78" s="12" t="inlineStr">
        <is>
          <t>R94-v1</t>
        </is>
      </c>
      <c r="F78" s="12" t="inlineStr">
        <is>
          <t>1.1.1 Guideway and Civil - Guideway Structures</t>
        </is>
      </c>
      <c r="G78" s="12" t="inlineStr">
        <is>
          <t>ONE_TO_ONE</t>
        </is>
      </c>
      <c r="H78" s="12" t="inlineStr">
        <is>
          <t>APPROVED</t>
        </is>
      </c>
      <c r="I78" s="12" t="inlineStr">
        <is>
          <t>New</t>
        </is>
      </c>
      <c r="J78" s="12" t="inlineStr">
        <is>
          <t>Source assignment -- not individually reviewed</t>
        </is>
      </c>
      <c r="K78" s="12" t="inlineStr"/>
      <c r="L78" s="12" t="inlineStr"/>
      <c r="M78" s="12" t="inlineStr"/>
      <c r="N78" s="17" t="inlineStr">
        <is>
          <t>10 EVIDENCE &amp; DECISIONS</t>
        </is>
      </c>
    </row>
    <row r="79" ht="34" customHeight="1">
      <c r="A79" s="12" t="inlineStr">
        <is>
          <t>Contractor Programme</t>
        </is>
      </c>
      <c r="B79" s="12" t="inlineStr">
        <is>
          <t>SCH-01-095</t>
        </is>
      </c>
      <c r="C79" s="12" t="inlineStr">
        <is>
          <t>Central guideway: drainage tie-in - field start</t>
        </is>
      </c>
      <c r="D79" s="12" t="inlineStr">
        <is>
          <t>WBS Code = 1.1.1</t>
        </is>
      </c>
      <c r="E79" s="12" t="inlineStr">
        <is>
          <t>R95-v1</t>
        </is>
      </c>
      <c r="F79" s="12" t="inlineStr">
        <is>
          <t>1.1.1 Guideway and Civil - Guideway Structures</t>
        </is>
      </c>
      <c r="G79" s="12" t="inlineStr">
        <is>
          <t>ONE_TO_ONE</t>
        </is>
      </c>
      <c r="H79" s="12" t="inlineStr">
        <is>
          <t>APPROVED</t>
        </is>
      </c>
      <c r="I79" s="12" t="inlineStr">
        <is>
          <t>New</t>
        </is>
      </c>
      <c r="J79" s="12" t="inlineStr">
        <is>
          <t>Source assignment -- not individually reviewed</t>
        </is>
      </c>
      <c r="K79" s="12" t="inlineStr"/>
      <c r="L79" s="12" t="inlineStr"/>
      <c r="M79" s="12" t="inlineStr"/>
      <c r="N79" s="17" t="inlineStr">
        <is>
          <t>10 EVIDENCE &amp; DECISIONS</t>
        </is>
      </c>
    </row>
    <row r="80" ht="34" customHeight="1">
      <c r="A80" s="12" t="inlineStr">
        <is>
          <t>Contractor Programme</t>
        </is>
      </c>
      <c r="B80" s="12" t="inlineStr">
        <is>
          <t>SCH-01-097</t>
        </is>
      </c>
      <c r="C80" s="12" t="inlineStr">
        <is>
          <t>Depot lead: track-slab survey - inspection</t>
        </is>
      </c>
      <c r="D80" s="12" t="inlineStr">
        <is>
          <t>WBS Code = 1.1.1</t>
        </is>
      </c>
      <c r="E80" s="12" t="inlineStr">
        <is>
          <t>R97-v1</t>
        </is>
      </c>
      <c r="F80" s="12" t="inlineStr">
        <is>
          <t>1.1.1 Guideway and Civil - Guideway Structures</t>
        </is>
      </c>
      <c r="G80" s="12" t="inlineStr">
        <is>
          <t>ONE_TO_ONE</t>
        </is>
      </c>
      <c r="H80" s="12" t="inlineStr">
        <is>
          <t>APPROVED</t>
        </is>
      </c>
      <c r="I80" s="12" t="inlineStr">
        <is>
          <t>New</t>
        </is>
      </c>
      <c r="J80" s="12" t="inlineStr">
        <is>
          <t>Source assignment -- not individually reviewed</t>
        </is>
      </c>
      <c r="K80" s="12" t="inlineStr"/>
      <c r="L80" s="12" t="inlineStr"/>
      <c r="M80" s="12" t="inlineStr"/>
      <c r="N80" s="17" t="inlineStr">
        <is>
          <t>10 EVIDENCE &amp; DECISIONS</t>
        </is>
      </c>
    </row>
    <row r="81" ht="34" customHeight="1">
      <c r="A81" s="12" t="inlineStr">
        <is>
          <t>Contractor Programme</t>
        </is>
      </c>
      <c r="B81" s="12" t="inlineStr">
        <is>
          <t>SCH-01-098</t>
        </is>
      </c>
      <c r="C81" s="12" t="inlineStr">
        <is>
          <t>East portal: temporary traffic staging - turnover</t>
        </is>
      </c>
      <c r="D81" s="12" t="inlineStr">
        <is>
          <t>WBS Code = 1.1.1</t>
        </is>
      </c>
      <c r="E81" s="12" t="inlineStr">
        <is>
          <t>R98-v1</t>
        </is>
      </c>
      <c r="F81" s="12" t="inlineStr">
        <is>
          <t>1.1.1 Guideway and Civil - Guideway Structures</t>
        </is>
      </c>
      <c r="G81" s="12" t="inlineStr">
        <is>
          <t>ONE_TO_ONE</t>
        </is>
      </c>
      <c r="H81" s="12" t="inlineStr">
        <is>
          <t>APPROVED</t>
        </is>
      </c>
      <c r="I81" s="12" t="inlineStr">
        <is>
          <t>New</t>
        </is>
      </c>
      <c r="J81" s="12" t="inlineStr">
        <is>
          <t>Source assignment -- not individually reviewed</t>
        </is>
      </c>
      <c r="K81" s="12" t="inlineStr"/>
      <c r="L81" s="12" t="inlineStr"/>
      <c r="M81" s="12" t="inlineStr"/>
      <c r="N81" s="17" t="inlineStr">
        <is>
          <t>10 EVIDENCE &amp; DECISIONS</t>
        </is>
      </c>
    </row>
    <row r="82" ht="34" customHeight="1">
      <c r="A82" s="12" t="inlineStr">
        <is>
          <t>Contractor Programme</t>
        </is>
      </c>
      <c r="B82" s="12" t="inlineStr">
        <is>
          <t>SCH-01-100</t>
        </is>
      </c>
      <c r="C82" s="12" t="inlineStr">
        <is>
          <t>Central guideway: road restoration - field start</t>
        </is>
      </c>
      <c r="D82" s="12" t="inlineStr">
        <is>
          <t>WBS Code = 1.1.1</t>
        </is>
      </c>
      <c r="E82" s="12" t="inlineStr">
        <is>
          <t>R100-v1</t>
        </is>
      </c>
      <c r="F82" s="12" t="inlineStr">
        <is>
          <t>1.1.1 Guideway and Civil - Guideway Structures</t>
        </is>
      </c>
      <c r="G82" s="12" t="inlineStr">
        <is>
          <t>ONE_TO_ONE</t>
        </is>
      </c>
      <c r="H82" s="12" t="inlineStr">
        <is>
          <t>APPROVED</t>
        </is>
      </c>
      <c r="I82" s="12" t="inlineStr">
        <is>
          <t>New</t>
        </is>
      </c>
      <c r="J82" s="12" t="inlineStr">
        <is>
          <t>Source assignment -- not individually reviewed</t>
        </is>
      </c>
      <c r="K82" s="12" t="inlineStr"/>
      <c r="L82" s="12" t="inlineStr"/>
      <c r="M82" s="12" t="inlineStr"/>
      <c r="N82" s="17" t="inlineStr">
        <is>
          <t>10 EVIDENCE &amp; DECISIONS</t>
        </is>
      </c>
    </row>
    <row r="83" ht="34" customHeight="1">
      <c r="A83" s="12" t="inlineStr">
        <is>
          <t>Contractor Programme</t>
        </is>
      </c>
      <c r="B83" s="12" t="inlineStr">
        <is>
          <t>SCH-01-101</t>
        </is>
      </c>
      <c r="C83" s="12" t="inlineStr">
        <is>
          <t>West approach: drilled-shaft installation - installation</t>
        </is>
      </c>
      <c r="D83" s="12" t="inlineStr">
        <is>
          <t>WBS Code = 1.1.1</t>
        </is>
      </c>
      <c r="E83" s="12" t="inlineStr">
        <is>
          <t>R101-v1</t>
        </is>
      </c>
      <c r="F83" s="12" t="inlineStr">
        <is>
          <t>1.1.1 Guideway and Civil - Guideway Structures</t>
        </is>
      </c>
      <c r="G83" s="12" t="inlineStr">
        <is>
          <t>ONE_TO_ONE</t>
        </is>
      </c>
      <c r="H83" s="12" t="inlineStr">
        <is>
          <t>APPROVED</t>
        </is>
      </c>
      <c r="I83" s="12" t="inlineStr">
        <is>
          <t>New</t>
        </is>
      </c>
      <c r="J83" s="12" t="inlineStr">
        <is>
          <t>Source assignment -- not individually reviewed</t>
        </is>
      </c>
      <c r="K83" s="12" t="inlineStr"/>
      <c r="L83" s="12" t="inlineStr"/>
      <c r="M83" s="12" t="inlineStr"/>
      <c r="N83" s="17" t="inlineStr">
        <is>
          <t>10 EVIDENCE &amp; DECISIONS</t>
        </is>
      </c>
    </row>
    <row r="84" ht="34" customHeight="1">
      <c r="A84" s="12" t="inlineStr">
        <is>
          <t>Contractor Programme</t>
        </is>
      </c>
      <c r="B84" s="12" t="inlineStr">
        <is>
          <t>SCH-01-103</t>
        </is>
      </c>
      <c r="C84" s="12" t="inlineStr">
        <is>
          <t>East portal: drainage tie-in - turnover</t>
        </is>
      </c>
      <c r="D84" s="12" t="inlineStr">
        <is>
          <t>WBS Code = 1.1.1</t>
        </is>
      </c>
      <c r="E84" s="12" t="inlineStr">
        <is>
          <t>R103-v1</t>
        </is>
      </c>
      <c r="F84" s="12" t="inlineStr">
        <is>
          <t>1.1.1 Guideway and Civil - Guideway Structures</t>
        </is>
      </c>
      <c r="G84" s="12" t="inlineStr">
        <is>
          <t>ONE_TO_ONE</t>
        </is>
      </c>
      <c r="H84" s="12" t="inlineStr">
        <is>
          <t>APPROVED</t>
        </is>
      </c>
      <c r="I84" s="12" t="inlineStr">
        <is>
          <t>New</t>
        </is>
      </c>
      <c r="J84" s="12" t="inlineStr">
        <is>
          <t>Source assignment -- not individually reviewed</t>
        </is>
      </c>
      <c r="K84" s="12" t="inlineStr"/>
      <c r="L84" s="12" t="inlineStr"/>
      <c r="M84" s="12" t="inlineStr"/>
      <c r="N84" s="17" t="inlineStr">
        <is>
          <t>10 EVIDENCE &amp; DECISIONS</t>
        </is>
      </c>
    </row>
    <row r="85" ht="34" customHeight="1">
      <c r="A85" s="12" t="inlineStr">
        <is>
          <t>Contractor Programme</t>
        </is>
      </c>
      <c r="B85" s="12" t="inlineStr">
        <is>
          <t>SCH-01-104</t>
        </is>
      </c>
      <c r="C85" s="12" t="inlineStr">
        <is>
          <t>River crossing: utility relocation - release</t>
        </is>
      </c>
      <c r="D85" s="12" t="inlineStr">
        <is>
          <t>WBS Code = 1.1.1</t>
        </is>
      </c>
      <c r="E85" s="12" t="inlineStr">
        <is>
          <t>R104-v1</t>
        </is>
      </c>
      <c r="F85" s="12" t="inlineStr">
        <is>
          <t>1.1.1 Guideway and Civil - Guideway Structures</t>
        </is>
      </c>
      <c r="G85" s="12" t="inlineStr">
        <is>
          <t>ONE_TO_ONE</t>
        </is>
      </c>
      <c r="H85" s="12" t="inlineStr">
        <is>
          <t>APPROVED</t>
        </is>
      </c>
      <c r="I85" s="12" t="inlineStr">
        <is>
          <t>New</t>
        </is>
      </c>
      <c r="J85" s="12" t="inlineStr">
        <is>
          <t>Source assignment -- not individually reviewed</t>
        </is>
      </c>
      <c r="K85" s="12" t="inlineStr"/>
      <c r="L85" s="12" t="inlineStr"/>
      <c r="M85" s="12" t="inlineStr"/>
      <c r="N85" s="17" t="inlineStr">
        <is>
          <t>10 EVIDENCE &amp; DECISIONS</t>
        </is>
      </c>
    </row>
    <row r="86" ht="34" customHeight="1">
      <c r="A86" s="12" t="inlineStr">
        <is>
          <t>Contractor Programme</t>
        </is>
      </c>
      <c r="B86" s="12" t="inlineStr">
        <is>
          <t>SCH-01-106</t>
        </is>
      </c>
      <c r="C86" s="12" t="inlineStr">
        <is>
          <t>West approach: temporary traffic staging - installation</t>
        </is>
      </c>
      <c r="D86" s="12" t="inlineStr">
        <is>
          <t>WBS Code = 1.1.1</t>
        </is>
      </c>
      <c r="E86" s="12" t="inlineStr">
        <is>
          <t>R106-v1</t>
        </is>
      </c>
      <c r="F86" s="12" t="inlineStr">
        <is>
          <t>1.1.1 Guideway and Civil - Guideway Structures</t>
        </is>
      </c>
      <c r="G86" s="12" t="inlineStr">
        <is>
          <t>ONE_TO_ONE</t>
        </is>
      </c>
      <c r="H86" s="12" t="inlineStr">
        <is>
          <t>APPROVED</t>
        </is>
      </c>
      <c r="I86" s="12" t="inlineStr">
        <is>
          <t>New</t>
        </is>
      </c>
      <c r="J86" s="12" t="inlineStr">
        <is>
          <t>Source assignment -- not individually reviewed</t>
        </is>
      </c>
      <c r="K86" s="12" t="inlineStr"/>
      <c r="L86" s="12" t="inlineStr"/>
      <c r="M86" s="12" t="inlineStr"/>
      <c r="N86" s="17" t="inlineStr">
        <is>
          <t>10 EVIDENCE &amp; DECISIONS</t>
        </is>
      </c>
    </row>
    <row r="87" ht="34" customHeight="1">
      <c r="A87" s="12" t="inlineStr">
        <is>
          <t>Contractor Programme</t>
        </is>
      </c>
      <c r="B87" s="12" t="inlineStr">
        <is>
          <t>SCH-01-107</t>
        </is>
      </c>
      <c r="C87" s="12" t="inlineStr">
        <is>
          <t>Depot lead: guideway pier reinforcement - inspection</t>
        </is>
      </c>
      <c r="D87" s="12" t="inlineStr">
        <is>
          <t>WBS Code = 1.1.1</t>
        </is>
      </c>
      <c r="E87" s="12" t="inlineStr">
        <is>
          <t>R107-v1</t>
        </is>
      </c>
      <c r="F87" s="12" t="inlineStr">
        <is>
          <t>1.1.1 Guideway and Civil - Guideway Structures</t>
        </is>
      </c>
      <c r="G87" s="12" t="inlineStr">
        <is>
          <t>ONE_TO_ONE</t>
        </is>
      </c>
      <c r="H87" s="12" t="inlineStr">
        <is>
          <t>APPROVED</t>
        </is>
      </c>
      <c r="I87" s="12" t="inlineStr">
        <is>
          <t>New</t>
        </is>
      </c>
      <c r="J87" s="12" t="inlineStr">
        <is>
          <t>Source assignment -- not individually reviewed</t>
        </is>
      </c>
      <c r="K87" s="12" t="inlineStr"/>
      <c r="L87" s="12" t="inlineStr"/>
      <c r="M87" s="12" t="inlineStr"/>
      <c r="N87" s="17" t="inlineStr">
        <is>
          <t>10 EVIDENCE &amp; DECISIONS</t>
        </is>
      </c>
    </row>
    <row r="88" ht="34" customHeight="1">
      <c r="A88" s="12" t="inlineStr">
        <is>
          <t>Contractor Programme</t>
        </is>
      </c>
      <c r="B88" s="12" t="inlineStr">
        <is>
          <t>SCH-01-109</t>
        </is>
      </c>
      <c r="C88" s="12" t="inlineStr">
        <is>
          <t>River crossing: drilled-shaft installation - release</t>
        </is>
      </c>
      <c r="D88" s="12" t="inlineStr">
        <is>
          <t>WBS Code = 1.1.1</t>
        </is>
      </c>
      <c r="E88" s="12" t="inlineStr">
        <is>
          <t>R109-v1</t>
        </is>
      </c>
      <c r="F88" s="12" t="inlineStr">
        <is>
          <t>1.1.1 Guideway and Civil - Guideway Structures</t>
        </is>
      </c>
      <c r="G88" s="12" t="inlineStr">
        <is>
          <t>ONE_TO_ONE</t>
        </is>
      </c>
      <c r="H88" s="12" t="inlineStr">
        <is>
          <t>APPROVED</t>
        </is>
      </c>
      <c r="I88" s="12" t="inlineStr">
        <is>
          <t>New</t>
        </is>
      </c>
      <c r="J88" s="12" t="inlineStr">
        <is>
          <t>Source assignment -- not individually reviewed</t>
        </is>
      </c>
      <c r="K88" s="12" t="inlineStr"/>
      <c r="L88" s="12" t="inlineStr"/>
      <c r="M88" s="12" t="inlineStr"/>
      <c r="N88" s="17" t="inlineStr">
        <is>
          <t>10 EVIDENCE &amp; DECISIONS</t>
        </is>
      </c>
    </row>
    <row r="89" ht="34" customHeight="1">
      <c r="A89" s="12" t="inlineStr">
        <is>
          <t>Contractor Programme</t>
        </is>
      </c>
      <c r="B89" s="12" t="inlineStr">
        <is>
          <t>SCH-01-110</t>
        </is>
      </c>
      <c r="C89" s="12" t="inlineStr">
        <is>
          <t>Central guideway: retaining-wall excavation - field start</t>
        </is>
      </c>
      <c r="D89" s="12" t="inlineStr">
        <is>
          <t>WBS Code = 1.1.1</t>
        </is>
      </c>
      <c r="E89" s="12" t="inlineStr">
        <is>
          <t>R110-v1</t>
        </is>
      </c>
      <c r="F89" s="12" t="inlineStr">
        <is>
          <t>1.1.1 Guideway and Civil - Guideway Structures</t>
        </is>
      </c>
      <c r="G89" s="12" t="inlineStr">
        <is>
          <t>ONE_TO_ONE</t>
        </is>
      </c>
      <c r="H89" s="12" t="inlineStr">
        <is>
          <t>APPROVED</t>
        </is>
      </c>
      <c r="I89" s="12" t="inlineStr">
        <is>
          <t>New</t>
        </is>
      </c>
      <c r="J89" s="12" t="inlineStr">
        <is>
          <t>Source assignment -- not individually reviewed</t>
        </is>
      </c>
      <c r="K89" s="12" t="inlineStr"/>
      <c r="L89" s="12" t="inlineStr"/>
      <c r="M89" s="12" t="inlineStr"/>
      <c r="N89" s="17" t="inlineStr">
        <is>
          <t>10 EVIDENCE &amp; DECISIONS</t>
        </is>
      </c>
    </row>
    <row r="90" ht="34" customHeight="1">
      <c r="A90" s="12" t="inlineStr">
        <is>
          <t>Contractor Programme</t>
        </is>
      </c>
      <c r="B90" s="12" t="inlineStr">
        <is>
          <t>SCH-01-112</t>
        </is>
      </c>
      <c r="C90" s="12" t="inlineStr">
        <is>
          <t>Depot lead: utility relocation - inspection</t>
        </is>
      </c>
      <c r="D90" s="12" t="inlineStr">
        <is>
          <t>WBS Code = 1.1.1</t>
        </is>
      </c>
      <c r="E90" s="12" t="inlineStr">
        <is>
          <t>R112-v1</t>
        </is>
      </c>
      <c r="F90" s="12" t="inlineStr">
        <is>
          <t>1.1.1 Guideway and Civil - Guideway Structures</t>
        </is>
      </c>
      <c r="G90" s="12" t="inlineStr">
        <is>
          <t>ONE_TO_ONE</t>
        </is>
      </c>
      <c r="H90" s="12" t="inlineStr">
        <is>
          <t>APPROVED</t>
        </is>
      </c>
      <c r="I90" s="12" t="inlineStr">
        <is>
          <t>New</t>
        </is>
      </c>
      <c r="J90" s="12" t="inlineStr">
        <is>
          <t>Source assignment -- not individually reviewed</t>
        </is>
      </c>
      <c r="K90" s="12" t="inlineStr"/>
      <c r="L90" s="12" t="inlineStr"/>
      <c r="M90" s="12" t="inlineStr"/>
      <c r="N90" s="17" t="inlineStr">
        <is>
          <t>10 EVIDENCE &amp; DECISIONS</t>
        </is>
      </c>
    </row>
    <row r="91" ht="34" customHeight="1">
      <c r="A91" s="12" t="inlineStr">
        <is>
          <t>Contractor Programme</t>
        </is>
      </c>
      <c r="B91" s="12" t="inlineStr">
        <is>
          <t>SCH-01-113</t>
        </is>
      </c>
      <c r="C91" s="12" t="inlineStr">
        <is>
          <t>East portal: track-slab survey - turnover</t>
        </is>
      </c>
      <c r="D91" s="12" t="inlineStr">
        <is>
          <t>WBS Code = 1.1.1</t>
        </is>
      </c>
      <c r="E91" s="12" t="inlineStr">
        <is>
          <t>R113-v1</t>
        </is>
      </c>
      <c r="F91" s="12" t="inlineStr">
        <is>
          <t>1.1.1 Guideway and Civil - Guideway Structures</t>
        </is>
      </c>
      <c r="G91" s="12" t="inlineStr">
        <is>
          <t>ONE_TO_ONE</t>
        </is>
      </c>
      <c r="H91" s="12" t="inlineStr">
        <is>
          <t>APPROVED</t>
        </is>
      </c>
      <c r="I91" s="12" t="inlineStr">
        <is>
          <t>New</t>
        </is>
      </c>
      <c r="J91" s="12" t="inlineStr">
        <is>
          <t>Source assignment -- not individually reviewed</t>
        </is>
      </c>
      <c r="K91" s="12" t="inlineStr"/>
      <c r="L91" s="12" t="inlineStr"/>
      <c r="M91" s="12" t="inlineStr"/>
      <c r="N91" s="17" t="inlineStr">
        <is>
          <t>10 EVIDENCE &amp; DECISIONS</t>
        </is>
      </c>
    </row>
    <row r="92" ht="34" customHeight="1">
      <c r="A92" s="12" t="inlineStr">
        <is>
          <t>Contractor Programme</t>
        </is>
      </c>
      <c r="B92" s="12" t="inlineStr">
        <is>
          <t>SCH-01-115</t>
        </is>
      </c>
      <c r="C92" s="12" t="inlineStr">
        <is>
          <t>Central guideway: guideway pier reinforcement - field start</t>
        </is>
      </c>
      <c r="D92" s="12" t="inlineStr">
        <is>
          <t>WBS Code = 1.1.1</t>
        </is>
      </c>
      <c r="E92" s="12" t="inlineStr">
        <is>
          <t>R115-v1</t>
        </is>
      </c>
      <c r="F92" s="12" t="inlineStr">
        <is>
          <t>1.1.1 Guideway and Civil - Guideway Structures</t>
        </is>
      </c>
      <c r="G92" s="12" t="inlineStr">
        <is>
          <t>ONE_TO_ONE</t>
        </is>
      </c>
      <c r="H92" s="12" t="inlineStr">
        <is>
          <t>APPROVED</t>
        </is>
      </c>
      <c r="I92" s="12" t="inlineStr">
        <is>
          <t>New</t>
        </is>
      </c>
      <c r="J92" s="12" t="inlineStr">
        <is>
          <t>Source assignment -- not individually reviewed</t>
        </is>
      </c>
      <c r="K92" s="12" t="inlineStr"/>
      <c r="L92" s="12" t="inlineStr"/>
      <c r="M92" s="12" t="inlineStr"/>
      <c r="N92" s="17" t="inlineStr">
        <is>
          <t>10 EVIDENCE &amp; DECISIONS</t>
        </is>
      </c>
    </row>
    <row r="93" ht="34" customHeight="1">
      <c r="A93" s="12" t="inlineStr">
        <is>
          <t>Contractor Programme</t>
        </is>
      </c>
      <c r="B93" s="12" t="inlineStr">
        <is>
          <t>SCH-01-116</t>
        </is>
      </c>
      <c r="C93" s="12" t="inlineStr">
        <is>
          <t>West approach: road restoration - installation</t>
        </is>
      </c>
      <c r="D93" s="12" t="inlineStr">
        <is>
          <t>WBS Code = 1.1.1</t>
        </is>
      </c>
      <c r="E93" s="12" t="inlineStr">
        <is>
          <t>R116-v1</t>
        </is>
      </c>
      <c r="F93" s="12" t="inlineStr">
        <is>
          <t>1.1.1 Guideway and Civil - Guideway Structures</t>
        </is>
      </c>
      <c r="G93" s="12" t="inlineStr">
        <is>
          <t>ONE_TO_ONE</t>
        </is>
      </c>
      <c r="H93" s="12" t="inlineStr">
        <is>
          <t>APPROVED</t>
        </is>
      </c>
      <c r="I93" s="12" t="inlineStr">
        <is>
          <t>New</t>
        </is>
      </c>
      <c r="J93" s="12" t="inlineStr">
        <is>
          <t>Source assignment -- not individually reviewed</t>
        </is>
      </c>
      <c r="K93" s="12" t="inlineStr"/>
      <c r="L93" s="12" t="inlineStr"/>
      <c r="M93" s="12" t="inlineStr"/>
      <c r="N93" s="17" t="inlineStr">
        <is>
          <t>10 EVIDENCE &amp; DECISIONS</t>
        </is>
      </c>
    </row>
    <row r="94" ht="34" customHeight="1">
      <c r="A94" s="12" t="inlineStr">
        <is>
          <t>Contractor Programme</t>
        </is>
      </c>
      <c r="B94" s="12" t="inlineStr">
        <is>
          <t>SCH-01-118</t>
        </is>
      </c>
      <c r="C94" s="12" t="inlineStr">
        <is>
          <t>East portal: retaining-wall excavation - turnover</t>
        </is>
      </c>
      <c r="D94" s="12" t="inlineStr">
        <is>
          <t>WBS Code = 1.1.1</t>
        </is>
      </c>
      <c r="E94" s="12" t="inlineStr">
        <is>
          <t>R118-v1</t>
        </is>
      </c>
      <c r="F94" s="12" t="inlineStr">
        <is>
          <t>1.1.1 Guideway and Civil - Guideway Structures</t>
        </is>
      </c>
      <c r="G94" s="12" t="inlineStr">
        <is>
          <t>ONE_TO_ONE</t>
        </is>
      </c>
      <c r="H94" s="12" t="inlineStr">
        <is>
          <t>APPROVED</t>
        </is>
      </c>
      <c r="I94" s="12" t="inlineStr">
        <is>
          <t>New</t>
        </is>
      </c>
      <c r="J94" s="12" t="inlineStr">
        <is>
          <t>Source assignment -- not individually reviewed</t>
        </is>
      </c>
      <c r="K94" s="12" t="inlineStr"/>
      <c r="L94" s="12" t="inlineStr"/>
      <c r="M94" s="12" t="inlineStr"/>
      <c r="N94" s="17" t="inlineStr">
        <is>
          <t>10 EVIDENCE &amp; DECISIONS</t>
        </is>
      </c>
    </row>
    <row r="95" ht="34" customHeight="1">
      <c r="A95" s="12" t="inlineStr">
        <is>
          <t>Contractor Programme</t>
        </is>
      </c>
      <c r="B95" s="12" t="inlineStr">
        <is>
          <t>SCH-01-119</t>
        </is>
      </c>
      <c r="C95" s="12" t="inlineStr">
        <is>
          <t>River crossing: drainage tie-in - release</t>
        </is>
      </c>
      <c r="D95" s="12" t="inlineStr">
        <is>
          <t>WBS Code = 1.1.1</t>
        </is>
      </c>
      <c r="E95" s="12" t="inlineStr">
        <is>
          <t>R119-v1</t>
        </is>
      </c>
      <c r="F95" s="12" t="inlineStr">
        <is>
          <t>1.1.1 Guideway and Civil - Guideway Structures</t>
        </is>
      </c>
      <c r="G95" s="12" t="inlineStr">
        <is>
          <t>ONE_TO_ONE</t>
        </is>
      </c>
      <c r="H95" s="12" t="inlineStr">
        <is>
          <t>APPROVED</t>
        </is>
      </c>
      <c r="I95" s="12" t="inlineStr">
        <is>
          <t>New</t>
        </is>
      </c>
      <c r="J95" s="12" t="inlineStr">
        <is>
          <t>Source assignment -- not individually reviewed</t>
        </is>
      </c>
      <c r="K95" s="12" t="inlineStr"/>
      <c r="L95" s="12" t="inlineStr"/>
      <c r="M95" s="12" t="inlineStr"/>
      <c r="N95" s="17" t="inlineStr">
        <is>
          <t>10 EVIDENCE &amp; DECISIONS</t>
        </is>
      </c>
    </row>
    <row r="96" ht="34" customHeight="1">
      <c r="A96" s="12" t="inlineStr">
        <is>
          <t>Contractor Programme</t>
        </is>
      </c>
      <c r="B96" s="12" t="inlineStr">
        <is>
          <t>SCH-01-121</t>
        </is>
      </c>
      <c r="C96" s="12" t="inlineStr">
        <is>
          <t>West approach: track-slab survey - installation</t>
        </is>
      </c>
      <c r="D96" s="12" t="inlineStr">
        <is>
          <t>WBS Code = 1.1.1</t>
        </is>
      </c>
      <c r="E96" s="12" t="inlineStr">
        <is>
          <t>R121-v1</t>
        </is>
      </c>
      <c r="F96" s="12" t="inlineStr">
        <is>
          <t>1.1.1 Guideway and Civil - Guideway Structures</t>
        </is>
      </c>
      <c r="G96" s="12" t="inlineStr">
        <is>
          <t>ONE_TO_ONE</t>
        </is>
      </c>
      <c r="H96" s="12" t="inlineStr">
        <is>
          <t>APPROVED</t>
        </is>
      </c>
      <c r="I96" s="12" t="inlineStr">
        <is>
          <t>New</t>
        </is>
      </c>
      <c r="J96" s="12" t="inlineStr">
        <is>
          <t>Source assignment -- not individually reviewed</t>
        </is>
      </c>
      <c r="K96" s="12" t="inlineStr"/>
      <c r="L96" s="12" t="inlineStr"/>
      <c r="M96" s="12" t="inlineStr"/>
      <c r="N96" s="17" t="inlineStr">
        <is>
          <t>10 EVIDENCE &amp; DECISIONS</t>
        </is>
      </c>
    </row>
    <row r="97" ht="34" customHeight="1">
      <c r="A97" s="12" t="inlineStr">
        <is>
          <t>Contractor Programme</t>
        </is>
      </c>
      <c r="B97" s="12" t="inlineStr">
        <is>
          <t>SCH-01-122</t>
        </is>
      </c>
      <c r="C97" s="12" t="inlineStr">
        <is>
          <t>Depot lead: temporary traffic staging - inspection</t>
        </is>
      </c>
      <c r="D97" s="12" t="inlineStr">
        <is>
          <t>WBS Code = 1.1.1</t>
        </is>
      </c>
      <c r="E97" s="12" t="inlineStr">
        <is>
          <t>R122-v1</t>
        </is>
      </c>
      <c r="F97" s="12" t="inlineStr">
        <is>
          <t>1.1.1 Guideway and Civil - Guideway Structures</t>
        </is>
      </c>
      <c r="G97" s="12" t="inlineStr">
        <is>
          <t>ONE_TO_ONE</t>
        </is>
      </c>
      <c r="H97" s="12" t="inlineStr">
        <is>
          <t>APPROVED</t>
        </is>
      </c>
      <c r="I97" s="12" t="inlineStr">
        <is>
          <t>New</t>
        </is>
      </c>
      <c r="J97" s="12" t="inlineStr">
        <is>
          <t>Source assignment -- not individually reviewed</t>
        </is>
      </c>
      <c r="K97" s="12" t="inlineStr"/>
      <c r="L97" s="12" t="inlineStr"/>
      <c r="M97" s="12" t="inlineStr"/>
      <c r="N97" s="17" t="inlineStr">
        <is>
          <t>10 EVIDENCE &amp; DECISIONS</t>
        </is>
      </c>
    </row>
    <row r="98" ht="34" customHeight="1">
      <c r="A98" s="12" t="inlineStr">
        <is>
          <t>Contractor Programme</t>
        </is>
      </c>
      <c r="B98" s="12" t="inlineStr">
        <is>
          <t>SCH-01-124</t>
        </is>
      </c>
      <c r="C98" s="12" t="inlineStr">
        <is>
          <t>River crossing: road restoration - release</t>
        </is>
      </c>
      <c r="D98" s="12" t="inlineStr">
        <is>
          <t>WBS Code = 1.1.1</t>
        </is>
      </c>
      <c r="E98" s="12" t="inlineStr">
        <is>
          <t>R124-v1</t>
        </is>
      </c>
      <c r="F98" s="12" t="inlineStr">
        <is>
          <t>1.1.1 Guideway and Civil - Guideway Structures</t>
        </is>
      </c>
      <c r="G98" s="12" t="inlineStr">
        <is>
          <t>ONE_TO_ONE</t>
        </is>
      </c>
      <c r="H98" s="12" t="inlineStr">
        <is>
          <t>APPROVED</t>
        </is>
      </c>
      <c r="I98" s="12" t="inlineStr">
        <is>
          <t>New</t>
        </is>
      </c>
      <c r="J98" s="12" t="inlineStr">
        <is>
          <t>Source assignment -- not individually reviewed</t>
        </is>
      </c>
      <c r="K98" s="12" t="inlineStr"/>
      <c r="L98" s="12" t="inlineStr"/>
      <c r="M98" s="12" t="inlineStr"/>
      <c r="N98" s="17" t="inlineStr">
        <is>
          <t>10 EVIDENCE &amp; DECISIONS</t>
        </is>
      </c>
    </row>
    <row r="99" ht="34" customHeight="1">
      <c r="A99" s="12" t="inlineStr">
        <is>
          <t>Contractor Programme</t>
        </is>
      </c>
      <c r="B99" s="12" t="inlineStr">
        <is>
          <t>SCH-01-125</t>
        </is>
      </c>
      <c r="C99" s="12" t="inlineStr">
        <is>
          <t>Central guideway: drilled-shaft installation - field start</t>
        </is>
      </c>
      <c r="D99" s="12" t="inlineStr">
        <is>
          <t>WBS Code = 1.1.1</t>
        </is>
      </c>
      <c r="E99" s="12" t="inlineStr">
        <is>
          <t>R125-v1</t>
        </is>
      </c>
      <c r="F99" s="12" t="inlineStr">
        <is>
          <t>1.1.1 Guideway and Civil - Guideway Structures</t>
        </is>
      </c>
      <c r="G99" s="12" t="inlineStr">
        <is>
          <t>ONE_TO_ONE</t>
        </is>
      </c>
      <c r="H99" s="12" t="inlineStr">
        <is>
          <t>APPROVED</t>
        </is>
      </c>
      <c r="I99" s="12" t="inlineStr">
        <is>
          <t>New</t>
        </is>
      </c>
      <c r="J99" s="12" t="inlineStr">
        <is>
          <t>Source assignment -- not individually reviewed</t>
        </is>
      </c>
      <c r="K99" s="12" t="inlineStr"/>
      <c r="L99" s="12" t="inlineStr"/>
      <c r="M99" s="12" t="inlineStr"/>
      <c r="N99" s="17" t="inlineStr">
        <is>
          <t>10 EVIDENCE &amp; DECISIONS</t>
        </is>
      </c>
    </row>
    <row r="100" ht="34" customHeight="1">
      <c r="A100" s="12" t="inlineStr">
        <is>
          <t>Contractor Programme</t>
        </is>
      </c>
      <c r="B100" s="12" t="inlineStr">
        <is>
          <t>SCH-01-127</t>
        </is>
      </c>
      <c r="C100" s="12" t="inlineStr">
        <is>
          <t>Depot lead: drainage tie-in - inspection</t>
        </is>
      </c>
      <c r="D100" s="12" t="inlineStr">
        <is>
          <t>WBS Code = 1.1.1</t>
        </is>
      </c>
      <c r="E100" s="12" t="inlineStr">
        <is>
          <t>R127-v1</t>
        </is>
      </c>
      <c r="F100" s="12" t="inlineStr">
        <is>
          <t>1.1.1 Guideway and Civil - Guideway Structures</t>
        </is>
      </c>
      <c r="G100" s="12" t="inlineStr">
        <is>
          <t>ONE_TO_ONE</t>
        </is>
      </c>
      <c r="H100" s="12" t="inlineStr">
        <is>
          <t>APPROVED</t>
        </is>
      </c>
      <c r="I100" s="12" t="inlineStr">
        <is>
          <t>New</t>
        </is>
      </c>
      <c r="J100" s="12" t="inlineStr">
        <is>
          <t>Source assignment -- not individually reviewed</t>
        </is>
      </c>
      <c r="K100" s="12" t="inlineStr"/>
      <c r="L100" s="12" t="inlineStr"/>
      <c r="M100" s="12" t="inlineStr"/>
      <c r="N100" s="17" t="inlineStr">
        <is>
          <t>10 EVIDENCE &amp; DECISIONS</t>
        </is>
      </c>
    </row>
    <row r="101" ht="34" customHeight="1">
      <c r="A101" s="12" t="inlineStr">
        <is>
          <t>Contractor Programme</t>
        </is>
      </c>
      <c r="B101" s="12" t="inlineStr">
        <is>
          <t>SCH-01-128</t>
        </is>
      </c>
      <c r="C101" s="12" t="inlineStr">
        <is>
          <t>East portal: utility relocation - turnover</t>
        </is>
      </c>
      <c r="D101" s="12" t="inlineStr">
        <is>
          <t>WBS Code = 1.1.1</t>
        </is>
      </c>
      <c r="E101" s="12" t="inlineStr">
        <is>
          <t>R128-v1</t>
        </is>
      </c>
      <c r="F101" s="12" t="inlineStr">
        <is>
          <t>1.1.1 Guideway and Civil - Guideway Structures</t>
        </is>
      </c>
      <c r="G101" s="12" t="inlineStr">
        <is>
          <t>ONE_TO_ONE</t>
        </is>
      </c>
      <c r="H101" s="12" t="inlineStr">
        <is>
          <t>APPROVED</t>
        </is>
      </c>
      <c r="I101" s="12" t="inlineStr">
        <is>
          <t>New</t>
        </is>
      </c>
      <c r="J101" s="12" t="inlineStr">
        <is>
          <t>Source assignment -- not individually reviewed</t>
        </is>
      </c>
      <c r="K101" s="12" t="inlineStr"/>
      <c r="L101" s="12" t="inlineStr"/>
      <c r="M101" s="12" t="inlineStr"/>
      <c r="N101" s="17" t="inlineStr">
        <is>
          <t>10 EVIDENCE &amp; DECISIONS</t>
        </is>
      </c>
    </row>
    <row r="102" ht="34" customHeight="1">
      <c r="A102" s="12" t="inlineStr">
        <is>
          <t>Contractor Programme</t>
        </is>
      </c>
      <c r="B102" s="12" t="inlineStr">
        <is>
          <t>SCH-01-130</t>
        </is>
      </c>
      <c r="C102" s="12" t="inlineStr">
        <is>
          <t>Central guideway: temporary traffic staging - field start</t>
        </is>
      </c>
      <c r="D102" s="12" t="inlineStr">
        <is>
          <t>WBS Code = 1.1.1</t>
        </is>
      </c>
      <c r="E102" s="12" t="inlineStr">
        <is>
          <t>R130-v1</t>
        </is>
      </c>
      <c r="F102" s="12" t="inlineStr">
        <is>
          <t>1.1.1 Guideway and Civil - Guideway Structures</t>
        </is>
      </c>
      <c r="G102" s="12" t="inlineStr">
        <is>
          <t>ONE_TO_ONE</t>
        </is>
      </c>
      <c r="H102" s="12" t="inlineStr">
        <is>
          <t>APPROVED</t>
        </is>
      </c>
      <c r="I102" s="12" t="inlineStr">
        <is>
          <t>New</t>
        </is>
      </c>
      <c r="J102" s="12" t="inlineStr">
        <is>
          <t>Source assignment -- not individually reviewed</t>
        </is>
      </c>
      <c r="K102" s="12" t="inlineStr"/>
      <c r="L102" s="12" t="inlineStr"/>
      <c r="M102" s="12" t="inlineStr"/>
      <c r="N102" s="17" t="inlineStr">
        <is>
          <t>10 EVIDENCE &amp; DECISIONS</t>
        </is>
      </c>
    </row>
    <row r="103" ht="34" customHeight="1">
      <c r="A103" s="12" t="inlineStr">
        <is>
          <t>Contractor Programme</t>
        </is>
      </c>
      <c r="B103" s="12" t="inlineStr">
        <is>
          <t>SCH-01-131</t>
        </is>
      </c>
      <c r="C103" s="12" t="inlineStr">
        <is>
          <t>West approach: guideway pier reinforcement - installation</t>
        </is>
      </c>
      <c r="D103" s="12" t="inlineStr">
        <is>
          <t>WBS Code = 1.1.1</t>
        </is>
      </c>
      <c r="E103" s="12" t="inlineStr">
        <is>
          <t>R131-v1</t>
        </is>
      </c>
      <c r="F103" s="12" t="inlineStr">
        <is>
          <t>1.1.1 Guideway and Civil - Guideway Structures</t>
        </is>
      </c>
      <c r="G103" s="12" t="inlineStr">
        <is>
          <t>ONE_TO_ONE</t>
        </is>
      </c>
      <c r="H103" s="12" t="inlineStr">
        <is>
          <t>APPROVED</t>
        </is>
      </c>
      <c r="I103" s="12" t="inlineStr">
        <is>
          <t>New</t>
        </is>
      </c>
      <c r="J103" s="12" t="inlineStr">
        <is>
          <t>Source assignment -- not individually reviewed</t>
        </is>
      </c>
      <c r="K103" s="12" t="inlineStr"/>
      <c r="L103" s="12" t="inlineStr"/>
      <c r="M103" s="12" t="inlineStr"/>
      <c r="N103" s="17" t="inlineStr">
        <is>
          <t>10 EVIDENCE &amp; DECISIONS</t>
        </is>
      </c>
    </row>
    <row r="104" ht="34" customHeight="1">
      <c r="A104" s="12" t="inlineStr">
        <is>
          <t>Contractor Programme</t>
        </is>
      </c>
      <c r="B104" s="12" t="inlineStr">
        <is>
          <t>SCH-01-133</t>
        </is>
      </c>
      <c r="C104" s="12" t="inlineStr">
        <is>
          <t>East portal: drilled-shaft installation - turnover</t>
        </is>
      </c>
      <c r="D104" s="12" t="inlineStr">
        <is>
          <t>WBS Code = 1.1.1</t>
        </is>
      </c>
      <c r="E104" s="12" t="inlineStr">
        <is>
          <t>R133-v1</t>
        </is>
      </c>
      <c r="F104" s="12" t="inlineStr">
        <is>
          <t>1.1.1 Guideway and Civil - Guideway Structures</t>
        </is>
      </c>
      <c r="G104" s="12" t="inlineStr">
        <is>
          <t>ONE_TO_ONE</t>
        </is>
      </c>
      <c r="H104" s="12" t="inlineStr">
        <is>
          <t>APPROVED</t>
        </is>
      </c>
      <c r="I104" s="12" t="inlineStr">
        <is>
          <t>New</t>
        </is>
      </c>
      <c r="J104" s="12" t="inlineStr">
        <is>
          <t>Source assignment -- not individually reviewed</t>
        </is>
      </c>
      <c r="K104" s="12" t="inlineStr"/>
      <c r="L104" s="12" t="inlineStr"/>
      <c r="M104" s="12" t="inlineStr"/>
      <c r="N104" s="17" t="inlineStr">
        <is>
          <t>10 EVIDENCE &amp; DECISIONS</t>
        </is>
      </c>
    </row>
    <row r="105" ht="34" customHeight="1">
      <c r="A105" s="12" t="inlineStr">
        <is>
          <t>Contractor Programme</t>
        </is>
      </c>
      <c r="B105" s="12" t="inlineStr">
        <is>
          <t>SCH-01-134</t>
        </is>
      </c>
      <c r="C105" s="12" t="inlineStr">
        <is>
          <t>River crossing: retaining-wall excavation - release</t>
        </is>
      </c>
      <c r="D105" s="12" t="inlineStr">
        <is>
          <t>WBS Code = 1.1.1</t>
        </is>
      </c>
      <c r="E105" s="12" t="inlineStr">
        <is>
          <t>R134-v1</t>
        </is>
      </c>
      <c r="F105" s="12" t="inlineStr">
        <is>
          <t>1.1.1 Guideway and Civil - Guideway Structures</t>
        </is>
      </c>
      <c r="G105" s="12" t="inlineStr">
        <is>
          <t>ONE_TO_ONE</t>
        </is>
      </c>
      <c r="H105" s="12" t="inlineStr">
        <is>
          <t>APPROVED</t>
        </is>
      </c>
      <c r="I105" s="12" t="inlineStr">
        <is>
          <t>New</t>
        </is>
      </c>
      <c r="J105" s="12" t="inlineStr">
        <is>
          <t>Source assignment -- not individually reviewed</t>
        </is>
      </c>
      <c r="K105" s="12" t="inlineStr"/>
      <c r="L105" s="12" t="inlineStr"/>
      <c r="M105" s="12" t="inlineStr"/>
      <c r="N105" s="17" t="inlineStr">
        <is>
          <t>10 EVIDENCE &amp; DECISIONS</t>
        </is>
      </c>
    </row>
    <row r="106" ht="34" customHeight="1">
      <c r="A106" s="12" t="inlineStr">
        <is>
          <t>Contractor Programme</t>
        </is>
      </c>
      <c r="B106" s="12" t="inlineStr">
        <is>
          <t>SCH-01-136</t>
        </is>
      </c>
      <c r="C106" s="12" t="inlineStr">
        <is>
          <t>West approach: utility relocation - installation</t>
        </is>
      </c>
      <c r="D106" s="12" t="inlineStr">
        <is>
          <t>WBS Code = 1.1.1</t>
        </is>
      </c>
      <c r="E106" s="12" t="inlineStr">
        <is>
          <t>R136-v1</t>
        </is>
      </c>
      <c r="F106" s="12" t="inlineStr">
        <is>
          <t>1.1.1 Guideway and Civil - Guideway Structures</t>
        </is>
      </c>
      <c r="G106" s="12" t="inlineStr">
        <is>
          <t>ONE_TO_ONE</t>
        </is>
      </c>
      <c r="H106" s="12" t="inlineStr">
        <is>
          <t>APPROVED</t>
        </is>
      </c>
      <c r="I106" s="12" t="inlineStr">
        <is>
          <t>New</t>
        </is>
      </c>
      <c r="J106" s="12" t="inlineStr">
        <is>
          <t>Source assignment -- not individually reviewed</t>
        </is>
      </c>
      <c r="K106" s="12" t="inlineStr"/>
      <c r="L106" s="12" t="inlineStr"/>
      <c r="M106" s="12" t="inlineStr"/>
      <c r="N106" s="17" t="inlineStr">
        <is>
          <t>10 EVIDENCE &amp; DECISIONS</t>
        </is>
      </c>
    </row>
    <row r="107" ht="34" customHeight="1">
      <c r="A107" s="12" t="inlineStr">
        <is>
          <t>Contractor Programme</t>
        </is>
      </c>
      <c r="B107" s="12" t="inlineStr">
        <is>
          <t>SCH-01-137</t>
        </is>
      </c>
      <c r="C107" s="12" t="inlineStr">
        <is>
          <t>Depot lead: track-slab survey - inspection</t>
        </is>
      </c>
      <c r="D107" s="12" t="inlineStr">
        <is>
          <t>WBS Code = 1.1.1</t>
        </is>
      </c>
      <c r="E107" s="12" t="inlineStr">
        <is>
          <t>R137-v1</t>
        </is>
      </c>
      <c r="F107" s="12" t="inlineStr">
        <is>
          <t>1.1.1 Guideway and Civil - Guideway Structures</t>
        </is>
      </c>
      <c r="G107" s="12" t="inlineStr">
        <is>
          <t>ONE_TO_ONE</t>
        </is>
      </c>
      <c r="H107" s="12" t="inlineStr">
        <is>
          <t>APPROVED</t>
        </is>
      </c>
      <c r="I107" s="12" t="inlineStr">
        <is>
          <t>New</t>
        </is>
      </c>
      <c r="J107" s="12" t="inlineStr">
        <is>
          <t>Source assignment -- not individually reviewed</t>
        </is>
      </c>
      <c r="K107" s="12" t="inlineStr"/>
      <c r="L107" s="12" t="inlineStr"/>
      <c r="M107" s="12" t="inlineStr"/>
      <c r="N107" s="17" t="inlineStr">
        <is>
          <t>10 EVIDENCE &amp; DECISIONS</t>
        </is>
      </c>
    </row>
    <row r="108" ht="34" customHeight="1">
      <c r="A108" s="12" t="inlineStr">
        <is>
          <t>Contractor Programme</t>
        </is>
      </c>
      <c r="B108" s="12" t="inlineStr">
        <is>
          <t>SCH-01-139</t>
        </is>
      </c>
      <c r="C108" s="12" t="inlineStr">
        <is>
          <t>River crossing: guideway pier reinforcement - release</t>
        </is>
      </c>
      <c r="D108" s="12" t="inlineStr">
        <is>
          <t>WBS Code = 1.1.1</t>
        </is>
      </c>
      <c r="E108" s="12" t="inlineStr">
        <is>
          <t>R139-v1</t>
        </is>
      </c>
      <c r="F108" s="12" t="inlineStr">
        <is>
          <t>1.1.1 Guideway and Civil - Guideway Structures</t>
        </is>
      </c>
      <c r="G108" s="12" t="inlineStr">
        <is>
          <t>ONE_TO_ONE</t>
        </is>
      </c>
      <c r="H108" s="12" t="inlineStr">
        <is>
          <t>APPROVED</t>
        </is>
      </c>
      <c r="I108" s="12" t="inlineStr">
        <is>
          <t>New</t>
        </is>
      </c>
      <c r="J108" s="12" t="inlineStr">
        <is>
          <t>Source assignment -- not individually reviewed</t>
        </is>
      </c>
      <c r="K108" s="12" t="inlineStr"/>
      <c r="L108" s="12" t="inlineStr"/>
      <c r="M108" s="12" t="inlineStr"/>
      <c r="N108" s="17" t="inlineStr">
        <is>
          <t>10 EVIDENCE &amp; DECISIONS</t>
        </is>
      </c>
    </row>
    <row r="109" ht="34" customHeight="1">
      <c r="A109" s="12" t="inlineStr">
        <is>
          <t>Contractor Programme</t>
        </is>
      </c>
      <c r="B109" s="12" t="inlineStr">
        <is>
          <t>SCH-01-140</t>
        </is>
      </c>
      <c r="C109" s="12" t="inlineStr">
        <is>
          <t>Central guideway: road restoration - field start</t>
        </is>
      </c>
      <c r="D109" s="12" t="inlineStr">
        <is>
          <t>WBS Code = 1.1.1</t>
        </is>
      </c>
      <c r="E109" s="12" t="inlineStr">
        <is>
          <t>R140-v1</t>
        </is>
      </c>
      <c r="F109" s="12" t="inlineStr">
        <is>
          <t>1.1.1 Guideway and Civil - Guideway Structures</t>
        </is>
      </c>
      <c r="G109" s="12" t="inlineStr">
        <is>
          <t>ONE_TO_ONE</t>
        </is>
      </c>
      <c r="H109" s="12" t="inlineStr">
        <is>
          <t>APPROVED</t>
        </is>
      </c>
      <c r="I109" s="12" t="inlineStr">
        <is>
          <t>New</t>
        </is>
      </c>
      <c r="J109" s="12" t="inlineStr">
        <is>
          <t>Source assignment -- not individually reviewed</t>
        </is>
      </c>
      <c r="K109" s="12" t="inlineStr"/>
      <c r="L109" s="12" t="inlineStr"/>
      <c r="M109" s="12" t="inlineStr"/>
      <c r="N109" s="17" t="inlineStr">
        <is>
          <t>10 EVIDENCE &amp; DECISIONS</t>
        </is>
      </c>
    </row>
    <row r="110" ht="34" customHeight="1">
      <c r="A110" s="12" t="inlineStr">
        <is>
          <t>Contractor Programme</t>
        </is>
      </c>
      <c r="B110" s="12" t="inlineStr">
        <is>
          <t>SCH-01-142</t>
        </is>
      </c>
      <c r="C110" s="12" t="inlineStr">
        <is>
          <t>Depot lead: retaining-wall excavation - inspection</t>
        </is>
      </c>
      <c r="D110" s="12" t="inlineStr">
        <is>
          <t>WBS Code = 1.1.1</t>
        </is>
      </c>
      <c r="E110" s="12" t="inlineStr">
        <is>
          <t>R142-v1</t>
        </is>
      </c>
      <c r="F110" s="12" t="inlineStr">
        <is>
          <t>1.1.1 Guideway and Civil - Guideway Structures</t>
        </is>
      </c>
      <c r="G110" s="12" t="inlineStr">
        <is>
          <t>ONE_TO_ONE</t>
        </is>
      </c>
      <c r="H110" s="12" t="inlineStr">
        <is>
          <t>APPROVED</t>
        </is>
      </c>
      <c r="I110" s="12" t="inlineStr">
        <is>
          <t>New</t>
        </is>
      </c>
      <c r="J110" s="12" t="inlineStr">
        <is>
          <t>Source assignment -- not individually reviewed</t>
        </is>
      </c>
      <c r="K110" s="12" t="inlineStr"/>
      <c r="L110" s="12" t="inlineStr"/>
      <c r="M110" s="12" t="inlineStr"/>
      <c r="N110" s="17" t="inlineStr">
        <is>
          <t>10 EVIDENCE &amp; DECISIONS</t>
        </is>
      </c>
    </row>
    <row r="111" ht="34" customHeight="1">
      <c r="A111" s="12" t="inlineStr">
        <is>
          <t>Contractor Programme</t>
        </is>
      </c>
      <c r="B111" s="12" t="inlineStr">
        <is>
          <t>SCH-01-143</t>
        </is>
      </c>
      <c r="C111" s="12" t="inlineStr">
        <is>
          <t>East portal: drainage tie-in - turnover</t>
        </is>
      </c>
      <c r="D111" s="12" t="inlineStr">
        <is>
          <t>WBS Code = 1.1.1</t>
        </is>
      </c>
      <c r="E111" s="12" t="inlineStr">
        <is>
          <t>R143-v1</t>
        </is>
      </c>
      <c r="F111" s="12" t="inlineStr">
        <is>
          <t>1.1.1 Guideway and Civil - Guideway Structures</t>
        </is>
      </c>
      <c r="G111" s="12" t="inlineStr">
        <is>
          <t>ONE_TO_ONE</t>
        </is>
      </c>
      <c r="H111" s="12" t="inlineStr">
        <is>
          <t>APPROVED</t>
        </is>
      </c>
      <c r="I111" s="12" t="inlineStr">
        <is>
          <t>New</t>
        </is>
      </c>
      <c r="J111" s="12" t="inlineStr">
        <is>
          <t>Source assignment -- not individually reviewed</t>
        </is>
      </c>
      <c r="K111" s="12" t="inlineStr"/>
      <c r="L111" s="12" t="inlineStr"/>
      <c r="M111" s="12" t="inlineStr"/>
      <c r="N111" s="17" t="inlineStr">
        <is>
          <t>10 EVIDENCE &amp; DECISIONS</t>
        </is>
      </c>
    </row>
    <row r="112" ht="34" customHeight="1">
      <c r="A112" s="12" t="inlineStr">
        <is>
          <t>Contractor Programme</t>
        </is>
      </c>
      <c r="B112" s="12" t="inlineStr">
        <is>
          <t>SCH-01-145</t>
        </is>
      </c>
      <c r="C112" s="12" t="inlineStr">
        <is>
          <t>Central guideway: track-slab survey - field start</t>
        </is>
      </c>
      <c r="D112" s="12" t="inlineStr">
        <is>
          <t>WBS Code = 1.1.1</t>
        </is>
      </c>
      <c r="E112" s="12" t="inlineStr">
        <is>
          <t>R145-v1</t>
        </is>
      </c>
      <c r="F112" s="12" t="inlineStr">
        <is>
          <t>1.1.1 Guideway and Civil - Guideway Structures</t>
        </is>
      </c>
      <c r="G112" s="12" t="inlineStr">
        <is>
          <t>ONE_TO_ONE</t>
        </is>
      </c>
      <c r="H112" s="12" t="inlineStr">
        <is>
          <t>APPROVED</t>
        </is>
      </c>
      <c r="I112" s="12" t="inlineStr">
        <is>
          <t>New</t>
        </is>
      </c>
      <c r="J112" s="12" t="inlineStr">
        <is>
          <t>Source assignment -- not individually reviewed</t>
        </is>
      </c>
      <c r="K112" s="12" t="inlineStr"/>
      <c r="L112" s="12" t="inlineStr"/>
      <c r="M112" s="12" t="inlineStr"/>
      <c r="N112" s="17" t="inlineStr">
        <is>
          <t>10 EVIDENCE &amp; DECISIONS</t>
        </is>
      </c>
    </row>
    <row r="113" ht="34" customHeight="1">
      <c r="A113" s="12" t="inlineStr">
        <is>
          <t>Contractor Programme</t>
        </is>
      </c>
      <c r="B113" s="12" t="inlineStr">
        <is>
          <t>SCH-01-146</t>
        </is>
      </c>
      <c r="C113" s="12" t="inlineStr">
        <is>
          <t>West approach: temporary traffic staging - installation</t>
        </is>
      </c>
      <c r="D113" s="12" t="inlineStr">
        <is>
          <t>WBS Code = 1.1.1</t>
        </is>
      </c>
      <c r="E113" s="12" t="inlineStr">
        <is>
          <t>R146-v1</t>
        </is>
      </c>
      <c r="F113" s="12" t="inlineStr">
        <is>
          <t>1.1.1 Guideway and Civil - Guideway Structures</t>
        </is>
      </c>
      <c r="G113" s="12" t="inlineStr">
        <is>
          <t>ONE_TO_ONE</t>
        </is>
      </c>
      <c r="H113" s="12" t="inlineStr">
        <is>
          <t>APPROVED</t>
        </is>
      </c>
      <c r="I113" s="12" t="inlineStr">
        <is>
          <t>New</t>
        </is>
      </c>
      <c r="J113" s="12" t="inlineStr">
        <is>
          <t>Source assignment -- not individually reviewed</t>
        </is>
      </c>
      <c r="K113" s="12" t="inlineStr"/>
      <c r="L113" s="12" t="inlineStr"/>
      <c r="M113" s="12" t="inlineStr"/>
      <c r="N113" s="17" t="inlineStr">
        <is>
          <t>10 EVIDENCE &amp; DECISIONS</t>
        </is>
      </c>
    </row>
    <row r="114" ht="34" customHeight="1">
      <c r="A114" s="12" t="inlineStr">
        <is>
          <t>Contractor Programme</t>
        </is>
      </c>
      <c r="B114" s="12" t="inlineStr">
        <is>
          <t>SCH-01-148</t>
        </is>
      </c>
      <c r="C114" s="12" t="inlineStr">
        <is>
          <t>East portal: road restoration - turnover</t>
        </is>
      </c>
      <c r="D114" s="12" t="inlineStr">
        <is>
          <t>WBS Code = 1.1.1</t>
        </is>
      </c>
      <c r="E114" s="12" t="inlineStr">
        <is>
          <t>R148-v1</t>
        </is>
      </c>
      <c r="F114" s="12" t="inlineStr">
        <is>
          <t>1.1.1 Guideway and Civil - Guideway Structures</t>
        </is>
      </c>
      <c r="G114" s="12" t="inlineStr">
        <is>
          <t>ONE_TO_ONE</t>
        </is>
      </c>
      <c r="H114" s="12" t="inlineStr">
        <is>
          <t>APPROVED</t>
        </is>
      </c>
      <c r="I114" s="12" t="inlineStr">
        <is>
          <t>New</t>
        </is>
      </c>
      <c r="J114" s="12" t="inlineStr">
        <is>
          <t>Source assignment -- not individually reviewed</t>
        </is>
      </c>
      <c r="K114" s="12" t="inlineStr"/>
      <c r="L114" s="12" t="inlineStr"/>
      <c r="M114" s="12" t="inlineStr"/>
      <c r="N114" s="17" t="inlineStr">
        <is>
          <t>10 EVIDENCE &amp; DECISIONS</t>
        </is>
      </c>
    </row>
    <row r="115" ht="34" customHeight="1">
      <c r="A115" s="12" t="inlineStr">
        <is>
          <t>Contractor Programme</t>
        </is>
      </c>
      <c r="B115" s="12" t="inlineStr">
        <is>
          <t>SCH-01-149</t>
        </is>
      </c>
      <c r="C115" s="12" t="inlineStr">
        <is>
          <t>River crossing: drilled-shaft installation - release</t>
        </is>
      </c>
      <c r="D115" s="12" t="inlineStr">
        <is>
          <t>WBS Code = 1.1.1</t>
        </is>
      </c>
      <c r="E115" s="12" t="inlineStr">
        <is>
          <t>R149-v1</t>
        </is>
      </c>
      <c r="F115" s="12" t="inlineStr">
        <is>
          <t>1.1.1 Guideway and Civil - Guideway Structures</t>
        </is>
      </c>
      <c r="G115" s="12" t="inlineStr">
        <is>
          <t>ONE_TO_ONE</t>
        </is>
      </c>
      <c r="H115" s="12" t="inlineStr">
        <is>
          <t>APPROVED</t>
        </is>
      </c>
      <c r="I115" s="12" t="inlineStr">
        <is>
          <t>New</t>
        </is>
      </c>
      <c r="J115" s="12" t="inlineStr">
        <is>
          <t>Source assignment -- not individually reviewed</t>
        </is>
      </c>
      <c r="K115" s="12" t="inlineStr"/>
      <c r="L115" s="12" t="inlineStr"/>
      <c r="M115" s="12" t="inlineStr"/>
      <c r="N115" s="17" t="inlineStr">
        <is>
          <t>10 EVIDENCE &amp; DECISIONS</t>
        </is>
      </c>
    </row>
    <row r="116" ht="34" customHeight="1">
      <c r="A116" s="12" t="inlineStr">
        <is>
          <t>Contractor Programme</t>
        </is>
      </c>
      <c r="B116" s="12" t="inlineStr">
        <is>
          <t>SCH-01-151</t>
        </is>
      </c>
      <c r="C116" s="12" t="inlineStr">
        <is>
          <t>West approach: drainage tie-in - installation</t>
        </is>
      </c>
      <c r="D116" s="12" t="inlineStr">
        <is>
          <t>WBS Code = 1.1.1</t>
        </is>
      </c>
      <c r="E116" s="12" t="inlineStr">
        <is>
          <t>R151-v1</t>
        </is>
      </c>
      <c r="F116" s="12" t="inlineStr">
        <is>
          <t>1.1.1 Guideway and Civil - Guideway Structures</t>
        </is>
      </c>
      <c r="G116" s="12" t="inlineStr">
        <is>
          <t>ONE_TO_ONE</t>
        </is>
      </c>
      <c r="H116" s="12" t="inlineStr">
        <is>
          <t>APPROVED</t>
        </is>
      </c>
      <c r="I116" s="12" t="inlineStr">
        <is>
          <t>New</t>
        </is>
      </c>
      <c r="J116" s="12" t="inlineStr">
        <is>
          <t>Source assignment -- not individually reviewed</t>
        </is>
      </c>
      <c r="K116" s="12" t="inlineStr"/>
      <c r="L116" s="12" t="inlineStr"/>
      <c r="M116" s="12" t="inlineStr"/>
      <c r="N116" s="17" t="inlineStr">
        <is>
          <t>10 EVIDENCE &amp; DECISIONS</t>
        </is>
      </c>
    </row>
    <row r="117" ht="34" customHeight="1">
      <c r="A117" s="12" t="inlineStr">
        <is>
          <t>Contractor Programme</t>
        </is>
      </c>
      <c r="B117" s="12" t="inlineStr">
        <is>
          <t>SCH-01-152</t>
        </is>
      </c>
      <c r="C117" s="12" t="inlineStr">
        <is>
          <t>Depot lead: utility relocation - inspection</t>
        </is>
      </c>
      <c r="D117" s="12" t="inlineStr">
        <is>
          <t>WBS Code = 1.1.1</t>
        </is>
      </c>
      <c r="E117" s="12" t="inlineStr">
        <is>
          <t>R152-v1</t>
        </is>
      </c>
      <c r="F117" s="12" t="inlineStr">
        <is>
          <t>1.1.1 Guideway and Civil - Guideway Structures</t>
        </is>
      </c>
      <c r="G117" s="12" t="inlineStr">
        <is>
          <t>ONE_TO_ONE</t>
        </is>
      </c>
      <c r="H117" s="12" t="inlineStr">
        <is>
          <t>APPROVED</t>
        </is>
      </c>
      <c r="I117" s="12" t="inlineStr">
        <is>
          <t>New</t>
        </is>
      </c>
      <c r="J117" s="12" t="inlineStr">
        <is>
          <t>Source assignment -- not individually reviewed</t>
        </is>
      </c>
      <c r="K117" s="12" t="inlineStr"/>
      <c r="L117" s="12" t="inlineStr"/>
      <c r="M117" s="12" t="inlineStr"/>
      <c r="N117" s="17" t="inlineStr">
        <is>
          <t>10 EVIDENCE &amp; DECISIONS</t>
        </is>
      </c>
    </row>
    <row r="118" ht="34" customHeight="1">
      <c r="A118" s="12" t="inlineStr">
        <is>
          <t>Contractor Programme</t>
        </is>
      </c>
      <c r="B118" s="12" t="inlineStr">
        <is>
          <t>SCH-01-154</t>
        </is>
      </c>
      <c r="C118" s="12" t="inlineStr">
        <is>
          <t>River crossing: temporary traffic staging - release</t>
        </is>
      </c>
      <c r="D118" s="12" t="inlineStr">
        <is>
          <t>WBS Code = 1.1.1</t>
        </is>
      </c>
      <c r="E118" s="12" t="inlineStr">
        <is>
          <t>R154-v1</t>
        </is>
      </c>
      <c r="F118" s="12" t="inlineStr">
        <is>
          <t>1.1.1 Guideway and Civil - Guideway Structures</t>
        </is>
      </c>
      <c r="G118" s="12" t="inlineStr">
        <is>
          <t>ONE_TO_ONE</t>
        </is>
      </c>
      <c r="H118" s="12" t="inlineStr">
        <is>
          <t>APPROVED</t>
        </is>
      </c>
      <c r="I118" s="12" t="inlineStr">
        <is>
          <t>New</t>
        </is>
      </c>
      <c r="J118" s="12" t="inlineStr">
        <is>
          <t>Source assignment -- not individually reviewed</t>
        </is>
      </c>
      <c r="K118" s="12" t="inlineStr"/>
      <c r="L118" s="12" t="inlineStr"/>
      <c r="M118" s="12" t="inlineStr"/>
      <c r="N118" s="17" t="inlineStr">
        <is>
          <t>10 EVIDENCE &amp; DECISIONS</t>
        </is>
      </c>
    </row>
    <row r="119" ht="34" customHeight="1">
      <c r="A119" s="12" t="inlineStr">
        <is>
          <t>Contractor Programme</t>
        </is>
      </c>
      <c r="B119" s="12" t="inlineStr">
        <is>
          <t>SCH-01-155</t>
        </is>
      </c>
      <c r="C119" s="12" t="inlineStr">
        <is>
          <t>Central guideway: guideway pier reinforcement - field start</t>
        </is>
      </c>
      <c r="D119" s="12" t="inlineStr">
        <is>
          <t>WBS Code = 1.1.1</t>
        </is>
      </c>
      <c r="E119" s="12" t="inlineStr">
        <is>
          <t>R155-v1</t>
        </is>
      </c>
      <c r="F119" s="12" t="inlineStr">
        <is>
          <t>1.1.1 Guideway and Civil - Guideway Structures</t>
        </is>
      </c>
      <c r="G119" s="12" t="inlineStr">
        <is>
          <t>ONE_TO_ONE</t>
        </is>
      </c>
      <c r="H119" s="12" t="inlineStr">
        <is>
          <t>APPROVED</t>
        </is>
      </c>
      <c r="I119" s="12" t="inlineStr">
        <is>
          <t>New</t>
        </is>
      </c>
      <c r="J119" s="12" t="inlineStr">
        <is>
          <t>Source assignment -- not individually reviewed</t>
        </is>
      </c>
      <c r="K119" s="12" t="inlineStr"/>
      <c r="L119" s="12" t="inlineStr"/>
      <c r="M119" s="12" t="inlineStr"/>
      <c r="N119" s="17" t="inlineStr">
        <is>
          <t>10 EVIDENCE &amp; DECISIONS</t>
        </is>
      </c>
    </row>
    <row r="120" ht="34" customHeight="1">
      <c r="A120" s="12" t="inlineStr">
        <is>
          <t>Contractor Programme</t>
        </is>
      </c>
      <c r="B120" s="12" t="inlineStr">
        <is>
          <t>SCH-01-157</t>
        </is>
      </c>
      <c r="C120" s="12" t="inlineStr">
        <is>
          <t>Depot lead: drilled-shaft installation - inspection</t>
        </is>
      </c>
      <c r="D120" s="12" t="inlineStr">
        <is>
          <t>WBS Code = 1.1.1</t>
        </is>
      </c>
      <c r="E120" s="12" t="inlineStr">
        <is>
          <t>R157-v1</t>
        </is>
      </c>
      <c r="F120" s="12" t="inlineStr">
        <is>
          <t>1.1.1 Guideway and Civil - Guideway Structures</t>
        </is>
      </c>
      <c r="G120" s="12" t="inlineStr">
        <is>
          <t>ONE_TO_ONE</t>
        </is>
      </c>
      <c r="H120" s="12" t="inlineStr">
        <is>
          <t>APPROVED</t>
        </is>
      </c>
      <c r="I120" s="12" t="inlineStr">
        <is>
          <t>New</t>
        </is>
      </c>
      <c r="J120" s="12" t="inlineStr">
        <is>
          <t>Source assignment -- not individually reviewed</t>
        </is>
      </c>
      <c r="K120" s="12" t="inlineStr"/>
      <c r="L120" s="12" t="inlineStr"/>
      <c r="M120" s="12" t="inlineStr"/>
      <c r="N120" s="17" t="inlineStr">
        <is>
          <t>10 EVIDENCE &amp; DECISIONS</t>
        </is>
      </c>
    </row>
    <row r="121" ht="34" customHeight="1">
      <c r="A121" s="12" t="inlineStr">
        <is>
          <t>Contractor Programme</t>
        </is>
      </c>
      <c r="B121" s="12" t="inlineStr">
        <is>
          <t>SCH-01-158</t>
        </is>
      </c>
      <c r="C121" s="12" t="inlineStr">
        <is>
          <t>East portal: retaining-wall excavation - turnover</t>
        </is>
      </c>
      <c r="D121" s="12" t="inlineStr">
        <is>
          <t>WBS Code = 1.1.1</t>
        </is>
      </c>
      <c r="E121" s="12" t="inlineStr">
        <is>
          <t>R158-v1</t>
        </is>
      </c>
      <c r="F121" s="12" t="inlineStr">
        <is>
          <t>1.1.1 Guideway and Civil - Guideway Structures</t>
        </is>
      </c>
      <c r="G121" s="12" t="inlineStr">
        <is>
          <t>ONE_TO_ONE</t>
        </is>
      </c>
      <c r="H121" s="12" t="inlineStr">
        <is>
          <t>APPROVED</t>
        </is>
      </c>
      <c r="I121" s="12" t="inlineStr">
        <is>
          <t>New</t>
        </is>
      </c>
      <c r="J121" s="12" t="inlineStr">
        <is>
          <t>Source assignment -- not individually reviewed</t>
        </is>
      </c>
      <c r="K121" s="12" t="inlineStr"/>
      <c r="L121" s="12" t="inlineStr"/>
      <c r="M121" s="12" t="inlineStr"/>
      <c r="N121" s="17" t="inlineStr">
        <is>
          <t>10 EVIDENCE &amp; DECISIONS</t>
        </is>
      </c>
    </row>
    <row r="122" ht="34" customHeight="1">
      <c r="A122" s="12" t="inlineStr">
        <is>
          <t>Contractor Programme</t>
        </is>
      </c>
      <c r="B122" s="12" t="inlineStr">
        <is>
          <t>SCH-01-160</t>
        </is>
      </c>
      <c r="C122" s="12" t="inlineStr">
        <is>
          <t>Central guideway: utility relocation - field start</t>
        </is>
      </c>
      <c r="D122" s="12" t="inlineStr">
        <is>
          <t>WBS Code = 1.1.1</t>
        </is>
      </c>
      <c r="E122" s="12" t="inlineStr">
        <is>
          <t>R160-v1</t>
        </is>
      </c>
      <c r="F122" s="12" t="inlineStr">
        <is>
          <t>1.1.1 Guideway and Civil - Guideway Structures</t>
        </is>
      </c>
      <c r="G122" s="12" t="inlineStr">
        <is>
          <t>ONE_TO_ONE</t>
        </is>
      </c>
      <c r="H122" s="12" t="inlineStr">
        <is>
          <t>APPROVED</t>
        </is>
      </c>
      <c r="I122" s="12" t="inlineStr">
        <is>
          <t>New</t>
        </is>
      </c>
      <c r="J122" s="12" t="inlineStr">
        <is>
          <t>Source assignment -- not individually reviewed</t>
        </is>
      </c>
      <c r="K122" s="12" t="inlineStr"/>
      <c r="L122" s="12" t="inlineStr"/>
      <c r="M122" s="12" t="inlineStr"/>
      <c r="N122" s="17" t="inlineStr">
        <is>
          <t>10 EVIDENCE &amp; DECISIONS</t>
        </is>
      </c>
    </row>
    <row r="123" ht="34" customHeight="1">
      <c r="A123" s="12" t="inlineStr">
        <is>
          <t>Contractor Programme</t>
        </is>
      </c>
      <c r="B123" s="12" t="inlineStr">
        <is>
          <t>SCH-01-161</t>
        </is>
      </c>
      <c r="C123" s="12" t="inlineStr">
        <is>
          <t>West approach: track-slab survey - installation</t>
        </is>
      </c>
      <c r="D123" s="12" t="inlineStr">
        <is>
          <t>WBS Code = 1.1.1</t>
        </is>
      </c>
      <c r="E123" s="12" t="inlineStr">
        <is>
          <t>R161-v1</t>
        </is>
      </c>
      <c r="F123" s="12" t="inlineStr">
        <is>
          <t>1.1.1 Guideway and Civil - Guideway Structures</t>
        </is>
      </c>
      <c r="G123" s="12" t="inlineStr">
        <is>
          <t>ONE_TO_ONE</t>
        </is>
      </c>
      <c r="H123" s="12" t="inlineStr">
        <is>
          <t>APPROVED</t>
        </is>
      </c>
      <c r="I123" s="12" t="inlineStr">
        <is>
          <t>New</t>
        </is>
      </c>
      <c r="J123" s="12" t="inlineStr">
        <is>
          <t>Source assignment -- not individually reviewed</t>
        </is>
      </c>
      <c r="K123" s="12" t="inlineStr"/>
      <c r="L123" s="12" t="inlineStr"/>
      <c r="M123" s="12" t="inlineStr"/>
      <c r="N123" s="17" t="inlineStr">
        <is>
          <t>10 EVIDENCE &amp; DECISIONS</t>
        </is>
      </c>
    </row>
    <row r="124" ht="34" customHeight="1">
      <c r="A124" s="12" t="inlineStr">
        <is>
          <t>Contractor Programme</t>
        </is>
      </c>
      <c r="B124" s="12" t="inlineStr">
        <is>
          <t>SCH-01-163</t>
        </is>
      </c>
      <c r="C124" s="12" t="inlineStr">
        <is>
          <t>East portal: guideway pier reinforcement - turnover</t>
        </is>
      </c>
      <c r="D124" s="12" t="inlineStr">
        <is>
          <t>WBS Code = 1.1.1</t>
        </is>
      </c>
      <c r="E124" s="12" t="inlineStr">
        <is>
          <t>R163-v1</t>
        </is>
      </c>
      <c r="F124" s="12" t="inlineStr">
        <is>
          <t>1.1.1 Guideway and Civil - Guideway Structures</t>
        </is>
      </c>
      <c r="G124" s="12" t="inlineStr">
        <is>
          <t>ONE_TO_ONE</t>
        </is>
      </c>
      <c r="H124" s="12" t="inlineStr">
        <is>
          <t>APPROVED</t>
        </is>
      </c>
      <c r="I124" s="12" t="inlineStr">
        <is>
          <t>New</t>
        </is>
      </c>
      <c r="J124" s="12" t="inlineStr">
        <is>
          <t>Source assignment -- not individually reviewed</t>
        </is>
      </c>
      <c r="K124" s="12" t="inlineStr"/>
      <c r="L124" s="12" t="inlineStr"/>
      <c r="M124" s="12" t="inlineStr"/>
      <c r="N124" s="17" t="inlineStr">
        <is>
          <t>10 EVIDENCE &amp; DECISIONS</t>
        </is>
      </c>
    </row>
    <row r="125" ht="34" customHeight="1">
      <c r="A125" s="12" t="inlineStr">
        <is>
          <t>Contractor Programme</t>
        </is>
      </c>
      <c r="B125" s="12" t="inlineStr">
        <is>
          <t>SCH-01-164</t>
        </is>
      </c>
      <c r="C125" s="12" t="inlineStr">
        <is>
          <t>River crossing: road restoration - release</t>
        </is>
      </c>
      <c r="D125" s="12" t="inlineStr">
        <is>
          <t>WBS Code = 1.1.1</t>
        </is>
      </c>
      <c r="E125" s="12" t="inlineStr">
        <is>
          <t>R164-v1</t>
        </is>
      </c>
      <c r="F125" s="12" t="inlineStr">
        <is>
          <t>1.1.1 Guideway and Civil - Guideway Structures</t>
        </is>
      </c>
      <c r="G125" s="12" t="inlineStr">
        <is>
          <t>ONE_TO_ONE</t>
        </is>
      </c>
      <c r="H125" s="12" t="inlineStr">
        <is>
          <t>APPROVED</t>
        </is>
      </c>
      <c r="I125" s="12" t="inlineStr">
        <is>
          <t>New</t>
        </is>
      </c>
      <c r="J125" s="12" t="inlineStr">
        <is>
          <t>Source assignment -- not individually reviewed</t>
        </is>
      </c>
      <c r="K125" s="12" t="inlineStr"/>
      <c r="L125" s="12" t="inlineStr"/>
      <c r="M125" s="12" t="inlineStr"/>
      <c r="N125" s="17" t="inlineStr">
        <is>
          <t>10 EVIDENCE &amp; DECISIONS</t>
        </is>
      </c>
    </row>
    <row r="126" ht="34" customHeight="1">
      <c r="A126" s="12" t="inlineStr">
        <is>
          <t>Contractor Programme</t>
        </is>
      </c>
      <c r="B126" s="12" t="inlineStr">
        <is>
          <t>SCH-01-166</t>
        </is>
      </c>
      <c r="C126" s="12" t="inlineStr">
        <is>
          <t>West approach: retaining-wall excavation - installation</t>
        </is>
      </c>
      <c r="D126" s="12" t="inlineStr">
        <is>
          <t>WBS Code = 1.1.1</t>
        </is>
      </c>
      <c r="E126" s="12" t="inlineStr">
        <is>
          <t>R166-v1</t>
        </is>
      </c>
      <c r="F126" s="12" t="inlineStr">
        <is>
          <t>1.1.1 Guideway and Civil - Guideway Structures</t>
        </is>
      </c>
      <c r="G126" s="12" t="inlineStr">
        <is>
          <t>ONE_TO_ONE</t>
        </is>
      </c>
      <c r="H126" s="12" t="inlineStr">
        <is>
          <t>APPROVED</t>
        </is>
      </c>
      <c r="I126" s="12" t="inlineStr">
        <is>
          <t>New</t>
        </is>
      </c>
      <c r="J126" s="12" t="inlineStr">
        <is>
          <t>Source assignment -- not individually reviewed</t>
        </is>
      </c>
      <c r="K126" s="12" t="inlineStr"/>
      <c r="L126" s="12" t="inlineStr"/>
      <c r="M126" s="12" t="inlineStr"/>
      <c r="N126" s="17" t="inlineStr">
        <is>
          <t>10 EVIDENCE &amp; DECISIONS</t>
        </is>
      </c>
    </row>
    <row r="127" ht="34" customHeight="1">
      <c r="A127" s="12" t="inlineStr">
        <is>
          <t>Contractor Programme</t>
        </is>
      </c>
      <c r="B127" s="12" t="inlineStr">
        <is>
          <t>SCH-01-167</t>
        </is>
      </c>
      <c r="C127" s="12" t="inlineStr">
        <is>
          <t>Depot lead: drainage tie-in - inspection</t>
        </is>
      </c>
      <c r="D127" s="12" t="inlineStr">
        <is>
          <t>WBS Code = 1.1.1</t>
        </is>
      </c>
      <c r="E127" s="12" t="inlineStr">
        <is>
          <t>R167-v1</t>
        </is>
      </c>
      <c r="F127" s="12" t="inlineStr">
        <is>
          <t>1.1.1 Guideway and Civil - Guideway Structures</t>
        </is>
      </c>
      <c r="G127" s="12" t="inlineStr">
        <is>
          <t>ONE_TO_ONE</t>
        </is>
      </c>
      <c r="H127" s="12" t="inlineStr">
        <is>
          <t>APPROVED</t>
        </is>
      </c>
      <c r="I127" s="12" t="inlineStr">
        <is>
          <t>New</t>
        </is>
      </c>
      <c r="J127" s="12" t="inlineStr">
        <is>
          <t>Source assignment -- not individually reviewed</t>
        </is>
      </c>
      <c r="K127" s="12" t="inlineStr"/>
      <c r="L127" s="12" t="inlineStr"/>
      <c r="M127" s="12" t="inlineStr"/>
      <c r="N127" s="17" t="inlineStr">
        <is>
          <t>10 EVIDENCE &amp; DECISIONS</t>
        </is>
      </c>
    </row>
    <row r="128" ht="34" customHeight="1">
      <c r="A128" s="12" t="inlineStr">
        <is>
          <t>Contractor Programme</t>
        </is>
      </c>
      <c r="B128" s="12" t="inlineStr">
        <is>
          <t>SCH-01-169</t>
        </is>
      </c>
      <c r="C128" s="12" t="inlineStr">
        <is>
          <t>River crossing: track-slab survey - release</t>
        </is>
      </c>
      <c r="D128" s="12" t="inlineStr">
        <is>
          <t>WBS Code = 1.1.1</t>
        </is>
      </c>
      <c r="E128" s="12" t="inlineStr">
        <is>
          <t>R169-v1</t>
        </is>
      </c>
      <c r="F128" s="12" t="inlineStr">
        <is>
          <t>1.1.1 Guideway and Civil - Guideway Structures</t>
        </is>
      </c>
      <c r="G128" s="12" t="inlineStr">
        <is>
          <t>ONE_TO_ONE</t>
        </is>
      </c>
      <c r="H128" s="12" t="inlineStr">
        <is>
          <t>APPROVED</t>
        </is>
      </c>
      <c r="I128" s="12" t="inlineStr">
        <is>
          <t>New</t>
        </is>
      </c>
      <c r="J128" s="12" t="inlineStr">
        <is>
          <t>Source assignment -- not individually reviewed</t>
        </is>
      </c>
      <c r="K128" s="12" t="inlineStr"/>
      <c r="L128" s="12" t="inlineStr"/>
      <c r="M128" s="12" t="inlineStr"/>
      <c r="N128" s="17" t="inlineStr">
        <is>
          <t>10 EVIDENCE &amp; DECISIONS</t>
        </is>
      </c>
    </row>
    <row r="129" ht="34" customHeight="1">
      <c r="A129" s="12" t="inlineStr">
        <is>
          <t>Contractor Programme</t>
        </is>
      </c>
      <c r="B129" s="12" t="inlineStr">
        <is>
          <t>SCH-01-170</t>
        </is>
      </c>
      <c r="C129" s="12" t="inlineStr">
        <is>
          <t>Central guideway: temporary traffic staging - field start</t>
        </is>
      </c>
      <c r="D129" s="12" t="inlineStr">
        <is>
          <t>WBS Code = 1.1.1</t>
        </is>
      </c>
      <c r="E129" s="12" t="inlineStr">
        <is>
          <t>R170-v1</t>
        </is>
      </c>
      <c r="F129" s="12" t="inlineStr">
        <is>
          <t>1.1.1 Guideway and Civil - Guideway Structures</t>
        </is>
      </c>
      <c r="G129" s="12" t="inlineStr">
        <is>
          <t>ONE_TO_ONE</t>
        </is>
      </c>
      <c r="H129" s="12" t="inlineStr">
        <is>
          <t>APPROVED</t>
        </is>
      </c>
      <c r="I129" s="12" t="inlineStr">
        <is>
          <t>New</t>
        </is>
      </c>
      <c r="J129" s="12" t="inlineStr">
        <is>
          <t>Source assignment -- not individually reviewed</t>
        </is>
      </c>
      <c r="K129" s="12" t="inlineStr"/>
      <c r="L129" s="12" t="inlineStr"/>
      <c r="M129" s="12" t="inlineStr"/>
      <c r="N129" s="17" t="inlineStr">
        <is>
          <t>10 EVIDENCE &amp; DECISIONS</t>
        </is>
      </c>
    </row>
    <row r="130" ht="34" customHeight="1">
      <c r="A130" s="12" t="inlineStr">
        <is>
          <t>Contractor Programme</t>
        </is>
      </c>
      <c r="B130" s="12" t="inlineStr">
        <is>
          <t>SCH-01-172</t>
        </is>
      </c>
      <c r="C130" s="12" t="inlineStr">
        <is>
          <t>Depot lead: road restoration - inspection</t>
        </is>
      </c>
      <c r="D130" s="12" t="inlineStr">
        <is>
          <t>WBS Code = 1.1.1</t>
        </is>
      </c>
      <c r="E130" s="12" t="inlineStr">
        <is>
          <t>R172-v1</t>
        </is>
      </c>
      <c r="F130" s="12" t="inlineStr">
        <is>
          <t>1.1.1 Guideway and Civil - Guideway Structures</t>
        </is>
      </c>
      <c r="G130" s="12" t="inlineStr">
        <is>
          <t>ONE_TO_ONE</t>
        </is>
      </c>
      <c r="H130" s="12" t="inlineStr">
        <is>
          <t>APPROVED</t>
        </is>
      </c>
      <c r="I130" s="12" t="inlineStr">
        <is>
          <t>New</t>
        </is>
      </c>
      <c r="J130" s="12" t="inlineStr">
        <is>
          <t>Source assignment -- not individually reviewed</t>
        </is>
      </c>
      <c r="K130" s="12" t="inlineStr"/>
      <c r="L130" s="12" t="inlineStr"/>
      <c r="M130" s="12" t="inlineStr"/>
      <c r="N130" s="17" t="inlineStr">
        <is>
          <t>10 EVIDENCE &amp; DECISIONS</t>
        </is>
      </c>
    </row>
    <row r="131" ht="34" customHeight="1">
      <c r="A131" s="12" t="inlineStr">
        <is>
          <t>Contractor Programme</t>
        </is>
      </c>
      <c r="B131" s="12" t="inlineStr">
        <is>
          <t>SCH-01-173</t>
        </is>
      </c>
      <c r="C131" s="12" t="inlineStr">
        <is>
          <t>East portal: drilled-shaft installation - turnover</t>
        </is>
      </c>
      <c r="D131" s="12" t="inlineStr">
        <is>
          <t>WBS Code = 1.1.1</t>
        </is>
      </c>
      <c r="E131" s="12" t="inlineStr">
        <is>
          <t>R173-v1</t>
        </is>
      </c>
      <c r="F131" s="12" t="inlineStr">
        <is>
          <t>1.1.1 Guideway and Civil - Guideway Structures</t>
        </is>
      </c>
      <c r="G131" s="12" t="inlineStr">
        <is>
          <t>ONE_TO_ONE</t>
        </is>
      </c>
      <c r="H131" s="12" t="inlineStr">
        <is>
          <t>APPROVED</t>
        </is>
      </c>
      <c r="I131" s="12" t="inlineStr">
        <is>
          <t>New</t>
        </is>
      </c>
      <c r="J131" s="12" t="inlineStr">
        <is>
          <t>Source assignment -- not individually reviewed</t>
        </is>
      </c>
      <c r="K131" s="12" t="inlineStr"/>
      <c r="L131" s="12" t="inlineStr"/>
      <c r="M131" s="12" t="inlineStr"/>
      <c r="N131" s="17" t="inlineStr">
        <is>
          <t>10 EVIDENCE &amp; DECISIONS</t>
        </is>
      </c>
    </row>
    <row r="132" ht="34" customHeight="1">
      <c r="A132" s="12" t="inlineStr">
        <is>
          <t>Contractor Programme</t>
        </is>
      </c>
      <c r="B132" s="12" t="inlineStr">
        <is>
          <t>SCH-01-175</t>
        </is>
      </c>
      <c r="C132" s="12" t="inlineStr">
        <is>
          <t>Central guideway: drainage tie-in - field start</t>
        </is>
      </c>
      <c r="D132" s="12" t="inlineStr">
        <is>
          <t>WBS Code = 1.1.1</t>
        </is>
      </c>
      <c r="E132" s="12" t="inlineStr">
        <is>
          <t>R175-v1</t>
        </is>
      </c>
      <c r="F132" s="12" t="inlineStr">
        <is>
          <t>1.1.1 Guideway and Civil - Guideway Structures</t>
        </is>
      </c>
      <c r="G132" s="12" t="inlineStr">
        <is>
          <t>ONE_TO_ONE</t>
        </is>
      </c>
      <c r="H132" s="12" t="inlineStr">
        <is>
          <t>APPROVED</t>
        </is>
      </c>
      <c r="I132" s="12" t="inlineStr">
        <is>
          <t>New</t>
        </is>
      </c>
      <c r="J132" s="12" t="inlineStr">
        <is>
          <t>Source assignment -- not individually reviewed</t>
        </is>
      </c>
      <c r="K132" s="12" t="inlineStr"/>
      <c r="L132" s="12" t="inlineStr"/>
      <c r="M132" s="12" t="inlineStr"/>
      <c r="N132" s="17" t="inlineStr">
        <is>
          <t>10 EVIDENCE &amp; DECISIONS</t>
        </is>
      </c>
    </row>
    <row r="133" ht="34" customHeight="1">
      <c r="A133" s="12" t="inlineStr">
        <is>
          <t>Contractor Programme</t>
        </is>
      </c>
      <c r="B133" s="12" t="inlineStr">
        <is>
          <t>SCH-01-176</t>
        </is>
      </c>
      <c r="C133" s="12" t="inlineStr">
        <is>
          <t>West approach: utility relocation - installation</t>
        </is>
      </c>
      <c r="D133" s="12" t="inlineStr">
        <is>
          <t>WBS Code = 1.1.1</t>
        </is>
      </c>
      <c r="E133" s="12" t="inlineStr">
        <is>
          <t>R176-v1</t>
        </is>
      </c>
      <c r="F133" s="12" t="inlineStr">
        <is>
          <t>1.1.1 Guideway and Civil - Guideway Structures</t>
        </is>
      </c>
      <c r="G133" s="12" t="inlineStr">
        <is>
          <t>ONE_TO_ONE</t>
        </is>
      </c>
      <c r="H133" s="12" t="inlineStr">
        <is>
          <t>APPROVED</t>
        </is>
      </c>
      <c r="I133" s="12" t="inlineStr">
        <is>
          <t>New</t>
        </is>
      </c>
      <c r="J133" s="12" t="inlineStr">
        <is>
          <t>Source assignment -- not individually reviewed</t>
        </is>
      </c>
      <c r="K133" s="12" t="inlineStr"/>
      <c r="L133" s="12" t="inlineStr"/>
      <c r="M133" s="12" t="inlineStr"/>
      <c r="N133" s="17" t="inlineStr">
        <is>
          <t>10 EVIDENCE &amp; DECISIONS</t>
        </is>
      </c>
    </row>
    <row r="134" ht="34" customHeight="1">
      <c r="A134" s="12" t="inlineStr">
        <is>
          <t>Contractor Programme</t>
        </is>
      </c>
      <c r="B134" s="12" t="inlineStr">
        <is>
          <t>SCH-01-178</t>
        </is>
      </c>
      <c r="C134" s="12" t="inlineStr">
        <is>
          <t>East portal: temporary traffic staging - turnover</t>
        </is>
      </c>
      <c r="D134" s="12" t="inlineStr">
        <is>
          <t>WBS Code = 1.1.1</t>
        </is>
      </c>
      <c r="E134" s="12" t="inlineStr">
        <is>
          <t>R178-v1</t>
        </is>
      </c>
      <c r="F134" s="12" t="inlineStr">
        <is>
          <t>1.1.1 Guideway and Civil - Guideway Structures</t>
        </is>
      </c>
      <c r="G134" s="12" t="inlineStr">
        <is>
          <t>ONE_TO_ONE</t>
        </is>
      </c>
      <c r="H134" s="12" t="inlineStr">
        <is>
          <t>APPROVED</t>
        </is>
      </c>
      <c r="I134" s="12" t="inlineStr">
        <is>
          <t>New</t>
        </is>
      </c>
      <c r="J134" s="12" t="inlineStr">
        <is>
          <t>Source assignment -- not individually reviewed</t>
        </is>
      </c>
      <c r="K134" s="12" t="inlineStr"/>
      <c r="L134" s="12" t="inlineStr"/>
      <c r="M134" s="12" t="inlineStr"/>
      <c r="N134" s="17" t="inlineStr">
        <is>
          <t>10 EVIDENCE &amp; DECISIONS</t>
        </is>
      </c>
    </row>
    <row r="135" ht="34" customHeight="1">
      <c r="A135" s="12" t="inlineStr">
        <is>
          <t>Contractor Programme</t>
        </is>
      </c>
      <c r="B135" s="12" t="inlineStr">
        <is>
          <t>SCH-01-179</t>
        </is>
      </c>
      <c r="C135" s="12" t="inlineStr">
        <is>
          <t>River crossing: guideway pier reinforcement - release</t>
        </is>
      </c>
      <c r="D135" s="12" t="inlineStr">
        <is>
          <t>WBS Code = 1.1.1</t>
        </is>
      </c>
      <c r="E135" s="12" t="inlineStr">
        <is>
          <t>R179-v1</t>
        </is>
      </c>
      <c r="F135" s="12" t="inlineStr">
        <is>
          <t>1.1.1 Guideway and Civil - Guideway Structures</t>
        </is>
      </c>
      <c r="G135" s="12" t="inlineStr">
        <is>
          <t>ONE_TO_ONE</t>
        </is>
      </c>
      <c r="H135" s="12" t="inlineStr">
        <is>
          <t>APPROVED</t>
        </is>
      </c>
      <c r="I135" s="12" t="inlineStr">
        <is>
          <t>New</t>
        </is>
      </c>
      <c r="J135" s="12" t="inlineStr">
        <is>
          <t>Source assignment -- not individually reviewed</t>
        </is>
      </c>
      <c r="K135" s="12" t="inlineStr"/>
      <c r="L135" s="12" t="inlineStr"/>
      <c r="M135" s="12" t="inlineStr"/>
      <c r="N135" s="17" t="inlineStr">
        <is>
          <t>10 EVIDENCE &amp; DECISIONS</t>
        </is>
      </c>
    </row>
    <row r="136" ht="34" customHeight="1">
      <c r="A136" s="12" t="inlineStr">
        <is>
          <t>Cost &amp; Forecast Control Accounts</t>
        </is>
      </c>
      <c r="B136" s="12" t="inlineStr">
        <is>
          <t>CST-01-001</t>
        </is>
      </c>
      <c r="C136" s="12" t="inlineStr">
        <is>
          <t>Guideway and Civil - roadworks - professional services</t>
        </is>
      </c>
      <c r="D136" s="12" t="inlineStr">
        <is>
          <t>Cost Account = CA-1001; WBS Code = 1.1.1</t>
        </is>
      </c>
      <c r="E136" s="12" t="inlineStr">
        <is>
          <t>R1083-v1</t>
        </is>
      </c>
      <c r="F136" s="12" t="inlineStr">
        <is>
          <t>1.1.1 Guideway and Civil - Guideway Structures</t>
        </is>
      </c>
      <c r="G136" s="12" t="inlineStr">
        <is>
          <t>ONE_TO_ONE</t>
        </is>
      </c>
      <c r="H136" s="12" t="inlineStr">
        <is>
          <t>APPROVED</t>
        </is>
      </c>
      <c r="I136" s="12" t="inlineStr">
        <is>
          <t>New</t>
        </is>
      </c>
      <c r="J136" s="12" t="inlineStr">
        <is>
          <t>Source assignment -- not individually reviewed</t>
        </is>
      </c>
      <c r="K136" s="12" t="inlineStr"/>
      <c r="L136" s="12" t="inlineStr"/>
      <c r="M136" s="12" t="inlineStr"/>
      <c r="N136" s="17" t="inlineStr">
        <is>
          <t>10 EVIDENCE &amp; DECISIONS</t>
        </is>
      </c>
      <c r="O136" s="105" t="n">
        <v>347500</v>
      </c>
      <c r="P136" s="105" t="n">
        <v>347500</v>
      </c>
      <c r="Q136" s="105" t="inlineStr">
        <is>
          <t>CAD</t>
        </is>
      </c>
      <c r="R136" s="105" t="n"/>
      <c r="S136" s="105" t="inlineStr">
        <is>
          <t>2027-06-30</t>
        </is>
      </c>
      <c r="T136" s="105" t="inlineStr">
        <is>
          <t>C1-R0</t>
        </is>
      </c>
      <c r="U136" s="105" t="inlineStr">
        <is>
          <t>Supplied practice file monthly_cost_forecast.xlsx, row 2</t>
        </is>
      </c>
      <c r="V136" s="105" t="inlineStr">
        <is>
          <t>Whole source account, not a target allocation. Repeated target rows must not be summed. Aggregate cost / forecast remains withheld.</t>
        </is>
      </c>
    </row>
    <row r="137" ht="34" customHeight="1">
      <c r="A137" s="12" t="inlineStr">
        <is>
          <t>Cost &amp; Forecast Control Accounts</t>
        </is>
      </c>
      <c r="B137" s="12" t="inlineStr">
        <is>
          <t>CST-01-003</t>
        </is>
      </c>
      <c r="C137" s="12" t="inlineStr">
        <is>
          <t>Guideway and Civil - concrete structures - closeout</t>
        </is>
      </c>
      <c r="D137" s="12" t="inlineStr">
        <is>
          <t>Cost Account = CA-1003; WBS Code = 1.1.1</t>
        </is>
      </c>
      <c r="E137" s="12" t="inlineStr">
        <is>
          <t>R1085-v1</t>
        </is>
      </c>
      <c r="F137" s="12" t="inlineStr">
        <is>
          <t>1.1.1 Guideway and Civil - Guideway Structures</t>
        </is>
      </c>
      <c r="G137" s="12" t="inlineStr">
        <is>
          <t>ONE_TO_ONE</t>
        </is>
      </c>
      <c r="H137" s="12" t="inlineStr">
        <is>
          <t>APPROVED</t>
        </is>
      </c>
      <c r="I137" s="12" t="inlineStr">
        <is>
          <t>New</t>
        </is>
      </c>
      <c r="J137" s="12" t="inlineStr">
        <is>
          <t>Source assignment -- not individually reviewed</t>
        </is>
      </c>
      <c r="K137" s="12" t="inlineStr"/>
      <c r="L137" s="12" t="inlineStr"/>
      <c r="M137" s="12" t="inlineStr"/>
      <c r="N137" s="17" t="inlineStr">
        <is>
          <t>10 EVIDENCE &amp; DECISIONS</t>
        </is>
      </c>
      <c r="O137" s="105" t="n">
        <v>382500</v>
      </c>
      <c r="P137" s="105" t="n">
        <v>407500</v>
      </c>
      <c r="Q137" s="105" t="inlineStr">
        <is>
          <t>CAD</t>
        </is>
      </c>
      <c r="R137" s="105" t="n"/>
      <c r="S137" s="105" t="inlineStr">
        <is>
          <t>2027-06-30</t>
        </is>
      </c>
      <c r="T137" s="105" t="inlineStr">
        <is>
          <t>C1-R0</t>
        </is>
      </c>
      <c r="U137" s="105" t="inlineStr">
        <is>
          <t>Supplied practice file monthly_cost_forecast.xlsx, row 4</t>
        </is>
      </c>
      <c r="V137" s="105" t="inlineStr">
        <is>
          <t>Whole source account, not a target allocation. Repeated target rows must not be summed. Aggregate cost / forecast remains withheld.</t>
        </is>
      </c>
    </row>
    <row r="138" ht="34" customHeight="1">
      <c r="A138" s="12" t="inlineStr">
        <is>
          <t>Cost &amp; Forecast Control Accounts</t>
        </is>
      </c>
      <c r="B138" s="12" t="inlineStr">
        <is>
          <t>CST-01-005</t>
        </is>
      </c>
      <c r="C138" s="12" t="inlineStr">
        <is>
          <t>Guideway and Civil - temporary works - supply and install</t>
        </is>
      </c>
      <c r="D138" s="12" t="inlineStr">
        <is>
          <t>Cost Account = CA-1005; WBS Code = 1.1.1</t>
        </is>
      </c>
      <c r="E138" s="12" t="inlineStr">
        <is>
          <t>R1087-v1</t>
        </is>
      </c>
      <c r="F138" s="12" t="inlineStr">
        <is>
          <t>1.1.1 Guideway and Civil - Guideway Structures</t>
        </is>
      </c>
      <c r="G138" s="12" t="inlineStr">
        <is>
          <t>ONE_TO_ONE</t>
        </is>
      </c>
      <c r="H138" s="12" t="inlineStr">
        <is>
          <t>APPROVED</t>
        </is>
      </c>
      <c r="I138" s="12" t="inlineStr">
        <is>
          <t>New</t>
        </is>
      </c>
      <c r="J138" s="12" t="inlineStr">
        <is>
          <t>Source assignment -- not individually reviewed</t>
        </is>
      </c>
      <c r="K138" s="12" t="inlineStr"/>
      <c r="L138" s="12" t="inlineStr"/>
      <c r="M138" s="12" t="inlineStr"/>
      <c r="N138" s="17" t="inlineStr">
        <is>
          <t>10 EVIDENCE &amp; DECISIONS</t>
        </is>
      </c>
      <c r="O138" s="105" t="n">
        <v>417500</v>
      </c>
      <c r="P138" s="105" t="n">
        <v>417500</v>
      </c>
      <c r="Q138" s="105" t="inlineStr">
        <is>
          <t>CAD</t>
        </is>
      </c>
      <c r="R138" s="105" t="n"/>
      <c r="S138" s="105" t="inlineStr">
        <is>
          <t>2027-06-30</t>
        </is>
      </c>
      <c r="T138" s="105" t="inlineStr">
        <is>
          <t>C1-R0</t>
        </is>
      </c>
      <c r="U138" s="105" t="inlineStr">
        <is>
          <t>Supplied practice file monthly_cost_forecast.xlsx, row 6</t>
        </is>
      </c>
      <c r="V138" s="105" t="inlineStr">
        <is>
          <t>Whole source account, not a target allocation. Repeated target rows must not be summed. Aggregate cost / forecast remains withheld.</t>
        </is>
      </c>
    </row>
    <row r="139" ht="34" customHeight="1">
      <c r="A139" s="12" t="inlineStr">
        <is>
          <t>Cost &amp; Forecast Control Accounts</t>
        </is>
      </c>
      <c r="B139" s="12" t="inlineStr">
        <is>
          <t>CST-01-007</t>
        </is>
      </c>
      <c r="C139" s="12" t="inlineStr">
        <is>
          <t>Guideway and Civil - roadworks - allowance</t>
        </is>
      </c>
      <c r="D139" s="12" t="inlineStr">
        <is>
          <t>Cost Account = CA-1007; WBS Code = 1.1.1</t>
        </is>
      </c>
      <c r="E139" s="12" t="inlineStr">
        <is>
          <t>R1089-v1</t>
        </is>
      </c>
      <c r="F139" s="12" t="inlineStr">
        <is>
          <t>1.1.1 Guideway and Civil - Guideway Structures</t>
        </is>
      </c>
      <c r="G139" s="12" t="inlineStr">
        <is>
          <t>ONE_TO_ONE</t>
        </is>
      </c>
      <c r="H139" s="12" t="inlineStr">
        <is>
          <t>APPROVED</t>
        </is>
      </c>
      <c r="I139" s="12" t="inlineStr">
        <is>
          <t>New</t>
        </is>
      </c>
      <c r="J139" s="12" t="inlineStr">
        <is>
          <t>Source assignment -- not individually reviewed</t>
        </is>
      </c>
      <c r="K139" s="12" t="inlineStr"/>
      <c r="L139" s="12" t="inlineStr"/>
      <c r="M139" s="12" t="inlineStr"/>
      <c r="N139" s="17" t="inlineStr">
        <is>
          <t>10 EVIDENCE &amp; DECISIONS</t>
        </is>
      </c>
      <c r="O139" s="105" t="n">
        <v>452500</v>
      </c>
      <c r="P139" s="105" t="n">
        <v>477500</v>
      </c>
      <c r="Q139" s="105" t="inlineStr">
        <is>
          <t>CAD</t>
        </is>
      </c>
      <c r="R139" s="105" t="n"/>
      <c r="S139" s="105" t="inlineStr">
        <is>
          <t>2027-06-30</t>
        </is>
      </c>
      <c r="T139" s="105" t="inlineStr">
        <is>
          <t>C1-R0</t>
        </is>
      </c>
      <c r="U139" s="105" t="inlineStr">
        <is>
          <t>Supplied practice file monthly_cost_forecast.xlsx, row 8</t>
        </is>
      </c>
      <c r="V139" s="105" t="inlineStr">
        <is>
          <t>Whole source account, not a target allocation. Repeated target rows must not be summed. Aggregate cost / forecast remains withheld.</t>
        </is>
      </c>
    </row>
    <row r="140" ht="34" customHeight="1">
      <c r="A140" s="12" t="inlineStr">
        <is>
          <t>Cost &amp; Forecast Control Accounts</t>
        </is>
      </c>
      <c r="B140" s="12" t="inlineStr">
        <is>
          <t>CST-01-009</t>
        </is>
      </c>
      <c r="C140" s="12" t="inlineStr">
        <is>
          <t>Guideway and Civil - concrete structures - field package</t>
        </is>
      </c>
      <c r="D140" s="12" t="inlineStr">
        <is>
          <t>Cost Account = CA-1009; WBS Code = 1.1.1</t>
        </is>
      </c>
      <c r="E140" s="12" t="inlineStr">
        <is>
          <t>R1091-v1</t>
        </is>
      </c>
      <c r="F140" s="12" t="inlineStr">
        <is>
          <t>1.1.1 Guideway and Civil - Guideway Structures</t>
        </is>
      </c>
      <c r="G140" s="12" t="inlineStr">
        <is>
          <t>ONE_TO_ONE</t>
        </is>
      </c>
      <c r="H140" s="12" t="inlineStr">
        <is>
          <t>APPROVED</t>
        </is>
      </c>
      <c r="I140" s="12" t="inlineStr">
        <is>
          <t>New</t>
        </is>
      </c>
      <c r="J140" s="12" t="inlineStr">
        <is>
          <t>Source assignment -- not individually reviewed</t>
        </is>
      </c>
      <c r="K140" s="12" t="inlineStr"/>
      <c r="L140" s="12" t="inlineStr"/>
      <c r="M140" s="12" t="inlineStr"/>
      <c r="N140" s="17" t="inlineStr">
        <is>
          <t>10 EVIDENCE &amp; DECISIONS</t>
        </is>
      </c>
      <c r="O140" s="105" t="n">
        <v>487500</v>
      </c>
      <c r="P140" s="105" t="n">
        <v>487500</v>
      </c>
      <c r="Q140" s="105" t="inlineStr">
        <is>
          <t>CAD</t>
        </is>
      </c>
      <c r="R140" s="105" t="n"/>
      <c r="S140" s="105" t="inlineStr">
        <is>
          <t>2027-06-30</t>
        </is>
      </c>
      <c r="T140" s="105" t="inlineStr">
        <is>
          <t>C1-R0</t>
        </is>
      </c>
      <c r="U140" s="105" t="inlineStr">
        <is>
          <t>Supplied practice file monthly_cost_forecast.xlsx, row 10</t>
        </is>
      </c>
      <c r="V140" s="105" t="inlineStr">
        <is>
          <t>Whole source account, not a target allocation. Repeated target rows must not be summed. Aggregate cost / forecast remains withheld.</t>
        </is>
      </c>
    </row>
    <row r="141" ht="34" customHeight="1">
      <c r="A141" s="12" t="inlineStr">
        <is>
          <t>Cost &amp; Forecast Control Accounts</t>
        </is>
      </c>
      <c r="B141" s="12" t="inlineStr">
        <is>
          <t>CST-01-011</t>
        </is>
      </c>
      <c r="C141" s="12" t="inlineStr">
        <is>
          <t>Guideway and Civil - temporary works - professional services</t>
        </is>
      </c>
      <c r="D141" s="12" t="inlineStr">
        <is>
          <t>Cost Account = CA-1011; WBS Code = 1.1.1</t>
        </is>
      </c>
      <c r="E141" s="12" t="inlineStr">
        <is>
          <t>R1093-v1</t>
        </is>
      </c>
      <c r="F141" s="12" t="inlineStr">
        <is>
          <t>1.1.1 Guideway and Civil - Guideway Structures</t>
        </is>
      </c>
      <c r="G141" s="12" t="inlineStr">
        <is>
          <t>ONE_TO_ONE</t>
        </is>
      </c>
      <c r="H141" s="12" t="inlineStr">
        <is>
          <t>APPROVED</t>
        </is>
      </c>
      <c r="I141" s="12" t="inlineStr">
        <is>
          <t>New</t>
        </is>
      </c>
      <c r="J141" s="12" t="inlineStr">
        <is>
          <t>Source assignment -- not individually reviewed</t>
        </is>
      </c>
      <c r="K141" s="12" t="inlineStr"/>
      <c r="L141" s="12" t="inlineStr"/>
      <c r="M141" s="12" t="inlineStr"/>
      <c r="N141" s="17" t="inlineStr">
        <is>
          <t>10 EVIDENCE &amp; DECISIONS</t>
        </is>
      </c>
      <c r="O141" s="105" t="n">
        <v>522500</v>
      </c>
      <c r="P141" s="105" t="n">
        <v>547500</v>
      </c>
      <c r="Q141" s="105" t="inlineStr">
        <is>
          <t>CAD</t>
        </is>
      </c>
      <c r="R141" s="105" t="n"/>
      <c r="S141" s="105" t="inlineStr">
        <is>
          <t>2027-06-30</t>
        </is>
      </c>
      <c r="T141" s="105" t="inlineStr">
        <is>
          <t>C1-R0</t>
        </is>
      </c>
      <c r="U141" s="105" t="inlineStr">
        <is>
          <t>Supplied practice file monthly_cost_forecast.xlsx, row 12</t>
        </is>
      </c>
      <c r="V141" s="105" t="inlineStr">
        <is>
          <t>Whole source account, not a target allocation. Repeated target rows must not be summed. Aggregate cost / forecast remains withheld.</t>
        </is>
      </c>
    </row>
    <row r="142" ht="34" customHeight="1">
      <c r="A142" s="12" t="inlineStr">
        <is>
          <t>Cost &amp; Forecast Control Accounts</t>
        </is>
      </c>
      <c r="B142" s="12" t="inlineStr">
        <is>
          <t>CST-01-013</t>
        </is>
      </c>
      <c r="C142" s="12" t="inlineStr">
        <is>
          <t>Guideway and Civil - roadworks - closeout</t>
        </is>
      </c>
      <c r="D142" s="12" t="inlineStr">
        <is>
          <t>Cost Account = CA-1013; WBS Code = 1.1.1</t>
        </is>
      </c>
      <c r="E142" s="12" t="inlineStr">
        <is>
          <t>R1095-v1</t>
        </is>
      </c>
      <c r="F142" s="12" t="inlineStr">
        <is>
          <t>1.1.1 Guideway and Civil - Guideway Structures</t>
        </is>
      </c>
      <c r="G142" s="12" t="inlineStr">
        <is>
          <t>ONE_TO_ONE</t>
        </is>
      </c>
      <c r="H142" s="12" t="inlineStr">
        <is>
          <t>APPROVED</t>
        </is>
      </c>
      <c r="I142" s="12" t="inlineStr">
        <is>
          <t>New</t>
        </is>
      </c>
      <c r="J142" s="12" t="inlineStr">
        <is>
          <t>Source assignment -- not individually reviewed</t>
        </is>
      </c>
      <c r="K142" s="12" t="inlineStr"/>
      <c r="L142" s="12" t="inlineStr"/>
      <c r="M142" s="12" t="inlineStr"/>
      <c r="N142" s="17" t="inlineStr">
        <is>
          <t>10 EVIDENCE &amp; DECISIONS</t>
        </is>
      </c>
      <c r="O142" s="105" t="n">
        <v>557500</v>
      </c>
      <c r="P142" s="105" t="n">
        <v>557500</v>
      </c>
      <c r="Q142" s="105" t="inlineStr">
        <is>
          <t>CAD</t>
        </is>
      </c>
      <c r="R142" s="105" t="n"/>
      <c r="S142" s="105" t="inlineStr">
        <is>
          <t>2027-06-30</t>
        </is>
      </c>
      <c r="T142" s="105" t="inlineStr">
        <is>
          <t>C1-R0</t>
        </is>
      </c>
      <c r="U142" s="105" t="inlineStr">
        <is>
          <t>Supplied practice file monthly_cost_forecast.xlsx, row 14</t>
        </is>
      </c>
      <c r="V142" s="105" t="inlineStr">
        <is>
          <t>Whole source account, not a target allocation. Repeated target rows must not be summed. Aggregate cost / forecast remains withheld.</t>
        </is>
      </c>
    </row>
    <row r="143" ht="34" customHeight="1">
      <c r="A143" s="12" t="inlineStr">
        <is>
          <t>Cost &amp; Forecast Control Accounts</t>
        </is>
      </c>
      <c r="B143" s="12" t="inlineStr">
        <is>
          <t>CST-01-015</t>
        </is>
      </c>
      <c r="C143" s="12" t="inlineStr">
        <is>
          <t>Guideway and Civil - concrete structures - supply and install</t>
        </is>
      </c>
      <c r="D143" s="12" t="inlineStr">
        <is>
          <t>Cost Account = CA-1015; WBS Code = 1.1.1</t>
        </is>
      </c>
      <c r="E143" s="12" t="inlineStr">
        <is>
          <t>R1097-v1</t>
        </is>
      </c>
      <c r="F143" s="12" t="inlineStr">
        <is>
          <t>1.1.1 Guideway and Civil - Guideway Structures</t>
        </is>
      </c>
      <c r="G143" s="12" t="inlineStr">
        <is>
          <t>ONE_TO_ONE</t>
        </is>
      </c>
      <c r="H143" s="12" t="inlineStr">
        <is>
          <t>APPROVED</t>
        </is>
      </c>
      <c r="I143" s="12" t="inlineStr">
        <is>
          <t>New</t>
        </is>
      </c>
      <c r="J143" s="12" t="inlineStr">
        <is>
          <t>Source assignment -- not individually reviewed</t>
        </is>
      </c>
      <c r="K143" s="12" t="inlineStr"/>
      <c r="L143" s="12" t="inlineStr"/>
      <c r="M143" s="12" t="inlineStr"/>
      <c r="N143" s="17" t="inlineStr">
        <is>
          <t>10 EVIDENCE &amp; DECISIONS</t>
        </is>
      </c>
      <c r="O143" s="105" t="n">
        <v>592500</v>
      </c>
      <c r="P143" s="105" t="n">
        <v>617500</v>
      </c>
      <c r="Q143" s="105" t="inlineStr">
        <is>
          <t>CAD</t>
        </is>
      </c>
      <c r="R143" s="105" t="n"/>
      <c r="S143" s="105" t="inlineStr">
        <is>
          <t>2027-06-30</t>
        </is>
      </c>
      <c r="T143" s="105" t="inlineStr">
        <is>
          <t>C1-R0</t>
        </is>
      </c>
      <c r="U143" s="105" t="inlineStr">
        <is>
          <t>Supplied practice file monthly_cost_forecast.xlsx, row 16</t>
        </is>
      </c>
      <c r="V143" s="105" t="inlineStr">
        <is>
          <t>Whole source account, not a target allocation. Repeated target rows must not be summed. Aggregate cost / forecast remains withheld.</t>
        </is>
      </c>
    </row>
    <row r="144" ht="34" customHeight="1">
      <c r="A144" s="12" t="inlineStr">
        <is>
          <t>Cost &amp; Forecast Control Accounts</t>
        </is>
      </c>
      <c r="B144" s="12" t="inlineStr">
        <is>
          <t>CST-01-017</t>
        </is>
      </c>
      <c r="C144" s="12" t="inlineStr">
        <is>
          <t>Guideway and Civil - temporary works - allowance</t>
        </is>
      </c>
      <c r="D144" s="12" t="inlineStr">
        <is>
          <t>Cost Account = CA-1017; WBS Code = 1.1.1</t>
        </is>
      </c>
      <c r="E144" s="12" t="inlineStr">
        <is>
          <t>R1099-v1</t>
        </is>
      </c>
      <c r="F144" s="12" t="inlineStr">
        <is>
          <t>1.1.1 Guideway and Civil - Guideway Structures</t>
        </is>
      </c>
      <c r="G144" s="12" t="inlineStr">
        <is>
          <t>ONE_TO_ONE</t>
        </is>
      </c>
      <c r="H144" s="12" t="inlineStr">
        <is>
          <t>APPROVED</t>
        </is>
      </c>
      <c r="I144" s="12" t="inlineStr">
        <is>
          <t>New</t>
        </is>
      </c>
      <c r="J144" s="12" t="inlineStr">
        <is>
          <t>Source assignment -- not individually reviewed</t>
        </is>
      </c>
      <c r="K144" s="12" t="inlineStr"/>
      <c r="L144" s="12" t="inlineStr"/>
      <c r="M144" s="12" t="inlineStr"/>
      <c r="N144" s="17" t="inlineStr">
        <is>
          <t>10 EVIDENCE &amp; DECISIONS</t>
        </is>
      </c>
      <c r="O144" s="105" t="n">
        <v>627500</v>
      </c>
      <c r="P144" s="105" t="n">
        <v>627500</v>
      </c>
      <c r="Q144" s="105" t="inlineStr">
        <is>
          <t>CAD</t>
        </is>
      </c>
      <c r="R144" s="105" t="n"/>
      <c r="S144" s="105" t="inlineStr">
        <is>
          <t>2027-06-30</t>
        </is>
      </c>
      <c r="T144" s="105" t="inlineStr">
        <is>
          <t>C1-R0</t>
        </is>
      </c>
      <c r="U144" s="105" t="inlineStr">
        <is>
          <t>Supplied practice file monthly_cost_forecast.xlsx, row 18</t>
        </is>
      </c>
      <c r="V144" s="105" t="inlineStr">
        <is>
          <t>Whole source account, not a target allocation. Repeated target rows must not be summed. Aggregate cost / forecast remains withheld.</t>
        </is>
      </c>
    </row>
    <row r="145" ht="34" customHeight="1">
      <c r="A145" s="12" t="inlineStr">
        <is>
          <t>Cost &amp; Forecast Control Accounts</t>
        </is>
      </c>
      <c r="B145" s="12" t="inlineStr">
        <is>
          <t>CST-01-019</t>
        </is>
      </c>
      <c r="C145" s="12" t="inlineStr">
        <is>
          <t>Guideway and Civil - roadworks - field package</t>
        </is>
      </c>
      <c r="D145" s="12" t="inlineStr">
        <is>
          <t>Cost Account = CA-1019; WBS Code = 1.1.1</t>
        </is>
      </c>
      <c r="E145" s="12" t="inlineStr">
        <is>
          <t>R1101-v1</t>
        </is>
      </c>
      <c r="F145" s="12" t="inlineStr">
        <is>
          <t>1.1.1 Guideway and Civil - Guideway Structures</t>
        </is>
      </c>
      <c r="G145" s="12" t="inlineStr">
        <is>
          <t>ONE_TO_ONE</t>
        </is>
      </c>
      <c r="H145" s="12" t="inlineStr">
        <is>
          <t>APPROVED</t>
        </is>
      </c>
      <c r="I145" s="12" t="inlineStr">
        <is>
          <t>New</t>
        </is>
      </c>
      <c r="J145" s="12" t="inlineStr">
        <is>
          <t>Source assignment -- not individually reviewed</t>
        </is>
      </c>
      <c r="K145" s="12" t="inlineStr"/>
      <c r="L145" s="12" t="inlineStr"/>
      <c r="M145" s="12" t="inlineStr"/>
      <c r="N145" s="17" t="inlineStr">
        <is>
          <t>10 EVIDENCE &amp; DECISIONS</t>
        </is>
      </c>
      <c r="O145" s="105" t="n">
        <v>662500</v>
      </c>
      <c r="P145" s="105" t="n">
        <v>687500</v>
      </c>
      <c r="Q145" s="105" t="inlineStr">
        <is>
          <t>CAD</t>
        </is>
      </c>
      <c r="R145" s="105" t="n"/>
      <c r="S145" s="105" t="inlineStr">
        <is>
          <t>2027-06-30</t>
        </is>
      </c>
      <c r="T145" s="105" t="inlineStr">
        <is>
          <t>C1-R0</t>
        </is>
      </c>
      <c r="U145" s="105" t="inlineStr">
        <is>
          <t>Supplied practice file monthly_cost_forecast.xlsx, row 20</t>
        </is>
      </c>
      <c r="V145" s="105" t="inlineStr">
        <is>
          <t>Whole source account, not a target allocation. Repeated target rows must not be summed. Aggregate cost / forecast remains withheld.</t>
        </is>
      </c>
    </row>
    <row r="146" ht="34" customHeight="1">
      <c r="A146" s="12" t="inlineStr">
        <is>
          <t>Cost &amp; Forecast Control Accounts</t>
        </is>
      </c>
      <c r="B146" s="12" t="inlineStr">
        <is>
          <t>CST-01-021</t>
        </is>
      </c>
      <c r="C146" s="12" t="inlineStr">
        <is>
          <t>Guideway and Civil - concrete structures - professional services</t>
        </is>
      </c>
      <c r="D146" s="12" t="inlineStr">
        <is>
          <t>Cost Account = CA-1021; WBS Code = 1.1.1</t>
        </is>
      </c>
      <c r="E146" s="12" t="inlineStr">
        <is>
          <t>R1103-v1</t>
        </is>
      </c>
      <c r="F146" s="12" t="inlineStr">
        <is>
          <t>1.1.1 Guideway and Civil - Guideway Structures</t>
        </is>
      </c>
      <c r="G146" s="12" t="inlineStr">
        <is>
          <t>ONE_TO_ONE</t>
        </is>
      </c>
      <c r="H146" s="12" t="inlineStr">
        <is>
          <t>APPROVED</t>
        </is>
      </c>
      <c r="I146" s="12" t="inlineStr">
        <is>
          <t>New</t>
        </is>
      </c>
      <c r="J146" s="12" t="inlineStr">
        <is>
          <t>Source assignment -- not individually reviewed</t>
        </is>
      </c>
      <c r="K146" s="12" t="inlineStr"/>
      <c r="L146" s="12" t="inlineStr"/>
      <c r="M146" s="12" t="inlineStr"/>
      <c r="N146" s="17" t="inlineStr">
        <is>
          <t>10 EVIDENCE &amp; DECISIONS</t>
        </is>
      </c>
      <c r="O146" s="105" t="n">
        <v>697500</v>
      </c>
      <c r="P146" s="105" t="n">
        <v>697500</v>
      </c>
      <c r="Q146" s="105" t="inlineStr">
        <is>
          <t>CAD</t>
        </is>
      </c>
      <c r="R146" s="105" t="n"/>
      <c r="S146" s="105" t="inlineStr">
        <is>
          <t>2027-06-30</t>
        </is>
      </c>
      <c r="T146" s="105" t="inlineStr">
        <is>
          <t>C1-R0</t>
        </is>
      </c>
      <c r="U146" s="105" t="inlineStr">
        <is>
          <t>Supplied practice file monthly_cost_forecast.xlsx, row 22</t>
        </is>
      </c>
      <c r="V146" s="105" t="inlineStr">
        <is>
          <t>Whole source account, not a target allocation. Repeated target rows must not be summed. Aggregate cost / forecast remains withheld.</t>
        </is>
      </c>
    </row>
    <row r="147" ht="34" customHeight="1">
      <c r="A147" s="12" t="inlineStr">
        <is>
          <t>Cost &amp; Forecast Control Accounts</t>
        </is>
      </c>
      <c r="B147" s="12" t="inlineStr">
        <is>
          <t>CST-01-023</t>
        </is>
      </c>
      <c r="C147" s="12" t="inlineStr">
        <is>
          <t>Guideway and Civil - temporary works - closeout</t>
        </is>
      </c>
      <c r="D147" s="12" t="inlineStr">
        <is>
          <t>Cost Account = CA-1023; WBS Code = 1.1.1</t>
        </is>
      </c>
      <c r="E147" s="12" t="inlineStr">
        <is>
          <t>R1105-v1</t>
        </is>
      </c>
      <c r="F147" s="12" t="inlineStr">
        <is>
          <t>1.1.1 Guideway and Civil - Guideway Structures</t>
        </is>
      </c>
      <c r="G147" s="12" t="inlineStr">
        <is>
          <t>ONE_TO_ONE</t>
        </is>
      </c>
      <c r="H147" s="12" t="inlineStr">
        <is>
          <t>APPROVED</t>
        </is>
      </c>
      <c r="I147" s="12" t="inlineStr">
        <is>
          <t>New</t>
        </is>
      </c>
      <c r="J147" s="12" t="inlineStr">
        <is>
          <t>Source assignment -- not individually reviewed</t>
        </is>
      </c>
      <c r="K147" s="12" t="inlineStr"/>
      <c r="L147" s="12" t="inlineStr"/>
      <c r="M147" s="12" t="inlineStr"/>
      <c r="N147" s="17" t="inlineStr">
        <is>
          <t>10 EVIDENCE &amp; DECISIONS</t>
        </is>
      </c>
      <c r="O147" s="105" t="n">
        <v>732500</v>
      </c>
      <c r="P147" s="105" t="n">
        <v>757500</v>
      </c>
      <c r="Q147" s="105" t="inlineStr">
        <is>
          <t>CAD</t>
        </is>
      </c>
      <c r="R147" s="105" t="n"/>
      <c r="S147" s="105" t="inlineStr">
        <is>
          <t>2027-06-30</t>
        </is>
      </c>
      <c r="T147" s="105" t="inlineStr">
        <is>
          <t>C1-R0</t>
        </is>
      </c>
      <c r="U147" s="105" t="inlineStr">
        <is>
          <t>Supplied practice file monthly_cost_forecast.xlsx, row 24</t>
        </is>
      </c>
      <c r="V147" s="105" t="inlineStr">
        <is>
          <t>Whole source account, not a target allocation. Repeated target rows must not be summed. Aggregate cost / forecast remains withheld.</t>
        </is>
      </c>
    </row>
    <row r="148" ht="34" customHeight="1">
      <c r="A148" s="12" t="inlineStr">
        <is>
          <t>Cost &amp; Forecast Control Accounts</t>
        </is>
      </c>
      <c r="B148" s="12" t="inlineStr">
        <is>
          <t>CST-01-025</t>
        </is>
      </c>
      <c r="C148" s="12" t="inlineStr">
        <is>
          <t>Guideway and Civil - roadworks - supply and install</t>
        </is>
      </c>
      <c r="D148" s="12" t="inlineStr">
        <is>
          <t>Cost Account = CA-1025; WBS Code = 1.1.1</t>
        </is>
      </c>
      <c r="E148" s="12" t="inlineStr">
        <is>
          <t>R1107-v1</t>
        </is>
      </c>
      <c r="F148" s="12" t="inlineStr">
        <is>
          <t>1.1.1 Guideway and Civil - Guideway Structures</t>
        </is>
      </c>
      <c r="G148" s="12" t="inlineStr">
        <is>
          <t>ONE_TO_ONE</t>
        </is>
      </c>
      <c r="H148" s="12" t="inlineStr">
        <is>
          <t>APPROVED</t>
        </is>
      </c>
      <c r="I148" s="12" t="inlineStr">
        <is>
          <t>New</t>
        </is>
      </c>
      <c r="J148" s="12" t="inlineStr">
        <is>
          <t>Source assignment -- not individually reviewed</t>
        </is>
      </c>
      <c r="K148" s="12" t="inlineStr"/>
      <c r="L148" s="12" t="inlineStr"/>
      <c r="M148" s="12" t="inlineStr"/>
      <c r="N148" s="17" t="inlineStr">
        <is>
          <t>10 EVIDENCE &amp; DECISIONS</t>
        </is>
      </c>
      <c r="O148" s="105" t="n">
        <v>767500</v>
      </c>
      <c r="P148" s="105" t="n">
        <v>767500</v>
      </c>
      <c r="Q148" s="105" t="inlineStr">
        <is>
          <t>CAD</t>
        </is>
      </c>
      <c r="R148" s="105" t="n"/>
      <c r="S148" s="105" t="inlineStr">
        <is>
          <t>2027-06-30</t>
        </is>
      </c>
      <c r="T148" s="105" t="inlineStr">
        <is>
          <t>C1-R0</t>
        </is>
      </c>
      <c r="U148" s="105" t="inlineStr">
        <is>
          <t>Supplied practice file monthly_cost_forecast.xlsx, row 26</t>
        </is>
      </c>
      <c r="V148" s="105" t="inlineStr">
        <is>
          <t>Whole source account, not a target allocation. Repeated target rows must not be summed. Aggregate cost / forecast remains withheld.</t>
        </is>
      </c>
    </row>
    <row r="149" ht="34" customHeight="1">
      <c r="A149" s="12" t="inlineStr">
        <is>
          <t>Cost &amp; Forecast Control Accounts</t>
        </is>
      </c>
      <c r="B149" s="12" t="inlineStr">
        <is>
          <t>CST-01-027</t>
        </is>
      </c>
      <c r="C149" s="12" t="inlineStr">
        <is>
          <t>Guideway and Civil - concrete structures - allowance</t>
        </is>
      </c>
      <c r="D149" s="12" t="inlineStr">
        <is>
          <t>Cost Account = CA-1027; WBS Code = 1.1.1</t>
        </is>
      </c>
      <c r="E149" s="12" t="inlineStr">
        <is>
          <t>R1109-v1</t>
        </is>
      </c>
      <c r="F149" s="12" t="inlineStr">
        <is>
          <t>1.1.1 Guideway and Civil - Guideway Structures</t>
        </is>
      </c>
      <c r="G149" s="12" t="inlineStr">
        <is>
          <t>ONE_TO_ONE</t>
        </is>
      </c>
      <c r="H149" s="12" t="inlineStr">
        <is>
          <t>APPROVED</t>
        </is>
      </c>
      <c r="I149" s="12" t="inlineStr">
        <is>
          <t>New</t>
        </is>
      </c>
      <c r="J149" s="12" t="inlineStr">
        <is>
          <t>Source assignment -- not individually reviewed</t>
        </is>
      </c>
      <c r="K149" s="12" t="inlineStr"/>
      <c r="L149" s="12" t="inlineStr"/>
      <c r="M149" s="12" t="inlineStr"/>
      <c r="N149" s="17" t="inlineStr">
        <is>
          <t>10 EVIDENCE &amp; DECISIONS</t>
        </is>
      </c>
      <c r="O149" s="105" t="n">
        <v>802500</v>
      </c>
      <c r="P149" s="105" t="n">
        <v>827500</v>
      </c>
      <c r="Q149" s="105" t="inlineStr">
        <is>
          <t>CAD</t>
        </is>
      </c>
      <c r="R149" s="105" t="n"/>
      <c r="S149" s="105" t="inlineStr">
        <is>
          <t>2027-06-30</t>
        </is>
      </c>
      <c r="T149" s="105" t="inlineStr">
        <is>
          <t>C1-R0</t>
        </is>
      </c>
      <c r="U149" s="105" t="inlineStr">
        <is>
          <t>Supplied practice file monthly_cost_forecast.xlsx, row 28</t>
        </is>
      </c>
      <c r="V149" s="105" t="inlineStr">
        <is>
          <t>Whole source account, not a target allocation. Repeated target rows must not be summed. Aggregate cost / forecast remains withheld.</t>
        </is>
      </c>
    </row>
    <row r="150" ht="34" customHeight="1">
      <c r="A150" s="12" t="inlineStr">
        <is>
          <t>Cost &amp; Forecast Control Accounts</t>
        </is>
      </c>
      <c r="B150" s="12" t="inlineStr">
        <is>
          <t>CST-01-029</t>
        </is>
      </c>
      <c r="C150" s="12" t="inlineStr">
        <is>
          <t>Guideway and Civil - temporary works - field package</t>
        </is>
      </c>
      <c r="D150" s="12" t="inlineStr">
        <is>
          <t>Cost Account = CA-1029; WBS Code = 1.1.1</t>
        </is>
      </c>
      <c r="E150" s="12" t="inlineStr">
        <is>
          <t>R1111-v1</t>
        </is>
      </c>
      <c r="F150" s="12" t="inlineStr">
        <is>
          <t>1.1.1 Guideway and Civil - Guideway Structures</t>
        </is>
      </c>
      <c r="G150" s="12" t="inlineStr">
        <is>
          <t>ONE_TO_ONE</t>
        </is>
      </c>
      <c r="H150" s="12" t="inlineStr">
        <is>
          <t>APPROVED</t>
        </is>
      </c>
      <c r="I150" s="12" t="inlineStr">
        <is>
          <t>New</t>
        </is>
      </c>
      <c r="J150" s="12" t="inlineStr">
        <is>
          <t>Source assignment -- not individually reviewed</t>
        </is>
      </c>
      <c r="K150" s="12" t="inlineStr"/>
      <c r="L150" s="12" t="inlineStr"/>
      <c r="M150" s="12" t="inlineStr"/>
      <c r="N150" s="17" t="inlineStr">
        <is>
          <t>10 EVIDENCE &amp; DECISIONS</t>
        </is>
      </c>
      <c r="O150" s="105" t="n">
        <v>837500</v>
      </c>
      <c r="P150" s="105" t="n">
        <v>837500</v>
      </c>
      <c r="Q150" s="105" t="inlineStr">
        <is>
          <t>CAD</t>
        </is>
      </c>
      <c r="R150" s="105" t="n"/>
      <c r="S150" s="105" t="inlineStr">
        <is>
          <t>2027-06-30</t>
        </is>
      </c>
      <c r="T150" s="105" t="inlineStr">
        <is>
          <t>C1-R0</t>
        </is>
      </c>
      <c r="U150" s="105" t="inlineStr">
        <is>
          <t>Supplied practice file monthly_cost_forecast.xlsx, row 30</t>
        </is>
      </c>
      <c r="V150" s="105" t="inlineStr">
        <is>
          <t>Whole source account, not a target allocation. Repeated target rows must not be summed. Aggregate cost / forecast remains withheld.</t>
        </is>
      </c>
    </row>
    <row r="151" ht="34" customHeight="1">
      <c r="A151" s="12" t="inlineStr">
        <is>
          <t>Cost &amp; Forecast Control Accounts</t>
        </is>
      </c>
      <c r="B151" s="12" t="inlineStr">
        <is>
          <t>CST-01-031</t>
        </is>
      </c>
      <c r="C151" s="12" t="inlineStr">
        <is>
          <t>Guideway and Civil - roadworks - professional services</t>
        </is>
      </c>
      <c r="D151" s="12" t="inlineStr">
        <is>
          <t>Cost Account = CA-1031; WBS Code = 1.1.1</t>
        </is>
      </c>
      <c r="E151" s="12" t="inlineStr">
        <is>
          <t>R1113-v1</t>
        </is>
      </c>
      <c r="F151" s="12" t="inlineStr">
        <is>
          <t>1.1.1 Guideway and Civil - Guideway Structures</t>
        </is>
      </c>
      <c r="G151" s="12" t="inlineStr">
        <is>
          <t>ONE_TO_ONE</t>
        </is>
      </c>
      <c r="H151" s="12" t="inlineStr">
        <is>
          <t>APPROVED</t>
        </is>
      </c>
      <c r="I151" s="12" t="inlineStr">
        <is>
          <t>New</t>
        </is>
      </c>
      <c r="J151" s="12" t="inlineStr">
        <is>
          <t>Source assignment -- not individually reviewed</t>
        </is>
      </c>
      <c r="K151" s="12" t="inlineStr"/>
      <c r="L151" s="12" t="inlineStr"/>
      <c r="M151" s="12" t="inlineStr"/>
      <c r="N151" s="17" t="inlineStr">
        <is>
          <t>10 EVIDENCE &amp; DECISIONS</t>
        </is>
      </c>
      <c r="O151" s="105" t="n">
        <v>872500</v>
      </c>
      <c r="P151" s="105" t="n">
        <v>897500</v>
      </c>
      <c r="Q151" s="105" t="inlineStr">
        <is>
          <t>CAD</t>
        </is>
      </c>
      <c r="R151" s="105" t="n"/>
      <c r="S151" s="105" t="inlineStr">
        <is>
          <t>2027-06-30</t>
        </is>
      </c>
      <c r="T151" s="105" t="inlineStr">
        <is>
          <t>C1-R0</t>
        </is>
      </c>
      <c r="U151" s="105" t="inlineStr">
        <is>
          <t>Supplied practice file monthly_cost_forecast.xlsx, row 32</t>
        </is>
      </c>
      <c r="V151" s="105" t="inlineStr">
        <is>
          <t>Whole source account, not a target allocation. Repeated target rows must not be summed. Aggregate cost / forecast remains withheld.</t>
        </is>
      </c>
    </row>
    <row r="152" ht="34" customHeight="1">
      <c r="A152" s="12" t="inlineStr">
        <is>
          <t>Cost &amp; Forecast Control Accounts</t>
        </is>
      </c>
      <c r="B152" s="12" t="inlineStr">
        <is>
          <t>CST-01-033</t>
        </is>
      </c>
      <c r="C152" s="12" t="inlineStr">
        <is>
          <t>Guideway and Civil - concrete structures - closeout</t>
        </is>
      </c>
      <c r="D152" s="12" t="inlineStr">
        <is>
          <t>Cost Account = CA-1033; WBS Code = 1.1.1</t>
        </is>
      </c>
      <c r="E152" s="12" t="inlineStr">
        <is>
          <t>R1115-v1</t>
        </is>
      </c>
      <c r="F152" s="12" t="inlineStr">
        <is>
          <t>1.1.1 Guideway and Civil - Guideway Structures</t>
        </is>
      </c>
      <c r="G152" s="12" t="inlineStr">
        <is>
          <t>ONE_TO_ONE</t>
        </is>
      </c>
      <c r="H152" s="12" t="inlineStr">
        <is>
          <t>APPROVED</t>
        </is>
      </c>
      <c r="I152" s="12" t="inlineStr">
        <is>
          <t>New</t>
        </is>
      </c>
      <c r="J152" s="12" t="inlineStr">
        <is>
          <t>Source assignment -- not individually reviewed</t>
        </is>
      </c>
      <c r="K152" s="12" t="inlineStr"/>
      <c r="L152" s="12" t="inlineStr"/>
      <c r="M152" s="12" t="inlineStr"/>
      <c r="N152" s="17" t="inlineStr">
        <is>
          <t>10 EVIDENCE &amp; DECISIONS</t>
        </is>
      </c>
      <c r="O152" s="105" t="n">
        <v>907500</v>
      </c>
      <c r="P152" s="105" t="n">
        <v>907500</v>
      </c>
      <c r="Q152" s="105" t="inlineStr">
        <is>
          <t>CAD</t>
        </is>
      </c>
      <c r="R152" s="105" t="n"/>
      <c r="S152" s="105" t="inlineStr">
        <is>
          <t>2027-06-30</t>
        </is>
      </c>
      <c r="T152" s="105" t="inlineStr">
        <is>
          <t>C1-R0</t>
        </is>
      </c>
      <c r="U152" s="105" t="inlineStr">
        <is>
          <t>Supplied practice file monthly_cost_forecast.xlsx, row 34</t>
        </is>
      </c>
      <c r="V152" s="105" t="inlineStr">
        <is>
          <t>Whole source account, not a target allocation. Repeated target rows must not be summed. Aggregate cost / forecast remains withheld.</t>
        </is>
      </c>
    </row>
    <row r="153" ht="34" customHeight="1">
      <c r="A153" s="12" t="inlineStr">
        <is>
          <t>Cost &amp; Forecast Control Accounts</t>
        </is>
      </c>
      <c r="B153" s="12" t="inlineStr">
        <is>
          <t>CST-01-035</t>
        </is>
      </c>
      <c r="C153" s="12" t="inlineStr">
        <is>
          <t>Guideway and Civil - temporary works - supply and install</t>
        </is>
      </c>
      <c r="D153" s="12" t="inlineStr">
        <is>
          <t>Cost Account = CA-1035; WBS Code = 1.1.1</t>
        </is>
      </c>
      <c r="E153" s="12" t="inlineStr">
        <is>
          <t>R1117-v1</t>
        </is>
      </c>
      <c r="F153" s="12" t="inlineStr">
        <is>
          <t>1.1.1 Guideway and Civil - Guideway Structures</t>
        </is>
      </c>
      <c r="G153" s="12" t="inlineStr">
        <is>
          <t>ONE_TO_ONE</t>
        </is>
      </c>
      <c r="H153" s="12" t="inlineStr">
        <is>
          <t>APPROVED</t>
        </is>
      </c>
      <c r="I153" s="12" t="inlineStr">
        <is>
          <t>New</t>
        </is>
      </c>
      <c r="J153" s="12" t="inlineStr">
        <is>
          <t>Source assignment -- not individually reviewed</t>
        </is>
      </c>
      <c r="K153" s="12" t="inlineStr"/>
      <c r="L153" s="12" t="inlineStr"/>
      <c r="M153" s="12" t="inlineStr"/>
      <c r="N153" s="17" t="inlineStr">
        <is>
          <t>10 EVIDENCE &amp; DECISIONS</t>
        </is>
      </c>
      <c r="O153" s="105" t="n">
        <v>942500</v>
      </c>
      <c r="P153" s="105" t="n">
        <v>967500</v>
      </c>
      <c r="Q153" s="105" t="inlineStr">
        <is>
          <t>CAD</t>
        </is>
      </c>
      <c r="R153" s="105" t="n"/>
      <c r="S153" s="105" t="inlineStr">
        <is>
          <t>2027-06-30</t>
        </is>
      </c>
      <c r="T153" s="105" t="inlineStr">
        <is>
          <t>C1-R0</t>
        </is>
      </c>
      <c r="U153" s="105" t="inlineStr">
        <is>
          <t>Supplied practice file monthly_cost_forecast.xlsx, row 36</t>
        </is>
      </c>
      <c r="V153" s="105" t="inlineStr">
        <is>
          <t>Whole source account, not a target allocation. Repeated target rows must not be summed. Aggregate cost / forecast remains withheld.</t>
        </is>
      </c>
    </row>
    <row r="154" ht="34" customHeight="1">
      <c r="A154" s="12" t="inlineStr">
        <is>
          <t>Cost &amp; Forecast Control Accounts</t>
        </is>
      </c>
      <c r="B154" s="12" t="inlineStr">
        <is>
          <t>CST-01-037</t>
        </is>
      </c>
      <c r="C154" s="12" t="inlineStr">
        <is>
          <t>Guideway and Civil - roadworks - allowance</t>
        </is>
      </c>
      <c r="D154" s="12" t="inlineStr">
        <is>
          <t>Cost Account = CA-1037; WBS Code = 1.1.1</t>
        </is>
      </c>
      <c r="E154" s="12" t="inlineStr">
        <is>
          <t>R1119-v1</t>
        </is>
      </c>
      <c r="F154" s="12" t="inlineStr">
        <is>
          <t>1.1.1 Guideway and Civil - Guideway Structures</t>
        </is>
      </c>
      <c r="G154" s="12" t="inlineStr">
        <is>
          <t>ONE_TO_ONE</t>
        </is>
      </c>
      <c r="H154" s="12" t="inlineStr">
        <is>
          <t>APPROVED</t>
        </is>
      </c>
      <c r="I154" s="12" t="inlineStr">
        <is>
          <t>New</t>
        </is>
      </c>
      <c r="J154" s="12" t="inlineStr">
        <is>
          <t>Source assignment -- not individually reviewed</t>
        </is>
      </c>
      <c r="K154" s="12" t="inlineStr"/>
      <c r="L154" s="12" t="inlineStr"/>
      <c r="M154" s="12" t="inlineStr"/>
      <c r="N154" s="17" t="inlineStr">
        <is>
          <t>10 EVIDENCE &amp; DECISIONS</t>
        </is>
      </c>
      <c r="O154" s="105" t="n">
        <v>977500</v>
      </c>
      <c r="P154" s="105" t="n">
        <v>977500</v>
      </c>
      <c r="Q154" s="105" t="inlineStr">
        <is>
          <t>CAD</t>
        </is>
      </c>
      <c r="R154" s="105" t="n"/>
      <c r="S154" s="105" t="inlineStr">
        <is>
          <t>2027-06-30</t>
        </is>
      </c>
      <c r="T154" s="105" t="inlineStr">
        <is>
          <t>C1-R0</t>
        </is>
      </c>
      <c r="U154" s="105" t="inlineStr">
        <is>
          <t>Supplied practice file monthly_cost_forecast.xlsx, row 38</t>
        </is>
      </c>
      <c r="V154" s="105" t="inlineStr">
        <is>
          <t>Whole source account, not a target allocation. Repeated target rows must not be summed. Aggregate cost / forecast remains withheld.</t>
        </is>
      </c>
    </row>
    <row r="155" ht="34" customHeight="1">
      <c r="A155" s="12" t="inlineStr">
        <is>
          <t>Cost &amp; Forecast Control Accounts</t>
        </is>
      </c>
      <c r="B155" s="12" t="inlineStr">
        <is>
          <t>CST-01-039</t>
        </is>
      </c>
      <c r="C155" s="12" t="inlineStr">
        <is>
          <t>Guideway and Civil - concrete structures - field package</t>
        </is>
      </c>
      <c r="D155" s="12" t="inlineStr">
        <is>
          <t>Cost Account = CA-1039; WBS Code = 1.1.1</t>
        </is>
      </c>
      <c r="E155" s="12" t="inlineStr">
        <is>
          <t>R1121-v1</t>
        </is>
      </c>
      <c r="F155" s="12" t="inlineStr">
        <is>
          <t>1.1.1 Guideway and Civil - Guideway Structures</t>
        </is>
      </c>
      <c r="G155" s="12" t="inlineStr">
        <is>
          <t>ONE_TO_ONE</t>
        </is>
      </c>
      <c r="H155" s="12" t="inlineStr">
        <is>
          <t>APPROVED</t>
        </is>
      </c>
      <c r="I155" s="12" t="inlineStr">
        <is>
          <t>New</t>
        </is>
      </c>
      <c r="J155" s="12" t="inlineStr">
        <is>
          <t>Source assignment -- not individually reviewed</t>
        </is>
      </c>
      <c r="K155" s="12" t="inlineStr"/>
      <c r="L155" s="12" t="inlineStr"/>
      <c r="M155" s="12" t="inlineStr"/>
      <c r="N155" s="17" t="inlineStr">
        <is>
          <t>10 EVIDENCE &amp; DECISIONS</t>
        </is>
      </c>
      <c r="O155" s="105" t="n">
        <v>1012500</v>
      </c>
      <c r="P155" s="105" t="n">
        <v>1037500</v>
      </c>
      <c r="Q155" s="105" t="inlineStr">
        <is>
          <t>CAD</t>
        </is>
      </c>
      <c r="R155" s="105" t="n"/>
      <c r="S155" s="105" t="inlineStr">
        <is>
          <t>2027-06-30</t>
        </is>
      </c>
      <c r="T155" s="105" t="inlineStr">
        <is>
          <t>C1-R0</t>
        </is>
      </c>
      <c r="U155" s="105" t="inlineStr">
        <is>
          <t>Supplied practice file monthly_cost_forecast.xlsx, row 40</t>
        </is>
      </c>
      <c r="V155" s="105" t="inlineStr">
        <is>
          <t>Whole source account, not a target allocation. Repeated target rows must not be summed. Aggregate cost / forecast remains withheld.</t>
        </is>
      </c>
    </row>
    <row r="156" ht="34" customHeight="1">
      <c r="A156" s="12" t="inlineStr">
        <is>
          <t>Cost &amp; Forecast Control Accounts</t>
        </is>
      </c>
      <c r="B156" s="12" t="inlineStr">
        <is>
          <t>CST-01-041</t>
        </is>
      </c>
      <c r="C156" s="12" t="inlineStr">
        <is>
          <t>Guideway and Civil - temporary works - professional services</t>
        </is>
      </c>
      <c r="D156" s="12" t="inlineStr">
        <is>
          <t>Cost Account = CA-1041; WBS Code = 1.1.1</t>
        </is>
      </c>
      <c r="E156" s="12" t="inlineStr">
        <is>
          <t>R1123-v1</t>
        </is>
      </c>
      <c r="F156" s="12" t="inlineStr">
        <is>
          <t>1.1.1 Guideway and Civil - Guideway Structures</t>
        </is>
      </c>
      <c r="G156" s="12" t="inlineStr">
        <is>
          <t>ONE_TO_ONE</t>
        </is>
      </c>
      <c r="H156" s="12" t="inlineStr">
        <is>
          <t>APPROVED</t>
        </is>
      </c>
      <c r="I156" s="12" t="inlineStr">
        <is>
          <t>New</t>
        </is>
      </c>
      <c r="J156" s="12" t="inlineStr">
        <is>
          <t>Source assignment -- not individually reviewed</t>
        </is>
      </c>
      <c r="K156" s="12" t="inlineStr"/>
      <c r="L156" s="12" t="inlineStr"/>
      <c r="M156" s="12" t="inlineStr"/>
      <c r="N156" s="17" t="inlineStr">
        <is>
          <t>10 EVIDENCE &amp; DECISIONS</t>
        </is>
      </c>
      <c r="O156" s="105" t="n">
        <v>1047500</v>
      </c>
      <c r="P156" s="105" t="n">
        <v>1047500</v>
      </c>
      <c r="Q156" s="105" t="inlineStr">
        <is>
          <t>CAD</t>
        </is>
      </c>
      <c r="R156" s="105" t="n"/>
      <c r="S156" s="105" t="inlineStr">
        <is>
          <t>2027-06-30</t>
        </is>
      </c>
      <c r="T156" s="105" t="inlineStr">
        <is>
          <t>C1-R0</t>
        </is>
      </c>
      <c r="U156" s="105" t="inlineStr">
        <is>
          <t>Supplied practice file monthly_cost_forecast.xlsx, row 42</t>
        </is>
      </c>
      <c r="V156" s="105" t="inlineStr">
        <is>
          <t>Whole source account, not a target allocation. Repeated target rows must not be summed. Aggregate cost / forecast remains withheld.</t>
        </is>
      </c>
    </row>
    <row r="157" ht="34" customHeight="1">
      <c r="A157" s="12" t="inlineStr">
        <is>
          <t>Cost &amp; Forecast Control Accounts</t>
        </is>
      </c>
      <c r="B157" s="12" t="inlineStr">
        <is>
          <t>CST-01-043</t>
        </is>
      </c>
      <c r="C157" s="12" t="inlineStr">
        <is>
          <t>Guideway and Civil - roadworks - closeout</t>
        </is>
      </c>
      <c r="D157" s="12" t="inlineStr">
        <is>
          <t>Cost Account = CA-1043; WBS Code = 1.1.1</t>
        </is>
      </c>
      <c r="E157" s="12" t="inlineStr">
        <is>
          <t>R1125-v1</t>
        </is>
      </c>
      <c r="F157" s="12" t="inlineStr">
        <is>
          <t>1.1.1 Guideway and Civil - Guideway Structures</t>
        </is>
      </c>
      <c r="G157" s="12" t="inlineStr">
        <is>
          <t>ONE_TO_ONE</t>
        </is>
      </c>
      <c r="H157" s="12" t="inlineStr">
        <is>
          <t>APPROVED</t>
        </is>
      </c>
      <c r="I157" s="12" t="inlineStr">
        <is>
          <t>New</t>
        </is>
      </c>
      <c r="J157" s="12" t="inlineStr">
        <is>
          <t>Source assignment -- not individually reviewed</t>
        </is>
      </c>
      <c r="K157" s="12" t="inlineStr"/>
      <c r="L157" s="12" t="inlineStr"/>
      <c r="M157" s="12" t="inlineStr"/>
      <c r="N157" s="17" t="inlineStr">
        <is>
          <t>10 EVIDENCE &amp; DECISIONS</t>
        </is>
      </c>
      <c r="O157" s="105" t="n">
        <v>1082500</v>
      </c>
      <c r="P157" s="105" t="n">
        <v>1107500</v>
      </c>
      <c r="Q157" s="105" t="inlineStr">
        <is>
          <t>CAD</t>
        </is>
      </c>
      <c r="R157" s="105" t="n"/>
      <c r="S157" s="105" t="inlineStr">
        <is>
          <t>2027-06-30</t>
        </is>
      </c>
      <c r="T157" s="105" t="inlineStr">
        <is>
          <t>C1-R0</t>
        </is>
      </c>
      <c r="U157" s="105" t="inlineStr">
        <is>
          <t>Supplied practice file monthly_cost_forecast.xlsx, row 44</t>
        </is>
      </c>
      <c r="V157" s="105" t="inlineStr">
        <is>
          <t>Whole source account, not a target allocation. Repeated target rows must not be summed. Aggregate cost / forecast remains withheld.</t>
        </is>
      </c>
    </row>
    <row r="158" ht="34" customHeight="1">
      <c r="A158" s="12" t="inlineStr">
        <is>
          <t>Cost &amp; Forecast Control Accounts</t>
        </is>
      </c>
      <c r="B158" s="12" t="inlineStr">
        <is>
          <t>CST-01-045</t>
        </is>
      </c>
      <c r="C158" s="12" t="inlineStr">
        <is>
          <t>Guideway and Civil - concrete structures - supply and install</t>
        </is>
      </c>
      <c r="D158" s="12" t="inlineStr">
        <is>
          <t>Cost Account = CA-1045; WBS Code = 1.1.1</t>
        </is>
      </c>
      <c r="E158" s="12" t="inlineStr">
        <is>
          <t>R1127-v1</t>
        </is>
      </c>
      <c r="F158" s="12" t="inlineStr">
        <is>
          <t>1.1.1 Guideway and Civil - Guideway Structures</t>
        </is>
      </c>
      <c r="G158" s="12" t="inlineStr">
        <is>
          <t>ONE_TO_ONE</t>
        </is>
      </c>
      <c r="H158" s="12" t="inlineStr">
        <is>
          <t>APPROVED</t>
        </is>
      </c>
      <c r="I158" s="12" t="inlineStr">
        <is>
          <t>New</t>
        </is>
      </c>
      <c r="J158" s="12" t="inlineStr">
        <is>
          <t>Source assignment -- not individually reviewed</t>
        </is>
      </c>
      <c r="K158" s="12" t="inlineStr"/>
      <c r="L158" s="12" t="inlineStr"/>
      <c r="M158" s="12" t="inlineStr"/>
      <c r="N158" s="17" t="inlineStr">
        <is>
          <t>10 EVIDENCE &amp; DECISIONS</t>
        </is>
      </c>
      <c r="O158" s="105" t="n">
        <v>1117500</v>
      </c>
      <c r="P158" s="105" t="n">
        <v>1117500</v>
      </c>
      <c r="Q158" s="105" t="inlineStr">
        <is>
          <t>CAD</t>
        </is>
      </c>
      <c r="R158" s="105" t="n"/>
      <c r="S158" s="105" t="inlineStr">
        <is>
          <t>2027-06-30</t>
        </is>
      </c>
      <c r="T158" s="105" t="inlineStr">
        <is>
          <t>C1-R0</t>
        </is>
      </c>
      <c r="U158" s="105" t="inlineStr">
        <is>
          <t>Supplied practice file monthly_cost_forecast.xlsx, row 46</t>
        </is>
      </c>
      <c r="V158" s="105" t="inlineStr">
        <is>
          <t>Whole source account, not a target allocation. Repeated target rows must not be summed. Aggregate cost / forecast remains withheld.</t>
        </is>
      </c>
    </row>
    <row r="159" ht="34" customHeight="1">
      <c r="A159" s="12" t="inlineStr">
        <is>
          <t>Cost &amp; Forecast Control Accounts</t>
        </is>
      </c>
      <c r="B159" s="12" t="inlineStr">
        <is>
          <t>CST-01-047</t>
        </is>
      </c>
      <c r="C159" s="12" t="inlineStr">
        <is>
          <t>Guideway and Civil - temporary works - allowance</t>
        </is>
      </c>
      <c r="D159" s="12" t="inlineStr">
        <is>
          <t>Cost Account = CA-1047; WBS Code = 1.1.1</t>
        </is>
      </c>
      <c r="E159" s="12" t="inlineStr">
        <is>
          <t>R1129-v1</t>
        </is>
      </c>
      <c r="F159" s="12" t="inlineStr">
        <is>
          <t>1.1.1 Guideway and Civil - Guideway Structures</t>
        </is>
      </c>
      <c r="G159" s="12" t="inlineStr">
        <is>
          <t>ONE_TO_ONE</t>
        </is>
      </c>
      <c r="H159" s="12" t="inlineStr">
        <is>
          <t>APPROVED</t>
        </is>
      </c>
      <c r="I159" s="12" t="inlineStr">
        <is>
          <t>New</t>
        </is>
      </c>
      <c r="J159" s="12" t="inlineStr">
        <is>
          <t>Source assignment -- not individually reviewed</t>
        </is>
      </c>
      <c r="K159" s="12" t="inlineStr"/>
      <c r="L159" s="12" t="inlineStr"/>
      <c r="M159" s="12" t="inlineStr"/>
      <c r="N159" s="17" t="inlineStr">
        <is>
          <t>10 EVIDENCE &amp; DECISIONS</t>
        </is>
      </c>
      <c r="O159" s="105" t="n">
        <v>1152500</v>
      </c>
      <c r="P159" s="105" t="n">
        <v>1177500</v>
      </c>
      <c r="Q159" s="105" t="inlineStr">
        <is>
          <t>CAD</t>
        </is>
      </c>
      <c r="R159" s="105" t="n"/>
      <c r="S159" s="105" t="inlineStr">
        <is>
          <t>2027-06-30</t>
        </is>
      </c>
      <c r="T159" s="105" t="inlineStr">
        <is>
          <t>C1-R0</t>
        </is>
      </c>
      <c r="U159" s="105" t="inlineStr">
        <is>
          <t>Supplied practice file monthly_cost_forecast.xlsx, row 48</t>
        </is>
      </c>
      <c r="V159" s="105" t="inlineStr">
        <is>
          <t>Whole source account, not a target allocation. Repeated target rows must not be summed. Aggregate cost / forecast remains withheld.</t>
        </is>
      </c>
    </row>
    <row r="160" ht="34" customHeight="1">
      <c r="A160" s="12" t="inlineStr">
        <is>
          <t>Cost &amp; Forecast Control Accounts</t>
        </is>
      </c>
      <c r="B160" s="12" t="inlineStr">
        <is>
          <t>CST-01-049</t>
        </is>
      </c>
      <c r="C160" s="12" t="inlineStr">
        <is>
          <t>Guideway and Civil - roadworks - field package</t>
        </is>
      </c>
      <c r="D160" s="12" t="inlineStr">
        <is>
          <t>Cost Account = CA-1049; WBS Code = 1.1.1</t>
        </is>
      </c>
      <c r="E160" s="12" t="inlineStr">
        <is>
          <t>R1131-v1</t>
        </is>
      </c>
      <c r="F160" s="12" t="inlineStr">
        <is>
          <t>1.1.1 Guideway and Civil - Guideway Structures</t>
        </is>
      </c>
      <c r="G160" s="12" t="inlineStr">
        <is>
          <t>ONE_TO_ONE</t>
        </is>
      </c>
      <c r="H160" s="12" t="inlineStr">
        <is>
          <t>APPROVED</t>
        </is>
      </c>
      <c r="I160" s="12" t="inlineStr">
        <is>
          <t>New</t>
        </is>
      </c>
      <c r="J160" s="12" t="inlineStr">
        <is>
          <t>Source assignment -- not individually reviewed</t>
        </is>
      </c>
      <c r="K160" s="12" t="inlineStr"/>
      <c r="L160" s="12" t="inlineStr"/>
      <c r="M160" s="12" t="inlineStr"/>
      <c r="N160" s="17" t="inlineStr">
        <is>
          <t>10 EVIDENCE &amp; DECISIONS</t>
        </is>
      </c>
      <c r="O160" s="105" t="n">
        <v>1187500</v>
      </c>
      <c r="P160" s="105" t="n">
        <v>1187500</v>
      </c>
      <c r="Q160" s="105" t="inlineStr">
        <is>
          <t>CAD</t>
        </is>
      </c>
      <c r="R160" s="105" t="n"/>
      <c r="S160" s="105" t="inlineStr">
        <is>
          <t>2027-06-30</t>
        </is>
      </c>
      <c r="T160" s="105" t="inlineStr">
        <is>
          <t>C1-R0</t>
        </is>
      </c>
      <c r="U160" s="105" t="inlineStr">
        <is>
          <t>Supplied practice file monthly_cost_forecast.xlsx, row 50</t>
        </is>
      </c>
      <c r="V160" s="105" t="inlineStr">
        <is>
          <t>Whole source account, not a target allocation. Repeated target rows must not be summed. Aggregate cost / forecast remains withheld.</t>
        </is>
      </c>
    </row>
    <row r="161" ht="34" customHeight="1">
      <c r="A161" s="12" t="inlineStr">
        <is>
          <t>Cost &amp; Forecast Control Accounts</t>
        </is>
      </c>
      <c r="B161" s="12" t="inlineStr">
        <is>
          <t>CST-01-051</t>
        </is>
      </c>
      <c r="C161" s="12" t="inlineStr">
        <is>
          <t>Guideway and Civil - concrete structures - professional services</t>
        </is>
      </c>
      <c r="D161" s="12" t="inlineStr">
        <is>
          <t>Cost Account = CA-1051; WBS Code = 1.1.1</t>
        </is>
      </c>
      <c r="E161" s="12" t="inlineStr">
        <is>
          <t>R1133-v1</t>
        </is>
      </c>
      <c r="F161" s="12" t="inlineStr">
        <is>
          <t>1.1.1 Guideway and Civil - Guideway Structures</t>
        </is>
      </c>
      <c r="G161" s="12" t="inlineStr">
        <is>
          <t>ONE_TO_ONE</t>
        </is>
      </c>
      <c r="H161" s="12" t="inlineStr">
        <is>
          <t>APPROVED</t>
        </is>
      </c>
      <c r="I161" s="12" t="inlineStr">
        <is>
          <t>New</t>
        </is>
      </c>
      <c r="J161" s="12" t="inlineStr">
        <is>
          <t>Source assignment -- not individually reviewed</t>
        </is>
      </c>
      <c r="K161" s="12" t="inlineStr"/>
      <c r="L161" s="12" t="inlineStr"/>
      <c r="M161" s="12" t="inlineStr"/>
      <c r="N161" s="17" t="inlineStr">
        <is>
          <t>10 EVIDENCE &amp; DECISIONS</t>
        </is>
      </c>
      <c r="O161" s="105" t="n">
        <v>1222500</v>
      </c>
      <c r="P161" s="105" t="n">
        <v>1247500</v>
      </c>
      <c r="Q161" s="105" t="inlineStr">
        <is>
          <t>CAD</t>
        </is>
      </c>
      <c r="R161" s="105" t="n"/>
      <c r="S161" s="105" t="inlineStr">
        <is>
          <t>2027-06-30</t>
        </is>
      </c>
      <c r="T161" s="105" t="inlineStr">
        <is>
          <t>C1-R0</t>
        </is>
      </c>
      <c r="U161" s="105" t="inlineStr">
        <is>
          <t>Supplied practice file monthly_cost_forecast.xlsx, row 52</t>
        </is>
      </c>
      <c r="V161" s="105" t="inlineStr">
        <is>
          <t>Whole source account, not a target allocation. Repeated target rows must not be summed. Aggregate cost / forecast remains withheld.</t>
        </is>
      </c>
    </row>
    <row r="162" ht="34" customHeight="1">
      <c r="A162" s="12" t="inlineStr">
        <is>
          <t>Cost &amp; Forecast Control Accounts</t>
        </is>
      </c>
      <c r="B162" s="12" t="inlineStr">
        <is>
          <t>CST-01-053</t>
        </is>
      </c>
      <c r="C162" s="12" t="inlineStr">
        <is>
          <t>Guideway and Civil - temporary works - closeout</t>
        </is>
      </c>
      <c r="D162" s="12" t="inlineStr">
        <is>
          <t>Cost Account = CA-1053; WBS Code = 1.1.1</t>
        </is>
      </c>
      <c r="E162" s="12" t="inlineStr">
        <is>
          <t>R1135-v1</t>
        </is>
      </c>
      <c r="F162" s="12" t="inlineStr">
        <is>
          <t>1.1.1 Guideway and Civil - Guideway Structures</t>
        </is>
      </c>
      <c r="G162" s="12" t="inlineStr">
        <is>
          <t>ONE_TO_ONE</t>
        </is>
      </c>
      <c r="H162" s="12" t="inlineStr">
        <is>
          <t>APPROVED</t>
        </is>
      </c>
      <c r="I162" s="12" t="inlineStr">
        <is>
          <t>New</t>
        </is>
      </c>
      <c r="J162" s="12" t="inlineStr">
        <is>
          <t>Source assignment -- not individually reviewed</t>
        </is>
      </c>
      <c r="K162" s="12" t="inlineStr"/>
      <c r="L162" s="12" t="inlineStr"/>
      <c r="M162" s="12" t="inlineStr"/>
      <c r="N162" s="17" t="inlineStr">
        <is>
          <t>10 EVIDENCE &amp; DECISIONS</t>
        </is>
      </c>
      <c r="O162" s="105" t="n">
        <v>1257500</v>
      </c>
      <c r="P162" s="105" t="n">
        <v>1257500</v>
      </c>
      <c r="Q162" s="105" t="inlineStr">
        <is>
          <t>CAD</t>
        </is>
      </c>
      <c r="R162" s="105" t="n"/>
      <c r="S162" s="105" t="inlineStr">
        <is>
          <t>2027-06-30</t>
        </is>
      </c>
      <c r="T162" s="105" t="inlineStr">
        <is>
          <t>C1-R0</t>
        </is>
      </c>
      <c r="U162" s="105" t="inlineStr">
        <is>
          <t>Supplied practice file monthly_cost_forecast.xlsx, row 54</t>
        </is>
      </c>
      <c r="V162" s="105" t="inlineStr">
        <is>
          <t>Whole source account, not a target allocation. Repeated target rows must not be summed. Aggregate cost / forecast remains withheld.</t>
        </is>
      </c>
    </row>
    <row r="163" ht="34" customHeight="1">
      <c r="A163" s="12" t="inlineStr">
        <is>
          <t>Cost &amp; Forecast Control Accounts</t>
        </is>
      </c>
      <c r="B163" s="12" t="inlineStr">
        <is>
          <t>CST-01-055</t>
        </is>
      </c>
      <c r="C163" s="12" t="inlineStr">
        <is>
          <t>Guideway and Civil - roadworks - supply and install</t>
        </is>
      </c>
      <c r="D163" s="12" t="inlineStr">
        <is>
          <t>Cost Account = CA-1055; WBS Code = 1.1.1</t>
        </is>
      </c>
      <c r="E163" s="12" t="inlineStr">
        <is>
          <t>R1137-v1</t>
        </is>
      </c>
      <c r="F163" s="12" t="inlineStr">
        <is>
          <t>1.1.1 Guideway and Civil - Guideway Structures</t>
        </is>
      </c>
      <c r="G163" s="12" t="inlineStr">
        <is>
          <t>ONE_TO_ONE</t>
        </is>
      </c>
      <c r="H163" s="12" t="inlineStr">
        <is>
          <t>APPROVED</t>
        </is>
      </c>
      <c r="I163" s="12" t="inlineStr">
        <is>
          <t>New</t>
        </is>
      </c>
      <c r="J163" s="12" t="inlineStr">
        <is>
          <t>Source assignment -- not individually reviewed</t>
        </is>
      </c>
      <c r="K163" s="12" t="inlineStr"/>
      <c r="L163" s="12" t="inlineStr"/>
      <c r="M163" s="12" t="inlineStr"/>
      <c r="N163" s="17" t="inlineStr">
        <is>
          <t>10 EVIDENCE &amp; DECISIONS</t>
        </is>
      </c>
      <c r="O163" s="105" t="n">
        <v>1292500</v>
      </c>
      <c r="P163" s="105" t="n">
        <v>1317500</v>
      </c>
      <c r="Q163" s="105" t="inlineStr">
        <is>
          <t>CAD</t>
        </is>
      </c>
      <c r="R163" s="105" t="n"/>
      <c r="S163" s="105" t="inlineStr">
        <is>
          <t>2027-06-30</t>
        </is>
      </c>
      <c r="T163" s="105" t="inlineStr">
        <is>
          <t>C1-R0</t>
        </is>
      </c>
      <c r="U163" s="105" t="inlineStr">
        <is>
          <t>Supplied practice file monthly_cost_forecast.xlsx, row 56</t>
        </is>
      </c>
      <c r="V163" s="105" t="inlineStr">
        <is>
          <t>Whole source account, not a target allocation. Repeated target rows must not be summed. Aggregate cost / forecast remains withheld.</t>
        </is>
      </c>
    </row>
    <row r="164" ht="34" customHeight="1">
      <c r="A164" s="12" t="inlineStr">
        <is>
          <t>Cost &amp; Forecast Control Accounts</t>
        </is>
      </c>
      <c r="B164" s="12" t="inlineStr">
        <is>
          <t>CST-01-057</t>
        </is>
      </c>
      <c r="C164" s="12" t="inlineStr">
        <is>
          <t>Guideway and Civil - concrete structures - allowance</t>
        </is>
      </c>
      <c r="D164" s="12" t="inlineStr">
        <is>
          <t>Cost Account = CA-1057; WBS Code = 1.1.1</t>
        </is>
      </c>
      <c r="E164" s="12" t="inlineStr">
        <is>
          <t>R1139-v1</t>
        </is>
      </c>
      <c r="F164" s="12" t="inlineStr">
        <is>
          <t>1.1.1 Guideway and Civil - Guideway Structures</t>
        </is>
      </c>
      <c r="G164" s="12" t="inlineStr">
        <is>
          <t>ONE_TO_ONE</t>
        </is>
      </c>
      <c r="H164" s="12" t="inlineStr">
        <is>
          <t>APPROVED</t>
        </is>
      </c>
      <c r="I164" s="12" t="inlineStr">
        <is>
          <t>New</t>
        </is>
      </c>
      <c r="J164" s="12" t="inlineStr">
        <is>
          <t>Source assignment -- not individually reviewed</t>
        </is>
      </c>
      <c r="K164" s="12" t="inlineStr"/>
      <c r="L164" s="12" t="inlineStr"/>
      <c r="M164" s="12" t="inlineStr"/>
      <c r="N164" s="17" t="inlineStr">
        <is>
          <t>10 EVIDENCE &amp; DECISIONS</t>
        </is>
      </c>
      <c r="O164" s="105" t="n">
        <v>1327500</v>
      </c>
      <c r="P164" s="105" t="n">
        <v>1327500</v>
      </c>
      <c r="Q164" s="105" t="inlineStr">
        <is>
          <t>CAD</t>
        </is>
      </c>
      <c r="R164" s="105" t="n"/>
      <c r="S164" s="105" t="inlineStr">
        <is>
          <t>2027-06-30</t>
        </is>
      </c>
      <c r="T164" s="105" t="inlineStr">
        <is>
          <t>C1-R0</t>
        </is>
      </c>
      <c r="U164" s="105" t="inlineStr">
        <is>
          <t>Supplied practice file monthly_cost_forecast.xlsx, row 58</t>
        </is>
      </c>
      <c r="V164" s="105" t="inlineStr">
        <is>
          <t>Whole source account, not a target allocation. Repeated target rows must not be summed. Aggregate cost / forecast remains withheld.</t>
        </is>
      </c>
    </row>
    <row r="165" ht="34" customHeight="1">
      <c r="A165" s="12" t="inlineStr">
        <is>
          <t>Cost &amp; Forecast Control Accounts</t>
        </is>
      </c>
      <c r="B165" s="12" t="inlineStr">
        <is>
          <t>CST-01-059</t>
        </is>
      </c>
      <c r="C165" s="12" t="inlineStr">
        <is>
          <t>Guideway and Civil - temporary works - field package</t>
        </is>
      </c>
      <c r="D165" s="12" t="inlineStr">
        <is>
          <t>Cost Account = CA-1059; WBS Code = 1.1.1</t>
        </is>
      </c>
      <c r="E165" s="12" t="inlineStr">
        <is>
          <t>R1141-v1</t>
        </is>
      </c>
      <c r="F165" s="12" t="inlineStr">
        <is>
          <t>1.1.1 Guideway and Civil - Guideway Structures</t>
        </is>
      </c>
      <c r="G165" s="12" t="inlineStr">
        <is>
          <t>ONE_TO_ONE</t>
        </is>
      </c>
      <c r="H165" s="12" t="inlineStr">
        <is>
          <t>APPROVED</t>
        </is>
      </c>
      <c r="I165" s="12" t="inlineStr">
        <is>
          <t>New</t>
        </is>
      </c>
      <c r="J165" s="12" t="inlineStr">
        <is>
          <t>Source assignment -- not individually reviewed</t>
        </is>
      </c>
      <c r="K165" s="12" t="inlineStr"/>
      <c r="L165" s="12" t="inlineStr"/>
      <c r="M165" s="12" t="inlineStr"/>
      <c r="N165" s="17" t="inlineStr">
        <is>
          <t>10 EVIDENCE &amp; DECISIONS</t>
        </is>
      </c>
      <c r="O165" s="105" t="n">
        <v>1362500</v>
      </c>
      <c r="P165" s="105" t="n">
        <v>1387500</v>
      </c>
      <c r="Q165" s="105" t="inlineStr">
        <is>
          <t>CAD</t>
        </is>
      </c>
      <c r="R165" s="105" t="n"/>
      <c r="S165" s="105" t="inlineStr">
        <is>
          <t>2027-06-30</t>
        </is>
      </c>
      <c r="T165" s="105" t="inlineStr">
        <is>
          <t>C1-R0</t>
        </is>
      </c>
      <c r="U165" s="105" t="inlineStr">
        <is>
          <t>Supplied practice file monthly_cost_forecast.xlsx, row 60</t>
        </is>
      </c>
      <c r="V165" s="105" t="inlineStr">
        <is>
          <t>Whole source account, not a target allocation. Repeated target rows must not be summed. Aggregate cost / forecast remains withheld.</t>
        </is>
      </c>
    </row>
    <row r="166" ht="34" customHeight="1">
      <c r="A166" s="12" t="inlineStr">
        <is>
          <t>Cost &amp; Forecast Control Accounts</t>
        </is>
      </c>
      <c r="B166" s="12" t="inlineStr">
        <is>
          <t>CST-01-061</t>
        </is>
      </c>
      <c r="C166" s="12" t="inlineStr">
        <is>
          <t>Guideway and Civil - roadworks - professional services</t>
        </is>
      </c>
      <c r="D166" s="12" t="inlineStr">
        <is>
          <t>Cost Account = CA-1061; WBS Code = 1.1.1</t>
        </is>
      </c>
      <c r="E166" s="12" t="inlineStr">
        <is>
          <t>R1143-v1</t>
        </is>
      </c>
      <c r="F166" s="12" t="inlineStr">
        <is>
          <t>1.1.1 Guideway and Civil - Guideway Structures</t>
        </is>
      </c>
      <c r="G166" s="12" t="inlineStr">
        <is>
          <t>ONE_TO_ONE</t>
        </is>
      </c>
      <c r="H166" s="12" t="inlineStr">
        <is>
          <t>APPROVED</t>
        </is>
      </c>
      <c r="I166" s="12" t="inlineStr">
        <is>
          <t>New</t>
        </is>
      </c>
      <c r="J166" s="12" t="inlineStr">
        <is>
          <t>Source assignment -- not individually reviewed</t>
        </is>
      </c>
      <c r="K166" s="12" t="inlineStr"/>
      <c r="L166" s="12" t="inlineStr"/>
      <c r="M166" s="12" t="inlineStr"/>
      <c r="N166" s="17" t="inlineStr">
        <is>
          <t>10 EVIDENCE &amp; DECISIONS</t>
        </is>
      </c>
      <c r="O166" s="105" t="n">
        <v>1397500</v>
      </c>
      <c r="P166" s="105" t="n">
        <v>1397500</v>
      </c>
      <c r="Q166" s="105" t="inlineStr">
        <is>
          <t>CAD</t>
        </is>
      </c>
      <c r="R166" s="105" t="n"/>
      <c r="S166" s="105" t="inlineStr">
        <is>
          <t>2027-06-30</t>
        </is>
      </c>
      <c r="T166" s="105" t="inlineStr">
        <is>
          <t>C1-R0</t>
        </is>
      </c>
      <c r="U166" s="105" t="inlineStr">
        <is>
          <t>Supplied practice file monthly_cost_forecast.xlsx, row 62</t>
        </is>
      </c>
      <c r="V166" s="105" t="inlineStr">
        <is>
          <t>Whole source account, not a target allocation. Repeated target rows must not be summed. Aggregate cost / forecast remains withheld.</t>
        </is>
      </c>
    </row>
    <row r="167" ht="34" customHeight="1">
      <c r="A167" s="12" t="inlineStr">
        <is>
          <t>Cost &amp; Forecast Control Accounts</t>
        </is>
      </c>
      <c r="B167" s="12" t="inlineStr">
        <is>
          <t>CST-01-063</t>
        </is>
      </c>
      <c r="C167" s="12" t="inlineStr">
        <is>
          <t>Guideway and Civil - concrete structures - closeout</t>
        </is>
      </c>
      <c r="D167" s="12" t="inlineStr">
        <is>
          <t>Cost Account = CA-1063; WBS Code = 1.1.1</t>
        </is>
      </c>
      <c r="E167" s="12" t="inlineStr">
        <is>
          <t>R1145-v1</t>
        </is>
      </c>
      <c r="F167" s="12" t="inlineStr">
        <is>
          <t>1.1.1 Guideway and Civil - Guideway Structures</t>
        </is>
      </c>
      <c r="G167" s="12" t="inlineStr">
        <is>
          <t>ONE_TO_ONE</t>
        </is>
      </c>
      <c r="H167" s="12" t="inlineStr">
        <is>
          <t>APPROVED</t>
        </is>
      </c>
      <c r="I167" s="12" t="inlineStr">
        <is>
          <t>New</t>
        </is>
      </c>
      <c r="J167" s="12" t="inlineStr">
        <is>
          <t>Source assignment -- not individually reviewed</t>
        </is>
      </c>
      <c r="K167" s="12" t="inlineStr"/>
      <c r="L167" s="12" t="inlineStr"/>
      <c r="M167" s="12" t="inlineStr"/>
      <c r="N167" s="17" t="inlineStr">
        <is>
          <t>10 EVIDENCE &amp; DECISIONS</t>
        </is>
      </c>
      <c r="O167" s="105" t="n">
        <v>1432500</v>
      </c>
      <c r="P167" s="105" t="n">
        <v>1457500</v>
      </c>
      <c r="Q167" s="105" t="inlineStr">
        <is>
          <t>CAD</t>
        </is>
      </c>
      <c r="R167" s="105" t="n"/>
      <c r="S167" s="105" t="inlineStr">
        <is>
          <t>2027-06-30</t>
        </is>
      </c>
      <c r="T167" s="105" t="inlineStr">
        <is>
          <t>C1-R0</t>
        </is>
      </c>
      <c r="U167" s="105" t="inlineStr">
        <is>
          <t>Supplied practice file monthly_cost_forecast.xlsx, row 64</t>
        </is>
      </c>
      <c r="V167" s="105" t="inlineStr">
        <is>
          <t>Whole source account, not a target allocation. Repeated target rows must not be summed. Aggregate cost / forecast remains withheld.</t>
        </is>
      </c>
    </row>
    <row r="168" ht="34" customHeight="1">
      <c r="A168" s="12" t="inlineStr">
        <is>
          <t>Cost &amp; Forecast Control Accounts</t>
        </is>
      </c>
      <c r="B168" s="12" t="inlineStr">
        <is>
          <t>CST-01-065</t>
        </is>
      </c>
      <c r="C168" s="12" t="inlineStr">
        <is>
          <t>Guideway and Civil - temporary works - supply and install</t>
        </is>
      </c>
      <c r="D168" s="12" t="inlineStr">
        <is>
          <t>Cost Account = CA-1065; WBS Code = 1.1.1</t>
        </is>
      </c>
      <c r="E168" s="12" t="inlineStr">
        <is>
          <t>R1147-v1</t>
        </is>
      </c>
      <c r="F168" s="12" t="inlineStr">
        <is>
          <t>1.1.1 Guideway and Civil - Guideway Structures</t>
        </is>
      </c>
      <c r="G168" s="12" t="inlineStr">
        <is>
          <t>ONE_TO_ONE</t>
        </is>
      </c>
      <c r="H168" s="12" t="inlineStr">
        <is>
          <t>APPROVED</t>
        </is>
      </c>
      <c r="I168" s="12" t="inlineStr">
        <is>
          <t>New</t>
        </is>
      </c>
      <c r="J168" s="12" t="inlineStr">
        <is>
          <t>Source assignment -- not individually reviewed</t>
        </is>
      </c>
      <c r="K168" s="12" t="inlineStr"/>
      <c r="L168" s="12" t="inlineStr"/>
      <c r="M168" s="12" t="inlineStr"/>
      <c r="N168" s="17" t="inlineStr">
        <is>
          <t>10 EVIDENCE &amp; DECISIONS</t>
        </is>
      </c>
      <c r="O168" s="105" t="n">
        <v>1467500</v>
      </c>
      <c r="P168" s="105" t="n">
        <v>1467500</v>
      </c>
      <c r="Q168" s="105" t="inlineStr">
        <is>
          <t>CAD</t>
        </is>
      </c>
      <c r="R168" s="105" t="n"/>
      <c r="S168" s="105" t="inlineStr">
        <is>
          <t>2027-06-30</t>
        </is>
      </c>
      <c r="T168" s="105" t="inlineStr">
        <is>
          <t>C1-R0</t>
        </is>
      </c>
      <c r="U168" s="105" t="inlineStr">
        <is>
          <t>Supplied practice file monthly_cost_forecast.xlsx, row 66</t>
        </is>
      </c>
      <c r="V168" s="105" t="inlineStr">
        <is>
          <t>Whole source account, not a target allocation. Repeated target rows must not be summed. Aggregate cost / forecast remains withheld.</t>
        </is>
      </c>
    </row>
    <row r="169" ht="34" customHeight="1">
      <c r="A169" s="12" t="inlineStr">
        <is>
          <t>Cost &amp; Forecast Control Accounts</t>
        </is>
      </c>
      <c r="B169" s="12" t="inlineStr">
        <is>
          <t>CST-01-067</t>
        </is>
      </c>
      <c r="C169" s="12" t="inlineStr">
        <is>
          <t>Guideway and Civil - roadworks - allowance</t>
        </is>
      </c>
      <c r="D169" s="12" t="inlineStr">
        <is>
          <t>Cost Account = CA-1067; WBS Code = 1.1.1</t>
        </is>
      </c>
      <c r="E169" s="12" t="inlineStr">
        <is>
          <t>R1149-v1</t>
        </is>
      </c>
      <c r="F169" s="12" t="inlineStr">
        <is>
          <t>1.1.1 Guideway and Civil - Guideway Structures</t>
        </is>
      </c>
      <c r="G169" s="12" t="inlineStr">
        <is>
          <t>ONE_TO_ONE</t>
        </is>
      </c>
      <c r="H169" s="12" t="inlineStr">
        <is>
          <t>APPROVED</t>
        </is>
      </c>
      <c r="I169" s="12" t="inlineStr">
        <is>
          <t>New</t>
        </is>
      </c>
      <c r="J169" s="12" t="inlineStr">
        <is>
          <t>Source assignment -- not individually reviewed</t>
        </is>
      </c>
      <c r="K169" s="12" t="inlineStr"/>
      <c r="L169" s="12" t="inlineStr"/>
      <c r="M169" s="12" t="inlineStr"/>
      <c r="N169" s="17" t="inlineStr">
        <is>
          <t>10 EVIDENCE &amp; DECISIONS</t>
        </is>
      </c>
      <c r="O169" s="105" t="n">
        <v>1502500</v>
      </c>
      <c r="P169" s="105" t="n">
        <v>1527500</v>
      </c>
      <c r="Q169" s="105" t="inlineStr">
        <is>
          <t>CAD</t>
        </is>
      </c>
      <c r="R169" s="105" t="n"/>
      <c r="S169" s="105" t="inlineStr">
        <is>
          <t>2027-06-30</t>
        </is>
      </c>
      <c r="T169" s="105" t="inlineStr">
        <is>
          <t>C1-R0</t>
        </is>
      </c>
      <c r="U169" s="105" t="inlineStr">
        <is>
          <t>Supplied practice file monthly_cost_forecast.xlsx, row 68</t>
        </is>
      </c>
      <c r="V169" s="105" t="inlineStr">
        <is>
          <t>Whole source account, not a target allocation. Repeated target rows must not be summed. Aggregate cost / forecast remains withheld.</t>
        </is>
      </c>
    </row>
    <row r="170" ht="34" customHeight="1">
      <c r="A170" s="12" t="inlineStr">
        <is>
          <t>Cost &amp; Forecast Control Accounts</t>
        </is>
      </c>
      <c r="B170" s="12" t="inlineStr">
        <is>
          <t>CST-01-069</t>
        </is>
      </c>
      <c r="C170" s="12" t="inlineStr">
        <is>
          <t>Guideway and Civil - concrete structures - field package</t>
        </is>
      </c>
      <c r="D170" s="12" t="inlineStr">
        <is>
          <t>Cost Account = CA-1069; WBS Code = 1.1.1</t>
        </is>
      </c>
      <c r="E170" s="12" t="inlineStr">
        <is>
          <t>R1151-v1</t>
        </is>
      </c>
      <c r="F170" s="12" t="inlineStr">
        <is>
          <t>1.1.1 Guideway and Civil - Guideway Structures</t>
        </is>
      </c>
      <c r="G170" s="12" t="inlineStr">
        <is>
          <t>ONE_TO_ONE</t>
        </is>
      </c>
      <c r="H170" s="12" t="inlineStr">
        <is>
          <t>APPROVED</t>
        </is>
      </c>
      <c r="I170" s="12" t="inlineStr">
        <is>
          <t>New</t>
        </is>
      </c>
      <c r="J170" s="12" t="inlineStr">
        <is>
          <t>Source assignment -- not individually reviewed</t>
        </is>
      </c>
      <c r="K170" s="12" t="inlineStr"/>
      <c r="L170" s="12" t="inlineStr"/>
      <c r="M170" s="12" t="inlineStr"/>
      <c r="N170" s="17" t="inlineStr">
        <is>
          <t>10 EVIDENCE &amp; DECISIONS</t>
        </is>
      </c>
      <c r="O170" s="105" t="n">
        <v>1537500</v>
      </c>
      <c r="P170" s="105" t="n">
        <v>1537500</v>
      </c>
      <c r="Q170" s="105" t="inlineStr">
        <is>
          <t>CAD</t>
        </is>
      </c>
      <c r="R170" s="105" t="n"/>
      <c r="S170" s="105" t="inlineStr">
        <is>
          <t>2027-06-30</t>
        </is>
      </c>
      <c r="T170" s="105" t="inlineStr">
        <is>
          <t>C1-R0</t>
        </is>
      </c>
      <c r="U170" s="105" t="inlineStr">
        <is>
          <t>Supplied practice file monthly_cost_forecast.xlsx, row 70</t>
        </is>
      </c>
      <c r="V170" s="105" t="inlineStr">
        <is>
          <t>Whole source account, not a target allocation. Repeated target rows must not be summed. Aggregate cost / forecast remains withheld.</t>
        </is>
      </c>
    </row>
    <row r="171" ht="34" customHeight="1">
      <c r="A171" s="12" t="inlineStr">
        <is>
          <t>Cost &amp; Forecast Control Accounts</t>
        </is>
      </c>
      <c r="B171" s="12" t="inlineStr">
        <is>
          <t>CST-01-071</t>
        </is>
      </c>
      <c r="C171" s="12" t="inlineStr">
        <is>
          <t>Guideway and Civil - temporary works - professional services</t>
        </is>
      </c>
      <c r="D171" s="12" t="inlineStr">
        <is>
          <t>Cost Account = CA-1071; WBS Code = 1.1.1</t>
        </is>
      </c>
      <c r="E171" s="12" t="inlineStr">
        <is>
          <t>R1153-v1</t>
        </is>
      </c>
      <c r="F171" s="12" t="inlineStr">
        <is>
          <t>1.1.1 Guideway and Civil - Guideway Structures</t>
        </is>
      </c>
      <c r="G171" s="12" t="inlineStr">
        <is>
          <t>ONE_TO_ONE</t>
        </is>
      </c>
      <c r="H171" s="12" t="inlineStr">
        <is>
          <t>APPROVED</t>
        </is>
      </c>
      <c r="I171" s="12" t="inlineStr">
        <is>
          <t>New</t>
        </is>
      </c>
      <c r="J171" s="12" t="inlineStr">
        <is>
          <t>Source assignment -- not individually reviewed</t>
        </is>
      </c>
      <c r="K171" s="12" t="inlineStr"/>
      <c r="L171" s="12" t="inlineStr"/>
      <c r="M171" s="12" t="inlineStr"/>
      <c r="N171" s="17" t="inlineStr">
        <is>
          <t>10 EVIDENCE &amp; DECISIONS</t>
        </is>
      </c>
      <c r="O171" s="105" t="n">
        <v>1572500</v>
      </c>
      <c r="P171" s="105" t="n">
        <v>1597500</v>
      </c>
      <c r="Q171" s="105" t="inlineStr">
        <is>
          <t>CAD</t>
        </is>
      </c>
      <c r="R171" s="105" t="n"/>
      <c r="S171" s="105" t="inlineStr">
        <is>
          <t>2027-06-30</t>
        </is>
      </c>
      <c r="T171" s="105" t="inlineStr">
        <is>
          <t>C1-R0</t>
        </is>
      </c>
      <c r="U171" s="105" t="inlineStr">
        <is>
          <t>Supplied practice file monthly_cost_forecast.xlsx, row 72</t>
        </is>
      </c>
      <c r="V171" s="105" t="inlineStr">
        <is>
          <t>Whole source account, not a target allocation. Repeated target rows must not be summed. Aggregate cost / forecast remains withheld.</t>
        </is>
      </c>
    </row>
    <row r="172" ht="34" customHeight="1">
      <c r="A172" s="12" t="inlineStr">
        <is>
          <t>Cost &amp; Forecast Control Accounts</t>
        </is>
      </c>
      <c r="B172" s="12" t="inlineStr">
        <is>
          <t>CST-01-073</t>
        </is>
      </c>
      <c r="C172" s="12" t="inlineStr">
        <is>
          <t>Guideway and Civil - roadworks - closeout</t>
        </is>
      </c>
      <c r="D172" s="12" t="inlineStr">
        <is>
          <t>Cost Account = CA-1073; WBS Code = 1.1.1</t>
        </is>
      </c>
      <c r="E172" s="12" t="inlineStr">
        <is>
          <t>R1155-v1</t>
        </is>
      </c>
      <c r="F172" s="12" t="inlineStr">
        <is>
          <t>1.1.1 Guideway and Civil - Guideway Structures</t>
        </is>
      </c>
      <c r="G172" s="12" t="inlineStr">
        <is>
          <t>ONE_TO_ONE</t>
        </is>
      </c>
      <c r="H172" s="12" t="inlineStr">
        <is>
          <t>APPROVED</t>
        </is>
      </c>
      <c r="I172" s="12" t="inlineStr">
        <is>
          <t>New</t>
        </is>
      </c>
      <c r="J172" s="12" t="inlineStr">
        <is>
          <t>Source assignment -- not individually reviewed</t>
        </is>
      </c>
      <c r="K172" s="12" t="inlineStr"/>
      <c r="L172" s="12" t="inlineStr"/>
      <c r="M172" s="12" t="inlineStr"/>
      <c r="N172" s="17" t="inlineStr">
        <is>
          <t>10 EVIDENCE &amp; DECISIONS</t>
        </is>
      </c>
      <c r="O172" s="105" t="n">
        <v>1607500</v>
      </c>
      <c r="P172" s="105" t="n">
        <v>1607500</v>
      </c>
      <c r="Q172" s="105" t="inlineStr">
        <is>
          <t>CAD</t>
        </is>
      </c>
      <c r="R172" s="105" t="n"/>
      <c r="S172" s="105" t="inlineStr">
        <is>
          <t>2027-06-30</t>
        </is>
      </c>
      <c r="T172" s="105" t="inlineStr">
        <is>
          <t>C1-R0</t>
        </is>
      </c>
      <c r="U172" s="105" t="inlineStr">
        <is>
          <t>Supplied practice file monthly_cost_forecast.xlsx, row 74</t>
        </is>
      </c>
      <c r="V172" s="105" t="inlineStr">
        <is>
          <t>Whole source account, not a target allocation. Repeated target rows must not be summed. Aggregate cost / forecast remains withheld.</t>
        </is>
      </c>
    </row>
    <row r="173" ht="34" customHeight="1">
      <c r="A173" s="12" t="inlineStr">
        <is>
          <t>Cost &amp; Forecast Control Accounts</t>
        </is>
      </c>
      <c r="B173" s="12" t="inlineStr">
        <is>
          <t>CST-01-075</t>
        </is>
      </c>
      <c r="C173" s="12" t="inlineStr">
        <is>
          <t>Guideway and Civil - concrete structures - supply and install</t>
        </is>
      </c>
      <c r="D173" s="12" t="inlineStr">
        <is>
          <t>Cost Account = CA-1075; WBS Code = 1.1.1</t>
        </is>
      </c>
      <c r="E173" s="12" t="inlineStr">
        <is>
          <t>R1157-v1</t>
        </is>
      </c>
      <c r="F173" s="12" t="inlineStr">
        <is>
          <t>1.1.1 Guideway and Civil - Guideway Structures</t>
        </is>
      </c>
      <c r="G173" s="12" t="inlineStr">
        <is>
          <t>ONE_TO_ONE</t>
        </is>
      </c>
      <c r="H173" s="12" t="inlineStr">
        <is>
          <t>APPROVED</t>
        </is>
      </c>
      <c r="I173" s="12" t="inlineStr">
        <is>
          <t>New</t>
        </is>
      </c>
      <c r="J173" s="12" t="inlineStr">
        <is>
          <t>Source assignment -- not individually reviewed</t>
        </is>
      </c>
      <c r="K173" s="12" t="inlineStr"/>
      <c r="L173" s="12" t="inlineStr"/>
      <c r="M173" s="12" t="inlineStr"/>
      <c r="N173" s="17" t="inlineStr">
        <is>
          <t>10 EVIDENCE &amp; DECISIONS</t>
        </is>
      </c>
      <c r="O173" s="105" t="n">
        <v>1642500</v>
      </c>
      <c r="P173" s="105" t="n">
        <v>1667500</v>
      </c>
      <c r="Q173" s="105" t="inlineStr">
        <is>
          <t>CAD</t>
        </is>
      </c>
      <c r="R173" s="105" t="n"/>
      <c r="S173" s="105" t="inlineStr">
        <is>
          <t>2027-06-30</t>
        </is>
      </c>
      <c r="T173" s="105" t="inlineStr">
        <is>
          <t>C1-R0</t>
        </is>
      </c>
      <c r="U173" s="105" t="inlineStr">
        <is>
          <t>Supplied practice file monthly_cost_forecast.xlsx, row 76</t>
        </is>
      </c>
      <c r="V173" s="105" t="inlineStr">
        <is>
          <t>Whole source account, not a target allocation. Repeated target rows must not be summed. Aggregate cost / forecast remains withheld.</t>
        </is>
      </c>
    </row>
    <row r="174" ht="34" customHeight="1">
      <c r="A174" s="12" t="inlineStr">
        <is>
          <t>Cost &amp; Forecast Control Accounts</t>
        </is>
      </c>
      <c r="B174" s="12" t="inlineStr">
        <is>
          <t>CST-01-077</t>
        </is>
      </c>
      <c r="C174" s="12" t="inlineStr">
        <is>
          <t>Guideway and Civil - temporary works - allowance</t>
        </is>
      </c>
      <c r="D174" s="12" t="inlineStr">
        <is>
          <t>Cost Account = CA-1077; WBS Code = 1.1.1</t>
        </is>
      </c>
      <c r="E174" s="12" t="inlineStr">
        <is>
          <t>R1159-v1</t>
        </is>
      </c>
      <c r="F174" s="12" t="inlineStr">
        <is>
          <t>1.1.1 Guideway and Civil - Guideway Structures</t>
        </is>
      </c>
      <c r="G174" s="12" t="inlineStr">
        <is>
          <t>ONE_TO_ONE</t>
        </is>
      </c>
      <c r="H174" s="12" t="inlineStr">
        <is>
          <t>APPROVED</t>
        </is>
      </c>
      <c r="I174" s="12" t="inlineStr">
        <is>
          <t>New</t>
        </is>
      </c>
      <c r="J174" s="12" t="inlineStr">
        <is>
          <t>Source assignment -- not individually reviewed</t>
        </is>
      </c>
      <c r="K174" s="12" t="inlineStr"/>
      <c r="L174" s="12" t="inlineStr"/>
      <c r="M174" s="12" t="inlineStr"/>
      <c r="N174" s="17" t="inlineStr">
        <is>
          <t>10 EVIDENCE &amp; DECISIONS</t>
        </is>
      </c>
      <c r="O174" s="105" t="n">
        <v>1677500</v>
      </c>
      <c r="P174" s="105" t="n">
        <v>1677500</v>
      </c>
      <c r="Q174" s="105" t="inlineStr">
        <is>
          <t>CAD</t>
        </is>
      </c>
      <c r="R174" s="105" t="n"/>
      <c r="S174" s="105" t="inlineStr">
        <is>
          <t>2027-06-30</t>
        </is>
      </c>
      <c r="T174" s="105" t="inlineStr">
        <is>
          <t>C1-R0</t>
        </is>
      </c>
      <c r="U174" s="105" t="inlineStr">
        <is>
          <t>Supplied practice file monthly_cost_forecast.xlsx, row 78</t>
        </is>
      </c>
      <c r="V174" s="105" t="inlineStr">
        <is>
          <t>Whole source account, not a target allocation. Repeated target rows must not be summed. Aggregate cost / forecast remains withheld.</t>
        </is>
      </c>
    </row>
    <row r="175" ht="34" customHeight="1">
      <c r="A175" s="12" t="inlineStr">
        <is>
          <t>Cost &amp; Forecast Control Accounts</t>
        </is>
      </c>
      <c r="B175" s="12" t="inlineStr">
        <is>
          <t>CST-01-079</t>
        </is>
      </c>
      <c r="C175" s="12" t="inlineStr">
        <is>
          <t>Guideway and Civil - roadworks - field package</t>
        </is>
      </c>
      <c r="D175" s="12" t="inlineStr">
        <is>
          <t>Cost Account = CA-1079; WBS Code = 1.1.1</t>
        </is>
      </c>
      <c r="E175" s="12" t="inlineStr">
        <is>
          <t>R1161-v1</t>
        </is>
      </c>
      <c r="F175" s="12" t="inlineStr">
        <is>
          <t>1.1.1 Guideway and Civil - Guideway Structures</t>
        </is>
      </c>
      <c r="G175" s="12" t="inlineStr">
        <is>
          <t>ONE_TO_ONE</t>
        </is>
      </c>
      <c r="H175" s="12" t="inlineStr">
        <is>
          <t>APPROVED</t>
        </is>
      </c>
      <c r="I175" s="12" t="inlineStr">
        <is>
          <t>New</t>
        </is>
      </c>
      <c r="J175" s="12" t="inlineStr">
        <is>
          <t>Source assignment -- not individually reviewed</t>
        </is>
      </c>
      <c r="K175" s="12" t="inlineStr"/>
      <c r="L175" s="12" t="inlineStr"/>
      <c r="M175" s="12" t="inlineStr"/>
      <c r="N175" s="17" t="inlineStr">
        <is>
          <t>10 EVIDENCE &amp; DECISIONS</t>
        </is>
      </c>
      <c r="O175" s="105" t="n">
        <v>1712500</v>
      </c>
      <c r="P175" s="105" t="n">
        <v>1737500</v>
      </c>
      <c r="Q175" s="105" t="inlineStr">
        <is>
          <t>CAD</t>
        </is>
      </c>
      <c r="R175" s="105" t="n"/>
      <c r="S175" s="105" t="inlineStr">
        <is>
          <t>2027-06-30</t>
        </is>
      </c>
      <c r="T175" s="105" t="inlineStr">
        <is>
          <t>C1-R0</t>
        </is>
      </c>
      <c r="U175" s="105" t="inlineStr">
        <is>
          <t>Supplied practice file monthly_cost_forecast.xlsx, row 80</t>
        </is>
      </c>
      <c r="V175" s="105" t="inlineStr">
        <is>
          <t>Whole source account, not a target allocation. Repeated target rows must not be summed. Aggregate cost / forecast remains withheld.</t>
        </is>
      </c>
    </row>
    <row r="176" ht="34" customHeight="1">
      <c r="A176" s="12" t="inlineStr">
        <is>
          <t>Contractor Programme</t>
        </is>
      </c>
      <c r="B176" s="12" t="inlineStr">
        <is>
          <t>SCH-01-003</t>
        </is>
      </c>
      <c r="C176" s="12" t="inlineStr">
        <is>
          <t>Interface works near guideway and civil boundary</t>
        </is>
      </c>
      <c r="D176" s="12" t="inlineStr">
        <is>
          <t>WBS Code = 1.1.2</t>
        </is>
      </c>
      <c r="E176" s="12" t="inlineStr">
        <is>
          <t>R3-v1</t>
        </is>
      </c>
      <c r="F176" s="12" t="inlineStr">
        <is>
          <t>1.1.2 Guideway and Civil - Utility &amp; Roadworks</t>
        </is>
      </c>
      <c r="G176" s="12" t="inlineStr">
        <is>
          <t>ONE_TO_ONE</t>
        </is>
      </c>
      <c r="H176" s="12" t="inlineStr">
        <is>
          <t>APPROVED</t>
        </is>
      </c>
      <c r="I176" s="12" t="inlineStr">
        <is>
          <t>New</t>
        </is>
      </c>
      <c r="J176" s="12" t="inlineStr">
        <is>
          <t>Source assignment -- not individually reviewed</t>
        </is>
      </c>
      <c r="K176" s="12" t="inlineStr"/>
      <c r="L176" s="12" t="inlineStr"/>
      <c r="M176" s="12" t="inlineStr"/>
      <c r="N176" s="17" t="inlineStr">
        <is>
          <t>10 EVIDENCE &amp; DECISIONS</t>
        </is>
      </c>
    </row>
    <row r="177" ht="34" customHeight="1">
      <c r="A177" s="12" t="inlineStr">
        <is>
          <t>Contractor Programme</t>
        </is>
      </c>
      <c r="B177" s="12" t="inlineStr">
        <is>
          <t>SCH-01-006</t>
        </is>
      </c>
      <c r="C177" s="12" t="inlineStr">
        <is>
          <t>West approach: retaining-wall excavation - installation</t>
        </is>
      </c>
      <c r="D177" s="12" t="inlineStr">
        <is>
          <t>WBS Code = 1.1.2</t>
        </is>
      </c>
      <c r="E177" s="12" t="inlineStr">
        <is>
          <t>R6-v1</t>
        </is>
      </c>
      <c r="F177" s="12" t="inlineStr">
        <is>
          <t>1.1.2 Guideway and Civil - Utility &amp; Roadworks</t>
        </is>
      </c>
      <c r="G177" s="12" t="inlineStr">
        <is>
          <t>ONE_TO_ONE</t>
        </is>
      </c>
      <c r="H177" s="12" t="inlineStr">
        <is>
          <t>APPROVED</t>
        </is>
      </c>
      <c r="I177" s="12" t="inlineStr">
        <is>
          <t>New</t>
        </is>
      </c>
      <c r="J177" s="12" t="inlineStr">
        <is>
          <t>Source assignment -- not individually reviewed</t>
        </is>
      </c>
      <c r="K177" s="12" t="inlineStr"/>
      <c r="L177" s="12" t="inlineStr"/>
      <c r="M177" s="12" t="inlineStr"/>
      <c r="N177" s="17" t="inlineStr">
        <is>
          <t>10 EVIDENCE &amp; DECISIONS</t>
        </is>
      </c>
    </row>
    <row r="178" ht="34" customHeight="1">
      <c r="A178" s="12" t="inlineStr">
        <is>
          <t>Contractor Programme</t>
        </is>
      </c>
      <c r="B178" s="12" t="inlineStr">
        <is>
          <t>SCH-01-009</t>
        </is>
      </c>
      <c r="C178" s="12" t="inlineStr">
        <is>
          <t>River crossing: track-slab survey - release</t>
        </is>
      </c>
      <c r="D178" s="12" t="inlineStr">
        <is>
          <t>WBS Code = 1.1.2</t>
        </is>
      </c>
      <c r="E178" s="12" t="inlineStr">
        <is>
          <t>R9-v1</t>
        </is>
      </c>
      <c r="F178" s="12" t="inlineStr">
        <is>
          <t>1.1.2 Guideway and Civil - Utility &amp; Roadworks</t>
        </is>
      </c>
      <c r="G178" s="12" t="inlineStr">
        <is>
          <t>ONE_TO_ONE</t>
        </is>
      </c>
      <c r="H178" s="12" t="inlineStr">
        <is>
          <t>APPROVED</t>
        </is>
      </c>
      <c r="I178" s="12" t="inlineStr">
        <is>
          <t>New</t>
        </is>
      </c>
      <c r="J178" s="12" t="inlineStr">
        <is>
          <t>Source assignment -- not individually reviewed</t>
        </is>
      </c>
      <c r="K178" s="12" t="inlineStr"/>
      <c r="L178" s="12" t="inlineStr"/>
      <c r="M178" s="12" t="inlineStr"/>
      <c r="N178" s="17" t="inlineStr">
        <is>
          <t>10 EVIDENCE &amp; DECISIONS</t>
        </is>
      </c>
    </row>
    <row r="179" ht="34" customHeight="1">
      <c r="A179" s="12" t="inlineStr">
        <is>
          <t>Contractor Programme</t>
        </is>
      </c>
      <c r="B179" s="12" t="inlineStr">
        <is>
          <t>SCH-01-012</t>
        </is>
      </c>
      <c r="C179" s="12" t="inlineStr">
        <is>
          <t>Depot lead: road restoration - inspection</t>
        </is>
      </c>
      <c r="D179" s="12" t="inlineStr">
        <is>
          <t>WBS Code = 1.1.2</t>
        </is>
      </c>
      <c r="E179" s="12" t="inlineStr">
        <is>
          <t>R12-v1</t>
        </is>
      </c>
      <c r="F179" s="12" t="inlineStr">
        <is>
          <t>1.1.2 Guideway and Civil - Utility &amp; Roadworks</t>
        </is>
      </c>
      <c r="G179" s="12" t="inlineStr">
        <is>
          <t>ONE_TO_ONE</t>
        </is>
      </c>
      <c r="H179" s="12" t="inlineStr">
        <is>
          <t>APPROVED</t>
        </is>
      </c>
      <c r="I179" s="12" t="inlineStr">
        <is>
          <t>New</t>
        </is>
      </c>
      <c r="J179" s="12" t="inlineStr">
        <is>
          <t>Source assignment -- not individually reviewed</t>
        </is>
      </c>
      <c r="K179" s="12" t="inlineStr"/>
      <c r="L179" s="12" t="inlineStr"/>
      <c r="M179" s="12" t="inlineStr"/>
      <c r="N179" s="17" t="inlineStr">
        <is>
          <t>10 EVIDENCE &amp; DECISIONS</t>
        </is>
      </c>
    </row>
    <row r="180" ht="34" customHeight="1">
      <c r="A180" s="12" t="inlineStr">
        <is>
          <t>Contractor Programme</t>
        </is>
      </c>
      <c r="B180" s="12" t="inlineStr">
        <is>
          <t>SCH-01-015</t>
        </is>
      </c>
      <c r="C180" s="12" t="inlineStr">
        <is>
          <t>Central guideway: drainage tie-in - field start</t>
        </is>
      </c>
      <c r="D180" s="12" t="inlineStr">
        <is>
          <t>WBS Code = 1.1.2</t>
        </is>
      </c>
      <c r="E180" s="12" t="inlineStr">
        <is>
          <t>R15-v1</t>
        </is>
      </c>
      <c r="F180" s="12" t="inlineStr">
        <is>
          <t>1.1.2 Guideway and Civil - Utility &amp; Roadworks</t>
        </is>
      </c>
      <c r="G180" s="12" t="inlineStr">
        <is>
          <t>ONE_TO_ONE</t>
        </is>
      </c>
      <c r="H180" s="12" t="inlineStr">
        <is>
          <t>APPROVED</t>
        </is>
      </c>
      <c r="I180" s="12" t="inlineStr">
        <is>
          <t>New</t>
        </is>
      </c>
      <c r="J180" s="12" t="inlineStr">
        <is>
          <t>Source assignment -- not individually reviewed</t>
        </is>
      </c>
      <c r="K180" s="12" t="inlineStr"/>
      <c r="L180" s="12" t="inlineStr"/>
      <c r="M180" s="12" t="inlineStr"/>
      <c r="N180" s="17" t="inlineStr">
        <is>
          <t>10 EVIDENCE &amp; DECISIONS</t>
        </is>
      </c>
    </row>
    <row r="181" ht="34" customHeight="1">
      <c r="A181" s="12" t="inlineStr">
        <is>
          <t>Contractor Programme</t>
        </is>
      </c>
      <c r="B181" s="12" t="inlineStr">
        <is>
          <t>SCH-01-018</t>
        </is>
      </c>
      <c r="C181" s="12" t="inlineStr">
        <is>
          <t>East portal: temporary traffic staging - turnover</t>
        </is>
      </c>
      <c r="D181" s="12" t="inlineStr">
        <is>
          <t>WBS Code = 1.1.2</t>
        </is>
      </c>
      <c r="E181" s="12" t="inlineStr">
        <is>
          <t>R18-v1</t>
        </is>
      </c>
      <c r="F181" s="12" t="inlineStr">
        <is>
          <t>1.1.2 Guideway and Civil - Utility &amp; Roadworks</t>
        </is>
      </c>
      <c r="G181" s="12" t="inlineStr">
        <is>
          <t>ONE_TO_ONE</t>
        </is>
      </c>
      <c r="H181" s="12" t="inlineStr">
        <is>
          <t>APPROVED</t>
        </is>
      </c>
      <c r="I181" s="12" t="inlineStr">
        <is>
          <t>New</t>
        </is>
      </c>
      <c r="J181" s="12" t="inlineStr">
        <is>
          <t>Source assignment -- not individually reviewed</t>
        </is>
      </c>
      <c r="K181" s="12" t="inlineStr"/>
      <c r="L181" s="12" t="inlineStr"/>
      <c r="M181" s="12" t="inlineStr"/>
      <c r="N181" s="17" t="inlineStr">
        <is>
          <t>10 EVIDENCE &amp; DECISIONS</t>
        </is>
      </c>
    </row>
    <row r="182" ht="34" customHeight="1">
      <c r="A182" s="12" t="inlineStr">
        <is>
          <t>Contractor Programme</t>
        </is>
      </c>
      <c r="B182" s="12" t="inlineStr">
        <is>
          <t>SCH-01-021</t>
        </is>
      </c>
      <c r="C182" s="12" t="inlineStr">
        <is>
          <t>West approach: drilled-shaft installation - installation</t>
        </is>
      </c>
      <c r="D182" s="12" t="inlineStr">
        <is>
          <t>WBS Code = 1.1.2</t>
        </is>
      </c>
      <c r="E182" s="12" t="inlineStr">
        <is>
          <t>R21-v1</t>
        </is>
      </c>
      <c r="F182" s="12" t="inlineStr">
        <is>
          <t>1.1.2 Guideway and Civil - Utility &amp; Roadworks</t>
        </is>
      </c>
      <c r="G182" s="12" t="inlineStr">
        <is>
          <t>ONE_TO_ONE</t>
        </is>
      </c>
      <c r="H182" s="12" t="inlineStr">
        <is>
          <t>APPROVED</t>
        </is>
      </c>
      <c r="I182" s="12" t="inlineStr">
        <is>
          <t>New</t>
        </is>
      </c>
      <c r="J182" s="12" t="inlineStr">
        <is>
          <t>Source assignment -- not individually reviewed</t>
        </is>
      </c>
      <c r="K182" s="12" t="inlineStr"/>
      <c r="L182" s="12" t="inlineStr"/>
      <c r="M182" s="12" t="inlineStr"/>
      <c r="N182" s="17" t="inlineStr">
        <is>
          <t>10 EVIDENCE &amp; DECISIONS</t>
        </is>
      </c>
    </row>
    <row r="183" ht="34" customHeight="1">
      <c r="A183" s="12" t="inlineStr">
        <is>
          <t>Contractor Programme</t>
        </is>
      </c>
      <c r="B183" s="12" t="inlineStr">
        <is>
          <t>SCH-01-024</t>
        </is>
      </c>
      <c r="C183" s="12" t="inlineStr">
        <is>
          <t>River crossing: utility relocation - release</t>
        </is>
      </c>
      <c r="D183" s="12" t="inlineStr">
        <is>
          <t>WBS Code = 1.1.2</t>
        </is>
      </c>
      <c r="E183" s="12" t="inlineStr">
        <is>
          <t>R24-v1</t>
        </is>
      </c>
      <c r="F183" s="12" t="inlineStr">
        <is>
          <t>1.1.2 Guideway and Civil - Utility &amp; Roadworks</t>
        </is>
      </c>
      <c r="G183" s="12" t="inlineStr">
        <is>
          <t>ONE_TO_ONE</t>
        </is>
      </c>
      <c r="H183" s="12" t="inlineStr">
        <is>
          <t>APPROVED</t>
        </is>
      </c>
      <c r="I183" s="12" t="inlineStr">
        <is>
          <t>New</t>
        </is>
      </c>
      <c r="J183" s="12" t="inlineStr">
        <is>
          <t>Source assignment -- not individually reviewed</t>
        </is>
      </c>
      <c r="K183" s="12" t="inlineStr"/>
      <c r="L183" s="12" t="inlineStr"/>
      <c r="M183" s="12" t="inlineStr"/>
      <c r="N183" s="17" t="inlineStr">
        <is>
          <t>10 EVIDENCE &amp; DECISIONS</t>
        </is>
      </c>
    </row>
    <row r="184" ht="34" customHeight="1">
      <c r="A184" s="12" t="inlineStr">
        <is>
          <t>Contractor Programme</t>
        </is>
      </c>
      <c r="B184" s="12" t="inlineStr">
        <is>
          <t>SCH-01-027</t>
        </is>
      </c>
      <c r="C184" s="12" t="inlineStr">
        <is>
          <t>Depot lead: guideway pier reinforcement - inspection</t>
        </is>
      </c>
      <c r="D184" s="12" t="inlineStr">
        <is>
          <t>WBS Code = 1.1.2</t>
        </is>
      </c>
      <c r="E184" s="12" t="inlineStr">
        <is>
          <t>R27-v1</t>
        </is>
      </c>
      <c r="F184" s="12" t="inlineStr">
        <is>
          <t>1.1.2 Guideway and Civil - Utility &amp; Roadworks</t>
        </is>
      </c>
      <c r="G184" s="12" t="inlineStr">
        <is>
          <t>ONE_TO_ONE</t>
        </is>
      </c>
      <c r="H184" s="12" t="inlineStr">
        <is>
          <t>APPROVED</t>
        </is>
      </c>
      <c r="I184" s="12" t="inlineStr">
        <is>
          <t>New</t>
        </is>
      </c>
      <c r="J184" s="12" t="inlineStr">
        <is>
          <t>Source assignment -- not individually reviewed</t>
        </is>
      </c>
      <c r="K184" s="12" t="inlineStr"/>
      <c r="L184" s="12" t="inlineStr"/>
      <c r="M184" s="12" t="inlineStr"/>
      <c r="N184" s="17" t="inlineStr">
        <is>
          <t>10 EVIDENCE &amp; DECISIONS</t>
        </is>
      </c>
    </row>
    <row r="185" ht="34" customHeight="1">
      <c r="A185" s="12" t="inlineStr">
        <is>
          <t>Contractor Programme</t>
        </is>
      </c>
      <c r="B185" s="12" t="inlineStr">
        <is>
          <t>SCH-01-030</t>
        </is>
      </c>
      <c r="C185" s="12" t="inlineStr">
        <is>
          <t>Central guideway: retaining-wall excavation - field start</t>
        </is>
      </c>
      <c r="D185" s="12" t="inlineStr">
        <is>
          <t>WBS Code = 1.1.2</t>
        </is>
      </c>
      <c r="E185" s="12" t="inlineStr">
        <is>
          <t>R30-v1</t>
        </is>
      </c>
      <c r="F185" s="12" t="inlineStr">
        <is>
          <t>1.1.2 Guideway and Civil - Utility &amp; Roadworks</t>
        </is>
      </c>
      <c r="G185" s="12" t="inlineStr">
        <is>
          <t>ONE_TO_ONE</t>
        </is>
      </c>
      <c r="H185" s="12" t="inlineStr">
        <is>
          <t>APPROVED</t>
        </is>
      </c>
      <c r="I185" s="12" t="inlineStr">
        <is>
          <t>New</t>
        </is>
      </c>
      <c r="J185" s="12" t="inlineStr">
        <is>
          <t>Source assignment -- not individually reviewed</t>
        </is>
      </c>
      <c r="K185" s="12" t="inlineStr"/>
      <c r="L185" s="12" t="inlineStr"/>
      <c r="M185" s="12" t="inlineStr"/>
      <c r="N185" s="17" t="inlineStr">
        <is>
          <t>10 EVIDENCE &amp; DECISIONS</t>
        </is>
      </c>
    </row>
    <row r="186" ht="34" customHeight="1">
      <c r="A186" s="12" t="inlineStr">
        <is>
          <t>Contractor Programme</t>
        </is>
      </c>
      <c r="B186" s="12" t="inlineStr">
        <is>
          <t>SCH-01-033</t>
        </is>
      </c>
      <c r="C186" s="12" t="inlineStr">
        <is>
          <t>East portal: track-slab survey - turnover</t>
        </is>
      </c>
      <c r="D186" s="12" t="inlineStr">
        <is>
          <t>WBS Code = 1.1.2</t>
        </is>
      </c>
      <c r="E186" s="12" t="inlineStr">
        <is>
          <t>R33-v1</t>
        </is>
      </c>
      <c r="F186" s="12" t="inlineStr">
        <is>
          <t>1.1.2 Guideway and Civil - Utility &amp; Roadworks</t>
        </is>
      </c>
      <c r="G186" s="12" t="inlineStr">
        <is>
          <t>ONE_TO_ONE</t>
        </is>
      </c>
      <c r="H186" s="12" t="inlineStr">
        <is>
          <t>APPROVED</t>
        </is>
      </c>
      <c r="I186" s="12" t="inlineStr">
        <is>
          <t>New</t>
        </is>
      </c>
      <c r="J186" s="12" t="inlineStr">
        <is>
          <t>Source assignment -- not individually reviewed</t>
        </is>
      </c>
      <c r="K186" s="12" t="inlineStr"/>
      <c r="L186" s="12" t="inlineStr"/>
      <c r="M186" s="12" t="inlineStr"/>
      <c r="N186" s="17" t="inlineStr">
        <is>
          <t>10 EVIDENCE &amp; DECISIONS</t>
        </is>
      </c>
    </row>
    <row r="187" ht="34" customHeight="1">
      <c r="A187" s="12" t="inlineStr">
        <is>
          <t>Contractor Programme</t>
        </is>
      </c>
      <c r="B187" s="12" t="inlineStr">
        <is>
          <t>SCH-01-036</t>
        </is>
      </c>
      <c r="C187" s="12" t="inlineStr">
        <is>
          <t>West approach: road restoration - installation</t>
        </is>
      </c>
      <c r="D187" s="12" t="inlineStr">
        <is>
          <t>WBS Code = 1.1.2</t>
        </is>
      </c>
      <c r="E187" s="12" t="inlineStr">
        <is>
          <t>R36-v1</t>
        </is>
      </c>
      <c r="F187" s="12" t="inlineStr">
        <is>
          <t>1.1.2 Guideway and Civil - Utility &amp; Roadworks</t>
        </is>
      </c>
      <c r="G187" s="12" t="inlineStr">
        <is>
          <t>ONE_TO_ONE</t>
        </is>
      </c>
      <c r="H187" s="12" t="inlineStr">
        <is>
          <t>APPROVED</t>
        </is>
      </c>
      <c r="I187" s="12" t="inlineStr">
        <is>
          <t>New</t>
        </is>
      </c>
      <c r="J187" s="12" t="inlineStr">
        <is>
          <t>Source assignment -- not individually reviewed</t>
        </is>
      </c>
      <c r="K187" s="12" t="inlineStr"/>
      <c r="L187" s="12" t="inlineStr"/>
      <c r="M187" s="12" t="inlineStr"/>
      <c r="N187" s="17" t="inlineStr">
        <is>
          <t>10 EVIDENCE &amp; DECISIONS</t>
        </is>
      </c>
    </row>
    <row r="188" ht="34" customHeight="1">
      <c r="A188" s="12" t="inlineStr">
        <is>
          <t>Contractor Programme</t>
        </is>
      </c>
      <c r="B188" s="12" t="inlineStr">
        <is>
          <t>SCH-01-039</t>
        </is>
      </c>
      <c r="C188" s="12" t="inlineStr">
        <is>
          <t>River crossing: drainage tie-in - release</t>
        </is>
      </c>
      <c r="D188" s="12" t="inlineStr">
        <is>
          <t>WBS Code = 1.1.2</t>
        </is>
      </c>
      <c r="E188" s="12" t="inlineStr">
        <is>
          <t>R39-v1</t>
        </is>
      </c>
      <c r="F188" s="12" t="inlineStr">
        <is>
          <t>1.1.2 Guideway and Civil - Utility &amp; Roadworks</t>
        </is>
      </c>
      <c r="G188" s="12" t="inlineStr">
        <is>
          <t>ONE_TO_ONE</t>
        </is>
      </c>
      <c r="H188" s="12" t="inlineStr">
        <is>
          <t>APPROVED</t>
        </is>
      </c>
      <c r="I188" s="12" t="inlineStr">
        <is>
          <t>New</t>
        </is>
      </c>
      <c r="J188" s="12" t="inlineStr">
        <is>
          <t>Source assignment -- not individually reviewed</t>
        </is>
      </c>
      <c r="K188" s="12" t="inlineStr"/>
      <c r="L188" s="12" t="inlineStr"/>
      <c r="M188" s="12" t="inlineStr"/>
      <c r="N188" s="17" t="inlineStr">
        <is>
          <t>10 EVIDENCE &amp; DECISIONS</t>
        </is>
      </c>
    </row>
    <row r="189" ht="34" customHeight="1">
      <c r="A189" s="12" t="inlineStr">
        <is>
          <t>Contractor Programme</t>
        </is>
      </c>
      <c r="B189" s="12" t="inlineStr">
        <is>
          <t>SCH-01-042</t>
        </is>
      </c>
      <c r="C189" s="12" t="inlineStr">
        <is>
          <t>Depot lead: temporary traffic staging - inspection</t>
        </is>
      </c>
      <c r="D189" s="12" t="inlineStr">
        <is>
          <t>WBS Code = 1.1.2</t>
        </is>
      </c>
      <c r="E189" s="12" t="inlineStr">
        <is>
          <t>R42-v1</t>
        </is>
      </c>
      <c r="F189" s="12" t="inlineStr">
        <is>
          <t>1.1.2 Guideway and Civil - Utility &amp; Roadworks</t>
        </is>
      </c>
      <c r="G189" s="12" t="inlineStr">
        <is>
          <t>ONE_TO_ONE</t>
        </is>
      </c>
      <c r="H189" s="12" t="inlineStr">
        <is>
          <t>APPROVED</t>
        </is>
      </c>
      <c r="I189" s="12" t="inlineStr">
        <is>
          <t>New</t>
        </is>
      </c>
      <c r="J189" s="12" t="inlineStr">
        <is>
          <t>Source assignment -- not individually reviewed</t>
        </is>
      </c>
      <c r="K189" s="12" t="inlineStr"/>
      <c r="L189" s="12" t="inlineStr"/>
      <c r="M189" s="12" t="inlineStr"/>
      <c r="N189" s="17" t="inlineStr">
        <is>
          <t>10 EVIDENCE &amp; DECISIONS</t>
        </is>
      </c>
    </row>
    <row r="190" ht="34" customHeight="1">
      <c r="A190" s="12" t="inlineStr">
        <is>
          <t>Contractor Programme</t>
        </is>
      </c>
      <c r="B190" s="12" t="inlineStr">
        <is>
          <t>SCH-01-045</t>
        </is>
      </c>
      <c r="C190" s="12" t="inlineStr">
        <is>
          <t>Central guideway: drilled-shaft installation - field start</t>
        </is>
      </c>
      <c r="D190" s="12" t="inlineStr">
        <is>
          <t>WBS Code = 1.1.2</t>
        </is>
      </c>
      <c r="E190" s="12" t="inlineStr">
        <is>
          <t>R45-v1</t>
        </is>
      </c>
      <c r="F190" s="12" t="inlineStr">
        <is>
          <t>1.1.2 Guideway and Civil - Utility &amp; Roadworks</t>
        </is>
      </c>
      <c r="G190" s="12" t="inlineStr">
        <is>
          <t>ONE_TO_ONE</t>
        </is>
      </c>
      <c r="H190" s="12" t="inlineStr">
        <is>
          <t>APPROVED</t>
        </is>
      </c>
      <c r="I190" s="12" t="inlineStr">
        <is>
          <t>New</t>
        </is>
      </c>
      <c r="J190" s="12" t="inlineStr">
        <is>
          <t>Source assignment -- not individually reviewed</t>
        </is>
      </c>
      <c r="K190" s="12" t="inlineStr"/>
      <c r="L190" s="12" t="inlineStr"/>
      <c r="M190" s="12" t="inlineStr"/>
      <c r="N190" s="17" t="inlineStr">
        <is>
          <t>10 EVIDENCE &amp; DECISIONS</t>
        </is>
      </c>
    </row>
    <row r="191" ht="34" customHeight="1">
      <c r="A191" s="12" t="inlineStr">
        <is>
          <t>Contractor Programme</t>
        </is>
      </c>
      <c r="B191" s="12" t="inlineStr">
        <is>
          <t>SCH-01-048</t>
        </is>
      </c>
      <c r="C191" s="12" t="inlineStr">
        <is>
          <t>East portal: utility relocation - turnover</t>
        </is>
      </c>
      <c r="D191" s="12" t="inlineStr">
        <is>
          <t>WBS Code = 1.1.2</t>
        </is>
      </c>
      <c r="E191" s="12" t="inlineStr">
        <is>
          <t>R48-v1</t>
        </is>
      </c>
      <c r="F191" s="12" t="inlineStr">
        <is>
          <t>1.1.2 Guideway and Civil - Utility &amp; Roadworks</t>
        </is>
      </c>
      <c r="G191" s="12" t="inlineStr">
        <is>
          <t>ONE_TO_ONE</t>
        </is>
      </c>
      <c r="H191" s="12" t="inlineStr">
        <is>
          <t>APPROVED</t>
        </is>
      </c>
      <c r="I191" s="12" t="inlineStr">
        <is>
          <t>New</t>
        </is>
      </c>
      <c r="J191" s="12" t="inlineStr">
        <is>
          <t>Source assignment -- not individually reviewed</t>
        </is>
      </c>
      <c r="K191" s="12" t="inlineStr"/>
      <c r="L191" s="12" t="inlineStr"/>
      <c r="M191" s="12" t="inlineStr"/>
      <c r="N191" s="17" t="inlineStr">
        <is>
          <t>10 EVIDENCE &amp; DECISIONS</t>
        </is>
      </c>
    </row>
    <row r="192" ht="34" customHeight="1">
      <c r="A192" s="12" t="inlineStr">
        <is>
          <t>Contractor Programme</t>
        </is>
      </c>
      <c r="B192" s="12" t="inlineStr">
        <is>
          <t>SCH-01-051</t>
        </is>
      </c>
      <c r="C192" s="12" t="inlineStr">
        <is>
          <t>West approach: guideway pier reinforcement - installation</t>
        </is>
      </c>
      <c r="D192" s="12" t="inlineStr">
        <is>
          <t>WBS Code = 1.1.2</t>
        </is>
      </c>
      <c r="E192" s="12" t="inlineStr">
        <is>
          <t>R51-v1</t>
        </is>
      </c>
      <c r="F192" s="12" t="inlineStr">
        <is>
          <t>1.1.2 Guideway and Civil - Utility &amp; Roadworks</t>
        </is>
      </c>
      <c r="G192" s="12" t="inlineStr">
        <is>
          <t>ONE_TO_ONE</t>
        </is>
      </c>
      <c r="H192" s="12" t="inlineStr">
        <is>
          <t>APPROVED</t>
        </is>
      </c>
      <c r="I192" s="12" t="inlineStr">
        <is>
          <t>New</t>
        </is>
      </c>
      <c r="J192" s="12" t="inlineStr">
        <is>
          <t>Source assignment -- not individually reviewed</t>
        </is>
      </c>
      <c r="K192" s="12" t="inlineStr"/>
      <c r="L192" s="12" t="inlineStr"/>
      <c r="M192" s="12" t="inlineStr"/>
      <c r="N192" s="17" t="inlineStr">
        <is>
          <t>10 EVIDENCE &amp; DECISIONS</t>
        </is>
      </c>
    </row>
    <row r="193" ht="34" customHeight="1">
      <c r="A193" s="12" t="inlineStr">
        <is>
          <t>Contractor Programme</t>
        </is>
      </c>
      <c r="B193" s="12" t="inlineStr">
        <is>
          <t>SCH-01-054</t>
        </is>
      </c>
      <c r="C193" s="12" t="inlineStr">
        <is>
          <t>River crossing: retaining-wall excavation - release</t>
        </is>
      </c>
      <c r="D193" s="12" t="inlineStr">
        <is>
          <t>WBS Code = 1.1.2</t>
        </is>
      </c>
      <c r="E193" s="12" t="inlineStr">
        <is>
          <t>R54-v1</t>
        </is>
      </c>
      <c r="F193" s="12" t="inlineStr">
        <is>
          <t>1.1.2 Guideway and Civil - Utility &amp; Roadworks</t>
        </is>
      </c>
      <c r="G193" s="12" t="inlineStr">
        <is>
          <t>ONE_TO_ONE</t>
        </is>
      </c>
      <c r="H193" s="12" t="inlineStr">
        <is>
          <t>APPROVED</t>
        </is>
      </c>
      <c r="I193" s="12" t="inlineStr">
        <is>
          <t>New</t>
        </is>
      </c>
      <c r="J193" s="12" t="inlineStr">
        <is>
          <t>Source assignment -- not individually reviewed</t>
        </is>
      </c>
      <c r="K193" s="12" t="inlineStr"/>
      <c r="L193" s="12" t="inlineStr"/>
      <c r="M193" s="12" t="inlineStr"/>
      <c r="N193" s="17" t="inlineStr">
        <is>
          <t>10 EVIDENCE &amp; DECISIONS</t>
        </is>
      </c>
    </row>
    <row r="194" ht="34" customHeight="1">
      <c r="A194" s="12" t="inlineStr">
        <is>
          <t>Contractor Programme</t>
        </is>
      </c>
      <c r="B194" s="12" t="inlineStr">
        <is>
          <t>SCH-01-057</t>
        </is>
      </c>
      <c r="C194" s="12" t="inlineStr">
        <is>
          <t>Depot lead: track-slab survey - inspection</t>
        </is>
      </c>
      <c r="D194" s="12" t="inlineStr">
        <is>
          <t>WBS Code = 1.1.2</t>
        </is>
      </c>
      <c r="E194" s="12" t="inlineStr">
        <is>
          <t>R57-v1</t>
        </is>
      </c>
      <c r="F194" s="12" t="inlineStr">
        <is>
          <t>1.1.2 Guideway and Civil - Utility &amp; Roadworks</t>
        </is>
      </c>
      <c r="G194" s="12" t="inlineStr">
        <is>
          <t>ONE_TO_ONE</t>
        </is>
      </c>
      <c r="H194" s="12" t="inlineStr">
        <is>
          <t>APPROVED</t>
        </is>
      </c>
      <c r="I194" s="12" t="inlineStr">
        <is>
          <t>New</t>
        </is>
      </c>
      <c r="J194" s="12" t="inlineStr">
        <is>
          <t>Source assignment -- not individually reviewed</t>
        </is>
      </c>
      <c r="K194" s="12" t="inlineStr"/>
      <c r="L194" s="12" t="inlineStr"/>
      <c r="M194" s="12" t="inlineStr"/>
      <c r="N194" s="17" t="inlineStr">
        <is>
          <t>10 EVIDENCE &amp; DECISIONS</t>
        </is>
      </c>
    </row>
    <row r="195" ht="34" customHeight="1">
      <c r="A195" s="12" t="inlineStr">
        <is>
          <t>Contractor Programme</t>
        </is>
      </c>
      <c r="B195" s="12" t="inlineStr">
        <is>
          <t>SCH-01-060</t>
        </is>
      </c>
      <c r="C195" s="12" t="inlineStr">
        <is>
          <t>Central guideway: road restoration - field start</t>
        </is>
      </c>
      <c r="D195" s="12" t="inlineStr">
        <is>
          <t>WBS Code = 1.1.2</t>
        </is>
      </c>
      <c r="E195" s="12" t="inlineStr">
        <is>
          <t>R60-v1</t>
        </is>
      </c>
      <c r="F195" s="12" t="inlineStr">
        <is>
          <t>1.1.2 Guideway and Civil - Utility &amp; Roadworks</t>
        </is>
      </c>
      <c r="G195" s="12" t="inlineStr">
        <is>
          <t>ONE_TO_ONE</t>
        </is>
      </c>
      <c r="H195" s="12" t="inlineStr">
        <is>
          <t>APPROVED</t>
        </is>
      </c>
      <c r="I195" s="12" t="inlineStr">
        <is>
          <t>New</t>
        </is>
      </c>
      <c r="J195" s="12" t="inlineStr">
        <is>
          <t>Source assignment -- not individually reviewed</t>
        </is>
      </c>
      <c r="K195" s="12" t="inlineStr"/>
      <c r="L195" s="12" t="inlineStr"/>
      <c r="M195" s="12" t="inlineStr"/>
      <c r="N195" s="17" t="inlineStr">
        <is>
          <t>10 EVIDENCE &amp; DECISIONS</t>
        </is>
      </c>
    </row>
    <row r="196" ht="34" customHeight="1">
      <c r="A196" s="12" t="inlineStr">
        <is>
          <t>Contractor Programme</t>
        </is>
      </c>
      <c r="B196" s="12" t="inlineStr">
        <is>
          <t>SCH-01-063</t>
        </is>
      </c>
      <c r="C196" s="12" t="inlineStr">
        <is>
          <t>East portal: drainage tie-in - turnover</t>
        </is>
      </c>
      <c r="D196" s="12" t="inlineStr">
        <is>
          <t>WBS Code = 1.1.2</t>
        </is>
      </c>
      <c r="E196" s="12" t="inlineStr">
        <is>
          <t>R63-v1</t>
        </is>
      </c>
      <c r="F196" s="12" t="inlineStr">
        <is>
          <t>1.1.2 Guideway and Civil - Utility &amp; Roadworks</t>
        </is>
      </c>
      <c r="G196" s="12" t="inlineStr">
        <is>
          <t>ONE_TO_ONE</t>
        </is>
      </c>
      <c r="H196" s="12" t="inlineStr">
        <is>
          <t>APPROVED</t>
        </is>
      </c>
      <c r="I196" s="12" t="inlineStr">
        <is>
          <t>New</t>
        </is>
      </c>
      <c r="J196" s="12" t="inlineStr">
        <is>
          <t>Source assignment -- not individually reviewed</t>
        </is>
      </c>
      <c r="K196" s="12" t="inlineStr"/>
      <c r="L196" s="12" t="inlineStr"/>
      <c r="M196" s="12" t="inlineStr"/>
      <c r="N196" s="17" t="inlineStr">
        <is>
          <t>10 EVIDENCE &amp; DECISIONS</t>
        </is>
      </c>
    </row>
    <row r="197" ht="34" customHeight="1">
      <c r="A197" s="12" t="inlineStr">
        <is>
          <t>Contractor Programme</t>
        </is>
      </c>
      <c r="B197" s="12" t="inlineStr">
        <is>
          <t>SCH-01-066</t>
        </is>
      </c>
      <c r="C197" s="12" t="inlineStr">
        <is>
          <t>West approach: temporary traffic staging - installation</t>
        </is>
      </c>
      <c r="D197" s="12" t="inlineStr">
        <is>
          <t>WBS Code = 1.1.2</t>
        </is>
      </c>
      <c r="E197" s="12" t="inlineStr">
        <is>
          <t>R66-v1</t>
        </is>
      </c>
      <c r="F197" s="12" t="inlineStr">
        <is>
          <t>1.1.2 Guideway and Civil - Utility &amp; Roadworks</t>
        </is>
      </c>
      <c r="G197" s="12" t="inlineStr">
        <is>
          <t>ONE_TO_ONE</t>
        </is>
      </c>
      <c r="H197" s="12" t="inlineStr">
        <is>
          <t>APPROVED</t>
        </is>
      </c>
      <c r="I197" s="12" t="inlineStr">
        <is>
          <t>New</t>
        </is>
      </c>
      <c r="J197" s="12" t="inlineStr">
        <is>
          <t>Source assignment -- not individually reviewed</t>
        </is>
      </c>
      <c r="K197" s="12" t="inlineStr"/>
      <c r="L197" s="12" t="inlineStr"/>
      <c r="M197" s="12" t="inlineStr"/>
      <c r="N197" s="17" t="inlineStr">
        <is>
          <t>10 EVIDENCE &amp; DECISIONS</t>
        </is>
      </c>
    </row>
    <row r="198" ht="34" customHeight="1">
      <c r="A198" s="12" t="inlineStr">
        <is>
          <t>Contractor Programme</t>
        </is>
      </c>
      <c r="B198" s="12" t="inlineStr">
        <is>
          <t>SCH-01-069</t>
        </is>
      </c>
      <c r="C198" s="12" t="inlineStr">
        <is>
          <t>River crossing: drilled-shaft installation - release</t>
        </is>
      </c>
      <c r="D198" s="12" t="inlineStr">
        <is>
          <t>WBS Code = 1.1.2</t>
        </is>
      </c>
      <c r="E198" s="12" t="inlineStr">
        <is>
          <t>R69-v1</t>
        </is>
      </c>
      <c r="F198" s="12" t="inlineStr">
        <is>
          <t>1.1.2 Guideway and Civil - Utility &amp; Roadworks</t>
        </is>
      </c>
      <c r="G198" s="12" t="inlineStr">
        <is>
          <t>ONE_TO_ONE</t>
        </is>
      </c>
      <c r="H198" s="12" t="inlineStr">
        <is>
          <t>APPROVED</t>
        </is>
      </c>
      <c r="I198" s="12" t="inlineStr">
        <is>
          <t>New</t>
        </is>
      </c>
      <c r="J198" s="12" t="inlineStr">
        <is>
          <t>Source assignment -- not individually reviewed</t>
        </is>
      </c>
      <c r="K198" s="12" t="inlineStr"/>
      <c r="L198" s="12" t="inlineStr"/>
      <c r="M198" s="12" t="inlineStr"/>
      <c r="N198" s="17" t="inlineStr">
        <is>
          <t>10 EVIDENCE &amp; DECISIONS</t>
        </is>
      </c>
    </row>
    <row r="199" ht="34" customHeight="1">
      <c r="A199" s="12" t="inlineStr">
        <is>
          <t>Contractor Programme</t>
        </is>
      </c>
      <c r="B199" s="12" t="inlineStr">
        <is>
          <t>SCH-01-072</t>
        </is>
      </c>
      <c r="C199" s="12" t="inlineStr">
        <is>
          <t>Depot lead: utility relocation - inspection</t>
        </is>
      </c>
      <c r="D199" s="12" t="inlineStr">
        <is>
          <t>WBS Code = 1.1.2</t>
        </is>
      </c>
      <c r="E199" s="12" t="inlineStr">
        <is>
          <t>R72-v1</t>
        </is>
      </c>
      <c r="F199" s="12" t="inlineStr">
        <is>
          <t>1.1.2 Guideway and Civil - Utility &amp; Roadworks</t>
        </is>
      </c>
      <c r="G199" s="12" t="inlineStr">
        <is>
          <t>ONE_TO_ONE</t>
        </is>
      </c>
      <c r="H199" s="12" t="inlineStr">
        <is>
          <t>APPROVED</t>
        </is>
      </c>
      <c r="I199" s="12" t="inlineStr">
        <is>
          <t>New</t>
        </is>
      </c>
      <c r="J199" s="12" t="inlineStr">
        <is>
          <t>Source assignment -- not individually reviewed</t>
        </is>
      </c>
      <c r="K199" s="12" t="inlineStr"/>
      <c r="L199" s="12" t="inlineStr"/>
      <c r="M199" s="12" t="inlineStr"/>
      <c r="N199" s="17" t="inlineStr">
        <is>
          <t>10 EVIDENCE &amp; DECISIONS</t>
        </is>
      </c>
    </row>
    <row r="200" ht="34" customHeight="1">
      <c r="A200" s="12" t="inlineStr">
        <is>
          <t>Contractor Programme</t>
        </is>
      </c>
      <c r="B200" s="12" t="inlineStr">
        <is>
          <t>SCH-01-075</t>
        </is>
      </c>
      <c r="C200" s="12" t="inlineStr">
        <is>
          <t>Central guideway: guideway pier reinforcement - field start</t>
        </is>
      </c>
      <c r="D200" s="12" t="inlineStr">
        <is>
          <t>WBS Code = 1.1.2</t>
        </is>
      </c>
      <c r="E200" s="12" t="inlineStr">
        <is>
          <t>R75-v1</t>
        </is>
      </c>
      <c r="F200" s="12" t="inlineStr">
        <is>
          <t>1.1.2 Guideway and Civil - Utility &amp; Roadworks</t>
        </is>
      </c>
      <c r="G200" s="12" t="inlineStr">
        <is>
          <t>ONE_TO_ONE</t>
        </is>
      </c>
      <c r="H200" s="12" t="inlineStr">
        <is>
          <t>APPROVED</t>
        </is>
      </c>
      <c r="I200" s="12" t="inlineStr">
        <is>
          <t>New</t>
        </is>
      </c>
      <c r="J200" s="12" t="inlineStr">
        <is>
          <t>Source assignment -- not individually reviewed</t>
        </is>
      </c>
      <c r="K200" s="12" t="inlineStr"/>
      <c r="L200" s="12" t="inlineStr"/>
      <c r="M200" s="12" t="inlineStr"/>
      <c r="N200" s="17" t="inlineStr">
        <is>
          <t>10 EVIDENCE &amp; DECISIONS</t>
        </is>
      </c>
    </row>
    <row r="201" ht="34" customHeight="1">
      <c r="A201" s="12" t="inlineStr">
        <is>
          <t>Contractor Programme</t>
        </is>
      </c>
      <c r="B201" s="12" t="inlineStr">
        <is>
          <t>SCH-01-078</t>
        </is>
      </c>
      <c r="C201" s="12" t="inlineStr">
        <is>
          <t>East portal: retaining-wall excavation - turnover</t>
        </is>
      </c>
      <c r="D201" s="12" t="inlineStr">
        <is>
          <t>WBS Code = 1.1.2</t>
        </is>
      </c>
      <c r="E201" s="12" t="inlineStr">
        <is>
          <t>R78-v1</t>
        </is>
      </c>
      <c r="F201" s="12" t="inlineStr">
        <is>
          <t>1.1.2 Guideway and Civil - Utility &amp; Roadworks</t>
        </is>
      </c>
      <c r="G201" s="12" t="inlineStr">
        <is>
          <t>ONE_TO_ONE</t>
        </is>
      </c>
      <c r="H201" s="12" t="inlineStr">
        <is>
          <t>APPROVED</t>
        </is>
      </c>
      <c r="I201" s="12" t="inlineStr">
        <is>
          <t>New</t>
        </is>
      </c>
      <c r="J201" s="12" t="inlineStr">
        <is>
          <t>Source assignment -- not individually reviewed</t>
        </is>
      </c>
      <c r="K201" s="12" t="inlineStr"/>
      <c r="L201" s="12" t="inlineStr"/>
      <c r="M201" s="12" t="inlineStr"/>
      <c r="N201" s="17" t="inlineStr">
        <is>
          <t>10 EVIDENCE &amp; DECISIONS</t>
        </is>
      </c>
    </row>
    <row r="202" ht="34" customHeight="1">
      <c r="A202" s="12" t="inlineStr">
        <is>
          <t>Contractor Programme</t>
        </is>
      </c>
      <c r="B202" s="12" t="inlineStr">
        <is>
          <t>SCH-01-081</t>
        </is>
      </c>
      <c r="C202" s="12" t="inlineStr">
        <is>
          <t>West approach: track-slab survey - installation</t>
        </is>
      </c>
      <c r="D202" s="12" t="inlineStr">
        <is>
          <t>WBS Code = 1.1.2</t>
        </is>
      </c>
      <c r="E202" s="12" t="inlineStr">
        <is>
          <t>R81-v1</t>
        </is>
      </c>
      <c r="F202" s="12" t="inlineStr">
        <is>
          <t>1.1.2 Guideway and Civil - Utility &amp; Roadworks</t>
        </is>
      </c>
      <c r="G202" s="12" t="inlineStr">
        <is>
          <t>ONE_TO_ONE</t>
        </is>
      </c>
      <c r="H202" s="12" t="inlineStr">
        <is>
          <t>APPROVED</t>
        </is>
      </c>
      <c r="I202" s="12" t="inlineStr">
        <is>
          <t>New</t>
        </is>
      </c>
      <c r="J202" s="12" t="inlineStr">
        <is>
          <t>Source assignment -- not individually reviewed</t>
        </is>
      </c>
      <c r="K202" s="12" t="inlineStr"/>
      <c r="L202" s="12" t="inlineStr"/>
      <c r="M202" s="12" t="inlineStr"/>
      <c r="N202" s="17" t="inlineStr">
        <is>
          <t>10 EVIDENCE &amp; DECISIONS</t>
        </is>
      </c>
    </row>
    <row r="203" ht="34" customHeight="1">
      <c r="A203" s="12" t="inlineStr">
        <is>
          <t>Contractor Programme</t>
        </is>
      </c>
      <c r="B203" s="12" t="inlineStr">
        <is>
          <t>SCH-01-084</t>
        </is>
      </c>
      <c r="C203" s="12" t="inlineStr">
        <is>
          <t>River crossing: road restoration - release</t>
        </is>
      </c>
      <c r="D203" s="12" t="inlineStr">
        <is>
          <t>WBS Code = 1.1.2</t>
        </is>
      </c>
      <c r="E203" s="12" t="inlineStr">
        <is>
          <t>R84-v1</t>
        </is>
      </c>
      <c r="F203" s="12" t="inlineStr">
        <is>
          <t>1.1.2 Guideway and Civil - Utility &amp; Roadworks</t>
        </is>
      </c>
      <c r="G203" s="12" t="inlineStr">
        <is>
          <t>ONE_TO_ONE</t>
        </is>
      </c>
      <c r="H203" s="12" t="inlineStr">
        <is>
          <t>APPROVED</t>
        </is>
      </c>
      <c r="I203" s="12" t="inlineStr">
        <is>
          <t>New</t>
        </is>
      </c>
      <c r="J203" s="12" t="inlineStr">
        <is>
          <t>Source assignment -- not individually reviewed</t>
        </is>
      </c>
      <c r="K203" s="12" t="inlineStr"/>
      <c r="L203" s="12" t="inlineStr"/>
      <c r="M203" s="12" t="inlineStr"/>
      <c r="N203" s="17" t="inlineStr">
        <is>
          <t>10 EVIDENCE &amp; DECISIONS</t>
        </is>
      </c>
    </row>
    <row r="204" ht="34" customHeight="1">
      <c r="A204" s="12" t="inlineStr">
        <is>
          <t>Contractor Programme</t>
        </is>
      </c>
      <c r="B204" s="12" t="inlineStr">
        <is>
          <t>SCH-01-087</t>
        </is>
      </c>
      <c r="C204" s="12" t="inlineStr">
        <is>
          <t>Depot lead: drainage tie-in - inspection</t>
        </is>
      </c>
      <c r="D204" s="12" t="inlineStr">
        <is>
          <t>WBS Code = 1.1.2</t>
        </is>
      </c>
      <c r="E204" s="12" t="inlineStr">
        <is>
          <t>R87-v1</t>
        </is>
      </c>
      <c r="F204" s="12" t="inlineStr">
        <is>
          <t>1.1.2 Guideway and Civil - Utility &amp; Roadworks</t>
        </is>
      </c>
      <c r="G204" s="12" t="inlineStr">
        <is>
          <t>ONE_TO_ONE</t>
        </is>
      </c>
      <c r="H204" s="12" t="inlineStr">
        <is>
          <t>APPROVED</t>
        </is>
      </c>
      <c r="I204" s="12" t="inlineStr">
        <is>
          <t>New</t>
        </is>
      </c>
      <c r="J204" s="12" t="inlineStr">
        <is>
          <t>Source assignment -- not individually reviewed</t>
        </is>
      </c>
      <c r="K204" s="12" t="inlineStr"/>
      <c r="L204" s="12" t="inlineStr"/>
      <c r="M204" s="12" t="inlineStr"/>
      <c r="N204" s="17" t="inlineStr">
        <is>
          <t>10 EVIDENCE &amp; DECISIONS</t>
        </is>
      </c>
    </row>
    <row r="205" ht="34" customHeight="1">
      <c r="A205" s="12" t="inlineStr">
        <is>
          <t>Contractor Programme</t>
        </is>
      </c>
      <c r="B205" s="12" t="inlineStr">
        <is>
          <t>SCH-01-090</t>
        </is>
      </c>
      <c r="C205" s="12" t="inlineStr">
        <is>
          <t>Central guideway: temporary traffic staging - field start</t>
        </is>
      </c>
      <c r="D205" s="12" t="inlineStr">
        <is>
          <t>WBS Code = 1.1.2</t>
        </is>
      </c>
      <c r="E205" s="12" t="inlineStr">
        <is>
          <t>R90-v1</t>
        </is>
      </c>
      <c r="F205" s="12" t="inlineStr">
        <is>
          <t>1.1.2 Guideway and Civil - Utility &amp; Roadworks</t>
        </is>
      </c>
      <c r="G205" s="12" t="inlineStr">
        <is>
          <t>ONE_TO_ONE</t>
        </is>
      </c>
      <c r="H205" s="12" t="inlineStr">
        <is>
          <t>APPROVED</t>
        </is>
      </c>
      <c r="I205" s="12" t="inlineStr">
        <is>
          <t>New</t>
        </is>
      </c>
      <c r="J205" s="12" t="inlineStr">
        <is>
          <t>Source assignment -- not individually reviewed</t>
        </is>
      </c>
      <c r="K205" s="12" t="inlineStr"/>
      <c r="L205" s="12" t="inlineStr"/>
      <c r="M205" s="12" t="inlineStr"/>
      <c r="N205" s="17" t="inlineStr">
        <is>
          <t>10 EVIDENCE &amp; DECISIONS</t>
        </is>
      </c>
    </row>
    <row r="206" ht="34" customHeight="1">
      <c r="A206" s="12" t="inlineStr">
        <is>
          <t>Contractor Programme</t>
        </is>
      </c>
      <c r="B206" s="12" t="inlineStr">
        <is>
          <t>SCH-01-093</t>
        </is>
      </c>
      <c r="C206" s="12" t="inlineStr">
        <is>
          <t>East portal: drilled-shaft installation - turnover</t>
        </is>
      </c>
      <c r="D206" s="12" t="inlineStr">
        <is>
          <t>WBS Code = 1.1.2</t>
        </is>
      </c>
      <c r="E206" s="12" t="inlineStr">
        <is>
          <t>R93-v1</t>
        </is>
      </c>
      <c r="F206" s="12" t="inlineStr">
        <is>
          <t>1.1.2 Guideway and Civil - Utility &amp; Roadworks</t>
        </is>
      </c>
      <c r="G206" s="12" t="inlineStr">
        <is>
          <t>ONE_TO_ONE</t>
        </is>
      </c>
      <c r="H206" s="12" t="inlineStr">
        <is>
          <t>APPROVED</t>
        </is>
      </c>
      <c r="I206" s="12" t="inlineStr">
        <is>
          <t>New</t>
        </is>
      </c>
      <c r="J206" s="12" t="inlineStr">
        <is>
          <t>Source assignment -- not individually reviewed</t>
        </is>
      </c>
      <c r="K206" s="12" t="inlineStr"/>
      <c r="L206" s="12" t="inlineStr"/>
      <c r="M206" s="12" t="inlineStr"/>
      <c r="N206" s="17" t="inlineStr">
        <is>
          <t>10 EVIDENCE &amp; DECISIONS</t>
        </is>
      </c>
    </row>
    <row r="207" ht="34" customHeight="1">
      <c r="A207" s="12" t="inlineStr">
        <is>
          <t>Contractor Programme</t>
        </is>
      </c>
      <c r="B207" s="12" t="inlineStr">
        <is>
          <t>SCH-01-096</t>
        </is>
      </c>
      <c r="C207" s="12" t="inlineStr">
        <is>
          <t>West approach: utility relocation - installation</t>
        </is>
      </c>
      <c r="D207" s="12" t="inlineStr">
        <is>
          <t>WBS Code = 1.1.2</t>
        </is>
      </c>
      <c r="E207" s="12" t="inlineStr">
        <is>
          <t>R96-v1</t>
        </is>
      </c>
      <c r="F207" s="12" t="inlineStr">
        <is>
          <t>1.1.2 Guideway and Civil - Utility &amp; Roadworks</t>
        </is>
      </c>
      <c r="G207" s="12" t="inlineStr">
        <is>
          <t>ONE_TO_ONE</t>
        </is>
      </c>
      <c r="H207" s="12" t="inlineStr">
        <is>
          <t>APPROVED</t>
        </is>
      </c>
      <c r="I207" s="12" t="inlineStr">
        <is>
          <t>New</t>
        </is>
      </c>
      <c r="J207" s="12" t="inlineStr">
        <is>
          <t>Source assignment -- not individually reviewed</t>
        </is>
      </c>
      <c r="K207" s="12" t="inlineStr"/>
      <c r="L207" s="12" t="inlineStr"/>
      <c r="M207" s="12" t="inlineStr"/>
      <c r="N207" s="17" t="inlineStr">
        <is>
          <t>10 EVIDENCE &amp; DECISIONS</t>
        </is>
      </c>
    </row>
    <row r="208" ht="34" customHeight="1">
      <c r="A208" s="12" t="inlineStr">
        <is>
          <t>Contractor Programme</t>
        </is>
      </c>
      <c r="B208" s="12" t="inlineStr">
        <is>
          <t>SCH-01-099</t>
        </is>
      </c>
      <c r="C208" s="12" t="inlineStr">
        <is>
          <t>River crossing: guideway pier reinforcement - release</t>
        </is>
      </c>
      <c r="D208" s="12" t="inlineStr">
        <is>
          <t>WBS Code = 1.1.2</t>
        </is>
      </c>
      <c r="E208" s="12" t="inlineStr">
        <is>
          <t>R99-v1</t>
        </is>
      </c>
      <c r="F208" s="12" t="inlineStr">
        <is>
          <t>1.1.2 Guideway and Civil - Utility &amp; Roadworks</t>
        </is>
      </c>
      <c r="G208" s="12" t="inlineStr">
        <is>
          <t>ONE_TO_ONE</t>
        </is>
      </c>
      <c r="H208" s="12" t="inlineStr">
        <is>
          <t>APPROVED</t>
        </is>
      </c>
      <c r="I208" s="12" t="inlineStr">
        <is>
          <t>New</t>
        </is>
      </c>
      <c r="J208" s="12" t="inlineStr">
        <is>
          <t>Source assignment -- not individually reviewed</t>
        </is>
      </c>
      <c r="K208" s="12" t="inlineStr"/>
      <c r="L208" s="12" t="inlineStr"/>
      <c r="M208" s="12" t="inlineStr"/>
      <c r="N208" s="17" t="inlineStr">
        <is>
          <t>10 EVIDENCE &amp; DECISIONS</t>
        </is>
      </c>
    </row>
    <row r="209" ht="34" customHeight="1">
      <c r="A209" s="12" t="inlineStr">
        <is>
          <t>Contractor Programme</t>
        </is>
      </c>
      <c r="B209" s="12" t="inlineStr">
        <is>
          <t>SCH-01-102</t>
        </is>
      </c>
      <c r="C209" s="12" t="inlineStr">
        <is>
          <t>Depot lead: retaining-wall excavation - inspection</t>
        </is>
      </c>
      <c r="D209" s="12" t="inlineStr">
        <is>
          <t>WBS Code = 1.1.2</t>
        </is>
      </c>
      <c r="E209" s="12" t="inlineStr">
        <is>
          <t>R102-v1</t>
        </is>
      </c>
      <c r="F209" s="12" t="inlineStr">
        <is>
          <t>1.1.2 Guideway and Civil - Utility &amp; Roadworks</t>
        </is>
      </c>
      <c r="G209" s="12" t="inlineStr">
        <is>
          <t>ONE_TO_ONE</t>
        </is>
      </c>
      <c r="H209" s="12" t="inlineStr">
        <is>
          <t>APPROVED</t>
        </is>
      </c>
      <c r="I209" s="12" t="inlineStr">
        <is>
          <t>New</t>
        </is>
      </c>
      <c r="J209" s="12" t="inlineStr">
        <is>
          <t>Source assignment -- not individually reviewed</t>
        </is>
      </c>
      <c r="K209" s="12" t="inlineStr"/>
      <c r="L209" s="12" t="inlineStr"/>
      <c r="M209" s="12" t="inlineStr"/>
      <c r="N209" s="17" t="inlineStr">
        <is>
          <t>10 EVIDENCE &amp; DECISIONS</t>
        </is>
      </c>
    </row>
    <row r="210" ht="34" customHeight="1">
      <c r="A210" s="12" t="inlineStr">
        <is>
          <t>Contractor Programme</t>
        </is>
      </c>
      <c r="B210" s="12" t="inlineStr">
        <is>
          <t>SCH-01-105</t>
        </is>
      </c>
      <c r="C210" s="12" t="inlineStr">
        <is>
          <t>Central guideway: track-slab survey - field start</t>
        </is>
      </c>
      <c r="D210" s="12" t="inlineStr">
        <is>
          <t>WBS Code = 1.1.2</t>
        </is>
      </c>
      <c r="E210" s="12" t="inlineStr">
        <is>
          <t>R105-v1</t>
        </is>
      </c>
      <c r="F210" s="12" t="inlineStr">
        <is>
          <t>1.1.2 Guideway and Civil - Utility &amp; Roadworks</t>
        </is>
      </c>
      <c r="G210" s="12" t="inlineStr">
        <is>
          <t>ONE_TO_ONE</t>
        </is>
      </c>
      <c r="H210" s="12" t="inlineStr">
        <is>
          <t>APPROVED</t>
        </is>
      </c>
      <c r="I210" s="12" t="inlineStr">
        <is>
          <t>New</t>
        </is>
      </c>
      <c r="J210" s="12" t="inlineStr">
        <is>
          <t>Source assignment -- not individually reviewed</t>
        </is>
      </c>
      <c r="K210" s="12" t="inlineStr"/>
      <c r="L210" s="12" t="inlineStr"/>
      <c r="M210" s="12" t="inlineStr"/>
      <c r="N210" s="17" t="inlineStr">
        <is>
          <t>10 EVIDENCE &amp; DECISIONS</t>
        </is>
      </c>
    </row>
    <row r="211" ht="34" customHeight="1">
      <c r="A211" s="12" t="inlineStr">
        <is>
          <t>Contractor Programme</t>
        </is>
      </c>
      <c r="B211" s="12" t="inlineStr">
        <is>
          <t>SCH-01-108</t>
        </is>
      </c>
      <c r="C211" s="12" t="inlineStr">
        <is>
          <t>East portal: road restoration - turnover</t>
        </is>
      </c>
      <c r="D211" s="12" t="inlineStr">
        <is>
          <t>WBS Code = 1.1.2</t>
        </is>
      </c>
      <c r="E211" s="12" t="inlineStr">
        <is>
          <t>R108-v1</t>
        </is>
      </c>
      <c r="F211" s="12" t="inlineStr">
        <is>
          <t>1.1.2 Guideway and Civil - Utility &amp; Roadworks</t>
        </is>
      </c>
      <c r="G211" s="12" t="inlineStr">
        <is>
          <t>ONE_TO_ONE</t>
        </is>
      </c>
      <c r="H211" s="12" t="inlineStr">
        <is>
          <t>APPROVED</t>
        </is>
      </c>
      <c r="I211" s="12" t="inlineStr">
        <is>
          <t>New</t>
        </is>
      </c>
      <c r="J211" s="12" t="inlineStr">
        <is>
          <t>Source assignment -- not individually reviewed</t>
        </is>
      </c>
      <c r="K211" s="12" t="inlineStr"/>
      <c r="L211" s="12" t="inlineStr"/>
      <c r="M211" s="12" t="inlineStr"/>
      <c r="N211" s="17" t="inlineStr">
        <is>
          <t>10 EVIDENCE &amp; DECISIONS</t>
        </is>
      </c>
    </row>
    <row r="212" ht="34" customHeight="1">
      <c r="A212" s="12" t="inlineStr">
        <is>
          <t>Contractor Programme</t>
        </is>
      </c>
      <c r="B212" s="12" t="inlineStr">
        <is>
          <t>SCH-01-111</t>
        </is>
      </c>
      <c r="C212" s="12" t="inlineStr">
        <is>
          <t>West approach: drainage tie-in - installation</t>
        </is>
      </c>
      <c r="D212" s="12" t="inlineStr">
        <is>
          <t>WBS Code = 1.1.2</t>
        </is>
      </c>
      <c r="E212" s="12" t="inlineStr">
        <is>
          <t>R111-v1</t>
        </is>
      </c>
      <c r="F212" s="12" t="inlineStr">
        <is>
          <t>1.1.2 Guideway and Civil - Utility &amp; Roadworks</t>
        </is>
      </c>
      <c r="G212" s="12" t="inlineStr">
        <is>
          <t>ONE_TO_ONE</t>
        </is>
      </c>
      <c r="H212" s="12" t="inlineStr">
        <is>
          <t>APPROVED</t>
        </is>
      </c>
      <c r="I212" s="12" t="inlineStr">
        <is>
          <t>New</t>
        </is>
      </c>
      <c r="J212" s="12" t="inlineStr">
        <is>
          <t>Source assignment -- not individually reviewed</t>
        </is>
      </c>
      <c r="K212" s="12" t="inlineStr"/>
      <c r="L212" s="12" t="inlineStr"/>
      <c r="M212" s="12" t="inlineStr"/>
      <c r="N212" s="17" t="inlineStr">
        <is>
          <t>10 EVIDENCE &amp; DECISIONS</t>
        </is>
      </c>
    </row>
    <row r="213" ht="34" customHeight="1">
      <c r="A213" s="12" t="inlineStr">
        <is>
          <t>Contractor Programme</t>
        </is>
      </c>
      <c r="B213" s="12" t="inlineStr">
        <is>
          <t>SCH-01-114</t>
        </is>
      </c>
      <c r="C213" s="12" t="inlineStr">
        <is>
          <t>River crossing: temporary traffic staging - release</t>
        </is>
      </c>
      <c r="D213" s="12" t="inlineStr">
        <is>
          <t>WBS Code = 1.1.2</t>
        </is>
      </c>
      <c r="E213" s="12" t="inlineStr">
        <is>
          <t>R114-v1</t>
        </is>
      </c>
      <c r="F213" s="12" t="inlineStr">
        <is>
          <t>1.1.2 Guideway and Civil - Utility &amp; Roadworks</t>
        </is>
      </c>
      <c r="G213" s="12" t="inlineStr">
        <is>
          <t>ONE_TO_ONE</t>
        </is>
      </c>
      <c r="H213" s="12" t="inlineStr">
        <is>
          <t>APPROVED</t>
        </is>
      </c>
      <c r="I213" s="12" t="inlineStr">
        <is>
          <t>New</t>
        </is>
      </c>
      <c r="J213" s="12" t="inlineStr">
        <is>
          <t>Source assignment -- not individually reviewed</t>
        </is>
      </c>
      <c r="K213" s="12" t="inlineStr"/>
      <c r="L213" s="12" t="inlineStr"/>
      <c r="M213" s="12" t="inlineStr"/>
      <c r="N213" s="17" t="inlineStr">
        <is>
          <t>10 EVIDENCE &amp; DECISIONS</t>
        </is>
      </c>
    </row>
    <row r="214" ht="34" customHeight="1">
      <c r="A214" s="12" t="inlineStr">
        <is>
          <t>Contractor Programme</t>
        </is>
      </c>
      <c r="B214" s="12" t="inlineStr">
        <is>
          <t>SCH-01-117</t>
        </is>
      </c>
      <c r="C214" s="12" t="inlineStr">
        <is>
          <t>Depot lead: drilled-shaft installation - inspection</t>
        </is>
      </c>
      <c r="D214" s="12" t="inlineStr">
        <is>
          <t>WBS Code = 1.1.2</t>
        </is>
      </c>
      <c r="E214" s="12" t="inlineStr">
        <is>
          <t>R117-v1</t>
        </is>
      </c>
      <c r="F214" s="12" t="inlineStr">
        <is>
          <t>1.1.2 Guideway and Civil - Utility &amp; Roadworks</t>
        </is>
      </c>
      <c r="G214" s="12" t="inlineStr">
        <is>
          <t>ONE_TO_ONE</t>
        </is>
      </c>
      <c r="H214" s="12" t="inlineStr">
        <is>
          <t>APPROVED</t>
        </is>
      </c>
      <c r="I214" s="12" t="inlineStr">
        <is>
          <t>New</t>
        </is>
      </c>
      <c r="J214" s="12" t="inlineStr">
        <is>
          <t>Source assignment -- not individually reviewed</t>
        </is>
      </c>
      <c r="K214" s="12" t="inlineStr"/>
      <c r="L214" s="12" t="inlineStr"/>
      <c r="M214" s="12" t="inlineStr"/>
      <c r="N214" s="17" t="inlineStr">
        <is>
          <t>10 EVIDENCE &amp; DECISIONS</t>
        </is>
      </c>
    </row>
    <row r="215" ht="34" customHeight="1">
      <c r="A215" s="12" t="inlineStr">
        <is>
          <t>Contractor Programme</t>
        </is>
      </c>
      <c r="B215" s="12" t="inlineStr">
        <is>
          <t>SCH-01-120</t>
        </is>
      </c>
      <c r="C215" s="12" t="inlineStr">
        <is>
          <t>Central guideway: utility relocation - field start</t>
        </is>
      </c>
      <c r="D215" s="12" t="inlineStr">
        <is>
          <t>WBS Code = 1.1.2</t>
        </is>
      </c>
      <c r="E215" s="12" t="inlineStr">
        <is>
          <t>R120-v1</t>
        </is>
      </c>
      <c r="F215" s="12" t="inlineStr">
        <is>
          <t>1.1.2 Guideway and Civil - Utility &amp; Roadworks</t>
        </is>
      </c>
      <c r="G215" s="12" t="inlineStr">
        <is>
          <t>ONE_TO_ONE</t>
        </is>
      </c>
      <c r="H215" s="12" t="inlineStr">
        <is>
          <t>APPROVED</t>
        </is>
      </c>
      <c r="I215" s="12" t="inlineStr">
        <is>
          <t>New</t>
        </is>
      </c>
      <c r="J215" s="12" t="inlineStr">
        <is>
          <t>Source assignment -- not individually reviewed</t>
        </is>
      </c>
      <c r="K215" s="12" t="inlineStr"/>
      <c r="L215" s="12" t="inlineStr"/>
      <c r="M215" s="12" t="inlineStr"/>
      <c r="N215" s="17" t="inlineStr">
        <is>
          <t>10 EVIDENCE &amp; DECISIONS</t>
        </is>
      </c>
    </row>
    <row r="216" ht="34" customHeight="1">
      <c r="A216" s="12" t="inlineStr">
        <is>
          <t>Contractor Programme</t>
        </is>
      </c>
      <c r="B216" s="12" t="inlineStr">
        <is>
          <t>SCH-01-123</t>
        </is>
      </c>
      <c r="C216" s="12" t="inlineStr">
        <is>
          <t>East portal: guideway pier reinforcement - turnover</t>
        </is>
      </c>
      <c r="D216" s="12" t="inlineStr">
        <is>
          <t>WBS Code = 1.1.2</t>
        </is>
      </c>
      <c r="E216" s="12" t="inlineStr">
        <is>
          <t>R123-v1</t>
        </is>
      </c>
      <c r="F216" s="12" t="inlineStr">
        <is>
          <t>1.1.2 Guideway and Civil - Utility &amp; Roadworks</t>
        </is>
      </c>
      <c r="G216" s="12" t="inlineStr">
        <is>
          <t>ONE_TO_ONE</t>
        </is>
      </c>
      <c r="H216" s="12" t="inlineStr">
        <is>
          <t>APPROVED</t>
        </is>
      </c>
      <c r="I216" s="12" t="inlineStr">
        <is>
          <t>New</t>
        </is>
      </c>
      <c r="J216" s="12" t="inlineStr">
        <is>
          <t>Source assignment -- not individually reviewed</t>
        </is>
      </c>
      <c r="K216" s="12" t="inlineStr"/>
      <c r="L216" s="12" t="inlineStr"/>
      <c r="M216" s="12" t="inlineStr"/>
      <c r="N216" s="17" t="inlineStr">
        <is>
          <t>10 EVIDENCE &amp; DECISIONS</t>
        </is>
      </c>
    </row>
    <row r="217" ht="34" customHeight="1">
      <c r="A217" s="12" t="inlineStr">
        <is>
          <t>Contractor Programme</t>
        </is>
      </c>
      <c r="B217" s="12" t="inlineStr">
        <is>
          <t>SCH-01-126</t>
        </is>
      </c>
      <c r="C217" s="12" t="inlineStr">
        <is>
          <t>West approach: retaining-wall excavation - installation</t>
        </is>
      </c>
      <c r="D217" s="12" t="inlineStr">
        <is>
          <t>WBS Code = 1.1.2</t>
        </is>
      </c>
      <c r="E217" s="12" t="inlineStr">
        <is>
          <t>R126-v1</t>
        </is>
      </c>
      <c r="F217" s="12" t="inlineStr">
        <is>
          <t>1.1.2 Guideway and Civil - Utility &amp; Roadworks</t>
        </is>
      </c>
      <c r="G217" s="12" t="inlineStr">
        <is>
          <t>ONE_TO_ONE</t>
        </is>
      </c>
      <c r="H217" s="12" t="inlineStr">
        <is>
          <t>APPROVED</t>
        </is>
      </c>
      <c r="I217" s="12" t="inlineStr">
        <is>
          <t>New</t>
        </is>
      </c>
      <c r="J217" s="12" t="inlineStr">
        <is>
          <t>Source assignment -- not individually reviewed</t>
        </is>
      </c>
      <c r="K217" s="12" t="inlineStr"/>
      <c r="L217" s="12" t="inlineStr"/>
      <c r="M217" s="12" t="inlineStr"/>
      <c r="N217" s="17" t="inlineStr">
        <is>
          <t>10 EVIDENCE &amp; DECISIONS</t>
        </is>
      </c>
    </row>
    <row r="218" ht="34" customHeight="1">
      <c r="A218" s="12" t="inlineStr">
        <is>
          <t>Contractor Programme</t>
        </is>
      </c>
      <c r="B218" s="12" t="inlineStr">
        <is>
          <t>SCH-01-129</t>
        </is>
      </c>
      <c r="C218" s="12" t="inlineStr">
        <is>
          <t>River crossing: track-slab survey - release</t>
        </is>
      </c>
      <c r="D218" s="12" t="inlineStr">
        <is>
          <t>WBS Code = 1.1.2</t>
        </is>
      </c>
      <c r="E218" s="12" t="inlineStr">
        <is>
          <t>R129-v1</t>
        </is>
      </c>
      <c r="F218" s="12" t="inlineStr">
        <is>
          <t>1.1.2 Guideway and Civil - Utility &amp; Roadworks</t>
        </is>
      </c>
      <c r="G218" s="12" t="inlineStr">
        <is>
          <t>ONE_TO_ONE</t>
        </is>
      </c>
      <c r="H218" s="12" t="inlineStr">
        <is>
          <t>APPROVED</t>
        </is>
      </c>
      <c r="I218" s="12" t="inlineStr">
        <is>
          <t>New</t>
        </is>
      </c>
      <c r="J218" s="12" t="inlineStr">
        <is>
          <t>Source assignment -- not individually reviewed</t>
        </is>
      </c>
      <c r="K218" s="12" t="inlineStr"/>
      <c r="L218" s="12" t="inlineStr"/>
      <c r="M218" s="12" t="inlineStr"/>
      <c r="N218" s="17" t="inlineStr">
        <is>
          <t>10 EVIDENCE &amp; DECISIONS</t>
        </is>
      </c>
    </row>
    <row r="219" ht="34" customHeight="1">
      <c r="A219" s="12" t="inlineStr">
        <is>
          <t>Contractor Programme</t>
        </is>
      </c>
      <c r="B219" s="12" t="inlineStr">
        <is>
          <t>SCH-01-132</t>
        </is>
      </c>
      <c r="C219" s="12" t="inlineStr">
        <is>
          <t>Depot lead: road restoration - inspection</t>
        </is>
      </c>
      <c r="D219" s="12" t="inlineStr">
        <is>
          <t>WBS Code = 1.1.2</t>
        </is>
      </c>
      <c r="E219" s="12" t="inlineStr">
        <is>
          <t>R132-v1</t>
        </is>
      </c>
      <c r="F219" s="12" t="inlineStr">
        <is>
          <t>1.1.2 Guideway and Civil - Utility &amp; Roadworks</t>
        </is>
      </c>
      <c r="G219" s="12" t="inlineStr">
        <is>
          <t>ONE_TO_ONE</t>
        </is>
      </c>
      <c r="H219" s="12" t="inlineStr">
        <is>
          <t>APPROVED</t>
        </is>
      </c>
      <c r="I219" s="12" t="inlineStr">
        <is>
          <t>New</t>
        </is>
      </c>
      <c r="J219" s="12" t="inlineStr">
        <is>
          <t>Source assignment -- not individually reviewed</t>
        </is>
      </c>
      <c r="K219" s="12" t="inlineStr"/>
      <c r="L219" s="12" t="inlineStr"/>
      <c r="M219" s="12" t="inlineStr"/>
      <c r="N219" s="17" t="inlineStr">
        <is>
          <t>10 EVIDENCE &amp; DECISIONS</t>
        </is>
      </c>
    </row>
    <row r="220" ht="34" customHeight="1">
      <c r="A220" s="12" t="inlineStr">
        <is>
          <t>Contractor Programme</t>
        </is>
      </c>
      <c r="B220" s="12" t="inlineStr">
        <is>
          <t>SCH-01-135</t>
        </is>
      </c>
      <c r="C220" s="12" t="inlineStr">
        <is>
          <t>Central guideway: drainage tie-in - field start</t>
        </is>
      </c>
      <c r="D220" s="12" t="inlineStr">
        <is>
          <t>WBS Code = 1.1.2</t>
        </is>
      </c>
      <c r="E220" s="12" t="inlineStr">
        <is>
          <t>R135-v1</t>
        </is>
      </c>
      <c r="F220" s="12" t="inlineStr">
        <is>
          <t>1.1.2 Guideway and Civil - Utility &amp; Roadworks</t>
        </is>
      </c>
      <c r="G220" s="12" t="inlineStr">
        <is>
          <t>ONE_TO_ONE</t>
        </is>
      </c>
      <c r="H220" s="12" t="inlineStr">
        <is>
          <t>APPROVED</t>
        </is>
      </c>
      <c r="I220" s="12" t="inlineStr">
        <is>
          <t>New</t>
        </is>
      </c>
      <c r="J220" s="12" t="inlineStr">
        <is>
          <t>Source assignment -- not individually reviewed</t>
        </is>
      </c>
      <c r="K220" s="12" t="inlineStr"/>
      <c r="L220" s="12" t="inlineStr"/>
      <c r="M220" s="12" t="inlineStr"/>
      <c r="N220" s="17" t="inlineStr">
        <is>
          <t>10 EVIDENCE &amp; DECISIONS</t>
        </is>
      </c>
    </row>
    <row r="221" ht="34" customHeight="1">
      <c r="A221" s="12" t="inlineStr">
        <is>
          <t>Contractor Programme</t>
        </is>
      </c>
      <c r="B221" s="12" t="inlineStr">
        <is>
          <t>SCH-01-138</t>
        </is>
      </c>
      <c r="C221" s="12" t="inlineStr">
        <is>
          <t>East portal: temporary traffic staging - turnover</t>
        </is>
      </c>
      <c r="D221" s="12" t="inlineStr">
        <is>
          <t>WBS Code = 1.1.2</t>
        </is>
      </c>
      <c r="E221" s="12" t="inlineStr">
        <is>
          <t>R138-v1</t>
        </is>
      </c>
      <c r="F221" s="12" t="inlineStr">
        <is>
          <t>1.1.2 Guideway and Civil - Utility &amp; Roadworks</t>
        </is>
      </c>
      <c r="G221" s="12" t="inlineStr">
        <is>
          <t>ONE_TO_ONE</t>
        </is>
      </c>
      <c r="H221" s="12" t="inlineStr">
        <is>
          <t>APPROVED</t>
        </is>
      </c>
      <c r="I221" s="12" t="inlineStr">
        <is>
          <t>New</t>
        </is>
      </c>
      <c r="J221" s="12" t="inlineStr">
        <is>
          <t>Source assignment -- not individually reviewed</t>
        </is>
      </c>
      <c r="K221" s="12" t="inlineStr"/>
      <c r="L221" s="12" t="inlineStr"/>
      <c r="M221" s="12" t="inlineStr"/>
      <c r="N221" s="17" t="inlineStr">
        <is>
          <t>10 EVIDENCE &amp; DECISIONS</t>
        </is>
      </c>
    </row>
    <row r="222" ht="34" customHeight="1">
      <c r="A222" s="12" t="inlineStr">
        <is>
          <t>Contractor Programme</t>
        </is>
      </c>
      <c r="B222" s="12" t="inlineStr">
        <is>
          <t>SCH-01-141</t>
        </is>
      </c>
      <c r="C222" s="12" t="inlineStr">
        <is>
          <t>West approach: drilled-shaft installation - installation</t>
        </is>
      </c>
      <c r="D222" s="12" t="inlineStr">
        <is>
          <t>WBS Code = 1.1.2</t>
        </is>
      </c>
      <c r="E222" s="12" t="inlineStr">
        <is>
          <t>R141-v1</t>
        </is>
      </c>
      <c r="F222" s="12" t="inlineStr">
        <is>
          <t>1.1.2 Guideway and Civil - Utility &amp; Roadworks</t>
        </is>
      </c>
      <c r="G222" s="12" t="inlineStr">
        <is>
          <t>ONE_TO_ONE</t>
        </is>
      </c>
      <c r="H222" s="12" t="inlineStr">
        <is>
          <t>APPROVED</t>
        </is>
      </c>
      <c r="I222" s="12" t="inlineStr">
        <is>
          <t>New</t>
        </is>
      </c>
      <c r="J222" s="12" t="inlineStr">
        <is>
          <t>Source assignment -- not individually reviewed</t>
        </is>
      </c>
      <c r="K222" s="12" t="inlineStr"/>
      <c r="L222" s="12" t="inlineStr"/>
      <c r="M222" s="12" t="inlineStr"/>
      <c r="N222" s="17" t="inlineStr">
        <is>
          <t>10 EVIDENCE &amp; DECISIONS</t>
        </is>
      </c>
    </row>
    <row r="223" ht="34" customHeight="1">
      <c r="A223" s="12" t="inlineStr">
        <is>
          <t>Contractor Programme</t>
        </is>
      </c>
      <c r="B223" s="12" t="inlineStr">
        <is>
          <t>SCH-01-144</t>
        </is>
      </c>
      <c r="C223" s="12" t="inlineStr">
        <is>
          <t>River crossing: utility relocation - release</t>
        </is>
      </c>
      <c r="D223" s="12" t="inlineStr">
        <is>
          <t>WBS Code = 1.1.2</t>
        </is>
      </c>
      <c r="E223" s="12" t="inlineStr">
        <is>
          <t>R144-v1</t>
        </is>
      </c>
      <c r="F223" s="12" t="inlineStr">
        <is>
          <t>1.1.2 Guideway and Civil - Utility &amp; Roadworks</t>
        </is>
      </c>
      <c r="G223" s="12" t="inlineStr">
        <is>
          <t>ONE_TO_ONE</t>
        </is>
      </c>
      <c r="H223" s="12" t="inlineStr">
        <is>
          <t>APPROVED</t>
        </is>
      </c>
      <c r="I223" s="12" t="inlineStr">
        <is>
          <t>New</t>
        </is>
      </c>
      <c r="J223" s="12" t="inlineStr">
        <is>
          <t>Source assignment -- not individually reviewed</t>
        </is>
      </c>
      <c r="K223" s="12" t="inlineStr"/>
      <c r="L223" s="12" t="inlineStr"/>
      <c r="M223" s="12" t="inlineStr"/>
      <c r="N223" s="17" t="inlineStr">
        <is>
          <t>10 EVIDENCE &amp; DECISIONS</t>
        </is>
      </c>
    </row>
    <row r="224" ht="34" customHeight="1">
      <c r="A224" s="12" t="inlineStr">
        <is>
          <t>Contractor Programme</t>
        </is>
      </c>
      <c r="B224" s="12" t="inlineStr">
        <is>
          <t>SCH-01-147</t>
        </is>
      </c>
      <c r="C224" s="12" t="inlineStr">
        <is>
          <t>Depot lead: guideway pier reinforcement - inspection</t>
        </is>
      </c>
      <c r="D224" s="12" t="inlineStr">
        <is>
          <t>WBS Code = 1.1.2</t>
        </is>
      </c>
      <c r="E224" s="12" t="inlineStr">
        <is>
          <t>R147-v1</t>
        </is>
      </c>
      <c r="F224" s="12" t="inlineStr">
        <is>
          <t>1.1.2 Guideway and Civil - Utility &amp; Roadworks</t>
        </is>
      </c>
      <c r="G224" s="12" t="inlineStr">
        <is>
          <t>ONE_TO_ONE</t>
        </is>
      </c>
      <c r="H224" s="12" t="inlineStr">
        <is>
          <t>APPROVED</t>
        </is>
      </c>
      <c r="I224" s="12" t="inlineStr">
        <is>
          <t>New</t>
        </is>
      </c>
      <c r="J224" s="12" t="inlineStr">
        <is>
          <t>Source assignment -- not individually reviewed</t>
        </is>
      </c>
      <c r="K224" s="12" t="inlineStr"/>
      <c r="L224" s="12" t="inlineStr"/>
      <c r="M224" s="12" t="inlineStr"/>
      <c r="N224" s="17" t="inlineStr">
        <is>
          <t>10 EVIDENCE &amp; DECISIONS</t>
        </is>
      </c>
    </row>
    <row r="225" ht="34" customHeight="1">
      <c r="A225" s="12" t="inlineStr">
        <is>
          <t>Contractor Programme</t>
        </is>
      </c>
      <c r="B225" s="12" t="inlineStr">
        <is>
          <t>SCH-01-150</t>
        </is>
      </c>
      <c r="C225" s="12" t="inlineStr">
        <is>
          <t>Central guideway: retaining-wall excavation - field start</t>
        </is>
      </c>
      <c r="D225" s="12" t="inlineStr">
        <is>
          <t>WBS Code = 1.1.2</t>
        </is>
      </c>
      <c r="E225" s="12" t="inlineStr">
        <is>
          <t>R150-v1</t>
        </is>
      </c>
      <c r="F225" s="12" t="inlineStr">
        <is>
          <t>1.1.2 Guideway and Civil - Utility &amp; Roadworks</t>
        </is>
      </c>
      <c r="G225" s="12" t="inlineStr">
        <is>
          <t>ONE_TO_ONE</t>
        </is>
      </c>
      <c r="H225" s="12" t="inlineStr">
        <is>
          <t>APPROVED</t>
        </is>
      </c>
      <c r="I225" s="12" t="inlineStr">
        <is>
          <t>New</t>
        </is>
      </c>
      <c r="J225" s="12" t="inlineStr">
        <is>
          <t>Source assignment -- not individually reviewed</t>
        </is>
      </c>
      <c r="K225" s="12" t="inlineStr"/>
      <c r="L225" s="12" t="inlineStr"/>
      <c r="M225" s="12" t="inlineStr"/>
      <c r="N225" s="17" t="inlineStr">
        <is>
          <t>10 EVIDENCE &amp; DECISIONS</t>
        </is>
      </c>
    </row>
    <row r="226" ht="34" customHeight="1">
      <c r="A226" s="12" t="inlineStr">
        <is>
          <t>Contractor Programme</t>
        </is>
      </c>
      <c r="B226" s="12" t="inlineStr">
        <is>
          <t>SCH-01-153</t>
        </is>
      </c>
      <c r="C226" s="12" t="inlineStr">
        <is>
          <t>East portal: track-slab survey - turnover</t>
        </is>
      </c>
      <c r="D226" s="12" t="inlineStr">
        <is>
          <t>WBS Code = 1.1.2</t>
        </is>
      </c>
      <c r="E226" s="12" t="inlineStr">
        <is>
          <t>R153-v1</t>
        </is>
      </c>
      <c r="F226" s="12" t="inlineStr">
        <is>
          <t>1.1.2 Guideway and Civil - Utility &amp; Roadworks</t>
        </is>
      </c>
      <c r="G226" s="12" t="inlineStr">
        <is>
          <t>ONE_TO_ONE</t>
        </is>
      </c>
      <c r="H226" s="12" t="inlineStr">
        <is>
          <t>APPROVED</t>
        </is>
      </c>
      <c r="I226" s="12" t="inlineStr">
        <is>
          <t>New</t>
        </is>
      </c>
      <c r="J226" s="12" t="inlineStr">
        <is>
          <t>Source assignment -- not individually reviewed</t>
        </is>
      </c>
      <c r="K226" s="12" t="inlineStr"/>
      <c r="L226" s="12" t="inlineStr"/>
      <c r="M226" s="12" t="inlineStr"/>
      <c r="N226" s="17" t="inlineStr">
        <is>
          <t>10 EVIDENCE &amp; DECISIONS</t>
        </is>
      </c>
    </row>
    <row r="227" ht="34" customHeight="1">
      <c r="A227" s="12" t="inlineStr">
        <is>
          <t>Contractor Programme</t>
        </is>
      </c>
      <c r="B227" s="12" t="inlineStr">
        <is>
          <t>SCH-01-156</t>
        </is>
      </c>
      <c r="C227" s="12" t="inlineStr">
        <is>
          <t>West approach: road restoration - installation</t>
        </is>
      </c>
      <c r="D227" s="12" t="inlineStr">
        <is>
          <t>WBS Code = 1.1.2</t>
        </is>
      </c>
      <c r="E227" s="12" t="inlineStr">
        <is>
          <t>R156-v1</t>
        </is>
      </c>
      <c r="F227" s="12" t="inlineStr">
        <is>
          <t>1.1.2 Guideway and Civil - Utility &amp; Roadworks</t>
        </is>
      </c>
      <c r="G227" s="12" t="inlineStr">
        <is>
          <t>ONE_TO_ONE</t>
        </is>
      </c>
      <c r="H227" s="12" t="inlineStr">
        <is>
          <t>APPROVED</t>
        </is>
      </c>
      <c r="I227" s="12" t="inlineStr">
        <is>
          <t>New</t>
        </is>
      </c>
      <c r="J227" s="12" t="inlineStr">
        <is>
          <t>Source assignment -- not individually reviewed</t>
        </is>
      </c>
      <c r="K227" s="12" t="inlineStr"/>
      <c r="L227" s="12" t="inlineStr"/>
      <c r="M227" s="12" t="inlineStr"/>
      <c r="N227" s="17" t="inlineStr">
        <is>
          <t>10 EVIDENCE &amp; DECISIONS</t>
        </is>
      </c>
    </row>
    <row r="228" ht="34" customHeight="1">
      <c r="A228" s="12" t="inlineStr">
        <is>
          <t>Contractor Programme</t>
        </is>
      </c>
      <c r="B228" s="12" t="inlineStr">
        <is>
          <t>SCH-01-159</t>
        </is>
      </c>
      <c r="C228" s="12" t="inlineStr">
        <is>
          <t>River crossing: drainage tie-in - release</t>
        </is>
      </c>
      <c r="D228" s="12" t="inlineStr">
        <is>
          <t>WBS Code = 1.1.2</t>
        </is>
      </c>
      <c r="E228" s="12" t="inlineStr">
        <is>
          <t>R159-v1</t>
        </is>
      </c>
      <c r="F228" s="12" t="inlineStr">
        <is>
          <t>1.1.2 Guideway and Civil - Utility &amp; Roadworks</t>
        </is>
      </c>
      <c r="G228" s="12" t="inlineStr">
        <is>
          <t>ONE_TO_ONE</t>
        </is>
      </c>
      <c r="H228" s="12" t="inlineStr">
        <is>
          <t>APPROVED</t>
        </is>
      </c>
      <c r="I228" s="12" t="inlineStr">
        <is>
          <t>New</t>
        </is>
      </c>
      <c r="J228" s="12" t="inlineStr">
        <is>
          <t>Source assignment -- not individually reviewed</t>
        </is>
      </c>
      <c r="K228" s="12" t="inlineStr"/>
      <c r="L228" s="12" t="inlineStr"/>
      <c r="M228" s="12" t="inlineStr"/>
      <c r="N228" s="17" t="inlineStr">
        <is>
          <t>10 EVIDENCE &amp; DECISIONS</t>
        </is>
      </c>
    </row>
    <row r="229" ht="34" customHeight="1">
      <c r="A229" s="12" t="inlineStr">
        <is>
          <t>Contractor Programme</t>
        </is>
      </c>
      <c r="B229" s="12" t="inlineStr">
        <is>
          <t>SCH-01-162</t>
        </is>
      </c>
      <c r="C229" s="12" t="inlineStr">
        <is>
          <t>Depot lead: temporary traffic staging - inspection</t>
        </is>
      </c>
      <c r="D229" s="12" t="inlineStr">
        <is>
          <t>WBS Code = 1.1.2</t>
        </is>
      </c>
      <c r="E229" s="12" t="inlineStr">
        <is>
          <t>R162-v1</t>
        </is>
      </c>
      <c r="F229" s="12" t="inlineStr">
        <is>
          <t>1.1.2 Guideway and Civil - Utility &amp; Roadworks</t>
        </is>
      </c>
      <c r="G229" s="12" t="inlineStr">
        <is>
          <t>ONE_TO_ONE</t>
        </is>
      </c>
      <c r="H229" s="12" t="inlineStr">
        <is>
          <t>APPROVED</t>
        </is>
      </c>
      <c r="I229" s="12" t="inlineStr">
        <is>
          <t>New</t>
        </is>
      </c>
      <c r="J229" s="12" t="inlineStr">
        <is>
          <t>Source assignment -- not individually reviewed</t>
        </is>
      </c>
      <c r="K229" s="12" t="inlineStr"/>
      <c r="L229" s="12" t="inlineStr"/>
      <c r="M229" s="12" t="inlineStr"/>
      <c r="N229" s="17" t="inlineStr">
        <is>
          <t>10 EVIDENCE &amp; DECISIONS</t>
        </is>
      </c>
    </row>
    <row r="230" ht="34" customHeight="1">
      <c r="A230" s="12" t="inlineStr">
        <is>
          <t>Contractor Programme</t>
        </is>
      </c>
      <c r="B230" s="12" t="inlineStr">
        <is>
          <t>SCH-01-165</t>
        </is>
      </c>
      <c r="C230" s="12" t="inlineStr">
        <is>
          <t>Central guideway: drilled-shaft installation - field start</t>
        </is>
      </c>
      <c r="D230" s="12" t="inlineStr">
        <is>
          <t>WBS Code = 1.1.2</t>
        </is>
      </c>
      <c r="E230" s="12" t="inlineStr">
        <is>
          <t>R165-v1</t>
        </is>
      </c>
      <c r="F230" s="12" t="inlineStr">
        <is>
          <t>1.1.2 Guideway and Civil - Utility &amp; Roadworks</t>
        </is>
      </c>
      <c r="G230" s="12" t="inlineStr">
        <is>
          <t>ONE_TO_ONE</t>
        </is>
      </c>
      <c r="H230" s="12" t="inlineStr">
        <is>
          <t>APPROVED</t>
        </is>
      </c>
      <c r="I230" s="12" t="inlineStr">
        <is>
          <t>New</t>
        </is>
      </c>
      <c r="J230" s="12" t="inlineStr">
        <is>
          <t>Source assignment -- not individually reviewed</t>
        </is>
      </c>
      <c r="K230" s="12" t="inlineStr"/>
      <c r="L230" s="12" t="inlineStr"/>
      <c r="M230" s="12" t="inlineStr"/>
      <c r="N230" s="17" t="inlineStr">
        <is>
          <t>10 EVIDENCE &amp; DECISIONS</t>
        </is>
      </c>
    </row>
    <row r="231" ht="34" customHeight="1">
      <c r="A231" s="12" t="inlineStr">
        <is>
          <t>Contractor Programme</t>
        </is>
      </c>
      <c r="B231" s="12" t="inlineStr">
        <is>
          <t>SCH-01-168</t>
        </is>
      </c>
      <c r="C231" s="12" t="inlineStr">
        <is>
          <t>East portal: utility relocation - turnover</t>
        </is>
      </c>
      <c r="D231" s="12" t="inlineStr">
        <is>
          <t>WBS Code = 1.1.2</t>
        </is>
      </c>
      <c r="E231" s="12" t="inlineStr">
        <is>
          <t>R168-v1</t>
        </is>
      </c>
      <c r="F231" s="12" t="inlineStr">
        <is>
          <t>1.1.2 Guideway and Civil - Utility &amp; Roadworks</t>
        </is>
      </c>
      <c r="G231" s="12" t="inlineStr">
        <is>
          <t>ONE_TO_ONE</t>
        </is>
      </c>
      <c r="H231" s="12" t="inlineStr">
        <is>
          <t>APPROVED</t>
        </is>
      </c>
      <c r="I231" s="12" t="inlineStr">
        <is>
          <t>New</t>
        </is>
      </c>
      <c r="J231" s="12" t="inlineStr">
        <is>
          <t>Source assignment -- not individually reviewed</t>
        </is>
      </c>
      <c r="K231" s="12" t="inlineStr"/>
      <c r="L231" s="12" t="inlineStr"/>
      <c r="M231" s="12" t="inlineStr"/>
      <c r="N231" s="17" t="inlineStr">
        <is>
          <t>10 EVIDENCE &amp; DECISIONS</t>
        </is>
      </c>
    </row>
    <row r="232" ht="34" customHeight="1">
      <c r="A232" s="12" t="inlineStr">
        <is>
          <t>Contractor Programme</t>
        </is>
      </c>
      <c r="B232" s="12" t="inlineStr">
        <is>
          <t>SCH-01-171</t>
        </is>
      </c>
      <c r="C232" s="12" t="inlineStr">
        <is>
          <t>West approach: guideway pier reinforcement - installation</t>
        </is>
      </c>
      <c r="D232" s="12" t="inlineStr">
        <is>
          <t>WBS Code = 1.1.2</t>
        </is>
      </c>
      <c r="E232" s="12" t="inlineStr">
        <is>
          <t>R171-v1</t>
        </is>
      </c>
      <c r="F232" s="12" t="inlineStr">
        <is>
          <t>1.1.2 Guideway and Civil - Utility &amp; Roadworks</t>
        </is>
      </c>
      <c r="G232" s="12" t="inlineStr">
        <is>
          <t>ONE_TO_ONE</t>
        </is>
      </c>
      <c r="H232" s="12" t="inlineStr">
        <is>
          <t>APPROVED</t>
        </is>
      </c>
      <c r="I232" s="12" t="inlineStr">
        <is>
          <t>New</t>
        </is>
      </c>
      <c r="J232" s="12" t="inlineStr">
        <is>
          <t>Source assignment -- not individually reviewed</t>
        </is>
      </c>
      <c r="K232" s="12" t="inlineStr"/>
      <c r="L232" s="12" t="inlineStr"/>
      <c r="M232" s="12" t="inlineStr"/>
      <c r="N232" s="17" t="inlineStr">
        <is>
          <t>10 EVIDENCE &amp; DECISIONS</t>
        </is>
      </c>
    </row>
    <row r="233" ht="34" customHeight="1">
      <c r="A233" s="12" t="inlineStr">
        <is>
          <t>Contractor Programme</t>
        </is>
      </c>
      <c r="B233" s="12" t="inlineStr">
        <is>
          <t>SCH-01-174</t>
        </is>
      </c>
      <c r="C233" s="12" t="inlineStr">
        <is>
          <t>River crossing: retaining-wall excavation - release</t>
        </is>
      </c>
      <c r="D233" s="12" t="inlineStr">
        <is>
          <t>WBS Code = 1.1.2</t>
        </is>
      </c>
      <c r="E233" s="12" t="inlineStr">
        <is>
          <t>R174-v1</t>
        </is>
      </c>
      <c r="F233" s="12" t="inlineStr">
        <is>
          <t>1.1.2 Guideway and Civil - Utility &amp; Roadworks</t>
        </is>
      </c>
      <c r="G233" s="12" t="inlineStr">
        <is>
          <t>ONE_TO_ONE</t>
        </is>
      </c>
      <c r="H233" s="12" t="inlineStr">
        <is>
          <t>APPROVED</t>
        </is>
      </c>
      <c r="I233" s="12" t="inlineStr">
        <is>
          <t>New</t>
        </is>
      </c>
      <c r="J233" s="12" t="inlineStr">
        <is>
          <t>Source assignment -- not individually reviewed</t>
        </is>
      </c>
      <c r="K233" s="12" t="inlineStr"/>
      <c r="L233" s="12" t="inlineStr"/>
      <c r="M233" s="12" t="inlineStr"/>
      <c r="N233" s="17" t="inlineStr">
        <is>
          <t>10 EVIDENCE &amp; DECISIONS</t>
        </is>
      </c>
    </row>
    <row r="234" ht="34" customHeight="1">
      <c r="A234" s="12" t="inlineStr">
        <is>
          <t>Contractor Programme</t>
        </is>
      </c>
      <c r="B234" s="12" t="inlineStr">
        <is>
          <t>SCH-01-177</t>
        </is>
      </c>
      <c r="C234" s="12" t="inlineStr">
        <is>
          <t>Depot lead: track-slab survey - inspection</t>
        </is>
      </c>
      <c r="D234" s="12" t="inlineStr">
        <is>
          <t>WBS Code = 1.1.2</t>
        </is>
      </c>
      <c r="E234" s="12" t="inlineStr">
        <is>
          <t>R177-v1</t>
        </is>
      </c>
      <c r="F234" s="12" t="inlineStr">
        <is>
          <t>1.1.2 Guideway and Civil - Utility &amp; Roadworks</t>
        </is>
      </c>
      <c r="G234" s="12" t="inlineStr">
        <is>
          <t>ONE_TO_ONE</t>
        </is>
      </c>
      <c r="H234" s="12" t="inlineStr">
        <is>
          <t>APPROVED</t>
        </is>
      </c>
      <c r="I234" s="12" t="inlineStr">
        <is>
          <t>New</t>
        </is>
      </c>
      <c r="J234" s="12" t="inlineStr">
        <is>
          <t>Source assignment -- not individually reviewed</t>
        </is>
      </c>
      <c r="K234" s="12" t="inlineStr"/>
      <c r="L234" s="12" t="inlineStr"/>
      <c r="M234" s="12" t="inlineStr"/>
      <c r="N234" s="17" t="inlineStr">
        <is>
          <t>10 EVIDENCE &amp; DECISIONS</t>
        </is>
      </c>
    </row>
    <row r="235" ht="34" customHeight="1">
      <c r="A235" s="12" t="inlineStr">
        <is>
          <t>Contractor Programme</t>
        </is>
      </c>
      <c r="B235" s="12" t="inlineStr">
        <is>
          <t>SCH-01-180</t>
        </is>
      </c>
      <c r="C235" s="12" t="inlineStr">
        <is>
          <t>Central guideway: road restoration - field start</t>
        </is>
      </c>
      <c r="D235" s="12" t="inlineStr">
        <is>
          <t>WBS Code = 1.1.2</t>
        </is>
      </c>
      <c r="E235" s="12" t="inlineStr">
        <is>
          <t>R180-v1</t>
        </is>
      </c>
      <c r="F235" s="12" t="inlineStr">
        <is>
          <t>1.1.2 Guideway and Civil - Utility &amp; Roadworks</t>
        </is>
      </c>
      <c r="G235" s="12" t="inlineStr">
        <is>
          <t>ONE_TO_ONE</t>
        </is>
      </c>
      <c r="H235" s="12" t="inlineStr">
        <is>
          <t>APPROVED</t>
        </is>
      </c>
      <c r="I235" s="12" t="inlineStr">
        <is>
          <t>New</t>
        </is>
      </c>
      <c r="J235" s="12" t="inlineStr">
        <is>
          <t>Source assignment -- not individually reviewed</t>
        </is>
      </c>
      <c r="K235" s="12" t="inlineStr"/>
      <c r="L235" s="12" t="inlineStr"/>
      <c r="M235" s="12" t="inlineStr"/>
      <c r="N235" s="17" t="inlineStr">
        <is>
          <t>10 EVIDENCE &amp; DECISIONS</t>
        </is>
      </c>
    </row>
    <row r="236" ht="34" customHeight="1">
      <c r="A236" s="12" t="inlineStr">
        <is>
          <t>Cost &amp; Forecast Control Accounts</t>
        </is>
      </c>
      <c r="B236" s="12" t="inlineStr">
        <is>
          <t>CST-01-002</t>
        </is>
      </c>
      <c r="C236" s="12" t="inlineStr">
        <is>
          <t>Guideway and Civil - temporary works - allowance</t>
        </is>
      </c>
      <c r="D236" s="12" t="inlineStr">
        <is>
          <t>Cost Account = CA-1002; WBS Code = 1.1.2</t>
        </is>
      </c>
      <c r="E236" s="12" t="inlineStr">
        <is>
          <t>R1084-v1</t>
        </is>
      </c>
      <c r="F236" s="12" t="inlineStr">
        <is>
          <t>1.1.2 Guideway and Civil - Utility &amp; Roadworks</t>
        </is>
      </c>
      <c r="G236" s="12" t="inlineStr">
        <is>
          <t>ONE_TO_ONE</t>
        </is>
      </c>
      <c r="H236" s="12" t="inlineStr">
        <is>
          <t>APPROVED</t>
        </is>
      </c>
      <c r="I236" s="12" t="inlineStr">
        <is>
          <t>New</t>
        </is>
      </c>
      <c r="J236" s="12" t="inlineStr">
        <is>
          <t>Source assignment -- not individually reviewed</t>
        </is>
      </c>
      <c r="K236" s="12" t="inlineStr"/>
      <c r="L236" s="12" t="inlineStr"/>
      <c r="M236" s="12" t="inlineStr"/>
      <c r="N236" s="17" t="inlineStr">
        <is>
          <t>10 EVIDENCE &amp; DECISIONS</t>
        </is>
      </c>
      <c r="O236" s="105" t="n">
        <v>365000</v>
      </c>
      <c r="P236" s="105" t="n">
        <v>377500</v>
      </c>
      <c r="Q236" s="105" t="inlineStr">
        <is>
          <t>CAD</t>
        </is>
      </c>
      <c r="R236" s="105" t="n"/>
      <c r="S236" s="105" t="inlineStr">
        <is>
          <t>2027-06-30</t>
        </is>
      </c>
      <c r="T236" s="105" t="inlineStr">
        <is>
          <t>C1-R0</t>
        </is>
      </c>
      <c r="U236" s="105" t="inlineStr">
        <is>
          <t>Supplied practice file monthly_cost_forecast.xlsx, row 3</t>
        </is>
      </c>
      <c r="V236" s="105" t="inlineStr">
        <is>
          <t>Whole source account, not a target allocation. Repeated target rows must not be summed. Aggregate cost / forecast remains withheld.</t>
        </is>
      </c>
    </row>
    <row r="237" ht="34" customHeight="1">
      <c r="A237" s="12" t="inlineStr">
        <is>
          <t>Cost &amp; Forecast Control Accounts</t>
        </is>
      </c>
      <c r="B237" s="12" t="inlineStr">
        <is>
          <t>CST-01-004</t>
        </is>
      </c>
      <c r="C237" s="12" t="inlineStr">
        <is>
          <t>Guideway and Civil - roadworks - field package</t>
        </is>
      </c>
      <c r="D237" s="12" t="inlineStr">
        <is>
          <t>Cost Account = CA-1004; WBS Code = 1.1.2</t>
        </is>
      </c>
      <c r="E237" s="12" t="inlineStr">
        <is>
          <t>R1086-v1</t>
        </is>
      </c>
      <c r="F237" s="12" t="inlineStr">
        <is>
          <t>1.1.2 Guideway and Civil - Utility &amp; Roadworks</t>
        </is>
      </c>
      <c r="G237" s="12" t="inlineStr">
        <is>
          <t>ONE_TO_ONE</t>
        </is>
      </c>
      <c r="H237" s="12" t="inlineStr">
        <is>
          <t>APPROVED</t>
        </is>
      </c>
      <c r="I237" s="12" t="inlineStr">
        <is>
          <t>New</t>
        </is>
      </c>
      <c r="J237" s="12" t="inlineStr">
        <is>
          <t>Source assignment -- not individually reviewed</t>
        </is>
      </c>
      <c r="K237" s="12" t="inlineStr"/>
      <c r="L237" s="12" t="inlineStr"/>
      <c r="M237" s="12" t="inlineStr"/>
      <c r="N237" s="17" t="inlineStr">
        <is>
          <t>10 EVIDENCE &amp; DECISIONS</t>
        </is>
      </c>
      <c r="O237" s="105" t="n">
        <v>400000</v>
      </c>
      <c r="P237" s="105" t="n">
        <v>387500</v>
      </c>
      <c r="Q237" s="105" t="inlineStr">
        <is>
          <t>CAD</t>
        </is>
      </c>
      <c r="R237" s="105" t="n"/>
      <c r="S237" s="105" t="inlineStr">
        <is>
          <t>2027-06-30</t>
        </is>
      </c>
      <c r="T237" s="105" t="inlineStr">
        <is>
          <t>C1-R0</t>
        </is>
      </c>
      <c r="U237" s="105" t="inlineStr">
        <is>
          <t>Supplied practice file monthly_cost_forecast.xlsx, row 5</t>
        </is>
      </c>
      <c r="V237" s="105" t="inlineStr">
        <is>
          <t>Whole source account, not a target allocation. Repeated target rows must not be summed. Aggregate cost / forecast remains withheld.</t>
        </is>
      </c>
    </row>
    <row r="238" ht="34" customHeight="1">
      <c r="A238" s="12" t="inlineStr">
        <is>
          <t>Cost &amp; Forecast Control Accounts</t>
        </is>
      </c>
      <c r="B238" s="12" t="inlineStr">
        <is>
          <t>CST-01-006</t>
        </is>
      </c>
      <c r="C238" s="12" t="inlineStr">
        <is>
          <t>Guideway and Civil - concrete structures - professional services</t>
        </is>
      </c>
      <c r="D238" s="12" t="inlineStr">
        <is>
          <t>Cost Account = CA-1006; WBS Code = 1.1.2</t>
        </is>
      </c>
      <c r="E238" s="12" t="inlineStr">
        <is>
          <t>R1088-v1</t>
        </is>
      </c>
      <c r="F238" s="12" t="inlineStr">
        <is>
          <t>1.1.2 Guideway and Civil - Utility &amp; Roadworks</t>
        </is>
      </c>
      <c r="G238" s="12" t="inlineStr">
        <is>
          <t>ONE_TO_ONE</t>
        </is>
      </c>
      <c r="H238" s="12" t="inlineStr">
        <is>
          <t>APPROVED</t>
        </is>
      </c>
      <c r="I238" s="12" t="inlineStr">
        <is>
          <t>New</t>
        </is>
      </c>
      <c r="J238" s="12" t="inlineStr">
        <is>
          <t>Source assignment -- not individually reviewed</t>
        </is>
      </c>
      <c r="K238" s="12" t="inlineStr"/>
      <c r="L238" s="12" t="inlineStr"/>
      <c r="M238" s="12" t="inlineStr"/>
      <c r="N238" s="17" t="inlineStr">
        <is>
          <t>10 EVIDENCE &amp; DECISIONS</t>
        </is>
      </c>
      <c r="O238" s="105" t="n">
        <v>435000</v>
      </c>
      <c r="P238" s="105" t="n">
        <v>447500</v>
      </c>
      <c r="Q238" s="105" t="inlineStr">
        <is>
          <t>CAD</t>
        </is>
      </c>
      <c r="R238" s="105" t="n"/>
      <c r="S238" s="105" t="inlineStr">
        <is>
          <t>2027-06-30</t>
        </is>
      </c>
      <c r="T238" s="105" t="inlineStr">
        <is>
          <t>C1-R0</t>
        </is>
      </c>
      <c r="U238" s="105" t="inlineStr">
        <is>
          <t>Supplied practice file monthly_cost_forecast.xlsx, row 7</t>
        </is>
      </c>
      <c r="V238" s="105" t="inlineStr">
        <is>
          <t>Whole source account, not a target allocation. Repeated target rows must not be summed. Aggregate cost / forecast remains withheld.</t>
        </is>
      </c>
    </row>
    <row r="239" ht="34" customHeight="1">
      <c r="A239" s="12" t="inlineStr">
        <is>
          <t>Cost &amp; Forecast Control Accounts</t>
        </is>
      </c>
      <c r="B239" s="12" t="inlineStr">
        <is>
          <t>CST-01-008</t>
        </is>
      </c>
      <c r="C239" s="12" t="inlineStr">
        <is>
          <t>Guideway and Civil - temporary works - closeout</t>
        </is>
      </c>
      <c r="D239" s="12" t="inlineStr">
        <is>
          <t>Cost Account = CA-1008; WBS Code = 1.1.2</t>
        </is>
      </c>
      <c r="E239" s="12" t="inlineStr">
        <is>
          <t>R1090-v1</t>
        </is>
      </c>
      <c r="F239" s="12" t="inlineStr">
        <is>
          <t>1.1.2 Guideway and Civil - Utility &amp; Roadworks</t>
        </is>
      </c>
      <c r="G239" s="12" t="inlineStr">
        <is>
          <t>ONE_TO_ONE</t>
        </is>
      </c>
      <c r="H239" s="12" t="inlineStr">
        <is>
          <t>APPROVED</t>
        </is>
      </c>
      <c r="I239" s="12" t="inlineStr">
        <is>
          <t>New</t>
        </is>
      </c>
      <c r="J239" s="12" t="inlineStr">
        <is>
          <t>Source assignment -- not individually reviewed</t>
        </is>
      </c>
      <c r="K239" s="12" t="inlineStr"/>
      <c r="L239" s="12" t="inlineStr"/>
      <c r="M239" s="12" t="inlineStr"/>
      <c r="N239" s="17" t="inlineStr">
        <is>
          <t>10 EVIDENCE &amp; DECISIONS</t>
        </is>
      </c>
      <c r="O239" s="105" t="n">
        <v>470000</v>
      </c>
      <c r="P239" s="105" t="n">
        <v>457500</v>
      </c>
      <c r="Q239" s="105" t="inlineStr">
        <is>
          <t>CAD</t>
        </is>
      </c>
      <c r="R239" s="105" t="n"/>
      <c r="S239" s="105" t="inlineStr">
        <is>
          <t>2027-06-30</t>
        </is>
      </c>
      <c r="T239" s="105" t="inlineStr">
        <is>
          <t>C1-R0</t>
        </is>
      </c>
      <c r="U239" s="105" t="inlineStr">
        <is>
          <t>Supplied practice file monthly_cost_forecast.xlsx, row 9</t>
        </is>
      </c>
      <c r="V239" s="105" t="inlineStr">
        <is>
          <t>Whole source account, not a target allocation. Repeated target rows must not be summed. Aggregate cost / forecast remains withheld.</t>
        </is>
      </c>
    </row>
    <row r="240" ht="34" customHeight="1">
      <c r="A240" s="12" t="inlineStr">
        <is>
          <t>Cost &amp; Forecast Control Accounts</t>
        </is>
      </c>
      <c r="B240" s="12" t="inlineStr">
        <is>
          <t>CST-01-010</t>
        </is>
      </c>
      <c r="C240" s="12" t="inlineStr">
        <is>
          <t>Guideway and Civil - roadworks - supply and install</t>
        </is>
      </c>
      <c r="D240" s="12" t="inlineStr">
        <is>
          <t>Cost Account = CA-1010; WBS Code = 1.1.2</t>
        </is>
      </c>
      <c r="E240" s="12" t="inlineStr">
        <is>
          <t>R1092-v1</t>
        </is>
      </c>
      <c r="F240" s="12" t="inlineStr">
        <is>
          <t>1.1.2 Guideway and Civil - Utility &amp; Roadworks</t>
        </is>
      </c>
      <c r="G240" s="12" t="inlineStr">
        <is>
          <t>ONE_TO_ONE</t>
        </is>
      </c>
      <c r="H240" s="12" t="inlineStr">
        <is>
          <t>APPROVED</t>
        </is>
      </c>
      <c r="I240" s="12" t="inlineStr">
        <is>
          <t>New</t>
        </is>
      </c>
      <c r="J240" s="12" t="inlineStr">
        <is>
          <t>Source assignment -- not individually reviewed</t>
        </is>
      </c>
      <c r="K240" s="12" t="inlineStr"/>
      <c r="L240" s="12" t="inlineStr"/>
      <c r="M240" s="12" t="inlineStr"/>
      <c r="N240" s="17" t="inlineStr">
        <is>
          <t>10 EVIDENCE &amp; DECISIONS</t>
        </is>
      </c>
      <c r="O240" s="105" t="n">
        <v>505000</v>
      </c>
      <c r="P240" s="105" t="n">
        <v>517500</v>
      </c>
      <c r="Q240" s="105" t="inlineStr">
        <is>
          <t>CAD</t>
        </is>
      </c>
      <c r="R240" s="105" t="n"/>
      <c r="S240" s="105" t="inlineStr">
        <is>
          <t>2027-06-30</t>
        </is>
      </c>
      <c r="T240" s="105" t="inlineStr">
        <is>
          <t>C1-R0</t>
        </is>
      </c>
      <c r="U240" s="105" t="inlineStr">
        <is>
          <t>Supplied practice file monthly_cost_forecast.xlsx, row 11</t>
        </is>
      </c>
      <c r="V240" s="105" t="inlineStr">
        <is>
          <t>Whole source account, not a target allocation. Repeated target rows must not be summed. Aggregate cost / forecast remains withheld.</t>
        </is>
      </c>
    </row>
    <row r="241" ht="34" customHeight="1">
      <c r="A241" s="12" t="inlineStr">
        <is>
          <t>Cost &amp; Forecast Control Accounts</t>
        </is>
      </c>
      <c r="B241" s="12" t="inlineStr">
        <is>
          <t>CST-01-012</t>
        </is>
      </c>
      <c r="C241" s="12" t="inlineStr">
        <is>
          <t>Guideway and Civil - concrete structures - allowance</t>
        </is>
      </c>
      <c r="D241" s="12" t="inlineStr">
        <is>
          <t>Cost Account = CA-1012; WBS Code = 1.1.2</t>
        </is>
      </c>
      <c r="E241" s="12" t="inlineStr">
        <is>
          <t>R1094-v1</t>
        </is>
      </c>
      <c r="F241" s="12" t="inlineStr">
        <is>
          <t>1.1.2 Guideway and Civil - Utility &amp; Roadworks</t>
        </is>
      </c>
      <c r="G241" s="12" t="inlineStr">
        <is>
          <t>ONE_TO_ONE</t>
        </is>
      </c>
      <c r="H241" s="12" t="inlineStr">
        <is>
          <t>APPROVED</t>
        </is>
      </c>
      <c r="I241" s="12" t="inlineStr">
        <is>
          <t>New</t>
        </is>
      </c>
      <c r="J241" s="12" t="inlineStr">
        <is>
          <t>Source assignment -- not individually reviewed</t>
        </is>
      </c>
      <c r="K241" s="12" t="inlineStr"/>
      <c r="L241" s="12" t="inlineStr"/>
      <c r="M241" s="12" t="inlineStr"/>
      <c r="N241" s="17" t="inlineStr">
        <is>
          <t>10 EVIDENCE &amp; DECISIONS</t>
        </is>
      </c>
      <c r="O241" s="105" t="n">
        <v>540000</v>
      </c>
      <c r="P241" s="105" t="n">
        <v>527500</v>
      </c>
      <c r="Q241" s="105" t="inlineStr">
        <is>
          <t>CAD</t>
        </is>
      </c>
      <c r="R241" s="105" t="n"/>
      <c r="S241" s="105" t="inlineStr">
        <is>
          <t>2027-06-30</t>
        </is>
      </c>
      <c r="T241" s="105" t="inlineStr">
        <is>
          <t>C1-R0</t>
        </is>
      </c>
      <c r="U241" s="105" t="inlineStr">
        <is>
          <t>Supplied practice file monthly_cost_forecast.xlsx, row 13</t>
        </is>
      </c>
      <c r="V241" s="105" t="inlineStr">
        <is>
          <t>Whole source account, not a target allocation. Repeated target rows must not be summed. Aggregate cost / forecast remains withheld.</t>
        </is>
      </c>
    </row>
    <row r="242" ht="34" customHeight="1">
      <c r="A242" s="12" t="inlineStr">
        <is>
          <t>Cost &amp; Forecast Control Accounts</t>
        </is>
      </c>
      <c r="B242" s="12" t="inlineStr">
        <is>
          <t>CST-01-014</t>
        </is>
      </c>
      <c r="C242" s="12" t="inlineStr">
        <is>
          <t>Guideway and Civil - temporary works - field package</t>
        </is>
      </c>
      <c r="D242" s="12" t="inlineStr">
        <is>
          <t>Cost Account = CA-1014; WBS Code = 1.1.2</t>
        </is>
      </c>
      <c r="E242" s="12" t="inlineStr">
        <is>
          <t>R1096-v1</t>
        </is>
      </c>
      <c r="F242" s="12" t="inlineStr">
        <is>
          <t>1.1.2 Guideway and Civil - Utility &amp; Roadworks</t>
        </is>
      </c>
      <c r="G242" s="12" t="inlineStr">
        <is>
          <t>ONE_TO_ONE</t>
        </is>
      </c>
      <c r="H242" s="12" t="inlineStr">
        <is>
          <t>APPROVED</t>
        </is>
      </c>
      <c r="I242" s="12" t="inlineStr">
        <is>
          <t>New</t>
        </is>
      </c>
      <c r="J242" s="12" t="inlineStr">
        <is>
          <t>Source assignment -- not individually reviewed</t>
        </is>
      </c>
      <c r="K242" s="12" t="inlineStr"/>
      <c r="L242" s="12" t="inlineStr"/>
      <c r="M242" s="12" t="inlineStr"/>
      <c r="N242" s="17" t="inlineStr">
        <is>
          <t>10 EVIDENCE &amp; DECISIONS</t>
        </is>
      </c>
      <c r="O242" s="105" t="n">
        <v>575000</v>
      </c>
      <c r="P242" s="105" t="n">
        <v>587500</v>
      </c>
      <c r="Q242" s="105" t="inlineStr">
        <is>
          <t>CAD</t>
        </is>
      </c>
      <c r="R242" s="105" t="n"/>
      <c r="S242" s="105" t="inlineStr">
        <is>
          <t>2027-06-30</t>
        </is>
      </c>
      <c r="T242" s="105" t="inlineStr">
        <is>
          <t>C1-R0</t>
        </is>
      </c>
      <c r="U242" s="105" t="inlineStr">
        <is>
          <t>Supplied practice file monthly_cost_forecast.xlsx, row 15</t>
        </is>
      </c>
      <c r="V242" s="105" t="inlineStr">
        <is>
          <t>Whole source account, not a target allocation. Repeated target rows must not be summed. Aggregate cost / forecast remains withheld.</t>
        </is>
      </c>
    </row>
    <row r="243" ht="34" customHeight="1">
      <c r="A243" s="12" t="inlineStr">
        <is>
          <t>Cost &amp; Forecast Control Accounts</t>
        </is>
      </c>
      <c r="B243" s="12" t="inlineStr">
        <is>
          <t>CST-01-016</t>
        </is>
      </c>
      <c r="C243" s="12" t="inlineStr">
        <is>
          <t>Guideway and Civil - roadworks - professional services</t>
        </is>
      </c>
      <c r="D243" s="12" t="inlineStr">
        <is>
          <t>Cost Account = CA-1016; WBS Code = 1.1.2</t>
        </is>
      </c>
      <c r="E243" s="12" t="inlineStr">
        <is>
          <t>R1098-v1</t>
        </is>
      </c>
      <c r="F243" s="12" t="inlineStr">
        <is>
          <t>1.1.2 Guideway and Civil - Utility &amp; Roadworks</t>
        </is>
      </c>
      <c r="G243" s="12" t="inlineStr">
        <is>
          <t>ONE_TO_ONE</t>
        </is>
      </c>
      <c r="H243" s="12" t="inlineStr">
        <is>
          <t>APPROVED</t>
        </is>
      </c>
      <c r="I243" s="12" t="inlineStr">
        <is>
          <t>New</t>
        </is>
      </c>
      <c r="J243" s="12" t="inlineStr">
        <is>
          <t>Source assignment -- not individually reviewed</t>
        </is>
      </c>
      <c r="K243" s="12" t="inlineStr"/>
      <c r="L243" s="12" t="inlineStr"/>
      <c r="M243" s="12" t="inlineStr"/>
      <c r="N243" s="17" t="inlineStr">
        <is>
          <t>10 EVIDENCE &amp; DECISIONS</t>
        </is>
      </c>
      <c r="O243" s="105" t="n">
        <v>610000</v>
      </c>
      <c r="P243" s="105" t="n">
        <v>597500</v>
      </c>
      <c r="Q243" s="105" t="inlineStr">
        <is>
          <t>CAD</t>
        </is>
      </c>
      <c r="R243" s="105" t="n"/>
      <c r="S243" s="105" t="inlineStr">
        <is>
          <t>2027-06-30</t>
        </is>
      </c>
      <c r="T243" s="105" t="inlineStr">
        <is>
          <t>C1-R0</t>
        </is>
      </c>
      <c r="U243" s="105" t="inlineStr">
        <is>
          <t>Supplied practice file monthly_cost_forecast.xlsx, row 17</t>
        </is>
      </c>
      <c r="V243" s="105" t="inlineStr">
        <is>
          <t>Whole source account, not a target allocation. Repeated target rows must not be summed. Aggregate cost / forecast remains withheld.</t>
        </is>
      </c>
    </row>
    <row r="244" ht="34" customHeight="1">
      <c r="A244" s="12" t="inlineStr">
        <is>
          <t>Cost &amp; Forecast Control Accounts</t>
        </is>
      </c>
      <c r="B244" s="12" t="inlineStr">
        <is>
          <t>CST-01-018</t>
        </is>
      </c>
      <c r="C244" s="12" t="inlineStr">
        <is>
          <t>Guideway and Civil - concrete structures - closeout</t>
        </is>
      </c>
      <c r="D244" s="12" t="inlineStr">
        <is>
          <t>Cost Account = CA-1018; WBS Code = 1.1.2</t>
        </is>
      </c>
      <c r="E244" s="12" t="inlineStr">
        <is>
          <t>R1100-v1</t>
        </is>
      </c>
      <c r="F244" s="12" t="inlineStr">
        <is>
          <t>1.1.2 Guideway and Civil - Utility &amp; Roadworks</t>
        </is>
      </c>
      <c r="G244" s="12" t="inlineStr">
        <is>
          <t>ONE_TO_ONE</t>
        </is>
      </c>
      <c r="H244" s="12" t="inlineStr">
        <is>
          <t>APPROVED</t>
        </is>
      </c>
      <c r="I244" s="12" t="inlineStr">
        <is>
          <t>New</t>
        </is>
      </c>
      <c r="J244" s="12" t="inlineStr">
        <is>
          <t>Source assignment -- not individually reviewed</t>
        </is>
      </c>
      <c r="K244" s="12" t="inlineStr"/>
      <c r="L244" s="12" t="inlineStr"/>
      <c r="M244" s="12" t="inlineStr"/>
      <c r="N244" s="17" t="inlineStr">
        <is>
          <t>10 EVIDENCE &amp; DECISIONS</t>
        </is>
      </c>
      <c r="O244" s="105" t="n">
        <v>645000</v>
      </c>
      <c r="P244" s="105" t="n">
        <v>657500</v>
      </c>
      <c r="Q244" s="105" t="inlineStr">
        <is>
          <t>CAD</t>
        </is>
      </c>
      <c r="R244" s="105" t="n"/>
      <c r="S244" s="105" t="inlineStr">
        <is>
          <t>2027-06-30</t>
        </is>
      </c>
      <c r="T244" s="105" t="inlineStr">
        <is>
          <t>C1-R0</t>
        </is>
      </c>
      <c r="U244" s="105" t="inlineStr">
        <is>
          <t>Supplied practice file monthly_cost_forecast.xlsx, row 19</t>
        </is>
      </c>
      <c r="V244" s="105" t="inlineStr">
        <is>
          <t>Whole source account, not a target allocation. Repeated target rows must not be summed. Aggregate cost / forecast remains withheld.</t>
        </is>
      </c>
    </row>
    <row r="245" ht="34" customHeight="1">
      <c r="A245" s="12" t="inlineStr">
        <is>
          <t>Cost &amp; Forecast Control Accounts</t>
        </is>
      </c>
      <c r="B245" s="12" t="inlineStr">
        <is>
          <t>CST-01-020</t>
        </is>
      </c>
      <c r="C245" s="12" t="inlineStr">
        <is>
          <t>Guideway and Civil - temporary works - supply and install</t>
        </is>
      </c>
      <c r="D245" s="12" t="inlineStr">
        <is>
          <t>Cost Account = CA-1020; WBS Code = 1.1.2</t>
        </is>
      </c>
      <c r="E245" s="12" t="inlineStr">
        <is>
          <t>R1102-v1</t>
        </is>
      </c>
      <c r="F245" s="12" t="inlineStr">
        <is>
          <t>1.1.2 Guideway and Civil - Utility &amp; Roadworks</t>
        </is>
      </c>
      <c r="G245" s="12" t="inlineStr">
        <is>
          <t>ONE_TO_ONE</t>
        </is>
      </c>
      <c r="H245" s="12" t="inlineStr">
        <is>
          <t>APPROVED</t>
        </is>
      </c>
      <c r="I245" s="12" t="inlineStr">
        <is>
          <t>New</t>
        </is>
      </c>
      <c r="J245" s="12" t="inlineStr">
        <is>
          <t>Source assignment -- not individually reviewed</t>
        </is>
      </c>
      <c r="K245" s="12" t="inlineStr"/>
      <c r="L245" s="12" t="inlineStr"/>
      <c r="M245" s="12" t="inlineStr"/>
      <c r="N245" s="17" t="inlineStr">
        <is>
          <t>10 EVIDENCE &amp; DECISIONS</t>
        </is>
      </c>
      <c r="O245" s="105" t="n">
        <v>680000</v>
      </c>
      <c r="P245" s="105" t="n">
        <v>667500</v>
      </c>
      <c r="Q245" s="105" t="inlineStr">
        <is>
          <t>CAD</t>
        </is>
      </c>
      <c r="R245" s="105" t="n"/>
      <c r="S245" s="105" t="inlineStr">
        <is>
          <t>2027-06-30</t>
        </is>
      </c>
      <c r="T245" s="105" t="inlineStr">
        <is>
          <t>C1-R0</t>
        </is>
      </c>
      <c r="U245" s="105" t="inlineStr">
        <is>
          <t>Supplied practice file monthly_cost_forecast.xlsx, row 21</t>
        </is>
      </c>
      <c r="V245" s="105" t="inlineStr">
        <is>
          <t>Whole source account, not a target allocation. Repeated target rows must not be summed. Aggregate cost / forecast remains withheld.</t>
        </is>
      </c>
    </row>
    <row r="246" ht="34" customHeight="1">
      <c r="A246" s="12" t="inlineStr">
        <is>
          <t>Cost &amp; Forecast Control Accounts</t>
        </is>
      </c>
      <c r="B246" s="12" t="inlineStr">
        <is>
          <t>CST-01-022</t>
        </is>
      </c>
      <c r="C246" s="12" t="inlineStr">
        <is>
          <t>Guideway and Civil - roadworks - allowance</t>
        </is>
      </c>
      <c r="D246" s="12" t="inlineStr">
        <is>
          <t>Cost Account = CA-1022; WBS Code = 1.1.2</t>
        </is>
      </c>
      <c r="E246" s="12" t="inlineStr">
        <is>
          <t>R1104-v1</t>
        </is>
      </c>
      <c r="F246" s="12" t="inlineStr">
        <is>
          <t>1.1.2 Guideway and Civil - Utility &amp; Roadworks</t>
        </is>
      </c>
      <c r="G246" s="12" t="inlineStr">
        <is>
          <t>ONE_TO_ONE</t>
        </is>
      </c>
      <c r="H246" s="12" t="inlineStr">
        <is>
          <t>APPROVED</t>
        </is>
      </c>
      <c r="I246" s="12" t="inlineStr">
        <is>
          <t>New</t>
        </is>
      </c>
      <c r="J246" s="12" t="inlineStr">
        <is>
          <t>Source assignment -- not individually reviewed</t>
        </is>
      </c>
      <c r="K246" s="12" t="inlineStr"/>
      <c r="L246" s="12" t="inlineStr"/>
      <c r="M246" s="12" t="inlineStr"/>
      <c r="N246" s="17" t="inlineStr">
        <is>
          <t>10 EVIDENCE &amp; DECISIONS</t>
        </is>
      </c>
      <c r="O246" s="105" t="n">
        <v>715000</v>
      </c>
      <c r="P246" s="105" t="n">
        <v>727500</v>
      </c>
      <c r="Q246" s="105" t="inlineStr">
        <is>
          <t>CAD</t>
        </is>
      </c>
      <c r="R246" s="105" t="n"/>
      <c r="S246" s="105" t="inlineStr">
        <is>
          <t>2027-06-30</t>
        </is>
      </c>
      <c r="T246" s="105" t="inlineStr">
        <is>
          <t>C1-R0</t>
        </is>
      </c>
      <c r="U246" s="105" t="inlineStr">
        <is>
          <t>Supplied practice file monthly_cost_forecast.xlsx, row 23</t>
        </is>
      </c>
      <c r="V246" s="105" t="inlineStr">
        <is>
          <t>Whole source account, not a target allocation. Repeated target rows must not be summed. Aggregate cost / forecast remains withheld.</t>
        </is>
      </c>
    </row>
    <row r="247" ht="34" customHeight="1">
      <c r="A247" s="12" t="inlineStr">
        <is>
          <t>Cost &amp; Forecast Control Accounts</t>
        </is>
      </c>
      <c r="B247" s="12" t="inlineStr">
        <is>
          <t>CST-01-024</t>
        </is>
      </c>
      <c r="C247" s="12" t="inlineStr">
        <is>
          <t>Guideway and Civil - concrete structures - field package</t>
        </is>
      </c>
      <c r="D247" s="12" t="inlineStr">
        <is>
          <t>Cost Account = CA-1024; WBS Code = 1.1.2</t>
        </is>
      </c>
      <c r="E247" s="12" t="inlineStr">
        <is>
          <t>R1106-v1</t>
        </is>
      </c>
      <c r="F247" s="12" t="inlineStr">
        <is>
          <t>1.1.2 Guideway and Civil - Utility &amp; Roadworks</t>
        </is>
      </c>
      <c r="G247" s="12" t="inlineStr">
        <is>
          <t>ONE_TO_ONE</t>
        </is>
      </c>
      <c r="H247" s="12" t="inlineStr">
        <is>
          <t>APPROVED</t>
        </is>
      </c>
      <c r="I247" s="12" t="inlineStr">
        <is>
          <t>New</t>
        </is>
      </c>
      <c r="J247" s="12" t="inlineStr">
        <is>
          <t>Source assignment -- not individually reviewed</t>
        </is>
      </c>
      <c r="K247" s="12" t="inlineStr"/>
      <c r="L247" s="12" t="inlineStr"/>
      <c r="M247" s="12" t="inlineStr"/>
      <c r="N247" s="17" t="inlineStr">
        <is>
          <t>10 EVIDENCE &amp; DECISIONS</t>
        </is>
      </c>
      <c r="O247" s="105" t="n">
        <v>750000</v>
      </c>
      <c r="P247" s="105" t="n">
        <v>737500</v>
      </c>
      <c r="Q247" s="105" t="inlineStr">
        <is>
          <t>CAD</t>
        </is>
      </c>
      <c r="R247" s="105" t="n"/>
      <c r="S247" s="105" t="inlineStr">
        <is>
          <t>2027-06-30</t>
        </is>
      </c>
      <c r="T247" s="105" t="inlineStr">
        <is>
          <t>C1-R0</t>
        </is>
      </c>
      <c r="U247" s="105" t="inlineStr">
        <is>
          <t>Supplied practice file monthly_cost_forecast.xlsx, row 25</t>
        </is>
      </c>
      <c r="V247" s="105" t="inlineStr">
        <is>
          <t>Whole source account, not a target allocation. Repeated target rows must not be summed. Aggregate cost / forecast remains withheld.</t>
        </is>
      </c>
    </row>
    <row r="248" ht="34" customHeight="1">
      <c r="A248" s="12" t="inlineStr">
        <is>
          <t>Cost &amp; Forecast Control Accounts</t>
        </is>
      </c>
      <c r="B248" s="12" t="inlineStr">
        <is>
          <t>CST-01-026</t>
        </is>
      </c>
      <c r="C248" s="12" t="inlineStr">
        <is>
          <t>Guideway and Civil - temporary works - professional services</t>
        </is>
      </c>
      <c r="D248" s="12" t="inlineStr">
        <is>
          <t>Cost Account = CA-1026; WBS Code = 1.1.2</t>
        </is>
      </c>
      <c r="E248" s="12" t="inlineStr">
        <is>
          <t>R1108-v1</t>
        </is>
      </c>
      <c r="F248" s="12" t="inlineStr">
        <is>
          <t>1.1.2 Guideway and Civil - Utility &amp; Roadworks</t>
        </is>
      </c>
      <c r="G248" s="12" t="inlineStr">
        <is>
          <t>ONE_TO_ONE</t>
        </is>
      </c>
      <c r="H248" s="12" t="inlineStr">
        <is>
          <t>APPROVED</t>
        </is>
      </c>
      <c r="I248" s="12" t="inlineStr">
        <is>
          <t>New</t>
        </is>
      </c>
      <c r="J248" s="12" t="inlineStr">
        <is>
          <t>Source assignment -- not individually reviewed</t>
        </is>
      </c>
      <c r="K248" s="12" t="inlineStr"/>
      <c r="L248" s="12" t="inlineStr"/>
      <c r="M248" s="12" t="inlineStr"/>
      <c r="N248" s="17" t="inlineStr">
        <is>
          <t>10 EVIDENCE &amp; DECISIONS</t>
        </is>
      </c>
      <c r="O248" s="105" t="n">
        <v>785000</v>
      </c>
      <c r="P248" s="105" t="n">
        <v>797500</v>
      </c>
      <c r="Q248" s="105" t="inlineStr">
        <is>
          <t>CAD</t>
        </is>
      </c>
      <c r="R248" s="105" t="n"/>
      <c r="S248" s="105" t="inlineStr">
        <is>
          <t>2027-06-30</t>
        </is>
      </c>
      <c r="T248" s="105" t="inlineStr">
        <is>
          <t>C1-R0</t>
        </is>
      </c>
      <c r="U248" s="105" t="inlineStr">
        <is>
          <t>Supplied practice file monthly_cost_forecast.xlsx, row 27</t>
        </is>
      </c>
      <c r="V248" s="105" t="inlineStr">
        <is>
          <t>Whole source account, not a target allocation. Repeated target rows must not be summed. Aggregate cost / forecast remains withheld.</t>
        </is>
      </c>
    </row>
    <row r="249" ht="34" customHeight="1">
      <c r="A249" s="12" t="inlineStr">
        <is>
          <t>Cost &amp; Forecast Control Accounts</t>
        </is>
      </c>
      <c r="B249" s="12" t="inlineStr">
        <is>
          <t>CST-01-028</t>
        </is>
      </c>
      <c r="C249" s="12" t="inlineStr">
        <is>
          <t>Guideway and Civil - roadworks - closeout</t>
        </is>
      </c>
      <c r="D249" s="12" t="inlineStr">
        <is>
          <t>Cost Account = CA-1028; WBS Code = 1.1.2</t>
        </is>
      </c>
      <c r="E249" s="12" t="inlineStr">
        <is>
          <t>R1110-v1</t>
        </is>
      </c>
      <c r="F249" s="12" t="inlineStr">
        <is>
          <t>1.1.2 Guideway and Civil - Utility &amp; Roadworks</t>
        </is>
      </c>
      <c r="G249" s="12" t="inlineStr">
        <is>
          <t>ONE_TO_ONE</t>
        </is>
      </c>
      <c r="H249" s="12" t="inlineStr">
        <is>
          <t>APPROVED</t>
        </is>
      </c>
      <c r="I249" s="12" t="inlineStr">
        <is>
          <t>New</t>
        </is>
      </c>
      <c r="J249" s="12" t="inlineStr">
        <is>
          <t>Source assignment -- not individually reviewed</t>
        </is>
      </c>
      <c r="K249" s="12" t="inlineStr"/>
      <c r="L249" s="12" t="inlineStr"/>
      <c r="M249" s="12" t="inlineStr"/>
      <c r="N249" s="17" t="inlineStr">
        <is>
          <t>10 EVIDENCE &amp; DECISIONS</t>
        </is>
      </c>
      <c r="O249" s="105" t="n">
        <v>820000</v>
      </c>
      <c r="P249" s="105" t="n">
        <v>807500</v>
      </c>
      <c r="Q249" s="105" t="inlineStr">
        <is>
          <t>CAD</t>
        </is>
      </c>
      <c r="R249" s="105" t="n"/>
      <c r="S249" s="105" t="inlineStr">
        <is>
          <t>2027-06-30</t>
        </is>
      </c>
      <c r="T249" s="105" t="inlineStr">
        <is>
          <t>C1-R0</t>
        </is>
      </c>
      <c r="U249" s="105" t="inlineStr">
        <is>
          <t>Supplied practice file monthly_cost_forecast.xlsx, row 29</t>
        </is>
      </c>
      <c r="V249" s="105" t="inlineStr">
        <is>
          <t>Whole source account, not a target allocation. Repeated target rows must not be summed. Aggregate cost / forecast remains withheld.</t>
        </is>
      </c>
    </row>
    <row r="250" ht="34" customHeight="1">
      <c r="A250" s="12" t="inlineStr">
        <is>
          <t>Cost &amp; Forecast Control Accounts</t>
        </is>
      </c>
      <c r="B250" s="12" t="inlineStr">
        <is>
          <t>CST-01-030</t>
        </is>
      </c>
      <c r="C250" s="12" t="inlineStr">
        <is>
          <t>Guideway and Civil - concrete structures - supply and install</t>
        </is>
      </c>
      <c r="D250" s="12" t="inlineStr">
        <is>
          <t>Cost Account = CA-1030; WBS Code = 1.1.2</t>
        </is>
      </c>
      <c r="E250" s="12" t="inlineStr">
        <is>
          <t>R1112-v1</t>
        </is>
      </c>
      <c r="F250" s="12" t="inlineStr">
        <is>
          <t>1.1.2 Guideway and Civil - Utility &amp; Roadworks</t>
        </is>
      </c>
      <c r="G250" s="12" t="inlineStr">
        <is>
          <t>ONE_TO_ONE</t>
        </is>
      </c>
      <c r="H250" s="12" t="inlineStr">
        <is>
          <t>APPROVED</t>
        </is>
      </c>
      <c r="I250" s="12" t="inlineStr">
        <is>
          <t>New</t>
        </is>
      </c>
      <c r="J250" s="12" t="inlineStr">
        <is>
          <t>Source assignment -- not individually reviewed</t>
        </is>
      </c>
      <c r="K250" s="12" t="inlineStr"/>
      <c r="L250" s="12" t="inlineStr"/>
      <c r="M250" s="12" t="inlineStr"/>
      <c r="N250" s="17" t="inlineStr">
        <is>
          <t>10 EVIDENCE &amp; DECISIONS</t>
        </is>
      </c>
      <c r="O250" s="105" t="n">
        <v>855000</v>
      </c>
      <c r="P250" s="105" t="n">
        <v>867500</v>
      </c>
      <c r="Q250" s="105" t="inlineStr">
        <is>
          <t>CAD</t>
        </is>
      </c>
      <c r="R250" s="105" t="n"/>
      <c r="S250" s="105" t="inlineStr">
        <is>
          <t>2027-06-30</t>
        </is>
      </c>
      <c r="T250" s="105" t="inlineStr">
        <is>
          <t>C1-R0</t>
        </is>
      </c>
      <c r="U250" s="105" t="inlineStr">
        <is>
          <t>Supplied practice file monthly_cost_forecast.xlsx, row 31</t>
        </is>
      </c>
      <c r="V250" s="105" t="inlineStr">
        <is>
          <t>Whole source account, not a target allocation. Repeated target rows must not be summed. Aggregate cost / forecast remains withheld.</t>
        </is>
      </c>
    </row>
    <row r="251" ht="34" customHeight="1">
      <c r="A251" s="12" t="inlineStr">
        <is>
          <t>Cost &amp; Forecast Control Accounts</t>
        </is>
      </c>
      <c r="B251" s="12" t="inlineStr">
        <is>
          <t>CST-01-032</t>
        </is>
      </c>
      <c r="C251" s="12" t="inlineStr">
        <is>
          <t>Guideway and Civil - temporary works - allowance</t>
        </is>
      </c>
      <c r="D251" s="12" t="inlineStr">
        <is>
          <t>Cost Account = CA-1032; WBS Code = 1.1.2</t>
        </is>
      </c>
      <c r="E251" s="12" t="inlineStr">
        <is>
          <t>R1114-v1</t>
        </is>
      </c>
      <c r="F251" s="12" t="inlineStr">
        <is>
          <t>1.1.2 Guideway and Civil - Utility &amp; Roadworks</t>
        </is>
      </c>
      <c r="G251" s="12" t="inlineStr">
        <is>
          <t>ONE_TO_ONE</t>
        </is>
      </c>
      <c r="H251" s="12" t="inlineStr">
        <is>
          <t>APPROVED</t>
        </is>
      </c>
      <c r="I251" s="12" t="inlineStr">
        <is>
          <t>New</t>
        </is>
      </c>
      <c r="J251" s="12" t="inlineStr">
        <is>
          <t>Source assignment -- not individually reviewed</t>
        </is>
      </c>
      <c r="K251" s="12" t="inlineStr"/>
      <c r="L251" s="12" t="inlineStr"/>
      <c r="M251" s="12" t="inlineStr"/>
      <c r="N251" s="17" t="inlineStr">
        <is>
          <t>10 EVIDENCE &amp; DECISIONS</t>
        </is>
      </c>
      <c r="O251" s="105" t="n">
        <v>890000</v>
      </c>
      <c r="P251" s="105" t="n">
        <v>877500</v>
      </c>
      <c r="Q251" s="105" t="inlineStr">
        <is>
          <t>CAD</t>
        </is>
      </c>
      <c r="R251" s="105" t="n"/>
      <c r="S251" s="105" t="inlineStr">
        <is>
          <t>2027-06-30</t>
        </is>
      </c>
      <c r="T251" s="105" t="inlineStr">
        <is>
          <t>C1-R0</t>
        </is>
      </c>
      <c r="U251" s="105" t="inlineStr">
        <is>
          <t>Supplied practice file monthly_cost_forecast.xlsx, row 33</t>
        </is>
      </c>
      <c r="V251" s="105" t="inlineStr">
        <is>
          <t>Whole source account, not a target allocation. Repeated target rows must not be summed. Aggregate cost / forecast remains withheld.</t>
        </is>
      </c>
    </row>
    <row r="252" ht="34" customHeight="1">
      <c r="A252" s="12" t="inlineStr">
        <is>
          <t>Cost &amp; Forecast Control Accounts</t>
        </is>
      </c>
      <c r="B252" s="12" t="inlineStr">
        <is>
          <t>CST-01-034</t>
        </is>
      </c>
      <c r="C252" s="12" t="inlineStr">
        <is>
          <t>Guideway and Civil - roadworks - field package</t>
        </is>
      </c>
      <c r="D252" s="12" t="inlineStr">
        <is>
          <t>Cost Account = CA-1034; WBS Code = 1.1.2</t>
        </is>
      </c>
      <c r="E252" s="12" t="inlineStr">
        <is>
          <t>R1116-v1</t>
        </is>
      </c>
      <c r="F252" s="12" t="inlineStr">
        <is>
          <t>1.1.2 Guideway and Civil - Utility &amp; Roadworks</t>
        </is>
      </c>
      <c r="G252" s="12" t="inlineStr">
        <is>
          <t>ONE_TO_ONE</t>
        </is>
      </c>
      <c r="H252" s="12" t="inlineStr">
        <is>
          <t>APPROVED</t>
        </is>
      </c>
      <c r="I252" s="12" t="inlineStr">
        <is>
          <t>New</t>
        </is>
      </c>
      <c r="J252" s="12" t="inlineStr">
        <is>
          <t>Source assignment -- not individually reviewed</t>
        </is>
      </c>
      <c r="K252" s="12" t="inlineStr"/>
      <c r="L252" s="12" t="inlineStr"/>
      <c r="M252" s="12" t="inlineStr"/>
      <c r="N252" s="17" t="inlineStr">
        <is>
          <t>10 EVIDENCE &amp; DECISIONS</t>
        </is>
      </c>
      <c r="O252" s="105" t="n">
        <v>925000</v>
      </c>
      <c r="P252" s="105" t="n">
        <v>937500</v>
      </c>
      <c r="Q252" s="105" t="inlineStr">
        <is>
          <t>CAD</t>
        </is>
      </c>
      <c r="R252" s="105" t="n"/>
      <c r="S252" s="105" t="inlineStr">
        <is>
          <t>2027-06-30</t>
        </is>
      </c>
      <c r="T252" s="105" t="inlineStr">
        <is>
          <t>C1-R0</t>
        </is>
      </c>
      <c r="U252" s="105" t="inlineStr">
        <is>
          <t>Supplied practice file monthly_cost_forecast.xlsx, row 35</t>
        </is>
      </c>
      <c r="V252" s="105" t="inlineStr">
        <is>
          <t>Whole source account, not a target allocation. Repeated target rows must not be summed. Aggregate cost / forecast remains withheld.</t>
        </is>
      </c>
    </row>
    <row r="253" ht="34" customHeight="1">
      <c r="A253" s="12" t="inlineStr">
        <is>
          <t>Cost &amp; Forecast Control Accounts</t>
        </is>
      </c>
      <c r="B253" s="12" t="inlineStr">
        <is>
          <t>CST-01-036</t>
        </is>
      </c>
      <c r="C253" s="12" t="inlineStr">
        <is>
          <t>Guideway and Civil - concrete structures - professional services</t>
        </is>
      </c>
      <c r="D253" s="12" t="inlineStr">
        <is>
          <t>Cost Account = CA-1036; WBS Code = 1.1.2</t>
        </is>
      </c>
      <c r="E253" s="12" t="inlineStr">
        <is>
          <t>R1118-v1</t>
        </is>
      </c>
      <c r="F253" s="12" t="inlineStr">
        <is>
          <t>1.1.2 Guideway and Civil - Utility &amp; Roadworks</t>
        </is>
      </c>
      <c r="G253" s="12" t="inlineStr">
        <is>
          <t>ONE_TO_ONE</t>
        </is>
      </c>
      <c r="H253" s="12" t="inlineStr">
        <is>
          <t>APPROVED</t>
        </is>
      </c>
      <c r="I253" s="12" t="inlineStr">
        <is>
          <t>New</t>
        </is>
      </c>
      <c r="J253" s="12" t="inlineStr">
        <is>
          <t>Source assignment -- not individually reviewed</t>
        </is>
      </c>
      <c r="K253" s="12" t="inlineStr"/>
      <c r="L253" s="12" t="inlineStr"/>
      <c r="M253" s="12" t="inlineStr"/>
      <c r="N253" s="17" t="inlineStr">
        <is>
          <t>10 EVIDENCE &amp; DECISIONS</t>
        </is>
      </c>
      <c r="O253" s="105" t="n">
        <v>960000</v>
      </c>
      <c r="P253" s="105" t="n">
        <v>947500</v>
      </c>
      <c r="Q253" s="105" t="inlineStr">
        <is>
          <t>CAD</t>
        </is>
      </c>
      <c r="R253" s="105" t="n"/>
      <c r="S253" s="105" t="inlineStr">
        <is>
          <t>2027-06-30</t>
        </is>
      </c>
      <c r="T253" s="105" t="inlineStr">
        <is>
          <t>C1-R0</t>
        </is>
      </c>
      <c r="U253" s="105" t="inlineStr">
        <is>
          <t>Supplied practice file monthly_cost_forecast.xlsx, row 37</t>
        </is>
      </c>
      <c r="V253" s="105" t="inlineStr">
        <is>
          <t>Whole source account, not a target allocation. Repeated target rows must not be summed. Aggregate cost / forecast remains withheld.</t>
        </is>
      </c>
    </row>
    <row r="254" ht="34" customHeight="1">
      <c r="A254" s="12" t="inlineStr">
        <is>
          <t>Cost &amp; Forecast Control Accounts</t>
        </is>
      </c>
      <c r="B254" s="12" t="inlineStr">
        <is>
          <t>CST-01-038</t>
        </is>
      </c>
      <c r="C254" s="12" t="inlineStr">
        <is>
          <t>Guideway and Civil - temporary works - closeout</t>
        </is>
      </c>
      <c r="D254" s="12" t="inlineStr">
        <is>
          <t>Cost Account = CA-1038; WBS Code = 1.1.2</t>
        </is>
      </c>
      <c r="E254" s="12" t="inlineStr">
        <is>
          <t>R1120-v1</t>
        </is>
      </c>
      <c r="F254" s="12" t="inlineStr">
        <is>
          <t>1.1.2 Guideway and Civil - Utility &amp; Roadworks</t>
        </is>
      </c>
      <c r="G254" s="12" t="inlineStr">
        <is>
          <t>ONE_TO_ONE</t>
        </is>
      </c>
      <c r="H254" s="12" t="inlineStr">
        <is>
          <t>APPROVED</t>
        </is>
      </c>
      <c r="I254" s="12" t="inlineStr">
        <is>
          <t>New</t>
        </is>
      </c>
      <c r="J254" s="12" t="inlineStr">
        <is>
          <t>Source assignment -- not individually reviewed</t>
        </is>
      </c>
      <c r="K254" s="12" t="inlineStr"/>
      <c r="L254" s="12" t="inlineStr"/>
      <c r="M254" s="12" t="inlineStr"/>
      <c r="N254" s="17" t="inlineStr">
        <is>
          <t>10 EVIDENCE &amp; DECISIONS</t>
        </is>
      </c>
      <c r="O254" s="105" t="n">
        <v>995000</v>
      </c>
      <c r="P254" s="105" t="n">
        <v>1007500</v>
      </c>
      <c r="Q254" s="105" t="inlineStr">
        <is>
          <t>CAD</t>
        </is>
      </c>
      <c r="R254" s="105" t="n"/>
      <c r="S254" s="105" t="inlineStr">
        <is>
          <t>2027-06-30</t>
        </is>
      </c>
      <c r="T254" s="105" t="inlineStr">
        <is>
          <t>C1-R0</t>
        </is>
      </c>
      <c r="U254" s="105" t="inlineStr">
        <is>
          <t>Supplied practice file monthly_cost_forecast.xlsx, row 39</t>
        </is>
      </c>
      <c r="V254" s="105" t="inlineStr">
        <is>
          <t>Whole source account, not a target allocation. Repeated target rows must not be summed. Aggregate cost / forecast remains withheld.</t>
        </is>
      </c>
    </row>
    <row r="255" ht="34" customHeight="1">
      <c r="A255" s="12" t="inlineStr">
        <is>
          <t>Cost &amp; Forecast Control Accounts</t>
        </is>
      </c>
      <c r="B255" s="12" t="inlineStr">
        <is>
          <t>CST-01-040</t>
        </is>
      </c>
      <c r="C255" s="12" t="inlineStr">
        <is>
          <t>Guideway and Civil - roadworks - supply and install</t>
        </is>
      </c>
      <c r="D255" s="12" t="inlineStr">
        <is>
          <t>Cost Account = CA-1040; WBS Code = 1.1.2</t>
        </is>
      </c>
      <c r="E255" s="12" t="inlineStr">
        <is>
          <t>R1122-v1</t>
        </is>
      </c>
      <c r="F255" s="12" t="inlineStr">
        <is>
          <t>1.1.2 Guideway and Civil - Utility &amp; Roadworks</t>
        </is>
      </c>
      <c r="G255" s="12" t="inlineStr">
        <is>
          <t>ONE_TO_ONE</t>
        </is>
      </c>
      <c r="H255" s="12" t="inlineStr">
        <is>
          <t>APPROVED</t>
        </is>
      </c>
      <c r="I255" s="12" t="inlineStr">
        <is>
          <t>New</t>
        </is>
      </c>
      <c r="J255" s="12" t="inlineStr">
        <is>
          <t>Source assignment -- not individually reviewed</t>
        </is>
      </c>
      <c r="K255" s="12" t="inlineStr"/>
      <c r="L255" s="12" t="inlineStr"/>
      <c r="M255" s="12" t="inlineStr"/>
      <c r="N255" s="17" t="inlineStr">
        <is>
          <t>10 EVIDENCE &amp; DECISIONS</t>
        </is>
      </c>
      <c r="O255" s="105" t="n">
        <v>1030000</v>
      </c>
      <c r="P255" s="105" t="n">
        <v>1017500</v>
      </c>
      <c r="Q255" s="105" t="inlineStr">
        <is>
          <t>CAD</t>
        </is>
      </c>
      <c r="R255" s="105" t="n"/>
      <c r="S255" s="105" t="inlineStr">
        <is>
          <t>2027-06-30</t>
        </is>
      </c>
      <c r="T255" s="105" t="inlineStr">
        <is>
          <t>C1-R0</t>
        </is>
      </c>
      <c r="U255" s="105" t="inlineStr">
        <is>
          <t>Supplied practice file monthly_cost_forecast.xlsx, row 41</t>
        </is>
      </c>
      <c r="V255" s="105" t="inlineStr">
        <is>
          <t>Whole source account, not a target allocation. Repeated target rows must not be summed. Aggregate cost / forecast remains withheld.</t>
        </is>
      </c>
    </row>
    <row r="256" ht="34" customHeight="1">
      <c r="A256" s="12" t="inlineStr">
        <is>
          <t>Cost &amp; Forecast Control Accounts</t>
        </is>
      </c>
      <c r="B256" s="12" t="inlineStr">
        <is>
          <t>CST-01-042</t>
        </is>
      </c>
      <c r="C256" s="12" t="inlineStr">
        <is>
          <t>Guideway and Civil - concrete structures - allowance</t>
        </is>
      </c>
      <c r="D256" s="12" t="inlineStr">
        <is>
          <t>Cost Account = CA-1042; WBS Code = 1.1.2</t>
        </is>
      </c>
      <c r="E256" s="12" t="inlineStr">
        <is>
          <t>R1124-v1</t>
        </is>
      </c>
      <c r="F256" s="12" t="inlineStr">
        <is>
          <t>1.1.2 Guideway and Civil - Utility &amp; Roadworks</t>
        </is>
      </c>
      <c r="G256" s="12" t="inlineStr">
        <is>
          <t>ONE_TO_ONE</t>
        </is>
      </c>
      <c r="H256" s="12" t="inlineStr">
        <is>
          <t>APPROVED</t>
        </is>
      </c>
      <c r="I256" s="12" t="inlineStr">
        <is>
          <t>New</t>
        </is>
      </c>
      <c r="J256" s="12" t="inlineStr">
        <is>
          <t>Source assignment -- not individually reviewed</t>
        </is>
      </c>
      <c r="K256" s="12" t="inlineStr"/>
      <c r="L256" s="12" t="inlineStr"/>
      <c r="M256" s="12" t="inlineStr"/>
      <c r="N256" s="17" t="inlineStr">
        <is>
          <t>10 EVIDENCE &amp; DECISIONS</t>
        </is>
      </c>
      <c r="O256" s="105" t="n">
        <v>1065000</v>
      </c>
      <c r="P256" s="105" t="n">
        <v>1077500</v>
      </c>
      <c r="Q256" s="105" t="inlineStr">
        <is>
          <t>CAD</t>
        </is>
      </c>
      <c r="R256" s="105" t="n"/>
      <c r="S256" s="105" t="inlineStr">
        <is>
          <t>2027-06-30</t>
        </is>
      </c>
      <c r="T256" s="105" t="inlineStr">
        <is>
          <t>C1-R0</t>
        </is>
      </c>
      <c r="U256" s="105" t="inlineStr">
        <is>
          <t>Supplied practice file monthly_cost_forecast.xlsx, row 43</t>
        </is>
      </c>
      <c r="V256" s="105" t="inlineStr">
        <is>
          <t>Whole source account, not a target allocation. Repeated target rows must not be summed. Aggregate cost / forecast remains withheld.</t>
        </is>
      </c>
    </row>
    <row r="257" ht="34" customHeight="1">
      <c r="A257" s="12" t="inlineStr">
        <is>
          <t>Cost &amp; Forecast Control Accounts</t>
        </is>
      </c>
      <c r="B257" s="12" t="inlineStr">
        <is>
          <t>CST-01-044</t>
        </is>
      </c>
      <c r="C257" s="12" t="inlineStr">
        <is>
          <t>Guideway and Civil - temporary works - field package</t>
        </is>
      </c>
      <c r="D257" s="12" t="inlineStr">
        <is>
          <t>Cost Account = CA-1044; WBS Code = 1.1.2</t>
        </is>
      </c>
      <c r="E257" s="12" t="inlineStr">
        <is>
          <t>R1126-v1</t>
        </is>
      </c>
      <c r="F257" s="12" t="inlineStr">
        <is>
          <t>1.1.2 Guideway and Civil - Utility &amp; Roadworks</t>
        </is>
      </c>
      <c r="G257" s="12" t="inlineStr">
        <is>
          <t>ONE_TO_ONE</t>
        </is>
      </c>
      <c r="H257" s="12" t="inlineStr">
        <is>
          <t>APPROVED</t>
        </is>
      </c>
      <c r="I257" s="12" t="inlineStr">
        <is>
          <t>New</t>
        </is>
      </c>
      <c r="J257" s="12" t="inlineStr">
        <is>
          <t>Source assignment -- not individually reviewed</t>
        </is>
      </c>
      <c r="K257" s="12" t="inlineStr"/>
      <c r="L257" s="12" t="inlineStr"/>
      <c r="M257" s="12" t="inlineStr"/>
      <c r="N257" s="17" t="inlineStr">
        <is>
          <t>10 EVIDENCE &amp; DECISIONS</t>
        </is>
      </c>
      <c r="O257" s="105" t="n">
        <v>1100000</v>
      </c>
      <c r="P257" s="105" t="n">
        <v>1087500</v>
      </c>
      <c r="Q257" s="105" t="inlineStr">
        <is>
          <t>CAD</t>
        </is>
      </c>
      <c r="R257" s="105" t="n"/>
      <c r="S257" s="105" t="inlineStr">
        <is>
          <t>2027-06-30</t>
        </is>
      </c>
      <c r="T257" s="105" t="inlineStr">
        <is>
          <t>C1-R0</t>
        </is>
      </c>
      <c r="U257" s="105" t="inlineStr">
        <is>
          <t>Supplied practice file monthly_cost_forecast.xlsx, row 45</t>
        </is>
      </c>
      <c r="V257" s="105" t="inlineStr">
        <is>
          <t>Whole source account, not a target allocation. Repeated target rows must not be summed. Aggregate cost / forecast remains withheld.</t>
        </is>
      </c>
    </row>
    <row r="258" ht="34" customHeight="1">
      <c r="A258" s="12" t="inlineStr">
        <is>
          <t>Cost &amp; Forecast Control Accounts</t>
        </is>
      </c>
      <c r="B258" s="12" t="inlineStr">
        <is>
          <t>CST-01-046</t>
        </is>
      </c>
      <c r="C258" s="12" t="inlineStr">
        <is>
          <t>Guideway and Civil - roadworks - professional services</t>
        </is>
      </c>
      <c r="D258" s="12" t="inlineStr">
        <is>
          <t>Cost Account = CA-1046; WBS Code = 1.1.2</t>
        </is>
      </c>
      <c r="E258" s="12" t="inlineStr">
        <is>
          <t>R1128-v1</t>
        </is>
      </c>
      <c r="F258" s="12" t="inlineStr">
        <is>
          <t>1.1.2 Guideway and Civil - Utility &amp; Roadworks</t>
        </is>
      </c>
      <c r="G258" s="12" t="inlineStr">
        <is>
          <t>ONE_TO_ONE</t>
        </is>
      </c>
      <c r="H258" s="12" t="inlineStr">
        <is>
          <t>APPROVED</t>
        </is>
      </c>
      <c r="I258" s="12" t="inlineStr">
        <is>
          <t>New</t>
        </is>
      </c>
      <c r="J258" s="12" t="inlineStr">
        <is>
          <t>Source assignment -- not individually reviewed</t>
        </is>
      </c>
      <c r="K258" s="12" t="inlineStr"/>
      <c r="L258" s="12" t="inlineStr"/>
      <c r="M258" s="12" t="inlineStr"/>
      <c r="N258" s="17" t="inlineStr">
        <is>
          <t>10 EVIDENCE &amp; DECISIONS</t>
        </is>
      </c>
      <c r="O258" s="105" t="n">
        <v>1135000</v>
      </c>
      <c r="P258" s="105" t="n">
        <v>1147500</v>
      </c>
      <c r="Q258" s="105" t="inlineStr">
        <is>
          <t>CAD</t>
        </is>
      </c>
      <c r="R258" s="105" t="n"/>
      <c r="S258" s="105" t="inlineStr">
        <is>
          <t>2027-06-30</t>
        </is>
      </c>
      <c r="T258" s="105" t="inlineStr">
        <is>
          <t>C1-R0</t>
        </is>
      </c>
      <c r="U258" s="105" t="inlineStr">
        <is>
          <t>Supplied practice file monthly_cost_forecast.xlsx, row 47</t>
        </is>
      </c>
      <c r="V258" s="105" t="inlineStr">
        <is>
          <t>Whole source account, not a target allocation. Repeated target rows must not be summed. Aggregate cost / forecast remains withheld.</t>
        </is>
      </c>
    </row>
    <row r="259" ht="34" customHeight="1">
      <c r="A259" s="12" t="inlineStr">
        <is>
          <t>Cost &amp; Forecast Control Accounts</t>
        </is>
      </c>
      <c r="B259" s="12" t="inlineStr">
        <is>
          <t>CST-01-048</t>
        </is>
      </c>
      <c r="C259" s="12" t="inlineStr">
        <is>
          <t>Guideway and Civil - concrete structures - closeout</t>
        </is>
      </c>
      <c r="D259" s="12" t="inlineStr">
        <is>
          <t>Cost Account = CA-1048; WBS Code = 1.1.2</t>
        </is>
      </c>
      <c r="E259" s="12" t="inlineStr">
        <is>
          <t>R1130-v1</t>
        </is>
      </c>
      <c r="F259" s="12" t="inlineStr">
        <is>
          <t>1.1.2 Guideway and Civil - Utility &amp; Roadworks</t>
        </is>
      </c>
      <c r="G259" s="12" t="inlineStr">
        <is>
          <t>ONE_TO_ONE</t>
        </is>
      </c>
      <c r="H259" s="12" t="inlineStr">
        <is>
          <t>APPROVED</t>
        </is>
      </c>
      <c r="I259" s="12" t="inlineStr">
        <is>
          <t>New</t>
        </is>
      </c>
      <c r="J259" s="12" t="inlineStr">
        <is>
          <t>Source assignment -- not individually reviewed</t>
        </is>
      </c>
      <c r="K259" s="12" t="inlineStr"/>
      <c r="L259" s="12" t="inlineStr"/>
      <c r="M259" s="12" t="inlineStr"/>
      <c r="N259" s="17" t="inlineStr">
        <is>
          <t>10 EVIDENCE &amp; DECISIONS</t>
        </is>
      </c>
      <c r="O259" s="105" t="n">
        <v>1170000</v>
      </c>
      <c r="P259" s="105" t="n">
        <v>1157500</v>
      </c>
      <c r="Q259" s="105" t="inlineStr">
        <is>
          <t>CAD</t>
        </is>
      </c>
      <c r="R259" s="105" t="n"/>
      <c r="S259" s="105" t="inlineStr">
        <is>
          <t>2027-06-30</t>
        </is>
      </c>
      <c r="T259" s="105" t="inlineStr">
        <is>
          <t>C1-R0</t>
        </is>
      </c>
      <c r="U259" s="105" t="inlineStr">
        <is>
          <t>Supplied practice file monthly_cost_forecast.xlsx, row 49</t>
        </is>
      </c>
      <c r="V259" s="105" t="inlineStr">
        <is>
          <t>Whole source account, not a target allocation. Repeated target rows must not be summed. Aggregate cost / forecast remains withheld.</t>
        </is>
      </c>
    </row>
    <row r="260" ht="34" customHeight="1">
      <c r="A260" s="12" t="inlineStr">
        <is>
          <t>Cost &amp; Forecast Control Accounts</t>
        </is>
      </c>
      <c r="B260" s="12" t="inlineStr">
        <is>
          <t>CST-01-050</t>
        </is>
      </c>
      <c r="C260" s="12" t="inlineStr">
        <is>
          <t>Guideway and Civil - temporary works - supply and install</t>
        </is>
      </c>
      <c r="D260" s="12" t="inlineStr">
        <is>
          <t>Cost Account = CA-1050; WBS Code = 1.1.2</t>
        </is>
      </c>
      <c r="E260" s="12" t="inlineStr">
        <is>
          <t>R1132-v1</t>
        </is>
      </c>
      <c r="F260" s="12" t="inlineStr">
        <is>
          <t>1.1.2 Guideway and Civil - Utility &amp; Roadworks</t>
        </is>
      </c>
      <c r="G260" s="12" t="inlineStr">
        <is>
          <t>ONE_TO_ONE</t>
        </is>
      </c>
      <c r="H260" s="12" t="inlineStr">
        <is>
          <t>APPROVED</t>
        </is>
      </c>
      <c r="I260" s="12" t="inlineStr">
        <is>
          <t>New</t>
        </is>
      </c>
      <c r="J260" s="12" t="inlineStr">
        <is>
          <t>Source assignment -- not individually reviewed</t>
        </is>
      </c>
      <c r="K260" s="12" t="inlineStr"/>
      <c r="L260" s="12" t="inlineStr"/>
      <c r="M260" s="12" t="inlineStr"/>
      <c r="N260" s="17" t="inlineStr">
        <is>
          <t>10 EVIDENCE &amp; DECISIONS</t>
        </is>
      </c>
      <c r="O260" s="105" t="n">
        <v>1205000</v>
      </c>
      <c r="P260" s="105" t="n">
        <v>1217500</v>
      </c>
      <c r="Q260" s="105" t="inlineStr">
        <is>
          <t>CAD</t>
        </is>
      </c>
      <c r="R260" s="105" t="n"/>
      <c r="S260" s="105" t="inlineStr">
        <is>
          <t>2027-06-30</t>
        </is>
      </c>
      <c r="T260" s="105" t="inlineStr">
        <is>
          <t>C1-R0</t>
        </is>
      </c>
      <c r="U260" s="105" t="inlineStr">
        <is>
          <t>Supplied practice file monthly_cost_forecast.xlsx, row 51</t>
        </is>
      </c>
      <c r="V260" s="105" t="inlineStr">
        <is>
          <t>Whole source account, not a target allocation. Repeated target rows must not be summed. Aggregate cost / forecast remains withheld.</t>
        </is>
      </c>
    </row>
    <row r="261" ht="34" customHeight="1">
      <c r="A261" s="12" t="inlineStr">
        <is>
          <t>Cost &amp; Forecast Control Accounts</t>
        </is>
      </c>
      <c r="B261" s="12" t="inlineStr">
        <is>
          <t>CST-01-052</t>
        </is>
      </c>
      <c r="C261" s="12" t="inlineStr">
        <is>
          <t>Guideway and Civil - roadworks - allowance</t>
        </is>
      </c>
      <c r="D261" s="12" t="inlineStr">
        <is>
          <t>Cost Account = CA-1052; WBS Code = 1.1.2</t>
        </is>
      </c>
      <c r="E261" s="12" t="inlineStr">
        <is>
          <t>R1134-v1</t>
        </is>
      </c>
      <c r="F261" s="12" t="inlineStr">
        <is>
          <t>1.1.2 Guideway and Civil - Utility &amp; Roadworks</t>
        </is>
      </c>
      <c r="G261" s="12" t="inlineStr">
        <is>
          <t>ONE_TO_ONE</t>
        </is>
      </c>
      <c r="H261" s="12" t="inlineStr">
        <is>
          <t>APPROVED</t>
        </is>
      </c>
      <c r="I261" s="12" t="inlineStr">
        <is>
          <t>New</t>
        </is>
      </c>
      <c r="J261" s="12" t="inlineStr">
        <is>
          <t>Source assignment -- not individually reviewed</t>
        </is>
      </c>
      <c r="K261" s="12" t="inlineStr"/>
      <c r="L261" s="12" t="inlineStr"/>
      <c r="M261" s="12" t="inlineStr"/>
      <c r="N261" s="17" t="inlineStr">
        <is>
          <t>10 EVIDENCE &amp; DECISIONS</t>
        </is>
      </c>
      <c r="O261" s="105" t="n">
        <v>1240000</v>
      </c>
      <c r="P261" s="105" t="n">
        <v>1227500</v>
      </c>
      <c r="Q261" s="105" t="inlineStr">
        <is>
          <t>CAD</t>
        </is>
      </c>
      <c r="R261" s="105" t="n"/>
      <c r="S261" s="105" t="inlineStr">
        <is>
          <t>2027-06-30</t>
        </is>
      </c>
      <c r="T261" s="105" t="inlineStr">
        <is>
          <t>C1-R0</t>
        </is>
      </c>
      <c r="U261" s="105" t="inlineStr">
        <is>
          <t>Supplied practice file monthly_cost_forecast.xlsx, row 53</t>
        </is>
      </c>
      <c r="V261" s="105" t="inlineStr">
        <is>
          <t>Whole source account, not a target allocation. Repeated target rows must not be summed. Aggregate cost / forecast remains withheld.</t>
        </is>
      </c>
    </row>
    <row r="262" ht="34" customHeight="1">
      <c r="A262" s="12" t="inlineStr">
        <is>
          <t>Cost &amp; Forecast Control Accounts</t>
        </is>
      </c>
      <c r="B262" s="12" t="inlineStr">
        <is>
          <t>CST-01-054</t>
        </is>
      </c>
      <c r="C262" s="12" t="inlineStr">
        <is>
          <t>Guideway and Civil - concrete structures - field package</t>
        </is>
      </c>
      <c r="D262" s="12" t="inlineStr">
        <is>
          <t>Cost Account = CA-1054; WBS Code = 1.1.2</t>
        </is>
      </c>
      <c r="E262" s="12" t="inlineStr">
        <is>
          <t>R1136-v1</t>
        </is>
      </c>
      <c r="F262" s="12" t="inlineStr">
        <is>
          <t>1.1.2 Guideway and Civil - Utility &amp; Roadworks</t>
        </is>
      </c>
      <c r="G262" s="12" t="inlineStr">
        <is>
          <t>ONE_TO_ONE</t>
        </is>
      </c>
      <c r="H262" s="12" t="inlineStr">
        <is>
          <t>APPROVED</t>
        </is>
      </c>
      <c r="I262" s="12" t="inlineStr">
        <is>
          <t>New</t>
        </is>
      </c>
      <c r="J262" s="12" t="inlineStr">
        <is>
          <t>Source assignment -- not individually reviewed</t>
        </is>
      </c>
      <c r="K262" s="12" t="inlineStr"/>
      <c r="L262" s="12" t="inlineStr"/>
      <c r="M262" s="12" t="inlineStr"/>
      <c r="N262" s="17" t="inlineStr">
        <is>
          <t>10 EVIDENCE &amp; DECISIONS</t>
        </is>
      </c>
      <c r="O262" s="105" t="n">
        <v>1275000</v>
      </c>
      <c r="P262" s="105" t="n">
        <v>1287500</v>
      </c>
      <c r="Q262" s="105" t="inlineStr">
        <is>
          <t>CAD</t>
        </is>
      </c>
      <c r="R262" s="105" t="n"/>
      <c r="S262" s="105" t="inlineStr">
        <is>
          <t>2027-06-30</t>
        </is>
      </c>
      <c r="T262" s="105" t="inlineStr">
        <is>
          <t>C1-R0</t>
        </is>
      </c>
      <c r="U262" s="105" t="inlineStr">
        <is>
          <t>Supplied practice file monthly_cost_forecast.xlsx, row 55</t>
        </is>
      </c>
      <c r="V262" s="105" t="inlineStr">
        <is>
          <t>Whole source account, not a target allocation. Repeated target rows must not be summed. Aggregate cost / forecast remains withheld.</t>
        </is>
      </c>
    </row>
    <row r="263" ht="34" customHeight="1">
      <c r="A263" s="12" t="inlineStr">
        <is>
          <t>Cost &amp; Forecast Control Accounts</t>
        </is>
      </c>
      <c r="B263" s="12" t="inlineStr">
        <is>
          <t>CST-01-056</t>
        </is>
      </c>
      <c r="C263" s="12" t="inlineStr">
        <is>
          <t>Guideway and Civil - temporary works - professional services</t>
        </is>
      </c>
      <c r="D263" s="12" t="inlineStr">
        <is>
          <t>Cost Account = CA-1056; WBS Code = 1.1.2</t>
        </is>
      </c>
      <c r="E263" s="12" t="inlineStr">
        <is>
          <t>R1138-v1</t>
        </is>
      </c>
      <c r="F263" s="12" t="inlineStr">
        <is>
          <t>1.1.2 Guideway and Civil - Utility &amp; Roadworks</t>
        </is>
      </c>
      <c r="G263" s="12" t="inlineStr">
        <is>
          <t>ONE_TO_ONE</t>
        </is>
      </c>
      <c r="H263" s="12" t="inlineStr">
        <is>
          <t>APPROVED</t>
        </is>
      </c>
      <c r="I263" s="12" t="inlineStr">
        <is>
          <t>New</t>
        </is>
      </c>
      <c r="J263" s="12" t="inlineStr">
        <is>
          <t>Source assignment -- not individually reviewed</t>
        </is>
      </c>
      <c r="K263" s="12" t="inlineStr"/>
      <c r="L263" s="12" t="inlineStr"/>
      <c r="M263" s="12" t="inlineStr"/>
      <c r="N263" s="17" t="inlineStr">
        <is>
          <t>10 EVIDENCE &amp; DECISIONS</t>
        </is>
      </c>
      <c r="O263" s="105" t="n">
        <v>1310000</v>
      </c>
      <c r="P263" s="105" t="n">
        <v>1297500</v>
      </c>
      <c r="Q263" s="105" t="inlineStr">
        <is>
          <t>CAD</t>
        </is>
      </c>
      <c r="R263" s="105" t="n"/>
      <c r="S263" s="105" t="inlineStr">
        <is>
          <t>2027-06-30</t>
        </is>
      </c>
      <c r="T263" s="105" t="inlineStr">
        <is>
          <t>C1-R0</t>
        </is>
      </c>
      <c r="U263" s="105" t="inlineStr">
        <is>
          <t>Supplied practice file monthly_cost_forecast.xlsx, row 57</t>
        </is>
      </c>
      <c r="V263" s="105" t="inlineStr">
        <is>
          <t>Whole source account, not a target allocation. Repeated target rows must not be summed. Aggregate cost / forecast remains withheld.</t>
        </is>
      </c>
    </row>
    <row r="264" ht="34" customHeight="1">
      <c r="A264" s="12" t="inlineStr">
        <is>
          <t>Cost &amp; Forecast Control Accounts</t>
        </is>
      </c>
      <c r="B264" s="12" t="inlineStr">
        <is>
          <t>CST-01-058</t>
        </is>
      </c>
      <c r="C264" s="12" t="inlineStr">
        <is>
          <t>Guideway and Civil - roadworks - closeout</t>
        </is>
      </c>
      <c r="D264" s="12" t="inlineStr">
        <is>
          <t>Cost Account = CA-1058; WBS Code = 1.1.2</t>
        </is>
      </c>
      <c r="E264" s="12" t="inlineStr">
        <is>
          <t>R1140-v1</t>
        </is>
      </c>
      <c r="F264" s="12" t="inlineStr">
        <is>
          <t>1.1.2 Guideway and Civil - Utility &amp; Roadworks</t>
        </is>
      </c>
      <c r="G264" s="12" t="inlineStr">
        <is>
          <t>ONE_TO_ONE</t>
        </is>
      </c>
      <c r="H264" s="12" t="inlineStr">
        <is>
          <t>APPROVED</t>
        </is>
      </c>
      <c r="I264" s="12" t="inlineStr">
        <is>
          <t>New</t>
        </is>
      </c>
      <c r="J264" s="12" t="inlineStr">
        <is>
          <t>Source assignment -- not individually reviewed</t>
        </is>
      </c>
      <c r="K264" s="12" t="inlineStr"/>
      <c r="L264" s="12" t="inlineStr"/>
      <c r="M264" s="12" t="inlineStr"/>
      <c r="N264" s="17" t="inlineStr">
        <is>
          <t>10 EVIDENCE &amp; DECISIONS</t>
        </is>
      </c>
      <c r="O264" s="105" t="n">
        <v>1345000</v>
      </c>
      <c r="P264" s="105" t="n">
        <v>1357500</v>
      </c>
      <c r="Q264" s="105" t="inlineStr">
        <is>
          <t>CAD</t>
        </is>
      </c>
      <c r="R264" s="105" t="n"/>
      <c r="S264" s="105" t="inlineStr">
        <is>
          <t>2027-06-30</t>
        </is>
      </c>
      <c r="T264" s="105" t="inlineStr">
        <is>
          <t>C1-R0</t>
        </is>
      </c>
      <c r="U264" s="105" t="inlineStr">
        <is>
          <t>Supplied practice file monthly_cost_forecast.xlsx, row 59</t>
        </is>
      </c>
      <c r="V264" s="105" t="inlineStr">
        <is>
          <t>Whole source account, not a target allocation. Repeated target rows must not be summed. Aggregate cost / forecast remains withheld.</t>
        </is>
      </c>
    </row>
    <row r="265" ht="34" customHeight="1">
      <c r="A265" s="12" t="inlineStr">
        <is>
          <t>Cost &amp; Forecast Control Accounts</t>
        </is>
      </c>
      <c r="B265" s="12" t="inlineStr">
        <is>
          <t>CST-01-060</t>
        </is>
      </c>
      <c r="C265" s="12" t="inlineStr">
        <is>
          <t>Guideway and Civil - concrete structures - supply and install</t>
        </is>
      </c>
      <c r="D265" s="12" t="inlineStr">
        <is>
          <t>Cost Account = CA-1060; WBS Code = 1.1.2</t>
        </is>
      </c>
      <c r="E265" s="12" t="inlineStr">
        <is>
          <t>R1142-v1</t>
        </is>
      </c>
      <c r="F265" s="12" t="inlineStr">
        <is>
          <t>1.1.2 Guideway and Civil - Utility &amp; Roadworks</t>
        </is>
      </c>
      <c r="G265" s="12" t="inlineStr">
        <is>
          <t>ONE_TO_ONE</t>
        </is>
      </c>
      <c r="H265" s="12" t="inlineStr">
        <is>
          <t>APPROVED</t>
        </is>
      </c>
      <c r="I265" s="12" t="inlineStr">
        <is>
          <t>New</t>
        </is>
      </c>
      <c r="J265" s="12" t="inlineStr">
        <is>
          <t>Source assignment -- not individually reviewed</t>
        </is>
      </c>
      <c r="K265" s="12" t="inlineStr"/>
      <c r="L265" s="12" t="inlineStr"/>
      <c r="M265" s="12" t="inlineStr"/>
      <c r="N265" s="17" t="inlineStr">
        <is>
          <t>10 EVIDENCE &amp; DECISIONS</t>
        </is>
      </c>
      <c r="O265" s="105" t="n">
        <v>1380000</v>
      </c>
      <c r="P265" s="105" t="n">
        <v>1367500</v>
      </c>
      <c r="Q265" s="105" t="inlineStr">
        <is>
          <t>CAD</t>
        </is>
      </c>
      <c r="R265" s="105" t="n"/>
      <c r="S265" s="105" t="inlineStr">
        <is>
          <t>2027-06-30</t>
        </is>
      </c>
      <c r="T265" s="105" t="inlineStr">
        <is>
          <t>C1-R0</t>
        </is>
      </c>
      <c r="U265" s="105" t="inlineStr">
        <is>
          <t>Supplied practice file monthly_cost_forecast.xlsx, row 61</t>
        </is>
      </c>
      <c r="V265" s="105" t="inlineStr">
        <is>
          <t>Whole source account, not a target allocation. Repeated target rows must not be summed. Aggregate cost / forecast remains withheld.</t>
        </is>
      </c>
    </row>
    <row r="266" ht="34" customHeight="1">
      <c r="A266" s="12" t="inlineStr">
        <is>
          <t>Cost &amp; Forecast Control Accounts</t>
        </is>
      </c>
      <c r="B266" s="12" t="inlineStr">
        <is>
          <t>CST-01-062</t>
        </is>
      </c>
      <c r="C266" s="12" t="inlineStr">
        <is>
          <t>Guideway and Civil - temporary works - allowance</t>
        </is>
      </c>
      <c r="D266" s="12" t="inlineStr">
        <is>
          <t>Cost Account = CA-1062; WBS Code = 1.1.2</t>
        </is>
      </c>
      <c r="E266" s="12" t="inlineStr">
        <is>
          <t>R1144-v1</t>
        </is>
      </c>
      <c r="F266" s="12" t="inlineStr">
        <is>
          <t>1.1.2 Guideway and Civil - Utility &amp; Roadworks</t>
        </is>
      </c>
      <c r="G266" s="12" t="inlineStr">
        <is>
          <t>ONE_TO_ONE</t>
        </is>
      </c>
      <c r="H266" s="12" t="inlineStr">
        <is>
          <t>APPROVED</t>
        </is>
      </c>
      <c r="I266" s="12" t="inlineStr">
        <is>
          <t>New</t>
        </is>
      </c>
      <c r="J266" s="12" t="inlineStr">
        <is>
          <t>Source assignment -- not individually reviewed</t>
        </is>
      </c>
      <c r="K266" s="12" t="inlineStr"/>
      <c r="L266" s="12" t="inlineStr"/>
      <c r="M266" s="12" t="inlineStr"/>
      <c r="N266" s="17" t="inlineStr">
        <is>
          <t>10 EVIDENCE &amp; DECISIONS</t>
        </is>
      </c>
      <c r="O266" s="105" t="n">
        <v>1415000</v>
      </c>
      <c r="P266" s="105" t="n">
        <v>1427500</v>
      </c>
      <c r="Q266" s="105" t="inlineStr">
        <is>
          <t>CAD</t>
        </is>
      </c>
      <c r="R266" s="105" t="n"/>
      <c r="S266" s="105" t="inlineStr">
        <is>
          <t>2027-06-30</t>
        </is>
      </c>
      <c r="T266" s="105" t="inlineStr">
        <is>
          <t>C1-R0</t>
        </is>
      </c>
      <c r="U266" s="105" t="inlineStr">
        <is>
          <t>Supplied practice file monthly_cost_forecast.xlsx, row 63</t>
        </is>
      </c>
      <c r="V266" s="105" t="inlineStr">
        <is>
          <t>Whole source account, not a target allocation. Repeated target rows must not be summed. Aggregate cost / forecast remains withheld.</t>
        </is>
      </c>
    </row>
    <row r="267" ht="34" customHeight="1">
      <c r="A267" s="12" t="inlineStr">
        <is>
          <t>Cost &amp; Forecast Control Accounts</t>
        </is>
      </c>
      <c r="B267" s="12" t="inlineStr">
        <is>
          <t>CST-01-064</t>
        </is>
      </c>
      <c r="C267" s="12" t="inlineStr">
        <is>
          <t>Guideway and Civil - roadworks - field package</t>
        </is>
      </c>
      <c r="D267" s="12" t="inlineStr">
        <is>
          <t>Cost Account = CA-1064; WBS Code = 1.1.2</t>
        </is>
      </c>
      <c r="E267" s="12" t="inlineStr">
        <is>
          <t>R1146-v1</t>
        </is>
      </c>
      <c r="F267" s="12" t="inlineStr">
        <is>
          <t>1.1.2 Guideway and Civil - Utility &amp; Roadworks</t>
        </is>
      </c>
      <c r="G267" s="12" t="inlineStr">
        <is>
          <t>ONE_TO_ONE</t>
        </is>
      </c>
      <c r="H267" s="12" t="inlineStr">
        <is>
          <t>APPROVED</t>
        </is>
      </c>
      <c r="I267" s="12" t="inlineStr">
        <is>
          <t>New</t>
        </is>
      </c>
      <c r="J267" s="12" t="inlineStr">
        <is>
          <t>Source assignment -- not individually reviewed</t>
        </is>
      </c>
      <c r="K267" s="12" t="inlineStr"/>
      <c r="L267" s="12" t="inlineStr"/>
      <c r="M267" s="12" t="inlineStr"/>
      <c r="N267" s="17" t="inlineStr">
        <is>
          <t>10 EVIDENCE &amp; DECISIONS</t>
        </is>
      </c>
      <c r="O267" s="105" t="n">
        <v>1450000</v>
      </c>
      <c r="P267" s="105" t="n">
        <v>1437500</v>
      </c>
      <c r="Q267" s="105" t="inlineStr">
        <is>
          <t>CAD</t>
        </is>
      </c>
      <c r="R267" s="105" t="n"/>
      <c r="S267" s="105" t="inlineStr">
        <is>
          <t>2027-06-30</t>
        </is>
      </c>
      <c r="T267" s="105" t="inlineStr">
        <is>
          <t>C1-R0</t>
        </is>
      </c>
      <c r="U267" s="105" t="inlineStr">
        <is>
          <t>Supplied practice file monthly_cost_forecast.xlsx, row 65</t>
        </is>
      </c>
      <c r="V267" s="105" t="inlineStr">
        <is>
          <t>Whole source account, not a target allocation. Repeated target rows must not be summed. Aggregate cost / forecast remains withheld.</t>
        </is>
      </c>
    </row>
    <row r="268" ht="34" customHeight="1">
      <c r="A268" s="12" t="inlineStr">
        <is>
          <t>Cost &amp; Forecast Control Accounts</t>
        </is>
      </c>
      <c r="B268" s="12" t="inlineStr">
        <is>
          <t>CST-01-066</t>
        </is>
      </c>
      <c r="C268" s="12" t="inlineStr">
        <is>
          <t>Guideway and Civil - concrete structures - professional services</t>
        </is>
      </c>
      <c r="D268" s="12" t="inlineStr">
        <is>
          <t>Cost Account = CA-1066; WBS Code = 1.1.2</t>
        </is>
      </c>
      <c r="E268" s="12" t="inlineStr">
        <is>
          <t>R1148-v1</t>
        </is>
      </c>
      <c r="F268" s="12" t="inlineStr">
        <is>
          <t>1.1.2 Guideway and Civil - Utility &amp; Roadworks</t>
        </is>
      </c>
      <c r="G268" s="12" t="inlineStr">
        <is>
          <t>ONE_TO_ONE</t>
        </is>
      </c>
      <c r="H268" s="12" t="inlineStr">
        <is>
          <t>APPROVED</t>
        </is>
      </c>
      <c r="I268" s="12" t="inlineStr">
        <is>
          <t>New</t>
        </is>
      </c>
      <c r="J268" s="12" t="inlineStr">
        <is>
          <t>Source assignment -- not individually reviewed</t>
        </is>
      </c>
      <c r="K268" s="12" t="inlineStr"/>
      <c r="L268" s="12" t="inlineStr"/>
      <c r="M268" s="12" t="inlineStr"/>
      <c r="N268" s="17" t="inlineStr">
        <is>
          <t>10 EVIDENCE &amp; DECISIONS</t>
        </is>
      </c>
      <c r="O268" s="105" t="n">
        <v>1485000</v>
      </c>
      <c r="P268" s="105" t="n">
        <v>1497500</v>
      </c>
      <c r="Q268" s="105" t="inlineStr">
        <is>
          <t>CAD</t>
        </is>
      </c>
      <c r="R268" s="105" t="n"/>
      <c r="S268" s="105" t="inlineStr">
        <is>
          <t>2027-06-30</t>
        </is>
      </c>
      <c r="T268" s="105" t="inlineStr">
        <is>
          <t>C1-R0</t>
        </is>
      </c>
      <c r="U268" s="105" t="inlineStr">
        <is>
          <t>Supplied practice file monthly_cost_forecast.xlsx, row 67</t>
        </is>
      </c>
      <c r="V268" s="105" t="inlineStr">
        <is>
          <t>Whole source account, not a target allocation. Repeated target rows must not be summed. Aggregate cost / forecast remains withheld.</t>
        </is>
      </c>
    </row>
    <row r="269" ht="34" customHeight="1">
      <c r="A269" s="12" t="inlineStr">
        <is>
          <t>Cost &amp; Forecast Control Accounts</t>
        </is>
      </c>
      <c r="B269" s="12" t="inlineStr">
        <is>
          <t>CST-01-068</t>
        </is>
      </c>
      <c r="C269" s="12" t="inlineStr">
        <is>
          <t>Guideway and Civil - temporary works - closeout</t>
        </is>
      </c>
      <c r="D269" s="12" t="inlineStr">
        <is>
          <t>Cost Account = CA-1068; WBS Code = 1.1.2</t>
        </is>
      </c>
      <c r="E269" s="12" t="inlineStr">
        <is>
          <t>R1150-v1</t>
        </is>
      </c>
      <c r="F269" s="12" t="inlineStr">
        <is>
          <t>1.1.2 Guideway and Civil - Utility &amp; Roadworks</t>
        </is>
      </c>
      <c r="G269" s="12" t="inlineStr">
        <is>
          <t>ONE_TO_ONE</t>
        </is>
      </c>
      <c r="H269" s="12" t="inlineStr">
        <is>
          <t>APPROVED</t>
        </is>
      </c>
      <c r="I269" s="12" t="inlineStr">
        <is>
          <t>New</t>
        </is>
      </c>
      <c r="J269" s="12" t="inlineStr">
        <is>
          <t>Source assignment -- not individually reviewed</t>
        </is>
      </c>
      <c r="K269" s="12" t="inlineStr"/>
      <c r="L269" s="12" t="inlineStr"/>
      <c r="M269" s="12" t="inlineStr"/>
      <c r="N269" s="17" t="inlineStr">
        <is>
          <t>10 EVIDENCE &amp; DECISIONS</t>
        </is>
      </c>
      <c r="O269" s="105" t="n">
        <v>1520000</v>
      </c>
      <c r="P269" s="105" t="n">
        <v>1507500</v>
      </c>
      <c r="Q269" s="105" t="inlineStr">
        <is>
          <t>CAD</t>
        </is>
      </c>
      <c r="R269" s="105" t="n"/>
      <c r="S269" s="105" t="inlineStr">
        <is>
          <t>2027-06-30</t>
        </is>
      </c>
      <c r="T269" s="105" t="inlineStr">
        <is>
          <t>C1-R0</t>
        </is>
      </c>
      <c r="U269" s="105" t="inlineStr">
        <is>
          <t>Supplied practice file monthly_cost_forecast.xlsx, row 69</t>
        </is>
      </c>
      <c r="V269" s="105" t="inlineStr">
        <is>
          <t>Whole source account, not a target allocation. Repeated target rows must not be summed. Aggregate cost / forecast remains withheld.</t>
        </is>
      </c>
    </row>
    <row r="270" ht="34" customHeight="1">
      <c r="A270" s="12" t="inlineStr">
        <is>
          <t>Cost &amp; Forecast Control Accounts</t>
        </is>
      </c>
      <c r="B270" s="12" t="inlineStr">
        <is>
          <t>CST-01-070</t>
        </is>
      </c>
      <c r="C270" s="12" t="inlineStr">
        <is>
          <t>Guideway and Civil - roadworks - supply and install</t>
        </is>
      </c>
      <c r="D270" s="12" t="inlineStr">
        <is>
          <t>Cost Account = CA-1070; WBS Code = 1.1.2</t>
        </is>
      </c>
      <c r="E270" s="12" t="inlineStr">
        <is>
          <t>R1152-v1</t>
        </is>
      </c>
      <c r="F270" s="12" t="inlineStr">
        <is>
          <t>1.1.2 Guideway and Civil - Utility &amp; Roadworks</t>
        </is>
      </c>
      <c r="G270" s="12" t="inlineStr">
        <is>
          <t>ONE_TO_ONE</t>
        </is>
      </c>
      <c r="H270" s="12" t="inlineStr">
        <is>
          <t>APPROVED</t>
        </is>
      </c>
      <c r="I270" s="12" t="inlineStr">
        <is>
          <t>New</t>
        </is>
      </c>
      <c r="J270" s="12" t="inlineStr">
        <is>
          <t>Source assignment -- not individually reviewed</t>
        </is>
      </c>
      <c r="K270" s="12" t="inlineStr"/>
      <c r="L270" s="12" t="inlineStr"/>
      <c r="M270" s="12" t="inlineStr"/>
      <c r="N270" s="17" t="inlineStr">
        <is>
          <t>10 EVIDENCE &amp; DECISIONS</t>
        </is>
      </c>
      <c r="O270" s="105" t="n">
        <v>1555000</v>
      </c>
      <c r="P270" s="105" t="n">
        <v>1567500</v>
      </c>
      <c r="Q270" s="105" t="inlineStr">
        <is>
          <t>CAD</t>
        </is>
      </c>
      <c r="R270" s="105" t="n"/>
      <c r="S270" s="105" t="inlineStr">
        <is>
          <t>2027-06-30</t>
        </is>
      </c>
      <c r="T270" s="105" t="inlineStr">
        <is>
          <t>C1-R0</t>
        </is>
      </c>
      <c r="U270" s="105" t="inlineStr">
        <is>
          <t>Supplied practice file monthly_cost_forecast.xlsx, row 71</t>
        </is>
      </c>
      <c r="V270" s="105" t="inlineStr">
        <is>
          <t>Whole source account, not a target allocation. Repeated target rows must not be summed. Aggregate cost / forecast remains withheld.</t>
        </is>
      </c>
    </row>
    <row r="271" ht="34" customHeight="1">
      <c r="A271" s="12" t="inlineStr">
        <is>
          <t>Cost &amp; Forecast Control Accounts</t>
        </is>
      </c>
      <c r="B271" s="12" t="inlineStr">
        <is>
          <t>CST-01-072</t>
        </is>
      </c>
      <c r="C271" s="12" t="inlineStr">
        <is>
          <t>Guideway and Civil - concrete structures - allowance</t>
        </is>
      </c>
      <c r="D271" s="12" t="inlineStr">
        <is>
          <t>Cost Account = CA-1072; WBS Code = 1.1.2</t>
        </is>
      </c>
      <c r="E271" s="12" t="inlineStr">
        <is>
          <t>R1154-v1</t>
        </is>
      </c>
      <c r="F271" s="12" t="inlineStr">
        <is>
          <t>1.1.2 Guideway and Civil - Utility &amp; Roadworks</t>
        </is>
      </c>
      <c r="G271" s="12" t="inlineStr">
        <is>
          <t>ONE_TO_ONE</t>
        </is>
      </c>
      <c r="H271" s="12" t="inlineStr">
        <is>
          <t>APPROVED</t>
        </is>
      </c>
      <c r="I271" s="12" t="inlineStr">
        <is>
          <t>New</t>
        </is>
      </c>
      <c r="J271" s="12" t="inlineStr">
        <is>
          <t>Source assignment -- not individually reviewed</t>
        </is>
      </c>
      <c r="K271" s="12" t="inlineStr"/>
      <c r="L271" s="12" t="inlineStr"/>
      <c r="M271" s="12" t="inlineStr"/>
      <c r="N271" s="17" t="inlineStr">
        <is>
          <t>10 EVIDENCE &amp; DECISIONS</t>
        </is>
      </c>
      <c r="O271" s="105" t="n">
        <v>1590000</v>
      </c>
      <c r="P271" s="105" t="n">
        <v>1577500</v>
      </c>
      <c r="Q271" s="105" t="inlineStr">
        <is>
          <t>CAD</t>
        </is>
      </c>
      <c r="R271" s="105" t="n"/>
      <c r="S271" s="105" t="inlineStr">
        <is>
          <t>2027-06-30</t>
        </is>
      </c>
      <c r="T271" s="105" t="inlineStr">
        <is>
          <t>C1-R0</t>
        </is>
      </c>
      <c r="U271" s="105" t="inlineStr">
        <is>
          <t>Supplied practice file monthly_cost_forecast.xlsx, row 73</t>
        </is>
      </c>
      <c r="V271" s="105" t="inlineStr">
        <is>
          <t>Whole source account, not a target allocation. Repeated target rows must not be summed. Aggregate cost / forecast remains withheld.</t>
        </is>
      </c>
    </row>
    <row r="272" ht="34" customHeight="1">
      <c r="A272" s="12" t="inlineStr">
        <is>
          <t>Cost &amp; Forecast Control Accounts</t>
        </is>
      </c>
      <c r="B272" s="12" t="inlineStr">
        <is>
          <t>CST-01-074</t>
        </is>
      </c>
      <c r="C272" s="12" t="inlineStr">
        <is>
          <t>Guideway and Civil - temporary works - field package</t>
        </is>
      </c>
      <c r="D272" s="12" t="inlineStr">
        <is>
          <t>Cost Account = CA-1074; WBS Code = 1.1.2</t>
        </is>
      </c>
      <c r="E272" s="12" t="inlineStr">
        <is>
          <t>R1156-v1</t>
        </is>
      </c>
      <c r="F272" s="12" t="inlineStr">
        <is>
          <t>1.1.2 Guideway and Civil - Utility &amp; Roadworks</t>
        </is>
      </c>
      <c r="G272" s="12" t="inlineStr">
        <is>
          <t>ONE_TO_ONE</t>
        </is>
      </c>
      <c r="H272" s="12" t="inlineStr">
        <is>
          <t>APPROVED</t>
        </is>
      </c>
      <c r="I272" s="12" t="inlineStr">
        <is>
          <t>New</t>
        </is>
      </c>
      <c r="J272" s="12" t="inlineStr">
        <is>
          <t>Source assignment -- not individually reviewed</t>
        </is>
      </c>
      <c r="K272" s="12" t="inlineStr"/>
      <c r="L272" s="12" t="inlineStr"/>
      <c r="M272" s="12" t="inlineStr"/>
      <c r="N272" s="17" t="inlineStr">
        <is>
          <t>10 EVIDENCE &amp; DECISIONS</t>
        </is>
      </c>
      <c r="O272" s="105" t="n">
        <v>1625000</v>
      </c>
      <c r="P272" s="105" t="n">
        <v>1637500</v>
      </c>
      <c r="Q272" s="105" t="inlineStr">
        <is>
          <t>CAD</t>
        </is>
      </c>
      <c r="R272" s="105" t="n"/>
      <c r="S272" s="105" t="inlineStr">
        <is>
          <t>2027-06-30</t>
        </is>
      </c>
      <c r="T272" s="105" t="inlineStr">
        <is>
          <t>C1-R0</t>
        </is>
      </c>
      <c r="U272" s="105" t="inlineStr">
        <is>
          <t>Supplied practice file monthly_cost_forecast.xlsx, row 75</t>
        </is>
      </c>
      <c r="V272" s="105" t="inlineStr">
        <is>
          <t>Whole source account, not a target allocation. Repeated target rows must not be summed. Aggregate cost / forecast remains withheld.</t>
        </is>
      </c>
    </row>
    <row r="273" ht="34" customHeight="1">
      <c r="A273" s="12" t="inlineStr">
        <is>
          <t>Cost &amp; Forecast Control Accounts</t>
        </is>
      </c>
      <c r="B273" s="12" t="inlineStr">
        <is>
          <t>CST-01-076</t>
        </is>
      </c>
      <c r="C273" s="12" t="inlineStr">
        <is>
          <t>Guideway and Civil - roadworks - professional services</t>
        </is>
      </c>
      <c r="D273" s="12" t="inlineStr">
        <is>
          <t>Cost Account = CA-1076; WBS Code = 1.1.2</t>
        </is>
      </c>
      <c r="E273" s="12" t="inlineStr">
        <is>
          <t>R1158-v1</t>
        </is>
      </c>
      <c r="F273" s="12" t="inlineStr">
        <is>
          <t>1.1.2 Guideway and Civil - Utility &amp; Roadworks</t>
        </is>
      </c>
      <c r="G273" s="12" t="inlineStr">
        <is>
          <t>ONE_TO_ONE</t>
        </is>
      </c>
      <c r="H273" s="12" t="inlineStr">
        <is>
          <t>APPROVED</t>
        </is>
      </c>
      <c r="I273" s="12" t="inlineStr">
        <is>
          <t>New</t>
        </is>
      </c>
      <c r="J273" s="12" t="inlineStr">
        <is>
          <t>Source assignment -- not individually reviewed</t>
        </is>
      </c>
      <c r="K273" s="12" t="inlineStr"/>
      <c r="L273" s="12" t="inlineStr"/>
      <c r="M273" s="12" t="inlineStr"/>
      <c r="N273" s="17" t="inlineStr">
        <is>
          <t>10 EVIDENCE &amp; DECISIONS</t>
        </is>
      </c>
      <c r="O273" s="105" t="n">
        <v>1660000</v>
      </c>
      <c r="P273" s="105" t="n">
        <v>1647500</v>
      </c>
      <c r="Q273" s="105" t="inlineStr">
        <is>
          <t>CAD</t>
        </is>
      </c>
      <c r="R273" s="105" t="n"/>
      <c r="S273" s="105" t="inlineStr">
        <is>
          <t>2027-06-30</t>
        </is>
      </c>
      <c r="T273" s="105" t="inlineStr">
        <is>
          <t>C1-R0</t>
        </is>
      </c>
      <c r="U273" s="105" t="inlineStr">
        <is>
          <t>Supplied practice file monthly_cost_forecast.xlsx, row 77</t>
        </is>
      </c>
      <c r="V273" s="105" t="inlineStr">
        <is>
          <t>Whole source account, not a target allocation. Repeated target rows must not be summed. Aggregate cost / forecast remains withheld.</t>
        </is>
      </c>
    </row>
    <row r="274" ht="34" customHeight="1">
      <c r="A274" s="12" t="inlineStr">
        <is>
          <t>Cost &amp; Forecast Control Accounts</t>
        </is>
      </c>
      <c r="B274" s="12" t="inlineStr">
        <is>
          <t>CST-01-078</t>
        </is>
      </c>
      <c r="C274" s="12" t="inlineStr">
        <is>
          <t>Guideway and Civil - concrete structures - closeout</t>
        </is>
      </c>
      <c r="D274" s="12" t="inlineStr">
        <is>
          <t>Cost Account = CA-1078; WBS Code = 1.1.2</t>
        </is>
      </c>
      <c r="E274" s="12" t="inlineStr">
        <is>
          <t>R1160-v1</t>
        </is>
      </c>
      <c r="F274" s="12" t="inlineStr">
        <is>
          <t>1.1.2 Guideway and Civil - Utility &amp; Roadworks</t>
        </is>
      </c>
      <c r="G274" s="12" t="inlineStr">
        <is>
          <t>ONE_TO_ONE</t>
        </is>
      </c>
      <c r="H274" s="12" t="inlineStr">
        <is>
          <t>APPROVED</t>
        </is>
      </c>
      <c r="I274" s="12" t="inlineStr">
        <is>
          <t>New</t>
        </is>
      </c>
      <c r="J274" s="12" t="inlineStr">
        <is>
          <t>Source assignment -- not individually reviewed</t>
        </is>
      </c>
      <c r="K274" s="12" t="inlineStr"/>
      <c r="L274" s="12" t="inlineStr"/>
      <c r="M274" s="12" t="inlineStr"/>
      <c r="N274" s="17" t="inlineStr">
        <is>
          <t>10 EVIDENCE &amp; DECISIONS</t>
        </is>
      </c>
      <c r="O274" s="105" t="n">
        <v>1695000</v>
      </c>
      <c r="P274" s="105" t="n">
        <v>1707500</v>
      </c>
      <c r="Q274" s="105" t="inlineStr">
        <is>
          <t>CAD</t>
        </is>
      </c>
      <c r="R274" s="105" t="n"/>
      <c r="S274" s="105" t="inlineStr">
        <is>
          <t>2027-06-30</t>
        </is>
      </c>
      <c r="T274" s="105" t="inlineStr">
        <is>
          <t>C1-R0</t>
        </is>
      </c>
      <c r="U274" s="105" t="inlineStr">
        <is>
          <t>Supplied practice file monthly_cost_forecast.xlsx, row 79</t>
        </is>
      </c>
      <c r="V274" s="105" t="inlineStr">
        <is>
          <t>Whole source account, not a target allocation. Repeated target rows must not be summed. Aggregate cost / forecast remains withheld.</t>
        </is>
      </c>
    </row>
    <row r="275" ht="34" customHeight="1">
      <c r="A275" s="12" t="inlineStr">
        <is>
          <t>Cost &amp; Forecast Control Accounts</t>
        </is>
      </c>
      <c r="B275" s="12" t="inlineStr">
        <is>
          <t>CST-01-080</t>
        </is>
      </c>
      <c r="C275" s="12" t="inlineStr">
        <is>
          <t>Guideway and Civil - temporary works - supply and install</t>
        </is>
      </c>
      <c r="D275" s="12" t="inlineStr">
        <is>
          <t>Cost Account = CA-1080; WBS Code = 1.1.2</t>
        </is>
      </c>
      <c r="E275" s="12" t="inlineStr">
        <is>
          <t>R1162-v1</t>
        </is>
      </c>
      <c r="F275" s="12" t="inlineStr">
        <is>
          <t>1.1.2 Guideway and Civil - Utility &amp; Roadworks</t>
        </is>
      </c>
      <c r="G275" s="12" t="inlineStr">
        <is>
          <t>ONE_TO_ONE</t>
        </is>
      </c>
      <c r="H275" s="12" t="inlineStr">
        <is>
          <t>APPROVED</t>
        </is>
      </c>
      <c r="I275" s="12" t="inlineStr">
        <is>
          <t>New</t>
        </is>
      </c>
      <c r="J275" s="12" t="inlineStr">
        <is>
          <t>Source assignment -- not individually reviewed</t>
        </is>
      </c>
      <c r="K275" s="12" t="inlineStr"/>
      <c r="L275" s="12" t="inlineStr"/>
      <c r="M275" s="12" t="inlineStr"/>
      <c r="N275" s="17" t="inlineStr">
        <is>
          <t>10 EVIDENCE &amp; DECISIONS</t>
        </is>
      </c>
      <c r="O275" s="105" t="n">
        <v>1730000</v>
      </c>
      <c r="P275" s="105" t="n">
        <v>1717500</v>
      </c>
      <c r="Q275" s="105" t="inlineStr">
        <is>
          <t>CAD</t>
        </is>
      </c>
      <c r="R275" s="105" t="n"/>
      <c r="S275" s="105" t="inlineStr">
        <is>
          <t>2027-06-30</t>
        </is>
      </c>
      <c r="T275" s="105" t="inlineStr">
        <is>
          <t>C1-R0</t>
        </is>
      </c>
      <c r="U275" s="105" t="inlineStr">
        <is>
          <t>Supplied practice file monthly_cost_forecast.xlsx, row 81</t>
        </is>
      </c>
      <c r="V275" s="105" t="inlineStr">
        <is>
          <t>Whole source account, not a target allocation. Repeated target rows must not be summed. Aggregate cost / forecast remains withheld.</t>
        </is>
      </c>
    </row>
    <row r="276" ht="94" customHeight="1">
      <c r="A276" s="12" t="inlineStr">
        <is>
          <t>Commercial Package Register</t>
        </is>
      </c>
      <c r="B276" s="12" t="inlineStr">
        <is>
          <t>PKG-001</t>
        </is>
      </c>
      <c r="C276" s="12" t="inlineStr">
        <is>
          <t>Guideway Civil Works</t>
        </is>
      </c>
      <c r="D276" s="12" t="inlineStr">
        <is>
          <t>Package Code = PK-101; WBS Code = 1.1;1.2</t>
        </is>
      </c>
      <c r="E276" s="12" t="inlineStr">
        <is>
          <t>R1563-v2</t>
        </is>
      </c>
      <c r="F276" s="12" t="inlineStr">
        <is>
          <t>1.2 Stations</t>
        </is>
      </c>
      <c r="G276" s="12" t="inlineStr">
        <is>
          <t>ONE_TO_MANY</t>
        </is>
      </c>
      <c r="H276" s="12" t="inlineStr">
        <is>
          <t>APPROVED</t>
        </is>
      </c>
      <c r="I276" s="12" t="inlineStr">
        <is>
          <t>New</t>
        </is>
      </c>
      <c r="J276" s="12" t="inlineStr">
        <is>
          <t>Professional decision</t>
        </is>
      </c>
      <c r="K276" s="12" t="inlineStr">
        <is>
          <t>Maya Chen, Owner Project Controls</t>
        </is>
      </c>
      <c r="L276" s="12" t="inlineStr"/>
      <c r="M276" s="12" t="inlineStr">
        <is>
          <t>Source states 'WBS Code' = '1.1;1.2' -- names no element of this WBS -- professional reason (Maya Chen, Owner Project Controls): Source package register explicitly states both Owner-WBS branches.</t>
        </is>
      </c>
      <c r="N276" s="17" t="inlineStr">
        <is>
          <t>10 EVIDENCE &amp; DECISIONS</t>
        </is>
      </c>
    </row>
    <row r="277" ht="34" customHeight="1">
      <c r="A277" s="12" t="inlineStr">
        <is>
          <t>Commercial Package Register</t>
        </is>
      </c>
      <c r="B277" s="12" t="inlineStr">
        <is>
          <t>PKG-011</t>
        </is>
      </c>
      <c r="C277" s="12" t="inlineStr">
        <is>
          <t>Station Structural Works</t>
        </is>
      </c>
      <c r="D277" s="12" t="inlineStr">
        <is>
          <t>Package Code = PK-201; WBS Code = 1.2</t>
        </is>
      </c>
      <c r="E277" s="12" t="inlineStr">
        <is>
          <t>R1573-v1</t>
        </is>
      </c>
      <c r="F277" s="12" t="inlineStr">
        <is>
          <t>1.2 Stations</t>
        </is>
      </c>
      <c r="G277" s="12" t="inlineStr">
        <is>
          <t>ONE_TO_ONE</t>
        </is>
      </c>
      <c r="H277" s="12" t="inlineStr">
        <is>
          <t>APPROVED</t>
        </is>
      </c>
      <c r="I277" s="12" t="inlineStr">
        <is>
          <t>New</t>
        </is>
      </c>
      <c r="J277" s="12" t="inlineStr">
        <is>
          <t>Source assignment -- not individually reviewed</t>
        </is>
      </c>
      <c r="K277" s="12" t="inlineStr"/>
      <c r="L277" s="12" t="inlineStr"/>
      <c r="M277" s="12" t="inlineStr"/>
      <c r="N277" s="17" t="inlineStr">
        <is>
          <t>10 EVIDENCE &amp; DECISIONS</t>
        </is>
      </c>
    </row>
    <row r="278" ht="34" customHeight="1">
      <c r="A278" s="12" t="inlineStr">
        <is>
          <t>Commercial Package Register</t>
        </is>
      </c>
      <c r="B278" s="12" t="inlineStr">
        <is>
          <t>PKG-012</t>
        </is>
      </c>
      <c r="C278" s="12" t="inlineStr">
        <is>
          <t>Station Fit-Out</t>
        </is>
      </c>
      <c r="D278" s="12" t="inlineStr">
        <is>
          <t>Package Code = PK-202; WBS Code = 1.2</t>
        </is>
      </c>
      <c r="E278" s="12" t="inlineStr">
        <is>
          <t>R1574-v1</t>
        </is>
      </c>
      <c r="F278" s="12" t="inlineStr">
        <is>
          <t>1.2 Stations</t>
        </is>
      </c>
      <c r="G278" s="12" t="inlineStr">
        <is>
          <t>ONE_TO_ONE</t>
        </is>
      </c>
      <c r="H278" s="12" t="inlineStr">
        <is>
          <t>APPROVED</t>
        </is>
      </c>
      <c r="I278" s="12" t="inlineStr">
        <is>
          <t>New</t>
        </is>
      </c>
      <c r="J278" s="12" t="inlineStr">
        <is>
          <t>Source assignment -- not individually reviewed</t>
        </is>
      </c>
      <c r="K278" s="12" t="inlineStr"/>
      <c r="L278" s="12" t="inlineStr"/>
      <c r="M278" s="12" t="inlineStr"/>
      <c r="N278" s="17" t="inlineStr">
        <is>
          <t>10 EVIDENCE &amp; DECISIONS</t>
        </is>
      </c>
    </row>
    <row r="279" ht="34" customHeight="1">
      <c r="A279" s="12" t="inlineStr">
        <is>
          <t>Commercial Package Register</t>
        </is>
      </c>
      <c r="B279" s="12" t="inlineStr">
        <is>
          <t>PKG-013</t>
        </is>
      </c>
      <c r="C279" s="12" t="inlineStr">
        <is>
          <t>Building Services</t>
        </is>
      </c>
      <c r="D279" s="12" t="inlineStr">
        <is>
          <t>Package Code = PK-203; WBS Code = 1.2</t>
        </is>
      </c>
      <c r="E279" s="12" t="inlineStr">
        <is>
          <t>R1575-v1</t>
        </is>
      </c>
      <c r="F279" s="12" t="inlineStr">
        <is>
          <t>1.2 Stations</t>
        </is>
      </c>
      <c r="G279" s="12" t="inlineStr">
        <is>
          <t>ONE_TO_ONE</t>
        </is>
      </c>
      <c r="H279" s="12" t="inlineStr">
        <is>
          <t>APPROVED</t>
        </is>
      </c>
      <c r="I279" s="12" t="inlineStr">
        <is>
          <t>New</t>
        </is>
      </c>
      <c r="J279" s="12" t="inlineStr">
        <is>
          <t>Source assignment -- not individually reviewed</t>
        </is>
      </c>
      <c r="K279" s="12" t="inlineStr"/>
      <c r="L279" s="12" t="inlineStr"/>
      <c r="M279" s="12" t="inlineStr"/>
      <c r="N279" s="17" t="inlineStr">
        <is>
          <t>10 EVIDENCE &amp; DECISIONS</t>
        </is>
      </c>
    </row>
    <row r="280" ht="34" customHeight="1">
      <c r="A280" s="12" t="inlineStr">
        <is>
          <t>Commercial Package Register</t>
        </is>
      </c>
      <c r="B280" s="12" t="inlineStr">
        <is>
          <t>PKG-014</t>
        </is>
      </c>
      <c r="C280" s="12" t="inlineStr">
        <is>
          <t>Public Realm</t>
        </is>
      </c>
      <c r="D280" s="12" t="inlineStr">
        <is>
          <t>Package Code = PK-204; WBS Code = 1.2</t>
        </is>
      </c>
      <c r="E280" s="12" t="inlineStr">
        <is>
          <t>R1576-v1</t>
        </is>
      </c>
      <c r="F280" s="12" t="inlineStr">
        <is>
          <t>1.2 Stations</t>
        </is>
      </c>
      <c r="G280" s="12" t="inlineStr">
        <is>
          <t>ONE_TO_ONE</t>
        </is>
      </c>
      <c r="H280" s="12" t="inlineStr">
        <is>
          <t>APPROVED</t>
        </is>
      </c>
      <c r="I280" s="12" t="inlineStr">
        <is>
          <t>New</t>
        </is>
      </c>
      <c r="J280" s="12" t="inlineStr">
        <is>
          <t>Source assignment -- not individually reviewed</t>
        </is>
      </c>
      <c r="K280" s="12" t="inlineStr"/>
      <c r="L280" s="12" t="inlineStr"/>
      <c r="M280" s="12" t="inlineStr"/>
      <c r="N280" s="17" t="inlineStr">
        <is>
          <t>10 EVIDENCE &amp; DECISIONS</t>
        </is>
      </c>
    </row>
    <row r="281" ht="34" customHeight="1">
      <c r="A281" s="12" t="inlineStr">
        <is>
          <t>Commercial Package Register</t>
        </is>
      </c>
      <c r="B281" s="12" t="inlineStr">
        <is>
          <t>PKG-015</t>
        </is>
      </c>
      <c r="C281" s="12" t="inlineStr">
        <is>
          <t>Station Structural Works - Lot 2</t>
        </is>
      </c>
      <c r="D281" s="12" t="inlineStr">
        <is>
          <t>Package Code = PK-205; WBS Code = 1.2</t>
        </is>
      </c>
      <c r="E281" s="12" t="inlineStr">
        <is>
          <t>R1577-v1</t>
        </is>
      </c>
      <c r="F281" s="12" t="inlineStr">
        <is>
          <t>1.2 Stations</t>
        </is>
      </c>
      <c r="G281" s="12" t="inlineStr">
        <is>
          <t>ONE_TO_ONE</t>
        </is>
      </c>
      <c r="H281" s="12" t="inlineStr">
        <is>
          <t>APPROVED</t>
        </is>
      </c>
      <c r="I281" s="12" t="inlineStr">
        <is>
          <t>New</t>
        </is>
      </c>
      <c r="J281" s="12" t="inlineStr">
        <is>
          <t>Source assignment -- not individually reviewed</t>
        </is>
      </c>
      <c r="K281" s="12" t="inlineStr"/>
      <c r="L281" s="12" t="inlineStr"/>
      <c r="M281" s="12" t="inlineStr"/>
      <c r="N281" s="17" t="inlineStr">
        <is>
          <t>10 EVIDENCE &amp; DECISIONS</t>
        </is>
      </c>
    </row>
    <row r="282" ht="34" customHeight="1">
      <c r="A282" s="12" t="inlineStr">
        <is>
          <t>Commercial Package Register</t>
        </is>
      </c>
      <c r="B282" s="12" t="inlineStr">
        <is>
          <t>PKG-016</t>
        </is>
      </c>
      <c r="C282" s="12" t="inlineStr">
        <is>
          <t>Station Fit-Out - Lot 2</t>
        </is>
      </c>
      <c r="D282" s="12" t="inlineStr">
        <is>
          <t>Package Code = PK-206; WBS Code = 1.2</t>
        </is>
      </c>
      <c r="E282" s="12" t="inlineStr">
        <is>
          <t>R1578-v1</t>
        </is>
      </c>
      <c r="F282" s="12" t="inlineStr">
        <is>
          <t>1.2 Stations</t>
        </is>
      </c>
      <c r="G282" s="12" t="inlineStr">
        <is>
          <t>ONE_TO_ONE</t>
        </is>
      </c>
      <c r="H282" s="12" t="inlineStr">
        <is>
          <t>APPROVED</t>
        </is>
      </c>
      <c r="I282" s="12" t="inlineStr">
        <is>
          <t>New</t>
        </is>
      </c>
      <c r="J282" s="12" t="inlineStr">
        <is>
          <t>Source assignment -- not individually reviewed</t>
        </is>
      </c>
      <c r="K282" s="12" t="inlineStr"/>
      <c r="L282" s="12" t="inlineStr"/>
      <c r="M282" s="12" t="inlineStr"/>
      <c r="N282" s="17" t="inlineStr">
        <is>
          <t>10 EVIDENCE &amp; DECISIONS</t>
        </is>
      </c>
    </row>
    <row r="283" ht="34" customHeight="1">
      <c r="A283" s="12" t="inlineStr">
        <is>
          <t>Commercial Package Register</t>
        </is>
      </c>
      <c r="B283" s="12" t="inlineStr">
        <is>
          <t>PKG-017</t>
        </is>
      </c>
      <c r="C283" s="12" t="inlineStr">
        <is>
          <t>Building Services - Lot 2</t>
        </is>
      </c>
      <c r="D283" s="12" t="inlineStr">
        <is>
          <t>Package Code = PK-207; WBS Code = 1.2</t>
        </is>
      </c>
      <c r="E283" s="12" t="inlineStr">
        <is>
          <t>R1579-v1</t>
        </is>
      </c>
      <c r="F283" s="12" t="inlineStr">
        <is>
          <t>1.2 Stations</t>
        </is>
      </c>
      <c r="G283" s="12" t="inlineStr">
        <is>
          <t>ONE_TO_ONE</t>
        </is>
      </c>
      <c r="H283" s="12" t="inlineStr">
        <is>
          <t>APPROVED</t>
        </is>
      </c>
      <c r="I283" s="12" t="inlineStr">
        <is>
          <t>New</t>
        </is>
      </c>
      <c r="J283" s="12" t="inlineStr">
        <is>
          <t>Source assignment -- not individually reviewed</t>
        </is>
      </c>
      <c r="K283" s="12" t="inlineStr"/>
      <c r="L283" s="12" t="inlineStr"/>
      <c r="M283" s="12" t="inlineStr"/>
      <c r="N283" s="17" t="inlineStr">
        <is>
          <t>10 EVIDENCE &amp; DECISIONS</t>
        </is>
      </c>
    </row>
    <row r="284" ht="34" customHeight="1">
      <c r="A284" s="12" t="inlineStr">
        <is>
          <t>Commercial Package Register</t>
        </is>
      </c>
      <c r="B284" s="12" t="inlineStr">
        <is>
          <t>PKG-018</t>
        </is>
      </c>
      <c r="C284" s="12" t="inlineStr">
        <is>
          <t>Public Realm - Lot 2</t>
        </is>
      </c>
      <c r="D284" s="12" t="inlineStr">
        <is>
          <t>Package Code = PK-208; WBS Code = 1.2</t>
        </is>
      </c>
      <c r="E284" s="12" t="inlineStr">
        <is>
          <t>R1580-v1</t>
        </is>
      </c>
      <c r="F284" s="12" t="inlineStr">
        <is>
          <t>1.2 Stations</t>
        </is>
      </c>
      <c r="G284" s="12" t="inlineStr">
        <is>
          <t>ONE_TO_ONE</t>
        </is>
      </c>
      <c r="H284" s="12" t="inlineStr">
        <is>
          <t>APPROVED</t>
        </is>
      </c>
      <c r="I284" s="12" t="inlineStr">
        <is>
          <t>New</t>
        </is>
      </c>
      <c r="J284" s="12" t="inlineStr">
        <is>
          <t>Source assignment -- not individually reviewed</t>
        </is>
      </c>
      <c r="K284" s="12" t="inlineStr"/>
      <c r="L284" s="12" t="inlineStr"/>
      <c r="M284" s="12" t="inlineStr"/>
      <c r="N284" s="17" t="inlineStr">
        <is>
          <t>10 EVIDENCE &amp; DECISIONS</t>
        </is>
      </c>
    </row>
    <row r="285" ht="34" customHeight="1">
      <c r="A285" s="12" t="inlineStr">
        <is>
          <t>Commercial Package Register</t>
        </is>
      </c>
      <c r="B285" s="12" t="inlineStr">
        <is>
          <t>PKG-019</t>
        </is>
      </c>
      <c r="C285" s="12" t="inlineStr">
        <is>
          <t>Station Structural Works - Lot 3</t>
        </is>
      </c>
      <c r="D285" s="12" t="inlineStr">
        <is>
          <t>Package Code = PK-209; WBS Code = 1.2</t>
        </is>
      </c>
      <c r="E285" s="12" t="inlineStr">
        <is>
          <t>R1581-v1</t>
        </is>
      </c>
      <c r="F285" s="12" t="inlineStr">
        <is>
          <t>1.2 Stations</t>
        </is>
      </c>
      <c r="G285" s="12" t="inlineStr">
        <is>
          <t>ONE_TO_ONE</t>
        </is>
      </c>
      <c r="H285" s="12" t="inlineStr">
        <is>
          <t>APPROVED</t>
        </is>
      </c>
      <c r="I285" s="12" t="inlineStr">
        <is>
          <t>New</t>
        </is>
      </c>
      <c r="J285" s="12" t="inlineStr">
        <is>
          <t>Source assignment -- not individually reviewed</t>
        </is>
      </c>
      <c r="K285" s="12" t="inlineStr"/>
      <c r="L285" s="12" t="inlineStr"/>
      <c r="M285" s="12" t="inlineStr"/>
      <c r="N285" s="17" t="inlineStr">
        <is>
          <t>10 EVIDENCE &amp; DECISIONS</t>
        </is>
      </c>
    </row>
    <row r="286" ht="34" customHeight="1">
      <c r="A286" s="12" t="inlineStr">
        <is>
          <t>Commercial Package Register</t>
        </is>
      </c>
      <c r="B286" s="12" t="inlineStr">
        <is>
          <t>PKG-020</t>
        </is>
      </c>
      <c r="C286" s="12" t="inlineStr">
        <is>
          <t>Station Fit-Out - Lot 3</t>
        </is>
      </c>
      <c r="D286" s="12" t="inlineStr">
        <is>
          <t>Package Code = PK-210; WBS Code = 1.2</t>
        </is>
      </c>
      <c r="E286" s="12" t="inlineStr">
        <is>
          <t>R1582-v1</t>
        </is>
      </c>
      <c r="F286" s="12" t="inlineStr">
        <is>
          <t>1.2 Stations</t>
        </is>
      </c>
      <c r="G286" s="12" t="inlineStr">
        <is>
          <t>ONE_TO_ONE</t>
        </is>
      </c>
      <c r="H286" s="12" t="inlineStr">
        <is>
          <t>APPROVED</t>
        </is>
      </c>
      <c r="I286" s="12" t="inlineStr">
        <is>
          <t>New</t>
        </is>
      </c>
      <c r="J286" s="12" t="inlineStr">
        <is>
          <t>Source assignment -- not individually reviewed</t>
        </is>
      </c>
      <c r="K286" s="12" t="inlineStr"/>
      <c r="L286" s="12" t="inlineStr"/>
      <c r="M286" s="12" t="inlineStr"/>
      <c r="N286" s="17" t="inlineStr">
        <is>
          <t>10 EVIDENCE &amp; DECISIONS</t>
        </is>
      </c>
    </row>
    <row r="287" ht="34" customHeight="1">
      <c r="A287" s="12" t="inlineStr">
        <is>
          <t>Contractor Programme</t>
        </is>
      </c>
      <c r="B287" s="12" t="inlineStr">
        <is>
          <t>SCH-02-001</t>
        </is>
      </c>
      <c r="C287" s="12" t="inlineStr">
        <is>
          <t>Harbour Station: vertical-transport installation - inspection</t>
        </is>
      </c>
      <c r="D287" s="12" t="inlineStr">
        <is>
          <t>WBS Code = 1.2.1</t>
        </is>
      </c>
      <c r="E287" s="12" t="inlineStr">
        <is>
          <t>R181-v1</t>
        </is>
      </c>
      <c r="F287" s="12" t="inlineStr">
        <is>
          <t>1.2.1 Stations - Station Structures</t>
        </is>
      </c>
      <c r="G287" s="12" t="inlineStr">
        <is>
          <t>ONE_TO_ONE</t>
        </is>
      </c>
      <c r="H287" s="12" t="inlineStr">
        <is>
          <t>APPROVED</t>
        </is>
      </c>
      <c r="I287" s="12" t="inlineStr">
        <is>
          <t>New</t>
        </is>
      </c>
      <c r="J287" s="12" t="inlineStr">
        <is>
          <t>Source assignment -- not individually reviewed</t>
        </is>
      </c>
      <c r="K287" s="12" t="inlineStr"/>
      <c r="L287" s="12" t="inlineStr"/>
      <c r="M287" s="12" t="inlineStr"/>
      <c r="N287" s="17" t="inlineStr">
        <is>
          <t>10 EVIDENCE &amp; DECISIONS</t>
        </is>
      </c>
    </row>
    <row r="288" ht="34" customHeight="1">
      <c r="A288" s="12" t="inlineStr">
        <is>
          <t>Contractor Programme</t>
        </is>
      </c>
      <c r="B288" s="12" t="inlineStr">
        <is>
          <t>SCH-02-002</t>
        </is>
      </c>
      <c r="C288" s="12" t="inlineStr">
        <is>
          <t>Market Station: platform edge installation - turnover</t>
        </is>
      </c>
      <c r="D288" s="12" t="inlineStr">
        <is>
          <t>WBS Code = 1.2.1</t>
        </is>
      </c>
      <c r="E288" s="12" t="inlineStr">
        <is>
          <t>R182-v1</t>
        </is>
      </c>
      <c r="F288" s="12" t="inlineStr">
        <is>
          <t>1.2.1 Stations - Station Structures</t>
        </is>
      </c>
      <c r="G288" s="12" t="inlineStr">
        <is>
          <t>ONE_TO_ONE</t>
        </is>
      </c>
      <c r="H288" s="12" t="inlineStr">
        <is>
          <t>APPROVED</t>
        </is>
      </c>
      <c r="I288" s="12" t="inlineStr">
        <is>
          <t>New</t>
        </is>
      </c>
      <c r="J288" s="12" t="inlineStr">
        <is>
          <t>Source assignment -- not individually reviewed</t>
        </is>
      </c>
      <c r="K288" s="12" t="inlineStr"/>
      <c r="L288" s="12" t="inlineStr"/>
      <c r="M288" s="12" t="inlineStr"/>
      <c r="N288" s="17" t="inlineStr">
        <is>
          <t>10 EVIDENCE &amp; DECISIONS</t>
        </is>
      </c>
    </row>
    <row r="289" ht="34" customHeight="1">
      <c r="A289" s="12" t="inlineStr">
        <is>
          <t>Contractor Programme</t>
        </is>
      </c>
      <c r="B289" s="12" t="inlineStr">
        <is>
          <t>SCH-02-004</t>
        </is>
      </c>
      <c r="C289" s="12" t="inlineStr">
        <is>
          <t>University Station: fire-life-safety cabling - field start</t>
        </is>
      </c>
      <c r="D289" s="12" t="inlineStr">
        <is>
          <t>WBS Code = 1.2.1</t>
        </is>
      </c>
      <c r="E289" s="12" t="inlineStr">
        <is>
          <t>R184-v1</t>
        </is>
      </c>
      <c r="F289" s="12" t="inlineStr">
        <is>
          <t>1.2.1 Stations - Station Structures</t>
        </is>
      </c>
      <c r="G289" s="12" t="inlineStr">
        <is>
          <t>ONE_TO_ONE</t>
        </is>
      </c>
      <c r="H289" s="12" t="inlineStr">
        <is>
          <t>APPROVED</t>
        </is>
      </c>
      <c r="I289" s="12" t="inlineStr">
        <is>
          <t>New</t>
        </is>
      </c>
      <c r="J289" s="12" t="inlineStr">
        <is>
          <t>Source assignment -- not individually reviewed</t>
        </is>
      </c>
      <c r="K289" s="12" t="inlineStr"/>
      <c r="L289" s="12" t="inlineStr"/>
      <c r="M289" s="12" t="inlineStr"/>
      <c r="N289" s="17" t="inlineStr">
        <is>
          <t>10 EVIDENCE &amp; DECISIONS</t>
        </is>
      </c>
    </row>
    <row r="290" ht="49" customHeight="1">
      <c r="A290" s="12" t="inlineStr">
        <is>
          <t>Contractor Programme</t>
        </is>
      </c>
      <c r="B290" s="12" t="inlineStr">
        <is>
          <t>SCH-02-005</t>
        </is>
      </c>
      <c r="C290" s="12" t="inlineStr">
        <is>
          <t>Harbour Station: systems room enabling works before communications fit-out</t>
        </is>
      </c>
      <c r="D290" s="12" t="inlineStr">
        <is>
          <t>WBS Code = 1.2.1</t>
        </is>
      </c>
      <c r="E290" s="12" t="inlineStr">
        <is>
          <t>R185-v1</t>
        </is>
      </c>
      <c r="F290" s="12" t="inlineStr">
        <is>
          <t>1.2.1 Stations - Station Structures</t>
        </is>
      </c>
      <c r="G290" s="12" t="inlineStr">
        <is>
          <t>ONE_TO_ONE</t>
        </is>
      </c>
      <c r="H290" s="12" t="inlineStr">
        <is>
          <t>APPROVED</t>
        </is>
      </c>
      <c r="I290" s="12" t="inlineStr">
        <is>
          <t>New</t>
        </is>
      </c>
      <c r="J290" s="12" t="inlineStr">
        <is>
          <t>Source assignment -- not individually reviewed</t>
        </is>
      </c>
      <c r="K290" s="12" t="inlineStr"/>
      <c r="L290" s="12" t="inlineStr"/>
      <c r="M290" s="12" t="inlineStr"/>
      <c r="N290" s="17" t="inlineStr">
        <is>
          <t>10 EVIDENCE &amp; DECISIONS</t>
        </is>
      </c>
    </row>
    <row r="291" ht="34" customHeight="1">
      <c r="A291" s="12" t="inlineStr">
        <is>
          <t>Contractor Programme</t>
        </is>
      </c>
      <c r="B291" s="12" t="inlineStr">
        <is>
          <t>SCH-02-007</t>
        </is>
      </c>
      <c r="C291" s="12" t="inlineStr">
        <is>
          <t>Market Station: public-realm paving - turnover</t>
        </is>
      </c>
      <c r="D291" s="12" t="inlineStr">
        <is>
          <t>WBS Code = 1.2.1</t>
        </is>
      </c>
      <c r="E291" s="12" t="inlineStr">
        <is>
          <t>R187-v1</t>
        </is>
      </c>
      <c r="F291" s="12" t="inlineStr">
        <is>
          <t>1.2.1 Stations - Station Structures</t>
        </is>
      </c>
      <c r="G291" s="12" t="inlineStr">
        <is>
          <t>ONE_TO_ONE</t>
        </is>
      </c>
      <c r="H291" s="12" t="inlineStr">
        <is>
          <t>APPROVED</t>
        </is>
      </c>
      <c r="I291" s="12" t="inlineStr">
        <is>
          <t>New</t>
        </is>
      </c>
      <c r="J291" s="12" t="inlineStr">
        <is>
          <t>Source assignment -- not individually reviewed</t>
        </is>
      </c>
      <c r="K291" s="12" t="inlineStr"/>
      <c r="L291" s="12" t="inlineStr"/>
      <c r="M291" s="12" t="inlineStr"/>
      <c r="N291" s="17" t="inlineStr">
        <is>
          <t>10 EVIDENCE &amp; DECISIONS</t>
        </is>
      </c>
    </row>
    <row r="292" ht="34" customHeight="1">
      <c r="A292" s="12" t="inlineStr">
        <is>
          <t>Contractor Programme</t>
        </is>
      </c>
      <c r="B292" s="12" t="inlineStr">
        <is>
          <t>SCH-02-008</t>
        </is>
      </c>
      <c r="C292" s="12" t="inlineStr">
        <is>
          <t>Civic Station: entrance steel erection - release</t>
        </is>
      </c>
      <c r="D292" s="12" t="inlineStr">
        <is>
          <t>WBS Code = 1.2.1</t>
        </is>
      </c>
      <c r="E292" s="12" t="inlineStr">
        <is>
          <t>R188-v1</t>
        </is>
      </c>
      <c r="F292" s="12" t="inlineStr">
        <is>
          <t>1.2.1 Stations - Station Structures</t>
        </is>
      </c>
      <c r="G292" s="12" t="inlineStr">
        <is>
          <t>ONE_TO_ONE</t>
        </is>
      </c>
      <c r="H292" s="12" t="inlineStr">
        <is>
          <t>APPROVED</t>
        </is>
      </c>
      <c r="I292" s="12" t="inlineStr">
        <is>
          <t>New</t>
        </is>
      </c>
      <c r="J292" s="12" t="inlineStr">
        <is>
          <t>Source assignment -- not individually reviewed</t>
        </is>
      </c>
      <c r="K292" s="12" t="inlineStr"/>
      <c r="L292" s="12" t="inlineStr"/>
      <c r="M292" s="12" t="inlineStr"/>
      <c r="N292" s="17" t="inlineStr">
        <is>
          <t>10 EVIDENCE &amp; DECISIONS</t>
        </is>
      </c>
    </row>
    <row r="293" ht="34" customHeight="1">
      <c r="A293" s="12" t="inlineStr">
        <is>
          <t>Contractor Programme</t>
        </is>
      </c>
      <c r="B293" s="12" t="inlineStr">
        <is>
          <t>SCH-02-010</t>
        </is>
      </c>
      <c r="C293" s="12" t="inlineStr">
        <is>
          <t>West Terminal: platform edge installation - installation</t>
        </is>
      </c>
      <c r="D293" s="12" t="inlineStr">
        <is>
          <t>WBS Code = 1.2.1</t>
        </is>
      </c>
      <c r="E293" s="12" t="inlineStr">
        <is>
          <t>R190-v1</t>
        </is>
      </c>
      <c r="F293" s="12" t="inlineStr">
        <is>
          <t>1.2.1 Stations - Station Structures</t>
        </is>
      </c>
      <c r="G293" s="12" t="inlineStr">
        <is>
          <t>ONE_TO_ONE</t>
        </is>
      </c>
      <c r="H293" s="12" t="inlineStr">
        <is>
          <t>APPROVED</t>
        </is>
      </c>
      <c r="I293" s="12" t="inlineStr">
        <is>
          <t>New</t>
        </is>
      </c>
      <c r="J293" s="12" t="inlineStr">
        <is>
          <t>Source assignment -- not individually reviewed</t>
        </is>
      </c>
      <c r="K293" s="12" t="inlineStr"/>
      <c r="L293" s="12" t="inlineStr"/>
      <c r="M293" s="12" t="inlineStr"/>
      <c r="N293" s="17" t="inlineStr">
        <is>
          <t>10 EVIDENCE &amp; DECISIONS</t>
        </is>
      </c>
    </row>
    <row r="294" ht="34" customHeight="1">
      <c r="A294" s="12" t="inlineStr">
        <is>
          <t>Contractor Programme</t>
        </is>
      </c>
      <c r="B294" s="12" t="inlineStr">
        <is>
          <t>SCH-02-011</t>
        </is>
      </c>
      <c r="C294" s="12" t="inlineStr">
        <is>
          <t>Harbour Station: architectural wall framing - inspection</t>
        </is>
      </c>
      <c r="D294" s="12" t="inlineStr">
        <is>
          <t>WBS Code = 1.2.1</t>
        </is>
      </c>
      <c r="E294" s="12" t="inlineStr">
        <is>
          <t>R191-v1</t>
        </is>
      </c>
      <c r="F294" s="12" t="inlineStr">
        <is>
          <t>1.2.1 Stations - Station Structures</t>
        </is>
      </c>
      <c r="G294" s="12" t="inlineStr">
        <is>
          <t>ONE_TO_ONE</t>
        </is>
      </c>
      <c r="H294" s="12" t="inlineStr">
        <is>
          <t>APPROVED</t>
        </is>
      </c>
      <c r="I294" s="12" t="inlineStr">
        <is>
          <t>New</t>
        </is>
      </c>
      <c r="J294" s="12" t="inlineStr">
        <is>
          <t>Source assignment -- not individually reviewed</t>
        </is>
      </c>
      <c r="K294" s="12" t="inlineStr"/>
      <c r="L294" s="12" t="inlineStr"/>
      <c r="M294" s="12" t="inlineStr"/>
      <c r="N294" s="17" t="inlineStr">
        <is>
          <t>10 EVIDENCE &amp; DECISIONS</t>
        </is>
      </c>
    </row>
    <row r="295" ht="34" customHeight="1">
      <c r="A295" s="12" t="inlineStr">
        <is>
          <t>Contractor Programme</t>
        </is>
      </c>
      <c r="B295" s="12" t="inlineStr">
        <is>
          <t>SCH-02-013</t>
        </is>
      </c>
      <c r="C295" s="12" t="inlineStr">
        <is>
          <t>Civic Station: concourse slab pour - release</t>
        </is>
      </c>
      <c r="D295" s="12" t="inlineStr">
        <is>
          <t>WBS Code = 1.2.1</t>
        </is>
      </c>
      <c r="E295" s="12" t="inlineStr">
        <is>
          <t>R193-v1</t>
        </is>
      </c>
      <c r="F295" s="12" t="inlineStr">
        <is>
          <t>1.2.1 Stations - Station Structures</t>
        </is>
      </c>
      <c r="G295" s="12" t="inlineStr">
        <is>
          <t>ONE_TO_ONE</t>
        </is>
      </c>
      <c r="H295" s="12" t="inlineStr">
        <is>
          <t>APPROVED</t>
        </is>
      </c>
      <c r="I295" s="12" t="inlineStr">
        <is>
          <t>New</t>
        </is>
      </c>
      <c r="J295" s="12" t="inlineStr">
        <is>
          <t>Source assignment -- not individually reviewed</t>
        </is>
      </c>
      <c r="K295" s="12" t="inlineStr"/>
      <c r="L295" s="12" t="inlineStr"/>
      <c r="M295" s="12" t="inlineStr"/>
      <c r="N295" s="17" t="inlineStr">
        <is>
          <t>10 EVIDENCE &amp; DECISIONS</t>
        </is>
      </c>
    </row>
    <row r="296" ht="34" customHeight="1">
      <c r="A296" s="12" t="inlineStr">
        <is>
          <t>Contractor Programme</t>
        </is>
      </c>
      <c r="B296" s="12" t="inlineStr">
        <is>
          <t>SCH-02-014</t>
        </is>
      </c>
      <c r="C296" s="12" t="inlineStr">
        <is>
          <t>University Station: station ventilation rough-in - field start</t>
        </is>
      </c>
      <c r="D296" s="12" t="inlineStr">
        <is>
          <t>WBS Code = 1.2.1</t>
        </is>
      </c>
      <c r="E296" s="12" t="inlineStr">
        <is>
          <t>R194-v1</t>
        </is>
      </c>
      <c r="F296" s="12" t="inlineStr">
        <is>
          <t>1.2.1 Stations - Station Structures</t>
        </is>
      </c>
      <c r="G296" s="12" t="inlineStr">
        <is>
          <t>ONE_TO_ONE</t>
        </is>
      </c>
      <c r="H296" s="12" t="inlineStr">
        <is>
          <t>APPROVED</t>
        </is>
      </c>
      <c r="I296" s="12" t="inlineStr">
        <is>
          <t>New</t>
        </is>
      </c>
      <c r="J296" s="12" t="inlineStr">
        <is>
          <t>Source assignment -- not individually reviewed</t>
        </is>
      </c>
      <c r="K296" s="12" t="inlineStr"/>
      <c r="L296" s="12" t="inlineStr"/>
      <c r="M296" s="12" t="inlineStr"/>
      <c r="N296" s="17" t="inlineStr">
        <is>
          <t>10 EVIDENCE &amp; DECISIONS</t>
        </is>
      </c>
    </row>
    <row r="297" ht="34" customHeight="1">
      <c r="A297" s="12" t="inlineStr">
        <is>
          <t>Contractor Programme</t>
        </is>
      </c>
      <c r="B297" s="12" t="inlineStr">
        <is>
          <t>SCH-02-016</t>
        </is>
      </c>
      <c r="C297" s="12" t="inlineStr">
        <is>
          <t>Harbour Station: entrance steel erection - inspection</t>
        </is>
      </c>
      <c r="D297" s="12" t="inlineStr">
        <is>
          <t>WBS Code = 1.2.1</t>
        </is>
      </c>
      <c r="E297" s="12" t="inlineStr">
        <is>
          <t>R196-v1</t>
        </is>
      </c>
      <c r="F297" s="12" t="inlineStr">
        <is>
          <t>1.2.1 Stations - Station Structures</t>
        </is>
      </c>
      <c r="G297" s="12" t="inlineStr">
        <is>
          <t>ONE_TO_ONE</t>
        </is>
      </c>
      <c r="H297" s="12" t="inlineStr">
        <is>
          <t>APPROVED</t>
        </is>
      </c>
      <c r="I297" s="12" t="inlineStr">
        <is>
          <t>New</t>
        </is>
      </c>
      <c r="J297" s="12" t="inlineStr">
        <is>
          <t>Source assignment -- not individually reviewed</t>
        </is>
      </c>
      <c r="K297" s="12" t="inlineStr"/>
      <c r="L297" s="12" t="inlineStr"/>
      <c r="M297" s="12" t="inlineStr"/>
      <c r="N297" s="17" t="inlineStr">
        <is>
          <t>10 EVIDENCE &amp; DECISIONS</t>
        </is>
      </c>
    </row>
    <row r="298" ht="34" customHeight="1">
      <c r="A298" s="12" t="inlineStr">
        <is>
          <t>Contractor Programme</t>
        </is>
      </c>
      <c r="B298" s="12" t="inlineStr">
        <is>
          <t>SCH-02-017</t>
        </is>
      </c>
      <c r="C298" s="12" t="inlineStr">
        <is>
          <t>Market Station: vertical-transport installation - turnover</t>
        </is>
      </c>
      <c r="D298" s="12" t="inlineStr">
        <is>
          <t>WBS Code = 1.2.1</t>
        </is>
      </c>
      <c r="E298" s="12" t="inlineStr">
        <is>
          <t>R197-v1</t>
        </is>
      </c>
      <c r="F298" s="12" t="inlineStr">
        <is>
          <t>1.2.1 Stations - Station Structures</t>
        </is>
      </c>
      <c r="G298" s="12" t="inlineStr">
        <is>
          <t>ONE_TO_ONE</t>
        </is>
      </c>
      <c r="H298" s="12" t="inlineStr">
        <is>
          <t>APPROVED</t>
        </is>
      </c>
      <c r="I298" s="12" t="inlineStr">
        <is>
          <t>New</t>
        </is>
      </c>
      <c r="J298" s="12" t="inlineStr">
        <is>
          <t>Source assignment -- not individually reviewed</t>
        </is>
      </c>
      <c r="K298" s="12" t="inlineStr"/>
      <c r="L298" s="12" t="inlineStr"/>
      <c r="M298" s="12" t="inlineStr"/>
      <c r="N298" s="17" t="inlineStr">
        <is>
          <t>10 EVIDENCE &amp; DECISIONS</t>
        </is>
      </c>
    </row>
    <row r="299" ht="34" customHeight="1">
      <c r="A299" s="12" t="inlineStr">
        <is>
          <t>Contractor Programme</t>
        </is>
      </c>
      <c r="B299" s="12" t="inlineStr">
        <is>
          <t>SCH-02-019</t>
        </is>
      </c>
      <c r="C299" s="12" t="inlineStr">
        <is>
          <t>University Station: architectural wall framing - field start</t>
        </is>
      </c>
      <c r="D299" s="12" t="inlineStr">
        <is>
          <t>WBS Code = 1.2.1</t>
        </is>
      </c>
      <c r="E299" s="12" t="inlineStr">
        <is>
          <t>R199-v1</t>
        </is>
      </c>
      <c r="F299" s="12" t="inlineStr">
        <is>
          <t>1.2.1 Stations - Station Structures</t>
        </is>
      </c>
      <c r="G299" s="12" t="inlineStr">
        <is>
          <t>ONE_TO_ONE</t>
        </is>
      </c>
      <c r="H299" s="12" t="inlineStr">
        <is>
          <t>APPROVED</t>
        </is>
      </c>
      <c r="I299" s="12" t="inlineStr">
        <is>
          <t>New</t>
        </is>
      </c>
      <c r="J299" s="12" t="inlineStr">
        <is>
          <t>Source assignment -- not individually reviewed</t>
        </is>
      </c>
      <c r="K299" s="12" t="inlineStr"/>
      <c r="L299" s="12" t="inlineStr"/>
      <c r="M299" s="12" t="inlineStr"/>
      <c r="N299" s="17" t="inlineStr">
        <is>
          <t>10 EVIDENCE &amp; DECISIONS</t>
        </is>
      </c>
    </row>
    <row r="300" ht="34" customHeight="1">
      <c r="A300" s="12" t="inlineStr">
        <is>
          <t>Contractor Programme</t>
        </is>
      </c>
      <c r="B300" s="12" t="inlineStr">
        <is>
          <t>SCH-02-020</t>
        </is>
      </c>
      <c r="C300" s="12" t="inlineStr">
        <is>
          <t>West Terminal: fire-life-safety cabling - installation</t>
        </is>
      </c>
      <c r="D300" s="12" t="inlineStr">
        <is>
          <t>WBS Code = 1.2.1</t>
        </is>
      </c>
      <c r="E300" s="12" t="inlineStr">
        <is>
          <t>R200-v1</t>
        </is>
      </c>
      <c r="F300" s="12" t="inlineStr">
        <is>
          <t>1.2.1 Stations - Station Structures</t>
        </is>
      </c>
      <c r="G300" s="12" t="inlineStr">
        <is>
          <t>ONE_TO_ONE</t>
        </is>
      </c>
      <c r="H300" s="12" t="inlineStr">
        <is>
          <t>APPROVED</t>
        </is>
      </c>
      <c r="I300" s="12" t="inlineStr">
        <is>
          <t>New</t>
        </is>
      </c>
      <c r="J300" s="12" t="inlineStr">
        <is>
          <t>Source assignment -- not individually reviewed</t>
        </is>
      </c>
      <c r="K300" s="12" t="inlineStr"/>
      <c r="L300" s="12" t="inlineStr"/>
      <c r="M300" s="12" t="inlineStr"/>
      <c r="N300" s="17" t="inlineStr">
        <is>
          <t>10 EVIDENCE &amp; DECISIONS</t>
        </is>
      </c>
    </row>
    <row r="301" ht="34" customHeight="1">
      <c r="A301" s="12" t="inlineStr">
        <is>
          <t>Contractor Programme</t>
        </is>
      </c>
      <c r="B301" s="12" t="inlineStr">
        <is>
          <t>SCH-02-022</t>
        </is>
      </c>
      <c r="C301" s="12" t="inlineStr">
        <is>
          <t>Market Station: station ventilation rough-in - turnover</t>
        </is>
      </c>
      <c r="D301" s="12" t="inlineStr">
        <is>
          <t>WBS Code = 1.2.1</t>
        </is>
      </c>
      <c r="E301" s="12" t="inlineStr">
        <is>
          <t>R202-v1</t>
        </is>
      </c>
      <c r="F301" s="12" t="inlineStr">
        <is>
          <t>1.2.1 Stations - Station Structures</t>
        </is>
      </c>
      <c r="G301" s="12" t="inlineStr">
        <is>
          <t>ONE_TO_ONE</t>
        </is>
      </c>
      <c r="H301" s="12" t="inlineStr">
        <is>
          <t>APPROVED</t>
        </is>
      </c>
      <c r="I301" s="12" t="inlineStr">
        <is>
          <t>New</t>
        </is>
      </c>
      <c r="J301" s="12" t="inlineStr">
        <is>
          <t>Source assignment -- not individually reviewed</t>
        </is>
      </c>
      <c r="K301" s="12" t="inlineStr"/>
      <c r="L301" s="12" t="inlineStr"/>
      <c r="M301" s="12" t="inlineStr"/>
      <c r="N301" s="17" t="inlineStr">
        <is>
          <t>10 EVIDENCE &amp; DECISIONS</t>
        </is>
      </c>
    </row>
    <row r="302" ht="34" customHeight="1">
      <c r="A302" s="12" t="inlineStr">
        <is>
          <t>Contractor Programme</t>
        </is>
      </c>
      <c r="B302" s="12" t="inlineStr">
        <is>
          <t>SCH-02-023</t>
        </is>
      </c>
      <c r="C302" s="12" t="inlineStr">
        <is>
          <t>Civic Station: public-realm paving - release</t>
        </is>
      </c>
      <c r="D302" s="12" t="inlineStr">
        <is>
          <t>WBS Code = 1.2.1</t>
        </is>
      </c>
      <c r="E302" s="12" t="inlineStr">
        <is>
          <t>R203-v1</t>
        </is>
      </c>
      <c r="F302" s="12" t="inlineStr">
        <is>
          <t>1.2.1 Stations - Station Structures</t>
        </is>
      </c>
      <c r="G302" s="12" t="inlineStr">
        <is>
          <t>ONE_TO_ONE</t>
        </is>
      </c>
      <c r="H302" s="12" t="inlineStr">
        <is>
          <t>APPROVED</t>
        </is>
      </c>
      <c r="I302" s="12" t="inlineStr">
        <is>
          <t>New</t>
        </is>
      </c>
      <c r="J302" s="12" t="inlineStr">
        <is>
          <t>Source assignment -- not individually reviewed</t>
        </is>
      </c>
      <c r="K302" s="12" t="inlineStr"/>
      <c r="L302" s="12" t="inlineStr"/>
      <c r="M302" s="12" t="inlineStr"/>
      <c r="N302" s="17" t="inlineStr">
        <is>
          <t>10 EVIDENCE &amp; DECISIONS</t>
        </is>
      </c>
    </row>
    <row r="303" ht="34" customHeight="1">
      <c r="A303" s="12" t="inlineStr">
        <is>
          <t>Contractor Programme</t>
        </is>
      </c>
      <c r="B303" s="12" t="inlineStr">
        <is>
          <t>SCH-02-025</t>
        </is>
      </c>
      <c r="C303" s="12" t="inlineStr">
        <is>
          <t>West Terminal: vertical-transport installation - installation</t>
        </is>
      </c>
      <c r="D303" s="12" t="inlineStr">
        <is>
          <t>WBS Code = 1.2.1</t>
        </is>
      </c>
      <c r="E303" s="12" t="inlineStr">
        <is>
          <t>R205-v1</t>
        </is>
      </c>
      <c r="F303" s="12" t="inlineStr">
        <is>
          <t>1.2.1 Stations - Station Structures</t>
        </is>
      </c>
      <c r="G303" s="12" t="inlineStr">
        <is>
          <t>ONE_TO_ONE</t>
        </is>
      </c>
      <c r="H303" s="12" t="inlineStr">
        <is>
          <t>APPROVED</t>
        </is>
      </c>
      <c r="I303" s="12" t="inlineStr">
        <is>
          <t>New</t>
        </is>
      </c>
      <c r="J303" s="12" t="inlineStr">
        <is>
          <t>Source assignment -- not individually reviewed</t>
        </is>
      </c>
      <c r="K303" s="12" t="inlineStr"/>
      <c r="L303" s="12" t="inlineStr"/>
      <c r="M303" s="12" t="inlineStr"/>
      <c r="N303" s="17" t="inlineStr">
        <is>
          <t>10 EVIDENCE &amp; DECISIONS</t>
        </is>
      </c>
    </row>
    <row r="304" ht="34" customHeight="1">
      <c r="A304" s="12" t="inlineStr">
        <is>
          <t>Contractor Programme</t>
        </is>
      </c>
      <c r="B304" s="12" t="inlineStr">
        <is>
          <t>SCH-02-026</t>
        </is>
      </c>
      <c r="C304" s="12" t="inlineStr">
        <is>
          <t>Harbour Station: platform edge installation - inspection</t>
        </is>
      </c>
      <c r="D304" s="12" t="inlineStr">
        <is>
          <t>WBS Code = 1.2.1</t>
        </is>
      </c>
      <c r="E304" s="12" t="inlineStr">
        <is>
          <t>R206-v1</t>
        </is>
      </c>
      <c r="F304" s="12" t="inlineStr">
        <is>
          <t>1.2.1 Stations - Station Structures</t>
        </is>
      </c>
      <c r="G304" s="12" t="inlineStr">
        <is>
          <t>ONE_TO_ONE</t>
        </is>
      </c>
      <c r="H304" s="12" t="inlineStr">
        <is>
          <t>APPROVED</t>
        </is>
      </c>
      <c r="I304" s="12" t="inlineStr">
        <is>
          <t>New</t>
        </is>
      </c>
      <c r="J304" s="12" t="inlineStr">
        <is>
          <t>Source assignment -- not individually reviewed</t>
        </is>
      </c>
      <c r="K304" s="12" t="inlineStr"/>
      <c r="L304" s="12" t="inlineStr"/>
      <c r="M304" s="12" t="inlineStr"/>
      <c r="N304" s="17" t="inlineStr">
        <is>
          <t>10 EVIDENCE &amp; DECISIONS</t>
        </is>
      </c>
    </row>
    <row r="305" ht="34" customHeight="1">
      <c r="A305" s="12" t="inlineStr">
        <is>
          <t>Contractor Programme</t>
        </is>
      </c>
      <c r="B305" s="12" t="inlineStr">
        <is>
          <t>SCH-02-028</t>
        </is>
      </c>
      <c r="C305" s="12" t="inlineStr">
        <is>
          <t>Civic Station: fire-life-safety cabling - release</t>
        </is>
      </c>
      <c r="D305" s="12" t="inlineStr">
        <is>
          <t>WBS Code = 1.2.1</t>
        </is>
      </c>
      <c r="E305" s="12" t="inlineStr">
        <is>
          <t>R208-v1</t>
        </is>
      </c>
      <c r="F305" s="12" t="inlineStr">
        <is>
          <t>1.2.1 Stations - Station Structures</t>
        </is>
      </c>
      <c r="G305" s="12" t="inlineStr">
        <is>
          <t>ONE_TO_ONE</t>
        </is>
      </c>
      <c r="H305" s="12" t="inlineStr">
        <is>
          <t>APPROVED</t>
        </is>
      </c>
      <c r="I305" s="12" t="inlineStr">
        <is>
          <t>New</t>
        </is>
      </c>
      <c r="J305" s="12" t="inlineStr">
        <is>
          <t>Source assignment -- not individually reviewed</t>
        </is>
      </c>
      <c r="K305" s="12" t="inlineStr"/>
      <c r="L305" s="12" t="inlineStr"/>
      <c r="M305" s="12" t="inlineStr"/>
      <c r="N305" s="17" t="inlineStr">
        <is>
          <t>10 EVIDENCE &amp; DECISIONS</t>
        </is>
      </c>
    </row>
    <row r="306" ht="34" customHeight="1">
      <c r="A306" s="12" t="inlineStr">
        <is>
          <t>Contractor Programme</t>
        </is>
      </c>
      <c r="B306" s="12" t="inlineStr">
        <is>
          <t>SCH-02-029</t>
        </is>
      </c>
      <c r="C306" s="12" t="inlineStr">
        <is>
          <t>University Station: concourse slab pour - field start</t>
        </is>
      </c>
      <c r="D306" s="12" t="inlineStr">
        <is>
          <t>WBS Code = 1.2.1</t>
        </is>
      </c>
      <c r="E306" s="12" t="inlineStr">
        <is>
          <t>R209-v1</t>
        </is>
      </c>
      <c r="F306" s="12" t="inlineStr">
        <is>
          <t>1.2.1 Stations - Station Structures</t>
        </is>
      </c>
      <c r="G306" s="12" t="inlineStr">
        <is>
          <t>ONE_TO_ONE</t>
        </is>
      </c>
      <c r="H306" s="12" t="inlineStr">
        <is>
          <t>APPROVED</t>
        </is>
      </c>
      <c r="I306" s="12" t="inlineStr">
        <is>
          <t>New</t>
        </is>
      </c>
      <c r="J306" s="12" t="inlineStr">
        <is>
          <t>Source assignment -- not individually reviewed</t>
        </is>
      </c>
      <c r="K306" s="12" t="inlineStr"/>
      <c r="L306" s="12" t="inlineStr"/>
      <c r="M306" s="12" t="inlineStr"/>
      <c r="N306" s="17" t="inlineStr">
        <is>
          <t>10 EVIDENCE &amp; DECISIONS</t>
        </is>
      </c>
    </row>
    <row r="307" ht="34" customHeight="1">
      <c r="A307" s="12" t="inlineStr">
        <is>
          <t>Contractor Programme</t>
        </is>
      </c>
      <c r="B307" s="12" t="inlineStr">
        <is>
          <t>SCH-02-031</t>
        </is>
      </c>
      <c r="C307" s="12" t="inlineStr">
        <is>
          <t>Harbour Station: public-realm paving - inspection</t>
        </is>
      </c>
      <c r="D307" s="12" t="inlineStr">
        <is>
          <t>WBS Code = 1.2.1</t>
        </is>
      </c>
      <c r="E307" s="12" t="inlineStr">
        <is>
          <t>R211-v1</t>
        </is>
      </c>
      <c r="F307" s="12" t="inlineStr">
        <is>
          <t>1.2.1 Stations - Station Structures</t>
        </is>
      </c>
      <c r="G307" s="12" t="inlineStr">
        <is>
          <t>ONE_TO_ONE</t>
        </is>
      </c>
      <c r="H307" s="12" t="inlineStr">
        <is>
          <t>APPROVED</t>
        </is>
      </c>
      <c r="I307" s="12" t="inlineStr">
        <is>
          <t>New</t>
        </is>
      </c>
      <c r="J307" s="12" t="inlineStr">
        <is>
          <t>Source assignment -- not individually reviewed</t>
        </is>
      </c>
      <c r="K307" s="12" t="inlineStr"/>
      <c r="L307" s="12" t="inlineStr"/>
      <c r="M307" s="12" t="inlineStr"/>
      <c r="N307" s="17" t="inlineStr">
        <is>
          <t>10 EVIDENCE &amp; DECISIONS</t>
        </is>
      </c>
    </row>
    <row r="308" ht="34" customHeight="1">
      <c r="A308" s="12" t="inlineStr">
        <is>
          <t>Contractor Programme</t>
        </is>
      </c>
      <c r="B308" s="12" t="inlineStr">
        <is>
          <t>SCH-02-032</t>
        </is>
      </c>
      <c r="C308" s="12" t="inlineStr">
        <is>
          <t>Market Station: entrance steel erection - turnover</t>
        </is>
      </c>
      <c r="D308" s="12" t="inlineStr">
        <is>
          <t>WBS Code = 1.2.1</t>
        </is>
      </c>
      <c r="E308" s="12" t="inlineStr">
        <is>
          <t>R212-v1</t>
        </is>
      </c>
      <c r="F308" s="12" t="inlineStr">
        <is>
          <t>1.2.1 Stations - Station Structures</t>
        </is>
      </c>
      <c r="G308" s="12" t="inlineStr">
        <is>
          <t>ONE_TO_ONE</t>
        </is>
      </c>
      <c r="H308" s="12" t="inlineStr">
        <is>
          <t>APPROVED</t>
        </is>
      </c>
      <c r="I308" s="12" t="inlineStr">
        <is>
          <t>New</t>
        </is>
      </c>
      <c r="J308" s="12" t="inlineStr">
        <is>
          <t>Source assignment -- not individually reviewed</t>
        </is>
      </c>
      <c r="K308" s="12" t="inlineStr"/>
      <c r="L308" s="12" t="inlineStr"/>
      <c r="M308" s="12" t="inlineStr"/>
      <c r="N308" s="17" t="inlineStr">
        <is>
          <t>10 EVIDENCE &amp; DECISIONS</t>
        </is>
      </c>
    </row>
    <row r="309" ht="34" customHeight="1">
      <c r="A309" s="12" t="inlineStr">
        <is>
          <t>Contractor Programme</t>
        </is>
      </c>
      <c r="B309" s="12" t="inlineStr">
        <is>
          <t>SCH-02-034</t>
        </is>
      </c>
      <c r="C309" s="12" t="inlineStr">
        <is>
          <t>University Station: platform edge installation - field start</t>
        </is>
      </c>
      <c r="D309" s="12" t="inlineStr">
        <is>
          <t>WBS Code = 1.2.1</t>
        </is>
      </c>
      <c r="E309" s="12" t="inlineStr">
        <is>
          <t>R214-v1</t>
        </is>
      </c>
      <c r="F309" s="12" t="inlineStr">
        <is>
          <t>1.2.1 Stations - Station Structures</t>
        </is>
      </c>
      <c r="G309" s="12" t="inlineStr">
        <is>
          <t>ONE_TO_ONE</t>
        </is>
      </c>
      <c r="H309" s="12" t="inlineStr">
        <is>
          <t>APPROVED</t>
        </is>
      </c>
      <c r="I309" s="12" t="inlineStr">
        <is>
          <t>New</t>
        </is>
      </c>
      <c r="J309" s="12" t="inlineStr">
        <is>
          <t>Source assignment -- not individually reviewed</t>
        </is>
      </c>
      <c r="K309" s="12" t="inlineStr"/>
      <c r="L309" s="12" t="inlineStr"/>
      <c r="M309" s="12" t="inlineStr"/>
      <c r="N309" s="17" t="inlineStr">
        <is>
          <t>10 EVIDENCE &amp; DECISIONS</t>
        </is>
      </c>
    </row>
    <row r="310" ht="34" customHeight="1">
      <c r="A310" s="12" t="inlineStr">
        <is>
          <t>Contractor Programme</t>
        </is>
      </c>
      <c r="B310" s="12" t="inlineStr">
        <is>
          <t>SCH-02-035</t>
        </is>
      </c>
      <c r="C310" s="12" t="inlineStr">
        <is>
          <t>West Terminal: architectural wall framing - installation</t>
        </is>
      </c>
      <c r="D310" s="12" t="inlineStr">
        <is>
          <t>WBS Code = 1.2.1</t>
        </is>
      </c>
      <c r="E310" s="12" t="inlineStr">
        <is>
          <t>R215-v1</t>
        </is>
      </c>
      <c r="F310" s="12" t="inlineStr">
        <is>
          <t>1.2.1 Stations - Station Structures</t>
        </is>
      </c>
      <c r="G310" s="12" t="inlineStr">
        <is>
          <t>ONE_TO_ONE</t>
        </is>
      </c>
      <c r="H310" s="12" t="inlineStr">
        <is>
          <t>APPROVED</t>
        </is>
      </c>
      <c r="I310" s="12" t="inlineStr">
        <is>
          <t>New</t>
        </is>
      </c>
      <c r="J310" s="12" t="inlineStr">
        <is>
          <t>Source assignment -- not individually reviewed</t>
        </is>
      </c>
      <c r="K310" s="12" t="inlineStr"/>
      <c r="L310" s="12" t="inlineStr"/>
      <c r="M310" s="12" t="inlineStr"/>
      <c r="N310" s="17" t="inlineStr">
        <is>
          <t>10 EVIDENCE &amp; DECISIONS</t>
        </is>
      </c>
    </row>
    <row r="311" ht="34" customHeight="1">
      <c r="A311" s="12" t="inlineStr">
        <is>
          <t>Contractor Programme</t>
        </is>
      </c>
      <c r="B311" s="12" t="inlineStr">
        <is>
          <t>SCH-02-037</t>
        </is>
      </c>
      <c r="C311" s="12" t="inlineStr">
        <is>
          <t>Market Station: concourse slab pour - turnover</t>
        </is>
      </c>
      <c r="D311" s="12" t="inlineStr">
        <is>
          <t>WBS Code = 1.2.1</t>
        </is>
      </c>
      <c r="E311" s="12" t="inlineStr">
        <is>
          <t>R217-v1</t>
        </is>
      </c>
      <c r="F311" s="12" t="inlineStr">
        <is>
          <t>1.2.1 Stations - Station Structures</t>
        </is>
      </c>
      <c r="G311" s="12" t="inlineStr">
        <is>
          <t>ONE_TO_ONE</t>
        </is>
      </c>
      <c r="H311" s="12" t="inlineStr">
        <is>
          <t>APPROVED</t>
        </is>
      </c>
      <c r="I311" s="12" t="inlineStr">
        <is>
          <t>New</t>
        </is>
      </c>
      <c r="J311" s="12" t="inlineStr">
        <is>
          <t>Source assignment -- not individually reviewed</t>
        </is>
      </c>
      <c r="K311" s="12" t="inlineStr"/>
      <c r="L311" s="12" t="inlineStr"/>
      <c r="M311" s="12" t="inlineStr"/>
      <c r="N311" s="17" t="inlineStr">
        <is>
          <t>10 EVIDENCE &amp; DECISIONS</t>
        </is>
      </c>
    </row>
    <row r="312" ht="34" customHeight="1">
      <c r="A312" s="12" t="inlineStr">
        <is>
          <t>Contractor Programme</t>
        </is>
      </c>
      <c r="B312" s="12" t="inlineStr">
        <is>
          <t>SCH-02-038</t>
        </is>
      </c>
      <c r="C312" s="12" t="inlineStr">
        <is>
          <t>Civic Station: station ventilation rough-in - release</t>
        </is>
      </c>
      <c r="D312" s="12" t="inlineStr">
        <is>
          <t>WBS Code = 1.2.1</t>
        </is>
      </c>
      <c r="E312" s="12" t="inlineStr">
        <is>
          <t>R218-v1</t>
        </is>
      </c>
      <c r="F312" s="12" t="inlineStr">
        <is>
          <t>1.2.1 Stations - Station Structures</t>
        </is>
      </c>
      <c r="G312" s="12" t="inlineStr">
        <is>
          <t>ONE_TO_ONE</t>
        </is>
      </c>
      <c r="H312" s="12" t="inlineStr">
        <is>
          <t>APPROVED</t>
        </is>
      </c>
      <c r="I312" s="12" t="inlineStr">
        <is>
          <t>New</t>
        </is>
      </c>
      <c r="J312" s="12" t="inlineStr">
        <is>
          <t>Source assignment -- not individually reviewed</t>
        </is>
      </c>
      <c r="K312" s="12" t="inlineStr"/>
      <c r="L312" s="12" t="inlineStr"/>
      <c r="M312" s="12" t="inlineStr"/>
      <c r="N312" s="17" t="inlineStr">
        <is>
          <t>10 EVIDENCE &amp; DECISIONS</t>
        </is>
      </c>
    </row>
    <row r="313" ht="34" customHeight="1">
      <c r="A313" s="12" t="inlineStr">
        <is>
          <t>Contractor Programme</t>
        </is>
      </c>
      <c r="B313" s="12" t="inlineStr">
        <is>
          <t>SCH-02-040</t>
        </is>
      </c>
      <c r="C313" s="12" t="inlineStr">
        <is>
          <t>West Terminal: entrance steel erection - installation</t>
        </is>
      </c>
      <c r="D313" s="12" t="inlineStr">
        <is>
          <t>WBS Code = 1.2.1</t>
        </is>
      </c>
      <c r="E313" s="12" t="inlineStr">
        <is>
          <t>R220-v1</t>
        </is>
      </c>
      <c r="F313" s="12" t="inlineStr">
        <is>
          <t>1.2.1 Stations - Station Structures</t>
        </is>
      </c>
      <c r="G313" s="12" t="inlineStr">
        <is>
          <t>ONE_TO_ONE</t>
        </is>
      </c>
      <c r="H313" s="12" t="inlineStr">
        <is>
          <t>APPROVED</t>
        </is>
      </c>
      <c r="I313" s="12" t="inlineStr">
        <is>
          <t>New</t>
        </is>
      </c>
      <c r="J313" s="12" t="inlineStr">
        <is>
          <t>Source assignment -- not individually reviewed</t>
        </is>
      </c>
      <c r="K313" s="12" t="inlineStr"/>
      <c r="L313" s="12" t="inlineStr"/>
      <c r="M313" s="12" t="inlineStr"/>
      <c r="N313" s="17" t="inlineStr">
        <is>
          <t>10 EVIDENCE &amp; DECISIONS</t>
        </is>
      </c>
    </row>
    <row r="314" ht="34" customHeight="1">
      <c r="A314" s="12" t="inlineStr">
        <is>
          <t>Contractor Programme</t>
        </is>
      </c>
      <c r="B314" s="12" t="inlineStr">
        <is>
          <t>SCH-02-041</t>
        </is>
      </c>
      <c r="C314" s="12" t="inlineStr">
        <is>
          <t>Harbour Station: vertical-transport installation - inspection</t>
        </is>
      </c>
      <c r="D314" s="12" t="inlineStr">
        <is>
          <t>WBS Code = 1.2.1</t>
        </is>
      </c>
      <c r="E314" s="12" t="inlineStr">
        <is>
          <t>R221-v1</t>
        </is>
      </c>
      <c r="F314" s="12" t="inlineStr">
        <is>
          <t>1.2.1 Stations - Station Structures</t>
        </is>
      </c>
      <c r="G314" s="12" t="inlineStr">
        <is>
          <t>ONE_TO_ONE</t>
        </is>
      </c>
      <c r="H314" s="12" t="inlineStr">
        <is>
          <t>APPROVED</t>
        </is>
      </c>
      <c r="I314" s="12" t="inlineStr">
        <is>
          <t>New</t>
        </is>
      </c>
      <c r="J314" s="12" t="inlineStr">
        <is>
          <t>Source assignment -- not individually reviewed</t>
        </is>
      </c>
      <c r="K314" s="12" t="inlineStr"/>
      <c r="L314" s="12" t="inlineStr"/>
      <c r="M314" s="12" t="inlineStr"/>
      <c r="N314" s="17" t="inlineStr">
        <is>
          <t>10 EVIDENCE &amp; DECISIONS</t>
        </is>
      </c>
    </row>
    <row r="315" ht="34" customHeight="1">
      <c r="A315" s="12" t="inlineStr">
        <is>
          <t>Contractor Programme</t>
        </is>
      </c>
      <c r="B315" s="12" t="inlineStr">
        <is>
          <t>SCH-02-043</t>
        </is>
      </c>
      <c r="C315" s="12" t="inlineStr">
        <is>
          <t>Civic Station: architectural wall framing - release</t>
        </is>
      </c>
      <c r="D315" s="12" t="inlineStr">
        <is>
          <t>WBS Code = 1.2.1</t>
        </is>
      </c>
      <c r="E315" s="12" t="inlineStr">
        <is>
          <t>R223-v1</t>
        </is>
      </c>
      <c r="F315" s="12" t="inlineStr">
        <is>
          <t>1.2.1 Stations - Station Structures</t>
        </is>
      </c>
      <c r="G315" s="12" t="inlineStr">
        <is>
          <t>ONE_TO_ONE</t>
        </is>
      </c>
      <c r="H315" s="12" t="inlineStr">
        <is>
          <t>APPROVED</t>
        </is>
      </c>
      <c r="I315" s="12" t="inlineStr">
        <is>
          <t>New</t>
        </is>
      </c>
      <c r="J315" s="12" t="inlineStr">
        <is>
          <t>Source assignment -- not individually reviewed</t>
        </is>
      </c>
      <c r="K315" s="12" t="inlineStr"/>
      <c r="L315" s="12" t="inlineStr"/>
      <c r="M315" s="12" t="inlineStr"/>
      <c r="N315" s="17" t="inlineStr">
        <is>
          <t>10 EVIDENCE &amp; DECISIONS</t>
        </is>
      </c>
    </row>
    <row r="316" ht="34" customHeight="1">
      <c r="A316" s="12" t="inlineStr">
        <is>
          <t>Contractor Programme</t>
        </is>
      </c>
      <c r="B316" s="12" t="inlineStr">
        <is>
          <t>SCH-02-044</t>
        </is>
      </c>
      <c r="C316" s="12" t="inlineStr">
        <is>
          <t>University Station: fire-life-safety cabling - field start</t>
        </is>
      </c>
      <c r="D316" s="12" t="inlineStr">
        <is>
          <t>WBS Code = 1.2.1</t>
        </is>
      </c>
      <c r="E316" s="12" t="inlineStr">
        <is>
          <t>R224-v1</t>
        </is>
      </c>
      <c r="F316" s="12" t="inlineStr">
        <is>
          <t>1.2.1 Stations - Station Structures</t>
        </is>
      </c>
      <c r="G316" s="12" t="inlineStr">
        <is>
          <t>ONE_TO_ONE</t>
        </is>
      </c>
      <c r="H316" s="12" t="inlineStr">
        <is>
          <t>APPROVED</t>
        </is>
      </c>
      <c r="I316" s="12" t="inlineStr">
        <is>
          <t>New</t>
        </is>
      </c>
      <c r="J316" s="12" t="inlineStr">
        <is>
          <t>Source assignment -- not individually reviewed</t>
        </is>
      </c>
      <c r="K316" s="12" t="inlineStr"/>
      <c r="L316" s="12" t="inlineStr"/>
      <c r="M316" s="12" t="inlineStr"/>
      <c r="N316" s="17" t="inlineStr">
        <is>
          <t>10 EVIDENCE &amp; DECISIONS</t>
        </is>
      </c>
    </row>
    <row r="317" ht="34" customHeight="1">
      <c r="A317" s="12" t="inlineStr">
        <is>
          <t>Contractor Programme</t>
        </is>
      </c>
      <c r="B317" s="12" t="inlineStr">
        <is>
          <t>SCH-02-046</t>
        </is>
      </c>
      <c r="C317" s="12" t="inlineStr">
        <is>
          <t>Harbour Station: station ventilation rough-in - inspection</t>
        </is>
      </c>
      <c r="D317" s="12" t="inlineStr">
        <is>
          <t>WBS Code = 1.2.1</t>
        </is>
      </c>
      <c r="E317" s="12" t="inlineStr">
        <is>
          <t>R226-v1</t>
        </is>
      </c>
      <c r="F317" s="12" t="inlineStr">
        <is>
          <t>1.2.1 Stations - Station Structures</t>
        </is>
      </c>
      <c r="G317" s="12" t="inlineStr">
        <is>
          <t>ONE_TO_ONE</t>
        </is>
      </c>
      <c r="H317" s="12" t="inlineStr">
        <is>
          <t>APPROVED</t>
        </is>
      </c>
      <c r="I317" s="12" t="inlineStr">
        <is>
          <t>New</t>
        </is>
      </c>
      <c r="J317" s="12" t="inlineStr">
        <is>
          <t>Source assignment -- not individually reviewed</t>
        </is>
      </c>
      <c r="K317" s="12" t="inlineStr"/>
      <c r="L317" s="12" t="inlineStr"/>
      <c r="M317" s="12" t="inlineStr"/>
      <c r="N317" s="17" t="inlineStr">
        <is>
          <t>10 EVIDENCE &amp; DECISIONS</t>
        </is>
      </c>
    </row>
    <row r="318" ht="34" customHeight="1">
      <c r="A318" s="12" t="inlineStr">
        <is>
          <t>Contractor Programme</t>
        </is>
      </c>
      <c r="B318" s="12" t="inlineStr">
        <is>
          <t>SCH-02-047</t>
        </is>
      </c>
      <c r="C318" s="12" t="inlineStr">
        <is>
          <t>Market Station: public-realm paving - turnover</t>
        </is>
      </c>
      <c r="D318" s="12" t="inlineStr">
        <is>
          <t>WBS Code = 1.2.1</t>
        </is>
      </c>
      <c r="E318" s="12" t="inlineStr">
        <is>
          <t>R227-v1</t>
        </is>
      </c>
      <c r="F318" s="12" t="inlineStr">
        <is>
          <t>1.2.1 Stations - Station Structures</t>
        </is>
      </c>
      <c r="G318" s="12" t="inlineStr">
        <is>
          <t>ONE_TO_ONE</t>
        </is>
      </c>
      <c r="H318" s="12" t="inlineStr">
        <is>
          <t>APPROVED</t>
        </is>
      </c>
      <c r="I318" s="12" t="inlineStr">
        <is>
          <t>New</t>
        </is>
      </c>
      <c r="J318" s="12" t="inlineStr">
        <is>
          <t>Source assignment -- not individually reviewed</t>
        </is>
      </c>
      <c r="K318" s="12" t="inlineStr"/>
      <c r="L318" s="12" t="inlineStr"/>
      <c r="M318" s="12" t="inlineStr"/>
      <c r="N318" s="17" t="inlineStr">
        <is>
          <t>10 EVIDENCE &amp; DECISIONS</t>
        </is>
      </c>
    </row>
    <row r="319" ht="49" customHeight="1">
      <c r="A319" s="12" t="inlineStr">
        <is>
          <t>Contractor Programme</t>
        </is>
      </c>
      <c r="B319" s="12" t="inlineStr">
        <is>
          <t>SCH-02-049</t>
        </is>
      </c>
      <c r="C319" s="12" t="inlineStr">
        <is>
          <t>University Station: vertical-transport installation - field start</t>
        </is>
      </c>
      <c r="D319" s="12" t="inlineStr">
        <is>
          <t>WBS Code = 1.2.1</t>
        </is>
      </c>
      <c r="E319" s="12" t="inlineStr">
        <is>
          <t>R229-v1</t>
        </is>
      </c>
      <c r="F319" s="12" t="inlineStr">
        <is>
          <t>1.2.1 Stations - Station Structures</t>
        </is>
      </c>
      <c r="G319" s="12" t="inlineStr">
        <is>
          <t>ONE_TO_ONE</t>
        </is>
      </c>
      <c r="H319" s="12" t="inlineStr">
        <is>
          <t>APPROVED</t>
        </is>
      </c>
      <c r="I319" s="12" t="inlineStr">
        <is>
          <t>New</t>
        </is>
      </c>
      <c r="J319" s="12" t="inlineStr">
        <is>
          <t>Source assignment -- not individually reviewed</t>
        </is>
      </c>
      <c r="K319" s="12" t="inlineStr"/>
      <c r="L319" s="12" t="inlineStr"/>
      <c r="M319" s="12" t="inlineStr"/>
      <c r="N319" s="17" t="inlineStr">
        <is>
          <t>10 EVIDENCE &amp; DECISIONS</t>
        </is>
      </c>
    </row>
    <row r="320" ht="34" customHeight="1">
      <c r="A320" s="12" t="inlineStr">
        <is>
          <t>Contractor Programme</t>
        </is>
      </c>
      <c r="B320" s="12" t="inlineStr">
        <is>
          <t>SCH-02-050</t>
        </is>
      </c>
      <c r="C320" s="12" t="inlineStr">
        <is>
          <t>West Terminal: platform edge installation - installation</t>
        </is>
      </c>
      <c r="D320" s="12" t="inlineStr">
        <is>
          <t>WBS Code = 1.2.1</t>
        </is>
      </c>
      <c r="E320" s="12" t="inlineStr">
        <is>
          <t>R230-v1</t>
        </is>
      </c>
      <c r="F320" s="12" t="inlineStr">
        <is>
          <t>1.2.1 Stations - Station Structures</t>
        </is>
      </c>
      <c r="G320" s="12" t="inlineStr">
        <is>
          <t>ONE_TO_ONE</t>
        </is>
      </c>
      <c r="H320" s="12" t="inlineStr">
        <is>
          <t>APPROVED</t>
        </is>
      </c>
      <c r="I320" s="12" t="inlineStr">
        <is>
          <t>New</t>
        </is>
      </c>
      <c r="J320" s="12" t="inlineStr">
        <is>
          <t>Source assignment -- not individually reviewed</t>
        </is>
      </c>
      <c r="K320" s="12" t="inlineStr"/>
      <c r="L320" s="12" t="inlineStr"/>
      <c r="M320" s="12" t="inlineStr"/>
      <c r="N320" s="17" t="inlineStr">
        <is>
          <t>10 EVIDENCE &amp; DECISIONS</t>
        </is>
      </c>
    </row>
    <row r="321" ht="34" customHeight="1">
      <c r="A321" s="12" t="inlineStr">
        <is>
          <t>Contractor Programme</t>
        </is>
      </c>
      <c r="B321" s="12" t="inlineStr">
        <is>
          <t>SCH-02-052</t>
        </is>
      </c>
      <c r="C321" s="12" t="inlineStr">
        <is>
          <t>Market Station: fire-life-safety cabling - turnover</t>
        </is>
      </c>
      <c r="D321" s="12" t="inlineStr">
        <is>
          <t>WBS Code = 1.2.1</t>
        </is>
      </c>
      <c r="E321" s="12" t="inlineStr">
        <is>
          <t>R232-v1</t>
        </is>
      </c>
      <c r="F321" s="12" t="inlineStr">
        <is>
          <t>1.2.1 Stations - Station Structures</t>
        </is>
      </c>
      <c r="G321" s="12" t="inlineStr">
        <is>
          <t>ONE_TO_ONE</t>
        </is>
      </c>
      <c r="H321" s="12" t="inlineStr">
        <is>
          <t>APPROVED</t>
        </is>
      </c>
      <c r="I321" s="12" t="inlineStr">
        <is>
          <t>New</t>
        </is>
      </c>
      <c r="J321" s="12" t="inlineStr">
        <is>
          <t>Source assignment -- not individually reviewed</t>
        </is>
      </c>
      <c r="K321" s="12" t="inlineStr"/>
      <c r="L321" s="12" t="inlineStr"/>
      <c r="M321" s="12" t="inlineStr"/>
      <c r="N321" s="17" t="inlineStr">
        <is>
          <t>10 EVIDENCE &amp; DECISIONS</t>
        </is>
      </c>
    </row>
    <row r="322" ht="34" customHeight="1">
      <c r="A322" s="12" t="inlineStr">
        <is>
          <t>Contractor Programme</t>
        </is>
      </c>
      <c r="B322" s="12" t="inlineStr">
        <is>
          <t>SCH-02-053</t>
        </is>
      </c>
      <c r="C322" s="12" t="inlineStr">
        <is>
          <t>Civic Station: concourse slab pour - release</t>
        </is>
      </c>
      <c r="D322" s="12" t="inlineStr">
        <is>
          <t>WBS Code = 1.2.1</t>
        </is>
      </c>
      <c r="E322" s="12" t="inlineStr">
        <is>
          <t>R233-v1</t>
        </is>
      </c>
      <c r="F322" s="12" t="inlineStr">
        <is>
          <t>1.2.1 Stations - Station Structures</t>
        </is>
      </c>
      <c r="G322" s="12" t="inlineStr">
        <is>
          <t>ONE_TO_ONE</t>
        </is>
      </c>
      <c r="H322" s="12" t="inlineStr">
        <is>
          <t>APPROVED</t>
        </is>
      </c>
      <c r="I322" s="12" t="inlineStr">
        <is>
          <t>New</t>
        </is>
      </c>
      <c r="J322" s="12" t="inlineStr">
        <is>
          <t>Source assignment -- not individually reviewed</t>
        </is>
      </c>
      <c r="K322" s="12" t="inlineStr"/>
      <c r="L322" s="12" t="inlineStr"/>
      <c r="M322" s="12" t="inlineStr"/>
      <c r="N322" s="17" t="inlineStr">
        <is>
          <t>10 EVIDENCE &amp; DECISIONS</t>
        </is>
      </c>
    </row>
    <row r="323" ht="34" customHeight="1">
      <c r="A323" s="12" t="inlineStr">
        <is>
          <t>Contractor Programme</t>
        </is>
      </c>
      <c r="B323" s="12" t="inlineStr">
        <is>
          <t>SCH-02-055</t>
        </is>
      </c>
      <c r="C323" s="12" t="inlineStr">
        <is>
          <t>West Terminal: public-realm paving - installation</t>
        </is>
      </c>
      <c r="D323" s="12" t="inlineStr">
        <is>
          <t>WBS Code = 1.2.1</t>
        </is>
      </c>
      <c r="E323" s="12" t="inlineStr">
        <is>
          <t>R235-v1</t>
        </is>
      </c>
      <c r="F323" s="12" t="inlineStr">
        <is>
          <t>1.2.1 Stations - Station Structures</t>
        </is>
      </c>
      <c r="G323" s="12" t="inlineStr">
        <is>
          <t>ONE_TO_ONE</t>
        </is>
      </c>
      <c r="H323" s="12" t="inlineStr">
        <is>
          <t>APPROVED</t>
        </is>
      </c>
      <c r="I323" s="12" t="inlineStr">
        <is>
          <t>New</t>
        </is>
      </c>
      <c r="J323" s="12" t="inlineStr">
        <is>
          <t>Source assignment -- not individually reviewed</t>
        </is>
      </c>
      <c r="K323" s="12" t="inlineStr"/>
      <c r="L323" s="12" t="inlineStr"/>
      <c r="M323" s="12" t="inlineStr"/>
      <c r="N323" s="17" t="inlineStr">
        <is>
          <t>10 EVIDENCE &amp; DECISIONS</t>
        </is>
      </c>
    </row>
    <row r="324" ht="34" customHeight="1">
      <c r="A324" s="12" t="inlineStr">
        <is>
          <t>Contractor Programme</t>
        </is>
      </c>
      <c r="B324" s="12" t="inlineStr">
        <is>
          <t>SCH-02-056</t>
        </is>
      </c>
      <c r="C324" s="12" t="inlineStr">
        <is>
          <t>Harbour Station: entrance steel erection - inspection</t>
        </is>
      </c>
      <c r="D324" s="12" t="inlineStr">
        <is>
          <t>WBS Code = 1.2.1</t>
        </is>
      </c>
      <c r="E324" s="12" t="inlineStr">
        <is>
          <t>R236-v1</t>
        </is>
      </c>
      <c r="F324" s="12" t="inlineStr">
        <is>
          <t>1.2.1 Stations - Station Structures</t>
        </is>
      </c>
      <c r="G324" s="12" t="inlineStr">
        <is>
          <t>ONE_TO_ONE</t>
        </is>
      </c>
      <c r="H324" s="12" t="inlineStr">
        <is>
          <t>APPROVED</t>
        </is>
      </c>
      <c r="I324" s="12" t="inlineStr">
        <is>
          <t>New</t>
        </is>
      </c>
      <c r="J324" s="12" t="inlineStr">
        <is>
          <t>Source assignment -- not individually reviewed</t>
        </is>
      </c>
      <c r="K324" s="12" t="inlineStr"/>
      <c r="L324" s="12" t="inlineStr"/>
      <c r="M324" s="12" t="inlineStr"/>
      <c r="N324" s="17" t="inlineStr">
        <is>
          <t>10 EVIDENCE &amp; DECISIONS</t>
        </is>
      </c>
    </row>
    <row r="325" ht="34" customHeight="1">
      <c r="A325" s="12" t="inlineStr">
        <is>
          <t>Contractor Programme</t>
        </is>
      </c>
      <c r="B325" s="12" t="inlineStr">
        <is>
          <t>SCH-02-058</t>
        </is>
      </c>
      <c r="C325" s="12" t="inlineStr">
        <is>
          <t>Civic Station: platform edge installation - release</t>
        </is>
      </c>
      <c r="D325" s="12" t="inlineStr">
        <is>
          <t>WBS Code = 1.2.1</t>
        </is>
      </c>
      <c r="E325" s="12" t="inlineStr">
        <is>
          <t>R238-v1</t>
        </is>
      </c>
      <c r="F325" s="12" t="inlineStr">
        <is>
          <t>1.2.1 Stations - Station Structures</t>
        </is>
      </c>
      <c r="G325" s="12" t="inlineStr">
        <is>
          <t>ONE_TO_ONE</t>
        </is>
      </c>
      <c r="H325" s="12" t="inlineStr">
        <is>
          <t>APPROVED</t>
        </is>
      </c>
      <c r="I325" s="12" t="inlineStr">
        <is>
          <t>New</t>
        </is>
      </c>
      <c r="J325" s="12" t="inlineStr">
        <is>
          <t>Source assignment -- not individually reviewed</t>
        </is>
      </c>
      <c r="K325" s="12" t="inlineStr"/>
      <c r="L325" s="12" t="inlineStr"/>
      <c r="M325" s="12" t="inlineStr"/>
      <c r="N325" s="17" t="inlineStr">
        <is>
          <t>10 EVIDENCE &amp; DECISIONS</t>
        </is>
      </c>
    </row>
    <row r="326" ht="34" customHeight="1">
      <c r="A326" s="12" t="inlineStr">
        <is>
          <t>Contractor Programme</t>
        </is>
      </c>
      <c r="B326" s="12" t="inlineStr">
        <is>
          <t>SCH-02-059</t>
        </is>
      </c>
      <c r="C326" s="12" t="inlineStr">
        <is>
          <t>University Station: architectural wall framing - field start</t>
        </is>
      </c>
      <c r="D326" s="12" t="inlineStr">
        <is>
          <t>WBS Code = 1.2.1</t>
        </is>
      </c>
      <c r="E326" s="12" t="inlineStr">
        <is>
          <t>R239-v1</t>
        </is>
      </c>
      <c r="F326" s="12" t="inlineStr">
        <is>
          <t>1.2.1 Stations - Station Structures</t>
        </is>
      </c>
      <c r="G326" s="12" t="inlineStr">
        <is>
          <t>ONE_TO_ONE</t>
        </is>
      </c>
      <c r="H326" s="12" t="inlineStr">
        <is>
          <t>APPROVED</t>
        </is>
      </c>
      <c r="I326" s="12" t="inlineStr">
        <is>
          <t>New</t>
        </is>
      </c>
      <c r="J326" s="12" t="inlineStr">
        <is>
          <t>Source assignment -- not individually reviewed</t>
        </is>
      </c>
      <c r="K326" s="12" t="inlineStr"/>
      <c r="L326" s="12" t="inlineStr"/>
      <c r="M326" s="12" t="inlineStr"/>
      <c r="N326" s="17" t="inlineStr">
        <is>
          <t>10 EVIDENCE &amp; DECISIONS</t>
        </is>
      </c>
    </row>
    <row r="327" ht="34" customHeight="1">
      <c r="A327" s="12" t="inlineStr">
        <is>
          <t>Contractor Programme</t>
        </is>
      </c>
      <c r="B327" s="12" t="inlineStr">
        <is>
          <t>SCH-02-061</t>
        </is>
      </c>
      <c r="C327" s="12" t="inlineStr">
        <is>
          <t>Harbour Station: concourse slab pour - inspection</t>
        </is>
      </c>
      <c r="D327" s="12" t="inlineStr">
        <is>
          <t>WBS Code = 1.2.1</t>
        </is>
      </c>
      <c r="E327" s="12" t="inlineStr">
        <is>
          <t>R241-v1</t>
        </is>
      </c>
      <c r="F327" s="12" t="inlineStr">
        <is>
          <t>1.2.1 Stations - Station Structures</t>
        </is>
      </c>
      <c r="G327" s="12" t="inlineStr">
        <is>
          <t>ONE_TO_ONE</t>
        </is>
      </c>
      <c r="H327" s="12" t="inlineStr">
        <is>
          <t>APPROVED</t>
        </is>
      </c>
      <c r="I327" s="12" t="inlineStr">
        <is>
          <t>New</t>
        </is>
      </c>
      <c r="J327" s="12" t="inlineStr">
        <is>
          <t>Source assignment -- not individually reviewed</t>
        </is>
      </c>
      <c r="K327" s="12" t="inlineStr"/>
      <c r="L327" s="12" t="inlineStr"/>
      <c r="M327" s="12" t="inlineStr"/>
      <c r="N327" s="17" t="inlineStr">
        <is>
          <t>10 EVIDENCE &amp; DECISIONS</t>
        </is>
      </c>
    </row>
    <row r="328" ht="34" customHeight="1">
      <c r="A328" s="12" t="inlineStr">
        <is>
          <t>Contractor Programme</t>
        </is>
      </c>
      <c r="B328" s="12" t="inlineStr">
        <is>
          <t>SCH-02-062</t>
        </is>
      </c>
      <c r="C328" s="12" t="inlineStr">
        <is>
          <t>Market Station: station ventilation rough-in - turnover</t>
        </is>
      </c>
      <c r="D328" s="12" t="inlineStr">
        <is>
          <t>WBS Code = 1.2.1</t>
        </is>
      </c>
      <c r="E328" s="12" t="inlineStr">
        <is>
          <t>R242-v1</t>
        </is>
      </c>
      <c r="F328" s="12" t="inlineStr">
        <is>
          <t>1.2.1 Stations - Station Structures</t>
        </is>
      </c>
      <c r="G328" s="12" t="inlineStr">
        <is>
          <t>ONE_TO_ONE</t>
        </is>
      </c>
      <c r="H328" s="12" t="inlineStr">
        <is>
          <t>APPROVED</t>
        </is>
      </c>
      <c r="I328" s="12" t="inlineStr">
        <is>
          <t>New</t>
        </is>
      </c>
      <c r="J328" s="12" t="inlineStr">
        <is>
          <t>Source assignment -- not individually reviewed</t>
        </is>
      </c>
      <c r="K328" s="12" t="inlineStr"/>
      <c r="L328" s="12" t="inlineStr"/>
      <c r="M328" s="12" t="inlineStr"/>
      <c r="N328" s="17" t="inlineStr">
        <is>
          <t>10 EVIDENCE &amp; DECISIONS</t>
        </is>
      </c>
    </row>
    <row r="329" ht="34" customHeight="1">
      <c r="A329" s="12" t="inlineStr">
        <is>
          <t>Contractor Programme</t>
        </is>
      </c>
      <c r="B329" s="12" t="inlineStr">
        <is>
          <t>SCH-02-064</t>
        </is>
      </c>
      <c r="C329" s="12" t="inlineStr">
        <is>
          <t>University Station: entrance steel erection - field start</t>
        </is>
      </c>
      <c r="D329" s="12" t="inlineStr">
        <is>
          <t>WBS Code = 1.2.1</t>
        </is>
      </c>
      <c r="E329" s="12" t="inlineStr">
        <is>
          <t>R244-v1</t>
        </is>
      </c>
      <c r="F329" s="12" t="inlineStr">
        <is>
          <t>1.2.1 Stations - Station Structures</t>
        </is>
      </c>
      <c r="G329" s="12" t="inlineStr">
        <is>
          <t>ONE_TO_ONE</t>
        </is>
      </c>
      <c r="H329" s="12" t="inlineStr">
        <is>
          <t>APPROVED</t>
        </is>
      </c>
      <c r="I329" s="12" t="inlineStr">
        <is>
          <t>New</t>
        </is>
      </c>
      <c r="J329" s="12" t="inlineStr">
        <is>
          <t>Source assignment -- not individually reviewed</t>
        </is>
      </c>
      <c r="K329" s="12" t="inlineStr"/>
      <c r="L329" s="12" t="inlineStr"/>
      <c r="M329" s="12" t="inlineStr"/>
      <c r="N329" s="17" t="inlineStr">
        <is>
          <t>10 EVIDENCE &amp; DECISIONS</t>
        </is>
      </c>
    </row>
    <row r="330" ht="34" customHeight="1">
      <c r="A330" s="12" t="inlineStr">
        <is>
          <t>Contractor Programme</t>
        </is>
      </c>
      <c r="B330" s="12" t="inlineStr">
        <is>
          <t>SCH-02-065</t>
        </is>
      </c>
      <c r="C330" s="12" t="inlineStr">
        <is>
          <t>West Terminal: vertical-transport installation - installation</t>
        </is>
      </c>
      <c r="D330" s="12" t="inlineStr">
        <is>
          <t>WBS Code = 1.2.1</t>
        </is>
      </c>
      <c r="E330" s="12" t="inlineStr">
        <is>
          <t>R245-v1</t>
        </is>
      </c>
      <c r="F330" s="12" t="inlineStr">
        <is>
          <t>1.2.1 Stations - Station Structures</t>
        </is>
      </c>
      <c r="G330" s="12" t="inlineStr">
        <is>
          <t>ONE_TO_ONE</t>
        </is>
      </c>
      <c r="H330" s="12" t="inlineStr">
        <is>
          <t>APPROVED</t>
        </is>
      </c>
      <c r="I330" s="12" t="inlineStr">
        <is>
          <t>New</t>
        </is>
      </c>
      <c r="J330" s="12" t="inlineStr">
        <is>
          <t>Source assignment -- not individually reviewed</t>
        </is>
      </c>
      <c r="K330" s="12" t="inlineStr"/>
      <c r="L330" s="12" t="inlineStr"/>
      <c r="M330" s="12" t="inlineStr"/>
      <c r="N330" s="17" t="inlineStr">
        <is>
          <t>10 EVIDENCE &amp; DECISIONS</t>
        </is>
      </c>
    </row>
    <row r="331" ht="34" customHeight="1">
      <c r="A331" s="12" t="inlineStr">
        <is>
          <t>Contractor Programme</t>
        </is>
      </c>
      <c r="B331" s="12" t="inlineStr">
        <is>
          <t>SCH-02-067</t>
        </is>
      </c>
      <c r="C331" s="12" t="inlineStr">
        <is>
          <t>Market Station: architectural wall framing - turnover</t>
        </is>
      </c>
      <c r="D331" s="12" t="inlineStr">
        <is>
          <t>WBS Code = 1.2.1</t>
        </is>
      </c>
      <c r="E331" s="12" t="inlineStr">
        <is>
          <t>R247-v1</t>
        </is>
      </c>
      <c r="F331" s="12" t="inlineStr">
        <is>
          <t>1.2.1 Stations - Station Structures</t>
        </is>
      </c>
      <c r="G331" s="12" t="inlineStr">
        <is>
          <t>ONE_TO_ONE</t>
        </is>
      </c>
      <c r="H331" s="12" t="inlineStr">
        <is>
          <t>APPROVED</t>
        </is>
      </c>
      <c r="I331" s="12" t="inlineStr">
        <is>
          <t>New</t>
        </is>
      </c>
      <c r="J331" s="12" t="inlineStr">
        <is>
          <t>Source assignment -- not individually reviewed</t>
        </is>
      </c>
      <c r="K331" s="12" t="inlineStr"/>
      <c r="L331" s="12" t="inlineStr"/>
      <c r="M331" s="12" t="inlineStr"/>
      <c r="N331" s="17" t="inlineStr">
        <is>
          <t>10 EVIDENCE &amp; DECISIONS</t>
        </is>
      </c>
    </row>
    <row r="332" ht="34" customHeight="1">
      <c r="A332" s="12" t="inlineStr">
        <is>
          <t>Contractor Programme</t>
        </is>
      </c>
      <c r="B332" s="12" t="inlineStr">
        <is>
          <t>SCH-02-068</t>
        </is>
      </c>
      <c r="C332" s="12" t="inlineStr">
        <is>
          <t>Civic Station: fire-life-safety cabling - release</t>
        </is>
      </c>
      <c r="D332" s="12" t="inlineStr">
        <is>
          <t>WBS Code = 1.2.1</t>
        </is>
      </c>
      <c r="E332" s="12" t="inlineStr">
        <is>
          <t>R248-v1</t>
        </is>
      </c>
      <c r="F332" s="12" t="inlineStr">
        <is>
          <t>1.2.1 Stations - Station Structures</t>
        </is>
      </c>
      <c r="G332" s="12" t="inlineStr">
        <is>
          <t>ONE_TO_ONE</t>
        </is>
      </c>
      <c r="H332" s="12" t="inlineStr">
        <is>
          <t>APPROVED</t>
        </is>
      </c>
      <c r="I332" s="12" t="inlineStr">
        <is>
          <t>New</t>
        </is>
      </c>
      <c r="J332" s="12" t="inlineStr">
        <is>
          <t>Source assignment -- not individually reviewed</t>
        </is>
      </c>
      <c r="K332" s="12" t="inlineStr"/>
      <c r="L332" s="12" t="inlineStr"/>
      <c r="M332" s="12" t="inlineStr"/>
      <c r="N332" s="17" t="inlineStr">
        <is>
          <t>10 EVIDENCE &amp; DECISIONS</t>
        </is>
      </c>
    </row>
    <row r="333" ht="34" customHeight="1">
      <c r="A333" s="12" t="inlineStr">
        <is>
          <t>Contractor Programme</t>
        </is>
      </c>
      <c r="B333" s="12" t="inlineStr">
        <is>
          <t>SCH-02-070</t>
        </is>
      </c>
      <c r="C333" s="12" t="inlineStr">
        <is>
          <t>West Terminal: station ventilation rough-in - installation</t>
        </is>
      </c>
      <c r="D333" s="12" t="inlineStr">
        <is>
          <t>WBS Code = 1.2.1</t>
        </is>
      </c>
      <c r="E333" s="12" t="inlineStr">
        <is>
          <t>R250-v1</t>
        </is>
      </c>
      <c r="F333" s="12" t="inlineStr">
        <is>
          <t>1.2.1 Stations - Station Structures</t>
        </is>
      </c>
      <c r="G333" s="12" t="inlineStr">
        <is>
          <t>ONE_TO_ONE</t>
        </is>
      </c>
      <c r="H333" s="12" t="inlineStr">
        <is>
          <t>APPROVED</t>
        </is>
      </c>
      <c r="I333" s="12" t="inlineStr">
        <is>
          <t>New</t>
        </is>
      </c>
      <c r="J333" s="12" t="inlineStr">
        <is>
          <t>Source assignment -- not individually reviewed</t>
        </is>
      </c>
      <c r="K333" s="12" t="inlineStr"/>
      <c r="L333" s="12" t="inlineStr"/>
      <c r="M333" s="12" t="inlineStr"/>
      <c r="N333" s="17" t="inlineStr">
        <is>
          <t>10 EVIDENCE &amp; DECISIONS</t>
        </is>
      </c>
    </row>
    <row r="334" ht="34" customHeight="1">
      <c r="A334" s="12" t="inlineStr">
        <is>
          <t>Contractor Programme</t>
        </is>
      </c>
      <c r="B334" s="12" t="inlineStr">
        <is>
          <t>SCH-02-071</t>
        </is>
      </c>
      <c r="C334" s="12" t="inlineStr">
        <is>
          <t>Harbour Station: public-realm paving - inspection</t>
        </is>
      </c>
      <c r="D334" s="12" t="inlineStr">
        <is>
          <t>WBS Code = 1.2.1</t>
        </is>
      </c>
      <c r="E334" s="12" t="inlineStr">
        <is>
          <t>R251-v1</t>
        </is>
      </c>
      <c r="F334" s="12" t="inlineStr">
        <is>
          <t>1.2.1 Stations - Station Structures</t>
        </is>
      </c>
      <c r="G334" s="12" t="inlineStr">
        <is>
          <t>ONE_TO_ONE</t>
        </is>
      </c>
      <c r="H334" s="12" t="inlineStr">
        <is>
          <t>APPROVED</t>
        </is>
      </c>
      <c r="I334" s="12" t="inlineStr">
        <is>
          <t>New</t>
        </is>
      </c>
      <c r="J334" s="12" t="inlineStr">
        <is>
          <t>Source assignment -- not individually reviewed</t>
        </is>
      </c>
      <c r="K334" s="12" t="inlineStr"/>
      <c r="L334" s="12" t="inlineStr"/>
      <c r="M334" s="12" t="inlineStr"/>
      <c r="N334" s="17" t="inlineStr">
        <is>
          <t>10 EVIDENCE &amp; DECISIONS</t>
        </is>
      </c>
    </row>
    <row r="335" ht="34" customHeight="1">
      <c r="A335" s="12" t="inlineStr">
        <is>
          <t>Contractor Programme</t>
        </is>
      </c>
      <c r="B335" s="12" t="inlineStr">
        <is>
          <t>SCH-02-073</t>
        </is>
      </c>
      <c r="C335" s="12" t="inlineStr">
        <is>
          <t>Civic Station: vertical-transport installation - release</t>
        </is>
      </c>
      <c r="D335" s="12" t="inlineStr">
        <is>
          <t>WBS Code = 1.2.1</t>
        </is>
      </c>
      <c r="E335" s="12" t="inlineStr">
        <is>
          <t>R253-v1</t>
        </is>
      </c>
      <c r="F335" s="12" t="inlineStr">
        <is>
          <t>1.2.1 Stations - Station Structures</t>
        </is>
      </c>
      <c r="G335" s="12" t="inlineStr">
        <is>
          <t>ONE_TO_ONE</t>
        </is>
      </c>
      <c r="H335" s="12" t="inlineStr">
        <is>
          <t>APPROVED</t>
        </is>
      </c>
      <c r="I335" s="12" t="inlineStr">
        <is>
          <t>New</t>
        </is>
      </c>
      <c r="J335" s="12" t="inlineStr">
        <is>
          <t>Source assignment -- not individually reviewed</t>
        </is>
      </c>
      <c r="K335" s="12" t="inlineStr"/>
      <c r="L335" s="12" t="inlineStr"/>
      <c r="M335" s="12" t="inlineStr"/>
      <c r="N335" s="17" t="inlineStr">
        <is>
          <t>10 EVIDENCE &amp; DECISIONS</t>
        </is>
      </c>
    </row>
    <row r="336" ht="34" customHeight="1">
      <c r="A336" s="12" t="inlineStr">
        <is>
          <t>Contractor Programme</t>
        </is>
      </c>
      <c r="B336" s="12" t="inlineStr">
        <is>
          <t>SCH-02-074</t>
        </is>
      </c>
      <c r="C336" s="12" t="inlineStr">
        <is>
          <t>University Station: platform edge installation - field start</t>
        </is>
      </c>
      <c r="D336" s="12" t="inlineStr">
        <is>
          <t>WBS Code = 1.2.1</t>
        </is>
      </c>
      <c r="E336" s="12" t="inlineStr">
        <is>
          <t>R254-v1</t>
        </is>
      </c>
      <c r="F336" s="12" t="inlineStr">
        <is>
          <t>1.2.1 Stations - Station Structures</t>
        </is>
      </c>
      <c r="G336" s="12" t="inlineStr">
        <is>
          <t>ONE_TO_ONE</t>
        </is>
      </c>
      <c r="H336" s="12" t="inlineStr">
        <is>
          <t>APPROVED</t>
        </is>
      </c>
      <c r="I336" s="12" t="inlineStr">
        <is>
          <t>New</t>
        </is>
      </c>
      <c r="J336" s="12" t="inlineStr">
        <is>
          <t>Source assignment -- not individually reviewed</t>
        </is>
      </c>
      <c r="K336" s="12" t="inlineStr"/>
      <c r="L336" s="12" t="inlineStr"/>
      <c r="M336" s="12" t="inlineStr"/>
      <c r="N336" s="17" t="inlineStr">
        <is>
          <t>10 EVIDENCE &amp; DECISIONS</t>
        </is>
      </c>
    </row>
    <row r="337" ht="34" customHeight="1">
      <c r="A337" s="12" t="inlineStr">
        <is>
          <t>Contractor Programme</t>
        </is>
      </c>
      <c r="B337" s="12" t="inlineStr">
        <is>
          <t>SCH-02-076</t>
        </is>
      </c>
      <c r="C337" s="12" t="inlineStr">
        <is>
          <t>Harbour Station: fire-life-safety cabling - inspection</t>
        </is>
      </c>
      <c r="D337" s="12" t="inlineStr">
        <is>
          <t>WBS Code = 1.2.1</t>
        </is>
      </c>
      <c r="E337" s="12" t="inlineStr">
        <is>
          <t>R256-v1</t>
        </is>
      </c>
      <c r="F337" s="12" t="inlineStr">
        <is>
          <t>1.2.1 Stations - Station Structures</t>
        </is>
      </c>
      <c r="G337" s="12" t="inlineStr">
        <is>
          <t>ONE_TO_ONE</t>
        </is>
      </c>
      <c r="H337" s="12" t="inlineStr">
        <is>
          <t>APPROVED</t>
        </is>
      </c>
      <c r="I337" s="12" t="inlineStr">
        <is>
          <t>New</t>
        </is>
      </c>
      <c r="J337" s="12" t="inlineStr">
        <is>
          <t>Source assignment -- not individually reviewed</t>
        </is>
      </c>
      <c r="K337" s="12" t="inlineStr"/>
      <c r="L337" s="12" t="inlineStr"/>
      <c r="M337" s="12" t="inlineStr"/>
      <c r="N337" s="17" t="inlineStr">
        <is>
          <t>10 EVIDENCE &amp; DECISIONS</t>
        </is>
      </c>
    </row>
    <row r="338" ht="34" customHeight="1">
      <c r="A338" s="12" t="inlineStr">
        <is>
          <t>Contractor Programme</t>
        </is>
      </c>
      <c r="B338" s="12" t="inlineStr">
        <is>
          <t>SCH-02-077</t>
        </is>
      </c>
      <c r="C338" s="12" t="inlineStr">
        <is>
          <t>Market Station: concourse slab pour - turnover</t>
        </is>
      </c>
      <c r="D338" s="12" t="inlineStr">
        <is>
          <t>WBS Code = 1.2.1</t>
        </is>
      </c>
      <c r="E338" s="12" t="inlineStr">
        <is>
          <t>R257-v1</t>
        </is>
      </c>
      <c r="F338" s="12" t="inlineStr">
        <is>
          <t>1.2.1 Stations - Station Structures</t>
        </is>
      </c>
      <c r="G338" s="12" t="inlineStr">
        <is>
          <t>ONE_TO_ONE</t>
        </is>
      </c>
      <c r="H338" s="12" t="inlineStr">
        <is>
          <t>APPROVED</t>
        </is>
      </c>
      <c r="I338" s="12" t="inlineStr">
        <is>
          <t>New</t>
        </is>
      </c>
      <c r="J338" s="12" t="inlineStr">
        <is>
          <t>Source assignment -- not individually reviewed</t>
        </is>
      </c>
      <c r="K338" s="12" t="inlineStr"/>
      <c r="L338" s="12" t="inlineStr"/>
      <c r="M338" s="12" t="inlineStr"/>
      <c r="N338" s="17" t="inlineStr">
        <is>
          <t>10 EVIDENCE &amp; DECISIONS</t>
        </is>
      </c>
    </row>
    <row r="339" ht="34" customHeight="1">
      <c r="A339" s="12" t="inlineStr">
        <is>
          <t>Contractor Programme</t>
        </is>
      </c>
      <c r="B339" s="12" t="inlineStr">
        <is>
          <t>SCH-02-079</t>
        </is>
      </c>
      <c r="C339" s="12" t="inlineStr">
        <is>
          <t>University Station: public-realm paving - field start</t>
        </is>
      </c>
      <c r="D339" s="12" t="inlineStr">
        <is>
          <t>WBS Code = 1.2.1</t>
        </is>
      </c>
      <c r="E339" s="12" t="inlineStr">
        <is>
          <t>R259-v1</t>
        </is>
      </c>
      <c r="F339" s="12" t="inlineStr">
        <is>
          <t>1.2.1 Stations - Station Structures</t>
        </is>
      </c>
      <c r="G339" s="12" t="inlineStr">
        <is>
          <t>ONE_TO_ONE</t>
        </is>
      </c>
      <c r="H339" s="12" t="inlineStr">
        <is>
          <t>APPROVED</t>
        </is>
      </c>
      <c r="I339" s="12" t="inlineStr">
        <is>
          <t>New</t>
        </is>
      </c>
      <c r="J339" s="12" t="inlineStr">
        <is>
          <t>Source assignment -- not individually reviewed</t>
        </is>
      </c>
      <c r="K339" s="12" t="inlineStr"/>
      <c r="L339" s="12" t="inlineStr"/>
      <c r="M339" s="12" t="inlineStr"/>
      <c r="N339" s="17" t="inlineStr">
        <is>
          <t>10 EVIDENCE &amp; DECISIONS</t>
        </is>
      </c>
    </row>
    <row r="340" ht="34" customHeight="1">
      <c r="A340" s="12" t="inlineStr">
        <is>
          <t>Contractor Programme</t>
        </is>
      </c>
      <c r="B340" s="12" t="inlineStr">
        <is>
          <t>SCH-02-080</t>
        </is>
      </c>
      <c r="C340" s="12" t="inlineStr">
        <is>
          <t>West Terminal: entrance steel erection - installation</t>
        </is>
      </c>
      <c r="D340" s="12" t="inlineStr">
        <is>
          <t>WBS Code = 1.2.1</t>
        </is>
      </c>
      <c r="E340" s="12" t="inlineStr">
        <is>
          <t>R260-v1</t>
        </is>
      </c>
      <c r="F340" s="12" t="inlineStr">
        <is>
          <t>1.2.1 Stations - Station Structures</t>
        </is>
      </c>
      <c r="G340" s="12" t="inlineStr">
        <is>
          <t>ONE_TO_ONE</t>
        </is>
      </c>
      <c r="H340" s="12" t="inlineStr">
        <is>
          <t>APPROVED</t>
        </is>
      </c>
      <c r="I340" s="12" t="inlineStr">
        <is>
          <t>New</t>
        </is>
      </c>
      <c r="J340" s="12" t="inlineStr">
        <is>
          <t>Source assignment -- not individually reviewed</t>
        </is>
      </c>
      <c r="K340" s="12" t="inlineStr"/>
      <c r="L340" s="12" t="inlineStr"/>
      <c r="M340" s="12" t="inlineStr"/>
      <c r="N340" s="17" t="inlineStr">
        <is>
          <t>10 EVIDENCE &amp; DECISIONS</t>
        </is>
      </c>
    </row>
    <row r="341" ht="34" customHeight="1">
      <c r="A341" s="12" t="inlineStr">
        <is>
          <t>Contractor Programme</t>
        </is>
      </c>
      <c r="B341" s="12" t="inlineStr">
        <is>
          <t>SCH-02-082</t>
        </is>
      </c>
      <c r="C341" s="12" t="inlineStr">
        <is>
          <t>Market Station: platform edge installation - turnover</t>
        </is>
      </c>
      <c r="D341" s="12" t="inlineStr">
        <is>
          <t>WBS Code = 1.2.1</t>
        </is>
      </c>
      <c r="E341" s="12" t="inlineStr">
        <is>
          <t>R262-v1</t>
        </is>
      </c>
      <c r="F341" s="12" t="inlineStr">
        <is>
          <t>1.2.1 Stations - Station Structures</t>
        </is>
      </c>
      <c r="G341" s="12" t="inlineStr">
        <is>
          <t>ONE_TO_ONE</t>
        </is>
      </c>
      <c r="H341" s="12" t="inlineStr">
        <is>
          <t>APPROVED</t>
        </is>
      </c>
      <c r="I341" s="12" t="inlineStr">
        <is>
          <t>New</t>
        </is>
      </c>
      <c r="J341" s="12" t="inlineStr">
        <is>
          <t>Source assignment -- not individually reviewed</t>
        </is>
      </c>
      <c r="K341" s="12" t="inlineStr"/>
      <c r="L341" s="12" t="inlineStr"/>
      <c r="M341" s="12" t="inlineStr"/>
      <c r="N341" s="17" t="inlineStr">
        <is>
          <t>10 EVIDENCE &amp; DECISIONS</t>
        </is>
      </c>
    </row>
    <row r="342" ht="34" customHeight="1">
      <c r="A342" s="12" t="inlineStr">
        <is>
          <t>Contractor Programme</t>
        </is>
      </c>
      <c r="B342" s="12" t="inlineStr">
        <is>
          <t>SCH-02-083</t>
        </is>
      </c>
      <c r="C342" s="12" t="inlineStr">
        <is>
          <t>Civic Station: architectural wall framing - release</t>
        </is>
      </c>
      <c r="D342" s="12" t="inlineStr">
        <is>
          <t>WBS Code = 1.2.1</t>
        </is>
      </c>
      <c r="E342" s="12" t="inlineStr">
        <is>
          <t>R263-v1</t>
        </is>
      </c>
      <c r="F342" s="12" t="inlineStr">
        <is>
          <t>1.2.1 Stations - Station Structures</t>
        </is>
      </c>
      <c r="G342" s="12" t="inlineStr">
        <is>
          <t>ONE_TO_ONE</t>
        </is>
      </c>
      <c r="H342" s="12" t="inlineStr">
        <is>
          <t>APPROVED</t>
        </is>
      </c>
      <c r="I342" s="12" t="inlineStr">
        <is>
          <t>New</t>
        </is>
      </c>
      <c r="J342" s="12" t="inlineStr">
        <is>
          <t>Source assignment -- not individually reviewed</t>
        </is>
      </c>
      <c r="K342" s="12" t="inlineStr"/>
      <c r="L342" s="12" t="inlineStr"/>
      <c r="M342" s="12" t="inlineStr"/>
      <c r="N342" s="17" t="inlineStr">
        <is>
          <t>10 EVIDENCE &amp; DECISIONS</t>
        </is>
      </c>
    </row>
    <row r="343" ht="34" customHeight="1">
      <c r="A343" s="12" t="inlineStr">
        <is>
          <t>Contractor Programme</t>
        </is>
      </c>
      <c r="B343" s="12" t="inlineStr">
        <is>
          <t>SCH-02-085</t>
        </is>
      </c>
      <c r="C343" s="12" t="inlineStr">
        <is>
          <t>West Terminal: concourse slab pour - installation</t>
        </is>
      </c>
      <c r="D343" s="12" t="inlineStr">
        <is>
          <t>WBS Code = 1.2.1</t>
        </is>
      </c>
      <c r="E343" s="12" t="inlineStr">
        <is>
          <t>R265-v1</t>
        </is>
      </c>
      <c r="F343" s="12" t="inlineStr">
        <is>
          <t>1.2.1 Stations - Station Structures</t>
        </is>
      </c>
      <c r="G343" s="12" t="inlineStr">
        <is>
          <t>ONE_TO_ONE</t>
        </is>
      </c>
      <c r="H343" s="12" t="inlineStr">
        <is>
          <t>APPROVED</t>
        </is>
      </c>
      <c r="I343" s="12" t="inlineStr">
        <is>
          <t>New</t>
        </is>
      </c>
      <c r="J343" s="12" t="inlineStr">
        <is>
          <t>Source assignment -- not individually reviewed</t>
        </is>
      </c>
      <c r="K343" s="12" t="inlineStr"/>
      <c r="L343" s="12" t="inlineStr"/>
      <c r="M343" s="12" t="inlineStr"/>
      <c r="N343" s="17" t="inlineStr">
        <is>
          <t>10 EVIDENCE &amp; DECISIONS</t>
        </is>
      </c>
    </row>
    <row r="344" ht="34" customHeight="1">
      <c r="A344" s="12" t="inlineStr">
        <is>
          <t>Contractor Programme</t>
        </is>
      </c>
      <c r="B344" s="12" t="inlineStr">
        <is>
          <t>SCH-02-086</t>
        </is>
      </c>
      <c r="C344" s="12" t="inlineStr">
        <is>
          <t>Harbour Station: station ventilation rough-in - inspection</t>
        </is>
      </c>
      <c r="D344" s="12" t="inlineStr">
        <is>
          <t>WBS Code = 1.2.1</t>
        </is>
      </c>
      <c r="E344" s="12" t="inlineStr">
        <is>
          <t>R266-v1</t>
        </is>
      </c>
      <c r="F344" s="12" t="inlineStr">
        <is>
          <t>1.2.1 Stations - Station Structures</t>
        </is>
      </c>
      <c r="G344" s="12" t="inlineStr">
        <is>
          <t>ONE_TO_ONE</t>
        </is>
      </c>
      <c r="H344" s="12" t="inlineStr">
        <is>
          <t>APPROVED</t>
        </is>
      </c>
      <c r="I344" s="12" t="inlineStr">
        <is>
          <t>New</t>
        </is>
      </c>
      <c r="J344" s="12" t="inlineStr">
        <is>
          <t>Source assignment -- not individually reviewed</t>
        </is>
      </c>
      <c r="K344" s="12" t="inlineStr"/>
      <c r="L344" s="12" t="inlineStr"/>
      <c r="M344" s="12" t="inlineStr"/>
      <c r="N344" s="17" t="inlineStr">
        <is>
          <t>10 EVIDENCE &amp; DECISIONS</t>
        </is>
      </c>
    </row>
    <row r="345" ht="34" customHeight="1">
      <c r="A345" s="12" t="inlineStr">
        <is>
          <t>Contractor Programme</t>
        </is>
      </c>
      <c r="B345" s="12" t="inlineStr">
        <is>
          <t>SCH-02-088</t>
        </is>
      </c>
      <c r="C345" s="12" t="inlineStr">
        <is>
          <t>Civic Station: entrance steel erection - release</t>
        </is>
      </c>
      <c r="D345" s="12" t="inlineStr">
        <is>
          <t>WBS Code = 1.2.1</t>
        </is>
      </c>
      <c r="E345" s="12" t="inlineStr">
        <is>
          <t>R268-v1</t>
        </is>
      </c>
      <c r="F345" s="12" t="inlineStr">
        <is>
          <t>1.2.1 Stations - Station Structures</t>
        </is>
      </c>
      <c r="G345" s="12" t="inlineStr">
        <is>
          <t>ONE_TO_ONE</t>
        </is>
      </c>
      <c r="H345" s="12" t="inlineStr">
        <is>
          <t>APPROVED</t>
        </is>
      </c>
      <c r="I345" s="12" t="inlineStr">
        <is>
          <t>New</t>
        </is>
      </c>
      <c r="J345" s="12" t="inlineStr">
        <is>
          <t>Source assignment -- not individually reviewed</t>
        </is>
      </c>
      <c r="K345" s="12" t="inlineStr"/>
      <c r="L345" s="12" t="inlineStr"/>
      <c r="M345" s="12" t="inlineStr"/>
      <c r="N345" s="17" t="inlineStr">
        <is>
          <t>10 EVIDENCE &amp; DECISIONS</t>
        </is>
      </c>
    </row>
    <row r="346" ht="49" customHeight="1">
      <c r="A346" s="12" t="inlineStr">
        <is>
          <t>Contractor Programme</t>
        </is>
      </c>
      <c r="B346" s="12" t="inlineStr">
        <is>
          <t>SCH-02-089</t>
        </is>
      </c>
      <c r="C346" s="12" t="inlineStr">
        <is>
          <t>University Station: vertical-transport installation - field start</t>
        </is>
      </c>
      <c r="D346" s="12" t="inlineStr">
        <is>
          <t>WBS Code = 1.2.1</t>
        </is>
      </c>
      <c r="E346" s="12" t="inlineStr">
        <is>
          <t>R269-v1</t>
        </is>
      </c>
      <c r="F346" s="12" t="inlineStr">
        <is>
          <t>1.2.1 Stations - Station Structures</t>
        </is>
      </c>
      <c r="G346" s="12" t="inlineStr">
        <is>
          <t>ONE_TO_ONE</t>
        </is>
      </c>
      <c r="H346" s="12" t="inlineStr">
        <is>
          <t>APPROVED</t>
        </is>
      </c>
      <c r="I346" s="12" t="inlineStr">
        <is>
          <t>New</t>
        </is>
      </c>
      <c r="J346" s="12" t="inlineStr">
        <is>
          <t>Source assignment -- not individually reviewed</t>
        </is>
      </c>
      <c r="K346" s="12" t="inlineStr"/>
      <c r="L346" s="12" t="inlineStr"/>
      <c r="M346" s="12" t="inlineStr"/>
      <c r="N346" s="17" t="inlineStr">
        <is>
          <t>10 EVIDENCE &amp; DECISIONS</t>
        </is>
      </c>
    </row>
    <row r="347" ht="34" customHeight="1">
      <c r="A347" s="12" t="inlineStr">
        <is>
          <t>Contractor Programme</t>
        </is>
      </c>
      <c r="B347" s="12" t="inlineStr">
        <is>
          <t>SCH-02-091</t>
        </is>
      </c>
      <c r="C347" s="12" t="inlineStr">
        <is>
          <t>Harbour Station: architectural wall framing - inspection</t>
        </is>
      </c>
      <c r="D347" s="12" t="inlineStr">
        <is>
          <t>WBS Code = 1.2.1</t>
        </is>
      </c>
      <c r="E347" s="12" t="inlineStr">
        <is>
          <t>R271-v1</t>
        </is>
      </c>
      <c r="F347" s="12" t="inlineStr">
        <is>
          <t>1.2.1 Stations - Station Structures</t>
        </is>
      </c>
      <c r="G347" s="12" t="inlineStr">
        <is>
          <t>ONE_TO_ONE</t>
        </is>
      </c>
      <c r="H347" s="12" t="inlineStr">
        <is>
          <t>APPROVED</t>
        </is>
      </c>
      <c r="I347" s="12" t="inlineStr">
        <is>
          <t>New</t>
        </is>
      </c>
      <c r="J347" s="12" t="inlineStr">
        <is>
          <t>Source assignment -- not individually reviewed</t>
        </is>
      </c>
      <c r="K347" s="12" t="inlineStr"/>
      <c r="L347" s="12" t="inlineStr"/>
      <c r="M347" s="12" t="inlineStr"/>
      <c r="N347" s="17" t="inlineStr">
        <is>
          <t>10 EVIDENCE &amp; DECISIONS</t>
        </is>
      </c>
    </row>
    <row r="348" ht="34" customHeight="1">
      <c r="A348" s="12" t="inlineStr">
        <is>
          <t>Contractor Programme</t>
        </is>
      </c>
      <c r="B348" s="12" t="inlineStr">
        <is>
          <t>SCH-02-092</t>
        </is>
      </c>
      <c r="C348" s="12" t="inlineStr">
        <is>
          <t>Market Station: fire-life-safety cabling - turnover</t>
        </is>
      </c>
      <c r="D348" s="12" t="inlineStr">
        <is>
          <t>WBS Code = 1.2.1</t>
        </is>
      </c>
      <c r="E348" s="12" t="inlineStr">
        <is>
          <t>R272-v1</t>
        </is>
      </c>
      <c r="F348" s="12" t="inlineStr">
        <is>
          <t>1.2.1 Stations - Station Structures</t>
        </is>
      </c>
      <c r="G348" s="12" t="inlineStr">
        <is>
          <t>ONE_TO_ONE</t>
        </is>
      </c>
      <c r="H348" s="12" t="inlineStr">
        <is>
          <t>APPROVED</t>
        </is>
      </c>
      <c r="I348" s="12" t="inlineStr">
        <is>
          <t>New</t>
        </is>
      </c>
      <c r="J348" s="12" t="inlineStr">
        <is>
          <t>Source assignment -- not individually reviewed</t>
        </is>
      </c>
      <c r="K348" s="12" t="inlineStr"/>
      <c r="L348" s="12" t="inlineStr"/>
      <c r="M348" s="12" t="inlineStr"/>
      <c r="N348" s="17" t="inlineStr">
        <is>
          <t>10 EVIDENCE &amp; DECISIONS</t>
        </is>
      </c>
    </row>
    <row r="349" ht="34" customHeight="1">
      <c r="A349" s="12" t="inlineStr">
        <is>
          <t>Contractor Programme</t>
        </is>
      </c>
      <c r="B349" s="12" t="inlineStr">
        <is>
          <t>SCH-02-094</t>
        </is>
      </c>
      <c r="C349" s="12" t="inlineStr">
        <is>
          <t>University Station: station ventilation rough-in - field start</t>
        </is>
      </c>
      <c r="D349" s="12" t="inlineStr">
        <is>
          <t>WBS Code = 1.2.1</t>
        </is>
      </c>
      <c r="E349" s="12" t="inlineStr">
        <is>
          <t>R274-v1</t>
        </is>
      </c>
      <c r="F349" s="12" t="inlineStr">
        <is>
          <t>1.2.1 Stations - Station Structures</t>
        </is>
      </c>
      <c r="G349" s="12" t="inlineStr">
        <is>
          <t>ONE_TO_ONE</t>
        </is>
      </c>
      <c r="H349" s="12" t="inlineStr">
        <is>
          <t>APPROVED</t>
        </is>
      </c>
      <c r="I349" s="12" t="inlineStr">
        <is>
          <t>New</t>
        </is>
      </c>
      <c r="J349" s="12" t="inlineStr">
        <is>
          <t>Source assignment -- not individually reviewed</t>
        </is>
      </c>
      <c r="K349" s="12" t="inlineStr"/>
      <c r="L349" s="12" t="inlineStr"/>
      <c r="M349" s="12" t="inlineStr"/>
      <c r="N349" s="17" t="inlineStr">
        <is>
          <t>10 EVIDENCE &amp; DECISIONS</t>
        </is>
      </c>
    </row>
    <row r="350" ht="34" customHeight="1">
      <c r="A350" s="12" t="inlineStr">
        <is>
          <t>Contractor Programme</t>
        </is>
      </c>
      <c r="B350" s="12" t="inlineStr">
        <is>
          <t>SCH-02-095</t>
        </is>
      </c>
      <c r="C350" s="12" t="inlineStr">
        <is>
          <t>West Terminal: public-realm paving - installation</t>
        </is>
      </c>
      <c r="D350" s="12" t="inlineStr">
        <is>
          <t>WBS Code = 1.2.1</t>
        </is>
      </c>
      <c r="E350" s="12" t="inlineStr">
        <is>
          <t>R275-v1</t>
        </is>
      </c>
      <c r="F350" s="12" t="inlineStr">
        <is>
          <t>1.2.1 Stations - Station Structures</t>
        </is>
      </c>
      <c r="G350" s="12" t="inlineStr">
        <is>
          <t>ONE_TO_ONE</t>
        </is>
      </c>
      <c r="H350" s="12" t="inlineStr">
        <is>
          <t>APPROVED</t>
        </is>
      </c>
      <c r="I350" s="12" t="inlineStr">
        <is>
          <t>New</t>
        </is>
      </c>
      <c r="J350" s="12" t="inlineStr">
        <is>
          <t>Source assignment -- not individually reviewed</t>
        </is>
      </c>
      <c r="K350" s="12" t="inlineStr"/>
      <c r="L350" s="12" t="inlineStr"/>
      <c r="M350" s="12" t="inlineStr"/>
      <c r="N350" s="17" t="inlineStr">
        <is>
          <t>10 EVIDENCE &amp; DECISIONS</t>
        </is>
      </c>
    </row>
    <row r="351" ht="34" customHeight="1">
      <c r="A351" s="12" t="inlineStr">
        <is>
          <t>Contractor Programme</t>
        </is>
      </c>
      <c r="B351" s="12" t="inlineStr">
        <is>
          <t>SCH-02-097</t>
        </is>
      </c>
      <c r="C351" s="12" t="inlineStr">
        <is>
          <t>Market Station: vertical-transport installation - turnover</t>
        </is>
      </c>
      <c r="D351" s="12" t="inlineStr">
        <is>
          <t>WBS Code = 1.2.1</t>
        </is>
      </c>
      <c r="E351" s="12" t="inlineStr">
        <is>
          <t>R277-v1</t>
        </is>
      </c>
      <c r="F351" s="12" t="inlineStr">
        <is>
          <t>1.2.1 Stations - Station Structures</t>
        </is>
      </c>
      <c r="G351" s="12" t="inlineStr">
        <is>
          <t>ONE_TO_ONE</t>
        </is>
      </c>
      <c r="H351" s="12" t="inlineStr">
        <is>
          <t>APPROVED</t>
        </is>
      </c>
      <c r="I351" s="12" t="inlineStr">
        <is>
          <t>New</t>
        </is>
      </c>
      <c r="J351" s="12" t="inlineStr">
        <is>
          <t>Source assignment -- not individually reviewed</t>
        </is>
      </c>
      <c r="K351" s="12" t="inlineStr"/>
      <c r="L351" s="12" t="inlineStr"/>
      <c r="M351" s="12" t="inlineStr"/>
      <c r="N351" s="17" t="inlineStr">
        <is>
          <t>10 EVIDENCE &amp; DECISIONS</t>
        </is>
      </c>
    </row>
    <row r="352" ht="34" customHeight="1">
      <c r="A352" s="12" t="inlineStr">
        <is>
          <t>Contractor Programme</t>
        </is>
      </c>
      <c r="B352" s="12" t="inlineStr">
        <is>
          <t>SCH-02-098</t>
        </is>
      </c>
      <c r="C352" s="12" t="inlineStr">
        <is>
          <t>Civic Station: platform edge installation - release</t>
        </is>
      </c>
      <c r="D352" s="12" t="inlineStr">
        <is>
          <t>WBS Code = 1.2.1</t>
        </is>
      </c>
      <c r="E352" s="12" t="inlineStr">
        <is>
          <t>R278-v1</t>
        </is>
      </c>
      <c r="F352" s="12" t="inlineStr">
        <is>
          <t>1.2.1 Stations - Station Structures</t>
        </is>
      </c>
      <c r="G352" s="12" t="inlineStr">
        <is>
          <t>ONE_TO_ONE</t>
        </is>
      </c>
      <c r="H352" s="12" t="inlineStr">
        <is>
          <t>APPROVED</t>
        </is>
      </c>
      <c r="I352" s="12" t="inlineStr">
        <is>
          <t>New</t>
        </is>
      </c>
      <c r="J352" s="12" t="inlineStr">
        <is>
          <t>Source assignment -- not individually reviewed</t>
        </is>
      </c>
      <c r="K352" s="12" t="inlineStr"/>
      <c r="L352" s="12" t="inlineStr"/>
      <c r="M352" s="12" t="inlineStr"/>
      <c r="N352" s="17" t="inlineStr">
        <is>
          <t>10 EVIDENCE &amp; DECISIONS</t>
        </is>
      </c>
    </row>
    <row r="353" ht="34" customHeight="1">
      <c r="A353" s="12" t="inlineStr">
        <is>
          <t>Contractor Programme</t>
        </is>
      </c>
      <c r="B353" s="12" t="inlineStr">
        <is>
          <t>SCH-02-100</t>
        </is>
      </c>
      <c r="C353" s="12" t="inlineStr">
        <is>
          <t>West Terminal: fire-life-safety cabling - installation</t>
        </is>
      </c>
      <c r="D353" s="12" t="inlineStr">
        <is>
          <t>WBS Code = 1.2.1</t>
        </is>
      </c>
      <c r="E353" s="12" t="inlineStr">
        <is>
          <t>R280-v1</t>
        </is>
      </c>
      <c r="F353" s="12" t="inlineStr">
        <is>
          <t>1.2.1 Stations - Station Structures</t>
        </is>
      </c>
      <c r="G353" s="12" t="inlineStr">
        <is>
          <t>ONE_TO_ONE</t>
        </is>
      </c>
      <c r="H353" s="12" t="inlineStr">
        <is>
          <t>APPROVED</t>
        </is>
      </c>
      <c r="I353" s="12" t="inlineStr">
        <is>
          <t>New</t>
        </is>
      </c>
      <c r="J353" s="12" t="inlineStr">
        <is>
          <t>Source assignment -- not individually reviewed</t>
        </is>
      </c>
      <c r="K353" s="12" t="inlineStr"/>
      <c r="L353" s="12" t="inlineStr"/>
      <c r="M353" s="12" t="inlineStr"/>
      <c r="N353" s="17" t="inlineStr">
        <is>
          <t>10 EVIDENCE &amp; DECISIONS</t>
        </is>
      </c>
    </row>
    <row r="354" ht="34" customHeight="1">
      <c r="A354" s="12" t="inlineStr">
        <is>
          <t>Contractor Programme</t>
        </is>
      </c>
      <c r="B354" s="12" t="inlineStr">
        <is>
          <t>SCH-02-101</t>
        </is>
      </c>
      <c r="C354" s="12" t="inlineStr">
        <is>
          <t>Harbour Station: concourse slab pour - inspection</t>
        </is>
      </c>
      <c r="D354" s="12" t="inlineStr">
        <is>
          <t>WBS Code = 1.2.1</t>
        </is>
      </c>
      <c r="E354" s="12" t="inlineStr">
        <is>
          <t>R281-v1</t>
        </is>
      </c>
      <c r="F354" s="12" t="inlineStr">
        <is>
          <t>1.2.1 Stations - Station Structures</t>
        </is>
      </c>
      <c r="G354" s="12" t="inlineStr">
        <is>
          <t>ONE_TO_ONE</t>
        </is>
      </c>
      <c r="H354" s="12" t="inlineStr">
        <is>
          <t>APPROVED</t>
        </is>
      </c>
      <c r="I354" s="12" t="inlineStr">
        <is>
          <t>New</t>
        </is>
      </c>
      <c r="J354" s="12" t="inlineStr">
        <is>
          <t>Source assignment -- not individually reviewed</t>
        </is>
      </c>
      <c r="K354" s="12" t="inlineStr"/>
      <c r="L354" s="12" t="inlineStr"/>
      <c r="M354" s="12" t="inlineStr"/>
      <c r="N354" s="17" t="inlineStr">
        <is>
          <t>10 EVIDENCE &amp; DECISIONS</t>
        </is>
      </c>
    </row>
    <row r="355" ht="34" customHeight="1">
      <c r="A355" s="12" t="inlineStr">
        <is>
          <t>Contractor Programme</t>
        </is>
      </c>
      <c r="B355" s="12" t="inlineStr">
        <is>
          <t>SCH-02-103</t>
        </is>
      </c>
      <c r="C355" s="12" t="inlineStr">
        <is>
          <t>Civic Station: public-realm paving - release</t>
        </is>
      </c>
      <c r="D355" s="12" t="inlineStr">
        <is>
          <t>WBS Code = 1.2.1</t>
        </is>
      </c>
      <c r="E355" s="12" t="inlineStr">
        <is>
          <t>R283-v1</t>
        </is>
      </c>
      <c r="F355" s="12" t="inlineStr">
        <is>
          <t>1.2.1 Stations - Station Structures</t>
        </is>
      </c>
      <c r="G355" s="12" t="inlineStr">
        <is>
          <t>ONE_TO_ONE</t>
        </is>
      </c>
      <c r="H355" s="12" t="inlineStr">
        <is>
          <t>APPROVED</t>
        </is>
      </c>
      <c r="I355" s="12" t="inlineStr">
        <is>
          <t>New</t>
        </is>
      </c>
      <c r="J355" s="12" t="inlineStr">
        <is>
          <t>Source assignment -- not individually reviewed</t>
        </is>
      </c>
      <c r="K355" s="12" t="inlineStr"/>
      <c r="L355" s="12" t="inlineStr"/>
      <c r="M355" s="12" t="inlineStr"/>
      <c r="N355" s="17" t="inlineStr">
        <is>
          <t>10 EVIDENCE &amp; DECISIONS</t>
        </is>
      </c>
    </row>
    <row r="356" ht="34" customHeight="1">
      <c r="A356" s="12" t="inlineStr">
        <is>
          <t>Contractor Programme</t>
        </is>
      </c>
      <c r="B356" s="12" t="inlineStr">
        <is>
          <t>SCH-02-104</t>
        </is>
      </c>
      <c r="C356" s="12" t="inlineStr">
        <is>
          <t>University Station: entrance steel erection - field start</t>
        </is>
      </c>
      <c r="D356" s="12" t="inlineStr">
        <is>
          <t>WBS Code = 1.2.1</t>
        </is>
      </c>
      <c r="E356" s="12" t="inlineStr">
        <is>
          <t>R284-v1</t>
        </is>
      </c>
      <c r="F356" s="12" t="inlineStr">
        <is>
          <t>1.2.1 Stations - Station Structures</t>
        </is>
      </c>
      <c r="G356" s="12" t="inlineStr">
        <is>
          <t>ONE_TO_ONE</t>
        </is>
      </c>
      <c r="H356" s="12" t="inlineStr">
        <is>
          <t>APPROVED</t>
        </is>
      </c>
      <c r="I356" s="12" t="inlineStr">
        <is>
          <t>New</t>
        </is>
      </c>
      <c r="J356" s="12" t="inlineStr">
        <is>
          <t>Source assignment -- not individually reviewed</t>
        </is>
      </c>
      <c r="K356" s="12" t="inlineStr"/>
      <c r="L356" s="12" t="inlineStr"/>
      <c r="M356" s="12" t="inlineStr"/>
      <c r="N356" s="17" t="inlineStr">
        <is>
          <t>10 EVIDENCE &amp; DECISIONS</t>
        </is>
      </c>
    </row>
    <row r="357" ht="34" customHeight="1">
      <c r="A357" s="12" t="inlineStr">
        <is>
          <t>Contractor Programme</t>
        </is>
      </c>
      <c r="B357" s="12" t="inlineStr">
        <is>
          <t>SCH-02-106</t>
        </is>
      </c>
      <c r="C357" s="12" t="inlineStr">
        <is>
          <t>Harbour Station: platform edge installation - inspection</t>
        </is>
      </c>
      <c r="D357" s="12" t="inlineStr">
        <is>
          <t>WBS Code = 1.2.1</t>
        </is>
      </c>
      <c r="E357" s="12" t="inlineStr">
        <is>
          <t>R286-v1</t>
        </is>
      </c>
      <c r="F357" s="12" t="inlineStr">
        <is>
          <t>1.2.1 Stations - Station Structures</t>
        </is>
      </c>
      <c r="G357" s="12" t="inlineStr">
        <is>
          <t>ONE_TO_ONE</t>
        </is>
      </c>
      <c r="H357" s="12" t="inlineStr">
        <is>
          <t>APPROVED</t>
        </is>
      </c>
      <c r="I357" s="12" t="inlineStr">
        <is>
          <t>New</t>
        </is>
      </c>
      <c r="J357" s="12" t="inlineStr">
        <is>
          <t>Source assignment -- not individually reviewed</t>
        </is>
      </c>
      <c r="K357" s="12" t="inlineStr"/>
      <c r="L357" s="12" t="inlineStr"/>
      <c r="M357" s="12" t="inlineStr"/>
      <c r="N357" s="17" t="inlineStr">
        <is>
          <t>10 EVIDENCE &amp; DECISIONS</t>
        </is>
      </c>
    </row>
    <row r="358" ht="34" customHeight="1">
      <c r="A358" s="12" t="inlineStr">
        <is>
          <t>Contractor Programme</t>
        </is>
      </c>
      <c r="B358" s="12" t="inlineStr">
        <is>
          <t>SCH-02-107</t>
        </is>
      </c>
      <c r="C358" s="12" t="inlineStr">
        <is>
          <t>Market Station: architectural wall framing - turnover</t>
        </is>
      </c>
      <c r="D358" s="12" t="inlineStr">
        <is>
          <t>WBS Code = 1.2.1</t>
        </is>
      </c>
      <c r="E358" s="12" t="inlineStr">
        <is>
          <t>R287-v1</t>
        </is>
      </c>
      <c r="F358" s="12" t="inlineStr">
        <is>
          <t>1.2.1 Stations - Station Structures</t>
        </is>
      </c>
      <c r="G358" s="12" t="inlineStr">
        <is>
          <t>ONE_TO_ONE</t>
        </is>
      </c>
      <c r="H358" s="12" t="inlineStr">
        <is>
          <t>APPROVED</t>
        </is>
      </c>
      <c r="I358" s="12" t="inlineStr">
        <is>
          <t>New</t>
        </is>
      </c>
      <c r="J358" s="12" t="inlineStr">
        <is>
          <t>Source assignment -- not individually reviewed</t>
        </is>
      </c>
      <c r="K358" s="12" t="inlineStr"/>
      <c r="L358" s="12" t="inlineStr"/>
      <c r="M358" s="12" t="inlineStr"/>
      <c r="N358" s="17" t="inlineStr">
        <is>
          <t>10 EVIDENCE &amp; DECISIONS</t>
        </is>
      </c>
    </row>
    <row r="359" ht="34" customHeight="1">
      <c r="A359" s="12" t="inlineStr">
        <is>
          <t>Contractor Programme</t>
        </is>
      </c>
      <c r="B359" s="12" t="inlineStr">
        <is>
          <t>SCH-02-109</t>
        </is>
      </c>
      <c r="C359" s="12" t="inlineStr">
        <is>
          <t>University Station: concourse slab pour - field start</t>
        </is>
      </c>
      <c r="D359" s="12" t="inlineStr">
        <is>
          <t>WBS Code = 1.2.1</t>
        </is>
      </c>
      <c r="E359" s="12" t="inlineStr">
        <is>
          <t>R289-v1</t>
        </is>
      </c>
      <c r="F359" s="12" t="inlineStr">
        <is>
          <t>1.2.1 Stations - Station Structures</t>
        </is>
      </c>
      <c r="G359" s="12" t="inlineStr">
        <is>
          <t>ONE_TO_ONE</t>
        </is>
      </c>
      <c r="H359" s="12" t="inlineStr">
        <is>
          <t>APPROVED</t>
        </is>
      </c>
      <c r="I359" s="12" t="inlineStr">
        <is>
          <t>New</t>
        </is>
      </c>
      <c r="J359" s="12" t="inlineStr">
        <is>
          <t>Source assignment -- not individually reviewed</t>
        </is>
      </c>
      <c r="K359" s="12" t="inlineStr"/>
      <c r="L359" s="12" t="inlineStr"/>
      <c r="M359" s="12" t="inlineStr"/>
      <c r="N359" s="17" t="inlineStr">
        <is>
          <t>10 EVIDENCE &amp; DECISIONS</t>
        </is>
      </c>
    </row>
    <row r="360" ht="34" customHeight="1">
      <c r="A360" s="12" t="inlineStr">
        <is>
          <t>Contractor Programme</t>
        </is>
      </c>
      <c r="B360" s="12" t="inlineStr">
        <is>
          <t>SCH-02-110</t>
        </is>
      </c>
      <c r="C360" s="12" t="inlineStr">
        <is>
          <t>West Terminal: station ventilation rough-in - installation</t>
        </is>
      </c>
      <c r="D360" s="12" t="inlineStr">
        <is>
          <t>WBS Code = 1.2.1</t>
        </is>
      </c>
      <c r="E360" s="12" t="inlineStr">
        <is>
          <t>R290-v1</t>
        </is>
      </c>
      <c r="F360" s="12" t="inlineStr">
        <is>
          <t>1.2.1 Stations - Station Structures</t>
        </is>
      </c>
      <c r="G360" s="12" t="inlineStr">
        <is>
          <t>ONE_TO_ONE</t>
        </is>
      </c>
      <c r="H360" s="12" t="inlineStr">
        <is>
          <t>APPROVED</t>
        </is>
      </c>
      <c r="I360" s="12" t="inlineStr">
        <is>
          <t>New</t>
        </is>
      </c>
      <c r="J360" s="12" t="inlineStr">
        <is>
          <t>Source assignment -- not individually reviewed</t>
        </is>
      </c>
      <c r="K360" s="12" t="inlineStr"/>
      <c r="L360" s="12" t="inlineStr"/>
      <c r="M360" s="12" t="inlineStr"/>
      <c r="N360" s="17" t="inlineStr">
        <is>
          <t>10 EVIDENCE &amp; DECISIONS</t>
        </is>
      </c>
    </row>
    <row r="361" ht="34" customHeight="1">
      <c r="A361" s="12" t="inlineStr">
        <is>
          <t>Contractor Programme</t>
        </is>
      </c>
      <c r="B361" s="12" t="inlineStr">
        <is>
          <t>SCH-02-112</t>
        </is>
      </c>
      <c r="C361" s="12" t="inlineStr">
        <is>
          <t>Market Station: entrance steel erection - turnover</t>
        </is>
      </c>
      <c r="D361" s="12" t="inlineStr">
        <is>
          <t>WBS Code = 1.2.1</t>
        </is>
      </c>
      <c r="E361" s="12" t="inlineStr">
        <is>
          <t>R292-v1</t>
        </is>
      </c>
      <c r="F361" s="12" t="inlineStr">
        <is>
          <t>1.2.1 Stations - Station Structures</t>
        </is>
      </c>
      <c r="G361" s="12" t="inlineStr">
        <is>
          <t>ONE_TO_ONE</t>
        </is>
      </c>
      <c r="H361" s="12" t="inlineStr">
        <is>
          <t>APPROVED</t>
        </is>
      </c>
      <c r="I361" s="12" t="inlineStr">
        <is>
          <t>New</t>
        </is>
      </c>
      <c r="J361" s="12" t="inlineStr">
        <is>
          <t>Source assignment -- not individually reviewed</t>
        </is>
      </c>
      <c r="K361" s="12" t="inlineStr"/>
      <c r="L361" s="12" t="inlineStr"/>
      <c r="M361" s="12" t="inlineStr"/>
      <c r="N361" s="17" t="inlineStr">
        <is>
          <t>10 EVIDENCE &amp; DECISIONS</t>
        </is>
      </c>
    </row>
    <row r="362" ht="34" customHeight="1">
      <c r="A362" s="12" t="inlineStr">
        <is>
          <t>Contractor Programme</t>
        </is>
      </c>
      <c r="B362" s="12" t="inlineStr">
        <is>
          <t>SCH-02-113</t>
        </is>
      </c>
      <c r="C362" s="12" t="inlineStr">
        <is>
          <t>Civic Station: vertical-transport installation - release</t>
        </is>
      </c>
      <c r="D362" s="12" t="inlineStr">
        <is>
          <t>WBS Code = 1.2.1</t>
        </is>
      </c>
      <c r="E362" s="12" t="inlineStr">
        <is>
          <t>R293-v1</t>
        </is>
      </c>
      <c r="F362" s="12" t="inlineStr">
        <is>
          <t>1.2.1 Stations - Station Structures</t>
        </is>
      </c>
      <c r="G362" s="12" t="inlineStr">
        <is>
          <t>ONE_TO_ONE</t>
        </is>
      </c>
      <c r="H362" s="12" t="inlineStr">
        <is>
          <t>APPROVED</t>
        </is>
      </c>
      <c r="I362" s="12" t="inlineStr">
        <is>
          <t>New</t>
        </is>
      </c>
      <c r="J362" s="12" t="inlineStr">
        <is>
          <t>Source assignment -- not individually reviewed</t>
        </is>
      </c>
      <c r="K362" s="12" t="inlineStr"/>
      <c r="L362" s="12" t="inlineStr"/>
      <c r="M362" s="12" t="inlineStr"/>
      <c r="N362" s="17" t="inlineStr">
        <is>
          <t>10 EVIDENCE &amp; DECISIONS</t>
        </is>
      </c>
    </row>
    <row r="363" ht="34" customHeight="1">
      <c r="A363" s="12" t="inlineStr">
        <is>
          <t>Contractor Programme</t>
        </is>
      </c>
      <c r="B363" s="12" t="inlineStr">
        <is>
          <t>SCH-02-115</t>
        </is>
      </c>
      <c r="C363" s="12" t="inlineStr">
        <is>
          <t>West Terminal: architectural wall framing - installation</t>
        </is>
      </c>
      <c r="D363" s="12" t="inlineStr">
        <is>
          <t>WBS Code = 1.2.1</t>
        </is>
      </c>
      <c r="E363" s="12" t="inlineStr">
        <is>
          <t>R295-v1</t>
        </is>
      </c>
      <c r="F363" s="12" t="inlineStr">
        <is>
          <t>1.2.1 Stations - Station Structures</t>
        </is>
      </c>
      <c r="G363" s="12" t="inlineStr">
        <is>
          <t>ONE_TO_ONE</t>
        </is>
      </c>
      <c r="H363" s="12" t="inlineStr">
        <is>
          <t>APPROVED</t>
        </is>
      </c>
      <c r="I363" s="12" t="inlineStr">
        <is>
          <t>New</t>
        </is>
      </c>
      <c r="J363" s="12" t="inlineStr">
        <is>
          <t>Source assignment -- not individually reviewed</t>
        </is>
      </c>
      <c r="K363" s="12" t="inlineStr"/>
      <c r="L363" s="12" t="inlineStr"/>
      <c r="M363" s="12" t="inlineStr"/>
      <c r="N363" s="17" t="inlineStr">
        <is>
          <t>10 EVIDENCE &amp; DECISIONS</t>
        </is>
      </c>
    </row>
    <row r="364" ht="34" customHeight="1">
      <c r="A364" s="12" t="inlineStr">
        <is>
          <t>Contractor Programme</t>
        </is>
      </c>
      <c r="B364" s="12" t="inlineStr">
        <is>
          <t>SCH-02-116</t>
        </is>
      </c>
      <c r="C364" s="12" t="inlineStr">
        <is>
          <t>Harbour Station: fire-life-safety cabling - inspection</t>
        </is>
      </c>
      <c r="D364" s="12" t="inlineStr">
        <is>
          <t>WBS Code = 1.2.1</t>
        </is>
      </c>
      <c r="E364" s="12" t="inlineStr">
        <is>
          <t>R296-v1</t>
        </is>
      </c>
      <c r="F364" s="12" t="inlineStr">
        <is>
          <t>1.2.1 Stations - Station Structures</t>
        </is>
      </c>
      <c r="G364" s="12" t="inlineStr">
        <is>
          <t>ONE_TO_ONE</t>
        </is>
      </c>
      <c r="H364" s="12" t="inlineStr">
        <is>
          <t>APPROVED</t>
        </is>
      </c>
      <c r="I364" s="12" t="inlineStr">
        <is>
          <t>New</t>
        </is>
      </c>
      <c r="J364" s="12" t="inlineStr">
        <is>
          <t>Source assignment -- not individually reviewed</t>
        </is>
      </c>
      <c r="K364" s="12" t="inlineStr"/>
      <c r="L364" s="12" t="inlineStr"/>
      <c r="M364" s="12" t="inlineStr"/>
      <c r="N364" s="17" t="inlineStr">
        <is>
          <t>10 EVIDENCE &amp; DECISIONS</t>
        </is>
      </c>
    </row>
    <row r="365" ht="34" customHeight="1">
      <c r="A365" s="12" t="inlineStr">
        <is>
          <t>Contractor Programme</t>
        </is>
      </c>
      <c r="B365" s="12" t="inlineStr">
        <is>
          <t>SCH-02-118</t>
        </is>
      </c>
      <c r="C365" s="12" t="inlineStr">
        <is>
          <t>Civic Station: station ventilation rough-in - release</t>
        </is>
      </c>
      <c r="D365" s="12" t="inlineStr">
        <is>
          <t>WBS Code = 1.2.1</t>
        </is>
      </c>
      <c r="E365" s="12" t="inlineStr">
        <is>
          <t>R298-v1</t>
        </is>
      </c>
      <c r="F365" s="12" t="inlineStr">
        <is>
          <t>1.2.1 Stations - Station Structures</t>
        </is>
      </c>
      <c r="G365" s="12" t="inlineStr">
        <is>
          <t>ONE_TO_ONE</t>
        </is>
      </c>
      <c r="H365" s="12" t="inlineStr">
        <is>
          <t>APPROVED</t>
        </is>
      </c>
      <c r="I365" s="12" t="inlineStr">
        <is>
          <t>New</t>
        </is>
      </c>
      <c r="J365" s="12" t="inlineStr">
        <is>
          <t>Source assignment -- not individually reviewed</t>
        </is>
      </c>
      <c r="K365" s="12" t="inlineStr"/>
      <c r="L365" s="12" t="inlineStr"/>
      <c r="M365" s="12" t="inlineStr"/>
      <c r="N365" s="17" t="inlineStr">
        <is>
          <t>10 EVIDENCE &amp; DECISIONS</t>
        </is>
      </c>
    </row>
    <row r="366" ht="34" customHeight="1">
      <c r="A366" s="12" t="inlineStr">
        <is>
          <t>Contractor Programme</t>
        </is>
      </c>
      <c r="B366" s="12" t="inlineStr">
        <is>
          <t>SCH-02-119</t>
        </is>
      </c>
      <c r="C366" s="12" t="inlineStr">
        <is>
          <t>University Station: public-realm paving - field start</t>
        </is>
      </c>
      <c r="D366" s="12" t="inlineStr">
        <is>
          <t>WBS Code = 1.2.1</t>
        </is>
      </c>
      <c r="E366" s="12" t="inlineStr">
        <is>
          <t>R299-v1</t>
        </is>
      </c>
      <c r="F366" s="12" t="inlineStr">
        <is>
          <t>1.2.1 Stations - Station Structures</t>
        </is>
      </c>
      <c r="G366" s="12" t="inlineStr">
        <is>
          <t>ONE_TO_ONE</t>
        </is>
      </c>
      <c r="H366" s="12" t="inlineStr">
        <is>
          <t>APPROVED</t>
        </is>
      </c>
      <c r="I366" s="12" t="inlineStr">
        <is>
          <t>New</t>
        </is>
      </c>
      <c r="J366" s="12" t="inlineStr">
        <is>
          <t>Source assignment -- not individually reviewed</t>
        </is>
      </c>
      <c r="K366" s="12" t="inlineStr"/>
      <c r="L366" s="12" t="inlineStr"/>
      <c r="M366" s="12" t="inlineStr"/>
      <c r="N366" s="17" t="inlineStr">
        <is>
          <t>10 EVIDENCE &amp; DECISIONS</t>
        </is>
      </c>
    </row>
    <row r="367" ht="34" customHeight="1">
      <c r="A367" s="12" t="inlineStr">
        <is>
          <t>Contractor Programme</t>
        </is>
      </c>
      <c r="B367" s="12" t="inlineStr">
        <is>
          <t>SCH-02-121</t>
        </is>
      </c>
      <c r="C367" s="12" t="inlineStr">
        <is>
          <t>Harbour Station: vertical-transport installation - inspection</t>
        </is>
      </c>
      <c r="D367" s="12" t="inlineStr">
        <is>
          <t>WBS Code = 1.2.1</t>
        </is>
      </c>
      <c r="E367" s="12" t="inlineStr">
        <is>
          <t>R301-v1</t>
        </is>
      </c>
      <c r="F367" s="12" t="inlineStr">
        <is>
          <t>1.2.1 Stations - Station Structures</t>
        </is>
      </c>
      <c r="G367" s="12" t="inlineStr">
        <is>
          <t>ONE_TO_ONE</t>
        </is>
      </c>
      <c r="H367" s="12" t="inlineStr">
        <is>
          <t>APPROVED</t>
        </is>
      </c>
      <c r="I367" s="12" t="inlineStr">
        <is>
          <t>New</t>
        </is>
      </c>
      <c r="J367" s="12" t="inlineStr">
        <is>
          <t>Source assignment -- not individually reviewed</t>
        </is>
      </c>
      <c r="K367" s="12" t="inlineStr"/>
      <c r="L367" s="12" t="inlineStr"/>
      <c r="M367" s="12" t="inlineStr"/>
      <c r="N367" s="17" t="inlineStr">
        <is>
          <t>10 EVIDENCE &amp; DECISIONS</t>
        </is>
      </c>
    </row>
    <row r="368" ht="34" customHeight="1">
      <c r="A368" s="12" t="inlineStr">
        <is>
          <t>Contractor Programme</t>
        </is>
      </c>
      <c r="B368" s="12" t="inlineStr">
        <is>
          <t>SCH-02-122</t>
        </is>
      </c>
      <c r="C368" s="12" t="inlineStr">
        <is>
          <t>Market Station: platform edge installation - turnover</t>
        </is>
      </c>
      <c r="D368" s="12" t="inlineStr">
        <is>
          <t>WBS Code = 1.2.1</t>
        </is>
      </c>
      <c r="E368" s="12" t="inlineStr">
        <is>
          <t>R302-v1</t>
        </is>
      </c>
      <c r="F368" s="12" t="inlineStr">
        <is>
          <t>1.2.1 Stations - Station Structures</t>
        </is>
      </c>
      <c r="G368" s="12" t="inlineStr">
        <is>
          <t>ONE_TO_ONE</t>
        </is>
      </c>
      <c r="H368" s="12" t="inlineStr">
        <is>
          <t>APPROVED</t>
        </is>
      </c>
      <c r="I368" s="12" t="inlineStr">
        <is>
          <t>New</t>
        </is>
      </c>
      <c r="J368" s="12" t="inlineStr">
        <is>
          <t>Source assignment -- not individually reviewed</t>
        </is>
      </c>
      <c r="K368" s="12" t="inlineStr"/>
      <c r="L368" s="12" t="inlineStr"/>
      <c r="M368" s="12" t="inlineStr"/>
      <c r="N368" s="17" t="inlineStr">
        <is>
          <t>10 EVIDENCE &amp; DECISIONS</t>
        </is>
      </c>
    </row>
    <row r="369" ht="34" customHeight="1">
      <c r="A369" s="12" t="inlineStr">
        <is>
          <t>Contractor Programme</t>
        </is>
      </c>
      <c r="B369" s="12" t="inlineStr">
        <is>
          <t>SCH-02-124</t>
        </is>
      </c>
      <c r="C369" s="12" t="inlineStr">
        <is>
          <t>University Station: fire-life-safety cabling - field start</t>
        </is>
      </c>
      <c r="D369" s="12" t="inlineStr">
        <is>
          <t>WBS Code = 1.2.1</t>
        </is>
      </c>
      <c r="E369" s="12" t="inlineStr">
        <is>
          <t>R304-v1</t>
        </is>
      </c>
      <c r="F369" s="12" t="inlineStr">
        <is>
          <t>1.2.1 Stations - Station Structures</t>
        </is>
      </c>
      <c r="G369" s="12" t="inlineStr">
        <is>
          <t>ONE_TO_ONE</t>
        </is>
      </c>
      <c r="H369" s="12" t="inlineStr">
        <is>
          <t>APPROVED</t>
        </is>
      </c>
      <c r="I369" s="12" t="inlineStr">
        <is>
          <t>New</t>
        </is>
      </c>
      <c r="J369" s="12" t="inlineStr">
        <is>
          <t>Source assignment -- not individually reviewed</t>
        </is>
      </c>
      <c r="K369" s="12" t="inlineStr"/>
      <c r="L369" s="12" t="inlineStr"/>
      <c r="M369" s="12" t="inlineStr"/>
      <c r="N369" s="17" t="inlineStr">
        <is>
          <t>10 EVIDENCE &amp; DECISIONS</t>
        </is>
      </c>
    </row>
    <row r="370" ht="34" customHeight="1">
      <c r="A370" s="12" t="inlineStr">
        <is>
          <t>Contractor Programme</t>
        </is>
      </c>
      <c r="B370" s="12" t="inlineStr">
        <is>
          <t>SCH-02-125</t>
        </is>
      </c>
      <c r="C370" s="12" t="inlineStr">
        <is>
          <t>West Terminal: concourse slab pour - installation</t>
        </is>
      </c>
      <c r="D370" s="12" t="inlineStr">
        <is>
          <t>WBS Code = 1.2.1</t>
        </is>
      </c>
      <c r="E370" s="12" t="inlineStr">
        <is>
          <t>R305-v1</t>
        </is>
      </c>
      <c r="F370" s="12" t="inlineStr">
        <is>
          <t>1.2.1 Stations - Station Structures</t>
        </is>
      </c>
      <c r="G370" s="12" t="inlineStr">
        <is>
          <t>ONE_TO_ONE</t>
        </is>
      </c>
      <c r="H370" s="12" t="inlineStr">
        <is>
          <t>APPROVED</t>
        </is>
      </c>
      <c r="I370" s="12" t="inlineStr">
        <is>
          <t>New</t>
        </is>
      </c>
      <c r="J370" s="12" t="inlineStr">
        <is>
          <t>Source assignment -- not individually reviewed</t>
        </is>
      </c>
      <c r="K370" s="12" t="inlineStr"/>
      <c r="L370" s="12" t="inlineStr"/>
      <c r="M370" s="12" t="inlineStr"/>
      <c r="N370" s="17" t="inlineStr">
        <is>
          <t>10 EVIDENCE &amp; DECISIONS</t>
        </is>
      </c>
    </row>
    <row r="371" ht="34" customHeight="1">
      <c r="A371" s="12" t="inlineStr">
        <is>
          <t>Contractor Programme</t>
        </is>
      </c>
      <c r="B371" s="12" t="inlineStr">
        <is>
          <t>SCH-02-127</t>
        </is>
      </c>
      <c r="C371" s="12" t="inlineStr">
        <is>
          <t>Market Station: public-realm paving - turnover</t>
        </is>
      </c>
      <c r="D371" s="12" t="inlineStr">
        <is>
          <t>WBS Code = 1.2.1</t>
        </is>
      </c>
      <c r="E371" s="12" t="inlineStr">
        <is>
          <t>R307-v1</t>
        </is>
      </c>
      <c r="F371" s="12" t="inlineStr">
        <is>
          <t>1.2.1 Stations - Station Structures</t>
        </is>
      </c>
      <c r="G371" s="12" t="inlineStr">
        <is>
          <t>ONE_TO_ONE</t>
        </is>
      </c>
      <c r="H371" s="12" t="inlineStr">
        <is>
          <t>APPROVED</t>
        </is>
      </c>
      <c r="I371" s="12" t="inlineStr">
        <is>
          <t>New</t>
        </is>
      </c>
      <c r="J371" s="12" t="inlineStr">
        <is>
          <t>Source assignment -- not individually reviewed</t>
        </is>
      </c>
      <c r="K371" s="12" t="inlineStr"/>
      <c r="L371" s="12" t="inlineStr"/>
      <c r="M371" s="12" t="inlineStr"/>
      <c r="N371" s="17" t="inlineStr">
        <is>
          <t>10 EVIDENCE &amp; DECISIONS</t>
        </is>
      </c>
    </row>
    <row r="372" ht="34" customHeight="1">
      <c r="A372" s="12" t="inlineStr">
        <is>
          <t>Contractor Programme</t>
        </is>
      </c>
      <c r="B372" s="12" t="inlineStr">
        <is>
          <t>SCH-02-128</t>
        </is>
      </c>
      <c r="C372" s="12" t="inlineStr">
        <is>
          <t>Civic Station: entrance steel erection - release</t>
        </is>
      </c>
      <c r="D372" s="12" t="inlineStr">
        <is>
          <t>WBS Code = 1.2.1</t>
        </is>
      </c>
      <c r="E372" s="12" t="inlineStr">
        <is>
          <t>R308-v1</t>
        </is>
      </c>
      <c r="F372" s="12" t="inlineStr">
        <is>
          <t>1.2.1 Stations - Station Structures</t>
        </is>
      </c>
      <c r="G372" s="12" t="inlineStr">
        <is>
          <t>ONE_TO_ONE</t>
        </is>
      </c>
      <c r="H372" s="12" t="inlineStr">
        <is>
          <t>APPROVED</t>
        </is>
      </c>
      <c r="I372" s="12" t="inlineStr">
        <is>
          <t>New</t>
        </is>
      </c>
      <c r="J372" s="12" t="inlineStr">
        <is>
          <t>Source assignment -- not individually reviewed</t>
        </is>
      </c>
      <c r="K372" s="12" t="inlineStr"/>
      <c r="L372" s="12" t="inlineStr"/>
      <c r="M372" s="12" t="inlineStr"/>
      <c r="N372" s="17" t="inlineStr">
        <is>
          <t>10 EVIDENCE &amp; DECISIONS</t>
        </is>
      </c>
    </row>
    <row r="373" ht="34" customHeight="1">
      <c r="A373" s="12" t="inlineStr">
        <is>
          <t>Contractor Programme</t>
        </is>
      </c>
      <c r="B373" s="12" t="inlineStr">
        <is>
          <t>SCH-02-130</t>
        </is>
      </c>
      <c r="C373" s="12" t="inlineStr">
        <is>
          <t>West Terminal: platform edge installation - installation</t>
        </is>
      </c>
      <c r="D373" s="12" t="inlineStr">
        <is>
          <t>WBS Code = 1.2.1</t>
        </is>
      </c>
      <c r="E373" s="12" t="inlineStr">
        <is>
          <t>R310-v1</t>
        </is>
      </c>
      <c r="F373" s="12" t="inlineStr">
        <is>
          <t>1.2.1 Stations - Station Structures</t>
        </is>
      </c>
      <c r="G373" s="12" t="inlineStr">
        <is>
          <t>ONE_TO_ONE</t>
        </is>
      </c>
      <c r="H373" s="12" t="inlineStr">
        <is>
          <t>APPROVED</t>
        </is>
      </c>
      <c r="I373" s="12" t="inlineStr">
        <is>
          <t>New</t>
        </is>
      </c>
      <c r="J373" s="12" t="inlineStr">
        <is>
          <t>Source assignment -- not individually reviewed</t>
        </is>
      </c>
      <c r="K373" s="12" t="inlineStr"/>
      <c r="L373" s="12" t="inlineStr"/>
      <c r="M373" s="12" t="inlineStr"/>
      <c r="N373" s="17" t="inlineStr">
        <is>
          <t>10 EVIDENCE &amp; DECISIONS</t>
        </is>
      </c>
    </row>
    <row r="374" ht="34" customHeight="1">
      <c r="A374" s="12" t="inlineStr">
        <is>
          <t>Contractor Programme</t>
        </is>
      </c>
      <c r="B374" s="12" t="inlineStr">
        <is>
          <t>SCH-02-131</t>
        </is>
      </c>
      <c r="C374" s="12" t="inlineStr">
        <is>
          <t>Harbour Station: architectural wall framing - inspection</t>
        </is>
      </c>
      <c r="D374" s="12" t="inlineStr">
        <is>
          <t>WBS Code = 1.2.1</t>
        </is>
      </c>
      <c r="E374" s="12" t="inlineStr">
        <is>
          <t>R311-v1</t>
        </is>
      </c>
      <c r="F374" s="12" t="inlineStr">
        <is>
          <t>1.2.1 Stations - Station Structures</t>
        </is>
      </c>
      <c r="G374" s="12" t="inlineStr">
        <is>
          <t>ONE_TO_ONE</t>
        </is>
      </c>
      <c r="H374" s="12" t="inlineStr">
        <is>
          <t>APPROVED</t>
        </is>
      </c>
      <c r="I374" s="12" t="inlineStr">
        <is>
          <t>New</t>
        </is>
      </c>
      <c r="J374" s="12" t="inlineStr">
        <is>
          <t>Source assignment -- not individually reviewed</t>
        </is>
      </c>
      <c r="K374" s="12" t="inlineStr"/>
      <c r="L374" s="12" t="inlineStr"/>
      <c r="M374" s="12" t="inlineStr"/>
      <c r="N374" s="17" t="inlineStr">
        <is>
          <t>10 EVIDENCE &amp; DECISIONS</t>
        </is>
      </c>
    </row>
    <row r="375" ht="34" customHeight="1">
      <c r="A375" s="12" t="inlineStr">
        <is>
          <t>Contractor Programme</t>
        </is>
      </c>
      <c r="B375" s="12" t="inlineStr">
        <is>
          <t>SCH-02-133</t>
        </is>
      </c>
      <c r="C375" s="12" t="inlineStr">
        <is>
          <t>Civic Station: concourse slab pour - release</t>
        </is>
      </c>
      <c r="D375" s="12" t="inlineStr">
        <is>
          <t>WBS Code = 1.2.1</t>
        </is>
      </c>
      <c r="E375" s="12" t="inlineStr">
        <is>
          <t>R313-v1</t>
        </is>
      </c>
      <c r="F375" s="12" t="inlineStr">
        <is>
          <t>1.2.1 Stations - Station Structures</t>
        </is>
      </c>
      <c r="G375" s="12" t="inlineStr">
        <is>
          <t>ONE_TO_ONE</t>
        </is>
      </c>
      <c r="H375" s="12" t="inlineStr">
        <is>
          <t>APPROVED</t>
        </is>
      </c>
      <c r="I375" s="12" t="inlineStr">
        <is>
          <t>New</t>
        </is>
      </c>
      <c r="J375" s="12" t="inlineStr">
        <is>
          <t>Source assignment -- not individually reviewed</t>
        </is>
      </c>
      <c r="K375" s="12" t="inlineStr"/>
      <c r="L375" s="12" t="inlineStr"/>
      <c r="M375" s="12" t="inlineStr"/>
      <c r="N375" s="17" t="inlineStr">
        <is>
          <t>10 EVIDENCE &amp; DECISIONS</t>
        </is>
      </c>
    </row>
    <row r="376" ht="34" customHeight="1">
      <c r="A376" s="12" t="inlineStr">
        <is>
          <t>Contractor Programme</t>
        </is>
      </c>
      <c r="B376" s="12" t="inlineStr">
        <is>
          <t>SCH-02-134</t>
        </is>
      </c>
      <c r="C376" s="12" t="inlineStr">
        <is>
          <t>University Station: station ventilation rough-in - field start</t>
        </is>
      </c>
      <c r="D376" s="12" t="inlineStr">
        <is>
          <t>WBS Code = 1.2.1</t>
        </is>
      </c>
      <c r="E376" s="12" t="inlineStr">
        <is>
          <t>R314-v1</t>
        </is>
      </c>
      <c r="F376" s="12" t="inlineStr">
        <is>
          <t>1.2.1 Stations - Station Structures</t>
        </is>
      </c>
      <c r="G376" s="12" t="inlineStr">
        <is>
          <t>ONE_TO_ONE</t>
        </is>
      </c>
      <c r="H376" s="12" t="inlineStr">
        <is>
          <t>APPROVED</t>
        </is>
      </c>
      <c r="I376" s="12" t="inlineStr">
        <is>
          <t>New</t>
        </is>
      </c>
      <c r="J376" s="12" t="inlineStr">
        <is>
          <t>Source assignment -- not individually reviewed</t>
        </is>
      </c>
      <c r="K376" s="12" t="inlineStr"/>
      <c r="L376" s="12" t="inlineStr"/>
      <c r="M376" s="12" t="inlineStr"/>
      <c r="N376" s="17" t="inlineStr">
        <is>
          <t>10 EVIDENCE &amp; DECISIONS</t>
        </is>
      </c>
    </row>
    <row r="377" ht="34" customHeight="1">
      <c r="A377" s="12" t="inlineStr">
        <is>
          <t>Contractor Programme</t>
        </is>
      </c>
      <c r="B377" s="12" t="inlineStr">
        <is>
          <t>SCH-02-136</t>
        </is>
      </c>
      <c r="C377" s="12" t="inlineStr">
        <is>
          <t>Harbour Station: entrance steel erection - inspection</t>
        </is>
      </c>
      <c r="D377" s="12" t="inlineStr">
        <is>
          <t>WBS Code = 1.2.1</t>
        </is>
      </c>
      <c r="E377" s="12" t="inlineStr">
        <is>
          <t>R316-v1</t>
        </is>
      </c>
      <c r="F377" s="12" t="inlineStr">
        <is>
          <t>1.2.1 Stations - Station Structures</t>
        </is>
      </c>
      <c r="G377" s="12" t="inlineStr">
        <is>
          <t>ONE_TO_ONE</t>
        </is>
      </c>
      <c r="H377" s="12" t="inlineStr">
        <is>
          <t>APPROVED</t>
        </is>
      </c>
      <c r="I377" s="12" t="inlineStr">
        <is>
          <t>New</t>
        </is>
      </c>
      <c r="J377" s="12" t="inlineStr">
        <is>
          <t>Source assignment -- not individually reviewed</t>
        </is>
      </c>
      <c r="K377" s="12" t="inlineStr"/>
      <c r="L377" s="12" t="inlineStr"/>
      <c r="M377" s="12" t="inlineStr"/>
      <c r="N377" s="17" t="inlineStr">
        <is>
          <t>10 EVIDENCE &amp; DECISIONS</t>
        </is>
      </c>
    </row>
    <row r="378" ht="34" customHeight="1">
      <c r="A378" s="12" t="inlineStr">
        <is>
          <t>Contractor Programme</t>
        </is>
      </c>
      <c r="B378" s="12" t="inlineStr">
        <is>
          <t>SCH-02-137</t>
        </is>
      </c>
      <c r="C378" s="12" t="inlineStr">
        <is>
          <t>Market Station: vertical-transport installation - turnover</t>
        </is>
      </c>
      <c r="D378" s="12" t="inlineStr">
        <is>
          <t>WBS Code = 1.2.1</t>
        </is>
      </c>
      <c r="E378" s="12" t="inlineStr">
        <is>
          <t>R317-v1</t>
        </is>
      </c>
      <c r="F378" s="12" t="inlineStr">
        <is>
          <t>1.2.1 Stations - Station Structures</t>
        </is>
      </c>
      <c r="G378" s="12" t="inlineStr">
        <is>
          <t>ONE_TO_ONE</t>
        </is>
      </c>
      <c r="H378" s="12" t="inlineStr">
        <is>
          <t>APPROVED</t>
        </is>
      </c>
      <c r="I378" s="12" t="inlineStr">
        <is>
          <t>New</t>
        </is>
      </c>
      <c r="J378" s="12" t="inlineStr">
        <is>
          <t>Source assignment -- not individually reviewed</t>
        </is>
      </c>
      <c r="K378" s="12" t="inlineStr"/>
      <c r="L378" s="12" t="inlineStr"/>
      <c r="M378" s="12" t="inlineStr"/>
      <c r="N378" s="17" t="inlineStr">
        <is>
          <t>10 EVIDENCE &amp; DECISIONS</t>
        </is>
      </c>
    </row>
    <row r="379" ht="34" customHeight="1">
      <c r="A379" s="12" t="inlineStr">
        <is>
          <t>Contractor Programme</t>
        </is>
      </c>
      <c r="B379" s="12" t="inlineStr">
        <is>
          <t>SCH-02-139</t>
        </is>
      </c>
      <c r="C379" s="12" t="inlineStr">
        <is>
          <t>University Station: architectural wall framing - field start</t>
        </is>
      </c>
      <c r="D379" s="12" t="inlineStr">
        <is>
          <t>WBS Code = 1.2.1</t>
        </is>
      </c>
      <c r="E379" s="12" t="inlineStr">
        <is>
          <t>R319-v1</t>
        </is>
      </c>
      <c r="F379" s="12" t="inlineStr">
        <is>
          <t>1.2.1 Stations - Station Structures</t>
        </is>
      </c>
      <c r="G379" s="12" t="inlineStr">
        <is>
          <t>ONE_TO_ONE</t>
        </is>
      </c>
      <c r="H379" s="12" t="inlineStr">
        <is>
          <t>APPROVED</t>
        </is>
      </c>
      <c r="I379" s="12" t="inlineStr">
        <is>
          <t>New</t>
        </is>
      </c>
      <c r="J379" s="12" t="inlineStr">
        <is>
          <t>Source assignment -- not individually reviewed</t>
        </is>
      </c>
      <c r="K379" s="12" t="inlineStr"/>
      <c r="L379" s="12" t="inlineStr"/>
      <c r="M379" s="12" t="inlineStr"/>
      <c r="N379" s="17" t="inlineStr">
        <is>
          <t>10 EVIDENCE &amp; DECISIONS</t>
        </is>
      </c>
    </row>
    <row r="380" ht="34" customHeight="1">
      <c r="A380" s="12" t="inlineStr">
        <is>
          <t>Contractor Programme</t>
        </is>
      </c>
      <c r="B380" s="12" t="inlineStr">
        <is>
          <t>SCH-02-140</t>
        </is>
      </c>
      <c r="C380" s="12" t="inlineStr">
        <is>
          <t>West Terminal: fire-life-safety cabling - installation</t>
        </is>
      </c>
      <c r="D380" s="12" t="inlineStr">
        <is>
          <t>WBS Code = 1.2.1</t>
        </is>
      </c>
      <c r="E380" s="12" t="inlineStr">
        <is>
          <t>R320-v1</t>
        </is>
      </c>
      <c r="F380" s="12" t="inlineStr">
        <is>
          <t>1.2.1 Stations - Station Structures</t>
        </is>
      </c>
      <c r="G380" s="12" t="inlineStr">
        <is>
          <t>ONE_TO_ONE</t>
        </is>
      </c>
      <c r="H380" s="12" t="inlineStr">
        <is>
          <t>APPROVED</t>
        </is>
      </c>
      <c r="I380" s="12" t="inlineStr">
        <is>
          <t>New</t>
        </is>
      </c>
      <c r="J380" s="12" t="inlineStr">
        <is>
          <t>Source assignment -- not individually reviewed</t>
        </is>
      </c>
      <c r="K380" s="12" t="inlineStr"/>
      <c r="L380" s="12" t="inlineStr"/>
      <c r="M380" s="12" t="inlineStr"/>
      <c r="N380" s="17" t="inlineStr">
        <is>
          <t>10 EVIDENCE &amp; DECISIONS</t>
        </is>
      </c>
    </row>
    <row r="381" ht="34" customHeight="1">
      <c r="A381" s="12" t="inlineStr">
        <is>
          <t>Contractor Programme</t>
        </is>
      </c>
      <c r="B381" s="12" t="inlineStr">
        <is>
          <t>SCH-02-142</t>
        </is>
      </c>
      <c r="C381" s="12" t="inlineStr">
        <is>
          <t>Market Station: station ventilation rough-in - turnover</t>
        </is>
      </c>
      <c r="D381" s="12" t="inlineStr">
        <is>
          <t>WBS Code = 1.2.1</t>
        </is>
      </c>
      <c r="E381" s="12" t="inlineStr">
        <is>
          <t>R322-v1</t>
        </is>
      </c>
      <c r="F381" s="12" t="inlineStr">
        <is>
          <t>1.2.1 Stations - Station Structures</t>
        </is>
      </c>
      <c r="G381" s="12" t="inlineStr">
        <is>
          <t>ONE_TO_ONE</t>
        </is>
      </c>
      <c r="H381" s="12" t="inlineStr">
        <is>
          <t>APPROVED</t>
        </is>
      </c>
      <c r="I381" s="12" t="inlineStr">
        <is>
          <t>New</t>
        </is>
      </c>
      <c r="J381" s="12" t="inlineStr">
        <is>
          <t>Source assignment -- not individually reviewed</t>
        </is>
      </c>
      <c r="K381" s="12" t="inlineStr"/>
      <c r="L381" s="12" t="inlineStr"/>
      <c r="M381" s="12" t="inlineStr"/>
      <c r="N381" s="17" t="inlineStr">
        <is>
          <t>10 EVIDENCE &amp; DECISIONS</t>
        </is>
      </c>
    </row>
    <row r="382" ht="34" customHeight="1">
      <c r="A382" s="12" t="inlineStr">
        <is>
          <t>Contractor Programme</t>
        </is>
      </c>
      <c r="B382" s="12" t="inlineStr">
        <is>
          <t>SCH-02-143</t>
        </is>
      </c>
      <c r="C382" s="12" t="inlineStr">
        <is>
          <t>Civic Station: public-realm paving - release</t>
        </is>
      </c>
      <c r="D382" s="12" t="inlineStr">
        <is>
          <t>WBS Code = 1.2.1</t>
        </is>
      </c>
      <c r="E382" s="12" t="inlineStr">
        <is>
          <t>R323-v1</t>
        </is>
      </c>
      <c r="F382" s="12" t="inlineStr">
        <is>
          <t>1.2.1 Stations - Station Structures</t>
        </is>
      </c>
      <c r="G382" s="12" t="inlineStr">
        <is>
          <t>ONE_TO_ONE</t>
        </is>
      </c>
      <c r="H382" s="12" t="inlineStr">
        <is>
          <t>APPROVED</t>
        </is>
      </c>
      <c r="I382" s="12" t="inlineStr">
        <is>
          <t>New</t>
        </is>
      </c>
      <c r="J382" s="12" t="inlineStr">
        <is>
          <t>Source assignment -- not individually reviewed</t>
        </is>
      </c>
      <c r="K382" s="12" t="inlineStr"/>
      <c r="L382" s="12" t="inlineStr"/>
      <c r="M382" s="12" t="inlineStr"/>
      <c r="N382" s="17" t="inlineStr">
        <is>
          <t>10 EVIDENCE &amp; DECISIONS</t>
        </is>
      </c>
    </row>
    <row r="383" ht="34" customHeight="1">
      <c r="A383" s="12" t="inlineStr">
        <is>
          <t>Contractor Programme</t>
        </is>
      </c>
      <c r="B383" s="12" t="inlineStr">
        <is>
          <t>SCH-02-145</t>
        </is>
      </c>
      <c r="C383" s="12" t="inlineStr">
        <is>
          <t>West Terminal: vertical-transport installation - installation</t>
        </is>
      </c>
      <c r="D383" s="12" t="inlineStr">
        <is>
          <t>WBS Code = 1.2.1</t>
        </is>
      </c>
      <c r="E383" s="12" t="inlineStr">
        <is>
          <t>R325-v1</t>
        </is>
      </c>
      <c r="F383" s="12" t="inlineStr">
        <is>
          <t>1.2.1 Stations - Station Structures</t>
        </is>
      </c>
      <c r="G383" s="12" t="inlineStr">
        <is>
          <t>ONE_TO_ONE</t>
        </is>
      </c>
      <c r="H383" s="12" t="inlineStr">
        <is>
          <t>APPROVED</t>
        </is>
      </c>
      <c r="I383" s="12" t="inlineStr">
        <is>
          <t>New</t>
        </is>
      </c>
      <c r="J383" s="12" t="inlineStr">
        <is>
          <t>Source assignment -- not individually reviewed</t>
        </is>
      </c>
      <c r="K383" s="12" t="inlineStr"/>
      <c r="L383" s="12" t="inlineStr"/>
      <c r="M383" s="12" t="inlineStr"/>
      <c r="N383" s="17" t="inlineStr">
        <is>
          <t>10 EVIDENCE &amp; DECISIONS</t>
        </is>
      </c>
    </row>
    <row r="384" ht="34" customHeight="1">
      <c r="A384" s="12" t="inlineStr">
        <is>
          <t>Contractor Programme</t>
        </is>
      </c>
      <c r="B384" s="12" t="inlineStr">
        <is>
          <t>SCH-02-146</t>
        </is>
      </c>
      <c r="C384" s="12" t="inlineStr">
        <is>
          <t>Harbour Station: platform edge installation - inspection</t>
        </is>
      </c>
      <c r="D384" s="12" t="inlineStr">
        <is>
          <t>WBS Code = 1.2.1</t>
        </is>
      </c>
      <c r="E384" s="12" t="inlineStr">
        <is>
          <t>R326-v1</t>
        </is>
      </c>
      <c r="F384" s="12" t="inlineStr">
        <is>
          <t>1.2.1 Stations - Station Structures</t>
        </is>
      </c>
      <c r="G384" s="12" t="inlineStr">
        <is>
          <t>ONE_TO_ONE</t>
        </is>
      </c>
      <c r="H384" s="12" t="inlineStr">
        <is>
          <t>APPROVED</t>
        </is>
      </c>
      <c r="I384" s="12" t="inlineStr">
        <is>
          <t>New</t>
        </is>
      </c>
      <c r="J384" s="12" t="inlineStr">
        <is>
          <t>Source assignment -- not individually reviewed</t>
        </is>
      </c>
      <c r="K384" s="12" t="inlineStr"/>
      <c r="L384" s="12" t="inlineStr"/>
      <c r="M384" s="12" t="inlineStr"/>
      <c r="N384" s="17" t="inlineStr">
        <is>
          <t>10 EVIDENCE &amp; DECISIONS</t>
        </is>
      </c>
    </row>
    <row r="385" ht="34" customHeight="1">
      <c r="A385" s="12" t="inlineStr">
        <is>
          <t>Contractor Programme</t>
        </is>
      </c>
      <c r="B385" s="12" t="inlineStr">
        <is>
          <t>SCH-02-148</t>
        </is>
      </c>
      <c r="C385" s="12" t="inlineStr">
        <is>
          <t>Civic Station: fire-life-safety cabling - release</t>
        </is>
      </c>
      <c r="D385" s="12" t="inlineStr">
        <is>
          <t>WBS Code = 1.2.1</t>
        </is>
      </c>
      <c r="E385" s="12" t="inlineStr">
        <is>
          <t>R328-v1</t>
        </is>
      </c>
      <c r="F385" s="12" t="inlineStr">
        <is>
          <t>1.2.1 Stations - Station Structures</t>
        </is>
      </c>
      <c r="G385" s="12" t="inlineStr">
        <is>
          <t>ONE_TO_ONE</t>
        </is>
      </c>
      <c r="H385" s="12" t="inlineStr">
        <is>
          <t>APPROVED</t>
        </is>
      </c>
      <c r="I385" s="12" t="inlineStr">
        <is>
          <t>New</t>
        </is>
      </c>
      <c r="J385" s="12" t="inlineStr">
        <is>
          <t>Source assignment -- not individually reviewed</t>
        </is>
      </c>
      <c r="K385" s="12" t="inlineStr"/>
      <c r="L385" s="12" t="inlineStr"/>
      <c r="M385" s="12" t="inlineStr"/>
      <c r="N385" s="17" t="inlineStr">
        <is>
          <t>10 EVIDENCE &amp; DECISIONS</t>
        </is>
      </c>
    </row>
    <row r="386" ht="34" customHeight="1">
      <c r="A386" s="12" t="inlineStr">
        <is>
          <t>Contractor Programme</t>
        </is>
      </c>
      <c r="B386" s="12" t="inlineStr">
        <is>
          <t>SCH-02-149</t>
        </is>
      </c>
      <c r="C386" s="12" t="inlineStr">
        <is>
          <t>University Station: concourse slab pour - field start</t>
        </is>
      </c>
      <c r="D386" s="12" t="inlineStr">
        <is>
          <t>WBS Code = 1.2.1</t>
        </is>
      </c>
      <c r="E386" s="12" t="inlineStr">
        <is>
          <t>R329-v1</t>
        </is>
      </c>
      <c r="F386" s="12" t="inlineStr">
        <is>
          <t>1.2.1 Stations - Station Structures</t>
        </is>
      </c>
      <c r="G386" s="12" t="inlineStr">
        <is>
          <t>ONE_TO_ONE</t>
        </is>
      </c>
      <c r="H386" s="12" t="inlineStr">
        <is>
          <t>APPROVED</t>
        </is>
      </c>
      <c r="I386" s="12" t="inlineStr">
        <is>
          <t>New</t>
        </is>
      </c>
      <c r="J386" s="12" t="inlineStr">
        <is>
          <t>Source assignment -- not individually reviewed</t>
        </is>
      </c>
      <c r="K386" s="12" t="inlineStr"/>
      <c r="L386" s="12" t="inlineStr"/>
      <c r="M386" s="12" t="inlineStr"/>
      <c r="N386" s="17" t="inlineStr">
        <is>
          <t>10 EVIDENCE &amp; DECISIONS</t>
        </is>
      </c>
    </row>
    <row r="387" ht="34" customHeight="1">
      <c r="A387" s="12" t="inlineStr">
        <is>
          <t>Contractor Programme</t>
        </is>
      </c>
      <c r="B387" s="12" t="inlineStr">
        <is>
          <t>SCH-02-151</t>
        </is>
      </c>
      <c r="C387" s="12" t="inlineStr">
        <is>
          <t>Harbour Station: public-realm paving - inspection</t>
        </is>
      </c>
      <c r="D387" s="12" t="inlineStr">
        <is>
          <t>WBS Code = 1.2.1</t>
        </is>
      </c>
      <c r="E387" s="12" t="inlineStr">
        <is>
          <t>R331-v1</t>
        </is>
      </c>
      <c r="F387" s="12" t="inlineStr">
        <is>
          <t>1.2.1 Stations - Station Structures</t>
        </is>
      </c>
      <c r="G387" s="12" t="inlineStr">
        <is>
          <t>ONE_TO_ONE</t>
        </is>
      </c>
      <c r="H387" s="12" t="inlineStr">
        <is>
          <t>APPROVED</t>
        </is>
      </c>
      <c r="I387" s="12" t="inlineStr">
        <is>
          <t>New</t>
        </is>
      </c>
      <c r="J387" s="12" t="inlineStr">
        <is>
          <t>Source assignment -- not individually reviewed</t>
        </is>
      </c>
      <c r="K387" s="12" t="inlineStr"/>
      <c r="L387" s="12" t="inlineStr"/>
      <c r="M387" s="12" t="inlineStr"/>
      <c r="N387" s="17" t="inlineStr">
        <is>
          <t>10 EVIDENCE &amp; DECISIONS</t>
        </is>
      </c>
    </row>
    <row r="388" ht="34" customHeight="1">
      <c r="A388" s="12" t="inlineStr">
        <is>
          <t>Contractor Programme</t>
        </is>
      </c>
      <c r="B388" s="12" t="inlineStr">
        <is>
          <t>SCH-02-152</t>
        </is>
      </c>
      <c r="C388" s="12" t="inlineStr">
        <is>
          <t>Market Station: entrance steel erection - turnover</t>
        </is>
      </c>
      <c r="D388" s="12" t="inlineStr">
        <is>
          <t>WBS Code = 1.2.1</t>
        </is>
      </c>
      <c r="E388" s="12" t="inlineStr">
        <is>
          <t>R332-v1</t>
        </is>
      </c>
      <c r="F388" s="12" t="inlineStr">
        <is>
          <t>1.2.1 Stations - Station Structures</t>
        </is>
      </c>
      <c r="G388" s="12" t="inlineStr">
        <is>
          <t>ONE_TO_ONE</t>
        </is>
      </c>
      <c r="H388" s="12" t="inlineStr">
        <is>
          <t>APPROVED</t>
        </is>
      </c>
      <c r="I388" s="12" t="inlineStr">
        <is>
          <t>New</t>
        </is>
      </c>
      <c r="J388" s="12" t="inlineStr">
        <is>
          <t>Source assignment -- not individually reviewed</t>
        </is>
      </c>
      <c r="K388" s="12" t="inlineStr"/>
      <c r="L388" s="12" t="inlineStr"/>
      <c r="M388" s="12" t="inlineStr"/>
      <c r="N388" s="17" t="inlineStr">
        <is>
          <t>10 EVIDENCE &amp; DECISIONS</t>
        </is>
      </c>
    </row>
    <row r="389" ht="34" customHeight="1">
      <c r="A389" s="12" t="inlineStr">
        <is>
          <t>Contractor Programme</t>
        </is>
      </c>
      <c r="B389" s="12" t="inlineStr">
        <is>
          <t>SCH-02-154</t>
        </is>
      </c>
      <c r="C389" s="12" t="inlineStr">
        <is>
          <t>University Station: platform edge installation - field start</t>
        </is>
      </c>
      <c r="D389" s="12" t="inlineStr">
        <is>
          <t>WBS Code = 1.2.1</t>
        </is>
      </c>
      <c r="E389" s="12" t="inlineStr">
        <is>
          <t>R334-v1</t>
        </is>
      </c>
      <c r="F389" s="12" t="inlineStr">
        <is>
          <t>1.2.1 Stations - Station Structures</t>
        </is>
      </c>
      <c r="G389" s="12" t="inlineStr">
        <is>
          <t>ONE_TO_ONE</t>
        </is>
      </c>
      <c r="H389" s="12" t="inlineStr">
        <is>
          <t>APPROVED</t>
        </is>
      </c>
      <c r="I389" s="12" t="inlineStr">
        <is>
          <t>New</t>
        </is>
      </c>
      <c r="J389" s="12" t="inlineStr">
        <is>
          <t>Source assignment -- not individually reviewed</t>
        </is>
      </c>
      <c r="K389" s="12" t="inlineStr"/>
      <c r="L389" s="12" t="inlineStr"/>
      <c r="M389" s="12" t="inlineStr"/>
      <c r="N389" s="17" t="inlineStr">
        <is>
          <t>10 EVIDENCE &amp; DECISIONS</t>
        </is>
      </c>
    </row>
    <row r="390" ht="34" customHeight="1">
      <c r="A390" s="12" t="inlineStr">
        <is>
          <t>Contractor Programme</t>
        </is>
      </c>
      <c r="B390" s="12" t="inlineStr">
        <is>
          <t>SCH-02-155</t>
        </is>
      </c>
      <c r="C390" s="12" t="inlineStr">
        <is>
          <t>West Terminal: architectural wall framing - installation</t>
        </is>
      </c>
      <c r="D390" s="12" t="inlineStr">
        <is>
          <t>WBS Code = 1.2.1</t>
        </is>
      </c>
      <c r="E390" s="12" t="inlineStr">
        <is>
          <t>R335-v1</t>
        </is>
      </c>
      <c r="F390" s="12" t="inlineStr">
        <is>
          <t>1.2.1 Stations - Station Structures</t>
        </is>
      </c>
      <c r="G390" s="12" t="inlineStr">
        <is>
          <t>ONE_TO_ONE</t>
        </is>
      </c>
      <c r="H390" s="12" t="inlineStr">
        <is>
          <t>APPROVED</t>
        </is>
      </c>
      <c r="I390" s="12" t="inlineStr">
        <is>
          <t>New</t>
        </is>
      </c>
      <c r="J390" s="12" t="inlineStr">
        <is>
          <t>Source assignment -- not individually reviewed</t>
        </is>
      </c>
      <c r="K390" s="12" t="inlineStr"/>
      <c r="L390" s="12" t="inlineStr"/>
      <c r="M390" s="12" t="inlineStr"/>
      <c r="N390" s="17" t="inlineStr">
        <is>
          <t>10 EVIDENCE &amp; DECISIONS</t>
        </is>
      </c>
    </row>
    <row r="391" ht="34" customHeight="1">
      <c r="A391" s="12" t="inlineStr">
        <is>
          <t>Contractor Programme</t>
        </is>
      </c>
      <c r="B391" s="12" t="inlineStr">
        <is>
          <t>SCH-02-157</t>
        </is>
      </c>
      <c r="C391" s="12" t="inlineStr">
        <is>
          <t>Market Station: concourse slab pour - turnover</t>
        </is>
      </c>
      <c r="D391" s="12" t="inlineStr">
        <is>
          <t>WBS Code = 1.2.1</t>
        </is>
      </c>
      <c r="E391" s="12" t="inlineStr">
        <is>
          <t>R337-v1</t>
        </is>
      </c>
      <c r="F391" s="12" t="inlineStr">
        <is>
          <t>1.2.1 Stations - Station Structures</t>
        </is>
      </c>
      <c r="G391" s="12" t="inlineStr">
        <is>
          <t>ONE_TO_ONE</t>
        </is>
      </c>
      <c r="H391" s="12" t="inlineStr">
        <is>
          <t>APPROVED</t>
        </is>
      </c>
      <c r="I391" s="12" t="inlineStr">
        <is>
          <t>New</t>
        </is>
      </c>
      <c r="J391" s="12" t="inlineStr">
        <is>
          <t>Source assignment -- not individually reviewed</t>
        </is>
      </c>
      <c r="K391" s="12" t="inlineStr"/>
      <c r="L391" s="12" t="inlineStr"/>
      <c r="M391" s="12" t="inlineStr"/>
      <c r="N391" s="17" t="inlineStr">
        <is>
          <t>10 EVIDENCE &amp; DECISIONS</t>
        </is>
      </c>
    </row>
    <row r="392" ht="34" customHeight="1">
      <c r="A392" s="12" t="inlineStr">
        <is>
          <t>Contractor Programme</t>
        </is>
      </c>
      <c r="B392" s="12" t="inlineStr">
        <is>
          <t>SCH-02-158</t>
        </is>
      </c>
      <c r="C392" s="12" t="inlineStr">
        <is>
          <t>Civic Station: station ventilation rough-in - release</t>
        </is>
      </c>
      <c r="D392" s="12" t="inlineStr">
        <is>
          <t>WBS Code = 1.2.1</t>
        </is>
      </c>
      <c r="E392" s="12" t="inlineStr">
        <is>
          <t>R338-v1</t>
        </is>
      </c>
      <c r="F392" s="12" t="inlineStr">
        <is>
          <t>1.2.1 Stations - Station Structures</t>
        </is>
      </c>
      <c r="G392" s="12" t="inlineStr">
        <is>
          <t>ONE_TO_ONE</t>
        </is>
      </c>
      <c r="H392" s="12" t="inlineStr">
        <is>
          <t>APPROVED</t>
        </is>
      </c>
      <c r="I392" s="12" t="inlineStr">
        <is>
          <t>New</t>
        </is>
      </c>
      <c r="J392" s="12" t="inlineStr">
        <is>
          <t>Source assignment -- not individually reviewed</t>
        </is>
      </c>
      <c r="K392" s="12" t="inlineStr"/>
      <c r="L392" s="12" t="inlineStr"/>
      <c r="M392" s="12" t="inlineStr"/>
      <c r="N392" s="17" t="inlineStr">
        <is>
          <t>10 EVIDENCE &amp; DECISIONS</t>
        </is>
      </c>
    </row>
    <row r="393" ht="34" customHeight="1">
      <c r="A393" s="12" t="inlineStr">
        <is>
          <t>Contractor Programme</t>
        </is>
      </c>
      <c r="B393" s="12" t="inlineStr">
        <is>
          <t>SCH-02-160</t>
        </is>
      </c>
      <c r="C393" s="12" t="inlineStr">
        <is>
          <t>West Terminal: entrance steel erection - installation</t>
        </is>
      </c>
      <c r="D393" s="12" t="inlineStr">
        <is>
          <t>WBS Code = 1.2.1</t>
        </is>
      </c>
      <c r="E393" s="12" t="inlineStr">
        <is>
          <t>R340-v1</t>
        </is>
      </c>
      <c r="F393" s="12" t="inlineStr">
        <is>
          <t>1.2.1 Stations - Station Structures</t>
        </is>
      </c>
      <c r="G393" s="12" t="inlineStr">
        <is>
          <t>ONE_TO_ONE</t>
        </is>
      </c>
      <c r="H393" s="12" t="inlineStr">
        <is>
          <t>APPROVED</t>
        </is>
      </c>
      <c r="I393" s="12" t="inlineStr">
        <is>
          <t>New</t>
        </is>
      </c>
      <c r="J393" s="12" t="inlineStr">
        <is>
          <t>Source assignment -- not individually reviewed</t>
        </is>
      </c>
      <c r="K393" s="12" t="inlineStr"/>
      <c r="L393" s="12" t="inlineStr"/>
      <c r="M393" s="12" t="inlineStr"/>
      <c r="N393" s="17" t="inlineStr">
        <is>
          <t>10 EVIDENCE &amp; DECISIONS</t>
        </is>
      </c>
    </row>
    <row r="394" ht="34" customHeight="1">
      <c r="A394" s="12" t="inlineStr">
        <is>
          <t>Contractor Programme</t>
        </is>
      </c>
      <c r="B394" s="12" t="inlineStr">
        <is>
          <t>SCH-02-161</t>
        </is>
      </c>
      <c r="C394" s="12" t="inlineStr">
        <is>
          <t>Harbour Station: vertical-transport installation - inspection</t>
        </is>
      </c>
      <c r="D394" s="12" t="inlineStr">
        <is>
          <t>WBS Code = 1.2.1</t>
        </is>
      </c>
      <c r="E394" s="12" t="inlineStr">
        <is>
          <t>R341-v1</t>
        </is>
      </c>
      <c r="F394" s="12" t="inlineStr">
        <is>
          <t>1.2.1 Stations - Station Structures</t>
        </is>
      </c>
      <c r="G394" s="12" t="inlineStr">
        <is>
          <t>ONE_TO_ONE</t>
        </is>
      </c>
      <c r="H394" s="12" t="inlineStr">
        <is>
          <t>APPROVED</t>
        </is>
      </c>
      <c r="I394" s="12" t="inlineStr">
        <is>
          <t>New</t>
        </is>
      </c>
      <c r="J394" s="12" t="inlineStr">
        <is>
          <t>Source assignment -- not individually reviewed</t>
        </is>
      </c>
      <c r="K394" s="12" t="inlineStr"/>
      <c r="L394" s="12" t="inlineStr"/>
      <c r="M394" s="12" t="inlineStr"/>
      <c r="N394" s="17" t="inlineStr">
        <is>
          <t>10 EVIDENCE &amp; DECISIONS</t>
        </is>
      </c>
    </row>
    <row r="395" ht="34" customHeight="1">
      <c r="A395" s="12" t="inlineStr">
        <is>
          <t>Contractor Programme</t>
        </is>
      </c>
      <c r="B395" s="12" t="inlineStr">
        <is>
          <t>SCH-02-163</t>
        </is>
      </c>
      <c r="C395" s="12" t="inlineStr">
        <is>
          <t>Civic Station: architectural wall framing - release</t>
        </is>
      </c>
      <c r="D395" s="12" t="inlineStr">
        <is>
          <t>WBS Code = 1.2.1</t>
        </is>
      </c>
      <c r="E395" s="12" t="inlineStr">
        <is>
          <t>R343-v1</t>
        </is>
      </c>
      <c r="F395" s="12" t="inlineStr">
        <is>
          <t>1.2.1 Stations - Station Structures</t>
        </is>
      </c>
      <c r="G395" s="12" t="inlineStr">
        <is>
          <t>ONE_TO_ONE</t>
        </is>
      </c>
      <c r="H395" s="12" t="inlineStr">
        <is>
          <t>APPROVED</t>
        </is>
      </c>
      <c r="I395" s="12" t="inlineStr">
        <is>
          <t>New</t>
        </is>
      </c>
      <c r="J395" s="12" t="inlineStr">
        <is>
          <t>Source assignment -- not individually reviewed</t>
        </is>
      </c>
      <c r="K395" s="12" t="inlineStr"/>
      <c r="L395" s="12" t="inlineStr"/>
      <c r="M395" s="12" t="inlineStr"/>
      <c r="N395" s="17" t="inlineStr">
        <is>
          <t>10 EVIDENCE &amp; DECISIONS</t>
        </is>
      </c>
    </row>
    <row r="396" ht="34" customHeight="1">
      <c r="A396" s="12" t="inlineStr">
        <is>
          <t>Contractor Programme</t>
        </is>
      </c>
      <c r="B396" s="12" t="inlineStr">
        <is>
          <t>SCH-02-164</t>
        </is>
      </c>
      <c r="C396" s="12" t="inlineStr">
        <is>
          <t>University Station: fire-life-safety cabling - field start</t>
        </is>
      </c>
      <c r="D396" s="12" t="inlineStr">
        <is>
          <t>WBS Code = 1.2.1</t>
        </is>
      </c>
      <c r="E396" s="12" t="inlineStr">
        <is>
          <t>R344-v1</t>
        </is>
      </c>
      <c r="F396" s="12" t="inlineStr">
        <is>
          <t>1.2.1 Stations - Station Structures</t>
        </is>
      </c>
      <c r="G396" s="12" t="inlineStr">
        <is>
          <t>ONE_TO_ONE</t>
        </is>
      </c>
      <c r="H396" s="12" t="inlineStr">
        <is>
          <t>APPROVED</t>
        </is>
      </c>
      <c r="I396" s="12" t="inlineStr">
        <is>
          <t>New</t>
        </is>
      </c>
      <c r="J396" s="12" t="inlineStr">
        <is>
          <t>Source assignment -- not individually reviewed</t>
        </is>
      </c>
      <c r="K396" s="12" t="inlineStr"/>
      <c r="L396" s="12" t="inlineStr"/>
      <c r="M396" s="12" t="inlineStr"/>
      <c r="N396" s="17" t="inlineStr">
        <is>
          <t>10 EVIDENCE &amp; DECISIONS</t>
        </is>
      </c>
    </row>
    <row r="397" ht="34" customHeight="1">
      <c r="A397" s="12" t="inlineStr">
        <is>
          <t>Contractor Programme</t>
        </is>
      </c>
      <c r="B397" s="12" t="inlineStr">
        <is>
          <t>SCH-02-166</t>
        </is>
      </c>
      <c r="C397" s="12" t="inlineStr">
        <is>
          <t>Harbour Station: station ventilation rough-in - inspection</t>
        </is>
      </c>
      <c r="D397" s="12" t="inlineStr">
        <is>
          <t>WBS Code = 1.2.1</t>
        </is>
      </c>
      <c r="E397" s="12" t="inlineStr">
        <is>
          <t>R346-v1</t>
        </is>
      </c>
      <c r="F397" s="12" t="inlineStr">
        <is>
          <t>1.2.1 Stations - Station Structures</t>
        </is>
      </c>
      <c r="G397" s="12" t="inlineStr">
        <is>
          <t>ONE_TO_ONE</t>
        </is>
      </c>
      <c r="H397" s="12" t="inlineStr">
        <is>
          <t>APPROVED</t>
        </is>
      </c>
      <c r="I397" s="12" t="inlineStr">
        <is>
          <t>New</t>
        </is>
      </c>
      <c r="J397" s="12" t="inlineStr">
        <is>
          <t>Source assignment -- not individually reviewed</t>
        </is>
      </c>
      <c r="K397" s="12" t="inlineStr"/>
      <c r="L397" s="12" t="inlineStr"/>
      <c r="M397" s="12" t="inlineStr"/>
      <c r="N397" s="17" t="inlineStr">
        <is>
          <t>10 EVIDENCE &amp; DECISIONS</t>
        </is>
      </c>
    </row>
    <row r="398" ht="34" customHeight="1">
      <c r="A398" s="12" t="inlineStr">
        <is>
          <t>Contractor Programme</t>
        </is>
      </c>
      <c r="B398" s="12" t="inlineStr">
        <is>
          <t>SCH-02-167</t>
        </is>
      </c>
      <c r="C398" s="12" t="inlineStr">
        <is>
          <t>Market Station: public-realm paving - turnover</t>
        </is>
      </c>
      <c r="D398" s="12" t="inlineStr">
        <is>
          <t>WBS Code = 1.2.1</t>
        </is>
      </c>
      <c r="E398" s="12" t="inlineStr">
        <is>
          <t>R347-v1</t>
        </is>
      </c>
      <c r="F398" s="12" t="inlineStr">
        <is>
          <t>1.2.1 Stations - Station Structures</t>
        </is>
      </c>
      <c r="G398" s="12" t="inlineStr">
        <is>
          <t>ONE_TO_ONE</t>
        </is>
      </c>
      <c r="H398" s="12" t="inlineStr">
        <is>
          <t>APPROVED</t>
        </is>
      </c>
      <c r="I398" s="12" t="inlineStr">
        <is>
          <t>New</t>
        </is>
      </c>
      <c r="J398" s="12" t="inlineStr">
        <is>
          <t>Source assignment -- not individually reviewed</t>
        </is>
      </c>
      <c r="K398" s="12" t="inlineStr"/>
      <c r="L398" s="12" t="inlineStr"/>
      <c r="M398" s="12" t="inlineStr"/>
      <c r="N398" s="17" t="inlineStr">
        <is>
          <t>10 EVIDENCE &amp; DECISIONS</t>
        </is>
      </c>
    </row>
    <row r="399" ht="49" customHeight="1">
      <c r="A399" s="12" t="inlineStr">
        <is>
          <t>Contractor Programme</t>
        </is>
      </c>
      <c r="B399" s="12" t="inlineStr">
        <is>
          <t>SCH-02-169</t>
        </is>
      </c>
      <c r="C399" s="12" t="inlineStr">
        <is>
          <t>University Station: vertical-transport installation - field start</t>
        </is>
      </c>
      <c r="D399" s="12" t="inlineStr">
        <is>
          <t>WBS Code = 1.2.1</t>
        </is>
      </c>
      <c r="E399" s="12" t="inlineStr">
        <is>
          <t>R349-v1</t>
        </is>
      </c>
      <c r="F399" s="12" t="inlineStr">
        <is>
          <t>1.2.1 Stations - Station Structures</t>
        </is>
      </c>
      <c r="G399" s="12" t="inlineStr">
        <is>
          <t>ONE_TO_ONE</t>
        </is>
      </c>
      <c r="H399" s="12" t="inlineStr">
        <is>
          <t>APPROVED</t>
        </is>
      </c>
      <c r="I399" s="12" t="inlineStr">
        <is>
          <t>New</t>
        </is>
      </c>
      <c r="J399" s="12" t="inlineStr">
        <is>
          <t>Source assignment -- not individually reviewed</t>
        </is>
      </c>
      <c r="K399" s="12" t="inlineStr"/>
      <c r="L399" s="12" t="inlineStr"/>
      <c r="M399" s="12" t="inlineStr"/>
      <c r="N399" s="17" t="inlineStr">
        <is>
          <t>10 EVIDENCE &amp; DECISIONS</t>
        </is>
      </c>
    </row>
    <row r="400" ht="34" customHeight="1">
      <c r="A400" s="12" t="inlineStr">
        <is>
          <t>Contractor Programme</t>
        </is>
      </c>
      <c r="B400" s="12" t="inlineStr">
        <is>
          <t>SCH-02-170</t>
        </is>
      </c>
      <c r="C400" s="12" t="inlineStr">
        <is>
          <t>West Terminal: platform edge installation - installation</t>
        </is>
      </c>
      <c r="D400" s="12" t="inlineStr">
        <is>
          <t>WBS Code = 1.2.1</t>
        </is>
      </c>
      <c r="E400" s="12" t="inlineStr">
        <is>
          <t>R350-v1</t>
        </is>
      </c>
      <c r="F400" s="12" t="inlineStr">
        <is>
          <t>1.2.1 Stations - Station Structures</t>
        </is>
      </c>
      <c r="G400" s="12" t="inlineStr">
        <is>
          <t>ONE_TO_ONE</t>
        </is>
      </c>
      <c r="H400" s="12" t="inlineStr">
        <is>
          <t>APPROVED</t>
        </is>
      </c>
      <c r="I400" s="12" t="inlineStr">
        <is>
          <t>New</t>
        </is>
      </c>
      <c r="J400" s="12" t="inlineStr">
        <is>
          <t>Source assignment -- not individually reviewed</t>
        </is>
      </c>
      <c r="K400" s="12" t="inlineStr"/>
      <c r="L400" s="12" t="inlineStr"/>
      <c r="M400" s="12" t="inlineStr"/>
      <c r="N400" s="17" t="inlineStr">
        <is>
          <t>10 EVIDENCE &amp; DECISIONS</t>
        </is>
      </c>
    </row>
    <row r="401" ht="34" customHeight="1">
      <c r="A401" s="12" t="inlineStr">
        <is>
          <t>Contractor Programme</t>
        </is>
      </c>
      <c r="B401" s="12" t="inlineStr">
        <is>
          <t>SCH-02-172</t>
        </is>
      </c>
      <c r="C401" s="12" t="inlineStr">
        <is>
          <t>Market Station: fire-life-safety cabling - turnover</t>
        </is>
      </c>
      <c r="D401" s="12" t="inlineStr">
        <is>
          <t>WBS Code = 1.2.1</t>
        </is>
      </c>
      <c r="E401" s="12" t="inlineStr">
        <is>
          <t>R352-v1</t>
        </is>
      </c>
      <c r="F401" s="12" t="inlineStr">
        <is>
          <t>1.2.1 Stations - Station Structures</t>
        </is>
      </c>
      <c r="G401" s="12" t="inlineStr">
        <is>
          <t>ONE_TO_ONE</t>
        </is>
      </c>
      <c r="H401" s="12" t="inlineStr">
        <is>
          <t>APPROVED</t>
        </is>
      </c>
      <c r="I401" s="12" t="inlineStr">
        <is>
          <t>New</t>
        </is>
      </c>
      <c r="J401" s="12" t="inlineStr">
        <is>
          <t>Source assignment -- not individually reviewed</t>
        </is>
      </c>
      <c r="K401" s="12" t="inlineStr"/>
      <c r="L401" s="12" t="inlineStr"/>
      <c r="M401" s="12" t="inlineStr"/>
      <c r="N401" s="17" t="inlineStr">
        <is>
          <t>10 EVIDENCE &amp; DECISIONS</t>
        </is>
      </c>
    </row>
    <row r="402" ht="34" customHeight="1">
      <c r="A402" s="12" t="inlineStr">
        <is>
          <t>Contractor Programme</t>
        </is>
      </c>
      <c r="B402" s="12" t="inlineStr">
        <is>
          <t>SCH-02-173</t>
        </is>
      </c>
      <c r="C402" s="12" t="inlineStr">
        <is>
          <t>Civic Station: concourse slab pour - release</t>
        </is>
      </c>
      <c r="D402" s="12" t="inlineStr">
        <is>
          <t>WBS Code = 1.2.1</t>
        </is>
      </c>
      <c r="E402" s="12" t="inlineStr">
        <is>
          <t>R353-v1</t>
        </is>
      </c>
      <c r="F402" s="12" t="inlineStr">
        <is>
          <t>1.2.1 Stations - Station Structures</t>
        </is>
      </c>
      <c r="G402" s="12" t="inlineStr">
        <is>
          <t>ONE_TO_ONE</t>
        </is>
      </c>
      <c r="H402" s="12" t="inlineStr">
        <is>
          <t>APPROVED</t>
        </is>
      </c>
      <c r="I402" s="12" t="inlineStr">
        <is>
          <t>New</t>
        </is>
      </c>
      <c r="J402" s="12" t="inlineStr">
        <is>
          <t>Source assignment -- not individually reviewed</t>
        </is>
      </c>
      <c r="K402" s="12" t="inlineStr"/>
      <c r="L402" s="12" t="inlineStr"/>
      <c r="M402" s="12" t="inlineStr"/>
      <c r="N402" s="17" t="inlineStr">
        <is>
          <t>10 EVIDENCE &amp; DECISIONS</t>
        </is>
      </c>
    </row>
    <row r="403" ht="34" customHeight="1">
      <c r="A403" s="12" t="inlineStr">
        <is>
          <t>Contractor Programme</t>
        </is>
      </c>
      <c r="B403" s="12" t="inlineStr">
        <is>
          <t>SCH-02-175</t>
        </is>
      </c>
      <c r="C403" s="12" t="inlineStr">
        <is>
          <t>West Terminal: public-realm paving - installation</t>
        </is>
      </c>
      <c r="D403" s="12" t="inlineStr">
        <is>
          <t>WBS Code = 1.2.1</t>
        </is>
      </c>
      <c r="E403" s="12" t="inlineStr">
        <is>
          <t>R355-v1</t>
        </is>
      </c>
      <c r="F403" s="12" t="inlineStr">
        <is>
          <t>1.2.1 Stations - Station Structures</t>
        </is>
      </c>
      <c r="G403" s="12" t="inlineStr">
        <is>
          <t>ONE_TO_ONE</t>
        </is>
      </c>
      <c r="H403" s="12" t="inlineStr">
        <is>
          <t>APPROVED</t>
        </is>
      </c>
      <c r="I403" s="12" t="inlineStr">
        <is>
          <t>New</t>
        </is>
      </c>
      <c r="J403" s="12" t="inlineStr">
        <is>
          <t>Source assignment -- not individually reviewed</t>
        </is>
      </c>
      <c r="K403" s="12" t="inlineStr"/>
      <c r="L403" s="12" t="inlineStr"/>
      <c r="M403" s="12" t="inlineStr"/>
      <c r="N403" s="17" t="inlineStr">
        <is>
          <t>10 EVIDENCE &amp; DECISIONS</t>
        </is>
      </c>
    </row>
    <row r="404" ht="34" customHeight="1">
      <c r="A404" s="12" t="inlineStr">
        <is>
          <t>Contractor Programme</t>
        </is>
      </c>
      <c r="B404" s="12" t="inlineStr">
        <is>
          <t>SCH-02-176</t>
        </is>
      </c>
      <c r="C404" s="12" t="inlineStr">
        <is>
          <t>Harbour Station: entrance steel erection - inspection</t>
        </is>
      </c>
      <c r="D404" s="12" t="inlineStr">
        <is>
          <t>WBS Code = 1.2.1</t>
        </is>
      </c>
      <c r="E404" s="12" t="inlineStr">
        <is>
          <t>R356-v1</t>
        </is>
      </c>
      <c r="F404" s="12" t="inlineStr">
        <is>
          <t>1.2.1 Stations - Station Structures</t>
        </is>
      </c>
      <c r="G404" s="12" t="inlineStr">
        <is>
          <t>ONE_TO_ONE</t>
        </is>
      </c>
      <c r="H404" s="12" t="inlineStr">
        <is>
          <t>APPROVED</t>
        </is>
      </c>
      <c r="I404" s="12" t="inlineStr">
        <is>
          <t>New</t>
        </is>
      </c>
      <c r="J404" s="12" t="inlineStr">
        <is>
          <t>Source assignment -- not individually reviewed</t>
        </is>
      </c>
      <c r="K404" s="12" t="inlineStr"/>
      <c r="L404" s="12" t="inlineStr"/>
      <c r="M404" s="12" t="inlineStr"/>
      <c r="N404" s="17" t="inlineStr">
        <is>
          <t>10 EVIDENCE &amp; DECISIONS</t>
        </is>
      </c>
    </row>
    <row r="405" ht="34" customHeight="1">
      <c r="A405" s="12" t="inlineStr">
        <is>
          <t>Contractor Programme</t>
        </is>
      </c>
      <c r="B405" s="12" t="inlineStr">
        <is>
          <t>SCH-02-178</t>
        </is>
      </c>
      <c r="C405" s="12" t="inlineStr">
        <is>
          <t>Civic Station: platform edge installation - release</t>
        </is>
      </c>
      <c r="D405" s="12" t="inlineStr">
        <is>
          <t>WBS Code = 1.2.1</t>
        </is>
      </c>
      <c r="E405" s="12" t="inlineStr">
        <is>
          <t>R358-v1</t>
        </is>
      </c>
      <c r="F405" s="12" t="inlineStr">
        <is>
          <t>1.2.1 Stations - Station Structures</t>
        </is>
      </c>
      <c r="G405" s="12" t="inlineStr">
        <is>
          <t>ONE_TO_ONE</t>
        </is>
      </c>
      <c r="H405" s="12" t="inlineStr">
        <is>
          <t>APPROVED</t>
        </is>
      </c>
      <c r="I405" s="12" t="inlineStr">
        <is>
          <t>New</t>
        </is>
      </c>
      <c r="J405" s="12" t="inlineStr">
        <is>
          <t>Source assignment -- not individually reviewed</t>
        </is>
      </c>
      <c r="K405" s="12" t="inlineStr"/>
      <c r="L405" s="12" t="inlineStr"/>
      <c r="M405" s="12" t="inlineStr"/>
      <c r="N405" s="17" t="inlineStr">
        <is>
          <t>10 EVIDENCE &amp; DECISIONS</t>
        </is>
      </c>
    </row>
    <row r="406" ht="34" customHeight="1">
      <c r="A406" s="12" t="inlineStr">
        <is>
          <t>Contractor Programme</t>
        </is>
      </c>
      <c r="B406" s="12" t="inlineStr">
        <is>
          <t>SCH-02-179</t>
        </is>
      </c>
      <c r="C406" s="12" t="inlineStr">
        <is>
          <t>University Station: architectural wall framing - field start</t>
        </is>
      </c>
      <c r="D406" s="12" t="inlineStr">
        <is>
          <t>WBS Code = 1.2.1</t>
        </is>
      </c>
      <c r="E406" s="12" t="inlineStr">
        <is>
          <t>R359-v1</t>
        </is>
      </c>
      <c r="F406" s="12" t="inlineStr">
        <is>
          <t>1.2.1 Stations - Station Structures</t>
        </is>
      </c>
      <c r="G406" s="12" t="inlineStr">
        <is>
          <t>ONE_TO_ONE</t>
        </is>
      </c>
      <c r="H406" s="12" t="inlineStr">
        <is>
          <t>APPROVED</t>
        </is>
      </c>
      <c r="I406" s="12" t="inlineStr">
        <is>
          <t>New</t>
        </is>
      </c>
      <c r="J406" s="12" t="inlineStr">
        <is>
          <t>Source assignment -- not individually reviewed</t>
        </is>
      </c>
      <c r="K406" s="12" t="inlineStr"/>
      <c r="L406" s="12" t="inlineStr"/>
      <c r="M406" s="12" t="inlineStr"/>
      <c r="N406" s="17" t="inlineStr">
        <is>
          <t>10 EVIDENCE &amp; DECISIONS</t>
        </is>
      </c>
    </row>
    <row r="407" ht="34" customHeight="1">
      <c r="A407" s="12" t="inlineStr">
        <is>
          <t>Cost &amp; Forecast Control Accounts</t>
        </is>
      </c>
      <c r="B407" s="12" t="inlineStr">
        <is>
          <t>CST-02-001</t>
        </is>
      </c>
      <c r="C407" s="12" t="inlineStr">
        <is>
          <t>Stations - public realm - allowance</t>
        </is>
      </c>
      <c r="D407" s="12" t="inlineStr">
        <is>
          <t>Cost Account = CA-2001; WBS Code = 1.2.1</t>
        </is>
      </c>
      <c r="E407" s="12" t="inlineStr">
        <is>
          <t>R1163-v1</t>
        </is>
      </c>
      <c r="F407" s="12" t="inlineStr">
        <is>
          <t>1.2.1 Stations - Station Structures</t>
        </is>
      </c>
      <c r="G407" s="12" t="inlineStr">
        <is>
          <t>ONE_TO_ONE</t>
        </is>
      </c>
      <c r="H407" s="12" t="inlineStr">
        <is>
          <t>APPROVED</t>
        </is>
      </c>
      <c r="I407" s="12" t="inlineStr">
        <is>
          <t>New</t>
        </is>
      </c>
      <c r="J407" s="12" t="inlineStr">
        <is>
          <t>Source assignment -- not individually reviewed</t>
        </is>
      </c>
      <c r="K407" s="12" t="inlineStr"/>
      <c r="L407" s="12" t="inlineStr"/>
      <c r="M407" s="12" t="inlineStr"/>
      <c r="N407" s="17" t="inlineStr">
        <is>
          <t>10 EVIDENCE &amp; DECISIONS</t>
        </is>
      </c>
      <c r="O407" s="105" t="n">
        <v>427500</v>
      </c>
      <c r="P407" s="105" t="n">
        <v>427500</v>
      </c>
      <c r="Q407" s="105" t="inlineStr">
        <is>
          <t>CAD</t>
        </is>
      </c>
      <c r="R407" s="105" t="n"/>
      <c r="S407" s="105" t="inlineStr">
        <is>
          <t>2027-06-30</t>
        </is>
      </c>
      <c r="T407" s="105" t="inlineStr">
        <is>
          <t>C1-R0</t>
        </is>
      </c>
      <c r="U407" s="105" t="inlineStr">
        <is>
          <t>Supplied practice file monthly_cost_forecast.xlsx, row 82</t>
        </is>
      </c>
      <c r="V407" s="105" t="inlineStr">
        <is>
          <t>Whole source account, not a target allocation. Repeated target rows must not be summed. Aggregate cost / forecast remains withheld.</t>
        </is>
      </c>
    </row>
    <row r="408" ht="34" customHeight="1">
      <c r="A408" s="12" t="inlineStr">
        <is>
          <t>Cost &amp; Forecast Control Accounts</t>
        </is>
      </c>
      <c r="B408" s="12" t="inlineStr">
        <is>
          <t>CST-02-003</t>
        </is>
      </c>
      <c r="C408" s="12" t="inlineStr">
        <is>
          <t>Stations - building services - field package</t>
        </is>
      </c>
      <c r="D408" s="12" t="inlineStr">
        <is>
          <t>Cost Account = CA-2003; WBS Code = 1.2.1</t>
        </is>
      </c>
      <c r="E408" s="12" t="inlineStr">
        <is>
          <t>R1165-v1</t>
        </is>
      </c>
      <c r="F408" s="12" t="inlineStr">
        <is>
          <t>1.2.1 Stations - Station Structures</t>
        </is>
      </c>
      <c r="G408" s="12" t="inlineStr">
        <is>
          <t>ONE_TO_ONE</t>
        </is>
      </c>
      <c r="H408" s="12" t="inlineStr">
        <is>
          <t>APPROVED</t>
        </is>
      </c>
      <c r="I408" s="12" t="inlineStr">
        <is>
          <t>New</t>
        </is>
      </c>
      <c r="J408" s="12" t="inlineStr">
        <is>
          <t>Source assignment -- not individually reviewed</t>
        </is>
      </c>
      <c r="K408" s="12" t="inlineStr"/>
      <c r="L408" s="12" t="inlineStr"/>
      <c r="M408" s="12" t="inlineStr"/>
      <c r="N408" s="17" t="inlineStr">
        <is>
          <t>10 EVIDENCE &amp; DECISIONS</t>
        </is>
      </c>
      <c r="O408" s="105" t="n">
        <v>462500</v>
      </c>
      <c r="P408" s="105" t="n">
        <v>487500</v>
      </c>
      <c r="Q408" s="105" t="inlineStr">
        <is>
          <t>CAD</t>
        </is>
      </c>
      <c r="R408" s="105" t="n"/>
      <c r="S408" s="105" t="inlineStr">
        <is>
          <t>2027-06-30</t>
        </is>
      </c>
      <c r="T408" s="105" t="inlineStr">
        <is>
          <t>C1-R0</t>
        </is>
      </c>
      <c r="U408" s="105" t="inlineStr">
        <is>
          <t>Supplied practice file monthly_cost_forecast.xlsx, row 84</t>
        </is>
      </c>
      <c r="V408" s="105" t="inlineStr">
        <is>
          <t>Whole source account, not a target allocation. Repeated target rows must not be summed. Aggregate cost / forecast remains withheld.</t>
        </is>
      </c>
    </row>
    <row r="409" ht="34" customHeight="1">
      <c r="A409" s="12" t="inlineStr">
        <is>
          <t>Cost &amp; Forecast Control Accounts</t>
        </is>
      </c>
      <c r="B409" s="12" t="inlineStr">
        <is>
          <t>CST-02-005</t>
        </is>
      </c>
      <c r="C409" s="12" t="inlineStr">
        <is>
          <t>Stations - station structure - professional services</t>
        </is>
      </c>
      <c r="D409" s="12" t="inlineStr">
        <is>
          <t>Cost Account = CA-2005; WBS Code = 1.2.1</t>
        </is>
      </c>
      <c r="E409" s="12" t="inlineStr">
        <is>
          <t>R1167-v1</t>
        </is>
      </c>
      <c r="F409" s="12" t="inlineStr">
        <is>
          <t>1.2.1 Stations - Station Structures</t>
        </is>
      </c>
      <c r="G409" s="12" t="inlineStr">
        <is>
          <t>ONE_TO_ONE</t>
        </is>
      </c>
      <c r="H409" s="12" t="inlineStr">
        <is>
          <t>APPROVED</t>
        </is>
      </c>
      <c r="I409" s="12" t="inlineStr">
        <is>
          <t>New</t>
        </is>
      </c>
      <c r="J409" s="12" t="inlineStr">
        <is>
          <t>Source assignment -- not individually reviewed</t>
        </is>
      </c>
      <c r="K409" s="12" t="inlineStr"/>
      <c r="L409" s="12" t="inlineStr"/>
      <c r="M409" s="12" t="inlineStr"/>
      <c r="N409" s="17" t="inlineStr">
        <is>
          <t>10 EVIDENCE &amp; DECISIONS</t>
        </is>
      </c>
      <c r="O409" s="105" t="n">
        <v>497500</v>
      </c>
      <c r="P409" s="105" t="n">
        <v>497500</v>
      </c>
      <c r="Q409" s="105" t="inlineStr">
        <is>
          <t>CAD</t>
        </is>
      </c>
      <c r="R409" s="105" t="n"/>
      <c r="S409" s="105" t="inlineStr">
        <is>
          <t>2027-06-30</t>
        </is>
      </c>
      <c r="T409" s="105" t="inlineStr">
        <is>
          <t>C1-R0</t>
        </is>
      </c>
      <c r="U409" s="105" t="inlineStr">
        <is>
          <t>Supplied practice file monthly_cost_forecast.xlsx, row 86</t>
        </is>
      </c>
      <c r="V409" s="105" t="inlineStr">
        <is>
          <t>Whole source account, not a target allocation. Repeated target rows must not be summed. Aggregate cost / forecast remains withheld.</t>
        </is>
      </c>
    </row>
    <row r="410" ht="34" customHeight="1">
      <c r="A410" s="12" t="inlineStr">
        <is>
          <t>Cost &amp; Forecast Control Accounts</t>
        </is>
      </c>
      <c r="B410" s="12" t="inlineStr">
        <is>
          <t>CST-02-007</t>
        </is>
      </c>
      <c r="C410" s="12" t="inlineStr">
        <is>
          <t>Stations - public realm - closeout</t>
        </is>
      </c>
      <c r="D410" s="12" t="inlineStr">
        <is>
          <t>Cost Account = CA-2007; WBS Code = 1.2.1</t>
        </is>
      </c>
      <c r="E410" s="12" t="inlineStr">
        <is>
          <t>R1169-v1</t>
        </is>
      </c>
      <c r="F410" s="12" t="inlineStr">
        <is>
          <t>1.2.1 Stations - Station Structures</t>
        </is>
      </c>
      <c r="G410" s="12" t="inlineStr">
        <is>
          <t>ONE_TO_ONE</t>
        </is>
      </c>
      <c r="H410" s="12" t="inlineStr">
        <is>
          <t>APPROVED</t>
        </is>
      </c>
      <c r="I410" s="12" t="inlineStr">
        <is>
          <t>New</t>
        </is>
      </c>
      <c r="J410" s="12" t="inlineStr">
        <is>
          <t>Source assignment -- not individually reviewed</t>
        </is>
      </c>
      <c r="K410" s="12" t="inlineStr"/>
      <c r="L410" s="12" t="inlineStr"/>
      <c r="M410" s="12" t="inlineStr"/>
      <c r="N410" s="17" t="inlineStr">
        <is>
          <t>10 EVIDENCE &amp; DECISIONS</t>
        </is>
      </c>
      <c r="O410" s="105" t="n">
        <v>532500</v>
      </c>
      <c r="P410" s="105" t="n">
        <v>557500</v>
      </c>
      <c r="Q410" s="105" t="inlineStr">
        <is>
          <t>CAD</t>
        </is>
      </c>
      <c r="R410" s="105" t="n"/>
      <c r="S410" s="105" t="inlineStr">
        <is>
          <t>2027-06-30</t>
        </is>
      </c>
      <c r="T410" s="105" t="inlineStr">
        <is>
          <t>C1-R0</t>
        </is>
      </c>
      <c r="U410" s="105" t="inlineStr">
        <is>
          <t>Supplied practice file monthly_cost_forecast.xlsx, row 88</t>
        </is>
      </c>
      <c r="V410" s="105" t="inlineStr">
        <is>
          <t>Whole source account, not a target allocation. Repeated target rows must not be summed. Aggregate cost / forecast remains withheld.</t>
        </is>
      </c>
    </row>
    <row r="411" ht="34" customHeight="1">
      <c r="A411" s="12" t="inlineStr">
        <is>
          <t>Cost &amp; Forecast Control Accounts</t>
        </is>
      </c>
      <c r="B411" s="12" t="inlineStr">
        <is>
          <t>CST-02-009</t>
        </is>
      </c>
      <c r="C411" s="12" t="inlineStr">
        <is>
          <t>Stations - building services - supply and install</t>
        </is>
      </c>
      <c r="D411" s="12" t="inlineStr">
        <is>
          <t>Cost Account = CA-2009; WBS Code = 1.2.1</t>
        </is>
      </c>
      <c r="E411" s="12" t="inlineStr">
        <is>
          <t>R1171-v1</t>
        </is>
      </c>
      <c r="F411" s="12" t="inlineStr">
        <is>
          <t>1.2.1 Stations - Station Structures</t>
        </is>
      </c>
      <c r="G411" s="12" t="inlineStr">
        <is>
          <t>ONE_TO_ONE</t>
        </is>
      </c>
      <c r="H411" s="12" t="inlineStr">
        <is>
          <t>APPROVED</t>
        </is>
      </c>
      <c r="I411" s="12" t="inlineStr">
        <is>
          <t>New</t>
        </is>
      </c>
      <c r="J411" s="12" t="inlineStr">
        <is>
          <t>Source assignment -- not individually reviewed</t>
        </is>
      </c>
      <c r="K411" s="12" t="inlineStr"/>
      <c r="L411" s="12" t="inlineStr"/>
      <c r="M411" s="12" t="inlineStr"/>
      <c r="N411" s="17" t="inlineStr">
        <is>
          <t>10 EVIDENCE &amp; DECISIONS</t>
        </is>
      </c>
      <c r="O411" s="105" t="n">
        <v>567500</v>
      </c>
      <c r="P411" s="105" t="n">
        <v>567500</v>
      </c>
      <c r="Q411" s="105" t="inlineStr">
        <is>
          <t>CAD</t>
        </is>
      </c>
      <c r="R411" s="105" t="n"/>
      <c r="S411" s="105" t="inlineStr">
        <is>
          <t>2027-06-30</t>
        </is>
      </c>
      <c r="T411" s="105" t="inlineStr">
        <is>
          <t>C1-R0</t>
        </is>
      </c>
      <c r="U411" s="105" t="inlineStr">
        <is>
          <t>Supplied practice file monthly_cost_forecast.xlsx, row 90</t>
        </is>
      </c>
      <c r="V411" s="105" t="inlineStr">
        <is>
          <t>Whole source account, not a target allocation. Repeated target rows must not be summed. Aggregate cost / forecast remains withheld.</t>
        </is>
      </c>
    </row>
    <row r="412" ht="34" customHeight="1">
      <c r="A412" s="12" t="inlineStr">
        <is>
          <t>Cost &amp; Forecast Control Accounts</t>
        </is>
      </c>
      <c r="B412" s="12" t="inlineStr">
        <is>
          <t>CST-02-011</t>
        </is>
      </c>
      <c r="C412" s="12" t="inlineStr">
        <is>
          <t>Stations - station structure - allowance</t>
        </is>
      </c>
      <c r="D412" s="12" t="inlineStr">
        <is>
          <t>Cost Account = CA-2011; WBS Code = 1.2.1</t>
        </is>
      </c>
      <c r="E412" s="12" t="inlineStr">
        <is>
          <t>R1173-v1</t>
        </is>
      </c>
      <c r="F412" s="12" t="inlineStr">
        <is>
          <t>1.2.1 Stations - Station Structures</t>
        </is>
      </c>
      <c r="G412" s="12" t="inlineStr">
        <is>
          <t>ONE_TO_ONE</t>
        </is>
      </c>
      <c r="H412" s="12" t="inlineStr">
        <is>
          <t>APPROVED</t>
        </is>
      </c>
      <c r="I412" s="12" t="inlineStr">
        <is>
          <t>New</t>
        </is>
      </c>
      <c r="J412" s="12" t="inlineStr">
        <is>
          <t>Source assignment -- not individually reviewed</t>
        </is>
      </c>
      <c r="K412" s="12" t="inlineStr"/>
      <c r="L412" s="12" t="inlineStr"/>
      <c r="M412" s="12" t="inlineStr"/>
      <c r="N412" s="17" t="inlineStr">
        <is>
          <t>10 EVIDENCE &amp; DECISIONS</t>
        </is>
      </c>
      <c r="O412" s="105" t="n">
        <v>602500</v>
      </c>
      <c r="P412" s="105" t="n">
        <v>627500</v>
      </c>
      <c r="Q412" s="105" t="inlineStr">
        <is>
          <t>CAD</t>
        </is>
      </c>
      <c r="R412" s="105" t="n"/>
      <c r="S412" s="105" t="inlineStr">
        <is>
          <t>2027-06-30</t>
        </is>
      </c>
      <c r="T412" s="105" t="inlineStr">
        <is>
          <t>C1-R0</t>
        </is>
      </c>
      <c r="U412" s="105" t="inlineStr">
        <is>
          <t>Supplied practice file monthly_cost_forecast.xlsx, row 92</t>
        </is>
      </c>
      <c r="V412" s="105" t="inlineStr">
        <is>
          <t>Whole source account, not a target allocation. Repeated target rows must not be summed. Aggregate cost / forecast remains withheld.</t>
        </is>
      </c>
    </row>
    <row r="413" ht="34" customHeight="1">
      <c r="A413" s="12" t="inlineStr">
        <is>
          <t>Cost &amp; Forecast Control Accounts</t>
        </is>
      </c>
      <c r="B413" s="12" t="inlineStr">
        <is>
          <t>CST-02-013</t>
        </is>
      </c>
      <c r="C413" s="12" t="inlineStr">
        <is>
          <t>Stations - public realm - field package</t>
        </is>
      </c>
      <c r="D413" s="12" t="inlineStr">
        <is>
          <t>Cost Account = CA-2013; WBS Code = 1.2.1</t>
        </is>
      </c>
      <c r="E413" s="12" t="inlineStr">
        <is>
          <t>R1175-v1</t>
        </is>
      </c>
      <c r="F413" s="12" t="inlineStr">
        <is>
          <t>1.2.1 Stations - Station Structures</t>
        </is>
      </c>
      <c r="G413" s="12" t="inlineStr">
        <is>
          <t>ONE_TO_ONE</t>
        </is>
      </c>
      <c r="H413" s="12" t="inlineStr">
        <is>
          <t>APPROVED</t>
        </is>
      </c>
      <c r="I413" s="12" t="inlineStr">
        <is>
          <t>New</t>
        </is>
      </c>
      <c r="J413" s="12" t="inlineStr">
        <is>
          <t>Source assignment -- not individually reviewed</t>
        </is>
      </c>
      <c r="K413" s="12" t="inlineStr"/>
      <c r="L413" s="12" t="inlineStr"/>
      <c r="M413" s="12" t="inlineStr"/>
      <c r="N413" s="17" t="inlineStr">
        <is>
          <t>10 EVIDENCE &amp; DECISIONS</t>
        </is>
      </c>
      <c r="O413" s="105" t="n">
        <v>637500</v>
      </c>
      <c r="P413" s="105" t="n">
        <v>637500</v>
      </c>
      <c r="Q413" s="105" t="inlineStr">
        <is>
          <t>CAD</t>
        </is>
      </c>
      <c r="R413" s="105" t="n"/>
      <c r="S413" s="105" t="inlineStr">
        <is>
          <t>2027-06-30</t>
        </is>
      </c>
      <c r="T413" s="105" t="inlineStr">
        <is>
          <t>C1-R0</t>
        </is>
      </c>
      <c r="U413" s="105" t="inlineStr">
        <is>
          <t>Supplied practice file monthly_cost_forecast.xlsx, row 94</t>
        </is>
      </c>
      <c r="V413" s="105" t="inlineStr">
        <is>
          <t>Whole source account, not a target allocation. Repeated target rows must not be summed. Aggregate cost / forecast remains withheld.</t>
        </is>
      </c>
    </row>
    <row r="414" ht="34" customHeight="1">
      <c r="A414" s="12" t="inlineStr">
        <is>
          <t>Cost &amp; Forecast Control Accounts</t>
        </is>
      </c>
      <c r="B414" s="12" t="inlineStr">
        <is>
          <t>CST-02-015</t>
        </is>
      </c>
      <c r="C414" s="12" t="inlineStr">
        <is>
          <t>Stations - building services - professional services</t>
        </is>
      </c>
      <c r="D414" s="12" t="inlineStr">
        <is>
          <t>Cost Account = CA-2015; WBS Code = 1.2.1</t>
        </is>
      </c>
      <c r="E414" s="12" t="inlineStr">
        <is>
          <t>R1177-v1</t>
        </is>
      </c>
      <c r="F414" s="12" t="inlineStr">
        <is>
          <t>1.2.1 Stations - Station Structures</t>
        </is>
      </c>
      <c r="G414" s="12" t="inlineStr">
        <is>
          <t>ONE_TO_ONE</t>
        </is>
      </c>
      <c r="H414" s="12" t="inlineStr">
        <is>
          <t>APPROVED</t>
        </is>
      </c>
      <c r="I414" s="12" t="inlineStr">
        <is>
          <t>New</t>
        </is>
      </c>
      <c r="J414" s="12" t="inlineStr">
        <is>
          <t>Source assignment -- not individually reviewed</t>
        </is>
      </c>
      <c r="K414" s="12" t="inlineStr"/>
      <c r="L414" s="12" t="inlineStr"/>
      <c r="M414" s="12" t="inlineStr"/>
      <c r="N414" s="17" t="inlineStr">
        <is>
          <t>10 EVIDENCE &amp; DECISIONS</t>
        </is>
      </c>
      <c r="O414" s="105" t="n">
        <v>672500</v>
      </c>
      <c r="P414" s="105" t="n">
        <v>697500</v>
      </c>
      <c r="Q414" s="105" t="inlineStr">
        <is>
          <t>CAD</t>
        </is>
      </c>
      <c r="R414" s="105" t="n"/>
      <c r="S414" s="105" t="inlineStr">
        <is>
          <t>2027-06-30</t>
        </is>
      </c>
      <c r="T414" s="105" t="inlineStr">
        <is>
          <t>C1-R0</t>
        </is>
      </c>
      <c r="U414" s="105" t="inlineStr">
        <is>
          <t>Supplied practice file monthly_cost_forecast.xlsx, row 96</t>
        </is>
      </c>
      <c r="V414" s="105" t="inlineStr">
        <is>
          <t>Whole source account, not a target allocation. Repeated target rows must not be summed. Aggregate cost / forecast remains withheld.</t>
        </is>
      </c>
    </row>
    <row r="415" ht="34" customHeight="1">
      <c r="A415" s="12" t="inlineStr">
        <is>
          <t>Cost &amp; Forecast Control Accounts</t>
        </is>
      </c>
      <c r="B415" s="12" t="inlineStr">
        <is>
          <t>CST-02-017</t>
        </is>
      </c>
      <c r="C415" s="12" t="inlineStr">
        <is>
          <t>Stations - station structure - closeout</t>
        </is>
      </c>
      <c r="D415" s="12" t="inlineStr">
        <is>
          <t>Cost Account = CA-2017; WBS Code = 1.2.1</t>
        </is>
      </c>
      <c r="E415" s="12" t="inlineStr">
        <is>
          <t>R1179-v1</t>
        </is>
      </c>
      <c r="F415" s="12" t="inlineStr">
        <is>
          <t>1.2.1 Stations - Station Structures</t>
        </is>
      </c>
      <c r="G415" s="12" t="inlineStr">
        <is>
          <t>ONE_TO_ONE</t>
        </is>
      </c>
      <c r="H415" s="12" t="inlineStr">
        <is>
          <t>APPROVED</t>
        </is>
      </c>
      <c r="I415" s="12" t="inlineStr">
        <is>
          <t>New</t>
        </is>
      </c>
      <c r="J415" s="12" t="inlineStr">
        <is>
          <t>Source assignment -- not individually reviewed</t>
        </is>
      </c>
      <c r="K415" s="12" t="inlineStr"/>
      <c r="L415" s="12" t="inlineStr"/>
      <c r="M415" s="12" t="inlineStr"/>
      <c r="N415" s="17" t="inlineStr">
        <is>
          <t>10 EVIDENCE &amp; DECISIONS</t>
        </is>
      </c>
      <c r="O415" s="105" t="n">
        <v>707500</v>
      </c>
      <c r="P415" s="105" t="n">
        <v>707500</v>
      </c>
      <c r="Q415" s="105" t="inlineStr">
        <is>
          <t>CAD</t>
        </is>
      </c>
      <c r="R415" s="105" t="n"/>
      <c r="S415" s="105" t="inlineStr">
        <is>
          <t>2027-06-30</t>
        </is>
      </c>
      <c r="T415" s="105" t="inlineStr">
        <is>
          <t>C1-R0</t>
        </is>
      </c>
      <c r="U415" s="105" t="inlineStr">
        <is>
          <t>Supplied practice file monthly_cost_forecast.xlsx, row 98</t>
        </is>
      </c>
      <c r="V415" s="105" t="inlineStr">
        <is>
          <t>Whole source account, not a target allocation. Repeated target rows must not be summed. Aggregate cost / forecast remains withheld.</t>
        </is>
      </c>
    </row>
    <row r="416" ht="34" customHeight="1">
      <c r="A416" s="12" t="inlineStr">
        <is>
          <t>Cost &amp; Forecast Control Accounts</t>
        </is>
      </c>
      <c r="B416" s="12" t="inlineStr">
        <is>
          <t>CST-02-019</t>
        </is>
      </c>
      <c r="C416" s="12" t="inlineStr">
        <is>
          <t>Stations - public realm - supply and install</t>
        </is>
      </c>
      <c r="D416" s="12" t="inlineStr">
        <is>
          <t>Cost Account = CA-2019; WBS Code = 1.2.1</t>
        </is>
      </c>
      <c r="E416" s="12" t="inlineStr">
        <is>
          <t>R1181-v1</t>
        </is>
      </c>
      <c r="F416" s="12" t="inlineStr">
        <is>
          <t>1.2.1 Stations - Station Structures</t>
        </is>
      </c>
      <c r="G416" s="12" t="inlineStr">
        <is>
          <t>ONE_TO_ONE</t>
        </is>
      </c>
      <c r="H416" s="12" t="inlineStr">
        <is>
          <t>APPROVED</t>
        </is>
      </c>
      <c r="I416" s="12" t="inlineStr">
        <is>
          <t>New</t>
        </is>
      </c>
      <c r="J416" s="12" t="inlineStr">
        <is>
          <t>Source assignment -- not individually reviewed</t>
        </is>
      </c>
      <c r="K416" s="12" t="inlineStr"/>
      <c r="L416" s="12" t="inlineStr"/>
      <c r="M416" s="12" t="inlineStr"/>
      <c r="N416" s="17" t="inlineStr">
        <is>
          <t>10 EVIDENCE &amp; DECISIONS</t>
        </is>
      </c>
      <c r="O416" s="105" t="n">
        <v>742500</v>
      </c>
      <c r="P416" s="105" t="n">
        <v>767500</v>
      </c>
      <c r="Q416" s="105" t="inlineStr">
        <is>
          <t>CAD</t>
        </is>
      </c>
      <c r="R416" s="105" t="n"/>
      <c r="S416" s="105" t="inlineStr">
        <is>
          <t>2027-06-30</t>
        </is>
      </c>
      <c r="T416" s="105" t="inlineStr">
        <is>
          <t>C1-R0</t>
        </is>
      </c>
      <c r="U416" s="105" t="inlineStr">
        <is>
          <t>Supplied practice file monthly_cost_forecast.xlsx, row 100</t>
        </is>
      </c>
      <c r="V416" s="105" t="inlineStr">
        <is>
          <t>Whole source account, not a target allocation. Repeated target rows must not be summed. Aggregate cost / forecast remains withheld.</t>
        </is>
      </c>
    </row>
    <row r="417" ht="34" customHeight="1">
      <c r="A417" s="12" t="inlineStr">
        <is>
          <t>Cost &amp; Forecast Control Accounts</t>
        </is>
      </c>
      <c r="B417" s="12" t="inlineStr">
        <is>
          <t>CST-02-021</t>
        </is>
      </c>
      <c r="C417" s="12" t="inlineStr">
        <is>
          <t>Stations - building services - allowance</t>
        </is>
      </c>
      <c r="D417" s="12" t="inlineStr">
        <is>
          <t>Cost Account = CA-2021; WBS Code = 1.2.1</t>
        </is>
      </c>
      <c r="E417" s="12" t="inlineStr">
        <is>
          <t>R1183-v1</t>
        </is>
      </c>
      <c r="F417" s="12" t="inlineStr">
        <is>
          <t>1.2.1 Stations - Station Structures</t>
        </is>
      </c>
      <c r="G417" s="12" t="inlineStr">
        <is>
          <t>ONE_TO_ONE</t>
        </is>
      </c>
      <c r="H417" s="12" t="inlineStr">
        <is>
          <t>APPROVED</t>
        </is>
      </c>
      <c r="I417" s="12" t="inlineStr">
        <is>
          <t>New</t>
        </is>
      </c>
      <c r="J417" s="12" t="inlineStr">
        <is>
          <t>Source assignment -- not individually reviewed</t>
        </is>
      </c>
      <c r="K417" s="12" t="inlineStr"/>
      <c r="L417" s="12" t="inlineStr"/>
      <c r="M417" s="12" t="inlineStr"/>
      <c r="N417" s="17" t="inlineStr">
        <is>
          <t>10 EVIDENCE &amp; DECISIONS</t>
        </is>
      </c>
      <c r="O417" s="105" t="n">
        <v>777500</v>
      </c>
      <c r="P417" s="105" t="n">
        <v>777500</v>
      </c>
      <c r="Q417" s="105" t="inlineStr">
        <is>
          <t>CAD</t>
        </is>
      </c>
      <c r="R417" s="105" t="n"/>
      <c r="S417" s="105" t="inlineStr">
        <is>
          <t>2027-06-30</t>
        </is>
      </c>
      <c r="T417" s="105" t="inlineStr">
        <is>
          <t>C1-R0</t>
        </is>
      </c>
      <c r="U417" s="105" t="inlineStr">
        <is>
          <t>Supplied practice file monthly_cost_forecast.xlsx, row 102</t>
        </is>
      </c>
      <c r="V417" s="105" t="inlineStr">
        <is>
          <t>Whole source account, not a target allocation. Repeated target rows must not be summed. Aggregate cost / forecast remains withheld.</t>
        </is>
      </c>
    </row>
    <row r="418" ht="34" customHeight="1">
      <c r="A418" s="12" t="inlineStr">
        <is>
          <t>Cost &amp; Forecast Control Accounts</t>
        </is>
      </c>
      <c r="B418" s="12" t="inlineStr">
        <is>
          <t>CST-02-023</t>
        </is>
      </c>
      <c r="C418" s="12" t="inlineStr">
        <is>
          <t>Stations - station structure - field package</t>
        </is>
      </c>
      <c r="D418" s="12" t="inlineStr">
        <is>
          <t>Cost Account = CA-2023; WBS Code = 1.2.1</t>
        </is>
      </c>
      <c r="E418" s="12" t="inlineStr">
        <is>
          <t>R1185-v1</t>
        </is>
      </c>
      <c r="F418" s="12" t="inlineStr">
        <is>
          <t>1.2.1 Stations - Station Structures</t>
        </is>
      </c>
      <c r="G418" s="12" t="inlineStr">
        <is>
          <t>ONE_TO_ONE</t>
        </is>
      </c>
      <c r="H418" s="12" t="inlineStr">
        <is>
          <t>APPROVED</t>
        </is>
      </c>
      <c r="I418" s="12" t="inlineStr">
        <is>
          <t>New</t>
        </is>
      </c>
      <c r="J418" s="12" t="inlineStr">
        <is>
          <t>Source assignment -- not individually reviewed</t>
        </is>
      </c>
      <c r="K418" s="12" t="inlineStr"/>
      <c r="L418" s="12" t="inlineStr"/>
      <c r="M418" s="12" t="inlineStr"/>
      <c r="N418" s="17" t="inlineStr">
        <is>
          <t>10 EVIDENCE &amp; DECISIONS</t>
        </is>
      </c>
      <c r="O418" s="105" t="n">
        <v>812500</v>
      </c>
      <c r="P418" s="105" t="n">
        <v>837500</v>
      </c>
      <c r="Q418" s="105" t="inlineStr">
        <is>
          <t>CAD</t>
        </is>
      </c>
      <c r="R418" s="105" t="n"/>
      <c r="S418" s="105" t="inlineStr">
        <is>
          <t>2027-06-30</t>
        </is>
      </c>
      <c r="T418" s="105" t="inlineStr">
        <is>
          <t>C1-R0</t>
        </is>
      </c>
      <c r="U418" s="105" t="inlineStr">
        <is>
          <t>Supplied practice file monthly_cost_forecast.xlsx, row 104</t>
        </is>
      </c>
      <c r="V418" s="105" t="inlineStr">
        <is>
          <t>Whole source account, not a target allocation. Repeated target rows must not be summed. Aggregate cost / forecast remains withheld.</t>
        </is>
      </c>
    </row>
    <row r="419" ht="34" customHeight="1">
      <c r="A419" s="12" t="inlineStr">
        <is>
          <t>Cost &amp; Forecast Control Accounts</t>
        </is>
      </c>
      <c r="B419" s="12" t="inlineStr">
        <is>
          <t>CST-02-025</t>
        </is>
      </c>
      <c r="C419" s="12" t="inlineStr">
        <is>
          <t>Stations - public realm - professional services</t>
        </is>
      </c>
      <c r="D419" s="12" t="inlineStr">
        <is>
          <t>Cost Account = CA-2025; WBS Code = 1.2.1</t>
        </is>
      </c>
      <c r="E419" s="12" t="inlineStr">
        <is>
          <t>R1187-v1</t>
        </is>
      </c>
      <c r="F419" s="12" t="inlineStr">
        <is>
          <t>1.2.1 Stations - Station Structures</t>
        </is>
      </c>
      <c r="G419" s="12" t="inlineStr">
        <is>
          <t>ONE_TO_ONE</t>
        </is>
      </c>
      <c r="H419" s="12" t="inlineStr">
        <is>
          <t>APPROVED</t>
        </is>
      </c>
      <c r="I419" s="12" t="inlineStr">
        <is>
          <t>New</t>
        </is>
      </c>
      <c r="J419" s="12" t="inlineStr">
        <is>
          <t>Source assignment -- not individually reviewed</t>
        </is>
      </c>
      <c r="K419" s="12" t="inlineStr"/>
      <c r="L419" s="12" t="inlineStr"/>
      <c r="M419" s="12" t="inlineStr"/>
      <c r="N419" s="17" t="inlineStr">
        <is>
          <t>10 EVIDENCE &amp; DECISIONS</t>
        </is>
      </c>
      <c r="O419" s="105" t="n">
        <v>847500</v>
      </c>
      <c r="P419" s="105" t="n">
        <v>847500</v>
      </c>
      <c r="Q419" s="105" t="inlineStr">
        <is>
          <t>CAD</t>
        </is>
      </c>
      <c r="R419" s="105" t="n"/>
      <c r="S419" s="105" t="inlineStr">
        <is>
          <t>2027-06-30</t>
        </is>
      </c>
      <c r="T419" s="105" t="inlineStr">
        <is>
          <t>C1-R0</t>
        </is>
      </c>
      <c r="U419" s="105" t="inlineStr">
        <is>
          <t>Supplied practice file monthly_cost_forecast.xlsx, row 106</t>
        </is>
      </c>
      <c r="V419" s="105" t="inlineStr">
        <is>
          <t>Whole source account, not a target allocation. Repeated target rows must not be summed. Aggregate cost / forecast remains withheld.</t>
        </is>
      </c>
    </row>
    <row r="420" ht="34" customHeight="1">
      <c r="A420" s="12" t="inlineStr">
        <is>
          <t>Cost &amp; Forecast Control Accounts</t>
        </is>
      </c>
      <c r="B420" s="12" t="inlineStr">
        <is>
          <t>CST-02-027</t>
        </is>
      </c>
      <c r="C420" s="12" t="inlineStr">
        <is>
          <t>Stations - building services - closeout</t>
        </is>
      </c>
      <c r="D420" s="12" t="inlineStr">
        <is>
          <t>Cost Account = CA-2027; WBS Code = 1.2.1</t>
        </is>
      </c>
      <c r="E420" s="12" t="inlineStr">
        <is>
          <t>R1189-v1</t>
        </is>
      </c>
      <c r="F420" s="12" t="inlineStr">
        <is>
          <t>1.2.1 Stations - Station Structures</t>
        </is>
      </c>
      <c r="G420" s="12" t="inlineStr">
        <is>
          <t>ONE_TO_ONE</t>
        </is>
      </c>
      <c r="H420" s="12" t="inlineStr">
        <is>
          <t>APPROVED</t>
        </is>
      </c>
      <c r="I420" s="12" t="inlineStr">
        <is>
          <t>New</t>
        </is>
      </c>
      <c r="J420" s="12" t="inlineStr">
        <is>
          <t>Source assignment -- not individually reviewed</t>
        </is>
      </c>
      <c r="K420" s="12" t="inlineStr"/>
      <c r="L420" s="12" t="inlineStr"/>
      <c r="M420" s="12" t="inlineStr"/>
      <c r="N420" s="17" t="inlineStr">
        <is>
          <t>10 EVIDENCE &amp; DECISIONS</t>
        </is>
      </c>
      <c r="O420" s="105" t="n">
        <v>882500</v>
      </c>
      <c r="P420" s="105" t="n">
        <v>907500</v>
      </c>
      <c r="Q420" s="105" t="inlineStr">
        <is>
          <t>CAD</t>
        </is>
      </c>
      <c r="R420" s="105" t="n"/>
      <c r="S420" s="105" t="inlineStr">
        <is>
          <t>2027-06-30</t>
        </is>
      </c>
      <c r="T420" s="105" t="inlineStr">
        <is>
          <t>C1-R0</t>
        </is>
      </c>
      <c r="U420" s="105" t="inlineStr">
        <is>
          <t>Supplied practice file monthly_cost_forecast.xlsx, row 108</t>
        </is>
      </c>
      <c r="V420" s="105" t="inlineStr">
        <is>
          <t>Whole source account, not a target allocation. Repeated target rows must not be summed. Aggregate cost / forecast remains withheld.</t>
        </is>
      </c>
    </row>
    <row r="421" ht="34" customHeight="1">
      <c r="A421" s="12" t="inlineStr">
        <is>
          <t>Cost &amp; Forecast Control Accounts</t>
        </is>
      </c>
      <c r="B421" s="12" t="inlineStr">
        <is>
          <t>CST-02-029</t>
        </is>
      </c>
      <c r="C421" s="12" t="inlineStr">
        <is>
          <t>Stations - station structure - supply and install</t>
        </is>
      </c>
      <c r="D421" s="12" t="inlineStr">
        <is>
          <t>Cost Account = CA-2029; WBS Code = 1.2.1</t>
        </is>
      </c>
      <c r="E421" s="12" t="inlineStr">
        <is>
          <t>R1191-v1</t>
        </is>
      </c>
      <c r="F421" s="12" t="inlineStr">
        <is>
          <t>1.2.1 Stations - Station Structures</t>
        </is>
      </c>
      <c r="G421" s="12" t="inlineStr">
        <is>
          <t>ONE_TO_ONE</t>
        </is>
      </c>
      <c r="H421" s="12" t="inlineStr">
        <is>
          <t>APPROVED</t>
        </is>
      </c>
      <c r="I421" s="12" t="inlineStr">
        <is>
          <t>New</t>
        </is>
      </c>
      <c r="J421" s="12" t="inlineStr">
        <is>
          <t>Source assignment -- not individually reviewed</t>
        </is>
      </c>
      <c r="K421" s="12" t="inlineStr"/>
      <c r="L421" s="12" t="inlineStr"/>
      <c r="M421" s="12" t="inlineStr"/>
      <c r="N421" s="17" t="inlineStr">
        <is>
          <t>10 EVIDENCE &amp; DECISIONS</t>
        </is>
      </c>
      <c r="O421" s="105" t="n">
        <v>917500</v>
      </c>
      <c r="P421" s="105" t="n">
        <v>917500</v>
      </c>
      <c r="Q421" s="105" t="inlineStr">
        <is>
          <t>CAD</t>
        </is>
      </c>
      <c r="R421" s="105" t="n"/>
      <c r="S421" s="105" t="inlineStr">
        <is>
          <t>2027-06-30</t>
        </is>
      </c>
      <c r="T421" s="105" t="inlineStr">
        <is>
          <t>C1-R0</t>
        </is>
      </c>
      <c r="U421" s="105" t="inlineStr">
        <is>
          <t>Supplied practice file monthly_cost_forecast.xlsx, row 110</t>
        </is>
      </c>
      <c r="V421" s="105" t="inlineStr">
        <is>
          <t>Whole source account, not a target allocation. Repeated target rows must not be summed. Aggregate cost / forecast remains withheld.</t>
        </is>
      </c>
    </row>
    <row r="422" ht="34" customHeight="1">
      <c r="A422" s="12" t="inlineStr">
        <is>
          <t>Cost &amp; Forecast Control Accounts</t>
        </is>
      </c>
      <c r="B422" s="12" t="inlineStr">
        <is>
          <t>CST-02-031</t>
        </is>
      </c>
      <c r="C422" s="12" t="inlineStr">
        <is>
          <t>Stations - public realm - allowance</t>
        </is>
      </c>
      <c r="D422" s="12" t="inlineStr">
        <is>
          <t>Cost Account = CA-2031; WBS Code = 1.2.1</t>
        </is>
      </c>
      <c r="E422" s="12" t="inlineStr">
        <is>
          <t>R1193-v1</t>
        </is>
      </c>
      <c r="F422" s="12" t="inlineStr">
        <is>
          <t>1.2.1 Stations - Station Structures</t>
        </is>
      </c>
      <c r="G422" s="12" t="inlineStr">
        <is>
          <t>ONE_TO_ONE</t>
        </is>
      </c>
      <c r="H422" s="12" t="inlineStr">
        <is>
          <t>APPROVED</t>
        </is>
      </c>
      <c r="I422" s="12" t="inlineStr">
        <is>
          <t>New</t>
        </is>
      </c>
      <c r="J422" s="12" t="inlineStr">
        <is>
          <t>Source assignment -- not individually reviewed</t>
        </is>
      </c>
      <c r="K422" s="12" t="inlineStr"/>
      <c r="L422" s="12" t="inlineStr"/>
      <c r="M422" s="12" t="inlineStr"/>
      <c r="N422" s="17" t="inlineStr">
        <is>
          <t>10 EVIDENCE &amp; DECISIONS</t>
        </is>
      </c>
      <c r="O422" s="105" t="n">
        <v>952500</v>
      </c>
      <c r="P422" s="105" t="n">
        <v>977500</v>
      </c>
      <c r="Q422" s="105" t="inlineStr">
        <is>
          <t>CAD</t>
        </is>
      </c>
      <c r="R422" s="105" t="n"/>
      <c r="S422" s="105" t="inlineStr">
        <is>
          <t>2027-06-30</t>
        </is>
      </c>
      <c r="T422" s="105" t="inlineStr">
        <is>
          <t>C1-R0</t>
        </is>
      </c>
      <c r="U422" s="105" t="inlineStr">
        <is>
          <t>Supplied practice file monthly_cost_forecast.xlsx, row 112</t>
        </is>
      </c>
      <c r="V422" s="105" t="inlineStr">
        <is>
          <t>Whole source account, not a target allocation. Repeated target rows must not be summed. Aggregate cost / forecast remains withheld.</t>
        </is>
      </c>
    </row>
    <row r="423" ht="34" customHeight="1">
      <c r="A423" s="12" t="inlineStr">
        <is>
          <t>Cost &amp; Forecast Control Accounts</t>
        </is>
      </c>
      <c r="B423" s="12" t="inlineStr">
        <is>
          <t>CST-02-033</t>
        </is>
      </c>
      <c r="C423" s="12" t="inlineStr">
        <is>
          <t>Stations - building services - field package</t>
        </is>
      </c>
      <c r="D423" s="12" t="inlineStr">
        <is>
          <t>Cost Account = CA-2033; WBS Code = 1.2.1</t>
        </is>
      </c>
      <c r="E423" s="12" t="inlineStr">
        <is>
          <t>R1195-v1</t>
        </is>
      </c>
      <c r="F423" s="12" t="inlineStr">
        <is>
          <t>1.2.1 Stations - Station Structures</t>
        </is>
      </c>
      <c r="G423" s="12" t="inlineStr">
        <is>
          <t>ONE_TO_ONE</t>
        </is>
      </c>
      <c r="H423" s="12" t="inlineStr">
        <is>
          <t>APPROVED</t>
        </is>
      </c>
      <c r="I423" s="12" t="inlineStr">
        <is>
          <t>New</t>
        </is>
      </c>
      <c r="J423" s="12" t="inlineStr">
        <is>
          <t>Source assignment -- not individually reviewed</t>
        </is>
      </c>
      <c r="K423" s="12" t="inlineStr"/>
      <c r="L423" s="12" t="inlineStr"/>
      <c r="M423" s="12" t="inlineStr"/>
      <c r="N423" s="17" t="inlineStr">
        <is>
          <t>10 EVIDENCE &amp; DECISIONS</t>
        </is>
      </c>
      <c r="O423" s="105" t="n">
        <v>987500</v>
      </c>
      <c r="P423" s="105" t="n">
        <v>987500</v>
      </c>
      <c r="Q423" s="105" t="inlineStr">
        <is>
          <t>CAD</t>
        </is>
      </c>
      <c r="R423" s="105" t="n"/>
      <c r="S423" s="105" t="inlineStr">
        <is>
          <t>2027-06-30</t>
        </is>
      </c>
      <c r="T423" s="105" t="inlineStr">
        <is>
          <t>C1-R0</t>
        </is>
      </c>
      <c r="U423" s="105" t="inlineStr">
        <is>
          <t>Supplied practice file monthly_cost_forecast.xlsx, row 114</t>
        </is>
      </c>
      <c r="V423" s="105" t="inlineStr">
        <is>
          <t>Whole source account, not a target allocation. Repeated target rows must not be summed. Aggregate cost / forecast remains withheld.</t>
        </is>
      </c>
    </row>
    <row r="424" ht="34" customHeight="1">
      <c r="A424" s="12" t="inlineStr">
        <is>
          <t>Cost &amp; Forecast Control Accounts</t>
        </is>
      </c>
      <c r="B424" s="12" t="inlineStr">
        <is>
          <t>CST-02-035</t>
        </is>
      </c>
      <c r="C424" s="12" t="inlineStr">
        <is>
          <t>Stations - station structure - professional services</t>
        </is>
      </c>
      <c r="D424" s="12" t="inlineStr">
        <is>
          <t>Cost Account = CA-2035; WBS Code = 1.2.1</t>
        </is>
      </c>
      <c r="E424" s="12" t="inlineStr">
        <is>
          <t>R1197-v1</t>
        </is>
      </c>
      <c r="F424" s="12" t="inlineStr">
        <is>
          <t>1.2.1 Stations - Station Structures</t>
        </is>
      </c>
      <c r="G424" s="12" t="inlineStr">
        <is>
          <t>ONE_TO_ONE</t>
        </is>
      </c>
      <c r="H424" s="12" t="inlineStr">
        <is>
          <t>APPROVED</t>
        </is>
      </c>
      <c r="I424" s="12" t="inlineStr">
        <is>
          <t>New</t>
        </is>
      </c>
      <c r="J424" s="12" t="inlineStr">
        <is>
          <t>Source assignment -- not individually reviewed</t>
        </is>
      </c>
      <c r="K424" s="12" t="inlineStr"/>
      <c r="L424" s="12" t="inlineStr"/>
      <c r="M424" s="12" t="inlineStr"/>
      <c r="N424" s="17" t="inlineStr">
        <is>
          <t>10 EVIDENCE &amp; DECISIONS</t>
        </is>
      </c>
      <c r="O424" s="105" t="n">
        <v>1022500</v>
      </c>
      <c r="P424" s="105" t="n">
        <v>1047500</v>
      </c>
      <c r="Q424" s="105" t="inlineStr">
        <is>
          <t>CAD</t>
        </is>
      </c>
      <c r="R424" s="105" t="n"/>
      <c r="S424" s="105" t="inlineStr">
        <is>
          <t>2027-06-30</t>
        </is>
      </c>
      <c r="T424" s="105" t="inlineStr">
        <is>
          <t>C1-R0</t>
        </is>
      </c>
      <c r="U424" s="105" t="inlineStr">
        <is>
          <t>Supplied practice file monthly_cost_forecast.xlsx, row 116</t>
        </is>
      </c>
      <c r="V424" s="105" t="inlineStr">
        <is>
          <t>Whole source account, not a target allocation. Repeated target rows must not be summed. Aggregate cost / forecast remains withheld.</t>
        </is>
      </c>
    </row>
    <row r="425" ht="34" customHeight="1">
      <c r="A425" s="12" t="inlineStr">
        <is>
          <t>Cost &amp; Forecast Control Accounts</t>
        </is>
      </c>
      <c r="B425" s="12" t="inlineStr">
        <is>
          <t>CST-02-037</t>
        </is>
      </c>
      <c r="C425" s="12" t="inlineStr">
        <is>
          <t>Stations - public realm - closeout</t>
        </is>
      </c>
      <c r="D425" s="12" t="inlineStr">
        <is>
          <t>Cost Account = CA-2037; WBS Code = 1.2.1</t>
        </is>
      </c>
      <c r="E425" s="12" t="inlineStr">
        <is>
          <t>R1199-v1</t>
        </is>
      </c>
      <c r="F425" s="12" t="inlineStr">
        <is>
          <t>1.2.1 Stations - Station Structures</t>
        </is>
      </c>
      <c r="G425" s="12" t="inlineStr">
        <is>
          <t>ONE_TO_ONE</t>
        </is>
      </c>
      <c r="H425" s="12" t="inlineStr">
        <is>
          <t>APPROVED</t>
        </is>
      </c>
      <c r="I425" s="12" t="inlineStr">
        <is>
          <t>New</t>
        </is>
      </c>
      <c r="J425" s="12" t="inlineStr">
        <is>
          <t>Source assignment -- not individually reviewed</t>
        </is>
      </c>
      <c r="K425" s="12" t="inlineStr"/>
      <c r="L425" s="12" t="inlineStr"/>
      <c r="M425" s="12" t="inlineStr"/>
      <c r="N425" s="17" t="inlineStr">
        <is>
          <t>10 EVIDENCE &amp; DECISIONS</t>
        </is>
      </c>
      <c r="O425" s="105" t="n">
        <v>1057500</v>
      </c>
      <c r="P425" s="105" t="n">
        <v>1057500</v>
      </c>
      <c r="Q425" s="105" t="inlineStr">
        <is>
          <t>CAD</t>
        </is>
      </c>
      <c r="R425" s="105" t="n"/>
      <c r="S425" s="105" t="inlineStr">
        <is>
          <t>2027-06-30</t>
        </is>
      </c>
      <c r="T425" s="105" t="inlineStr">
        <is>
          <t>C1-R0</t>
        </is>
      </c>
      <c r="U425" s="105" t="inlineStr">
        <is>
          <t>Supplied practice file monthly_cost_forecast.xlsx, row 118</t>
        </is>
      </c>
      <c r="V425" s="105" t="inlineStr">
        <is>
          <t>Whole source account, not a target allocation. Repeated target rows must not be summed. Aggregate cost / forecast remains withheld.</t>
        </is>
      </c>
    </row>
    <row r="426" ht="34" customHeight="1">
      <c r="A426" s="12" t="inlineStr">
        <is>
          <t>Cost &amp; Forecast Control Accounts</t>
        </is>
      </c>
      <c r="B426" s="12" t="inlineStr">
        <is>
          <t>CST-02-039</t>
        </is>
      </c>
      <c r="C426" s="12" t="inlineStr">
        <is>
          <t>Stations - building services - supply and install</t>
        </is>
      </c>
      <c r="D426" s="12" t="inlineStr">
        <is>
          <t>Cost Account = CA-2039; WBS Code = 1.2.1</t>
        </is>
      </c>
      <c r="E426" s="12" t="inlineStr">
        <is>
          <t>R1201-v1</t>
        </is>
      </c>
      <c r="F426" s="12" t="inlineStr">
        <is>
          <t>1.2.1 Stations - Station Structures</t>
        </is>
      </c>
      <c r="G426" s="12" t="inlineStr">
        <is>
          <t>ONE_TO_ONE</t>
        </is>
      </c>
      <c r="H426" s="12" t="inlineStr">
        <is>
          <t>APPROVED</t>
        </is>
      </c>
      <c r="I426" s="12" t="inlineStr">
        <is>
          <t>New</t>
        </is>
      </c>
      <c r="J426" s="12" t="inlineStr">
        <is>
          <t>Source assignment -- not individually reviewed</t>
        </is>
      </c>
      <c r="K426" s="12" t="inlineStr"/>
      <c r="L426" s="12" t="inlineStr"/>
      <c r="M426" s="12" t="inlineStr"/>
      <c r="N426" s="17" t="inlineStr">
        <is>
          <t>10 EVIDENCE &amp; DECISIONS</t>
        </is>
      </c>
      <c r="O426" s="105" t="n">
        <v>1092500</v>
      </c>
      <c r="P426" s="105" t="n">
        <v>1117500</v>
      </c>
      <c r="Q426" s="105" t="inlineStr">
        <is>
          <t>CAD</t>
        </is>
      </c>
      <c r="R426" s="105" t="n"/>
      <c r="S426" s="105" t="inlineStr">
        <is>
          <t>2027-06-30</t>
        </is>
      </c>
      <c r="T426" s="105" t="inlineStr">
        <is>
          <t>C1-R0</t>
        </is>
      </c>
      <c r="U426" s="105" t="inlineStr">
        <is>
          <t>Supplied practice file monthly_cost_forecast.xlsx, row 120</t>
        </is>
      </c>
      <c r="V426" s="105" t="inlineStr">
        <is>
          <t>Whole source account, not a target allocation. Repeated target rows must not be summed. Aggregate cost / forecast remains withheld.</t>
        </is>
      </c>
    </row>
    <row r="427" ht="34" customHeight="1">
      <c r="A427" s="12" t="inlineStr">
        <is>
          <t>Cost &amp; Forecast Control Accounts</t>
        </is>
      </c>
      <c r="B427" s="12" t="inlineStr">
        <is>
          <t>CST-02-041</t>
        </is>
      </c>
      <c r="C427" s="12" t="inlineStr">
        <is>
          <t>Stations - station structure - allowance</t>
        </is>
      </c>
      <c r="D427" s="12" t="inlineStr">
        <is>
          <t>Cost Account = CA-2041; WBS Code = 1.2.1</t>
        </is>
      </c>
      <c r="E427" s="12" t="inlineStr">
        <is>
          <t>R1203-v1</t>
        </is>
      </c>
      <c r="F427" s="12" t="inlineStr">
        <is>
          <t>1.2.1 Stations - Station Structures</t>
        </is>
      </c>
      <c r="G427" s="12" t="inlineStr">
        <is>
          <t>ONE_TO_ONE</t>
        </is>
      </c>
      <c r="H427" s="12" t="inlineStr">
        <is>
          <t>APPROVED</t>
        </is>
      </c>
      <c r="I427" s="12" t="inlineStr">
        <is>
          <t>New</t>
        </is>
      </c>
      <c r="J427" s="12" t="inlineStr">
        <is>
          <t>Source assignment -- not individually reviewed</t>
        </is>
      </c>
      <c r="K427" s="12" t="inlineStr"/>
      <c r="L427" s="12" t="inlineStr"/>
      <c r="M427" s="12" t="inlineStr"/>
      <c r="N427" s="17" t="inlineStr">
        <is>
          <t>10 EVIDENCE &amp; DECISIONS</t>
        </is>
      </c>
      <c r="O427" s="105" t="n">
        <v>1127500</v>
      </c>
      <c r="P427" s="105" t="n">
        <v>1127500</v>
      </c>
      <c r="Q427" s="105" t="inlineStr">
        <is>
          <t>CAD</t>
        </is>
      </c>
      <c r="R427" s="105" t="n"/>
      <c r="S427" s="105" t="inlineStr">
        <is>
          <t>2027-06-30</t>
        </is>
      </c>
      <c r="T427" s="105" t="inlineStr">
        <is>
          <t>C1-R0</t>
        </is>
      </c>
      <c r="U427" s="105" t="inlineStr">
        <is>
          <t>Supplied practice file monthly_cost_forecast.xlsx, row 122</t>
        </is>
      </c>
      <c r="V427" s="105" t="inlineStr">
        <is>
          <t>Whole source account, not a target allocation. Repeated target rows must not be summed. Aggregate cost / forecast remains withheld.</t>
        </is>
      </c>
    </row>
    <row r="428" ht="34" customHeight="1">
      <c r="A428" s="12" t="inlineStr">
        <is>
          <t>Cost &amp; Forecast Control Accounts</t>
        </is>
      </c>
      <c r="B428" s="12" t="inlineStr">
        <is>
          <t>CST-02-043</t>
        </is>
      </c>
      <c r="C428" s="12" t="inlineStr">
        <is>
          <t>Stations - public realm - field package</t>
        </is>
      </c>
      <c r="D428" s="12" t="inlineStr">
        <is>
          <t>Cost Account = CA-2043; WBS Code = 1.2.1</t>
        </is>
      </c>
      <c r="E428" s="12" t="inlineStr">
        <is>
          <t>R1205-v1</t>
        </is>
      </c>
      <c r="F428" s="12" t="inlineStr">
        <is>
          <t>1.2.1 Stations - Station Structures</t>
        </is>
      </c>
      <c r="G428" s="12" t="inlineStr">
        <is>
          <t>ONE_TO_ONE</t>
        </is>
      </c>
      <c r="H428" s="12" t="inlineStr">
        <is>
          <t>APPROVED</t>
        </is>
      </c>
      <c r="I428" s="12" t="inlineStr">
        <is>
          <t>New</t>
        </is>
      </c>
      <c r="J428" s="12" t="inlineStr">
        <is>
          <t>Source assignment -- not individually reviewed</t>
        </is>
      </c>
      <c r="K428" s="12" t="inlineStr"/>
      <c r="L428" s="12" t="inlineStr"/>
      <c r="M428" s="12" t="inlineStr"/>
      <c r="N428" s="17" t="inlineStr">
        <is>
          <t>10 EVIDENCE &amp; DECISIONS</t>
        </is>
      </c>
      <c r="O428" s="105" t="n">
        <v>1162500</v>
      </c>
      <c r="P428" s="105" t="n">
        <v>1187500</v>
      </c>
      <c r="Q428" s="105" t="inlineStr">
        <is>
          <t>CAD</t>
        </is>
      </c>
      <c r="R428" s="105" t="n"/>
      <c r="S428" s="105" t="inlineStr">
        <is>
          <t>2027-06-30</t>
        </is>
      </c>
      <c r="T428" s="105" t="inlineStr">
        <is>
          <t>C1-R0</t>
        </is>
      </c>
      <c r="U428" s="105" t="inlineStr">
        <is>
          <t>Supplied practice file monthly_cost_forecast.xlsx, row 124</t>
        </is>
      </c>
      <c r="V428" s="105" t="inlineStr">
        <is>
          <t>Whole source account, not a target allocation. Repeated target rows must not be summed. Aggregate cost / forecast remains withheld.</t>
        </is>
      </c>
    </row>
    <row r="429" ht="34" customHeight="1">
      <c r="A429" s="12" t="inlineStr">
        <is>
          <t>Cost &amp; Forecast Control Accounts</t>
        </is>
      </c>
      <c r="B429" s="12" t="inlineStr">
        <is>
          <t>CST-02-045</t>
        </is>
      </c>
      <c r="C429" s="12" t="inlineStr">
        <is>
          <t>Stations - building services - professional services</t>
        </is>
      </c>
      <c r="D429" s="12" t="inlineStr">
        <is>
          <t>Cost Account = CA-2045; WBS Code = 1.2.1</t>
        </is>
      </c>
      <c r="E429" s="12" t="inlineStr">
        <is>
          <t>R1207-v1</t>
        </is>
      </c>
      <c r="F429" s="12" t="inlineStr">
        <is>
          <t>1.2.1 Stations - Station Structures</t>
        </is>
      </c>
      <c r="G429" s="12" t="inlineStr">
        <is>
          <t>ONE_TO_ONE</t>
        </is>
      </c>
      <c r="H429" s="12" t="inlineStr">
        <is>
          <t>APPROVED</t>
        </is>
      </c>
      <c r="I429" s="12" t="inlineStr">
        <is>
          <t>New</t>
        </is>
      </c>
      <c r="J429" s="12" t="inlineStr">
        <is>
          <t>Source assignment -- not individually reviewed</t>
        </is>
      </c>
      <c r="K429" s="12" t="inlineStr"/>
      <c r="L429" s="12" t="inlineStr"/>
      <c r="M429" s="12" t="inlineStr"/>
      <c r="N429" s="17" t="inlineStr">
        <is>
          <t>10 EVIDENCE &amp; DECISIONS</t>
        </is>
      </c>
      <c r="O429" s="105" t="n">
        <v>1197500</v>
      </c>
      <c r="P429" s="105" t="n">
        <v>1197500</v>
      </c>
      <c r="Q429" s="105" t="inlineStr">
        <is>
          <t>CAD</t>
        </is>
      </c>
      <c r="R429" s="105" t="n"/>
      <c r="S429" s="105" t="inlineStr">
        <is>
          <t>2027-06-30</t>
        </is>
      </c>
      <c r="T429" s="105" t="inlineStr">
        <is>
          <t>C1-R0</t>
        </is>
      </c>
      <c r="U429" s="105" t="inlineStr">
        <is>
          <t>Supplied practice file monthly_cost_forecast.xlsx, row 126</t>
        </is>
      </c>
      <c r="V429" s="105" t="inlineStr">
        <is>
          <t>Whole source account, not a target allocation. Repeated target rows must not be summed. Aggregate cost / forecast remains withheld.</t>
        </is>
      </c>
    </row>
    <row r="430" ht="34" customHeight="1">
      <c r="A430" s="12" t="inlineStr">
        <is>
          <t>Cost &amp; Forecast Control Accounts</t>
        </is>
      </c>
      <c r="B430" s="12" t="inlineStr">
        <is>
          <t>CST-02-047</t>
        </is>
      </c>
      <c r="C430" s="12" t="inlineStr">
        <is>
          <t>Stations - station structure - closeout</t>
        </is>
      </c>
      <c r="D430" s="12" t="inlineStr">
        <is>
          <t>Cost Account = CA-2047; WBS Code = 1.2.1</t>
        </is>
      </c>
      <c r="E430" s="12" t="inlineStr">
        <is>
          <t>R1209-v1</t>
        </is>
      </c>
      <c r="F430" s="12" t="inlineStr">
        <is>
          <t>1.2.1 Stations - Station Structures</t>
        </is>
      </c>
      <c r="G430" s="12" t="inlineStr">
        <is>
          <t>ONE_TO_ONE</t>
        </is>
      </c>
      <c r="H430" s="12" t="inlineStr">
        <is>
          <t>APPROVED</t>
        </is>
      </c>
      <c r="I430" s="12" t="inlineStr">
        <is>
          <t>New</t>
        </is>
      </c>
      <c r="J430" s="12" t="inlineStr">
        <is>
          <t>Source assignment -- not individually reviewed</t>
        </is>
      </c>
      <c r="K430" s="12" t="inlineStr"/>
      <c r="L430" s="12" t="inlineStr"/>
      <c r="M430" s="12" t="inlineStr"/>
      <c r="N430" s="17" t="inlineStr">
        <is>
          <t>10 EVIDENCE &amp; DECISIONS</t>
        </is>
      </c>
      <c r="O430" s="105" t="n">
        <v>1232500</v>
      </c>
      <c r="P430" s="105" t="n">
        <v>1257500</v>
      </c>
      <c r="Q430" s="105" t="inlineStr">
        <is>
          <t>CAD</t>
        </is>
      </c>
      <c r="R430" s="105" t="n"/>
      <c r="S430" s="105" t="inlineStr">
        <is>
          <t>2027-06-30</t>
        </is>
      </c>
      <c r="T430" s="105" t="inlineStr">
        <is>
          <t>C1-R0</t>
        </is>
      </c>
      <c r="U430" s="105" t="inlineStr">
        <is>
          <t>Supplied practice file monthly_cost_forecast.xlsx, row 128</t>
        </is>
      </c>
      <c r="V430" s="105" t="inlineStr">
        <is>
          <t>Whole source account, not a target allocation. Repeated target rows must not be summed. Aggregate cost / forecast remains withheld.</t>
        </is>
      </c>
    </row>
    <row r="431" ht="34" customHeight="1">
      <c r="A431" s="12" t="inlineStr">
        <is>
          <t>Cost &amp; Forecast Control Accounts</t>
        </is>
      </c>
      <c r="B431" s="12" t="inlineStr">
        <is>
          <t>CST-02-049</t>
        </is>
      </c>
      <c r="C431" s="12" t="inlineStr">
        <is>
          <t>Stations - public realm - supply and install</t>
        </is>
      </c>
      <c r="D431" s="12" t="inlineStr">
        <is>
          <t>Cost Account = CA-2049; WBS Code = 1.2.1</t>
        </is>
      </c>
      <c r="E431" s="12" t="inlineStr">
        <is>
          <t>R1211-v1</t>
        </is>
      </c>
      <c r="F431" s="12" t="inlineStr">
        <is>
          <t>1.2.1 Stations - Station Structures</t>
        </is>
      </c>
      <c r="G431" s="12" t="inlineStr">
        <is>
          <t>ONE_TO_ONE</t>
        </is>
      </c>
      <c r="H431" s="12" t="inlineStr">
        <is>
          <t>APPROVED</t>
        </is>
      </c>
      <c r="I431" s="12" t="inlineStr">
        <is>
          <t>New</t>
        </is>
      </c>
      <c r="J431" s="12" t="inlineStr">
        <is>
          <t>Source assignment -- not individually reviewed</t>
        </is>
      </c>
      <c r="K431" s="12" t="inlineStr"/>
      <c r="L431" s="12" t="inlineStr"/>
      <c r="M431" s="12" t="inlineStr"/>
      <c r="N431" s="17" t="inlineStr">
        <is>
          <t>10 EVIDENCE &amp; DECISIONS</t>
        </is>
      </c>
      <c r="O431" s="105" t="n">
        <v>1267500</v>
      </c>
      <c r="P431" s="105" t="n">
        <v>1267500</v>
      </c>
      <c r="Q431" s="105" t="inlineStr">
        <is>
          <t>CAD</t>
        </is>
      </c>
      <c r="R431" s="105" t="n"/>
      <c r="S431" s="105" t="inlineStr">
        <is>
          <t>2027-06-30</t>
        </is>
      </c>
      <c r="T431" s="105" t="inlineStr">
        <is>
          <t>C1-R0</t>
        </is>
      </c>
      <c r="U431" s="105" t="inlineStr">
        <is>
          <t>Supplied practice file monthly_cost_forecast.xlsx, row 130</t>
        </is>
      </c>
      <c r="V431" s="105" t="inlineStr">
        <is>
          <t>Whole source account, not a target allocation. Repeated target rows must not be summed. Aggregate cost / forecast remains withheld.</t>
        </is>
      </c>
    </row>
    <row r="432" ht="34" customHeight="1">
      <c r="A432" s="12" t="inlineStr">
        <is>
          <t>Cost &amp; Forecast Control Accounts</t>
        </is>
      </c>
      <c r="B432" s="12" t="inlineStr">
        <is>
          <t>CST-02-051</t>
        </is>
      </c>
      <c r="C432" s="12" t="inlineStr">
        <is>
          <t>Stations - building services - allowance</t>
        </is>
      </c>
      <c r="D432" s="12" t="inlineStr">
        <is>
          <t>Cost Account = CA-2051; WBS Code = 1.2.1</t>
        </is>
      </c>
      <c r="E432" s="12" t="inlineStr">
        <is>
          <t>R1213-v1</t>
        </is>
      </c>
      <c r="F432" s="12" t="inlineStr">
        <is>
          <t>1.2.1 Stations - Station Structures</t>
        </is>
      </c>
      <c r="G432" s="12" t="inlineStr">
        <is>
          <t>ONE_TO_ONE</t>
        </is>
      </c>
      <c r="H432" s="12" t="inlineStr">
        <is>
          <t>APPROVED</t>
        </is>
      </c>
      <c r="I432" s="12" t="inlineStr">
        <is>
          <t>New</t>
        </is>
      </c>
      <c r="J432" s="12" t="inlineStr">
        <is>
          <t>Source assignment -- not individually reviewed</t>
        </is>
      </c>
      <c r="K432" s="12" t="inlineStr"/>
      <c r="L432" s="12" t="inlineStr"/>
      <c r="M432" s="12" t="inlineStr"/>
      <c r="N432" s="17" t="inlineStr">
        <is>
          <t>10 EVIDENCE &amp; DECISIONS</t>
        </is>
      </c>
      <c r="O432" s="105" t="n">
        <v>1302500</v>
      </c>
      <c r="P432" s="105" t="n">
        <v>1327500</v>
      </c>
      <c r="Q432" s="105" t="inlineStr">
        <is>
          <t>CAD</t>
        </is>
      </c>
      <c r="R432" s="105" t="n"/>
      <c r="S432" s="105" t="inlineStr">
        <is>
          <t>2027-06-30</t>
        </is>
      </c>
      <c r="T432" s="105" t="inlineStr">
        <is>
          <t>C1-R0</t>
        </is>
      </c>
      <c r="U432" s="105" t="inlineStr">
        <is>
          <t>Supplied practice file monthly_cost_forecast.xlsx, row 132</t>
        </is>
      </c>
      <c r="V432" s="105" t="inlineStr">
        <is>
          <t>Whole source account, not a target allocation. Repeated target rows must not be summed. Aggregate cost / forecast remains withheld.</t>
        </is>
      </c>
    </row>
    <row r="433" ht="34" customHeight="1">
      <c r="A433" s="12" t="inlineStr">
        <is>
          <t>Cost &amp; Forecast Control Accounts</t>
        </is>
      </c>
      <c r="B433" s="12" t="inlineStr">
        <is>
          <t>CST-02-053</t>
        </is>
      </c>
      <c r="C433" s="12" t="inlineStr">
        <is>
          <t>Stations - station structure - field package</t>
        </is>
      </c>
      <c r="D433" s="12" t="inlineStr">
        <is>
          <t>Cost Account = CA-2053; WBS Code = 1.2.1</t>
        </is>
      </c>
      <c r="E433" s="12" t="inlineStr">
        <is>
          <t>R1215-v1</t>
        </is>
      </c>
      <c r="F433" s="12" t="inlineStr">
        <is>
          <t>1.2.1 Stations - Station Structures</t>
        </is>
      </c>
      <c r="G433" s="12" t="inlineStr">
        <is>
          <t>ONE_TO_ONE</t>
        </is>
      </c>
      <c r="H433" s="12" t="inlineStr">
        <is>
          <t>APPROVED</t>
        </is>
      </c>
      <c r="I433" s="12" t="inlineStr">
        <is>
          <t>New</t>
        </is>
      </c>
      <c r="J433" s="12" t="inlineStr">
        <is>
          <t>Source assignment -- not individually reviewed</t>
        </is>
      </c>
      <c r="K433" s="12" t="inlineStr"/>
      <c r="L433" s="12" t="inlineStr"/>
      <c r="M433" s="12" t="inlineStr"/>
      <c r="N433" s="17" t="inlineStr">
        <is>
          <t>10 EVIDENCE &amp; DECISIONS</t>
        </is>
      </c>
      <c r="O433" s="105" t="n">
        <v>1337500</v>
      </c>
      <c r="P433" s="105" t="n">
        <v>1337500</v>
      </c>
      <c r="Q433" s="105" t="inlineStr">
        <is>
          <t>CAD</t>
        </is>
      </c>
      <c r="R433" s="105" t="n"/>
      <c r="S433" s="105" t="inlineStr">
        <is>
          <t>2027-06-30</t>
        </is>
      </c>
      <c r="T433" s="105" t="inlineStr">
        <is>
          <t>C1-R0</t>
        </is>
      </c>
      <c r="U433" s="105" t="inlineStr">
        <is>
          <t>Supplied practice file monthly_cost_forecast.xlsx, row 134</t>
        </is>
      </c>
      <c r="V433" s="105" t="inlineStr">
        <is>
          <t>Whole source account, not a target allocation. Repeated target rows must not be summed. Aggregate cost / forecast remains withheld.</t>
        </is>
      </c>
    </row>
    <row r="434" ht="34" customHeight="1">
      <c r="A434" s="12" t="inlineStr">
        <is>
          <t>Cost &amp; Forecast Control Accounts</t>
        </is>
      </c>
      <c r="B434" s="12" t="inlineStr">
        <is>
          <t>CST-02-055</t>
        </is>
      </c>
      <c r="C434" s="12" t="inlineStr">
        <is>
          <t>Stations - public realm - professional services</t>
        </is>
      </c>
      <c r="D434" s="12" t="inlineStr">
        <is>
          <t>Cost Account = CA-2055; WBS Code = 1.2.1</t>
        </is>
      </c>
      <c r="E434" s="12" t="inlineStr">
        <is>
          <t>R1217-v1</t>
        </is>
      </c>
      <c r="F434" s="12" t="inlineStr">
        <is>
          <t>1.2.1 Stations - Station Structures</t>
        </is>
      </c>
      <c r="G434" s="12" t="inlineStr">
        <is>
          <t>ONE_TO_ONE</t>
        </is>
      </c>
      <c r="H434" s="12" t="inlineStr">
        <is>
          <t>APPROVED</t>
        </is>
      </c>
      <c r="I434" s="12" t="inlineStr">
        <is>
          <t>New</t>
        </is>
      </c>
      <c r="J434" s="12" t="inlineStr">
        <is>
          <t>Source assignment -- not individually reviewed</t>
        </is>
      </c>
      <c r="K434" s="12" t="inlineStr"/>
      <c r="L434" s="12" t="inlineStr"/>
      <c r="M434" s="12" t="inlineStr"/>
      <c r="N434" s="17" t="inlineStr">
        <is>
          <t>10 EVIDENCE &amp; DECISIONS</t>
        </is>
      </c>
      <c r="O434" s="105" t="n">
        <v>1372500</v>
      </c>
      <c r="P434" s="105" t="n">
        <v>1397500</v>
      </c>
      <c r="Q434" s="105" t="inlineStr">
        <is>
          <t>CAD</t>
        </is>
      </c>
      <c r="R434" s="105" t="n"/>
      <c r="S434" s="105" t="inlineStr">
        <is>
          <t>2027-06-30</t>
        </is>
      </c>
      <c r="T434" s="105" t="inlineStr">
        <is>
          <t>C1-R0</t>
        </is>
      </c>
      <c r="U434" s="105" t="inlineStr">
        <is>
          <t>Supplied practice file monthly_cost_forecast.xlsx, row 136</t>
        </is>
      </c>
      <c r="V434" s="105" t="inlineStr">
        <is>
          <t>Whole source account, not a target allocation. Repeated target rows must not be summed. Aggregate cost / forecast remains withheld.</t>
        </is>
      </c>
    </row>
    <row r="435" ht="34" customHeight="1">
      <c r="A435" s="12" t="inlineStr">
        <is>
          <t>Cost &amp; Forecast Control Accounts</t>
        </is>
      </c>
      <c r="B435" s="12" t="inlineStr">
        <is>
          <t>CST-02-057</t>
        </is>
      </c>
      <c r="C435" s="12" t="inlineStr">
        <is>
          <t>Stations - building services - closeout</t>
        </is>
      </c>
      <c r="D435" s="12" t="inlineStr">
        <is>
          <t>Cost Account = CA-2057; WBS Code = 1.2.1</t>
        </is>
      </c>
      <c r="E435" s="12" t="inlineStr">
        <is>
          <t>R1219-v1</t>
        </is>
      </c>
      <c r="F435" s="12" t="inlineStr">
        <is>
          <t>1.2.1 Stations - Station Structures</t>
        </is>
      </c>
      <c r="G435" s="12" t="inlineStr">
        <is>
          <t>ONE_TO_ONE</t>
        </is>
      </c>
      <c r="H435" s="12" t="inlineStr">
        <is>
          <t>APPROVED</t>
        </is>
      </c>
      <c r="I435" s="12" t="inlineStr">
        <is>
          <t>New</t>
        </is>
      </c>
      <c r="J435" s="12" t="inlineStr">
        <is>
          <t>Source assignment -- not individually reviewed</t>
        </is>
      </c>
      <c r="K435" s="12" t="inlineStr"/>
      <c r="L435" s="12" t="inlineStr"/>
      <c r="M435" s="12" t="inlineStr"/>
      <c r="N435" s="17" t="inlineStr">
        <is>
          <t>10 EVIDENCE &amp; DECISIONS</t>
        </is>
      </c>
      <c r="O435" s="105" t="n">
        <v>1407500</v>
      </c>
      <c r="P435" s="105" t="n">
        <v>1407500</v>
      </c>
      <c r="Q435" s="105" t="inlineStr">
        <is>
          <t>CAD</t>
        </is>
      </c>
      <c r="R435" s="105" t="n"/>
      <c r="S435" s="105" t="inlineStr">
        <is>
          <t>2027-06-30</t>
        </is>
      </c>
      <c r="T435" s="105" t="inlineStr">
        <is>
          <t>C1-R0</t>
        </is>
      </c>
      <c r="U435" s="105" t="inlineStr">
        <is>
          <t>Supplied practice file monthly_cost_forecast.xlsx, row 138</t>
        </is>
      </c>
      <c r="V435" s="105" t="inlineStr">
        <is>
          <t>Whole source account, not a target allocation. Repeated target rows must not be summed. Aggregate cost / forecast remains withheld.</t>
        </is>
      </c>
    </row>
    <row r="436" ht="34" customHeight="1">
      <c r="A436" s="12" t="inlineStr">
        <is>
          <t>Cost &amp; Forecast Control Accounts</t>
        </is>
      </c>
      <c r="B436" s="12" t="inlineStr">
        <is>
          <t>CST-02-059</t>
        </is>
      </c>
      <c r="C436" s="12" t="inlineStr">
        <is>
          <t>Stations - station structure - supply and install</t>
        </is>
      </c>
      <c r="D436" s="12" t="inlineStr">
        <is>
          <t>Cost Account = CA-2059; WBS Code = 1.2.1</t>
        </is>
      </c>
      <c r="E436" s="12" t="inlineStr">
        <is>
          <t>R1221-v1</t>
        </is>
      </c>
      <c r="F436" s="12" t="inlineStr">
        <is>
          <t>1.2.1 Stations - Station Structures</t>
        </is>
      </c>
      <c r="G436" s="12" t="inlineStr">
        <is>
          <t>ONE_TO_ONE</t>
        </is>
      </c>
      <c r="H436" s="12" t="inlineStr">
        <is>
          <t>APPROVED</t>
        </is>
      </c>
      <c r="I436" s="12" t="inlineStr">
        <is>
          <t>New</t>
        </is>
      </c>
      <c r="J436" s="12" t="inlineStr">
        <is>
          <t>Source assignment -- not individually reviewed</t>
        </is>
      </c>
      <c r="K436" s="12" t="inlineStr"/>
      <c r="L436" s="12" t="inlineStr"/>
      <c r="M436" s="12" t="inlineStr"/>
      <c r="N436" s="17" t="inlineStr">
        <is>
          <t>10 EVIDENCE &amp; DECISIONS</t>
        </is>
      </c>
      <c r="O436" s="105" t="n">
        <v>1442500</v>
      </c>
      <c r="P436" s="105" t="n">
        <v>1467500</v>
      </c>
      <c r="Q436" s="105" t="inlineStr">
        <is>
          <t>CAD</t>
        </is>
      </c>
      <c r="R436" s="105" t="n"/>
      <c r="S436" s="105" t="inlineStr">
        <is>
          <t>2027-06-30</t>
        </is>
      </c>
      <c r="T436" s="105" t="inlineStr">
        <is>
          <t>C1-R0</t>
        </is>
      </c>
      <c r="U436" s="105" t="inlineStr">
        <is>
          <t>Supplied practice file monthly_cost_forecast.xlsx, row 140</t>
        </is>
      </c>
      <c r="V436" s="105" t="inlineStr">
        <is>
          <t>Whole source account, not a target allocation. Repeated target rows must not be summed. Aggregate cost / forecast remains withheld.</t>
        </is>
      </c>
    </row>
    <row r="437" ht="34" customHeight="1">
      <c r="A437" s="12" t="inlineStr">
        <is>
          <t>Cost &amp; Forecast Control Accounts</t>
        </is>
      </c>
      <c r="B437" s="12" t="inlineStr">
        <is>
          <t>CST-02-061</t>
        </is>
      </c>
      <c r="C437" s="12" t="inlineStr">
        <is>
          <t>Stations - public realm - allowance</t>
        </is>
      </c>
      <c r="D437" s="12" t="inlineStr">
        <is>
          <t>Cost Account = CA-2061; WBS Code = 1.2.1</t>
        </is>
      </c>
      <c r="E437" s="12" t="inlineStr">
        <is>
          <t>R1223-v1</t>
        </is>
      </c>
      <c r="F437" s="12" t="inlineStr">
        <is>
          <t>1.2.1 Stations - Station Structures</t>
        </is>
      </c>
      <c r="G437" s="12" t="inlineStr">
        <is>
          <t>ONE_TO_ONE</t>
        </is>
      </c>
      <c r="H437" s="12" t="inlineStr">
        <is>
          <t>APPROVED</t>
        </is>
      </c>
      <c r="I437" s="12" t="inlineStr">
        <is>
          <t>New</t>
        </is>
      </c>
      <c r="J437" s="12" t="inlineStr">
        <is>
          <t>Source assignment -- not individually reviewed</t>
        </is>
      </c>
      <c r="K437" s="12" t="inlineStr"/>
      <c r="L437" s="12" t="inlineStr"/>
      <c r="M437" s="12" t="inlineStr"/>
      <c r="N437" s="17" t="inlineStr">
        <is>
          <t>10 EVIDENCE &amp; DECISIONS</t>
        </is>
      </c>
      <c r="O437" s="105" t="n">
        <v>1477500</v>
      </c>
      <c r="P437" s="105" t="n">
        <v>1477500</v>
      </c>
      <c r="Q437" s="105" t="inlineStr">
        <is>
          <t>CAD</t>
        </is>
      </c>
      <c r="R437" s="105" t="n"/>
      <c r="S437" s="105" t="inlineStr">
        <is>
          <t>2027-06-30</t>
        </is>
      </c>
      <c r="T437" s="105" t="inlineStr">
        <is>
          <t>C1-R0</t>
        </is>
      </c>
      <c r="U437" s="105" t="inlineStr">
        <is>
          <t>Supplied practice file monthly_cost_forecast.xlsx, row 142</t>
        </is>
      </c>
      <c r="V437" s="105" t="inlineStr">
        <is>
          <t>Whole source account, not a target allocation. Repeated target rows must not be summed. Aggregate cost / forecast remains withheld.</t>
        </is>
      </c>
    </row>
    <row r="438" ht="34" customHeight="1">
      <c r="A438" s="12" t="inlineStr">
        <is>
          <t>Cost &amp; Forecast Control Accounts</t>
        </is>
      </c>
      <c r="B438" s="12" t="inlineStr">
        <is>
          <t>CST-02-063</t>
        </is>
      </c>
      <c r="C438" s="12" t="inlineStr">
        <is>
          <t>Stations - building services - field package</t>
        </is>
      </c>
      <c r="D438" s="12" t="inlineStr">
        <is>
          <t>Cost Account = CA-2063; WBS Code = 1.2.1</t>
        </is>
      </c>
      <c r="E438" s="12" t="inlineStr">
        <is>
          <t>R1225-v1</t>
        </is>
      </c>
      <c r="F438" s="12" t="inlineStr">
        <is>
          <t>1.2.1 Stations - Station Structures</t>
        </is>
      </c>
      <c r="G438" s="12" t="inlineStr">
        <is>
          <t>ONE_TO_ONE</t>
        </is>
      </c>
      <c r="H438" s="12" t="inlineStr">
        <is>
          <t>APPROVED</t>
        </is>
      </c>
      <c r="I438" s="12" t="inlineStr">
        <is>
          <t>New</t>
        </is>
      </c>
      <c r="J438" s="12" t="inlineStr">
        <is>
          <t>Source assignment -- not individually reviewed</t>
        </is>
      </c>
      <c r="K438" s="12" t="inlineStr"/>
      <c r="L438" s="12" t="inlineStr"/>
      <c r="M438" s="12" t="inlineStr"/>
      <c r="N438" s="17" t="inlineStr">
        <is>
          <t>10 EVIDENCE &amp; DECISIONS</t>
        </is>
      </c>
      <c r="O438" s="105" t="n">
        <v>1512500</v>
      </c>
      <c r="P438" s="105" t="n">
        <v>1537500</v>
      </c>
      <c r="Q438" s="105" t="inlineStr">
        <is>
          <t>CAD</t>
        </is>
      </c>
      <c r="R438" s="105" t="n"/>
      <c r="S438" s="105" t="inlineStr">
        <is>
          <t>2027-06-30</t>
        </is>
      </c>
      <c r="T438" s="105" t="inlineStr">
        <is>
          <t>C1-R0</t>
        </is>
      </c>
      <c r="U438" s="105" t="inlineStr">
        <is>
          <t>Supplied practice file monthly_cost_forecast.xlsx, row 144</t>
        </is>
      </c>
      <c r="V438" s="105" t="inlineStr">
        <is>
          <t>Whole source account, not a target allocation. Repeated target rows must not be summed. Aggregate cost / forecast remains withheld.</t>
        </is>
      </c>
    </row>
    <row r="439" ht="34" customHeight="1">
      <c r="A439" s="12" t="inlineStr">
        <is>
          <t>Cost &amp; Forecast Control Accounts</t>
        </is>
      </c>
      <c r="B439" s="12" t="inlineStr">
        <is>
          <t>CST-02-065</t>
        </is>
      </c>
      <c r="C439" s="12" t="inlineStr">
        <is>
          <t>Stations - station structure - professional services</t>
        </is>
      </c>
      <c r="D439" s="12" t="inlineStr">
        <is>
          <t>Cost Account = CA-2065; WBS Code = 1.2.1</t>
        </is>
      </c>
      <c r="E439" s="12" t="inlineStr">
        <is>
          <t>R1227-v1</t>
        </is>
      </c>
      <c r="F439" s="12" t="inlineStr">
        <is>
          <t>1.2.1 Stations - Station Structures</t>
        </is>
      </c>
      <c r="G439" s="12" t="inlineStr">
        <is>
          <t>ONE_TO_ONE</t>
        </is>
      </c>
      <c r="H439" s="12" t="inlineStr">
        <is>
          <t>APPROVED</t>
        </is>
      </c>
      <c r="I439" s="12" t="inlineStr">
        <is>
          <t>New</t>
        </is>
      </c>
      <c r="J439" s="12" t="inlineStr">
        <is>
          <t>Source assignment -- not individually reviewed</t>
        </is>
      </c>
      <c r="K439" s="12" t="inlineStr"/>
      <c r="L439" s="12" t="inlineStr"/>
      <c r="M439" s="12" t="inlineStr"/>
      <c r="N439" s="17" t="inlineStr">
        <is>
          <t>10 EVIDENCE &amp; DECISIONS</t>
        </is>
      </c>
      <c r="O439" s="105" t="n">
        <v>1547500</v>
      </c>
      <c r="P439" s="105" t="n">
        <v>1547500</v>
      </c>
      <c r="Q439" s="105" t="inlineStr">
        <is>
          <t>CAD</t>
        </is>
      </c>
      <c r="R439" s="105" t="n"/>
      <c r="S439" s="105" t="inlineStr">
        <is>
          <t>2027-06-30</t>
        </is>
      </c>
      <c r="T439" s="105" t="inlineStr">
        <is>
          <t>C1-R0</t>
        </is>
      </c>
      <c r="U439" s="105" t="inlineStr">
        <is>
          <t>Supplied practice file monthly_cost_forecast.xlsx, row 146</t>
        </is>
      </c>
      <c r="V439" s="105" t="inlineStr">
        <is>
          <t>Whole source account, not a target allocation. Repeated target rows must not be summed. Aggregate cost / forecast remains withheld.</t>
        </is>
      </c>
    </row>
    <row r="440" ht="34" customHeight="1">
      <c r="A440" s="12" t="inlineStr">
        <is>
          <t>Cost &amp; Forecast Control Accounts</t>
        </is>
      </c>
      <c r="B440" s="12" t="inlineStr">
        <is>
          <t>CST-02-067</t>
        </is>
      </c>
      <c r="C440" s="12" t="inlineStr">
        <is>
          <t>Stations - public realm - closeout</t>
        </is>
      </c>
      <c r="D440" s="12" t="inlineStr">
        <is>
          <t>Cost Account = CA-2067; WBS Code = 1.2.1</t>
        </is>
      </c>
      <c r="E440" s="12" t="inlineStr">
        <is>
          <t>R1229-v1</t>
        </is>
      </c>
      <c r="F440" s="12" t="inlineStr">
        <is>
          <t>1.2.1 Stations - Station Structures</t>
        </is>
      </c>
      <c r="G440" s="12" t="inlineStr">
        <is>
          <t>ONE_TO_ONE</t>
        </is>
      </c>
      <c r="H440" s="12" t="inlineStr">
        <is>
          <t>APPROVED</t>
        </is>
      </c>
      <c r="I440" s="12" t="inlineStr">
        <is>
          <t>New</t>
        </is>
      </c>
      <c r="J440" s="12" t="inlineStr">
        <is>
          <t>Source assignment -- not individually reviewed</t>
        </is>
      </c>
      <c r="K440" s="12" t="inlineStr"/>
      <c r="L440" s="12" t="inlineStr"/>
      <c r="M440" s="12" t="inlineStr"/>
      <c r="N440" s="17" t="inlineStr">
        <is>
          <t>10 EVIDENCE &amp; DECISIONS</t>
        </is>
      </c>
      <c r="O440" s="105" t="n">
        <v>1582500</v>
      </c>
      <c r="P440" s="105" t="n">
        <v>1607500</v>
      </c>
      <c r="Q440" s="105" t="inlineStr">
        <is>
          <t>CAD</t>
        </is>
      </c>
      <c r="R440" s="105" t="n"/>
      <c r="S440" s="105" t="inlineStr">
        <is>
          <t>2027-06-30</t>
        </is>
      </c>
      <c r="T440" s="105" t="inlineStr">
        <is>
          <t>C1-R0</t>
        </is>
      </c>
      <c r="U440" s="105" t="inlineStr">
        <is>
          <t>Supplied practice file monthly_cost_forecast.xlsx, row 148</t>
        </is>
      </c>
      <c r="V440" s="105" t="inlineStr">
        <is>
          <t>Whole source account, not a target allocation. Repeated target rows must not be summed. Aggregate cost / forecast remains withheld.</t>
        </is>
      </c>
    </row>
    <row r="441" ht="34" customHeight="1">
      <c r="A441" s="12" t="inlineStr">
        <is>
          <t>Cost &amp; Forecast Control Accounts</t>
        </is>
      </c>
      <c r="B441" s="12" t="inlineStr">
        <is>
          <t>CST-02-069</t>
        </is>
      </c>
      <c r="C441" s="12" t="inlineStr">
        <is>
          <t>Stations - building services - supply and install</t>
        </is>
      </c>
      <c r="D441" s="12" t="inlineStr">
        <is>
          <t>Cost Account = CA-2069; WBS Code = 1.2.1</t>
        </is>
      </c>
      <c r="E441" s="12" t="inlineStr">
        <is>
          <t>R1231-v1</t>
        </is>
      </c>
      <c r="F441" s="12" t="inlineStr">
        <is>
          <t>1.2.1 Stations - Station Structures</t>
        </is>
      </c>
      <c r="G441" s="12" t="inlineStr">
        <is>
          <t>ONE_TO_ONE</t>
        </is>
      </c>
      <c r="H441" s="12" t="inlineStr">
        <is>
          <t>APPROVED</t>
        </is>
      </c>
      <c r="I441" s="12" t="inlineStr">
        <is>
          <t>New</t>
        </is>
      </c>
      <c r="J441" s="12" t="inlineStr">
        <is>
          <t>Source assignment -- not individually reviewed</t>
        </is>
      </c>
      <c r="K441" s="12" t="inlineStr"/>
      <c r="L441" s="12" t="inlineStr"/>
      <c r="M441" s="12" t="inlineStr"/>
      <c r="N441" s="17" t="inlineStr">
        <is>
          <t>10 EVIDENCE &amp; DECISIONS</t>
        </is>
      </c>
      <c r="O441" s="105" t="n">
        <v>1617500</v>
      </c>
      <c r="P441" s="105" t="n">
        <v>1617500</v>
      </c>
      <c r="Q441" s="105" t="inlineStr">
        <is>
          <t>CAD</t>
        </is>
      </c>
      <c r="R441" s="105" t="n"/>
      <c r="S441" s="105" t="inlineStr">
        <is>
          <t>2027-06-30</t>
        </is>
      </c>
      <c r="T441" s="105" t="inlineStr">
        <is>
          <t>C1-R0</t>
        </is>
      </c>
      <c r="U441" s="105" t="inlineStr">
        <is>
          <t>Supplied practice file monthly_cost_forecast.xlsx, row 150</t>
        </is>
      </c>
      <c r="V441" s="105" t="inlineStr">
        <is>
          <t>Whole source account, not a target allocation. Repeated target rows must not be summed. Aggregate cost / forecast remains withheld.</t>
        </is>
      </c>
    </row>
    <row r="442" ht="34" customHeight="1">
      <c r="A442" s="12" t="inlineStr">
        <is>
          <t>Cost &amp; Forecast Control Accounts</t>
        </is>
      </c>
      <c r="B442" s="12" t="inlineStr">
        <is>
          <t>CST-02-071</t>
        </is>
      </c>
      <c r="C442" s="12" t="inlineStr">
        <is>
          <t>Stations - station structure - allowance</t>
        </is>
      </c>
      <c r="D442" s="12" t="inlineStr">
        <is>
          <t>Cost Account = CA-2071; WBS Code = 1.2.1</t>
        </is>
      </c>
      <c r="E442" s="12" t="inlineStr">
        <is>
          <t>R1233-v1</t>
        </is>
      </c>
      <c r="F442" s="12" t="inlineStr">
        <is>
          <t>1.2.1 Stations - Station Structures</t>
        </is>
      </c>
      <c r="G442" s="12" t="inlineStr">
        <is>
          <t>ONE_TO_ONE</t>
        </is>
      </c>
      <c r="H442" s="12" t="inlineStr">
        <is>
          <t>APPROVED</t>
        </is>
      </c>
      <c r="I442" s="12" t="inlineStr">
        <is>
          <t>New</t>
        </is>
      </c>
      <c r="J442" s="12" t="inlineStr">
        <is>
          <t>Source assignment -- not individually reviewed</t>
        </is>
      </c>
      <c r="K442" s="12" t="inlineStr"/>
      <c r="L442" s="12" t="inlineStr"/>
      <c r="M442" s="12" t="inlineStr"/>
      <c r="N442" s="17" t="inlineStr">
        <is>
          <t>10 EVIDENCE &amp; DECISIONS</t>
        </is>
      </c>
      <c r="O442" s="105" t="n">
        <v>1652500</v>
      </c>
      <c r="P442" s="105" t="n">
        <v>1677500</v>
      </c>
      <c r="Q442" s="105" t="inlineStr">
        <is>
          <t>CAD</t>
        </is>
      </c>
      <c r="R442" s="105" t="n"/>
      <c r="S442" s="105" t="inlineStr">
        <is>
          <t>2027-06-30</t>
        </is>
      </c>
      <c r="T442" s="105" t="inlineStr">
        <is>
          <t>C1-R0</t>
        </is>
      </c>
      <c r="U442" s="105" t="inlineStr">
        <is>
          <t>Supplied practice file monthly_cost_forecast.xlsx, row 152</t>
        </is>
      </c>
      <c r="V442" s="105" t="inlineStr">
        <is>
          <t>Whole source account, not a target allocation. Repeated target rows must not be summed. Aggregate cost / forecast remains withheld.</t>
        </is>
      </c>
    </row>
    <row r="443" ht="34" customHeight="1">
      <c r="A443" s="12" t="inlineStr">
        <is>
          <t>Cost &amp; Forecast Control Accounts</t>
        </is>
      </c>
      <c r="B443" s="12" t="inlineStr">
        <is>
          <t>CST-02-073</t>
        </is>
      </c>
      <c r="C443" s="12" t="inlineStr">
        <is>
          <t>Stations - public realm - field package</t>
        </is>
      </c>
      <c r="D443" s="12" t="inlineStr">
        <is>
          <t>Cost Account = CA-2073; WBS Code = 1.2.1</t>
        </is>
      </c>
      <c r="E443" s="12" t="inlineStr">
        <is>
          <t>R1235-v1</t>
        </is>
      </c>
      <c r="F443" s="12" t="inlineStr">
        <is>
          <t>1.2.1 Stations - Station Structures</t>
        </is>
      </c>
      <c r="G443" s="12" t="inlineStr">
        <is>
          <t>ONE_TO_ONE</t>
        </is>
      </c>
      <c r="H443" s="12" t="inlineStr">
        <is>
          <t>APPROVED</t>
        </is>
      </c>
      <c r="I443" s="12" t="inlineStr">
        <is>
          <t>New</t>
        </is>
      </c>
      <c r="J443" s="12" t="inlineStr">
        <is>
          <t>Source assignment -- not individually reviewed</t>
        </is>
      </c>
      <c r="K443" s="12" t="inlineStr"/>
      <c r="L443" s="12" t="inlineStr"/>
      <c r="M443" s="12" t="inlineStr"/>
      <c r="N443" s="17" t="inlineStr">
        <is>
          <t>10 EVIDENCE &amp; DECISIONS</t>
        </is>
      </c>
      <c r="O443" s="105" t="n">
        <v>1687500</v>
      </c>
      <c r="P443" s="105" t="n">
        <v>1687500</v>
      </c>
      <c r="Q443" s="105" t="inlineStr">
        <is>
          <t>CAD</t>
        </is>
      </c>
      <c r="R443" s="105" t="n"/>
      <c r="S443" s="105" t="inlineStr">
        <is>
          <t>2027-06-30</t>
        </is>
      </c>
      <c r="T443" s="105" t="inlineStr">
        <is>
          <t>C1-R0</t>
        </is>
      </c>
      <c r="U443" s="105" t="inlineStr">
        <is>
          <t>Supplied practice file monthly_cost_forecast.xlsx, row 154</t>
        </is>
      </c>
      <c r="V443" s="105" t="inlineStr">
        <is>
          <t>Whole source account, not a target allocation. Repeated target rows must not be summed. Aggregate cost / forecast remains withheld.</t>
        </is>
      </c>
    </row>
    <row r="444" ht="34" customHeight="1">
      <c r="A444" s="12" t="inlineStr">
        <is>
          <t>Cost &amp; Forecast Control Accounts</t>
        </is>
      </c>
      <c r="B444" s="12" t="inlineStr">
        <is>
          <t>CST-02-075</t>
        </is>
      </c>
      <c r="C444" s="12" t="inlineStr">
        <is>
          <t>Stations - building services - professional services</t>
        </is>
      </c>
      <c r="D444" s="12" t="inlineStr">
        <is>
          <t>Cost Account = CA-2075; WBS Code = 1.2.1</t>
        </is>
      </c>
      <c r="E444" s="12" t="inlineStr">
        <is>
          <t>R1237-v1</t>
        </is>
      </c>
      <c r="F444" s="12" t="inlineStr">
        <is>
          <t>1.2.1 Stations - Station Structures</t>
        </is>
      </c>
      <c r="G444" s="12" t="inlineStr">
        <is>
          <t>ONE_TO_ONE</t>
        </is>
      </c>
      <c r="H444" s="12" t="inlineStr">
        <is>
          <t>APPROVED</t>
        </is>
      </c>
      <c r="I444" s="12" t="inlineStr">
        <is>
          <t>New</t>
        </is>
      </c>
      <c r="J444" s="12" t="inlineStr">
        <is>
          <t>Source assignment -- not individually reviewed</t>
        </is>
      </c>
      <c r="K444" s="12" t="inlineStr"/>
      <c r="L444" s="12" t="inlineStr"/>
      <c r="M444" s="12" t="inlineStr"/>
      <c r="N444" s="17" t="inlineStr">
        <is>
          <t>10 EVIDENCE &amp; DECISIONS</t>
        </is>
      </c>
      <c r="O444" s="105" t="n">
        <v>1722500</v>
      </c>
      <c r="P444" s="105" t="n">
        <v>1747500</v>
      </c>
      <c r="Q444" s="105" t="inlineStr">
        <is>
          <t>CAD</t>
        </is>
      </c>
      <c r="R444" s="105" t="n"/>
      <c r="S444" s="105" t="inlineStr">
        <is>
          <t>2027-06-30</t>
        </is>
      </c>
      <c r="T444" s="105" t="inlineStr">
        <is>
          <t>C1-R0</t>
        </is>
      </c>
      <c r="U444" s="105" t="inlineStr">
        <is>
          <t>Supplied practice file monthly_cost_forecast.xlsx, row 156</t>
        </is>
      </c>
      <c r="V444" s="105" t="inlineStr">
        <is>
          <t>Whole source account, not a target allocation. Repeated target rows must not be summed. Aggregate cost / forecast remains withheld.</t>
        </is>
      </c>
    </row>
    <row r="445" ht="34" customHeight="1">
      <c r="A445" s="12" t="inlineStr">
        <is>
          <t>Cost &amp; Forecast Control Accounts</t>
        </is>
      </c>
      <c r="B445" s="12" t="inlineStr">
        <is>
          <t>CST-02-077</t>
        </is>
      </c>
      <c r="C445" s="12" t="inlineStr">
        <is>
          <t>Stations - station structure - closeout</t>
        </is>
      </c>
      <c r="D445" s="12" t="inlineStr">
        <is>
          <t>Cost Account = CA-2077; WBS Code = 1.2.1</t>
        </is>
      </c>
      <c r="E445" s="12" t="inlineStr">
        <is>
          <t>R1239-v1</t>
        </is>
      </c>
      <c r="F445" s="12" t="inlineStr">
        <is>
          <t>1.2.1 Stations - Station Structures</t>
        </is>
      </c>
      <c r="G445" s="12" t="inlineStr">
        <is>
          <t>ONE_TO_ONE</t>
        </is>
      </c>
      <c r="H445" s="12" t="inlineStr">
        <is>
          <t>APPROVED</t>
        </is>
      </c>
      <c r="I445" s="12" t="inlineStr">
        <is>
          <t>New</t>
        </is>
      </c>
      <c r="J445" s="12" t="inlineStr">
        <is>
          <t>Source assignment -- not individually reviewed</t>
        </is>
      </c>
      <c r="K445" s="12" t="inlineStr"/>
      <c r="L445" s="12" t="inlineStr"/>
      <c r="M445" s="12" t="inlineStr"/>
      <c r="N445" s="17" t="inlineStr">
        <is>
          <t>10 EVIDENCE &amp; DECISIONS</t>
        </is>
      </c>
      <c r="O445" s="105" t="n">
        <v>1757500</v>
      </c>
      <c r="P445" s="105" t="n">
        <v>1757500</v>
      </c>
      <c r="Q445" s="105" t="inlineStr">
        <is>
          <t>CAD</t>
        </is>
      </c>
      <c r="R445" s="105" t="n"/>
      <c r="S445" s="105" t="inlineStr">
        <is>
          <t>2027-06-30</t>
        </is>
      </c>
      <c r="T445" s="105" t="inlineStr">
        <is>
          <t>C1-R0</t>
        </is>
      </c>
      <c r="U445" s="105" t="inlineStr">
        <is>
          <t>Supplied practice file monthly_cost_forecast.xlsx, row 158</t>
        </is>
      </c>
      <c r="V445" s="105" t="inlineStr">
        <is>
          <t>Whole source account, not a target allocation. Repeated target rows must not be summed. Aggregate cost / forecast remains withheld.</t>
        </is>
      </c>
    </row>
    <row r="446" ht="34" customHeight="1">
      <c r="A446" s="12" t="inlineStr">
        <is>
          <t>Cost &amp; Forecast Control Accounts</t>
        </is>
      </c>
      <c r="B446" s="12" t="inlineStr">
        <is>
          <t>CST-02-079</t>
        </is>
      </c>
      <c r="C446" s="12" t="inlineStr">
        <is>
          <t>Stations - public realm - supply and install</t>
        </is>
      </c>
      <c r="D446" s="12" t="inlineStr">
        <is>
          <t>Cost Account = CA-2079; WBS Code = 1.2.1</t>
        </is>
      </c>
      <c r="E446" s="12" t="inlineStr">
        <is>
          <t>R1241-v1</t>
        </is>
      </c>
      <c r="F446" s="12" t="inlineStr">
        <is>
          <t>1.2.1 Stations - Station Structures</t>
        </is>
      </c>
      <c r="G446" s="12" t="inlineStr">
        <is>
          <t>ONE_TO_ONE</t>
        </is>
      </c>
      <c r="H446" s="12" t="inlineStr">
        <is>
          <t>APPROVED</t>
        </is>
      </c>
      <c r="I446" s="12" t="inlineStr">
        <is>
          <t>New</t>
        </is>
      </c>
      <c r="J446" s="12" t="inlineStr">
        <is>
          <t>Source assignment -- not individually reviewed</t>
        </is>
      </c>
      <c r="K446" s="12" t="inlineStr"/>
      <c r="L446" s="12" t="inlineStr"/>
      <c r="M446" s="12" t="inlineStr"/>
      <c r="N446" s="17" t="inlineStr">
        <is>
          <t>10 EVIDENCE &amp; DECISIONS</t>
        </is>
      </c>
      <c r="O446" s="105" t="n">
        <v>1792500</v>
      </c>
      <c r="P446" s="105" t="n">
        <v>1817500</v>
      </c>
      <c r="Q446" s="105" t="inlineStr">
        <is>
          <t>CAD</t>
        </is>
      </c>
      <c r="R446" s="105" t="n"/>
      <c r="S446" s="105" t="inlineStr">
        <is>
          <t>2027-06-30</t>
        </is>
      </c>
      <c r="T446" s="105" t="inlineStr">
        <is>
          <t>C1-R0</t>
        </is>
      </c>
      <c r="U446" s="105" t="inlineStr">
        <is>
          <t>Supplied practice file monthly_cost_forecast.xlsx, row 160</t>
        </is>
      </c>
      <c r="V446" s="105" t="inlineStr">
        <is>
          <t>Whole source account, not a target allocation. Repeated target rows must not be summed. Aggregate cost / forecast remains withheld.</t>
        </is>
      </c>
    </row>
    <row r="447" ht="34" customHeight="1">
      <c r="A447" s="12" t="inlineStr">
        <is>
          <t>Contractor Programme</t>
        </is>
      </c>
      <c r="B447" s="12" t="inlineStr">
        <is>
          <t>SCH-02-006</t>
        </is>
      </c>
      <c r="C447" s="12" t="inlineStr">
        <is>
          <t>Harbour Station: station ventilation rough-in - inspection</t>
        </is>
      </c>
      <c r="D447" s="12" t="inlineStr">
        <is>
          <t>WBS Code = 1.2.2</t>
        </is>
      </c>
      <c r="E447" s="12" t="inlineStr">
        <is>
          <t>R186-v1</t>
        </is>
      </c>
      <c r="F447" s="12" t="inlineStr">
        <is>
          <t>1.2.2 Stations - Architectural Fit-Out</t>
        </is>
      </c>
      <c r="G447" s="12" t="inlineStr">
        <is>
          <t>ONE_TO_ONE</t>
        </is>
      </c>
      <c r="H447" s="12" t="inlineStr">
        <is>
          <t>APPROVED</t>
        </is>
      </c>
      <c r="I447" s="12" t="inlineStr">
        <is>
          <t>New</t>
        </is>
      </c>
      <c r="J447" s="12" t="inlineStr">
        <is>
          <t>Source assignment -- not individually reviewed</t>
        </is>
      </c>
      <c r="K447" s="12" t="inlineStr"/>
      <c r="L447" s="12" t="inlineStr"/>
      <c r="M447" s="12" t="inlineStr"/>
      <c r="N447" s="17" t="inlineStr">
        <is>
          <t>10 EVIDENCE &amp; DECISIONS</t>
        </is>
      </c>
    </row>
    <row r="448" ht="49" customHeight="1">
      <c r="A448" s="12" t="inlineStr">
        <is>
          <t>Contractor Programme</t>
        </is>
      </c>
      <c r="B448" s="12" t="inlineStr">
        <is>
          <t>SCH-02-009</t>
        </is>
      </c>
      <c r="C448" s="12" t="inlineStr">
        <is>
          <t>University Station: vertical-transport installation - field start</t>
        </is>
      </c>
      <c r="D448" s="12" t="inlineStr">
        <is>
          <t>WBS Code = 1.2.2</t>
        </is>
      </c>
      <c r="E448" s="12" t="inlineStr">
        <is>
          <t>R189-v1</t>
        </is>
      </c>
      <c r="F448" s="12" t="inlineStr">
        <is>
          <t>1.2.2 Stations - Architectural Fit-Out</t>
        </is>
      </c>
      <c r="G448" s="12" t="inlineStr">
        <is>
          <t>ONE_TO_ONE</t>
        </is>
      </c>
      <c r="H448" s="12" t="inlineStr">
        <is>
          <t>APPROVED</t>
        </is>
      </c>
      <c r="I448" s="12" t="inlineStr">
        <is>
          <t>New</t>
        </is>
      </c>
      <c r="J448" s="12" t="inlineStr">
        <is>
          <t>Source assignment -- not individually reviewed</t>
        </is>
      </c>
      <c r="K448" s="12" t="inlineStr"/>
      <c r="L448" s="12" t="inlineStr"/>
      <c r="M448" s="12" t="inlineStr"/>
      <c r="N448" s="17" t="inlineStr">
        <is>
          <t>10 EVIDENCE &amp; DECISIONS</t>
        </is>
      </c>
    </row>
    <row r="449" ht="34" customHeight="1">
      <c r="A449" s="12" t="inlineStr">
        <is>
          <t>Contractor Programme</t>
        </is>
      </c>
      <c r="B449" s="12" t="inlineStr">
        <is>
          <t>SCH-02-012</t>
        </is>
      </c>
      <c r="C449" s="12" t="inlineStr">
        <is>
          <t>Market Station: fire-life-safety cabling - turnover</t>
        </is>
      </c>
      <c r="D449" s="12" t="inlineStr">
        <is>
          <t>WBS Code = 1.2.2</t>
        </is>
      </c>
      <c r="E449" s="12" t="inlineStr">
        <is>
          <t>R192-v1</t>
        </is>
      </c>
      <c r="F449" s="12" t="inlineStr">
        <is>
          <t>1.2.2 Stations - Architectural Fit-Out</t>
        </is>
      </c>
      <c r="G449" s="12" t="inlineStr">
        <is>
          <t>ONE_TO_ONE</t>
        </is>
      </c>
      <c r="H449" s="12" t="inlineStr">
        <is>
          <t>APPROVED</t>
        </is>
      </c>
      <c r="I449" s="12" t="inlineStr">
        <is>
          <t>New</t>
        </is>
      </c>
      <c r="J449" s="12" t="inlineStr">
        <is>
          <t>Source assignment -- not individually reviewed</t>
        </is>
      </c>
      <c r="K449" s="12" t="inlineStr"/>
      <c r="L449" s="12" t="inlineStr"/>
      <c r="M449" s="12" t="inlineStr"/>
      <c r="N449" s="17" t="inlineStr">
        <is>
          <t>10 EVIDENCE &amp; DECISIONS</t>
        </is>
      </c>
    </row>
    <row r="450" ht="34" customHeight="1">
      <c r="A450" s="12" t="inlineStr">
        <is>
          <t>Contractor Programme</t>
        </is>
      </c>
      <c r="B450" s="12" t="inlineStr">
        <is>
          <t>SCH-02-015</t>
        </is>
      </c>
      <c r="C450" s="12" t="inlineStr">
        <is>
          <t>West Terminal: public-realm paving - installation</t>
        </is>
      </c>
      <c r="D450" s="12" t="inlineStr">
        <is>
          <t>WBS Code = 1.2.2</t>
        </is>
      </c>
      <c r="E450" s="12" t="inlineStr">
        <is>
          <t>R195-v1</t>
        </is>
      </c>
      <c r="F450" s="12" t="inlineStr">
        <is>
          <t>1.2.2 Stations - Architectural Fit-Out</t>
        </is>
      </c>
      <c r="G450" s="12" t="inlineStr">
        <is>
          <t>ONE_TO_ONE</t>
        </is>
      </c>
      <c r="H450" s="12" t="inlineStr">
        <is>
          <t>APPROVED</t>
        </is>
      </c>
      <c r="I450" s="12" t="inlineStr">
        <is>
          <t>New</t>
        </is>
      </c>
      <c r="J450" s="12" t="inlineStr">
        <is>
          <t>Source assignment -- not individually reviewed</t>
        </is>
      </c>
      <c r="K450" s="12" t="inlineStr"/>
      <c r="L450" s="12" t="inlineStr"/>
      <c r="M450" s="12" t="inlineStr"/>
      <c r="N450" s="17" t="inlineStr">
        <is>
          <t>10 EVIDENCE &amp; DECISIONS</t>
        </is>
      </c>
    </row>
    <row r="451" ht="34" customHeight="1">
      <c r="A451" s="12" t="inlineStr">
        <is>
          <t>Contractor Programme</t>
        </is>
      </c>
      <c r="B451" s="12" t="inlineStr">
        <is>
          <t>SCH-02-018</t>
        </is>
      </c>
      <c r="C451" s="12" t="inlineStr">
        <is>
          <t>Civic Station: platform edge installation - release</t>
        </is>
      </c>
      <c r="D451" s="12" t="inlineStr">
        <is>
          <t>WBS Code = 1.2.2</t>
        </is>
      </c>
      <c r="E451" s="12" t="inlineStr">
        <is>
          <t>R198-v1</t>
        </is>
      </c>
      <c r="F451" s="12" t="inlineStr">
        <is>
          <t>1.2.2 Stations - Architectural Fit-Out</t>
        </is>
      </c>
      <c r="G451" s="12" t="inlineStr">
        <is>
          <t>ONE_TO_ONE</t>
        </is>
      </c>
      <c r="H451" s="12" t="inlineStr">
        <is>
          <t>APPROVED</t>
        </is>
      </c>
      <c r="I451" s="12" t="inlineStr">
        <is>
          <t>New</t>
        </is>
      </c>
      <c r="J451" s="12" t="inlineStr">
        <is>
          <t>Source assignment -- not individually reviewed</t>
        </is>
      </c>
      <c r="K451" s="12" t="inlineStr"/>
      <c r="L451" s="12" t="inlineStr"/>
      <c r="M451" s="12" t="inlineStr"/>
      <c r="N451" s="17" t="inlineStr">
        <is>
          <t>10 EVIDENCE &amp; DECISIONS</t>
        </is>
      </c>
    </row>
    <row r="452" ht="34" customHeight="1">
      <c r="A452" s="12" t="inlineStr">
        <is>
          <t>Contractor Programme</t>
        </is>
      </c>
      <c r="B452" s="12" t="inlineStr">
        <is>
          <t>SCH-02-021</t>
        </is>
      </c>
      <c r="C452" s="12" t="inlineStr">
        <is>
          <t>Harbour Station: concourse slab pour - inspection</t>
        </is>
      </c>
      <c r="D452" s="12" t="inlineStr">
        <is>
          <t>WBS Code = 1.2.2</t>
        </is>
      </c>
      <c r="E452" s="12" t="inlineStr">
        <is>
          <t>R201-v1</t>
        </is>
      </c>
      <c r="F452" s="12" t="inlineStr">
        <is>
          <t>1.2.2 Stations - Architectural Fit-Out</t>
        </is>
      </c>
      <c r="G452" s="12" t="inlineStr">
        <is>
          <t>ONE_TO_ONE</t>
        </is>
      </c>
      <c r="H452" s="12" t="inlineStr">
        <is>
          <t>APPROVED</t>
        </is>
      </c>
      <c r="I452" s="12" t="inlineStr">
        <is>
          <t>New</t>
        </is>
      </c>
      <c r="J452" s="12" t="inlineStr">
        <is>
          <t>Source assignment -- not individually reviewed</t>
        </is>
      </c>
      <c r="K452" s="12" t="inlineStr"/>
      <c r="L452" s="12" t="inlineStr"/>
      <c r="M452" s="12" t="inlineStr"/>
      <c r="N452" s="17" t="inlineStr">
        <is>
          <t>10 EVIDENCE &amp; DECISIONS</t>
        </is>
      </c>
    </row>
    <row r="453" ht="34" customHeight="1">
      <c r="A453" s="12" t="inlineStr">
        <is>
          <t>Contractor Programme</t>
        </is>
      </c>
      <c r="B453" s="12" t="inlineStr">
        <is>
          <t>SCH-02-024</t>
        </is>
      </c>
      <c r="C453" s="12" t="inlineStr">
        <is>
          <t>University Station: entrance steel erection - field start</t>
        </is>
      </c>
      <c r="D453" s="12" t="inlineStr">
        <is>
          <t>WBS Code = 1.2.2</t>
        </is>
      </c>
      <c r="E453" s="12" t="inlineStr">
        <is>
          <t>R204-v1</t>
        </is>
      </c>
      <c r="F453" s="12" t="inlineStr">
        <is>
          <t>1.2.2 Stations - Architectural Fit-Out</t>
        </is>
      </c>
      <c r="G453" s="12" t="inlineStr">
        <is>
          <t>ONE_TO_ONE</t>
        </is>
      </c>
      <c r="H453" s="12" t="inlineStr">
        <is>
          <t>APPROVED</t>
        </is>
      </c>
      <c r="I453" s="12" t="inlineStr">
        <is>
          <t>New</t>
        </is>
      </c>
      <c r="J453" s="12" t="inlineStr">
        <is>
          <t>Source assignment -- not individually reviewed</t>
        </is>
      </c>
      <c r="K453" s="12" t="inlineStr"/>
      <c r="L453" s="12" t="inlineStr"/>
      <c r="M453" s="12" t="inlineStr"/>
      <c r="N453" s="17" t="inlineStr">
        <is>
          <t>10 EVIDENCE &amp; DECISIONS</t>
        </is>
      </c>
    </row>
    <row r="454" ht="34" customHeight="1">
      <c r="A454" s="12" t="inlineStr">
        <is>
          <t>Contractor Programme</t>
        </is>
      </c>
      <c r="B454" s="12" t="inlineStr">
        <is>
          <t>SCH-02-027</t>
        </is>
      </c>
      <c r="C454" s="12" t="inlineStr">
        <is>
          <t>Market Station: architectural wall framing - turnover</t>
        </is>
      </c>
      <c r="D454" s="12" t="inlineStr">
        <is>
          <t>WBS Code = 1.2.2</t>
        </is>
      </c>
      <c r="E454" s="12" t="inlineStr">
        <is>
          <t>R207-v1</t>
        </is>
      </c>
      <c r="F454" s="12" t="inlineStr">
        <is>
          <t>1.2.2 Stations - Architectural Fit-Out</t>
        </is>
      </c>
      <c r="G454" s="12" t="inlineStr">
        <is>
          <t>ONE_TO_ONE</t>
        </is>
      </c>
      <c r="H454" s="12" t="inlineStr">
        <is>
          <t>APPROVED</t>
        </is>
      </c>
      <c r="I454" s="12" t="inlineStr">
        <is>
          <t>New</t>
        </is>
      </c>
      <c r="J454" s="12" t="inlineStr">
        <is>
          <t>Source assignment -- not individually reviewed</t>
        </is>
      </c>
      <c r="K454" s="12" t="inlineStr"/>
      <c r="L454" s="12" t="inlineStr"/>
      <c r="M454" s="12" t="inlineStr"/>
      <c r="N454" s="17" t="inlineStr">
        <is>
          <t>10 EVIDENCE &amp; DECISIONS</t>
        </is>
      </c>
    </row>
    <row r="455" ht="34" customHeight="1">
      <c r="A455" s="12" t="inlineStr">
        <is>
          <t>Contractor Programme</t>
        </is>
      </c>
      <c r="B455" s="12" t="inlineStr">
        <is>
          <t>SCH-02-030</t>
        </is>
      </c>
      <c r="C455" s="12" t="inlineStr">
        <is>
          <t>West Terminal: station ventilation rough-in - installation</t>
        </is>
      </c>
      <c r="D455" s="12" t="inlineStr">
        <is>
          <t>WBS Code = 1.2.2</t>
        </is>
      </c>
      <c r="E455" s="12" t="inlineStr">
        <is>
          <t>R210-v1</t>
        </is>
      </c>
      <c r="F455" s="12" t="inlineStr">
        <is>
          <t>1.2.2 Stations - Architectural Fit-Out</t>
        </is>
      </c>
      <c r="G455" s="12" t="inlineStr">
        <is>
          <t>ONE_TO_ONE</t>
        </is>
      </c>
      <c r="H455" s="12" t="inlineStr">
        <is>
          <t>APPROVED</t>
        </is>
      </c>
      <c r="I455" s="12" t="inlineStr">
        <is>
          <t>New</t>
        </is>
      </c>
      <c r="J455" s="12" t="inlineStr">
        <is>
          <t>Source assignment -- not individually reviewed</t>
        </is>
      </c>
      <c r="K455" s="12" t="inlineStr"/>
      <c r="L455" s="12" t="inlineStr"/>
      <c r="M455" s="12" t="inlineStr"/>
      <c r="N455" s="17" t="inlineStr">
        <is>
          <t>10 EVIDENCE &amp; DECISIONS</t>
        </is>
      </c>
    </row>
    <row r="456" ht="34" customHeight="1">
      <c r="A456" s="12" t="inlineStr">
        <is>
          <t>Contractor Programme</t>
        </is>
      </c>
      <c r="B456" s="12" t="inlineStr">
        <is>
          <t>SCH-02-033</t>
        </is>
      </c>
      <c r="C456" s="12" t="inlineStr">
        <is>
          <t>Civic Station: vertical-transport installation - release</t>
        </is>
      </c>
      <c r="D456" s="12" t="inlineStr">
        <is>
          <t>WBS Code = 1.2.2</t>
        </is>
      </c>
      <c r="E456" s="12" t="inlineStr">
        <is>
          <t>R213-v1</t>
        </is>
      </c>
      <c r="F456" s="12" t="inlineStr">
        <is>
          <t>1.2.2 Stations - Architectural Fit-Out</t>
        </is>
      </c>
      <c r="G456" s="12" t="inlineStr">
        <is>
          <t>ONE_TO_ONE</t>
        </is>
      </c>
      <c r="H456" s="12" t="inlineStr">
        <is>
          <t>APPROVED</t>
        </is>
      </c>
      <c r="I456" s="12" t="inlineStr">
        <is>
          <t>New</t>
        </is>
      </c>
      <c r="J456" s="12" t="inlineStr">
        <is>
          <t>Source assignment -- not individually reviewed</t>
        </is>
      </c>
      <c r="K456" s="12" t="inlineStr"/>
      <c r="L456" s="12" t="inlineStr"/>
      <c r="M456" s="12" t="inlineStr"/>
      <c r="N456" s="17" t="inlineStr">
        <is>
          <t>10 EVIDENCE &amp; DECISIONS</t>
        </is>
      </c>
    </row>
    <row r="457" ht="34" customHeight="1">
      <c r="A457" s="12" t="inlineStr">
        <is>
          <t>Contractor Programme</t>
        </is>
      </c>
      <c r="B457" s="12" t="inlineStr">
        <is>
          <t>SCH-02-036</t>
        </is>
      </c>
      <c r="C457" s="12" t="inlineStr">
        <is>
          <t>Harbour Station: fire-life-safety cabling - inspection</t>
        </is>
      </c>
      <c r="D457" s="12" t="inlineStr">
        <is>
          <t>WBS Code = 1.2.2</t>
        </is>
      </c>
      <c r="E457" s="12" t="inlineStr">
        <is>
          <t>R216-v1</t>
        </is>
      </c>
      <c r="F457" s="12" t="inlineStr">
        <is>
          <t>1.2.2 Stations - Architectural Fit-Out</t>
        </is>
      </c>
      <c r="G457" s="12" t="inlineStr">
        <is>
          <t>ONE_TO_ONE</t>
        </is>
      </c>
      <c r="H457" s="12" t="inlineStr">
        <is>
          <t>APPROVED</t>
        </is>
      </c>
      <c r="I457" s="12" t="inlineStr">
        <is>
          <t>New</t>
        </is>
      </c>
      <c r="J457" s="12" t="inlineStr">
        <is>
          <t>Source assignment -- not individually reviewed</t>
        </is>
      </c>
      <c r="K457" s="12" t="inlineStr"/>
      <c r="L457" s="12" t="inlineStr"/>
      <c r="M457" s="12" t="inlineStr"/>
      <c r="N457" s="17" t="inlineStr">
        <is>
          <t>10 EVIDENCE &amp; DECISIONS</t>
        </is>
      </c>
    </row>
    <row r="458" ht="34" customHeight="1">
      <c r="A458" s="12" t="inlineStr">
        <is>
          <t>Contractor Programme</t>
        </is>
      </c>
      <c r="B458" s="12" t="inlineStr">
        <is>
          <t>SCH-02-039</t>
        </is>
      </c>
      <c r="C458" s="12" t="inlineStr">
        <is>
          <t>University Station: public-realm paving - field start</t>
        </is>
      </c>
      <c r="D458" s="12" t="inlineStr">
        <is>
          <t>WBS Code = 1.2.2</t>
        </is>
      </c>
      <c r="E458" s="12" t="inlineStr">
        <is>
          <t>R219-v1</t>
        </is>
      </c>
      <c r="F458" s="12" t="inlineStr">
        <is>
          <t>1.2.2 Stations - Architectural Fit-Out</t>
        </is>
      </c>
      <c r="G458" s="12" t="inlineStr">
        <is>
          <t>ONE_TO_ONE</t>
        </is>
      </c>
      <c r="H458" s="12" t="inlineStr">
        <is>
          <t>APPROVED</t>
        </is>
      </c>
      <c r="I458" s="12" t="inlineStr">
        <is>
          <t>New</t>
        </is>
      </c>
      <c r="J458" s="12" t="inlineStr">
        <is>
          <t>Source assignment -- not individually reviewed</t>
        </is>
      </c>
      <c r="K458" s="12" t="inlineStr"/>
      <c r="L458" s="12" t="inlineStr"/>
      <c r="M458" s="12" t="inlineStr"/>
      <c r="N458" s="17" t="inlineStr">
        <is>
          <t>10 EVIDENCE &amp; DECISIONS</t>
        </is>
      </c>
    </row>
    <row r="459" ht="34" customHeight="1">
      <c r="A459" s="12" t="inlineStr">
        <is>
          <t>Contractor Programme</t>
        </is>
      </c>
      <c r="B459" s="12" t="inlineStr">
        <is>
          <t>SCH-02-042</t>
        </is>
      </c>
      <c r="C459" s="12" t="inlineStr">
        <is>
          <t>Market Station: platform edge installation - turnover</t>
        </is>
      </c>
      <c r="D459" s="12" t="inlineStr">
        <is>
          <t>WBS Code = 1.2.2</t>
        </is>
      </c>
      <c r="E459" s="12" t="inlineStr">
        <is>
          <t>R222-v1</t>
        </is>
      </c>
      <c r="F459" s="12" t="inlineStr">
        <is>
          <t>1.2.2 Stations - Architectural Fit-Out</t>
        </is>
      </c>
      <c r="G459" s="12" t="inlineStr">
        <is>
          <t>ONE_TO_ONE</t>
        </is>
      </c>
      <c r="H459" s="12" t="inlineStr">
        <is>
          <t>APPROVED</t>
        </is>
      </c>
      <c r="I459" s="12" t="inlineStr">
        <is>
          <t>New</t>
        </is>
      </c>
      <c r="J459" s="12" t="inlineStr">
        <is>
          <t>Source assignment -- not individually reviewed</t>
        </is>
      </c>
      <c r="K459" s="12" t="inlineStr"/>
      <c r="L459" s="12" t="inlineStr"/>
      <c r="M459" s="12" t="inlineStr"/>
      <c r="N459" s="17" t="inlineStr">
        <is>
          <t>10 EVIDENCE &amp; DECISIONS</t>
        </is>
      </c>
    </row>
    <row r="460" ht="34" customHeight="1">
      <c r="A460" s="12" t="inlineStr">
        <is>
          <t>Contractor Programme</t>
        </is>
      </c>
      <c r="B460" s="12" t="inlineStr">
        <is>
          <t>SCH-02-045</t>
        </is>
      </c>
      <c r="C460" s="12" t="inlineStr">
        <is>
          <t>West Terminal: concourse slab pour - installation</t>
        </is>
      </c>
      <c r="D460" s="12" t="inlineStr">
        <is>
          <t>WBS Code = 1.2.2</t>
        </is>
      </c>
      <c r="E460" s="12" t="inlineStr">
        <is>
          <t>R225-v1</t>
        </is>
      </c>
      <c r="F460" s="12" t="inlineStr">
        <is>
          <t>1.2.2 Stations - Architectural Fit-Out</t>
        </is>
      </c>
      <c r="G460" s="12" t="inlineStr">
        <is>
          <t>ONE_TO_ONE</t>
        </is>
      </c>
      <c r="H460" s="12" t="inlineStr">
        <is>
          <t>APPROVED</t>
        </is>
      </c>
      <c r="I460" s="12" t="inlineStr">
        <is>
          <t>New</t>
        </is>
      </c>
      <c r="J460" s="12" t="inlineStr">
        <is>
          <t>Source assignment -- not individually reviewed</t>
        </is>
      </c>
      <c r="K460" s="12" t="inlineStr"/>
      <c r="L460" s="12" t="inlineStr"/>
      <c r="M460" s="12" t="inlineStr"/>
      <c r="N460" s="17" t="inlineStr">
        <is>
          <t>10 EVIDENCE &amp; DECISIONS</t>
        </is>
      </c>
    </row>
    <row r="461" ht="34" customHeight="1">
      <c r="A461" s="12" t="inlineStr">
        <is>
          <t>Contractor Programme</t>
        </is>
      </c>
      <c r="B461" s="12" t="inlineStr">
        <is>
          <t>SCH-02-048</t>
        </is>
      </c>
      <c r="C461" s="12" t="inlineStr">
        <is>
          <t>Civic Station: entrance steel erection - release</t>
        </is>
      </c>
      <c r="D461" s="12" t="inlineStr">
        <is>
          <t>WBS Code = 1.2.2</t>
        </is>
      </c>
      <c r="E461" s="12" t="inlineStr">
        <is>
          <t>R228-v1</t>
        </is>
      </c>
      <c r="F461" s="12" t="inlineStr">
        <is>
          <t>1.2.2 Stations - Architectural Fit-Out</t>
        </is>
      </c>
      <c r="G461" s="12" t="inlineStr">
        <is>
          <t>ONE_TO_ONE</t>
        </is>
      </c>
      <c r="H461" s="12" t="inlineStr">
        <is>
          <t>APPROVED</t>
        </is>
      </c>
      <c r="I461" s="12" t="inlineStr">
        <is>
          <t>New</t>
        </is>
      </c>
      <c r="J461" s="12" t="inlineStr">
        <is>
          <t>Source assignment -- not individually reviewed</t>
        </is>
      </c>
      <c r="K461" s="12" t="inlineStr"/>
      <c r="L461" s="12" t="inlineStr"/>
      <c r="M461" s="12" t="inlineStr"/>
      <c r="N461" s="17" t="inlineStr">
        <is>
          <t>10 EVIDENCE &amp; DECISIONS</t>
        </is>
      </c>
    </row>
    <row r="462" ht="34" customHeight="1">
      <c r="A462" s="12" t="inlineStr">
        <is>
          <t>Contractor Programme</t>
        </is>
      </c>
      <c r="B462" s="12" t="inlineStr">
        <is>
          <t>SCH-02-051</t>
        </is>
      </c>
      <c r="C462" s="12" t="inlineStr">
        <is>
          <t>Harbour Station: architectural wall framing - inspection</t>
        </is>
      </c>
      <c r="D462" s="12" t="inlineStr">
        <is>
          <t>WBS Code = 1.2.2</t>
        </is>
      </c>
      <c r="E462" s="12" t="inlineStr">
        <is>
          <t>R231-v1</t>
        </is>
      </c>
      <c r="F462" s="12" t="inlineStr">
        <is>
          <t>1.2.2 Stations - Architectural Fit-Out</t>
        </is>
      </c>
      <c r="G462" s="12" t="inlineStr">
        <is>
          <t>ONE_TO_ONE</t>
        </is>
      </c>
      <c r="H462" s="12" t="inlineStr">
        <is>
          <t>APPROVED</t>
        </is>
      </c>
      <c r="I462" s="12" t="inlineStr">
        <is>
          <t>New</t>
        </is>
      </c>
      <c r="J462" s="12" t="inlineStr">
        <is>
          <t>Source assignment -- not individually reviewed</t>
        </is>
      </c>
      <c r="K462" s="12" t="inlineStr"/>
      <c r="L462" s="12" t="inlineStr"/>
      <c r="M462" s="12" t="inlineStr"/>
      <c r="N462" s="17" t="inlineStr">
        <is>
          <t>10 EVIDENCE &amp; DECISIONS</t>
        </is>
      </c>
    </row>
    <row r="463" ht="34" customHeight="1">
      <c r="A463" s="12" t="inlineStr">
        <is>
          <t>Contractor Programme</t>
        </is>
      </c>
      <c r="B463" s="12" t="inlineStr">
        <is>
          <t>SCH-02-054</t>
        </is>
      </c>
      <c r="C463" s="12" t="inlineStr">
        <is>
          <t>University Station: station ventilation rough-in - field start</t>
        </is>
      </c>
      <c r="D463" s="12" t="inlineStr">
        <is>
          <t>WBS Code = 1.2.2</t>
        </is>
      </c>
      <c r="E463" s="12" t="inlineStr">
        <is>
          <t>R234-v1</t>
        </is>
      </c>
      <c r="F463" s="12" t="inlineStr">
        <is>
          <t>1.2.2 Stations - Architectural Fit-Out</t>
        </is>
      </c>
      <c r="G463" s="12" t="inlineStr">
        <is>
          <t>ONE_TO_ONE</t>
        </is>
      </c>
      <c r="H463" s="12" t="inlineStr">
        <is>
          <t>APPROVED</t>
        </is>
      </c>
      <c r="I463" s="12" t="inlineStr">
        <is>
          <t>New</t>
        </is>
      </c>
      <c r="J463" s="12" t="inlineStr">
        <is>
          <t>Source assignment -- not individually reviewed</t>
        </is>
      </c>
      <c r="K463" s="12" t="inlineStr"/>
      <c r="L463" s="12" t="inlineStr"/>
      <c r="M463" s="12" t="inlineStr"/>
      <c r="N463" s="17" t="inlineStr">
        <is>
          <t>10 EVIDENCE &amp; DECISIONS</t>
        </is>
      </c>
    </row>
    <row r="464" ht="34" customHeight="1">
      <c r="A464" s="12" t="inlineStr">
        <is>
          <t>Contractor Programme</t>
        </is>
      </c>
      <c r="B464" s="12" t="inlineStr">
        <is>
          <t>SCH-02-057</t>
        </is>
      </c>
      <c r="C464" s="12" t="inlineStr">
        <is>
          <t>Market Station: vertical-transport installation - turnover</t>
        </is>
      </c>
      <c r="D464" s="12" t="inlineStr">
        <is>
          <t>WBS Code = 1.2.2</t>
        </is>
      </c>
      <c r="E464" s="12" t="inlineStr">
        <is>
          <t>R237-v1</t>
        </is>
      </c>
      <c r="F464" s="12" t="inlineStr">
        <is>
          <t>1.2.2 Stations - Architectural Fit-Out</t>
        </is>
      </c>
      <c r="G464" s="12" t="inlineStr">
        <is>
          <t>ONE_TO_ONE</t>
        </is>
      </c>
      <c r="H464" s="12" t="inlineStr">
        <is>
          <t>APPROVED</t>
        </is>
      </c>
      <c r="I464" s="12" t="inlineStr">
        <is>
          <t>New</t>
        </is>
      </c>
      <c r="J464" s="12" t="inlineStr">
        <is>
          <t>Source assignment -- not individually reviewed</t>
        </is>
      </c>
      <c r="K464" s="12" t="inlineStr"/>
      <c r="L464" s="12" t="inlineStr"/>
      <c r="M464" s="12" t="inlineStr"/>
      <c r="N464" s="17" t="inlineStr">
        <is>
          <t>10 EVIDENCE &amp; DECISIONS</t>
        </is>
      </c>
    </row>
    <row r="465" ht="34" customHeight="1">
      <c r="A465" s="12" t="inlineStr">
        <is>
          <t>Contractor Programme</t>
        </is>
      </c>
      <c r="B465" s="12" t="inlineStr">
        <is>
          <t>SCH-02-060</t>
        </is>
      </c>
      <c r="C465" s="12" t="inlineStr">
        <is>
          <t>West Terminal: fire-life-safety cabling - installation</t>
        </is>
      </c>
      <c r="D465" s="12" t="inlineStr">
        <is>
          <t>WBS Code = 1.2.2</t>
        </is>
      </c>
      <c r="E465" s="12" t="inlineStr">
        <is>
          <t>R240-v1</t>
        </is>
      </c>
      <c r="F465" s="12" t="inlineStr">
        <is>
          <t>1.2.2 Stations - Architectural Fit-Out</t>
        </is>
      </c>
      <c r="G465" s="12" t="inlineStr">
        <is>
          <t>ONE_TO_ONE</t>
        </is>
      </c>
      <c r="H465" s="12" t="inlineStr">
        <is>
          <t>APPROVED</t>
        </is>
      </c>
      <c r="I465" s="12" t="inlineStr">
        <is>
          <t>New</t>
        </is>
      </c>
      <c r="J465" s="12" t="inlineStr">
        <is>
          <t>Source assignment -- not individually reviewed</t>
        </is>
      </c>
      <c r="K465" s="12" t="inlineStr"/>
      <c r="L465" s="12" t="inlineStr"/>
      <c r="M465" s="12" t="inlineStr"/>
      <c r="N465" s="17" t="inlineStr">
        <is>
          <t>10 EVIDENCE &amp; DECISIONS</t>
        </is>
      </c>
    </row>
    <row r="466" ht="34" customHeight="1">
      <c r="A466" s="12" t="inlineStr">
        <is>
          <t>Contractor Programme</t>
        </is>
      </c>
      <c r="B466" s="12" t="inlineStr">
        <is>
          <t>SCH-02-063</t>
        </is>
      </c>
      <c r="C466" s="12" t="inlineStr">
        <is>
          <t>Civic Station: public-realm paving - release</t>
        </is>
      </c>
      <c r="D466" s="12" t="inlineStr">
        <is>
          <t>WBS Code = 1.2.2</t>
        </is>
      </c>
      <c r="E466" s="12" t="inlineStr">
        <is>
          <t>R243-v1</t>
        </is>
      </c>
      <c r="F466" s="12" t="inlineStr">
        <is>
          <t>1.2.2 Stations - Architectural Fit-Out</t>
        </is>
      </c>
      <c r="G466" s="12" t="inlineStr">
        <is>
          <t>ONE_TO_ONE</t>
        </is>
      </c>
      <c r="H466" s="12" t="inlineStr">
        <is>
          <t>APPROVED</t>
        </is>
      </c>
      <c r="I466" s="12" t="inlineStr">
        <is>
          <t>New</t>
        </is>
      </c>
      <c r="J466" s="12" t="inlineStr">
        <is>
          <t>Source assignment -- not individually reviewed</t>
        </is>
      </c>
      <c r="K466" s="12" t="inlineStr"/>
      <c r="L466" s="12" t="inlineStr"/>
      <c r="M466" s="12" t="inlineStr"/>
      <c r="N466" s="17" t="inlineStr">
        <is>
          <t>10 EVIDENCE &amp; DECISIONS</t>
        </is>
      </c>
    </row>
    <row r="467" ht="34" customHeight="1">
      <c r="A467" s="12" t="inlineStr">
        <is>
          <t>Contractor Programme</t>
        </is>
      </c>
      <c r="B467" s="12" t="inlineStr">
        <is>
          <t>SCH-02-066</t>
        </is>
      </c>
      <c r="C467" s="12" t="inlineStr">
        <is>
          <t>Harbour Station: platform edge installation - inspection</t>
        </is>
      </c>
      <c r="D467" s="12" t="inlineStr">
        <is>
          <t>WBS Code = 1.2.2</t>
        </is>
      </c>
      <c r="E467" s="12" t="inlineStr">
        <is>
          <t>R246-v1</t>
        </is>
      </c>
      <c r="F467" s="12" t="inlineStr">
        <is>
          <t>1.2.2 Stations - Architectural Fit-Out</t>
        </is>
      </c>
      <c r="G467" s="12" t="inlineStr">
        <is>
          <t>ONE_TO_ONE</t>
        </is>
      </c>
      <c r="H467" s="12" t="inlineStr">
        <is>
          <t>APPROVED</t>
        </is>
      </c>
      <c r="I467" s="12" t="inlineStr">
        <is>
          <t>New</t>
        </is>
      </c>
      <c r="J467" s="12" t="inlineStr">
        <is>
          <t>Source assignment -- not individually reviewed</t>
        </is>
      </c>
      <c r="K467" s="12" t="inlineStr"/>
      <c r="L467" s="12" t="inlineStr"/>
      <c r="M467" s="12" t="inlineStr"/>
      <c r="N467" s="17" t="inlineStr">
        <is>
          <t>10 EVIDENCE &amp; DECISIONS</t>
        </is>
      </c>
    </row>
    <row r="468" ht="34" customHeight="1">
      <c r="A468" s="12" t="inlineStr">
        <is>
          <t>Contractor Programme</t>
        </is>
      </c>
      <c r="B468" s="12" t="inlineStr">
        <is>
          <t>SCH-02-069</t>
        </is>
      </c>
      <c r="C468" s="12" t="inlineStr">
        <is>
          <t>University Station: concourse slab pour - field start</t>
        </is>
      </c>
      <c r="D468" s="12" t="inlineStr">
        <is>
          <t>WBS Code = 1.2.2</t>
        </is>
      </c>
      <c r="E468" s="12" t="inlineStr">
        <is>
          <t>R249-v1</t>
        </is>
      </c>
      <c r="F468" s="12" t="inlineStr">
        <is>
          <t>1.2.2 Stations - Architectural Fit-Out</t>
        </is>
      </c>
      <c r="G468" s="12" t="inlineStr">
        <is>
          <t>ONE_TO_ONE</t>
        </is>
      </c>
      <c r="H468" s="12" t="inlineStr">
        <is>
          <t>APPROVED</t>
        </is>
      </c>
      <c r="I468" s="12" t="inlineStr">
        <is>
          <t>New</t>
        </is>
      </c>
      <c r="J468" s="12" t="inlineStr">
        <is>
          <t>Source assignment -- not individually reviewed</t>
        </is>
      </c>
      <c r="K468" s="12" t="inlineStr"/>
      <c r="L468" s="12" t="inlineStr"/>
      <c r="M468" s="12" t="inlineStr"/>
      <c r="N468" s="17" t="inlineStr">
        <is>
          <t>10 EVIDENCE &amp; DECISIONS</t>
        </is>
      </c>
    </row>
    <row r="469" ht="34" customHeight="1">
      <c r="A469" s="12" t="inlineStr">
        <is>
          <t>Contractor Programme</t>
        </is>
      </c>
      <c r="B469" s="12" t="inlineStr">
        <is>
          <t>SCH-02-072</t>
        </is>
      </c>
      <c r="C469" s="12" t="inlineStr">
        <is>
          <t>Market Station: entrance steel erection - turnover</t>
        </is>
      </c>
      <c r="D469" s="12" t="inlineStr">
        <is>
          <t>WBS Code = 1.2.2</t>
        </is>
      </c>
      <c r="E469" s="12" t="inlineStr">
        <is>
          <t>R252-v1</t>
        </is>
      </c>
      <c r="F469" s="12" t="inlineStr">
        <is>
          <t>1.2.2 Stations - Architectural Fit-Out</t>
        </is>
      </c>
      <c r="G469" s="12" t="inlineStr">
        <is>
          <t>ONE_TO_ONE</t>
        </is>
      </c>
      <c r="H469" s="12" t="inlineStr">
        <is>
          <t>APPROVED</t>
        </is>
      </c>
      <c r="I469" s="12" t="inlineStr">
        <is>
          <t>New</t>
        </is>
      </c>
      <c r="J469" s="12" t="inlineStr">
        <is>
          <t>Source assignment -- not individually reviewed</t>
        </is>
      </c>
      <c r="K469" s="12" t="inlineStr"/>
      <c r="L469" s="12" t="inlineStr"/>
      <c r="M469" s="12" t="inlineStr"/>
      <c r="N469" s="17" t="inlineStr">
        <is>
          <t>10 EVIDENCE &amp; DECISIONS</t>
        </is>
      </c>
    </row>
    <row r="470" ht="34" customHeight="1">
      <c r="A470" s="12" t="inlineStr">
        <is>
          <t>Contractor Programme</t>
        </is>
      </c>
      <c r="B470" s="12" t="inlineStr">
        <is>
          <t>SCH-02-075</t>
        </is>
      </c>
      <c r="C470" s="12" t="inlineStr">
        <is>
          <t>West Terminal: architectural wall framing - installation</t>
        </is>
      </c>
      <c r="D470" s="12" t="inlineStr">
        <is>
          <t>WBS Code = 1.2.2</t>
        </is>
      </c>
      <c r="E470" s="12" t="inlineStr">
        <is>
          <t>R255-v1</t>
        </is>
      </c>
      <c r="F470" s="12" t="inlineStr">
        <is>
          <t>1.2.2 Stations - Architectural Fit-Out</t>
        </is>
      </c>
      <c r="G470" s="12" t="inlineStr">
        <is>
          <t>ONE_TO_ONE</t>
        </is>
      </c>
      <c r="H470" s="12" t="inlineStr">
        <is>
          <t>APPROVED</t>
        </is>
      </c>
      <c r="I470" s="12" t="inlineStr">
        <is>
          <t>New</t>
        </is>
      </c>
      <c r="J470" s="12" t="inlineStr">
        <is>
          <t>Source assignment -- not individually reviewed</t>
        </is>
      </c>
      <c r="K470" s="12" t="inlineStr"/>
      <c r="L470" s="12" t="inlineStr"/>
      <c r="M470" s="12" t="inlineStr"/>
      <c r="N470" s="17" t="inlineStr">
        <is>
          <t>10 EVIDENCE &amp; DECISIONS</t>
        </is>
      </c>
    </row>
    <row r="471" ht="34" customHeight="1">
      <c r="A471" s="12" t="inlineStr">
        <is>
          <t>Contractor Programme</t>
        </is>
      </c>
      <c r="B471" s="12" t="inlineStr">
        <is>
          <t>SCH-02-078</t>
        </is>
      </c>
      <c r="C471" s="12" t="inlineStr">
        <is>
          <t>Civic Station: station ventilation rough-in - release</t>
        </is>
      </c>
      <c r="D471" s="12" t="inlineStr">
        <is>
          <t>WBS Code = 1.2.2</t>
        </is>
      </c>
      <c r="E471" s="12" t="inlineStr">
        <is>
          <t>R258-v1</t>
        </is>
      </c>
      <c r="F471" s="12" t="inlineStr">
        <is>
          <t>1.2.2 Stations - Architectural Fit-Out</t>
        </is>
      </c>
      <c r="G471" s="12" t="inlineStr">
        <is>
          <t>ONE_TO_ONE</t>
        </is>
      </c>
      <c r="H471" s="12" t="inlineStr">
        <is>
          <t>APPROVED</t>
        </is>
      </c>
      <c r="I471" s="12" t="inlineStr">
        <is>
          <t>New</t>
        </is>
      </c>
      <c r="J471" s="12" t="inlineStr">
        <is>
          <t>Source assignment -- not individually reviewed</t>
        </is>
      </c>
      <c r="K471" s="12" t="inlineStr"/>
      <c r="L471" s="12" t="inlineStr"/>
      <c r="M471" s="12" t="inlineStr"/>
      <c r="N471" s="17" t="inlineStr">
        <is>
          <t>10 EVIDENCE &amp; DECISIONS</t>
        </is>
      </c>
    </row>
    <row r="472" ht="34" customHeight="1">
      <c r="A472" s="12" t="inlineStr">
        <is>
          <t>Contractor Programme</t>
        </is>
      </c>
      <c r="B472" s="12" t="inlineStr">
        <is>
          <t>SCH-02-081</t>
        </is>
      </c>
      <c r="C472" s="12" t="inlineStr">
        <is>
          <t>Harbour Station: vertical-transport installation - inspection</t>
        </is>
      </c>
      <c r="D472" s="12" t="inlineStr">
        <is>
          <t>WBS Code = 1.2.2</t>
        </is>
      </c>
      <c r="E472" s="12" t="inlineStr">
        <is>
          <t>R261-v1</t>
        </is>
      </c>
      <c r="F472" s="12" t="inlineStr">
        <is>
          <t>1.2.2 Stations - Architectural Fit-Out</t>
        </is>
      </c>
      <c r="G472" s="12" t="inlineStr">
        <is>
          <t>ONE_TO_ONE</t>
        </is>
      </c>
      <c r="H472" s="12" t="inlineStr">
        <is>
          <t>APPROVED</t>
        </is>
      </c>
      <c r="I472" s="12" t="inlineStr">
        <is>
          <t>New</t>
        </is>
      </c>
      <c r="J472" s="12" t="inlineStr">
        <is>
          <t>Source assignment -- not individually reviewed</t>
        </is>
      </c>
      <c r="K472" s="12" t="inlineStr"/>
      <c r="L472" s="12" t="inlineStr"/>
      <c r="M472" s="12" t="inlineStr"/>
      <c r="N472" s="17" t="inlineStr">
        <is>
          <t>10 EVIDENCE &amp; DECISIONS</t>
        </is>
      </c>
    </row>
    <row r="473" ht="34" customHeight="1">
      <c r="A473" s="12" t="inlineStr">
        <is>
          <t>Contractor Programme</t>
        </is>
      </c>
      <c r="B473" s="12" t="inlineStr">
        <is>
          <t>SCH-02-084</t>
        </is>
      </c>
      <c r="C473" s="12" t="inlineStr">
        <is>
          <t>University Station: fire-life-safety cabling - field start</t>
        </is>
      </c>
      <c r="D473" s="12" t="inlineStr">
        <is>
          <t>WBS Code = 1.2.2</t>
        </is>
      </c>
      <c r="E473" s="12" t="inlineStr">
        <is>
          <t>R264-v1</t>
        </is>
      </c>
      <c r="F473" s="12" t="inlineStr">
        <is>
          <t>1.2.2 Stations - Architectural Fit-Out</t>
        </is>
      </c>
      <c r="G473" s="12" t="inlineStr">
        <is>
          <t>ONE_TO_ONE</t>
        </is>
      </c>
      <c r="H473" s="12" t="inlineStr">
        <is>
          <t>APPROVED</t>
        </is>
      </c>
      <c r="I473" s="12" t="inlineStr">
        <is>
          <t>New</t>
        </is>
      </c>
      <c r="J473" s="12" t="inlineStr">
        <is>
          <t>Source assignment -- not individually reviewed</t>
        </is>
      </c>
      <c r="K473" s="12" t="inlineStr"/>
      <c r="L473" s="12" t="inlineStr"/>
      <c r="M473" s="12" t="inlineStr"/>
      <c r="N473" s="17" t="inlineStr">
        <is>
          <t>10 EVIDENCE &amp; DECISIONS</t>
        </is>
      </c>
    </row>
    <row r="474" ht="34" customHeight="1">
      <c r="A474" s="12" t="inlineStr">
        <is>
          <t>Contractor Programme</t>
        </is>
      </c>
      <c r="B474" s="12" t="inlineStr">
        <is>
          <t>SCH-02-087</t>
        </is>
      </c>
      <c r="C474" s="12" t="inlineStr">
        <is>
          <t>Market Station: public-realm paving - turnover</t>
        </is>
      </c>
      <c r="D474" s="12" t="inlineStr">
        <is>
          <t>WBS Code = 1.2.2</t>
        </is>
      </c>
      <c r="E474" s="12" t="inlineStr">
        <is>
          <t>R267-v1</t>
        </is>
      </c>
      <c r="F474" s="12" t="inlineStr">
        <is>
          <t>1.2.2 Stations - Architectural Fit-Out</t>
        </is>
      </c>
      <c r="G474" s="12" t="inlineStr">
        <is>
          <t>ONE_TO_ONE</t>
        </is>
      </c>
      <c r="H474" s="12" t="inlineStr">
        <is>
          <t>APPROVED</t>
        </is>
      </c>
      <c r="I474" s="12" t="inlineStr">
        <is>
          <t>New</t>
        </is>
      </c>
      <c r="J474" s="12" t="inlineStr">
        <is>
          <t>Source assignment -- not individually reviewed</t>
        </is>
      </c>
      <c r="K474" s="12" t="inlineStr"/>
      <c r="L474" s="12" t="inlineStr"/>
      <c r="M474" s="12" t="inlineStr"/>
      <c r="N474" s="17" t="inlineStr">
        <is>
          <t>10 EVIDENCE &amp; DECISIONS</t>
        </is>
      </c>
    </row>
    <row r="475" ht="34" customHeight="1">
      <c r="A475" s="12" t="inlineStr">
        <is>
          <t>Contractor Programme</t>
        </is>
      </c>
      <c r="B475" s="12" t="inlineStr">
        <is>
          <t>SCH-02-090</t>
        </is>
      </c>
      <c r="C475" s="12" t="inlineStr">
        <is>
          <t>West Terminal: platform edge installation - installation</t>
        </is>
      </c>
      <c r="D475" s="12" t="inlineStr">
        <is>
          <t>WBS Code = 1.2.2</t>
        </is>
      </c>
      <c r="E475" s="12" t="inlineStr">
        <is>
          <t>R270-v1</t>
        </is>
      </c>
      <c r="F475" s="12" t="inlineStr">
        <is>
          <t>1.2.2 Stations - Architectural Fit-Out</t>
        </is>
      </c>
      <c r="G475" s="12" t="inlineStr">
        <is>
          <t>ONE_TO_ONE</t>
        </is>
      </c>
      <c r="H475" s="12" t="inlineStr">
        <is>
          <t>APPROVED</t>
        </is>
      </c>
      <c r="I475" s="12" t="inlineStr">
        <is>
          <t>New</t>
        </is>
      </c>
      <c r="J475" s="12" t="inlineStr">
        <is>
          <t>Source assignment -- not individually reviewed</t>
        </is>
      </c>
      <c r="K475" s="12" t="inlineStr"/>
      <c r="L475" s="12" t="inlineStr"/>
      <c r="M475" s="12" t="inlineStr"/>
      <c r="N475" s="17" t="inlineStr">
        <is>
          <t>10 EVIDENCE &amp; DECISIONS</t>
        </is>
      </c>
    </row>
    <row r="476" ht="34" customHeight="1">
      <c r="A476" s="12" t="inlineStr">
        <is>
          <t>Contractor Programme</t>
        </is>
      </c>
      <c r="B476" s="12" t="inlineStr">
        <is>
          <t>SCH-02-093</t>
        </is>
      </c>
      <c r="C476" s="12" t="inlineStr">
        <is>
          <t>Civic Station: concourse slab pour - release</t>
        </is>
      </c>
      <c r="D476" s="12" t="inlineStr">
        <is>
          <t>WBS Code = 1.2.2</t>
        </is>
      </c>
      <c r="E476" s="12" t="inlineStr">
        <is>
          <t>R273-v1</t>
        </is>
      </c>
      <c r="F476" s="12" t="inlineStr">
        <is>
          <t>1.2.2 Stations - Architectural Fit-Out</t>
        </is>
      </c>
      <c r="G476" s="12" t="inlineStr">
        <is>
          <t>ONE_TO_ONE</t>
        </is>
      </c>
      <c r="H476" s="12" t="inlineStr">
        <is>
          <t>APPROVED</t>
        </is>
      </c>
      <c r="I476" s="12" t="inlineStr">
        <is>
          <t>New</t>
        </is>
      </c>
      <c r="J476" s="12" t="inlineStr">
        <is>
          <t>Source assignment -- not individually reviewed</t>
        </is>
      </c>
      <c r="K476" s="12" t="inlineStr"/>
      <c r="L476" s="12" t="inlineStr"/>
      <c r="M476" s="12" t="inlineStr"/>
      <c r="N476" s="17" t="inlineStr">
        <is>
          <t>10 EVIDENCE &amp; DECISIONS</t>
        </is>
      </c>
    </row>
    <row r="477" ht="34" customHeight="1">
      <c r="A477" s="12" t="inlineStr">
        <is>
          <t>Contractor Programme</t>
        </is>
      </c>
      <c r="B477" s="12" t="inlineStr">
        <is>
          <t>SCH-02-096</t>
        </is>
      </c>
      <c r="C477" s="12" t="inlineStr">
        <is>
          <t>Harbour Station: entrance steel erection - inspection</t>
        </is>
      </c>
      <c r="D477" s="12" t="inlineStr">
        <is>
          <t>WBS Code = 1.2.2</t>
        </is>
      </c>
      <c r="E477" s="12" t="inlineStr">
        <is>
          <t>R276-v1</t>
        </is>
      </c>
      <c r="F477" s="12" t="inlineStr">
        <is>
          <t>1.2.2 Stations - Architectural Fit-Out</t>
        </is>
      </c>
      <c r="G477" s="12" t="inlineStr">
        <is>
          <t>ONE_TO_ONE</t>
        </is>
      </c>
      <c r="H477" s="12" t="inlineStr">
        <is>
          <t>APPROVED</t>
        </is>
      </c>
      <c r="I477" s="12" t="inlineStr">
        <is>
          <t>New</t>
        </is>
      </c>
      <c r="J477" s="12" t="inlineStr">
        <is>
          <t>Source assignment -- not individually reviewed</t>
        </is>
      </c>
      <c r="K477" s="12" t="inlineStr"/>
      <c r="L477" s="12" t="inlineStr"/>
      <c r="M477" s="12" t="inlineStr"/>
      <c r="N477" s="17" t="inlineStr">
        <is>
          <t>10 EVIDENCE &amp; DECISIONS</t>
        </is>
      </c>
    </row>
    <row r="478" ht="34" customHeight="1">
      <c r="A478" s="12" t="inlineStr">
        <is>
          <t>Contractor Programme</t>
        </is>
      </c>
      <c r="B478" s="12" t="inlineStr">
        <is>
          <t>SCH-02-099</t>
        </is>
      </c>
      <c r="C478" s="12" t="inlineStr">
        <is>
          <t>University Station: architectural wall framing - field start</t>
        </is>
      </c>
      <c r="D478" s="12" t="inlineStr">
        <is>
          <t>WBS Code = 1.2.2</t>
        </is>
      </c>
      <c r="E478" s="12" t="inlineStr">
        <is>
          <t>R279-v1</t>
        </is>
      </c>
      <c r="F478" s="12" t="inlineStr">
        <is>
          <t>1.2.2 Stations - Architectural Fit-Out</t>
        </is>
      </c>
      <c r="G478" s="12" t="inlineStr">
        <is>
          <t>ONE_TO_ONE</t>
        </is>
      </c>
      <c r="H478" s="12" t="inlineStr">
        <is>
          <t>APPROVED</t>
        </is>
      </c>
      <c r="I478" s="12" t="inlineStr">
        <is>
          <t>New</t>
        </is>
      </c>
      <c r="J478" s="12" t="inlineStr">
        <is>
          <t>Source assignment -- not individually reviewed</t>
        </is>
      </c>
      <c r="K478" s="12" t="inlineStr"/>
      <c r="L478" s="12" t="inlineStr"/>
      <c r="M478" s="12" t="inlineStr"/>
      <c r="N478" s="17" t="inlineStr">
        <is>
          <t>10 EVIDENCE &amp; DECISIONS</t>
        </is>
      </c>
    </row>
    <row r="479" ht="34" customHeight="1">
      <c r="A479" s="12" t="inlineStr">
        <is>
          <t>Contractor Programme</t>
        </is>
      </c>
      <c r="B479" s="12" t="inlineStr">
        <is>
          <t>SCH-02-102</t>
        </is>
      </c>
      <c r="C479" s="12" t="inlineStr">
        <is>
          <t>Market Station: station ventilation rough-in - turnover</t>
        </is>
      </c>
      <c r="D479" s="12" t="inlineStr">
        <is>
          <t>WBS Code = 1.2.2</t>
        </is>
      </c>
      <c r="E479" s="12" t="inlineStr">
        <is>
          <t>R282-v1</t>
        </is>
      </c>
      <c r="F479" s="12" t="inlineStr">
        <is>
          <t>1.2.2 Stations - Architectural Fit-Out</t>
        </is>
      </c>
      <c r="G479" s="12" t="inlineStr">
        <is>
          <t>ONE_TO_ONE</t>
        </is>
      </c>
      <c r="H479" s="12" t="inlineStr">
        <is>
          <t>APPROVED</t>
        </is>
      </c>
      <c r="I479" s="12" t="inlineStr">
        <is>
          <t>New</t>
        </is>
      </c>
      <c r="J479" s="12" t="inlineStr">
        <is>
          <t>Source assignment -- not individually reviewed</t>
        </is>
      </c>
      <c r="K479" s="12" t="inlineStr"/>
      <c r="L479" s="12" t="inlineStr"/>
      <c r="M479" s="12" t="inlineStr"/>
      <c r="N479" s="17" t="inlineStr">
        <is>
          <t>10 EVIDENCE &amp; DECISIONS</t>
        </is>
      </c>
    </row>
    <row r="480" ht="34" customHeight="1">
      <c r="A480" s="12" t="inlineStr">
        <is>
          <t>Contractor Programme</t>
        </is>
      </c>
      <c r="B480" s="12" t="inlineStr">
        <is>
          <t>SCH-02-105</t>
        </is>
      </c>
      <c r="C480" s="12" t="inlineStr">
        <is>
          <t>West Terminal: vertical-transport installation - installation</t>
        </is>
      </c>
      <c r="D480" s="12" t="inlineStr">
        <is>
          <t>WBS Code = 1.2.2</t>
        </is>
      </c>
      <c r="E480" s="12" t="inlineStr">
        <is>
          <t>R285-v1</t>
        </is>
      </c>
      <c r="F480" s="12" t="inlineStr">
        <is>
          <t>1.2.2 Stations - Architectural Fit-Out</t>
        </is>
      </c>
      <c r="G480" s="12" t="inlineStr">
        <is>
          <t>ONE_TO_ONE</t>
        </is>
      </c>
      <c r="H480" s="12" t="inlineStr">
        <is>
          <t>APPROVED</t>
        </is>
      </c>
      <c r="I480" s="12" t="inlineStr">
        <is>
          <t>New</t>
        </is>
      </c>
      <c r="J480" s="12" t="inlineStr">
        <is>
          <t>Source assignment -- not individually reviewed</t>
        </is>
      </c>
      <c r="K480" s="12" t="inlineStr"/>
      <c r="L480" s="12" t="inlineStr"/>
      <c r="M480" s="12" t="inlineStr"/>
      <c r="N480" s="17" t="inlineStr">
        <is>
          <t>10 EVIDENCE &amp; DECISIONS</t>
        </is>
      </c>
    </row>
    <row r="481" ht="34" customHeight="1">
      <c r="A481" s="12" t="inlineStr">
        <is>
          <t>Contractor Programme</t>
        </is>
      </c>
      <c r="B481" s="12" t="inlineStr">
        <is>
          <t>SCH-02-108</t>
        </is>
      </c>
      <c r="C481" s="12" t="inlineStr">
        <is>
          <t>Civic Station: fire-life-safety cabling - release</t>
        </is>
      </c>
      <c r="D481" s="12" t="inlineStr">
        <is>
          <t>WBS Code = 1.2.2</t>
        </is>
      </c>
      <c r="E481" s="12" t="inlineStr">
        <is>
          <t>R288-v1</t>
        </is>
      </c>
      <c r="F481" s="12" t="inlineStr">
        <is>
          <t>1.2.2 Stations - Architectural Fit-Out</t>
        </is>
      </c>
      <c r="G481" s="12" t="inlineStr">
        <is>
          <t>ONE_TO_ONE</t>
        </is>
      </c>
      <c r="H481" s="12" t="inlineStr">
        <is>
          <t>APPROVED</t>
        </is>
      </c>
      <c r="I481" s="12" t="inlineStr">
        <is>
          <t>New</t>
        </is>
      </c>
      <c r="J481" s="12" t="inlineStr">
        <is>
          <t>Source assignment -- not individually reviewed</t>
        </is>
      </c>
      <c r="K481" s="12" t="inlineStr"/>
      <c r="L481" s="12" t="inlineStr"/>
      <c r="M481" s="12" t="inlineStr"/>
      <c r="N481" s="17" t="inlineStr">
        <is>
          <t>10 EVIDENCE &amp; DECISIONS</t>
        </is>
      </c>
    </row>
    <row r="482" ht="34" customHeight="1">
      <c r="A482" s="12" t="inlineStr">
        <is>
          <t>Contractor Programme</t>
        </is>
      </c>
      <c r="B482" s="12" t="inlineStr">
        <is>
          <t>SCH-02-111</t>
        </is>
      </c>
      <c r="C482" s="12" t="inlineStr">
        <is>
          <t>Harbour Station: public-realm paving - inspection</t>
        </is>
      </c>
      <c r="D482" s="12" t="inlineStr">
        <is>
          <t>WBS Code = 1.2.2</t>
        </is>
      </c>
      <c r="E482" s="12" t="inlineStr">
        <is>
          <t>R291-v1</t>
        </is>
      </c>
      <c r="F482" s="12" t="inlineStr">
        <is>
          <t>1.2.2 Stations - Architectural Fit-Out</t>
        </is>
      </c>
      <c r="G482" s="12" t="inlineStr">
        <is>
          <t>ONE_TO_ONE</t>
        </is>
      </c>
      <c r="H482" s="12" t="inlineStr">
        <is>
          <t>APPROVED</t>
        </is>
      </c>
      <c r="I482" s="12" t="inlineStr">
        <is>
          <t>New</t>
        </is>
      </c>
      <c r="J482" s="12" t="inlineStr">
        <is>
          <t>Source assignment -- not individually reviewed</t>
        </is>
      </c>
      <c r="K482" s="12" t="inlineStr"/>
      <c r="L482" s="12" t="inlineStr"/>
      <c r="M482" s="12" t="inlineStr"/>
      <c r="N482" s="17" t="inlineStr">
        <is>
          <t>10 EVIDENCE &amp; DECISIONS</t>
        </is>
      </c>
    </row>
    <row r="483" ht="34" customHeight="1">
      <c r="A483" s="12" t="inlineStr">
        <is>
          <t>Contractor Programme</t>
        </is>
      </c>
      <c r="B483" s="12" t="inlineStr">
        <is>
          <t>SCH-02-114</t>
        </is>
      </c>
      <c r="C483" s="12" t="inlineStr">
        <is>
          <t>University Station: platform edge installation - field start</t>
        </is>
      </c>
      <c r="D483" s="12" t="inlineStr">
        <is>
          <t>WBS Code = 1.2.2</t>
        </is>
      </c>
      <c r="E483" s="12" t="inlineStr">
        <is>
          <t>R294-v1</t>
        </is>
      </c>
      <c r="F483" s="12" t="inlineStr">
        <is>
          <t>1.2.2 Stations - Architectural Fit-Out</t>
        </is>
      </c>
      <c r="G483" s="12" t="inlineStr">
        <is>
          <t>ONE_TO_ONE</t>
        </is>
      </c>
      <c r="H483" s="12" t="inlineStr">
        <is>
          <t>APPROVED</t>
        </is>
      </c>
      <c r="I483" s="12" t="inlineStr">
        <is>
          <t>New</t>
        </is>
      </c>
      <c r="J483" s="12" t="inlineStr">
        <is>
          <t>Source assignment -- not individually reviewed</t>
        </is>
      </c>
      <c r="K483" s="12" t="inlineStr"/>
      <c r="L483" s="12" t="inlineStr"/>
      <c r="M483" s="12" t="inlineStr"/>
      <c r="N483" s="17" t="inlineStr">
        <is>
          <t>10 EVIDENCE &amp; DECISIONS</t>
        </is>
      </c>
    </row>
    <row r="484" ht="34" customHeight="1">
      <c r="A484" s="12" t="inlineStr">
        <is>
          <t>Contractor Programme</t>
        </is>
      </c>
      <c r="B484" s="12" t="inlineStr">
        <is>
          <t>SCH-02-117</t>
        </is>
      </c>
      <c r="C484" s="12" t="inlineStr">
        <is>
          <t>Market Station: concourse slab pour - turnover</t>
        </is>
      </c>
      <c r="D484" s="12" t="inlineStr">
        <is>
          <t>WBS Code = 1.2.2</t>
        </is>
      </c>
      <c r="E484" s="12" t="inlineStr">
        <is>
          <t>R297-v1</t>
        </is>
      </c>
      <c r="F484" s="12" t="inlineStr">
        <is>
          <t>1.2.2 Stations - Architectural Fit-Out</t>
        </is>
      </c>
      <c r="G484" s="12" t="inlineStr">
        <is>
          <t>ONE_TO_ONE</t>
        </is>
      </c>
      <c r="H484" s="12" t="inlineStr">
        <is>
          <t>APPROVED</t>
        </is>
      </c>
      <c r="I484" s="12" t="inlineStr">
        <is>
          <t>New</t>
        </is>
      </c>
      <c r="J484" s="12" t="inlineStr">
        <is>
          <t>Source assignment -- not individually reviewed</t>
        </is>
      </c>
      <c r="K484" s="12" t="inlineStr"/>
      <c r="L484" s="12" t="inlineStr"/>
      <c r="M484" s="12" t="inlineStr"/>
      <c r="N484" s="17" t="inlineStr">
        <is>
          <t>10 EVIDENCE &amp; DECISIONS</t>
        </is>
      </c>
    </row>
    <row r="485" ht="34" customHeight="1">
      <c r="A485" s="12" t="inlineStr">
        <is>
          <t>Contractor Programme</t>
        </is>
      </c>
      <c r="B485" s="12" t="inlineStr">
        <is>
          <t>SCH-02-120</t>
        </is>
      </c>
      <c r="C485" s="12" t="inlineStr">
        <is>
          <t>West Terminal: entrance steel erection - installation</t>
        </is>
      </c>
      <c r="D485" s="12" t="inlineStr">
        <is>
          <t>WBS Code = 1.2.2</t>
        </is>
      </c>
      <c r="E485" s="12" t="inlineStr">
        <is>
          <t>R300-v1</t>
        </is>
      </c>
      <c r="F485" s="12" t="inlineStr">
        <is>
          <t>1.2.2 Stations - Architectural Fit-Out</t>
        </is>
      </c>
      <c r="G485" s="12" t="inlineStr">
        <is>
          <t>ONE_TO_ONE</t>
        </is>
      </c>
      <c r="H485" s="12" t="inlineStr">
        <is>
          <t>APPROVED</t>
        </is>
      </c>
      <c r="I485" s="12" t="inlineStr">
        <is>
          <t>New</t>
        </is>
      </c>
      <c r="J485" s="12" t="inlineStr">
        <is>
          <t>Source assignment -- not individually reviewed</t>
        </is>
      </c>
      <c r="K485" s="12" t="inlineStr"/>
      <c r="L485" s="12" t="inlineStr"/>
      <c r="M485" s="12" t="inlineStr"/>
      <c r="N485" s="17" t="inlineStr">
        <is>
          <t>10 EVIDENCE &amp; DECISIONS</t>
        </is>
      </c>
    </row>
    <row r="486" ht="34" customHeight="1">
      <c r="A486" s="12" t="inlineStr">
        <is>
          <t>Contractor Programme</t>
        </is>
      </c>
      <c r="B486" s="12" t="inlineStr">
        <is>
          <t>SCH-02-123</t>
        </is>
      </c>
      <c r="C486" s="12" t="inlineStr">
        <is>
          <t>Civic Station: architectural wall framing - release</t>
        </is>
      </c>
      <c r="D486" s="12" t="inlineStr">
        <is>
          <t>WBS Code = 1.2.2</t>
        </is>
      </c>
      <c r="E486" s="12" t="inlineStr">
        <is>
          <t>R303-v1</t>
        </is>
      </c>
      <c r="F486" s="12" t="inlineStr">
        <is>
          <t>1.2.2 Stations - Architectural Fit-Out</t>
        </is>
      </c>
      <c r="G486" s="12" t="inlineStr">
        <is>
          <t>ONE_TO_ONE</t>
        </is>
      </c>
      <c r="H486" s="12" t="inlineStr">
        <is>
          <t>APPROVED</t>
        </is>
      </c>
      <c r="I486" s="12" t="inlineStr">
        <is>
          <t>New</t>
        </is>
      </c>
      <c r="J486" s="12" t="inlineStr">
        <is>
          <t>Source assignment -- not individually reviewed</t>
        </is>
      </c>
      <c r="K486" s="12" t="inlineStr"/>
      <c r="L486" s="12" t="inlineStr"/>
      <c r="M486" s="12" t="inlineStr"/>
      <c r="N486" s="17" t="inlineStr">
        <is>
          <t>10 EVIDENCE &amp; DECISIONS</t>
        </is>
      </c>
    </row>
    <row r="487" ht="34" customHeight="1">
      <c r="A487" s="12" t="inlineStr">
        <is>
          <t>Contractor Programme</t>
        </is>
      </c>
      <c r="B487" s="12" t="inlineStr">
        <is>
          <t>SCH-02-126</t>
        </is>
      </c>
      <c r="C487" s="12" t="inlineStr">
        <is>
          <t>Harbour Station: station ventilation rough-in - inspection</t>
        </is>
      </c>
      <c r="D487" s="12" t="inlineStr">
        <is>
          <t>WBS Code = 1.2.2</t>
        </is>
      </c>
      <c r="E487" s="12" t="inlineStr">
        <is>
          <t>R306-v1</t>
        </is>
      </c>
      <c r="F487" s="12" t="inlineStr">
        <is>
          <t>1.2.2 Stations - Architectural Fit-Out</t>
        </is>
      </c>
      <c r="G487" s="12" t="inlineStr">
        <is>
          <t>ONE_TO_ONE</t>
        </is>
      </c>
      <c r="H487" s="12" t="inlineStr">
        <is>
          <t>APPROVED</t>
        </is>
      </c>
      <c r="I487" s="12" t="inlineStr">
        <is>
          <t>New</t>
        </is>
      </c>
      <c r="J487" s="12" t="inlineStr">
        <is>
          <t>Source assignment -- not individually reviewed</t>
        </is>
      </c>
      <c r="K487" s="12" t="inlineStr"/>
      <c r="L487" s="12" t="inlineStr"/>
      <c r="M487" s="12" t="inlineStr"/>
      <c r="N487" s="17" t="inlineStr">
        <is>
          <t>10 EVIDENCE &amp; DECISIONS</t>
        </is>
      </c>
    </row>
    <row r="488" ht="49" customHeight="1">
      <c r="A488" s="12" t="inlineStr">
        <is>
          <t>Contractor Programme</t>
        </is>
      </c>
      <c r="B488" s="12" t="inlineStr">
        <is>
          <t>SCH-02-129</t>
        </is>
      </c>
      <c r="C488" s="12" t="inlineStr">
        <is>
          <t>University Station: vertical-transport installation - field start</t>
        </is>
      </c>
      <c r="D488" s="12" t="inlineStr">
        <is>
          <t>WBS Code = 1.2.2</t>
        </is>
      </c>
      <c r="E488" s="12" t="inlineStr">
        <is>
          <t>R309-v1</t>
        </is>
      </c>
      <c r="F488" s="12" t="inlineStr">
        <is>
          <t>1.2.2 Stations - Architectural Fit-Out</t>
        </is>
      </c>
      <c r="G488" s="12" t="inlineStr">
        <is>
          <t>ONE_TO_ONE</t>
        </is>
      </c>
      <c r="H488" s="12" t="inlineStr">
        <is>
          <t>APPROVED</t>
        </is>
      </c>
      <c r="I488" s="12" t="inlineStr">
        <is>
          <t>New</t>
        </is>
      </c>
      <c r="J488" s="12" t="inlineStr">
        <is>
          <t>Source assignment -- not individually reviewed</t>
        </is>
      </c>
      <c r="K488" s="12" t="inlineStr"/>
      <c r="L488" s="12" t="inlineStr"/>
      <c r="M488" s="12" t="inlineStr"/>
      <c r="N488" s="17" t="inlineStr">
        <is>
          <t>10 EVIDENCE &amp; DECISIONS</t>
        </is>
      </c>
    </row>
    <row r="489" ht="34" customHeight="1">
      <c r="A489" s="12" t="inlineStr">
        <is>
          <t>Contractor Programme</t>
        </is>
      </c>
      <c r="B489" s="12" t="inlineStr">
        <is>
          <t>SCH-02-132</t>
        </is>
      </c>
      <c r="C489" s="12" t="inlineStr">
        <is>
          <t>Market Station: fire-life-safety cabling - turnover</t>
        </is>
      </c>
      <c r="D489" s="12" t="inlineStr">
        <is>
          <t>WBS Code = 1.2.2</t>
        </is>
      </c>
      <c r="E489" s="12" t="inlineStr">
        <is>
          <t>R312-v1</t>
        </is>
      </c>
      <c r="F489" s="12" t="inlineStr">
        <is>
          <t>1.2.2 Stations - Architectural Fit-Out</t>
        </is>
      </c>
      <c r="G489" s="12" t="inlineStr">
        <is>
          <t>ONE_TO_ONE</t>
        </is>
      </c>
      <c r="H489" s="12" t="inlineStr">
        <is>
          <t>APPROVED</t>
        </is>
      </c>
      <c r="I489" s="12" t="inlineStr">
        <is>
          <t>New</t>
        </is>
      </c>
      <c r="J489" s="12" t="inlineStr">
        <is>
          <t>Source assignment -- not individually reviewed</t>
        </is>
      </c>
      <c r="K489" s="12" t="inlineStr"/>
      <c r="L489" s="12" t="inlineStr"/>
      <c r="M489" s="12" t="inlineStr"/>
      <c r="N489" s="17" t="inlineStr">
        <is>
          <t>10 EVIDENCE &amp; DECISIONS</t>
        </is>
      </c>
    </row>
    <row r="490" ht="34" customHeight="1">
      <c r="A490" s="12" t="inlineStr">
        <is>
          <t>Contractor Programme</t>
        </is>
      </c>
      <c r="B490" s="12" t="inlineStr">
        <is>
          <t>SCH-02-135</t>
        </is>
      </c>
      <c r="C490" s="12" t="inlineStr">
        <is>
          <t>West Terminal: public-realm paving - installation</t>
        </is>
      </c>
      <c r="D490" s="12" t="inlineStr">
        <is>
          <t>WBS Code = 1.2.2</t>
        </is>
      </c>
      <c r="E490" s="12" t="inlineStr">
        <is>
          <t>R315-v1</t>
        </is>
      </c>
      <c r="F490" s="12" t="inlineStr">
        <is>
          <t>1.2.2 Stations - Architectural Fit-Out</t>
        </is>
      </c>
      <c r="G490" s="12" t="inlineStr">
        <is>
          <t>ONE_TO_ONE</t>
        </is>
      </c>
      <c r="H490" s="12" t="inlineStr">
        <is>
          <t>APPROVED</t>
        </is>
      </c>
      <c r="I490" s="12" t="inlineStr">
        <is>
          <t>New</t>
        </is>
      </c>
      <c r="J490" s="12" t="inlineStr">
        <is>
          <t>Source assignment -- not individually reviewed</t>
        </is>
      </c>
      <c r="K490" s="12" t="inlineStr"/>
      <c r="L490" s="12" t="inlineStr"/>
      <c r="M490" s="12" t="inlineStr"/>
      <c r="N490" s="17" t="inlineStr">
        <is>
          <t>10 EVIDENCE &amp; DECISIONS</t>
        </is>
      </c>
    </row>
    <row r="491" ht="34" customHeight="1">
      <c r="A491" s="12" t="inlineStr">
        <is>
          <t>Contractor Programme</t>
        </is>
      </c>
      <c r="B491" s="12" t="inlineStr">
        <is>
          <t>SCH-02-138</t>
        </is>
      </c>
      <c r="C491" s="12" t="inlineStr">
        <is>
          <t>Civic Station: platform edge installation - release</t>
        </is>
      </c>
      <c r="D491" s="12" t="inlineStr">
        <is>
          <t>WBS Code = 1.2.2</t>
        </is>
      </c>
      <c r="E491" s="12" t="inlineStr">
        <is>
          <t>R318-v1</t>
        </is>
      </c>
      <c r="F491" s="12" t="inlineStr">
        <is>
          <t>1.2.2 Stations - Architectural Fit-Out</t>
        </is>
      </c>
      <c r="G491" s="12" t="inlineStr">
        <is>
          <t>ONE_TO_ONE</t>
        </is>
      </c>
      <c r="H491" s="12" t="inlineStr">
        <is>
          <t>APPROVED</t>
        </is>
      </c>
      <c r="I491" s="12" t="inlineStr">
        <is>
          <t>New</t>
        </is>
      </c>
      <c r="J491" s="12" t="inlineStr">
        <is>
          <t>Source assignment -- not individually reviewed</t>
        </is>
      </c>
      <c r="K491" s="12" t="inlineStr"/>
      <c r="L491" s="12" t="inlineStr"/>
      <c r="M491" s="12" t="inlineStr"/>
      <c r="N491" s="17" t="inlineStr">
        <is>
          <t>10 EVIDENCE &amp; DECISIONS</t>
        </is>
      </c>
    </row>
    <row r="492" ht="34" customHeight="1">
      <c r="A492" s="12" t="inlineStr">
        <is>
          <t>Contractor Programme</t>
        </is>
      </c>
      <c r="B492" s="12" t="inlineStr">
        <is>
          <t>SCH-02-141</t>
        </is>
      </c>
      <c r="C492" s="12" t="inlineStr">
        <is>
          <t>Harbour Station: concourse slab pour - inspection</t>
        </is>
      </c>
      <c r="D492" s="12" t="inlineStr">
        <is>
          <t>WBS Code = 1.2.2</t>
        </is>
      </c>
      <c r="E492" s="12" t="inlineStr">
        <is>
          <t>R321-v1</t>
        </is>
      </c>
      <c r="F492" s="12" t="inlineStr">
        <is>
          <t>1.2.2 Stations - Architectural Fit-Out</t>
        </is>
      </c>
      <c r="G492" s="12" t="inlineStr">
        <is>
          <t>ONE_TO_ONE</t>
        </is>
      </c>
      <c r="H492" s="12" t="inlineStr">
        <is>
          <t>APPROVED</t>
        </is>
      </c>
      <c r="I492" s="12" t="inlineStr">
        <is>
          <t>New</t>
        </is>
      </c>
      <c r="J492" s="12" t="inlineStr">
        <is>
          <t>Source assignment -- not individually reviewed</t>
        </is>
      </c>
      <c r="K492" s="12" t="inlineStr"/>
      <c r="L492" s="12" t="inlineStr"/>
      <c r="M492" s="12" t="inlineStr"/>
      <c r="N492" s="17" t="inlineStr">
        <is>
          <t>10 EVIDENCE &amp; DECISIONS</t>
        </is>
      </c>
    </row>
    <row r="493" ht="34" customHeight="1">
      <c r="A493" s="12" t="inlineStr">
        <is>
          <t>Contractor Programme</t>
        </is>
      </c>
      <c r="B493" s="12" t="inlineStr">
        <is>
          <t>SCH-02-144</t>
        </is>
      </c>
      <c r="C493" s="12" t="inlineStr">
        <is>
          <t>University Station: entrance steel erection - field start</t>
        </is>
      </c>
      <c r="D493" s="12" t="inlineStr">
        <is>
          <t>WBS Code = 1.2.2</t>
        </is>
      </c>
      <c r="E493" s="12" t="inlineStr">
        <is>
          <t>R324-v1</t>
        </is>
      </c>
      <c r="F493" s="12" t="inlineStr">
        <is>
          <t>1.2.2 Stations - Architectural Fit-Out</t>
        </is>
      </c>
      <c r="G493" s="12" t="inlineStr">
        <is>
          <t>ONE_TO_ONE</t>
        </is>
      </c>
      <c r="H493" s="12" t="inlineStr">
        <is>
          <t>APPROVED</t>
        </is>
      </c>
      <c r="I493" s="12" t="inlineStr">
        <is>
          <t>New</t>
        </is>
      </c>
      <c r="J493" s="12" t="inlineStr">
        <is>
          <t>Source assignment -- not individually reviewed</t>
        </is>
      </c>
      <c r="K493" s="12" t="inlineStr"/>
      <c r="L493" s="12" t="inlineStr"/>
      <c r="M493" s="12" t="inlineStr"/>
      <c r="N493" s="17" t="inlineStr">
        <is>
          <t>10 EVIDENCE &amp; DECISIONS</t>
        </is>
      </c>
    </row>
    <row r="494" ht="34" customHeight="1">
      <c r="A494" s="12" t="inlineStr">
        <is>
          <t>Contractor Programme</t>
        </is>
      </c>
      <c r="B494" s="12" t="inlineStr">
        <is>
          <t>SCH-02-147</t>
        </is>
      </c>
      <c r="C494" s="12" t="inlineStr">
        <is>
          <t>Market Station: architectural wall framing - turnover</t>
        </is>
      </c>
      <c r="D494" s="12" t="inlineStr">
        <is>
          <t>WBS Code = 1.2.2</t>
        </is>
      </c>
      <c r="E494" s="12" t="inlineStr">
        <is>
          <t>R327-v1</t>
        </is>
      </c>
      <c r="F494" s="12" t="inlineStr">
        <is>
          <t>1.2.2 Stations - Architectural Fit-Out</t>
        </is>
      </c>
      <c r="G494" s="12" t="inlineStr">
        <is>
          <t>ONE_TO_ONE</t>
        </is>
      </c>
      <c r="H494" s="12" t="inlineStr">
        <is>
          <t>APPROVED</t>
        </is>
      </c>
      <c r="I494" s="12" t="inlineStr">
        <is>
          <t>New</t>
        </is>
      </c>
      <c r="J494" s="12" t="inlineStr">
        <is>
          <t>Source assignment -- not individually reviewed</t>
        </is>
      </c>
      <c r="K494" s="12" t="inlineStr"/>
      <c r="L494" s="12" t="inlineStr"/>
      <c r="M494" s="12" t="inlineStr"/>
      <c r="N494" s="17" t="inlineStr">
        <is>
          <t>10 EVIDENCE &amp; DECISIONS</t>
        </is>
      </c>
    </row>
    <row r="495" ht="34" customHeight="1">
      <c r="A495" s="12" t="inlineStr">
        <is>
          <t>Contractor Programme</t>
        </is>
      </c>
      <c r="B495" s="12" t="inlineStr">
        <is>
          <t>SCH-02-150</t>
        </is>
      </c>
      <c r="C495" s="12" t="inlineStr">
        <is>
          <t>West Terminal: station ventilation rough-in - installation</t>
        </is>
      </c>
      <c r="D495" s="12" t="inlineStr">
        <is>
          <t>WBS Code = 1.2.2</t>
        </is>
      </c>
      <c r="E495" s="12" t="inlineStr">
        <is>
          <t>R330-v1</t>
        </is>
      </c>
      <c r="F495" s="12" t="inlineStr">
        <is>
          <t>1.2.2 Stations - Architectural Fit-Out</t>
        </is>
      </c>
      <c r="G495" s="12" t="inlineStr">
        <is>
          <t>ONE_TO_ONE</t>
        </is>
      </c>
      <c r="H495" s="12" t="inlineStr">
        <is>
          <t>APPROVED</t>
        </is>
      </c>
      <c r="I495" s="12" t="inlineStr">
        <is>
          <t>New</t>
        </is>
      </c>
      <c r="J495" s="12" t="inlineStr">
        <is>
          <t>Source assignment -- not individually reviewed</t>
        </is>
      </c>
      <c r="K495" s="12" t="inlineStr"/>
      <c r="L495" s="12" t="inlineStr"/>
      <c r="M495" s="12" t="inlineStr"/>
      <c r="N495" s="17" t="inlineStr">
        <is>
          <t>10 EVIDENCE &amp; DECISIONS</t>
        </is>
      </c>
    </row>
    <row r="496" ht="34" customHeight="1">
      <c r="A496" s="12" t="inlineStr">
        <is>
          <t>Contractor Programme</t>
        </is>
      </c>
      <c r="B496" s="12" t="inlineStr">
        <is>
          <t>SCH-02-153</t>
        </is>
      </c>
      <c r="C496" s="12" t="inlineStr">
        <is>
          <t>Civic Station: vertical-transport installation - release</t>
        </is>
      </c>
      <c r="D496" s="12" t="inlineStr">
        <is>
          <t>WBS Code = 1.2.2</t>
        </is>
      </c>
      <c r="E496" s="12" t="inlineStr">
        <is>
          <t>R333-v1</t>
        </is>
      </c>
      <c r="F496" s="12" t="inlineStr">
        <is>
          <t>1.2.2 Stations - Architectural Fit-Out</t>
        </is>
      </c>
      <c r="G496" s="12" t="inlineStr">
        <is>
          <t>ONE_TO_ONE</t>
        </is>
      </c>
      <c r="H496" s="12" t="inlineStr">
        <is>
          <t>APPROVED</t>
        </is>
      </c>
      <c r="I496" s="12" t="inlineStr">
        <is>
          <t>New</t>
        </is>
      </c>
      <c r="J496" s="12" t="inlineStr">
        <is>
          <t>Source assignment -- not individually reviewed</t>
        </is>
      </c>
      <c r="K496" s="12" t="inlineStr"/>
      <c r="L496" s="12" t="inlineStr"/>
      <c r="M496" s="12" t="inlineStr"/>
      <c r="N496" s="17" t="inlineStr">
        <is>
          <t>10 EVIDENCE &amp; DECISIONS</t>
        </is>
      </c>
    </row>
    <row r="497" ht="34" customHeight="1">
      <c r="A497" s="12" t="inlineStr">
        <is>
          <t>Contractor Programme</t>
        </is>
      </c>
      <c r="B497" s="12" t="inlineStr">
        <is>
          <t>SCH-02-156</t>
        </is>
      </c>
      <c r="C497" s="12" t="inlineStr">
        <is>
          <t>Harbour Station: fire-life-safety cabling - inspection</t>
        </is>
      </c>
      <c r="D497" s="12" t="inlineStr">
        <is>
          <t>WBS Code = 1.2.2</t>
        </is>
      </c>
      <c r="E497" s="12" t="inlineStr">
        <is>
          <t>R336-v1</t>
        </is>
      </c>
      <c r="F497" s="12" t="inlineStr">
        <is>
          <t>1.2.2 Stations - Architectural Fit-Out</t>
        </is>
      </c>
      <c r="G497" s="12" t="inlineStr">
        <is>
          <t>ONE_TO_ONE</t>
        </is>
      </c>
      <c r="H497" s="12" t="inlineStr">
        <is>
          <t>APPROVED</t>
        </is>
      </c>
      <c r="I497" s="12" t="inlineStr">
        <is>
          <t>New</t>
        </is>
      </c>
      <c r="J497" s="12" t="inlineStr">
        <is>
          <t>Source assignment -- not individually reviewed</t>
        </is>
      </c>
      <c r="K497" s="12" t="inlineStr"/>
      <c r="L497" s="12" t="inlineStr"/>
      <c r="M497" s="12" t="inlineStr"/>
      <c r="N497" s="17" t="inlineStr">
        <is>
          <t>10 EVIDENCE &amp; DECISIONS</t>
        </is>
      </c>
    </row>
    <row r="498" ht="34" customHeight="1">
      <c r="A498" s="12" t="inlineStr">
        <is>
          <t>Contractor Programme</t>
        </is>
      </c>
      <c r="B498" s="12" t="inlineStr">
        <is>
          <t>SCH-02-159</t>
        </is>
      </c>
      <c r="C498" s="12" t="inlineStr">
        <is>
          <t>University Station: public-realm paving - field start</t>
        </is>
      </c>
      <c r="D498" s="12" t="inlineStr">
        <is>
          <t>WBS Code = 1.2.2</t>
        </is>
      </c>
      <c r="E498" s="12" t="inlineStr">
        <is>
          <t>R339-v1</t>
        </is>
      </c>
      <c r="F498" s="12" t="inlineStr">
        <is>
          <t>1.2.2 Stations - Architectural Fit-Out</t>
        </is>
      </c>
      <c r="G498" s="12" t="inlineStr">
        <is>
          <t>ONE_TO_ONE</t>
        </is>
      </c>
      <c r="H498" s="12" t="inlineStr">
        <is>
          <t>APPROVED</t>
        </is>
      </c>
      <c r="I498" s="12" t="inlineStr">
        <is>
          <t>New</t>
        </is>
      </c>
      <c r="J498" s="12" t="inlineStr">
        <is>
          <t>Source assignment -- not individually reviewed</t>
        </is>
      </c>
      <c r="K498" s="12" t="inlineStr"/>
      <c r="L498" s="12" t="inlineStr"/>
      <c r="M498" s="12" t="inlineStr"/>
      <c r="N498" s="17" t="inlineStr">
        <is>
          <t>10 EVIDENCE &amp; DECISIONS</t>
        </is>
      </c>
    </row>
    <row r="499" ht="34" customHeight="1">
      <c r="A499" s="12" t="inlineStr">
        <is>
          <t>Contractor Programme</t>
        </is>
      </c>
      <c r="B499" s="12" t="inlineStr">
        <is>
          <t>SCH-02-162</t>
        </is>
      </c>
      <c r="C499" s="12" t="inlineStr">
        <is>
          <t>Market Station: platform edge installation - turnover</t>
        </is>
      </c>
      <c r="D499" s="12" t="inlineStr">
        <is>
          <t>WBS Code = 1.2.2</t>
        </is>
      </c>
      <c r="E499" s="12" t="inlineStr">
        <is>
          <t>R342-v1</t>
        </is>
      </c>
      <c r="F499" s="12" t="inlineStr">
        <is>
          <t>1.2.2 Stations - Architectural Fit-Out</t>
        </is>
      </c>
      <c r="G499" s="12" t="inlineStr">
        <is>
          <t>ONE_TO_ONE</t>
        </is>
      </c>
      <c r="H499" s="12" t="inlineStr">
        <is>
          <t>APPROVED</t>
        </is>
      </c>
      <c r="I499" s="12" t="inlineStr">
        <is>
          <t>New</t>
        </is>
      </c>
      <c r="J499" s="12" t="inlineStr">
        <is>
          <t>Source assignment -- not individually reviewed</t>
        </is>
      </c>
      <c r="K499" s="12" t="inlineStr"/>
      <c r="L499" s="12" t="inlineStr"/>
      <c r="M499" s="12" t="inlineStr"/>
      <c r="N499" s="17" t="inlineStr">
        <is>
          <t>10 EVIDENCE &amp; DECISIONS</t>
        </is>
      </c>
    </row>
    <row r="500" ht="34" customHeight="1">
      <c r="A500" s="12" t="inlineStr">
        <is>
          <t>Contractor Programme</t>
        </is>
      </c>
      <c r="B500" s="12" t="inlineStr">
        <is>
          <t>SCH-02-165</t>
        </is>
      </c>
      <c r="C500" s="12" t="inlineStr">
        <is>
          <t>West Terminal: concourse slab pour - installation</t>
        </is>
      </c>
      <c r="D500" s="12" t="inlineStr">
        <is>
          <t>WBS Code = 1.2.2</t>
        </is>
      </c>
      <c r="E500" s="12" t="inlineStr">
        <is>
          <t>R345-v1</t>
        </is>
      </c>
      <c r="F500" s="12" t="inlineStr">
        <is>
          <t>1.2.2 Stations - Architectural Fit-Out</t>
        </is>
      </c>
      <c r="G500" s="12" t="inlineStr">
        <is>
          <t>ONE_TO_ONE</t>
        </is>
      </c>
      <c r="H500" s="12" t="inlineStr">
        <is>
          <t>APPROVED</t>
        </is>
      </c>
      <c r="I500" s="12" t="inlineStr">
        <is>
          <t>New</t>
        </is>
      </c>
      <c r="J500" s="12" t="inlineStr">
        <is>
          <t>Source assignment -- not individually reviewed</t>
        </is>
      </c>
      <c r="K500" s="12" t="inlineStr"/>
      <c r="L500" s="12" t="inlineStr"/>
      <c r="M500" s="12" t="inlineStr"/>
      <c r="N500" s="17" t="inlineStr">
        <is>
          <t>10 EVIDENCE &amp; DECISIONS</t>
        </is>
      </c>
    </row>
    <row r="501" ht="34" customHeight="1">
      <c r="A501" s="12" t="inlineStr">
        <is>
          <t>Contractor Programme</t>
        </is>
      </c>
      <c r="B501" s="12" t="inlineStr">
        <is>
          <t>SCH-02-168</t>
        </is>
      </c>
      <c r="C501" s="12" t="inlineStr">
        <is>
          <t>Civic Station: entrance steel erection - release</t>
        </is>
      </c>
      <c r="D501" s="12" t="inlineStr">
        <is>
          <t>WBS Code = 1.2.2</t>
        </is>
      </c>
      <c r="E501" s="12" t="inlineStr">
        <is>
          <t>R348-v1</t>
        </is>
      </c>
      <c r="F501" s="12" t="inlineStr">
        <is>
          <t>1.2.2 Stations - Architectural Fit-Out</t>
        </is>
      </c>
      <c r="G501" s="12" t="inlineStr">
        <is>
          <t>ONE_TO_ONE</t>
        </is>
      </c>
      <c r="H501" s="12" t="inlineStr">
        <is>
          <t>APPROVED</t>
        </is>
      </c>
      <c r="I501" s="12" t="inlineStr">
        <is>
          <t>New</t>
        </is>
      </c>
      <c r="J501" s="12" t="inlineStr">
        <is>
          <t>Source assignment -- not individually reviewed</t>
        </is>
      </c>
      <c r="K501" s="12" t="inlineStr"/>
      <c r="L501" s="12" t="inlineStr"/>
      <c r="M501" s="12" t="inlineStr"/>
      <c r="N501" s="17" t="inlineStr">
        <is>
          <t>10 EVIDENCE &amp; DECISIONS</t>
        </is>
      </c>
    </row>
    <row r="502" ht="34" customHeight="1">
      <c r="A502" s="12" t="inlineStr">
        <is>
          <t>Contractor Programme</t>
        </is>
      </c>
      <c r="B502" s="12" t="inlineStr">
        <is>
          <t>SCH-02-171</t>
        </is>
      </c>
      <c r="C502" s="12" t="inlineStr">
        <is>
          <t>Harbour Station: architectural wall framing - inspection</t>
        </is>
      </c>
      <c r="D502" s="12" t="inlineStr">
        <is>
          <t>WBS Code = 1.2.2</t>
        </is>
      </c>
      <c r="E502" s="12" t="inlineStr">
        <is>
          <t>R351-v1</t>
        </is>
      </c>
      <c r="F502" s="12" t="inlineStr">
        <is>
          <t>1.2.2 Stations - Architectural Fit-Out</t>
        </is>
      </c>
      <c r="G502" s="12" t="inlineStr">
        <is>
          <t>ONE_TO_ONE</t>
        </is>
      </c>
      <c r="H502" s="12" t="inlineStr">
        <is>
          <t>APPROVED</t>
        </is>
      </c>
      <c r="I502" s="12" t="inlineStr">
        <is>
          <t>New</t>
        </is>
      </c>
      <c r="J502" s="12" t="inlineStr">
        <is>
          <t>Source assignment -- not individually reviewed</t>
        </is>
      </c>
      <c r="K502" s="12" t="inlineStr"/>
      <c r="L502" s="12" t="inlineStr"/>
      <c r="M502" s="12" t="inlineStr"/>
      <c r="N502" s="17" t="inlineStr">
        <is>
          <t>10 EVIDENCE &amp; DECISIONS</t>
        </is>
      </c>
    </row>
    <row r="503" ht="34" customHeight="1">
      <c r="A503" s="12" t="inlineStr">
        <is>
          <t>Contractor Programme</t>
        </is>
      </c>
      <c r="B503" s="12" t="inlineStr">
        <is>
          <t>SCH-02-174</t>
        </is>
      </c>
      <c r="C503" s="12" t="inlineStr">
        <is>
          <t>University Station: station ventilation rough-in - field start</t>
        </is>
      </c>
      <c r="D503" s="12" t="inlineStr">
        <is>
          <t>WBS Code = 1.2.2</t>
        </is>
      </c>
      <c r="E503" s="12" t="inlineStr">
        <is>
          <t>R354-v1</t>
        </is>
      </c>
      <c r="F503" s="12" t="inlineStr">
        <is>
          <t>1.2.2 Stations - Architectural Fit-Out</t>
        </is>
      </c>
      <c r="G503" s="12" t="inlineStr">
        <is>
          <t>ONE_TO_ONE</t>
        </is>
      </c>
      <c r="H503" s="12" t="inlineStr">
        <is>
          <t>APPROVED</t>
        </is>
      </c>
      <c r="I503" s="12" t="inlineStr">
        <is>
          <t>New</t>
        </is>
      </c>
      <c r="J503" s="12" t="inlineStr">
        <is>
          <t>Source assignment -- not individually reviewed</t>
        </is>
      </c>
      <c r="K503" s="12" t="inlineStr"/>
      <c r="L503" s="12" t="inlineStr"/>
      <c r="M503" s="12" t="inlineStr"/>
      <c r="N503" s="17" t="inlineStr">
        <is>
          <t>10 EVIDENCE &amp; DECISIONS</t>
        </is>
      </c>
    </row>
    <row r="504" ht="34" customHeight="1">
      <c r="A504" s="12" t="inlineStr">
        <is>
          <t>Contractor Programme</t>
        </is>
      </c>
      <c r="B504" s="12" t="inlineStr">
        <is>
          <t>SCH-02-177</t>
        </is>
      </c>
      <c r="C504" s="12" t="inlineStr">
        <is>
          <t>Market Station: vertical-transport installation - turnover</t>
        </is>
      </c>
      <c r="D504" s="12" t="inlineStr">
        <is>
          <t>WBS Code = 1.2.2</t>
        </is>
      </c>
      <c r="E504" s="12" t="inlineStr">
        <is>
          <t>R357-v1</t>
        </is>
      </c>
      <c r="F504" s="12" t="inlineStr">
        <is>
          <t>1.2.2 Stations - Architectural Fit-Out</t>
        </is>
      </c>
      <c r="G504" s="12" t="inlineStr">
        <is>
          <t>ONE_TO_ONE</t>
        </is>
      </c>
      <c r="H504" s="12" t="inlineStr">
        <is>
          <t>APPROVED</t>
        </is>
      </c>
      <c r="I504" s="12" t="inlineStr">
        <is>
          <t>New</t>
        </is>
      </c>
      <c r="J504" s="12" t="inlineStr">
        <is>
          <t>Source assignment -- not individually reviewed</t>
        </is>
      </c>
      <c r="K504" s="12" t="inlineStr"/>
      <c r="L504" s="12" t="inlineStr"/>
      <c r="M504" s="12" t="inlineStr"/>
      <c r="N504" s="17" t="inlineStr">
        <is>
          <t>10 EVIDENCE &amp; DECISIONS</t>
        </is>
      </c>
    </row>
    <row r="505" ht="34" customHeight="1">
      <c r="A505" s="12" t="inlineStr">
        <is>
          <t>Contractor Programme</t>
        </is>
      </c>
      <c r="B505" s="12" t="inlineStr">
        <is>
          <t>SCH-02-180</t>
        </is>
      </c>
      <c r="C505" s="12" t="inlineStr">
        <is>
          <t>West Terminal: fire-life-safety cabling - installation</t>
        </is>
      </c>
      <c r="D505" s="12" t="inlineStr">
        <is>
          <t>WBS Code = 1.2.2</t>
        </is>
      </c>
      <c r="E505" s="12" t="inlineStr">
        <is>
          <t>R360-v1</t>
        </is>
      </c>
      <c r="F505" s="12" t="inlineStr">
        <is>
          <t>1.2.2 Stations - Architectural Fit-Out</t>
        </is>
      </c>
      <c r="G505" s="12" t="inlineStr">
        <is>
          <t>ONE_TO_ONE</t>
        </is>
      </c>
      <c r="H505" s="12" t="inlineStr">
        <is>
          <t>APPROVED</t>
        </is>
      </c>
      <c r="I505" s="12" t="inlineStr">
        <is>
          <t>New</t>
        </is>
      </c>
      <c r="J505" s="12" t="inlineStr">
        <is>
          <t>Source assignment -- not individually reviewed</t>
        </is>
      </c>
      <c r="K505" s="12" t="inlineStr"/>
      <c r="L505" s="12" t="inlineStr"/>
      <c r="M505" s="12" t="inlineStr"/>
      <c r="N505" s="17" t="inlineStr">
        <is>
          <t>10 EVIDENCE &amp; DECISIONS</t>
        </is>
      </c>
    </row>
    <row r="506" ht="34" customHeight="1">
      <c r="A506" s="12" t="inlineStr">
        <is>
          <t>Cost &amp; Forecast Control Accounts</t>
        </is>
      </c>
      <c r="B506" s="12" t="inlineStr">
        <is>
          <t>CST-02-002</t>
        </is>
      </c>
      <c r="C506" s="12" t="inlineStr">
        <is>
          <t>Stations - station structure - closeout</t>
        </is>
      </c>
      <c r="D506" s="12" t="inlineStr">
        <is>
          <t>Cost Account = CA-2002; WBS Code = 1.2.2</t>
        </is>
      </c>
      <c r="E506" s="12" t="inlineStr">
        <is>
          <t>R1164-v1</t>
        </is>
      </c>
      <c r="F506" s="12" t="inlineStr">
        <is>
          <t>1.2.2 Stations - Architectural Fit-Out</t>
        </is>
      </c>
      <c r="G506" s="12" t="inlineStr">
        <is>
          <t>ONE_TO_ONE</t>
        </is>
      </c>
      <c r="H506" s="12" t="inlineStr">
        <is>
          <t>APPROVED</t>
        </is>
      </c>
      <c r="I506" s="12" t="inlineStr">
        <is>
          <t>New</t>
        </is>
      </c>
      <c r="J506" s="12" t="inlineStr">
        <is>
          <t>Source assignment -- not individually reviewed</t>
        </is>
      </c>
      <c r="K506" s="12" t="inlineStr"/>
      <c r="L506" s="12" t="inlineStr"/>
      <c r="M506" s="12" t="inlineStr"/>
      <c r="N506" s="17" t="inlineStr">
        <is>
          <t>10 EVIDENCE &amp; DECISIONS</t>
        </is>
      </c>
      <c r="O506" s="105" t="n">
        <v>445000</v>
      </c>
      <c r="P506" s="105" t="n">
        <v>457500</v>
      </c>
      <c r="Q506" s="105" t="inlineStr">
        <is>
          <t>CAD</t>
        </is>
      </c>
      <c r="R506" s="105" t="n"/>
      <c r="S506" s="105" t="inlineStr">
        <is>
          <t>2027-06-30</t>
        </is>
      </c>
      <c r="T506" s="105" t="inlineStr">
        <is>
          <t>C1-R0</t>
        </is>
      </c>
      <c r="U506" s="105" t="inlineStr">
        <is>
          <t>Supplied practice file monthly_cost_forecast.xlsx, row 83</t>
        </is>
      </c>
      <c r="V506" s="105" t="inlineStr">
        <is>
          <t>Whole source account, not a target allocation. Repeated target rows must not be summed. Aggregate cost / forecast remains withheld.</t>
        </is>
      </c>
    </row>
    <row r="507" ht="34" customHeight="1">
      <c r="A507" s="12" t="inlineStr">
        <is>
          <t>Cost &amp; Forecast Control Accounts</t>
        </is>
      </c>
      <c r="B507" s="12" t="inlineStr">
        <is>
          <t>CST-02-004</t>
        </is>
      </c>
      <c r="C507" s="12" t="inlineStr">
        <is>
          <t>Stations - public realm - supply and install</t>
        </is>
      </c>
      <c r="D507" s="12" t="inlineStr">
        <is>
          <t>Cost Account = CA-2004; WBS Code = 1.2.2</t>
        </is>
      </c>
      <c r="E507" s="12" t="inlineStr">
        <is>
          <t>R1166-v1</t>
        </is>
      </c>
      <c r="F507" s="12" t="inlineStr">
        <is>
          <t>1.2.2 Stations - Architectural Fit-Out</t>
        </is>
      </c>
      <c r="G507" s="12" t="inlineStr">
        <is>
          <t>ONE_TO_ONE</t>
        </is>
      </c>
      <c r="H507" s="12" t="inlineStr">
        <is>
          <t>APPROVED</t>
        </is>
      </c>
      <c r="I507" s="12" t="inlineStr">
        <is>
          <t>New</t>
        </is>
      </c>
      <c r="J507" s="12" t="inlineStr">
        <is>
          <t>Source assignment -- not individually reviewed</t>
        </is>
      </c>
      <c r="K507" s="12" t="inlineStr"/>
      <c r="L507" s="12" t="inlineStr"/>
      <c r="M507" s="12" t="inlineStr"/>
      <c r="N507" s="17" t="inlineStr">
        <is>
          <t>10 EVIDENCE &amp; DECISIONS</t>
        </is>
      </c>
      <c r="O507" s="105" t="n">
        <v>480000</v>
      </c>
      <c r="P507" s="105" t="n">
        <v>467500</v>
      </c>
      <c r="Q507" s="105" t="inlineStr">
        <is>
          <t>CAD</t>
        </is>
      </c>
      <c r="R507" s="105" t="n"/>
      <c r="S507" s="105" t="inlineStr">
        <is>
          <t>2027-06-30</t>
        </is>
      </c>
      <c r="T507" s="105" t="inlineStr">
        <is>
          <t>C1-R0</t>
        </is>
      </c>
      <c r="U507" s="105" t="inlineStr">
        <is>
          <t>Supplied practice file monthly_cost_forecast.xlsx, row 85</t>
        </is>
      </c>
      <c r="V507" s="105" t="inlineStr">
        <is>
          <t>Whole source account, not a target allocation. Repeated target rows must not be summed. Aggregate cost / forecast remains withheld.</t>
        </is>
      </c>
    </row>
    <row r="508" ht="34" customHeight="1">
      <c r="A508" s="12" t="inlineStr">
        <is>
          <t>Cost &amp; Forecast Control Accounts</t>
        </is>
      </c>
      <c r="B508" s="12" t="inlineStr">
        <is>
          <t>CST-02-006</t>
        </is>
      </c>
      <c r="C508" s="12" t="inlineStr">
        <is>
          <t>Stations - building services - allowance</t>
        </is>
      </c>
      <c r="D508" s="12" t="inlineStr">
        <is>
          <t>Cost Account = CA-2006; WBS Code = 1.2.2</t>
        </is>
      </c>
      <c r="E508" s="12" t="inlineStr">
        <is>
          <t>R1168-v1</t>
        </is>
      </c>
      <c r="F508" s="12" t="inlineStr">
        <is>
          <t>1.2.2 Stations - Architectural Fit-Out</t>
        </is>
      </c>
      <c r="G508" s="12" t="inlineStr">
        <is>
          <t>ONE_TO_ONE</t>
        </is>
      </c>
      <c r="H508" s="12" t="inlineStr">
        <is>
          <t>APPROVED</t>
        </is>
      </c>
      <c r="I508" s="12" t="inlineStr">
        <is>
          <t>New</t>
        </is>
      </c>
      <c r="J508" s="12" t="inlineStr">
        <is>
          <t>Source assignment -- not individually reviewed</t>
        </is>
      </c>
      <c r="K508" s="12" t="inlineStr"/>
      <c r="L508" s="12" t="inlineStr"/>
      <c r="M508" s="12" t="inlineStr"/>
      <c r="N508" s="17" t="inlineStr">
        <is>
          <t>10 EVIDENCE &amp; DECISIONS</t>
        </is>
      </c>
      <c r="O508" s="105" t="n">
        <v>515000</v>
      </c>
      <c r="P508" s="105" t="n">
        <v>527500</v>
      </c>
      <c r="Q508" s="105" t="inlineStr">
        <is>
          <t>CAD</t>
        </is>
      </c>
      <c r="R508" s="105" t="n"/>
      <c r="S508" s="105" t="inlineStr">
        <is>
          <t>2027-06-30</t>
        </is>
      </c>
      <c r="T508" s="105" t="inlineStr">
        <is>
          <t>C1-R0</t>
        </is>
      </c>
      <c r="U508" s="105" t="inlineStr">
        <is>
          <t>Supplied practice file monthly_cost_forecast.xlsx, row 87</t>
        </is>
      </c>
      <c r="V508" s="105" t="inlineStr">
        <is>
          <t>Whole source account, not a target allocation. Repeated target rows must not be summed. Aggregate cost / forecast remains withheld.</t>
        </is>
      </c>
    </row>
    <row r="509" ht="34" customHeight="1">
      <c r="A509" s="12" t="inlineStr">
        <is>
          <t>Cost &amp; Forecast Control Accounts</t>
        </is>
      </c>
      <c r="B509" s="12" t="inlineStr">
        <is>
          <t>CST-02-008</t>
        </is>
      </c>
      <c r="C509" s="12" t="inlineStr">
        <is>
          <t>Stations - station structure - field package</t>
        </is>
      </c>
      <c r="D509" s="12" t="inlineStr">
        <is>
          <t>Cost Account = CA-2008; WBS Code = 1.2.2</t>
        </is>
      </c>
      <c r="E509" s="12" t="inlineStr">
        <is>
          <t>R1170-v1</t>
        </is>
      </c>
      <c r="F509" s="12" t="inlineStr">
        <is>
          <t>1.2.2 Stations - Architectural Fit-Out</t>
        </is>
      </c>
      <c r="G509" s="12" t="inlineStr">
        <is>
          <t>ONE_TO_ONE</t>
        </is>
      </c>
      <c r="H509" s="12" t="inlineStr">
        <is>
          <t>APPROVED</t>
        </is>
      </c>
      <c r="I509" s="12" t="inlineStr">
        <is>
          <t>New</t>
        </is>
      </c>
      <c r="J509" s="12" t="inlineStr">
        <is>
          <t>Source assignment -- not individually reviewed</t>
        </is>
      </c>
      <c r="K509" s="12" t="inlineStr"/>
      <c r="L509" s="12" t="inlineStr"/>
      <c r="M509" s="12" t="inlineStr"/>
      <c r="N509" s="17" t="inlineStr">
        <is>
          <t>10 EVIDENCE &amp; DECISIONS</t>
        </is>
      </c>
      <c r="O509" s="105" t="n">
        <v>550000</v>
      </c>
      <c r="P509" s="105" t="n">
        <v>537500</v>
      </c>
      <c r="Q509" s="105" t="inlineStr">
        <is>
          <t>CAD</t>
        </is>
      </c>
      <c r="R509" s="105" t="n"/>
      <c r="S509" s="105" t="inlineStr">
        <is>
          <t>2027-06-30</t>
        </is>
      </c>
      <c r="T509" s="105" t="inlineStr">
        <is>
          <t>C1-R0</t>
        </is>
      </c>
      <c r="U509" s="105" t="inlineStr">
        <is>
          <t>Supplied practice file monthly_cost_forecast.xlsx, row 89</t>
        </is>
      </c>
      <c r="V509" s="105" t="inlineStr">
        <is>
          <t>Whole source account, not a target allocation. Repeated target rows must not be summed. Aggregate cost / forecast remains withheld.</t>
        </is>
      </c>
    </row>
    <row r="510" ht="34" customHeight="1">
      <c r="A510" s="12" t="inlineStr">
        <is>
          <t>Cost &amp; Forecast Control Accounts</t>
        </is>
      </c>
      <c r="B510" s="12" t="inlineStr">
        <is>
          <t>CST-02-010</t>
        </is>
      </c>
      <c r="C510" s="12" t="inlineStr">
        <is>
          <t>Stations - public realm - professional services</t>
        </is>
      </c>
      <c r="D510" s="12" t="inlineStr">
        <is>
          <t>Cost Account = CA-2010; WBS Code = 1.2.2</t>
        </is>
      </c>
      <c r="E510" s="12" t="inlineStr">
        <is>
          <t>R1172-v1</t>
        </is>
      </c>
      <c r="F510" s="12" t="inlineStr">
        <is>
          <t>1.2.2 Stations - Architectural Fit-Out</t>
        </is>
      </c>
      <c r="G510" s="12" t="inlineStr">
        <is>
          <t>ONE_TO_ONE</t>
        </is>
      </c>
      <c r="H510" s="12" t="inlineStr">
        <is>
          <t>APPROVED</t>
        </is>
      </c>
      <c r="I510" s="12" t="inlineStr">
        <is>
          <t>New</t>
        </is>
      </c>
      <c r="J510" s="12" t="inlineStr">
        <is>
          <t>Source assignment -- not individually reviewed</t>
        </is>
      </c>
      <c r="K510" s="12" t="inlineStr"/>
      <c r="L510" s="12" t="inlineStr"/>
      <c r="M510" s="12" t="inlineStr"/>
      <c r="N510" s="17" t="inlineStr">
        <is>
          <t>10 EVIDENCE &amp; DECISIONS</t>
        </is>
      </c>
      <c r="O510" s="105" t="n">
        <v>585000</v>
      </c>
      <c r="P510" s="105" t="n">
        <v>597500</v>
      </c>
      <c r="Q510" s="105" t="inlineStr">
        <is>
          <t>CAD</t>
        </is>
      </c>
      <c r="R510" s="105" t="n"/>
      <c r="S510" s="105" t="inlineStr">
        <is>
          <t>2027-06-30</t>
        </is>
      </c>
      <c r="T510" s="105" t="inlineStr">
        <is>
          <t>C1-R0</t>
        </is>
      </c>
      <c r="U510" s="105" t="inlineStr">
        <is>
          <t>Supplied practice file monthly_cost_forecast.xlsx, row 91</t>
        </is>
      </c>
      <c r="V510" s="105" t="inlineStr">
        <is>
          <t>Whole source account, not a target allocation. Repeated target rows must not be summed. Aggregate cost / forecast remains withheld.</t>
        </is>
      </c>
    </row>
    <row r="511" ht="34" customHeight="1">
      <c r="A511" s="12" t="inlineStr">
        <is>
          <t>Cost &amp; Forecast Control Accounts</t>
        </is>
      </c>
      <c r="B511" s="12" t="inlineStr">
        <is>
          <t>CST-02-012</t>
        </is>
      </c>
      <c r="C511" s="12" t="inlineStr">
        <is>
          <t>Stations - building services - closeout</t>
        </is>
      </c>
      <c r="D511" s="12" t="inlineStr">
        <is>
          <t>Cost Account = CA-2012; WBS Code = 1.2.2</t>
        </is>
      </c>
      <c r="E511" s="12" t="inlineStr">
        <is>
          <t>R1174-v1</t>
        </is>
      </c>
      <c r="F511" s="12" t="inlineStr">
        <is>
          <t>1.2.2 Stations - Architectural Fit-Out</t>
        </is>
      </c>
      <c r="G511" s="12" t="inlineStr">
        <is>
          <t>ONE_TO_ONE</t>
        </is>
      </c>
      <c r="H511" s="12" t="inlineStr">
        <is>
          <t>APPROVED</t>
        </is>
      </c>
      <c r="I511" s="12" t="inlineStr">
        <is>
          <t>New</t>
        </is>
      </c>
      <c r="J511" s="12" t="inlineStr">
        <is>
          <t>Source assignment -- not individually reviewed</t>
        </is>
      </c>
      <c r="K511" s="12" t="inlineStr"/>
      <c r="L511" s="12" t="inlineStr"/>
      <c r="M511" s="12" t="inlineStr"/>
      <c r="N511" s="17" t="inlineStr">
        <is>
          <t>10 EVIDENCE &amp; DECISIONS</t>
        </is>
      </c>
      <c r="O511" s="105" t="n">
        <v>620000</v>
      </c>
      <c r="P511" s="105" t="n">
        <v>607500</v>
      </c>
      <c r="Q511" s="105" t="inlineStr">
        <is>
          <t>CAD</t>
        </is>
      </c>
      <c r="R511" s="105" t="n"/>
      <c r="S511" s="105" t="inlineStr">
        <is>
          <t>2027-06-30</t>
        </is>
      </c>
      <c r="T511" s="105" t="inlineStr">
        <is>
          <t>C1-R0</t>
        </is>
      </c>
      <c r="U511" s="105" t="inlineStr">
        <is>
          <t>Supplied practice file monthly_cost_forecast.xlsx, row 93</t>
        </is>
      </c>
      <c r="V511" s="105" t="inlineStr">
        <is>
          <t>Whole source account, not a target allocation. Repeated target rows must not be summed. Aggregate cost / forecast remains withheld.</t>
        </is>
      </c>
    </row>
    <row r="512" ht="34" customHeight="1">
      <c r="A512" s="12" t="inlineStr">
        <is>
          <t>Cost &amp; Forecast Control Accounts</t>
        </is>
      </c>
      <c r="B512" s="12" t="inlineStr">
        <is>
          <t>CST-02-014</t>
        </is>
      </c>
      <c r="C512" s="12" t="inlineStr">
        <is>
          <t>Stations - station structure - supply and install</t>
        </is>
      </c>
      <c r="D512" s="12" t="inlineStr">
        <is>
          <t>Cost Account = CA-2014; WBS Code = 1.2.2</t>
        </is>
      </c>
      <c r="E512" s="12" t="inlineStr">
        <is>
          <t>R1176-v1</t>
        </is>
      </c>
      <c r="F512" s="12" t="inlineStr">
        <is>
          <t>1.2.2 Stations - Architectural Fit-Out</t>
        </is>
      </c>
      <c r="G512" s="12" t="inlineStr">
        <is>
          <t>ONE_TO_ONE</t>
        </is>
      </c>
      <c r="H512" s="12" t="inlineStr">
        <is>
          <t>APPROVED</t>
        </is>
      </c>
      <c r="I512" s="12" t="inlineStr">
        <is>
          <t>New</t>
        </is>
      </c>
      <c r="J512" s="12" t="inlineStr">
        <is>
          <t>Source assignment -- not individually reviewed</t>
        </is>
      </c>
      <c r="K512" s="12" t="inlineStr"/>
      <c r="L512" s="12" t="inlineStr"/>
      <c r="M512" s="12" t="inlineStr"/>
      <c r="N512" s="17" t="inlineStr">
        <is>
          <t>10 EVIDENCE &amp; DECISIONS</t>
        </is>
      </c>
      <c r="O512" s="105" t="n">
        <v>655000</v>
      </c>
      <c r="P512" s="105" t="n">
        <v>667500</v>
      </c>
      <c r="Q512" s="105" t="inlineStr">
        <is>
          <t>CAD</t>
        </is>
      </c>
      <c r="R512" s="105" t="n"/>
      <c r="S512" s="105" t="inlineStr">
        <is>
          <t>2027-06-30</t>
        </is>
      </c>
      <c r="T512" s="105" t="inlineStr">
        <is>
          <t>C1-R0</t>
        </is>
      </c>
      <c r="U512" s="105" t="inlineStr">
        <is>
          <t>Supplied practice file monthly_cost_forecast.xlsx, row 95</t>
        </is>
      </c>
      <c r="V512" s="105" t="inlineStr">
        <is>
          <t>Whole source account, not a target allocation. Repeated target rows must not be summed. Aggregate cost / forecast remains withheld.</t>
        </is>
      </c>
    </row>
    <row r="513" ht="34" customHeight="1">
      <c r="A513" s="12" t="inlineStr">
        <is>
          <t>Cost &amp; Forecast Control Accounts</t>
        </is>
      </c>
      <c r="B513" s="12" t="inlineStr">
        <is>
          <t>CST-02-016</t>
        </is>
      </c>
      <c r="C513" s="12" t="inlineStr">
        <is>
          <t>Stations - public realm - allowance</t>
        </is>
      </c>
      <c r="D513" s="12" t="inlineStr">
        <is>
          <t>Cost Account = CA-2016; WBS Code = 1.2.2</t>
        </is>
      </c>
      <c r="E513" s="12" t="inlineStr">
        <is>
          <t>R1178-v1</t>
        </is>
      </c>
      <c r="F513" s="12" t="inlineStr">
        <is>
          <t>1.2.2 Stations - Architectural Fit-Out</t>
        </is>
      </c>
      <c r="G513" s="12" t="inlineStr">
        <is>
          <t>ONE_TO_ONE</t>
        </is>
      </c>
      <c r="H513" s="12" t="inlineStr">
        <is>
          <t>APPROVED</t>
        </is>
      </c>
      <c r="I513" s="12" t="inlineStr">
        <is>
          <t>New</t>
        </is>
      </c>
      <c r="J513" s="12" t="inlineStr">
        <is>
          <t>Source assignment -- not individually reviewed</t>
        </is>
      </c>
      <c r="K513" s="12" t="inlineStr"/>
      <c r="L513" s="12" t="inlineStr"/>
      <c r="M513" s="12" t="inlineStr"/>
      <c r="N513" s="17" t="inlineStr">
        <is>
          <t>10 EVIDENCE &amp; DECISIONS</t>
        </is>
      </c>
      <c r="O513" s="105" t="n">
        <v>690000</v>
      </c>
      <c r="P513" s="105" t="n">
        <v>677500</v>
      </c>
      <c r="Q513" s="105" t="inlineStr">
        <is>
          <t>CAD</t>
        </is>
      </c>
      <c r="R513" s="105" t="n"/>
      <c r="S513" s="105" t="inlineStr">
        <is>
          <t>2027-06-30</t>
        </is>
      </c>
      <c r="T513" s="105" t="inlineStr">
        <is>
          <t>C1-R0</t>
        </is>
      </c>
      <c r="U513" s="105" t="inlineStr">
        <is>
          <t>Supplied practice file monthly_cost_forecast.xlsx, row 97</t>
        </is>
      </c>
      <c r="V513" s="105" t="inlineStr">
        <is>
          <t>Whole source account, not a target allocation. Repeated target rows must not be summed. Aggregate cost / forecast remains withheld.</t>
        </is>
      </c>
    </row>
    <row r="514" ht="34" customHeight="1">
      <c r="A514" s="12" t="inlineStr">
        <is>
          <t>Cost &amp; Forecast Control Accounts</t>
        </is>
      </c>
      <c r="B514" s="12" t="inlineStr">
        <is>
          <t>CST-02-018</t>
        </is>
      </c>
      <c r="C514" s="12" t="inlineStr">
        <is>
          <t>Stations - building services - field package</t>
        </is>
      </c>
      <c r="D514" s="12" t="inlineStr">
        <is>
          <t>Cost Account = CA-2018; WBS Code = 1.2.2</t>
        </is>
      </c>
      <c r="E514" s="12" t="inlineStr">
        <is>
          <t>R1180-v1</t>
        </is>
      </c>
      <c r="F514" s="12" t="inlineStr">
        <is>
          <t>1.2.2 Stations - Architectural Fit-Out</t>
        </is>
      </c>
      <c r="G514" s="12" t="inlineStr">
        <is>
          <t>ONE_TO_ONE</t>
        </is>
      </c>
      <c r="H514" s="12" t="inlineStr">
        <is>
          <t>APPROVED</t>
        </is>
      </c>
      <c r="I514" s="12" t="inlineStr">
        <is>
          <t>New</t>
        </is>
      </c>
      <c r="J514" s="12" t="inlineStr">
        <is>
          <t>Source assignment -- not individually reviewed</t>
        </is>
      </c>
      <c r="K514" s="12" t="inlineStr"/>
      <c r="L514" s="12" t="inlineStr"/>
      <c r="M514" s="12" t="inlineStr"/>
      <c r="N514" s="17" t="inlineStr">
        <is>
          <t>10 EVIDENCE &amp; DECISIONS</t>
        </is>
      </c>
      <c r="O514" s="105" t="n">
        <v>725000</v>
      </c>
      <c r="P514" s="105" t="n">
        <v>737500</v>
      </c>
      <c r="Q514" s="105" t="inlineStr">
        <is>
          <t>CAD</t>
        </is>
      </c>
      <c r="R514" s="105" t="n"/>
      <c r="S514" s="105" t="inlineStr">
        <is>
          <t>2027-06-30</t>
        </is>
      </c>
      <c r="T514" s="105" t="inlineStr">
        <is>
          <t>C1-R0</t>
        </is>
      </c>
      <c r="U514" s="105" t="inlineStr">
        <is>
          <t>Supplied practice file monthly_cost_forecast.xlsx, row 99</t>
        </is>
      </c>
      <c r="V514" s="105" t="inlineStr">
        <is>
          <t>Whole source account, not a target allocation. Repeated target rows must not be summed. Aggregate cost / forecast remains withheld.</t>
        </is>
      </c>
    </row>
    <row r="515" ht="34" customHeight="1">
      <c r="A515" s="12" t="inlineStr">
        <is>
          <t>Cost &amp; Forecast Control Accounts</t>
        </is>
      </c>
      <c r="B515" s="12" t="inlineStr">
        <is>
          <t>CST-02-020</t>
        </is>
      </c>
      <c r="C515" s="12" t="inlineStr">
        <is>
          <t>Stations - station structure - professional services</t>
        </is>
      </c>
      <c r="D515" s="12" t="inlineStr">
        <is>
          <t>Cost Account = CA-2020; WBS Code = 1.2.2</t>
        </is>
      </c>
      <c r="E515" s="12" t="inlineStr">
        <is>
          <t>R1182-v1</t>
        </is>
      </c>
      <c r="F515" s="12" t="inlineStr">
        <is>
          <t>1.2.2 Stations - Architectural Fit-Out</t>
        </is>
      </c>
      <c r="G515" s="12" t="inlineStr">
        <is>
          <t>ONE_TO_ONE</t>
        </is>
      </c>
      <c r="H515" s="12" t="inlineStr">
        <is>
          <t>APPROVED</t>
        </is>
      </c>
      <c r="I515" s="12" t="inlineStr">
        <is>
          <t>New</t>
        </is>
      </c>
      <c r="J515" s="12" t="inlineStr">
        <is>
          <t>Source assignment -- not individually reviewed</t>
        </is>
      </c>
      <c r="K515" s="12" t="inlineStr"/>
      <c r="L515" s="12" t="inlineStr"/>
      <c r="M515" s="12" t="inlineStr"/>
      <c r="N515" s="17" t="inlineStr">
        <is>
          <t>10 EVIDENCE &amp; DECISIONS</t>
        </is>
      </c>
      <c r="O515" s="105" t="n">
        <v>760000</v>
      </c>
      <c r="P515" s="105" t="n">
        <v>747500</v>
      </c>
      <c r="Q515" s="105" t="inlineStr">
        <is>
          <t>CAD</t>
        </is>
      </c>
      <c r="R515" s="105" t="n"/>
      <c r="S515" s="105" t="inlineStr">
        <is>
          <t>2027-06-30</t>
        </is>
      </c>
      <c r="T515" s="105" t="inlineStr">
        <is>
          <t>C1-R0</t>
        </is>
      </c>
      <c r="U515" s="105" t="inlineStr">
        <is>
          <t>Supplied practice file monthly_cost_forecast.xlsx, row 101</t>
        </is>
      </c>
      <c r="V515" s="105" t="inlineStr">
        <is>
          <t>Whole source account, not a target allocation. Repeated target rows must not be summed. Aggregate cost / forecast remains withheld.</t>
        </is>
      </c>
    </row>
    <row r="516" ht="34" customHeight="1">
      <c r="A516" s="12" t="inlineStr">
        <is>
          <t>Cost &amp; Forecast Control Accounts</t>
        </is>
      </c>
      <c r="B516" s="12" t="inlineStr">
        <is>
          <t>CST-02-022</t>
        </is>
      </c>
      <c r="C516" s="12" t="inlineStr">
        <is>
          <t>Stations - public realm - closeout</t>
        </is>
      </c>
      <c r="D516" s="12" t="inlineStr">
        <is>
          <t>Cost Account = CA-2022; WBS Code = 1.2.2</t>
        </is>
      </c>
      <c r="E516" s="12" t="inlineStr">
        <is>
          <t>R1184-v1</t>
        </is>
      </c>
      <c r="F516" s="12" t="inlineStr">
        <is>
          <t>1.2.2 Stations - Architectural Fit-Out</t>
        </is>
      </c>
      <c r="G516" s="12" t="inlineStr">
        <is>
          <t>ONE_TO_ONE</t>
        </is>
      </c>
      <c r="H516" s="12" t="inlineStr">
        <is>
          <t>APPROVED</t>
        </is>
      </c>
      <c r="I516" s="12" t="inlineStr">
        <is>
          <t>New</t>
        </is>
      </c>
      <c r="J516" s="12" t="inlineStr">
        <is>
          <t>Source assignment -- not individually reviewed</t>
        </is>
      </c>
      <c r="K516" s="12" t="inlineStr"/>
      <c r="L516" s="12" t="inlineStr"/>
      <c r="M516" s="12" t="inlineStr"/>
      <c r="N516" s="17" t="inlineStr">
        <is>
          <t>10 EVIDENCE &amp; DECISIONS</t>
        </is>
      </c>
      <c r="O516" s="105" t="n">
        <v>795000</v>
      </c>
      <c r="P516" s="105" t="n">
        <v>807500</v>
      </c>
      <c r="Q516" s="105" t="inlineStr">
        <is>
          <t>CAD</t>
        </is>
      </c>
      <c r="R516" s="105" t="n"/>
      <c r="S516" s="105" t="inlineStr">
        <is>
          <t>2027-06-30</t>
        </is>
      </c>
      <c r="T516" s="105" t="inlineStr">
        <is>
          <t>C1-R0</t>
        </is>
      </c>
      <c r="U516" s="105" t="inlineStr">
        <is>
          <t>Supplied practice file monthly_cost_forecast.xlsx, row 103</t>
        </is>
      </c>
      <c r="V516" s="105" t="inlineStr">
        <is>
          <t>Whole source account, not a target allocation. Repeated target rows must not be summed. Aggregate cost / forecast remains withheld.</t>
        </is>
      </c>
    </row>
    <row r="517" ht="34" customHeight="1">
      <c r="A517" s="12" t="inlineStr">
        <is>
          <t>Cost &amp; Forecast Control Accounts</t>
        </is>
      </c>
      <c r="B517" s="12" t="inlineStr">
        <is>
          <t>CST-02-024</t>
        </is>
      </c>
      <c r="C517" s="12" t="inlineStr">
        <is>
          <t>Stations - building services - supply and install</t>
        </is>
      </c>
      <c r="D517" s="12" t="inlineStr">
        <is>
          <t>Cost Account = CA-2024; WBS Code = 1.2.2</t>
        </is>
      </c>
      <c r="E517" s="12" t="inlineStr">
        <is>
          <t>R1186-v1</t>
        </is>
      </c>
      <c r="F517" s="12" t="inlineStr">
        <is>
          <t>1.2.2 Stations - Architectural Fit-Out</t>
        </is>
      </c>
      <c r="G517" s="12" t="inlineStr">
        <is>
          <t>ONE_TO_ONE</t>
        </is>
      </c>
      <c r="H517" s="12" t="inlineStr">
        <is>
          <t>APPROVED</t>
        </is>
      </c>
      <c r="I517" s="12" t="inlineStr">
        <is>
          <t>New</t>
        </is>
      </c>
      <c r="J517" s="12" t="inlineStr">
        <is>
          <t>Source assignment -- not individually reviewed</t>
        </is>
      </c>
      <c r="K517" s="12" t="inlineStr"/>
      <c r="L517" s="12" t="inlineStr"/>
      <c r="M517" s="12" t="inlineStr"/>
      <c r="N517" s="17" t="inlineStr">
        <is>
          <t>10 EVIDENCE &amp; DECISIONS</t>
        </is>
      </c>
      <c r="O517" s="105" t="n">
        <v>830000</v>
      </c>
      <c r="P517" s="105" t="n">
        <v>817500</v>
      </c>
      <c r="Q517" s="105" t="inlineStr">
        <is>
          <t>CAD</t>
        </is>
      </c>
      <c r="R517" s="105" t="n"/>
      <c r="S517" s="105" t="inlineStr">
        <is>
          <t>2027-06-30</t>
        </is>
      </c>
      <c r="T517" s="105" t="inlineStr">
        <is>
          <t>C1-R0</t>
        </is>
      </c>
      <c r="U517" s="105" t="inlineStr">
        <is>
          <t>Supplied practice file monthly_cost_forecast.xlsx, row 105</t>
        </is>
      </c>
      <c r="V517" s="105" t="inlineStr">
        <is>
          <t>Whole source account, not a target allocation. Repeated target rows must not be summed. Aggregate cost / forecast remains withheld.</t>
        </is>
      </c>
    </row>
    <row r="518" ht="34" customHeight="1">
      <c r="A518" s="12" t="inlineStr">
        <is>
          <t>Cost &amp; Forecast Control Accounts</t>
        </is>
      </c>
      <c r="B518" s="12" t="inlineStr">
        <is>
          <t>CST-02-026</t>
        </is>
      </c>
      <c r="C518" s="12" t="inlineStr">
        <is>
          <t>Stations - station structure - allowance</t>
        </is>
      </c>
      <c r="D518" s="12" t="inlineStr">
        <is>
          <t>Cost Account = CA-2026; WBS Code = 1.2.2</t>
        </is>
      </c>
      <c r="E518" s="12" t="inlineStr">
        <is>
          <t>R1188-v1</t>
        </is>
      </c>
      <c r="F518" s="12" t="inlineStr">
        <is>
          <t>1.2.2 Stations - Architectural Fit-Out</t>
        </is>
      </c>
      <c r="G518" s="12" t="inlineStr">
        <is>
          <t>ONE_TO_ONE</t>
        </is>
      </c>
      <c r="H518" s="12" t="inlineStr">
        <is>
          <t>APPROVED</t>
        </is>
      </c>
      <c r="I518" s="12" t="inlineStr">
        <is>
          <t>New</t>
        </is>
      </c>
      <c r="J518" s="12" t="inlineStr">
        <is>
          <t>Source assignment -- not individually reviewed</t>
        </is>
      </c>
      <c r="K518" s="12" t="inlineStr"/>
      <c r="L518" s="12" t="inlineStr"/>
      <c r="M518" s="12" t="inlineStr"/>
      <c r="N518" s="17" t="inlineStr">
        <is>
          <t>10 EVIDENCE &amp; DECISIONS</t>
        </is>
      </c>
      <c r="O518" s="105" t="n">
        <v>865000</v>
      </c>
      <c r="P518" s="105" t="n">
        <v>877500</v>
      </c>
      <c r="Q518" s="105" t="inlineStr">
        <is>
          <t>CAD</t>
        </is>
      </c>
      <c r="R518" s="105" t="n"/>
      <c r="S518" s="105" t="inlineStr">
        <is>
          <t>2027-06-30</t>
        </is>
      </c>
      <c r="T518" s="105" t="inlineStr">
        <is>
          <t>C1-R0</t>
        </is>
      </c>
      <c r="U518" s="105" t="inlineStr">
        <is>
          <t>Supplied practice file monthly_cost_forecast.xlsx, row 107</t>
        </is>
      </c>
      <c r="V518" s="105" t="inlineStr">
        <is>
          <t>Whole source account, not a target allocation. Repeated target rows must not be summed. Aggregate cost / forecast remains withheld.</t>
        </is>
      </c>
    </row>
    <row r="519" ht="34" customHeight="1">
      <c r="A519" s="12" t="inlineStr">
        <is>
          <t>Cost &amp; Forecast Control Accounts</t>
        </is>
      </c>
      <c r="B519" s="12" t="inlineStr">
        <is>
          <t>CST-02-028</t>
        </is>
      </c>
      <c r="C519" s="12" t="inlineStr">
        <is>
          <t>Stations - public realm - field package</t>
        </is>
      </c>
      <c r="D519" s="12" t="inlineStr">
        <is>
          <t>Cost Account = CA-2028; WBS Code = 1.2.2</t>
        </is>
      </c>
      <c r="E519" s="12" t="inlineStr">
        <is>
          <t>R1190-v1</t>
        </is>
      </c>
      <c r="F519" s="12" t="inlineStr">
        <is>
          <t>1.2.2 Stations - Architectural Fit-Out</t>
        </is>
      </c>
      <c r="G519" s="12" t="inlineStr">
        <is>
          <t>ONE_TO_ONE</t>
        </is>
      </c>
      <c r="H519" s="12" t="inlineStr">
        <is>
          <t>APPROVED</t>
        </is>
      </c>
      <c r="I519" s="12" t="inlineStr">
        <is>
          <t>New</t>
        </is>
      </c>
      <c r="J519" s="12" t="inlineStr">
        <is>
          <t>Source assignment -- not individually reviewed</t>
        </is>
      </c>
      <c r="K519" s="12" t="inlineStr"/>
      <c r="L519" s="12" t="inlineStr"/>
      <c r="M519" s="12" t="inlineStr"/>
      <c r="N519" s="17" t="inlineStr">
        <is>
          <t>10 EVIDENCE &amp; DECISIONS</t>
        </is>
      </c>
      <c r="O519" s="105" t="n">
        <v>900000</v>
      </c>
      <c r="P519" s="105" t="n">
        <v>887500</v>
      </c>
      <c r="Q519" s="105" t="inlineStr">
        <is>
          <t>CAD</t>
        </is>
      </c>
      <c r="R519" s="105" t="n"/>
      <c r="S519" s="105" t="inlineStr">
        <is>
          <t>2027-06-30</t>
        </is>
      </c>
      <c r="T519" s="105" t="inlineStr">
        <is>
          <t>C1-R0</t>
        </is>
      </c>
      <c r="U519" s="105" t="inlineStr">
        <is>
          <t>Supplied practice file monthly_cost_forecast.xlsx, row 109</t>
        </is>
      </c>
      <c r="V519" s="105" t="inlineStr">
        <is>
          <t>Whole source account, not a target allocation. Repeated target rows must not be summed. Aggregate cost / forecast remains withheld.</t>
        </is>
      </c>
    </row>
    <row r="520" ht="34" customHeight="1">
      <c r="A520" s="12" t="inlineStr">
        <is>
          <t>Cost &amp; Forecast Control Accounts</t>
        </is>
      </c>
      <c r="B520" s="12" t="inlineStr">
        <is>
          <t>CST-02-030</t>
        </is>
      </c>
      <c r="C520" s="12" t="inlineStr">
        <is>
          <t>Stations - building services - professional services</t>
        </is>
      </c>
      <c r="D520" s="12" t="inlineStr">
        <is>
          <t>Cost Account = CA-2030; WBS Code = 1.2.2</t>
        </is>
      </c>
      <c r="E520" s="12" t="inlineStr">
        <is>
          <t>R1192-v1</t>
        </is>
      </c>
      <c r="F520" s="12" t="inlineStr">
        <is>
          <t>1.2.2 Stations - Architectural Fit-Out</t>
        </is>
      </c>
      <c r="G520" s="12" t="inlineStr">
        <is>
          <t>ONE_TO_ONE</t>
        </is>
      </c>
      <c r="H520" s="12" t="inlineStr">
        <is>
          <t>APPROVED</t>
        </is>
      </c>
      <c r="I520" s="12" t="inlineStr">
        <is>
          <t>New</t>
        </is>
      </c>
      <c r="J520" s="12" t="inlineStr">
        <is>
          <t>Source assignment -- not individually reviewed</t>
        </is>
      </c>
      <c r="K520" s="12" t="inlineStr"/>
      <c r="L520" s="12" t="inlineStr"/>
      <c r="M520" s="12" t="inlineStr"/>
      <c r="N520" s="17" t="inlineStr">
        <is>
          <t>10 EVIDENCE &amp; DECISIONS</t>
        </is>
      </c>
      <c r="O520" s="105" t="n">
        <v>935000</v>
      </c>
      <c r="P520" s="105" t="n">
        <v>947500</v>
      </c>
      <c r="Q520" s="105" t="inlineStr">
        <is>
          <t>CAD</t>
        </is>
      </c>
      <c r="R520" s="105" t="n"/>
      <c r="S520" s="105" t="inlineStr">
        <is>
          <t>2027-06-30</t>
        </is>
      </c>
      <c r="T520" s="105" t="inlineStr">
        <is>
          <t>C1-R0</t>
        </is>
      </c>
      <c r="U520" s="105" t="inlineStr">
        <is>
          <t>Supplied practice file monthly_cost_forecast.xlsx, row 111</t>
        </is>
      </c>
      <c r="V520" s="105" t="inlineStr">
        <is>
          <t>Whole source account, not a target allocation. Repeated target rows must not be summed. Aggregate cost / forecast remains withheld.</t>
        </is>
      </c>
    </row>
    <row r="521" ht="34" customHeight="1">
      <c r="A521" s="12" t="inlineStr">
        <is>
          <t>Cost &amp; Forecast Control Accounts</t>
        </is>
      </c>
      <c r="B521" s="12" t="inlineStr">
        <is>
          <t>CST-02-032</t>
        </is>
      </c>
      <c r="C521" s="12" t="inlineStr">
        <is>
          <t>Stations - station structure - closeout</t>
        </is>
      </c>
      <c r="D521" s="12" t="inlineStr">
        <is>
          <t>Cost Account = CA-2032; WBS Code = 1.2.2</t>
        </is>
      </c>
      <c r="E521" s="12" t="inlineStr">
        <is>
          <t>R1194-v1</t>
        </is>
      </c>
      <c r="F521" s="12" t="inlineStr">
        <is>
          <t>1.2.2 Stations - Architectural Fit-Out</t>
        </is>
      </c>
      <c r="G521" s="12" t="inlineStr">
        <is>
          <t>ONE_TO_ONE</t>
        </is>
      </c>
      <c r="H521" s="12" t="inlineStr">
        <is>
          <t>APPROVED</t>
        </is>
      </c>
      <c r="I521" s="12" t="inlineStr">
        <is>
          <t>New</t>
        </is>
      </c>
      <c r="J521" s="12" t="inlineStr">
        <is>
          <t>Source assignment -- not individually reviewed</t>
        </is>
      </c>
      <c r="K521" s="12" t="inlineStr"/>
      <c r="L521" s="12" t="inlineStr"/>
      <c r="M521" s="12" t="inlineStr"/>
      <c r="N521" s="17" t="inlineStr">
        <is>
          <t>10 EVIDENCE &amp; DECISIONS</t>
        </is>
      </c>
      <c r="O521" s="105" t="n">
        <v>970000</v>
      </c>
      <c r="P521" s="105" t="n">
        <v>957500</v>
      </c>
      <c r="Q521" s="105" t="inlineStr">
        <is>
          <t>CAD</t>
        </is>
      </c>
      <c r="R521" s="105" t="n"/>
      <c r="S521" s="105" t="inlineStr">
        <is>
          <t>2027-06-30</t>
        </is>
      </c>
      <c r="T521" s="105" t="inlineStr">
        <is>
          <t>C1-R0</t>
        </is>
      </c>
      <c r="U521" s="105" t="inlineStr">
        <is>
          <t>Supplied practice file monthly_cost_forecast.xlsx, row 113</t>
        </is>
      </c>
      <c r="V521" s="105" t="inlineStr">
        <is>
          <t>Whole source account, not a target allocation. Repeated target rows must not be summed. Aggregate cost / forecast remains withheld.</t>
        </is>
      </c>
    </row>
    <row r="522" ht="34" customHeight="1">
      <c r="A522" s="12" t="inlineStr">
        <is>
          <t>Cost &amp; Forecast Control Accounts</t>
        </is>
      </c>
      <c r="B522" s="12" t="inlineStr">
        <is>
          <t>CST-02-034</t>
        </is>
      </c>
      <c r="C522" s="12" t="inlineStr">
        <is>
          <t>Stations - public realm - supply and install</t>
        </is>
      </c>
      <c r="D522" s="12" t="inlineStr">
        <is>
          <t>Cost Account = CA-2034; WBS Code = 1.2.2</t>
        </is>
      </c>
      <c r="E522" s="12" t="inlineStr">
        <is>
          <t>R1196-v1</t>
        </is>
      </c>
      <c r="F522" s="12" t="inlineStr">
        <is>
          <t>1.2.2 Stations - Architectural Fit-Out</t>
        </is>
      </c>
      <c r="G522" s="12" t="inlineStr">
        <is>
          <t>ONE_TO_ONE</t>
        </is>
      </c>
      <c r="H522" s="12" t="inlineStr">
        <is>
          <t>APPROVED</t>
        </is>
      </c>
      <c r="I522" s="12" t="inlineStr">
        <is>
          <t>New</t>
        </is>
      </c>
      <c r="J522" s="12" t="inlineStr">
        <is>
          <t>Source assignment -- not individually reviewed</t>
        </is>
      </c>
      <c r="K522" s="12" t="inlineStr"/>
      <c r="L522" s="12" t="inlineStr"/>
      <c r="M522" s="12" t="inlineStr"/>
      <c r="N522" s="17" t="inlineStr">
        <is>
          <t>10 EVIDENCE &amp; DECISIONS</t>
        </is>
      </c>
      <c r="O522" s="105" t="n">
        <v>1005000</v>
      </c>
      <c r="P522" s="105" t="n">
        <v>1017500</v>
      </c>
      <c r="Q522" s="105" t="inlineStr">
        <is>
          <t>CAD</t>
        </is>
      </c>
      <c r="R522" s="105" t="n"/>
      <c r="S522" s="105" t="inlineStr">
        <is>
          <t>2027-06-30</t>
        </is>
      </c>
      <c r="T522" s="105" t="inlineStr">
        <is>
          <t>C1-R0</t>
        </is>
      </c>
      <c r="U522" s="105" t="inlineStr">
        <is>
          <t>Supplied practice file monthly_cost_forecast.xlsx, row 115</t>
        </is>
      </c>
      <c r="V522" s="105" t="inlineStr">
        <is>
          <t>Whole source account, not a target allocation. Repeated target rows must not be summed. Aggregate cost / forecast remains withheld.</t>
        </is>
      </c>
    </row>
    <row r="523" ht="34" customHeight="1">
      <c r="A523" s="12" t="inlineStr">
        <is>
          <t>Cost &amp; Forecast Control Accounts</t>
        </is>
      </c>
      <c r="B523" s="12" t="inlineStr">
        <is>
          <t>CST-02-036</t>
        </is>
      </c>
      <c r="C523" s="12" t="inlineStr">
        <is>
          <t>Stations - building services - allowance</t>
        </is>
      </c>
      <c r="D523" s="12" t="inlineStr">
        <is>
          <t>Cost Account = CA-2036; WBS Code = 1.2.2</t>
        </is>
      </c>
      <c r="E523" s="12" t="inlineStr">
        <is>
          <t>R1198-v1</t>
        </is>
      </c>
      <c r="F523" s="12" t="inlineStr">
        <is>
          <t>1.2.2 Stations - Architectural Fit-Out</t>
        </is>
      </c>
      <c r="G523" s="12" t="inlineStr">
        <is>
          <t>ONE_TO_ONE</t>
        </is>
      </c>
      <c r="H523" s="12" t="inlineStr">
        <is>
          <t>APPROVED</t>
        </is>
      </c>
      <c r="I523" s="12" t="inlineStr">
        <is>
          <t>New</t>
        </is>
      </c>
      <c r="J523" s="12" t="inlineStr">
        <is>
          <t>Source assignment -- not individually reviewed</t>
        </is>
      </c>
      <c r="K523" s="12" t="inlineStr"/>
      <c r="L523" s="12" t="inlineStr"/>
      <c r="M523" s="12" t="inlineStr"/>
      <c r="N523" s="17" t="inlineStr">
        <is>
          <t>10 EVIDENCE &amp; DECISIONS</t>
        </is>
      </c>
      <c r="O523" s="105" t="n">
        <v>1040000</v>
      </c>
      <c r="P523" s="105" t="n">
        <v>1027500</v>
      </c>
      <c r="Q523" s="105" t="inlineStr">
        <is>
          <t>CAD</t>
        </is>
      </c>
      <c r="R523" s="105" t="n"/>
      <c r="S523" s="105" t="inlineStr">
        <is>
          <t>2027-06-30</t>
        </is>
      </c>
      <c r="T523" s="105" t="inlineStr">
        <is>
          <t>C1-R0</t>
        </is>
      </c>
      <c r="U523" s="105" t="inlineStr">
        <is>
          <t>Supplied practice file monthly_cost_forecast.xlsx, row 117</t>
        </is>
      </c>
      <c r="V523" s="105" t="inlineStr">
        <is>
          <t>Whole source account, not a target allocation. Repeated target rows must not be summed. Aggregate cost / forecast remains withheld.</t>
        </is>
      </c>
    </row>
    <row r="524" ht="34" customHeight="1">
      <c r="A524" s="12" t="inlineStr">
        <is>
          <t>Cost &amp; Forecast Control Accounts</t>
        </is>
      </c>
      <c r="B524" s="12" t="inlineStr">
        <is>
          <t>CST-02-038</t>
        </is>
      </c>
      <c r="C524" s="12" t="inlineStr">
        <is>
          <t>Stations - station structure - field package</t>
        </is>
      </c>
      <c r="D524" s="12" t="inlineStr">
        <is>
          <t>Cost Account = CA-2038; WBS Code = 1.2.2</t>
        </is>
      </c>
      <c r="E524" s="12" t="inlineStr">
        <is>
          <t>R1200-v1</t>
        </is>
      </c>
      <c r="F524" s="12" t="inlineStr">
        <is>
          <t>1.2.2 Stations - Architectural Fit-Out</t>
        </is>
      </c>
      <c r="G524" s="12" t="inlineStr">
        <is>
          <t>ONE_TO_ONE</t>
        </is>
      </c>
      <c r="H524" s="12" t="inlineStr">
        <is>
          <t>APPROVED</t>
        </is>
      </c>
      <c r="I524" s="12" t="inlineStr">
        <is>
          <t>New</t>
        </is>
      </c>
      <c r="J524" s="12" t="inlineStr">
        <is>
          <t>Source assignment -- not individually reviewed</t>
        </is>
      </c>
      <c r="K524" s="12" t="inlineStr"/>
      <c r="L524" s="12" t="inlineStr"/>
      <c r="M524" s="12" t="inlineStr"/>
      <c r="N524" s="17" t="inlineStr">
        <is>
          <t>10 EVIDENCE &amp; DECISIONS</t>
        </is>
      </c>
      <c r="O524" s="105" t="n">
        <v>1075000</v>
      </c>
      <c r="P524" s="105" t="n">
        <v>1087500</v>
      </c>
      <c r="Q524" s="105" t="inlineStr">
        <is>
          <t>CAD</t>
        </is>
      </c>
      <c r="R524" s="105" t="n"/>
      <c r="S524" s="105" t="inlineStr">
        <is>
          <t>2027-06-30</t>
        </is>
      </c>
      <c r="T524" s="105" t="inlineStr">
        <is>
          <t>C1-R0</t>
        </is>
      </c>
      <c r="U524" s="105" t="inlineStr">
        <is>
          <t>Supplied practice file monthly_cost_forecast.xlsx, row 119</t>
        </is>
      </c>
      <c r="V524" s="105" t="inlineStr">
        <is>
          <t>Whole source account, not a target allocation. Repeated target rows must not be summed. Aggregate cost / forecast remains withheld.</t>
        </is>
      </c>
    </row>
    <row r="525" ht="34" customHeight="1">
      <c r="A525" s="12" t="inlineStr">
        <is>
          <t>Cost &amp; Forecast Control Accounts</t>
        </is>
      </c>
      <c r="B525" s="12" t="inlineStr">
        <is>
          <t>CST-02-040</t>
        </is>
      </c>
      <c r="C525" s="12" t="inlineStr">
        <is>
          <t>Stations - public realm - professional services</t>
        </is>
      </c>
      <c r="D525" s="12" t="inlineStr">
        <is>
          <t>Cost Account = CA-2040; WBS Code = 1.2.2</t>
        </is>
      </c>
      <c r="E525" s="12" t="inlineStr">
        <is>
          <t>R1202-v1</t>
        </is>
      </c>
      <c r="F525" s="12" t="inlineStr">
        <is>
          <t>1.2.2 Stations - Architectural Fit-Out</t>
        </is>
      </c>
      <c r="G525" s="12" t="inlineStr">
        <is>
          <t>ONE_TO_ONE</t>
        </is>
      </c>
      <c r="H525" s="12" t="inlineStr">
        <is>
          <t>APPROVED</t>
        </is>
      </c>
      <c r="I525" s="12" t="inlineStr">
        <is>
          <t>New</t>
        </is>
      </c>
      <c r="J525" s="12" t="inlineStr">
        <is>
          <t>Source assignment -- not individually reviewed</t>
        </is>
      </c>
      <c r="K525" s="12" t="inlineStr"/>
      <c r="L525" s="12" t="inlineStr"/>
      <c r="M525" s="12" t="inlineStr"/>
      <c r="N525" s="17" t="inlineStr">
        <is>
          <t>10 EVIDENCE &amp; DECISIONS</t>
        </is>
      </c>
      <c r="O525" s="105" t="n">
        <v>1110000</v>
      </c>
      <c r="P525" s="105" t="n">
        <v>1097500</v>
      </c>
      <c r="Q525" s="105" t="inlineStr">
        <is>
          <t>CAD</t>
        </is>
      </c>
      <c r="R525" s="105" t="n"/>
      <c r="S525" s="105" t="inlineStr">
        <is>
          <t>2027-06-30</t>
        </is>
      </c>
      <c r="T525" s="105" t="inlineStr">
        <is>
          <t>C1-R0</t>
        </is>
      </c>
      <c r="U525" s="105" t="inlineStr">
        <is>
          <t>Supplied practice file monthly_cost_forecast.xlsx, row 121</t>
        </is>
      </c>
      <c r="V525" s="105" t="inlineStr">
        <is>
          <t>Whole source account, not a target allocation. Repeated target rows must not be summed. Aggregate cost / forecast remains withheld.</t>
        </is>
      </c>
    </row>
    <row r="526" ht="34" customHeight="1">
      <c r="A526" s="12" t="inlineStr">
        <is>
          <t>Cost &amp; Forecast Control Accounts</t>
        </is>
      </c>
      <c r="B526" s="12" t="inlineStr">
        <is>
          <t>CST-02-042</t>
        </is>
      </c>
      <c r="C526" s="12" t="inlineStr">
        <is>
          <t>Stations - building services - closeout</t>
        </is>
      </c>
      <c r="D526" s="12" t="inlineStr">
        <is>
          <t>Cost Account = CA-2042; WBS Code = 1.2.2</t>
        </is>
      </c>
      <c r="E526" s="12" t="inlineStr">
        <is>
          <t>R1204-v1</t>
        </is>
      </c>
      <c r="F526" s="12" t="inlineStr">
        <is>
          <t>1.2.2 Stations - Architectural Fit-Out</t>
        </is>
      </c>
      <c r="G526" s="12" t="inlineStr">
        <is>
          <t>ONE_TO_ONE</t>
        </is>
      </c>
      <c r="H526" s="12" t="inlineStr">
        <is>
          <t>APPROVED</t>
        </is>
      </c>
      <c r="I526" s="12" t="inlineStr">
        <is>
          <t>New</t>
        </is>
      </c>
      <c r="J526" s="12" t="inlineStr">
        <is>
          <t>Source assignment -- not individually reviewed</t>
        </is>
      </c>
      <c r="K526" s="12" t="inlineStr"/>
      <c r="L526" s="12" t="inlineStr"/>
      <c r="M526" s="12" t="inlineStr"/>
      <c r="N526" s="17" t="inlineStr">
        <is>
          <t>10 EVIDENCE &amp; DECISIONS</t>
        </is>
      </c>
      <c r="O526" s="105" t="n">
        <v>1145000</v>
      </c>
      <c r="P526" s="105" t="n">
        <v>1157500</v>
      </c>
      <c r="Q526" s="105" t="inlineStr">
        <is>
          <t>CAD</t>
        </is>
      </c>
      <c r="R526" s="105" t="n"/>
      <c r="S526" s="105" t="inlineStr">
        <is>
          <t>2027-06-30</t>
        </is>
      </c>
      <c r="T526" s="105" t="inlineStr">
        <is>
          <t>C1-R0</t>
        </is>
      </c>
      <c r="U526" s="105" t="inlineStr">
        <is>
          <t>Supplied practice file monthly_cost_forecast.xlsx, row 123</t>
        </is>
      </c>
      <c r="V526" s="105" t="inlineStr">
        <is>
          <t>Whole source account, not a target allocation. Repeated target rows must not be summed. Aggregate cost / forecast remains withheld.</t>
        </is>
      </c>
    </row>
    <row r="527" ht="34" customHeight="1">
      <c r="A527" s="12" t="inlineStr">
        <is>
          <t>Cost &amp; Forecast Control Accounts</t>
        </is>
      </c>
      <c r="B527" s="12" t="inlineStr">
        <is>
          <t>CST-02-044</t>
        </is>
      </c>
      <c r="C527" s="12" t="inlineStr">
        <is>
          <t>Stations - station structure - supply and install</t>
        </is>
      </c>
      <c r="D527" s="12" t="inlineStr">
        <is>
          <t>Cost Account = CA-2044; WBS Code = 1.2.2</t>
        </is>
      </c>
      <c r="E527" s="12" t="inlineStr">
        <is>
          <t>R1206-v1</t>
        </is>
      </c>
      <c r="F527" s="12" t="inlineStr">
        <is>
          <t>1.2.2 Stations - Architectural Fit-Out</t>
        </is>
      </c>
      <c r="G527" s="12" t="inlineStr">
        <is>
          <t>ONE_TO_ONE</t>
        </is>
      </c>
      <c r="H527" s="12" t="inlineStr">
        <is>
          <t>APPROVED</t>
        </is>
      </c>
      <c r="I527" s="12" t="inlineStr">
        <is>
          <t>New</t>
        </is>
      </c>
      <c r="J527" s="12" t="inlineStr">
        <is>
          <t>Source assignment -- not individually reviewed</t>
        </is>
      </c>
      <c r="K527" s="12" t="inlineStr"/>
      <c r="L527" s="12" t="inlineStr"/>
      <c r="M527" s="12" t="inlineStr"/>
      <c r="N527" s="17" t="inlineStr">
        <is>
          <t>10 EVIDENCE &amp; DECISIONS</t>
        </is>
      </c>
      <c r="O527" s="105" t="n">
        <v>1180000</v>
      </c>
      <c r="P527" s="105" t="n">
        <v>1167500</v>
      </c>
      <c r="Q527" s="105" t="inlineStr">
        <is>
          <t>CAD</t>
        </is>
      </c>
      <c r="R527" s="105" t="n"/>
      <c r="S527" s="105" t="inlineStr">
        <is>
          <t>2027-06-30</t>
        </is>
      </c>
      <c r="T527" s="105" t="inlineStr">
        <is>
          <t>C1-R0</t>
        </is>
      </c>
      <c r="U527" s="105" t="inlineStr">
        <is>
          <t>Supplied practice file monthly_cost_forecast.xlsx, row 125</t>
        </is>
      </c>
      <c r="V527" s="105" t="inlineStr">
        <is>
          <t>Whole source account, not a target allocation. Repeated target rows must not be summed. Aggregate cost / forecast remains withheld.</t>
        </is>
      </c>
    </row>
    <row r="528" ht="34" customHeight="1">
      <c r="A528" s="12" t="inlineStr">
        <is>
          <t>Cost &amp; Forecast Control Accounts</t>
        </is>
      </c>
      <c r="B528" s="12" t="inlineStr">
        <is>
          <t>CST-02-046</t>
        </is>
      </c>
      <c r="C528" s="12" t="inlineStr">
        <is>
          <t>Stations - public realm - allowance</t>
        </is>
      </c>
      <c r="D528" s="12" t="inlineStr">
        <is>
          <t>Cost Account = CA-2046; WBS Code = 1.2.2</t>
        </is>
      </c>
      <c r="E528" s="12" t="inlineStr">
        <is>
          <t>R1208-v1</t>
        </is>
      </c>
      <c r="F528" s="12" t="inlineStr">
        <is>
          <t>1.2.2 Stations - Architectural Fit-Out</t>
        </is>
      </c>
      <c r="G528" s="12" t="inlineStr">
        <is>
          <t>ONE_TO_ONE</t>
        </is>
      </c>
      <c r="H528" s="12" t="inlineStr">
        <is>
          <t>APPROVED</t>
        </is>
      </c>
      <c r="I528" s="12" t="inlineStr">
        <is>
          <t>New</t>
        </is>
      </c>
      <c r="J528" s="12" t="inlineStr">
        <is>
          <t>Source assignment -- not individually reviewed</t>
        </is>
      </c>
      <c r="K528" s="12" t="inlineStr"/>
      <c r="L528" s="12" t="inlineStr"/>
      <c r="M528" s="12" t="inlineStr"/>
      <c r="N528" s="17" t="inlineStr">
        <is>
          <t>10 EVIDENCE &amp; DECISIONS</t>
        </is>
      </c>
      <c r="O528" s="105" t="n">
        <v>1215000</v>
      </c>
      <c r="P528" s="105" t="n">
        <v>1227500</v>
      </c>
      <c r="Q528" s="105" t="inlineStr">
        <is>
          <t>CAD</t>
        </is>
      </c>
      <c r="R528" s="105" t="n"/>
      <c r="S528" s="105" t="inlineStr">
        <is>
          <t>2027-06-30</t>
        </is>
      </c>
      <c r="T528" s="105" t="inlineStr">
        <is>
          <t>C1-R0</t>
        </is>
      </c>
      <c r="U528" s="105" t="inlineStr">
        <is>
          <t>Supplied practice file monthly_cost_forecast.xlsx, row 127</t>
        </is>
      </c>
      <c r="V528" s="105" t="inlineStr">
        <is>
          <t>Whole source account, not a target allocation. Repeated target rows must not be summed. Aggregate cost / forecast remains withheld.</t>
        </is>
      </c>
    </row>
    <row r="529" ht="34" customHeight="1">
      <c r="A529" s="12" t="inlineStr">
        <is>
          <t>Cost &amp; Forecast Control Accounts</t>
        </is>
      </c>
      <c r="B529" s="12" t="inlineStr">
        <is>
          <t>CST-02-048</t>
        </is>
      </c>
      <c r="C529" s="12" t="inlineStr">
        <is>
          <t>Stations - building services - field package</t>
        </is>
      </c>
      <c r="D529" s="12" t="inlineStr">
        <is>
          <t>Cost Account = CA-2048; WBS Code = 1.2.2</t>
        </is>
      </c>
      <c r="E529" s="12" t="inlineStr">
        <is>
          <t>R1210-v1</t>
        </is>
      </c>
      <c r="F529" s="12" t="inlineStr">
        <is>
          <t>1.2.2 Stations - Architectural Fit-Out</t>
        </is>
      </c>
      <c r="G529" s="12" t="inlineStr">
        <is>
          <t>ONE_TO_ONE</t>
        </is>
      </c>
      <c r="H529" s="12" t="inlineStr">
        <is>
          <t>APPROVED</t>
        </is>
      </c>
      <c r="I529" s="12" t="inlineStr">
        <is>
          <t>New</t>
        </is>
      </c>
      <c r="J529" s="12" t="inlineStr">
        <is>
          <t>Source assignment -- not individually reviewed</t>
        </is>
      </c>
      <c r="K529" s="12" t="inlineStr"/>
      <c r="L529" s="12" t="inlineStr"/>
      <c r="M529" s="12" t="inlineStr"/>
      <c r="N529" s="17" t="inlineStr">
        <is>
          <t>10 EVIDENCE &amp; DECISIONS</t>
        </is>
      </c>
      <c r="O529" s="105" t="n">
        <v>1250000</v>
      </c>
      <c r="P529" s="105" t="n">
        <v>1237500</v>
      </c>
      <c r="Q529" s="105" t="inlineStr">
        <is>
          <t>CAD</t>
        </is>
      </c>
      <c r="R529" s="105" t="n"/>
      <c r="S529" s="105" t="inlineStr">
        <is>
          <t>2027-06-30</t>
        </is>
      </c>
      <c r="T529" s="105" t="inlineStr">
        <is>
          <t>C1-R0</t>
        </is>
      </c>
      <c r="U529" s="105" t="inlineStr">
        <is>
          <t>Supplied practice file monthly_cost_forecast.xlsx, row 129</t>
        </is>
      </c>
      <c r="V529" s="105" t="inlineStr">
        <is>
          <t>Whole source account, not a target allocation. Repeated target rows must not be summed. Aggregate cost / forecast remains withheld.</t>
        </is>
      </c>
    </row>
    <row r="530" ht="34" customHeight="1">
      <c r="A530" s="12" t="inlineStr">
        <is>
          <t>Cost &amp; Forecast Control Accounts</t>
        </is>
      </c>
      <c r="B530" s="12" t="inlineStr">
        <is>
          <t>CST-02-050</t>
        </is>
      </c>
      <c r="C530" s="12" t="inlineStr">
        <is>
          <t>Stations - station structure - professional services</t>
        </is>
      </c>
      <c r="D530" s="12" t="inlineStr">
        <is>
          <t>Cost Account = CA-2050; WBS Code = 1.2.2</t>
        </is>
      </c>
      <c r="E530" s="12" t="inlineStr">
        <is>
          <t>R1212-v1</t>
        </is>
      </c>
      <c r="F530" s="12" t="inlineStr">
        <is>
          <t>1.2.2 Stations - Architectural Fit-Out</t>
        </is>
      </c>
      <c r="G530" s="12" t="inlineStr">
        <is>
          <t>ONE_TO_ONE</t>
        </is>
      </c>
      <c r="H530" s="12" t="inlineStr">
        <is>
          <t>APPROVED</t>
        </is>
      </c>
      <c r="I530" s="12" t="inlineStr">
        <is>
          <t>New</t>
        </is>
      </c>
      <c r="J530" s="12" t="inlineStr">
        <is>
          <t>Source assignment -- not individually reviewed</t>
        </is>
      </c>
      <c r="K530" s="12" t="inlineStr"/>
      <c r="L530" s="12" t="inlineStr"/>
      <c r="M530" s="12" t="inlineStr"/>
      <c r="N530" s="17" t="inlineStr">
        <is>
          <t>10 EVIDENCE &amp; DECISIONS</t>
        </is>
      </c>
      <c r="O530" s="105" t="n">
        <v>1285000</v>
      </c>
      <c r="P530" s="105" t="n">
        <v>1297500</v>
      </c>
      <c r="Q530" s="105" t="inlineStr">
        <is>
          <t>CAD</t>
        </is>
      </c>
      <c r="R530" s="105" t="n"/>
      <c r="S530" s="105" t="inlineStr">
        <is>
          <t>2027-06-30</t>
        </is>
      </c>
      <c r="T530" s="105" t="inlineStr">
        <is>
          <t>C1-R0</t>
        </is>
      </c>
      <c r="U530" s="105" t="inlineStr">
        <is>
          <t>Supplied practice file monthly_cost_forecast.xlsx, row 131</t>
        </is>
      </c>
      <c r="V530" s="105" t="inlineStr">
        <is>
          <t>Whole source account, not a target allocation. Repeated target rows must not be summed. Aggregate cost / forecast remains withheld.</t>
        </is>
      </c>
    </row>
    <row r="531" ht="34" customHeight="1">
      <c r="A531" s="12" t="inlineStr">
        <is>
          <t>Cost &amp; Forecast Control Accounts</t>
        </is>
      </c>
      <c r="B531" s="12" t="inlineStr">
        <is>
          <t>CST-02-052</t>
        </is>
      </c>
      <c r="C531" s="12" t="inlineStr">
        <is>
          <t>Stations - public realm - closeout</t>
        </is>
      </c>
      <c r="D531" s="12" t="inlineStr">
        <is>
          <t>Cost Account = CA-2052; WBS Code = 1.2.2</t>
        </is>
      </c>
      <c r="E531" s="12" t="inlineStr">
        <is>
          <t>R1214-v1</t>
        </is>
      </c>
      <c r="F531" s="12" t="inlineStr">
        <is>
          <t>1.2.2 Stations - Architectural Fit-Out</t>
        </is>
      </c>
      <c r="G531" s="12" t="inlineStr">
        <is>
          <t>ONE_TO_ONE</t>
        </is>
      </c>
      <c r="H531" s="12" t="inlineStr">
        <is>
          <t>APPROVED</t>
        </is>
      </c>
      <c r="I531" s="12" t="inlineStr">
        <is>
          <t>New</t>
        </is>
      </c>
      <c r="J531" s="12" t="inlineStr">
        <is>
          <t>Source assignment -- not individually reviewed</t>
        </is>
      </c>
      <c r="K531" s="12" t="inlineStr"/>
      <c r="L531" s="12" t="inlineStr"/>
      <c r="M531" s="12" t="inlineStr"/>
      <c r="N531" s="17" t="inlineStr">
        <is>
          <t>10 EVIDENCE &amp; DECISIONS</t>
        </is>
      </c>
      <c r="O531" s="105" t="n">
        <v>1320000</v>
      </c>
      <c r="P531" s="105" t="n">
        <v>1307500</v>
      </c>
      <c r="Q531" s="105" t="inlineStr">
        <is>
          <t>CAD</t>
        </is>
      </c>
      <c r="R531" s="105" t="n"/>
      <c r="S531" s="105" t="inlineStr">
        <is>
          <t>2027-06-30</t>
        </is>
      </c>
      <c r="T531" s="105" t="inlineStr">
        <is>
          <t>C1-R0</t>
        </is>
      </c>
      <c r="U531" s="105" t="inlineStr">
        <is>
          <t>Supplied practice file monthly_cost_forecast.xlsx, row 133</t>
        </is>
      </c>
      <c r="V531" s="105" t="inlineStr">
        <is>
          <t>Whole source account, not a target allocation. Repeated target rows must not be summed. Aggregate cost / forecast remains withheld.</t>
        </is>
      </c>
    </row>
    <row r="532" ht="34" customHeight="1">
      <c r="A532" s="12" t="inlineStr">
        <is>
          <t>Cost &amp; Forecast Control Accounts</t>
        </is>
      </c>
      <c r="B532" s="12" t="inlineStr">
        <is>
          <t>CST-02-054</t>
        </is>
      </c>
      <c r="C532" s="12" t="inlineStr">
        <is>
          <t>Stations - building services - supply and install</t>
        </is>
      </c>
      <c r="D532" s="12" t="inlineStr">
        <is>
          <t>Cost Account = CA-2054; WBS Code = 1.2.2</t>
        </is>
      </c>
      <c r="E532" s="12" t="inlineStr">
        <is>
          <t>R1216-v1</t>
        </is>
      </c>
      <c r="F532" s="12" t="inlineStr">
        <is>
          <t>1.2.2 Stations - Architectural Fit-Out</t>
        </is>
      </c>
      <c r="G532" s="12" t="inlineStr">
        <is>
          <t>ONE_TO_ONE</t>
        </is>
      </c>
      <c r="H532" s="12" t="inlineStr">
        <is>
          <t>APPROVED</t>
        </is>
      </c>
      <c r="I532" s="12" t="inlineStr">
        <is>
          <t>New</t>
        </is>
      </c>
      <c r="J532" s="12" t="inlineStr">
        <is>
          <t>Source assignment -- not individually reviewed</t>
        </is>
      </c>
      <c r="K532" s="12" t="inlineStr"/>
      <c r="L532" s="12" t="inlineStr"/>
      <c r="M532" s="12" t="inlineStr"/>
      <c r="N532" s="17" t="inlineStr">
        <is>
          <t>10 EVIDENCE &amp; DECISIONS</t>
        </is>
      </c>
      <c r="O532" s="105" t="n">
        <v>1355000</v>
      </c>
      <c r="P532" s="105" t="n">
        <v>1367500</v>
      </c>
      <c r="Q532" s="105" t="inlineStr">
        <is>
          <t>CAD</t>
        </is>
      </c>
      <c r="R532" s="105" t="n"/>
      <c r="S532" s="105" t="inlineStr">
        <is>
          <t>2027-06-30</t>
        </is>
      </c>
      <c r="T532" s="105" t="inlineStr">
        <is>
          <t>C1-R0</t>
        </is>
      </c>
      <c r="U532" s="105" t="inlineStr">
        <is>
          <t>Supplied practice file monthly_cost_forecast.xlsx, row 135</t>
        </is>
      </c>
      <c r="V532" s="105" t="inlineStr">
        <is>
          <t>Whole source account, not a target allocation. Repeated target rows must not be summed. Aggregate cost / forecast remains withheld.</t>
        </is>
      </c>
    </row>
    <row r="533" ht="34" customHeight="1">
      <c r="A533" s="12" t="inlineStr">
        <is>
          <t>Cost &amp; Forecast Control Accounts</t>
        </is>
      </c>
      <c r="B533" s="12" t="inlineStr">
        <is>
          <t>CST-02-056</t>
        </is>
      </c>
      <c r="C533" s="12" t="inlineStr">
        <is>
          <t>Stations - station structure - allowance</t>
        </is>
      </c>
      <c r="D533" s="12" t="inlineStr">
        <is>
          <t>Cost Account = CA-2056; WBS Code = 1.2.2</t>
        </is>
      </c>
      <c r="E533" s="12" t="inlineStr">
        <is>
          <t>R1218-v1</t>
        </is>
      </c>
      <c r="F533" s="12" t="inlineStr">
        <is>
          <t>1.2.2 Stations - Architectural Fit-Out</t>
        </is>
      </c>
      <c r="G533" s="12" t="inlineStr">
        <is>
          <t>ONE_TO_ONE</t>
        </is>
      </c>
      <c r="H533" s="12" t="inlineStr">
        <is>
          <t>APPROVED</t>
        </is>
      </c>
      <c r="I533" s="12" t="inlineStr">
        <is>
          <t>New</t>
        </is>
      </c>
      <c r="J533" s="12" t="inlineStr">
        <is>
          <t>Source assignment -- not individually reviewed</t>
        </is>
      </c>
      <c r="K533" s="12" t="inlineStr"/>
      <c r="L533" s="12" t="inlineStr"/>
      <c r="M533" s="12" t="inlineStr"/>
      <c r="N533" s="17" t="inlineStr">
        <is>
          <t>10 EVIDENCE &amp; DECISIONS</t>
        </is>
      </c>
      <c r="O533" s="105" t="n">
        <v>1390000</v>
      </c>
      <c r="P533" s="105" t="n">
        <v>1377500</v>
      </c>
      <c r="Q533" s="105" t="inlineStr">
        <is>
          <t>CAD</t>
        </is>
      </c>
      <c r="R533" s="105" t="n"/>
      <c r="S533" s="105" t="inlineStr">
        <is>
          <t>2027-06-30</t>
        </is>
      </c>
      <c r="T533" s="105" t="inlineStr">
        <is>
          <t>C1-R0</t>
        </is>
      </c>
      <c r="U533" s="105" t="inlineStr">
        <is>
          <t>Supplied practice file monthly_cost_forecast.xlsx, row 137</t>
        </is>
      </c>
      <c r="V533" s="105" t="inlineStr">
        <is>
          <t>Whole source account, not a target allocation. Repeated target rows must not be summed. Aggregate cost / forecast remains withheld.</t>
        </is>
      </c>
    </row>
    <row r="534" ht="34" customHeight="1">
      <c r="A534" s="12" t="inlineStr">
        <is>
          <t>Cost &amp; Forecast Control Accounts</t>
        </is>
      </c>
      <c r="B534" s="12" t="inlineStr">
        <is>
          <t>CST-02-058</t>
        </is>
      </c>
      <c r="C534" s="12" t="inlineStr">
        <is>
          <t>Stations - public realm - field package</t>
        </is>
      </c>
      <c r="D534" s="12" t="inlineStr">
        <is>
          <t>Cost Account = CA-2058; WBS Code = 1.2.2</t>
        </is>
      </c>
      <c r="E534" s="12" t="inlineStr">
        <is>
          <t>R1220-v1</t>
        </is>
      </c>
      <c r="F534" s="12" t="inlineStr">
        <is>
          <t>1.2.2 Stations - Architectural Fit-Out</t>
        </is>
      </c>
      <c r="G534" s="12" t="inlineStr">
        <is>
          <t>ONE_TO_ONE</t>
        </is>
      </c>
      <c r="H534" s="12" t="inlineStr">
        <is>
          <t>APPROVED</t>
        </is>
      </c>
      <c r="I534" s="12" t="inlineStr">
        <is>
          <t>New</t>
        </is>
      </c>
      <c r="J534" s="12" t="inlineStr">
        <is>
          <t>Source assignment -- not individually reviewed</t>
        </is>
      </c>
      <c r="K534" s="12" t="inlineStr"/>
      <c r="L534" s="12" t="inlineStr"/>
      <c r="M534" s="12" t="inlineStr"/>
      <c r="N534" s="17" t="inlineStr">
        <is>
          <t>10 EVIDENCE &amp; DECISIONS</t>
        </is>
      </c>
      <c r="O534" s="105" t="n">
        <v>1425000</v>
      </c>
      <c r="P534" s="105" t="n">
        <v>1437500</v>
      </c>
      <c r="Q534" s="105" t="inlineStr">
        <is>
          <t>CAD</t>
        </is>
      </c>
      <c r="R534" s="105" t="n"/>
      <c r="S534" s="105" t="inlineStr">
        <is>
          <t>2027-06-30</t>
        </is>
      </c>
      <c r="T534" s="105" t="inlineStr">
        <is>
          <t>C1-R0</t>
        </is>
      </c>
      <c r="U534" s="105" t="inlineStr">
        <is>
          <t>Supplied practice file monthly_cost_forecast.xlsx, row 139</t>
        </is>
      </c>
      <c r="V534" s="105" t="inlineStr">
        <is>
          <t>Whole source account, not a target allocation. Repeated target rows must not be summed. Aggregate cost / forecast remains withheld.</t>
        </is>
      </c>
    </row>
    <row r="535" ht="34" customHeight="1">
      <c r="A535" s="12" t="inlineStr">
        <is>
          <t>Cost &amp; Forecast Control Accounts</t>
        </is>
      </c>
      <c r="B535" s="12" t="inlineStr">
        <is>
          <t>CST-02-060</t>
        </is>
      </c>
      <c r="C535" s="12" t="inlineStr">
        <is>
          <t>Stations - building services - professional services</t>
        </is>
      </c>
      <c r="D535" s="12" t="inlineStr">
        <is>
          <t>Cost Account = CA-2060; WBS Code = 1.2.2</t>
        </is>
      </c>
      <c r="E535" s="12" t="inlineStr">
        <is>
          <t>R1222-v1</t>
        </is>
      </c>
      <c r="F535" s="12" t="inlineStr">
        <is>
          <t>1.2.2 Stations - Architectural Fit-Out</t>
        </is>
      </c>
      <c r="G535" s="12" t="inlineStr">
        <is>
          <t>ONE_TO_ONE</t>
        </is>
      </c>
      <c r="H535" s="12" t="inlineStr">
        <is>
          <t>APPROVED</t>
        </is>
      </c>
      <c r="I535" s="12" t="inlineStr">
        <is>
          <t>New</t>
        </is>
      </c>
      <c r="J535" s="12" t="inlineStr">
        <is>
          <t>Source assignment -- not individually reviewed</t>
        </is>
      </c>
      <c r="K535" s="12" t="inlineStr"/>
      <c r="L535" s="12" t="inlineStr"/>
      <c r="M535" s="12" t="inlineStr"/>
      <c r="N535" s="17" t="inlineStr">
        <is>
          <t>10 EVIDENCE &amp; DECISIONS</t>
        </is>
      </c>
      <c r="O535" s="105" t="n">
        <v>1460000</v>
      </c>
      <c r="P535" s="105" t="n">
        <v>1447500</v>
      </c>
      <c r="Q535" s="105" t="inlineStr">
        <is>
          <t>CAD</t>
        </is>
      </c>
      <c r="R535" s="105" t="n"/>
      <c r="S535" s="105" t="inlineStr">
        <is>
          <t>2027-06-30</t>
        </is>
      </c>
      <c r="T535" s="105" t="inlineStr">
        <is>
          <t>C1-R0</t>
        </is>
      </c>
      <c r="U535" s="105" t="inlineStr">
        <is>
          <t>Supplied practice file monthly_cost_forecast.xlsx, row 141</t>
        </is>
      </c>
      <c r="V535" s="105" t="inlineStr">
        <is>
          <t>Whole source account, not a target allocation. Repeated target rows must not be summed. Aggregate cost / forecast remains withheld.</t>
        </is>
      </c>
    </row>
    <row r="536" ht="34" customHeight="1">
      <c r="A536" s="12" t="inlineStr">
        <is>
          <t>Cost &amp; Forecast Control Accounts</t>
        </is>
      </c>
      <c r="B536" s="12" t="inlineStr">
        <is>
          <t>CST-02-062</t>
        </is>
      </c>
      <c r="C536" s="12" t="inlineStr">
        <is>
          <t>Stations - station structure - closeout</t>
        </is>
      </c>
      <c r="D536" s="12" t="inlineStr">
        <is>
          <t>Cost Account = CA-2062; WBS Code = 1.2.2</t>
        </is>
      </c>
      <c r="E536" s="12" t="inlineStr">
        <is>
          <t>R1224-v1</t>
        </is>
      </c>
      <c r="F536" s="12" t="inlineStr">
        <is>
          <t>1.2.2 Stations - Architectural Fit-Out</t>
        </is>
      </c>
      <c r="G536" s="12" t="inlineStr">
        <is>
          <t>ONE_TO_ONE</t>
        </is>
      </c>
      <c r="H536" s="12" t="inlineStr">
        <is>
          <t>APPROVED</t>
        </is>
      </c>
      <c r="I536" s="12" t="inlineStr">
        <is>
          <t>New</t>
        </is>
      </c>
      <c r="J536" s="12" t="inlineStr">
        <is>
          <t>Source assignment -- not individually reviewed</t>
        </is>
      </c>
      <c r="K536" s="12" t="inlineStr"/>
      <c r="L536" s="12" t="inlineStr"/>
      <c r="M536" s="12" t="inlineStr"/>
      <c r="N536" s="17" t="inlineStr">
        <is>
          <t>10 EVIDENCE &amp; DECISIONS</t>
        </is>
      </c>
      <c r="O536" s="105" t="n">
        <v>1495000</v>
      </c>
      <c r="P536" s="105" t="n">
        <v>1507500</v>
      </c>
      <c r="Q536" s="105" t="inlineStr">
        <is>
          <t>CAD</t>
        </is>
      </c>
      <c r="R536" s="105" t="n"/>
      <c r="S536" s="105" t="inlineStr">
        <is>
          <t>2027-06-30</t>
        </is>
      </c>
      <c r="T536" s="105" t="inlineStr">
        <is>
          <t>C1-R0</t>
        </is>
      </c>
      <c r="U536" s="105" t="inlineStr">
        <is>
          <t>Supplied practice file monthly_cost_forecast.xlsx, row 143</t>
        </is>
      </c>
      <c r="V536" s="105" t="inlineStr">
        <is>
          <t>Whole source account, not a target allocation. Repeated target rows must not be summed. Aggregate cost / forecast remains withheld.</t>
        </is>
      </c>
    </row>
    <row r="537" ht="34" customHeight="1">
      <c r="A537" s="12" t="inlineStr">
        <is>
          <t>Cost &amp; Forecast Control Accounts</t>
        </is>
      </c>
      <c r="B537" s="12" t="inlineStr">
        <is>
          <t>CST-02-064</t>
        </is>
      </c>
      <c r="C537" s="12" t="inlineStr">
        <is>
          <t>Stations - public realm - supply and install</t>
        </is>
      </c>
      <c r="D537" s="12" t="inlineStr">
        <is>
          <t>Cost Account = CA-2064; WBS Code = 1.2.2</t>
        </is>
      </c>
      <c r="E537" s="12" t="inlineStr">
        <is>
          <t>R1226-v1</t>
        </is>
      </c>
      <c r="F537" s="12" t="inlineStr">
        <is>
          <t>1.2.2 Stations - Architectural Fit-Out</t>
        </is>
      </c>
      <c r="G537" s="12" t="inlineStr">
        <is>
          <t>ONE_TO_ONE</t>
        </is>
      </c>
      <c r="H537" s="12" t="inlineStr">
        <is>
          <t>APPROVED</t>
        </is>
      </c>
      <c r="I537" s="12" t="inlineStr">
        <is>
          <t>New</t>
        </is>
      </c>
      <c r="J537" s="12" t="inlineStr">
        <is>
          <t>Source assignment -- not individually reviewed</t>
        </is>
      </c>
      <c r="K537" s="12" t="inlineStr"/>
      <c r="L537" s="12" t="inlineStr"/>
      <c r="M537" s="12" t="inlineStr"/>
      <c r="N537" s="17" t="inlineStr">
        <is>
          <t>10 EVIDENCE &amp; DECISIONS</t>
        </is>
      </c>
      <c r="O537" s="105" t="n">
        <v>1530000</v>
      </c>
      <c r="P537" s="105" t="n">
        <v>1517500</v>
      </c>
      <c r="Q537" s="105" t="inlineStr">
        <is>
          <t>CAD</t>
        </is>
      </c>
      <c r="R537" s="105" t="n"/>
      <c r="S537" s="105" t="inlineStr">
        <is>
          <t>2027-06-30</t>
        </is>
      </c>
      <c r="T537" s="105" t="inlineStr">
        <is>
          <t>C1-R0</t>
        </is>
      </c>
      <c r="U537" s="105" t="inlineStr">
        <is>
          <t>Supplied practice file monthly_cost_forecast.xlsx, row 145</t>
        </is>
      </c>
      <c r="V537" s="105" t="inlineStr">
        <is>
          <t>Whole source account, not a target allocation. Repeated target rows must not be summed. Aggregate cost / forecast remains withheld.</t>
        </is>
      </c>
    </row>
    <row r="538" ht="34" customHeight="1">
      <c r="A538" s="12" t="inlineStr">
        <is>
          <t>Cost &amp; Forecast Control Accounts</t>
        </is>
      </c>
      <c r="B538" s="12" t="inlineStr">
        <is>
          <t>CST-02-066</t>
        </is>
      </c>
      <c r="C538" s="12" t="inlineStr">
        <is>
          <t>Stations - building services - allowance</t>
        </is>
      </c>
      <c r="D538" s="12" t="inlineStr">
        <is>
          <t>Cost Account = CA-2066; WBS Code = 1.2.2</t>
        </is>
      </c>
      <c r="E538" s="12" t="inlineStr">
        <is>
          <t>R1228-v1</t>
        </is>
      </c>
      <c r="F538" s="12" t="inlineStr">
        <is>
          <t>1.2.2 Stations - Architectural Fit-Out</t>
        </is>
      </c>
      <c r="G538" s="12" t="inlineStr">
        <is>
          <t>ONE_TO_ONE</t>
        </is>
      </c>
      <c r="H538" s="12" t="inlineStr">
        <is>
          <t>APPROVED</t>
        </is>
      </c>
      <c r="I538" s="12" t="inlineStr">
        <is>
          <t>New</t>
        </is>
      </c>
      <c r="J538" s="12" t="inlineStr">
        <is>
          <t>Source assignment -- not individually reviewed</t>
        </is>
      </c>
      <c r="K538" s="12" t="inlineStr"/>
      <c r="L538" s="12" t="inlineStr"/>
      <c r="M538" s="12" t="inlineStr"/>
      <c r="N538" s="17" t="inlineStr">
        <is>
          <t>10 EVIDENCE &amp; DECISIONS</t>
        </is>
      </c>
      <c r="O538" s="105" t="n">
        <v>1565000</v>
      </c>
      <c r="P538" s="105" t="n">
        <v>1577500</v>
      </c>
      <c r="Q538" s="105" t="inlineStr">
        <is>
          <t>CAD</t>
        </is>
      </c>
      <c r="R538" s="105" t="n"/>
      <c r="S538" s="105" t="inlineStr">
        <is>
          <t>2027-06-30</t>
        </is>
      </c>
      <c r="T538" s="105" t="inlineStr">
        <is>
          <t>C1-R0</t>
        </is>
      </c>
      <c r="U538" s="105" t="inlineStr">
        <is>
          <t>Supplied practice file monthly_cost_forecast.xlsx, row 147</t>
        </is>
      </c>
      <c r="V538" s="105" t="inlineStr">
        <is>
          <t>Whole source account, not a target allocation. Repeated target rows must not be summed. Aggregate cost / forecast remains withheld.</t>
        </is>
      </c>
    </row>
    <row r="539" ht="34" customHeight="1">
      <c r="A539" s="12" t="inlineStr">
        <is>
          <t>Cost &amp; Forecast Control Accounts</t>
        </is>
      </c>
      <c r="B539" s="12" t="inlineStr">
        <is>
          <t>CST-02-068</t>
        </is>
      </c>
      <c r="C539" s="12" t="inlineStr">
        <is>
          <t>Stations - station structure - field package</t>
        </is>
      </c>
      <c r="D539" s="12" t="inlineStr">
        <is>
          <t>Cost Account = CA-2068; WBS Code = 1.2.2</t>
        </is>
      </c>
      <c r="E539" s="12" t="inlineStr">
        <is>
          <t>R1230-v1</t>
        </is>
      </c>
      <c r="F539" s="12" t="inlineStr">
        <is>
          <t>1.2.2 Stations - Architectural Fit-Out</t>
        </is>
      </c>
      <c r="G539" s="12" t="inlineStr">
        <is>
          <t>ONE_TO_ONE</t>
        </is>
      </c>
      <c r="H539" s="12" t="inlineStr">
        <is>
          <t>APPROVED</t>
        </is>
      </c>
      <c r="I539" s="12" t="inlineStr">
        <is>
          <t>New</t>
        </is>
      </c>
      <c r="J539" s="12" t="inlineStr">
        <is>
          <t>Source assignment -- not individually reviewed</t>
        </is>
      </c>
      <c r="K539" s="12" t="inlineStr"/>
      <c r="L539" s="12" t="inlineStr"/>
      <c r="M539" s="12" t="inlineStr"/>
      <c r="N539" s="17" t="inlineStr">
        <is>
          <t>10 EVIDENCE &amp; DECISIONS</t>
        </is>
      </c>
      <c r="O539" s="105" t="n">
        <v>1600000</v>
      </c>
      <c r="P539" s="105" t="n">
        <v>1587500</v>
      </c>
      <c r="Q539" s="105" t="inlineStr">
        <is>
          <t>CAD</t>
        </is>
      </c>
      <c r="R539" s="105" t="n"/>
      <c r="S539" s="105" t="inlineStr">
        <is>
          <t>2027-06-30</t>
        </is>
      </c>
      <c r="T539" s="105" t="inlineStr">
        <is>
          <t>C1-R0</t>
        </is>
      </c>
      <c r="U539" s="105" t="inlineStr">
        <is>
          <t>Supplied practice file monthly_cost_forecast.xlsx, row 149</t>
        </is>
      </c>
      <c r="V539" s="105" t="inlineStr">
        <is>
          <t>Whole source account, not a target allocation. Repeated target rows must not be summed. Aggregate cost / forecast remains withheld.</t>
        </is>
      </c>
    </row>
    <row r="540" ht="34" customHeight="1">
      <c r="A540" s="12" t="inlineStr">
        <is>
          <t>Cost &amp; Forecast Control Accounts</t>
        </is>
      </c>
      <c r="B540" s="12" t="inlineStr">
        <is>
          <t>CST-02-070</t>
        </is>
      </c>
      <c r="C540" s="12" t="inlineStr">
        <is>
          <t>Stations - public realm - professional services</t>
        </is>
      </c>
      <c r="D540" s="12" t="inlineStr">
        <is>
          <t>Cost Account = CA-2070; WBS Code = 1.2.2</t>
        </is>
      </c>
      <c r="E540" s="12" t="inlineStr">
        <is>
          <t>R1232-v1</t>
        </is>
      </c>
      <c r="F540" s="12" t="inlineStr">
        <is>
          <t>1.2.2 Stations - Architectural Fit-Out</t>
        </is>
      </c>
      <c r="G540" s="12" t="inlineStr">
        <is>
          <t>ONE_TO_ONE</t>
        </is>
      </c>
      <c r="H540" s="12" t="inlineStr">
        <is>
          <t>APPROVED</t>
        </is>
      </c>
      <c r="I540" s="12" t="inlineStr">
        <is>
          <t>New</t>
        </is>
      </c>
      <c r="J540" s="12" t="inlineStr">
        <is>
          <t>Source assignment -- not individually reviewed</t>
        </is>
      </c>
      <c r="K540" s="12" t="inlineStr"/>
      <c r="L540" s="12" t="inlineStr"/>
      <c r="M540" s="12" t="inlineStr"/>
      <c r="N540" s="17" t="inlineStr">
        <is>
          <t>10 EVIDENCE &amp; DECISIONS</t>
        </is>
      </c>
      <c r="O540" s="105" t="n">
        <v>1635000</v>
      </c>
      <c r="P540" s="105" t="n">
        <v>1647500</v>
      </c>
      <c r="Q540" s="105" t="inlineStr">
        <is>
          <t>CAD</t>
        </is>
      </c>
      <c r="R540" s="105" t="n"/>
      <c r="S540" s="105" t="inlineStr">
        <is>
          <t>2027-06-30</t>
        </is>
      </c>
      <c r="T540" s="105" t="inlineStr">
        <is>
          <t>C1-R0</t>
        </is>
      </c>
      <c r="U540" s="105" t="inlineStr">
        <is>
          <t>Supplied practice file monthly_cost_forecast.xlsx, row 151</t>
        </is>
      </c>
      <c r="V540" s="105" t="inlineStr">
        <is>
          <t>Whole source account, not a target allocation. Repeated target rows must not be summed. Aggregate cost / forecast remains withheld.</t>
        </is>
      </c>
    </row>
    <row r="541" ht="34" customHeight="1">
      <c r="A541" s="12" t="inlineStr">
        <is>
          <t>Cost &amp; Forecast Control Accounts</t>
        </is>
      </c>
      <c r="B541" s="12" t="inlineStr">
        <is>
          <t>CST-02-072</t>
        </is>
      </c>
      <c r="C541" s="12" t="inlineStr">
        <is>
          <t>Stations - building services - closeout</t>
        </is>
      </c>
      <c r="D541" s="12" t="inlineStr">
        <is>
          <t>Cost Account = CA-2072; WBS Code = 1.2.2</t>
        </is>
      </c>
      <c r="E541" s="12" t="inlineStr">
        <is>
          <t>R1234-v1</t>
        </is>
      </c>
      <c r="F541" s="12" t="inlineStr">
        <is>
          <t>1.2.2 Stations - Architectural Fit-Out</t>
        </is>
      </c>
      <c r="G541" s="12" t="inlineStr">
        <is>
          <t>ONE_TO_ONE</t>
        </is>
      </c>
      <c r="H541" s="12" t="inlineStr">
        <is>
          <t>APPROVED</t>
        </is>
      </c>
      <c r="I541" s="12" t="inlineStr">
        <is>
          <t>New</t>
        </is>
      </c>
      <c r="J541" s="12" t="inlineStr">
        <is>
          <t>Source assignment -- not individually reviewed</t>
        </is>
      </c>
      <c r="K541" s="12" t="inlineStr"/>
      <c r="L541" s="12" t="inlineStr"/>
      <c r="M541" s="12" t="inlineStr"/>
      <c r="N541" s="17" t="inlineStr">
        <is>
          <t>10 EVIDENCE &amp; DECISIONS</t>
        </is>
      </c>
      <c r="O541" s="105" t="n">
        <v>1670000</v>
      </c>
      <c r="P541" s="105" t="n">
        <v>1657500</v>
      </c>
      <c r="Q541" s="105" t="inlineStr">
        <is>
          <t>CAD</t>
        </is>
      </c>
      <c r="R541" s="105" t="n"/>
      <c r="S541" s="105" t="inlineStr">
        <is>
          <t>2027-06-30</t>
        </is>
      </c>
      <c r="T541" s="105" t="inlineStr">
        <is>
          <t>C1-R0</t>
        </is>
      </c>
      <c r="U541" s="105" t="inlineStr">
        <is>
          <t>Supplied practice file monthly_cost_forecast.xlsx, row 153</t>
        </is>
      </c>
      <c r="V541" s="105" t="inlineStr">
        <is>
          <t>Whole source account, not a target allocation. Repeated target rows must not be summed. Aggregate cost / forecast remains withheld.</t>
        </is>
      </c>
    </row>
    <row r="542" ht="34" customHeight="1">
      <c r="A542" s="12" t="inlineStr">
        <is>
          <t>Cost &amp; Forecast Control Accounts</t>
        </is>
      </c>
      <c r="B542" s="12" t="inlineStr">
        <is>
          <t>CST-02-074</t>
        </is>
      </c>
      <c r="C542" s="12" t="inlineStr">
        <is>
          <t>Stations - station structure - supply and install</t>
        </is>
      </c>
      <c r="D542" s="12" t="inlineStr">
        <is>
          <t>Cost Account = CA-2074; WBS Code = 1.2.2</t>
        </is>
      </c>
      <c r="E542" s="12" t="inlineStr">
        <is>
          <t>R1236-v1</t>
        </is>
      </c>
      <c r="F542" s="12" t="inlineStr">
        <is>
          <t>1.2.2 Stations - Architectural Fit-Out</t>
        </is>
      </c>
      <c r="G542" s="12" t="inlineStr">
        <is>
          <t>ONE_TO_ONE</t>
        </is>
      </c>
      <c r="H542" s="12" t="inlineStr">
        <is>
          <t>APPROVED</t>
        </is>
      </c>
      <c r="I542" s="12" t="inlineStr">
        <is>
          <t>New</t>
        </is>
      </c>
      <c r="J542" s="12" t="inlineStr">
        <is>
          <t>Source assignment -- not individually reviewed</t>
        </is>
      </c>
      <c r="K542" s="12" t="inlineStr"/>
      <c r="L542" s="12" t="inlineStr"/>
      <c r="M542" s="12" t="inlineStr"/>
      <c r="N542" s="17" t="inlineStr">
        <is>
          <t>10 EVIDENCE &amp; DECISIONS</t>
        </is>
      </c>
      <c r="O542" s="105" t="n">
        <v>1705000</v>
      </c>
      <c r="P542" s="105" t="n">
        <v>1717500</v>
      </c>
      <c r="Q542" s="105" t="inlineStr">
        <is>
          <t>CAD</t>
        </is>
      </c>
      <c r="R542" s="105" t="n"/>
      <c r="S542" s="105" t="inlineStr">
        <is>
          <t>2027-06-30</t>
        </is>
      </c>
      <c r="T542" s="105" t="inlineStr">
        <is>
          <t>C1-R0</t>
        </is>
      </c>
      <c r="U542" s="105" t="inlineStr">
        <is>
          <t>Supplied practice file monthly_cost_forecast.xlsx, row 155</t>
        </is>
      </c>
      <c r="V542" s="105" t="inlineStr">
        <is>
          <t>Whole source account, not a target allocation. Repeated target rows must not be summed. Aggregate cost / forecast remains withheld.</t>
        </is>
      </c>
    </row>
    <row r="543" ht="34" customHeight="1">
      <c r="A543" s="12" t="inlineStr">
        <is>
          <t>Cost &amp; Forecast Control Accounts</t>
        </is>
      </c>
      <c r="B543" s="12" t="inlineStr">
        <is>
          <t>CST-02-076</t>
        </is>
      </c>
      <c r="C543" s="12" t="inlineStr">
        <is>
          <t>Stations - public realm - allowance</t>
        </is>
      </c>
      <c r="D543" s="12" t="inlineStr">
        <is>
          <t>Cost Account = CA-2076; WBS Code = 1.2.2</t>
        </is>
      </c>
      <c r="E543" s="12" t="inlineStr">
        <is>
          <t>R1238-v1</t>
        </is>
      </c>
      <c r="F543" s="12" t="inlineStr">
        <is>
          <t>1.2.2 Stations - Architectural Fit-Out</t>
        </is>
      </c>
      <c r="G543" s="12" t="inlineStr">
        <is>
          <t>ONE_TO_ONE</t>
        </is>
      </c>
      <c r="H543" s="12" t="inlineStr">
        <is>
          <t>APPROVED</t>
        </is>
      </c>
      <c r="I543" s="12" t="inlineStr">
        <is>
          <t>New</t>
        </is>
      </c>
      <c r="J543" s="12" t="inlineStr">
        <is>
          <t>Source assignment -- not individually reviewed</t>
        </is>
      </c>
      <c r="K543" s="12" t="inlineStr"/>
      <c r="L543" s="12" t="inlineStr"/>
      <c r="M543" s="12" t="inlineStr"/>
      <c r="N543" s="17" t="inlineStr">
        <is>
          <t>10 EVIDENCE &amp; DECISIONS</t>
        </is>
      </c>
      <c r="O543" s="105" t="n">
        <v>1740000</v>
      </c>
      <c r="P543" s="105" t="n">
        <v>1727500</v>
      </c>
      <c r="Q543" s="105" t="inlineStr">
        <is>
          <t>CAD</t>
        </is>
      </c>
      <c r="R543" s="105" t="n"/>
      <c r="S543" s="105" t="inlineStr">
        <is>
          <t>2027-06-30</t>
        </is>
      </c>
      <c r="T543" s="105" t="inlineStr">
        <is>
          <t>C1-R0</t>
        </is>
      </c>
      <c r="U543" s="105" t="inlineStr">
        <is>
          <t>Supplied practice file monthly_cost_forecast.xlsx, row 157</t>
        </is>
      </c>
      <c r="V543" s="105" t="inlineStr">
        <is>
          <t>Whole source account, not a target allocation. Repeated target rows must not be summed. Aggregate cost / forecast remains withheld.</t>
        </is>
      </c>
    </row>
    <row r="544" ht="34" customHeight="1">
      <c r="A544" s="12" t="inlineStr">
        <is>
          <t>Cost &amp; Forecast Control Accounts</t>
        </is>
      </c>
      <c r="B544" s="12" t="inlineStr">
        <is>
          <t>CST-02-078</t>
        </is>
      </c>
      <c r="C544" s="12" t="inlineStr">
        <is>
          <t>Stations - building services - field package</t>
        </is>
      </c>
      <c r="D544" s="12" t="inlineStr">
        <is>
          <t>Cost Account = CA-2078; WBS Code = 1.2.2</t>
        </is>
      </c>
      <c r="E544" s="12" t="inlineStr">
        <is>
          <t>R1240-v1</t>
        </is>
      </c>
      <c r="F544" s="12" t="inlineStr">
        <is>
          <t>1.2.2 Stations - Architectural Fit-Out</t>
        </is>
      </c>
      <c r="G544" s="12" t="inlineStr">
        <is>
          <t>ONE_TO_ONE</t>
        </is>
      </c>
      <c r="H544" s="12" t="inlineStr">
        <is>
          <t>APPROVED</t>
        </is>
      </c>
      <c r="I544" s="12" t="inlineStr">
        <is>
          <t>New</t>
        </is>
      </c>
      <c r="J544" s="12" t="inlineStr">
        <is>
          <t>Source assignment -- not individually reviewed</t>
        </is>
      </c>
      <c r="K544" s="12" t="inlineStr"/>
      <c r="L544" s="12" t="inlineStr"/>
      <c r="M544" s="12" t="inlineStr"/>
      <c r="N544" s="17" t="inlineStr">
        <is>
          <t>10 EVIDENCE &amp; DECISIONS</t>
        </is>
      </c>
      <c r="O544" s="105" t="n">
        <v>1775000</v>
      </c>
      <c r="P544" s="105" t="n">
        <v>1787500</v>
      </c>
      <c r="Q544" s="105" t="inlineStr">
        <is>
          <t>CAD</t>
        </is>
      </c>
      <c r="R544" s="105" t="n"/>
      <c r="S544" s="105" t="inlineStr">
        <is>
          <t>2027-06-30</t>
        </is>
      </c>
      <c r="T544" s="105" t="inlineStr">
        <is>
          <t>C1-R0</t>
        </is>
      </c>
      <c r="U544" s="105" t="inlineStr">
        <is>
          <t>Supplied practice file monthly_cost_forecast.xlsx, row 159</t>
        </is>
      </c>
      <c r="V544" s="105" t="inlineStr">
        <is>
          <t>Whole source account, not a target allocation. Repeated target rows must not be summed. Aggregate cost / forecast remains withheld.</t>
        </is>
      </c>
    </row>
    <row r="545" ht="34" customHeight="1">
      <c r="A545" s="12" t="inlineStr">
        <is>
          <t>Cost &amp; Forecast Control Accounts</t>
        </is>
      </c>
      <c r="B545" s="12" t="inlineStr">
        <is>
          <t>CST-02-080</t>
        </is>
      </c>
      <c r="C545" s="12" t="inlineStr">
        <is>
          <t>Stations - station structure - professional services</t>
        </is>
      </c>
      <c r="D545" s="12" t="inlineStr">
        <is>
          <t>Cost Account = CA-2080; WBS Code = 1.2.2</t>
        </is>
      </c>
      <c r="E545" s="12" t="inlineStr">
        <is>
          <t>R1242-v1</t>
        </is>
      </c>
      <c r="F545" s="12" t="inlineStr">
        <is>
          <t>1.2.2 Stations - Architectural Fit-Out</t>
        </is>
      </c>
      <c r="G545" s="12" t="inlineStr">
        <is>
          <t>ONE_TO_ONE</t>
        </is>
      </c>
      <c r="H545" s="12" t="inlineStr">
        <is>
          <t>APPROVED</t>
        </is>
      </c>
      <c r="I545" s="12" t="inlineStr">
        <is>
          <t>New</t>
        </is>
      </c>
      <c r="J545" s="12" t="inlineStr">
        <is>
          <t>Source assignment -- not individually reviewed</t>
        </is>
      </c>
      <c r="K545" s="12" t="inlineStr"/>
      <c r="L545" s="12" t="inlineStr"/>
      <c r="M545" s="12" t="inlineStr"/>
      <c r="N545" s="17" t="inlineStr">
        <is>
          <t>10 EVIDENCE &amp; DECISIONS</t>
        </is>
      </c>
      <c r="O545" s="105" t="n">
        <v>1810000</v>
      </c>
      <c r="P545" s="105" t="n">
        <v>1797500</v>
      </c>
      <c r="Q545" s="105" t="inlineStr">
        <is>
          <t>CAD</t>
        </is>
      </c>
      <c r="R545" s="105" t="n"/>
      <c r="S545" s="105" t="inlineStr">
        <is>
          <t>2027-06-30</t>
        </is>
      </c>
      <c r="T545" s="105" t="inlineStr">
        <is>
          <t>C1-R0</t>
        </is>
      </c>
      <c r="U545" s="105" t="inlineStr">
        <is>
          <t>Supplied practice file monthly_cost_forecast.xlsx, row 161</t>
        </is>
      </c>
      <c r="V545" s="105" t="inlineStr">
        <is>
          <t>Whole source account, not a target allocation. Repeated target rows must not be summed. Aggregate cost / forecast remains withheld.</t>
        </is>
      </c>
    </row>
    <row r="546" ht="34" customHeight="1">
      <c r="A546" s="12" t="inlineStr">
        <is>
          <t>Commercial Package Register</t>
        </is>
      </c>
      <c r="B546" s="12" t="inlineStr">
        <is>
          <t>PKG-021</t>
        </is>
      </c>
      <c r="C546" s="12" t="inlineStr">
        <is>
          <t>Traction Power</t>
        </is>
      </c>
      <c r="D546" s="12" t="inlineStr">
        <is>
          <t>Package Code = PK-301; WBS Code = 1.3</t>
        </is>
      </c>
      <c r="E546" s="12" t="inlineStr">
        <is>
          <t>R1583-v1</t>
        </is>
      </c>
      <c r="F546" s="12" t="inlineStr">
        <is>
          <t>1.3 Systems</t>
        </is>
      </c>
      <c r="G546" s="12" t="inlineStr">
        <is>
          <t>ONE_TO_ONE</t>
        </is>
      </c>
      <c r="H546" s="12" t="inlineStr">
        <is>
          <t>APPROVED</t>
        </is>
      </c>
      <c r="I546" s="12" t="inlineStr">
        <is>
          <t>New</t>
        </is>
      </c>
      <c r="J546" s="12" t="inlineStr">
        <is>
          <t>Source assignment -- not individually reviewed</t>
        </is>
      </c>
      <c r="K546" s="12" t="inlineStr"/>
      <c r="L546" s="12" t="inlineStr"/>
      <c r="M546" s="12" t="inlineStr"/>
      <c r="N546" s="17" t="inlineStr">
        <is>
          <t>10 EVIDENCE &amp; DECISIONS</t>
        </is>
      </c>
    </row>
    <row r="547" ht="34" customHeight="1">
      <c r="A547" s="12" t="inlineStr">
        <is>
          <t>Commercial Package Register</t>
        </is>
      </c>
      <c r="B547" s="12" t="inlineStr">
        <is>
          <t>PKG-022</t>
        </is>
      </c>
      <c r="C547" s="12" t="inlineStr">
        <is>
          <t>Signalling &amp; Train Control</t>
        </is>
      </c>
      <c r="D547" s="12" t="inlineStr">
        <is>
          <t>Package Code = PK-302; WBS Code = 1.3</t>
        </is>
      </c>
      <c r="E547" s="12" t="inlineStr">
        <is>
          <t>R1584-v1</t>
        </is>
      </c>
      <c r="F547" s="12" t="inlineStr">
        <is>
          <t>1.3 Systems</t>
        </is>
      </c>
      <c r="G547" s="12" t="inlineStr">
        <is>
          <t>ONE_TO_ONE</t>
        </is>
      </c>
      <c r="H547" s="12" t="inlineStr">
        <is>
          <t>APPROVED</t>
        </is>
      </c>
      <c r="I547" s="12" t="inlineStr">
        <is>
          <t>New</t>
        </is>
      </c>
      <c r="J547" s="12" t="inlineStr">
        <is>
          <t>Source assignment -- not individually reviewed</t>
        </is>
      </c>
      <c r="K547" s="12" t="inlineStr"/>
      <c r="L547" s="12" t="inlineStr"/>
      <c r="M547" s="12" t="inlineStr"/>
      <c r="N547" s="17" t="inlineStr">
        <is>
          <t>10 EVIDENCE &amp; DECISIONS</t>
        </is>
      </c>
    </row>
    <row r="548" ht="34" customHeight="1">
      <c r="A548" s="12" t="inlineStr">
        <is>
          <t>Commercial Package Register</t>
        </is>
      </c>
      <c r="B548" s="12" t="inlineStr">
        <is>
          <t>PKG-023</t>
        </is>
      </c>
      <c r="C548" s="12" t="inlineStr">
        <is>
          <t>Communications</t>
        </is>
      </c>
      <c r="D548" s="12" t="inlineStr">
        <is>
          <t>Package Code = PK-303; WBS Code = 1.3</t>
        </is>
      </c>
      <c r="E548" s="12" t="inlineStr">
        <is>
          <t>R1585-v1</t>
        </is>
      </c>
      <c r="F548" s="12" t="inlineStr">
        <is>
          <t>1.3 Systems</t>
        </is>
      </c>
      <c r="G548" s="12" t="inlineStr">
        <is>
          <t>ONE_TO_ONE</t>
        </is>
      </c>
      <c r="H548" s="12" t="inlineStr">
        <is>
          <t>APPROVED</t>
        </is>
      </c>
      <c r="I548" s="12" t="inlineStr">
        <is>
          <t>New</t>
        </is>
      </c>
      <c r="J548" s="12" t="inlineStr">
        <is>
          <t>Source assignment -- not individually reviewed</t>
        </is>
      </c>
      <c r="K548" s="12" t="inlineStr"/>
      <c r="L548" s="12" t="inlineStr"/>
      <c r="M548" s="12" t="inlineStr"/>
      <c r="N548" s="17" t="inlineStr">
        <is>
          <t>10 EVIDENCE &amp; DECISIONS</t>
        </is>
      </c>
    </row>
    <row r="549" ht="34" customHeight="1">
      <c r="A549" s="12" t="inlineStr">
        <is>
          <t>Commercial Package Register</t>
        </is>
      </c>
      <c r="B549" s="12" t="inlineStr">
        <is>
          <t>PKG-024</t>
        </is>
      </c>
      <c r="C549" s="12" t="inlineStr">
        <is>
          <t>Systems Integration</t>
        </is>
      </c>
      <c r="D549" s="12" t="inlineStr">
        <is>
          <t>Package Code = PK-304; WBS Code = 1.3</t>
        </is>
      </c>
      <c r="E549" s="12" t="inlineStr">
        <is>
          <t>R1586-v1</t>
        </is>
      </c>
      <c r="F549" s="12" t="inlineStr">
        <is>
          <t>1.3 Systems</t>
        </is>
      </c>
      <c r="G549" s="12" t="inlineStr">
        <is>
          <t>ONE_TO_ONE</t>
        </is>
      </c>
      <c r="H549" s="12" t="inlineStr">
        <is>
          <t>APPROVED</t>
        </is>
      </c>
      <c r="I549" s="12" t="inlineStr">
        <is>
          <t>New</t>
        </is>
      </c>
      <c r="J549" s="12" t="inlineStr">
        <is>
          <t>Source assignment -- not individually reviewed</t>
        </is>
      </c>
      <c r="K549" s="12" t="inlineStr"/>
      <c r="L549" s="12" t="inlineStr"/>
      <c r="M549" s="12" t="inlineStr"/>
      <c r="N549" s="17" t="inlineStr">
        <is>
          <t>10 EVIDENCE &amp; DECISIONS</t>
        </is>
      </c>
    </row>
    <row r="550" ht="34" customHeight="1">
      <c r="A550" s="12" t="inlineStr">
        <is>
          <t>Commercial Package Register</t>
        </is>
      </c>
      <c r="B550" s="12" t="inlineStr">
        <is>
          <t>PKG-025</t>
        </is>
      </c>
      <c r="C550" s="12" t="inlineStr">
        <is>
          <t>Traction Power - Lot 2</t>
        </is>
      </c>
      <c r="D550" s="12" t="inlineStr">
        <is>
          <t>Package Code = PK-305; WBS Code = 1.3</t>
        </is>
      </c>
      <c r="E550" s="12" t="inlineStr">
        <is>
          <t>R1587-v1</t>
        </is>
      </c>
      <c r="F550" s="12" t="inlineStr">
        <is>
          <t>1.3 Systems</t>
        </is>
      </c>
      <c r="G550" s="12" t="inlineStr">
        <is>
          <t>ONE_TO_ONE</t>
        </is>
      </c>
      <c r="H550" s="12" t="inlineStr">
        <is>
          <t>APPROVED</t>
        </is>
      </c>
      <c r="I550" s="12" t="inlineStr">
        <is>
          <t>New</t>
        </is>
      </c>
      <c r="J550" s="12" t="inlineStr">
        <is>
          <t>Source assignment -- not individually reviewed</t>
        </is>
      </c>
      <c r="K550" s="12" t="inlineStr"/>
      <c r="L550" s="12" t="inlineStr"/>
      <c r="M550" s="12" t="inlineStr"/>
      <c r="N550" s="17" t="inlineStr">
        <is>
          <t>10 EVIDENCE &amp; DECISIONS</t>
        </is>
      </c>
    </row>
    <row r="551" ht="34" customHeight="1">
      <c r="A551" s="12" t="inlineStr">
        <is>
          <t>Commercial Package Register</t>
        </is>
      </c>
      <c r="B551" s="12" t="inlineStr">
        <is>
          <t>PKG-026</t>
        </is>
      </c>
      <c r="C551" s="12" t="inlineStr">
        <is>
          <t>Signalling &amp; Train Control - Lot 2</t>
        </is>
      </c>
      <c r="D551" s="12" t="inlineStr">
        <is>
          <t>Package Code = PK-306; WBS Code = 1.3</t>
        </is>
      </c>
      <c r="E551" s="12" t="inlineStr">
        <is>
          <t>R1588-v1</t>
        </is>
      </c>
      <c r="F551" s="12" t="inlineStr">
        <is>
          <t>1.3 Systems</t>
        </is>
      </c>
      <c r="G551" s="12" t="inlineStr">
        <is>
          <t>ONE_TO_ONE</t>
        </is>
      </c>
      <c r="H551" s="12" t="inlineStr">
        <is>
          <t>APPROVED</t>
        </is>
      </c>
      <c r="I551" s="12" t="inlineStr">
        <is>
          <t>New</t>
        </is>
      </c>
      <c r="J551" s="12" t="inlineStr">
        <is>
          <t>Source assignment -- not individually reviewed</t>
        </is>
      </c>
      <c r="K551" s="12" t="inlineStr"/>
      <c r="L551" s="12" t="inlineStr"/>
      <c r="M551" s="12" t="inlineStr"/>
      <c r="N551" s="17" t="inlineStr">
        <is>
          <t>10 EVIDENCE &amp; DECISIONS</t>
        </is>
      </c>
    </row>
    <row r="552" ht="34" customHeight="1">
      <c r="A552" s="12" t="inlineStr">
        <is>
          <t>Commercial Package Register</t>
        </is>
      </c>
      <c r="B552" s="12" t="inlineStr">
        <is>
          <t>PKG-027</t>
        </is>
      </c>
      <c r="C552" s="12" t="inlineStr">
        <is>
          <t>Communications - Lot 2</t>
        </is>
      </c>
      <c r="D552" s="12" t="inlineStr">
        <is>
          <t>Package Code = PK-307; WBS Code = 1.3</t>
        </is>
      </c>
      <c r="E552" s="12" t="inlineStr">
        <is>
          <t>R1589-v1</t>
        </is>
      </c>
      <c r="F552" s="12" t="inlineStr">
        <is>
          <t>1.3 Systems</t>
        </is>
      </c>
      <c r="G552" s="12" t="inlineStr">
        <is>
          <t>ONE_TO_ONE</t>
        </is>
      </c>
      <c r="H552" s="12" t="inlineStr">
        <is>
          <t>APPROVED</t>
        </is>
      </c>
      <c r="I552" s="12" t="inlineStr">
        <is>
          <t>New</t>
        </is>
      </c>
      <c r="J552" s="12" t="inlineStr">
        <is>
          <t>Source assignment -- not individually reviewed</t>
        </is>
      </c>
      <c r="K552" s="12" t="inlineStr"/>
      <c r="L552" s="12" t="inlineStr"/>
      <c r="M552" s="12" t="inlineStr"/>
      <c r="N552" s="17" t="inlineStr">
        <is>
          <t>10 EVIDENCE &amp; DECISIONS</t>
        </is>
      </c>
    </row>
    <row r="553" ht="34" customHeight="1">
      <c r="A553" s="12" t="inlineStr">
        <is>
          <t>Commercial Package Register</t>
        </is>
      </c>
      <c r="B553" s="12" t="inlineStr">
        <is>
          <t>PKG-028</t>
        </is>
      </c>
      <c r="C553" s="12" t="inlineStr">
        <is>
          <t>Systems Integration - Lot 2</t>
        </is>
      </c>
      <c r="D553" s="12" t="inlineStr">
        <is>
          <t>Package Code = PK-308; WBS Code = 1.3</t>
        </is>
      </c>
      <c r="E553" s="12" t="inlineStr">
        <is>
          <t>R1590-v1</t>
        </is>
      </c>
      <c r="F553" s="12" t="inlineStr">
        <is>
          <t>1.3 Systems</t>
        </is>
      </c>
      <c r="G553" s="12" t="inlineStr">
        <is>
          <t>ONE_TO_ONE</t>
        </is>
      </c>
      <c r="H553" s="12" t="inlineStr">
        <is>
          <t>APPROVED</t>
        </is>
      </c>
      <c r="I553" s="12" t="inlineStr">
        <is>
          <t>New</t>
        </is>
      </c>
      <c r="J553" s="12" t="inlineStr">
        <is>
          <t>Source assignment -- not individually reviewed</t>
        </is>
      </c>
      <c r="K553" s="12" t="inlineStr"/>
      <c r="L553" s="12" t="inlineStr"/>
      <c r="M553" s="12" t="inlineStr"/>
      <c r="N553" s="17" t="inlineStr">
        <is>
          <t>10 EVIDENCE &amp; DECISIONS</t>
        </is>
      </c>
    </row>
    <row r="554" ht="34" customHeight="1">
      <c r="A554" s="12" t="inlineStr">
        <is>
          <t>Commercial Package Register</t>
        </is>
      </c>
      <c r="B554" s="12" t="inlineStr">
        <is>
          <t>PKG-029</t>
        </is>
      </c>
      <c r="C554" s="12" t="inlineStr">
        <is>
          <t>Traction Power - Lot 3</t>
        </is>
      </c>
      <c r="D554" s="12" t="inlineStr">
        <is>
          <t>Package Code = PK-309; WBS Code = 1.3</t>
        </is>
      </c>
      <c r="E554" s="12" t="inlineStr">
        <is>
          <t>R1591-v1</t>
        </is>
      </c>
      <c r="F554" s="12" t="inlineStr">
        <is>
          <t>1.3 Systems</t>
        </is>
      </c>
      <c r="G554" s="12" t="inlineStr">
        <is>
          <t>ONE_TO_ONE</t>
        </is>
      </c>
      <c r="H554" s="12" t="inlineStr">
        <is>
          <t>APPROVED</t>
        </is>
      </c>
      <c r="I554" s="12" t="inlineStr">
        <is>
          <t>New</t>
        </is>
      </c>
      <c r="J554" s="12" t="inlineStr">
        <is>
          <t>Source assignment -- not individually reviewed</t>
        </is>
      </c>
      <c r="K554" s="12" t="inlineStr"/>
      <c r="L554" s="12" t="inlineStr"/>
      <c r="M554" s="12" t="inlineStr"/>
      <c r="N554" s="17" t="inlineStr">
        <is>
          <t>10 EVIDENCE &amp; DECISIONS</t>
        </is>
      </c>
    </row>
    <row r="555" ht="34" customHeight="1">
      <c r="A555" s="12" t="inlineStr">
        <is>
          <t>Commercial Package Register</t>
        </is>
      </c>
      <c r="B555" s="12" t="inlineStr">
        <is>
          <t>PKG-030</t>
        </is>
      </c>
      <c r="C555" s="12" t="inlineStr">
        <is>
          <t>Signalling &amp; Train Control - Lot 3</t>
        </is>
      </c>
      <c r="D555" s="12" t="inlineStr">
        <is>
          <t>Package Code = PK-310; WBS Code = 1.3</t>
        </is>
      </c>
      <c r="E555" s="12" t="inlineStr">
        <is>
          <t>R1592-v1</t>
        </is>
      </c>
      <c r="F555" s="12" t="inlineStr">
        <is>
          <t>1.3 Systems</t>
        </is>
      </c>
      <c r="G555" s="12" t="inlineStr">
        <is>
          <t>ONE_TO_ONE</t>
        </is>
      </c>
      <c r="H555" s="12" t="inlineStr">
        <is>
          <t>APPROVED</t>
        </is>
      </c>
      <c r="I555" s="12" t="inlineStr">
        <is>
          <t>New</t>
        </is>
      </c>
      <c r="J555" s="12" t="inlineStr">
        <is>
          <t>Source assignment -- not individually reviewed</t>
        </is>
      </c>
      <c r="K555" s="12" t="inlineStr"/>
      <c r="L555" s="12" t="inlineStr"/>
      <c r="M555" s="12" t="inlineStr"/>
      <c r="N555" s="17" t="inlineStr">
        <is>
          <t>10 EVIDENCE &amp; DECISIONS</t>
        </is>
      </c>
    </row>
    <row r="556" ht="34" customHeight="1">
      <c r="A556" s="12" t="inlineStr">
        <is>
          <t>Contractor Programme</t>
        </is>
      </c>
      <c r="B556" s="12" t="inlineStr">
        <is>
          <t>SCH-03-001</t>
        </is>
      </c>
      <c r="C556" s="12" t="inlineStr">
        <is>
          <t>Harbour Station: wayside interface test - turnover</t>
        </is>
      </c>
      <c r="D556" s="12" t="inlineStr">
        <is>
          <t>WBS Code = 1.3.1</t>
        </is>
      </c>
      <c r="E556" s="12" t="inlineStr">
        <is>
          <t>R361-v1</t>
        </is>
      </c>
      <c r="F556" s="12" t="inlineStr">
        <is>
          <t>1.3.1 Systems - Traction Power</t>
        </is>
      </c>
      <c r="G556" s="12" t="inlineStr">
        <is>
          <t>ONE_TO_ONE</t>
        </is>
      </c>
      <c r="H556" s="12" t="inlineStr">
        <is>
          <t>APPROVED</t>
        </is>
      </c>
      <c r="I556" s="12" t="inlineStr">
        <is>
          <t>New</t>
        </is>
      </c>
      <c r="J556" s="12" t="inlineStr">
        <is>
          <t>Source assignment -- not individually reviewed</t>
        </is>
      </c>
      <c r="K556" s="12" t="inlineStr"/>
      <c r="L556" s="12" t="inlineStr"/>
      <c r="M556" s="12" t="inlineStr"/>
      <c r="N556" s="17" t="inlineStr">
        <is>
          <t>10 EVIDENCE &amp; DECISIONS</t>
        </is>
      </c>
    </row>
    <row r="557" ht="34" customHeight="1">
      <c r="A557" s="12" t="inlineStr">
        <is>
          <t>Contractor Programme</t>
        </is>
      </c>
      <c r="B557" s="12" t="inlineStr">
        <is>
          <t>SCH-03-002</t>
        </is>
      </c>
      <c r="C557" s="12" t="inlineStr">
        <is>
          <t>Control Centre: signal equipment installation - release</t>
        </is>
      </c>
      <c r="D557" s="12" t="inlineStr">
        <is>
          <t>WBS Code = 1.3.1</t>
        </is>
      </c>
      <c r="E557" s="12" t="inlineStr">
        <is>
          <t>R362-v1</t>
        </is>
      </c>
      <c r="F557" s="12" t="inlineStr">
        <is>
          <t>1.3.1 Systems - Traction Power</t>
        </is>
      </c>
      <c r="G557" s="12" t="inlineStr">
        <is>
          <t>ONE_TO_ONE</t>
        </is>
      </c>
      <c r="H557" s="12" t="inlineStr">
        <is>
          <t>APPROVED</t>
        </is>
      </c>
      <c r="I557" s="12" t="inlineStr">
        <is>
          <t>New</t>
        </is>
      </c>
      <c r="J557" s="12" t="inlineStr">
        <is>
          <t>Source assignment -- not individually reviewed</t>
        </is>
      </c>
      <c r="K557" s="12" t="inlineStr"/>
      <c r="L557" s="12" t="inlineStr"/>
      <c r="M557" s="12" t="inlineStr"/>
      <c r="N557" s="17" t="inlineStr">
        <is>
          <t>10 EVIDENCE &amp; DECISIONS</t>
        </is>
      </c>
    </row>
    <row r="558" ht="34" customHeight="1">
      <c r="A558" s="12" t="inlineStr">
        <is>
          <t>Contractor Programme</t>
        </is>
      </c>
      <c r="B558" s="12" t="inlineStr">
        <is>
          <t>SCH-03-004</t>
        </is>
      </c>
      <c r="C558" s="12" t="inlineStr">
        <is>
          <t>East substation: control-centre integration - installation</t>
        </is>
      </c>
      <c r="D558" s="12" t="inlineStr">
        <is>
          <t>WBS Code = 1.3.1</t>
        </is>
      </c>
      <c r="E558" s="12" t="inlineStr">
        <is>
          <t>R364-v1</t>
        </is>
      </c>
      <c r="F558" s="12" t="inlineStr">
        <is>
          <t>1.3.1 Systems - Traction Power</t>
        </is>
      </c>
      <c r="G558" s="12" t="inlineStr">
        <is>
          <t>ONE_TO_ONE</t>
        </is>
      </c>
      <c r="H558" s="12" t="inlineStr">
        <is>
          <t>APPROVED</t>
        </is>
      </c>
      <c r="I558" s="12" t="inlineStr">
        <is>
          <t>New</t>
        </is>
      </c>
      <c r="J558" s="12" t="inlineStr">
        <is>
          <t>Source assignment -- not individually reviewed</t>
        </is>
      </c>
      <c r="K558" s="12" t="inlineStr"/>
      <c r="L558" s="12" t="inlineStr"/>
      <c r="M558" s="12" t="inlineStr"/>
      <c r="N558" s="17" t="inlineStr">
        <is>
          <t>10 EVIDENCE &amp; DECISIONS</t>
        </is>
      </c>
    </row>
    <row r="559" ht="34" customHeight="1">
      <c r="A559" s="12" t="inlineStr">
        <is>
          <t>Contractor Programme</t>
        </is>
      </c>
      <c r="B559" s="12" t="inlineStr">
        <is>
          <t>SCH-03-005</t>
        </is>
      </c>
      <c r="C559" s="12" t="inlineStr">
        <is>
          <t>Central interlocking: fibre backbone termination - inspection</t>
        </is>
      </c>
      <c r="D559" s="12" t="inlineStr">
        <is>
          <t>WBS Code = 1.3.1</t>
        </is>
      </c>
      <c r="E559" s="12" t="inlineStr">
        <is>
          <t>R365-v1</t>
        </is>
      </c>
      <c r="F559" s="12" t="inlineStr">
        <is>
          <t>1.3.1 Systems - Traction Power</t>
        </is>
      </c>
      <c r="G559" s="12" t="inlineStr">
        <is>
          <t>ONE_TO_ONE</t>
        </is>
      </c>
      <c r="H559" s="12" t="inlineStr">
        <is>
          <t>APPROVED</t>
        </is>
      </c>
      <c r="I559" s="12" t="inlineStr">
        <is>
          <t>New</t>
        </is>
      </c>
      <c r="J559" s="12" t="inlineStr">
        <is>
          <t>Source assignment -- not individually reviewed</t>
        </is>
      </c>
      <c r="K559" s="12" t="inlineStr"/>
      <c r="L559" s="12" t="inlineStr"/>
      <c r="M559" s="12" t="inlineStr"/>
      <c r="N559" s="17" t="inlineStr">
        <is>
          <t>10 EVIDENCE &amp; DECISIONS</t>
        </is>
      </c>
    </row>
    <row r="560" ht="34" customHeight="1">
      <c r="A560" s="12" t="inlineStr">
        <is>
          <t>Contractor Programme</t>
        </is>
      </c>
      <c r="B560" s="12" t="inlineStr">
        <is>
          <t>SCH-03-007</t>
        </is>
      </c>
      <c r="C560" s="12" t="inlineStr">
        <is>
          <t>Control Centre: traction-power feeder pull - release</t>
        </is>
      </c>
      <c r="D560" s="12" t="inlineStr">
        <is>
          <t>WBS Code = 1.3.1</t>
        </is>
      </c>
      <c r="E560" s="12" t="inlineStr">
        <is>
          <t>R367-v1</t>
        </is>
      </c>
      <c r="F560" s="12" t="inlineStr">
        <is>
          <t>1.3.1 Systems - Traction Power</t>
        </is>
      </c>
      <c r="G560" s="12" t="inlineStr">
        <is>
          <t>ONE_TO_ONE</t>
        </is>
      </c>
      <c r="H560" s="12" t="inlineStr">
        <is>
          <t>APPROVED</t>
        </is>
      </c>
      <c r="I560" s="12" t="inlineStr">
        <is>
          <t>New</t>
        </is>
      </c>
      <c r="J560" s="12" t="inlineStr">
        <is>
          <t>Source assignment -- not individually reviewed</t>
        </is>
      </c>
      <c r="K560" s="12" t="inlineStr"/>
      <c r="L560" s="12" t="inlineStr"/>
      <c r="M560" s="12" t="inlineStr"/>
      <c r="N560" s="17" t="inlineStr">
        <is>
          <t>10 EVIDENCE &amp; DECISIONS</t>
        </is>
      </c>
    </row>
    <row r="561" ht="34" customHeight="1">
      <c r="A561" s="12" t="inlineStr">
        <is>
          <t>Contractor Programme</t>
        </is>
      </c>
      <c r="B561" s="12" t="inlineStr">
        <is>
          <t>SCH-03-008</t>
        </is>
      </c>
      <c r="C561" s="12" t="inlineStr">
        <is>
          <t>West wayside: train-control cabinet fit-out - field start</t>
        </is>
      </c>
      <c r="D561" s="12" t="inlineStr">
        <is>
          <t>WBS Code = 1.3.1</t>
        </is>
      </c>
      <c r="E561" s="12" t="inlineStr">
        <is>
          <t>R368-v1</t>
        </is>
      </c>
      <c r="F561" s="12" t="inlineStr">
        <is>
          <t>1.3.1 Systems - Traction Power</t>
        </is>
      </c>
      <c r="G561" s="12" t="inlineStr">
        <is>
          <t>ONE_TO_ONE</t>
        </is>
      </c>
      <c r="H561" s="12" t="inlineStr">
        <is>
          <t>APPROVED</t>
        </is>
      </c>
      <c r="I561" s="12" t="inlineStr">
        <is>
          <t>New</t>
        </is>
      </c>
      <c r="J561" s="12" t="inlineStr">
        <is>
          <t>Source assignment -- not individually reviewed</t>
        </is>
      </c>
      <c r="K561" s="12" t="inlineStr"/>
      <c r="L561" s="12" t="inlineStr"/>
      <c r="M561" s="12" t="inlineStr"/>
      <c r="N561" s="17" t="inlineStr">
        <is>
          <t>10 EVIDENCE &amp; DECISIONS</t>
        </is>
      </c>
    </row>
    <row r="562" ht="34" customHeight="1">
      <c r="A562" s="12" t="inlineStr">
        <is>
          <t>Contractor Programme</t>
        </is>
      </c>
      <c r="B562" s="12" t="inlineStr">
        <is>
          <t>SCH-03-010</t>
        </is>
      </c>
      <c r="C562" s="12" t="inlineStr">
        <is>
          <t>Central interlocking: signal equipment installation - inspection</t>
        </is>
      </c>
      <c r="D562" s="12" t="inlineStr">
        <is>
          <t>WBS Code = 1.3.1</t>
        </is>
      </c>
      <c r="E562" s="12" t="inlineStr">
        <is>
          <t>R370-v1</t>
        </is>
      </c>
      <c r="F562" s="12" t="inlineStr">
        <is>
          <t>1.3.1 Systems - Traction Power</t>
        </is>
      </c>
      <c r="G562" s="12" t="inlineStr">
        <is>
          <t>ONE_TO_ONE</t>
        </is>
      </c>
      <c r="H562" s="12" t="inlineStr">
        <is>
          <t>APPROVED</t>
        </is>
      </c>
      <c r="I562" s="12" t="inlineStr">
        <is>
          <t>New</t>
        </is>
      </c>
      <c r="J562" s="12" t="inlineStr">
        <is>
          <t>Source assignment -- not individually reviewed</t>
        </is>
      </c>
      <c r="K562" s="12" t="inlineStr"/>
      <c r="L562" s="12" t="inlineStr"/>
      <c r="M562" s="12" t="inlineStr"/>
      <c r="N562" s="17" t="inlineStr">
        <is>
          <t>10 EVIDENCE &amp; DECISIONS</t>
        </is>
      </c>
    </row>
    <row r="563" ht="34" customHeight="1">
      <c r="A563" s="12" t="inlineStr">
        <is>
          <t>Contractor Programme</t>
        </is>
      </c>
      <c r="B563" s="12" t="inlineStr">
        <is>
          <t>SCH-03-011</t>
        </is>
      </c>
      <c r="C563" s="12" t="inlineStr">
        <is>
          <t>Harbour Station: radio equipment installation - turnover</t>
        </is>
      </c>
      <c r="D563" s="12" t="inlineStr">
        <is>
          <t>WBS Code = 1.3.1</t>
        </is>
      </c>
      <c r="E563" s="12" t="inlineStr">
        <is>
          <t>R371-v1</t>
        </is>
      </c>
      <c r="F563" s="12" t="inlineStr">
        <is>
          <t>1.3.1 Systems - Traction Power</t>
        </is>
      </c>
      <c r="G563" s="12" t="inlineStr">
        <is>
          <t>ONE_TO_ONE</t>
        </is>
      </c>
      <c r="H563" s="12" t="inlineStr">
        <is>
          <t>APPROVED</t>
        </is>
      </c>
      <c r="I563" s="12" t="inlineStr">
        <is>
          <t>New</t>
        </is>
      </c>
      <c r="J563" s="12" t="inlineStr">
        <is>
          <t>Source assignment -- not individually reviewed</t>
        </is>
      </c>
      <c r="K563" s="12" t="inlineStr"/>
      <c r="L563" s="12" t="inlineStr"/>
      <c r="M563" s="12" t="inlineStr"/>
      <c r="N563" s="17" t="inlineStr">
        <is>
          <t>10 EVIDENCE &amp; DECISIONS</t>
        </is>
      </c>
    </row>
    <row r="564" ht="34" customHeight="1">
      <c r="A564" s="12" t="inlineStr">
        <is>
          <t>Contractor Programme</t>
        </is>
      </c>
      <c r="B564" s="12" t="inlineStr">
        <is>
          <t>SCH-03-013</t>
        </is>
      </c>
      <c r="C564" s="12" t="inlineStr">
        <is>
          <t>West wayside: fibre backbone termination - field start</t>
        </is>
      </c>
      <c r="D564" s="12" t="inlineStr">
        <is>
          <t>WBS Code = 1.3.1</t>
        </is>
      </c>
      <c r="E564" s="12" t="inlineStr">
        <is>
          <t>R373-v1</t>
        </is>
      </c>
      <c r="F564" s="12" t="inlineStr">
        <is>
          <t>1.3.1 Systems - Traction Power</t>
        </is>
      </c>
      <c r="G564" s="12" t="inlineStr">
        <is>
          <t>ONE_TO_ONE</t>
        </is>
      </c>
      <c r="H564" s="12" t="inlineStr">
        <is>
          <t>APPROVED</t>
        </is>
      </c>
      <c r="I564" s="12" t="inlineStr">
        <is>
          <t>New</t>
        </is>
      </c>
      <c r="J564" s="12" t="inlineStr">
        <is>
          <t>Source assignment -- not individually reviewed</t>
        </is>
      </c>
      <c r="K564" s="12" t="inlineStr"/>
      <c r="L564" s="12" t="inlineStr"/>
      <c r="M564" s="12" t="inlineStr"/>
      <c r="N564" s="17" t="inlineStr">
        <is>
          <t>10 EVIDENCE &amp; DECISIONS</t>
        </is>
      </c>
    </row>
    <row r="565" ht="34" customHeight="1">
      <c r="A565" s="12" t="inlineStr">
        <is>
          <t>Contractor Programme</t>
        </is>
      </c>
      <c r="B565" s="12" t="inlineStr">
        <is>
          <t>SCH-03-014</t>
        </is>
      </c>
      <c r="C565" s="12" t="inlineStr">
        <is>
          <t>East substation: SCADA point-to-point check - installation</t>
        </is>
      </c>
      <c r="D565" s="12" t="inlineStr">
        <is>
          <t>WBS Code = 1.3.1</t>
        </is>
      </c>
      <c r="E565" s="12" t="inlineStr">
        <is>
          <t>R374-v1</t>
        </is>
      </c>
      <c r="F565" s="12" t="inlineStr">
        <is>
          <t>1.3.1 Systems - Traction Power</t>
        </is>
      </c>
      <c r="G565" s="12" t="inlineStr">
        <is>
          <t>ONE_TO_ONE</t>
        </is>
      </c>
      <c r="H565" s="12" t="inlineStr">
        <is>
          <t>APPROVED</t>
        </is>
      </c>
      <c r="I565" s="12" t="inlineStr">
        <is>
          <t>New</t>
        </is>
      </c>
      <c r="J565" s="12" t="inlineStr">
        <is>
          <t>Source assignment -- not individually reviewed</t>
        </is>
      </c>
      <c r="K565" s="12" t="inlineStr"/>
      <c r="L565" s="12" t="inlineStr"/>
      <c r="M565" s="12" t="inlineStr"/>
      <c r="N565" s="17" t="inlineStr">
        <is>
          <t>10 EVIDENCE &amp; DECISIONS</t>
        </is>
      </c>
    </row>
    <row r="566" ht="34" customHeight="1">
      <c r="A566" s="12" t="inlineStr">
        <is>
          <t>Contractor Programme</t>
        </is>
      </c>
      <c r="B566" s="12" t="inlineStr">
        <is>
          <t>SCH-03-016</t>
        </is>
      </c>
      <c r="C566" s="12" t="inlineStr">
        <is>
          <t>Harbour Station: train-control cabinet fit-out - turnover</t>
        </is>
      </c>
      <c r="D566" s="12" t="inlineStr">
        <is>
          <t>WBS Code = 1.3.1</t>
        </is>
      </c>
      <c r="E566" s="12" t="inlineStr">
        <is>
          <t>R376-v1</t>
        </is>
      </c>
      <c r="F566" s="12" t="inlineStr">
        <is>
          <t>1.3.1 Systems - Traction Power</t>
        </is>
      </c>
      <c r="G566" s="12" t="inlineStr">
        <is>
          <t>ONE_TO_ONE</t>
        </is>
      </c>
      <c r="H566" s="12" t="inlineStr">
        <is>
          <t>APPROVED</t>
        </is>
      </c>
      <c r="I566" s="12" t="inlineStr">
        <is>
          <t>New</t>
        </is>
      </c>
      <c r="J566" s="12" t="inlineStr">
        <is>
          <t>Source assignment -- not individually reviewed</t>
        </is>
      </c>
      <c r="K566" s="12" t="inlineStr"/>
      <c r="L566" s="12" t="inlineStr"/>
      <c r="M566" s="12" t="inlineStr"/>
      <c r="N566" s="17" t="inlineStr">
        <is>
          <t>10 EVIDENCE &amp; DECISIONS</t>
        </is>
      </c>
    </row>
    <row r="567" ht="34" customHeight="1">
      <c r="A567" s="12" t="inlineStr">
        <is>
          <t>Contractor Programme</t>
        </is>
      </c>
      <c r="B567" s="12" t="inlineStr">
        <is>
          <t>SCH-03-017</t>
        </is>
      </c>
      <c r="C567" s="12" t="inlineStr">
        <is>
          <t>Control Centre: wayside interface test - release</t>
        </is>
      </c>
      <c r="D567" s="12" t="inlineStr">
        <is>
          <t>WBS Code = 1.3.1</t>
        </is>
      </c>
      <c r="E567" s="12" t="inlineStr">
        <is>
          <t>R377-v1</t>
        </is>
      </c>
      <c r="F567" s="12" t="inlineStr">
        <is>
          <t>1.3.1 Systems - Traction Power</t>
        </is>
      </c>
      <c r="G567" s="12" t="inlineStr">
        <is>
          <t>ONE_TO_ONE</t>
        </is>
      </c>
      <c r="H567" s="12" t="inlineStr">
        <is>
          <t>APPROVED</t>
        </is>
      </c>
      <c r="I567" s="12" t="inlineStr">
        <is>
          <t>New</t>
        </is>
      </c>
      <c r="J567" s="12" t="inlineStr">
        <is>
          <t>Source assignment -- not individually reviewed</t>
        </is>
      </c>
      <c r="K567" s="12" t="inlineStr"/>
      <c r="L567" s="12" t="inlineStr"/>
      <c r="M567" s="12" t="inlineStr"/>
      <c r="N567" s="17" t="inlineStr">
        <is>
          <t>10 EVIDENCE &amp; DECISIONS</t>
        </is>
      </c>
    </row>
    <row r="568" ht="34" customHeight="1">
      <c r="A568" s="12" t="inlineStr">
        <is>
          <t>Contractor Programme</t>
        </is>
      </c>
      <c r="B568" s="12" t="inlineStr">
        <is>
          <t>SCH-03-019</t>
        </is>
      </c>
      <c r="C568" s="12" t="inlineStr">
        <is>
          <t>East substation: radio equipment installation - installation</t>
        </is>
      </c>
      <c r="D568" s="12" t="inlineStr">
        <is>
          <t>WBS Code = 1.3.1</t>
        </is>
      </c>
      <c r="E568" s="12" t="inlineStr">
        <is>
          <t>R379-v1</t>
        </is>
      </c>
      <c r="F568" s="12" t="inlineStr">
        <is>
          <t>1.3.1 Systems - Traction Power</t>
        </is>
      </c>
      <c r="G568" s="12" t="inlineStr">
        <is>
          <t>ONE_TO_ONE</t>
        </is>
      </c>
      <c r="H568" s="12" t="inlineStr">
        <is>
          <t>APPROVED</t>
        </is>
      </c>
      <c r="I568" s="12" t="inlineStr">
        <is>
          <t>New</t>
        </is>
      </c>
      <c r="J568" s="12" t="inlineStr">
        <is>
          <t>Source assignment -- not individually reviewed</t>
        </is>
      </c>
      <c r="K568" s="12" t="inlineStr"/>
      <c r="L568" s="12" t="inlineStr"/>
      <c r="M568" s="12" t="inlineStr"/>
      <c r="N568" s="17" t="inlineStr">
        <is>
          <t>10 EVIDENCE &amp; DECISIONS</t>
        </is>
      </c>
    </row>
    <row r="569" ht="34" customHeight="1">
      <c r="A569" s="12" t="inlineStr">
        <is>
          <t>Contractor Programme</t>
        </is>
      </c>
      <c r="B569" s="12" t="inlineStr">
        <is>
          <t>SCH-03-020</t>
        </is>
      </c>
      <c r="C569" s="12" t="inlineStr">
        <is>
          <t>Central interlocking: control-centre integration - inspection</t>
        </is>
      </c>
      <c r="D569" s="12" t="inlineStr">
        <is>
          <t>WBS Code = 1.3.1</t>
        </is>
      </c>
      <c r="E569" s="12" t="inlineStr">
        <is>
          <t>R380-v1</t>
        </is>
      </c>
      <c r="F569" s="12" t="inlineStr">
        <is>
          <t>1.3.1 Systems - Traction Power</t>
        </is>
      </c>
      <c r="G569" s="12" t="inlineStr">
        <is>
          <t>ONE_TO_ONE</t>
        </is>
      </c>
      <c r="H569" s="12" t="inlineStr">
        <is>
          <t>APPROVED</t>
        </is>
      </c>
      <c r="I569" s="12" t="inlineStr">
        <is>
          <t>New</t>
        </is>
      </c>
      <c r="J569" s="12" t="inlineStr">
        <is>
          <t>Source assignment -- not individually reviewed</t>
        </is>
      </c>
      <c r="K569" s="12" t="inlineStr"/>
      <c r="L569" s="12" t="inlineStr"/>
      <c r="M569" s="12" t="inlineStr"/>
      <c r="N569" s="17" t="inlineStr">
        <is>
          <t>10 EVIDENCE &amp; DECISIONS</t>
        </is>
      </c>
    </row>
    <row r="570" ht="34" customHeight="1">
      <c r="A570" s="12" t="inlineStr">
        <is>
          <t>Contractor Programme</t>
        </is>
      </c>
      <c r="B570" s="12" t="inlineStr">
        <is>
          <t>SCH-03-022</t>
        </is>
      </c>
      <c r="C570" s="12" t="inlineStr">
        <is>
          <t>Control Centre: SCADA point-to-point check - release</t>
        </is>
      </c>
      <c r="D570" s="12" t="inlineStr">
        <is>
          <t>WBS Code = 1.3.1</t>
        </is>
      </c>
      <c r="E570" s="12" t="inlineStr">
        <is>
          <t>R382-v1</t>
        </is>
      </c>
      <c r="F570" s="12" t="inlineStr">
        <is>
          <t>1.3.1 Systems - Traction Power</t>
        </is>
      </c>
      <c r="G570" s="12" t="inlineStr">
        <is>
          <t>ONE_TO_ONE</t>
        </is>
      </c>
      <c r="H570" s="12" t="inlineStr">
        <is>
          <t>APPROVED</t>
        </is>
      </c>
      <c r="I570" s="12" t="inlineStr">
        <is>
          <t>New</t>
        </is>
      </c>
      <c r="J570" s="12" t="inlineStr">
        <is>
          <t>Source assignment -- not individually reviewed</t>
        </is>
      </c>
      <c r="K570" s="12" t="inlineStr"/>
      <c r="L570" s="12" t="inlineStr"/>
      <c r="M570" s="12" t="inlineStr"/>
      <c r="N570" s="17" t="inlineStr">
        <is>
          <t>10 EVIDENCE &amp; DECISIONS</t>
        </is>
      </c>
    </row>
    <row r="571" ht="34" customHeight="1">
      <c r="A571" s="12" t="inlineStr">
        <is>
          <t>Contractor Programme</t>
        </is>
      </c>
      <c r="B571" s="12" t="inlineStr">
        <is>
          <t>SCH-03-023</t>
        </is>
      </c>
      <c r="C571" s="12" t="inlineStr">
        <is>
          <t>West wayside: traction-power feeder pull - field start</t>
        </is>
      </c>
      <c r="D571" s="12" t="inlineStr">
        <is>
          <t>WBS Code = 1.3.1</t>
        </is>
      </c>
      <c r="E571" s="12" t="inlineStr">
        <is>
          <t>R383-v1</t>
        </is>
      </c>
      <c r="F571" s="12" t="inlineStr">
        <is>
          <t>1.3.1 Systems - Traction Power</t>
        </is>
      </c>
      <c r="G571" s="12" t="inlineStr">
        <is>
          <t>ONE_TO_ONE</t>
        </is>
      </c>
      <c r="H571" s="12" t="inlineStr">
        <is>
          <t>APPROVED</t>
        </is>
      </c>
      <c r="I571" s="12" t="inlineStr">
        <is>
          <t>New</t>
        </is>
      </c>
      <c r="J571" s="12" t="inlineStr">
        <is>
          <t>Source assignment -- not individually reviewed</t>
        </is>
      </c>
      <c r="K571" s="12" t="inlineStr"/>
      <c r="L571" s="12" t="inlineStr"/>
      <c r="M571" s="12" t="inlineStr"/>
      <c r="N571" s="17" t="inlineStr">
        <is>
          <t>10 EVIDENCE &amp; DECISIONS</t>
        </is>
      </c>
    </row>
    <row r="572" ht="34" customHeight="1">
      <c r="A572" s="12" t="inlineStr">
        <is>
          <t>Contractor Programme</t>
        </is>
      </c>
      <c r="B572" s="12" t="inlineStr">
        <is>
          <t>SCH-03-025</t>
        </is>
      </c>
      <c r="C572" s="12" t="inlineStr">
        <is>
          <t>Central interlocking: wayside interface test - inspection</t>
        </is>
      </c>
      <c r="D572" s="12" t="inlineStr">
        <is>
          <t>WBS Code = 1.3.1</t>
        </is>
      </c>
      <c r="E572" s="12" t="inlineStr">
        <is>
          <t>R385-v1</t>
        </is>
      </c>
      <c r="F572" s="12" t="inlineStr">
        <is>
          <t>1.3.1 Systems - Traction Power</t>
        </is>
      </c>
      <c r="G572" s="12" t="inlineStr">
        <is>
          <t>ONE_TO_ONE</t>
        </is>
      </c>
      <c r="H572" s="12" t="inlineStr">
        <is>
          <t>APPROVED</t>
        </is>
      </c>
      <c r="I572" s="12" t="inlineStr">
        <is>
          <t>New</t>
        </is>
      </c>
      <c r="J572" s="12" t="inlineStr">
        <is>
          <t>Source assignment -- not individually reviewed</t>
        </is>
      </c>
      <c r="K572" s="12" t="inlineStr"/>
      <c r="L572" s="12" t="inlineStr"/>
      <c r="M572" s="12" t="inlineStr"/>
      <c r="N572" s="17" t="inlineStr">
        <is>
          <t>10 EVIDENCE &amp; DECISIONS</t>
        </is>
      </c>
    </row>
    <row r="573" ht="34" customHeight="1">
      <c r="A573" s="12" t="inlineStr">
        <is>
          <t>Contractor Programme</t>
        </is>
      </c>
      <c r="B573" s="12" t="inlineStr">
        <is>
          <t>SCH-03-026</t>
        </is>
      </c>
      <c r="C573" s="12" t="inlineStr">
        <is>
          <t>Harbour Station: signal equipment installation - turnover</t>
        </is>
      </c>
      <c r="D573" s="12" t="inlineStr">
        <is>
          <t>WBS Code = 1.3.1</t>
        </is>
      </c>
      <c r="E573" s="12" t="inlineStr">
        <is>
          <t>R386-v1</t>
        </is>
      </c>
      <c r="F573" s="12" t="inlineStr">
        <is>
          <t>1.3.1 Systems - Traction Power</t>
        </is>
      </c>
      <c r="G573" s="12" t="inlineStr">
        <is>
          <t>ONE_TO_ONE</t>
        </is>
      </c>
      <c r="H573" s="12" t="inlineStr">
        <is>
          <t>APPROVED</t>
        </is>
      </c>
      <c r="I573" s="12" t="inlineStr">
        <is>
          <t>New</t>
        </is>
      </c>
      <c r="J573" s="12" t="inlineStr">
        <is>
          <t>Source assignment -- not individually reviewed</t>
        </is>
      </c>
      <c r="K573" s="12" t="inlineStr"/>
      <c r="L573" s="12" t="inlineStr"/>
      <c r="M573" s="12" t="inlineStr"/>
      <c r="N573" s="17" t="inlineStr">
        <is>
          <t>10 EVIDENCE &amp; DECISIONS</t>
        </is>
      </c>
    </row>
    <row r="574" ht="34" customHeight="1">
      <c r="A574" s="12" t="inlineStr">
        <is>
          <t>Contractor Programme</t>
        </is>
      </c>
      <c r="B574" s="12" t="inlineStr">
        <is>
          <t>SCH-03-028</t>
        </is>
      </c>
      <c r="C574" s="12" t="inlineStr">
        <is>
          <t>West wayside: control-centre integration - field start</t>
        </is>
      </c>
      <c r="D574" s="12" t="inlineStr">
        <is>
          <t>WBS Code = 1.3.1</t>
        </is>
      </c>
      <c r="E574" s="12" t="inlineStr">
        <is>
          <t>R388-v1</t>
        </is>
      </c>
      <c r="F574" s="12" t="inlineStr">
        <is>
          <t>1.3.1 Systems - Traction Power</t>
        </is>
      </c>
      <c r="G574" s="12" t="inlineStr">
        <is>
          <t>ONE_TO_ONE</t>
        </is>
      </c>
      <c r="H574" s="12" t="inlineStr">
        <is>
          <t>APPROVED</t>
        </is>
      </c>
      <c r="I574" s="12" t="inlineStr">
        <is>
          <t>New</t>
        </is>
      </c>
      <c r="J574" s="12" t="inlineStr">
        <is>
          <t>Source assignment -- not individually reviewed</t>
        </is>
      </c>
      <c r="K574" s="12" t="inlineStr"/>
      <c r="L574" s="12" t="inlineStr"/>
      <c r="M574" s="12" t="inlineStr"/>
      <c r="N574" s="17" t="inlineStr">
        <is>
          <t>10 EVIDENCE &amp; DECISIONS</t>
        </is>
      </c>
    </row>
    <row r="575" ht="34" customHeight="1">
      <c r="A575" s="12" t="inlineStr">
        <is>
          <t>Contractor Programme</t>
        </is>
      </c>
      <c r="B575" s="12" t="inlineStr">
        <is>
          <t>SCH-03-029</t>
        </is>
      </c>
      <c r="C575" s="12" t="inlineStr">
        <is>
          <t>East substation: fibre backbone termination - installation</t>
        </is>
      </c>
      <c r="D575" s="12" t="inlineStr">
        <is>
          <t>WBS Code = 1.3.1</t>
        </is>
      </c>
      <c r="E575" s="12" t="inlineStr">
        <is>
          <t>R389-v1</t>
        </is>
      </c>
      <c r="F575" s="12" t="inlineStr">
        <is>
          <t>1.3.1 Systems - Traction Power</t>
        </is>
      </c>
      <c r="G575" s="12" t="inlineStr">
        <is>
          <t>ONE_TO_ONE</t>
        </is>
      </c>
      <c r="H575" s="12" t="inlineStr">
        <is>
          <t>APPROVED</t>
        </is>
      </c>
      <c r="I575" s="12" t="inlineStr">
        <is>
          <t>New</t>
        </is>
      </c>
      <c r="J575" s="12" t="inlineStr">
        <is>
          <t>Source assignment -- not individually reviewed</t>
        </is>
      </c>
      <c r="K575" s="12" t="inlineStr"/>
      <c r="L575" s="12" t="inlineStr"/>
      <c r="M575" s="12" t="inlineStr"/>
      <c r="N575" s="17" t="inlineStr">
        <is>
          <t>10 EVIDENCE &amp; DECISIONS</t>
        </is>
      </c>
    </row>
    <row r="576" ht="34" customHeight="1">
      <c r="A576" s="12" t="inlineStr">
        <is>
          <t>Contractor Programme</t>
        </is>
      </c>
      <c r="B576" s="12" t="inlineStr">
        <is>
          <t>SCH-03-031</t>
        </is>
      </c>
      <c r="C576" s="12" t="inlineStr">
        <is>
          <t>Harbour Station: traction-power feeder pull - turnover</t>
        </is>
      </c>
      <c r="D576" s="12" t="inlineStr">
        <is>
          <t>WBS Code = 1.3.1</t>
        </is>
      </c>
      <c r="E576" s="12" t="inlineStr">
        <is>
          <t>R391-v1</t>
        </is>
      </c>
      <c r="F576" s="12" t="inlineStr">
        <is>
          <t>1.3.1 Systems - Traction Power</t>
        </is>
      </c>
      <c r="G576" s="12" t="inlineStr">
        <is>
          <t>ONE_TO_ONE</t>
        </is>
      </c>
      <c r="H576" s="12" t="inlineStr">
        <is>
          <t>APPROVED</t>
        </is>
      </c>
      <c r="I576" s="12" t="inlineStr">
        <is>
          <t>New</t>
        </is>
      </c>
      <c r="J576" s="12" t="inlineStr">
        <is>
          <t>Source assignment -- not individually reviewed</t>
        </is>
      </c>
      <c r="K576" s="12" t="inlineStr"/>
      <c r="L576" s="12" t="inlineStr"/>
      <c r="M576" s="12" t="inlineStr"/>
      <c r="N576" s="17" t="inlineStr">
        <is>
          <t>10 EVIDENCE &amp; DECISIONS</t>
        </is>
      </c>
    </row>
    <row r="577" ht="34" customHeight="1">
      <c r="A577" s="12" t="inlineStr">
        <is>
          <t>Contractor Programme</t>
        </is>
      </c>
      <c r="B577" s="12" t="inlineStr">
        <is>
          <t>SCH-03-032</t>
        </is>
      </c>
      <c r="C577" s="12" t="inlineStr">
        <is>
          <t>Control Centre: train-control cabinet fit-out - release</t>
        </is>
      </c>
      <c r="D577" s="12" t="inlineStr">
        <is>
          <t>WBS Code = 1.3.1</t>
        </is>
      </c>
      <c r="E577" s="12" t="inlineStr">
        <is>
          <t>R392-v1</t>
        </is>
      </c>
      <c r="F577" s="12" t="inlineStr">
        <is>
          <t>1.3.1 Systems - Traction Power</t>
        </is>
      </c>
      <c r="G577" s="12" t="inlineStr">
        <is>
          <t>ONE_TO_ONE</t>
        </is>
      </c>
      <c r="H577" s="12" t="inlineStr">
        <is>
          <t>APPROVED</t>
        </is>
      </c>
      <c r="I577" s="12" t="inlineStr">
        <is>
          <t>New</t>
        </is>
      </c>
      <c r="J577" s="12" t="inlineStr">
        <is>
          <t>Source assignment -- not individually reviewed</t>
        </is>
      </c>
      <c r="K577" s="12" t="inlineStr"/>
      <c r="L577" s="12" t="inlineStr"/>
      <c r="M577" s="12" t="inlineStr"/>
      <c r="N577" s="17" t="inlineStr">
        <is>
          <t>10 EVIDENCE &amp; DECISIONS</t>
        </is>
      </c>
    </row>
    <row r="578" ht="34" customHeight="1">
      <c r="A578" s="12" t="inlineStr">
        <is>
          <t>Contractor Programme</t>
        </is>
      </c>
      <c r="B578" s="12" t="inlineStr">
        <is>
          <t>SCH-03-034</t>
        </is>
      </c>
      <c r="C578" s="12" t="inlineStr">
        <is>
          <t>East substation: signal equipment installation - installation</t>
        </is>
      </c>
      <c r="D578" s="12" t="inlineStr">
        <is>
          <t>WBS Code = 1.3.1</t>
        </is>
      </c>
      <c r="E578" s="12" t="inlineStr">
        <is>
          <t>R394-v1</t>
        </is>
      </c>
      <c r="F578" s="12" t="inlineStr">
        <is>
          <t>1.3.1 Systems - Traction Power</t>
        </is>
      </c>
      <c r="G578" s="12" t="inlineStr">
        <is>
          <t>ONE_TO_ONE</t>
        </is>
      </c>
      <c r="H578" s="12" t="inlineStr">
        <is>
          <t>APPROVED</t>
        </is>
      </c>
      <c r="I578" s="12" t="inlineStr">
        <is>
          <t>New</t>
        </is>
      </c>
      <c r="J578" s="12" t="inlineStr">
        <is>
          <t>Source assignment -- not individually reviewed</t>
        </is>
      </c>
      <c r="K578" s="12" t="inlineStr"/>
      <c r="L578" s="12" t="inlineStr"/>
      <c r="M578" s="12" t="inlineStr"/>
      <c r="N578" s="17" t="inlineStr">
        <is>
          <t>10 EVIDENCE &amp; DECISIONS</t>
        </is>
      </c>
    </row>
    <row r="579" ht="34" customHeight="1">
      <c r="A579" s="12" t="inlineStr">
        <is>
          <t>Contractor Programme</t>
        </is>
      </c>
      <c r="B579" s="12" t="inlineStr">
        <is>
          <t>SCH-03-035</t>
        </is>
      </c>
      <c r="C579" s="12" t="inlineStr">
        <is>
          <t>Central interlocking: radio equipment installation - inspection</t>
        </is>
      </c>
      <c r="D579" s="12" t="inlineStr">
        <is>
          <t>WBS Code = 1.3.1</t>
        </is>
      </c>
      <c r="E579" s="12" t="inlineStr">
        <is>
          <t>R395-v1</t>
        </is>
      </c>
      <c r="F579" s="12" t="inlineStr">
        <is>
          <t>1.3.1 Systems - Traction Power</t>
        </is>
      </c>
      <c r="G579" s="12" t="inlineStr">
        <is>
          <t>ONE_TO_ONE</t>
        </is>
      </c>
      <c r="H579" s="12" t="inlineStr">
        <is>
          <t>APPROVED</t>
        </is>
      </c>
      <c r="I579" s="12" t="inlineStr">
        <is>
          <t>New</t>
        </is>
      </c>
      <c r="J579" s="12" t="inlineStr">
        <is>
          <t>Source assignment -- not individually reviewed</t>
        </is>
      </c>
      <c r="K579" s="12" t="inlineStr"/>
      <c r="L579" s="12" t="inlineStr"/>
      <c r="M579" s="12" t="inlineStr"/>
      <c r="N579" s="17" t="inlineStr">
        <is>
          <t>10 EVIDENCE &amp; DECISIONS</t>
        </is>
      </c>
    </row>
    <row r="580" ht="34" customHeight="1">
      <c r="A580" s="12" t="inlineStr">
        <is>
          <t>Contractor Programme</t>
        </is>
      </c>
      <c r="B580" s="12" t="inlineStr">
        <is>
          <t>SCH-03-037</t>
        </is>
      </c>
      <c r="C580" s="12" t="inlineStr">
        <is>
          <t>Control Centre: fibre backbone termination - release</t>
        </is>
      </c>
      <c r="D580" s="12" t="inlineStr">
        <is>
          <t>WBS Code = 1.3.1</t>
        </is>
      </c>
      <c r="E580" s="12" t="inlineStr">
        <is>
          <t>R397-v1</t>
        </is>
      </c>
      <c r="F580" s="12" t="inlineStr">
        <is>
          <t>1.3.1 Systems - Traction Power</t>
        </is>
      </c>
      <c r="G580" s="12" t="inlineStr">
        <is>
          <t>ONE_TO_ONE</t>
        </is>
      </c>
      <c r="H580" s="12" t="inlineStr">
        <is>
          <t>APPROVED</t>
        </is>
      </c>
      <c r="I580" s="12" t="inlineStr">
        <is>
          <t>New</t>
        </is>
      </c>
      <c r="J580" s="12" t="inlineStr">
        <is>
          <t>Source assignment -- not individually reviewed</t>
        </is>
      </c>
      <c r="K580" s="12" t="inlineStr"/>
      <c r="L580" s="12" t="inlineStr"/>
      <c r="M580" s="12" t="inlineStr"/>
      <c r="N580" s="17" t="inlineStr">
        <is>
          <t>10 EVIDENCE &amp; DECISIONS</t>
        </is>
      </c>
    </row>
    <row r="581" ht="34" customHeight="1">
      <c r="A581" s="12" t="inlineStr">
        <is>
          <t>Contractor Programme</t>
        </is>
      </c>
      <c r="B581" s="12" t="inlineStr">
        <is>
          <t>SCH-03-038</t>
        </is>
      </c>
      <c r="C581" s="12" t="inlineStr">
        <is>
          <t>West wayside: SCADA point-to-point check - field start</t>
        </is>
      </c>
      <c r="D581" s="12" t="inlineStr">
        <is>
          <t>WBS Code = 1.3.1</t>
        </is>
      </c>
      <c r="E581" s="12" t="inlineStr">
        <is>
          <t>R398-v1</t>
        </is>
      </c>
      <c r="F581" s="12" t="inlineStr">
        <is>
          <t>1.3.1 Systems - Traction Power</t>
        </is>
      </c>
      <c r="G581" s="12" t="inlineStr">
        <is>
          <t>ONE_TO_ONE</t>
        </is>
      </c>
      <c r="H581" s="12" t="inlineStr">
        <is>
          <t>APPROVED</t>
        </is>
      </c>
      <c r="I581" s="12" t="inlineStr">
        <is>
          <t>New</t>
        </is>
      </c>
      <c r="J581" s="12" t="inlineStr">
        <is>
          <t>Source assignment -- not individually reviewed</t>
        </is>
      </c>
      <c r="K581" s="12" t="inlineStr"/>
      <c r="L581" s="12" t="inlineStr"/>
      <c r="M581" s="12" t="inlineStr"/>
      <c r="N581" s="17" t="inlineStr">
        <is>
          <t>10 EVIDENCE &amp; DECISIONS</t>
        </is>
      </c>
    </row>
    <row r="582" ht="34" customHeight="1">
      <c r="A582" s="12" t="inlineStr">
        <is>
          <t>Contractor Programme</t>
        </is>
      </c>
      <c r="B582" s="12" t="inlineStr">
        <is>
          <t>SCH-03-040</t>
        </is>
      </c>
      <c r="C582" s="12" t="inlineStr">
        <is>
          <t>Central interlocking: train-control cabinet fit-out - inspection</t>
        </is>
      </c>
      <c r="D582" s="12" t="inlineStr">
        <is>
          <t>WBS Code = 1.3.1</t>
        </is>
      </c>
      <c r="E582" s="12" t="inlineStr">
        <is>
          <t>R400-v1</t>
        </is>
      </c>
      <c r="F582" s="12" t="inlineStr">
        <is>
          <t>1.3.1 Systems - Traction Power</t>
        </is>
      </c>
      <c r="G582" s="12" t="inlineStr">
        <is>
          <t>ONE_TO_ONE</t>
        </is>
      </c>
      <c r="H582" s="12" t="inlineStr">
        <is>
          <t>APPROVED</t>
        </is>
      </c>
      <c r="I582" s="12" t="inlineStr">
        <is>
          <t>New</t>
        </is>
      </c>
      <c r="J582" s="12" t="inlineStr">
        <is>
          <t>Source assignment -- not individually reviewed</t>
        </is>
      </c>
      <c r="K582" s="12" t="inlineStr"/>
      <c r="L582" s="12" t="inlineStr"/>
      <c r="M582" s="12" t="inlineStr"/>
      <c r="N582" s="17" t="inlineStr">
        <is>
          <t>10 EVIDENCE &amp; DECISIONS</t>
        </is>
      </c>
    </row>
    <row r="583" ht="34" customHeight="1">
      <c r="A583" s="12" t="inlineStr">
        <is>
          <t>Contractor Programme</t>
        </is>
      </c>
      <c r="B583" s="12" t="inlineStr">
        <is>
          <t>SCH-03-041</t>
        </is>
      </c>
      <c r="C583" s="12" t="inlineStr">
        <is>
          <t>Harbour Station: wayside interface test - turnover</t>
        </is>
      </c>
      <c r="D583" s="12" t="inlineStr">
        <is>
          <t>WBS Code = 1.3.1</t>
        </is>
      </c>
      <c r="E583" s="12" t="inlineStr">
        <is>
          <t>R401-v1</t>
        </is>
      </c>
      <c r="F583" s="12" t="inlineStr">
        <is>
          <t>1.3.1 Systems - Traction Power</t>
        </is>
      </c>
      <c r="G583" s="12" t="inlineStr">
        <is>
          <t>ONE_TO_ONE</t>
        </is>
      </c>
      <c r="H583" s="12" t="inlineStr">
        <is>
          <t>APPROVED</t>
        </is>
      </c>
      <c r="I583" s="12" t="inlineStr">
        <is>
          <t>New</t>
        </is>
      </c>
      <c r="J583" s="12" t="inlineStr">
        <is>
          <t>Source assignment -- not individually reviewed</t>
        </is>
      </c>
      <c r="K583" s="12" t="inlineStr"/>
      <c r="L583" s="12" t="inlineStr"/>
      <c r="M583" s="12" t="inlineStr"/>
      <c r="N583" s="17" t="inlineStr">
        <is>
          <t>10 EVIDENCE &amp; DECISIONS</t>
        </is>
      </c>
    </row>
    <row r="584" ht="34" customHeight="1">
      <c r="A584" s="12" t="inlineStr">
        <is>
          <t>Contractor Programme</t>
        </is>
      </c>
      <c r="B584" s="12" t="inlineStr">
        <is>
          <t>SCH-03-043</t>
        </is>
      </c>
      <c r="C584" s="12" t="inlineStr">
        <is>
          <t>West wayside: radio equipment installation - field start</t>
        </is>
      </c>
      <c r="D584" s="12" t="inlineStr">
        <is>
          <t>WBS Code = 1.3.1</t>
        </is>
      </c>
      <c r="E584" s="12" t="inlineStr">
        <is>
          <t>R403-v1</t>
        </is>
      </c>
      <c r="F584" s="12" t="inlineStr">
        <is>
          <t>1.3.1 Systems - Traction Power</t>
        </is>
      </c>
      <c r="G584" s="12" t="inlineStr">
        <is>
          <t>ONE_TO_ONE</t>
        </is>
      </c>
      <c r="H584" s="12" t="inlineStr">
        <is>
          <t>APPROVED</t>
        </is>
      </c>
      <c r="I584" s="12" t="inlineStr">
        <is>
          <t>New</t>
        </is>
      </c>
      <c r="J584" s="12" t="inlineStr">
        <is>
          <t>Source assignment -- not individually reviewed</t>
        </is>
      </c>
      <c r="K584" s="12" t="inlineStr"/>
      <c r="L584" s="12" t="inlineStr"/>
      <c r="M584" s="12" t="inlineStr"/>
      <c r="N584" s="17" t="inlineStr">
        <is>
          <t>10 EVIDENCE &amp; DECISIONS</t>
        </is>
      </c>
    </row>
    <row r="585" ht="34" customHeight="1">
      <c r="A585" s="12" t="inlineStr">
        <is>
          <t>Contractor Programme</t>
        </is>
      </c>
      <c r="B585" s="12" t="inlineStr">
        <is>
          <t>SCH-03-044</t>
        </is>
      </c>
      <c r="C585" s="12" t="inlineStr">
        <is>
          <t>East substation: control-centre integration - installation</t>
        </is>
      </c>
      <c r="D585" s="12" t="inlineStr">
        <is>
          <t>WBS Code = 1.3.1</t>
        </is>
      </c>
      <c r="E585" s="12" t="inlineStr">
        <is>
          <t>R404-v1</t>
        </is>
      </c>
      <c r="F585" s="12" t="inlineStr">
        <is>
          <t>1.3.1 Systems - Traction Power</t>
        </is>
      </c>
      <c r="G585" s="12" t="inlineStr">
        <is>
          <t>ONE_TO_ONE</t>
        </is>
      </c>
      <c r="H585" s="12" t="inlineStr">
        <is>
          <t>APPROVED</t>
        </is>
      </c>
      <c r="I585" s="12" t="inlineStr">
        <is>
          <t>New</t>
        </is>
      </c>
      <c r="J585" s="12" t="inlineStr">
        <is>
          <t>Source assignment -- not individually reviewed</t>
        </is>
      </c>
      <c r="K585" s="12" t="inlineStr"/>
      <c r="L585" s="12" t="inlineStr"/>
      <c r="M585" s="12" t="inlineStr"/>
      <c r="N585" s="17" t="inlineStr">
        <is>
          <t>10 EVIDENCE &amp; DECISIONS</t>
        </is>
      </c>
    </row>
    <row r="586" ht="34" customHeight="1">
      <c r="A586" s="12" t="inlineStr">
        <is>
          <t>Contractor Programme</t>
        </is>
      </c>
      <c r="B586" s="12" t="inlineStr">
        <is>
          <t>SCH-03-046</t>
        </is>
      </c>
      <c r="C586" s="12" t="inlineStr">
        <is>
          <t>Harbour Station: SCADA point-to-point check - turnover</t>
        </is>
      </c>
      <c r="D586" s="12" t="inlineStr">
        <is>
          <t>WBS Code = 1.3.1</t>
        </is>
      </c>
      <c r="E586" s="12" t="inlineStr">
        <is>
          <t>R406-v1</t>
        </is>
      </c>
      <c r="F586" s="12" t="inlineStr">
        <is>
          <t>1.3.1 Systems - Traction Power</t>
        </is>
      </c>
      <c r="G586" s="12" t="inlineStr">
        <is>
          <t>ONE_TO_ONE</t>
        </is>
      </c>
      <c r="H586" s="12" t="inlineStr">
        <is>
          <t>APPROVED</t>
        </is>
      </c>
      <c r="I586" s="12" t="inlineStr">
        <is>
          <t>New</t>
        </is>
      </c>
      <c r="J586" s="12" t="inlineStr">
        <is>
          <t>Source assignment -- not individually reviewed</t>
        </is>
      </c>
      <c r="K586" s="12" t="inlineStr"/>
      <c r="L586" s="12" t="inlineStr"/>
      <c r="M586" s="12" t="inlineStr"/>
      <c r="N586" s="17" t="inlineStr">
        <is>
          <t>10 EVIDENCE &amp; DECISIONS</t>
        </is>
      </c>
    </row>
    <row r="587" ht="34" customHeight="1">
      <c r="A587" s="12" t="inlineStr">
        <is>
          <t>Contractor Programme</t>
        </is>
      </c>
      <c r="B587" s="12" t="inlineStr">
        <is>
          <t>SCH-03-047</t>
        </is>
      </c>
      <c r="C587" s="12" t="inlineStr">
        <is>
          <t>Control Centre: traction-power feeder pull - release</t>
        </is>
      </c>
      <c r="D587" s="12" t="inlineStr">
        <is>
          <t>WBS Code = 1.3.1</t>
        </is>
      </c>
      <c r="E587" s="12" t="inlineStr">
        <is>
          <t>R407-v1</t>
        </is>
      </c>
      <c r="F587" s="12" t="inlineStr">
        <is>
          <t>1.3.1 Systems - Traction Power</t>
        </is>
      </c>
      <c r="G587" s="12" t="inlineStr">
        <is>
          <t>ONE_TO_ONE</t>
        </is>
      </c>
      <c r="H587" s="12" t="inlineStr">
        <is>
          <t>APPROVED</t>
        </is>
      </c>
      <c r="I587" s="12" t="inlineStr">
        <is>
          <t>New</t>
        </is>
      </c>
      <c r="J587" s="12" t="inlineStr">
        <is>
          <t>Source assignment -- not individually reviewed</t>
        </is>
      </c>
      <c r="K587" s="12" t="inlineStr"/>
      <c r="L587" s="12" t="inlineStr"/>
      <c r="M587" s="12" t="inlineStr"/>
      <c r="N587" s="17" t="inlineStr">
        <is>
          <t>10 EVIDENCE &amp; DECISIONS</t>
        </is>
      </c>
    </row>
    <row r="588" ht="34" customHeight="1">
      <c r="A588" s="12" t="inlineStr">
        <is>
          <t>Contractor Programme</t>
        </is>
      </c>
      <c r="B588" s="12" t="inlineStr">
        <is>
          <t>SCH-03-049</t>
        </is>
      </c>
      <c r="C588" s="12" t="inlineStr">
        <is>
          <t>East substation: wayside interface test - installation</t>
        </is>
      </c>
      <c r="D588" s="12" t="inlineStr">
        <is>
          <t>WBS Code = 1.3.1</t>
        </is>
      </c>
      <c r="E588" s="12" t="inlineStr">
        <is>
          <t>R409-v1</t>
        </is>
      </c>
      <c r="F588" s="12" t="inlineStr">
        <is>
          <t>1.3.1 Systems - Traction Power</t>
        </is>
      </c>
      <c r="G588" s="12" t="inlineStr">
        <is>
          <t>ONE_TO_ONE</t>
        </is>
      </c>
      <c r="H588" s="12" t="inlineStr">
        <is>
          <t>APPROVED</t>
        </is>
      </c>
      <c r="I588" s="12" t="inlineStr">
        <is>
          <t>New</t>
        </is>
      </c>
      <c r="J588" s="12" t="inlineStr">
        <is>
          <t>Source assignment -- not individually reviewed</t>
        </is>
      </c>
      <c r="K588" s="12" t="inlineStr"/>
      <c r="L588" s="12" t="inlineStr"/>
      <c r="M588" s="12" t="inlineStr"/>
      <c r="N588" s="17" t="inlineStr">
        <is>
          <t>10 EVIDENCE &amp; DECISIONS</t>
        </is>
      </c>
    </row>
    <row r="589" ht="34" customHeight="1">
      <c r="A589" s="12" t="inlineStr">
        <is>
          <t>Contractor Programme</t>
        </is>
      </c>
      <c r="B589" s="12" t="inlineStr">
        <is>
          <t>SCH-03-050</t>
        </is>
      </c>
      <c r="C589" s="12" t="inlineStr">
        <is>
          <t>Central interlocking: signal equipment installation - inspection</t>
        </is>
      </c>
      <c r="D589" s="12" t="inlineStr">
        <is>
          <t>WBS Code = 1.3.1</t>
        </is>
      </c>
      <c r="E589" s="12" t="inlineStr">
        <is>
          <t>R410-v1</t>
        </is>
      </c>
      <c r="F589" s="12" t="inlineStr">
        <is>
          <t>1.3.1 Systems - Traction Power</t>
        </is>
      </c>
      <c r="G589" s="12" t="inlineStr">
        <is>
          <t>ONE_TO_ONE</t>
        </is>
      </c>
      <c r="H589" s="12" t="inlineStr">
        <is>
          <t>APPROVED</t>
        </is>
      </c>
      <c r="I589" s="12" t="inlineStr">
        <is>
          <t>New</t>
        </is>
      </c>
      <c r="J589" s="12" t="inlineStr">
        <is>
          <t>Source assignment -- not individually reviewed</t>
        </is>
      </c>
      <c r="K589" s="12" t="inlineStr"/>
      <c r="L589" s="12" t="inlineStr"/>
      <c r="M589" s="12" t="inlineStr"/>
      <c r="N589" s="17" t="inlineStr">
        <is>
          <t>10 EVIDENCE &amp; DECISIONS</t>
        </is>
      </c>
    </row>
    <row r="590" ht="34" customHeight="1">
      <c r="A590" s="12" t="inlineStr">
        <is>
          <t>Contractor Programme</t>
        </is>
      </c>
      <c r="B590" s="12" t="inlineStr">
        <is>
          <t>SCH-03-052</t>
        </is>
      </c>
      <c r="C590" s="12" t="inlineStr">
        <is>
          <t>Control Centre: control-centre integration - release</t>
        </is>
      </c>
      <c r="D590" s="12" t="inlineStr">
        <is>
          <t>WBS Code = 1.3.1</t>
        </is>
      </c>
      <c r="E590" s="12" t="inlineStr">
        <is>
          <t>R412-v1</t>
        </is>
      </c>
      <c r="F590" s="12" t="inlineStr">
        <is>
          <t>1.3.1 Systems - Traction Power</t>
        </is>
      </c>
      <c r="G590" s="12" t="inlineStr">
        <is>
          <t>ONE_TO_ONE</t>
        </is>
      </c>
      <c r="H590" s="12" t="inlineStr">
        <is>
          <t>APPROVED</t>
        </is>
      </c>
      <c r="I590" s="12" t="inlineStr">
        <is>
          <t>New</t>
        </is>
      </c>
      <c r="J590" s="12" t="inlineStr">
        <is>
          <t>Source assignment -- not individually reviewed</t>
        </is>
      </c>
      <c r="K590" s="12" t="inlineStr"/>
      <c r="L590" s="12" t="inlineStr"/>
      <c r="M590" s="12" t="inlineStr"/>
      <c r="N590" s="17" t="inlineStr">
        <is>
          <t>10 EVIDENCE &amp; DECISIONS</t>
        </is>
      </c>
    </row>
    <row r="591" ht="34" customHeight="1">
      <c r="A591" s="12" t="inlineStr">
        <is>
          <t>Contractor Programme</t>
        </is>
      </c>
      <c r="B591" s="12" t="inlineStr">
        <is>
          <t>SCH-03-053</t>
        </is>
      </c>
      <c r="C591" s="12" t="inlineStr">
        <is>
          <t>West wayside: fibre backbone termination - field start</t>
        </is>
      </c>
      <c r="D591" s="12" t="inlineStr">
        <is>
          <t>WBS Code = 1.3.1</t>
        </is>
      </c>
      <c r="E591" s="12" t="inlineStr">
        <is>
          <t>R413-v1</t>
        </is>
      </c>
      <c r="F591" s="12" t="inlineStr">
        <is>
          <t>1.3.1 Systems - Traction Power</t>
        </is>
      </c>
      <c r="G591" s="12" t="inlineStr">
        <is>
          <t>ONE_TO_ONE</t>
        </is>
      </c>
      <c r="H591" s="12" t="inlineStr">
        <is>
          <t>APPROVED</t>
        </is>
      </c>
      <c r="I591" s="12" t="inlineStr">
        <is>
          <t>New</t>
        </is>
      </c>
      <c r="J591" s="12" t="inlineStr">
        <is>
          <t>Source assignment -- not individually reviewed</t>
        </is>
      </c>
      <c r="K591" s="12" t="inlineStr"/>
      <c r="L591" s="12" t="inlineStr"/>
      <c r="M591" s="12" t="inlineStr"/>
      <c r="N591" s="17" t="inlineStr">
        <is>
          <t>10 EVIDENCE &amp; DECISIONS</t>
        </is>
      </c>
    </row>
    <row r="592" ht="34" customHeight="1">
      <c r="A592" s="12" t="inlineStr">
        <is>
          <t>Contractor Programme</t>
        </is>
      </c>
      <c r="B592" s="12" t="inlineStr">
        <is>
          <t>SCH-03-055</t>
        </is>
      </c>
      <c r="C592" s="12" t="inlineStr">
        <is>
          <t>Central interlocking: traction-power feeder pull - inspection</t>
        </is>
      </c>
      <c r="D592" s="12" t="inlineStr">
        <is>
          <t>WBS Code = 1.3.1</t>
        </is>
      </c>
      <c r="E592" s="12" t="inlineStr">
        <is>
          <t>R415-v1</t>
        </is>
      </c>
      <c r="F592" s="12" t="inlineStr">
        <is>
          <t>1.3.1 Systems - Traction Power</t>
        </is>
      </c>
      <c r="G592" s="12" t="inlineStr">
        <is>
          <t>ONE_TO_ONE</t>
        </is>
      </c>
      <c r="H592" s="12" t="inlineStr">
        <is>
          <t>APPROVED</t>
        </is>
      </c>
      <c r="I592" s="12" t="inlineStr">
        <is>
          <t>New</t>
        </is>
      </c>
      <c r="J592" s="12" t="inlineStr">
        <is>
          <t>Source assignment -- not individually reviewed</t>
        </is>
      </c>
      <c r="K592" s="12" t="inlineStr"/>
      <c r="L592" s="12" t="inlineStr"/>
      <c r="M592" s="12" t="inlineStr"/>
      <c r="N592" s="17" t="inlineStr">
        <is>
          <t>10 EVIDENCE &amp; DECISIONS</t>
        </is>
      </c>
    </row>
    <row r="593" ht="34" customHeight="1">
      <c r="A593" s="12" t="inlineStr">
        <is>
          <t>Contractor Programme</t>
        </is>
      </c>
      <c r="B593" s="12" t="inlineStr">
        <is>
          <t>SCH-03-056</t>
        </is>
      </c>
      <c r="C593" s="12" t="inlineStr">
        <is>
          <t>Harbour Station: train-control cabinet fit-out - turnover</t>
        </is>
      </c>
      <c r="D593" s="12" t="inlineStr">
        <is>
          <t>WBS Code = 1.3.1</t>
        </is>
      </c>
      <c r="E593" s="12" t="inlineStr">
        <is>
          <t>R416-v1</t>
        </is>
      </c>
      <c r="F593" s="12" t="inlineStr">
        <is>
          <t>1.3.1 Systems - Traction Power</t>
        </is>
      </c>
      <c r="G593" s="12" t="inlineStr">
        <is>
          <t>ONE_TO_ONE</t>
        </is>
      </c>
      <c r="H593" s="12" t="inlineStr">
        <is>
          <t>APPROVED</t>
        </is>
      </c>
      <c r="I593" s="12" t="inlineStr">
        <is>
          <t>New</t>
        </is>
      </c>
      <c r="J593" s="12" t="inlineStr">
        <is>
          <t>Source assignment -- not individually reviewed</t>
        </is>
      </c>
      <c r="K593" s="12" t="inlineStr"/>
      <c r="L593" s="12" t="inlineStr"/>
      <c r="M593" s="12" t="inlineStr"/>
      <c r="N593" s="17" t="inlineStr">
        <is>
          <t>10 EVIDENCE &amp; DECISIONS</t>
        </is>
      </c>
    </row>
    <row r="594" ht="34" customHeight="1">
      <c r="A594" s="12" t="inlineStr">
        <is>
          <t>Contractor Programme</t>
        </is>
      </c>
      <c r="B594" s="12" t="inlineStr">
        <is>
          <t>SCH-03-058</t>
        </is>
      </c>
      <c r="C594" s="12" t="inlineStr">
        <is>
          <t>West wayside: signal equipment installation - field start</t>
        </is>
      </c>
      <c r="D594" s="12" t="inlineStr">
        <is>
          <t>WBS Code = 1.3.1</t>
        </is>
      </c>
      <c r="E594" s="12" t="inlineStr">
        <is>
          <t>R418-v1</t>
        </is>
      </c>
      <c r="F594" s="12" t="inlineStr">
        <is>
          <t>1.3.1 Systems - Traction Power</t>
        </is>
      </c>
      <c r="G594" s="12" t="inlineStr">
        <is>
          <t>ONE_TO_ONE</t>
        </is>
      </c>
      <c r="H594" s="12" t="inlineStr">
        <is>
          <t>APPROVED</t>
        </is>
      </c>
      <c r="I594" s="12" t="inlineStr">
        <is>
          <t>New</t>
        </is>
      </c>
      <c r="J594" s="12" t="inlineStr">
        <is>
          <t>Source assignment -- not individually reviewed</t>
        </is>
      </c>
      <c r="K594" s="12" t="inlineStr"/>
      <c r="L594" s="12" t="inlineStr"/>
      <c r="M594" s="12" t="inlineStr"/>
      <c r="N594" s="17" t="inlineStr">
        <is>
          <t>10 EVIDENCE &amp; DECISIONS</t>
        </is>
      </c>
    </row>
    <row r="595" ht="34" customHeight="1">
      <c r="A595" s="12" t="inlineStr">
        <is>
          <t>Contractor Programme</t>
        </is>
      </c>
      <c r="B595" s="12" t="inlineStr">
        <is>
          <t>SCH-03-059</t>
        </is>
      </c>
      <c r="C595" s="12" t="inlineStr">
        <is>
          <t>East substation: radio equipment installation - installation</t>
        </is>
      </c>
      <c r="D595" s="12" t="inlineStr">
        <is>
          <t>WBS Code = 1.3.1</t>
        </is>
      </c>
      <c r="E595" s="12" t="inlineStr">
        <is>
          <t>R419-v1</t>
        </is>
      </c>
      <c r="F595" s="12" t="inlineStr">
        <is>
          <t>1.3.1 Systems - Traction Power</t>
        </is>
      </c>
      <c r="G595" s="12" t="inlineStr">
        <is>
          <t>ONE_TO_ONE</t>
        </is>
      </c>
      <c r="H595" s="12" t="inlineStr">
        <is>
          <t>APPROVED</t>
        </is>
      </c>
      <c r="I595" s="12" t="inlineStr">
        <is>
          <t>New</t>
        </is>
      </c>
      <c r="J595" s="12" t="inlineStr">
        <is>
          <t>Source assignment -- not individually reviewed</t>
        </is>
      </c>
      <c r="K595" s="12" t="inlineStr"/>
      <c r="L595" s="12" t="inlineStr"/>
      <c r="M595" s="12" t="inlineStr"/>
      <c r="N595" s="17" t="inlineStr">
        <is>
          <t>10 EVIDENCE &amp; DECISIONS</t>
        </is>
      </c>
    </row>
    <row r="596" ht="34" customHeight="1">
      <c r="A596" s="12" t="inlineStr">
        <is>
          <t>Contractor Programme</t>
        </is>
      </c>
      <c r="B596" s="12" t="inlineStr">
        <is>
          <t>SCH-03-061</t>
        </is>
      </c>
      <c r="C596" s="12" t="inlineStr">
        <is>
          <t>Harbour Station: fibre backbone termination - turnover</t>
        </is>
      </c>
      <c r="D596" s="12" t="inlineStr">
        <is>
          <t>WBS Code = 1.3.1</t>
        </is>
      </c>
      <c r="E596" s="12" t="inlineStr">
        <is>
          <t>R421-v1</t>
        </is>
      </c>
      <c r="F596" s="12" t="inlineStr">
        <is>
          <t>1.3.1 Systems - Traction Power</t>
        </is>
      </c>
      <c r="G596" s="12" t="inlineStr">
        <is>
          <t>ONE_TO_ONE</t>
        </is>
      </c>
      <c r="H596" s="12" t="inlineStr">
        <is>
          <t>APPROVED</t>
        </is>
      </c>
      <c r="I596" s="12" t="inlineStr">
        <is>
          <t>New</t>
        </is>
      </c>
      <c r="J596" s="12" t="inlineStr">
        <is>
          <t>Source assignment -- not individually reviewed</t>
        </is>
      </c>
      <c r="K596" s="12" t="inlineStr"/>
      <c r="L596" s="12" t="inlineStr"/>
      <c r="M596" s="12" t="inlineStr"/>
      <c r="N596" s="17" t="inlineStr">
        <is>
          <t>10 EVIDENCE &amp; DECISIONS</t>
        </is>
      </c>
    </row>
    <row r="597" ht="34" customHeight="1">
      <c r="A597" s="12" t="inlineStr">
        <is>
          <t>Contractor Programme</t>
        </is>
      </c>
      <c r="B597" s="12" t="inlineStr">
        <is>
          <t>SCH-03-062</t>
        </is>
      </c>
      <c r="C597" s="12" t="inlineStr">
        <is>
          <t>Control Centre: SCADA point-to-point check - release</t>
        </is>
      </c>
      <c r="D597" s="12" t="inlineStr">
        <is>
          <t>WBS Code = 1.3.1</t>
        </is>
      </c>
      <c r="E597" s="12" t="inlineStr">
        <is>
          <t>R422-v1</t>
        </is>
      </c>
      <c r="F597" s="12" t="inlineStr">
        <is>
          <t>1.3.1 Systems - Traction Power</t>
        </is>
      </c>
      <c r="G597" s="12" t="inlineStr">
        <is>
          <t>ONE_TO_ONE</t>
        </is>
      </c>
      <c r="H597" s="12" t="inlineStr">
        <is>
          <t>APPROVED</t>
        </is>
      </c>
      <c r="I597" s="12" t="inlineStr">
        <is>
          <t>New</t>
        </is>
      </c>
      <c r="J597" s="12" t="inlineStr">
        <is>
          <t>Source assignment -- not individually reviewed</t>
        </is>
      </c>
      <c r="K597" s="12" t="inlineStr"/>
      <c r="L597" s="12" t="inlineStr"/>
      <c r="M597" s="12" t="inlineStr"/>
      <c r="N597" s="17" t="inlineStr">
        <is>
          <t>10 EVIDENCE &amp; DECISIONS</t>
        </is>
      </c>
    </row>
    <row r="598" ht="34" customHeight="1">
      <c r="A598" s="12" t="inlineStr">
        <is>
          <t>Contractor Programme</t>
        </is>
      </c>
      <c r="B598" s="12" t="inlineStr">
        <is>
          <t>SCH-03-064</t>
        </is>
      </c>
      <c r="C598" s="12" t="inlineStr">
        <is>
          <t>East substation: train-control cabinet fit-out - installation</t>
        </is>
      </c>
      <c r="D598" s="12" t="inlineStr">
        <is>
          <t>WBS Code = 1.3.1</t>
        </is>
      </c>
      <c r="E598" s="12" t="inlineStr">
        <is>
          <t>R424-v1</t>
        </is>
      </c>
      <c r="F598" s="12" t="inlineStr">
        <is>
          <t>1.3.1 Systems - Traction Power</t>
        </is>
      </c>
      <c r="G598" s="12" t="inlineStr">
        <is>
          <t>ONE_TO_ONE</t>
        </is>
      </c>
      <c r="H598" s="12" t="inlineStr">
        <is>
          <t>APPROVED</t>
        </is>
      </c>
      <c r="I598" s="12" t="inlineStr">
        <is>
          <t>New</t>
        </is>
      </c>
      <c r="J598" s="12" t="inlineStr">
        <is>
          <t>Source assignment -- not individually reviewed</t>
        </is>
      </c>
      <c r="K598" s="12" t="inlineStr"/>
      <c r="L598" s="12" t="inlineStr"/>
      <c r="M598" s="12" t="inlineStr"/>
      <c r="N598" s="17" t="inlineStr">
        <is>
          <t>10 EVIDENCE &amp; DECISIONS</t>
        </is>
      </c>
    </row>
    <row r="599" ht="34" customHeight="1">
      <c r="A599" s="12" t="inlineStr">
        <is>
          <t>Contractor Programme</t>
        </is>
      </c>
      <c r="B599" s="12" t="inlineStr">
        <is>
          <t>SCH-03-065</t>
        </is>
      </c>
      <c r="C599" s="12" t="inlineStr">
        <is>
          <t>Central interlocking: wayside interface test - inspection</t>
        </is>
      </c>
      <c r="D599" s="12" t="inlineStr">
        <is>
          <t>WBS Code = 1.3.1</t>
        </is>
      </c>
      <c r="E599" s="12" t="inlineStr">
        <is>
          <t>R425-v1</t>
        </is>
      </c>
      <c r="F599" s="12" t="inlineStr">
        <is>
          <t>1.3.1 Systems - Traction Power</t>
        </is>
      </c>
      <c r="G599" s="12" t="inlineStr">
        <is>
          <t>ONE_TO_ONE</t>
        </is>
      </c>
      <c r="H599" s="12" t="inlineStr">
        <is>
          <t>APPROVED</t>
        </is>
      </c>
      <c r="I599" s="12" t="inlineStr">
        <is>
          <t>New</t>
        </is>
      </c>
      <c r="J599" s="12" t="inlineStr">
        <is>
          <t>Source assignment -- not individually reviewed</t>
        </is>
      </c>
      <c r="K599" s="12" t="inlineStr"/>
      <c r="L599" s="12" t="inlineStr"/>
      <c r="M599" s="12" t="inlineStr"/>
      <c r="N599" s="17" t="inlineStr">
        <is>
          <t>10 EVIDENCE &amp; DECISIONS</t>
        </is>
      </c>
    </row>
    <row r="600" ht="34" customHeight="1">
      <c r="A600" s="12" t="inlineStr">
        <is>
          <t>Contractor Programme</t>
        </is>
      </c>
      <c r="B600" s="12" t="inlineStr">
        <is>
          <t>SCH-03-067</t>
        </is>
      </c>
      <c r="C600" s="12" t="inlineStr">
        <is>
          <t>Control Centre: radio equipment installation - release</t>
        </is>
      </c>
      <c r="D600" s="12" t="inlineStr">
        <is>
          <t>WBS Code = 1.3.1</t>
        </is>
      </c>
      <c r="E600" s="12" t="inlineStr">
        <is>
          <t>R427-v1</t>
        </is>
      </c>
      <c r="F600" s="12" t="inlineStr">
        <is>
          <t>1.3.1 Systems - Traction Power</t>
        </is>
      </c>
      <c r="G600" s="12" t="inlineStr">
        <is>
          <t>ONE_TO_ONE</t>
        </is>
      </c>
      <c r="H600" s="12" t="inlineStr">
        <is>
          <t>APPROVED</t>
        </is>
      </c>
      <c r="I600" s="12" t="inlineStr">
        <is>
          <t>New</t>
        </is>
      </c>
      <c r="J600" s="12" t="inlineStr">
        <is>
          <t>Source assignment -- not individually reviewed</t>
        </is>
      </c>
      <c r="K600" s="12" t="inlineStr"/>
      <c r="L600" s="12" t="inlineStr"/>
      <c r="M600" s="12" t="inlineStr"/>
      <c r="N600" s="17" t="inlineStr">
        <is>
          <t>10 EVIDENCE &amp; DECISIONS</t>
        </is>
      </c>
    </row>
    <row r="601" ht="34" customHeight="1">
      <c r="A601" s="12" t="inlineStr">
        <is>
          <t>Contractor Programme</t>
        </is>
      </c>
      <c r="B601" s="12" t="inlineStr">
        <is>
          <t>SCH-03-068</t>
        </is>
      </c>
      <c r="C601" s="12" t="inlineStr">
        <is>
          <t>West wayside: control-centre integration - field start</t>
        </is>
      </c>
      <c r="D601" s="12" t="inlineStr">
        <is>
          <t>WBS Code = 1.3.1</t>
        </is>
      </c>
      <c r="E601" s="12" t="inlineStr">
        <is>
          <t>R428-v1</t>
        </is>
      </c>
      <c r="F601" s="12" t="inlineStr">
        <is>
          <t>1.3.1 Systems - Traction Power</t>
        </is>
      </c>
      <c r="G601" s="12" t="inlineStr">
        <is>
          <t>ONE_TO_ONE</t>
        </is>
      </c>
      <c r="H601" s="12" t="inlineStr">
        <is>
          <t>APPROVED</t>
        </is>
      </c>
      <c r="I601" s="12" t="inlineStr">
        <is>
          <t>New</t>
        </is>
      </c>
      <c r="J601" s="12" t="inlineStr">
        <is>
          <t>Source assignment -- not individually reviewed</t>
        </is>
      </c>
      <c r="K601" s="12" t="inlineStr"/>
      <c r="L601" s="12" t="inlineStr"/>
      <c r="M601" s="12" t="inlineStr"/>
      <c r="N601" s="17" t="inlineStr">
        <is>
          <t>10 EVIDENCE &amp; DECISIONS</t>
        </is>
      </c>
    </row>
    <row r="602" ht="34" customHeight="1">
      <c r="A602" s="12" t="inlineStr">
        <is>
          <t>Contractor Programme</t>
        </is>
      </c>
      <c r="B602" s="12" t="inlineStr">
        <is>
          <t>SCH-03-070</t>
        </is>
      </c>
      <c r="C602" s="12" t="inlineStr">
        <is>
          <t>Central interlocking: SCADA point-to-point check - inspection</t>
        </is>
      </c>
      <c r="D602" s="12" t="inlineStr">
        <is>
          <t>WBS Code = 1.3.1</t>
        </is>
      </c>
      <c r="E602" s="12" t="inlineStr">
        <is>
          <t>R430-v1</t>
        </is>
      </c>
      <c r="F602" s="12" t="inlineStr">
        <is>
          <t>1.3.1 Systems - Traction Power</t>
        </is>
      </c>
      <c r="G602" s="12" t="inlineStr">
        <is>
          <t>ONE_TO_ONE</t>
        </is>
      </c>
      <c r="H602" s="12" t="inlineStr">
        <is>
          <t>APPROVED</t>
        </is>
      </c>
      <c r="I602" s="12" t="inlineStr">
        <is>
          <t>New</t>
        </is>
      </c>
      <c r="J602" s="12" t="inlineStr">
        <is>
          <t>Source assignment -- not individually reviewed</t>
        </is>
      </c>
      <c r="K602" s="12" t="inlineStr"/>
      <c r="L602" s="12" t="inlineStr"/>
      <c r="M602" s="12" t="inlineStr"/>
      <c r="N602" s="17" t="inlineStr">
        <is>
          <t>10 EVIDENCE &amp; DECISIONS</t>
        </is>
      </c>
    </row>
    <row r="603" ht="34" customHeight="1">
      <c r="A603" s="12" t="inlineStr">
        <is>
          <t>Contractor Programme</t>
        </is>
      </c>
      <c r="B603" s="12" t="inlineStr">
        <is>
          <t>SCH-03-071</t>
        </is>
      </c>
      <c r="C603" s="12" t="inlineStr">
        <is>
          <t>Harbour Station: traction-power feeder pull - turnover</t>
        </is>
      </c>
      <c r="D603" s="12" t="inlineStr">
        <is>
          <t>WBS Code = 1.3.1</t>
        </is>
      </c>
      <c r="E603" s="12" t="inlineStr">
        <is>
          <t>R431-v1</t>
        </is>
      </c>
      <c r="F603" s="12" t="inlineStr">
        <is>
          <t>1.3.1 Systems - Traction Power</t>
        </is>
      </c>
      <c r="G603" s="12" t="inlineStr">
        <is>
          <t>ONE_TO_ONE</t>
        </is>
      </c>
      <c r="H603" s="12" t="inlineStr">
        <is>
          <t>APPROVED</t>
        </is>
      </c>
      <c r="I603" s="12" t="inlineStr">
        <is>
          <t>New</t>
        </is>
      </c>
      <c r="J603" s="12" t="inlineStr">
        <is>
          <t>Source assignment -- not individually reviewed</t>
        </is>
      </c>
      <c r="K603" s="12" t="inlineStr"/>
      <c r="L603" s="12" t="inlineStr"/>
      <c r="M603" s="12" t="inlineStr"/>
      <c r="N603" s="17" t="inlineStr">
        <is>
          <t>10 EVIDENCE &amp; DECISIONS</t>
        </is>
      </c>
    </row>
    <row r="604" ht="34" customHeight="1">
      <c r="A604" s="12" t="inlineStr">
        <is>
          <t>Contractor Programme</t>
        </is>
      </c>
      <c r="B604" s="12" t="inlineStr">
        <is>
          <t>SCH-03-073</t>
        </is>
      </c>
      <c r="C604" s="12" t="inlineStr">
        <is>
          <t>West wayside: wayside interface test - field start</t>
        </is>
      </c>
      <c r="D604" s="12" t="inlineStr">
        <is>
          <t>WBS Code = 1.3.1</t>
        </is>
      </c>
      <c r="E604" s="12" t="inlineStr">
        <is>
          <t>R433-v1</t>
        </is>
      </c>
      <c r="F604" s="12" t="inlineStr">
        <is>
          <t>1.3.1 Systems - Traction Power</t>
        </is>
      </c>
      <c r="G604" s="12" t="inlineStr">
        <is>
          <t>ONE_TO_ONE</t>
        </is>
      </c>
      <c r="H604" s="12" t="inlineStr">
        <is>
          <t>APPROVED</t>
        </is>
      </c>
      <c r="I604" s="12" t="inlineStr">
        <is>
          <t>New</t>
        </is>
      </c>
      <c r="J604" s="12" t="inlineStr">
        <is>
          <t>Source assignment -- not individually reviewed</t>
        </is>
      </c>
      <c r="K604" s="12" t="inlineStr"/>
      <c r="L604" s="12" t="inlineStr"/>
      <c r="M604" s="12" t="inlineStr"/>
      <c r="N604" s="17" t="inlineStr">
        <is>
          <t>10 EVIDENCE &amp; DECISIONS</t>
        </is>
      </c>
    </row>
    <row r="605" ht="34" customHeight="1">
      <c r="A605" s="12" t="inlineStr">
        <is>
          <t>Contractor Programme</t>
        </is>
      </c>
      <c r="B605" s="12" t="inlineStr">
        <is>
          <t>SCH-03-074</t>
        </is>
      </c>
      <c r="C605" s="12" t="inlineStr">
        <is>
          <t>East substation: signal equipment installation - installation</t>
        </is>
      </c>
      <c r="D605" s="12" t="inlineStr">
        <is>
          <t>WBS Code = 1.3.1</t>
        </is>
      </c>
      <c r="E605" s="12" t="inlineStr">
        <is>
          <t>R434-v1</t>
        </is>
      </c>
      <c r="F605" s="12" t="inlineStr">
        <is>
          <t>1.3.1 Systems - Traction Power</t>
        </is>
      </c>
      <c r="G605" s="12" t="inlineStr">
        <is>
          <t>ONE_TO_ONE</t>
        </is>
      </c>
      <c r="H605" s="12" t="inlineStr">
        <is>
          <t>APPROVED</t>
        </is>
      </c>
      <c r="I605" s="12" t="inlineStr">
        <is>
          <t>New</t>
        </is>
      </c>
      <c r="J605" s="12" t="inlineStr">
        <is>
          <t>Source assignment -- not individually reviewed</t>
        </is>
      </c>
      <c r="K605" s="12" t="inlineStr"/>
      <c r="L605" s="12" t="inlineStr"/>
      <c r="M605" s="12" t="inlineStr"/>
      <c r="N605" s="17" t="inlineStr">
        <is>
          <t>10 EVIDENCE &amp; DECISIONS</t>
        </is>
      </c>
    </row>
    <row r="606" ht="34" customHeight="1">
      <c r="A606" s="12" t="inlineStr">
        <is>
          <t>Contractor Programme</t>
        </is>
      </c>
      <c r="B606" s="12" t="inlineStr">
        <is>
          <t>SCH-03-076</t>
        </is>
      </c>
      <c r="C606" s="12" t="inlineStr">
        <is>
          <t>Harbour Station: control-centre integration - turnover</t>
        </is>
      </c>
      <c r="D606" s="12" t="inlineStr">
        <is>
          <t>WBS Code = 1.3.1</t>
        </is>
      </c>
      <c r="E606" s="12" t="inlineStr">
        <is>
          <t>R436-v1</t>
        </is>
      </c>
      <c r="F606" s="12" t="inlineStr">
        <is>
          <t>1.3.1 Systems - Traction Power</t>
        </is>
      </c>
      <c r="G606" s="12" t="inlineStr">
        <is>
          <t>ONE_TO_ONE</t>
        </is>
      </c>
      <c r="H606" s="12" t="inlineStr">
        <is>
          <t>APPROVED</t>
        </is>
      </c>
      <c r="I606" s="12" t="inlineStr">
        <is>
          <t>New</t>
        </is>
      </c>
      <c r="J606" s="12" t="inlineStr">
        <is>
          <t>Source assignment -- not individually reviewed</t>
        </is>
      </c>
      <c r="K606" s="12" t="inlineStr"/>
      <c r="L606" s="12" t="inlineStr"/>
      <c r="M606" s="12" t="inlineStr"/>
      <c r="N606" s="17" t="inlineStr">
        <is>
          <t>10 EVIDENCE &amp; DECISIONS</t>
        </is>
      </c>
    </row>
    <row r="607" ht="34" customHeight="1">
      <c r="A607" s="12" t="inlineStr">
        <is>
          <t>Contractor Programme</t>
        </is>
      </c>
      <c r="B607" s="12" t="inlineStr">
        <is>
          <t>SCH-03-077</t>
        </is>
      </c>
      <c r="C607" s="12" t="inlineStr">
        <is>
          <t>Control Centre: fibre backbone termination - release</t>
        </is>
      </c>
      <c r="D607" s="12" t="inlineStr">
        <is>
          <t>WBS Code = 1.3.1</t>
        </is>
      </c>
      <c r="E607" s="12" t="inlineStr">
        <is>
          <t>R437-v1</t>
        </is>
      </c>
      <c r="F607" s="12" t="inlineStr">
        <is>
          <t>1.3.1 Systems - Traction Power</t>
        </is>
      </c>
      <c r="G607" s="12" t="inlineStr">
        <is>
          <t>ONE_TO_ONE</t>
        </is>
      </c>
      <c r="H607" s="12" t="inlineStr">
        <is>
          <t>APPROVED</t>
        </is>
      </c>
      <c r="I607" s="12" t="inlineStr">
        <is>
          <t>New</t>
        </is>
      </c>
      <c r="J607" s="12" t="inlineStr">
        <is>
          <t>Source assignment -- not individually reviewed</t>
        </is>
      </c>
      <c r="K607" s="12" t="inlineStr"/>
      <c r="L607" s="12" t="inlineStr"/>
      <c r="M607" s="12" t="inlineStr"/>
      <c r="N607" s="17" t="inlineStr">
        <is>
          <t>10 EVIDENCE &amp; DECISIONS</t>
        </is>
      </c>
    </row>
    <row r="608" ht="34" customHeight="1">
      <c r="A608" s="12" t="inlineStr">
        <is>
          <t>Contractor Programme</t>
        </is>
      </c>
      <c r="B608" s="12" t="inlineStr">
        <is>
          <t>SCH-03-079</t>
        </is>
      </c>
      <c r="C608" s="12" t="inlineStr">
        <is>
          <t>East substation: traction-power feeder pull - installation</t>
        </is>
      </c>
      <c r="D608" s="12" t="inlineStr">
        <is>
          <t>WBS Code = 1.3.1</t>
        </is>
      </c>
      <c r="E608" s="12" t="inlineStr">
        <is>
          <t>R439-v1</t>
        </is>
      </c>
      <c r="F608" s="12" t="inlineStr">
        <is>
          <t>1.3.1 Systems - Traction Power</t>
        </is>
      </c>
      <c r="G608" s="12" t="inlineStr">
        <is>
          <t>ONE_TO_ONE</t>
        </is>
      </c>
      <c r="H608" s="12" t="inlineStr">
        <is>
          <t>APPROVED</t>
        </is>
      </c>
      <c r="I608" s="12" t="inlineStr">
        <is>
          <t>New</t>
        </is>
      </c>
      <c r="J608" s="12" t="inlineStr">
        <is>
          <t>Source assignment -- not individually reviewed</t>
        </is>
      </c>
      <c r="K608" s="12" t="inlineStr"/>
      <c r="L608" s="12" t="inlineStr"/>
      <c r="M608" s="12" t="inlineStr"/>
      <c r="N608" s="17" t="inlineStr">
        <is>
          <t>10 EVIDENCE &amp; DECISIONS</t>
        </is>
      </c>
    </row>
    <row r="609" ht="34" customHeight="1">
      <c r="A609" s="12" t="inlineStr">
        <is>
          <t>Contractor Programme</t>
        </is>
      </c>
      <c r="B609" s="12" t="inlineStr">
        <is>
          <t>SCH-03-080</t>
        </is>
      </c>
      <c r="C609" s="12" t="inlineStr">
        <is>
          <t>Central interlocking: train-control cabinet fit-out - inspection</t>
        </is>
      </c>
      <c r="D609" s="12" t="inlineStr">
        <is>
          <t>WBS Code = 1.3.1</t>
        </is>
      </c>
      <c r="E609" s="12" t="inlineStr">
        <is>
          <t>R440-v1</t>
        </is>
      </c>
      <c r="F609" s="12" t="inlineStr">
        <is>
          <t>1.3.1 Systems - Traction Power</t>
        </is>
      </c>
      <c r="G609" s="12" t="inlineStr">
        <is>
          <t>ONE_TO_ONE</t>
        </is>
      </c>
      <c r="H609" s="12" t="inlineStr">
        <is>
          <t>APPROVED</t>
        </is>
      </c>
      <c r="I609" s="12" t="inlineStr">
        <is>
          <t>New</t>
        </is>
      </c>
      <c r="J609" s="12" t="inlineStr">
        <is>
          <t>Source assignment -- not individually reviewed</t>
        </is>
      </c>
      <c r="K609" s="12" t="inlineStr"/>
      <c r="L609" s="12" t="inlineStr"/>
      <c r="M609" s="12" t="inlineStr"/>
      <c r="N609" s="17" t="inlineStr">
        <is>
          <t>10 EVIDENCE &amp; DECISIONS</t>
        </is>
      </c>
    </row>
    <row r="610" ht="34" customHeight="1">
      <c r="A610" s="12" t="inlineStr">
        <is>
          <t>Contractor Programme</t>
        </is>
      </c>
      <c r="B610" s="12" t="inlineStr">
        <is>
          <t>SCH-03-082</t>
        </is>
      </c>
      <c r="C610" s="12" t="inlineStr">
        <is>
          <t>Control Centre: signal equipment installation - release</t>
        </is>
      </c>
      <c r="D610" s="12" t="inlineStr">
        <is>
          <t>WBS Code = 1.3.1</t>
        </is>
      </c>
      <c r="E610" s="12" t="inlineStr">
        <is>
          <t>R442-v1</t>
        </is>
      </c>
      <c r="F610" s="12" t="inlineStr">
        <is>
          <t>1.3.1 Systems - Traction Power</t>
        </is>
      </c>
      <c r="G610" s="12" t="inlineStr">
        <is>
          <t>ONE_TO_ONE</t>
        </is>
      </c>
      <c r="H610" s="12" t="inlineStr">
        <is>
          <t>APPROVED</t>
        </is>
      </c>
      <c r="I610" s="12" t="inlineStr">
        <is>
          <t>New</t>
        </is>
      </c>
      <c r="J610" s="12" t="inlineStr">
        <is>
          <t>Source assignment -- not individually reviewed</t>
        </is>
      </c>
      <c r="K610" s="12" t="inlineStr"/>
      <c r="L610" s="12" t="inlineStr"/>
      <c r="M610" s="12" t="inlineStr"/>
      <c r="N610" s="17" t="inlineStr">
        <is>
          <t>10 EVIDENCE &amp; DECISIONS</t>
        </is>
      </c>
    </row>
    <row r="611" ht="34" customHeight="1">
      <c r="A611" s="12" t="inlineStr">
        <is>
          <t>Contractor Programme</t>
        </is>
      </c>
      <c r="B611" s="12" t="inlineStr">
        <is>
          <t>SCH-03-083</t>
        </is>
      </c>
      <c r="C611" s="12" t="inlineStr">
        <is>
          <t>West wayside: radio equipment installation - field start</t>
        </is>
      </c>
      <c r="D611" s="12" t="inlineStr">
        <is>
          <t>WBS Code = 1.3.1</t>
        </is>
      </c>
      <c r="E611" s="12" t="inlineStr">
        <is>
          <t>R443-v1</t>
        </is>
      </c>
      <c r="F611" s="12" t="inlineStr">
        <is>
          <t>1.3.1 Systems - Traction Power</t>
        </is>
      </c>
      <c r="G611" s="12" t="inlineStr">
        <is>
          <t>ONE_TO_ONE</t>
        </is>
      </c>
      <c r="H611" s="12" t="inlineStr">
        <is>
          <t>APPROVED</t>
        </is>
      </c>
      <c r="I611" s="12" t="inlineStr">
        <is>
          <t>New</t>
        </is>
      </c>
      <c r="J611" s="12" t="inlineStr">
        <is>
          <t>Source assignment -- not individually reviewed</t>
        </is>
      </c>
      <c r="K611" s="12" t="inlineStr"/>
      <c r="L611" s="12" t="inlineStr"/>
      <c r="M611" s="12" t="inlineStr"/>
      <c r="N611" s="17" t="inlineStr">
        <is>
          <t>10 EVIDENCE &amp; DECISIONS</t>
        </is>
      </c>
    </row>
    <row r="612" ht="34" customHeight="1">
      <c r="A612" s="12" t="inlineStr">
        <is>
          <t>Contractor Programme</t>
        </is>
      </c>
      <c r="B612" s="12" t="inlineStr">
        <is>
          <t>SCH-03-085</t>
        </is>
      </c>
      <c r="C612" s="12" t="inlineStr">
        <is>
          <t>Central interlocking: fibre backbone termination - inspection</t>
        </is>
      </c>
      <c r="D612" s="12" t="inlineStr">
        <is>
          <t>WBS Code = 1.3.1</t>
        </is>
      </c>
      <c r="E612" s="12" t="inlineStr">
        <is>
          <t>R445-v1</t>
        </is>
      </c>
      <c r="F612" s="12" t="inlineStr">
        <is>
          <t>1.3.1 Systems - Traction Power</t>
        </is>
      </c>
      <c r="G612" s="12" t="inlineStr">
        <is>
          <t>ONE_TO_ONE</t>
        </is>
      </c>
      <c r="H612" s="12" t="inlineStr">
        <is>
          <t>APPROVED</t>
        </is>
      </c>
      <c r="I612" s="12" t="inlineStr">
        <is>
          <t>New</t>
        </is>
      </c>
      <c r="J612" s="12" t="inlineStr">
        <is>
          <t>Source assignment -- not individually reviewed</t>
        </is>
      </c>
      <c r="K612" s="12" t="inlineStr"/>
      <c r="L612" s="12" t="inlineStr"/>
      <c r="M612" s="12" t="inlineStr"/>
      <c r="N612" s="17" t="inlineStr">
        <is>
          <t>10 EVIDENCE &amp; DECISIONS</t>
        </is>
      </c>
    </row>
    <row r="613" ht="34" customHeight="1">
      <c r="A613" s="12" t="inlineStr">
        <is>
          <t>Contractor Programme</t>
        </is>
      </c>
      <c r="B613" s="12" t="inlineStr">
        <is>
          <t>SCH-03-086</t>
        </is>
      </c>
      <c r="C613" s="12" t="inlineStr">
        <is>
          <t>Harbour Station: SCADA point-to-point check - turnover</t>
        </is>
      </c>
      <c r="D613" s="12" t="inlineStr">
        <is>
          <t>WBS Code = 1.3.1</t>
        </is>
      </c>
      <c r="E613" s="12" t="inlineStr">
        <is>
          <t>R446-v1</t>
        </is>
      </c>
      <c r="F613" s="12" t="inlineStr">
        <is>
          <t>1.3.1 Systems - Traction Power</t>
        </is>
      </c>
      <c r="G613" s="12" t="inlineStr">
        <is>
          <t>ONE_TO_ONE</t>
        </is>
      </c>
      <c r="H613" s="12" t="inlineStr">
        <is>
          <t>APPROVED</t>
        </is>
      </c>
      <c r="I613" s="12" t="inlineStr">
        <is>
          <t>New</t>
        </is>
      </c>
      <c r="J613" s="12" t="inlineStr">
        <is>
          <t>Source assignment -- not individually reviewed</t>
        </is>
      </c>
      <c r="K613" s="12" t="inlineStr"/>
      <c r="L613" s="12" t="inlineStr"/>
      <c r="M613" s="12" t="inlineStr"/>
      <c r="N613" s="17" t="inlineStr">
        <is>
          <t>10 EVIDENCE &amp; DECISIONS</t>
        </is>
      </c>
    </row>
    <row r="614" ht="34" customHeight="1">
      <c r="A614" s="12" t="inlineStr">
        <is>
          <t>Contractor Programme</t>
        </is>
      </c>
      <c r="B614" s="12" t="inlineStr">
        <is>
          <t>SCH-03-088</t>
        </is>
      </c>
      <c r="C614" s="12" t="inlineStr">
        <is>
          <t>West wayside: train-control cabinet fit-out - field start</t>
        </is>
      </c>
      <c r="D614" s="12" t="inlineStr">
        <is>
          <t>WBS Code = 1.3.1</t>
        </is>
      </c>
      <c r="E614" s="12" t="inlineStr">
        <is>
          <t>R448-v1</t>
        </is>
      </c>
      <c r="F614" s="12" t="inlineStr">
        <is>
          <t>1.3.1 Systems - Traction Power</t>
        </is>
      </c>
      <c r="G614" s="12" t="inlineStr">
        <is>
          <t>ONE_TO_ONE</t>
        </is>
      </c>
      <c r="H614" s="12" t="inlineStr">
        <is>
          <t>APPROVED</t>
        </is>
      </c>
      <c r="I614" s="12" t="inlineStr">
        <is>
          <t>New</t>
        </is>
      </c>
      <c r="J614" s="12" t="inlineStr">
        <is>
          <t>Source assignment -- not individually reviewed</t>
        </is>
      </c>
      <c r="K614" s="12" t="inlineStr"/>
      <c r="L614" s="12" t="inlineStr"/>
      <c r="M614" s="12" t="inlineStr"/>
      <c r="N614" s="17" t="inlineStr">
        <is>
          <t>10 EVIDENCE &amp; DECISIONS</t>
        </is>
      </c>
    </row>
    <row r="615" ht="34" customHeight="1">
      <c r="A615" s="12" t="inlineStr">
        <is>
          <t>Contractor Programme</t>
        </is>
      </c>
      <c r="B615" s="12" t="inlineStr">
        <is>
          <t>SCH-03-089</t>
        </is>
      </c>
      <c r="C615" s="12" t="inlineStr">
        <is>
          <t>East substation: wayside interface test - installation</t>
        </is>
      </c>
      <c r="D615" s="12" t="inlineStr">
        <is>
          <t>WBS Code = 1.3.1</t>
        </is>
      </c>
      <c r="E615" s="12" t="inlineStr">
        <is>
          <t>R449-v1</t>
        </is>
      </c>
      <c r="F615" s="12" t="inlineStr">
        <is>
          <t>1.3.1 Systems - Traction Power</t>
        </is>
      </c>
      <c r="G615" s="12" t="inlineStr">
        <is>
          <t>ONE_TO_ONE</t>
        </is>
      </c>
      <c r="H615" s="12" t="inlineStr">
        <is>
          <t>APPROVED</t>
        </is>
      </c>
      <c r="I615" s="12" t="inlineStr">
        <is>
          <t>New</t>
        </is>
      </c>
      <c r="J615" s="12" t="inlineStr">
        <is>
          <t>Source assignment -- not individually reviewed</t>
        </is>
      </c>
      <c r="K615" s="12" t="inlineStr"/>
      <c r="L615" s="12" t="inlineStr"/>
      <c r="M615" s="12" t="inlineStr"/>
      <c r="N615" s="17" t="inlineStr">
        <is>
          <t>10 EVIDENCE &amp; DECISIONS</t>
        </is>
      </c>
    </row>
    <row r="616" ht="34" customHeight="1">
      <c r="A616" s="12" t="inlineStr">
        <is>
          <t>Contractor Programme</t>
        </is>
      </c>
      <c r="B616" s="12" t="inlineStr">
        <is>
          <t>SCH-03-091</t>
        </is>
      </c>
      <c r="C616" s="12" t="inlineStr">
        <is>
          <t>Harbour Station: radio equipment installation - turnover</t>
        </is>
      </c>
      <c r="D616" s="12" t="inlineStr">
        <is>
          <t>WBS Code = 1.3.1</t>
        </is>
      </c>
      <c r="E616" s="12" t="inlineStr">
        <is>
          <t>R451-v1</t>
        </is>
      </c>
      <c r="F616" s="12" t="inlineStr">
        <is>
          <t>1.3.1 Systems - Traction Power</t>
        </is>
      </c>
      <c r="G616" s="12" t="inlineStr">
        <is>
          <t>ONE_TO_ONE</t>
        </is>
      </c>
      <c r="H616" s="12" t="inlineStr">
        <is>
          <t>APPROVED</t>
        </is>
      </c>
      <c r="I616" s="12" t="inlineStr">
        <is>
          <t>New</t>
        </is>
      </c>
      <c r="J616" s="12" t="inlineStr">
        <is>
          <t>Source assignment -- not individually reviewed</t>
        </is>
      </c>
      <c r="K616" s="12" t="inlineStr"/>
      <c r="L616" s="12" t="inlineStr"/>
      <c r="M616" s="12" t="inlineStr"/>
      <c r="N616" s="17" t="inlineStr">
        <is>
          <t>10 EVIDENCE &amp; DECISIONS</t>
        </is>
      </c>
    </row>
    <row r="617" ht="34" customHeight="1">
      <c r="A617" s="12" t="inlineStr">
        <is>
          <t>Contractor Programme</t>
        </is>
      </c>
      <c r="B617" s="12" t="inlineStr">
        <is>
          <t>SCH-03-092</t>
        </is>
      </c>
      <c r="C617" s="12" t="inlineStr">
        <is>
          <t>Control Centre: control-centre integration - release</t>
        </is>
      </c>
      <c r="D617" s="12" t="inlineStr">
        <is>
          <t>WBS Code = 1.3.1</t>
        </is>
      </c>
      <c r="E617" s="12" t="inlineStr">
        <is>
          <t>R452-v1</t>
        </is>
      </c>
      <c r="F617" s="12" t="inlineStr">
        <is>
          <t>1.3.1 Systems - Traction Power</t>
        </is>
      </c>
      <c r="G617" s="12" t="inlineStr">
        <is>
          <t>ONE_TO_ONE</t>
        </is>
      </c>
      <c r="H617" s="12" t="inlineStr">
        <is>
          <t>APPROVED</t>
        </is>
      </c>
      <c r="I617" s="12" t="inlineStr">
        <is>
          <t>New</t>
        </is>
      </c>
      <c r="J617" s="12" t="inlineStr">
        <is>
          <t>Source assignment -- not individually reviewed</t>
        </is>
      </c>
      <c r="K617" s="12" t="inlineStr"/>
      <c r="L617" s="12" t="inlineStr"/>
      <c r="M617" s="12" t="inlineStr"/>
      <c r="N617" s="17" t="inlineStr">
        <is>
          <t>10 EVIDENCE &amp; DECISIONS</t>
        </is>
      </c>
    </row>
    <row r="618" ht="34" customHeight="1">
      <c r="A618" s="12" t="inlineStr">
        <is>
          <t>Contractor Programme</t>
        </is>
      </c>
      <c r="B618" s="12" t="inlineStr">
        <is>
          <t>SCH-03-094</t>
        </is>
      </c>
      <c r="C618" s="12" t="inlineStr">
        <is>
          <t>East substation: SCADA point-to-point check - installation</t>
        </is>
      </c>
      <c r="D618" s="12" t="inlineStr">
        <is>
          <t>WBS Code = 1.3.1</t>
        </is>
      </c>
      <c r="E618" s="12" t="inlineStr">
        <is>
          <t>R454-v1</t>
        </is>
      </c>
      <c r="F618" s="12" t="inlineStr">
        <is>
          <t>1.3.1 Systems - Traction Power</t>
        </is>
      </c>
      <c r="G618" s="12" t="inlineStr">
        <is>
          <t>ONE_TO_ONE</t>
        </is>
      </c>
      <c r="H618" s="12" t="inlineStr">
        <is>
          <t>APPROVED</t>
        </is>
      </c>
      <c r="I618" s="12" t="inlineStr">
        <is>
          <t>New</t>
        </is>
      </c>
      <c r="J618" s="12" t="inlineStr">
        <is>
          <t>Source assignment -- not individually reviewed</t>
        </is>
      </c>
      <c r="K618" s="12" t="inlineStr"/>
      <c r="L618" s="12" t="inlineStr"/>
      <c r="M618" s="12" t="inlineStr"/>
      <c r="N618" s="17" t="inlineStr">
        <is>
          <t>10 EVIDENCE &amp; DECISIONS</t>
        </is>
      </c>
    </row>
    <row r="619" ht="34" customHeight="1">
      <c r="A619" s="12" t="inlineStr">
        <is>
          <t>Contractor Programme</t>
        </is>
      </c>
      <c r="B619" s="12" t="inlineStr">
        <is>
          <t>SCH-03-095</t>
        </is>
      </c>
      <c r="C619" s="12" t="inlineStr">
        <is>
          <t>Central interlocking: traction-power feeder pull - inspection</t>
        </is>
      </c>
      <c r="D619" s="12" t="inlineStr">
        <is>
          <t>WBS Code = 1.3.1</t>
        </is>
      </c>
      <c r="E619" s="12" t="inlineStr">
        <is>
          <t>R455-v1</t>
        </is>
      </c>
      <c r="F619" s="12" t="inlineStr">
        <is>
          <t>1.3.1 Systems - Traction Power</t>
        </is>
      </c>
      <c r="G619" s="12" t="inlineStr">
        <is>
          <t>ONE_TO_ONE</t>
        </is>
      </c>
      <c r="H619" s="12" t="inlineStr">
        <is>
          <t>APPROVED</t>
        </is>
      </c>
      <c r="I619" s="12" t="inlineStr">
        <is>
          <t>New</t>
        </is>
      </c>
      <c r="J619" s="12" t="inlineStr">
        <is>
          <t>Source assignment -- not individually reviewed</t>
        </is>
      </c>
      <c r="K619" s="12" t="inlineStr"/>
      <c r="L619" s="12" t="inlineStr"/>
      <c r="M619" s="12" t="inlineStr"/>
      <c r="N619" s="17" t="inlineStr">
        <is>
          <t>10 EVIDENCE &amp; DECISIONS</t>
        </is>
      </c>
    </row>
    <row r="620" ht="34" customHeight="1">
      <c r="A620" s="12" t="inlineStr">
        <is>
          <t>Contractor Programme</t>
        </is>
      </c>
      <c r="B620" s="12" t="inlineStr">
        <is>
          <t>SCH-03-097</t>
        </is>
      </c>
      <c r="C620" s="12" t="inlineStr">
        <is>
          <t>Control Centre: wayside interface test - release</t>
        </is>
      </c>
      <c r="D620" s="12" t="inlineStr">
        <is>
          <t>WBS Code = 1.3.1</t>
        </is>
      </c>
      <c r="E620" s="12" t="inlineStr">
        <is>
          <t>R457-v1</t>
        </is>
      </c>
      <c r="F620" s="12" t="inlineStr">
        <is>
          <t>1.3.1 Systems - Traction Power</t>
        </is>
      </c>
      <c r="G620" s="12" t="inlineStr">
        <is>
          <t>ONE_TO_ONE</t>
        </is>
      </c>
      <c r="H620" s="12" t="inlineStr">
        <is>
          <t>APPROVED</t>
        </is>
      </c>
      <c r="I620" s="12" t="inlineStr">
        <is>
          <t>New</t>
        </is>
      </c>
      <c r="J620" s="12" t="inlineStr">
        <is>
          <t>Source assignment -- not individually reviewed</t>
        </is>
      </c>
      <c r="K620" s="12" t="inlineStr"/>
      <c r="L620" s="12" t="inlineStr"/>
      <c r="M620" s="12" t="inlineStr"/>
      <c r="N620" s="17" t="inlineStr">
        <is>
          <t>10 EVIDENCE &amp; DECISIONS</t>
        </is>
      </c>
    </row>
    <row r="621" ht="34" customHeight="1">
      <c r="A621" s="12" t="inlineStr">
        <is>
          <t>Contractor Programme</t>
        </is>
      </c>
      <c r="B621" s="12" t="inlineStr">
        <is>
          <t>SCH-03-098</t>
        </is>
      </c>
      <c r="C621" s="12" t="inlineStr">
        <is>
          <t>West wayside: signal equipment installation - field start</t>
        </is>
      </c>
      <c r="D621" s="12" t="inlineStr">
        <is>
          <t>WBS Code = 1.3.1</t>
        </is>
      </c>
      <c r="E621" s="12" t="inlineStr">
        <is>
          <t>R458-v1</t>
        </is>
      </c>
      <c r="F621" s="12" t="inlineStr">
        <is>
          <t>1.3.1 Systems - Traction Power</t>
        </is>
      </c>
      <c r="G621" s="12" t="inlineStr">
        <is>
          <t>ONE_TO_ONE</t>
        </is>
      </c>
      <c r="H621" s="12" t="inlineStr">
        <is>
          <t>APPROVED</t>
        </is>
      </c>
      <c r="I621" s="12" t="inlineStr">
        <is>
          <t>New</t>
        </is>
      </c>
      <c r="J621" s="12" t="inlineStr">
        <is>
          <t>Source assignment -- not individually reviewed</t>
        </is>
      </c>
      <c r="K621" s="12" t="inlineStr"/>
      <c r="L621" s="12" t="inlineStr"/>
      <c r="M621" s="12" t="inlineStr"/>
      <c r="N621" s="17" t="inlineStr">
        <is>
          <t>10 EVIDENCE &amp; DECISIONS</t>
        </is>
      </c>
    </row>
    <row r="622" ht="34" customHeight="1">
      <c r="A622" s="12" t="inlineStr">
        <is>
          <t>Contractor Programme</t>
        </is>
      </c>
      <c r="B622" s="12" t="inlineStr">
        <is>
          <t>SCH-03-100</t>
        </is>
      </c>
      <c r="C622" s="12" t="inlineStr">
        <is>
          <t>Central interlocking: control-centre integration - inspection</t>
        </is>
      </c>
      <c r="D622" s="12" t="inlineStr">
        <is>
          <t>WBS Code = 1.3.1</t>
        </is>
      </c>
      <c r="E622" s="12" t="inlineStr">
        <is>
          <t>R460-v1</t>
        </is>
      </c>
      <c r="F622" s="12" t="inlineStr">
        <is>
          <t>1.3.1 Systems - Traction Power</t>
        </is>
      </c>
      <c r="G622" s="12" t="inlineStr">
        <is>
          <t>ONE_TO_ONE</t>
        </is>
      </c>
      <c r="H622" s="12" t="inlineStr">
        <is>
          <t>APPROVED</t>
        </is>
      </c>
      <c r="I622" s="12" t="inlineStr">
        <is>
          <t>New</t>
        </is>
      </c>
      <c r="J622" s="12" t="inlineStr">
        <is>
          <t>Source assignment -- not individually reviewed</t>
        </is>
      </c>
      <c r="K622" s="12" t="inlineStr"/>
      <c r="L622" s="12" t="inlineStr"/>
      <c r="M622" s="12" t="inlineStr"/>
      <c r="N622" s="17" t="inlineStr">
        <is>
          <t>10 EVIDENCE &amp; DECISIONS</t>
        </is>
      </c>
    </row>
    <row r="623" ht="34" customHeight="1">
      <c r="A623" s="12" t="inlineStr">
        <is>
          <t>Contractor Programme</t>
        </is>
      </c>
      <c r="B623" s="12" t="inlineStr">
        <is>
          <t>SCH-03-101</t>
        </is>
      </c>
      <c r="C623" s="12" t="inlineStr">
        <is>
          <t>Harbour Station: fibre backbone termination - turnover</t>
        </is>
      </c>
      <c r="D623" s="12" t="inlineStr">
        <is>
          <t>WBS Code = 1.3.1</t>
        </is>
      </c>
      <c r="E623" s="12" t="inlineStr">
        <is>
          <t>R461-v1</t>
        </is>
      </c>
      <c r="F623" s="12" t="inlineStr">
        <is>
          <t>1.3.1 Systems - Traction Power</t>
        </is>
      </c>
      <c r="G623" s="12" t="inlineStr">
        <is>
          <t>ONE_TO_ONE</t>
        </is>
      </c>
      <c r="H623" s="12" t="inlineStr">
        <is>
          <t>APPROVED</t>
        </is>
      </c>
      <c r="I623" s="12" t="inlineStr">
        <is>
          <t>New</t>
        </is>
      </c>
      <c r="J623" s="12" t="inlineStr">
        <is>
          <t>Source assignment -- not individually reviewed</t>
        </is>
      </c>
      <c r="K623" s="12" t="inlineStr"/>
      <c r="L623" s="12" t="inlineStr"/>
      <c r="M623" s="12" t="inlineStr"/>
      <c r="N623" s="17" t="inlineStr">
        <is>
          <t>10 EVIDENCE &amp; DECISIONS</t>
        </is>
      </c>
    </row>
    <row r="624" ht="34" customHeight="1">
      <c r="A624" s="12" t="inlineStr">
        <is>
          <t>Contractor Programme</t>
        </is>
      </c>
      <c r="B624" s="12" t="inlineStr">
        <is>
          <t>SCH-03-103</t>
        </is>
      </c>
      <c r="C624" s="12" t="inlineStr">
        <is>
          <t>West wayside: traction-power feeder pull - field start</t>
        </is>
      </c>
      <c r="D624" s="12" t="inlineStr">
        <is>
          <t>WBS Code = 1.3.1</t>
        </is>
      </c>
      <c r="E624" s="12" t="inlineStr">
        <is>
          <t>R463-v1</t>
        </is>
      </c>
      <c r="F624" s="12" t="inlineStr">
        <is>
          <t>1.3.1 Systems - Traction Power</t>
        </is>
      </c>
      <c r="G624" s="12" t="inlineStr">
        <is>
          <t>ONE_TO_ONE</t>
        </is>
      </c>
      <c r="H624" s="12" t="inlineStr">
        <is>
          <t>APPROVED</t>
        </is>
      </c>
      <c r="I624" s="12" t="inlineStr">
        <is>
          <t>New</t>
        </is>
      </c>
      <c r="J624" s="12" t="inlineStr">
        <is>
          <t>Source assignment -- not individually reviewed</t>
        </is>
      </c>
      <c r="K624" s="12" t="inlineStr"/>
      <c r="L624" s="12" t="inlineStr"/>
      <c r="M624" s="12" t="inlineStr"/>
      <c r="N624" s="17" t="inlineStr">
        <is>
          <t>10 EVIDENCE &amp; DECISIONS</t>
        </is>
      </c>
    </row>
    <row r="625" ht="34" customHeight="1">
      <c r="A625" s="12" t="inlineStr">
        <is>
          <t>Contractor Programme</t>
        </is>
      </c>
      <c r="B625" s="12" t="inlineStr">
        <is>
          <t>SCH-03-104</t>
        </is>
      </c>
      <c r="C625" s="12" t="inlineStr">
        <is>
          <t>East substation: train-control cabinet fit-out - installation</t>
        </is>
      </c>
      <c r="D625" s="12" t="inlineStr">
        <is>
          <t>WBS Code = 1.3.1</t>
        </is>
      </c>
      <c r="E625" s="12" t="inlineStr">
        <is>
          <t>R464-v1</t>
        </is>
      </c>
      <c r="F625" s="12" t="inlineStr">
        <is>
          <t>1.3.1 Systems - Traction Power</t>
        </is>
      </c>
      <c r="G625" s="12" t="inlineStr">
        <is>
          <t>ONE_TO_ONE</t>
        </is>
      </c>
      <c r="H625" s="12" t="inlineStr">
        <is>
          <t>APPROVED</t>
        </is>
      </c>
      <c r="I625" s="12" t="inlineStr">
        <is>
          <t>New</t>
        </is>
      </c>
      <c r="J625" s="12" t="inlineStr">
        <is>
          <t>Source assignment -- not individually reviewed</t>
        </is>
      </c>
      <c r="K625" s="12" t="inlineStr"/>
      <c r="L625" s="12" t="inlineStr"/>
      <c r="M625" s="12" t="inlineStr"/>
      <c r="N625" s="17" t="inlineStr">
        <is>
          <t>10 EVIDENCE &amp; DECISIONS</t>
        </is>
      </c>
    </row>
    <row r="626" ht="34" customHeight="1">
      <c r="A626" s="12" t="inlineStr">
        <is>
          <t>Contractor Programme</t>
        </is>
      </c>
      <c r="B626" s="12" t="inlineStr">
        <is>
          <t>SCH-03-106</t>
        </is>
      </c>
      <c r="C626" s="12" t="inlineStr">
        <is>
          <t>Harbour Station: signal equipment installation - turnover</t>
        </is>
      </c>
      <c r="D626" s="12" t="inlineStr">
        <is>
          <t>WBS Code = 1.3.1</t>
        </is>
      </c>
      <c r="E626" s="12" t="inlineStr">
        <is>
          <t>R466-v1</t>
        </is>
      </c>
      <c r="F626" s="12" t="inlineStr">
        <is>
          <t>1.3.1 Systems - Traction Power</t>
        </is>
      </c>
      <c r="G626" s="12" t="inlineStr">
        <is>
          <t>ONE_TO_ONE</t>
        </is>
      </c>
      <c r="H626" s="12" t="inlineStr">
        <is>
          <t>APPROVED</t>
        </is>
      </c>
      <c r="I626" s="12" t="inlineStr">
        <is>
          <t>New</t>
        </is>
      </c>
      <c r="J626" s="12" t="inlineStr">
        <is>
          <t>Source assignment -- not individually reviewed</t>
        </is>
      </c>
      <c r="K626" s="12" t="inlineStr"/>
      <c r="L626" s="12" t="inlineStr"/>
      <c r="M626" s="12" t="inlineStr"/>
      <c r="N626" s="17" t="inlineStr">
        <is>
          <t>10 EVIDENCE &amp; DECISIONS</t>
        </is>
      </c>
    </row>
    <row r="627" ht="34" customHeight="1">
      <c r="A627" s="12" t="inlineStr">
        <is>
          <t>Contractor Programme</t>
        </is>
      </c>
      <c r="B627" s="12" t="inlineStr">
        <is>
          <t>SCH-03-107</t>
        </is>
      </c>
      <c r="C627" s="12" t="inlineStr">
        <is>
          <t>Control Centre: radio equipment installation - release</t>
        </is>
      </c>
      <c r="D627" s="12" t="inlineStr">
        <is>
          <t>WBS Code = 1.3.1</t>
        </is>
      </c>
      <c r="E627" s="12" t="inlineStr">
        <is>
          <t>R467-v1</t>
        </is>
      </c>
      <c r="F627" s="12" t="inlineStr">
        <is>
          <t>1.3.1 Systems - Traction Power</t>
        </is>
      </c>
      <c r="G627" s="12" t="inlineStr">
        <is>
          <t>ONE_TO_ONE</t>
        </is>
      </c>
      <c r="H627" s="12" t="inlineStr">
        <is>
          <t>APPROVED</t>
        </is>
      </c>
      <c r="I627" s="12" t="inlineStr">
        <is>
          <t>New</t>
        </is>
      </c>
      <c r="J627" s="12" t="inlineStr">
        <is>
          <t>Source assignment -- not individually reviewed</t>
        </is>
      </c>
      <c r="K627" s="12" t="inlineStr"/>
      <c r="L627" s="12" t="inlineStr"/>
      <c r="M627" s="12" t="inlineStr"/>
      <c r="N627" s="17" t="inlineStr">
        <is>
          <t>10 EVIDENCE &amp; DECISIONS</t>
        </is>
      </c>
    </row>
    <row r="628" ht="34" customHeight="1">
      <c r="A628" s="12" t="inlineStr">
        <is>
          <t>Contractor Programme</t>
        </is>
      </c>
      <c r="B628" s="12" t="inlineStr">
        <is>
          <t>SCH-03-109</t>
        </is>
      </c>
      <c r="C628" s="12" t="inlineStr">
        <is>
          <t>East substation: fibre backbone termination - installation</t>
        </is>
      </c>
      <c r="D628" s="12" t="inlineStr">
        <is>
          <t>WBS Code = 1.3.1</t>
        </is>
      </c>
      <c r="E628" s="12" t="inlineStr">
        <is>
          <t>R469-v1</t>
        </is>
      </c>
      <c r="F628" s="12" t="inlineStr">
        <is>
          <t>1.3.1 Systems - Traction Power</t>
        </is>
      </c>
      <c r="G628" s="12" t="inlineStr">
        <is>
          <t>ONE_TO_ONE</t>
        </is>
      </c>
      <c r="H628" s="12" t="inlineStr">
        <is>
          <t>APPROVED</t>
        </is>
      </c>
      <c r="I628" s="12" t="inlineStr">
        <is>
          <t>New</t>
        </is>
      </c>
      <c r="J628" s="12" t="inlineStr">
        <is>
          <t>Source assignment -- not individually reviewed</t>
        </is>
      </c>
      <c r="K628" s="12" t="inlineStr"/>
      <c r="L628" s="12" t="inlineStr"/>
      <c r="M628" s="12" t="inlineStr"/>
      <c r="N628" s="17" t="inlineStr">
        <is>
          <t>10 EVIDENCE &amp; DECISIONS</t>
        </is>
      </c>
    </row>
    <row r="629" ht="34" customHeight="1">
      <c r="A629" s="12" t="inlineStr">
        <is>
          <t>Contractor Programme</t>
        </is>
      </c>
      <c r="B629" s="12" t="inlineStr">
        <is>
          <t>SCH-03-110</t>
        </is>
      </c>
      <c r="C629" s="12" t="inlineStr">
        <is>
          <t>Central interlocking: SCADA point-to-point check - inspection</t>
        </is>
      </c>
      <c r="D629" s="12" t="inlineStr">
        <is>
          <t>WBS Code = 1.3.1</t>
        </is>
      </c>
      <c r="E629" s="12" t="inlineStr">
        <is>
          <t>R470-v1</t>
        </is>
      </c>
      <c r="F629" s="12" t="inlineStr">
        <is>
          <t>1.3.1 Systems - Traction Power</t>
        </is>
      </c>
      <c r="G629" s="12" t="inlineStr">
        <is>
          <t>ONE_TO_ONE</t>
        </is>
      </c>
      <c r="H629" s="12" t="inlineStr">
        <is>
          <t>APPROVED</t>
        </is>
      </c>
      <c r="I629" s="12" t="inlineStr">
        <is>
          <t>New</t>
        </is>
      </c>
      <c r="J629" s="12" t="inlineStr">
        <is>
          <t>Source assignment -- not individually reviewed</t>
        </is>
      </c>
      <c r="K629" s="12" t="inlineStr"/>
      <c r="L629" s="12" t="inlineStr"/>
      <c r="M629" s="12" t="inlineStr"/>
      <c r="N629" s="17" t="inlineStr">
        <is>
          <t>10 EVIDENCE &amp; DECISIONS</t>
        </is>
      </c>
    </row>
    <row r="630" ht="34" customHeight="1">
      <c r="A630" s="12" t="inlineStr">
        <is>
          <t>Contractor Programme</t>
        </is>
      </c>
      <c r="B630" s="12" t="inlineStr">
        <is>
          <t>SCH-03-112</t>
        </is>
      </c>
      <c r="C630" s="12" t="inlineStr">
        <is>
          <t>Control Centre: train-control cabinet fit-out - release</t>
        </is>
      </c>
      <c r="D630" s="12" t="inlineStr">
        <is>
          <t>WBS Code = 1.3.1</t>
        </is>
      </c>
      <c r="E630" s="12" t="inlineStr">
        <is>
          <t>R472-v1</t>
        </is>
      </c>
      <c r="F630" s="12" t="inlineStr">
        <is>
          <t>1.3.1 Systems - Traction Power</t>
        </is>
      </c>
      <c r="G630" s="12" t="inlineStr">
        <is>
          <t>ONE_TO_ONE</t>
        </is>
      </c>
      <c r="H630" s="12" t="inlineStr">
        <is>
          <t>APPROVED</t>
        </is>
      </c>
      <c r="I630" s="12" t="inlineStr">
        <is>
          <t>New</t>
        </is>
      </c>
      <c r="J630" s="12" t="inlineStr">
        <is>
          <t>Source assignment -- not individually reviewed</t>
        </is>
      </c>
      <c r="K630" s="12" t="inlineStr"/>
      <c r="L630" s="12" t="inlineStr"/>
      <c r="M630" s="12" t="inlineStr"/>
      <c r="N630" s="17" t="inlineStr">
        <is>
          <t>10 EVIDENCE &amp; DECISIONS</t>
        </is>
      </c>
    </row>
    <row r="631" ht="34" customHeight="1">
      <c r="A631" s="12" t="inlineStr">
        <is>
          <t>Contractor Programme</t>
        </is>
      </c>
      <c r="B631" s="12" t="inlineStr">
        <is>
          <t>SCH-03-113</t>
        </is>
      </c>
      <c r="C631" s="12" t="inlineStr">
        <is>
          <t>West wayside: wayside interface test - field start</t>
        </is>
      </c>
      <c r="D631" s="12" t="inlineStr">
        <is>
          <t>WBS Code = 1.3.1</t>
        </is>
      </c>
      <c r="E631" s="12" t="inlineStr">
        <is>
          <t>R473-v1</t>
        </is>
      </c>
      <c r="F631" s="12" t="inlineStr">
        <is>
          <t>1.3.1 Systems - Traction Power</t>
        </is>
      </c>
      <c r="G631" s="12" t="inlineStr">
        <is>
          <t>ONE_TO_ONE</t>
        </is>
      </c>
      <c r="H631" s="12" t="inlineStr">
        <is>
          <t>APPROVED</t>
        </is>
      </c>
      <c r="I631" s="12" t="inlineStr">
        <is>
          <t>New</t>
        </is>
      </c>
      <c r="J631" s="12" t="inlineStr">
        <is>
          <t>Source assignment -- not individually reviewed</t>
        </is>
      </c>
      <c r="K631" s="12" t="inlineStr"/>
      <c r="L631" s="12" t="inlineStr"/>
      <c r="M631" s="12" t="inlineStr"/>
      <c r="N631" s="17" t="inlineStr">
        <is>
          <t>10 EVIDENCE &amp; DECISIONS</t>
        </is>
      </c>
    </row>
    <row r="632" ht="34" customHeight="1">
      <c r="A632" s="12" t="inlineStr">
        <is>
          <t>Contractor Programme</t>
        </is>
      </c>
      <c r="B632" s="12" t="inlineStr">
        <is>
          <t>SCH-03-115</t>
        </is>
      </c>
      <c r="C632" s="12" t="inlineStr">
        <is>
          <t>Central interlocking: radio equipment installation - inspection</t>
        </is>
      </c>
      <c r="D632" s="12" t="inlineStr">
        <is>
          <t>WBS Code = 1.3.1</t>
        </is>
      </c>
      <c r="E632" s="12" t="inlineStr">
        <is>
          <t>R475-v1</t>
        </is>
      </c>
      <c r="F632" s="12" t="inlineStr">
        <is>
          <t>1.3.1 Systems - Traction Power</t>
        </is>
      </c>
      <c r="G632" s="12" t="inlineStr">
        <is>
          <t>ONE_TO_ONE</t>
        </is>
      </c>
      <c r="H632" s="12" t="inlineStr">
        <is>
          <t>APPROVED</t>
        </is>
      </c>
      <c r="I632" s="12" t="inlineStr">
        <is>
          <t>New</t>
        </is>
      </c>
      <c r="J632" s="12" t="inlineStr">
        <is>
          <t>Source assignment -- not individually reviewed</t>
        </is>
      </c>
      <c r="K632" s="12" t="inlineStr"/>
      <c r="L632" s="12" t="inlineStr"/>
      <c r="M632" s="12" t="inlineStr"/>
      <c r="N632" s="17" t="inlineStr">
        <is>
          <t>10 EVIDENCE &amp; DECISIONS</t>
        </is>
      </c>
    </row>
    <row r="633" ht="34" customHeight="1">
      <c r="A633" s="12" t="inlineStr">
        <is>
          <t>Contractor Programme</t>
        </is>
      </c>
      <c r="B633" s="12" t="inlineStr">
        <is>
          <t>SCH-03-116</t>
        </is>
      </c>
      <c r="C633" s="12" t="inlineStr">
        <is>
          <t>Harbour Station: control-centre integration - turnover</t>
        </is>
      </c>
      <c r="D633" s="12" t="inlineStr">
        <is>
          <t>WBS Code = 1.3.1</t>
        </is>
      </c>
      <c r="E633" s="12" t="inlineStr">
        <is>
          <t>R476-v1</t>
        </is>
      </c>
      <c r="F633" s="12" t="inlineStr">
        <is>
          <t>1.3.1 Systems - Traction Power</t>
        </is>
      </c>
      <c r="G633" s="12" t="inlineStr">
        <is>
          <t>ONE_TO_ONE</t>
        </is>
      </c>
      <c r="H633" s="12" t="inlineStr">
        <is>
          <t>APPROVED</t>
        </is>
      </c>
      <c r="I633" s="12" t="inlineStr">
        <is>
          <t>New</t>
        </is>
      </c>
      <c r="J633" s="12" t="inlineStr">
        <is>
          <t>Source assignment -- not individually reviewed</t>
        </is>
      </c>
      <c r="K633" s="12" t="inlineStr"/>
      <c r="L633" s="12" t="inlineStr"/>
      <c r="M633" s="12" t="inlineStr"/>
      <c r="N633" s="17" t="inlineStr">
        <is>
          <t>10 EVIDENCE &amp; DECISIONS</t>
        </is>
      </c>
    </row>
    <row r="634" ht="34" customHeight="1">
      <c r="A634" s="12" t="inlineStr">
        <is>
          <t>Contractor Programme</t>
        </is>
      </c>
      <c r="B634" s="12" t="inlineStr">
        <is>
          <t>SCH-03-118</t>
        </is>
      </c>
      <c r="C634" s="12" t="inlineStr">
        <is>
          <t>West wayside: SCADA point-to-point check - field start</t>
        </is>
      </c>
      <c r="D634" s="12" t="inlineStr">
        <is>
          <t>WBS Code = 1.3.1</t>
        </is>
      </c>
      <c r="E634" s="12" t="inlineStr">
        <is>
          <t>R478-v1</t>
        </is>
      </c>
      <c r="F634" s="12" t="inlineStr">
        <is>
          <t>1.3.1 Systems - Traction Power</t>
        </is>
      </c>
      <c r="G634" s="12" t="inlineStr">
        <is>
          <t>ONE_TO_ONE</t>
        </is>
      </c>
      <c r="H634" s="12" t="inlineStr">
        <is>
          <t>APPROVED</t>
        </is>
      </c>
      <c r="I634" s="12" t="inlineStr">
        <is>
          <t>New</t>
        </is>
      </c>
      <c r="J634" s="12" t="inlineStr">
        <is>
          <t>Source assignment -- not individually reviewed</t>
        </is>
      </c>
      <c r="K634" s="12" t="inlineStr"/>
      <c r="L634" s="12" t="inlineStr"/>
      <c r="M634" s="12" t="inlineStr"/>
      <c r="N634" s="17" t="inlineStr">
        <is>
          <t>10 EVIDENCE &amp; DECISIONS</t>
        </is>
      </c>
    </row>
    <row r="635" ht="34" customHeight="1">
      <c r="A635" s="12" t="inlineStr">
        <is>
          <t>Contractor Programme</t>
        </is>
      </c>
      <c r="B635" s="12" t="inlineStr">
        <is>
          <t>SCH-03-119</t>
        </is>
      </c>
      <c r="C635" s="12" t="inlineStr">
        <is>
          <t>East substation: traction-power feeder pull - installation</t>
        </is>
      </c>
      <c r="D635" s="12" t="inlineStr">
        <is>
          <t>WBS Code = 1.3.1</t>
        </is>
      </c>
      <c r="E635" s="12" t="inlineStr">
        <is>
          <t>R479-v1</t>
        </is>
      </c>
      <c r="F635" s="12" t="inlineStr">
        <is>
          <t>1.3.1 Systems - Traction Power</t>
        </is>
      </c>
      <c r="G635" s="12" t="inlineStr">
        <is>
          <t>ONE_TO_ONE</t>
        </is>
      </c>
      <c r="H635" s="12" t="inlineStr">
        <is>
          <t>APPROVED</t>
        </is>
      </c>
      <c r="I635" s="12" t="inlineStr">
        <is>
          <t>New</t>
        </is>
      </c>
      <c r="J635" s="12" t="inlineStr">
        <is>
          <t>Source assignment -- not individually reviewed</t>
        </is>
      </c>
      <c r="K635" s="12" t="inlineStr"/>
      <c r="L635" s="12" t="inlineStr"/>
      <c r="M635" s="12" t="inlineStr"/>
      <c r="N635" s="17" t="inlineStr">
        <is>
          <t>10 EVIDENCE &amp; DECISIONS</t>
        </is>
      </c>
    </row>
    <row r="636" ht="34" customHeight="1">
      <c r="A636" s="12" t="inlineStr">
        <is>
          <t>Contractor Programme</t>
        </is>
      </c>
      <c r="B636" s="12" t="inlineStr">
        <is>
          <t>SCH-03-121</t>
        </is>
      </c>
      <c r="C636" s="12" t="inlineStr">
        <is>
          <t>Harbour Station: wayside interface test - turnover</t>
        </is>
      </c>
      <c r="D636" s="12" t="inlineStr">
        <is>
          <t>WBS Code = 1.3.1</t>
        </is>
      </c>
      <c r="E636" s="12" t="inlineStr">
        <is>
          <t>R481-v1</t>
        </is>
      </c>
      <c r="F636" s="12" t="inlineStr">
        <is>
          <t>1.3.1 Systems - Traction Power</t>
        </is>
      </c>
      <c r="G636" s="12" t="inlineStr">
        <is>
          <t>ONE_TO_ONE</t>
        </is>
      </c>
      <c r="H636" s="12" t="inlineStr">
        <is>
          <t>APPROVED</t>
        </is>
      </c>
      <c r="I636" s="12" t="inlineStr">
        <is>
          <t>New</t>
        </is>
      </c>
      <c r="J636" s="12" t="inlineStr">
        <is>
          <t>Source assignment -- not individually reviewed</t>
        </is>
      </c>
      <c r="K636" s="12" t="inlineStr"/>
      <c r="L636" s="12" t="inlineStr"/>
      <c r="M636" s="12" t="inlineStr"/>
      <c r="N636" s="17" t="inlineStr">
        <is>
          <t>10 EVIDENCE &amp; DECISIONS</t>
        </is>
      </c>
    </row>
    <row r="637" ht="34" customHeight="1">
      <c r="A637" s="12" t="inlineStr">
        <is>
          <t>Contractor Programme</t>
        </is>
      </c>
      <c r="B637" s="12" t="inlineStr">
        <is>
          <t>SCH-03-122</t>
        </is>
      </c>
      <c r="C637" s="12" t="inlineStr">
        <is>
          <t>Control Centre: signal equipment installation - release</t>
        </is>
      </c>
      <c r="D637" s="12" t="inlineStr">
        <is>
          <t>WBS Code = 1.3.1</t>
        </is>
      </c>
      <c r="E637" s="12" t="inlineStr">
        <is>
          <t>R482-v1</t>
        </is>
      </c>
      <c r="F637" s="12" t="inlineStr">
        <is>
          <t>1.3.1 Systems - Traction Power</t>
        </is>
      </c>
      <c r="G637" s="12" t="inlineStr">
        <is>
          <t>ONE_TO_ONE</t>
        </is>
      </c>
      <c r="H637" s="12" t="inlineStr">
        <is>
          <t>APPROVED</t>
        </is>
      </c>
      <c r="I637" s="12" t="inlineStr">
        <is>
          <t>New</t>
        </is>
      </c>
      <c r="J637" s="12" t="inlineStr">
        <is>
          <t>Source assignment -- not individually reviewed</t>
        </is>
      </c>
      <c r="K637" s="12" t="inlineStr"/>
      <c r="L637" s="12" t="inlineStr"/>
      <c r="M637" s="12" t="inlineStr"/>
      <c r="N637" s="17" t="inlineStr">
        <is>
          <t>10 EVIDENCE &amp; DECISIONS</t>
        </is>
      </c>
    </row>
    <row r="638" ht="34" customHeight="1">
      <c r="A638" s="12" t="inlineStr">
        <is>
          <t>Contractor Programme</t>
        </is>
      </c>
      <c r="B638" s="12" t="inlineStr">
        <is>
          <t>SCH-03-124</t>
        </is>
      </c>
      <c r="C638" s="12" t="inlineStr">
        <is>
          <t>East substation: control-centre integration - installation</t>
        </is>
      </c>
      <c r="D638" s="12" t="inlineStr">
        <is>
          <t>WBS Code = 1.3.1</t>
        </is>
      </c>
      <c r="E638" s="12" t="inlineStr">
        <is>
          <t>R484-v1</t>
        </is>
      </c>
      <c r="F638" s="12" t="inlineStr">
        <is>
          <t>1.3.1 Systems - Traction Power</t>
        </is>
      </c>
      <c r="G638" s="12" t="inlineStr">
        <is>
          <t>ONE_TO_ONE</t>
        </is>
      </c>
      <c r="H638" s="12" t="inlineStr">
        <is>
          <t>APPROVED</t>
        </is>
      </c>
      <c r="I638" s="12" t="inlineStr">
        <is>
          <t>New</t>
        </is>
      </c>
      <c r="J638" s="12" t="inlineStr">
        <is>
          <t>Source assignment -- not individually reviewed</t>
        </is>
      </c>
      <c r="K638" s="12" t="inlineStr"/>
      <c r="L638" s="12" t="inlineStr"/>
      <c r="M638" s="12" t="inlineStr"/>
      <c r="N638" s="17" t="inlineStr">
        <is>
          <t>10 EVIDENCE &amp; DECISIONS</t>
        </is>
      </c>
    </row>
    <row r="639" ht="34" customHeight="1">
      <c r="A639" s="12" t="inlineStr">
        <is>
          <t>Contractor Programme</t>
        </is>
      </c>
      <c r="B639" s="12" t="inlineStr">
        <is>
          <t>SCH-03-125</t>
        </is>
      </c>
      <c r="C639" s="12" t="inlineStr">
        <is>
          <t>Central interlocking: fibre backbone termination - inspection</t>
        </is>
      </c>
      <c r="D639" s="12" t="inlineStr">
        <is>
          <t>WBS Code = 1.3.1</t>
        </is>
      </c>
      <c r="E639" s="12" t="inlineStr">
        <is>
          <t>R485-v1</t>
        </is>
      </c>
      <c r="F639" s="12" t="inlineStr">
        <is>
          <t>1.3.1 Systems - Traction Power</t>
        </is>
      </c>
      <c r="G639" s="12" t="inlineStr">
        <is>
          <t>ONE_TO_ONE</t>
        </is>
      </c>
      <c r="H639" s="12" t="inlineStr">
        <is>
          <t>APPROVED</t>
        </is>
      </c>
      <c r="I639" s="12" t="inlineStr">
        <is>
          <t>New</t>
        </is>
      </c>
      <c r="J639" s="12" t="inlineStr">
        <is>
          <t>Source assignment -- not individually reviewed</t>
        </is>
      </c>
      <c r="K639" s="12" t="inlineStr"/>
      <c r="L639" s="12" t="inlineStr"/>
      <c r="M639" s="12" t="inlineStr"/>
      <c r="N639" s="17" t="inlineStr">
        <is>
          <t>10 EVIDENCE &amp; DECISIONS</t>
        </is>
      </c>
    </row>
    <row r="640" ht="34" customHeight="1">
      <c r="A640" s="12" t="inlineStr">
        <is>
          <t>Contractor Programme</t>
        </is>
      </c>
      <c r="B640" s="12" t="inlineStr">
        <is>
          <t>SCH-03-127</t>
        </is>
      </c>
      <c r="C640" s="12" t="inlineStr">
        <is>
          <t>Control Centre: traction-power feeder pull - release</t>
        </is>
      </c>
      <c r="D640" s="12" t="inlineStr">
        <is>
          <t>WBS Code = 1.3.1</t>
        </is>
      </c>
      <c r="E640" s="12" t="inlineStr">
        <is>
          <t>R487-v1</t>
        </is>
      </c>
      <c r="F640" s="12" t="inlineStr">
        <is>
          <t>1.3.1 Systems - Traction Power</t>
        </is>
      </c>
      <c r="G640" s="12" t="inlineStr">
        <is>
          <t>ONE_TO_ONE</t>
        </is>
      </c>
      <c r="H640" s="12" t="inlineStr">
        <is>
          <t>APPROVED</t>
        </is>
      </c>
      <c r="I640" s="12" t="inlineStr">
        <is>
          <t>New</t>
        </is>
      </c>
      <c r="J640" s="12" t="inlineStr">
        <is>
          <t>Source assignment -- not individually reviewed</t>
        </is>
      </c>
      <c r="K640" s="12" t="inlineStr"/>
      <c r="L640" s="12" t="inlineStr"/>
      <c r="M640" s="12" t="inlineStr"/>
      <c r="N640" s="17" t="inlineStr">
        <is>
          <t>10 EVIDENCE &amp; DECISIONS</t>
        </is>
      </c>
    </row>
    <row r="641" ht="34" customHeight="1">
      <c r="A641" s="12" t="inlineStr">
        <is>
          <t>Contractor Programme</t>
        </is>
      </c>
      <c r="B641" s="12" t="inlineStr">
        <is>
          <t>SCH-03-128</t>
        </is>
      </c>
      <c r="C641" s="12" t="inlineStr">
        <is>
          <t>West wayside: train-control cabinet fit-out - field start</t>
        </is>
      </c>
      <c r="D641" s="12" t="inlineStr">
        <is>
          <t>WBS Code = 1.3.1</t>
        </is>
      </c>
      <c r="E641" s="12" t="inlineStr">
        <is>
          <t>R488-v1</t>
        </is>
      </c>
      <c r="F641" s="12" t="inlineStr">
        <is>
          <t>1.3.1 Systems - Traction Power</t>
        </is>
      </c>
      <c r="G641" s="12" t="inlineStr">
        <is>
          <t>ONE_TO_ONE</t>
        </is>
      </c>
      <c r="H641" s="12" t="inlineStr">
        <is>
          <t>APPROVED</t>
        </is>
      </c>
      <c r="I641" s="12" t="inlineStr">
        <is>
          <t>New</t>
        </is>
      </c>
      <c r="J641" s="12" t="inlineStr">
        <is>
          <t>Source assignment -- not individually reviewed</t>
        </is>
      </c>
      <c r="K641" s="12" t="inlineStr"/>
      <c r="L641" s="12" t="inlineStr"/>
      <c r="M641" s="12" t="inlineStr"/>
      <c r="N641" s="17" t="inlineStr">
        <is>
          <t>10 EVIDENCE &amp; DECISIONS</t>
        </is>
      </c>
    </row>
    <row r="642" ht="34" customHeight="1">
      <c r="A642" s="12" t="inlineStr">
        <is>
          <t>Contractor Programme</t>
        </is>
      </c>
      <c r="B642" s="12" t="inlineStr">
        <is>
          <t>SCH-03-130</t>
        </is>
      </c>
      <c r="C642" s="12" t="inlineStr">
        <is>
          <t>Central interlocking: signal equipment installation - inspection</t>
        </is>
      </c>
      <c r="D642" s="12" t="inlineStr">
        <is>
          <t>WBS Code = 1.3.1</t>
        </is>
      </c>
      <c r="E642" s="12" t="inlineStr">
        <is>
          <t>R490-v1</t>
        </is>
      </c>
      <c r="F642" s="12" t="inlineStr">
        <is>
          <t>1.3.1 Systems - Traction Power</t>
        </is>
      </c>
      <c r="G642" s="12" t="inlineStr">
        <is>
          <t>ONE_TO_ONE</t>
        </is>
      </c>
      <c r="H642" s="12" t="inlineStr">
        <is>
          <t>APPROVED</t>
        </is>
      </c>
      <c r="I642" s="12" t="inlineStr">
        <is>
          <t>New</t>
        </is>
      </c>
      <c r="J642" s="12" t="inlineStr">
        <is>
          <t>Source assignment -- not individually reviewed</t>
        </is>
      </c>
      <c r="K642" s="12" t="inlineStr"/>
      <c r="L642" s="12" t="inlineStr"/>
      <c r="M642" s="12" t="inlineStr"/>
      <c r="N642" s="17" t="inlineStr">
        <is>
          <t>10 EVIDENCE &amp; DECISIONS</t>
        </is>
      </c>
    </row>
    <row r="643" ht="34" customHeight="1">
      <c r="A643" s="12" t="inlineStr">
        <is>
          <t>Contractor Programme</t>
        </is>
      </c>
      <c r="B643" s="12" t="inlineStr">
        <is>
          <t>SCH-03-131</t>
        </is>
      </c>
      <c r="C643" s="12" t="inlineStr">
        <is>
          <t>Harbour Station: radio equipment installation - turnover</t>
        </is>
      </c>
      <c r="D643" s="12" t="inlineStr">
        <is>
          <t>WBS Code = 1.3.1</t>
        </is>
      </c>
      <c r="E643" s="12" t="inlineStr">
        <is>
          <t>R491-v1</t>
        </is>
      </c>
      <c r="F643" s="12" t="inlineStr">
        <is>
          <t>1.3.1 Systems - Traction Power</t>
        </is>
      </c>
      <c r="G643" s="12" t="inlineStr">
        <is>
          <t>ONE_TO_ONE</t>
        </is>
      </c>
      <c r="H643" s="12" t="inlineStr">
        <is>
          <t>APPROVED</t>
        </is>
      </c>
      <c r="I643" s="12" t="inlineStr">
        <is>
          <t>New</t>
        </is>
      </c>
      <c r="J643" s="12" t="inlineStr">
        <is>
          <t>Source assignment -- not individually reviewed</t>
        </is>
      </c>
      <c r="K643" s="12" t="inlineStr"/>
      <c r="L643" s="12" t="inlineStr"/>
      <c r="M643" s="12" t="inlineStr"/>
      <c r="N643" s="17" t="inlineStr">
        <is>
          <t>10 EVIDENCE &amp; DECISIONS</t>
        </is>
      </c>
    </row>
    <row r="644" ht="34" customHeight="1">
      <c r="A644" s="12" t="inlineStr">
        <is>
          <t>Contractor Programme</t>
        </is>
      </c>
      <c r="B644" s="12" t="inlineStr">
        <is>
          <t>SCH-03-133</t>
        </is>
      </c>
      <c r="C644" s="12" t="inlineStr">
        <is>
          <t>West wayside: fibre backbone termination - field start</t>
        </is>
      </c>
      <c r="D644" s="12" t="inlineStr">
        <is>
          <t>WBS Code = 1.3.1</t>
        </is>
      </c>
      <c r="E644" s="12" t="inlineStr">
        <is>
          <t>R493-v1</t>
        </is>
      </c>
      <c r="F644" s="12" t="inlineStr">
        <is>
          <t>1.3.1 Systems - Traction Power</t>
        </is>
      </c>
      <c r="G644" s="12" t="inlineStr">
        <is>
          <t>ONE_TO_ONE</t>
        </is>
      </c>
      <c r="H644" s="12" t="inlineStr">
        <is>
          <t>APPROVED</t>
        </is>
      </c>
      <c r="I644" s="12" t="inlineStr">
        <is>
          <t>New</t>
        </is>
      </c>
      <c r="J644" s="12" t="inlineStr">
        <is>
          <t>Source assignment -- not individually reviewed</t>
        </is>
      </c>
      <c r="K644" s="12" t="inlineStr"/>
      <c r="L644" s="12" t="inlineStr"/>
      <c r="M644" s="12" t="inlineStr"/>
      <c r="N644" s="17" t="inlineStr">
        <is>
          <t>10 EVIDENCE &amp; DECISIONS</t>
        </is>
      </c>
    </row>
    <row r="645" ht="34" customHeight="1">
      <c r="A645" s="12" t="inlineStr">
        <is>
          <t>Contractor Programme</t>
        </is>
      </c>
      <c r="B645" s="12" t="inlineStr">
        <is>
          <t>SCH-03-134</t>
        </is>
      </c>
      <c r="C645" s="12" t="inlineStr">
        <is>
          <t>East substation: SCADA point-to-point check - installation</t>
        </is>
      </c>
      <c r="D645" s="12" t="inlineStr">
        <is>
          <t>WBS Code = 1.3.1</t>
        </is>
      </c>
      <c r="E645" s="12" t="inlineStr">
        <is>
          <t>R494-v1</t>
        </is>
      </c>
      <c r="F645" s="12" t="inlineStr">
        <is>
          <t>1.3.1 Systems - Traction Power</t>
        </is>
      </c>
      <c r="G645" s="12" t="inlineStr">
        <is>
          <t>ONE_TO_ONE</t>
        </is>
      </c>
      <c r="H645" s="12" t="inlineStr">
        <is>
          <t>APPROVED</t>
        </is>
      </c>
      <c r="I645" s="12" t="inlineStr">
        <is>
          <t>New</t>
        </is>
      </c>
      <c r="J645" s="12" t="inlineStr">
        <is>
          <t>Source assignment -- not individually reviewed</t>
        </is>
      </c>
      <c r="K645" s="12" t="inlineStr"/>
      <c r="L645" s="12" t="inlineStr"/>
      <c r="M645" s="12" t="inlineStr"/>
      <c r="N645" s="17" t="inlineStr">
        <is>
          <t>10 EVIDENCE &amp; DECISIONS</t>
        </is>
      </c>
    </row>
    <row r="646" ht="34" customHeight="1">
      <c r="A646" s="12" t="inlineStr">
        <is>
          <t>Contractor Programme</t>
        </is>
      </c>
      <c r="B646" s="12" t="inlineStr">
        <is>
          <t>SCH-03-136</t>
        </is>
      </c>
      <c r="C646" s="12" t="inlineStr">
        <is>
          <t>Harbour Station: train-control cabinet fit-out - turnover</t>
        </is>
      </c>
      <c r="D646" s="12" t="inlineStr">
        <is>
          <t>WBS Code = 1.3.1</t>
        </is>
      </c>
      <c r="E646" s="12" t="inlineStr">
        <is>
          <t>R496-v1</t>
        </is>
      </c>
      <c r="F646" s="12" t="inlineStr">
        <is>
          <t>1.3.1 Systems - Traction Power</t>
        </is>
      </c>
      <c r="G646" s="12" t="inlineStr">
        <is>
          <t>ONE_TO_ONE</t>
        </is>
      </c>
      <c r="H646" s="12" t="inlineStr">
        <is>
          <t>APPROVED</t>
        </is>
      </c>
      <c r="I646" s="12" t="inlineStr">
        <is>
          <t>New</t>
        </is>
      </c>
      <c r="J646" s="12" t="inlineStr">
        <is>
          <t>Source assignment -- not individually reviewed</t>
        </is>
      </c>
      <c r="K646" s="12" t="inlineStr"/>
      <c r="L646" s="12" t="inlineStr"/>
      <c r="M646" s="12" t="inlineStr"/>
      <c r="N646" s="17" t="inlineStr">
        <is>
          <t>10 EVIDENCE &amp; DECISIONS</t>
        </is>
      </c>
    </row>
    <row r="647" ht="34" customHeight="1">
      <c r="A647" s="12" t="inlineStr">
        <is>
          <t>Contractor Programme</t>
        </is>
      </c>
      <c r="B647" s="12" t="inlineStr">
        <is>
          <t>SCH-03-137</t>
        </is>
      </c>
      <c r="C647" s="12" t="inlineStr">
        <is>
          <t>Control Centre: wayside interface test - release</t>
        </is>
      </c>
      <c r="D647" s="12" t="inlineStr">
        <is>
          <t>WBS Code = 1.3.1</t>
        </is>
      </c>
      <c r="E647" s="12" t="inlineStr">
        <is>
          <t>R497-v1</t>
        </is>
      </c>
      <c r="F647" s="12" t="inlineStr">
        <is>
          <t>1.3.1 Systems - Traction Power</t>
        </is>
      </c>
      <c r="G647" s="12" t="inlineStr">
        <is>
          <t>ONE_TO_ONE</t>
        </is>
      </c>
      <c r="H647" s="12" t="inlineStr">
        <is>
          <t>APPROVED</t>
        </is>
      </c>
      <c r="I647" s="12" t="inlineStr">
        <is>
          <t>New</t>
        </is>
      </c>
      <c r="J647" s="12" t="inlineStr">
        <is>
          <t>Source assignment -- not individually reviewed</t>
        </is>
      </c>
      <c r="K647" s="12" t="inlineStr"/>
      <c r="L647" s="12" t="inlineStr"/>
      <c r="M647" s="12" t="inlineStr"/>
      <c r="N647" s="17" t="inlineStr">
        <is>
          <t>10 EVIDENCE &amp; DECISIONS</t>
        </is>
      </c>
    </row>
    <row r="648" ht="34" customHeight="1">
      <c r="A648" s="12" t="inlineStr">
        <is>
          <t>Contractor Programme</t>
        </is>
      </c>
      <c r="B648" s="12" t="inlineStr">
        <is>
          <t>SCH-03-139</t>
        </is>
      </c>
      <c r="C648" s="12" t="inlineStr">
        <is>
          <t>East substation: radio equipment installation - installation</t>
        </is>
      </c>
      <c r="D648" s="12" t="inlineStr">
        <is>
          <t>WBS Code = 1.3.1</t>
        </is>
      </c>
      <c r="E648" s="12" t="inlineStr">
        <is>
          <t>R499-v1</t>
        </is>
      </c>
      <c r="F648" s="12" t="inlineStr">
        <is>
          <t>1.3.1 Systems - Traction Power</t>
        </is>
      </c>
      <c r="G648" s="12" t="inlineStr">
        <is>
          <t>ONE_TO_ONE</t>
        </is>
      </c>
      <c r="H648" s="12" t="inlineStr">
        <is>
          <t>APPROVED</t>
        </is>
      </c>
      <c r="I648" s="12" t="inlineStr">
        <is>
          <t>New</t>
        </is>
      </c>
      <c r="J648" s="12" t="inlineStr">
        <is>
          <t>Source assignment -- not individually reviewed</t>
        </is>
      </c>
      <c r="K648" s="12" t="inlineStr"/>
      <c r="L648" s="12" t="inlineStr"/>
      <c r="M648" s="12" t="inlineStr"/>
      <c r="N648" s="17" t="inlineStr">
        <is>
          <t>10 EVIDENCE &amp; DECISIONS</t>
        </is>
      </c>
    </row>
    <row r="649" ht="34" customHeight="1">
      <c r="A649" s="12" t="inlineStr">
        <is>
          <t>Contractor Programme</t>
        </is>
      </c>
      <c r="B649" s="12" t="inlineStr">
        <is>
          <t>SCH-03-140</t>
        </is>
      </c>
      <c r="C649" s="12" t="inlineStr">
        <is>
          <t>Central interlocking: control-centre integration - inspection</t>
        </is>
      </c>
      <c r="D649" s="12" t="inlineStr">
        <is>
          <t>WBS Code = 1.3.1</t>
        </is>
      </c>
      <c r="E649" s="12" t="inlineStr">
        <is>
          <t>R500-v1</t>
        </is>
      </c>
      <c r="F649" s="12" t="inlineStr">
        <is>
          <t>1.3.1 Systems - Traction Power</t>
        </is>
      </c>
      <c r="G649" s="12" t="inlineStr">
        <is>
          <t>ONE_TO_ONE</t>
        </is>
      </c>
      <c r="H649" s="12" t="inlineStr">
        <is>
          <t>APPROVED</t>
        </is>
      </c>
      <c r="I649" s="12" t="inlineStr">
        <is>
          <t>New</t>
        </is>
      </c>
      <c r="J649" s="12" t="inlineStr">
        <is>
          <t>Source assignment -- not individually reviewed</t>
        </is>
      </c>
      <c r="K649" s="12" t="inlineStr"/>
      <c r="L649" s="12" t="inlineStr"/>
      <c r="M649" s="12" t="inlineStr"/>
      <c r="N649" s="17" t="inlineStr">
        <is>
          <t>10 EVIDENCE &amp; DECISIONS</t>
        </is>
      </c>
    </row>
    <row r="650" ht="34" customHeight="1">
      <c r="A650" s="12" t="inlineStr">
        <is>
          <t>Contractor Programme</t>
        </is>
      </c>
      <c r="B650" s="12" t="inlineStr">
        <is>
          <t>SCH-03-142</t>
        </is>
      </c>
      <c r="C650" s="12" t="inlineStr">
        <is>
          <t>Control Centre: SCADA point-to-point check - release</t>
        </is>
      </c>
      <c r="D650" s="12" t="inlineStr">
        <is>
          <t>WBS Code = 1.3.1</t>
        </is>
      </c>
      <c r="E650" s="12" t="inlineStr">
        <is>
          <t>R502-v1</t>
        </is>
      </c>
      <c r="F650" s="12" t="inlineStr">
        <is>
          <t>1.3.1 Systems - Traction Power</t>
        </is>
      </c>
      <c r="G650" s="12" t="inlineStr">
        <is>
          <t>ONE_TO_ONE</t>
        </is>
      </c>
      <c r="H650" s="12" t="inlineStr">
        <is>
          <t>APPROVED</t>
        </is>
      </c>
      <c r="I650" s="12" t="inlineStr">
        <is>
          <t>New</t>
        </is>
      </c>
      <c r="J650" s="12" t="inlineStr">
        <is>
          <t>Source assignment -- not individually reviewed</t>
        </is>
      </c>
      <c r="K650" s="12" t="inlineStr"/>
      <c r="L650" s="12" t="inlineStr"/>
      <c r="M650" s="12" t="inlineStr"/>
      <c r="N650" s="17" t="inlineStr">
        <is>
          <t>10 EVIDENCE &amp; DECISIONS</t>
        </is>
      </c>
    </row>
    <row r="651" ht="34" customHeight="1">
      <c r="A651" s="12" t="inlineStr">
        <is>
          <t>Contractor Programme</t>
        </is>
      </c>
      <c r="B651" s="12" t="inlineStr">
        <is>
          <t>SCH-03-143</t>
        </is>
      </c>
      <c r="C651" s="12" t="inlineStr">
        <is>
          <t>West wayside: traction-power feeder pull - field start</t>
        </is>
      </c>
      <c r="D651" s="12" t="inlineStr">
        <is>
          <t>WBS Code = 1.3.1</t>
        </is>
      </c>
      <c r="E651" s="12" t="inlineStr">
        <is>
          <t>R503-v1</t>
        </is>
      </c>
      <c r="F651" s="12" t="inlineStr">
        <is>
          <t>1.3.1 Systems - Traction Power</t>
        </is>
      </c>
      <c r="G651" s="12" t="inlineStr">
        <is>
          <t>ONE_TO_ONE</t>
        </is>
      </c>
      <c r="H651" s="12" t="inlineStr">
        <is>
          <t>APPROVED</t>
        </is>
      </c>
      <c r="I651" s="12" t="inlineStr">
        <is>
          <t>New</t>
        </is>
      </c>
      <c r="J651" s="12" t="inlineStr">
        <is>
          <t>Source assignment -- not individually reviewed</t>
        </is>
      </c>
      <c r="K651" s="12" t="inlineStr"/>
      <c r="L651" s="12" t="inlineStr"/>
      <c r="M651" s="12" t="inlineStr"/>
      <c r="N651" s="17" t="inlineStr">
        <is>
          <t>10 EVIDENCE &amp; DECISIONS</t>
        </is>
      </c>
    </row>
    <row r="652" ht="34" customHeight="1">
      <c r="A652" s="12" t="inlineStr">
        <is>
          <t>Contractor Programme</t>
        </is>
      </c>
      <c r="B652" s="12" t="inlineStr">
        <is>
          <t>SCH-03-145</t>
        </is>
      </c>
      <c r="C652" s="12" t="inlineStr">
        <is>
          <t>Central interlocking: wayside interface test - inspection</t>
        </is>
      </c>
      <c r="D652" s="12" t="inlineStr">
        <is>
          <t>WBS Code = 1.3.1</t>
        </is>
      </c>
      <c r="E652" s="12" t="inlineStr">
        <is>
          <t>R505-v1</t>
        </is>
      </c>
      <c r="F652" s="12" t="inlineStr">
        <is>
          <t>1.3.1 Systems - Traction Power</t>
        </is>
      </c>
      <c r="G652" s="12" t="inlineStr">
        <is>
          <t>ONE_TO_ONE</t>
        </is>
      </c>
      <c r="H652" s="12" t="inlineStr">
        <is>
          <t>APPROVED</t>
        </is>
      </c>
      <c r="I652" s="12" t="inlineStr">
        <is>
          <t>New</t>
        </is>
      </c>
      <c r="J652" s="12" t="inlineStr">
        <is>
          <t>Source assignment -- not individually reviewed</t>
        </is>
      </c>
      <c r="K652" s="12" t="inlineStr"/>
      <c r="L652" s="12" t="inlineStr"/>
      <c r="M652" s="12" t="inlineStr"/>
      <c r="N652" s="17" t="inlineStr">
        <is>
          <t>10 EVIDENCE &amp; DECISIONS</t>
        </is>
      </c>
    </row>
    <row r="653" ht="34" customHeight="1">
      <c r="A653" s="12" t="inlineStr">
        <is>
          <t>Contractor Programme</t>
        </is>
      </c>
      <c r="B653" s="12" t="inlineStr">
        <is>
          <t>SCH-03-146</t>
        </is>
      </c>
      <c r="C653" s="12" t="inlineStr">
        <is>
          <t>Harbour Station: signal equipment installation - turnover</t>
        </is>
      </c>
      <c r="D653" s="12" t="inlineStr">
        <is>
          <t>WBS Code = 1.3.1</t>
        </is>
      </c>
      <c r="E653" s="12" t="inlineStr">
        <is>
          <t>R506-v1</t>
        </is>
      </c>
      <c r="F653" s="12" t="inlineStr">
        <is>
          <t>1.3.1 Systems - Traction Power</t>
        </is>
      </c>
      <c r="G653" s="12" t="inlineStr">
        <is>
          <t>ONE_TO_ONE</t>
        </is>
      </c>
      <c r="H653" s="12" t="inlineStr">
        <is>
          <t>APPROVED</t>
        </is>
      </c>
      <c r="I653" s="12" t="inlineStr">
        <is>
          <t>New</t>
        </is>
      </c>
      <c r="J653" s="12" t="inlineStr">
        <is>
          <t>Source assignment -- not individually reviewed</t>
        </is>
      </c>
      <c r="K653" s="12" t="inlineStr"/>
      <c r="L653" s="12" t="inlineStr"/>
      <c r="M653" s="12" t="inlineStr"/>
      <c r="N653" s="17" t="inlineStr">
        <is>
          <t>10 EVIDENCE &amp; DECISIONS</t>
        </is>
      </c>
    </row>
    <row r="654" ht="34" customHeight="1">
      <c r="A654" s="12" t="inlineStr">
        <is>
          <t>Contractor Programme</t>
        </is>
      </c>
      <c r="B654" s="12" t="inlineStr">
        <is>
          <t>SCH-03-148</t>
        </is>
      </c>
      <c r="C654" s="12" t="inlineStr">
        <is>
          <t>West wayside: control-centre integration - field start</t>
        </is>
      </c>
      <c r="D654" s="12" t="inlineStr">
        <is>
          <t>WBS Code = 1.3.1</t>
        </is>
      </c>
      <c r="E654" s="12" t="inlineStr">
        <is>
          <t>R508-v1</t>
        </is>
      </c>
      <c r="F654" s="12" t="inlineStr">
        <is>
          <t>1.3.1 Systems - Traction Power</t>
        </is>
      </c>
      <c r="G654" s="12" t="inlineStr">
        <is>
          <t>ONE_TO_ONE</t>
        </is>
      </c>
      <c r="H654" s="12" t="inlineStr">
        <is>
          <t>APPROVED</t>
        </is>
      </c>
      <c r="I654" s="12" t="inlineStr">
        <is>
          <t>New</t>
        </is>
      </c>
      <c r="J654" s="12" t="inlineStr">
        <is>
          <t>Source assignment -- not individually reviewed</t>
        </is>
      </c>
      <c r="K654" s="12" t="inlineStr"/>
      <c r="L654" s="12" t="inlineStr"/>
      <c r="M654" s="12" t="inlineStr"/>
      <c r="N654" s="17" t="inlineStr">
        <is>
          <t>10 EVIDENCE &amp; DECISIONS</t>
        </is>
      </c>
    </row>
    <row r="655" ht="34" customHeight="1">
      <c r="A655" s="12" t="inlineStr">
        <is>
          <t>Contractor Programme</t>
        </is>
      </c>
      <c r="B655" s="12" t="inlineStr">
        <is>
          <t>SCH-03-149</t>
        </is>
      </c>
      <c r="C655" s="12" t="inlineStr">
        <is>
          <t>East substation: fibre backbone termination - installation</t>
        </is>
      </c>
      <c r="D655" s="12" t="inlineStr">
        <is>
          <t>WBS Code = 1.3.1</t>
        </is>
      </c>
      <c r="E655" s="12" t="inlineStr">
        <is>
          <t>R509-v1</t>
        </is>
      </c>
      <c r="F655" s="12" t="inlineStr">
        <is>
          <t>1.3.1 Systems - Traction Power</t>
        </is>
      </c>
      <c r="G655" s="12" t="inlineStr">
        <is>
          <t>ONE_TO_ONE</t>
        </is>
      </c>
      <c r="H655" s="12" t="inlineStr">
        <is>
          <t>APPROVED</t>
        </is>
      </c>
      <c r="I655" s="12" t="inlineStr">
        <is>
          <t>New</t>
        </is>
      </c>
      <c r="J655" s="12" t="inlineStr">
        <is>
          <t>Source assignment -- not individually reviewed</t>
        </is>
      </c>
      <c r="K655" s="12" t="inlineStr"/>
      <c r="L655" s="12" t="inlineStr"/>
      <c r="M655" s="12" t="inlineStr"/>
      <c r="N655" s="17" t="inlineStr">
        <is>
          <t>10 EVIDENCE &amp; DECISIONS</t>
        </is>
      </c>
    </row>
    <row r="656" ht="34" customHeight="1">
      <c r="A656" s="12" t="inlineStr">
        <is>
          <t>Contractor Programme</t>
        </is>
      </c>
      <c r="B656" s="12" t="inlineStr">
        <is>
          <t>SCH-03-151</t>
        </is>
      </c>
      <c r="C656" s="12" t="inlineStr">
        <is>
          <t>Harbour Station: traction-power feeder pull - turnover</t>
        </is>
      </c>
      <c r="D656" s="12" t="inlineStr">
        <is>
          <t>WBS Code = 1.3.1</t>
        </is>
      </c>
      <c r="E656" s="12" t="inlineStr">
        <is>
          <t>R511-v1</t>
        </is>
      </c>
      <c r="F656" s="12" t="inlineStr">
        <is>
          <t>1.3.1 Systems - Traction Power</t>
        </is>
      </c>
      <c r="G656" s="12" t="inlineStr">
        <is>
          <t>ONE_TO_ONE</t>
        </is>
      </c>
      <c r="H656" s="12" t="inlineStr">
        <is>
          <t>APPROVED</t>
        </is>
      </c>
      <c r="I656" s="12" t="inlineStr">
        <is>
          <t>New</t>
        </is>
      </c>
      <c r="J656" s="12" t="inlineStr">
        <is>
          <t>Source assignment -- not individually reviewed</t>
        </is>
      </c>
      <c r="K656" s="12" t="inlineStr"/>
      <c r="L656" s="12" t="inlineStr"/>
      <c r="M656" s="12" t="inlineStr"/>
      <c r="N656" s="17" t="inlineStr">
        <is>
          <t>10 EVIDENCE &amp; DECISIONS</t>
        </is>
      </c>
    </row>
    <row r="657" ht="34" customHeight="1">
      <c r="A657" s="12" t="inlineStr">
        <is>
          <t>Contractor Programme</t>
        </is>
      </c>
      <c r="B657" s="12" t="inlineStr">
        <is>
          <t>SCH-03-152</t>
        </is>
      </c>
      <c r="C657" s="12" t="inlineStr">
        <is>
          <t>Control Centre: train-control cabinet fit-out - release</t>
        </is>
      </c>
      <c r="D657" s="12" t="inlineStr">
        <is>
          <t>WBS Code = 1.3.1</t>
        </is>
      </c>
      <c r="E657" s="12" t="inlineStr">
        <is>
          <t>R512-v1</t>
        </is>
      </c>
      <c r="F657" s="12" t="inlineStr">
        <is>
          <t>1.3.1 Systems - Traction Power</t>
        </is>
      </c>
      <c r="G657" s="12" t="inlineStr">
        <is>
          <t>ONE_TO_ONE</t>
        </is>
      </c>
      <c r="H657" s="12" t="inlineStr">
        <is>
          <t>APPROVED</t>
        </is>
      </c>
      <c r="I657" s="12" t="inlineStr">
        <is>
          <t>New</t>
        </is>
      </c>
      <c r="J657" s="12" t="inlineStr">
        <is>
          <t>Source assignment -- not individually reviewed</t>
        </is>
      </c>
      <c r="K657" s="12" t="inlineStr"/>
      <c r="L657" s="12" t="inlineStr"/>
      <c r="M657" s="12" t="inlineStr"/>
      <c r="N657" s="17" t="inlineStr">
        <is>
          <t>10 EVIDENCE &amp; DECISIONS</t>
        </is>
      </c>
    </row>
    <row r="658" ht="34" customHeight="1">
      <c r="A658" s="12" t="inlineStr">
        <is>
          <t>Contractor Programme</t>
        </is>
      </c>
      <c r="B658" s="12" t="inlineStr">
        <is>
          <t>SCH-03-154</t>
        </is>
      </c>
      <c r="C658" s="12" t="inlineStr">
        <is>
          <t>East substation: signal equipment installation - installation</t>
        </is>
      </c>
      <c r="D658" s="12" t="inlineStr">
        <is>
          <t>WBS Code = 1.3.1</t>
        </is>
      </c>
      <c r="E658" s="12" t="inlineStr">
        <is>
          <t>R514-v1</t>
        </is>
      </c>
      <c r="F658" s="12" t="inlineStr">
        <is>
          <t>1.3.1 Systems - Traction Power</t>
        </is>
      </c>
      <c r="G658" s="12" t="inlineStr">
        <is>
          <t>ONE_TO_ONE</t>
        </is>
      </c>
      <c r="H658" s="12" t="inlineStr">
        <is>
          <t>APPROVED</t>
        </is>
      </c>
      <c r="I658" s="12" t="inlineStr">
        <is>
          <t>New</t>
        </is>
      </c>
      <c r="J658" s="12" t="inlineStr">
        <is>
          <t>Source assignment -- not individually reviewed</t>
        </is>
      </c>
      <c r="K658" s="12" t="inlineStr"/>
      <c r="L658" s="12" t="inlineStr"/>
      <c r="M658" s="12" t="inlineStr"/>
      <c r="N658" s="17" t="inlineStr">
        <is>
          <t>10 EVIDENCE &amp; DECISIONS</t>
        </is>
      </c>
    </row>
    <row r="659" ht="34" customHeight="1">
      <c r="A659" s="12" t="inlineStr">
        <is>
          <t>Contractor Programme</t>
        </is>
      </c>
      <c r="B659" s="12" t="inlineStr">
        <is>
          <t>SCH-03-155</t>
        </is>
      </c>
      <c r="C659" s="12" t="inlineStr">
        <is>
          <t>Central interlocking: radio equipment installation - inspection</t>
        </is>
      </c>
      <c r="D659" s="12" t="inlineStr">
        <is>
          <t>WBS Code = 1.3.1</t>
        </is>
      </c>
      <c r="E659" s="12" t="inlineStr">
        <is>
          <t>R515-v1</t>
        </is>
      </c>
      <c r="F659" s="12" t="inlineStr">
        <is>
          <t>1.3.1 Systems - Traction Power</t>
        </is>
      </c>
      <c r="G659" s="12" t="inlineStr">
        <is>
          <t>ONE_TO_ONE</t>
        </is>
      </c>
      <c r="H659" s="12" t="inlineStr">
        <is>
          <t>APPROVED</t>
        </is>
      </c>
      <c r="I659" s="12" t="inlineStr">
        <is>
          <t>New</t>
        </is>
      </c>
      <c r="J659" s="12" t="inlineStr">
        <is>
          <t>Source assignment -- not individually reviewed</t>
        </is>
      </c>
      <c r="K659" s="12" t="inlineStr"/>
      <c r="L659" s="12" t="inlineStr"/>
      <c r="M659" s="12" t="inlineStr"/>
      <c r="N659" s="17" t="inlineStr">
        <is>
          <t>10 EVIDENCE &amp; DECISIONS</t>
        </is>
      </c>
    </row>
    <row r="660" ht="34" customHeight="1">
      <c r="A660" s="12" t="inlineStr">
        <is>
          <t>Contractor Programme</t>
        </is>
      </c>
      <c r="B660" s="12" t="inlineStr">
        <is>
          <t>SCH-03-157</t>
        </is>
      </c>
      <c r="C660" s="12" t="inlineStr">
        <is>
          <t>Control Centre: fibre backbone termination - release</t>
        </is>
      </c>
      <c r="D660" s="12" t="inlineStr">
        <is>
          <t>WBS Code = 1.3.1</t>
        </is>
      </c>
      <c r="E660" s="12" t="inlineStr">
        <is>
          <t>R517-v1</t>
        </is>
      </c>
      <c r="F660" s="12" t="inlineStr">
        <is>
          <t>1.3.1 Systems - Traction Power</t>
        </is>
      </c>
      <c r="G660" s="12" t="inlineStr">
        <is>
          <t>ONE_TO_ONE</t>
        </is>
      </c>
      <c r="H660" s="12" t="inlineStr">
        <is>
          <t>APPROVED</t>
        </is>
      </c>
      <c r="I660" s="12" t="inlineStr">
        <is>
          <t>New</t>
        </is>
      </c>
      <c r="J660" s="12" t="inlineStr">
        <is>
          <t>Source assignment -- not individually reviewed</t>
        </is>
      </c>
      <c r="K660" s="12" t="inlineStr"/>
      <c r="L660" s="12" t="inlineStr"/>
      <c r="M660" s="12" t="inlineStr"/>
      <c r="N660" s="17" t="inlineStr">
        <is>
          <t>10 EVIDENCE &amp; DECISIONS</t>
        </is>
      </c>
    </row>
    <row r="661" ht="34" customHeight="1">
      <c r="A661" s="12" t="inlineStr">
        <is>
          <t>Contractor Programme</t>
        </is>
      </c>
      <c r="B661" s="12" t="inlineStr">
        <is>
          <t>SCH-03-158</t>
        </is>
      </c>
      <c r="C661" s="12" t="inlineStr">
        <is>
          <t>West wayside: SCADA point-to-point check - field start</t>
        </is>
      </c>
      <c r="D661" s="12" t="inlineStr">
        <is>
          <t>WBS Code = 1.3.1</t>
        </is>
      </c>
      <c r="E661" s="12" t="inlineStr">
        <is>
          <t>R518-v1</t>
        </is>
      </c>
      <c r="F661" s="12" t="inlineStr">
        <is>
          <t>1.3.1 Systems - Traction Power</t>
        </is>
      </c>
      <c r="G661" s="12" t="inlineStr">
        <is>
          <t>ONE_TO_ONE</t>
        </is>
      </c>
      <c r="H661" s="12" t="inlineStr">
        <is>
          <t>APPROVED</t>
        </is>
      </c>
      <c r="I661" s="12" t="inlineStr">
        <is>
          <t>New</t>
        </is>
      </c>
      <c r="J661" s="12" t="inlineStr">
        <is>
          <t>Source assignment -- not individually reviewed</t>
        </is>
      </c>
      <c r="K661" s="12" t="inlineStr"/>
      <c r="L661" s="12" t="inlineStr"/>
      <c r="M661" s="12" t="inlineStr"/>
      <c r="N661" s="17" t="inlineStr">
        <is>
          <t>10 EVIDENCE &amp; DECISIONS</t>
        </is>
      </c>
    </row>
    <row r="662" ht="34" customHeight="1">
      <c r="A662" s="12" t="inlineStr">
        <is>
          <t>Contractor Programme</t>
        </is>
      </c>
      <c r="B662" s="12" t="inlineStr">
        <is>
          <t>SCH-03-160</t>
        </is>
      </c>
      <c r="C662" s="12" t="inlineStr">
        <is>
          <t>Central interlocking: train-control cabinet fit-out - inspection</t>
        </is>
      </c>
      <c r="D662" s="12" t="inlineStr">
        <is>
          <t>WBS Code = 1.3.1</t>
        </is>
      </c>
      <c r="E662" s="12" t="inlineStr">
        <is>
          <t>R520-v1</t>
        </is>
      </c>
      <c r="F662" s="12" t="inlineStr">
        <is>
          <t>1.3.1 Systems - Traction Power</t>
        </is>
      </c>
      <c r="G662" s="12" t="inlineStr">
        <is>
          <t>ONE_TO_ONE</t>
        </is>
      </c>
      <c r="H662" s="12" t="inlineStr">
        <is>
          <t>APPROVED</t>
        </is>
      </c>
      <c r="I662" s="12" t="inlineStr">
        <is>
          <t>New</t>
        </is>
      </c>
      <c r="J662" s="12" t="inlineStr">
        <is>
          <t>Source assignment -- not individually reviewed</t>
        </is>
      </c>
      <c r="K662" s="12" t="inlineStr"/>
      <c r="L662" s="12" t="inlineStr"/>
      <c r="M662" s="12" t="inlineStr"/>
      <c r="N662" s="17" t="inlineStr">
        <is>
          <t>10 EVIDENCE &amp; DECISIONS</t>
        </is>
      </c>
    </row>
    <row r="663" ht="34" customHeight="1">
      <c r="A663" s="12" t="inlineStr">
        <is>
          <t>Contractor Programme</t>
        </is>
      </c>
      <c r="B663" s="12" t="inlineStr">
        <is>
          <t>SCH-03-161</t>
        </is>
      </c>
      <c r="C663" s="12" t="inlineStr">
        <is>
          <t>Harbour Station: wayside interface test - turnover</t>
        </is>
      </c>
      <c r="D663" s="12" t="inlineStr">
        <is>
          <t>WBS Code = 1.3.1</t>
        </is>
      </c>
      <c r="E663" s="12" t="inlineStr">
        <is>
          <t>R521-v1</t>
        </is>
      </c>
      <c r="F663" s="12" t="inlineStr">
        <is>
          <t>1.3.1 Systems - Traction Power</t>
        </is>
      </c>
      <c r="G663" s="12" t="inlineStr">
        <is>
          <t>ONE_TO_ONE</t>
        </is>
      </c>
      <c r="H663" s="12" t="inlineStr">
        <is>
          <t>APPROVED</t>
        </is>
      </c>
      <c r="I663" s="12" t="inlineStr">
        <is>
          <t>New</t>
        </is>
      </c>
      <c r="J663" s="12" t="inlineStr">
        <is>
          <t>Source assignment -- not individually reviewed</t>
        </is>
      </c>
      <c r="K663" s="12" t="inlineStr"/>
      <c r="L663" s="12" t="inlineStr"/>
      <c r="M663" s="12" t="inlineStr"/>
      <c r="N663" s="17" t="inlineStr">
        <is>
          <t>10 EVIDENCE &amp; DECISIONS</t>
        </is>
      </c>
    </row>
    <row r="664" ht="34" customHeight="1">
      <c r="A664" s="12" t="inlineStr">
        <is>
          <t>Contractor Programme</t>
        </is>
      </c>
      <c r="B664" s="12" t="inlineStr">
        <is>
          <t>SCH-03-163</t>
        </is>
      </c>
      <c r="C664" s="12" t="inlineStr">
        <is>
          <t>West wayside: radio equipment installation - field start</t>
        </is>
      </c>
      <c r="D664" s="12" t="inlineStr">
        <is>
          <t>WBS Code = 1.3.1</t>
        </is>
      </c>
      <c r="E664" s="12" t="inlineStr">
        <is>
          <t>R523-v1</t>
        </is>
      </c>
      <c r="F664" s="12" t="inlineStr">
        <is>
          <t>1.3.1 Systems - Traction Power</t>
        </is>
      </c>
      <c r="G664" s="12" t="inlineStr">
        <is>
          <t>ONE_TO_ONE</t>
        </is>
      </c>
      <c r="H664" s="12" t="inlineStr">
        <is>
          <t>APPROVED</t>
        </is>
      </c>
      <c r="I664" s="12" t="inlineStr">
        <is>
          <t>New</t>
        </is>
      </c>
      <c r="J664" s="12" t="inlineStr">
        <is>
          <t>Source assignment -- not individually reviewed</t>
        </is>
      </c>
      <c r="K664" s="12" t="inlineStr"/>
      <c r="L664" s="12" t="inlineStr"/>
      <c r="M664" s="12" t="inlineStr"/>
      <c r="N664" s="17" t="inlineStr">
        <is>
          <t>10 EVIDENCE &amp; DECISIONS</t>
        </is>
      </c>
    </row>
    <row r="665" ht="34" customHeight="1">
      <c r="A665" s="12" t="inlineStr">
        <is>
          <t>Contractor Programme</t>
        </is>
      </c>
      <c r="B665" s="12" t="inlineStr">
        <is>
          <t>SCH-03-164</t>
        </is>
      </c>
      <c r="C665" s="12" t="inlineStr">
        <is>
          <t>East substation: control-centre integration - installation</t>
        </is>
      </c>
      <c r="D665" s="12" t="inlineStr">
        <is>
          <t>WBS Code = 1.3.1</t>
        </is>
      </c>
      <c r="E665" s="12" t="inlineStr">
        <is>
          <t>R524-v1</t>
        </is>
      </c>
      <c r="F665" s="12" t="inlineStr">
        <is>
          <t>1.3.1 Systems - Traction Power</t>
        </is>
      </c>
      <c r="G665" s="12" t="inlineStr">
        <is>
          <t>ONE_TO_ONE</t>
        </is>
      </c>
      <c r="H665" s="12" t="inlineStr">
        <is>
          <t>APPROVED</t>
        </is>
      </c>
      <c r="I665" s="12" t="inlineStr">
        <is>
          <t>New</t>
        </is>
      </c>
      <c r="J665" s="12" t="inlineStr">
        <is>
          <t>Source assignment -- not individually reviewed</t>
        </is>
      </c>
      <c r="K665" s="12" t="inlineStr"/>
      <c r="L665" s="12" t="inlineStr"/>
      <c r="M665" s="12" t="inlineStr"/>
      <c r="N665" s="17" t="inlineStr">
        <is>
          <t>10 EVIDENCE &amp; DECISIONS</t>
        </is>
      </c>
    </row>
    <row r="666" ht="34" customHeight="1">
      <c r="A666" s="12" t="inlineStr">
        <is>
          <t>Contractor Programme</t>
        </is>
      </c>
      <c r="B666" s="12" t="inlineStr">
        <is>
          <t>SCH-03-166</t>
        </is>
      </c>
      <c r="C666" s="12" t="inlineStr">
        <is>
          <t>Harbour Station: SCADA point-to-point check - turnover</t>
        </is>
      </c>
      <c r="D666" s="12" t="inlineStr">
        <is>
          <t>WBS Code = 1.3.1</t>
        </is>
      </c>
      <c r="E666" s="12" t="inlineStr">
        <is>
          <t>R526-v1</t>
        </is>
      </c>
      <c r="F666" s="12" t="inlineStr">
        <is>
          <t>1.3.1 Systems - Traction Power</t>
        </is>
      </c>
      <c r="G666" s="12" t="inlineStr">
        <is>
          <t>ONE_TO_ONE</t>
        </is>
      </c>
      <c r="H666" s="12" t="inlineStr">
        <is>
          <t>APPROVED</t>
        </is>
      </c>
      <c r="I666" s="12" t="inlineStr">
        <is>
          <t>New</t>
        </is>
      </c>
      <c r="J666" s="12" t="inlineStr">
        <is>
          <t>Source assignment -- not individually reviewed</t>
        </is>
      </c>
      <c r="K666" s="12" t="inlineStr"/>
      <c r="L666" s="12" t="inlineStr"/>
      <c r="M666" s="12" t="inlineStr"/>
      <c r="N666" s="17" t="inlineStr">
        <is>
          <t>10 EVIDENCE &amp; DECISIONS</t>
        </is>
      </c>
    </row>
    <row r="667" ht="34" customHeight="1">
      <c r="A667" s="12" t="inlineStr">
        <is>
          <t>Contractor Programme</t>
        </is>
      </c>
      <c r="B667" s="12" t="inlineStr">
        <is>
          <t>SCH-03-167</t>
        </is>
      </c>
      <c r="C667" s="12" t="inlineStr">
        <is>
          <t>Control Centre: traction-power feeder pull - release</t>
        </is>
      </c>
      <c r="D667" s="12" t="inlineStr">
        <is>
          <t>WBS Code = 1.3.1</t>
        </is>
      </c>
      <c r="E667" s="12" t="inlineStr">
        <is>
          <t>R527-v1</t>
        </is>
      </c>
      <c r="F667" s="12" t="inlineStr">
        <is>
          <t>1.3.1 Systems - Traction Power</t>
        </is>
      </c>
      <c r="G667" s="12" t="inlineStr">
        <is>
          <t>ONE_TO_ONE</t>
        </is>
      </c>
      <c r="H667" s="12" t="inlineStr">
        <is>
          <t>APPROVED</t>
        </is>
      </c>
      <c r="I667" s="12" t="inlineStr">
        <is>
          <t>New</t>
        </is>
      </c>
      <c r="J667" s="12" t="inlineStr">
        <is>
          <t>Source assignment -- not individually reviewed</t>
        </is>
      </c>
      <c r="K667" s="12" t="inlineStr"/>
      <c r="L667" s="12" t="inlineStr"/>
      <c r="M667" s="12" t="inlineStr"/>
      <c r="N667" s="17" t="inlineStr">
        <is>
          <t>10 EVIDENCE &amp; DECISIONS</t>
        </is>
      </c>
    </row>
    <row r="668" ht="34" customHeight="1">
      <c r="A668" s="12" t="inlineStr">
        <is>
          <t>Contractor Programme</t>
        </is>
      </c>
      <c r="B668" s="12" t="inlineStr">
        <is>
          <t>SCH-03-169</t>
        </is>
      </c>
      <c r="C668" s="12" t="inlineStr">
        <is>
          <t>East substation: wayside interface test - installation</t>
        </is>
      </c>
      <c r="D668" s="12" t="inlineStr">
        <is>
          <t>WBS Code = 1.3.1</t>
        </is>
      </c>
      <c r="E668" s="12" t="inlineStr">
        <is>
          <t>R529-v1</t>
        </is>
      </c>
      <c r="F668" s="12" t="inlineStr">
        <is>
          <t>1.3.1 Systems - Traction Power</t>
        </is>
      </c>
      <c r="G668" s="12" t="inlineStr">
        <is>
          <t>ONE_TO_ONE</t>
        </is>
      </c>
      <c r="H668" s="12" t="inlineStr">
        <is>
          <t>APPROVED</t>
        </is>
      </c>
      <c r="I668" s="12" t="inlineStr">
        <is>
          <t>New</t>
        </is>
      </c>
      <c r="J668" s="12" t="inlineStr">
        <is>
          <t>Source assignment -- not individually reviewed</t>
        </is>
      </c>
      <c r="K668" s="12" t="inlineStr"/>
      <c r="L668" s="12" t="inlineStr"/>
      <c r="M668" s="12" t="inlineStr"/>
      <c r="N668" s="17" t="inlineStr">
        <is>
          <t>10 EVIDENCE &amp; DECISIONS</t>
        </is>
      </c>
    </row>
    <row r="669" ht="34" customHeight="1">
      <c r="A669" s="12" t="inlineStr">
        <is>
          <t>Contractor Programme</t>
        </is>
      </c>
      <c r="B669" s="12" t="inlineStr">
        <is>
          <t>SCH-03-170</t>
        </is>
      </c>
      <c r="C669" s="12" t="inlineStr">
        <is>
          <t>Central interlocking: signal equipment installation - inspection</t>
        </is>
      </c>
      <c r="D669" s="12" t="inlineStr">
        <is>
          <t>WBS Code = 1.3.1</t>
        </is>
      </c>
      <c r="E669" s="12" t="inlineStr">
        <is>
          <t>R530-v1</t>
        </is>
      </c>
      <c r="F669" s="12" t="inlineStr">
        <is>
          <t>1.3.1 Systems - Traction Power</t>
        </is>
      </c>
      <c r="G669" s="12" t="inlineStr">
        <is>
          <t>ONE_TO_ONE</t>
        </is>
      </c>
      <c r="H669" s="12" t="inlineStr">
        <is>
          <t>APPROVED</t>
        </is>
      </c>
      <c r="I669" s="12" t="inlineStr">
        <is>
          <t>New</t>
        </is>
      </c>
      <c r="J669" s="12" t="inlineStr">
        <is>
          <t>Source assignment -- not individually reviewed</t>
        </is>
      </c>
      <c r="K669" s="12" t="inlineStr"/>
      <c r="L669" s="12" t="inlineStr"/>
      <c r="M669" s="12" t="inlineStr"/>
      <c r="N669" s="17" t="inlineStr">
        <is>
          <t>10 EVIDENCE &amp; DECISIONS</t>
        </is>
      </c>
    </row>
    <row r="670" ht="34" customHeight="1">
      <c r="A670" s="12" t="inlineStr">
        <is>
          <t>Contractor Programme</t>
        </is>
      </c>
      <c r="B670" s="12" t="inlineStr">
        <is>
          <t>SCH-03-172</t>
        </is>
      </c>
      <c r="C670" s="12" t="inlineStr">
        <is>
          <t>Control Centre: control-centre integration - release</t>
        </is>
      </c>
      <c r="D670" s="12" t="inlineStr">
        <is>
          <t>WBS Code = 1.3.1</t>
        </is>
      </c>
      <c r="E670" s="12" t="inlineStr">
        <is>
          <t>R532-v1</t>
        </is>
      </c>
      <c r="F670" s="12" t="inlineStr">
        <is>
          <t>1.3.1 Systems - Traction Power</t>
        </is>
      </c>
      <c r="G670" s="12" t="inlineStr">
        <is>
          <t>ONE_TO_ONE</t>
        </is>
      </c>
      <c r="H670" s="12" t="inlineStr">
        <is>
          <t>APPROVED</t>
        </is>
      </c>
      <c r="I670" s="12" t="inlineStr">
        <is>
          <t>New</t>
        </is>
      </c>
      <c r="J670" s="12" t="inlineStr">
        <is>
          <t>Source assignment -- not individually reviewed</t>
        </is>
      </c>
      <c r="K670" s="12" t="inlineStr"/>
      <c r="L670" s="12" t="inlineStr"/>
      <c r="M670" s="12" t="inlineStr"/>
      <c r="N670" s="17" t="inlineStr">
        <is>
          <t>10 EVIDENCE &amp; DECISIONS</t>
        </is>
      </c>
    </row>
    <row r="671" ht="34" customHeight="1">
      <c r="A671" s="12" t="inlineStr">
        <is>
          <t>Contractor Programme</t>
        </is>
      </c>
      <c r="B671" s="12" t="inlineStr">
        <is>
          <t>SCH-03-173</t>
        </is>
      </c>
      <c r="C671" s="12" t="inlineStr">
        <is>
          <t>West wayside: fibre backbone termination - field start</t>
        </is>
      </c>
      <c r="D671" s="12" t="inlineStr">
        <is>
          <t>WBS Code = 1.3.1</t>
        </is>
      </c>
      <c r="E671" s="12" t="inlineStr">
        <is>
          <t>R533-v1</t>
        </is>
      </c>
      <c r="F671" s="12" t="inlineStr">
        <is>
          <t>1.3.1 Systems - Traction Power</t>
        </is>
      </c>
      <c r="G671" s="12" t="inlineStr">
        <is>
          <t>ONE_TO_ONE</t>
        </is>
      </c>
      <c r="H671" s="12" t="inlineStr">
        <is>
          <t>APPROVED</t>
        </is>
      </c>
      <c r="I671" s="12" t="inlineStr">
        <is>
          <t>New</t>
        </is>
      </c>
      <c r="J671" s="12" t="inlineStr">
        <is>
          <t>Source assignment -- not individually reviewed</t>
        </is>
      </c>
      <c r="K671" s="12" t="inlineStr"/>
      <c r="L671" s="12" t="inlineStr"/>
      <c r="M671" s="12" t="inlineStr"/>
      <c r="N671" s="17" t="inlineStr">
        <is>
          <t>10 EVIDENCE &amp; DECISIONS</t>
        </is>
      </c>
    </row>
    <row r="672" ht="34" customHeight="1">
      <c r="A672" s="12" t="inlineStr">
        <is>
          <t>Contractor Programme</t>
        </is>
      </c>
      <c r="B672" s="12" t="inlineStr">
        <is>
          <t>SCH-03-175</t>
        </is>
      </c>
      <c r="C672" s="12" t="inlineStr">
        <is>
          <t>Central interlocking: traction-power feeder pull - inspection</t>
        </is>
      </c>
      <c r="D672" s="12" t="inlineStr">
        <is>
          <t>WBS Code = 1.3.1</t>
        </is>
      </c>
      <c r="E672" s="12" t="inlineStr">
        <is>
          <t>R535-v1</t>
        </is>
      </c>
      <c r="F672" s="12" t="inlineStr">
        <is>
          <t>1.3.1 Systems - Traction Power</t>
        </is>
      </c>
      <c r="G672" s="12" t="inlineStr">
        <is>
          <t>ONE_TO_ONE</t>
        </is>
      </c>
      <c r="H672" s="12" t="inlineStr">
        <is>
          <t>APPROVED</t>
        </is>
      </c>
      <c r="I672" s="12" t="inlineStr">
        <is>
          <t>New</t>
        </is>
      </c>
      <c r="J672" s="12" t="inlineStr">
        <is>
          <t>Source assignment -- not individually reviewed</t>
        </is>
      </c>
      <c r="K672" s="12" t="inlineStr"/>
      <c r="L672" s="12" t="inlineStr"/>
      <c r="M672" s="12" t="inlineStr"/>
      <c r="N672" s="17" t="inlineStr">
        <is>
          <t>10 EVIDENCE &amp; DECISIONS</t>
        </is>
      </c>
    </row>
    <row r="673" ht="34" customHeight="1">
      <c r="A673" s="12" t="inlineStr">
        <is>
          <t>Contractor Programme</t>
        </is>
      </c>
      <c r="B673" s="12" t="inlineStr">
        <is>
          <t>SCH-03-176</t>
        </is>
      </c>
      <c r="C673" s="12" t="inlineStr">
        <is>
          <t>Harbour Station: train-control cabinet fit-out - turnover</t>
        </is>
      </c>
      <c r="D673" s="12" t="inlineStr">
        <is>
          <t>WBS Code = 1.3.1</t>
        </is>
      </c>
      <c r="E673" s="12" t="inlineStr">
        <is>
          <t>R536-v1</t>
        </is>
      </c>
      <c r="F673" s="12" t="inlineStr">
        <is>
          <t>1.3.1 Systems - Traction Power</t>
        </is>
      </c>
      <c r="G673" s="12" t="inlineStr">
        <is>
          <t>ONE_TO_ONE</t>
        </is>
      </c>
      <c r="H673" s="12" t="inlineStr">
        <is>
          <t>APPROVED</t>
        </is>
      </c>
      <c r="I673" s="12" t="inlineStr">
        <is>
          <t>New</t>
        </is>
      </c>
      <c r="J673" s="12" t="inlineStr">
        <is>
          <t>Source assignment -- not individually reviewed</t>
        </is>
      </c>
      <c r="K673" s="12" t="inlineStr"/>
      <c r="L673" s="12" t="inlineStr"/>
      <c r="M673" s="12" t="inlineStr"/>
      <c r="N673" s="17" t="inlineStr">
        <is>
          <t>10 EVIDENCE &amp; DECISIONS</t>
        </is>
      </c>
    </row>
    <row r="674" ht="34" customHeight="1">
      <c r="A674" s="12" t="inlineStr">
        <is>
          <t>Contractor Programme</t>
        </is>
      </c>
      <c r="B674" s="12" t="inlineStr">
        <is>
          <t>SCH-03-178</t>
        </is>
      </c>
      <c r="C674" s="12" t="inlineStr">
        <is>
          <t>West wayside: signal equipment installation - field start</t>
        </is>
      </c>
      <c r="D674" s="12" t="inlineStr">
        <is>
          <t>WBS Code = 1.3.1</t>
        </is>
      </c>
      <c r="E674" s="12" t="inlineStr">
        <is>
          <t>R538-v1</t>
        </is>
      </c>
      <c r="F674" s="12" t="inlineStr">
        <is>
          <t>1.3.1 Systems - Traction Power</t>
        </is>
      </c>
      <c r="G674" s="12" t="inlineStr">
        <is>
          <t>ONE_TO_ONE</t>
        </is>
      </c>
      <c r="H674" s="12" t="inlineStr">
        <is>
          <t>APPROVED</t>
        </is>
      </c>
      <c r="I674" s="12" t="inlineStr">
        <is>
          <t>New</t>
        </is>
      </c>
      <c r="J674" s="12" t="inlineStr">
        <is>
          <t>Source assignment -- not individually reviewed</t>
        </is>
      </c>
      <c r="K674" s="12" t="inlineStr"/>
      <c r="L674" s="12" t="inlineStr"/>
      <c r="M674" s="12" t="inlineStr"/>
      <c r="N674" s="17" t="inlineStr">
        <is>
          <t>10 EVIDENCE &amp; DECISIONS</t>
        </is>
      </c>
    </row>
    <row r="675" ht="34" customHeight="1">
      <c r="A675" s="12" t="inlineStr">
        <is>
          <t>Contractor Programme</t>
        </is>
      </c>
      <c r="B675" s="12" t="inlineStr">
        <is>
          <t>SCH-03-179</t>
        </is>
      </c>
      <c r="C675" s="12" t="inlineStr">
        <is>
          <t>East substation: radio equipment installation - installation</t>
        </is>
      </c>
      <c r="D675" s="12" t="inlineStr">
        <is>
          <t>WBS Code = 1.3.1</t>
        </is>
      </c>
      <c r="E675" s="12" t="inlineStr">
        <is>
          <t>R539-v1</t>
        </is>
      </c>
      <c r="F675" s="12" t="inlineStr">
        <is>
          <t>1.3.1 Systems - Traction Power</t>
        </is>
      </c>
      <c r="G675" s="12" t="inlineStr">
        <is>
          <t>ONE_TO_ONE</t>
        </is>
      </c>
      <c r="H675" s="12" t="inlineStr">
        <is>
          <t>APPROVED</t>
        </is>
      </c>
      <c r="I675" s="12" t="inlineStr">
        <is>
          <t>New</t>
        </is>
      </c>
      <c r="J675" s="12" t="inlineStr">
        <is>
          <t>Source assignment -- not individually reviewed</t>
        </is>
      </c>
      <c r="K675" s="12" t="inlineStr"/>
      <c r="L675" s="12" t="inlineStr"/>
      <c r="M675" s="12" t="inlineStr"/>
      <c r="N675" s="17" t="inlineStr">
        <is>
          <t>10 EVIDENCE &amp; DECISIONS</t>
        </is>
      </c>
    </row>
    <row r="676" ht="34" customHeight="1">
      <c r="A676" s="12" t="inlineStr">
        <is>
          <t>Cost &amp; Forecast Control Accounts</t>
        </is>
      </c>
      <c r="B676" s="12" t="inlineStr">
        <is>
          <t>CST-03-001</t>
        </is>
      </c>
      <c r="C676" s="12" t="inlineStr">
        <is>
          <t>Systems - systems integration - closeout</t>
        </is>
      </c>
      <c r="D676" s="12" t="inlineStr">
        <is>
          <t>Cost Account = CA-3001; WBS Code = 1.3.1</t>
        </is>
      </c>
      <c r="E676" s="12" t="inlineStr">
        <is>
          <t>R1243-v1</t>
        </is>
      </c>
      <c r="F676" s="12" t="inlineStr">
        <is>
          <t>1.3.1 Systems - Traction Power</t>
        </is>
      </c>
      <c r="G676" s="12" t="inlineStr">
        <is>
          <t>ONE_TO_ONE</t>
        </is>
      </c>
      <c r="H676" s="12" t="inlineStr">
        <is>
          <t>APPROVED</t>
        </is>
      </c>
      <c r="I676" s="12" t="inlineStr">
        <is>
          <t>New</t>
        </is>
      </c>
      <c r="J676" s="12" t="inlineStr">
        <is>
          <t>Source assignment -- not individually reviewed</t>
        </is>
      </c>
      <c r="K676" s="12" t="inlineStr"/>
      <c r="L676" s="12" t="inlineStr"/>
      <c r="M676" s="12" t="inlineStr"/>
      <c r="N676" s="17" t="inlineStr">
        <is>
          <t>10 EVIDENCE &amp; DECISIONS</t>
        </is>
      </c>
      <c r="O676" s="105" t="n">
        <v>507500</v>
      </c>
      <c r="P676" s="105" t="n">
        <v>507500</v>
      </c>
      <c r="Q676" s="105" t="inlineStr">
        <is>
          <t>CAD</t>
        </is>
      </c>
      <c r="R676" s="105" t="n"/>
      <c r="S676" s="105" t="inlineStr">
        <is>
          <t>2027-06-30</t>
        </is>
      </c>
      <c r="T676" s="105" t="inlineStr">
        <is>
          <t>C1-R0</t>
        </is>
      </c>
      <c r="U676" s="105" t="inlineStr">
        <is>
          <t>Supplied practice file monthly_cost_forecast.xlsx, row 162</t>
        </is>
      </c>
      <c r="V676" s="105" t="inlineStr">
        <is>
          <t>Whole source account, not a target allocation. Repeated target rows must not be summed. Aggregate cost / forecast remains withheld.</t>
        </is>
      </c>
    </row>
    <row r="677" ht="34" customHeight="1">
      <c r="A677" s="12" t="inlineStr">
        <is>
          <t>Cost &amp; Forecast Control Accounts</t>
        </is>
      </c>
      <c r="B677" s="12" t="inlineStr">
        <is>
          <t>CST-03-003</t>
        </is>
      </c>
      <c r="C677" s="12" t="inlineStr">
        <is>
          <t>Systems - train control - supply and install</t>
        </is>
      </c>
      <c r="D677" s="12" t="inlineStr">
        <is>
          <t>Cost Account = CA-3003; WBS Code = 1.3.1</t>
        </is>
      </c>
      <c r="E677" s="12" t="inlineStr">
        <is>
          <t>R1245-v1</t>
        </is>
      </c>
      <c r="F677" s="12" t="inlineStr">
        <is>
          <t>1.3.1 Systems - Traction Power</t>
        </is>
      </c>
      <c r="G677" s="12" t="inlineStr">
        <is>
          <t>ONE_TO_ONE</t>
        </is>
      </c>
      <c r="H677" s="12" t="inlineStr">
        <is>
          <t>APPROVED</t>
        </is>
      </c>
      <c r="I677" s="12" t="inlineStr">
        <is>
          <t>New</t>
        </is>
      </c>
      <c r="J677" s="12" t="inlineStr">
        <is>
          <t>Source assignment -- not individually reviewed</t>
        </is>
      </c>
      <c r="K677" s="12" t="inlineStr"/>
      <c r="L677" s="12" t="inlineStr"/>
      <c r="M677" s="12" t="inlineStr"/>
      <c r="N677" s="17" t="inlineStr">
        <is>
          <t>10 EVIDENCE &amp; DECISIONS</t>
        </is>
      </c>
      <c r="O677" s="105" t="n">
        <v>542500</v>
      </c>
      <c r="P677" s="105" t="n">
        <v>567500</v>
      </c>
      <c r="Q677" s="105" t="inlineStr">
        <is>
          <t>CAD</t>
        </is>
      </c>
      <c r="R677" s="105" t="n"/>
      <c r="S677" s="105" t="inlineStr">
        <is>
          <t>2027-06-30</t>
        </is>
      </c>
      <c r="T677" s="105" t="inlineStr">
        <is>
          <t>C1-R0</t>
        </is>
      </c>
      <c r="U677" s="105" t="inlineStr">
        <is>
          <t>Supplied practice file monthly_cost_forecast.xlsx, row 164</t>
        </is>
      </c>
      <c r="V677" s="105" t="inlineStr">
        <is>
          <t>Whole source account, not a target allocation. Repeated target rows must not be summed. Aggregate cost / forecast remains withheld.</t>
        </is>
      </c>
    </row>
    <row r="678" ht="34" customHeight="1">
      <c r="A678" s="12" t="inlineStr">
        <is>
          <t>Cost &amp; Forecast Control Accounts</t>
        </is>
      </c>
      <c r="B678" s="12" t="inlineStr">
        <is>
          <t>CST-03-005</t>
        </is>
      </c>
      <c r="C678" s="12" t="inlineStr">
        <is>
          <t>Systems - signalling - allowance</t>
        </is>
      </c>
      <c r="D678" s="12" t="inlineStr">
        <is>
          <t>Cost Account = CA-3005; WBS Code = 1.3.1</t>
        </is>
      </c>
      <c r="E678" s="12" t="inlineStr">
        <is>
          <t>R1247-v1</t>
        </is>
      </c>
      <c r="F678" s="12" t="inlineStr">
        <is>
          <t>1.3.1 Systems - Traction Power</t>
        </is>
      </c>
      <c r="G678" s="12" t="inlineStr">
        <is>
          <t>ONE_TO_ONE</t>
        </is>
      </c>
      <c r="H678" s="12" t="inlineStr">
        <is>
          <t>APPROVED</t>
        </is>
      </c>
      <c r="I678" s="12" t="inlineStr">
        <is>
          <t>New</t>
        </is>
      </c>
      <c r="J678" s="12" t="inlineStr">
        <is>
          <t>Source assignment -- not individually reviewed</t>
        </is>
      </c>
      <c r="K678" s="12" t="inlineStr"/>
      <c r="L678" s="12" t="inlineStr"/>
      <c r="M678" s="12" t="inlineStr"/>
      <c r="N678" s="17" t="inlineStr">
        <is>
          <t>10 EVIDENCE &amp; DECISIONS</t>
        </is>
      </c>
      <c r="O678" s="105" t="n">
        <v>577500</v>
      </c>
      <c r="P678" s="105" t="n">
        <v>577500</v>
      </c>
      <c r="Q678" s="105" t="inlineStr">
        <is>
          <t>CAD</t>
        </is>
      </c>
      <c r="R678" s="105" t="n"/>
      <c r="S678" s="105" t="inlineStr">
        <is>
          <t>2027-06-30</t>
        </is>
      </c>
      <c r="T678" s="105" t="inlineStr">
        <is>
          <t>C1-R0</t>
        </is>
      </c>
      <c r="U678" s="105" t="inlineStr">
        <is>
          <t>Supplied practice file monthly_cost_forecast.xlsx, row 166</t>
        </is>
      </c>
      <c r="V678" s="105" t="inlineStr">
        <is>
          <t>Whole source account, not a target allocation. Repeated target rows must not be summed. Aggregate cost / forecast remains withheld.</t>
        </is>
      </c>
    </row>
    <row r="679" ht="34" customHeight="1">
      <c r="A679" s="12" t="inlineStr">
        <is>
          <t>Cost &amp; Forecast Control Accounts</t>
        </is>
      </c>
      <c r="B679" s="12" t="inlineStr">
        <is>
          <t>CST-03-007</t>
        </is>
      </c>
      <c r="C679" s="12" t="inlineStr">
        <is>
          <t>Systems - systems integration - field package</t>
        </is>
      </c>
      <c r="D679" s="12" t="inlineStr">
        <is>
          <t>Cost Account = CA-3007; WBS Code = 1.3.1</t>
        </is>
      </c>
      <c r="E679" s="12" t="inlineStr">
        <is>
          <t>R1249-v1</t>
        </is>
      </c>
      <c r="F679" s="12" t="inlineStr">
        <is>
          <t>1.3.1 Systems - Traction Power</t>
        </is>
      </c>
      <c r="G679" s="12" t="inlineStr">
        <is>
          <t>ONE_TO_ONE</t>
        </is>
      </c>
      <c r="H679" s="12" t="inlineStr">
        <is>
          <t>APPROVED</t>
        </is>
      </c>
      <c r="I679" s="12" t="inlineStr">
        <is>
          <t>New</t>
        </is>
      </c>
      <c r="J679" s="12" t="inlineStr">
        <is>
          <t>Source assignment -- not individually reviewed</t>
        </is>
      </c>
      <c r="K679" s="12" t="inlineStr"/>
      <c r="L679" s="12" t="inlineStr"/>
      <c r="M679" s="12" t="inlineStr"/>
      <c r="N679" s="17" t="inlineStr">
        <is>
          <t>10 EVIDENCE &amp; DECISIONS</t>
        </is>
      </c>
      <c r="O679" s="105" t="n">
        <v>612500</v>
      </c>
      <c r="P679" s="105" t="n">
        <v>637500</v>
      </c>
      <c r="Q679" s="105" t="inlineStr">
        <is>
          <t>CAD</t>
        </is>
      </c>
      <c r="R679" s="105" t="n"/>
      <c r="S679" s="105" t="inlineStr">
        <is>
          <t>2027-06-30</t>
        </is>
      </c>
      <c r="T679" s="105" t="inlineStr">
        <is>
          <t>C1-R0</t>
        </is>
      </c>
      <c r="U679" s="105" t="inlineStr">
        <is>
          <t>Supplied practice file monthly_cost_forecast.xlsx, row 168</t>
        </is>
      </c>
      <c r="V679" s="105" t="inlineStr">
        <is>
          <t>Whole source account, not a target allocation. Repeated target rows must not be summed. Aggregate cost / forecast remains withheld.</t>
        </is>
      </c>
    </row>
    <row r="680" ht="34" customHeight="1">
      <c r="A680" s="12" t="inlineStr">
        <is>
          <t>Cost &amp; Forecast Control Accounts</t>
        </is>
      </c>
      <c r="B680" s="12" t="inlineStr">
        <is>
          <t>CST-03-009</t>
        </is>
      </c>
      <c r="C680" s="12" t="inlineStr">
        <is>
          <t>Systems - train control - professional services</t>
        </is>
      </c>
      <c r="D680" s="12" t="inlineStr">
        <is>
          <t>Cost Account = CA-3009; WBS Code = 1.3.1</t>
        </is>
      </c>
      <c r="E680" s="12" t="inlineStr">
        <is>
          <t>R1251-v1</t>
        </is>
      </c>
      <c r="F680" s="12" t="inlineStr">
        <is>
          <t>1.3.1 Systems - Traction Power</t>
        </is>
      </c>
      <c r="G680" s="12" t="inlineStr">
        <is>
          <t>ONE_TO_ONE</t>
        </is>
      </c>
      <c r="H680" s="12" t="inlineStr">
        <is>
          <t>APPROVED</t>
        </is>
      </c>
      <c r="I680" s="12" t="inlineStr">
        <is>
          <t>New</t>
        </is>
      </c>
      <c r="J680" s="12" t="inlineStr">
        <is>
          <t>Source assignment -- not individually reviewed</t>
        </is>
      </c>
      <c r="K680" s="12" t="inlineStr"/>
      <c r="L680" s="12" t="inlineStr"/>
      <c r="M680" s="12" t="inlineStr"/>
      <c r="N680" s="17" t="inlineStr">
        <is>
          <t>10 EVIDENCE &amp; DECISIONS</t>
        </is>
      </c>
      <c r="O680" s="105" t="n">
        <v>647500</v>
      </c>
      <c r="P680" s="105" t="n">
        <v>647500</v>
      </c>
      <c r="Q680" s="105" t="inlineStr">
        <is>
          <t>CAD</t>
        </is>
      </c>
      <c r="R680" s="105" t="n"/>
      <c r="S680" s="105" t="inlineStr">
        <is>
          <t>2027-06-30</t>
        </is>
      </c>
      <c r="T680" s="105" t="inlineStr">
        <is>
          <t>C1-R0</t>
        </is>
      </c>
      <c r="U680" s="105" t="inlineStr">
        <is>
          <t>Supplied practice file monthly_cost_forecast.xlsx, row 170</t>
        </is>
      </c>
      <c r="V680" s="105" t="inlineStr">
        <is>
          <t>Whole source account, not a target allocation. Repeated target rows must not be summed. Aggregate cost / forecast remains withheld.</t>
        </is>
      </c>
    </row>
    <row r="681" ht="34" customHeight="1">
      <c r="A681" s="12" t="inlineStr">
        <is>
          <t>Cost &amp; Forecast Control Accounts</t>
        </is>
      </c>
      <c r="B681" s="12" t="inlineStr">
        <is>
          <t>CST-03-011</t>
        </is>
      </c>
      <c r="C681" s="12" t="inlineStr">
        <is>
          <t>Systems - signalling - closeout</t>
        </is>
      </c>
      <c r="D681" s="12" t="inlineStr">
        <is>
          <t>Cost Account = CA-3011; WBS Code = 1.3.1</t>
        </is>
      </c>
      <c r="E681" s="12" t="inlineStr">
        <is>
          <t>R1253-v1</t>
        </is>
      </c>
      <c r="F681" s="12" t="inlineStr">
        <is>
          <t>1.3.1 Systems - Traction Power</t>
        </is>
      </c>
      <c r="G681" s="12" t="inlineStr">
        <is>
          <t>ONE_TO_ONE</t>
        </is>
      </c>
      <c r="H681" s="12" t="inlineStr">
        <is>
          <t>APPROVED</t>
        </is>
      </c>
      <c r="I681" s="12" t="inlineStr">
        <is>
          <t>New</t>
        </is>
      </c>
      <c r="J681" s="12" t="inlineStr">
        <is>
          <t>Source assignment -- not individually reviewed</t>
        </is>
      </c>
      <c r="K681" s="12" t="inlineStr"/>
      <c r="L681" s="12" t="inlineStr"/>
      <c r="M681" s="12" t="inlineStr"/>
      <c r="N681" s="17" t="inlineStr">
        <is>
          <t>10 EVIDENCE &amp; DECISIONS</t>
        </is>
      </c>
      <c r="O681" s="105" t="n">
        <v>682500</v>
      </c>
      <c r="P681" s="105" t="n">
        <v>707500</v>
      </c>
      <c r="Q681" s="105" t="inlineStr">
        <is>
          <t>CAD</t>
        </is>
      </c>
      <c r="R681" s="105" t="n"/>
      <c r="S681" s="105" t="inlineStr">
        <is>
          <t>2027-06-30</t>
        </is>
      </c>
      <c r="T681" s="105" t="inlineStr">
        <is>
          <t>C1-R0</t>
        </is>
      </c>
      <c r="U681" s="105" t="inlineStr">
        <is>
          <t>Supplied practice file monthly_cost_forecast.xlsx, row 172</t>
        </is>
      </c>
      <c r="V681" s="105" t="inlineStr">
        <is>
          <t>Whole source account, not a target allocation. Repeated target rows must not be summed. Aggregate cost / forecast remains withheld.</t>
        </is>
      </c>
    </row>
    <row r="682" ht="34" customHeight="1">
      <c r="A682" s="12" t="inlineStr">
        <is>
          <t>Cost &amp; Forecast Control Accounts</t>
        </is>
      </c>
      <c r="B682" s="12" t="inlineStr">
        <is>
          <t>CST-03-013</t>
        </is>
      </c>
      <c r="C682" s="12" t="inlineStr">
        <is>
          <t>Systems - systems integration - supply and install</t>
        </is>
      </c>
      <c r="D682" s="12" t="inlineStr">
        <is>
          <t>Cost Account = CA-3013; WBS Code = 1.3.1</t>
        </is>
      </c>
      <c r="E682" s="12" t="inlineStr">
        <is>
          <t>R1255-v1</t>
        </is>
      </c>
      <c r="F682" s="12" t="inlineStr">
        <is>
          <t>1.3.1 Systems - Traction Power</t>
        </is>
      </c>
      <c r="G682" s="12" t="inlineStr">
        <is>
          <t>ONE_TO_ONE</t>
        </is>
      </c>
      <c r="H682" s="12" t="inlineStr">
        <is>
          <t>APPROVED</t>
        </is>
      </c>
      <c r="I682" s="12" t="inlineStr">
        <is>
          <t>New</t>
        </is>
      </c>
      <c r="J682" s="12" t="inlineStr">
        <is>
          <t>Source assignment -- not individually reviewed</t>
        </is>
      </c>
      <c r="K682" s="12" t="inlineStr"/>
      <c r="L682" s="12" t="inlineStr"/>
      <c r="M682" s="12" t="inlineStr"/>
      <c r="N682" s="17" t="inlineStr">
        <is>
          <t>10 EVIDENCE &amp; DECISIONS</t>
        </is>
      </c>
      <c r="O682" s="105" t="n">
        <v>717500</v>
      </c>
      <c r="P682" s="105" t="n">
        <v>717500</v>
      </c>
      <c r="Q682" s="105" t="inlineStr">
        <is>
          <t>CAD</t>
        </is>
      </c>
      <c r="R682" s="105" t="n"/>
      <c r="S682" s="105" t="inlineStr">
        <is>
          <t>2027-06-30</t>
        </is>
      </c>
      <c r="T682" s="105" t="inlineStr">
        <is>
          <t>C1-R0</t>
        </is>
      </c>
      <c r="U682" s="105" t="inlineStr">
        <is>
          <t>Supplied practice file monthly_cost_forecast.xlsx, row 174</t>
        </is>
      </c>
      <c r="V682" s="105" t="inlineStr">
        <is>
          <t>Whole source account, not a target allocation. Repeated target rows must not be summed. Aggregate cost / forecast remains withheld.</t>
        </is>
      </c>
    </row>
    <row r="683" ht="34" customHeight="1">
      <c r="A683" s="12" t="inlineStr">
        <is>
          <t>Cost &amp; Forecast Control Accounts</t>
        </is>
      </c>
      <c r="B683" s="12" t="inlineStr">
        <is>
          <t>CST-03-015</t>
        </is>
      </c>
      <c r="C683" s="12" t="inlineStr">
        <is>
          <t>Systems - train control - allowance</t>
        </is>
      </c>
      <c r="D683" s="12" t="inlineStr">
        <is>
          <t>Cost Account = CA-3015; WBS Code = 1.3.1</t>
        </is>
      </c>
      <c r="E683" s="12" t="inlineStr">
        <is>
          <t>R1257-v1</t>
        </is>
      </c>
      <c r="F683" s="12" t="inlineStr">
        <is>
          <t>1.3.1 Systems - Traction Power</t>
        </is>
      </c>
      <c r="G683" s="12" t="inlineStr">
        <is>
          <t>ONE_TO_ONE</t>
        </is>
      </c>
      <c r="H683" s="12" t="inlineStr">
        <is>
          <t>APPROVED</t>
        </is>
      </c>
      <c r="I683" s="12" t="inlineStr">
        <is>
          <t>New</t>
        </is>
      </c>
      <c r="J683" s="12" t="inlineStr">
        <is>
          <t>Source assignment -- not individually reviewed</t>
        </is>
      </c>
      <c r="K683" s="12" t="inlineStr"/>
      <c r="L683" s="12" t="inlineStr"/>
      <c r="M683" s="12" t="inlineStr"/>
      <c r="N683" s="17" t="inlineStr">
        <is>
          <t>10 EVIDENCE &amp; DECISIONS</t>
        </is>
      </c>
      <c r="O683" s="105" t="n">
        <v>752500</v>
      </c>
      <c r="P683" s="105" t="n">
        <v>777500</v>
      </c>
      <c r="Q683" s="105" t="inlineStr">
        <is>
          <t>CAD</t>
        </is>
      </c>
      <c r="R683" s="105" t="n"/>
      <c r="S683" s="105" t="inlineStr">
        <is>
          <t>2027-06-30</t>
        </is>
      </c>
      <c r="T683" s="105" t="inlineStr">
        <is>
          <t>C1-R0</t>
        </is>
      </c>
      <c r="U683" s="105" t="inlineStr">
        <is>
          <t>Supplied practice file monthly_cost_forecast.xlsx, row 176</t>
        </is>
      </c>
      <c r="V683" s="105" t="inlineStr">
        <is>
          <t>Whole source account, not a target allocation. Repeated target rows must not be summed. Aggregate cost / forecast remains withheld.</t>
        </is>
      </c>
    </row>
    <row r="684" ht="34" customHeight="1">
      <c r="A684" s="12" t="inlineStr">
        <is>
          <t>Cost &amp; Forecast Control Accounts</t>
        </is>
      </c>
      <c r="B684" s="12" t="inlineStr">
        <is>
          <t>CST-03-017</t>
        </is>
      </c>
      <c r="C684" s="12" t="inlineStr">
        <is>
          <t>Systems - signalling - field package</t>
        </is>
      </c>
      <c r="D684" s="12" t="inlineStr">
        <is>
          <t>Cost Account = CA-3017; WBS Code = 1.3.1</t>
        </is>
      </c>
      <c r="E684" s="12" t="inlineStr">
        <is>
          <t>R1259-v1</t>
        </is>
      </c>
      <c r="F684" s="12" t="inlineStr">
        <is>
          <t>1.3.1 Systems - Traction Power</t>
        </is>
      </c>
      <c r="G684" s="12" t="inlineStr">
        <is>
          <t>ONE_TO_ONE</t>
        </is>
      </c>
      <c r="H684" s="12" t="inlineStr">
        <is>
          <t>APPROVED</t>
        </is>
      </c>
      <c r="I684" s="12" t="inlineStr">
        <is>
          <t>New</t>
        </is>
      </c>
      <c r="J684" s="12" t="inlineStr">
        <is>
          <t>Source assignment -- not individually reviewed</t>
        </is>
      </c>
      <c r="K684" s="12" t="inlineStr"/>
      <c r="L684" s="12" t="inlineStr"/>
      <c r="M684" s="12" t="inlineStr"/>
      <c r="N684" s="17" t="inlineStr">
        <is>
          <t>10 EVIDENCE &amp; DECISIONS</t>
        </is>
      </c>
      <c r="O684" s="105" t="n">
        <v>787500</v>
      </c>
      <c r="P684" s="105" t="n">
        <v>787500</v>
      </c>
      <c r="Q684" s="105" t="inlineStr">
        <is>
          <t>CAD</t>
        </is>
      </c>
      <c r="R684" s="105" t="n"/>
      <c r="S684" s="105" t="inlineStr">
        <is>
          <t>2027-06-30</t>
        </is>
      </c>
      <c r="T684" s="105" t="inlineStr">
        <is>
          <t>C1-R0</t>
        </is>
      </c>
      <c r="U684" s="105" t="inlineStr">
        <is>
          <t>Supplied practice file monthly_cost_forecast.xlsx, row 178</t>
        </is>
      </c>
      <c r="V684" s="105" t="inlineStr">
        <is>
          <t>Whole source account, not a target allocation. Repeated target rows must not be summed. Aggregate cost / forecast remains withheld.</t>
        </is>
      </c>
    </row>
    <row r="685" ht="34" customHeight="1">
      <c r="A685" s="12" t="inlineStr">
        <is>
          <t>Cost &amp; Forecast Control Accounts</t>
        </is>
      </c>
      <c r="B685" s="12" t="inlineStr">
        <is>
          <t>CST-03-019</t>
        </is>
      </c>
      <c r="C685" s="12" t="inlineStr">
        <is>
          <t>Systems - systems integration - professional services</t>
        </is>
      </c>
      <c r="D685" s="12" t="inlineStr">
        <is>
          <t>Cost Account = CA-3019; WBS Code = 1.3.1</t>
        </is>
      </c>
      <c r="E685" s="12" t="inlineStr">
        <is>
          <t>R1261-v1</t>
        </is>
      </c>
      <c r="F685" s="12" t="inlineStr">
        <is>
          <t>1.3.1 Systems - Traction Power</t>
        </is>
      </c>
      <c r="G685" s="12" t="inlineStr">
        <is>
          <t>ONE_TO_ONE</t>
        </is>
      </c>
      <c r="H685" s="12" t="inlineStr">
        <is>
          <t>APPROVED</t>
        </is>
      </c>
      <c r="I685" s="12" t="inlineStr">
        <is>
          <t>New</t>
        </is>
      </c>
      <c r="J685" s="12" t="inlineStr">
        <is>
          <t>Source assignment -- not individually reviewed</t>
        </is>
      </c>
      <c r="K685" s="12" t="inlineStr"/>
      <c r="L685" s="12" t="inlineStr"/>
      <c r="M685" s="12" t="inlineStr"/>
      <c r="N685" s="17" t="inlineStr">
        <is>
          <t>10 EVIDENCE &amp; DECISIONS</t>
        </is>
      </c>
      <c r="O685" s="105" t="n">
        <v>822500</v>
      </c>
      <c r="P685" s="105" t="n">
        <v>847500</v>
      </c>
      <c r="Q685" s="105" t="inlineStr">
        <is>
          <t>CAD</t>
        </is>
      </c>
      <c r="R685" s="105" t="n"/>
      <c r="S685" s="105" t="inlineStr">
        <is>
          <t>2027-06-30</t>
        </is>
      </c>
      <c r="T685" s="105" t="inlineStr">
        <is>
          <t>C1-R0</t>
        </is>
      </c>
      <c r="U685" s="105" t="inlineStr">
        <is>
          <t>Supplied practice file monthly_cost_forecast.xlsx, row 180</t>
        </is>
      </c>
      <c r="V685" s="105" t="inlineStr">
        <is>
          <t>Whole source account, not a target allocation. Repeated target rows must not be summed. Aggregate cost / forecast remains withheld.</t>
        </is>
      </c>
    </row>
    <row r="686" ht="34" customHeight="1">
      <c r="A686" s="12" t="inlineStr">
        <is>
          <t>Cost &amp; Forecast Control Accounts</t>
        </is>
      </c>
      <c r="B686" s="12" t="inlineStr">
        <is>
          <t>CST-03-021</t>
        </is>
      </c>
      <c r="C686" s="12" t="inlineStr">
        <is>
          <t>Systems - train control - closeout</t>
        </is>
      </c>
      <c r="D686" s="12" t="inlineStr">
        <is>
          <t>Cost Account = CA-3021; WBS Code = 1.3.1</t>
        </is>
      </c>
      <c r="E686" s="12" t="inlineStr">
        <is>
          <t>R1263-v1</t>
        </is>
      </c>
      <c r="F686" s="12" t="inlineStr">
        <is>
          <t>1.3.1 Systems - Traction Power</t>
        </is>
      </c>
      <c r="G686" s="12" t="inlineStr">
        <is>
          <t>ONE_TO_ONE</t>
        </is>
      </c>
      <c r="H686" s="12" t="inlineStr">
        <is>
          <t>APPROVED</t>
        </is>
      </c>
      <c r="I686" s="12" t="inlineStr">
        <is>
          <t>New</t>
        </is>
      </c>
      <c r="J686" s="12" t="inlineStr">
        <is>
          <t>Source assignment -- not individually reviewed</t>
        </is>
      </c>
      <c r="K686" s="12" t="inlineStr"/>
      <c r="L686" s="12" t="inlineStr"/>
      <c r="M686" s="12" t="inlineStr"/>
      <c r="N686" s="17" t="inlineStr">
        <is>
          <t>10 EVIDENCE &amp; DECISIONS</t>
        </is>
      </c>
      <c r="O686" s="105" t="n">
        <v>857500</v>
      </c>
      <c r="P686" s="105" t="n">
        <v>857500</v>
      </c>
      <c r="Q686" s="105" t="inlineStr">
        <is>
          <t>CAD</t>
        </is>
      </c>
      <c r="R686" s="105" t="n"/>
      <c r="S686" s="105" t="inlineStr">
        <is>
          <t>2027-06-30</t>
        </is>
      </c>
      <c r="T686" s="105" t="inlineStr">
        <is>
          <t>C1-R0</t>
        </is>
      </c>
      <c r="U686" s="105" t="inlineStr">
        <is>
          <t>Supplied practice file monthly_cost_forecast.xlsx, row 182</t>
        </is>
      </c>
      <c r="V686" s="105" t="inlineStr">
        <is>
          <t>Whole source account, not a target allocation. Repeated target rows must not be summed. Aggregate cost / forecast remains withheld.</t>
        </is>
      </c>
    </row>
    <row r="687" ht="34" customHeight="1">
      <c r="A687" s="12" t="inlineStr">
        <is>
          <t>Cost &amp; Forecast Control Accounts</t>
        </is>
      </c>
      <c r="B687" s="12" t="inlineStr">
        <is>
          <t>CST-03-023</t>
        </is>
      </c>
      <c r="C687" s="12" t="inlineStr">
        <is>
          <t>Systems - signalling - supply and install</t>
        </is>
      </c>
      <c r="D687" s="12" t="inlineStr">
        <is>
          <t>Cost Account = CA-3023; WBS Code = 1.3.1</t>
        </is>
      </c>
      <c r="E687" s="12" t="inlineStr">
        <is>
          <t>R1265-v1</t>
        </is>
      </c>
      <c r="F687" s="12" t="inlineStr">
        <is>
          <t>1.3.1 Systems - Traction Power</t>
        </is>
      </c>
      <c r="G687" s="12" t="inlineStr">
        <is>
          <t>ONE_TO_ONE</t>
        </is>
      </c>
      <c r="H687" s="12" t="inlineStr">
        <is>
          <t>APPROVED</t>
        </is>
      </c>
      <c r="I687" s="12" t="inlineStr">
        <is>
          <t>New</t>
        </is>
      </c>
      <c r="J687" s="12" t="inlineStr">
        <is>
          <t>Source assignment -- not individually reviewed</t>
        </is>
      </c>
      <c r="K687" s="12" t="inlineStr"/>
      <c r="L687" s="12" t="inlineStr"/>
      <c r="M687" s="12" t="inlineStr"/>
      <c r="N687" s="17" t="inlineStr">
        <is>
          <t>10 EVIDENCE &amp; DECISIONS</t>
        </is>
      </c>
      <c r="O687" s="105" t="n">
        <v>892500</v>
      </c>
      <c r="P687" s="105" t="n">
        <v>917500</v>
      </c>
      <c r="Q687" s="105" t="inlineStr">
        <is>
          <t>CAD</t>
        </is>
      </c>
      <c r="R687" s="105" t="n"/>
      <c r="S687" s="105" t="inlineStr">
        <is>
          <t>2027-06-30</t>
        </is>
      </c>
      <c r="T687" s="105" t="inlineStr">
        <is>
          <t>C1-R0</t>
        </is>
      </c>
      <c r="U687" s="105" t="inlineStr">
        <is>
          <t>Supplied practice file monthly_cost_forecast.xlsx, row 184</t>
        </is>
      </c>
      <c r="V687" s="105" t="inlineStr">
        <is>
          <t>Whole source account, not a target allocation. Repeated target rows must not be summed. Aggregate cost / forecast remains withheld.</t>
        </is>
      </c>
    </row>
    <row r="688" ht="34" customHeight="1">
      <c r="A688" s="12" t="inlineStr">
        <is>
          <t>Cost &amp; Forecast Control Accounts</t>
        </is>
      </c>
      <c r="B688" s="12" t="inlineStr">
        <is>
          <t>CST-03-025</t>
        </is>
      </c>
      <c r="C688" s="12" t="inlineStr">
        <is>
          <t>Systems - systems integration - allowance</t>
        </is>
      </c>
      <c r="D688" s="12" t="inlineStr">
        <is>
          <t>Cost Account = CA-3025; WBS Code = 1.3.1</t>
        </is>
      </c>
      <c r="E688" s="12" t="inlineStr">
        <is>
          <t>R1267-v1</t>
        </is>
      </c>
      <c r="F688" s="12" t="inlineStr">
        <is>
          <t>1.3.1 Systems - Traction Power</t>
        </is>
      </c>
      <c r="G688" s="12" t="inlineStr">
        <is>
          <t>ONE_TO_ONE</t>
        </is>
      </c>
      <c r="H688" s="12" t="inlineStr">
        <is>
          <t>APPROVED</t>
        </is>
      </c>
      <c r="I688" s="12" t="inlineStr">
        <is>
          <t>New</t>
        </is>
      </c>
      <c r="J688" s="12" t="inlineStr">
        <is>
          <t>Source assignment -- not individually reviewed</t>
        </is>
      </c>
      <c r="K688" s="12" t="inlineStr"/>
      <c r="L688" s="12" t="inlineStr"/>
      <c r="M688" s="12" t="inlineStr"/>
      <c r="N688" s="17" t="inlineStr">
        <is>
          <t>10 EVIDENCE &amp; DECISIONS</t>
        </is>
      </c>
      <c r="O688" s="105" t="n">
        <v>927500</v>
      </c>
      <c r="P688" s="105" t="n">
        <v>927500</v>
      </c>
      <c r="Q688" s="105" t="inlineStr">
        <is>
          <t>CAD</t>
        </is>
      </c>
      <c r="R688" s="105" t="n"/>
      <c r="S688" s="105" t="inlineStr">
        <is>
          <t>2027-06-30</t>
        </is>
      </c>
      <c r="T688" s="105" t="inlineStr">
        <is>
          <t>C1-R0</t>
        </is>
      </c>
      <c r="U688" s="105" t="inlineStr">
        <is>
          <t>Supplied practice file monthly_cost_forecast.xlsx, row 186</t>
        </is>
      </c>
      <c r="V688" s="105" t="inlineStr">
        <is>
          <t>Whole source account, not a target allocation. Repeated target rows must not be summed. Aggregate cost / forecast remains withheld.</t>
        </is>
      </c>
    </row>
    <row r="689" ht="34" customHeight="1">
      <c r="A689" s="12" t="inlineStr">
        <is>
          <t>Cost &amp; Forecast Control Accounts</t>
        </is>
      </c>
      <c r="B689" s="12" t="inlineStr">
        <is>
          <t>CST-03-027</t>
        </is>
      </c>
      <c r="C689" s="12" t="inlineStr">
        <is>
          <t>Systems - train control - field package</t>
        </is>
      </c>
      <c r="D689" s="12" t="inlineStr">
        <is>
          <t>Cost Account = CA-3027; WBS Code = 1.3.1</t>
        </is>
      </c>
      <c r="E689" s="12" t="inlineStr">
        <is>
          <t>R1269-v1</t>
        </is>
      </c>
      <c r="F689" s="12" t="inlineStr">
        <is>
          <t>1.3.1 Systems - Traction Power</t>
        </is>
      </c>
      <c r="G689" s="12" t="inlineStr">
        <is>
          <t>ONE_TO_ONE</t>
        </is>
      </c>
      <c r="H689" s="12" t="inlineStr">
        <is>
          <t>APPROVED</t>
        </is>
      </c>
      <c r="I689" s="12" t="inlineStr">
        <is>
          <t>New</t>
        </is>
      </c>
      <c r="J689" s="12" t="inlineStr">
        <is>
          <t>Source assignment -- not individually reviewed</t>
        </is>
      </c>
      <c r="K689" s="12" t="inlineStr"/>
      <c r="L689" s="12" t="inlineStr"/>
      <c r="M689" s="12" t="inlineStr"/>
      <c r="N689" s="17" t="inlineStr">
        <is>
          <t>10 EVIDENCE &amp; DECISIONS</t>
        </is>
      </c>
      <c r="O689" s="105" t="n">
        <v>962500</v>
      </c>
      <c r="P689" s="105" t="n">
        <v>987500</v>
      </c>
      <c r="Q689" s="105" t="inlineStr">
        <is>
          <t>CAD</t>
        </is>
      </c>
      <c r="R689" s="105" t="n"/>
      <c r="S689" s="105" t="inlineStr">
        <is>
          <t>2027-06-30</t>
        </is>
      </c>
      <c r="T689" s="105" t="inlineStr">
        <is>
          <t>C1-R0</t>
        </is>
      </c>
      <c r="U689" s="105" t="inlineStr">
        <is>
          <t>Supplied practice file monthly_cost_forecast.xlsx, row 188</t>
        </is>
      </c>
      <c r="V689" s="105" t="inlineStr">
        <is>
          <t>Whole source account, not a target allocation. Repeated target rows must not be summed. Aggregate cost / forecast remains withheld.</t>
        </is>
      </c>
    </row>
    <row r="690" ht="34" customHeight="1">
      <c r="A690" s="12" t="inlineStr">
        <is>
          <t>Cost &amp; Forecast Control Accounts</t>
        </is>
      </c>
      <c r="B690" s="12" t="inlineStr">
        <is>
          <t>CST-03-029</t>
        </is>
      </c>
      <c r="C690" s="12" t="inlineStr">
        <is>
          <t>Systems - signalling - professional services</t>
        </is>
      </c>
      <c r="D690" s="12" t="inlineStr">
        <is>
          <t>Cost Account = CA-3029; WBS Code = 1.3.1</t>
        </is>
      </c>
      <c r="E690" s="12" t="inlineStr">
        <is>
          <t>R1271-v1</t>
        </is>
      </c>
      <c r="F690" s="12" t="inlineStr">
        <is>
          <t>1.3.1 Systems - Traction Power</t>
        </is>
      </c>
      <c r="G690" s="12" t="inlineStr">
        <is>
          <t>ONE_TO_ONE</t>
        </is>
      </c>
      <c r="H690" s="12" t="inlineStr">
        <is>
          <t>APPROVED</t>
        </is>
      </c>
      <c r="I690" s="12" t="inlineStr">
        <is>
          <t>New</t>
        </is>
      </c>
      <c r="J690" s="12" t="inlineStr">
        <is>
          <t>Source assignment -- not individually reviewed</t>
        </is>
      </c>
      <c r="K690" s="12" t="inlineStr"/>
      <c r="L690" s="12" t="inlineStr"/>
      <c r="M690" s="12" t="inlineStr"/>
      <c r="N690" s="17" t="inlineStr">
        <is>
          <t>10 EVIDENCE &amp; DECISIONS</t>
        </is>
      </c>
      <c r="O690" s="105" t="n">
        <v>997500</v>
      </c>
      <c r="P690" s="105" t="n">
        <v>997500</v>
      </c>
      <c r="Q690" s="105" t="inlineStr">
        <is>
          <t>CAD</t>
        </is>
      </c>
      <c r="R690" s="105" t="n"/>
      <c r="S690" s="105" t="inlineStr">
        <is>
          <t>2027-06-30</t>
        </is>
      </c>
      <c r="T690" s="105" t="inlineStr">
        <is>
          <t>C1-R0</t>
        </is>
      </c>
      <c r="U690" s="105" t="inlineStr">
        <is>
          <t>Supplied practice file monthly_cost_forecast.xlsx, row 190</t>
        </is>
      </c>
      <c r="V690" s="105" t="inlineStr">
        <is>
          <t>Whole source account, not a target allocation. Repeated target rows must not be summed. Aggregate cost / forecast remains withheld.</t>
        </is>
      </c>
    </row>
    <row r="691" ht="34" customHeight="1">
      <c r="A691" s="12" t="inlineStr">
        <is>
          <t>Cost &amp; Forecast Control Accounts</t>
        </is>
      </c>
      <c r="B691" s="12" t="inlineStr">
        <is>
          <t>CST-03-031</t>
        </is>
      </c>
      <c r="C691" s="12" t="inlineStr">
        <is>
          <t>Systems - systems integration - closeout</t>
        </is>
      </c>
      <c r="D691" s="12" t="inlineStr">
        <is>
          <t>Cost Account = CA-3031; WBS Code = 1.3.1</t>
        </is>
      </c>
      <c r="E691" s="12" t="inlineStr">
        <is>
          <t>R1273-v1</t>
        </is>
      </c>
      <c r="F691" s="12" t="inlineStr">
        <is>
          <t>1.3.1 Systems - Traction Power</t>
        </is>
      </c>
      <c r="G691" s="12" t="inlineStr">
        <is>
          <t>ONE_TO_ONE</t>
        </is>
      </c>
      <c r="H691" s="12" t="inlineStr">
        <is>
          <t>APPROVED</t>
        </is>
      </c>
      <c r="I691" s="12" t="inlineStr">
        <is>
          <t>New</t>
        </is>
      </c>
      <c r="J691" s="12" t="inlineStr">
        <is>
          <t>Source assignment -- not individually reviewed</t>
        </is>
      </c>
      <c r="K691" s="12" t="inlineStr"/>
      <c r="L691" s="12" t="inlineStr"/>
      <c r="M691" s="12" t="inlineStr"/>
      <c r="N691" s="17" t="inlineStr">
        <is>
          <t>10 EVIDENCE &amp; DECISIONS</t>
        </is>
      </c>
      <c r="O691" s="105" t="n">
        <v>1032500</v>
      </c>
      <c r="P691" s="105" t="n">
        <v>1057500</v>
      </c>
      <c r="Q691" s="105" t="inlineStr">
        <is>
          <t>CAD</t>
        </is>
      </c>
      <c r="R691" s="105" t="n"/>
      <c r="S691" s="105" t="inlineStr">
        <is>
          <t>2027-06-30</t>
        </is>
      </c>
      <c r="T691" s="105" t="inlineStr">
        <is>
          <t>C1-R0</t>
        </is>
      </c>
      <c r="U691" s="105" t="inlineStr">
        <is>
          <t>Supplied practice file monthly_cost_forecast.xlsx, row 192</t>
        </is>
      </c>
      <c r="V691" s="105" t="inlineStr">
        <is>
          <t>Whole source account, not a target allocation. Repeated target rows must not be summed. Aggregate cost / forecast remains withheld.</t>
        </is>
      </c>
    </row>
    <row r="692" ht="34" customHeight="1">
      <c r="A692" s="12" t="inlineStr">
        <is>
          <t>Cost &amp; Forecast Control Accounts</t>
        </is>
      </c>
      <c r="B692" s="12" t="inlineStr">
        <is>
          <t>CST-03-033</t>
        </is>
      </c>
      <c r="C692" s="12" t="inlineStr">
        <is>
          <t>Systems - train control - supply and install</t>
        </is>
      </c>
      <c r="D692" s="12" t="inlineStr">
        <is>
          <t>Cost Account = CA-3033; WBS Code = 1.3.1</t>
        </is>
      </c>
      <c r="E692" s="12" t="inlineStr">
        <is>
          <t>R1275-v1</t>
        </is>
      </c>
      <c r="F692" s="12" t="inlineStr">
        <is>
          <t>1.3.1 Systems - Traction Power</t>
        </is>
      </c>
      <c r="G692" s="12" t="inlineStr">
        <is>
          <t>ONE_TO_ONE</t>
        </is>
      </c>
      <c r="H692" s="12" t="inlineStr">
        <is>
          <t>APPROVED</t>
        </is>
      </c>
      <c r="I692" s="12" t="inlineStr">
        <is>
          <t>New</t>
        </is>
      </c>
      <c r="J692" s="12" t="inlineStr">
        <is>
          <t>Source assignment -- not individually reviewed</t>
        </is>
      </c>
      <c r="K692" s="12" t="inlineStr"/>
      <c r="L692" s="12" t="inlineStr"/>
      <c r="M692" s="12" t="inlineStr"/>
      <c r="N692" s="17" t="inlineStr">
        <is>
          <t>10 EVIDENCE &amp; DECISIONS</t>
        </is>
      </c>
      <c r="O692" s="105" t="n">
        <v>1067500</v>
      </c>
      <c r="P692" s="105" t="n">
        <v>1067500</v>
      </c>
      <c r="Q692" s="105" t="inlineStr">
        <is>
          <t>CAD</t>
        </is>
      </c>
      <c r="R692" s="105" t="n"/>
      <c r="S692" s="105" t="inlineStr">
        <is>
          <t>2027-06-30</t>
        </is>
      </c>
      <c r="T692" s="105" t="inlineStr">
        <is>
          <t>C1-R0</t>
        </is>
      </c>
      <c r="U692" s="105" t="inlineStr">
        <is>
          <t>Supplied practice file monthly_cost_forecast.xlsx, row 194</t>
        </is>
      </c>
      <c r="V692" s="105" t="inlineStr">
        <is>
          <t>Whole source account, not a target allocation. Repeated target rows must not be summed. Aggregate cost / forecast remains withheld.</t>
        </is>
      </c>
    </row>
    <row r="693" ht="34" customHeight="1">
      <c r="A693" s="12" t="inlineStr">
        <is>
          <t>Cost &amp; Forecast Control Accounts</t>
        </is>
      </c>
      <c r="B693" s="12" t="inlineStr">
        <is>
          <t>CST-03-035</t>
        </is>
      </c>
      <c r="C693" s="12" t="inlineStr">
        <is>
          <t>Systems - signalling - allowance</t>
        </is>
      </c>
      <c r="D693" s="12" t="inlineStr">
        <is>
          <t>Cost Account = CA-3035; WBS Code = 1.3.1</t>
        </is>
      </c>
      <c r="E693" s="12" t="inlineStr">
        <is>
          <t>R1277-v1</t>
        </is>
      </c>
      <c r="F693" s="12" t="inlineStr">
        <is>
          <t>1.3.1 Systems - Traction Power</t>
        </is>
      </c>
      <c r="G693" s="12" t="inlineStr">
        <is>
          <t>ONE_TO_ONE</t>
        </is>
      </c>
      <c r="H693" s="12" t="inlineStr">
        <is>
          <t>APPROVED</t>
        </is>
      </c>
      <c r="I693" s="12" t="inlineStr">
        <is>
          <t>New</t>
        </is>
      </c>
      <c r="J693" s="12" t="inlineStr">
        <is>
          <t>Source assignment -- not individually reviewed</t>
        </is>
      </c>
      <c r="K693" s="12" t="inlineStr"/>
      <c r="L693" s="12" t="inlineStr"/>
      <c r="M693" s="12" t="inlineStr"/>
      <c r="N693" s="17" t="inlineStr">
        <is>
          <t>10 EVIDENCE &amp; DECISIONS</t>
        </is>
      </c>
      <c r="O693" s="105" t="n">
        <v>1102500</v>
      </c>
      <c r="P693" s="105" t="n">
        <v>1127500</v>
      </c>
      <c r="Q693" s="105" t="inlineStr">
        <is>
          <t>CAD</t>
        </is>
      </c>
      <c r="R693" s="105" t="n"/>
      <c r="S693" s="105" t="inlineStr">
        <is>
          <t>2027-06-30</t>
        </is>
      </c>
      <c r="T693" s="105" t="inlineStr">
        <is>
          <t>C1-R0</t>
        </is>
      </c>
      <c r="U693" s="105" t="inlineStr">
        <is>
          <t>Supplied practice file monthly_cost_forecast.xlsx, row 196</t>
        </is>
      </c>
      <c r="V693" s="105" t="inlineStr">
        <is>
          <t>Whole source account, not a target allocation. Repeated target rows must not be summed. Aggregate cost / forecast remains withheld.</t>
        </is>
      </c>
    </row>
    <row r="694" ht="34" customHeight="1">
      <c r="A694" s="12" t="inlineStr">
        <is>
          <t>Cost &amp; Forecast Control Accounts</t>
        </is>
      </c>
      <c r="B694" s="12" t="inlineStr">
        <is>
          <t>CST-03-037</t>
        </is>
      </c>
      <c r="C694" s="12" t="inlineStr">
        <is>
          <t>Systems - systems integration - field package</t>
        </is>
      </c>
      <c r="D694" s="12" t="inlineStr">
        <is>
          <t>Cost Account = CA-3037; WBS Code = 1.3.1</t>
        </is>
      </c>
      <c r="E694" s="12" t="inlineStr">
        <is>
          <t>R1279-v1</t>
        </is>
      </c>
      <c r="F694" s="12" t="inlineStr">
        <is>
          <t>1.3.1 Systems - Traction Power</t>
        </is>
      </c>
      <c r="G694" s="12" t="inlineStr">
        <is>
          <t>ONE_TO_ONE</t>
        </is>
      </c>
      <c r="H694" s="12" t="inlineStr">
        <is>
          <t>APPROVED</t>
        </is>
      </c>
      <c r="I694" s="12" t="inlineStr">
        <is>
          <t>New</t>
        </is>
      </c>
      <c r="J694" s="12" t="inlineStr">
        <is>
          <t>Source assignment -- not individually reviewed</t>
        </is>
      </c>
      <c r="K694" s="12" t="inlineStr"/>
      <c r="L694" s="12" t="inlineStr"/>
      <c r="M694" s="12" t="inlineStr"/>
      <c r="N694" s="17" t="inlineStr">
        <is>
          <t>10 EVIDENCE &amp; DECISIONS</t>
        </is>
      </c>
      <c r="O694" s="105" t="n">
        <v>1137500</v>
      </c>
      <c r="P694" s="105" t="n">
        <v>1137500</v>
      </c>
      <c r="Q694" s="105" t="inlineStr">
        <is>
          <t>CAD</t>
        </is>
      </c>
      <c r="R694" s="105" t="n"/>
      <c r="S694" s="105" t="inlineStr">
        <is>
          <t>2027-06-30</t>
        </is>
      </c>
      <c r="T694" s="105" t="inlineStr">
        <is>
          <t>C1-R0</t>
        </is>
      </c>
      <c r="U694" s="105" t="inlineStr">
        <is>
          <t>Supplied practice file monthly_cost_forecast.xlsx, row 198</t>
        </is>
      </c>
      <c r="V694" s="105" t="inlineStr">
        <is>
          <t>Whole source account, not a target allocation. Repeated target rows must not be summed. Aggregate cost / forecast remains withheld.</t>
        </is>
      </c>
    </row>
    <row r="695" ht="34" customHeight="1">
      <c r="A695" s="12" t="inlineStr">
        <is>
          <t>Cost &amp; Forecast Control Accounts</t>
        </is>
      </c>
      <c r="B695" s="12" t="inlineStr">
        <is>
          <t>CST-03-039</t>
        </is>
      </c>
      <c r="C695" s="12" t="inlineStr">
        <is>
          <t>Systems - train control - professional services</t>
        </is>
      </c>
      <c r="D695" s="12" t="inlineStr">
        <is>
          <t>Cost Account = CA-3039; WBS Code = 1.3.1</t>
        </is>
      </c>
      <c r="E695" s="12" t="inlineStr">
        <is>
          <t>R1281-v1</t>
        </is>
      </c>
      <c r="F695" s="12" t="inlineStr">
        <is>
          <t>1.3.1 Systems - Traction Power</t>
        </is>
      </c>
      <c r="G695" s="12" t="inlineStr">
        <is>
          <t>ONE_TO_ONE</t>
        </is>
      </c>
      <c r="H695" s="12" t="inlineStr">
        <is>
          <t>APPROVED</t>
        </is>
      </c>
      <c r="I695" s="12" t="inlineStr">
        <is>
          <t>New</t>
        </is>
      </c>
      <c r="J695" s="12" t="inlineStr">
        <is>
          <t>Source assignment -- not individually reviewed</t>
        </is>
      </c>
      <c r="K695" s="12" t="inlineStr"/>
      <c r="L695" s="12" t="inlineStr"/>
      <c r="M695" s="12" t="inlineStr"/>
      <c r="N695" s="17" t="inlineStr">
        <is>
          <t>10 EVIDENCE &amp; DECISIONS</t>
        </is>
      </c>
      <c r="O695" s="105" t="n">
        <v>1172500</v>
      </c>
      <c r="P695" s="105" t="n">
        <v>1197500</v>
      </c>
      <c r="Q695" s="105" t="inlineStr">
        <is>
          <t>CAD</t>
        </is>
      </c>
      <c r="R695" s="105" t="n"/>
      <c r="S695" s="105" t="inlineStr">
        <is>
          <t>2027-06-30</t>
        </is>
      </c>
      <c r="T695" s="105" t="inlineStr">
        <is>
          <t>C1-R0</t>
        </is>
      </c>
      <c r="U695" s="105" t="inlineStr">
        <is>
          <t>Supplied practice file monthly_cost_forecast.xlsx, row 200</t>
        </is>
      </c>
      <c r="V695" s="105" t="inlineStr">
        <is>
          <t>Whole source account, not a target allocation. Repeated target rows must not be summed. Aggregate cost / forecast remains withheld.</t>
        </is>
      </c>
    </row>
    <row r="696" ht="34" customHeight="1">
      <c r="A696" s="12" t="inlineStr">
        <is>
          <t>Cost &amp; Forecast Control Accounts</t>
        </is>
      </c>
      <c r="B696" s="12" t="inlineStr">
        <is>
          <t>CST-03-041</t>
        </is>
      </c>
      <c r="C696" s="12" t="inlineStr">
        <is>
          <t>Systems - signalling - closeout</t>
        </is>
      </c>
      <c r="D696" s="12" t="inlineStr">
        <is>
          <t>Cost Account = CA-3041; WBS Code = 1.3.1</t>
        </is>
      </c>
      <c r="E696" s="12" t="inlineStr">
        <is>
          <t>R1283-v1</t>
        </is>
      </c>
      <c r="F696" s="12" t="inlineStr">
        <is>
          <t>1.3.1 Systems - Traction Power</t>
        </is>
      </c>
      <c r="G696" s="12" t="inlineStr">
        <is>
          <t>ONE_TO_ONE</t>
        </is>
      </c>
      <c r="H696" s="12" t="inlineStr">
        <is>
          <t>APPROVED</t>
        </is>
      </c>
      <c r="I696" s="12" t="inlineStr">
        <is>
          <t>New</t>
        </is>
      </c>
      <c r="J696" s="12" t="inlineStr">
        <is>
          <t>Source assignment -- not individually reviewed</t>
        </is>
      </c>
      <c r="K696" s="12" t="inlineStr"/>
      <c r="L696" s="12" t="inlineStr"/>
      <c r="M696" s="12" t="inlineStr"/>
      <c r="N696" s="17" t="inlineStr">
        <is>
          <t>10 EVIDENCE &amp; DECISIONS</t>
        </is>
      </c>
      <c r="O696" s="105" t="n">
        <v>1207500</v>
      </c>
      <c r="P696" s="105" t="n">
        <v>1207500</v>
      </c>
      <c r="Q696" s="105" t="inlineStr">
        <is>
          <t>CAD</t>
        </is>
      </c>
      <c r="R696" s="105" t="n"/>
      <c r="S696" s="105" t="inlineStr">
        <is>
          <t>2027-06-30</t>
        </is>
      </c>
      <c r="T696" s="105" t="inlineStr">
        <is>
          <t>C1-R0</t>
        </is>
      </c>
      <c r="U696" s="105" t="inlineStr">
        <is>
          <t>Supplied practice file monthly_cost_forecast.xlsx, row 202</t>
        </is>
      </c>
      <c r="V696" s="105" t="inlineStr">
        <is>
          <t>Whole source account, not a target allocation. Repeated target rows must not be summed. Aggregate cost / forecast remains withheld.</t>
        </is>
      </c>
    </row>
    <row r="697" ht="34" customHeight="1">
      <c r="A697" s="12" t="inlineStr">
        <is>
          <t>Cost &amp; Forecast Control Accounts</t>
        </is>
      </c>
      <c r="B697" s="12" t="inlineStr">
        <is>
          <t>CST-03-043</t>
        </is>
      </c>
      <c r="C697" s="12" t="inlineStr">
        <is>
          <t>Systems - systems integration - supply and install</t>
        </is>
      </c>
      <c r="D697" s="12" t="inlineStr">
        <is>
          <t>Cost Account = CA-3043; WBS Code = 1.3.1</t>
        </is>
      </c>
      <c r="E697" s="12" t="inlineStr">
        <is>
          <t>R1285-v1</t>
        </is>
      </c>
      <c r="F697" s="12" t="inlineStr">
        <is>
          <t>1.3.1 Systems - Traction Power</t>
        </is>
      </c>
      <c r="G697" s="12" t="inlineStr">
        <is>
          <t>ONE_TO_ONE</t>
        </is>
      </c>
      <c r="H697" s="12" t="inlineStr">
        <is>
          <t>APPROVED</t>
        </is>
      </c>
      <c r="I697" s="12" t="inlineStr">
        <is>
          <t>New</t>
        </is>
      </c>
      <c r="J697" s="12" t="inlineStr">
        <is>
          <t>Source assignment -- not individually reviewed</t>
        </is>
      </c>
      <c r="K697" s="12" t="inlineStr"/>
      <c r="L697" s="12" t="inlineStr"/>
      <c r="M697" s="12" t="inlineStr"/>
      <c r="N697" s="17" t="inlineStr">
        <is>
          <t>10 EVIDENCE &amp; DECISIONS</t>
        </is>
      </c>
      <c r="O697" s="105" t="n">
        <v>1242500</v>
      </c>
      <c r="P697" s="105" t="n">
        <v>1267500</v>
      </c>
      <c r="Q697" s="105" t="inlineStr">
        <is>
          <t>CAD</t>
        </is>
      </c>
      <c r="R697" s="105" t="n"/>
      <c r="S697" s="105" t="inlineStr">
        <is>
          <t>2027-06-30</t>
        </is>
      </c>
      <c r="T697" s="105" t="inlineStr">
        <is>
          <t>C1-R0</t>
        </is>
      </c>
      <c r="U697" s="105" t="inlineStr">
        <is>
          <t>Supplied practice file monthly_cost_forecast.xlsx, row 204</t>
        </is>
      </c>
      <c r="V697" s="105" t="inlineStr">
        <is>
          <t>Whole source account, not a target allocation. Repeated target rows must not be summed. Aggregate cost / forecast remains withheld.</t>
        </is>
      </c>
    </row>
    <row r="698" ht="34" customHeight="1">
      <c r="A698" s="12" t="inlineStr">
        <is>
          <t>Cost &amp; Forecast Control Accounts</t>
        </is>
      </c>
      <c r="B698" s="12" t="inlineStr">
        <is>
          <t>CST-03-045</t>
        </is>
      </c>
      <c r="C698" s="12" t="inlineStr">
        <is>
          <t>Systems - train control - allowance</t>
        </is>
      </c>
      <c r="D698" s="12" t="inlineStr">
        <is>
          <t>Cost Account = CA-3045; WBS Code = 1.3.1</t>
        </is>
      </c>
      <c r="E698" s="12" t="inlineStr">
        <is>
          <t>R1287-v1</t>
        </is>
      </c>
      <c r="F698" s="12" t="inlineStr">
        <is>
          <t>1.3.1 Systems - Traction Power</t>
        </is>
      </c>
      <c r="G698" s="12" t="inlineStr">
        <is>
          <t>ONE_TO_ONE</t>
        </is>
      </c>
      <c r="H698" s="12" t="inlineStr">
        <is>
          <t>APPROVED</t>
        </is>
      </c>
      <c r="I698" s="12" t="inlineStr">
        <is>
          <t>New</t>
        </is>
      </c>
      <c r="J698" s="12" t="inlineStr">
        <is>
          <t>Source assignment -- not individually reviewed</t>
        </is>
      </c>
      <c r="K698" s="12" t="inlineStr"/>
      <c r="L698" s="12" t="inlineStr"/>
      <c r="M698" s="12" t="inlineStr"/>
      <c r="N698" s="17" t="inlineStr">
        <is>
          <t>10 EVIDENCE &amp; DECISIONS</t>
        </is>
      </c>
      <c r="O698" s="105" t="n">
        <v>1277500</v>
      </c>
      <c r="P698" s="105" t="n">
        <v>1277500</v>
      </c>
      <c r="Q698" s="105" t="inlineStr">
        <is>
          <t>CAD</t>
        </is>
      </c>
      <c r="R698" s="105" t="n"/>
      <c r="S698" s="105" t="inlineStr">
        <is>
          <t>2027-06-30</t>
        </is>
      </c>
      <c r="T698" s="105" t="inlineStr">
        <is>
          <t>C1-R0</t>
        </is>
      </c>
      <c r="U698" s="105" t="inlineStr">
        <is>
          <t>Supplied practice file monthly_cost_forecast.xlsx, row 206</t>
        </is>
      </c>
      <c r="V698" s="105" t="inlineStr">
        <is>
          <t>Whole source account, not a target allocation. Repeated target rows must not be summed. Aggregate cost / forecast remains withheld.</t>
        </is>
      </c>
    </row>
    <row r="699" ht="34" customHeight="1">
      <c r="A699" s="12" t="inlineStr">
        <is>
          <t>Cost &amp; Forecast Control Accounts</t>
        </is>
      </c>
      <c r="B699" s="12" t="inlineStr">
        <is>
          <t>CST-03-047</t>
        </is>
      </c>
      <c r="C699" s="12" t="inlineStr">
        <is>
          <t>Systems - signalling - field package</t>
        </is>
      </c>
      <c r="D699" s="12" t="inlineStr">
        <is>
          <t>Cost Account = CA-3047; WBS Code = 1.3.1</t>
        </is>
      </c>
      <c r="E699" s="12" t="inlineStr">
        <is>
          <t>R1289-v1</t>
        </is>
      </c>
      <c r="F699" s="12" t="inlineStr">
        <is>
          <t>1.3.1 Systems - Traction Power</t>
        </is>
      </c>
      <c r="G699" s="12" t="inlineStr">
        <is>
          <t>ONE_TO_ONE</t>
        </is>
      </c>
      <c r="H699" s="12" t="inlineStr">
        <is>
          <t>APPROVED</t>
        </is>
      </c>
      <c r="I699" s="12" t="inlineStr">
        <is>
          <t>New</t>
        </is>
      </c>
      <c r="J699" s="12" t="inlineStr">
        <is>
          <t>Source assignment -- not individually reviewed</t>
        </is>
      </c>
      <c r="K699" s="12" t="inlineStr"/>
      <c r="L699" s="12" t="inlineStr"/>
      <c r="M699" s="12" t="inlineStr"/>
      <c r="N699" s="17" t="inlineStr">
        <is>
          <t>10 EVIDENCE &amp; DECISIONS</t>
        </is>
      </c>
      <c r="O699" s="105" t="n">
        <v>1312500</v>
      </c>
      <c r="P699" s="105" t="n">
        <v>1337500</v>
      </c>
      <c r="Q699" s="105" t="inlineStr">
        <is>
          <t>CAD</t>
        </is>
      </c>
      <c r="R699" s="105" t="n"/>
      <c r="S699" s="105" t="inlineStr">
        <is>
          <t>2027-06-30</t>
        </is>
      </c>
      <c r="T699" s="105" t="inlineStr">
        <is>
          <t>C1-R0</t>
        </is>
      </c>
      <c r="U699" s="105" t="inlineStr">
        <is>
          <t>Supplied practice file monthly_cost_forecast.xlsx, row 208</t>
        </is>
      </c>
      <c r="V699" s="105" t="inlineStr">
        <is>
          <t>Whole source account, not a target allocation. Repeated target rows must not be summed. Aggregate cost / forecast remains withheld.</t>
        </is>
      </c>
    </row>
    <row r="700" ht="34" customHeight="1">
      <c r="A700" s="12" t="inlineStr">
        <is>
          <t>Cost &amp; Forecast Control Accounts</t>
        </is>
      </c>
      <c r="B700" s="12" t="inlineStr">
        <is>
          <t>CST-03-049</t>
        </is>
      </c>
      <c r="C700" s="12" t="inlineStr">
        <is>
          <t>Systems - systems integration - professional services</t>
        </is>
      </c>
      <c r="D700" s="12" t="inlineStr">
        <is>
          <t>Cost Account = CA-3049; WBS Code = 1.3.1</t>
        </is>
      </c>
      <c r="E700" s="12" t="inlineStr">
        <is>
          <t>R1291-v1</t>
        </is>
      </c>
      <c r="F700" s="12" t="inlineStr">
        <is>
          <t>1.3.1 Systems - Traction Power</t>
        </is>
      </c>
      <c r="G700" s="12" t="inlineStr">
        <is>
          <t>ONE_TO_ONE</t>
        </is>
      </c>
      <c r="H700" s="12" t="inlineStr">
        <is>
          <t>APPROVED</t>
        </is>
      </c>
      <c r="I700" s="12" t="inlineStr">
        <is>
          <t>New</t>
        </is>
      </c>
      <c r="J700" s="12" t="inlineStr">
        <is>
          <t>Source assignment -- not individually reviewed</t>
        </is>
      </c>
      <c r="K700" s="12" t="inlineStr"/>
      <c r="L700" s="12" t="inlineStr"/>
      <c r="M700" s="12" t="inlineStr"/>
      <c r="N700" s="17" t="inlineStr">
        <is>
          <t>10 EVIDENCE &amp; DECISIONS</t>
        </is>
      </c>
      <c r="O700" s="105" t="n">
        <v>1347500</v>
      </c>
      <c r="P700" s="105" t="n">
        <v>1347500</v>
      </c>
      <c r="Q700" s="105" t="inlineStr">
        <is>
          <t>CAD</t>
        </is>
      </c>
      <c r="R700" s="105" t="n"/>
      <c r="S700" s="105" t="inlineStr">
        <is>
          <t>2027-06-30</t>
        </is>
      </c>
      <c r="T700" s="105" t="inlineStr">
        <is>
          <t>C1-R0</t>
        </is>
      </c>
      <c r="U700" s="105" t="inlineStr">
        <is>
          <t>Supplied practice file monthly_cost_forecast.xlsx, row 210</t>
        </is>
      </c>
      <c r="V700" s="105" t="inlineStr">
        <is>
          <t>Whole source account, not a target allocation. Repeated target rows must not be summed. Aggregate cost / forecast remains withheld.</t>
        </is>
      </c>
    </row>
    <row r="701" ht="34" customHeight="1">
      <c r="A701" s="12" t="inlineStr">
        <is>
          <t>Cost &amp; Forecast Control Accounts</t>
        </is>
      </c>
      <c r="B701" s="12" t="inlineStr">
        <is>
          <t>CST-03-051</t>
        </is>
      </c>
      <c r="C701" s="12" t="inlineStr">
        <is>
          <t>Systems - train control - closeout</t>
        </is>
      </c>
      <c r="D701" s="12" t="inlineStr">
        <is>
          <t>Cost Account = CA-3051; WBS Code = 1.3.1</t>
        </is>
      </c>
      <c r="E701" s="12" t="inlineStr">
        <is>
          <t>R1293-v1</t>
        </is>
      </c>
      <c r="F701" s="12" t="inlineStr">
        <is>
          <t>1.3.1 Systems - Traction Power</t>
        </is>
      </c>
      <c r="G701" s="12" t="inlineStr">
        <is>
          <t>ONE_TO_ONE</t>
        </is>
      </c>
      <c r="H701" s="12" t="inlineStr">
        <is>
          <t>APPROVED</t>
        </is>
      </c>
      <c r="I701" s="12" t="inlineStr">
        <is>
          <t>New</t>
        </is>
      </c>
      <c r="J701" s="12" t="inlineStr">
        <is>
          <t>Source assignment -- not individually reviewed</t>
        </is>
      </c>
      <c r="K701" s="12" t="inlineStr"/>
      <c r="L701" s="12" t="inlineStr"/>
      <c r="M701" s="12" t="inlineStr"/>
      <c r="N701" s="17" t="inlineStr">
        <is>
          <t>10 EVIDENCE &amp; DECISIONS</t>
        </is>
      </c>
      <c r="O701" s="105" t="n">
        <v>1382500</v>
      </c>
      <c r="P701" s="105" t="n">
        <v>1407500</v>
      </c>
      <c r="Q701" s="105" t="inlineStr">
        <is>
          <t>CAD</t>
        </is>
      </c>
      <c r="R701" s="105" t="n"/>
      <c r="S701" s="105" t="inlineStr">
        <is>
          <t>2027-06-30</t>
        </is>
      </c>
      <c r="T701" s="105" t="inlineStr">
        <is>
          <t>C1-R0</t>
        </is>
      </c>
      <c r="U701" s="105" t="inlineStr">
        <is>
          <t>Supplied practice file monthly_cost_forecast.xlsx, row 212</t>
        </is>
      </c>
      <c r="V701" s="105" t="inlineStr">
        <is>
          <t>Whole source account, not a target allocation. Repeated target rows must not be summed. Aggregate cost / forecast remains withheld.</t>
        </is>
      </c>
    </row>
    <row r="702" ht="34" customHeight="1">
      <c r="A702" s="12" t="inlineStr">
        <is>
          <t>Cost &amp; Forecast Control Accounts</t>
        </is>
      </c>
      <c r="B702" s="12" t="inlineStr">
        <is>
          <t>CST-03-053</t>
        </is>
      </c>
      <c r="C702" s="12" t="inlineStr">
        <is>
          <t>Systems - signalling - supply and install</t>
        </is>
      </c>
      <c r="D702" s="12" t="inlineStr">
        <is>
          <t>Cost Account = CA-3053; WBS Code = 1.3.1</t>
        </is>
      </c>
      <c r="E702" s="12" t="inlineStr">
        <is>
          <t>R1295-v1</t>
        </is>
      </c>
      <c r="F702" s="12" t="inlineStr">
        <is>
          <t>1.3.1 Systems - Traction Power</t>
        </is>
      </c>
      <c r="G702" s="12" t="inlineStr">
        <is>
          <t>ONE_TO_ONE</t>
        </is>
      </c>
      <c r="H702" s="12" t="inlineStr">
        <is>
          <t>APPROVED</t>
        </is>
      </c>
      <c r="I702" s="12" t="inlineStr">
        <is>
          <t>New</t>
        </is>
      </c>
      <c r="J702" s="12" t="inlineStr">
        <is>
          <t>Source assignment -- not individually reviewed</t>
        </is>
      </c>
      <c r="K702" s="12" t="inlineStr"/>
      <c r="L702" s="12" t="inlineStr"/>
      <c r="M702" s="12" t="inlineStr"/>
      <c r="N702" s="17" t="inlineStr">
        <is>
          <t>10 EVIDENCE &amp; DECISIONS</t>
        </is>
      </c>
      <c r="O702" s="105" t="n">
        <v>1417500</v>
      </c>
      <c r="P702" s="105" t="n">
        <v>1417500</v>
      </c>
      <c r="Q702" s="105" t="inlineStr">
        <is>
          <t>CAD</t>
        </is>
      </c>
      <c r="R702" s="105" t="n"/>
      <c r="S702" s="105" t="inlineStr">
        <is>
          <t>2027-06-30</t>
        </is>
      </c>
      <c r="T702" s="105" t="inlineStr">
        <is>
          <t>C1-R0</t>
        </is>
      </c>
      <c r="U702" s="105" t="inlineStr">
        <is>
          <t>Supplied practice file monthly_cost_forecast.xlsx, row 214</t>
        </is>
      </c>
      <c r="V702" s="105" t="inlineStr">
        <is>
          <t>Whole source account, not a target allocation. Repeated target rows must not be summed. Aggregate cost / forecast remains withheld.</t>
        </is>
      </c>
    </row>
    <row r="703" ht="34" customHeight="1">
      <c r="A703" s="12" t="inlineStr">
        <is>
          <t>Cost &amp; Forecast Control Accounts</t>
        </is>
      </c>
      <c r="B703" s="12" t="inlineStr">
        <is>
          <t>CST-03-055</t>
        </is>
      </c>
      <c r="C703" s="12" t="inlineStr">
        <is>
          <t>Systems - systems integration - allowance</t>
        </is>
      </c>
      <c r="D703" s="12" t="inlineStr">
        <is>
          <t>Cost Account = CA-3055; WBS Code = 1.3.1</t>
        </is>
      </c>
      <c r="E703" s="12" t="inlineStr">
        <is>
          <t>R1297-v1</t>
        </is>
      </c>
      <c r="F703" s="12" t="inlineStr">
        <is>
          <t>1.3.1 Systems - Traction Power</t>
        </is>
      </c>
      <c r="G703" s="12" t="inlineStr">
        <is>
          <t>ONE_TO_ONE</t>
        </is>
      </c>
      <c r="H703" s="12" t="inlineStr">
        <is>
          <t>APPROVED</t>
        </is>
      </c>
      <c r="I703" s="12" t="inlineStr">
        <is>
          <t>New</t>
        </is>
      </c>
      <c r="J703" s="12" t="inlineStr">
        <is>
          <t>Source assignment -- not individually reviewed</t>
        </is>
      </c>
      <c r="K703" s="12" t="inlineStr"/>
      <c r="L703" s="12" t="inlineStr"/>
      <c r="M703" s="12" t="inlineStr"/>
      <c r="N703" s="17" t="inlineStr">
        <is>
          <t>10 EVIDENCE &amp; DECISIONS</t>
        </is>
      </c>
      <c r="O703" s="105" t="n">
        <v>1452500</v>
      </c>
      <c r="P703" s="105" t="n">
        <v>1477500</v>
      </c>
      <c r="Q703" s="105" t="inlineStr">
        <is>
          <t>CAD</t>
        </is>
      </c>
      <c r="R703" s="105" t="n"/>
      <c r="S703" s="105" t="inlineStr">
        <is>
          <t>2027-06-30</t>
        </is>
      </c>
      <c r="T703" s="105" t="inlineStr">
        <is>
          <t>C1-R0</t>
        </is>
      </c>
      <c r="U703" s="105" t="inlineStr">
        <is>
          <t>Supplied practice file monthly_cost_forecast.xlsx, row 216</t>
        </is>
      </c>
      <c r="V703" s="105" t="inlineStr">
        <is>
          <t>Whole source account, not a target allocation. Repeated target rows must not be summed. Aggregate cost / forecast remains withheld.</t>
        </is>
      </c>
    </row>
    <row r="704" ht="34" customHeight="1">
      <c r="A704" s="12" t="inlineStr">
        <is>
          <t>Cost &amp; Forecast Control Accounts</t>
        </is>
      </c>
      <c r="B704" s="12" t="inlineStr">
        <is>
          <t>CST-03-057</t>
        </is>
      </c>
      <c r="C704" s="12" t="inlineStr">
        <is>
          <t>Systems - train control - field package</t>
        </is>
      </c>
      <c r="D704" s="12" t="inlineStr">
        <is>
          <t>Cost Account = CA-3057; WBS Code = 1.3.1</t>
        </is>
      </c>
      <c r="E704" s="12" t="inlineStr">
        <is>
          <t>R1299-v1</t>
        </is>
      </c>
      <c r="F704" s="12" t="inlineStr">
        <is>
          <t>1.3.1 Systems - Traction Power</t>
        </is>
      </c>
      <c r="G704" s="12" t="inlineStr">
        <is>
          <t>ONE_TO_ONE</t>
        </is>
      </c>
      <c r="H704" s="12" t="inlineStr">
        <is>
          <t>APPROVED</t>
        </is>
      </c>
      <c r="I704" s="12" t="inlineStr">
        <is>
          <t>New</t>
        </is>
      </c>
      <c r="J704" s="12" t="inlineStr">
        <is>
          <t>Source assignment -- not individually reviewed</t>
        </is>
      </c>
      <c r="K704" s="12" t="inlineStr"/>
      <c r="L704" s="12" t="inlineStr"/>
      <c r="M704" s="12" t="inlineStr"/>
      <c r="N704" s="17" t="inlineStr">
        <is>
          <t>10 EVIDENCE &amp; DECISIONS</t>
        </is>
      </c>
      <c r="O704" s="105" t="n">
        <v>1487500</v>
      </c>
      <c r="P704" s="105" t="n">
        <v>1487500</v>
      </c>
      <c r="Q704" s="105" t="inlineStr">
        <is>
          <t>CAD</t>
        </is>
      </c>
      <c r="R704" s="105" t="n"/>
      <c r="S704" s="105" t="inlineStr">
        <is>
          <t>2027-06-30</t>
        </is>
      </c>
      <c r="T704" s="105" t="inlineStr">
        <is>
          <t>C1-R0</t>
        </is>
      </c>
      <c r="U704" s="105" t="inlineStr">
        <is>
          <t>Supplied practice file monthly_cost_forecast.xlsx, row 218</t>
        </is>
      </c>
      <c r="V704" s="105" t="inlineStr">
        <is>
          <t>Whole source account, not a target allocation. Repeated target rows must not be summed. Aggregate cost / forecast remains withheld.</t>
        </is>
      </c>
    </row>
    <row r="705" ht="34" customHeight="1">
      <c r="A705" s="12" t="inlineStr">
        <is>
          <t>Cost &amp; Forecast Control Accounts</t>
        </is>
      </c>
      <c r="B705" s="12" t="inlineStr">
        <is>
          <t>CST-03-059</t>
        </is>
      </c>
      <c r="C705" s="12" t="inlineStr">
        <is>
          <t>Systems - signalling - professional services</t>
        </is>
      </c>
      <c r="D705" s="12" t="inlineStr">
        <is>
          <t>Cost Account = CA-3059; WBS Code = 1.3.1</t>
        </is>
      </c>
      <c r="E705" s="12" t="inlineStr">
        <is>
          <t>R1301-v1</t>
        </is>
      </c>
      <c r="F705" s="12" t="inlineStr">
        <is>
          <t>1.3.1 Systems - Traction Power</t>
        </is>
      </c>
      <c r="G705" s="12" t="inlineStr">
        <is>
          <t>ONE_TO_ONE</t>
        </is>
      </c>
      <c r="H705" s="12" t="inlineStr">
        <is>
          <t>APPROVED</t>
        </is>
      </c>
      <c r="I705" s="12" t="inlineStr">
        <is>
          <t>New</t>
        </is>
      </c>
      <c r="J705" s="12" t="inlineStr">
        <is>
          <t>Source assignment -- not individually reviewed</t>
        </is>
      </c>
      <c r="K705" s="12" t="inlineStr"/>
      <c r="L705" s="12" t="inlineStr"/>
      <c r="M705" s="12" t="inlineStr"/>
      <c r="N705" s="17" t="inlineStr">
        <is>
          <t>10 EVIDENCE &amp; DECISIONS</t>
        </is>
      </c>
      <c r="O705" s="105" t="n">
        <v>1522500</v>
      </c>
      <c r="P705" s="105" t="n">
        <v>1547500</v>
      </c>
      <c r="Q705" s="105" t="inlineStr">
        <is>
          <t>CAD</t>
        </is>
      </c>
      <c r="R705" s="105" t="n"/>
      <c r="S705" s="105" t="inlineStr">
        <is>
          <t>2027-06-30</t>
        </is>
      </c>
      <c r="T705" s="105" t="inlineStr">
        <is>
          <t>C1-R0</t>
        </is>
      </c>
      <c r="U705" s="105" t="inlineStr">
        <is>
          <t>Supplied practice file monthly_cost_forecast.xlsx, row 220</t>
        </is>
      </c>
      <c r="V705" s="105" t="inlineStr">
        <is>
          <t>Whole source account, not a target allocation. Repeated target rows must not be summed. Aggregate cost / forecast remains withheld.</t>
        </is>
      </c>
    </row>
    <row r="706" ht="34" customHeight="1">
      <c r="A706" s="12" t="inlineStr">
        <is>
          <t>Cost &amp; Forecast Control Accounts</t>
        </is>
      </c>
      <c r="B706" s="12" t="inlineStr">
        <is>
          <t>CST-03-061</t>
        </is>
      </c>
      <c r="C706" s="12" t="inlineStr">
        <is>
          <t>Systems - systems integration - closeout</t>
        </is>
      </c>
      <c r="D706" s="12" t="inlineStr">
        <is>
          <t>Cost Account = CA-3061; WBS Code = 1.3.1</t>
        </is>
      </c>
      <c r="E706" s="12" t="inlineStr">
        <is>
          <t>R1303-v1</t>
        </is>
      </c>
      <c r="F706" s="12" t="inlineStr">
        <is>
          <t>1.3.1 Systems - Traction Power</t>
        </is>
      </c>
      <c r="G706" s="12" t="inlineStr">
        <is>
          <t>ONE_TO_ONE</t>
        </is>
      </c>
      <c r="H706" s="12" t="inlineStr">
        <is>
          <t>APPROVED</t>
        </is>
      </c>
      <c r="I706" s="12" t="inlineStr">
        <is>
          <t>New</t>
        </is>
      </c>
      <c r="J706" s="12" t="inlineStr">
        <is>
          <t>Source assignment -- not individually reviewed</t>
        </is>
      </c>
      <c r="K706" s="12" t="inlineStr"/>
      <c r="L706" s="12" t="inlineStr"/>
      <c r="M706" s="12" t="inlineStr"/>
      <c r="N706" s="17" t="inlineStr">
        <is>
          <t>10 EVIDENCE &amp; DECISIONS</t>
        </is>
      </c>
      <c r="O706" s="105" t="n">
        <v>1557500</v>
      </c>
      <c r="P706" s="105" t="n">
        <v>1557500</v>
      </c>
      <c r="Q706" s="105" t="inlineStr">
        <is>
          <t>CAD</t>
        </is>
      </c>
      <c r="R706" s="105" t="n"/>
      <c r="S706" s="105" t="inlineStr">
        <is>
          <t>2027-06-30</t>
        </is>
      </c>
      <c r="T706" s="105" t="inlineStr">
        <is>
          <t>C1-R0</t>
        </is>
      </c>
      <c r="U706" s="105" t="inlineStr">
        <is>
          <t>Supplied practice file monthly_cost_forecast.xlsx, row 222</t>
        </is>
      </c>
      <c r="V706" s="105" t="inlineStr">
        <is>
          <t>Whole source account, not a target allocation. Repeated target rows must not be summed. Aggregate cost / forecast remains withheld.</t>
        </is>
      </c>
    </row>
    <row r="707" ht="34" customHeight="1">
      <c r="A707" s="12" t="inlineStr">
        <is>
          <t>Cost &amp; Forecast Control Accounts</t>
        </is>
      </c>
      <c r="B707" s="12" t="inlineStr">
        <is>
          <t>CST-03-063</t>
        </is>
      </c>
      <c r="C707" s="12" t="inlineStr">
        <is>
          <t>Systems - train control - supply and install</t>
        </is>
      </c>
      <c r="D707" s="12" t="inlineStr">
        <is>
          <t>Cost Account = CA-3063; WBS Code = 1.3.1</t>
        </is>
      </c>
      <c r="E707" s="12" t="inlineStr">
        <is>
          <t>R1305-v1</t>
        </is>
      </c>
      <c r="F707" s="12" t="inlineStr">
        <is>
          <t>1.3.1 Systems - Traction Power</t>
        </is>
      </c>
      <c r="G707" s="12" t="inlineStr">
        <is>
          <t>ONE_TO_ONE</t>
        </is>
      </c>
      <c r="H707" s="12" t="inlineStr">
        <is>
          <t>APPROVED</t>
        </is>
      </c>
      <c r="I707" s="12" t="inlineStr">
        <is>
          <t>New</t>
        </is>
      </c>
      <c r="J707" s="12" t="inlineStr">
        <is>
          <t>Source assignment -- not individually reviewed</t>
        </is>
      </c>
      <c r="K707" s="12" t="inlineStr"/>
      <c r="L707" s="12" t="inlineStr"/>
      <c r="M707" s="12" t="inlineStr"/>
      <c r="N707" s="17" t="inlineStr">
        <is>
          <t>10 EVIDENCE &amp; DECISIONS</t>
        </is>
      </c>
      <c r="O707" s="105" t="n">
        <v>1592500</v>
      </c>
      <c r="P707" s="105" t="n">
        <v>1617500</v>
      </c>
      <c r="Q707" s="105" t="inlineStr">
        <is>
          <t>CAD</t>
        </is>
      </c>
      <c r="R707" s="105" t="n"/>
      <c r="S707" s="105" t="inlineStr">
        <is>
          <t>2027-06-30</t>
        </is>
      </c>
      <c r="T707" s="105" t="inlineStr">
        <is>
          <t>C1-R0</t>
        </is>
      </c>
      <c r="U707" s="105" t="inlineStr">
        <is>
          <t>Supplied practice file monthly_cost_forecast.xlsx, row 224</t>
        </is>
      </c>
      <c r="V707" s="105" t="inlineStr">
        <is>
          <t>Whole source account, not a target allocation. Repeated target rows must not be summed. Aggregate cost / forecast remains withheld.</t>
        </is>
      </c>
    </row>
    <row r="708" ht="34" customHeight="1">
      <c r="A708" s="12" t="inlineStr">
        <is>
          <t>Cost &amp; Forecast Control Accounts</t>
        </is>
      </c>
      <c r="B708" s="12" t="inlineStr">
        <is>
          <t>CST-03-065</t>
        </is>
      </c>
      <c r="C708" s="12" t="inlineStr">
        <is>
          <t>Systems - signalling - allowance</t>
        </is>
      </c>
      <c r="D708" s="12" t="inlineStr">
        <is>
          <t>Cost Account = CA-3065; WBS Code = 1.3.1</t>
        </is>
      </c>
      <c r="E708" s="12" t="inlineStr">
        <is>
          <t>R1307-v1</t>
        </is>
      </c>
      <c r="F708" s="12" t="inlineStr">
        <is>
          <t>1.3.1 Systems - Traction Power</t>
        </is>
      </c>
      <c r="G708" s="12" t="inlineStr">
        <is>
          <t>ONE_TO_ONE</t>
        </is>
      </c>
      <c r="H708" s="12" t="inlineStr">
        <is>
          <t>APPROVED</t>
        </is>
      </c>
      <c r="I708" s="12" t="inlineStr">
        <is>
          <t>New</t>
        </is>
      </c>
      <c r="J708" s="12" t="inlineStr">
        <is>
          <t>Source assignment -- not individually reviewed</t>
        </is>
      </c>
      <c r="K708" s="12" t="inlineStr"/>
      <c r="L708" s="12" t="inlineStr"/>
      <c r="M708" s="12" t="inlineStr"/>
      <c r="N708" s="17" t="inlineStr">
        <is>
          <t>10 EVIDENCE &amp; DECISIONS</t>
        </is>
      </c>
      <c r="O708" s="105" t="n">
        <v>1627500</v>
      </c>
      <c r="P708" s="105" t="n">
        <v>1627500</v>
      </c>
      <c r="Q708" s="105" t="inlineStr">
        <is>
          <t>CAD</t>
        </is>
      </c>
      <c r="R708" s="105" t="n"/>
      <c r="S708" s="105" t="inlineStr">
        <is>
          <t>2027-06-30</t>
        </is>
      </c>
      <c r="T708" s="105" t="inlineStr">
        <is>
          <t>C1-R0</t>
        </is>
      </c>
      <c r="U708" s="105" t="inlineStr">
        <is>
          <t>Supplied practice file monthly_cost_forecast.xlsx, row 226</t>
        </is>
      </c>
      <c r="V708" s="105" t="inlineStr">
        <is>
          <t>Whole source account, not a target allocation. Repeated target rows must not be summed. Aggregate cost / forecast remains withheld.</t>
        </is>
      </c>
    </row>
    <row r="709" ht="34" customHeight="1">
      <c r="A709" s="12" t="inlineStr">
        <is>
          <t>Cost &amp; Forecast Control Accounts</t>
        </is>
      </c>
      <c r="B709" s="12" t="inlineStr">
        <is>
          <t>CST-03-067</t>
        </is>
      </c>
      <c r="C709" s="12" t="inlineStr">
        <is>
          <t>Systems - systems integration - field package</t>
        </is>
      </c>
      <c r="D709" s="12" t="inlineStr">
        <is>
          <t>Cost Account = CA-3067; WBS Code = 1.3.1</t>
        </is>
      </c>
      <c r="E709" s="12" t="inlineStr">
        <is>
          <t>R1309-v1</t>
        </is>
      </c>
      <c r="F709" s="12" t="inlineStr">
        <is>
          <t>1.3.1 Systems - Traction Power</t>
        </is>
      </c>
      <c r="G709" s="12" t="inlineStr">
        <is>
          <t>ONE_TO_ONE</t>
        </is>
      </c>
      <c r="H709" s="12" t="inlineStr">
        <is>
          <t>APPROVED</t>
        </is>
      </c>
      <c r="I709" s="12" t="inlineStr">
        <is>
          <t>New</t>
        </is>
      </c>
      <c r="J709" s="12" t="inlineStr">
        <is>
          <t>Source assignment -- not individually reviewed</t>
        </is>
      </c>
      <c r="K709" s="12" t="inlineStr"/>
      <c r="L709" s="12" t="inlineStr"/>
      <c r="M709" s="12" t="inlineStr"/>
      <c r="N709" s="17" t="inlineStr">
        <is>
          <t>10 EVIDENCE &amp; DECISIONS</t>
        </is>
      </c>
      <c r="O709" s="105" t="n">
        <v>1662500</v>
      </c>
      <c r="P709" s="105" t="n">
        <v>1687500</v>
      </c>
      <c r="Q709" s="105" t="inlineStr">
        <is>
          <t>CAD</t>
        </is>
      </c>
      <c r="R709" s="105" t="n"/>
      <c r="S709" s="105" t="inlineStr">
        <is>
          <t>2027-06-30</t>
        </is>
      </c>
      <c r="T709" s="105" t="inlineStr">
        <is>
          <t>C1-R0</t>
        </is>
      </c>
      <c r="U709" s="105" t="inlineStr">
        <is>
          <t>Supplied practice file monthly_cost_forecast.xlsx, row 228</t>
        </is>
      </c>
      <c r="V709" s="105" t="inlineStr">
        <is>
          <t>Whole source account, not a target allocation. Repeated target rows must not be summed. Aggregate cost / forecast remains withheld.</t>
        </is>
      </c>
    </row>
    <row r="710" ht="34" customHeight="1">
      <c r="A710" s="12" t="inlineStr">
        <is>
          <t>Cost &amp; Forecast Control Accounts</t>
        </is>
      </c>
      <c r="B710" s="12" t="inlineStr">
        <is>
          <t>CST-03-069</t>
        </is>
      </c>
      <c r="C710" s="12" t="inlineStr">
        <is>
          <t>Systems - train control - professional services</t>
        </is>
      </c>
      <c r="D710" s="12" t="inlineStr">
        <is>
          <t>Cost Account = CA-3069; WBS Code = 1.3.1</t>
        </is>
      </c>
      <c r="E710" s="12" t="inlineStr">
        <is>
          <t>R1311-v1</t>
        </is>
      </c>
      <c r="F710" s="12" t="inlineStr">
        <is>
          <t>1.3.1 Systems - Traction Power</t>
        </is>
      </c>
      <c r="G710" s="12" t="inlineStr">
        <is>
          <t>ONE_TO_ONE</t>
        </is>
      </c>
      <c r="H710" s="12" t="inlineStr">
        <is>
          <t>APPROVED</t>
        </is>
      </c>
      <c r="I710" s="12" t="inlineStr">
        <is>
          <t>New</t>
        </is>
      </c>
      <c r="J710" s="12" t="inlineStr">
        <is>
          <t>Source assignment -- not individually reviewed</t>
        </is>
      </c>
      <c r="K710" s="12" t="inlineStr"/>
      <c r="L710" s="12" t="inlineStr"/>
      <c r="M710" s="12" t="inlineStr"/>
      <c r="N710" s="17" t="inlineStr">
        <is>
          <t>10 EVIDENCE &amp; DECISIONS</t>
        </is>
      </c>
      <c r="O710" s="105" t="n">
        <v>1697500</v>
      </c>
      <c r="P710" s="105" t="n">
        <v>1697500</v>
      </c>
      <c r="Q710" s="105" t="inlineStr">
        <is>
          <t>CAD</t>
        </is>
      </c>
      <c r="R710" s="105" t="n"/>
      <c r="S710" s="105" t="inlineStr">
        <is>
          <t>2027-06-30</t>
        </is>
      </c>
      <c r="T710" s="105" t="inlineStr">
        <is>
          <t>C1-R0</t>
        </is>
      </c>
      <c r="U710" s="105" t="inlineStr">
        <is>
          <t>Supplied practice file monthly_cost_forecast.xlsx, row 230</t>
        </is>
      </c>
      <c r="V710" s="105" t="inlineStr">
        <is>
          <t>Whole source account, not a target allocation. Repeated target rows must not be summed. Aggregate cost / forecast remains withheld.</t>
        </is>
      </c>
    </row>
    <row r="711" ht="34" customHeight="1">
      <c r="A711" s="12" t="inlineStr">
        <is>
          <t>Cost &amp; Forecast Control Accounts</t>
        </is>
      </c>
      <c r="B711" s="12" t="inlineStr">
        <is>
          <t>CST-03-071</t>
        </is>
      </c>
      <c r="C711" s="12" t="inlineStr">
        <is>
          <t>Systems - signalling - closeout</t>
        </is>
      </c>
      <c r="D711" s="12" t="inlineStr">
        <is>
          <t>Cost Account = CA-3071; WBS Code = 1.3.1</t>
        </is>
      </c>
      <c r="E711" s="12" t="inlineStr">
        <is>
          <t>R1313-v1</t>
        </is>
      </c>
      <c r="F711" s="12" t="inlineStr">
        <is>
          <t>1.3.1 Systems - Traction Power</t>
        </is>
      </c>
      <c r="G711" s="12" t="inlineStr">
        <is>
          <t>ONE_TO_ONE</t>
        </is>
      </c>
      <c r="H711" s="12" t="inlineStr">
        <is>
          <t>APPROVED</t>
        </is>
      </c>
      <c r="I711" s="12" t="inlineStr">
        <is>
          <t>New</t>
        </is>
      </c>
      <c r="J711" s="12" t="inlineStr">
        <is>
          <t>Source assignment -- not individually reviewed</t>
        </is>
      </c>
      <c r="K711" s="12" t="inlineStr"/>
      <c r="L711" s="12" t="inlineStr"/>
      <c r="M711" s="12" t="inlineStr"/>
      <c r="N711" s="17" t="inlineStr">
        <is>
          <t>10 EVIDENCE &amp; DECISIONS</t>
        </is>
      </c>
      <c r="O711" s="105" t="n">
        <v>1732500</v>
      </c>
      <c r="P711" s="105" t="n">
        <v>1757500</v>
      </c>
      <c r="Q711" s="105" t="inlineStr">
        <is>
          <t>CAD</t>
        </is>
      </c>
      <c r="R711" s="105" t="n"/>
      <c r="S711" s="105" t="inlineStr">
        <is>
          <t>2027-06-30</t>
        </is>
      </c>
      <c r="T711" s="105" t="inlineStr">
        <is>
          <t>C1-R0</t>
        </is>
      </c>
      <c r="U711" s="105" t="inlineStr">
        <is>
          <t>Supplied practice file monthly_cost_forecast.xlsx, row 232</t>
        </is>
      </c>
      <c r="V711" s="105" t="inlineStr">
        <is>
          <t>Whole source account, not a target allocation. Repeated target rows must not be summed. Aggregate cost / forecast remains withheld.</t>
        </is>
      </c>
    </row>
    <row r="712" ht="34" customHeight="1">
      <c r="A712" s="12" t="inlineStr">
        <is>
          <t>Cost &amp; Forecast Control Accounts</t>
        </is>
      </c>
      <c r="B712" s="12" t="inlineStr">
        <is>
          <t>CST-03-073</t>
        </is>
      </c>
      <c r="C712" s="12" t="inlineStr">
        <is>
          <t>Systems - systems integration - supply and install</t>
        </is>
      </c>
      <c r="D712" s="12" t="inlineStr">
        <is>
          <t>Cost Account = CA-3073; WBS Code = 1.3.1</t>
        </is>
      </c>
      <c r="E712" s="12" t="inlineStr">
        <is>
          <t>R1315-v1</t>
        </is>
      </c>
      <c r="F712" s="12" t="inlineStr">
        <is>
          <t>1.3.1 Systems - Traction Power</t>
        </is>
      </c>
      <c r="G712" s="12" t="inlineStr">
        <is>
          <t>ONE_TO_ONE</t>
        </is>
      </c>
      <c r="H712" s="12" t="inlineStr">
        <is>
          <t>APPROVED</t>
        </is>
      </c>
      <c r="I712" s="12" t="inlineStr">
        <is>
          <t>New</t>
        </is>
      </c>
      <c r="J712" s="12" t="inlineStr">
        <is>
          <t>Source assignment -- not individually reviewed</t>
        </is>
      </c>
      <c r="K712" s="12" t="inlineStr"/>
      <c r="L712" s="12" t="inlineStr"/>
      <c r="M712" s="12" t="inlineStr"/>
      <c r="N712" s="17" t="inlineStr">
        <is>
          <t>10 EVIDENCE &amp; DECISIONS</t>
        </is>
      </c>
      <c r="O712" s="105" t="n">
        <v>1767500</v>
      </c>
      <c r="P712" s="105" t="n">
        <v>1767500</v>
      </c>
      <c r="Q712" s="105" t="inlineStr">
        <is>
          <t>CAD</t>
        </is>
      </c>
      <c r="R712" s="105" t="n"/>
      <c r="S712" s="105" t="inlineStr">
        <is>
          <t>2027-06-30</t>
        </is>
      </c>
      <c r="T712" s="105" t="inlineStr">
        <is>
          <t>C1-R0</t>
        </is>
      </c>
      <c r="U712" s="105" t="inlineStr">
        <is>
          <t>Supplied practice file monthly_cost_forecast.xlsx, row 234</t>
        </is>
      </c>
      <c r="V712" s="105" t="inlineStr">
        <is>
          <t>Whole source account, not a target allocation. Repeated target rows must not be summed. Aggregate cost / forecast remains withheld.</t>
        </is>
      </c>
    </row>
    <row r="713" ht="34" customHeight="1">
      <c r="A713" s="12" t="inlineStr">
        <is>
          <t>Cost &amp; Forecast Control Accounts</t>
        </is>
      </c>
      <c r="B713" s="12" t="inlineStr">
        <is>
          <t>CST-03-075</t>
        </is>
      </c>
      <c r="C713" s="12" t="inlineStr">
        <is>
          <t>Systems - train control - allowance</t>
        </is>
      </c>
      <c r="D713" s="12" t="inlineStr">
        <is>
          <t>Cost Account = CA-3075; WBS Code = 1.3.1</t>
        </is>
      </c>
      <c r="E713" s="12" t="inlineStr">
        <is>
          <t>R1317-v1</t>
        </is>
      </c>
      <c r="F713" s="12" t="inlineStr">
        <is>
          <t>1.3.1 Systems - Traction Power</t>
        </is>
      </c>
      <c r="G713" s="12" t="inlineStr">
        <is>
          <t>ONE_TO_ONE</t>
        </is>
      </c>
      <c r="H713" s="12" t="inlineStr">
        <is>
          <t>APPROVED</t>
        </is>
      </c>
      <c r="I713" s="12" t="inlineStr">
        <is>
          <t>New</t>
        </is>
      </c>
      <c r="J713" s="12" t="inlineStr">
        <is>
          <t>Source assignment -- not individually reviewed</t>
        </is>
      </c>
      <c r="K713" s="12" t="inlineStr"/>
      <c r="L713" s="12" t="inlineStr"/>
      <c r="M713" s="12" t="inlineStr"/>
      <c r="N713" s="17" t="inlineStr">
        <is>
          <t>10 EVIDENCE &amp; DECISIONS</t>
        </is>
      </c>
      <c r="O713" s="105" t="n">
        <v>1802500</v>
      </c>
      <c r="P713" s="105" t="n">
        <v>1827500</v>
      </c>
      <c r="Q713" s="105" t="inlineStr">
        <is>
          <t>CAD</t>
        </is>
      </c>
      <c r="R713" s="105" t="n"/>
      <c r="S713" s="105" t="inlineStr">
        <is>
          <t>2027-06-30</t>
        </is>
      </c>
      <c r="T713" s="105" t="inlineStr">
        <is>
          <t>C1-R0</t>
        </is>
      </c>
      <c r="U713" s="105" t="inlineStr">
        <is>
          <t>Supplied practice file monthly_cost_forecast.xlsx, row 236</t>
        </is>
      </c>
      <c r="V713" s="105" t="inlineStr">
        <is>
          <t>Whole source account, not a target allocation. Repeated target rows must not be summed. Aggregate cost / forecast remains withheld.</t>
        </is>
      </c>
    </row>
    <row r="714" ht="34" customHeight="1">
      <c r="A714" s="12" t="inlineStr">
        <is>
          <t>Cost &amp; Forecast Control Accounts</t>
        </is>
      </c>
      <c r="B714" s="12" t="inlineStr">
        <is>
          <t>CST-03-077</t>
        </is>
      </c>
      <c r="C714" s="12" t="inlineStr">
        <is>
          <t>Systems - signalling - field package</t>
        </is>
      </c>
      <c r="D714" s="12" t="inlineStr">
        <is>
          <t>Cost Account = CA-3077; WBS Code = 1.3.1</t>
        </is>
      </c>
      <c r="E714" s="12" t="inlineStr">
        <is>
          <t>R1319-v1</t>
        </is>
      </c>
      <c r="F714" s="12" t="inlineStr">
        <is>
          <t>1.3.1 Systems - Traction Power</t>
        </is>
      </c>
      <c r="G714" s="12" t="inlineStr">
        <is>
          <t>ONE_TO_ONE</t>
        </is>
      </c>
      <c r="H714" s="12" t="inlineStr">
        <is>
          <t>APPROVED</t>
        </is>
      </c>
      <c r="I714" s="12" t="inlineStr">
        <is>
          <t>New</t>
        </is>
      </c>
      <c r="J714" s="12" t="inlineStr">
        <is>
          <t>Source assignment -- not individually reviewed</t>
        </is>
      </c>
      <c r="K714" s="12" t="inlineStr"/>
      <c r="L714" s="12" t="inlineStr"/>
      <c r="M714" s="12" t="inlineStr"/>
      <c r="N714" s="17" t="inlineStr">
        <is>
          <t>10 EVIDENCE &amp; DECISIONS</t>
        </is>
      </c>
      <c r="O714" s="105" t="n">
        <v>1837500</v>
      </c>
      <c r="P714" s="105" t="n">
        <v>1837500</v>
      </c>
      <c r="Q714" s="105" t="inlineStr">
        <is>
          <t>CAD</t>
        </is>
      </c>
      <c r="R714" s="105" t="n"/>
      <c r="S714" s="105" t="inlineStr">
        <is>
          <t>2027-06-30</t>
        </is>
      </c>
      <c r="T714" s="105" t="inlineStr">
        <is>
          <t>C1-R0</t>
        </is>
      </c>
      <c r="U714" s="105" t="inlineStr">
        <is>
          <t>Supplied practice file monthly_cost_forecast.xlsx, row 238</t>
        </is>
      </c>
      <c r="V714" s="105" t="inlineStr">
        <is>
          <t>Whole source account, not a target allocation. Repeated target rows must not be summed. Aggregate cost / forecast remains withheld.</t>
        </is>
      </c>
    </row>
    <row r="715" ht="34" customHeight="1">
      <c r="A715" s="12" t="inlineStr">
        <is>
          <t>Cost &amp; Forecast Control Accounts</t>
        </is>
      </c>
      <c r="B715" s="12" t="inlineStr">
        <is>
          <t>CST-03-079</t>
        </is>
      </c>
      <c r="C715" s="12" t="inlineStr">
        <is>
          <t>Systems - systems integration - professional services</t>
        </is>
      </c>
      <c r="D715" s="12" t="inlineStr">
        <is>
          <t>Cost Account = CA-3079; WBS Code = 1.3.1</t>
        </is>
      </c>
      <c r="E715" s="12" t="inlineStr">
        <is>
          <t>R1321-v1</t>
        </is>
      </c>
      <c r="F715" s="12" t="inlineStr">
        <is>
          <t>1.3.1 Systems - Traction Power</t>
        </is>
      </c>
      <c r="G715" s="12" t="inlineStr">
        <is>
          <t>ONE_TO_ONE</t>
        </is>
      </c>
      <c r="H715" s="12" t="inlineStr">
        <is>
          <t>APPROVED</t>
        </is>
      </c>
      <c r="I715" s="12" t="inlineStr">
        <is>
          <t>New</t>
        </is>
      </c>
      <c r="J715" s="12" t="inlineStr">
        <is>
          <t>Source assignment -- not individually reviewed</t>
        </is>
      </c>
      <c r="K715" s="12" t="inlineStr"/>
      <c r="L715" s="12" t="inlineStr"/>
      <c r="M715" s="12" t="inlineStr"/>
      <c r="N715" s="17" t="inlineStr">
        <is>
          <t>10 EVIDENCE &amp; DECISIONS</t>
        </is>
      </c>
      <c r="O715" s="105" t="n">
        <v>1872500</v>
      </c>
      <c r="P715" s="105" t="n">
        <v>1897500</v>
      </c>
      <c r="Q715" s="105" t="inlineStr">
        <is>
          <t>CAD</t>
        </is>
      </c>
      <c r="R715" s="105" t="n"/>
      <c r="S715" s="105" t="inlineStr">
        <is>
          <t>2027-06-30</t>
        </is>
      </c>
      <c r="T715" s="105" t="inlineStr">
        <is>
          <t>C1-R0</t>
        </is>
      </c>
      <c r="U715" s="105" t="inlineStr">
        <is>
          <t>Supplied practice file monthly_cost_forecast.xlsx, row 240</t>
        </is>
      </c>
      <c r="V715" s="105" t="inlineStr">
        <is>
          <t>Whole source account, not a target allocation. Repeated target rows must not be summed. Aggregate cost / forecast remains withheld.</t>
        </is>
      </c>
    </row>
    <row r="716" ht="34" customHeight="1">
      <c r="A716" s="12" t="inlineStr">
        <is>
          <t>Contractor Programme</t>
        </is>
      </c>
      <c r="B716" s="12" t="inlineStr">
        <is>
          <t>SCH-03-003</t>
        </is>
      </c>
      <c r="C716" s="12" t="inlineStr">
        <is>
          <t>Interface works near systems boundary</t>
        </is>
      </c>
      <c r="D716" s="12" t="inlineStr">
        <is>
          <t>WBS Code = 1.3.2</t>
        </is>
      </c>
      <c r="E716" s="12" t="inlineStr">
        <is>
          <t>R363-v1</t>
        </is>
      </c>
      <c r="F716" s="12" t="inlineStr">
        <is>
          <t>1.3.2 Systems - Signalling &amp; Train Control</t>
        </is>
      </c>
      <c r="G716" s="12" t="inlineStr">
        <is>
          <t>ONE_TO_ONE</t>
        </is>
      </c>
      <c r="H716" s="12" t="inlineStr">
        <is>
          <t>APPROVED</t>
        </is>
      </c>
      <c r="I716" s="12" t="inlineStr">
        <is>
          <t>New</t>
        </is>
      </c>
      <c r="J716" s="12" t="inlineStr">
        <is>
          <t>Source assignment -- not individually reviewed</t>
        </is>
      </c>
      <c r="K716" s="12" t="inlineStr"/>
      <c r="L716" s="12" t="inlineStr"/>
      <c r="M716" s="12" t="inlineStr"/>
      <c r="N716" s="17" t="inlineStr">
        <is>
          <t>10 EVIDENCE &amp; DECISIONS</t>
        </is>
      </c>
    </row>
    <row r="717" ht="34" customHeight="1">
      <c r="A717" s="12" t="inlineStr">
        <is>
          <t>Contractor Programme</t>
        </is>
      </c>
      <c r="B717" s="12" t="inlineStr">
        <is>
          <t>SCH-03-006</t>
        </is>
      </c>
      <c r="C717" s="12" t="inlineStr">
        <is>
          <t>Harbour Station: SCADA point-to-point check - turnover</t>
        </is>
      </c>
      <c r="D717" s="12" t="inlineStr">
        <is>
          <t>WBS Code = 1.3.2</t>
        </is>
      </c>
      <c r="E717" s="12" t="inlineStr">
        <is>
          <t>R366-v1</t>
        </is>
      </c>
      <c r="F717" s="12" t="inlineStr">
        <is>
          <t>1.3.2 Systems - Signalling &amp; Train Control</t>
        </is>
      </c>
      <c r="G717" s="12" t="inlineStr">
        <is>
          <t>ONE_TO_ONE</t>
        </is>
      </c>
      <c r="H717" s="12" t="inlineStr">
        <is>
          <t>APPROVED</t>
        </is>
      </c>
      <c r="I717" s="12" t="inlineStr">
        <is>
          <t>New</t>
        </is>
      </c>
      <c r="J717" s="12" t="inlineStr">
        <is>
          <t>Source assignment -- not individually reviewed</t>
        </is>
      </c>
      <c r="K717" s="12" t="inlineStr"/>
      <c r="L717" s="12" t="inlineStr"/>
      <c r="M717" s="12" t="inlineStr"/>
      <c r="N717" s="17" t="inlineStr">
        <is>
          <t>10 EVIDENCE &amp; DECISIONS</t>
        </is>
      </c>
    </row>
    <row r="718" ht="34" customHeight="1">
      <c r="A718" s="12" t="inlineStr">
        <is>
          <t>Contractor Programme</t>
        </is>
      </c>
      <c r="B718" s="12" t="inlineStr">
        <is>
          <t>SCH-03-009</t>
        </is>
      </c>
      <c r="C718" s="12" t="inlineStr">
        <is>
          <t>East substation: wayside interface test - installation</t>
        </is>
      </c>
      <c r="D718" s="12" t="inlineStr">
        <is>
          <t>WBS Code = 1.3.2</t>
        </is>
      </c>
      <c r="E718" s="12" t="inlineStr">
        <is>
          <t>R369-v1</t>
        </is>
      </c>
      <c r="F718" s="12" t="inlineStr">
        <is>
          <t>1.3.2 Systems - Signalling &amp; Train Control</t>
        </is>
      </c>
      <c r="G718" s="12" t="inlineStr">
        <is>
          <t>ONE_TO_ONE</t>
        </is>
      </c>
      <c r="H718" s="12" t="inlineStr">
        <is>
          <t>APPROVED</t>
        </is>
      </c>
      <c r="I718" s="12" t="inlineStr">
        <is>
          <t>New</t>
        </is>
      </c>
      <c r="J718" s="12" t="inlineStr">
        <is>
          <t>Source assignment -- not individually reviewed</t>
        </is>
      </c>
      <c r="K718" s="12" t="inlineStr"/>
      <c r="L718" s="12" t="inlineStr"/>
      <c r="M718" s="12" t="inlineStr"/>
      <c r="N718" s="17" t="inlineStr">
        <is>
          <t>10 EVIDENCE &amp; DECISIONS</t>
        </is>
      </c>
    </row>
    <row r="719" ht="34" customHeight="1">
      <c r="A719" s="12" t="inlineStr">
        <is>
          <t>Contractor Programme</t>
        </is>
      </c>
      <c r="B719" s="12" t="inlineStr">
        <is>
          <t>SCH-03-012</t>
        </is>
      </c>
      <c r="C719" s="12" t="inlineStr">
        <is>
          <t>Control Centre: control-centre integration - release</t>
        </is>
      </c>
      <c r="D719" s="12" t="inlineStr">
        <is>
          <t>WBS Code = 1.3.2</t>
        </is>
      </c>
      <c r="E719" s="12" t="inlineStr">
        <is>
          <t>R372-v1</t>
        </is>
      </c>
      <c r="F719" s="12" t="inlineStr">
        <is>
          <t>1.3.2 Systems - Signalling &amp; Train Control</t>
        </is>
      </c>
      <c r="G719" s="12" t="inlineStr">
        <is>
          <t>ONE_TO_ONE</t>
        </is>
      </c>
      <c r="H719" s="12" t="inlineStr">
        <is>
          <t>APPROVED</t>
        </is>
      </c>
      <c r="I719" s="12" t="inlineStr">
        <is>
          <t>New</t>
        </is>
      </c>
      <c r="J719" s="12" t="inlineStr">
        <is>
          <t>Source assignment -- not individually reviewed</t>
        </is>
      </c>
      <c r="K719" s="12" t="inlineStr"/>
      <c r="L719" s="12" t="inlineStr"/>
      <c r="M719" s="12" t="inlineStr"/>
      <c r="N719" s="17" t="inlineStr">
        <is>
          <t>10 EVIDENCE &amp; DECISIONS</t>
        </is>
      </c>
    </row>
    <row r="720" ht="34" customHeight="1">
      <c r="A720" s="12" t="inlineStr">
        <is>
          <t>Contractor Programme</t>
        </is>
      </c>
      <c r="B720" s="12" t="inlineStr">
        <is>
          <t>SCH-03-015</t>
        </is>
      </c>
      <c r="C720" s="12" t="inlineStr">
        <is>
          <t>Central interlocking: traction-power feeder pull - inspection</t>
        </is>
      </c>
      <c r="D720" s="12" t="inlineStr">
        <is>
          <t>WBS Code = 1.3.2</t>
        </is>
      </c>
      <c r="E720" s="12" t="inlineStr">
        <is>
          <t>R375-v1</t>
        </is>
      </c>
      <c r="F720" s="12" t="inlineStr">
        <is>
          <t>1.3.2 Systems - Signalling &amp; Train Control</t>
        </is>
      </c>
      <c r="G720" s="12" t="inlineStr">
        <is>
          <t>ONE_TO_ONE</t>
        </is>
      </c>
      <c r="H720" s="12" t="inlineStr">
        <is>
          <t>APPROVED</t>
        </is>
      </c>
      <c r="I720" s="12" t="inlineStr">
        <is>
          <t>New</t>
        </is>
      </c>
      <c r="J720" s="12" t="inlineStr">
        <is>
          <t>Source assignment -- not individually reviewed</t>
        </is>
      </c>
      <c r="K720" s="12" t="inlineStr"/>
      <c r="L720" s="12" t="inlineStr"/>
      <c r="M720" s="12" t="inlineStr"/>
      <c r="N720" s="17" t="inlineStr">
        <is>
          <t>10 EVIDENCE &amp; DECISIONS</t>
        </is>
      </c>
    </row>
    <row r="721" ht="34" customHeight="1">
      <c r="A721" s="12" t="inlineStr">
        <is>
          <t>Contractor Programme</t>
        </is>
      </c>
      <c r="B721" s="12" t="inlineStr">
        <is>
          <t>SCH-03-018</t>
        </is>
      </c>
      <c r="C721" s="12" t="inlineStr">
        <is>
          <t>West wayside: signal equipment installation - field start</t>
        </is>
      </c>
      <c r="D721" s="12" t="inlineStr">
        <is>
          <t>WBS Code = 1.3.2</t>
        </is>
      </c>
      <c r="E721" s="12" t="inlineStr">
        <is>
          <t>R378-v1</t>
        </is>
      </c>
      <c r="F721" s="12" t="inlineStr">
        <is>
          <t>1.3.2 Systems - Signalling &amp; Train Control</t>
        </is>
      </c>
      <c r="G721" s="12" t="inlineStr">
        <is>
          <t>ONE_TO_ONE</t>
        </is>
      </c>
      <c r="H721" s="12" t="inlineStr">
        <is>
          <t>APPROVED</t>
        </is>
      </c>
      <c r="I721" s="12" t="inlineStr">
        <is>
          <t>New</t>
        </is>
      </c>
      <c r="J721" s="12" t="inlineStr">
        <is>
          <t>Source assignment -- not individually reviewed</t>
        </is>
      </c>
      <c r="K721" s="12" t="inlineStr"/>
      <c r="L721" s="12" t="inlineStr"/>
      <c r="M721" s="12" t="inlineStr"/>
      <c r="N721" s="17" t="inlineStr">
        <is>
          <t>10 EVIDENCE &amp; DECISIONS</t>
        </is>
      </c>
    </row>
    <row r="722" ht="34" customHeight="1">
      <c r="A722" s="12" t="inlineStr">
        <is>
          <t>Contractor Programme</t>
        </is>
      </c>
      <c r="B722" s="12" t="inlineStr">
        <is>
          <t>SCH-03-021</t>
        </is>
      </c>
      <c r="C722" s="12" t="inlineStr">
        <is>
          <t>Harbour Station: fibre backbone termination - turnover</t>
        </is>
      </c>
      <c r="D722" s="12" t="inlineStr">
        <is>
          <t>WBS Code = 1.3.2</t>
        </is>
      </c>
      <c r="E722" s="12" t="inlineStr">
        <is>
          <t>R381-v1</t>
        </is>
      </c>
      <c r="F722" s="12" t="inlineStr">
        <is>
          <t>1.3.2 Systems - Signalling &amp; Train Control</t>
        </is>
      </c>
      <c r="G722" s="12" t="inlineStr">
        <is>
          <t>ONE_TO_ONE</t>
        </is>
      </c>
      <c r="H722" s="12" t="inlineStr">
        <is>
          <t>APPROVED</t>
        </is>
      </c>
      <c r="I722" s="12" t="inlineStr">
        <is>
          <t>New</t>
        </is>
      </c>
      <c r="J722" s="12" t="inlineStr">
        <is>
          <t>Source assignment -- not individually reviewed</t>
        </is>
      </c>
      <c r="K722" s="12" t="inlineStr"/>
      <c r="L722" s="12" t="inlineStr"/>
      <c r="M722" s="12" t="inlineStr"/>
      <c r="N722" s="17" t="inlineStr">
        <is>
          <t>10 EVIDENCE &amp; DECISIONS</t>
        </is>
      </c>
    </row>
    <row r="723" ht="34" customHeight="1">
      <c r="A723" s="12" t="inlineStr">
        <is>
          <t>Contractor Programme</t>
        </is>
      </c>
      <c r="B723" s="12" t="inlineStr">
        <is>
          <t>SCH-03-024</t>
        </is>
      </c>
      <c r="C723" s="12" t="inlineStr">
        <is>
          <t>East substation: train-control cabinet fit-out - installation</t>
        </is>
      </c>
      <c r="D723" s="12" t="inlineStr">
        <is>
          <t>WBS Code = 1.3.2</t>
        </is>
      </c>
      <c r="E723" s="12" t="inlineStr">
        <is>
          <t>R384-v1</t>
        </is>
      </c>
      <c r="F723" s="12" t="inlineStr">
        <is>
          <t>1.3.2 Systems - Signalling &amp; Train Control</t>
        </is>
      </c>
      <c r="G723" s="12" t="inlineStr">
        <is>
          <t>ONE_TO_ONE</t>
        </is>
      </c>
      <c r="H723" s="12" t="inlineStr">
        <is>
          <t>APPROVED</t>
        </is>
      </c>
      <c r="I723" s="12" t="inlineStr">
        <is>
          <t>New</t>
        </is>
      </c>
      <c r="J723" s="12" t="inlineStr">
        <is>
          <t>Source assignment -- not individually reviewed</t>
        </is>
      </c>
      <c r="K723" s="12" t="inlineStr"/>
      <c r="L723" s="12" t="inlineStr"/>
      <c r="M723" s="12" t="inlineStr"/>
      <c r="N723" s="17" t="inlineStr">
        <is>
          <t>10 EVIDENCE &amp; DECISIONS</t>
        </is>
      </c>
    </row>
    <row r="724" ht="34" customHeight="1">
      <c r="A724" s="12" t="inlineStr">
        <is>
          <t>Contractor Programme</t>
        </is>
      </c>
      <c r="B724" s="12" t="inlineStr">
        <is>
          <t>SCH-03-027</t>
        </is>
      </c>
      <c r="C724" s="12" t="inlineStr">
        <is>
          <t>Control Centre: radio equipment installation - release</t>
        </is>
      </c>
      <c r="D724" s="12" t="inlineStr">
        <is>
          <t>WBS Code = 1.3.2</t>
        </is>
      </c>
      <c r="E724" s="12" t="inlineStr">
        <is>
          <t>R387-v1</t>
        </is>
      </c>
      <c r="F724" s="12" t="inlineStr">
        <is>
          <t>1.3.2 Systems - Signalling &amp; Train Control</t>
        </is>
      </c>
      <c r="G724" s="12" t="inlineStr">
        <is>
          <t>ONE_TO_ONE</t>
        </is>
      </c>
      <c r="H724" s="12" t="inlineStr">
        <is>
          <t>APPROVED</t>
        </is>
      </c>
      <c r="I724" s="12" t="inlineStr">
        <is>
          <t>New</t>
        </is>
      </c>
      <c r="J724" s="12" t="inlineStr">
        <is>
          <t>Source assignment -- not individually reviewed</t>
        </is>
      </c>
      <c r="K724" s="12" t="inlineStr"/>
      <c r="L724" s="12" t="inlineStr"/>
      <c r="M724" s="12" t="inlineStr"/>
      <c r="N724" s="17" t="inlineStr">
        <is>
          <t>10 EVIDENCE &amp; DECISIONS</t>
        </is>
      </c>
    </row>
    <row r="725" ht="34" customHeight="1">
      <c r="A725" s="12" t="inlineStr">
        <is>
          <t>Contractor Programme</t>
        </is>
      </c>
      <c r="B725" s="12" t="inlineStr">
        <is>
          <t>SCH-03-030</t>
        </is>
      </c>
      <c r="C725" s="12" t="inlineStr">
        <is>
          <t>Central interlocking: SCADA point-to-point check - inspection</t>
        </is>
      </c>
      <c r="D725" s="12" t="inlineStr">
        <is>
          <t>WBS Code = 1.3.2</t>
        </is>
      </c>
      <c r="E725" s="12" t="inlineStr">
        <is>
          <t>R390-v1</t>
        </is>
      </c>
      <c r="F725" s="12" t="inlineStr">
        <is>
          <t>1.3.2 Systems - Signalling &amp; Train Control</t>
        </is>
      </c>
      <c r="G725" s="12" t="inlineStr">
        <is>
          <t>ONE_TO_ONE</t>
        </is>
      </c>
      <c r="H725" s="12" t="inlineStr">
        <is>
          <t>APPROVED</t>
        </is>
      </c>
      <c r="I725" s="12" t="inlineStr">
        <is>
          <t>New</t>
        </is>
      </c>
      <c r="J725" s="12" t="inlineStr">
        <is>
          <t>Source assignment -- not individually reviewed</t>
        </is>
      </c>
      <c r="K725" s="12" t="inlineStr"/>
      <c r="L725" s="12" t="inlineStr"/>
      <c r="M725" s="12" t="inlineStr"/>
      <c r="N725" s="17" t="inlineStr">
        <is>
          <t>10 EVIDENCE &amp; DECISIONS</t>
        </is>
      </c>
    </row>
    <row r="726" ht="34" customHeight="1">
      <c r="A726" s="12" t="inlineStr">
        <is>
          <t>Contractor Programme</t>
        </is>
      </c>
      <c r="B726" s="12" t="inlineStr">
        <is>
          <t>SCH-03-033</t>
        </is>
      </c>
      <c r="C726" s="12" t="inlineStr">
        <is>
          <t>West wayside: wayside interface test - field start</t>
        </is>
      </c>
      <c r="D726" s="12" t="inlineStr">
        <is>
          <t>WBS Code = 1.3.2</t>
        </is>
      </c>
      <c r="E726" s="12" t="inlineStr">
        <is>
          <t>R393-v1</t>
        </is>
      </c>
      <c r="F726" s="12" t="inlineStr">
        <is>
          <t>1.3.2 Systems - Signalling &amp; Train Control</t>
        </is>
      </c>
      <c r="G726" s="12" t="inlineStr">
        <is>
          <t>ONE_TO_ONE</t>
        </is>
      </c>
      <c r="H726" s="12" t="inlineStr">
        <is>
          <t>APPROVED</t>
        </is>
      </c>
      <c r="I726" s="12" t="inlineStr">
        <is>
          <t>New</t>
        </is>
      </c>
      <c r="J726" s="12" t="inlineStr">
        <is>
          <t>Source assignment -- not individually reviewed</t>
        </is>
      </c>
      <c r="K726" s="12" t="inlineStr"/>
      <c r="L726" s="12" t="inlineStr"/>
      <c r="M726" s="12" t="inlineStr"/>
      <c r="N726" s="17" t="inlineStr">
        <is>
          <t>10 EVIDENCE &amp; DECISIONS</t>
        </is>
      </c>
    </row>
    <row r="727" ht="34" customHeight="1">
      <c r="A727" s="12" t="inlineStr">
        <is>
          <t>Contractor Programme</t>
        </is>
      </c>
      <c r="B727" s="12" t="inlineStr">
        <is>
          <t>SCH-03-036</t>
        </is>
      </c>
      <c r="C727" s="12" t="inlineStr">
        <is>
          <t>Harbour Station: control-centre integration - turnover</t>
        </is>
      </c>
      <c r="D727" s="12" t="inlineStr">
        <is>
          <t>WBS Code = 1.3.2</t>
        </is>
      </c>
      <c r="E727" s="12" t="inlineStr">
        <is>
          <t>R396-v1</t>
        </is>
      </c>
      <c r="F727" s="12" t="inlineStr">
        <is>
          <t>1.3.2 Systems - Signalling &amp; Train Control</t>
        </is>
      </c>
      <c r="G727" s="12" t="inlineStr">
        <is>
          <t>ONE_TO_ONE</t>
        </is>
      </c>
      <c r="H727" s="12" t="inlineStr">
        <is>
          <t>APPROVED</t>
        </is>
      </c>
      <c r="I727" s="12" t="inlineStr">
        <is>
          <t>New</t>
        </is>
      </c>
      <c r="J727" s="12" t="inlineStr">
        <is>
          <t>Source assignment -- not individually reviewed</t>
        </is>
      </c>
      <c r="K727" s="12" t="inlineStr"/>
      <c r="L727" s="12" t="inlineStr"/>
      <c r="M727" s="12" t="inlineStr"/>
      <c r="N727" s="17" t="inlineStr">
        <is>
          <t>10 EVIDENCE &amp; DECISIONS</t>
        </is>
      </c>
    </row>
    <row r="728" ht="34" customHeight="1">
      <c r="A728" s="12" t="inlineStr">
        <is>
          <t>Contractor Programme</t>
        </is>
      </c>
      <c r="B728" s="12" t="inlineStr">
        <is>
          <t>SCH-03-039</t>
        </is>
      </c>
      <c r="C728" s="12" t="inlineStr">
        <is>
          <t>East substation: traction-power feeder pull - installation</t>
        </is>
      </c>
      <c r="D728" s="12" t="inlineStr">
        <is>
          <t>WBS Code = 1.3.2</t>
        </is>
      </c>
      <c r="E728" s="12" t="inlineStr">
        <is>
          <t>R399-v1</t>
        </is>
      </c>
      <c r="F728" s="12" t="inlineStr">
        <is>
          <t>1.3.2 Systems - Signalling &amp; Train Control</t>
        </is>
      </c>
      <c r="G728" s="12" t="inlineStr">
        <is>
          <t>ONE_TO_ONE</t>
        </is>
      </c>
      <c r="H728" s="12" t="inlineStr">
        <is>
          <t>APPROVED</t>
        </is>
      </c>
      <c r="I728" s="12" t="inlineStr">
        <is>
          <t>New</t>
        </is>
      </c>
      <c r="J728" s="12" t="inlineStr">
        <is>
          <t>Source assignment -- not individually reviewed</t>
        </is>
      </c>
      <c r="K728" s="12" t="inlineStr"/>
      <c r="L728" s="12" t="inlineStr"/>
      <c r="M728" s="12" t="inlineStr"/>
      <c r="N728" s="17" t="inlineStr">
        <is>
          <t>10 EVIDENCE &amp; DECISIONS</t>
        </is>
      </c>
    </row>
    <row r="729" ht="34" customHeight="1">
      <c r="A729" s="12" t="inlineStr">
        <is>
          <t>Contractor Programme</t>
        </is>
      </c>
      <c r="B729" s="12" t="inlineStr">
        <is>
          <t>SCH-03-042</t>
        </is>
      </c>
      <c r="C729" s="12" t="inlineStr">
        <is>
          <t>Control Centre: signal equipment installation - release</t>
        </is>
      </c>
      <c r="D729" s="12" t="inlineStr">
        <is>
          <t>WBS Code = 1.3.2</t>
        </is>
      </c>
      <c r="E729" s="12" t="inlineStr">
        <is>
          <t>R402-v1</t>
        </is>
      </c>
      <c r="F729" s="12" t="inlineStr">
        <is>
          <t>1.3.2 Systems - Signalling &amp; Train Control</t>
        </is>
      </c>
      <c r="G729" s="12" t="inlineStr">
        <is>
          <t>ONE_TO_ONE</t>
        </is>
      </c>
      <c r="H729" s="12" t="inlineStr">
        <is>
          <t>APPROVED</t>
        </is>
      </c>
      <c r="I729" s="12" t="inlineStr">
        <is>
          <t>New</t>
        </is>
      </c>
      <c r="J729" s="12" t="inlineStr">
        <is>
          <t>Source assignment -- not individually reviewed</t>
        </is>
      </c>
      <c r="K729" s="12" t="inlineStr"/>
      <c r="L729" s="12" t="inlineStr"/>
      <c r="M729" s="12" t="inlineStr"/>
      <c r="N729" s="17" t="inlineStr">
        <is>
          <t>10 EVIDENCE &amp; DECISIONS</t>
        </is>
      </c>
    </row>
    <row r="730" ht="34" customHeight="1">
      <c r="A730" s="12" t="inlineStr">
        <is>
          <t>Contractor Programme</t>
        </is>
      </c>
      <c r="B730" s="12" t="inlineStr">
        <is>
          <t>SCH-03-045</t>
        </is>
      </c>
      <c r="C730" s="12" t="inlineStr">
        <is>
          <t>Central interlocking: fibre backbone termination - inspection</t>
        </is>
      </c>
      <c r="D730" s="12" t="inlineStr">
        <is>
          <t>WBS Code = 1.3.2</t>
        </is>
      </c>
      <c r="E730" s="12" t="inlineStr">
        <is>
          <t>R405-v1</t>
        </is>
      </c>
      <c r="F730" s="12" t="inlineStr">
        <is>
          <t>1.3.2 Systems - Signalling &amp; Train Control</t>
        </is>
      </c>
      <c r="G730" s="12" t="inlineStr">
        <is>
          <t>ONE_TO_ONE</t>
        </is>
      </c>
      <c r="H730" s="12" t="inlineStr">
        <is>
          <t>APPROVED</t>
        </is>
      </c>
      <c r="I730" s="12" t="inlineStr">
        <is>
          <t>New</t>
        </is>
      </c>
      <c r="J730" s="12" t="inlineStr">
        <is>
          <t>Source assignment -- not individually reviewed</t>
        </is>
      </c>
      <c r="K730" s="12" t="inlineStr"/>
      <c r="L730" s="12" t="inlineStr"/>
      <c r="M730" s="12" t="inlineStr"/>
      <c r="N730" s="17" t="inlineStr">
        <is>
          <t>10 EVIDENCE &amp; DECISIONS</t>
        </is>
      </c>
    </row>
    <row r="731" ht="34" customHeight="1">
      <c r="A731" s="12" t="inlineStr">
        <is>
          <t>Contractor Programme</t>
        </is>
      </c>
      <c r="B731" s="12" t="inlineStr">
        <is>
          <t>SCH-03-048</t>
        </is>
      </c>
      <c r="C731" s="12" t="inlineStr">
        <is>
          <t>West wayside: train-control cabinet fit-out - field start</t>
        </is>
      </c>
      <c r="D731" s="12" t="inlineStr">
        <is>
          <t>WBS Code = 1.3.2</t>
        </is>
      </c>
      <c r="E731" s="12" t="inlineStr">
        <is>
          <t>R408-v1</t>
        </is>
      </c>
      <c r="F731" s="12" t="inlineStr">
        <is>
          <t>1.3.2 Systems - Signalling &amp; Train Control</t>
        </is>
      </c>
      <c r="G731" s="12" t="inlineStr">
        <is>
          <t>ONE_TO_ONE</t>
        </is>
      </c>
      <c r="H731" s="12" t="inlineStr">
        <is>
          <t>APPROVED</t>
        </is>
      </c>
      <c r="I731" s="12" t="inlineStr">
        <is>
          <t>New</t>
        </is>
      </c>
      <c r="J731" s="12" t="inlineStr">
        <is>
          <t>Source assignment -- not individually reviewed</t>
        </is>
      </c>
      <c r="K731" s="12" t="inlineStr"/>
      <c r="L731" s="12" t="inlineStr"/>
      <c r="M731" s="12" t="inlineStr"/>
      <c r="N731" s="17" t="inlineStr">
        <is>
          <t>10 EVIDENCE &amp; DECISIONS</t>
        </is>
      </c>
    </row>
    <row r="732" ht="34" customHeight="1">
      <c r="A732" s="12" t="inlineStr">
        <is>
          <t>Contractor Programme</t>
        </is>
      </c>
      <c r="B732" s="12" t="inlineStr">
        <is>
          <t>SCH-03-051</t>
        </is>
      </c>
      <c r="C732" s="12" t="inlineStr">
        <is>
          <t>Harbour Station: radio equipment installation - turnover</t>
        </is>
      </c>
      <c r="D732" s="12" t="inlineStr">
        <is>
          <t>WBS Code = 1.3.2</t>
        </is>
      </c>
      <c r="E732" s="12" t="inlineStr">
        <is>
          <t>R411-v1</t>
        </is>
      </c>
      <c r="F732" s="12" t="inlineStr">
        <is>
          <t>1.3.2 Systems - Signalling &amp; Train Control</t>
        </is>
      </c>
      <c r="G732" s="12" t="inlineStr">
        <is>
          <t>ONE_TO_ONE</t>
        </is>
      </c>
      <c r="H732" s="12" t="inlineStr">
        <is>
          <t>APPROVED</t>
        </is>
      </c>
      <c r="I732" s="12" t="inlineStr">
        <is>
          <t>New</t>
        </is>
      </c>
      <c r="J732" s="12" t="inlineStr">
        <is>
          <t>Source assignment -- not individually reviewed</t>
        </is>
      </c>
      <c r="K732" s="12" t="inlineStr"/>
      <c r="L732" s="12" t="inlineStr"/>
      <c r="M732" s="12" t="inlineStr"/>
      <c r="N732" s="17" t="inlineStr">
        <is>
          <t>10 EVIDENCE &amp; DECISIONS</t>
        </is>
      </c>
    </row>
    <row r="733" ht="34" customHeight="1">
      <c r="A733" s="12" t="inlineStr">
        <is>
          <t>Contractor Programme</t>
        </is>
      </c>
      <c r="B733" s="12" t="inlineStr">
        <is>
          <t>SCH-03-054</t>
        </is>
      </c>
      <c r="C733" s="12" t="inlineStr">
        <is>
          <t>East substation: SCADA point-to-point check - installation</t>
        </is>
      </c>
      <c r="D733" s="12" t="inlineStr">
        <is>
          <t>WBS Code = 1.3.2</t>
        </is>
      </c>
      <c r="E733" s="12" t="inlineStr">
        <is>
          <t>R414-v1</t>
        </is>
      </c>
      <c r="F733" s="12" t="inlineStr">
        <is>
          <t>1.3.2 Systems - Signalling &amp; Train Control</t>
        </is>
      </c>
      <c r="G733" s="12" t="inlineStr">
        <is>
          <t>ONE_TO_ONE</t>
        </is>
      </c>
      <c r="H733" s="12" t="inlineStr">
        <is>
          <t>APPROVED</t>
        </is>
      </c>
      <c r="I733" s="12" t="inlineStr">
        <is>
          <t>New</t>
        </is>
      </c>
      <c r="J733" s="12" t="inlineStr">
        <is>
          <t>Source assignment -- not individually reviewed</t>
        </is>
      </c>
      <c r="K733" s="12" t="inlineStr"/>
      <c r="L733" s="12" t="inlineStr"/>
      <c r="M733" s="12" t="inlineStr"/>
      <c r="N733" s="17" t="inlineStr">
        <is>
          <t>10 EVIDENCE &amp; DECISIONS</t>
        </is>
      </c>
    </row>
    <row r="734" ht="34" customHeight="1">
      <c r="A734" s="12" t="inlineStr">
        <is>
          <t>Contractor Programme</t>
        </is>
      </c>
      <c r="B734" s="12" t="inlineStr">
        <is>
          <t>SCH-03-057</t>
        </is>
      </c>
      <c r="C734" s="12" t="inlineStr">
        <is>
          <t>Control Centre: wayside interface test - release</t>
        </is>
      </c>
      <c r="D734" s="12" t="inlineStr">
        <is>
          <t>WBS Code = 1.3.2</t>
        </is>
      </c>
      <c r="E734" s="12" t="inlineStr">
        <is>
          <t>R417-v1</t>
        </is>
      </c>
      <c r="F734" s="12" t="inlineStr">
        <is>
          <t>1.3.2 Systems - Signalling &amp; Train Control</t>
        </is>
      </c>
      <c r="G734" s="12" t="inlineStr">
        <is>
          <t>ONE_TO_ONE</t>
        </is>
      </c>
      <c r="H734" s="12" t="inlineStr">
        <is>
          <t>APPROVED</t>
        </is>
      </c>
      <c r="I734" s="12" t="inlineStr">
        <is>
          <t>New</t>
        </is>
      </c>
      <c r="J734" s="12" t="inlineStr">
        <is>
          <t>Source assignment -- not individually reviewed</t>
        </is>
      </c>
      <c r="K734" s="12" t="inlineStr"/>
      <c r="L734" s="12" t="inlineStr"/>
      <c r="M734" s="12" t="inlineStr"/>
      <c r="N734" s="17" t="inlineStr">
        <is>
          <t>10 EVIDENCE &amp; DECISIONS</t>
        </is>
      </c>
    </row>
    <row r="735" ht="34" customHeight="1">
      <c r="A735" s="12" t="inlineStr">
        <is>
          <t>Contractor Programme</t>
        </is>
      </c>
      <c r="B735" s="12" t="inlineStr">
        <is>
          <t>SCH-03-060</t>
        </is>
      </c>
      <c r="C735" s="12" t="inlineStr">
        <is>
          <t>Central interlocking: control-centre integration - inspection</t>
        </is>
      </c>
      <c r="D735" s="12" t="inlineStr">
        <is>
          <t>WBS Code = 1.3.2</t>
        </is>
      </c>
      <c r="E735" s="12" t="inlineStr">
        <is>
          <t>R420-v1</t>
        </is>
      </c>
      <c r="F735" s="12" t="inlineStr">
        <is>
          <t>1.3.2 Systems - Signalling &amp; Train Control</t>
        </is>
      </c>
      <c r="G735" s="12" t="inlineStr">
        <is>
          <t>ONE_TO_ONE</t>
        </is>
      </c>
      <c r="H735" s="12" t="inlineStr">
        <is>
          <t>APPROVED</t>
        </is>
      </c>
      <c r="I735" s="12" t="inlineStr">
        <is>
          <t>New</t>
        </is>
      </c>
      <c r="J735" s="12" t="inlineStr">
        <is>
          <t>Source assignment -- not individually reviewed</t>
        </is>
      </c>
      <c r="K735" s="12" t="inlineStr"/>
      <c r="L735" s="12" t="inlineStr"/>
      <c r="M735" s="12" t="inlineStr"/>
      <c r="N735" s="17" t="inlineStr">
        <is>
          <t>10 EVIDENCE &amp; DECISIONS</t>
        </is>
      </c>
    </row>
    <row r="736" ht="34" customHeight="1">
      <c r="A736" s="12" t="inlineStr">
        <is>
          <t>Contractor Programme</t>
        </is>
      </c>
      <c r="B736" s="12" t="inlineStr">
        <is>
          <t>SCH-03-063</t>
        </is>
      </c>
      <c r="C736" s="12" t="inlineStr">
        <is>
          <t>West wayside: traction-power feeder pull - field start</t>
        </is>
      </c>
      <c r="D736" s="12" t="inlineStr">
        <is>
          <t>WBS Code = 1.3.2</t>
        </is>
      </c>
      <c r="E736" s="12" t="inlineStr">
        <is>
          <t>R423-v1</t>
        </is>
      </c>
      <c r="F736" s="12" t="inlineStr">
        <is>
          <t>1.3.2 Systems - Signalling &amp; Train Control</t>
        </is>
      </c>
      <c r="G736" s="12" t="inlineStr">
        <is>
          <t>ONE_TO_ONE</t>
        </is>
      </c>
      <c r="H736" s="12" t="inlineStr">
        <is>
          <t>APPROVED</t>
        </is>
      </c>
      <c r="I736" s="12" t="inlineStr">
        <is>
          <t>New</t>
        </is>
      </c>
      <c r="J736" s="12" t="inlineStr">
        <is>
          <t>Source assignment -- not individually reviewed</t>
        </is>
      </c>
      <c r="K736" s="12" t="inlineStr"/>
      <c r="L736" s="12" t="inlineStr"/>
      <c r="M736" s="12" t="inlineStr"/>
      <c r="N736" s="17" t="inlineStr">
        <is>
          <t>10 EVIDENCE &amp; DECISIONS</t>
        </is>
      </c>
    </row>
    <row r="737" ht="34" customHeight="1">
      <c r="A737" s="12" t="inlineStr">
        <is>
          <t>Contractor Programme</t>
        </is>
      </c>
      <c r="B737" s="12" t="inlineStr">
        <is>
          <t>SCH-03-066</t>
        </is>
      </c>
      <c r="C737" s="12" t="inlineStr">
        <is>
          <t>Harbour Station: signal equipment installation - turnover</t>
        </is>
      </c>
      <c r="D737" s="12" t="inlineStr">
        <is>
          <t>WBS Code = 1.3.2</t>
        </is>
      </c>
      <c r="E737" s="12" t="inlineStr">
        <is>
          <t>R426-v1</t>
        </is>
      </c>
      <c r="F737" s="12" t="inlineStr">
        <is>
          <t>1.3.2 Systems - Signalling &amp; Train Control</t>
        </is>
      </c>
      <c r="G737" s="12" t="inlineStr">
        <is>
          <t>ONE_TO_ONE</t>
        </is>
      </c>
      <c r="H737" s="12" t="inlineStr">
        <is>
          <t>APPROVED</t>
        </is>
      </c>
      <c r="I737" s="12" t="inlineStr">
        <is>
          <t>New</t>
        </is>
      </c>
      <c r="J737" s="12" t="inlineStr">
        <is>
          <t>Source assignment -- not individually reviewed</t>
        </is>
      </c>
      <c r="K737" s="12" t="inlineStr"/>
      <c r="L737" s="12" t="inlineStr"/>
      <c r="M737" s="12" t="inlineStr"/>
      <c r="N737" s="17" t="inlineStr">
        <is>
          <t>10 EVIDENCE &amp; DECISIONS</t>
        </is>
      </c>
    </row>
    <row r="738" ht="34" customHeight="1">
      <c r="A738" s="12" t="inlineStr">
        <is>
          <t>Contractor Programme</t>
        </is>
      </c>
      <c r="B738" s="12" t="inlineStr">
        <is>
          <t>SCH-03-069</t>
        </is>
      </c>
      <c r="C738" s="12" t="inlineStr">
        <is>
          <t>East substation: fibre backbone termination - installation</t>
        </is>
      </c>
      <c r="D738" s="12" t="inlineStr">
        <is>
          <t>WBS Code = 1.3.2</t>
        </is>
      </c>
      <c r="E738" s="12" t="inlineStr">
        <is>
          <t>R429-v1</t>
        </is>
      </c>
      <c r="F738" s="12" t="inlineStr">
        <is>
          <t>1.3.2 Systems - Signalling &amp; Train Control</t>
        </is>
      </c>
      <c r="G738" s="12" t="inlineStr">
        <is>
          <t>ONE_TO_ONE</t>
        </is>
      </c>
      <c r="H738" s="12" t="inlineStr">
        <is>
          <t>APPROVED</t>
        </is>
      </c>
      <c r="I738" s="12" t="inlineStr">
        <is>
          <t>New</t>
        </is>
      </c>
      <c r="J738" s="12" t="inlineStr">
        <is>
          <t>Source assignment -- not individually reviewed</t>
        </is>
      </c>
      <c r="K738" s="12" t="inlineStr"/>
      <c r="L738" s="12" t="inlineStr"/>
      <c r="M738" s="12" t="inlineStr"/>
      <c r="N738" s="17" t="inlineStr">
        <is>
          <t>10 EVIDENCE &amp; DECISIONS</t>
        </is>
      </c>
    </row>
    <row r="739" ht="34" customHeight="1">
      <c r="A739" s="12" t="inlineStr">
        <is>
          <t>Contractor Programme</t>
        </is>
      </c>
      <c r="B739" s="12" t="inlineStr">
        <is>
          <t>SCH-03-072</t>
        </is>
      </c>
      <c r="C739" s="12" t="inlineStr">
        <is>
          <t>Control Centre: train-control cabinet fit-out - release</t>
        </is>
      </c>
      <c r="D739" s="12" t="inlineStr">
        <is>
          <t>WBS Code = 1.3.2</t>
        </is>
      </c>
      <c r="E739" s="12" t="inlineStr">
        <is>
          <t>R432-v1</t>
        </is>
      </c>
      <c r="F739" s="12" t="inlineStr">
        <is>
          <t>1.3.2 Systems - Signalling &amp; Train Control</t>
        </is>
      </c>
      <c r="G739" s="12" t="inlineStr">
        <is>
          <t>ONE_TO_ONE</t>
        </is>
      </c>
      <c r="H739" s="12" t="inlineStr">
        <is>
          <t>APPROVED</t>
        </is>
      </c>
      <c r="I739" s="12" t="inlineStr">
        <is>
          <t>New</t>
        </is>
      </c>
      <c r="J739" s="12" t="inlineStr">
        <is>
          <t>Source assignment -- not individually reviewed</t>
        </is>
      </c>
      <c r="K739" s="12" t="inlineStr"/>
      <c r="L739" s="12" t="inlineStr"/>
      <c r="M739" s="12" t="inlineStr"/>
      <c r="N739" s="17" t="inlineStr">
        <is>
          <t>10 EVIDENCE &amp; DECISIONS</t>
        </is>
      </c>
    </row>
    <row r="740" ht="34" customHeight="1">
      <c r="A740" s="12" t="inlineStr">
        <is>
          <t>Contractor Programme</t>
        </is>
      </c>
      <c r="B740" s="12" t="inlineStr">
        <is>
          <t>SCH-03-075</t>
        </is>
      </c>
      <c r="C740" s="12" t="inlineStr">
        <is>
          <t>Central interlocking: radio equipment installation - inspection</t>
        </is>
      </c>
      <c r="D740" s="12" t="inlineStr">
        <is>
          <t>WBS Code = 1.3.2</t>
        </is>
      </c>
      <c r="E740" s="12" t="inlineStr">
        <is>
          <t>R435-v1</t>
        </is>
      </c>
      <c r="F740" s="12" t="inlineStr">
        <is>
          <t>1.3.2 Systems - Signalling &amp; Train Control</t>
        </is>
      </c>
      <c r="G740" s="12" t="inlineStr">
        <is>
          <t>ONE_TO_ONE</t>
        </is>
      </c>
      <c r="H740" s="12" t="inlineStr">
        <is>
          <t>APPROVED</t>
        </is>
      </c>
      <c r="I740" s="12" t="inlineStr">
        <is>
          <t>New</t>
        </is>
      </c>
      <c r="J740" s="12" t="inlineStr">
        <is>
          <t>Source assignment -- not individually reviewed</t>
        </is>
      </c>
      <c r="K740" s="12" t="inlineStr"/>
      <c r="L740" s="12" t="inlineStr"/>
      <c r="M740" s="12" t="inlineStr"/>
      <c r="N740" s="17" t="inlineStr">
        <is>
          <t>10 EVIDENCE &amp; DECISIONS</t>
        </is>
      </c>
    </row>
    <row r="741" ht="34" customHeight="1">
      <c r="A741" s="12" t="inlineStr">
        <is>
          <t>Contractor Programme</t>
        </is>
      </c>
      <c r="B741" s="12" t="inlineStr">
        <is>
          <t>SCH-03-078</t>
        </is>
      </c>
      <c r="C741" s="12" t="inlineStr">
        <is>
          <t>West wayside: SCADA point-to-point check - field start</t>
        </is>
      </c>
      <c r="D741" s="12" t="inlineStr">
        <is>
          <t>WBS Code = 1.3.2</t>
        </is>
      </c>
      <c r="E741" s="12" t="inlineStr">
        <is>
          <t>R438-v1</t>
        </is>
      </c>
      <c r="F741" s="12" t="inlineStr">
        <is>
          <t>1.3.2 Systems - Signalling &amp; Train Control</t>
        </is>
      </c>
      <c r="G741" s="12" t="inlineStr">
        <is>
          <t>ONE_TO_ONE</t>
        </is>
      </c>
      <c r="H741" s="12" t="inlineStr">
        <is>
          <t>APPROVED</t>
        </is>
      </c>
      <c r="I741" s="12" t="inlineStr">
        <is>
          <t>New</t>
        </is>
      </c>
      <c r="J741" s="12" t="inlineStr">
        <is>
          <t>Source assignment -- not individually reviewed</t>
        </is>
      </c>
      <c r="K741" s="12" t="inlineStr"/>
      <c r="L741" s="12" t="inlineStr"/>
      <c r="M741" s="12" t="inlineStr"/>
      <c r="N741" s="17" t="inlineStr">
        <is>
          <t>10 EVIDENCE &amp; DECISIONS</t>
        </is>
      </c>
    </row>
    <row r="742" ht="34" customHeight="1">
      <c r="A742" s="12" t="inlineStr">
        <is>
          <t>Contractor Programme</t>
        </is>
      </c>
      <c r="B742" s="12" t="inlineStr">
        <is>
          <t>SCH-03-081</t>
        </is>
      </c>
      <c r="C742" s="12" t="inlineStr">
        <is>
          <t>Harbour Station: wayside interface test - turnover</t>
        </is>
      </c>
      <c r="D742" s="12" t="inlineStr">
        <is>
          <t>WBS Code = 1.3.2</t>
        </is>
      </c>
      <c r="E742" s="12" t="inlineStr">
        <is>
          <t>R441-v1</t>
        </is>
      </c>
      <c r="F742" s="12" t="inlineStr">
        <is>
          <t>1.3.2 Systems - Signalling &amp; Train Control</t>
        </is>
      </c>
      <c r="G742" s="12" t="inlineStr">
        <is>
          <t>ONE_TO_ONE</t>
        </is>
      </c>
      <c r="H742" s="12" t="inlineStr">
        <is>
          <t>APPROVED</t>
        </is>
      </c>
      <c r="I742" s="12" t="inlineStr">
        <is>
          <t>New</t>
        </is>
      </c>
      <c r="J742" s="12" t="inlineStr">
        <is>
          <t>Source assignment -- not individually reviewed</t>
        </is>
      </c>
      <c r="K742" s="12" t="inlineStr"/>
      <c r="L742" s="12" t="inlineStr"/>
      <c r="M742" s="12" t="inlineStr"/>
      <c r="N742" s="17" t="inlineStr">
        <is>
          <t>10 EVIDENCE &amp; DECISIONS</t>
        </is>
      </c>
    </row>
    <row r="743" ht="34" customHeight="1">
      <c r="A743" s="12" t="inlineStr">
        <is>
          <t>Contractor Programme</t>
        </is>
      </c>
      <c r="B743" s="12" t="inlineStr">
        <is>
          <t>SCH-03-084</t>
        </is>
      </c>
      <c r="C743" s="12" t="inlineStr">
        <is>
          <t>East substation: control-centre integration - installation</t>
        </is>
      </c>
      <c r="D743" s="12" t="inlineStr">
        <is>
          <t>WBS Code = 1.3.2</t>
        </is>
      </c>
      <c r="E743" s="12" t="inlineStr">
        <is>
          <t>R444-v1</t>
        </is>
      </c>
      <c r="F743" s="12" t="inlineStr">
        <is>
          <t>1.3.2 Systems - Signalling &amp; Train Control</t>
        </is>
      </c>
      <c r="G743" s="12" t="inlineStr">
        <is>
          <t>ONE_TO_ONE</t>
        </is>
      </c>
      <c r="H743" s="12" t="inlineStr">
        <is>
          <t>APPROVED</t>
        </is>
      </c>
      <c r="I743" s="12" t="inlineStr">
        <is>
          <t>New</t>
        </is>
      </c>
      <c r="J743" s="12" t="inlineStr">
        <is>
          <t>Source assignment -- not individually reviewed</t>
        </is>
      </c>
      <c r="K743" s="12" t="inlineStr"/>
      <c r="L743" s="12" t="inlineStr"/>
      <c r="M743" s="12" t="inlineStr"/>
      <c r="N743" s="17" t="inlineStr">
        <is>
          <t>10 EVIDENCE &amp; DECISIONS</t>
        </is>
      </c>
    </row>
    <row r="744" ht="34" customHeight="1">
      <c r="A744" s="12" t="inlineStr">
        <is>
          <t>Contractor Programme</t>
        </is>
      </c>
      <c r="B744" s="12" t="inlineStr">
        <is>
          <t>SCH-03-087</t>
        </is>
      </c>
      <c r="C744" s="12" t="inlineStr">
        <is>
          <t>Control Centre: traction-power feeder pull - release</t>
        </is>
      </c>
      <c r="D744" s="12" t="inlineStr">
        <is>
          <t>WBS Code = 1.3.2</t>
        </is>
      </c>
      <c r="E744" s="12" t="inlineStr">
        <is>
          <t>R447-v1</t>
        </is>
      </c>
      <c r="F744" s="12" t="inlineStr">
        <is>
          <t>1.3.2 Systems - Signalling &amp; Train Control</t>
        </is>
      </c>
      <c r="G744" s="12" t="inlineStr">
        <is>
          <t>ONE_TO_ONE</t>
        </is>
      </c>
      <c r="H744" s="12" t="inlineStr">
        <is>
          <t>APPROVED</t>
        </is>
      </c>
      <c r="I744" s="12" t="inlineStr">
        <is>
          <t>New</t>
        </is>
      </c>
      <c r="J744" s="12" t="inlineStr">
        <is>
          <t>Source assignment -- not individually reviewed</t>
        </is>
      </c>
      <c r="K744" s="12" t="inlineStr"/>
      <c r="L744" s="12" t="inlineStr"/>
      <c r="M744" s="12" t="inlineStr"/>
      <c r="N744" s="17" t="inlineStr">
        <is>
          <t>10 EVIDENCE &amp; DECISIONS</t>
        </is>
      </c>
    </row>
    <row r="745" ht="34" customHeight="1">
      <c r="A745" s="12" t="inlineStr">
        <is>
          <t>Contractor Programme</t>
        </is>
      </c>
      <c r="B745" s="12" t="inlineStr">
        <is>
          <t>SCH-03-090</t>
        </is>
      </c>
      <c r="C745" s="12" t="inlineStr">
        <is>
          <t>Central interlocking: signal equipment installation - inspection</t>
        </is>
      </c>
      <c r="D745" s="12" t="inlineStr">
        <is>
          <t>WBS Code = 1.3.2</t>
        </is>
      </c>
      <c r="E745" s="12" t="inlineStr">
        <is>
          <t>R450-v1</t>
        </is>
      </c>
      <c r="F745" s="12" t="inlineStr">
        <is>
          <t>1.3.2 Systems - Signalling &amp; Train Control</t>
        </is>
      </c>
      <c r="G745" s="12" t="inlineStr">
        <is>
          <t>ONE_TO_ONE</t>
        </is>
      </c>
      <c r="H745" s="12" t="inlineStr">
        <is>
          <t>APPROVED</t>
        </is>
      </c>
      <c r="I745" s="12" t="inlineStr">
        <is>
          <t>New</t>
        </is>
      </c>
      <c r="J745" s="12" t="inlineStr">
        <is>
          <t>Source assignment -- not individually reviewed</t>
        </is>
      </c>
      <c r="K745" s="12" t="inlineStr"/>
      <c r="L745" s="12" t="inlineStr"/>
      <c r="M745" s="12" t="inlineStr"/>
      <c r="N745" s="17" t="inlineStr">
        <is>
          <t>10 EVIDENCE &amp; DECISIONS</t>
        </is>
      </c>
    </row>
    <row r="746" ht="34" customHeight="1">
      <c r="A746" s="12" t="inlineStr">
        <is>
          <t>Contractor Programme</t>
        </is>
      </c>
      <c r="B746" s="12" t="inlineStr">
        <is>
          <t>SCH-03-093</t>
        </is>
      </c>
      <c r="C746" s="12" t="inlineStr">
        <is>
          <t>West wayside: fibre backbone termination - field start</t>
        </is>
      </c>
      <c r="D746" s="12" t="inlineStr">
        <is>
          <t>WBS Code = 1.3.2</t>
        </is>
      </c>
      <c r="E746" s="12" t="inlineStr">
        <is>
          <t>R453-v1</t>
        </is>
      </c>
      <c r="F746" s="12" t="inlineStr">
        <is>
          <t>1.3.2 Systems - Signalling &amp; Train Control</t>
        </is>
      </c>
      <c r="G746" s="12" t="inlineStr">
        <is>
          <t>ONE_TO_ONE</t>
        </is>
      </c>
      <c r="H746" s="12" t="inlineStr">
        <is>
          <t>APPROVED</t>
        </is>
      </c>
      <c r="I746" s="12" t="inlineStr">
        <is>
          <t>New</t>
        </is>
      </c>
      <c r="J746" s="12" t="inlineStr">
        <is>
          <t>Source assignment -- not individually reviewed</t>
        </is>
      </c>
      <c r="K746" s="12" t="inlineStr"/>
      <c r="L746" s="12" t="inlineStr"/>
      <c r="M746" s="12" t="inlineStr"/>
      <c r="N746" s="17" t="inlineStr">
        <is>
          <t>10 EVIDENCE &amp; DECISIONS</t>
        </is>
      </c>
    </row>
    <row r="747" ht="34" customHeight="1">
      <c r="A747" s="12" t="inlineStr">
        <is>
          <t>Contractor Programme</t>
        </is>
      </c>
      <c r="B747" s="12" t="inlineStr">
        <is>
          <t>SCH-03-096</t>
        </is>
      </c>
      <c r="C747" s="12" t="inlineStr">
        <is>
          <t>Harbour Station: train-control cabinet fit-out - turnover</t>
        </is>
      </c>
      <c r="D747" s="12" t="inlineStr">
        <is>
          <t>WBS Code = 1.3.2</t>
        </is>
      </c>
      <c r="E747" s="12" t="inlineStr">
        <is>
          <t>R456-v1</t>
        </is>
      </c>
      <c r="F747" s="12" t="inlineStr">
        <is>
          <t>1.3.2 Systems - Signalling &amp; Train Control</t>
        </is>
      </c>
      <c r="G747" s="12" t="inlineStr">
        <is>
          <t>ONE_TO_ONE</t>
        </is>
      </c>
      <c r="H747" s="12" t="inlineStr">
        <is>
          <t>APPROVED</t>
        </is>
      </c>
      <c r="I747" s="12" t="inlineStr">
        <is>
          <t>New</t>
        </is>
      </c>
      <c r="J747" s="12" t="inlineStr">
        <is>
          <t>Source assignment -- not individually reviewed</t>
        </is>
      </c>
      <c r="K747" s="12" t="inlineStr"/>
      <c r="L747" s="12" t="inlineStr"/>
      <c r="M747" s="12" t="inlineStr"/>
      <c r="N747" s="17" t="inlineStr">
        <is>
          <t>10 EVIDENCE &amp; DECISIONS</t>
        </is>
      </c>
    </row>
    <row r="748" ht="34" customHeight="1">
      <c r="A748" s="12" t="inlineStr">
        <is>
          <t>Contractor Programme</t>
        </is>
      </c>
      <c r="B748" s="12" t="inlineStr">
        <is>
          <t>SCH-03-099</t>
        </is>
      </c>
      <c r="C748" s="12" t="inlineStr">
        <is>
          <t>East substation: radio equipment installation - installation</t>
        </is>
      </c>
      <c r="D748" s="12" t="inlineStr">
        <is>
          <t>WBS Code = 1.3.2</t>
        </is>
      </c>
      <c r="E748" s="12" t="inlineStr">
        <is>
          <t>R459-v1</t>
        </is>
      </c>
      <c r="F748" s="12" t="inlineStr">
        <is>
          <t>1.3.2 Systems - Signalling &amp; Train Control</t>
        </is>
      </c>
      <c r="G748" s="12" t="inlineStr">
        <is>
          <t>ONE_TO_ONE</t>
        </is>
      </c>
      <c r="H748" s="12" t="inlineStr">
        <is>
          <t>APPROVED</t>
        </is>
      </c>
      <c r="I748" s="12" t="inlineStr">
        <is>
          <t>New</t>
        </is>
      </c>
      <c r="J748" s="12" t="inlineStr">
        <is>
          <t>Source assignment -- not individually reviewed</t>
        </is>
      </c>
      <c r="K748" s="12" t="inlineStr"/>
      <c r="L748" s="12" t="inlineStr"/>
      <c r="M748" s="12" t="inlineStr"/>
      <c r="N748" s="17" t="inlineStr">
        <is>
          <t>10 EVIDENCE &amp; DECISIONS</t>
        </is>
      </c>
    </row>
    <row r="749" ht="34" customHeight="1">
      <c r="A749" s="12" t="inlineStr">
        <is>
          <t>Contractor Programme</t>
        </is>
      </c>
      <c r="B749" s="12" t="inlineStr">
        <is>
          <t>SCH-03-102</t>
        </is>
      </c>
      <c r="C749" s="12" t="inlineStr">
        <is>
          <t>Control Centre: SCADA point-to-point check - release</t>
        </is>
      </c>
      <c r="D749" s="12" t="inlineStr">
        <is>
          <t>WBS Code = 1.3.2</t>
        </is>
      </c>
      <c r="E749" s="12" t="inlineStr">
        <is>
          <t>R462-v1</t>
        </is>
      </c>
      <c r="F749" s="12" t="inlineStr">
        <is>
          <t>1.3.2 Systems - Signalling &amp; Train Control</t>
        </is>
      </c>
      <c r="G749" s="12" t="inlineStr">
        <is>
          <t>ONE_TO_ONE</t>
        </is>
      </c>
      <c r="H749" s="12" t="inlineStr">
        <is>
          <t>APPROVED</t>
        </is>
      </c>
      <c r="I749" s="12" t="inlineStr">
        <is>
          <t>New</t>
        </is>
      </c>
      <c r="J749" s="12" t="inlineStr">
        <is>
          <t>Source assignment -- not individually reviewed</t>
        </is>
      </c>
      <c r="K749" s="12" t="inlineStr"/>
      <c r="L749" s="12" t="inlineStr"/>
      <c r="M749" s="12" t="inlineStr"/>
      <c r="N749" s="17" t="inlineStr">
        <is>
          <t>10 EVIDENCE &amp; DECISIONS</t>
        </is>
      </c>
    </row>
    <row r="750" ht="34" customHeight="1">
      <c r="A750" s="12" t="inlineStr">
        <is>
          <t>Contractor Programme</t>
        </is>
      </c>
      <c r="B750" s="12" t="inlineStr">
        <is>
          <t>SCH-03-105</t>
        </is>
      </c>
      <c r="C750" s="12" t="inlineStr">
        <is>
          <t>Central interlocking: wayside interface test - inspection</t>
        </is>
      </c>
      <c r="D750" s="12" t="inlineStr">
        <is>
          <t>WBS Code = 1.3.2</t>
        </is>
      </c>
      <c r="E750" s="12" t="inlineStr">
        <is>
          <t>R465-v1</t>
        </is>
      </c>
      <c r="F750" s="12" t="inlineStr">
        <is>
          <t>1.3.2 Systems - Signalling &amp; Train Control</t>
        </is>
      </c>
      <c r="G750" s="12" t="inlineStr">
        <is>
          <t>ONE_TO_ONE</t>
        </is>
      </c>
      <c r="H750" s="12" t="inlineStr">
        <is>
          <t>APPROVED</t>
        </is>
      </c>
      <c r="I750" s="12" t="inlineStr">
        <is>
          <t>New</t>
        </is>
      </c>
      <c r="J750" s="12" t="inlineStr">
        <is>
          <t>Source assignment -- not individually reviewed</t>
        </is>
      </c>
      <c r="K750" s="12" t="inlineStr"/>
      <c r="L750" s="12" t="inlineStr"/>
      <c r="M750" s="12" t="inlineStr"/>
      <c r="N750" s="17" t="inlineStr">
        <is>
          <t>10 EVIDENCE &amp; DECISIONS</t>
        </is>
      </c>
    </row>
    <row r="751" ht="34" customHeight="1">
      <c r="A751" s="12" t="inlineStr">
        <is>
          <t>Contractor Programme</t>
        </is>
      </c>
      <c r="B751" s="12" t="inlineStr">
        <is>
          <t>SCH-03-108</t>
        </is>
      </c>
      <c r="C751" s="12" t="inlineStr">
        <is>
          <t>West wayside: control-centre integration - field start</t>
        </is>
      </c>
      <c r="D751" s="12" t="inlineStr">
        <is>
          <t>WBS Code = 1.3.2</t>
        </is>
      </c>
      <c r="E751" s="12" t="inlineStr">
        <is>
          <t>R468-v1</t>
        </is>
      </c>
      <c r="F751" s="12" t="inlineStr">
        <is>
          <t>1.3.2 Systems - Signalling &amp; Train Control</t>
        </is>
      </c>
      <c r="G751" s="12" t="inlineStr">
        <is>
          <t>ONE_TO_ONE</t>
        </is>
      </c>
      <c r="H751" s="12" t="inlineStr">
        <is>
          <t>APPROVED</t>
        </is>
      </c>
      <c r="I751" s="12" t="inlineStr">
        <is>
          <t>New</t>
        </is>
      </c>
      <c r="J751" s="12" t="inlineStr">
        <is>
          <t>Source assignment -- not individually reviewed</t>
        </is>
      </c>
      <c r="K751" s="12" t="inlineStr"/>
      <c r="L751" s="12" t="inlineStr"/>
      <c r="M751" s="12" t="inlineStr"/>
      <c r="N751" s="17" t="inlineStr">
        <is>
          <t>10 EVIDENCE &amp; DECISIONS</t>
        </is>
      </c>
    </row>
    <row r="752" ht="34" customHeight="1">
      <c r="A752" s="12" t="inlineStr">
        <is>
          <t>Contractor Programme</t>
        </is>
      </c>
      <c r="B752" s="12" t="inlineStr">
        <is>
          <t>SCH-03-111</t>
        </is>
      </c>
      <c r="C752" s="12" t="inlineStr">
        <is>
          <t>Harbour Station: traction-power feeder pull - turnover</t>
        </is>
      </c>
      <c r="D752" s="12" t="inlineStr">
        <is>
          <t>WBS Code = 1.3.2</t>
        </is>
      </c>
      <c r="E752" s="12" t="inlineStr">
        <is>
          <t>R471-v1</t>
        </is>
      </c>
      <c r="F752" s="12" t="inlineStr">
        <is>
          <t>1.3.2 Systems - Signalling &amp; Train Control</t>
        </is>
      </c>
      <c r="G752" s="12" t="inlineStr">
        <is>
          <t>ONE_TO_ONE</t>
        </is>
      </c>
      <c r="H752" s="12" t="inlineStr">
        <is>
          <t>APPROVED</t>
        </is>
      </c>
      <c r="I752" s="12" t="inlineStr">
        <is>
          <t>New</t>
        </is>
      </c>
      <c r="J752" s="12" t="inlineStr">
        <is>
          <t>Source assignment -- not individually reviewed</t>
        </is>
      </c>
      <c r="K752" s="12" t="inlineStr"/>
      <c r="L752" s="12" t="inlineStr"/>
      <c r="M752" s="12" t="inlineStr"/>
      <c r="N752" s="17" t="inlineStr">
        <is>
          <t>10 EVIDENCE &amp; DECISIONS</t>
        </is>
      </c>
    </row>
    <row r="753" ht="34" customHeight="1">
      <c r="A753" s="12" t="inlineStr">
        <is>
          <t>Contractor Programme</t>
        </is>
      </c>
      <c r="B753" s="12" t="inlineStr">
        <is>
          <t>SCH-03-114</t>
        </is>
      </c>
      <c r="C753" s="12" t="inlineStr">
        <is>
          <t>East substation: signal equipment installation - installation</t>
        </is>
      </c>
      <c r="D753" s="12" t="inlineStr">
        <is>
          <t>WBS Code = 1.3.2</t>
        </is>
      </c>
      <c r="E753" s="12" t="inlineStr">
        <is>
          <t>R474-v1</t>
        </is>
      </c>
      <c r="F753" s="12" t="inlineStr">
        <is>
          <t>1.3.2 Systems - Signalling &amp; Train Control</t>
        </is>
      </c>
      <c r="G753" s="12" t="inlineStr">
        <is>
          <t>ONE_TO_ONE</t>
        </is>
      </c>
      <c r="H753" s="12" t="inlineStr">
        <is>
          <t>APPROVED</t>
        </is>
      </c>
      <c r="I753" s="12" t="inlineStr">
        <is>
          <t>New</t>
        </is>
      </c>
      <c r="J753" s="12" t="inlineStr">
        <is>
          <t>Source assignment -- not individually reviewed</t>
        </is>
      </c>
      <c r="K753" s="12" t="inlineStr"/>
      <c r="L753" s="12" t="inlineStr"/>
      <c r="M753" s="12" t="inlineStr"/>
      <c r="N753" s="17" t="inlineStr">
        <is>
          <t>10 EVIDENCE &amp; DECISIONS</t>
        </is>
      </c>
    </row>
    <row r="754" ht="34" customHeight="1">
      <c r="A754" s="12" t="inlineStr">
        <is>
          <t>Contractor Programme</t>
        </is>
      </c>
      <c r="B754" s="12" t="inlineStr">
        <is>
          <t>SCH-03-117</t>
        </is>
      </c>
      <c r="C754" s="12" t="inlineStr">
        <is>
          <t>Control Centre: fibre backbone termination - release</t>
        </is>
      </c>
      <c r="D754" s="12" t="inlineStr">
        <is>
          <t>WBS Code = 1.3.2</t>
        </is>
      </c>
      <c r="E754" s="12" t="inlineStr">
        <is>
          <t>R477-v1</t>
        </is>
      </c>
      <c r="F754" s="12" t="inlineStr">
        <is>
          <t>1.3.2 Systems - Signalling &amp; Train Control</t>
        </is>
      </c>
      <c r="G754" s="12" t="inlineStr">
        <is>
          <t>ONE_TO_ONE</t>
        </is>
      </c>
      <c r="H754" s="12" t="inlineStr">
        <is>
          <t>APPROVED</t>
        </is>
      </c>
      <c r="I754" s="12" t="inlineStr">
        <is>
          <t>New</t>
        </is>
      </c>
      <c r="J754" s="12" t="inlineStr">
        <is>
          <t>Source assignment -- not individually reviewed</t>
        </is>
      </c>
      <c r="K754" s="12" t="inlineStr"/>
      <c r="L754" s="12" t="inlineStr"/>
      <c r="M754" s="12" t="inlineStr"/>
      <c r="N754" s="17" t="inlineStr">
        <is>
          <t>10 EVIDENCE &amp; DECISIONS</t>
        </is>
      </c>
    </row>
    <row r="755" ht="34" customHeight="1">
      <c r="A755" s="12" t="inlineStr">
        <is>
          <t>Contractor Programme</t>
        </is>
      </c>
      <c r="B755" s="12" t="inlineStr">
        <is>
          <t>SCH-03-120</t>
        </is>
      </c>
      <c r="C755" s="12" t="inlineStr">
        <is>
          <t>Central interlocking: train-control cabinet fit-out - inspection</t>
        </is>
      </c>
      <c r="D755" s="12" t="inlineStr">
        <is>
          <t>WBS Code = 1.3.2</t>
        </is>
      </c>
      <c r="E755" s="12" t="inlineStr">
        <is>
          <t>R480-v1</t>
        </is>
      </c>
      <c r="F755" s="12" t="inlineStr">
        <is>
          <t>1.3.2 Systems - Signalling &amp; Train Control</t>
        </is>
      </c>
      <c r="G755" s="12" t="inlineStr">
        <is>
          <t>ONE_TO_ONE</t>
        </is>
      </c>
      <c r="H755" s="12" t="inlineStr">
        <is>
          <t>APPROVED</t>
        </is>
      </c>
      <c r="I755" s="12" t="inlineStr">
        <is>
          <t>New</t>
        </is>
      </c>
      <c r="J755" s="12" t="inlineStr">
        <is>
          <t>Source assignment -- not individually reviewed</t>
        </is>
      </c>
      <c r="K755" s="12" t="inlineStr"/>
      <c r="L755" s="12" t="inlineStr"/>
      <c r="M755" s="12" t="inlineStr"/>
      <c r="N755" s="17" t="inlineStr">
        <is>
          <t>10 EVIDENCE &amp; DECISIONS</t>
        </is>
      </c>
    </row>
    <row r="756" ht="34" customHeight="1">
      <c r="A756" s="12" t="inlineStr">
        <is>
          <t>Contractor Programme</t>
        </is>
      </c>
      <c r="B756" s="12" t="inlineStr">
        <is>
          <t>SCH-03-123</t>
        </is>
      </c>
      <c r="C756" s="12" t="inlineStr">
        <is>
          <t>West wayside: radio equipment installation - field start</t>
        </is>
      </c>
      <c r="D756" s="12" t="inlineStr">
        <is>
          <t>WBS Code = 1.3.2</t>
        </is>
      </c>
      <c r="E756" s="12" t="inlineStr">
        <is>
          <t>R483-v1</t>
        </is>
      </c>
      <c r="F756" s="12" t="inlineStr">
        <is>
          <t>1.3.2 Systems - Signalling &amp; Train Control</t>
        </is>
      </c>
      <c r="G756" s="12" t="inlineStr">
        <is>
          <t>ONE_TO_ONE</t>
        </is>
      </c>
      <c r="H756" s="12" t="inlineStr">
        <is>
          <t>APPROVED</t>
        </is>
      </c>
      <c r="I756" s="12" t="inlineStr">
        <is>
          <t>New</t>
        </is>
      </c>
      <c r="J756" s="12" t="inlineStr">
        <is>
          <t>Source assignment -- not individually reviewed</t>
        </is>
      </c>
      <c r="K756" s="12" t="inlineStr"/>
      <c r="L756" s="12" t="inlineStr"/>
      <c r="M756" s="12" t="inlineStr"/>
      <c r="N756" s="17" t="inlineStr">
        <is>
          <t>10 EVIDENCE &amp; DECISIONS</t>
        </is>
      </c>
    </row>
    <row r="757" ht="34" customHeight="1">
      <c r="A757" s="12" t="inlineStr">
        <is>
          <t>Contractor Programme</t>
        </is>
      </c>
      <c r="B757" s="12" t="inlineStr">
        <is>
          <t>SCH-03-126</t>
        </is>
      </c>
      <c r="C757" s="12" t="inlineStr">
        <is>
          <t>Harbour Station: SCADA point-to-point check - turnover</t>
        </is>
      </c>
      <c r="D757" s="12" t="inlineStr">
        <is>
          <t>WBS Code = 1.3.2</t>
        </is>
      </c>
      <c r="E757" s="12" t="inlineStr">
        <is>
          <t>R486-v1</t>
        </is>
      </c>
      <c r="F757" s="12" t="inlineStr">
        <is>
          <t>1.3.2 Systems - Signalling &amp; Train Control</t>
        </is>
      </c>
      <c r="G757" s="12" t="inlineStr">
        <is>
          <t>ONE_TO_ONE</t>
        </is>
      </c>
      <c r="H757" s="12" t="inlineStr">
        <is>
          <t>APPROVED</t>
        </is>
      </c>
      <c r="I757" s="12" t="inlineStr">
        <is>
          <t>New</t>
        </is>
      </c>
      <c r="J757" s="12" t="inlineStr">
        <is>
          <t>Source assignment -- not individually reviewed</t>
        </is>
      </c>
      <c r="K757" s="12" t="inlineStr"/>
      <c r="L757" s="12" t="inlineStr"/>
      <c r="M757" s="12" t="inlineStr"/>
      <c r="N757" s="17" t="inlineStr">
        <is>
          <t>10 EVIDENCE &amp; DECISIONS</t>
        </is>
      </c>
    </row>
    <row r="758" ht="34" customHeight="1">
      <c r="A758" s="12" t="inlineStr">
        <is>
          <t>Contractor Programme</t>
        </is>
      </c>
      <c r="B758" s="12" t="inlineStr">
        <is>
          <t>SCH-03-129</t>
        </is>
      </c>
      <c r="C758" s="12" t="inlineStr">
        <is>
          <t>East substation: wayside interface test - installation</t>
        </is>
      </c>
      <c r="D758" s="12" t="inlineStr">
        <is>
          <t>WBS Code = 1.3.2</t>
        </is>
      </c>
      <c r="E758" s="12" t="inlineStr">
        <is>
          <t>R489-v1</t>
        </is>
      </c>
      <c r="F758" s="12" t="inlineStr">
        <is>
          <t>1.3.2 Systems - Signalling &amp; Train Control</t>
        </is>
      </c>
      <c r="G758" s="12" t="inlineStr">
        <is>
          <t>ONE_TO_ONE</t>
        </is>
      </c>
      <c r="H758" s="12" t="inlineStr">
        <is>
          <t>APPROVED</t>
        </is>
      </c>
      <c r="I758" s="12" t="inlineStr">
        <is>
          <t>New</t>
        </is>
      </c>
      <c r="J758" s="12" t="inlineStr">
        <is>
          <t>Source assignment -- not individually reviewed</t>
        </is>
      </c>
      <c r="K758" s="12" t="inlineStr"/>
      <c r="L758" s="12" t="inlineStr"/>
      <c r="M758" s="12" t="inlineStr"/>
      <c r="N758" s="17" t="inlineStr">
        <is>
          <t>10 EVIDENCE &amp; DECISIONS</t>
        </is>
      </c>
    </row>
    <row r="759" ht="34" customHeight="1">
      <c r="A759" s="12" t="inlineStr">
        <is>
          <t>Contractor Programme</t>
        </is>
      </c>
      <c r="B759" s="12" t="inlineStr">
        <is>
          <t>SCH-03-132</t>
        </is>
      </c>
      <c r="C759" s="12" t="inlineStr">
        <is>
          <t>Control Centre: control-centre integration - release</t>
        </is>
      </c>
      <c r="D759" s="12" t="inlineStr">
        <is>
          <t>WBS Code = 1.3.2</t>
        </is>
      </c>
      <c r="E759" s="12" t="inlineStr">
        <is>
          <t>R492-v1</t>
        </is>
      </c>
      <c r="F759" s="12" t="inlineStr">
        <is>
          <t>1.3.2 Systems - Signalling &amp; Train Control</t>
        </is>
      </c>
      <c r="G759" s="12" t="inlineStr">
        <is>
          <t>ONE_TO_ONE</t>
        </is>
      </c>
      <c r="H759" s="12" t="inlineStr">
        <is>
          <t>APPROVED</t>
        </is>
      </c>
      <c r="I759" s="12" t="inlineStr">
        <is>
          <t>New</t>
        </is>
      </c>
      <c r="J759" s="12" t="inlineStr">
        <is>
          <t>Source assignment -- not individually reviewed</t>
        </is>
      </c>
      <c r="K759" s="12" t="inlineStr"/>
      <c r="L759" s="12" t="inlineStr"/>
      <c r="M759" s="12" t="inlineStr"/>
      <c r="N759" s="17" t="inlineStr">
        <is>
          <t>10 EVIDENCE &amp; DECISIONS</t>
        </is>
      </c>
    </row>
    <row r="760" ht="34" customHeight="1">
      <c r="A760" s="12" t="inlineStr">
        <is>
          <t>Contractor Programme</t>
        </is>
      </c>
      <c r="B760" s="12" t="inlineStr">
        <is>
          <t>SCH-03-135</t>
        </is>
      </c>
      <c r="C760" s="12" t="inlineStr">
        <is>
          <t>Central interlocking: traction-power feeder pull - inspection</t>
        </is>
      </c>
      <c r="D760" s="12" t="inlineStr">
        <is>
          <t>WBS Code = 1.3.2</t>
        </is>
      </c>
      <c r="E760" s="12" t="inlineStr">
        <is>
          <t>R495-v1</t>
        </is>
      </c>
      <c r="F760" s="12" t="inlineStr">
        <is>
          <t>1.3.2 Systems - Signalling &amp; Train Control</t>
        </is>
      </c>
      <c r="G760" s="12" t="inlineStr">
        <is>
          <t>ONE_TO_ONE</t>
        </is>
      </c>
      <c r="H760" s="12" t="inlineStr">
        <is>
          <t>APPROVED</t>
        </is>
      </c>
      <c r="I760" s="12" t="inlineStr">
        <is>
          <t>New</t>
        </is>
      </c>
      <c r="J760" s="12" t="inlineStr">
        <is>
          <t>Source assignment -- not individually reviewed</t>
        </is>
      </c>
      <c r="K760" s="12" t="inlineStr"/>
      <c r="L760" s="12" t="inlineStr"/>
      <c r="M760" s="12" t="inlineStr"/>
      <c r="N760" s="17" t="inlineStr">
        <is>
          <t>10 EVIDENCE &amp; DECISIONS</t>
        </is>
      </c>
    </row>
    <row r="761" ht="34" customHeight="1">
      <c r="A761" s="12" t="inlineStr">
        <is>
          <t>Contractor Programme</t>
        </is>
      </c>
      <c r="B761" s="12" t="inlineStr">
        <is>
          <t>SCH-03-138</t>
        </is>
      </c>
      <c r="C761" s="12" t="inlineStr">
        <is>
          <t>West wayside: signal equipment installation - field start</t>
        </is>
      </c>
      <c r="D761" s="12" t="inlineStr">
        <is>
          <t>WBS Code = 1.3.2</t>
        </is>
      </c>
      <c r="E761" s="12" t="inlineStr">
        <is>
          <t>R498-v1</t>
        </is>
      </c>
      <c r="F761" s="12" t="inlineStr">
        <is>
          <t>1.3.2 Systems - Signalling &amp; Train Control</t>
        </is>
      </c>
      <c r="G761" s="12" t="inlineStr">
        <is>
          <t>ONE_TO_ONE</t>
        </is>
      </c>
      <c r="H761" s="12" t="inlineStr">
        <is>
          <t>APPROVED</t>
        </is>
      </c>
      <c r="I761" s="12" t="inlineStr">
        <is>
          <t>New</t>
        </is>
      </c>
      <c r="J761" s="12" t="inlineStr">
        <is>
          <t>Source assignment -- not individually reviewed</t>
        </is>
      </c>
      <c r="K761" s="12" t="inlineStr"/>
      <c r="L761" s="12" t="inlineStr"/>
      <c r="M761" s="12" t="inlineStr"/>
      <c r="N761" s="17" t="inlineStr">
        <is>
          <t>10 EVIDENCE &amp; DECISIONS</t>
        </is>
      </c>
    </row>
    <row r="762" ht="34" customHeight="1">
      <c r="A762" s="12" t="inlineStr">
        <is>
          <t>Contractor Programme</t>
        </is>
      </c>
      <c r="B762" s="12" t="inlineStr">
        <is>
          <t>SCH-03-141</t>
        </is>
      </c>
      <c r="C762" s="12" t="inlineStr">
        <is>
          <t>Harbour Station: fibre backbone termination - turnover</t>
        </is>
      </c>
      <c r="D762" s="12" t="inlineStr">
        <is>
          <t>WBS Code = 1.3.2</t>
        </is>
      </c>
      <c r="E762" s="12" t="inlineStr">
        <is>
          <t>R501-v1</t>
        </is>
      </c>
      <c r="F762" s="12" t="inlineStr">
        <is>
          <t>1.3.2 Systems - Signalling &amp; Train Control</t>
        </is>
      </c>
      <c r="G762" s="12" t="inlineStr">
        <is>
          <t>ONE_TO_ONE</t>
        </is>
      </c>
      <c r="H762" s="12" t="inlineStr">
        <is>
          <t>APPROVED</t>
        </is>
      </c>
      <c r="I762" s="12" t="inlineStr">
        <is>
          <t>New</t>
        </is>
      </c>
      <c r="J762" s="12" t="inlineStr">
        <is>
          <t>Source assignment -- not individually reviewed</t>
        </is>
      </c>
      <c r="K762" s="12" t="inlineStr"/>
      <c r="L762" s="12" t="inlineStr"/>
      <c r="M762" s="12" t="inlineStr"/>
      <c r="N762" s="17" t="inlineStr">
        <is>
          <t>10 EVIDENCE &amp; DECISIONS</t>
        </is>
      </c>
    </row>
    <row r="763" ht="34" customHeight="1">
      <c r="A763" s="12" t="inlineStr">
        <is>
          <t>Contractor Programme</t>
        </is>
      </c>
      <c r="B763" s="12" t="inlineStr">
        <is>
          <t>SCH-03-144</t>
        </is>
      </c>
      <c r="C763" s="12" t="inlineStr">
        <is>
          <t>East substation: train-control cabinet fit-out - installation</t>
        </is>
      </c>
      <c r="D763" s="12" t="inlineStr">
        <is>
          <t>WBS Code = 1.3.2</t>
        </is>
      </c>
      <c r="E763" s="12" t="inlineStr">
        <is>
          <t>R504-v1</t>
        </is>
      </c>
      <c r="F763" s="12" t="inlineStr">
        <is>
          <t>1.3.2 Systems - Signalling &amp; Train Control</t>
        </is>
      </c>
      <c r="G763" s="12" t="inlineStr">
        <is>
          <t>ONE_TO_ONE</t>
        </is>
      </c>
      <c r="H763" s="12" t="inlineStr">
        <is>
          <t>APPROVED</t>
        </is>
      </c>
      <c r="I763" s="12" t="inlineStr">
        <is>
          <t>New</t>
        </is>
      </c>
      <c r="J763" s="12" t="inlineStr">
        <is>
          <t>Source assignment -- not individually reviewed</t>
        </is>
      </c>
      <c r="K763" s="12" t="inlineStr"/>
      <c r="L763" s="12" t="inlineStr"/>
      <c r="M763" s="12" t="inlineStr"/>
      <c r="N763" s="17" t="inlineStr">
        <is>
          <t>10 EVIDENCE &amp; DECISIONS</t>
        </is>
      </c>
    </row>
    <row r="764" ht="34" customHeight="1">
      <c r="A764" s="12" t="inlineStr">
        <is>
          <t>Contractor Programme</t>
        </is>
      </c>
      <c r="B764" s="12" t="inlineStr">
        <is>
          <t>SCH-03-147</t>
        </is>
      </c>
      <c r="C764" s="12" t="inlineStr">
        <is>
          <t>Control Centre: radio equipment installation - release</t>
        </is>
      </c>
      <c r="D764" s="12" t="inlineStr">
        <is>
          <t>WBS Code = 1.3.2</t>
        </is>
      </c>
      <c r="E764" s="12" t="inlineStr">
        <is>
          <t>R507-v1</t>
        </is>
      </c>
      <c r="F764" s="12" t="inlineStr">
        <is>
          <t>1.3.2 Systems - Signalling &amp; Train Control</t>
        </is>
      </c>
      <c r="G764" s="12" t="inlineStr">
        <is>
          <t>ONE_TO_ONE</t>
        </is>
      </c>
      <c r="H764" s="12" t="inlineStr">
        <is>
          <t>APPROVED</t>
        </is>
      </c>
      <c r="I764" s="12" t="inlineStr">
        <is>
          <t>New</t>
        </is>
      </c>
      <c r="J764" s="12" t="inlineStr">
        <is>
          <t>Source assignment -- not individually reviewed</t>
        </is>
      </c>
      <c r="K764" s="12" t="inlineStr"/>
      <c r="L764" s="12" t="inlineStr"/>
      <c r="M764" s="12" t="inlineStr"/>
      <c r="N764" s="17" t="inlineStr">
        <is>
          <t>10 EVIDENCE &amp; DECISIONS</t>
        </is>
      </c>
    </row>
    <row r="765" ht="34" customHeight="1">
      <c r="A765" s="12" t="inlineStr">
        <is>
          <t>Contractor Programme</t>
        </is>
      </c>
      <c r="B765" s="12" t="inlineStr">
        <is>
          <t>SCH-03-150</t>
        </is>
      </c>
      <c r="C765" s="12" t="inlineStr">
        <is>
          <t>Central interlocking: SCADA point-to-point check - inspection</t>
        </is>
      </c>
      <c r="D765" s="12" t="inlineStr">
        <is>
          <t>WBS Code = 1.3.2</t>
        </is>
      </c>
      <c r="E765" s="12" t="inlineStr">
        <is>
          <t>R510-v1</t>
        </is>
      </c>
      <c r="F765" s="12" t="inlineStr">
        <is>
          <t>1.3.2 Systems - Signalling &amp; Train Control</t>
        </is>
      </c>
      <c r="G765" s="12" t="inlineStr">
        <is>
          <t>ONE_TO_ONE</t>
        </is>
      </c>
      <c r="H765" s="12" t="inlineStr">
        <is>
          <t>APPROVED</t>
        </is>
      </c>
      <c r="I765" s="12" t="inlineStr">
        <is>
          <t>New</t>
        </is>
      </c>
      <c r="J765" s="12" t="inlineStr">
        <is>
          <t>Source assignment -- not individually reviewed</t>
        </is>
      </c>
      <c r="K765" s="12" t="inlineStr"/>
      <c r="L765" s="12" t="inlineStr"/>
      <c r="M765" s="12" t="inlineStr"/>
      <c r="N765" s="17" t="inlineStr">
        <is>
          <t>10 EVIDENCE &amp; DECISIONS</t>
        </is>
      </c>
    </row>
    <row r="766" ht="34" customHeight="1">
      <c r="A766" s="12" t="inlineStr">
        <is>
          <t>Contractor Programme</t>
        </is>
      </c>
      <c r="B766" s="12" t="inlineStr">
        <is>
          <t>SCH-03-153</t>
        </is>
      </c>
      <c r="C766" s="12" t="inlineStr">
        <is>
          <t>West wayside: wayside interface test - field start</t>
        </is>
      </c>
      <c r="D766" s="12" t="inlineStr">
        <is>
          <t>WBS Code = 1.3.2</t>
        </is>
      </c>
      <c r="E766" s="12" t="inlineStr">
        <is>
          <t>R513-v1</t>
        </is>
      </c>
      <c r="F766" s="12" t="inlineStr">
        <is>
          <t>1.3.2 Systems - Signalling &amp; Train Control</t>
        </is>
      </c>
      <c r="G766" s="12" t="inlineStr">
        <is>
          <t>ONE_TO_ONE</t>
        </is>
      </c>
      <c r="H766" s="12" t="inlineStr">
        <is>
          <t>APPROVED</t>
        </is>
      </c>
      <c r="I766" s="12" t="inlineStr">
        <is>
          <t>New</t>
        </is>
      </c>
      <c r="J766" s="12" t="inlineStr">
        <is>
          <t>Source assignment -- not individually reviewed</t>
        </is>
      </c>
      <c r="K766" s="12" t="inlineStr"/>
      <c r="L766" s="12" t="inlineStr"/>
      <c r="M766" s="12" t="inlineStr"/>
      <c r="N766" s="17" t="inlineStr">
        <is>
          <t>10 EVIDENCE &amp; DECISIONS</t>
        </is>
      </c>
    </row>
    <row r="767" ht="34" customHeight="1">
      <c r="A767" s="12" t="inlineStr">
        <is>
          <t>Contractor Programme</t>
        </is>
      </c>
      <c r="B767" s="12" t="inlineStr">
        <is>
          <t>SCH-03-156</t>
        </is>
      </c>
      <c r="C767" s="12" t="inlineStr">
        <is>
          <t>Harbour Station: control-centre integration - turnover</t>
        </is>
      </c>
      <c r="D767" s="12" t="inlineStr">
        <is>
          <t>WBS Code = 1.3.2</t>
        </is>
      </c>
      <c r="E767" s="12" t="inlineStr">
        <is>
          <t>R516-v1</t>
        </is>
      </c>
      <c r="F767" s="12" t="inlineStr">
        <is>
          <t>1.3.2 Systems - Signalling &amp; Train Control</t>
        </is>
      </c>
      <c r="G767" s="12" t="inlineStr">
        <is>
          <t>ONE_TO_ONE</t>
        </is>
      </c>
      <c r="H767" s="12" t="inlineStr">
        <is>
          <t>APPROVED</t>
        </is>
      </c>
      <c r="I767" s="12" t="inlineStr">
        <is>
          <t>New</t>
        </is>
      </c>
      <c r="J767" s="12" t="inlineStr">
        <is>
          <t>Source assignment -- not individually reviewed</t>
        </is>
      </c>
      <c r="K767" s="12" t="inlineStr"/>
      <c r="L767" s="12" t="inlineStr"/>
      <c r="M767" s="12" t="inlineStr"/>
      <c r="N767" s="17" t="inlineStr">
        <is>
          <t>10 EVIDENCE &amp; DECISIONS</t>
        </is>
      </c>
    </row>
    <row r="768" ht="34" customHeight="1">
      <c r="A768" s="12" t="inlineStr">
        <is>
          <t>Contractor Programme</t>
        </is>
      </c>
      <c r="B768" s="12" t="inlineStr">
        <is>
          <t>SCH-03-159</t>
        </is>
      </c>
      <c r="C768" s="12" t="inlineStr">
        <is>
          <t>East substation: traction-power feeder pull - installation</t>
        </is>
      </c>
      <c r="D768" s="12" t="inlineStr">
        <is>
          <t>WBS Code = 1.3.2</t>
        </is>
      </c>
      <c r="E768" s="12" t="inlineStr">
        <is>
          <t>R519-v1</t>
        </is>
      </c>
      <c r="F768" s="12" t="inlineStr">
        <is>
          <t>1.3.2 Systems - Signalling &amp; Train Control</t>
        </is>
      </c>
      <c r="G768" s="12" t="inlineStr">
        <is>
          <t>ONE_TO_ONE</t>
        </is>
      </c>
      <c r="H768" s="12" t="inlineStr">
        <is>
          <t>APPROVED</t>
        </is>
      </c>
      <c r="I768" s="12" t="inlineStr">
        <is>
          <t>New</t>
        </is>
      </c>
      <c r="J768" s="12" t="inlineStr">
        <is>
          <t>Source assignment -- not individually reviewed</t>
        </is>
      </c>
      <c r="K768" s="12" t="inlineStr"/>
      <c r="L768" s="12" t="inlineStr"/>
      <c r="M768" s="12" t="inlineStr"/>
      <c r="N768" s="17" t="inlineStr">
        <is>
          <t>10 EVIDENCE &amp; DECISIONS</t>
        </is>
      </c>
    </row>
    <row r="769" ht="34" customHeight="1">
      <c r="A769" s="12" t="inlineStr">
        <is>
          <t>Contractor Programme</t>
        </is>
      </c>
      <c r="B769" s="12" t="inlineStr">
        <is>
          <t>SCH-03-162</t>
        </is>
      </c>
      <c r="C769" s="12" t="inlineStr">
        <is>
          <t>Control Centre: signal equipment installation - release</t>
        </is>
      </c>
      <c r="D769" s="12" t="inlineStr">
        <is>
          <t>WBS Code = 1.3.2</t>
        </is>
      </c>
      <c r="E769" s="12" t="inlineStr">
        <is>
          <t>R522-v1</t>
        </is>
      </c>
      <c r="F769" s="12" t="inlineStr">
        <is>
          <t>1.3.2 Systems - Signalling &amp; Train Control</t>
        </is>
      </c>
      <c r="G769" s="12" t="inlineStr">
        <is>
          <t>ONE_TO_ONE</t>
        </is>
      </c>
      <c r="H769" s="12" t="inlineStr">
        <is>
          <t>APPROVED</t>
        </is>
      </c>
      <c r="I769" s="12" t="inlineStr">
        <is>
          <t>New</t>
        </is>
      </c>
      <c r="J769" s="12" t="inlineStr">
        <is>
          <t>Source assignment -- not individually reviewed</t>
        </is>
      </c>
      <c r="K769" s="12" t="inlineStr"/>
      <c r="L769" s="12" t="inlineStr"/>
      <c r="M769" s="12" t="inlineStr"/>
      <c r="N769" s="17" t="inlineStr">
        <is>
          <t>10 EVIDENCE &amp; DECISIONS</t>
        </is>
      </c>
    </row>
    <row r="770" ht="34" customHeight="1">
      <c r="A770" s="12" t="inlineStr">
        <is>
          <t>Contractor Programme</t>
        </is>
      </c>
      <c r="B770" s="12" t="inlineStr">
        <is>
          <t>SCH-03-165</t>
        </is>
      </c>
      <c r="C770" s="12" t="inlineStr">
        <is>
          <t>Central interlocking: fibre backbone termination - inspection</t>
        </is>
      </c>
      <c r="D770" s="12" t="inlineStr">
        <is>
          <t>WBS Code = 1.3.2</t>
        </is>
      </c>
      <c r="E770" s="12" t="inlineStr">
        <is>
          <t>R525-v1</t>
        </is>
      </c>
      <c r="F770" s="12" t="inlineStr">
        <is>
          <t>1.3.2 Systems - Signalling &amp; Train Control</t>
        </is>
      </c>
      <c r="G770" s="12" t="inlineStr">
        <is>
          <t>ONE_TO_ONE</t>
        </is>
      </c>
      <c r="H770" s="12" t="inlineStr">
        <is>
          <t>APPROVED</t>
        </is>
      </c>
      <c r="I770" s="12" t="inlineStr">
        <is>
          <t>New</t>
        </is>
      </c>
      <c r="J770" s="12" t="inlineStr">
        <is>
          <t>Source assignment -- not individually reviewed</t>
        </is>
      </c>
      <c r="K770" s="12" t="inlineStr"/>
      <c r="L770" s="12" t="inlineStr"/>
      <c r="M770" s="12" t="inlineStr"/>
      <c r="N770" s="17" t="inlineStr">
        <is>
          <t>10 EVIDENCE &amp; DECISIONS</t>
        </is>
      </c>
    </row>
    <row r="771" ht="34" customHeight="1">
      <c r="A771" s="12" t="inlineStr">
        <is>
          <t>Contractor Programme</t>
        </is>
      </c>
      <c r="B771" s="12" t="inlineStr">
        <is>
          <t>SCH-03-168</t>
        </is>
      </c>
      <c r="C771" s="12" t="inlineStr">
        <is>
          <t>West wayside: train-control cabinet fit-out - field start</t>
        </is>
      </c>
      <c r="D771" s="12" t="inlineStr">
        <is>
          <t>WBS Code = 1.3.2</t>
        </is>
      </c>
      <c r="E771" s="12" t="inlineStr">
        <is>
          <t>R528-v1</t>
        </is>
      </c>
      <c r="F771" s="12" t="inlineStr">
        <is>
          <t>1.3.2 Systems - Signalling &amp; Train Control</t>
        </is>
      </c>
      <c r="G771" s="12" t="inlineStr">
        <is>
          <t>ONE_TO_ONE</t>
        </is>
      </c>
      <c r="H771" s="12" t="inlineStr">
        <is>
          <t>APPROVED</t>
        </is>
      </c>
      <c r="I771" s="12" t="inlineStr">
        <is>
          <t>New</t>
        </is>
      </c>
      <c r="J771" s="12" t="inlineStr">
        <is>
          <t>Source assignment -- not individually reviewed</t>
        </is>
      </c>
      <c r="K771" s="12" t="inlineStr"/>
      <c r="L771" s="12" t="inlineStr"/>
      <c r="M771" s="12" t="inlineStr"/>
      <c r="N771" s="17" t="inlineStr">
        <is>
          <t>10 EVIDENCE &amp; DECISIONS</t>
        </is>
      </c>
    </row>
    <row r="772" ht="34" customHeight="1">
      <c r="A772" s="12" t="inlineStr">
        <is>
          <t>Contractor Programme</t>
        </is>
      </c>
      <c r="B772" s="12" t="inlineStr">
        <is>
          <t>SCH-03-171</t>
        </is>
      </c>
      <c r="C772" s="12" t="inlineStr">
        <is>
          <t>Harbour Station: radio equipment installation - turnover</t>
        </is>
      </c>
      <c r="D772" s="12" t="inlineStr">
        <is>
          <t>WBS Code = 1.3.2</t>
        </is>
      </c>
      <c r="E772" s="12" t="inlineStr">
        <is>
          <t>R531-v1</t>
        </is>
      </c>
      <c r="F772" s="12" t="inlineStr">
        <is>
          <t>1.3.2 Systems - Signalling &amp; Train Control</t>
        </is>
      </c>
      <c r="G772" s="12" t="inlineStr">
        <is>
          <t>ONE_TO_ONE</t>
        </is>
      </c>
      <c r="H772" s="12" t="inlineStr">
        <is>
          <t>APPROVED</t>
        </is>
      </c>
      <c r="I772" s="12" t="inlineStr">
        <is>
          <t>New</t>
        </is>
      </c>
      <c r="J772" s="12" t="inlineStr">
        <is>
          <t>Source assignment -- not individually reviewed</t>
        </is>
      </c>
      <c r="K772" s="12" t="inlineStr"/>
      <c r="L772" s="12" t="inlineStr"/>
      <c r="M772" s="12" t="inlineStr"/>
      <c r="N772" s="17" t="inlineStr">
        <is>
          <t>10 EVIDENCE &amp; DECISIONS</t>
        </is>
      </c>
    </row>
    <row r="773" ht="34" customHeight="1">
      <c r="A773" s="12" t="inlineStr">
        <is>
          <t>Contractor Programme</t>
        </is>
      </c>
      <c r="B773" s="12" t="inlineStr">
        <is>
          <t>SCH-03-174</t>
        </is>
      </c>
      <c r="C773" s="12" t="inlineStr">
        <is>
          <t>East substation: SCADA point-to-point check - installation</t>
        </is>
      </c>
      <c r="D773" s="12" t="inlineStr">
        <is>
          <t>WBS Code = 1.3.2</t>
        </is>
      </c>
      <c r="E773" s="12" t="inlineStr">
        <is>
          <t>R534-v1</t>
        </is>
      </c>
      <c r="F773" s="12" t="inlineStr">
        <is>
          <t>1.3.2 Systems - Signalling &amp; Train Control</t>
        </is>
      </c>
      <c r="G773" s="12" t="inlineStr">
        <is>
          <t>ONE_TO_ONE</t>
        </is>
      </c>
      <c r="H773" s="12" t="inlineStr">
        <is>
          <t>APPROVED</t>
        </is>
      </c>
      <c r="I773" s="12" t="inlineStr">
        <is>
          <t>New</t>
        </is>
      </c>
      <c r="J773" s="12" t="inlineStr">
        <is>
          <t>Source assignment -- not individually reviewed</t>
        </is>
      </c>
      <c r="K773" s="12" t="inlineStr"/>
      <c r="L773" s="12" t="inlineStr"/>
      <c r="M773" s="12" t="inlineStr"/>
      <c r="N773" s="17" t="inlineStr">
        <is>
          <t>10 EVIDENCE &amp; DECISIONS</t>
        </is>
      </c>
    </row>
    <row r="774" ht="34" customHeight="1">
      <c r="A774" s="12" t="inlineStr">
        <is>
          <t>Contractor Programme</t>
        </is>
      </c>
      <c r="B774" s="12" t="inlineStr">
        <is>
          <t>SCH-03-177</t>
        </is>
      </c>
      <c r="C774" s="12" t="inlineStr">
        <is>
          <t>Control Centre: wayside interface test - release</t>
        </is>
      </c>
      <c r="D774" s="12" t="inlineStr">
        <is>
          <t>WBS Code = 1.3.2</t>
        </is>
      </c>
      <c r="E774" s="12" t="inlineStr">
        <is>
          <t>R537-v1</t>
        </is>
      </c>
      <c r="F774" s="12" t="inlineStr">
        <is>
          <t>1.3.2 Systems - Signalling &amp; Train Control</t>
        </is>
      </c>
      <c r="G774" s="12" t="inlineStr">
        <is>
          <t>ONE_TO_ONE</t>
        </is>
      </c>
      <c r="H774" s="12" t="inlineStr">
        <is>
          <t>APPROVED</t>
        </is>
      </c>
      <c r="I774" s="12" t="inlineStr">
        <is>
          <t>New</t>
        </is>
      </c>
      <c r="J774" s="12" t="inlineStr">
        <is>
          <t>Source assignment -- not individually reviewed</t>
        </is>
      </c>
      <c r="K774" s="12" t="inlineStr"/>
      <c r="L774" s="12" t="inlineStr"/>
      <c r="M774" s="12" t="inlineStr"/>
      <c r="N774" s="17" t="inlineStr">
        <is>
          <t>10 EVIDENCE &amp; DECISIONS</t>
        </is>
      </c>
    </row>
    <row r="775" ht="34" customHeight="1">
      <c r="A775" s="12" t="inlineStr">
        <is>
          <t>Contractor Programme</t>
        </is>
      </c>
      <c r="B775" s="12" t="inlineStr">
        <is>
          <t>SCH-03-180</t>
        </is>
      </c>
      <c r="C775" s="12" t="inlineStr">
        <is>
          <t>Central interlocking: control-centre integration - inspection</t>
        </is>
      </c>
      <c r="D775" s="12" t="inlineStr">
        <is>
          <t>WBS Code = 1.3.2</t>
        </is>
      </c>
      <c r="E775" s="12" t="inlineStr">
        <is>
          <t>R540-v1</t>
        </is>
      </c>
      <c r="F775" s="12" t="inlineStr">
        <is>
          <t>1.3.2 Systems - Signalling &amp; Train Control</t>
        </is>
      </c>
      <c r="G775" s="12" t="inlineStr">
        <is>
          <t>ONE_TO_ONE</t>
        </is>
      </c>
      <c r="H775" s="12" t="inlineStr">
        <is>
          <t>APPROVED</t>
        </is>
      </c>
      <c r="I775" s="12" t="inlineStr">
        <is>
          <t>New</t>
        </is>
      </c>
      <c r="J775" s="12" t="inlineStr">
        <is>
          <t>Source assignment -- not individually reviewed</t>
        </is>
      </c>
      <c r="K775" s="12" t="inlineStr"/>
      <c r="L775" s="12" t="inlineStr"/>
      <c r="M775" s="12" t="inlineStr"/>
      <c r="N775" s="17" t="inlineStr">
        <is>
          <t>10 EVIDENCE &amp; DECISIONS</t>
        </is>
      </c>
    </row>
    <row r="776" ht="34" customHeight="1">
      <c r="A776" s="12" t="inlineStr">
        <is>
          <t>Cost &amp; Forecast Control Accounts</t>
        </is>
      </c>
      <c r="B776" s="12" t="inlineStr">
        <is>
          <t>CST-03-002</t>
        </is>
      </c>
      <c r="C776" s="12" t="inlineStr">
        <is>
          <t>Systems - signalling - field package</t>
        </is>
      </c>
      <c r="D776" s="12" t="inlineStr">
        <is>
          <t>Cost Account = CA-3002; WBS Code = 1.3.2</t>
        </is>
      </c>
      <c r="E776" s="12" t="inlineStr">
        <is>
          <t>R1244-v1</t>
        </is>
      </c>
      <c r="F776" s="12" t="inlineStr">
        <is>
          <t>1.3.2 Systems - Signalling &amp; Train Control</t>
        </is>
      </c>
      <c r="G776" s="12" t="inlineStr">
        <is>
          <t>ONE_TO_ONE</t>
        </is>
      </c>
      <c r="H776" s="12" t="inlineStr">
        <is>
          <t>APPROVED</t>
        </is>
      </c>
      <c r="I776" s="12" t="inlineStr">
        <is>
          <t>New</t>
        </is>
      </c>
      <c r="J776" s="12" t="inlineStr">
        <is>
          <t>Source assignment -- not individually reviewed</t>
        </is>
      </c>
      <c r="K776" s="12" t="inlineStr"/>
      <c r="L776" s="12" t="inlineStr"/>
      <c r="M776" s="12" t="inlineStr"/>
      <c r="N776" s="17" t="inlineStr">
        <is>
          <t>10 EVIDENCE &amp; DECISIONS</t>
        </is>
      </c>
      <c r="O776" s="105" t="n">
        <v>525000</v>
      </c>
      <c r="P776" s="105" t="n">
        <v>537500</v>
      </c>
      <c r="Q776" s="105" t="inlineStr">
        <is>
          <t>CAD</t>
        </is>
      </c>
      <c r="R776" s="105" t="n"/>
      <c r="S776" s="105" t="inlineStr">
        <is>
          <t>2027-06-30</t>
        </is>
      </c>
      <c r="T776" s="105" t="inlineStr">
        <is>
          <t>C1-R0</t>
        </is>
      </c>
      <c r="U776" s="105" t="inlineStr">
        <is>
          <t>Supplied practice file monthly_cost_forecast.xlsx, row 163</t>
        </is>
      </c>
      <c r="V776" s="105" t="inlineStr">
        <is>
          <t>Whole source account, not a target allocation. Repeated target rows must not be summed. Aggregate cost / forecast remains withheld.</t>
        </is>
      </c>
    </row>
    <row r="777" ht="34" customHeight="1">
      <c r="A777" s="12" t="inlineStr">
        <is>
          <t>Cost &amp; Forecast Control Accounts</t>
        </is>
      </c>
      <c r="B777" s="12" t="inlineStr">
        <is>
          <t>CST-03-006</t>
        </is>
      </c>
      <c r="C777" s="12" t="inlineStr">
        <is>
          <t>Systems - train control - closeout</t>
        </is>
      </c>
      <c r="D777" s="12" t="inlineStr">
        <is>
          <t>Cost Account = CA-3006; WBS Code = 1.3.2</t>
        </is>
      </c>
      <c r="E777" s="12" t="inlineStr">
        <is>
          <t>R1248-v1</t>
        </is>
      </c>
      <c r="F777" s="12" t="inlineStr">
        <is>
          <t>1.3.2 Systems - Signalling &amp; Train Control</t>
        </is>
      </c>
      <c r="G777" s="12" t="inlineStr">
        <is>
          <t>ONE_TO_ONE</t>
        </is>
      </c>
      <c r="H777" s="12" t="inlineStr">
        <is>
          <t>APPROVED</t>
        </is>
      </c>
      <c r="I777" s="12" t="inlineStr">
        <is>
          <t>New</t>
        </is>
      </c>
      <c r="J777" s="12" t="inlineStr">
        <is>
          <t>Source assignment -- not individually reviewed</t>
        </is>
      </c>
      <c r="K777" s="12" t="inlineStr"/>
      <c r="L777" s="12" t="inlineStr"/>
      <c r="M777" s="12" t="inlineStr"/>
      <c r="N777" s="17" t="inlineStr">
        <is>
          <t>10 EVIDENCE &amp; DECISIONS</t>
        </is>
      </c>
      <c r="O777" s="105" t="n">
        <v>595000</v>
      </c>
      <c r="P777" s="105" t="n">
        <v>607500</v>
      </c>
      <c r="Q777" s="105" t="inlineStr">
        <is>
          <t>CAD</t>
        </is>
      </c>
      <c r="R777" s="105" t="n"/>
      <c r="S777" s="105" t="inlineStr">
        <is>
          <t>2027-06-30</t>
        </is>
      </c>
      <c r="T777" s="105" t="inlineStr">
        <is>
          <t>C1-R0</t>
        </is>
      </c>
      <c r="U777" s="105" t="inlineStr">
        <is>
          <t>Supplied practice file monthly_cost_forecast.xlsx, row 167</t>
        </is>
      </c>
      <c r="V777" s="105" t="inlineStr">
        <is>
          <t>Whole source account, not a target allocation. Repeated target rows must not be summed. Aggregate cost / forecast remains withheld.</t>
        </is>
      </c>
    </row>
    <row r="778" ht="34" customHeight="1">
      <c r="A778" s="12" t="inlineStr">
        <is>
          <t>Cost &amp; Forecast Control Accounts</t>
        </is>
      </c>
      <c r="B778" s="12" t="inlineStr">
        <is>
          <t>CST-03-008</t>
        </is>
      </c>
      <c r="C778" s="12" t="inlineStr">
        <is>
          <t>Systems - signalling - supply and install</t>
        </is>
      </c>
      <c r="D778" s="12" t="inlineStr">
        <is>
          <t>Cost Account = CA-3008; WBS Code = 1.3.2</t>
        </is>
      </c>
      <c r="E778" s="12" t="inlineStr">
        <is>
          <t>R1250-v1</t>
        </is>
      </c>
      <c r="F778" s="12" t="inlineStr">
        <is>
          <t>1.3.2 Systems - Signalling &amp; Train Control</t>
        </is>
      </c>
      <c r="G778" s="12" t="inlineStr">
        <is>
          <t>ONE_TO_ONE</t>
        </is>
      </c>
      <c r="H778" s="12" t="inlineStr">
        <is>
          <t>APPROVED</t>
        </is>
      </c>
      <c r="I778" s="12" t="inlineStr">
        <is>
          <t>New</t>
        </is>
      </c>
      <c r="J778" s="12" t="inlineStr">
        <is>
          <t>Source assignment -- not individually reviewed</t>
        </is>
      </c>
      <c r="K778" s="12" t="inlineStr"/>
      <c r="L778" s="12" t="inlineStr"/>
      <c r="M778" s="12" t="inlineStr"/>
      <c r="N778" s="17" t="inlineStr">
        <is>
          <t>10 EVIDENCE &amp; DECISIONS</t>
        </is>
      </c>
      <c r="O778" s="105" t="n">
        <v>630000</v>
      </c>
      <c r="P778" s="105" t="n">
        <v>617500</v>
      </c>
      <c r="Q778" s="105" t="inlineStr">
        <is>
          <t>CAD</t>
        </is>
      </c>
      <c r="R778" s="105" t="n"/>
      <c r="S778" s="105" t="inlineStr">
        <is>
          <t>2027-06-30</t>
        </is>
      </c>
      <c r="T778" s="105" t="inlineStr">
        <is>
          <t>C1-R0</t>
        </is>
      </c>
      <c r="U778" s="105" t="inlineStr">
        <is>
          <t>Supplied practice file monthly_cost_forecast.xlsx, row 169</t>
        </is>
      </c>
      <c r="V778" s="105" t="inlineStr">
        <is>
          <t>Whole source account, not a target allocation. Repeated target rows must not be summed. Aggregate cost / forecast remains withheld.</t>
        </is>
      </c>
    </row>
    <row r="779" ht="34" customHeight="1">
      <c r="A779" s="12" t="inlineStr">
        <is>
          <t>Cost &amp; Forecast Control Accounts</t>
        </is>
      </c>
      <c r="B779" s="12" t="inlineStr">
        <is>
          <t>CST-03-010</t>
        </is>
      </c>
      <c r="C779" s="12" t="inlineStr">
        <is>
          <t>Systems - systems integration - allowance</t>
        </is>
      </c>
      <c r="D779" s="12" t="inlineStr">
        <is>
          <t>Cost Account = CA-3010; WBS Code = 1.3.2</t>
        </is>
      </c>
      <c r="E779" s="12" t="inlineStr">
        <is>
          <t>R1252-v1</t>
        </is>
      </c>
      <c r="F779" s="12" t="inlineStr">
        <is>
          <t>1.3.2 Systems - Signalling &amp; Train Control</t>
        </is>
      </c>
      <c r="G779" s="12" t="inlineStr">
        <is>
          <t>ONE_TO_ONE</t>
        </is>
      </c>
      <c r="H779" s="12" t="inlineStr">
        <is>
          <t>APPROVED</t>
        </is>
      </c>
      <c r="I779" s="12" t="inlineStr">
        <is>
          <t>New</t>
        </is>
      </c>
      <c r="J779" s="12" t="inlineStr">
        <is>
          <t>Source assignment -- not individually reviewed</t>
        </is>
      </c>
      <c r="K779" s="12" t="inlineStr"/>
      <c r="L779" s="12" t="inlineStr"/>
      <c r="M779" s="12" t="inlineStr"/>
      <c r="N779" s="17" t="inlineStr">
        <is>
          <t>10 EVIDENCE &amp; DECISIONS</t>
        </is>
      </c>
      <c r="O779" s="105" t="n">
        <v>665000</v>
      </c>
      <c r="P779" s="105" t="n">
        <v>677500</v>
      </c>
      <c r="Q779" s="105" t="inlineStr">
        <is>
          <t>CAD</t>
        </is>
      </c>
      <c r="R779" s="105" t="n"/>
      <c r="S779" s="105" t="inlineStr">
        <is>
          <t>2027-06-30</t>
        </is>
      </c>
      <c r="T779" s="105" t="inlineStr">
        <is>
          <t>C1-R0</t>
        </is>
      </c>
      <c r="U779" s="105" t="inlineStr">
        <is>
          <t>Supplied practice file monthly_cost_forecast.xlsx, row 171</t>
        </is>
      </c>
      <c r="V779" s="105" t="inlineStr">
        <is>
          <t>Whole source account, not a target allocation. Repeated target rows must not be summed. Aggregate cost / forecast remains withheld.</t>
        </is>
      </c>
    </row>
    <row r="780" ht="34" customHeight="1">
      <c r="A780" s="12" t="inlineStr">
        <is>
          <t>Cost &amp; Forecast Control Accounts</t>
        </is>
      </c>
      <c r="B780" s="12" t="inlineStr">
        <is>
          <t>CST-03-012</t>
        </is>
      </c>
      <c r="C780" s="12" t="inlineStr">
        <is>
          <t>Systems - train control - field package</t>
        </is>
      </c>
      <c r="D780" s="12" t="inlineStr">
        <is>
          <t>Cost Account = CA-3012; WBS Code = 1.3.2</t>
        </is>
      </c>
      <c r="E780" s="12" t="inlineStr">
        <is>
          <t>R1254-v1</t>
        </is>
      </c>
      <c r="F780" s="12" t="inlineStr">
        <is>
          <t>1.3.2 Systems - Signalling &amp; Train Control</t>
        </is>
      </c>
      <c r="G780" s="12" t="inlineStr">
        <is>
          <t>ONE_TO_ONE</t>
        </is>
      </c>
      <c r="H780" s="12" t="inlineStr">
        <is>
          <t>APPROVED</t>
        </is>
      </c>
      <c r="I780" s="12" t="inlineStr">
        <is>
          <t>New</t>
        </is>
      </c>
      <c r="J780" s="12" t="inlineStr">
        <is>
          <t>Source assignment -- not individually reviewed</t>
        </is>
      </c>
      <c r="K780" s="12" t="inlineStr"/>
      <c r="L780" s="12" t="inlineStr"/>
      <c r="M780" s="12" t="inlineStr"/>
      <c r="N780" s="17" t="inlineStr">
        <is>
          <t>10 EVIDENCE &amp; DECISIONS</t>
        </is>
      </c>
      <c r="O780" s="105" t="n">
        <v>700000</v>
      </c>
      <c r="P780" s="105" t="n">
        <v>687500</v>
      </c>
      <c r="Q780" s="105" t="inlineStr">
        <is>
          <t>CAD</t>
        </is>
      </c>
      <c r="R780" s="105" t="n"/>
      <c r="S780" s="105" t="inlineStr">
        <is>
          <t>2027-06-30</t>
        </is>
      </c>
      <c r="T780" s="105" t="inlineStr">
        <is>
          <t>C1-R0</t>
        </is>
      </c>
      <c r="U780" s="105" t="inlineStr">
        <is>
          <t>Supplied practice file monthly_cost_forecast.xlsx, row 173</t>
        </is>
      </c>
      <c r="V780" s="105" t="inlineStr">
        <is>
          <t>Whole source account, not a target allocation. Repeated target rows must not be summed. Aggregate cost / forecast remains withheld.</t>
        </is>
      </c>
    </row>
    <row r="781" ht="34" customHeight="1">
      <c r="A781" s="12" t="inlineStr">
        <is>
          <t>Cost &amp; Forecast Control Accounts</t>
        </is>
      </c>
      <c r="B781" s="12" t="inlineStr">
        <is>
          <t>CST-03-014</t>
        </is>
      </c>
      <c r="C781" s="12" t="inlineStr">
        <is>
          <t>Systems - signalling - professional services</t>
        </is>
      </c>
      <c r="D781" s="12" t="inlineStr">
        <is>
          <t>Cost Account = CA-3014; WBS Code = 1.3.2</t>
        </is>
      </c>
      <c r="E781" s="12" t="inlineStr">
        <is>
          <t>R1256-v1</t>
        </is>
      </c>
      <c r="F781" s="12" t="inlineStr">
        <is>
          <t>1.3.2 Systems - Signalling &amp; Train Control</t>
        </is>
      </c>
      <c r="G781" s="12" t="inlineStr">
        <is>
          <t>ONE_TO_ONE</t>
        </is>
      </c>
      <c r="H781" s="12" t="inlineStr">
        <is>
          <t>APPROVED</t>
        </is>
      </c>
      <c r="I781" s="12" t="inlineStr">
        <is>
          <t>New</t>
        </is>
      </c>
      <c r="J781" s="12" t="inlineStr">
        <is>
          <t>Source assignment -- not individually reviewed</t>
        </is>
      </c>
      <c r="K781" s="12" t="inlineStr"/>
      <c r="L781" s="12" t="inlineStr"/>
      <c r="M781" s="12" t="inlineStr"/>
      <c r="N781" s="17" t="inlineStr">
        <is>
          <t>10 EVIDENCE &amp; DECISIONS</t>
        </is>
      </c>
      <c r="O781" s="105" t="n">
        <v>735000</v>
      </c>
      <c r="P781" s="105" t="n">
        <v>747500</v>
      </c>
      <c r="Q781" s="105" t="inlineStr">
        <is>
          <t>CAD</t>
        </is>
      </c>
      <c r="R781" s="105" t="n"/>
      <c r="S781" s="105" t="inlineStr">
        <is>
          <t>2027-06-30</t>
        </is>
      </c>
      <c r="T781" s="105" t="inlineStr">
        <is>
          <t>C1-R0</t>
        </is>
      </c>
      <c r="U781" s="105" t="inlineStr">
        <is>
          <t>Supplied practice file monthly_cost_forecast.xlsx, row 175</t>
        </is>
      </c>
      <c r="V781" s="105" t="inlineStr">
        <is>
          <t>Whole source account, not a target allocation. Repeated target rows must not be summed. Aggregate cost / forecast remains withheld.</t>
        </is>
      </c>
    </row>
    <row r="782" ht="34" customHeight="1">
      <c r="A782" s="12" t="inlineStr">
        <is>
          <t>Cost &amp; Forecast Control Accounts</t>
        </is>
      </c>
      <c r="B782" s="12" t="inlineStr">
        <is>
          <t>CST-03-016</t>
        </is>
      </c>
      <c r="C782" s="12" t="inlineStr">
        <is>
          <t>Systems - systems integration - closeout</t>
        </is>
      </c>
      <c r="D782" s="12" t="inlineStr">
        <is>
          <t>Cost Account = CA-3016; WBS Code = 1.3.2</t>
        </is>
      </c>
      <c r="E782" s="12" t="inlineStr">
        <is>
          <t>R1258-v1</t>
        </is>
      </c>
      <c r="F782" s="12" t="inlineStr">
        <is>
          <t>1.3.2 Systems - Signalling &amp; Train Control</t>
        </is>
      </c>
      <c r="G782" s="12" t="inlineStr">
        <is>
          <t>ONE_TO_ONE</t>
        </is>
      </c>
      <c r="H782" s="12" t="inlineStr">
        <is>
          <t>APPROVED</t>
        </is>
      </c>
      <c r="I782" s="12" t="inlineStr">
        <is>
          <t>New</t>
        </is>
      </c>
      <c r="J782" s="12" t="inlineStr">
        <is>
          <t>Source assignment -- not individually reviewed</t>
        </is>
      </c>
      <c r="K782" s="12" t="inlineStr"/>
      <c r="L782" s="12" t="inlineStr"/>
      <c r="M782" s="12" t="inlineStr"/>
      <c r="N782" s="17" t="inlineStr">
        <is>
          <t>10 EVIDENCE &amp; DECISIONS</t>
        </is>
      </c>
      <c r="O782" s="105" t="n">
        <v>770000</v>
      </c>
      <c r="P782" s="105" t="n">
        <v>757500</v>
      </c>
      <c r="Q782" s="105" t="inlineStr">
        <is>
          <t>CAD</t>
        </is>
      </c>
      <c r="R782" s="105" t="n"/>
      <c r="S782" s="105" t="inlineStr">
        <is>
          <t>2027-06-30</t>
        </is>
      </c>
      <c r="T782" s="105" t="inlineStr">
        <is>
          <t>C1-R0</t>
        </is>
      </c>
      <c r="U782" s="105" t="inlineStr">
        <is>
          <t>Supplied practice file monthly_cost_forecast.xlsx, row 177</t>
        </is>
      </c>
      <c r="V782" s="105" t="inlineStr">
        <is>
          <t>Whole source account, not a target allocation. Repeated target rows must not be summed. Aggregate cost / forecast remains withheld.</t>
        </is>
      </c>
    </row>
    <row r="783" ht="34" customHeight="1">
      <c r="A783" s="12" t="inlineStr">
        <is>
          <t>Cost &amp; Forecast Control Accounts</t>
        </is>
      </c>
      <c r="B783" s="12" t="inlineStr">
        <is>
          <t>CST-03-018</t>
        </is>
      </c>
      <c r="C783" s="12" t="inlineStr">
        <is>
          <t>Systems - train control - supply and install</t>
        </is>
      </c>
      <c r="D783" s="12" t="inlineStr">
        <is>
          <t>Cost Account = CA-3018; WBS Code = 1.3.2</t>
        </is>
      </c>
      <c r="E783" s="12" t="inlineStr">
        <is>
          <t>R1260-v1</t>
        </is>
      </c>
      <c r="F783" s="12" t="inlineStr">
        <is>
          <t>1.3.2 Systems - Signalling &amp; Train Control</t>
        </is>
      </c>
      <c r="G783" s="12" t="inlineStr">
        <is>
          <t>ONE_TO_ONE</t>
        </is>
      </c>
      <c r="H783" s="12" t="inlineStr">
        <is>
          <t>APPROVED</t>
        </is>
      </c>
      <c r="I783" s="12" t="inlineStr">
        <is>
          <t>New</t>
        </is>
      </c>
      <c r="J783" s="12" t="inlineStr">
        <is>
          <t>Source assignment -- not individually reviewed</t>
        </is>
      </c>
      <c r="K783" s="12" t="inlineStr"/>
      <c r="L783" s="12" t="inlineStr"/>
      <c r="M783" s="12" t="inlineStr"/>
      <c r="N783" s="17" t="inlineStr">
        <is>
          <t>10 EVIDENCE &amp; DECISIONS</t>
        </is>
      </c>
      <c r="O783" s="105" t="n">
        <v>805000</v>
      </c>
      <c r="P783" s="105" t="n">
        <v>817500</v>
      </c>
      <c r="Q783" s="105" t="inlineStr">
        <is>
          <t>CAD</t>
        </is>
      </c>
      <c r="R783" s="105" t="n"/>
      <c r="S783" s="105" t="inlineStr">
        <is>
          <t>2027-06-30</t>
        </is>
      </c>
      <c r="T783" s="105" t="inlineStr">
        <is>
          <t>C1-R0</t>
        </is>
      </c>
      <c r="U783" s="105" t="inlineStr">
        <is>
          <t>Supplied practice file monthly_cost_forecast.xlsx, row 179</t>
        </is>
      </c>
      <c r="V783" s="105" t="inlineStr">
        <is>
          <t>Whole source account, not a target allocation. Repeated target rows must not be summed. Aggregate cost / forecast remains withheld.</t>
        </is>
      </c>
    </row>
    <row r="784" ht="34" customHeight="1">
      <c r="A784" s="12" t="inlineStr">
        <is>
          <t>Cost &amp; Forecast Control Accounts</t>
        </is>
      </c>
      <c r="B784" s="12" t="inlineStr">
        <is>
          <t>CST-03-020</t>
        </is>
      </c>
      <c r="C784" s="12" t="inlineStr">
        <is>
          <t>Systems - signalling - allowance</t>
        </is>
      </c>
      <c r="D784" s="12" t="inlineStr">
        <is>
          <t>Cost Account = CA-3020; WBS Code = 1.3.2</t>
        </is>
      </c>
      <c r="E784" s="12" t="inlineStr">
        <is>
          <t>R1262-v1</t>
        </is>
      </c>
      <c r="F784" s="12" t="inlineStr">
        <is>
          <t>1.3.2 Systems - Signalling &amp; Train Control</t>
        </is>
      </c>
      <c r="G784" s="12" t="inlineStr">
        <is>
          <t>ONE_TO_ONE</t>
        </is>
      </c>
      <c r="H784" s="12" t="inlineStr">
        <is>
          <t>APPROVED</t>
        </is>
      </c>
      <c r="I784" s="12" t="inlineStr">
        <is>
          <t>New</t>
        </is>
      </c>
      <c r="J784" s="12" t="inlineStr">
        <is>
          <t>Source assignment -- not individually reviewed</t>
        </is>
      </c>
      <c r="K784" s="12" t="inlineStr"/>
      <c r="L784" s="12" t="inlineStr"/>
      <c r="M784" s="12" t="inlineStr"/>
      <c r="N784" s="17" t="inlineStr">
        <is>
          <t>10 EVIDENCE &amp; DECISIONS</t>
        </is>
      </c>
      <c r="O784" s="105" t="n">
        <v>840000</v>
      </c>
      <c r="P784" s="105" t="n">
        <v>827500</v>
      </c>
      <c r="Q784" s="105" t="inlineStr">
        <is>
          <t>CAD</t>
        </is>
      </c>
      <c r="R784" s="105" t="n"/>
      <c r="S784" s="105" t="inlineStr">
        <is>
          <t>2027-06-30</t>
        </is>
      </c>
      <c r="T784" s="105" t="inlineStr">
        <is>
          <t>C1-R0</t>
        </is>
      </c>
      <c r="U784" s="105" t="inlineStr">
        <is>
          <t>Supplied practice file monthly_cost_forecast.xlsx, row 181</t>
        </is>
      </c>
      <c r="V784" s="105" t="inlineStr">
        <is>
          <t>Whole source account, not a target allocation. Repeated target rows must not be summed. Aggregate cost / forecast remains withheld.</t>
        </is>
      </c>
    </row>
    <row r="785" ht="34" customHeight="1">
      <c r="A785" s="12" t="inlineStr">
        <is>
          <t>Cost &amp; Forecast Control Accounts</t>
        </is>
      </c>
      <c r="B785" s="12" t="inlineStr">
        <is>
          <t>CST-03-022</t>
        </is>
      </c>
      <c r="C785" s="12" t="inlineStr">
        <is>
          <t>Systems - systems integration - field package</t>
        </is>
      </c>
      <c r="D785" s="12" t="inlineStr">
        <is>
          <t>Cost Account = CA-3022; WBS Code = 1.3.2</t>
        </is>
      </c>
      <c r="E785" s="12" t="inlineStr">
        <is>
          <t>R1264-v1</t>
        </is>
      </c>
      <c r="F785" s="12" t="inlineStr">
        <is>
          <t>1.3.2 Systems - Signalling &amp; Train Control</t>
        </is>
      </c>
      <c r="G785" s="12" t="inlineStr">
        <is>
          <t>ONE_TO_ONE</t>
        </is>
      </c>
      <c r="H785" s="12" t="inlineStr">
        <is>
          <t>APPROVED</t>
        </is>
      </c>
      <c r="I785" s="12" t="inlineStr">
        <is>
          <t>New</t>
        </is>
      </c>
      <c r="J785" s="12" t="inlineStr">
        <is>
          <t>Source assignment -- not individually reviewed</t>
        </is>
      </c>
      <c r="K785" s="12" t="inlineStr"/>
      <c r="L785" s="12" t="inlineStr"/>
      <c r="M785" s="12" t="inlineStr"/>
      <c r="N785" s="17" t="inlineStr">
        <is>
          <t>10 EVIDENCE &amp; DECISIONS</t>
        </is>
      </c>
      <c r="O785" s="105" t="n">
        <v>875000</v>
      </c>
      <c r="P785" s="105" t="n">
        <v>887500</v>
      </c>
      <c r="Q785" s="105" t="inlineStr">
        <is>
          <t>CAD</t>
        </is>
      </c>
      <c r="R785" s="105" t="n"/>
      <c r="S785" s="105" t="inlineStr">
        <is>
          <t>2027-06-30</t>
        </is>
      </c>
      <c r="T785" s="105" t="inlineStr">
        <is>
          <t>C1-R0</t>
        </is>
      </c>
      <c r="U785" s="105" t="inlineStr">
        <is>
          <t>Supplied practice file monthly_cost_forecast.xlsx, row 183</t>
        </is>
      </c>
      <c r="V785" s="105" t="inlineStr">
        <is>
          <t>Whole source account, not a target allocation. Repeated target rows must not be summed. Aggregate cost / forecast remains withheld.</t>
        </is>
      </c>
    </row>
    <row r="786" ht="34" customHeight="1">
      <c r="A786" s="12" t="inlineStr">
        <is>
          <t>Cost &amp; Forecast Control Accounts</t>
        </is>
      </c>
      <c r="B786" s="12" t="inlineStr">
        <is>
          <t>CST-03-024</t>
        </is>
      </c>
      <c r="C786" s="12" t="inlineStr">
        <is>
          <t>Systems - train control - professional services</t>
        </is>
      </c>
      <c r="D786" s="12" t="inlineStr">
        <is>
          <t>Cost Account = CA-3024; WBS Code = 1.3.2</t>
        </is>
      </c>
      <c r="E786" s="12" t="inlineStr">
        <is>
          <t>R1266-v1</t>
        </is>
      </c>
      <c r="F786" s="12" t="inlineStr">
        <is>
          <t>1.3.2 Systems - Signalling &amp; Train Control</t>
        </is>
      </c>
      <c r="G786" s="12" t="inlineStr">
        <is>
          <t>ONE_TO_ONE</t>
        </is>
      </c>
      <c r="H786" s="12" t="inlineStr">
        <is>
          <t>APPROVED</t>
        </is>
      </c>
      <c r="I786" s="12" t="inlineStr">
        <is>
          <t>New</t>
        </is>
      </c>
      <c r="J786" s="12" t="inlineStr">
        <is>
          <t>Source assignment -- not individually reviewed</t>
        </is>
      </c>
      <c r="K786" s="12" t="inlineStr"/>
      <c r="L786" s="12" t="inlineStr"/>
      <c r="M786" s="12" t="inlineStr"/>
      <c r="N786" s="17" t="inlineStr">
        <is>
          <t>10 EVIDENCE &amp; DECISIONS</t>
        </is>
      </c>
      <c r="O786" s="105" t="n">
        <v>910000</v>
      </c>
      <c r="P786" s="105" t="n">
        <v>897500</v>
      </c>
      <c r="Q786" s="105" t="inlineStr">
        <is>
          <t>CAD</t>
        </is>
      </c>
      <c r="R786" s="105" t="n"/>
      <c r="S786" s="105" t="inlineStr">
        <is>
          <t>2027-06-30</t>
        </is>
      </c>
      <c r="T786" s="105" t="inlineStr">
        <is>
          <t>C1-R0</t>
        </is>
      </c>
      <c r="U786" s="105" t="inlineStr">
        <is>
          <t>Supplied practice file monthly_cost_forecast.xlsx, row 185</t>
        </is>
      </c>
      <c r="V786" s="105" t="inlineStr">
        <is>
          <t>Whole source account, not a target allocation. Repeated target rows must not be summed. Aggregate cost / forecast remains withheld.</t>
        </is>
      </c>
    </row>
    <row r="787" ht="34" customHeight="1">
      <c r="A787" s="12" t="inlineStr">
        <is>
          <t>Cost &amp; Forecast Control Accounts</t>
        </is>
      </c>
      <c r="B787" s="12" t="inlineStr">
        <is>
          <t>CST-03-026</t>
        </is>
      </c>
      <c r="C787" s="12" t="inlineStr">
        <is>
          <t>Systems - signalling - closeout</t>
        </is>
      </c>
      <c r="D787" s="12" t="inlineStr">
        <is>
          <t>Cost Account = CA-3026; WBS Code = 1.3.2</t>
        </is>
      </c>
      <c r="E787" s="12" t="inlineStr">
        <is>
          <t>R1268-v1</t>
        </is>
      </c>
      <c r="F787" s="12" t="inlineStr">
        <is>
          <t>1.3.2 Systems - Signalling &amp; Train Control</t>
        </is>
      </c>
      <c r="G787" s="12" t="inlineStr">
        <is>
          <t>ONE_TO_ONE</t>
        </is>
      </c>
      <c r="H787" s="12" t="inlineStr">
        <is>
          <t>APPROVED</t>
        </is>
      </c>
      <c r="I787" s="12" t="inlineStr">
        <is>
          <t>New</t>
        </is>
      </c>
      <c r="J787" s="12" t="inlineStr">
        <is>
          <t>Source assignment -- not individually reviewed</t>
        </is>
      </c>
      <c r="K787" s="12" t="inlineStr"/>
      <c r="L787" s="12" t="inlineStr"/>
      <c r="M787" s="12" t="inlineStr"/>
      <c r="N787" s="17" t="inlineStr">
        <is>
          <t>10 EVIDENCE &amp; DECISIONS</t>
        </is>
      </c>
      <c r="O787" s="105" t="n">
        <v>945000</v>
      </c>
      <c r="P787" s="105" t="n">
        <v>957500</v>
      </c>
      <c r="Q787" s="105" t="inlineStr">
        <is>
          <t>CAD</t>
        </is>
      </c>
      <c r="R787" s="105" t="n"/>
      <c r="S787" s="105" t="inlineStr">
        <is>
          <t>2027-06-30</t>
        </is>
      </c>
      <c r="T787" s="105" t="inlineStr">
        <is>
          <t>C1-R0</t>
        </is>
      </c>
      <c r="U787" s="105" t="inlineStr">
        <is>
          <t>Supplied practice file monthly_cost_forecast.xlsx, row 187</t>
        </is>
      </c>
      <c r="V787" s="105" t="inlineStr">
        <is>
          <t>Whole source account, not a target allocation. Repeated target rows must not be summed. Aggregate cost / forecast remains withheld.</t>
        </is>
      </c>
    </row>
    <row r="788" ht="34" customHeight="1">
      <c r="A788" s="12" t="inlineStr">
        <is>
          <t>Cost &amp; Forecast Control Accounts</t>
        </is>
      </c>
      <c r="B788" s="12" t="inlineStr">
        <is>
          <t>CST-03-028</t>
        </is>
      </c>
      <c r="C788" s="12" t="inlineStr">
        <is>
          <t>Systems - systems integration - supply and install</t>
        </is>
      </c>
      <c r="D788" s="12" t="inlineStr">
        <is>
          <t>Cost Account = CA-3028; WBS Code = 1.3.2</t>
        </is>
      </c>
      <c r="E788" s="12" t="inlineStr">
        <is>
          <t>R1270-v1</t>
        </is>
      </c>
      <c r="F788" s="12" t="inlineStr">
        <is>
          <t>1.3.2 Systems - Signalling &amp; Train Control</t>
        </is>
      </c>
      <c r="G788" s="12" t="inlineStr">
        <is>
          <t>ONE_TO_ONE</t>
        </is>
      </c>
      <c r="H788" s="12" t="inlineStr">
        <is>
          <t>APPROVED</t>
        </is>
      </c>
      <c r="I788" s="12" t="inlineStr">
        <is>
          <t>New</t>
        </is>
      </c>
      <c r="J788" s="12" t="inlineStr">
        <is>
          <t>Source assignment -- not individually reviewed</t>
        </is>
      </c>
      <c r="K788" s="12" t="inlineStr"/>
      <c r="L788" s="12" t="inlineStr"/>
      <c r="M788" s="12" t="inlineStr"/>
      <c r="N788" s="17" t="inlineStr">
        <is>
          <t>10 EVIDENCE &amp; DECISIONS</t>
        </is>
      </c>
      <c r="O788" s="105" t="n">
        <v>980000</v>
      </c>
      <c r="P788" s="105" t="n">
        <v>967500</v>
      </c>
      <c r="Q788" s="105" t="inlineStr">
        <is>
          <t>CAD</t>
        </is>
      </c>
      <c r="R788" s="105" t="n"/>
      <c r="S788" s="105" t="inlineStr">
        <is>
          <t>2027-06-30</t>
        </is>
      </c>
      <c r="T788" s="105" t="inlineStr">
        <is>
          <t>C1-R0</t>
        </is>
      </c>
      <c r="U788" s="105" t="inlineStr">
        <is>
          <t>Supplied practice file monthly_cost_forecast.xlsx, row 189</t>
        </is>
      </c>
      <c r="V788" s="105" t="inlineStr">
        <is>
          <t>Whole source account, not a target allocation. Repeated target rows must not be summed. Aggregate cost / forecast remains withheld.</t>
        </is>
      </c>
    </row>
    <row r="789" ht="34" customHeight="1">
      <c r="A789" s="12" t="inlineStr">
        <is>
          <t>Cost &amp; Forecast Control Accounts</t>
        </is>
      </c>
      <c r="B789" s="12" t="inlineStr">
        <is>
          <t>CST-03-030</t>
        </is>
      </c>
      <c r="C789" s="12" t="inlineStr">
        <is>
          <t>Systems - train control - allowance</t>
        </is>
      </c>
      <c r="D789" s="12" t="inlineStr">
        <is>
          <t>Cost Account = CA-3030; WBS Code = 1.3.2</t>
        </is>
      </c>
      <c r="E789" s="12" t="inlineStr">
        <is>
          <t>R1272-v1</t>
        </is>
      </c>
      <c r="F789" s="12" t="inlineStr">
        <is>
          <t>1.3.2 Systems - Signalling &amp; Train Control</t>
        </is>
      </c>
      <c r="G789" s="12" t="inlineStr">
        <is>
          <t>ONE_TO_ONE</t>
        </is>
      </c>
      <c r="H789" s="12" t="inlineStr">
        <is>
          <t>APPROVED</t>
        </is>
      </c>
      <c r="I789" s="12" t="inlineStr">
        <is>
          <t>New</t>
        </is>
      </c>
      <c r="J789" s="12" t="inlineStr">
        <is>
          <t>Source assignment -- not individually reviewed</t>
        </is>
      </c>
      <c r="K789" s="12" t="inlineStr"/>
      <c r="L789" s="12" t="inlineStr"/>
      <c r="M789" s="12" t="inlineStr"/>
      <c r="N789" s="17" t="inlineStr">
        <is>
          <t>10 EVIDENCE &amp; DECISIONS</t>
        </is>
      </c>
      <c r="O789" s="105" t="n">
        <v>1015000</v>
      </c>
      <c r="P789" s="105" t="n">
        <v>1027500</v>
      </c>
      <c r="Q789" s="105" t="inlineStr">
        <is>
          <t>CAD</t>
        </is>
      </c>
      <c r="R789" s="105" t="n"/>
      <c r="S789" s="105" t="inlineStr">
        <is>
          <t>2027-06-30</t>
        </is>
      </c>
      <c r="T789" s="105" t="inlineStr">
        <is>
          <t>C1-R0</t>
        </is>
      </c>
      <c r="U789" s="105" t="inlineStr">
        <is>
          <t>Supplied practice file monthly_cost_forecast.xlsx, row 191</t>
        </is>
      </c>
      <c r="V789" s="105" t="inlineStr">
        <is>
          <t>Whole source account, not a target allocation. Repeated target rows must not be summed. Aggregate cost / forecast remains withheld.</t>
        </is>
      </c>
    </row>
    <row r="790" ht="34" customHeight="1">
      <c r="A790" s="12" t="inlineStr">
        <is>
          <t>Cost &amp; Forecast Control Accounts</t>
        </is>
      </c>
      <c r="B790" s="12" t="inlineStr">
        <is>
          <t>CST-03-032</t>
        </is>
      </c>
      <c r="C790" s="12" t="inlineStr">
        <is>
          <t>Systems - signalling - field package</t>
        </is>
      </c>
      <c r="D790" s="12" t="inlineStr">
        <is>
          <t>Cost Account = CA-3032; WBS Code = 1.3.2</t>
        </is>
      </c>
      <c r="E790" s="12" t="inlineStr">
        <is>
          <t>R1274-v1</t>
        </is>
      </c>
      <c r="F790" s="12" t="inlineStr">
        <is>
          <t>1.3.2 Systems - Signalling &amp; Train Control</t>
        </is>
      </c>
      <c r="G790" s="12" t="inlineStr">
        <is>
          <t>ONE_TO_ONE</t>
        </is>
      </c>
      <c r="H790" s="12" t="inlineStr">
        <is>
          <t>APPROVED</t>
        </is>
      </c>
      <c r="I790" s="12" t="inlineStr">
        <is>
          <t>New</t>
        </is>
      </c>
      <c r="J790" s="12" t="inlineStr">
        <is>
          <t>Source assignment -- not individually reviewed</t>
        </is>
      </c>
      <c r="K790" s="12" t="inlineStr"/>
      <c r="L790" s="12" t="inlineStr"/>
      <c r="M790" s="12" t="inlineStr"/>
      <c r="N790" s="17" t="inlineStr">
        <is>
          <t>10 EVIDENCE &amp; DECISIONS</t>
        </is>
      </c>
      <c r="O790" s="105" t="n">
        <v>1050000</v>
      </c>
      <c r="P790" s="105" t="n">
        <v>1037500</v>
      </c>
      <c r="Q790" s="105" t="inlineStr">
        <is>
          <t>CAD</t>
        </is>
      </c>
      <c r="R790" s="105" t="n"/>
      <c r="S790" s="105" t="inlineStr">
        <is>
          <t>2027-06-30</t>
        </is>
      </c>
      <c r="T790" s="105" t="inlineStr">
        <is>
          <t>C1-R0</t>
        </is>
      </c>
      <c r="U790" s="105" t="inlineStr">
        <is>
          <t>Supplied practice file monthly_cost_forecast.xlsx, row 193</t>
        </is>
      </c>
      <c r="V790" s="105" t="inlineStr">
        <is>
          <t>Whole source account, not a target allocation. Repeated target rows must not be summed. Aggregate cost / forecast remains withheld.</t>
        </is>
      </c>
    </row>
    <row r="791" ht="34" customHeight="1">
      <c r="A791" s="12" t="inlineStr">
        <is>
          <t>Cost &amp; Forecast Control Accounts</t>
        </is>
      </c>
      <c r="B791" s="12" t="inlineStr">
        <is>
          <t>CST-03-034</t>
        </is>
      </c>
      <c r="C791" s="12" t="inlineStr">
        <is>
          <t>Systems - systems integration - professional services</t>
        </is>
      </c>
      <c r="D791" s="12" t="inlineStr">
        <is>
          <t>Cost Account = CA-3034; WBS Code = 1.3.2</t>
        </is>
      </c>
      <c r="E791" s="12" t="inlineStr">
        <is>
          <t>R1276-v1</t>
        </is>
      </c>
      <c r="F791" s="12" t="inlineStr">
        <is>
          <t>1.3.2 Systems - Signalling &amp; Train Control</t>
        </is>
      </c>
      <c r="G791" s="12" t="inlineStr">
        <is>
          <t>ONE_TO_ONE</t>
        </is>
      </c>
      <c r="H791" s="12" t="inlineStr">
        <is>
          <t>APPROVED</t>
        </is>
      </c>
      <c r="I791" s="12" t="inlineStr">
        <is>
          <t>New</t>
        </is>
      </c>
      <c r="J791" s="12" t="inlineStr">
        <is>
          <t>Source assignment -- not individually reviewed</t>
        </is>
      </c>
      <c r="K791" s="12" t="inlineStr"/>
      <c r="L791" s="12" t="inlineStr"/>
      <c r="M791" s="12" t="inlineStr"/>
      <c r="N791" s="17" t="inlineStr">
        <is>
          <t>10 EVIDENCE &amp; DECISIONS</t>
        </is>
      </c>
      <c r="O791" s="105" t="n">
        <v>1085000</v>
      </c>
      <c r="P791" s="105" t="n">
        <v>1097500</v>
      </c>
      <c r="Q791" s="105" t="inlineStr">
        <is>
          <t>CAD</t>
        </is>
      </c>
      <c r="R791" s="105" t="n"/>
      <c r="S791" s="105" t="inlineStr">
        <is>
          <t>2027-06-30</t>
        </is>
      </c>
      <c r="T791" s="105" t="inlineStr">
        <is>
          <t>C1-R0</t>
        </is>
      </c>
      <c r="U791" s="105" t="inlineStr">
        <is>
          <t>Supplied practice file monthly_cost_forecast.xlsx, row 195</t>
        </is>
      </c>
      <c r="V791" s="105" t="inlineStr">
        <is>
          <t>Whole source account, not a target allocation. Repeated target rows must not be summed. Aggregate cost / forecast remains withheld.</t>
        </is>
      </c>
    </row>
    <row r="792" ht="34" customHeight="1">
      <c r="A792" s="12" t="inlineStr">
        <is>
          <t>Cost &amp; Forecast Control Accounts</t>
        </is>
      </c>
      <c r="B792" s="12" t="inlineStr">
        <is>
          <t>CST-03-036</t>
        </is>
      </c>
      <c r="C792" s="12" t="inlineStr">
        <is>
          <t>Systems - train control - closeout</t>
        </is>
      </c>
      <c r="D792" s="12" t="inlineStr">
        <is>
          <t>Cost Account = CA-3036; WBS Code = 1.3.2</t>
        </is>
      </c>
      <c r="E792" s="12" t="inlineStr">
        <is>
          <t>R1278-v1</t>
        </is>
      </c>
      <c r="F792" s="12" t="inlineStr">
        <is>
          <t>1.3.2 Systems - Signalling &amp; Train Control</t>
        </is>
      </c>
      <c r="G792" s="12" t="inlineStr">
        <is>
          <t>ONE_TO_ONE</t>
        </is>
      </c>
      <c r="H792" s="12" t="inlineStr">
        <is>
          <t>APPROVED</t>
        </is>
      </c>
      <c r="I792" s="12" t="inlineStr">
        <is>
          <t>New</t>
        </is>
      </c>
      <c r="J792" s="12" t="inlineStr">
        <is>
          <t>Source assignment -- not individually reviewed</t>
        </is>
      </c>
      <c r="K792" s="12" t="inlineStr"/>
      <c r="L792" s="12" t="inlineStr"/>
      <c r="M792" s="12" t="inlineStr"/>
      <c r="N792" s="17" t="inlineStr">
        <is>
          <t>10 EVIDENCE &amp; DECISIONS</t>
        </is>
      </c>
      <c r="O792" s="105" t="n">
        <v>1120000</v>
      </c>
      <c r="P792" s="105" t="n">
        <v>1107500</v>
      </c>
      <c r="Q792" s="105" t="inlineStr">
        <is>
          <t>CAD</t>
        </is>
      </c>
      <c r="R792" s="105" t="n"/>
      <c r="S792" s="105" t="inlineStr">
        <is>
          <t>2027-06-30</t>
        </is>
      </c>
      <c r="T792" s="105" t="inlineStr">
        <is>
          <t>C1-R0</t>
        </is>
      </c>
      <c r="U792" s="105" t="inlineStr">
        <is>
          <t>Supplied practice file monthly_cost_forecast.xlsx, row 197</t>
        </is>
      </c>
      <c r="V792" s="105" t="inlineStr">
        <is>
          <t>Whole source account, not a target allocation. Repeated target rows must not be summed. Aggregate cost / forecast remains withheld.</t>
        </is>
      </c>
    </row>
    <row r="793" ht="34" customHeight="1">
      <c r="A793" s="12" t="inlineStr">
        <is>
          <t>Cost &amp; Forecast Control Accounts</t>
        </is>
      </c>
      <c r="B793" s="12" t="inlineStr">
        <is>
          <t>CST-03-038</t>
        </is>
      </c>
      <c r="C793" s="12" t="inlineStr">
        <is>
          <t>Systems - signalling - supply and install</t>
        </is>
      </c>
      <c r="D793" s="12" t="inlineStr">
        <is>
          <t>Cost Account = CA-3038; WBS Code = 1.3.2</t>
        </is>
      </c>
      <c r="E793" s="12" t="inlineStr">
        <is>
          <t>R1280-v1</t>
        </is>
      </c>
      <c r="F793" s="12" t="inlineStr">
        <is>
          <t>1.3.2 Systems - Signalling &amp; Train Control</t>
        </is>
      </c>
      <c r="G793" s="12" t="inlineStr">
        <is>
          <t>ONE_TO_ONE</t>
        </is>
      </c>
      <c r="H793" s="12" t="inlineStr">
        <is>
          <t>APPROVED</t>
        </is>
      </c>
      <c r="I793" s="12" t="inlineStr">
        <is>
          <t>New</t>
        </is>
      </c>
      <c r="J793" s="12" t="inlineStr">
        <is>
          <t>Source assignment -- not individually reviewed</t>
        </is>
      </c>
      <c r="K793" s="12" t="inlineStr"/>
      <c r="L793" s="12" t="inlineStr"/>
      <c r="M793" s="12" t="inlineStr"/>
      <c r="N793" s="17" t="inlineStr">
        <is>
          <t>10 EVIDENCE &amp; DECISIONS</t>
        </is>
      </c>
      <c r="O793" s="105" t="n">
        <v>1155000</v>
      </c>
      <c r="P793" s="105" t="n">
        <v>1167500</v>
      </c>
      <c r="Q793" s="105" t="inlineStr">
        <is>
          <t>CAD</t>
        </is>
      </c>
      <c r="R793" s="105" t="n"/>
      <c r="S793" s="105" t="inlineStr">
        <is>
          <t>2027-06-30</t>
        </is>
      </c>
      <c r="T793" s="105" t="inlineStr">
        <is>
          <t>C1-R0</t>
        </is>
      </c>
      <c r="U793" s="105" t="inlineStr">
        <is>
          <t>Supplied practice file monthly_cost_forecast.xlsx, row 199</t>
        </is>
      </c>
      <c r="V793" s="105" t="inlineStr">
        <is>
          <t>Whole source account, not a target allocation. Repeated target rows must not be summed. Aggregate cost / forecast remains withheld.</t>
        </is>
      </c>
    </row>
    <row r="794" ht="34" customHeight="1">
      <c r="A794" s="12" t="inlineStr">
        <is>
          <t>Cost &amp; Forecast Control Accounts</t>
        </is>
      </c>
      <c r="B794" s="12" t="inlineStr">
        <is>
          <t>CST-03-040</t>
        </is>
      </c>
      <c r="C794" s="12" t="inlineStr">
        <is>
          <t>Systems - systems integration - allowance</t>
        </is>
      </c>
      <c r="D794" s="12" t="inlineStr">
        <is>
          <t>Cost Account = CA-3040; WBS Code = 1.3.2</t>
        </is>
      </c>
      <c r="E794" s="12" t="inlineStr">
        <is>
          <t>R1282-v1</t>
        </is>
      </c>
      <c r="F794" s="12" t="inlineStr">
        <is>
          <t>1.3.2 Systems - Signalling &amp; Train Control</t>
        </is>
      </c>
      <c r="G794" s="12" t="inlineStr">
        <is>
          <t>ONE_TO_ONE</t>
        </is>
      </c>
      <c r="H794" s="12" t="inlineStr">
        <is>
          <t>APPROVED</t>
        </is>
      </c>
      <c r="I794" s="12" t="inlineStr">
        <is>
          <t>New</t>
        </is>
      </c>
      <c r="J794" s="12" t="inlineStr">
        <is>
          <t>Source assignment -- not individually reviewed</t>
        </is>
      </c>
      <c r="K794" s="12" t="inlineStr"/>
      <c r="L794" s="12" t="inlineStr"/>
      <c r="M794" s="12" t="inlineStr"/>
      <c r="N794" s="17" t="inlineStr">
        <is>
          <t>10 EVIDENCE &amp; DECISIONS</t>
        </is>
      </c>
      <c r="O794" s="105" t="n">
        <v>1190000</v>
      </c>
      <c r="P794" s="105" t="n">
        <v>1177500</v>
      </c>
      <c r="Q794" s="105" t="inlineStr">
        <is>
          <t>CAD</t>
        </is>
      </c>
      <c r="R794" s="105" t="n"/>
      <c r="S794" s="105" t="inlineStr">
        <is>
          <t>2027-06-30</t>
        </is>
      </c>
      <c r="T794" s="105" t="inlineStr">
        <is>
          <t>C1-R0</t>
        </is>
      </c>
      <c r="U794" s="105" t="inlineStr">
        <is>
          <t>Supplied practice file monthly_cost_forecast.xlsx, row 201</t>
        </is>
      </c>
      <c r="V794" s="105" t="inlineStr">
        <is>
          <t>Whole source account, not a target allocation. Repeated target rows must not be summed. Aggregate cost / forecast remains withheld.</t>
        </is>
      </c>
    </row>
    <row r="795" ht="34" customHeight="1">
      <c r="A795" s="12" t="inlineStr">
        <is>
          <t>Cost &amp; Forecast Control Accounts</t>
        </is>
      </c>
      <c r="B795" s="12" t="inlineStr">
        <is>
          <t>CST-03-042</t>
        </is>
      </c>
      <c r="C795" s="12" t="inlineStr">
        <is>
          <t>Systems - train control - field package</t>
        </is>
      </c>
      <c r="D795" s="12" t="inlineStr">
        <is>
          <t>Cost Account = CA-3042; WBS Code = 1.3.2</t>
        </is>
      </c>
      <c r="E795" s="12" t="inlineStr">
        <is>
          <t>R1284-v1</t>
        </is>
      </c>
      <c r="F795" s="12" t="inlineStr">
        <is>
          <t>1.3.2 Systems - Signalling &amp; Train Control</t>
        </is>
      </c>
      <c r="G795" s="12" t="inlineStr">
        <is>
          <t>ONE_TO_ONE</t>
        </is>
      </c>
      <c r="H795" s="12" t="inlineStr">
        <is>
          <t>APPROVED</t>
        </is>
      </c>
      <c r="I795" s="12" t="inlineStr">
        <is>
          <t>New</t>
        </is>
      </c>
      <c r="J795" s="12" t="inlineStr">
        <is>
          <t>Source assignment -- not individually reviewed</t>
        </is>
      </c>
      <c r="K795" s="12" t="inlineStr"/>
      <c r="L795" s="12" t="inlineStr"/>
      <c r="M795" s="12" t="inlineStr"/>
      <c r="N795" s="17" t="inlineStr">
        <is>
          <t>10 EVIDENCE &amp; DECISIONS</t>
        </is>
      </c>
      <c r="O795" s="105" t="n">
        <v>1225000</v>
      </c>
      <c r="P795" s="105" t="n">
        <v>1237500</v>
      </c>
      <c r="Q795" s="105" t="inlineStr">
        <is>
          <t>CAD</t>
        </is>
      </c>
      <c r="R795" s="105" t="n"/>
      <c r="S795" s="105" t="inlineStr">
        <is>
          <t>2027-06-30</t>
        </is>
      </c>
      <c r="T795" s="105" t="inlineStr">
        <is>
          <t>C1-R0</t>
        </is>
      </c>
      <c r="U795" s="105" t="inlineStr">
        <is>
          <t>Supplied practice file monthly_cost_forecast.xlsx, row 203</t>
        </is>
      </c>
      <c r="V795" s="105" t="inlineStr">
        <is>
          <t>Whole source account, not a target allocation. Repeated target rows must not be summed. Aggregate cost / forecast remains withheld.</t>
        </is>
      </c>
    </row>
    <row r="796" ht="34" customHeight="1">
      <c r="A796" s="12" t="inlineStr">
        <is>
          <t>Cost &amp; Forecast Control Accounts</t>
        </is>
      </c>
      <c r="B796" s="12" t="inlineStr">
        <is>
          <t>CST-03-044</t>
        </is>
      </c>
      <c r="C796" s="12" t="inlineStr">
        <is>
          <t>Systems - signalling - professional services</t>
        </is>
      </c>
      <c r="D796" s="12" t="inlineStr">
        <is>
          <t>Cost Account = CA-3044; WBS Code = 1.3.2</t>
        </is>
      </c>
      <c r="E796" s="12" t="inlineStr">
        <is>
          <t>R1286-v1</t>
        </is>
      </c>
      <c r="F796" s="12" t="inlineStr">
        <is>
          <t>1.3.2 Systems - Signalling &amp; Train Control</t>
        </is>
      </c>
      <c r="G796" s="12" t="inlineStr">
        <is>
          <t>ONE_TO_ONE</t>
        </is>
      </c>
      <c r="H796" s="12" t="inlineStr">
        <is>
          <t>APPROVED</t>
        </is>
      </c>
      <c r="I796" s="12" t="inlineStr">
        <is>
          <t>New</t>
        </is>
      </c>
      <c r="J796" s="12" t="inlineStr">
        <is>
          <t>Source assignment -- not individually reviewed</t>
        </is>
      </c>
      <c r="K796" s="12" t="inlineStr"/>
      <c r="L796" s="12" t="inlineStr"/>
      <c r="M796" s="12" t="inlineStr"/>
      <c r="N796" s="17" t="inlineStr">
        <is>
          <t>10 EVIDENCE &amp; DECISIONS</t>
        </is>
      </c>
      <c r="O796" s="105" t="n">
        <v>1260000</v>
      </c>
      <c r="P796" s="105" t="n">
        <v>1247500</v>
      </c>
      <c r="Q796" s="105" t="inlineStr">
        <is>
          <t>CAD</t>
        </is>
      </c>
      <c r="R796" s="105" t="n"/>
      <c r="S796" s="105" t="inlineStr">
        <is>
          <t>2027-06-30</t>
        </is>
      </c>
      <c r="T796" s="105" t="inlineStr">
        <is>
          <t>C1-R0</t>
        </is>
      </c>
      <c r="U796" s="105" t="inlineStr">
        <is>
          <t>Supplied practice file monthly_cost_forecast.xlsx, row 205</t>
        </is>
      </c>
      <c r="V796" s="105" t="inlineStr">
        <is>
          <t>Whole source account, not a target allocation. Repeated target rows must not be summed. Aggregate cost / forecast remains withheld.</t>
        </is>
      </c>
    </row>
    <row r="797" ht="34" customHeight="1">
      <c r="A797" s="12" t="inlineStr">
        <is>
          <t>Cost &amp; Forecast Control Accounts</t>
        </is>
      </c>
      <c r="B797" s="12" t="inlineStr">
        <is>
          <t>CST-03-046</t>
        </is>
      </c>
      <c r="C797" s="12" t="inlineStr">
        <is>
          <t>Systems - systems integration - closeout</t>
        </is>
      </c>
      <c r="D797" s="12" t="inlineStr">
        <is>
          <t>Cost Account = CA-3046; WBS Code = 1.3.2</t>
        </is>
      </c>
      <c r="E797" s="12" t="inlineStr">
        <is>
          <t>R1288-v1</t>
        </is>
      </c>
      <c r="F797" s="12" t="inlineStr">
        <is>
          <t>1.3.2 Systems - Signalling &amp; Train Control</t>
        </is>
      </c>
      <c r="G797" s="12" t="inlineStr">
        <is>
          <t>ONE_TO_ONE</t>
        </is>
      </c>
      <c r="H797" s="12" t="inlineStr">
        <is>
          <t>APPROVED</t>
        </is>
      </c>
      <c r="I797" s="12" t="inlineStr">
        <is>
          <t>New</t>
        </is>
      </c>
      <c r="J797" s="12" t="inlineStr">
        <is>
          <t>Source assignment -- not individually reviewed</t>
        </is>
      </c>
      <c r="K797" s="12" t="inlineStr"/>
      <c r="L797" s="12" t="inlineStr"/>
      <c r="M797" s="12" t="inlineStr"/>
      <c r="N797" s="17" t="inlineStr">
        <is>
          <t>10 EVIDENCE &amp; DECISIONS</t>
        </is>
      </c>
      <c r="O797" s="105" t="n">
        <v>1295000</v>
      </c>
      <c r="P797" s="105" t="n">
        <v>1307500</v>
      </c>
      <c r="Q797" s="105" t="inlineStr">
        <is>
          <t>CAD</t>
        </is>
      </c>
      <c r="R797" s="105" t="n"/>
      <c r="S797" s="105" t="inlineStr">
        <is>
          <t>2027-06-30</t>
        </is>
      </c>
      <c r="T797" s="105" t="inlineStr">
        <is>
          <t>C1-R0</t>
        </is>
      </c>
      <c r="U797" s="105" t="inlineStr">
        <is>
          <t>Supplied practice file monthly_cost_forecast.xlsx, row 207</t>
        </is>
      </c>
      <c r="V797" s="105" t="inlineStr">
        <is>
          <t>Whole source account, not a target allocation. Repeated target rows must not be summed. Aggregate cost / forecast remains withheld.</t>
        </is>
      </c>
    </row>
    <row r="798" ht="34" customHeight="1">
      <c r="A798" s="12" t="inlineStr">
        <is>
          <t>Cost &amp; Forecast Control Accounts</t>
        </is>
      </c>
      <c r="B798" s="12" t="inlineStr">
        <is>
          <t>CST-03-048</t>
        </is>
      </c>
      <c r="C798" s="12" t="inlineStr">
        <is>
          <t>Systems - train control - supply and install</t>
        </is>
      </c>
      <c r="D798" s="12" t="inlineStr">
        <is>
          <t>Cost Account = CA-3048; WBS Code = 1.3.2</t>
        </is>
      </c>
      <c r="E798" s="12" t="inlineStr">
        <is>
          <t>R1290-v1</t>
        </is>
      </c>
      <c r="F798" s="12" t="inlineStr">
        <is>
          <t>1.3.2 Systems - Signalling &amp; Train Control</t>
        </is>
      </c>
      <c r="G798" s="12" t="inlineStr">
        <is>
          <t>ONE_TO_ONE</t>
        </is>
      </c>
      <c r="H798" s="12" t="inlineStr">
        <is>
          <t>APPROVED</t>
        </is>
      </c>
      <c r="I798" s="12" t="inlineStr">
        <is>
          <t>New</t>
        </is>
      </c>
      <c r="J798" s="12" t="inlineStr">
        <is>
          <t>Source assignment -- not individually reviewed</t>
        </is>
      </c>
      <c r="K798" s="12" t="inlineStr"/>
      <c r="L798" s="12" t="inlineStr"/>
      <c r="M798" s="12" t="inlineStr"/>
      <c r="N798" s="17" t="inlineStr">
        <is>
          <t>10 EVIDENCE &amp; DECISIONS</t>
        </is>
      </c>
      <c r="O798" s="105" t="n">
        <v>1330000</v>
      </c>
      <c r="P798" s="105" t="n">
        <v>1317500</v>
      </c>
      <c r="Q798" s="105" t="inlineStr">
        <is>
          <t>CAD</t>
        </is>
      </c>
      <c r="R798" s="105" t="n"/>
      <c r="S798" s="105" t="inlineStr">
        <is>
          <t>2027-06-30</t>
        </is>
      </c>
      <c r="T798" s="105" t="inlineStr">
        <is>
          <t>C1-R0</t>
        </is>
      </c>
      <c r="U798" s="105" t="inlineStr">
        <is>
          <t>Supplied practice file monthly_cost_forecast.xlsx, row 209</t>
        </is>
      </c>
      <c r="V798" s="105" t="inlineStr">
        <is>
          <t>Whole source account, not a target allocation. Repeated target rows must not be summed. Aggregate cost / forecast remains withheld.</t>
        </is>
      </c>
    </row>
    <row r="799" ht="34" customHeight="1">
      <c r="A799" s="12" t="inlineStr">
        <is>
          <t>Cost &amp; Forecast Control Accounts</t>
        </is>
      </c>
      <c r="B799" s="12" t="inlineStr">
        <is>
          <t>CST-03-050</t>
        </is>
      </c>
      <c r="C799" s="12" t="inlineStr">
        <is>
          <t>Systems - signalling - allowance</t>
        </is>
      </c>
      <c r="D799" s="12" t="inlineStr">
        <is>
          <t>Cost Account = CA-3050; WBS Code = 1.3.2</t>
        </is>
      </c>
      <c r="E799" s="12" t="inlineStr">
        <is>
          <t>R1292-v1</t>
        </is>
      </c>
      <c r="F799" s="12" t="inlineStr">
        <is>
          <t>1.3.2 Systems - Signalling &amp; Train Control</t>
        </is>
      </c>
      <c r="G799" s="12" t="inlineStr">
        <is>
          <t>ONE_TO_ONE</t>
        </is>
      </c>
      <c r="H799" s="12" t="inlineStr">
        <is>
          <t>APPROVED</t>
        </is>
      </c>
      <c r="I799" s="12" t="inlineStr">
        <is>
          <t>New</t>
        </is>
      </c>
      <c r="J799" s="12" t="inlineStr">
        <is>
          <t>Source assignment -- not individually reviewed</t>
        </is>
      </c>
      <c r="K799" s="12" t="inlineStr"/>
      <c r="L799" s="12" t="inlineStr"/>
      <c r="M799" s="12" t="inlineStr"/>
      <c r="N799" s="17" t="inlineStr">
        <is>
          <t>10 EVIDENCE &amp; DECISIONS</t>
        </is>
      </c>
      <c r="O799" s="105" t="n">
        <v>1365000</v>
      </c>
      <c r="P799" s="105" t="n">
        <v>1377500</v>
      </c>
      <c r="Q799" s="105" t="inlineStr">
        <is>
          <t>CAD</t>
        </is>
      </c>
      <c r="R799" s="105" t="n"/>
      <c r="S799" s="105" t="inlineStr">
        <is>
          <t>2027-06-30</t>
        </is>
      </c>
      <c r="T799" s="105" t="inlineStr">
        <is>
          <t>C1-R0</t>
        </is>
      </c>
      <c r="U799" s="105" t="inlineStr">
        <is>
          <t>Supplied practice file monthly_cost_forecast.xlsx, row 211</t>
        </is>
      </c>
      <c r="V799" s="105" t="inlineStr">
        <is>
          <t>Whole source account, not a target allocation. Repeated target rows must not be summed. Aggregate cost / forecast remains withheld.</t>
        </is>
      </c>
    </row>
    <row r="800" ht="34" customHeight="1">
      <c r="A800" s="12" t="inlineStr">
        <is>
          <t>Cost &amp; Forecast Control Accounts</t>
        </is>
      </c>
      <c r="B800" s="12" t="inlineStr">
        <is>
          <t>CST-03-052</t>
        </is>
      </c>
      <c r="C800" s="12" t="inlineStr">
        <is>
          <t>Systems - systems integration - field package</t>
        </is>
      </c>
      <c r="D800" s="12" t="inlineStr">
        <is>
          <t>Cost Account = CA-3052; WBS Code = 1.3.2</t>
        </is>
      </c>
      <c r="E800" s="12" t="inlineStr">
        <is>
          <t>R1294-v1</t>
        </is>
      </c>
      <c r="F800" s="12" t="inlineStr">
        <is>
          <t>1.3.2 Systems - Signalling &amp; Train Control</t>
        </is>
      </c>
      <c r="G800" s="12" t="inlineStr">
        <is>
          <t>ONE_TO_ONE</t>
        </is>
      </c>
      <c r="H800" s="12" t="inlineStr">
        <is>
          <t>APPROVED</t>
        </is>
      </c>
      <c r="I800" s="12" t="inlineStr">
        <is>
          <t>New</t>
        </is>
      </c>
      <c r="J800" s="12" t="inlineStr">
        <is>
          <t>Source assignment -- not individually reviewed</t>
        </is>
      </c>
      <c r="K800" s="12" t="inlineStr"/>
      <c r="L800" s="12" t="inlineStr"/>
      <c r="M800" s="12" t="inlineStr"/>
      <c r="N800" s="17" t="inlineStr">
        <is>
          <t>10 EVIDENCE &amp; DECISIONS</t>
        </is>
      </c>
      <c r="O800" s="105" t="n">
        <v>1400000</v>
      </c>
      <c r="P800" s="105" t="n">
        <v>1387500</v>
      </c>
      <c r="Q800" s="105" t="inlineStr">
        <is>
          <t>CAD</t>
        </is>
      </c>
      <c r="R800" s="105" t="n"/>
      <c r="S800" s="105" t="inlineStr">
        <is>
          <t>2027-06-30</t>
        </is>
      </c>
      <c r="T800" s="105" t="inlineStr">
        <is>
          <t>C1-R0</t>
        </is>
      </c>
      <c r="U800" s="105" t="inlineStr">
        <is>
          <t>Supplied practice file monthly_cost_forecast.xlsx, row 213</t>
        </is>
      </c>
      <c r="V800" s="105" t="inlineStr">
        <is>
          <t>Whole source account, not a target allocation. Repeated target rows must not be summed. Aggregate cost / forecast remains withheld.</t>
        </is>
      </c>
    </row>
    <row r="801" ht="34" customHeight="1">
      <c r="A801" s="12" t="inlineStr">
        <is>
          <t>Cost &amp; Forecast Control Accounts</t>
        </is>
      </c>
      <c r="B801" s="12" t="inlineStr">
        <is>
          <t>CST-03-054</t>
        </is>
      </c>
      <c r="C801" s="12" t="inlineStr">
        <is>
          <t>Systems - train control - professional services</t>
        </is>
      </c>
      <c r="D801" s="12" t="inlineStr">
        <is>
          <t>Cost Account = CA-3054; WBS Code = 1.3.2</t>
        </is>
      </c>
      <c r="E801" s="12" t="inlineStr">
        <is>
          <t>R1296-v1</t>
        </is>
      </c>
      <c r="F801" s="12" t="inlineStr">
        <is>
          <t>1.3.2 Systems - Signalling &amp; Train Control</t>
        </is>
      </c>
      <c r="G801" s="12" t="inlineStr">
        <is>
          <t>ONE_TO_ONE</t>
        </is>
      </c>
      <c r="H801" s="12" t="inlineStr">
        <is>
          <t>APPROVED</t>
        </is>
      </c>
      <c r="I801" s="12" t="inlineStr">
        <is>
          <t>New</t>
        </is>
      </c>
      <c r="J801" s="12" t="inlineStr">
        <is>
          <t>Source assignment -- not individually reviewed</t>
        </is>
      </c>
      <c r="K801" s="12" t="inlineStr"/>
      <c r="L801" s="12" t="inlineStr"/>
      <c r="M801" s="12" t="inlineStr"/>
      <c r="N801" s="17" t="inlineStr">
        <is>
          <t>10 EVIDENCE &amp; DECISIONS</t>
        </is>
      </c>
      <c r="O801" s="105" t="n">
        <v>1435000</v>
      </c>
      <c r="P801" s="105" t="n">
        <v>1447500</v>
      </c>
      <c r="Q801" s="105" t="inlineStr">
        <is>
          <t>CAD</t>
        </is>
      </c>
      <c r="R801" s="105" t="n"/>
      <c r="S801" s="105" t="inlineStr">
        <is>
          <t>2027-06-30</t>
        </is>
      </c>
      <c r="T801" s="105" t="inlineStr">
        <is>
          <t>C1-R0</t>
        </is>
      </c>
      <c r="U801" s="105" t="inlineStr">
        <is>
          <t>Supplied practice file monthly_cost_forecast.xlsx, row 215</t>
        </is>
      </c>
      <c r="V801" s="105" t="inlineStr">
        <is>
          <t>Whole source account, not a target allocation. Repeated target rows must not be summed. Aggregate cost / forecast remains withheld.</t>
        </is>
      </c>
    </row>
    <row r="802" ht="34" customHeight="1">
      <c r="A802" s="12" t="inlineStr">
        <is>
          <t>Cost &amp; Forecast Control Accounts</t>
        </is>
      </c>
      <c r="B802" s="12" t="inlineStr">
        <is>
          <t>CST-03-056</t>
        </is>
      </c>
      <c r="C802" s="12" t="inlineStr">
        <is>
          <t>Systems - signalling - closeout</t>
        </is>
      </c>
      <c r="D802" s="12" t="inlineStr">
        <is>
          <t>Cost Account = CA-3056; WBS Code = 1.3.2</t>
        </is>
      </c>
      <c r="E802" s="12" t="inlineStr">
        <is>
          <t>R1298-v1</t>
        </is>
      </c>
      <c r="F802" s="12" t="inlineStr">
        <is>
          <t>1.3.2 Systems - Signalling &amp; Train Control</t>
        </is>
      </c>
      <c r="G802" s="12" t="inlineStr">
        <is>
          <t>ONE_TO_ONE</t>
        </is>
      </c>
      <c r="H802" s="12" t="inlineStr">
        <is>
          <t>APPROVED</t>
        </is>
      </c>
      <c r="I802" s="12" t="inlineStr">
        <is>
          <t>New</t>
        </is>
      </c>
      <c r="J802" s="12" t="inlineStr">
        <is>
          <t>Source assignment -- not individually reviewed</t>
        </is>
      </c>
      <c r="K802" s="12" t="inlineStr"/>
      <c r="L802" s="12" t="inlineStr"/>
      <c r="M802" s="12" t="inlineStr"/>
      <c r="N802" s="17" t="inlineStr">
        <is>
          <t>10 EVIDENCE &amp; DECISIONS</t>
        </is>
      </c>
      <c r="O802" s="105" t="n">
        <v>1470000</v>
      </c>
      <c r="P802" s="105" t="n">
        <v>1457500</v>
      </c>
      <c r="Q802" s="105" t="inlineStr">
        <is>
          <t>CAD</t>
        </is>
      </c>
      <c r="R802" s="105" t="n"/>
      <c r="S802" s="105" t="inlineStr">
        <is>
          <t>2027-06-30</t>
        </is>
      </c>
      <c r="T802" s="105" t="inlineStr">
        <is>
          <t>C1-R0</t>
        </is>
      </c>
      <c r="U802" s="105" t="inlineStr">
        <is>
          <t>Supplied practice file monthly_cost_forecast.xlsx, row 217</t>
        </is>
      </c>
      <c r="V802" s="105" t="inlineStr">
        <is>
          <t>Whole source account, not a target allocation. Repeated target rows must not be summed. Aggregate cost / forecast remains withheld.</t>
        </is>
      </c>
    </row>
    <row r="803" ht="34" customHeight="1">
      <c r="A803" s="12" t="inlineStr">
        <is>
          <t>Cost &amp; Forecast Control Accounts</t>
        </is>
      </c>
      <c r="B803" s="12" t="inlineStr">
        <is>
          <t>CST-03-058</t>
        </is>
      </c>
      <c r="C803" s="12" t="inlineStr">
        <is>
          <t>Systems - systems integration - supply and install</t>
        </is>
      </c>
      <c r="D803" s="12" t="inlineStr">
        <is>
          <t>Cost Account = CA-3058; WBS Code = 1.3.2</t>
        </is>
      </c>
      <c r="E803" s="12" t="inlineStr">
        <is>
          <t>R1300-v1</t>
        </is>
      </c>
      <c r="F803" s="12" t="inlineStr">
        <is>
          <t>1.3.2 Systems - Signalling &amp; Train Control</t>
        </is>
      </c>
      <c r="G803" s="12" t="inlineStr">
        <is>
          <t>ONE_TO_ONE</t>
        </is>
      </c>
      <c r="H803" s="12" t="inlineStr">
        <is>
          <t>APPROVED</t>
        </is>
      </c>
      <c r="I803" s="12" t="inlineStr">
        <is>
          <t>New</t>
        </is>
      </c>
      <c r="J803" s="12" t="inlineStr">
        <is>
          <t>Source assignment -- not individually reviewed</t>
        </is>
      </c>
      <c r="K803" s="12" t="inlineStr"/>
      <c r="L803" s="12" t="inlineStr"/>
      <c r="M803" s="12" t="inlineStr"/>
      <c r="N803" s="17" t="inlineStr">
        <is>
          <t>10 EVIDENCE &amp; DECISIONS</t>
        </is>
      </c>
      <c r="O803" s="105" t="n">
        <v>1505000</v>
      </c>
      <c r="P803" s="105" t="n">
        <v>1517500</v>
      </c>
      <c r="Q803" s="105" t="inlineStr">
        <is>
          <t>CAD</t>
        </is>
      </c>
      <c r="R803" s="105" t="n"/>
      <c r="S803" s="105" t="inlineStr">
        <is>
          <t>2027-06-30</t>
        </is>
      </c>
      <c r="T803" s="105" t="inlineStr">
        <is>
          <t>C1-R0</t>
        </is>
      </c>
      <c r="U803" s="105" t="inlineStr">
        <is>
          <t>Supplied practice file monthly_cost_forecast.xlsx, row 219</t>
        </is>
      </c>
      <c r="V803" s="105" t="inlineStr">
        <is>
          <t>Whole source account, not a target allocation. Repeated target rows must not be summed. Aggregate cost / forecast remains withheld.</t>
        </is>
      </c>
    </row>
    <row r="804" ht="34" customHeight="1">
      <c r="A804" s="12" t="inlineStr">
        <is>
          <t>Cost &amp; Forecast Control Accounts</t>
        </is>
      </c>
      <c r="B804" s="12" t="inlineStr">
        <is>
          <t>CST-03-060</t>
        </is>
      </c>
      <c r="C804" s="12" t="inlineStr">
        <is>
          <t>Systems - train control - allowance</t>
        </is>
      </c>
      <c r="D804" s="12" t="inlineStr">
        <is>
          <t>Cost Account = CA-3060; WBS Code = 1.3.2</t>
        </is>
      </c>
      <c r="E804" s="12" t="inlineStr">
        <is>
          <t>R1302-v1</t>
        </is>
      </c>
      <c r="F804" s="12" t="inlineStr">
        <is>
          <t>1.3.2 Systems - Signalling &amp; Train Control</t>
        </is>
      </c>
      <c r="G804" s="12" t="inlineStr">
        <is>
          <t>ONE_TO_ONE</t>
        </is>
      </c>
      <c r="H804" s="12" t="inlineStr">
        <is>
          <t>APPROVED</t>
        </is>
      </c>
      <c r="I804" s="12" t="inlineStr">
        <is>
          <t>New</t>
        </is>
      </c>
      <c r="J804" s="12" t="inlineStr">
        <is>
          <t>Source assignment -- not individually reviewed</t>
        </is>
      </c>
      <c r="K804" s="12" t="inlineStr"/>
      <c r="L804" s="12" t="inlineStr"/>
      <c r="M804" s="12" t="inlineStr"/>
      <c r="N804" s="17" t="inlineStr">
        <is>
          <t>10 EVIDENCE &amp; DECISIONS</t>
        </is>
      </c>
      <c r="O804" s="105" t="n">
        <v>1540000</v>
      </c>
      <c r="P804" s="105" t="n">
        <v>1527500</v>
      </c>
      <c r="Q804" s="105" t="inlineStr">
        <is>
          <t>CAD</t>
        </is>
      </c>
      <c r="R804" s="105" t="n"/>
      <c r="S804" s="105" t="inlineStr">
        <is>
          <t>2027-06-30</t>
        </is>
      </c>
      <c r="T804" s="105" t="inlineStr">
        <is>
          <t>C1-R0</t>
        </is>
      </c>
      <c r="U804" s="105" t="inlineStr">
        <is>
          <t>Supplied practice file monthly_cost_forecast.xlsx, row 221</t>
        </is>
      </c>
      <c r="V804" s="105" t="inlineStr">
        <is>
          <t>Whole source account, not a target allocation. Repeated target rows must not be summed. Aggregate cost / forecast remains withheld.</t>
        </is>
      </c>
    </row>
    <row r="805" ht="34" customHeight="1">
      <c r="A805" s="12" t="inlineStr">
        <is>
          <t>Cost &amp; Forecast Control Accounts</t>
        </is>
      </c>
      <c r="B805" s="12" t="inlineStr">
        <is>
          <t>CST-03-062</t>
        </is>
      </c>
      <c r="C805" s="12" t="inlineStr">
        <is>
          <t>Systems - signalling - field package</t>
        </is>
      </c>
      <c r="D805" s="12" t="inlineStr">
        <is>
          <t>Cost Account = CA-3062; WBS Code = 1.3.2</t>
        </is>
      </c>
      <c r="E805" s="12" t="inlineStr">
        <is>
          <t>R1304-v1</t>
        </is>
      </c>
      <c r="F805" s="12" t="inlineStr">
        <is>
          <t>1.3.2 Systems - Signalling &amp; Train Control</t>
        </is>
      </c>
      <c r="G805" s="12" t="inlineStr">
        <is>
          <t>ONE_TO_ONE</t>
        </is>
      </c>
      <c r="H805" s="12" t="inlineStr">
        <is>
          <t>APPROVED</t>
        </is>
      </c>
      <c r="I805" s="12" t="inlineStr">
        <is>
          <t>New</t>
        </is>
      </c>
      <c r="J805" s="12" t="inlineStr">
        <is>
          <t>Source assignment -- not individually reviewed</t>
        </is>
      </c>
      <c r="K805" s="12" t="inlineStr"/>
      <c r="L805" s="12" t="inlineStr"/>
      <c r="M805" s="12" t="inlineStr"/>
      <c r="N805" s="17" t="inlineStr">
        <is>
          <t>10 EVIDENCE &amp; DECISIONS</t>
        </is>
      </c>
      <c r="O805" s="105" t="n">
        <v>1575000</v>
      </c>
      <c r="P805" s="105" t="n">
        <v>1587500</v>
      </c>
      <c r="Q805" s="105" t="inlineStr">
        <is>
          <t>CAD</t>
        </is>
      </c>
      <c r="R805" s="105" t="n"/>
      <c r="S805" s="105" t="inlineStr">
        <is>
          <t>2027-06-30</t>
        </is>
      </c>
      <c r="T805" s="105" t="inlineStr">
        <is>
          <t>C1-R0</t>
        </is>
      </c>
      <c r="U805" s="105" t="inlineStr">
        <is>
          <t>Supplied practice file monthly_cost_forecast.xlsx, row 223</t>
        </is>
      </c>
      <c r="V805" s="105" t="inlineStr">
        <is>
          <t>Whole source account, not a target allocation. Repeated target rows must not be summed. Aggregate cost / forecast remains withheld.</t>
        </is>
      </c>
    </row>
    <row r="806" ht="34" customHeight="1">
      <c r="A806" s="12" t="inlineStr">
        <is>
          <t>Cost &amp; Forecast Control Accounts</t>
        </is>
      </c>
      <c r="B806" s="12" t="inlineStr">
        <is>
          <t>CST-03-064</t>
        </is>
      </c>
      <c r="C806" s="12" t="inlineStr">
        <is>
          <t>Systems - systems integration - professional services</t>
        </is>
      </c>
      <c r="D806" s="12" t="inlineStr">
        <is>
          <t>Cost Account = CA-3064; WBS Code = 1.3.2</t>
        </is>
      </c>
      <c r="E806" s="12" t="inlineStr">
        <is>
          <t>R1306-v1</t>
        </is>
      </c>
      <c r="F806" s="12" t="inlineStr">
        <is>
          <t>1.3.2 Systems - Signalling &amp; Train Control</t>
        </is>
      </c>
      <c r="G806" s="12" t="inlineStr">
        <is>
          <t>ONE_TO_ONE</t>
        </is>
      </c>
      <c r="H806" s="12" t="inlineStr">
        <is>
          <t>APPROVED</t>
        </is>
      </c>
      <c r="I806" s="12" t="inlineStr">
        <is>
          <t>New</t>
        </is>
      </c>
      <c r="J806" s="12" t="inlineStr">
        <is>
          <t>Source assignment -- not individually reviewed</t>
        </is>
      </c>
      <c r="K806" s="12" t="inlineStr"/>
      <c r="L806" s="12" t="inlineStr"/>
      <c r="M806" s="12" t="inlineStr"/>
      <c r="N806" s="17" t="inlineStr">
        <is>
          <t>10 EVIDENCE &amp; DECISIONS</t>
        </is>
      </c>
      <c r="O806" s="105" t="n">
        <v>1610000</v>
      </c>
      <c r="P806" s="105" t="n">
        <v>1597500</v>
      </c>
      <c r="Q806" s="105" t="inlineStr">
        <is>
          <t>CAD</t>
        </is>
      </c>
      <c r="R806" s="105" t="n"/>
      <c r="S806" s="105" t="inlineStr">
        <is>
          <t>2027-06-30</t>
        </is>
      </c>
      <c r="T806" s="105" t="inlineStr">
        <is>
          <t>C1-R0</t>
        </is>
      </c>
      <c r="U806" s="105" t="inlineStr">
        <is>
          <t>Supplied practice file monthly_cost_forecast.xlsx, row 225</t>
        </is>
      </c>
      <c r="V806" s="105" t="inlineStr">
        <is>
          <t>Whole source account, not a target allocation. Repeated target rows must not be summed. Aggregate cost / forecast remains withheld.</t>
        </is>
      </c>
    </row>
    <row r="807" ht="34" customHeight="1">
      <c r="A807" s="12" t="inlineStr">
        <is>
          <t>Cost &amp; Forecast Control Accounts</t>
        </is>
      </c>
      <c r="B807" s="12" t="inlineStr">
        <is>
          <t>CST-03-066</t>
        </is>
      </c>
      <c r="C807" s="12" t="inlineStr">
        <is>
          <t>Systems - train control - closeout</t>
        </is>
      </c>
      <c r="D807" s="12" t="inlineStr">
        <is>
          <t>Cost Account = CA-3066; WBS Code = 1.3.2</t>
        </is>
      </c>
      <c r="E807" s="12" t="inlineStr">
        <is>
          <t>R1308-v1</t>
        </is>
      </c>
      <c r="F807" s="12" t="inlineStr">
        <is>
          <t>1.3.2 Systems - Signalling &amp; Train Control</t>
        </is>
      </c>
      <c r="G807" s="12" t="inlineStr">
        <is>
          <t>ONE_TO_ONE</t>
        </is>
      </c>
      <c r="H807" s="12" t="inlineStr">
        <is>
          <t>APPROVED</t>
        </is>
      </c>
      <c r="I807" s="12" t="inlineStr">
        <is>
          <t>New</t>
        </is>
      </c>
      <c r="J807" s="12" t="inlineStr">
        <is>
          <t>Source assignment -- not individually reviewed</t>
        </is>
      </c>
      <c r="K807" s="12" t="inlineStr"/>
      <c r="L807" s="12" t="inlineStr"/>
      <c r="M807" s="12" t="inlineStr"/>
      <c r="N807" s="17" t="inlineStr">
        <is>
          <t>10 EVIDENCE &amp; DECISIONS</t>
        </is>
      </c>
      <c r="O807" s="105" t="n">
        <v>1645000</v>
      </c>
      <c r="P807" s="105" t="n">
        <v>1657500</v>
      </c>
      <c r="Q807" s="105" t="inlineStr">
        <is>
          <t>CAD</t>
        </is>
      </c>
      <c r="R807" s="105" t="n"/>
      <c r="S807" s="105" t="inlineStr">
        <is>
          <t>2027-06-30</t>
        </is>
      </c>
      <c r="T807" s="105" t="inlineStr">
        <is>
          <t>C1-R0</t>
        </is>
      </c>
      <c r="U807" s="105" t="inlineStr">
        <is>
          <t>Supplied practice file monthly_cost_forecast.xlsx, row 227</t>
        </is>
      </c>
      <c r="V807" s="105" t="inlineStr">
        <is>
          <t>Whole source account, not a target allocation. Repeated target rows must not be summed. Aggregate cost / forecast remains withheld.</t>
        </is>
      </c>
    </row>
    <row r="808" ht="34" customHeight="1">
      <c r="A808" s="12" t="inlineStr">
        <is>
          <t>Cost &amp; Forecast Control Accounts</t>
        </is>
      </c>
      <c r="B808" s="12" t="inlineStr">
        <is>
          <t>CST-03-068</t>
        </is>
      </c>
      <c r="C808" s="12" t="inlineStr">
        <is>
          <t>Systems - signalling - supply and install</t>
        </is>
      </c>
      <c r="D808" s="12" t="inlineStr">
        <is>
          <t>Cost Account = CA-3068; WBS Code = 1.3.2</t>
        </is>
      </c>
      <c r="E808" s="12" t="inlineStr">
        <is>
          <t>R1310-v1</t>
        </is>
      </c>
      <c r="F808" s="12" t="inlineStr">
        <is>
          <t>1.3.2 Systems - Signalling &amp; Train Control</t>
        </is>
      </c>
      <c r="G808" s="12" t="inlineStr">
        <is>
          <t>ONE_TO_ONE</t>
        </is>
      </c>
      <c r="H808" s="12" t="inlineStr">
        <is>
          <t>APPROVED</t>
        </is>
      </c>
      <c r="I808" s="12" t="inlineStr">
        <is>
          <t>New</t>
        </is>
      </c>
      <c r="J808" s="12" t="inlineStr">
        <is>
          <t>Source assignment -- not individually reviewed</t>
        </is>
      </c>
      <c r="K808" s="12" t="inlineStr"/>
      <c r="L808" s="12" t="inlineStr"/>
      <c r="M808" s="12" t="inlineStr"/>
      <c r="N808" s="17" t="inlineStr">
        <is>
          <t>10 EVIDENCE &amp; DECISIONS</t>
        </is>
      </c>
      <c r="O808" s="105" t="n">
        <v>1680000</v>
      </c>
      <c r="P808" s="105" t="n">
        <v>1667500</v>
      </c>
      <c r="Q808" s="105" t="inlineStr">
        <is>
          <t>CAD</t>
        </is>
      </c>
      <c r="R808" s="105" t="n"/>
      <c r="S808" s="105" t="inlineStr">
        <is>
          <t>2027-06-30</t>
        </is>
      </c>
      <c r="T808" s="105" t="inlineStr">
        <is>
          <t>C1-R0</t>
        </is>
      </c>
      <c r="U808" s="105" t="inlineStr">
        <is>
          <t>Supplied practice file monthly_cost_forecast.xlsx, row 229</t>
        </is>
      </c>
      <c r="V808" s="105" t="inlineStr">
        <is>
          <t>Whole source account, not a target allocation. Repeated target rows must not be summed. Aggregate cost / forecast remains withheld.</t>
        </is>
      </c>
    </row>
    <row r="809" ht="34" customHeight="1">
      <c r="A809" s="12" t="inlineStr">
        <is>
          <t>Cost &amp; Forecast Control Accounts</t>
        </is>
      </c>
      <c r="B809" s="12" t="inlineStr">
        <is>
          <t>CST-03-070</t>
        </is>
      </c>
      <c r="C809" s="12" t="inlineStr">
        <is>
          <t>Systems - systems integration - allowance</t>
        </is>
      </c>
      <c r="D809" s="12" t="inlineStr">
        <is>
          <t>Cost Account = CA-3070; WBS Code = 1.3.2</t>
        </is>
      </c>
      <c r="E809" s="12" t="inlineStr">
        <is>
          <t>R1312-v1</t>
        </is>
      </c>
      <c r="F809" s="12" t="inlineStr">
        <is>
          <t>1.3.2 Systems - Signalling &amp; Train Control</t>
        </is>
      </c>
      <c r="G809" s="12" t="inlineStr">
        <is>
          <t>ONE_TO_ONE</t>
        </is>
      </c>
      <c r="H809" s="12" t="inlineStr">
        <is>
          <t>APPROVED</t>
        </is>
      </c>
      <c r="I809" s="12" t="inlineStr">
        <is>
          <t>New</t>
        </is>
      </c>
      <c r="J809" s="12" t="inlineStr">
        <is>
          <t>Source assignment -- not individually reviewed</t>
        </is>
      </c>
      <c r="K809" s="12" t="inlineStr"/>
      <c r="L809" s="12" t="inlineStr"/>
      <c r="M809" s="12" t="inlineStr"/>
      <c r="N809" s="17" t="inlineStr">
        <is>
          <t>10 EVIDENCE &amp; DECISIONS</t>
        </is>
      </c>
      <c r="O809" s="105" t="n">
        <v>1715000</v>
      </c>
      <c r="P809" s="105" t="n">
        <v>1727500</v>
      </c>
      <c r="Q809" s="105" t="inlineStr">
        <is>
          <t>CAD</t>
        </is>
      </c>
      <c r="R809" s="105" t="n"/>
      <c r="S809" s="105" t="inlineStr">
        <is>
          <t>2027-06-30</t>
        </is>
      </c>
      <c r="T809" s="105" t="inlineStr">
        <is>
          <t>C1-R0</t>
        </is>
      </c>
      <c r="U809" s="105" t="inlineStr">
        <is>
          <t>Supplied practice file monthly_cost_forecast.xlsx, row 231</t>
        </is>
      </c>
      <c r="V809" s="105" t="inlineStr">
        <is>
          <t>Whole source account, not a target allocation. Repeated target rows must not be summed. Aggregate cost / forecast remains withheld.</t>
        </is>
      </c>
    </row>
    <row r="810" ht="34" customHeight="1">
      <c r="A810" s="12" t="inlineStr">
        <is>
          <t>Cost &amp; Forecast Control Accounts</t>
        </is>
      </c>
      <c r="B810" s="12" t="inlineStr">
        <is>
          <t>CST-03-072</t>
        </is>
      </c>
      <c r="C810" s="12" t="inlineStr">
        <is>
          <t>Systems - train control - field package</t>
        </is>
      </c>
      <c r="D810" s="12" t="inlineStr">
        <is>
          <t>Cost Account = CA-3072; WBS Code = 1.3.2</t>
        </is>
      </c>
      <c r="E810" s="12" t="inlineStr">
        <is>
          <t>R1314-v1</t>
        </is>
      </c>
      <c r="F810" s="12" t="inlineStr">
        <is>
          <t>1.3.2 Systems - Signalling &amp; Train Control</t>
        </is>
      </c>
      <c r="G810" s="12" t="inlineStr">
        <is>
          <t>ONE_TO_ONE</t>
        </is>
      </c>
      <c r="H810" s="12" t="inlineStr">
        <is>
          <t>APPROVED</t>
        </is>
      </c>
      <c r="I810" s="12" t="inlineStr">
        <is>
          <t>New</t>
        </is>
      </c>
      <c r="J810" s="12" t="inlineStr">
        <is>
          <t>Source assignment -- not individually reviewed</t>
        </is>
      </c>
      <c r="K810" s="12" t="inlineStr"/>
      <c r="L810" s="12" t="inlineStr"/>
      <c r="M810" s="12" t="inlineStr"/>
      <c r="N810" s="17" t="inlineStr">
        <is>
          <t>10 EVIDENCE &amp; DECISIONS</t>
        </is>
      </c>
      <c r="O810" s="105" t="n">
        <v>1750000</v>
      </c>
      <c r="P810" s="105" t="n">
        <v>1737500</v>
      </c>
      <c r="Q810" s="105" t="inlineStr">
        <is>
          <t>CAD</t>
        </is>
      </c>
      <c r="R810" s="105" t="n"/>
      <c r="S810" s="105" t="inlineStr">
        <is>
          <t>2027-06-30</t>
        </is>
      </c>
      <c r="T810" s="105" t="inlineStr">
        <is>
          <t>C1-R0</t>
        </is>
      </c>
      <c r="U810" s="105" t="inlineStr">
        <is>
          <t>Supplied practice file monthly_cost_forecast.xlsx, row 233</t>
        </is>
      </c>
      <c r="V810" s="105" t="inlineStr">
        <is>
          <t>Whole source account, not a target allocation. Repeated target rows must not be summed. Aggregate cost / forecast remains withheld.</t>
        </is>
      </c>
    </row>
    <row r="811" ht="34" customHeight="1">
      <c r="A811" s="12" t="inlineStr">
        <is>
          <t>Cost &amp; Forecast Control Accounts</t>
        </is>
      </c>
      <c r="B811" s="12" t="inlineStr">
        <is>
          <t>CST-03-074</t>
        </is>
      </c>
      <c r="C811" s="12" t="inlineStr">
        <is>
          <t>Systems - signalling - professional services</t>
        </is>
      </c>
      <c r="D811" s="12" t="inlineStr">
        <is>
          <t>Cost Account = CA-3074; WBS Code = 1.3.2</t>
        </is>
      </c>
      <c r="E811" s="12" t="inlineStr">
        <is>
          <t>R1316-v1</t>
        </is>
      </c>
      <c r="F811" s="12" t="inlineStr">
        <is>
          <t>1.3.2 Systems - Signalling &amp; Train Control</t>
        </is>
      </c>
      <c r="G811" s="12" t="inlineStr">
        <is>
          <t>ONE_TO_ONE</t>
        </is>
      </c>
      <c r="H811" s="12" t="inlineStr">
        <is>
          <t>APPROVED</t>
        </is>
      </c>
      <c r="I811" s="12" t="inlineStr">
        <is>
          <t>New</t>
        </is>
      </c>
      <c r="J811" s="12" t="inlineStr">
        <is>
          <t>Source assignment -- not individually reviewed</t>
        </is>
      </c>
      <c r="K811" s="12" t="inlineStr"/>
      <c r="L811" s="12" t="inlineStr"/>
      <c r="M811" s="12" t="inlineStr"/>
      <c r="N811" s="17" t="inlineStr">
        <is>
          <t>10 EVIDENCE &amp; DECISIONS</t>
        </is>
      </c>
      <c r="O811" s="105" t="n">
        <v>1785000</v>
      </c>
      <c r="P811" s="105" t="n">
        <v>1797500</v>
      </c>
      <c r="Q811" s="105" t="inlineStr">
        <is>
          <t>CAD</t>
        </is>
      </c>
      <c r="R811" s="105" t="n"/>
      <c r="S811" s="105" t="inlineStr">
        <is>
          <t>2027-06-30</t>
        </is>
      </c>
      <c r="T811" s="105" t="inlineStr">
        <is>
          <t>C1-R0</t>
        </is>
      </c>
      <c r="U811" s="105" t="inlineStr">
        <is>
          <t>Supplied practice file monthly_cost_forecast.xlsx, row 235</t>
        </is>
      </c>
      <c r="V811" s="105" t="inlineStr">
        <is>
          <t>Whole source account, not a target allocation. Repeated target rows must not be summed. Aggregate cost / forecast remains withheld.</t>
        </is>
      </c>
    </row>
    <row r="812" ht="34" customHeight="1">
      <c r="A812" s="12" t="inlineStr">
        <is>
          <t>Cost &amp; Forecast Control Accounts</t>
        </is>
      </c>
      <c r="B812" s="12" t="inlineStr">
        <is>
          <t>CST-03-076</t>
        </is>
      </c>
      <c r="C812" s="12" t="inlineStr">
        <is>
          <t>Systems - systems integration - closeout</t>
        </is>
      </c>
      <c r="D812" s="12" t="inlineStr">
        <is>
          <t>Cost Account = CA-3076; WBS Code = 1.3.2</t>
        </is>
      </c>
      <c r="E812" s="12" t="inlineStr">
        <is>
          <t>R1318-v1</t>
        </is>
      </c>
      <c r="F812" s="12" t="inlineStr">
        <is>
          <t>1.3.2 Systems - Signalling &amp; Train Control</t>
        </is>
      </c>
      <c r="G812" s="12" t="inlineStr">
        <is>
          <t>ONE_TO_ONE</t>
        </is>
      </c>
      <c r="H812" s="12" t="inlineStr">
        <is>
          <t>APPROVED</t>
        </is>
      </c>
      <c r="I812" s="12" t="inlineStr">
        <is>
          <t>New</t>
        </is>
      </c>
      <c r="J812" s="12" t="inlineStr">
        <is>
          <t>Source assignment -- not individually reviewed</t>
        </is>
      </c>
      <c r="K812" s="12" t="inlineStr"/>
      <c r="L812" s="12" t="inlineStr"/>
      <c r="M812" s="12" t="inlineStr"/>
      <c r="N812" s="17" t="inlineStr">
        <is>
          <t>10 EVIDENCE &amp; DECISIONS</t>
        </is>
      </c>
      <c r="O812" s="105" t="n">
        <v>1820000</v>
      </c>
      <c r="P812" s="105" t="n">
        <v>1807500</v>
      </c>
      <c r="Q812" s="105" t="inlineStr">
        <is>
          <t>CAD</t>
        </is>
      </c>
      <c r="R812" s="105" t="n"/>
      <c r="S812" s="105" t="inlineStr">
        <is>
          <t>2027-06-30</t>
        </is>
      </c>
      <c r="T812" s="105" t="inlineStr">
        <is>
          <t>C1-R0</t>
        </is>
      </c>
      <c r="U812" s="105" t="inlineStr">
        <is>
          <t>Supplied practice file monthly_cost_forecast.xlsx, row 237</t>
        </is>
      </c>
      <c r="V812" s="105" t="inlineStr">
        <is>
          <t>Whole source account, not a target allocation. Repeated target rows must not be summed. Aggregate cost / forecast remains withheld.</t>
        </is>
      </c>
    </row>
    <row r="813" ht="34" customHeight="1">
      <c r="A813" s="12" t="inlineStr">
        <is>
          <t>Cost &amp; Forecast Control Accounts</t>
        </is>
      </c>
      <c r="B813" s="12" t="inlineStr">
        <is>
          <t>CST-03-078</t>
        </is>
      </c>
      <c r="C813" s="12" t="inlineStr">
        <is>
          <t>Systems - train control - supply and install</t>
        </is>
      </c>
      <c r="D813" s="12" t="inlineStr">
        <is>
          <t>Cost Account = CA-3078; WBS Code = 1.3.2</t>
        </is>
      </c>
      <c r="E813" s="12" t="inlineStr">
        <is>
          <t>R1320-v1</t>
        </is>
      </c>
      <c r="F813" s="12" t="inlineStr">
        <is>
          <t>1.3.2 Systems - Signalling &amp; Train Control</t>
        </is>
      </c>
      <c r="G813" s="12" t="inlineStr">
        <is>
          <t>ONE_TO_ONE</t>
        </is>
      </c>
      <c r="H813" s="12" t="inlineStr">
        <is>
          <t>APPROVED</t>
        </is>
      </c>
      <c r="I813" s="12" t="inlineStr">
        <is>
          <t>New</t>
        </is>
      </c>
      <c r="J813" s="12" t="inlineStr">
        <is>
          <t>Source assignment -- not individually reviewed</t>
        </is>
      </c>
      <c r="K813" s="12" t="inlineStr"/>
      <c r="L813" s="12" t="inlineStr"/>
      <c r="M813" s="12" t="inlineStr"/>
      <c r="N813" s="17" t="inlineStr">
        <is>
          <t>10 EVIDENCE &amp; DECISIONS</t>
        </is>
      </c>
      <c r="O813" s="105" t="n">
        <v>1855000</v>
      </c>
      <c r="P813" s="105" t="n">
        <v>1867500</v>
      </c>
      <c r="Q813" s="105" t="inlineStr">
        <is>
          <t>CAD</t>
        </is>
      </c>
      <c r="R813" s="105" t="n"/>
      <c r="S813" s="105" t="inlineStr">
        <is>
          <t>2027-06-30</t>
        </is>
      </c>
      <c r="T813" s="105" t="inlineStr">
        <is>
          <t>C1-R0</t>
        </is>
      </c>
      <c r="U813" s="105" t="inlineStr">
        <is>
          <t>Supplied practice file monthly_cost_forecast.xlsx, row 239</t>
        </is>
      </c>
      <c r="V813" s="105" t="inlineStr">
        <is>
          <t>Whole source account, not a target allocation. Repeated target rows must not be summed. Aggregate cost / forecast remains withheld.</t>
        </is>
      </c>
    </row>
    <row r="814" ht="34" customHeight="1">
      <c r="A814" s="12" t="inlineStr">
        <is>
          <t>Cost &amp; Forecast Control Accounts</t>
        </is>
      </c>
      <c r="B814" s="12" t="inlineStr">
        <is>
          <t>CST-03-080</t>
        </is>
      </c>
      <c r="C814" s="12" t="inlineStr">
        <is>
          <t>Systems - signalling - allowance</t>
        </is>
      </c>
      <c r="D814" s="12" t="inlineStr">
        <is>
          <t>Cost Account = CA-3080; WBS Code = 1.3.2</t>
        </is>
      </c>
      <c r="E814" s="12" t="inlineStr">
        <is>
          <t>R1322-v1</t>
        </is>
      </c>
      <c r="F814" s="12" t="inlineStr">
        <is>
          <t>1.3.2 Systems - Signalling &amp; Train Control</t>
        </is>
      </c>
      <c r="G814" s="12" t="inlineStr">
        <is>
          <t>ONE_TO_ONE</t>
        </is>
      </c>
      <c r="H814" s="12" t="inlineStr">
        <is>
          <t>APPROVED</t>
        </is>
      </c>
      <c r="I814" s="12" t="inlineStr">
        <is>
          <t>New</t>
        </is>
      </c>
      <c r="J814" s="12" t="inlineStr">
        <is>
          <t>Source assignment -- not individually reviewed</t>
        </is>
      </c>
      <c r="K814" s="12" t="inlineStr"/>
      <c r="L814" s="12" t="inlineStr"/>
      <c r="M814" s="12" t="inlineStr"/>
      <c r="N814" s="17" t="inlineStr">
        <is>
          <t>10 EVIDENCE &amp; DECISIONS</t>
        </is>
      </c>
      <c r="O814" s="105" t="n">
        <v>1890000</v>
      </c>
      <c r="P814" s="105" t="n">
        <v>1877500</v>
      </c>
      <c r="Q814" s="105" t="inlineStr">
        <is>
          <t>CAD</t>
        </is>
      </c>
      <c r="R814" s="105" t="n"/>
      <c r="S814" s="105" t="inlineStr">
        <is>
          <t>2027-06-30</t>
        </is>
      </c>
      <c r="T814" s="105" t="inlineStr">
        <is>
          <t>C1-R0</t>
        </is>
      </c>
      <c r="U814" s="105" t="inlineStr">
        <is>
          <t>Supplied practice file monthly_cost_forecast.xlsx, row 241</t>
        </is>
      </c>
      <c r="V814" s="105" t="inlineStr">
        <is>
          <t>Whole source account, not a target allocation. Repeated target rows must not be summed. Aggregate cost / forecast remains withheld.</t>
        </is>
      </c>
    </row>
    <row r="815" ht="34" customHeight="1">
      <c r="A815" s="12" t="inlineStr">
        <is>
          <t>Commercial Package Register</t>
        </is>
      </c>
      <c r="B815" s="12" t="inlineStr">
        <is>
          <t>PKG-031</t>
        </is>
      </c>
      <c r="C815" s="12" t="inlineStr">
        <is>
          <t>Fleet Supply</t>
        </is>
      </c>
      <c r="D815" s="12" t="inlineStr">
        <is>
          <t>Package Code = PK-401; WBS Code = 1.4</t>
        </is>
      </c>
      <c r="E815" s="12" t="inlineStr">
        <is>
          <t>R1593-v1</t>
        </is>
      </c>
      <c r="F815" s="12" t="inlineStr">
        <is>
          <t>1.4 Vehicles and Depot</t>
        </is>
      </c>
      <c r="G815" s="12" t="inlineStr">
        <is>
          <t>ONE_TO_ONE</t>
        </is>
      </c>
      <c r="H815" s="12" t="inlineStr">
        <is>
          <t>APPROVED</t>
        </is>
      </c>
      <c r="I815" s="12" t="inlineStr">
        <is>
          <t>New</t>
        </is>
      </c>
      <c r="J815" s="12" t="inlineStr">
        <is>
          <t>Source assignment -- not individually reviewed</t>
        </is>
      </c>
      <c r="K815" s="12" t="inlineStr"/>
      <c r="L815" s="12" t="inlineStr"/>
      <c r="M815" s="12" t="inlineStr"/>
      <c r="N815" s="17" t="inlineStr">
        <is>
          <t>10 EVIDENCE &amp; DECISIONS</t>
        </is>
      </c>
    </row>
    <row r="816" ht="34" customHeight="1">
      <c r="A816" s="12" t="inlineStr">
        <is>
          <t>Commercial Package Register</t>
        </is>
      </c>
      <c r="B816" s="12" t="inlineStr">
        <is>
          <t>PKG-032</t>
        </is>
      </c>
      <c r="C816" s="12" t="inlineStr">
        <is>
          <t>Depot Buildings</t>
        </is>
      </c>
      <c r="D816" s="12" t="inlineStr">
        <is>
          <t>Package Code = PK-402; WBS Code = 1.4</t>
        </is>
      </c>
      <c r="E816" s="12" t="inlineStr">
        <is>
          <t>R1594-v1</t>
        </is>
      </c>
      <c r="F816" s="12" t="inlineStr">
        <is>
          <t>1.4 Vehicles and Depot</t>
        </is>
      </c>
      <c r="G816" s="12" t="inlineStr">
        <is>
          <t>ONE_TO_ONE</t>
        </is>
      </c>
      <c r="H816" s="12" t="inlineStr">
        <is>
          <t>APPROVED</t>
        </is>
      </c>
      <c r="I816" s="12" t="inlineStr">
        <is>
          <t>New</t>
        </is>
      </c>
      <c r="J816" s="12" t="inlineStr">
        <is>
          <t>Source assignment -- not individually reviewed</t>
        </is>
      </c>
      <c r="K816" s="12" t="inlineStr"/>
      <c r="L816" s="12" t="inlineStr"/>
      <c r="M816" s="12" t="inlineStr"/>
      <c r="N816" s="17" t="inlineStr">
        <is>
          <t>10 EVIDENCE &amp; DECISIONS</t>
        </is>
      </c>
    </row>
    <row r="817" ht="34" customHeight="1">
      <c r="A817" s="12" t="inlineStr">
        <is>
          <t>Commercial Package Register</t>
        </is>
      </c>
      <c r="B817" s="12" t="inlineStr">
        <is>
          <t>PKG-033</t>
        </is>
      </c>
      <c r="C817" s="12" t="inlineStr">
        <is>
          <t>Workshop Equipment</t>
        </is>
      </c>
      <c r="D817" s="12" t="inlineStr">
        <is>
          <t>Package Code = PK-403; WBS Code = 1.4</t>
        </is>
      </c>
      <c r="E817" s="12" t="inlineStr">
        <is>
          <t>R1595-v1</t>
        </is>
      </c>
      <c r="F817" s="12" t="inlineStr">
        <is>
          <t>1.4 Vehicles and Depot</t>
        </is>
      </c>
      <c r="G817" s="12" t="inlineStr">
        <is>
          <t>ONE_TO_ONE</t>
        </is>
      </c>
      <c r="H817" s="12" t="inlineStr">
        <is>
          <t>APPROVED</t>
        </is>
      </c>
      <c r="I817" s="12" t="inlineStr">
        <is>
          <t>New</t>
        </is>
      </c>
      <c r="J817" s="12" t="inlineStr">
        <is>
          <t>Source assignment -- not individually reviewed</t>
        </is>
      </c>
      <c r="K817" s="12" t="inlineStr"/>
      <c r="L817" s="12" t="inlineStr"/>
      <c r="M817" s="12" t="inlineStr"/>
      <c r="N817" s="17" t="inlineStr">
        <is>
          <t>10 EVIDENCE &amp; DECISIONS</t>
        </is>
      </c>
    </row>
    <row r="818" ht="34" customHeight="1">
      <c r="A818" s="12" t="inlineStr">
        <is>
          <t>Commercial Package Register</t>
        </is>
      </c>
      <c r="B818" s="12" t="inlineStr">
        <is>
          <t>PKG-034</t>
        </is>
      </c>
      <c r="C818" s="12" t="inlineStr">
        <is>
          <t>Vehicle Integration</t>
        </is>
      </c>
      <c r="D818" s="12" t="inlineStr">
        <is>
          <t>Package Code = PK-404; WBS Code = 1.4</t>
        </is>
      </c>
      <c r="E818" s="12" t="inlineStr">
        <is>
          <t>R1596-v1</t>
        </is>
      </c>
      <c r="F818" s="12" t="inlineStr">
        <is>
          <t>1.4 Vehicles and Depot</t>
        </is>
      </c>
      <c r="G818" s="12" t="inlineStr">
        <is>
          <t>ONE_TO_ONE</t>
        </is>
      </c>
      <c r="H818" s="12" t="inlineStr">
        <is>
          <t>APPROVED</t>
        </is>
      </c>
      <c r="I818" s="12" t="inlineStr">
        <is>
          <t>New</t>
        </is>
      </c>
      <c r="J818" s="12" t="inlineStr">
        <is>
          <t>Source assignment -- not individually reviewed</t>
        </is>
      </c>
      <c r="K818" s="12" t="inlineStr"/>
      <c r="L818" s="12" t="inlineStr"/>
      <c r="M818" s="12" t="inlineStr"/>
      <c r="N818" s="17" t="inlineStr">
        <is>
          <t>10 EVIDENCE &amp; DECISIONS</t>
        </is>
      </c>
    </row>
    <row r="819" ht="34" customHeight="1">
      <c r="A819" s="12" t="inlineStr">
        <is>
          <t>Commercial Package Register</t>
        </is>
      </c>
      <c r="B819" s="12" t="inlineStr">
        <is>
          <t>PKG-035</t>
        </is>
      </c>
      <c r="C819" s="12" t="inlineStr">
        <is>
          <t>Fleet Supply - Lot 2</t>
        </is>
      </c>
      <c r="D819" s="12" t="inlineStr">
        <is>
          <t>Package Code = PK-405; WBS Code = 1.4</t>
        </is>
      </c>
      <c r="E819" s="12" t="inlineStr">
        <is>
          <t>R1597-v1</t>
        </is>
      </c>
      <c r="F819" s="12" t="inlineStr">
        <is>
          <t>1.4 Vehicles and Depot</t>
        </is>
      </c>
      <c r="G819" s="12" t="inlineStr">
        <is>
          <t>ONE_TO_ONE</t>
        </is>
      </c>
      <c r="H819" s="12" t="inlineStr">
        <is>
          <t>APPROVED</t>
        </is>
      </c>
      <c r="I819" s="12" t="inlineStr">
        <is>
          <t>New</t>
        </is>
      </c>
      <c r="J819" s="12" t="inlineStr">
        <is>
          <t>Source assignment -- not individually reviewed</t>
        </is>
      </c>
      <c r="K819" s="12" t="inlineStr"/>
      <c r="L819" s="12" t="inlineStr"/>
      <c r="M819" s="12" t="inlineStr"/>
      <c r="N819" s="17" t="inlineStr">
        <is>
          <t>10 EVIDENCE &amp; DECISIONS</t>
        </is>
      </c>
    </row>
    <row r="820" ht="34" customHeight="1">
      <c r="A820" s="12" t="inlineStr">
        <is>
          <t>Commercial Package Register</t>
        </is>
      </c>
      <c r="B820" s="12" t="inlineStr">
        <is>
          <t>PKG-036</t>
        </is>
      </c>
      <c r="C820" s="12" t="inlineStr">
        <is>
          <t>Depot Buildings - Lot 2</t>
        </is>
      </c>
      <c r="D820" s="12" t="inlineStr">
        <is>
          <t>Package Code = PK-406; WBS Code = 1.4</t>
        </is>
      </c>
      <c r="E820" s="12" t="inlineStr">
        <is>
          <t>R1598-v1</t>
        </is>
      </c>
      <c r="F820" s="12" t="inlineStr">
        <is>
          <t>1.4 Vehicles and Depot</t>
        </is>
      </c>
      <c r="G820" s="12" t="inlineStr">
        <is>
          <t>ONE_TO_ONE</t>
        </is>
      </c>
      <c r="H820" s="12" t="inlineStr">
        <is>
          <t>APPROVED</t>
        </is>
      </c>
      <c r="I820" s="12" t="inlineStr">
        <is>
          <t>New</t>
        </is>
      </c>
      <c r="J820" s="12" t="inlineStr">
        <is>
          <t>Source assignment -- not individually reviewed</t>
        </is>
      </c>
      <c r="K820" s="12" t="inlineStr"/>
      <c r="L820" s="12" t="inlineStr"/>
      <c r="M820" s="12" t="inlineStr"/>
      <c r="N820" s="17" t="inlineStr">
        <is>
          <t>10 EVIDENCE &amp; DECISIONS</t>
        </is>
      </c>
    </row>
    <row r="821" ht="34" customHeight="1">
      <c r="A821" s="12" t="inlineStr">
        <is>
          <t>Commercial Package Register</t>
        </is>
      </c>
      <c r="B821" s="12" t="inlineStr">
        <is>
          <t>PKG-037</t>
        </is>
      </c>
      <c r="C821" s="12" t="inlineStr">
        <is>
          <t>Workshop Equipment - Lot 2</t>
        </is>
      </c>
      <c r="D821" s="12" t="inlineStr">
        <is>
          <t>Package Code = PK-407; WBS Code = 1.4</t>
        </is>
      </c>
      <c r="E821" s="12" t="inlineStr">
        <is>
          <t>R1599-v1</t>
        </is>
      </c>
      <c r="F821" s="12" t="inlineStr">
        <is>
          <t>1.4 Vehicles and Depot</t>
        </is>
      </c>
      <c r="G821" s="12" t="inlineStr">
        <is>
          <t>ONE_TO_ONE</t>
        </is>
      </c>
      <c r="H821" s="12" t="inlineStr">
        <is>
          <t>APPROVED</t>
        </is>
      </c>
      <c r="I821" s="12" t="inlineStr">
        <is>
          <t>New</t>
        </is>
      </c>
      <c r="J821" s="12" t="inlineStr">
        <is>
          <t>Source assignment -- not individually reviewed</t>
        </is>
      </c>
      <c r="K821" s="12" t="inlineStr"/>
      <c r="L821" s="12" t="inlineStr"/>
      <c r="M821" s="12" t="inlineStr"/>
      <c r="N821" s="17" t="inlineStr">
        <is>
          <t>10 EVIDENCE &amp; DECISIONS</t>
        </is>
      </c>
    </row>
    <row r="822" ht="34" customHeight="1">
      <c r="A822" s="12" t="inlineStr">
        <is>
          <t>Commercial Package Register</t>
        </is>
      </c>
      <c r="B822" s="12" t="inlineStr">
        <is>
          <t>PKG-038</t>
        </is>
      </c>
      <c r="C822" s="12" t="inlineStr">
        <is>
          <t>Vehicle Integration - Lot 2</t>
        </is>
      </c>
      <c r="D822" s="12" t="inlineStr">
        <is>
          <t>Package Code = PK-408; WBS Code = 1.4</t>
        </is>
      </c>
      <c r="E822" s="12" t="inlineStr">
        <is>
          <t>R1600-v1</t>
        </is>
      </c>
      <c r="F822" s="12" t="inlineStr">
        <is>
          <t>1.4 Vehicles and Depot</t>
        </is>
      </c>
      <c r="G822" s="12" t="inlineStr">
        <is>
          <t>ONE_TO_ONE</t>
        </is>
      </c>
      <c r="H822" s="12" t="inlineStr">
        <is>
          <t>APPROVED</t>
        </is>
      </c>
      <c r="I822" s="12" t="inlineStr">
        <is>
          <t>New</t>
        </is>
      </c>
      <c r="J822" s="12" t="inlineStr">
        <is>
          <t>Source assignment -- not individually reviewed</t>
        </is>
      </c>
      <c r="K822" s="12" t="inlineStr"/>
      <c r="L822" s="12" t="inlineStr"/>
      <c r="M822" s="12" t="inlineStr"/>
      <c r="N822" s="17" t="inlineStr">
        <is>
          <t>10 EVIDENCE &amp; DECISIONS</t>
        </is>
      </c>
    </row>
    <row r="823" ht="34" customHeight="1">
      <c r="A823" s="12" t="inlineStr">
        <is>
          <t>Commercial Package Register</t>
        </is>
      </c>
      <c r="B823" s="12" t="inlineStr">
        <is>
          <t>PKG-039</t>
        </is>
      </c>
      <c r="C823" s="12" t="inlineStr">
        <is>
          <t>Fleet Supply - Lot 3</t>
        </is>
      </c>
      <c r="D823" s="12" t="inlineStr">
        <is>
          <t>Package Code = PK-409; WBS Code = 1.4</t>
        </is>
      </c>
      <c r="E823" s="12" t="inlineStr">
        <is>
          <t>R1601-v1</t>
        </is>
      </c>
      <c r="F823" s="12" t="inlineStr">
        <is>
          <t>1.4 Vehicles and Depot</t>
        </is>
      </c>
      <c r="G823" s="12" t="inlineStr">
        <is>
          <t>ONE_TO_ONE</t>
        </is>
      </c>
      <c r="H823" s="12" t="inlineStr">
        <is>
          <t>APPROVED</t>
        </is>
      </c>
      <c r="I823" s="12" t="inlineStr">
        <is>
          <t>New</t>
        </is>
      </c>
      <c r="J823" s="12" t="inlineStr">
        <is>
          <t>Source assignment -- not individually reviewed</t>
        </is>
      </c>
      <c r="K823" s="12" t="inlineStr"/>
      <c r="L823" s="12" t="inlineStr"/>
      <c r="M823" s="12" t="inlineStr"/>
      <c r="N823" s="17" t="inlineStr">
        <is>
          <t>10 EVIDENCE &amp; DECISIONS</t>
        </is>
      </c>
    </row>
    <row r="824" ht="34" customHeight="1">
      <c r="A824" s="12" t="inlineStr">
        <is>
          <t>Commercial Package Register</t>
        </is>
      </c>
      <c r="B824" s="12" t="inlineStr">
        <is>
          <t>PKG-040</t>
        </is>
      </c>
      <c r="C824" s="12" t="inlineStr">
        <is>
          <t>Depot Buildings - Lot 3</t>
        </is>
      </c>
      <c r="D824" s="12" t="inlineStr">
        <is>
          <t>Package Code = PK-410; WBS Code = 1.4</t>
        </is>
      </c>
      <c r="E824" s="12" t="inlineStr">
        <is>
          <t>R1602-v1</t>
        </is>
      </c>
      <c r="F824" s="12" t="inlineStr">
        <is>
          <t>1.4 Vehicles and Depot</t>
        </is>
      </c>
      <c r="G824" s="12" t="inlineStr">
        <is>
          <t>ONE_TO_ONE</t>
        </is>
      </c>
      <c r="H824" s="12" t="inlineStr">
        <is>
          <t>APPROVED</t>
        </is>
      </c>
      <c r="I824" s="12" t="inlineStr">
        <is>
          <t>New</t>
        </is>
      </c>
      <c r="J824" s="12" t="inlineStr">
        <is>
          <t>Source assignment -- not individually reviewed</t>
        </is>
      </c>
      <c r="K824" s="12" t="inlineStr"/>
      <c r="L824" s="12" t="inlineStr"/>
      <c r="M824" s="12" t="inlineStr"/>
      <c r="N824" s="17" t="inlineStr">
        <is>
          <t>10 EVIDENCE &amp; DECISIONS</t>
        </is>
      </c>
    </row>
    <row r="825" ht="34" customHeight="1">
      <c r="A825" s="12" t="inlineStr">
        <is>
          <t>Contractor Programme</t>
        </is>
      </c>
      <c r="B825" s="12" t="inlineStr">
        <is>
          <t>SCH-04-001</t>
        </is>
      </c>
      <c r="C825" s="12" t="inlineStr">
        <is>
          <t>Test track: vehicle-to-depot interface check - release</t>
        </is>
      </c>
      <c r="D825" s="12" t="inlineStr">
        <is>
          <t>WBS Code = 1.4.1</t>
        </is>
      </c>
      <c r="E825" s="12" t="inlineStr">
        <is>
          <t>R541-v1</t>
        </is>
      </c>
      <c r="F825" s="12" t="inlineStr">
        <is>
          <t>1.4.1 Vehicles and Depot - Fleet Supply</t>
        </is>
      </c>
      <c r="G825" s="12" t="inlineStr">
        <is>
          <t>ONE_TO_ONE</t>
        </is>
      </c>
      <c r="H825" s="12" t="inlineStr">
        <is>
          <t>APPROVED</t>
        </is>
      </c>
      <c r="I825" s="12" t="inlineStr">
        <is>
          <t>New</t>
        </is>
      </c>
      <c r="J825" s="12" t="inlineStr">
        <is>
          <t>Source assignment -- not individually reviewed</t>
        </is>
      </c>
      <c r="K825" s="12" t="inlineStr"/>
      <c r="L825" s="12" t="inlineStr"/>
      <c r="M825" s="12" t="inlineStr"/>
      <c r="N825" s="17" t="inlineStr">
        <is>
          <t>10 EVIDENCE &amp; DECISIONS</t>
        </is>
      </c>
    </row>
    <row r="826" ht="34" customHeight="1">
      <c r="A826" s="12" t="inlineStr">
        <is>
          <t>Contractor Programme</t>
        </is>
      </c>
      <c r="B826" s="12" t="inlineStr">
        <is>
          <t>SCH-04-002</t>
        </is>
      </c>
      <c r="C826" s="12" t="inlineStr">
        <is>
          <t>Receiving track: wheel-lathe installation - field start</t>
        </is>
      </c>
      <c r="D826" s="12" t="inlineStr">
        <is>
          <t>WBS Code = 1.4.1</t>
        </is>
      </c>
      <c r="E826" s="12" t="inlineStr">
        <is>
          <t>R542-v1</t>
        </is>
      </c>
      <c r="F826" s="12" t="inlineStr">
        <is>
          <t>1.4.1 Vehicles and Depot - Fleet Supply</t>
        </is>
      </c>
      <c r="G826" s="12" t="inlineStr">
        <is>
          <t>ONE_TO_ONE</t>
        </is>
      </c>
      <c r="H826" s="12" t="inlineStr">
        <is>
          <t>APPROVED</t>
        </is>
      </c>
      <c r="I826" s="12" t="inlineStr">
        <is>
          <t>New</t>
        </is>
      </c>
      <c r="J826" s="12" t="inlineStr">
        <is>
          <t>Source assignment -- not individually reviewed</t>
        </is>
      </c>
      <c r="K826" s="12" t="inlineStr"/>
      <c r="L826" s="12" t="inlineStr"/>
      <c r="M826" s="12" t="inlineStr"/>
      <c r="N826" s="17" t="inlineStr">
        <is>
          <t>10 EVIDENCE &amp; DECISIONS</t>
        </is>
      </c>
    </row>
    <row r="827" ht="34" customHeight="1">
      <c r="A827" s="12" t="inlineStr">
        <is>
          <t>Contractor Programme</t>
        </is>
      </c>
      <c r="B827" s="12" t="inlineStr">
        <is>
          <t>SCH-04-004</t>
        </is>
      </c>
      <c r="C827" s="12" t="inlineStr">
        <is>
          <t>Storage yard: vehicle delivery inspection - inspection</t>
        </is>
      </c>
      <c r="D827" s="12" t="inlineStr">
        <is>
          <t>WBS Code = 1.4.1</t>
        </is>
      </c>
      <c r="E827" s="12" t="inlineStr">
        <is>
          <t>R544-v1</t>
        </is>
      </c>
      <c r="F827" s="12" t="inlineStr">
        <is>
          <t>1.4.1 Vehicles and Depot - Fleet Supply</t>
        </is>
      </c>
      <c r="G827" s="12" t="inlineStr">
        <is>
          <t>ONE_TO_ONE</t>
        </is>
      </c>
      <c r="H827" s="12" t="inlineStr">
        <is>
          <t>APPROVED</t>
        </is>
      </c>
      <c r="I827" s="12" t="inlineStr">
        <is>
          <t>New</t>
        </is>
      </c>
      <c r="J827" s="12" t="inlineStr">
        <is>
          <t>Source assignment -- not individually reviewed</t>
        </is>
      </c>
      <c r="K827" s="12" t="inlineStr"/>
      <c r="L827" s="12" t="inlineStr"/>
      <c r="M827" s="12" t="inlineStr"/>
      <c r="N827" s="17" t="inlineStr">
        <is>
          <t>10 EVIDENCE &amp; DECISIONS</t>
        </is>
      </c>
    </row>
    <row r="828" ht="34" customHeight="1">
      <c r="A828" s="12" t="inlineStr">
        <is>
          <t>Contractor Programme</t>
        </is>
      </c>
      <c r="B828" s="12" t="inlineStr">
        <is>
          <t>SCH-04-005</t>
        </is>
      </c>
      <c r="C828" s="12" t="inlineStr">
        <is>
          <t>Operations building: wash-plant commissioning - turnover</t>
        </is>
      </c>
      <c r="D828" s="12" t="inlineStr">
        <is>
          <t>WBS Code = 1.4.1</t>
        </is>
      </c>
      <c r="E828" s="12" t="inlineStr">
        <is>
          <t>R545-v1</t>
        </is>
      </c>
      <c r="F828" s="12" t="inlineStr">
        <is>
          <t>1.4.1 Vehicles and Depot - Fleet Supply</t>
        </is>
      </c>
      <c r="G828" s="12" t="inlineStr">
        <is>
          <t>ONE_TO_ONE</t>
        </is>
      </c>
      <c r="H828" s="12" t="inlineStr">
        <is>
          <t>APPROVED</t>
        </is>
      </c>
      <c r="I828" s="12" t="inlineStr">
        <is>
          <t>New</t>
        </is>
      </c>
      <c r="J828" s="12" t="inlineStr">
        <is>
          <t>Source assignment -- not individually reviewed</t>
        </is>
      </c>
      <c r="K828" s="12" t="inlineStr"/>
      <c r="L828" s="12" t="inlineStr"/>
      <c r="M828" s="12" t="inlineStr"/>
      <c r="N828" s="17" t="inlineStr">
        <is>
          <t>10 EVIDENCE &amp; DECISIONS</t>
        </is>
      </c>
    </row>
    <row r="829" ht="34" customHeight="1">
      <c r="A829" s="12" t="inlineStr">
        <is>
          <t>Contractor Programme</t>
        </is>
      </c>
      <c r="B829" s="12" t="inlineStr">
        <is>
          <t>SCH-04-007</t>
        </is>
      </c>
      <c r="C829" s="12" t="inlineStr">
        <is>
          <t>Receiving track: depot structural fit-out - field start</t>
        </is>
      </c>
      <c r="D829" s="12" t="inlineStr">
        <is>
          <t>WBS Code = 1.4.1</t>
        </is>
      </c>
      <c r="E829" s="12" t="inlineStr">
        <is>
          <t>R547-v1</t>
        </is>
      </c>
      <c r="F829" s="12" t="inlineStr">
        <is>
          <t>1.4.1 Vehicles and Depot - Fleet Supply</t>
        </is>
      </c>
      <c r="G829" s="12" t="inlineStr">
        <is>
          <t>ONE_TO_ONE</t>
        </is>
      </c>
      <c r="H829" s="12" t="inlineStr">
        <is>
          <t>APPROVED</t>
        </is>
      </c>
      <c r="I829" s="12" t="inlineStr">
        <is>
          <t>New</t>
        </is>
      </c>
      <c r="J829" s="12" t="inlineStr">
        <is>
          <t>Source assignment -- not individually reviewed</t>
        </is>
      </c>
      <c r="K829" s="12" t="inlineStr"/>
      <c r="L829" s="12" t="inlineStr"/>
      <c r="M829" s="12" t="inlineStr"/>
      <c r="N829" s="17" t="inlineStr">
        <is>
          <t>10 EVIDENCE &amp; DECISIONS</t>
        </is>
      </c>
    </row>
    <row r="830" ht="34" customHeight="1">
      <c r="A830" s="12" t="inlineStr">
        <is>
          <t>Contractor Programme</t>
        </is>
      </c>
      <c r="B830" s="12" t="inlineStr">
        <is>
          <t>SCH-04-008</t>
        </is>
      </c>
      <c r="C830" s="12" t="inlineStr">
        <is>
          <t>Maintenance shop: workshop crane installation - installation</t>
        </is>
      </c>
      <c r="D830" s="12" t="inlineStr">
        <is>
          <t>WBS Code = 1.4.1</t>
        </is>
      </c>
      <c r="E830" s="12" t="inlineStr">
        <is>
          <t>R548-v1</t>
        </is>
      </c>
      <c r="F830" s="12" t="inlineStr">
        <is>
          <t>1.4.1 Vehicles and Depot - Fleet Supply</t>
        </is>
      </c>
      <c r="G830" s="12" t="inlineStr">
        <is>
          <t>ONE_TO_ONE</t>
        </is>
      </c>
      <c r="H830" s="12" t="inlineStr">
        <is>
          <t>APPROVED</t>
        </is>
      </c>
      <c r="I830" s="12" t="inlineStr">
        <is>
          <t>New</t>
        </is>
      </c>
      <c r="J830" s="12" t="inlineStr">
        <is>
          <t>Source assignment -- not individually reviewed</t>
        </is>
      </c>
      <c r="K830" s="12" t="inlineStr"/>
      <c r="L830" s="12" t="inlineStr"/>
      <c r="M830" s="12" t="inlineStr"/>
      <c r="N830" s="17" t="inlineStr">
        <is>
          <t>10 EVIDENCE &amp; DECISIONS</t>
        </is>
      </c>
    </row>
    <row r="831" ht="34" customHeight="1">
      <c r="A831" s="12" t="inlineStr">
        <is>
          <t>Contractor Programme</t>
        </is>
      </c>
      <c r="B831" s="12" t="inlineStr">
        <is>
          <t>SCH-04-010</t>
        </is>
      </c>
      <c r="C831" s="12" t="inlineStr">
        <is>
          <t>Operations building: wheel-lathe installation - turnover</t>
        </is>
      </c>
      <c r="D831" s="12" t="inlineStr">
        <is>
          <t>WBS Code = 1.4.1</t>
        </is>
      </c>
      <c r="E831" s="12" t="inlineStr">
        <is>
          <t>R550-v1</t>
        </is>
      </c>
      <c r="F831" s="12" t="inlineStr">
        <is>
          <t>1.4.1 Vehicles and Depot - Fleet Supply</t>
        </is>
      </c>
      <c r="G831" s="12" t="inlineStr">
        <is>
          <t>ONE_TO_ONE</t>
        </is>
      </c>
      <c r="H831" s="12" t="inlineStr">
        <is>
          <t>APPROVED</t>
        </is>
      </c>
      <c r="I831" s="12" t="inlineStr">
        <is>
          <t>New</t>
        </is>
      </c>
      <c r="J831" s="12" t="inlineStr">
        <is>
          <t>Source assignment -- not individually reviewed</t>
        </is>
      </c>
      <c r="K831" s="12" t="inlineStr"/>
      <c r="L831" s="12" t="inlineStr"/>
      <c r="M831" s="12" t="inlineStr"/>
      <c r="N831" s="17" t="inlineStr">
        <is>
          <t>10 EVIDENCE &amp; DECISIONS</t>
        </is>
      </c>
    </row>
    <row r="832" ht="34" customHeight="1">
      <c r="A832" s="12" t="inlineStr">
        <is>
          <t>Contractor Programme</t>
        </is>
      </c>
      <c r="B832" s="12" t="inlineStr">
        <is>
          <t>SCH-04-011</t>
        </is>
      </c>
      <c r="C832" s="12" t="inlineStr">
        <is>
          <t>Test track: fleet software load - release</t>
        </is>
      </c>
      <c r="D832" s="12" t="inlineStr">
        <is>
          <t>WBS Code = 1.4.1</t>
        </is>
      </c>
      <c r="E832" s="12" t="inlineStr">
        <is>
          <t>R551-v1</t>
        </is>
      </c>
      <c r="F832" s="12" t="inlineStr">
        <is>
          <t>1.4.1 Vehicles and Depot - Fleet Supply</t>
        </is>
      </c>
      <c r="G832" s="12" t="inlineStr">
        <is>
          <t>ONE_TO_ONE</t>
        </is>
      </c>
      <c r="H832" s="12" t="inlineStr">
        <is>
          <t>APPROVED</t>
        </is>
      </c>
      <c r="I832" s="12" t="inlineStr">
        <is>
          <t>New</t>
        </is>
      </c>
      <c r="J832" s="12" t="inlineStr">
        <is>
          <t>Source assignment -- not individually reviewed</t>
        </is>
      </c>
      <c r="K832" s="12" t="inlineStr"/>
      <c r="L832" s="12" t="inlineStr"/>
      <c r="M832" s="12" t="inlineStr"/>
      <c r="N832" s="17" t="inlineStr">
        <is>
          <t>10 EVIDENCE &amp; DECISIONS</t>
        </is>
      </c>
    </row>
    <row r="833" ht="34" customHeight="1">
      <c r="A833" s="12" t="inlineStr">
        <is>
          <t>Contractor Programme</t>
        </is>
      </c>
      <c r="B833" s="12" t="inlineStr">
        <is>
          <t>SCH-04-013</t>
        </is>
      </c>
      <c r="C833" s="12" t="inlineStr">
        <is>
          <t>Maintenance shop: wash-plant commissioning - installation</t>
        </is>
      </c>
      <c r="D833" s="12" t="inlineStr">
        <is>
          <t>WBS Code = 1.4.1</t>
        </is>
      </c>
      <c r="E833" s="12" t="inlineStr">
        <is>
          <t>R553-v1</t>
        </is>
      </c>
      <c r="F833" s="12" t="inlineStr">
        <is>
          <t>1.4.1 Vehicles and Depot - Fleet Supply</t>
        </is>
      </c>
      <c r="G833" s="12" t="inlineStr">
        <is>
          <t>ONE_TO_ONE</t>
        </is>
      </c>
      <c r="H833" s="12" t="inlineStr">
        <is>
          <t>APPROVED</t>
        </is>
      </c>
      <c r="I833" s="12" t="inlineStr">
        <is>
          <t>New</t>
        </is>
      </c>
      <c r="J833" s="12" t="inlineStr">
        <is>
          <t>Source assignment -- not individually reviewed</t>
        </is>
      </c>
      <c r="K833" s="12" t="inlineStr"/>
      <c r="L833" s="12" t="inlineStr"/>
      <c r="M833" s="12" t="inlineStr"/>
      <c r="N833" s="17" t="inlineStr">
        <is>
          <t>10 EVIDENCE &amp; DECISIONS</t>
        </is>
      </c>
    </row>
    <row r="834" ht="34" customHeight="1">
      <c r="A834" s="12" t="inlineStr">
        <is>
          <t>Contractor Programme</t>
        </is>
      </c>
      <c r="B834" s="12" t="inlineStr">
        <is>
          <t>SCH-04-014</t>
        </is>
      </c>
      <c r="C834" s="12" t="inlineStr">
        <is>
          <t>Storage yard: maintenance-bay services - inspection</t>
        </is>
      </c>
      <c r="D834" s="12" t="inlineStr">
        <is>
          <t>WBS Code = 1.4.1</t>
        </is>
      </c>
      <c r="E834" s="12" t="inlineStr">
        <is>
          <t>R554-v1</t>
        </is>
      </c>
      <c r="F834" s="12" t="inlineStr">
        <is>
          <t>1.4.1 Vehicles and Depot - Fleet Supply</t>
        </is>
      </c>
      <c r="G834" s="12" t="inlineStr">
        <is>
          <t>ONE_TO_ONE</t>
        </is>
      </c>
      <c r="H834" s="12" t="inlineStr">
        <is>
          <t>APPROVED</t>
        </is>
      </c>
      <c r="I834" s="12" t="inlineStr">
        <is>
          <t>New</t>
        </is>
      </c>
      <c r="J834" s="12" t="inlineStr">
        <is>
          <t>Source assignment -- not individually reviewed</t>
        </is>
      </c>
      <c r="K834" s="12" t="inlineStr"/>
      <c r="L834" s="12" t="inlineStr"/>
      <c r="M834" s="12" t="inlineStr"/>
      <c r="N834" s="17" t="inlineStr">
        <is>
          <t>10 EVIDENCE &amp; DECISIONS</t>
        </is>
      </c>
    </row>
    <row r="835" ht="34" customHeight="1">
      <c r="A835" s="12" t="inlineStr">
        <is>
          <t>Contractor Programme</t>
        </is>
      </c>
      <c r="B835" s="12" t="inlineStr">
        <is>
          <t>SCH-04-016</t>
        </is>
      </c>
      <c r="C835" s="12" t="inlineStr">
        <is>
          <t>Test track: workshop crane installation - release</t>
        </is>
      </c>
      <c r="D835" s="12" t="inlineStr">
        <is>
          <t>WBS Code = 1.4.1</t>
        </is>
      </c>
      <c r="E835" s="12" t="inlineStr">
        <is>
          <t>R556-v1</t>
        </is>
      </c>
      <c r="F835" s="12" t="inlineStr">
        <is>
          <t>1.4.1 Vehicles and Depot - Fleet Supply</t>
        </is>
      </c>
      <c r="G835" s="12" t="inlineStr">
        <is>
          <t>ONE_TO_ONE</t>
        </is>
      </c>
      <c r="H835" s="12" t="inlineStr">
        <is>
          <t>APPROVED</t>
        </is>
      </c>
      <c r="I835" s="12" t="inlineStr">
        <is>
          <t>New</t>
        </is>
      </c>
      <c r="J835" s="12" t="inlineStr">
        <is>
          <t>Source assignment -- not individually reviewed</t>
        </is>
      </c>
      <c r="K835" s="12" t="inlineStr"/>
      <c r="L835" s="12" t="inlineStr"/>
      <c r="M835" s="12" t="inlineStr"/>
      <c r="N835" s="17" t="inlineStr">
        <is>
          <t>10 EVIDENCE &amp; DECISIONS</t>
        </is>
      </c>
    </row>
    <row r="836" ht="34" customHeight="1">
      <c r="A836" s="12" t="inlineStr">
        <is>
          <t>Contractor Programme</t>
        </is>
      </c>
      <c r="B836" s="12" t="inlineStr">
        <is>
          <t>SCH-04-017</t>
        </is>
      </c>
      <c r="C836" s="12" t="inlineStr">
        <is>
          <t>Receiving track: vehicle-to-depot interface check - field start</t>
        </is>
      </c>
      <c r="D836" s="12" t="inlineStr">
        <is>
          <t>WBS Code = 1.4.1</t>
        </is>
      </c>
      <c r="E836" s="12" t="inlineStr">
        <is>
          <t>R557-v1</t>
        </is>
      </c>
      <c r="F836" s="12" t="inlineStr">
        <is>
          <t>1.4.1 Vehicles and Depot - Fleet Supply</t>
        </is>
      </c>
      <c r="G836" s="12" t="inlineStr">
        <is>
          <t>ONE_TO_ONE</t>
        </is>
      </c>
      <c r="H836" s="12" t="inlineStr">
        <is>
          <t>APPROVED</t>
        </is>
      </c>
      <c r="I836" s="12" t="inlineStr">
        <is>
          <t>New</t>
        </is>
      </c>
      <c r="J836" s="12" t="inlineStr">
        <is>
          <t>Source assignment -- not individually reviewed</t>
        </is>
      </c>
      <c r="K836" s="12" t="inlineStr"/>
      <c r="L836" s="12" t="inlineStr"/>
      <c r="M836" s="12" t="inlineStr"/>
      <c r="N836" s="17" t="inlineStr">
        <is>
          <t>10 EVIDENCE &amp; DECISIONS</t>
        </is>
      </c>
    </row>
    <row r="837" ht="34" customHeight="1">
      <c r="A837" s="12" t="inlineStr">
        <is>
          <t>Contractor Programme</t>
        </is>
      </c>
      <c r="B837" s="12" t="inlineStr">
        <is>
          <t>SCH-04-019</t>
        </is>
      </c>
      <c r="C837" s="12" t="inlineStr">
        <is>
          <t>Storage yard: fleet software load - inspection</t>
        </is>
      </c>
      <c r="D837" s="12" t="inlineStr">
        <is>
          <t>WBS Code = 1.4.1</t>
        </is>
      </c>
      <c r="E837" s="12" t="inlineStr">
        <is>
          <t>R559-v1</t>
        </is>
      </c>
      <c r="F837" s="12" t="inlineStr">
        <is>
          <t>1.4.1 Vehicles and Depot - Fleet Supply</t>
        </is>
      </c>
      <c r="G837" s="12" t="inlineStr">
        <is>
          <t>ONE_TO_ONE</t>
        </is>
      </c>
      <c r="H837" s="12" t="inlineStr">
        <is>
          <t>APPROVED</t>
        </is>
      </c>
      <c r="I837" s="12" t="inlineStr">
        <is>
          <t>New</t>
        </is>
      </c>
      <c r="J837" s="12" t="inlineStr">
        <is>
          <t>Source assignment -- not individually reviewed</t>
        </is>
      </c>
      <c r="K837" s="12" t="inlineStr"/>
      <c r="L837" s="12" t="inlineStr"/>
      <c r="M837" s="12" t="inlineStr"/>
      <c r="N837" s="17" t="inlineStr">
        <is>
          <t>10 EVIDENCE &amp; DECISIONS</t>
        </is>
      </c>
    </row>
    <row r="838" ht="34" customHeight="1">
      <c r="A838" s="12" t="inlineStr">
        <is>
          <t>Contractor Programme</t>
        </is>
      </c>
      <c r="B838" s="12" t="inlineStr">
        <is>
          <t>SCH-04-020</t>
        </is>
      </c>
      <c r="C838" s="12" t="inlineStr">
        <is>
          <t>Operations building: vehicle delivery inspection - turnover</t>
        </is>
      </c>
      <c r="D838" s="12" t="inlineStr">
        <is>
          <t>WBS Code = 1.4.1</t>
        </is>
      </c>
      <c r="E838" s="12" t="inlineStr">
        <is>
          <t>R560-v1</t>
        </is>
      </c>
      <c r="F838" s="12" t="inlineStr">
        <is>
          <t>1.4.1 Vehicles and Depot - Fleet Supply</t>
        </is>
      </c>
      <c r="G838" s="12" t="inlineStr">
        <is>
          <t>ONE_TO_ONE</t>
        </is>
      </c>
      <c r="H838" s="12" t="inlineStr">
        <is>
          <t>APPROVED</t>
        </is>
      </c>
      <c r="I838" s="12" t="inlineStr">
        <is>
          <t>New</t>
        </is>
      </c>
      <c r="J838" s="12" t="inlineStr">
        <is>
          <t>Source assignment -- not individually reviewed</t>
        </is>
      </c>
      <c r="K838" s="12" t="inlineStr"/>
      <c r="L838" s="12" t="inlineStr"/>
      <c r="M838" s="12" t="inlineStr"/>
      <c r="N838" s="17" t="inlineStr">
        <is>
          <t>10 EVIDENCE &amp; DECISIONS</t>
        </is>
      </c>
    </row>
    <row r="839" ht="34" customHeight="1">
      <c r="A839" s="12" t="inlineStr">
        <is>
          <t>Contractor Programme</t>
        </is>
      </c>
      <c r="B839" s="12" t="inlineStr">
        <is>
          <t>SCH-04-022</t>
        </is>
      </c>
      <c r="C839" s="12" t="inlineStr">
        <is>
          <t>Receiving track: maintenance-bay services - field start</t>
        </is>
      </c>
      <c r="D839" s="12" t="inlineStr">
        <is>
          <t>WBS Code = 1.4.1</t>
        </is>
      </c>
      <c r="E839" s="12" t="inlineStr">
        <is>
          <t>R562-v1</t>
        </is>
      </c>
      <c r="F839" s="12" t="inlineStr">
        <is>
          <t>1.4.1 Vehicles and Depot - Fleet Supply</t>
        </is>
      </c>
      <c r="G839" s="12" t="inlineStr">
        <is>
          <t>ONE_TO_ONE</t>
        </is>
      </c>
      <c r="H839" s="12" t="inlineStr">
        <is>
          <t>APPROVED</t>
        </is>
      </c>
      <c r="I839" s="12" t="inlineStr">
        <is>
          <t>New</t>
        </is>
      </c>
      <c r="J839" s="12" t="inlineStr">
        <is>
          <t>Source assignment -- not individually reviewed</t>
        </is>
      </c>
      <c r="K839" s="12" t="inlineStr"/>
      <c r="L839" s="12" t="inlineStr"/>
      <c r="M839" s="12" t="inlineStr"/>
      <c r="N839" s="17" t="inlineStr">
        <is>
          <t>10 EVIDENCE &amp; DECISIONS</t>
        </is>
      </c>
    </row>
    <row r="840" ht="34" customHeight="1">
      <c r="A840" s="12" t="inlineStr">
        <is>
          <t>Contractor Programme</t>
        </is>
      </c>
      <c r="B840" s="12" t="inlineStr">
        <is>
          <t>SCH-04-023</t>
        </is>
      </c>
      <c r="C840" s="12" t="inlineStr">
        <is>
          <t>Maintenance shop: depot structural fit-out - installation</t>
        </is>
      </c>
      <c r="D840" s="12" t="inlineStr">
        <is>
          <t>WBS Code = 1.4.1</t>
        </is>
      </c>
      <c r="E840" s="12" t="inlineStr">
        <is>
          <t>R563-v1</t>
        </is>
      </c>
      <c r="F840" s="12" t="inlineStr">
        <is>
          <t>1.4.1 Vehicles and Depot - Fleet Supply</t>
        </is>
      </c>
      <c r="G840" s="12" t="inlineStr">
        <is>
          <t>ONE_TO_ONE</t>
        </is>
      </c>
      <c r="H840" s="12" t="inlineStr">
        <is>
          <t>APPROVED</t>
        </is>
      </c>
      <c r="I840" s="12" t="inlineStr">
        <is>
          <t>New</t>
        </is>
      </c>
      <c r="J840" s="12" t="inlineStr">
        <is>
          <t>Source assignment -- not individually reviewed</t>
        </is>
      </c>
      <c r="K840" s="12" t="inlineStr"/>
      <c r="L840" s="12" t="inlineStr"/>
      <c r="M840" s="12" t="inlineStr"/>
      <c r="N840" s="17" t="inlineStr">
        <is>
          <t>10 EVIDENCE &amp; DECISIONS</t>
        </is>
      </c>
    </row>
    <row r="841" ht="34" customHeight="1">
      <c r="A841" s="12" t="inlineStr">
        <is>
          <t>Contractor Programme</t>
        </is>
      </c>
      <c r="B841" s="12" t="inlineStr">
        <is>
          <t>SCH-04-025</t>
        </is>
      </c>
      <c r="C841" s="12" t="inlineStr">
        <is>
          <t>Operations building: vehicle-to-depot interface check - turnover</t>
        </is>
      </c>
      <c r="D841" s="12" t="inlineStr">
        <is>
          <t>WBS Code = 1.4.1</t>
        </is>
      </c>
      <c r="E841" s="12" t="inlineStr">
        <is>
          <t>R565-v1</t>
        </is>
      </c>
      <c r="F841" s="12" t="inlineStr">
        <is>
          <t>1.4.1 Vehicles and Depot - Fleet Supply</t>
        </is>
      </c>
      <c r="G841" s="12" t="inlineStr">
        <is>
          <t>ONE_TO_ONE</t>
        </is>
      </c>
      <c r="H841" s="12" t="inlineStr">
        <is>
          <t>APPROVED</t>
        </is>
      </c>
      <c r="I841" s="12" t="inlineStr">
        <is>
          <t>New</t>
        </is>
      </c>
      <c r="J841" s="12" t="inlineStr">
        <is>
          <t>Source assignment -- not individually reviewed</t>
        </is>
      </c>
      <c r="K841" s="12" t="inlineStr"/>
      <c r="L841" s="12" t="inlineStr"/>
      <c r="M841" s="12" t="inlineStr"/>
      <c r="N841" s="17" t="inlineStr">
        <is>
          <t>10 EVIDENCE &amp; DECISIONS</t>
        </is>
      </c>
    </row>
    <row r="842" ht="34" customHeight="1">
      <c r="A842" s="12" t="inlineStr">
        <is>
          <t>Contractor Programme</t>
        </is>
      </c>
      <c r="B842" s="12" t="inlineStr">
        <is>
          <t>SCH-04-026</t>
        </is>
      </c>
      <c r="C842" s="12" t="inlineStr">
        <is>
          <t>Test track: wheel-lathe installation - release</t>
        </is>
      </c>
      <c r="D842" s="12" t="inlineStr">
        <is>
          <t>WBS Code = 1.4.1</t>
        </is>
      </c>
      <c r="E842" s="12" t="inlineStr">
        <is>
          <t>R566-v1</t>
        </is>
      </c>
      <c r="F842" s="12" t="inlineStr">
        <is>
          <t>1.4.1 Vehicles and Depot - Fleet Supply</t>
        </is>
      </c>
      <c r="G842" s="12" t="inlineStr">
        <is>
          <t>ONE_TO_ONE</t>
        </is>
      </c>
      <c r="H842" s="12" t="inlineStr">
        <is>
          <t>APPROVED</t>
        </is>
      </c>
      <c r="I842" s="12" t="inlineStr">
        <is>
          <t>New</t>
        </is>
      </c>
      <c r="J842" s="12" t="inlineStr">
        <is>
          <t>Source assignment -- not individually reviewed</t>
        </is>
      </c>
      <c r="K842" s="12" t="inlineStr"/>
      <c r="L842" s="12" t="inlineStr"/>
      <c r="M842" s="12" t="inlineStr"/>
      <c r="N842" s="17" t="inlineStr">
        <is>
          <t>10 EVIDENCE &amp; DECISIONS</t>
        </is>
      </c>
    </row>
    <row r="843" ht="34" customHeight="1">
      <c r="A843" s="12" t="inlineStr">
        <is>
          <t>Contractor Programme</t>
        </is>
      </c>
      <c r="B843" s="12" t="inlineStr">
        <is>
          <t>SCH-04-028</t>
        </is>
      </c>
      <c r="C843" s="12" t="inlineStr">
        <is>
          <t>Maintenance shop: vehicle delivery inspection - installation</t>
        </is>
      </c>
      <c r="D843" s="12" t="inlineStr">
        <is>
          <t>WBS Code = 1.4.1</t>
        </is>
      </c>
      <c r="E843" s="12" t="inlineStr">
        <is>
          <t>R568-v1</t>
        </is>
      </c>
      <c r="F843" s="12" t="inlineStr">
        <is>
          <t>1.4.1 Vehicles and Depot - Fleet Supply</t>
        </is>
      </c>
      <c r="G843" s="12" t="inlineStr">
        <is>
          <t>ONE_TO_ONE</t>
        </is>
      </c>
      <c r="H843" s="12" t="inlineStr">
        <is>
          <t>APPROVED</t>
        </is>
      </c>
      <c r="I843" s="12" t="inlineStr">
        <is>
          <t>New</t>
        </is>
      </c>
      <c r="J843" s="12" t="inlineStr">
        <is>
          <t>Source assignment -- not individually reviewed</t>
        </is>
      </c>
      <c r="K843" s="12" t="inlineStr"/>
      <c r="L843" s="12" t="inlineStr"/>
      <c r="M843" s="12" t="inlineStr"/>
      <c r="N843" s="17" t="inlineStr">
        <is>
          <t>10 EVIDENCE &amp; DECISIONS</t>
        </is>
      </c>
    </row>
    <row r="844" ht="34" customHeight="1">
      <c r="A844" s="12" t="inlineStr">
        <is>
          <t>Contractor Programme</t>
        </is>
      </c>
      <c r="B844" s="12" t="inlineStr">
        <is>
          <t>SCH-04-029</t>
        </is>
      </c>
      <c r="C844" s="12" t="inlineStr">
        <is>
          <t>Storage yard: wash-plant commissioning - inspection</t>
        </is>
      </c>
      <c r="D844" s="12" t="inlineStr">
        <is>
          <t>WBS Code = 1.4.1</t>
        </is>
      </c>
      <c r="E844" s="12" t="inlineStr">
        <is>
          <t>R569-v1</t>
        </is>
      </c>
      <c r="F844" s="12" t="inlineStr">
        <is>
          <t>1.4.1 Vehicles and Depot - Fleet Supply</t>
        </is>
      </c>
      <c r="G844" s="12" t="inlineStr">
        <is>
          <t>ONE_TO_ONE</t>
        </is>
      </c>
      <c r="H844" s="12" t="inlineStr">
        <is>
          <t>APPROVED</t>
        </is>
      </c>
      <c r="I844" s="12" t="inlineStr">
        <is>
          <t>New</t>
        </is>
      </c>
      <c r="J844" s="12" t="inlineStr">
        <is>
          <t>Source assignment -- not individually reviewed</t>
        </is>
      </c>
      <c r="K844" s="12" t="inlineStr"/>
      <c r="L844" s="12" t="inlineStr"/>
      <c r="M844" s="12" t="inlineStr"/>
      <c r="N844" s="17" t="inlineStr">
        <is>
          <t>10 EVIDENCE &amp; DECISIONS</t>
        </is>
      </c>
    </row>
    <row r="845" ht="34" customHeight="1">
      <c r="A845" s="12" t="inlineStr">
        <is>
          <t>Contractor Programme</t>
        </is>
      </c>
      <c r="B845" s="12" t="inlineStr">
        <is>
          <t>SCH-04-031</t>
        </is>
      </c>
      <c r="C845" s="12" t="inlineStr">
        <is>
          <t>Test track: depot structural fit-out - release</t>
        </is>
      </c>
      <c r="D845" s="12" t="inlineStr">
        <is>
          <t>WBS Code = 1.4.1</t>
        </is>
      </c>
      <c r="E845" s="12" t="inlineStr">
        <is>
          <t>R571-v1</t>
        </is>
      </c>
      <c r="F845" s="12" t="inlineStr">
        <is>
          <t>1.4.1 Vehicles and Depot - Fleet Supply</t>
        </is>
      </c>
      <c r="G845" s="12" t="inlineStr">
        <is>
          <t>ONE_TO_ONE</t>
        </is>
      </c>
      <c r="H845" s="12" t="inlineStr">
        <is>
          <t>APPROVED</t>
        </is>
      </c>
      <c r="I845" s="12" t="inlineStr">
        <is>
          <t>New</t>
        </is>
      </c>
      <c r="J845" s="12" t="inlineStr">
        <is>
          <t>Source assignment -- not individually reviewed</t>
        </is>
      </c>
      <c r="K845" s="12" t="inlineStr"/>
      <c r="L845" s="12" t="inlineStr"/>
      <c r="M845" s="12" t="inlineStr"/>
      <c r="N845" s="17" t="inlineStr">
        <is>
          <t>10 EVIDENCE &amp; DECISIONS</t>
        </is>
      </c>
    </row>
    <row r="846" ht="34" customHeight="1">
      <c r="A846" s="12" t="inlineStr">
        <is>
          <t>Contractor Programme</t>
        </is>
      </c>
      <c r="B846" s="12" t="inlineStr">
        <is>
          <t>SCH-04-032</t>
        </is>
      </c>
      <c r="C846" s="12" t="inlineStr">
        <is>
          <t>Receiving track: workshop crane installation - field start</t>
        </is>
      </c>
      <c r="D846" s="12" t="inlineStr">
        <is>
          <t>WBS Code = 1.4.1</t>
        </is>
      </c>
      <c r="E846" s="12" t="inlineStr">
        <is>
          <t>R572-v1</t>
        </is>
      </c>
      <c r="F846" s="12" t="inlineStr">
        <is>
          <t>1.4.1 Vehicles and Depot - Fleet Supply</t>
        </is>
      </c>
      <c r="G846" s="12" t="inlineStr">
        <is>
          <t>ONE_TO_ONE</t>
        </is>
      </c>
      <c r="H846" s="12" t="inlineStr">
        <is>
          <t>APPROVED</t>
        </is>
      </c>
      <c r="I846" s="12" t="inlineStr">
        <is>
          <t>New</t>
        </is>
      </c>
      <c r="J846" s="12" t="inlineStr">
        <is>
          <t>Source assignment -- not individually reviewed</t>
        </is>
      </c>
      <c r="K846" s="12" t="inlineStr"/>
      <c r="L846" s="12" t="inlineStr"/>
      <c r="M846" s="12" t="inlineStr"/>
      <c r="N846" s="17" t="inlineStr">
        <is>
          <t>10 EVIDENCE &amp; DECISIONS</t>
        </is>
      </c>
    </row>
    <row r="847" ht="34" customHeight="1">
      <c r="A847" s="12" t="inlineStr">
        <is>
          <t>Contractor Programme</t>
        </is>
      </c>
      <c r="B847" s="12" t="inlineStr">
        <is>
          <t>SCH-04-034</t>
        </is>
      </c>
      <c r="C847" s="12" t="inlineStr">
        <is>
          <t>Storage yard: wheel-lathe installation - inspection</t>
        </is>
      </c>
      <c r="D847" s="12" t="inlineStr">
        <is>
          <t>WBS Code = 1.4.1</t>
        </is>
      </c>
      <c r="E847" s="12" t="inlineStr">
        <is>
          <t>R574-v1</t>
        </is>
      </c>
      <c r="F847" s="12" t="inlineStr">
        <is>
          <t>1.4.1 Vehicles and Depot - Fleet Supply</t>
        </is>
      </c>
      <c r="G847" s="12" t="inlineStr">
        <is>
          <t>ONE_TO_ONE</t>
        </is>
      </c>
      <c r="H847" s="12" t="inlineStr">
        <is>
          <t>APPROVED</t>
        </is>
      </c>
      <c r="I847" s="12" t="inlineStr">
        <is>
          <t>New</t>
        </is>
      </c>
      <c r="J847" s="12" t="inlineStr">
        <is>
          <t>Source assignment -- not individually reviewed</t>
        </is>
      </c>
      <c r="K847" s="12" t="inlineStr"/>
      <c r="L847" s="12" t="inlineStr"/>
      <c r="M847" s="12" t="inlineStr"/>
      <c r="N847" s="17" t="inlineStr">
        <is>
          <t>10 EVIDENCE &amp; DECISIONS</t>
        </is>
      </c>
    </row>
    <row r="848" ht="34" customHeight="1">
      <c r="A848" s="12" t="inlineStr">
        <is>
          <t>Contractor Programme</t>
        </is>
      </c>
      <c r="B848" s="12" t="inlineStr">
        <is>
          <t>SCH-04-035</t>
        </is>
      </c>
      <c r="C848" s="12" t="inlineStr">
        <is>
          <t>Operations building: fleet software load - turnover</t>
        </is>
      </c>
      <c r="D848" s="12" t="inlineStr">
        <is>
          <t>WBS Code = 1.4.1</t>
        </is>
      </c>
      <c r="E848" s="12" t="inlineStr">
        <is>
          <t>R575-v1</t>
        </is>
      </c>
      <c r="F848" s="12" t="inlineStr">
        <is>
          <t>1.4.1 Vehicles and Depot - Fleet Supply</t>
        </is>
      </c>
      <c r="G848" s="12" t="inlineStr">
        <is>
          <t>ONE_TO_ONE</t>
        </is>
      </c>
      <c r="H848" s="12" t="inlineStr">
        <is>
          <t>APPROVED</t>
        </is>
      </c>
      <c r="I848" s="12" t="inlineStr">
        <is>
          <t>New</t>
        </is>
      </c>
      <c r="J848" s="12" t="inlineStr">
        <is>
          <t>Source assignment -- not individually reviewed</t>
        </is>
      </c>
      <c r="K848" s="12" t="inlineStr"/>
      <c r="L848" s="12" t="inlineStr"/>
      <c r="M848" s="12" t="inlineStr"/>
      <c r="N848" s="17" t="inlineStr">
        <is>
          <t>10 EVIDENCE &amp; DECISIONS</t>
        </is>
      </c>
    </row>
    <row r="849" ht="34" customHeight="1">
      <c r="A849" s="12" t="inlineStr">
        <is>
          <t>Contractor Programme</t>
        </is>
      </c>
      <c r="B849" s="12" t="inlineStr">
        <is>
          <t>SCH-04-037</t>
        </is>
      </c>
      <c r="C849" s="12" t="inlineStr">
        <is>
          <t>Receiving track: wash-plant commissioning - field start</t>
        </is>
      </c>
      <c r="D849" s="12" t="inlineStr">
        <is>
          <t>WBS Code = 1.4.1</t>
        </is>
      </c>
      <c r="E849" s="12" t="inlineStr">
        <is>
          <t>R577-v1</t>
        </is>
      </c>
      <c r="F849" s="12" t="inlineStr">
        <is>
          <t>1.4.1 Vehicles and Depot - Fleet Supply</t>
        </is>
      </c>
      <c r="G849" s="12" t="inlineStr">
        <is>
          <t>ONE_TO_ONE</t>
        </is>
      </c>
      <c r="H849" s="12" t="inlineStr">
        <is>
          <t>APPROVED</t>
        </is>
      </c>
      <c r="I849" s="12" t="inlineStr">
        <is>
          <t>New</t>
        </is>
      </c>
      <c r="J849" s="12" t="inlineStr">
        <is>
          <t>Source assignment -- not individually reviewed</t>
        </is>
      </c>
      <c r="K849" s="12" t="inlineStr"/>
      <c r="L849" s="12" t="inlineStr"/>
      <c r="M849" s="12" t="inlineStr"/>
      <c r="N849" s="17" t="inlineStr">
        <is>
          <t>10 EVIDENCE &amp; DECISIONS</t>
        </is>
      </c>
    </row>
    <row r="850" ht="34" customHeight="1">
      <c r="A850" s="12" t="inlineStr">
        <is>
          <t>Contractor Programme</t>
        </is>
      </c>
      <c r="B850" s="12" t="inlineStr">
        <is>
          <t>SCH-04-038</t>
        </is>
      </c>
      <c r="C850" s="12" t="inlineStr">
        <is>
          <t>Maintenance shop: maintenance-bay services - installation</t>
        </is>
      </c>
      <c r="D850" s="12" t="inlineStr">
        <is>
          <t>WBS Code = 1.4.1</t>
        </is>
      </c>
      <c r="E850" s="12" t="inlineStr">
        <is>
          <t>R578-v1</t>
        </is>
      </c>
      <c r="F850" s="12" t="inlineStr">
        <is>
          <t>1.4.1 Vehicles and Depot - Fleet Supply</t>
        </is>
      </c>
      <c r="G850" s="12" t="inlineStr">
        <is>
          <t>ONE_TO_ONE</t>
        </is>
      </c>
      <c r="H850" s="12" t="inlineStr">
        <is>
          <t>APPROVED</t>
        </is>
      </c>
      <c r="I850" s="12" t="inlineStr">
        <is>
          <t>New</t>
        </is>
      </c>
      <c r="J850" s="12" t="inlineStr">
        <is>
          <t>Source assignment -- not individually reviewed</t>
        </is>
      </c>
      <c r="K850" s="12" t="inlineStr"/>
      <c r="L850" s="12" t="inlineStr"/>
      <c r="M850" s="12" t="inlineStr"/>
      <c r="N850" s="17" t="inlineStr">
        <is>
          <t>10 EVIDENCE &amp; DECISIONS</t>
        </is>
      </c>
    </row>
    <row r="851" ht="34" customHeight="1">
      <c r="A851" s="12" t="inlineStr">
        <is>
          <t>Contractor Programme</t>
        </is>
      </c>
      <c r="B851" s="12" t="inlineStr">
        <is>
          <t>SCH-04-040</t>
        </is>
      </c>
      <c r="C851" s="12" t="inlineStr">
        <is>
          <t>Operations building: workshop crane installation - turnover</t>
        </is>
      </c>
      <c r="D851" s="12" t="inlineStr">
        <is>
          <t>WBS Code = 1.4.1</t>
        </is>
      </c>
      <c r="E851" s="12" t="inlineStr">
        <is>
          <t>R580-v1</t>
        </is>
      </c>
      <c r="F851" s="12" t="inlineStr">
        <is>
          <t>1.4.1 Vehicles and Depot - Fleet Supply</t>
        </is>
      </c>
      <c r="G851" s="12" t="inlineStr">
        <is>
          <t>ONE_TO_ONE</t>
        </is>
      </c>
      <c r="H851" s="12" t="inlineStr">
        <is>
          <t>APPROVED</t>
        </is>
      </c>
      <c r="I851" s="12" t="inlineStr">
        <is>
          <t>New</t>
        </is>
      </c>
      <c r="J851" s="12" t="inlineStr">
        <is>
          <t>Source assignment -- not individually reviewed</t>
        </is>
      </c>
      <c r="K851" s="12" t="inlineStr"/>
      <c r="L851" s="12" t="inlineStr"/>
      <c r="M851" s="12" t="inlineStr"/>
      <c r="N851" s="17" t="inlineStr">
        <is>
          <t>10 EVIDENCE &amp; DECISIONS</t>
        </is>
      </c>
    </row>
    <row r="852" ht="34" customHeight="1">
      <c r="A852" s="12" t="inlineStr">
        <is>
          <t>Contractor Programme</t>
        </is>
      </c>
      <c r="B852" s="12" t="inlineStr">
        <is>
          <t>SCH-04-041</t>
        </is>
      </c>
      <c r="C852" s="12" t="inlineStr">
        <is>
          <t>Test track: vehicle-to-depot interface check - release</t>
        </is>
      </c>
      <c r="D852" s="12" t="inlineStr">
        <is>
          <t>WBS Code = 1.4.1</t>
        </is>
      </c>
      <c r="E852" s="12" t="inlineStr">
        <is>
          <t>R581-v1</t>
        </is>
      </c>
      <c r="F852" s="12" t="inlineStr">
        <is>
          <t>1.4.1 Vehicles and Depot - Fleet Supply</t>
        </is>
      </c>
      <c r="G852" s="12" t="inlineStr">
        <is>
          <t>ONE_TO_ONE</t>
        </is>
      </c>
      <c r="H852" s="12" t="inlineStr">
        <is>
          <t>APPROVED</t>
        </is>
      </c>
      <c r="I852" s="12" t="inlineStr">
        <is>
          <t>New</t>
        </is>
      </c>
      <c r="J852" s="12" t="inlineStr">
        <is>
          <t>Source assignment -- not individually reviewed</t>
        </is>
      </c>
      <c r="K852" s="12" t="inlineStr"/>
      <c r="L852" s="12" t="inlineStr"/>
      <c r="M852" s="12" t="inlineStr"/>
      <c r="N852" s="17" t="inlineStr">
        <is>
          <t>10 EVIDENCE &amp; DECISIONS</t>
        </is>
      </c>
    </row>
    <row r="853" ht="34" customHeight="1">
      <c r="A853" s="12" t="inlineStr">
        <is>
          <t>Contractor Programme</t>
        </is>
      </c>
      <c r="B853" s="12" t="inlineStr">
        <is>
          <t>SCH-04-043</t>
        </is>
      </c>
      <c r="C853" s="12" t="inlineStr">
        <is>
          <t>Maintenance shop: fleet software load - installation</t>
        </is>
      </c>
      <c r="D853" s="12" t="inlineStr">
        <is>
          <t>WBS Code = 1.4.1</t>
        </is>
      </c>
      <c r="E853" s="12" t="inlineStr">
        <is>
          <t>R583-v1</t>
        </is>
      </c>
      <c r="F853" s="12" t="inlineStr">
        <is>
          <t>1.4.1 Vehicles and Depot - Fleet Supply</t>
        </is>
      </c>
      <c r="G853" s="12" t="inlineStr">
        <is>
          <t>ONE_TO_ONE</t>
        </is>
      </c>
      <c r="H853" s="12" t="inlineStr">
        <is>
          <t>APPROVED</t>
        </is>
      </c>
      <c r="I853" s="12" t="inlineStr">
        <is>
          <t>New</t>
        </is>
      </c>
      <c r="J853" s="12" t="inlineStr">
        <is>
          <t>Source assignment -- not individually reviewed</t>
        </is>
      </c>
      <c r="K853" s="12" t="inlineStr"/>
      <c r="L853" s="12" t="inlineStr"/>
      <c r="M853" s="12" t="inlineStr"/>
      <c r="N853" s="17" t="inlineStr">
        <is>
          <t>10 EVIDENCE &amp; DECISIONS</t>
        </is>
      </c>
    </row>
    <row r="854" ht="34" customHeight="1">
      <c r="A854" s="12" t="inlineStr">
        <is>
          <t>Contractor Programme</t>
        </is>
      </c>
      <c r="B854" s="12" t="inlineStr">
        <is>
          <t>SCH-04-044</t>
        </is>
      </c>
      <c r="C854" s="12" t="inlineStr">
        <is>
          <t>Storage yard: vehicle delivery inspection - inspection</t>
        </is>
      </c>
      <c r="D854" s="12" t="inlineStr">
        <is>
          <t>WBS Code = 1.4.1</t>
        </is>
      </c>
      <c r="E854" s="12" t="inlineStr">
        <is>
          <t>R584-v1</t>
        </is>
      </c>
      <c r="F854" s="12" t="inlineStr">
        <is>
          <t>1.4.1 Vehicles and Depot - Fleet Supply</t>
        </is>
      </c>
      <c r="G854" s="12" t="inlineStr">
        <is>
          <t>ONE_TO_ONE</t>
        </is>
      </c>
      <c r="H854" s="12" t="inlineStr">
        <is>
          <t>APPROVED</t>
        </is>
      </c>
      <c r="I854" s="12" t="inlineStr">
        <is>
          <t>New</t>
        </is>
      </c>
      <c r="J854" s="12" t="inlineStr">
        <is>
          <t>Source assignment -- not individually reviewed</t>
        </is>
      </c>
      <c r="K854" s="12" t="inlineStr"/>
      <c r="L854" s="12" t="inlineStr"/>
      <c r="M854" s="12" t="inlineStr"/>
      <c r="N854" s="17" t="inlineStr">
        <is>
          <t>10 EVIDENCE &amp; DECISIONS</t>
        </is>
      </c>
    </row>
    <row r="855" ht="34" customHeight="1">
      <c r="A855" s="12" t="inlineStr">
        <is>
          <t>Contractor Programme</t>
        </is>
      </c>
      <c r="B855" s="12" t="inlineStr">
        <is>
          <t>SCH-04-046</t>
        </is>
      </c>
      <c r="C855" s="12" t="inlineStr">
        <is>
          <t>Test track: maintenance-bay services - release</t>
        </is>
      </c>
      <c r="D855" s="12" t="inlineStr">
        <is>
          <t>WBS Code = 1.4.1</t>
        </is>
      </c>
      <c r="E855" s="12" t="inlineStr">
        <is>
          <t>R586-v1</t>
        </is>
      </c>
      <c r="F855" s="12" t="inlineStr">
        <is>
          <t>1.4.1 Vehicles and Depot - Fleet Supply</t>
        </is>
      </c>
      <c r="G855" s="12" t="inlineStr">
        <is>
          <t>ONE_TO_ONE</t>
        </is>
      </c>
      <c r="H855" s="12" t="inlineStr">
        <is>
          <t>APPROVED</t>
        </is>
      </c>
      <c r="I855" s="12" t="inlineStr">
        <is>
          <t>New</t>
        </is>
      </c>
      <c r="J855" s="12" t="inlineStr">
        <is>
          <t>Source assignment -- not individually reviewed</t>
        </is>
      </c>
      <c r="K855" s="12" t="inlineStr"/>
      <c r="L855" s="12" t="inlineStr"/>
      <c r="M855" s="12" t="inlineStr"/>
      <c r="N855" s="17" t="inlineStr">
        <is>
          <t>10 EVIDENCE &amp; DECISIONS</t>
        </is>
      </c>
    </row>
    <row r="856" ht="34" customHeight="1">
      <c r="A856" s="12" t="inlineStr">
        <is>
          <t>Contractor Programme</t>
        </is>
      </c>
      <c r="B856" s="12" t="inlineStr">
        <is>
          <t>SCH-04-047</t>
        </is>
      </c>
      <c r="C856" s="12" t="inlineStr">
        <is>
          <t>Receiving track: depot structural fit-out - field start</t>
        </is>
      </c>
      <c r="D856" s="12" t="inlineStr">
        <is>
          <t>WBS Code = 1.4.1</t>
        </is>
      </c>
      <c r="E856" s="12" t="inlineStr">
        <is>
          <t>R587-v1</t>
        </is>
      </c>
      <c r="F856" s="12" t="inlineStr">
        <is>
          <t>1.4.1 Vehicles and Depot - Fleet Supply</t>
        </is>
      </c>
      <c r="G856" s="12" t="inlineStr">
        <is>
          <t>ONE_TO_ONE</t>
        </is>
      </c>
      <c r="H856" s="12" t="inlineStr">
        <is>
          <t>APPROVED</t>
        </is>
      </c>
      <c r="I856" s="12" t="inlineStr">
        <is>
          <t>New</t>
        </is>
      </c>
      <c r="J856" s="12" t="inlineStr">
        <is>
          <t>Source assignment -- not individually reviewed</t>
        </is>
      </c>
      <c r="K856" s="12" t="inlineStr"/>
      <c r="L856" s="12" t="inlineStr"/>
      <c r="M856" s="12" t="inlineStr"/>
      <c r="N856" s="17" t="inlineStr">
        <is>
          <t>10 EVIDENCE &amp; DECISIONS</t>
        </is>
      </c>
    </row>
    <row r="857" ht="34" customHeight="1">
      <c r="A857" s="12" t="inlineStr">
        <is>
          <t>Contractor Programme</t>
        </is>
      </c>
      <c r="B857" s="12" t="inlineStr">
        <is>
          <t>SCH-04-049</t>
        </is>
      </c>
      <c r="C857" s="12" t="inlineStr">
        <is>
          <t>Storage yard: vehicle-to-depot interface check - inspection</t>
        </is>
      </c>
      <c r="D857" s="12" t="inlineStr">
        <is>
          <t>WBS Code = 1.4.1</t>
        </is>
      </c>
      <c r="E857" s="12" t="inlineStr">
        <is>
          <t>R589-v1</t>
        </is>
      </c>
      <c r="F857" s="12" t="inlineStr">
        <is>
          <t>1.4.1 Vehicles and Depot - Fleet Supply</t>
        </is>
      </c>
      <c r="G857" s="12" t="inlineStr">
        <is>
          <t>ONE_TO_ONE</t>
        </is>
      </c>
      <c r="H857" s="12" t="inlineStr">
        <is>
          <t>APPROVED</t>
        </is>
      </c>
      <c r="I857" s="12" t="inlineStr">
        <is>
          <t>New</t>
        </is>
      </c>
      <c r="J857" s="12" t="inlineStr">
        <is>
          <t>Source assignment -- not individually reviewed</t>
        </is>
      </c>
      <c r="K857" s="12" t="inlineStr"/>
      <c r="L857" s="12" t="inlineStr"/>
      <c r="M857" s="12" t="inlineStr"/>
      <c r="N857" s="17" t="inlineStr">
        <is>
          <t>10 EVIDENCE &amp; DECISIONS</t>
        </is>
      </c>
    </row>
    <row r="858" ht="34" customHeight="1">
      <c r="A858" s="12" t="inlineStr">
        <is>
          <t>Contractor Programme</t>
        </is>
      </c>
      <c r="B858" s="12" t="inlineStr">
        <is>
          <t>SCH-04-050</t>
        </is>
      </c>
      <c r="C858" s="12" t="inlineStr">
        <is>
          <t>Operations building: wheel-lathe installation - turnover</t>
        </is>
      </c>
      <c r="D858" s="12" t="inlineStr">
        <is>
          <t>WBS Code = 1.4.1</t>
        </is>
      </c>
      <c r="E858" s="12" t="inlineStr">
        <is>
          <t>R590-v1</t>
        </is>
      </c>
      <c r="F858" s="12" t="inlineStr">
        <is>
          <t>1.4.1 Vehicles and Depot - Fleet Supply</t>
        </is>
      </c>
      <c r="G858" s="12" t="inlineStr">
        <is>
          <t>ONE_TO_ONE</t>
        </is>
      </c>
      <c r="H858" s="12" t="inlineStr">
        <is>
          <t>APPROVED</t>
        </is>
      </c>
      <c r="I858" s="12" t="inlineStr">
        <is>
          <t>New</t>
        </is>
      </c>
      <c r="J858" s="12" t="inlineStr">
        <is>
          <t>Source assignment -- not individually reviewed</t>
        </is>
      </c>
      <c r="K858" s="12" t="inlineStr"/>
      <c r="L858" s="12" t="inlineStr"/>
      <c r="M858" s="12" t="inlineStr"/>
      <c r="N858" s="17" t="inlineStr">
        <is>
          <t>10 EVIDENCE &amp; DECISIONS</t>
        </is>
      </c>
    </row>
    <row r="859" ht="34" customHeight="1">
      <c r="A859" s="12" t="inlineStr">
        <is>
          <t>Contractor Programme</t>
        </is>
      </c>
      <c r="B859" s="12" t="inlineStr">
        <is>
          <t>SCH-04-052</t>
        </is>
      </c>
      <c r="C859" s="12" t="inlineStr">
        <is>
          <t>Receiving track: vehicle delivery inspection - field start</t>
        </is>
      </c>
      <c r="D859" s="12" t="inlineStr">
        <is>
          <t>WBS Code = 1.4.1</t>
        </is>
      </c>
      <c r="E859" s="12" t="inlineStr">
        <is>
          <t>R592-v1</t>
        </is>
      </c>
      <c r="F859" s="12" t="inlineStr">
        <is>
          <t>1.4.1 Vehicles and Depot - Fleet Supply</t>
        </is>
      </c>
      <c r="G859" s="12" t="inlineStr">
        <is>
          <t>ONE_TO_ONE</t>
        </is>
      </c>
      <c r="H859" s="12" t="inlineStr">
        <is>
          <t>APPROVED</t>
        </is>
      </c>
      <c r="I859" s="12" t="inlineStr">
        <is>
          <t>New</t>
        </is>
      </c>
      <c r="J859" s="12" t="inlineStr">
        <is>
          <t>Source assignment -- not individually reviewed</t>
        </is>
      </c>
      <c r="K859" s="12" t="inlineStr"/>
      <c r="L859" s="12" t="inlineStr"/>
      <c r="M859" s="12" t="inlineStr"/>
      <c r="N859" s="17" t="inlineStr">
        <is>
          <t>10 EVIDENCE &amp; DECISIONS</t>
        </is>
      </c>
    </row>
    <row r="860" ht="34" customHeight="1">
      <c r="A860" s="12" t="inlineStr">
        <is>
          <t>Contractor Programme</t>
        </is>
      </c>
      <c r="B860" s="12" t="inlineStr">
        <is>
          <t>SCH-04-053</t>
        </is>
      </c>
      <c r="C860" s="12" t="inlineStr">
        <is>
          <t>Maintenance shop: wash-plant commissioning - installation</t>
        </is>
      </c>
      <c r="D860" s="12" t="inlineStr">
        <is>
          <t>WBS Code = 1.4.1</t>
        </is>
      </c>
      <c r="E860" s="12" t="inlineStr">
        <is>
          <t>R593-v1</t>
        </is>
      </c>
      <c r="F860" s="12" t="inlineStr">
        <is>
          <t>1.4.1 Vehicles and Depot - Fleet Supply</t>
        </is>
      </c>
      <c r="G860" s="12" t="inlineStr">
        <is>
          <t>ONE_TO_ONE</t>
        </is>
      </c>
      <c r="H860" s="12" t="inlineStr">
        <is>
          <t>APPROVED</t>
        </is>
      </c>
      <c r="I860" s="12" t="inlineStr">
        <is>
          <t>New</t>
        </is>
      </c>
      <c r="J860" s="12" t="inlineStr">
        <is>
          <t>Source assignment -- not individually reviewed</t>
        </is>
      </c>
      <c r="K860" s="12" t="inlineStr"/>
      <c r="L860" s="12" t="inlineStr"/>
      <c r="M860" s="12" t="inlineStr"/>
      <c r="N860" s="17" t="inlineStr">
        <is>
          <t>10 EVIDENCE &amp; DECISIONS</t>
        </is>
      </c>
    </row>
    <row r="861" ht="34" customHeight="1">
      <c r="A861" s="12" t="inlineStr">
        <is>
          <t>Contractor Programme</t>
        </is>
      </c>
      <c r="B861" s="12" t="inlineStr">
        <is>
          <t>SCH-04-055</t>
        </is>
      </c>
      <c r="C861" s="12" t="inlineStr">
        <is>
          <t>Operations building: depot structural fit-out - turnover</t>
        </is>
      </c>
      <c r="D861" s="12" t="inlineStr">
        <is>
          <t>WBS Code = 1.4.1</t>
        </is>
      </c>
      <c r="E861" s="12" t="inlineStr">
        <is>
          <t>R595-v1</t>
        </is>
      </c>
      <c r="F861" s="12" t="inlineStr">
        <is>
          <t>1.4.1 Vehicles and Depot - Fleet Supply</t>
        </is>
      </c>
      <c r="G861" s="12" t="inlineStr">
        <is>
          <t>ONE_TO_ONE</t>
        </is>
      </c>
      <c r="H861" s="12" t="inlineStr">
        <is>
          <t>APPROVED</t>
        </is>
      </c>
      <c r="I861" s="12" t="inlineStr">
        <is>
          <t>New</t>
        </is>
      </c>
      <c r="J861" s="12" t="inlineStr">
        <is>
          <t>Source assignment -- not individually reviewed</t>
        </is>
      </c>
      <c r="K861" s="12" t="inlineStr"/>
      <c r="L861" s="12" t="inlineStr"/>
      <c r="M861" s="12" t="inlineStr"/>
      <c r="N861" s="17" t="inlineStr">
        <is>
          <t>10 EVIDENCE &amp; DECISIONS</t>
        </is>
      </c>
    </row>
    <row r="862" ht="34" customHeight="1">
      <c r="A862" s="12" t="inlineStr">
        <is>
          <t>Contractor Programme</t>
        </is>
      </c>
      <c r="B862" s="12" t="inlineStr">
        <is>
          <t>SCH-04-056</t>
        </is>
      </c>
      <c r="C862" s="12" t="inlineStr">
        <is>
          <t>Test track: workshop crane installation - release</t>
        </is>
      </c>
      <c r="D862" s="12" t="inlineStr">
        <is>
          <t>WBS Code = 1.4.1</t>
        </is>
      </c>
      <c r="E862" s="12" t="inlineStr">
        <is>
          <t>R596-v1</t>
        </is>
      </c>
      <c r="F862" s="12" t="inlineStr">
        <is>
          <t>1.4.1 Vehicles and Depot - Fleet Supply</t>
        </is>
      </c>
      <c r="G862" s="12" t="inlineStr">
        <is>
          <t>ONE_TO_ONE</t>
        </is>
      </c>
      <c r="H862" s="12" t="inlineStr">
        <is>
          <t>APPROVED</t>
        </is>
      </c>
      <c r="I862" s="12" t="inlineStr">
        <is>
          <t>New</t>
        </is>
      </c>
      <c r="J862" s="12" t="inlineStr">
        <is>
          <t>Source assignment -- not individually reviewed</t>
        </is>
      </c>
      <c r="K862" s="12" t="inlineStr"/>
      <c r="L862" s="12" t="inlineStr"/>
      <c r="M862" s="12" t="inlineStr"/>
      <c r="N862" s="17" t="inlineStr">
        <is>
          <t>10 EVIDENCE &amp; DECISIONS</t>
        </is>
      </c>
    </row>
    <row r="863" ht="34" customHeight="1">
      <c r="A863" s="12" t="inlineStr">
        <is>
          <t>Contractor Programme</t>
        </is>
      </c>
      <c r="B863" s="12" t="inlineStr">
        <is>
          <t>SCH-04-058</t>
        </is>
      </c>
      <c r="C863" s="12" t="inlineStr">
        <is>
          <t>Maintenance shop: wheel-lathe installation - installation</t>
        </is>
      </c>
      <c r="D863" s="12" t="inlineStr">
        <is>
          <t>WBS Code = 1.4.1</t>
        </is>
      </c>
      <c r="E863" s="12" t="inlineStr">
        <is>
          <t>R598-v1</t>
        </is>
      </c>
      <c r="F863" s="12" t="inlineStr">
        <is>
          <t>1.4.1 Vehicles and Depot - Fleet Supply</t>
        </is>
      </c>
      <c r="G863" s="12" t="inlineStr">
        <is>
          <t>ONE_TO_ONE</t>
        </is>
      </c>
      <c r="H863" s="12" t="inlineStr">
        <is>
          <t>APPROVED</t>
        </is>
      </c>
      <c r="I863" s="12" t="inlineStr">
        <is>
          <t>New</t>
        </is>
      </c>
      <c r="J863" s="12" t="inlineStr">
        <is>
          <t>Source assignment -- not individually reviewed</t>
        </is>
      </c>
      <c r="K863" s="12" t="inlineStr"/>
      <c r="L863" s="12" t="inlineStr"/>
      <c r="M863" s="12" t="inlineStr"/>
      <c r="N863" s="17" t="inlineStr">
        <is>
          <t>10 EVIDENCE &amp; DECISIONS</t>
        </is>
      </c>
    </row>
    <row r="864" ht="34" customHeight="1">
      <c r="A864" s="12" t="inlineStr">
        <is>
          <t>Contractor Programme</t>
        </is>
      </c>
      <c r="B864" s="12" t="inlineStr">
        <is>
          <t>SCH-04-059</t>
        </is>
      </c>
      <c r="C864" s="12" t="inlineStr">
        <is>
          <t>Storage yard: fleet software load - inspection</t>
        </is>
      </c>
      <c r="D864" s="12" t="inlineStr">
        <is>
          <t>WBS Code = 1.4.1</t>
        </is>
      </c>
      <c r="E864" s="12" t="inlineStr">
        <is>
          <t>R599-v1</t>
        </is>
      </c>
      <c r="F864" s="12" t="inlineStr">
        <is>
          <t>1.4.1 Vehicles and Depot - Fleet Supply</t>
        </is>
      </c>
      <c r="G864" s="12" t="inlineStr">
        <is>
          <t>ONE_TO_ONE</t>
        </is>
      </c>
      <c r="H864" s="12" t="inlineStr">
        <is>
          <t>APPROVED</t>
        </is>
      </c>
      <c r="I864" s="12" t="inlineStr">
        <is>
          <t>New</t>
        </is>
      </c>
      <c r="J864" s="12" t="inlineStr">
        <is>
          <t>Source assignment -- not individually reviewed</t>
        </is>
      </c>
      <c r="K864" s="12" t="inlineStr"/>
      <c r="L864" s="12" t="inlineStr"/>
      <c r="M864" s="12" t="inlineStr"/>
      <c r="N864" s="17" t="inlineStr">
        <is>
          <t>10 EVIDENCE &amp; DECISIONS</t>
        </is>
      </c>
    </row>
    <row r="865" ht="34" customHeight="1">
      <c r="A865" s="12" t="inlineStr">
        <is>
          <t>Contractor Programme</t>
        </is>
      </c>
      <c r="B865" s="12" t="inlineStr">
        <is>
          <t>SCH-04-061</t>
        </is>
      </c>
      <c r="C865" s="12" t="inlineStr">
        <is>
          <t>Test track: wash-plant commissioning - release</t>
        </is>
      </c>
      <c r="D865" s="12" t="inlineStr">
        <is>
          <t>WBS Code = 1.4.1</t>
        </is>
      </c>
      <c r="E865" s="12" t="inlineStr">
        <is>
          <t>R601-v1</t>
        </is>
      </c>
      <c r="F865" s="12" t="inlineStr">
        <is>
          <t>1.4.1 Vehicles and Depot - Fleet Supply</t>
        </is>
      </c>
      <c r="G865" s="12" t="inlineStr">
        <is>
          <t>ONE_TO_ONE</t>
        </is>
      </c>
      <c r="H865" s="12" t="inlineStr">
        <is>
          <t>APPROVED</t>
        </is>
      </c>
      <c r="I865" s="12" t="inlineStr">
        <is>
          <t>New</t>
        </is>
      </c>
      <c r="J865" s="12" t="inlineStr">
        <is>
          <t>Source assignment -- not individually reviewed</t>
        </is>
      </c>
      <c r="K865" s="12" t="inlineStr"/>
      <c r="L865" s="12" t="inlineStr"/>
      <c r="M865" s="12" t="inlineStr"/>
      <c r="N865" s="17" t="inlineStr">
        <is>
          <t>10 EVIDENCE &amp; DECISIONS</t>
        </is>
      </c>
    </row>
    <row r="866" ht="34" customHeight="1">
      <c r="A866" s="12" t="inlineStr">
        <is>
          <t>Contractor Programme</t>
        </is>
      </c>
      <c r="B866" s="12" t="inlineStr">
        <is>
          <t>SCH-04-062</t>
        </is>
      </c>
      <c r="C866" s="12" t="inlineStr">
        <is>
          <t>Receiving track: maintenance-bay services - field start</t>
        </is>
      </c>
      <c r="D866" s="12" t="inlineStr">
        <is>
          <t>WBS Code = 1.4.1</t>
        </is>
      </c>
      <c r="E866" s="12" t="inlineStr">
        <is>
          <t>R602-v1</t>
        </is>
      </c>
      <c r="F866" s="12" t="inlineStr">
        <is>
          <t>1.4.1 Vehicles and Depot - Fleet Supply</t>
        </is>
      </c>
      <c r="G866" s="12" t="inlineStr">
        <is>
          <t>ONE_TO_ONE</t>
        </is>
      </c>
      <c r="H866" s="12" t="inlineStr">
        <is>
          <t>APPROVED</t>
        </is>
      </c>
      <c r="I866" s="12" t="inlineStr">
        <is>
          <t>New</t>
        </is>
      </c>
      <c r="J866" s="12" t="inlineStr">
        <is>
          <t>Source assignment -- not individually reviewed</t>
        </is>
      </c>
      <c r="K866" s="12" t="inlineStr"/>
      <c r="L866" s="12" t="inlineStr"/>
      <c r="M866" s="12" t="inlineStr"/>
      <c r="N866" s="17" t="inlineStr">
        <is>
          <t>10 EVIDENCE &amp; DECISIONS</t>
        </is>
      </c>
    </row>
    <row r="867" ht="34" customHeight="1">
      <c r="A867" s="12" t="inlineStr">
        <is>
          <t>Contractor Programme</t>
        </is>
      </c>
      <c r="B867" s="12" t="inlineStr">
        <is>
          <t>SCH-04-064</t>
        </is>
      </c>
      <c r="C867" s="12" t="inlineStr">
        <is>
          <t>Storage yard: workshop crane installation - inspection</t>
        </is>
      </c>
      <c r="D867" s="12" t="inlineStr">
        <is>
          <t>WBS Code = 1.4.1</t>
        </is>
      </c>
      <c r="E867" s="12" t="inlineStr">
        <is>
          <t>R604-v1</t>
        </is>
      </c>
      <c r="F867" s="12" t="inlineStr">
        <is>
          <t>1.4.1 Vehicles and Depot - Fleet Supply</t>
        </is>
      </c>
      <c r="G867" s="12" t="inlineStr">
        <is>
          <t>ONE_TO_ONE</t>
        </is>
      </c>
      <c r="H867" s="12" t="inlineStr">
        <is>
          <t>APPROVED</t>
        </is>
      </c>
      <c r="I867" s="12" t="inlineStr">
        <is>
          <t>New</t>
        </is>
      </c>
      <c r="J867" s="12" t="inlineStr">
        <is>
          <t>Source assignment -- not individually reviewed</t>
        </is>
      </c>
      <c r="K867" s="12" t="inlineStr"/>
      <c r="L867" s="12" t="inlineStr"/>
      <c r="M867" s="12" t="inlineStr"/>
      <c r="N867" s="17" t="inlineStr">
        <is>
          <t>10 EVIDENCE &amp; DECISIONS</t>
        </is>
      </c>
    </row>
    <row r="868" ht="34" customHeight="1">
      <c r="A868" s="12" t="inlineStr">
        <is>
          <t>Contractor Programme</t>
        </is>
      </c>
      <c r="B868" s="12" t="inlineStr">
        <is>
          <t>SCH-04-065</t>
        </is>
      </c>
      <c r="C868" s="12" t="inlineStr">
        <is>
          <t>Operations building: vehicle-to-depot interface check - turnover</t>
        </is>
      </c>
      <c r="D868" s="12" t="inlineStr">
        <is>
          <t>WBS Code = 1.4.1</t>
        </is>
      </c>
      <c r="E868" s="12" t="inlineStr">
        <is>
          <t>R605-v1</t>
        </is>
      </c>
      <c r="F868" s="12" t="inlineStr">
        <is>
          <t>1.4.1 Vehicles and Depot - Fleet Supply</t>
        </is>
      </c>
      <c r="G868" s="12" t="inlineStr">
        <is>
          <t>ONE_TO_ONE</t>
        </is>
      </c>
      <c r="H868" s="12" t="inlineStr">
        <is>
          <t>APPROVED</t>
        </is>
      </c>
      <c r="I868" s="12" t="inlineStr">
        <is>
          <t>New</t>
        </is>
      </c>
      <c r="J868" s="12" t="inlineStr">
        <is>
          <t>Source assignment -- not individually reviewed</t>
        </is>
      </c>
      <c r="K868" s="12" t="inlineStr"/>
      <c r="L868" s="12" t="inlineStr"/>
      <c r="M868" s="12" t="inlineStr"/>
      <c r="N868" s="17" t="inlineStr">
        <is>
          <t>10 EVIDENCE &amp; DECISIONS</t>
        </is>
      </c>
    </row>
    <row r="869" ht="34" customHeight="1">
      <c r="A869" s="12" t="inlineStr">
        <is>
          <t>Contractor Programme</t>
        </is>
      </c>
      <c r="B869" s="12" t="inlineStr">
        <is>
          <t>SCH-04-067</t>
        </is>
      </c>
      <c r="C869" s="12" t="inlineStr">
        <is>
          <t>Receiving track: fleet software load - field start</t>
        </is>
      </c>
      <c r="D869" s="12" t="inlineStr">
        <is>
          <t>WBS Code = 1.4.1</t>
        </is>
      </c>
      <c r="E869" s="12" t="inlineStr">
        <is>
          <t>R607-v1</t>
        </is>
      </c>
      <c r="F869" s="12" t="inlineStr">
        <is>
          <t>1.4.1 Vehicles and Depot - Fleet Supply</t>
        </is>
      </c>
      <c r="G869" s="12" t="inlineStr">
        <is>
          <t>ONE_TO_ONE</t>
        </is>
      </c>
      <c r="H869" s="12" t="inlineStr">
        <is>
          <t>APPROVED</t>
        </is>
      </c>
      <c r="I869" s="12" t="inlineStr">
        <is>
          <t>New</t>
        </is>
      </c>
      <c r="J869" s="12" t="inlineStr">
        <is>
          <t>Source assignment -- not individually reviewed</t>
        </is>
      </c>
      <c r="K869" s="12" t="inlineStr"/>
      <c r="L869" s="12" t="inlineStr"/>
      <c r="M869" s="12" t="inlineStr"/>
      <c r="N869" s="17" t="inlineStr">
        <is>
          <t>10 EVIDENCE &amp; DECISIONS</t>
        </is>
      </c>
    </row>
    <row r="870" ht="34" customHeight="1">
      <c r="A870" s="12" t="inlineStr">
        <is>
          <t>Contractor Programme</t>
        </is>
      </c>
      <c r="B870" s="12" t="inlineStr">
        <is>
          <t>SCH-04-068</t>
        </is>
      </c>
      <c r="C870" s="12" t="inlineStr">
        <is>
          <t>Maintenance shop: vehicle delivery inspection - installation</t>
        </is>
      </c>
      <c r="D870" s="12" t="inlineStr">
        <is>
          <t>WBS Code = 1.4.1</t>
        </is>
      </c>
      <c r="E870" s="12" t="inlineStr">
        <is>
          <t>R608-v1</t>
        </is>
      </c>
      <c r="F870" s="12" t="inlineStr">
        <is>
          <t>1.4.1 Vehicles and Depot - Fleet Supply</t>
        </is>
      </c>
      <c r="G870" s="12" t="inlineStr">
        <is>
          <t>ONE_TO_ONE</t>
        </is>
      </c>
      <c r="H870" s="12" t="inlineStr">
        <is>
          <t>APPROVED</t>
        </is>
      </c>
      <c r="I870" s="12" t="inlineStr">
        <is>
          <t>New</t>
        </is>
      </c>
      <c r="J870" s="12" t="inlineStr">
        <is>
          <t>Source assignment -- not individually reviewed</t>
        </is>
      </c>
      <c r="K870" s="12" t="inlineStr"/>
      <c r="L870" s="12" t="inlineStr"/>
      <c r="M870" s="12" t="inlineStr"/>
      <c r="N870" s="17" t="inlineStr">
        <is>
          <t>10 EVIDENCE &amp; DECISIONS</t>
        </is>
      </c>
    </row>
    <row r="871" ht="34" customHeight="1">
      <c r="A871" s="12" t="inlineStr">
        <is>
          <t>Contractor Programme</t>
        </is>
      </c>
      <c r="B871" s="12" t="inlineStr">
        <is>
          <t>SCH-04-070</t>
        </is>
      </c>
      <c r="C871" s="12" t="inlineStr">
        <is>
          <t>Operations building: maintenance-bay services - turnover</t>
        </is>
      </c>
      <c r="D871" s="12" t="inlineStr">
        <is>
          <t>WBS Code = 1.4.1</t>
        </is>
      </c>
      <c r="E871" s="12" t="inlineStr">
        <is>
          <t>R610-v1</t>
        </is>
      </c>
      <c r="F871" s="12" t="inlineStr">
        <is>
          <t>1.4.1 Vehicles and Depot - Fleet Supply</t>
        </is>
      </c>
      <c r="G871" s="12" t="inlineStr">
        <is>
          <t>ONE_TO_ONE</t>
        </is>
      </c>
      <c r="H871" s="12" t="inlineStr">
        <is>
          <t>APPROVED</t>
        </is>
      </c>
      <c r="I871" s="12" t="inlineStr">
        <is>
          <t>New</t>
        </is>
      </c>
      <c r="J871" s="12" t="inlineStr">
        <is>
          <t>Source assignment -- not individually reviewed</t>
        </is>
      </c>
      <c r="K871" s="12" t="inlineStr"/>
      <c r="L871" s="12" t="inlineStr"/>
      <c r="M871" s="12" t="inlineStr"/>
      <c r="N871" s="17" t="inlineStr">
        <is>
          <t>10 EVIDENCE &amp; DECISIONS</t>
        </is>
      </c>
    </row>
    <row r="872" ht="34" customHeight="1">
      <c r="A872" s="12" t="inlineStr">
        <is>
          <t>Contractor Programme</t>
        </is>
      </c>
      <c r="B872" s="12" t="inlineStr">
        <is>
          <t>SCH-04-071</t>
        </is>
      </c>
      <c r="C872" s="12" t="inlineStr">
        <is>
          <t>Test track: depot structural fit-out - release</t>
        </is>
      </c>
      <c r="D872" s="12" t="inlineStr">
        <is>
          <t>WBS Code = 1.4.1</t>
        </is>
      </c>
      <c r="E872" s="12" t="inlineStr">
        <is>
          <t>R611-v1</t>
        </is>
      </c>
      <c r="F872" s="12" t="inlineStr">
        <is>
          <t>1.4.1 Vehicles and Depot - Fleet Supply</t>
        </is>
      </c>
      <c r="G872" s="12" t="inlineStr">
        <is>
          <t>ONE_TO_ONE</t>
        </is>
      </c>
      <c r="H872" s="12" t="inlineStr">
        <is>
          <t>APPROVED</t>
        </is>
      </c>
      <c r="I872" s="12" t="inlineStr">
        <is>
          <t>New</t>
        </is>
      </c>
      <c r="J872" s="12" t="inlineStr">
        <is>
          <t>Source assignment -- not individually reviewed</t>
        </is>
      </c>
      <c r="K872" s="12" t="inlineStr"/>
      <c r="L872" s="12" t="inlineStr"/>
      <c r="M872" s="12" t="inlineStr"/>
      <c r="N872" s="17" t="inlineStr">
        <is>
          <t>10 EVIDENCE &amp; DECISIONS</t>
        </is>
      </c>
    </row>
    <row r="873" ht="34" customHeight="1">
      <c r="A873" s="12" t="inlineStr">
        <is>
          <t>Contractor Programme</t>
        </is>
      </c>
      <c r="B873" s="12" t="inlineStr">
        <is>
          <t>SCH-04-073</t>
        </is>
      </c>
      <c r="C873" s="12" t="inlineStr">
        <is>
          <t>Maintenance shop: vehicle-to-depot interface check - installation</t>
        </is>
      </c>
      <c r="D873" s="12" t="inlineStr">
        <is>
          <t>WBS Code = 1.4.1</t>
        </is>
      </c>
      <c r="E873" s="12" t="inlineStr">
        <is>
          <t>R613-v1</t>
        </is>
      </c>
      <c r="F873" s="12" t="inlineStr">
        <is>
          <t>1.4.1 Vehicles and Depot - Fleet Supply</t>
        </is>
      </c>
      <c r="G873" s="12" t="inlineStr">
        <is>
          <t>ONE_TO_ONE</t>
        </is>
      </c>
      <c r="H873" s="12" t="inlineStr">
        <is>
          <t>APPROVED</t>
        </is>
      </c>
      <c r="I873" s="12" t="inlineStr">
        <is>
          <t>New</t>
        </is>
      </c>
      <c r="J873" s="12" t="inlineStr">
        <is>
          <t>Source assignment -- not individually reviewed</t>
        </is>
      </c>
      <c r="K873" s="12" t="inlineStr"/>
      <c r="L873" s="12" t="inlineStr"/>
      <c r="M873" s="12" t="inlineStr"/>
      <c r="N873" s="17" t="inlineStr">
        <is>
          <t>10 EVIDENCE &amp; DECISIONS</t>
        </is>
      </c>
    </row>
    <row r="874" ht="34" customHeight="1">
      <c r="A874" s="12" t="inlineStr">
        <is>
          <t>Contractor Programme</t>
        </is>
      </c>
      <c r="B874" s="12" t="inlineStr">
        <is>
          <t>SCH-04-074</t>
        </is>
      </c>
      <c r="C874" s="12" t="inlineStr">
        <is>
          <t>Storage yard: wheel-lathe installation - inspection</t>
        </is>
      </c>
      <c r="D874" s="12" t="inlineStr">
        <is>
          <t>WBS Code = 1.4.1</t>
        </is>
      </c>
      <c r="E874" s="12" t="inlineStr">
        <is>
          <t>R614-v1</t>
        </is>
      </c>
      <c r="F874" s="12" t="inlineStr">
        <is>
          <t>1.4.1 Vehicles and Depot - Fleet Supply</t>
        </is>
      </c>
      <c r="G874" s="12" t="inlineStr">
        <is>
          <t>ONE_TO_ONE</t>
        </is>
      </c>
      <c r="H874" s="12" t="inlineStr">
        <is>
          <t>APPROVED</t>
        </is>
      </c>
      <c r="I874" s="12" t="inlineStr">
        <is>
          <t>New</t>
        </is>
      </c>
      <c r="J874" s="12" t="inlineStr">
        <is>
          <t>Source assignment -- not individually reviewed</t>
        </is>
      </c>
      <c r="K874" s="12" t="inlineStr"/>
      <c r="L874" s="12" t="inlineStr"/>
      <c r="M874" s="12" t="inlineStr"/>
      <c r="N874" s="17" t="inlineStr">
        <is>
          <t>10 EVIDENCE &amp; DECISIONS</t>
        </is>
      </c>
    </row>
    <row r="875" ht="34" customHeight="1">
      <c r="A875" s="12" t="inlineStr">
        <is>
          <t>Contractor Programme</t>
        </is>
      </c>
      <c r="B875" s="12" t="inlineStr">
        <is>
          <t>SCH-04-076</t>
        </is>
      </c>
      <c r="C875" s="12" t="inlineStr">
        <is>
          <t>Test track: vehicle delivery inspection - release</t>
        </is>
      </c>
      <c r="D875" s="12" t="inlineStr">
        <is>
          <t>WBS Code = 1.4.1</t>
        </is>
      </c>
      <c r="E875" s="12" t="inlineStr">
        <is>
          <t>R616-v1</t>
        </is>
      </c>
      <c r="F875" s="12" t="inlineStr">
        <is>
          <t>1.4.1 Vehicles and Depot - Fleet Supply</t>
        </is>
      </c>
      <c r="G875" s="12" t="inlineStr">
        <is>
          <t>ONE_TO_ONE</t>
        </is>
      </c>
      <c r="H875" s="12" t="inlineStr">
        <is>
          <t>APPROVED</t>
        </is>
      </c>
      <c r="I875" s="12" t="inlineStr">
        <is>
          <t>New</t>
        </is>
      </c>
      <c r="J875" s="12" t="inlineStr">
        <is>
          <t>Source assignment -- not individually reviewed</t>
        </is>
      </c>
      <c r="K875" s="12" t="inlineStr"/>
      <c r="L875" s="12" t="inlineStr"/>
      <c r="M875" s="12" t="inlineStr"/>
      <c r="N875" s="17" t="inlineStr">
        <is>
          <t>10 EVIDENCE &amp; DECISIONS</t>
        </is>
      </c>
    </row>
    <row r="876" ht="34" customHeight="1">
      <c r="A876" s="12" t="inlineStr">
        <is>
          <t>Contractor Programme</t>
        </is>
      </c>
      <c r="B876" s="12" t="inlineStr">
        <is>
          <t>SCH-04-077</t>
        </is>
      </c>
      <c r="C876" s="12" t="inlineStr">
        <is>
          <t>Receiving track: wash-plant commissioning - field start</t>
        </is>
      </c>
      <c r="D876" s="12" t="inlineStr">
        <is>
          <t>WBS Code = 1.4.1</t>
        </is>
      </c>
      <c r="E876" s="12" t="inlineStr">
        <is>
          <t>R617-v1</t>
        </is>
      </c>
      <c r="F876" s="12" t="inlineStr">
        <is>
          <t>1.4.1 Vehicles and Depot - Fleet Supply</t>
        </is>
      </c>
      <c r="G876" s="12" t="inlineStr">
        <is>
          <t>ONE_TO_ONE</t>
        </is>
      </c>
      <c r="H876" s="12" t="inlineStr">
        <is>
          <t>APPROVED</t>
        </is>
      </c>
      <c r="I876" s="12" t="inlineStr">
        <is>
          <t>New</t>
        </is>
      </c>
      <c r="J876" s="12" t="inlineStr">
        <is>
          <t>Source assignment -- not individually reviewed</t>
        </is>
      </c>
      <c r="K876" s="12" t="inlineStr"/>
      <c r="L876" s="12" t="inlineStr"/>
      <c r="M876" s="12" t="inlineStr"/>
      <c r="N876" s="17" t="inlineStr">
        <is>
          <t>10 EVIDENCE &amp; DECISIONS</t>
        </is>
      </c>
    </row>
    <row r="877" ht="34" customHeight="1">
      <c r="A877" s="12" t="inlineStr">
        <is>
          <t>Contractor Programme</t>
        </is>
      </c>
      <c r="B877" s="12" t="inlineStr">
        <is>
          <t>SCH-04-079</t>
        </is>
      </c>
      <c r="C877" s="12" t="inlineStr">
        <is>
          <t>Storage yard: depot structural fit-out - inspection</t>
        </is>
      </c>
      <c r="D877" s="12" t="inlineStr">
        <is>
          <t>WBS Code = 1.4.1</t>
        </is>
      </c>
      <c r="E877" s="12" t="inlineStr">
        <is>
          <t>R619-v1</t>
        </is>
      </c>
      <c r="F877" s="12" t="inlineStr">
        <is>
          <t>1.4.1 Vehicles and Depot - Fleet Supply</t>
        </is>
      </c>
      <c r="G877" s="12" t="inlineStr">
        <is>
          <t>ONE_TO_ONE</t>
        </is>
      </c>
      <c r="H877" s="12" t="inlineStr">
        <is>
          <t>APPROVED</t>
        </is>
      </c>
      <c r="I877" s="12" t="inlineStr">
        <is>
          <t>New</t>
        </is>
      </c>
      <c r="J877" s="12" t="inlineStr">
        <is>
          <t>Source assignment -- not individually reviewed</t>
        </is>
      </c>
      <c r="K877" s="12" t="inlineStr"/>
      <c r="L877" s="12" t="inlineStr"/>
      <c r="M877" s="12" t="inlineStr"/>
      <c r="N877" s="17" t="inlineStr">
        <is>
          <t>10 EVIDENCE &amp; DECISIONS</t>
        </is>
      </c>
    </row>
    <row r="878" ht="34" customHeight="1">
      <c r="A878" s="12" t="inlineStr">
        <is>
          <t>Contractor Programme</t>
        </is>
      </c>
      <c r="B878" s="12" t="inlineStr">
        <is>
          <t>SCH-04-080</t>
        </is>
      </c>
      <c r="C878" s="12" t="inlineStr">
        <is>
          <t>Operations building: workshop crane installation - turnover</t>
        </is>
      </c>
      <c r="D878" s="12" t="inlineStr">
        <is>
          <t>WBS Code = 1.4.1</t>
        </is>
      </c>
      <c r="E878" s="12" t="inlineStr">
        <is>
          <t>R620-v1</t>
        </is>
      </c>
      <c r="F878" s="12" t="inlineStr">
        <is>
          <t>1.4.1 Vehicles and Depot - Fleet Supply</t>
        </is>
      </c>
      <c r="G878" s="12" t="inlineStr">
        <is>
          <t>ONE_TO_ONE</t>
        </is>
      </c>
      <c r="H878" s="12" t="inlineStr">
        <is>
          <t>APPROVED</t>
        </is>
      </c>
      <c r="I878" s="12" t="inlineStr">
        <is>
          <t>New</t>
        </is>
      </c>
      <c r="J878" s="12" t="inlineStr">
        <is>
          <t>Source assignment -- not individually reviewed</t>
        </is>
      </c>
      <c r="K878" s="12" t="inlineStr"/>
      <c r="L878" s="12" t="inlineStr"/>
      <c r="M878" s="12" t="inlineStr"/>
      <c r="N878" s="17" t="inlineStr">
        <is>
          <t>10 EVIDENCE &amp; DECISIONS</t>
        </is>
      </c>
    </row>
    <row r="879" ht="34" customHeight="1">
      <c r="A879" s="12" t="inlineStr">
        <is>
          <t>Contractor Programme</t>
        </is>
      </c>
      <c r="B879" s="12" t="inlineStr">
        <is>
          <t>SCH-04-082</t>
        </is>
      </c>
      <c r="C879" s="12" t="inlineStr">
        <is>
          <t>Receiving track: wheel-lathe installation - field start</t>
        </is>
      </c>
      <c r="D879" s="12" t="inlineStr">
        <is>
          <t>WBS Code = 1.4.1</t>
        </is>
      </c>
      <c r="E879" s="12" t="inlineStr">
        <is>
          <t>R622-v1</t>
        </is>
      </c>
      <c r="F879" s="12" t="inlineStr">
        <is>
          <t>1.4.1 Vehicles and Depot - Fleet Supply</t>
        </is>
      </c>
      <c r="G879" s="12" t="inlineStr">
        <is>
          <t>ONE_TO_ONE</t>
        </is>
      </c>
      <c r="H879" s="12" t="inlineStr">
        <is>
          <t>APPROVED</t>
        </is>
      </c>
      <c r="I879" s="12" t="inlineStr">
        <is>
          <t>New</t>
        </is>
      </c>
      <c r="J879" s="12" t="inlineStr">
        <is>
          <t>Source assignment -- not individually reviewed</t>
        </is>
      </c>
      <c r="K879" s="12" t="inlineStr"/>
      <c r="L879" s="12" t="inlineStr"/>
      <c r="M879" s="12" t="inlineStr"/>
      <c r="N879" s="17" t="inlineStr">
        <is>
          <t>10 EVIDENCE &amp; DECISIONS</t>
        </is>
      </c>
    </row>
    <row r="880" ht="34" customHeight="1">
      <c r="A880" s="12" t="inlineStr">
        <is>
          <t>Contractor Programme</t>
        </is>
      </c>
      <c r="B880" s="12" t="inlineStr">
        <is>
          <t>SCH-04-083</t>
        </is>
      </c>
      <c r="C880" s="12" t="inlineStr">
        <is>
          <t>Maintenance shop: fleet software load - installation</t>
        </is>
      </c>
      <c r="D880" s="12" t="inlineStr">
        <is>
          <t>WBS Code = 1.4.1</t>
        </is>
      </c>
      <c r="E880" s="12" t="inlineStr">
        <is>
          <t>R623-v1</t>
        </is>
      </c>
      <c r="F880" s="12" t="inlineStr">
        <is>
          <t>1.4.1 Vehicles and Depot - Fleet Supply</t>
        </is>
      </c>
      <c r="G880" s="12" t="inlineStr">
        <is>
          <t>ONE_TO_ONE</t>
        </is>
      </c>
      <c r="H880" s="12" t="inlineStr">
        <is>
          <t>APPROVED</t>
        </is>
      </c>
      <c r="I880" s="12" t="inlineStr">
        <is>
          <t>New</t>
        </is>
      </c>
      <c r="J880" s="12" t="inlineStr">
        <is>
          <t>Source assignment -- not individually reviewed</t>
        </is>
      </c>
      <c r="K880" s="12" t="inlineStr"/>
      <c r="L880" s="12" t="inlineStr"/>
      <c r="M880" s="12" t="inlineStr"/>
      <c r="N880" s="17" t="inlineStr">
        <is>
          <t>10 EVIDENCE &amp; DECISIONS</t>
        </is>
      </c>
    </row>
    <row r="881" ht="34" customHeight="1">
      <c r="A881" s="12" t="inlineStr">
        <is>
          <t>Contractor Programme</t>
        </is>
      </c>
      <c r="B881" s="12" t="inlineStr">
        <is>
          <t>SCH-04-085</t>
        </is>
      </c>
      <c r="C881" s="12" t="inlineStr">
        <is>
          <t>Operations building: wash-plant commissioning - turnover</t>
        </is>
      </c>
      <c r="D881" s="12" t="inlineStr">
        <is>
          <t>WBS Code = 1.4.1</t>
        </is>
      </c>
      <c r="E881" s="12" t="inlineStr">
        <is>
          <t>R625-v1</t>
        </is>
      </c>
      <c r="F881" s="12" t="inlineStr">
        <is>
          <t>1.4.1 Vehicles and Depot - Fleet Supply</t>
        </is>
      </c>
      <c r="G881" s="12" t="inlineStr">
        <is>
          <t>ONE_TO_ONE</t>
        </is>
      </c>
      <c r="H881" s="12" t="inlineStr">
        <is>
          <t>APPROVED</t>
        </is>
      </c>
      <c r="I881" s="12" t="inlineStr">
        <is>
          <t>New</t>
        </is>
      </c>
      <c r="J881" s="12" t="inlineStr">
        <is>
          <t>Source assignment -- not individually reviewed</t>
        </is>
      </c>
      <c r="K881" s="12" t="inlineStr"/>
      <c r="L881" s="12" t="inlineStr"/>
      <c r="M881" s="12" t="inlineStr"/>
      <c r="N881" s="17" t="inlineStr">
        <is>
          <t>10 EVIDENCE &amp; DECISIONS</t>
        </is>
      </c>
    </row>
    <row r="882" ht="34" customHeight="1">
      <c r="A882" s="12" t="inlineStr">
        <is>
          <t>Contractor Programme</t>
        </is>
      </c>
      <c r="B882" s="12" t="inlineStr">
        <is>
          <t>SCH-04-086</t>
        </is>
      </c>
      <c r="C882" s="12" t="inlineStr">
        <is>
          <t>Test track: maintenance-bay services - release</t>
        </is>
      </c>
      <c r="D882" s="12" t="inlineStr">
        <is>
          <t>WBS Code = 1.4.1</t>
        </is>
      </c>
      <c r="E882" s="12" t="inlineStr">
        <is>
          <t>R626-v1</t>
        </is>
      </c>
      <c r="F882" s="12" t="inlineStr">
        <is>
          <t>1.4.1 Vehicles and Depot - Fleet Supply</t>
        </is>
      </c>
      <c r="G882" s="12" t="inlineStr">
        <is>
          <t>ONE_TO_ONE</t>
        </is>
      </c>
      <c r="H882" s="12" t="inlineStr">
        <is>
          <t>APPROVED</t>
        </is>
      </c>
      <c r="I882" s="12" t="inlineStr">
        <is>
          <t>New</t>
        </is>
      </c>
      <c r="J882" s="12" t="inlineStr">
        <is>
          <t>Source assignment -- not individually reviewed</t>
        </is>
      </c>
      <c r="K882" s="12" t="inlineStr"/>
      <c r="L882" s="12" t="inlineStr"/>
      <c r="M882" s="12" t="inlineStr"/>
      <c r="N882" s="17" t="inlineStr">
        <is>
          <t>10 EVIDENCE &amp; DECISIONS</t>
        </is>
      </c>
    </row>
    <row r="883" ht="34" customHeight="1">
      <c r="A883" s="12" t="inlineStr">
        <is>
          <t>Contractor Programme</t>
        </is>
      </c>
      <c r="B883" s="12" t="inlineStr">
        <is>
          <t>SCH-04-088</t>
        </is>
      </c>
      <c r="C883" s="12" t="inlineStr">
        <is>
          <t>Maintenance shop: workshop crane installation - installation</t>
        </is>
      </c>
      <c r="D883" s="12" t="inlineStr">
        <is>
          <t>WBS Code = 1.4.1</t>
        </is>
      </c>
      <c r="E883" s="12" t="inlineStr">
        <is>
          <t>R628-v1</t>
        </is>
      </c>
      <c r="F883" s="12" t="inlineStr">
        <is>
          <t>1.4.1 Vehicles and Depot - Fleet Supply</t>
        </is>
      </c>
      <c r="G883" s="12" t="inlineStr">
        <is>
          <t>ONE_TO_ONE</t>
        </is>
      </c>
      <c r="H883" s="12" t="inlineStr">
        <is>
          <t>APPROVED</t>
        </is>
      </c>
      <c r="I883" s="12" t="inlineStr">
        <is>
          <t>New</t>
        </is>
      </c>
      <c r="J883" s="12" t="inlineStr">
        <is>
          <t>Source assignment -- not individually reviewed</t>
        </is>
      </c>
      <c r="K883" s="12" t="inlineStr"/>
      <c r="L883" s="12" t="inlineStr"/>
      <c r="M883" s="12" t="inlineStr"/>
      <c r="N883" s="17" t="inlineStr">
        <is>
          <t>10 EVIDENCE &amp; DECISIONS</t>
        </is>
      </c>
    </row>
    <row r="884" ht="34" customHeight="1">
      <c r="A884" s="12" t="inlineStr">
        <is>
          <t>Contractor Programme</t>
        </is>
      </c>
      <c r="B884" s="12" t="inlineStr">
        <is>
          <t>SCH-04-089</t>
        </is>
      </c>
      <c r="C884" s="12" t="inlineStr">
        <is>
          <t>Storage yard: vehicle-to-depot interface check - inspection</t>
        </is>
      </c>
      <c r="D884" s="12" t="inlineStr">
        <is>
          <t>WBS Code = 1.4.1</t>
        </is>
      </c>
      <c r="E884" s="12" t="inlineStr">
        <is>
          <t>R629-v1</t>
        </is>
      </c>
      <c r="F884" s="12" t="inlineStr">
        <is>
          <t>1.4.1 Vehicles and Depot - Fleet Supply</t>
        </is>
      </c>
      <c r="G884" s="12" t="inlineStr">
        <is>
          <t>ONE_TO_ONE</t>
        </is>
      </c>
      <c r="H884" s="12" t="inlineStr">
        <is>
          <t>APPROVED</t>
        </is>
      </c>
      <c r="I884" s="12" t="inlineStr">
        <is>
          <t>New</t>
        </is>
      </c>
      <c r="J884" s="12" t="inlineStr">
        <is>
          <t>Source assignment -- not individually reviewed</t>
        </is>
      </c>
      <c r="K884" s="12" t="inlineStr"/>
      <c r="L884" s="12" t="inlineStr"/>
      <c r="M884" s="12" t="inlineStr"/>
      <c r="N884" s="17" t="inlineStr">
        <is>
          <t>10 EVIDENCE &amp; DECISIONS</t>
        </is>
      </c>
    </row>
    <row r="885" ht="34" customHeight="1">
      <c r="A885" s="12" t="inlineStr">
        <is>
          <t>Contractor Programme</t>
        </is>
      </c>
      <c r="B885" s="12" t="inlineStr">
        <is>
          <t>SCH-04-091</t>
        </is>
      </c>
      <c r="C885" s="12" t="inlineStr">
        <is>
          <t>Test track: fleet software load - release</t>
        </is>
      </c>
      <c r="D885" s="12" t="inlineStr">
        <is>
          <t>WBS Code = 1.4.1</t>
        </is>
      </c>
      <c r="E885" s="12" t="inlineStr">
        <is>
          <t>R631-v1</t>
        </is>
      </c>
      <c r="F885" s="12" t="inlineStr">
        <is>
          <t>1.4.1 Vehicles and Depot - Fleet Supply</t>
        </is>
      </c>
      <c r="G885" s="12" t="inlineStr">
        <is>
          <t>ONE_TO_ONE</t>
        </is>
      </c>
      <c r="H885" s="12" t="inlineStr">
        <is>
          <t>APPROVED</t>
        </is>
      </c>
      <c r="I885" s="12" t="inlineStr">
        <is>
          <t>New</t>
        </is>
      </c>
      <c r="J885" s="12" t="inlineStr">
        <is>
          <t>Source assignment -- not individually reviewed</t>
        </is>
      </c>
      <c r="K885" s="12" t="inlineStr"/>
      <c r="L885" s="12" t="inlineStr"/>
      <c r="M885" s="12" t="inlineStr"/>
      <c r="N885" s="17" t="inlineStr">
        <is>
          <t>10 EVIDENCE &amp; DECISIONS</t>
        </is>
      </c>
    </row>
    <row r="886" ht="34" customHeight="1">
      <c r="A886" s="12" t="inlineStr">
        <is>
          <t>Contractor Programme</t>
        </is>
      </c>
      <c r="B886" s="12" t="inlineStr">
        <is>
          <t>SCH-04-092</t>
        </is>
      </c>
      <c r="C886" s="12" t="inlineStr">
        <is>
          <t>Receiving track: vehicle delivery inspection - field start</t>
        </is>
      </c>
      <c r="D886" s="12" t="inlineStr">
        <is>
          <t>WBS Code = 1.4.1</t>
        </is>
      </c>
      <c r="E886" s="12" t="inlineStr">
        <is>
          <t>R632-v1</t>
        </is>
      </c>
      <c r="F886" s="12" t="inlineStr">
        <is>
          <t>1.4.1 Vehicles and Depot - Fleet Supply</t>
        </is>
      </c>
      <c r="G886" s="12" t="inlineStr">
        <is>
          <t>ONE_TO_ONE</t>
        </is>
      </c>
      <c r="H886" s="12" t="inlineStr">
        <is>
          <t>APPROVED</t>
        </is>
      </c>
      <c r="I886" s="12" t="inlineStr">
        <is>
          <t>New</t>
        </is>
      </c>
      <c r="J886" s="12" t="inlineStr">
        <is>
          <t>Source assignment -- not individually reviewed</t>
        </is>
      </c>
      <c r="K886" s="12" t="inlineStr"/>
      <c r="L886" s="12" t="inlineStr"/>
      <c r="M886" s="12" t="inlineStr"/>
      <c r="N886" s="17" t="inlineStr">
        <is>
          <t>10 EVIDENCE &amp; DECISIONS</t>
        </is>
      </c>
    </row>
    <row r="887" ht="34" customHeight="1">
      <c r="A887" s="12" t="inlineStr">
        <is>
          <t>Contractor Programme</t>
        </is>
      </c>
      <c r="B887" s="12" t="inlineStr">
        <is>
          <t>SCH-04-094</t>
        </is>
      </c>
      <c r="C887" s="12" t="inlineStr">
        <is>
          <t>Storage yard: maintenance-bay services - inspection</t>
        </is>
      </c>
      <c r="D887" s="12" t="inlineStr">
        <is>
          <t>WBS Code = 1.4.1</t>
        </is>
      </c>
      <c r="E887" s="12" t="inlineStr">
        <is>
          <t>R634-v1</t>
        </is>
      </c>
      <c r="F887" s="12" t="inlineStr">
        <is>
          <t>1.4.1 Vehicles and Depot - Fleet Supply</t>
        </is>
      </c>
      <c r="G887" s="12" t="inlineStr">
        <is>
          <t>ONE_TO_ONE</t>
        </is>
      </c>
      <c r="H887" s="12" t="inlineStr">
        <is>
          <t>APPROVED</t>
        </is>
      </c>
      <c r="I887" s="12" t="inlineStr">
        <is>
          <t>New</t>
        </is>
      </c>
      <c r="J887" s="12" t="inlineStr">
        <is>
          <t>Source assignment -- not individually reviewed</t>
        </is>
      </c>
      <c r="K887" s="12" t="inlineStr"/>
      <c r="L887" s="12" t="inlineStr"/>
      <c r="M887" s="12" t="inlineStr"/>
      <c r="N887" s="17" t="inlineStr">
        <is>
          <t>10 EVIDENCE &amp; DECISIONS</t>
        </is>
      </c>
    </row>
    <row r="888" ht="34" customHeight="1">
      <c r="A888" s="12" t="inlineStr">
        <is>
          <t>Contractor Programme</t>
        </is>
      </c>
      <c r="B888" s="12" t="inlineStr">
        <is>
          <t>SCH-04-095</t>
        </is>
      </c>
      <c r="C888" s="12" t="inlineStr">
        <is>
          <t>Operations building: depot structural fit-out - turnover</t>
        </is>
      </c>
      <c r="D888" s="12" t="inlineStr">
        <is>
          <t>WBS Code = 1.4.1</t>
        </is>
      </c>
      <c r="E888" s="12" t="inlineStr">
        <is>
          <t>R635-v1</t>
        </is>
      </c>
      <c r="F888" s="12" t="inlineStr">
        <is>
          <t>1.4.1 Vehicles and Depot - Fleet Supply</t>
        </is>
      </c>
      <c r="G888" s="12" t="inlineStr">
        <is>
          <t>ONE_TO_ONE</t>
        </is>
      </c>
      <c r="H888" s="12" t="inlineStr">
        <is>
          <t>APPROVED</t>
        </is>
      </c>
      <c r="I888" s="12" t="inlineStr">
        <is>
          <t>New</t>
        </is>
      </c>
      <c r="J888" s="12" t="inlineStr">
        <is>
          <t>Source assignment -- not individually reviewed</t>
        </is>
      </c>
      <c r="K888" s="12" t="inlineStr"/>
      <c r="L888" s="12" t="inlineStr"/>
      <c r="M888" s="12" t="inlineStr"/>
      <c r="N888" s="17" t="inlineStr">
        <is>
          <t>10 EVIDENCE &amp; DECISIONS</t>
        </is>
      </c>
    </row>
    <row r="889" ht="34" customHeight="1">
      <c r="A889" s="12" t="inlineStr">
        <is>
          <t>Contractor Programme</t>
        </is>
      </c>
      <c r="B889" s="12" t="inlineStr">
        <is>
          <t>SCH-04-097</t>
        </is>
      </c>
      <c r="C889" s="12" t="inlineStr">
        <is>
          <t>Receiving track: vehicle-to-depot interface check - field start</t>
        </is>
      </c>
      <c r="D889" s="12" t="inlineStr">
        <is>
          <t>WBS Code = 1.4.1</t>
        </is>
      </c>
      <c r="E889" s="12" t="inlineStr">
        <is>
          <t>R637-v1</t>
        </is>
      </c>
      <c r="F889" s="12" t="inlineStr">
        <is>
          <t>1.4.1 Vehicles and Depot - Fleet Supply</t>
        </is>
      </c>
      <c r="G889" s="12" t="inlineStr">
        <is>
          <t>ONE_TO_ONE</t>
        </is>
      </c>
      <c r="H889" s="12" t="inlineStr">
        <is>
          <t>APPROVED</t>
        </is>
      </c>
      <c r="I889" s="12" t="inlineStr">
        <is>
          <t>New</t>
        </is>
      </c>
      <c r="J889" s="12" t="inlineStr">
        <is>
          <t>Source assignment -- not individually reviewed</t>
        </is>
      </c>
      <c r="K889" s="12" t="inlineStr"/>
      <c r="L889" s="12" t="inlineStr"/>
      <c r="M889" s="12" t="inlineStr"/>
      <c r="N889" s="17" t="inlineStr">
        <is>
          <t>10 EVIDENCE &amp; DECISIONS</t>
        </is>
      </c>
    </row>
    <row r="890" ht="34" customHeight="1">
      <c r="A890" s="12" t="inlineStr">
        <is>
          <t>Contractor Programme</t>
        </is>
      </c>
      <c r="B890" s="12" t="inlineStr">
        <is>
          <t>SCH-04-098</t>
        </is>
      </c>
      <c r="C890" s="12" t="inlineStr">
        <is>
          <t>Maintenance shop: wheel-lathe installation - installation</t>
        </is>
      </c>
      <c r="D890" s="12" t="inlineStr">
        <is>
          <t>WBS Code = 1.4.1</t>
        </is>
      </c>
      <c r="E890" s="12" t="inlineStr">
        <is>
          <t>R638-v1</t>
        </is>
      </c>
      <c r="F890" s="12" t="inlineStr">
        <is>
          <t>1.4.1 Vehicles and Depot - Fleet Supply</t>
        </is>
      </c>
      <c r="G890" s="12" t="inlineStr">
        <is>
          <t>ONE_TO_ONE</t>
        </is>
      </c>
      <c r="H890" s="12" t="inlineStr">
        <is>
          <t>APPROVED</t>
        </is>
      </c>
      <c r="I890" s="12" t="inlineStr">
        <is>
          <t>New</t>
        </is>
      </c>
      <c r="J890" s="12" t="inlineStr">
        <is>
          <t>Source assignment -- not individually reviewed</t>
        </is>
      </c>
      <c r="K890" s="12" t="inlineStr"/>
      <c r="L890" s="12" t="inlineStr"/>
      <c r="M890" s="12" t="inlineStr"/>
      <c r="N890" s="17" t="inlineStr">
        <is>
          <t>10 EVIDENCE &amp; DECISIONS</t>
        </is>
      </c>
    </row>
    <row r="891" ht="34" customHeight="1">
      <c r="A891" s="12" t="inlineStr">
        <is>
          <t>Contractor Programme</t>
        </is>
      </c>
      <c r="B891" s="12" t="inlineStr">
        <is>
          <t>SCH-04-100</t>
        </is>
      </c>
      <c r="C891" s="12" t="inlineStr">
        <is>
          <t>Operations building: vehicle delivery inspection - turnover</t>
        </is>
      </c>
      <c r="D891" s="12" t="inlineStr">
        <is>
          <t>WBS Code = 1.4.1</t>
        </is>
      </c>
      <c r="E891" s="12" t="inlineStr">
        <is>
          <t>R640-v1</t>
        </is>
      </c>
      <c r="F891" s="12" t="inlineStr">
        <is>
          <t>1.4.1 Vehicles and Depot - Fleet Supply</t>
        </is>
      </c>
      <c r="G891" s="12" t="inlineStr">
        <is>
          <t>ONE_TO_ONE</t>
        </is>
      </c>
      <c r="H891" s="12" t="inlineStr">
        <is>
          <t>APPROVED</t>
        </is>
      </c>
      <c r="I891" s="12" t="inlineStr">
        <is>
          <t>New</t>
        </is>
      </c>
      <c r="J891" s="12" t="inlineStr">
        <is>
          <t>Source assignment -- not individually reviewed</t>
        </is>
      </c>
      <c r="K891" s="12" t="inlineStr"/>
      <c r="L891" s="12" t="inlineStr"/>
      <c r="M891" s="12" t="inlineStr"/>
      <c r="N891" s="17" t="inlineStr">
        <is>
          <t>10 EVIDENCE &amp; DECISIONS</t>
        </is>
      </c>
    </row>
    <row r="892" ht="34" customHeight="1">
      <c r="A892" s="12" t="inlineStr">
        <is>
          <t>Contractor Programme</t>
        </is>
      </c>
      <c r="B892" s="12" t="inlineStr">
        <is>
          <t>SCH-04-101</t>
        </is>
      </c>
      <c r="C892" s="12" t="inlineStr">
        <is>
          <t>Test track: wash-plant commissioning - release</t>
        </is>
      </c>
      <c r="D892" s="12" t="inlineStr">
        <is>
          <t>WBS Code = 1.4.1</t>
        </is>
      </c>
      <c r="E892" s="12" t="inlineStr">
        <is>
          <t>R641-v1</t>
        </is>
      </c>
      <c r="F892" s="12" t="inlineStr">
        <is>
          <t>1.4.1 Vehicles and Depot - Fleet Supply</t>
        </is>
      </c>
      <c r="G892" s="12" t="inlineStr">
        <is>
          <t>ONE_TO_ONE</t>
        </is>
      </c>
      <c r="H892" s="12" t="inlineStr">
        <is>
          <t>APPROVED</t>
        </is>
      </c>
      <c r="I892" s="12" t="inlineStr">
        <is>
          <t>New</t>
        </is>
      </c>
      <c r="J892" s="12" t="inlineStr">
        <is>
          <t>Source assignment -- not individually reviewed</t>
        </is>
      </c>
      <c r="K892" s="12" t="inlineStr"/>
      <c r="L892" s="12" t="inlineStr"/>
      <c r="M892" s="12" t="inlineStr"/>
      <c r="N892" s="17" t="inlineStr">
        <is>
          <t>10 EVIDENCE &amp; DECISIONS</t>
        </is>
      </c>
    </row>
    <row r="893" ht="34" customHeight="1">
      <c r="A893" s="12" t="inlineStr">
        <is>
          <t>Contractor Programme</t>
        </is>
      </c>
      <c r="B893" s="12" t="inlineStr">
        <is>
          <t>SCH-04-103</t>
        </is>
      </c>
      <c r="C893" s="12" t="inlineStr">
        <is>
          <t>Maintenance shop: depot structural fit-out - installation</t>
        </is>
      </c>
      <c r="D893" s="12" t="inlineStr">
        <is>
          <t>WBS Code = 1.4.1</t>
        </is>
      </c>
      <c r="E893" s="12" t="inlineStr">
        <is>
          <t>R643-v1</t>
        </is>
      </c>
      <c r="F893" s="12" t="inlineStr">
        <is>
          <t>1.4.1 Vehicles and Depot - Fleet Supply</t>
        </is>
      </c>
      <c r="G893" s="12" t="inlineStr">
        <is>
          <t>ONE_TO_ONE</t>
        </is>
      </c>
      <c r="H893" s="12" t="inlineStr">
        <is>
          <t>APPROVED</t>
        </is>
      </c>
      <c r="I893" s="12" t="inlineStr">
        <is>
          <t>New</t>
        </is>
      </c>
      <c r="J893" s="12" t="inlineStr">
        <is>
          <t>Source assignment -- not individually reviewed</t>
        </is>
      </c>
      <c r="K893" s="12" t="inlineStr"/>
      <c r="L893" s="12" t="inlineStr"/>
      <c r="M893" s="12" t="inlineStr"/>
      <c r="N893" s="17" t="inlineStr">
        <is>
          <t>10 EVIDENCE &amp; DECISIONS</t>
        </is>
      </c>
    </row>
    <row r="894" ht="34" customHeight="1">
      <c r="A894" s="12" t="inlineStr">
        <is>
          <t>Contractor Programme</t>
        </is>
      </c>
      <c r="B894" s="12" t="inlineStr">
        <is>
          <t>SCH-04-104</t>
        </is>
      </c>
      <c r="C894" s="12" t="inlineStr">
        <is>
          <t>Storage yard: workshop crane installation - inspection</t>
        </is>
      </c>
      <c r="D894" s="12" t="inlineStr">
        <is>
          <t>WBS Code = 1.4.1</t>
        </is>
      </c>
      <c r="E894" s="12" t="inlineStr">
        <is>
          <t>R644-v1</t>
        </is>
      </c>
      <c r="F894" s="12" t="inlineStr">
        <is>
          <t>1.4.1 Vehicles and Depot - Fleet Supply</t>
        </is>
      </c>
      <c r="G894" s="12" t="inlineStr">
        <is>
          <t>ONE_TO_ONE</t>
        </is>
      </c>
      <c r="H894" s="12" t="inlineStr">
        <is>
          <t>APPROVED</t>
        </is>
      </c>
      <c r="I894" s="12" t="inlineStr">
        <is>
          <t>New</t>
        </is>
      </c>
      <c r="J894" s="12" t="inlineStr">
        <is>
          <t>Source assignment -- not individually reviewed</t>
        </is>
      </c>
      <c r="K894" s="12" t="inlineStr"/>
      <c r="L894" s="12" t="inlineStr"/>
      <c r="M894" s="12" t="inlineStr"/>
      <c r="N894" s="17" t="inlineStr">
        <is>
          <t>10 EVIDENCE &amp; DECISIONS</t>
        </is>
      </c>
    </row>
    <row r="895" ht="34" customHeight="1">
      <c r="A895" s="12" t="inlineStr">
        <is>
          <t>Contractor Programme</t>
        </is>
      </c>
      <c r="B895" s="12" t="inlineStr">
        <is>
          <t>SCH-04-106</t>
        </is>
      </c>
      <c r="C895" s="12" t="inlineStr">
        <is>
          <t>Test track: wheel-lathe installation - release</t>
        </is>
      </c>
      <c r="D895" s="12" t="inlineStr">
        <is>
          <t>WBS Code = 1.4.1</t>
        </is>
      </c>
      <c r="E895" s="12" t="inlineStr">
        <is>
          <t>R646-v1</t>
        </is>
      </c>
      <c r="F895" s="12" t="inlineStr">
        <is>
          <t>1.4.1 Vehicles and Depot - Fleet Supply</t>
        </is>
      </c>
      <c r="G895" s="12" t="inlineStr">
        <is>
          <t>ONE_TO_ONE</t>
        </is>
      </c>
      <c r="H895" s="12" t="inlineStr">
        <is>
          <t>APPROVED</t>
        </is>
      </c>
      <c r="I895" s="12" t="inlineStr">
        <is>
          <t>New</t>
        </is>
      </c>
      <c r="J895" s="12" t="inlineStr">
        <is>
          <t>Source assignment -- not individually reviewed</t>
        </is>
      </c>
      <c r="K895" s="12" t="inlineStr"/>
      <c r="L895" s="12" t="inlineStr"/>
      <c r="M895" s="12" t="inlineStr"/>
      <c r="N895" s="17" t="inlineStr">
        <is>
          <t>10 EVIDENCE &amp; DECISIONS</t>
        </is>
      </c>
    </row>
    <row r="896" ht="34" customHeight="1">
      <c r="A896" s="12" t="inlineStr">
        <is>
          <t>Contractor Programme</t>
        </is>
      </c>
      <c r="B896" s="12" t="inlineStr">
        <is>
          <t>SCH-04-107</t>
        </is>
      </c>
      <c r="C896" s="12" t="inlineStr">
        <is>
          <t>Receiving track: fleet software load - field start</t>
        </is>
      </c>
      <c r="D896" s="12" t="inlineStr">
        <is>
          <t>WBS Code = 1.4.1</t>
        </is>
      </c>
      <c r="E896" s="12" t="inlineStr">
        <is>
          <t>R647-v1</t>
        </is>
      </c>
      <c r="F896" s="12" t="inlineStr">
        <is>
          <t>1.4.1 Vehicles and Depot - Fleet Supply</t>
        </is>
      </c>
      <c r="G896" s="12" t="inlineStr">
        <is>
          <t>ONE_TO_ONE</t>
        </is>
      </c>
      <c r="H896" s="12" t="inlineStr">
        <is>
          <t>APPROVED</t>
        </is>
      </c>
      <c r="I896" s="12" t="inlineStr">
        <is>
          <t>New</t>
        </is>
      </c>
      <c r="J896" s="12" t="inlineStr">
        <is>
          <t>Source assignment -- not individually reviewed</t>
        </is>
      </c>
      <c r="K896" s="12" t="inlineStr"/>
      <c r="L896" s="12" t="inlineStr"/>
      <c r="M896" s="12" t="inlineStr"/>
      <c r="N896" s="17" t="inlineStr">
        <is>
          <t>10 EVIDENCE &amp; DECISIONS</t>
        </is>
      </c>
    </row>
    <row r="897" ht="34" customHeight="1">
      <c r="A897" s="12" t="inlineStr">
        <is>
          <t>Contractor Programme</t>
        </is>
      </c>
      <c r="B897" s="12" t="inlineStr">
        <is>
          <t>SCH-04-109</t>
        </is>
      </c>
      <c r="C897" s="12" t="inlineStr">
        <is>
          <t>Storage yard: wash-plant commissioning - inspection</t>
        </is>
      </c>
      <c r="D897" s="12" t="inlineStr">
        <is>
          <t>WBS Code = 1.4.1</t>
        </is>
      </c>
      <c r="E897" s="12" t="inlineStr">
        <is>
          <t>R649-v1</t>
        </is>
      </c>
      <c r="F897" s="12" t="inlineStr">
        <is>
          <t>1.4.1 Vehicles and Depot - Fleet Supply</t>
        </is>
      </c>
      <c r="G897" s="12" t="inlineStr">
        <is>
          <t>ONE_TO_ONE</t>
        </is>
      </c>
      <c r="H897" s="12" t="inlineStr">
        <is>
          <t>APPROVED</t>
        </is>
      </c>
      <c r="I897" s="12" t="inlineStr">
        <is>
          <t>New</t>
        </is>
      </c>
      <c r="J897" s="12" t="inlineStr">
        <is>
          <t>Source assignment -- not individually reviewed</t>
        </is>
      </c>
      <c r="K897" s="12" t="inlineStr"/>
      <c r="L897" s="12" t="inlineStr"/>
      <c r="M897" s="12" t="inlineStr"/>
      <c r="N897" s="17" t="inlineStr">
        <is>
          <t>10 EVIDENCE &amp; DECISIONS</t>
        </is>
      </c>
    </row>
    <row r="898" ht="34" customHeight="1">
      <c r="A898" s="12" t="inlineStr">
        <is>
          <t>Contractor Programme</t>
        </is>
      </c>
      <c r="B898" s="12" t="inlineStr">
        <is>
          <t>SCH-04-110</t>
        </is>
      </c>
      <c r="C898" s="12" t="inlineStr">
        <is>
          <t>Operations building: maintenance-bay services - turnover</t>
        </is>
      </c>
      <c r="D898" s="12" t="inlineStr">
        <is>
          <t>WBS Code = 1.4.1</t>
        </is>
      </c>
      <c r="E898" s="12" t="inlineStr">
        <is>
          <t>R650-v1</t>
        </is>
      </c>
      <c r="F898" s="12" t="inlineStr">
        <is>
          <t>1.4.1 Vehicles and Depot - Fleet Supply</t>
        </is>
      </c>
      <c r="G898" s="12" t="inlineStr">
        <is>
          <t>ONE_TO_ONE</t>
        </is>
      </c>
      <c r="H898" s="12" t="inlineStr">
        <is>
          <t>APPROVED</t>
        </is>
      </c>
      <c r="I898" s="12" t="inlineStr">
        <is>
          <t>New</t>
        </is>
      </c>
      <c r="J898" s="12" t="inlineStr">
        <is>
          <t>Source assignment -- not individually reviewed</t>
        </is>
      </c>
      <c r="K898" s="12" t="inlineStr"/>
      <c r="L898" s="12" t="inlineStr"/>
      <c r="M898" s="12" t="inlineStr"/>
      <c r="N898" s="17" t="inlineStr">
        <is>
          <t>10 EVIDENCE &amp; DECISIONS</t>
        </is>
      </c>
    </row>
    <row r="899" ht="34" customHeight="1">
      <c r="A899" s="12" t="inlineStr">
        <is>
          <t>Contractor Programme</t>
        </is>
      </c>
      <c r="B899" s="12" t="inlineStr">
        <is>
          <t>SCH-04-112</t>
        </is>
      </c>
      <c r="C899" s="12" t="inlineStr">
        <is>
          <t>Receiving track: workshop crane installation - field start</t>
        </is>
      </c>
      <c r="D899" s="12" t="inlineStr">
        <is>
          <t>WBS Code = 1.4.1</t>
        </is>
      </c>
      <c r="E899" s="12" t="inlineStr">
        <is>
          <t>R652-v1</t>
        </is>
      </c>
      <c r="F899" s="12" t="inlineStr">
        <is>
          <t>1.4.1 Vehicles and Depot - Fleet Supply</t>
        </is>
      </c>
      <c r="G899" s="12" t="inlineStr">
        <is>
          <t>ONE_TO_ONE</t>
        </is>
      </c>
      <c r="H899" s="12" t="inlineStr">
        <is>
          <t>APPROVED</t>
        </is>
      </c>
      <c r="I899" s="12" t="inlineStr">
        <is>
          <t>New</t>
        </is>
      </c>
      <c r="J899" s="12" t="inlineStr">
        <is>
          <t>Source assignment -- not individually reviewed</t>
        </is>
      </c>
      <c r="K899" s="12" t="inlineStr"/>
      <c r="L899" s="12" t="inlineStr"/>
      <c r="M899" s="12" t="inlineStr"/>
      <c r="N899" s="17" t="inlineStr">
        <is>
          <t>10 EVIDENCE &amp; DECISIONS</t>
        </is>
      </c>
    </row>
    <row r="900" ht="34" customHeight="1">
      <c r="A900" s="12" t="inlineStr">
        <is>
          <t>Contractor Programme</t>
        </is>
      </c>
      <c r="B900" s="12" t="inlineStr">
        <is>
          <t>SCH-04-113</t>
        </is>
      </c>
      <c r="C900" s="12" t="inlineStr">
        <is>
          <t>Maintenance shop: vehicle-to-depot interface check - installation</t>
        </is>
      </c>
      <c r="D900" s="12" t="inlineStr">
        <is>
          <t>WBS Code = 1.4.1</t>
        </is>
      </c>
      <c r="E900" s="12" t="inlineStr">
        <is>
          <t>R653-v1</t>
        </is>
      </c>
      <c r="F900" s="12" t="inlineStr">
        <is>
          <t>1.4.1 Vehicles and Depot - Fleet Supply</t>
        </is>
      </c>
      <c r="G900" s="12" t="inlineStr">
        <is>
          <t>ONE_TO_ONE</t>
        </is>
      </c>
      <c r="H900" s="12" t="inlineStr">
        <is>
          <t>APPROVED</t>
        </is>
      </c>
      <c r="I900" s="12" t="inlineStr">
        <is>
          <t>New</t>
        </is>
      </c>
      <c r="J900" s="12" t="inlineStr">
        <is>
          <t>Source assignment -- not individually reviewed</t>
        </is>
      </c>
      <c r="K900" s="12" t="inlineStr"/>
      <c r="L900" s="12" t="inlineStr"/>
      <c r="M900" s="12" t="inlineStr"/>
      <c r="N900" s="17" t="inlineStr">
        <is>
          <t>10 EVIDENCE &amp; DECISIONS</t>
        </is>
      </c>
    </row>
    <row r="901" ht="34" customHeight="1">
      <c r="A901" s="12" t="inlineStr">
        <is>
          <t>Contractor Programme</t>
        </is>
      </c>
      <c r="B901" s="12" t="inlineStr">
        <is>
          <t>SCH-04-115</t>
        </is>
      </c>
      <c r="C901" s="12" t="inlineStr">
        <is>
          <t>Operations building: fleet software load - turnover</t>
        </is>
      </c>
      <c r="D901" s="12" t="inlineStr">
        <is>
          <t>WBS Code = 1.4.1</t>
        </is>
      </c>
      <c r="E901" s="12" t="inlineStr">
        <is>
          <t>R655-v1</t>
        </is>
      </c>
      <c r="F901" s="12" t="inlineStr">
        <is>
          <t>1.4.1 Vehicles and Depot - Fleet Supply</t>
        </is>
      </c>
      <c r="G901" s="12" t="inlineStr">
        <is>
          <t>ONE_TO_ONE</t>
        </is>
      </c>
      <c r="H901" s="12" t="inlineStr">
        <is>
          <t>APPROVED</t>
        </is>
      </c>
      <c r="I901" s="12" t="inlineStr">
        <is>
          <t>New</t>
        </is>
      </c>
      <c r="J901" s="12" t="inlineStr">
        <is>
          <t>Source assignment -- not individually reviewed</t>
        </is>
      </c>
      <c r="K901" s="12" t="inlineStr"/>
      <c r="L901" s="12" t="inlineStr"/>
      <c r="M901" s="12" t="inlineStr"/>
      <c r="N901" s="17" t="inlineStr">
        <is>
          <t>10 EVIDENCE &amp; DECISIONS</t>
        </is>
      </c>
    </row>
    <row r="902" ht="34" customHeight="1">
      <c r="A902" s="12" t="inlineStr">
        <is>
          <t>Contractor Programme</t>
        </is>
      </c>
      <c r="B902" s="12" t="inlineStr">
        <is>
          <t>SCH-04-116</t>
        </is>
      </c>
      <c r="C902" s="12" t="inlineStr">
        <is>
          <t>Test track: vehicle delivery inspection - release</t>
        </is>
      </c>
      <c r="D902" s="12" t="inlineStr">
        <is>
          <t>WBS Code = 1.4.1</t>
        </is>
      </c>
      <c r="E902" s="12" t="inlineStr">
        <is>
          <t>R656-v1</t>
        </is>
      </c>
      <c r="F902" s="12" t="inlineStr">
        <is>
          <t>1.4.1 Vehicles and Depot - Fleet Supply</t>
        </is>
      </c>
      <c r="G902" s="12" t="inlineStr">
        <is>
          <t>ONE_TO_ONE</t>
        </is>
      </c>
      <c r="H902" s="12" t="inlineStr">
        <is>
          <t>APPROVED</t>
        </is>
      </c>
      <c r="I902" s="12" t="inlineStr">
        <is>
          <t>New</t>
        </is>
      </c>
      <c r="J902" s="12" t="inlineStr">
        <is>
          <t>Source assignment -- not individually reviewed</t>
        </is>
      </c>
      <c r="K902" s="12" t="inlineStr"/>
      <c r="L902" s="12" t="inlineStr"/>
      <c r="M902" s="12" t="inlineStr"/>
      <c r="N902" s="17" t="inlineStr">
        <is>
          <t>10 EVIDENCE &amp; DECISIONS</t>
        </is>
      </c>
    </row>
    <row r="903" ht="34" customHeight="1">
      <c r="A903" s="12" t="inlineStr">
        <is>
          <t>Contractor Programme</t>
        </is>
      </c>
      <c r="B903" s="12" t="inlineStr">
        <is>
          <t>SCH-04-118</t>
        </is>
      </c>
      <c r="C903" s="12" t="inlineStr">
        <is>
          <t>Maintenance shop: maintenance-bay services - installation</t>
        </is>
      </c>
      <c r="D903" s="12" t="inlineStr">
        <is>
          <t>WBS Code = 1.4.1</t>
        </is>
      </c>
      <c r="E903" s="12" t="inlineStr">
        <is>
          <t>R658-v1</t>
        </is>
      </c>
      <c r="F903" s="12" t="inlineStr">
        <is>
          <t>1.4.1 Vehicles and Depot - Fleet Supply</t>
        </is>
      </c>
      <c r="G903" s="12" t="inlineStr">
        <is>
          <t>ONE_TO_ONE</t>
        </is>
      </c>
      <c r="H903" s="12" t="inlineStr">
        <is>
          <t>APPROVED</t>
        </is>
      </c>
      <c r="I903" s="12" t="inlineStr">
        <is>
          <t>New</t>
        </is>
      </c>
      <c r="J903" s="12" t="inlineStr">
        <is>
          <t>Source assignment -- not individually reviewed</t>
        </is>
      </c>
      <c r="K903" s="12" t="inlineStr"/>
      <c r="L903" s="12" t="inlineStr"/>
      <c r="M903" s="12" t="inlineStr"/>
      <c r="N903" s="17" t="inlineStr">
        <is>
          <t>10 EVIDENCE &amp; DECISIONS</t>
        </is>
      </c>
    </row>
    <row r="904" ht="34" customHeight="1">
      <c r="A904" s="12" t="inlineStr">
        <is>
          <t>Contractor Programme</t>
        </is>
      </c>
      <c r="B904" s="12" t="inlineStr">
        <is>
          <t>SCH-04-119</t>
        </is>
      </c>
      <c r="C904" s="12" t="inlineStr">
        <is>
          <t>Storage yard: depot structural fit-out - inspection</t>
        </is>
      </c>
      <c r="D904" s="12" t="inlineStr">
        <is>
          <t>WBS Code = 1.4.1</t>
        </is>
      </c>
      <c r="E904" s="12" t="inlineStr">
        <is>
          <t>R659-v1</t>
        </is>
      </c>
      <c r="F904" s="12" t="inlineStr">
        <is>
          <t>1.4.1 Vehicles and Depot - Fleet Supply</t>
        </is>
      </c>
      <c r="G904" s="12" t="inlineStr">
        <is>
          <t>ONE_TO_ONE</t>
        </is>
      </c>
      <c r="H904" s="12" t="inlineStr">
        <is>
          <t>APPROVED</t>
        </is>
      </c>
      <c r="I904" s="12" t="inlineStr">
        <is>
          <t>New</t>
        </is>
      </c>
      <c r="J904" s="12" t="inlineStr">
        <is>
          <t>Source assignment -- not individually reviewed</t>
        </is>
      </c>
      <c r="K904" s="12" t="inlineStr"/>
      <c r="L904" s="12" t="inlineStr"/>
      <c r="M904" s="12" t="inlineStr"/>
      <c r="N904" s="17" t="inlineStr">
        <is>
          <t>10 EVIDENCE &amp; DECISIONS</t>
        </is>
      </c>
    </row>
    <row r="905" ht="34" customHeight="1">
      <c r="A905" s="12" t="inlineStr">
        <is>
          <t>Contractor Programme</t>
        </is>
      </c>
      <c r="B905" s="12" t="inlineStr">
        <is>
          <t>SCH-04-121</t>
        </is>
      </c>
      <c r="C905" s="12" t="inlineStr">
        <is>
          <t>Test track: vehicle-to-depot interface check - release</t>
        </is>
      </c>
      <c r="D905" s="12" t="inlineStr">
        <is>
          <t>WBS Code = 1.4.1</t>
        </is>
      </c>
      <c r="E905" s="12" t="inlineStr">
        <is>
          <t>R661-v1</t>
        </is>
      </c>
      <c r="F905" s="12" t="inlineStr">
        <is>
          <t>1.4.1 Vehicles and Depot - Fleet Supply</t>
        </is>
      </c>
      <c r="G905" s="12" t="inlineStr">
        <is>
          <t>ONE_TO_ONE</t>
        </is>
      </c>
      <c r="H905" s="12" t="inlineStr">
        <is>
          <t>APPROVED</t>
        </is>
      </c>
      <c r="I905" s="12" t="inlineStr">
        <is>
          <t>New</t>
        </is>
      </c>
      <c r="J905" s="12" t="inlineStr">
        <is>
          <t>Source assignment -- not individually reviewed</t>
        </is>
      </c>
      <c r="K905" s="12" t="inlineStr"/>
      <c r="L905" s="12" t="inlineStr"/>
      <c r="M905" s="12" t="inlineStr"/>
      <c r="N905" s="17" t="inlineStr">
        <is>
          <t>10 EVIDENCE &amp; DECISIONS</t>
        </is>
      </c>
    </row>
    <row r="906" ht="34" customHeight="1">
      <c r="A906" s="12" t="inlineStr">
        <is>
          <t>Contractor Programme</t>
        </is>
      </c>
      <c r="B906" s="12" t="inlineStr">
        <is>
          <t>SCH-04-122</t>
        </is>
      </c>
      <c r="C906" s="12" t="inlineStr">
        <is>
          <t>Receiving track: wheel-lathe installation - field start</t>
        </is>
      </c>
      <c r="D906" s="12" t="inlineStr">
        <is>
          <t>WBS Code = 1.4.1</t>
        </is>
      </c>
      <c r="E906" s="12" t="inlineStr">
        <is>
          <t>R662-v1</t>
        </is>
      </c>
      <c r="F906" s="12" t="inlineStr">
        <is>
          <t>1.4.1 Vehicles and Depot - Fleet Supply</t>
        </is>
      </c>
      <c r="G906" s="12" t="inlineStr">
        <is>
          <t>ONE_TO_ONE</t>
        </is>
      </c>
      <c r="H906" s="12" t="inlineStr">
        <is>
          <t>APPROVED</t>
        </is>
      </c>
      <c r="I906" s="12" t="inlineStr">
        <is>
          <t>New</t>
        </is>
      </c>
      <c r="J906" s="12" t="inlineStr">
        <is>
          <t>Source assignment -- not individually reviewed</t>
        </is>
      </c>
      <c r="K906" s="12" t="inlineStr"/>
      <c r="L906" s="12" t="inlineStr"/>
      <c r="M906" s="12" t="inlineStr"/>
      <c r="N906" s="17" t="inlineStr">
        <is>
          <t>10 EVIDENCE &amp; DECISIONS</t>
        </is>
      </c>
    </row>
    <row r="907" ht="34" customHeight="1">
      <c r="A907" s="12" t="inlineStr">
        <is>
          <t>Contractor Programme</t>
        </is>
      </c>
      <c r="B907" s="12" t="inlineStr">
        <is>
          <t>SCH-04-124</t>
        </is>
      </c>
      <c r="C907" s="12" t="inlineStr">
        <is>
          <t>Storage yard: vehicle delivery inspection - inspection</t>
        </is>
      </c>
      <c r="D907" s="12" t="inlineStr">
        <is>
          <t>WBS Code = 1.4.1</t>
        </is>
      </c>
      <c r="E907" s="12" t="inlineStr">
        <is>
          <t>R664-v1</t>
        </is>
      </c>
      <c r="F907" s="12" t="inlineStr">
        <is>
          <t>1.4.1 Vehicles and Depot - Fleet Supply</t>
        </is>
      </c>
      <c r="G907" s="12" t="inlineStr">
        <is>
          <t>ONE_TO_ONE</t>
        </is>
      </c>
      <c r="H907" s="12" t="inlineStr">
        <is>
          <t>APPROVED</t>
        </is>
      </c>
      <c r="I907" s="12" t="inlineStr">
        <is>
          <t>New</t>
        </is>
      </c>
      <c r="J907" s="12" t="inlineStr">
        <is>
          <t>Source assignment -- not individually reviewed</t>
        </is>
      </c>
      <c r="K907" s="12" t="inlineStr"/>
      <c r="L907" s="12" t="inlineStr"/>
      <c r="M907" s="12" t="inlineStr"/>
      <c r="N907" s="17" t="inlineStr">
        <is>
          <t>10 EVIDENCE &amp; DECISIONS</t>
        </is>
      </c>
    </row>
    <row r="908" ht="34" customHeight="1">
      <c r="A908" s="12" t="inlineStr">
        <is>
          <t>Contractor Programme</t>
        </is>
      </c>
      <c r="B908" s="12" t="inlineStr">
        <is>
          <t>SCH-04-125</t>
        </is>
      </c>
      <c r="C908" s="12" t="inlineStr">
        <is>
          <t>Operations building: wash-plant commissioning - turnover</t>
        </is>
      </c>
      <c r="D908" s="12" t="inlineStr">
        <is>
          <t>WBS Code = 1.4.1</t>
        </is>
      </c>
      <c r="E908" s="12" t="inlineStr">
        <is>
          <t>R665-v1</t>
        </is>
      </c>
      <c r="F908" s="12" t="inlineStr">
        <is>
          <t>1.4.1 Vehicles and Depot - Fleet Supply</t>
        </is>
      </c>
      <c r="G908" s="12" t="inlineStr">
        <is>
          <t>ONE_TO_ONE</t>
        </is>
      </c>
      <c r="H908" s="12" t="inlineStr">
        <is>
          <t>APPROVED</t>
        </is>
      </c>
      <c r="I908" s="12" t="inlineStr">
        <is>
          <t>New</t>
        </is>
      </c>
      <c r="J908" s="12" t="inlineStr">
        <is>
          <t>Source assignment -- not individually reviewed</t>
        </is>
      </c>
      <c r="K908" s="12" t="inlineStr"/>
      <c r="L908" s="12" t="inlineStr"/>
      <c r="M908" s="12" t="inlineStr"/>
      <c r="N908" s="17" t="inlineStr">
        <is>
          <t>10 EVIDENCE &amp; DECISIONS</t>
        </is>
      </c>
    </row>
    <row r="909" ht="34" customHeight="1">
      <c r="A909" s="12" t="inlineStr">
        <is>
          <t>Contractor Programme</t>
        </is>
      </c>
      <c r="B909" s="12" t="inlineStr">
        <is>
          <t>SCH-04-127</t>
        </is>
      </c>
      <c r="C909" s="12" t="inlineStr">
        <is>
          <t>Receiving track: depot structural fit-out - field start</t>
        </is>
      </c>
      <c r="D909" s="12" t="inlineStr">
        <is>
          <t>WBS Code = 1.4.1</t>
        </is>
      </c>
      <c r="E909" s="12" t="inlineStr">
        <is>
          <t>R667-v1</t>
        </is>
      </c>
      <c r="F909" s="12" t="inlineStr">
        <is>
          <t>1.4.1 Vehicles and Depot - Fleet Supply</t>
        </is>
      </c>
      <c r="G909" s="12" t="inlineStr">
        <is>
          <t>ONE_TO_ONE</t>
        </is>
      </c>
      <c r="H909" s="12" t="inlineStr">
        <is>
          <t>APPROVED</t>
        </is>
      </c>
      <c r="I909" s="12" t="inlineStr">
        <is>
          <t>New</t>
        </is>
      </c>
      <c r="J909" s="12" t="inlineStr">
        <is>
          <t>Source assignment -- not individually reviewed</t>
        </is>
      </c>
      <c r="K909" s="12" t="inlineStr"/>
      <c r="L909" s="12" t="inlineStr"/>
      <c r="M909" s="12" t="inlineStr"/>
      <c r="N909" s="17" t="inlineStr">
        <is>
          <t>10 EVIDENCE &amp; DECISIONS</t>
        </is>
      </c>
    </row>
    <row r="910" ht="34" customHeight="1">
      <c r="A910" s="12" t="inlineStr">
        <is>
          <t>Contractor Programme</t>
        </is>
      </c>
      <c r="B910" s="12" t="inlineStr">
        <is>
          <t>SCH-04-128</t>
        </is>
      </c>
      <c r="C910" s="12" t="inlineStr">
        <is>
          <t>Maintenance shop: workshop crane installation - installation</t>
        </is>
      </c>
      <c r="D910" s="12" t="inlineStr">
        <is>
          <t>WBS Code = 1.4.1</t>
        </is>
      </c>
      <c r="E910" s="12" t="inlineStr">
        <is>
          <t>R668-v1</t>
        </is>
      </c>
      <c r="F910" s="12" t="inlineStr">
        <is>
          <t>1.4.1 Vehicles and Depot - Fleet Supply</t>
        </is>
      </c>
      <c r="G910" s="12" t="inlineStr">
        <is>
          <t>ONE_TO_ONE</t>
        </is>
      </c>
      <c r="H910" s="12" t="inlineStr">
        <is>
          <t>APPROVED</t>
        </is>
      </c>
      <c r="I910" s="12" t="inlineStr">
        <is>
          <t>New</t>
        </is>
      </c>
      <c r="J910" s="12" t="inlineStr">
        <is>
          <t>Source assignment -- not individually reviewed</t>
        </is>
      </c>
      <c r="K910" s="12" t="inlineStr"/>
      <c r="L910" s="12" t="inlineStr"/>
      <c r="M910" s="12" t="inlineStr"/>
      <c r="N910" s="17" t="inlineStr">
        <is>
          <t>10 EVIDENCE &amp; DECISIONS</t>
        </is>
      </c>
    </row>
    <row r="911" ht="34" customHeight="1">
      <c r="A911" s="12" t="inlineStr">
        <is>
          <t>Contractor Programme</t>
        </is>
      </c>
      <c r="B911" s="12" t="inlineStr">
        <is>
          <t>SCH-04-130</t>
        </is>
      </c>
      <c r="C911" s="12" t="inlineStr">
        <is>
          <t>Operations building: wheel-lathe installation - turnover</t>
        </is>
      </c>
      <c r="D911" s="12" t="inlineStr">
        <is>
          <t>WBS Code = 1.4.1</t>
        </is>
      </c>
      <c r="E911" s="12" t="inlineStr">
        <is>
          <t>R670-v1</t>
        </is>
      </c>
      <c r="F911" s="12" t="inlineStr">
        <is>
          <t>1.4.1 Vehicles and Depot - Fleet Supply</t>
        </is>
      </c>
      <c r="G911" s="12" t="inlineStr">
        <is>
          <t>ONE_TO_ONE</t>
        </is>
      </c>
      <c r="H911" s="12" t="inlineStr">
        <is>
          <t>APPROVED</t>
        </is>
      </c>
      <c r="I911" s="12" t="inlineStr">
        <is>
          <t>New</t>
        </is>
      </c>
      <c r="J911" s="12" t="inlineStr">
        <is>
          <t>Source assignment -- not individually reviewed</t>
        </is>
      </c>
      <c r="K911" s="12" t="inlineStr"/>
      <c r="L911" s="12" t="inlineStr"/>
      <c r="M911" s="12" t="inlineStr"/>
      <c r="N911" s="17" t="inlineStr">
        <is>
          <t>10 EVIDENCE &amp; DECISIONS</t>
        </is>
      </c>
    </row>
    <row r="912" ht="34" customHeight="1">
      <c r="A912" s="12" t="inlineStr">
        <is>
          <t>Contractor Programme</t>
        </is>
      </c>
      <c r="B912" s="12" t="inlineStr">
        <is>
          <t>SCH-04-131</t>
        </is>
      </c>
      <c r="C912" s="12" t="inlineStr">
        <is>
          <t>Test track: fleet software load - release</t>
        </is>
      </c>
      <c r="D912" s="12" t="inlineStr">
        <is>
          <t>WBS Code = 1.4.1</t>
        </is>
      </c>
      <c r="E912" s="12" t="inlineStr">
        <is>
          <t>R671-v1</t>
        </is>
      </c>
      <c r="F912" s="12" t="inlineStr">
        <is>
          <t>1.4.1 Vehicles and Depot - Fleet Supply</t>
        </is>
      </c>
      <c r="G912" s="12" t="inlineStr">
        <is>
          <t>ONE_TO_ONE</t>
        </is>
      </c>
      <c r="H912" s="12" t="inlineStr">
        <is>
          <t>APPROVED</t>
        </is>
      </c>
      <c r="I912" s="12" t="inlineStr">
        <is>
          <t>New</t>
        </is>
      </c>
      <c r="J912" s="12" t="inlineStr">
        <is>
          <t>Source assignment -- not individually reviewed</t>
        </is>
      </c>
      <c r="K912" s="12" t="inlineStr"/>
      <c r="L912" s="12" t="inlineStr"/>
      <c r="M912" s="12" t="inlineStr"/>
      <c r="N912" s="17" t="inlineStr">
        <is>
          <t>10 EVIDENCE &amp; DECISIONS</t>
        </is>
      </c>
    </row>
    <row r="913" ht="34" customHeight="1">
      <c r="A913" s="12" t="inlineStr">
        <is>
          <t>Contractor Programme</t>
        </is>
      </c>
      <c r="B913" s="12" t="inlineStr">
        <is>
          <t>SCH-04-133</t>
        </is>
      </c>
      <c r="C913" s="12" t="inlineStr">
        <is>
          <t>Maintenance shop: wash-plant commissioning - installation</t>
        </is>
      </c>
      <c r="D913" s="12" t="inlineStr">
        <is>
          <t>WBS Code = 1.4.1</t>
        </is>
      </c>
      <c r="E913" s="12" t="inlineStr">
        <is>
          <t>R673-v1</t>
        </is>
      </c>
      <c r="F913" s="12" t="inlineStr">
        <is>
          <t>1.4.1 Vehicles and Depot - Fleet Supply</t>
        </is>
      </c>
      <c r="G913" s="12" t="inlineStr">
        <is>
          <t>ONE_TO_ONE</t>
        </is>
      </c>
      <c r="H913" s="12" t="inlineStr">
        <is>
          <t>APPROVED</t>
        </is>
      </c>
      <c r="I913" s="12" t="inlineStr">
        <is>
          <t>New</t>
        </is>
      </c>
      <c r="J913" s="12" t="inlineStr">
        <is>
          <t>Source assignment -- not individually reviewed</t>
        </is>
      </c>
      <c r="K913" s="12" t="inlineStr"/>
      <c r="L913" s="12" t="inlineStr"/>
      <c r="M913" s="12" t="inlineStr"/>
      <c r="N913" s="17" t="inlineStr">
        <is>
          <t>10 EVIDENCE &amp; DECISIONS</t>
        </is>
      </c>
    </row>
    <row r="914" ht="34" customHeight="1">
      <c r="A914" s="12" t="inlineStr">
        <is>
          <t>Contractor Programme</t>
        </is>
      </c>
      <c r="B914" s="12" t="inlineStr">
        <is>
          <t>SCH-04-134</t>
        </is>
      </c>
      <c r="C914" s="12" t="inlineStr">
        <is>
          <t>Storage yard: maintenance-bay services - inspection</t>
        </is>
      </c>
      <c r="D914" s="12" t="inlineStr">
        <is>
          <t>WBS Code = 1.4.1</t>
        </is>
      </c>
      <c r="E914" s="12" t="inlineStr">
        <is>
          <t>R674-v1</t>
        </is>
      </c>
      <c r="F914" s="12" t="inlineStr">
        <is>
          <t>1.4.1 Vehicles and Depot - Fleet Supply</t>
        </is>
      </c>
      <c r="G914" s="12" t="inlineStr">
        <is>
          <t>ONE_TO_ONE</t>
        </is>
      </c>
      <c r="H914" s="12" t="inlineStr">
        <is>
          <t>APPROVED</t>
        </is>
      </c>
      <c r="I914" s="12" t="inlineStr">
        <is>
          <t>New</t>
        </is>
      </c>
      <c r="J914" s="12" t="inlineStr">
        <is>
          <t>Source assignment -- not individually reviewed</t>
        </is>
      </c>
      <c r="K914" s="12" t="inlineStr"/>
      <c r="L914" s="12" t="inlineStr"/>
      <c r="M914" s="12" t="inlineStr"/>
      <c r="N914" s="17" t="inlineStr">
        <is>
          <t>10 EVIDENCE &amp; DECISIONS</t>
        </is>
      </c>
    </row>
    <row r="915" ht="34" customHeight="1">
      <c r="A915" s="12" t="inlineStr">
        <is>
          <t>Contractor Programme</t>
        </is>
      </c>
      <c r="B915" s="12" t="inlineStr">
        <is>
          <t>SCH-04-136</t>
        </is>
      </c>
      <c r="C915" s="12" t="inlineStr">
        <is>
          <t>Test track: workshop crane installation - release</t>
        </is>
      </c>
      <c r="D915" s="12" t="inlineStr">
        <is>
          <t>WBS Code = 1.4.1</t>
        </is>
      </c>
      <c r="E915" s="12" t="inlineStr">
        <is>
          <t>R676-v1</t>
        </is>
      </c>
      <c r="F915" s="12" t="inlineStr">
        <is>
          <t>1.4.1 Vehicles and Depot - Fleet Supply</t>
        </is>
      </c>
      <c r="G915" s="12" t="inlineStr">
        <is>
          <t>ONE_TO_ONE</t>
        </is>
      </c>
      <c r="H915" s="12" t="inlineStr">
        <is>
          <t>APPROVED</t>
        </is>
      </c>
      <c r="I915" s="12" t="inlineStr">
        <is>
          <t>New</t>
        </is>
      </c>
      <c r="J915" s="12" t="inlineStr">
        <is>
          <t>Source assignment -- not individually reviewed</t>
        </is>
      </c>
      <c r="K915" s="12" t="inlineStr"/>
      <c r="L915" s="12" t="inlineStr"/>
      <c r="M915" s="12" t="inlineStr"/>
      <c r="N915" s="17" t="inlineStr">
        <is>
          <t>10 EVIDENCE &amp; DECISIONS</t>
        </is>
      </c>
    </row>
    <row r="916" ht="34" customHeight="1">
      <c r="A916" s="12" t="inlineStr">
        <is>
          <t>Contractor Programme</t>
        </is>
      </c>
      <c r="B916" s="12" t="inlineStr">
        <is>
          <t>SCH-04-137</t>
        </is>
      </c>
      <c r="C916" s="12" t="inlineStr">
        <is>
          <t>Receiving track: vehicle-to-depot interface check - field start</t>
        </is>
      </c>
      <c r="D916" s="12" t="inlineStr">
        <is>
          <t>WBS Code = 1.4.1</t>
        </is>
      </c>
      <c r="E916" s="12" t="inlineStr">
        <is>
          <t>R677-v1</t>
        </is>
      </c>
      <c r="F916" s="12" t="inlineStr">
        <is>
          <t>1.4.1 Vehicles and Depot - Fleet Supply</t>
        </is>
      </c>
      <c r="G916" s="12" t="inlineStr">
        <is>
          <t>ONE_TO_ONE</t>
        </is>
      </c>
      <c r="H916" s="12" t="inlineStr">
        <is>
          <t>APPROVED</t>
        </is>
      </c>
      <c r="I916" s="12" t="inlineStr">
        <is>
          <t>New</t>
        </is>
      </c>
      <c r="J916" s="12" t="inlineStr">
        <is>
          <t>Source assignment -- not individually reviewed</t>
        </is>
      </c>
      <c r="K916" s="12" t="inlineStr"/>
      <c r="L916" s="12" t="inlineStr"/>
      <c r="M916" s="12" t="inlineStr"/>
      <c r="N916" s="17" t="inlineStr">
        <is>
          <t>10 EVIDENCE &amp; DECISIONS</t>
        </is>
      </c>
    </row>
    <row r="917" ht="34" customHeight="1">
      <c r="A917" s="12" t="inlineStr">
        <is>
          <t>Contractor Programme</t>
        </is>
      </c>
      <c r="B917" s="12" t="inlineStr">
        <is>
          <t>SCH-04-139</t>
        </is>
      </c>
      <c r="C917" s="12" t="inlineStr">
        <is>
          <t>Storage yard: fleet software load - inspection</t>
        </is>
      </c>
      <c r="D917" s="12" t="inlineStr">
        <is>
          <t>WBS Code = 1.4.1</t>
        </is>
      </c>
      <c r="E917" s="12" t="inlineStr">
        <is>
          <t>R679-v1</t>
        </is>
      </c>
      <c r="F917" s="12" t="inlineStr">
        <is>
          <t>1.4.1 Vehicles and Depot - Fleet Supply</t>
        </is>
      </c>
      <c r="G917" s="12" t="inlineStr">
        <is>
          <t>ONE_TO_ONE</t>
        </is>
      </c>
      <c r="H917" s="12" t="inlineStr">
        <is>
          <t>APPROVED</t>
        </is>
      </c>
      <c r="I917" s="12" t="inlineStr">
        <is>
          <t>New</t>
        </is>
      </c>
      <c r="J917" s="12" t="inlineStr">
        <is>
          <t>Source assignment -- not individually reviewed</t>
        </is>
      </c>
      <c r="K917" s="12" t="inlineStr"/>
      <c r="L917" s="12" t="inlineStr"/>
      <c r="M917" s="12" t="inlineStr"/>
      <c r="N917" s="17" t="inlineStr">
        <is>
          <t>10 EVIDENCE &amp; DECISIONS</t>
        </is>
      </c>
    </row>
    <row r="918" ht="34" customHeight="1">
      <c r="A918" s="12" t="inlineStr">
        <is>
          <t>Contractor Programme</t>
        </is>
      </c>
      <c r="B918" s="12" t="inlineStr">
        <is>
          <t>SCH-04-140</t>
        </is>
      </c>
      <c r="C918" s="12" t="inlineStr">
        <is>
          <t>Operations building: vehicle delivery inspection - turnover</t>
        </is>
      </c>
      <c r="D918" s="12" t="inlineStr">
        <is>
          <t>WBS Code = 1.4.1</t>
        </is>
      </c>
      <c r="E918" s="12" t="inlineStr">
        <is>
          <t>R680-v1</t>
        </is>
      </c>
      <c r="F918" s="12" t="inlineStr">
        <is>
          <t>1.4.1 Vehicles and Depot - Fleet Supply</t>
        </is>
      </c>
      <c r="G918" s="12" t="inlineStr">
        <is>
          <t>ONE_TO_ONE</t>
        </is>
      </c>
      <c r="H918" s="12" t="inlineStr">
        <is>
          <t>APPROVED</t>
        </is>
      </c>
      <c r="I918" s="12" t="inlineStr">
        <is>
          <t>New</t>
        </is>
      </c>
      <c r="J918" s="12" t="inlineStr">
        <is>
          <t>Source assignment -- not individually reviewed</t>
        </is>
      </c>
      <c r="K918" s="12" t="inlineStr"/>
      <c r="L918" s="12" t="inlineStr"/>
      <c r="M918" s="12" t="inlineStr"/>
      <c r="N918" s="17" t="inlineStr">
        <is>
          <t>10 EVIDENCE &amp; DECISIONS</t>
        </is>
      </c>
    </row>
    <row r="919" ht="34" customHeight="1">
      <c r="A919" s="12" t="inlineStr">
        <is>
          <t>Contractor Programme</t>
        </is>
      </c>
      <c r="B919" s="12" t="inlineStr">
        <is>
          <t>SCH-04-142</t>
        </is>
      </c>
      <c r="C919" s="12" t="inlineStr">
        <is>
          <t>Receiving track: maintenance-bay services - field start</t>
        </is>
      </c>
      <c r="D919" s="12" t="inlineStr">
        <is>
          <t>WBS Code = 1.4.1</t>
        </is>
      </c>
      <c r="E919" s="12" t="inlineStr">
        <is>
          <t>R682-v1</t>
        </is>
      </c>
      <c r="F919" s="12" t="inlineStr">
        <is>
          <t>1.4.1 Vehicles and Depot - Fleet Supply</t>
        </is>
      </c>
      <c r="G919" s="12" t="inlineStr">
        <is>
          <t>ONE_TO_ONE</t>
        </is>
      </c>
      <c r="H919" s="12" t="inlineStr">
        <is>
          <t>APPROVED</t>
        </is>
      </c>
      <c r="I919" s="12" t="inlineStr">
        <is>
          <t>New</t>
        </is>
      </c>
      <c r="J919" s="12" t="inlineStr">
        <is>
          <t>Source assignment -- not individually reviewed</t>
        </is>
      </c>
      <c r="K919" s="12" t="inlineStr"/>
      <c r="L919" s="12" t="inlineStr"/>
      <c r="M919" s="12" t="inlineStr"/>
      <c r="N919" s="17" t="inlineStr">
        <is>
          <t>10 EVIDENCE &amp; DECISIONS</t>
        </is>
      </c>
    </row>
    <row r="920" ht="34" customHeight="1">
      <c r="A920" s="12" t="inlineStr">
        <is>
          <t>Contractor Programme</t>
        </is>
      </c>
      <c r="B920" s="12" t="inlineStr">
        <is>
          <t>SCH-04-143</t>
        </is>
      </c>
      <c r="C920" s="12" t="inlineStr">
        <is>
          <t>Maintenance shop: depot structural fit-out - installation</t>
        </is>
      </c>
      <c r="D920" s="12" t="inlineStr">
        <is>
          <t>WBS Code = 1.4.1</t>
        </is>
      </c>
      <c r="E920" s="12" t="inlineStr">
        <is>
          <t>R683-v1</t>
        </is>
      </c>
      <c r="F920" s="12" t="inlineStr">
        <is>
          <t>1.4.1 Vehicles and Depot - Fleet Supply</t>
        </is>
      </c>
      <c r="G920" s="12" t="inlineStr">
        <is>
          <t>ONE_TO_ONE</t>
        </is>
      </c>
      <c r="H920" s="12" t="inlineStr">
        <is>
          <t>APPROVED</t>
        </is>
      </c>
      <c r="I920" s="12" t="inlineStr">
        <is>
          <t>New</t>
        </is>
      </c>
      <c r="J920" s="12" t="inlineStr">
        <is>
          <t>Source assignment -- not individually reviewed</t>
        </is>
      </c>
      <c r="K920" s="12" t="inlineStr"/>
      <c r="L920" s="12" t="inlineStr"/>
      <c r="M920" s="12" t="inlineStr"/>
      <c r="N920" s="17" t="inlineStr">
        <is>
          <t>10 EVIDENCE &amp; DECISIONS</t>
        </is>
      </c>
    </row>
    <row r="921" ht="34" customHeight="1">
      <c r="A921" s="12" t="inlineStr">
        <is>
          <t>Contractor Programme</t>
        </is>
      </c>
      <c r="B921" s="12" t="inlineStr">
        <is>
          <t>SCH-04-145</t>
        </is>
      </c>
      <c r="C921" s="12" t="inlineStr">
        <is>
          <t>Operations building: vehicle-to-depot interface check - turnover</t>
        </is>
      </c>
      <c r="D921" s="12" t="inlineStr">
        <is>
          <t>WBS Code = 1.4.1</t>
        </is>
      </c>
      <c r="E921" s="12" t="inlineStr">
        <is>
          <t>R685-v1</t>
        </is>
      </c>
      <c r="F921" s="12" t="inlineStr">
        <is>
          <t>1.4.1 Vehicles and Depot - Fleet Supply</t>
        </is>
      </c>
      <c r="G921" s="12" t="inlineStr">
        <is>
          <t>ONE_TO_ONE</t>
        </is>
      </c>
      <c r="H921" s="12" t="inlineStr">
        <is>
          <t>APPROVED</t>
        </is>
      </c>
      <c r="I921" s="12" t="inlineStr">
        <is>
          <t>New</t>
        </is>
      </c>
      <c r="J921" s="12" t="inlineStr">
        <is>
          <t>Source assignment -- not individually reviewed</t>
        </is>
      </c>
      <c r="K921" s="12" t="inlineStr"/>
      <c r="L921" s="12" t="inlineStr"/>
      <c r="M921" s="12" t="inlineStr"/>
      <c r="N921" s="17" t="inlineStr">
        <is>
          <t>10 EVIDENCE &amp; DECISIONS</t>
        </is>
      </c>
    </row>
    <row r="922" ht="34" customHeight="1">
      <c r="A922" s="12" t="inlineStr">
        <is>
          <t>Contractor Programme</t>
        </is>
      </c>
      <c r="B922" s="12" t="inlineStr">
        <is>
          <t>SCH-04-146</t>
        </is>
      </c>
      <c r="C922" s="12" t="inlineStr">
        <is>
          <t>Test track: wheel-lathe installation - release</t>
        </is>
      </c>
      <c r="D922" s="12" t="inlineStr">
        <is>
          <t>WBS Code = 1.4.1</t>
        </is>
      </c>
      <c r="E922" s="12" t="inlineStr">
        <is>
          <t>R686-v1</t>
        </is>
      </c>
      <c r="F922" s="12" t="inlineStr">
        <is>
          <t>1.4.1 Vehicles and Depot - Fleet Supply</t>
        </is>
      </c>
      <c r="G922" s="12" t="inlineStr">
        <is>
          <t>ONE_TO_ONE</t>
        </is>
      </c>
      <c r="H922" s="12" t="inlineStr">
        <is>
          <t>APPROVED</t>
        </is>
      </c>
      <c r="I922" s="12" t="inlineStr">
        <is>
          <t>New</t>
        </is>
      </c>
      <c r="J922" s="12" t="inlineStr">
        <is>
          <t>Source assignment -- not individually reviewed</t>
        </is>
      </c>
      <c r="K922" s="12" t="inlineStr"/>
      <c r="L922" s="12" t="inlineStr"/>
      <c r="M922" s="12" t="inlineStr"/>
      <c r="N922" s="17" t="inlineStr">
        <is>
          <t>10 EVIDENCE &amp; DECISIONS</t>
        </is>
      </c>
    </row>
    <row r="923" ht="34" customHeight="1">
      <c r="A923" s="12" t="inlineStr">
        <is>
          <t>Contractor Programme</t>
        </is>
      </c>
      <c r="B923" s="12" t="inlineStr">
        <is>
          <t>SCH-04-148</t>
        </is>
      </c>
      <c r="C923" s="12" t="inlineStr">
        <is>
          <t>Maintenance shop: vehicle delivery inspection - installation</t>
        </is>
      </c>
      <c r="D923" s="12" t="inlineStr">
        <is>
          <t>WBS Code = 1.4.1</t>
        </is>
      </c>
      <c r="E923" s="12" t="inlineStr">
        <is>
          <t>R688-v1</t>
        </is>
      </c>
      <c r="F923" s="12" t="inlineStr">
        <is>
          <t>1.4.1 Vehicles and Depot - Fleet Supply</t>
        </is>
      </c>
      <c r="G923" s="12" t="inlineStr">
        <is>
          <t>ONE_TO_ONE</t>
        </is>
      </c>
      <c r="H923" s="12" t="inlineStr">
        <is>
          <t>APPROVED</t>
        </is>
      </c>
      <c r="I923" s="12" t="inlineStr">
        <is>
          <t>New</t>
        </is>
      </c>
      <c r="J923" s="12" t="inlineStr">
        <is>
          <t>Source assignment -- not individually reviewed</t>
        </is>
      </c>
      <c r="K923" s="12" t="inlineStr"/>
      <c r="L923" s="12" t="inlineStr"/>
      <c r="M923" s="12" t="inlineStr"/>
      <c r="N923" s="17" t="inlineStr">
        <is>
          <t>10 EVIDENCE &amp; DECISIONS</t>
        </is>
      </c>
    </row>
    <row r="924" ht="34" customHeight="1">
      <c r="A924" s="12" t="inlineStr">
        <is>
          <t>Contractor Programme</t>
        </is>
      </c>
      <c r="B924" s="12" t="inlineStr">
        <is>
          <t>SCH-04-149</t>
        </is>
      </c>
      <c r="C924" s="12" t="inlineStr">
        <is>
          <t>Storage yard: wash-plant commissioning - inspection</t>
        </is>
      </c>
      <c r="D924" s="12" t="inlineStr">
        <is>
          <t>WBS Code = 1.4.1</t>
        </is>
      </c>
      <c r="E924" s="12" t="inlineStr">
        <is>
          <t>R689-v1</t>
        </is>
      </c>
      <c r="F924" s="12" t="inlineStr">
        <is>
          <t>1.4.1 Vehicles and Depot - Fleet Supply</t>
        </is>
      </c>
      <c r="G924" s="12" t="inlineStr">
        <is>
          <t>ONE_TO_ONE</t>
        </is>
      </c>
      <c r="H924" s="12" t="inlineStr">
        <is>
          <t>APPROVED</t>
        </is>
      </c>
      <c r="I924" s="12" t="inlineStr">
        <is>
          <t>New</t>
        </is>
      </c>
      <c r="J924" s="12" t="inlineStr">
        <is>
          <t>Source assignment -- not individually reviewed</t>
        </is>
      </c>
      <c r="K924" s="12" t="inlineStr"/>
      <c r="L924" s="12" t="inlineStr"/>
      <c r="M924" s="12" t="inlineStr"/>
      <c r="N924" s="17" t="inlineStr">
        <is>
          <t>10 EVIDENCE &amp; DECISIONS</t>
        </is>
      </c>
    </row>
    <row r="925" ht="34" customHeight="1">
      <c r="A925" s="12" t="inlineStr">
        <is>
          <t>Contractor Programme</t>
        </is>
      </c>
      <c r="B925" s="12" t="inlineStr">
        <is>
          <t>SCH-04-151</t>
        </is>
      </c>
      <c r="C925" s="12" t="inlineStr">
        <is>
          <t>Test track: depot structural fit-out - release</t>
        </is>
      </c>
      <c r="D925" s="12" t="inlineStr">
        <is>
          <t>WBS Code = 1.4.1</t>
        </is>
      </c>
      <c r="E925" s="12" t="inlineStr">
        <is>
          <t>R691-v1</t>
        </is>
      </c>
      <c r="F925" s="12" t="inlineStr">
        <is>
          <t>1.4.1 Vehicles and Depot - Fleet Supply</t>
        </is>
      </c>
      <c r="G925" s="12" t="inlineStr">
        <is>
          <t>ONE_TO_ONE</t>
        </is>
      </c>
      <c r="H925" s="12" t="inlineStr">
        <is>
          <t>APPROVED</t>
        </is>
      </c>
      <c r="I925" s="12" t="inlineStr">
        <is>
          <t>New</t>
        </is>
      </c>
      <c r="J925" s="12" t="inlineStr">
        <is>
          <t>Source assignment -- not individually reviewed</t>
        </is>
      </c>
      <c r="K925" s="12" t="inlineStr"/>
      <c r="L925" s="12" t="inlineStr"/>
      <c r="M925" s="12" t="inlineStr"/>
      <c r="N925" s="17" t="inlineStr">
        <is>
          <t>10 EVIDENCE &amp; DECISIONS</t>
        </is>
      </c>
    </row>
    <row r="926" ht="34" customHeight="1">
      <c r="A926" s="12" t="inlineStr">
        <is>
          <t>Contractor Programme</t>
        </is>
      </c>
      <c r="B926" s="12" t="inlineStr">
        <is>
          <t>SCH-04-152</t>
        </is>
      </c>
      <c r="C926" s="12" t="inlineStr">
        <is>
          <t>Receiving track: workshop crane installation - field start</t>
        </is>
      </c>
      <c r="D926" s="12" t="inlineStr">
        <is>
          <t>WBS Code = 1.4.1</t>
        </is>
      </c>
      <c r="E926" s="12" t="inlineStr">
        <is>
          <t>R692-v1</t>
        </is>
      </c>
      <c r="F926" s="12" t="inlineStr">
        <is>
          <t>1.4.1 Vehicles and Depot - Fleet Supply</t>
        </is>
      </c>
      <c r="G926" s="12" t="inlineStr">
        <is>
          <t>ONE_TO_ONE</t>
        </is>
      </c>
      <c r="H926" s="12" t="inlineStr">
        <is>
          <t>APPROVED</t>
        </is>
      </c>
      <c r="I926" s="12" t="inlineStr">
        <is>
          <t>New</t>
        </is>
      </c>
      <c r="J926" s="12" t="inlineStr">
        <is>
          <t>Source assignment -- not individually reviewed</t>
        </is>
      </c>
      <c r="K926" s="12" t="inlineStr"/>
      <c r="L926" s="12" t="inlineStr"/>
      <c r="M926" s="12" t="inlineStr"/>
      <c r="N926" s="17" t="inlineStr">
        <is>
          <t>10 EVIDENCE &amp; DECISIONS</t>
        </is>
      </c>
    </row>
    <row r="927" ht="34" customHeight="1">
      <c r="A927" s="12" t="inlineStr">
        <is>
          <t>Contractor Programme</t>
        </is>
      </c>
      <c r="B927" s="12" t="inlineStr">
        <is>
          <t>SCH-04-154</t>
        </is>
      </c>
      <c r="C927" s="12" t="inlineStr">
        <is>
          <t>Storage yard: wheel-lathe installation - inspection</t>
        </is>
      </c>
      <c r="D927" s="12" t="inlineStr">
        <is>
          <t>WBS Code = 1.4.1</t>
        </is>
      </c>
      <c r="E927" s="12" t="inlineStr">
        <is>
          <t>R694-v1</t>
        </is>
      </c>
      <c r="F927" s="12" t="inlineStr">
        <is>
          <t>1.4.1 Vehicles and Depot - Fleet Supply</t>
        </is>
      </c>
      <c r="G927" s="12" t="inlineStr">
        <is>
          <t>ONE_TO_ONE</t>
        </is>
      </c>
      <c r="H927" s="12" t="inlineStr">
        <is>
          <t>APPROVED</t>
        </is>
      </c>
      <c r="I927" s="12" t="inlineStr">
        <is>
          <t>New</t>
        </is>
      </c>
      <c r="J927" s="12" t="inlineStr">
        <is>
          <t>Source assignment -- not individually reviewed</t>
        </is>
      </c>
      <c r="K927" s="12" t="inlineStr"/>
      <c r="L927" s="12" t="inlineStr"/>
      <c r="M927" s="12" t="inlineStr"/>
      <c r="N927" s="17" t="inlineStr">
        <is>
          <t>10 EVIDENCE &amp; DECISIONS</t>
        </is>
      </c>
    </row>
    <row r="928" ht="34" customHeight="1">
      <c r="A928" s="12" t="inlineStr">
        <is>
          <t>Contractor Programme</t>
        </is>
      </c>
      <c r="B928" s="12" t="inlineStr">
        <is>
          <t>SCH-04-155</t>
        </is>
      </c>
      <c r="C928" s="12" t="inlineStr">
        <is>
          <t>Operations building: fleet software load - turnover</t>
        </is>
      </c>
      <c r="D928" s="12" t="inlineStr">
        <is>
          <t>WBS Code = 1.4.1</t>
        </is>
      </c>
      <c r="E928" s="12" t="inlineStr">
        <is>
          <t>R695-v1</t>
        </is>
      </c>
      <c r="F928" s="12" t="inlineStr">
        <is>
          <t>1.4.1 Vehicles and Depot - Fleet Supply</t>
        </is>
      </c>
      <c r="G928" s="12" t="inlineStr">
        <is>
          <t>ONE_TO_ONE</t>
        </is>
      </c>
      <c r="H928" s="12" t="inlineStr">
        <is>
          <t>APPROVED</t>
        </is>
      </c>
      <c r="I928" s="12" t="inlineStr">
        <is>
          <t>New</t>
        </is>
      </c>
      <c r="J928" s="12" t="inlineStr">
        <is>
          <t>Source assignment -- not individually reviewed</t>
        </is>
      </c>
      <c r="K928" s="12" t="inlineStr"/>
      <c r="L928" s="12" t="inlineStr"/>
      <c r="M928" s="12" t="inlineStr"/>
      <c r="N928" s="17" t="inlineStr">
        <is>
          <t>10 EVIDENCE &amp; DECISIONS</t>
        </is>
      </c>
    </row>
    <row r="929" ht="34" customHeight="1">
      <c r="A929" s="12" t="inlineStr">
        <is>
          <t>Contractor Programme</t>
        </is>
      </c>
      <c r="B929" s="12" t="inlineStr">
        <is>
          <t>SCH-04-157</t>
        </is>
      </c>
      <c r="C929" s="12" t="inlineStr">
        <is>
          <t>Receiving track: wash-plant commissioning - field start</t>
        </is>
      </c>
      <c r="D929" s="12" t="inlineStr">
        <is>
          <t>WBS Code = 1.4.1</t>
        </is>
      </c>
      <c r="E929" s="12" t="inlineStr">
        <is>
          <t>R697-v1</t>
        </is>
      </c>
      <c r="F929" s="12" t="inlineStr">
        <is>
          <t>1.4.1 Vehicles and Depot - Fleet Supply</t>
        </is>
      </c>
      <c r="G929" s="12" t="inlineStr">
        <is>
          <t>ONE_TO_ONE</t>
        </is>
      </c>
      <c r="H929" s="12" t="inlineStr">
        <is>
          <t>APPROVED</t>
        </is>
      </c>
      <c r="I929" s="12" t="inlineStr">
        <is>
          <t>New</t>
        </is>
      </c>
      <c r="J929" s="12" t="inlineStr">
        <is>
          <t>Source assignment -- not individually reviewed</t>
        </is>
      </c>
      <c r="K929" s="12" t="inlineStr"/>
      <c r="L929" s="12" t="inlineStr"/>
      <c r="M929" s="12" t="inlineStr"/>
      <c r="N929" s="17" t="inlineStr">
        <is>
          <t>10 EVIDENCE &amp; DECISIONS</t>
        </is>
      </c>
    </row>
    <row r="930" ht="34" customHeight="1">
      <c r="A930" s="12" t="inlineStr">
        <is>
          <t>Contractor Programme</t>
        </is>
      </c>
      <c r="B930" s="12" t="inlineStr">
        <is>
          <t>SCH-04-158</t>
        </is>
      </c>
      <c r="C930" s="12" t="inlineStr">
        <is>
          <t>Maintenance shop: maintenance-bay services - installation</t>
        </is>
      </c>
      <c r="D930" s="12" t="inlineStr">
        <is>
          <t>WBS Code = 1.4.1</t>
        </is>
      </c>
      <c r="E930" s="12" t="inlineStr">
        <is>
          <t>R698-v1</t>
        </is>
      </c>
      <c r="F930" s="12" t="inlineStr">
        <is>
          <t>1.4.1 Vehicles and Depot - Fleet Supply</t>
        </is>
      </c>
      <c r="G930" s="12" t="inlineStr">
        <is>
          <t>ONE_TO_ONE</t>
        </is>
      </c>
      <c r="H930" s="12" t="inlineStr">
        <is>
          <t>APPROVED</t>
        </is>
      </c>
      <c r="I930" s="12" t="inlineStr">
        <is>
          <t>New</t>
        </is>
      </c>
      <c r="J930" s="12" t="inlineStr">
        <is>
          <t>Source assignment -- not individually reviewed</t>
        </is>
      </c>
      <c r="K930" s="12" t="inlineStr"/>
      <c r="L930" s="12" t="inlineStr"/>
      <c r="M930" s="12" t="inlineStr"/>
      <c r="N930" s="17" t="inlineStr">
        <is>
          <t>10 EVIDENCE &amp; DECISIONS</t>
        </is>
      </c>
    </row>
    <row r="931" ht="34" customHeight="1">
      <c r="A931" s="12" t="inlineStr">
        <is>
          <t>Contractor Programme</t>
        </is>
      </c>
      <c r="B931" s="12" t="inlineStr">
        <is>
          <t>SCH-04-160</t>
        </is>
      </c>
      <c r="C931" s="12" t="inlineStr">
        <is>
          <t>Operations building: workshop crane installation - turnover</t>
        </is>
      </c>
      <c r="D931" s="12" t="inlineStr">
        <is>
          <t>WBS Code = 1.4.1</t>
        </is>
      </c>
      <c r="E931" s="12" t="inlineStr">
        <is>
          <t>R700-v1</t>
        </is>
      </c>
      <c r="F931" s="12" t="inlineStr">
        <is>
          <t>1.4.1 Vehicles and Depot - Fleet Supply</t>
        </is>
      </c>
      <c r="G931" s="12" t="inlineStr">
        <is>
          <t>ONE_TO_ONE</t>
        </is>
      </c>
      <c r="H931" s="12" t="inlineStr">
        <is>
          <t>APPROVED</t>
        </is>
      </c>
      <c r="I931" s="12" t="inlineStr">
        <is>
          <t>New</t>
        </is>
      </c>
      <c r="J931" s="12" t="inlineStr">
        <is>
          <t>Source assignment -- not individually reviewed</t>
        </is>
      </c>
      <c r="K931" s="12" t="inlineStr"/>
      <c r="L931" s="12" t="inlineStr"/>
      <c r="M931" s="12" t="inlineStr"/>
      <c r="N931" s="17" t="inlineStr">
        <is>
          <t>10 EVIDENCE &amp; DECISIONS</t>
        </is>
      </c>
    </row>
    <row r="932" ht="34" customHeight="1">
      <c r="A932" s="12" t="inlineStr">
        <is>
          <t>Contractor Programme</t>
        </is>
      </c>
      <c r="B932" s="12" t="inlineStr">
        <is>
          <t>SCH-04-161</t>
        </is>
      </c>
      <c r="C932" s="12" t="inlineStr">
        <is>
          <t>Test track: vehicle-to-depot interface check - release</t>
        </is>
      </c>
      <c r="D932" s="12" t="inlineStr">
        <is>
          <t>WBS Code = 1.4.1</t>
        </is>
      </c>
      <c r="E932" s="12" t="inlineStr">
        <is>
          <t>R701-v1</t>
        </is>
      </c>
      <c r="F932" s="12" t="inlineStr">
        <is>
          <t>1.4.1 Vehicles and Depot - Fleet Supply</t>
        </is>
      </c>
      <c r="G932" s="12" t="inlineStr">
        <is>
          <t>ONE_TO_ONE</t>
        </is>
      </c>
      <c r="H932" s="12" t="inlineStr">
        <is>
          <t>APPROVED</t>
        </is>
      </c>
      <c r="I932" s="12" t="inlineStr">
        <is>
          <t>New</t>
        </is>
      </c>
      <c r="J932" s="12" t="inlineStr">
        <is>
          <t>Source assignment -- not individually reviewed</t>
        </is>
      </c>
      <c r="K932" s="12" t="inlineStr"/>
      <c r="L932" s="12" t="inlineStr"/>
      <c r="M932" s="12" t="inlineStr"/>
      <c r="N932" s="17" t="inlineStr">
        <is>
          <t>10 EVIDENCE &amp; DECISIONS</t>
        </is>
      </c>
    </row>
    <row r="933" ht="34" customHeight="1">
      <c r="A933" s="12" t="inlineStr">
        <is>
          <t>Contractor Programme</t>
        </is>
      </c>
      <c r="B933" s="12" t="inlineStr">
        <is>
          <t>SCH-04-163</t>
        </is>
      </c>
      <c r="C933" s="12" t="inlineStr">
        <is>
          <t>Maintenance shop: fleet software load - installation</t>
        </is>
      </c>
      <c r="D933" s="12" t="inlineStr">
        <is>
          <t>WBS Code = 1.4.1</t>
        </is>
      </c>
      <c r="E933" s="12" t="inlineStr">
        <is>
          <t>R703-v1</t>
        </is>
      </c>
      <c r="F933" s="12" t="inlineStr">
        <is>
          <t>1.4.1 Vehicles and Depot - Fleet Supply</t>
        </is>
      </c>
      <c r="G933" s="12" t="inlineStr">
        <is>
          <t>ONE_TO_ONE</t>
        </is>
      </c>
      <c r="H933" s="12" t="inlineStr">
        <is>
          <t>APPROVED</t>
        </is>
      </c>
      <c r="I933" s="12" t="inlineStr">
        <is>
          <t>New</t>
        </is>
      </c>
      <c r="J933" s="12" t="inlineStr">
        <is>
          <t>Source assignment -- not individually reviewed</t>
        </is>
      </c>
      <c r="K933" s="12" t="inlineStr"/>
      <c r="L933" s="12" t="inlineStr"/>
      <c r="M933" s="12" t="inlineStr"/>
      <c r="N933" s="17" t="inlineStr">
        <is>
          <t>10 EVIDENCE &amp; DECISIONS</t>
        </is>
      </c>
    </row>
    <row r="934" ht="34" customHeight="1">
      <c r="A934" s="12" t="inlineStr">
        <is>
          <t>Contractor Programme</t>
        </is>
      </c>
      <c r="B934" s="12" t="inlineStr">
        <is>
          <t>SCH-04-164</t>
        </is>
      </c>
      <c r="C934" s="12" t="inlineStr">
        <is>
          <t>Storage yard: vehicle delivery inspection - inspection</t>
        </is>
      </c>
      <c r="D934" s="12" t="inlineStr">
        <is>
          <t>WBS Code = 1.4.1</t>
        </is>
      </c>
      <c r="E934" s="12" t="inlineStr">
        <is>
          <t>R704-v1</t>
        </is>
      </c>
      <c r="F934" s="12" t="inlineStr">
        <is>
          <t>1.4.1 Vehicles and Depot - Fleet Supply</t>
        </is>
      </c>
      <c r="G934" s="12" t="inlineStr">
        <is>
          <t>ONE_TO_ONE</t>
        </is>
      </c>
      <c r="H934" s="12" t="inlineStr">
        <is>
          <t>APPROVED</t>
        </is>
      </c>
      <c r="I934" s="12" t="inlineStr">
        <is>
          <t>New</t>
        </is>
      </c>
      <c r="J934" s="12" t="inlineStr">
        <is>
          <t>Source assignment -- not individually reviewed</t>
        </is>
      </c>
      <c r="K934" s="12" t="inlineStr"/>
      <c r="L934" s="12" t="inlineStr"/>
      <c r="M934" s="12" t="inlineStr"/>
      <c r="N934" s="17" t="inlineStr">
        <is>
          <t>10 EVIDENCE &amp; DECISIONS</t>
        </is>
      </c>
    </row>
    <row r="935" ht="34" customHeight="1">
      <c r="A935" s="12" t="inlineStr">
        <is>
          <t>Contractor Programme</t>
        </is>
      </c>
      <c r="B935" s="12" t="inlineStr">
        <is>
          <t>SCH-04-166</t>
        </is>
      </c>
      <c r="C935" s="12" t="inlineStr">
        <is>
          <t>Test track: maintenance-bay services - release</t>
        </is>
      </c>
      <c r="D935" s="12" t="inlineStr">
        <is>
          <t>WBS Code = 1.4.1</t>
        </is>
      </c>
      <c r="E935" s="12" t="inlineStr">
        <is>
          <t>R706-v1</t>
        </is>
      </c>
      <c r="F935" s="12" t="inlineStr">
        <is>
          <t>1.4.1 Vehicles and Depot - Fleet Supply</t>
        </is>
      </c>
      <c r="G935" s="12" t="inlineStr">
        <is>
          <t>ONE_TO_ONE</t>
        </is>
      </c>
      <c r="H935" s="12" t="inlineStr">
        <is>
          <t>APPROVED</t>
        </is>
      </c>
      <c r="I935" s="12" t="inlineStr">
        <is>
          <t>New</t>
        </is>
      </c>
      <c r="J935" s="12" t="inlineStr">
        <is>
          <t>Source assignment -- not individually reviewed</t>
        </is>
      </c>
      <c r="K935" s="12" t="inlineStr"/>
      <c r="L935" s="12" t="inlineStr"/>
      <c r="M935" s="12" t="inlineStr"/>
      <c r="N935" s="17" t="inlineStr">
        <is>
          <t>10 EVIDENCE &amp; DECISIONS</t>
        </is>
      </c>
    </row>
    <row r="936" ht="34" customHeight="1">
      <c r="A936" s="12" t="inlineStr">
        <is>
          <t>Contractor Programme</t>
        </is>
      </c>
      <c r="B936" s="12" t="inlineStr">
        <is>
          <t>SCH-04-167</t>
        </is>
      </c>
      <c r="C936" s="12" t="inlineStr">
        <is>
          <t>Receiving track: depot structural fit-out - field start</t>
        </is>
      </c>
      <c r="D936" s="12" t="inlineStr">
        <is>
          <t>WBS Code = 1.4.1</t>
        </is>
      </c>
      <c r="E936" s="12" t="inlineStr">
        <is>
          <t>R707-v1</t>
        </is>
      </c>
      <c r="F936" s="12" t="inlineStr">
        <is>
          <t>1.4.1 Vehicles and Depot - Fleet Supply</t>
        </is>
      </c>
      <c r="G936" s="12" t="inlineStr">
        <is>
          <t>ONE_TO_ONE</t>
        </is>
      </c>
      <c r="H936" s="12" t="inlineStr">
        <is>
          <t>APPROVED</t>
        </is>
      </c>
      <c r="I936" s="12" t="inlineStr">
        <is>
          <t>New</t>
        </is>
      </c>
      <c r="J936" s="12" t="inlineStr">
        <is>
          <t>Source assignment -- not individually reviewed</t>
        </is>
      </c>
      <c r="K936" s="12" t="inlineStr"/>
      <c r="L936" s="12" t="inlineStr"/>
      <c r="M936" s="12" t="inlineStr"/>
      <c r="N936" s="17" t="inlineStr">
        <is>
          <t>10 EVIDENCE &amp; DECISIONS</t>
        </is>
      </c>
    </row>
    <row r="937" ht="34" customHeight="1">
      <c r="A937" s="12" t="inlineStr">
        <is>
          <t>Contractor Programme</t>
        </is>
      </c>
      <c r="B937" s="12" t="inlineStr">
        <is>
          <t>SCH-04-169</t>
        </is>
      </c>
      <c r="C937" s="12" t="inlineStr">
        <is>
          <t>Storage yard: vehicle-to-depot interface check - inspection</t>
        </is>
      </c>
      <c r="D937" s="12" t="inlineStr">
        <is>
          <t>WBS Code = 1.4.1</t>
        </is>
      </c>
      <c r="E937" s="12" t="inlineStr">
        <is>
          <t>R709-v1</t>
        </is>
      </c>
      <c r="F937" s="12" t="inlineStr">
        <is>
          <t>1.4.1 Vehicles and Depot - Fleet Supply</t>
        </is>
      </c>
      <c r="G937" s="12" t="inlineStr">
        <is>
          <t>ONE_TO_ONE</t>
        </is>
      </c>
      <c r="H937" s="12" t="inlineStr">
        <is>
          <t>APPROVED</t>
        </is>
      </c>
      <c r="I937" s="12" t="inlineStr">
        <is>
          <t>New</t>
        </is>
      </c>
      <c r="J937" s="12" t="inlineStr">
        <is>
          <t>Source assignment -- not individually reviewed</t>
        </is>
      </c>
      <c r="K937" s="12" t="inlineStr"/>
      <c r="L937" s="12" t="inlineStr"/>
      <c r="M937" s="12" t="inlineStr"/>
      <c r="N937" s="17" t="inlineStr">
        <is>
          <t>10 EVIDENCE &amp; DECISIONS</t>
        </is>
      </c>
    </row>
    <row r="938" ht="34" customHeight="1">
      <c r="A938" s="12" t="inlineStr">
        <is>
          <t>Contractor Programme</t>
        </is>
      </c>
      <c r="B938" s="12" t="inlineStr">
        <is>
          <t>SCH-04-170</t>
        </is>
      </c>
      <c r="C938" s="12" t="inlineStr">
        <is>
          <t>Operations building: wheel-lathe installation - turnover</t>
        </is>
      </c>
      <c r="D938" s="12" t="inlineStr">
        <is>
          <t>WBS Code = 1.4.1</t>
        </is>
      </c>
      <c r="E938" s="12" t="inlineStr">
        <is>
          <t>R710-v1</t>
        </is>
      </c>
      <c r="F938" s="12" t="inlineStr">
        <is>
          <t>1.4.1 Vehicles and Depot - Fleet Supply</t>
        </is>
      </c>
      <c r="G938" s="12" t="inlineStr">
        <is>
          <t>ONE_TO_ONE</t>
        </is>
      </c>
      <c r="H938" s="12" t="inlineStr">
        <is>
          <t>APPROVED</t>
        </is>
      </c>
      <c r="I938" s="12" t="inlineStr">
        <is>
          <t>New</t>
        </is>
      </c>
      <c r="J938" s="12" t="inlineStr">
        <is>
          <t>Source assignment -- not individually reviewed</t>
        </is>
      </c>
      <c r="K938" s="12" t="inlineStr"/>
      <c r="L938" s="12" t="inlineStr"/>
      <c r="M938" s="12" t="inlineStr"/>
      <c r="N938" s="17" t="inlineStr">
        <is>
          <t>10 EVIDENCE &amp; DECISIONS</t>
        </is>
      </c>
    </row>
    <row r="939" ht="34" customHeight="1">
      <c r="A939" s="12" t="inlineStr">
        <is>
          <t>Contractor Programme</t>
        </is>
      </c>
      <c r="B939" s="12" t="inlineStr">
        <is>
          <t>SCH-04-172</t>
        </is>
      </c>
      <c r="C939" s="12" t="inlineStr">
        <is>
          <t>Receiving track: vehicle delivery inspection - field start</t>
        </is>
      </c>
      <c r="D939" s="12" t="inlineStr">
        <is>
          <t>WBS Code = 1.4.1</t>
        </is>
      </c>
      <c r="E939" s="12" t="inlineStr">
        <is>
          <t>R712-v1</t>
        </is>
      </c>
      <c r="F939" s="12" t="inlineStr">
        <is>
          <t>1.4.1 Vehicles and Depot - Fleet Supply</t>
        </is>
      </c>
      <c r="G939" s="12" t="inlineStr">
        <is>
          <t>ONE_TO_ONE</t>
        </is>
      </c>
      <c r="H939" s="12" t="inlineStr">
        <is>
          <t>APPROVED</t>
        </is>
      </c>
      <c r="I939" s="12" t="inlineStr">
        <is>
          <t>New</t>
        </is>
      </c>
      <c r="J939" s="12" t="inlineStr">
        <is>
          <t>Source assignment -- not individually reviewed</t>
        </is>
      </c>
      <c r="K939" s="12" t="inlineStr"/>
      <c r="L939" s="12" t="inlineStr"/>
      <c r="M939" s="12" t="inlineStr"/>
      <c r="N939" s="17" t="inlineStr">
        <is>
          <t>10 EVIDENCE &amp; DECISIONS</t>
        </is>
      </c>
    </row>
    <row r="940" ht="34" customHeight="1">
      <c r="A940" s="12" t="inlineStr">
        <is>
          <t>Contractor Programme</t>
        </is>
      </c>
      <c r="B940" s="12" t="inlineStr">
        <is>
          <t>SCH-04-173</t>
        </is>
      </c>
      <c r="C940" s="12" t="inlineStr">
        <is>
          <t>Maintenance shop: wash-plant commissioning - installation</t>
        </is>
      </c>
      <c r="D940" s="12" t="inlineStr">
        <is>
          <t>WBS Code = 1.4.1</t>
        </is>
      </c>
      <c r="E940" s="12" t="inlineStr">
        <is>
          <t>R713-v1</t>
        </is>
      </c>
      <c r="F940" s="12" t="inlineStr">
        <is>
          <t>1.4.1 Vehicles and Depot - Fleet Supply</t>
        </is>
      </c>
      <c r="G940" s="12" t="inlineStr">
        <is>
          <t>ONE_TO_ONE</t>
        </is>
      </c>
      <c r="H940" s="12" t="inlineStr">
        <is>
          <t>APPROVED</t>
        </is>
      </c>
      <c r="I940" s="12" t="inlineStr">
        <is>
          <t>New</t>
        </is>
      </c>
      <c r="J940" s="12" t="inlineStr">
        <is>
          <t>Source assignment -- not individually reviewed</t>
        </is>
      </c>
      <c r="K940" s="12" t="inlineStr"/>
      <c r="L940" s="12" t="inlineStr"/>
      <c r="M940" s="12" t="inlineStr"/>
      <c r="N940" s="17" t="inlineStr">
        <is>
          <t>10 EVIDENCE &amp; DECISIONS</t>
        </is>
      </c>
    </row>
    <row r="941" ht="34" customHeight="1">
      <c r="A941" s="12" t="inlineStr">
        <is>
          <t>Contractor Programme</t>
        </is>
      </c>
      <c r="B941" s="12" t="inlineStr">
        <is>
          <t>SCH-04-175</t>
        </is>
      </c>
      <c r="C941" s="12" t="inlineStr">
        <is>
          <t>Operations building: depot structural fit-out - turnover</t>
        </is>
      </c>
      <c r="D941" s="12" t="inlineStr">
        <is>
          <t>WBS Code = 1.4.1</t>
        </is>
      </c>
      <c r="E941" s="12" t="inlineStr">
        <is>
          <t>R715-v1</t>
        </is>
      </c>
      <c r="F941" s="12" t="inlineStr">
        <is>
          <t>1.4.1 Vehicles and Depot - Fleet Supply</t>
        </is>
      </c>
      <c r="G941" s="12" t="inlineStr">
        <is>
          <t>ONE_TO_ONE</t>
        </is>
      </c>
      <c r="H941" s="12" t="inlineStr">
        <is>
          <t>APPROVED</t>
        </is>
      </c>
      <c r="I941" s="12" t="inlineStr">
        <is>
          <t>New</t>
        </is>
      </c>
      <c r="J941" s="12" t="inlineStr">
        <is>
          <t>Source assignment -- not individually reviewed</t>
        </is>
      </c>
      <c r="K941" s="12" t="inlineStr"/>
      <c r="L941" s="12" t="inlineStr"/>
      <c r="M941" s="12" t="inlineStr"/>
      <c r="N941" s="17" t="inlineStr">
        <is>
          <t>10 EVIDENCE &amp; DECISIONS</t>
        </is>
      </c>
    </row>
    <row r="942" ht="34" customHeight="1">
      <c r="A942" s="12" t="inlineStr">
        <is>
          <t>Contractor Programme</t>
        </is>
      </c>
      <c r="B942" s="12" t="inlineStr">
        <is>
          <t>SCH-04-176</t>
        </is>
      </c>
      <c r="C942" s="12" t="inlineStr">
        <is>
          <t>Test track: workshop crane installation - release</t>
        </is>
      </c>
      <c r="D942" s="12" t="inlineStr">
        <is>
          <t>WBS Code = 1.4.1</t>
        </is>
      </c>
      <c r="E942" s="12" t="inlineStr">
        <is>
          <t>R716-v1</t>
        </is>
      </c>
      <c r="F942" s="12" t="inlineStr">
        <is>
          <t>1.4.1 Vehicles and Depot - Fleet Supply</t>
        </is>
      </c>
      <c r="G942" s="12" t="inlineStr">
        <is>
          <t>ONE_TO_ONE</t>
        </is>
      </c>
      <c r="H942" s="12" t="inlineStr">
        <is>
          <t>APPROVED</t>
        </is>
      </c>
      <c r="I942" s="12" t="inlineStr">
        <is>
          <t>New</t>
        </is>
      </c>
      <c r="J942" s="12" t="inlineStr">
        <is>
          <t>Source assignment -- not individually reviewed</t>
        </is>
      </c>
      <c r="K942" s="12" t="inlineStr"/>
      <c r="L942" s="12" t="inlineStr"/>
      <c r="M942" s="12" t="inlineStr"/>
      <c r="N942" s="17" t="inlineStr">
        <is>
          <t>10 EVIDENCE &amp; DECISIONS</t>
        </is>
      </c>
    </row>
    <row r="943" ht="34" customHeight="1">
      <c r="A943" s="12" t="inlineStr">
        <is>
          <t>Contractor Programme</t>
        </is>
      </c>
      <c r="B943" s="12" t="inlineStr">
        <is>
          <t>SCH-04-178</t>
        </is>
      </c>
      <c r="C943" s="12" t="inlineStr">
        <is>
          <t>Maintenance shop: wheel-lathe installation - installation</t>
        </is>
      </c>
      <c r="D943" s="12" t="inlineStr">
        <is>
          <t>WBS Code = 1.4.1</t>
        </is>
      </c>
      <c r="E943" s="12" t="inlineStr">
        <is>
          <t>R718-v1</t>
        </is>
      </c>
      <c r="F943" s="12" t="inlineStr">
        <is>
          <t>1.4.1 Vehicles and Depot - Fleet Supply</t>
        </is>
      </c>
      <c r="G943" s="12" t="inlineStr">
        <is>
          <t>ONE_TO_ONE</t>
        </is>
      </c>
      <c r="H943" s="12" t="inlineStr">
        <is>
          <t>APPROVED</t>
        </is>
      </c>
      <c r="I943" s="12" t="inlineStr">
        <is>
          <t>New</t>
        </is>
      </c>
      <c r="J943" s="12" t="inlineStr">
        <is>
          <t>Source assignment -- not individually reviewed</t>
        </is>
      </c>
      <c r="K943" s="12" t="inlineStr"/>
      <c r="L943" s="12" t="inlineStr"/>
      <c r="M943" s="12" t="inlineStr"/>
      <c r="N943" s="17" t="inlineStr">
        <is>
          <t>10 EVIDENCE &amp; DECISIONS</t>
        </is>
      </c>
    </row>
    <row r="944" ht="34" customHeight="1">
      <c r="A944" s="12" t="inlineStr">
        <is>
          <t>Contractor Programme</t>
        </is>
      </c>
      <c r="B944" s="12" t="inlineStr">
        <is>
          <t>SCH-04-179</t>
        </is>
      </c>
      <c r="C944" s="12" t="inlineStr">
        <is>
          <t>Storage yard: fleet software load - inspection</t>
        </is>
      </c>
      <c r="D944" s="12" t="inlineStr">
        <is>
          <t>WBS Code = 1.4.1</t>
        </is>
      </c>
      <c r="E944" s="12" t="inlineStr">
        <is>
          <t>R719-v1</t>
        </is>
      </c>
      <c r="F944" s="12" t="inlineStr">
        <is>
          <t>1.4.1 Vehicles and Depot - Fleet Supply</t>
        </is>
      </c>
      <c r="G944" s="12" t="inlineStr">
        <is>
          <t>ONE_TO_ONE</t>
        </is>
      </c>
      <c r="H944" s="12" t="inlineStr">
        <is>
          <t>APPROVED</t>
        </is>
      </c>
      <c r="I944" s="12" t="inlineStr">
        <is>
          <t>New</t>
        </is>
      </c>
      <c r="J944" s="12" t="inlineStr">
        <is>
          <t>Source assignment -- not individually reviewed</t>
        </is>
      </c>
      <c r="K944" s="12" t="inlineStr"/>
      <c r="L944" s="12" t="inlineStr"/>
      <c r="M944" s="12" t="inlineStr"/>
      <c r="N944" s="17" t="inlineStr">
        <is>
          <t>10 EVIDENCE &amp; DECISIONS</t>
        </is>
      </c>
    </row>
    <row r="945" ht="34" customHeight="1">
      <c r="A945" s="12" t="inlineStr">
        <is>
          <t>Cost &amp; Forecast Control Accounts</t>
        </is>
      </c>
      <c r="B945" s="12" t="inlineStr">
        <is>
          <t>CST-04-001</t>
        </is>
      </c>
      <c r="C945" s="12" t="inlineStr">
        <is>
          <t>Vehicles and Depot - fleet supply - field package</t>
        </is>
      </c>
      <c r="D945" s="12" t="inlineStr">
        <is>
          <t>Cost Account = CA-4001; WBS Code = 1.4.1</t>
        </is>
      </c>
      <c r="E945" s="12" t="inlineStr">
        <is>
          <t>R1323-v1</t>
        </is>
      </c>
      <c r="F945" s="12" t="inlineStr">
        <is>
          <t>1.4.1 Vehicles and Depot - Fleet Supply</t>
        </is>
      </c>
      <c r="G945" s="12" t="inlineStr">
        <is>
          <t>ONE_TO_ONE</t>
        </is>
      </c>
      <c r="H945" s="12" t="inlineStr">
        <is>
          <t>APPROVED</t>
        </is>
      </c>
      <c r="I945" s="12" t="inlineStr">
        <is>
          <t>New</t>
        </is>
      </c>
      <c r="J945" s="12" t="inlineStr">
        <is>
          <t>Source assignment -- not individually reviewed</t>
        </is>
      </c>
      <c r="K945" s="12" t="inlineStr"/>
      <c r="L945" s="12" t="inlineStr"/>
      <c r="M945" s="12" t="inlineStr"/>
      <c r="N945" s="17" t="inlineStr">
        <is>
          <t>10 EVIDENCE &amp; DECISIONS</t>
        </is>
      </c>
      <c r="O945" s="105" t="n">
        <v>587500</v>
      </c>
      <c r="P945" s="105" t="n">
        <v>587500</v>
      </c>
      <c r="Q945" s="105" t="inlineStr">
        <is>
          <t>CAD</t>
        </is>
      </c>
      <c r="R945" s="105" t="n"/>
      <c r="S945" s="105" t="inlineStr">
        <is>
          <t>2027-06-30</t>
        </is>
      </c>
      <c r="T945" s="105" t="inlineStr">
        <is>
          <t>C1-R0</t>
        </is>
      </c>
      <c r="U945" s="105" t="inlineStr">
        <is>
          <t>Supplied practice file monthly_cost_forecast.xlsx, row 242</t>
        </is>
      </c>
      <c r="V945" s="105" t="inlineStr">
        <is>
          <t>Whole source account, not a target allocation. Repeated target rows must not be summed. Aggregate cost / forecast remains withheld.</t>
        </is>
      </c>
    </row>
    <row r="946" ht="34" customHeight="1">
      <c r="A946" s="12" t="inlineStr">
        <is>
          <t>Cost &amp; Forecast Control Accounts</t>
        </is>
      </c>
      <c r="B946" s="12" t="inlineStr">
        <is>
          <t>CST-04-003</t>
        </is>
      </c>
      <c r="C946" s="12" t="inlineStr">
        <is>
          <t>Vehicles and Depot - spares - professional services</t>
        </is>
      </c>
      <c r="D946" s="12" t="inlineStr">
        <is>
          <t>Cost Account = CA-4003; WBS Code = 1.4.1</t>
        </is>
      </c>
      <c r="E946" s="12" t="inlineStr">
        <is>
          <t>R1325-v1</t>
        </is>
      </c>
      <c r="F946" s="12" t="inlineStr">
        <is>
          <t>1.4.1 Vehicles and Depot - Fleet Supply</t>
        </is>
      </c>
      <c r="G946" s="12" t="inlineStr">
        <is>
          <t>ONE_TO_ONE</t>
        </is>
      </c>
      <c r="H946" s="12" t="inlineStr">
        <is>
          <t>APPROVED</t>
        </is>
      </c>
      <c r="I946" s="12" t="inlineStr">
        <is>
          <t>New</t>
        </is>
      </c>
      <c r="J946" s="12" t="inlineStr">
        <is>
          <t>Source assignment -- not individually reviewed</t>
        </is>
      </c>
      <c r="K946" s="12" t="inlineStr"/>
      <c r="L946" s="12" t="inlineStr"/>
      <c r="M946" s="12" t="inlineStr"/>
      <c r="N946" s="17" t="inlineStr">
        <is>
          <t>10 EVIDENCE &amp; DECISIONS</t>
        </is>
      </c>
      <c r="O946" s="105" t="n">
        <v>622500</v>
      </c>
      <c r="P946" s="105" t="n">
        <v>647500</v>
      </c>
      <c r="Q946" s="105" t="inlineStr">
        <is>
          <t>CAD</t>
        </is>
      </c>
      <c r="R946" s="105" t="n"/>
      <c r="S946" s="105" t="inlineStr">
        <is>
          <t>2027-06-30</t>
        </is>
      </c>
      <c r="T946" s="105" t="inlineStr">
        <is>
          <t>C1-R0</t>
        </is>
      </c>
      <c r="U946" s="105" t="inlineStr">
        <is>
          <t>Supplied practice file monthly_cost_forecast.xlsx, row 244</t>
        </is>
      </c>
      <c r="V946" s="105" t="inlineStr">
        <is>
          <t>Whole source account, not a target allocation. Repeated target rows must not be summed. Aggregate cost / forecast remains withheld.</t>
        </is>
      </c>
    </row>
    <row r="947" ht="34" customHeight="1">
      <c r="A947" s="12" t="inlineStr">
        <is>
          <t>Cost &amp; Forecast Control Accounts</t>
        </is>
      </c>
      <c r="B947" s="12" t="inlineStr">
        <is>
          <t>CST-04-005</t>
        </is>
      </c>
      <c r="C947" s="12" t="inlineStr">
        <is>
          <t>Vehicles and Depot - workshop equipment - closeout</t>
        </is>
      </c>
      <c r="D947" s="12" t="inlineStr">
        <is>
          <t>Cost Account = CA-4005; WBS Code = 1.4.1</t>
        </is>
      </c>
      <c r="E947" s="12" t="inlineStr">
        <is>
          <t>R1327-v1</t>
        </is>
      </c>
      <c r="F947" s="12" t="inlineStr">
        <is>
          <t>1.4.1 Vehicles and Depot - Fleet Supply</t>
        </is>
      </c>
      <c r="G947" s="12" t="inlineStr">
        <is>
          <t>ONE_TO_ONE</t>
        </is>
      </c>
      <c r="H947" s="12" t="inlineStr">
        <is>
          <t>APPROVED</t>
        </is>
      </c>
      <c r="I947" s="12" t="inlineStr">
        <is>
          <t>New</t>
        </is>
      </c>
      <c r="J947" s="12" t="inlineStr">
        <is>
          <t>Source assignment -- not individually reviewed</t>
        </is>
      </c>
      <c r="K947" s="12" t="inlineStr"/>
      <c r="L947" s="12" t="inlineStr"/>
      <c r="M947" s="12" t="inlineStr"/>
      <c r="N947" s="17" t="inlineStr">
        <is>
          <t>10 EVIDENCE &amp; DECISIONS</t>
        </is>
      </c>
      <c r="O947" s="105" t="n">
        <v>657500</v>
      </c>
      <c r="P947" s="105" t="n">
        <v>657500</v>
      </c>
      <c r="Q947" s="105" t="inlineStr">
        <is>
          <t>CAD</t>
        </is>
      </c>
      <c r="R947" s="105" t="n"/>
      <c r="S947" s="105" t="inlineStr">
        <is>
          <t>2027-06-30</t>
        </is>
      </c>
      <c r="T947" s="105" t="inlineStr">
        <is>
          <t>C1-R0</t>
        </is>
      </c>
      <c r="U947" s="105" t="inlineStr">
        <is>
          <t>Supplied practice file monthly_cost_forecast.xlsx, row 246</t>
        </is>
      </c>
      <c r="V947" s="105" t="inlineStr">
        <is>
          <t>Whole source account, not a target allocation. Repeated target rows must not be summed. Aggregate cost / forecast remains withheld.</t>
        </is>
      </c>
    </row>
    <row r="948" ht="34" customHeight="1">
      <c r="A948" s="12" t="inlineStr">
        <is>
          <t>Cost &amp; Forecast Control Accounts</t>
        </is>
      </c>
      <c r="B948" s="12" t="inlineStr">
        <is>
          <t>CST-04-007</t>
        </is>
      </c>
      <c r="C948" s="12" t="inlineStr">
        <is>
          <t>Vehicles and Depot - fleet supply - supply and install</t>
        </is>
      </c>
      <c r="D948" s="12" t="inlineStr">
        <is>
          <t>Cost Account = CA-4007; WBS Code = 1.4.1</t>
        </is>
      </c>
      <c r="E948" s="12" t="inlineStr">
        <is>
          <t>R1329-v1</t>
        </is>
      </c>
      <c r="F948" s="12" t="inlineStr">
        <is>
          <t>1.4.1 Vehicles and Depot - Fleet Supply</t>
        </is>
      </c>
      <c r="G948" s="12" t="inlineStr">
        <is>
          <t>ONE_TO_ONE</t>
        </is>
      </c>
      <c r="H948" s="12" t="inlineStr">
        <is>
          <t>APPROVED</t>
        </is>
      </c>
      <c r="I948" s="12" t="inlineStr">
        <is>
          <t>New</t>
        </is>
      </c>
      <c r="J948" s="12" t="inlineStr">
        <is>
          <t>Source assignment -- not individually reviewed</t>
        </is>
      </c>
      <c r="K948" s="12" t="inlineStr"/>
      <c r="L948" s="12" t="inlineStr"/>
      <c r="M948" s="12" t="inlineStr"/>
      <c r="N948" s="17" t="inlineStr">
        <is>
          <t>10 EVIDENCE &amp; DECISIONS</t>
        </is>
      </c>
      <c r="O948" s="105" t="n">
        <v>692500</v>
      </c>
      <c r="P948" s="105" t="n">
        <v>717500</v>
      </c>
      <c r="Q948" s="105" t="inlineStr">
        <is>
          <t>CAD</t>
        </is>
      </c>
      <c r="R948" s="105" t="n"/>
      <c r="S948" s="105" t="inlineStr">
        <is>
          <t>2027-06-30</t>
        </is>
      </c>
      <c r="T948" s="105" t="inlineStr">
        <is>
          <t>C1-R0</t>
        </is>
      </c>
      <c r="U948" s="105" t="inlineStr">
        <is>
          <t>Supplied practice file monthly_cost_forecast.xlsx, row 248</t>
        </is>
      </c>
      <c r="V948" s="105" t="inlineStr">
        <is>
          <t>Whole source account, not a target allocation. Repeated target rows must not be summed. Aggregate cost / forecast remains withheld.</t>
        </is>
      </c>
    </row>
    <row r="949" ht="34" customHeight="1">
      <c r="A949" s="12" t="inlineStr">
        <is>
          <t>Cost &amp; Forecast Control Accounts</t>
        </is>
      </c>
      <c r="B949" s="12" t="inlineStr">
        <is>
          <t>CST-04-009</t>
        </is>
      </c>
      <c r="C949" s="12" t="inlineStr">
        <is>
          <t>Vehicles and Depot - spares - allowance</t>
        </is>
      </c>
      <c r="D949" s="12" t="inlineStr">
        <is>
          <t>Cost Account = CA-4009; WBS Code = 1.4.1</t>
        </is>
      </c>
      <c r="E949" s="12" t="inlineStr">
        <is>
          <t>R1331-v1</t>
        </is>
      </c>
      <c r="F949" s="12" t="inlineStr">
        <is>
          <t>1.4.1 Vehicles and Depot - Fleet Supply</t>
        </is>
      </c>
      <c r="G949" s="12" t="inlineStr">
        <is>
          <t>ONE_TO_ONE</t>
        </is>
      </c>
      <c r="H949" s="12" t="inlineStr">
        <is>
          <t>APPROVED</t>
        </is>
      </c>
      <c r="I949" s="12" t="inlineStr">
        <is>
          <t>New</t>
        </is>
      </c>
      <c r="J949" s="12" t="inlineStr">
        <is>
          <t>Source assignment -- not individually reviewed</t>
        </is>
      </c>
      <c r="K949" s="12" t="inlineStr"/>
      <c r="L949" s="12" t="inlineStr"/>
      <c r="M949" s="12" t="inlineStr"/>
      <c r="N949" s="17" t="inlineStr">
        <is>
          <t>10 EVIDENCE &amp; DECISIONS</t>
        </is>
      </c>
      <c r="O949" s="105" t="n">
        <v>727500</v>
      </c>
      <c r="P949" s="105" t="n">
        <v>727500</v>
      </c>
      <c r="Q949" s="105" t="inlineStr">
        <is>
          <t>CAD</t>
        </is>
      </c>
      <c r="R949" s="105" t="n"/>
      <c r="S949" s="105" t="inlineStr">
        <is>
          <t>2027-06-30</t>
        </is>
      </c>
      <c r="T949" s="105" t="inlineStr">
        <is>
          <t>C1-R0</t>
        </is>
      </c>
      <c r="U949" s="105" t="inlineStr">
        <is>
          <t>Supplied practice file monthly_cost_forecast.xlsx, row 250</t>
        </is>
      </c>
      <c r="V949" s="105" t="inlineStr">
        <is>
          <t>Whole source account, not a target allocation. Repeated target rows must not be summed. Aggregate cost / forecast remains withheld.</t>
        </is>
      </c>
    </row>
    <row r="950" ht="34" customHeight="1">
      <c r="A950" s="12" t="inlineStr">
        <is>
          <t>Cost &amp; Forecast Control Accounts</t>
        </is>
      </c>
      <c r="B950" s="12" t="inlineStr">
        <is>
          <t>CST-04-011</t>
        </is>
      </c>
      <c r="C950" s="12" t="inlineStr">
        <is>
          <t>Vehicles and Depot - workshop equipment - field package</t>
        </is>
      </c>
      <c r="D950" s="12" t="inlineStr">
        <is>
          <t>Cost Account = CA-4011; WBS Code = 1.4.1</t>
        </is>
      </c>
      <c r="E950" s="12" t="inlineStr">
        <is>
          <t>R1333-v1</t>
        </is>
      </c>
      <c r="F950" s="12" t="inlineStr">
        <is>
          <t>1.4.1 Vehicles and Depot - Fleet Supply</t>
        </is>
      </c>
      <c r="G950" s="12" t="inlineStr">
        <is>
          <t>ONE_TO_ONE</t>
        </is>
      </c>
      <c r="H950" s="12" t="inlineStr">
        <is>
          <t>APPROVED</t>
        </is>
      </c>
      <c r="I950" s="12" t="inlineStr">
        <is>
          <t>New</t>
        </is>
      </c>
      <c r="J950" s="12" t="inlineStr">
        <is>
          <t>Source assignment -- not individually reviewed</t>
        </is>
      </c>
      <c r="K950" s="12" t="inlineStr"/>
      <c r="L950" s="12" t="inlineStr"/>
      <c r="M950" s="12" t="inlineStr"/>
      <c r="N950" s="17" t="inlineStr">
        <is>
          <t>10 EVIDENCE &amp; DECISIONS</t>
        </is>
      </c>
      <c r="O950" s="105" t="n">
        <v>762500</v>
      </c>
      <c r="P950" s="105" t="n">
        <v>787500</v>
      </c>
      <c r="Q950" s="105" t="inlineStr">
        <is>
          <t>CAD</t>
        </is>
      </c>
      <c r="R950" s="105" t="n"/>
      <c r="S950" s="105" t="inlineStr">
        <is>
          <t>2027-06-30</t>
        </is>
      </c>
      <c r="T950" s="105" t="inlineStr">
        <is>
          <t>C1-R0</t>
        </is>
      </c>
      <c r="U950" s="105" t="inlineStr">
        <is>
          <t>Supplied practice file monthly_cost_forecast.xlsx, row 252</t>
        </is>
      </c>
      <c r="V950" s="105" t="inlineStr">
        <is>
          <t>Whole source account, not a target allocation. Repeated target rows must not be summed. Aggregate cost / forecast remains withheld.</t>
        </is>
      </c>
    </row>
    <row r="951" ht="34" customHeight="1">
      <c r="A951" s="12" t="inlineStr">
        <is>
          <t>Cost &amp; Forecast Control Accounts</t>
        </is>
      </c>
      <c r="B951" s="12" t="inlineStr">
        <is>
          <t>CST-04-013</t>
        </is>
      </c>
      <c r="C951" s="12" t="inlineStr">
        <is>
          <t>Vehicles and Depot - fleet supply - professional services</t>
        </is>
      </c>
      <c r="D951" s="12" t="inlineStr">
        <is>
          <t>Cost Account = CA-4013; WBS Code = 1.4.1</t>
        </is>
      </c>
      <c r="E951" s="12" t="inlineStr">
        <is>
          <t>R1335-v1</t>
        </is>
      </c>
      <c r="F951" s="12" t="inlineStr">
        <is>
          <t>1.4.1 Vehicles and Depot - Fleet Supply</t>
        </is>
      </c>
      <c r="G951" s="12" t="inlineStr">
        <is>
          <t>ONE_TO_ONE</t>
        </is>
      </c>
      <c r="H951" s="12" t="inlineStr">
        <is>
          <t>APPROVED</t>
        </is>
      </c>
      <c r="I951" s="12" t="inlineStr">
        <is>
          <t>New</t>
        </is>
      </c>
      <c r="J951" s="12" t="inlineStr">
        <is>
          <t>Source assignment -- not individually reviewed</t>
        </is>
      </c>
      <c r="K951" s="12" t="inlineStr"/>
      <c r="L951" s="12" t="inlineStr"/>
      <c r="M951" s="12" t="inlineStr"/>
      <c r="N951" s="17" t="inlineStr">
        <is>
          <t>10 EVIDENCE &amp; DECISIONS</t>
        </is>
      </c>
      <c r="O951" s="105" t="n">
        <v>797500</v>
      </c>
      <c r="P951" s="105" t="n">
        <v>797500</v>
      </c>
      <c r="Q951" s="105" t="inlineStr">
        <is>
          <t>CAD</t>
        </is>
      </c>
      <c r="R951" s="105" t="n"/>
      <c r="S951" s="105" t="inlineStr">
        <is>
          <t>2027-06-30</t>
        </is>
      </c>
      <c r="T951" s="105" t="inlineStr">
        <is>
          <t>C1-R0</t>
        </is>
      </c>
      <c r="U951" s="105" t="inlineStr">
        <is>
          <t>Supplied practice file monthly_cost_forecast.xlsx, row 254</t>
        </is>
      </c>
      <c r="V951" s="105" t="inlineStr">
        <is>
          <t>Whole source account, not a target allocation. Repeated target rows must not be summed. Aggregate cost / forecast remains withheld.</t>
        </is>
      </c>
    </row>
    <row r="952" ht="34" customHeight="1">
      <c r="A952" s="12" t="inlineStr">
        <is>
          <t>Cost &amp; Forecast Control Accounts</t>
        </is>
      </c>
      <c r="B952" s="12" t="inlineStr">
        <is>
          <t>CST-04-015</t>
        </is>
      </c>
      <c r="C952" s="12" t="inlineStr">
        <is>
          <t>Vehicles and Depot - spares - closeout</t>
        </is>
      </c>
      <c r="D952" s="12" t="inlineStr">
        <is>
          <t>Cost Account = CA-4015; WBS Code = 1.4.1</t>
        </is>
      </c>
      <c r="E952" s="12" t="inlineStr">
        <is>
          <t>R1337-v1</t>
        </is>
      </c>
      <c r="F952" s="12" t="inlineStr">
        <is>
          <t>1.4.1 Vehicles and Depot - Fleet Supply</t>
        </is>
      </c>
      <c r="G952" s="12" t="inlineStr">
        <is>
          <t>ONE_TO_ONE</t>
        </is>
      </c>
      <c r="H952" s="12" t="inlineStr">
        <is>
          <t>APPROVED</t>
        </is>
      </c>
      <c r="I952" s="12" t="inlineStr">
        <is>
          <t>New</t>
        </is>
      </c>
      <c r="J952" s="12" t="inlineStr">
        <is>
          <t>Source assignment -- not individually reviewed</t>
        </is>
      </c>
      <c r="K952" s="12" t="inlineStr"/>
      <c r="L952" s="12" t="inlineStr"/>
      <c r="M952" s="12" t="inlineStr"/>
      <c r="N952" s="17" t="inlineStr">
        <is>
          <t>10 EVIDENCE &amp; DECISIONS</t>
        </is>
      </c>
      <c r="O952" s="105" t="n">
        <v>832500</v>
      </c>
      <c r="P952" s="105" t="n">
        <v>857500</v>
      </c>
      <c r="Q952" s="105" t="inlineStr">
        <is>
          <t>CAD</t>
        </is>
      </c>
      <c r="R952" s="105" t="n"/>
      <c r="S952" s="105" t="inlineStr">
        <is>
          <t>2027-06-30</t>
        </is>
      </c>
      <c r="T952" s="105" t="inlineStr">
        <is>
          <t>C1-R0</t>
        </is>
      </c>
      <c r="U952" s="105" t="inlineStr">
        <is>
          <t>Supplied practice file monthly_cost_forecast.xlsx, row 256</t>
        </is>
      </c>
      <c r="V952" s="105" t="inlineStr">
        <is>
          <t>Whole source account, not a target allocation. Repeated target rows must not be summed. Aggregate cost / forecast remains withheld.</t>
        </is>
      </c>
    </row>
    <row r="953" ht="34" customHeight="1">
      <c r="A953" s="12" t="inlineStr">
        <is>
          <t>Cost &amp; Forecast Control Accounts</t>
        </is>
      </c>
      <c r="B953" s="12" t="inlineStr">
        <is>
          <t>CST-04-017</t>
        </is>
      </c>
      <c r="C953" s="12" t="inlineStr">
        <is>
          <t>Vehicles and Depot - workshop equipment - supply and install</t>
        </is>
      </c>
      <c r="D953" s="12" t="inlineStr">
        <is>
          <t>Cost Account = CA-4017; WBS Code = 1.4.1</t>
        </is>
      </c>
      <c r="E953" s="12" t="inlineStr">
        <is>
          <t>R1339-v1</t>
        </is>
      </c>
      <c r="F953" s="12" t="inlineStr">
        <is>
          <t>1.4.1 Vehicles and Depot - Fleet Supply</t>
        </is>
      </c>
      <c r="G953" s="12" t="inlineStr">
        <is>
          <t>ONE_TO_ONE</t>
        </is>
      </c>
      <c r="H953" s="12" t="inlineStr">
        <is>
          <t>APPROVED</t>
        </is>
      </c>
      <c r="I953" s="12" t="inlineStr">
        <is>
          <t>New</t>
        </is>
      </c>
      <c r="J953" s="12" t="inlineStr">
        <is>
          <t>Source assignment -- not individually reviewed</t>
        </is>
      </c>
      <c r="K953" s="12" t="inlineStr"/>
      <c r="L953" s="12" t="inlineStr"/>
      <c r="M953" s="12" t="inlineStr"/>
      <c r="N953" s="17" t="inlineStr">
        <is>
          <t>10 EVIDENCE &amp; DECISIONS</t>
        </is>
      </c>
      <c r="O953" s="105" t="n">
        <v>867500</v>
      </c>
      <c r="P953" s="105" t="n">
        <v>867500</v>
      </c>
      <c r="Q953" s="105" t="inlineStr">
        <is>
          <t>CAD</t>
        </is>
      </c>
      <c r="R953" s="105" t="n"/>
      <c r="S953" s="105" t="inlineStr">
        <is>
          <t>2027-06-30</t>
        </is>
      </c>
      <c r="T953" s="105" t="inlineStr">
        <is>
          <t>C1-R0</t>
        </is>
      </c>
      <c r="U953" s="105" t="inlineStr">
        <is>
          <t>Supplied practice file monthly_cost_forecast.xlsx, row 258</t>
        </is>
      </c>
      <c r="V953" s="105" t="inlineStr">
        <is>
          <t>Whole source account, not a target allocation. Repeated target rows must not be summed. Aggregate cost / forecast remains withheld.</t>
        </is>
      </c>
    </row>
    <row r="954" ht="34" customHeight="1">
      <c r="A954" s="12" t="inlineStr">
        <is>
          <t>Cost &amp; Forecast Control Accounts</t>
        </is>
      </c>
      <c r="B954" s="12" t="inlineStr">
        <is>
          <t>CST-04-019</t>
        </is>
      </c>
      <c r="C954" s="12" t="inlineStr">
        <is>
          <t>Vehicles and Depot - fleet supply - allowance</t>
        </is>
      </c>
      <c r="D954" s="12" t="inlineStr">
        <is>
          <t>Cost Account = CA-4019; WBS Code = 1.4.1</t>
        </is>
      </c>
      <c r="E954" s="12" t="inlineStr">
        <is>
          <t>R1341-v1</t>
        </is>
      </c>
      <c r="F954" s="12" t="inlineStr">
        <is>
          <t>1.4.1 Vehicles and Depot - Fleet Supply</t>
        </is>
      </c>
      <c r="G954" s="12" t="inlineStr">
        <is>
          <t>ONE_TO_ONE</t>
        </is>
      </c>
      <c r="H954" s="12" t="inlineStr">
        <is>
          <t>APPROVED</t>
        </is>
      </c>
      <c r="I954" s="12" t="inlineStr">
        <is>
          <t>New</t>
        </is>
      </c>
      <c r="J954" s="12" t="inlineStr">
        <is>
          <t>Source assignment -- not individually reviewed</t>
        </is>
      </c>
      <c r="K954" s="12" t="inlineStr"/>
      <c r="L954" s="12" t="inlineStr"/>
      <c r="M954" s="12" t="inlineStr"/>
      <c r="N954" s="17" t="inlineStr">
        <is>
          <t>10 EVIDENCE &amp; DECISIONS</t>
        </is>
      </c>
      <c r="O954" s="105" t="n">
        <v>902500</v>
      </c>
      <c r="P954" s="105" t="n">
        <v>927500</v>
      </c>
      <c r="Q954" s="105" t="inlineStr">
        <is>
          <t>CAD</t>
        </is>
      </c>
      <c r="R954" s="105" t="n"/>
      <c r="S954" s="105" t="inlineStr">
        <is>
          <t>2027-06-30</t>
        </is>
      </c>
      <c r="T954" s="105" t="inlineStr">
        <is>
          <t>C1-R0</t>
        </is>
      </c>
      <c r="U954" s="105" t="inlineStr">
        <is>
          <t>Supplied practice file monthly_cost_forecast.xlsx, row 260</t>
        </is>
      </c>
      <c r="V954" s="105" t="inlineStr">
        <is>
          <t>Whole source account, not a target allocation. Repeated target rows must not be summed. Aggregate cost / forecast remains withheld.</t>
        </is>
      </c>
    </row>
    <row r="955" ht="34" customHeight="1">
      <c r="A955" s="12" t="inlineStr">
        <is>
          <t>Cost &amp; Forecast Control Accounts</t>
        </is>
      </c>
      <c r="B955" s="12" t="inlineStr">
        <is>
          <t>CST-04-021</t>
        </is>
      </c>
      <c r="C955" s="12" t="inlineStr">
        <is>
          <t>Vehicles and Depot - spares - field package</t>
        </is>
      </c>
      <c r="D955" s="12" t="inlineStr">
        <is>
          <t>Cost Account = CA-4021; WBS Code = 1.4.1</t>
        </is>
      </c>
      <c r="E955" s="12" t="inlineStr">
        <is>
          <t>R1343-v1</t>
        </is>
      </c>
      <c r="F955" s="12" t="inlineStr">
        <is>
          <t>1.4.1 Vehicles and Depot - Fleet Supply</t>
        </is>
      </c>
      <c r="G955" s="12" t="inlineStr">
        <is>
          <t>ONE_TO_ONE</t>
        </is>
      </c>
      <c r="H955" s="12" t="inlineStr">
        <is>
          <t>APPROVED</t>
        </is>
      </c>
      <c r="I955" s="12" t="inlineStr">
        <is>
          <t>New</t>
        </is>
      </c>
      <c r="J955" s="12" t="inlineStr">
        <is>
          <t>Source assignment -- not individually reviewed</t>
        </is>
      </c>
      <c r="K955" s="12" t="inlineStr"/>
      <c r="L955" s="12" t="inlineStr"/>
      <c r="M955" s="12" t="inlineStr"/>
      <c r="N955" s="17" t="inlineStr">
        <is>
          <t>10 EVIDENCE &amp; DECISIONS</t>
        </is>
      </c>
      <c r="O955" s="105" t="n">
        <v>937500</v>
      </c>
      <c r="P955" s="105" t="n">
        <v>937500</v>
      </c>
      <c r="Q955" s="105" t="inlineStr">
        <is>
          <t>CAD</t>
        </is>
      </c>
      <c r="R955" s="105" t="n"/>
      <c r="S955" s="105" t="inlineStr">
        <is>
          <t>2027-06-30</t>
        </is>
      </c>
      <c r="T955" s="105" t="inlineStr">
        <is>
          <t>C1-R0</t>
        </is>
      </c>
      <c r="U955" s="105" t="inlineStr">
        <is>
          <t>Supplied practice file monthly_cost_forecast.xlsx, row 262</t>
        </is>
      </c>
      <c r="V955" s="105" t="inlineStr">
        <is>
          <t>Whole source account, not a target allocation. Repeated target rows must not be summed. Aggregate cost / forecast remains withheld.</t>
        </is>
      </c>
    </row>
    <row r="956" ht="34" customHeight="1">
      <c r="A956" s="12" t="inlineStr">
        <is>
          <t>Cost &amp; Forecast Control Accounts</t>
        </is>
      </c>
      <c r="B956" s="12" t="inlineStr">
        <is>
          <t>CST-04-023</t>
        </is>
      </c>
      <c r="C956" s="12" t="inlineStr">
        <is>
          <t>Vehicles and Depot - workshop equipment - professional services</t>
        </is>
      </c>
      <c r="D956" s="12" t="inlineStr">
        <is>
          <t>Cost Account = CA-4023; WBS Code = 1.4.1</t>
        </is>
      </c>
      <c r="E956" s="12" t="inlineStr">
        <is>
          <t>R1345-v1</t>
        </is>
      </c>
      <c r="F956" s="12" t="inlineStr">
        <is>
          <t>1.4.1 Vehicles and Depot - Fleet Supply</t>
        </is>
      </c>
      <c r="G956" s="12" t="inlineStr">
        <is>
          <t>ONE_TO_ONE</t>
        </is>
      </c>
      <c r="H956" s="12" t="inlineStr">
        <is>
          <t>APPROVED</t>
        </is>
      </c>
      <c r="I956" s="12" t="inlineStr">
        <is>
          <t>New</t>
        </is>
      </c>
      <c r="J956" s="12" t="inlineStr">
        <is>
          <t>Source assignment -- not individually reviewed</t>
        </is>
      </c>
      <c r="K956" s="12" t="inlineStr"/>
      <c r="L956" s="12" t="inlineStr"/>
      <c r="M956" s="12" t="inlineStr"/>
      <c r="N956" s="17" t="inlineStr">
        <is>
          <t>10 EVIDENCE &amp; DECISIONS</t>
        </is>
      </c>
      <c r="O956" s="105" t="n">
        <v>972500</v>
      </c>
      <c r="P956" s="105" t="n">
        <v>997500</v>
      </c>
      <c r="Q956" s="105" t="inlineStr">
        <is>
          <t>CAD</t>
        </is>
      </c>
      <c r="R956" s="105" t="n"/>
      <c r="S956" s="105" t="inlineStr">
        <is>
          <t>2027-06-30</t>
        </is>
      </c>
      <c r="T956" s="105" t="inlineStr">
        <is>
          <t>C1-R0</t>
        </is>
      </c>
      <c r="U956" s="105" t="inlineStr">
        <is>
          <t>Supplied practice file monthly_cost_forecast.xlsx, row 264</t>
        </is>
      </c>
      <c r="V956" s="105" t="inlineStr">
        <is>
          <t>Whole source account, not a target allocation. Repeated target rows must not be summed. Aggregate cost / forecast remains withheld.</t>
        </is>
      </c>
    </row>
    <row r="957" ht="34" customHeight="1">
      <c r="A957" s="12" t="inlineStr">
        <is>
          <t>Cost &amp; Forecast Control Accounts</t>
        </is>
      </c>
      <c r="B957" s="12" t="inlineStr">
        <is>
          <t>CST-04-025</t>
        </is>
      </c>
      <c r="C957" s="12" t="inlineStr">
        <is>
          <t>Vehicles and Depot - fleet supply - closeout</t>
        </is>
      </c>
      <c r="D957" s="12" t="inlineStr">
        <is>
          <t>Cost Account = CA-4025; WBS Code = 1.4.1</t>
        </is>
      </c>
      <c r="E957" s="12" t="inlineStr">
        <is>
          <t>R1347-v1</t>
        </is>
      </c>
      <c r="F957" s="12" t="inlineStr">
        <is>
          <t>1.4.1 Vehicles and Depot - Fleet Supply</t>
        </is>
      </c>
      <c r="G957" s="12" t="inlineStr">
        <is>
          <t>ONE_TO_ONE</t>
        </is>
      </c>
      <c r="H957" s="12" t="inlineStr">
        <is>
          <t>APPROVED</t>
        </is>
      </c>
      <c r="I957" s="12" t="inlineStr">
        <is>
          <t>New</t>
        </is>
      </c>
      <c r="J957" s="12" t="inlineStr">
        <is>
          <t>Source assignment -- not individually reviewed</t>
        </is>
      </c>
      <c r="K957" s="12" t="inlineStr"/>
      <c r="L957" s="12" t="inlineStr"/>
      <c r="M957" s="12" t="inlineStr"/>
      <c r="N957" s="17" t="inlineStr">
        <is>
          <t>10 EVIDENCE &amp; DECISIONS</t>
        </is>
      </c>
      <c r="O957" s="105" t="n">
        <v>1007500</v>
      </c>
      <c r="P957" s="105" t="n">
        <v>1007500</v>
      </c>
      <c r="Q957" s="105" t="inlineStr">
        <is>
          <t>CAD</t>
        </is>
      </c>
      <c r="R957" s="105" t="n"/>
      <c r="S957" s="105" t="inlineStr">
        <is>
          <t>2027-06-30</t>
        </is>
      </c>
      <c r="T957" s="105" t="inlineStr">
        <is>
          <t>C1-R0</t>
        </is>
      </c>
      <c r="U957" s="105" t="inlineStr">
        <is>
          <t>Supplied practice file monthly_cost_forecast.xlsx, row 266</t>
        </is>
      </c>
      <c r="V957" s="105" t="inlineStr">
        <is>
          <t>Whole source account, not a target allocation. Repeated target rows must not be summed. Aggregate cost / forecast remains withheld.</t>
        </is>
      </c>
    </row>
    <row r="958" ht="34" customHeight="1">
      <c r="A958" s="12" t="inlineStr">
        <is>
          <t>Cost &amp; Forecast Control Accounts</t>
        </is>
      </c>
      <c r="B958" s="12" t="inlineStr">
        <is>
          <t>CST-04-027</t>
        </is>
      </c>
      <c r="C958" s="12" t="inlineStr">
        <is>
          <t>Vehicles and Depot - spares - supply and install</t>
        </is>
      </c>
      <c r="D958" s="12" t="inlineStr">
        <is>
          <t>Cost Account = CA-4027; WBS Code = 1.4.1</t>
        </is>
      </c>
      <c r="E958" s="12" t="inlineStr">
        <is>
          <t>R1349-v1</t>
        </is>
      </c>
      <c r="F958" s="12" t="inlineStr">
        <is>
          <t>1.4.1 Vehicles and Depot - Fleet Supply</t>
        </is>
      </c>
      <c r="G958" s="12" t="inlineStr">
        <is>
          <t>ONE_TO_ONE</t>
        </is>
      </c>
      <c r="H958" s="12" t="inlineStr">
        <is>
          <t>APPROVED</t>
        </is>
      </c>
      <c r="I958" s="12" t="inlineStr">
        <is>
          <t>New</t>
        </is>
      </c>
      <c r="J958" s="12" t="inlineStr">
        <is>
          <t>Source assignment -- not individually reviewed</t>
        </is>
      </c>
      <c r="K958" s="12" t="inlineStr"/>
      <c r="L958" s="12" t="inlineStr"/>
      <c r="M958" s="12" t="inlineStr"/>
      <c r="N958" s="17" t="inlineStr">
        <is>
          <t>10 EVIDENCE &amp; DECISIONS</t>
        </is>
      </c>
      <c r="O958" s="105" t="n">
        <v>1042500</v>
      </c>
      <c r="P958" s="105" t="n">
        <v>1067500</v>
      </c>
      <c r="Q958" s="105" t="inlineStr">
        <is>
          <t>CAD</t>
        </is>
      </c>
      <c r="R958" s="105" t="n"/>
      <c r="S958" s="105" t="inlineStr">
        <is>
          <t>2027-06-30</t>
        </is>
      </c>
      <c r="T958" s="105" t="inlineStr">
        <is>
          <t>C1-R0</t>
        </is>
      </c>
      <c r="U958" s="105" t="inlineStr">
        <is>
          <t>Supplied practice file monthly_cost_forecast.xlsx, row 268</t>
        </is>
      </c>
      <c r="V958" s="105" t="inlineStr">
        <is>
          <t>Whole source account, not a target allocation. Repeated target rows must not be summed. Aggregate cost / forecast remains withheld.</t>
        </is>
      </c>
    </row>
    <row r="959" ht="34" customHeight="1">
      <c r="A959" s="12" t="inlineStr">
        <is>
          <t>Cost &amp; Forecast Control Accounts</t>
        </is>
      </c>
      <c r="B959" s="12" t="inlineStr">
        <is>
          <t>CST-04-029</t>
        </is>
      </c>
      <c r="C959" s="12" t="inlineStr">
        <is>
          <t>Vehicles and Depot - workshop equipment - allowance</t>
        </is>
      </c>
      <c r="D959" s="12" t="inlineStr">
        <is>
          <t>Cost Account = CA-4029; WBS Code = 1.4.1</t>
        </is>
      </c>
      <c r="E959" s="12" t="inlineStr">
        <is>
          <t>R1351-v1</t>
        </is>
      </c>
      <c r="F959" s="12" t="inlineStr">
        <is>
          <t>1.4.1 Vehicles and Depot - Fleet Supply</t>
        </is>
      </c>
      <c r="G959" s="12" t="inlineStr">
        <is>
          <t>ONE_TO_ONE</t>
        </is>
      </c>
      <c r="H959" s="12" t="inlineStr">
        <is>
          <t>APPROVED</t>
        </is>
      </c>
      <c r="I959" s="12" t="inlineStr">
        <is>
          <t>New</t>
        </is>
      </c>
      <c r="J959" s="12" t="inlineStr">
        <is>
          <t>Source assignment -- not individually reviewed</t>
        </is>
      </c>
      <c r="K959" s="12" t="inlineStr"/>
      <c r="L959" s="12" t="inlineStr"/>
      <c r="M959" s="12" t="inlineStr"/>
      <c r="N959" s="17" t="inlineStr">
        <is>
          <t>10 EVIDENCE &amp; DECISIONS</t>
        </is>
      </c>
      <c r="O959" s="105" t="n">
        <v>1077500</v>
      </c>
      <c r="P959" s="105" t="n">
        <v>1077500</v>
      </c>
      <c r="Q959" s="105" t="inlineStr">
        <is>
          <t>CAD</t>
        </is>
      </c>
      <c r="R959" s="105" t="n"/>
      <c r="S959" s="105" t="inlineStr">
        <is>
          <t>2027-06-30</t>
        </is>
      </c>
      <c r="T959" s="105" t="inlineStr">
        <is>
          <t>C1-R0</t>
        </is>
      </c>
      <c r="U959" s="105" t="inlineStr">
        <is>
          <t>Supplied practice file monthly_cost_forecast.xlsx, row 270</t>
        </is>
      </c>
      <c r="V959" s="105" t="inlineStr">
        <is>
          <t>Whole source account, not a target allocation. Repeated target rows must not be summed. Aggregate cost / forecast remains withheld.</t>
        </is>
      </c>
    </row>
    <row r="960" ht="34" customHeight="1">
      <c r="A960" s="12" t="inlineStr">
        <is>
          <t>Cost &amp; Forecast Control Accounts</t>
        </is>
      </c>
      <c r="B960" s="12" t="inlineStr">
        <is>
          <t>CST-04-031</t>
        </is>
      </c>
      <c r="C960" s="12" t="inlineStr">
        <is>
          <t>Vehicles and Depot - fleet supply - field package</t>
        </is>
      </c>
      <c r="D960" s="12" t="inlineStr">
        <is>
          <t>Cost Account = CA-4031; WBS Code = 1.4.1</t>
        </is>
      </c>
      <c r="E960" s="12" t="inlineStr">
        <is>
          <t>R1353-v1</t>
        </is>
      </c>
      <c r="F960" s="12" t="inlineStr">
        <is>
          <t>1.4.1 Vehicles and Depot - Fleet Supply</t>
        </is>
      </c>
      <c r="G960" s="12" t="inlineStr">
        <is>
          <t>ONE_TO_ONE</t>
        </is>
      </c>
      <c r="H960" s="12" t="inlineStr">
        <is>
          <t>APPROVED</t>
        </is>
      </c>
      <c r="I960" s="12" t="inlineStr">
        <is>
          <t>New</t>
        </is>
      </c>
      <c r="J960" s="12" t="inlineStr">
        <is>
          <t>Source assignment -- not individually reviewed</t>
        </is>
      </c>
      <c r="K960" s="12" t="inlineStr"/>
      <c r="L960" s="12" t="inlineStr"/>
      <c r="M960" s="12" t="inlineStr"/>
      <c r="N960" s="17" t="inlineStr">
        <is>
          <t>10 EVIDENCE &amp; DECISIONS</t>
        </is>
      </c>
      <c r="O960" s="105" t="n">
        <v>1112500</v>
      </c>
      <c r="P960" s="105" t="n">
        <v>1137500</v>
      </c>
      <c r="Q960" s="105" t="inlineStr">
        <is>
          <t>CAD</t>
        </is>
      </c>
      <c r="R960" s="105" t="n"/>
      <c r="S960" s="105" t="inlineStr">
        <is>
          <t>2027-06-30</t>
        </is>
      </c>
      <c r="T960" s="105" t="inlineStr">
        <is>
          <t>C1-R0</t>
        </is>
      </c>
      <c r="U960" s="105" t="inlineStr">
        <is>
          <t>Supplied practice file monthly_cost_forecast.xlsx, row 272</t>
        </is>
      </c>
      <c r="V960" s="105" t="inlineStr">
        <is>
          <t>Whole source account, not a target allocation. Repeated target rows must not be summed. Aggregate cost / forecast remains withheld.</t>
        </is>
      </c>
    </row>
    <row r="961" ht="34" customHeight="1">
      <c r="A961" s="12" t="inlineStr">
        <is>
          <t>Cost &amp; Forecast Control Accounts</t>
        </is>
      </c>
      <c r="B961" s="12" t="inlineStr">
        <is>
          <t>CST-04-033</t>
        </is>
      </c>
      <c r="C961" s="12" t="inlineStr">
        <is>
          <t>Vehicles and Depot - spares - professional services</t>
        </is>
      </c>
      <c r="D961" s="12" t="inlineStr">
        <is>
          <t>Cost Account = CA-4033; WBS Code = 1.4.1</t>
        </is>
      </c>
      <c r="E961" s="12" t="inlineStr">
        <is>
          <t>R1355-v1</t>
        </is>
      </c>
      <c r="F961" s="12" t="inlineStr">
        <is>
          <t>1.4.1 Vehicles and Depot - Fleet Supply</t>
        </is>
      </c>
      <c r="G961" s="12" t="inlineStr">
        <is>
          <t>ONE_TO_ONE</t>
        </is>
      </c>
      <c r="H961" s="12" t="inlineStr">
        <is>
          <t>APPROVED</t>
        </is>
      </c>
      <c r="I961" s="12" t="inlineStr">
        <is>
          <t>New</t>
        </is>
      </c>
      <c r="J961" s="12" t="inlineStr">
        <is>
          <t>Source assignment -- not individually reviewed</t>
        </is>
      </c>
      <c r="K961" s="12" t="inlineStr"/>
      <c r="L961" s="12" t="inlineStr"/>
      <c r="M961" s="12" t="inlineStr"/>
      <c r="N961" s="17" t="inlineStr">
        <is>
          <t>10 EVIDENCE &amp; DECISIONS</t>
        </is>
      </c>
      <c r="O961" s="105" t="n">
        <v>1147500</v>
      </c>
      <c r="P961" s="105" t="n">
        <v>1147500</v>
      </c>
      <c r="Q961" s="105" t="inlineStr">
        <is>
          <t>CAD</t>
        </is>
      </c>
      <c r="R961" s="105" t="n"/>
      <c r="S961" s="105" t="inlineStr">
        <is>
          <t>2027-06-30</t>
        </is>
      </c>
      <c r="T961" s="105" t="inlineStr">
        <is>
          <t>C1-R0</t>
        </is>
      </c>
      <c r="U961" s="105" t="inlineStr">
        <is>
          <t>Supplied practice file monthly_cost_forecast.xlsx, row 274</t>
        </is>
      </c>
      <c r="V961" s="105" t="inlineStr">
        <is>
          <t>Whole source account, not a target allocation. Repeated target rows must not be summed. Aggregate cost / forecast remains withheld.</t>
        </is>
      </c>
    </row>
    <row r="962" ht="34" customHeight="1">
      <c r="A962" s="12" t="inlineStr">
        <is>
          <t>Cost &amp; Forecast Control Accounts</t>
        </is>
      </c>
      <c r="B962" s="12" t="inlineStr">
        <is>
          <t>CST-04-035</t>
        </is>
      </c>
      <c r="C962" s="12" t="inlineStr">
        <is>
          <t>Vehicles and Depot - workshop equipment - closeout</t>
        </is>
      </c>
      <c r="D962" s="12" t="inlineStr">
        <is>
          <t>Cost Account = CA-4035; WBS Code = 1.4.1</t>
        </is>
      </c>
      <c r="E962" s="12" t="inlineStr">
        <is>
          <t>R1357-v1</t>
        </is>
      </c>
      <c r="F962" s="12" t="inlineStr">
        <is>
          <t>1.4.1 Vehicles and Depot - Fleet Supply</t>
        </is>
      </c>
      <c r="G962" s="12" t="inlineStr">
        <is>
          <t>ONE_TO_ONE</t>
        </is>
      </c>
      <c r="H962" s="12" t="inlineStr">
        <is>
          <t>APPROVED</t>
        </is>
      </c>
      <c r="I962" s="12" t="inlineStr">
        <is>
          <t>New</t>
        </is>
      </c>
      <c r="J962" s="12" t="inlineStr">
        <is>
          <t>Source assignment -- not individually reviewed</t>
        </is>
      </c>
      <c r="K962" s="12" t="inlineStr"/>
      <c r="L962" s="12" t="inlineStr"/>
      <c r="M962" s="12" t="inlineStr"/>
      <c r="N962" s="17" t="inlineStr">
        <is>
          <t>10 EVIDENCE &amp; DECISIONS</t>
        </is>
      </c>
      <c r="O962" s="105" t="n">
        <v>1182500</v>
      </c>
      <c r="P962" s="105" t="n">
        <v>1207500</v>
      </c>
      <c r="Q962" s="105" t="inlineStr">
        <is>
          <t>CAD</t>
        </is>
      </c>
      <c r="R962" s="105" t="n"/>
      <c r="S962" s="105" t="inlineStr">
        <is>
          <t>2027-06-30</t>
        </is>
      </c>
      <c r="T962" s="105" t="inlineStr">
        <is>
          <t>C1-R0</t>
        </is>
      </c>
      <c r="U962" s="105" t="inlineStr">
        <is>
          <t>Supplied practice file monthly_cost_forecast.xlsx, row 276</t>
        </is>
      </c>
      <c r="V962" s="105" t="inlineStr">
        <is>
          <t>Whole source account, not a target allocation. Repeated target rows must not be summed. Aggregate cost / forecast remains withheld.</t>
        </is>
      </c>
    </row>
    <row r="963" ht="34" customHeight="1">
      <c r="A963" s="12" t="inlineStr">
        <is>
          <t>Cost &amp; Forecast Control Accounts</t>
        </is>
      </c>
      <c r="B963" s="12" t="inlineStr">
        <is>
          <t>CST-04-037</t>
        </is>
      </c>
      <c r="C963" s="12" t="inlineStr">
        <is>
          <t>Vehicles and Depot - fleet supply - supply and install</t>
        </is>
      </c>
      <c r="D963" s="12" t="inlineStr">
        <is>
          <t>Cost Account = CA-4037; WBS Code = 1.4.1</t>
        </is>
      </c>
      <c r="E963" s="12" t="inlineStr">
        <is>
          <t>R1359-v1</t>
        </is>
      </c>
      <c r="F963" s="12" t="inlineStr">
        <is>
          <t>1.4.1 Vehicles and Depot - Fleet Supply</t>
        </is>
      </c>
      <c r="G963" s="12" t="inlineStr">
        <is>
          <t>ONE_TO_ONE</t>
        </is>
      </c>
      <c r="H963" s="12" t="inlineStr">
        <is>
          <t>APPROVED</t>
        </is>
      </c>
      <c r="I963" s="12" t="inlineStr">
        <is>
          <t>New</t>
        </is>
      </c>
      <c r="J963" s="12" t="inlineStr">
        <is>
          <t>Source assignment -- not individually reviewed</t>
        </is>
      </c>
      <c r="K963" s="12" t="inlineStr"/>
      <c r="L963" s="12" t="inlineStr"/>
      <c r="M963" s="12" t="inlineStr"/>
      <c r="N963" s="17" t="inlineStr">
        <is>
          <t>10 EVIDENCE &amp; DECISIONS</t>
        </is>
      </c>
      <c r="O963" s="105" t="n">
        <v>1217500</v>
      </c>
      <c r="P963" s="105" t="n">
        <v>1217500</v>
      </c>
      <c r="Q963" s="105" t="inlineStr">
        <is>
          <t>CAD</t>
        </is>
      </c>
      <c r="R963" s="105" t="n"/>
      <c r="S963" s="105" t="inlineStr">
        <is>
          <t>2027-06-30</t>
        </is>
      </c>
      <c r="T963" s="105" t="inlineStr">
        <is>
          <t>C1-R0</t>
        </is>
      </c>
      <c r="U963" s="105" t="inlineStr">
        <is>
          <t>Supplied practice file monthly_cost_forecast.xlsx, row 278</t>
        </is>
      </c>
      <c r="V963" s="105" t="inlineStr">
        <is>
          <t>Whole source account, not a target allocation. Repeated target rows must not be summed. Aggregate cost / forecast remains withheld.</t>
        </is>
      </c>
    </row>
    <row r="964" ht="34" customHeight="1">
      <c r="A964" s="12" t="inlineStr">
        <is>
          <t>Cost &amp; Forecast Control Accounts</t>
        </is>
      </c>
      <c r="B964" s="12" t="inlineStr">
        <is>
          <t>CST-04-039</t>
        </is>
      </c>
      <c r="C964" s="12" t="inlineStr">
        <is>
          <t>Vehicles and Depot - spares - allowance</t>
        </is>
      </c>
      <c r="D964" s="12" t="inlineStr">
        <is>
          <t>Cost Account = CA-4039; WBS Code = 1.4.1</t>
        </is>
      </c>
      <c r="E964" s="12" t="inlineStr">
        <is>
          <t>R1361-v1</t>
        </is>
      </c>
      <c r="F964" s="12" t="inlineStr">
        <is>
          <t>1.4.1 Vehicles and Depot - Fleet Supply</t>
        </is>
      </c>
      <c r="G964" s="12" t="inlineStr">
        <is>
          <t>ONE_TO_ONE</t>
        </is>
      </c>
      <c r="H964" s="12" t="inlineStr">
        <is>
          <t>APPROVED</t>
        </is>
      </c>
      <c r="I964" s="12" t="inlineStr">
        <is>
          <t>New</t>
        </is>
      </c>
      <c r="J964" s="12" t="inlineStr">
        <is>
          <t>Source assignment -- not individually reviewed</t>
        </is>
      </c>
      <c r="K964" s="12" t="inlineStr"/>
      <c r="L964" s="12" t="inlineStr"/>
      <c r="M964" s="12" t="inlineStr"/>
      <c r="N964" s="17" t="inlineStr">
        <is>
          <t>10 EVIDENCE &amp; DECISIONS</t>
        </is>
      </c>
      <c r="O964" s="105" t="n">
        <v>1252500</v>
      </c>
      <c r="P964" s="105" t="n">
        <v>1277500</v>
      </c>
      <c r="Q964" s="105" t="inlineStr">
        <is>
          <t>CAD</t>
        </is>
      </c>
      <c r="R964" s="105" t="n"/>
      <c r="S964" s="105" t="inlineStr">
        <is>
          <t>2027-06-30</t>
        </is>
      </c>
      <c r="T964" s="105" t="inlineStr">
        <is>
          <t>C1-R0</t>
        </is>
      </c>
      <c r="U964" s="105" t="inlineStr">
        <is>
          <t>Supplied practice file monthly_cost_forecast.xlsx, row 280</t>
        </is>
      </c>
      <c r="V964" s="105" t="inlineStr">
        <is>
          <t>Whole source account, not a target allocation. Repeated target rows must not be summed. Aggregate cost / forecast remains withheld.</t>
        </is>
      </c>
    </row>
    <row r="965" ht="34" customHeight="1">
      <c r="A965" s="12" t="inlineStr">
        <is>
          <t>Cost &amp; Forecast Control Accounts</t>
        </is>
      </c>
      <c r="B965" s="12" t="inlineStr">
        <is>
          <t>CST-04-041</t>
        </is>
      </c>
      <c r="C965" s="12" t="inlineStr">
        <is>
          <t>Vehicles and Depot - workshop equipment - field package</t>
        </is>
      </c>
      <c r="D965" s="12" t="inlineStr">
        <is>
          <t>Cost Account = CA-4041; WBS Code = 1.4.1</t>
        </is>
      </c>
      <c r="E965" s="12" t="inlineStr">
        <is>
          <t>R1363-v1</t>
        </is>
      </c>
      <c r="F965" s="12" t="inlineStr">
        <is>
          <t>1.4.1 Vehicles and Depot - Fleet Supply</t>
        </is>
      </c>
      <c r="G965" s="12" t="inlineStr">
        <is>
          <t>ONE_TO_ONE</t>
        </is>
      </c>
      <c r="H965" s="12" t="inlineStr">
        <is>
          <t>APPROVED</t>
        </is>
      </c>
      <c r="I965" s="12" t="inlineStr">
        <is>
          <t>New</t>
        </is>
      </c>
      <c r="J965" s="12" t="inlineStr">
        <is>
          <t>Source assignment -- not individually reviewed</t>
        </is>
      </c>
      <c r="K965" s="12" t="inlineStr"/>
      <c r="L965" s="12" t="inlineStr"/>
      <c r="M965" s="12" t="inlineStr"/>
      <c r="N965" s="17" t="inlineStr">
        <is>
          <t>10 EVIDENCE &amp; DECISIONS</t>
        </is>
      </c>
      <c r="O965" s="105" t="n">
        <v>1287500</v>
      </c>
      <c r="P965" s="105" t="n">
        <v>1287500</v>
      </c>
      <c r="Q965" s="105" t="inlineStr">
        <is>
          <t>CAD</t>
        </is>
      </c>
      <c r="R965" s="105" t="n"/>
      <c r="S965" s="105" t="inlineStr">
        <is>
          <t>2027-06-30</t>
        </is>
      </c>
      <c r="T965" s="105" t="inlineStr">
        <is>
          <t>C1-R0</t>
        </is>
      </c>
      <c r="U965" s="105" t="inlineStr">
        <is>
          <t>Supplied practice file monthly_cost_forecast.xlsx, row 282</t>
        </is>
      </c>
      <c r="V965" s="105" t="inlineStr">
        <is>
          <t>Whole source account, not a target allocation. Repeated target rows must not be summed. Aggregate cost / forecast remains withheld.</t>
        </is>
      </c>
    </row>
    <row r="966" ht="34" customHeight="1">
      <c r="A966" s="12" t="inlineStr">
        <is>
          <t>Cost &amp; Forecast Control Accounts</t>
        </is>
      </c>
      <c r="B966" s="12" t="inlineStr">
        <is>
          <t>CST-04-043</t>
        </is>
      </c>
      <c r="C966" s="12" t="inlineStr">
        <is>
          <t>Vehicles and Depot - fleet supply - professional services</t>
        </is>
      </c>
      <c r="D966" s="12" t="inlineStr">
        <is>
          <t>Cost Account = CA-4043; WBS Code = 1.4.1</t>
        </is>
      </c>
      <c r="E966" s="12" t="inlineStr">
        <is>
          <t>R1365-v1</t>
        </is>
      </c>
      <c r="F966" s="12" t="inlineStr">
        <is>
          <t>1.4.1 Vehicles and Depot - Fleet Supply</t>
        </is>
      </c>
      <c r="G966" s="12" t="inlineStr">
        <is>
          <t>ONE_TO_ONE</t>
        </is>
      </c>
      <c r="H966" s="12" t="inlineStr">
        <is>
          <t>APPROVED</t>
        </is>
      </c>
      <c r="I966" s="12" t="inlineStr">
        <is>
          <t>New</t>
        </is>
      </c>
      <c r="J966" s="12" t="inlineStr">
        <is>
          <t>Source assignment -- not individually reviewed</t>
        </is>
      </c>
      <c r="K966" s="12" t="inlineStr"/>
      <c r="L966" s="12" t="inlineStr"/>
      <c r="M966" s="12" t="inlineStr"/>
      <c r="N966" s="17" t="inlineStr">
        <is>
          <t>10 EVIDENCE &amp; DECISIONS</t>
        </is>
      </c>
      <c r="O966" s="105" t="n">
        <v>1322500</v>
      </c>
      <c r="P966" s="105" t="n">
        <v>1347500</v>
      </c>
      <c r="Q966" s="105" t="inlineStr">
        <is>
          <t>CAD</t>
        </is>
      </c>
      <c r="R966" s="105" t="n"/>
      <c r="S966" s="105" t="inlineStr">
        <is>
          <t>2027-06-30</t>
        </is>
      </c>
      <c r="T966" s="105" t="inlineStr">
        <is>
          <t>C1-R0</t>
        </is>
      </c>
      <c r="U966" s="105" t="inlineStr">
        <is>
          <t>Supplied practice file monthly_cost_forecast.xlsx, row 284</t>
        </is>
      </c>
      <c r="V966" s="105" t="inlineStr">
        <is>
          <t>Whole source account, not a target allocation. Repeated target rows must not be summed. Aggregate cost / forecast remains withheld.</t>
        </is>
      </c>
    </row>
    <row r="967" ht="34" customHeight="1">
      <c r="A967" s="12" t="inlineStr">
        <is>
          <t>Cost &amp; Forecast Control Accounts</t>
        </is>
      </c>
      <c r="B967" s="12" t="inlineStr">
        <is>
          <t>CST-04-045</t>
        </is>
      </c>
      <c r="C967" s="12" t="inlineStr">
        <is>
          <t>Vehicles and Depot - spares - closeout</t>
        </is>
      </c>
      <c r="D967" s="12" t="inlineStr">
        <is>
          <t>Cost Account = CA-4045; WBS Code = 1.4.1</t>
        </is>
      </c>
      <c r="E967" s="12" t="inlineStr">
        <is>
          <t>R1367-v1</t>
        </is>
      </c>
      <c r="F967" s="12" t="inlineStr">
        <is>
          <t>1.4.1 Vehicles and Depot - Fleet Supply</t>
        </is>
      </c>
      <c r="G967" s="12" t="inlineStr">
        <is>
          <t>ONE_TO_ONE</t>
        </is>
      </c>
      <c r="H967" s="12" t="inlineStr">
        <is>
          <t>APPROVED</t>
        </is>
      </c>
      <c r="I967" s="12" t="inlineStr">
        <is>
          <t>New</t>
        </is>
      </c>
      <c r="J967" s="12" t="inlineStr">
        <is>
          <t>Source assignment -- not individually reviewed</t>
        </is>
      </c>
      <c r="K967" s="12" t="inlineStr"/>
      <c r="L967" s="12" t="inlineStr"/>
      <c r="M967" s="12" t="inlineStr"/>
      <c r="N967" s="17" t="inlineStr">
        <is>
          <t>10 EVIDENCE &amp; DECISIONS</t>
        </is>
      </c>
      <c r="O967" s="105" t="n">
        <v>1357500</v>
      </c>
      <c r="P967" s="105" t="n">
        <v>1357500</v>
      </c>
      <c r="Q967" s="105" t="inlineStr">
        <is>
          <t>CAD</t>
        </is>
      </c>
      <c r="R967" s="105" t="n"/>
      <c r="S967" s="105" t="inlineStr">
        <is>
          <t>2027-06-30</t>
        </is>
      </c>
      <c r="T967" s="105" t="inlineStr">
        <is>
          <t>C1-R0</t>
        </is>
      </c>
      <c r="U967" s="105" t="inlineStr">
        <is>
          <t>Supplied practice file monthly_cost_forecast.xlsx, row 286</t>
        </is>
      </c>
      <c r="V967" s="105" t="inlineStr">
        <is>
          <t>Whole source account, not a target allocation. Repeated target rows must not be summed. Aggregate cost / forecast remains withheld.</t>
        </is>
      </c>
    </row>
    <row r="968" ht="34" customHeight="1">
      <c r="A968" s="12" t="inlineStr">
        <is>
          <t>Cost &amp; Forecast Control Accounts</t>
        </is>
      </c>
      <c r="B968" s="12" t="inlineStr">
        <is>
          <t>CST-04-047</t>
        </is>
      </c>
      <c r="C968" s="12" t="inlineStr">
        <is>
          <t>Vehicles and Depot - workshop equipment - supply and install</t>
        </is>
      </c>
      <c r="D968" s="12" t="inlineStr">
        <is>
          <t>Cost Account = CA-4047; WBS Code = 1.4.1</t>
        </is>
      </c>
      <c r="E968" s="12" t="inlineStr">
        <is>
          <t>R1369-v1</t>
        </is>
      </c>
      <c r="F968" s="12" t="inlineStr">
        <is>
          <t>1.4.1 Vehicles and Depot - Fleet Supply</t>
        </is>
      </c>
      <c r="G968" s="12" t="inlineStr">
        <is>
          <t>ONE_TO_ONE</t>
        </is>
      </c>
      <c r="H968" s="12" t="inlineStr">
        <is>
          <t>APPROVED</t>
        </is>
      </c>
      <c r="I968" s="12" t="inlineStr">
        <is>
          <t>New</t>
        </is>
      </c>
      <c r="J968" s="12" t="inlineStr">
        <is>
          <t>Source assignment -- not individually reviewed</t>
        </is>
      </c>
      <c r="K968" s="12" t="inlineStr"/>
      <c r="L968" s="12" t="inlineStr"/>
      <c r="M968" s="12" t="inlineStr"/>
      <c r="N968" s="17" t="inlineStr">
        <is>
          <t>10 EVIDENCE &amp; DECISIONS</t>
        </is>
      </c>
      <c r="O968" s="105" t="n">
        <v>1392500</v>
      </c>
      <c r="P968" s="105" t="n">
        <v>1417500</v>
      </c>
      <c r="Q968" s="105" t="inlineStr">
        <is>
          <t>CAD</t>
        </is>
      </c>
      <c r="R968" s="105" t="n"/>
      <c r="S968" s="105" t="inlineStr">
        <is>
          <t>2027-06-30</t>
        </is>
      </c>
      <c r="T968" s="105" t="inlineStr">
        <is>
          <t>C1-R0</t>
        </is>
      </c>
      <c r="U968" s="105" t="inlineStr">
        <is>
          <t>Supplied practice file monthly_cost_forecast.xlsx, row 288</t>
        </is>
      </c>
      <c r="V968" s="105" t="inlineStr">
        <is>
          <t>Whole source account, not a target allocation. Repeated target rows must not be summed. Aggregate cost / forecast remains withheld.</t>
        </is>
      </c>
    </row>
    <row r="969" ht="34" customHeight="1">
      <c r="A969" s="12" t="inlineStr">
        <is>
          <t>Cost &amp; Forecast Control Accounts</t>
        </is>
      </c>
      <c r="B969" s="12" t="inlineStr">
        <is>
          <t>CST-04-049</t>
        </is>
      </c>
      <c r="C969" s="12" t="inlineStr">
        <is>
          <t>Vehicles and Depot - fleet supply - allowance</t>
        </is>
      </c>
      <c r="D969" s="12" t="inlineStr">
        <is>
          <t>Cost Account = CA-4049; WBS Code = 1.4.1</t>
        </is>
      </c>
      <c r="E969" s="12" t="inlineStr">
        <is>
          <t>R1371-v1</t>
        </is>
      </c>
      <c r="F969" s="12" t="inlineStr">
        <is>
          <t>1.4.1 Vehicles and Depot - Fleet Supply</t>
        </is>
      </c>
      <c r="G969" s="12" t="inlineStr">
        <is>
          <t>ONE_TO_ONE</t>
        </is>
      </c>
      <c r="H969" s="12" t="inlineStr">
        <is>
          <t>APPROVED</t>
        </is>
      </c>
      <c r="I969" s="12" t="inlineStr">
        <is>
          <t>New</t>
        </is>
      </c>
      <c r="J969" s="12" t="inlineStr">
        <is>
          <t>Source assignment -- not individually reviewed</t>
        </is>
      </c>
      <c r="K969" s="12" t="inlineStr"/>
      <c r="L969" s="12" t="inlineStr"/>
      <c r="M969" s="12" t="inlineStr"/>
      <c r="N969" s="17" t="inlineStr">
        <is>
          <t>10 EVIDENCE &amp; DECISIONS</t>
        </is>
      </c>
      <c r="O969" s="105" t="n">
        <v>1427500</v>
      </c>
      <c r="P969" s="105" t="n">
        <v>1427500</v>
      </c>
      <c r="Q969" s="105" t="inlineStr">
        <is>
          <t>CAD</t>
        </is>
      </c>
      <c r="R969" s="105" t="n"/>
      <c r="S969" s="105" t="inlineStr">
        <is>
          <t>2027-06-30</t>
        </is>
      </c>
      <c r="T969" s="105" t="inlineStr">
        <is>
          <t>C1-R0</t>
        </is>
      </c>
      <c r="U969" s="105" t="inlineStr">
        <is>
          <t>Supplied practice file monthly_cost_forecast.xlsx, row 290</t>
        </is>
      </c>
      <c r="V969" s="105" t="inlineStr">
        <is>
          <t>Whole source account, not a target allocation. Repeated target rows must not be summed. Aggregate cost / forecast remains withheld.</t>
        </is>
      </c>
    </row>
    <row r="970" ht="34" customHeight="1">
      <c r="A970" s="12" t="inlineStr">
        <is>
          <t>Cost &amp; Forecast Control Accounts</t>
        </is>
      </c>
      <c r="B970" s="12" t="inlineStr">
        <is>
          <t>CST-04-051</t>
        </is>
      </c>
      <c r="C970" s="12" t="inlineStr">
        <is>
          <t>Vehicles and Depot - spares - field package</t>
        </is>
      </c>
      <c r="D970" s="12" t="inlineStr">
        <is>
          <t>Cost Account = CA-4051; WBS Code = 1.4.1</t>
        </is>
      </c>
      <c r="E970" s="12" t="inlineStr">
        <is>
          <t>R1373-v1</t>
        </is>
      </c>
      <c r="F970" s="12" t="inlineStr">
        <is>
          <t>1.4.1 Vehicles and Depot - Fleet Supply</t>
        </is>
      </c>
      <c r="G970" s="12" t="inlineStr">
        <is>
          <t>ONE_TO_ONE</t>
        </is>
      </c>
      <c r="H970" s="12" t="inlineStr">
        <is>
          <t>APPROVED</t>
        </is>
      </c>
      <c r="I970" s="12" t="inlineStr">
        <is>
          <t>New</t>
        </is>
      </c>
      <c r="J970" s="12" t="inlineStr">
        <is>
          <t>Source assignment -- not individually reviewed</t>
        </is>
      </c>
      <c r="K970" s="12" t="inlineStr"/>
      <c r="L970" s="12" t="inlineStr"/>
      <c r="M970" s="12" t="inlineStr"/>
      <c r="N970" s="17" t="inlineStr">
        <is>
          <t>10 EVIDENCE &amp; DECISIONS</t>
        </is>
      </c>
      <c r="O970" s="105" t="n">
        <v>1462500</v>
      </c>
      <c r="P970" s="105" t="n">
        <v>1487500</v>
      </c>
      <c r="Q970" s="105" t="inlineStr">
        <is>
          <t>CAD</t>
        </is>
      </c>
      <c r="R970" s="105" t="n"/>
      <c r="S970" s="105" t="inlineStr">
        <is>
          <t>2027-06-30</t>
        </is>
      </c>
      <c r="T970" s="105" t="inlineStr">
        <is>
          <t>C1-R0</t>
        </is>
      </c>
      <c r="U970" s="105" t="inlineStr">
        <is>
          <t>Supplied practice file monthly_cost_forecast.xlsx, row 292</t>
        </is>
      </c>
      <c r="V970" s="105" t="inlineStr">
        <is>
          <t>Whole source account, not a target allocation. Repeated target rows must not be summed. Aggregate cost / forecast remains withheld.</t>
        </is>
      </c>
    </row>
    <row r="971" ht="34" customHeight="1">
      <c r="A971" s="12" t="inlineStr">
        <is>
          <t>Cost &amp; Forecast Control Accounts</t>
        </is>
      </c>
      <c r="B971" s="12" t="inlineStr">
        <is>
          <t>CST-04-053</t>
        </is>
      </c>
      <c r="C971" s="12" t="inlineStr">
        <is>
          <t>Vehicles and Depot - workshop equipment - professional services</t>
        </is>
      </c>
      <c r="D971" s="12" t="inlineStr">
        <is>
          <t>Cost Account = CA-4053; WBS Code = 1.4.1</t>
        </is>
      </c>
      <c r="E971" s="12" t="inlineStr">
        <is>
          <t>R1375-v1</t>
        </is>
      </c>
      <c r="F971" s="12" t="inlineStr">
        <is>
          <t>1.4.1 Vehicles and Depot - Fleet Supply</t>
        </is>
      </c>
      <c r="G971" s="12" t="inlineStr">
        <is>
          <t>ONE_TO_ONE</t>
        </is>
      </c>
      <c r="H971" s="12" t="inlineStr">
        <is>
          <t>APPROVED</t>
        </is>
      </c>
      <c r="I971" s="12" t="inlineStr">
        <is>
          <t>New</t>
        </is>
      </c>
      <c r="J971" s="12" t="inlineStr">
        <is>
          <t>Source assignment -- not individually reviewed</t>
        </is>
      </c>
      <c r="K971" s="12" t="inlineStr"/>
      <c r="L971" s="12" t="inlineStr"/>
      <c r="M971" s="12" t="inlineStr"/>
      <c r="N971" s="17" t="inlineStr">
        <is>
          <t>10 EVIDENCE &amp; DECISIONS</t>
        </is>
      </c>
      <c r="O971" s="105" t="n">
        <v>1497500</v>
      </c>
      <c r="P971" s="105" t="n">
        <v>1497500</v>
      </c>
      <c r="Q971" s="105" t="inlineStr">
        <is>
          <t>CAD</t>
        </is>
      </c>
      <c r="R971" s="105" t="n"/>
      <c r="S971" s="105" t="inlineStr">
        <is>
          <t>2027-06-30</t>
        </is>
      </c>
      <c r="T971" s="105" t="inlineStr">
        <is>
          <t>C1-R0</t>
        </is>
      </c>
      <c r="U971" s="105" t="inlineStr">
        <is>
          <t>Supplied practice file monthly_cost_forecast.xlsx, row 294</t>
        </is>
      </c>
      <c r="V971" s="105" t="inlineStr">
        <is>
          <t>Whole source account, not a target allocation. Repeated target rows must not be summed. Aggregate cost / forecast remains withheld.</t>
        </is>
      </c>
    </row>
    <row r="972" ht="34" customHeight="1">
      <c r="A972" s="12" t="inlineStr">
        <is>
          <t>Cost &amp; Forecast Control Accounts</t>
        </is>
      </c>
      <c r="B972" s="12" t="inlineStr">
        <is>
          <t>CST-04-055</t>
        </is>
      </c>
      <c r="C972" s="12" t="inlineStr">
        <is>
          <t>Vehicles and Depot - fleet supply - closeout</t>
        </is>
      </c>
      <c r="D972" s="12" t="inlineStr">
        <is>
          <t>Cost Account = CA-4055; WBS Code = 1.4.1</t>
        </is>
      </c>
      <c r="E972" s="12" t="inlineStr">
        <is>
          <t>R1377-v1</t>
        </is>
      </c>
      <c r="F972" s="12" t="inlineStr">
        <is>
          <t>1.4.1 Vehicles and Depot - Fleet Supply</t>
        </is>
      </c>
      <c r="G972" s="12" t="inlineStr">
        <is>
          <t>ONE_TO_ONE</t>
        </is>
      </c>
      <c r="H972" s="12" t="inlineStr">
        <is>
          <t>APPROVED</t>
        </is>
      </c>
      <c r="I972" s="12" t="inlineStr">
        <is>
          <t>New</t>
        </is>
      </c>
      <c r="J972" s="12" t="inlineStr">
        <is>
          <t>Source assignment -- not individually reviewed</t>
        </is>
      </c>
      <c r="K972" s="12" t="inlineStr"/>
      <c r="L972" s="12" t="inlineStr"/>
      <c r="M972" s="12" t="inlineStr"/>
      <c r="N972" s="17" t="inlineStr">
        <is>
          <t>10 EVIDENCE &amp; DECISIONS</t>
        </is>
      </c>
      <c r="O972" s="105" t="n">
        <v>1532500</v>
      </c>
      <c r="P972" s="105" t="n">
        <v>1557500</v>
      </c>
      <c r="Q972" s="105" t="inlineStr">
        <is>
          <t>CAD</t>
        </is>
      </c>
      <c r="R972" s="105" t="n"/>
      <c r="S972" s="105" t="inlineStr">
        <is>
          <t>2027-06-30</t>
        </is>
      </c>
      <c r="T972" s="105" t="inlineStr">
        <is>
          <t>C1-R0</t>
        </is>
      </c>
      <c r="U972" s="105" t="inlineStr">
        <is>
          <t>Supplied practice file monthly_cost_forecast.xlsx, row 296</t>
        </is>
      </c>
      <c r="V972" s="105" t="inlineStr">
        <is>
          <t>Whole source account, not a target allocation. Repeated target rows must not be summed. Aggregate cost / forecast remains withheld.</t>
        </is>
      </c>
    </row>
    <row r="973" ht="34" customHeight="1">
      <c r="A973" s="12" t="inlineStr">
        <is>
          <t>Cost &amp; Forecast Control Accounts</t>
        </is>
      </c>
      <c r="B973" s="12" t="inlineStr">
        <is>
          <t>CST-04-057</t>
        </is>
      </c>
      <c r="C973" s="12" t="inlineStr">
        <is>
          <t>Vehicles and Depot - spares - supply and install</t>
        </is>
      </c>
      <c r="D973" s="12" t="inlineStr">
        <is>
          <t>Cost Account = CA-4057; WBS Code = 1.4.1</t>
        </is>
      </c>
      <c r="E973" s="12" t="inlineStr">
        <is>
          <t>R1379-v1</t>
        </is>
      </c>
      <c r="F973" s="12" t="inlineStr">
        <is>
          <t>1.4.1 Vehicles and Depot - Fleet Supply</t>
        </is>
      </c>
      <c r="G973" s="12" t="inlineStr">
        <is>
          <t>ONE_TO_ONE</t>
        </is>
      </c>
      <c r="H973" s="12" t="inlineStr">
        <is>
          <t>APPROVED</t>
        </is>
      </c>
      <c r="I973" s="12" t="inlineStr">
        <is>
          <t>New</t>
        </is>
      </c>
      <c r="J973" s="12" t="inlineStr">
        <is>
          <t>Source assignment -- not individually reviewed</t>
        </is>
      </c>
      <c r="K973" s="12" t="inlineStr"/>
      <c r="L973" s="12" t="inlineStr"/>
      <c r="M973" s="12" t="inlineStr"/>
      <c r="N973" s="17" t="inlineStr">
        <is>
          <t>10 EVIDENCE &amp; DECISIONS</t>
        </is>
      </c>
      <c r="O973" s="105" t="n">
        <v>1567500</v>
      </c>
      <c r="P973" s="105" t="n">
        <v>1567500</v>
      </c>
      <c r="Q973" s="105" t="inlineStr">
        <is>
          <t>CAD</t>
        </is>
      </c>
      <c r="R973" s="105" t="n"/>
      <c r="S973" s="105" t="inlineStr">
        <is>
          <t>2027-06-30</t>
        </is>
      </c>
      <c r="T973" s="105" t="inlineStr">
        <is>
          <t>C1-R0</t>
        </is>
      </c>
      <c r="U973" s="105" t="inlineStr">
        <is>
          <t>Supplied practice file monthly_cost_forecast.xlsx, row 298</t>
        </is>
      </c>
      <c r="V973" s="105" t="inlineStr">
        <is>
          <t>Whole source account, not a target allocation. Repeated target rows must not be summed. Aggregate cost / forecast remains withheld.</t>
        </is>
      </c>
    </row>
    <row r="974" ht="34" customHeight="1">
      <c r="A974" s="12" t="inlineStr">
        <is>
          <t>Cost &amp; Forecast Control Accounts</t>
        </is>
      </c>
      <c r="B974" s="12" t="inlineStr">
        <is>
          <t>CST-04-059</t>
        </is>
      </c>
      <c r="C974" s="12" t="inlineStr">
        <is>
          <t>Vehicles and Depot - workshop equipment - allowance</t>
        </is>
      </c>
      <c r="D974" s="12" t="inlineStr">
        <is>
          <t>Cost Account = CA-4059; WBS Code = 1.4.1</t>
        </is>
      </c>
      <c r="E974" s="12" t="inlineStr">
        <is>
          <t>R1381-v1</t>
        </is>
      </c>
      <c r="F974" s="12" t="inlineStr">
        <is>
          <t>1.4.1 Vehicles and Depot - Fleet Supply</t>
        </is>
      </c>
      <c r="G974" s="12" t="inlineStr">
        <is>
          <t>ONE_TO_ONE</t>
        </is>
      </c>
      <c r="H974" s="12" t="inlineStr">
        <is>
          <t>APPROVED</t>
        </is>
      </c>
      <c r="I974" s="12" t="inlineStr">
        <is>
          <t>New</t>
        </is>
      </c>
      <c r="J974" s="12" t="inlineStr">
        <is>
          <t>Source assignment -- not individually reviewed</t>
        </is>
      </c>
      <c r="K974" s="12" t="inlineStr"/>
      <c r="L974" s="12" t="inlineStr"/>
      <c r="M974" s="12" t="inlineStr"/>
      <c r="N974" s="17" t="inlineStr">
        <is>
          <t>10 EVIDENCE &amp; DECISIONS</t>
        </is>
      </c>
      <c r="O974" s="105" t="n">
        <v>1602500</v>
      </c>
      <c r="P974" s="105" t="n">
        <v>1627500</v>
      </c>
      <c r="Q974" s="105" t="inlineStr">
        <is>
          <t>CAD</t>
        </is>
      </c>
      <c r="R974" s="105" t="n"/>
      <c r="S974" s="105" t="inlineStr">
        <is>
          <t>2027-06-30</t>
        </is>
      </c>
      <c r="T974" s="105" t="inlineStr">
        <is>
          <t>C1-R0</t>
        </is>
      </c>
      <c r="U974" s="105" t="inlineStr">
        <is>
          <t>Supplied practice file monthly_cost_forecast.xlsx, row 300</t>
        </is>
      </c>
      <c r="V974" s="105" t="inlineStr">
        <is>
          <t>Whole source account, not a target allocation. Repeated target rows must not be summed. Aggregate cost / forecast remains withheld.</t>
        </is>
      </c>
    </row>
    <row r="975" ht="34" customHeight="1">
      <c r="A975" s="12" t="inlineStr">
        <is>
          <t>Cost &amp; Forecast Control Accounts</t>
        </is>
      </c>
      <c r="B975" s="12" t="inlineStr">
        <is>
          <t>CST-04-061</t>
        </is>
      </c>
      <c r="C975" s="12" t="inlineStr">
        <is>
          <t>Vehicles and Depot - fleet supply - field package</t>
        </is>
      </c>
      <c r="D975" s="12" t="inlineStr">
        <is>
          <t>Cost Account = CA-4061; WBS Code = 1.4.1</t>
        </is>
      </c>
      <c r="E975" s="12" t="inlineStr">
        <is>
          <t>R1383-v1</t>
        </is>
      </c>
      <c r="F975" s="12" t="inlineStr">
        <is>
          <t>1.4.1 Vehicles and Depot - Fleet Supply</t>
        </is>
      </c>
      <c r="G975" s="12" t="inlineStr">
        <is>
          <t>ONE_TO_ONE</t>
        </is>
      </c>
      <c r="H975" s="12" t="inlineStr">
        <is>
          <t>APPROVED</t>
        </is>
      </c>
      <c r="I975" s="12" t="inlineStr">
        <is>
          <t>New</t>
        </is>
      </c>
      <c r="J975" s="12" t="inlineStr">
        <is>
          <t>Source assignment -- not individually reviewed</t>
        </is>
      </c>
      <c r="K975" s="12" t="inlineStr"/>
      <c r="L975" s="12" t="inlineStr"/>
      <c r="M975" s="12" t="inlineStr"/>
      <c r="N975" s="17" t="inlineStr">
        <is>
          <t>10 EVIDENCE &amp; DECISIONS</t>
        </is>
      </c>
      <c r="O975" s="105" t="n">
        <v>1637500</v>
      </c>
      <c r="P975" s="105" t="n">
        <v>1637500</v>
      </c>
      <c r="Q975" s="105" t="inlineStr">
        <is>
          <t>CAD</t>
        </is>
      </c>
      <c r="R975" s="105" t="n"/>
      <c r="S975" s="105" t="inlineStr">
        <is>
          <t>2027-06-30</t>
        </is>
      </c>
      <c r="T975" s="105" t="inlineStr">
        <is>
          <t>C1-R0</t>
        </is>
      </c>
      <c r="U975" s="105" t="inlineStr">
        <is>
          <t>Supplied practice file monthly_cost_forecast.xlsx, row 302</t>
        </is>
      </c>
      <c r="V975" s="105" t="inlineStr">
        <is>
          <t>Whole source account, not a target allocation. Repeated target rows must not be summed. Aggregate cost / forecast remains withheld.</t>
        </is>
      </c>
    </row>
    <row r="976" ht="34" customHeight="1">
      <c r="A976" s="12" t="inlineStr">
        <is>
          <t>Cost &amp; Forecast Control Accounts</t>
        </is>
      </c>
      <c r="B976" s="12" t="inlineStr">
        <is>
          <t>CST-04-063</t>
        </is>
      </c>
      <c r="C976" s="12" t="inlineStr">
        <is>
          <t>Vehicles and Depot - spares - professional services</t>
        </is>
      </c>
      <c r="D976" s="12" t="inlineStr">
        <is>
          <t>Cost Account = CA-4063; WBS Code = 1.4.1</t>
        </is>
      </c>
      <c r="E976" s="12" t="inlineStr">
        <is>
          <t>R1385-v1</t>
        </is>
      </c>
      <c r="F976" s="12" t="inlineStr">
        <is>
          <t>1.4.1 Vehicles and Depot - Fleet Supply</t>
        </is>
      </c>
      <c r="G976" s="12" t="inlineStr">
        <is>
          <t>ONE_TO_ONE</t>
        </is>
      </c>
      <c r="H976" s="12" t="inlineStr">
        <is>
          <t>APPROVED</t>
        </is>
      </c>
      <c r="I976" s="12" t="inlineStr">
        <is>
          <t>New</t>
        </is>
      </c>
      <c r="J976" s="12" t="inlineStr">
        <is>
          <t>Source assignment -- not individually reviewed</t>
        </is>
      </c>
      <c r="K976" s="12" t="inlineStr"/>
      <c r="L976" s="12" t="inlineStr"/>
      <c r="M976" s="12" t="inlineStr"/>
      <c r="N976" s="17" t="inlineStr">
        <is>
          <t>10 EVIDENCE &amp; DECISIONS</t>
        </is>
      </c>
      <c r="O976" s="105" t="n">
        <v>1672500</v>
      </c>
      <c r="P976" s="105" t="n">
        <v>1697500</v>
      </c>
      <c r="Q976" s="105" t="inlineStr">
        <is>
          <t>CAD</t>
        </is>
      </c>
      <c r="R976" s="105" t="n"/>
      <c r="S976" s="105" t="inlineStr">
        <is>
          <t>2027-06-30</t>
        </is>
      </c>
      <c r="T976" s="105" t="inlineStr">
        <is>
          <t>C1-R0</t>
        </is>
      </c>
      <c r="U976" s="105" t="inlineStr">
        <is>
          <t>Supplied practice file monthly_cost_forecast.xlsx, row 304</t>
        </is>
      </c>
      <c r="V976" s="105" t="inlineStr">
        <is>
          <t>Whole source account, not a target allocation. Repeated target rows must not be summed. Aggregate cost / forecast remains withheld.</t>
        </is>
      </c>
    </row>
    <row r="977" ht="34" customHeight="1">
      <c r="A977" s="12" t="inlineStr">
        <is>
          <t>Cost &amp; Forecast Control Accounts</t>
        </is>
      </c>
      <c r="B977" s="12" t="inlineStr">
        <is>
          <t>CST-04-065</t>
        </is>
      </c>
      <c r="C977" s="12" t="inlineStr">
        <is>
          <t>Vehicles and Depot - workshop equipment - closeout</t>
        </is>
      </c>
      <c r="D977" s="12" t="inlineStr">
        <is>
          <t>Cost Account = CA-4065; WBS Code = 1.4.1</t>
        </is>
      </c>
      <c r="E977" s="12" t="inlineStr">
        <is>
          <t>R1387-v1</t>
        </is>
      </c>
      <c r="F977" s="12" t="inlineStr">
        <is>
          <t>1.4.1 Vehicles and Depot - Fleet Supply</t>
        </is>
      </c>
      <c r="G977" s="12" t="inlineStr">
        <is>
          <t>ONE_TO_ONE</t>
        </is>
      </c>
      <c r="H977" s="12" t="inlineStr">
        <is>
          <t>APPROVED</t>
        </is>
      </c>
      <c r="I977" s="12" t="inlineStr">
        <is>
          <t>New</t>
        </is>
      </c>
      <c r="J977" s="12" t="inlineStr">
        <is>
          <t>Source assignment -- not individually reviewed</t>
        </is>
      </c>
      <c r="K977" s="12" t="inlineStr"/>
      <c r="L977" s="12" t="inlineStr"/>
      <c r="M977" s="12" t="inlineStr"/>
      <c r="N977" s="17" t="inlineStr">
        <is>
          <t>10 EVIDENCE &amp; DECISIONS</t>
        </is>
      </c>
      <c r="O977" s="105" t="n">
        <v>1707500</v>
      </c>
      <c r="P977" s="105" t="n">
        <v>1707500</v>
      </c>
      <c r="Q977" s="105" t="inlineStr">
        <is>
          <t>CAD</t>
        </is>
      </c>
      <c r="R977" s="105" t="n"/>
      <c r="S977" s="105" t="inlineStr">
        <is>
          <t>2027-06-30</t>
        </is>
      </c>
      <c r="T977" s="105" t="inlineStr">
        <is>
          <t>C1-R0</t>
        </is>
      </c>
      <c r="U977" s="105" t="inlineStr">
        <is>
          <t>Supplied practice file monthly_cost_forecast.xlsx, row 306</t>
        </is>
      </c>
      <c r="V977" s="105" t="inlineStr">
        <is>
          <t>Whole source account, not a target allocation. Repeated target rows must not be summed. Aggregate cost / forecast remains withheld.</t>
        </is>
      </c>
    </row>
    <row r="978" ht="34" customHeight="1">
      <c r="A978" s="12" t="inlineStr">
        <is>
          <t>Cost &amp; Forecast Control Accounts</t>
        </is>
      </c>
      <c r="B978" s="12" t="inlineStr">
        <is>
          <t>CST-04-067</t>
        </is>
      </c>
      <c r="C978" s="12" t="inlineStr">
        <is>
          <t>Vehicles and Depot - fleet supply - supply and install</t>
        </is>
      </c>
      <c r="D978" s="12" t="inlineStr">
        <is>
          <t>Cost Account = CA-4067; WBS Code = 1.4.1</t>
        </is>
      </c>
      <c r="E978" s="12" t="inlineStr">
        <is>
          <t>R1389-v1</t>
        </is>
      </c>
      <c r="F978" s="12" t="inlineStr">
        <is>
          <t>1.4.1 Vehicles and Depot - Fleet Supply</t>
        </is>
      </c>
      <c r="G978" s="12" t="inlineStr">
        <is>
          <t>ONE_TO_ONE</t>
        </is>
      </c>
      <c r="H978" s="12" t="inlineStr">
        <is>
          <t>APPROVED</t>
        </is>
      </c>
      <c r="I978" s="12" t="inlineStr">
        <is>
          <t>New</t>
        </is>
      </c>
      <c r="J978" s="12" t="inlineStr">
        <is>
          <t>Source assignment -- not individually reviewed</t>
        </is>
      </c>
      <c r="K978" s="12" t="inlineStr"/>
      <c r="L978" s="12" t="inlineStr"/>
      <c r="M978" s="12" t="inlineStr"/>
      <c r="N978" s="17" t="inlineStr">
        <is>
          <t>10 EVIDENCE &amp; DECISIONS</t>
        </is>
      </c>
      <c r="O978" s="105" t="n">
        <v>1742500</v>
      </c>
      <c r="P978" s="105" t="n">
        <v>1767500</v>
      </c>
      <c r="Q978" s="105" t="inlineStr">
        <is>
          <t>CAD</t>
        </is>
      </c>
      <c r="R978" s="105" t="n"/>
      <c r="S978" s="105" t="inlineStr">
        <is>
          <t>2027-06-30</t>
        </is>
      </c>
      <c r="T978" s="105" t="inlineStr">
        <is>
          <t>C1-R0</t>
        </is>
      </c>
      <c r="U978" s="105" t="inlineStr">
        <is>
          <t>Supplied practice file monthly_cost_forecast.xlsx, row 308</t>
        </is>
      </c>
      <c r="V978" s="105" t="inlineStr">
        <is>
          <t>Whole source account, not a target allocation. Repeated target rows must not be summed. Aggregate cost / forecast remains withheld.</t>
        </is>
      </c>
    </row>
    <row r="979" ht="34" customHeight="1">
      <c r="A979" s="12" t="inlineStr">
        <is>
          <t>Cost &amp; Forecast Control Accounts</t>
        </is>
      </c>
      <c r="B979" s="12" t="inlineStr">
        <is>
          <t>CST-04-069</t>
        </is>
      </c>
      <c r="C979" s="12" t="inlineStr">
        <is>
          <t>Vehicles and Depot - spares - allowance</t>
        </is>
      </c>
      <c r="D979" s="12" t="inlineStr">
        <is>
          <t>Cost Account = CA-4069; WBS Code = 1.4.1</t>
        </is>
      </c>
      <c r="E979" s="12" t="inlineStr">
        <is>
          <t>R1391-v1</t>
        </is>
      </c>
      <c r="F979" s="12" t="inlineStr">
        <is>
          <t>1.4.1 Vehicles and Depot - Fleet Supply</t>
        </is>
      </c>
      <c r="G979" s="12" t="inlineStr">
        <is>
          <t>ONE_TO_ONE</t>
        </is>
      </c>
      <c r="H979" s="12" t="inlineStr">
        <is>
          <t>APPROVED</t>
        </is>
      </c>
      <c r="I979" s="12" t="inlineStr">
        <is>
          <t>New</t>
        </is>
      </c>
      <c r="J979" s="12" t="inlineStr">
        <is>
          <t>Source assignment -- not individually reviewed</t>
        </is>
      </c>
      <c r="K979" s="12" t="inlineStr"/>
      <c r="L979" s="12" t="inlineStr"/>
      <c r="M979" s="12" t="inlineStr"/>
      <c r="N979" s="17" t="inlineStr">
        <is>
          <t>10 EVIDENCE &amp; DECISIONS</t>
        </is>
      </c>
      <c r="O979" s="105" t="n">
        <v>1777500</v>
      </c>
      <c r="P979" s="105" t="n">
        <v>1777500</v>
      </c>
      <c r="Q979" s="105" t="inlineStr">
        <is>
          <t>CAD</t>
        </is>
      </c>
      <c r="R979" s="105" t="n"/>
      <c r="S979" s="105" t="inlineStr">
        <is>
          <t>2027-06-30</t>
        </is>
      </c>
      <c r="T979" s="105" t="inlineStr">
        <is>
          <t>C1-R0</t>
        </is>
      </c>
      <c r="U979" s="105" t="inlineStr">
        <is>
          <t>Supplied practice file monthly_cost_forecast.xlsx, row 310</t>
        </is>
      </c>
      <c r="V979" s="105" t="inlineStr">
        <is>
          <t>Whole source account, not a target allocation. Repeated target rows must not be summed. Aggregate cost / forecast remains withheld.</t>
        </is>
      </c>
    </row>
    <row r="980" ht="34" customHeight="1">
      <c r="A980" s="12" t="inlineStr">
        <is>
          <t>Cost &amp; Forecast Control Accounts</t>
        </is>
      </c>
      <c r="B980" s="12" t="inlineStr">
        <is>
          <t>CST-04-071</t>
        </is>
      </c>
      <c r="C980" s="12" t="inlineStr">
        <is>
          <t>Vehicles and Depot - workshop equipment - field package</t>
        </is>
      </c>
      <c r="D980" s="12" t="inlineStr">
        <is>
          <t>Cost Account = CA-4071; WBS Code = 1.4.1</t>
        </is>
      </c>
      <c r="E980" s="12" t="inlineStr">
        <is>
          <t>R1393-v1</t>
        </is>
      </c>
      <c r="F980" s="12" t="inlineStr">
        <is>
          <t>1.4.1 Vehicles and Depot - Fleet Supply</t>
        </is>
      </c>
      <c r="G980" s="12" t="inlineStr">
        <is>
          <t>ONE_TO_ONE</t>
        </is>
      </c>
      <c r="H980" s="12" t="inlineStr">
        <is>
          <t>APPROVED</t>
        </is>
      </c>
      <c r="I980" s="12" t="inlineStr">
        <is>
          <t>New</t>
        </is>
      </c>
      <c r="J980" s="12" t="inlineStr">
        <is>
          <t>Source assignment -- not individually reviewed</t>
        </is>
      </c>
      <c r="K980" s="12" t="inlineStr"/>
      <c r="L980" s="12" t="inlineStr"/>
      <c r="M980" s="12" t="inlineStr"/>
      <c r="N980" s="17" t="inlineStr">
        <is>
          <t>10 EVIDENCE &amp; DECISIONS</t>
        </is>
      </c>
      <c r="O980" s="105" t="n">
        <v>1812500</v>
      </c>
      <c r="P980" s="105" t="n">
        <v>1837500</v>
      </c>
      <c r="Q980" s="105" t="inlineStr">
        <is>
          <t>CAD</t>
        </is>
      </c>
      <c r="R980" s="105" t="n"/>
      <c r="S980" s="105" t="inlineStr">
        <is>
          <t>2027-06-30</t>
        </is>
      </c>
      <c r="T980" s="105" t="inlineStr">
        <is>
          <t>C1-R0</t>
        </is>
      </c>
      <c r="U980" s="105" t="inlineStr">
        <is>
          <t>Supplied practice file monthly_cost_forecast.xlsx, row 312</t>
        </is>
      </c>
      <c r="V980" s="105" t="inlineStr">
        <is>
          <t>Whole source account, not a target allocation. Repeated target rows must not be summed. Aggregate cost / forecast remains withheld.</t>
        </is>
      </c>
    </row>
    <row r="981" ht="34" customHeight="1">
      <c r="A981" s="12" t="inlineStr">
        <is>
          <t>Cost &amp; Forecast Control Accounts</t>
        </is>
      </c>
      <c r="B981" s="12" t="inlineStr">
        <is>
          <t>CST-04-073</t>
        </is>
      </c>
      <c r="C981" s="12" t="inlineStr">
        <is>
          <t>Vehicles and Depot - fleet supply - professional services</t>
        </is>
      </c>
      <c r="D981" s="12" t="inlineStr">
        <is>
          <t>Cost Account = CA-4073; WBS Code = 1.4.1</t>
        </is>
      </c>
      <c r="E981" s="12" t="inlineStr">
        <is>
          <t>R1395-v1</t>
        </is>
      </c>
      <c r="F981" s="12" t="inlineStr">
        <is>
          <t>1.4.1 Vehicles and Depot - Fleet Supply</t>
        </is>
      </c>
      <c r="G981" s="12" t="inlineStr">
        <is>
          <t>ONE_TO_ONE</t>
        </is>
      </c>
      <c r="H981" s="12" t="inlineStr">
        <is>
          <t>APPROVED</t>
        </is>
      </c>
      <c r="I981" s="12" t="inlineStr">
        <is>
          <t>New</t>
        </is>
      </c>
      <c r="J981" s="12" t="inlineStr">
        <is>
          <t>Source assignment -- not individually reviewed</t>
        </is>
      </c>
      <c r="K981" s="12" t="inlineStr"/>
      <c r="L981" s="12" t="inlineStr"/>
      <c r="M981" s="12" t="inlineStr"/>
      <c r="N981" s="17" t="inlineStr">
        <is>
          <t>10 EVIDENCE &amp; DECISIONS</t>
        </is>
      </c>
      <c r="O981" s="105" t="n">
        <v>1847500</v>
      </c>
      <c r="P981" s="105" t="n">
        <v>1847500</v>
      </c>
      <c r="Q981" s="105" t="inlineStr">
        <is>
          <t>CAD</t>
        </is>
      </c>
      <c r="R981" s="105" t="n"/>
      <c r="S981" s="105" t="inlineStr">
        <is>
          <t>2027-06-30</t>
        </is>
      </c>
      <c r="T981" s="105" t="inlineStr">
        <is>
          <t>C1-R0</t>
        </is>
      </c>
      <c r="U981" s="105" t="inlineStr">
        <is>
          <t>Supplied practice file monthly_cost_forecast.xlsx, row 314</t>
        </is>
      </c>
      <c r="V981" s="105" t="inlineStr">
        <is>
          <t>Whole source account, not a target allocation. Repeated target rows must not be summed. Aggregate cost / forecast remains withheld.</t>
        </is>
      </c>
    </row>
    <row r="982" ht="34" customHeight="1">
      <c r="A982" s="12" t="inlineStr">
        <is>
          <t>Cost &amp; Forecast Control Accounts</t>
        </is>
      </c>
      <c r="B982" s="12" t="inlineStr">
        <is>
          <t>CST-04-075</t>
        </is>
      </c>
      <c r="C982" s="12" t="inlineStr">
        <is>
          <t>Vehicles and Depot - spares - closeout</t>
        </is>
      </c>
      <c r="D982" s="12" t="inlineStr">
        <is>
          <t>Cost Account = CA-4075; WBS Code = 1.4.1</t>
        </is>
      </c>
      <c r="E982" s="12" t="inlineStr">
        <is>
          <t>R1397-v1</t>
        </is>
      </c>
      <c r="F982" s="12" t="inlineStr">
        <is>
          <t>1.4.1 Vehicles and Depot - Fleet Supply</t>
        </is>
      </c>
      <c r="G982" s="12" t="inlineStr">
        <is>
          <t>ONE_TO_ONE</t>
        </is>
      </c>
      <c r="H982" s="12" t="inlineStr">
        <is>
          <t>APPROVED</t>
        </is>
      </c>
      <c r="I982" s="12" t="inlineStr">
        <is>
          <t>New</t>
        </is>
      </c>
      <c r="J982" s="12" t="inlineStr">
        <is>
          <t>Source assignment -- not individually reviewed</t>
        </is>
      </c>
      <c r="K982" s="12" t="inlineStr"/>
      <c r="L982" s="12" t="inlineStr"/>
      <c r="M982" s="12" t="inlineStr"/>
      <c r="N982" s="17" t="inlineStr">
        <is>
          <t>10 EVIDENCE &amp; DECISIONS</t>
        </is>
      </c>
      <c r="O982" s="105" t="n">
        <v>1882500</v>
      </c>
      <c r="P982" s="105" t="n">
        <v>1907500</v>
      </c>
      <c r="Q982" s="105" t="inlineStr">
        <is>
          <t>CAD</t>
        </is>
      </c>
      <c r="R982" s="105" t="n"/>
      <c r="S982" s="105" t="inlineStr">
        <is>
          <t>2027-06-30</t>
        </is>
      </c>
      <c r="T982" s="105" t="inlineStr">
        <is>
          <t>C1-R0</t>
        </is>
      </c>
      <c r="U982" s="105" t="inlineStr">
        <is>
          <t>Supplied practice file monthly_cost_forecast.xlsx, row 316</t>
        </is>
      </c>
      <c r="V982" s="105" t="inlineStr">
        <is>
          <t>Whole source account, not a target allocation. Repeated target rows must not be summed. Aggregate cost / forecast remains withheld.</t>
        </is>
      </c>
    </row>
    <row r="983" ht="34" customHeight="1">
      <c r="A983" s="12" t="inlineStr">
        <is>
          <t>Cost &amp; Forecast Control Accounts</t>
        </is>
      </c>
      <c r="B983" s="12" t="inlineStr">
        <is>
          <t>CST-04-077</t>
        </is>
      </c>
      <c r="C983" s="12" t="inlineStr">
        <is>
          <t>Vehicles and Depot - workshop equipment - supply and install</t>
        </is>
      </c>
      <c r="D983" s="12" t="inlineStr">
        <is>
          <t>Cost Account = CA-4077; WBS Code = 1.4.1</t>
        </is>
      </c>
      <c r="E983" s="12" t="inlineStr">
        <is>
          <t>R1399-v1</t>
        </is>
      </c>
      <c r="F983" s="12" t="inlineStr">
        <is>
          <t>1.4.1 Vehicles and Depot - Fleet Supply</t>
        </is>
      </c>
      <c r="G983" s="12" t="inlineStr">
        <is>
          <t>ONE_TO_ONE</t>
        </is>
      </c>
      <c r="H983" s="12" t="inlineStr">
        <is>
          <t>APPROVED</t>
        </is>
      </c>
      <c r="I983" s="12" t="inlineStr">
        <is>
          <t>New</t>
        </is>
      </c>
      <c r="J983" s="12" t="inlineStr">
        <is>
          <t>Source assignment -- not individually reviewed</t>
        </is>
      </c>
      <c r="K983" s="12" t="inlineStr"/>
      <c r="L983" s="12" t="inlineStr"/>
      <c r="M983" s="12" t="inlineStr"/>
      <c r="N983" s="17" t="inlineStr">
        <is>
          <t>10 EVIDENCE &amp; DECISIONS</t>
        </is>
      </c>
      <c r="O983" s="105" t="n">
        <v>1917500</v>
      </c>
      <c r="P983" s="105" t="n">
        <v>1917500</v>
      </c>
      <c r="Q983" s="105" t="inlineStr">
        <is>
          <t>CAD</t>
        </is>
      </c>
      <c r="R983" s="105" t="n"/>
      <c r="S983" s="105" t="inlineStr">
        <is>
          <t>2027-06-30</t>
        </is>
      </c>
      <c r="T983" s="105" t="inlineStr">
        <is>
          <t>C1-R0</t>
        </is>
      </c>
      <c r="U983" s="105" t="inlineStr">
        <is>
          <t>Supplied practice file monthly_cost_forecast.xlsx, row 318</t>
        </is>
      </c>
      <c r="V983" s="105" t="inlineStr">
        <is>
          <t>Whole source account, not a target allocation. Repeated target rows must not be summed. Aggregate cost / forecast remains withheld.</t>
        </is>
      </c>
    </row>
    <row r="984" ht="34" customHeight="1">
      <c r="A984" s="12" t="inlineStr">
        <is>
          <t>Cost &amp; Forecast Control Accounts</t>
        </is>
      </c>
      <c r="B984" s="12" t="inlineStr">
        <is>
          <t>CST-04-079</t>
        </is>
      </c>
      <c r="C984" s="12" t="inlineStr">
        <is>
          <t>Vehicles and Depot - fleet supply - allowance</t>
        </is>
      </c>
      <c r="D984" s="12" t="inlineStr">
        <is>
          <t>Cost Account = CA-4079; WBS Code = 1.4.1</t>
        </is>
      </c>
      <c r="E984" s="12" t="inlineStr">
        <is>
          <t>R1401-v1</t>
        </is>
      </c>
      <c r="F984" s="12" t="inlineStr">
        <is>
          <t>1.4.1 Vehicles and Depot - Fleet Supply</t>
        </is>
      </c>
      <c r="G984" s="12" t="inlineStr">
        <is>
          <t>ONE_TO_ONE</t>
        </is>
      </c>
      <c r="H984" s="12" t="inlineStr">
        <is>
          <t>APPROVED</t>
        </is>
      </c>
      <c r="I984" s="12" t="inlineStr">
        <is>
          <t>New</t>
        </is>
      </c>
      <c r="J984" s="12" t="inlineStr">
        <is>
          <t>Source assignment -- not individually reviewed</t>
        </is>
      </c>
      <c r="K984" s="12" t="inlineStr"/>
      <c r="L984" s="12" t="inlineStr"/>
      <c r="M984" s="12" t="inlineStr"/>
      <c r="N984" s="17" t="inlineStr">
        <is>
          <t>10 EVIDENCE &amp; DECISIONS</t>
        </is>
      </c>
      <c r="O984" s="105" t="n">
        <v>1952500</v>
      </c>
      <c r="P984" s="105" t="n">
        <v>1977500</v>
      </c>
      <c r="Q984" s="105" t="inlineStr">
        <is>
          <t>CAD</t>
        </is>
      </c>
      <c r="R984" s="105" t="n"/>
      <c r="S984" s="105" t="inlineStr">
        <is>
          <t>2027-06-30</t>
        </is>
      </c>
      <c r="T984" s="105" t="inlineStr">
        <is>
          <t>C1-R0</t>
        </is>
      </c>
      <c r="U984" s="105" t="inlineStr">
        <is>
          <t>Supplied practice file monthly_cost_forecast.xlsx, row 320</t>
        </is>
      </c>
      <c r="V984" s="105" t="inlineStr">
        <is>
          <t>Whole source account, not a target allocation. Repeated target rows must not be summed. Aggregate cost / forecast remains withheld.</t>
        </is>
      </c>
    </row>
    <row r="985" ht="34" customHeight="1">
      <c r="A985" s="12" t="inlineStr">
        <is>
          <t>Contractor Programme</t>
        </is>
      </c>
      <c r="B985" s="12" t="inlineStr">
        <is>
          <t>SCH-04-006</t>
        </is>
      </c>
      <c r="C985" s="12" t="inlineStr">
        <is>
          <t>Test track: maintenance-bay services - release</t>
        </is>
      </c>
      <c r="D985" s="12" t="inlineStr">
        <is>
          <t>WBS Code = 1.4.2</t>
        </is>
      </c>
      <c r="E985" s="12" t="inlineStr">
        <is>
          <t>R546-v1</t>
        </is>
      </c>
      <c r="F985" s="12" t="inlineStr">
        <is>
          <t>1.4.2 Vehicles and Depot - Depot Buildings</t>
        </is>
      </c>
      <c r="G985" s="12" t="inlineStr">
        <is>
          <t>ONE_TO_ONE</t>
        </is>
      </c>
      <c r="H985" s="12" t="inlineStr">
        <is>
          <t>APPROVED</t>
        </is>
      </c>
      <c r="I985" s="12" t="inlineStr">
        <is>
          <t>New</t>
        </is>
      </c>
      <c r="J985" s="12" t="inlineStr">
        <is>
          <t>Source assignment -- not individually reviewed</t>
        </is>
      </c>
      <c r="K985" s="12" t="inlineStr"/>
      <c r="L985" s="12" t="inlineStr"/>
      <c r="M985" s="12" t="inlineStr"/>
      <c r="N985" s="17" t="inlineStr">
        <is>
          <t>10 EVIDENCE &amp; DECISIONS</t>
        </is>
      </c>
    </row>
    <row r="986" ht="34" customHeight="1">
      <c r="A986" s="12" t="inlineStr">
        <is>
          <t>Contractor Programme</t>
        </is>
      </c>
      <c r="B986" s="12" t="inlineStr">
        <is>
          <t>SCH-04-009</t>
        </is>
      </c>
      <c r="C986" s="12" t="inlineStr">
        <is>
          <t>Storage yard: vehicle-to-depot interface check - inspection</t>
        </is>
      </c>
      <c r="D986" s="12" t="inlineStr">
        <is>
          <t>WBS Code = 1.4.2</t>
        </is>
      </c>
      <c r="E986" s="12" t="inlineStr">
        <is>
          <t>R549-v1</t>
        </is>
      </c>
      <c r="F986" s="12" t="inlineStr">
        <is>
          <t>1.4.2 Vehicles and Depot - Depot Buildings</t>
        </is>
      </c>
      <c r="G986" s="12" t="inlineStr">
        <is>
          <t>ONE_TO_ONE</t>
        </is>
      </c>
      <c r="H986" s="12" t="inlineStr">
        <is>
          <t>APPROVED</t>
        </is>
      </c>
      <c r="I986" s="12" t="inlineStr">
        <is>
          <t>New</t>
        </is>
      </c>
      <c r="J986" s="12" t="inlineStr">
        <is>
          <t>Source assignment -- not individually reviewed</t>
        </is>
      </c>
      <c r="K986" s="12" t="inlineStr"/>
      <c r="L986" s="12" t="inlineStr"/>
      <c r="M986" s="12" t="inlineStr"/>
      <c r="N986" s="17" t="inlineStr">
        <is>
          <t>10 EVIDENCE &amp; DECISIONS</t>
        </is>
      </c>
    </row>
    <row r="987" ht="34" customHeight="1">
      <c r="A987" s="12" t="inlineStr">
        <is>
          <t>Contractor Programme</t>
        </is>
      </c>
      <c r="B987" s="12" t="inlineStr">
        <is>
          <t>SCH-04-012</t>
        </is>
      </c>
      <c r="C987" s="12" t="inlineStr">
        <is>
          <t>Receiving track: vehicle delivery inspection - field start</t>
        </is>
      </c>
      <c r="D987" s="12" t="inlineStr">
        <is>
          <t>WBS Code = 1.4.2</t>
        </is>
      </c>
      <c r="E987" s="12" t="inlineStr">
        <is>
          <t>R552-v1</t>
        </is>
      </c>
      <c r="F987" s="12" t="inlineStr">
        <is>
          <t>1.4.2 Vehicles and Depot - Depot Buildings</t>
        </is>
      </c>
      <c r="G987" s="12" t="inlineStr">
        <is>
          <t>ONE_TO_ONE</t>
        </is>
      </c>
      <c r="H987" s="12" t="inlineStr">
        <is>
          <t>APPROVED</t>
        </is>
      </c>
      <c r="I987" s="12" t="inlineStr">
        <is>
          <t>New</t>
        </is>
      </c>
      <c r="J987" s="12" t="inlineStr">
        <is>
          <t>Source assignment -- not individually reviewed</t>
        </is>
      </c>
      <c r="K987" s="12" t="inlineStr"/>
      <c r="L987" s="12" t="inlineStr"/>
      <c r="M987" s="12" t="inlineStr"/>
      <c r="N987" s="17" t="inlineStr">
        <is>
          <t>10 EVIDENCE &amp; DECISIONS</t>
        </is>
      </c>
    </row>
    <row r="988" ht="34" customHeight="1">
      <c r="A988" s="12" t="inlineStr">
        <is>
          <t>Contractor Programme</t>
        </is>
      </c>
      <c r="B988" s="12" t="inlineStr">
        <is>
          <t>SCH-04-015</t>
        </is>
      </c>
      <c r="C988" s="12" t="inlineStr">
        <is>
          <t>Operations building: depot structural fit-out - turnover</t>
        </is>
      </c>
      <c r="D988" s="12" t="inlineStr">
        <is>
          <t>WBS Code = 1.4.2</t>
        </is>
      </c>
      <c r="E988" s="12" t="inlineStr">
        <is>
          <t>R555-v1</t>
        </is>
      </c>
      <c r="F988" s="12" t="inlineStr">
        <is>
          <t>1.4.2 Vehicles and Depot - Depot Buildings</t>
        </is>
      </c>
      <c r="G988" s="12" t="inlineStr">
        <is>
          <t>ONE_TO_ONE</t>
        </is>
      </c>
      <c r="H988" s="12" t="inlineStr">
        <is>
          <t>APPROVED</t>
        </is>
      </c>
      <c r="I988" s="12" t="inlineStr">
        <is>
          <t>New</t>
        </is>
      </c>
      <c r="J988" s="12" t="inlineStr">
        <is>
          <t>Source assignment -- not individually reviewed</t>
        </is>
      </c>
      <c r="K988" s="12" t="inlineStr"/>
      <c r="L988" s="12" t="inlineStr"/>
      <c r="M988" s="12" t="inlineStr"/>
      <c r="N988" s="17" t="inlineStr">
        <is>
          <t>10 EVIDENCE &amp; DECISIONS</t>
        </is>
      </c>
    </row>
    <row r="989" ht="34" customHeight="1">
      <c r="A989" s="12" t="inlineStr">
        <is>
          <t>Contractor Programme</t>
        </is>
      </c>
      <c r="B989" s="12" t="inlineStr">
        <is>
          <t>SCH-04-018</t>
        </is>
      </c>
      <c r="C989" s="12" t="inlineStr">
        <is>
          <t>Maintenance shop: wheel-lathe installation - installation</t>
        </is>
      </c>
      <c r="D989" s="12" t="inlineStr">
        <is>
          <t>WBS Code = 1.4.2</t>
        </is>
      </c>
      <c r="E989" s="12" t="inlineStr">
        <is>
          <t>R558-v1</t>
        </is>
      </c>
      <c r="F989" s="12" t="inlineStr">
        <is>
          <t>1.4.2 Vehicles and Depot - Depot Buildings</t>
        </is>
      </c>
      <c r="G989" s="12" t="inlineStr">
        <is>
          <t>ONE_TO_ONE</t>
        </is>
      </c>
      <c r="H989" s="12" t="inlineStr">
        <is>
          <t>APPROVED</t>
        </is>
      </c>
      <c r="I989" s="12" t="inlineStr">
        <is>
          <t>New</t>
        </is>
      </c>
      <c r="J989" s="12" t="inlineStr">
        <is>
          <t>Source assignment -- not individually reviewed</t>
        </is>
      </c>
      <c r="K989" s="12" t="inlineStr"/>
      <c r="L989" s="12" t="inlineStr"/>
      <c r="M989" s="12" t="inlineStr"/>
      <c r="N989" s="17" t="inlineStr">
        <is>
          <t>10 EVIDENCE &amp; DECISIONS</t>
        </is>
      </c>
    </row>
    <row r="990" ht="34" customHeight="1">
      <c r="A990" s="12" t="inlineStr">
        <is>
          <t>Contractor Programme</t>
        </is>
      </c>
      <c r="B990" s="12" t="inlineStr">
        <is>
          <t>SCH-04-021</t>
        </is>
      </c>
      <c r="C990" s="12" t="inlineStr">
        <is>
          <t>Test track: wash-plant commissioning - release</t>
        </is>
      </c>
      <c r="D990" s="12" t="inlineStr">
        <is>
          <t>WBS Code = 1.4.2</t>
        </is>
      </c>
      <c r="E990" s="12" t="inlineStr">
        <is>
          <t>R561-v1</t>
        </is>
      </c>
      <c r="F990" s="12" t="inlineStr">
        <is>
          <t>1.4.2 Vehicles and Depot - Depot Buildings</t>
        </is>
      </c>
      <c r="G990" s="12" t="inlineStr">
        <is>
          <t>ONE_TO_ONE</t>
        </is>
      </c>
      <c r="H990" s="12" t="inlineStr">
        <is>
          <t>APPROVED</t>
        </is>
      </c>
      <c r="I990" s="12" t="inlineStr">
        <is>
          <t>New</t>
        </is>
      </c>
      <c r="J990" s="12" t="inlineStr">
        <is>
          <t>Source assignment -- not individually reviewed</t>
        </is>
      </c>
      <c r="K990" s="12" t="inlineStr"/>
      <c r="L990" s="12" t="inlineStr"/>
      <c r="M990" s="12" t="inlineStr"/>
      <c r="N990" s="17" t="inlineStr">
        <is>
          <t>10 EVIDENCE &amp; DECISIONS</t>
        </is>
      </c>
    </row>
    <row r="991" ht="34" customHeight="1">
      <c r="A991" s="12" t="inlineStr">
        <is>
          <t>Contractor Programme</t>
        </is>
      </c>
      <c r="B991" s="12" t="inlineStr">
        <is>
          <t>SCH-04-024</t>
        </is>
      </c>
      <c r="C991" s="12" t="inlineStr">
        <is>
          <t>Storage yard: workshop crane installation - inspection</t>
        </is>
      </c>
      <c r="D991" s="12" t="inlineStr">
        <is>
          <t>WBS Code = 1.4.2</t>
        </is>
      </c>
      <c r="E991" s="12" t="inlineStr">
        <is>
          <t>R564-v1</t>
        </is>
      </c>
      <c r="F991" s="12" t="inlineStr">
        <is>
          <t>1.4.2 Vehicles and Depot - Depot Buildings</t>
        </is>
      </c>
      <c r="G991" s="12" t="inlineStr">
        <is>
          <t>ONE_TO_ONE</t>
        </is>
      </c>
      <c r="H991" s="12" t="inlineStr">
        <is>
          <t>APPROVED</t>
        </is>
      </c>
      <c r="I991" s="12" t="inlineStr">
        <is>
          <t>New</t>
        </is>
      </c>
      <c r="J991" s="12" t="inlineStr">
        <is>
          <t>Source assignment -- not individually reviewed</t>
        </is>
      </c>
      <c r="K991" s="12" t="inlineStr"/>
      <c r="L991" s="12" t="inlineStr"/>
      <c r="M991" s="12" t="inlineStr"/>
      <c r="N991" s="17" t="inlineStr">
        <is>
          <t>10 EVIDENCE &amp; DECISIONS</t>
        </is>
      </c>
    </row>
    <row r="992" ht="34" customHeight="1">
      <c r="A992" s="12" t="inlineStr">
        <is>
          <t>Contractor Programme</t>
        </is>
      </c>
      <c r="B992" s="12" t="inlineStr">
        <is>
          <t>SCH-04-027</t>
        </is>
      </c>
      <c r="C992" s="12" t="inlineStr">
        <is>
          <t>Receiving track: fleet software load - field start</t>
        </is>
      </c>
      <c r="D992" s="12" t="inlineStr">
        <is>
          <t>WBS Code = 1.4.2</t>
        </is>
      </c>
      <c r="E992" s="12" t="inlineStr">
        <is>
          <t>R567-v1</t>
        </is>
      </c>
      <c r="F992" s="12" t="inlineStr">
        <is>
          <t>1.4.2 Vehicles and Depot - Depot Buildings</t>
        </is>
      </c>
      <c r="G992" s="12" t="inlineStr">
        <is>
          <t>ONE_TO_ONE</t>
        </is>
      </c>
      <c r="H992" s="12" t="inlineStr">
        <is>
          <t>APPROVED</t>
        </is>
      </c>
      <c r="I992" s="12" t="inlineStr">
        <is>
          <t>New</t>
        </is>
      </c>
      <c r="J992" s="12" t="inlineStr">
        <is>
          <t>Source assignment -- not individually reviewed</t>
        </is>
      </c>
      <c r="K992" s="12" t="inlineStr"/>
      <c r="L992" s="12" t="inlineStr"/>
      <c r="M992" s="12" t="inlineStr"/>
      <c r="N992" s="17" t="inlineStr">
        <is>
          <t>10 EVIDENCE &amp; DECISIONS</t>
        </is>
      </c>
    </row>
    <row r="993" ht="34" customHeight="1">
      <c r="A993" s="12" t="inlineStr">
        <is>
          <t>Contractor Programme</t>
        </is>
      </c>
      <c r="B993" s="12" t="inlineStr">
        <is>
          <t>SCH-04-030</t>
        </is>
      </c>
      <c r="C993" s="12" t="inlineStr">
        <is>
          <t>Operations building: maintenance-bay services - turnover</t>
        </is>
      </c>
      <c r="D993" s="12" t="inlineStr">
        <is>
          <t>WBS Code = 1.4.2</t>
        </is>
      </c>
      <c r="E993" s="12" t="inlineStr">
        <is>
          <t>R570-v1</t>
        </is>
      </c>
      <c r="F993" s="12" t="inlineStr">
        <is>
          <t>1.4.2 Vehicles and Depot - Depot Buildings</t>
        </is>
      </c>
      <c r="G993" s="12" t="inlineStr">
        <is>
          <t>ONE_TO_ONE</t>
        </is>
      </c>
      <c r="H993" s="12" t="inlineStr">
        <is>
          <t>APPROVED</t>
        </is>
      </c>
      <c r="I993" s="12" t="inlineStr">
        <is>
          <t>New</t>
        </is>
      </c>
      <c r="J993" s="12" t="inlineStr">
        <is>
          <t>Source assignment -- not individually reviewed</t>
        </is>
      </c>
      <c r="K993" s="12" t="inlineStr"/>
      <c r="L993" s="12" t="inlineStr"/>
      <c r="M993" s="12" t="inlineStr"/>
      <c r="N993" s="17" t="inlineStr">
        <is>
          <t>10 EVIDENCE &amp; DECISIONS</t>
        </is>
      </c>
    </row>
    <row r="994" ht="34" customHeight="1">
      <c r="A994" s="12" t="inlineStr">
        <is>
          <t>Contractor Programme</t>
        </is>
      </c>
      <c r="B994" s="12" t="inlineStr">
        <is>
          <t>SCH-04-033</t>
        </is>
      </c>
      <c r="C994" s="12" t="inlineStr">
        <is>
          <t>Maintenance shop: vehicle-to-depot interface check - installation</t>
        </is>
      </c>
      <c r="D994" s="12" t="inlineStr">
        <is>
          <t>WBS Code = 1.4.2</t>
        </is>
      </c>
      <c r="E994" s="12" t="inlineStr">
        <is>
          <t>R573-v1</t>
        </is>
      </c>
      <c r="F994" s="12" t="inlineStr">
        <is>
          <t>1.4.2 Vehicles and Depot - Depot Buildings</t>
        </is>
      </c>
      <c r="G994" s="12" t="inlineStr">
        <is>
          <t>ONE_TO_ONE</t>
        </is>
      </c>
      <c r="H994" s="12" t="inlineStr">
        <is>
          <t>APPROVED</t>
        </is>
      </c>
      <c r="I994" s="12" t="inlineStr">
        <is>
          <t>New</t>
        </is>
      </c>
      <c r="J994" s="12" t="inlineStr">
        <is>
          <t>Source assignment -- not individually reviewed</t>
        </is>
      </c>
      <c r="K994" s="12" t="inlineStr"/>
      <c r="L994" s="12" t="inlineStr"/>
      <c r="M994" s="12" t="inlineStr"/>
      <c r="N994" s="17" t="inlineStr">
        <is>
          <t>10 EVIDENCE &amp; DECISIONS</t>
        </is>
      </c>
    </row>
    <row r="995" ht="34" customHeight="1">
      <c r="A995" s="12" t="inlineStr">
        <is>
          <t>Contractor Programme</t>
        </is>
      </c>
      <c r="B995" s="12" t="inlineStr">
        <is>
          <t>SCH-04-036</t>
        </is>
      </c>
      <c r="C995" s="12" t="inlineStr">
        <is>
          <t>Test track: vehicle delivery inspection - release</t>
        </is>
      </c>
      <c r="D995" s="12" t="inlineStr">
        <is>
          <t>WBS Code = 1.4.2</t>
        </is>
      </c>
      <c r="E995" s="12" t="inlineStr">
        <is>
          <t>R576-v1</t>
        </is>
      </c>
      <c r="F995" s="12" t="inlineStr">
        <is>
          <t>1.4.2 Vehicles and Depot - Depot Buildings</t>
        </is>
      </c>
      <c r="G995" s="12" t="inlineStr">
        <is>
          <t>ONE_TO_ONE</t>
        </is>
      </c>
      <c r="H995" s="12" t="inlineStr">
        <is>
          <t>APPROVED</t>
        </is>
      </c>
      <c r="I995" s="12" t="inlineStr">
        <is>
          <t>New</t>
        </is>
      </c>
      <c r="J995" s="12" t="inlineStr">
        <is>
          <t>Source assignment -- not individually reviewed</t>
        </is>
      </c>
      <c r="K995" s="12" t="inlineStr"/>
      <c r="L995" s="12" t="inlineStr"/>
      <c r="M995" s="12" t="inlineStr"/>
      <c r="N995" s="17" t="inlineStr">
        <is>
          <t>10 EVIDENCE &amp; DECISIONS</t>
        </is>
      </c>
    </row>
    <row r="996" ht="34" customHeight="1">
      <c r="A996" s="12" t="inlineStr">
        <is>
          <t>Contractor Programme</t>
        </is>
      </c>
      <c r="B996" s="12" t="inlineStr">
        <is>
          <t>SCH-04-039</t>
        </is>
      </c>
      <c r="C996" s="12" t="inlineStr">
        <is>
          <t>Storage yard: depot structural fit-out - inspection</t>
        </is>
      </c>
      <c r="D996" s="12" t="inlineStr">
        <is>
          <t>WBS Code = 1.4.2</t>
        </is>
      </c>
      <c r="E996" s="12" t="inlineStr">
        <is>
          <t>R579-v1</t>
        </is>
      </c>
      <c r="F996" s="12" t="inlineStr">
        <is>
          <t>1.4.2 Vehicles and Depot - Depot Buildings</t>
        </is>
      </c>
      <c r="G996" s="12" t="inlineStr">
        <is>
          <t>ONE_TO_ONE</t>
        </is>
      </c>
      <c r="H996" s="12" t="inlineStr">
        <is>
          <t>APPROVED</t>
        </is>
      </c>
      <c r="I996" s="12" t="inlineStr">
        <is>
          <t>New</t>
        </is>
      </c>
      <c r="J996" s="12" t="inlineStr">
        <is>
          <t>Source assignment -- not individually reviewed</t>
        </is>
      </c>
      <c r="K996" s="12" t="inlineStr"/>
      <c r="L996" s="12" t="inlineStr"/>
      <c r="M996" s="12" t="inlineStr"/>
      <c r="N996" s="17" t="inlineStr">
        <is>
          <t>10 EVIDENCE &amp; DECISIONS</t>
        </is>
      </c>
    </row>
    <row r="997" ht="34" customHeight="1">
      <c r="A997" s="12" t="inlineStr">
        <is>
          <t>Contractor Programme</t>
        </is>
      </c>
      <c r="B997" s="12" t="inlineStr">
        <is>
          <t>SCH-04-042</t>
        </is>
      </c>
      <c r="C997" s="12" t="inlineStr">
        <is>
          <t>Receiving track: wheel-lathe installation - field start</t>
        </is>
      </c>
      <c r="D997" s="12" t="inlineStr">
        <is>
          <t>WBS Code = 1.4.2</t>
        </is>
      </c>
      <c r="E997" s="12" t="inlineStr">
        <is>
          <t>R582-v1</t>
        </is>
      </c>
      <c r="F997" s="12" t="inlineStr">
        <is>
          <t>1.4.2 Vehicles and Depot - Depot Buildings</t>
        </is>
      </c>
      <c r="G997" s="12" t="inlineStr">
        <is>
          <t>ONE_TO_ONE</t>
        </is>
      </c>
      <c r="H997" s="12" t="inlineStr">
        <is>
          <t>APPROVED</t>
        </is>
      </c>
      <c r="I997" s="12" t="inlineStr">
        <is>
          <t>New</t>
        </is>
      </c>
      <c r="J997" s="12" t="inlineStr">
        <is>
          <t>Source assignment -- not individually reviewed</t>
        </is>
      </c>
      <c r="K997" s="12" t="inlineStr"/>
      <c r="L997" s="12" t="inlineStr"/>
      <c r="M997" s="12" t="inlineStr"/>
      <c r="N997" s="17" t="inlineStr">
        <is>
          <t>10 EVIDENCE &amp; DECISIONS</t>
        </is>
      </c>
    </row>
    <row r="998" ht="34" customHeight="1">
      <c r="A998" s="12" t="inlineStr">
        <is>
          <t>Contractor Programme</t>
        </is>
      </c>
      <c r="B998" s="12" t="inlineStr">
        <is>
          <t>SCH-04-045</t>
        </is>
      </c>
      <c r="C998" s="12" t="inlineStr">
        <is>
          <t>Operations building: wash-plant commissioning - turnover</t>
        </is>
      </c>
      <c r="D998" s="12" t="inlineStr">
        <is>
          <t>WBS Code = 1.4.2</t>
        </is>
      </c>
      <c r="E998" s="12" t="inlineStr">
        <is>
          <t>R585-v1</t>
        </is>
      </c>
      <c r="F998" s="12" t="inlineStr">
        <is>
          <t>1.4.2 Vehicles and Depot - Depot Buildings</t>
        </is>
      </c>
      <c r="G998" s="12" t="inlineStr">
        <is>
          <t>ONE_TO_ONE</t>
        </is>
      </c>
      <c r="H998" s="12" t="inlineStr">
        <is>
          <t>APPROVED</t>
        </is>
      </c>
      <c r="I998" s="12" t="inlineStr">
        <is>
          <t>New</t>
        </is>
      </c>
      <c r="J998" s="12" t="inlineStr">
        <is>
          <t>Source assignment -- not individually reviewed</t>
        </is>
      </c>
      <c r="K998" s="12" t="inlineStr"/>
      <c r="L998" s="12" t="inlineStr"/>
      <c r="M998" s="12" t="inlineStr"/>
      <c r="N998" s="17" t="inlineStr">
        <is>
          <t>10 EVIDENCE &amp; DECISIONS</t>
        </is>
      </c>
    </row>
    <row r="999" ht="34" customHeight="1">
      <c r="A999" s="12" t="inlineStr">
        <is>
          <t>Contractor Programme</t>
        </is>
      </c>
      <c r="B999" s="12" t="inlineStr">
        <is>
          <t>SCH-04-048</t>
        </is>
      </c>
      <c r="C999" s="12" t="inlineStr">
        <is>
          <t>Maintenance shop: workshop crane installation - installation</t>
        </is>
      </c>
      <c r="D999" s="12" t="inlineStr">
        <is>
          <t>WBS Code = 1.4.2</t>
        </is>
      </c>
      <c r="E999" s="12" t="inlineStr">
        <is>
          <t>R588-v1</t>
        </is>
      </c>
      <c r="F999" s="12" t="inlineStr">
        <is>
          <t>1.4.2 Vehicles and Depot - Depot Buildings</t>
        </is>
      </c>
      <c r="G999" s="12" t="inlineStr">
        <is>
          <t>ONE_TO_ONE</t>
        </is>
      </c>
      <c r="H999" s="12" t="inlineStr">
        <is>
          <t>APPROVED</t>
        </is>
      </c>
      <c r="I999" s="12" t="inlineStr">
        <is>
          <t>New</t>
        </is>
      </c>
      <c r="J999" s="12" t="inlineStr">
        <is>
          <t>Source assignment -- not individually reviewed</t>
        </is>
      </c>
      <c r="K999" s="12" t="inlineStr"/>
      <c r="L999" s="12" t="inlineStr"/>
      <c r="M999" s="12" t="inlineStr"/>
      <c r="N999" s="17" t="inlineStr">
        <is>
          <t>10 EVIDENCE &amp; DECISIONS</t>
        </is>
      </c>
    </row>
    <row r="1000" ht="34" customHeight="1">
      <c r="A1000" s="12" t="inlineStr">
        <is>
          <t>Contractor Programme</t>
        </is>
      </c>
      <c r="B1000" s="12" t="inlineStr">
        <is>
          <t>SCH-04-051</t>
        </is>
      </c>
      <c r="C1000" s="12" t="inlineStr">
        <is>
          <t>Test track: fleet software load - release</t>
        </is>
      </c>
      <c r="D1000" s="12" t="inlineStr">
        <is>
          <t>WBS Code = 1.4.2</t>
        </is>
      </c>
      <c r="E1000" s="12" t="inlineStr">
        <is>
          <t>R591-v1</t>
        </is>
      </c>
      <c r="F1000" s="12" t="inlineStr">
        <is>
          <t>1.4.2 Vehicles and Depot - Depot Buildings</t>
        </is>
      </c>
      <c r="G1000" s="12" t="inlineStr">
        <is>
          <t>ONE_TO_ONE</t>
        </is>
      </c>
      <c r="H1000" s="12" t="inlineStr">
        <is>
          <t>APPROVED</t>
        </is>
      </c>
      <c r="I1000" s="12" t="inlineStr">
        <is>
          <t>New</t>
        </is>
      </c>
      <c r="J1000" s="12" t="inlineStr">
        <is>
          <t>Source assignment -- not individually reviewed</t>
        </is>
      </c>
      <c r="K1000" s="12" t="inlineStr"/>
      <c r="L1000" s="12" t="inlineStr"/>
      <c r="M1000" s="12" t="inlineStr"/>
      <c r="N1000" s="17" t="inlineStr">
        <is>
          <t>10 EVIDENCE &amp; DECISIONS</t>
        </is>
      </c>
    </row>
    <row r="1001" ht="34" customHeight="1">
      <c r="A1001" s="12" t="inlineStr">
        <is>
          <t>Contractor Programme</t>
        </is>
      </c>
      <c r="B1001" s="12" t="inlineStr">
        <is>
          <t>SCH-04-054</t>
        </is>
      </c>
      <c r="C1001" s="12" t="inlineStr">
        <is>
          <t>Storage yard: maintenance-bay services - inspection</t>
        </is>
      </c>
      <c r="D1001" s="12" t="inlineStr">
        <is>
          <t>WBS Code = 1.4.2</t>
        </is>
      </c>
      <c r="E1001" s="12" t="inlineStr">
        <is>
          <t>R594-v1</t>
        </is>
      </c>
      <c r="F1001" s="12" t="inlineStr">
        <is>
          <t>1.4.2 Vehicles and Depot - Depot Buildings</t>
        </is>
      </c>
      <c r="G1001" s="12" t="inlineStr">
        <is>
          <t>ONE_TO_ONE</t>
        </is>
      </c>
      <c r="H1001" s="12" t="inlineStr">
        <is>
          <t>APPROVED</t>
        </is>
      </c>
      <c r="I1001" s="12" t="inlineStr">
        <is>
          <t>New</t>
        </is>
      </c>
      <c r="J1001" s="12" t="inlineStr">
        <is>
          <t>Source assignment -- not individually reviewed</t>
        </is>
      </c>
      <c r="K1001" s="12" t="inlineStr"/>
      <c r="L1001" s="12" t="inlineStr"/>
      <c r="M1001" s="12" t="inlineStr"/>
      <c r="N1001" s="17" t="inlineStr">
        <is>
          <t>10 EVIDENCE &amp; DECISIONS</t>
        </is>
      </c>
    </row>
    <row r="1002" ht="34" customHeight="1">
      <c r="A1002" s="12" t="inlineStr">
        <is>
          <t>Contractor Programme</t>
        </is>
      </c>
      <c r="B1002" s="12" t="inlineStr">
        <is>
          <t>SCH-04-057</t>
        </is>
      </c>
      <c r="C1002" s="12" t="inlineStr">
        <is>
          <t>Receiving track: vehicle-to-depot interface check - field start</t>
        </is>
      </c>
      <c r="D1002" s="12" t="inlineStr">
        <is>
          <t>WBS Code = 1.4.2</t>
        </is>
      </c>
      <c r="E1002" s="12" t="inlineStr">
        <is>
          <t>R597-v1</t>
        </is>
      </c>
      <c r="F1002" s="12" t="inlineStr">
        <is>
          <t>1.4.2 Vehicles and Depot - Depot Buildings</t>
        </is>
      </c>
      <c r="G1002" s="12" t="inlineStr">
        <is>
          <t>ONE_TO_ONE</t>
        </is>
      </c>
      <c r="H1002" s="12" t="inlineStr">
        <is>
          <t>APPROVED</t>
        </is>
      </c>
      <c r="I1002" s="12" t="inlineStr">
        <is>
          <t>New</t>
        </is>
      </c>
      <c r="J1002" s="12" t="inlineStr">
        <is>
          <t>Source assignment -- not individually reviewed</t>
        </is>
      </c>
      <c r="K1002" s="12" t="inlineStr"/>
      <c r="L1002" s="12" t="inlineStr"/>
      <c r="M1002" s="12" t="inlineStr"/>
      <c r="N1002" s="17" t="inlineStr">
        <is>
          <t>10 EVIDENCE &amp; DECISIONS</t>
        </is>
      </c>
    </row>
    <row r="1003" ht="34" customHeight="1">
      <c r="A1003" s="12" t="inlineStr">
        <is>
          <t>Contractor Programme</t>
        </is>
      </c>
      <c r="B1003" s="12" t="inlineStr">
        <is>
          <t>SCH-04-060</t>
        </is>
      </c>
      <c r="C1003" s="12" t="inlineStr">
        <is>
          <t>Operations building: vehicle delivery inspection - turnover</t>
        </is>
      </c>
      <c r="D1003" s="12" t="inlineStr">
        <is>
          <t>WBS Code = 1.4.2</t>
        </is>
      </c>
      <c r="E1003" s="12" t="inlineStr">
        <is>
          <t>R600-v1</t>
        </is>
      </c>
      <c r="F1003" s="12" t="inlineStr">
        <is>
          <t>1.4.2 Vehicles and Depot - Depot Buildings</t>
        </is>
      </c>
      <c r="G1003" s="12" t="inlineStr">
        <is>
          <t>ONE_TO_ONE</t>
        </is>
      </c>
      <c r="H1003" s="12" t="inlineStr">
        <is>
          <t>APPROVED</t>
        </is>
      </c>
      <c r="I1003" s="12" t="inlineStr">
        <is>
          <t>New</t>
        </is>
      </c>
      <c r="J1003" s="12" t="inlineStr">
        <is>
          <t>Source assignment -- not individually reviewed</t>
        </is>
      </c>
      <c r="K1003" s="12" t="inlineStr"/>
      <c r="L1003" s="12" t="inlineStr"/>
      <c r="M1003" s="12" t="inlineStr"/>
      <c r="N1003" s="17" t="inlineStr">
        <is>
          <t>10 EVIDENCE &amp; DECISIONS</t>
        </is>
      </c>
    </row>
    <row r="1004" ht="34" customHeight="1">
      <c r="A1004" s="12" t="inlineStr">
        <is>
          <t>Contractor Programme</t>
        </is>
      </c>
      <c r="B1004" s="12" t="inlineStr">
        <is>
          <t>SCH-04-063</t>
        </is>
      </c>
      <c r="C1004" s="12" t="inlineStr">
        <is>
          <t>Maintenance shop: depot structural fit-out - installation</t>
        </is>
      </c>
      <c r="D1004" s="12" t="inlineStr">
        <is>
          <t>WBS Code = 1.4.2</t>
        </is>
      </c>
      <c r="E1004" s="12" t="inlineStr">
        <is>
          <t>R603-v1</t>
        </is>
      </c>
      <c r="F1004" s="12" t="inlineStr">
        <is>
          <t>1.4.2 Vehicles and Depot - Depot Buildings</t>
        </is>
      </c>
      <c r="G1004" s="12" t="inlineStr">
        <is>
          <t>ONE_TO_ONE</t>
        </is>
      </c>
      <c r="H1004" s="12" t="inlineStr">
        <is>
          <t>APPROVED</t>
        </is>
      </c>
      <c r="I1004" s="12" t="inlineStr">
        <is>
          <t>New</t>
        </is>
      </c>
      <c r="J1004" s="12" t="inlineStr">
        <is>
          <t>Source assignment -- not individually reviewed</t>
        </is>
      </c>
      <c r="K1004" s="12" t="inlineStr"/>
      <c r="L1004" s="12" t="inlineStr"/>
      <c r="M1004" s="12" t="inlineStr"/>
      <c r="N1004" s="17" t="inlineStr">
        <is>
          <t>10 EVIDENCE &amp; DECISIONS</t>
        </is>
      </c>
    </row>
    <row r="1005" ht="34" customHeight="1">
      <c r="A1005" s="12" t="inlineStr">
        <is>
          <t>Contractor Programme</t>
        </is>
      </c>
      <c r="B1005" s="12" t="inlineStr">
        <is>
          <t>SCH-04-066</t>
        </is>
      </c>
      <c r="C1005" s="12" t="inlineStr">
        <is>
          <t>Test track: wheel-lathe installation - release</t>
        </is>
      </c>
      <c r="D1005" s="12" t="inlineStr">
        <is>
          <t>WBS Code = 1.4.2</t>
        </is>
      </c>
      <c r="E1005" s="12" t="inlineStr">
        <is>
          <t>R606-v1</t>
        </is>
      </c>
      <c r="F1005" s="12" t="inlineStr">
        <is>
          <t>1.4.2 Vehicles and Depot - Depot Buildings</t>
        </is>
      </c>
      <c r="G1005" s="12" t="inlineStr">
        <is>
          <t>ONE_TO_ONE</t>
        </is>
      </c>
      <c r="H1005" s="12" t="inlineStr">
        <is>
          <t>APPROVED</t>
        </is>
      </c>
      <c r="I1005" s="12" t="inlineStr">
        <is>
          <t>New</t>
        </is>
      </c>
      <c r="J1005" s="12" t="inlineStr">
        <is>
          <t>Source assignment -- not individually reviewed</t>
        </is>
      </c>
      <c r="K1005" s="12" t="inlineStr"/>
      <c r="L1005" s="12" t="inlineStr"/>
      <c r="M1005" s="12" t="inlineStr"/>
      <c r="N1005" s="17" t="inlineStr">
        <is>
          <t>10 EVIDENCE &amp; DECISIONS</t>
        </is>
      </c>
    </row>
    <row r="1006" ht="34" customHeight="1">
      <c r="A1006" s="12" t="inlineStr">
        <is>
          <t>Contractor Programme</t>
        </is>
      </c>
      <c r="B1006" s="12" t="inlineStr">
        <is>
          <t>SCH-04-069</t>
        </is>
      </c>
      <c r="C1006" s="12" t="inlineStr">
        <is>
          <t>Storage yard: wash-plant commissioning - inspection</t>
        </is>
      </c>
      <c r="D1006" s="12" t="inlineStr">
        <is>
          <t>WBS Code = 1.4.2</t>
        </is>
      </c>
      <c r="E1006" s="12" t="inlineStr">
        <is>
          <t>R609-v1</t>
        </is>
      </c>
      <c r="F1006" s="12" t="inlineStr">
        <is>
          <t>1.4.2 Vehicles and Depot - Depot Buildings</t>
        </is>
      </c>
      <c r="G1006" s="12" t="inlineStr">
        <is>
          <t>ONE_TO_ONE</t>
        </is>
      </c>
      <c r="H1006" s="12" t="inlineStr">
        <is>
          <t>APPROVED</t>
        </is>
      </c>
      <c r="I1006" s="12" t="inlineStr">
        <is>
          <t>New</t>
        </is>
      </c>
      <c r="J1006" s="12" t="inlineStr">
        <is>
          <t>Source assignment -- not individually reviewed</t>
        </is>
      </c>
      <c r="K1006" s="12" t="inlineStr"/>
      <c r="L1006" s="12" t="inlineStr"/>
      <c r="M1006" s="12" t="inlineStr"/>
      <c r="N1006" s="17" t="inlineStr">
        <is>
          <t>10 EVIDENCE &amp; DECISIONS</t>
        </is>
      </c>
    </row>
    <row r="1007" ht="34" customHeight="1">
      <c r="A1007" s="12" t="inlineStr">
        <is>
          <t>Contractor Programme</t>
        </is>
      </c>
      <c r="B1007" s="12" t="inlineStr">
        <is>
          <t>SCH-04-072</t>
        </is>
      </c>
      <c r="C1007" s="12" t="inlineStr">
        <is>
          <t>Receiving track: workshop crane installation - field start</t>
        </is>
      </c>
      <c r="D1007" s="12" t="inlineStr">
        <is>
          <t>WBS Code = 1.4.2</t>
        </is>
      </c>
      <c r="E1007" s="12" t="inlineStr">
        <is>
          <t>R612-v1</t>
        </is>
      </c>
      <c r="F1007" s="12" t="inlineStr">
        <is>
          <t>1.4.2 Vehicles and Depot - Depot Buildings</t>
        </is>
      </c>
      <c r="G1007" s="12" t="inlineStr">
        <is>
          <t>ONE_TO_ONE</t>
        </is>
      </c>
      <c r="H1007" s="12" t="inlineStr">
        <is>
          <t>APPROVED</t>
        </is>
      </c>
      <c r="I1007" s="12" t="inlineStr">
        <is>
          <t>New</t>
        </is>
      </c>
      <c r="J1007" s="12" t="inlineStr">
        <is>
          <t>Source assignment -- not individually reviewed</t>
        </is>
      </c>
      <c r="K1007" s="12" t="inlineStr"/>
      <c r="L1007" s="12" t="inlineStr"/>
      <c r="M1007" s="12" t="inlineStr"/>
      <c r="N1007" s="17" t="inlineStr">
        <is>
          <t>10 EVIDENCE &amp; DECISIONS</t>
        </is>
      </c>
    </row>
    <row r="1008" ht="34" customHeight="1">
      <c r="A1008" s="12" t="inlineStr">
        <is>
          <t>Contractor Programme</t>
        </is>
      </c>
      <c r="B1008" s="12" t="inlineStr">
        <is>
          <t>SCH-04-075</t>
        </is>
      </c>
      <c r="C1008" s="12" t="inlineStr">
        <is>
          <t>Operations building: fleet software load - turnover</t>
        </is>
      </c>
      <c r="D1008" s="12" t="inlineStr">
        <is>
          <t>WBS Code = 1.4.2</t>
        </is>
      </c>
      <c r="E1008" s="12" t="inlineStr">
        <is>
          <t>R615-v1</t>
        </is>
      </c>
      <c r="F1008" s="12" t="inlineStr">
        <is>
          <t>1.4.2 Vehicles and Depot - Depot Buildings</t>
        </is>
      </c>
      <c r="G1008" s="12" t="inlineStr">
        <is>
          <t>ONE_TO_ONE</t>
        </is>
      </c>
      <c r="H1008" s="12" t="inlineStr">
        <is>
          <t>APPROVED</t>
        </is>
      </c>
      <c r="I1008" s="12" t="inlineStr">
        <is>
          <t>New</t>
        </is>
      </c>
      <c r="J1008" s="12" t="inlineStr">
        <is>
          <t>Source assignment -- not individually reviewed</t>
        </is>
      </c>
      <c r="K1008" s="12" t="inlineStr"/>
      <c r="L1008" s="12" t="inlineStr"/>
      <c r="M1008" s="12" t="inlineStr"/>
      <c r="N1008" s="17" t="inlineStr">
        <is>
          <t>10 EVIDENCE &amp; DECISIONS</t>
        </is>
      </c>
    </row>
    <row r="1009" ht="34" customHeight="1">
      <c r="A1009" s="12" t="inlineStr">
        <is>
          <t>Contractor Programme</t>
        </is>
      </c>
      <c r="B1009" s="12" t="inlineStr">
        <is>
          <t>SCH-04-078</t>
        </is>
      </c>
      <c r="C1009" s="12" t="inlineStr">
        <is>
          <t>Maintenance shop: maintenance-bay services - installation</t>
        </is>
      </c>
      <c r="D1009" s="12" t="inlineStr">
        <is>
          <t>WBS Code = 1.4.2</t>
        </is>
      </c>
      <c r="E1009" s="12" t="inlineStr">
        <is>
          <t>R618-v1</t>
        </is>
      </c>
      <c r="F1009" s="12" t="inlineStr">
        <is>
          <t>1.4.2 Vehicles and Depot - Depot Buildings</t>
        </is>
      </c>
      <c r="G1009" s="12" t="inlineStr">
        <is>
          <t>ONE_TO_ONE</t>
        </is>
      </c>
      <c r="H1009" s="12" t="inlineStr">
        <is>
          <t>APPROVED</t>
        </is>
      </c>
      <c r="I1009" s="12" t="inlineStr">
        <is>
          <t>New</t>
        </is>
      </c>
      <c r="J1009" s="12" t="inlineStr">
        <is>
          <t>Source assignment -- not individually reviewed</t>
        </is>
      </c>
      <c r="K1009" s="12" t="inlineStr"/>
      <c r="L1009" s="12" t="inlineStr"/>
      <c r="M1009" s="12" t="inlineStr"/>
      <c r="N1009" s="17" t="inlineStr">
        <is>
          <t>10 EVIDENCE &amp; DECISIONS</t>
        </is>
      </c>
    </row>
    <row r="1010" ht="34" customHeight="1">
      <c r="A1010" s="12" t="inlineStr">
        <is>
          <t>Contractor Programme</t>
        </is>
      </c>
      <c r="B1010" s="12" t="inlineStr">
        <is>
          <t>SCH-04-081</t>
        </is>
      </c>
      <c r="C1010" s="12" t="inlineStr">
        <is>
          <t>Test track: vehicle-to-depot interface check - release</t>
        </is>
      </c>
      <c r="D1010" s="12" t="inlineStr">
        <is>
          <t>WBS Code = 1.4.2</t>
        </is>
      </c>
      <c r="E1010" s="12" t="inlineStr">
        <is>
          <t>R621-v1</t>
        </is>
      </c>
      <c r="F1010" s="12" t="inlineStr">
        <is>
          <t>1.4.2 Vehicles and Depot - Depot Buildings</t>
        </is>
      </c>
      <c r="G1010" s="12" t="inlineStr">
        <is>
          <t>ONE_TO_ONE</t>
        </is>
      </c>
      <c r="H1010" s="12" t="inlineStr">
        <is>
          <t>APPROVED</t>
        </is>
      </c>
      <c r="I1010" s="12" t="inlineStr">
        <is>
          <t>New</t>
        </is>
      </c>
      <c r="J1010" s="12" t="inlineStr">
        <is>
          <t>Source assignment -- not individually reviewed</t>
        </is>
      </c>
      <c r="K1010" s="12" t="inlineStr"/>
      <c r="L1010" s="12" t="inlineStr"/>
      <c r="M1010" s="12" t="inlineStr"/>
      <c r="N1010" s="17" t="inlineStr">
        <is>
          <t>10 EVIDENCE &amp; DECISIONS</t>
        </is>
      </c>
    </row>
    <row r="1011" ht="34" customHeight="1">
      <c r="A1011" s="12" t="inlineStr">
        <is>
          <t>Contractor Programme</t>
        </is>
      </c>
      <c r="B1011" s="12" t="inlineStr">
        <is>
          <t>SCH-04-084</t>
        </is>
      </c>
      <c r="C1011" s="12" t="inlineStr">
        <is>
          <t>Storage yard: vehicle delivery inspection - inspection</t>
        </is>
      </c>
      <c r="D1011" s="12" t="inlineStr">
        <is>
          <t>WBS Code = 1.4.2</t>
        </is>
      </c>
      <c r="E1011" s="12" t="inlineStr">
        <is>
          <t>R624-v1</t>
        </is>
      </c>
      <c r="F1011" s="12" t="inlineStr">
        <is>
          <t>1.4.2 Vehicles and Depot - Depot Buildings</t>
        </is>
      </c>
      <c r="G1011" s="12" t="inlineStr">
        <is>
          <t>ONE_TO_ONE</t>
        </is>
      </c>
      <c r="H1011" s="12" t="inlineStr">
        <is>
          <t>APPROVED</t>
        </is>
      </c>
      <c r="I1011" s="12" t="inlineStr">
        <is>
          <t>New</t>
        </is>
      </c>
      <c r="J1011" s="12" t="inlineStr">
        <is>
          <t>Source assignment -- not individually reviewed</t>
        </is>
      </c>
      <c r="K1011" s="12" t="inlineStr"/>
      <c r="L1011" s="12" t="inlineStr"/>
      <c r="M1011" s="12" t="inlineStr"/>
      <c r="N1011" s="17" t="inlineStr">
        <is>
          <t>10 EVIDENCE &amp; DECISIONS</t>
        </is>
      </c>
    </row>
    <row r="1012" ht="34" customHeight="1">
      <c r="A1012" s="12" t="inlineStr">
        <is>
          <t>Contractor Programme</t>
        </is>
      </c>
      <c r="B1012" s="12" t="inlineStr">
        <is>
          <t>SCH-04-087</t>
        </is>
      </c>
      <c r="C1012" s="12" t="inlineStr">
        <is>
          <t>Receiving track: depot structural fit-out - field start</t>
        </is>
      </c>
      <c r="D1012" s="12" t="inlineStr">
        <is>
          <t>WBS Code = 1.4.2</t>
        </is>
      </c>
      <c r="E1012" s="12" t="inlineStr">
        <is>
          <t>R627-v1</t>
        </is>
      </c>
      <c r="F1012" s="12" t="inlineStr">
        <is>
          <t>1.4.2 Vehicles and Depot - Depot Buildings</t>
        </is>
      </c>
      <c r="G1012" s="12" t="inlineStr">
        <is>
          <t>ONE_TO_ONE</t>
        </is>
      </c>
      <c r="H1012" s="12" t="inlineStr">
        <is>
          <t>APPROVED</t>
        </is>
      </c>
      <c r="I1012" s="12" t="inlineStr">
        <is>
          <t>New</t>
        </is>
      </c>
      <c r="J1012" s="12" t="inlineStr">
        <is>
          <t>Source assignment -- not individually reviewed</t>
        </is>
      </c>
      <c r="K1012" s="12" t="inlineStr"/>
      <c r="L1012" s="12" t="inlineStr"/>
      <c r="M1012" s="12" t="inlineStr"/>
      <c r="N1012" s="17" t="inlineStr">
        <is>
          <t>10 EVIDENCE &amp; DECISIONS</t>
        </is>
      </c>
    </row>
    <row r="1013" ht="34" customHeight="1">
      <c r="A1013" s="12" t="inlineStr">
        <is>
          <t>Contractor Programme</t>
        </is>
      </c>
      <c r="B1013" s="12" t="inlineStr">
        <is>
          <t>SCH-04-090</t>
        </is>
      </c>
      <c r="C1013" s="12" t="inlineStr">
        <is>
          <t>Operations building: wheel-lathe installation - turnover</t>
        </is>
      </c>
      <c r="D1013" s="12" t="inlineStr">
        <is>
          <t>WBS Code = 1.4.2</t>
        </is>
      </c>
      <c r="E1013" s="12" t="inlineStr">
        <is>
          <t>R630-v1</t>
        </is>
      </c>
      <c r="F1013" s="12" t="inlineStr">
        <is>
          <t>1.4.2 Vehicles and Depot - Depot Buildings</t>
        </is>
      </c>
      <c r="G1013" s="12" t="inlineStr">
        <is>
          <t>ONE_TO_ONE</t>
        </is>
      </c>
      <c r="H1013" s="12" t="inlineStr">
        <is>
          <t>APPROVED</t>
        </is>
      </c>
      <c r="I1013" s="12" t="inlineStr">
        <is>
          <t>New</t>
        </is>
      </c>
      <c r="J1013" s="12" t="inlineStr">
        <is>
          <t>Source assignment -- not individually reviewed</t>
        </is>
      </c>
      <c r="K1013" s="12" t="inlineStr"/>
      <c r="L1013" s="12" t="inlineStr"/>
      <c r="M1013" s="12" t="inlineStr"/>
      <c r="N1013" s="17" t="inlineStr">
        <is>
          <t>10 EVIDENCE &amp; DECISIONS</t>
        </is>
      </c>
    </row>
    <row r="1014" ht="34" customHeight="1">
      <c r="A1014" s="12" t="inlineStr">
        <is>
          <t>Contractor Programme</t>
        </is>
      </c>
      <c r="B1014" s="12" t="inlineStr">
        <is>
          <t>SCH-04-093</t>
        </is>
      </c>
      <c r="C1014" s="12" t="inlineStr">
        <is>
          <t>Maintenance shop: wash-plant commissioning - installation</t>
        </is>
      </c>
      <c r="D1014" s="12" t="inlineStr">
        <is>
          <t>WBS Code = 1.4.2</t>
        </is>
      </c>
      <c r="E1014" s="12" t="inlineStr">
        <is>
          <t>R633-v1</t>
        </is>
      </c>
      <c r="F1014" s="12" t="inlineStr">
        <is>
          <t>1.4.2 Vehicles and Depot - Depot Buildings</t>
        </is>
      </c>
      <c r="G1014" s="12" t="inlineStr">
        <is>
          <t>ONE_TO_ONE</t>
        </is>
      </c>
      <c r="H1014" s="12" t="inlineStr">
        <is>
          <t>APPROVED</t>
        </is>
      </c>
      <c r="I1014" s="12" t="inlineStr">
        <is>
          <t>New</t>
        </is>
      </c>
      <c r="J1014" s="12" t="inlineStr">
        <is>
          <t>Source assignment -- not individually reviewed</t>
        </is>
      </c>
      <c r="K1014" s="12" t="inlineStr"/>
      <c r="L1014" s="12" t="inlineStr"/>
      <c r="M1014" s="12" t="inlineStr"/>
      <c r="N1014" s="17" t="inlineStr">
        <is>
          <t>10 EVIDENCE &amp; DECISIONS</t>
        </is>
      </c>
    </row>
    <row r="1015" ht="34" customHeight="1">
      <c r="A1015" s="12" t="inlineStr">
        <is>
          <t>Contractor Programme</t>
        </is>
      </c>
      <c r="B1015" s="12" t="inlineStr">
        <is>
          <t>SCH-04-096</t>
        </is>
      </c>
      <c r="C1015" s="12" t="inlineStr">
        <is>
          <t>Test track: workshop crane installation - release</t>
        </is>
      </c>
      <c r="D1015" s="12" t="inlineStr">
        <is>
          <t>WBS Code = 1.4.2</t>
        </is>
      </c>
      <c r="E1015" s="12" t="inlineStr">
        <is>
          <t>R636-v1</t>
        </is>
      </c>
      <c r="F1015" s="12" t="inlineStr">
        <is>
          <t>1.4.2 Vehicles and Depot - Depot Buildings</t>
        </is>
      </c>
      <c r="G1015" s="12" t="inlineStr">
        <is>
          <t>ONE_TO_ONE</t>
        </is>
      </c>
      <c r="H1015" s="12" t="inlineStr">
        <is>
          <t>APPROVED</t>
        </is>
      </c>
      <c r="I1015" s="12" t="inlineStr">
        <is>
          <t>New</t>
        </is>
      </c>
      <c r="J1015" s="12" t="inlineStr">
        <is>
          <t>Source assignment -- not individually reviewed</t>
        </is>
      </c>
      <c r="K1015" s="12" t="inlineStr"/>
      <c r="L1015" s="12" t="inlineStr"/>
      <c r="M1015" s="12" t="inlineStr"/>
      <c r="N1015" s="17" t="inlineStr">
        <is>
          <t>10 EVIDENCE &amp; DECISIONS</t>
        </is>
      </c>
    </row>
    <row r="1016" ht="34" customHeight="1">
      <c r="A1016" s="12" t="inlineStr">
        <is>
          <t>Contractor Programme</t>
        </is>
      </c>
      <c r="B1016" s="12" t="inlineStr">
        <is>
          <t>SCH-04-099</t>
        </is>
      </c>
      <c r="C1016" s="12" t="inlineStr">
        <is>
          <t>Storage yard: fleet software load - inspection</t>
        </is>
      </c>
      <c r="D1016" s="12" t="inlineStr">
        <is>
          <t>WBS Code = 1.4.2</t>
        </is>
      </c>
      <c r="E1016" s="12" t="inlineStr">
        <is>
          <t>R639-v1</t>
        </is>
      </c>
      <c r="F1016" s="12" t="inlineStr">
        <is>
          <t>1.4.2 Vehicles and Depot - Depot Buildings</t>
        </is>
      </c>
      <c r="G1016" s="12" t="inlineStr">
        <is>
          <t>ONE_TO_ONE</t>
        </is>
      </c>
      <c r="H1016" s="12" t="inlineStr">
        <is>
          <t>APPROVED</t>
        </is>
      </c>
      <c r="I1016" s="12" t="inlineStr">
        <is>
          <t>New</t>
        </is>
      </c>
      <c r="J1016" s="12" t="inlineStr">
        <is>
          <t>Source assignment -- not individually reviewed</t>
        </is>
      </c>
      <c r="K1016" s="12" t="inlineStr"/>
      <c r="L1016" s="12" t="inlineStr"/>
      <c r="M1016" s="12" t="inlineStr"/>
      <c r="N1016" s="17" t="inlineStr">
        <is>
          <t>10 EVIDENCE &amp; DECISIONS</t>
        </is>
      </c>
    </row>
    <row r="1017" ht="34" customHeight="1">
      <c r="A1017" s="12" t="inlineStr">
        <is>
          <t>Contractor Programme</t>
        </is>
      </c>
      <c r="B1017" s="12" t="inlineStr">
        <is>
          <t>SCH-04-102</t>
        </is>
      </c>
      <c r="C1017" s="12" t="inlineStr">
        <is>
          <t>Receiving track: maintenance-bay services - field start</t>
        </is>
      </c>
      <c r="D1017" s="12" t="inlineStr">
        <is>
          <t>WBS Code = 1.4.2</t>
        </is>
      </c>
      <c r="E1017" s="12" t="inlineStr">
        <is>
          <t>R642-v1</t>
        </is>
      </c>
      <c r="F1017" s="12" t="inlineStr">
        <is>
          <t>1.4.2 Vehicles and Depot - Depot Buildings</t>
        </is>
      </c>
      <c r="G1017" s="12" t="inlineStr">
        <is>
          <t>ONE_TO_ONE</t>
        </is>
      </c>
      <c r="H1017" s="12" t="inlineStr">
        <is>
          <t>APPROVED</t>
        </is>
      </c>
      <c r="I1017" s="12" t="inlineStr">
        <is>
          <t>New</t>
        </is>
      </c>
      <c r="J1017" s="12" t="inlineStr">
        <is>
          <t>Source assignment -- not individually reviewed</t>
        </is>
      </c>
      <c r="K1017" s="12" t="inlineStr"/>
      <c r="L1017" s="12" t="inlineStr"/>
      <c r="M1017" s="12" t="inlineStr"/>
      <c r="N1017" s="17" t="inlineStr">
        <is>
          <t>10 EVIDENCE &amp; DECISIONS</t>
        </is>
      </c>
    </row>
    <row r="1018" ht="34" customHeight="1">
      <c r="A1018" s="12" t="inlineStr">
        <is>
          <t>Contractor Programme</t>
        </is>
      </c>
      <c r="B1018" s="12" t="inlineStr">
        <is>
          <t>SCH-04-105</t>
        </is>
      </c>
      <c r="C1018" s="12" t="inlineStr">
        <is>
          <t>Operations building: vehicle-to-depot interface check - turnover</t>
        </is>
      </c>
      <c r="D1018" s="12" t="inlineStr">
        <is>
          <t>WBS Code = 1.4.2</t>
        </is>
      </c>
      <c r="E1018" s="12" t="inlineStr">
        <is>
          <t>R645-v1</t>
        </is>
      </c>
      <c r="F1018" s="12" t="inlineStr">
        <is>
          <t>1.4.2 Vehicles and Depot - Depot Buildings</t>
        </is>
      </c>
      <c r="G1018" s="12" t="inlineStr">
        <is>
          <t>ONE_TO_ONE</t>
        </is>
      </c>
      <c r="H1018" s="12" t="inlineStr">
        <is>
          <t>APPROVED</t>
        </is>
      </c>
      <c r="I1018" s="12" t="inlineStr">
        <is>
          <t>New</t>
        </is>
      </c>
      <c r="J1018" s="12" t="inlineStr">
        <is>
          <t>Source assignment -- not individually reviewed</t>
        </is>
      </c>
      <c r="K1018" s="12" t="inlineStr"/>
      <c r="L1018" s="12" t="inlineStr"/>
      <c r="M1018" s="12" t="inlineStr"/>
      <c r="N1018" s="17" t="inlineStr">
        <is>
          <t>10 EVIDENCE &amp; DECISIONS</t>
        </is>
      </c>
    </row>
    <row r="1019" ht="34" customHeight="1">
      <c r="A1019" s="12" t="inlineStr">
        <is>
          <t>Contractor Programme</t>
        </is>
      </c>
      <c r="B1019" s="12" t="inlineStr">
        <is>
          <t>SCH-04-108</t>
        </is>
      </c>
      <c r="C1019" s="12" t="inlineStr">
        <is>
          <t>Maintenance shop: vehicle delivery inspection - installation</t>
        </is>
      </c>
      <c r="D1019" s="12" t="inlineStr">
        <is>
          <t>WBS Code = 1.4.2</t>
        </is>
      </c>
      <c r="E1019" s="12" t="inlineStr">
        <is>
          <t>R648-v1</t>
        </is>
      </c>
      <c r="F1019" s="12" t="inlineStr">
        <is>
          <t>1.4.2 Vehicles and Depot - Depot Buildings</t>
        </is>
      </c>
      <c r="G1019" s="12" t="inlineStr">
        <is>
          <t>ONE_TO_ONE</t>
        </is>
      </c>
      <c r="H1019" s="12" t="inlineStr">
        <is>
          <t>APPROVED</t>
        </is>
      </c>
      <c r="I1019" s="12" t="inlineStr">
        <is>
          <t>New</t>
        </is>
      </c>
      <c r="J1019" s="12" t="inlineStr">
        <is>
          <t>Source assignment -- not individually reviewed</t>
        </is>
      </c>
      <c r="K1019" s="12" t="inlineStr"/>
      <c r="L1019" s="12" t="inlineStr"/>
      <c r="M1019" s="12" t="inlineStr"/>
      <c r="N1019" s="17" t="inlineStr">
        <is>
          <t>10 EVIDENCE &amp; DECISIONS</t>
        </is>
      </c>
    </row>
    <row r="1020" ht="34" customHeight="1">
      <c r="A1020" s="12" t="inlineStr">
        <is>
          <t>Contractor Programme</t>
        </is>
      </c>
      <c r="B1020" s="12" t="inlineStr">
        <is>
          <t>SCH-04-111</t>
        </is>
      </c>
      <c r="C1020" s="12" t="inlineStr">
        <is>
          <t>Test track: depot structural fit-out - release</t>
        </is>
      </c>
      <c r="D1020" s="12" t="inlineStr">
        <is>
          <t>WBS Code = 1.4.2</t>
        </is>
      </c>
      <c r="E1020" s="12" t="inlineStr">
        <is>
          <t>R651-v1</t>
        </is>
      </c>
      <c r="F1020" s="12" t="inlineStr">
        <is>
          <t>1.4.2 Vehicles and Depot - Depot Buildings</t>
        </is>
      </c>
      <c r="G1020" s="12" t="inlineStr">
        <is>
          <t>ONE_TO_ONE</t>
        </is>
      </c>
      <c r="H1020" s="12" t="inlineStr">
        <is>
          <t>APPROVED</t>
        </is>
      </c>
      <c r="I1020" s="12" t="inlineStr">
        <is>
          <t>New</t>
        </is>
      </c>
      <c r="J1020" s="12" t="inlineStr">
        <is>
          <t>Source assignment -- not individually reviewed</t>
        </is>
      </c>
      <c r="K1020" s="12" t="inlineStr"/>
      <c r="L1020" s="12" t="inlineStr"/>
      <c r="M1020" s="12" t="inlineStr"/>
      <c r="N1020" s="17" t="inlineStr">
        <is>
          <t>10 EVIDENCE &amp; DECISIONS</t>
        </is>
      </c>
    </row>
    <row r="1021" ht="34" customHeight="1">
      <c r="A1021" s="12" t="inlineStr">
        <is>
          <t>Contractor Programme</t>
        </is>
      </c>
      <c r="B1021" s="12" t="inlineStr">
        <is>
          <t>SCH-04-114</t>
        </is>
      </c>
      <c r="C1021" s="12" t="inlineStr">
        <is>
          <t>Storage yard: wheel-lathe installation - inspection</t>
        </is>
      </c>
      <c r="D1021" s="12" t="inlineStr">
        <is>
          <t>WBS Code = 1.4.2</t>
        </is>
      </c>
      <c r="E1021" s="12" t="inlineStr">
        <is>
          <t>R654-v1</t>
        </is>
      </c>
      <c r="F1021" s="12" t="inlineStr">
        <is>
          <t>1.4.2 Vehicles and Depot - Depot Buildings</t>
        </is>
      </c>
      <c r="G1021" s="12" t="inlineStr">
        <is>
          <t>ONE_TO_ONE</t>
        </is>
      </c>
      <c r="H1021" s="12" t="inlineStr">
        <is>
          <t>APPROVED</t>
        </is>
      </c>
      <c r="I1021" s="12" t="inlineStr">
        <is>
          <t>New</t>
        </is>
      </c>
      <c r="J1021" s="12" t="inlineStr">
        <is>
          <t>Source assignment -- not individually reviewed</t>
        </is>
      </c>
      <c r="K1021" s="12" t="inlineStr"/>
      <c r="L1021" s="12" t="inlineStr"/>
      <c r="M1021" s="12" t="inlineStr"/>
      <c r="N1021" s="17" t="inlineStr">
        <is>
          <t>10 EVIDENCE &amp; DECISIONS</t>
        </is>
      </c>
    </row>
    <row r="1022" ht="34" customHeight="1">
      <c r="A1022" s="12" t="inlineStr">
        <is>
          <t>Contractor Programme</t>
        </is>
      </c>
      <c r="B1022" s="12" t="inlineStr">
        <is>
          <t>SCH-04-117</t>
        </is>
      </c>
      <c r="C1022" s="12" t="inlineStr">
        <is>
          <t>Receiving track: wash-plant commissioning - field start</t>
        </is>
      </c>
      <c r="D1022" s="12" t="inlineStr">
        <is>
          <t>WBS Code = 1.4.2</t>
        </is>
      </c>
      <c r="E1022" s="12" t="inlineStr">
        <is>
          <t>R657-v1</t>
        </is>
      </c>
      <c r="F1022" s="12" t="inlineStr">
        <is>
          <t>1.4.2 Vehicles and Depot - Depot Buildings</t>
        </is>
      </c>
      <c r="G1022" s="12" t="inlineStr">
        <is>
          <t>ONE_TO_ONE</t>
        </is>
      </c>
      <c r="H1022" s="12" t="inlineStr">
        <is>
          <t>APPROVED</t>
        </is>
      </c>
      <c r="I1022" s="12" t="inlineStr">
        <is>
          <t>New</t>
        </is>
      </c>
      <c r="J1022" s="12" t="inlineStr">
        <is>
          <t>Source assignment -- not individually reviewed</t>
        </is>
      </c>
      <c r="K1022" s="12" t="inlineStr"/>
      <c r="L1022" s="12" t="inlineStr"/>
      <c r="M1022" s="12" t="inlineStr"/>
      <c r="N1022" s="17" t="inlineStr">
        <is>
          <t>10 EVIDENCE &amp; DECISIONS</t>
        </is>
      </c>
    </row>
    <row r="1023" ht="34" customHeight="1">
      <c r="A1023" s="12" t="inlineStr">
        <is>
          <t>Contractor Programme</t>
        </is>
      </c>
      <c r="B1023" s="12" t="inlineStr">
        <is>
          <t>SCH-04-120</t>
        </is>
      </c>
      <c r="C1023" s="12" t="inlineStr">
        <is>
          <t>Operations building: workshop crane installation - turnover</t>
        </is>
      </c>
      <c r="D1023" s="12" t="inlineStr">
        <is>
          <t>WBS Code = 1.4.2</t>
        </is>
      </c>
      <c r="E1023" s="12" t="inlineStr">
        <is>
          <t>R660-v1</t>
        </is>
      </c>
      <c r="F1023" s="12" t="inlineStr">
        <is>
          <t>1.4.2 Vehicles and Depot - Depot Buildings</t>
        </is>
      </c>
      <c r="G1023" s="12" t="inlineStr">
        <is>
          <t>ONE_TO_ONE</t>
        </is>
      </c>
      <c r="H1023" s="12" t="inlineStr">
        <is>
          <t>APPROVED</t>
        </is>
      </c>
      <c r="I1023" s="12" t="inlineStr">
        <is>
          <t>New</t>
        </is>
      </c>
      <c r="J1023" s="12" t="inlineStr">
        <is>
          <t>Source assignment -- not individually reviewed</t>
        </is>
      </c>
      <c r="K1023" s="12" t="inlineStr"/>
      <c r="L1023" s="12" t="inlineStr"/>
      <c r="M1023" s="12" t="inlineStr"/>
      <c r="N1023" s="17" t="inlineStr">
        <is>
          <t>10 EVIDENCE &amp; DECISIONS</t>
        </is>
      </c>
    </row>
    <row r="1024" ht="34" customHeight="1">
      <c r="A1024" s="12" t="inlineStr">
        <is>
          <t>Contractor Programme</t>
        </is>
      </c>
      <c r="B1024" s="12" t="inlineStr">
        <is>
          <t>SCH-04-123</t>
        </is>
      </c>
      <c r="C1024" s="12" t="inlineStr">
        <is>
          <t>Maintenance shop: fleet software load - installation</t>
        </is>
      </c>
      <c r="D1024" s="12" t="inlineStr">
        <is>
          <t>WBS Code = 1.4.2</t>
        </is>
      </c>
      <c r="E1024" s="12" t="inlineStr">
        <is>
          <t>R663-v1</t>
        </is>
      </c>
      <c r="F1024" s="12" t="inlineStr">
        <is>
          <t>1.4.2 Vehicles and Depot - Depot Buildings</t>
        </is>
      </c>
      <c r="G1024" s="12" t="inlineStr">
        <is>
          <t>ONE_TO_ONE</t>
        </is>
      </c>
      <c r="H1024" s="12" t="inlineStr">
        <is>
          <t>APPROVED</t>
        </is>
      </c>
      <c r="I1024" s="12" t="inlineStr">
        <is>
          <t>New</t>
        </is>
      </c>
      <c r="J1024" s="12" t="inlineStr">
        <is>
          <t>Source assignment -- not individually reviewed</t>
        </is>
      </c>
      <c r="K1024" s="12" t="inlineStr"/>
      <c r="L1024" s="12" t="inlineStr"/>
      <c r="M1024" s="12" t="inlineStr"/>
      <c r="N1024" s="17" t="inlineStr">
        <is>
          <t>10 EVIDENCE &amp; DECISIONS</t>
        </is>
      </c>
    </row>
    <row r="1025" ht="34" customHeight="1">
      <c r="A1025" s="12" t="inlineStr">
        <is>
          <t>Contractor Programme</t>
        </is>
      </c>
      <c r="B1025" s="12" t="inlineStr">
        <is>
          <t>SCH-04-126</t>
        </is>
      </c>
      <c r="C1025" s="12" t="inlineStr">
        <is>
          <t>Test track: maintenance-bay services - release</t>
        </is>
      </c>
      <c r="D1025" s="12" t="inlineStr">
        <is>
          <t>WBS Code = 1.4.2</t>
        </is>
      </c>
      <c r="E1025" s="12" t="inlineStr">
        <is>
          <t>R666-v1</t>
        </is>
      </c>
      <c r="F1025" s="12" t="inlineStr">
        <is>
          <t>1.4.2 Vehicles and Depot - Depot Buildings</t>
        </is>
      </c>
      <c r="G1025" s="12" t="inlineStr">
        <is>
          <t>ONE_TO_ONE</t>
        </is>
      </c>
      <c r="H1025" s="12" t="inlineStr">
        <is>
          <t>APPROVED</t>
        </is>
      </c>
      <c r="I1025" s="12" t="inlineStr">
        <is>
          <t>New</t>
        </is>
      </c>
      <c r="J1025" s="12" t="inlineStr">
        <is>
          <t>Source assignment -- not individually reviewed</t>
        </is>
      </c>
      <c r="K1025" s="12" t="inlineStr"/>
      <c r="L1025" s="12" t="inlineStr"/>
      <c r="M1025" s="12" t="inlineStr"/>
      <c r="N1025" s="17" t="inlineStr">
        <is>
          <t>10 EVIDENCE &amp; DECISIONS</t>
        </is>
      </c>
    </row>
    <row r="1026" ht="34" customHeight="1">
      <c r="A1026" s="12" t="inlineStr">
        <is>
          <t>Contractor Programme</t>
        </is>
      </c>
      <c r="B1026" s="12" t="inlineStr">
        <is>
          <t>SCH-04-129</t>
        </is>
      </c>
      <c r="C1026" s="12" t="inlineStr">
        <is>
          <t>Storage yard: vehicle-to-depot interface check - inspection</t>
        </is>
      </c>
      <c r="D1026" s="12" t="inlineStr">
        <is>
          <t>WBS Code = 1.4.2</t>
        </is>
      </c>
      <c r="E1026" s="12" t="inlineStr">
        <is>
          <t>R669-v1</t>
        </is>
      </c>
      <c r="F1026" s="12" t="inlineStr">
        <is>
          <t>1.4.2 Vehicles and Depot - Depot Buildings</t>
        </is>
      </c>
      <c r="G1026" s="12" t="inlineStr">
        <is>
          <t>ONE_TO_ONE</t>
        </is>
      </c>
      <c r="H1026" s="12" t="inlineStr">
        <is>
          <t>APPROVED</t>
        </is>
      </c>
      <c r="I1026" s="12" t="inlineStr">
        <is>
          <t>New</t>
        </is>
      </c>
      <c r="J1026" s="12" t="inlineStr">
        <is>
          <t>Source assignment -- not individually reviewed</t>
        </is>
      </c>
      <c r="K1026" s="12" t="inlineStr"/>
      <c r="L1026" s="12" t="inlineStr"/>
      <c r="M1026" s="12" t="inlineStr"/>
      <c r="N1026" s="17" t="inlineStr">
        <is>
          <t>10 EVIDENCE &amp; DECISIONS</t>
        </is>
      </c>
    </row>
    <row r="1027" ht="34" customHeight="1">
      <c r="A1027" s="12" t="inlineStr">
        <is>
          <t>Contractor Programme</t>
        </is>
      </c>
      <c r="B1027" s="12" t="inlineStr">
        <is>
          <t>SCH-04-132</t>
        </is>
      </c>
      <c r="C1027" s="12" t="inlineStr">
        <is>
          <t>Receiving track: vehicle delivery inspection - field start</t>
        </is>
      </c>
      <c r="D1027" s="12" t="inlineStr">
        <is>
          <t>WBS Code = 1.4.2</t>
        </is>
      </c>
      <c r="E1027" s="12" t="inlineStr">
        <is>
          <t>R672-v1</t>
        </is>
      </c>
      <c r="F1027" s="12" t="inlineStr">
        <is>
          <t>1.4.2 Vehicles and Depot - Depot Buildings</t>
        </is>
      </c>
      <c r="G1027" s="12" t="inlineStr">
        <is>
          <t>ONE_TO_ONE</t>
        </is>
      </c>
      <c r="H1027" s="12" t="inlineStr">
        <is>
          <t>APPROVED</t>
        </is>
      </c>
      <c r="I1027" s="12" t="inlineStr">
        <is>
          <t>New</t>
        </is>
      </c>
      <c r="J1027" s="12" t="inlineStr">
        <is>
          <t>Source assignment -- not individually reviewed</t>
        </is>
      </c>
      <c r="K1027" s="12" t="inlineStr"/>
      <c r="L1027" s="12" t="inlineStr"/>
      <c r="M1027" s="12" t="inlineStr"/>
      <c r="N1027" s="17" t="inlineStr">
        <is>
          <t>10 EVIDENCE &amp; DECISIONS</t>
        </is>
      </c>
    </row>
    <row r="1028" ht="34" customHeight="1">
      <c r="A1028" s="12" t="inlineStr">
        <is>
          <t>Contractor Programme</t>
        </is>
      </c>
      <c r="B1028" s="12" t="inlineStr">
        <is>
          <t>SCH-04-135</t>
        </is>
      </c>
      <c r="C1028" s="12" t="inlineStr">
        <is>
          <t>Operations building: depot structural fit-out - turnover</t>
        </is>
      </c>
      <c r="D1028" s="12" t="inlineStr">
        <is>
          <t>WBS Code = 1.4.2</t>
        </is>
      </c>
      <c r="E1028" s="12" t="inlineStr">
        <is>
          <t>R675-v1</t>
        </is>
      </c>
      <c r="F1028" s="12" t="inlineStr">
        <is>
          <t>1.4.2 Vehicles and Depot - Depot Buildings</t>
        </is>
      </c>
      <c r="G1028" s="12" t="inlineStr">
        <is>
          <t>ONE_TO_ONE</t>
        </is>
      </c>
      <c r="H1028" s="12" t="inlineStr">
        <is>
          <t>APPROVED</t>
        </is>
      </c>
      <c r="I1028" s="12" t="inlineStr">
        <is>
          <t>New</t>
        </is>
      </c>
      <c r="J1028" s="12" t="inlineStr">
        <is>
          <t>Source assignment -- not individually reviewed</t>
        </is>
      </c>
      <c r="K1028" s="12" t="inlineStr"/>
      <c r="L1028" s="12" t="inlineStr"/>
      <c r="M1028" s="12" t="inlineStr"/>
      <c r="N1028" s="17" t="inlineStr">
        <is>
          <t>10 EVIDENCE &amp; DECISIONS</t>
        </is>
      </c>
    </row>
    <row r="1029" ht="34" customHeight="1">
      <c r="A1029" s="12" t="inlineStr">
        <is>
          <t>Contractor Programme</t>
        </is>
      </c>
      <c r="B1029" s="12" t="inlineStr">
        <is>
          <t>SCH-04-138</t>
        </is>
      </c>
      <c r="C1029" s="12" t="inlineStr">
        <is>
          <t>Maintenance shop: wheel-lathe installation - installation</t>
        </is>
      </c>
      <c r="D1029" s="12" t="inlineStr">
        <is>
          <t>WBS Code = 1.4.2</t>
        </is>
      </c>
      <c r="E1029" s="12" t="inlineStr">
        <is>
          <t>R678-v1</t>
        </is>
      </c>
      <c r="F1029" s="12" t="inlineStr">
        <is>
          <t>1.4.2 Vehicles and Depot - Depot Buildings</t>
        </is>
      </c>
      <c r="G1029" s="12" t="inlineStr">
        <is>
          <t>ONE_TO_ONE</t>
        </is>
      </c>
      <c r="H1029" s="12" t="inlineStr">
        <is>
          <t>APPROVED</t>
        </is>
      </c>
      <c r="I1029" s="12" t="inlineStr">
        <is>
          <t>New</t>
        </is>
      </c>
      <c r="J1029" s="12" t="inlineStr">
        <is>
          <t>Source assignment -- not individually reviewed</t>
        </is>
      </c>
      <c r="K1029" s="12" t="inlineStr"/>
      <c r="L1029" s="12" t="inlineStr"/>
      <c r="M1029" s="12" t="inlineStr"/>
      <c r="N1029" s="17" t="inlineStr">
        <is>
          <t>10 EVIDENCE &amp; DECISIONS</t>
        </is>
      </c>
    </row>
    <row r="1030" ht="34" customHeight="1">
      <c r="A1030" s="12" t="inlineStr">
        <is>
          <t>Contractor Programme</t>
        </is>
      </c>
      <c r="B1030" s="12" t="inlineStr">
        <is>
          <t>SCH-04-141</t>
        </is>
      </c>
      <c r="C1030" s="12" t="inlineStr">
        <is>
          <t>Test track: wash-plant commissioning - release</t>
        </is>
      </c>
      <c r="D1030" s="12" t="inlineStr">
        <is>
          <t>WBS Code = 1.4.2</t>
        </is>
      </c>
      <c r="E1030" s="12" t="inlineStr">
        <is>
          <t>R681-v1</t>
        </is>
      </c>
      <c r="F1030" s="12" t="inlineStr">
        <is>
          <t>1.4.2 Vehicles and Depot - Depot Buildings</t>
        </is>
      </c>
      <c r="G1030" s="12" t="inlineStr">
        <is>
          <t>ONE_TO_ONE</t>
        </is>
      </c>
      <c r="H1030" s="12" t="inlineStr">
        <is>
          <t>APPROVED</t>
        </is>
      </c>
      <c r="I1030" s="12" t="inlineStr">
        <is>
          <t>New</t>
        </is>
      </c>
      <c r="J1030" s="12" t="inlineStr">
        <is>
          <t>Source assignment -- not individually reviewed</t>
        </is>
      </c>
      <c r="K1030" s="12" t="inlineStr"/>
      <c r="L1030" s="12" t="inlineStr"/>
      <c r="M1030" s="12" t="inlineStr"/>
      <c r="N1030" s="17" t="inlineStr">
        <is>
          <t>10 EVIDENCE &amp; DECISIONS</t>
        </is>
      </c>
    </row>
    <row r="1031" ht="34" customHeight="1">
      <c r="A1031" s="12" t="inlineStr">
        <is>
          <t>Contractor Programme</t>
        </is>
      </c>
      <c r="B1031" s="12" t="inlineStr">
        <is>
          <t>SCH-04-144</t>
        </is>
      </c>
      <c r="C1031" s="12" t="inlineStr">
        <is>
          <t>Storage yard: workshop crane installation - inspection</t>
        </is>
      </c>
      <c r="D1031" s="12" t="inlineStr">
        <is>
          <t>WBS Code = 1.4.2</t>
        </is>
      </c>
      <c r="E1031" s="12" t="inlineStr">
        <is>
          <t>R684-v1</t>
        </is>
      </c>
      <c r="F1031" s="12" t="inlineStr">
        <is>
          <t>1.4.2 Vehicles and Depot - Depot Buildings</t>
        </is>
      </c>
      <c r="G1031" s="12" t="inlineStr">
        <is>
          <t>ONE_TO_ONE</t>
        </is>
      </c>
      <c r="H1031" s="12" t="inlineStr">
        <is>
          <t>APPROVED</t>
        </is>
      </c>
      <c r="I1031" s="12" t="inlineStr">
        <is>
          <t>New</t>
        </is>
      </c>
      <c r="J1031" s="12" t="inlineStr">
        <is>
          <t>Source assignment -- not individually reviewed</t>
        </is>
      </c>
      <c r="K1031" s="12" t="inlineStr"/>
      <c r="L1031" s="12" t="inlineStr"/>
      <c r="M1031" s="12" t="inlineStr"/>
      <c r="N1031" s="17" t="inlineStr">
        <is>
          <t>10 EVIDENCE &amp; DECISIONS</t>
        </is>
      </c>
    </row>
    <row r="1032" ht="34" customHeight="1">
      <c r="A1032" s="12" t="inlineStr">
        <is>
          <t>Contractor Programme</t>
        </is>
      </c>
      <c r="B1032" s="12" t="inlineStr">
        <is>
          <t>SCH-04-147</t>
        </is>
      </c>
      <c r="C1032" s="12" t="inlineStr">
        <is>
          <t>Receiving track: fleet software load - field start</t>
        </is>
      </c>
      <c r="D1032" s="12" t="inlineStr">
        <is>
          <t>WBS Code = 1.4.2</t>
        </is>
      </c>
      <c r="E1032" s="12" t="inlineStr">
        <is>
          <t>R687-v1</t>
        </is>
      </c>
      <c r="F1032" s="12" t="inlineStr">
        <is>
          <t>1.4.2 Vehicles and Depot - Depot Buildings</t>
        </is>
      </c>
      <c r="G1032" s="12" t="inlineStr">
        <is>
          <t>ONE_TO_ONE</t>
        </is>
      </c>
      <c r="H1032" s="12" t="inlineStr">
        <is>
          <t>APPROVED</t>
        </is>
      </c>
      <c r="I1032" s="12" t="inlineStr">
        <is>
          <t>New</t>
        </is>
      </c>
      <c r="J1032" s="12" t="inlineStr">
        <is>
          <t>Source assignment -- not individually reviewed</t>
        </is>
      </c>
      <c r="K1032" s="12" t="inlineStr"/>
      <c r="L1032" s="12" t="inlineStr"/>
      <c r="M1032" s="12" t="inlineStr"/>
      <c r="N1032" s="17" t="inlineStr">
        <is>
          <t>10 EVIDENCE &amp; DECISIONS</t>
        </is>
      </c>
    </row>
    <row r="1033" ht="34" customHeight="1">
      <c r="A1033" s="12" t="inlineStr">
        <is>
          <t>Contractor Programme</t>
        </is>
      </c>
      <c r="B1033" s="12" t="inlineStr">
        <is>
          <t>SCH-04-150</t>
        </is>
      </c>
      <c r="C1033" s="12" t="inlineStr">
        <is>
          <t>Operations building: maintenance-bay services - turnover</t>
        </is>
      </c>
      <c r="D1033" s="12" t="inlineStr">
        <is>
          <t>WBS Code = 1.4.2</t>
        </is>
      </c>
      <c r="E1033" s="12" t="inlineStr">
        <is>
          <t>R690-v1</t>
        </is>
      </c>
      <c r="F1033" s="12" t="inlineStr">
        <is>
          <t>1.4.2 Vehicles and Depot - Depot Buildings</t>
        </is>
      </c>
      <c r="G1033" s="12" t="inlineStr">
        <is>
          <t>ONE_TO_ONE</t>
        </is>
      </c>
      <c r="H1033" s="12" t="inlineStr">
        <is>
          <t>APPROVED</t>
        </is>
      </c>
      <c r="I1033" s="12" t="inlineStr">
        <is>
          <t>New</t>
        </is>
      </c>
      <c r="J1033" s="12" t="inlineStr">
        <is>
          <t>Source assignment -- not individually reviewed</t>
        </is>
      </c>
      <c r="K1033" s="12" t="inlineStr"/>
      <c r="L1033" s="12" t="inlineStr"/>
      <c r="M1033" s="12" t="inlineStr"/>
      <c r="N1033" s="17" t="inlineStr">
        <is>
          <t>10 EVIDENCE &amp; DECISIONS</t>
        </is>
      </c>
    </row>
    <row r="1034" ht="34" customHeight="1">
      <c r="A1034" s="12" t="inlineStr">
        <is>
          <t>Contractor Programme</t>
        </is>
      </c>
      <c r="B1034" s="12" t="inlineStr">
        <is>
          <t>SCH-04-153</t>
        </is>
      </c>
      <c r="C1034" s="12" t="inlineStr">
        <is>
          <t>Maintenance shop: vehicle-to-depot interface check - installation</t>
        </is>
      </c>
      <c r="D1034" s="12" t="inlineStr">
        <is>
          <t>WBS Code = 1.4.2</t>
        </is>
      </c>
      <c r="E1034" s="12" t="inlineStr">
        <is>
          <t>R693-v1</t>
        </is>
      </c>
      <c r="F1034" s="12" t="inlineStr">
        <is>
          <t>1.4.2 Vehicles and Depot - Depot Buildings</t>
        </is>
      </c>
      <c r="G1034" s="12" t="inlineStr">
        <is>
          <t>ONE_TO_ONE</t>
        </is>
      </c>
      <c r="H1034" s="12" t="inlineStr">
        <is>
          <t>APPROVED</t>
        </is>
      </c>
      <c r="I1034" s="12" t="inlineStr">
        <is>
          <t>New</t>
        </is>
      </c>
      <c r="J1034" s="12" t="inlineStr">
        <is>
          <t>Source assignment -- not individually reviewed</t>
        </is>
      </c>
      <c r="K1034" s="12" t="inlineStr"/>
      <c r="L1034" s="12" t="inlineStr"/>
      <c r="M1034" s="12" t="inlineStr"/>
      <c r="N1034" s="17" t="inlineStr">
        <is>
          <t>10 EVIDENCE &amp; DECISIONS</t>
        </is>
      </c>
    </row>
    <row r="1035" ht="34" customHeight="1">
      <c r="A1035" s="12" t="inlineStr">
        <is>
          <t>Contractor Programme</t>
        </is>
      </c>
      <c r="B1035" s="12" t="inlineStr">
        <is>
          <t>SCH-04-156</t>
        </is>
      </c>
      <c r="C1035" s="12" t="inlineStr">
        <is>
          <t>Test track: vehicle delivery inspection - release</t>
        </is>
      </c>
      <c r="D1035" s="12" t="inlineStr">
        <is>
          <t>WBS Code = 1.4.2</t>
        </is>
      </c>
      <c r="E1035" s="12" t="inlineStr">
        <is>
          <t>R696-v1</t>
        </is>
      </c>
      <c r="F1035" s="12" t="inlineStr">
        <is>
          <t>1.4.2 Vehicles and Depot - Depot Buildings</t>
        </is>
      </c>
      <c r="G1035" s="12" t="inlineStr">
        <is>
          <t>ONE_TO_ONE</t>
        </is>
      </c>
      <c r="H1035" s="12" t="inlineStr">
        <is>
          <t>APPROVED</t>
        </is>
      </c>
      <c r="I1035" s="12" t="inlineStr">
        <is>
          <t>New</t>
        </is>
      </c>
      <c r="J1035" s="12" t="inlineStr">
        <is>
          <t>Source assignment -- not individually reviewed</t>
        </is>
      </c>
      <c r="K1035" s="12" t="inlineStr"/>
      <c r="L1035" s="12" t="inlineStr"/>
      <c r="M1035" s="12" t="inlineStr"/>
      <c r="N1035" s="17" t="inlineStr">
        <is>
          <t>10 EVIDENCE &amp; DECISIONS</t>
        </is>
      </c>
    </row>
    <row r="1036" ht="34" customHeight="1">
      <c r="A1036" s="12" t="inlineStr">
        <is>
          <t>Contractor Programme</t>
        </is>
      </c>
      <c r="B1036" s="12" t="inlineStr">
        <is>
          <t>SCH-04-159</t>
        </is>
      </c>
      <c r="C1036" s="12" t="inlineStr">
        <is>
          <t>Storage yard: depot structural fit-out - inspection</t>
        </is>
      </c>
      <c r="D1036" s="12" t="inlineStr">
        <is>
          <t>WBS Code = 1.4.2</t>
        </is>
      </c>
      <c r="E1036" s="12" t="inlineStr">
        <is>
          <t>R699-v1</t>
        </is>
      </c>
      <c r="F1036" s="12" t="inlineStr">
        <is>
          <t>1.4.2 Vehicles and Depot - Depot Buildings</t>
        </is>
      </c>
      <c r="G1036" s="12" t="inlineStr">
        <is>
          <t>ONE_TO_ONE</t>
        </is>
      </c>
      <c r="H1036" s="12" t="inlineStr">
        <is>
          <t>APPROVED</t>
        </is>
      </c>
      <c r="I1036" s="12" t="inlineStr">
        <is>
          <t>New</t>
        </is>
      </c>
      <c r="J1036" s="12" t="inlineStr">
        <is>
          <t>Source assignment -- not individually reviewed</t>
        </is>
      </c>
      <c r="K1036" s="12" t="inlineStr"/>
      <c r="L1036" s="12" t="inlineStr"/>
      <c r="M1036" s="12" t="inlineStr"/>
      <c r="N1036" s="17" t="inlineStr">
        <is>
          <t>10 EVIDENCE &amp; DECISIONS</t>
        </is>
      </c>
    </row>
    <row r="1037" ht="34" customHeight="1">
      <c r="A1037" s="12" t="inlineStr">
        <is>
          <t>Contractor Programme</t>
        </is>
      </c>
      <c r="B1037" s="12" t="inlineStr">
        <is>
          <t>SCH-04-162</t>
        </is>
      </c>
      <c r="C1037" s="12" t="inlineStr">
        <is>
          <t>Receiving track: wheel-lathe installation - field start</t>
        </is>
      </c>
      <c r="D1037" s="12" t="inlineStr">
        <is>
          <t>WBS Code = 1.4.2</t>
        </is>
      </c>
      <c r="E1037" s="12" t="inlineStr">
        <is>
          <t>R702-v1</t>
        </is>
      </c>
      <c r="F1037" s="12" t="inlineStr">
        <is>
          <t>1.4.2 Vehicles and Depot - Depot Buildings</t>
        </is>
      </c>
      <c r="G1037" s="12" t="inlineStr">
        <is>
          <t>ONE_TO_ONE</t>
        </is>
      </c>
      <c r="H1037" s="12" t="inlineStr">
        <is>
          <t>APPROVED</t>
        </is>
      </c>
      <c r="I1037" s="12" t="inlineStr">
        <is>
          <t>New</t>
        </is>
      </c>
      <c r="J1037" s="12" t="inlineStr">
        <is>
          <t>Source assignment -- not individually reviewed</t>
        </is>
      </c>
      <c r="K1037" s="12" t="inlineStr"/>
      <c r="L1037" s="12" t="inlineStr"/>
      <c r="M1037" s="12" t="inlineStr"/>
      <c r="N1037" s="17" t="inlineStr">
        <is>
          <t>10 EVIDENCE &amp; DECISIONS</t>
        </is>
      </c>
    </row>
    <row r="1038" ht="34" customHeight="1">
      <c r="A1038" s="12" t="inlineStr">
        <is>
          <t>Contractor Programme</t>
        </is>
      </c>
      <c r="B1038" s="12" t="inlineStr">
        <is>
          <t>SCH-04-165</t>
        </is>
      </c>
      <c r="C1038" s="12" t="inlineStr">
        <is>
          <t>Operations building: wash-plant commissioning - turnover</t>
        </is>
      </c>
      <c r="D1038" s="12" t="inlineStr">
        <is>
          <t>WBS Code = 1.4.2</t>
        </is>
      </c>
      <c r="E1038" s="12" t="inlineStr">
        <is>
          <t>R705-v1</t>
        </is>
      </c>
      <c r="F1038" s="12" t="inlineStr">
        <is>
          <t>1.4.2 Vehicles and Depot - Depot Buildings</t>
        </is>
      </c>
      <c r="G1038" s="12" t="inlineStr">
        <is>
          <t>ONE_TO_ONE</t>
        </is>
      </c>
      <c r="H1038" s="12" t="inlineStr">
        <is>
          <t>APPROVED</t>
        </is>
      </c>
      <c r="I1038" s="12" t="inlineStr">
        <is>
          <t>New</t>
        </is>
      </c>
      <c r="J1038" s="12" t="inlineStr">
        <is>
          <t>Source assignment -- not individually reviewed</t>
        </is>
      </c>
      <c r="K1038" s="12" t="inlineStr"/>
      <c r="L1038" s="12" t="inlineStr"/>
      <c r="M1038" s="12" t="inlineStr"/>
      <c r="N1038" s="17" t="inlineStr">
        <is>
          <t>10 EVIDENCE &amp; DECISIONS</t>
        </is>
      </c>
    </row>
    <row r="1039" ht="34" customHeight="1">
      <c r="A1039" s="12" t="inlineStr">
        <is>
          <t>Contractor Programme</t>
        </is>
      </c>
      <c r="B1039" s="12" t="inlineStr">
        <is>
          <t>SCH-04-168</t>
        </is>
      </c>
      <c r="C1039" s="12" t="inlineStr">
        <is>
          <t>Maintenance shop: workshop crane installation - installation</t>
        </is>
      </c>
      <c r="D1039" s="12" t="inlineStr">
        <is>
          <t>WBS Code = 1.4.2</t>
        </is>
      </c>
      <c r="E1039" s="12" t="inlineStr">
        <is>
          <t>R708-v1</t>
        </is>
      </c>
      <c r="F1039" s="12" t="inlineStr">
        <is>
          <t>1.4.2 Vehicles and Depot - Depot Buildings</t>
        </is>
      </c>
      <c r="G1039" s="12" t="inlineStr">
        <is>
          <t>ONE_TO_ONE</t>
        </is>
      </c>
      <c r="H1039" s="12" t="inlineStr">
        <is>
          <t>APPROVED</t>
        </is>
      </c>
      <c r="I1039" s="12" t="inlineStr">
        <is>
          <t>New</t>
        </is>
      </c>
      <c r="J1039" s="12" t="inlineStr">
        <is>
          <t>Source assignment -- not individually reviewed</t>
        </is>
      </c>
      <c r="K1039" s="12" t="inlineStr"/>
      <c r="L1039" s="12" t="inlineStr"/>
      <c r="M1039" s="12" t="inlineStr"/>
      <c r="N1039" s="17" t="inlineStr">
        <is>
          <t>10 EVIDENCE &amp; DECISIONS</t>
        </is>
      </c>
    </row>
    <row r="1040" ht="34" customHeight="1">
      <c r="A1040" s="12" t="inlineStr">
        <is>
          <t>Contractor Programme</t>
        </is>
      </c>
      <c r="B1040" s="12" t="inlineStr">
        <is>
          <t>SCH-04-171</t>
        </is>
      </c>
      <c r="C1040" s="12" t="inlineStr">
        <is>
          <t>Test track: fleet software load - release</t>
        </is>
      </c>
      <c r="D1040" s="12" t="inlineStr">
        <is>
          <t>WBS Code = 1.4.2</t>
        </is>
      </c>
      <c r="E1040" s="12" t="inlineStr">
        <is>
          <t>R711-v1</t>
        </is>
      </c>
      <c r="F1040" s="12" t="inlineStr">
        <is>
          <t>1.4.2 Vehicles and Depot - Depot Buildings</t>
        </is>
      </c>
      <c r="G1040" s="12" t="inlineStr">
        <is>
          <t>ONE_TO_ONE</t>
        </is>
      </c>
      <c r="H1040" s="12" t="inlineStr">
        <is>
          <t>APPROVED</t>
        </is>
      </c>
      <c r="I1040" s="12" t="inlineStr">
        <is>
          <t>New</t>
        </is>
      </c>
      <c r="J1040" s="12" t="inlineStr">
        <is>
          <t>Source assignment -- not individually reviewed</t>
        </is>
      </c>
      <c r="K1040" s="12" t="inlineStr"/>
      <c r="L1040" s="12" t="inlineStr"/>
      <c r="M1040" s="12" t="inlineStr"/>
      <c r="N1040" s="17" t="inlineStr">
        <is>
          <t>10 EVIDENCE &amp; DECISIONS</t>
        </is>
      </c>
    </row>
    <row r="1041" ht="34" customHeight="1">
      <c r="A1041" s="12" t="inlineStr">
        <is>
          <t>Contractor Programme</t>
        </is>
      </c>
      <c r="B1041" s="12" t="inlineStr">
        <is>
          <t>SCH-04-174</t>
        </is>
      </c>
      <c r="C1041" s="12" t="inlineStr">
        <is>
          <t>Storage yard: maintenance-bay services - inspection</t>
        </is>
      </c>
      <c r="D1041" s="12" t="inlineStr">
        <is>
          <t>WBS Code = 1.4.2</t>
        </is>
      </c>
      <c r="E1041" s="12" t="inlineStr">
        <is>
          <t>R714-v1</t>
        </is>
      </c>
      <c r="F1041" s="12" t="inlineStr">
        <is>
          <t>1.4.2 Vehicles and Depot - Depot Buildings</t>
        </is>
      </c>
      <c r="G1041" s="12" t="inlineStr">
        <is>
          <t>ONE_TO_ONE</t>
        </is>
      </c>
      <c r="H1041" s="12" t="inlineStr">
        <is>
          <t>APPROVED</t>
        </is>
      </c>
      <c r="I1041" s="12" t="inlineStr">
        <is>
          <t>New</t>
        </is>
      </c>
      <c r="J1041" s="12" t="inlineStr">
        <is>
          <t>Source assignment -- not individually reviewed</t>
        </is>
      </c>
      <c r="K1041" s="12" t="inlineStr"/>
      <c r="L1041" s="12" t="inlineStr"/>
      <c r="M1041" s="12" t="inlineStr"/>
      <c r="N1041" s="17" t="inlineStr">
        <is>
          <t>10 EVIDENCE &amp; DECISIONS</t>
        </is>
      </c>
    </row>
    <row r="1042" ht="34" customHeight="1">
      <c r="A1042" s="12" t="inlineStr">
        <is>
          <t>Contractor Programme</t>
        </is>
      </c>
      <c r="B1042" s="12" t="inlineStr">
        <is>
          <t>SCH-04-177</t>
        </is>
      </c>
      <c r="C1042" s="12" t="inlineStr">
        <is>
          <t>Receiving track: vehicle-to-depot interface check - field start</t>
        </is>
      </c>
      <c r="D1042" s="12" t="inlineStr">
        <is>
          <t>WBS Code = 1.4.2</t>
        </is>
      </c>
      <c r="E1042" s="12" t="inlineStr">
        <is>
          <t>R717-v1</t>
        </is>
      </c>
      <c r="F1042" s="12" t="inlineStr">
        <is>
          <t>1.4.2 Vehicles and Depot - Depot Buildings</t>
        </is>
      </c>
      <c r="G1042" s="12" t="inlineStr">
        <is>
          <t>ONE_TO_ONE</t>
        </is>
      </c>
      <c r="H1042" s="12" t="inlineStr">
        <is>
          <t>APPROVED</t>
        </is>
      </c>
      <c r="I1042" s="12" t="inlineStr">
        <is>
          <t>New</t>
        </is>
      </c>
      <c r="J1042" s="12" t="inlineStr">
        <is>
          <t>Source assignment -- not individually reviewed</t>
        </is>
      </c>
      <c r="K1042" s="12" t="inlineStr"/>
      <c r="L1042" s="12" t="inlineStr"/>
      <c r="M1042" s="12" t="inlineStr"/>
      <c r="N1042" s="17" t="inlineStr">
        <is>
          <t>10 EVIDENCE &amp; DECISIONS</t>
        </is>
      </c>
    </row>
    <row r="1043" ht="34" customHeight="1">
      <c r="A1043" s="12" t="inlineStr">
        <is>
          <t>Contractor Programme</t>
        </is>
      </c>
      <c r="B1043" s="12" t="inlineStr">
        <is>
          <t>SCH-04-180</t>
        </is>
      </c>
      <c r="C1043" s="12" t="inlineStr">
        <is>
          <t>Operations building: vehicle delivery inspection - turnover</t>
        </is>
      </c>
      <c r="D1043" s="12" t="inlineStr">
        <is>
          <t>WBS Code = 1.4.2</t>
        </is>
      </c>
      <c r="E1043" s="12" t="inlineStr">
        <is>
          <t>R720-v1</t>
        </is>
      </c>
      <c r="F1043" s="12" t="inlineStr">
        <is>
          <t>1.4.2 Vehicles and Depot - Depot Buildings</t>
        </is>
      </c>
      <c r="G1043" s="12" t="inlineStr">
        <is>
          <t>ONE_TO_ONE</t>
        </is>
      </c>
      <c r="H1043" s="12" t="inlineStr">
        <is>
          <t>APPROVED</t>
        </is>
      </c>
      <c r="I1043" s="12" t="inlineStr">
        <is>
          <t>New</t>
        </is>
      </c>
      <c r="J1043" s="12" t="inlineStr">
        <is>
          <t>Source assignment -- not individually reviewed</t>
        </is>
      </c>
      <c r="K1043" s="12" t="inlineStr"/>
      <c r="L1043" s="12" t="inlineStr"/>
      <c r="M1043" s="12" t="inlineStr"/>
      <c r="N1043" s="17" t="inlineStr">
        <is>
          <t>10 EVIDENCE &amp; DECISIONS</t>
        </is>
      </c>
    </row>
    <row r="1044" ht="34" customHeight="1">
      <c r="A1044" s="12" t="inlineStr">
        <is>
          <t>Cost &amp; Forecast Control Accounts</t>
        </is>
      </c>
      <c r="B1044" s="12" t="inlineStr">
        <is>
          <t>CST-04-002</t>
        </is>
      </c>
      <c r="C1044" s="12" t="inlineStr">
        <is>
          <t>Vehicles and Depot - workshop equipment - supply and install</t>
        </is>
      </c>
      <c r="D1044" s="12" t="inlineStr">
        <is>
          <t>Cost Account = CA-4002; WBS Code = 1.4.2</t>
        </is>
      </c>
      <c r="E1044" s="12" t="inlineStr">
        <is>
          <t>R1324-v1</t>
        </is>
      </c>
      <c r="F1044" s="12" t="inlineStr">
        <is>
          <t>1.4.2 Vehicles and Depot - Depot Buildings</t>
        </is>
      </c>
      <c r="G1044" s="12" t="inlineStr">
        <is>
          <t>ONE_TO_ONE</t>
        </is>
      </c>
      <c r="H1044" s="12" t="inlineStr">
        <is>
          <t>APPROVED</t>
        </is>
      </c>
      <c r="I1044" s="12" t="inlineStr">
        <is>
          <t>New</t>
        </is>
      </c>
      <c r="J1044" s="12" t="inlineStr">
        <is>
          <t>Source assignment -- not individually reviewed</t>
        </is>
      </c>
      <c r="K1044" s="12" t="inlineStr"/>
      <c r="L1044" s="12" t="inlineStr"/>
      <c r="M1044" s="12" t="inlineStr"/>
      <c r="N1044" s="17" t="inlineStr">
        <is>
          <t>10 EVIDENCE &amp; DECISIONS</t>
        </is>
      </c>
      <c r="O1044" s="105" t="n">
        <v>605000</v>
      </c>
      <c r="P1044" s="105" t="n">
        <v>617500</v>
      </c>
      <c r="Q1044" s="105" t="inlineStr">
        <is>
          <t>CAD</t>
        </is>
      </c>
      <c r="R1044" s="105" t="n"/>
      <c r="S1044" s="105" t="inlineStr">
        <is>
          <t>2027-06-30</t>
        </is>
      </c>
      <c r="T1044" s="105" t="inlineStr">
        <is>
          <t>C1-R0</t>
        </is>
      </c>
      <c r="U1044" s="105" t="inlineStr">
        <is>
          <t>Supplied practice file monthly_cost_forecast.xlsx, row 243</t>
        </is>
      </c>
      <c r="V1044" s="105" t="inlineStr">
        <is>
          <t>Whole source account, not a target allocation. Repeated target rows must not be summed. Aggregate cost / forecast remains withheld.</t>
        </is>
      </c>
    </row>
    <row r="1045" ht="34" customHeight="1">
      <c r="A1045" s="12" t="inlineStr">
        <is>
          <t>Cost &amp; Forecast Control Accounts</t>
        </is>
      </c>
      <c r="B1045" s="12" t="inlineStr">
        <is>
          <t>CST-04-004</t>
        </is>
      </c>
      <c r="C1045" s="12" t="inlineStr">
        <is>
          <t>Vehicles and Depot - fleet supply - allowance</t>
        </is>
      </c>
      <c r="D1045" s="12" t="inlineStr">
        <is>
          <t>Cost Account = CA-4004; WBS Code = 1.4.2</t>
        </is>
      </c>
      <c r="E1045" s="12" t="inlineStr">
        <is>
          <t>R1326-v1</t>
        </is>
      </c>
      <c r="F1045" s="12" t="inlineStr">
        <is>
          <t>1.4.2 Vehicles and Depot - Depot Buildings</t>
        </is>
      </c>
      <c r="G1045" s="12" t="inlineStr">
        <is>
          <t>ONE_TO_ONE</t>
        </is>
      </c>
      <c r="H1045" s="12" t="inlineStr">
        <is>
          <t>APPROVED</t>
        </is>
      </c>
      <c r="I1045" s="12" t="inlineStr">
        <is>
          <t>New</t>
        </is>
      </c>
      <c r="J1045" s="12" t="inlineStr">
        <is>
          <t>Source assignment -- not individually reviewed</t>
        </is>
      </c>
      <c r="K1045" s="12" t="inlineStr"/>
      <c r="L1045" s="12" t="inlineStr"/>
      <c r="M1045" s="12" t="inlineStr"/>
      <c r="N1045" s="17" t="inlineStr">
        <is>
          <t>10 EVIDENCE &amp; DECISIONS</t>
        </is>
      </c>
      <c r="O1045" s="105" t="n">
        <v>640000</v>
      </c>
      <c r="P1045" s="105" t="n">
        <v>627500</v>
      </c>
      <c r="Q1045" s="105" t="inlineStr">
        <is>
          <t>CAD</t>
        </is>
      </c>
      <c r="R1045" s="105" t="n"/>
      <c r="S1045" s="105" t="inlineStr">
        <is>
          <t>2027-06-30</t>
        </is>
      </c>
      <c r="T1045" s="105" t="inlineStr">
        <is>
          <t>C1-R0</t>
        </is>
      </c>
      <c r="U1045" s="105" t="inlineStr">
        <is>
          <t>Supplied practice file monthly_cost_forecast.xlsx, row 245</t>
        </is>
      </c>
      <c r="V1045" s="105" t="inlineStr">
        <is>
          <t>Whole source account, not a target allocation. Repeated target rows must not be summed. Aggregate cost / forecast remains withheld.</t>
        </is>
      </c>
    </row>
    <row r="1046" ht="34" customHeight="1">
      <c r="A1046" s="12" t="inlineStr">
        <is>
          <t>Cost &amp; Forecast Control Accounts</t>
        </is>
      </c>
      <c r="B1046" s="12" t="inlineStr">
        <is>
          <t>CST-04-006</t>
        </is>
      </c>
      <c r="C1046" s="12" t="inlineStr">
        <is>
          <t>Vehicles and Depot - spares - field package</t>
        </is>
      </c>
      <c r="D1046" s="12" t="inlineStr">
        <is>
          <t>Cost Account = CA-4006; WBS Code = 1.4.2</t>
        </is>
      </c>
      <c r="E1046" s="12" t="inlineStr">
        <is>
          <t>R1328-v1</t>
        </is>
      </c>
      <c r="F1046" s="12" t="inlineStr">
        <is>
          <t>1.4.2 Vehicles and Depot - Depot Buildings</t>
        </is>
      </c>
      <c r="G1046" s="12" t="inlineStr">
        <is>
          <t>ONE_TO_ONE</t>
        </is>
      </c>
      <c r="H1046" s="12" t="inlineStr">
        <is>
          <t>APPROVED</t>
        </is>
      </c>
      <c r="I1046" s="12" t="inlineStr">
        <is>
          <t>New</t>
        </is>
      </c>
      <c r="J1046" s="12" t="inlineStr">
        <is>
          <t>Source assignment -- not individually reviewed</t>
        </is>
      </c>
      <c r="K1046" s="12" t="inlineStr"/>
      <c r="L1046" s="12" t="inlineStr"/>
      <c r="M1046" s="12" t="inlineStr"/>
      <c r="N1046" s="17" t="inlineStr">
        <is>
          <t>10 EVIDENCE &amp; DECISIONS</t>
        </is>
      </c>
      <c r="O1046" s="105" t="n">
        <v>675000</v>
      </c>
      <c r="P1046" s="105" t="n">
        <v>687500</v>
      </c>
      <c r="Q1046" s="105" t="inlineStr">
        <is>
          <t>CAD</t>
        </is>
      </c>
      <c r="R1046" s="105" t="n"/>
      <c r="S1046" s="105" t="inlineStr">
        <is>
          <t>2027-06-30</t>
        </is>
      </c>
      <c r="T1046" s="105" t="inlineStr">
        <is>
          <t>C1-R0</t>
        </is>
      </c>
      <c r="U1046" s="105" t="inlineStr">
        <is>
          <t>Supplied practice file monthly_cost_forecast.xlsx, row 247</t>
        </is>
      </c>
      <c r="V1046" s="105" t="inlineStr">
        <is>
          <t>Whole source account, not a target allocation. Repeated target rows must not be summed. Aggregate cost / forecast remains withheld.</t>
        </is>
      </c>
    </row>
    <row r="1047" ht="34" customHeight="1">
      <c r="A1047" s="12" t="inlineStr">
        <is>
          <t>Cost &amp; Forecast Control Accounts</t>
        </is>
      </c>
      <c r="B1047" s="12" t="inlineStr">
        <is>
          <t>CST-04-008</t>
        </is>
      </c>
      <c r="C1047" s="12" t="inlineStr">
        <is>
          <t>Vehicles and Depot - workshop equipment - professional services</t>
        </is>
      </c>
      <c r="D1047" s="12" t="inlineStr">
        <is>
          <t>Cost Account = CA-4008; WBS Code = 1.4.2</t>
        </is>
      </c>
      <c r="E1047" s="12" t="inlineStr">
        <is>
          <t>R1330-v1</t>
        </is>
      </c>
      <c r="F1047" s="12" t="inlineStr">
        <is>
          <t>1.4.2 Vehicles and Depot - Depot Buildings</t>
        </is>
      </c>
      <c r="G1047" s="12" t="inlineStr">
        <is>
          <t>ONE_TO_ONE</t>
        </is>
      </c>
      <c r="H1047" s="12" t="inlineStr">
        <is>
          <t>APPROVED</t>
        </is>
      </c>
      <c r="I1047" s="12" t="inlineStr">
        <is>
          <t>New</t>
        </is>
      </c>
      <c r="J1047" s="12" t="inlineStr">
        <is>
          <t>Source assignment -- not individually reviewed</t>
        </is>
      </c>
      <c r="K1047" s="12" t="inlineStr"/>
      <c r="L1047" s="12" t="inlineStr"/>
      <c r="M1047" s="12" t="inlineStr"/>
      <c r="N1047" s="17" t="inlineStr">
        <is>
          <t>10 EVIDENCE &amp; DECISIONS</t>
        </is>
      </c>
      <c r="O1047" s="105" t="n">
        <v>710000</v>
      </c>
      <c r="P1047" s="105" t="n">
        <v>697500</v>
      </c>
      <c r="Q1047" s="105" t="inlineStr">
        <is>
          <t>CAD</t>
        </is>
      </c>
      <c r="R1047" s="105" t="n"/>
      <c r="S1047" s="105" t="inlineStr">
        <is>
          <t>2027-06-30</t>
        </is>
      </c>
      <c r="T1047" s="105" t="inlineStr">
        <is>
          <t>C1-R0</t>
        </is>
      </c>
      <c r="U1047" s="105" t="inlineStr">
        <is>
          <t>Supplied practice file monthly_cost_forecast.xlsx, row 249</t>
        </is>
      </c>
      <c r="V1047" s="105" t="inlineStr">
        <is>
          <t>Whole source account, not a target allocation. Repeated target rows must not be summed. Aggregate cost / forecast remains withheld.</t>
        </is>
      </c>
    </row>
    <row r="1048" ht="34" customHeight="1">
      <c r="A1048" s="12" t="inlineStr">
        <is>
          <t>Cost &amp; Forecast Control Accounts</t>
        </is>
      </c>
      <c r="B1048" s="12" t="inlineStr">
        <is>
          <t>CST-04-010</t>
        </is>
      </c>
      <c r="C1048" s="12" t="inlineStr">
        <is>
          <t>Vehicles and Depot - fleet supply - closeout</t>
        </is>
      </c>
      <c r="D1048" s="12" t="inlineStr">
        <is>
          <t>Cost Account = CA-4010; WBS Code = 1.4.2</t>
        </is>
      </c>
      <c r="E1048" s="12" t="inlineStr">
        <is>
          <t>R1332-v1</t>
        </is>
      </c>
      <c r="F1048" s="12" t="inlineStr">
        <is>
          <t>1.4.2 Vehicles and Depot - Depot Buildings</t>
        </is>
      </c>
      <c r="G1048" s="12" t="inlineStr">
        <is>
          <t>ONE_TO_ONE</t>
        </is>
      </c>
      <c r="H1048" s="12" t="inlineStr">
        <is>
          <t>APPROVED</t>
        </is>
      </c>
      <c r="I1048" s="12" t="inlineStr">
        <is>
          <t>New</t>
        </is>
      </c>
      <c r="J1048" s="12" t="inlineStr">
        <is>
          <t>Source assignment -- not individually reviewed</t>
        </is>
      </c>
      <c r="K1048" s="12" t="inlineStr"/>
      <c r="L1048" s="12" t="inlineStr"/>
      <c r="M1048" s="12" t="inlineStr"/>
      <c r="N1048" s="17" t="inlineStr">
        <is>
          <t>10 EVIDENCE &amp; DECISIONS</t>
        </is>
      </c>
      <c r="O1048" s="105" t="n">
        <v>745000</v>
      </c>
      <c r="P1048" s="105" t="n">
        <v>757500</v>
      </c>
      <c r="Q1048" s="105" t="inlineStr">
        <is>
          <t>CAD</t>
        </is>
      </c>
      <c r="R1048" s="105" t="n"/>
      <c r="S1048" s="105" t="inlineStr">
        <is>
          <t>2027-06-30</t>
        </is>
      </c>
      <c r="T1048" s="105" t="inlineStr">
        <is>
          <t>C1-R0</t>
        </is>
      </c>
      <c r="U1048" s="105" t="inlineStr">
        <is>
          <t>Supplied practice file monthly_cost_forecast.xlsx, row 251</t>
        </is>
      </c>
      <c r="V1048" s="105" t="inlineStr">
        <is>
          <t>Whole source account, not a target allocation. Repeated target rows must not be summed. Aggregate cost / forecast remains withheld.</t>
        </is>
      </c>
    </row>
    <row r="1049" ht="34" customHeight="1">
      <c r="A1049" s="12" t="inlineStr">
        <is>
          <t>Cost &amp; Forecast Control Accounts</t>
        </is>
      </c>
      <c r="B1049" s="12" t="inlineStr">
        <is>
          <t>CST-04-012</t>
        </is>
      </c>
      <c r="C1049" s="12" t="inlineStr">
        <is>
          <t>Vehicles and Depot - spares - supply and install</t>
        </is>
      </c>
      <c r="D1049" s="12" t="inlineStr">
        <is>
          <t>Cost Account = CA-4012; WBS Code = 1.4.2</t>
        </is>
      </c>
      <c r="E1049" s="12" t="inlineStr">
        <is>
          <t>R1334-v1</t>
        </is>
      </c>
      <c r="F1049" s="12" t="inlineStr">
        <is>
          <t>1.4.2 Vehicles and Depot - Depot Buildings</t>
        </is>
      </c>
      <c r="G1049" s="12" t="inlineStr">
        <is>
          <t>ONE_TO_ONE</t>
        </is>
      </c>
      <c r="H1049" s="12" t="inlineStr">
        <is>
          <t>APPROVED</t>
        </is>
      </c>
      <c r="I1049" s="12" t="inlineStr">
        <is>
          <t>New</t>
        </is>
      </c>
      <c r="J1049" s="12" t="inlineStr">
        <is>
          <t>Source assignment -- not individually reviewed</t>
        </is>
      </c>
      <c r="K1049" s="12" t="inlineStr"/>
      <c r="L1049" s="12" t="inlineStr"/>
      <c r="M1049" s="12" t="inlineStr"/>
      <c r="N1049" s="17" t="inlineStr">
        <is>
          <t>10 EVIDENCE &amp; DECISIONS</t>
        </is>
      </c>
      <c r="O1049" s="105" t="n">
        <v>780000</v>
      </c>
      <c r="P1049" s="105" t="n">
        <v>767500</v>
      </c>
      <c r="Q1049" s="105" t="inlineStr">
        <is>
          <t>CAD</t>
        </is>
      </c>
      <c r="R1049" s="105" t="n"/>
      <c r="S1049" s="105" t="inlineStr">
        <is>
          <t>2027-06-30</t>
        </is>
      </c>
      <c r="T1049" s="105" t="inlineStr">
        <is>
          <t>C1-R0</t>
        </is>
      </c>
      <c r="U1049" s="105" t="inlineStr">
        <is>
          <t>Supplied practice file monthly_cost_forecast.xlsx, row 253</t>
        </is>
      </c>
      <c r="V1049" s="105" t="inlineStr">
        <is>
          <t>Whole source account, not a target allocation. Repeated target rows must not be summed. Aggregate cost / forecast remains withheld.</t>
        </is>
      </c>
    </row>
    <row r="1050" ht="34" customHeight="1">
      <c r="A1050" s="12" t="inlineStr">
        <is>
          <t>Cost &amp; Forecast Control Accounts</t>
        </is>
      </c>
      <c r="B1050" s="12" t="inlineStr">
        <is>
          <t>CST-04-014</t>
        </is>
      </c>
      <c r="C1050" s="12" t="inlineStr">
        <is>
          <t>Vehicles and Depot - workshop equipment - allowance</t>
        </is>
      </c>
      <c r="D1050" s="12" t="inlineStr">
        <is>
          <t>Cost Account = CA-4014; WBS Code = 1.4.2</t>
        </is>
      </c>
      <c r="E1050" s="12" t="inlineStr">
        <is>
          <t>R1336-v1</t>
        </is>
      </c>
      <c r="F1050" s="12" t="inlineStr">
        <is>
          <t>1.4.2 Vehicles and Depot - Depot Buildings</t>
        </is>
      </c>
      <c r="G1050" s="12" t="inlineStr">
        <is>
          <t>ONE_TO_ONE</t>
        </is>
      </c>
      <c r="H1050" s="12" t="inlineStr">
        <is>
          <t>APPROVED</t>
        </is>
      </c>
      <c r="I1050" s="12" t="inlineStr">
        <is>
          <t>New</t>
        </is>
      </c>
      <c r="J1050" s="12" t="inlineStr">
        <is>
          <t>Source assignment -- not individually reviewed</t>
        </is>
      </c>
      <c r="K1050" s="12" t="inlineStr"/>
      <c r="L1050" s="12" t="inlineStr"/>
      <c r="M1050" s="12" t="inlineStr"/>
      <c r="N1050" s="17" t="inlineStr">
        <is>
          <t>10 EVIDENCE &amp; DECISIONS</t>
        </is>
      </c>
      <c r="O1050" s="105" t="n">
        <v>815000</v>
      </c>
      <c r="P1050" s="105" t="n">
        <v>827500</v>
      </c>
      <c r="Q1050" s="105" t="inlineStr">
        <is>
          <t>CAD</t>
        </is>
      </c>
      <c r="R1050" s="105" t="n"/>
      <c r="S1050" s="105" t="inlineStr">
        <is>
          <t>2027-06-30</t>
        </is>
      </c>
      <c r="T1050" s="105" t="inlineStr">
        <is>
          <t>C1-R0</t>
        </is>
      </c>
      <c r="U1050" s="105" t="inlineStr">
        <is>
          <t>Supplied practice file monthly_cost_forecast.xlsx, row 255</t>
        </is>
      </c>
      <c r="V1050" s="105" t="inlineStr">
        <is>
          <t>Whole source account, not a target allocation. Repeated target rows must not be summed. Aggregate cost / forecast remains withheld.</t>
        </is>
      </c>
    </row>
    <row r="1051" ht="34" customHeight="1">
      <c r="A1051" s="12" t="inlineStr">
        <is>
          <t>Cost &amp; Forecast Control Accounts</t>
        </is>
      </c>
      <c r="B1051" s="12" t="inlineStr">
        <is>
          <t>CST-04-016</t>
        </is>
      </c>
      <c r="C1051" s="12" t="inlineStr">
        <is>
          <t>Vehicles and Depot - fleet supply - field package</t>
        </is>
      </c>
      <c r="D1051" s="12" t="inlineStr">
        <is>
          <t>Cost Account = CA-4016; WBS Code = 1.4.2</t>
        </is>
      </c>
      <c r="E1051" s="12" t="inlineStr">
        <is>
          <t>R1338-v1</t>
        </is>
      </c>
      <c r="F1051" s="12" t="inlineStr">
        <is>
          <t>1.4.2 Vehicles and Depot - Depot Buildings</t>
        </is>
      </c>
      <c r="G1051" s="12" t="inlineStr">
        <is>
          <t>ONE_TO_ONE</t>
        </is>
      </c>
      <c r="H1051" s="12" t="inlineStr">
        <is>
          <t>APPROVED</t>
        </is>
      </c>
      <c r="I1051" s="12" t="inlineStr">
        <is>
          <t>New</t>
        </is>
      </c>
      <c r="J1051" s="12" t="inlineStr">
        <is>
          <t>Source assignment -- not individually reviewed</t>
        </is>
      </c>
      <c r="K1051" s="12" t="inlineStr"/>
      <c r="L1051" s="12" t="inlineStr"/>
      <c r="M1051" s="12" t="inlineStr"/>
      <c r="N1051" s="17" t="inlineStr">
        <is>
          <t>10 EVIDENCE &amp; DECISIONS</t>
        </is>
      </c>
      <c r="O1051" s="105" t="n">
        <v>850000</v>
      </c>
      <c r="P1051" s="105" t="n">
        <v>837500</v>
      </c>
      <c r="Q1051" s="105" t="inlineStr">
        <is>
          <t>CAD</t>
        </is>
      </c>
      <c r="R1051" s="105" t="n"/>
      <c r="S1051" s="105" t="inlineStr">
        <is>
          <t>2027-06-30</t>
        </is>
      </c>
      <c r="T1051" s="105" t="inlineStr">
        <is>
          <t>C1-R0</t>
        </is>
      </c>
      <c r="U1051" s="105" t="inlineStr">
        <is>
          <t>Supplied practice file monthly_cost_forecast.xlsx, row 257</t>
        </is>
      </c>
      <c r="V1051" s="105" t="inlineStr">
        <is>
          <t>Whole source account, not a target allocation. Repeated target rows must not be summed. Aggregate cost / forecast remains withheld.</t>
        </is>
      </c>
    </row>
    <row r="1052" ht="34" customHeight="1">
      <c r="A1052" s="12" t="inlineStr">
        <is>
          <t>Cost &amp; Forecast Control Accounts</t>
        </is>
      </c>
      <c r="B1052" s="12" t="inlineStr">
        <is>
          <t>CST-04-018</t>
        </is>
      </c>
      <c r="C1052" s="12" t="inlineStr">
        <is>
          <t>Vehicles and Depot - spares - professional services</t>
        </is>
      </c>
      <c r="D1052" s="12" t="inlineStr">
        <is>
          <t>Cost Account = CA-4018; WBS Code = 1.4.2</t>
        </is>
      </c>
      <c r="E1052" s="12" t="inlineStr">
        <is>
          <t>R1340-v1</t>
        </is>
      </c>
      <c r="F1052" s="12" t="inlineStr">
        <is>
          <t>1.4.2 Vehicles and Depot - Depot Buildings</t>
        </is>
      </c>
      <c r="G1052" s="12" t="inlineStr">
        <is>
          <t>ONE_TO_ONE</t>
        </is>
      </c>
      <c r="H1052" s="12" t="inlineStr">
        <is>
          <t>APPROVED</t>
        </is>
      </c>
      <c r="I1052" s="12" t="inlineStr">
        <is>
          <t>New</t>
        </is>
      </c>
      <c r="J1052" s="12" t="inlineStr">
        <is>
          <t>Source assignment -- not individually reviewed</t>
        </is>
      </c>
      <c r="K1052" s="12" t="inlineStr"/>
      <c r="L1052" s="12" t="inlineStr"/>
      <c r="M1052" s="12" t="inlineStr"/>
      <c r="N1052" s="17" t="inlineStr">
        <is>
          <t>10 EVIDENCE &amp; DECISIONS</t>
        </is>
      </c>
      <c r="O1052" s="105" t="n">
        <v>885000</v>
      </c>
      <c r="P1052" s="105" t="n">
        <v>897500</v>
      </c>
      <c r="Q1052" s="105" t="inlineStr">
        <is>
          <t>CAD</t>
        </is>
      </c>
      <c r="R1052" s="105" t="n"/>
      <c r="S1052" s="105" t="inlineStr">
        <is>
          <t>2027-06-30</t>
        </is>
      </c>
      <c r="T1052" s="105" t="inlineStr">
        <is>
          <t>C1-R0</t>
        </is>
      </c>
      <c r="U1052" s="105" t="inlineStr">
        <is>
          <t>Supplied practice file monthly_cost_forecast.xlsx, row 259</t>
        </is>
      </c>
      <c r="V1052" s="105" t="inlineStr">
        <is>
          <t>Whole source account, not a target allocation. Repeated target rows must not be summed. Aggregate cost / forecast remains withheld.</t>
        </is>
      </c>
    </row>
    <row r="1053" ht="34" customHeight="1">
      <c r="A1053" s="12" t="inlineStr">
        <is>
          <t>Cost &amp; Forecast Control Accounts</t>
        </is>
      </c>
      <c r="B1053" s="12" t="inlineStr">
        <is>
          <t>CST-04-020</t>
        </is>
      </c>
      <c r="C1053" s="12" t="inlineStr">
        <is>
          <t>Vehicles and Depot - workshop equipment - closeout</t>
        </is>
      </c>
      <c r="D1053" s="12" t="inlineStr">
        <is>
          <t>Cost Account = CA-4020; WBS Code = 1.4.2</t>
        </is>
      </c>
      <c r="E1053" s="12" t="inlineStr">
        <is>
          <t>R1342-v1</t>
        </is>
      </c>
      <c r="F1053" s="12" t="inlineStr">
        <is>
          <t>1.4.2 Vehicles and Depot - Depot Buildings</t>
        </is>
      </c>
      <c r="G1053" s="12" t="inlineStr">
        <is>
          <t>ONE_TO_ONE</t>
        </is>
      </c>
      <c r="H1053" s="12" t="inlineStr">
        <is>
          <t>APPROVED</t>
        </is>
      </c>
      <c r="I1053" s="12" t="inlineStr">
        <is>
          <t>New</t>
        </is>
      </c>
      <c r="J1053" s="12" t="inlineStr">
        <is>
          <t>Source assignment -- not individually reviewed</t>
        </is>
      </c>
      <c r="K1053" s="12" t="inlineStr"/>
      <c r="L1053" s="12" t="inlineStr"/>
      <c r="M1053" s="12" t="inlineStr"/>
      <c r="N1053" s="17" t="inlineStr">
        <is>
          <t>10 EVIDENCE &amp; DECISIONS</t>
        </is>
      </c>
      <c r="O1053" s="105" t="n">
        <v>920000</v>
      </c>
      <c r="P1053" s="105" t="n">
        <v>907500</v>
      </c>
      <c r="Q1053" s="105" t="inlineStr">
        <is>
          <t>CAD</t>
        </is>
      </c>
      <c r="R1053" s="105" t="n"/>
      <c r="S1053" s="105" t="inlineStr">
        <is>
          <t>2027-06-30</t>
        </is>
      </c>
      <c r="T1053" s="105" t="inlineStr">
        <is>
          <t>C1-R0</t>
        </is>
      </c>
      <c r="U1053" s="105" t="inlineStr">
        <is>
          <t>Supplied practice file monthly_cost_forecast.xlsx, row 261</t>
        </is>
      </c>
      <c r="V1053" s="105" t="inlineStr">
        <is>
          <t>Whole source account, not a target allocation. Repeated target rows must not be summed. Aggregate cost / forecast remains withheld.</t>
        </is>
      </c>
    </row>
    <row r="1054" ht="34" customHeight="1">
      <c r="A1054" s="12" t="inlineStr">
        <is>
          <t>Cost &amp; Forecast Control Accounts</t>
        </is>
      </c>
      <c r="B1054" s="12" t="inlineStr">
        <is>
          <t>CST-04-022</t>
        </is>
      </c>
      <c r="C1054" s="12" t="inlineStr">
        <is>
          <t>Vehicles and Depot - fleet supply - supply and install</t>
        </is>
      </c>
      <c r="D1054" s="12" t="inlineStr">
        <is>
          <t>Cost Account = CA-4022; WBS Code = 1.4.2</t>
        </is>
      </c>
      <c r="E1054" s="12" t="inlineStr">
        <is>
          <t>R1344-v1</t>
        </is>
      </c>
      <c r="F1054" s="12" t="inlineStr">
        <is>
          <t>1.4.2 Vehicles and Depot - Depot Buildings</t>
        </is>
      </c>
      <c r="G1054" s="12" t="inlineStr">
        <is>
          <t>ONE_TO_ONE</t>
        </is>
      </c>
      <c r="H1054" s="12" t="inlineStr">
        <is>
          <t>APPROVED</t>
        </is>
      </c>
      <c r="I1054" s="12" t="inlineStr">
        <is>
          <t>New</t>
        </is>
      </c>
      <c r="J1054" s="12" t="inlineStr">
        <is>
          <t>Source assignment -- not individually reviewed</t>
        </is>
      </c>
      <c r="K1054" s="12" t="inlineStr"/>
      <c r="L1054" s="12" t="inlineStr"/>
      <c r="M1054" s="12" t="inlineStr"/>
      <c r="N1054" s="17" t="inlineStr">
        <is>
          <t>10 EVIDENCE &amp; DECISIONS</t>
        </is>
      </c>
      <c r="O1054" s="105" t="n">
        <v>955000</v>
      </c>
      <c r="P1054" s="105" t="n">
        <v>967500</v>
      </c>
      <c r="Q1054" s="105" t="inlineStr">
        <is>
          <t>CAD</t>
        </is>
      </c>
      <c r="R1054" s="105" t="n"/>
      <c r="S1054" s="105" t="inlineStr">
        <is>
          <t>2027-06-30</t>
        </is>
      </c>
      <c r="T1054" s="105" t="inlineStr">
        <is>
          <t>C1-R0</t>
        </is>
      </c>
      <c r="U1054" s="105" t="inlineStr">
        <is>
          <t>Supplied practice file monthly_cost_forecast.xlsx, row 263</t>
        </is>
      </c>
      <c r="V1054" s="105" t="inlineStr">
        <is>
          <t>Whole source account, not a target allocation. Repeated target rows must not be summed. Aggregate cost / forecast remains withheld.</t>
        </is>
      </c>
    </row>
    <row r="1055" ht="34" customHeight="1">
      <c r="A1055" s="12" t="inlineStr">
        <is>
          <t>Cost &amp; Forecast Control Accounts</t>
        </is>
      </c>
      <c r="B1055" s="12" t="inlineStr">
        <is>
          <t>CST-04-024</t>
        </is>
      </c>
      <c r="C1055" s="12" t="inlineStr">
        <is>
          <t>Vehicles and Depot - spares - allowance</t>
        </is>
      </c>
      <c r="D1055" s="12" t="inlineStr">
        <is>
          <t>Cost Account = CA-4024; WBS Code = 1.4.2</t>
        </is>
      </c>
      <c r="E1055" s="12" t="inlineStr">
        <is>
          <t>R1346-v1</t>
        </is>
      </c>
      <c r="F1055" s="12" t="inlineStr">
        <is>
          <t>1.4.2 Vehicles and Depot - Depot Buildings</t>
        </is>
      </c>
      <c r="G1055" s="12" t="inlineStr">
        <is>
          <t>ONE_TO_ONE</t>
        </is>
      </c>
      <c r="H1055" s="12" t="inlineStr">
        <is>
          <t>APPROVED</t>
        </is>
      </c>
      <c r="I1055" s="12" t="inlineStr">
        <is>
          <t>New</t>
        </is>
      </c>
      <c r="J1055" s="12" t="inlineStr">
        <is>
          <t>Source assignment -- not individually reviewed</t>
        </is>
      </c>
      <c r="K1055" s="12" t="inlineStr"/>
      <c r="L1055" s="12" t="inlineStr"/>
      <c r="M1055" s="12" t="inlineStr"/>
      <c r="N1055" s="17" t="inlineStr">
        <is>
          <t>10 EVIDENCE &amp; DECISIONS</t>
        </is>
      </c>
      <c r="O1055" s="105" t="n">
        <v>990000</v>
      </c>
      <c r="P1055" s="105" t="n">
        <v>977500</v>
      </c>
      <c r="Q1055" s="105" t="inlineStr">
        <is>
          <t>CAD</t>
        </is>
      </c>
      <c r="R1055" s="105" t="n"/>
      <c r="S1055" s="105" t="inlineStr">
        <is>
          <t>2027-06-30</t>
        </is>
      </c>
      <c r="T1055" s="105" t="inlineStr">
        <is>
          <t>C1-R0</t>
        </is>
      </c>
      <c r="U1055" s="105" t="inlineStr">
        <is>
          <t>Supplied practice file monthly_cost_forecast.xlsx, row 265</t>
        </is>
      </c>
      <c r="V1055" s="105" t="inlineStr">
        <is>
          <t>Whole source account, not a target allocation. Repeated target rows must not be summed. Aggregate cost / forecast remains withheld.</t>
        </is>
      </c>
    </row>
    <row r="1056" ht="34" customHeight="1">
      <c r="A1056" s="12" t="inlineStr">
        <is>
          <t>Cost &amp; Forecast Control Accounts</t>
        </is>
      </c>
      <c r="B1056" s="12" t="inlineStr">
        <is>
          <t>CST-04-026</t>
        </is>
      </c>
      <c r="C1056" s="12" t="inlineStr">
        <is>
          <t>Vehicles and Depot - workshop equipment - field package</t>
        </is>
      </c>
      <c r="D1056" s="12" t="inlineStr">
        <is>
          <t>Cost Account = CA-4026; WBS Code = 1.4.2</t>
        </is>
      </c>
      <c r="E1056" s="12" t="inlineStr">
        <is>
          <t>R1348-v1</t>
        </is>
      </c>
      <c r="F1056" s="12" t="inlineStr">
        <is>
          <t>1.4.2 Vehicles and Depot - Depot Buildings</t>
        </is>
      </c>
      <c r="G1056" s="12" t="inlineStr">
        <is>
          <t>ONE_TO_ONE</t>
        </is>
      </c>
      <c r="H1056" s="12" t="inlineStr">
        <is>
          <t>APPROVED</t>
        </is>
      </c>
      <c r="I1056" s="12" t="inlineStr">
        <is>
          <t>New</t>
        </is>
      </c>
      <c r="J1056" s="12" t="inlineStr">
        <is>
          <t>Source assignment -- not individually reviewed</t>
        </is>
      </c>
      <c r="K1056" s="12" t="inlineStr"/>
      <c r="L1056" s="12" t="inlineStr"/>
      <c r="M1056" s="12" t="inlineStr"/>
      <c r="N1056" s="17" t="inlineStr">
        <is>
          <t>10 EVIDENCE &amp; DECISIONS</t>
        </is>
      </c>
      <c r="O1056" s="105" t="n">
        <v>1025000</v>
      </c>
      <c r="P1056" s="105" t="n">
        <v>1037500</v>
      </c>
      <c r="Q1056" s="105" t="inlineStr">
        <is>
          <t>CAD</t>
        </is>
      </c>
      <c r="R1056" s="105" t="n"/>
      <c r="S1056" s="105" t="inlineStr">
        <is>
          <t>2027-06-30</t>
        </is>
      </c>
      <c r="T1056" s="105" t="inlineStr">
        <is>
          <t>C1-R0</t>
        </is>
      </c>
      <c r="U1056" s="105" t="inlineStr">
        <is>
          <t>Supplied practice file monthly_cost_forecast.xlsx, row 267</t>
        </is>
      </c>
      <c r="V1056" s="105" t="inlineStr">
        <is>
          <t>Whole source account, not a target allocation. Repeated target rows must not be summed. Aggregate cost / forecast remains withheld.</t>
        </is>
      </c>
    </row>
    <row r="1057" ht="34" customHeight="1">
      <c r="A1057" s="12" t="inlineStr">
        <is>
          <t>Cost &amp; Forecast Control Accounts</t>
        </is>
      </c>
      <c r="B1057" s="12" t="inlineStr">
        <is>
          <t>CST-04-028</t>
        </is>
      </c>
      <c r="C1057" s="12" t="inlineStr">
        <is>
          <t>Vehicles and Depot - fleet supply - professional services</t>
        </is>
      </c>
      <c r="D1057" s="12" t="inlineStr">
        <is>
          <t>Cost Account = CA-4028; WBS Code = 1.4.2</t>
        </is>
      </c>
      <c r="E1057" s="12" t="inlineStr">
        <is>
          <t>R1350-v1</t>
        </is>
      </c>
      <c r="F1057" s="12" t="inlineStr">
        <is>
          <t>1.4.2 Vehicles and Depot - Depot Buildings</t>
        </is>
      </c>
      <c r="G1057" s="12" t="inlineStr">
        <is>
          <t>ONE_TO_ONE</t>
        </is>
      </c>
      <c r="H1057" s="12" t="inlineStr">
        <is>
          <t>APPROVED</t>
        </is>
      </c>
      <c r="I1057" s="12" t="inlineStr">
        <is>
          <t>New</t>
        </is>
      </c>
      <c r="J1057" s="12" t="inlineStr">
        <is>
          <t>Source assignment -- not individually reviewed</t>
        </is>
      </c>
      <c r="K1057" s="12" t="inlineStr"/>
      <c r="L1057" s="12" t="inlineStr"/>
      <c r="M1057" s="12" t="inlineStr"/>
      <c r="N1057" s="17" t="inlineStr">
        <is>
          <t>10 EVIDENCE &amp; DECISIONS</t>
        </is>
      </c>
      <c r="O1057" s="105" t="n">
        <v>1060000</v>
      </c>
      <c r="P1057" s="105" t="n">
        <v>1047500</v>
      </c>
      <c r="Q1057" s="105" t="inlineStr">
        <is>
          <t>CAD</t>
        </is>
      </c>
      <c r="R1057" s="105" t="n"/>
      <c r="S1057" s="105" t="inlineStr">
        <is>
          <t>2027-06-30</t>
        </is>
      </c>
      <c r="T1057" s="105" t="inlineStr">
        <is>
          <t>C1-R0</t>
        </is>
      </c>
      <c r="U1057" s="105" t="inlineStr">
        <is>
          <t>Supplied practice file monthly_cost_forecast.xlsx, row 269</t>
        </is>
      </c>
      <c r="V1057" s="105" t="inlineStr">
        <is>
          <t>Whole source account, not a target allocation. Repeated target rows must not be summed. Aggregate cost / forecast remains withheld.</t>
        </is>
      </c>
    </row>
    <row r="1058" ht="34" customHeight="1">
      <c r="A1058" s="12" t="inlineStr">
        <is>
          <t>Cost &amp; Forecast Control Accounts</t>
        </is>
      </c>
      <c r="B1058" s="12" t="inlineStr">
        <is>
          <t>CST-04-030</t>
        </is>
      </c>
      <c r="C1058" s="12" t="inlineStr">
        <is>
          <t>Vehicles and Depot - spares - closeout</t>
        </is>
      </c>
      <c r="D1058" s="12" t="inlineStr">
        <is>
          <t>Cost Account = CA-4030; WBS Code = 1.4.2</t>
        </is>
      </c>
      <c r="E1058" s="12" t="inlineStr">
        <is>
          <t>R1352-v1</t>
        </is>
      </c>
      <c r="F1058" s="12" t="inlineStr">
        <is>
          <t>1.4.2 Vehicles and Depot - Depot Buildings</t>
        </is>
      </c>
      <c r="G1058" s="12" t="inlineStr">
        <is>
          <t>ONE_TO_ONE</t>
        </is>
      </c>
      <c r="H1058" s="12" t="inlineStr">
        <is>
          <t>APPROVED</t>
        </is>
      </c>
      <c r="I1058" s="12" t="inlineStr">
        <is>
          <t>New</t>
        </is>
      </c>
      <c r="J1058" s="12" t="inlineStr">
        <is>
          <t>Source assignment -- not individually reviewed</t>
        </is>
      </c>
      <c r="K1058" s="12" t="inlineStr"/>
      <c r="L1058" s="12" t="inlineStr"/>
      <c r="M1058" s="12" t="inlineStr"/>
      <c r="N1058" s="17" t="inlineStr">
        <is>
          <t>10 EVIDENCE &amp; DECISIONS</t>
        </is>
      </c>
      <c r="O1058" s="105" t="n">
        <v>1095000</v>
      </c>
      <c r="P1058" s="105" t="n">
        <v>1107500</v>
      </c>
      <c r="Q1058" s="105" t="inlineStr">
        <is>
          <t>CAD</t>
        </is>
      </c>
      <c r="R1058" s="105" t="n"/>
      <c r="S1058" s="105" t="inlineStr">
        <is>
          <t>2027-06-30</t>
        </is>
      </c>
      <c r="T1058" s="105" t="inlineStr">
        <is>
          <t>C1-R0</t>
        </is>
      </c>
      <c r="U1058" s="105" t="inlineStr">
        <is>
          <t>Supplied practice file monthly_cost_forecast.xlsx, row 271</t>
        </is>
      </c>
      <c r="V1058" s="105" t="inlineStr">
        <is>
          <t>Whole source account, not a target allocation. Repeated target rows must not be summed. Aggregate cost / forecast remains withheld.</t>
        </is>
      </c>
    </row>
    <row r="1059" ht="34" customHeight="1">
      <c r="A1059" s="12" t="inlineStr">
        <is>
          <t>Cost &amp; Forecast Control Accounts</t>
        </is>
      </c>
      <c r="B1059" s="12" t="inlineStr">
        <is>
          <t>CST-04-032</t>
        </is>
      </c>
      <c r="C1059" s="12" t="inlineStr">
        <is>
          <t>Vehicles and Depot - workshop equipment - supply and install</t>
        </is>
      </c>
      <c r="D1059" s="12" t="inlineStr">
        <is>
          <t>Cost Account = CA-4032; WBS Code = 1.4.2</t>
        </is>
      </c>
      <c r="E1059" s="12" t="inlineStr">
        <is>
          <t>R1354-v1</t>
        </is>
      </c>
      <c r="F1059" s="12" t="inlineStr">
        <is>
          <t>1.4.2 Vehicles and Depot - Depot Buildings</t>
        </is>
      </c>
      <c r="G1059" s="12" t="inlineStr">
        <is>
          <t>ONE_TO_ONE</t>
        </is>
      </c>
      <c r="H1059" s="12" t="inlineStr">
        <is>
          <t>APPROVED</t>
        </is>
      </c>
      <c r="I1059" s="12" t="inlineStr">
        <is>
          <t>New</t>
        </is>
      </c>
      <c r="J1059" s="12" t="inlineStr">
        <is>
          <t>Source assignment -- not individually reviewed</t>
        </is>
      </c>
      <c r="K1059" s="12" t="inlineStr"/>
      <c r="L1059" s="12" t="inlineStr"/>
      <c r="M1059" s="12" t="inlineStr"/>
      <c r="N1059" s="17" t="inlineStr">
        <is>
          <t>10 EVIDENCE &amp; DECISIONS</t>
        </is>
      </c>
      <c r="O1059" s="105" t="n">
        <v>1130000</v>
      </c>
      <c r="P1059" s="105" t="n">
        <v>1117500</v>
      </c>
      <c r="Q1059" s="105" t="inlineStr">
        <is>
          <t>CAD</t>
        </is>
      </c>
      <c r="R1059" s="105" t="n"/>
      <c r="S1059" s="105" t="inlineStr">
        <is>
          <t>2027-06-30</t>
        </is>
      </c>
      <c r="T1059" s="105" t="inlineStr">
        <is>
          <t>C1-R0</t>
        </is>
      </c>
      <c r="U1059" s="105" t="inlineStr">
        <is>
          <t>Supplied practice file monthly_cost_forecast.xlsx, row 273</t>
        </is>
      </c>
      <c r="V1059" s="105" t="inlineStr">
        <is>
          <t>Whole source account, not a target allocation. Repeated target rows must not be summed. Aggregate cost / forecast remains withheld.</t>
        </is>
      </c>
    </row>
    <row r="1060" ht="34" customHeight="1">
      <c r="A1060" s="12" t="inlineStr">
        <is>
          <t>Cost &amp; Forecast Control Accounts</t>
        </is>
      </c>
      <c r="B1060" s="12" t="inlineStr">
        <is>
          <t>CST-04-034</t>
        </is>
      </c>
      <c r="C1060" s="12" t="inlineStr">
        <is>
          <t>Vehicles and Depot - fleet supply - allowance</t>
        </is>
      </c>
      <c r="D1060" s="12" t="inlineStr">
        <is>
          <t>Cost Account = CA-4034; WBS Code = 1.4.2</t>
        </is>
      </c>
      <c r="E1060" s="12" t="inlineStr">
        <is>
          <t>R1356-v1</t>
        </is>
      </c>
      <c r="F1060" s="12" t="inlineStr">
        <is>
          <t>1.4.2 Vehicles and Depot - Depot Buildings</t>
        </is>
      </c>
      <c r="G1060" s="12" t="inlineStr">
        <is>
          <t>ONE_TO_ONE</t>
        </is>
      </c>
      <c r="H1060" s="12" t="inlineStr">
        <is>
          <t>APPROVED</t>
        </is>
      </c>
      <c r="I1060" s="12" t="inlineStr">
        <is>
          <t>New</t>
        </is>
      </c>
      <c r="J1060" s="12" t="inlineStr">
        <is>
          <t>Source assignment -- not individually reviewed</t>
        </is>
      </c>
      <c r="K1060" s="12" t="inlineStr"/>
      <c r="L1060" s="12" t="inlineStr"/>
      <c r="M1060" s="12" t="inlineStr"/>
      <c r="N1060" s="17" t="inlineStr">
        <is>
          <t>10 EVIDENCE &amp; DECISIONS</t>
        </is>
      </c>
      <c r="O1060" s="105" t="n">
        <v>1165000</v>
      </c>
      <c r="P1060" s="105" t="n">
        <v>1177500</v>
      </c>
      <c r="Q1060" s="105" t="inlineStr">
        <is>
          <t>CAD</t>
        </is>
      </c>
      <c r="R1060" s="105" t="n"/>
      <c r="S1060" s="105" t="inlineStr">
        <is>
          <t>2027-06-30</t>
        </is>
      </c>
      <c r="T1060" s="105" t="inlineStr">
        <is>
          <t>C1-R0</t>
        </is>
      </c>
      <c r="U1060" s="105" t="inlineStr">
        <is>
          <t>Supplied practice file monthly_cost_forecast.xlsx, row 275</t>
        </is>
      </c>
      <c r="V1060" s="105" t="inlineStr">
        <is>
          <t>Whole source account, not a target allocation. Repeated target rows must not be summed. Aggregate cost / forecast remains withheld.</t>
        </is>
      </c>
    </row>
    <row r="1061" ht="34" customHeight="1">
      <c r="A1061" s="12" t="inlineStr">
        <is>
          <t>Cost &amp; Forecast Control Accounts</t>
        </is>
      </c>
      <c r="B1061" s="12" t="inlineStr">
        <is>
          <t>CST-04-036</t>
        </is>
      </c>
      <c r="C1061" s="12" t="inlineStr">
        <is>
          <t>Vehicles and Depot - spares - field package</t>
        </is>
      </c>
      <c r="D1061" s="12" t="inlineStr">
        <is>
          <t>Cost Account = CA-4036; WBS Code = 1.4.2</t>
        </is>
      </c>
      <c r="E1061" s="12" t="inlineStr">
        <is>
          <t>R1358-v1</t>
        </is>
      </c>
      <c r="F1061" s="12" t="inlineStr">
        <is>
          <t>1.4.2 Vehicles and Depot - Depot Buildings</t>
        </is>
      </c>
      <c r="G1061" s="12" t="inlineStr">
        <is>
          <t>ONE_TO_ONE</t>
        </is>
      </c>
      <c r="H1061" s="12" t="inlineStr">
        <is>
          <t>APPROVED</t>
        </is>
      </c>
      <c r="I1061" s="12" t="inlineStr">
        <is>
          <t>New</t>
        </is>
      </c>
      <c r="J1061" s="12" t="inlineStr">
        <is>
          <t>Source assignment -- not individually reviewed</t>
        </is>
      </c>
      <c r="K1061" s="12" t="inlineStr"/>
      <c r="L1061" s="12" t="inlineStr"/>
      <c r="M1061" s="12" t="inlineStr"/>
      <c r="N1061" s="17" t="inlineStr">
        <is>
          <t>10 EVIDENCE &amp; DECISIONS</t>
        </is>
      </c>
      <c r="O1061" s="105" t="n">
        <v>1200000</v>
      </c>
      <c r="P1061" s="105" t="n">
        <v>1187500</v>
      </c>
      <c r="Q1061" s="105" t="inlineStr">
        <is>
          <t>CAD</t>
        </is>
      </c>
      <c r="R1061" s="105" t="n"/>
      <c r="S1061" s="105" t="inlineStr">
        <is>
          <t>2027-06-30</t>
        </is>
      </c>
      <c r="T1061" s="105" t="inlineStr">
        <is>
          <t>C1-R0</t>
        </is>
      </c>
      <c r="U1061" s="105" t="inlineStr">
        <is>
          <t>Supplied practice file monthly_cost_forecast.xlsx, row 277</t>
        </is>
      </c>
      <c r="V1061" s="105" t="inlineStr">
        <is>
          <t>Whole source account, not a target allocation. Repeated target rows must not be summed. Aggregate cost / forecast remains withheld.</t>
        </is>
      </c>
    </row>
    <row r="1062" ht="34" customHeight="1">
      <c r="A1062" s="12" t="inlineStr">
        <is>
          <t>Cost &amp; Forecast Control Accounts</t>
        </is>
      </c>
      <c r="B1062" s="12" t="inlineStr">
        <is>
          <t>CST-04-038</t>
        </is>
      </c>
      <c r="C1062" s="12" t="inlineStr">
        <is>
          <t>Vehicles and Depot - workshop equipment - professional services</t>
        </is>
      </c>
      <c r="D1062" s="12" t="inlineStr">
        <is>
          <t>Cost Account = CA-4038; WBS Code = 1.4.2</t>
        </is>
      </c>
      <c r="E1062" s="12" t="inlineStr">
        <is>
          <t>R1360-v1</t>
        </is>
      </c>
      <c r="F1062" s="12" t="inlineStr">
        <is>
          <t>1.4.2 Vehicles and Depot - Depot Buildings</t>
        </is>
      </c>
      <c r="G1062" s="12" t="inlineStr">
        <is>
          <t>ONE_TO_ONE</t>
        </is>
      </c>
      <c r="H1062" s="12" t="inlineStr">
        <is>
          <t>APPROVED</t>
        </is>
      </c>
      <c r="I1062" s="12" t="inlineStr">
        <is>
          <t>New</t>
        </is>
      </c>
      <c r="J1062" s="12" t="inlineStr">
        <is>
          <t>Source assignment -- not individually reviewed</t>
        </is>
      </c>
      <c r="K1062" s="12" t="inlineStr"/>
      <c r="L1062" s="12" t="inlineStr"/>
      <c r="M1062" s="12" t="inlineStr"/>
      <c r="N1062" s="17" t="inlineStr">
        <is>
          <t>10 EVIDENCE &amp; DECISIONS</t>
        </is>
      </c>
      <c r="O1062" s="105" t="n">
        <v>1235000</v>
      </c>
      <c r="P1062" s="105" t="n">
        <v>1247500</v>
      </c>
      <c r="Q1062" s="105" t="inlineStr">
        <is>
          <t>CAD</t>
        </is>
      </c>
      <c r="R1062" s="105" t="n"/>
      <c r="S1062" s="105" t="inlineStr">
        <is>
          <t>2027-06-30</t>
        </is>
      </c>
      <c r="T1062" s="105" t="inlineStr">
        <is>
          <t>C1-R0</t>
        </is>
      </c>
      <c r="U1062" s="105" t="inlineStr">
        <is>
          <t>Supplied practice file monthly_cost_forecast.xlsx, row 279</t>
        </is>
      </c>
      <c r="V1062" s="105" t="inlineStr">
        <is>
          <t>Whole source account, not a target allocation. Repeated target rows must not be summed. Aggregate cost / forecast remains withheld.</t>
        </is>
      </c>
    </row>
    <row r="1063" ht="34" customHeight="1">
      <c r="A1063" s="12" t="inlineStr">
        <is>
          <t>Cost &amp; Forecast Control Accounts</t>
        </is>
      </c>
      <c r="B1063" s="12" t="inlineStr">
        <is>
          <t>CST-04-040</t>
        </is>
      </c>
      <c r="C1063" s="12" t="inlineStr">
        <is>
          <t>Vehicles and Depot - fleet supply - closeout</t>
        </is>
      </c>
      <c r="D1063" s="12" t="inlineStr">
        <is>
          <t>Cost Account = CA-4040; WBS Code = 1.4.2</t>
        </is>
      </c>
      <c r="E1063" s="12" t="inlineStr">
        <is>
          <t>R1362-v1</t>
        </is>
      </c>
      <c r="F1063" s="12" t="inlineStr">
        <is>
          <t>1.4.2 Vehicles and Depot - Depot Buildings</t>
        </is>
      </c>
      <c r="G1063" s="12" t="inlineStr">
        <is>
          <t>ONE_TO_ONE</t>
        </is>
      </c>
      <c r="H1063" s="12" t="inlineStr">
        <is>
          <t>APPROVED</t>
        </is>
      </c>
      <c r="I1063" s="12" t="inlineStr">
        <is>
          <t>New</t>
        </is>
      </c>
      <c r="J1063" s="12" t="inlineStr">
        <is>
          <t>Source assignment -- not individually reviewed</t>
        </is>
      </c>
      <c r="K1063" s="12" t="inlineStr"/>
      <c r="L1063" s="12" t="inlineStr"/>
      <c r="M1063" s="12" t="inlineStr"/>
      <c r="N1063" s="17" t="inlineStr">
        <is>
          <t>10 EVIDENCE &amp; DECISIONS</t>
        </is>
      </c>
      <c r="O1063" s="105" t="n">
        <v>1270000</v>
      </c>
      <c r="P1063" s="105" t="n">
        <v>1257500</v>
      </c>
      <c r="Q1063" s="105" t="inlineStr">
        <is>
          <t>CAD</t>
        </is>
      </c>
      <c r="R1063" s="105" t="n"/>
      <c r="S1063" s="105" t="inlineStr">
        <is>
          <t>2027-06-30</t>
        </is>
      </c>
      <c r="T1063" s="105" t="inlineStr">
        <is>
          <t>C1-R0</t>
        </is>
      </c>
      <c r="U1063" s="105" t="inlineStr">
        <is>
          <t>Supplied practice file monthly_cost_forecast.xlsx, row 281</t>
        </is>
      </c>
      <c r="V1063" s="105" t="inlineStr">
        <is>
          <t>Whole source account, not a target allocation. Repeated target rows must not be summed. Aggregate cost / forecast remains withheld.</t>
        </is>
      </c>
    </row>
    <row r="1064" ht="34" customHeight="1">
      <c r="A1064" s="12" t="inlineStr">
        <is>
          <t>Cost &amp; Forecast Control Accounts</t>
        </is>
      </c>
      <c r="B1064" s="12" t="inlineStr">
        <is>
          <t>CST-04-042</t>
        </is>
      </c>
      <c r="C1064" s="12" t="inlineStr">
        <is>
          <t>Vehicles and Depot - spares - supply and install</t>
        </is>
      </c>
      <c r="D1064" s="12" t="inlineStr">
        <is>
          <t>Cost Account = CA-4042; WBS Code = 1.4.2</t>
        </is>
      </c>
      <c r="E1064" s="12" t="inlineStr">
        <is>
          <t>R1364-v1</t>
        </is>
      </c>
      <c r="F1064" s="12" t="inlineStr">
        <is>
          <t>1.4.2 Vehicles and Depot - Depot Buildings</t>
        </is>
      </c>
      <c r="G1064" s="12" t="inlineStr">
        <is>
          <t>ONE_TO_ONE</t>
        </is>
      </c>
      <c r="H1064" s="12" t="inlineStr">
        <is>
          <t>APPROVED</t>
        </is>
      </c>
      <c r="I1064" s="12" t="inlineStr">
        <is>
          <t>New</t>
        </is>
      </c>
      <c r="J1064" s="12" t="inlineStr">
        <is>
          <t>Source assignment -- not individually reviewed</t>
        </is>
      </c>
      <c r="K1064" s="12" t="inlineStr"/>
      <c r="L1064" s="12" t="inlineStr"/>
      <c r="M1064" s="12" t="inlineStr"/>
      <c r="N1064" s="17" t="inlineStr">
        <is>
          <t>10 EVIDENCE &amp; DECISIONS</t>
        </is>
      </c>
      <c r="O1064" s="105" t="n">
        <v>1305000</v>
      </c>
      <c r="P1064" s="105" t="n">
        <v>1317500</v>
      </c>
      <c r="Q1064" s="105" t="inlineStr">
        <is>
          <t>CAD</t>
        </is>
      </c>
      <c r="R1064" s="105" t="n"/>
      <c r="S1064" s="105" t="inlineStr">
        <is>
          <t>2027-06-30</t>
        </is>
      </c>
      <c r="T1064" s="105" t="inlineStr">
        <is>
          <t>C1-R0</t>
        </is>
      </c>
      <c r="U1064" s="105" t="inlineStr">
        <is>
          <t>Supplied practice file monthly_cost_forecast.xlsx, row 283</t>
        </is>
      </c>
      <c r="V1064" s="105" t="inlineStr">
        <is>
          <t>Whole source account, not a target allocation. Repeated target rows must not be summed. Aggregate cost / forecast remains withheld.</t>
        </is>
      </c>
    </row>
    <row r="1065" ht="34" customHeight="1">
      <c r="A1065" s="12" t="inlineStr">
        <is>
          <t>Cost &amp; Forecast Control Accounts</t>
        </is>
      </c>
      <c r="B1065" s="12" t="inlineStr">
        <is>
          <t>CST-04-044</t>
        </is>
      </c>
      <c r="C1065" s="12" t="inlineStr">
        <is>
          <t>Vehicles and Depot - workshop equipment - allowance</t>
        </is>
      </c>
      <c r="D1065" s="12" t="inlineStr">
        <is>
          <t>Cost Account = CA-4044; WBS Code = 1.4.2</t>
        </is>
      </c>
      <c r="E1065" s="12" t="inlineStr">
        <is>
          <t>R1366-v1</t>
        </is>
      </c>
      <c r="F1065" s="12" t="inlineStr">
        <is>
          <t>1.4.2 Vehicles and Depot - Depot Buildings</t>
        </is>
      </c>
      <c r="G1065" s="12" t="inlineStr">
        <is>
          <t>ONE_TO_ONE</t>
        </is>
      </c>
      <c r="H1065" s="12" t="inlineStr">
        <is>
          <t>APPROVED</t>
        </is>
      </c>
      <c r="I1065" s="12" t="inlineStr">
        <is>
          <t>New</t>
        </is>
      </c>
      <c r="J1065" s="12" t="inlineStr">
        <is>
          <t>Source assignment -- not individually reviewed</t>
        </is>
      </c>
      <c r="K1065" s="12" t="inlineStr"/>
      <c r="L1065" s="12" t="inlineStr"/>
      <c r="M1065" s="12" t="inlineStr"/>
      <c r="N1065" s="17" t="inlineStr">
        <is>
          <t>10 EVIDENCE &amp; DECISIONS</t>
        </is>
      </c>
      <c r="O1065" s="105" t="n">
        <v>1340000</v>
      </c>
      <c r="P1065" s="105" t="n">
        <v>1327500</v>
      </c>
      <c r="Q1065" s="105" t="inlineStr">
        <is>
          <t>CAD</t>
        </is>
      </c>
      <c r="R1065" s="105" t="n"/>
      <c r="S1065" s="105" t="inlineStr">
        <is>
          <t>2027-06-30</t>
        </is>
      </c>
      <c r="T1065" s="105" t="inlineStr">
        <is>
          <t>C1-R0</t>
        </is>
      </c>
      <c r="U1065" s="105" t="inlineStr">
        <is>
          <t>Supplied practice file monthly_cost_forecast.xlsx, row 285</t>
        </is>
      </c>
      <c r="V1065" s="105" t="inlineStr">
        <is>
          <t>Whole source account, not a target allocation. Repeated target rows must not be summed. Aggregate cost / forecast remains withheld.</t>
        </is>
      </c>
    </row>
    <row r="1066" ht="34" customHeight="1">
      <c r="A1066" s="12" t="inlineStr">
        <is>
          <t>Cost &amp; Forecast Control Accounts</t>
        </is>
      </c>
      <c r="B1066" s="12" t="inlineStr">
        <is>
          <t>CST-04-046</t>
        </is>
      </c>
      <c r="C1066" s="12" t="inlineStr">
        <is>
          <t>Vehicles and Depot - fleet supply - field package</t>
        </is>
      </c>
      <c r="D1066" s="12" t="inlineStr">
        <is>
          <t>Cost Account = CA-4046; WBS Code = 1.4.2</t>
        </is>
      </c>
      <c r="E1066" s="12" t="inlineStr">
        <is>
          <t>R1368-v1</t>
        </is>
      </c>
      <c r="F1066" s="12" t="inlineStr">
        <is>
          <t>1.4.2 Vehicles and Depot - Depot Buildings</t>
        </is>
      </c>
      <c r="G1066" s="12" t="inlineStr">
        <is>
          <t>ONE_TO_ONE</t>
        </is>
      </c>
      <c r="H1066" s="12" t="inlineStr">
        <is>
          <t>APPROVED</t>
        </is>
      </c>
      <c r="I1066" s="12" t="inlineStr">
        <is>
          <t>New</t>
        </is>
      </c>
      <c r="J1066" s="12" t="inlineStr">
        <is>
          <t>Source assignment -- not individually reviewed</t>
        </is>
      </c>
      <c r="K1066" s="12" t="inlineStr"/>
      <c r="L1066" s="12" t="inlineStr"/>
      <c r="M1066" s="12" t="inlineStr"/>
      <c r="N1066" s="17" t="inlineStr">
        <is>
          <t>10 EVIDENCE &amp; DECISIONS</t>
        </is>
      </c>
      <c r="O1066" s="105" t="n">
        <v>1375000</v>
      </c>
      <c r="P1066" s="105" t="n">
        <v>1387500</v>
      </c>
      <c r="Q1066" s="105" t="inlineStr">
        <is>
          <t>CAD</t>
        </is>
      </c>
      <c r="R1066" s="105" t="n"/>
      <c r="S1066" s="105" t="inlineStr">
        <is>
          <t>2027-06-30</t>
        </is>
      </c>
      <c r="T1066" s="105" t="inlineStr">
        <is>
          <t>C1-R0</t>
        </is>
      </c>
      <c r="U1066" s="105" t="inlineStr">
        <is>
          <t>Supplied practice file monthly_cost_forecast.xlsx, row 287</t>
        </is>
      </c>
      <c r="V1066" s="105" t="inlineStr">
        <is>
          <t>Whole source account, not a target allocation. Repeated target rows must not be summed. Aggregate cost / forecast remains withheld.</t>
        </is>
      </c>
    </row>
    <row r="1067" ht="34" customHeight="1">
      <c r="A1067" s="12" t="inlineStr">
        <is>
          <t>Cost &amp; Forecast Control Accounts</t>
        </is>
      </c>
      <c r="B1067" s="12" t="inlineStr">
        <is>
          <t>CST-04-048</t>
        </is>
      </c>
      <c r="C1067" s="12" t="inlineStr">
        <is>
          <t>Vehicles and Depot - spares - professional services</t>
        </is>
      </c>
      <c r="D1067" s="12" t="inlineStr">
        <is>
          <t>Cost Account = CA-4048; WBS Code = 1.4.2</t>
        </is>
      </c>
      <c r="E1067" s="12" t="inlineStr">
        <is>
          <t>R1370-v1</t>
        </is>
      </c>
      <c r="F1067" s="12" t="inlineStr">
        <is>
          <t>1.4.2 Vehicles and Depot - Depot Buildings</t>
        </is>
      </c>
      <c r="G1067" s="12" t="inlineStr">
        <is>
          <t>ONE_TO_ONE</t>
        </is>
      </c>
      <c r="H1067" s="12" t="inlineStr">
        <is>
          <t>APPROVED</t>
        </is>
      </c>
      <c r="I1067" s="12" t="inlineStr">
        <is>
          <t>New</t>
        </is>
      </c>
      <c r="J1067" s="12" t="inlineStr">
        <is>
          <t>Source assignment -- not individually reviewed</t>
        </is>
      </c>
      <c r="K1067" s="12" t="inlineStr"/>
      <c r="L1067" s="12" t="inlineStr"/>
      <c r="M1067" s="12" t="inlineStr"/>
      <c r="N1067" s="17" t="inlineStr">
        <is>
          <t>10 EVIDENCE &amp; DECISIONS</t>
        </is>
      </c>
      <c r="O1067" s="105" t="n">
        <v>1410000</v>
      </c>
      <c r="P1067" s="105" t="n">
        <v>1397500</v>
      </c>
      <c r="Q1067" s="105" t="inlineStr">
        <is>
          <t>CAD</t>
        </is>
      </c>
      <c r="R1067" s="105" t="n"/>
      <c r="S1067" s="105" t="inlineStr">
        <is>
          <t>2027-06-30</t>
        </is>
      </c>
      <c r="T1067" s="105" t="inlineStr">
        <is>
          <t>C1-R0</t>
        </is>
      </c>
      <c r="U1067" s="105" t="inlineStr">
        <is>
          <t>Supplied practice file monthly_cost_forecast.xlsx, row 289</t>
        </is>
      </c>
      <c r="V1067" s="105" t="inlineStr">
        <is>
          <t>Whole source account, not a target allocation. Repeated target rows must not be summed. Aggregate cost / forecast remains withheld.</t>
        </is>
      </c>
    </row>
    <row r="1068" ht="34" customHeight="1">
      <c r="A1068" s="12" t="inlineStr">
        <is>
          <t>Cost &amp; Forecast Control Accounts</t>
        </is>
      </c>
      <c r="B1068" s="12" t="inlineStr">
        <is>
          <t>CST-04-050</t>
        </is>
      </c>
      <c r="C1068" s="12" t="inlineStr">
        <is>
          <t>Vehicles and Depot - workshop equipment - closeout</t>
        </is>
      </c>
      <c r="D1068" s="12" t="inlineStr">
        <is>
          <t>Cost Account = CA-4050; WBS Code = 1.4.2</t>
        </is>
      </c>
      <c r="E1068" s="12" t="inlineStr">
        <is>
          <t>R1372-v1</t>
        </is>
      </c>
      <c r="F1068" s="12" t="inlineStr">
        <is>
          <t>1.4.2 Vehicles and Depot - Depot Buildings</t>
        </is>
      </c>
      <c r="G1068" s="12" t="inlineStr">
        <is>
          <t>ONE_TO_ONE</t>
        </is>
      </c>
      <c r="H1068" s="12" t="inlineStr">
        <is>
          <t>APPROVED</t>
        </is>
      </c>
      <c r="I1068" s="12" t="inlineStr">
        <is>
          <t>New</t>
        </is>
      </c>
      <c r="J1068" s="12" t="inlineStr">
        <is>
          <t>Source assignment -- not individually reviewed</t>
        </is>
      </c>
      <c r="K1068" s="12" t="inlineStr"/>
      <c r="L1068" s="12" t="inlineStr"/>
      <c r="M1068" s="12" t="inlineStr"/>
      <c r="N1068" s="17" t="inlineStr">
        <is>
          <t>10 EVIDENCE &amp; DECISIONS</t>
        </is>
      </c>
      <c r="O1068" s="105" t="n">
        <v>1445000</v>
      </c>
      <c r="P1068" s="105" t="n">
        <v>1457500</v>
      </c>
      <c r="Q1068" s="105" t="inlineStr">
        <is>
          <t>CAD</t>
        </is>
      </c>
      <c r="R1068" s="105" t="n"/>
      <c r="S1068" s="105" t="inlineStr">
        <is>
          <t>2027-06-30</t>
        </is>
      </c>
      <c r="T1068" s="105" t="inlineStr">
        <is>
          <t>C1-R0</t>
        </is>
      </c>
      <c r="U1068" s="105" t="inlineStr">
        <is>
          <t>Supplied practice file monthly_cost_forecast.xlsx, row 291</t>
        </is>
      </c>
      <c r="V1068" s="105" t="inlineStr">
        <is>
          <t>Whole source account, not a target allocation. Repeated target rows must not be summed. Aggregate cost / forecast remains withheld.</t>
        </is>
      </c>
    </row>
    <row r="1069" ht="34" customHeight="1">
      <c r="A1069" s="12" t="inlineStr">
        <is>
          <t>Cost &amp; Forecast Control Accounts</t>
        </is>
      </c>
      <c r="B1069" s="12" t="inlineStr">
        <is>
          <t>CST-04-052</t>
        </is>
      </c>
      <c r="C1069" s="12" t="inlineStr">
        <is>
          <t>Vehicles and Depot - fleet supply - supply and install</t>
        </is>
      </c>
      <c r="D1069" s="12" t="inlineStr">
        <is>
          <t>Cost Account = CA-4052; WBS Code = 1.4.2</t>
        </is>
      </c>
      <c r="E1069" s="12" t="inlineStr">
        <is>
          <t>R1374-v1</t>
        </is>
      </c>
      <c r="F1069" s="12" t="inlineStr">
        <is>
          <t>1.4.2 Vehicles and Depot - Depot Buildings</t>
        </is>
      </c>
      <c r="G1069" s="12" t="inlineStr">
        <is>
          <t>ONE_TO_ONE</t>
        </is>
      </c>
      <c r="H1069" s="12" t="inlineStr">
        <is>
          <t>APPROVED</t>
        </is>
      </c>
      <c r="I1069" s="12" t="inlineStr">
        <is>
          <t>New</t>
        </is>
      </c>
      <c r="J1069" s="12" t="inlineStr">
        <is>
          <t>Source assignment -- not individually reviewed</t>
        </is>
      </c>
      <c r="K1069" s="12" t="inlineStr"/>
      <c r="L1069" s="12" t="inlineStr"/>
      <c r="M1069" s="12" t="inlineStr"/>
      <c r="N1069" s="17" t="inlineStr">
        <is>
          <t>10 EVIDENCE &amp; DECISIONS</t>
        </is>
      </c>
      <c r="O1069" s="105" t="n">
        <v>1480000</v>
      </c>
      <c r="P1069" s="105" t="n">
        <v>1467500</v>
      </c>
      <c r="Q1069" s="105" t="inlineStr">
        <is>
          <t>CAD</t>
        </is>
      </c>
      <c r="R1069" s="105" t="n"/>
      <c r="S1069" s="105" t="inlineStr">
        <is>
          <t>2027-06-30</t>
        </is>
      </c>
      <c r="T1069" s="105" t="inlineStr">
        <is>
          <t>C1-R0</t>
        </is>
      </c>
      <c r="U1069" s="105" t="inlineStr">
        <is>
          <t>Supplied practice file monthly_cost_forecast.xlsx, row 293</t>
        </is>
      </c>
      <c r="V1069" s="105" t="inlineStr">
        <is>
          <t>Whole source account, not a target allocation. Repeated target rows must not be summed. Aggregate cost / forecast remains withheld.</t>
        </is>
      </c>
    </row>
    <row r="1070" ht="34" customHeight="1">
      <c r="A1070" s="12" t="inlineStr">
        <is>
          <t>Cost &amp; Forecast Control Accounts</t>
        </is>
      </c>
      <c r="B1070" s="12" t="inlineStr">
        <is>
          <t>CST-04-054</t>
        </is>
      </c>
      <c r="C1070" s="12" t="inlineStr">
        <is>
          <t>Vehicles and Depot - spares - allowance</t>
        </is>
      </c>
      <c r="D1070" s="12" t="inlineStr">
        <is>
          <t>Cost Account = CA-4054; WBS Code = 1.4.2</t>
        </is>
      </c>
      <c r="E1070" s="12" t="inlineStr">
        <is>
          <t>R1376-v1</t>
        </is>
      </c>
      <c r="F1070" s="12" t="inlineStr">
        <is>
          <t>1.4.2 Vehicles and Depot - Depot Buildings</t>
        </is>
      </c>
      <c r="G1070" s="12" t="inlineStr">
        <is>
          <t>ONE_TO_ONE</t>
        </is>
      </c>
      <c r="H1070" s="12" t="inlineStr">
        <is>
          <t>APPROVED</t>
        </is>
      </c>
      <c r="I1070" s="12" t="inlineStr">
        <is>
          <t>New</t>
        </is>
      </c>
      <c r="J1070" s="12" t="inlineStr">
        <is>
          <t>Source assignment -- not individually reviewed</t>
        </is>
      </c>
      <c r="K1070" s="12" t="inlineStr"/>
      <c r="L1070" s="12" t="inlineStr"/>
      <c r="M1070" s="12" t="inlineStr"/>
      <c r="N1070" s="17" t="inlineStr">
        <is>
          <t>10 EVIDENCE &amp; DECISIONS</t>
        </is>
      </c>
      <c r="O1070" s="105" t="n">
        <v>1515000</v>
      </c>
      <c r="P1070" s="105" t="n">
        <v>1527500</v>
      </c>
      <c r="Q1070" s="105" t="inlineStr">
        <is>
          <t>CAD</t>
        </is>
      </c>
      <c r="R1070" s="105" t="n"/>
      <c r="S1070" s="105" t="inlineStr">
        <is>
          <t>2027-06-30</t>
        </is>
      </c>
      <c r="T1070" s="105" t="inlineStr">
        <is>
          <t>C1-R0</t>
        </is>
      </c>
      <c r="U1070" s="105" t="inlineStr">
        <is>
          <t>Supplied practice file monthly_cost_forecast.xlsx, row 295</t>
        </is>
      </c>
      <c r="V1070" s="105" t="inlineStr">
        <is>
          <t>Whole source account, not a target allocation. Repeated target rows must not be summed. Aggregate cost / forecast remains withheld.</t>
        </is>
      </c>
    </row>
    <row r="1071" ht="34" customHeight="1">
      <c r="A1071" s="12" t="inlineStr">
        <is>
          <t>Cost &amp; Forecast Control Accounts</t>
        </is>
      </c>
      <c r="B1071" s="12" t="inlineStr">
        <is>
          <t>CST-04-056</t>
        </is>
      </c>
      <c r="C1071" s="12" t="inlineStr">
        <is>
          <t>Vehicles and Depot - workshop equipment - field package</t>
        </is>
      </c>
      <c r="D1071" s="12" t="inlineStr">
        <is>
          <t>Cost Account = CA-4056; WBS Code = 1.4.2</t>
        </is>
      </c>
      <c r="E1071" s="12" t="inlineStr">
        <is>
          <t>R1378-v1</t>
        </is>
      </c>
      <c r="F1071" s="12" t="inlineStr">
        <is>
          <t>1.4.2 Vehicles and Depot - Depot Buildings</t>
        </is>
      </c>
      <c r="G1071" s="12" t="inlineStr">
        <is>
          <t>ONE_TO_ONE</t>
        </is>
      </c>
      <c r="H1071" s="12" t="inlineStr">
        <is>
          <t>APPROVED</t>
        </is>
      </c>
      <c r="I1071" s="12" t="inlineStr">
        <is>
          <t>New</t>
        </is>
      </c>
      <c r="J1071" s="12" t="inlineStr">
        <is>
          <t>Source assignment -- not individually reviewed</t>
        </is>
      </c>
      <c r="K1071" s="12" t="inlineStr"/>
      <c r="L1071" s="12" t="inlineStr"/>
      <c r="M1071" s="12" t="inlineStr"/>
      <c r="N1071" s="17" t="inlineStr">
        <is>
          <t>10 EVIDENCE &amp; DECISIONS</t>
        </is>
      </c>
      <c r="O1071" s="105" t="n">
        <v>1550000</v>
      </c>
      <c r="P1071" s="105" t="n">
        <v>1537500</v>
      </c>
      <c r="Q1071" s="105" t="inlineStr">
        <is>
          <t>CAD</t>
        </is>
      </c>
      <c r="R1071" s="105" t="n"/>
      <c r="S1071" s="105" t="inlineStr">
        <is>
          <t>2027-06-30</t>
        </is>
      </c>
      <c r="T1071" s="105" t="inlineStr">
        <is>
          <t>C1-R0</t>
        </is>
      </c>
      <c r="U1071" s="105" t="inlineStr">
        <is>
          <t>Supplied practice file monthly_cost_forecast.xlsx, row 297</t>
        </is>
      </c>
      <c r="V1071" s="105" t="inlineStr">
        <is>
          <t>Whole source account, not a target allocation. Repeated target rows must not be summed. Aggregate cost / forecast remains withheld.</t>
        </is>
      </c>
    </row>
    <row r="1072" ht="34" customHeight="1">
      <c r="A1072" s="12" t="inlineStr">
        <is>
          <t>Cost &amp; Forecast Control Accounts</t>
        </is>
      </c>
      <c r="B1072" s="12" t="inlineStr">
        <is>
          <t>CST-04-058</t>
        </is>
      </c>
      <c r="C1072" s="12" t="inlineStr">
        <is>
          <t>Vehicles and Depot - fleet supply - professional services</t>
        </is>
      </c>
      <c r="D1072" s="12" t="inlineStr">
        <is>
          <t>Cost Account = CA-4058; WBS Code = 1.4.2</t>
        </is>
      </c>
      <c r="E1072" s="12" t="inlineStr">
        <is>
          <t>R1380-v1</t>
        </is>
      </c>
      <c r="F1072" s="12" t="inlineStr">
        <is>
          <t>1.4.2 Vehicles and Depot - Depot Buildings</t>
        </is>
      </c>
      <c r="G1072" s="12" t="inlineStr">
        <is>
          <t>ONE_TO_ONE</t>
        </is>
      </c>
      <c r="H1072" s="12" t="inlineStr">
        <is>
          <t>APPROVED</t>
        </is>
      </c>
      <c r="I1072" s="12" t="inlineStr">
        <is>
          <t>New</t>
        </is>
      </c>
      <c r="J1072" s="12" t="inlineStr">
        <is>
          <t>Source assignment -- not individually reviewed</t>
        </is>
      </c>
      <c r="K1072" s="12" t="inlineStr"/>
      <c r="L1072" s="12" t="inlineStr"/>
      <c r="M1072" s="12" t="inlineStr"/>
      <c r="N1072" s="17" t="inlineStr">
        <is>
          <t>10 EVIDENCE &amp; DECISIONS</t>
        </is>
      </c>
      <c r="O1072" s="105" t="n">
        <v>1585000</v>
      </c>
      <c r="P1072" s="105" t="n">
        <v>1597500</v>
      </c>
      <c r="Q1072" s="105" t="inlineStr">
        <is>
          <t>CAD</t>
        </is>
      </c>
      <c r="R1072" s="105" t="n"/>
      <c r="S1072" s="105" t="inlineStr">
        <is>
          <t>2027-06-30</t>
        </is>
      </c>
      <c r="T1072" s="105" t="inlineStr">
        <is>
          <t>C1-R0</t>
        </is>
      </c>
      <c r="U1072" s="105" t="inlineStr">
        <is>
          <t>Supplied practice file monthly_cost_forecast.xlsx, row 299</t>
        </is>
      </c>
      <c r="V1072" s="105" t="inlineStr">
        <is>
          <t>Whole source account, not a target allocation. Repeated target rows must not be summed. Aggregate cost / forecast remains withheld.</t>
        </is>
      </c>
    </row>
    <row r="1073" ht="34" customHeight="1">
      <c r="A1073" s="12" t="inlineStr">
        <is>
          <t>Cost &amp; Forecast Control Accounts</t>
        </is>
      </c>
      <c r="B1073" s="12" t="inlineStr">
        <is>
          <t>CST-04-060</t>
        </is>
      </c>
      <c r="C1073" s="12" t="inlineStr">
        <is>
          <t>Vehicles and Depot - spares - closeout</t>
        </is>
      </c>
      <c r="D1073" s="12" t="inlineStr">
        <is>
          <t>Cost Account = CA-4060; WBS Code = 1.4.2</t>
        </is>
      </c>
      <c r="E1073" s="12" t="inlineStr">
        <is>
          <t>R1382-v1</t>
        </is>
      </c>
      <c r="F1073" s="12" t="inlineStr">
        <is>
          <t>1.4.2 Vehicles and Depot - Depot Buildings</t>
        </is>
      </c>
      <c r="G1073" s="12" t="inlineStr">
        <is>
          <t>ONE_TO_ONE</t>
        </is>
      </c>
      <c r="H1073" s="12" t="inlineStr">
        <is>
          <t>APPROVED</t>
        </is>
      </c>
      <c r="I1073" s="12" t="inlineStr">
        <is>
          <t>New</t>
        </is>
      </c>
      <c r="J1073" s="12" t="inlineStr">
        <is>
          <t>Source assignment -- not individually reviewed</t>
        </is>
      </c>
      <c r="K1073" s="12" t="inlineStr"/>
      <c r="L1073" s="12" t="inlineStr"/>
      <c r="M1073" s="12" t="inlineStr"/>
      <c r="N1073" s="17" t="inlineStr">
        <is>
          <t>10 EVIDENCE &amp; DECISIONS</t>
        </is>
      </c>
      <c r="O1073" s="105" t="n">
        <v>1620000</v>
      </c>
      <c r="P1073" s="105" t="n">
        <v>1607500</v>
      </c>
      <c r="Q1073" s="105" t="inlineStr">
        <is>
          <t>CAD</t>
        </is>
      </c>
      <c r="R1073" s="105" t="n"/>
      <c r="S1073" s="105" t="inlineStr">
        <is>
          <t>2027-06-30</t>
        </is>
      </c>
      <c r="T1073" s="105" t="inlineStr">
        <is>
          <t>C1-R0</t>
        </is>
      </c>
      <c r="U1073" s="105" t="inlineStr">
        <is>
          <t>Supplied practice file monthly_cost_forecast.xlsx, row 301</t>
        </is>
      </c>
      <c r="V1073" s="105" t="inlineStr">
        <is>
          <t>Whole source account, not a target allocation. Repeated target rows must not be summed. Aggregate cost / forecast remains withheld.</t>
        </is>
      </c>
    </row>
    <row r="1074" ht="34" customHeight="1">
      <c r="A1074" s="12" t="inlineStr">
        <is>
          <t>Cost &amp; Forecast Control Accounts</t>
        </is>
      </c>
      <c r="B1074" s="12" t="inlineStr">
        <is>
          <t>CST-04-062</t>
        </is>
      </c>
      <c r="C1074" s="12" t="inlineStr">
        <is>
          <t>Vehicles and Depot - workshop equipment - supply and install</t>
        </is>
      </c>
      <c r="D1074" s="12" t="inlineStr">
        <is>
          <t>Cost Account = CA-4062; WBS Code = 1.4.2</t>
        </is>
      </c>
      <c r="E1074" s="12" t="inlineStr">
        <is>
          <t>R1384-v1</t>
        </is>
      </c>
      <c r="F1074" s="12" t="inlineStr">
        <is>
          <t>1.4.2 Vehicles and Depot - Depot Buildings</t>
        </is>
      </c>
      <c r="G1074" s="12" t="inlineStr">
        <is>
          <t>ONE_TO_ONE</t>
        </is>
      </c>
      <c r="H1074" s="12" t="inlineStr">
        <is>
          <t>APPROVED</t>
        </is>
      </c>
      <c r="I1074" s="12" t="inlineStr">
        <is>
          <t>New</t>
        </is>
      </c>
      <c r="J1074" s="12" t="inlineStr">
        <is>
          <t>Source assignment -- not individually reviewed</t>
        </is>
      </c>
      <c r="K1074" s="12" t="inlineStr"/>
      <c r="L1074" s="12" t="inlineStr"/>
      <c r="M1074" s="12" t="inlineStr"/>
      <c r="N1074" s="17" t="inlineStr">
        <is>
          <t>10 EVIDENCE &amp; DECISIONS</t>
        </is>
      </c>
      <c r="O1074" s="105" t="n">
        <v>1655000</v>
      </c>
      <c r="P1074" s="105" t="n">
        <v>1667500</v>
      </c>
      <c r="Q1074" s="105" t="inlineStr">
        <is>
          <t>CAD</t>
        </is>
      </c>
      <c r="R1074" s="105" t="n"/>
      <c r="S1074" s="105" t="inlineStr">
        <is>
          <t>2027-06-30</t>
        </is>
      </c>
      <c r="T1074" s="105" t="inlineStr">
        <is>
          <t>C1-R0</t>
        </is>
      </c>
      <c r="U1074" s="105" t="inlineStr">
        <is>
          <t>Supplied practice file monthly_cost_forecast.xlsx, row 303</t>
        </is>
      </c>
      <c r="V1074" s="105" t="inlineStr">
        <is>
          <t>Whole source account, not a target allocation. Repeated target rows must not be summed. Aggregate cost / forecast remains withheld.</t>
        </is>
      </c>
    </row>
    <row r="1075" ht="34" customHeight="1">
      <c r="A1075" s="12" t="inlineStr">
        <is>
          <t>Cost &amp; Forecast Control Accounts</t>
        </is>
      </c>
      <c r="B1075" s="12" t="inlineStr">
        <is>
          <t>CST-04-064</t>
        </is>
      </c>
      <c r="C1075" s="12" t="inlineStr">
        <is>
          <t>Vehicles and Depot - fleet supply - allowance</t>
        </is>
      </c>
      <c r="D1075" s="12" t="inlineStr">
        <is>
          <t>Cost Account = CA-4064; WBS Code = 1.4.2</t>
        </is>
      </c>
      <c r="E1075" s="12" t="inlineStr">
        <is>
          <t>R1386-v1</t>
        </is>
      </c>
      <c r="F1075" s="12" t="inlineStr">
        <is>
          <t>1.4.2 Vehicles and Depot - Depot Buildings</t>
        </is>
      </c>
      <c r="G1075" s="12" t="inlineStr">
        <is>
          <t>ONE_TO_ONE</t>
        </is>
      </c>
      <c r="H1075" s="12" t="inlineStr">
        <is>
          <t>APPROVED</t>
        </is>
      </c>
      <c r="I1075" s="12" t="inlineStr">
        <is>
          <t>New</t>
        </is>
      </c>
      <c r="J1075" s="12" t="inlineStr">
        <is>
          <t>Source assignment -- not individually reviewed</t>
        </is>
      </c>
      <c r="K1075" s="12" t="inlineStr"/>
      <c r="L1075" s="12" t="inlineStr"/>
      <c r="M1075" s="12" t="inlineStr"/>
      <c r="N1075" s="17" t="inlineStr">
        <is>
          <t>10 EVIDENCE &amp; DECISIONS</t>
        </is>
      </c>
      <c r="O1075" s="105" t="n">
        <v>1690000</v>
      </c>
      <c r="P1075" s="105" t="n">
        <v>1677500</v>
      </c>
      <c r="Q1075" s="105" t="inlineStr">
        <is>
          <t>CAD</t>
        </is>
      </c>
      <c r="R1075" s="105" t="n"/>
      <c r="S1075" s="105" t="inlineStr">
        <is>
          <t>2027-06-30</t>
        </is>
      </c>
      <c r="T1075" s="105" t="inlineStr">
        <is>
          <t>C1-R0</t>
        </is>
      </c>
      <c r="U1075" s="105" t="inlineStr">
        <is>
          <t>Supplied practice file monthly_cost_forecast.xlsx, row 305</t>
        </is>
      </c>
      <c r="V1075" s="105" t="inlineStr">
        <is>
          <t>Whole source account, not a target allocation. Repeated target rows must not be summed. Aggregate cost / forecast remains withheld.</t>
        </is>
      </c>
    </row>
    <row r="1076" ht="34" customHeight="1">
      <c r="A1076" s="12" t="inlineStr">
        <is>
          <t>Cost &amp; Forecast Control Accounts</t>
        </is>
      </c>
      <c r="B1076" s="12" t="inlineStr">
        <is>
          <t>CST-04-066</t>
        </is>
      </c>
      <c r="C1076" s="12" t="inlineStr">
        <is>
          <t>Vehicles and Depot - spares - field package</t>
        </is>
      </c>
      <c r="D1076" s="12" t="inlineStr">
        <is>
          <t>Cost Account = CA-4066; WBS Code = 1.4.2</t>
        </is>
      </c>
      <c r="E1076" s="12" t="inlineStr">
        <is>
          <t>R1388-v1</t>
        </is>
      </c>
      <c r="F1076" s="12" t="inlineStr">
        <is>
          <t>1.4.2 Vehicles and Depot - Depot Buildings</t>
        </is>
      </c>
      <c r="G1076" s="12" t="inlineStr">
        <is>
          <t>ONE_TO_ONE</t>
        </is>
      </c>
      <c r="H1076" s="12" t="inlineStr">
        <is>
          <t>APPROVED</t>
        </is>
      </c>
      <c r="I1076" s="12" t="inlineStr">
        <is>
          <t>New</t>
        </is>
      </c>
      <c r="J1076" s="12" t="inlineStr">
        <is>
          <t>Source assignment -- not individually reviewed</t>
        </is>
      </c>
      <c r="K1076" s="12" t="inlineStr"/>
      <c r="L1076" s="12" t="inlineStr"/>
      <c r="M1076" s="12" t="inlineStr"/>
      <c r="N1076" s="17" t="inlineStr">
        <is>
          <t>10 EVIDENCE &amp; DECISIONS</t>
        </is>
      </c>
      <c r="O1076" s="105" t="n">
        <v>1725000</v>
      </c>
      <c r="P1076" s="105" t="n">
        <v>1737500</v>
      </c>
      <c r="Q1076" s="105" t="inlineStr">
        <is>
          <t>CAD</t>
        </is>
      </c>
      <c r="R1076" s="105" t="n"/>
      <c r="S1076" s="105" t="inlineStr">
        <is>
          <t>2027-06-30</t>
        </is>
      </c>
      <c r="T1076" s="105" t="inlineStr">
        <is>
          <t>C1-R0</t>
        </is>
      </c>
      <c r="U1076" s="105" t="inlineStr">
        <is>
          <t>Supplied practice file monthly_cost_forecast.xlsx, row 307</t>
        </is>
      </c>
      <c r="V1076" s="105" t="inlineStr">
        <is>
          <t>Whole source account, not a target allocation. Repeated target rows must not be summed. Aggregate cost / forecast remains withheld.</t>
        </is>
      </c>
    </row>
    <row r="1077" ht="34" customHeight="1">
      <c r="A1077" s="12" t="inlineStr">
        <is>
          <t>Cost &amp; Forecast Control Accounts</t>
        </is>
      </c>
      <c r="B1077" s="12" t="inlineStr">
        <is>
          <t>CST-04-068</t>
        </is>
      </c>
      <c r="C1077" s="12" t="inlineStr">
        <is>
          <t>Vehicles and Depot - workshop equipment - professional services</t>
        </is>
      </c>
      <c r="D1077" s="12" t="inlineStr">
        <is>
          <t>Cost Account = CA-4068; WBS Code = 1.4.2</t>
        </is>
      </c>
      <c r="E1077" s="12" t="inlineStr">
        <is>
          <t>R1390-v1</t>
        </is>
      </c>
      <c r="F1077" s="12" t="inlineStr">
        <is>
          <t>1.4.2 Vehicles and Depot - Depot Buildings</t>
        </is>
      </c>
      <c r="G1077" s="12" t="inlineStr">
        <is>
          <t>ONE_TO_ONE</t>
        </is>
      </c>
      <c r="H1077" s="12" t="inlineStr">
        <is>
          <t>APPROVED</t>
        </is>
      </c>
      <c r="I1077" s="12" t="inlineStr">
        <is>
          <t>New</t>
        </is>
      </c>
      <c r="J1077" s="12" t="inlineStr">
        <is>
          <t>Source assignment -- not individually reviewed</t>
        </is>
      </c>
      <c r="K1077" s="12" t="inlineStr"/>
      <c r="L1077" s="12" t="inlineStr"/>
      <c r="M1077" s="12" t="inlineStr"/>
      <c r="N1077" s="17" t="inlineStr">
        <is>
          <t>10 EVIDENCE &amp; DECISIONS</t>
        </is>
      </c>
      <c r="O1077" s="105" t="n">
        <v>1760000</v>
      </c>
      <c r="P1077" s="105" t="n">
        <v>1747500</v>
      </c>
      <c r="Q1077" s="105" t="inlineStr">
        <is>
          <t>CAD</t>
        </is>
      </c>
      <c r="R1077" s="105" t="n"/>
      <c r="S1077" s="105" t="inlineStr">
        <is>
          <t>2027-06-30</t>
        </is>
      </c>
      <c r="T1077" s="105" t="inlineStr">
        <is>
          <t>C1-R0</t>
        </is>
      </c>
      <c r="U1077" s="105" t="inlineStr">
        <is>
          <t>Supplied practice file monthly_cost_forecast.xlsx, row 309</t>
        </is>
      </c>
      <c r="V1077" s="105" t="inlineStr">
        <is>
          <t>Whole source account, not a target allocation. Repeated target rows must not be summed. Aggregate cost / forecast remains withheld.</t>
        </is>
      </c>
    </row>
    <row r="1078" ht="34" customHeight="1">
      <c r="A1078" s="12" t="inlineStr">
        <is>
          <t>Cost &amp; Forecast Control Accounts</t>
        </is>
      </c>
      <c r="B1078" s="12" t="inlineStr">
        <is>
          <t>CST-04-070</t>
        </is>
      </c>
      <c r="C1078" s="12" t="inlineStr">
        <is>
          <t>Vehicles and Depot - fleet supply - closeout</t>
        </is>
      </c>
      <c r="D1078" s="12" t="inlineStr">
        <is>
          <t>Cost Account = CA-4070; WBS Code = 1.4.2</t>
        </is>
      </c>
      <c r="E1078" s="12" t="inlineStr">
        <is>
          <t>R1392-v1</t>
        </is>
      </c>
      <c r="F1078" s="12" t="inlineStr">
        <is>
          <t>1.4.2 Vehicles and Depot - Depot Buildings</t>
        </is>
      </c>
      <c r="G1078" s="12" t="inlineStr">
        <is>
          <t>ONE_TO_ONE</t>
        </is>
      </c>
      <c r="H1078" s="12" t="inlineStr">
        <is>
          <t>APPROVED</t>
        </is>
      </c>
      <c r="I1078" s="12" t="inlineStr">
        <is>
          <t>New</t>
        </is>
      </c>
      <c r="J1078" s="12" t="inlineStr">
        <is>
          <t>Source assignment -- not individually reviewed</t>
        </is>
      </c>
      <c r="K1078" s="12" t="inlineStr"/>
      <c r="L1078" s="12" t="inlineStr"/>
      <c r="M1078" s="12" t="inlineStr"/>
      <c r="N1078" s="17" t="inlineStr">
        <is>
          <t>10 EVIDENCE &amp; DECISIONS</t>
        </is>
      </c>
      <c r="O1078" s="105" t="n">
        <v>1795000</v>
      </c>
      <c r="P1078" s="105" t="n">
        <v>1807500</v>
      </c>
      <c r="Q1078" s="105" t="inlineStr">
        <is>
          <t>CAD</t>
        </is>
      </c>
      <c r="R1078" s="105" t="n"/>
      <c r="S1078" s="105" t="inlineStr">
        <is>
          <t>2027-06-30</t>
        </is>
      </c>
      <c r="T1078" s="105" t="inlineStr">
        <is>
          <t>C1-R0</t>
        </is>
      </c>
      <c r="U1078" s="105" t="inlineStr">
        <is>
          <t>Supplied practice file monthly_cost_forecast.xlsx, row 311</t>
        </is>
      </c>
      <c r="V1078" s="105" t="inlineStr">
        <is>
          <t>Whole source account, not a target allocation. Repeated target rows must not be summed. Aggregate cost / forecast remains withheld.</t>
        </is>
      </c>
    </row>
    <row r="1079" ht="34" customHeight="1">
      <c r="A1079" s="12" t="inlineStr">
        <is>
          <t>Cost &amp; Forecast Control Accounts</t>
        </is>
      </c>
      <c r="B1079" s="12" t="inlineStr">
        <is>
          <t>CST-04-072</t>
        </is>
      </c>
      <c r="C1079" s="12" t="inlineStr">
        <is>
          <t>Vehicles and Depot - spares - supply and install</t>
        </is>
      </c>
      <c r="D1079" s="12" t="inlineStr">
        <is>
          <t>Cost Account = CA-4072; WBS Code = 1.4.2</t>
        </is>
      </c>
      <c r="E1079" s="12" t="inlineStr">
        <is>
          <t>R1394-v1</t>
        </is>
      </c>
      <c r="F1079" s="12" t="inlineStr">
        <is>
          <t>1.4.2 Vehicles and Depot - Depot Buildings</t>
        </is>
      </c>
      <c r="G1079" s="12" t="inlineStr">
        <is>
          <t>ONE_TO_ONE</t>
        </is>
      </c>
      <c r="H1079" s="12" t="inlineStr">
        <is>
          <t>APPROVED</t>
        </is>
      </c>
      <c r="I1079" s="12" t="inlineStr">
        <is>
          <t>New</t>
        </is>
      </c>
      <c r="J1079" s="12" t="inlineStr">
        <is>
          <t>Source assignment -- not individually reviewed</t>
        </is>
      </c>
      <c r="K1079" s="12" t="inlineStr"/>
      <c r="L1079" s="12" t="inlineStr"/>
      <c r="M1079" s="12" t="inlineStr"/>
      <c r="N1079" s="17" t="inlineStr">
        <is>
          <t>10 EVIDENCE &amp; DECISIONS</t>
        </is>
      </c>
      <c r="O1079" s="105" t="n">
        <v>1830000</v>
      </c>
      <c r="P1079" s="105" t="n">
        <v>1817500</v>
      </c>
      <c r="Q1079" s="105" t="inlineStr">
        <is>
          <t>CAD</t>
        </is>
      </c>
      <c r="R1079" s="105" t="n"/>
      <c r="S1079" s="105" t="inlineStr">
        <is>
          <t>2027-06-30</t>
        </is>
      </c>
      <c r="T1079" s="105" t="inlineStr">
        <is>
          <t>C1-R0</t>
        </is>
      </c>
      <c r="U1079" s="105" t="inlineStr">
        <is>
          <t>Supplied practice file monthly_cost_forecast.xlsx, row 313</t>
        </is>
      </c>
      <c r="V1079" s="105" t="inlineStr">
        <is>
          <t>Whole source account, not a target allocation. Repeated target rows must not be summed. Aggregate cost / forecast remains withheld.</t>
        </is>
      </c>
    </row>
    <row r="1080" ht="34" customHeight="1">
      <c r="A1080" s="12" t="inlineStr">
        <is>
          <t>Cost &amp; Forecast Control Accounts</t>
        </is>
      </c>
      <c r="B1080" s="12" t="inlineStr">
        <is>
          <t>CST-04-074</t>
        </is>
      </c>
      <c r="C1080" s="12" t="inlineStr">
        <is>
          <t>Vehicles and Depot - workshop equipment - allowance</t>
        </is>
      </c>
      <c r="D1080" s="12" t="inlineStr">
        <is>
          <t>Cost Account = CA-4074; WBS Code = 1.4.2</t>
        </is>
      </c>
      <c r="E1080" s="12" t="inlineStr">
        <is>
          <t>R1396-v1</t>
        </is>
      </c>
      <c r="F1080" s="12" t="inlineStr">
        <is>
          <t>1.4.2 Vehicles and Depot - Depot Buildings</t>
        </is>
      </c>
      <c r="G1080" s="12" t="inlineStr">
        <is>
          <t>ONE_TO_ONE</t>
        </is>
      </c>
      <c r="H1080" s="12" t="inlineStr">
        <is>
          <t>APPROVED</t>
        </is>
      </c>
      <c r="I1080" s="12" t="inlineStr">
        <is>
          <t>New</t>
        </is>
      </c>
      <c r="J1080" s="12" t="inlineStr">
        <is>
          <t>Source assignment -- not individually reviewed</t>
        </is>
      </c>
      <c r="K1080" s="12" t="inlineStr"/>
      <c r="L1080" s="12" t="inlineStr"/>
      <c r="M1080" s="12" t="inlineStr"/>
      <c r="N1080" s="17" t="inlineStr">
        <is>
          <t>10 EVIDENCE &amp; DECISIONS</t>
        </is>
      </c>
      <c r="O1080" s="105" t="n">
        <v>1865000</v>
      </c>
      <c r="P1080" s="105" t="n">
        <v>1877500</v>
      </c>
      <c r="Q1080" s="105" t="inlineStr">
        <is>
          <t>CAD</t>
        </is>
      </c>
      <c r="R1080" s="105" t="n"/>
      <c r="S1080" s="105" t="inlineStr">
        <is>
          <t>2027-06-30</t>
        </is>
      </c>
      <c r="T1080" s="105" t="inlineStr">
        <is>
          <t>C1-R0</t>
        </is>
      </c>
      <c r="U1080" s="105" t="inlineStr">
        <is>
          <t>Supplied practice file monthly_cost_forecast.xlsx, row 315</t>
        </is>
      </c>
      <c r="V1080" s="105" t="inlineStr">
        <is>
          <t>Whole source account, not a target allocation. Repeated target rows must not be summed. Aggregate cost / forecast remains withheld.</t>
        </is>
      </c>
    </row>
    <row r="1081" ht="34" customHeight="1">
      <c r="A1081" s="12" t="inlineStr">
        <is>
          <t>Cost &amp; Forecast Control Accounts</t>
        </is>
      </c>
      <c r="B1081" s="12" t="inlineStr">
        <is>
          <t>CST-04-076</t>
        </is>
      </c>
      <c r="C1081" s="12" t="inlineStr">
        <is>
          <t>Vehicles and Depot - fleet supply - field package</t>
        </is>
      </c>
      <c r="D1081" s="12" t="inlineStr">
        <is>
          <t>Cost Account = CA-4076; WBS Code = 1.4.2</t>
        </is>
      </c>
      <c r="E1081" s="12" t="inlineStr">
        <is>
          <t>R1398-v1</t>
        </is>
      </c>
      <c r="F1081" s="12" t="inlineStr">
        <is>
          <t>1.4.2 Vehicles and Depot - Depot Buildings</t>
        </is>
      </c>
      <c r="G1081" s="12" t="inlineStr">
        <is>
          <t>ONE_TO_ONE</t>
        </is>
      </c>
      <c r="H1081" s="12" t="inlineStr">
        <is>
          <t>APPROVED</t>
        </is>
      </c>
      <c r="I1081" s="12" t="inlineStr">
        <is>
          <t>New</t>
        </is>
      </c>
      <c r="J1081" s="12" t="inlineStr">
        <is>
          <t>Source assignment -- not individually reviewed</t>
        </is>
      </c>
      <c r="K1081" s="12" t="inlineStr"/>
      <c r="L1081" s="12" t="inlineStr"/>
      <c r="M1081" s="12" t="inlineStr"/>
      <c r="N1081" s="17" t="inlineStr">
        <is>
          <t>10 EVIDENCE &amp; DECISIONS</t>
        </is>
      </c>
      <c r="O1081" s="105" t="n">
        <v>1900000</v>
      </c>
      <c r="P1081" s="105" t="n">
        <v>1887500</v>
      </c>
      <c r="Q1081" s="105" t="inlineStr">
        <is>
          <t>CAD</t>
        </is>
      </c>
      <c r="R1081" s="105" t="n"/>
      <c r="S1081" s="105" t="inlineStr">
        <is>
          <t>2027-06-30</t>
        </is>
      </c>
      <c r="T1081" s="105" t="inlineStr">
        <is>
          <t>C1-R0</t>
        </is>
      </c>
      <c r="U1081" s="105" t="inlineStr">
        <is>
          <t>Supplied practice file monthly_cost_forecast.xlsx, row 317</t>
        </is>
      </c>
      <c r="V1081" s="105" t="inlineStr">
        <is>
          <t>Whole source account, not a target allocation. Repeated target rows must not be summed. Aggregate cost / forecast remains withheld.</t>
        </is>
      </c>
    </row>
    <row r="1082" ht="34" customHeight="1">
      <c r="A1082" s="12" t="inlineStr">
        <is>
          <t>Cost &amp; Forecast Control Accounts</t>
        </is>
      </c>
      <c r="B1082" s="12" t="inlineStr">
        <is>
          <t>CST-04-078</t>
        </is>
      </c>
      <c r="C1082" s="12" t="inlineStr">
        <is>
          <t>Vehicles and Depot - spares - professional services</t>
        </is>
      </c>
      <c r="D1082" s="12" t="inlineStr">
        <is>
          <t>Cost Account = CA-4078; WBS Code = 1.4.2</t>
        </is>
      </c>
      <c r="E1082" s="12" t="inlineStr">
        <is>
          <t>R1400-v1</t>
        </is>
      </c>
      <c r="F1082" s="12" t="inlineStr">
        <is>
          <t>1.4.2 Vehicles and Depot - Depot Buildings</t>
        </is>
      </c>
      <c r="G1082" s="12" t="inlineStr">
        <is>
          <t>ONE_TO_ONE</t>
        </is>
      </c>
      <c r="H1082" s="12" t="inlineStr">
        <is>
          <t>APPROVED</t>
        </is>
      </c>
      <c r="I1082" s="12" t="inlineStr">
        <is>
          <t>New</t>
        </is>
      </c>
      <c r="J1082" s="12" t="inlineStr">
        <is>
          <t>Source assignment -- not individually reviewed</t>
        </is>
      </c>
      <c r="K1082" s="12" t="inlineStr"/>
      <c r="L1082" s="12" t="inlineStr"/>
      <c r="M1082" s="12" t="inlineStr"/>
      <c r="N1082" s="17" t="inlineStr">
        <is>
          <t>10 EVIDENCE &amp; DECISIONS</t>
        </is>
      </c>
      <c r="O1082" s="105" t="n">
        <v>1935000</v>
      </c>
      <c r="P1082" s="105" t="n">
        <v>1947500</v>
      </c>
      <c r="Q1082" s="105" t="inlineStr">
        <is>
          <t>CAD</t>
        </is>
      </c>
      <c r="R1082" s="105" t="n"/>
      <c r="S1082" s="105" t="inlineStr">
        <is>
          <t>2027-06-30</t>
        </is>
      </c>
      <c r="T1082" s="105" t="inlineStr">
        <is>
          <t>C1-R0</t>
        </is>
      </c>
      <c r="U1082" s="105" t="inlineStr">
        <is>
          <t>Supplied practice file monthly_cost_forecast.xlsx, row 319</t>
        </is>
      </c>
      <c r="V1082" s="105" t="inlineStr">
        <is>
          <t>Whole source account, not a target allocation. Repeated target rows must not be summed. Aggregate cost / forecast remains withheld.</t>
        </is>
      </c>
    </row>
    <row r="1083" ht="34" customHeight="1">
      <c r="A1083" s="12" t="inlineStr">
        <is>
          <t>Cost &amp; Forecast Control Accounts</t>
        </is>
      </c>
      <c r="B1083" s="12" t="inlineStr">
        <is>
          <t>CST-04-080</t>
        </is>
      </c>
      <c r="C1083" s="12" t="inlineStr">
        <is>
          <t>Vehicles and Depot - workshop equipment - closeout</t>
        </is>
      </c>
      <c r="D1083" s="12" t="inlineStr">
        <is>
          <t>Cost Account = CA-4080; WBS Code = 1.4.2</t>
        </is>
      </c>
      <c r="E1083" s="12" t="inlineStr">
        <is>
          <t>R1402-v1</t>
        </is>
      </c>
      <c r="F1083" s="12" t="inlineStr">
        <is>
          <t>1.4.2 Vehicles and Depot - Depot Buildings</t>
        </is>
      </c>
      <c r="G1083" s="12" t="inlineStr">
        <is>
          <t>ONE_TO_ONE</t>
        </is>
      </c>
      <c r="H1083" s="12" t="inlineStr">
        <is>
          <t>APPROVED</t>
        </is>
      </c>
      <c r="I1083" s="12" t="inlineStr">
        <is>
          <t>New</t>
        </is>
      </c>
      <c r="J1083" s="12" t="inlineStr">
        <is>
          <t>Source assignment -- not individually reviewed</t>
        </is>
      </c>
      <c r="K1083" s="12" t="inlineStr"/>
      <c r="L1083" s="12" t="inlineStr"/>
      <c r="M1083" s="12" t="inlineStr"/>
      <c r="N1083" s="17" t="inlineStr">
        <is>
          <t>10 EVIDENCE &amp; DECISIONS</t>
        </is>
      </c>
      <c r="O1083" s="105" t="n">
        <v>1970000</v>
      </c>
      <c r="P1083" s="105" t="n">
        <v>1957500</v>
      </c>
      <c r="Q1083" s="105" t="inlineStr">
        <is>
          <t>CAD</t>
        </is>
      </c>
      <c r="R1083" s="105" t="n"/>
      <c r="S1083" s="105" t="inlineStr">
        <is>
          <t>2027-06-30</t>
        </is>
      </c>
      <c r="T1083" s="105" t="inlineStr">
        <is>
          <t>C1-R0</t>
        </is>
      </c>
      <c r="U1083" s="105" t="inlineStr">
        <is>
          <t>Supplied practice file monthly_cost_forecast.xlsx, row 321</t>
        </is>
      </c>
      <c r="V1083" s="105" t="inlineStr">
        <is>
          <t>Whole source account, not a target allocation. Repeated target rows must not be summed. Aggregate cost / forecast remains withheld.</t>
        </is>
      </c>
    </row>
    <row r="1084" ht="34" customHeight="1">
      <c r="A1084" s="12" t="inlineStr">
        <is>
          <t>Commercial Package Register</t>
        </is>
      </c>
      <c r="B1084" s="12" t="inlineStr">
        <is>
          <t>PKG-041</t>
        </is>
      </c>
      <c r="C1084" s="12" t="inlineStr">
        <is>
          <t>Dynamic Testing</t>
        </is>
      </c>
      <c r="D1084" s="12" t="inlineStr">
        <is>
          <t>Package Code = PK-501; WBS Code = 1.5</t>
        </is>
      </c>
      <c r="E1084" s="12" t="inlineStr">
        <is>
          <t>R1603-v1</t>
        </is>
      </c>
      <c r="F1084" s="12" t="inlineStr">
        <is>
          <t>1.5 Testing and Commissioning</t>
        </is>
      </c>
      <c r="G1084" s="12" t="inlineStr">
        <is>
          <t>ONE_TO_ONE</t>
        </is>
      </c>
      <c r="H1084" s="12" t="inlineStr">
        <is>
          <t>APPROVED</t>
        </is>
      </c>
      <c r="I1084" s="12" t="inlineStr">
        <is>
          <t>New</t>
        </is>
      </c>
      <c r="J1084" s="12" t="inlineStr">
        <is>
          <t>Source assignment -- not individually reviewed</t>
        </is>
      </c>
      <c r="K1084" s="12" t="inlineStr"/>
      <c r="L1084" s="12" t="inlineStr"/>
      <c r="M1084" s="12" t="inlineStr"/>
      <c r="N1084" s="17" t="inlineStr">
        <is>
          <t>10 EVIDENCE &amp; DECISIONS</t>
        </is>
      </c>
    </row>
    <row r="1085" ht="34" customHeight="1">
      <c r="A1085" s="12" t="inlineStr">
        <is>
          <t>Commercial Package Register</t>
        </is>
      </c>
      <c r="B1085" s="12" t="inlineStr">
        <is>
          <t>PKG-042</t>
        </is>
      </c>
      <c r="C1085" s="12" t="inlineStr">
        <is>
          <t>Safety Certification</t>
        </is>
      </c>
      <c r="D1085" s="12" t="inlineStr">
        <is>
          <t>Package Code = PK-502; WBS Code = 1.5</t>
        </is>
      </c>
      <c r="E1085" s="12" t="inlineStr">
        <is>
          <t>R1604-v1</t>
        </is>
      </c>
      <c r="F1085" s="12" t="inlineStr">
        <is>
          <t>1.5 Testing and Commissioning</t>
        </is>
      </c>
      <c r="G1085" s="12" t="inlineStr">
        <is>
          <t>ONE_TO_ONE</t>
        </is>
      </c>
      <c r="H1085" s="12" t="inlineStr">
        <is>
          <t>APPROVED</t>
        </is>
      </c>
      <c r="I1085" s="12" t="inlineStr">
        <is>
          <t>New</t>
        </is>
      </c>
      <c r="J1085" s="12" t="inlineStr">
        <is>
          <t>Source assignment -- not individually reviewed</t>
        </is>
      </c>
      <c r="K1085" s="12" t="inlineStr"/>
      <c r="L1085" s="12" t="inlineStr"/>
      <c r="M1085" s="12" t="inlineStr"/>
      <c r="N1085" s="17" t="inlineStr">
        <is>
          <t>10 EVIDENCE &amp; DECISIONS</t>
        </is>
      </c>
    </row>
    <row r="1086" ht="34" customHeight="1">
      <c r="A1086" s="12" t="inlineStr">
        <is>
          <t>Commercial Package Register</t>
        </is>
      </c>
      <c r="B1086" s="12" t="inlineStr">
        <is>
          <t>PKG-043</t>
        </is>
      </c>
      <c r="C1086" s="12" t="inlineStr">
        <is>
          <t>Trial Running</t>
        </is>
      </c>
      <c r="D1086" s="12" t="inlineStr">
        <is>
          <t>Package Code = PK-503; WBS Code = 1.5</t>
        </is>
      </c>
      <c r="E1086" s="12" t="inlineStr">
        <is>
          <t>R1605-v1</t>
        </is>
      </c>
      <c r="F1086" s="12" t="inlineStr">
        <is>
          <t>1.5 Testing and Commissioning</t>
        </is>
      </c>
      <c r="G1086" s="12" t="inlineStr">
        <is>
          <t>ONE_TO_ONE</t>
        </is>
      </c>
      <c r="H1086" s="12" t="inlineStr">
        <is>
          <t>APPROVED</t>
        </is>
      </c>
      <c r="I1086" s="12" t="inlineStr">
        <is>
          <t>New</t>
        </is>
      </c>
      <c r="J1086" s="12" t="inlineStr">
        <is>
          <t>Source assignment -- not individually reviewed</t>
        </is>
      </c>
      <c r="K1086" s="12" t="inlineStr"/>
      <c r="L1086" s="12" t="inlineStr"/>
      <c r="M1086" s="12" t="inlineStr"/>
      <c r="N1086" s="17" t="inlineStr">
        <is>
          <t>10 EVIDENCE &amp; DECISIONS</t>
        </is>
      </c>
    </row>
    <row r="1087" ht="34" customHeight="1">
      <c r="A1087" s="12" t="inlineStr">
        <is>
          <t>Commercial Package Register</t>
        </is>
      </c>
      <c r="B1087" s="12" t="inlineStr">
        <is>
          <t>PKG-044</t>
        </is>
      </c>
      <c r="C1087" s="12" t="inlineStr">
        <is>
          <t>Readiness Support</t>
        </is>
      </c>
      <c r="D1087" s="12" t="inlineStr">
        <is>
          <t>Package Code = PK-504; WBS Code = 1.5</t>
        </is>
      </c>
      <c r="E1087" s="12" t="inlineStr">
        <is>
          <t>R1606-v1</t>
        </is>
      </c>
      <c r="F1087" s="12" t="inlineStr">
        <is>
          <t>1.5 Testing and Commissioning</t>
        </is>
      </c>
      <c r="G1087" s="12" t="inlineStr">
        <is>
          <t>ONE_TO_ONE</t>
        </is>
      </c>
      <c r="H1087" s="12" t="inlineStr">
        <is>
          <t>APPROVED</t>
        </is>
      </c>
      <c r="I1087" s="12" t="inlineStr">
        <is>
          <t>New</t>
        </is>
      </c>
      <c r="J1087" s="12" t="inlineStr">
        <is>
          <t>Source assignment -- not individually reviewed</t>
        </is>
      </c>
      <c r="K1087" s="12" t="inlineStr"/>
      <c r="L1087" s="12" t="inlineStr"/>
      <c r="M1087" s="12" t="inlineStr"/>
      <c r="N1087" s="17" t="inlineStr">
        <is>
          <t>10 EVIDENCE &amp; DECISIONS</t>
        </is>
      </c>
    </row>
    <row r="1088" ht="34" customHeight="1">
      <c r="A1088" s="12" t="inlineStr">
        <is>
          <t>Commercial Package Register</t>
        </is>
      </c>
      <c r="B1088" s="12" t="inlineStr">
        <is>
          <t>PKG-045</t>
        </is>
      </c>
      <c r="C1088" s="12" t="inlineStr">
        <is>
          <t>Dynamic Testing - Lot 2</t>
        </is>
      </c>
      <c r="D1088" s="12" t="inlineStr">
        <is>
          <t>Package Code = PK-505; WBS Code = 1.5</t>
        </is>
      </c>
      <c r="E1088" s="12" t="inlineStr">
        <is>
          <t>R1607-v1</t>
        </is>
      </c>
      <c r="F1088" s="12" t="inlineStr">
        <is>
          <t>1.5 Testing and Commissioning</t>
        </is>
      </c>
      <c r="G1088" s="12" t="inlineStr">
        <is>
          <t>ONE_TO_ONE</t>
        </is>
      </c>
      <c r="H1088" s="12" t="inlineStr">
        <is>
          <t>APPROVED</t>
        </is>
      </c>
      <c r="I1088" s="12" t="inlineStr">
        <is>
          <t>New</t>
        </is>
      </c>
      <c r="J1088" s="12" t="inlineStr">
        <is>
          <t>Source assignment -- not individually reviewed</t>
        </is>
      </c>
      <c r="K1088" s="12" t="inlineStr"/>
      <c r="L1088" s="12" t="inlineStr"/>
      <c r="M1088" s="12" t="inlineStr"/>
      <c r="N1088" s="17" t="inlineStr">
        <is>
          <t>10 EVIDENCE &amp; DECISIONS</t>
        </is>
      </c>
    </row>
    <row r="1089" ht="34" customHeight="1">
      <c r="A1089" s="12" t="inlineStr">
        <is>
          <t>Commercial Package Register</t>
        </is>
      </c>
      <c r="B1089" s="12" t="inlineStr">
        <is>
          <t>PKG-046</t>
        </is>
      </c>
      <c r="C1089" s="12" t="inlineStr">
        <is>
          <t>Safety Certification - Lot 2</t>
        </is>
      </c>
      <c r="D1089" s="12" t="inlineStr">
        <is>
          <t>Package Code = PK-506; WBS Code = 1.5</t>
        </is>
      </c>
      <c r="E1089" s="12" t="inlineStr">
        <is>
          <t>R1608-v1</t>
        </is>
      </c>
      <c r="F1089" s="12" t="inlineStr">
        <is>
          <t>1.5 Testing and Commissioning</t>
        </is>
      </c>
      <c r="G1089" s="12" t="inlineStr">
        <is>
          <t>ONE_TO_ONE</t>
        </is>
      </c>
      <c r="H1089" s="12" t="inlineStr">
        <is>
          <t>APPROVED</t>
        </is>
      </c>
      <c r="I1089" s="12" t="inlineStr">
        <is>
          <t>New</t>
        </is>
      </c>
      <c r="J1089" s="12" t="inlineStr">
        <is>
          <t>Source assignment -- not individually reviewed</t>
        </is>
      </c>
      <c r="K1089" s="12" t="inlineStr"/>
      <c r="L1089" s="12" t="inlineStr"/>
      <c r="M1089" s="12" t="inlineStr"/>
      <c r="N1089" s="17" t="inlineStr">
        <is>
          <t>10 EVIDENCE &amp; DECISIONS</t>
        </is>
      </c>
    </row>
    <row r="1090" ht="34" customHeight="1">
      <c r="A1090" s="12" t="inlineStr">
        <is>
          <t>Commercial Package Register</t>
        </is>
      </c>
      <c r="B1090" s="12" t="inlineStr">
        <is>
          <t>PKG-047</t>
        </is>
      </c>
      <c r="C1090" s="12" t="inlineStr">
        <is>
          <t>Trial Running - Lot 2</t>
        </is>
      </c>
      <c r="D1090" s="12" t="inlineStr">
        <is>
          <t>Package Code = PK-507; WBS Code = 1.5</t>
        </is>
      </c>
      <c r="E1090" s="12" t="inlineStr">
        <is>
          <t>R1609-v1</t>
        </is>
      </c>
      <c r="F1090" s="12" t="inlineStr">
        <is>
          <t>1.5 Testing and Commissioning</t>
        </is>
      </c>
      <c r="G1090" s="12" t="inlineStr">
        <is>
          <t>ONE_TO_ONE</t>
        </is>
      </c>
      <c r="H1090" s="12" t="inlineStr">
        <is>
          <t>APPROVED</t>
        </is>
      </c>
      <c r="I1090" s="12" t="inlineStr">
        <is>
          <t>New</t>
        </is>
      </c>
      <c r="J1090" s="12" t="inlineStr">
        <is>
          <t>Source assignment -- not individually reviewed</t>
        </is>
      </c>
      <c r="K1090" s="12" t="inlineStr"/>
      <c r="L1090" s="12" t="inlineStr"/>
      <c r="M1090" s="12" t="inlineStr"/>
      <c r="N1090" s="17" t="inlineStr">
        <is>
          <t>10 EVIDENCE &amp; DECISIONS</t>
        </is>
      </c>
    </row>
    <row r="1091" ht="34" customHeight="1">
      <c r="A1091" s="12" t="inlineStr">
        <is>
          <t>Commercial Package Register</t>
        </is>
      </c>
      <c r="B1091" s="12" t="inlineStr">
        <is>
          <t>PKG-048</t>
        </is>
      </c>
      <c r="C1091" s="12" t="inlineStr">
        <is>
          <t>Readiness Support - Lot 2</t>
        </is>
      </c>
      <c r="D1091" s="12" t="inlineStr">
        <is>
          <t>Package Code = PK-508; WBS Code = 1.5</t>
        </is>
      </c>
      <c r="E1091" s="12" t="inlineStr">
        <is>
          <t>R1610-v1</t>
        </is>
      </c>
      <c r="F1091" s="12" t="inlineStr">
        <is>
          <t>1.5 Testing and Commissioning</t>
        </is>
      </c>
      <c r="G1091" s="12" t="inlineStr">
        <is>
          <t>ONE_TO_ONE</t>
        </is>
      </c>
      <c r="H1091" s="12" t="inlineStr">
        <is>
          <t>APPROVED</t>
        </is>
      </c>
      <c r="I1091" s="12" t="inlineStr">
        <is>
          <t>New</t>
        </is>
      </c>
      <c r="J1091" s="12" t="inlineStr">
        <is>
          <t>Source assignment -- not individually reviewed</t>
        </is>
      </c>
      <c r="K1091" s="12" t="inlineStr"/>
      <c r="L1091" s="12" t="inlineStr"/>
      <c r="M1091" s="12" t="inlineStr"/>
      <c r="N1091" s="17" t="inlineStr">
        <is>
          <t>10 EVIDENCE &amp; DECISIONS</t>
        </is>
      </c>
    </row>
    <row r="1092" ht="34" customHeight="1">
      <c r="A1092" s="12" t="inlineStr">
        <is>
          <t>Commercial Package Register</t>
        </is>
      </c>
      <c r="B1092" s="12" t="inlineStr">
        <is>
          <t>PKG-049</t>
        </is>
      </c>
      <c r="C1092" s="12" t="inlineStr">
        <is>
          <t>Dynamic Testing - Lot 3</t>
        </is>
      </c>
      <c r="D1092" s="12" t="inlineStr">
        <is>
          <t>Package Code = PK-509; WBS Code = 1.5</t>
        </is>
      </c>
      <c r="E1092" s="12" t="inlineStr">
        <is>
          <t>R1611-v1</t>
        </is>
      </c>
      <c r="F1092" s="12" t="inlineStr">
        <is>
          <t>1.5 Testing and Commissioning</t>
        </is>
      </c>
      <c r="G1092" s="12" t="inlineStr">
        <is>
          <t>ONE_TO_ONE</t>
        </is>
      </c>
      <c r="H1092" s="12" t="inlineStr">
        <is>
          <t>APPROVED</t>
        </is>
      </c>
      <c r="I1092" s="12" t="inlineStr">
        <is>
          <t>New</t>
        </is>
      </c>
      <c r="J1092" s="12" t="inlineStr">
        <is>
          <t>Source assignment -- not individually reviewed</t>
        </is>
      </c>
      <c r="K1092" s="12" t="inlineStr"/>
      <c r="L1092" s="12" t="inlineStr"/>
      <c r="M1092" s="12" t="inlineStr"/>
      <c r="N1092" s="17" t="inlineStr">
        <is>
          <t>10 EVIDENCE &amp; DECISIONS</t>
        </is>
      </c>
    </row>
    <row r="1093" ht="34" customHeight="1">
      <c r="A1093" s="12" t="inlineStr">
        <is>
          <t>Commercial Package Register</t>
        </is>
      </c>
      <c r="B1093" s="12" t="inlineStr">
        <is>
          <t>PKG-050</t>
        </is>
      </c>
      <c r="C1093" s="12" t="inlineStr">
        <is>
          <t>Safety Certification - Lot 3</t>
        </is>
      </c>
      <c r="D1093" s="12" t="inlineStr">
        <is>
          <t>Package Code = PK-510; WBS Code = 1.5</t>
        </is>
      </c>
      <c r="E1093" s="12" t="inlineStr">
        <is>
          <t>R1612-v1</t>
        </is>
      </c>
      <c r="F1093" s="12" t="inlineStr">
        <is>
          <t>1.5 Testing and Commissioning</t>
        </is>
      </c>
      <c r="G1093" s="12" t="inlineStr">
        <is>
          <t>ONE_TO_ONE</t>
        </is>
      </c>
      <c r="H1093" s="12" t="inlineStr">
        <is>
          <t>APPROVED</t>
        </is>
      </c>
      <c r="I1093" s="12" t="inlineStr">
        <is>
          <t>New</t>
        </is>
      </c>
      <c r="J1093" s="12" t="inlineStr">
        <is>
          <t>Source assignment -- not individually reviewed</t>
        </is>
      </c>
      <c r="K1093" s="12" t="inlineStr"/>
      <c r="L1093" s="12" t="inlineStr"/>
      <c r="M1093" s="12" t="inlineStr"/>
      <c r="N1093" s="17" t="inlineStr">
        <is>
          <t>10 EVIDENCE &amp; DECISIONS</t>
        </is>
      </c>
    </row>
    <row r="1094" ht="34" customHeight="1">
      <c r="A1094" s="12" t="inlineStr">
        <is>
          <t>Contractor Programme</t>
        </is>
      </c>
      <c r="B1094" s="12" t="inlineStr">
        <is>
          <t>SCH-05-001</t>
        </is>
      </c>
      <c r="C1094" s="12" t="inlineStr">
        <is>
          <t>Central section: test procedure readiness review - field start</t>
        </is>
      </c>
      <c r="D1094" s="12" t="inlineStr">
        <is>
          <t>WBS Code = 1.5.1</t>
        </is>
      </c>
      <c r="E1094" s="12" t="inlineStr">
        <is>
          <t>R721-v1</t>
        </is>
      </c>
      <c r="F1094" s="12" t="inlineStr">
        <is>
          <t>1.5.1 Testing and Commissioning - Test Readiness</t>
        </is>
      </c>
      <c r="G1094" s="12" t="inlineStr">
        <is>
          <t>ONE_TO_ONE</t>
        </is>
      </c>
      <c r="H1094" s="12" t="inlineStr">
        <is>
          <t>APPROVED</t>
        </is>
      </c>
      <c r="I1094" s="12" t="inlineStr">
        <is>
          <t>New</t>
        </is>
      </c>
      <c r="J1094" s="12" t="inlineStr">
        <is>
          <t>Source assignment -- not individually reviewed</t>
        </is>
      </c>
      <c r="K1094" s="12" t="inlineStr"/>
      <c r="L1094" s="12" t="inlineStr"/>
      <c r="M1094" s="12" t="inlineStr"/>
      <c r="N1094" s="17" t="inlineStr">
        <is>
          <t>10 EVIDENCE &amp; DECISIONS</t>
        </is>
      </c>
    </row>
    <row r="1095" ht="34" customHeight="1">
      <c r="A1095" s="12" t="inlineStr">
        <is>
          <t>Contractor Programme</t>
        </is>
      </c>
      <c r="B1095" s="12" t="inlineStr">
        <is>
          <t>SCH-05-002</t>
        </is>
      </c>
      <c r="C1095" s="12" t="inlineStr">
        <is>
          <t>West terminal: emergency-response drill - installation</t>
        </is>
      </c>
      <c r="D1095" s="12" t="inlineStr">
        <is>
          <t>WBS Code = 1.5.1</t>
        </is>
      </c>
      <c r="E1095" s="12" t="inlineStr">
        <is>
          <t>R722-v1</t>
        </is>
      </c>
      <c r="F1095" s="12" t="inlineStr">
        <is>
          <t>1.5.1 Testing and Commissioning - Test Readiness</t>
        </is>
      </c>
      <c r="G1095" s="12" t="inlineStr">
        <is>
          <t>ONE_TO_ONE</t>
        </is>
      </c>
      <c r="H1095" s="12" t="inlineStr">
        <is>
          <t>APPROVED</t>
        </is>
      </c>
      <c r="I1095" s="12" t="inlineStr">
        <is>
          <t>New</t>
        </is>
      </c>
      <c r="J1095" s="12" t="inlineStr">
        <is>
          <t>Source assignment -- not individually reviewed</t>
        </is>
      </c>
      <c r="K1095" s="12" t="inlineStr"/>
      <c r="L1095" s="12" t="inlineStr"/>
      <c r="M1095" s="12" t="inlineStr"/>
      <c r="N1095" s="17" t="inlineStr">
        <is>
          <t>10 EVIDENCE &amp; DECISIONS</t>
        </is>
      </c>
    </row>
    <row r="1096" ht="34" customHeight="1">
      <c r="A1096" s="12" t="inlineStr">
        <is>
          <t>Contractor Programme</t>
        </is>
      </c>
      <c r="B1096" s="12" t="inlineStr">
        <is>
          <t>SCH-05-004</t>
        </is>
      </c>
      <c r="C1096" s="12" t="inlineStr">
        <is>
          <t>Control Centre: mainline dynamic test - turnover</t>
        </is>
      </c>
      <c r="D1096" s="12" t="inlineStr">
        <is>
          <t>WBS Code = 1.5.1</t>
        </is>
      </c>
      <c r="E1096" s="12" t="inlineStr">
        <is>
          <t>R724-v1</t>
        </is>
      </c>
      <c r="F1096" s="12" t="inlineStr">
        <is>
          <t>1.5.1 Testing and Commissioning - Test Readiness</t>
        </is>
      </c>
      <c r="G1096" s="12" t="inlineStr">
        <is>
          <t>ONE_TO_ONE</t>
        </is>
      </c>
      <c r="H1096" s="12" t="inlineStr">
        <is>
          <t>APPROVED</t>
        </is>
      </c>
      <c r="I1096" s="12" t="inlineStr">
        <is>
          <t>New</t>
        </is>
      </c>
      <c r="J1096" s="12" t="inlineStr">
        <is>
          <t>Source assignment -- not individually reviewed</t>
        </is>
      </c>
      <c r="K1096" s="12" t="inlineStr"/>
      <c r="L1096" s="12" t="inlineStr"/>
      <c r="M1096" s="12" t="inlineStr"/>
      <c r="N1096" s="17" t="inlineStr">
        <is>
          <t>10 EVIDENCE &amp; DECISIONS</t>
        </is>
      </c>
    </row>
    <row r="1097" ht="34" customHeight="1">
      <c r="A1097" s="12" t="inlineStr">
        <is>
          <t>Contractor Programme</t>
        </is>
      </c>
      <c r="B1097" s="12" t="inlineStr">
        <is>
          <t>SCH-05-005</t>
        </is>
      </c>
      <c r="C1097" s="12" t="inlineStr">
        <is>
          <t>Mainline east: safety certificate evidence closeout - release</t>
        </is>
      </c>
      <c r="D1097" s="12" t="inlineStr">
        <is>
          <t>WBS Code = 1.5.1</t>
        </is>
      </c>
      <c r="E1097" s="12" t="inlineStr">
        <is>
          <t>R725-v1</t>
        </is>
      </c>
      <c r="F1097" s="12" t="inlineStr">
        <is>
          <t>1.5.1 Testing and Commissioning - Test Readiness</t>
        </is>
      </c>
      <c r="G1097" s="12" t="inlineStr">
        <is>
          <t>ONE_TO_ONE</t>
        </is>
      </c>
      <c r="H1097" s="12" t="inlineStr">
        <is>
          <t>APPROVED</t>
        </is>
      </c>
      <c r="I1097" s="12" t="inlineStr">
        <is>
          <t>New</t>
        </is>
      </c>
      <c r="J1097" s="12" t="inlineStr">
        <is>
          <t>Source assignment -- not individually reviewed</t>
        </is>
      </c>
      <c r="K1097" s="12" t="inlineStr"/>
      <c r="L1097" s="12" t="inlineStr"/>
      <c r="M1097" s="12" t="inlineStr"/>
      <c r="N1097" s="17" t="inlineStr">
        <is>
          <t>10 EVIDENCE &amp; DECISIONS</t>
        </is>
      </c>
    </row>
    <row r="1098" ht="34" customHeight="1">
      <c r="A1098" s="12" t="inlineStr">
        <is>
          <t>Contractor Programme</t>
        </is>
      </c>
      <c r="B1098" s="12" t="inlineStr">
        <is>
          <t>SCH-05-007</t>
        </is>
      </c>
      <c r="C1098" s="12" t="inlineStr">
        <is>
          <t>West terminal: station integrated test - installation</t>
        </is>
      </c>
      <c r="D1098" s="12" t="inlineStr">
        <is>
          <t>WBS Code = 1.5.1</t>
        </is>
      </c>
      <c r="E1098" s="12" t="inlineStr">
        <is>
          <t>R727-v1</t>
        </is>
      </c>
      <c r="F1098" s="12" t="inlineStr">
        <is>
          <t>1.5.1 Testing and Commissioning - Test Readiness</t>
        </is>
      </c>
      <c r="G1098" s="12" t="inlineStr">
        <is>
          <t>ONE_TO_ONE</t>
        </is>
      </c>
      <c r="H1098" s="12" t="inlineStr">
        <is>
          <t>APPROVED</t>
        </is>
      </c>
      <c r="I1098" s="12" t="inlineStr">
        <is>
          <t>New</t>
        </is>
      </c>
      <c r="J1098" s="12" t="inlineStr">
        <is>
          <t>Source assignment -- not individually reviewed</t>
        </is>
      </c>
      <c r="K1098" s="12" t="inlineStr"/>
      <c r="L1098" s="12" t="inlineStr"/>
      <c r="M1098" s="12" t="inlineStr"/>
      <c r="N1098" s="17" t="inlineStr">
        <is>
          <t>10 EVIDENCE &amp; DECISIONS</t>
        </is>
      </c>
    </row>
    <row r="1099" ht="34" customHeight="1">
      <c r="A1099" s="12" t="inlineStr">
        <is>
          <t>Contractor Programme</t>
        </is>
      </c>
      <c r="B1099" s="12" t="inlineStr">
        <is>
          <t>SCH-05-008</t>
        </is>
      </c>
      <c r="C1099" s="12" t="inlineStr">
        <is>
          <t>Depot: trial-running shift - inspection</t>
        </is>
      </c>
      <c r="D1099" s="12" t="inlineStr">
        <is>
          <t>WBS Code = 1.5.1</t>
        </is>
      </c>
      <c r="E1099" s="12" t="inlineStr">
        <is>
          <t>R728-v1</t>
        </is>
      </c>
      <c r="F1099" s="12" t="inlineStr">
        <is>
          <t>1.5.1 Testing and Commissioning - Test Readiness</t>
        </is>
      </c>
      <c r="G1099" s="12" t="inlineStr">
        <is>
          <t>ONE_TO_ONE</t>
        </is>
      </c>
      <c r="H1099" s="12" t="inlineStr">
        <is>
          <t>APPROVED</t>
        </is>
      </c>
      <c r="I1099" s="12" t="inlineStr">
        <is>
          <t>New</t>
        </is>
      </c>
      <c r="J1099" s="12" t="inlineStr">
        <is>
          <t>Source assignment -- not individually reviewed</t>
        </is>
      </c>
      <c r="K1099" s="12" t="inlineStr"/>
      <c r="L1099" s="12" t="inlineStr"/>
      <c r="M1099" s="12" t="inlineStr"/>
      <c r="N1099" s="17" t="inlineStr">
        <is>
          <t>10 EVIDENCE &amp; DECISIONS</t>
        </is>
      </c>
    </row>
    <row r="1100" ht="34" customHeight="1">
      <c r="A1100" s="12" t="inlineStr">
        <is>
          <t>Contractor Programme</t>
        </is>
      </c>
      <c r="B1100" s="12" t="inlineStr">
        <is>
          <t>SCH-05-010</t>
        </is>
      </c>
      <c r="C1100" s="12" t="inlineStr">
        <is>
          <t>Mainline east: emergency-response drill - release</t>
        </is>
      </c>
      <c r="D1100" s="12" t="inlineStr">
        <is>
          <t>WBS Code = 1.5.1</t>
        </is>
      </c>
      <c r="E1100" s="12" t="inlineStr">
        <is>
          <t>R730-v1</t>
        </is>
      </c>
      <c r="F1100" s="12" t="inlineStr">
        <is>
          <t>1.5.1 Testing and Commissioning - Test Readiness</t>
        </is>
      </c>
      <c r="G1100" s="12" t="inlineStr">
        <is>
          <t>ONE_TO_ONE</t>
        </is>
      </c>
      <c r="H1100" s="12" t="inlineStr">
        <is>
          <t>APPROVED</t>
        </is>
      </c>
      <c r="I1100" s="12" t="inlineStr">
        <is>
          <t>New</t>
        </is>
      </c>
      <c r="J1100" s="12" t="inlineStr">
        <is>
          <t>Source assignment -- not individually reviewed</t>
        </is>
      </c>
      <c r="K1100" s="12" t="inlineStr"/>
      <c r="L1100" s="12" t="inlineStr"/>
      <c r="M1100" s="12" t="inlineStr"/>
      <c r="N1100" s="17" t="inlineStr">
        <is>
          <t>10 EVIDENCE &amp; DECISIONS</t>
        </is>
      </c>
    </row>
    <row r="1101" ht="34" customHeight="1">
      <c r="A1101" s="12" t="inlineStr">
        <is>
          <t>Contractor Programme</t>
        </is>
      </c>
      <c r="B1101" s="12" t="inlineStr">
        <is>
          <t>SCH-05-011</t>
        </is>
      </c>
      <c r="C1101" s="12" t="inlineStr">
        <is>
          <t>Central section: defect retest - field start</t>
        </is>
      </c>
      <c r="D1101" s="12" t="inlineStr">
        <is>
          <t>WBS Code = 1.5.1</t>
        </is>
      </c>
      <c r="E1101" s="12" t="inlineStr">
        <is>
          <t>R731-v1</t>
        </is>
      </c>
      <c r="F1101" s="12" t="inlineStr">
        <is>
          <t>1.5.1 Testing and Commissioning - Test Readiness</t>
        </is>
      </c>
      <c r="G1101" s="12" t="inlineStr">
        <is>
          <t>ONE_TO_ONE</t>
        </is>
      </c>
      <c r="H1101" s="12" t="inlineStr">
        <is>
          <t>APPROVED</t>
        </is>
      </c>
      <c r="I1101" s="12" t="inlineStr">
        <is>
          <t>New</t>
        </is>
      </c>
      <c r="J1101" s="12" t="inlineStr">
        <is>
          <t>Source assignment -- not individually reviewed</t>
        </is>
      </c>
      <c r="K1101" s="12" t="inlineStr"/>
      <c r="L1101" s="12" t="inlineStr"/>
      <c r="M1101" s="12" t="inlineStr"/>
      <c r="N1101" s="17" t="inlineStr">
        <is>
          <t>10 EVIDENCE &amp; DECISIONS</t>
        </is>
      </c>
    </row>
    <row r="1102" ht="34" customHeight="1">
      <c r="A1102" s="12" t="inlineStr">
        <is>
          <t>Contractor Programme</t>
        </is>
      </c>
      <c r="B1102" s="12" t="inlineStr">
        <is>
          <t>SCH-05-013</t>
        </is>
      </c>
      <c r="C1102" s="12" t="inlineStr">
        <is>
          <t>Depot: safety certificate evidence closeout - inspection</t>
        </is>
      </c>
      <c r="D1102" s="12" t="inlineStr">
        <is>
          <t>WBS Code = 1.5.1</t>
        </is>
      </c>
      <c r="E1102" s="12" t="inlineStr">
        <is>
          <t>R733-v1</t>
        </is>
      </c>
      <c r="F1102" s="12" t="inlineStr">
        <is>
          <t>1.5.1 Testing and Commissioning - Test Readiness</t>
        </is>
      </c>
      <c r="G1102" s="12" t="inlineStr">
        <is>
          <t>ONE_TO_ONE</t>
        </is>
      </c>
      <c r="H1102" s="12" t="inlineStr">
        <is>
          <t>APPROVED</t>
        </is>
      </c>
      <c r="I1102" s="12" t="inlineStr">
        <is>
          <t>New</t>
        </is>
      </c>
      <c r="J1102" s="12" t="inlineStr">
        <is>
          <t>Source assignment -- not individually reviewed</t>
        </is>
      </c>
      <c r="K1102" s="12" t="inlineStr"/>
      <c r="L1102" s="12" t="inlineStr"/>
      <c r="M1102" s="12" t="inlineStr"/>
      <c r="N1102" s="17" t="inlineStr">
        <is>
          <t>10 EVIDENCE &amp; DECISIONS</t>
        </is>
      </c>
    </row>
    <row r="1103" ht="34" customHeight="1">
      <c r="A1103" s="12" t="inlineStr">
        <is>
          <t>Contractor Programme</t>
        </is>
      </c>
      <c r="B1103" s="12" t="inlineStr">
        <is>
          <t>SCH-05-014</t>
        </is>
      </c>
      <c r="C1103" s="12" t="inlineStr">
        <is>
          <t>Control Centre: service-readiness review - turnover</t>
        </is>
      </c>
      <c r="D1103" s="12" t="inlineStr">
        <is>
          <t>WBS Code = 1.5.1</t>
        </is>
      </c>
      <c r="E1103" s="12" t="inlineStr">
        <is>
          <t>R734-v1</t>
        </is>
      </c>
      <c r="F1103" s="12" t="inlineStr">
        <is>
          <t>1.5.1 Testing and Commissioning - Test Readiness</t>
        </is>
      </c>
      <c r="G1103" s="12" t="inlineStr">
        <is>
          <t>ONE_TO_ONE</t>
        </is>
      </c>
      <c r="H1103" s="12" t="inlineStr">
        <is>
          <t>APPROVED</t>
        </is>
      </c>
      <c r="I1103" s="12" t="inlineStr">
        <is>
          <t>New</t>
        </is>
      </c>
      <c r="J1103" s="12" t="inlineStr">
        <is>
          <t>Source assignment -- not individually reviewed</t>
        </is>
      </c>
      <c r="K1103" s="12" t="inlineStr"/>
      <c r="L1103" s="12" t="inlineStr"/>
      <c r="M1103" s="12" t="inlineStr"/>
      <c r="N1103" s="17" t="inlineStr">
        <is>
          <t>10 EVIDENCE &amp; DECISIONS</t>
        </is>
      </c>
    </row>
    <row r="1104" ht="34" customHeight="1">
      <c r="A1104" s="12" t="inlineStr">
        <is>
          <t>Contractor Programme</t>
        </is>
      </c>
      <c r="B1104" s="12" t="inlineStr">
        <is>
          <t>SCH-05-016</t>
        </is>
      </c>
      <c r="C1104" s="12" t="inlineStr">
        <is>
          <t>Central section: trial-running shift - field start</t>
        </is>
      </c>
      <c r="D1104" s="12" t="inlineStr">
        <is>
          <t>WBS Code = 1.5.1</t>
        </is>
      </c>
      <c r="E1104" s="12" t="inlineStr">
        <is>
          <t>R736-v1</t>
        </is>
      </c>
      <c r="F1104" s="12" t="inlineStr">
        <is>
          <t>1.5.1 Testing and Commissioning - Test Readiness</t>
        </is>
      </c>
      <c r="G1104" s="12" t="inlineStr">
        <is>
          <t>ONE_TO_ONE</t>
        </is>
      </c>
      <c r="H1104" s="12" t="inlineStr">
        <is>
          <t>APPROVED</t>
        </is>
      </c>
      <c r="I1104" s="12" t="inlineStr">
        <is>
          <t>New</t>
        </is>
      </c>
      <c r="J1104" s="12" t="inlineStr">
        <is>
          <t>Source assignment -- not individually reviewed</t>
        </is>
      </c>
      <c r="K1104" s="12" t="inlineStr"/>
      <c r="L1104" s="12" t="inlineStr"/>
      <c r="M1104" s="12" t="inlineStr"/>
      <c r="N1104" s="17" t="inlineStr">
        <is>
          <t>10 EVIDENCE &amp; DECISIONS</t>
        </is>
      </c>
    </row>
    <row r="1105" ht="34" customHeight="1">
      <c r="A1105" s="12" t="inlineStr">
        <is>
          <t>Contractor Programme</t>
        </is>
      </c>
      <c r="B1105" s="12" t="inlineStr">
        <is>
          <t>SCH-05-017</t>
        </is>
      </c>
      <c r="C1105" s="12" t="inlineStr">
        <is>
          <t>West terminal: test procedure readiness review - installation</t>
        </is>
      </c>
      <c r="D1105" s="12" t="inlineStr">
        <is>
          <t>WBS Code = 1.5.1</t>
        </is>
      </c>
      <c r="E1105" s="12" t="inlineStr">
        <is>
          <t>R737-v1</t>
        </is>
      </c>
      <c r="F1105" s="12" t="inlineStr">
        <is>
          <t>1.5.1 Testing and Commissioning - Test Readiness</t>
        </is>
      </c>
      <c r="G1105" s="12" t="inlineStr">
        <is>
          <t>ONE_TO_ONE</t>
        </is>
      </c>
      <c r="H1105" s="12" t="inlineStr">
        <is>
          <t>APPROVED</t>
        </is>
      </c>
      <c r="I1105" s="12" t="inlineStr">
        <is>
          <t>New</t>
        </is>
      </c>
      <c r="J1105" s="12" t="inlineStr">
        <is>
          <t>Source assignment -- not individually reviewed</t>
        </is>
      </c>
      <c r="K1105" s="12" t="inlineStr"/>
      <c r="L1105" s="12" t="inlineStr"/>
      <c r="M1105" s="12" t="inlineStr"/>
      <c r="N1105" s="17" t="inlineStr">
        <is>
          <t>10 EVIDENCE &amp; DECISIONS</t>
        </is>
      </c>
    </row>
    <row r="1106" ht="34" customHeight="1">
      <c r="A1106" s="12" t="inlineStr">
        <is>
          <t>Contractor Programme</t>
        </is>
      </c>
      <c r="B1106" s="12" t="inlineStr">
        <is>
          <t>SCH-05-019</t>
        </is>
      </c>
      <c r="C1106" s="12" t="inlineStr">
        <is>
          <t>Control Centre: defect retest - turnover</t>
        </is>
      </c>
      <c r="D1106" s="12" t="inlineStr">
        <is>
          <t>WBS Code = 1.5.1</t>
        </is>
      </c>
      <c r="E1106" s="12" t="inlineStr">
        <is>
          <t>R739-v1</t>
        </is>
      </c>
      <c r="F1106" s="12" t="inlineStr">
        <is>
          <t>1.5.1 Testing and Commissioning - Test Readiness</t>
        </is>
      </c>
      <c r="G1106" s="12" t="inlineStr">
        <is>
          <t>ONE_TO_ONE</t>
        </is>
      </c>
      <c r="H1106" s="12" t="inlineStr">
        <is>
          <t>APPROVED</t>
        </is>
      </c>
      <c r="I1106" s="12" t="inlineStr">
        <is>
          <t>New</t>
        </is>
      </c>
      <c r="J1106" s="12" t="inlineStr">
        <is>
          <t>Source assignment -- not individually reviewed</t>
        </is>
      </c>
      <c r="K1106" s="12" t="inlineStr"/>
      <c r="L1106" s="12" t="inlineStr"/>
      <c r="M1106" s="12" t="inlineStr"/>
      <c r="N1106" s="17" t="inlineStr">
        <is>
          <t>10 EVIDENCE &amp; DECISIONS</t>
        </is>
      </c>
    </row>
    <row r="1107" ht="34" customHeight="1">
      <c r="A1107" s="12" t="inlineStr">
        <is>
          <t>Contractor Programme</t>
        </is>
      </c>
      <c r="B1107" s="12" t="inlineStr">
        <is>
          <t>SCH-05-020</t>
        </is>
      </c>
      <c r="C1107" s="12" t="inlineStr">
        <is>
          <t>Mainline east: mainline dynamic test - release</t>
        </is>
      </c>
      <c r="D1107" s="12" t="inlineStr">
        <is>
          <t>WBS Code = 1.5.1</t>
        </is>
      </c>
      <c r="E1107" s="12" t="inlineStr">
        <is>
          <t>R740-v1</t>
        </is>
      </c>
      <c r="F1107" s="12" t="inlineStr">
        <is>
          <t>1.5.1 Testing and Commissioning - Test Readiness</t>
        </is>
      </c>
      <c r="G1107" s="12" t="inlineStr">
        <is>
          <t>ONE_TO_ONE</t>
        </is>
      </c>
      <c r="H1107" s="12" t="inlineStr">
        <is>
          <t>APPROVED</t>
        </is>
      </c>
      <c r="I1107" s="12" t="inlineStr">
        <is>
          <t>New</t>
        </is>
      </c>
      <c r="J1107" s="12" t="inlineStr">
        <is>
          <t>Source assignment -- not individually reviewed</t>
        </is>
      </c>
      <c r="K1107" s="12" t="inlineStr"/>
      <c r="L1107" s="12" t="inlineStr"/>
      <c r="M1107" s="12" t="inlineStr"/>
      <c r="N1107" s="17" t="inlineStr">
        <is>
          <t>10 EVIDENCE &amp; DECISIONS</t>
        </is>
      </c>
    </row>
    <row r="1108" ht="34" customHeight="1">
      <c r="A1108" s="12" t="inlineStr">
        <is>
          <t>Contractor Programme</t>
        </is>
      </c>
      <c r="B1108" s="12" t="inlineStr">
        <is>
          <t>SCH-05-022</t>
        </is>
      </c>
      <c r="C1108" s="12" t="inlineStr">
        <is>
          <t>West terminal: service-readiness review - installation</t>
        </is>
      </c>
      <c r="D1108" s="12" t="inlineStr">
        <is>
          <t>WBS Code = 1.5.1</t>
        </is>
      </c>
      <c r="E1108" s="12" t="inlineStr">
        <is>
          <t>R742-v1</t>
        </is>
      </c>
      <c r="F1108" s="12" t="inlineStr">
        <is>
          <t>1.5.1 Testing and Commissioning - Test Readiness</t>
        </is>
      </c>
      <c r="G1108" s="12" t="inlineStr">
        <is>
          <t>ONE_TO_ONE</t>
        </is>
      </c>
      <c r="H1108" s="12" t="inlineStr">
        <is>
          <t>APPROVED</t>
        </is>
      </c>
      <c r="I1108" s="12" t="inlineStr">
        <is>
          <t>New</t>
        </is>
      </c>
      <c r="J1108" s="12" t="inlineStr">
        <is>
          <t>Source assignment -- not individually reviewed</t>
        </is>
      </c>
      <c r="K1108" s="12" t="inlineStr"/>
      <c r="L1108" s="12" t="inlineStr"/>
      <c r="M1108" s="12" t="inlineStr"/>
      <c r="N1108" s="17" t="inlineStr">
        <is>
          <t>10 EVIDENCE &amp; DECISIONS</t>
        </is>
      </c>
    </row>
    <row r="1109" ht="34" customHeight="1">
      <c r="A1109" s="12" t="inlineStr">
        <is>
          <t>Contractor Programme</t>
        </is>
      </c>
      <c r="B1109" s="12" t="inlineStr">
        <is>
          <t>SCH-05-023</t>
        </is>
      </c>
      <c r="C1109" s="12" t="inlineStr">
        <is>
          <t>Depot: station integrated test - inspection</t>
        </is>
      </c>
      <c r="D1109" s="12" t="inlineStr">
        <is>
          <t>WBS Code = 1.5.1</t>
        </is>
      </c>
      <c r="E1109" s="12" t="inlineStr">
        <is>
          <t>R743-v1</t>
        </is>
      </c>
      <c r="F1109" s="12" t="inlineStr">
        <is>
          <t>1.5.1 Testing and Commissioning - Test Readiness</t>
        </is>
      </c>
      <c r="G1109" s="12" t="inlineStr">
        <is>
          <t>ONE_TO_ONE</t>
        </is>
      </c>
      <c r="H1109" s="12" t="inlineStr">
        <is>
          <t>APPROVED</t>
        </is>
      </c>
      <c r="I1109" s="12" t="inlineStr">
        <is>
          <t>New</t>
        </is>
      </c>
      <c r="J1109" s="12" t="inlineStr">
        <is>
          <t>Source assignment -- not individually reviewed</t>
        </is>
      </c>
      <c r="K1109" s="12" t="inlineStr"/>
      <c r="L1109" s="12" t="inlineStr"/>
      <c r="M1109" s="12" t="inlineStr"/>
      <c r="N1109" s="17" t="inlineStr">
        <is>
          <t>10 EVIDENCE &amp; DECISIONS</t>
        </is>
      </c>
    </row>
    <row r="1110" ht="34" customHeight="1">
      <c r="A1110" s="12" t="inlineStr">
        <is>
          <t>Contractor Programme</t>
        </is>
      </c>
      <c r="B1110" s="12" t="inlineStr">
        <is>
          <t>SCH-05-025</t>
        </is>
      </c>
      <c r="C1110" s="12" t="inlineStr">
        <is>
          <t>Mainline east: test procedure readiness review - release</t>
        </is>
      </c>
      <c r="D1110" s="12" t="inlineStr">
        <is>
          <t>WBS Code = 1.5.1</t>
        </is>
      </c>
      <c r="E1110" s="12" t="inlineStr">
        <is>
          <t>R745-v1</t>
        </is>
      </c>
      <c r="F1110" s="12" t="inlineStr">
        <is>
          <t>1.5.1 Testing and Commissioning - Test Readiness</t>
        </is>
      </c>
      <c r="G1110" s="12" t="inlineStr">
        <is>
          <t>ONE_TO_ONE</t>
        </is>
      </c>
      <c r="H1110" s="12" t="inlineStr">
        <is>
          <t>APPROVED</t>
        </is>
      </c>
      <c r="I1110" s="12" t="inlineStr">
        <is>
          <t>New</t>
        </is>
      </c>
      <c r="J1110" s="12" t="inlineStr">
        <is>
          <t>Source assignment -- not individually reviewed</t>
        </is>
      </c>
      <c r="K1110" s="12" t="inlineStr"/>
      <c r="L1110" s="12" t="inlineStr"/>
      <c r="M1110" s="12" t="inlineStr"/>
      <c r="N1110" s="17" t="inlineStr">
        <is>
          <t>10 EVIDENCE &amp; DECISIONS</t>
        </is>
      </c>
    </row>
    <row r="1111" ht="34" customHeight="1">
      <c r="A1111" s="12" t="inlineStr">
        <is>
          <t>Contractor Programme</t>
        </is>
      </c>
      <c r="B1111" s="12" t="inlineStr">
        <is>
          <t>SCH-05-026</t>
        </is>
      </c>
      <c r="C1111" s="12" t="inlineStr">
        <is>
          <t>Central section: emergency-response drill - field start</t>
        </is>
      </c>
      <c r="D1111" s="12" t="inlineStr">
        <is>
          <t>WBS Code = 1.5.1</t>
        </is>
      </c>
      <c r="E1111" s="12" t="inlineStr">
        <is>
          <t>R746-v1</t>
        </is>
      </c>
      <c r="F1111" s="12" t="inlineStr">
        <is>
          <t>1.5.1 Testing and Commissioning - Test Readiness</t>
        </is>
      </c>
      <c r="G1111" s="12" t="inlineStr">
        <is>
          <t>ONE_TO_ONE</t>
        </is>
      </c>
      <c r="H1111" s="12" t="inlineStr">
        <is>
          <t>APPROVED</t>
        </is>
      </c>
      <c r="I1111" s="12" t="inlineStr">
        <is>
          <t>New</t>
        </is>
      </c>
      <c r="J1111" s="12" t="inlineStr">
        <is>
          <t>Source assignment -- not individually reviewed</t>
        </is>
      </c>
      <c r="K1111" s="12" t="inlineStr"/>
      <c r="L1111" s="12" t="inlineStr"/>
      <c r="M1111" s="12" t="inlineStr"/>
      <c r="N1111" s="17" t="inlineStr">
        <is>
          <t>10 EVIDENCE &amp; DECISIONS</t>
        </is>
      </c>
    </row>
    <row r="1112" ht="34" customHeight="1">
      <c r="A1112" s="12" t="inlineStr">
        <is>
          <t>Contractor Programme</t>
        </is>
      </c>
      <c r="B1112" s="12" t="inlineStr">
        <is>
          <t>SCH-05-028</t>
        </is>
      </c>
      <c r="C1112" s="12" t="inlineStr">
        <is>
          <t>Depot: mainline dynamic test - inspection</t>
        </is>
      </c>
      <c r="D1112" s="12" t="inlineStr">
        <is>
          <t>WBS Code = 1.5.1</t>
        </is>
      </c>
      <c r="E1112" s="12" t="inlineStr">
        <is>
          <t>R748-v1</t>
        </is>
      </c>
      <c r="F1112" s="12" t="inlineStr">
        <is>
          <t>1.5.1 Testing and Commissioning - Test Readiness</t>
        </is>
      </c>
      <c r="G1112" s="12" t="inlineStr">
        <is>
          <t>ONE_TO_ONE</t>
        </is>
      </c>
      <c r="H1112" s="12" t="inlineStr">
        <is>
          <t>APPROVED</t>
        </is>
      </c>
      <c r="I1112" s="12" t="inlineStr">
        <is>
          <t>New</t>
        </is>
      </c>
      <c r="J1112" s="12" t="inlineStr">
        <is>
          <t>Source assignment -- not individually reviewed</t>
        </is>
      </c>
      <c r="K1112" s="12" t="inlineStr"/>
      <c r="L1112" s="12" t="inlineStr"/>
      <c r="M1112" s="12" t="inlineStr"/>
      <c r="N1112" s="17" t="inlineStr">
        <is>
          <t>10 EVIDENCE &amp; DECISIONS</t>
        </is>
      </c>
    </row>
    <row r="1113" ht="34" customHeight="1">
      <c r="A1113" s="12" t="inlineStr">
        <is>
          <t>Contractor Programme</t>
        </is>
      </c>
      <c r="B1113" s="12" t="inlineStr">
        <is>
          <t>SCH-05-029</t>
        </is>
      </c>
      <c r="C1113" s="12" t="inlineStr">
        <is>
          <t>Control Centre: safety certificate evidence closeout - turnover</t>
        </is>
      </c>
      <c r="D1113" s="12" t="inlineStr">
        <is>
          <t>WBS Code = 1.5.1</t>
        </is>
      </c>
      <c r="E1113" s="12" t="inlineStr">
        <is>
          <t>R749-v1</t>
        </is>
      </c>
      <c r="F1113" s="12" t="inlineStr">
        <is>
          <t>1.5.1 Testing and Commissioning - Test Readiness</t>
        </is>
      </c>
      <c r="G1113" s="12" t="inlineStr">
        <is>
          <t>ONE_TO_ONE</t>
        </is>
      </c>
      <c r="H1113" s="12" t="inlineStr">
        <is>
          <t>APPROVED</t>
        </is>
      </c>
      <c r="I1113" s="12" t="inlineStr">
        <is>
          <t>New</t>
        </is>
      </c>
      <c r="J1113" s="12" t="inlineStr">
        <is>
          <t>Source assignment -- not individually reviewed</t>
        </is>
      </c>
      <c r="K1113" s="12" t="inlineStr"/>
      <c r="L1113" s="12" t="inlineStr"/>
      <c r="M1113" s="12" t="inlineStr"/>
      <c r="N1113" s="17" t="inlineStr">
        <is>
          <t>10 EVIDENCE &amp; DECISIONS</t>
        </is>
      </c>
    </row>
    <row r="1114" ht="34" customHeight="1">
      <c r="A1114" s="12" t="inlineStr">
        <is>
          <t>Contractor Programme</t>
        </is>
      </c>
      <c r="B1114" s="12" t="inlineStr">
        <is>
          <t>SCH-05-031</t>
        </is>
      </c>
      <c r="C1114" s="12" t="inlineStr">
        <is>
          <t>Central section: station integrated test - field start</t>
        </is>
      </c>
      <c r="D1114" s="12" t="inlineStr">
        <is>
          <t>WBS Code = 1.5.1</t>
        </is>
      </c>
      <c r="E1114" s="12" t="inlineStr">
        <is>
          <t>R751-v1</t>
        </is>
      </c>
      <c r="F1114" s="12" t="inlineStr">
        <is>
          <t>1.5.1 Testing and Commissioning - Test Readiness</t>
        </is>
      </c>
      <c r="G1114" s="12" t="inlineStr">
        <is>
          <t>ONE_TO_ONE</t>
        </is>
      </c>
      <c r="H1114" s="12" t="inlineStr">
        <is>
          <t>APPROVED</t>
        </is>
      </c>
      <c r="I1114" s="12" t="inlineStr">
        <is>
          <t>New</t>
        </is>
      </c>
      <c r="J1114" s="12" t="inlineStr">
        <is>
          <t>Source assignment -- not individually reviewed</t>
        </is>
      </c>
      <c r="K1114" s="12" t="inlineStr"/>
      <c r="L1114" s="12" t="inlineStr"/>
      <c r="M1114" s="12" t="inlineStr"/>
      <c r="N1114" s="17" t="inlineStr">
        <is>
          <t>10 EVIDENCE &amp; DECISIONS</t>
        </is>
      </c>
    </row>
    <row r="1115" ht="34" customHeight="1">
      <c r="A1115" s="12" t="inlineStr">
        <is>
          <t>Contractor Programme</t>
        </is>
      </c>
      <c r="B1115" s="12" t="inlineStr">
        <is>
          <t>SCH-05-032</t>
        </is>
      </c>
      <c r="C1115" s="12" t="inlineStr">
        <is>
          <t>West terminal: trial-running shift - installation</t>
        </is>
      </c>
      <c r="D1115" s="12" t="inlineStr">
        <is>
          <t>WBS Code = 1.5.1</t>
        </is>
      </c>
      <c r="E1115" s="12" t="inlineStr">
        <is>
          <t>R752-v1</t>
        </is>
      </c>
      <c r="F1115" s="12" t="inlineStr">
        <is>
          <t>1.5.1 Testing and Commissioning - Test Readiness</t>
        </is>
      </c>
      <c r="G1115" s="12" t="inlineStr">
        <is>
          <t>ONE_TO_ONE</t>
        </is>
      </c>
      <c r="H1115" s="12" t="inlineStr">
        <is>
          <t>APPROVED</t>
        </is>
      </c>
      <c r="I1115" s="12" t="inlineStr">
        <is>
          <t>New</t>
        </is>
      </c>
      <c r="J1115" s="12" t="inlineStr">
        <is>
          <t>Source assignment -- not individually reviewed</t>
        </is>
      </c>
      <c r="K1115" s="12" t="inlineStr"/>
      <c r="L1115" s="12" t="inlineStr"/>
      <c r="M1115" s="12" t="inlineStr"/>
      <c r="N1115" s="17" t="inlineStr">
        <is>
          <t>10 EVIDENCE &amp; DECISIONS</t>
        </is>
      </c>
    </row>
    <row r="1116" ht="34" customHeight="1">
      <c r="A1116" s="12" t="inlineStr">
        <is>
          <t>Contractor Programme</t>
        </is>
      </c>
      <c r="B1116" s="12" t="inlineStr">
        <is>
          <t>SCH-05-034</t>
        </is>
      </c>
      <c r="C1116" s="12" t="inlineStr">
        <is>
          <t>Control Centre: emergency-response drill - turnover</t>
        </is>
      </c>
      <c r="D1116" s="12" t="inlineStr">
        <is>
          <t>WBS Code = 1.5.1</t>
        </is>
      </c>
      <c r="E1116" s="12" t="inlineStr">
        <is>
          <t>R754-v1</t>
        </is>
      </c>
      <c r="F1116" s="12" t="inlineStr">
        <is>
          <t>1.5.1 Testing and Commissioning - Test Readiness</t>
        </is>
      </c>
      <c r="G1116" s="12" t="inlineStr">
        <is>
          <t>ONE_TO_ONE</t>
        </is>
      </c>
      <c r="H1116" s="12" t="inlineStr">
        <is>
          <t>APPROVED</t>
        </is>
      </c>
      <c r="I1116" s="12" t="inlineStr">
        <is>
          <t>New</t>
        </is>
      </c>
      <c r="J1116" s="12" t="inlineStr">
        <is>
          <t>Source assignment -- not individually reviewed</t>
        </is>
      </c>
      <c r="K1116" s="12" t="inlineStr"/>
      <c r="L1116" s="12" t="inlineStr"/>
      <c r="M1116" s="12" t="inlineStr"/>
      <c r="N1116" s="17" t="inlineStr">
        <is>
          <t>10 EVIDENCE &amp; DECISIONS</t>
        </is>
      </c>
    </row>
    <row r="1117" ht="34" customHeight="1">
      <c r="A1117" s="12" t="inlineStr">
        <is>
          <t>Contractor Programme</t>
        </is>
      </c>
      <c r="B1117" s="12" t="inlineStr">
        <is>
          <t>SCH-05-035</t>
        </is>
      </c>
      <c r="C1117" s="12" t="inlineStr">
        <is>
          <t>Mainline east: defect retest - release</t>
        </is>
      </c>
      <c r="D1117" s="12" t="inlineStr">
        <is>
          <t>WBS Code = 1.5.1</t>
        </is>
      </c>
      <c r="E1117" s="12" t="inlineStr">
        <is>
          <t>R755-v1</t>
        </is>
      </c>
      <c r="F1117" s="12" t="inlineStr">
        <is>
          <t>1.5.1 Testing and Commissioning - Test Readiness</t>
        </is>
      </c>
      <c r="G1117" s="12" t="inlineStr">
        <is>
          <t>ONE_TO_ONE</t>
        </is>
      </c>
      <c r="H1117" s="12" t="inlineStr">
        <is>
          <t>APPROVED</t>
        </is>
      </c>
      <c r="I1117" s="12" t="inlineStr">
        <is>
          <t>New</t>
        </is>
      </c>
      <c r="J1117" s="12" t="inlineStr">
        <is>
          <t>Source assignment -- not individually reviewed</t>
        </is>
      </c>
      <c r="K1117" s="12" t="inlineStr"/>
      <c r="L1117" s="12" t="inlineStr"/>
      <c r="M1117" s="12" t="inlineStr"/>
      <c r="N1117" s="17" t="inlineStr">
        <is>
          <t>10 EVIDENCE &amp; DECISIONS</t>
        </is>
      </c>
    </row>
    <row r="1118" ht="34" customHeight="1">
      <c r="A1118" s="12" t="inlineStr">
        <is>
          <t>Contractor Programme</t>
        </is>
      </c>
      <c r="B1118" s="12" t="inlineStr">
        <is>
          <t>SCH-05-037</t>
        </is>
      </c>
      <c r="C1118" s="12" t="inlineStr">
        <is>
          <t>West terminal: safety certificate evidence closeout - installation</t>
        </is>
      </c>
      <c r="D1118" s="12" t="inlineStr">
        <is>
          <t>WBS Code = 1.5.1</t>
        </is>
      </c>
      <c r="E1118" s="12" t="inlineStr">
        <is>
          <t>R757-v1</t>
        </is>
      </c>
      <c r="F1118" s="12" t="inlineStr">
        <is>
          <t>1.5.1 Testing and Commissioning - Test Readiness</t>
        </is>
      </c>
      <c r="G1118" s="12" t="inlineStr">
        <is>
          <t>ONE_TO_ONE</t>
        </is>
      </c>
      <c r="H1118" s="12" t="inlineStr">
        <is>
          <t>APPROVED</t>
        </is>
      </c>
      <c r="I1118" s="12" t="inlineStr">
        <is>
          <t>New</t>
        </is>
      </c>
      <c r="J1118" s="12" t="inlineStr">
        <is>
          <t>Source assignment -- not individually reviewed</t>
        </is>
      </c>
      <c r="K1118" s="12" t="inlineStr"/>
      <c r="L1118" s="12" t="inlineStr"/>
      <c r="M1118" s="12" t="inlineStr"/>
      <c r="N1118" s="17" t="inlineStr">
        <is>
          <t>10 EVIDENCE &amp; DECISIONS</t>
        </is>
      </c>
    </row>
    <row r="1119" ht="34" customHeight="1">
      <c r="A1119" s="12" t="inlineStr">
        <is>
          <t>Contractor Programme</t>
        </is>
      </c>
      <c r="B1119" s="12" t="inlineStr">
        <is>
          <t>SCH-05-038</t>
        </is>
      </c>
      <c r="C1119" s="12" t="inlineStr">
        <is>
          <t>Depot: service-readiness review - inspection</t>
        </is>
      </c>
      <c r="D1119" s="12" t="inlineStr">
        <is>
          <t>WBS Code = 1.5.1</t>
        </is>
      </c>
      <c r="E1119" s="12" t="inlineStr">
        <is>
          <t>R758-v1</t>
        </is>
      </c>
      <c r="F1119" s="12" t="inlineStr">
        <is>
          <t>1.5.1 Testing and Commissioning - Test Readiness</t>
        </is>
      </c>
      <c r="G1119" s="12" t="inlineStr">
        <is>
          <t>ONE_TO_ONE</t>
        </is>
      </c>
      <c r="H1119" s="12" t="inlineStr">
        <is>
          <t>APPROVED</t>
        </is>
      </c>
      <c r="I1119" s="12" t="inlineStr">
        <is>
          <t>New</t>
        </is>
      </c>
      <c r="J1119" s="12" t="inlineStr">
        <is>
          <t>Source assignment -- not individually reviewed</t>
        </is>
      </c>
      <c r="K1119" s="12" t="inlineStr"/>
      <c r="L1119" s="12" t="inlineStr"/>
      <c r="M1119" s="12" t="inlineStr"/>
      <c r="N1119" s="17" t="inlineStr">
        <is>
          <t>10 EVIDENCE &amp; DECISIONS</t>
        </is>
      </c>
    </row>
    <row r="1120" ht="34" customHeight="1">
      <c r="A1120" s="12" t="inlineStr">
        <is>
          <t>Contractor Programme</t>
        </is>
      </c>
      <c r="B1120" s="12" t="inlineStr">
        <is>
          <t>SCH-05-040</t>
        </is>
      </c>
      <c r="C1120" s="12" t="inlineStr">
        <is>
          <t>Mainline east: trial-running shift - release</t>
        </is>
      </c>
      <c r="D1120" s="12" t="inlineStr">
        <is>
          <t>WBS Code = 1.5.1</t>
        </is>
      </c>
      <c r="E1120" s="12" t="inlineStr">
        <is>
          <t>R760-v1</t>
        </is>
      </c>
      <c r="F1120" s="12" t="inlineStr">
        <is>
          <t>1.5.1 Testing and Commissioning - Test Readiness</t>
        </is>
      </c>
      <c r="G1120" s="12" t="inlineStr">
        <is>
          <t>ONE_TO_ONE</t>
        </is>
      </c>
      <c r="H1120" s="12" t="inlineStr">
        <is>
          <t>APPROVED</t>
        </is>
      </c>
      <c r="I1120" s="12" t="inlineStr">
        <is>
          <t>New</t>
        </is>
      </c>
      <c r="J1120" s="12" t="inlineStr">
        <is>
          <t>Source assignment -- not individually reviewed</t>
        </is>
      </c>
      <c r="K1120" s="12" t="inlineStr"/>
      <c r="L1120" s="12" t="inlineStr"/>
      <c r="M1120" s="12" t="inlineStr"/>
      <c r="N1120" s="17" t="inlineStr">
        <is>
          <t>10 EVIDENCE &amp; DECISIONS</t>
        </is>
      </c>
    </row>
    <row r="1121" ht="34" customHeight="1">
      <c r="A1121" s="12" t="inlineStr">
        <is>
          <t>Contractor Programme</t>
        </is>
      </c>
      <c r="B1121" s="12" t="inlineStr">
        <is>
          <t>SCH-05-041</t>
        </is>
      </c>
      <c r="C1121" s="12" t="inlineStr">
        <is>
          <t>Central section: test procedure readiness review - field start</t>
        </is>
      </c>
      <c r="D1121" s="12" t="inlineStr">
        <is>
          <t>WBS Code = 1.5.1</t>
        </is>
      </c>
      <c r="E1121" s="12" t="inlineStr">
        <is>
          <t>R761-v1</t>
        </is>
      </c>
      <c r="F1121" s="12" t="inlineStr">
        <is>
          <t>1.5.1 Testing and Commissioning - Test Readiness</t>
        </is>
      </c>
      <c r="G1121" s="12" t="inlineStr">
        <is>
          <t>ONE_TO_ONE</t>
        </is>
      </c>
      <c r="H1121" s="12" t="inlineStr">
        <is>
          <t>APPROVED</t>
        </is>
      </c>
      <c r="I1121" s="12" t="inlineStr">
        <is>
          <t>New</t>
        </is>
      </c>
      <c r="J1121" s="12" t="inlineStr">
        <is>
          <t>Source assignment -- not individually reviewed</t>
        </is>
      </c>
      <c r="K1121" s="12" t="inlineStr"/>
      <c r="L1121" s="12" t="inlineStr"/>
      <c r="M1121" s="12" t="inlineStr"/>
      <c r="N1121" s="17" t="inlineStr">
        <is>
          <t>10 EVIDENCE &amp; DECISIONS</t>
        </is>
      </c>
    </row>
    <row r="1122" ht="34" customHeight="1">
      <c r="A1122" s="12" t="inlineStr">
        <is>
          <t>Contractor Programme</t>
        </is>
      </c>
      <c r="B1122" s="12" t="inlineStr">
        <is>
          <t>SCH-05-043</t>
        </is>
      </c>
      <c r="C1122" s="12" t="inlineStr">
        <is>
          <t>Depot: defect retest - inspection</t>
        </is>
      </c>
      <c r="D1122" s="12" t="inlineStr">
        <is>
          <t>WBS Code = 1.5.1</t>
        </is>
      </c>
      <c r="E1122" s="12" t="inlineStr">
        <is>
          <t>R763-v1</t>
        </is>
      </c>
      <c r="F1122" s="12" t="inlineStr">
        <is>
          <t>1.5.1 Testing and Commissioning - Test Readiness</t>
        </is>
      </c>
      <c r="G1122" s="12" t="inlineStr">
        <is>
          <t>ONE_TO_ONE</t>
        </is>
      </c>
      <c r="H1122" s="12" t="inlineStr">
        <is>
          <t>APPROVED</t>
        </is>
      </c>
      <c r="I1122" s="12" t="inlineStr">
        <is>
          <t>New</t>
        </is>
      </c>
      <c r="J1122" s="12" t="inlineStr">
        <is>
          <t>Source assignment -- not individually reviewed</t>
        </is>
      </c>
      <c r="K1122" s="12" t="inlineStr"/>
      <c r="L1122" s="12" t="inlineStr"/>
      <c r="M1122" s="12" t="inlineStr"/>
      <c r="N1122" s="17" t="inlineStr">
        <is>
          <t>10 EVIDENCE &amp; DECISIONS</t>
        </is>
      </c>
    </row>
    <row r="1123" ht="34" customHeight="1">
      <c r="A1123" s="12" t="inlineStr">
        <is>
          <t>Contractor Programme</t>
        </is>
      </c>
      <c r="B1123" s="12" t="inlineStr">
        <is>
          <t>SCH-05-044</t>
        </is>
      </c>
      <c r="C1123" s="12" t="inlineStr">
        <is>
          <t>Control Centre: mainline dynamic test - turnover</t>
        </is>
      </c>
      <c r="D1123" s="12" t="inlineStr">
        <is>
          <t>WBS Code = 1.5.1</t>
        </is>
      </c>
      <c r="E1123" s="12" t="inlineStr">
        <is>
          <t>R764-v1</t>
        </is>
      </c>
      <c r="F1123" s="12" t="inlineStr">
        <is>
          <t>1.5.1 Testing and Commissioning - Test Readiness</t>
        </is>
      </c>
      <c r="G1123" s="12" t="inlineStr">
        <is>
          <t>ONE_TO_ONE</t>
        </is>
      </c>
      <c r="H1123" s="12" t="inlineStr">
        <is>
          <t>APPROVED</t>
        </is>
      </c>
      <c r="I1123" s="12" t="inlineStr">
        <is>
          <t>New</t>
        </is>
      </c>
      <c r="J1123" s="12" t="inlineStr">
        <is>
          <t>Source assignment -- not individually reviewed</t>
        </is>
      </c>
      <c r="K1123" s="12" t="inlineStr"/>
      <c r="L1123" s="12" t="inlineStr"/>
      <c r="M1123" s="12" t="inlineStr"/>
      <c r="N1123" s="17" t="inlineStr">
        <is>
          <t>10 EVIDENCE &amp; DECISIONS</t>
        </is>
      </c>
    </row>
    <row r="1124" ht="34" customHeight="1">
      <c r="A1124" s="12" t="inlineStr">
        <is>
          <t>Contractor Programme</t>
        </is>
      </c>
      <c r="B1124" s="12" t="inlineStr">
        <is>
          <t>SCH-05-046</t>
        </is>
      </c>
      <c r="C1124" s="12" t="inlineStr">
        <is>
          <t>Central section: service-readiness review - field start</t>
        </is>
      </c>
      <c r="D1124" s="12" t="inlineStr">
        <is>
          <t>WBS Code = 1.5.1</t>
        </is>
      </c>
      <c r="E1124" s="12" t="inlineStr">
        <is>
          <t>R766-v1</t>
        </is>
      </c>
      <c r="F1124" s="12" t="inlineStr">
        <is>
          <t>1.5.1 Testing and Commissioning - Test Readiness</t>
        </is>
      </c>
      <c r="G1124" s="12" t="inlineStr">
        <is>
          <t>ONE_TO_ONE</t>
        </is>
      </c>
      <c r="H1124" s="12" t="inlineStr">
        <is>
          <t>APPROVED</t>
        </is>
      </c>
      <c r="I1124" s="12" t="inlineStr">
        <is>
          <t>New</t>
        </is>
      </c>
      <c r="J1124" s="12" t="inlineStr">
        <is>
          <t>Source assignment -- not individually reviewed</t>
        </is>
      </c>
      <c r="K1124" s="12" t="inlineStr"/>
      <c r="L1124" s="12" t="inlineStr"/>
      <c r="M1124" s="12" t="inlineStr"/>
      <c r="N1124" s="17" t="inlineStr">
        <is>
          <t>10 EVIDENCE &amp; DECISIONS</t>
        </is>
      </c>
    </row>
    <row r="1125" ht="34" customHeight="1">
      <c r="A1125" s="12" t="inlineStr">
        <is>
          <t>Contractor Programme</t>
        </is>
      </c>
      <c r="B1125" s="12" t="inlineStr">
        <is>
          <t>SCH-05-047</t>
        </is>
      </c>
      <c r="C1125" s="12" t="inlineStr">
        <is>
          <t>West terminal: station integrated test - installation</t>
        </is>
      </c>
      <c r="D1125" s="12" t="inlineStr">
        <is>
          <t>WBS Code = 1.5.1</t>
        </is>
      </c>
      <c r="E1125" s="12" t="inlineStr">
        <is>
          <t>R767-v1</t>
        </is>
      </c>
      <c r="F1125" s="12" t="inlineStr">
        <is>
          <t>1.5.1 Testing and Commissioning - Test Readiness</t>
        </is>
      </c>
      <c r="G1125" s="12" t="inlineStr">
        <is>
          <t>ONE_TO_ONE</t>
        </is>
      </c>
      <c r="H1125" s="12" t="inlineStr">
        <is>
          <t>APPROVED</t>
        </is>
      </c>
      <c r="I1125" s="12" t="inlineStr">
        <is>
          <t>New</t>
        </is>
      </c>
      <c r="J1125" s="12" t="inlineStr">
        <is>
          <t>Source assignment -- not individually reviewed</t>
        </is>
      </c>
      <c r="K1125" s="12" t="inlineStr"/>
      <c r="L1125" s="12" t="inlineStr"/>
      <c r="M1125" s="12" t="inlineStr"/>
      <c r="N1125" s="17" t="inlineStr">
        <is>
          <t>10 EVIDENCE &amp; DECISIONS</t>
        </is>
      </c>
    </row>
    <row r="1126" ht="34" customHeight="1">
      <c r="A1126" s="12" t="inlineStr">
        <is>
          <t>Contractor Programme</t>
        </is>
      </c>
      <c r="B1126" s="12" t="inlineStr">
        <is>
          <t>SCH-05-049</t>
        </is>
      </c>
      <c r="C1126" s="12" t="inlineStr">
        <is>
          <t>Control Centre: test procedure readiness review - turnover</t>
        </is>
      </c>
      <c r="D1126" s="12" t="inlineStr">
        <is>
          <t>WBS Code = 1.5.1</t>
        </is>
      </c>
      <c r="E1126" s="12" t="inlineStr">
        <is>
          <t>R769-v1</t>
        </is>
      </c>
      <c r="F1126" s="12" t="inlineStr">
        <is>
          <t>1.5.1 Testing and Commissioning - Test Readiness</t>
        </is>
      </c>
      <c r="G1126" s="12" t="inlineStr">
        <is>
          <t>ONE_TO_ONE</t>
        </is>
      </c>
      <c r="H1126" s="12" t="inlineStr">
        <is>
          <t>APPROVED</t>
        </is>
      </c>
      <c r="I1126" s="12" t="inlineStr">
        <is>
          <t>New</t>
        </is>
      </c>
      <c r="J1126" s="12" t="inlineStr">
        <is>
          <t>Source assignment -- not individually reviewed</t>
        </is>
      </c>
      <c r="K1126" s="12" t="inlineStr"/>
      <c r="L1126" s="12" t="inlineStr"/>
      <c r="M1126" s="12" t="inlineStr"/>
      <c r="N1126" s="17" t="inlineStr">
        <is>
          <t>10 EVIDENCE &amp; DECISIONS</t>
        </is>
      </c>
    </row>
    <row r="1127" ht="34" customHeight="1">
      <c r="A1127" s="12" t="inlineStr">
        <is>
          <t>Contractor Programme</t>
        </is>
      </c>
      <c r="B1127" s="12" t="inlineStr">
        <is>
          <t>SCH-05-050</t>
        </is>
      </c>
      <c r="C1127" s="12" t="inlineStr">
        <is>
          <t>Mainline east: emergency-response drill - release</t>
        </is>
      </c>
      <c r="D1127" s="12" t="inlineStr">
        <is>
          <t>WBS Code = 1.5.1</t>
        </is>
      </c>
      <c r="E1127" s="12" t="inlineStr">
        <is>
          <t>R770-v1</t>
        </is>
      </c>
      <c r="F1127" s="12" t="inlineStr">
        <is>
          <t>1.5.1 Testing and Commissioning - Test Readiness</t>
        </is>
      </c>
      <c r="G1127" s="12" t="inlineStr">
        <is>
          <t>ONE_TO_ONE</t>
        </is>
      </c>
      <c r="H1127" s="12" t="inlineStr">
        <is>
          <t>APPROVED</t>
        </is>
      </c>
      <c r="I1127" s="12" t="inlineStr">
        <is>
          <t>New</t>
        </is>
      </c>
      <c r="J1127" s="12" t="inlineStr">
        <is>
          <t>Source assignment -- not individually reviewed</t>
        </is>
      </c>
      <c r="K1127" s="12" t="inlineStr"/>
      <c r="L1127" s="12" t="inlineStr"/>
      <c r="M1127" s="12" t="inlineStr"/>
      <c r="N1127" s="17" t="inlineStr">
        <is>
          <t>10 EVIDENCE &amp; DECISIONS</t>
        </is>
      </c>
    </row>
    <row r="1128" ht="34" customHeight="1">
      <c r="A1128" s="12" t="inlineStr">
        <is>
          <t>Contractor Programme</t>
        </is>
      </c>
      <c r="B1128" s="12" t="inlineStr">
        <is>
          <t>SCH-05-052</t>
        </is>
      </c>
      <c r="C1128" s="12" t="inlineStr">
        <is>
          <t>West terminal: mainline dynamic test - installation</t>
        </is>
      </c>
      <c r="D1128" s="12" t="inlineStr">
        <is>
          <t>WBS Code = 1.5.1</t>
        </is>
      </c>
      <c r="E1128" s="12" t="inlineStr">
        <is>
          <t>R772-v1</t>
        </is>
      </c>
      <c r="F1128" s="12" t="inlineStr">
        <is>
          <t>1.5.1 Testing and Commissioning - Test Readiness</t>
        </is>
      </c>
      <c r="G1128" s="12" t="inlineStr">
        <is>
          <t>ONE_TO_ONE</t>
        </is>
      </c>
      <c r="H1128" s="12" t="inlineStr">
        <is>
          <t>APPROVED</t>
        </is>
      </c>
      <c r="I1128" s="12" t="inlineStr">
        <is>
          <t>New</t>
        </is>
      </c>
      <c r="J1128" s="12" t="inlineStr">
        <is>
          <t>Source assignment -- not individually reviewed</t>
        </is>
      </c>
      <c r="K1128" s="12" t="inlineStr"/>
      <c r="L1128" s="12" t="inlineStr"/>
      <c r="M1128" s="12" t="inlineStr"/>
      <c r="N1128" s="17" t="inlineStr">
        <is>
          <t>10 EVIDENCE &amp; DECISIONS</t>
        </is>
      </c>
    </row>
    <row r="1129" ht="34" customHeight="1">
      <c r="A1129" s="12" t="inlineStr">
        <is>
          <t>Contractor Programme</t>
        </is>
      </c>
      <c r="B1129" s="12" t="inlineStr">
        <is>
          <t>SCH-05-053</t>
        </is>
      </c>
      <c r="C1129" s="12" t="inlineStr">
        <is>
          <t>Depot: safety certificate evidence closeout - inspection</t>
        </is>
      </c>
      <c r="D1129" s="12" t="inlineStr">
        <is>
          <t>WBS Code = 1.5.1</t>
        </is>
      </c>
      <c r="E1129" s="12" t="inlineStr">
        <is>
          <t>R773-v1</t>
        </is>
      </c>
      <c r="F1129" s="12" t="inlineStr">
        <is>
          <t>1.5.1 Testing and Commissioning - Test Readiness</t>
        </is>
      </c>
      <c r="G1129" s="12" t="inlineStr">
        <is>
          <t>ONE_TO_ONE</t>
        </is>
      </c>
      <c r="H1129" s="12" t="inlineStr">
        <is>
          <t>APPROVED</t>
        </is>
      </c>
      <c r="I1129" s="12" t="inlineStr">
        <is>
          <t>New</t>
        </is>
      </c>
      <c r="J1129" s="12" t="inlineStr">
        <is>
          <t>Source assignment -- not individually reviewed</t>
        </is>
      </c>
      <c r="K1129" s="12" t="inlineStr"/>
      <c r="L1129" s="12" t="inlineStr"/>
      <c r="M1129" s="12" t="inlineStr"/>
      <c r="N1129" s="17" t="inlineStr">
        <is>
          <t>10 EVIDENCE &amp; DECISIONS</t>
        </is>
      </c>
    </row>
    <row r="1130" ht="34" customHeight="1">
      <c r="A1130" s="12" t="inlineStr">
        <is>
          <t>Contractor Programme</t>
        </is>
      </c>
      <c r="B1130" s="12" t="inlineStr">
        <is>
          <t>SCH-05-055</t>
        </is>
      </c>
      <c r="C1130" s="12" t="inlineStr">
        <is>
          <t>Mainline east: station integrated test - release</t>
        </is>
      </c>
      <c r="D1130" s="12" t="inlineStr">
        <is>
          <t>WBS Code = 1.5.1</t>
        </is>
      </c>
      <c r="E1130" s="12" t="inlineStr">
        <is>
          <t>R775-v1</t>
        </is>
      </c>
      <c r="F1130" s="12" t="inlineStr">
        <is>
          <t>1.5.1 Testing and Commissioning - Test Readiness</t>
        </is>
      </c>
      <c r="G1130" s="12" t="inlineStr">
        <is>
          <t>ONE_TO_ONE</t>
        </is>
      </c>
      <c r="H1130" s="12" t="inlineStr">
        <is>
          <t>APPROVED</t>
        </is>
      </c>
      <c r="I1130" s="12" t="inlineStr">
        <is>
          <t>New</t>
        </is>
      </c>
      <c r="J1130" s="12" t="inlineStr">
        <is>
          <t>Source assignment -- not individually reviewed</t>
        </is>
      </c>
      <c r="K1130" s="12" t="inlineStr"/>
      <c r="L1130" s="12" t="inlineStr"/>
      <c r="M1130" s="12" t="inlineStr"/>
      <c r="N1130" s="17" t="inlineStr">
        <is>
          <t>10 EVIDENCE &amp; DECISIONS</t>
        </is>
      </c>
    </row>
    <row r="1131" ht="34" customHeight="1">
      <c r="A1131" s="12" t="inlineStr">
        <is>
          <t>Contractor Programme</t>
        </is>
      </c>
      <c r="B1131" s="12" t="inlineStr">
        <is>
          <t>SCH-05-056</t>
        </is>
      </c>
      <c r="C1131" s="12" t="inlineStr">
        <is>
          <t>Central section: trial-running shift - field start</t>
        </is>
      </c>
      <c r="D1131" s="12" t="inlineStr">
        <is>
          <t>WBS Code = 1.5.1</t>
        </is>
      </c>
      <c r="E1131" s="12" t="inlineStr">
        <is>
          <t>R776-v1</t>
        </is>
      </c>
      <c r="F1131" s="12" t="inlineStr">
        <is>
          <t>1.5.1 Testing and Commissioning - Test Readiness</t>
        </is>
      </c>
      <c r="G1131" s="12" t="inlineStr">
        <is>
          <t>ONE_TO_ONE</t>
        </is>
      </c>
      <c r="H1131" s="12" t="inlineStr">
        <is>
          <t>APPROVED</t>
        </is>
      </c>
      <c r="I1131" s="12" t="inlineStr">
        <is>
          <t>New</t>
        </is>
      </c>
      <c r="J1131" s="12" t="inlineStr">
        <is>
          <t>Source assignment -- not individually reviewed</t>
        </is>
      </c>
      <c r="K1131" s="12" t="inlineStr"/>
      <c r="L1131" s="12" t="inlineStr"/>
      <c r="M1131" s="12" t="inlineStr"/>
      <c r="N1131" s="17" t="inlineStr">
        <is>
          <t>10 EVIDENCE &amp; DECISIONS</t>
        </is>
      </c>
    </row>
    <row r="1132" ht="34" customHeight="1">
      <c r="A1132" s="12" t="inlineStr">
        <is>
          <t>Contractor Programme</t>
        </is>
      </c>
      <c r="B1132" s="12" t="inlineStr">
        <is>
          <t>SCH-05-058</t>
        </is>
      </c>
      <c r="C1132" s="12" t="inlineStr">
        <is>
          <t>Depot: emergency-response drill - inspection</t>
        </is>
      </c>
      <c r="D1132" s="12" t="inlineStr">
        <is>
          <t>WBS Code = 1.5.1</t>
        </is>
      </c>
      <c r="E1132" s="12" t="inlineStr">
        <is>
          <t>R778-v1</t>
        </is>
      </c>
      <c r="F1132" s="12" t="inlineStr">
        <is>
          <t>1.5.1 Testing and Commissioning - Test Readiness</t>
        </is>
      </c>
      <c r="G1132" s="12" t="inlineStr">
        <is>
          <t>ONE_TO_ONE</t>
        </is>
      </c>
      <c r="H1132" s="12" t="inlineStr">
        <is>
          <t>APPROVED</t>
        </is>
      </c>
      <c r="I1132" s="12" t="inlineStr">
        <is>
          <t>New</t>
        </is>
      </c>
      <c r="J1132" s="12" t="inlineStr">
        <is>
          <t>Source assignment -- not individually reviewed</t>
        </is>
      </c>
      <c r="K1132" s="12" t="inlineStr"/>
      <c r="L1132" s="12" t="inlineStr"/>
      <c r="M1132" s="12" t="inlineStr"/>
      <c r="N1132" s="17" t="inlineStr">
        <is>
          <t>10 EVIDENCE &amp; DECISIONS</t>
        </is>
      </c>
    </row>
    <row r="1133" ht="34" customHeight="1">
      <c r="A1133" s="12" t="inlineStr">
        <is>
          <t>Contractor Programme</t>
        </is>
      </c>
      <c r="B1133" s="12" t="inlineStr">
        <is>
          <t>SCH-05-059</t>
        </is>
      </c>
      <c r="C1133" s="12" t="inlineStr">
        <is>
          <t>Control Centre: defect retest - turnover</t>
        </is>
      </c>
      <c r="D1133" s="12" t="inlineStr">
        <is>
          <t>WBS Code = 1.5.1</t>
        </is>
      </c>
      <c r="E1133" s="12" t="inlineStr">
        <is>
          <t>R779-v1</t>
        </is>
      </c>
      <c r="F1133" s="12" t="inlineStr">
        <is>
          <t>1.5.1 Testing and Commissioning - Test Readiness</t>
        </is>
      </c>
      <c r="G1133" s="12" t="inlineStr">
        <is>
          <t>ONE_TO_ONE</t>
        </is>
      </c>
      <c r="H1133" s="12" t="inlineStr">
        <is>
          <t>APPROVED</t>
        </is>
      </c>
      <c r="I1133" s="12" t="inlineStr">
        <is>
          <t>New</t>
        </is>
      </c>
      <c r="J1133" s="12" t="inlineStr">
        <is>
          <t>Source assignment -- not individually reviewed</t>
        </is>
      </c>
      <c r="K1133" s="12" t="inlineStr"/>
      <c r="L1133" s="12" t="inlineStr"/>
      <c r="M1133" s="12" t="inlineStr"/>
      <c r="N1133" s="17" t="inlineStr">
        <is>
          <t>10 EVIDENCE &amp; DECISIONS</t>
        </is>
      </c>
    </row>
    <row r="1134" ht="34" customHeight="1">
      <c r="A1134" s="12" t="inlineStr">
        <is>
          <t>Contractor Programme</t>
        </is>
      </c>
      <c r="B1134" s="12" t="inlineStr">
        <is>
          <t>SCH-05-061</t>
        </is>
      </c>
      <c r="C1134" s="12" t="inlineStr">
        <is>
          <t>Central section: safety certificate evidence closeout - field start</t>
        </is>
      </c>
      <c r="D1134" s="12" t="inlineStr">
        <is>
          <t>WBS Code = 1.5.1</t>
        </is>
      </c>
      <c r="E1134" s="12" t="inlineStr">
        <is>
          <t>R781-v1</t>
        </is>
      </c>
      <c r="F1134" s="12" t="inlineStr">
        <is>
          <t>1.5.1 Testing and Commissioning - Test Readiness</t>
        </is>
      </c>
      <c r="G1134" s="12" t="inlineStr">
        <is>
          <t>ONE_TO_ONE</t>
        </is>
      </c>
      <c r="H1134" s="12" t="inlineStr">
        <is>
          <t>APPROVED</t>
        </is>
      </c>
      <c r="I1134" s="12" t="inlineStr">
        <is>
          <t>New</t>
        </is>
      </c>
      <c r="J1134" s="12" t="inlineStr">
        <is>
          <t>Source assignment -- not individually reviewed</t>
        </is>
      </c>
      <c r="K1134" s="12" t="inlineStr"/>
      <c r="L1134" s="12" t="inlineStr"/>
      <c r="M1134" s="12" t="inlineStr"/>
      <c r="N1134" s="17" t="inlineStr">
        <is>
          <t>10 EVIDENCE &amp; DECISIONS</t>
        </is>
      </c>
    </row>
    <row r="1135" ht="34" customHeight="1">
      <c r="A1135" s="12" t="inlineStr">
        <is>
          <t>Contractor Programme</t>
        </is>
      </c>
      <c r="B1135" s="12" t="inlineStr">
        <is>
          <t>SCH-05-062</t>
        </is>
      </c>
      <c r="C1135" s="12" t="inlineStr">
        <is>
          <t>West terminal: service-readiness review - installation</t>
        </is>
      </c>
      <c r="D1135" s="12" t="inlineStr">
        <is>
          <t>WBS Code = 1.5.1</t>
        </is>
      </c>
      <c r="E1135" s="12" t="inlineStr">
        <is>
          <t>R782-v1</t>
        </is>
      </c>
      <c r="F1135" s="12" t="inlineStr">
        <is>
          <t>1.5.1 Testing and Commissioning - Test Readiness</t>
        </is>
      </c>
      <c r="G1135" s="12" t="inlineStr">
        <is>
          <t>ONE_TO_ONE</t>
        </is>
      </c>
      <c r="H1135" s="12" t="inlineStr">
        <is>
          <t>APPROVED</t>
        </is>
      </c>
      <c r="I1135" s="12" t="inlineStr">
        <is>
          <t>New</t>
        </is>
      </c>
      <c r="J1135" s="12" t="inlineStr">
        <is>
          <t>Source assignment -- not individually reviewed</t>
        </is>
      </c>
      <c r="K1135" s="12" t="inlineStr"/>
      <c r="L1135" s="12" t="inlineStr"/>
      <c r="M1135" s="12" t="inlineStr"/>
      <c r="N1135" s="17" t="inlineStr">
        <is>
          <t>10 EVIDENCE &amp; DECISIONS</t>
        </is>
      </c>
    </row>
    <row r="1136" ht="34" customHeight="1">
      <c r="A1136" s="12" t="inlineStr">
        <is>
          <t>Contractor Programme</t>
        </is>
      </c>
      <c r="B1136" s="12" t="inlineStr">
        <is>
          <t>SCH-05-064</t>
        </is>
      </c>
      <c r="C1136" s="12" t="inlineStr">
        <is>
          <t>Control Centre: trial-running shift - turnover</t>
        </is>
      </c>
      <c r="D1136" s="12" t="inlineStr">
        <is>
          <t>WBS Code = 1.5.1</t>
        </is>
      </c>
      <c r="E1136" s="12" t="inlineStr">
        <is>
          <t>R784-v1</t>
        </is>
      </c>
      <c r="F1136" s="12" t="inlineStr">
        <is>
          <t>1.5.1 Testing and Commissioning - Test Readiness</t>
        </is>
      </c>
      <c r="G1136" s="12" t="inlineStr">
        <is>
          <t>ONE_TO_ONE</t>
        </is>
      </c>
      <c r="H1136" s="12" t="inlineStr">
        <is>
          <t>APPROVED</t>
        </is>
      </c>
      <c r="I1136" s="12" t="inlineStr">
        <is>
          <t>New</t>
        </is>
      </c>
      <c r="J1136" s="12" t="inlineStr">
        <is>
          <t>Source assignment -- not individually reviewed</t>
        </is>
      </c>
      <c r="K1136" s="12" t="inlineStr"/>
      <c r="L1136" s="12" t="inlineStr"/>
      <c r="M1136" s="12" t="inlineStr"/>
      <c r="N1136" s="17" t="inlineStr">
        <is>
          <t>10 EVIDENCE &amp; DECISIONS</t>
        </is>
      </c>
    </row>
    <row r="1137" ht="34" customHeight="1">
      <c r="A1137" s="12" t="inlineStr">
        <is>
          <t>Contractor Programme</t>
        </is>
      </c>
      <c r="B1137" s="12" t="inlineStr">
        <is>
          <t>SCH-05-065</t>
        </is>
      </c>
      <c r="C1137" s="12" t="inlineStr">
        <is>
          <t>Mainline east: test procedure readiness review - release</t>
        </is>
      </c>
      <c r="D1137" s="12" t="inlineStr">
        <is>
          <t>WBS Code = 1.5.1</t>
        </is>
      </c>
      <c r="E1137" s="12" t="inlineStr">
        <is>
          <t>R785-v1</t>
        </is>
      </c>
      <c r="F1137" s="12" t="inlineStr">
        <is>
          <t>1.5.1 Testing and Commissioning - Test Readiness</t>
        </is>
      </c>
      <c r="G1137" s="12" t="inlineStr">
        <is>
          <t>ONE_TO_ONE</t>
        </is>
      </c>
      <c r="H1137" s="12" t="inlineStr">
        <is>
          <t>APPROVED</t>
        </is>
      </c>
      <c r="I1137" s="12" t="inlineStr">
        <is>
          <t>New</t>
        </is>
      </c>
      <c r="J1137" s="12" t="inlineStr">
        <is>
          <t>Source assignment -- not individually reviewed</t>
        </is>
      </c>
      <c r="K1137" s="12" t="inlineStr"/>
      <c r="L1137" s="12" t="inlineStr"/>
      <c r="M1137" s="12" t="inlineStr"/>
      <c r="N1137" s="17" t="inlineStr">
        <is>
          <t>10 EVIDENCE &amp; DECISIONS</t>
        </is>
      </c>
    </row>
    <row r="1138" ht="34" customHeight="1">
      <c r="A1138" s="12" t="inlineStr">
        <is>
          <t>Contractor Programme</t>
        </is>
      </c>
      <c r="B1138" s="12" t="inlineStr">
        <is>
          <t>SCH-05-067</t>
        </is>
      </c>
      <c r="C1138" s="12" t="inlineStr">
        <is>
          <t>West terminal: defect retest - installation</t>
        </is>
      </c>
      <c r="D1138" s="12" t="inlineStr">
        <is>
          <t>WBS Code = 1.5.1</t>
        </is>
      </c>
      <c r="E1138" s="12" t="inlineStr">
        <is>
          <t>R787-v1</t>
        </is>
      </c>
      <c r="F1138" s="12" t="inlineStr">
        <is>
          <t>1.5.1 Testing and Commissioning - Test Readiness</t>
        </is>
      </c>
      <c r="G1138" s="12" t="inlineStr">
        <is>
          <t>ONE_TO_ONE</t>
        </is>
      </c>
      <c r="H1138" s="12" t="inlineStr">
        <is>
          <t>APPROVED</t>
        </is>
      </c>
      <c r="I1138" s="12" t="inlineStr">
        <is>
          <t>New</t>
        </is>
      </c>
      <c r="J1138" s="12" t="inlineStr">
        <is>
          <t>Source assignment -- not individually reviewed</t>
        </is>
      </c>
      <c r="K1138" s="12" t="inlineStr"/>
      <c r="L1138" s="12" t="inlineStr"/>
      <c r="M1138" s="12" t="inlineStr"/>
      <c r="N1138" s="17" t="inlineStr">
        <is>
          <t>10 EVIDENCE &amp; DECISIONS</t>
        </is>
      </c>
    </row>
    <row r="1139" ht="34" customHeight="1">
      <c r="A1139" s="12" t="inlineStr">
        <is>
          <t>Contractor Programme</t>
        </is>
      </c>
      <c r="B1139" s="12" t="inlineStr">
        <is>
          <t>SCH-05-068</t>
        </is>
      </c>
      <c r="C1139" s="12" t="inlineStr">
        <is>
          <t>Depot: mainline dynamic test - inspection</t>
        </is>
      </c>
      <c r="D1139" s="12" t="inlineStr">
        <is>
          <t>WBS Code = 1.5.1</t>
        </is>
      </c>
      <c r="E1139" s="12" t="inlineStr">
        <is>
          <t>R788-v1</t>
        </is>
      </c>
      <c r="F1139" s="12" t="inlineStr">
        <is>
          <t>1.5.1 Testing and Commissioning - Test Readiness</t>
        </is>
      </c>
      <c r="G1139" s="12" t="inlineStr">
        <is>
          <t>ONE_TO_ONE</t>
        </is>
      </c>
      <c r="H1139" s="12" t="inlineStr">
        <is>
          <t>APPROVED</t>
        </is>
      </c>
      <c r="I1139" s="12" t="inlineStr">
        <is>
          <t>New</t>
        </is>
      </c>
      <c r="J1139" s="12" t="inlineStr">
        <is>
          <t>Source assignment -- not individually reviewed</t>
        </is>
      </c>
      <c r="K1139" s="12" t="inlineStr"/>
      <c r="L1139" s="12" t="inlineStr"/>
      <c r="M1139" s="12" t="inlineStr"/>
      <c r="N1139" s="17" t="inlineStr">
        <is>
          <t>10 EVIDENCE &amp; DECISIONS</t>
        </is>
      </c>
    </row>
    <row r="1140" ht="34" customHeight="1">
      <c r="A1140" s="12" t="inlineStr">
        <is>
          <t>Contractor Programme</t>
        </is>
      </c>
      <c r="B1140" s="12" t="inlineStr">
        <is>
          <t>SCH-05-070</t>
        </is>
      </c>
      <c r="C1140" s="12" t="inlineStr">
        <is>
          <t>Mainline east: service-readiness review - release</t>
        </is>
      </c>
      <c r="D1140" s="12" t="inlineStr">
        <is>
          <t>WBS Code = 1.5.1</t>
        </is>
      </c>
      <c r="E1140" s="12" t="inlineStr">
        <is>
          <t>R790-v1</t>
        </is>
      </c>
      <c r="F1140" s="12" t="inlineStr">
        <is>
          <t>1.5.1 Testing and Commissioning - Test Readiness</t>
        </is>
      </c>
      <c r="G1140" s="12" t="inlineStr">
        <is>
          <t>ONE_TO_ONE</t>
        </is>
      </c>
      <c r="H1140" s="12" t="inlineStr">
        <is>
          <t>APPROVED</t>
        </is>
      </c>
      <c r="I1140" s="12" t="inlineStr">
        <is>
          <t>New</t>
        </is>
      </c>
      <c r="J1140" s="12" t="inlineStr">
        <is>
          <t>Source assignment -- not individually reviewed</t>
        </is>
      </c>
      <c r="K1140" s="12" t="inlineStr"/>
      <c r="L1140" s="12" t="inlineStr"/>
      <c r="M1140" s="12" t="inlineStr"/>
      <c r="N1140" s="17" t="inlineStr">
        <is>
          <t>10 EVIDENCE &amp; DECISIONS</t>
        </is>
      </c>
    </row>
    <row r="1141" ht="34" customHeight="1">
      <c r="A1141" s="12" t="inlineStr">
        <is>
          <t>Contractor Programme</t>
        </is>
      </c>
      <c r="B1141" s="12" t="inlineStr">
        <is>
          <t>SCH-05-071</t>
        </is>
      </c>
      <c r="C1141" s="12" t="inlineStr">
        <is>
          <t>Central section: station integrated test - field start</t>
        </is>
      </c>
      <c r="D1141" s="12" t="inlineStr">
        <is>
          <t>WBS Code = 1.5.1</t>
        </is>
      </c>
      <c r="E1141" s="12" t="inlineStr">
        <is>
          <t>R791-v1</t>
        </is>
      </c>
      <c r="F1141" s="12" t="inlineStr">
        <is>
          <t>1.5.1 Testing and Commissioning - Test Readiness</t>
        </is>
      </c>
      <c r="G1141" s="12" t="inlineStr">
        <is>
          <t>ONE_TO_ONE</t>
        </is>
      </c>
      <c r="H1141" s="12" t="inlineStr">
        <is>
          <t>APPROVED</t>
        </is>
      </c>
      <c r="I1141" s="12" t="inlineStr">
        <is>
          <t>New</t>
        </is>
      </c>
      <c r="J1141" s="12" t="inlineStr">
        <is>
          <t>Source assignment -- not individually reviewed</t>
        </is>
      </c>
      <c r="K1141" s="12" t="inlineStr"/>
      <c r="L1141" s="12" t="inlineStr"/>
      <c r="M1141" s="12" t="inlineStr"/>
      <c r="N1141" s="17" t="inlineStr">
        <is>
          <t>10 EVIDENCE &amp; DECISIONS</t>
        </is>
      </c>
    </row>
    <row r="1142" ht="34" customHeight="1">
      <c r="A1142" s="12" t="inlineStr">
        <is>
          <t>Contractor Programme</t>
        </is>
      </c>
      <c r="B1142" s="12" t="inlineStr">
        <is>
          <t>SCH-05-073</t>
        </is>
      </c>
      <c r="C1142" s="12" t="inlineStr">
        <is>
          <t>Depot: test procedure readiness review - inspection</t>
        </is>
      </c>
      <c r="D1142" s="12" t="inlineStr">
        <is>
          <t>WBS Code = 1.5.1</t>
        </is>
      </c>
      <c r="E1142" s="12" t="inlineStr">
        <is>
          <t>R793-v1</t>
        </is>
      </c>
      <c r="F1142" s="12" t="inlineStr">
        <is>
          <t>1.5.1 Testing and Commissioning - Test Readiness</t>
        </is>
      </c>
      <c r="G1142" s="12" t="inlineStr">
        <is>
          <t>ONE_TO_ONE</t>
        </is>
      </c>
      <c r="H1142" s="12" t="inlineStr">
        <is>
          <t>APPROVED</t>
        </is>
      </c>
      <c r="I1142" s="12" t="inlineStr">
        <is>
          <t>New</t>
        </is>
      </c>
      <c r="J1142" s="12" t="inlineStr">
        <is>
          <t>Source assignment -- not individually reviewed</t>
        </is>
      </c>
      <c r="K1142" s="12" t="inlineStr"/>
      <c r="L1142" s="12" t="inlineStr"/>
      <c r="M1142" s="12" t="inlineStr"/>
      <c r="N1142" s="17" t="inlineStr">
        <is>
          <t>10 EVIDENCE &amp; DECISIONS</t>
        </is>
      </c>
    </row>
    <row r="1143" ht="34" customHeight="1">
      <c r="A1143" s="12" t="inlineStr">
        <is>
          <t>Contractor Programme</t>
        </is>
      </c>
      <c r="B1143" s="12" t="inlineStr">
        <is>
          <t>SCH-05-074</t>
        </is>
      </c>
      <c r="C1143" s="12" t="inlineStr">
        <is>
          <t>Control Centre: emergency-response drill - turnover</t>
        </is>
      </c>
      <c r="D1143" s="12" t="inlineStr">
        <is>
          <t>WBS Code = 1.5.1</t>
        </is>
      </c>
      <c r="E1143" s="12" t="inlineStr">
        <is>
          <t>R794-v1</t>
        </is>
      </c>
      <c r="F1143" s="12" t="inlineStr">
        <is>
          <t>1.5.1 Testing and Commissioning - Test Readiness</t>
        </is>
      </c>
      <c r="G1143" s="12" t="inlineStr">
        <is>
          <t>ONE_TO_ONE</t>
        </is>
      </c>
      <c r="H1143" s="12" t="inlineStr">
        <is>
          <t>APPROVED</t>
        </is>
      </c>
      <c r="I1143" s="12" t="inlineStr">
        <is>
          <t>New</t>
        </is>
      </c>
      <c r="J1143" s="12" t="inlineStr">
        <is>
          <t>Source assignment -- not individually reviewed</t>
        </is>
      </c>
      <c r="K1143" s="12" t="inlineStr"/>
      <c r="L1143" s="12" t="inlineStr"/>
      <c r="M1143" s="12" t="inlineStr"/>
      <c r="N1143" s="17" t="inlineStr">
        <is>
          <t>10 EVIDENCE &amp; DECISIONS</t>
        </is>
      </c>
    </row>
    <row r="1144" ht="34" customHeight="1">
      <c r="A1144" s="12" t="inlineStr">
        <is>
          <t>Contractor Programme</t>
        </is>
      </c>
      <c r="B1144" s="12" t="inlineStr">
        <is>
          <t>SCH-05-076</t>
        </is>
      </c>
      <c r="C1144" s="12" t="inlineStr">
        <is>
          <t>Central section: mainline dynamic test - field start</t>
        </is>
      </c>
      <c r="D1144" s="12" t="inlineStr">
        <is>
          <t>WBS Code = 1.5.1</t>
        </is>
      </c>
      <c r="E1144" s="12" t="inlineStr">
        <is>
          <t>R796-v1</t>
        </is>
      </c>
      <c r="F1144" s="12" t="inlineStr">
        <is>
          <t>1.5.1 Testing and Commissioning - Test Readiness</t>
        </is>
      </c>
      <c r="G1144" s="12" t="inlineStr">
        <is>
          <t>ONE_TO_ONE</t>
        </is>
      </c>
      <c r="H1144" s="12" t="inlineStr">
        <is>
          <t>APPROVED</t>
        </is>
      </c>
      <c r="I1144" s="12" t="inlineStr">
        <is>
          <t>New</t>
        </is>
      </c>
      <c r="J1144" s="12" t="inlineStr">
        <is>
          <t>Source assignment -- not individually reviewed</t>
        </is>
      </c>
      <c r="K1144" s="12" t="inlineStr"/>
      <c r="L1144" s="12" t="inlineStr"/>
      <c r="M1144" s="12" t="inlineStr"/>
      <c r="N1144" s="17" t="inlineStr">
        <is>
          <t>10 EVIDENCE &amp; DECISIONS</t>
        </is>
      </c>
    </row>
    <row r="1145" ht="34" customHeight="1">
      <c r="A1145" s="12" t="inlineStr">
        <is>
          <t>Contractor Programme</t>
        </is>
      </c>
      <c r="B1145" s="12" t="inlineStr">
        <is>
          <t>SCH-05-077</t>
        </is>
      </c>
      <c r="C1145" s="12" t="inlineStr">
        <is>
          <t>West terminal: safety certificate evidence closeout - installation</t>
        </is>
      </c>
      <c r="D1145" s="12" t="inlineStr">
        <is>
          <t>WBS Code = 1.5.1</t>
        </is>
      </c>
      <c r="E1145" s="12" t="inlineStr">
        <is>
          <t>R797-v1</t>
        </is>
      </c>
      <c r="F1145" s="12" t="inlineStr">
        <is>
          <t>1.5.1 Testing and Commissioning - Test Readiness</t>
        </is>
      </c>
      <c r="G1145" s="12" t="inlineStr">
        <is>
          <t>ONE_TO_ONE</t>
        </is>
      </c>
      <c r="H1145" s="12" t="inlineStr">
        <is>
          <t>APPROVED</t>
        </is>
      </c>
      <c r="I1145" s="12" t="inlineStr">
        <is>
          <t>New</t>
        </is>
      </c>
      <c r="J1145" s="12" t="inlineStr">
        <is>
          <t>Source assignment -- not individually reviewed</t>
        </is>
      </c>
      <c r="K1145" s="12" t="inlineStr"/>
      <c r="L1145" s="12" t="inlineStr"/>
      <c r="M1145" s="12" t="inlineStr"/>
      <c r="N1145" s="17" t="inlineStr">
        <is>
          <t>10 EVIDENCE &amp; DECISIONS</t>
        </is>
      </c>
    </row>
    <row r="1146" ht="34" customHeight="1">
      <c r="A1146" s="12" t="inlineStr">
        <is>
          <t>Contractor Programme</t>
        </is>
      </c>
      <c r="B1146" s="12" t="inlineStr">
        <is>
          <t>SCH-05-079</t>
        </is>
      </c>
      <c r="C1146" s="12" t="inlineStr">
        <is>
          <t>Control Centre: station integrated test - turnover</t>
        </is>
      </c>
      <c r="D1146" s="12" t="inlineStr">
        <is>
          <t>WBS Code = 1.5.1</t>
        </is>
      </c>
      <c r="E1146" s="12" t="inlineStr">
        <is>
          <t>R799-v1</t>
        </is>
      </c>
      <c r="F1146" s="12" t="inlineStr">
        <is>
          <t>1.5.1 Testing and Commissioning - Test Readiness</t>
        </is>
      </c>
      <c r="G1146" s="12" t="inlineStr">
        <is>
          <t>ONE_TO_ONE</t>
        </is>
      </c>
      <c r="H1146" s="12" t="inlineStr">
        <is>
          <t>APPROVED</t>
        </is>
      </c>
      <c r="I1146" s="12" t="inlineStr">
        <is>
          <t>New</t>
        </is>
      </c>
      <c r="J1146" s="12" t="inlineStr">
        <is>
          <t>Source assignment -- not individually reviewed</t>
        </is>
      </c>
      <c r="K1146" s="12" t="inlineStr"/>
      <c r="L1146" s="12" t="inlineStr"/>
      <c r="M1146" s="12" t="inlineStr"/>
      <c r="N1146" s="17" t="inlineStr">
        <is>
          <t>10 EVIDENCE &amp; DECISIONS</t>
        </is>
      </c>
    </row>
    <row r="1147" ht="34" customHeight="1">
      <c r="A1147" s="12" t="inlineStr">
        <is>
          <t>Contractor Programme</t>
        </is>
      </c>
      <c r="B1147" s="12" t="inlineStr">
        <is>
          <t>SCH-05-080</t>
        </is>
      </c>
      <c r="C1147" s="12" t="inlineStr">
        <is>
          <t>Mainline east: trial-running shift - release</t>
        </is>
      </c>
      <c r="D1147" s="12" t="inlineStr">
        <is>
          <t>WBS Code = 1.5.1</t>
        </is>
      </c>
      <c r="E1147" s="12" t="inlineStr">
        <is>
          <t>R800-v1</t>
        </is>
      </c>
      <c r="F1147" s="12" t="inlineStr">
        <is>
          <t>1.5.1 Testing and Commissioning - Test Readiness</t>
        </is>
      </c>
      <c r="G1147" s="12" t="inlineStr">
        <is>
          <t>ONE_TO_ONE</t>
        </is>
      </c>
      <c r="H1147" s="12" t="inlineStr">
        <is>
          <t>APPROVED</t>
        </is>
      </c>
      <c r="I1147" s="12" t="inlineStr">
        <is>
          <t>New</t>
        </is>
      </c>
      <c r="J1147" s="12" t="inlineStr">
        <is>
          <t>Source assignment -- not individually reviewed</t>
        </is>
      </c>
      <c r="K1147" s="12" t="inlineStr"/>
      <c r="L1147" s="12" t="inlineStr"/>
      <c r="M1147" s="12" t="inlineStr"/>
      <c r="N1147" s="17" t="inlineStr">
        <is>
          <t>10 EVIDENCE &amp; DECISIONS</t>
        </is>
      </c>
    </row>
    <row r="1148" ht="34" customHeight="1">
      <c r="A1148" s="12" t="inlineStr">
        <is>
          <t>Contractor Programme</t>
        </is>
      </c>
      <c r="B1148" s="12" t="inlineStr">
        <is>
          <t>SCH-05-082</t>
        </is>
      </c>
      <c r="C1148" s="12" t="inlineStr">
        <is>
          <t>West terminal: emergency-response drill - installation</t>
        </is>
      </c>
      <c r="D1148" s="12" t="inlineStr">
        <is>
          <t>WBS Code = 1.5.1</t>
        </is>
      </c>
      <c r="E1148" s="12" t="inlineStr">
        <is>
          <t>R802-v1</t>
        </is>
      </c>
      <c r="F1148" s="12" t="inlineStr">
        <is>
          <t>1.5.1 Testing and Commissioning - Test Readiness</t>
        </is>
      </c>
      <c r="G1148" s="12" t="inlineStr">
        <is>
          <t>ONE_TO_ONE</t>
        </is>
      </c>
      <c r="H1148" s="12" t="inlineStr">
        <is>
          <t>APPROVED</t>
        </is>
      </c>
      <c r="I1148" s="12" t="inlineStr">
        <is>
          <t>New</t>
        </is>
      </c>
      <c r="J1148" s="12" t="inlineStr">
        <is>
          <t>Source assignment -- not individually reviewed</t>
        </is>
      </c>
      <c r="K1148" s="12" t="inlineStr"/>
      <c r="L1148" s="12" t="inlineStr"/>
      <c r="M1148" s="12" t="inlineStr"/>
      <c r="N1148" s="17" t="inlineStr">
        <is>
          <t>10 EVIDENCE &amp; DECISIONS</t>
        </is>
      </c>
    </row>
    <row r="1149" ht="34" customHeight="1">
      <c r="A1149" s="12" t="inlineStr">
        <is>
          <t>Contractor Programme</t>
        </is>
      </c>
      <c r="B1149" s="12" t="inlineStr">
        <is>
          <t>SCH-05-083</t>
        </is>
      </c>
      <c r="C1149" s="12" t="inlineStr">
        <is>
          <t>Depot: defect retest - inspection</t>
        </is>
      </c>
      <c r="D1149" s="12" t="inlineStr">
        <is>
          <t>WBS Code = 1.5.1</t>
        </is>
      </c>
      <c r="E1149" s="12" t="inlineStr">
        <is>
          <t>R803-v1</t>
        </is>
      </c>
      <c r="F1149" s="12" t="inlineStr">
        <is>
          <t>1.5.1 Testing and Commissioning - Test Readiness</t>
        </is>
      </c>
      <c r="G1149" s="12" t="inlineStr">
        <is>
          <t>ONE_TO_ONE</t>
        </is>
      </c>
      <c r="H1149" s="12" t="inlineStr">
        <is>
          <t>APPROVED</t>
        </is>
      </c>
      <c r="I1149" s="12" t="inlineStr">
        <is>
          <t>New</t>
        </is>
      </c>
      <c r="J1149" s="12" t="inlineStr">
        <is>
          <t>Source assignment -- not individually reviewed</t>
        </is>
      </c>
      <c r="K1149" s="12" t="inlineStr"/>
      <c r="L1149" s="12" t="inlineStr"/>
      <c r="M1149" s="12" t="inlineStr"/>
      <c r="N1149" s="17" t="inlineStr">
        <is>
          <t>10 EVIDENCE &amp; DECISIONS</t>
        </is>
      </c>
    </row>
    <row r="1150" ht="34" customHeight="1">
      <c r="A1150" s="12" t="inlineStr">
        <is>
          <t>Contractor Programme</t>
        </is>
      </c>
      <c r="B1150" s="12" t="inlineStr">
        <is>
          <t>SCH-05-085</t>
        </is>
      </c>
      <c r="C1150" s="12" t="inlineStr">
        <is>
          <t>Mainline east: safety certificate evidence closeout - release</t>
        </is>
      </c>
      <c r="D1150" s="12" t="inlineStr">
        <is>
          <t>WBS Code = 1.5.1</t>
        </is>
      </c>
      <c r="E1150" s="12" t="inlineStr">
        <is>
          <t>R805-v1</t>
        </is>
      </c>
      <c r="F1150" s="12" t="inlineStr">
        <is>
          <t>1.5.1 Testing and Commissioning - Test Readiness</t>
        </is>
      </c>
      <c r="G1150" s="12" t="inlineStr">
        <is>
          <t>ONE_TO_ONE</t>
        </is>
      </c>
      <c r="H1150" s="12" t="inlineStr">
        <is>
          <t>APPROVED</t>
        </is>
      </c>
      <c r="I1150" s="12" t="inlineStr">
        <is>
          <t>New</t>
        </is>
      </c>
      <c r="J1150" s="12" t="inlineStr">
        <is>
          <t>Source assignment -- not individually reviewed</t>
        </is>
      </c>
      <c r="K1150" s="12" t="inlineStr"/>
      <c r="L1150" s="12" t="inlineStr"/>
      <c r="M1150" s="12" t="inlineStr"/>
      <c r="N1150" s="17" t="inlineStr">
        <is>
          <t>10 EVIDENCE &amp; DECISIONS</t>
        </is>
      </c>
    </row>
    <row r="1151" ht="34" customHeight="1">
      <c r="A1151" s="12" t="inlineStr">
        <is>
          <t>Contractor Programme</t>
        </is>
      </c>
      <c r="B1151" s="12" t="inlineStr">
        <is>
          <t>SCH-05-086</t>
        </is>
      </c>
      <c r="C1151" s="12" t="inlineStr">
        <is>
          <t>Central section: service-readiness review - field start</t>
        </is>
      </c>
      <c r="D1151" s="12" t="inlineStr">
        <is>
          <t>WBS Code = 1.5.1</t>
        </is>
      </c>
      <c r="E1151" s="12" t="inlineStr">
        <is>
          <t>R806-v1</t>
        </is>
      </c>
      <c r="F1151" s="12" t="inlineStr">
        <is>
          <t>1.5.1 Testing and Commissioning - Test Readiness</t>
        </is>
      </c>
      <c r="G1151" s="12" t="inlineStr">
        <is>
          <t>ONE_TO_ONE</t>
        </is>
      </c>
      <c r="H1151" s="12" t="inlineStr">
        <is>
          <t>APPROVED</t>
        </is>
      </c>
      <c r="I1151" s="12" t="inlineStr">
        <is>
          <t>New</t>
        </is>
      </c>
      <c r="J1151" s="12" t="inlineStr">
        <is>
          <t>Source assignment -- not individually reviewed</t>
        </is>
      </c>
      <c r="K1151" s="12" t="inlineStr"/>
      <c r="L1151" s="12" t="inlineStr"/>
      <c r="M1151" s="12" t="inlineStr"/>
      <c r="N1151" s="17" t="inlineStr">
        <is>
          <t>10 EVIDENCE &amp; DECISIONS</t>
        </is>
      </c>
    </row>
    <row r="1152" ht="34" customHeight="1">
      <c r="A1152" s="12" t="inlineStr">
        <is>
          <t>Contractor Programme</t>
        </is>
      </c>
      <c r="B1152" s="12" t="inlineStr">
        <is>
          <t>SCH-05-088</t>
        </is>
      </c>
      <c r="C1152" s="12" t="inlineStr">
        <is>
          <t>Depot: trial-running shift - inspection</t>
        </is>
      </c>
      <c r="D1152" s="12" t="inlineStr">
        <is>
          <t>WBS Code = 1.5.1</t>
        </is>
      </c>
      <c r="E1152" s="12" t="inlineStr">
        <is>
          <t>R808-v1</t>
        </is>
      </c>
      <c r="F1152" s="12" t="inlineStr">
        <is>
          <t>1.5.1 Testing and Commissioning - Test Readiness</t>
        </is>
      </c>
      <c r="G1152" s="12" t="inlineStr">
        <is>
          <t>ONE_TO_ONE</t>
        </is>
      </c>
      <c r="H1152" s="12" t="inlineStr">
        <is>
          <t>APPROVED</t>
        </is>
      </c>
      <c r="I1152" s="12" t="inlineStr">
        <is>
          <t>New</t>
        </is>
      </c>
      <c r="J1152" s="12" t="inlineStr">
        <is>
          <t>Source assignment -- not individually reviewed</t>
        </is>
      </c>
      <c r="K1152" s="12" t="inlineStr"/>
      <c r="L1152" s="12" t="inlineStr"/>
      <c r="M1152" s="12" t="inlineStr"/>
      <c r="N1152" s="17" t="inlineStr">
        <is>
          <t>10 EVIDENCE &amp; DECISIONS</t>
        </is>
      </c>
    </row>
    <row r="1153" ht="34" customHeight="1">
      <c r="A1153" s="12" t="inlineStr">
        <is>
          <t>Contractor Programme</t>
        </is>
      </c>
      <c r="B1153" s="12" t="inlineStr">
        <is>
          <t>SCH-05-089</t>
        </is>
      </c>
      <c r="C1153" s="12" t="inlineStr">
        <is>
          <t>Control Centre: test procedure readiness review - turnover</t>
        </is>
      </c>
      <c r="D1153" s="12" t="inlineStr">
        <is>
          <t>WBS Code = 1.5.1</t>
        </is>
      </c>
      <c r="E1153" s="12" t="inlineStr">
        <is>
          <t>R809-v1</t>
        </is>
      </c>
      <c r="F1153" s="12" t="inlineStr">
        <is>
          <t>1.5.1 Testing and Commissioning - Test Readiness</t>
        </is>
      </c>
      <c r="G1153" s="12" t="inlineStr">
        <is>
          <t>ONE_TO_ONE</t>
        </is>
      </c>
      <c r="H1153" s="12" t="inlineStr">
        <is>
          <t>APPROVED</t>
        </is>
      </c>
      <c r="I1153" s="12" t="inlineStr">
        <is>
          <t>New</t>
        </is>
      </c>
      <c r="J1153" s="12" t="inlineStr">
        <is>
          <t>Source assignment -- not individually reviewed</t>
        </is>
      </c>
      <c r="K1153" s="12" t="inlineStr"/>
      <c r="L1153" s="12" t="inlineStr"/>
      <c r="M1153" s="12" t="inlineStr"/>
      <c r="N1153" s="17" t="inlineStr">
        <is>
          <t>10 EVIDENCE &amp; DECISIONS</t>
        </is>
      </c>
    </row>
    <row r="1154" ht="34" customHeight="1">
      <c r="A1154" s="12" t="inlineStr">
        <is>
          <t>Contractor Programme</t>
        </is>
      </c>
      <c r="B1154" s="12" t="inlineStr">
        <is>
          <t>SCH-05-091</t>
        </is>
      </c>
      <c r="C1154" s="12" t="inlineStr">
        <is>
          <t>Central section: defect retest - field start</t>
        </is>
      </c>
      <c r="D1154" s="12" t="inlineStr">
        <is>
          <t>WBS Code = 1.5.1</t>
        </is>
      </c>
      <c r="E1154" s="12" t="inlineStr">
        <is>
          <t>R811-v1</t>
        </is>
      </c>
      <c r="F1154" s="12" t="inlineStr">
        <is>
          <t>1.5.1 Testing and Commissioning - Test Readiness</t>
        </is>
      </c>
      <c r="G1154" s="12" t="inlineStr">
        <is>
          <t>ONE_TO_ONE</t>
        </is>
      </c>
      <c r="H1154" s="12" t="inlineStr">
        <is>
          <t>APPROVED</t>
        </is>
      </c>
      <c r="I1154" s="12" t="inlineStr">
        <is>
          <t>New</t>
        </is>
      </c>
      <c r="J1154" s="12" t="inlineStr">
        <is>
          <t>Source assignment -- not individually reviewed</t>
        </is>
      </c>
      <c r="K1154" s="12" t="inlineStr"/>
      <c r="L1154" s="12" t="inlineStr"/>
      <c r="M1154" s="12" t="inlineStr"/>
      <c r="N1154" s="17" t="inlineStr">
        <is>
          <t>10 EVIDENCE &amp; DECISIONS</t>
        </is>
      </c>
    </row>
    <row r="1155" ht="34" customHeight="1">
      <c r="A1155" s="12" t="inlineStr">
        <is>
          <t>Contractor Programme</t>
        </is>
      </c>
      <c r="B1155" s="12" t="inlineStr">
        <is>
          <t>SCH-05-092</t>
        </is>
      </c>
      <c r="C1155" s="12" t="inlineStr">
        <is>
          <t>West terminal: mainline dynamic test - installation</t>
        </is>
      </c>
      <c r="D1155" s="12" t="inlineStr">
        <is>
          <t>WBS Code = 1.5.1</t>
        </is>
      </c>
      <c r="E1155" s="12" t="inlineStr">
        <is>
          <t>R812-v1</t>
        </is>
      </c>
      <c r="F1155" s="12" t="inlineStr">
        <is>
          <t>1.5.1 Testing and Commissioning - Test Readiness</t>
        </is>
      </c>
      <c r="G1155" s="12" t="inlineStr">
        <is>
          <t>ONE_TO_ONE</t>
        </is>
      </c>
      <c r="H1155" s="12" t="inlineStr">
        <is>
          <t>APPROVED</t>
        </is>
      </c>
      <c r="I1155" s="12" t="inlineStr">
        <is>
          <t>New</t>
        </is>
      </c>
      <c r="J1155" s="12" t="inlineStr">
        <is>
          <t>Source assignment -- not individually reviewed</t>
        </is>
      </c>
      <c r="K1155" s="12" t="inlineStr"/>
      <c r="L1155" s="12" t="inlineStr"/>
      <c r="M1155" s="12" t="inlineStr"/>
      <c r="N1155" s="17" t="inlineStr">
        <is>
          <t>10 EVIDENCE &amp; DECISIONS</t>
        </is>
      </c>
    </row>
    <row r="1156" ht="34" customHeight="1">
      <c r="A1156" s="12" t="inlineStr">
        <is>
          <t>Contractor Programme</t>
        </is>
      </c>
      <c r="B1156" s="12" t="inlineStr">
        <is>
          <t>SCH-05-094</t>
        </is>
      </c>
      <c r="C1156" s="12" t="inlineStr">
        <is>
          <t>Control Centre: service-readiness review - turnover</t>
        </is>
      </c>
      <c r="D1156" s="12" t="inlineStr">
        <is>
          <t>WBS Code = 1.5.1</t>
        </is>
      </c>
      <c r="E1156" s="12" t="inlineStr">
        <is>
          <t>R814-v1</t>
        </is>
      </c>
      <c r="F1156" s="12" t="inlineStr">
        <is>
          <t>1.5.1 Testing and Commissioning - Test Readiness</t>
        </is>
      </c>
      <c r="G1156" s="12" t="inlineStr">
        <is>
          <t>ONE_TO_ONE</t>
        </is>
      </c>
      <c r="H1156" s="12" t="inlineStr">
        <is>
          <t>APPROVED</t>
        </is>
      </c>
      <c r="I1156" s="12" t="inlineStr">
        <is>
          <t>New</t>
        </is>
      </c>
      <c r="J1156" s="12" t="inlineStr">
        <is>
          <t>Source assignment -- not individually reviewed</t>
        </is>
      </c>
      <c r="K1156" s="12" t="inlineStr"/>
      <c r="L1156" s="12" t="inlineStr"/>
      <c r="M1156" s="12" t="inlineStr"/>
      <c r="N1156" s="17" t="inlineStr">
        <is>
          <t>10 EVIDENCE &amp; DECISIONS</t>
        </is>
      </c>
    </row>
    <row r="1157" ht="34" customHeight="1">
      <c r="A1157" s="12" t="inlineStr">
        <is>
          <t>Contractor Programme</t>
        </is>
      </c>
      <c r="B1157" s="12" t="inlineStr">
        <is>
          <t>SCH-05-095</t>
        </is>
      </c>
      <c r="C1157" s="12" t="inlineStr">
        <is>
          <t>Mainline east: station integrated test - release</t>
        </is>
      </c>
      <c r="D1157" s="12" t="inlineStr">
        <is>
          <t>WBS Code = 1.5.1</t>
        </is>
      </c>
      <c r="E1157" s="12" t="inlineStr">
        <is>
          <t>R815-v1</t>
        </is>
      </c>
      <c r="F1157" s="12" t="inlineStr">
        <is>
          <t>1.5.1 Testing and Commissioning - Test Readiness</t>
        </is>
      </c>
      <c r="G1157" s="12" t="inlineStr">
        <is>
          <t>ONE_TO_ONE</t>
        </is>
      </c>
      <c r="H1157" s="12" t="inlineStr">
        <is>
          <t>APPROVED</t>
        </is>
      </c>
      <c r="I1157" s="12" t="inlineStr">
        <is>
          <t>New</t>
        </is>
      </c>
      <c r="J1157" s="12" t="inlineStr">
        <is>
          <t>Source assignment -- not individually reviewed</t>
        </is>
      </c>
      <c r="K1157" s="12" t="inlineStr"/>
      <c r="L1157" s="12" t="inlineStr"/>
      <c r="M1157" s="12" t="inlineStr"/>
      <c r="N1157" s="17" t="inlineStr">
        <is>
          <t>10 EVIDENCE &amp; DECISIONS</t>
        </is>
      </c>
    </row>
    <row r="1158" ht="34" customHeight="1">
      <c r="A1158" s="12" t="inlineStr">
        <is>
          <t>Contractor Programme</t>
        </is>
      </c>
      <c r="B1158" s="12" t="inlineStr">
        <is>
          <t>SCH-05-097</t>
        </is>
      </c>
      <c r="C1158" s="12" t="inlineStr">
        <is>
          <t>West terminal: test procedure readiness review - installation</t>
        </is>
      </c>
      <c r="D1158" s="12" t="inlineStr">
        <is>
          <t>WBS Code = 1.5.1</t>
        </is>
      </c>
      <c r="E1158" s="12" t="inlineStr">
        <is>
          <t>R817-v1</t>
        </is>
      </c>
      <c r="F1158" s="12" t="inlineStr">
        <is>
          <t>1.5.1 Testing and Commissioning - Test Readiness</t>
        </is>
      </c>
      <c r="G1158" s="12" t="inlineStr">
        <is>
          <t>ONE_TO_ONE</t>
        </is>
      </c>
      <c r="H1158" s="12" t="inlineStr">
        <is>
          <t>APPROVED</t>
        </is>
      </c>
      <c r="I1158" s="12" t="inlineStr">
        <is>
          <t>New</t>
        </is>
      </c>
      <c r="J1158" s="12" t="inlineStr">
        <is>
          <t>Source assignment -- not individually reviewed</t>
        </is>
      </c>
      <c r="K1158" s="12" t="inlineStr"/>
      <c r="L1158" s="12" t="inlineStr"/>
      <c r="M1158" s="12" t="inlineStr"/>
      <c r="N1158" s="17" t="inlineStr">
        <is>
          <t>10 EVIDENCE &amp; DECISIONS</t>
        </is>
      </c>
    </row>
    <row r="1159" ht="34" customHeight="1">
      <c r="A1159" s="12" t="inlineStr">
        <is>
          <t>Contractor Programme</t>
        </is>
      </c>
      <c r="B1159" s="12" t="inlineStr">
        <is>
          <t>SCH-05-098</t>
        </is>
      </c>
      <c r="C1159" s="12" t="inlineStr">
        <is>
          <t>Depot: emergency-response drill - inspection</t>
        </is>
      </c>
      <c r="D1159" s="12" t="inlineStr">
        <is>
          <t>WBS Code = 1.5.1</t>
        </is>
      </c>
      <c r="E1159" s="12" t="inlineStr">
        <is>
          <t>R818-v1</t>
        </is>
      </c>
      <c r="F1159" s="12" t="inlineStr">
        <is>
          <t>1.5.1 Testing and Commissioning - Test Readiness</t>
        </is>
      </c>
      <c r="G1159" s="12" t="inlineStr">
        <is>
          <t>ONE_TO_ONE</t>
        </is>
      </c>
      <c r="H1159" s="12" t="inlineStr">
        <is>
          <t>APPROVED</t>
        </is>
      </c>
      <c r="I1159" s="12" t="inlineStr">
        <is>
          <t>New</t>
        </is>
      </c>
      <c r="J1159" s="12" t="inlineStr">
        <is>
          <t>Source assignment -- not individually reviewed</t>
        </is>
      </c>
      <c r="K1159" s="12" t="inlineStr"/>
      <c r="L1159" s="12" t="inlineStr"/>
      <c r="M1159" s="12" t="inlineStr"/>
      <c r="N1159" s="17" t="inlineStr">
        <is>
          <t>10 EVIDENCE &amp; DECISIONS</t>
        </is>
      </c>
    </row>
    <row r="1160" ht="34" customHeight="1">
      <c r="A1160" s="12" t="inlineStr">
        <is>
          <t>Contractor Programme</t>
        </is>
      </c>
      <c r="B1160" s="12" t="inlineStr">
        <is>
          <t>SCH-05-100</t>
        </is>
      </c>
      <c r="C1160" s="12" t="inlineStr">
        <is>
          <t>Mainline east: mainline dynamic test - release</t>
        </is>
      </c>
      <c r="D1160" s="12" t="inlineStr">
        <is>
          <t>WBS Code = 1.5.1</t>
        </is>
      </c>
      <c r="E1160" s="12" t="inlineStr">
        <is>
          <t>R820-v1</t>
        </is>
      </c>
      <c r="F1160" s="12" t="inlineStr">
        <is>
          <t>1.5.1 Testing and Commissioning - Test Readiness</t>
        </is>
      </c>
      <c r="G1160" s="12" t="inlineStr">
        <is>
          <t>ONE_TO_ONE</t>
        </is>
      </c>
      <c r="H1160" s="12" t="inlineStr">
        <is>
          <t>APPROVED</t>
        </is>
      </c>
      <c r="I1160" s="12" t="inlineStr">
        <is>
          <t>New</t>
        </is>
      </c>
      <c r="J1160" s="12" t="inlineStr">
        <is>
          <t>Source assignment -- not individually reviewed</t>
        </is>
      </c>
      <c r="K1160" s="12" t="inlineStr"/>
      <c r="L1160" s="12" t="inlineStr"/>
      <c r="M1160" s="12" t="inlineStr"/>
      <c r="N1160" s="17" t="inlineStr">
        <is>
          <t>10 EVIDENCE &amp; DECISIONS</t>
        </is>
      </c>
    </row>
    <row r="1161" ht="34" customHeight="1">
      <c r="A1161" s="12" t="inlineStr">
        <is>
          <t>Contractor Programme</t>
        </is>
      </c>
      <c r="B1161" s="12" t="inlineStr">
        <is>
          <t>SCH-05-101</t>
        </is>
      </c>
      <c r="C1161" s="12" t="inlineStr">
        <is>
          <t>Central section: safety certificate evidence closeout - field start</t>
        </is>
      </c>
      <c r="D1161" s="12" t="inlineStr">
        <is>
          <t>WBS Code = 1.5.1</t>
        </is>
      </c>
      <c r="E1161" s="12" t="inlineStr">
        <is>
          <t>R821-v1</t>
        </is>
      </c>
      <c r="F1161" s="12" t="inlineStr">
        <is>
          <t>1.5.1 Testing and Commissioning - Test Readiness</t>
        </is>
      </c>
      <c r="G1161" s="12" t="inlineStr">
        <is>
          <t>ONE_TO_ONE</t>
        </is>
      </c>
      <c r="H1161" s="12" t="inlineStr">
        <is>
          <t>APPROVED</t>
        </is>
      </c>
      <c r="I1161" s="12" t="inlineStr">
        <is>
          <t>New</t>
        </is>
      </c>
      <c r="J1161" s="12" t="inlineStr">
        <is>
          <t>Source assignment -- not individually reviewed</t>
        </is>
      </c>
      <c r="K1161" s="12" t="inlineStr"/>
      <c r="L1161" s="12" t="inlineStr"/>
      <c r="M1161" s="12" t="inlineStr"/>
      <c r="N1161" s="17" t="inlineStr">
        <is>
          <t>10 EVIDENCE &amp; DECISIONS</t>
        </is>
      </c>
    </row>
    <row r="1162" ht="34" customHeight="1">
      <c r="A1162" s="12" t="inlineStr">
        <is>
          <t>Contractor Programme</t>
        </is>
      </c>
      <c r="B1162" s="12" t="inlineStr">
        <is>
          <t>SCH-05-103</t>
        </is>
      </c>
      <c r="C1162" s="12" t="inlineStr">
        <is>
          <t>Depot: station integrated test - inspection</t>
        </is>
      </c>
      <c r="D1162" s="12" t="inlineStr">
        <is>
          <t>WBS Code = 1.5.1</t>
        </is>
      </c>
      <c r="E1162" s="12" t="inlineStr">
        <is>
          <t>R823-v1</t>
        </is>
      </c>
      <c r="F1162" s="12" t="inlineStr">
        <is>
          <t>1.5.1 Testing and Commissioning - Test Readiness</t>
        </is>
      </c>
      <c r="G1162" s="12" t="inlineStr">
        <is>
          <t>ONE_TO_ONE</t>
        </is>
      </c>
      <c r="H1162" s="12" t="inlineStr">
        <is>
          <t>APPROVED</t>
        </is>
      </c>
      <c r="I1162" s="12" t="inlineStr">
        <is>
          <t>New</t>
        </is>
      </c>
      <c r="J1162" s="12" t="inlineStr">
        <is>
          <t>Source assignment -- not individually reviewed</t>
        </is>
      </c>
      <c r="K1162" s="12" t="inlineStr"/>
      <c r="L1162" s="12" t="inlineStr"/>
      <c r="M1162" s="12" t="inlineStr"/>
      <c r="N1162" s="17" t="inlineStr">
        <is>
          <t>10 EVIDENCE &amp; DECISIONS</t>
        </is>
      </c>
    </row>
    <row r="1163" ht="34" customHeight="1">
      <c r="A1163" s="12" t="inlineStr">
        <is>
          <t>Contractor Programme</t>
        </is>
      </c>
      <c r="B1163" s="12" t="inlineStr">
        <is>
          <t>SCH-05-104</t>
        </is>
      </c>
      <c r="C1163" s="12" t="inlineStr">
        <is>
          <t>Control Centre: trial-running shift - turnover</t>
        </is>
      </c>
      <c r="D1163" s="12" t="inlineStr">
        <is>
          <t>WBS Code = 1.5.1</t>
        </is>
      </c>
      <c r="E1163" s="12" t="inlineStr">
        <is>
          <t>R824-v1</t>
        </is>
      </c>
      <c r="F1163" s="12" t="inlineStr">
        <is>
          <t>1.5.1 Testing and Commissioning - Test Readiness</t>
        </is>
      </c>
      <c r="G1163" s="12" t="inlineStr">
        <is>
          <t>ONE_TO_ONE</t>
        </is>
      </c>
      <c r="H1163" s="12" t="inlineStr">
        <is>
          <t>APPROVED</t>
        </is>
      </c>
      <c r="I1163" s="12" t="inlineStr">
        <is>
          <t>New</t>
        </is>
      </c>
      <c r="J1163" s="12" t="inlineStr">
        <is>
          <t>Source assignment -- not individually reviewed</t>
        </is>
      </c>
      <c r="K1163" s="12" t="inlineStr"/>
      <c r="L1163" s="12" t="inlineStr"/>
      <c r="M1163" s="12" t="inlineStr"/>
      <c r="N1163" s="17" t="inlineStr">
        <is>
          <t>10 EVIDENCE &amp; DECISIONS</t>
        </is>
      </c>
    </row>
    <row r="1164" ht="34" customHeight="1">
      <c r="A1164" s="12" t="inlineStr">
        <is>
          <t>Contractor Programme</t>
        </is>
      </c>
      <c r="B1164" s="12" t="inlineStr">
        <is>
          <t>SCH-05-106</t>
        </is>
      </c>
      <c r="C1164" s="12" t="inlineStr">
        <is>
          <t>Central section: emergency-response drill - field start</t>
        </is>
      </c>
      <c r="D1164" s="12" t="inlineStr">
        <is>
          <t>WBS Code = 1.5.1</t>
        </is>
      </c>
      <c r="E1164" s="12" t="inlineStr">
        <is>
          <t>R826-v1</t>
        </is>
      </c>
      <c r="F1164" s="12" t="inlineStr">
        <is>
          <t>1.5.1 Testing and Commissioning - Test Readiness</t>
        </is>
      </c>
      <c r="G1164" s="12" t="inlineStr">
        <is>
          <t>ONE_TO_ONE</t>
        </is>
      </c>
      <c r="H1164" s="12" t="inlineStr">
        <is>
          <t>APPROVED</t>
        </is>
      </c>
      <c r="I1164" s="12" t="inlineStr">
        <is>
          <t>New</t>
        </is>
      </c>
      <c r="J1164" s="12" t="inlineStr">
        <is>
          <t>Source assignment -- not individually reviewed</t>
        </is>
      </c>
      <c r="K1164" s="12" t="inlineStr"/>
      <c r="L1164" s="12" t="inlineStr"/>
      <c r="M1164" s="12" t="inlineStr"/>
      <c r="N1164" s="17" t="inlineStr">
        <is>
          <t>10 EVIDENCE &amp; DECISIONS</t>
        </is>
      </c>
    </row>
    <row r="1165" ht="34" customHeight="1">
      <c r="A1165" s="12" t="inlineStr">
        <is>
          <t>Contractor Programme</t>
        </is>
      </c>
      <c r="B1165" s="12" t="inlineStr">
        <is>
          <t>SCH-05-107</t>
        </is>
      </c>
      <c r="C1165" s="12" t="inlineStr">
        <is>
          <t>West terminal: defect retest - installation</t>
        </is>
      </c>
      <c r="D1165" s="12" t="inlineStr">
        <is>
          <t>WBS Code = 1.5.1</t>
        </is>
      </c>
      <c r="E1165" s="12" t="inlineStr">
        <is>
          <t>R827-v1</t>
        </is>
      </c>
      <c r="F1165" s="12" t="inlineStr">
        <is>
          <t>1.5.1 Testing and Commissioning - Test Readiness</t>
        </is>
      </c>
      <c r="G1165" s="12" t="inlineStr">
        <is>
          <t>ONE_TO_ONE</t>
        </is>
      </c>
      <c r="H1165" s="12" t="inlineStr">
        <is>
          <t>APPROVED</t>
        </is>
      </c>
      <c r="I1165" s="12" t="inlineStr">
        <is>
          <t>New</t>
        </is>
      </c>
      <c r="J1165" s="12" t="inlineStr">
        <is>
          <t>Source assignment -- not individually reviewed</t>
        </is>
      </c>
      <c r="K1165" s="12" t="inlineStr"/>
      <c r="L1165" s="12" t="inlineStr"/>
      <c r="M1165" s="12" t="inlineStr"/>
      <c r="N1165" s="17" t="inlineStr">
        <is>
          <t>10 EVIDENCE &amp; DECISIONS</t>
        </is>
      </c>
    </row>
    <row r="1166" ht="34" customHeight="1">
      <c r="A1166" s="12" t="inlineStr">
        <is>
          <t>Contractor Programme</t>
        </is>
      </c>
      <c r="B1166" s="12" t="inlineStr">
        <is>
          <t>SCH-05-109</t>
        </is>
      </c>
      <c r="C1166" s="12" t="inlineStr">
        <is>
          <t>Control Centre: safety certificate evidence closeout - turnover</t>
        </is>
      </c>
      <c r="D1166" s="12" t="inlineStr">
        <is>
          <t>WBS Code = 1.5.1</t>
        </is>
      </c>
      <c r="E1166" s="12" t="inlineStr">
        <is>
          <t>R829-v1</t>
        </is>
      </c>
      <c r="F1166" s="12" t="inlineStr">
        <is>
          <t>1.5.1 Testing and Commissioning - Test Readiness</t>
        </is>
      </c>
      <c r="G1166" s="12" t="inlineStr">
        <is>
          <t>ONE_TO_ONE</t>
        </is>
      </c>
      <c r="H1166" s="12" t="inlineStr">
        <is>
          <t>APPROVED</t>
        </is>
      </c>
      <c r="I1166" s="12" t="inlineStr">
        <is>
          <t>New</t>
        </is>
      </c>
      <c r="J1166" s="12" t="inlineStr">
        <is>
          <t>Source assignment -- not individually reviewed</t>
        </is>
      </c>
      <c r="K1166" s="12" t="inlineStr"/>
      <c r="L1166" s="12" t="inlineStr"/>
      <c r="M1166" s="12" t="inlineStr"/>
      <c r="N1166" s="17" t="inlineStr">
        <is>
          <t>10 EVIDENCE &amp; DECISIONS</t>
        </is>
      </c>
    </row>
    <row r="1167" ht="34" customHeight="1">
      <c r="A1167" s="12" t="inlineStr">
        <is>
          <t>Contractor Programme</t>
        </is>
      </c>
      <c r="B1167" s="12" t="inlineStr">
        <is>
          <t>SCH-05-110</t>
        </is>
      </c>
      <c r="C1167" s="12" t="inlineStr">
        <is>
          <t>Mainline east: service-readiness review - release</t>
        </is>
      </c>
      <c r="D1167" s="12" t="inlineStr">
        <is>
          <t>WBS Code = 1.5.1</t>
        </is>
      </c>
      <c r="E1167" s="12" t="inlineStr">
        <is>
          <t>R830-v1</t>
        </is>
      </c>
      <c r="F1167" s="12" t="inlineStr">
        <is>
          <t>1.5.1 Testing and Commissioning - Test Readiness</t>
        </is>
      </c>
      <c r="G1167" s="12" t="inlineStr">
        <is>
          <t>ONE_TO_ONE</t>
        </is>
      </c>
      <c r="H1167" s="12" t="inlineStr">
        <is>
          <t>APPROVED</t>
        </is>
      </c>
      <c r="I1167" s="12" t="inlineStr">
        <is>
          <t>New</t>
        </is>
      </c>
      <c r="J1167" s="12" t="inlineStr">
        <is>
          <t>Source assignment -- not individually reviewed</t>
        </is>
      </c>
      <c r="K1167" s="12" t="inlineStr"/>
      <c r="L1167" s="12" t="inlineStr"/>
      <c r="M1167" s="12" t="inlineStr"/>
      <c r="N1167" s="17" t="inlineStr">
        <is>
          <t>10 EVIDENCE &amp; DECISIONS</t>
        </is>
      </c>
    </row>
    <row r="1168" ht="34" customHeight="1">
      <c r="A1168" s="12" t="inlineStr">
        <is>
          <t>Contractor Programme</t>
        </is>
      </c>
      <c r="B1168" s="12" t="inlineStr">
        <is>
          <t>SCH-05-112</t>
        </is>
      </c>
      <c r="C1168" s="12" t="inlineStr">
        <is>
          <t>West terminal: trial-running shift - installation</t>
        </is>
      </c>
      <c r="D1168" s="12" t="inlineStr">
        <is>
          <t>WBS Code = 1.5.1</t>
        </is>
      </c>
      <c r="E1168" s="12" t="inlineStr">
        <is>
          <t>R832-v1</t>
        </is>
      </c>
      <c r="F1168" s="12" t="inlineStr">
        <is>
          <t>1.5.1 Testing and Commissioning - Test Readiness</t>
        </is>
      </c>
      <c r="G1168" s="12" t="inlineStr">
        <is>
          <t>ONE_TO_ONE</t>
        </is>
      </c>
      <c r="H1168" s="12" t="inlineStr">
        <is>
          <t>APPROVED</t>
        </is>
      </c>
      <c r="I1168" s="12" t="inlineStr">
        <is>
          <t>New</t>
        </is>
      </c>
      <c r="J1168" s="12" t="inlineStr">
        <is>
          <t>Source assignment -- not individually reviewed</t>
        </is>
      </c>
      <c r="K1168" s="12" t="inlineStr"/>
      <c r="L1168" s="12" t="inlineStr"/>
      <c r="M1168" s="12" t="inlineStr"/>
      <c r="N1168" s="17" t="inlineStr">
        <is>
          <t>10 EVIDENCE &amp; DECISIONS</t>
        </is>
      </c>
    </row>
    <row r="1169" ht="34" customHeight="1">
      <c r="A1169" s="12" t="inlineStr">
        <is>
          <t>Contractor Programme</t>
        </is>
      </c>
      <c r="B1169" s="12" t="inlineStr">
        <is>
          <t>SCH-05-113</t>
        </is>
      </c>
      <c r="C1169" s="12" t="inlineStr">
        <is>
          <t>Depot: test procedure readiness review - inspection</t>
        </is>
      </c>
      <c r="D1169" s="12" t="inlineStr">
        <is>
          <t>WBS Code = 1.5.1</t>
        </is>
      </c>
      <c r="E1169" s="12" t="inlineStr">
        <is>
          <t>R833-v1</t>
        </is>
      </c>
      <c r="F1169" s="12" t="inlineStr">
        <is>
          <t>1.5.1 Testing and Commissioning - Test Readiness</t>
        </is>
      </c>
      <c r="G1169" s="12" t="inlineStr">
        <is>
          <t>ONE_TO_ONE</t>
        </is>
      </c>
      <c r="H1169" s="12" t="inlineStr">
        <is>
          <t>APPROVED</t>
        </is>
      </c>
      <c r="I1169" s="12" t="inlineStr">
        <is>
          <t>New</t>
        </is>
      </c>
      <c r="J1169" s="12" t="inlineStr">
        <is>
          <t>Source assignment -- not individually reviewed</t>
        </is>
      </c>
      <c r="K1169" s="12" t="inlineStr"/>
      <c r="L1169" s="12" t="inlineStr"/>
      <c r="M1169" s="12" t="inlineStr"/>
      <c r="N1169" s="17" t="inlineStr">
        <is>
          <t>10 EVIDENCE &amp; DECISIONS</t>
        </is>
      </c>
    </row>
    <row r="1170" ht="34" customHeight="1">
      <c r="A1170" s="12" t="inlineStr">
        <is>
          <t>Contractor Programme</t>
        </is>
      </c>
      <c r="B1170" s="12" t="inlineStr">
        <is>
          <t>SCH-05-115</t>
        </is>
      </c>
      <c r="C1170" s="12" t="inlineStr">
        <is>
          <t>Mainline east: defect retest - release</t>
        </is>
      </c>
      <c r="D1170" s="12" t="inlineStr">
        <is>
          <t>WBS Code = 1.5.1</t>
        </is>
      </c>
      <c r="E1170" s="12" t="inlineStr">
        <is>
          <t>R835-v1</t>
        </is>
      </c>
      <c r="F1170" s="12" t="inlineStr">
        <is>
          <t>1.5.1 Testing and Commissioning - Test Readiness</t>
        </is>
      </c>
      <c r="G1170" s="12" t="inlineStr">
        <is>
          <t>ONE_TO_ONE</t>
        </is>
      </c>
      <c r="H1170" s="12" t="inlineStr">
        <is>
          <t>APPROVED</t>
        </is>
      </c>
      <c r="I1170" s="12" t="inlineStr">
        <is>
          <t>New</t>
        </is>
      </c>
      <c r="J1170" s="12" t="inlineStr">
        <is>
          <t>Source assignment -- not individually reviewed</t>
        </is>
      </c>
      <c r="K1170" s="12" t="inlineStr"/>
      <c r="L1170" s="12" t="inlineStr"/>
      <c r="M1170" s="12" t="inlineStr"/>
      <c r="N1170" s="17" t="inlineStr">
        <is>
          <t>10 EVIDENCE &amp; DECISIONS</t>
        </is>
      </c>
    </row>
    <row r="1171" ht="34" customHeight="1">
      <c r="A1171" s="12" t="inlineStr">
        <is>
          <t>Contractor Programme</t>
        </is>
      </c>
      <c r="B1171" s="12" t="inlineStr">
        <is>
          <t>SCH-05-116</t>
        </is>
      </c>
      <c r="C1171" s="12" t="inlineStr">
        <is>
          <t>Central section: mainline dynamic test - field start</t>
        </is>
      </c>
      <c r="D1171" s="12" t="inlineStr">
        <is>
          <t>WBS Code = 1.5.1</t>
        </is>
      </c>
      <c r="E1171" s="12" t="inlineStr">
        <is>
          <t>R836-v1</t>
        </is>
      </c>
      <c r="F1171" s="12" t="inlineStr">
        <is>
          <t>1.5.1 Testing and Commissioning - Test Readiness</t>
        </is>
      </c>
      <c r="G1171" s="12" t="inlineStr">
        <is>
          <t>ONE_TO_ONE</t>
        </is>
      </c>
      <c r="H1171" s="12" t="inlineStr">
        <is>
          <t>APPROVED</t>
        </is>
      </c>
      <c r="I1171" s="12" t="inlineStr">
        <is>
          <t>New</t>
        </is>
      </c>
      <c r="J1171" s="12" t="inlineStr">
        <is>
          <t>Source assignment -- not individually reviewed</t>
        </is>
      </c>
      <c r="K1171" s="12" t="inlineStr"/>
      <c r="L1171" s="12" t="inlineStr"/>
      <c r="M1171" s="12" t="inlineStr"/>
      <c r="N1171" s="17" t="inlineStr">
        <is>
          <t>10 EVIDENCE &amp; DECISIONS</t>
        </is>
      </c>
    </row>
    <row r="1172" ht="34" customHeight="1">
      <c r="A1172" s="12" t="inlineStr">
        <is>
          <t>Contractor Programme</t>
        </is>
      </c>
      <c r="B1172" s="12" t="inlineStr">
        <is>
          <t>SCH-05-118</t>
        </is>
      </c>
      <c r="C1172" s="12" t="inlineStr">
        <is>
          <t>Depot: service-readiness review - inspection</t>
        </is>
      </c>
      <c r="D1172" s="12" t="inlineStr">
        <is>
          <t>WBS Code = 1.5.1</t>
        </is>
      </c>
      <c r="E1172" s="12" t="inlineStr">
        <is>
          <t>R838-v1</t>
        </is>
      </c>
      <c r="F1172" s="12" t="inlineStr">
        <is>
          <t>1.5.1 Testing and Commissioning - Test Readiness</t>
        </is>
      </c>
      <c r="G1172" s="12" t="inlineStr">
        <is>
          <t>ONE_TO_ONE</t>
        </is>
      </c>
      <c r="H1172" s="12" t="inlineStr">
        <is>
          <t>APPROVED</t>
        </is>
      </c>
      <c r="I1172" s="12" t="inlineStr">
        <is>
          <t>New</t>
        </is>
      </c>
      <c r="J1172" s="12" t="inlineStr">
        <is>
          <t>Source assignment -- not individually reviewed</t>
        </is>
      </c>
      <c r="K1172" s="12" t="inlineStr"/>
      <c r="L1172" s="12" t="inlineStr"/>
      <c r="M1172" s="12" t="inlineStr"/>
      <c r="N1172" s="17" t="inlineStr">
        <is>
          <t>10 EVIDENCE &amp; DECISIONS</t>
        </is>
      </c>
    </row>
    <row r="1173" ht="34" customHeight="1">
      <c r="A1173" s="12" t="inlineStr">
        <is>
          <t>Contractor Programme</t>
        </is>
      </c>
      <c r="B1173" s="12" t="inlineStr">
        <is>
          <t>SCH-05-119</t>
        </is>
      </c>
      <c r="C1173" s="12" t="inlineStr">
        <is>
          <t>Control Centre: station integrated test - turnover</t>
        </is>
      </c>
      <c r="D1173" s="12" t="inlineStr">
        <is>
          <t>WBS Code = 1.5.1</t>
        </is>
      </c>
      <c r="E1173" s="12" t="inlineStr">
        <is>
          <t>R839-v1</t>
        </is>
      </c>
      <c r="F1173" s="12" t="inlineStr">
        <is>
          <t>1.5.1 Testing and Commissioning - Test Readiness</t>
        </is>
      </c>
      <c r="G1173" s="12" t="inlineStr">
        <is>
          <t>ONE_TO_ONE</t>
        </is>
      </c>
      <c r="H1173" s="12" t="inlineStr">
        <is>
          <t>APPROVED</t>
        </is>
      </c>
      <c r="I1173" s="12" t="inlineStr">
        <is>
          <t>New</t>
        </is>
      </c>
      <c r="J1173" s="12" t="inlineStr">
        <is>
          <t>Source assignment -- not individually reviewed</t>
        </is>
      </c>
      <c r="K1173" s="12" t="inlineStr"/>
      <c r="L1173" s="12" t="inlineStr"/>
      <c r="M1173" s="12" t="inlineStr"/>
      <c r="N1173" s="17" t="inlineStr">
        <is>
          <t>10 EVIDENCE &amp; DECISIONS</t>
        </is>
      </c>
    </row>
    <row r="1174" ht="34" customHeight="1">
      <c r="A1174" s="12" t="inlineStr">
        <is>
          <t>Contractor Programme</t>
        </is>
      </c>
      <c r="B1174" s="12" t="inlineStr">
        <is>
          <t>SCH-05-121</t>
        </is>
      </c>
      <c r="C1174" s="12" t="inlineStr">
        <is>
          <t>Central section: test procedure readiness review - field start</t>
        </is>
      </c>
      <c r="D1174" s="12" t="inlineStr">
        <is>
          <t>WBS Code = 1.5.1</t>
        </is>
      </c>
      <c r="E1174" s="12" t="inlineStr">
        <is>
          <t>R841-v1</t>
        </is>
      </c>
      <c r="F1174" s="12" t="inlineStr">
        <is>
          <t>1.5.1 Testing and Commissioning - Test Readiness</t>
        </is>
      </c>
      <c r="G1174" s="12" t="inlineStr">
        <is>
          <t>ONE_TO_ONE</t>
        </is>
      </c>
      <c r="H1174" s="12" t="inlineStr">
        <is>
          <t>APPROVED</t>
        </is>
      </c>
      <c r="I1174" s="12" t="inlineStr">
        <is>
          <t>New</t>
        </is>
      </c>
      <c r="J1174" s="12" t="inlineStr">
        <is>
          <t>Source assignment -- not individually reviewed</t>
        </is>
      </c>
      <c r="K1174" s="12" t="inlineStr"/>
      <c r="L1174" s="12" t="inlineStr"/>
      <c r="M1174" s="12" t="inlineStr"/>
      <c r="N1174" s="17" t="inlineStr">
        <is>
          <t>10 EVIDENCE &amp; DECISIONS</t>
        </is>
      </c>
    </row>
    <row r="1175" ht="34" customHeight="1">
      <c r="A1175" s="12" t="inlineStr">
        <is>
          <t>Contractor Programme</t>
        </is>
      </c>
      <c r="B1175" s="12" t="inlineStr">
        <is>
          <t>SCH-05-122</t>
        </is>
      </c>
      <c r="C1175" s="12" t="inlineStr">
        <is>
          <t>West terminal: emergency-response drill - installation</t>
        </is>
      </c>
      <c r="D1175" s="12" t="inlineStr">
        <is>
          <t>WBS Code = 1.5.1</t>
        </is>
      </c>
      <c r="E1175" s="12" t="inlineStr">
        <is>
          <t>R842-v1</t>
        </is>
      </c>
      <c r="F1175" s="12" t="inlineStr">
        <is>
          <t>1.5.1 Testing and Commissioning - Test Readiness</t>
        </is>
      </c>
      <c r="G1175" s="12" t="inlineStr">
        <is>
          <t>ONE_TO_ONE</t>
        </is>
      </c>
      <c r="H1175" s="12" t="inlineStr">
        <is>
          <t>APPROVED</t>
        </is>
      </c>
      <c r="I1175" s="12" t="inlineStr">
        <is>
          <t>New</t>
        </is>
      </c>
      <c r="J1175" s="12" t="inlineStr">
        <is>
          <t>Source assignment -- not individually reviewed</t>
        </is>
      </c>
      <c r="K1175" s="12" t="inlineStr"/>
      <c r="L1175" s="12" t="inlineStr"/>
      <c r="M1175" s="12" t="inlineStr"/>
      <c r="N1175" s="17" t="inlineStr">
        <is>
          <t>10 EVIDENCE &amp; DECISIONS</t>
        </is>
      </c>
    </row>
    <row r="1176" ht="34" customHeight="1">
      <c r="A1176" s="12" t="inlineStr">
        <is>
          <t>Contractor Programme</t>
        </is>
      </c>
      <c r="B1176" s="12" t="inlineStr">
        <is>
          <t>SCH-05-124</t>
        </is>
      </c>
      <c r="C1176" s="12" t="inlineStr">
        <is>
          <t>Control Centre: mainline dynamic test - turnover</t>
        </is>
      </c>
      <c r="D1176" s="12" t="inlineStr">
        <is>
          <t>WBS Code = 1.5.1</t>
        </is>
      </c>
      <c r="E1176" s="12" t="inlineStr">
        <is>
          <t>R844-v1</t>
        </is>
      </c>
      <c r="F1176" s="12" t="inlineStr">
        <is>
          <t>1.5.1 Testing and Commissioning - Test Readiness</t>
        </is>
      </c>
      <c r="G1176" s="12" t="inlineStr">
        <is>
          <t>ONE_TO_ONE</t>
        </is>
      </c>
      <c r="H1176" s="12" t="inlineStr">
        <is>
          <t>APPROVED</t>
        </is>
      </c>
      <c r="I1176" s="12" t="inlineStr">
        <is>
          <t>New</t>
        </is>
      </c>
      <c r="J1176" s="12" t="inlineStr">
        <is>
          <t>Source assignment -- not individually reviewed</t>
        </is>
      </c>
      <c r="K1176" s="12" t="inlineStr"/>
      <c r="L1176" s="12" t="inlineStr"/>
      <c r="M1176" s="12" t="inlineStr"/>
      <c r="N1176" s="17" t="inlineStr">
        <is>
          <t>10 EVIDENCE &amp; DECISIONS</t>
        </is>
      </c>
    </row>
    <row r="1177" ht="34" customHeight="1">
      <c r="A1177" s="12" t="inlineStr">
        <is>
          <t>Contractor Programme</t>
        </is>
      </c>
      <c r="B1177" s="12" t="inlineStr">
        <is>
          <t>SCH-05-125</t>
        </is>
      </c>
      <c r="C1177" s="12" t="inlineStr">
        <is>
          <t>Mainline east: safety certificate evidence closeout - release</t>
        </is>
      </c>
      <c r="D1177" s="12" t="inlineStr">
        <is>
          <t>WBS Code = 1.5.1</t>
        </is>
      </c>
      <c r="E1177" s="12" t="inlineStr">
        <is>
          <t>R845-v1</t>
        </is>
      </c>
      <c r="F1177" s="12" t="inlineStr">
        <is>
          <t>1.5.1 Testing and Commissioning - Test Readiness</t>
        </is>
      </c>
      <c r="G1177" s="12" t="inlineStr">
        <is>
          <t>ONE_TO_ONE</t>
        </is>
      </c>
      <c r="H1177" s="12" t="inlineStr">
        <is>
          <t>APPROVED</t>
        </is>
      </c>
      <c r="I1177" s="12" t="inlineStr">
        <is>
          <t>New</t>
        </is>
      </c>
      <c r="J1177" s="12" t="inlineStr">
        <is>
          <t>Source assignment -- not individually reviewed</t>
        </is>
      </c>
      <c r="K1177" s="12" t="inlineStr"/>
      <c r="L1177" s="12" t="inlineStr"/>
      <c r="M1177" s="12" t="inlineStr"/>
      <c r="N1177" s="17" t="inlineStr">
        <is>
          <t>10 EVIDENCE &amp; DECISIONS</t>
        </is>
      </c>
    </row>
    <row r="1178" ht="34" customHeight="1">
      <c r="A1178" s="12" t="inlineStr">
        <is>
          <t>Contractor Programme</t>
        </is>
      </c>
      <c r="B1178" s="12" t="inlineStr">
        <is>
          <t>SCH-05-127</t>
        </is>
      </c>
      <c r="C1178" s="12" t="inlineStr">
        <is>
          <t>West terminal: station integrated test - installation</t>
        </is>
      </c>
      <c r="D1178" s="12" t="inlineStr">
        <is>
          <t>WBS Code = 1.5.1</t>
        </is>
      </c>
      <c r="E1178" s="12" t="inlineStr">
        <is>
          <t>R847-v1</t>
        </is>
      </c>
      <c r="F1178" s="12" t="inlineStr">
        <is>
          <t>1.5.1 Testing and Commissioning - Test Readiness</t>
        </is>
      </c>
      <c r="G1178" s="12" t="inlineStr">
        <is>
          <t>ONE_TO_ONE</t>
        </is>
      </c>
      <c r="H1178" s="12" t="inlineStr">
        <is>
          <t>APPROVED</t>
        </is>
      </c>
      <c r="I1178" s="12" t="inlineStr">
        <is>
          <t>New</t>
        </is>
      </c>
      <c r="J1178" s="12" t="inlineStr">
        <is>
          <t>Source assignment -- not individually reviewed</t>
        </is>
      </c>
      <c r="K1178" s="12" t="inlineStr"/>
      <c r="L1178" s="12" t="inlineStr"/>
      <c r="M1178" s="12" t="inlineStr"/>
      <c r="N1178" s="17" t="inlineStr">
        <is>
          <t>10 EVIDENCE &amp; DECISIONS</t>
        </is>
      </c>
    </row>
    <row r="1179" ht="34" customHeight="1">
      <c r="A1179" s="12" t="inlineStr">
        <is>
          <t>Contractor Programme</t>
        </is>
      </c>
      <c r="B1179" s="12" t="inlineStr">
        <is>
          <t>SCH-05-128</t>
        </is>
      </c>
      <c r="C1179" s="12" t="inlineStr">
        <is>
          <t>Depot: trial-running shift - inspection</t>
        </is>
      </c>
      <c r="D1179" s="12" t="inlineStr">
        <is>
          <t>WBS Code = 1.5.1</t>
        </is>
      </c>
      <c r="E1179" s="12" t="inlineStr">
        <is>
          <t>R848-v1</t>
        </is>
      </c>
      <c r="F1179" s="12" t="inlineStr">
        <is>
          <t>1.5.1 Testing and Commissioning - Test Readiness</t>
        </is>
      </c>
      <c r="G1179" s="12" t="inlineStr">
        <is>
          <t>ONE_TO_ONE</t>
        </is>
      </c>
      <c r="H1179" s="12" t="inlineStr">
        <is>
          <t>APPROVED</t>
        </is>
      </c>
      <c r="I1179" s="12" t="inlineStr">
        <is>
          <t>New</t>
        </is>
      </c>
      <c r="J1179" s="12" t="inlineStr">
        <is>
          <t>Source assignment -- not individually reviewed</t>
        </is>
      </c>
      <c r="K1179" s="12" t="inlineStr"/>
      <c r="L1179" s="12" t="inlineStr"/>
      <c r="M1179" s="12" t="inlineStr"/>
      <c r="N1179" s="17" t="inlineStr">
        <is>
          <t>10 EVIDENCE &amp; DECISIONS</t>
        </is>
      </c>
    </row>
    <row r="1180" ht="34" customHeight="1">
      <c r="A1180" s="12" t="inlineStr">
        <is>
          <t>Contractor Programme</t>
        </is>
      </c>
      <c r="B1180" s="12" t="inlineStr">
        <is>
          <t>SCH-05-130</t>
        </is>
      </c>
      <c r="C1180" s="12" t="inlineStr">
        <is>
          <t>Mainline east: emergency-response drill - release</t>
        </is>
      </c>
      <c r="D1180" s="12" t="inlineStr">
        <is>
          <t>WBS Code = 1.5.1</t>
        </is>
      </c>
      <c r="E1180" s="12" t="inlineStr">
        <is>
          <t>R850-v1</t>
        </is>
      </c>
      <c r="F1180" s="12" t="inlineStr">
        <is>
          <t>1.5.1 Testing and Commissioning - Test Readiness</t>
        </is>
      </c>
      <c r="G1180" s="12" t="inlineStr">
        <is>
          <t>ONE_TO_ONE</t>
        </is>
      </c>
      <c r="H1180" s="12" t="inlineStr">
        <is>
          <t>APPROVED</t>
        </is>
      </c>
      <c r="I1180" s="12" t="inlineStr">
        <is>
          <t>New</t>
        </is>
      </c>
      <c r="J1180" s="12" t="inlineStr">
        <is>
          <t>Source assignment -- not individually reviewed</t>
        </is>
      </c>
      <c r="K1180" s="12" t="inlineStr"/>
      <c r="L1180" s="12" t="inlineStr"/>
      <c r="M1180" s="12" t="inlineStr"/>
      <c r="N1180" s="17" t="inlineStr">
        <is>
          <t>10 EVIDENCE &amp; DECISIONS</t>
        </is>
      </c>
    </row>
    <row r="1181" ht="34" customHeight="1">
      <c r="A1181" s="12" t="inlineStr">
        <is>
          <t>Contractor Programme</t>
        </is>
      </c>
      <c r="B1181" s="12" t="inlineStr">
        <is>
          <t>SCH-05-131</t>
        </is>
      </c>
      <c r="C1181" s="12" t="inlineStr">
        <is>
          <t>Central section: defect retest - field start</t>
        </is>
      </c>
      <c r="D1181" s="12" t="inlineStr">
        <is>
          <t>WBS Code = 1.5.1</t>
        </is>
      </c>
      <c r="E1181" s="12" t="inlineStr">
        <is>
          <t>R851-v1</t>
        </is>
      </c>
      <c r="F1181" s="12" t="inlineStr">
        <is>
          <t>1.5.1 Testing and Commissioning - Test Readiness</t>
        </is>
      </c>
      <c r="G1181" s="12" t="inlineStr">
        <is>
          <t>ONE_TO_ONE</t>
        </is>
      </c>
      <c r="H1181" s="12" t="inlineStr">
        <is>
          <t>APPROVED</t>
        </is>
      </c>
      <c r="I1181" s="12" t="inlineStr">
        <is>
          <t>New</t>
        </is>
      </c>
      <c r="J1181" s="12" t="inlineStr">
        <is>
          <t>Source assignment -- not individually reviewed</t>
        </is>
      </c>
      <c r="K1181" s="12" t="inlineStr"/>
      <c r="L1181" s="12" t="inlineStr"/>
      <c r="M1181" s="12" t="inlineStr"/>
      <c r="N1181" s="17" t="inlineStr">
        <is>
          <t>10 EVIDENCE &amp; DECISIONS</t>
        </is>
      </c>
    </row>
    <row r="1182" ht="34" customHeight="1">
      <c r="A1182" s="12" t="inlineStr">
        <is>
          <t>Contractor Programme</t>
        </is>
      </c>
      <c r="B1182" s="12" t="inlineStr">
        <is>
          <t>SCH-05-133</t>
        </is>
      </c>
      <c r="C1182" s="12" t="inlineStr">
        <is>
          <t>Depot: safety certificate evidence closeout - inspection</t>
        </is>
      </c>
      <c r="D1182" s="12" t="inlineStr">
        <is>
          <t>WBS Code = 1.5.1</t>
        </is>
      </c>
      <c r="E1182" s="12" t="inlineStr">
        <is>
          <t>R853-v1</t>
        </is>
      </c>
      <c r="F1182" s="12" t="inlineStr">
        <is>
          <t>1.5.1 Testing and Commissioning - Test Readiness</t>
        </is>
      </c>
      <c r="G1182" s="12" t="inlineStr">
        <is>
          <t>ONE_TO_ONE</t>
        </is>
      </c>
      <c r="H1182" s="12" t="inlineStr">
        <is>
          <t>APPROVED</t>
        </is>
      </c>
      <c r="I1182" s="12" t="inlineStr">
        <is>
          <t>New</t>
        </is>
      </c>
      <c r="J1182" s="12" t="inlineStr">
        <is>
          <t>Source assignment -- not individually reviewed</t>
        </is>
      </c>
      <c r="K1182" s="12" t="inlineStr"/>
      <c r="L1182" s="12" t="inlineStr"/>
      <c r="M1182" s="12" t="inlineStr"/>
      <c r="N1182" s="17" t="inlineStr">
        <is>
          <t>10 EVIDENCE &amp; DECISIONS</t>
        </is>
      </c>
    </row>
    <row r="1183" ht="34" customHeight="1">
      <c r="A1183" s="12" t="inlineStr">
        <is>
          <t>Contractor Programme</t>
        </is>
      </c>
      <c r="B1183" s="12" t="inlineStr">
        <is>
          <t>SCH-05-134</t>
        </is>
      </c>
      <c r="C1183" s="12" t="inlineStr">
        <is>
          <t>Control Centre: service-readiness review - turnover</t>
        </is>
      </c>
      <c r="D1183" s="12" t="inlineStr">
        <is>
          <t>WBS Code = 1.5.1</t>
        </is>
      </c>
      <c r="E1183" s="12" t="inlineStr">
        <is>
          <t>R854-v1</t>
        </is>
      </c>
      <c r="F1183" s="12" t="inlineStr">
        <is>
          <t>1.5.1 Testing and Commissioning - Test Readiness</t>
        </is>
      </c>
      <c r="G1183" s="12" t="inlineStr">
        <is>
          <t>ONE_TO_ONE</t>
        </is>
      </c>
      <c r="H1183" s="12" t="inlineStr">
        <is>
          <t>APPROVED</t>
        </is>
      </c>
      <c r="I1183" s="12" t="inlineStr">
        <is>
          <t>New</t>
        </is>
      </c>
      <c r="J1183" s="12" t="inlineStr">
        <is>
          <t>Source assignment -- not individually reviewed</t>
        </is>
      </c>
      <c r="K1183" s="12" t="inlineStr"/>
      <c r="L1183" s="12" t="inlineStr"/>
      <c r="M1183" s="12" t="inlineStr"/>
      <c r="N1183" s="17" t="inlineStr">
        <is>
          <t>10 EVIDENCE &amp; DECISIONS</t>
        </is>
      </c>
    </row>
    <row r="1184" ht="34" customHeight="1">
      <c r="A1184" s="12" t="inlineStr">
        <is>
          <t>Contractor Programme</t>
        </is>
      </c>
      <c r="B1184" s="12" t="inlineStr">
        <is>
          <t>SCH-05-136</t>
        </is>
      </c>
      <c r="C1184" s="12" t="inlineStr">
        <is>
          <t>Central section: trial-running shift - field start</t>
        </is>
      </c>
      <c r="D1184" s="12" t="inlineStr">
        <is>
          <t>WBS Code = 1.5.1</t>
        </is>
      </c>
      <c r="E1184" s="12" t="inlineStr">
        <is>
          <t>R856-v1</t>
        </is>
      </c>
      <c r="F1184" s="12" t="inlineStr">
        <is>
          <t>1.5.1 Testing and Commissioning - Test Readiness</t>
        </is>
      </c>
      <c r="G1184" s="12" t="inlineStr">
        <is>
          <t>ONE_TO_ONE</t>
        </is>
      </c>
      <c r="H1184" s="12" t="inlineStr">
        <is>
          <t>APPROVED</t>
        </is>
      </c>
      <c r="I1184" s="12" t="inlineStr">
        <is>
          <t>New</t>
        </is>
      </c>
      <c r="J1184" s="12" t="inlineStr">
        <is>
          <t>Source assignment -- not individually reviewed</t>
        </is>
      </c>
      <c r="K1184" s="12" t="inlineStr"/>
      <c r="L1184" s="12" t="inlineStr"/>
      <c r="M1184" s="12" t="inlineStr"/>
      <c r="N1184" s="17" t="inlineStr">
        <is>
          <t>10 EVIDENCE &amp; DECISIONS</t>
        </is>
      </c>
    </row>
    <row r="1185" ht="34" customHeight="1">
      <c r="A1185" s="12" t="inlineStr">
        <is>
          <t>Contractor Programme</t>
        </is>
      </c>
      <c r="B1185" s="12" t="inlineStr">
        <is>
          <t>SCH-05-137</t>
        </is>
      </c>
      <c r="C1185" s="12" t="inlineStr">
        <is>
          <t>West terminal: test procedure readiness review - installation</t>
        </is>
      </c>
      <c r="D1185" s="12" t="inlineStr">
        <is>
          <t>WBS Code = 1.5.1</t>
        </is>
      </c>
      <c r="E1185" s="12" t="inlineStr">
        <is>
          <t>R857-v1</t>
        </is>
      </c>
      <c r="F1185" s="12" t="inlineStr">
        <is>
          <t>1.5.1 Testing and Commissioning - Test Readiness</t>
        </is>
      </c>
      <c r="G1185" s="12" t="inlineStr">
        <is>
          <t>ONE_TO_ONE</t>
        </is>
      </c>
      <c r="H1185" s="12" t="inlineStr">
        <is>
          <t>APPROVED</t>
        </is>
      </c>
      <c r="I1185" s="12" t="inlineStr">
        <is>
          <t>New</t>
        </is>
      </c>
      <c r="J1185" s="12" t="inlineStr">
        <is>
          <t>Source assignment -- not individually reviewed</t>
        </is>
      </c>
      <c r="K1185" s="12" t="inlineStr"/>
      <c r="L1185" s="12" t="inlineStr"/>
      <c r="M1185" s="12" t="inlineStr"/>
      <c r="N1185" s="17" t="inlineStr">
        <is>
          <t>10 EVIDENCE &amp; DECISIONS</t>
        </is>
      </c>
    </row>
    <row r="1186" ht="34" customHeight="1">
      <c r="A1186" s="12" t="inlineStr">
        <is>
          <t>Contractor Programme</t>
        </is>
      </c>
      <c r="B1186" s="12" t="inlineStr">
        <is>
          <t>SCH-05-139</t>
        </is>
      </c>
      <c r="C1186" s="12" t="inlineStr">
        <is>
          <t>Control Centre: defect retest - turnover</t>
        </is>
      </c>
      <c r="D1186" s="12" t="inlineStr">
        <is>
          <t>WBS Code = 1.5.1</t>
        </is>
      </c>
      <c r="E1186" s="12" t="inlineStr">
        <is>
          <t>R859-v1</t>
        </is>
      </c>
      <c r="F1186" s="12" t="inlineStr">
        <is>
          <t>1.5.1 Testing and Commissioning - Test Readiness</t>
        </is>
      </c>
      <c r="G1186" s="12" t="inlineStr">
        <is>
          <t>ONE_TO_ONE</t>
        </is>
      </c>
      <c r="H1186" s="12" t="inlineStr">
        <is>
          <t>APPROVED</t>
        </is>
      </c>
      <c r="I1186" s="12" t="inlineStr">
        <is>
          <t>New</t>
        </is>
      </c>
      <c r="J1186" s="12" t="inlineStr">
        <is>
          <t>Source assignment -- not individually reviewed</t>
        </is>
      </c>
      <c r="K1186" s="12" t="inlineStr"/>
      <c r="L1186" s="12" t="inlineStr"/>
      <c r="M1186" s="12" t="inlineStr"/>
      <c r="N1186" s="17" t="inlineStr">
        <is>
          <t>10 EVIDENCE &amp; DECISIONS</t>
        </is>
      </c>
    </row>
    <row r="1187" ht="34" customHeight="1">
      <c r="A1187" s="12" t="inlineStr">
        <is>
          <t>Contractor Programme</t>
        </is>
      </c>
      <c r="B1187" s="12" t="inlineStr">
        <is>
          <t>SCH-05-140</t>
        </is>
      </c>
      <c r="C1187" s="12" t="inlineStr">
        <is>
          <t>Mainline east: mainline dynamic test - release</t>
        </is>
      </c>
      <c r="D1187" s="12" t="inlineStr">
        <is>
          <t>WBS Code = 1.5.1</t>
        </is>
      </c>
      <c r="E1187" s="12" t="inlineStr">
        <is>
          <t>R860-v1</t>
        </is>
      </c>
      <c r="F1187" s="12" t="inlineStr">
        <is>
          <t>1.5.1 Testing and Commissioning - Test Readiness</t>
        </is>
      </c>
      <c r="G1187" s="12" t="inlineStr">
        <is>
          <t>ONE_TO_ONE</t>
        </is>
      </c>
      <c r="H1187" s="12" t="inlineStr">
        <is>
          <t>APPROVED</t>
        </is>
      </c>
      <c r="I1187" s="12" t="inlineStr">
        <is>
          <t>New</t>
        </is>
      </c>
      <c r="J1187" s="12" t="inlineStr">
        <is>
          <t>Source assignment -- not individually reviewed</t>
        </is>
      </c>
      <c r="K1187" s="12" t="inlineStr"/>
      <c r="L1187" s="12" t="inlineStr"/>
      <c r="M1187" s="12" t="inlineStr"/>
      <c r="N1187" s="17" t="inlineStr">
        <is>
          <t>10 EVIDENCE &amp; DECISIONS</t>
        </is>
      </c>
    </row>
    <row r="1188" ht="34" customHeight="1">
      <c r="A1188" s="12" t="inlineStr">
        <is>
          <t>Contractor Programme</t>
        </is>
      </c>
      <c r="B1188" s="12" t="inlineStr">
        <is>
          <t>SCH-05-142</t>
        </is>
      </c>
      <c r="C1188" s="12" t="inlineStr">
        <is>
          <t>West terminal: service-readiness review - installation</t>
        </is>
      </c>
      <c r="D1188" s="12" t="inlineStr">
        <is>
          <t>WBS Code = 1.5.1</t>
        </is>
      </c>
      <c r="E1188" s="12" t="inlineStr">
        <is>
          <t>R862-v1</t>
        </is>
      </c>
      <c r="F1188" s="12" t="inlineStr">
        <is>
          <t>1.5.1 Testing and Commissioning - Test Readiness</t>
        </is>
      </c>
      <c r="G1188" s="12" t="inlineStr">
        <is>
          <t>ONE_TO_ONE</t>
        </is>
      </c>
      <c r="H1188" s="12" t="inlineStr">
        <is>
          <t>APPROVED</t>
        </is>
      </c>
      <c r="I1188" s="12" t="inlineStr">
        <is>
          <t>New</t>
        </is>
      </c>
      <c r="J1188" s="12" t="inlineStr">
        <is>
          <t>Source assignment -- not individually reviewed</t>
        </is>
      </c>
      <c r="K1188" s="12" t="inlineStr"/>
      <c r="L1188" s="12" t="inlineStr"/>
      <c r="M1188" s="12" t="inlineStr"/>
      <c r="N1188" s="17" t="inlineStr">
        <is>
          <t>10 EVIDENCE &amp; DECISIONS</t>
        </is>
      </c>
    </row>
    <row r="1189" ht="34" customHeight="1">
      <c r="A1189" s="12" t="inlineStr">
        <is>
          <t>Contractor Programme</t>
        </is>
      </c>
      <c r="B1189" s="12" t="inlineStr">
        <is>
          <t>SCH-05-143</t>
        </is>
      </c>
      <c r="C1189" s="12" t="inlineStr">
        <is>
          <t>Depot: station integrated test - inspection</t>
        </is>
      </c>
      <c r="D1189" s="12" t="inlineStr">
        <is>
          <t>WBS Code = 1.5.1</t>
        </is>
      </c>
      <c r="E1189" s="12" t="inlineStr">
        <is>
          <t>R863-v1</t>
        </is>
      </c>
      <c r="F1189" s="12" t="inlineStr">
        <is>
          <t>1.5.1 Testing and Commissioning - Test Readiness</t>
        </is>
      </c>
      <c r="G1189" s="12" t="inlineStr">
        <is>
          <t>ONE_TO_ONE</t>
        </is>
      </c>
      <c r="H1189" s="12" t="inlineStr">
        <is>
          <t>APPROVED</t>
        </is>
      </c>
      <c r="I1189" s="12" t="inlineStr">
        <is>
          <t>New</t>
        </is>
      </c>
      <c r="J1189" s="12" t="inlineStr">
        <is>
          <t>Source assignment -- not individually reviewed</t>
        </is>
      </c>
      <c r="K1189" s="12" t="inlineStr"/>
      <c r="L1189" s="12" t="inlineStr"/>
      <c r="M1189" s="12" t="inlineStr"/>
      <c r="N1189" s="17" t="inlineStr">
        <is>
          <t>10 EVIDENCE &amp; DECISIONS</t>
        </is>
      </c>
    </row>
    <row r="1190" ht="34" customHeight="1">
      <c r="A1190" s="12" t="inlineStr">
        <is>
          <t>Contractor Programme</t>
        </is>
      </c>
      <c r="B1190" s="12" t="inlineStr">
        <is>
          <t>SCH-05-145</t>
        </is>
      </c>
      <c r="C1190" s="12" t="inlineStr">
        <is>
          <t>Mainline east: test procedure readiness review - release</t>
        </is>
      </c>
      <c r="D1190" s="12" t="inlineStr">
        <is>
          <t>WBS Code = 1.5.1</t>
        </is>
      </c>
      <c r="E1190" s="12" t="inlineStr">
        <is>
          <t>R865-v1</t>
        </is>
      </c>
      <c r="F1190" s="12" t="inlineStr">
        <is>
          <t>1.5.1 Testing and Commissioning - Test Readiness</t>
        </is>
      </c>
      <c r="G1190" s="12" t="inlineStr">
        <is>
          <t>ONE_TO_ONE</t>
        </is>
      </c>
      <c r="H1190" s="12" t="inlineStr">
        <is>
          <t>APPROVED</t>
        </is>
      </c>
      <c r="I1190" s="12" t="inlineStr">
        <is>
          <t>New</t>
        </is>
      </c>
      <c r="J1190" s="12" t="inlineStr">
        <is>
          <t>Source assignment -- not individually reviewed</t>
        </is>
      </c>
      <c r="K1190" s="12" t="inlineStr"/>
      <c r="L1190" s="12" t="inlineStr"/>
      <c r="M1190" s="12" t="inlineStr"/>
      <c r="N1190" s="17" t="inlineStr">
        <is>
          <t>10 EVIDENCE &amp; DECISIONS</t>
        </is>
      </c>
    </row>
    <row r="1191" ht="34" customHeight="1">
      <c r="A1191" s="12" t="inlineStr">
        <is>
          <t>Contractor Programme</t>
        </is>
      </c>
      <c r="B1191" s="12" t="inlineStr">
        <is>
          <t>SCH-05-146</t>
        </is>
      </c>
      <c r="C1191" s="12" t="inlineStr">
        <is>
          <t>Central section: emergency-response drill - field start</t>
        </is>
      </c>
      <c r="D1191" s="12" t="inlineStr">
        <is>
          <t>WBS Code = 1.5.1</t>
        </is>
      </c>
      <c r="E1191" s="12" t="inlineStr">
        <is>
          <t>R866-v1</t>
        </is>
      </c>
      <c r="F1191" s="12" t="inlineStr">
        <is>
          <t>1.5.1 Testing and Commissioning - Test Readiness</t>
        </is>
      </c>
      <c r="G1191" s="12" t="inlineStr">
        <is>
          <t>ONE_TO_ONE</t>
        </is>
      </c>
      <c r="H1191" s="12" t="inlineStr">
        <is>
          <t>APPROVED</t>
        </is>
      </c>
      <c r="I1191" s="12" t="inlineStr">
        <is>
          <t>New</t>
        </is>
      </c>
      <c r="J1191" s="12" t="inlineStr">
        <is>
          <t>Source assignment -- not individually reviewed</t>
        </is>
      </c>
      <c r="K1191" s="12" t="inlineStr"/>
      <c r="L1191" s="12" t="inlineStr"/>
      <c r="M1191" s="12" t="inlineStr"/>
      <c r="N1191" s="17" t="inlineStr">
        <is>
          <t>10 EVIDENCE &amp; DECISIONS</t>
        </is>
      </c>
    </row>
    <row r="1192" ht="34" customHeight="1">
      <c r="A1192" s="12" t="inlineStr">
        <is>
          <t>Contractor Programme</t>
        </is>
      </c>
      <c r="B1192" s="12" t="inlineStr">
        <is>
          <t>SCH-05-148</t>
        </is>
      </c>
      <c r="C1192" s="12" t="inlineStr">
        <is>
          <t>Depot: mainline dynamic test - inspection</t>
        </is>
      </c>
      <c r="D1192" s="12" t="inlineStr">
        <is>
          <t>WBS Code = 1.5.1</t>
        </is>
      </c>
      <c r="E1192" s="12" t="inlineStr">
        <is>
          <t>R868-v1</t>
        </is>
      </c>
      <c r="F1192" s="12" t="inlineStr">
        <is>
          <t>1.5.1 Testing and Commissioning - Test Readiness</t>
        </is>
      </c>
      <c r="G1192" s="12" t="inlineStr">
        <is>
          <t>ONE_TO_ONE</t>
        </is>
      </c>
      <c r="H1192" s="12" t="inlineStr">
        <is>
          <t>APPROVED</t>
        </is>
      </c>
      <c r="I1192" s="12" t="inlineStr">
        <is>
          <t>New</t>
        </is>
      </c>
      <c r="J1192" s="12" t="inlineStr">
        <is>
          <t>Source assignment -- not individually reviewed</t>
        </is>
      </c>
      <c r="K1192" s="12" t="inlineStr"/>
      <c r="L1192" s="12" t="inlineStr"/>
      <c r="M1192" s="12" t="inlineStr"/>
      <c r="N1192" s="17" t="inlineStr">
        <is>
          <t>10 EVIDENCE &amp; DECISIONS</t>
        </is>
      </c>
    </row>
    <row r="1193" ht="34" customHeight="1">
      <c r="A1193" s="12" t="inlineStr">
        <is>
          <t>Contractor Programme</t>
        </is>
      </c>
      <c r="B1193" s="12" t="inlineStr">
        <is>
          <t>SCH-05-149</t>
        </is>
      </c>
      <c r="C1193" s="12" t="inlineStr">
        <is>
          <t>Control Centre: safety certificate evidence closeout - turnover</t>
        </is>
      </c>
      <c r="D1193" s="12" t="inlineStr">
        <is>
          <t>WBS Code = 1.5.1</t>
        </is>
      </c>
      <c r="E1193" s="12" t="inlineStr">
        <is>
          <t>R869-v1</t>
        </is>
      </c>
      <c r="F1193" s="12" t="inlineStr">
        <is>
          <t>1.5.1 Testing and Commissioning - Test Readiness</t>
        </is>
      </c>
      <c r="G1193" s="12" t="inlineStr">
        <is>
          <t>ONE_TO_ONE</t>
        </is>
      </c>
      <c r="H1193" s="12" t="inlineStr">
        <is>
          <t>APPROVED</t>
        </is>
      </c>
      <c r="I1193" s="12" t="inlineStr">
        <is>
          <t>New</t>
        </is>
      </c>
      <c r="J1193" s="12" t="inlineStr">
        <is>
          <t>Source assignment -- not individually reviewed</t>
        </is>
      </c>
      <c r="K1193" s="12" t="inlineStr"/>
      <c r="L1193" s="12" t="inlineStr"/>
      <c r="M1193" s="12" t="inlineStr"/>
      <c r="N1193" s="17" t="inlineStr">
        <is>
          <t>10 EVIDENCE &amp; DECISIONS</t>
        </is>
      </c>
    </row>
    <row r="1194" ht="34" customHeight="1">
      <c r="A1194" s="12" t="inlineStr">
        <is>
          <t>Contractor Programme</t>
        </is>
      </c>
      <c r="B1194" s="12" t="inlineStr">
        <is>
          <t>SCH-05-151</t>
        </is>
      </c>
      <c r="C1194" s="12" t="inlineStr">
        <is>
          <t>Central section: station integrated test - field start</t>
        </is>
      </c>
      <c r="D1194" s="12" t="inlineStr">
        <is>
          <t>WBS Code = 1.5.1</t>
        </is>
      </c>
      <c r="E1194" s="12" t="inlineStr">
        <is>
          <t>R871-v1</t>
        </is>
      </c>
      <c r="F1194" s="12" t="inlineStr">
        <is>
          <t>1.5.1 Testing and Commissioning - Test Readiness</t>
        </is>
      </c>
      <c r="G1194" s="12" t="inlineStr">
        <is>
          <t>ONE_TO_ONE</t>
        </is>
      </c>
      <c r="H1194" s="12" t="inlineStr">
        <is>
          <t>APPROVED</t>
        </is>
      </c>
      <c r="I1194" s="12" t="inlineStr">
        <is>
          <t>New</t>
        </is>
      </c>
      <c r="J1194" s="12" t="inlineStr">
        <is>
          <t>Source assignment -- not individually reviewed</t>
        </is>
      </c>
      <c r="K1194" s="12" t="inlineStr"/>
      <c r="L1194" s="12" t="inlineStr"/>
      <c r="M1194" s="12" t="inlineStr"/>
      <c r="N1194" s="17" t="inlineStr">
        <is>
          <t>10 EVIDENCE &amp; DECISIONS</t>
        </is>
      </c>
    </row>
    <row r="1195" ht="34" customHeight="1">
      <c r="A1195" s="12" t="inlineStr">
        <is>
          <t>Contractor Programme</t>
        </is>
      </c>
      <c r="B1195" s="12" t="inlineStr">
        <is>
          <t>SCH-05-152</t>
        </is>
      </c>
      <c r="C1195" s="12" t="inlineStr">
        <is>
          <t>West terminal: trial-running shift - installation</t>
        </is>
      </c>
      <c r="D1195" s="12" t="inlineStr">
        <is>
          <t>WBS Code = 1.5.1</t>
        </is>
      </c>
      <c r="E1195" s="12" t="inlineStr">
        <is>
          <t>R872-v1</t>
        </is>
      </c>
      <c r="F1195" s="12" t="inlineStr">
        <is>
          <t>1.5.1 Testing and Commissioning - Test Readiness</t>
        </is>
      </c>
      <c r="G1195" s="12" t="inlineStr">
        <is>
          <t>ONE_TO_ONE</t>
        </is>
      </c>
      <c r="H1195" s="12" t="inlineStr">
        <is>
          <t>APPROVED</t>
        </is>
      </c>
      <c r="I1195" s="12" t="inlineStr">
        <is>
          <t>New</t>
        </is>
      </c>
      <c r="J1195" s="12" t="inlineStr">
        <is>
          <t>Source assignment -- not individually reviewed</t>
        </is>
      </c>
      <c r="K1195" s="12" t="inlineStr"/>
      <c r="L1195" s="12" t="inlineStr"/>
      <c r="M1195" s="12" t="inlineStr"/>
      <c r="N1195" s="17" t="inlineStr">
        <is>
          <t>10 EVIDENCE &amp; DECISIONS</t>
        </is>
      </c>
    </row>
    <row r="1196" ht="34" customHeight="1">
      <c r="A1196" s="12" t="inlineStr">
        <is>
          <t>Contractor Programme</t>
        </is>
      </c>
      <c r="B1196" s="12" t="inlineStr">
        <is>
          <t>SCH-05-154</t>
        </is>
      </c>
      <c r="C1196" s="12" t="inlineStr">
        <is>
          <t>Control Centre: emergency-response drill - turnover</t>
        </is>
      </c>
      <c r="D1196" s="12" t="inlineStr">
        <is>
          <t>WBS Code = 1.5.1</t>
        </is>
      </c>
      <c r="E1196" s="12" t="inlineStr">
        <is>
          <t>R874-v1</t>
        </is>
      </c>
      <c r="F1196" s="12" t="inlineStr">
        <is>
          <t>1.5.1 Testing and Commissioning - Test Readiness</t>
        </is>
      </c>
      <c r="G1196" s="12" t="inlineStr">
        <is>
          <t>ONE_TO_ONE</t>
        </is>
      </c>
      <c r="H1196" s="12" t="inlineStr">
        <is>
          <t>APPROVED</t>
        </is>
      </c>
      <c r="I1196" s="12" t="inlineStr">
        <is>
          <t>New</t>
        </is>
      </c>
      <c r="J1196" s="12" t="inlineStr">
        <is>
          <t>Source assignment -- not individually reviewed</t>
        </is>
      </c>
      <c r="K1196" s="12" t="inlineStr"/>
      <c r="L1196" s="12" t="inlineStr"/>
      <c r="M1196" s="12" t="inlineStr"/>
      <c r="N1196" s="17" t="inlineStr">
        <is>
          <t>10 EVIDENCE &amp; DECISIONS</t>
        </is>
      </c>
    </row>
    <row r="1197" ht="34" customHeight="1">
      <c r="A1197" s="12" t="inlineStr">
        <is>
          <t>Contractor Programme</t>
        </is>
      </c>
      <c r="B1197" s="12" t="inlineStr">
        <is>
          <t>SCH-05-155</t>
        </is>
      </c>
      <c r="C1197" s="12" t="inlineStr">
        <is>
          <t>Mainline east: defect retest - release</t>
        </is>
      </c>
      <c r="D1197" s="12" t="inlineStr">
        <is>
          <t>WBS Code = 1.5.1</t>
        </is>
      </c>
      <c r="E1197" s="12" t="inlineStr">
        <is>
          <t>R875-v1</t>
        </is>
      </c>
      <c r="F1197" s="12" t="inlineStr">
        <is>
          <t>1.5.1 Testing and Commissioning - Test Readiness</t>
        </is>
      </c>
      <c r="G1197" s="12" t="inlineStr">
        <is>
          <t>ONE_TO_ONE</t>
        </is>
      </c>
      <c r="H1197" s="12" t="inlineStr">
        <is>
          <t>APPROVED</t>
        </is>
      </c>
      <c r="I1197" s="12" t="inlineStr">
        <is>
          <t>New</t>
        </is>
      </c>
      <c r="J1197" s="12" t="inlineStr">
        <is>
          <t>Source assignment -- not individually reviewed</t>
        </is>
      </c>
      <c r="K1197" s="12" t="inlineStr"/>
      <c r="L1197" s="12" t="inlineStr"/>
      <c r="M1197" s="12" t="inlineStr"/>
      <c r="N1197" s="17" t="inlineStr">
        <is>
          <t>10 EVIDENCE &amp; DECISIONS</t>
        </is>
      </c>
    </row>
    <row r="1198" ht="34" customHeight="1">
      <c r="A1198" s="12" t="inlineStr">
        <is>
          <t>Contractor Programme</t>
        </is>
      </c>
      <c r="B1198" s="12" t="inlineStr">
        <is>
          <t>SCH-05-157</t>
        </is>
      </c>
      <c r="C1198" s="12" t="inlineStr">
        <is>
          <t>West terminal: safety certificate evidence closeout - installation</t>
        </is>
      </c>
      <c r="D1198" s="12" t="inlineStr">
        <is>
          <t>WBS Code = 1.5.1</t>
        </is>
      </c>
      <c r="E1198" s="12" t="inlineStr">
        <is>
          <t>R877-v1</t>
        </is>
      </c>
      <c r="F1198" s="12" t="inlineStr">
        <is>
          <t>1.5.1 Testing and Commissioning - Test Readiness</t>
        </is>
      </c>
      <c r="G1198" s="12" t="inlineStr">
        <is>
          <t>ONE_TO_ONE</t>
        </is>
      </c>
      <c r="H1198" s="12" t="inlineStr">
        <is>
          <t>APPROVED</t>
        </is>
      </c>
      <c r="I1198" s="12" t="inlineStr">
        <is>
          <t>New</t>
        </is>
      </c>
      <c r="J1198" s="12" t="inlineStr">
        <is>
          <t>Source assignment -- not individually reviewed</t>
        </is>
      </c>
      <c r="K1198" s="12" t="inlineStr"/>
      <c r="L1198" s="12" t="inlineStr"/>
      <c r="M1198" s="12" t="inlineStr"/>
      <c r="N1198" s="17" t="inlineStr">
        <is>
          <t>10 EVIDENCE &amp; DECISIONS</t>
        </is>
      </c>
    </row>
    <row r="1199" ht="34" customHeight="1">
      <c r="A1199" s="12" t="inlineStr">
        <is>
          <t>Contractor Programme</t>
        </is>
      </c>
      <c r="B1199" s="12" t="inlineStr">
        <is>
          <t>SCH-05-158</t>
        </is>
      </c>
      <c r="C1199" s="12" t="inlineStr">
        <is>
          <t>Depot: service-readiness review - inspection</t>
        </is>
      </c>
      <c r="D1199" s="12" t="inlineStr">
        <is>
          <t>WBS Code = 1.5.1</t>
        </is>
      </c>
      <c r="E1199" s="12" t="inlineStr">
        <is>
          <t>R878-v1</t>
        </is>
      </c>
      <c r="F1199" s="12" t="inlineStr">
        <is>
          <t>1.5.1 Testing and Commissioning - Test Readiness</t>
        </is>
      </c>
      <c r="G1199" s="12" t="inlineStr">
        <is>
          <t>ONE_TO_ONE</t>
        </is>
      </c>
      <c r="H1199" s="12" t="inlineStr">
        <is>
          <t>APPROVED</t>
        </is>
      </c>
      <c r="I1199" s="12" t="inlineStr">
        <is>
          <t>New</t>
        </is>
      </c>
      <c r="J1199" s="12" t="inlineStr">
        <is>
          <t>Source assignment -- not individually reviewed</t>
        </is>
      </c>
      <c r="K1199" s="12" t="inlineStr"/>
      <c r="L1199" s="12" t="inlineStr"/>
      <c r="M1199" s="12" t="inlineStr"/>
      <c r="N1199" s="17" t="inlineStr">
        <is>
          <t>10 EVIDENCE &amp; DECISIONS</t>
        </is>
      </c>
    </row>
    <row r="1200" ht="34" customHeight="1">
      <c r="A1200" s="12" t="inlineStr">
        <is>
          <t>Contractor Programme</t>
        </is>
      </c>
      <c r="B1200" s="12" t="inlineStr">
        <is>
          <t>SCH-05-160</t>
        </is>
      </c>
      <c r="C1200" s="12" t="inlineStr">
        <is>
          <t>Mainline east: trial-running shift - release</t>
        </is>
      </c>
      <c r="D1200" s="12" t="inlineStr">
        <is>
          <t>WBS Code = 1.5.1</t>
        </is>
      </c>
      <c r="E1200" s="12" t="inlineStr">
        <is>
          <t>R880-v1</t>
        </is>
      </c>
      <c r="F1200" s="12" t="inlineStr">
        <is>
          <t>1.5.1 Testing and Commissioning - Test Readiness</t>
        </is>
      </c>
      <c r="G1200" s="12" t="inlineStr">
        <is>
          <t>ONE_TO_ONE</t>
        </is>
      </c>
      <c r="H1200" s="12" t="inlineStr">
        <is>
          <t>APPROVED</t>
        </is>
      </c>
      <c r="I1200" s="12" t="inlineStr">
        <is>
          <t>New</t>
        </is>
      </c>
      <c r="J1200" s="12" t="inlineStr">
        <is>
          <t>Source assignment -- not individually reviewed</t>
        </is>
      </c>
      <c r="K1200" s="12" t="inlineStr"/>
      <c r="L1200" s="12" t="inlineStr"/>
      <c r="M1200" s="12" t="inlineStr"/>
      <c r="N1200" s="17" t="inlineStr">
        <is>
          <t>10 EVIDENCE &amp; DECISIONS</t>
        </is>
      </c>
    </row>
    <row r="1201" ht="34" customHeight="1">
      <c r="A1201" s="12" t="inlineStr">
        <is>
          <t>Contractor Programme</t>
        </is>
      </c>
      <c r="B1201" s="12" t="inlineStr">
        <is>
          <t>SCH-05-161</t>
        </is>
      </c>
      <c r="C1201" s="12" t="inlineStr">
        <is>
          <t>Central section: test procedure readiness review - field start</t>
        </is>
      </c>
      <c r="D1201" s="12" t="inlineStr">
        <is>
          <t>WBS Code = 1.5.1</t>
        </is>
      </c>
      <c r="E1201" s="12" t="inlineStr">
        <is>
          <t>R881-v1</t>
        </is>
      </c>
      <c r="F1201" s="12" t="inlineStr">
        <is>
          <t>1.5.1 Testing and Commissioning - Test Readiness</t>
        </is>
      </c>
      <c r="G1201" s="12" t="inlineStr">
        <is>
          <t>ONE_TO_ONE</t>
        </is>
      </c>
      <c r="H1201" s="12" t="inlineStr">
        <is>
          <t>APPROVED</t>
        </is>
      </c>
      <c r="I1201" s="12" t="inlineStr">
        <is>
          <t>New</t>
        </is>
      </c>
      <c r="J1201" s="12" t="inlineStr">
        <is>
          <t>Source assignment -- not individually reviewed</t>
        </is>
      </c>
      <c r="K1201" s="12" t="inlineStr"/>
      <c r="L1201" s="12" t="inlineStr"/>
      <c r="M1201" s="12" t="inlineStr"/>
      <c r="N1201" s="17" t="inlineStr">
        <is>
          <t>10 EVIDENCE &amp; DECISIONS</t>
        </is>
      </c>
    </row>
    <row r="1202" ht="34" customHeight="1">
      <c r="A1202" s="12" t="inlineStr">
        <is>
          <t>Contractor Programme</t>
        </is>
      </c>
      <c r="B1202" s="12" t="inlineStr">
        <is>
          <t>SCH-05-163</t>
        </is>
      </c>
      <c r="C1202" s="12" t="inlineStr">
        <is>
          <t>Depot: defect retest - inspection</t>
        </is>
      </c>
      <c r="D1202" s="12" t="inlineStr">
        <is>
          <t>WBS Code = 1.5.1</t>
        </is>
      </c>
      <c r="E1202" s="12" t="inlineStr">
        <is>
          <t>R883-v1</t>
        </is>
      </c>
      <c r="F1202" s="12" t="inlineStr">
        <is>
          <t>1.5.1 Testing and Commissioning - Test Readiness</t>
        </is>
      </c>
      <c r="G1202" s="12" t="inlineStr">
        <is>
          <t>ONE_TO_ONE</t>
        </is>
      </c>
      <c r="H1202" s="12" t="inlineStr">
        <is>
          <t>APPROVED</t>
        </is>
      </c>
      <c r="I1202" s="12" t="inlineStr">
        <is>
          <t>New</t>
        </is>
      </c>
      <c r="J1202" s="12" t="inlineStr">
        <is>
          <t>Source assignment -- not individually reviewed</t>
        </is>
      </c>
      <c r="K1202" s="12" t="inlineStr"/>
      <c r="L1202" s="12" t="inlineStr"/>
      <c r="M1202" s="12" t="inlineStr"/>
      <c r="N1202" s="17" t="inlineStr">
        <is>
          <t>10 EVIDENCE &amp; DECISIONS</t>
        </is>
      </c>
    </row>
    <row r="1203" ht="34" customHeight="1">
      <c r="A1203" s="12" t="inlineStr">
        <is>
          <t>Contractor Programme</t>
        </is>
      </c>
      <c r="B1203" s="12" t="inlineStr">
        <is>
          <t>SCH-05-164</t>
        </is>
      </c>
      <c r="C1203" s="12" t="inlineStr">
        <is>
          <t>Control Centre: mainline dynamic test - turnover</t>
        </is>
      </c>
      <c r="D1203" s="12" t="inlineStr">
        <is>
          <t>WBS Code = 1.5.1</t>
        </is>
      </c>
      <c r="E1203" s="12" t="inlineStr">
        <is>
          <t>R884-v1</t>
        </is>
      </c>
      <c r="F1203" s="12" t="inlineStr">
        <is>
          <t>1.5.1 Testing and Commissioning - Test Readiness</t>
        </is>
      </c>
      <c r="G1203" s="12" t="inlineStr">
        <is>
          <t>ONE_TO_ONE</t>
        </is>
      </c>
      <c r="H1203" s="12" t="inlineStr">
        <is>
          <t>APPROVED</t>
        </is>
      </c>
      <c r="I1203" s="12" t="inlineStr">
        <is>
          <t>New</t>
        </is>
      </c>
      <c r="J1203" s="12" t="inlineStr">
        <is>
          <t>Source assignment -- not individually reviewed</t>
        </is>
      </c>
      <c r="K1203" s="12" t="inlineStr"/>
      <c r="L1203" s="12" t="inlineStr"/>
      <c r="M1203" s="12" t="inlineStr"/>
      <c r="N1203" s="17" t="inlineStr">
        <is>
          <t>10 EVIDENCE &amp; DECISIONS</t>
        </is>
      </c>
    </row>
    <row r="1204" ht="34" customHeight="1">
      <c r="A1204" s="12" t="inlineStr">
        <is>
          <t>Contractor Programme</t>
        </is>
      </c>
      <c r="B1204" s="12" t="inlineStr">
        <is>
          <t>SCH-05-166</t>
        </is>
      </c>
      <c r="C1204" s="12" t="inlineStr">
        <is>
          <t>Central section: service-readiness review - field start</t>
        </is>
      </c>
      <c r="D1204" s="12" t="inlineStr">
        <is>
          <t>WBS Code = 1.5.1</t>
        </is>
      </c>
      <c r="E1204" s="12" t="inlineStr">
        <is>
          <t>R886-v1</t>
        </is>
      </c>
      <c r="F1204" s="12" t="inlineStr">
        <is>
          <t>1.5.1 Testing and Commissioning - Test Readiness</t>
        </is>
      </c>
      <c r="G1204" s="12" t="inlineStr">
        <is>
          <t>ONE_TO_ONE</t>
        </is>
      </c>
      <c r="H1204" s="12" t="inlineStr">
        <is>
          <t>APPROVED</t>
        </is>
      </c>
      <c r="I1204" s="12" t="inlineStr">
        <is>
          <t>New</t>
        </is>
      </c>
      <c r="J1204" s="12" t="inlineStr">
        <is>
          <t>Source assignment -- not individually reviewed</t>
        </is>
      </c>
      <c r="K1204" s="12" t="inlineStr"/>
      <c r="L1204" s="12" t="inlineStr"/>
      <c r="M1204" s="12" t="inlineStr"/>
      <c r="N1204" s="17" t="inlineStr">
        <is>
          <t>10 EVIDENCE &amp; DECISIONS</t>
        </is>
      </c>
    </row>
    <row r="1205" ht="34" customHeight="1">
      <c r="A1205" s="12" t="inlineStr">
        <is>
          <t>Contractor Programme</t>
        </is>
      </c>
      <c r="B1205" s="12" t="inlineStr">
        <is>
          <t>SCH-05-167</t>
        </is>
      </c>
      <c r="C1205" s="12" t="inlineStr">
        <is>
          <t>West terminal: station integrated test - installation</t>
        </is>
      </c>
      <c r="D1205" s="12" t="inlineStr">
        <is>
          <t>WBS Code = 1.5.1</t>
        </is>
      </c>
      <c r="E1205" s="12" t="inlineStr">
        <is>
          <t>R887-v1</t>
        </is>
      </c>
      <c r="F1205" s="12" t="inlineStr">
        <is>
          <t>1.5.1 Testing and Commissioning - Test Readiness</t>
        </is>
      </c>
      <c r="G1205" s="12" t="inlineStr">
        <is>
          <t>ONE_TO_ONE</t>
        </is>
      </c>
      <c r="H1205" s="12" t="inlineStr">
        <is>
          <t>APPROVED</t>
        </is>
      </c>
      <c r="I1205" s="12" t="inlineStr">
        <is>
          <t>New</t>
        </is>
      </c>
      <c r="J1205" s="12" t="inlineStr">
        <is>
          <t>Source assignment -- not individually reviewed</t>
        </is>
      </c>
      <c r="K1205" s="12" t="inlineStr"/>
      <c r="L1205" s="12" t="inlineStr"/>
      <c r="M1205" s="12" t="inlineStr"/>
      <c r="N1205" s="17" t="inlineStr">
        <is>
          <t>10 EVIDENCE &amp; DECISIONS</t>
        </is>
      </c>
    </row>
    <row r="1206" ht="34" customHeight="1">
      <c r="A1206" s="12" t="inlineStr">
        <is>
          <t>Contractor Programme</t>
        </is>
      </c>
      <c r="B1206" s="12" t="inlineStr">
        <is>
          <t>SCH-05-169</t>
        </is>
      </c>
      <c r="C1206" s="12" t="inlineStr">
        <is>
          <t>Control Centre: test procedure readiness review - turnover</t>
        </is>
      </c>
      <c r="D1206" s="12" t="inlineStr">
        <is>
          <t>WBS Code = 1.5.1</t>
        </is>
      </c>
      <c r="E1206" s="12" t="inlineStr">
        <is>
          <t>R889-v1</t>
        </is>
      </c>
      <c r="F1206" s="12" t="inlineStr">
        <is>
          <t>1.5.1 Testing and Commissioning - Test Readiness</t>
        </is>
      </c>
      <c r="G1206" s="12" t="inlineStr">
        <is>
          <t>ONE_TO_ONE</t>
        </is>
      </c>
      <c r="H1206" s="12" t="inlineStr">
        <is>
          <t>APPROVED</t>
        </is>
      </c>
      <c r="I1206" s="12" t="inlineStr">
        <is>
          <t>New</t>
        </is>
      </c>
      <c r="J1206" s="12" t="inlineStr">
        <is>
          <t>Source assignment -- not individually reviewed</t>
        </is>
      </c>
      <c r="K1206" s="12" t="inlineStr"/>
      <c r="L1206" s="12" t="inlineStr"/>
      <c r="M1206" s="12" t="inlineStr"/>
      <c r="N1206" s="17" t="inlineStr">
        <is>
          <t>10 EVIDENCE &amp; DECISIONS</t>
        </is>
      </c>
    </row>
    <row r="1207" ht="34" customHeight="1">
      <c r="A1207" s="12" t="inlineStr">
        <is>
          <t>Contractor Programme</t>
        </is>
      </c>
      <c r="B1207" s="12" t="inlineStr">
        <is>
          <t>SCH-05-170</t>
        </is>
      </c>
      <c r="C1207" s="12" t="inlineStr">
        <is>
          <t>Mainline east: emergency-response drill - release</t>
        </is>
      </c>
      <c r="D1207" s="12" t="inlineStr">
        <is>
          <t>WBS Code = 1.5.1</t>
        </is>
      </c>
      <c r="E1207" s="12" t="inlineStr">
        <is>
          <t>R890-v1</t>
        </is>
      </c>
      <c r="F1207" s="12" t="inlineStr">
        <is>
          <t>1.5.1 Testing and Commissioning - Test Readiness</t>
        </is>
      </c>
      <c r="G1207" s="12" t="inlineStr">
        <is>
          <t>ONE_TO_ONE</t>
        </is>
      </c>
      <c r="H1207" s="12" t="inlineStr">
        <is>
          <t>APPROVED</t>
        </is>
      </c>
      <c r="I1207" s="12" t="inlineStr">
        <is>
          <t>New</t>
        </is>
      </c>
      <c r="J1207" s="12" t="inlineStr">
        <is>
          <t>Source assignment -- not individually reviewed</t>
        </is>
      </c>
      <c r="K1207" s="12" t="inlineStr"/>
      <c r="L1207" s="12" t="inlineStr"/>
      <c r="M1207" s="12" t="inlineStr"/>
      <c r="N1207" s="17" t="inlineStr">
        <is>
          <t>10 EVIDENCE &amp; DECISIONS</t>
        </is>
      </c>
    </row>
    <row r="1208" ht="34" customHeight="1">
      <c r="A1208" s="12" t="inlineStr">
        <is>
          <t>Contractor Programme</t>
        </is>
      </c>
      <c r="B1208" s="12" t="inlineStr">
        <is>
          <t>SCH-05-172</t>
        </is>
      </c>
      <c r="C1208" s="12" t="inlineStr">
        <is>
          <t>West terminal: mainline dynamic test - installation</t>
        </is>
      </c>
      <c r="D1208" s="12" t="inlineStr">
        <is>
          <t>WBS Code = 1.5.1</t>
        </is>
      </c>
      <c r="E1208" s="12" t="inlineStr">
        <is>
          <t>R892-v1</t>
        </is>
      </c>
      <c r="F1208" s="12" t="inlineStr">
        <is>
          <t>1.5.1 Testing and Commissioning - Test Readiness</t>
        </is>
      </c>
      <c r="G1208" s="12" t="inlineStr">
        <is>
          <t>ONE_TO_ONE</t>
        </is>
      </c>
      <c r="H1208" s="12" t="inlineStr">
        <is>
          <t>APPROVED</t>
        </is>
      </c>
      <c r="I1208" s="12" t="inlineStr">
        <is>
          <t>New</t>
        </is>
      </c>
      <c r="J1208" s="12" t="inlineStr">
        <is>
          <t>Source assignment -- not individually reviewed</t>
        </is>
      </c>
      <c r="K1208" s="12" t="inlineStr"/>
      <c r="L1208" s="12" t="inlineStr"/>
      <c r="M1208" s="12" t="inlineStr"/>
      <c r="N1208" s="17" t="inlineStr">
        <is>
          <t>10 EVIDENCE &amp; DECISIONS</t>
        </is>
      </c>
    </row>
    <row r="1209" ht="34" customHeight="1">
      <c r="A1209" s="12" t="inlineStr">
        <is>
          <t>Contractor Programme</t>
        </is>
      </c>
      <c r="B1209" s="12" t="inlineStr">
        <is>
          <t>SCH-05-173</t>
        </is>
      </c>
      <c r="C1209" s="12" t="inlineStr">
        <is>
          <t>Depot: safety certificate evidence closeout - inspection</t>
        </is>
      </c>
      <c r="D1209" s="12" t="inlineStr">
        <is>
          <t>WBS Code = 1.5.1</t>
        </is>
      </c>
      <c r="E1209" s="12" t="inlineStr">
        <is>
          <t>R893-v1</t>
        </is>
      </c>
      <c r="F1209" s="12" t="inlineStr">
        <is>
          <t>1.5.1 Testing and Commissioning - Test Readiness</t>
        </is>
      </c>
      <c r="G1209" s="12" t="inlineStr">
        <is>
          <t>ONE_TO_ONE</t>
        </is>
      </c>
      <c r="H1209" s="12" t="inlineStr">
        <is>
          <t>APPROVED</t>
        </is>
      </c>
      <c r="I1209" s="12" t="inlineStr">
        <is>
          <t>New</t>
        </is>
      </c>
      <c r="J1209" s="12" t="inlineStr">
        <is>
          <t>Source assignment -- not individually reviewed</t>
        </is>
      </c>
      <c r="K1209" s="12" t="inlineStr"/>
      <c r="L1209" s="12" t="inlineStr"/>
      <c r="M1209" s="12" t="inlineStr"/>
      <c r="N1209" s="17" t="inlineStr">
        <is>
          <t>10 EVIDENCE &amp; DECISIONS</t>
        </is>
      </c>
    </row>
    <row r="1210" ht="34" customHeight="1">
      <c r="A1210" s="12" t="inlineStr">
        <is>
          <t>Contractor Programme</t>
        </is>
      </c>
      <c r="B1210" s="12" t="inlineStr">
        <is>
          <t>SCH-05-175</t>
        </is>
      </c>
      <c r="C1210" s="12" t="inlineStr">
        <is>
          <t>Mainline east: station integrated test - release</t>
        </is>
      </c>
      <c r="D1210" s="12" t="inlineStr">
        <is>
          <t>WBS Code = 1.5.1</t>
        </is>
      </c>
      <c r="E1210" s="12" t="inlineStr">
        <is>
          <t>R895-v1</t>
        </is>
      </c>
      <c r="F1210" s="12" t="inlineStr">
        <is>
          <t>1.5.1 Testing and Commissioning - Test Readiness</t>
        </is>
      </c>
      <c r="G1210" s="12" t="inlineStr">
        <is>
          <t>ONE_TO_ONE</t>
        </is>
      </c>
      <c r="H1210" s="12" t="inlineStr">
        <is>
          <t>APPROVED</t>
        </is>
      </c>
      <c r="I1210" s="12" t="inlineStr">
        <is>
          <t>New</t>
        </is>
      </c>
      <c r="J1210" s="12" t="inlineStr">
        <is>
          <t>Source assignment -- not individually reviewed</t>
        </is>
      </c>
      <c r="K1210" s="12" t="inlineStr"/>
      <c r="L1210" s="12" t="inlineStr"/>
      <c r="M1210" s="12" t="inlineStr"/>
      <c r="N1210" s="17" t="inlineStr">
        <is>
          <t>10 EVIDENCE &amp; DECISIONS</t>
        </is>
      </c>
    </row>
    <row r="1211" ht="34" customHeight="1">
      <c r="A1211" s="12" t="inlineStr">
        <is>
          <t>Contractor Programme</t>
        </is>
      </c>
      <c r="B1211" s="12" t="inlineStr">
        <is>
          <t>SCH-05-176</t>
        </is>
      </c>
      <c r="C1211" s="12" t="inlineStr">
        <is>
          <t>Central section: trial-running shift - field start</t>
        </is>
      </c>
      <c r="D1211" s="12" t="inlineStr">
        <is>
          <t>WBS Code = 1.5.1</t>
        </is>
      </c>
      <c r="E1211" s="12" t="inlineStr">
        <is>
          <t>R896-v1</t>
        </is>
      </c>
      <c r="F1211" s="12" t="inlineStr">
        <is>
          <t>1.5.1 Testing and Commissioning - Test Readiness</t>
        </is>
      </c>
      <c r="G1211" s="12" t="inlineStr">
        <is>
          <t>ONE_TO_ONE</t>
        </is>
      </c>
      <c r="H1211" s="12" t="inlineStr">
        <is>
          <t>APPROVED</t>
        </is>
      </c>
      <c r="I1211" s="12" t="inlineStr">
        <is>
          <t>New</t>
        </is>
      </c>
      <c r="J1211" s="12" t="inlineStr">
        <is>
          <t>Source assignment -- not individually reviewed</t>
        </is>
      </c>
      <c r="K1211" s="12" t="inlineStr"/>
      <c r="L1211" s="12" t="inlineStr"/>
      <c r="M1211" s="12" t="inlineStr"/>
      <c r="N1211" s="17" t="inlineStr">
        <is>
          <t>10 EVIDENCE &amp; DECISIONS</t>
        </is>
      </c>
    </row>
    <row r="1212" ht="34" customHeight="1">
      <c r="A1212" s="12" t="inlineStr">
        <is>
          <t>Contractor Programme</t>
        </is>
      </c>
      <c r="B1212" s="12" t="inlineStr">
        <is>
          <t>SCH-05-178</t>
        </is>
      </c>
      <c r="C1212" s="12" t="inlineStr">
        <is>
          <t>Depot: emergency-response drill - inspection</t>
        </is>
      </c>
      <c r="D1212" s="12" t="inlineStr">
        <is>
          <t>WBS Code = 1.5.1</t>
        </is>
      </c>
      <c r="E1212" s="12" t="inlineStr">
        <is>
          <t>R898-v1</t>
        </is>
      </c>
      <c r="F1212" s="12" t="inlineStr">
        <is>
          <t>1.5.1 Testing and Commissioning - Test Readiness</t>
        </is>
      </c>
      <c r="G1212" s="12" t="inlineStr">
        <is>
          <t>ONE_TO_ONE</t>
        </is>
      </c>
      <c r="H1212" s="12" t="inlineStr">
        <is>
          <t>APPROVED</t>
        </is>
      </c>
      <c r="I1212" s="12" t="inlineStr">
        <is>
          <t>New</t>
        </is>
      </c>
      <c r="J1212" s="12" t="inlineStr">
        <is>
          <t>Source assignment -- not individually reviewed</t>
        </is>
      </c>
      <c r="K1212" s="12" t="inlineStr"/>
      <c r="L1212" s="12" t="inlineStr"/>
      <c r="M1212" s="12" t="inlineStr"/>
      <c r="N1212" s="17" t="inlineStr">
        <is>
          <t>10 EVIDENCE &amp; DECISIONS</t>
        </is>
      </c>
    </row>
    <row r="1213" ht="34" customHeight="1">
      <c r="A1213" s="12" t="inlineStr">
        <is>
          <t>Contractor Programme</t>
        </is>
      </c>
      <c r="B1213" s="12" t="inlineStr">
        <is>
          <t>SCH-05-179</t>
        </is>
      </c>
      <c r="C1213" s="12" t="inlineStr">
        <is>
          <t>Control Centre: defect retest - turnover</t>
        </is>
      </c>
      <c r="D1213" s="12" t="inlineStr">
        <is>
          <t>WBS Code = 1.5.1</t>
        </is>
      </c>
      <c r="E1213" s="12" t="inlineStr">
        <is>
          <t>R899-v1</t>
        </is>
      </c>
      <c r="F1213" s="12" t="inlineStr">
        <is>
          <t>1.5.1 Testing and Commissioning - Test Readiness</t>
        </is>
      </c>
      <c r="G1213" s="12" t="inlineStr">
        <is>
          <t>ONE_TO_ONE</t>
        </is>
      </c>
      <c r="H1213" s="12" t="inlineStr">
        <is>
          <t>APPROVED</t>
        </is>
      </c>
      <c r="I1213" s="12" t="inlineStr">
        <is>
          <t>New</t>
        </is>
      </c>
      <c r="J1213" s="12" t="inlineStr">
        <is>
          <t>Source assignment -- not individually reviewed</t>
        </is>
      </c>
      <c r="K1213" s="12" t="inlineStr"/>
      <c r="L1213" s="12" t="inlineStr"/>
      <c r="M1213" s="12" t="inlineStr"/>
      <c r="N1213" s="17" t="inlineStr">
        <is>
          <t>10 EVIDENCE &amp; DECISIONS</t>
        </is>
      </c>
    </row>
    <row r="1214" ht="34" customHeight="1">
      <c r="A1214" s="12" t="inlineStr">
        <is>
          <t>Contractor Programme</t>
        </is>
      </c>
      <c r="B1214" s="12" t="inlineStr">
        <is>
          <t>SCH-05-003</t>
        </is>
      </c>
      <c r="C1214" s="12" t="inlineStr">
        <is>
          <t>Interface works near testing and commissioning boundary</t>
        </is>
      </c>
      <c r="D1214" s="12" t="inlineStr">
        <is>
          <t>WBS Code = 1.5.2</t>
        </is>
      </c>
      <c r="E1214" s="12" t="inlineStr">
        <is>
          <t>R723-v1</t>
        </is>
      </c>
      <c r="F1214" s="12" t="inlineStr">
        <is>
          <t>1.5.2 Testing and Commissioning - Dynamic Testing</t>
        </is>
      </c>
      <c r="G1214" s="12" t="inlineStr">
        <is>
          <t>ONE_TO_ONE</t>
        </is>
      </c>
      <c r="H1214" s="12" t="inlineStr">
        <is>
          <t>APPROVED</t>
        </is>
      </c>
      <c r="I1214" s="12" t="inlineStr">
        <is>
          <t>New</t>
        </is>
      </c>
      <c r="J1214" s="12" t="inlineStr">
        <is>
          <t>Source assignment -- not individually reviewed</t>
        </is>
      </c>
      <c r="K1214" s="12" t="inlineStr"/>
      <c r="L1214" s="12" t="inlineStr"/>
      <c r="M1214" s="12" t="inlineStr"/>
      <c r="N1214" s="17" t="inlineStr">
        <is>
          <t>10 EVIDENCE &amp; DECISIONS</t>
        </is>
      </c>
    </row>
    <row r="1215" ht="34" customHeight="1">
      <c r="A1215" s="12" t="inlineStr">
        <is>
          <t>Contractor Programme</t>
        </is>
      </c>
      <c r="B1215" s="12" t="inlineStr">
        <is>
          <t>SCH-05-006</t>
        </is>
      </c>
      <c r="C1215" s="12" t="inlineStr">
        <is>
          <t>Central section: service-readiness review - field start</t>
        </is>
      </c>
      <c r="D1215" s="12" t="inlineStr">
        <is>
          <t>WBS Code = 1.5.2</t>
        </is>
      </c>
      <c r="E1215" s="12" t="inlineStr">
        <is>
          <t>R726-v1</t>
        </is>
      </c>
      <c r="F1215" s="12" t="inlineStr">
        <is>
          <t>1.5.2 Testing and Commissioning - Dynamic Testing</t>
        </is>
      </c>
      <c r="G1215" s="12" t="inlineStr">
        <is>
          <t>ONE_TO_ONE</t>
        </is>
      </c>
      <c r="H1215" s="12" t="inlineStr">
        <is>
          <t>APPROVED</t>
        </is>
      </c>
      <c r="I1215" s="12" t="inlineStr">
        <is>
          <t>New</t>
        </is>
      </c>
      <c r="J1215" s="12" t="inlineStr">
        <is>
          <t>Source assignment -- not individually reviewed</t>
        </is>
      </c>
      <c r="K1215" s="12" t="inlineStr"/>
      <c r="L1215" s="12" t="inlineStr"/>
      <c r="M1215" s="12" t="inlineStr"/>
      <c r="N1215" s="17" t="inlineStr">
        <is>
          <t>10 EVIDENCE &amp; DECISIONS</t>
        </is>
      </c>
    </row>
    <row r="1216" ht="34" customHeight="1">
      <c r="A1216" s="12" t="inlineStr">
        <is>
          <t>Contractor Programme</t>
        </is>
      </c>
      <c r="B1216" s="12" t="inlineStr">
        <is>
          <t>SCH-05-009</t>
        </is>
      </c>
      <c r="C1216" s="12" t="inlineStr">
        <is>
          <t>Control Centre: test procedure readiness review - turnover</t>
        </is>
      </c>
      <c r="D1216" s="12" t="inlineStr">
        <is>
          <t>WBS Code = 1.5.2</t>
        </is>
      </c>
      <c r="E1216" s="12" t="inlineStr">
        <is>
          <t>R729-v1</t>
        </is>
      </c>
      <c r="F1216" s="12" t="inlineStr">
        <is>
          <t>1.5.2 Testing and Commissioning - Dynamic Testing</t>
        </is>
      </c>
      <c r="G1216" s="12" t="inlineStr">
        <is>
          <t>ONE_TO_ONE</t>
        </is>
      </c>
      <c r="H1216" s="12" t="inlineStr">
        <is>
          <t>APPROVED</t>
        </is>
      </c>
      <c r="I1216" s="12" t="inlineStr">
        <is>
          <t>New</t>
        </is>
      </c>
      <c r="J1216" s="12" t="inlineStr">
        <is>
          <t>Source assignment -- not individually reviewed</t>
        </is>
      </c>
      <c r="K1216" s="12" t="inlineStr"/>
      <c r="L1216" s="12" t="inlineStr"/>
      <c r="M1216" s="12" t="inlineStr"/>
      <c r="N1216" s="17" t="inlineStr">
        <is>
          <t>10 EVIDENCE &amp; DECISIONS</t>
        </is>
      </c>
    </row>
    <row r="1217" ht="34" customHeight="1">
      <c r="A1217" s="12" t="inlineStr">
        <is>
          <t>Contractor Programme</t>
        </is>
      </c>
      <c r="B1217" s="12" t="inlineStr">
        <is>
          <t>SCH-05-012</t>
        </is>
      </c>
      <c r="C1217" s="12" t="inlineStr">
        <is>
          <t>West terminal: mainline dynamic test - installation</t>
        </is>
      </c>
      <c r="D1217" s="12" t="inlineStr">
        <is>
          <t>WBS Code = 1.5.2</t>
        </is>
      </c>
      <c r="E1217" s="12" t="inlineStr">
        <is>
          <t>R732-v1</t>
        </is>
      </c>
      <c r="F1217" s="12" t="inlineStr">
        <is>
          <t>1.5.2 Testing and Commissioning - Dynamic Testing</t>
        </is>
      </c>
      <c r="G1217" s="12" t="inlineStr">
        <is>
          <t>ONE_TO_ONE</t>
        </is>
      </c>
      <c r="H1217" s="12" t="inlineStr">
        <is>
          <t>APPROVED</t>
        </is>
      </c>
      <c r="I1217" s="12" t="inlineStr">
        <is>
          <t>New</t>
        </is>
      </c>
      <c r="J1217" s="12" t="inlineStr">
        <is>
          <t>Source assignment -- not individually reviewed</t>
        </is>
      </c>
      <c r="K1217" s="12" t="inlineStr"/>
      <c r="L1217" s="12" t="inlineStr"/>
      <c r="M1217" s="12" t="inlineStr"/>
      <c r="N1217" s="17" t="inlineStr">
        <is>
          <t>10 EVIDENCE &amp; DECISIONS</t>
        </is>
      </c>
    </row>
    <row r="1218" ht="34" customHeight="1">
      <c r="A1218" s="12" t="inlineStr">
        <is>
          <t>Contractor Programme</t>
        </is>
      </c>
      <c r="B1218" s="12" t="inlineStr">
        <is>
          <t>SCH-05-015</t>
        </is>
      </c>
      <c r="C1218" s="12" t="inlineStr">
        <is>
          <t>Mainline east: station integrated test - release</t>
        </is>
      </c>
      <c r="D1218" s="12" t="inlineStr">
        <is>
          <t>WBS Code = 1.5.2</t>
        </is>
      </c>
      <c r="E1218" s="12" t="inlineStr">
        <is>
          <t>R735-v1</t>
        </is>
      </c>
      <c r="F1218" s="12" t="inlineStr">
        <is>
          <t>1.5.2 Testing and Commissioning - Dynamic Testing</t>
        </is>
      </c>
      <c r="G1218" s="12" t="inlineStr">
        <is>
          <t>ONE_TO_ONE</t>
        </is>
      </c>
      <c r="H1218" s="12" t="inlineStr">
        <is>
          <t>APPROVED</t>
        </is>
      </c>
      <c r="I1218" s="12" t="inlineStr">
        <is>
          <t>New</t>
        </is>
      </c>
      <c r="J1218" s="12" t="inlineStr">
        <is>
          <t>Source assignment -- not individually reviewed</t>
        </is>
      </c>
      <c r="K1218" s="12" t="inlineStr"/>
      <c r="L1218" s="12" t="inlineStr"/>
      <c r="M1218" s="12" t="inlineStr"/>
      <c r="N1218" s="17" t="inlineStr">
        <is>
          <t>10 EVIDENCE &amp; DECISIONS</t>
        </is>
      </c>
    </row>
    <row r="1219" ht="34" customHeight="1">
      <c r="A1219" s="12" t="inlineStr">
        <is>
          <t>Contractor Programme</t>
        </is>
      </c>
      <c r="B1219" s="12" t="inlineStr">
        <is>
          <t>SCH-05-018</t>
        </is>
      </c>
      <c r="C1219" s="12" t="inlineStr">
        <is>
          <t>Depot: emergency-response drill - inspection</t>
        </is>
      </c>
      <c r="D1219" s="12" t="inlineStr">
        <is>
          <t>WBS Code = 1.5.2</t>
        </is>
      </c>
      <c r="E1219" s="12" t="inlineStr">
        <is>
          <t>R738-v1</t>
        </is>
      </c>
      <c r="F1219" s="12" t="inlineStr">
        <is>
          <t>1.5.2 Testing and Commissioning - Dynamic Testing</t>
        </is>
      </c>
      <c r="G1219" s="12" t="inlineStr">
        <is>
          <t>ONE_TO_ONE</t>
        </is>
      </c>
      <c r="H1219" s="12" t="inlineStr">
        <is>
          <t>APPROVED</t>
        </is>
      </c>
      <c r="I1219" s="12" t="inlineStr">
        <is>
          <t>New</t>
        </is>
      </c>
      <c r="J1219" s="12" t="inlineStr">
        <is>
          <t>Source assignment -- not individually reviewed</t>
        </is>
      </c>
      <c r="K1219" s="12" t="inlineStr"/>
      <c r="L1219" s="12" t="inlineStr"/>
      <c r="M1219" s="12" t="inlineStr"/>
      <c r="N1219" s="17" t="inlineStr">
        <is>
          <t>10 EVIDENCE &amp; DECISIONS</t>
        </is>
      </c>
    </row>
    <row r="1220" ht="34" customHeight="1">
      <c r="A1220" s="12" t="inlineStr">
        <is>
          <t>Contractor Programme</t>
        </is>
      </c>
      <c r="B1220" s="12" t="inlineStr">
        <is>
          <t>SCH-05-021</t>
        </is>
      </c>
      <c r="C1220" s="12" t="inlineStr">
        <is>
          <t>Central section: safety certificate evidence closeout - field start</t>
        </is>
      </c>
      <c r="D1220" s="12" t="inlineStr">
        <is>
          <t>WBS Code = 1.5.2</t>
        </is>
      </c>
      <c r="E1220" s="12" t="inlineStr">
        <is>
          <t>R741-v1</t>
        </is>
      </c>
      <c r="F1220" s="12" t="inlineStr">
        <is>
          <t>1.5.2 Testing and Commissioning - Dynamic Testing</t>
        </is>
      </c>
      <c r="G1220" s="12" t="inlineStr">
        <is>
          <t>ONE_TO_ONE</t>
        </is>
      </c>
      <c r="H1220" s="12" t="inlineStr">
        <is>
          <t>APPROVED</t>
        </is>
      </c>
      <c r="I1220" s="12" t="inlineStr">
        <is>
          <t>New</t>
        </is>
      </c>
      <c r="J1220" s="12" t="inlineStr">
        <is>
          <t>Source assignment -- not individually reviewed</t>
        </is>
      </c>
      <c r="K1220" s="12" t="inlineStr"/>
      <c r="L1220" s="12" t="inlineStr"/>
      <c r="M1220" s="12" t="inlineStr"/>
      <c r="N1220" s="17" t="inlineStr">
        <is>
          <t>10 EVIDENCE &amp; DECISIONS</t>
        </is>
      </c>
    </row>
    <row r="1221" ht="34" customHeight="1">
      <c r="A1221" s="12" t="inlineStr">
        <is>
          <t>Contractor Programme</t>
        </is>
      </c>
      <c r="B1221" s="12" t="inlineStr">
        <is>
          <t>SCH-05-024</t>
        </is>
      </c>
      <c r="C1221" s="12" t="inlineStr">
        <is>
          <t>Control Centre: trial-running shift - turnover</t>
        </is>
      </c>
      <c r="D1221" s="12" t="inlineStr">
        <is>
          <t>WBS Code = 1.5.2</t>
        </is>
      </c>
      <c r="E1221" s="12" t="inlineStr">
        <is>
          <t>R744-v1</t>
        </is>
      </c>
      <c r="F1221" s="12" t="inlineStr">
        <is>
          <t>1.5.2 Testing and Commissioning - Dynamic Testing</t>
        </is>
      </c>
      <c r="G1221" s="12" t="inlineStr">
        <is>
          <t>ONE_TO_ONE</t>
        </is>
      </c>
      <c r="H1221" s="12" t="inlineStr">
        <is>
          <t>APPROVED</t>
        </is>
      </c>
      <c r="I1221" s="12" t="inlineStr">
        <is>
          <t>New</t>
        </is>
      </c>
      <c r="J1221" s="12" t="inlineStr">
        <is>
          <t>Source assignment -- not individually reviewed</t>
        </is>
      </c>
      <c r="K1221" s="12" t="inlineStr"/>
      <c r="L1221" s="12" t="inlineStr"/>
      <c r="M1221" s="12" t="inlineStr"/>
      <c r="N1221" s="17" t="inlineStr">
        <is>
          <t>10 EVIDENCE &amp; DECISIONS</t>
        </is>
      </c>
    </row>
    <row r="1222" ht="34" customHeight="1">
      <c r="A1222" s="12" t="inlineStr">
        <is>
          <t>Contractor Programme</t>
        </is>
      </c>
      <c r="B1222" s="12" t="inlineStr">
        <is>
          <t>SCH-05-027</t>
        </is>
      </c>
      <c r="C1222" s="12" t="inlineStr">
        <is>
          <t>West terminal: defect retest - installation</t>
        </is>
      </c>
      <c r="D1222" s="12" t="inlineStr">
        <is>
          <t>WBS Code = 1.5.2</t>
        </is>
      </c>
      <c r="E1222" s="12" t="inlineStr">
        <is>
          <t>R747-v1</t>
        </is>
      </c>
      <c r="F1222" s="12" t="inlineStr">
        <is>
          <t>1.5.2 Testing and Commissioning - Dynamic Testing</t>
        </is>
      </c>
      <c r="G1222" s="12" t="inlineStr">
        <is>
          <t>ONE_TO_ONE</t>
        </is>
      </c>
      <c r="H1222" s="12" t="inlineStr">
        <is>
          <t>APPROVED</t>
        </is>
      </c>
      <c r="I1222" s="12" t="inlineStr">
        <is>
          <t>New</t>
        </is>
      </c>
      <c r="J1222" s="12" t="inlineStr">
        <is>
          <t>Source assignment -- not individually reviewed</t>
        </is>
      </c>
      <c r="K1222" s="12" t="inlineStr"/>
      <c r="L1222" s="12" t="inlineStr"/>
      <c r="M1222" s="12" t="inlineStr"/>
      <c r="N1222" s="17" t="inlineStr">
        <is>
          <t>10 EVIDENCE &amp; DECISIONS</t>
        </is>
      </c>
    </row>
    <row r="1223" ht="34" customHeight="1">
      <c r="A1223" s="12" t="inlineStr">
        <is>
          <t>Contractor Programme</t>
        </is>
      </c>
      <c r="B1223" s="12" t="inlineStr">
        <is>
          <t>SCH-05-030</t>
        </is>
      </c>
      <c r="C1223" s="12" t="inlineStr">
        <is>
          <t>Mainline east: service-readiness review - release</t>
        </is>
      </c>
      <c r="D1223" s="12" t="inlineStr">
        <is>
          <t>WBS Code = 1.5.2</t>
        </is>
      </c>
      <c r="E1223" s="12" t="inlineStr">
        <is>
          <t>R750-v1</t>
        </is>
      </c>
      <c r="F1223" s="12" t="inlineStr">
        <is>
          <t>1.5.2 Testing and Commissioning - Dynamic Testing</t>
        </is>
      </c>
      <c r="G1223" s="12" t="inlineStr">
        <is>
          <t>ONE_TO_ONE</t>
        </is>
      </c>
      <c r="H1223" s="12" t="inlineStr">
        <is>
          <t>APPROVED</t>
        </is>
      </c>
      <c r="I1223" s="12" t="inlineStr">
        <is>
          <t>New</t>
        </is>
      </c>
      <c r="J1223" s="12" t="inlineStr">
        <is>
          <t>Source assignment -- not individually reviewed</t>
        </is>
      </c>
      <c r="K1223" s="12" t="inlineStr"/>
      <c r="L1223" s="12" t="inlineStr"/>
      <c r="M1223" s="12" t="inlineStr"/>
      <c r="N1223" s="17" t="inlineStr">
        <is>
          <t>10 EVIDENCE &amp; DECISIONS</t>
        </is>
      </c>
    </row>
    <row r="1224" ht="34" customHeight="1">
      <c r="A1224" s="12" t="inlineStr">
        <is>
          <t>Contractor Programme</t>
        </is>
      </c>
      <c r="B1224" s="12" t="inlineStr">
        <is>
          <t>SCH-05-033</t>
        </is>
      </c>
      <c r="C1224" s="12" t="inlineStr">
        <is>
          <t>Depot: test procedure readiness review - inspection</t>
        </is>
      </c>
      <c r="D1224" s="12" t="inlineStr">
        <is>
          <t>WBS Code = 1.5.2</t>
        </is>
      </c>
      <c r="E1224" s="12" t="inlineStr">
        <is>
          <t>R753-v1</t>
        </is>
      </c>
      <c r="F1224" s="12" t="inlineStr">
        <is>
          <t>1.5.2 Testing and Commissioning - Dynamic Testing</t>
        </is>
      </c>
      <c r="G1224" s="12" t="inlineStr">
        <is>
          <t>ONE_TO_ONE</t>
        </is>
      </c>
      <c r="H1224" s="12" t="inlineStr">
        <is>
          <t>APPROVED</t>
        </is>
      </c>
      <c r="I1224" s="12" t="inlineStr">
        <is>
          <t>New</t>
        </is>
      </c>
      <c r="J1224" s="12" t="inlineStr">
        <is>
          <t>Source assignment -- not individually reviewed</t>
        </is>
      </c>
      <c r="K1224" s="12" t="inlineStr"/>
      <c r="L1224" s="12" t="inlineStr"/>
      <c r="M1224" s="12" t="inlineStr"/>
      <c r="N1224" s="17" t="inlineStr">
        <is>
          <t>10 EVIDENCE &amp; DECISIONS</t>
        </is>
      </c>
    </row>
    <row r="1225" ht="34" customHeight="1">
      <c r="A1225" s="12" t="inlineStr">
        <is>
          <t>Contractor Programme</t>
        </is>
      </c>
      <c r="B1225" s="12" t="inlineStr">
        <is>
          <t>SCH-05-036</t>
        </is>
      </c>
      <c r="C1225" s="12" t="inlineStr">
        <is>
          <t>Central section: mainline dynamic test - field start</t>
        </is>
      </c>
      <c r="D1225" s="12" t="inlineStr">
        <is>
          <t>WBS Code = 1.5.2</t>
        </is>
      </c>
      <c r="E1225" s="12" t="inlineStr">
        <is>
          <t>R756-v1</t>
        </is>
      </c>
      <c r="F1225" s="12" t="inlineStr">
        <is>
          <t>1.5.2 Testing and Commissioning - Dynamic Testing</t>
        </is>
      </c>
      <c r="G1225" s="12" t="inlineStr">
        <is>
          <t>ONE_TO_ONE</t>
        </is>
      </c>
      <c r="H1225" s="12" t="inlineStr">
        <is>
          <t>APPROVED</t>
        </is>
      </c>
      <c r="I1225" s="12" t="inlineStr">
        <is>
          <t>New</t>
        </is>
      </c>
      <c r="J1225" s="12" t="inlineStr">
        <is>
          <t>Source assignment -- not individually reviewed</t>
        </is>
      </c>
      <c r="K1225" s="12" t="inlineStr"/>
      <c r="L1225" s="12" t="inlineStr"/>
      <c r="M1225" s="12" t="inlineStr"/>
      <c r="N1225" s="17" t="inlineStr">
        <is>
          <t>10 EVIDENCE &amp; DECISIONS</t>
        </is>
      </c>
    </row>
    <row r="1226" ht="34" customHeight="1">
      <c r="A1226" s="12" t="inlineStr">
        <is>
          <t>Contractor Programme</t>
        </is>
      </c>
      <c r="B1226" s="12" t="inlineStr">
        <is>
          <t>SCH-05-039</t>
        </is>
      </c>
      <c r="C1226" s="12" t="inlineStr">
        <is>
          <t>Control Centre: station integrated test - turnover</t>
        </is>
      </c>
      <c r="D1226" s="12" t="inlineStr">
        <is>
          <t>WBS Code = 1.5.2</t>
        </is>
      </c>
      <c r="E1226" s="12" t="inlineStr">
        <is>
          <t>R759-v1</t>
        </is>
      </c>
      <c r="F1226" s="12" t="inlineStr">
        <is>
          <t>1.5.2 Testing and Commissioning - Dynamic Testing</t>
        </is>
      </c>
      <c r="G1226" s="12" t="inlineStr">
        <is>
          <t>ONE_TO_ONE</t>
        </is>
      </c>
      <c r="H1226" s="12" t="inlineStr">
        <is>
          <t>APPROVED</t>
        </is>
      </c>
      <c r="I1226" s="12" t="inlineStr">
        <is>
          <t>New</t>
        </is>
      </c>
      <c r="J1226" s="12" t="inlineStr">
        <is>
          <t>Source assignment -- not individually reviewed</t>
        </is>
      </c>
      <c r="K1226" s="12" t="inlineStr"/>
      <c r="L1226" s="12" t="inlineStr"/>
      <c r="M1226" s="12" t="inlineStr"/>
      <c r="N1226" s="17" t="inlineStr">
        <is>
          <t>10 EVIDENCE &amp; DECISIONS</t>
        </is>
      </c>
    </row>
    <row r="1227" ht="34" customHeight="1">
      <c r="A1227" s="12" t="inlineStr">
        <is>
          <t>Contractor Programme</t>
        </is>
      </c>
      <c r="B1227" s="12" t="inlineStr">
        <is>
          <t>SCH-05-042</t>
        </is>
      </c>
      <c r="C1227" s="12" t="inlineStr">
        <is>
          <t>West terminal: emergency-response drill - installation</t>
        </is>
      </c>
      <c r="D1227" s="12" t="inlineStr">
        <is>
          <t>WBS Code = 1.5.2</t>
        </is>
      </c>
      <c r="E1227" s="12" t="inlineStr">
        <is>
          <t>R762-v1</t>
        </is>
      </c>
      <c r="F1227" s="12" t="inlineStr">
        <is>
          <t>1.5.2 Testing and Commissioning - Dynamic Testing</t>
        </is>
      </c>
      <c r="G1227" s="12" t="inlineStr">
        <is>
          <t>ONE_TO_ONE</t>
        </is>
      </c>
      <c r="H1227" s="12" t="inlineStr">
        <is>
          <t>APPROVED</t>
        </is>
      </c>
      <c r="I1227" s="12" t="inlineStr">
        <is>
          <t>New</t>
        </is>
      </c>
      <c r="J1227" s="12" t="inlineStr">
        <is>
          <t>Source assignment -- not individually reviewed</t>
        </is>
      </c>
      <c r="K1227" s="12" t="inlineStr"/>
      <c r="L1227" s="12" t="inlineStr"/>
      <c r="M1227" s="12" t="inlineStr"/>
      <c r="N1227" s="17" t="inlineStr">
        <is>
          <t>10 EVIDENCE &amp; DECISIONS</t>
        </is>
      </c>
    </row>
    <row r="1228" ht="34" customHeight="1">
      <c r="A1228" s="12" t="inlineStr">
        <is>
          <t>Contractor Programme</t>
        </is>
      </c>
      <c r="B1228" s="12" t="inlineStr">
        <is>
          <t>SCH-05-045</t>
        </is>
      </c>
      <c r="C1228" s="12" t="inlineStr">
        <is>
          <t>Mainline east: safety certificate evidence closeout - release</t>
        </is>
      </c>
      <c r="D1228" s="12" t="inlineStr">
        <is>
          <t>WBS Code = 1.5.2</t>
        </is>
      </c>
      <c r="E1228" s="12" t="inlineStr">
        <is>
          <t>R765-v1</t>
        </is>
      </c>
      <c r="F1228" s="12" t="inlineStr">
        <is>
          <t>1.5.2 Testing and Commissioning - Dynamic Testing</t>
        </is>
      </c>
      <c r="G1228" s="12" t="inlineStr">
        <is>
          <t>ONE_TO_ONE</t>
        </is>
      </c>
      <c r="H1228" s="12" t="inlineStr">
        <is>
          <t>APPROVED</t>
        </is>
      </c>
      <c r="I1228" s="12" t="inlineStr">
        <is>
          <t>New</t>
        </is>
      </c>
      <c r="J1228" s="12" t="inlineStr">
        <is>
          <t>Source assignment -- not individually reviewed</t>
        </is>
      </c>
      <c r="K1228" s="12" t="inlineStr"/>
      <c r="L1228" s="12" t="inlineStr"/>
      <c r="M1228" s="12" t="inlineStr"/>
      <c r="N1228" s="17" t="inlineStr">
        <is>
          <t>10 EVIDENCE &amp; DECISIONS</t>
        </is>
      </c>
    </row>
    <row r="1229" ht="34" customHeight="1">
      <c r="A1229" s="12" t="inlineStr">
        <is>
          <t>Contractor Programme</t>
        </is>
      </c>
      <c r="B1229" s="12" t="inlineStr">
        <is>
          <t>SCH-05-048</t>
        </is>
      </c>
      <c r="C1229" s="12" t="inlineStr">
        <is>
          <t>Depot: trial-running shift - inspection</t>
        </is>
      </c>
      <c r="D1229" s="12" t="inlineStr">
        <is>
          <t>WBS Code = 1.5.2</t>
        </is>
      </c>
      <c r="E1229" s="12" t="inlineStr">
        <is>
          <t>R768-v1</t>
        </is>
      </c>
      <c r="F1229" s="12" t="inlineStr">
        <is>
          <t>1.5.2 Testing and Commissioning - Dynamic Testing</t>
        </is>
      </c>
      <c r="G1229" s="12" t="inlineStr">
        <is>
          <t>ONE_TO_ONE</t>
        </is>
      </c>
      <c r="H1229" s="12" t="inlineStr">
        <is>
          <t>APPROVED</t>
        </is>
      </c>
      <c r="I1229" s="12" t="inlineStr">
        <is>
          <t>New</t>
        </is>
      </c>
      <c r="J1229" s="12" t="inlineStr">
        <is>
          <t>Source assignment -- not individually reviewed</t>
        </is>
      </c>
      <c r="K1229" s="12" t="inlineStr"/>
      <c r="L1229" s="12" t="inlineStr"/>
      <c r="M1229" s="12" t="inlineStr"/>
      <c r="N1229" s="17" t="inlineStr">
        <is>
          <t>10 EVIDENCE &amp; DECISIONS</t>
        </is>
      </c>
    </row>
    <row r="1230" ht="34" customHeight="1">
      <c r="A1230" s="12" t="inlineStr">
        <is>
          <t>Contractor Programme</t>
        </is>
      </c>
      <c r="B1230" s="12" t="inlineStr">
        <is>
          <t>SCH-05-051</t>
        </is>
      </c>
      <c r="C1230" s="12" t="inlineStr">
        <is>
          <t>Central section: defect retest - field start</t>
        </is>
      </c>
      <c r="D1230" s="12" t="inlineStr">
        <is>
          <t>WBS Code = 1.5.2</t>
        </is>
      </c>
      <c r="E1230" s="12" t="inlineStr">
        <is>
          <t>R771-v1</t>
        </is>
      </c>
      <c r="F1230" s="12" t="inlineStr">
        <is>
          <t>1.5.2 Testing and Commissioning - Dynamic Testing</t>
        </is>
      </c>
      <c r="G1230" s="12" t="inlineStr">
        <is>
          <t>ONE_TO_ONE</t>
        </is>
      </c>
      <c r="H1230" s="12" t="inlineStr">
        <is>
          <t>APPROVED</t>
        </is>
      </c>
      <c r="I1230" s="12" t="inlineStr">
        <is>
          <t>New</t>
        </is>
      </c>
      <c r="J1230" s="12" t="inlineStr">
        <is>
          <t>Source assignment -- not individually reviewed</t>
        </is>
      </c>
      <c r="K1230" s="12" t="inlineStr"/>
      <c r="L1230" s="12" t="inlineStr"/>
      <c r="M1230" s="12" t="inlineStr"/>
      <c r="N1230" s="17" t="inlineStr">
        <is>
          <t>10 EVIDENCE &amp; DECISIONS</t>
        </is>
      </c>
    </row>
    <row r="1231" ht="34" customHeight="1">
      <c r="A1231" s="12" t="inlineStr">
        <is>
          <t>Contractor Programme</t>
        </is>
      </c>
      <c r="B1231" s="12" t="inlineStr">
        <is>
          <t>SCH-05-054</t>
        </is>
      </c>
      <c r="C1231" s="12" t="inlineStr">
        <is>
          <t>Control Centre: service-readiness review - turnover</t>
        </is>
      </c>
      <c r="D1231" s="12" t="inlineStr">
        <is>
          <t>WBS Code = 1.5.2</t>
        </is>
      </c>
      <c r="E1231" s="12" t="inlineStr">
        <is>
          <t>R774-v1</t>
        </is>
      </c>
      <c r="F1231" s="12" t="inlineStr">
        <is>
          <t>1.5.2 Testing and Commissioning - Dynamic Testing</t>
        </is>
      </c>
      <c r="G1231" s="12" t="inlineStr">
        <is>
          <t>ONE_TO_ONE</t>
        </is>
      </c>
      <c r="H1231" s="12" t="inlineStr">
        <is>
          <t>APPROVED</t>
        </is>
      </c>
      <c r="I1231" s="12" t="inlineStr">
        <is>
          <t>New</t>
        </is>
      </c>
      <c r="J1231" s="12" t="inlineStr">
        <is>
          <t>Source assignment -- not individually reviewed</t>
        </is>
      </c>
      <c r="K1231" s="12" t="inlineStr"/>
      <c r="L1231" s="12" t="inlineStr"/>
      <c r="M1231" s="12" t="inlineStr"/>
      <c r="N1231" s="17" t="inlineStr">
        <is>
          <t>10 EVIDENCE &amp; DECISIONS</t>
        </is>
      </c>
    </row>
    <row r="1232" ht="34" customHeight="1">
      <c r="A1232" s="12" t="inlineStr">
        <is>
          <t>Contractor Programme</t>
        </is>
      </c>
      <c r="B1232" s="12" t="inlineStr">
        <is>
          <t>SCH-05-057</t>
        </is>
      </c>
      <c r="C1232" s="12" t="inlineStr">
        <is>
          <t>West terminal: test procedure readiness review - installation</t>
        </is>
      </c>
      <c r="D1232" s="12" t="inlineStr">
        <is>
          <t>WBS Code = 1.5.2</t>
        </is>
      </c>
      <c r="E1232" s="12" t="inlineStr">
        <is>
          <t>R777-v1</t>
        </is>
      </c>
      <c r="F1232" s="12" t="inlineStr">
        <is>
          <t>1.5.2 Testing and Commissioning - Dynamic Testing</t>
        </is>
      </c>
      <c r="G1232" s="12" t="inlineStr">
        <is>
          <t>ONE_TO_ONE</t>
        </is>
      </c>
      <c r="H1232" s="12" t="inlineStr">
        <is>
          <t>APPROVED</t>
        </is>
      </c>
      <c r="I1232" s="12" t="inlineStr">
        <is>
          <t>New</t>
        </is>
      </c>
      <c r="J1232" s="12" t="inlineStr">
        <is>
          <t>Source assignment -- not individually reviewed</t>
        </is>
      </c>
      <c r="K1232" s="12" t="inlineStr"/>
      <c r="L1232" s="12" t="inlineStr"/>
      <c r="M1232" s="12" t="inlineStr"/>
      <c r="N1232" s="17" t="inlineStr">
        <is>
          <t>10 EVIDENCE &amp; DECISIONS</t>
        </is>
      </c>
    </row>
    <row r="1233" ht="34" customHeight="1">
      <c r="A1233" s="12" t="inlineStr">
        <is>
          <t>Contractor Programme</t>
        </is>
      </c>
      <c r="B1233" s="12" t="inlineStr">
        <is>
          <t>SCH-05-060</t>
        </is>
      </c>
      <c r="C1233" s="12" t="inlineStr">
        <is>
          <t>Mainline east: mainline dynamic test - release</t>
        </is>
      </c>
      <c r="D1233" s="12" t="inlineStr">
        <is>
          <t>WBS Code = 1.5.2</t>
        </is>
      </c>
      <c r="E1233" s="12" t="inlineStr">
        <is>
          <t>R780-v1</t>
        </is>
      </c>
      <c r="F1233" s="12" t="inlineStr">
        <is>
          <t>1.5.2 Testing and Commissioning - Dynamic Testing</t>
        </is>
      </c>
      <c r="G1233" s="12" t="inlineStr">
        <is>
          <t>ONE_TO_ONE</t>
        </is>
      </c>
      <c r="H1233" s="12" t="inlineStr">
        <is>
          <t>APPROVED</t>
        </is>
      </c>
      <c r="I1233" s="12" t="inlineStr">
        <is>
          <t>New</t>
        </is>
      </c>
      <c r="J1233" s="12" t="inlineStr">
        <is>
          <t>Source assignment -- not individually reviewed</t>
        </is>
      </c>
      <c r="K1233" s="12" t="inlineStr"/>
      <c r="L1233" s="12" t="inlineStr"/>
      <c r="M1233" s="12" t="inlineStr"/>
      <c r="N1233" s="17" t="inlineStr">
        <is>
          <t>10 EVIDENCE &amp; DECISIONS</t>
        </is>
      </c>
    </row>
    <row r="1234" ht="34" customHeight="1">
      <c r="A1234" s="12" t="inlineStr">
        <is>
          <t>Contractor Programme</t>
        </is>
      </c>
      <c r="B1234" s="12" t="inlineStr">
        <is>
          <t>SCH-05-063</t>
        </is>
      </c>
      <c r="C1234" s="12" t="inlineStr">
        <is>
          <t>Depot: station integrated test - inspection</t>
        </is>
      </c>
      <c r="D1234" s="12" t="inlineStr">
        <is>
          <t>WBS Code = 1.5.2</t>
        </is>
      </c>
      <c r="E1234" s="12" t="inlineStr">
        <is>
          <t>R783-v1</t>
        </is>
      </c>
      <c r="F1234" s="12" t="inlineStr">
        <is>
          <t>1.5.2 Testing and Commissioning - Dynamic Testing</t>
        </is>
      </c>
      <c r="G1234" s="12" t="inlineStr">
        <is>
          <t>ONE_TO_ONE</t>
        </is>
      </c>
      <c r="H1234" s="12" t="inlineStr">
        <is>
          <t>APPROVED</t>
        </is>
      </c>
      <c r="I1234" s="12" t="inlineStr">
        <is>
          <t>New</t>
        </is>
      </c>
      <c r="J1234" s="12" t="inlineStr">
        <is>
          <t>Source assignment -- not individually reviewed</t>
        </is>
      </c>
      <c r="K1234" s="12" t="inlineStr"/>
      <c r="L1234" s="12" t="inlineStr"/>
      <c r="M1234" s="12" t="inlineStr"/>
      <c r="N1234" s="17" t="inlineStr">
        <is>
          <t>10 EVIDENCE &amp; DECISIONS</t>
        </is>
      </c>
    </row>
    <row r="1235" ht="34" customHeight="1">
      <c r="A1235" s="12" t="inlineStr">
        <is>
          <t>Contractor Programme</t>
        </is>
      </c>
      <c r="B1235" s="12" t="inlineStr">
        <is>
          <t>SCH-05-066</t>
        </is>
      </c>
      <c r="C1235" s="12" t="inlineStr">
        <is>
          <t>Central section: emergency-response drill - field start</t>
        </is>
      </c>
      <c r="D1235" s="12" t="inlineStr">
        <is>
          <t>WBS Code = 1.5.2</t>
        </is>
      </c>
      <c r="E1235" s="12" t="inlineStr">
        <is>
          <t>R786-v1</t>
        </is>
      </c>
      <c r="F1235" s="12" t="inlineStr">
        <is>
          <t>1.5.2 Testing and Commissioning - Dynamic Testing</t>
        </is>
      </c>
      <c r="G1235" s="12" t="inlineStr">
        <is>
          <t>ONE_TO_ONE</t>
        </is>
      </c>
      <c r="H1235" s="12" t="inlineStr">
        <is>
          <t>APPROVED</t>
        </is>
      </c>
      <c r="I1235" s="12" t="inlineStr">
        <is>
          <t>New</t>
        </is>
      </c>
      <c r="J1235" s="12" t="inlineStr">
        <is>
          <t>Source assignment -- not individually reviewed</t>
        </is>
      </c>
      <c r="K1235" s="12" t="inlineStr"/>
      <c r="L1235" s="12" t="inlineStr"/>
      <c r="M1235" s="12" t="inlineStr"/>
      <c r="N1235" s="17" t="inlineStr">
        <is>
          <t>10 EVIDENCE &amp; DECISIONS</t>
        </is>
      </c>
    </row>
    <row r="1236" ht="34" customHeight="1">
      <c r="A1236" s="12" t="inlineStr">
        <is>
          <t>Contractor Programme</t>
        </is>
      </c>
      <c r="B1236" s="12" t="inlineStr">
        <is>
          <t>SCH-05-069</t>
        </is>
      </c>
      <c r="C1236" s="12" t="inlineStr">
        <is>
          <t>Control Centre: safety certificate evidence closeout - turnover</t>
        </is>
      </c>
      <c r="D1236" s="12" t="inlineStr">
        <is>
          <t>WBS Code = 1.5.2</t>
        </is>
      </c>
      <c r="E1236" s="12" t="inlineStr">
        <is>
          <t>R789-v1</t>
        </is>
      </c>
      <c r="F1236" s="12" t="inlineStr">
        <is>
          <t>1.5.2 Testing and Commissioning - Dynamic Testing</t>
        </is>
      </c>
      <c r="G1236" s="12" t="inlineStr">
        <is>
          <t>ONE_TO_ONE</t>
        </is>
      </c>
      <c r="H1236" s="12" t="inlineStr">
        <is>
          <t>APPROVED</t>
        </is>
      </c>
      <c r="I1236" s="12" t="inlineStr">
        <is>
          <t>New</t>
        </is>
      </c>
      <c r="J1236" s="12" t="inlineStr">
        <is>
          <t>Source assignment -- not individually reviewed</t>
        </is>
      </c>
      <c r="K1236" s="12" t="inlineStr"/>
      <c r="L1236" s="12" t="inlineStr"/>
      <c r="M1236" s="12" t="inlineStr"/>
      <c r="N1236" s="17" t="inlineStr">
        <is>
          <t>10 EVIDENCE &amp; DECISIONS</t>
        </is>
      </c>
    </row>
    <row r="1237" ht="34" customHeight="1">
      <c r="A1237" s="12" t="inlineStr">
        <is>
          <t>Contractor Programme</t>
        </is>
      </c>
      <c r="B1237" s="12" t="inlineStr">
        <is>
          <t>SCH-05-072</t>
        </is>
      </c>
      <c r="C1237" s="12" t="inlineStr">
        <is>
          <t>West terminal: trial-running shift - installation</t>
        </is>
      </c>
      <c r="D1237" s="12" t="inlineStr">
        <is>
          <t>WBS Code = 1.5.2</t>
        </is>
      </c>
      <c r="E1237" s="12" t="inlineStr">
        <is>
          <t>R792-v1</t>
        </is>
      </c>
      <c r="F1237" s="12" t="inlineStr">
        <is>
          <t>1.5.2 Testing and Commissioning - Dynamic Testing</t>
        </is>
      </c>
      <c r="G1237" s="12" t="inlineStr">
        <is>
          <t>ONE_TO_ONE</t>
        </is>
      </c>
      <c r="H1237" s="12" t="inlineStr">
        <is>
          <t>APPROVED</t>
        </is>
      </c>
      <c r="I1237" s="12" t="inlineStr">
        <is>
          <t>New</t>
        </is>
      </c>
      <c r="J1237" s="12" t="inlineStr">
        <is>
          <t>Source assignment -- not individually reviewed</t>
        </is>
      </c>
      <c r="K1237" s="12" t="inlineStr"/>
      <c r="L1237" s="12" t="inlineStr"/>
      <c r="M1237" s="12" t="inlineStr"/>
      <c r="N1237" s="17" t="inlineStr">
        <is>
          <t>10 EVIDENCE &amp; DECISIONS</t>
        </is>
      </c>
    </row>
    <row r="1238" ht="34" customHeight="1">
      <c r="A1238" s="12" t="inlineStr">
        <is>
          <t>Contractor Programme</t>
        </is>
      </c>
      <c r="B1238" s="12" t="inlineStr">
        <is>
          <t>SCH-05-075</t>
        </is>
      </c>
      <c r="C1238" s="12" t="inlineStr">
        <is>
          <t>Mainline east: defect retest - release</t>
        </is>
      </c>
      <c r="D1238" s="12" t="inlineStr">
        <is>
          <t>WBS Code = 1.5.2</t>
        </is>
      </c>
      <c r="E1238" s="12" t="inlineStr">
        <is>
          <t>R795-v1</t>
        </is>
      </c>
      <c r="F1238" s="12" t="inlineStr">
        <is>
          <t>1.5.2 Testing and Commissioning - Dynamic Testing</t>
        </is>
      </c>
      <c r="G1238" s="12" t="inlineStr">
        <is>
          <t>ONE_TO_ONE</t>
        </is>
      </c>
      <c r="H1238" s="12" t="inlineStr">
        <is>
          <t>APPROVED</t>
        </is>
      </c>
      <c r="I1238" s="12" t="inlineStr">
        <is>
          <t>New</t>
        </is>
      </c>
      <c r="J1238" s="12" t="inlineStr">
        <is>
          <t>Source assignment -- not individually reviewed</t>
        </is>
      </c>
      <c r="K1238" s="12" t="inlineStr"/>
      <c r="L1238" s="12" t="inlineStr"/>
      <c r="M1238" s="12" t="inlineStr"/>
      <c r="N1238" s="17" t="inlineStr">
        <is>
          <t>10 EVIDENCE &amp; DECISIONS</t>
        </is>
      </c>
    </row>
    <row r="1239" ht="34" customHeight="1">
      <c r="A1239" s="12" t="inlineStr">
        <is>
          <t>Contractor Programme</t>
        </is>
      </c>
      <c r="B1239" s="12" t="inlineStr">
        <is>
          <t>SCH-05-078</t>
        </is>
      </c>
      <c r="C1239" s="12" t="inlineStr">
        <is>
          <t>Depot: service-readiness review - inspection</t>
        </is>
      </c>
      <c r="D1239" s="12" t="inlineStr">
        <is>
          <t>WBS Code = 1.5.2</t>
        </is>
      </c>
      <c r="E1239" s="12" t="inlineStr">
        <is>
          <t>R798-v1</t>
        </is>
      </c>
      <c r="F1239" s="12" t="inlineStr">
        <is>
          <t>1.5.2 Testing and Commissioning - Dynamic Testing</t>
        </is>
      </c>
      <c r="G1239" s="12" t="inlineStr">
        <is>
          <t>ONE_TO_ONE</t>
        </is>
      </c>
      <c r="H1239" s="12" t="inlineStr">
        <is>
          <t>APPROVED</t>
        </is>
      </c>
      <c r="I1239" s="12" t="inlineStr">
        <is>
          <t>New</t>
        </is>
      </c>
      <c r="J1239" s="12" t="inlineStr">
        <is>
          <t>Source assignment -- not individually reviewed</t>
        </is>
      </c>
      <c r="K1239" s="12" t="inlineStr"/>
      <c r="L1239" s="12" t="inlineStr"/>
      <c r="M1239" s="12" t="inlineStr"/>
      <c r="N1239" s="17" t="inlineStr">
        <is>
          <t>10 EVIDENCE &amp; DECISIONS</t>
        </is>
      </c>
    </row>
    <row r="1240" ht="34" customHeight="1">
      <c r="A1240" s="12" t="inlineStr">
        <is>
          <t>Contractor Programme</t>
        </is>
      </c>
      <c r="B1240" s="12" t="inlineStr">
        <is>
          <t>SCH-05-081</t>
        </is>
      </c>
      <c r="C1240" s="12" t="inlineStr">
        <is>
          <t>Central section: test procedure readiness review - field start</t>
        </is>
      </c>
      <c r="D1240" s="12" t="inlineStr">
        <is>
          <t>WBS Code = 1.5.2</t>
        </is>
      </c>
      <c r="E1240" s="12" t="inlineStr">
        <is>
          <t>R801-v1</t>
        </is>
      </c>
      <c r="F1240" s="12" t="inlineStr">
        <is>
          <t>1.5.2 Testing and Commissioning - Dynamic Testing</t>
        </is>
      </c>
      <c r="G1240" s="12" t="inlineStr">
        <is>
          <t>ONE_TO_ONE</t>
        </is>
      </c>
      <c r="H1240" s="12" t="inlineStr">
        <is>
          <t>APPROVED</t>
        </is>
      </c>
      <c r="I1240" s="12" t="inlineStr">
        <is>
          <t>New</t>
        </is>
      </c>
      <c r="J1240" s="12" t="inlineStr">
        <is>
          <t>Source assignment -- not individually reviewed</t>
        </is>
      </c>
      <c r="K1240" s="12" t="inlineStr"/>
      <c r="L1240" s="12" t="inlineStr"/>
      <c r="M1240" s="12" t="inlineStr"/>
      <c r="N1240" s="17" t="inlineStr">
        <is>
          <t>10 EVIDENCE &amp; DECISIONS</t>
        </is>
      </c>
    </row>
    <row r="1241" ht="34" customHeight="1">
      <c r="A1241" s="12" t="inlineStr">
        <is>
          <t>Contractor Programme</t>
        </is>
      </c>
      <c r="B1241" s="12" t="inlineStr">
        <is>
          <t>SCH-05-084</t>
        </is>
      </c>
      <c r="C1241" s="12" t="inlineStr">
        <is>
          <t>Control Centre: mainline dynamic test - turnover</t>
        </is>
      </c>
      <c r="D1241" s="12" t="inlineStr">
        <is>
          <t>WBS Code = 1.5.2</t>
        </is>
      </c>
      <c r="E1241" s="12" t="inlineStr">
        <is>
          <t>R804-v1</t>
        </is>
      </c>
      <c r="F1241" s="12" t="inlineStr">
        <is>
          <t>1.5.2 Testing and Commissioning - Dynamic Testing</t>
        </is>
      </c>
      <c r="G1241" s="12" t="inlineStr">
        <is>
          <t>ONE_TO_ONE</t>
        </is>
      </c>
      <c r="H1241" s="12" t="inlineStr">
        <is>
          <t>APPROVED</t>
        </is>
      </c>
      <c r="I1241" s="12" t="inlineStr">
        <is>
          <t>New</t>
        </is>
      </c>
      <c r="J1241" s="12" t="inlineStr">
        <is>
          <t>Source assignment -- not individually reviewed</t>
        </is>
      </c>
      <c r="K1241" s="12" t="inlineStr"/>
      <c r="L1241" s="12" t="inlineStr"/>
      <c r="M1241" s="12" t="inlineStr"/>
      <c r="N1241" s="17" t="inlineStr">
        <is>
          <t>10 EVIDENCE &amp; DECISIONS</t>
        </is>
      </c>
    </row>
    <row r="1242" ht="34" customHeight="1">
      <c r="A1242" s="12" t="inlineStr">
        <is>
          <t>Contractor Programme</t>
        </is>
      </c>
      <c r="B1242" s="12" t="inlineStr">
        <is>
          <t>SCH-05-087</t>
        </is>
      </c>
      <c r="C1242" s="12" t="inlineStr">
        <is>
          <t>West terminal: station integrated test - installation</t>
        </is>
      </c>
      <c r="D1242" s="12" t="inlineStr">
        <is>
          <t>WBS Code = 1.5.2</t>
        </is>
      </c>
      <c r="E1242" s="12" t="inlineStr">
        <is>
          <t>R807-v1</t>
        </is>
      </c>
      <c r="F1242" s="12" t="inlineStr">
        <is>
          <t>1.5.2 Testing and Commissioning - Dynamic Testing</t>
        </is>
      </c>
      <c r="G1242" s="12" t="inlineStr">
        <is>
          <t>ONE_TO_ONE</t>
        </is>
      </c>
      <c r="H1242" s="12" t="inlineStr">
        <is>
          <t>APPROVED</t>
        </is>
      </c>
      <c r="I1242" s="12" t="inlineStr">
        <is>
          <t>New</t>
        </is>
      </c>
      <c r="J1242" s="12" t="inlineStr">
        <is>
          <t>Source assignment -- not individually reviewed</t>
        </is>
      </c>
      <c r="K1242" s="12" t="inlineStr"/>
      <c r="L1242" s="12" t="inlineStr"/>
      <c r="M1242" s="12" t="inlineStr"/>
      <c r="N1242" s="17" t="inlineStr">
        <is>
          <t>10 EVIDENCE &amp; DECISIONS</t>
        </is>
      </c>
    </row>
    <row r="1243" ht="34" customHeight="1">
      <c r="A1243" s="12" t="inlineStr">
        <is>
          <t>Contractor Programme</t>
        </is>
      </c>
      <c r="B1243" s="12" t="inlineStr">
        <is>
          <t>SCH-05-090</t>
        </is>
      </c>
      <c r="C1243" s="12" t="inlineStr">
        <is>
          <t>Mainline east: emergency-response drill - release</t>
        </is>
      </c>
      <c r="D1243" s="12" t="inlineStr">
        <is>
          <t>WBS Code = 1.5.2</t>
        </is>
      </c>
      <c r="E1243" s="12" t="inlineStr">
        <is>
          <t>R810-v1</t>
        </is>
      </c>
      <c r="F1243" s="12" t="inlineStr">
        <is>
          <t>1.5.2 Testing and Commissioning - Dynamic Testing</t>
        </is>
      </c>
      <c r="G1243" s="12" t="inlineStr">
        <is>
          <t>ONE_TO_ONE</t>
        </is>
      </c>
      <c r="H1243" s="12" t="inlineStr">
        <is>
          <t>APPROVED</t>
        </is>
      </c>
      <c r="I1243" s="12" t="inlineStr">
        <is>
          <t>New</t>
        </is>
      </c>
      <c r="J1243" s="12" t="inlineStr">
        <is>
          <t>Source assignment -- not individually reviewed</t>
        </is>
      </c>
      <c r="K1243" s="12" t="inlineStr"/>
      <c r="L1243" s="12" t="inlineStr"/>
      <c r="M1243" s="12" t="inlineStr"/>
      <c r="N1243" s="17" t="inlineStr">
        <is>
          <t>10 EVIDENCE &amp; DECISIONS</t>
        </is>
      </c>
    </row>
    <row r="1244" ht="34" customHeight="1">
      <c r="A1244" s="12" t="inlineStr">
        <is>
          <t>Contractor Programme</t>
        </is>
      </c>
      <c r="B1244" s="12" t="inlineStr">
        <is>
          <t>SCH-05-093</t>
        </is>
      </c>
      <c r="C1244" s="12" t="inlineStr">
        <is>
          <t>Depot: safety certificate evidence closeout - inspection</t>
        </is>
      </c>
      <c r="D1244" s="12" t="inlineStr">
        <is>
          <t>WBS Code = 1.5.2</t>
        </is>
      </c>
      <c r="E1244" s="12" t="inlineStr">
        <is>
          <t>R813-v1</t>
        </is>
      </c>
      <c r="F1244" s="12" t="inlineStr">
        <is>
          <t>1.5.2 Testing and Commissioning - Dynamic Testing</t>
        </is>
      </c>
      <c r="G1244" s="12" t="inlineStr">
        <is>
          <t>ONE_TO_ONE</t>
        </is>
      </c>
      <c r="H1244" s="12" t="inlineStr">
        <is>
          <t>APPROVED</t>
        </is>
      </c>
      <c r="I1244" s="12" t="inlineStr">
        <is>
          <t>New</t>
        </is>
      </c>
      <c r="J1244" s="12" t="inlineStr">
        <is>
          <t>Source assignment -- not individually reviewed</t>
        </is>
      </c>
      <c r="K1244" s="12" t="inlineStr"/>
      <c r="L1244" s="12" t="inlineStr"/>
      <c r="M1244" s="12" t="inlineStr"/>
      <c r="N1244" s="17" t="inlineStr">
        <is>
          <t>10 EVIDENCE &amp; DECISIONS</t>
        </is>
      </c>
    </row>
    <row r="1245" ht="34" customHeight="1">
      <c r="A1245" s="12" t="inlineStr">
        <is>
          <t>Contractor Programme</t>
        </is>
      </c>
      <c r="B1245" s="12" t="inlineStr">
        <is>
          <t>SCH-05-096</t>
        </is>
      </c>
      <c r="C1245" s="12" t="inlineStr">
        <is>
          <t>Central section: trial-running shift - field start</t>
        </is>
      </c>
      <c r="D1245" s="12" t="inlineStr">
        <is>
          <t>WBS Code = 1.5.2</t>
        </is>
      </c>
      <c r="E1245" s="12" t="inlineStr">
        <is>
          <t>R816-v1</t>
        </is>
      </c>
      <c r="F1245" s="12" t="inlineStr">
        <is>
          <t>1.5.2 Testing and Commissioning - Dynamic Testing</t>
        </is>
      </c>
      <c r="G1245" s="12" t="inlineStr">
        <is>
          <t>ONE_TO_ONE</t>
        </is>
      </c>
      <c r="H1245" s="12" t="inlineStr">
        <is>
          <t>APPROVED</t>
        </is>
      </c>
      <c r="I1245" s="12" t="inlineStr">
        <is>
          <t>New</t>
        </is>
      </c>
      <c r="J1245" s="12" t="inlineStr">
        <is>
          <t>Source assignment -- not individually reviewed</t>
        </is>
      </c>
      <c r="K1245" s="12" t="inlineStr"/>
      <c r="L1245" s="12" t="inlineStr"/>
      <c r="M1245" s="12" t="inlineStr"/>
      <c r="N1245" s="17" t="inlineStr">
        <is>
          <t>10 EVIDENCE &amp; DECISIONS</t>
        </is>
      </c>
    </row>
    <row r="1246" ht="34" customHeight="1">
      <c r="A1246" s="12" t="inlineStr">
        <is>
          <t>Contractor Programme</t>
        </is>
      </c>
      <c r="B1246" s="12" t="inlineStr">
        <is>
          <t>SCH-05-099</t>
        </is>
      </c>
      <c r="C1246" s="12" t="inlineStr">
        <is>
          <t>Control Centre: defect retest - turnover</t>
        </is>
      </c>
      <c r="D1246" s="12" t="inlineStr">
        <is>
          <t>WBS Code = 1.5.2</t>
        </is>
      </c>
      <c r="E1246" s="12" t="inlineStr">
        <is>
          <t>R819-v1</t>
        </is>
      </c>
      <c r="F1246" s="12" t="inlineStr">
        <is>
          <t>1.5.2 Testing and Commissioning - Dynamic Testing</t>
        </is>
      </c>
      <c r="G1246" s="12" t="inlineStr">
        <is>
          <t>ONE_TO_ONE</t>
        </is>
      </c>
      <c r="H1246" s="12" t="inlineStr">
        <is>
          <t>APPROVED</t>
        </is>
      </c>
      <c r="I1246" s="12" t="inlineStr">
        <is>
          <t>New</t>
        </is>
      </c>
      <c r="J1246" s="12" t="inlineStr">
        <is>
          <t>Source assignment -- not individually reviewed</t>
        </is>
      </c>
      <c r="K1246" s="12" t="inlineStr"/>
      <c r="L1246" s="12" t="inlineStr"/>
      <c r="M1246" s="12" t="inlineStr"/>
      <c r="N1246" s="17" t="inlineStr">
        <is>
          <t>10 EVIDENCE &amp; DECISIONS</t>
        </is>
      </c>
    </row>
    <row r="1247" ht="34" customHeight="1">
      <c r="A1247" s="12" t="inlineStr">
        <is>
          <t>Contractor Programme</t>
        </is>
      </c>
      <c r="B1247" s="12" t="inlineStr">
        <is>
          <t>SCH-05-102</t>
        </is>
      </c>
      <c r="C1247" s="12" t="inlineStr">
        <is>
          <t>West terminal: service-readiness review - installation</t>
        </is>
      </c>
      <c r="D1247" s="12" t="inlineStr">
        <is>
          <t>WBS Code = 1.5.2</t>
        </is>
      </c>
      <c r="E1247" s="12" t="inlineStr">
        <is>
          <t>R822-v1</t>
        </is>
      </c>
      <c r="F1247" s="12" t="inlineStr">
        <is>
          <t>1.5.2 Testing and Commissioning - Dynamic Testing</t>
        </is>
      </c>
      <c r="G1247" s="12" t="inlineStr">
        <is>
          <t>ONE_TO_ONE</t>
        </is>
      </c>
      <c r="H1247" s="12" t="inlineStr">
        <is>
          <t>APPROVED</t>
        </is>
      </c>
      <c r="I1247" s="12" t="inlineStr">
        <is>
          <t>New</t>
        </is>
      </c>
      <c r="J1247" s="12" t="inlineStr">
        <is>
          <t>Source assignment -- not individually reviewed</t>
        </is>
      </c>
      <c r="K1247" s="12" t="inlineStr"/>
      <c r="L1247" s="12" t="inlineStr"/>
      <c r="M1247" s="12" t="inlineStr"/>
      <c r="N1247" s="17" t="inlineStr">
        <is>
          <t>10 EVIDENCE &amp; DECISIONS</t>
        </is>
      </c>
    </row>
    <row r="1248" ht="34" customHeight="1">
      <c r="A1248" s="12" t="inlineStr">
        <is>
          <t>Contractor Programme</t>
        </is>
      </c>
      <c r="B1248" s="12" t="inlineStr">
        <is>
          <t>SCH-05-105</t>
        </is>
      </c>
      <c r="C1248" s="12" t="inlineStr">
        <is>
          <t>Mainline east: test procedure readiness review - release</t>
        </is>
      </c>
      <c r="D1248" s="12" t="inlineStr">
        <is>
          <t>WBS Code = 1.5.2</t>
        </is>
      </c>
      <c r="E1248" s="12" t="inlineStr">
        <is>
          <t>R825-v1</t>
        </is>
      </c>
      <c r="F1248" s="12" t="inlineStr">
        <is>
          <t>1.5.2 Testing and Commissioning - Dynamic Testing</t>
        </is>
      </c>
      <c r="G1248" s="12" t="inlineStr">
        <is>
          <t>ONE_TO_ONE</t>
        </is>
      </c>
      <c r="H1248" s="12" t="inlineStr">
        <is>
          <t>APPROVED</t>
        </is>
      </c>
      <c r="I1248" s="12" t="inlineStr">
        <is>
          <t>New</t>
        </is>
      </c>
      <c r="J1248" s="12" t="inlineStr">
        <is>
          <t>Source assignment -- not individually reviewed</t>
        </is>
      </c>
      <c r="K1248" s="12" t="inlineStr"/>
      <c r="L1248" s="12" t="inlineStr"/>
      <c r="M1248" s="12" t="inlineStr"/>
      <c r="N1248" s="17" t="inlineStr">
        <is>
          <t>10 EVIDENCE &amp; DECISIONS</t>
        </is>
      </c>
    </row>
    <row r="1249" ht="34" customHeight="1">
      <c r="A1249" s="12" t="inlineStr">
        <is>
          <t>Contractor Programme</t>
        </is>
      </c>
      <c r="B1249" s="12" t="inlineStr">
        <is>
          <t>SCH-05-108</t>
        </is>
      </c>
      <c r="C1249" s="12" t="inlineStr">
        <is>
          <t>Depot: mainline dynamic test - inspection</t>
        </is>
      </c>
      <c r="D1249" s="12" t="inlineStr">
        <is>
          <t>WBS Code = 1.5.2</t>
        </is>
      </c>
      <c r="E1249" s="12" t="inlineStr">
        <is>
          <t>R828-v1</t>
        </is>
      </c>
      <c r="F1249" s="12" t="inlineStr">
        <is>
          <t>1.5.2 Testing and Commissioning - Dynamic Testing</t>
        </is>
      </c>
      <c r="G1249" s="12" t="inlineStr">
        <is>
          <t>ONE_TO_ONE</t>
        </is>
      </c>
      <c r="H1249" s="12" t="inlineStr">
        <is>
          <t>APPROVED</t>
        </is>
      </c>
      <c r="I1249" s="12" t="inlineStr">
        <is>
          <t>New</t>
        </is>
      </c>
      <c r="J1249" s="12" t="inlineStr">
        <is>
          <t>Source assignment -- not individually reviewed</t>
        </is>
      </c>
      <c r="K1249" s="12" t="inlineStr"/>
      <c r="L1249" s="12" t="inlineStr"/>
      <c r="M1249" s="12" t="inlineStr"/>
      <c r="N1249" s="17" t="inlineStr">
        <is>
          <t>10 EVIDENCE &amp; DECISIONS</t>
        </is>
      </c>
    </row>
    <row r="1250" ht="34" customHeight="1">
      <c r="A1250" s="12" t="inlineStr">
        <is>
          <t>Contractor Programme</t>
        </is>
      </c>
      <c r="B1250" s="12" t="inlineStr">
        <is>
          <t>SCH-05-111</t>
        </is>
      </c>
      <c r="C1250" s="12" t="inlineStr">
        <is>
          <t>Central section: station integrated test - field start</t>
        </is>
      </c>
      <c r="D1250" s="12" t="inlineStr">
        <is>
          <t>WBS Code = 1.5.2</t>
        </is>
      </c>
      <c r="E1250" s="12" t="inlineStr">
        <is>
          <t>R831-v1</t>
        </is>
      </c>
      <c r="F1250" s="12" t="inlineStr">
        <is>
          <t>1.5.2 Testing and Commissioning - Dynamic Testing</t>
        </is>
      </c>
      <c r="G1250" s="12" t="inlineStr">
        <is>
          <t>ONE_TO_ONE</t>
        </is>
      </c>
      <c r="H1250" s="12" t="inlineStr">
        <is>
          <t>APPROVED</t>
        </is>
      </c>
      <c r="I1250" s="12" t="inlineStr">
        <is>
          <t>New</t>
        </is>
      </c>
      <c r="J1250" s="12" t="inlineStr">
        <is>
          <t>Source assignment -- not individually reviewed</t>
        </is>
      </c>
      <c r="K1250" s="12" t="inlineStr"/>
      <c r="L1250" s="12" t="inlineStr"/>
      <c r="M1250" s="12" t="inlineStr"/>
      <c r="N1250" s="17" t="inlineStr">
        <is>
          <t>10 EVIDENCE &amp; DECISIONS</t>
        </is>
      </c>
    </row>
    <row r="1251" ht="34" customHeight="1">
      <c r="A1251" s="12" t="inlineStr">
        <is>
          <t>Contractor Programme</t>
        </is>
      </c>
      <c r="B1251" s="12" t="inlineStr">
        <is>
          <t>SCH-05-114</t>
        </is>
      </c>
      <c r="C1251" s="12" t="inlineStr">
        <is>
          <t>Control Centre: emergency-response drill - turnover</t>
        </is>
      </c>
      <c r="D1251" s="12" t="inlineStr">
        <is>
          <t>WBS Code = 1.5.2</t>
        </is>
      </c>
      <c r="E1251" s="12" t="inlineStr">
        <is>
          <t>R834-v1</t>
        </is>
      </c>
      <c r="F1251" s="12" t="inlineStr">
        <is>
          <t>1.5.2 Testing and Commissioning - Dynamic Testing</t>
        </is>
      </c>
      <c r="G1251" s="12" t="inlineStr">
        <is>
          <t>ONE_TO_ONE</t>
        </is>
      </c>
      <c r="H1251" s="12" t="inlineStr">
        <is>
          <t>APPROVED</t>
        </is>
      </c>
      <c r="I1251" s="12" t="inlineStr">
        <is>
          <t>New</t>
        </is>
      </c>
      <c r="J1251" s="12" t="inlineStr">
        <is>
          <t>Source assignment -- not individually reviewed</t>
        </is>
      </c>
      <c r="K1251" s="12" t="inlineStr"/>
      <c r="L1251" s="12" t="inlineStr"/>
      <c r="M1251" s="12" t="inlineStr"/>
      <c r="N1251" s="17" t="inlineStr">
        <is>
          <t>10 EVIDENCE &amp; DECISIONS</t>
        </is>
      </c>
    </row>
    <row r="1252" ht="34" customHeight="1">
      <c r="A1252" s="12" t="inlineStr">
        <is>
          <t>Contractor Programme</t>
        </is>
      </c>
      <c r="B1252" s="12" t="inlineStr">
        <is>
          <t>SCH-05-117</t>
        </is>
      </c>
      <c r="C1252" s="12" t="inlineStr">
        <is>
          <t>West terminal: safety certificate evidence closeout - installation</t>
        </is>
      </c>
      <c r="D1252" s="12" t="inlineStr">
        <is>
          <t>WBS Code = 1.5.2</t>
        </is>
      </c>
      <c r="E1252" s="12" t="inlineStr">
        <is>
          <t>R837-v1</t>
        </is>
      </c>
      <c r="F1252" s="12" t="inlineStr">
        <is>
          <t>1.5.2 Testing and Commissioning - Dynamic Testing</t>
        </is>
      </c>
      <c r="G1252" s="12" t="inlineStr">
        <is>
          <t>ONE_TO_ONE</t>
        </is>
      </c>
      <c r="H1252" s="12" t="inlineStr">
        <is>
          <t>APPROVED</t>
        </is>
      </c>
      <c r="I1252" s="12" t="inlineStr">
        <is>
          <t>New</t>
        </is>
      </c>
      <c r="J1252" s="12" t="inlineStr">
        <is>
          <t>Source assignment -- not individually reviewed</t>
        </is>
      </c>
      <c r="K1252" s="12" t="inlineStr"/>
      <c r="L1252" s="12" t="inlineStr"/>
      <c r="M1252" s="12" t="inlineStr"/>
      <c r="N1252" s="17" t="inlineStr">
        <is>
          <t>10 EVIDENCE &amp; DECISIONS</t>
        </is>
      </c>
    </row>
    <row r="1253" ht="34" customHeight="1">
      <c r="A1253" s="12" t="inlineStr">
        <is>
          <t>Contractor Programme</t>
        </is>
      </c>
      <c r="B1253" s="12" t="inlineStr">
        <is>
          <t>SCH-05-120</t>
        </is>
      </c>
      <c r="C1253" s="12" t="inlineStr">
        <is>
          <t>Mainline east: trial-running shift - release</t>
        </is>
      </c>
      <c r="D1253" s="12" t="inlineStr">
        <is>
          <t>WBS Code = 1.5.2</t>
        </is>
      </c>
      <c r="E1253" s="12" t="inlineStr">
        <is>
          <t>R840-v1</t>
        </is>
      </c>
      <c r="F1253" s="12" t="inlineStr">
        <is>
          <t>1.5.2 Testing and Commissioning - Dynamic Testing</t>
        </is>
      </c>
      <c r="G1253" s="12" t="inlineStr">
        <is>
          <t>ONE_TO_ONE</t>
        </is>
      </c>
      <c r="H1253" s="12" t="inlineStr">
        <is>
          <t>APPROVED</t>
        </is>
      </c>
      <c r="I1253" s="12" t="inlineStr">
        <is>
          <t>New</t>
        </is>
      </c>
      <c r="J1253" s="12" t="inlineStr">
        <is>
          <t>Source assignment -- not individually reviewed</t>
        </is>
      </c>
      <c r="K1253" s="12" t="inlineStr"/>
      <c r="L1253" s="12" t="inlineStr"/>
      <c r="M1253" s="12" t="inlineStr"/>
      <c r="N1253" s="17" t="inlineStr">
        <is>
          <t>10 EVIDENCE &amp; DECISIONS</t>
        </is>
      </c>
    </row>
    <row r="1254" ht="34" customHeight="1">
      <c r="A1254" s="12" t="inlineStr">
        <is>
          <t>Contractor Programme</t>
        </is>
      </c>
      <c r="B1254" s="12" t="inlineStr">
        <is>
          <t>SCH-05-123</t>
        </is>
      </c>
      <c r="C1254" s="12" t="inlineStr">
        <is>
          <t>Depot: defect retest - inspection</t>
        </is>
      </c>
      <c r="D1254" s="12" t="inlineStr">
        <is>
          <t>WBS Code = 1.5.2</t>
        </is>
      </c>
      <c r="E1254" s="12" t="inlineStr">
        <is>
          <t>R843-v1</t>
        </is>
      </c>
      <c r="F1254" s="12" t="inlineStr">
        <is>
          <t>1.5.2 Testing and Commissioning - Dynamic Testing</t>
        </is>
      </c>
      <c r="G1254" s="12" t="inlineStr">
        <is>
          <t>ONE_TO_ONE</t>
        </is>
      </c>
      <c r="H1254" s="12" t="inlineStr">
        <is>
          <t>APPROVED</t>
        </is>
      </c>
      <c r="I1254" s="12" t="inlineStr">
        <is>
          <t>New</t>
        </is>
      </c>
      <c r="J1254" s="12" t="inlineStr">
        <is>
          <t>Source assignment -- not individually reviewed</t>
        </is>
      </c>
      <c r="K1254" s="12" t="inlineStr"/>
      <c r="L1254" s="12" t="inlineStr"/>
      <c r="M1254" s="12" t="inlineStr"/>
      <c r="N1254" s="17" t="inlineStr">
        <is>
          <t>10 EVIDENCE &amp; DECISIONS</t>
        </is>
      </c>
    </row>
    <row r="1255" ht="34" customHeight="1">
      <c r="A1255" s="12" t="inlineStr">
        <is>
          <t>Contractor Programme</t>
        </is>
      </c>
      <c r="B1255" s="12" t="inlineStr">
        <is>
          <t>SCH-05-126</t>
        </is>
      </c>
      <c r="C1255" s="12" t="inlineStr">
        <is>
          <t>Central section: service-readiness review - field start</t>
        </is>
      </c>
      <c r="D1255" s="12" t="inlineStr">
        <is>
          <t>WBS Code = 1.5.2</t>
        </is>
      </c>
      <c r="E1255" s="12" t="inlineStr">
        <is>
          <t>R846-v1</t>
        </is>
      </c>
      <c r="F1255" s="12" t="inlineStr">
        <is>
          <t>1.5.2 Testing and Commissioning - Dynamic Testing</t>
        </is>
      </c>
      <c r="G1255" s="12" t="inlineStr">
        <is>
          <t>ONE_TO_ONE</t>
        </is>
      </c>
      <c r="H1255" s="12" t="inlineStr">
        <is>
          <t>APPROVED</t>
        </is>
      </c>
      <c r="I1255" s="12" t="inlineStr">
        <is>
          <t>New</t>
        </is>
      </c>
      <c r="J1255" s="12" t="inlineStr">
        <is>
          <t>Source assignment -- not individually reviewed</t>
        </is>
      </c>
      <c r="K1255" s="12" t="inlineStr"/>
      <c r="L1255" s="12" t="inlineStr"/>
      <c r="M1255" s="12" t="inlineStr"/>
      <c r="N1255" s="17" t="inlineStr">
        <is>
          <t>10 EVIDENCE &amp; DECISIONS</t>
        </is>
      </c>
    </row>
    <row r="1256" ht="34" customHeight="1">
      <c r="A1256" s="12" t="inlineStr">
        <is>
          <t>Contractor Programme</t>
        </is>
      </c>
      <c r="B1256" s="12" t="inlineStr">
        <is>
          <t>SCH-05-129</t>
        </is>
      </c>
      <c r="C1256" s="12" t="inlineStr">
        <is>
          <t>Control Centre: test procedure readiness review - turnover</t>
        </is>
      </c>
      <c r="D1256" s="12" t="inlineStr">
        <is>
          <t>WBS Code = 1.5.2</t>
        </is>
      </c>
      <c r="E1256" s="12" t="inlineStr">
        <is>
          <t>R849-v1</t>
        </is>
      </c>
      <c r="F1256" s="12" t="inlineStr">
        <is>
          <t>1.5.2 Testing and Commissioning - Dynamic Testing</t>
        </is>
      </c>
      <c r="G1256" s="12" t="inlineStr">
        <is>
          <t>ONE_TO_ONE</t>
        </is>
      </c>
      <c r="H1256" s="12" t="inlineStr">
        <is>
          <t>APPROVED</t>
        </is>
      </c>
      <c r="I1256" s="12" t="inlineStr">
        <is>
          <t>New</t>
        </is>
      </c>
      <c r="J1256" s="12" t="inlineStr">
        <is>
          <t>Source assignment -- not individually reviewed</t>
        </is>
      </c>
      <c r="K1256" s="12" t="inlineStr"/>
      <c r="L1256" s="12" t="inlineStr"/>
      <c r="M1256" s="12" t="inlineStr"/>
      <c r="N1256" s="17" t="inlineStr">
        <is>
          <t>10 EVIDENCE &amp; DECISIONS</t>
        </is>
      </c>
    </row>
    <row r="1257" ht="34" customHeight="1">
      <c r="A1257" s="12" t="inlineStr">
        <is>
          <t>Contractor Programme</t>
        </is>
      </c>
      <c r="B1257" s="12" t="inlineStr">
        <is>
          <t>SCH-05-132</t>
        </is>
      </c>
      <c r="C1257" s="12" t="inlineStr">
        <is>
          <t>West terminal: mainline dynamic test - installation</t>
        </is>
      </c>
      <c r="D1257" s="12" t="inlineStr">
        <is>
          <t>WBS Code = 1.5.2</t>
        </is>
      </c>
      <c r="E1257" s="12" t="inlineStr">
        <is>
          <t>R852-v1</t>
        </is>
      </c>
      <c r="F1257" s="12" t="inlineStr">
        <is>
          <t>1.5.2 Testing and Commissioning - Dynamic Testing</t>
        </is>
      </c>
      <c r="G1257" s="12" t="inlineStr">
        <is>
          <t>ONE_TO_ONE</t>
        </is>
      </c>
      <c r="H1257" s="12" t="inlineStr">
        <is>
          <t>APPROVED</t>
        </is>
      </c>
      <c r="I1257" s="12" t="inlineStr">
        <is>
          <t>New</t>
        </is>
      </c>
      <c r="J1257" s="12" t="inlineStr">
        <is>
          <t>Source assignment -- not individually reviewed</t>
        </is>
      </c>
      <c r="K1257" s="12" t="inlineStr"/>
      <c r="L1257" s="12" t="inlineStr"/>
      <c r="M1257" s="12" t="inlineStr"/>
      <c r="N1257" s="17" t="inlineStr">
        <is>
          <t>10 EVIDENCE &amp; DECISIONS</t>
        </is>
      </c>
    </row>
    <row r="1258" ht="34" customHeight="1">
      <c r="A1258" s="12" t="inlineStr">
        <is>
          <t>Contractor Programme</t>
        </is>
      </c>
      <c r="B1258" s="12" t="inlineStr">
        <is>
          <t>SCH-05-135</t>
        </is>
      </c>
      <c r="C1258" s="12" t="inlineStr">
        <is>
          <t>Mainline east: station integrated test - release</t>
        </is>
      </c>
      <c r="D1258" s="12" t="inlineStr">
        <is>
          <t>WBS Code = 1.5.2</t>
        </is>
      </c>
      <c r="E1258" s="12" t="inlineStr">
        <is>
          <t>R855-v1</t>
        </is>
      </c>
      <c r="F1258" s="12" t="inlineStr">
        <is>
          <t>1.5.2 Testing and Commissioning - Dynamic Testing</t>
        </is>
      </c>
      <c r="G1258" s="12" t="inlineStr">
        <is>
          <t>ONE_TO_ONE</t>
        </is>
      </c>
      <c r="H1258" s="12" t="inlineStr">
        <is>
          <t>APPROVED</t>
        </is>
      </c>
      <c r="I1258" s="12" t="inlineStr">
        <is>
          <t>New</t>
        </is>
      </c>
      <c r="J1258" s="12" t="inlineStr">
        <is>
          <t>Source assignment -- not individually reviewed</t>
        </is>
      </c>
      <c r="K1258" s="12" t="inlineStr"/>
      <c r="L1258" s="12" t="inlineStr"/>
      <c r="M1258" s="12" t="inlineStr"/>
      <c r="N1258" s="17" t="inlineStr">
        <is>
          <t>10 EVIDENCE &amp; DECISIONS</t>
        </is>
      </c>
    </row>
    <row r="1259" ht="34" customHeight="1">
      <c r="A1259" s="12" t="inlineStr">
        <is>
          <t>Contractor Programme</t>
        </is>
      </c>
      <c r="B1259" s="12" t="inlineStr">
        <is>
          <t>SCH-05-138</t>
        </is>
      </c>
      <c r="C1259" s="12" t="inlineStr">
        <is>
          <t>Depot: emergency-response drill - inspection</t>
        </is>
      </c>
      <c r="D1259" s="12" t="inlineStr">
        <is>
          <t>WBS Code = 1.5.2</t>
        </is>
      </c>
      <c r="E1259" s="12" t="inlineStr">
        <is>
          <t>R858-v1</t>
        </is>
      </c>
      <c r="F1259" s="12" t="inlineStr">
        <is>
          <t>1.5.2 Testing and Commissioning - Dynamic Testing</t>
        </is>
      </c>
      <c r="G1259" s="12" t="inlineStr">
        <is>
          <t>ONE_TO_ONE</t>
        </is>
      </c>
      <c r="H1259" s="12" t="inlineStr">
        <is>
          <t>APPROVED</t>
        </is>
      </c>
      <c r="I1259" s="12" t="inlineStr">
        <is>
          <t>New</t>
        </is>
      </c>
      <c r="J1259" s="12" t="inlineStr">
        <is>
          <t>Source assignment -- not individually reviewed</t>
        </is>
      </c>
      <c r="K1259" s="12" t="inlineStr"/>
      <c r="L1259" s="12" t="inlineStr"/>
      <c r="M1259" s="12" t="inlineStr"/>
      <c r="N1259" s="17" t="inlineStr">
        <is>
          <t>10 EVIDENCE &amp; DECISIONS</t>
        </is>
      </c>
    </row>
    <row r="1260" ht="34" customHeight="1">
      <c r="A1260" s="12" t="inlineStr">
        <is>
          <t>Contractor Programme</t>
        </is>
      </c>
      <c r="B1260" s="12" t="inlineStr">
        <is>
          <t>SCH-05-141</t>
        </is>
      </c>
      <c r="C1260" s="12" t="inlineStr">
        <is>
          <t>Central section: safety certificate evidence closeout - field start</t>
        </is>
      </c>
      <c r="D1260" s="12" t="inlineStr">
        <is>
          <t>WBS Code = 1.5.2</t>
        </is>
      </c>
      <c r="E1260" s="12" t="inlineStr">
        <is>
          <t>R861-v1</t>
        </is>
      </c>
      <c r="F1260" s="12" t="inlineStr">
        <is>
          <t>1.5.2 Testing and Commissioning - Dynamic Testing</t>
        </is>
      </c>
      <c r="G1260" s="12" t="inlineStr">
        <is>
          <t>ONE_TO_ONE</t>
        </is>
      </c>
      <c r="H1260" s="12" t="inlineStr">
        <is>
          <t>APPROVED</t>
        </is>
      </c>
      <c r="I1260" s="12" t="inlineStr">
        <is>
          <t>New</t>
        </is>
      </c>
      <c r="J1260" s="12" t="inlineStr">
        <is>
          <t>Source assignment -- not individually reviewed</t>
        </is>
      </c>
      <c r="K1260" s="12" t="inlineStr"/>
      <c r="L1260" s="12" t="inlineStr"/>
      <c r="M1260" s="12" t="inlineStr"/>
      <c r="N1260" s="17" t="inlineStr">
        <is>
          <t>10 EVIDENCE &amp; DECISIONS</t>
        </is>
      </c>
    </row>
    <row r="1261" ht="34" customHeight="1">
      <c r="A1261" s="12" t="inlineStr">
        <is>
          <t>Contractor Programme</t>
        </is>
      </c>
      <c r="B1261" s="12" t="inlineStr">
        <is>
          <t>SCH-05-144</t>
        </is>
      </c>
      <c r="C1261" s="12" t="inlineStr">
        <is>
          <t>Control Centre: trial-running shift - turnover</t>
        </is>
      </c>
      <c r="D1261" s="12" t="inlineStr">
        <is>
          <t>WBS Code = 1.5.2</t>
        </is>
      </c>
      <c r="E1261" s="12" t="inlineStr">
        <is>
          <t>R864-v1</t>
        </is>
      </c>
      <c r="F1261" s="12" t="inlineStr">
        <is>
          <t>1.5.2 Testing and Commissioning - Dynamic Testing</t>
        </is>
      </c>
      <c r="G1261" s="12" t="inlineStr">
        <is>
          <t>ONE_TO_ONE</t>
        </is>
      </c>
      <c r="H1261" s="12" t="inlineStr">
        <is>
          <t>APPROVED</t>
        </is>
      </c>
      <c r="I1261" s="12" t="inlineStr">
        <is>
          <t>New</t>
        </is>
      </c>
      <c r="J1261" s="12" t="inlineStr">
        <is>
          <t>Source assignment -- not individually reviewed</t>
        </is>
      </c>
      <c r="K1261" s="12" t="inlineStr"/>
      <c r="L1261" s="12" t="inlineStr"/>
      <c r="M1261" s="12" t="inlineStr"/>
      <c r="N1261" s="17" t="inlineStr">
        <is>
          <t>10 EVIDENCE &amp; DECISIONS</t>
        </is>
      </c>
    </row>
    <row r="1262" ht="34" customHeight="1">
      <c r="A1262" s="12" t="inlineStr">
        <is>
          <t>Contractor Programme</t>
        </is>
      </c>
      <c r="B1262" s="12" t="inlineStr">
        <is>
          <t>SCH-05-147</t>
        </is>
      </c>
      <c r="C1262" s="12" t="inlineStr">
        <is>
          <t>West terminal: defect retest - installation</t>
        </is>
      </c>
      <c r="D1262" s="12" t="inlineStr">
        <is>
          <t>WBS Code = 1.5.2</t>
        </is>
      </c>
      <c r="E1262" s="12" t="inlineStr">
        <is>
          <t>R867-v1</t>
        </is>
      </c>
      <c r="F1262" s="12" t="inlineStr">
        <is>
          <t>1.5.2 Testing and Commissioning - Dynamic Testing</t>
        </is>
      </c>
      <c r="G1262" s="12" t="inlineStr">
        <is>
          <t>ONE_TO_ONE</t>
        </is>
      </c>
      <c r="H1262" s="12" t="inlineStr">
        <is>
          <t>APPROVED</t>
        </is>
      </c>
      <c r="I1262" s="12" t="inlineStr">
        <is>
          <t>New</t>
        </is>
      </c>
      <c r="J1262" s="12" t="inlineStr">
        <is>
          <t>Source assignment -- not individually reviewed</t>
        </is>
      </c>
      <c r="K1262" s="12" t="inlineStr"/>
      <c r="L1262" s="12" t="inlineStr"/>
      <c r="M1262" s="12" t="inlineStr"/>
      <c r="N1262" s="17" t="inlineStr">
        <is>
          <t>10 EVIDENCE &amp; DECISIONS</t>
        </is>
      </c>
    </row>
    <row r="1263" ht="34" customHeight="1">
      <c r="A1263" s="12" t="inlineStr">
        <is>
          <t>Contractor Programme</t>
        </is>
      </c>
      <c r="B1263" s="12" t="inlineStr">
        <is>
          <t>SCH-05-150</t>
        </is>
      </c>
      <c r="C1263" s="12" t="inlineStr">
        <is>
          <t>Mainline east: service-readiness review - release</t>
        </is>
      </c>
      <c r="D1263" s="12" t="inlineStr">
        <is>
          <t>WBS Code = 1.5.2</t>
        </is>
      </c>
      <c r="E1263" s="12" t="inlineStr">
        <is>
          <t>R870-v1</t>
        </is>
      </c>
      <c r="F1263" s="12" t="inlineStr">
        <is>
          <t>1.5.2 Testing and Commissioning - Dynamic Testing</t>
        </is>
      </c>
      <c r="G1263" s="12" t="inlineStr">
        <is>
          <t>ONE_TO_ONE</t>
        </is>
      </c>
      <c r="H1263" s="12" t="inlineStr">
        <is>
          <t>APPROVED</t>
        </is>
      </c>
      <c r="I1263" s="12" t="inlineStr">
        <is>
          <t>New</t>
        </is>
      </c>
      <c r="J1263" s="12" t="inlineStr">
        <is>
          <t>Source assignment -- not individually reviewed</t>
        </is>
      </c>
      <c r="K1263" s="12" t="inlineStr"/>
      <c r="L1263" s="12" t="inlineStr"/>
      <c r="M1263" s="12" t="inlineStr"/>
      <c r="N1263" s="17" t="inlineStr">
        <is>
          <t>10 EVIDENCE &amp; DECISIONS</t>
        </is>
      </c>
    </row>
    <row r="1264" ht="34" customHeight="1">
      <c r="A1264" s="12" t="inlineStr">
        <is>
          <t>Contractor Programme</t>
        </is>
      </c>
      <c r="B1264" s="12" t="inlineStr">
        <is>
          <t>SCH-05-153</t>
        </is>
      </c>
      <c r="C1264" s="12" t="inlineStr">
        <is>
          <t>Depot: test procedure readiness review - inspection</t>
        </is>
      </c>
      <c r="D1264" s="12" t="inlineStr">
        <is>
          <t>WBS Code = 1.5.2</t>
        </is>
      </c>
      <c r="E1264" s="12" t="inlineStr">
        <is>
          <t>R873-v1</t>
        </is>
      </c>
      <c r="F1264" s="12" t="inlineStr">
        <is>
          <t>1.5.2 Testing and Commissioning - Dynamic Testing</t>
        </is>
      </c>
      <c r="G1264" s="12" t="inlineStr">
        <is>
          <t>ONE_TO_ONE</t>
        </is>
      </c>
      <c r="H1264" s="12" t="inlineStr">
        <is>
          <t>APPROVED</t>
        </is>
      </c>
      <c r="I1264" s="12" t="inlineStr">
        <is>
          <t>New</t>
        </is>
      </c>
      <c r="J1264" s="12" t="inlineStr">
        <is>
          <t>Source assignment -- not individually reviewed</t>
        </is>
      </c>
      <c r="K1264" s="12" t="inlineStr"/>
      <c r="L1264" s="12" t="inlineStr"/>
      <c r="M1264" s="12" t="inlineStr"/>
      <c r="N1264" s="17" t="inlineStr">
        <is>
          <t>10 EVIDENCE &amp; DECISIONS</t>
        </is>
      </c>
    </row>
    <row r="1265" ht="34" customHeight="1">
      <c r="A1265" s="12" t="inlineStr">
        <is>
          <t>Contractor Programme</t>
        </is>
      </c>
      <c r="B1265" s="12" t="inlineStr">
        <is>
          <t>SCH-05-156</t>
        </is>
      </c>
      <c r="C1265" s="12" t="inlineStr">
        <is>
          <t>Central section: mainline dynamic test - field start</t>
        </is>
      </c>
      <c r="D1265" s="12" t="inlineStr">
        <is>
          <t>WBS Code = 1.5.2</t>
        </is>
      </c>
      <c r="E1265" s="12" t="inlineStr">
        <is>
          <t>R876-v1</t>
        </is>
      </c>
      <c r="F1265" s="12" t="inlineStr">
        <is>
          <t>1.5.2 Testing and Commissioning - Dynamic Testing</t>
        </is>
      </c>
      <c r="G1265" s="12" t="inlineStr">
        <is>
          <t>ONE_TO_ONE</t>
        </is>
      </c>
      <c r="H1265" s="12" t="inlineStr">
        <is>
          <t>APPROVED</t>
        </is>
      </c>
      <c r="I1265" s="12" t="inlineStr">
        <is>
          <t>New</t>
        </is>
      </c>
      <c r="J1265" s="12" t="inlineStr">
        <is>
          <t>Source assignment -- not individually reviewed</t>
        </is>
      </c>
      <c r="K1265" s="12" t="inlineStr"/>
      <c r="L1265" s="12" t="inlineStr"/>
      <c r="M1265" s="12" t="inlineStr"/>
      <c r="N1265" s="17" t="inlineStr">
        <is>
          <t>10 EVIDENCE &amp; DECISIONS</t>
        </is>
      </c>
    </row>
    <row r="1266" ht="34" customHeight="1">
      <c r="A1266" s="12" t="inlineStr">
        <is>
          <t>Contractor Programme</t>
        </is>
      </c>
      <c r="B1266" s="12" t="inlineStr">
        <is>
          <t>SCH-05-159</t>
        </is>
      </c>
      <c r="C1266" s="12" t="inlineStr">
        <is>
          <t>Control Centre: station integrated test - turnover</t>
        </is>
      </c>
      <c r="D1266" s="12" t="inlineStr">
        <is>
          <t>WBS Code = 1.5.2</t>
        </is>
      </c>
      <c r="E1266" s="12" t="inlineStr">
        <is>
          <t>R879-v1</t>
        </is>
      </c>
      <c r="F1266" s="12" t="inlineStr">
        <is>
          <t>1.5.2 Testing and Commissioning - Dynamic Testing</t>
        </is>
      </c>
      <c r="G1266" s="12" t="inlineStr">
        <is>
          <t>ONE_TO_ONE</t>
        </is>
      </c>
      <c r="H1266" s="12" t="inlineStr">
        <is>
          <t>APPROVED</t>
        </is>
      </c>
      <c r="I1266" s="12" t="inlineStr">
        <is>
          <t>New</t>
        </is>
      </c>
      <c r="J1266" s="12" t="inlineStr">
        <is>
          <t>Source assignment -- not individually reviewed</t>
        </is>
      </c>
      <c r="K1266" s="12" t="inlineStr"/>
      <c r="L1266" s="12" t="inlineStr"/>
      <c r="M1266" s="12" t="inlineStr"/>
      <c r="N1266" s="17" t="inlineStr">
        <is>
          <t>10 EVIDENCE &amp; DECISIONS</t>
        </is>
      </c>
    </row>
    <row r="1267" ht="34" customHeight="1">
      <c r="A1267" s="12" t="inlineStr">
        <is>
          <t>Contractor Programme</t>
        </is>
      </c>
      <c r="B1267" s="12" t="inlineStr">
        <is>
          <t>SCH-05-162</t>
        </is>
      </c>
      <c r="C1267" s="12" t="inlineStr">
        <is>
          <t>West terminal: emergency-response drill - installation</t>
        </is>
      </c>
      <c r="D1267" s="12" t="inlineStr">
        <is>
          <t>WBS Code = 1.5.2</t>
        </is>
      </c>
      <c r="E1267" s="12" t="inlineStr">
        <is>
          <t>R882-v1</t>
        </is>
      </c>
      <c r="F1267" s="12" t="inlineStr">
        <is>
          <t>1.5.2 Testing and Commissioning - Dynamic Testing</t>
        </is>
      </c>
      <c r="G1267" s="12" t="inlineStr">
        <is>
          <t>ONE_TO_ONE</t>
        </is>
      </c>
      <c r="H1267" s="12" t="inlineStr">
        <is>
          <t>APPROVED</t>
        </is>
      </c>
      <c r="I1267" s="12" t="inlineStr">
        <is>
          <t>New</t>
        </is>
      </c>
      <c r="J1267" s="12" t="inlineStr">
        <is>
          <t>Source assignment -- not individually reviewed</t>
        </is>
      </c>
      <c r="K1267" s="12" t="inlineStr"/>
      <c r="L1267" s="12" t="inlineStr"/>
      <c r="M1267" s="12" t="inlineStr"/>
      <c r="N1267" s="17" t="inlineStr">
        <is>
          <t>10 EVIDENCE &amp; DECISIONS</t>
        </is>
      </c>
    </row>
    <row r="1268" ht="34" customHeight="1">
      <c r="A1268" s="12" t="inlineStr">
        <is>
          <t>Contractor Programme</t>
        </is>
      </c>
      <c r="B1268" s="12" t="inlineStr">
        <is>
          <t>SCH-05-165</t>
        </is>
      </c>
      <c r="C1268" s="12" t="inlineStr">
        <is>
          <t>Mainline east: safety certificate evidence closeout - release</t>
        </is>
      </c>
      <c r="D1268" s="12" t="inlineStr">
        <is>
          <t>WBS Code = 1.5.2</t>
        </is>
      </c>
      <c r="E1268" s="12" t="inlineStr">
        <is>
          <t>R885-v1</t>
        </is>
      </c>
      <c r="F1268" s="12" t="inlineStr">
        <is>
          <t>1.5.2 Testing and Commissioning - Dynamic Testing</t>
        </is>
      </c>
      <c r="G1268" s="12" t="inlineStr">
        <is>
          <t>ONE_TO_ONE</t>
        </is>
      </c>
      <c r="H1268" s="12" t="inlineStr">
        <is>
          <t>APPROVED</t>
        </is>
      </c>
      <c r="I1268" s="12" t="inlineStr">
        <is>
          <t>New</t>
        </is>
      </c>
      <c r="J1268" s="12" t="inlineStr">
        <is>
          <t>Source assignment -- not individually reviewed</t>
        </is>
      </c>
      <c r="K1268" s="12" t="inlineStr"/>
      <c r="L1268" s="12" t="inlineStr"/>
      <c r="M1268" s="12" t="inlineStr"/>
      <c r="N1268" s="17" t="inlineStr">
        <is>
          <t>10 EVIDENCE &amp; DECISIONS</t>
        </is>
      </c>
    </row>
    <row r="1269" ht="34" customHeight="1">
      <c r="A1269" s="12" t="inlineStr">
        <is>
          <t>Contractor Programme</t>
        </is>
      </c>
      <c r="B1269" s="12" t="inlineStr">
        <is>
          <t>SCH-05-168</t>
        </is>
      </c>
      <c r="C1269" s="12" t="inlineStr">
        <is>
          <t>Depot: trial-running shift - inspection</t>
        </is>
      </c>
      <c r="D1269" s="12" t="inlineStr">
        <is>
          <t>WBS Code = 1.5.2</t>
        </is>
      </c>
      <c r="E1269" s="12" t="inlineStr">
        <is>
          <t>R888-v1</t>
        </is>
      </c>
      <c r="F1269" s="12" t="inlineStr">
        <is>
          <t>1.5.2 Testing and Commissioning - Dynamic Testing</t>
        </is>
      </c>
      <c r="G1269" s="12" t="inlineStr">
        <is>
          <t>ONE_TO_ONE</t>
        </is>
      </c>
      <c r="H1269" s="12" t="inlineStr">
        <is>
          <t>APPROVED</t>
        </is>
      </c>
      <c r="I1269" s="12" t="inlineStr">
        <is>
          <t>New</t>
        </is>
      </c>
      <c r="J1269" s="12" t="inlineStr">
        <is>
          <t>Source assignment -- not individually reviewed</t>
        </is>
      </c>
      <c r="K1269" s="12" t="inlineStr"/>
      <c r="L1269" s="12" t="inlineStr"/>
      <c r="M1269" s="12" t="inlineStr"/>
      <c r="N1269" s="17" t="inlineStr">
        <is>
          <t>10 EVIDENCE &amp; DECISIONS</t>
        </is>
      </c>
    </row>
    <row r="1270" ht="34" customHeight="1">
      <c r="A1270" s="12" t="inlineStr">
        <is>
          <t>Contractor Programme</t>
        </is>
      </c>
      <c r="B1270" s="12" t="inlineStr">
        <is>
          <t>SCH-05-171</t>
        </is>
      </c>
      <c r="C1270" s="12" t="inlineStr">
        <is>
          <t>Central section: defect retest - field start</t>
        </is>
      </c>
      <c r="D1270" s="12" t="inlineStr">
        <is>
          <t>WBS Code = 1.5.2</t>
        </is>
      </c>
      <c r="E1270" s="12" t="inlineStr">
        <is>
          <t>R891-v1</t>
        </is>
      </c>
      <c r="F1270" s="12" t="inlineStr">
        <is>
          <t>1.5.2 Testing and Commissioning - Dynamic Testing</t>
        </is>
      </c>
      <c r="G1270" s="12" t="inlineStr">
        <is>
          <t>ONE_TO_ONE</t>
        </is>
      </c>
      <c r="H1270" s="12" t="inlineStr">
        <is>
          <t>APPROVED</t>
        </is>
      </c>
      <c r="I1270" s="12" t="inlineStr">
        <is>
          <t>New</t>
        </is>
      </c>
      <c r="J1270" s="12" t="inlineStr">
        <is>
          <t>Source assignment -- not individually reviewed</t>
        </is>
      </c>
      <c r="K1270" s="12" t="inlineStr"/>
      <c r="L1270" s="12" t="inlineStr"/>
      <c r="M1270" s="12" t="inlineStr"/>
      <c r="N1270" s="17" t="inlineStr">
        <is>
          <t>10 EVIDENCE &amp; DECISIONS</t>
        </is>
      </c>
    </row>
    <row r="1271" ht="34" customHeight="1">
      <c r="A1271" s="12" t="inlineStr">
        <is>
          <t>Contractor Programme</t>
        </is>
      </c>
      <c r="B1271" s="12" t="inlineStr">
        <is>
          <t>SCH-05-174</t>
        </is>
      </c>
      <c r="C1271" s="12" t="inlineStr">
        <is>
          <t>Control Centre: service-readiness review - turnover</t>
        </is>
      </c>
      <c r="D1271" s="12" t="inlineStr">
        <is>
          <t>WBS Code = 1.5.2</t>
        </is>
      </c>
      <c r="E1271" s="12" t="inlineStr">
        <is>
          <t>R894-v1</t>
        </is>
      </c>
      <c r="F1271" s="12" t="inlineStr">
        <is>
          <t>1.5.2 Testing and Commissioning - Dynamic Testing</t>
        </is>
      </c>
      <c r="G1271" s="12" t="inlineStr">
        <is>
          <t>ONE_TO_ONE</t>
        </is>
      </c>
      <c r="H1271" s="12" t="inlineStr">
        <is>
          <t>APPROVED</t>
        </is>
      </c>
      <c r="I1271" s="12" t="inlineStr">
        <is>
          <t>New</t>
        </is>
      </c>
      <c r="J1271" s="12" t="inlineStr">
        <is>
          <t>Source assignment -- not individually reviewed</t>
        </is>
      </c>
      <c r="K1271" s="12" t="inlineStr"/>
      <c r="L1271" s="12" t="inlineStr"/>
      <c r="M1271" s="12" t="inlineStr"/>
      <c r="N1271" s="17" t="inlineStr">
        <is>
          <t>10 EVIDENCE &amp; DECISIONS</t>
        </is>
      </c>
    </row>
    <row r="1272" ht="34" customHeight="1">
      <c r="A1272" s="12" t="inlineStr">
        <is>
          <t>Contractor Programme</t>
        </is>
      </c>
      <c r="B1272" s="12" t="inlineStr">
        <is>
          <t>SCH-05-177</t>
        </is>
      </c>
      <c r="C1272" s="12" t="inlineStr">
        <is>
          <t>West terminal: test procedure readiness review - installation</t>
        </is>
      </c>
      <c r="D1272" s="12" t="inlineStr">
        <is>
          <t>WBS Code = 1.5.2</t>
        </is>
      </c>
      <c r="E1272" s="12" t="inlineStr">
        <is>
          <t>R897-v1</t>
        </is>
      </c>
      <c r="F1272" s="12" t="inlineStr">
        <is>
          <t>1.5.2 Testing and Commissioning - Dynamic Testing</t>
        </is>
      </c>
      <c r="G1272" s="12" t="inlineStr">
        <is>
          <t>ONE_TO_ONE</t>
        </is>
      </c>
      <c r="H1272" s="12" t="inlineStr">
        <is>
          <t>APPROVED</t>
        </is>
      </c>
      <c r="I1272" s="12" t="inlineStr">
        <is>
          <t>New</t>
        </is>
      </c>
      <c r="J1272" s="12" t="inlineStr">
        <is>
          <t>Source assignment -- not individually reviewed</t>
        </is>
      </c>
      <c r="K1272" s="12" t="inlineStr"/>
      <c r="L1272" s="12" t="inlineStr"/>
      <c r="M1272" s="12" t="inlineStr"/>
      <c r="N1272" s="17" t="inlineStr">
        <is>
          <t>10 EVIDENCE &amp; DECISIONS</t>
        </is>
      </c>
    </row>
    <row r="1273" ht="34" customHeight="1">
      <c r="A1273" s="12" t="inlineStr">
        <is>
          <t>Contractor Programme</t>
        </is>
      </c>
      <c r="B1273" s="12" t="inlineStr">
        <is>
          <t>SCH-05-180</t>
        </is>
      </c>
      <c r="C1273" s="12" t="inlineStr">
        <is>
          <t>Mainline east: mainline dynamic test - release</t>
        </is>
      </c>
      <c r="D1273" s="12" t="inlineStr">
        <is>
          <t>WBS Code = 1.5.2</t>
        </is>
      </c>
      <c r="E1273" s="12" t="inlineStr">
        <is>
          <t>R900-v1</t>
        </is>
      </c>
      <c r="F1273" s="12" t="inlineStr">
        <is>
          <t>1.5.2 Testing and Commissioning - Dynamic Testing</t>
        </is>
      </c>
      <c r="G1273" s="12" t="inlineStr">
        <is>
          <t>ONE_TO_ONE</t>
        </is>
      </c>
      <c r="H1273" s="12" t="inlineStr">
        <is>
          <t>APPROVED</t>
        </is>
      </c>
      <c r="I1273" s="12" t="inlineStr">
        <is>
          <t>New</t>
        </is>
      </c>
      <c r="J1273" s="12" t="inlineStr">
        <is>
          <t>Source assignment -- not individually reviewed</t>
        </is>
      </c>
      <c r="K1273" s="12" t="inlineStr"/>
      <c r="L1273" s="12" t="inlineStr"/>
      <c r="M1273" s="12" t="inlineStr"/>
      <c r="N1273" s="17" t="inlineStr">
        <is>
          <t>10 EVIDENCE &amp; DECISIONS</t>
        </is>
      </c>
    </row>
    <row r="1274" ht="34" customHeight="1">
      <c r="A1274" s="12" t="inlineStr">
        <is>
          <t>Commercial Package Register</t>
        </is>
      </c>
      <c r="B1274" s="12" t="inlineStr">
        <is>
          <t>PKG-051</t>
        </is>
      </c>
      <c r="C1274" s="12" t="inlineStr">
        <is>
          <t>Program Controls</t>
        </is>
      </c>
      <c r="D1274" s="12" t="inlineStr">
        <is>
          <t>Package Code = PK-601; WBS Code = 1.6</t>
        </is>
      </c>
      <c r="E1274" s="12" t="inlineStr">
        <is>
          <t>R1613-v1</t>
        </is>
      </c>
      <c r="F1274" s="12" t="inlineStr">
        <is>
          <t>1.6 Program Management</t>
        </is>
      </c>
      <c r="G1274" s="12" t="inlineStr">
        <is>
          <t>ONE_TO_ONE</t>
        </is>
      </c>
      <c r="H1274" s="12" t="inlineStr">
        <is>
          <t>APPROVED</t>
        </is>
      </c>
      <c r="I1274" s="12" t="inlineStr">
        <is>
          <t>New</t>
        </is>
      </c>
      <c r="J1274" s="12" t="inlineStr">
        <is>
          <t>Source assignment -- not individually reviewed</t>
        </is>
      </c>
      <c r="K1274" s="12" t="inlineStr"/>
      <c r="L1274" s="12" t="inlineStr"/>
      <c r="M1274" s="12" t="inlineStr"/>
      <c r="N1274" s="17" t="inlineStr">
        <is>
          <t>10 EVIDENCE &amp; DECISIONS</t>
        </is>
      </c>
    </row>
    <row r="1275" ht="34" customHeight="1">
      <c r="A1275" s="12" t="inlineStr">
        <is>
          <t>Commercial Package Register</t>
        </is>
      </c>
      <c r="B1275" s="12" t="inlineStr">
        <is>
          <t>PKG-052</t>
        </is>
      </c>
      <c r="C1275" s="12" t="inlineStr">
        <is>
          <t>Commercial Advisory</t>
        </is>
      </c>
      <c r="D1275" s="12" t="inlineStr">
        <is>
          <t>Package Code = PK-602; WBS Code = 1.6</t>
        </is>
      </c>
      <c r="E1275" s="12" t="inlineStr">
        <is>
          <t>R1614-v1</t>
        </is>
      </c>
      <c r="F1275" s="12" t="inlineStr">
        <is>
          <t>1.6 Program Management</t>
        </is>
      </c>
      <c r="G1275" s="12" t="inlineStr">
        <is>
          <t>ONE_TO_ONE</t>
        </is>
      </c>
      <c r="H1275" s="12" t="inlineStr">
        <is>
          <t>APPROVED</t>
        </is>
      </c>
      <c r="I1275" s="12" t="inlineStr">
        <is>
          <t>New</t>
        </is>
      </c>
      <c r="J1275" s="12" t="inlineStr">
        <is>
          <t>Source assignment -- not individually reviewed</t>
        </is>
      </c>
      <c r="K1275" s="12" t="inlineStr"/>
      <c r="L1275" s="12" t="inlineStr"/>
      <c r="M1275" s="12" t="inlineStr"/>
      <c r="N1275" s="17" t="inlineStr">
        <is>
          <t>10 EVIDENCE &amp; DECISIONS</t>
        </is>
      </c>
    </row>
    <row r="1276" ht="34" customHeight="1">
      <c r="A1276" s="12" t="inlineStr">
        <is>
          <t>Commercial Package Register</t>
        </is>
      </c>
      <c r="B1276" s="12" t="inlineStr">
        <is>
          <t>PKG-053</t>
        </is>
      </c>
      <c r="C1276" s="12" t="inlineStr">
        <is>
          <t>Permitting Support</t>
        </is>
      </c>
      <c r="D1276" s="12" t="inlineStr">
        <is>
          <t>Package Code = PK-603; WBS Code = 1.6</t>
        </is>
      </c>
      <c r="E1276" s="12" t="inlineStr">
        <is>
          <t>R1615-v1</t>
        </is>
      </c>
      <c r="F1276" s="12" t="inlineStr">
        <is>
          <t>1.6 Program Management</t>
        </is>
      </c>
      <c r="G1276" s="12" t="inlineStr">
        <is>
          <t>ONE_TO_ONE</t>
        </is>
      </c>
      <c r="H1276" s="12" t="inlineStr">
        <is>
          <t>APPROVED</t>
        </is>
      </c>
      <c r="I1276" s="12" t="inlineStr">
        <is>
          <t>New</t>
        </is>
      </c>
      <c r="J1276" s="12" t="inlineStr">
        <is>
          <t>Source assignment -- not individually reviewed</t>
        </is>
      </c>
      <c r="K1276" s="12" t="inlineStr"/>
      <c r="L1276" s="12" t="inlineStr"/>
      <c r="M1276" s="12" t="inlineStr"/>
      <c r="N1276" s="17" t="inlineStr">
        <is>
          <t>10 EVIDENCE &amp; DECISIONS</t>
        </is>
      </c>
    </row>
    <row r="1277" ht="34" customHeight="1">
      <c r="A1277" s="12" t="inlineStr">
        <is>
          <t>Commercial Package Register</t>
        </is>
      </c>
      <c r="B1277" s="12" t="inlineStr">
        <is>
          <t>PKG-054</t>
        </is>
      </c>
      <c r="C1277" s="12" t="inlineStr">
        <is>
          <t>Delivery Integration</t>
        </is>
      </c>
      <c r="D1277" s="12" t="inlineStr">
        <is>
          <t>Package Code = PK-604; WBS Code = 1.6</t>
        </is>
      </c>
      <c r="E1277" s="12" t="inlineStr">
        <is>
          <t>R1616-v1</t>
        </is>
      </c>
      <c r="F1277" s="12" t="inlineStr">
        <is>
          <t>1.6 Program Management</t>
        </is>
      </c>
      <c r="G1277" s="12" t="inlineStr">
        <is>
          <t>ONE_TO_ONE</t>
        </is>
      </c>
      <c r="H1277" s="12" t="inlineStr">
        <is>
          <t>APPROVED</t>
        </is>
      </c>
      <c r="I1277" s="12" t="inlineStr">
        <is>
          <t>New</t>
        </is>
      </c>
      <c r="J1277" s="12" t="inlineStr">
        <is>
          <t>Source assignment -- not individually reviewed</t>
        </is>
      </c>
      <c r="K1277" s="12" t="inlineStr"/>
      <c r="L1277" s="12" t="inlineStr"/>
      <c r="M1277" s="12" t="inlineStr"/>
      <c r="N1277" s="17" t="inlineStr">
        <is>
          <t>10 EVIDENCE &amp; DECISIONS</t>
        </is>
      </c>
    </row>
    <row r="1278" ht="34" customHeight="1">
      <c r="A1278" s="12" t="inlineStr">
        <is>
          <t>Commercial Package Register</t>
        </is>
      </c>
      <c r="B1278" s="12" t="inlineStr">
        <is>
          <t>PKG-055</t>
        </is>
      </c>
      <c r="C1278" s="12" t="inlineStr">
        <is>
          <t>Program Controls - Lot 2</t>
        </is>
      </c>
      <c r="D1278" s="12" t="inlineStr">
        <is>
          <t>Package Code = PK-605; WBS Code = 1.6</t>
        </is>
      </c>
      <c r="E1278" s="12" t="inlineStr">
        <is>
          <t>R1617-v1</t>
        </is>
      </c>
      <c r="F1278" s="12" t="inlineStr">
        <is>
          <t>1.6 Program Management</t>
        </is>
      </c>
      <c r="G1278" s="12" t="inlineStr">
        <is>
          <t>ONE_TO_ONE</t>
        </is>
      </c>
      <c r="H1278" s="12" t="inlineStr">
        <is>
          <t>APPROVED</t>
        </is>
      </c>
      <c r="I1278" s="12" t="inlineStr">
        <is>
          <t>New</t>
        </is>
      </c>
      <c r="J1278" s="12" t="inlineStr">
        <is>
          <t>Source assignment -- not individually reviewed</t>
        </is>
      </c>
      <c r="K1278" s="12" t="inlineStr"/>
      <c r="L1278" s="12" t="inlineStr"/>
      <c r="M1278" s="12" t="inlineStr"/>
      <c r="N1278" s="17" t="inlineStr">
        <is>
          <t>10 EVIDENCE &amp; DECISIONS</t>
        </is>
      </c>
    </row>
    <row r="1279" ht="34" customHeight="1">
      <c r="A1279" s="12" t="inlineStr">
        <is>
          <t>Commercial Package Register</t>
        </is>
      </c>
      <c r="B1279" s="12" t="inlineStr">
        <is>
          <t>PKG-056</t>
        </is>
      </c>
      <c r="C1279" s="12" t="inlineStr">
        <is>
          <t>Commercial Advisory - Lot 2</t>
        </is>
      </c>
      <c r="D1279" s="12" t="inlineStr">
        <is>
          <t>Package Code = PK-606; WBS Code = 1.6</t>
        </is>
      </c>
      <c r="E1279" s="12" t="inlineStr">
        <is>
          <t>R1618-v1</t>
        </is>
      </c>
      <c r="F1279" s="12" t="inlineStr">
        <is>
          <t>1.6 Program Management</t>
        </is>
      </c>
      <c r="G1279" s="12" t="inlineStr">
        <is>
          <t>ONE_TO_ONE</t>
        </is>
      </c>
      <c r="H1279" s="12" t="inlineStr">
        <is>
          <t>APPROVED</t>
        </is>
      </c>
      <c r="I1279" s="12" t="inlineStr">
        <is>
          <t>New</t>
        </is>
      </c>
      <c r="J1279" s="12" t="inlineStr">
        <is>
          <t>Source assignment -- not individually reviewed</t>
        </is>
      </c>
      <c r="K1279" s="12" t="inlineStr"/>
      <c r="L1279" s="12" t="inlineStr"/>
      <c r="M1279" s="12" t="inlineStr"/>
      <c r="N1279" s="17" t="inlineStr">
        <is>
          <t>10 EVIDENCE &amp; DECISIONS</t>
        </is>
      </c>
    </row>
    <row r="1280" ht="34" customHeight="1">
      <c r="A1280" s="12" t="inlineStr">
        <is>
          <t>Commercial Package Register</t>
        </is>
      </c>
      <c r="B1280" s="12" t="inlineStr">
        <is>
          <t>PKG-057</t>
        </is>
      </c>
      <c r="C1280" s="12" t="inlineStr">
        <is>
          <t>Permitting Support - Lot 2</t>
        </is>
      </c>
      <c r="D1280" s="12" t="inlineStr">
        <is>
          <t>Package Code = PK-607; WBS Code = 1.6</t>
        </is>
      </c>
      <c r="E1280" s="12" t="inlineStr">
        <is>
          <t>R1619-v1</t>
        </is>
      </c>
      <c r="F1280" s="12" t="inlineStr">
        <is>
          <t>1.6 Program Management</t>
        </is>
      </c>
      <c r="G1280" s="12" t="inlineStr">
        <is>
          <t>ONE_TO_ONE</t>
        </is>
      </c>
      <c r="H1280" s="12" t="inlineStr">
        <is>
          <t>APPROVED</t>
        </is>
      </c>
      <c r="I1280" s="12" t="inlineStr">
        <is>
          <t>New</t>
        </is>
      </c>
      <c r="J1280" s="12" t="inlineStr">
        <is>
          <t>Source assignment -- not individually reviewed</t>
        </is>
      </c>
      <c r="K1280" s="12" t="inlineStr"/>
      <c r="L1280" s="12" t="inlineStr"/>
      <c r="M1280" s="12" t="inlineStr"/>
      <c r="N1280" s="17" t="inlineStr">
        <is>
          <t>10 EVIDENCE &amp; DECISIONS</t>
        </is>
      </c>
    </row>
    <row r="1281" ht="34" customHeight="1">
      <c r="A1281" s="12" t="inlineStr">
        <is>
          <t>Commercial Package Register</t>
        </is>
      </c>
      <c r="B1281" s="12" t="inlineStr">
        <is>
          <t>PKG-058</t>
        </is>
      </c>
      <c r="C1281" s="12" t="inlineStr">
        <is>
          <t>Delivery Integration - Lot 2</t>
        </is>
      </c>
      <c r="D1281" s="12" t="inlineStr">
        <is>
          <t>Package Code = PK-608; WBS Code = 1.6</t>
        </is>
      </c>
      <c r="E1281" s="12" t="inlineStr">
        <is>
          <t>R1620-v1</t>
        </is>
      </c>
      <c r="F1281" s="12" t="inlineStr">
        <is>
          <t>1.6 Program Management</t>
        </is>
      </c>
      <c r="G1281" s="12" t="inlineStr">
        <is>
          <t>ONE_TO_ONE</t>
        </is>
      </c>
      <c r="H1281" s="12" t="inlineStr">
        <is>
          <t>APPROVED</t>
        </is>
      </c>
      <c r="I1281" s="12" t="inlineStr">
        <is>
          <t>New</t>
        </is>
      </c>
      <c r="J1281" s="12" t="inlineStr">
        <is>
          <t>Source assignment -- not individually reviewed</t>
        </is>
      </c>
      <c r="K1281" s="12" t="inlineStr"/>
      <c r="L1281" s="12" t="inlineStr"/>
      <c r="M1281" s="12" t="inlineStr"/>
      <c r="N1281" s="17" t="inlineStr">
        <is>
          <t>10 EVIDENCE &amp; DECISIONS</t>
        </is>
      </c>
    </row>
    <row r="1282" ht="34" customHeight="1">
      <c r="A1282" s="12" t="inlineStr">
        <is>
          <t>Commercial Package Register</t>
        </is>
      </c>
      <c r="B1282" s="12" t="inlineStr">
        <is>
          <t>PKG-059</t>
        </is>
      </c>
      <c r="C1282" s="12" t="inlineStr">
        <is>
          <t>Program Controls - Lot 3</t>
        </is>
      </c>
      <c r="D1282" s="12" t="inlineStr">
        <is>
          <t>Package Code = PK-609; WBS Code = 1.6</t>
        </is>
      </c>
      <c r="E1282" s="12" t="inlineStr">
        <is>
          <t>R1621-v1</t>
        </is>
      </c>
      <c r="F1282" s="12" t="inlineStr">
        <is>
          <t>1.6 Program Management</t>
        </is>
      </c>
      <c r="G1282" s="12" t="inlineStr">
        <is>
          <t>ONE_TO_ONE</t>
        </is>
      </c>
      <c r="H1282" s="12" t="inlineStr">
        <is>
          <t>APPROVED</t>
        </is>
      </c>
      <c r="I1282" s="12" t="inlineStr">
        <is>
          <t>New</t>
        </is>
      </c>
      <c r="J1282" s="12" t="inlineStr">
        <is>
          <t>Source assignment -- not individually reviewed</t>
        </is>
      </c>
      <c r="K1282" s="12" t="inlineStr"/>
      <c r="L1282" s="12" t="inlineStr"/>
      <c r="M1282" s="12" t="inlineStr"/>
      <c r="N1282" s="17" t="inlineStr">
        <is>
          <t>10 EVIDENCE &amp; DECISIONS</t>
        </is>
      </c>
    </row>
    <row r="1283" ht="34" customHeight="1">
      <c r="A1283" s="12" t="inlineStr">
        <is>
          <t>Commercial Package Register</t>
        </is>
      </c>
      <c r="B1283" s="12" t="inlineStr">
        <is>
          <t>PKG-060</t>
        </is>
      </c>
      <c r="C1283" s="12" t="inlineStr">
        <is>
          <t>Commercial Advisory - Lot 3</t>
        </is>
      </c>
      <c r="D1283" s="12" t="inlineStr">
        <is>
          <t>Package Code = PK-610; WBS Code = 1.6</t>
        </is>
      </c>
      <c r="E1283" s="12" t="inlineStr">
        <is>
          <t>R1622-v1</t>
        </is>
      </c>
      <c r="F1283" s="12" t="inlineStr">
        <is>
          <t>1.6 Program Management</t>
        </is>
      </c>
      <c r="G1283" s="12" t="inlineStr">
        <is>
          <t>ONE_TO_ONE</t>
        </is>
      </c>
      <c r="H1283" s="12" t="inlineStr">
        <is>
          <t>APPROVED</t>
        </is>
      </c>
      <c r="I1283" s="12" t="inlineStr">
        <is>
          <t>New</t>
        </is>
      </c>
      <c r="J1283" s="12" t="inlineStr">
        <is>
          <t>Source assignment -- not individually reviewed</t>
        </is>
      </c>
      <c r="K1283" s="12" t="inlineStr"/>
      <c r="L1283" s="12" t="inlineStr"/>
      <c r="M1283" s="12" t="inlineStr"/>
      <c r="N1283" s="17" t="inlineStr">
        <is>
          <t>10 EVIDENCE &amp; DECISIONS</t>
        </is>
      </c>
    </row>
    <row r="1284" ht="34" customHeight="1">
      <c r="A1284" s="12" t="inlineStr">
        <is>
          <t>Cost &amp; Forecast Control Accounts</t>
        </is>
      </c>
      <c r="B1284" s="12" t="inlineStr">
        <is>
          <t>CST-06-001</t>
        </is>
      </c>
      <c r="C1284" s="12" t="inlineStr">
        <is>
          <t>Program Management - design integration - professional services</t>
        </is>
      </c>
      <c r="D1284" s="12" t="inlineStr">
        <is>
          <t>Cost Account = CA-6001; WBS Code = 1.6.1</t>
        </is>
      </c>
      <c r="E1284" s="12" t="inlineStr">
        <is>
          <t>R1483-v1</t>
        </is>
      </c>
      <c r="F1284" s="12" t="inlineStr">
        <is>
          <t>1.6.1 Program Management - Program Controls</t>
        </is>
      </c>
      <c r="G1284" s="12" t="inlineStr">
        <is>
          <t>ONE_TO_ONE</t>
        </is>
      </c>
      <c r="H1284" s="12" t="inlineStr">
        <is>
          <t>APPROVED</t>
        </is>
      </c>
      <c r="I1284" s="12" t="inlineStr">
        <is>
          <t>New</t>
        </is>
      </c>
      <c r="J1284" s="12" t="inlineStr">
        <is>
          <t>Source assignment -- not individually reviewed</t>
        </is>
      </c>
      <c r="K1284" s="12" t="inlineStr"/>
      <c r="L1284" s="12" t="inlineStr"/>
      <c r="M1284" s="12" t="inlineStr"/>
      <c r="N1284" s="17" t="inlineStr">
        <is>
          <t>10 EVIDENCE &amp; DECISIONS</t>
        </is>
      </c>
      <c r="O1284" s="105" t="n">
        <v>747500</v>
      </c>
      <c r="P1284" s="105" t="n">
        <v>747500</v>
      </c>
      <c r="Q1284" s="105" t="inlineStr">
        <is>
          <t>CAD</t>
        </is>
      </c>
      <c r="R1284" s="105" t="n"/>
      <c r="S1284" s="105" t="inlineStr">
        <is>
          <t>2027-06-30</t>
        </is>
      </c>
      <c r="T1284" s="105" t="inlineStr">
        <is>
          <t>C1-R0</t>
        </is>
      </c>
      <c r="U1284" s="105" t="inlineStr">
        <is>
          <t>Supplied practice file monthly_cost_forecast.xlsx, row 402</t>
        </is>
      </c>
      <c r="V1284" s="105" t="inlineStr">
        <is>
          <t>Whole source account, not a target allocation. Repeated target rows must not be summed. Aggregate cost / forecast remains withheld.</t>
        </is>
      </c>
    </row>
    <row r="1285" ht="34" customHeight="1">
      <c r="A1285" s="12" t="inlineStr">
        <is>
          <t>Cost &amp; Forecast Control Accounts</t>
        </is>
      </c>
      <c r="B1285" s="12" t="inlineStr">
        <is>
          <t>CST-06-003</t>
        </is>
      </c>
      <c r="C1285" s="12" t="inlineStr">
        <is>
          <t>Program Management - program controls - closeout</t>
        </is>
      </c>
      <c r="D1285" s="12" t="inlineStr">
        <is>
          <t>Cost Account = CA-6003; WBS Code = 1.6.1</t>
        </is>
      </c>
      <c r="E1285" s="12" t="inlineStr">
        <is>
          <t>R1485-v1</t>
        </is>
      </c>
      <c r="F1285" s="12" t="inlineStr">
        <is>
          <t>1.6.1 Program Management - Program Controls</t>
        </is>
      </c>
      <c r="G1285" s="12" t="inlineStr">
        <is>
          <t>ONE_TO_ONE</t>
        </is>
      </c>
      <c r="H1285" s="12" t="inlineStr">
        <is>
          <t>APPROVED</t>
        </is>
      </c>
      <c r="I1285" s="12" t="inlineStr">
        <is>
          <t>New</t>
        </is>
      </c>
      <c r="J1285" s="12" t="inlineStr">
        <is>
          <t>Source assignment -- not individually reviewed</t>
        </is>
      </c>
      <c r="K1285" s="12" t="inlineStr"/>
      <c r="L1285" s="12" t="inlineStr"/>
      <c r="M1285" s="12" t="inlineStr"/>
      <c r="N1285" s="17" t="inlineStr">
        <is>
          <t>10 EVIDENCE &amp; DECISIONS</t>
        </is>
      </c>
      <c r="O1285" s="105" t="n">
        <v>782500</v>
      </c>
      <c r="P1285" s="105" t="n">
        <v>807500</v>
      </c>
      <c r="Q1285" s="105" t="inlineStr">
        <is>
          <t>CAD</t>
        </is>
      </c>
      <c r="R1285" s="105" t="n"/>
      <c r="S1285" s="105" t="inlineStr">
        <is>
          <t>2027-06-30</t>
        </is>
      </c>
      <c r="T1285" s="105" t="inlineStr">
        <is>
          <t>C1-R0</t>
        </is>
      </c>
      <c r="U1285" s="105" t="inlineStr">
        <is>
          <t>Supplied practice file monthly_cost_forecast.xlsx, row 404</t>
        </is>
      </c>
      <c r="V1285" s="105" t="inlineStr">
        <is>
          <t>Whole source account, not a target allocation. Repeated target rows must not be summed. Aggregate cost / forecast remains withheld.</t>
        </is>
      </c>
    </row>
    <row r="1286" ht="34" customHeight="1">
      <c r="A1286" s="12" t="inlineStr">
        <is>
          <t>Cost &amp; Forecast Control Accounts</t>
        </is>
      </c>
      <c r="B1286" s="12" t="inlineStr">
        <is>
          <t>CST-06-005</t>
        </is>
      </c>
      <c r="C1286" s="12" t="inlineStr">
        <is>
          <t>Program Management - stakeholder services - supply and install</t>
        </is>
      </c>
      <c r="D1286" s="12" t="inlineStr">
        <is>
          <t>Cost Account = CA-6005; WBS Code = 1.6.1</t>
        </is>
      </c>
      <c r="E1286" s="12" t="inlineStr">
        <is>
          <t>R1487-v1</t>
        </is>
      </c>
      <c r="F1286" s="12" t="inlineStr">
        <is>
          <t>1.6.1 Program Management - Program Controls</t>
        </is>
      </c>
      <c r="G1286" s="12" t="inlineStr">
        <is>
          <t>ONE_TO_ONE</t>
        </is>
      </c>
      <c r="H1286" s="12" t="inlineStr">
        <is>
          <t>APPROVED</t>
        </is>
      </c>
      <c r="I1286" s="12" t="inlineStr">
        <is>
          <t>New</t>
        </is>
      </c>
      <c r="J1286" s="12" t="inlineStr">
        <is>
          <t>Source assignment -- not individually reviewed</t>
        </is>
      </c>
      <c r="K1286" s="12" t="inlineStr"/>
      <c r="L1286" s="12" t="inlineStr"/>
      <c r="M1286" s="12" t="inlineStr"/>
      <c r="N1286" s="17" t="inlineStr">
        <is>
          <t>10 EVIDENCE &amp; DECISIONS</t>
        </is>
      </c>
      <c r="O1286" s="105" t="n">
        <v>817500</v>
      </c>
      <c r="P1286" s="105" t="n">
        <v>817500</v>
      </c>
      <c r="Q1286" s="105" t="inlineStr">
        <is>
          <t>CAD</t>
        </is>
      </c>
      <c r="R1286" s="105" t="n"/>
      <c r="S1286" s="105" t="inlineStr">
        <is>
          <t>2027-06-30</t>
        </is>
      </c>
      <c r="T1286" s="105" t="inlineStr">
        <is>
          <t>C1-R0</t>
        </is>
      </c>
      <c r="U1286" s="105" t="inlineStr">
        <is>
          <t>Supplied practice file monthly_cost_forecast.xlsx, row 406</t>
        </is>
      </c>
      <c r="V1286" s="105" t="inlineStr">
        <is>
          <t>Whole source account, not a target allocation. Repeated target rows must not be summed. Aggregate cost / forecast remains withheld.</t>
        </is>
      </c>
    </row>
    <row r="1287" ht="34" customHeight="1">
      <c r="A1287" s="12" t="inlineStr">
        <is>
          <t>Cost &amp; Forecast Control Accounts</t>
        </is>
      </c>
      <c r="B1287" s="12" t="inlineStr">
        <is>
          <t>CST-06-007</t>
        </is>
      </c>
      <c r="C1287" s="12" t="inlineStr">
        <is>
          <t>Program Management - design integration - allowance</t>
        </is>
      </c>
      <c r="D1287" s="12" t="inlineStr">
        <is>
          <t>Cost Account = CA-6007; WBS Code = 1.6.1</t>
        </is>
      </c>
      <c r="E1287" s="12" t="inlineStr">
        <is>
          <t>R1489-v1</t>
        </is>
      </c>
      <c r="F1287" s="12" t="inlineStr">
        <is>
          <t>1.6.1 Program Management - Program Controls</t>
        </is>
      </c>
      <c r="G1287" s="12" t="inlineStr">
        <is>
          <t>ONE_TO_ONE</t>
        </is>
      </c>
      <c r="H1287" s="12" t="inlineStr">
        <is>
          <t>APPROVED</t>
        </is>
      </c>
      <c r="I1287" s="12" t="inlineStr">
        <is>
          <t>New</t>
        </is>
      </c>
      <c r="J1287" s="12" t="inlineStr">
        <is>
          <t>Source assignment -- not individually reviewed</t>
        </is>
      </c>
      <c r="K1287" s="12" t="inlineStr"/>
      <c r="L1287" s="12" t="inlineStr"/>
      <c r="M1287" s="12" t="inlineStr"/>
      <c r="N1287" s="17" t="inlineStr">
        <is>
          <t>10 EVIDENCE &amp; DECISIONS</t>
        </is>
      </c>
      <c r="O1287" s="105" t="n">
        <v>852500</v>
      </c>
      <c r="P1287" s="105" t="n">
        <v>877500</v>
      </c>
      <c r="Q1287" s="105" t="inlineStr">
        <is>
          <t>CAD</t>
        </is>
      </c>
      <c r="R1287" s="105" t="n"/>
      <c r="S1287" s="105" t="inlineStr">
        <is>
          <t>2027-06-30</t>
        </is>
      </c>
      <c r="T1287" s="105" t="inlineStr">
        <is>
          <t>C1-R0</t>
        </is>
      </c>
      <c r="U1287" s="105" t="inlineStr">
        <is>
          <t>Supplied practice file monthly_cost_forecast.xlsx, row 408</t>
        </is>
      </c>
      <c r="V1287" s="105" t="inlineStr">
        <is>
          <t>Whole source account, not a target allocation. Repeated target rows must not be summed. Aggregate cost / forecast remains withheld.</t>
        </is>
      </c>
    </row>
    <row r="1288" ht="34" customHeight="1">
      <c r="A1288" s="12" t="inlineStr">
        <is>
          <t>Cost &amp; Forecast Control Accounts</t>
        </is>
      </c>
      <c r="B1288" s="12" t="inlineStr">
        <is>
          <t>CST-06-009</t>
        </is>
      </c>
      <c r="C1288" s="12" t="inlineStr">
        <is>
          <t>Program Management - program controls - field package</t>
        </is>
      </c>
      <c r="D1288" s="12" t="inlineStr">
        <is>
          <t>Cost Account = CA-6009; WBS Code = 1.6.1</t>
        </is>
      </c>
      <c r="E1288" s="12" t="inlineStr">
        <is>
          <t>R1491-v1</t>
        </is>
      </c>
      <c r="F1288" s="12" t="inlineStr">
        <is>
          <t>1.6.1 Program Management - Program Controls</t>
        </is>
      </c>
      <c r="G1288" s="12" t="inlineStr">
        <is>
          <t>ONE_TO_ONE</t>
        </is>
      </c>
      <c r="H1288" s="12" t="inlineStr">
        <is>
          <t>APPROVED</t>
        </is>
      </c>
      <c r="I1288" s="12" t="inlineStr">
        <is>
          <t>New</t>
        </is>
      </c>
      <c r="J1288" s="12" t="inlineStr">
        <is>
          <t>Source assignment -- not individually reviewed</t>
        </is>
      </c>
      <c r="K1288" s="12" t="inlineStr"/>
      <c r="L1288" s="12" t="inlineStr"/>
      <c r="M1288" s="12" t="inlineStr"/>
      <c r="N1288" s="17" t="inlineStr">
        <is>
          <t>10 EVIDENCE &amp; DECISIONS</t>
        </is>
      </c>
      <c r="O1288" s="105" t="n">
        <v>887500</v>
      </c>
      <c r="P1288" s="105" t="n">
        <v>887500</v>
      </c>
      <c r="Q1288" s="105" t="inlineStr">
        <is>
          <t>CAD</t>
        </is>
      </c>
      <c r="R1288" s="105" t="n"/>
      <c r="S1288" s="105" t="inlineStr">
        <is>
          <t>2027-06-30</t>
        </is>
      </c>
      <c r="T1288" s="105" t="inlineStr">
        <is>
          <t>C1-R0</t>
        </is>
      </c>
      <c r="U1288" s="105" t="inlineStr">
        <is>
          <t>Supplied practice file monthly_cost_forecast.xlsx, row 410</t>
        </is>
      </c>
      <c r="V1288" s="105" t="inlineStr">
        <is>
          <t>Whole source account, not a target allocation. Repeated target rows must not be summed. Aggregate cost / forecast remains withheld.</t>
        </is>
      </c>
    </row>
    <row r="1289" ht="34" customHeight="1">
      <c r="A1289" s="12" t="inlineStr">
        <is>
          <t>Cost &amp; Forecast Control Accounts</t>
        </is>
      </c>
      <c r="B1289" s="12" t="inlineStr">
        <is>
          <t>CST-06-011</t>
        </is>
      </c>
      <c r="C1289" s="12" t="inlineStr">
        <is>
          <t>Program Management - stakeholder services - professional services</t>
        </is>
      </c>
      <c r="D1289" s="12" t="inlineStr">
        <is>
          <t>Cost Account = CA-6011; WBS Code = 1.6.1</t>
        </is>
      </c>
      <c r="E1289" s="12" t="inlineStr">
        <is>
          <t>R1493-v1</t>
        </is>
      </c>
      <c r="F1289" s="12" t="inlineStr">
        <is>
          <t>1.6.1 Program Management - Program Controls</t>
        </is>
      </c>
      <c r="G1289" s="12" t="inlineStr">
        <is>
          <t>ONE_TO_ONE</t>
        </is>
      </c>
      <c r="H1289" s="12" t="inlineStr">
        <is>
          <t>APPROVED</t>
        </is>
      </c>
      <c r="I1289" s="12" t="inlineStr">
        <is>
          <t>New</t>
        </is>
      </c>
      <c r="J1289" s="12" t="inlineStr">
        <is>
          <t>Source assignment -- not individually reviewed</t>
        </is>
      </c>
      <c r="K1289" s="12" t="inlineStr"/>
      <c r="L1289" s="12" t="inlineStr"/>
      <c r="M1289" s="12" t="inlineStr"/>
      <c r="N1289" s="17" t="inlineStr">
        <is>
          <t>10 EVIDENCE &amp; DECISIONS</t>
        </is>
      </c>
      <c r="O1289" s="105" t="n">
        <v>922500</v>
      </c>
      <c r="P1289" s="105" t="n">
        <v>947500</v>
      </c>
      <c r="Q1289" s="105" t="inlineStr">
        <is>
          <t>CAD</t>
        </is>
      </c>
      <c r="R1289" s="105" t="n"/>
      <c r="S1289" s="105" t="inlineStr">
        <is>
          <t>2027-06-30</t>
        </is>
      </c>
      <c r="T1289" s="105" t="inlineStr">
        <is>
          <t>C1-R0</t>
        </is>
      </c>
      <c r="U1289" s="105" t="inlineStr">
        <is>
          <t>Supplied practice file monthly_cost_forecast.xlsx, row 412</t>
        </is>
      </c>
      <c r="V1289" s="105" t="inlineStr">
        <is>
          <t>Whole source account, not a target allocation. Repeated target rows must not be summed. Aggregate cost / forecast remains withheld.</t>
        </is>
      </c>
    </row>
    <row r="1290" ht="34" customHeight="1">
      <c r="A1290" s="12" t="inlineStr">
        <is>
          <t>Cost &amp; Forecast Control Accounts</t>
        </is>
      </c>
      <c r="B1290" s="12" t="inlineStr">
        <is>
          <t>CST-06-013</t>
        </is>
      </c>
      <c r="C1290" s="12" t="inlineStr">
        <is>
          <t>Program Management - design integration - closeout</t>
        </is>
      </c>
      <c r="D1290" s="12" t="inlineStr">
        <is>
          <t>Cost Account = CA-6013; WBS Code = 1.6.1</t>
        </is>
      </c>
      <c r="E1290" s="12" t="inlineStr">
        <is>
          <t>R1495-v1</t>
        </is>
      </c>
      <c r="F1290" s="12" t="inlineStr">
        <is>
          <t>1.6.1 Program Management - Program Controls</t>
        </is>
      </c>
      <c r="G1290" s="12" t="inlineStr">
        <is>
          <t>ONE_TO_ONE</t>
        </is>
      </c>
      <c r="H1290" s="12" t="inlineStr">
        <is>
          <t>APPROVED</t>
        </is>
      </c>
      <c r="I1290" s="12" t="inlineStr">
        <is>
          <t>New</t>
        </is>
      </c>
      <c r="J1290" s="12" t="inlineStr">
        <is>
          <t>Source assignment -- not individually reviewed</t>
        </is>
      </c>
      <c r="K1290" s="12" t="inlineStr"/>
      <c r="L1290" s="12" t="inlineStr"/>
      <c r="M1290" s="12" t="inlineStr"/>
      <c r="N1290" s="17" t="inlineStr">
        <is>
          <t>10 EVIDENCE &amp; DECISIONS</t>
        </is>
      </c>
      <c r="O1290" s="105" t="n">
        <v>957500</v>
      </c>
      <c r="P1290" s="105" t="n">
        <v>957500</v>
      </c>
      <c r="Q1290" s="105" t="inlineStr">
        <is>
          <t>CAD</t>
        </is>
      </c>
      <c r="R1290" s="105" t="n"/>
      <c r="S1290" s="105" t="inlineStr">
        <is>
          <t>2027-06-30</t>
        </is>
      </c>
      <c r="T1290" s="105" t="inlineStr">
        <is>
          <t>C1-R0</t>
        </is>
      </c>
      <c r="U1290" s="105" t="inlineStr">
        <is>
          <t>Supplied practice file monthly_cost_forecast.xlsx, row 414</t>
        </is>
      </c>
      <c r="V1290" s="105" t="inlineStr">
        <is>
          <t>Whole source account, not a target allocation. Repeated target rows must not be summed. Aggregate cost / forecast remains withheld.</t>
        </is>
      </c>
    </row>
    <row r="1291" ht="34" customHeight="1">
      <c r="A1291" s="12" t="inlineStr">
        <is>
          <t>Cost &amp; Forecast Control Accounts</t>
        </is>
      </c>
      <c r="B1291" s="12" t="inlineStr">
        <is>
          <t>CST-06-015</t>
        </is>
      </c>
      <c r="C1291" s="12" t="inlineStr">
        <is>
          <t>Program Management - program controls - supply and install</t>
        </is>
      </c>
      <c r="D1291" s="12" t="inlineStr">
        <is>
          <t>Cost Account = CA-6015; WBS Code = 1.6.1</t>
        </is>
      </c>
      <c r="E1291" s="12" t="inlineStr">
        <is>
          <t>R1497-v1</t>
        </is>
      </c>
      <c r="F1291" s="12" t="inlineStr">
        <is>
          <t>1.6.1 Program Management - Program Controls</t>
        </is>
      </c>
      <c r="G1291" s="12" t="inlineStr">
        <is>
          <t>ONE_TO_ONE</t>
        </is>
      </c>
      <c r="H1291" s="12" t="inlineStr">
        <is>
          <t>APPROVED</t>
        </is>
      </c>
      <c r="I1291" s="12" t="inlineStr">
        <is>
          <t>New</t>
        </is>
      </c>
      <c r="J1291" s="12" t="inlineStr">
        <is>
          <t>Source assignment -- not individually reviewed</t>
        </is>
      </c>
      <c r="K1291" s="12" t="inlineStr"/>
      <c r="L1291" s="12" t="inlineStr"/>
      <c r="M1291" s="12" t="inlineStr"/>
      <c r="N1291" s="17" t="inlineStr">
        <is>
          <t>10 EVIDENCE &amp; DECISIONS</t>
        </is>
      </c>
      <c r="O1291" s="105" t="n">
        <v>992500</v>
      </c>
      <c r="P1291" s="105" t="n">
        <v>1017500</v>
      </c>
      <c r="Q1291" s="105" t="inlineStr">
        <is>
          <t>CAD</t>
        </is>
      </c>
      <c r="R1291" s="105" t="n"/>
      <c r="S1291" s="105" t="inlineStr">
        <is>
          <t>2027-06-30</t>
        </is>
      </c>
      <c r="T1291" s="105" t="inlineStr">
        <is>
          <t>C1-R0</t>
        </is>
      </c>
      <c r="U1291" s="105" t="inlineStr">
        <is>
          <t>Supplied practice file monthly_cost_forecast.xlsx, row 416</t>
        </is>
      </c>
      <c r="V1291" s="105" t="inlineStr">
        <is>
          <t>Whole source account, not a target allocation. Repeated target rows must not be summed. Aggregate cost / forecast remains withheld.</t>
        </is>
      </c>
    </row>
    <row r="1292" ht="34" customHeight="1">
      <c r="A1292" s="12" t="inlineStr">
        <is>
          <t>Cost &amp; Forecast Control Accounts</t>
        </is>
      </c>
      <c r="B1292" s="12" t="inlineStr">
        <is>
          <t>CST-06-017</t>
        </is>
      </c>
      <c r="C1292" s="12" t="inlineStr">
        <is>
          <t>Program Management - stakeholder services - allowance</t>
        </is>
      </c>
      <c r="D1292" s="12" t="inlineStr">
        <is>
          <t>Cost Account = CA-6017; WBS Code = 1.6.1</t>
        </is>
      </c>
      <c r="E1292" s="12" t="inlineStr">
        <is>
          <t>R1499-v1</t>
        </is>
      </c>
      <c r="F1292" s="12" t="inlineStr">
        <is>
          <t>1.6.1 Program Management - Program Controls</t>
        </is>
      </c>
      <c r="G1292" s="12" t="inlineStr">
        <is>
          <t>ONE_TO_ONE</t>
        </is>
      </c>
      <c r="H1292" s="12" t="inlineStr">
        <is>
          <t>APPROVED</t>
        </is>
      </c>
      <c r="I1292" s="12" t="inlineStr">
        <is>
          <t>New</t>
        </is>
      </c>
      <c r="J1292" s="12" t="inlineStr">
        <is>
          <t>Source assignment -- not individually reviewed</t>
        </is>
      </c>
      <c r="K1292" s="12" t="inlineStr"/>
      <c r="L1292" s="12" t="inlineStr"/>
      <c r="M1292" s="12" t="inlineStr"/>
      <c r="N1292" s="17" t="inlineStr">
        <is>
          <t>10 EVIDENCE &amp; DECISIONS</t>
        </is>
      </c>
      <c r="O1292" s="105" t="n">
        <v>1027500</v>
      </c>
      <c r="P1292" s="105" t="n">
        <v>1027500</v>
      </c>
      <c r="Q1292" s="105" t="inlineStr">
        <is>
          <t>CAD</t>
        </is>
      </c>
      <c r="R1292" s="105" t="n"/>
      <c r="S1292" s="105" t="inlineStr">
        <is>
          <t>2027-06-30</t>
        </is>
      </c>
      <c r="T1292" s="105" t="inlineStr">
        <is>
          <t>C1-R0</t>
        </is>
      </c>
      <c r="U1292" s="105" t="inlineStr">
        <is>
          <t>Supplied practice file monthly_cost_forecast.xlsx, row 418</t>
        </is>
      </c>
      <c r="V1292" s="105" t="inlineStr">
        <is>
          <t>Whole source account, not a target allocation. Repeated target rows must not be summed. Aggregate cost / forecast remains withheld.</t>
        </is>
      </c>
    </row>
    <row r="1293" ht="34" customHeight="1">
      <c r="A1293" s="12" t="inlineStr">
        <is>
          <t>Cost &amp; Forecast Control Accounts</t>
        </is>
      </c>
      <c r="B1293" s="12" t="inlineStr">
        <is>
          <t>CST-06-019</t>
        </is>
      </c>
      <c r="C1293" s="12" t="inlineStr">
        <is>
          <t>Program Management - design integration - field package</t>
        </is>
      </c>
      <c r="D1293" s="12" t="inlineStr">
        <is>
          <t>Cost Account = CA-6019; WBS Code = 1.6.1</t>
        </is>
      </c>
      <c r="E1293" s="12" t="inlineStr">
        <is>
          <t>R1501-v1</t>
        </is>
      </c>
      <c r="F1293" s="12" t="inlineStr">
        <is>
          <t>1.6.1 Program Management - Program Controls</t>
        </is>
      </c>
      <c r="G1293" s="12" t="inlineStr">
        <is>
          <t>ONE_TO_ONE</t>
        </is>
      </c>
      <c r="H1293" s="12" t="inlineStr">
        <is>
          <t>APPROVED</t>
        </is>
      </c>
      <c r="I1293" s="12" t="inlineStr">
        <is>
          <t>New</t>
        </is>
      </c>
      <c r="J1293" s="12" t="inlineStr">
        <is>
          <t>Source assignment -- not individually reviewed</t>
        </is>
      </c>
      <c r="K1293" s="12" t="inlineStr"/>
      <c r="L1293" s="12" t="inlineStr"/>
      <c r="M1293" s="12" t="inlineStr"/>
      <c r="N1293" s="17" t="inlineStr">
        <is>
          <t>10 EVIDENCE &amp; DECISIONS</t>
        </is>
      </c>
      <c r="O1293" s="105" t="n">
        <v>1062500</v>
      </c>
      <c r="P1293" s="105" t="n">
        <v>1087500</v>
      </c>
      <c r="Q1293" s="105" t="inlineStr">
        <is>
          <t>CAD</t>
        </is>
      </c>
      <c r="R1293" s="105" t="n"/>
      <c r="S1293" s="105" t="inlineStr">
        <is>
          <t>2027-06-30</t>
        </is>
      </c>
      <c r="T1293" s="105" t="inlineStr">
        <is>
          <t>C1-R0</t>
        </is>
      </c>
      <c r="U1293" s="105" t="inlineStr">
        <is>
          <t>Supplied practice file monthly_cost_forecast.xlsx, row 420</t>
        </is>
      </c>
      <c r="V1293" s="105" t="inlineStr">
        <is>
          <t>Whole source account, not a target allocation. Repeated target rows must not be summed. Aggregate cost / forecast remains withheld.</t>
        </is>
      </c>
    </row>
    <row r="1294" ht="34" customHeight="1">
      <c r="A1294" s="12" t="inlineStr">
        <is>
          <t>Cost &amp; Forecast Control Accounts</t>
        </is>
      </c>
      <c r="B1294" s="12" t="inlineStr">
        <is>
          <t>CST-06-021</t>
        </is>
      </c>
      <c r="C1294" s="12" t="inlineStr">
        <is>
          <t>Program Management - program controls - professional services</t>
        </is>
      </c>
      <c r="D1294" s="12" t="inlineStr">
        <is>
          <t>Cost Account = CA-6021; WBS Code = 1.6.1</t>
        </is>
      </c>
      <c r="E1294" s="12" t="inlineStr">
        <is>
          <t>R1503-v1</t>
        </is>
      </c>
      <c r="F1294" s="12" t="inlineStr">
        <is>
          <t>1.6.1 Program Management - Program Controls</t>
        </is>
      </c>
      <c r="G1294" s="12" t="inlineStr">
        <is>
          <t>ONE_TO_ONE</t>
        </is>
      </c>
      <c r="H1294" s="12" t="inlineStr">
        <is>
          <t>APPROVED</t>
        </is>
      </c>
      <c r="I1294" s="12" t="inlineStr">
        <is>
          <t>New</t>
        </is>
      </c>
      <c r="J1294" s="12" t="inlineStr">
        <is>
          <t>Source assignment -- not individually reviewed</t>
        </is>
      </c>
      <c r="K1294" s="12" t="inlineStr"/>
      <c r="L1294" s="12" t="inlineStr"/>
      <c r="M1294" s="12" t="inlineStr"/>
      <c r="N1294" s="17" t="inlineStr">
        <is>
          <t>10 EVIDENCE &amp; DECISIONS</t>
        </is>
      </c>
      <c r="O1294" s="105" t="n">
        <v>1097500</v>
      </c>
      <c r="P1294" s="105" t="n">
        <v>1097500</v>
      </c>
      <c r="Q1294" s="105" t="inlineStr">
        <is>
          <t>CAD</t>
        </is>
      </c>
      <c r="R1294" s="105" t="n"/>
      <c r="S1294" s="105" t="inlineStr">
        <is>
          <t>2027-06-30</t>
        </is>
      </c>
      <c r="T1294" s="105" t="inlineStr">
        <is>
          <t>C1-R0</t>
        </is>
      </c>
      <c r="U1294" s="105" t="inlineStr">
        <is>
          <t>Supplied practice file monthly_cost_forecast.xlsx, row 422</t>
        </is>
      </c>
      <c r="V1294" s="105" t="inlineStr">
        <is>
          <t>Whole source account, not a target allocation. Repeated target rows must not be summed. Aggregate cost / forecast remains withheld.</t>
        </is>
      </c>
    </row>
    <row r="1295" ht="34" customHeight="1">
      <c r="A1295" s="12" t="inlineStr">
        <is>
          <t>Cost &amp; Forecast Control Accounts</t>
        </is>
      </c>
      <c r="B1295" s="12" t="inlineStr">
        <is>
          <t>CST-06-023</t>
        </is>
      </c>
      <c r="C1295" s="12" t="inlineStr">
        <is>
          <t>Program Management - stakeholder services - closeout</t>
        </is>
      </c>
      <c r="D1295" s="12" t="inlineStr">
        <is>
          <t>Cost Account = CA-6023; WBS Code = 1.6.1</t>
        </is>
      </c>
      <c r="E1295" s="12" t="inlineStr">
        <is>
          <t>R1505-v1</t>
        </is>
      </c>
      <c r="F1295" s="12" t="inlineStr">
        <is>
          <t>1.6.1 Program Management - Program Controls</t>
        </is>
      </c>
      <c r="G1295" s="12" t="inlineStr">
        <is>
          <t>ONE_TO_ONE</t>
        </is>
      </c>
      <c r="H1295" s="12" t="inlineStr">
        <is>
          <t>APPROVED</t>
        </is>
      </c>
      <c r="I1295" s="12" t="inlineStr">
        <is>
          <t>New</t>
        </is>
      </c>
      <c r="J1295" s="12" t="inlineStr">
        <is>
          <t>Source assignment -- not individually reviewed</t>
        </is>
      </c>
      <c r="K1295" s="12" t="inlineStr"/>
      <c r="L1295" s="12" t="inlineStr"/>
      <c r="M1295" s="12" t="inlineStr"/>
      <c r="N1295" s="17" t="inlineStr">
        <is>
          <t>10 EVIDENCE &amp; DECISIONS</t>
        </is>
      </c>
      <c r="O1295" s="105" t="n">
        <v>1132500</v>
      </c>
      <c r="P1295" s="105" t="n">
        <v>1157500</v>
      </c>
      <c r="Q1295" s="105" t="inlineStr">
        <is>
          <t>CAD</t>
        </is>
      </c>
      <c r="R1295" s="105" t="n"/>
      <c r="S1295" s="105" t="inlineStr">
        <is>
          <t>2027-06-30</t>
        </is>
      </c>
      <c r="T1295" s="105" t="inlineStr">
        <is>
          <t>C1-R0</t>
        </is>
      </c>
      <c r="U1295" s="105" t="inlineStr">
        <is>
          <t>Supplied practice file monthly_cost_forecast.xlsx, row 424</t>
        </is>
      </c>
      <c r="V1295" s="105" t="inlineStr">
        <is>
          <t>Whole source account, not a target allocation. Repeated target rows must not be summed. Aggregate cost / forecast remains withheld.</t>
        </is>
      </c>
    </row>
    <row r="1296" ht="34" customHeight="1">
      <c r="A1296" s="12" t="inlineStr">
        <is>
          <t>Cost &amp; Forecast Control Accounts</t>
        </is>
      </c>
      <c r="B1296" s="12" t="inlineStr">
        <is>
          <t>CST-06-025</t>
        </is>
      </c>
      <c r="C1296" s="12" t="inlineStr">
        <is>
          <t>Program Management - design integration - supply and install</t>
        </is>
      </c>
      <c r="D1296" s="12" t="inlineStr">
        <is>
          <t>Cost Account = CA-6025; WBS Code = 1.6.1</t>
        </is>
      </c>
      <c r="E1296" s="12" t="inlineStr">
        <is>
          <t>R1507-v1</t>
        </is>
      </c>
      <c r="F1296" s="12" t="inlineStr">
        <is>
          <t>1.6.1 Program Management - Program Controls</t>
        </is>
      </c>
      <c r="G1296" s="12" t="inlineStr">
        <is>
          <t>ONE_TO_ONE</t>
        </is>
      </c>
      <c r="H1296" s="12" t="inlineStr">
        <is>
          <t>APPROVED</t>
        </is>
      </c>
      <c r="I1296" s="12" t="inlineStr">
        <is>
          <t>New</t>
        </is>
      </c>
      <c r="J1296" s="12" t="inlineStr">
        <is>
          <t>Source assignment -- not individually reviewed</t>
        </is>
      </c>
      <c r="K1296" s="12" t="inlineStr"/>
      <c r="L1296" s="12" t="inlineStr"/>
      <c r="M1296" s="12" t="inlineStr"/>
      <c r="N1296" s="17" t="inlineStr">
        <is>
          <t>10 EVIDENCE &amp; DECISIONS</t>
        </is>
      </c>
      <c r="O1296" s="105" t="n">
        <v>1167500</v>
      </c>
      <c r="P1296" s="105" t="n">
        <v>1167500</v>
      </c>
      <c r="Q1296" s="105" t="inlineStr">
        <is>
          <t>CAD</t>
        </is>
      </c>
      <c r="R1296" s="105" t="n"/>
      <c r="S1296" s="105" t="inlineStr">
        <is>
          <t>2027-06-30</t>
        </is>
      </c>
      <c r="T1296" s="105" t="inlineStr">
        <is>
          <t>C1-R0</t>
        </is>
      </c>
      <c r="U1296" s="105" t="inlineStr">
        <is>
          <t>Supplied practice file monthly_cost_forecast.xlsx, row 426</t>
        </is>
      </c>
      <c r="V1296" s="105" t="inlineStr">
        <is>
          <t>Whole source account, not a target allocation. Repeated target rows must not be summed. Aggregate cost / forecast remains withheld.</t>
        </is>
      </c>
    </row>
    <row r="1297" ht="34" customHeight="1">
      <c r="A1297" s="12" t="inlineStr">
        <is>
          <t>Cost &amp; Forecast Control Accounts</t>
        </is>
      </c>
      <c r="B1297" s="12" t="inlineStr">
        <is>
          <t>CST-06-027</t>
        </is>
      </c>
      <c r="C1297" s="12" t="inlineStr">
        <is>
          <t>Program Management - program controls - allowance</t>
        </is>
      </c>
      <c r="D1297" s="12" t="inlineStr">
        <is>
          <t>Cost Account = CA-6027; WBS Code = 1.6.1</t>
        </is>
      </c>
      <c r="E1297" s="12" t="inlineStr">
        <is>
          <t>R1509-v1</t>
        </is>
      </c>
      <c r="F1297" s="12" t="inlineStr">
        <is>
          <t>1.6.1 Program Management - Program Controls</t>
        </is>
      </c>
      <c r="G1297" s="12" t="inlineStr">
        <is>
          <t>ONE_TO_ONE</t>
        </is>
      </c>
      <c r="H1297" s="12" t="inlineStr">
        <is>
          <t>APPROVED</t>
        </is>
      </c>
      <c r="I1297" s="12" t="inlineStr">
        <is>
          <t>New</t>
        </is>
      </c>
      <c r="J1297" s="12" t="inlineStr">
        <is>
          <t>Source assignment -- not individually reviewed</t>
        </is>
      </c>
      <c r="K1297" s="12" t="inlineStr"/>
      <c r="L1297" s="12" t="inlineStr"/>
      <c r="M1297" s="12" t="inlineStr"/>
      <c r="N1297" s="17" t="inlineStr">
        <is>
          <t>10 EVIDENCE &amp; DECISIONS</t>
        </is>
      </c>
      <c r="O1297" s="105" t="n">
        <v>1202500</v>
      </c>
      <c r="P1297" s="105" t="n">
        <v>1227500</v>
      </c>
      <c r="Q1297" s="105" t="inlineStr">
        <is>
          <t>CAD</t>
        </is>
      </c>
      <c r="R1297" s="105" t="n"/>
      <c r="S1297" s="105" t="inlineStr">
        <is>
          <t>2027-06-30</t>
        </is>
      </c>
      <c r="T1297" s="105" t="inlineStr">
        <is>
          <t>C1-R0</t>
        </is>
      </c>
      <c r="U1297" s="105" t="inlineStr">
        <is>
          <t>Supplied practice file monthly_cost_forecast.xlsx, row 428</t>
        </is>
      </c>
      <c r="V1297" s="105" t="inlineStr">
        <is>
          <t>Whole source account, not a target allocation. Repeated target rows must not be summed. Aggregate cost / forecast remains withheld.</t>
        </is>
      </c>
    </row>
    <row r="1298" ht="34" customHeight="1">
      <c r="A1298" s="12" t="inlineStr">
        <is>
          <t>Cost &amp; Forecast Control Accounts</t>
        </is>
      </c>
      <c r="B1298" s="12" t="inlineStr">
        <is>
          <t>CST-06-029</t>
        </is>
      </c>
      <c r="C1298" s="12" t="inlineStr">
        <is>
          <t>Program Management - stakeholder services - field package</t>
        </is>
      </c>
      <c r="D1298" s="12" t="inlineStr">
        <is>
          <t>Cost Account = CA-6029; WBS Code = 1.6.1</t>
        </is>
      </c>
      <c r="E1298" s="12" t="inlineStr">
        <is>
          <t>R1511-v1</t>
        </is>
      </c>
      <c r="F1298" s="12" t="inlineStr">
        <is>
          <t>1.6.1 Program Management - Program Controls</t>
        </is>
      </c>
      <c r="G1298" s="12" t="inlineStr">
        <is>
          <t>ONE_TO_ONE</t>
        </is>
      </c>
      <c r="H1298" s="12" t="inlineStr">
        <is>
          <t>APPROVED</t>
        </is>
      </c>
      <c r="I1298" s="12" t="inlineStr">
        <is>
          <t>New</t>
        </is>
      </c>
      <c r="J1298" s="12" t="inlineStr">
        <is>
          <t>Source assignment -- not individually reviewed</t>
        </is>
      </c>
      <c r="K1298" s="12" t="inlineStr"/>
      <c r="L1298" s="12" t="inlineStr"/>
      <c r="M1298" s="12" t="inlineStr"/>
      <c r="N1298" s="17" t="inlineStr">
        <is>
          <t>10 EVIDENCE &amp; DECISIONS</t>
        </is>
      </c>
      <c r="O1298" s="105" t="n">
        <v>1237500</v>
      </c>
      <c r="P1298" s="105" t="n">
        <v>1237500</v>
      </c>
      <c r="Q1298" s="105" t="inlineStr">
        <is>
          <t>CAD</t>
        </is>
      </c>
      <c r="R1298" s="105" t="n"/>
      <c r="S1298" s="105" t="inlineStr">
        <is>
          <t>2027-06-30</t>
        </is>
      </c>
      <c r="T1298" s="105" t="inlineStr">
        <is>
          <t>C1-R0</t>
        </is>
      </c>
      <c r="U1298" s="105" t="inlineStr">
        <is>
          <t>Supplied practice file monthly_cost_forecast.xlsx, row 430</t>
        </is>
      </c>
      <c r="V1298" s="105" t="inlineStr">
        <is>
          <t>Whole source account, not a target allocation. Repeated target rows must not be summed. Aggregate cost / forecast remains withheld.</t>
        </is>
      </c>
    </row>
    <row r="1299" ht="34" customHeight="1">
      <c r="A1299" s="12" t="inlineStr">
        <is>
          <t>Cost &amp; Forecast Control Accounts</t>
        </is>
      </c>
      <c r="B1299" s="12" t="inlineStr">
        <is>
          <t>CST-06-031</t>
        </is>
      </c>
      <c r="C1299" s="12" t="inlineStr">
        <is>
          <t>Program Management - design integration - professional services</t>
        </is>
      </c>
      <c r="D1299" s="12" t="inlineStr">
        <is>
          <t>Cost Account = CA-6031; WBS Code = 1.6.1</t>
        </is>
      </c>
      <c r="E1299" s="12" t="inlineStr">
        <is>
          <t>R1513-v1</t>
        </is>
      </c>
      <c r="F1299" s="12" t="inlineStr">
        <is>
          <t>1.6.1 Program Management - Program Controls</t>
        </is>
      </c>
      <c r="G1299" s="12" t="inlineStr">
        <is>
          <t>ONE_TO_ONE</t>
        </is>
      </c>
      <c r="H1299" s="12" t="inlineStr">
        <is>
          <t>APPROVED</t>
        </is>
      </c>
      <c r="I1299" s="12" t="inlineStr">
        <is>
          <t>New</t>
        </is>
      </c>
      <c r="J1299" s="12" t="inlineStr">
        <is>
          <t>Source assignment -- not individually reviewed</t>
        </is>
      </c>
      <c r="K1299" s="12" t="inlineStr"/>
      <c r="L1299" s="12" t="inlineStr"/>
      <c r="M1299" s="12" t="inlineStr"/>
      <c r="N1299" s="17" t="inlineStr">
        <is>
          <t>10 EVIDENCE &amp; DECISIONS</t>
        </is>
      </c>
      <c r="O1299" s="105" t="n">
        <v>1272500</v>
      </c>
      <c r="P1299" s="105" t="n">
        <v>1297500</v>
      </c>
      <c r="Q1299" s="105" t="inlineStr">
        <is>
          <t>CAD</t>
        </is>
      </c>
      <c r="R1299" s="105" t="n"/>
      <c r="S1299" s="105" t="inlineStr">
        <is>
          <t>2027-06-30</t>
        </is>
      </c>
      <c r="T1299" s="105" t="inlineStr">
        <is>
          <t>C1-R0</t>
        </is>
      </c>
      <c r="U1299" s="105" t="inlineStr">
        <is>
          <t>Supplied practice file monthly_cost_forecast.xlsx, row 432</t>
        </is>
      </c>
      <c r="V1299" s="105" t="inlineStr">
        <is>
          <t>Whole source account, not a target allocation. Repeated target rows must not be summed. Aggregate cost / forecast remains withheld.</t>
        </is>
      </c>
    </row>
    <row r="1300" ht="34" customHeight="1">
      <c r="A1300" s="12" t="inlineStr">
        <is>
          <t>Cost &amp; Forecast Control Accounts</t>
        </is>
      </c>
      <c r="B1300" s="12" t="inlineStr">
        <is>
          <t>CST-06-033</t>
        </is>
      </c>
      <c r="C1300" s="12" t="inlineStr">
        <is>
          <t>Program Management - program controls - closeout</t>
        </is>
      </c>
      <c r="D1300" s="12" t="inlineStr">
        <is>
          <t>Cost Account = CA-6033; WBS Code = 1.6.1</t>
        </is>
      </c>
      <c r="E1300" s="12" t="inlineStr">
        <is>
          <t>R1515-v1</t>
        </is>
      </c>
      <c r="F1300" s="12" t="inlineStr">
        <is>
          <t>1.6.1 Program Management - Program Controls</t>
        </is>
      </c>
      <c r="G1300" s="12" t="inlineStr">
        <is>
          <t>ONE_TO_ONE</t>
        </is>
      </c>
      <c r="H1300" s="12" t="inlineStr">
        <is>
          <t>APPROVED</t>
        </is>
      </c>
      <c r="I1300" s="12" t="inlineStr">
        <is>
          <t>New</t>
        </is>
      </c>
      <c r="J1300" s="12" t="inlineStr">
        <is>
          <t>Source assignment -- not individually reviewed</t>
        </is>
      </c>
      <c r="K1300" s="12" t="inlineStr"/>
      <c r="L1300" s="12" t="inlineStr"/>
      <c r="M1300" s="12" t="inlineStr"/>
      <c r="N1300" s="17" t="inlineStr">
        <is>
          <t>10 EVIDENCE &amp; DECISIONS</t>
        </is>
      </c>
      <c r="O1300" s="105" t="n">
        <v>1307500</v>
      </c>
      <c r="P1300" s="105" t="n">
        <v>1307500</v>
      </c>
      <c r="Q1300" s="105" t="inlineStr">
        <is>
          <t>CAD</t>
        </is>
      </c>
      <c r="R1300" s="105" t="n"/>
      <c r="S1300" s="105" t="inlineStr">
        <is>
          <t>2027-06-30</t>
        </is>
      </c>
      <c r="T1300" s="105" t="inlineStr">
        <is>
          <t>C1-R0</t>
        </is>
      </c>
      <c r="U1300" s="105" t="inlineStr">
        <is>
          <t>Supplied practice file monthly_cost_forecast.xlsx, row 434</t>
        </is>
      </c>
      <c r="V1300" s="105" t="inlineStr">
        <is>
          <t>Whole source account, not a target allocation. Repeated target rows must not be summed. Aggregate cost / forecast remains withheld.</t>
        </is>
      </c>
    </row>
    <row r="1301" ht="34" customHeight="1">
      <c r="A1301" s="12" t="inlineStr">
        <is>
          <t>Cost &amp; Forecast Control Accounts</t>
        </is>
      </c>
      <c r="B1301" s="12" t="inlineStr">
        <is>
          <t>CST-06-035</t>
        </is>
      </c>
      <c r="C1301" s="12" t="inlineStr">
        <is>
          <t>Program Management - stakeholder services - supply and install</t>
        </is>
      </c>
      <c r="D1301" s="12" t="inlineStr">
        <is>
          <t>Cost Account = CA-6035; WBS Code = 1.6.1</t>
        </is>
      </c>
      <c r="E1301" s="12" t="inlineStr">
        <is>
          <t>R1517-v1</t>
        </is>
      </c>
      <c r="F1301" s="12" t="inlineStr">
        <is>
          <t>1.6.1 Program Management - Program Controls</t>
        </is>
      </c>
      <c r="G1301" s="12" t="inlineStr">
        <is>
          <t>ONE_TO_ONE</t>
        </is>
      </c>
      <c r="H1301" s="12" t="inlineStr">
        <is>
          <t>APPROVED</t>
        </is>
      </c>
      <c r="I1301" s="12" t="inlineStr">
        <is>
          <t>New</t>
        </is>
      </c>
      <c r="J1301" s="12" t="inlineStr">
        <is>
          <t>Source assignment -- not individually reviewed</t>
        </is>
      </c>
      <c r="K1301" s="12" t="inlineStr"/>
      <c r="L1301" s="12" t="inlineStr"/>
      <c r="M1301" s="12" t="inlineStr"/>
      <c r="N1301" s="17" t="inlineStr">
        <is>
          <t>10 EVIDENCE &amp; DECISIONS</t>
        </is>
      </c>
      <c r="O1301" s="105" t="n">
        <v>1342500</v>
      </c>
      <c r="P1301" s="105" t="n">
        <v>1367500</v>
      </c>
      <c r="Q1301" s="105" t="inlineStr">
        <is>
          <t>CAD</t>
        </is>
      </c>
      <c r="R1301" s="105" t="n"/>
      <c r="S1301" s="105" t="inlineStr">
        <is>
          <t>2027-06-30</t>
        </is>
      </c>
      <c r="T1301" s="105" t="inlineStr">
        <is>
          <t>C1-R0</t>
        </is>
      </c>
      <c r="U1301" s="105" t="inlineStr">
        <is>
          <t>Supplied practice file monthly_cost_forecast.xlsx, row 436</t>
        </is>
      </c>
      <c r="V1301" s="105" t="inlineStr">
        <is>
          <t>Whole source account, not a target allocation. Repeated target rows must not be summed. Aggregate cost / forecast remains withheld.</t>
        </is>
      </c>
    </row>
    <row r="1302" ht="34" customHeight="1">
      <c r="A1302" s="12" t="inlineStr">
        <is>
          <t>Cost &amp; Forecast Control Accounts</t>
        </is>
      </c>
      <c r="B1302" s="12" t="inlineStr">
        <is>
          <t>CST-06-037</t>
        </is>
      </c>
      <c r="C1302" s="12" t="inlineStr">
        <is>
          <t>Program Management - design integration - allowance</t>
        </is>
      </c>
      <c r="D1302" s="12" t="inlineStr">
        <is>
          <t>Cost Account = CA-6037; WBS Code = 1.6.1</t>
        </is>
      </c>
      <c r="E1302" s="12" t="inlineStr">
        <is>
          <t>R1519-v1</t>
        </is>
      </c>
      <c r="F1302" s="12" t="inlineStr">
        <is>
          <t>1.6.1 Program Management - Program Controls</t>
        </is>
      </c>
      <c r="G1302" s="12" t="inlineStr">
        <is>
          <t>ONE_TO_ONE</t>
        </is>
      </c>
      <c r="H1302" s="12" t="inlineStr">
        <is>
          <t>APPROVED</t>
        </is>
      </c>
      <c r="I1302" s="12" t="inlineStr">
        <is>
          <t>New</t>
        </is>
      </c>
      <c r="J1302" s="12" t="inlineStr">
        <is>
          <t>Source assignment -- not individually reviewed</t>
        </is>
      </c>
      <c r="K1302" s="12" t="inlineStr"/>
      <c r="L1302" s="12" t="inlineStr"/>
      <c r="M1302" s="12" t="inlineStr"/>
      <c r="N1302" s="17" t="inlineStr">
        <is>
          <t>10 EVIDENCE &amp; DECISIONS</t>
        </is>
      </c>
      <c r="O1302" s="105" t="n">
        <v>1377500</v>
      </c>
      <c r="P1302" s="105" t="n">
        <v>1377500</v>
      </c>
      <c r="Q1302" s="105" t="inlineStr">
        <is>
          <t>CAD</t>
        </is>
      </c>
      <c r="R1302" s="105" t="n"/>
      <c r="S1302" s="105" t="inlineStr">
        <is>
          <t>2027-06-30</t>
        </is>
      </c>
      <c r="T1302" s="105" t="inlineStr">
        <is>
          <t>C1-R0</t>
        </is>
      </c>
      <c r="U1302" s="105" t="inlineStr">
        <is>
          <t>Supplied practice file monthly_cost_forecast.xlsx, row 438</t>
        </is>
      </c>
      <c r="V1302" s="105" t="inlineStr">
        <is>
          <t>Whole source account, not a target allocation. Repeated target rows must not be summed. Aggregate cost / forecast remains withheld.</t>
        </is>
      </c>
    </row>
    <row r="1303" ht="34" customHeight="1">
      <c r="A1303" s="12" t="inlineStr">
        <is>
          <t>Cost &amp; Forecast Control Accounts</t>
        </is>
      </c>
      <c r="B1303" s="12" t="inlineStr">
        <is>
          <t>CST-06-039</t>
        </is>
      </c>
      <c r="C1303" s="12" t="inlineStr">
        <is>
          <t>Program Management - program controls - field package</t>
        </is>
      </c>
      <c r="D1303" s="12" t="inlineStr">
        <is>
          <t>Cost Account = CA-6039; WBS Code = 1.6.1</t>
        </is>
      </c>
      <c r="E1303" s="12" t="inlineStr">
        <is>
          <t>R1521-v1</t>
        </is>
      </c>
      <c r="F1303" s="12" t="inlineStr">
        <is>
          <t>1.6.1 Program Management - Program Controls</t>
        </is>
      </c>
      <c r="G1303" s="12" t="inlineStr">
        <is>
          <t>ONE_TO_ONE</t>
        </is>
      </c>
      <c r="H1303" s="12" t="inlineStr">
        <is>
          <t>APPROVED</t>
        </is>
      </c>
      <c r="I1303" s="12" t="inlineStr">
        <is>
          <t>New</t>
        </is>
      </c>
      <c r="J1303" s="12" t="inlineStr">
        <is>
          <t>Source assignment -- not individually reviewed</t>
        </is>
      </c>
      <c r="K1303" s="12" t="inlineStr"/>
      <c r="L1303" s="12" t="inlineStr"/>
      <c r="M1303" s="12" t="inlineStr"/>
      <c r="N1303" s="17" t="inlineStr">
        <is>
          <t>10 EVIDENCE &amp; DECISIONS</t>
        </is>
      </c>
      <c r="O1303" s="105" t="n">
        <v>1412500</v>
      </c>
      <c r="P1303" s="105" t="n">
        <v>1437500</v>
      </c>
      <c r="Q1303" s="105" t="inlineStr">
        <is>
          <t>CAD</t>
        </is>
      </c>
      <c r="R1303" s="105" t="n"/>
      <c r="S1303" s="105" t="inlineStr">
        <is>
          <t>2027-06-30</t>
        </is>
      </c>
      <c r="T1303" s="105" t="inlineStr">
        <is>
          <t>C1-R0</t>
        </is>
      </c>
      <c r="U1303" s="105" t="inlineStr">
        <is>
          <t>Supplied practice file monthly_cost_forecast.xlsx, row 440</t>
        </is>
      </c>
      <c r="V1303" s="105" t="inlineStr">
        <is>
          <t>Whole source account, not a target allocation. Repeated target rows must not be summed. Aggregate cost / forecast remains withheld.</t>
        </is>
      </c>
    </row>
    <row r="1304" ht="34" customHeight="1">
      <c r="A1304" s="12" t="inlineStr">
        <is>
          <t>Cost &amp; Forecast Control Accounts</t>
        </is>
      </c>
      <c r="B1304" s="12" t="inlineStr">
        <is>
          <t>CST-06-041</t>
        </is>
      </c>
      <c r="C1304" s="12" t="inlineStr">
        <is>
          <t>Program Management - stakeholder services - professional services</t>
        </is>
      </c>
      <c r="D1304" s="12" t="inlineStr">
        <is>
          <t>Cost Account = CA-6041; WBS Code = 1.6.1</t>
        </is>
      </c>
      <c r="E1304" s="12" t="inlineStr">
        <is>
          <t>R1523-v1</t>
        </is>
      </c>
      <c r="F1304" s="12" t="inlineStr">
        <is>
          <t>1.6.1 Program Management - Program Controls</t>
        </is>
      </c>
      <c r="G1304" s="12" t="inlineStr">
        <is>
          <t>ONE_TO_ONE</t>
        </is>
      </c>
      <c r="H1304" s="12" t="inlineStr">
        <is>
          <t>APPROVED</t>
        </is>
      </c>
      <c r="I1304" s="12" t="inlineStr">
        <is>
          <t>New</t>
        </is>
      </c>
      <c r="J1304" s="12" t="inlineStr">
        <is>
          <t>Source assignment -- not individually reviewed</t>
        </is>
      </c>
      <c r="K1304" s="12" t="inlineStr"/>
      <c r="L1304" s="12" t="inlineStr"/>
      <c r="M1304" s="12" t="inlineStr"/>
      <c r="N1304" s="17" t="inlineStr">
        <is>
          <t>10 EVIDENCE &amp; DECISIONS</t>
        </is>
      </c>
      <c r="O1304" s="105" t="n">
        <v>1447500</v>
      </c>
      <c r="P1304" s="105" t="n">
        <v>1447500</v>
      </c>
      <c r="Q1304" s="105" t="inlineStr">
        <is>
          <t>CAD</t>
        </is>
      </c>
      <c r="R1304" s="105" t="n"/>
      <c r="S1304" s="105" t="inlineStr">
        <is>
          <t>2027-06-30</t>
        </is>
      </c>
      <c r="T1304" s="105" t="inlineStr">
        <is>
          <t>C1-R0</t>
        </is>
      </c>
      <c r="U1304" s="105" t="inlineStr">
        <is>
          <t>Supplied practice file monthly_cost_forecast.xlsx, row 442</t>
        </is>
      </c>
      <c r="V1304" s="105" t="inlineStr">
        <is>
          <t>Whole source account, not a target allocation. Repeated target rows must not be summed. Aggregate cost / forecast remains withheld.</t>
        </is>
      </c>
    </row>
    <row r="1305" ht="34" customHeight="1">
      <c r="A1305" s="12" t="inlineStr">
        <is>
          <t>Cost &amp; Forecast Control Accounts</t>
        </is>
      </c>
      <c r="B1305" s="12" t="inlineStr">
        <is>
          <t>CST-06-043</t>
        </is>
      </c>
      <c r="C1305" s="12" t="inlineStr">
        <is>
          <t>Program Management - design integration - closeout</t>
        </is>
      </c>
      <c r="D1305" s="12" t="inlineStr">
        <is>
          <t>Cost Account = CA-6043; WBS Code = 1.6.1</t>
        </is>
      </c>
      <c r="E1305" s="12" t="inlineStr">
        <is>
          <t>R1525-v1</t>
        </is>
      </c>
      <c r="F1305" s="12" t="inlineStr">
        <is>
          <t>1.6.1 Program Management - Program Controls</t>
        </is>
      </c>
      <c r="G1305" s="12" t="inlineStr">
        <is>
          <t>ONE_TO_ONE</t>
        </is>
      </c>
      <c r="H1305" s="12" t="inlineStr">
        <is>
          <t>APPROVED</t>
        </is>
      </c>
      <c r="I1305" s="12" t="inlineStr">
        <is>
          <t>New</t>
        </is>
      </c>
      <c r="J1305" s="12" t="inlineStr">
        <is>
          <t>Source assignment -- not individually reviewed</t>
        </is>
      </c>
      <c r="K1305" s="12" t="inlineStr"/>
      <c r="L1305" s="12" t="inlineStr"/>
      <c r="M1305" s="12" t="inlineStr"/>
      <c r="N1305" s="17" t="inlineStr">
        <is>
          <t>10 EVIDENCE &amp; DECISIONS</t>
        </is>
      </c>
      <c r="O1305" s="105" t="n">
        <v>1482500</v>
      </c>
      <c r="P1305" s="105" t="n">
        <v>1507500</v>
      </c>
      <c r="Q1305" s="105" t="inlineStr">
        <is>
          <t>CAD</t>
        </is>
      </c>
      <c r="R1305" s="105" t="n"/>
      <c r="S1305" s="105" t="inlineStr">
        <is>
          <t>2027-06-30</t>
        </is>
      </c>
      <c r="T1305" s="105" t="inlineStr">
        <is>
          <t>C1-R0</t>
        </is>
      </c>
      <c r="U1305" s="105" t="inlineStr">
        <is>
          <t>Supplied practice file monthly_cost_forecast.xlsx, row 444</t>
        </is>
      </c>
      <c r="V1305" s="105" t="inlineStr">
        <is>
          <t>Whole source account, not a target allocation. Repeated target rows must not be summed. Aggregate cost / forecast remains withheld.</t>
        </is>
      </c>
    </row>
    <row r="1306" ht="34" customHeight="1">
      <c r="A1306" s="12" t="inlineStr">
        <is>
          <t>Cost &amp; Forecast Control Accounts</t>
        </is>
      </c>
      <c r="B1306" s="12" t="inlineStr">
        <is>
          <t>CST-06-045</t>
        </is>
      </c>
      <c r="C1306" s="12" t="inlineStr">
        <is>
          <t>Program Management - program controls - supply and install</t>
        </is>
      </c>
      <c r="D1306" s="12" t="inlineStr">
        <is>
          <t>Cost Account = CA-6045; WBS Code = 1.6.1</t>
        </is>
      </c>
      <c r="E1306" s="12" t="inlineStr">
        <is>
          <t>R1527-v1</t>
        </is>
      </c>
      <c r="F1306" s="12" t="inlineStr">
        <is>
          <t>1.6.1 Program Management - Program Controls</t>
        </is>
      </c>
      <c r="G1306" s="12" t="inlineStr">
        <is>
          <t>ONE_TO_ONE</t>
        </is>
      </c>
      <c r="H1306" s="12" t="inlineStr">
        <is>
          <t>APPROVED</t>
        </is>
      </c>
      <c r="I1306" s="12" t="inlineStr">
        <is>
          <t>New</t>
        </is>
      </c>
      <c r="J1306" s="12" t="inlineStr">
        <is>
          <t>Source assignment -- not individually reviewed</t>
        </is>
      </c>
      <c r="K1306" s="12" t="inlineStr"/>
      <c r="L1306" s="12" t="inlineStr"/>
      <c r="M1306" s="12" t="inlineStr"/>
      <c r="N1306" s="17" t="inlineStr">
        <is>
          <t>10 EVIDENCE &amp; DECISIONS</t>
        </is>
      </c>
      <c r="O1306" s="105" t="n">
        <v>1517500</v>
      </c>
      <c r="P1306" s="105" t="n">
        <v>1517500</v>
      </c>
      <c r="Q1306" s="105" t="inlineStr">
        <is>
          <t>CAD</t>
        </is>
      </c>
      <c r="R1306" s="105" t="n"/>
      <c r="S1306" s="105" t="inlineStr">
        <is>
          <t>2027-06-30</t>
        </is>
      </c>
      <c r="T1306" s="105" t="inlineStr">
        <is>
          <t>C1-R0</t>
        </is>
      </c>
      <c r="U1306" s="105" t="inlineStr">
        <is>
          <t>Supplied practice file monthly_cost_forecast.xlsx, row 446</t>
        </is>
      </c>
      <c r="V1306" s="105" t="inlineStr">
        <is>
          <t>Whole source account, not a target allocation. Repeated target rows must not be summed. Aggregate cost / forecast remains withheld.</t>
        </is>
      </c>
    </row>
    <row r="1307" ht="34" customHeight="1">
      <c r="A1307" s="12" t="inlineStr">
        <is>
          <t>Cost &amp; Forecast Control Accounts</t>
        </is>
      </c>
      <c r="B1307" s="12" t="inlineStr">
        <is>
          <t>CST-06-047</t>
        </is>
      </c>
      <c r="C1307" s="12" t="inlineStr">
        <is>
          <t>Program Management - stakeholder services - allowance</t>
        </is>
      </c>
      <c r="D1307" s="12" t="inlineStr">
        <is>
          <t>Cost Account = CA-6047; WBS Code = 1.6.1</t>
        </is>
      </c>
      <c r="E1307" s="12" t="inlineStr">
        <is>
          <t>R1529-v1</t>
        </is>
      </c>
      <c r="F1307" s="12" t="inlineStr">
        <is>
          <t>1.6.1 Program Management - Program Controls</t>
        </is>
      </c>
      <c r="G1307" s="12" t="inlineStr">
        <is>
          <t>ONE_TO_ONE</t>
        </is>
      </c>
      <c r="H1307" s="12" t="inlineStr">
        <is>
          <t>APPROVED</t>
        </is>
      </c>
      <c r="I1307" s="12" t="inlineStr">
        <is>
          <t>New</t>
        </is>
      </c>
      <c r="J1307" s="12" t="inlineStr">
        <is>
          <t>Source assignment -- not individually reviewed</t>
        </is>
      </c>
      <c r="K1307" s="12" t="inlineStr"/>
      <c r="L1307" s="12" t="inlineStr"/>
      <c r="M1307" s="12" t="inlineStr"/>
      <c r="N1307" s="17" t="inlineStr">
        <is>
          <t>10 EVIDENCE &amp; DECISIONS</t>
        </is>
      </c>
      <c r="O1307" s="105" t="n">
        <v>1552500</v>
      </c>
      <c r="P1307" s="105" t="n">
        <v>1577500</v>
      </c>
      <c r="Q1307" s="105" t="inlineStr">
        <is>
          <t>CAD</t>
        </is>
      </c>
      <c r="R1307" s="105" t="n"/>
      <c r="S1307" s="105" t="inlineStr">
        <is>
          <t>2027-06-30</t>
        </is>
      </c>
      <c r="T1307" s="105" t="inlineStr">
        <is>
          <t>C1-R0</t>
        </is>
      </c>
      <c r="U1307" s="105" t="inlineStr">
        <is>
          <t>Supplied practice file monthly_cost_forecast.xlsx, row 448</t>
        </is>
      </c>
      <c r="V1307" s="105" t="inlineStr">
        <is>
          <t>Whole source account, not a target allocation. Repeated target rows must not be summed. Aggregate cost / forecast remains withheld.</t>
        </is>
      </c>
    </row>
    <row r="1308" ht="34" customHeight="1">
      <c r="A1308" s="12" t="inlineStr">
        <is>
          <t>Cost &amp; Forecast Control Accounts</t>
        </is>
      </c>
      <c r="B1308" s="12" t="inlineStr">
        <is>
          <t>CST-06-049</t>
        </is>
      </c>
      <c r="C1308" s="12" t="inlineStr">
        <is>
          <t>Program Management - design integration - field package</t>
        </is>
      </c>
      <c r="D1308" s="12" t="inlineStr">
        <is>
          <t>Cost Account = CA-6049; WBS Code = 1.6.1</t>
        </is>
      </c>
      <c r="E1308" s="12" t="inlineStr">
        <is>
          <t>R1531-v1</t>
        </is>
      </c>
      <c r="F1308" s="12" t="inlineStr">
        <is>
          <t>1.6.1 Program Management - Program Controls</t>
        </is>
      </c>
      <c r="G1308" s="12" t="inlineStr">
        <is>
          <t>ONE_TO_ONE</t>
        </is>
      </c>
      <c r="H1308" s="12" t="inlineStr">
        <is>
          <t>APPROVED</t>
        </is>
      </c>
      <c r="I1308" s="12" t="inlineStr">
        <is>
          <t>New</t>
        </is>
      </c>
      <c r="J1308" s="12" t="inlineStr">
        <is>
          <t>Source assignment -- not individually reviewed</t>
        </is>
      </c>
      <c r="K1308" s="12" t="inlineStr"/>
      <c r="L1308" s="12" t="inlineStr"/>
      <c r="M1308" s="12" t="inlineStr"/>
      <c r="N1308" s="17" t="inlineStr">
        <is>
          <t>10 EVIDENCE &amp; DECISIONS</t>
        </is>
      </c>
      <c r="O1308" s="105" t="n">
        <v>1587500</v>
      </c>
      <c r="P1308" s="105" t="n">
        <v>1587500</v>
      </c>
      <c r="Q1308" s="105" t="inlineStr">
        <is>
          <t>CAD</t>
        </is>
      </c>
      <c r="R1308" s="105" t="n"/>
      <c r="S1308" s="105" t="inlineStr">
        <is>
          <t>2027-06-30</t>
        </is>
      </c>
      <c r="T1308" s="105" t="inlineStr">
        <is>
          <t>C1-R0</t>
        </is>
      </c>
      <c r="U1308" s="105" t="inlineStr">
        <is>
          <t>Supplied practice file monthly_cost_forecast.xlsx, row 450</t>
        </is>
      </c>
      <c r="V1308" s="105" t="inlineStr">
        <is>
          <t>Whole source account, not a target allocation. Repeated target rows must not be summed. Aggregate cost / forecast remains withheld.</t>
        </is>
      </c>
    </row>
    <row r="1309" ht="34" customHeight="1">
      <c r="A1309" s="12" t="inlineStr">
        <is>
          <t>Cost &amp; Forecast Control Accounts</t>
        </is>
      </c>
      <c r="B1309" s="12" t="inlineStr">
        <is>
          <t>CST-06-051</t>
        </is>
      </c>
      <c r="C1309" s="12" t="inlineStr">
        <is>
          <t>Program Management - program controls - professional services</t>
        </is>
      </c>
      <c r="D1309" s="12" t="inlineStr">
        <is>
          <t>Cost Account = CA-6051; WBS Code = 1.6.1</t>
        </is>
      </c>
      <c r="E1309" s="12" t="inlineStr">
        <is>
          <t>R1533-v1</t>
        </is>
      </c>
      <c r="F1309" s="12" t="inlineStr">
        <is>
          <t>1.6.1 Program Management - Program Controls</t>
        </is>
      </c>
      <c r="G1309" s="12" t="inlineStr">
        <is>
          <t>ONE_TO_ONE</t>
        </is>
      </c>
      <c r="H1309" s="12" t="inlineStr">
        <is>
          <t>APPROVED</t>
        </is>
      </c>
      <c r="I1309" s="12" t="inlineStr">
        <is>
          <t>New</t>
        </is>
      </c>
      <c r="J1309" s="12" t="inlineStr">
        <is>
          <t>Source assignment -- not individually reviewed</t>
        </is>
      </c>
      <c r="K1309" s="12" t="inlineStr"/>
      <c r="L1309" s="12" t="inlineStr"/>
      <c r="M1309" s="12" t="inlineStr"/>
      <c r="N1309" s="17" t="inlineStr">
        <is>
          <t>10 EVIDENCE &amp; DECISIONS</t>
        </is>
      </c>
      <c r="O1309" s="105" t="n">
        <v>1622500</v>
      </c>
      <c r="P1309" s="105" t="n">
        <v>1647500</v>
      </c>
      <c r="Q1309" s="105" t="inlineStr">
        <is>
          <t>CAD</t>
        </is>
      </c>
      <c r="R1309" s="105" t="n"/>
      <c r="S1309" s="105" t="inlineStr">
        <is>
          <t>2027-06-30</t>
        </is>
      </c>
      <c r="T1309" s="105" t="inlineStr">
        <is>
          <t>C1-R0</t>
        </is>
      </c>
      <c r="U1309" s="105" t="inlineStr">
        <is>
          <t>Supplied practice file monthly_cost_forecast.xlsx, row 452</t>
        </is>
      </c>
      <c r="V1309" s="105" t="inlineStr">
        <is>
          <t>Whole source account, not a target allocation. Repeated target rows must not be summed. Aggregate cost / forecast remains withheld.</t>
        </is>
      </c>
    </row>
    <row r="1310" ht="34" customHeight="1">
      <c r="A1310" s="12" t="inlineStr">
        <is>
          <t>Cost &amp; Forecast Control Accounts</t>
        </is>
      </c>
      <c r="B1310" s="12" t="inlineStr">
        <is>
          <t>CST-06-053</t>
        </is>
      </c>
      <c r="C1310" s="12" t="inlineStr">
        <is>
          <t>Program Management - stakeholder services - closeout</t>
        </is>
      </c>
      <c r="D1310" s="12" t="inlineStr">
        <is>
          <t>Cost Account = CA-6053; WBS Code = 1.6.1</t>
        </is>
      </c>
      <c r="E1310" s="12" t="inlineStr">
        <is>
          <t>R1535-v1</t>
        </is>
      </c>
      <c r="F1310" s="12" t="inlineStr">
        <is>
          <t>1.6.1 Program Management - Program Controls</t>
        </is>
      </c>
      <c r="G1310" s="12" t="inlineStr">
        <is>
          <t>ONE_TO_ONE</t>
        </is>
      </c>
      <c r="H1310" s="12" t="inlineStr">
        <is>
          <t>APPROVED</t>
        </is>
      </c>
      <c r="I1310" s="12" t="inlineStr">
        <is>
          <t>New</t>
        </is>
      </c>
      <c r="J1310" s="12" t="inlineStr">
        <is>
          <t>Source assignment -- not individually reviewed</t>
        </is>
      </c>
      <c r="K1310" s="12" t="inlineStr"/>
      <c r="L1310" s="12" t="inlineStr"/>
      <c r="M1310" s="12" t="inlineStr"/>
      <c r="N1310" s="17" t="inlineStr">
        <is>
          <t>10 EVIDENCE &amp; DECISIONS</t>
        </is>
      </c>
      <c r="O1310" s="105" t="n">
        <v>1657500</v>
      </c>
      <c r="P1310" s="105" t="n">
        <v>1657500</v>
      </c>
      <c r="Q1310" s="105" t="inlineStr">
        <is>
          <t>CAD</t>
        </is>
      </c>
      <c r="R1310" s="105" t="n"/>
      <c r="S1310" s="105" t="inlineStr">
        <is>
          <t>2027-06-30</t>
        </is>
      </c>
      <c r="T1310" s="105" t="inlineStr">
        <is>
          <t>C1-R0</t>
        </is>
      </c>
      <c r="U1310" s="105" t="inlineStr">
        <is>
          <t>Supplied practice file monthly_cost_forecast.xlsx, row 454</t>
        </is>
      </c>
      <c r="V1310" s="105" t="inlineStr">
        <is>
          <t>Whole source account, not a target allocation. Repeated target rows must not be summed. Aggregate cost / forecast remains withheld.</t>
        </is>
      </c>
    </row>
    <row r="1311" ht="34" customHeight="1">
      <c r="A1311" s="12" t="inlineStr">
        <is>
          <t>Cost &amp; Forecast Control Accounts</t>
        </is>
      </c>
      <c r="B1311" s="12" t="inlineStr">
        <is>
          <t>CST-06-055</t>
        </is>
      </c>
      <c r="C1311" s="12" t="inlineStr">
        <is>
          <t>Program Management - design integration - supply and install</t>
        </is>
      </c>
      <c r="D1311" s="12" t="inlineStr">
        <is>
          <t>Cost Account = CA-6055; WBS Code = 1.6.1</t>
        </is>
      </c>
      <c r="E1311" s="12" t="inlineStr">
        <is>
          <t>R1537-v1</t>
        </is>
      </c>
      <c r="F1311" s="12" t="inlineStr">
        <is>
          <t>1.6.1 Program Management - Program Controls</t>
        </is>
      </c>
      <c r="G1311" s="12" t="inlineStr">
        <is>
          <t>ONE_TO_ONE</t>
        </is>
      </c>
      <c r="H1311" s="12" t="inlineStr">
        <is>
          <t>APPROVED</t>
        </is>
      </c>
      <c r="I1311" s="12" t="inlineStr">
        <is>
          <t>New</t>
        </is>
      </c>
      <c r="J1311" s="12" t="inlineStr">
        <is>
          <t>Source assignment -- not individually reviewed</t>
        </is>
      </c>
      <c r="K1311" s="12" t="inlineStr"/>
      <c r="L1311" s="12" t="inlineStr"/>
      <c r="M1311" s="12" t="inlineStr"/>
      <c r="N1311" s="17" t="inlineStr">
        <is>
          <t>10 EVIDENCE &amp; DECISIONS</t>
        </is>
      </c>
      <c r="O1311" s="105" t="n">
        <v>1692500</v>
      </c>
      <c r="P1311" s="105" t="n">
        <v>1717500</v>
      </c>
      <c r="Q1311" s="105" t="inlineStr">
        <is>
          <t>CAD</t>
        </is>
      </c>
      <c r="R1311" s="105" t="n"/>
      <c r="S1311" s="105" t="inlineStr">
        <is>
          <t>2027-06-30</t>
        </is>
      </c>
      <c r="T1311" s="105" t="inlineStr">
        <is>
          <t>C1-R0</t>
        </is>
      </c>
      <c r="U1311" s="105" t="inlineStr">
        <is>
          <t>Supplied practice file monthly_cost_forecast.xlsx, row 456</t>
        </is>
      </c>
      <c r="V1311" s="105" t="inlineStr">
        <is>
          <t>Whole source account, not a target allocation. Repeated target rows must not be summed. Aggregate cost / forecast remains withheld.</t>
        </is>
      </c>
    </row>
    <row r="1312" ht="34" customHeight="1">
      <c r="A1312" s="12" t="inlineStr">
        <is>
          <t>Cost &amp; Forecast Control Accounts</t>
        </is>
      </c>
      <c r="B1312" s="12" t="inlineStr">
        <is>
          <t>CST-06-057</t>
        </is>
      </c>
      <c r="C1312" s="12" t="inlineStr">
        <is>
          <t>Program Management - program controls - allowance</t>
        </is>
      </c>
      <c r="D1312" s="12" t="inlineStr">
        <is>
          <t>Cost Account = CA-6057; WBS Code = 1.6.1</t>
        </is>
      </c>
      <c r="E1312" s="12" t="inlineStr">
        <is>
          <t>R1539-v1</t>
        </is>
      </c>
      <c r="F1312" s="12" t="inlineStr">
        <is>
          <t>1.6.1 Program Management - Program Controls</t>
        </is>
      </c>
      <c r="G1312" s="12" t="inlineStr">
        <is>
          <t>ONE_TO_ONE</t>
        </is>
      </c>
      <c r="H1312" s="12" t="inlineStr">
        <is>
          <t>APPROVED</t>
        </is>
      </c>
      <c r="I1312" s="12" t="inlineStr">
        <is>
          <t>New</t>
        </is>
      </c>
      <c r="J1312" s="12" t="inlineStr">
        <is>
          <t>Source assignment -- not individually reviewed</t>
        </is>
      </c>
      <c r="K1312" s="12" t="inlineStr"/>
      <c r="L1312" s="12" t="inlineStr"/>
      <c r="M1312" s="12" t="inlineStr"/>
      <c r="N1312" s="17" t="inlineStr">
        <is>
          <t>10 EVIDENCE &amp; DECISIONS</t>
        </is>
      </c>
      <c r="O1312" s="105" t="n">
        <v>1727500</v>
      </c>
      <c r="P1312" s="105" t="n">
        <v>1727500</v>
      </c>
      <c r="Q1312" s="105" t="inlineStr">
        <is>
          <t>CAD</t>
        </is>
      </c>
      <c r="R1312" s="105" t="n"/>
      <c r="S1312" s="105" t="inlineStr">
        <is>
          <t>2027-06-30</t>
        </is>
      </c>
      <c r="T1312" s="105" t="inlineStr">
        <is>
          <t>C1-R0</t>
        </is>
      </c>
      <c r="U1312" s="105" t="inlineStr">
        <is>
          <t>Supplied practice file monthly_cost_forecast.xlsx, row 458</t>
        </is>
      </c>
      <c r="V1312" s="105" t="inlineStr">
        <is>
          <t>Whole source account, not a target allocation. Repeated target rows must not be summed. Aggregate cost / forecast remains withheld.</t>
        </is>
      </c>
    </row>
    <row r="1313" ht="34" customHeight="1">
      <c r="A1313" s="12" t="inlineStr">
        <is>
          <t>Cost &amp; Forecast Control Accounts</t>
        </is>
      </c>
      <c r="B1313" s="12" t="inlineStr">
        <is>
          <t>CST-06-059</t>
        </is>
      </c>
      <c r="C1313" s="12" t="inlineStr">
        <is>
          <t>Program Management - stakeholder services - field package</t>
        </is>
      </c>
      <c r="D1313" s="12" t="inlineStr">
        <is>
          <t>Cost Account = CA-6059; WBS Code = 1.6.1</t>
        </is>
      </c>
      <c r="E1313" s="12" t="inlineStr">
        <is>
          <t>R1541-v1</t>
        </is>
      </c>
      <c r="F1313" s="12" t="inlineStr">
        <is>
          <t>1.6.1 Program Management - Program Controls</t>
        </is>
      </c>
      <c r="G1313" s="12" t="inlineStr">
        <is>
          <t>ONE_TO_ONE</t>
        </is>
      </c>
      <c r="H1313" s="12" t="inlineStr">
        <is>
          <t>APPROVED</t>
        </is>
      </c>
      <c r="I1313" s="12" t="inlineStr">
        <is>
          <t>New</t>
        </is>
      </c>
      <c r="J1313" s="12" t="inlineStr">
        <is>
          <t>Source assignment -- not individually reviewed</t>
        </is>
      </c>
      <c r="K1313" s="12" t="inlineStr"/>
      <c r="L1313" s="12" t="inlineStr"/>
      <c r="M1313" s="12" t="inlineStr"/>
      <c r="N1313" s="17" t="inlineStr">
        <is>
          <t>10 EVIDENCE &amp; DECISIONS</t>
        </is>
      </c>
      <c r="O1313" s="105" t="n">
        <v>1762500</v>
      </c>
      <c r="P1313" s="105" t="n">
        <v>1787500</v>
      </c>
      <c r="Q1313" s="105" t="inlineStr">
        <is>
          <t>CAD</t>
        </is>
      </c>
      <c r="R1313" s="105" t="n"/>
      <c r="S1313" s="105" t="inlineStr">
        <is>
          <t>2027-06-30</t>
        </is>
      </c>
      <c r="T1313" s="105" t="inlineStr">
        <is>
          <t>C1-R0</t>
        </is>
      </c>
      <c r="U1313" s="105" t="inlineStr">
        <is>
          <t>Supplied practice file monthly_cost_forecast.xlsx, row 460</t>
        </is>
      </c>
      <c r="V1313" s="105" t="inlineStr">
        <is>
          <t>Whole source account, not a target allocation. Repeated target rows must not be summed. Aggregate cost / forecast remains withheld.</t>
        </is>
      </c>
    </row>
    <row r="1314" ht="34" customHeight="1">
      <c r="A1314" s="12" t="inlineStr">
        <is>
          <t>Cost &amp; Forecast Control Accounts</t>
        </is>
      </c>
      <c r="B1314" s="12" t="inlineStr">
        <is>
          <t>CST-06-061</t>
        </is>
      </c>
      <c r="C1314" s="12" t="inlineStr">
        <is>
          <t>Program Management - design integration - professional services</t>
        </is>
      </c>
      <c r="D1314" s="12" t="inlineStr">
        <is>
          <t>Cost Account = CA-6061; WBS Code = 1.6.1</t>
        </is>
      </c>
      <c r="E1314" s="12" t="inlineStr">
        <is>
          <t>R1543-v1</t>
        </is>
      </c>
      <c r="F1314" s="12" t="inlineStr">
        <is>
          <t>1.6.1 Program Management - Program Controls</t>
        </is>
      </c>
      <c r="G1314" s="12" t="inlineStr">
        <is>
          <t>ONE_TO_ONE</t>
        </is>
      </c>
      <c r="H1314" s="12" t="inlineStr">
        <is>
          <t>APPROVED</t>
        </is>
      </c>
      <c r="I1314" s="12" t="inlineStr">
        <is>
          <t>New</t>
        </is>
      </c>
      <c r="J1314" s="12" t="inlineStr">
        <is>
          <t>Source assignment -- not individually reviewed</t>
        </is>
      </c>
      <c r="K1314" s="12" t="inlineStr"/>
      <c r="L1314" s="12" t="inlineStr"/>
      <c r="M1314" s="12" t="inlineStr"/>
      <c r="N1314" s="17" t="inlineStr">
        <is>
          <t>10 EVIDENCE &amp; DECISIONS</t>
        </is>
      </c>
      <c r="O1314" s="105" t="n">
        <v>1797500</v>
      </c>
      <c r="P1314" s="105" t="n">
        <v>1797500</v>
      </c>
      <c r="Q1314" s="105" t="inlineStr">
        <is>
          <t>CAD</t>
        </is>
      </c>
      <c r="R1314" s="105" t="n"/>
      <c r="S1314" s="105" t="inlineStr">
        <is>
          <t>2027-06-30</t>
        </is>
      </c>
      <c r="T1314" s="105" t="inlineStr">
        <is>
          <t>C1-R0</t>
        </is>
      </c>
      <c r="U1314" s="105" t="inlineStr">
        <is>
          <t>Supplied practice file monthly_cost_forecast.xlsx, row 462</t>
        </is>
      </c>
      <c r="V1314" s="105" t="inlineStr">
        <is>
          <t>Whole source account, not a target allocation. Repeated target rows must not be summed. Aggregate cost / forecast remains withheld.</t>
        </is>
      </c>
    </row>
    <row r="1315" ht="34" customHeight="1">
      <c r="A1315" s="12" t="inlineStr">
        <is>
          <t>Cost &amp; Forecast Control Accounts</t>
        </is>
      </c>
      <c r="B1315" s="12" t="inlineStr">
        <is>
          <t>CST-06-063</t>
        </is>
      </c>
      <c r="C1315" s="12" t="inlineStr">
        <is>
          <t>Program Management - program controls - closeout</t>
        </is>
      </c>
      <c r="D1315" s="12" t="inlineStr">
        <is>
          <t>Cost Account = CA-6063; WBS Code = 1.6.1</t>
        </is>
      </c>
      <c r="E1315" s="12" t="inlineStr">
        <is>
          <t>R1545-v1</t>
        </is>
      </c>
      <c r="F1315" s="12" t="inlineStr">
        <is>
          <t>1.6.1 Program Management - Program Controls</t>
        </is>
      </c>
      <c r="G1315" s="12" t="inlineStr">
        <is>
          <t>ONE_TO_ONE</t>
        </is>
      </c>
      <c r="H1315" s="12" t="inlineStr">
        <is>
          <t>APPROVED</t>
        </is>
      </c>
      <c r="I1315" s="12" t="inlineStr">
        <is>
          <t>New</t>
        </is>
      </c>
      <c r="J1315" s="12" t="inlineStr">
        <is>
          <t>Source assignment -- not individually reviewed</t>
        </is>
      </c>
      <c r="K1315" s="12" t="inlineStr"/>
      <c r="L1315" s="12" t="inlineStr"/>
      <c r="M1315" s="12" t="inlineStr"/>
      <c r="N1315" s="17" t="inlineStr">
        <is>
          <t>10 EVIDENCE &amp; DECISIONS</t>
        </is>
      </c>
      <c r="O1315" s="105" t="n">
        <v>1832500</v>
      </c>
      <c r="P1315" s="105" t="n">
        <v>1857500</v>
      </c>
      <c r="Q1315" s="105" t="inlineStr">
        <is>
          <t>CAD</t>
        </is>
      </c>
      <c r="R1315" s="105" t="n"/>
      <c r="S1315" s="105" t="inlineStr">
        <is>
          <t>2027-06-30</t>
        </is>
      </c>
      <c r="T1315" s="105" t="inlineStr">
        <is>
          <t>C1-R0</t>
        </is>
      </c>
      <c r="U1315" s="105" t="inlineStr">
        <is>
          <t>Supplied practice file monthly_cost_forecast.xlsx, row 464</t>
        </is>
      </c>
      <c r="V1315" s="105" t="inlineStr">
        <is>
          <t>Whole source account, not a target allocation. Repeated target rows must not be summed. Aggregate cost / forecast remains withheld.</t>
        </is>
      </c>
    </row>
    <row r="1316" ht="34" customHeight="1">
      <c r="A1316" s="12" t="inlineStr">
        <is>
          <t>Cost &amp; Forecast Control Accounts</t>
        </is>
      </c>
      <c r="B1316" s="12" t="inlineStr">
        <is>
          <t>CST-06-065</t>
        </is>
      </c>
      <c r="C1316" s="12" t="inlineStr">
        <is>
          <t>Program Management - stakeholder services - supply and install</t>
        </is>
      </c>
      <c r="D1316" s="12" t="inlineStr">
        <is>
          <t>Cost Account = CA-6065; WBS Code = 1.6.1</t>
        </is>
      </c>
      <c r="E1316" s="12" t="inlineStr">
        <is>
          <t>R1547-v1</t>
        </is>
      </c>
      <c r="F1316" s="12" t="inlineStr">
        <is>
          <t>1.6.1 Program Management - Program Controls</t>
        </is>
      </c>
      <c r="G1316" s="12" t="inlineStr">
        <is>
          <t>ONE_TO_ONE</t>
        </is>
      </c>
      <c r="H1316" s="12" t="inlineStr">
        <is>
          <t>APPROVED</t>
        </is>
      </c>
      <c r="I1316" s="12" t="inlineStr">
        <is>
          <t>New</t>
        </is>
      </c>
      <c r="J1316" s="12" t="inlineStr">
        <is>
          <t>Source assignment -- not individually reviewed</t>
        </is>
      </c>
      <c r="K1316" s="12" t="inlineStr"/>
      <c r="L1316" s="12" t="inlineStr"/>
      <c r="M1316" s="12" t="inlineStr"/>
      <c r="N1316" s="17" t="inlineStr">
        <is>
          <t>10 EVIDENCE &amp; DECISIONS</t>
        </is>
      </c>
      <c r="O1316" s="105" t="n">
        <v>1867500</v>
      </c>
      <c r="P1316" s="105" t="n">
        <v>1867500</v>
      </c>
      <c r="Q1316" s="105" t="inlineStr">
        <is>
          <t>CAD</t>
        </is>
      </c>
      <c r="R1316" s="105" t="n"/>
      <c r="S1316" s="105" t="inlineStr">
        <is>
          <t>2027-06-30</t>
        </is>
      </c>
      <c r="T1316" s="105" t="inlineStr">
        <is>
          <t>C1-R0</t>
        </is>
      </c>
      <c r="U1316" s="105" t="inlineStr">
        <is>
          <t>Supplied practice file monthly_cost_forecast.xlsx, row 466</t>
        </is>
      </c>
      <c r="V1316" s="105" t="inlineStr">
        <is>
          <t>Whole source account, not a target allocation. Repeated target rows must not be summed. Aggregate cost / forecast remains withheld.</t>
        </is>
      </c>
    </row>
    <row r="1317" ht="34" customHeight="1">
      <c r="A1317" s="12" t="inlineStr">
        <is>
          <t>Cost &amp; Forecast Control Accounts</t>
        </is>
      </c>
      <c r="B1317" s="12" t="inlineStr">
        <is>
          <t>CST-06-067</t>
        </is>
      </c>
      <c r="C1317" s="12" t="inlineStr">
        <is>
          <t>Program Management - design integration - allowance</t>
        </is>
      </c>
      <c r="D1317" s="12" t="inlineStr">
        <is>
          <t>Cost Account = CA-6067; WBS Code = 1.6.1</t>
        </is>
      </c>
      <c r="E1317" s="12" t="inlineStr">
        <is>
          <t>R1549-v1</t>
        </is>
      </c>
      <c r="F1317" s="12" t="inlineStr">
        <is>
          <t>1.6.1 Program Management - Program Controls</t>
        </is>
      </c>
      <c r="G1317" s="12" t="inlineStr">
        <is>
          <t>ONE_TO_ONE</t>
        </is>
      </c>
      <c r="H1317" s="12" t="inlineStr">
        <is>
          <t>APPROVED</t>
        </is>
      </c>
      <c r="I1317" s="12" t="inlineStr">
        <is>
          <t>New</t>
        </is>
      </c>
      <c r="J1317" s="12" t="inlineStr">
        <is>
          <t>Source assignment -- not individually reviewed</t>
        </is>
      </c>
      <c r="K1317" s="12" t="inlineStr"/>
      <c r="L1317" s="12" t="inlineStr"/>
      <c r="M1317" s="12" t="inlineStr"/>
      <c r="N1317" s="17" t="inlineStr">
        <is>
          <t>10 EVIDENCE &amp; DECISIONS</t>
        </is>
      </c>
      <c r="O1317" s="105" t="n">
        <v>1902500</v>
      </c>
      <c r="P1317" s="105" t="n">
        <v>1927500</v>
      </c>
      <c r="Q1317" s="105" t="inlineStr">
        <is>
          <t>CAD</t>
        </is>
      </c>
      <c r="R1317" s="105" t="n"/>
      <c r="S1317" s="105" t="inlineStr">
        <is>
          <t>2027-06-30</t>
        </is>
      </c>
      <c r="T1317" s="105" t="inlineStr">
        <is>
          <t>C1-R0</t>
        </is>
      </c>
      <c r="U1317" s="105" t="inlineStr">
        <is>
          <t>Supplied practice file monthly_cost_forecast.xlsx, row 468</t>
        </is>
      </c>
      <c r="V1317" s="105" t="inlineStr">
        <is>
          <t>Whole source account, not a target allocation. Repeated target rows must not be summed. Aggregate cost / forecast remains withheld.</t>
        </is>
      </c>
    </row>
    <row r="1318" ht="34" customHeight="1">
      <c r="A1318" s="12" t="inlineStr">
        <is>
          <t>Cost &amp; Forecast Control Accounts</t>
        </is>
      </c>
      <c r="B1318" s="12" t="inlineStr">
        <is>
          <t>CST-06-069</t>
        </is>
      </c>
      <c r="C1318" s="12" t="inlineStr">
        <is>
          <t>Program Management - program controls - field package</t>
        </is>
      </c>
      <c r="D1318" s="12" t="inlineStr">
        <is>
          <t>Cost Account = CA-6069; WBS Code = 1.6.1</t>
        </is>
      </c>
      <c r="E1318" s="12" t="inlineStr">
        <is>
          <t>R1551-v1</t>
        </is>
      </c>
      <c r="F1318" s="12" t="inlineStr">
        <is>
          <t>1.6.1 Program Management - Program Controls</t>
        </is>
      </c>
      <c r="G1318" s="12" t="inlineStr">
        <is>
          <t>ONE_TO_ONE</t>
        </is>
      </c>
      <c r="H1318" s="12" t="inlineStr">
        <is>
          <t>APPROVED</t>
        </is>
      </c>
      <c r="I1318" s="12" t="inlineStr">
        <is>
          <t>New</t>
        </is>
      </c>
      <c r="J1318" s="12" t="inlineStr">
        <is>
          <t>Source assignment -- not individually reviewed</t>
        </is>
      </c>
      <c r="K1318" s="12" t="inlineStr"/>
      <c r="L1318" s="12" t="inlineStr"/>
      <c r="M1318" s="12" t="inlineStr"/>
      <c r="N1318" s="17" t="inlineStr">
        <is>
          <t>10 EVIDENCE &amp; DECISIONS</t>
        </is>
      </c>
      <c r="O1318" s="105" t="n">
        <v>1937500</v>
      </c>
      <c r="P1318" s="105" t="n">
        <v>1937500</v>
      </c>
      <c r="Q1318" s="105" t="inlineStr">
        <is>
          <t>CAD</t>
        </is>
      </c>
      <c r="R1318" s="105" t="n"/>
      <c r="S1318" s="105" t="inlineStr">
        <is>
          <t>2027-06-30</t>
        </is>
      </c>
      <c r="T1318" s="105" t="inlineStr">
        <is>
          <t>C1-R0</t>
        </is>
      </c>
      <c r="U1318" s="105" t="inlineStr">
        <is>
          <t>Supplied practice file monthly_cost_forecast.xlsx, row 470</t>
        </is>
      </c>
      <c r="V1318" s="105" t="inlineStr">
        <is>
          <t>Whole source account, not a target allocation. Repeated target rows must not be summed. Aggregate cost / forecast remains withheld.</t>
        </is>
      </c>
    </row>
    <row r="1319" ht="34" customHeight="1">
      <c r="A1319" s="12" t="inlineStr">
        <is>
          <t>Cost &amp; Forecast Control Accounts</t>
        </is>
      </c>
      <c r="B1319" s="12" t="inlineStr">
        <is>
          <t>CST-06-071</t>
        </is>
      </c>
      <c r="C1319" s="12" t="inlineStr">
        <is>
          <t>Program Management - stakeholder services - professional services</t>
        </is>
      </c>
      <c r="D1319" s="12" t="inlineStr">
        <is>
          <t>Cost Account = CA-6071; WBS Code = 1.6.1</t>
        </is>
      </c>
      <c r="E1319" s="12" t="inlineStr">
        <is>
          <t>R1553-v1</t>
        </is>
      </c>
      <c r="F1319" s="12" t="inlineStr">
        <is>
          <t>1.6.1 Program Management - Program Controls</t>
        </is>
      </c>
      <c r="G1319" s="12" t="inlineStr">
        <is>
          <t>ONE_TO_ONE</t>
        </is>
      </c>
      <c r="H1319" s="12" t="inlineStr">
        <is>
          <t>APPROVED</t>
        </is>
      </c>
      <c r="I1319" s="12" t="inlineStr">
        <is>
          <t>New</t>
        </is>
      </c>
      <c r="J1319" s="12" t="inlineStr">
        <is>
          <t>Source assignment -- not individually reviewed</t>
        </is>
      </c>
      <c r="K1319" s="12" t="inlineStr"/>
      <c r="L1319" s="12" t="inlineStr"/>
      <c r="M1319" s="12" t="inlineStr"/>
      <c r="N1319" s="17" t="inlineStr">
        <is>
          <t>10 EVIDENCE &amp; DECISIONS</t>
        </is>
      </c>
      <c r="O1319" s="105" t="n">
        <v>1972500</v>
      </c>
      <c r="P1319" s="105" t="n">
        <v>1997500</v>
      </c>
      <c r="Q1319" s="105" t="inlineStr">
        <is>
          <t>CAD</t>
        </is>
      </c>
      <c r="R1319" s="105" t="n"/>
      <c r="S1319" s="105" t="inlineStr">
        <is>
          <t>2027-06-30</t>
        </is>
      </c>
      <c r="T1319" s="105" t="inlineStr">
        <is>
          <t>C1-R0</t>
        </is>
      </c>
      <c r="U1319" s="105" t="inlineStr">
        <is>
          <t>Supplied practice file monthly_cost_forecast.xlsx, row 472</t>
        </is>
      </c>
      <c r="V1319" s="105" t="inlineStr">
        <is>
          <t>Whole source account, not a target allocation. Repeated target rows must not be summed. Aggregate cost / forecast remains withheld.</t>
        </is>
      </c>
    </row>
    <row r="1320" ht="34" customHeight="1">
      <c r="A1320" s="12" t="inlineStr">
        <is>
          <t>Cost &amp; Forecast Control Accounts</t>
        </is>
      </c>
      <c r="B1320" s="12" t="inlineStr">
        <is>
          <t>CST-06-073</t>
        </is>
      </c>
      <c r="C1320" s="12" t="inlineStr">
        <is>
          <t>Program Management - design integration - closeout</t>
        </is>
      </c>
      <c r="D1320" s="12" t="inlineStr">
        <is>
          <t>Cost Account = CA-6073; WBS Code = 1.6.1</t>
        </is>
      </c>
      <c r="E1320" s="12" t="inlineStr">
        <is>
          <t>R1555-v1</t>
        </is>
      </c>
      <c r="F1320" s="12" t="inlineStr">
        <is>
          <t>1.6.1 Program Management - Program Controls</t>
        </is>
      </c>
      <c r="G1320" s="12" t="inlineStr">
        <is>
          <t>ONE_TO_ONE</t>
        </is>
      </c>
      <c r="H1320" s="12" t="inlineStr">
        <is>
          <t>APPROVED</t>
        </is>
      </c>
      <c r="I1320" s="12" t="inlineStr">
        <is>
          <t>New</t>
        </is>
      </c>
      <c r="J1320" s="12" t="inlineStr">
        <is>
          <t>Source assignment -- not individually reviewed</t>
        </is>
      </c>
      <c r="K1320" s="12" t="inlineStr"/>
      <c r="L1320" s="12" t="inlineStr"/>
      <c r="M1320" s="12" t="inlineStr"/>
      <c r="N1320" s="17" t="inlineStr">
        <is>
          <t>10 EVIDENCE &amp; DECISIONS</t>
        </is>
      </c>
      <c r="O1320" s="105" t="n">
        <v>2007500</v>
      </c>
      <c r="P1320" s="105" t="n">
        <v>2007500</v>
      </c>
      <c r="Q1320" s="105" t="inlineStr">
        <is>
          <t>CAD</t>
        </is>
      </c>
      <c r="R1320" s="105" t="n"/>
      <c r="S1320" s="105" t="inlineStr">
        <is>
          <t>2027-06-30</t>
        </is>
      </c>
      <c r="T1320" s="105" t="inlineStr">
        <is>
          <t>C1-R0</t>
        </is>
      </c>
      <c r="U1320" s="105" t="inlineStr">
        <is>
          <t>Supplied practice file monthly_cost_forecast.xlsx, row 474</t>
        </is>
      </c>
      <c r="V1320" s="105" t="inlineStr">
        <is>
          <t>Whole source account, not a target allocation. Repeated target rows must not be summed. Aggregate cost / forecast remains withheld.</t>
        </is>
      </c>
    </row>
    <row r="1321" ht="34" customHeight="1">
      <c r="A1321" s="12" t="inlineStr">
        <is>
          <t>Cost &amp; Forecast Control Accounts</t>
        </is>
      </c>
      <c r="B1321" s="12" t="inlineStr">
        <is>
          <t>CST-06-075</t>
        </is>
      </c>
      <c r="C1321" s="12" t="inlineStr">
        <is>
          <t>Program Management - program controls - supply and install</t>
        </is>
      </c>
      <c r="D1321" s="12" t="inlineStr">
        <is>
          <t>Cost Account = CA-6075; WBS Code = 1.6.1</t>
        </is>
      </c>
      <c r="E1321" s="12" t="inlineStr">
        <is>
          <t>R1557-v1</t>
        </is>
      </c>
      <c r="F1321" s="12" t="inlineStr">
        <is>
          <t>1.6.1 Program Management - Program Controls</t>
        </is>
      </c>
      <c r="G1321" s="12" t="inlineStr">
        <is>
          <t>ONE_TO_ONE</t>
        </is>
      </c>
      <c r="H1321" s="12" t="inlineStr">
        <is>
          <t>APPROVED</t>
        </is>
      </c>
      <c r="I1321" s="12" t="inlineStr">
        <is>
          <t>New</t>
        </is>
      </c>
      <c r="J1321" s="12" t="inlineStr">
        <is>
          <t>Source assignment -- not individually reviewed</t>
        </is>
      </c>
      <c r="K1321" s="12" t="inlineStr"/>
      <c r="L1321" s="12" t="inlineStr"/>
      <c r="M1321" s="12" t="inlineStr"/>
      <c r="N1321" s="17" t="inlineStr">
        <is>
          <t>10 EVIDENCE &amp; DECISIONS</t>
        </is>
      </c>
      <c r="O1321" s="105" t="n">
        <v>2042500</v>
      </c>
      <c r="P1321" s="105" t="n">
        <v>2067500</v>
      </c>
      <c r="Q1321" s="105" t="inlineStr">
        <is>
          <t>CAD</t>
        </is>
      </c>
      <c r="R1321" s="105" t="n"/>
      <c r="S1321" s="105" t="inlineStr">
        <is>
          <t>2027-06-30</t>
        </is>
      </c>
      <c r="T1321" s="105" t="inlineStr">
        <is>
          <t>C1-R0</t>
        </is>
      </c>
      <c r="U1321" s="105" t="inlineStr">
        <is>
          <t>Supplied practice file monthly_cost_forecast.xlsx, row 476</t>
        </is>
      </c>
      <c r="V1321" s="105" t="inlineStr">
        <is>
          <t>Whole source account, not a target allocation. Repeated target rows must not be summed. Aggregate cost / forecast remains withheld.</t>
        </is>
      </c>
    </row>
    <row r="1322" ht="34" customHeight="1">
      <c r="A1322" s="12" t="inlineStr">
        <is>
          <t>Cost &amp; Forecast Control Accounts</t>
        </is>
      </c>
      <c r="B1322" s="12" t="inlineStr">
        <is>
          <t>CST-06-077</t>
        </is>
      </c>
      <c r="C1322" s="12" t="inlineStr">
        <is>
          <t>Program Management - stakeholder services - allowance</t>
        </is>
      </c>
      <c r="D1322" s="12" t="inlineStr">
        <is>
          <t>Cost Account = CA-6077; WBS Code = 1.6.1</t>
        </is>
      </c>
      <c r="E1322" s="12" t="inlineStr">
        <is>
          <t>R1559-v1</t>
        </is>
      </c>
      <c r="F1322" s="12" t="inlineStr">
        <is>
          <t>1.6.1 Program Management - Program Controls</t>
        </is>
      </c>
      <c r="G1322" s="12" t="inlineStr">
        <is>
          <t>ONE_TO_ONE</t>
        </is>
      </c>
      <c r="H1322" s="12" t="inlineStr">
        <is>
          <t>APPROVED</t>
        </is>
      </c>
      <c r="I1322" s="12" t="inlineStr">
        <is>
          <t>New</t>
        </is>
      </c>
      <c r="J1322" s="12" t="inlineStr">
        <is>
          <t>Source assignment -- not individually reviewed</t>
        </is>
      </c>
      <c r="K1322" s="12" t="inlineStr"/>
      <c r="L1322" s="12" t="inlineStr"/>
      <c r="M1322" s="12" t="inlineStr"/>
      <c r="N1322" s="17" t="inlineStr">
        <is>
          <t>10 EVIDENCE &amp; DECISIONS</t>
        </is>
      </c>
      <c r="O1322" s="105" t="n">
        <v>2077500</v>
      </c>
      <c r="P1322" s="105" t="n">
        <v>2077500</v>
      </c>
      <c r="Q1322" s="105" t="inlineStr">
        <is>
          <t>CAD</t>
        </is>
      </c>
      <c r="R1322" s="105" t="n"/>
      <c r="S1322" s="105" t="inlineStr">
        <is>
          <t>2027-06-30</t>
        </is>
      </c>
      <c r="T1322" s="105" t="inlineStr">
        <is>
          <t>C1-R0</t>
        </is>
      </c>
      <c r="U1322" s="105" t="inlineStr">
        <is>
          <t>Supplied practice file monthly_cost_forecast.xlsx, row 478</t>
        </is>
      </c>
      <c r="V1322" s="105" t="inlineStr">
        <is>
          <t>Whole source account, not a target allocation. Repeated target rows must not be summed. Aggregate cost / forecast remains withheld.</t>
        </is>
      </c>
    </row>
    <row r="1323" ht="34" customHeight="1">
      <c r="A1323" s="12" t="inlineStr">
        <is>
          <t>Cost &amp; Forecast Control Accounts</t>
        </is>
      </c>
      <c r="B1323" s="12" t="inlineStr">
        <is>
          <t>CST-06-079</t>
        </is>
      </c>
      <c r="C1323" s="12" t="inlineStr">
        <is>
          <t>Program Management - design integration - field package</t>
        </is>
      </c>
      <c r="D1323" s="12" t="inlineStr">
        <is>
          <t>Cost Account = CA-6079; WBS Code = 1.6.1</t>
        </is>
      </c>
      <c r="E1323" s="12" t="inlineStr">
        <is>
          <t>R1561-v1</t>
        </is>
      </c>
      <c r="F1323" s="12" t="inlineStr">
        <is>
          <t>1.6.1 Program Management - Program Controls</t>
        </is>
      </c>
      <c r="G1323" s="12" t="inlineStr">
        <is>
          <t>ONE_TO_ONE</t>
        </is>
      </c>
      <c r="H1323" s="12" t="inlineStr">
        <is>
          <t>APPROVED</t>
        </is>
      </c>
      <c r="I1323" s="12" t="inlineStr">
        <is>
          <t>New</t>
        </is>
      </c>
      <c r="J1323" s="12" t="inlineStr">
        <is>
          <t>Source assignment -- not individually reviewed</t>
        </is>
      </c>
      <c r="K1323" s="12" t="inlineStr"/>
      <c r="L1323" s="12" t="inlineStr"/>
      <c r="M1323" s="12" t="inlineStr"/>
      <c r="N1323" s="17" t="inlineStr">
        <is>
          <t>10 EVIDENCE &amp; DECISIONS</t>
        </is>
      </c>
      <c r="O1323" s="105" t="n">
        <v>2112500</v>
      </c>
      <c r="P1323" s="105" t="n">
        <v>2137500</v>
      </c>
      <c r="Q1323" s="105" t="inlineStr">
        <is>
          <t>CAD</t>
        </is>
      </c>
      <c r="R1323" s="105" t="n"/>
      <c r="S1323" s="105" t="inlineStr">
        <is>
          <t>2027-06-30</t>
        </is>
      </c>
      <c r="T1323" s="105" t="inlineStr">
        <is>
          <t>C1-R0</t>
        </is>
      </c>
      <c r="U1323" s="105" t="inlineStr">
        <is>
          <t>Supplied practice file monthly_cost_forecast.xlsx, row 480</t>
        </is>
      </c>
      <c r="V1323" s="105" t="inlineStr">
        <is>
          <t>Whole source account, not a target allocation. Repeated target rows must not be summed. Aggregate cost / forecast remains withheld.</t>
        </is>
      </c>
    </row>
    <row r="1324" ht="34" customHeight="1">
      <c r="A1324" s="12" t="inlineStr">
        <is>
          <t>Cost &amp; Forecast Control Accounts</t>
        </is>
      </c>
      <c r="B1324" s="12" t="inlineStr">
        <is>
          <t>CST-06-002</t>
        </is>
      </c>
      <c r="C1324" s="12" t="inlineStr">
        <is>
          <t>Program Management - stakeholder services - allowance</t>
        </is>
      </c>
      <c r="D1324" s="12" t="inlineStr">
        <is>
          <t>Cost Account = CA-6002; WBS Code = 1.6.2</t>
        </is>
      </c>
      <c r="E1324" s="12" t="inlineStr">
        <is>
          <t>R1484-v1</t>
        </is>
      </c>
      <c r="F1324" s="12" t="inlineStr">
        <is>
          <t>1.6.2 Program Management - Commercial &amp; Procurement</t>
        </is>
      </c>
      <c r="G1324" s="12" t="inlineStr">
        <is>
          <t>ONE_TO_ONE</t>
        </is>
      </c>
      <c r="H1324" s="12" t="inlineStr">
        <is>
          <t>APPROVED</t>
        </is>
      </c>
      <c r="I1324" s="12" t="inlineStr">
        <is>
          <t>New</t>
        </is>
      </c>
      <c r="J1324" s="12" t="inlineStr">
        <is>
          <t>Source assignment -- not individually reviewed</t>
        </is>
      </c>
      <c r="K1324" s="12" t="inlineStr"/>
      <c r="L1324" s="12" t="inlineStr"/>
      <c r="M1324" s="12" t="inlineStr"/>
      <c r="N1324" s="17" t="inlineStr">
        <is>
          <t>10 EVIDENCE &amp; DECISIONS</t>
        </is>
      </c>
      <c r="O1324" s="105" t="n">
        <v>765000</v>
      </c>
      <c r="P1324" s="105" t="n">
        <v>777500</v>
      </c>
      <c r="Q1324" s="105" t="inlineStr">
        <is>
          <t>CAD</t>
        </is>
      </c>
      <c r="R1324" s="105" t="n"/>
      <c r="S1324" s="105" t="inlineStr">
        <is>
          <t>2027-06-30</t>
        </is>
      </c>
      <c r="T1324" s="105" t="inlineStr">
        <is>
          <t>C1-R0</t>
        </is>
      </c>
      <c r="U1324" s="105" t="inlineStr">
        <is>
          <t>Supplied practice file monthly_cost_forecast.xlsx, row 403</t>
        </is>
      </c>
      <c r="V1324" s="105" t="inlineStr">
        <is>
          <t>Whole source account, not a target allocation. Repeated target rows must not be summed. Aggregate cost / forecast remains withheld.</t>
        </is>
      </c>
    </row>
    <row r="1325" ht="34" customHeight="1">
      <c r="A1325" s="12" t="inlineStr">
        <is>
          <t>Cost &amp; Forecast Control Accounts</t>
        </is>
      </c>
      <c r="B1325" s="12" t="inlineStr">
        <is>
          <t>CST-06-004</t>
        </is>
      </c>
      <c r="C1325" s="12" t="inlineStr">
        <is>
          <t>Program Management - design integration - field package</t>
        </is>
      </c>
      <c r="D1325" s="12" t="inlineStr">
        <is>
          <t>Cost Account = CA-6004; WBS Code = 1.6.2</t>
        </is>
      </c>
      <c r="E1325" s="12" t="inlineStr">
        <is>
          <t>R1486-v1</t>
        </is>
      </c>
      <c r="F1325" s="12" t="inlineStr">
        <is>
          <t>1.6.2 Program Management - Commercial &amp; Procurement</t>
        </is>
      </c>
      <c r="G1325" s="12" t="inlineStr">
        <is>
          <t>ONE_TO_ONE</t>
        </is>
      </c>
      <c r="H1325" s="12" t="inlineStr">
        <is>
          <t>APPROVED</t>
        </is>
      </c>
      <c r="I1325" s="12" t="inlineStr">
        <is>
          <t>New</t>
        </is>
      </c>
      <c r="J1325" s="12" t="inlineStr">
        <is>
          <t>Source assignment -- not individually reviewed</t>
        </is>
      </c>
      <c r="K1325" s="12" t="inlineStr"/>
      <c r="L1325" s="12" t="inlineStr"/>
      <c r="M1325" s="12" t="inlineStr"/>
      <c r="N1325" s="17" t="inlineStr">
        <is>
          <t>10 EVIDENCE &amp; DECISIONS</t>
        </is>
      </c>
      <c r="O1325" s="105" t="n">
        <v>800000</v>
      </c>
      <c r="P1325" s="105" t="n">
        <v>787500</v>
      </c>
      <c r="Q1325" s="105" t="inlineStr">
        <is>
          <t>CAD</t>
        </is>
      </c>
      <c r="R1325" s="105" t="n"/>
      <c r="S1325" s="105" t="inlineStr">
        <is>
          <t>2027-06-30</t>
        </is>
      </c>
      <c r="T1325" s="105" t="inlineStr">
        <is>
          <t>C1-R0</t>
        </is>
      </c>
      <c r="U1325" s="105" t="inlineStr">
        <is>
          <t>Supplied practice file monthly_cost_forecast.xlsx, row 405</t>
        </is>
      </c>
      <c r="V1325" s="105" t="inlineStr">
        <is>
          <t>Whole source account, not a target allocation. Repeated target rows must not be summed. Aggregate cost / forecast remains withheld.</t>
        </is>
      </c>
    </row>
    <row r="1326" ht="34" customHeight="1">
      <c r="A1326" s="12" t="inlineStr">
        <is>
          <t>Cost &amp; Forecast Control Accounts</t>
        </is>
      </c>
      <c r="B1326" s="12" t="inlineStr">
        <is>
          <t>CST-06-006</t>
        </is>
      </c>
      <c r="C1326" s="12" t="inlineStr">
        <is>
          <t>Program Management - program controls - professional services</t>
        </is>
      </c>
      <c r="D1326" s="12" t="inlineStr">
        <is>
          <t>Cost Account = CA-6006; WBS Code = 1.6.2</t>
        </is>
      </c>
      <c r="E1326" s="12" t="inlineStr">
        <is>
          <t>R1488-v1</t>
        </is>
      </c>
      <c r="F1326" s="12" t="inlineStr">
        <is>
          <t>1.6.2 Program Management - Commercial &amp; Procurement</t>
        </is>
      </c>
      <c r="G1326" s="12" t="inlineStr">
        <is>
          <t>ONE_TO_ONE</t>
        </is>
      </c>
      <c r="H1326" s="12" t="inlineStr">
        <is>
          <t>APPROVED</t>
        </is>
      </c>
      <c r="I1326" s="12" t="inlineStr">
        <is>
          <t>New</t>
        </is>
      </c>
      <c r="J1326" s="12" t="inlineStr">
        <is>
          <t>Source assignment -- not individually reviewed</t>
        </is>
      </c>
      <c r="K1326" s="12" t="inlineStr"/>
      <c r="L1326" s="12" t="inlineStr"/>
      <c r="M1326" s="12" t="inlineStr"/>
      <c r="N1326" s="17" t="inlineStr">
        <is>
          <t>10 EVIDENCE &amp; DECISIONS</t>
        </is>
      </c>
      <c r="O1326" s="105" t="n">
        <v>835000</v>
      </c>
      <c r="P1326" s="105" t="n">
        <v>847500</v>
      </c>
      <c r="Q1326" s="105" t="inlineStr">
        <is>
          <t>CAD</t>
        </is>
      </c>
      <c r="R1326" s="105" t="n"/>
      <c r="S1326" s="105" t="inlineStr">
        <is>
          <t>2027-06-30</t>
        </is>
      </c>
      <c r="T1326" s="105" t="inlineStr">
        <is>
          <t>C1-R0</t>
        </is>
      </c>
      <c r="U1326" s="105" t="inlineStr">
        <is>
          <t>Supplied practice file monthly_cost_forecast.xlsx, row 407</t>
        </is>
      </c>
      <c r="V1326" s="105" t="inlineStr">
        <is>
          <t>Whole source account, not a target allocation. Repeated target rows must not be summed. Aggregate cost / forecast remains withheld.</t>
        </is>
      </c>
    </row>
    <row r="1327" ht="34" customHeight="1">
      <c r="A1327" s="12" t="inlineStr">
        <is>
          <t>Cost &amp; Forecast Control Accounts</t>
        </is>
      </c>
      <c r="B1327" s="12" t="inlineStr">
        <is>
          <t>CST-06-008</t>
        </is>
      </c>
      <c r="C1327" s="12" t="inlineStr">
        <is>
          <t>Program Management - stakeholder services - closeout</t>
        </is>
      </c>
      <c r="D1327" s="12" t="inlineStr">
        <is>
          <t>Cost Account = CA-6008; WBS Code = 1.6.2</t>
        </is>
      </c>
      <c r="E1327" s="12" t="inlineStr">
        <is>
          <t>R1490-v1</t>
        </is>
      </c>
      <c r="F1327" s="12" t="inlineStr">
        <is>
          <t>1.6.2 Program Management - Commercial &amp; Procurement</t>
        </is>
      </c>
      <c r="G1327" s="12" t="inlineStr">
        <is>
          <t>ONE_TO_ONE</t>
        </is>
      </c>
      <c r="H1327" s="12" t="inlineStr">
        <is>
          <t>APPROVED</t>
        </is>
      </c>
      <c r="I1327" s="12" t="inlineStr">
        <is>
          <t>New</t>
        </is>
      </c>
      <c r="J1327" s="12" t="inlineStr">
        <is>
          <t>Source assignment -- not individually reviewed</t>
        </is>
      </c>
      <c r="K1327" s="12" t="inlineStr"/>
      <c r="L1327" s="12" t="inlineStr"/>
      <c r="M1327" s="12" t="inlineStr"/>
      <c r="N1327" s="17" t="inlineStr">
        <is>
          <t>10 EVIDENCE &amp; DECISIONS</t>
        </is>
      </c>
      <c r="O1327" s="105" t="n">
        <v>870000</v>
      </c>
      <c r="P1327" s="105" t="n">
        <v>857500</v>
      </c>
      <c r="Q1327" s="105" t="inlineStr">
        <is>
          <t>CAD</t>
        </is>
      </c>
      <c r="R1327" s="105" t="n"/>
      <c r="S1327" s="105" t="inlineStr">
        <is>
          <t>2027-06-30</t>
        </is>
      </c>
      <c r="T1327" s="105" t="inlineStr">
        <is>
          <t>C1-R0</t>
        </is>
      </c>
      <c r="U1327" s="105" t="inlineStr">
        <is>
          <t>Supplied practice file monthly_cost_forecast.xlsx, row 409</t>
        </is>
      </c>
      <c r="V1327" s="105" t="inlineStr">
        <is>
          <t>Whole source account, not a target allocation. Repeated target rows must not be summed. Aggregate cost / forecast remains withheld.</t>
        </is>
      </c>
    </row>
    <row r="1328" ht="34" customHeight="1">
      <c r="A1328" s="12" t="inlineStr">
        <is>
          <t>Cost &amp; Forecast Control Accounts</t>
        </is>
      </c>
      <c r="B1328" s="12" t="inlineStr">
        <is>
          <t>CST-06-010</t>
        </is>
      </c>
      <c r="C1328" s="12" t="inlineStr">
        <is>
          <t>Program Management - design integration - supply and install</t>
        </is>
      </c>
      <c r="D1328" s="12" t="inlineStr">
        <is>
          <t>Cost Account = CA-6010; WBS Code = 1.6.2</t>
        </is>
      </c>
      <c r="E1328" s="12" t="inlineStr">
        <is>
          <t>R1492-v1</t>
        </is>
      </c>
      <c r="F1328" s="12" t="inlineStr">
        <is>
          <t>1.6.2 Program Management - Commercial &amp; Procurement</t>
        </is>
      </c>
      <c r="G1328" s="12" t="inlineStr">
        <is>
          <t>ONE_TO_ONE</t>
        </is>
      </c>
      <c r="H1328" s="12" t="inlineStr">
        <is>
          <t>APPROVED</t>
        </is>
      </c>
      <c r="I1328" s="12" t="inlineStr">
        <is>
          <t>New</t>
        </is>
      </c>
      <c r="J1328" s="12" t="inlineStr">
        <is>
          <t>Source assignment -- not individually reviewed</t>
        </is>
      </c>
      <c r="K1328" s="12" t="inlineStr"/>
      <c r="L1328" s="12" t="inlineStr"/>
      <c r="M1328" s="12" t="inlineStr"/>
      <c r="N1328" s="17" t="inlineStr">
        <is>
          <t>10 EVIDENCE &amp; DECISIONS</t>
        </is>
      </c>
      <c r="O1328" s="105" t="n">
        <v>905000</v>
      </c>
      <c r="P1328" s="105" t="n">
        <v>917500</v>
      </c>
      <c r="Q1328" s="105" t="inlineStr">
        <is>
          <t>CAD</t>
        </is>
      </c>
      <c r="R1328" s="105" t="n"/>
      <c r="S1328" s="105" t="inlineStr">
        <is>
          <t>2027-06-30</t>
        </is>
      </c>
      <c r="T1328" s="105" t="inlineStr">
        <is>
          <t>C1-R0</t>
        </is>
      </c>
      <c r="U1328" s="105" t="inlineStr">
        <is>
          <t>Supplied practice file monthly_cost_forecast.xlsx, row 411</t>
        </is>
      </c>
      <c r="V1328" s="105" t="inlineStr">
        <is>
          <t>Whole source account, not a target allocation. Repeated target rows must not be summed. Aggregate cost / forecast remains withheld.</t>
        </is>
      </c>
    </row>
    <row r="1329" ht="34" customHeight="1">
      <c r="A1329" s="12" t="inlineStr">
        <is>
          <t>Cost &amp; Forecast Control Accounts</t>
        </is>
      </c>
      <c r="B1329" s="12" t="inlineStr">
        <is>
          <t>CST-06-012</t>
        </is>
      </c>
      <c r="C1329" s="12" t="inlineStr">
        <is>
          <t>Program Management - program controls - allowance</t>
        </is>
      </c>
      <c r="D1329" s="12" t="inlineStr">
        <is>
          <t>Cost Account = CA-6012; WBS Code = 1.6.2</t>
        </is>
      </c>
      <c r="E1329" s="12" t="inlineStr">
        <is>
          <t>R1494-v1</t>
        </is>
      </c>
      <c r="F1329" s="12" t="inlineStr">
        <is>
          <t>1.6.2 Program Management - Commercial &amp; Procurement</t>
        </is>
      </c>
      <c r="G1329" s="12" t="inlineStr">
        <is>
          <t>ONE_TO_ONE</t>
        </is>
      </c>
      <c r="H1329" s="12" t="inlineStr">
        <is>
          <t>APPROVED</t>
        </is>
      </c>
      <c r="I1329" s="12" t="inlineStr">
        <is>
          <t>New</t>
        </is>
      </c>
      <c r="J1329" s="12" t="inlineStr">
        <is>
          <t>Source assignment -- not individually reviewed</t>
        </is>
      </c>
      <c r="K1329" s="12" t="inlineStr"/>
      <c r="L1329" s="12" t="inlineStr"/>
      <c r="M1329" s="12" t="inlineStr"/>
      <c r="N1329" s="17" t="inlineStr">
        <is>
          <t>10 EVIDENCE &amp; DECISIONS</t>
        </is>
      </c>
      <c r="O1329" s="105" t="n">
        <v>940000</v>
      </c>
      <c r="P1329" s="105" t="n">
        <v>927500</v>
      </c>
      <c r="Q1329" s="105" t="inlineStr">
        <is>
          <t>CAD</t>
        </is>
      </c>
      <c r="R1329" s="105" t="n"/>
      <c r="S1329" s="105" t="inlineStr">
        <is>
          <t>2027-06-30</t>
        </is>
      </c>
      <c r="T1329" s="105" t="inlineStr">
        <is>
          <t>C1-R0</t>
        </is>
      </c>
      <c r="U1329" s="105" t="inlineStr">
        <is>
          <t>Supplied practice file monthly_cost_forecast.xlsx, row 413</t>
        </is>
      </c>
      <c r="V1329" s="105" t="inlineStr">
        <is>
          <t>Whole source account, not a target allocation. Repeated target rows must not be summed. Aggregate cost / forecast remains withheld.</t>
        </is>
      </c>
    </row>
    <row r="1330" ht="34" customHeight="1">
      <c r="A1330" s="12" t="inlineStr">
        <is>
          <t>Cost &amp; Forecast Control Accounts</t>
        </is>
      </c>
      <c r="B1330" s="12" t="inlineStr">
        <is>
          <t>CST-06-014</t>
        </is>
      </c>
      <c r="C1330" s="12" t="inlineStr">
        <is>
          <t>Program Management - stakeholder services - field package</t>
        </is>
      </c>
      <c r="D1330" s="12" t="inlineStr">
        <is>
          <t>Cost Account = CA-6014; WBS Code = 1.6.2</t>
        </is>
      </c>
      <c r="E1330" s="12" t="inlineStr">
        <is>
          <t>R1496-v1</t>
        </is>
      </c>
      <c r="F1330" s="12" t="inlineStr">
        <is>
          <t>1.6.2 Program Management - Commercial &amp; Procurement</t>
        </is>
      </c>
      <c r="G1330" s="12" t="inlineStr">
        <is>
          <t>ONE_TO_ONE</t>
        </is>
      </c>
      <c r="H1330" s="12" t="inlineStr">
        <is>
          <t>APPROVED</t>
        </is>
      </c>
      <c r="I1330" s="12" t="inlineStr">
        <is>
          <t>New</t>
        </is>
      </c>
      <c r="J1330" s="12" t="inlineStr">
        <is>
          <t>Source assignment -- not individually reviewed</t>
        </is>
      </c>
      <c r="K1330" s="12" t="inlineStr"/>
      <c r="L1330" s="12" t="inlineStr"/>
      <c r="M1330" s="12" t="inlineStr"/>
      <c r="N1330" s="17" t="inlineStr">
        <is>
          <t>10 EVIDENCE &amp; DECISIONS</t>
        </is>
      </c>
      <c r="O1330" s="105" t="n">
        <v>975000</v>
      </c>
      <c r="P1330" s="105" t="n">
        <v>987500</v>
      </c>
      <c r="Q1330" s="105" t="inlineStr">
        <is>
          <t>CAD</t>
        </is>
      </c>
      <c r="R1330" s="105" t="n"/>
      <c r="S1330" s="105" t="inlineStr">
        <is>
          <t>2027-06-30</t>
        </is>
      </c>
      <c r="T1330" s="105" t="inlineStr">
        <is>
          <t>C1-R0</t>
        </is>
      </c>
      <c r="U1330" s="105" t="inlineStr">
        <is>
          <t>Supplied practice file monthly_cost_forecast.xlsx, row 415</t>
        </is>
      </c>
      <c r="V1330" s="105" t="inlineStr">
        <is>
          <t>Whole source account, not a target allocation. Repeated target rows must not be summed. Aggregate cost / forecast remains withheld.</t>
        </is>
      </c>
    </row>
    <row r="1331" ht="34" customHeight="1">
      <c r="A1331" s="12" t="inlineStr">
        <is>
          <t>Cost &amp; Forecast Control Accounts</t>
        </is>
      </c>
      <c r="B1331" s="12" t="inlineStr">
        <is>
          <t>CST-06-016</t>
        </is>
      </c>
      <c r="C1331" s="12" t="inlineStr">
        <is>
          <t>Program Management - design integration - professional services</t>
        </is>
      </c>
      <c r="D1331" s="12" t="inlineStr">
        <is>
          <t>Cost Account = CA-6016; WBS Code = 1.6.2</t>
        </is>
      </c>
      <c r="E1331" s="12" t="inlineStr">
        <is>
          <t>R1498-v1</t>
        </is>
      </c>
      <c r="F1331" s="12" t="inlineStr">
        <is>
          <t>1.6.2 Program Management - Commercial &amp; Procurement</t>
        </is>
      </c>
      <c r="G1331" s="12" t="inlineStr">
        <is>
          <t>ONE_TO_ONE</t>
        </is>
      </c>
      <c r="H1331" s="12" t="inlineStr">
        <is>
          <t>APPROVED</t>
        </is>
      </c>
      <c r="I1331" s="12" t="inlineStr">
        <is>
          <t>New</t>
        </is>
      </c>
      <c r="J1331" s="12" t="inlineStr">
        <is>
          <t>Source assignment -- not individually reviewed</t>
        </is>
      </c>
      <c r="K1331" s="12" t="inlineStr"/>
      <c r="L1331" s="12" t="inlineStr"/>
      <c r="M1331" s="12" t="inlineStr"/>
      <c r="N1331" s="17" t="inlineStr">
        <is>
          <t>10 EVIDENCE &amp; DECISIONS</t>
        </is>
      </c>
      <c r="O1331" s="105" t="n">
        <v>1010000</v>
      </c>
      <c r="P1331" s="105" t="n">
        <v>997500</v>
      </c>
      <c r="Q1331" s="105" t="inlineStr">
        <is>
          <t>CAD</t>
        </is>
      </c>
      <c r="R1331" s="105" t="n"/>
      <c r="S1331" s="105" t="inlineStr">
        <is>
          <t>2027-06-30</t>
        </is>
      </c>
      <c r="T1331" s="105" t="inlineStr">
        <is>
          <t>C1-R0</t>
        </is>
      </c>
      <c r="U1331" s="105" t="inlineStr">
        <is>
          <t>Supplied practice file monthly_cost_forecast.xlsx, row 417</t>
        </is>
      </c>
      <c r="V1331" s="105" t="inlineStr">
        <is>
          <t>Whole source account, not a target allocation. Repeated target rows must not be summed. Aggregate cost / forecast remains withheld.</t>
        </is>
      </c>
    </row>
    <row r="1332" ht="34" customHeight="1">
      <c r="A1332" s="12" t="inlineStr">
        <is>
          <t>Cost &amp; Forecast Control Accounts</t>
        </is>
      </c>
      <c r="B1332" s="12" t="inlineStr">
        <is>
          <t>CST-06-018</t>
        </is>
      </c>
      <c r="C1332" s="12" t="inlineStr">
        <is>
          <t>Program Management - program controls - closeout</t>
        </is>
      </c>
      <c r="D1332" s="12" t="inlineStr">
        <is>
          <t>Cost Account = CA-6018; WBS Code = 1.6.2</t>
        </is>
      </c>
      <c r="E1332" s="12" t="inlineStr">
        <is>
          <t>R1500-v1</t>
        </is>
      </c>
      <c r="F1332" s="12" t="inlineStr">
        <is>
          <t>1.6.2 Program Management - Commercial &amp; Procurement</t>
        </is>
      </c>
      <c r="G1332" s="12" t="inlineStr">
        <is>
          <t>ONE_TO_ONE</t>
        </is>
      </c>
      <c r="H1332" s="12" t="inlineStr">
        <is>
          <t>APPROVED</t>
        </is>
      </c>
      <c r="I1332" s="12" t="inlineStr">
        <is>
          <t>New</t>
        </is>
      </c>
      <c r="J1332" s="12" t="inlineStr">
        <is>
          <t>Source assignment -- not individually reviewed</t>
        </is>
      </c>
      <c r="K1332" s="12" t="inlineStr"/>
      <c r="L1332" s="12" t="inlineStr"/>
      <c r="M1332" s="12" t="inlineStr"/>
      <c r="N1332" s="17" t="inlineStr">
        <is>
          <t>10 EVIDENCE &amp; DECISIONS</t>
        </is>
      </c>
      <c r="O1332" s="105" t="n">
        <v>1045000</v>
      </c>
      <c r="P1332" s="105" t="n">
        <v>1057500</v>
      </c>
      <c r="Q1332" s="105" t="inlineStr">
        <is>
          <t>CAD</t>
        </is>
      </c>
      <c r="R1332" s="105" t="n"/>
      <c r="S1332" s="105" t="inlineStr">
        <is>
          <t>2027-06-30</t>
        </is>
      </c>
      <c r="T1332" s="105" t="inlineStr">
        <is>
          <t>C1-R0</t>
        </is>
      </c>
      <c r="U1332" s="105" t="inlineStr">
        <is>
          <t>Supplied practice file monthly_cost_forecast.xlsx, row 419</t>
        </is>
      </c>
      <c r="V1332" s="105" t="inlineStr">
        <is>
          <t>Whole source account, not a target allocation. Repeated target rows must not be summed. Aggregate cost / forecast remains withheld.</t>
        </is>
      </c>
    </row>
    <row r="1333" ht="34" customHeight="1">
      <c r="A1333" s="12" t="inlineStr">
        <is>
          <t>Cost &amp; Forecast Control Accounts</t>
        </is>
      </c>
      <c r="B1333" s="12" t="inlineStr">
        <is>
          <t>CST-06-020</t>
        </is>
      </c>
      <c r="C1333" s="12" t="inlineStr">
        <is>
          <t>Program Management - stakeholder services - supply and install</t>
        </is>
      </c>
      <c r="D1333" s="12" t="inlineStr">
        <is>
          <t>Cost Account = CA-6020; WBS Code = 1.6.2</t>
        </is>
      </c>
      <c r="E1333" s="12" t="inlineStr">
        <is>
          <t>R1502-v1</t>
        </is>
      </c>
      <c r="F1333" s="12" t="inlineStr">
        <is>
          <t>1.6.2 Program Management - Commercial &amp; Procurement</t>
        </is>
      </c>
      <c r="G1333" s="12" t="inlineStr">
        <is>
          <t>ONE_TO_ONE</t>
        </is>
      </c>
      <c r="H1333" s="12" t="inlineStr">
        <is>
          <t>APPROVED</t>
        </is>
      </c>
      <c r="I1333" s="12" t="inlineStr">
        <is>
          <t>New</t>
        </is>
      </c>
      <c r="J1333" s="12" t="inlineStr">
        <is>
          <t>Source assignment -- not individually reviewed</t>
        </is>
      </c>
      <c r="K1333" s="12" t="inlineStr"/>
      <c r="L1333" s="12" t="inlineStr"/>
      <c r="M1333" s="12" t="inlineStr"/>
      <c r="N1333" s="17" t="inlineStr">
        <is>
          <t>10 EVIDENCE &amp; DECISIONS</t>
        </is>
      </c>
      <c r="O1333" s="105" t="n">
        <v>1080000</v>
      </c>
      <c r="P1333" s="105" t="n">
        <v>1067500</v>
      </c>
      <c r="Q1333" s="105" t="inlineStr">
        <is>
          <t>CAD</t>
        </is>
      </c>
      <c r="R1333" s="105" t="n"/>
      <c r="S1333" s="105" t="inlineStr">
        <is>
          <t>2027-06-30</t>
        </is>
      </c>
      <c r="T1333" s="105" t="inlineStr">
        <is>
          <t>C1-R0</t>
        </is>
      </c>
      <c r="U1333" s="105" t="inlineStr">
        <is>
          <t>Supplied practice file monthly_cost_forecast.xlsx, row 421</t>
        </is>
      </c>
      <c r="V1333" s="105" t="inlineStr">
        <is>
          <t>Whole source account, not a target allocation. Repeated target rows must not be summed. Aggregate cost / forecast remains withheld.</t>
        </is>
      </c>
    </row>
    <row r="1334" ht="34" customHeight="1">
      <c r="A1334" s="12" t="inlineStr">
        <is>
          <t>Cost &amp; Forecast Control Accounts</t>
        </is>
      </c>
      <c r="B1334" s="12" t="inlineStr">
        <is>
          <t>CST-06-022</t>
        </is>
      </c>
      <c r="C1334" s="12" t="inlineStr">
        <is>
          <t>Program Management - design integration - allowance</t>
        </is>
      </c>
      <c r="D1334" s="12" t="inlineStr">
        <is>
          <t>Cost Account = CA-6022; WBS Code = 1.6.2</t>
        </is>
      </c>
      <c r="E1334" s="12" t="inlineStr">
        <is>
          <t>R1504-v1</t>
        </is>
      </c>
      <c r="F1334" s="12" t="inlineStr">
        <is>
          <t>1.6.2 Program Management - Commercial &amp; Procurement</t>
        </is>
      </c>
      <c r="G1334" s="12" t="inlineStr">
        <is>
          <t>ONE_TO_ONE</t>
        </is>
      </c>
      <c r="H1334" s="12" t="inlineStr">
        <is>
          <t>APPROVED</t>
        </is>
      </c>
      <c r="I1334" s="12" t="inlineStr">
        <is>
          <t>New</t>
        </is>
      </c>
      <c r="J1334" s="12" t="inlineStr">
        <is>
          <t>Source assignment -- not individually reviewed</t>
        </is>
      </c>
      <c r="K1334" s="12" t="inlineStr"/>
      <c r="L1334" s="12" t="inlineStr"/>
      <c r="M1334" s="12" t="inlineStr"/>
      <c r="N1334" s="17" t="inlineStr">
        <is>
          <t>10 EVIDENCE &amp; DECISIONS</t>
        </is>
      </c>
      <c r="O1334" s="105" t="n">
        <v>1115000</v>
      </c>
      <c r="P1334" s="105" t="n">
        <v>1127500</v>
      </c>
      <c r="Q1334" s="105" t="inlineStr">
        <is>
          <t>CAD</t>
        </is>
      </c>
      <c r="R1334" s="105" t="n"/>
      <c r="S1334" s="105" t="inlineStr">
        <is>
          <t>2027-06-30</t>
        </is>
      </c>
      <c r="T1334" s="105" t="inlineStr">
        <is>
          <t>C1-R0</t>
        </is>
      </c>
      <c r="U1334" s="105" t="inlineStr">
        <is>
          <t>Supplied practice file monthly_cost_forecast.xlsx, row 423</t>
        </is>
      </c>
      <c r="V1334" s="105" t="inlineStr">
        <is>
          <t>Whole source account, not a target allocation. Repeated target rows must not be summed. Aggregate cost / forecast remains withheld.</t>
        </is>
      </c>
    </row>
    <row r="1335" ht="34" customHeight="1">
      <c r="A1335" s="12" t="inlineStr">
        <is>
          <t>Cost &amp; Forecast Control Accounts</t>
        </is>
      </c>
      <c r="B1335" s="12" t="inlineStr">
        <is>
          <t>CST-06-024</t>
        </is>
      </c>
      <c r="C1335" s="12" t="inlineStr">
        <is>
          <t>Program Management - program controls - field package</t>
        </is>
      </c>
      <c r="D1335" s="12" t="inlineStr">
        <is>
          <t>Cost Account = CA-6024; WBS Code = 1.6.2</t>
        </is>
      </c>
      <c r="E1335" s="12" t="inlineStr">
        <is>
          <t>R1506-v1</t>
        </is>
      </c>
      <c r="F1335" s="12" t="inlineStr">
        <is>
          <t>1.6.2 Program Management - Commercial &amp; Procurement</t>
        </is>
      </c>
      <c r="G1335" s="12" t="inlineStr">
        <is>
          <t>ONE_TO_ONE</t>
        </is>
      </c>
      <c r="H1335" s="12" t="inlineStr">
        <is>
          <t>APPROVED</t>
        </is>
      </c>
      <c r="I1335" s="12" t="inlineStr">
        <is>
          <t>New</t>
        </is>
      </c>
      <c r="J1335" s="12" t="inlineStr">
        <is>
          <t>Source assignment -- not individually reviewed</t>
        </is>
      </c>
      <c r="K1335" s="12" t="inlineStr"/>
      <c r="L1335" s="12" t="inlineStr"/>
      <c r="M1335" s="12" t="inlineStr"/>
      <c r="N1335" s="17" t="inlineStr">
        <is>
          <t>10 EVIDENCE &amp; DECISIONS</t>
        </is>
      </c>
      <c r="O1335" s="105" t="n">
        <v>1150000</v>
      </c>
      <c r="P1335" s="105" t="n">
        <v>1137500</v>
      </c>
      <c r="Q1335" s="105" t="inlineStr">
        <is>
          <t>CAD</t>
        </is>
      </c>
      <c r="R1335" s="105" t="n"/>
      <c r="S1335" s="105" t="inlineStr">
        <is>
          <t>2027-06-30</t>
        </is>
      </c>
      <c r="T1335" s="105" t="inlineStr">
        <is>
          <t>C1-R0</t>
        </is>
      </c>
      <c r="U1335" s="105" t="inlineStr">
        <is>
          <t>Supplied practice file monthly_cost_forecast.xlsx, row 425</t>
        </is>
      </c>
      <c r="V1335" s="105" t="inlineStr">
        <is>
          <t>Whole source account, not a target allocation. Repeated target rows must not be summed. Aggregate cost / forecast remains withheld.</t>
        </is>
      </c>
    </row>
    <row r="1336" ht="34" customHeight="1">
      <c r="A1336" s="12" t="inlineStr">
        <is>
          <t>Cost &amp; Forecast Control Accounts</t>
        </is>
      </c>
      <c r="B1336" s="12" t="inlineStr">
        <is>
          <t>CST-06-026</t>
        </is>
      </c>
      <c r="C1336" s="12" t="inlineStr">
        <is>
          <t>Program Management - stakeholder services - professional services</t>
        </is>
      </c>
      <c r="D1336" s="12" t="inlineStr">
        <is>
          <t>Cost Account = CA-6026; WBS Code = 1.6.2</t>
        </is>
      </c>
      <c r="E1336" s="12" t="inlineStr">
        <is>
          <t>R1508-v1</t>
        </is>
      </c>
      <c r="F1336" s="12" t="inlineStr">
        <is>
          <t>1.6.2 Program Management - Commercial &amp; Procurement</t>
        </is>
      </c>
      <c r="G1336" s="12" t="inlineStr">
        <is>
          <t>ONE_TO_ONE</t>
        </is>
      </c>
      <c r="H1336" s="12" t="inlineStr">
        <is>
          <t>APPROVED</t>
        </is>
      </c>
      <c r="I1336" s="12" t="inlineStr">
        <is>
          <t>New</t>
        </is>
      </c>
      <c r="J1336" s="12" t="inlineStr">
        <is>
          <t>Source assignment -- not individually reviewed</t>
        </is>
      </c>
      <c r="K1336" s="12" t="inlineStr"/>
      <c r="L1336" s="12" t="inlineStr"/>
      <c r="M1336" s="12" t="inlineStr"/>
      <c r="N1336" s="17" t="inlineStr">
        <is>
          <t>10 EVIDENCE &amp; DECISIONS</t>
        </is>
      </c>
      <c r="O1336" s="105" t="n">
        <v>1185000</v>
      </c>
      <c r="P1336" s="105" t="n">
        <v>1197500</v>
      </c>
      <c r="Q1336" s="105" t="inlineStr">
        <is>
          <t>CAD</t>
        </is>
      </c>
      <c r="R1336" s="105" t="n"/>
      <c r="S1336" s="105" t="inlineStr">
        <is>
          <t>2027-06-30</t>
        </is>
      </c>
      <c r="T1336" s="105" t="inlineStr">
        <is>
          <t>C1-R0</t>
        </is>
      </c>
      <c r="U1336" s="105" t="inlineStr">
        <is>
          <t>Supplied practice file monthly_cost_forecast.xlsx, row 427</t>
        </is>
      </c>
      <c r="V1336" s="105" t="inlineStr">
        <is>
          <t>Whole source account, not a target allocation. Repeated target rows must not be summed. Aggregate cost / forecast remains withheld.</t>
        </is>
      </c>
    </row>
    <row r="1337" ht="34" customHeight="1">
      <c r="A1337" s="12" t="inlineStr">
        <is>
          <t>Cost &amp; Forecast Control Accounts</t>
        </is>
      </c>
      <c r="B1337" s="12" t="inlineStr">
        <is>
          <t>CST-06-028</t>
        </is>
      </c>
      <c r="C1337" s="12" t="inlineStr">
        <is>
          <t>Program Management - design integration - closeout</t>
        </is>
      </c>
      <c r="D1337" s="12" t="inlineStr">
        <is>
          <t>Cost Account = CA-6028; WBS Code = 1.6.2</t>
        </is>
      </c>
      <c r="E1337" s="12" t="inlineStr">
        <is>
          <t>R1510-v1</t>
        </is>
      </c>
      <c r="F1337" s="12" t="inlineStr">
        <is>
          <t>1.6.2 Program Management - Commercial &amp; Procurement</t>
        </is>
      </c>
      <c r="G1337" s="12" t="inlineStr">
        <is>
          <t>ONE_TO_ONE</t>
        </is>
      </c>
      <c r="H1337" s="12" t="inlineStr">
        <is>
          <t>APPROVED</t>
        </is>
      </c>
      <c r="I1337" s="12" t="inlineStr">
        <is>
          <t>New</t>
        </is>
      </c>
      <c r="J1337" s="12" t="inlineStr">
        <is>
          <t>Source assignment -- not individually reviewed</t>
        </is>
      </c>
      <c r="K1337" s="12" t="inlineStr"/>
      <c r="L1337" s="12" t="inlineStr"/>
      <c r="M1337" s="12" t="inlineStr"/>
      <c r="N1337" s="17" t="inlineStr">
        <is>
          <t>10 EVIDENCE &amp; DECISIONS</t>
        </is>
      </c>
      <c r="O1337" s="105" t="n">
        <v>1220000</v>
      </c>
      <c r="P1337" s="105" t="n">
        <v>1207500</v>
      </c>
      <c r="Q1337" s="105" t="inlineStr">
        <is>
          <t>CAD</t>
        </is>
      </c>
      <c r="R1337" s="105" t="n"/>
      <c r="S1337" s="105" t="inlineStr">
        <is>
          <t>2027-06-30</t>
        </is>
      </c>
      <c r="T1337" s="105" t="inlineStr">
        <is>
          <t>C1-R0</t>
        </is>
      </c>
      <c r="U1337" s="105" t="inlineStr">
        <is>
          <t>Supplied practice file monthly_cost_forecast.xlsx, row 429</t>
        </is>
      </c>
      <c r="V1337" s="105" t="inlineStr">
        <is>
          <t>Whole source account, not a target allocation. Repeated target rows must not be summed. Aggregate cost / forecast remains withheld.</t>
        </is>
      </c>
    </row>
    <row r="1338" ht="34" customHeight="1">
      <c r="A1338" s="12" t="inlineStr">
        <is>
          <t>Cost &amp; Forecast Control Accounts</t>
        </is>
      </c>
      <c r="B1338" s="12" t="inlineStr">
        <is>
          <t>CST-06-030</t>
        </is>
      </c>
      <c r="C1338" s="12" t="inlineStr">
        <is>
          <t>Program Management - program controls - supply and install</t>
        </is>
      </c>
      <c r="D1338" s="12" t="inlineStr">
        <is>
          <t>Cost Account = CA-6030; WBS Code = 1.6.2</t>
        </is>
      </c>
      <c r="E1338" s="12" t="inlineStr">
        <is>
          <t>R1512-v1</t>
        </is>
      </c>
      <c r="F1338" s="12" t="inlineStr">
        <is>
          <t>1.6.2 Program Management - Commercial &amp; Procurement</t>
        </is>
      </c>
      <c r="G1338" s="12" t="inlineStr">
        <is>
          <t>ONE_TO_ONE</t>
        </is>
      </c>
      <c r="H1338" s="12" t="inlineStr">
        <is>
          <t>APPROVED</t>
        </is>
      </c>
      <c r="I1338" s="12" t="inlineStr">
        <is>
          <t>New</t>
        </is>
      </c>
      <c r="J1338" s="12" t="inlineStr">
        <is>
          <t>Source assignment -- not individually reviewed</t>
        </is>
      </c>
      <c r="K1338" s="12" t="inlineStr"/>
      <c r="L1338" s="12" t="inlineStr"/>
      <c r="M1338" s="12" t="inlineStr"/>
      <c r="N1338" s="17" t="inlineStr">
        <is>
          <t>10 EVIDENCE &amp; DECISIONS</t>
        </is>
      </c>
      <c r="O1338" s="105" t="n">
        <v>1255000</v>
      </c>
      <c r="P1338" s="105" t="n">
        <v>1267500</v>
      </c>
      <c r="Q1338" s="105" t="inlineStr">
        <is>
          <t>CAD</t>
        </is>
      </c>
      <c r="R1338" s="105" t="n"/>
      <c r="S1338" s="105" t="inlineStr">
        <is>
          <t>2027-06-30</t>
        </is>
      </c>
      <c r="T1338" s="105" t="inlineStr">
        <is>
          <t>C1-R0</t>
        </is>
      </c>
      <c r="U1338" s="105" t="inlineStr">
        <is>
          <t>Supplied practice file monthly_cost_forecast.xlsx, row 431</t>
        </is>
      </c>
      <c r="V1338" s="105" t="inlineStr">
        <is>
          <t>Whole source account, not a target allocation. Repeated target rows must not be summed. Aggregate cost / forecast remains withheld.</t>
        </is>
      </c>
    </row>
    <row r="1339" ht="34" customHeight="1">
      <c r="A1339" s="12" t="inlineStr">
        <is>
          <t>Cost &amp; Forecast Control Accounts</t>
        </is>
      </c>
      <c r="B1339" s="12" t="inlineStr">
        <is>
          <t>CST-06-032</t>
        </is>
      </c>
      <c r="C1339" s="12" t="inlineStr">
        <is>
          <t>Program Management - stakeholder services - allowance</t>
        </is>
      </c>
      <c r="D1339" s="12" t="inlineStr">
        <is>
          <t>Cost Account = CA-6032; WBS Code = 1.6.2</t>
        </is>
      </c>
      <c r="E1339" s="12" t="inlineStr">
        <is>
          <t>R1514-v1</t>
        </is>
      </c>
      <c r="F1339" s="12" t="inlineStr">
        <is>
          <t>1.6.2 Program Management - Commercial &amp; Procurement</t>
        </is>
      </c>
      <c r="G1339" s="12" t="inlineStr">
        <is>
          <t>ONE_TO_ONE</t>
        </is>
      </c>
      <c r="H1339" s="12" t="inlineStr">
        <is>
          <t>APPROVED</t>
        </is>
      </c>
      <c r="I1339" s="12" t="inlineStr">
        <is>
          <t>New</t>
        </is>
      </c>
      <c r="J1339" s="12" t="inlineStr">
        <is>
          <t>Source assignment -- not individually reviewed</t>
        </is>
      </c>
      <c r="K1339" s="12" t="inlineStr"/>
      <c r="L1339" s="12" t="inlineStr"/>
      <c r="M1339" s="12" t="inlineStr"/>
      <c r="N1339" s="17" t="inlineStr">
        <is>
          <t>10 EVIDENCE &amp; DECISIONS</t>
        </is>
      </c>
      <c r="O1339" s="105" t="n">
        <v>1290000</v>
      </c>
      <c r="P1339" s="105" t="n">
        <v>1277500</v>
      </c>
      <c r="Q1339" s="105" t="inlineStr">
        <is>
          <t>CAD</t>
        </is>
      </c>
      <c r="R1339" s="105" t="n"/>
      <c r="S1339" s="105" t="inlineStr">
        <is>
          <t>2027-06-30</t>
        </is>
      </c>
      <c r="T1339" s="105" t="inlineStr">
        <is>
          <t>C1-R0</t>
        </is>
      </c>
      <c r="U1339" s="105" t="inlineStr">
        <is>
          <t>Supplied practice file monthly_cost_forecast.xlsx, row 433</t>
        </is>
      </c>
      <c r="V1339" s="105" t="inlineStr">
        <is>
          <t>Whole source account, not a target allocation. Repeated target rows must not be summed. Aggregate cost / forecast remains withheld.</t>
        </is>
      </c>
    </row>
    <row r="1340" ht="34" customHeight="1">
      <c r="A1340" s="12" t="inlineStr">
        <is>
          <t>Cost &amp; Forecast Control Accounts</t>
        </is>
      </c>
      <c r="B1340" s="12" t="inlineStr">
        <is>
          <t>CST-06-034</t>
        </is>
      </c>
      <c r="C1340" s="12" t="inlineStr">
        <is>
          <t>Program Management - design integration - field package</t>
        </is>
      </c>
      <c r="D1340" s="12" t="inlineStr">
        <is>
          <t>Cost Account = CA-6034; WBS Code = 1.6.2</t>
        </is>
      </c>
      <c r="E1340" s="12" t="inlineStr">
        <is>
          <t>R1516-v1</t>
        </is>
      </c>
      <c r="F1340" s="12" t="inlineStr">
        <is>
          <t>1.6.2 Program Management - Commercial &amp; Procurement</t>
        </is>
      </c>
      <c r="G1340" s="12" t="inlineStr">
        <is>
          <t>ONE_TO_ONE</t>
        </is>
      </c>
      <c r="H1340" s="12" t="inlineStr">
        <is>
          <t>APPROVED</t>
        </is>
      </c>
      <c r="I1340" s="12" t="inlineStr">
        <is>
          <t>New</t>
        </is>
      </c>
      <c r="J1340" s="12" t="inlineStr">
        <is>
          <t>Source assignment -- not individually reviewed</t>
        </is>
      </c>
      <c r="K1340" s="12" t="inlineStr"/>
      <c r="L1340" s="12" t="inlineStr"/>
      <c r="M1340" s="12" t="inlineStr"/>
      <c r="N1340" s="17" t="inlineStr">
        <is>
          <t>10 EVIDENCE &amp; DECISIONS</t>
        </is>
      </c>
      <c r="O1340" s="105" t="n">
        <v>1325000</v>
      </c>
      <c r="P1340" s="105" t="n">
        <v>1337500</v>
      </c>
      <c r="Q1340" s="105" t="inlineStr">
        <is>
          <t>CAD</t>
        </is>
      </c>
      <c r="R1340" s="105" t="n"/>
      <c r="S1340" s="105" t="inlineStr">
        <is>
          <t>2027-06-30</t>
        </is>
      </c>
      <c r="T1340" s="105" t="inlineStr">
        <is>
          <t>C1-R0</t>
        </is>
      </c>
      <c r="U1340" s="105" t="inlineStr">
        <is>
          <t>Supplied practice file monthly_cost_forecast.xlsx, row 435</t>
        </is>
      </c>
      <c r="V1340" s="105" t="inlineStr">
        <is>
          <t>Whole source account, not a target allocation. Repeated target rows must not be summed. Aggregate cost / forecast remains withheld.</t>
        </is>
      </c>
    </row>
    <row r="1341" ht="34" customHeight="1">
      <c r="A1341" s="12" t="inlineStr">
        <is>
          <t>Cost &amp; Forecast Control Accounts</t>
        </is>
      </c>
      <c r="B1341" s="12" t="inlineStr">
        <is>
          <t>CST-06-036</t>
        </is>
      </c>
      <c r="C1341" s="12" t="inlineStr">
        <is>
          <t>Program Management - program controls - professional services</t>
        </is>
      </c>
      <c r="D1341" s="12" t="inlineStr">
        <is>
          <t>Cost Account = CA-6036; WBS Code = 1.6.2</t>
        </is>
      </c>
      <c r="E1341" s="12" t="inlineStr">
        <is>
          <t>R1518-v1</t>
        </is>
      </c>
      <c r="F1341" s="12" t="inlineStr">
        <is>
          <t>1.6.2 Program Management - Commercial &amp; Procurement</t>
        </is>
      </c>
      <c r="G1341" s="12" t="inlineStr">
        <is>
          <t>ONE_TO_ONE</t>
        </is>
      </c>
      <c r="H1341" s="12" t="inlineStr">
        <is>
          <t>APPROVED</t>
        </is>
      </c>
      <c r="I1341" s="12" t="inlineStr">
        <is>
          <t>New</t>
        </is>
      </c>
      <c r="J1341" s="12" t="inlineStr">
        <is>
          <t>Source assignment -- not individually reviewed</t>
        </is>
      </c>
      <c r="K1341" s="12" t="inlineStr"/>
      <c r="L1341" s="12" t="inlineStr"/>
      <c r="M1341" s="12" t="inlineStr"/>
      <c r="N1341" s="17" t="inlineStr">
        <is>
          <t>10 EVIDENCE &amp; DECISIONS</t>
        </is>
      </c>
      <c r="O1341" s="105" t="n">
        <v>1360000</v>
      </c>
      <c r="P1341" s="105" t="n">
        <v>1347500</v>
      </c>
      <c r="Q1341" s="105" t="inlineStr">
        <is>
          <t>CAD</t>
        </is>
      </c>
      <c r="R1341" s="105" t="n"/>
      <c r="S1341" s="105" t="inlineStr">
        <is>
          <t>2027-06-30</t>
        </is>
      </c>
      <c r="T1341" s="105" t="inlineStr">
        <is>
          <t>C1-R0</t>
        </is>
      </c>
      <c r="U1341" s="105" t="inlineStr">
        <is>
          <t>Supplied practice file monthly_cost_forecast.xlsx, row 437</t>
        </is>
      </c>
      <c r="V1341" s="105" t="inlineStr">
        <is>
          <t>Whole source account, not a target allocation. Repeated target rows must not be summed. Aggregate cost / forecast remains withheld.</t>
        </is>
      </c>
    </row>
    <row r="1342" ht="34" customHeight="1">
      <c r="A1342" s="12" t="inlineStr">
        <is>
          <t>Cost &amp; Forecast Control Accounts</t>
        </is>
      </c>
      <c r="B1342" s="12" t="inlineStr">
        <is>
          <t>CST-06-038</t>
        </is>
      </c>
      <c r="C1342" s="12" t="inlineStr">
        <is>
          <t>Program Management - stakeholder services - closeout</t>
        </is>
      </c>
      <c r="D1342" s="12" t="inlineStr">
        <is>
          <t>Cost Account = CA-6038; WBS Code = 1.6.2</t>
        </is>
      </c>
      <c r="E1342" s="12" t="inlineStr">
        <is>
          <t>R1520-v1</t>
        </is>
      </c>
      <c r="F1342" s="12" t="inlineStr">
        <is>
          <t>1.6.2 Program Management - Commercial &amp; Procurement</t>
        </is>
      </c>
      <c r="G1342" s="12" t="inlineStr">
        <is>
          <t>ONE_TO_ONE</t>
        </is>
      </c>
      <c r="H1342" s="12" t="inlineStr">
        <is>
          <t>APPROVED</t>
        </is>
      </c>
      <c r="I1342" s="12" t="inlineStr">
        <is>
          <t>New</t>
        </is>
      </c>
      <c r="J1342" s="12" t="inlineStr">
        <is>
          <t>Source assignment -- not individually reviewed</t>
        </is>
      </c>
      <c r="K1342" s="12" t="inlineStr"/>
      <c r="L1342" s="12" t="inlineStr"/>
      <c r="M1342" s="12" t="inlineStr"/>
      <c r="N1342" s="17" t="inlineStr">
        <is>
          <t>10 EVIDENCE &amp; DECISIONS</t>
        </is>
      </c>
      <c r="O1342" s="105" t="n">
        <v>1395000</v>
      </c>
      <c r="P1342" s="105" t="n">
        <v>1407500</v>
      </c>
      <c r="Q1342" s="105" t="inlineStr">
        <is>
          <t>CAD</t>
        </is>
      </c>
      <c r="R1342" s="105" t="n"/>
      <c r="S1342" s="105" t="inlineStr">
        <is>
          <t>2027-06-30</t>
        </is>
      </c>
      <c r="T1342" s="105" t="inlineStr">
        <is>
          <t>C1-R0</t>
        </is>
      </c>
      <c r="U1342" s="105" t="inlineStr">
        <is>
          <t>Supplied practice file monthly_cost_forecast.xlsx, row 439</t>
        </is>
      </c>
      <c r="V1342" s="105" t="inlineStr">
        <is>
          <t>Whole source account, not a target allocation. Repeated target rows must not be summed. Aggregate cost / forecast remains withheld.</t>
        </is>
      </c>
    </row>
    <row r="1343" ht="34" customHeight="1">
      <c r="A1343" s="12" t="inlineStr">
        <is>
          <t>Cost &amp; Forecast Control Accounts</t>
        </is>
      </c>
      <c r="B1343" s="12" t="inlineStr">
        <is>
          <t>CST-06-040</t>
        </is>
      </c>
      <c r="C1343" s="12" t="inlineStr">
        <is>
          <t>Program Management - design integration - supply and install</t>
        </is>
      </c>
      <c r="D1343" s="12" t="inlineStr">
        <is>
          <t>Cost Account = CA-6040; WBS Code = 1.6.2</t>
        </is>
      </c>
      <c r="E1343" s="12" t="inlineStr">
        <is>
          <t>R1522-v1</t>
        </is>
      </c>
      <c r="F1343" s="12" t="inlineStr">
        <is>
          <t>1.6.2 Program Management - Commercial &amp; Procurement</t>
        </is>
      </c>
      <c r="G1343" s="12" t="inlineStr">
        <is>
          <t>ONE_TO_ONE</t>
        </is>
      </c>
      <c r="H1343" s="12" t="inlineStr">
        <is>
          <t>APPROVED</t>
        </is>
      </c>
      <c r="I1343" s="12" t="inlineStr">
        <is>
          <t>New</t>
        </is>
      </c>
      <c r="J1343" s="12" t="inlineStr">
        <is>
          <t>Source assignment -- not individually reviewed</t>
        </is>
      </c>
      <c r="K1343" s="12" t="inlineStr"/>
      <c r="L1343" s="12" t="inlineStr"/>
      <c r="M1343" s="12" t="inlineStr"/>
      <c r="N1343" s="17" t="inlineStr">
        <is>
          <t>10 EVIDENCE &amp; DECISIONS</t>
        </is>
      </c>
      <c r="O1343" s="105" t="n">
        <v>1430000</v>
      </c>
      <c r="P1343" s="105" t="n">
        <v>1417500</v>
      </c>
      <c r="Q1343" s="105" t="inlineStr">
        <is>
          <t>CAD</t>
        </is>
      </c>
      <c r="R1343" s="105" t="n"/>
      <c r="S1343" s="105" t="inlineStr">
        <is>
          <t>2027-06-30</t>
        </is>
      </c>
      <c r="T1343" s="105" t="inlineStr">
        <is>
          <t>C1-R0</t>
        </is>
      </c>
      <c r="U1343" s="105" t="inlineStr">
        <is>
          <t>Supplied practice file monthly_cost_forecast.xlsx, row 441</t>
        </is>
      </c>
      <c r="V1343" s="105" t="inlineStr">
        <is>
          <t>Whole source account, not a target allocation. Repeated target rows must not be summed. Aggregate cost / forecast remains withheld.</t>
        </is>
      </c>
    </row>
    <row r="1344" ht="34" customHeight="1">
      <c r="A1344" s="12" t="inlineStr">
        <is>
          <t>Cost &amp; Forecast Control Accounts</t>
        </is>
      </c>
      <c r="B1344" s="12" t="inlineStr">
        <is>
          <t>CST-06-042</t>
        </is>
      </c>
      <c r="C1344" s="12" t="inlineStr">
        <is>
          <t>Program Management - program controls - allowance</t>
        </is>
      </c>
      <c r="D1344" s="12" t="inlineStr">
        <is>
          <t>Cost Account = CA-6042; WBS Code = 1.6.2</t>
        </is>
      </c>
      <c r="E1344" s="12" t="inlineStr">
        <is>
          <t>R1524-v1</t>
        </is>
      </c>
      <c r="F1344" s="12" t="inlineStr">
        <is>
          <t>1.6.2 Program Management - Commercial &amp; Procurement</t>
        </is>
      </c>
      <c r="G1344" s="12" t="inlineStr">
        <is>
          <t>ONE_TO_ONE</t>
        </is>
      </c>
      <c r="H1344" s="12" t="inlineStr">
        <is>
          <t>APPROVED</t>
        </is>
      </c>
      <c r="I1344" s="12" t="inlineStr">
        <is>
          <t>New</t>
        </is>
      </c>
      <c r="J1344" s="12" t="inlineStr">
        <is>
          <t>Source assignment -- not individually reviewed</t>
        </is>
      </c>
      <c r="K1344" s="12" t="inlineStr"/>
      <c r="L1344" s="12" t="inlineStr"/>
      <c r="M1344" s="12" t="inlineStr"/>
      <c r="N1344" s="17" t="inlineStr">
        <is>
          <t>10 EVIDENCE &amp; DECISIONS</t>
        </is>
      </c>
      <c r="O1344" s="105" t="n">
        <v>1465000</v>
      </c>
      <c r="P1344" s="105" t="n">
        <v>1477500</v>
      </c>
      <c r="Q1344" s="105" t="inlineStr">
        <is>
          <t>CAD</t>
        </is>
      </c>
      <c r="R1344" s="105" t="n"/>
      <c r="S1344" s="105" t="inlineStr">
        <is>
          <t>2027-06-30</t>
        </is>
      </c>
      <c r="T1344" s="105" t="inlineStr">
        <is>
          <t>C1-R0</t>
        </is>
      </c>
      <c r="U1344" s="105" t="inlineStr">
        <is>
          <t>Supplied practice file monthly_cost_forecast.xlsx, row 443</t>
        </is>
      </c>
      <c r="V1344" s="105" t="inlineStr">
        <is>
          <t>Whole source account, not a target allocation. Repeated target rows must not be summed. Aggregate cost / forecast remains withheld.</t>
        </is>
      </c>
    </row>
    <row r="1345" ht="34" customHeight="1">
      <c r="A1345" s="12" t="inlineStr">
        <is>
          <t>Cost &amp; Forecast Control Accounts</t>
        </is>
      </c>
      <c r="B1345" s="12" t="inlineStr">
        <is>
          <t>CST-06-044</t>
        </is>
      </c>
      <c r="C1345" s="12" t="inlineStr">
        <is>
          <t>Program Management - stakeholder services - field package</t>
        </is>
      </c>
      <c r="D1345" s="12" t="inlineStr">
        <is>
          <t>Cost Account = CA-6044; WBS Code = 1.6.2</t>
        </is>
      </c>
      <c r="E1345" s="12" t="inlineStr">
        <is>
          <t>R1526-v1</t>
        </is>
      </c>
      <c r="F1345" s="12" t="inlineStr">
        <is>
          <t>1.6.2 Program Management - Commercial &amp; Procurement</t>
        </is>
      </c>
      <c r="G1345" s="12" t="inlineStr">
        <is>
          <t>ONE_TO_ONE</t>
        </is>
      </c>
      <c r="H1345" s="12" t="inlineStr">
        <is>
          <t>APPROVED</t>
        </is>
      </c>
      <c r="I1345" s="12" t="inlineStr">
        <is>
          <t>New</t>
        </is>
      </c>
      <c r="J1345" s="12" t="inlineStr">
        <is>
          <t>Source assignment -- not individually reviewed</t>
        </is>
      </c>
      <c r="K1345" s="12" t="inlineStr"/>
      <c r="L1345" s="12" t="inlineStr"/>
      <c r="M1345" s="12" t="inlineStr"/>
      <c r="N1345" s="17" t="inlineStr">
        <is>
          <t>10 EVIDENCE &amp; DECISIONS</t>
        </is>
      </c>
      <c r="O1345" s="105" t="n">
        <v>1500000</v>
      </c>
      <c r="P1345" s="105" t="n">
        <v>1487500</v>
      </c>
      <c r="Q1345" s="105" t="inlineStr">
        <is>
          <t>CAD</t>
        </is>
      </c>
      <c r="R1345" s="105" t="n"/>
      <c r="S1345" s="105" t="inlineStr">
        <is>
          <t>2027-06-30</t>
        </is>
      </c>
      <c r="T1345" s="105" t="inlineStr">
        <is>
          <t>C1-R0</t>
        </is>
      </c>
      <c r="U1345" s="105" t="inlineStr">
        <is>
          <t>Supplied practice file monthly_cost_forecast.xlsx, row 445</t>
        </is>
      </c>
      <c r="V1345" s="105" t="inlineStr">
        <is>
          <t>Whole source account, not a target allocation. Repeated target rows must not be summed. Aggregate cost / forecast remains withheld.</t>
        </is>
      </c>
    </row>
    <row r="1346" ht="34" customHeight="1">
      <c r="A1346" s="12" t="inlineStr">
        <is>
          <t>Cost &amp; Forecast Control Accounts</t>
        </is>
      </c>
      <c r="B1346" s="12" t="inlineStr">
        <is>
          <t>CST-06-046</t>
        </is>
      </c>
      <c r="C1346" s="12" t="inlineStr">
        <is>
          <t>Program Management - design integration - professional services</t>
        </is>
      </c>
      <c r="D1346" s="12" t="inlineStr">
        <is>
          <t>Cost Account = CA-6046; WBS Code = 1.6.2</t>
        </is>
      </c>
      <c r="E1346" s="12" t="inlineStr">
        <is>
          <t>R1528-v1</t>
        </is>
      </c>
      <c r="F1346" s="12" t="inlineStr">
        <is>
          <t>1.6.2 Program Management - Commercial &amp; Procurement</t>
        </is>
      </c>
      <c r="G1346" s="12" t="inlineStr">
        <is>
          <t>ONE_TO_ONE</t>
        </is>
      </c>
      <c r="H1346" s="12" t="inlineStr">
        <is>
          <t>APPROVED</t>
        </is>
      </c>
      <c r="I1346" s="12" t="inlineStr">
        <is>
          <t>New</t>
        </is>
      </c>
      <c r="J1346" s="12" t="inlineStr">
        <is>
          <t>Source assignment -- not individually reviewed</t>
        </is>
      </c>
      <c r="K1346" s="12" t="inlineStr"/>
      <c r="L1346" s="12" t="inlineStr"/>
      <c r="M1346" s="12" t="inlineStr"/>
      <c r="N1346" s="17" t="inlineStr">
        <is>
          <t>10 EVIDENCE &amp; DECISIONS</t>
        </is>
      </c>
      <c r="O1346" s="105" t="n">
        <v>1535000</v>
      </c>
      <c r="P1346" s="105" t="n">
        <v>1547500</v>
      </c>
      <c r="Q1346" s="105" t="inlineStr">
        <is>
          <t>CAD</t>
        </is>
      </c>
      <c r="R1346" s="105" t="n"/>
      <c r="S1346" s="105" t="inlineStr">
        <is>
          <t>2027-06-30</t>
        </is>
      </c>
      <c r="T1346" s="105" t="inlineStr">
        <is>
          <t>C1-R0</t>
        </is>
      </c>
      <c r="U1346" s="105" t="inlineStr">
        <is>
          <t>Supplied practice file monthly_cost_forecast.xlsx, row 447</t>
        </is>
      </c>
      <c r="V1346" s="105" t="inlineStr">
        <is>
          <t>Whole source account, not a target allocation. Repeated target rows must not be summed. Aggregate cost / forecast remains withheld.</t>
        </is>
      </c>
    </row>
    <row r="1347" ht="34" customHeight="1">
      <c r="A1347" s="12" t="inlineStr">
        <is>
          <t>Cost &amp; Forecast Control Accounts</t>
        </is>
      </c>
      <c r="B1347" s="12" t="inlineStr">
        <is>
          <t>CST-06-048</t>
        </is>
      </c>
      <c r="C1347" s="12" t="inlineStr">
        <is>
          <t>Program Management - program controls - closeout</t>
        </is>
      </c>
      <c r="D1347" s="12" t="inlineStr">
        <is>
          <t>Cost Account = CA-6048; WBS Code = 1.6.2</t>
        </is>
      </c>
      <c r="E1347" s="12" t="inlineStr">
        <is>
          <t>R1530-v1</t>
        </is>
      </c>
      <c r="F1347" s="12" t="inlineStr">
        <is>
          <t>1.6.2 Program Management - Commercial &amp; Procurement</t>
        </is>
      </c>
      <c r="G1347" s="12" t="inlineStr">
        <is>
          <t>ONE_TO_ONE</t>
        </is>
      </c>
      <c r="H1347" s="12" t="inlineStr">
        <is>
          <t>APPROVED</t>
        </is>
      </c>
      <c r="I1347" s="12" t="inlineStr">
        <is>
          <t>New</t>
        </is>
      </c>
      <c r="J1347" s="12" t="inlineStr">
        <is>
          <t>Source assignment -- not individually reviewed</t>
        </is>
      </c>
      <c r="K1347" s="12" t="inlineStr"/>
      <c r="L1347" s="12" t="inlineStr"/>
      <c r="M1347" s="12" t="inlineStr"/>
      <c r="N1347" s="17" t="inlineStr">
        <is>
          <t>10 EVIDENCE &amp; DECISIONS</t>
        </is>
      </c>
      <c r="O1347" s="105" t="n">
        <v>1570000</v>
      </c>
      <c r="P1347" s="105" t="n">
        <v>1557500</v>
      </c>
      <c r="Q1347" s="105" t="inlineStr">
        <is>
          <t>CAD</t>
        </is>
      </c>
      <c r="R1347" s="105" t="n"/>
      <c r="S1347" s="105" t="inlineStr">
        <is>
          <t>2027-06-30</t>
        </is>
      </c>
      <c r="T1347" s="105" t="inlineStr">
        <is>
          <t>C1-R0</t>
        </is>
      </c>
      <c r="U1347" s="105" t="inlineStr">
        <is>
          <t>Supplied practice file monthly_cost_forecast.xlsx, row 449</t>
        </is>
      </c>
      <c r="V1347" s="105" t="inlineStr">
        <is>
          <t>Whole source account, not a target allocation. Repeated target rows must not be summed. Aggregate cost / forecast remains withheld.</t>
        </is>
      </c>
    </row>
    <row r="1348" ht="34" customHeight="1">
      <c r="A1348" s="12" t="inlineStr">
        <is>
          <t>Cost &amp; Forecast Control Accounts</t>
        </is>
      </c>
      <c r="B1348" s="12" t="inlineStr">
        <is>
          <t>CST-06-050</t>
        </is>
      </c>
      <c r="C1348" s="12" t="inlineStr">
        <is>
          <t>Program Management - stakeholder services - supply and install</t>
        </is>
      </c>
      <c r="D1348" s="12" t="inlineStr">
        <is>
          <t>Cost Account = CA-6050; WBS Code = 1.6.2</t>
        </is>
      </c>
      <c r="E1348" s="12" t="inlineStr">
        <is>
          <t>R1532-v1</t>
        </is>
      </c>
      <c r="F1348" s="12" t="inlineStr">
        <is>
          <t>1.6.2 Program Management - Commercial &amp; Procurement</t>
        </is>
      </c>
      <c r="G1348" s="12" t="inlineStr">
        <is>
          <t>ONE_TO_ONE</t>
        </is>
      </c>
      <c r="H1348" s="12" t="inlineStr">
        <is>
          <t>APPROVED</t>
        </is>
      </c>
      <c r="I1348" s="12" t="inlineStr">
        <is>
          <t>New</t>
        </is>
      </c>
      <c r="J1348" s="12" t="inlineStr">
        <is>
          <t>Source assignment -- not individually reviewed</t>
        </is>
      </c>
      <c r="K1348" s="12" t="inlineStr"/>
      <c r="L1348" s="12" t="inlineStr"/>
      <c r="M1348" s="12" t="inlineStr"/>
      <c r="N1348" s="17" t="inlineStr">
        <is>
          <t>10 EVIDENCE &amp; DECISIONS</t>
        </is>
      </c>
      <c r="O1348" s="105" t="n">
        <v>1605000</v>
      </c>
      <c r="P1348" s="105" t="n">
        <v>1617500</v>
      </c>
      <c r="Q1348" s="105" t="inlineStr">
        <is>
          <t>CAD</t>
        </is>
      </c>
      <c r="R1348" s="105" t="n"/>
      <c r="S1348" s="105" t="inlineStr">
        <is>
          <t>2027-06-30</t>
        </is>
      </c>
      <c r="T1348" s="105" t="inlineStr">
        <is>
          <t>C1-R0</t>
        </is>
      </c>
      <c r="U1348" s="105" t="inlineStr">
        <is>
          <t>Supplied practice file monthly_cost_forecast.xlsx, row 451</t>
        </is>
      </c>
      <c r="V1348" s="105" t="inlineStr">
        <is>
          <t>Whole source account, not a target allocation. Repeated target rows must not be summed. Aggregate cost / forecast remains withheld.</t>
        </is>
      </c>
    </row>
    <row r="1349" ht="34" customHeight="1">
      <c r="A1349" s="12" t="inlineStr">
        <is>
          <t>Cost &amp; Forecast Control Accounts</t>
        </is>
      </c>
      <c r="B1349" s="12" t="inlineStr">
        <is>
          <t>CST-06-052</t>
        </is>
      </c>
      <c r="C1349" s="12" t="inlineStr">
        <is>
          <t>Program Management - design integration - allowance</t>
        </is>
      </c>
      <c r="D1349" s="12" t="inlineStr">
        <is>
          <t>Cost Account = CA-6052; WBS Code = 1.6.2</t>
        </is>
      </c>
      <c r="E1349" s="12" t="inlineStr">
        <is>
          <t>R1534-v1</t>
        </is>
      </c>
      <c r="F1349" s="12" t="inlineStr">
        <is>
          <t>1.6.2 Program Management - Commercial &amp; Procurement</t>
        </is>
      </c>
      <c r="G1349" s="12" t="inlineStr">
        <is>
          <t>ONE_TO_ONE</t>
        </is>
      </c>
      <c r="H1349" s="12" t="inlineStr">
        <is>
          <t>APPROVED</t>
        </is>
      </c>
      <c r="I1349" s="12" t="inlineStr">
        <is>
          <t>New</t>
        </is>
      </c>
      <c r="J1349" s="12" t="inlineStr">
        <is>
          <t>Source assignment -- not individually reviewed</t>
        </is>
      </c>
      <c r="K1349" s="12" t="inlineStr"/>
      <c r="L1349" s="12" t="inlineStr"/>
      <c r="M1349" s="12" t="inlineStr"/>
      <c r="N1349" s="17" t="inlineStr">
        <is>
          <t>10 EVIDENCE &amp; DECISIONS</t>
        </is>
      </c>
      <c r="O1349" s="105" t="n">
        <v>1640000</v>
      </c>
      <c r="P1349" s="105" t="n">
        <v>1627500</v>
      </c>
      <c r="Q1349" s="105" t="inlineStr">
        <is>
          <t>CAD</t>
        </is>
      </c>
      <c r="R1349" s="105" t="n"/>
      <c r="S1349" s="105" t="inlineStr">
        <is>
          <t>2027-06-30</t>
        </is>
      </c>
      <c r="T1349" s="105" t="inlineStr">
        <is>
          <t>C1-R0</t>
        </is>
      </c>
      <c r="U1349" s="105" t="inlineStr">
        <is>
          <t>Supplied practice file monthly_cost_forecast.xlsx, row 453</t>
        </is>
      </c>
      <c r="V1349" s="105" t="inlineStr">
        <is>
          <t>Whole source account, not a target allocation. Repeated target rows must not be summed. Aggregate cost / forecast remains withheld.</t>
        </is>
      </c>
    </row>
    <row r="1350" ht="34" customHeight="1">
      <c r="A1350" s="12" t="inlineStr">
        <is>
          <t>Cost &amp; Forecast Control Accounts</t>
        </is>
      </c>
      <c r="B1350" s="12" t="inlineStr">
        <is>
          <t>CST-06-054</t>
        </is>
      </c>
      <c r="C1350" s="12" t="inlineStr">
        <is>
          <t>Program Management - program controls - field package</t>
        </is>
      </c>
      <c r="D1350" s="12" t="inlineStr">
        <is>
          <t>Cost Account = CA-6054; WBS Code = 1.6.2</t>
        </is>
      </c>
      <c r="E1350" s="12" t="inlineStr">
        <is>
          <t>R1536-v1</t>
        </is>
      </c>
      <c r="F1350" s="12" t="inlineStr">
        <is>
          <t>1.6.2 Program Management - Commercial &amp; Procurement</t>
        </is>
      </c>
      <c r="G1350" s="12" t="inlineStr">
        <is>
          <t>ONE_TO_ONE</t>
        </is>
      </c>
      <c r="H1350" s="12" t="inlineStr">
        <is>
          <t>APPROVED</t>
        </is>
      </c>
      <c r="I1350" s="12" t="inlineStr">
        <is>
          <t>New</t>
        </is>
      </c>
      <c r="J1350" s="12" t="inlineStr">
        <is>
          <t>Source assignment -- not individually reviewed</t>
        </is>
      </c>
      <c r="K1350" s="12" t="inlineStr"/>
      <c r="L1350" s="12" t="inlineStr"/>
      <c r="M1350" s="12" t="inlineStr"/>
      <c r="N1350" s="17" t="inlineStr">
        <is>
          <t>10 EVIDENCE &amp; DECISIONS</t>
        </is>
      </c>
      <c r="O1350" s="105" t="n">
        <v>1675000</v>
      </c>
      <c r="P1350" s="105" t="n">
        <v>1687500</v>
      </c>
      <c r="Q1350" s="105" t="inlineStr">
        <is>
          <t>CAD</t>
        </is>
      </c>
      <c r="R1350" s="105" t="n"/>
      <c r="S1350" s="105" t="inlineStr">
        <is>
          <t>2027-06-30</t>
        </is>
      </c>
      <c r="T1350" s="105" t="inlineStr">
        <is>
          <t>C1-R0</t>
        </is>
      </c>
      <c r="U1350" s="105" t="inlineStr">
        <is>
          <t>Supplied practice file monthly_cost_forecast.xlsx, row 455</t>
        </is>
      </c>
      <c r="V1350" s="105" t="inlineStr">
        <is>
          <t>Whole source account, not a target allocation. Repeated target rows must not be summed. Aggregate cost / forecast remains withheld.</t>
        </is>
      </c>
    </row>
    <row r="1351" ht="34" customHeight="1">
      <c r="A1351" s="12" t="inlineStr">
        <is>
          <t>Cost &amp; Forecast Control Accounts</t>
        </is>
      </c>
      <c r="B1351" s="12" t="inlineStr">
        <is>
          <t>CST-06-056</t>
        </is>
      </c>
      <c r="C1351" s="12" t="inlineStr">
        <is>
          <t>Program Management - stakeholder services - professional services</t>
        </is>
      </c>
      <c r="D1351" s="12" t="inlineStr">
        <is>
          <t>Cost Account = CA-6056; WBS Code = 1.6.2</t>
        </is>
      </c>
      <c r="E1351" s="12" t="inlineStr">
        <is>
          <t>R1538-v1</t>
        </is>
      </c>
      <c r="F1351" s="12" t="inlineStr">
        <is>
          <t>1.6.2 Program Management - Commercial &amp; Procurement</t>
        </is>
      </c>
      <c r="G1351" s="12" t="inlineStr">
        <is>
          <t>ONE_TO_ONE</t>
        </is>
      </c>
      <c r="H1351" s="12" t="inlineStr">
        <is>
          <t>APPROVED</t>
        </is>
      </c>
      <c r="I1351" s="12" t="inlineStr">
        <is>
          <t>New</t>
        </is>
      </c>
      <c r="J1351" s="12" t="inlineStr">
        <is>
          <t>Source assignment -- not individually reviewed</t>
        </is>
      </c>
      <c r="K1351" s="12" t="inlineStr"/>
      <c r="L1351" s="12" t="inlineStr"/>
      <c r="M1351" s="12" t="inlineStr"/>
      <c r="N1351" s="17" t="inlineStr">
        <is>
          <t>10 EVIDENCE &amp; DECISIONS</t>
        </is>
      </c>
      <c r="O1351" s="105" t="n">
        <v>1710000</v>
      </c>
      <c r="P1351" s="105" t="n">
        <v>1697500</v>
      </c>
      <c r="Q1351" s="105" t="inlineStr">
        <is>
          <t>CAD</t>
        </is>
      </c>
      <c r="R1351" s="105" t="n"/>
      <c r="S1351" s="105" t="inlineStr">
        <is>
          <t>2027-06-30</t>
        </is>
      </c>
      <c r="T1351" s="105" t="inlineStr">
        <is>
          <t>C1-R0</t>
        </is>
      </c>
      <c r="U1351" s="105" t="inlineStr">
        <is>
          <t>Supplied practice file monthly_cost_forecast.xlsx, row 457</t>
        </is>
      </c>
      <c r="V1351" s="105" t="inlineStr">
        <is>
          <t>Whole source account, not a target allocation. Repeated target rows must not be summed. Aggregate cost / forecast remains withheld.</t>
        </is>
      </c>
    </row>
    <row r="1352" ht="34" customHeight="1">
      <c r="A1352" s="12" t="inlineStr">
        <is>
          <t>Cost &amp; Forecast Control Accounts</t>
        </is>
      </c>
      <c r="B1352" s="12" t="inlineStr">
        <is>
          <t>CST-06-058</t>
        </is>
      </c>
      <c r="C1352" s="12" t="inlineStr">
        <is>
          <t>Program Management - design integration - closeout</t>
        </is>
      </c>
      <c r="D1352" s="12" t="inlineStr">
        <is>
          <t>Cost Account = CA-6058; WBS Code = 1.6.2</t>
        </is>
      </c>
      <c r="E1352" s="12" t="inlineStr">
        <is>
          <t>R1540-v1</t>
        </is>
      </c>
      <c r="F1352" s="12" t="inlineStr">
        <is>
          <t>1.6.2 Program Management - Commercial &amp; Procurement</t>
        </is>
      </c>
      <c r="G1352" s="12" t="inlineStr">
        <is>
          <t>ONE_TO_ONE</t>
        </is>
      </c>
      <c r="H1352" s="12" t="inlineStr">
        <is>
          <t>APPROVED</t>
        </is>
      </c>
      <c r="I1352" s="12" t="inlineStr">
        <is>
          <t>New</t>
        </is>
      </c>
      <c r="J1352" s="12" t="inlineStr">
        <is>
          <t>Source assignment -- not individually reviewed</t>
        </is>
      </c>
      <c r="K1352" s="12" t="inlineStr"/>
      <c r="L1352" s="12" t="inlineStr"/>
      <c r="M1352" s="12" t="inlineStr"/>
      <c r="N1352" s="17" t="inlineStr">
        <is>
          <t>10 EVIDENCE &amp; DECISIONS</t>
        </is>
      </c>
      <c r="O1352" s="105" t="n">
        <v>1745000</v>
      </c>
      <c r="P1352" s="105" t="n">
        <v>1757500</v>
      </c>
      <c r="Q1352" s="105" t="inlineStr">
        <is>
          <t>CAD</t>
        </is>
      </c>
      <c r="R1352" s="105" t="n"/>
      <c r="S1352" s="105" t="inlineStr">
        <is>
          <t>2027-06-30</t>
        </is>
      </c>
      <c r="T1352" s="105" t="inlineStr">
        <is>
          <t>C1-R0</t>
        </is>
      </c>
      <c r="U1352" s="105" t="inlineStr">
        <is>
          <t>Supplied practice file monthly_cost_forecast.xlsx, row 459</t>
        </is>
      </c>
      <c r="V1352" s="105" t="inlineStr">
        <is>
          <t>Whole source account, not a target allocation. Repeated target rows must not be summed. Aggregate cost / forecast remains withheld.</t>
        </is>
      </c>
    </row>
    <row r="1353" ht="34" customHeight="1">
      <c r="A1353" s="12" t="inlineStr">
        <is>
          <t>Cost &amp; Forecast Control Accounts</t>
        </is>
      </c>
      <c r="B1353" s="12" t="inlineStr">
        <is>
          <t>CST-06-060</t>
        </is>
      </c>
      <c r="C1353" s="12" t="inlineStr">
        <is>
          <t>Program Management - program controls - supply and install</t>
        </is>
      </c>
      <c r="D1353" s="12" t="inlineStr">
        <is>
          <t>Cost Account = CA-6060; WBS Code = 1.6.2</t>
        </is>
      </c>
      <c r="E1353" s="12" t="inlineStr">
        <is>
          <t>R1542-v1</t>
        </is>
      </c>
      <c r="F1353" s="12" t="inlineStr">
        <is>
          <t>1.6.2 Program Management - Commercial &amp; Procurement</t>
        </is>
      </c>
      <c r="G1353" s="12" t="inlineStr">
        <is>
          <t>ONE_TO_ONE</t>
        </is>
      </c>
      <c r="H1353" s="12" t="inlineStr">
        <is>
          <t>APPROVED</t>
        </is>
      </c>
      <c r="I1353" s="12" t="inlineStr">
        <is>
          <t>New</t>
        </is>
      </c>
      <c r="J1353" s="12" t="inlineStr">
        <is>
          <t>Source assignment -- not individually reviewed</t>
        </is>
      </c>
      <c r="K1353" s="12" t="inlineStr"/>
      <c r="L1353" s="12" t="inlineStr"/>
      <c r="M1353" s="12" t="inlineStr"/>
      <c r="N1353" s="17" t="inlineStr">
        <is>
          <t>10 EVIDENCE &amp; DECISIONS</t>
        </is>
      </c>
      <c r="O1353" s="105" t="n">
        <v>1780000</v>
      </c>
      <c r="P1353" s="105" t="n">
        <v>1767500</v>
      </c>
      <c r="Q1353" s="105" t="inlineStr">
        <is>
          <t>CAD</t>
        </is>
      </c>
      <c r="R1353" s="105" t="n"/>
      <c r="S1353" s="105" t="inlineStr">
        <is>
          <t>2027-06-30</t>
        </is>
      </c>
      <c r="T1353" s="105" t="inlineStr">
        <is>
          <t>C1-R0</t>
        </is>
      </c>
      <c r="U1353" s="105" t="inlineStr">
        <is>
          <t>Supplied practice file monthly_cost_forecast.xlsx, row 461</t>
        </is>
      </c>
      <c r="V1353" s="105" t="inlineStr">
        <is>
          <t>Whole source account, not a target allocation. Repeated target rows must not be summed. Aggregate cost / forecast remains withheld.</t>
        </is>
      </c>
    </row>
    <row r="1354" ht="34" customHeight="1">
      <c r="A1354" s="12" t="inlineStr">
        <is>
          <t>Cost &amp; Forecast Control Accounts</t>
        </is>
      </c>
      <c r="B1354" s="12" t="inlineStr">
        <is>
          <t>CST-06-062</t>
        </is>
      </c>
      <c r="C1354" s="12" t="inlineStr">
        <is>
          <t>Program Management - stakeholder services - allowance</t>
        </is>
      </c>
      <c r="D1354" s="12" t="inlineStr">
        <is>
          <t>Cost Account = CA-6062; WBS Code = 1.6.2</t>
        </is>
      </c>
      <c r="E1354" s="12" t="inlineStr">
        <is>
          <t>R1544-v1</t>
        </is>
      </c>
      <c r="F1354" s="12" t="inlineStr">
        <is>
          <t>1.6.2 Program Management - Commercial &amp; Procurement</t>
        </is>
      </c>
      <c r="G1354" s="12" t="inlineStr">
        <is>
          <t>ONE_TO_ONE</t>
        </is>
      </c>
      <c r="H1354" s="12" t="inlineStr">
        <is>
          <t>APPROVED</t>
        </is>
      </c>
      <c r="I1354" s="12" t="inlineStr">
        <is>
          <t>New</t>
        </is>
      </c>
      <c r="J1354" s="12" t="inlineStr">
        <is>
          <t>Source assignment -- not individually reviewed</t>
        </is>
      </c>
      <c r="K1354" s="12" t="inlineStr"/>
      <c r="L1354" s="12" t="inlineStr"/>
      <c r="M1354" s="12" t="inlineStr"/>
      <c r="N1354" s="17" t="inlineStr">
        <is>
          <t>10 EVIDENCE &amp; DECISIONS</t>
        </is>
      </c>
      <c r="O1354" s="105" t="n">
        <v>1815000</v>
      </c>
      <c r="P1354" s="105" t="n">
        <v>1827500</v>
      </c>
      <c r="Q1354" s="105" t="inlineStr">
        <is>
          <t>CAD</t>
        </is>
      </c>
      <c r="R1354" s="105" t="n"/>
      <c r="S1354" s="105" t="inlineStr">
        <is>
          <t>2027-06-30</t>
        </is>
      </c>
      <c r="T1354" s="105" t="inlineStr">
        <is>
          <t>C1-R0</t>
        </is>
      </c>
      <c r="U1354" s="105" t="inlineStr">
        <is>
          <t>Supplied practice file monthly_cost_forecast.xlsx, row 463</t>
        </is>
      </c>
      <c r="V1354" s="105" t="inlineStr">
        <is>
          <t>Whole source account, not a target allocation. Repeated target rows must not be summed. Aggregate cost / forecast remains withheld.</t>
        </is>
      </c>
    </row>
    <row r="1355" ht="34" customHeight="1">
      <c r="A1355" s="12" t="inlineStr">
        <is>
          <t>Cost &amp; Forecast Control Accounts</t>
        </is>
      </c>
      <c r="B1355" s="12" t="inlineStr">
        <is>
          <t>CST-06-064</t>
        </is>
      </c>
      <c r="C1355" s="12" t="inlineStr">
        <is>
          <t>Program Management - design integration - field package</t>
        </is>
      </c>
      <c r="D1355" s="12" t="inlineStr">
        <is>
          <t>Cost Account = CA-6064; WBS Code = 1.6.2</t>
        </is>
      </c>
      <c r="E1355" s="12" t="inlineStr">
        <is>
          <t>R1546-v1</t>
        </is>
      </c>
      <c r="F1355" s="12" t="inlineStr">
        <is>
          <t>1.6.2 Program Management - Commercial &amp; Procurement</t>
        </is>
      </c>
      <c r="G1355" s="12" t="inlineStr">
        <is>
          <t>ONE_TO_ONE</t>
        </is>
      </c>
      <c r="H1355" s="12" t="inlineStr">
        <is>
          <t>APPROVED</t>
        </is>
      </c>
      <c r="I1355" s="12" t="inlineStr">
        <is>
          <t>New</t>
        </is>
      </c>
      <c r="J1355" s="12" t="inlineStr">
        <is>
          <t>Source assignment -- not individually reviewed</t>
        </is>
      </c>
      <c r="K1355" s="12" t="inlineStr"/>
      <c r="L1355" s="12" t="inlineStr"/>
      <c r="M1355" s="12" t="inlineStr"/>
      <c r="N1355" s="17" t="inlineStr">
        <is>
          <t>10 EVIDENCE &amp; DECISIONS</t>
        </is>
      </c>
      <c r="O1355" s="105" t="n">
        <v>1850000</v>
      </c>
      <c r="P1355" s="105" t="n">
        <v>1837500</v>
      </c>
      <c r="Q1355" s="105" t="inlineStr">
        <is>
          <t>CAD</t>
        </is>
      </c>
      <c r="R1355" s="105" t="n"/>
      <c r="S1355" s="105" t="inlineStr">
        <is>
          <t>2027-06-30</t>
        </is>
      </c>
      <c r="T1355" s="105" t="inlineStr">
        <is>
          <t>C1-R0</t>
        </is>
      </c>
      <c r="U1355" s="105" t="inlineStr">
        <is>
          <t>Supplied practice file monthly_cost_forecast.xlsx, row 465</t>
        </is>
      </c>
      <c r="V1355" s="105" t="inlineStr">
        <is>
          <t>Whole source account, not a target allocation. Repeated target rows must not be summed. Aggregate cost / forecast remains withheld.</t>
        </is>
      </c>
    </row>
    <row r="1356" ht="34" customHeight="1">
      <c r="A1356" s="12" t="inlineStr">
        <is>
          <t>Cost &amp; Forecast Control Accounts</t>
        </is>
      </c>
      <c r="B1356" s="12" t="inlineStr">
        <is>
          <t>CST-06-066</t>
        </is>
      </c>
      <c r="C1356" s="12" t="inlineStr">
        <is>
          <t>Program Management - program controls - professional services</t>
        </is>
      </c>
      <c r="D1356" s="12" t="inlineStr">
        <is>
          <t>Cost Account = CA-6066; WBS Code = 1.6.2</t>
        </is>
      </c>
      <c r="E1356" s="12" t="inlineStr">
        <is>
          <t>R1548-v1</t>
        </is>
      </c>
      <c r="F1356" s="12" t="inlineStr">
        <is>
          <t>1.6.2 Program Management - Commercial &amp; Procurement</t>
        </is>
      </c>
      <c r="G1356" s="12" t="inlineStr">
        <is>
          <t>ONE_TO_ONE</t>
        </is>
      </c>
      <c r="H1356" s="12" t="inlineStr">
        <is>
          <t>APPROVED</t>
        </is>
      </c>
      <c r="I1356" s="12" t="inlineStr">
        <is>
          <t>New</t>
        </is>
      </c>
      <c r="J1356" s="12" t="inlineStr">
        <is>
          <t>Source assignment -- not individually reviewed</t>
        </is>
      </c>
      <c r="K1356" s="12" t="inlineStr"/>
      <c r="L1356" s="12" t="inlineStr"/>
      <c r="M1356" s="12" t="inlineStr"/>
      <c r="N1356" s="17" t="inlineStr">
        <is>
          <t>10 EVIDENCE &amp; DECISIONS</t>
        </is>
      </c>
      <c r="O1356" s="105" t="n">
        <v>1885000</v>
      </c>
      <c r="P1356" s="105" t="n">
        <v>1897500</v>
      </c>
      <c r="Q1356" s="105" t="inlineStr">
        <is>
          <t>CAD</t>
        </is>
      </c>
      <c r="R1356" s="105" t="n"/>
      <c r="S1356" s="105" t="inlineStr">
        <is>
          <t>2027-06-30</t>
        </is>
      </c>
      <c r="T1356" s="105" t="inlineStr">
        <is>
          <t>C1-R0</t>
        </is>
      </c>
      <c r="U1356" s="105" t="inlineStr">
        <is>
          <t>Supplied practice file monthly_cost_forecast.xlsx, row 467</t>
        </is>
      </c>
      <c r="V1356" s="105" t="inlineStr">
        <is>
          <t>Whole source account, not a target allocation. Repeated target rows must not be summed. Aggregate cost / forecast remains withheld.</t>
        </is>
      </c>
    </row>
    <row r="1357" ht="34" customHeight="1">
      <c r="A1357" s="12" t="inlineStr">
        <is>
          <t>Cost &amp; Forecast Control Accounts</t>
        </is>
      </c>
      <c r="B1357" s="12" t="inlineStr">
        <is>
          <t>CST-06-068</t>
        </is>
      </c>
      <c r="C1357" s="12" t="inlineStr">
        <is>
          <t>Program Management - stakeholder services - closeout</t>
        </is>
      </c>
      <c r="D1357" s="12" t="inlineStr">
        <is>
          <t>Cost Account = CA-6068; WBS Code = 1.6.2</t>
        </is>
      </c>
      <c r="E1357" s="12" t="inlineStr">
        <is>
          <t>R1550-v1</t>
        </is>
      </c>
      <c r="F1357" s="12" t="inlineStr">
        <is>
          <t>1.6.2 Program Management - Commercial &amp; Procurement</t>
        </is>
      </c>
      <c r="G1357" s="12" t="inlineStr">
        <is>
          <t>ONE_TO_ONE</t>
        </is>
      </c>
      <c r="H1357" s="12" t="inlineStr">
        <is>
          <t>APPROVED</t>
        </is>
      </c>
      <c r="I1357" s="12" t="inlineStr">
        <is>
          <t>New</t>
        </is>
      </c>
      <c r="J1357" s="12" t="inlineStr">
        <is>
          <t>Source assignment -- not individually reviewed</t>
        </is>
      </c>
      <c r="K1357" s="12" t="inlineStr"/>
      <c r="L1357" s="12" t="inlineStr"/>
      <c r="M1357" s="12" t="inlineStr"/>
      <c r="N1357" s="17" t="inlineStr">
        <is>
          <t>10 EVIDENCE &amp; DECISIONS</t>
        </is>
      </c>
      <c r="O1357" s="105" t="n">
        <v>1920000</v>
      </c>
      <c r="P1357" s="105" t="n">
        <v>1907500</v>
      </c>
      <c r="Q1357" s="105" t="inlineStr">
        <is>
          <t>CAD</t>
        </is>
      </c>
      <c r="R1357" s="105" t="n"/>
      <c r="S1357" s="105" t="inlineStr">
        <is>
          <t>2027-06-30</t>
        </is>
      </c>
      <c r="T1357" s="105" t="inlineStr">
        <is>
          <t>C1-R0</t>
        </is>
      </c>
      <c r="U1357" s="105" t="inlineStr">
        <is>
          <t>Supplied practice file monthly_cost_forecast.xlsx, row 469</t>
        </is>
      </c>
      <c r="V1357" s="105" t="inlineStr">
        <is>
          <t>Whole source account, not a target allocation. Repeated target rows must not be summed. Aggregate cost / forecast remains withheld.</t>
        </is>
      </c>
    </row>
    <row r="1358" ht="34" customHeight="1">
      <c r="A1358" s="12" t="inlineStr">
        <is>
          <t>Cost &amp; Forecast Control Accounts</t>
        </is>
      </c>
      <c r="B1358" s="12" t="inlineStr">
        <is>
          <t>CST-06-070</t>
        </is>
      </c>
      <c r="C1358" s="12" t="inlineStr">
        <is>
          <t>Program Management - design integration - supply and install</t>
        </is>
      </c>
      <c r="D1358" s="12" t="inlineStr">
        <is>
          <t>Cost Account = CA-6070; WBS Code = 1.6.2</t>
        </is>
      </c>
      <c r="E1358" s="12" t="inlineStr">
        <is>
          <t>R1552-v1</t>
        </is>
      </c>
      <c r="F1358" s="12" t="inlineStr">
        <is>
          <t>1.6.2 Program Management - Commercial &amp; Procurement</t>
        </is>
      </c>
      <c r="G1358" s="12" t="inlineStr">
        <is>
          <t>ONE_TO_ONE</t>
        </is>
      </c>
      <c r="H1358" s="12" t="inlineStr">
        <is>
          <t>APPROVED</t>
        </is>
      </c>
      <c r="I1358" s="12" t="inlineStr">
        <is>
          <t>New</t>
        </is>
      </c>
      <c r="J1358" s="12" t="inlineStr">
        <is>
          <t>Source assignment -- not individually reviewed</t>
        </is>
      </c>
      <c r="K1358" s="12" t="inlineStr"/>
      <c r="L1358" s="12" t="inlineStr"/>
      <c r="M1358" s="12" t="inlineStr"/>
      <c r="N1358" s="17" t="inlineStr">
        <is>
          <t>10 EVIDENCE &amp; DECISIONS</t>
        </is>
      </c>
      <c r="O1358" s="105" t="n">
        <v>1955000</v>
      </c>
      <c r="P1358" s="105" t="n">
        <v>1967500</v>
      </c>
      <c r="Q1358" s="105" t="inlineStr">
        <is>
          <t>CAD</t>
        </is>
      </c>
      <c r="R1358" s="105" t="n"/>
      <c r="S1358" s="105" t="inlineStr">
        <is>
          <t>2027-06-30</t>
        </is>
      </c>
      <c r="T1358" s="105" t="inlineStr">
        <is>
          <t>C1-R0</t>
        </is>
      </c>
      <c r="U1358" s="105" t="inlineStr">
        <is>
          <t>Supplied practice file monthly_cost_forecast.xlsx, row 471</t>
        </is>
      </c>
      <c r="V1358" s="105" t="inlineStr">
        <is>
          <t>Whole source account, not a target allocation. Repeated target rows must not be summed. Aggregate cost / forecast remains withheld.</t>
        </is>
      </c>
    </row>
    <row r="1359" ht="34" customHeight="1">
      <c r="A1359" s="12" t="inlineStr">
        <is>
          <t>Cost &amp; Forecast Control Accounts</t>
        </is>
      </c>
      <c r="B1359" s="12" t="inlineStr">
        <is>
          <t>CST-06-072</t>
        </is>
      </c>
      <c r="C1359" s="12" t="inlineStr">
        <is>
          <t>Program Management - program controls - allowance</t>
        </is>
      </c>
      <c r="D1359" s="12" t="inlineStr">
        <is>
          <t>Cost Account = CA-6072; WBS Code = 1.6.2</t>
        </is>
      </c>
      <c r="E1359" s="12" t="inlineStr">
        <is>
          <t>R1554-v1</t>
        </is>
      </c>
      <c r="F1359" s="12" t="inlineStr">
        <is>
          <t>1.6.2 Program Management - Commercial &amp; Procurement</t>
        </is>
      </c>
      <c r="G1359" s="12" t="inlineStr">
        <is>
          <t>ONE_TO_ONE</t>
        </is>
      </c>
      <c r="H1359" s="12" t="inlineStr">
        <is>
          <t>APPROVED</t>
        </is>
      </c>
      <c r="I1359" s="12" t="inlineStr">
        <is>
          <t>New</t>
        </is>
      </c>
      <c r="J1359" s="12" t="inlineStr">
        <is>
          <t>Source assignment -- not individually reviewed</t>
        </is>
      </c>
      <c r="K1359" s="12" t="inlineStr"/>
      <c r="L1359" s="12" t="inlineStr"/>
      <c r="M1359" s="12" t="inlineStr"/>
      <c r="N1359" s="17" t="inlineStr">
        <is>
          <t>10 EVIDENCE &amp; DECISIONS</t>
        </is>
      </c>
      <c r="O1359" s="105" t="n">
        <v>1990000</v>
      </c>
      <c r="P1359" s="105" t="n">
        <v>1977500</v>
      </c>
      <c r="Q1359" s="105" t="inlineStr">
        <is>
          <t>CAD</t>
        </is>
      </c>
      <c r="R1359" s="105" t="n"/>
      <c r="S1359" s="105" t="inlineStr">
        <is>
          <t>2027-06-30</t>
        </is>
      </c>
      <c r="T1359" s="105" t="inlineStr">
        <is>
          <t>C1-R0</t>
        </is>
      </c>
      <c r="U1359" s="105" t="inlineStr">
        <is>
          <t>Supplied practice file monthly_cost_forecast.xlsx, row 473</t>
        </is>
      </c>
      <c r="V1359" s="105" t="inlineStr">
        <is>
          <t>Whole source account, not a target allocation. Repeated target rows must not be summed. Aggregate cost / forecast remains withheld.</t>
        </is>
      </c>
    </row>
    <row r="1360" ht="34" customHeight="1">
      <c r="A1360" s="12" t="inlineStr">
        <is>
          <t>Cost &amp; Forecast Control Accounts</t>
        </is>
      </c>
      <c r="B1360" s="12" t="inlineStr">
        <is>
          <t>CST-06-074</t>
        </is>
      </c>
      <c r="C1360" s="12" t="inlineStr">
        <is>
          <t>Program Management - stakeholder services - field package</t>
        </is>
      </c>
      <c r="D1360" s="12" t="inlineStr">
        <is>
          <t>Cost Account = CA-6074; WBS Code = 1.6.2</t>
        </is>
      </c>
      <c r="E1360" s="12" t="inlineStr">
        <is>
          <t>R1556-v1</t>
        </is>
      </c>
      <c r="F1360" s="12" t="inlineStr">
        <is>
          <t>1.6.2 Program Management - Commercial &amp; Procurement</t>
        </is>
      </c>
      <c r="G1360" s="12" t="inlineStr">
        <is>
          <t>ONE_TO_ONE</t>
        </is>
      </c>
      <c r="H1360" s="12" t="inlineStr">
        <is>
          <t>APPROVED</t>
        </is>
      </c>
      <c r="I1360" s="12" t="inlineStr">
        <is>
          <t>New</t>
        </is>
      </c>
      <c r="J1360" s="12" t="inlineStr">
        <is>
          <t>Source assignment -- not individually reviewed</t>
        </is>
      </c>
      <c r="K1360" s="12" t="inlineStr"/>
      <c r="L1360" s="12" t="inlineStr"/>
      <c r="M1360" s="12" t="inlineStr"/>
      <c r="N1360" s="17" t="inlineStr">
        <is>
          <t>10 EVIDENCE &amp; DECISIONS</t>
        </is>
      </c>
      <c r="O1360" s="105" t="n">
        <v>2025000</v>
      </c>
      <c r="P1360" s="105" t="n">
        <v>2037500</v>
      </c>
      <c r="Q1360" s="105" t="inlineStr">
        <is>
          <t>CAD</t>
        </is>
      </c>
      <c r="R1360" s="105" t="n"/>
      <c r="S1360" s="105" t="inlineStr">
        <is>
          <t>2027-06-30</t>
        </is>
      </c>
      <c r="T1360" s="105" t="inlineStr">
        <is>
          <t>C1-R0</t>
        </is>
      </c>
      <c r="U1360" s="105" t="inlineStr">
        <is>
          <t>Supplied practice file monthly_cost_forecast.xlsx, row 475</t>
        </is>
      </c>
      <c r="V1360" s="105" t="inlineStr">
        <is>
          <t>Whole source account, not a target allocation. Repeated target rows must not be summed. Aggregate cost / forecast remains withheld.</t>
        </is>
      </c>
    </row>
    <row r="1361" ht="34" customHeight="1">
      <c r="A1361" s="12" t="inlineStr">
        <is>
          <t>Cost &amp; Forecast Control Accounts</t>
        </is>
      </c>
      <c r="B1361" s="12" t="inlineStr">
        <is>
          <t>CST-06-076</t>
        </is>
      </c>
      <c r="C1361" s="12" t="inlineStr">
        <is>
          <t>Program Management - design integration - professional services</t>
        </is>
      </c>
      <c r="D1361" s="12" t="inlineStr">
        <is>
          <t>Cost Account = CA-6076; WBS Code = 1.6.2</t>
        </is>
      </c>
      <c r="E1361" s="12" t="inlineStr">
        <is>
          <t>R1558-v1</t>
        </is>
      </c>
      <c r="F1361" s="12" t="inlineStr">
        <is>
          <t>1.6.2 Program Management - Commercial &amp; Procurement</t>
        </is>
      </c>
      <c r="G1361" s="12" t="inlineStr">
        <is>
          <t>ONE_TO_ONE</t>
        </is>
      </c>
      <c r="H1361" s="12" t="inlineStr">
        <is>
          <t>APPROVED</t>
        </is>
      </c>
      <c r="I1361" s="12" t="inlineStr">
        <is>
          <t>New</t>
        </is>
      </c>
      <c r="J1361" s="12" t="inlineStr">
        <is>
          <t>Source assignment -- not individually reviewed</t>
        </is>
      </c>
      <c r="K1361" s="12" t="inlineStr"/>
      <c r="L1361" s="12" t="inlineStr"/>
      <c r="M1361" s="12" t="inlineStr"/>
      <c r="N1361" s="17" t="inlineStr">
        <is>
          <t>10 EVIDENCE &amp; DECISIONS</t>
        </is>
      </c>
      <c r="O1361" s="105" t="n">
        <v>2060000</v>
      </c>
      <c r="P1361" s="105" t="n">
        <v>2047500</v>
      </c>
      <c r="Q1361" s="105" t="inlineStr">
        <is>
          <t>CAD</t>
        </is>
      </c>
      <c r="R1361" s="105" t="n"/>
      <c r="S1361" s="105" t="inlineStr">
        <is>
          <t>2027-06-30</t>
        </is>
      </c>
      <c r="T1361" s="105" t="inlineStr">
        <is>
          <t>C1-R0</t>
        </is>
      </c>
      <c r="U1361" s="105" t="inlineStr">
        <is>
          <t>Supplied practice file monthly_cost_forecast.xlsx, row 477</t>
        </is>
      </c>
      <c r="V1361" s="105" t="inlineStr">
        <is>
          <t>Whole source account, not a target allocation. Repeated target rows must not be summed. Aggregate cost / forecast remains withheld.</t>
        </is>
      </c>
    </row>
    <row r="1362" ht="34" customHeight="1">
      <c r="A1362" s="12" t="inlineStr">
        <is>
          <t>Cost &amp; Forecast Control Accounts</t>
        </is>
      </c>
      <c r="B1362" s="12" t="inlineStr">
        <is>
          <t>CST-06-078</t>
        </is>
      </c>
      <c r="C1362" s="12" t="inlineStr">
        <is>
          <t>Program Management - program controls - closeout</t>
        </is>
      </c>
      <c r="D1362" s="12" t="inlineStr">
        <is>
          <t>Cost Account = CA-6078; WBS Code = 1.6.2</t>
        </is>
      </c>
      <c r="E1362" s="12" t="inlineStr">
        <is>
          <t>R1560-v1</t>
        </is>
      </c>
      <c r="F1362" s="12" t="inlineStr">
        <is>
          <t>1.6.2 Program Management - Commercial &amp; Procurement</t>
        </is>
      </c>
      <c r="G1362" s="12" t="inlineStr">
        <is>
          <t>ONE_TO_ONE</t>
        </is>
      </c>
      <c r="H1362" s="12" t="inlineStr">
        <is>
          <t>APPROVED</t>
        </is>
      </c>
      <c r="I1362" s="12" t="inlineStr">
        <is>
          <t>New</t>
        </is>
      </c>
      <c r="J1362" s="12" t="inlineStr">
        <is>
          <t>Source assignment -- not individually reviewed</t>
        </is>
      </c>
      <c r="K1362" s="12" t="inlineStr"/>
      <c r="L1362" s="12" t="inlineStr"/>
      <c r="M1362" s="12" t="inlineStr"/>
      <c r="N1362" s="17" t="inlineStr">
        <is>
          <t>10 EVIDENCE &amp; DECISIONS</t>
        </is>
      </c>
      <c r="O1362" s="105" t="n">
        <v>2095000</v>
      </c>
      <c r="P1362" s="105" t="n">
        <v>2107500</v>
      </c>
      <c r="Q1362" s="105" t="inlineStr">
        <is>
          <t>CAD</t>
        </is>
      </c>
      <c r="R1362" s="105" t="n"/>
      <c r="S1362" s="105" t="inlineStr">
        <is>
          <t>2027-06-30</t>
        </is>
      </c>
      <c r="T1362" s="105" t="inlineStr">
        <is>
          <t>C1-R0</t>
        </is>
      </c>
      <c r="U1362" s="105" t="inlineStr">
        <is>
          <t>Supplied practice file monthly_cost_forecast.xlsx, row 479</t>
        </is>
      </c>
      <c r="V1362" s="105" t="inlineStr">
        <is>
          <t>Whole source account, not a target allocation. Repeated target rows must not be summed. Aggregate cost / forecast remains withheld.</t>
        </is>
      </c>
    </row>
    <row r="1363" ht="34" customHeight="1">
      <c r="A1363" s="12" t="inlineStr">
        <is>
          <t>Cost &amp; Forecast Control Accounts</t>
        </is>
      </c>
      <c r="B1363" s="12" t="inlineStr">
        <is>
          <t>CST-06-080</t>
        </is>
      </c>
      <c r="C1363" s="12" t="inlineStr">
        <is>
          <t>Program Management - stakeholder services - supply and install</t>
        </is>
      </c>
      <c r="D1363" s="12" t="inlineStr">
        <is>
          <t>Cost Account = CA-6080; WBS Code = 1.6.2</t>
        </is>
      </c>
      <c r="E1363" s="12" t="inlineStr">
        <is>
          <t>R1562-v1</t>
        </is>
      </c>
      <c r="F1363" s="12" t="inlineStr">
        <is>
          <t>1.6.2 Program Management - Commercial &amp; Procurement</t>
        </is>
      </c>
      <c r="G1363" s="12" t="inlineStr">
        <is>
          <t>ONE_TO_ONE</t>
        </is>
      </c>
      <c r="H1363" s="12" t="inlineStr">
        <is>
          <t>APPROVED</t>
        </is>
      </c>
      <c r="I1363" s="12" t="inlineStr">
        <is>
          <t>New</t>
        </is>
      </c>
      <c r="J1363" s="12" t="inlineStr">
        <is>
          <t>Source assignment -- not individually reviewed</t>
        </is>
      </c>
      <c r="K1363" s="12" t="inlineStr"/>
      <c r="L1363" s="12" t="inlineStr"/>
      <c r="M1363" s="12" t="inlineStr"/>
      <c r="N1363" s="17" t="inlineStr">
        <is>
          <t>10 EVIDENCE &amp; DECISIONS</t>
        </is>
      </c>
      <c r="O1363" s="105" t="n">
        <v>2130000</v>
      </c>
      <c r="P1363" s="105" t="n">
        <v>2117500</v>
      </c>
      <c r="Q1363" s="105" t="inlineStr">
        <is>
          <t>CAD</t>
        </is>
      </c>
      <c r="R1363" s="105" t="n"/>
      <c r="S1363" s="105" t="inlineStr">
        <is>
          <t>2027-06-30</t>
        </is>
      </c>
      <c r="T1363" s="105" t="inlineStr">
        <is>
          <t>C1-R0</t>
        </is>
      </c>
      <c r="U1363" s="105" t="inlineStr">
        <is>
          <t>Supplied practice file monthly_cost_forecast.xlsx, row 481</t>
        </is>
      </c>
      <c r="V1363" s="105" t="inlineStr">
        <is>
          <t>Whole source account, not a target allocation. Repeated target rows must not be summed. Aggregate cost / forecast remains withheld.</t>
        </is>
      </c>
    </row>
    <row r="1364" ht="94" customHeight="1">
      <c r="A1364" s="12" t="inlineStr">
        <is>
          <t>Contractor Programme</t>
        </is>
      </c>
      <c r="B1364" s="12" t="inlineStr">
        <is>
          <t>SCH-90-901</t>
        </is>
      </c>
      <c r="C1364" s="12" t="inlineStr">
        <is>
          <t>Temporary offsite logistics compound</t>
        </is>
      </c>
      <c r="D1364" s="12" t="inlineStr">
        <is>
          <t>WBS Code = 2.1</t>
        </is>
      </c>
      <c r="E1364" s="12" t="inlineStr">
        <is>
          <t>R1081-v2</t>
        </is>
      </c>
      <c r="F1364" s="12" t="inlineStr">
        <is>
          <t>NEW_SCOPE</t>
        </is>
      </c>
      <c r="G1364" s="12" t="inlineStr">
        <is>
          <t>NEW_SCOPE</t>
        </is>
      </c>
      <c r="H1364" s="12" t="inlineStr">
        <is>
          <t>APPROVED</t>
        </is>
      </c>
      <c r="I1364" s="12" t="inlineStr">
        <is>
          <t>New</t>
        </is>
      </c>
      <c r="J1364" s="12" t="inlineStr">
        <is>
          <t>Professional decision</t>
        </is>
      </c>
      <c r="K1364" s="12" t="inlineStr">
        <is>
          <t>Maya Chen, Owner Project Controls</t>
        </is>
      </c>
      <c r="L1364" s="12" t="inlineStr"/>
      <c r="M1364" s="12" t="inlineStr">
        <is>
          <t>Source states 'WBS Code' = '2.1' -- names no element of this WBS -- professional reason (Maya Chen, Owner Project Controls): Source states a project-delivery code outside the currently approved Owner WBS.</t>
        </is>
      </c>
      <c r="N1364" s="17" t="inlineStr">
        <is>
          <t>10 EVIDENCE &amp; DECISIONS</t>
        </is>
      </c>
    </row>
    <row r="1365" ht="34" customHeight="1">
      <c r="A1365" s="12" t="inlineStr">
        <is>
          <t>Contractor Programme</t>
        </is>
      </c>
      <c r="B1365" s="12" t="inlineStr">
        <is>
          <t>SCH-90-902</t>
        </is>
      </c>
      <c r="C1365" s="12" t="inlineStr">
        <is>
          <t>Corporate training unrelated to project delivery scope</t>
        </is>
      </c>
      <c r="D1365" s="12" t="inlineStr"/>
      <c r="E1365" s="12" t="inlineStr">
        <is>
          <t>R1082-v2</t>
        </is>
      </c>
      <c r="F1365" s="12" t="inlineStr">
        <is>
          <t>NO_WBS</t>
        </is>
      </c>
      <c r="G1365" s="12" t="inlineStr">
        <is>
          <t>NO_WBS</t>
        </is>
      </c>
      <c r="H1365" s="12" t="inlineStr">
        <is>
          <t>APPROVED</t>
        </is>
      </c>
      <c r="I1365" s="12" t="inlineStr">
        <is>
          <t>New</t>
        </is>
      </c>
      <c r="J1365" s="12" t="inlineStr">
        <is>
          <t>Professional decision</t>
        </is>
      </c>
      <c r="K1365" s="12" t="inlineStr">
        <is>
          <t>Maya Chen, Owner Project Controls</t>
        </is>
      </c>
      <c r="L1365" s="12" t="inlineStr"/>
      <c r="M1365" s="12" t="inlineStr"/>
      <c r="N1365" s="17" t="inlineStr">
        <is>
          <t>10 EVIDENCE &amp; DECISIONS</t>
        </is>
      </c>
    </row>
    <row r="1366" ht="34" customHeight="1">
      <c r="A1366" s="12" t="inlineStr">
        <is>
          <t>Contractor Programme</t>
        </is>
      </c>
      <c r="B1366" s="12" t="inlineStr">
        <is>
          <t>SCH-02-003</t>
        </is>
      </c>
      <c r="C1366" s="12" t="inlineStr">
        <is>
          <t>Interface works near stations boundary</t>
        </is>
      </c>
      <c r="D1366" s="12" t="inlineStr"/>
      <c r="E1366" s="12" t="inlineStr">
        <is>
          <t>R183-v2</t>
        </is>
      </c>
      <c r="F1366" s="12" t="inlineStr">
        <is>
          <t>UNSURE</t>
        </is>
      </c>
      <c r="G1366" s="12" t="inlineStr">
        <is>
          <t>UNSURE</t>
        </is>
      </c>
      <c r="H1366" s="12" t="inlineStr">
        <is>
          <t>APPROVED</t>
        </is>
      </c>
      <c r="I1366" s="12" t="inlineStr">
        <is>
          <t>New</t>
        </is>
      </c>
      <c r="J1366" s="12" t="inlineStr">
        <is>
          <t>Professional decision</t>
        </is>
      </c>
      <c r="K1366" s="12" t="inlineStr">
        <is>
          <t>Maya Chen, Owner Project Controls</t>
        </is>
      </c>
      <c r="L1366" s="12" t="inlineStr"/>
      <c r="M1366" s="12" t="inlineStr"/>
      <c r="N1366" s="17" t="inlineStr">
        <is>
          <t>10 EVIDENCE &amp; DECISIONS</t>
        </is>
      </c>
    </row>
    <row r="1367" ht="34" customHeight="1">
      <c r="A1367" s="12" t="inlineStr">
        <is>
          <t>Contractor Programme</t>
        </is>
      </c>
      <c r="B1367" s="12" t="inlineStr">
        <is>
          <t>SCH-04-003</t>
        </is>
      </c>
      <c r="C1367" s="12" t="inlineStr">
        <is>
          <t>Interface works near vehicles and depot boundary</t>
        </is>
      </c>
      <c r="D1367" s="12" t="inlineStr"/>
      <c r="E1367" s="12" t="inlineStr">
        <is>
          <t>R543-v2</t>
        </is>
      </c>
      <c r="F1367" s="12" t="inlineStr">
        <is>
          <t>UNSURE</t>
        </is>
      </c>
      <c r="G1367" s="12" t="inlineStr">
        <is>
          <t>UNSURE</t>
        </is>
      </c>
      <c r="H1367" s="12" t="inlineStr">
        <is>
          <t>APPROVED</t>
        </is>
      </c>
      <c r="I1367" s="12" t="inlineStr">
        <is>
          <t>New</t>
        </is>
      </c>
      <c r="J1367" s="12" t="inlineStr">
        <is>
          <t>Professional decision</t>
        </is>
      </c>
      <c r="K1367" s="12" t="inlineStr">
        <is>
          <t>Maya Chen, Owner Project Controls</t>
        </is>
      </c>
      <c r="L1367" s="12" t="inlineStr"/>
      <c r="M1367" s="12" t="inlineStr"/>
      <c r="N1367" s="17" t="inlineStr">
        <is>
          <t>10 EVIDENCE &amp; DECISIONS</t>
        </is>
      </c>
    </row>
    <row r="1368" ht="34" customHeight="1">
      <c r="A1368" s="12" t="inlineStr">
        <is>
          <t>Contractor Programme</t>
        </is>
      </c>
      <c r="B1368" s="12" t="inlineStr">
        <is>
          <t>SCH-06-001</t>
        </is>
      </c>
      <c r="C1368" s="12" t="inlineStr">
        <is>
          <t>Systems package: commercial change review - installation</t>
        </is>
      </c>
      <c r="D1368" s="12" t="inlineStr"/>
      <c r="E1368" s="12" t="inlineStr">
        <is>
          <t>R901-v2</t>
        </is>
      </c>
      <c r="F1368" s="12" t="inlineStr">
        <is>
          <t>UNSURE</t>
        </is>
      </c>
      <c r="G1368" s="12" t="inlineStr">
        <is>
          <t>UNSURE</t>
        </is>
      </c>
      <c r="H1368" s="12" t="inlineStr">
        <is>
          <t>APPROVED</t>
        </is>
      </c>
      <c r="I1368" s="12" t="inlineStr">
        <is>
          <t>New</t>
        </is>
      </c>
      <c r="J1368" s="12" t="inlineStr">
        <is>
          <t>Professional decision</t>
        </is>
      </c>
      <c r="K1368" s="12" t="inlineStr">
        <is>
          <t>Maya Chen, Owner Project Controls</t>
        </is>
      </c>
      <c r="L1368" s="12" t="inlineStr"/>
      <c r="M1368" s="12" t="inlineStr"/>
      <c r="N1368" s="17" t="inlineStr">
        <is>
          <t>10 EVIDENCE &amp; DECISIONS</t>
        </is>
      </c>
    </row>
    <row r="1369" ht="34" customHeight="1">
      <c r="A1369" s="12" t="inlineStr">
        <is>
          <t>Contractor Programme</t>
        </is>
      </c>
      <c r="B1369" s="12" t="inlineStr">
        <is>
          <t>SCH-06-002</t>
        </is>
      </c>
      <c r="C1369" s="12" t="inlineStr">
        <is>
          <t>Fleet package: design-package integration review - inspection</t>
        </is>
      </c>
      <c r="D1369" s="12" t="inlineStr"/>
      <c r="E1369" s="12" t="inlineStr">
        <is>
          <t>R902-v2</t>
        </is>
      </c>
      <c r="F1369" s="12" t="inlineStr">
        <is>
          <t>UNSURE</t>
        </is>
      </c>
      <c r="G1369" s="12" t="inlineStr">
        <is>
          <t>UNSURE</t>
        </is>
      </c>
      <c r="H1369" s="12" t="inlineStr">
        <is>
          <t>APPROVED</t>
        </is>
      </c>
      <c r="I1369" s="12" t="inlineStr">
        <is>
          <t>New</t>
        </is>
      </c>
      <c r="J1369" s="12" t="inlineStr">
        <is>
          <t>Professional decision</t>
        </is>
      </c>
      <c r="K1369" s="12" t="inlineStr">
        <is>
          <t>Maya Chen, Owner Project Controls</t>
        </is>
      </c>
      <c r="L1369" s="12" t="inlineStr"/>
      <c r="M1369" s="12" t="inlineStr"/>
      <c r="N1369" s="17" t="inlineStr">
        <is>
          <t>10 EVIDENCE &amp; DECISIONS</t>
        </is>
      </c>
    </row>
    <row r="1370" ht="34" customHeight="1">
      <c r="A1370" s="12" t="inlineStr">
        <is>
          <t>Contractor Programme</t>
        </is>
      </c>
      <c r="B1370" s="12" t="inlineStr">
        <is>
          <t>SCH-06-003</t>
        </is>
      </c>
      <c r="C1370" s="12" t="inlineStr">
        <is>
          <t>Interface works near program management boundary</t>
        </is>
      </c>
      <c r="D1370" s="12" t="inlineStr"/>
      <c r="E1370" s="12" t="inlineStr">
        <is>
          <t>R903-v2</t>
        </is>
      </c>
      <c r="F1370" s="12" t="inlineStr">
        <is>
          <t>UNSURE</t>
        </is>
      </c>
      <c r="G1370" s="12" t="inlineStr">
        <is>
          <t>UNSURE</t>
        </is>
      </c>
      <c r="H1370" s="12" t="inlineStr">
        <is>
          <t>APPROVED</t>
        </is>
      </c>
      <c r="I1370" s="12" t="inlineStr">
        <is>
          <t>New</t>
        </is>
      </c>
      <c r="J1370" s="12" t="inlineStr">
        <is>
          <t>Professional decision</t>
        </is>
      </c>
      <c r="K1370" s="12" t="inlineStr">
        <is>
          <t>Maya Chen, Owner Project Controls</t>
        </is>
      </c>
      <c r="L1370" s="12" t="inlineStr"/>
      <c r="M1370" s="12" t="inlineStr"/>
      <c r="N1370" s="17" t="inlineStr">
        <is>
          <t>10 EVIDENCE &amp; DECISIONS</t>
        </is>
      </c>
    </row>
    <row r="1371" ht="34" customHeight="1">
      <c r="A1371" s="12" t="inlineStr">
        <is>
          <t>Contractor Programme</t>
        </is>
      </c>
      <c r="B1371" s="12" t="inlineStr">
        <is>
          <t>SCH-06-004</t>
        </is>
      </c>
      <c r="C1371" s="12" t="inlineStr">
        <is>
          <t>Civil package: permit coordination - release</t>
        </is>
      </c>
      <c r="D1371" s="12" t="inlineStr"/>
      <c r="E1371" s="12" t="inlineStr">
        <is>
          <t>R904-v2</t>
        </is>
      </c>
      <c r="F1371" s="12" t="inlineStr">
        <is>
          <t>UNSURE</t>
        </is>
      </c>
      <c r="G1371" s="12" t="inlineStr">
        <is>
          <t>UNSURE</t>
        </is>
      </c>
      <c r="H1371" s="12" t="inlineStr">
        <is>
          <t>APPROVED</t>
        </is>
      </c>
      <c r="I1371" s="12" t="inlineStr">
        <is>
          <t>New</t>
        </is>
      </c>
      <c r="J1371" s="12" t="inlineStr">
        <is>
          <t>Professional decision</t>
        </is>
      </c>
      <c r="K1371" s="12" t="inlineStr">
        <is>
          <t>Maya Chen, Owner Project Controls</t>
        </is>
      </c>
      <c r="L1371" s="12" t="inlineStr"/>
      <c r="M1371" s="12" t="inlineStr"/>
      <c r="N1371" s="17" t="inlineStr">
        <is>
          <t>10 EVIDENCE &amp; DECISIONS</t>
        </is>
      </c>
    </row>
    <row r="1372" ht="34" customHeight="1">
      <c r="A1372" s="12" t="inlineStr">
        <is>
          <t>Contractor Programme</t>
        </is>
      </c>
      <c r="B1372" s="12" t="inlineStr">
        <is>
          <t>SCH-06-005</t>
        </is>
      </c>
      <c r="C1372" s="12" t="inlineStr">
        <is>
          <t>Stations package: delivery risk workshop - field start</t>
        </is>
      </c>
      <c r="D1372" s="12" t="inlineStr"/>
      <c r="E1372" s="12" t="inlineStr">
        <is>
          <t>R905-v2</t>
        </is>
      </c>
      <c r="F1372" s="12" t="inlineStr">
        <is>
          <t>UNSURE</t>
        </is>
      </c>
      <c r="G1372" s="12" t="inlineStr">
        <is>
          <t>UNSURE</t>
        </is>
      </c>
      <c r="H1372" s="12" t="inlineStr">
        <is>
          <t>APPROVED</t>
        </is>
      </c>
      <c r="I1372" s="12" t="inlineStr">
        <is>
          <t>New</t>
        </is>
      </c>
      <c r="J1372" s="12" t="inlineStr">
        <is>
          <t>Professional decision</t>
        </is>
      </c>
      <c r="K1372" s="12" t="inlineStr">
        <is>
          <t>Maya Chen, Owner Project Controls</t>
        </is>
      </c>
      <c r="L1372" s="12" t="inlineStr"/>
      <c r="M1372" s="12" t="inlineStr"/>
      <c r="N1372" s="17" t="inlineStr">
        <is>
          <t>10 EVIDENCE &amp; DECISIONS</t>
        </is>
      </c>
    </row>
    <row r="1373" ht="34" customHeight="1">
      <c r="A1373" s="12" t="inlineStr">
        <is>
          <t>Contractor Programme</t>
        </is>
      </c>
      <c r="B1373" s="12" t="inlineStr">
        <is>
          <t>SCH-06-006</t>
        </is>
      </c>
      <c r="C1373" s="12" t="inlineStr">
        <is>
          <t>Systems package: monthly controls cut-off - installation</t>
        </is>
      </c>
      <c r="D1373" s="12" t="inlineStr"/>
      <c r="E1373" s="12" t="inlineStr">
        <is>
          <t>R906-v2</t>
        </is>
      </c>
      <c r="F1373" s="12" t="inlineStr">
        <is>
          <t>UNSURE</t>
        </is>
      </c>
      <c r="G1373" s="12" t="inlineStr">
        <is>
          <t>UNSURE</t>
        </is>
      </c>
      <c r="H1373" s="12" t="inlineStr">
        <is>
          <t>APPROVED</t>
        </is>
      </c>
      <c r="I1373" s="12" t="inlineStr">
        <is>
          <t>New</t>
        </is>
      </c>
      <c r="J1373" s="12" t="inlineStr">
        <is>
          <t>Professional decision</t>
        </is>
      </c>
      <c r="K1373" s="12" t="inlineStr">
        <is>
          <t>Maya Chen, Owner Project Controls</t>
        </is>
      </c>
      <c r="L1373" s="12" t="inlineStr"/>
      <c r="M1373" s="12" t="inlineStr"/>
      <c r="N1373" s="17" t="inlineStr">
        <is>
          <t>10 EVIDENCE &amp; DECISIONS</t>
        </is>
      </c>
    </row>
    <row r="1374" ht="34" customHeight="1">
      <c r="A1374" s="12" t="inlineStr">
        <is>
          <t>Contractor Programme</t>
        </is>
      </c>
      <c r="B1374" s="12" t="inlineStr">
        <is>
          <t>SCH-06-007</t>
        </is>
      </c>
      <c r="C1374" s="12" t="inlineStr">
        <is>
          <t>Fleet package: stakeholder interface meeting - inspection</t>
        </is>
      </c>
      <c r="D1374" s="12" t="inlineStr"/>
      <c r="E1374" s="12" t="inlineStr">
        <is>
          <t>R907-v2</t>
        </is>
      </c>
      <c r="F1374" s="12" t="inlineStr">
        <is>
          <t>UNSURE</t>
        </is>
      </c>
      <c r="G1374" s="12" t="inlineStr">
        <is>
          <t>UNSURE</t>
        </is>
      </c>
      <c r="H1374" s="12" t="inlineStr">
        <is>
          <t>APPROVED</t>
        </is>
      </c>
      <c r="I1374" s="12" t="inlineStr">
        <is>
          <t>New</t>
        </is>
      </c>
      <c r="J1374" s="12" t="inlineStr">
        <is>
          <t>Professional decision</t>
        </is>
      </c>
      <c r="K1374" s="12" t="inlineStr">
        <is>
          <t>Maya Chen, Owner Project Controls</t>
        </is>
      </c>
      <c r="L1374" s="12" t="inlineStr"/>
      <c r="M1374" s="12" t="inlineStr"/>
      <c r="N1374" s="17" t="inlineStr">
        <is>
          <t>10 EVIDENCE &amp; DECISIONS</t>
        </is>
      </c>
    </row>
    <row r="1375" ht="34" customHeight="1">
      <c r="A1375" s="12" t="inlineStr">
        <is>
          <t>Contractor Programme</t>
        </is>
      </c>
      <c r="B1375" s="12" t="inlineStr">
        <is>
          <t>SCH-06-008</t>
        </is>
      </c>
      <c r="C1375" s="12" t="inlineStr">
        <is>
          <t>Program office: baseline change control - turnover</t>
        </is>
      </c>
      <c r="D1375" s="12" t="inlineStr"/>
      <c r="E1375" s="12" t="inlineStr">
        <is>
          <t>R908-v2</t>
        </is>
      </c>
      <c r="F1375" s="12" t="inlineStr">
        <is>
          <t>UNSURE</t>
        </is>
      </c>
      <c r="G1375" s="12" t="inlineStr">
        <is>
          <t>UNSURE</t>
        </is>
      </c>
      <c r="H1375" s="12" t="inlineStr">
        <is>
          <t>APPROVED</t>
        </is>
      </c>
      <c r="I1375" s="12" t="inlineStr">
        <is>
          <t>New</t>
        </is>
      </c>
      <c r="J1375" s="12" t="inlineStr">
        <is>
          <t>Professional decision</t>
        </is>
      </c>
      <c r="K1375" s="12" t="inlineStr">
        <is>
          <t>Maya Chen, Owner Project Controls</t>
        </is>
      </c>
      <c r="L1375" s="12" t="inlineStr"/>
      <c r="M1375" s="12" t="inlineStr"/>
      <c r="N1375" s="17" t="inlineStr">
        <is>
          <t>10 EVIDENCE &amp; DECISIONS</t>
        </is>
      </c>
    </row>
    <row r="1376" ht="34" customHeight="1">
      <c r="A1376" s="12" t="inlineStr">
        <is>
          <t>Contractor Programme</t>
        </is>
      </c>
      <c r="B1376" s="12" t="inlineStr">
        <is>
          <t>SCH-06-009</t>
        </is>
      </c>
      <c r="C1376" s="12" t="inlineStr">
        <is>
          <t>Civil package: commercial change review - release</t>
        </is>
      </c>
      <c r="D1376" s="12" t="inlineStr"/>
      <c r="E1376" s="12" t="inlineStr">
        <is>
          <t>R909-v2</t>
        </is>
      </c>
      <c r="F1376" s="12" t="inlineStr">
        <is>
          <t>UNSURE</t>
        </is>
      </c>
      <c r="G1376" s="12" t="inlineStr">
        <is>
          <t>UNSURE</t>
        </is>
      </c>
      <c r="H1376" s="12" t="inlineStr">
        <is>
          <t>APPROVED</t>
        </is>
      </c>
      <c r="I1376" s="12" t="inlineStr">
        <is>
          <t>New</t>
        </is>
      </c>
      <c r="J1376" s="12" t="inlineStr">
        <is>
          <t>Professional decision</t>
        </is>
      </c>
      <c r="K1376" s="12" t="inlineStr">
        <is>
          <t>Maya Chen, Owner Project Controls</t>
        </is>
      </c>
      <c r="L1376" s="12" t="inlineStr"/>
      <c r="M1376" s="12" t="inlineStr"/>
      <c r="N1376" s="17" t="inlineStr">
        <is>
          <t>10 EVIDENCE &amp; DECISIONS</t>
        </is>
      </c>
    </row>
    <row r="1377" ht="34" customHeight="1">
      <c r="A1377" s="12" t="inlineStr">
        <is>
          <t>Contractor Programme</t>
        </is>
      </c>
      <c r="B1377" s="12" t="inlineStr">
        <is>
          <t>SCH-06-010</t>
        </is>
      </c>
      <c r="C1377" s="12" t="inlineStr">
        <is>
          <t>Stations package: design-package integration review - field start</t>
        </is>
      </c>
      <c r="D1377" s="12" t="inlineStr"/>
      <c r="E1377" s="12" t="inlineStr">
        <is>
          <t>R910-v2</t>
        </is>
      </c>
      <c r="F1377" s="12" t="inlineStr">
        <is>
          <t>UNSURE</t>
        </is>
      </c>
      <c r="G1377" s="12" t="inlineStr">
        <is>
          <t>UNSURE</t>
        </is>
      </c>
      <c r="H1377" s="12" t="inlineStr">
        <is>
          <t>APPROVED</t>
        </is>
      </c>
      <c r="I1377" s="12" t="inlineStr">
        <is>
          <t>New</t>
        </is>
      </c>
      <c r="J1377" s="12" t="inlineStr">
        <is>
          <t>Professional decision</t>
        </is>
      </c>
      <c r="K1377" s="12" t="inlineStr">
        <is>
          <t>Maya Chen, Owner Project Controls</t>
        </is>
      </c>
      <c r="L1377" s="12" t="inlineStr"/>
      <c r="M1377" s="12" t="inlineStr"/>
      <c r="N1377" s="17" t="inlineStr">
        <is>
          <t>10 EVIDENCE &amp; DECISIONS</t>
        </is>
      </c>
    </row>
    <row r="1378" ht="34" customHeight="1">
      <c r="A1378" s="12" t="inlineStr">
        <is>
          <t>Contractor Programme</t>
        </is>
      </c>
      <c r="B1378" s="12" t="inlineStr">
        <is>
          <t>SCH-06-011</t>
        </is>
      </c>
      <c r="C1378" s="12" t="inlineStr">
        <is>
          <t>Systems package: executive reporting close - installation</t>
        </is>
      </c>
      <c r="D1378" s="12" t="inlineStr"/>
      <c r="E1378" s="12" t="inlineStr">
        <is>
          <t>R911-v2</t>
        </is>
      </c>
      <c r="F1378" s="12" t="inlineStr">
        <is>
          <t>UNSURE</t>
        </is>
      </c>
      <c r="G1378" s="12" t="inlineStr">
        <is>
          <t>UNSURE</t>
        </is>
      </c>
      <c r="H1378" s="12" t="inlineStr">
        <is>
          <t>APPROVED</t>
        </is>
      </c>
      <c r="I1378" s="12" t="inlineStr">
        <is>
          <t>New</t>
        </is>
      </c>
      <c r="J1378" s="12" t="inlineStr">
        <is>
          <t>Professional decision</t>
        </is>
      </c>
      <c r="K1378" s="12" t="inlineStr">
        <is>
          <t>Maya Chen, Owner Project Controls</t>
        </is>
      </c>
      <c r="L1378" s="12" t="inlineStr"/>
      <c r="M1378" s="12" t="inlineStr"/>
      <c r="N1378" s="17" t="inlineStr">
        <is>
          <t>10 EVIDENCE &amp; DECISIONS</t>
        </is>
      </c>
    </row>
    <row r="1379" ht="34" customHeight="1">
      <c r="A1379" s="12" t="inlineStr">
        <is>
          <t>Contractor Programme</t>
        </is>
      </c>
      <c r="B1379" s="12" t="inlineStr">
        <is>
          <t>SCH-06-012</t>
        </is>
      </c>
      <c r="C1379" s="12" t="inlineStr">
        <is>
          <t>Fleet package: permit coordination - inspection</t>
        </is>
      </c>
      <c r="D1379" s="12" t="inlineStr"/>
      <c r="E1379" s="12" t="inlineStr">
        <is>
          <t>R912-v2</t>
        </is>
      </c>
      <c r="F1379" s="12" t="inlineStr">
        <is>
          <t>UNSURE</t>
        </is>
      </c>
      <c r="G1379" s="12" t="inlineStr">
        <is>
          <t>UNSURE</t>
        </is>
      </c>
      <c r="H1379" s="12" t="inlineStr">
        <is>
          <t>APPROVED</t>
        </is>
      </c>
      <c r="I1379" s="12" t="inlineStr">
        <is>
          <t>New</t>
        </is>
      </c>
      <c r="J1379" s="12" t="inlineStr">
        <is>
          <t>Professional decision</t>
        </is>
      </c>
      <c r="K1379" s="12" t="inlineStr">
        <is>
          <t>Maya Chen, Owner Project Controls</t>
        </is>
      </c>
      <c r="L1379" s="12" t="inlineStr"/>
      <c r="M1379" s="12" t="inlineStr"/>
      <c r="N1379" s="17" t="inlineStr">
        <is>
          <t>10 EVIDENCE &amp; DECISIONS</t>
        </is>
      </c>
    </row>
    <row r="1380" ht="34" customHeight="1">
      <c r="A1380" s="12" t="inlineStr">
        <is>
          <t>Contractor Programme</t>
        </is>
      </c>
      <c r="B1380" s="12" t="inlineStr">
        <is>
          <t>SCH-06-013</t>
        </is>
      </c>
      <c r="C1380" s="12" t="inlineStr">
        <is>
          <t>Program office: delivery risk workshop - turnover</t>
        </is>
      </c>
      <c r="D1380" s="12" t="inlineStr"/>
      <c r="E1380" s="12" t="inlineStr">
        <is>
          <t>R913-v2</t>
        </is>
      </c>
      <c r="F1380" s="12" t="inlineStr">
        <is>
          <t>UNSURE</t>
        </is>
      </c>
      <c r="G1380" s="12" t="inlineStr">
        <is>
          <t>UNSURE</t>
        </is>
      </c>
      <c r="H1380" s="12" t="inlineStr">
        <is>
          <t>APPROVED</t>
        </is>
      </c>
      <c r="I1380" s="12" t="inlineStr">
        <is>
          <t>New</t>
        </is>
      </c>
      <c r="J1380" s="12" t="inlineStr">
        <is>
          <t>Professional decision</t>
        </is>
      </c>
      <c r="K1380" s="12" t="inlineStr">
        <is>
          <t>Maya Chen, Owner Project Controls</t>
        </is>
      </c>
      <c r="L1380" s="12" t="inlineStr"/>
      <c r="M1380" s="12" t="inlineStr"/>
      <c r="N1380" s="17" t="inlineStr">
        <is>
          <t>10 EVIDENCE &amp; DECISIONS</t>
        </is>
      </c>
    </row>
    <row r="1381" ht="34" customHeight="1">
      <c r="A1381" s="12" t="inlineStr">
        <is>
          <t>Contractor Programme</t>
        </is>
      </c>
      <c r="B1381" s="12" t="inlineStr">
        <is>
          <t>SCH-06-014</t>
        </is>
      </c>
      <c r="C1381" s="12" t="inlineStr">
        <is>
          <t>Civil package: monthly controls cut-off - release</t>
        </is>
      </c>
      <c r="D1381" s="12" t="inlineStr"/>
      <c r="E1381" s="12" t="inlineStr">
        <is>
          <t>R914-v2</t>
        </is>
      </c>
      <c r="F1381" s="12" t="inlineStr">
        <is>
          <t>UNSURE</t>
        </is>
      </c>
      <c r="G1381" s="12" t="inlineStr">
        <is>
          <t>UNSURE</t>
        </is>
      </c>
      <c r="H1381" s="12" t="inlineStr">
        <is>
          <t>APPROVED</t>
        </is>
      </c>
      <c r="I1381" s="12" t="inlineStr">
        <is>
          <t>New</t>
        </is>
      </c>
      <c r="J1381" s="12" t="inlineStr">
        <is>
          <t>Professional decision</t>
        </is>
      </c>
      <c r="K1381" s="12" t="inlineStr">
        <is>
          <t>Maya Chen, Owner Project Controls</t>
        </is>
      </c>
      <c r="L1381" s="12" t="inlineStr"/>
      <c r="M1381" s="12" t="inlineStr"/>
      <c r="N1381" s="17" t="inlineStr">
        <is>
          <t>10 EVIDENCE &amp; DECISIONS</t>
        </is>
      </c>
    </row>
    <row r="1382" ht="34" customHeight="1">
      <c r="A1382" s="12" t="inlineStr">
        <is>
          <t>Contractor Programme</t>
        </is>
      </c>
      <c r="B1382" s="12" t="inlineStr">
        <is>
          <t>SCH-06-015</t>
        </is>
      </c>
      <c r="C1382" s="12" t="inlineStr">
        <is>
          <t>Stations package: stakeholder interface meeting - field start</t>
        </is>
      </c>
      <c r="D1382" s="12" t="inlineStr"/>
      <c r="E1382" s="12" t="inlineStr">
        <is>
          <t>R915-v2</t>
        </is>
      </c>
      <c r="F1382" s="12" t="inlineStr">
        <is>
          <t>UNSURE</t>
        </is>
      </c>
      <c r="G1382" s="12" t="inlineStr">
        <is>
          <t>UNSURE</t>
        </is>
      </c>
      <c r="H1382" s="12" t="inlineStr">
        <is>
          <t>APPROVED</t>
        </is>
      </c>
      <c r="I1382" s="12" t="inlineStr">
        <is>
          <t>New</t>
        </is>
      </c>
      <c r="J1382" s="12" t="inlineStr">
        <is>
          <t>Professional decision</t>
        </is>
      </c>
      <c r="K1382" s="12" t="inlineStr">
        <is>
          <t>Maya Chen, Owner Project Controls</t>
        </is>
      </c>
      <c r="L1382" s="12" t="inlineStr"/>
      <c r="M1382" s="12" t="inlineStr"/>
      <c r="N1382" s="17" t="inlineStr">
        <is>
          <t>10 EVIDENCE &amp; DECISIONS</t>
        </is>
      </c>
    </row>
    <row r="1383" ht="34" customHeight="1">
      <c r="A1383" s="12" t="inlineStr">
        <is>
          <t>Contractor Programme</t>
        </is>
      </c>
      <c r="B1383" s="12" t="inlineStr">
        <is>
          <t>SCH-06-016</t>
        </is>
      </c>
      <c r="C1383" s="12" t="inlineStr">
        <is>
          <t>Systems package: baseline change control - installation</t>
        </is>
      </c>
      <c r="D1383" s="12" t="inlineStr"/>
      <c r="E1383" s="12" t="inlineStr">
        <is>
          <t>R916-v2</t>
        </is>
      </c>
      <c r="F1383" s="12" t="inlineStr">
        <is>
          <t>UNSURE</t>
        </is>
      </c>
      <c r="G1383" s="12" t="inlineStr">
        <is>
          <t>UNSURE</t>
        </is>
      </c>
      <c r="H1383" s="12" t="inlineStr">
        <is>
          <t>APPROVED</t>
        </is>
      </c>
      <c r="I1383" s="12" t="inlineStr">
        <is>
          <t>New</t>
        </is>
      </c>
      <c r="J1383" s="12" t="inlineStr">
        <is>
          <t>Professional decision</t>
        </is>
      </c>
      <c r="K1383" s="12" t="inlineStr">
        <is>
          <t>Maya Chen, Owner Project Controls</t>
        </is>
      </c>
      <c r="L1383" s="12" t="inlineStr"/>
      <c r="M1383" s="12" t="inlineStr"/>
      <c r="N1383" s="17" t="inlineStr">
        <is>
          <t>10 EVIDENCE &amp; DECISIONS</t>
        </is>
      </c>
    </row>
    <row r="1384" ht="34" customHeight="1">
      <c r="A1384" s="12" t="inlineStr">
        <is>
          <t>Contractor Programme</t>
        </is>
      </c>
      <c r="B1384" s="12" t="inlineStr">
        <is>
          <t>SCH-06-017</t>
        </is>
      </c>
      <c r="C1384" s="12" t="inlineStr">
        <is>
          <t>Fleet package: commercial change review - inspection</t>
        </is>
      </c>
      <c r="D1384" s="12" t="inlineStr"/>
      <c r="E1384" s="12" t="inlineStr">
        <is>
          <t>R917-v2</t>
        </is>
      </c>
      <c r="F1384" s="12" t="inlineStr">
        <is>
          <t>UNSURE</t>
        </is>
      </c>
      <c r="G1384" s="12" t="inlineStr">
        <is>
          <t>UNSURE</t>
        </is>
      </c>
      <c r="H1384" s="12" t="inlineStr">
        <is>
          <t>APPROVED</t>
        </is>
      </c>
      <c r="I1384" s="12" t="inlineStr">
        <is>
          <t>New</t>
        </is>
      </c>
      <c r="J1384" s="12" t="inlineStr">
        <is>
          <t>Professional decision</t>
        </is>
      </c>
      <c r="K1384" s="12" t="inlineStr">
        <is>
          <t>Maya Chen, Owner Project Controls</t>
        </is>
      </c>
      <c r="L1384" s="12" t="inlineStr"/>
      <c r="M1384" s="12" t="inlineStr"/>
      <c r="N1384" s="17" t="inlineStr">
        <is>
          <t>10 EVIDENCE &amp; DECISIONS</t>
        </is>
      </c>
    </row>
    <row r="1385" ht="34" customHeight="1">
      <c r="A1385" s="12" t="inlineStr">
        <is>
          <t>Contractor Programme</t>
        </is>
      </c>
      <c r="B1385" s="12" t="inlineStr">
        <is>
          <t>SCH-06-018</t>
        </is>
      </c>
      <c r="C1385" s="12" t="inlineStr">
        <is>
          <t>Program office: design-package integration review - turnover</t>
        </is>
      </c>
      <c r="D1385" s="12" t="inlineStr"/>
      <c r="E1385" s="12" t="inlineStr">
        <is>
          <t>R918-v2</t>
        </is>
      </c>
      <c r="F1385" s="12" t="inlineStr">
        <is>
          <t>UNSURE</t>
        </is>
      </c>
      <c r="G1385" s="12" t="inlineStr">
        <is>
          <t>UNSURE</t>
        </is>
      </c>
      <c r="H1385" s="12" t="inlineStr">
        <is>
          <t>APPROVED</t>
        </is>
      </c>
      <c r="I1385" s="12" t="inlineStr">
        <is>
          <t>New</t>
        </is>
      </c>
      <c r="J1385" s="12" t="inlineStr">
        <is>
          <t>Professional decision</t>
        </is>
      </c>
      <c r="K1385" s="12" t="inlineStr">
        <is>
          <t>Maya Chen, Owner Project Controls</t>
        </is>
      </c>
      <c r="L1385" s="12" t="inlineStr"/>
      <c r="M1385" s="12" t="inlineStr"/>
      <c r="N1385" s="17" t="inlineStr">
        <is>
          <t>10 EVIDENCE &amp; DECISIONS</t>
        </is>
      </c>
    </row>
    <row r="1386" ht="34" customHeight="1">
      <c r="A1386" s="12" t="inlineStr">
        <is>
          <t>Contractor Programme</t>
        </is>
      </c>
      <c r="B1386" s="12" t="inlineStr">
        <is>
          <t>SCH-06-019</t>
        </is>
      </c>
      <c r="C1386" s="12" t="inlineStr">
        <is>
          <t>Civil package: executive reporting close - release</t>
        </is>
      </c>
      <c r="D1386" s="12" t="inlineStr"/>
      <c r="E1386" s="12" t="inlineStr">
        <is>
          <t>R919-v2</t>
        </is>
      </c>
      <c r="F1386" s="12" t="inlineStr">
        <is>
          <t>UNSURE</t>
        </is>
      </c>
      <c r="G1386" s="12" t="inlineStr">
        <is>
          <t>UNSURE</t>
        </is>
      </c>
      <c r="H1386" s="12" t="inlineStr">
        <is>
          <t>APPROVED</t>
        </is>
      </c>
      <c r="I1386" s="12" t="inlineStr">
        <is>
          <t>New</t>
        </is>
      </c>
      <c r="J1386" s="12" t="inlineStr">
        <is>
          <t>Professional decision</t>
        </is>
      </c>
      <c r="K1386" s="12" t="inlineStr">
        <is>
          <t>Maya Chen, Owner Project Controls</t>
        </is>
      </c>
      <c r="L1386" s="12" t="inlineStr"/>
      <c r="M1386" s="12" t="inlineStr"/>
      <c r="N1386" s="17" t="inlineStr">
        <is>
          <t>10 EVIDENCE &amp; DECISIONS</t>
        </is>
      </c>
    </row>
    <row r="1387" ht="34" customHeight="1">
      <c r="A1387" s="12" t="inlineStr">
        <is>
          <t>Contractor Programme</t>
        </is>
      </c>
      <c r="B1387" s="12" t="inlineStr">
        <is>
          <t>SCH-06-020</t>
        </is>
      </c>
      <c r="C1387" s="12" t="inlineStr">
        <is>
          <t>Stations package: permit coordination - field start</t>
        </is>
      </c>
      <c r="D1387" s="12" t="inlineStr"/>
      <c r="E1387" s="12" t="inlineStr">
        <is>
          <t>R920-v2</t>
        </is>
      </c>
      <c r="F1387" s="12" t="inlineStr">
        <is>
          <t>UNSURE</t>
        </is>
      </c>
      <c r="G1387" s="12" t="inlineStr">
        <is>
          <t>UNSURE</t>
        </is>
      </c>
      <c r="H1387" s="12" t="inlineStr">
        <is>
          <t>APPROVED</t>
        </is>
      </c>
      <c r="I1387" s="12" t="inlineStr">
        <is>
          <t>New</t>
        </is>
      </c>
      <c r="J1387" s="12" t="inlineStr">
        <is>
          <t>Professional decision</t>
        </is>
      </c>
      <c r="K1387" s="12" t="inlineStr">
        <is>
          <t>Maya Chen, Owner Project Controls</t>
        </is>
      </c>
      <c r="L1387" s="12" t="inlineStr"/>
      <c r="M1387" s="12" t="inlineStr"/>
      <c r="N1387" s="17" t="inlineStr">
        <is>
          <t>10 EVIDENCE &amp; DECISIONS</t>
        </is>
      </c>
    </row>
    <row r="1388" ht="34" customHeight="1">
      <c r="A1388" s="12" t="inlineStr">
        <is>
          <t>Contractor Programme</t>
        </is>
      </c>
      <c r="B1388" s="12" t="inlineStr">
        <is>
          <t>SCH-06-021</t>
        </is>
      </c>
      <c r="C1388" s="12" t="inlineStr">
        <is>
          <t>Systems package: delivery risk workshop - installation</t>
        </is>
      </c>
      <c r="D1388" s="12" t="inlineStr"/>
      <c r="E1388" s="12" t="inlineStr">
        <is>
          <t>R921-v2</t>
        </is>
      </c>
      <c r="F1388" s="12" t="inlineStr">
        <is>
          <t>UNSURE</t>
        </is>
      </c>
      <c r="G1388" s="12" t="inlineStr">
        <is>
          <t>UNSURE</t>
        </is>
      </c>
      <c r="H1388" s="12" t="inlineStr">
        <is>
          <t>APPROVED</t>
        </is>
      </c>
      <c r="I1388" s="12" t="inlineStr">
        <is>
          <t>New</t>
        </is>
      </c>
      <c r="J1388" s="12" t="inlineStr">
        <is>
          <t>Professional decision</t>
        </is>
      </c>
      <c r="K1388" s="12" t="inlineStr">
        <is>
          <t>Maya Chen, Owner Project Controls</t>
        </is>
      </c>
      <c r="L1388" s="12" t="inlineStr"/>
      <c r="M1388" s="12" t="inlineStr"/>
      <c r="N1388" s="17" t="inlineStr">
        <is>
          <t>10 EVIDENCE &amp; DECISIONS</t>
        </is>
      </c>
    </row>
    <row r="1389" ht="34" customHeight="1">
      <c r="A1389" s="12" t="inlineStr">
        <is>
          <t>Contractor Programme</t>
        </is>
      </c>
      <c r="B1389" s="12" t="inlineStr">
        <is>
          <t>SCH-06-022</t>
        </is>
      </c>
      <c r="C1389" s="12" t="inlineStr">
        <is>
          <t>Fleet package: monthly controls cut-off - inspection</t>
        </is>
      </c>
      <c r="D1389" s="12" t="inlineStr"/>
      <c r="E1389" s="12" t="inlineStr">
        <is>
          <t>R922-v2</t>
        </is>
      </c>
      <c r="F1389" s="12" t="inlineStr">
        <is>
          <t>UNSURE</t>
        </is>
      </c>
      <c r="G1389" s="12" t="inlineStr">
        <is>
          <t>UNSURE</t>
        </is>
      </c>
      <c r="H1389" s="12" t="inlineStr">
        <is>
          <t>APPROVED</t>
        </is>
      </c>
      <c r="I1389" s="12" t="inlineStr">
        <is>
          <t>New</t>
        </is>
      </c>
      <c r="J1389" s="12" t="inlineStr">
        <is>
          <t>Professional decision</t>
        </is>
      </c>
      <c r="K1389" s="12" t="inlineStr">
        <is>
          <t>Maya Chen, Owner Project Controls</t>
        </is>
      </c>
      <c r="L1389" s="12" t="inlineStr"/>
      <c r="M1389" s="12" t="inlineStr"/>
      <c r="N1389" s="17" t="inlineStr">
        <is>
          <t>10 EVIDENCE &amp; DECISIONS</t>
        </is>
      </c>
    </row>
    <row r="1390" ht="34" customHeight="1">
      <c r="A1390" s="12" t="inlineStr">
        <is>
          <t>Contractor Programme</t>
        </is>
      </c>
      <c r="B1390" s="12" t="inlineStr">
        <is>
          <t>SCH-06-023</t>
        </is>
      </c>
      <c r="C1390" s="12" t="inlineStr">
        <is>
          <t>Program office: stakeholder interface meeting - turnover</t>
        </is>
      </c>
      <c r="D1390" s="12" t="inlineStr"/>
      <c r="E1390" s="12" t="inlineStr">
        <is>
          <t>R923-v2</t>
        </is>
      </c>
      <c r="F1390" s="12" t="inlineStr">
        <is>
          <t>UNSURE</t>
        </is>
      </c>
      <c r="G1390" s="12" t="inlineStr">
        <is>
          <t>UNSURE</t>
        </is>
      </c>
      <c r="H1390" s="12" t="inlineStr">
        <is>
          <t>APPROVED</t>
        </is>
      </c>
      <c r="I1390" s="12" t="inlineStr">
        <is>
          <t>New</t>
        </is>
      </c>
      <c r="J1390" s="12" t="inlineStr">
        <is>
          <t>Professional decision</t>
        </is>
      </c>
      <c r="K1390" s="12" t="inlineStr">
        <is>
          <t>Maya Chen, Owner Project Controls</t>
        </is>
      </c>
      <c r="L1390" s="12" t="inlineStr"/>
      <c r="M1390" s="12" t="inlineStr"/>
      <c r="N1390" s="17" t="inlineStr">
        <is>
          <t>10 EVIDENCE &amp; DECISIONS</t>
        </is>
      </c>
    </row>
    <row r="1391" ht="34" customHeight="1">
      <c r="A1391" s="12" t="inlineStr">
        <is>
          <t>Contractor Programme</t>
        </is>
      </c>
      <c r="B1391" s="12" t="inlineStr">
        <is>
          <t>SCH-06-024</t>
        </is>
      </c>
      <c r="C1391" s="12" t="inlineStr">
        <is>
          <t>Civil package: baseline change control - release</t>
        </is>
      </c>
      <c r="D1391" s="12" t="inlineStr"/>
      <c r="E1391" s="12" t="inlineStr">
        <is>
          <t>R924-v2</t>
        </is>
      </c>
      <c r="F1391" s="12" t="inlineStr">
        <is>
          <t>UNSURE</t>
        </is>
      </c>
      <c r="G1391" s="12" t="inlineStr">
        <is>
          <t>UNSURE</t>
        </is>
      </c>
      <c r="H1391" s="12" t="inlineStr">
        <is>
          <t>APPROVED</t>
        </is>
      </c>
      <c r="I1391" s="12" t="inlineStr">
        <is>
          <t>New</t>
        </is>
      </c>
      <c r="J1391" s="12" t="inlineStr">
        <is>
          <t>Professional decision</t>
        </is>
      </c>
      <c r="K1391" s="12" t="inlineStr">
        <is>
          <t>Maya Chen, Owner Project Controls</t>
        </is>
      </c>
      <c r="L1391" s="12" t="inlineStr"/>
      <c r="M1391" s="12" t="inlineStr"/>
      <c r="N1391" s="17" t="inlineStr">
        <is>
          <t>10 EVIDENCE &amp; DECISIONS</t>
        </is>
      </c>
    </row>
    <row r="1392" ht="34" customHeight="1">
      <c r="A1392" s="12" t="inlineStr">
        <is>
          <t>Contractor Programme</t>
        </is>
      </c>
      <c r="B1392" s="12" t="inlineStr">
        <is>
          <t>SCH-06-025</t>
        </is>
      </c>
      <c r="C1392" s="12" t="inlineStr">
        <is>
          <t>Stations package: commercial change review - field start</t>
        </is>
      </c>
      <c r="D1392" s="12" t="inlineStr"/>
      <c r="E1392" s="12" t="inlineStr">
        <is>
          <t>R925-v2</t>
        </is>
      </c>
      <c r="F1392" s="12" t="inlineStr">
        <is>
          <t>UNSURE</t>
        </is>
      </c>
      <c r="G1392" s="12" t="inlineStr">
        <is>
          <t>UNSURE</t>
        </is>
      </c>
      <c r="H1392" s="12" t="inlineStr">
        <is>
          <t>APPROVED</t>
        </is>
      </c>
      <c r="I1392" s="12" t="inlineStr">
        <is>
          <t>New</t>
        </is>
      </c>
      <c r="J1392" s="12" t="inlineStr">
        <is>
          <t>Professional decision</t>
        </is>
      </c>
      <c r="K1392" s="12" t="inlineStr">
        <is>
          <t>Maya Chen, Owner Project Controls</t>
        </is>
      </c>
      <c r="L1392" s="12" t="inlineStr"/>
      <c r="M1392" s="12" t="inlineStr"/>
      <c r="N1392" s="17" t="inlineStr">
        <is>
          <t>10 EVIDENCE &amp; DECISIONS</t>
        </is>
      </c>
    </row>
    <row r="1393" ht="34" customHeight="1">
      <c r="A1393" s="12" t="inlineStr">
        <is>
          <t>Contractor Programme</t>
        </is>
      </c>
      <c r="B1393" s="12" t="inlineStr">
        <is>
          <t>SCH-06-026</t>
        </is>
      </c>
      <c r="C1393" s="12" t="inlineStr">
        <is>
          <t>Systems package: design-package integration review - installation</t>
        </is>
      </c>
      <c r="D1393" s="12" t="inlineStr"/>
      <c r="E1393" s="12" t="inlineStr">
        <is>
          <t>R926-v2</t>
        </is>
      </c>
      <c r="F1393" s="12" t="inlineStr">
        <is>
          <t>UNSURE</t>
        </is>
      </c>
      <c r="G1393" s="12" t="inlineStr">
        <is>
          <t>UNSURE</t>
        </is>
      </c>
      <c r="H1393" s="12" t="inlineStr">
        <is>
          <t>APPROVED</t>
        </is>
      </c>
      <c r="I1393" s="12" t="inlineStr">
        <is>
          <t>New</t>
        </is>
      </c>
      <c r="J1393" s="12" t="inlineStr">
        <is>
          <t>Professional decision</t>
        </is>
      </c>
      <c r="K1393" s="12" t="inlineStr">
        <is>
          <t>Maya Chen, Owner Project Controls</t>
        </is>
      </c>
      <c r="L1393" s="12" t="inlineStr"/>
      <c r="M1393" s="12" t="inlineStr"/>
      <c r="N1393" s="17" t="inlineStr">
        <is>
          <t>10 EVIDENCE &amp; DECISIONS</t>
        </is>
      </c>
    </row>
    <row r="1394" ht="34" customHeight="1">
      <c r="A1394" s="12" t="inlineStr">
        <is>
          <t>Contractor Programme</t>
        </is>
      </c>
      <c r="B1394" s="12" t="inlineStr">
        <is>
          <t>SCH-06-027</t>
        </is>
      </c>
      <c r="C1394" s="12" t="inlineStr">
        <is>
          <t>Fleet package: executive reporting close - inspection</t>
        </is>
      </c>
      <c r="D1394" s="12" t="inlineStr"/>
      <c r="E1394" s="12" t="inlineStr">
        <is>
          <t>R927-v2</t>
        </is>
      </c>
      <c r="F1394" s="12" t="inlineStr">
        <is>
          <t>UNSURE</t>
        </is>
      </c>
      <c r="G1394" s="12" t="inlineStr">
        <is>
          <t>UNSURE</t>
        </is>
      </c>
      <c r="H1394" s="12" t="inlineStr">
        <is>
          <t>APPROVED</t>
        </is>
      </c>
      <c r="I1394" s="12" t="inlineStr">
        <is>
          <t>New</t>
        </is>
      </c>
      <c r="J1394" s="12" t="inlineStr">
        <is>
          <t>Professional decision</t>
        </is>
      </c>
      <c r="K1394" s="12" t="inlineStr">
        <is>
          <t>Maya Chen, Owner Project Controls</t>
        </is>
      </c>
      <c r="L1394" s="12" t="inlineStr"/>
      <c r="M1394" s="12" t="inlineStr"/>
      <c r="N1394" s="17" t="inlineStr">
        <is>
          <t>10 EVIDENCE &amp; DECISIONS</t>
        </is>
      </c>
    </row>
    <row r="1395" ht="34" customHeight="1">
      <c r="A1395" s="12" t="inlineStr">
        <is>
          <t>Contractor Programme</t>
        </is>
      </c>
      <c r="B1395" s="12" t="inlineStr">
        <is>
          <t>SCH-06-028</t>
        </is>
      </c>
      <c r="C1395" s="12" t="inlineStr">
        <is>
          <t>Program office: permit coordination - turnover</t>
        </is>
      </c>
      <c r="D1395" s="12" t="inlineStr"/>
      <c r="E1395" s="12" t="inlineStr">
        <is>
          <t>R928-v2</t>
        </is>
      </c>
      <c r="F1395" s="12" t="inlineStr">
        <is>
          <t>UNSURE</t>
        </is>
      </c>
      <c r="G1395" s="12" t="inlineStr">
        <is>
          <t>UNSURE</t>
        </is>
      </c>
      <c r="H1395" s="12" t="inlineStr">
        <is>
          <t>APPROVED</t>
        </is>
      </c>
      <c r="I1395" s="12" t="inlineStr">
        <is>
          <t>New</t>
        </is>
      </c>
      <c r="J1395" s="12" t="inlineStr">
        <is>
          <t>Professional decision</t>
        </is>
      </c>
      <c r="K1395" s="12" t="inlineStr">
        <is>
          <t>Maya Chen, Owner Project Controls</t>
        </is>
      </c>
      <c r="L1395" s="12" t="inlineStr"/>
      <c r="M1395" s="12" t="inlineStr"/>
      <c r="N1395" s="17" t="inlineStr">
        <is>
          <t>10 EVIDENCE &amp; DECISIONS</t>
        </is>
      </c>
    </row>
    <row r="1396" ht="34" customHeight="1">
      <c r="A1396" s="12" t="inlineStr">
        <is>
          <t>Contractor Programme</t>
        </is>
      </c>
      <c r="B1396" s="12" t="inlineStr">
        <is>
          <t>SCH-06-029</t>
        </is>
      </c>
      <c r="C1396" s="12" t="inlineStr">
        <is>
          <t>Civil package: delivery risk workshop - release</t>
        </is>
      </c>
      <c r="D1396" s="12" t="inlineStr"/>
      <c r="E1396" s="12" t="inlineStr">
        <is>
          <t>R929-v2</t>
        </is>
      </c>
      <c r="F1396" s="12" t="inlineStr">
        <is>
          <t>UNSURE</t>
        </is>
      </c>
      <c r="G1396" s="12" t="inlineStr">
        <is>
          <t>UNSURE</t>
        </is>
      </c>
      <c r="H1396" s="12" t="inlineStr">
        <is>
          <t>APPROVED</t>
        </is>
      </c>
      <c r="I1396" s="12" t="inlineStr">
        <is>
          <t>New</t>
        </is>
      </c>
      <c r="J1396" s="12" t="inlineStr">
        <is>
          <t>Professional decision</t>
        </is>
      </c>
      <c r="K1396" s="12" t="inlineStr">
        <is>
          <t>Maya Chen, Owner Project Controls</t>
        </is>
      </c>
      <c r="L1396" s="12" t="inlineStr"/>
      <c r="M1396" s="12" t="inlineStr"/>
      <c r="N1396" s="17" t="inlineStr">
        <is>
          <t>10 EVIDENCE &amp; DECISIONS</t>
        </is>
      </c>
    </row>
    <row r="1397" ht="34" customHeight="1">
      <c r="A1397" s="12" t="inlineStr">
        <is>
          <t>Contractor Programme</t>
        </is>
      </c>
      <c r="B1397" s="12" t="inlineStr">
        <is>
          <t>SCH-06-030</t>
        </is>
      </c>
      <c r="C1397" s="12" t="inlineStr">
        <is>
          <t>Stations package: monthly controls cut-off - field start</t>
        </is>
      </c>
      <c r="D1397" s="12" t="inlineStr"/>
      <c r="E1397" s="12" t="inlineStr">
        <is>
          <t>R930-v2</t>
        </is>
      </c>
      <c r="F1397" s="12" t="inlineStr">
        <is>
          <t>UNSURE</t>
        </is>
      </c>
      <c r="G1397" s="12" t="inlineStr">
        <is>
          <t>UNSURE</t>
        </is>
      </c>
      <c r="H1397" s="12" t="inlineStr">
        <is>
          <t>APPROVED</t>
        </is>
      </c>
      <c r="I1397" s="12" t="inlineStr">
        <is>
          <t>New</t>
        </is>
      </c>
      <c r="J1397" s="12" t="inlineStr">
        <is>
          <t>Professional decision</t>
        </is>
      </c>
      <c r="K1397" s="12" t="inlineStr">
        <is>
          <t>Maya Chen, Owner Project Controls</t>
        </is>
      </c>
      <c r="L1397" s="12" t="inlineStr"/>
      <c r="M1397" s="12" t="inlineStr"/>
      <c r="N1397" s="17" t="inlineStr">
        <is>
          <t>10 EVIDENCE &amp; DECISIONS</t>
        </is>
      </c>
    </row>
    <row r="1398" ht="34" customHeight="1">
      <c r="A1398" s="12" t="inlineStr">
        <is>
          <t>Contractor Programme</t>
        </is>
      </c>
      <c r="B1398" s="12" t="inlineStr">
        <is>
          <t>SCH-06-031</t>
        </is>
      </c>
      <c r="C1398" s="12" t="inlineStr">
        <is>
          <t>Systems package: stakeholder interface meeting - installation</t>
        </is>
      </c>
      <c r="D1398" s="12" t="inlineStr"/>
      <c r="E1398" s="12" t="inlineStr">
        <is>
          <t>R931-v2</t>
        </is>
      </c>
      <c r="F1398" s="12" t="inlineStr">
        <is>
          <t>UNSURE</t>
        </is>
      </c>
      <c r="G1398" s="12" t="inlineStr">
        <is>
          <t>UNSURE</t>
        </is>
      </c>
      <c r="H1398" s="12" t="inlineStr">
        <is>
          <t>APPROVED</t>
        </is>
      </c>
      <c r="I1398" s="12" t="inlineStr">
        <is>
          <t>New</t>
        </is>
      </c>
      <c r="J1398" s="12" t="inlineStr">
        <is>
          <t>Professional decision</t>
        </is>
      </c>
      <c r="K1398" s="12" t="inlineStr">
        <is>
          <t>Maya Chen, Owner Project Controls</t>
        </is>
      </c>
      <c r="L1398" s="12" t="inlineStr"/>
      <c r="M1398" s="12" t="inlineStr"/>
      <c r="N1398" s="17" t="inlineStr">
        <is>
          <t>10 EVIDENCE &amp; DECISIONS</t>
        </is>
      </c>
    </row>
    <row r="1399" ht="34" customHeight="1">
      <c r="A1399" s="12" t="inlineStr">
        <is>
          <t>Contractor Programme</t>
        </is>
      </c>
      <c r="B1399" s="12" t="inlineStr">
        <is>
          <t>SCH-06-032</t>
        </is>
      </c>
      <c r="C1399" s="12" t="inlineStr">
        <is>
          <t>Fleet package: baseline change control - inspection</t>
        </is>
      </c>
      <c r="D1399" s="12" t="inlineStr"/>
      <c r="E1399" s="12" t="inlineStr">
        <is>
          <t>R932-v2</t>
        </is>
      </c>
      <c r="F1399" s="12" t="inlineStr">
        <is>
          <t>UNSURE</t>
        </is>
      </c>
      <c r="G1399" s="12" t="inlineStr">
        <is>
          <t>UNSURE</t>
        </is>
      </c>
      <c r="H1399" s="12" t="inlineStr">
        <is>
          <t>APPROVED</t>
        </is>
      </c>
      <c r="I1399" s="12" t="inlineStr">
        <is>
          <t>New</t>
        </is>
      </c>
      <c r="J1399" s="12" t="inlineStr">
        <is>
          <t>Professional decision</t>
        </is>
      </c>
      <c r="K1399" s="12" t="inlineStr">
        <is>
          <t>Maya Chen, Owner Project Controls</t>
        </is>
      </c>
      <c r="L1399" s="12" t="inlineStr"/>
      <c r="M1399" s="12" t="inlineStr"/>
      <c r="N1399" s="17" t="inlineStr">
        <is>
          <t>10 EVIDENCE &amp; DECISIONS</t>
        </is>
      </c>
    </row>
    <row r="1400" ht="34" customHeight="1">
      <c r="A1400" s="12" t="inlineStr">
        <is>
          <t>Contractor Programme</t>
        </is>
      </c>
      <c r="B1400" s="12" t="inlineStr">
        <is>
          <t>SCH-06-033</t>
        </is>
      </c>
      <c r="C1400" s="12" t="inlineStr">
        <is>
          <t>Program office: commercial change review - turnover</t>
        </is>
      </c>
      <c r="D1400" s="12" t="inlineStr"/>
      <c r="E1400" s="12" t="inlineStr">
        <is>
          <t>R933-v2</t>
        </is>
      </c>
      <c r="F1400" s="12" t="inlineStr">
        <is>
          <t>UNSURE</t>
        </is>
      </c>
      <c r="G1400" s="12" t="inlineStr">
        <is>
          <t>UNSURE</t>
        </is>
      </c>
      <c r="H1400" s="12" t="inlineStr">
        <is>
          <t>APPROVED</t>
        </is>
      </c>
      <c r="I1400" s="12" t="inlineStr">
        <is>
          <t>New</t>
        </is>
      </c>
      <c r="J1400" s="12" t="inlineStr">
        <is>
          <t>Professional decision</t>
        </is>
      </c>
      <c r="K1400" s="12" t="inlineStr">
        <is>
          <t>Maya Chen, Owner Project Controls</t>
        </is>
      </c>
      <c r="L1400" s="12" t="inlineStr"/>
      <c r="M1400" s="12" t="inlineStr"/>
      <c r="N1400" s="17" t="inlineStr">
        <is>
          <t>10 EVIDENCE &amp; DECISIONS</t>
        </is>
      </c>
    </row>
    <row r="1401" ht="34" customHeight="1">
      <c r="A1401" s="12" t="inlineStr">
        <is>
          <t>Contractor Programme</t>
        </is>
      </c>
      <c r="B1401" s="12" t="inlineStr">
        <is>
          <t>SCH-06-034</t>
        </is>
      </c>
      <c r="C1401" s="12" t="inlineStr">
        <is>
          <t>Civil package: design-package integration review - release</t>
        </is>
      </c>
      <c r="D1401" s="12" t="inlineStr"/>
      <c r="E1401" s="12" t="inlineStr">
        <is>
          <t>R934-v2</t>
        </is>
      </c>
      <c r="F1401" s="12" t="inlineStr">
        <is>
          <t>UNSURE</t>
        </is>
      </c>
      <c r="G1401" s="12" t="inlineStr">
        <is>
          <t>UNSURE</t>
        </is>
      </c>
      <c r="H1401" s="12" t="inlineStr">
        <is>
          <t>APPROVED</t>
        </is>
      </c>
      <c r="I1401" s="12" t="inlineStr">
        <is>
          <t>New</t>
        </is>
      </c>
      <c r="J1401" s="12" t="inlineStr">
        <is>
          <t>Professional decision</t>
        </is>
      </c>
      <c r="K1401" s="12" t="inlineStr">
        <is>
          <t>Maya Chen, Owner Project Controls</t>
        </is>
      </c>
      <c r="L1401" s="12" t="inlineStr"/>
      <c r="M1401" s="12" t="inlineStr"/>
      <c r="N1401" s="17" t="inlineStr">
        <is>
          <t>10 EVIDENCE &amp; DECISIONS</t>
        </is>
      </c>
    </row>
    <row r="1402" ht="34" customHeight="1">
      <c r="A1402" s="12" t="inlineStr">
        <is>
          <t>Contractor Programme</t>
        </is>
      </c>
      <c r="B1402" s="12" t="inlineStr">
        <is>
          <t>SCH-06-035</t>
        </is>
      </c>
      <c r="C1402" s="12" t="inlineStr">
        <is>
          <t>Stations package: executive reporting close - field start</t>
        </is>
      </c>
      <c r="D1402" s="12" t="inlineStr"/>
      <c r="E1402" s="12" t="inlineStr">
        <is>
          <t>R935-v2</t>
        </is>
      </c>
      <c r="F1402" s="12" t="inlineStr">
        <is>
          <t>UNSURE</t>
        </is>
      </c>
      <c r="G1402" s="12" t="inlineStr">
        <is>
          <t>UNSURE</t>
        </is>
      </c>
      <c r="H1402" s="12" t="inlineStr">
        <is>
          <t>APPROVED</t>
        </is>
      </c>
      <c r="I1402" s="12" t="inlineStr">
        <is>
          <t>New</t>
        </is>
      </c>
      <c r="J1402" s="12" t="inlineStr">
        <is>
          <t>Professional decision</t>
        </is>
      </c>
      <c r="K1402" s="12" t="inlineStr">
        <is>
          <t>Maya Chen, Owner Project Controls</t>
        </is>
      </c>
      <c r="L1402" s="12" t="inlineStr"/>
      <c r="M1402" s="12" t="inlineStr"/>
      <c r="N1402" s="17" t="inlineStr">
        <is>
          <t>10 EVIDENCE &amp; DECISIONS</t>
        </is>
      </c>
    </row>
    <row r="1403" ht="34" customHeight="1">
      <c r="A1403" s="12" t="inlineStr">
        <is>
          <t>Contractor Programme</t>
        </is>
      </c>
      <c r="B1403" s="12" t="inlineStr">
        <is>
          <t>SCH-06-036</t>
        </is>
      </c>
      <c r="C1403" s="12" t="inlineStr">
        <is>
          <t>Systems package: permit coordination - installation</t>
        </is>
      </c>
      <c r="D1403" s="12" t="inlineStr"/>
      <c r="E1403" s="12" t="inlineStr">
        <is>
          <t>R936-v2</t>
        </is>
      </c>
      <c r="F1403" s="12" t="inlineStr">
        <is>
          <t>UNSURE</t>
        </is>
      </c>
      <c r="G1403" s="12" t="inlineStr">
        <is>
          <t>UNSURE</t>
        </is>
      </c>
      <c r="H1403" s="12" t="inlineStr">
        <is>
          <t>APPROVED</t>
        </is>
      </c>
      <c r="I1403" s="12" t="inlineStr">
        <is>
          <t>New</t>
        </is>
      </c>
      <c r="J1403" s="12" t="inlineStr">
        <is>
          <t>Professional decision</t>
        </is>
      </c>
      <c r="K1403" s="12" t="inlineStr">
        <is>
          <t>Maya Chen, Owner Project Controls</t>
        </is>
      </c>
      <c r="L1403" s="12" t="inlineStr"/>
      <c r="M1403" s="12" t="inlineStr"/>
      <c r="N1403" s="17" t="inlineStr">
        <is>
          <t>10 EVIDENCE &amp; DECISIONS</t>
        </is>
      </c>
    </row>
    <row r="1404" ht="34" customHeight="1">
      <c r="A1404" s="12" t="inlineStr">
        <is>
          <t>Contractor Programme</t>
        </is>
      </c>
      <c r="B1404" s="12" t="inlineStr">
        <is>
          <t>SCH-06-037</t>
        </is>
      </c>
      <c r="C1404" s="12" t="inlineStr">
        <is>
          <t>Fleet package: delivery risk workshop - inspection</t>
        </is>
      </c>
      <c r="D1404" s="12" t="inlineStr"/>
      <c r="E1404" s="12" t="inlineStr">
        <is>
          <t>R937-v2</t>
        </is>
      </c>
      <c r="F1404" s="12" t="inlineStr">
        <is>
          <t>UNSURE</t>
        </is>
      </c>
      <c r="G1404" s="12" t="inlineStr">
        <is>
          <t>UNSURE</t>
        </is>
      </c>
      <c r="H1404" s="12" t="inlineStr">
        <is>
          <t>APPROVED</t>
        </is>
      </c>
      <c r="I1404" s="12" t="inlineStr">
        <is>
          <t>New</t>
        </is>
      </c>
      <c r="J1404" s="12" t="inlineStr">
        <is>
          <t>Professional decision</t>
        </is>
      </c>
      <c r="K1404" s="12" t="inlineStr">
        <is>
          <t>Maya Chen, Owner Project Controls</t>
        </is>
      </c>
      <c r="L1404" s="12" t="inlineStr"/>
      <c r="M1404" s="12" t="inlineStr"/>
      <c r="N1404" s="17" t="inlineStr">
        <is>
          <t>10 EVIDENCE &amp; DECISIONS</t>
        </is>
      </c>
    </row>
    <row r="1405" ht="34" customHeight="1">
      <c r="A1405" s="12" t="inlineStr">
        <is>
          <t>Contractor Programme</t>
        </is>
      </c>
      <c r="B1405" s="12" t="inlineStr">
        <is>
          <t>SCH-06-038</t>
        </is>
      </c>
      <c r="C1405" s="12" t="inlineStr">
        <is>
          <t>Program office: monthly controls cut-off - turnover</t>
        </is>
      </c>
      <c r="D1405" s="12" t="inlineStr"/>
      <c r="E1405" s="12" t="inlineStr">
        <is>
          <t>R938-v2</t>
        </is>
      </c>
      <c r="F1405" s="12" t="inlineStr">
        <is>
          <t>UNSURE</t>
        </is>
      </c>
      <c r="G1405" s="12" t="inlineStr">
        <is>
          <t>UNSURE</t>
        </is>
      </c>
      <c r="H1405" s="12" t="inlineStr">
        <is>
          <t>APPROVED</t>
        </is>
      </c>
      <c r="I1405" s="12" t="inlineStr">
        <is>
          <t>New</t>
        </is>
      </c>
      <c r="J1405" s="12" t="inlineStr">
        <is>
          <t>Professional decision</t>
        </is>
      </c>
      <c r="K1405" s="12" t="inlineStr">
        <is>
          <t>Maya Chen, Owner Project Controls</t>
        </is>
      </c>
      <c r="L1405" s="12" t="inlineStr"/>
      <c r="M1405" s="12" t="inlineStr"/>
      <c r="N1405" s="17" t="inlineStr">
        <is>
          <t>10 EVIDENCE &amp; DECISIONS</t>
        </is>
      </c>
    </row>
    <row r="1406" ht="34" customHeight="1">
      <c r="A1406" s="12" t="inlineStr">
        <is>
          <t>Contractor Programme</t>
        </is>
      </c>
      <c r="B1406" s="12" t="inlineStr">
        <is>
          <t>SCH-06-039</t>
        </is>
      </c>
      <c r="C1406" s="12" t="inlineStr">
        <is>
          <t>Civil package: stakeholder interface meeting - release</t>
        </is>
      </c>
      <c r="D1406" s="12" t="inlineStr"/>
      <c r="E1406" s="12" t="inlineStr">
        <is>
          <t>R939-v2</t>
        </is>
      </c>
      <c r="F1406" s="12" t="inlineStr">
        <is>
          <t>UNSURE</t>
        </is>
      </c>
      <c r="G1406" s="12" t="inlineStr">
        <is>
          <t>UNSURE</t>
        </is>
      </c>
      <c r="H1406" s="12" t="inlineStr">
        <is>
          <t>APPROVED</t>
        </is>
      </c>
      <c r="I1406" s="12" t="inlineStr">
        <is>
          <t>New</t>
        </is>
      </c>
      <c r="J1406" s="12" t="inlineStr">
        <is>
          <t>Professional decision</t>
        </is>
      </c>
      <c r="K1406" s="12" t="inlineStr">
        <is>
          <t>Maya Chen, Owner Project Controls</t>
        </is>
      </c>
      <c r="L1406" s="12" t="inlineStr"/>
      <c r="M1406" s="12" t="inlineStr"/>
      <c r="N1406" s="17" t="inlineStr">
        <is>
          <t>10 EVIDENCE &amp; DECISIONS</t>
        </is>
      </c>
    </row>
    <row r="1407" ht="34" customHeight="1">
      <c r="A1407" s="12" t="inlineStr">
        <is>
          <t>Contractor Programme</t>
        </is>
      </c>
      <c r="B1407" s="12" t="inlineStr">
        <is>
          <t>SCH-06-040</t>
        </is>
      </c>
      <c r="C1407" s="12" t="inlineStr">
        <is>
          <t>Stations package: baseline change control - field start</t>
        </is>
      </c>
      <c r="D1407" s="12" t="inlineStr"/>
      <c r="E1407" s="12" t="inlineStr">
        <is>
          <t>R940-v2</t>
        </is>
      </c>
      <c r="F1407" s="12" t="inlineStr">
        <is>
          <t>UNSURE</t>
        </is>
      </c>
      <c r="G1407" s="12" t="inlineStr">
        <is>
          <t>UNSURE</t>
        </is>
      </c>
      <c r="H1407" s="12" t="inlineStr">
        <is>
          <t>APPROVED</t>
        </is>
      </c>
      <c r="I1407" s="12" t="inlineStr">
        <is>
          <t>New</t>
        </is>
      </c>
      <c r="J1407" s="12" t="inlineStr">
        <is>
          <t>Professional decision</t>
        </is>
      </c>
      <c r="K1407" s="12" t="inlineStr">
        <is>
          <t>Maya Chen, Owner Project Controls</t>
        </is>
      </c>
      <c r="L1407" s="12" t="inlineStr"/>
      <c r="M1407" s="12" t="inlineStr"/>
      <c r="N1407" s="17" t="inlineStr">
        <is>
          <t>10 EVIDENCE &amp; DECISIONS</t>
        </is>
      </c>
    </row>
    <row r="1408" ht="34" customHeight="1">
      <c r="A1408" s="12" t="inlineStr">
        <is>
          <t>Contractor Programme</t>
        </is>
      </c>
      <c r="B1408" s="12" t="inlineStr">
        <is>
          <t>SCH-06-041</t>
        </is>
      </c>
      <c r="C1408" s="12" t="inlineStr">
        <is>
          <t>Systems package: commercial change review - installation</t>
        </is>
      </c>
      <c r="D1408" s="12" t="inlineStr"/>
      <c r="E1408" s="12" t="inlineStr">
        <is>
          <t>R941-v2</t>
        </is>
      </c>
      <c r="F1408" s="12" t="inlineStr">
        <is>
          <t>UNSURE</t>
        </is>
      </c>
      <c r="G1408" s="12" t="inlineStr">
        <is>
          <t>UNSURE</t>
        </is>
      </c>
      <c r="H1408" s="12" t="inlineStr">
        <is>
          <t>APPROVED</t>
        </is>
      </c>
      <c r="I1408" s="12" t="inlineStr">
        <is>
          <t>New</t>
        </is>
      </c>
      <c r="J1408" s="12" t="inlineStr">
        <is>
          <t>Professional decision</t>
        </is>
      </c>
      <c r="K1408" s="12" t="inlineStr">
        <is>
          <t>Maya Chen, Owner Project Controls</t>
        </is>
      </c>
      <c r="L1408" s="12" t="inlineStr"/>
      <c r="M1408" s="12" t="inlineStr"/>
      <c r="N1408" s="17" t="inlineStr">
        <is>
          <t>10 EVIDENCE &amp; DECISIONS</t>
        </is>
      </c>
    </row>
    <row r="1409" ht="34" customHeight="1">
      <c r="A1409" s="12" t="inlineStr">
        <is>
          <t>Contractor Programme</t>
        </is>
      </c>
      <c r="B1409" s="12" t="inlineStr">
        <is>
          <t>SCH-06-042</t>
        </is>
      </c>
      <c r="C1409" s="12" t="inlineStr">
        <is>
          <t>Fleet package: design-package integration review - inspection</t>
        </is>
      </c>
      <c r="D1409" s="12" t="inlineStr"/>
      <c r="E1409" s="12" t="inlineStr">
        <is>
          <t>R942-v2</t>
        </is>
      </c>
      <c r="F1409" s="12" t="inlineStr">
        <is>
          <t>UNSURE</t>
        </is>
      </c>
      <c r="G1409" s="12" t="inlineStr">
        <is>
          <t>UNSURE</t>
        </is>
      </c>
      <c r="H1409" s="12" t="inlineStr">
        <is>
          <t>APPROVED</t>
        </is>
      </c>
      <c r="I1409" s="12" t="inlineStr">
        <is>
          <t>New</t>
        </is>
      </c>
      <c r="J1409" s="12" t="inlineStr">
        <is>
          <t>Professional decision</t>
        </is>
      </c>
      <c r="K1409" s="12" t="inlineStr">
        <is>
          <t>Maya Chen, Owner Project Controls</t>
        </is>
      </c>
      <c r="L1409" s="12" t="inlineStr"/>
      <c r="M1409" s="12" t="inlineStr"/>
      <c r="N1409" s="17" t="inlineStr">
        <is>
          <t>10 EVIDENCE &amp; DECISIONS</t>
        </is>
      </c>
    </row>
    <row r="1410" ht="34" customHeight="1">
      <c r="A1410" s="12" t="inlineStr">
        <is>
          <t>Contractor Programme</t>
        </is>
      </c>
      <c r="B1410" s="12" t="inlineStr">
        <is>
          <t>SCH-06-043</t>
        </is>
      </c>
      <c r="C1410" s="12" t="inlineStr">
        <is>
          <t>Program office: executive reporting close - turnover</t>
        </is>
      </c>
      <c r="D1410" s="12" t="inlineStr"/>
      <c r="E1410" s="12" t="inlineStr">
        <is>
          <t>R943-v2</t>
        </is>
      </c>
      <c r="F1410" s="12" t="inlineStr">
        <is>
          <t>UNSURE</t>
        </is>
      </c>
      <c r="G1410" s="12" t="inlineStr">
        <is>
          <t>UNSURE</t>
        </is>
      </c>
      <c r="H1410" s="12" t="inlineStr">
        <is>
          <t>APPROVED</t>
        </is>
      </c>
      <c r="I1410" s="12" t="inlineStr">
        <is>
          <t>New</t>
        </is>
      </c>
      <c r="J1410" s="12" t="inlineStr">
        <is>
          <t>Professional decision</t>
        </is>
      </c>
      <c r="K1410" s="12" t="inlineStr">
        <is>
          <t>Maya Chen, Owner Project Controls</t>
        </is>
      </c>
      <c r="L1410" s="12" t="inlineStr"/>
      <c r="M1410" s="12" t="inlineStr"/>
      <c r="N1410" s="17" t="inlineStr">
        <is>
          <t>10 EVIDENCE &amp; DECISIONS</t>
        </is>
      </c>
    </row>
    <row r="1411" ht="34" customHeight="1">
      <c r="A1411" s="12" t="inlineStr">
        <is>
          <t>Contractor Programme</t>
        </is>
      </c>
      <c r="B1411" s="12" t="inlineStr">
        <is>
          <t>SCH-06-044</t>
        </is>
      </c>
      <c r="C1411" s="12" t="inlineStr">
        <is>
          <t>Civil package: permit coordination - release</t>
        </is>
      </c>
      <c r="D1411" s="12" t="inlineStr"/>
      <c r="E1411" s="12" t="inlineStr">
        <is>
          <t>R944-v2</t>
        </is>
      </c>
      <c r="F1411" s="12" t="inlineStr">
        <is>
          <t>UNSURE</t>
        </is>
      </c>
      <c r="G1411" s="12" t="inlineStr">
        <is>
          <t>UNSURE</t>
        </is>
      </c>
      <c r="H1411" s="12" t="inlineStr">
        <is>
          <t>APPROVED</t>
        </is>
      </c>
      <c r="I1411" s="12" t="inlineStr">
        <is>
          <t>New</t>
        </is>
      </c>
      <c r="J1411" s="12" t="inlineStr">
        <is>
          <t>Professional decision</t>
        </is>
      </c>
      <c r="K1411" s="12" t="inlineStr">
        <is>
          <t>Maya Chen, Owner Project Controls</t>
        </is>
      </c>
      <c r="L1411" s="12" t="inlineStr"/>
      <c r="M1411" s="12" t="inlineStr"/>
      <c r="N1411" s="17" t="inlineStr">
        <is>
          <t>10 EVIDENCE &amp; DECISIONS</t>
        </is>
      </c>
    </row>
    <row r="1412" ht="34" customHeight="1">
      <c r="A1412" s="12" t="inlineStr">
        <is>
          <t>Contractor Programme</t>
        </is>
      </c>
      <c r="B1412" s="12" t="inlineStr">
        <is>
          <t>SCH-06-045</t>
        </is>
      </c>
      <c r="C1412" s="12" t="inlineStr">
        <is>
          <t>Stations package: delivery risk workshop - field start</t>
        </is>
      </c>
      <c r="D1412" s="12" t="inlineStr"/>
      <c r="E1412" s="12" t="inlineStr">
        <is>
          <t>R945-v2</t>
        </is>
      </c>
      <c r="F1412" s="12" t="inlineStr">
        <is>
          <t>UNSURE</t>
        </is>
      </c>
      <c r="G1412" s="12" t="inlineStr">
        <is>
          <t>UNSURE</t>
        </is>
      </c>
      <c r="H1412" s="12" t="inlineStr">
        <is>
          <t>APPROVED</t>
        </is>
      </c>
      <c r="I1412" s="12" t="inlineStr">
        <is>
          <t>New</t>
        </is>
      </c>
      <c r="J1412" s="12" t="inlineStr">
        <is>
          <t>Professional decision</t>
        </is>
      </c>
      <c r="K1412" s="12" t="inlineStr">
        <is>
          <t>Maya Chen, Owner Project Controls</t>
        </is>
      </c>
      <c r="L1412" s="12" t="inlineStr"/>
      <c r="M1412" s="12" t="inlineStr"/>
      <c r="N1412" s="17" t="inlineStr">
        <is>
          <t>10 EVIDENCE &amp; DECISIONS</t>
        </is>
      </c>
    </row>
    <row r="1413" ht="34" customHeight="1">
      <c r="A1413" s="12" t="inlineStr">
        <is>
          <t>Contractor Programme</t>
        </is>
      </c>
      <c r="B1413" s="12" t="inlineStr">
        <is>
          <t>SCH-06-046</t>
        </is>
      </c>
      <c r="C1413" s="12" t="inlineStr">
        <is>
          <t>Systems package: monthly controls cut-off - installation</t>
        </is>
      </c>
      <c r="D1413" s="12" t="inlineStr"/>
      <c r="E1413" s="12" t="inlineStr">
        <is>
          <t>R946-v2</t>
        </is>
      </c>
      <c r="F1413" s="12" t="inlineStr">
        <is>
          <t>UNSURE</t>
        </is>
      </c>
      <c r="G1413" s="12" t="inlineStr">
        <is>
          <t>UNSURE</t>
        </is>
      </c>
      <c r="H1413" s="12" t="inlineStr">
        <is>
          <t>APPROVED</t>
        </is>
      </c>
      <c r="I1413" s="12" t="inlineStr">
        <is>
          <t>New</t>
        </is>
      </c>
      <c r="J1413" s="12" t="inlineStr">
        <is>
          <t>Professional decision</t>
        </is>
      </c>
      <c r="K1413" s="12" t="inlineStr">
        <is>
          <t>Maya Chen, Owner Project Controls</t>
        </is>
      </c>
      <c r="L1413" s="12" t="inlineStr"/>
      <c r="M1413" s="12" t="inlineStr"/>
      <c r="N1413" s="17" t="inlineStr">
        <is>
          <t>10 EVIDENCE &amp; DECISIONS</t>
        </is>
      </c>
    </row>
    <row r="1414" ht="34" customHeight="1">
      <c r="A1414" s="12" t="inlineStr">
        <is>
          <t>Contractor Programme</t>
        </is>
      </c>
      <c r="B1414" s="12" t="inlineStr">
        <is>
          <t>SCH-06-047</t>
        </is>
      </c>
      <c r="C1414" s="12" t="inlineStr">
        <is>
          <t>Fleet package: stakeholder interface meeting - inspection</t>
        </is>
      </c>
      <c r="D1414" s="12" t="inlineStr"/>
      <c r="E1414" s="12" t="inlineStr">
        <is>
          <t>R947-v2</t>
        </is>
      </c>
      <c r="F1414" s="12" t="inlineStr">
        <is>
          <t>UNSURE</t>
        </is>
      </c>
      <c r="G1414" s="12" t="inlineStr">
        <is>
          <t>UNSURE</t>
        </is>
      </c>
      <c r="H1414" s="12" t="inlineStr">
        <is>
          <t>APPROVED</t>
        </is>
      </c>
      <c r="I1414" s="12" t="inlineStr">
        <is>
          <t>New</t>
        </is>
      </c>
      <c r="J1414" s="12" t="inlineStr">
        <is>
          <t>Professional decision</t>
        </is>
      </c>
      <c r="K1414" s="12" t="inlineStr">
        <is>
          <t>Maya Chen, Owner Project Controls</t>
        </is>
      </c>
      <c r="L1414" s="12" t="inlineStr"/>
      <c r="M1414" s="12" t="inlineStr"/>
      <c r="N1414" s="17" t="inlineStr">
        <is>
          <t>10 EVIDENCE &amp; DECISIONS</t>
        </is>
      </c>
    </row>
    <row r="1415" ht="34" customHeight="1">
      <c r="A1415" s="12" t="inlineStr">
        <is>
          <t>Contractor Programme</t>
        </is>
      </c>
      <c r="B1415" s="12" t="inlineStr">
        <is>
          <t>SCH-06-048</t>
        </is>
      </c>
      <c r="C1415" s="12" t="inlineStr">
        <is>
          <t>Program office: baseline change control - turnover</t>
        </is>
      </c>
      <c r="D1415" s="12" t="inlineStr"/>
      <c r="E1415" s="12" t="inlineStr">
        <is>
          <t>R948-v2</t>
        </is>
      </c>
      <c r="F1415" s="12" t="inlineStr">
        <is>
          <t>UNSURE</t>
        </is>
      </c>
      <c r="G1415" s="12" t="inlineStr">
        <is>
          <t>UNSURE</t>
        </is>
      </c>
      <c r="H1415" s="12" t="inlineStr">
        <is>
          <t>APPROVED</t>
        </is>
      </c>
      <c r="I1415" s="12" t="inlineStr">
        <is>
          <t>New</t>
        </is>
      </c>
      <c r="J1415" s="12" t="inlineStr">
        <is>
          <t>Professional decision</t>
        </is>
      </c>
      <c r="K1415" s="12" t="inlineStr">
        <is>
          <t>Maya Chen, Owner Project Controls</t>
        </is>
      </c>
      <c r="L1415" s="12" t="inlineStr"/>
      <c r="M1415" s="12" t="inlineStr"/>
      <c r="N1415" s="17" t="inlineStr">
        <is>
          <t>10 EVIDENCE &amp; DECISIONS</t>
        </is>
      </c>
    </row>
    <row r="1416" ht="34" customHeight="1">
      <c r="A1416" s="12" t="inlineStr">
        <is>
          <t>Contractor Programme</t>
        </is>
      </c>
      <c r="B1416" s="12" t="inlineStr">
        <is>
          <t>SCH-06-049</t>
        </is>
      </c>
      <c r="C1416" s="12" t="inlineStr">
        <is>
          <t>Civil package: commercial change review - release</t>
        </is>
      </c>
      <c r="D1416" s="12" t="inlineStr"/>
      <c r="E1416" s="12" t="inlineStr">
        <is>
          <t>R949-v2</t>
        </is>
      </c>
      <c r="F1416" s="12" t="inlineStr">
        <is>
          <t>UNSURE</t>
        </is>
      </c>
      <c r="G1416" s="12" t="inlineStr">
        <is>
          <t>UNSURE</t>
        </is>
      </c>
      <c r="H1416" s="12" t="inlineStr">
        <is>
          <t>APPROVED</t>
        </is>
      </c>
      <c r="I1416" s="12" t="inlineStr">
        <is>
          <t>New</t>
        </is>
      </c>
      <c r="J1416" s="12" t="inlineStr">
        <is>
          <t>Professional decision</t>
        </is>
      </c>
      <c r="K1416" s="12" t="inlineStr">
        <is>
          <t>Maya Chen, Owner Project Controls</t>
        </is>
      </c>
      <c r="L1416" s="12" t="inlineStr"/>
      <c r="M1416" s="12" t="inlineStr"/>
      <c r="N1416" s="17" t="inlineStr">
        <is>
          <t>10 EVIDENCE &amp; DECISIONS</t>
        </is>
      </c>
    </row>
    <row r="1417" ht="34" customHeight="1">
      <c r="A1417" s="12" t="inlineStr">
        <is>
          <t>Contractor Programme</t>
        </is>
      </c>
      <c r="B1417" s="12" t="inlineStr">
        <is>
          <t>SCH-06-050</t>
        </is>
      </c>
      <c r="C1417" s="12" t="inlineStr">
        <is>
          <t>Stations package: design-package integration review - field start</t>
        </is>
      </c>
      <c r="D1417" s="12" t="inlineStr"/>
      <c r="E1417" s="12" t="inlineStr">
        <is>
          <t>R950-v2</t>
        </is>
      </c>
      <c r="F1417" s="12" t="inlineStr">
        <is>
          <t>UNSURE</t>
        </is>
      </c>
      <c r="G1417" s="12" t="inlineStr">
        <is>
          <t>UNSURE</t>
        </is>
      </c>
      <c r="H1417" s="12" t="inlineStr">
        <is>
          <t>APPROVED</t>
        </is>
      </c>
      <c r="I1417" s="12" t="inlineStr">
        <is>
          <t>New</t>
        </is>
      </c>
      <c r="J1417" s="12" t="inlineStr">
        <is>
          <t>Professional decision</t>
        </is>
      </c>
      <c r="K1417" s="12" t="inlineStr">
        <is>
          <t>Maya Chen, Owner Project Controls</t>
        </is>
      </c>
      <c r="L1417" s="12" t="inlineStr"/>
      <c r="M1417" s="12" t="inlineStr"/>
      <c r="N1417" s="17" t="inlineStr">
        <is>
          <t>10 EVIDENCE &amp; DECISIONS</t>
        </is>
      </c>
    </row>
    <row r="1418" ht="34" customHeight="1">
      <c r="A1418" s="12" t="inlineStr">
        <is>
          <t>Contractor Programme</t>
        </is>
      </c>
      <c r="B1418" s="12" t="inlineStr">
        <is>
          <t>SCH-06-051</t>
        </is>
      </c>
      <c r="C1418" s="12" t="inlineStr">
        <is>
          <t>Systems package: executive reporting close - installation</t>
        </is>
      </c>
      <c r="D1418" s="12" t="inlineStr"/>
      <c r="E1418" s="12" t="inlineStr">
        <is>
          <t>R951-v2</t>
        </is>
      </c>
      <c r="F1418" s="12" t="inlineStr">
        <is>
          <t>UNSURE</t>
        </is>
      </c>
      <c r="G1418" s="12" t="inlineStr">
        <is>
          <t>UNSURE</t>
        </is>
      </c>
      <c r="H1418" s="12" t="inlineStr">
        <is>
          <t>APPROVED</t>
        </is>
      </c>
      <c r="I1418" s="12" t="inlineStr">
        <is>
          <t>New</t>
        </is>
      </c>
      <c r="J1418" s="12" t="inlineStr">
        <is>
          <t>Professional decision</t>
        </is>
      </c>
      <c r="K1418" s="12" t="inlineStr">
        <is>
          <t>Maya Chen, Owner Project Controls</t>
        </is>
      </c>
      <c r="L1418" s="12" t="inlineStr"/>
      <c r="M1418" s="12" t="inlineStr"/>
      <c r="N1418" s="17" t="inlineStr">
        <is>
          <t>10 EVIDENCE &amp; DECISIONS</t>
        </is>
      </c>
    </row>
    <row r="1419" ht="34" customHeight="1">
      <c r="A1419" s="12" t="inlineStr">
        <is>
          <t>Contractor Programme</t>
        </is>
      </c>
      <c r="B1419" s="12" t="inlineStr">
        <is>
          <t>SCH-06-052</t>
        </is>
      </c>
      <c r="C1419" s="12" t="inlineStr">
        <is>
          <t>Fleet package: permit coordination - inspection</t>
        </is>
      </c>
      <c r="D1419" s="12" t="inlineStr"/>
      <c r="E1419" s="12" t="inlineStr">
        <is>
          <t>R952-v2</t>
        </is>
      </c>
      <c r="F1419" s="12" t="inlineStr">
        <is>
          <t>UNSURE</t>
        </is>
      </c>
      <c r="G1419" s="12" t="inlineStr">
        <is>
          <t>UNSURE</t>
        </is>
      </c>
      <c r="H1419" s="12" t="inlineStr">
        <is>
          <t>APPROVED</t>
        </is>
      </c>
      <c r="I1419" s="12" t="inlineStr">
        <is>
          <t>New</t>
        </is>
      </c>
      <c r="J1419" s="12" t="inlineStr">
        <is>
          <t>Professional decision</t>
        </is>
      </c>
      <c r="K1419" s="12" t="inlineStr">
        <is>
          <t>Maya Chen, Owner Project Controls</t>
        </is>
      </c>
      <c r="L1419" s="12" t="inlineStr"/>
      <c r="M1419" s="12" t="inlineStr"/>
      <c r="N1419" s="17" t="inlineStr">
        <is>
          <t>10 EVIDENCE &amp; DECISIONS</t>
        </is>
      </c>
    </row>
    <row r="1420" ht="34" customHeight="1">
      <c r="A1420" s="12" t="inlineStr">
        <is>
          <t>Contractor Programme</t>
        </is>
      </c>
      <c r="B1420" s="12" t="inlineStr">
        <is>
          <t>SCH-06-053</t>
        </is>
      </c>
      <c r="C1420" s="12" t="inlineStr">
        <is>
          <t>Program office: delivery risk workshop - turnover</t>
        </is>
      </c>
      <c r="D1420" s="12" t="inlineStr"/>
      <c r="E1420" s="12" t="inlineStr">
        <is>
          <t>R953-v2</t>
        </is>
      </c>
      <c r="F1420" s="12" t="inlineStr">
        <is>
          <t>UNSURE</t>
        </is>
      </c>
      <c r="G1420" s="12" t="inlineStr">
        <is>
          <t>UNSURE</t>
        </is>
      </c>
      <c r="H1420" s="12" t="inlineStr">
        <is>
          <t>APPROVED</t>
        </is>
      </c>
      <c r="I1420" s="12" t="inlineStr">
        <is>
          <t>New</t>
        </is>
      </c>
      <c r="J1420" s="12" t="inlineStr">
        <is>
          <t>Professional decision</t>
        </is>
      </c>
      <c r="K1420" s="12" t="inlineStr">
        <is>
          <t>Maya Chen, Owner Project Controls</t>
        </is>
      </c>
      <c r="L1420" s="12" t="inlineStr"/>
      <c r="M1420" s="12" t="inlineStr"/>
      <c r="N1420" s="17" t="inlineStr">
        <is>
          <t>10 EVIDENCE &amp; DECISIONS</t>
        </is>
      </c>
    </row>
    <row r="1421" ht="34" customHeight="1">
      <c r="A1421" s="12" t="inlineStr">
        <is>
          <t>Contractor Programme</t>
        </is>
      </c>
      <c r="B1421" s="12" t="inlineStr">
        <is>
          <t>SCH-06-054</t>
        </is>
      </c>
      <c r="C1421" s="12" t="inlineStr">
        <is>
          <t>Civil package: monthly controls cut-off - release</t>
        </is>
      </c>
      <c r="D1421" s="12" t="inlineStr"/>
      <c r="E1421" s="12" t="inlineStr">
        <is>
          <t>R954-v2</t>
        </is>
      </c>
      <c r="F1421" s="12" t="inlineStr">
        <is>
          <t>UNSURE</t>
        </is>
      </c>
      <c r="G1421" s="12" t="inlineStr">
        <is>
          <t>UNSURE</t>
        </is>
      </c>
      <c r="H1421" s="12" t="inlineStr">
        <is>
          <t>APPROVED</t>
        </is>
      </c>
      <c r="I1421" s="12" t="inlineStr">
        <is>
          <t>New</t>
        </is>
      </c>
      <c r="J1421" s="12" t="inlineStr">
        <is>
          <t>Professional decision</t>
        </is>
      </c>
      <c r="K1421" s="12" t="inlineStr">
        <is>
          <t>Maya Chen, Owner Project Controls</t>
        </is>
      </c>
      <c r="L1421" s="12" t="inlineStr"/>
      <c r="M1421" s="12" t="inlineStr"/>
      <c r="N1421" s="17" t="inlineStr">
        <is>
          <t>10 EVIDENCE &amp; DECISIONS</t>
        </is>
      </c>
    </row>
    <row r="1422" ht="34" customHeight="1">
      <c r="A1422" s="12" t="inlineStr">
        <is>
          <t>Contractor Programme</t>
        </is>
      </c>
      <c r="B1422" s="12" t="inlineStr">
        <is>
          <t>SCH-06-055</t>
        </is>
      </c>
      <c r="C1422" s="12" t="inlineStr">
        <is>
          <t>Stations package: stakeholder interface meeting - field start</t>
        </is>
      </c>
      <c r="D1422" s="12" t="inlineStr"/>
      <c r="E1422" s="12" t="inlineStr">
        <is>
          <t>R955-v2</t>
        </is>
      </c>
      <c r="F1422" s="12" t="inlineStr">
        <is>
          <t>UNSURE</t>
        </is>
      </c>
      <c r="G1422" s="12" t="inlineStr">
        <is>
          <t>UNSURE</t>
        </is>
      </c>
      <c r="H1422" s="12" t="inlineStr">
        <is>
          <t>APPROVED</t>
        </is>
      </c>
      <c r="I1422" s="12" t="inlineStr">
        <is>
          <t>New</t>
        </is>
      </c>
      <c r="J1422" s="12" t="inlineStr">
        <is>
          <t>Professional decision</t>
        </is>
      </c>
      <c r="K1422" s="12" t="inlineStr">
        <is>
          <t>Maya Chen, Owner Project Controls</t>
        </is>
      </c>
      <c r="L1422" s="12" t="inlineStr"/>
      <c r="M1422" s="12" t="inlineStr"/>
      <c r="N1422" s="17" t="inlineStr">
        <is>
          <t>10 EVIDENCE &amp; DECISIONS</t>
        </is>
      </c>
    </row>
    <row r="1423" ht="34" customHeight="1">
      <c r="A1423" s="12" t="inlineStr">
        <is>
          <t>Contractor Programme</t>
        </is>
      </c>
      <c r="B1423" s="12" t="inlineStr">
        <is>
          <t>SCH-06-056</t>
        </is>
      </c>
      <c r="C1423" s="12" t="inlineStr">
        <is>
          <t>Systems package: baseline change control - installation</t>
        </is>
      </c>
      <c r="D1423" s="12" t="inlineStr"/>
      <c r="E1423" s="12" t="inlineStr">
        <is>
          <t>R956-v2</t>
        </is>
      </c>
      <c r="F1423" s="12" t="inlineStr">
        <is>
          <t>UNSURE</t>
        </is>
      </c>
      <c r="G1423" s="12" t="inlineStr">
        <is>
          <t>UNSURE</t>
        </is>
      </c>
      <c r="H1423" s="12" t="inlineStr">
        <is>
          <t>APPROVED</t>
        </is>
      </c>
      <c r="I1423" s="12" t="inlineStr">
        <is>
          <t>New</t>
        </is>
      </c>
      <c r="J1423" s="12" t="inlineStr">
        <is>
          <t>Professional decision</t>
        </is>
      </c>
      <c r="K1423" s="12" t="inlineStr">
        <is>
          <t>Maya Chen, Owner Project Controls</t>
        </is>
      </c>
      <c r="L1423" s="12" t="inlineStr"/>
      <c r="M1423" s="12" t="inlineStr"/>
      <c r="N1423" s="17" t="inlineStr">
        <is>
          <t>10 EVIDENCE &amp; DECISIONS</t>
        </is>
      </c>
    </row>
    <row r="1424" ht="34" customHeight="1">
      <c r="A1424" s="12" t="inlineStr">
        <is>
          <t>Contractor Programme</t>
        </is>
      </c>
      <c r="B1424" s="12" t="inlineStr">
        <is>
          <t>SCH-06-057</t>
        </is>
      </c>
      <c r="C1424" s="12" t="inlineStr">
        <is>
          <t>Fleet package: commercial change review - inspection</t>
        </is>
      </c>
      <c r="D1424" s="12" t="inlineStr"/>
      <c r="E1424" s="12" t="inlineStr">
        <is>
          <t>R957-v2</t>
        </is>
      </c>
      <c r="F1424" s="12" t="inlineStr">
        <is>
          <t>UNSURE</t>
        </is>
      </c>
      <c r="G1424" s="12" t="inlineStr">
        <is>
          <t>UNSURE</t>
        </is>
      </c>
      <c r="H1424" s="12" t="inlineStr">
        <is>
          <t>APPROVED</t>
        </is>
      </c>
      <c r="I1424" s="12" t="inlineStr">
        <is>
          <t>New</t>
        </is>
      </c>
      <c r="J1424" s="12" t="inlineStr">
        <is>
          <t>Professional decision</t>
        </is>
      </c>
      <c r="K1424" s="12" t="inlineStr">
        <is>
          <t>Maya Chen, Owner Project Controls</t>
        </is>
      </c>
      <c r="L1424" s="12" t="inlineStr"/>
      <c r="M1424" s="12" t="inlineStr"/>
      <c r="N1424" s="17" t="inlineStr">
        <is>
          <t>10 EVIDENCE &amp; DECISIONS</t>
        </is>
      </c>
    </row>
    <row r="1425" ht="34" customHeight="1">
      <c r="A1425" s="12" t="inlineStr">
        <is>
          <t>Contractor Programme</t>
        </is>
      </c>
      <c r="B1425" s="12" t="inlineStr">
        <is>
          <t>SCH-06-058</t>
        </is>
      </c>
      <c r="C1425" s="12" t="inlineStr">
        <is>
          <t>Program office: design-package integration review - turnover</t>
        </is>
      </c>
      <c r="D1425" s="12" t="inlineStr"/>
      <c r="E1425" s="12" t="inlineStr">
        <is>
          <t>R958-v2</t>
        </is>
      </c>
      <c r="F1425" s="12" t="inlineStr">
        <is>
          <t>UNSURE</t>
        </is>
      </c>
      <c r="G1425" s="12" t="inlineStr">
        <is>
          <t>UNSURE</t>
        </is>
      </c>
      <c r="H1425" s="12" t="inlineStr">
        <is>
          <t>APPROVED</t>
        </is>
      </c>
      <c r="I1425" s="12" t="inlineStr">
        <is>
          <t>New</t>
        </is>
      </c>
      <c r="J1425" s="12" t="inlineStr">
        <is>
          <t>Professional decision</t>
        </is>
      </c>
      <c r="K1425" s="12" t="inlineStr">
        <is>
          <t>Maya Chen, Owner Project Controls</t>
        </is>
      </c>
      <c r="L1425" s="12" t="inlineStr"/>
      <c r="M1425" s="12" t="inlineStr"/>
      <c r="N1425" s="17" t="inlineStr">
        <is>
          <t>10 EVIDENCE &amp; DECISIONS</t>
        </is>
      </c>
    </row>
    <row r="1426" ht="34" customHeight="1">
      <c r="A1426" s="12" t="inlineStr">
        <is>
          <t>Contractor Programme</t>
        </is>
      </c>
      <c r="B1426" s="12" t="inlineStr">
        <is>
          <t>SCH-06-059</t>
        </is>
      </c>
      <c r="C1426" s="12" t="inlineStr">
        <is>
          <t>Civil package: executive reporting close - release</t>
        </is>
      </c>
      <c r="D1426" s="12" t="inlineStr"/>
      <c r="E1426" s="12" t="inlineStr">
        <is>
          <t>R959-v2</t>
        </is>
      </c>
      <c r="F1426" s="12" t="inlineStr">
        <is>
          <t>UNSURE</t>
        </is>
      </c>
      <c r="G1426" s="12" t="inlineStr">
        <is>
          <t>UNSURE</t>
        </is>
      </c>
      <c r="H1426" s="12" t="inlineStr">
        <is>
          <t>APPROVED</t>
        </is>
      </c>
      <c r="I1426" s="12" t="inlineStr">
        <is>
          <t>New</t>
        </is>
      </c>
      <c r="J1426" s="12" t="inlineStr">
        <is>
          <t>Professional decision</t>
        </is>
      </c>
      <c r="K1426" s="12" t="inlineStr">
        <is>
          <t>Maya Chen, Owner Project Controls</t>
        </is>
      </c>
      <c r="L1426" s="12" t="inlineStr"/>
      <c r="M1426" s="12" t="inlineStr"/>
      <c r="N1426" s="17" t="inlineStr">
        <is>
          <t>10 EVIDENCE &amp; DECISIONS</t>
        </is>
      </c>
    </row>
    <row r="1427" ht="34" customHeight="1">
      <c r="A1427" s="12" t="inlineStr">
        <is>
          <t>Contractor Programme</t>
        </is>
      </c>
      <c r="B1427" s="12" t="inlineStr">
        <is>
          <t>SCH-06-060</t>
        </is>
      </c>
      <c r="C1427" s="12" t="inlineStr">
        <is>
          <t>Stations package: permit coordination - field start</t>
        </is>
      </c>
      <c r="D1427" s="12" t="inlineStr"/>
      <c r="E1427" s="12" t="inlineStr">
        <is>
          <t>R960-v2</t>
        </is>
      </c>
      <c r="F1427" s="12" t="inlineStr">
        <is>
          <t>UNSURE</t>
        </is>
      </c>
      <c r="G1427" s="12" t="inlineStr">
        <is>
          <t>UNSURE</t>
        </is>
      </c>
      <c r="H1427" s="12" t="inlineStr">
        <is>
          <t>APPROVED</t>
        </is>
      </c>
      <c r="I1427" s="12" t="inlineStr">
        <is>
          <t>New</t>
        </is>
      </c>
      <c r="J1427" s="12" t="inlineStr">
        <is>
          <t>Professional decision</t>
        </is>
      </c>
      <c r="K1427" s="12" t="inlineStr">
        <is>
          <t>Maya Chen, Owner Project Controls</t>
        </is>
      </c>
      <c r="L1427" s="12" t="inlineStr"/>
      <c r="M1427" s="12" t="inlineStr"/>
      <c r="N1427" s="17" t="inlineStr">
        <is>
          <t>10 EVIDENCE &amp; DECISIONS</t>
        </is>
      </c>
    </row>
    <row r="1428" ht="34" customHeight="1">
      <c r="A1428" s="12" t="inlineStr">
        <is>
          <t>Contractor Programme</t>
        </is>
      </c>
      <c r="B1428" s="12" t="inlineStr">
        <is>
          <t>SCH-06-061</t>
        </is>
      </c>
      <c r="C1428" s="12" t="inlineStr">
        <is>
          <t>Systems package: delivery risk workshop - installation</t>
        </is>
      </c>
      <c r="D1428" s="12" t="inlineStr"/>
      <c r="E1428" s="12" t="inlineStr">
        <is>
          <t>R961-v2</t>
        </is>
      </c>
      <c r="F1428" s="12" t="inlineStr">
        <is>
          <t>UNSURE</t>
        </is>
      </c>
      <c r="G1428" s="12" t="inlineStr">
        <is>
          <t>UNSURE</t>
        </is>
      </c>
      <c r="H1428" s="12" t="inlineStr">
        <is>
          <t>APPROVED</t>
        </is>
      </c>
      <c r="I1428" s="12" t="inlineStr">
        <is>
          <t>New</t>
        </is>
      </c>
      <c r="J1428" s="12" t="inlineStr">
        <is>
          <t>Professional decision</t>
        </is>
      </c>
      <c r="K1428" s="12" t="inlineStr">
        <is>
          <t>Maya Chen, Owner Project Controls</t>
        </is>
      </c>
      <c r="L1428" s="12" t="inlineStr"/>
      <c r="M1428" s="12" t="inlineStr"/>
      <c r="N1428" s="17" t="inlineStr">
        <is>
          <t>10 EVIDENCE &amp; DECISIONS</t>
        </is>
      </c>
    </row>
    <row r="1429" ht="34" customHeight="1">
      <c r="A1429" s="12" t="inlineStr">
        <is>
          <t>Contractor Programme</t>
        </is>
      </c>
      <c r="B1429" s="12" t="inlineStr">
        <is>
          <t>SCH-06-062</t>
        </is>
      </c>
      <c r="C1429" s="12" t="inlineStr">
        <is>
          <t>Fleet package: monthly controls cut-off - inspection</t>
        </is>
      </c>
      <c r="D1429" s="12" t="inlineStr"/>
      <c r="E1429" s="12" t="inlineStr">
        <is>
          <t>R962-v2</t>
        </is>
      </c>
      <c r="F1429" s="12" t="inlineStr">
        <is>
          <t>UNSURE</t>
        </is>
      </c>
      <c r="G1429" s="12" t="inlineStr">
        <is>
          <t>UNSURE</t>
        </is>
      </c>
      <c r="H1429" s="12" t="inlineStr">
        <is>
          <t>APPROVED</t>
        </is>
      </c>
      <c r="I1429" s="12" t="inlineStr">
        <is>
          <t>New</t>
        </is>
      </c>
      <c r="J1429" s="12" t="inlineStr">
        <is>
          <t>Professional decision</t>
        </is>
      </c>
      <c r="K1429" s="12" t="inlineStr">
        <is>
          <t>Maya Chen, Owner Project Controls</t>
        </is>
      </c>
      <c r="L1429" s="12" t="inlineStr"/>
      <c r="M1429" s="12" t="inlineStr"/>
      <c r="N1429" s="17" t="inlineStr">
        <is>
          <t>10 EVIDENCE &amp; DECISIONS</t>
        </is>
      </c>
    </row>
    <row r="1430" ht="34" customHeight="1">
      <c r="A1430" s="12" t="inlineStr">
        <is>
          <t>Contractor Programme</t>
        </is>
      </c>
      <c r="B1430" s="12" t="inlineStr">
        <is>
          <t>SCH-06-063</t>
        </is>
      </c>
      <c r="C1430" s="12" t="inlineStr">
        <is>
          <t>Program office: stakeholder interface meeting - turnover</t>
        </is>
      </c>
      <c r="D1430" s="12" t="inlineStr"/>
      <c r="E1430" s="12" t="inlineStr">
        <is>
          <t>R963-v2</t>
        </is>
      </c>
      <c r="F1430" s="12" t="inlineStr">
        <is>
          <t>UNSURE</t>
        </is>
      </c>
      <c r="G1430" s="12" t="inlineStr">
        <is>
          <t>UNSURE</t>
        </is>
      </c>
      <c r="H1430" s="12" t="inlineStr">
        <is>
          <t>APPROVED</t>
        </is>
      </c>
      <c r="I1430" s="12" t="inlineStr">
        <is>
          <t>New</t>
        </is>
      </c>
      <c r="J1430" s="12" t="inlineStr">
        <is>
          <t>Professional decision</t>
        </is>
      </c>
      <c r="K1430" s="12" t="inlineStr">
        <is>
          <t>Maya Chen, Owner Project Controls</t>
        </is>
      </c>
      <c r="L1430" s="12" t="inlineStr"/>
      <c r="M1430" s="12" t="inlineStr"/>
      <c r="N1430" s="17" t="inlineStr">
        <is>
          <t>10 EVIDENCE &amp; DECISIONS</t>
        </is>
      </c>
    </row>
    <row r="1431" ht="34" customHeight="1">
      <c r="A1431" s="12" t="inlineStr">
        <is>
          <t>Contractor Programme</t>
        </is>
      </c>
      <c r="B1431" s="12" t="inlineStr">
        <is>
          <t>SCH-06-064</t>
        </is>
      </c>
      <c r="C1431" s="12" t="inlineStr">
        <is>
          <t>Civil package: baseline change control - release</t>
        </is>
      </c>
      <c r="D1431" s="12" t="inlineStr"/>
      <c r="E1431" s="12" t="inlineStr">
        <is>
          <t>R964-v2</t>
        </is>
      </c>
      <c r="F1431" s="12" t="inlineStr">
        <is>
          <t>UNSURE</t>
        </is>
      </c>
      <c r="G1431" s="12" t="inlineStr">
        <is>
          <t>UNSURE</t>
        </is>
      </c>
      <c r="H1431" s="12" t="inlineStr">
        <is>
          <t>APPROVED</t>
        </is>
      </c>
      <c r="I1431" s="12" t="inlineStr">
        <is>
          <t>New</t>
        </is>
      </c>
      <c r="J1431" s="12" t="inlineStr">
        <is>
          <t>Professional decision</t>
        </is>
      </c>
      <c r="K1431" s="12" t="inlineStr">
        <is>
          <t>Maya Chen, Owner Project Controls</t>
        </is>
      </c>
      <c r="L1431" s="12" t="inlineStr"/>
      <c r="M1431" s="12" t="inlineStr"/>
      <c r="N1431" s="17" t="inlineStr">
        <is>
          <t>10 EVIDENCE &amp; DECISIONS</t>
        </is>
      </c>
    </row>
    <row r="1432" ht="34" customHeight="1">
      <c r="A1432" s="12" t="inlineStr">
        <is>
          <t>Contractor Programme</t>
        </is>
      </c>
      <c r="B1432" s="12" t="inlineStr">
        <is>
          <t>SCH-06-065</t>
        </is>
      </c>
      <c r="C1432" s="12" t="inlineStr">
        <is>
          <t>Stations package: commercial change review - field start</t>
        </is>
      </c>
      <c r="D1432" s="12" t="inlineStr"/>
      <c r="E1432" s="12" t="inlineStr">
        <is>
          <t>R965-v2</t>
        </is>
      </c>
      <c r="F1432" s="12" t="inlineStr">
        <is>
          <t>UNSURE</t>
        </is>
      </c>
      <c r="G1432" s="12" t="inlineStr">
        <is>
          <t>UNSURE</t>
        </is>
      </c>
      <c r="H1432" s="12" t="inlineStr">
        <is>
          <t>APPROVED</t>
        </is>
      </c>
      <c r="I1432" s="12" t="inlineStr">
        <is>
          <t>New</t>
        </is>
      </c>
      <c r="J1432" s="12" t="inlineStr">
        <is>
          <t>Professional decision</t>
        </is>
      </c>
      <c r="K1432" s="12" t="inlineStr">
        <is>
          <t>Maya Chen, Owner Project Controls</t>
        </is>
      </c>
      <c r="L1432" s="12" t="inlineStr"/>
      <c r="M1432" s="12" t="inlineStr"/>
      <c r="N1432" s="17" t="inlineStr">
        <is>
          <t>10 EVIDENCE &amp; DECISIONS</t>
        </is>
      </c>
    </row>
    <row r="1433" ht="34" customHeight="1">
      <c r="A1433" s="12" t="inlineStr">
        <is>
          <t>Contractor Programme</t>
        </is>
      </c>
      <c r="B1433" s="12" t="inlineStr">
        <is>
          <t>SCH-06-066</t>
        </is>
      </c>
      <c r="C1433" s="12" t="inlineStr">
        <is>
          <t>Systems package: design-package integration review - installation</t>
        </is>
      </c>
      <c r="D1433" s="12" t="inlineStr"/>
      <c r="E1433" s="12" t="inlineStr">
        <is>
          <t>R966-v2</t>
        </is>
      </c>
      <c r="F1433" s="12" t="inlineStr">
        <is>
          <t>UNSURE</t>
        </is>
      </c>
      <c r="G1433" s="12" t="inlineStr">
        <is>
          <t>UNSURE</t>
        </is>
      </c>
      <c r="H1433" s="12" t="inlineStr">
        <is>
          <t>APPROVED</t>
        </is>
      </c>
      <c r="I1433" s="12" t="inlineStr">
        <is>
          <t>New</t>
        </is>
      </c>
      <c r="J1433" s="12" t="inlineStr">
        <is>
          <t>Professional decision</t>
        </is>
      </c>
      <c r="K1433" s="12" t="inlineStr">
        <is>
          <t>Maya Chen, Owner Project Controls</t>
        </is>
      </c>
      <c r="L1433" s="12" t="inlineStr"/>
      <c r="M1433" s="12" t="inlineStr"/>
      <c r="N1433" s="17" t="inlineStr">
        <is>
          <t>10 EVIDENCE &amp; DECISIONS</t>
        </is>
      </c>
    </row>
    <row r="1434" ht="34" customHeight="1">
      <c r="A1434" s="12" t="inlineStr">
        <is>
          <t>Contractor Programme</t>
        </is>
      </c>
      <c r="B1434" s="12" t="inlineStr">
        <is>
          <t>SCH-06-067</t>
        </is>
      </c>
      <c r="C1434" s="12" t="inlineStr">
        <is>
          <t>Fleet package: executive reporting close - inspection</t>
        </is>
      </c>
      <c r="D1434" s="12" t="inlineStr"/>
      <c r="E1434" s="12" t="inlineStr">
        <is>
          <t>R967-v2</t>
        </is>
      </c>
      <c r="F1434" s="12" t="inlineStr">
        <is>
          <t>UNSURE</t>
        </is>
      </c>
      <c r="G1434" s="12" t="inlineStr">
        <is>
          <t>UNSURE</t>
        </is>
      </c>
      <c r="H1434" s="12" t="inlineStr">
        <is>
          <t>APPROVED</t>
        </is>
      </c>
      <c r="I1434" s="12" t="inlineStr">
        <is>
          <t>New</t>
        </is>
      </c>
      <c r="J1434" s="12" t="inlineStr">
        <is>
          <t>Professional decision</t>
        </is>
      </c>
      <c r="K1434" s="12" t="inlineStr">
        <is>
          <t>Maya Chen, Owner Project Controls</t>
        </is>
      </c>
      <c r="L1434" s="12" t="inlineStr"/>
      <c r="M1434" s="12" t="inlineStr"/>
      <c r="N1434" s="17" t="inlineStr">
        <is>
          <t>10 EVIDENCE &amp; DECISIONS</t>
        </is>
      </c>
    </row>
    <row r="1435" ht="34" customHeight="1">
      <c r="A1435" s="12" t="inlineStr">
        <is>
          <t>Contractor Programme</t>
        </is>
      </c>
      <c r="B1435" s="12" t="inlineStr">
        <is>
          <t>SCH-06-068</t>
        </is>
      </c>
      <c r="C1435" s="12" t="inlineStr">
        <is>
          <t>Program office: permit coordination - turnover</t>
        </is>
      </c>
      <c r="D1435" s="12" t="inlineStr"/>
      <c r="E1435" s="12" t="inlineStr">
        <is>
          <t>R968-v2</t>
        </is>
      </c>
      <c r="F1435" s="12" t="inlineStr">
        <is>
          <t>UNSURE</t>
        </is>
      </c>
      <c r="G1435" s="12" t="inlineStr">
        <is>
          <t>UNSURE</t>
        </is>
      </c>
      <c r="H1435" s="12" t="inlineStr">
        <is>
          <t>APPROVED</t>
        </is>
      </c>
      <c r="I1435" s="12" t="inlineStr">
        <is>
          <t>New</t>
        </is>
      </c>
      <c r="J1435" s="12" t="inlineStr">
        <is>
          <t>Professional decision</t>
        </is>
      </c>
      <c r="K1435" s="12" t="inlineStr">
        <is>
          <t>Maya Chen, Owner Project Controls</t>
        </is>
      </c>
      <c r="L1435" s="12" t="inlineStr"/>
      <c r="M1435" s="12" t="inlineStr"/>
      <c r="N1435" s="17" t="inlineStr">
        <is>
          <t>10 EVIDENCE &amp; DECISIONS</t>
        </is>
      </c>
    </row>
    <row r="1436" ht="34" customHeight="1">
      <c r="A1436" s="12" t="inlineStr">
        <is>
          <t>Contractor Programme</t>
        </is>
      </c>
      <c r="B1436" s="12" t="inlineStr">
        <is>
          <t>SCH-06-069</t>
        </is>
      </c>
      <c r="C1436" s="12" t="inlineStr">
        <is>
          <t>Civil package: delivery risk workshop - release</t>
        </is>
      </c>
      <c r="D1436" s="12" t="inlineStr"/>
      <c r="E1436" s="12" t="inlineStr">
        <is>
          <t>R969-v2</t>
        </is>
      </c>
      <c r="F1436" s="12" t="inlineStr">
        <is>
          <t>UNSURE</t>
        </is>
      </c>
      <c r="G1436" s="12" t="inlineStr">
        <is>
          <t>UNSURE</t>
        </is>
      </c>
      <c r="H1436" s="12" t="inlineStr">
        <is>
          <t>APPROVED</t>
        </is>
      </c>
      <c r="I1436" s="12" t="inlineStr">
        <is>
          <t>New</t>
        </is>
      </c>
      <c r="J1436" s="12" t="inlineStr">
        <is>
          <t>Professional decision</t>
        </is>
      </c>
      <c r="K1436" s="12" t="inlineStr">
        <is>
          <t>Maya Chen, Owner Project Controls</t>
        </is>
      </c>
      <c r="L1436" s="12" t="inlineStr"/>
      <c r="M1436" s="12" t="inlineStr"/>
      <c r="N1436" s="17" t="inlineStr">
        <is>
          <t>10 EVIDENCE &amp; DECISIONS</t>
        </is>
      </c>
    </row>
    <row r="1437" ht="34" customHeight="1">
      <c r="A1437" s="12" t="inlineStr">
        <is>
          <t>Contractor Programme</t>
        </is>
      </c>
      <c r="B1437" s="12" t="inlineStr">
        <is>
          <t>SCH-06-070</t>
        </is>
      </c>
      <c r="C1437" s="12" t="inlineStr">
        <is>
          <t>Stations package: monthly controls cut-off - field start</t>
        </is>
      </c>
      <c r="D1437" s="12" t="inlineStr"/>
      <c r="E1437" s="12" t="inlineStr">
        <is>
          <t>R970-v2</t>
        </is>
      </c>
      <c r="F1437" s="12" t="inlineStr">
        <is>
          <t>UNSURE</t>
        </is>
      </c>
      <c r="G1437" s="12" t="inlineStr">
        <is>
          <t>UNSURE</t>
        </is>
      </c>
      <c r="H1437" s="12" t="inlineStr">
        <is>
          <t>APPROVED</t>
        </is>
      </c>
      <c r="I1437" s="12" t="inlineStr">
        <is>
          <t>New</t>
        </is>
      </c>
      <c r="J1437" s="12" t="inlineStr">
        <is>
          <t>Professional decision</t>
        </is>
      </c>
      <c r="K1437" s="12" t="inlineStr">
        <is>
          <t>Maya Chen, Owner Project Controls</t>
        </is>
      </c>
      <c r="L1437" s="12" t="inlineStr"/>
      <c r="M1437" s="12" t="inlineStr"/>
      <c r="N1437" s="17" t="inlineStr">
        <is>
          <t>10 EVIDENCE &amp; DECISIONS</t>
        </is>
      </c>
    </row>
    <row r="1438" ht="34" customHeight="1">
      <c r="A1438" s="12" t="inlineStr">
        <is>
          <t>Contractor Programme</t>
        </is>
      </c>
      <c r="B1438" s="12" t="inlineStr">
        <is>
          <t>SCH-06-071</t>
        </is>
      </c>
      <c r="C1438" s="12" t="inlineStr">
        <is>
          <t>Systems package: stakeholder interface meeting - installation</t>
        </is>
      </c>
      <c r="D1438" s="12" t="inlineStr"/>
      <c r="E1438" s="12" t="inlineStr">
        <is>
          <t>R971-v2</t>
        </is>
      </c>
      <c r="F1438" s="12" t="inlineStr">
        <is>
          <t>UNSURE</t>
        </is>
      </c>
      <c r="G1438" s="12" t="inlineStr">
        <is>
          <t>UNSURE</t>
        </is>
      </c>
      <c r="H1438" s="12" t="inlineStr">
        <is>
          <t>APPROVED</t>
        </is>
      </c>
      <c r="I1438" s="12" t="inlineStr">
        <is>
          <t>New</t>
        </is>
      </c>
      <c r="J1438" s="12" t="inlineStr">
        <is>
          <t>Professional decision</t>
        </is>
      </c>
      <c r="K1438" s="12" t="inlineStr">
        <is>
          <t>Maya Chen, Owner Project Controls</t>
        </is>
      </c>
      <c r="L1438" s="12" t="inlineStr"/>
      <c r="M1438" s="12" t="inlineStr"/>
      <c r="N1438" s="17" t="inlineStr">
        <is>
          <t>10 EVIDENCE &amp; DECISIONS</t>
        </is>
      </c>
    </row>
    <row r="1439" ht="34" customHeight="1">
      <c r="A1439" s="12" t="inlineStr">
        <is>
          <t>Contractor Programme</t>
        </is>
      </c>
      <c r="B1439" s="12" t="inlineStr">
        <is>
          <t>SCH-06-072</t>
        </is>
      </c>
      <c r="C1439" s="12" t="inlineStr">
        <is>
          <t>Fleet package: baseline change control - inspection</t>
        </is>
      </c>
      <c r="D1439" s="12" t="inlineStr"/>
      <c r="E1439" s="12" t="inlineStr">
        <is>
          <t>R972-v2</t>
        </is>
      </c>
      <c r="F1439" s="12" t="inlineStr">
        <is>
          <t>UNSURE</t>
        </is>
      </c>
      <c r="G1439" s="12" t="inlineStr">
        <is>
          <t>UNSURE</t>
        </is>
      </c>
      <c r="H1439" s="12" t="inlineStr">
        <is>
          <t>APPROVED</t>
        </is>
      </c>
      <c r="I1439" s="12" t="inlineStr">
        <is>
          <t>New</t>
        </is>
      </c>
      <c r="J1439" s="12" t="inlineStr">
        <is>
          <t>Professional decision</t>
        </is>
      </c>
      <c r="K1439" s="12" t="inlineStr">
        <is>
          <t>Maya Chen, Owner Project Controls</t>
        </is>
      </c>
      <c r="L1439" s="12" t="inlineStr"/>
      <c r="M1439" s="12" t="inlineStr"/>
      <c r="N1439" s="17" t="inlineStr">
        <is>
          <t>10 EVIDENCE &amp; DECISIONS</t>
        </is>
      </c>
    </row>
    <row r="1440" ht="34" customHeight="1">
      <c r="A1440" s="12" t="inlineStr">
        <is>
          <t>Contractor Programme</t>
        </is>
      </c>
      <c r="B1440" s="12" t="inlineStr">
        <is>
          <t>SCH-06-073</t>
        </is>
      </c>
      <c r="C1440" s="12" t="inlineStr">
        <is>
          <t>Program office: commercial change review - turnover</t>
        </is>
      </c>
      <c r="D1440" s="12" t="inlineStr"/>
      <c r="E1440" s="12" t="inlineStr">
        <is>
          <t>R973-v2</t>
        </is>
      </c>
      <c r="F1440" s="12" t="inlineStr">
        <is>
          <t>UNSURE</t>
        </is>
      </c>
      <c r="G1440" s="12" t="inlineStr">
        <is>
          <t>UNSURE</t>
        </is>
      </c>
      <c r="H1440" s="12" t="inlineStr">
        <is>
          <t>APPROVED</t>
        </is>
      </c>
      <c r="I1440" s="12" t="inlineStr">
        <is>
          <t>New</t>
        </is>
      </c>
      <c r="J1440" s="12" t="inlineStr">
        <is>
          <t>Professional decision</t>
        </is>
      </c>
      <c r="K1440" s="12" t="inlineStr">
        <is>
          <t>Maya Chen, Owner Project Controls</t>
        </is>
      </c>
      <c r="L1440" s="12" t="inlineStr"/>
      <c r="M1440" s="12" t="inlineStr"/>
      <c r="N1440" s="17" t="inlineStr">
        <is>
          <t>10 EVIDENCE &amp; DECISIONS</t>
        </is>
      </c>
    </row>
    <row r="1441" ht="34" customHeight="1">
      <c r="A1441" s="12" t="inlineStr">
        <is>
          <t>Contractor Programme</t>
        </is>
      </c>
      <c r="B1441" s="12" t="inlineStr">
        <is>
          <t>SCH-06-074</t>
        </is>
      </c>
      <c r="C1441" s="12" t="inlineStr">
        <is>
          <t>Civil package: design-package integration review - release</t>
        </is>
      </c>
      <c r="D1441" s="12" t="inlineStr"/>
      <c r="E1441" s="12" t="inlineStr">
        <is>
          <t>R974-v2</t>
        </is>
      </c>
      <c r="F1441" s="12" t="inlineStr">
        <is>
          <t>UNSURE</t>
        </is>
      </c>
      <c r="G1441" s="12" t="inlineStr">
        <is>
          <t>UNSURE</t>
        </is>
      </c>
      <c r="H1441" s="12" t="inlineStr">
        <is>
          <t>APPROVED</t>
        </is>
      </c>
      <c r="I1441" s="12" t="inlineStr">
        <is>
          <t>New</t>
        </is>
      </c>
      <c r="J1441" s="12" t="inlineStr">
        <is>
          <t>Professional decision</t>
        </is>
      </c>
      <c r="K1441" s="12" t="inlineStr">
        <is>
          <t>Maya Chen, Owner Project Controls</t>
        </is>
      </c>
      <c r="L1441" s="12" t="inlineStr"/>
      <c r="M1441" s="12" t="inlineStr"/>
      <c r="N1441" s="17" t="inlineStr">
        <is>
          <t>10 EVIDENCE &amp; DECISIONS</t>
        </is>
      </c>
    </row>
    <row r="1442" ht="34" customHeight="1">
      <c r="A1442" s="12" t="inlineStr">
        <is>
          <t>Contractor Programme</t>
        </is>
      </c>
      <c r="B1442" s="12" t="inlineStr">
        <is>
          <t>SCH-06-075</t>
        </is>
      </c>
      <c r="C1442" s="12" t="inlineStr">
        <is>
          <t>Stations package: executive reporting close - field start</t>
        </is>
      </c>
      <c r="D1442" s="12" t="inlineStr"/>
      <c r="E1442" s="12" t="inlineStr">
        <is>
          <t>R975-v2</t>
        </is>
      </c>
      <c r="F1442" s="12" t="inlineStr">
        <is>
          <t>UNSURE</t>
        </is>
      </c>
      <c r="G1442" s="12" t="inlineStr">
        <is>
          <t>UNSURE</t>
        </is>
      </c>
      <c r="H1442" s="12" t="inlineStr">
        <is>
          <t>APPROVED</t>
        </is>
      </c>
      <c r="I1442" s="12" t="inlineStr">
        <is>
          <t>New</t>
        </is>
      </c>
      <c r="J1442" s="12" t="inlineStr">
        <is>
          <t>Professional decision</t>
        </is>
      </c>
      <c r="K1442" s="12" t="inlineStr">
        <is>
          <t>Maya Chen, Owner Project Controls</t>
        </is>
      </c>
      <c r="L1442" s="12" t="inlineStr"/>
      <c r="M1442" s="12" t="inlineStr"/>
      <c r="N1442" s="17" t="inlineStr">
        <is>
          <t>10 EVIDENCE &amp; DECISIONS</t>
        </is>
      </c>
    </row>
    <row r="1443" ht="34" customHeight="1">
      <c r="A1443" s="12" t="inlineStr">
        <is>
          <t>Contractor Programme</t>
        </is>
      </c>
      <c r="B1443" s="12" t="inlineStr">
        <is>
          <t>SCH-06-076</t>
        </is>
      </c>
      <c r="C1443" s="12" t="inlineStr">
        <is>
          <t>Systems package: permit coordination - installation</t>
        </is>
      </c>
      <c r="D1443" s="12" t="inlineStr"/>
      <c r="E1443" s="12" t="inlineStr">
        <is>
          <t>R976-v2</t>
        </is>
      </c>
      <c r="F1443" s="12" t="inlineStr">
        <is>
          <t>UNSURE</t>
        </is>
      </c>
      <c r="G1443" s="12" t="inlineStr">
        <is>
          <t>UNSURE</t>
        </is>
      </c>
      <c r="H1443" s="12" t="inlineStr">
        <is>
          <t>APPROVED</t>
        </is>
      </c>
      <c r="I1443" s="12" t="inlineStr">
        <is>
          <t>New</t>
        </is>
      </c>
      <c r="J1443" s="12" t="inlineStr">
        <is>
          <t>Professional decision</t>
        </is>
      </c>
      <c r="K1443" s="12" t="inlineStr">
        <is>
          <t>Maya Chen, Owner Project Controls</t>
        </is>
      </c>
      <c r="L1443" s="12" t="inlineStr"/>
      <c r="M1443" s="12" t="inlineStr"/>
      <c r="N1443" s="17" t="inlineStr">
        <is>
          <t>10 EVIDENCE &amp; DECISIONS</t>
        </is>
      </c>
    </row>
    <row r="1444" ht="34" customHeight="1">
      <c r="A1444" s="12" t="inlineStr">
        <is>
          <t>Contractor Programme</t>
        </is>
      </c>
      <c r="B1444" s="12" t="inlineStr">
        <is>
          <t>SCH-06-077</t>
        </is>
      </c>
      <c r="C1444" s="12" t="inlineStr">
        <is>
          <t>Fleet package: delivery risk workshop - inspection</t>
        </is>
      </c>
      <c r="D1444" s="12" t="inlineStr"/>
      <c r="E1444" s="12" t="inlineStr">
        <is>
          <t>R977-v2</t>
        </is>
      </c>
      <c r="F1444" s="12" t="inlineStr">
        <is>
          <t>UNSURE</t>
        </is>
      </c>
      <c r="G1444" s="12" t="inlineStr">
        <is>
          <t>UNSURE</t>
        </is>
      </c>
      <c r="H1444" s="12" t="inlineStr">
        <is>
          <t>APPROVED</t>
        </is>
      </c>
      <c r="I1444" s="12" t="inlineStr">
        <is>
          <t>New</t>
        </is>
      </c>
      <c r="J1444" s="12" t="inlineStr">
        <is>
          <t>Professional decision</t>
        </is>
      </c>
      <c r="K1444" s="12" t="inlineStr">
        <is>
          <t>Maya Chen, Owner Project Controls</t>
        </is>
      </c>
      <c r="L1444" s="12" t="inlineStr"/>
      <c r="M1444" s="12" t="inlineStr"/>
      <c r="N1444" s="17" t="inlineStr">
        <is>
          <t>10 EVIDENCE &amp; DECISIONS</t>
        </is>
      </c>
    </row>
    <row r="1445" ht="34" customHeight="1">
      <c r="A1445" s="12" t="inlineStr">
        <is>
          <t>Contractor Programme</t>
        </is>
      </c>
      <c r="B1445" s="12" t="inlineStr">
        <is>
          <t>SCH-06-078</t>
        </is>
      </c>
      <c r="C1445" s="12" t="inlineStr">
        <is>
          <t>Program office: monthly controls cut-off - turnover</t>
        </is>
      </c>
      <c r="D1445" s="12" t="inlineStr"/>
      <c r="E1445" s="12" t="inlineStr">
        <is>
          <t>R978-v2</t>
        </is>
      </c>
      <c r="F1445" s="12" t="inlineStr">
        <is>
          <t>UNSURE</t>
        </is>
      </c>
      <c r="G1445" s="12" t="inlineStr">
        <is>
          <t>UNSURE</t>
        </is>
      </c>
      <c r="H1445" s="12" t="inlineStr">
        <is>
          <t>APPROVED</t>
        </is>
      </c>
      <c r="I1445" s="12" t="inlineStr">
        <is>
          <t>New</t>
        </is>
      </c>
      <c r="J1445" s="12" t="inlineStr">
        <is>
          <t>Professional decision</t>
        </is>
      </c>
      <c r="K1445" s="12" t="inlineStr">
        <is>
          <t>Maya Chen, Owner Project Controls</t>
        </is>
      </c>
      <c r="L1445" s="12" t="inlineStr"/>
      <c r="M1445" s="12" t="inlineStr"/>
      <c r="N1445" s="17" t="inlineStr">
        <is>
          <t>10 EVIDENCE &amp; DECISIONS</t>
        </is>
      </c>
    </row>
    <row r="1446" ht="34" customHeight="1">
      <c r="A1446" s="12" t="inlineStr">
        <is>
          <t>Contractor Programme</t>
        </is>
      </c>
      <c r="B1446" s="12" t="inlineStr">
        <is>
          <t>SCH-06-079</t>
        </is>
      </c>
      <c r="C1446" s="12" t="inlineStr">
        <is>
          <t>Civil package: stakeholder interface meeting - release</t>
        </is>
      </c>
      <c r="D1446" s="12" t="inlineStr"/>
      <c r="E1446" s="12" t="inlineStr">
        <is>
          <t>R979-v2</t>
        </is>
      </c>
      <c r="F1446" s="12" t="inlineStr">
        <is>
          <t>UNSURE</t>
        </is>
      </c>
      <c r="G1446" s="12" t="inlineStr">
        <is>
          <t>UNSURE</t>
        </is>
      </c>
      <c r="H1446" s="12" t="inlineStr">
        <is>
          <t>APPROVED</t>
        </is>
      </c>
      <c r="I1446" s="12" t="inlineStr">
        <is>
          <t>New</t>
        </is>
      </c>
      <c r="J1446" s="12" t="inlineStr">
        <is>
          <t>Professional decision</t>
        </is>
      </c>
      <c r="K1446" s="12" t="inlineStr">
        <is>
          <t>Maya Chen, Owner Project Controls</t>
        </is>
      </c>
      <c r="L1446" s="12" t="inlineStr"/>
      <c r="M1446" s="12" t="inlineStr"/>
      <c r="N1446" s="17" t="inlineStr">
        <is>
          <t>10 EVIDENCE &amp; DECISIONS</t>
        </is>
      </c>
    </row>
    <row r="1447" ht="34" customHeight="1">
      <c r="A1447" s="12" t="inlineStr">
        <is>
          <t>Contractor Programme</t>
        </is>
      </c>
      <c r="B1447" s="12" t="inlineStr">
        <is>
          <t>SCH-06-080</t>
        </is>
      </c>
      <c r="C1447" s="12" t="inlineStr">
        <is>
          <t>Stations package: baseline change control - field start</t>
        </is>
      </c>
      <c r="D1447" s="12" t="inlineStr"/>
      <c r="E1447" s="12" t="inlineStr">
        <is>
          <t>R980-v2</t>
        </is>
      </c>
      <c r="F1447" s="12" t="inlineStr">
        <is>
          <t>UNSURE</t>
        </is>
      </c>
      <c r="G1447" s="12" t="inlineStr">
        <is>
          <t>UNSURE</t>
        </is>
      </c>
      <c r="H1447" s="12" t="inlineStr">
        <is>
          <t>APPROVED</t>
        </is>
      </c>
      <c r="I1447" s="12" t="inlineStr">
        <is>
          <t>New</t>
        </is>
      </c>
      <c r="J1447" s="12" t="inlineStr">
        <is>
          <t>Professional decision</t>
        </is>
      </c>
      <c r="K1447" s="12" t="inlineStr">
        <is>
          <t>Maya Chen, Owner Project Controls</t>
        </is>
      </c>
      <c r="L1447" s="12" t="inlineStr"/>
      <c r="M1447" s="12" t="inlineStr"/>
      <c r="N1447" s="17" t="inlineStr">
        <is>
          <t>10 EVIDENCE &amp; DECISIONS</t>
        </is>
      </c>
    </row>
    <row r="1448" ht="34" customHeight="1">
      <c r="A1448" s="12" t="inlineStr">
        <is>
          <t>Contractor Programme</t>
        </is>
      </c>
      <c r="B1448" s="12" t="inlineStr">
        <is>
          <t>SCH-06-081</t>
        </is>
      </c>
      <c r="C1448" s="12" t="inlineStr">
        <is>
          <t>Systems package: commercial change review - installation</t>
        </is>
      </c>
      <c r="D1448" s="12" t="inlineStr"/>
      <c r="E1448" s="12" t="inlineStr">
        <is>
          <t>R981-v2</t>
        </is>
      </c>
      <c r="F1448" s="12" t="inlineStr">
        <is>
          <t>UNSURE</t>
        </is>
      </c>
      <c r="G1448" s="12" t="inlineStr">
        <is>
          <t>UNSURE</t>
        </is>
      </c>
      <c r="H1448" s="12" t="inlineStr">
        <is>
          <t>APPROVED</t>
        </is>
      </c>
      <c r="I1448" s="12" t="inlineStr">
        <is>
          <t>New</t>
        </is>
      </c>
      <c r="J1448" s="12" t="inlineStr">
        <is>
          <t>Professional decision</t>
        </is>
      </c>
      <c r="K1448" s="12" t="inlineStr">
        <is>
          <t>Maya Chen, Owner Project Controls</t>
        </is>
      </c>
      <c r="L1448" s="12" t="inlineStr"/>
      <c r="M1448" s="12" t="inlineStr"/>
      <c r="N1448" s="17" t="inlineStr">
        <is>
          <t>10 EVIDENCE &amp; DECISIONS</t>
        </is>
      </c>
    </row>
    <row r="1449" ht="34" customHeight="1">
      <c r="A1449" s="12" t="inlineStr">
        <is>
          <t>Contractor Programme</t>
        </is>
      </c>
      <c r="B1449" s="12" t="inlineStr">
        <is>
          <t>SCH-06-082</t>
        </is>
      </c>
      <c r="C1449" s="12" t="inlineStr">
        <is>
          <t>Fleet package: design-package integration review - inspection</t>
        </is>
      </c>
      <c r="D1449" s="12" t="inlineStr"/>
      <c r="E1449" s="12" t="inlineStr">
        <is>
          <t>R982-v2</t>
        </is>
      </c>
      <c r="F1449" s="12" t="inlineStr">
        <is>
          <t>UNSURE</t>
        </is>
      </c>
      <c r="G1449" s="12" t="inlineStr">
        <is>
          <t>UNSURE</t>
        </is>
      </c>
      <c r="H1449" s="12" t="inlineStr">
        <is>
          <t>APPROVED</t>
        </is>
      </c>
      <c r="I1449" s="12" t="inlineStr">
        <is>
          <t>New</t>
        </is>
      </c>
      <c r="J1449" s="12" t="inlineStr">
        <is>
          <t>Professional decision</t>
        </is>
      </c>
      <c r="K1449" s="12" t="inlineStr">
        <is>
          <t>Maya Chen, Owner Project Controls</t>
        </is>
      </c>
      <c r="L1449" s="12" t="inlineStr"/>
      <c r="M1449" s="12" t="inlineStr"/>
      <c r="N1449" s="17" t="inlineStr">
        <is>
          <t>10 EVIDENCE &amp; DECISIONS</t>
        </is>
      </c>
    </row>
    <row r="1450" ht="34" customHeight="1">
      <c r="A1450" s="12" t="inlineStr">
        <is>
          <t>Contractor Programme</t>
        </is>
      </c>
      <c r="B1450" s="12" t="inlineStr">
        <is>
          <t>SCH-06-083</t>
        </is>
      </c>
      <c r="C1450" s="12" t="inlineStr">
        <is>
          <t>Program office: executive reporting close - turnover</t>
        </is>
      </c>
      <c r="D1450" s="12" t="inlineStr"/>
      <c r="E1450" s="12" t="inlineStr">
        <is>
          <t>R983-v2</t>
        </is>
      </c>
      <c r="F1450" s="12" t="inlineStr">
        <is>
          <t>UNSURE</t>
        </is>
      </c>
      <c r="G1450" s="12" t="inlineStr">
        <is>
          <t>UNSURE</t>
        </is>
      </c>
      <c r="H1450" s="12" t="inlineStr">
        <is>
          <t>APPROVED</t>
        </is>
      </c>
      <c r="I1450" s="12" t="inlineStr">
        <is>
          <t>New</t>
        </is>
      </c>
      <c r="J1450" s="12" t="inlineStr">
        <is>
          <t>Professional decision</t>
        </is>
      </c>
      <c r="K1450" s="12" t="inlineStr">
        <is>
          <t>Maya Chen, Owner Project Controls</t>
        </is>
      </c>
      <c r="L1450" s="12" t="inlineStr"/>
      <c r="M1450" s="12" t="inlineStr"/>
      <c r="N1450" s="17" t="inlineStr">
        <is>
          <t>10 EVIDENCE &amp; DECISIONS</t>
        </is>
      </c>
    </row>
    <row r="1451" ht="34" customHeight="1">
      <c r="A1451" s="12" t="inlineStr">
        <is>
          <t>Contractor Programme</t>
        </is>
      </c>
      <c r="B1451" s="12" t="inlineStr">
        <is>
          <t>SCH-06-084</t>
        </is>
      </c>
      <c r="C1451" s="12" t="inlineStr">
        <is>
          <t>Civil package: permit coordination - release</t>
        </is>
      </c>
      <c r="D1451" s="12" t="inlineStr"/>
      <c r="E1451" s="12" t="inlineStr">
        <is>
          <t>R984-v2</t>
        </is>
      </c>
      <c r="F1451" s="12" t="inlineStr">
        <is>
          <t>UNSURE</t>
        </is>
      </c>
      <c r="G1451" s="12" t="inlineStr">
        <is>
          <t>UNSURE</t>
        </is>
      </c>
      <c r="H1451" s="12" t="inlineStr">
        <is>
          <t>APPROVED</t>
        </is>
      </c>
      <c r="I1451" s="12" t="inlineStr">
        <is>
          <t>New</t>
        </is>
      </c>
      <c r="J1451" s="12" t="inlineStr">
        <is>
          <t>Professional decision</t>
        </is>
      </c>
      <c r="K1451" s="12" t="inlineStr">
        <is>
          <t>Maya Chen, Owner Project Controls</t>
        </is>
      </c>
      <c r="L1451" s="12" t="inlineStr"/>
      <c r="M1451" s="12" t="inlineStr"/>
      <c r="N1451" s="17" t="inlineStr">
        <is>
          <t>10 EVIDENCE &amp; DECISIONS</t>
        </is>
      </c>
    </row>
    <row r="1452" ht="34" customHeight="1">
      <c r="A1452" s="12" t="inlineStr">
        <is>
          <t>Contractor Programme</t>
        </is>
      </c>
      <c r="B1452" s="12" t="inlineStr">
        <is>
          <t>SCH-06-085</t>
        </is>
      </c>
      <c r="C1452" s="12" t="inlineStr">
        <is>
          <t>Stations package: delivery risk workshop - field start</t>
        </is>
      </c>
      <c r="D1452" s="12" t="inlineStr"/>
      <c r="E1452" s="12" t="inlineStr">
        <is>
          <t>R985-v2</t>
        </is>
      </c>
      <c r="F1452" s="12" t="inlineStr">
        <is>
          <t>UNSURE</t>
        </is>
      </c>
      <c r="G1452" s="12" t="inlineStr">
        <is>
          <t>UNSURE</t>
        </is>
      </c>
      <c r="H1452" s="12" t="inlineStr">
        <is>
          <t>APPROVED</t>
        </is>
      </c>
      <c r="I1452" s="12" t="inlineStr">
        <is>
          <t>New</t>
        </is>
      </c>
      <c r="J1452" s="12" t="inlineStr">
        <is>
          <t>Professional decision</t>
        </is>
      </c>
      <c r="K1452" s="12" t="inlineStr">
        <is>
          <t>Maya Chen, Owner Project Controls</t>
        </is>
      </c>
      <c r="L1452" s="12" t="inlineStr"/>
      <c r="M1452" s="12" t="inlineStr"/>
      <c r="N1452" s="17" t="inlineStr">
        <is>
          <t>10 EVIDENCE &amp; DECISIONS</t>
        </is>
      </c>
    </row>
    <row r="1453" ht="34" customHeight="1">
      <c r="A1453" s="12" t="inlineStr">
        <is>
          <t>Contractor Programme</t>
        </is>
      </c>
      <c r="B1453" s="12" t="inlineStr">
        <is>
          <t>SCH-06-086</t>
        </is>
      </c>
      <c r="C1453" s="12" t="inlineStr">
        <is>
          <t>Systems package: monthly controls cut-off - installation</t>
        </is>
      </c>
      <c r="D1453" s="12" t="inlineStr"/>
      <c r="E1453" s="12" t="inlineStr">
        <is>
          <t>R986-v2</t>
        </is>
      </c>
      <c r="F1453" s="12" t="inlineStr">
        <is>
          <t>UNSURE</t>
        </is>
      </c>
      <c r="G1453" s="12" t="inlineStr">
        <is>
          <t>UNSURE</t>
        </is>
      </c>
      <c r="H1453" s="12" t="inlineStr">
        <is>
          <t>APPROVED</t>
        </is>
      </c>
      <c r="I1453" s="12" t="inlineStr">
        <is>
          <t>New</t>
        </is>
      </c>
      <c r="J1453" s="12" t="inlineStr">
        <is>
          <t>Professional decision</t>
        </is>
      </c>
      <c r="K1453" s="12" t="inlineStr">
        <is>
          <t>Maya Chen, Owner Project Controls</t>
        </is>
      </c>
      <c r="L1453" s="12" t="inlineStr"/>
      <c r="M1453" s="12" t="inlineStr"/>
      <c r="N1453" s="17" t="inlineStr">
        <is>
          <t>10 EVIDENCE &amp; DECISIONS</t>
        </is>
      </c>
    </row>
    <row r="1454" ht="34" customHeight="1">
      <c r="A1454" s="12" t="inlineStr">
        <is>
          <t>Contractor Programme</t>
        </is>
      </c>
      <c r="B1454" s="12" t="inlineStr">
        <is>
          <t>SCH-06-087</t>
        </is>
      </c>
      <c r="C1454" s="12" t="inlineStr">
        <is>
          <t>Fleet package: stakeholder interface meeting - inspection</t>
        </is>
      </c>
      <c r="D1454" s="12" t="inlineStr"/>
      <c r="E1454" s="12" t="inlineStr">
        <is>
          <t>R987-v2</t>
        </is>
      </c>
      <c r="F1454" s="12" t="inlineStr">
        <is>
          <t>UNSURE</t>
        </is>
      </c>
      <c r="G1454" s="12" t="inlineStr">
        <is>
          <t>UNSURE</t>
        </is>
      </c>
      <c r="H1454" s="12" t="inlineStr">
        <is>
          <t>APPROVED</t>
        </is>
      </c>
      <c r="I1454" s="12" t="inlineStr">
        <is>
          <t>New</t>
        </is>
      </c>
      <c r="J1454" s="12" t="inlineStr">
        <is>
          <t>Professional decision</t>
        </is>
      </c>
      <c r="K1454" s="12" t="inlineStr">
        <is>
          <t>Maya Chen, Owner Project Controls</t>
        </is>
      </c>
      <c r="L1454" s="12" t="inlineStr"/>
      <c r="M1454" s="12" t="inlineStr"/>
      <c r="N1454" s="17" t="inlineStr">
        <is>
          <t>10 EVIDENCE &amp; DECISIONS</t>
        </is>
      </c>
    </row>
    <row r="1455" ht="34" customHeight="1">
      <c r="A1455" s="12" t="inlineStr">
        <is>
          <t>Contractor Programme</t>
        </is>
      </c>
      <c r="B1455" s="12" t="inlineStr">
        <is>
          <t>SCH-06-088</t>
        </is>
      </c>
      <c r="C1455" s="12" t="inlineStr">
        <is>
          <t>Program office: baseline change control - turnover</t>
        </is>
      </c>
      <c r="D1455" s="12" t="inlineStr"/>
      <c r="E1455" s="12" t="inlineStr">
        <is>
          <t>R988-v2</t>
        </is>
      </c>
      <c r="F1455" s="12" t="inlineStr">
        <is>
          <t>UNSURE</t>
        </is>
      </c>
      <c r="G1455" s="12" t="inlineStr">
        <is>
          <t>UNSURE</t>
        </is>
      </c>
      <c r="H1455" s="12" t="inlineStr">
        <is>
          <t>APPROVED</t>
        </is>
      </c>
      <c r="I1455" s="12" t="inlineStr">
        <is>
          <t>New</t>
        </is>
      </c>
      <c r="J1455" s="12" t="inlineStr">
        <is>
          <t>Professional decision</t>
        </is>
      </c>
      <c r="K1455" s="12" t="inlineStr">
        <is>
          <t>Maya Chen, Owner Project Controls</t>
        </is>
      </c>
      <c r="L1455" s="12" t="inlineStr"/>
      <c r="M1455" s="12" t="inlineStr"/>
      <c r="N1455" s="17" t="inlineStr">
        <is>
          <t>10 EVIDENCE &amp; DECISIONS</t>
        </is>
      </c>
    </row>
    <row r="1456" ht="34" customHeight="1">
      <c r="A1456" s="12" t="inlineStr">
        <is>
          <t>Contractor Programme</t>
        </is>
      </c>
      <c r="B1456" s="12" t="inlineStr">
        <is>
          <t>SCH-06-089</t>
        </is>
      </c>
      <c r="C1456" s="12" t="inlineStr">
        <is>
          <t>Civil package: commercial change review - release</t>
        </is>
      </c>
      <c r="D1456" s="12" t="inlineStr"/>
      <c r="E1456" s="12" t="inlineStr">
        <is>
          <t>R989-v2</t>
        </is>
      </c>
      <c r="F1456" s="12" t="inlineStr">
        <is>
          <t>UNSURE</t>
        </is>
      </c>
      <c r="G1456" s="12" t="inlineStr">
        <is>
          <t>UNSURE</t>
        </is>
      </c>
      <c r="H1456" s="12" t="inlineStr">
        <is>
          <t>APPROVED</t>
        </is>
      </c>
      <c r="I1456" s="12" t="inlineStr">
        <is>
          <t>New</t>
        </is>
      </c>
      <c r="J1456" s="12" t="inlineStr">
        <is>
          <t>Professional decision</t>
        </is>
      </c>
      <c r="K1456" s="12" t="inlineStr">
        <is>
          <t>Maya Chen, Owner Project Controls</t>
        </is>
      </c>
      <c r="L1456" s="12" t="inlineStr"/>
      <c r="M1456" s="12" t="inlineStr"/>
      <c r="N1456" s="17" t="inlineStr">
        <is>
          <t>10 EVIDENCE &amp; DECISIONS</t>
        </is>
      </c>
    </row>
    <row r="1457" ht="34" customHeight="1">
      <c r="A1457" s="12" t="inlineStr">
        <is>
          <t>Contractor Programme</t>
        </is>
      </c>
      <c r="B1457" s="12" t="inlineStr">
        <is>
          <t>SCH-06-090</t>
        </is>
      </c>
      <c r="C1457" s="12" t="inlineStr">
        <is>
          <t>Stations package: design-package integration review - field start</t>
        </is>
      </c>
      <c r="D1457" s="12" t="inlineStr"/>
      <c r="E1457" s="12" t="inlineStr">
        <is>
          <t>R990-v2</t>
        </is>
      </c>
      <c r="F1457" s="12" t="inlineStr">
        <is>
          <t>UNSURE</t>
        </is>
      </c>
      <c r="G1457" s="12" t="inlineStr">
        <is>
          <t>UNSURE</t>
        </is>
      </c>
      <c r="H1457" s="12" t="inlineStr">
        <is>
          <t>APPROVED</t>
        </is>
      </c>
      <c r="I1457" s="12" t="inlineStr">
        <is>
          <t>New</t>
        </is>
      </c>
      <c r="J1457" s="12" t="inlineStr">
        <is>
          <t>Professional decision</t>
        </is>
      </c>
      <c r="K1457" s="12" t="inlineStr">
        <is>
          <t>Maya Chen, Owner Project Controls</t>
        </is>
      </c>
      <c r="L1457" s="12" t="inlineStr"/>
      <c r="M1457" s="12" t="inlineStr"/>
      <c r="N1457" s="17" t="inlineStr">
        <is>
          <t>10 EVIDENCE &amp; DECISIONS</t>
        </is>
      </c>
    </row>
    <row r="1458" ht="34" customHeight="1">
      <c r="A1458" s="12" t="inlineStr">
        <is>
          <t>Contractor Programme</t>
        </is>
      </c>
      <c r="B1458" s="12" t="inlineStr">
        <is>
          <t>SCH-06-091</t>
        </is>
      </c>
      <c r="C1458" s="12" t="inlineStr">
        <is>
          <t>Systems package: executive reporting close - installation</t>
        </is>
      </c>
      <c r="D1458" s="12" t="inlineStr"/>
      <c r="E1458" s="12" t="inlineStr">
        <is>
          <t>R991-v2</t>
        </is>
      </c>
      <c r="F1458" s="12" t="inlineStr">
        <is>
          <t>UNSURE</t>
        </is>
      </c>
      <c r="G1458" s="12" t="inlineStr">
        <is>
          <t>UNSURE</t>
        </is>
      </c>
      <c r="H1458" s="12" t="inlineStr">
        <is>
          <t>APPROVED</t>
        </is>
      </c>
      <c r="I1458" s="12" t="inlineStr">
        <is>
          <t>New</t>
        </is>
      </c>
      <c r="J1458" s="12" t="inlineStr">
        <is>
          <t>Professional decision</t>
        </is>
      </c>
      <c r="K1458" s="12" t="inlineStr">
        <is>
          <t>Maya Chen, Owner Project Controls</t>
        </is>
      </c>
      <c r="L1458" s="12" t="inlineStr"/>
      <c r="M1458" s="12" t="inlineStr"/>
      <c r="N1458" s="17" t="inlineStr">
        <is>
          <t>10 EVIDENCE &amp; DECISIONS</t>
        </is>
      </c>
    </row>
    <row r="1459" ht="34" customHeight="1">
      <c r="A1459" s="12" t="inlineStr">
        <is>
          <t>Contractor Programme</t>
        </is>
      </c>
      <c r="B1459" s="12" t="inlineStr">
        <is>
          <t>SCH-06-092</t>
        </is>
      </c>
      <c r="C1459" s="12" t="inlineStr">
        <is>
          <t>Fleet package: permit coordination - inspection</t>
        </is>
      </c>
      <c r="D1459" s="12" t="inlineStr"/>
      <c r="E1459" s="12" t="inlineStr">
        <is>
          <t>R992-v2</t>
        </is>
      </c>
      <c r="F1459" s="12" t="inlineStr">
        <is>
          <t>UNSURE</t>
        </is>
      </c>
      <c r="G1459" s="12" t="inlineStr">
        <is>
          <t>UNSURE</t>
        </is>
      </c>
      <c r="H1459" s="12" t="inlineStr">
        <is>
          <t>APPROVED</t>
        </is>
      </c>
      <c r="I1459" s="12" t="inlineStr">
        <is>
          <t>New</t>
        </is>
      </c>
      <c r="J1459" s="12" t="inlineStr">
        <is>
          <t>Professional decision</t>
        </is>
      </c>
      <c r="K1459" s="12" t="inlineStr">
        <is>
          <t>Maya Chen, Owner Project Controls</t>
        </is>
      </c>
      <c r="L1459" s="12" t="inlineStr"/>
      <c r="M1459" s="12" t="inlineStr"/>
      <c r="N1459" s="17" t="inlineStr">
        <is>
          <t>10 EVIDENCE &amp; DECISIONS</t>
        </is>
      </c>
    </row>
    <row r="1460" ht="34" customHeight="1">
      <c r="A1460" s="12" t="inlineStr">
        <is>
          <t>Contractor Programme</t>
        </is>
      </c>
      <c r="B1460" s="12" t="inlineStr">
        <is>
          <t>SCH-06-093</t>
        </is>
      </c>
      <c r="C1460" s="12" t="inlineStr">
        <is>
          <t>Program office: delivery risk workshop - turnover</t>
        </is>
      </c>
      <c r="D1460" s="12" t="inlineStr"/>
      <c r="E1460" s="12" t="inlineStr">
        <is>
          <t>R993-v2</t>
        </is>
      </c>
      <c r="F1460" s="12" t="inlineStr">
        <is>
          <t>UNSURE</t>
        </is>
      </c>
      <c r="G1460" s="12" t="inlineStr">
        <is>
          <t>UNSURE</t>
        </is>
      </c>
      <c r="H1460" s="12" t="inlineStr">
        <is>
          <t>APPROVED</t>
        </is>
      </c>
      <c r="I1460" s="12" t="inlineStr">
        <is>
          <t>New</t>
        </is>
      </c>
      <c r="J1460" s="12" t="inlineStr">
        <is>
          <t>Professional decision</t>
        </is>
      </c>
      <c r="K1460" s="12" t="inlineStr">
        <is>
          <t>Maya Chen, Owner Project Controls</t>
        </is>
      </c>
      <c r="L1460" s="12" t="inlineStr"/>
      <c r="M1460" s="12" t="inlineStr"/>
      <c r="N1460" s="17" t="inlineStr">
        <is>
          <t>10 EVIDENCE &amp; DECISIONS</t>
        </is>
      </c>
    </row>
    <row r="1461" ht="34" customHeight="1">
      <c r="A1461" s="12" t="inlineStr">
        <is>
          <t>Contractor Programme</t>
        </is>
      </c>
      <c r="B1461" s="12" t="inlineStr">
        <is>
          <t>SCH-06-094</t>
        </is>
      </c>
      <c r="C1461" s="12" t="inlineStr">
        <is>
          <t>Civil package: monthly controls cut-off - release</t>
        </is>
      </c>
      <c r="D1461" s="12" t="inlineStr"/>
      <c r="E1461" s="12" t="inlineStr">
        <is>
          <t>R994-v2</t>
        </is>
      </c>
      <c r="F1461" s="12" t="inlineStr">
        <is>
          <t>UNSURE</t>
        </is>
      </c>
      <c r="G1461" s="12" t="inlineStr">
        <is>
          <t>UNSURE</t>
        </is>
      </c>
      <c r="H1461" s="12" t="inlineStr">
        <is>
          <t>APPROVED</t>
        </is>
      </c>
      <c r="I1461" s="12" t="inlineStr">
        <is>
          <t>New</t>
        </is>
      </c>
      <c r="J1461" s="12" t="inlineStr">
        <is>
          <t>Professional decision</t>
        </is>
      </c>
      <c r="K1461" s="12" t="inlineStr">
        <is>
          <t>Maya Chen, Owner Project Controls</t>
        </is>
      </c>
      <c r="L1461" s="12" t="inlineStr"/>
      <c r="M1461" s="12" t="inlineStr"/>
      <c r="N1461" s="17" t="inlineStr">
        <is>
          <t>10 EVIDENCE &amp; DECISIONS</t>
        </is>
      </c>
    </row>
    <row r="1462" ht="34" customHeight="1">
      <c r="A1462" s="12" t="inlineStr">
        <is>
          <t>Contractor Programme</t>
        </is>
      </c>
      <c r="B1462" s="12" t="inlineStr">
        <is>
          <t>SCH-06-095</t>
        </is>
      </c>
      <c r="C1462" s="12" t="inlineStr">
        <is>
          <t>Stations package: stakeholder interface meeting - field start</t>
        </is>
      </c>
      <c r="D1462" s="12" t="inlineStr"/>
      <c r="E1462" s="12" t="inlineStr">
        <is>
          <t>R995-v2</t>
        </is>
      </c>
      <c r="F1462" s="12" t="inlineStr">
        <is>
          <t>UNSURE</t>
        </is>
      </c>
      <c r="G1462" s="12" t="inlineStr">
        <is>
          <t>UNSURE</t>
        </is>
      </c>
      <c r="H1462" s="12" t="inlineStr">
        <is>
          <t>APPROVED</t>
        </is>
      </c>
      <c r="I1462" s="12" t="inlineStr">
        <is>
          <t>New</t>
        </is>
      </c>
      <c r="J1462" s="12" t="inlineStr">
        <is>
          <t>Professional decision</t>
        </is>
      </c>
      <c r="K1462" s="12" t="inlineStr">
        <is>
          <t>Maya Chen, Owner Project Controls</t>
        </is>
      </c>
      <c r="L1462" s="12" t="inlineStr"/>
      <c r="M1462" s="12" t="inlineStr"/>
      <c r="N1462" s="17" t="inlineStr">
        <is>
          <t>10 EVIDENCE &amp; DECISIONS</t>
        </is>
      </c>
    </row>
    <row r="1463" ht="34" customHeight="1">
      <c r="A1463" s="12" t="inlineStr">
        <is>
          <t>Contractor Programme</t>
        </is>
      </c>
      <c r="B1463" s="12" t="inlineStr">
        <is>
          <t>SCH-06-096</t>
        </is>
      </c>
      <c r="C1463" s="12" t="inlineStr">
        <is>
          <t>Systems package: baseline change control - installation</t>
        </is>
      </c>
      <c r="D1463" s="12" t="inlineStr"/>
      <c r="E1463" s="12" t="inlineStr">
        <is>
          <t>R996-v2</t>
        </is>
      </c>
      <c r="F1463" s="12" t="inlineStr">
        <is>
          <t>UNSURE</t>
        </is>
      </c>
      <c r="G1463" s="12" t="inlineStr">
        <is>
          <t>UNSURE</t>
        </is>
      </c>
      <c r="H1463" s="12" t="inlineStr">
        <is>
          <t>APPROVED</t>
        </is>
      </c>
      <c r="I1463" s="12" t="inlineStr">
        <is>
          <t>New</t>
        </is>
      </c>
      <c r="J1463" s="12" t="inlineStr">
        <is>
          <t>Professional decision</t>
        </is>
      </c>
      <c r="K1463" s="12" t="inlineStr">
        <is>
          <t>Maya Chen, Owner Project Controls</t>
        </is>
      </c>
      <c r="L1463" s="12" t="inlineStr"/>
      <c r="M1463" s="12" t="inlineStr"/>
      <c r="N1463" s="17" t="inlineStr">
        <is>
          <t>10 EVIDENCE &amp; DECISIONS</t>
        </is>
      </c>
    </row>
    <row r="1464" ht="34" customHeight="1">
      <c r="A1464" s="12" t="inlineStr">
        <is>
          <t>Contractor Programme</t>
        </is>
      </c>
      <c r="B1464" s="12" t="inlineStr">
        <is>
          <t>SCH-06-097</t>
        </is>
      </c>
      <c r="C1464" s="12" t="inlineStr">
        <is>
          <t>Fleet package: commercial change review - inspection</t>
        </is>
      </c>
      <c r="D1464" s="12" t="inlineStr"/>
      <c r="E1464" s="12" t="inlineStr">
        <is>
          <t>R997-v2</t>
        </is>
      </c>
      <c r="F1464" s="12" t="inlineStr">
        <is>
          <t>UNSURE</t>
        </is>
      </c>
      <c r="G1464" s="12" t="inlineStr">
        <is>
          <t>UNSURE</t>
        </is>
      </c>
      <c r="H1464" s="12" t="inlineStr">
        <is>
          <t>APPROVED</t>
        </is>
      </c>
      <c r="I1464" s="12" t="inlineStr">
        <is>
          <t>New</t>
        </is>
      </c>
      <c r="J1464" s="12" t="inlineStr">
        <is>
          <t>Professional decision</t>
        </is>
      </c>
      <c r="K1464" s="12" t="inlineStr">
        <is>
          <t>Maya Chen, Owner Project Controls</t>
        </is>
      </c>
      <c r="L1464" s="12" t="inlineStr"/>
      <c r="M1464" s="12" t="inlineStr"/>
      <c r="N1464" s="17" t="inlineStr">
        <is>
          <t>10 EVIDENCE &amp; DECISIONS</t>
        </is>
      </c>
    </row>
    <row r="1465" ht="34" customHeight="1">
      <c r="A1465" s="12" t="inlineStr">
        <is>
          <t>Contractor Programme</t>
        </is>
      </c>
      <c r="B1465" s="12" t="inlineStr">
        <is>
          <t>SCH-06-098</t>
        </is>
      </c>
      <c r="C1465" s="12" t="inlineStr">
        <is>
          <t>Program office: design-package integration review - turnover</t>
        </is>
      </c>
      <c r="D1465" s="12" t="inlineStr"/>
      <c r="E1465" s="12" t="inlineStr">
        <is>
          <t>R998-v2</t>
        </is>
      </c>
      <c r="F1465" s="12" t="inlineStr">
        <is>
          <t>UNSURE</t>
        </is>
      </c>
      <c r="G1465" s="12" t="inlineStr">
        <is>
          <t>UNSURE</t>
        </is>
      </c>
      <c r="H1465" s="12" t="inlineStr">
        <is>
          <t>APPROVED</t>
        </is>
      </c>
      <c r="I1465" s="12" t="inlineStr">
        <is>
          <t>New</t>
        </is>
      </c>
      <c r="J1465" s="12" t="inlineStr">
        <is>
          <t>Professional decision</t>
        </is>
      </c>
      <c r="K1465" s="12" t="inlineStr">
        <is>
          <t>Maya Chen, Owner Project Controls</t>
        </is>
      </c>
      <c r="L1465" s="12" t="inlineStr"/>
      <c r="M1465" s="12" t="inlineStr"/>
      <c r="N1465" s="17" t="inlineStr">
        <is>
          <t>10 EVIDENCE &amp; DECISIONS</t>
        </is>
      </c>
    </row>
    <row r="1466" ht="34" customHeight="1">
      <c r="A1466" s="12" t="inlineStr">
        <is>
          <t>Contractor Programme</t>
        </is>
      </c>
      <c r="B1466" s="12" t="inlineStr">
        <is>
          <t>SCH-06-099</t>
        </is>
      </c>
      <c r="C1466" s="12" t="inlineStr">
        <is>
          <t>Civil package: executive reporting close - release</t>
        </is>
      </c>
      <c r="D1466" s="12" t="inlineStr"/>
      <c r="E1466" s="12" t="inlineStr">
        <is>
          <t>R999-v2</t>
        </is>
      </c>
      <c r="F1466" s="12" t="inlineStr">
        <is>
          <t>UNSURE</t>
        </is>
      </c>
      <c r="G1466" s="12" t="inlineStr">
        <is>
          <t>UNSURE</t>
        </is>
      </c>
      <c r="H1466" s="12" t="inlineStr">
        <is>
          <t>APPROVED</t>
        </is>
      </c>
      <c r="I1466" s="12" t="inlineStr">
        <is>
          <t>New</t>
        </is>
      </c>
      <c r="J1466" s="12" t="inlineStr">
        <is>
          <t>Professional decision</t>
        </is>
      </c>
      <c r="K1466" s="12" t="inlineStr">
        <is>
          <t>Maya Chen, Owner Project Controls</t>
        </is>
      </c>
      <c r="L1466" s="12" t="inlineStr"/>
      <c r="M1466" s="12" t="inlineStr"/>
      <c r="N1466" s="17" t="inlineStr">
        <is>
          <t>10 EVIDENCE &amp; DECISIONS</t>
        </is>
      </c>
    </row>
    <row r="1467" ht="34" customHeight="1">
      <c r="A1467" s="12" t="inlineStr">
        <is>
          <t>Contractor Programme</t>
        </is>
      </c>
      <c r="B1467" s="12" t="inlineStr">
        <is>
          <t>SCH-06-100</t>
        </is>
      </c>
      <c r="C1467" s="12" t="inlineStr">
        <is>
          <t>Stations package: permit coordination - field start</t>
        </is>
      </c>
      <c r="D1467" s="12" t="inlineStr"/>
      <c r="E1467" s="12" t="inlineStr">
        <is>
          <t>R1000-v2</t>
        </is>
      </c>
      <c r="F1467" s="12" t="inlineStr">
        <is>
          <t>UNSURE</t>
        </is>
      </c>
      <c r="G1467" s="12" t="inlineStr">
        <is>
          <t>UNSURE</t>
        </is>
      </c>
      <c r="H1467" s="12" t="inlineStr">
        <is>
          <t>APPROVED</t>
        </is>
      </c>
      <c r="I1467" s="12" t="inlineStr">
        <is>
          <t>New</t>
        </is>
      </c>
      <c r="J1467" s="12" t="inlineStr">
        <is>
          <t>Professional decision</t>
        </is>
      </c>
      <c r="K1467" s="12" t="inlineStr">
        <is>
          <t>Maya Chen, Owner Project Controls</t>
        </is>
      </c>
      <c r="L1467" s="12" t="inlineStr"/>
      <c r="M1467" s="12" t="inlineStr"/>
      <c r="N1467" s="17" t="inlineStr">
        <is>
          <t>10 EVIDENCE &amp; DECISIONS</t>
        </is>
      </c>
    </row>
    <row r="1468" ht="34" customHeight="1">
      <c r="A1468" s="12" t="inlineStr">
        <is>
          <t>Contractor Programme</t>
        </is>
      </c>
      <c r="B1468" s="12" t="inlineStr">
        <is>
          <t>SCH-06-101</t>
        </is>
      </c>
      <c r="C1468" s="12" t="inlineStr">
        <is>
          <t>Systems package: delivery risk workshop - installation</t>
        </is>
      </c>
      <c r="D1468" s="12" t="inlineStr"/>
      <c r="E1468" s="12" t="inlineStr">
        <is>
          <t>R1001-v2</t>
        </is>
      </c>
      <c r="F1468" s="12" t="inlineStr">
        <is>
          <t>UNSURE</t>
        </is>
      </c>
      <c r="G1468" s="12" t="inlineStr">
        <is>
          <t>UNSURE</t>
        </is>
      </c>
      <c r="H1468" s="12" t="inlineStr">
        <is>
          <t>APPROVED</t>
        </is>
      </c>
      <c r="I1468" s="12" t="inlineStr">
        <is>
          <t>New</t>
        </is>
      </c>
      <c r="J1468" s="12" t="inlineStr">
        <is>
          <t>Professional decision</t>
        </is>
      </c>
      <c r="K1468" s="12" t="inlineStr">
        <is>
          <t>Maya Chen, Owner Project Controls</t>
        </is>
      </c>
      <c r="L1468" s="12" t="inlineStr"/>
      <c r="M1468" s="12" t="inlineStr"/>
      <c r="N1468" s="17" t="inlineStr">
        <is>
          <t>10 EVIDENCE &amp; DECISIONS</t>
        </is>
      </c>
    </row>
    <row r="1469" ht="34" customHeight="1">
      <c r="A1469" s="12" t="inlineStr">
        <is>
          <t>Contractor Programme</t>
        </is>
      </c>
      <c r="B1469" s="12" t="inlineStr">
        <is>
          <t>SCH-06-102</t>
        </is>
      </c>
      <c r="C1469" s="12" t="inlineStr">
        <is>
          <t>Fleet package: monthly controls cut-off - inspection</t>
        </is>
      </c>
      <c r="D1469" s="12" t="inlineStr"/>
      <c r="E1469" s="12" t="inlineStr">
        <is>
          <t>R1002-v2</t>
        </is>
      </c>
      <c r="F1469" s="12" t="inlineStr">
        <is>
          <t>UNSURE</t>
        </is>
      </c>
      <c r="G1469" s="12" t="inlineStr">
        <is>
          <t>UNSURE</t>
        </is>
      </c>
      <c r="H1469" s="12" t="inlineStr">
        <is>
          <t>APPROVED</t>
        </is>
      </c>
      <c r="I1469" s="12" t="inlineStr">
        <is>
          <t>New</t>
        </is>
      </c>
      <c r="J1469" s="12" t="inlineStr">
        <is>
          <t>Professional decision</t>
        </is>
      </c>
      <c r="K1469" s="12" t="inlineStr">
        <is>
          <t>Maya Chen, Owner Project Controls</t>
        </is>
      </c>
      <c r="L1469" s="12" t="inlineStr"/>
      <c r="M1469" s="12" t="inlineStr"/>
      <c r="N1469" s="17" t="inlineStr">
        <is>
          <t>10 EVIDENCE &amp; DECISIONS</t>
        </is>
      </c>
    </row>
    <row r="1470" ht="34" customHeight="1">
      <c r="A1470" s="12" t="inlineStr">
        <is>
          <t>Contractor Programme</t>
        </is>
      </c>
      <c r="B1470" s="12" t="inlineStr">
        <is>
          <t>SCH-06-103</t>
        </is>
      </c>
      <c r="C1470" s="12" t="inlineStr">
        <is>
          <t>Program office: stakeholder interface meeting - turnover</t>
        </is>
      </c>
      <c r="D1470" s="12" t="inlineStr"/>
      <c r="E1470" s="12" t="inlineStr">
        <is>
          <t>R1003-v2</t>
        </is>
      </c>
      <c r="F1470" s="12" t="inlineStr">
        <is>
          <t>UNSURE</t>
        </is>
      </c>
      <c r="G1470" s="12" t="inlineStr">
        <is>
          <t>UNSURE</t>
        </is>
      </c>
      <c r="H1470" s="12" t="inlineStr">
        <is>
          <t>APPROVED</t>
        </is>
      </c>
      <c r="I1470" s="12" t="inlineStr">
        <is>
          <t>New</t>
        </is>
      </c>
      <c r="J1470" s="12" t="inlineStr">
        <is>
          <t>Professional decision</t>
        </is>
      </c>
      <c r="K1470" s="12" t="inlineStr">
        <is>
          <t>Maya Chen, Owner Project Controls</t>
        </is>
      </c>
      <c r="L1470" s="12" t="inlineStr"/>
      <c r="M1470" s="12" t="inlineStr"/>
      <c r="N1470" s="17" t="inlineStr">
        <is>
          <t>10 EVIDENCE &amp; DECISIONS</t>
        </is>
      </c>
    </row>
    <row r="1471" ht="34" customHeight="1">
      <c r="A1471" s="12" t="inlineStr">
        <is>
          <t>Contractor Programme</t>
        </is>
      </c>
      <c r="B1471" s="12" t="inlineStr">
        <is>
          <t>SCH-06-104</t>
        </is>
      </c>
      <c r="C1471" s="12" t="inlineStr">
        <is>
          <t>Civil package: baseline change control - release</t>
        </is>
      </c>
      <c r="D1471" s="12" t="inlineStr"/>
      <c r="E1471" s="12" t="inlineStr">
        <is>
          <t>R1004-v2</t>
        </is>
      </c>
      <c r="F1471" s="12" t="inlineStr">
        <is>
          <t>UNSURE</t>
        </is>
      </c>
      <c r="G1471" s="12" t="inlineStr">
        <is>
          <t>UNSURE</t>
        </is>
      </c>
      <c r="H1471" s="12" t="inlineStr">
        <is>
          <t>APPROVED</t>
        </is>
      </c>
      <c r="I1471" s="12" t="inlineStr">
        <is>
          <t>New</t>
        </is>
      </c>
      <c r="J1471" s="12" t="inlineStr">
        <is>
          <t>Professional decision</t>
        </is>
      </c>
      <c r="K1471" s="12" t="inlineStr">
        <is>
          <t>Maya Chen, Owner Project Controls</t>
        </is>
      </c>
      <c r="L1471" s="12" t="inlineStr"/>
      <c r="M1471" s="12" t="inlineStr"/>
      <c r="N1471" s="17" t="inlineStr">
        <is>
          <t>10 EVIDENCE &amp; DECISIONS</t>
        </is>
      </c>
    </row>
    <row r="1472" ht="34" customHeight="1">
      <c r="A1472" s="12" t="inlineStr">
        <is>
          <t>Contractor Programme</t>
        </is>
      </c>
      <c r="B1472" s="12" t="inlineStr">
        <is>
          <t>SCH-06-105</t>
        </is>
      </c>
      <c r="C1472" s="12" t="inlineStr">
        <is>
          <t>Stations package: commercial change review - field start</t>
        </is>
      </c>
      <c r="D1472" s="12" t="inlineStr"/>
      <c r="E1472" s="12" t="inlineStr">
        <is>
          <t>R1005-v2</t>
        </is>
      </c>
      <c r="F1472" s="12" t="inlineStr">
        <is>
          <t>UNSURE</t>
        </is>
      </c>
      <c r="G1472" s="12" t="inlineStr">
        <is>
          <t>UNSURE</t>
        </is>
      </c>
      <c r="H1472" s="12" t="inlineStr">
        <is>
          <t>APPROVED</t>
        </is>
      </c>
      <c r="I1472" s="12" t="inlineStr">
        <is>
          <t>New</t>
        </is>
      </c>
      <c r="J1472" s="12" t="inlineStr">
        <is>
          <t>Professional decision</t>
        </is>
      </c>
      <c r="K1472" s="12" t="inlineStr">
        <is>
          <t>Maya Chen, Owner Project Controls</t>
        </is>
      </c>
      <c r="L1472" s="12" t="inlineStr"/>
      <c r="M1472" s="12" t="inlineStr"/>
      <c r="N1472" s="17" t="inlineStr">
        <is>
          <t>10 EVIDENCE &amp; DECISIONS</t>
        </is>
      </c>
    </row>
    <row r="1473" ht="34" customHeight="1">
      <c r="A1473" s="12" t="inlineStr">
        <is>
          <t>Contractor Programme</t>
        </is>
      </c>
      <c r="B1473" s="12" t="inlineStr">
        <is>
          <t>SCH-06-106</t>
        </is>
      </c>
      <c r="C1473" s="12" t="inlineStr">
        <is>
          <t>Systems package: design-package integration review - installation</t>
        </is>
      </c>
      <c r="D1473" s="12" t="inlineStr"/>
      <c r="E1473" s="12" t="inlineStr">
        <is>
          <t>R1006-v2</t>
        </is>
      </c>
      <c r="F1473" s="12" t="inlineStr">
        <is>
          <t>UNSURE</t>
        </is>
      </c>
      <c r="G1473" s="12" t="inlineStr">
        <is>
          <t>UNSURE</t>
        </is>
      </c>
      <c r="H1473" s="12" t="inlineStr">
        <is>
          <t>APPROVED</t>
        </is>
      </c>
      <c r="I1473" s="12" t="inlineStr">
        <is>
          <t>New</t>
        </is>
      </c>
      <c r="J1473" s="12" t="inlineStr">
        <is>
          <t>Professional decision</t>
        </is>
      </c>
      <c r="K1473" s="12" t="inlineStr">
        <is>
          <t>Maya Chen, Owner Project Controls</t>
        </is>
      </c>
      <c r="L1473" s="12" t="inlineStr"/>
      <c r="M1473" s="12" t="inlineStr"/>
      <c r="N1473" s="17" t="inlineStr">
        <is>
          <t>10 EVIDENCE &amp; DECISIONS</t>
        </is>
      </c>
    </row>
    <row r="1474" ht="34" customHeight="1">
      <c r="A1474" s="12" t="inlineStr">
        <is>
          <t>Contractor Programme</t>
        </is>
      </c>
      <c r="B1474" s="12" t="inlineStr">
        <is>
          <t>SCH-06-107</t>
        </is>
      </c>
      <c r="C1474" s="12" t="inlineStr">
        <is>
          <t>Fleet package: executive reporting close - inspection</t>
        </is>
      </c>
      <c r="D1474" s="12" t="inlineStr"/>
      <c r="E1474" s="12" t="inlineStr">
        <is>
          <t>R1007-v2</t>
        </is>
      </c>
      <c r="F1474" s="12" t="inlineStr">
        <is>
          <t>UNSURE</t>
        </is>
      </c>
      <c r="G1474" s="12" t="inlineStr">
        <is>
          <t>UNSURE</t>
        </is>
      </c>
      <c r="H1474" s="12" t="inlineStr">
        <is>
          <t>APPROVED</t>
        </is>
      </c>
      <c r="I1474" s="12" t="inlineStr">
        <is>
          <t>New</t>
        </is>
      </c>
      <c r="J1474" s="12" t="inlineStr">
        <is>
          <t>Professional decision</t>
        </is>
      </c>
      <c r="K1474" s="12" t="inlineStr">
        <is>
          <t>Maya Chen, Owner Project Controls</t>
        </is>
      </c>
      <c r="L1474" s="12" t="inlineStr"/>
      <c r="M1474" s="12" t="inlineStr"/>
      <c r="N1474" s="17" t="inlineStr">
        <is>
          <t>10 EVIDENCE &amp; DECISIONS</t>
        </is>
      </c>
    </row>
    <row r="1475" ht="34" customHeight="1">
      <c r="A1475" s="12" t="inlineStr">
        <is>
          <t>Contractor Programme</t>
        </is>
      </c>
      <c r="B1475" s="12" t="inlineStr">
        <is>
          <t>SCH-06-108</t>
        </is>
      </c>
      <c r="C1475" s="12" t="inlineStr">
        <is>
          <t>Program office: permit coordination - turnover</t>
        </is>
      </c>
      <c r="D1475" s="12" t="inlineStr"/>
      <c r="E1475" s="12" t="inlineStr">
        <is>
          <t>R1008-v2</t>
        </is>
      </c>
      <c r="F1475" s="12" t="inlineStr">
        <is>
          <t>UNSURE</t>
        </is>
      </c>
      <c r="G1475" s="12" t="inlineStr">
        <is>
          <t>UNSURE</t>
        </is>
      </c>
      <c r="H1475" s="12" t="inlineStr">
        <is>
          <t>APPROVED</t>
        </is>
      </c>
      <c r="I1475" s="12" t="inlineStr">
        <is>
          <t>New</t>
        </is>
      </c>
      <c r="J1475" s="12" t="inlineStr">
        <is>
          <t>Professional decision</t>
        </is>
      </c>
      <c r="K1475" s="12" t="inlineStr">
        <is>
          <t>Maya Chen, Owner Project Controls</t>
        </is>
      </c>
      <c r="L1475" s="12" t="inlineStr"/>
      <c r="M1475" s="12" t="inlineStr"/>
      <c r="N1475" s="17" t="inlineStr">
        <is>
          <t>10 EVIDENCE &amp; DECISIONS</t>
        </is>
      </c>
    </row>
    <row r="1476" ht="34" customHeight="1">
      <c r="A1476" s="12" t="inlineStr">
        <is>
          <t>Contractor Programme</t>
        </is>
      </c>
      <c r="B1476" s="12" t="inlineStr">
        <is>
          <t>SCH-06-109</t>
        </is>
      </c>
      <c r="C1476" s="12" t="inlineStr">
        <is>
          <t>Civil package: delivery risk workshop - release</t>
        </is>
      </c>
      <c r="D1476" s="12" t="inlineStr"/>
      <c r="E1476" s="12" t="inlineStr">
        <is>
          <t>R1009-v2</t>
        </is>
      </c>
      <c r="F1476" s="12" t="inlineStr">
        <is>
          <t>UNSURE</t>
        </is>
      </c>
      <c r="G1476" s="12" t="inlineStr">
        <is>
          <t>UNSURE</t>
        </is>
      </c>
      <c r="H1476" s="12" t="inlineStr">
        <is>
          <t>APPROVED</t>
        </is>
      </c>
      <c r="I1476" s="12" t="inlineStr">
        <is>
          <t>New</t>
        </is>
      </c>
      <c r="J1476" s="12" t="inlineStr">
        <is>
          <t>Professional decision</t>
        </is>
      </c>
      <c r="K1476" s="12" t="inlineStr">
        <is>
          <t>Maya Chen, Owner Project Controls</t>
        </is>
      </c>
      <c r="L1476" s="12" t="inlineStr"/>
      <c r="M1476" s="12" t="inlineStr"/>
      <c r="N1476" s="17" t="inlineStr">
        <is>
          <t>10 EVIDENCE &amp; DECISIONS</t>
        </is>
      </c>
    </row>
    <row r="1477" ht="34" customHeight="1">
      <c r="A1477" s="12" t="inlineStr">
        <is>
          <t>Contractor Programme</t>
        </is>
      </c>
      <c r="B1477" s="12" t="inlineStr">
        <is>
          <t>SCH-06-110</t>
        </is>
      </c>
      <c r="C1477" s="12" t="inlineStr">
        <is>
          <t>Stations package: monthly controls cut-off - field start</t>
        </is>
      </c>
      <c r="D1477" s="12" t="inlineStr"/>
      <c r="E1477" s="12" t="inlineStr">
        <is>
          <t>R1010-v2</t>
        </is>
      </c>
      <c r="F1477" s="12" t="inlineStr">
        <is>
          <t>UNSURE</t>
        </is>
      </c>
      <c r="G1477" s="12" t="inlineStr">
        <is>
          <t>UNSURE</t>
        </is>
      </c>
      <c r="H1477" s="12" t="inlineStr">
        <is>
          <t>APPROVED</t>
        </is>
      </c>
      <c r="I1477" s="12" t="inlineStr">
        <is>
          <t>New</t>
        </is>
      </c>
      <c r="J1477" s="12" t="inlineStr">
        <is>
          <t>Professional decision</t>
        </is>
      </c>
      <c r="K1477" s="12" t="inlineStr">
        <is>
          <t>Maya Chen, Owner Project Controls</t>
        </is>
      </c>
      <c r="L1477" s="12" t="inlineStr"/>
      <c r="M1477" s="12" t="inlineStr"/>
      <c r="N1477" s="17" t="inlineStr">
        <is>
          <t>10 EVIDENCE &amp; DECISIONS</t>
        </is>
      </c>
    </row>
    <row r="1478" ht="34" customHeight="1">
      <c r="A1478" s="12" t="inlineStr">
        <is>
          <t>Contractor Programme</t>
        </is>
      </c>
      <c r="B1478" s="12" t="inlineStr">
        <is>
          <t>SCH-06-111</t>
        </is>
      </c>
      <c r="C1478" s="12" t="inlineStr">
        <is>
          <t>Systems package: stakeholder interface meeting - installation</t>
        </is>
      </c>
      <c r="D1478" s="12" t="inlineStr"/>
      <c r="E1478" s="12" t="inlineStr">
        <is>
          <t>R1011-v2</t>
        </is>
      </c>
      <c r="F1478" s="12" t="inlineStr">
        <is>
          <t>UNSURE</t>
        </is>
      </c>
      <c r="G1478" s="12" t="inlineStr">
        <is>
          <t>UNSURE</t>
        </is>
      </c>
      <c r="H1478" s="12" t="inlineStr">
        <is>
          <t>APPROVED</t>
        </is>
      </c>
      <c r="I1478" s="12" t="inlineStr">
        <is>
          <t>New</t>
        </is>
      </c>
      <c r="J1478" s="12" t="inlineStr">
        <is>
          <t>Professional decision</t>
        </is>
      </c>
      <c r="K1478" s="12" t="inlineStr">
        <is>
          <t>Maya Chen, Owner Project Controls</t>
        </is>
      </c>
      <c r="L1478" s="12" t="inlineStr"/>
      <c r="M1478" s="12" t="inlineStr"/>
      <c r="N1478" s="17" t="inlineStr">
        <is>
          <t>10 EVIDENCE &amp; DECISIONS</t>
        </is>
      </c>
    </row>
    <row r="1479" ht="34" customHeight="1">
      <c r="A1479" s="12" t="inlineStr">
        <is>
          <t>Contractor Programme</t>
        </is>
      </c>
      <c r="B1479" s="12" t="inlineStr">
        <is>
          <t>SCH-06-112</t>
        </is>
      </c>
      <c r="C1479" s="12" t="inlineStr">
        <is>
          <t>Fleet package: baseline change control - inspection</t>
        </is>
      </c>
      <c r="D1479" s="12" t="inlineStr"/>
      <c r="E1479" s="12" t="inlineStr">
        <is>
          <t>R1012-v2</t>
        </is>
      </c>
      <c r="F1479" s="12" t="inlineStr">
        <is>
          <t>UNSURE</t>
        </is>
      </c>
      <c r="G1479" s="12" t="inlineStr">
        <is>
          <t>UNSURE</t>
        </is>
      </c>
      <c r="H1479" s="12" t="inlineStr">
        <is>
          <t>APPROVED</t>
        </is>
      </c>
      <c r="I1479" s="12" t="inlineStr">
        <is>
          <t>New</t>
        </is>
      </c>
      <c r="J1479" s="12" t="inlineStr">
        <is>
          <t>Professional decision</t>
        </is>
      </c>
      <c r="K1479" s="12" t="inlineStr">
        <is>
          <t>Maya Chen, Owner Project Controls</t>
        </is>
      </c>
      <c r="L1479" s="12" t="inlineStr"/>
      <c r="M1479" s="12" t="inlineStr"/>
      <c r="N1479" s="17" t="inlineStr">
        <is>
          <t>10 EVIDENCE &amp; DECISIONS</t>
        </is>
      </c>
    </row>
    <row r="1480" ht="34" customHeight="1">
      <c r="A1480" s="12" t="inlineStr">
        <is>
          <t>Contractor Programme</t>
        </is>
      </c>
      <c r="B1480" s="12" t="inlineStr">
        <is>
          <t>SCH-06-113</t>
        </is>
      </c>
      <c r="C1480" s="12" t="inlineStr">
        <is>
          <t>Program office: commercial change review - turnover</t>
        </is>
      </c>
      <c r="D1480" s="12" t="inlineStr"/>
      <c r="E1480" s="12" t="inlineStr">
        <is>
          <t>R1013-v2</t>
        </is>
      </c>
      <c r="F1480" s="12" t="inlineStr">
        <is>
          <t>UNSURE</t>
        </is>
      </c>
      <c r="G1480" s="12" t="inlineStr">
        <is>
          <t>UNSURE</t>
        </is>
      </c>
      <c r="H1480" s="12" t="inlineStr">
        <is>
          <t>APPROVED</t>
        </is>
      </c>
      <c r="I1480" s="12" t="inlineStr">
        <is>
          <t>New</t>
        </is>
      </c>
      <c r="J1480" s="12" t="inlineStr">
        <is>
          <t>Professional decision</t>
        </is>
      </c>
      <c r="K1480" s="12" t="inlineStr">
        <is>
          <t>Maya Chen, Owner Project Controls</t>
        </is>
      </c>
      <c r="L1480" s="12" t="inlineStr"/>
      <c r="M1480" s="12" t="inlineStr"/>
      <c r="N1480" s="17" t="inlineStr">
        <is>
          <t>10 EVIDENCE &amp; DECISIONS</t>
        </is>
      </c>
    </row>
    <row r="1481" ht="34" customHeight="1">
      <c r="A1481" s="12" t="inlineStr">
        <is>
          <t>Contractor Programme</t>
        </is>
      </c>
      <c r="B1481" s="12" t="inlineStr">
        <is>
          <t>SCH-06-114</t>
        </is>
      </c>
      <c r="C1481" s="12" t="inlineStr">
        <is>
          <t>Civil package: design-package integration review - release</t>
        </is>
      </c>
      <c r="D1481" s="12" t="inlineStr"/>
      <c r="E1481" s="12" t="inlineStr">
        <is>
          <t>R1014-v2</t>
        </is>
      </c>
      <c r="F1481" s="12" t="inlineStr">
        <is>
          <t>UNSURE</t>
        </is>
      </c>
      <c r="G1481" s="12" t="inlineStr">
        <is>
          <t>UNSURE</t>
        </is>
      </c>
      <c r="H1481" s="12" t="inlineStr">
        <is>
          <t>APPROVED</t>
        </is>
      </c>
      <c r="I1481" s="12" t="inlineStr">
        <is>
          <t>New</t>
        </is>
      </c>
      <c r="J1481" s="12" t="inlineStr">
        <is>
          <t>Professional decision</t>
        </is>
      </c>
      <c r="K1481" s="12" t="inlineStr">
        <is>
          <t>Maya Chen, Owner Project Controls</t>
        </is>
      </c>
      <c r="L1481" s="12" t="inlineStr"/>
      <c r="M1481" s="12" t="inlineStr"/>
      <c r="N1481" s="17" t="inlineStr">
        <is>
          <t>10 EVIDENCE &amp; DECISIONS</t>
        </is>
      </c>
    </row>
    <row r="1482" ht="34" customHeight="1">
      <c r="A1482" s="12" t="inlineStr">
        <is>
          <t>Contractor Programme</t>
        </is>
      </c>
      <c r="B1482" s="12" t="inlineStr">
        <is>
          <t>SCH-06-115</t>
        </is>
      </c>
      <c r="C1482" s="12" t="inlineStr">
        <is>
          <t>Stations package: executive reporting close - field start</t>
        </is>
      </c>
      <c r="D1482" s="12" t="inlineStr"/>
      <c r="E1482" s="12" t="inlineStr">
        <is>
          <t>R1015-v2</t>
        </is>
      </c>
      <c r="F1482" s="12" t="inlineStr">
        <is>
          <t>UNSURE</t>
        </is>
      </c>
      <c r="G1482" s="12" t="inlineStr">
        <is>
          <t>UNSURE</t>
        </is>
      </c>
      <c r="H1482" s="12" t="inlineStr">
        <is>
          <t>APPROVED</t>
        </is>
      </c>
      <c r="I1482" s="12" t="inlineStr">
        <is>
          <t>New</t>
        </is>
      </c>
      <c r="J1482" s="12" t="inlineStr">
        <is>
          <t>Professional decision</t>
        </is>
      </c>
      <c r="K1482" s="12" t="inlineStr">
        <is>
          <t>Maya Chen, Owner Project Controls</t>
        </is>
      </c>
      <c r="L1482" s="12" t="inlineStr"/>
      <c r="M1482" s="12" t="inlineStr"/>
      <c r="N1482" s="17" t="inlineStr">
        <is>
          <t>10 EVIDENCE &amp; DECISIONS</t>
        </is>
      </c>
    </row>
    <row r="1483" ht="34" customHeight="1">
      <c r="A1483" s="12" t="inlineStr">
        <is>
          <t>Contractor Programme</t>
        </is>
      </c>
      <c r="B1483" s="12" t="inlineStr">
        <is>
          <t>SCH-06-116</t>
        </is>
      </c>
      <c r="C1483" s="12" t="inlineStr">
        <is>
          <t>Systems package: permit coordination - installation</t>
        </is>
      </c>
      <c r="D1483" s="12" t="inlineStr"/>
      <c r="E1483" s="12" t="inlineStr">
        <is>
          <t>R1016-v2</t>
        </is>
      </c>
      <c r="F1483" s="12" t="inlineStr">
        <is>
          <t>UNSURE</t>
        </is>
      </c>
      <c r="G1483" s="12" t="inlineStr">
        <is>
          <t>UNSURE</t>
        </is>
      </c>
      <c r="H1483" s="12" t="inlineStr">
        <is>
          <t>APPROVED</t>
        </is>
      </c>
      <c r="I1483" s="12" t="inlineStr">
        <is>
          <t>New</t>
        </is>
      </c>
      <c r="J1483" s="12" t="inlineStr">
        <is>
          <t>Professional decision</t>
        </is>
      </c>
      <c r="K1483" s="12" t="inlineStr">
        <is>
          <t>Maya Chen, Owner Project Controls</t>
        </is>
      </c>
      <c r="L1483" s="12" t="inlineStr"/>
      <c r="M1483" s="12" t="inlineStr"/>
      <c r="N1483" s="17" t="inlineStr">
        <is>
          <t>10 EVIDENCE &amp; DECISIONS</t>
        </is>
      </c>
    </row>
    <row r="1484" ht="34" customHeight="1">
      <c r="A1484" s="12" t="inlineStr">
        <is>
          <t>Contractor Programme</t>
        </is>
      </c>
      <c r="B1484" s="12" t="inlineStr">
        <is>
          <t>SCH-06-117</t>
        </is>
      </c>
      <c r="C1484" s="12" t="inlineStr">
        <is>
          <t>Fleet package: delivery risk workshop - inspection</t>
        </is>
      </c>
      <c r="D1484" s="12" t="inlineStr"/>
      <c r="E1484" s="12" t="inlineStr">
        <is>
          <t>R1017-v2</t>
        </is>
      </c>
      <c r="F1484" s="12" t="inlineStr">
        <is>
          <t>UNSURE</t>
        </is>
      </c>
      <c r="G1484" s="12" t="inlineStr">
        <is>
          <t>UNSURE</t>
        </is>
      </c>
      <c r="H1484" s="12" t="inlineStr">
        <is>
          <t>APPROVED</t>
        </is>
      </c>
      <c r="I1484" s="12" t="inlineStr">
        <is>
          <t>New</t>
        </is>
      </c>
      <c r="J1484" s="12" t="inlineStr">
        <is>
          <t>Professional decision</t>
        </is>
      </c>
      <c r="K1484" s="12" t="inlineStr">
        <is>
          <t>Maya Chen, Owner Project Controls</t>
        </is>
      </c>
      <c r="L1484" s="12" t="inlineStr"/>
      <c r="M1484" s="12" t="inlineStr"/>
      <c r="N1484" s="17" t="inlineStr">
        <is>
          <t>10 EVIDENCE &amp; DECISIONS</t>
        </is>
      </c>
    </row>
    <row r="1485" ht="34" customHeight="1">
      <c r="A1485" s="12" t="inlineStr">
        <is>
          <t>Contractor Programme</t>
        </is>
      </c>
      <c r="B1485" s="12" t="inlineStr">
        <is>
          <t>SCH-06-118</t>
        </is>
      </c>
      <c r="C1485" s="12" t="inlineStr">
        <is>
          <t>Program office: monthly controls cut-off - turnover</t>
        </is>
      </c>
      <c r="D1485" s="12" t="inlineStr"/>
      <c r="E1485" s="12" t="inlineStr">
        <is>
          <t>R1018-v2</t>
        </is>
      </c>
      <c r="F1485" s="12" t="inlineStr">
        <is>
          <t>UNSURE</t>
        </is>
      </c>
      <c r="G1485" s="12" t="inlineStr">
        <is>
          <t>UNSURE</t>
        </is>
      </c>
      <c r="H1485" s="12" t="inlineStr">
        <is>
          <t>APPROVED</t>
        </is>
      </c>
      <c r="I1485" s="12" t="inlineStr">
        <is>
          <t>New</t>
        </is>
      </c>
      <c r="J1485" s="12" t="inlineStr">
        <is>
          <t>Professional decision</t>
        </is>
      </c>
      <c r="K1485" s="12" t="inlineStr">
        <is>
          <t>Maya Chen, Owner Project Controls</t>
        </is>
      </c>
      <c r="L1485" s="12" t="inlineStr"/>
      <c r="M1485" s="12" t="inlineStr"/>
      <c r="N1485" s="17" t="inlineStr">
        <is>
          <t>10 EVIDENCE &amp; DECISIONS</t>
        </is>
      </c>
    </row>
    <row r="1486" ht="34" customHeight="1">
      <c r="A1486" s="12" t="inlineStr">
        <is>
          <t>Contractor Programme</t>
        </is>
      </c>
      <c r="B1486" s="12" t="inlineStr">
        <is>
          <t>SCH-06-119</t>
        </is>
      </c>
      <c r="C1486" s="12" t="inlineStr">
        <is>
          <t>Civil package: stakeholder interface meeting - release</t>
        </is>
      </c>
      <c r="D1486" s="12" t="inlineStr"/>
      <c r="E1486" s="12" t="inlineStr">
        <is>
          <t>R1019-v2</t>
        </is>
      </c>
      <c r="F1486" s="12" t="inlineStr">
        <is>
          <t>UNSURE</t>
        </is>
      </c>
      <c r="G1486" s="12" t="inlineStr">
        <is>
          <t>UNSURE</t>
        </is>
      </c>
      <c r="H1486" s="12" t="inlineStr">
        <is>
          <t>APPROVED</t>
        </is>
      </c>
      <c r="I1486" s="12" t="inlineStr">
        <is>
          <t>New</t>
        </is>
      </c>
      <c r="J1486" s="12" t="inlineStr">
        <is>
          <t>Professional decision</t>
        </is>
      </c>
      <c r="K1486" s="12" t="inlineStr">
        <is>
          <t>Maya Chen, Owner Project Controls</t>
        </is>
      </c>
      <c r="L1486" s="12" t="inlineStr"/>
      <c r="M1486" s="12" t="inlineStr"/>
      <c r="N1486" s="17" t="inlineStr">
        <is>
          <t>10 EVIDENCE &amp; DECISIONS</t>
        </is>
      </c>
    </row>
    <row r="1487" ht="34" customHeight="1">
      <c r="A1487" s="12" t="inlineStr">
        <is>
          <t>Contractor Programme</t>
        </is>
      </c>
      <c r="B1487" s="12" t="inlineStr">
        <is>
          <t>SCH-06-120</t>
        </is>
      </c>
      <c r="C1487" s="12" t="inlineStr">
        <is>
          <t>Stations package: baseline change control - field start</t>
        </is>
      </c>
      <c r="D1487" s="12" t="inlineStr"/>
      <c r="E1487" s="12" t="inlineStr">
        <is>
          <t>R1020-v2</t>
        </is>
      </c>
      <c r="F1487" s="12" t="inlineStr">
        <is>
          <t>UNSURE</t>
        </is>
      </c>
      <c r="G1487" s="12" t="inlineStr">
        <is>
          <t>UNSURE</t>
        </is>
      </c>
      <c r="H1487" s="12" t="inlineStr">
        <is>
          <t>APPROVED</t>
        </is>
      </c>
      <c r="I1487" s="12" t="inlineStr">
        <is>
          <t>New</t>
        </is>
      </c>
      <c r="J1487" s="12" t="inlineStr">
        <is>
          <t>Professional decision</t>
        </is>
      </c>
      <c r="K1487" s="12" t="inlineStr">
        <is>
          <t>Maya Chen, Owner Project Controls</t>
        </is>
      </c>
      <c r="L1487" s="12" t="inlineStr"/>
      <c r="M1487" s="12" t="inlineStr"/>
      <c r="N1487" s="17" t="inlineStr">
        <is>
          <t>10 EVIDENCE &amp; DECISIONS</t>
        </is>
      </c>
    </row>
    <row r="1488" ht="34" customHeight="1">
      <c r="A1488" s="12" t="inlineStr">
        <is>
          <t>Contractor Programme</t>
        </is>
      </c>
      <c r="B1488" s="12" t="inlineStr">
        <is>
          <t>SCH-06-121</t>
        </is>
      </c>
      <c r="C1488" s="12" t="inlineStr">
        <is>
          <t>Systems package: commercial change review - installation</t>
        </is>
      </c>
      <c r="D1488" s="12" t="inlineStr"/>
      <c r="E1488" s="12" t="inlineStr">
        <is>
          <t>R1021-v2</t>
        </is>
      </c>
      <c r="F1488" s="12" t="inlineStr">
        <is>
          <t>UNSURE</t>
        </is>
      </c>
      <c r="G1488" s="12" t="inlineStr">
        <is>
          <t>UNSURE</t>
        </is>
      </c>
      <c r="H1488" s="12" t="inlineStr">
        <is>
          <t>APPROVED</t>
        </is>
      </c>
      <c r="I1488" s="12" t="inlineStr">
        <is>
          <t>New</t>
        </is>
      </c>
      <c r="J1488" s="12" t="inlineStr">
        <is>
          <t>Professional decision</t>
        </is>
      </c>
      <c r="K1488" s="12" t="inlineStr">
        <is>
          <t>Maya Chen, Owner Project Controls</t>
        </is>
      </c>
      <c r="L1488" s="12" t="inlineStr"/>
      <c r="M1488" s="12" t="inlineStr"/>
      <c r="N1488" s="17" t="inlineStr">
        <is>
          <t>10 EVIDENCE &amp; DECISIONS</t>
        </is>
      </c>
    </row>
    <row r="1489" ht="34" customHeight="1">
      <c r="A1489" s="12" t="inlineStr">
        <is>
          <t>Contractor Programme</t>
        </is>
      </c>
      <c r="B1489" s="12" t="inlineStr">
        <is>
          <t>SCH-06-122</t>
        </is>
      </c>
      <c r="C1489" s="12" t="inlineStr">
        <is>
          <t>Fleet package: design-package integration review - inspection</t>
        </is>
      </c>
      <c r="D1489" s="12" t="inlineStr"/>
      <c r="E1489" s="12" t="inlineStr">
        <is>
          <t>R1022-v2</t>
        </is>
      </c>
      <c r="F1489" s="12" t="inlineStr">
        <is>
          <t>UNSURE</t>
        </is>
      </c>
      <c r="G1489" s="12" t="inlineStr">
        <is>
          <t>UNSURE</t>
        </is>
      </c>
      <c r="H1489" s="12" t="inlineStr">
        <is>
          <t>APPROVED</t>
        </is>
      </c>
      <c r="I1489" s="12" t="inlineStr">
        <is>
          <t>New</t>
        </is>
      </c>
      <c r="J1489" s="12" t="inlineStr">
        <is>
          <t>Professional decision</t>
        </is>
      </c>
      <c r="K1489" s="12" t="inlineStr">
        <is>
          <t>Maya Chen, Owner Project Controls</t>
        </is>
      </c>
      <c r="L1489" s="12" t="inlineStr"/>
      <c r="M1489" s="12" t="inlineStr"/>
      <c r="N1489" s="17" t="inlineStr">
        <is>
          <t>10 EVIDENCE &amp; DECISIONS</t>
        </is>
      </c>
    </row>
    <row r="1490" ht="34" customHeight="1">
      <c r="A1490" s="12" t="inlineStr">
        <is>
          <t>Contractor Programme</t>
        </is>
      </c>
      <c r="B1490" s="12" t="inlineStr">
        <is>
          <t>SCH-06-123</t>
        </is>
      </c>
      <c r="C1490" s="12" t="inlineStr">
        <is>
          <t>Program office: executive reporting close - turnover</t>
        </is>
      </c>
      <c r="D1490" s="12" t="inlineStr"/>
      <c r="E1490" s="12" t="inlineStr">
        <is>
          <t>R1023-v2</t>
        </is>
      </c>
      <c r="F1490" s="12" t="inlineStr">
        <is>
          <t>UNSURE</t>
        </is>
      </c>
      <c r="G1490" s="12" t="inlineStr">
        <is>
          <t>UNSURE</t>
        </is>
      </c>
      <c r="H1490" s="12" t="inlineStr">
        <is>
          <t>APPROVED</t>
        </is>
      </c>
      <c r="I1490" s="12" t="inlineStr">
        <is>
          <t>New</t>
        </is>
      </c>
      <c r="J1490" s="12" t="inlineStr">
        <is>
          <t>Professional decision</t>
        </is>
      </c>
      <c r="K1490" s="12" t="inlineStr">
        <is>
          <t>Maya Chen, Owner Project Controls</t>
        </is>
      </c>
      <c r="L1490" s="12" t="inlineStr"/>
      <c r="M1490" s="12" t="inlineStr"/>
      <c r="N1490" s="17" t="inlineStr">
        <is>
          <t>10 EVIDENCE &amp; DECISIONS</t>
        </is>
      </c>
    </row>
    <row r="1491" ht="34" customHeight="1">
      <c r="A1491" s="12" t="inlineStr">
        <is>
          <t>Contractor Programme</t>
        </is>
      </c>
      <c r="B1491" s="12" t="inlineStr">
        <is>
          <t>SCH-06-124</t>
        </is>
      </c>
      <c r="C1491" s="12" t="inlineStr">
        <is>
          <t>Civil package: permit coordination - release</t>
        </is>
      </c>
      <c r="D1491" s="12" t="inlineStr"/>
      <c r="E1491" s="12" t="inlineStr">
        <is>
          <t>R1024-v2</t>
        </is>
      </c>
      <c r="F1491" s="12" t="inlineStr">
        <is>
          <t>UNSURE</t>
        </is>
      </c>
      <c r="G1491" s="12" t="inlineStr">
        <is>
          <t>UNSURE</t>
        </is>
      </c>
      <c r="H1491" s="12" t="inlineStr">
        <is>
          <t>APPROVED</t>
        </is>
      </c>
      <c r="I1491" s="12" t="inlineStr">
        <is>
          <t>New</t>
        </is>
      </c>
      <c r="J1491" s="12" t="inlineStr">
        <is>
          <t>Professional decision</t>
        </is>
      </c>
      <c r="K1491" s="12" t="inlineStr">
        <is>
          <t>Maya Chen, Owner Project Controls</t>
        </is>
      </c>
      <c r="L1491" s="12" t="inlineStr"/>
      <c r="M1491" s="12" t="inlineStr"/>
      <c r="N1491" s="17" t="inlineStr">
        <is>
          <t>10 EVIDENCE &amp; DECISIONS</t>
        </is>
      </c>
    </row>
    <row r="1492" ht="34" customHeight="1">
      <c r="A1492" s="12" t="inlineStr">
        <is>
          <t>Contractor Programme</t>
        </is>
      </c>
      <c r="B1492" s="12" t="inlineStr">
        <is>
          <t>SCH-06-125</t>
        </is>
      </c>
      <c r="C1492" s="12" t="inlineStr">
        <is>
          <t>Stations package: delivery risk workshop - field start</t>
        </is>
      </c>
      <c r="D1492" s="12" t="inlineStr"/>
      <c r="E1492" s="12" t="inlineStr">
        <is>
          <t>R1025-v2</t>
        </is>
      </c>
      <c r="F1492" s="12" t="inlineStr">
        <is>
          <t>UNSURE</t>
        </is>
      </c>
      <c r="G1492" s="12" t="inlineStr">
        <is>
          <t>UNSURE</t>
        </is>
      </c>
      <c r="H1492" s="12" t="inlineStr">
        <is>
          <t>APPROVED</t>
        </is>
      </c>
      <c r="I1492" s="12" t="inlineStr">
        <is>
          <t>New</t>
        </is>
      </c>
      <c r="J1492" s="12" t="inlineStr">
        <is>
          <t>Professional decision</t>
        </is>
      </c>
      <c r="K1492" s="12" t="inlineStr">
        <is>
          <t>Maya Chen, Owner Project Controls</t>
        </is>
      </c>
      <c r="L1492" s="12" t="inlineStr"/>
      <c r="M1492" s="12" t="inlineStr"/>
      <c r="N1492" s="17" t="inlineStr">
        <is>
          <t>10 EVIDENCE &amp; DECISIONS</t>
        </is>
      </c>
    </row>
    <row r="1493" ht="34" customHeight="1">
      <c r="A1493" s="12" t="inlineStr">
        <is>
          <t>Contractor Programme</t>
        </is>
      </c>
      <c r="B1493" s="12" t="inlineStr">
        <is>
          <t>SCH-06-126</t>
        </is>
      </c>
      <c r="C1493" s="12" t="inlineStr">
        <is>
          <t>Systems package: monthly controls cut-off - installation</t>
        </is>
      </c>
      <c r="D1493" s="12" t="inlineStr"/>
      <c r="E1493" s="12" t="inlineStr">
        <is>
          <t>R1026-v2</t>
        </is>
      </c>
      <c r="F1493" s="12" t="inlineStr">
        <is>
          <t>UNSURE</t>
        </is>
      </c>
      <c r="G1493" s="12" t="inlineStr">
        <is>
          <t>UNSURE</t>
        </is>
      </c>
      <c r="H1493" s="12" t="inlineStr">
        <is>
          <t>APPROVED</t>
        </is>
      </c>
      <c r="I1493" s="12" t="inlineStr">
        <is>
          <t>New</t>
        </is>
      </c>
      <c r="J1493" s="12" t="inlineStr">
        <is>
          <t>Professional decision</t>
        </is>
      </c>
      <c r="K1493" s="12" t="inlineStr">
        <is>
          <t>Maya Chen, Owner Project Controls</t>
        </is>
      </c>
      <c r="L1493" s="12" t="inlineStr"/>
      <c r="M1493" s="12" t="inlineStr"/>
      <c r="N1493" s="17" t="inlineStr">
        <is>
          <t>10 EVIDENCE &amp; DECISIONS</t>
        </is>
      </c>
    </row>
    <row r="1494" ht="34" customHeight="1">
      <c r="A1494" s="12" t="inlineStr">
        <is>
          <t>Contractor Programme</t>
        </is>
      </c>
      <c r="B1494" s="12" t="inlineStr">
        <is>
          <t>SCH-06-127</t>
        </is>
      </c>
      <c r="C1494" s="12" t="inlineStr">
        <is>
          <t>Fleet package: stakeholder interface meeting - inspection</t>
        </is>
      </c>
      <c r="D1494" s="12" t="inlineStr"/>
      <c r="E1494" s="12" t="inlineStr">
        <is>
          <t>R1027-v2</t>
        </is>
      </c>
      <c r="F1494" s="12" t="inlineStr">
        <is>
          <t>UNSURE</t>
        </is>
      </c>
      <c r="G1494" s="12" t="inlineStr">
        <is>
          <t>UNSURE</t>
        </is>
      </c>
      <c r="H1494" s="12" t="inlineStr">
        <is>
          <t>APPROVED</t>
        </is>
      </c>
      <c r="I1494" s="12" t="inlineStr">
        <is>
          <t>New</t>
        </is>
      </c>
      <c r="J1494" s="12" t="inlineStr">
        <is>
          <t>Professional decision</t>
        </is>
      </c>
      <c r="K1494" s="12" t="inlineStr">
        <is>
          <t>Maya Chen, Owner Project Controls</t>
        </is>
      </c>
      <c r="L1494" s="12" t="inlineStr"/>
      <c r="M1494" s="12" t="inlineStr"/>
      <c r="N1494" s="17" t="inlineStr">
        <is>
          <t>10 EVIDENCE &amp; DECISIONS</t>
        </is>
      </c>
    </row>
    <row r="1495" ht="34" customHeight="1">
      <c r="A1495" s="12" t="inlineStr">
        <is>
          <t>Contractor Programme</t>
        </is>
      </c>
      <c r="B1495" s="12" t="inlineStr">
        <is>
          <t>SCH-06-128</t>
        </is>
      </c>
      <c r="C1495" s="12" t="inlineStr">
        <is>
          <t>Program office: baseline change control - turnover</t>
        </is>
      </c>
      <c r="D1495" s="12" t="inlineStr"/>
      <c r="E1495" s="12" t="inlineStr">
        <is>
          <t>R1028-v2</t>
        </is>
      </c>
      <c r="F1495" s="12" t="inlineStr">
        <is>
          <t>UNSURE</t>
        </is>
      </c>
      <c r="G1495" s="12" t="inlineStr">
        <is>
          <t>UNSURE</t>
        </is>
      </c>
      <c r="H1495" s="12" t="inlineStr">
        <is>
          <t>APPROVED</t>
        </is>
      </c>
      <c r="I1495" s="12" t="inlineStr">
        <is>
          <t>New</t>
        </is>
      </c>
      <c r="J1495" s="12" t="inlineStr">
        <is>
          <t>Professional decision</t>
        </is>
      </c>
      <c r="K1495" s="12" t="inlineStr">
        <is>
          <t>Maya Chen, Owner Project Controls</t>
        </is>
      </c>
      <c r="L1495" s="12" t="inlineStr"/>
      <c r="M1495" s="12" t="inlineStr"/>
      <c r="N1495" s="17" t="inlineStr">
        <is>
          <t>10 EVIDENCE &amp; DECISIONS</t>
        </is>
      </c>
    </row>
    <row r="1496" ht="34" customHeight="1">
      <c r="A1496" s="12" t="inlineStr">
        <is>
          <t>Contractor Programme</t>
        </is>
      </c>
      <c r="B1496" s="12" t="inlineStr">
        <is>
          <t>SCH-06-129</t>
        </is>
      </c>
      <c r="C1496" s="12" t="inlineStr">
        <is>
          <t>Civil package: commercial change review - release</t>
        </is>
      </c>
      <c r="D1496" s="12" t="inlineStr"/>
      <c r="E1496" s="12" t="inlineStr">
        <is>
          <t>R1029-v2</t>
        </is>
      </c>
      <c r="F1496" s="12" t="inlineStr">
        <is>
          <t>UNSURE</t>
        </is>
      </c>
      <c r="G1496" s="12" t="inlineStr">
        <is>
          <t>UNSURE</t>
        </is>
      </c>
      <c r="H1496" s="12" t="inlineStr">
        <is>
          <t>APPROVED</t>
        </is>
      </c>
      <c r="I1496" s="12" t="inlineStr">
        <is>
          <t>New</t>
        </is>
      </c>
      <c r="J1496" s="12" t="inlineStr">
        <is>
          <t>Professional decision</t>
        </is>
      </c>
      <c r="K1496" s="12" t="inlineStr">
        <is>
          <t>Maya Chen, Owner Project Controls</t>
        </is>
      </c>
      <c r="L1496" s="12" t="inlineStr"/>
      <c r="M1496" s="12" t="inlineStr"/>
      <c r="N1496" s="17" t="inlineStr">
        <is>
          <t>10 EVIDENCE &amp; DECISIONS</t>
        </is>
      </c>
    </row>
    <row r="1497" ht="34" customHeight="1">
      <c r="A1497" s="12" t="inlineStr">
        <is>
          <t>Contractor Programme</t>
        </is>
      </c>
      <c r="B1497" s="12" t="inlineStr">
        <is>
          <t>SCH-06-130</t>
        </is>
      </c>
      <c r="C1497" s="12" t="inlineStr">
        <is>
          <t>Stations package: design-package integration review - field start</t>
        </is>
      </c>
      <c r="D1497" s="12" t="inlineStr"/>
      <c r="E1497" s="12" t="inlineStr">
        <is>
          <t>R1030-v2</t>
        </is>
      </c>
      <c r="F1497" s="12" t="inlineStr">
        <is>
          <t>UNSURE</t>
        </is>
      </c>
      <c r="G1497" s="12" t="inlineStr">
        <is>
          <t>UNSURE</t>
        </is>
      </c>
      <c r="H1497" s="12" t="inlineStr">
        <is>
          <t>APPROVED</t>
        </is>
      </c>
      <c r="I1497" s="12" t="inlineStr">
        <is>
          <t>New</t>
        </is>
      </c>
      <c r="J1497" s="12" t="inlineStr">
        <is>
          <t>Professional decision</t>
        </is>
      </c>
      <c r="K1497" s="12" t="inlineStr">
        <is>
          <t>Maya Chen, Owner Project Controls</t>
        </is>
      </c>
      <c r="L1497" s="12" t="inlineStr"/>
      <c r="M1497" s="12" t="inlineStr"/>
      <c r="N1497" s="17" t="inlineStr">
        <is>
          <t>10 EVIDENCE &amp; DECISIONS</t>
        </is>
      </c>
    </row>
    <row r="1498" ht="34" customHeight="1">
      <c r="A1498" s="12" t="inlineStr">
        <is>
          <t>Contractor Programme</t>
        </is>
      </c>
      <c r="B1498" s="12" t="inlineStr">
        <is>
          <t>SCH-06-131</t>
        </is>
      </c>
      <c r="C1498" s="12" t="inlineStr">
        <is>
          <t>Systems package: executive reporting close - installation</t>
        </is>
      </c>
      <c r="D1498" s="12" t="inlineStr"/>
      <c r="E1498" s="12" t="inlineStr">
        <is>
          <t>R1031-v2</t>
        </is>
      </c>
      <c r="F1498" s="12" t="inlineStr">
        <is>
          <t>UNSURE</t>
        </is>
      </c>
      <c r="G1498" s="12" t="inlineStr">
        <is>
          <t>UNSURE</t>
        </is>
      </c>
      <c r="H1498" s="12" t="inlineStr">
        <is>
          <t>APPROVED</t>
        </is>
      </c>
      <c r="I1498" s="12" t="inlineStr">
        <is>
          <t>New</t>
        </is>
      </c>
      <c r="J1498" s="12" t="inlineStr">
        <is>
          <t>Professional decision</t>
        </is>
      </c>
      <c r="K1498" s="12" t="inlineStr">
        <is>
          <t>Maya Chen, Owner Project Controls</t>
        </is>
      </c>
      <c r="L1498" s="12" t="inlineStr"/>
      <c r="M1498" s="12" t="inlineStr"/>
      <c r="N1498" s="17" t="inlineStr">
        <is>
          <t>10 EVIDENCE &amp; DECISIONS</t>
        </is>
      </c>
    </row>
    <row r="1499" ht="34" customHeight="1">
      <c r="A1499" s="12" t="inlineStr">
        <is>
          <t>Contractor Programme</t>
        </is>
      </c>
      <c r="B1499" s="12" t="inlineStr">
        <is>
          <t>SCH-06-132</t>
        </is>
      </c>
      <c r="C1499" s="12" t="inlineStr">
        <is>
          <t>Fleet package: permit coordination - inspection</t>
        </is>
      </c>
      <c r="D1499" s="12" t="inlineStr"/>
      <c r="E1499" s="12" t="inlineStr">
        <is>
          <t>R1032-v2</t>
        </is>
      </c>
      <c r="F1499" s="12" t="inlineStr">
        <is>
          <t>UNSURE</t>
        </is>
      </c>
      <c r="G1499" s="12" t="inlineStr">
        <is>
          <t>UNSURE</t>
        </is>
      </c>
      <c r="H1499" s="12" t="inlineStr">
        <is>
          <t>APPROVED</t>
        </is>
      </c>
      <c r="I1499" s="12" t="inlineStr">
        <is>
          <t>New</t>
        </is>
      </c>
      <c r="J1499" s="12" t="inlineStr">
        <is>
          <t>Professional decision</t>
        </is>
      </c>
      <c r="K1499" s="12" t="inlineStr">
        <is>
          <t>Maya Chen, Owner Project Controls</t>
        </is>
      </c>
      <c r="L1499" s="12" t="inlineStr"/>
      <c r="M1499" s="12" t="inlineStr"/>
      <c r="N1499" s="17" t="inlineStr">
        <is>
          <t>10 EVIDENCE &amp; DECISIONS</t>
        </is>
      </c>
    </row>
    <row r="1500" ht="34" customHeight="1">
      <c r="A1500" s="12" t="inlineStr">
        <is>
          <t>Contractor Programme</t>
        </is>
      </c>
      <c r="B1500" s="12" t="inlineStr">
        <is>
          <t>SCH-06-133</t>
        </is>
      </c>
      <c r="C1500" s="12" t="inlineStr">
        <is>
          <t>Program office: delivery risk workshop - turnover</t>
        </is>
      </c>
      <c r="D1500" s="12" t="inlineStr"/>
      <c r="E1500" s="12" t="inlineStr">
        <is>
          <t>R1033-v2</t>
        </is>
      </c>
      <c r="F1500" s="12" t="inlineStr">
        <is>
          <t>UNSURE</t>
        </is>
      </c>
      <c r="G1500" s="12" t="inlineStr">
        <is>
          <t>UNSURE</t>
        </is>
      </c>
      <c r="H1500" s="12" t="inlineStr">
        <is>
          <t>APPROVED</t>
        </is>
      </c>
      <c r="I1500" s="12" t="inlineStr">
        <is>
          <t>New</t>
        </is>
      </c>
      <c r="J1500" s="12" t="inlineStr">
        <is>
          <t>Professional decision</t>
        </is>
      </c>
      <c r="K1500" s="12" t="inlineStr">
        <is>
          <t>Maya Chen, Owner Project Controls</t>
        </is>
      </c>
      <c r="L1500" s="12" t="inlineStr"/>
      <c r="M1500" s="12" t="inlineStr"/>
      <c r="N1500" s="17" t="inlineStr">
        <is>
          <t>10 EVIDENCE &amp; DECISIONS</t>
        </is>
      </c>
    </row>
    <row r="1501" ht="34" customHeight="1">
      <c r="A1501" s="12" t="inlineStr">
        <is>
          <t>Contractor Programme</t>
        </is>
      </c>
      <c r="B1501" s="12" t="inlineStr">
        <is>
          <t>SCH-06-134</t>
        </is>
      </c>
      <c r="C1501" s="12" t="inlineStr">
        <is>
          <t>Civil package: monthly controls cut-off - release</t>
        </is>
      </c>
      <c r="D1501" s="12" t="inlineStr"/>
      <c r="E1501" s="12" t="inlineStr">
        <is>
          <t>R1034-v2</t>
        </is>
      </c>
      <c r="F1501" s="12" t="inlineStr">
        <is>
          <t>UNSURE</t>
        </is>
      </c>
      <c r="G1501" s="12" t="inlineStr">
        <is>
          <t>UNSURE</t>
        </is>
      </c>
      <c r="H1501" s="12" t="inlineStr">
        <is>
          <t>APPROVED</t>
        </is>
      </c>
      <c r="I1501" s="12" t="inlineStr">
        <is>
          <t>New</t>
        </is>
      </c>
      <c r="J1501" s="12" t="inlineStr">
        <is>
          <t>Professional decision</t>
        </is>
      </c>
      <c r="K1501" s="12" t="inlineStr">
        <is>
          <t>Maya Chen, Owner Project Controls</t>
        </is>
      </c>
      <c r="L1501" s="12" t="inlineStr"/>
      <c r="M1501" s="12" t="inlineStr"/>
      <c r="N1501" s="17" t="inlineStr">
        <is>
          <t>10 EVIDENCE &amp; DECISIONS</t>
        </is>
      </c>
    </row>
    <row r="1502" ht="34" customHeight="1">
      <c r="A1502" s="12" t="inlineStr">
        <is>
          <t>Contractor Programme</t>
        </is>
      </c>
      <c r="B1502" s="12" t="inlineStr">
        <is>
          <t>SCH-06-135</t>
        </is>
      </c>
      <c r="C1502" s="12" t="inlineStr">
        <is>
          <t>Stations package: stakeholder interface meeting - field start</t>
        </is>
      </c>
      <c r="D1502" s="12" t="inlineStr"/>
      <c r="E1502" s="12" t="inlineStr">
        <is>
          <t>R1035-v2</t>
        </is>
      </c>
      <c r="F1502" s="12" t="inlineStr">
        <is>
          <t>UNSURE</t>
        </is>
      </c>
      <c r="G1502" s="12" t="inlineStr">
        <is>
          <t>UNSURE</t>
        </is>
      </c>
      <c r="H1502" s="12" t="inlineStr">
        <is>
          <t>APPROVED</t>
        </is>
      </c>
      <c r="I1502" s="12" t="inlineStr">
        <is>
          <t>New</t>
        </is>
      </c>
      <c r="J1502" s="12" t="inlineStr">
        <is>
          <t>Professional decision</t>
        </is>
      </c>
      <c r="K1502" s="12" t="inlineStr">
        <is>
          <t>Maya Chen, Owner Project Controls</t>
        </is>
      </c>
      <c r="L1502" s="12" t="inlineStr"/>
      <c r="M1502" s="12" t="inlineStr"/>
      <c r="N1502" s="17" t="inlineStr">
        <is>
          <t>10 EVIDENCE &amp; DECISIONS</t>
        </is>
      </c>
    </row>
    <row r="1503" ht="34" customHeight="1">
      <c r="A1503" s="12" t="inlineStr">
        <is>
          <t>Contractor Programme</t>
        </is>
      </c>
      <c r="B1503" s="12" t="inlineStr">
        <is>
          <t>SCH-06-136</t>
        </is>
      </c>
      <c r="C1503" s="12" t="inlineStr">
        <is>
          <t>Systems package: baseline change control - installation</t>
        </is>
      </c>
      <c r="D1503" s="12" t="inlineStr"/>
      <c r="E1503" s="12" t="inlineStr">
        <is>
          <t>R1036-v2</t>
        </is>
      </c>
      <c r="F1503" s="12" t="inlineStr">
        <is>
          <t>UNSURE</t>
        </is>
      </c>
      <c r="G1503" s="12" t="inlineStr">
        <is>
          <t>UNSURE</t>
        </is>
      </c>
      <c r="H1503" s="12" t="inlineStr">
        <is>
          <t>APPROVED</t>
        </is>
      </c>
      <c r="I1503" s="12" t="inlineStr">
        <is>
          <t>New</t>
        </is>
      </c>
      <c r="J1503" s="12" t="inlineStr">
        <is>
          <t>Professional decision</t>
        </is>
      </c>
      <c r="K1503" s="12" t="inlineStr">
        <is>
          <t>Maya Chen, Owner Project Controls</t>
        </is>
      </c>
      <c r="L1503" s="12" t="inlineStr"/>
      <c r="M1503" s="12" t="inlineStr"/>
      <c r="N1503" s="17" t="inlineStr">
        <is>
          <t>10 EVIDENCE &amp; DECISIONS</t>
        </is>
      </c>
    </row>
    <row r="1504" ht="34" customHeight="1">
      <c r="A1504" s="12" t="inlineStr">
        <is>
          <t>Contractor Programme</t>
        </is>
      </c>
      <c r="B1504" s="12" t="inlineStr">
        <is>
          <t>SCH-06-137</t>
        </is>
      </c>
      <c r="C1504" s="12" t="inlineStr">
        <is>
          <t>Fleet package: commercial change review - inspection</t>
        </is>
      </c>
      <c r="D1504" s="12" t="inlineStr"/>
      <c r="E1504" s="12" t="inlineStr">
        <is>
          <t>R1037-v2</t>
        </is>
      </c>
      <c r="F1504" s="12" t="inlineStr">
        <is>
          <t>UNSURE</t>
        </is>
      </c>
      <c r="G1504" s="12" t="inlineStr">
        <is>
          <t>UNSURE</t>
        </is>
      </c>
      <c r="H1504" s="12" t="inlineStr">
        <is>
          <t>APPROVED</t>
        </is>
      </c>
      <c r="I1504" s="12" t="inlineStr">
        <is>
          <t>New</t>
        </is>
      </c>
      <c r="J1504" s="12" t="inlineStr">
        <is>
          <t>Professional decision</t>
        </is>
      </c>
      <c r="K1504" s="12" t="inlineStr">
        <is>
          <t>Maya Chen, Owner Project Controls</t>
        </is>
      </c>
      <c r="L1504" s="12" t="inlineStr"/>
      <c r="M1504" s="12" t="inlineStr"/>
      <c r="N1504" s="17" t="inlineStr">
        <is>
          <t>10 EVIDENCE &amp; DECISIONS</t>
        </is>
      </c>
    </row>
    <row r="1505" ht="34" customHeight="1">
      <c r="A1505" s="12" t="inlineStr">
        <is>
          <t>Contractor Programme</t>
        </is>
      </c>
      <c r="B1505" s="12" t="inlineStr">
        <is>
          <t>SCH-06-138</t>
        </is>
      </c>
      <c r="C1505" s="12" t="inlineStr">
        <is>
          <t>Program office: design-package integration review - turnover</t>
        </is>
      </c>
      <c r="D1505" s="12" t="inlineStr"/>
      <c r="E1505" s="12" t="inlineStr">
        <is>
          <t>R1038-v2</t>
        </is>
      </c>
      <c r="F1505" s="12" t="inlineStr">
        <is>
          <t>UNSURE</t>
        </is>
      </c>
      <c r="G1505" s="12" t="inlineStr">
        <is>
          <t>UNSURE</t>
        </is>
      </c>
      <c r="H1505" s="12" t="inlineStr">
        <is>
          <t>APPROVED</t>
        </is>
      </c>
      <c r="I1505" s="12" t="inlineStr">
        <is>
          <t>New</t>
        </is>
      </c>
      <c r="J1505" s="12" t="inlineStr">
        <is>
          <t>Professional decision</t>
        </is>
      </c>
      <c r="K1505" s="12" t="inlineStr">
        <is>
          <t>Maya Chen, Owner Project Controls</t>
        </is>
      </c>
      <c r="L1505" s="12" t="inlineStr"/>
      <c r="M1505" s="12" t="inlineStr"/>
      <c r="N1505" s="17" t="inlineStr">
        <is>
          <t>10 EVIDENCE &amp; DECISIONS</t>
        </is>
      </c>
    </row>
    <row r="1506" ht="34" customHeight="1">
      <c r="A1506" s="12" t="inlineStr">
        <is>
          <t>Contractor Programme</t>
        </is>
      </c>
      <c r="B1506" s="12" t="inlineStr">
        <is>
          <t>SCH-06-139</t>
        </is>
      </c>
      <c r="C1506" s="12" t="inlineStr">
        <is>
          <t>Civil package: executive reporting close - release</t>
        </is>
      </c>
      <c r="D1506" s="12" t="inlineStr"/>
      <c r="E1506" s="12" t="inlineStr">
        <is>
          <t>R1039-v2</t>
        </is>
      </c>
      <c r="F1506" s="12" t="inlineStr">
        <is>
          <t>UNSURE</t>
        </is>
      </c>
      <c r="G1506" s="12" t="inlineStr">
        <is>
          <t>UNSURE</t>
        </is>
      </c>
      <c r="H1506" s="12" t="inlineStr">
        <is>
          <t>APPROVED</t>
        </is>
      </c>
      <c r="I1506" s="12" t="inlineStr">
        <is>
          <t>New</t>
        </is>
      </c>
      <c r="J1506" s="12" t="inlineStr">
        <is>
          <t>Professional decision</t>
        </is>
      </c>
      <c r="K1506" s="12" t="inlineStr">
        <is>
          <t>Maya Chen, Owner Project Controls</t>
        </is>
      </c>
      <c r="L1506" s="12" t="inlineStr"/>
      <c r="M1506" s="12" t="inlineStr"/>
      <c r="N1506" s="17" t="inlineStr">
        <is>
          <t>10 EVIDENCE &amp; DECISIONS</t>
        </is>
      </c>
    </row>
    <row r="1507" ht="34" customHeight="1">
      <c r="A1507" s="12" t="inlineStr">
        <is>
          <t>Contractor Programme</t>
        </is>
      </c>
      <c r="B1507" s="12" t="inlineStr">
        <is>
          <t>SCH-06-140</t>
        </is>
      </c>
      <c r="C1507" s="12" t="inlineStr">
        <is>
          <t>Stations package: permit coordination - field start</t>
        </is>
      </c>
      <c r="D1507" s="12" t="inlineStr"/>
      <c r="E1507" s="12" t="inlineStr">
        <is>
          <t>R1040-v2</t>
        </is>
      </c>
      <c r="F1507" s="12" t="inlineStr">
        <is>
          <t>UNSURE</t>
        </is>
      </c>
      <c r="G1507" s="12" t="inlineStr">
        <is>
          <t>UNSURE</t>
        </is>
      </c>
      <c r="H1507" s="12" t="inlineStr">
        <is>
          <t>APPROVED</t>
        </is>
      </c>
      <c r="I1507" s="12" t="inlineStr">
        <is>
          <t>New</t>
        </is>
      </c>
      <c r="J1507" s="12" t="inlineStr">
        <is>
          <t>Professional decision</t>
        </is>
      </c>
      <c r="K1507" s="12" t="inlineStr">
        <is>
          <t>Maya Chen, Owner Project Controls</t>
        </is>
      </c>
      <c r="L1507" s="12" t="inlineStr"/>
      <c r="M1507" s="12" t="inlineStr"/>
      <c r="N1507" s="17" t="inlineStr">
        <is>
          <t>10 EVIDENCE &amp; DECISIONS</t>
        </is>
      </c>
    </row>
    <row r="1508" ht="34" customHeight="1">
      <c r="A1508" s="12" t="inlineStr">
        <is>
          <t>Contractor Programme</t>
        </is>
      </c>
      <c r="B1508" s="12" t="inlineStr">
        <is>
          <t>SCH-06-141</t>
        </is>
      </c>
      <c r="C1508" s="12" t="inlineStr">
        <is>
          <t>Systems package: delivery risk workshop - installation</t>
        </is>
      </c>
      <c r="D1508" s="12" t="inlineStr"/>
      <c r="E1508" s="12" t="inlineStr">
        <is>
          <t>R1041-v2</t>
        </is>
      </c>
      <c r="F1508" s="12" t="inlineStr">
        <is>
          <t>UNSURE</t>
        </is>
      </c>
      <c r="G1508" s="12" t="inlineStr">
        <is>
          <t>UNSURE</t>
        </is>
      </c>
      <c r="H1508" s="12" t="inlineStr">
        <is>
          <t>APPROVED</t>
        </is>
      </c>
      <c r="I1508" s="12" t="inlineStr">
        <is>
          <t>New</t>
        </is>
      </c>
      <c r="J1508" s="12" t="inlineStr">
        <is>
          <t>Professional decision</t>
        </is>
      </c>
      <c r="K1508" s="12" t="inlineStr">
        <is>
          <t>Maya Chen, Owner Project Controls</t>
        </is>
      </c>
      <c r="L1508" s="12" t="inlineStr"/>
      <c r="M1508" s="12" t="inlineStr"/>
      <c r="N1508" s="17" t="inlineStr">
        <is>
          <t>10 EVIDENCE &amp; DECISIONS</t>
        </is>
      </c>
    </row>
    <row r="1509" ht="34" customHeight="1">
      <c r="A1509" s="12" t="inlineStr">
        <is>
          <t>Contractor Programme</t>
        </is>
      </c>
      <c r="B1509" s="12" t="inlineStr">
        <is>
          <t>SCH-06-142</t>
        </is>
      </c>
      <c r="C1509" s="12" t="inlineStr">
        <is>
          <t>Fleet package: monthly controls cut-off - inspection</t>
        </is>
      </c>
      <c r="D1509" s="12" t="inlineStr"/>
      <c r="E1509" s="12" t="inlineStr">
        <is>
          <t>R1042-v2</t>
        </is>
      </c>
      <c r="F1509" s="12" t="inlineStr">
        <is>
          <t>UNSURE</t>
        </is>
      </c>
      <c r="G1509" s="12" t="inlineStr">
        <is>
          <t>UNSURE</t>
        </is>
      </c>
      <c r="H1509" s="12" t="inlineStr">
        <is>
          <t>APPROVED</t>
        </is>
      </c>
      <c r="I1509" s="12" t="inlineStr">
        <is>
          <t>New</t>
        </is>
      </c>
      <c r="J1509" s="12" t="inlineStr">
        <is>
          <t>Professional decision</t>
        </is>
      </c>
      <c r="K1509" s="12" t="inlineStr">
        <is>
          <t>Maya Chen, Owner Project Controls</t>
        </is>
      </c>
      <c r="L1509" s="12" t="inlineStr"/>
      <c r="M1509" s="12" t="inlineStr"/>
      <c r="N1509" s="17" t="inlineStr">
        <is>
          <t>10 EVIDENCE &amp; DECISIONS</t>
        </is>
      </c>
    </row>
    <row r="1510" ht="34" customHeight="1">
      <c r="A1510" s="12" t="inlineStr">
        <is>
          <t>Contractor Programme</t>
        </is>
      </c>
      <c r="B1510" s="12" t="inlineStr">
        <is>
          <t>SCH-06-143</t>
        </is>
      </c>
      <c r="C1510" s="12" t="inlineStr">
        <is>
          <t>Program office: stakeholder interface meeting - turnover</t>
        </is>
      </c>
      <c r="D1510" s="12" t="inlineStr"/>
      <c r="E1510" s="12" t="inlineStr">
        <is>
          <t>R1043-v2</t>
        </is>
      </c>
      <c r="F1510" s="12" t="inlineStr">
        <is>
          <t>UNSURE</t>
        </is>
      </c>
      <c r="G1510" s="12" t="inlineStr">
        <is>
          <t>UNSURE</t>
        </is>
      </c>
      <c r="H1510" s="12" t="inlineStr">
        <is>
          <t>APPROVED</t>
        </is>
      </c>
      <c r="I1510" s="12" t="inlineStr">
        <is>
          <t>New</t>
        </is>
      </c>
      <c r="J1510" s="12" t="inlineStr">
        <is>
          <t>Professional decision</t>
        </is>
      </c>
      <c r="K1510" s="12" t="inlineStr">
        <is>
          <t>Maya Chen, Owner Project Controls</t>
        </is>
      </c>
      <c r="L1510" s="12" t="inlineStr"/>
      <c r="M1510" s="12" t="inlineStr"/>
      <c r="N1510" s="17" t="inlineStr">
        <is>
          <t>10 EVIDENCE &amp; DECISIONS</t>
        </is>
      </c>
    </row>
    <row r="1511" ht="34" customHeight="1">
      <c r="A1511" s="12" t="inlineStr">
        <is>
          <t>Contractor Programme</t>
        </is>
      </c>
      <c r="B1511" s="12" t="inlineStr">
        <is>
          <t>SCH-06-144</t>
        </is>
      </c>
      <c r="C1511" s="12" t="inlineStr">
        <is>
          <t>Civil package: baseline change control - release</t>
        </is>
      </c>
      <c r="D1511" s="12" t="inlineStr"/>
      <c r="E1511" s="12" t="inlineStr">
        <is>
          <t>R1044-v2</t>
        </is>
      </c>
      <c r="F1511" s="12" t="inlineStr">
        <is>
          <t>UNSURE</t>
        </is>
      </c>
      <c r="G1511" s="12" t="inlineStr">
        <is>
          <t>UNSURE</t>
        </is>
      </c>
      <c r="H1511" s="12" t="inlineStr">
        <is>
          <t>APPROVED</t>
        </is>
      </c>
      <c r="I1511" s="12" t="inlineStr">
        <is>
          <t>New</t>
        </is>
      </c>
      <c r="J1511" s="12" t="inlineStr">
        <is>
          <t>Professional decision</t>
        </is>
      </c>
      <c r="K1511" s="12" t="inlineStr">
        <is>
          <t>Maya Chen, Owner Project Controls</t>
        </is>
      </c>
      <c r="L1511" s="12" t="inlineStr"/>
      <c r="M1511" s="12" t="inlineStr"/>
      <c r="N1511" s="17" t="inlineStr">
        <is>
          <t>10 EVIDENCE &amp; DECISIONS</t>
        </is>
      </c>
    </row>
    <row r="1512" ht="34" customHeight="1">
      <c r="A1512" s="12" t="inlineStr">
        <is>
          <t>Contractor Programme</t>
        </is>
      </c>
      <c r="B1512" s="12" t="inlineStr">
        <is>
          <t>SCH-06-145</t>
        </is>
      </c>
      <c r="C1512" s="12" t="inlineStr">
        <is>
          <t>Stations package: commercial change review - field start</t>
        </is>
      </c>
      <c r="D1512" s="12" t="inlineStr"/>
      <c r="E1512" s="12" t="inlineStr">
        <is>
          <t>R1045-v2</t>
        </is>
      </c>
      <c r="F1512" s="12" t="inlineStr">
        <is>
          <t>UNSURE</t>
        </is>
      </c>
      <c r="G1512" s="12" t="inlineStr">
        <is>
          <t>UNSURE</t>
        </is>
      </c>
      <c r="H1512" s="12" t="inlineStr">
        <is>
          <t>APPROVED</t>
        </is>
      </c>
      <c r="I1512" s="12" t="inlineStr">
        <is>
          <t>New</t>
        </is>
      </c>
      <c r="J1512" s="12" t="inlineStr">
        <is>
          <t>Professional decision</t>
        </is>
      </c>
      <c r="K1512" s="12" t="inlineStr">
        <is>
          <t>Maya Chen, Owner Project Controls</t>
        </is>
      </c>
      <c r="L1512" s="12" t="inlineStr"/>
      <c r="M1512" s="12" t="inlineStr"/>
      <c r="N1512" s="17" t="inlineStr">
        <is>
          <t>10 EVIDENCE &amp; DECISIONS</t>
        </is>
      </c>
    </row>
    <row r="1513" ht="34" customHeight="1">
      <c r="A1513" s="12" t="inlineStr">
        <is>
          <t>Contractor Programme</t>
        </is>
      </c>
      <c r="B1513" s="12" t="inlineStr">
        <is>
          <t>SCH-06-146</t>
        </is>
      </c>
      <c r="C1513" s="12" t="inlineStr">
        <is>
          <t>Systems package: design-package integration review - installation</t>
        </is>
      </c>
      <c r="D1513" s="12" t="inlineStr"/>
      <c r="E1513" s="12" t="inlineStr">
        <is>
          <t>R1046-v2</t>
        </is>
      </c>
      <c r="F1513" s="12" t="inlineStr">
        <is>
          <t>UNSURE</t>
        </is>
      </c>
      <c r="G1513" s="12" t="inlineStr">
        <is>
          <t>UNSURE</t>
        </is>
      </c>
      <c r="H1513" s="12" t="inlineStr">
        <is>
          <t>APPROVED</t>
        </is>
      </c>
      <c r="I1513" s="12" t="inlineStr">
        <is>
          <t>New</t>
        </is>
      </c>
      <c r="J1513" s="12" t="inlineStr">
        <is>
          <t>Professional decision</t>
        </is>
      </c>
      <c r="K1513" s="12" t="inlineStr">
        <is>
          <t>Maya Chen, Owner Project Controls</t>
        </is>
      </c>
      <c r="L1513" s="12" t="inlineStr"/>
      <c r="M1513" s="12" t="inlineStr"/>
      <c r="N1513" s="17" t="inlineStr">
        <is>
          <t>10 EVIDENCE &amp; DECISIONS</t>
        </is>
      </c>
    </row>
    <row r="1514" ht="34" customHeight="1">
      <c r="A1514" s="12" t="inlineStr">
        <is>
          <t>Contractor Programme</t>
        </is>
      </c>
      <c r="B1514" s="12" t="inlineStr">
        <is>
          <t>SCH-06-147</t>
        </is>
      </c>
      <c r="C1514" s="12" t="inlineStr">
        <is>
          <t>Fleet package: executive reporting close - inspection</t>
        </is>
      </c>
      <c r="D1514" s="12" t="inlineStr"/>
      <c r="E1514" s="12" t="inlineStr">
        <is>
          <t>R1047-v2</t>
        </is>
      </c>
      <c r="F1514" s="12" t="inlineStr">
        <is>
          <t>UNSURE</t>
        </is>
      </c>
      <c r="G1514" s="12" t="inlineStr">
        <is>
          <t>UNSURE</t>
        </is>
      </c>
      <c r="H1514" s="12" t="inlineStr">
        <is>
          <t>APPROVED</t>
        </is>
      </c>
      <c r="I1514" s="12" t="inlineStr">
        <is>
          <t>New</t>
        </is>
      </c>
      <c r="J1514" s="12" t="inlineStr">
        <is>
          <t>Professional decision</t>
        </is>
      </c>
      <c r="K1514" s="12" t="inlineStr">
        <is>
          <t>Maya Chen, Owner Project Controls</t>
        </is>
      </c>
      <c r="L1514" s="12" t="inlineStr"/>
      <c r="M1514" s="12" t="inlineStr"/>
      <c r="N1514" s="17" t="inlineStr">
        <is>
          <t>10 EVIDENCE &amp; DECISIONS</t>
        </is>
      </c>
    </row>
    <row r="1515" ht="34" customHeight="1">
      <c r="A1515" s="12" t="inlineStr">
        <is>
          <t>Contractor Programme</t>
        </is>
      </c>
      <c r="B1515" s="12" t="inlineStr">
        <is>
          <t>SCH-06-148</t>
        </is>
      </c>
      <c r="C1515" s="12" t="inlineStr">
        <is>
          <t>Program office: permit coordination - turnover</t>
        </is>
      </c>
      <c r="D1515" s="12" t="inlineStr"/>
      <c r="E1515" s="12" t="inlineStr">
        <is>
          <t>R1048-v2</t>
        </is>
      </c>
      <c r="F1515" s="12" t="inlineStr">
        <is>
          <t>UNSURE</t>
        </is>
      </c>
      <c r="G1515" s="12" t="inlineStr">
        <is>
          <t>UNSURE</t>
        </is>
      </c>
      <c r="H1515" s="12" t="inlineStr">
        <is>
          <t>APPROVED</t>
        </is>
      </c>
      <c r="I1515" s="12" t="inlineStr">
        <is>
          <t>New</t>
        </is>
      </c>
      <c r="J1515" s="12" t="inlineStr">
        <is>
          <t>Professional decision</t>
        </is>
      </c>
      <c r="K1515" s="12" t="inlineStr">
        <is>
          <t>Maya Chen, Owner Project Controls</t>
        </is>
      </c>
      <c r="L1515" s="12" t="inlineStr"/>
      <c r="M1515" s="12" t="inlineStr"/>
      <c r="N1515" s="17" t="inlineStr">
        <is>
          <t>10 EVIDENCE &amp; DECISIONS</t>
        </is>
      </c>
    </row>
    <row r="1516" ht="34" customHeight="1">
      <c r="A1516" s="12" t="inlineStr">
        <is>
          <t>Contractor Programme</t>
        </is>
      </c>
      <c r="B1516" s="12" t="inlineStr">
        <is>
          <t>SCH-06-149</t>
        </is>
      </c>
      <c r="C1516" s="12" t="inlineStr">
        <is>
          <t>Civil package: delivery risk workshop - release</t>
        </is>
      </c>
      <c r="D1516" s="12" t="inlineStr"/>
      <c r="E1516" s="12" t="inlineStr">
        <is>
          <t>R1049-v2</t>
        </is>
      </c>
      <c r="F1516" s="12" t="inlineStr">
        <is>
          <t>UNSURE</t>
        </is>
      </c>
      <c r="G1516" s="12" t="inlineStr">
        <is>
          <t>UNSURE</t>
        </is>
      </c>
      <c r="H1516" s="12" t="inlineStr">
        <is>
          <t>APPROVED</t>
        </is>
      </c>
      <c r="I1516" s="12" t="inlineStr">
        <is>
          <t>New</t>
        </is>
      </c>
      <c r="J1516" s="12" t="inlineStr">
        <is>
          <t>Professional decision</t>
        </is>
      </c>
      <c r="K1516" s="12" t="inlineStr">
        <is>
          <t>Maya Chen, Owner Project Controls</t>
        </is>
      </c>
      <c r="L1516" s="12" t="inlineStr"/>
      <c r="M1516" s="12" t="inlineStr"/>
      <c r="N1516" s="17" t="inlineStr">
        <is>
          <t>10 EVIDENCE &amp; DECISIONS</t>
        </is>
      </c>
    </row>
    <row r="1517" ht="34" customHeight="1">
      <c r="A1517" s="12" t="inlineStr">
        <is>
          <t>Contractor Programme</t>
        </is>
      </c>
      <c r="B1517" s="12" t="inlineStr">
        <is>
          <t>SCH-06-150</t>
        </is>
      </c>
      <c r="C1517" s="12" t="inlineStr">
        <is>
          <t>Stations package: monthly controls cut-off - field start</t>
        </is>
      </c>
      <c r="D1517" s="12" t="inlineStr"/>
      <c r="E1517" s="12" t="inlineStr">
        <is>
          <t>R1050-v2</t>
        </is>
      </c>
      <c r="F1517" s="12" t="inlineStr">
        <is>
          <t>UNSURE</t>
        </is>
      </c>
      <c r="G1517" s="12" t="inlineStr">
        <is>
          <t>UNSURE</t>
        </is>
      </c>
      <c r="H1517" s="12" t="inlineStr">
        <is>
          <t>APPROVED</t>
        </is>
      </c>
      <c r="I1517" s="12" t="inlineStr">
        <is>
          <t>New</t>
        </is>
      </c>
      <c r="J1517" s="12" t="inlineStr">
        <is>
          <t>Professional decision</t>
        </is>
      </c>
      <c r="K1517" s="12" t="inlineStr">
        <is>
          <t>Maya Chen, Owner Project Controls</t>
        </is>
      </c>
      <c r="L1517" s="12" t="inlineStr"/>
      <c r="M1517" s="12" t="inlineStr"/>
      <c r="N1517" s="17" t="inlineStr">
        <is>
          <t>10 EVIDENCE &amp; DECISIONS</t>
        </is>
      </c>
    </row>
    <row r="1518" ht="34" customHeight="1">
      <c r="A1518" s="12" t="inlineStr">
        <is>
          <t>Contractor Programme</t>
        </is>
      </c>
      <c r="B1518" s="12" t="inlineStr">
        <is>
          <t>SCH-06-151</t>
        </is>
      </c>
      <c r="C1518" s="12" t="inlineStr">
        <is>
          <t>Systems package: stakeholder interface meeting - installation</t>
        </is>
      </c>
      <c r="D1518" s="12" t="inlineStr"/>
      <c r="E1518" s="12" t="inlineStr">
        <is>
          <t>R1051-v2</t>
        </is>
      </c>
      <c r="F1518" s="12" t="inlineStr">
        <is>
          <t>UNSURE</t>
        </is>
      </c>
      <c r="G1518" s="12" t="inlineStr">
        <is>
          <t>UNSURE</t>
        </is>
      </c>
      <c r="H1518" s="12" t="inlineStr">
        <is>
          <t>APPROVED</t>
        </is>
      </c>
      <c r="I1518" s="12" t="inlineStr">
        <is>
          <t>New</t>
        </is>
      </c>
      <c r="J1518" s="12" t="inlineStr">
        <is>
          <t>Professional decision</t>
        </is>
      </c>
      <c r="K1518" s="12" t="inlineStr">
        <is>
          <t>Maya Chen, Owner Project Controls</t>
        </is>
      </c>
      <c r="L1518" s="12" t="inlineStr"/>
      <c r="M1518" s="12" t="inlineStr"/>
      <c r="N1518" s="17" t="inlineStr">
        <is>
          <t>10 EVIDENCE &amp; DECISIONS</t>
        </is>
      </c>
    </row>
    <row r="1519" ht="34" customHeight="1">
      <c r="A1519" s="12" t="inlineStr">
        <is>
          <t>Contractor Programme</t>
        </is>
      </c>
      <c r="B1519" s="12" t="inlineStr">
        <is>
          <t>SCH-06-152</t>
        </is>
      </c>
      <c r="C1519" s="12" t="inlineStr">
        <is>
          <t>Fleet package: baseline change control - inspection</t>
        </is>
      </c>
      <c r="D1519" s="12" t="inlineStr"/>
      <c r="E1519" s="12" t="inlineStr">
        <is>
          <t>R1052-v2</t>
        </is>
      </c>
      <c r="F1519" s="12" t="inlineStr">
        <is>
          <t>UNSURE</t>
        </is>
      </c>
      <c r="G1519" s="12" t="inlineStr">
        <is>
          <t>UNSURE</t>
        </is>
      </c>
      <c r="H1519" s="12" t="inlineStr">
        <is>
          <t>APPROVED</t>
        </is>
      </c>
      <c r="I1519" s="12" t="inlineStr">
        <is>
          <t>New</t>
        </is>
      </c>
      <c r="J1519" s="12" t="inlineStr">
        <is>
          <t>Professional decision</t>
        </is>
      </c>
      <c r="K1519" s="12" t="inlineStr">
        <is>
          <t>Maya Chen, Owner Project Controls</t>
        </is>
      </c>
      <c r="L1519" s="12" t="inlineStr"/>
      <c r="M1519" s="12" t="inlineStr"/>
      <c r="N1519" s="17" t="inlineStr">
        <is>
          <t>10 EVIDENCE &amp; DECISIONS</t>
        </is>
      </c>
    </row>
    <row r="1520" ht="34" customHeight="1">
      <c r="A1520" s="12" t="inlineStr">
        <is>
          <t>Contractor Programme</t>
        </is>
      </c>
      <c r="B1520" s="12" t="inlineStr">
        <is>
          <t>SCH-06-153</t>
        </is>
      </c>
      <c r="C1520" s="12" t="inlineStr">
        <is>
          <t>Program office: commercial change review - turnover</t>
        </is>
      </c>
      <c r="D1520" s="12" t="inlineStr"/>
      <c r="E1520" s="12" t="inlineStr">
        <is>
          <t>R1053-v2</t>
        </is>
      </c>
      <c r="F1520" s="12" t="inlineStr">
        <is>
          <t>UNSURE</t>
        </is>
      </c>
      <c r="G1520" s="12" t="inlineStr">
        <is>
          <t>UNSURE</t>
        </is>
      </c>
      <c r="H1520" s="12" t="inlineStr">
        <is>
          <t>APPROVED</t>
        </is>
      </c>
      <c r="I1520" s="12" t="inlineStr">
        <is>
          <t>New</t>
        </is>
      </c>
      <c r="J1520" s="12" t="inlineStr">
        <is>
          <t>Professional decision</t>
        </is>
      </c>
      <c r="K1520" s="12" t="inlineStr">
        <is>
          <t>Maya Chen, Owner Project Controls</t>
        </is>
      </c>
      <c r="L1520" s="12" t="inlineStr"/>
      <c r="M1520" s="12" t="inlineStr"/>
      <c r="N1520" s="17" t="inlineStr">
        <is>
          <t>10 EVIDENCE &amp; DECISIONS</t>
        </is>
      </c>
    </row>
    <row r="1521" ht="34" customHeight="1">
      <c r="A1521" s="12" t="inlineStr">
        <is>
          <t>Contractor Programme</t>
        </is>
      </c>
      <c r="B1521" s="12" t="inlineStr">
        <is>
          <t>SCH-06-154</t>
        </is>
      </c>
      <c r="C1521" s="12" t="inlineStr">
        <is>
          <t>Civil package: design-package integration review - release</t>
        </is>
      </c>
      <c r="D1521" s="12" t="inlineStr"/>
      <c r="E1521" s="12" t="inlineStr">
        <is>
          <t>R1054-v2</t>
        </is>
      </c>
      <c r="F1521" s="12" t="inlineStr">
        <is>
          <t>UNSURE</t>
        </is>
      </c>
      <c r="G1521" s="12" t="inlineStr">
        <is>
          <t>UNSURE</t>
        </is>
      </c>
      <c r="H1521" s="12" t="inlineStr">
        <is>
          <t>APPROVED</t>
        </is>
      </c>
      <c r="I1521" s="12" t="inlineStr">
        <is>
          <t>New</t>
        </is>
      </c>
      <c r="J1521" s="12" t="inlineStr">
        <is>
          <t>Professional decision</t>
        </is>
      </c>
      <c r="K1521" s="12" t="inlineStr">
        <is>
          <t>Maya Chen, Owner Project Controls</t>
        </is>
      </c>
      <c r="L1521" s="12" t="inlineStr"/>
      <c r="M1521" s="12" t="inlineStr"/>
      <c r="N1521" s="17" t="inlineStr">
        <is>
          <t>10 EVIDENCE &amp; DECISIONS</t>
        </is>
      </c>
    </row>
    <row r="1522" ht="34" customHeight="1">
      <c r="A1522" s="12" t="inlineStr">
        <is>
          <t>Contractor Programme</t>
        </is>
      </c>
      <c r="B1522" s="12" t="inlineStr">
        <is>
          <t>SCH-06-155</t>
        </is>
      </c>
      <c r="C1522" s="12" t="inlineStr">
        <is>
          <t>Stations package: executive reporting close - field start</t>
        </is>
      </c>
      <c r="D1522" s="12" t="inlineStr"/>
      <c r="E1522" s="12" t="inlineStr">
        <is>
          <t>R1055-v2</t>
        </is>
      </c>
      <c r="F1522" s="12" t="inlineStr">
        <is>
          <t>UNSURE</t>
        </is>
      </c>
      <c r="G1522" s="12" t="inlineStr">
        <is>
          <t>UNSURE</t>
        </is>
      </c>
      <c r="H1522" s="12" t="inlineStr">
        <is>
          <t>APPROVED</t>
        </is>
      </c>
      <c r="I1522" s="12" t="inlineStr">
        <is>
          <t>New</t>
        </is>
      </c>
      <c r="J1522" s="12" t="inlineStr">
        <is>
          <t>Professional decision</t>
        </is>
      </c>
      <c r="K1522" s="12" t="inlineStr">
        <is>
          <t>Maya Chen, Owner Project Controls</t>
        </is>
      </c>
      <c r="L1522" s="12" t="inlineStr"/>
      <c r="M1522" s="12" t="inlineStr"/>
      <c r="N1522" s="17" t="inlineStr">
        <is>
          <t>10 EVIDENCE &amp; DECISIONS</t>
        </is>
      </c>
    </row>
    <row r="1523" ht="34" customHeight="1">
      <c r="A1523" s="12" t="inlineStr">
        <is>
          <t>Contractor Programme</t>
        </is>
      </c>
      <c r="B1523" s="12" t="inlineStr">
        <is>
          <t>SCH-06-156</t>
        </is>
      </c>
      <c r="C1523" s="12" t="inlineStr">
        <is>
          <t>Systems package: permit coordination - installation</t>
        </is>
      </c>
      <c r="D1523" s="12" t="inlineStr"/>
      <c r="E1523" s="12" t="inlineStr">
        <is>
          <t>R1056-v2</t>
        </is>
      </c>
      <c r="F1523" s="12" t="inlineStr">
        <is>
          <t>UNSURE</t>
        </is>
      </c>
      <c r="G1523" s="12" t="inlineStr">
        <is>
          <t>UNSURE</t>
        </is>
      </c>
      <c r="H1523" s="12" t="inlineStr">
        <is>
          <t>APPROVED</t>
        </is>
      </c>
      <c r="I1523" s="12" t="inlineStr">
        <is>
          <t>New</t>
        </is>
      </c>
      <c r="J1523" s="12" t="inlineStr">
        <is>
          <t>Professional decision</t>
        </is>
      </c>
      <c r="K1523" s="12" t="inlineStr">
        <is>
          <t>Maya Chen, Owner Project Controls</t>
        </is>
      </c>
      <c r="L1523" s="12" t="inlineStr"/>
      <c r="M1523" s="12" t="inlineStr"/>
      <c r="N1523" s="17" t="inlineStr">
        <is>
          <t>10 EVIDENCE &amp; DECISIONS</t>
        </is>
      </c>
    </row>
    <row r="1524" ht="34" customHeight="1">
      <c r="A1524" s="12" t="inlineStr">
        <is>
          <t>Contractor Programme</t>
        </is>
      </c>
      <c r="B1524" s="12" t="inlineStr">
        <is>
          <t>SCH-06-157</t>
        </is>
      </c>
      <c r="C1524" s="12" t="inlineStr">
        <is>
          <t>Fleet package: delivery risk workshop - inspection</t>
        </is>
      </c>
      <c r="D1524" s="12" t="inlineStr"/>
      <c r="E1524" s="12" t="inlineStr">
        <is>
          <t>R1057-v2</t>
        </is>
      </c>
      <c r="F1524" s="12" t="inlineStr">
        <is>
          <t>UNSURE</t>
        </is>
      </c>
      <c r="G1524" s="12" t="inlineStr">
        <is>
          <t>UNSURE</t>
        </is>
      </c>
      <c r="H1524" s="12" t="inlineStr">
        <is>
          <t>APPROVED</t>
        </is>
      </c>
      <c r="I1524" s="12" t="inlineStr">
        <is>
          <t>New</t>
        </is>
      </c>
      <c r="J1524" s="12" t="inlineStr">
        <is>
          <t>Professional decision</t>
        </is>
      </c>
      <c r="K1524" s="12" t="inlineStr">
        <is>
          <t>Maya Chen, Owner Project Controls</t>
        </is>
      </c>
      <c r="L1524" s="12" t="inlineStr"/>
      <c r="M1524" s="12" t="inlineStr"/>
      <c r="N1524" s="17" t="inlineStr">
        <is>
          <t>10 EVIDENCE &amp; DECISIONS</t>
        </is>
      </c>
    </row>
    <row r="1525" ht="34" customHeight="1">
      <c r="A1525" s="12" t="inlineStr">
        <is>
          <t>Contractor Programme</t>
        </is>
      </c>
      <c r="B1525" s="12" t="inlineStr">
        <is>
          <t>SCH-06-158</t>
        </is>
      </c>
      <c r="C1525" s="12" t="inlineStr">
        <is>
          <t>Program office: monthly controls cut-off - turnover</t>
        </is>
      </c>
      <c r="D1525" s="12" t="inlineStr"/>
      <c r="E1525" s="12" t="inlineStr">
        <is>
          <t>R1058-v2</t>
        </is>
      </c>
      <c r="F1525" s="12" t="inlineStr">
        <is>
          <t>UNSURE</t>
        </is>
      </c>
      <c r="G1525" s="12" t="inlineStr">
        <is>
          <t>UNSURE</t>
        </is>
      </c>
      <c r="H1525" s="12" t="inlineStr">
        <is>
          <t>APPROVED</t>
        </is>
      </c>
      <c r="I1525" s="12" t="inlineStr">
        <is>
          <t>New</t>
        </is>
      </c>
      <c r="J1525" s="12" t="inlineStr">
        <is>
          <t>Professional decision</t>
        </is>
      </c>
      <c r="K1525" s="12" t="inlineStr">
        <is>
          <t>Maya Chen, Owner Project Controls</t>
        </is>
      </c>
      <c r="L1525" s="12" t="inlineStr"/>
      <c r="M1525" s="12" t="inlineStr"/>
      <c r="N1525" s="17" t="inlineStr">
        <is>
          <t>10 EVIDENCE &amp; DECISIONS</t>
        </is>
      </c>
    </row>
    <row r="1526" ht="34" customHeight="1">
      <c r="A1526" s="12" t="inlineStr">
        <is>
          <t>Contractor Programme</t>
        </is>
      </c>
      <c r="B1526" s="12" t="inlineStr">
        <is>
          <t>SCH-06-159</t>
        </is>
      </c>
      <c r="C1526" s="12" t="inlineStr">
        <is>
          <t>Civil package: stakeholder interface meeting - release</t>
        </is>
      </c>
      <c r="D1526" s="12" t="inlineStr"/>
      <c r="E1526" s="12" t="inlineStr">
        <is>
          <t>R1059-v2</t>
        </is>
      </c>
      <c r="F1526" s="12" t="inlineStr">
        <is>
          <t>UNSURE</t>
        </is>
      </c>
      <c r="G1526" s="12" t="inlineStr">
        <is>
          <t>UNSURE</t>
        </is>
      </c>
      <c r="H1526" s="12" t="inlineStr">
        <is>
          <t>APPROVED</t>
        </is>
      </c>
      <c r="I1526" s="12" t="inlineStr">
        <is>
          <t>New</t>
        </is>
      </c>
      <c r="J1526" s="12" t="inlineStr">
        <is>
          <t>Professional decision</t>
        </is>
      </c>
      <c r="K1526" s="12" t="inlineStr">
        <is>
          <t>Maya Chen, Owner Project Controls</t>
        </is>
      </c>
      <c r="L1526" s="12" t="inlineStr"/>
      <c r="M1526" s="12" t="inlineStr"/>
      <c r="N1526" s="17" t="inlineStr">
        <is>
          <t>10 EVIDENCE &amp; DECISIONS</t>
        </is>
      </c>
    </row>
    <row r="1527" ht="34" customHeight="1">
      <c r="A1527" s="12" t="inlineStr">
        <is>
          <t>Contractor Programme</t>
        </is>
      </c>
      <c r="B1527" s="12" t="inlineStr">
        <is>
          <t>SCH-06-160</t>
        </is>
      </c>
      <c r="C1527" s="12" t="inlineStr">
        <is>
          <t>Stations package: baseline change control - field start</t>
        </is>
      </c>
      <c r="D1527" s="12" t="inlineStr"/>
      <c r="E1527" s="12" t="inlineStr">
        <is>
          <t>R1060-v2</t>
        </is>
      </c>
      <c r="F1527" s="12" t="inlineStr">
        <is>
          <t>UNSURE</t>
        </is>
      </c>
      <c r="G1527" s="12" t="inlineStr">
        <is>
          <t>UNSURE</t>
        </is>
      </c>
      <c r="H1527" s="12" t="inlineStr">
        <is>
          <t>APPROVED</t>
        </is>
      </c>
      <c r="I1527" s="12" t="inlineStr">
        <is>
          <t>New</t>
        </is>
      </c>
      <c r="J1527" s="12" t="inlineStr">
        <is>
          <t>Professional decision</t>
        </is>
      </c>
      <c r="K1527" s="12" t="inlineStr">
        <is>
          <t>Maya Chen, Owner Project Controls</t>
        </is>
      </c>
      <c r="L1527" s="12" t="inlineStr"/>
      <c r="M1527" s="12" t="inlineStr"/>
      <c r="N1527" s="17" t="inlineStr">
        <is>
          <t>10 EVIDENCE &amp; DECISIONS</t>
        </is>
      </c>
    </row>
    <row r="1528" ht="34" customHeight="1">
      <c r="A1528" s="12" t="inlineStr">
        <is>
          <t>Contractor Programme</t>
        </is>
      </c>
      <c r="B1528" s="12" t="inlineStr">
        <is>
          <t>SCH-06-161</t>
        </is>
      </c>
      <c r="C1528" s="12" t="inlineStr">
        <is>
          <t>Systems package: commercial change review - installation</t>
        </is>
      </c>
      <c r="D1528" s="12" t="inlineStr"/>
      <c r="E1528" s="12" t="inlineStr">
        <is>
          <t>R1061-v2</t>
        </is>
      </c>
      <c r="F1528" s="12" t="inlineStr">
        <is>
          <t>UNSURE</t>
        </is>
      </c>
      <c r="G1528" s="12" t="inlineStr">
        <is>
          <t>UNSURE</t>
        </is>
      </c>
      <c r="H1528" s="12" t="inlineStr">
        <is>
          <t>APPROVED</t>
        </is>
      </c>
      <c r="I1528" s="12" t="inlineStr">
        <is>
          <t>New</t>
        </is>
      </c>
      <c r="J1528" s="12" t="inlineStr">
        <is>
          <t>Professional decision</t>
        </is>
      </c>
      <c r="K1528" s="12" t="inlineStr">
        <is>
          <t>Maya Chen, Owner Project Controls</t>
        </is>
      </c>
      <c r="L1528" s="12" t="inlineStr"/>
      <c r="M1528" s="12" t="inlineStr"/>
      <c r="N1528" s="17" t="inlineStr">
        <is>
          <t>10 EVIDENCE &amp; DECISIONS</t>
        </is>
      </c>
    </row>
    <row r="1529" ht="34" customHeight="1">
      <c r="A1529" s="12" t="inlineStr">
        <is>
          <t>Contractor Programme</t>
        </is>
      </c>
      <c r="B1529" s="12" t="inlineStr">
        <is>
          <t>SCH-06-162</t>
        </is>
      </c>
      <c r="C1529" s="12" t="inlineStr">
        <is>
          <t>Fleet package: design-package integration review - inspection</t>
        </is>
      </c>
      <c r="D1529" s="12" t="inlineStr"/>
      <c r="E1529" s="12" t="inlineStr">
        <is>
          <t>R1062-v2</t>
        </is>
      </c>
      <c r="F1529" s="12" t="inlineStr">
        <is>
          <t>UNSURE</t>
        </is>
      </c>
      <c r="G1529" s="12" t="inlineStr">
        <is>
          <t>UNSURE</t>
        </is>
      </c>
      <c r="H1529" s="12" t="inlineStr">
        <is>
          <t>APPROVED</t>
        </is>
      </c>
      <c r="I1529" s="12" t="inlineStr">
        <is>
          <t>New</t>
        </is>
      </c>
      <c r="J1529" s="12" t="inlineStr">
        <is>
          <t>Professional decision</t>
        </is>
      </c>
      <c r="K1529" s="12" t="inlineStr">
        <is>
          <t>Maya Chen, Owner Project Controls</t>
        </is>
      </c>
      <c r="L1529" s="12" t="inlineStr"/>
      <c r="M1529" s="12" t="inlineStr"/>
      <c r="N1529" s="17" t="inlineStr">
        <is>
          <t>10 EVIDENCE &amp; DECISIONS</t>
        </is>
      </c>
    </row>
    <row r="1530" ht="34" customHeight="1">
      <c r="A1530" s="12" t="inlineStr">
        <is>
          <t>Contractor Programme</t>
        </is>
      </c>
      <c r="B1530" s="12" t="inlineStr">
        <is>
          <t>SCH-06-163</t>
        </is>
      </c>
      <c r="C1530" s="12" t="inlineStr">
        <is>
          <t>Program office: executive reporting close - turnover</t>
        </is>
      </c>
      <c r="D1530" s="12" t="inlineStr"/>
      <c r="E1530" s="12" t="inlineStr">
        <is>
          <t>R1063-v2</t>
        </is>
      </c>
      <c r="F1530" s="12" t="inlineStr">
        <is>
          <t>UNSURE</t>
        </is>
      </c>
      <c r="G1530" s="12" t="inlineStr">
        <is>
          <t>UNSURE</t>
        </is>
      </c>
      <c r="H1530" s="12" t="inlineStr">
        <is>
          <t>APPROVED</t>
        </is>
      </c>
      <c r="I1530" s="12" t="inlineStr">
        <is>
          <t>New</t>
        </is>
      </c>
      <c r="J1530" s="12" t="inlineStr">
        <is>
          <t>Professional decision</t>
        </is>
      </c>
      <c r="K1530" s="12" t="inlineStr">
        <is>
          <t>Maya Chen, Owner Project Controls</t>
        </is>
      </c>
      <c r="L1530" s="12" t="inlineStr"/>
      <c r="M1530" s="12" t="inlineStr"/>
      <c r="N1530" s="17" t="inlineStr">
        <is>
          <t>10 EVIDENCE &amp; DECISIONS</t>
        </is>
      </c>
    </row>
    <row r="1531" ht="34" customHeight="1">
      <c r="A1531" s="12" t="inlineStr">
        <is>
          <t>Contractor Programme</t>
        </is>
      </c>
      <c r="B1531" s="12" t="inlineStr">
        <is>
          <t>SCH-06-164</t>
        </is>
      </c>
      <c r="C1531" s="12" t="inlineStr">
        <is>
          <t>Civil package: permit coordination - release</t>
        </is>
      </c>
      <c r="D1531" s="12" t="inlineStr"/>
      <c r="E1531" s="12" t="inlineStr">
        <is>
          <t>R1064-v2</t>
        </is>
      </c>
      <c r="F1531" s="12" t="inlineStr">
        <is>
          <t>UNSURE</t>
        </is>
      </c>
      <c r="G1531" s="12" t="inlineStr">
        <is>
          <t>UNSURE</t>
        </is>
      </c>
      <c r="H1531" s="12" t="inlineStr">
        <is>
          <t>APPROVED</t>
        </is>
      </c>
      <c r="I1531" s="12" t="inlineStr">
        <is>
          <t>New</t>
        </is>
      </c>
      <c r="J1531" s="12" t="inlineStr">
        <is>
          <t>Professional decision</t>
        </is>
      </c>
      <c r="K1531" s="12" t="inlineStr">
        <is>
          <t>Maya Chen, Owner Project Controls</t>
        </is>
      </c>
      <c r="L1531" s="12" t="inlineStr"/>
      <c r="M1531" s="12" t="inlineStr"/>
      <c r="N1531" s="17" t="inlineStr">
        <is>
          <t>10 EVIDENCE &amp; DECISIONS</t>
        </is>
      </c>
    </row>
    <row r="1532" ht="34" customHeight="1">
      <c r="A1532" s="12" t="inlineStr">
        <is>
          <t>Contractor Programme</t>
        </is>
      </c>
      <c r="B1532" s="12" t="inlineStr">
        <is>
          <t>SCH-06-165</t>
        </is>
      </c>
      <c r="C1532" s="12" t="inlineStr">
        <is>
          <t>Stations package: delivery risk workshop - field start</t>
        </is>
      </c>
      <c r="D1532" s="12" t="inlineStr"/>
      <c r="E1532" s="12" t="inlineStr">
        <is>
          <t>R1065-v2</t>
        </is>
      </c>
      <c r="F1532" s="12" t="inlineStr">
        <is>
          <t>UNSURE</t>
        </is>
      </c>
      <c r="G1532" s="12" t="inlineStr">
        <is>
          <t>UNSURE</t>
        </is>
      </c>
      <c r="H1532" s="12" t="inlineStr">
        <is>
          <t>APPROVED</t>
        </is>
      </c>
      <c r="I1532" s="12" t="inlineStr">
        <is>
          <t>New</t>
        </is>
      </c>
      <c r="J1532" s="12" t="inlineStr">
        <is>
          <t>Professional decision</t>
        </is>
      </c>
      <c r="K1532" s="12" t="inlineStr">
        <is>
          <t>Maya Chen, Owner Project Controls</t>
        </is>
      </c>
      <c r="L1532" s="12" t="inlineStr"/>
      <c r="M1532" s="12" t="inlineStr"/>
      <c r="N1532" s="17" t="inlineStr">
        <is>
          <t>10 EVIDENCE &amp; DECISIONS</t>
        </is>
      </c>
    </row>
    <row r="1533" ht="34" customHeight="1">
      <c r="A1533" s="12" t="inlineStr">
        <is>
          <t>Contractor Programme</t>
        </is>
      </c>
      <c r="B1533" s="12" t="inlineStr">
        <is>
          <t>SCH-06-166</t>
        </is>
      </c>
      <c r="C1533" s="12" t="inlineStr">
        <is>
          <t>Systems package: monthly controls cut-off - installation</t>
        </is>
      </c>
      <c r="D1533" s="12" t="inlineStr"/>
      <c r="E1533" s="12" t="inlineStr">
        <is>
          <t>R1066-v2</t>
        </is>
      </c>
      <c r="F1533" s="12" t="inlineStr">
        <is>
          <t>UNSURE</t>
        </is>
      </c>
      <c r="G1533" s="12" t="inlineStr">
        <is>
          <t>UNSURE</t>
        </is>
      </c>
      <c r="H1533" s="12" t="inlineStr">
        <is>
          <t>APPROVED</t>
        </is>
      </c>
      <c r="I1533" s="12" t="inlineStr">
        <is>
          <t>New</t>
        </is>
      </c>
      <c r="J1533" s="12" t="inlineStr">
        <is>
          <t>Professional decision</t>
        </is>
      </c>
      <c r="K1533" s="12" t="inlineStr">
        <is>
          <t>Maya Chen, Owner Project Controls</t>
        </is>
      </c>
      <c r="L1533" s="12" t="inlineStr"/>
      <c r="M1533" s="12" t="inlineStr"/>
      <c r="N1533" s="17" t="inlineStr">
        <is>
          <t>10 EVIDENCE &amp; DECISIONS</t>
        </is>
      </c>
    </row>
    <row r="1534" ht="34" customHeight="1">
      <c r="A1534" s="12" t="inlineStr">
        <is>
          <t>Contractor Programme</t>
        </is>
      </c>
      <c r="B1534" s="12" t="inlineStr">
        <is>
          <t>SCH-06-167</t>
        </is>
      </c>
      <c r="C1534" s="12" t="inlineStr">
        <is>
          <t>Fleet package: stakeholder interface meeting - inspection</t>
        </is>
      </c>
      <c r="D1534" s="12" t="inlineStr"/>
      <c r="E1534" s="12" t="inlineStr">
        <is>
          <t>R1067-v2</t>
        </is>
      </c>
      <c r="F1534" s="12" t="inlineStr">
        <is>
          <t>UNSURE</t>
        </is>
      </c>
      <c r="G1534" s="12" t="inlineStr">
        <is>
          <t>UNSURE</t>
        </is>
      </c>
      <c r="H1534" s="12" t="inlineStr">
        <is>
          <t>APPROVED</t>
        </is>
      </c>
      <c r="I1534" s="12" t="inlineStr">
        <is>
          <t>New</t>
        </is>
      </c>
      <c r="J1534" s="12" t="inlineStr">
        <is>
          <t>Professional decision</t>
        </is>
      </c>
      <c r="K1534" s="12" t="inlineStr">
        <is>
          <t>Maya Chen, Owner Project Controls</t>
        </is>
      </c>
      <c r="L1534" s="12" t="inlineStr"/>
      <c r="M1534" s="12" t="inlineStr"/>
      <c r="N1534" s="17" t="inlineStr">
        <is>
          <t>10 EVIDENCE &amp; DECISIONS</t>
        </is>
      </c>
    </row>
    <row r="1535" ht="34" customHeight="1">
      <c r="A1535" s="12" t="inlineStr">
        <is>
          <t>Contractor Programme</t>
        </is>
      </c>
      <c r="B1535" s="12" t="inlineStr">
        <is>
          <t>SCH-06-168</t>
        </is>
      </c>
      <c r="C1535" s="12" t="inlineStr">
        <is>
          <t>Program office: baseline change control - turnover</t>
        </is>
      </c>
      <c r="D1535" s="12" t="inlineStr"/>
      <c r="E1535" s="12" t="inlineStr">
        <is>
          <t>R1068-v2</t>
        </is>
      </c>
      <c r="F1535" s="12" t="inlineStr">
        <is>
          <t>UNSURE</t>
        </is>
      </c>
      <c r="G1535" s="12" t="inlineStr">
        <is>
          <t>UNSURE</t>
        </is>
      </c>
      <c r="H1535" s="12" t="inlineStr">
        <is>
          <t>APPROVED</t>
        </is>
      </c>
      <c r="I1535" s="12" t="inlineStr">
        <is>
          <t>New</t>
        </is>
      </c>
      <c r="J1535" s="12" t="inlineStr">
        <is>
          <t>Professional decision</t>
        </is>
      </c>
      <c r="K1535" s="12" t="inlineStr">
        <is>
          <t>Maya Chen, Owner Project Controls</t>
        </is>
      </c>
      <c r="L1535" s="12" t="inlineStr"/>
      <c r="M1535" s="12" t="inlineStr"/>
      <c r="N1535" s="17" t="inlineStr">
        <is>
          <t>10 EVIDENCE &amp; DECISIONS</t>
        </is>
      </c>
    </row>
    <row r="1536" ht="34" customHeight="1">
      <c r="A1536" s="12" t="inlineStr">
        <is>
          <t>Contractor Programme</t>
        </is>
      </c>
      <c r="B1536" s="12" t="inlineStr">
        <is>
          <t>SCH-06-169</t>
        </is>
      </c>
      <c r="C1536" s="12" t="inlineStr">
        <is>
          <t>Civil package: commercial change review - release</t>
        </is>
      </c>
      <c r="D1536" s="12" t="inlineStr"/>
      <c r="E1536" s="12" t="inlineStr">
        <is>
          <t>R1069-v2</t>
        </is>
      </c>
      <c r="F1536" s="12" t="inlineStr">
        <is>
          <t>UNSURE</t>
        </is>
      </c>
      <c r="G1536" s="12" t="inlineStr">
        <is>
          <t>UNSURE</t>
        </is>
      </c>
      <c r="H1536" s="12" t="inlineStr">
        <is>
          <t>APPROVED</t>
        </is>
      </c>
      <c r="I1536" s="12" t="inlineStr">
        <is>
          <t>New</t>
        </is>
      </c>
      <c r="J1536" s="12" t="inlineStr">
        <is>
          <t>Professional decision</t>
        </is>
      </c>
      <c r="K1536" s="12" t="inlineStr">
        <is>
          <t>Maya Chen, Owner Project Controls</t>
        </is>
      </c>
      <c r="L1536" s="12" t="inlineStr"/>
      <c r="M1536" s="12" t="inlineStr"/>
      <c r="N1536" s="17" t="inlineStr">
        <is>
          <t>10 EVIDENCE &amp; DECISIONS</t>
        </is>
      </c>
    </row>
    <row r="1537" ht="34" customHeight="1">
      <c r="A1537" s="12" t="inlineStr">
        <is>
          <t>Contractor Programme</t>
        </is>
      </c>
      <c r="B1537" s="12" t="inlineStr">
        <is>
          <t>SCH-06-170</t>
        </is>
      </c>
      <c r="C1537" s="12" t="inlineStr">
        <is>
          <t>Stations package: design-package integration review - field start</t>
        </is>
      </c>
      <c r="D1537" s="12" t="inlineStr"/>
      <c r="E1537" s="12" t="inlineStr">
        <is>
          <t>R1070-v2</t>
        </is>
      </c>
      <c r="F1537" s="12" t="inlineStr">
        <is>
          <t>UNSURE</t>
        </is>
      </c>
      <c r="G1537" s="12" t="inlineStr">
        <is>
          <t>UNSURE</t>
        </is>
      </c>
      <c r="H1537" s="12" t="inlineStr">
        <is>
          <t>APPROVED</t>
        </is>
      </c>
      <c r="I1537" s="12" t="inlineStr">
        <is>
          <t>New</t>
        </is>
      </c>
      <c r="J1537" s="12" t="inlineStr">
        <is>
          <t>Professional decision</t>
        </is>
      </c>
      <c r="K1537" s="12" t="inlineStr">
        <is>
          <t>Maya Chen, Owner Project Controls</t>
        </is>
      </c>
      <c r="L1537" s="12" t="inlineStr"/>
      <c r="M1537" s="12" t="inlineStr"/>
      <c r="N1537" s="17" t="inlineStr">
        <is>
          <t>10 EVIDENCE &amp; DECISIONS</t>
        </is>
      </c>
    </row>
    <row r="1538" ht="34" customHeight="1">
      <c r="A1538" s="12" t="inlineStr">
        <is>
          <t>Contractor Programme</t>
        </is>
      </c>
      <c r="B1538" s="12" t="inlineStr">
        <is>
          <t>SCH-06-171</t>
        </is>
      </c>
      <c r="C1538" s="12" t="inlineStr">
        <is>
          <t>Systems package: executive reporting close - installation</t>
        </is>
      </c>
      <c r="D1538" s="12" t="inlineStr"/>
      <c r="E1538" s="12" t="inlineStr">
        <is>
          <t>R1071-v2</t>
        </is>
      </c>
      <c r="F1538" s="12" t="inlineStr">
        <is>
          <t>UNSURE</t>
        </is>
      </c>
      <c r="G1538" s="12" t="inlineStr">
        <is>
          <t>UNSURE</t>
        </is>
      </c>
      <c r="H1538" s="12" t="inlineStr">
        <is>
          <t>APPROVED</t>
        </is>
      </c>
      <c r="I1538" s="12" t="inlineStr">
        <is>
          <t>New</t>
        </is>
      </c>
      <c r="J1538" s="12" t="inlineStr">
        <is>
          <t>Professional decision</t>
        </is>
      </c>
      <c r="K1538" s="12" t="inlineStr">
        <is>
          <t>Maya Chen, Owner Project Controls</t>
        </is>
      </c>
      <c r="L1538" s="12" t="inlineStr"/>
      <c r="M1538" s="12" t="inlineStr"/>
      <c r="N1538" s="17" t="inlineStr">
        <is>
          <t>10 EVIDENCE &amp; DECISIONS</t>
        </is>
      </c>
    </row>
    <row r="1539" ht="34" customHeight="1">
      <c r="A1539" s="12" t="inlineStr">
        <is>
          <t>Contractor Programme</t>
        </is>
      </c>
      <c r="B1539" s="12" t="inlineStr">
        <is>
          <t>SCH-06-172</t>
        </is>
      </c>
      <c r="C1539" s="12" t="inlineStr">
        <is>
          <t>Fleet package: permit coordination - inspection</t>
        </is>
      </c>
      <c r="D1539" s="12" t="inlineStr"/>
      <c r="E1539" s="12" t="inlineStr">
        <is>
          <t>R1072-v2</t>
        </is>
      </c>
      <c r="F1539" s="12" t="inlineStr">
        <is>
          <t>UNSURE</t>
        </is>
      </c>
      <c r="G1539" s="12" t="inlineStr">
        <is>
          <t>UNSURE</t>
        </is>
      </c>
      <c r="H1539" s="12" t="inlineStr">
        <is>
          <t>APPROVED</t>
        </is>
      </c>
      <c r="I1539" s="12" t="inlineStr">
        <is>
          <t>New</t>
        </is>
      </c>
      <c r="J1539" s="12" t="inlineStr">
        <is>
          <t>Professional decision</t>
        </is>
      </c>
      <c r="K1539" s="12" t="inlineStr">
        <is>
          <t>Maya Chen, Owner Project Controls</t>
        </is>
      </c>
      <c r="L1539" s="12" t="inlineStr"/>
      <c r="M1539" s="12" t="inlineStr"/>
      <c r="N1539" s="17" t="inlineStr">
        <is>
          <t>10 EVIDENCE &amp; DECISIONS</t>
        </is>
      </c>
    </row>
    <row r="1540" ht="34" customHeight="1">
      <c r="A1540" s="12" t="inlineStr">
        <is>
          <t>Contractor Programme</t>
        </is>
      </c>
      <c r="B1540" s="12" t="inlineStr">
        <is>
          <t>SCH-06-173</t>
        </is>
      </c>
      <c r="C1540" s="12" t="inlineStr">
        <is>
          <t>Program office: delivery risk workshop - turnover</t>
        </is>
      </c>
      <c r="D1540" s="12" t="inlineStr"/>
      <c r="E1540" s="12" t="inlineStr">
        <is>
          <t>R1073-v2</t>
        </is>
      </c>
      <c r="F1540" s="12" t="inlineStr">
        <is>
          <t>UNSURE</t>
        </is>
      </c>
      <c r="G1540" s="12" t="inlineStr">
        <is>
          <t>UNSURE</t>
        </is>
      </c>
      <c r="H1540" s="12" t="inlineStr">
        <is>
          <t>APPROVED</t>
        </is>
      </c>
      <c r="I1540" s="12" t="inlineStr">
        <is>
          <t>New</t>
        </is>
      </c>
      <c r="J1540" s="12" t="inlineStr">
        <is>
          <t>Professional decision</t>
        </is>
      </c>
      <c r="K1540" s="12" t="inlineStr">
        <is>
          <t>Maya Chen, Owner Project Controls</t>
        </is>
      </c>
      <c r="L1540" s="12" t="inlineStr"/>
      <c r="M1540" s="12" t="inlineStr"/>
      <c r="N1540" s="17" t="inlineStr">
        <is>
          <t>10 EVIDENCE &amp; DECISIONS</t>
        </is>
      </c>
    </row>
    <row r="1541" ht="34" customHeight="1">
      <c r="A1541" s="12" t="inlineStr">
        <is>
          <t>Contractor Programme</t>
        </is>
      </c>
      <c r="B1541" s="12" t="inlineStr">
        <is>
          <t>SCH-06-174</t>
        </is>
      </c>
      <c r="C1541" s="12" t="inlineStr">
        <is>
          <t>Civil package: monthly controls cut-off - release</t>
        </is>
      </c>
      <c r="D1541" s="12" t="inlineStr"/>
      <c r="E1541" s="12" t="inlineStr">
        <is>
          <t>R1074-v2</t>
        </is>
      </c>
      <c r="F1541" s="12" t="inlineStr">
        <is>
          <t>UNSURE</t>
        </is>
      </c>
      <c r="G1541" s="12" t="inlineStr">
        <is>
          <t>UNSURE</t>
        </is>
      </c>
      <c r="H1541" s="12" t="inlineStr">
        <is>
          <t>APPROVED</t>
        </is>
      </c>
      <c r="I1541" s="12" t="inlineStr">
        <is>
          <t>New</t>
        </is>
      </c>
      <c r="J1541" s="12" t="inlineStr">
        <is>
          <t>Professional decision</t>
        </is>
      </c>
      <c r="K1541" s="12" t="inlineStr">
        <is>
          <t>Maya Chen, Owner Project Controls</t>
        </is>
      </c>
      <c r="L1541" s="12" t="inlineStr"/>
      <c r="M1541" s="12" t="inlineStr"/>
      <c r="N1541" s="17" t="inlineStr">
        <is>
          <t>10 EVIDENCE &amp; DECISIONS</t>
        </is>
      </c>
    </row>
    <row r="1542" ht="34" customHeight="1">
      <c r="A1542" s="12" t="inlineStr">
        <is>
          <t>Contractor Programme</t>
        </is>
      </c>
      <c r="B1542" s="12" t="inlineStr">
        <is>
          <t>SCH-06-175</t>
        </is>
      </c>
      <c r="C1542" s="12" t="inlineStr">
        <is>
          <t>Stations package: stakeholder interface meeting - field start</t>
        </is>
      </c>
      <c r="D1542" s="12" t="inlineStr"/>
      <c r="E1542" s="12" t="inlineStr">
        <is>
          <t>R1075-v2</t>
        </is>
      </c>
      <c r="F1542" s="12" t="inlineStr">
        <is>
          <t>UNSURE</t>
        </is>
      </c>
      <c r="G1542" s="12" t="inlineStr">
        <is>
          <t>UNSURE</t>
        </is>
      </c>
      <c r="H1542" s="12" t="inlineStr">
        <is>
          <t>APPROVED</t>
        </is>
      </c>
      <c r="I1542" s="12" t="inlineStr">
        <is>
          <t>New</t>
        </is>
      </c>
      <c r="J1542" s="12" t="inlineStr">
        <is>
          <t>Professional decision</t>
        </is>
      </c>
      <c r="K1542" s="12" t="inlineStr">
        <is>
          <t>Maya Chen, Owner Project Controls</t>
        </is>
      </c>
      <c r="L1542" s="12" t="inlineStr"/>
      <c r="M1542" s="12" t="inlineStr"/>
      <c r="N1542" s="17" t="inlineStr">
        <is>
          <t>10 EVIDENCE &amp; DECISIONS</t>
        </is>
      </c>
    </row>
    <row r="1543" ht="34" customHeight="1">
      <c r="A1543" s="12" t="inlineStr">
        <is>
          <t>Contractor Programme</t>
        </is>
      </c>
      <c r="B1543" s="12" t="inlineStr">
        <is>
          <t>SCH-06-176</t>
        </is>
      </c>
      <c r="C1543" s="12" t="inlineStr">
        <is>
          <t>Systems package: baseline change control - installation</t>
        </is>
      </c>
      <c r="D1543" s="12" t="inlineStr"/>
      <c r="E1543" s="12" t="inlineStr">
        <is>
          <t>R1076-v2</t>
        </is>
      </c>
      <c r="F1543" s="12" t="inlineStr">
        <is>
          <t>UNSURE</t>
        </is>
      </c>
      <c r="G1543" s="12" t="inlineStr">
        <is>
          <t>UNSURE</t>
        </is>
      </c>
      <c r="H1543" s="12" t="inlineStr">
        <is>
          <t>APPROVED</t>
        </is>
      </c>
      <c r="I1543" s="12" t="inlineStr">
        <is>
          <t>New</t>
        </is>
      </c>
      <c r="J1543" s="12" t="inlineStr">
        <is>
          <t>Professional decision</t>
        </is>
      </c>
      <c r="K1543" s="12" t="inlineStr">
        <is>
          <t>Maya Chen, Owner Project Controls</t>
        </is>
      </c>
      <c r="L1543" s="12" t="inlineStr"/>
      <c r="M1543" s="12" t="inlineStr"/>
      <c r="N1543" s="17" t="inlineStr">
        <is>
          <t>10 EVIDENCE &amp; DECISIONS</t>
        </is>
      </c>
    </row>
    <row r="1544" ht="34" customHeight="1">
      <c r="A1544" s="12" t="inlineStr">
        <is>
          <t>Contractor Programme</t>
        </is>
      </c>
      <c r="B1544" s="12" t="inlineStr">
        <is>
          <t>SCH-06-177</t>
        </is>
      </c>
      <c r="C1544" s="12" t="inlineStr">
        <is>
          <t>Fleet package: commercial change review - inspection</t>
        </is>
      </c>
      <c r="D1544" s="12" t="inlineStr"/>
      <c r="E1544" s="12" t="inlineStr">
        <is>
          <t>R1077-v2</t>
        </is>
      </c>
      <c r="F1544" s="12" t="inlineStr">
        <is>
          <t>UNSURE</t>
        </is>
      </c>
      <c r="G1544" s="12" t="inlineStr">
        <is>
          <t>UNSURE</t>
        </is>
      </c>
      <c r="H1544" s="12" t="inlineStr">
        <is>
          <t>APPROVED</t>
        </is>
      </c>
      <c r="I1544" s="12" t="inlineStr">
        <is>
          <t>New</t>
        </is>
      </c>
      <c r="J1544" s="12" t="inlineStr">
        <is>
          <t>Professional decision</t>
        </is>
      </c>
      <c r="K1544" s="12" t="inlineStr">
        <is>
          <t>Maya Chen, Owner Project Controls</t>
        </is>
      </c>
      <c r="L1544" s="12" t="inlineStr"/>
      <c r="M1544" s="12" t="inlineStr"/>
      <c r="N1544" s="17" t="inlineStr">
        <is>
          <t>10 EVIDENCE &amp; DECISIONS</t>
        </is>
      </c>
    </row>
    <row r="1545" ht="34" customHeight="1">
      <c r="A1545" s="12" t="inlineStr">
        <is>
          <t>Contractor Programme</t>
        </is>
      </c>
      <c r="B1545" s="12" t="inlineStr">
        <is>
          <t>SCH-06-178</t>
        </is>
      </c>
      <c r="C1545" s="12" t="inlineStr">
        <is>
          <t>Program office: design-package integration review - turnover</t>
        </is>
      </c>
      <c r="D1545" s="12" t="inlineStr"/>
      <c r="E1545" s="12" t="inlineStr">
        <is>
          <t>R1078-v2</t>
        </is>
      </c>
      <c r="F1545" s="12" t="inlineStr">
        <is>
          <t>UNSURE</t>
        </is>
      </c>
      <c r="G1545" s="12" t="inlineStr">
        <is>
          <t>UNSURE</t>
        </is>
      </c>
      <c r="H1545" s="12" t="inlineStr">
        <is>
          <t>APPROVED</t>
        </is>
      </c>
      <c r="I1545" s="12" t="inlineStr">
        <is>
          <t>New</t>
        </is>
      </c>
      <c r="J1545" s="12" t="inlineStr">
        <is>
          <t>Professional decision</t>
        </is>
      </c>
      <c r="K1545" s="12" t="inlineStr">
        <is>
          <t>Maya Chen, Owner Project Controls</t>
        </is>
      </c>
      <c r="L1545" s="12" t="inlineStr"/>
      <c r="M1545" s="12" t="inlineStr"/>
      <c r="N1545" s="17" t="inlineStr">
        <is>
          <t>10 EVIDENCE &amp; DECISIONS</t>
        </is>
      </c>
    </row>
    <row r="1546" ht="34" customHeight="1">
      <c r="A1546" s="12" t="inlineStr">
        <is>
          <t>Contractor Programme</t>
        </is>
      </c>
      <c r="B1546" s="12" t="inlineStr">
        <is>
          <t>SCH-06-179</t>
        </is>
      </c>
      <c r="C1546" s="12" t="inlineStr">
        <is>
          <t>Civil package: executive reporting close - release</t>
        </is>
      </c>
      <c r="D1546" s="12" t="inlineStr"/>
      <c r="E1546" s="12" t="inlineStr">
        <is>
          <t>R1079-v2</t>
        </is>
      </c>
      <c r="F1546" s="12" t="inlineStr">
        <is>
          <t>UNSURE</t>
        </is>
      </c>
      <c r="G1546" s="12" t="inlineStr">
        <is>
          <t>UNSURE</t>
        </is>
      </c>
      <c r="H1546" s="12" t="inlineStr">
        <is>
          <t>APPROVED</t>
        </is>
      </c>
      <c r="I1546" s="12" t="inlineStr">
        <is>
          <t>New</t>
        </is>
      </c>
      <c r="J1546" s="12" t="inlineStr">
        <is>
          <t>Professional decision</t>
        </is>
      </c>
      <c r="K1546" s="12" t="inlineStr">
        <is>
          <t>Maya Chen, Owner Project Controls</t>
        </is>
      </c>
      <c r="L1546" s="12" t="inlineStr"/>
      <c r="M1546" s="12" t="inlineStr"/>
      <c r="N1546" s="17" t="inlineStr">
        <is>
          <t>10 EVIDENCE &amp; DECISIONS</t>
        </is>
      </c>
    </row>
    <row r="1547" ht="34" customHeight="1">
      <c r="A1547" s="12" t="inlineStr">
        <is>
          <t>Contractor Programme</t>
        </is>
      </c>
      <c r="B1547" s="12" t="inlineStr">
        <is>
          <t>SCH-06-180</t>
        </is>
      </c>
      <c r="C1547" s="12" t="inlineStr">
        <is>
          <t>Stations package: permit coordination - field start</t>
        </is>
      </c>
      <c r="D1547" s="12" t="inlineStr"/>
      <c r="E1547" s="12" t="inlineStr">
        <is>
          <t>R1080-v2</t>
        </is>
      </c>
      <c r="F1547" s="12" t="inlineStr">
        <is>
          <t>UNSURE</t>
        </is>
      </c>
      <c r="G1547" s="12" t="inlineStr">
        <is>
          <t>UNSURE</t>
        </is>
      </c>
      <c r="H1547" s="12" t="inlineStr">
        <is>
          <t>APPROVED</t>
        </is>
      </c>
      <c r="I1547" s="12" t="inlineStr">
        <is>
          <t>New</t>
        </is>
      </c>
      <c r="J1547" s="12" t="inlineStr">
        <is>
          <t>Professional decision</t>
        </is>
      </c>
      <c r="K1547" s="12" t="inlineStr">
        <is>
          <t>Maya Chen, Owner Project Controls</t>
        </is>
      </c>
      <c r="L1547" s="12" t="inlineStr"/>
      <c r="M1547" s="12" t="inlineStr"/>
      <c r="N1547" s="17" t="inlineStr">
        <is>
          <t>10 EVIDENCE &amp; DECISIONS</t>
        </is>
      </c>
    </row>
    <row r="1548" ht="34" customHeight="1">
      <c r="A1548" s="12" t="inlineStr">
        <is>
          <t>Cost &amp; Forecast Control Accounts</t>
        </is>
      </c>
      <c r="B1548" s="12" t="inlineStr">
        <is>
          <t>CST-03-004</t>
        </is>
      </c>
      <c r="C1548" s="12" t="inlineStr">
        <is>
          <t>Systems - systems integration - professional services</t>
        </is>
      </c>
      <c r="D1548" s="12" t="inlineStr">
        <is>
          <t>Cost Account = CA-3004</t>
        </is>
      </c>
      <c r="E1548" s="12" t="inlineStr">
        <is>
          <t>R1246-v2</t>
        </is>
      </c>
      <c r="F1548" s="12" t="inlineStr">
        <is>
          <t>UNSURE</t>
        </is>
      </c>
      <c r="G1548" s="12" t="inlineStr">
        <is>
          <t>UNSURE</t>
        </is>
      </c>
      <c r="H1548" s="12" t="inlineStr">
        <is>
          <t>APPROVED</t>
        </is>
      </c>
      <c r="I1548" s="12" t="inlineStr">
        <is>
          <t>New</t>
        </is>
      </c>
      <c r="J1548" s="12" t="inlineStr">
        <is>
          <t>Professional decision</t>
        </is>
      </c>
      <c r="K1548" s="12" t="inlineStr">
        <is>
          <t>Maya Chen, Owner Project Controls</t>
        </is>
      </c>
      <c r="L1548" s="12" t="inlineStr"/>
      <c r="M1548" s="12" t="inlineStr"/>
      <c r="N1548" s="17" t="inlineStr">
        <is>
          <t>10 EVIDENCE &amp; DECISIONS</t>
        </is>
      </c>
      <c r="O1548" s="105" t="n">
        <v>560000</v>
      </c>
      <c r="P1548" s="105" t="n">
        <v>547500</v>
      </c>
      <c r="Q1548" s="105" t="inlineStr">
        <is>
          <t>CAD</t>
        </is>
      </c>
      <c r="R1548" s="105" t="n"/>
      <c r="S1548" s="105" t="inlineStr">
        <is>
          <t>2027-06-30</t>
        </is>
      </c>
      <c r="T1548" s="105" t="inlineStr">
        <is>
          <t>C1-R0</t>
        </is>
      </c>
      <c r="U1548" s="105" t="inlineStr">
        <is>
          <t>Supplied practice file monthly_cost_forecast.xlsx, row 165</t>
        </is>
      </c>
      <c r="V1548" s="105" t="inlineStr">
        <is>
          <t>Whole source account, not a target allocation. Repeated target rows must not be summed. Aggregate cost / forecast remains withheld.</t>
        </is>
      </c>
    </row>
    <row r="1549" ht="34" customHeight="1">
      <c r="A1549" s="12" t="inlineStr">
        <is>
          <t>Cost &amp; Forecast Control Accounts</t>
        </is>
      </c>
      <c r="B1549" s="12" t="inlineStr">
        <is>
          <t>CST-05-001</t>
        </is>
      </c>
      <c r="C1549" s="12" t="inlineStr">
        <is>
          <t>Testing &amp; readiness - trial running - control account</t>
        </is>
      </c>
      <c r="D1549" s="12" t="inlineStr">
        <is>
          <t>Cost Account = CA-5001</t>
        </is>
      </c>
      <c r="E1549" s="12" t="inlineStr">
        <is>
          <t>R1403-v2</t>
        </is>
      </c>
      <c r="F1549" s="12" t="inlineStr">
        <is>
          <t>UNSURE</t>
        </is>
      </c>
      <c r="G1549" s="12" t="inlineStr">
        <is>
          <t>UNSURE</t>
        </is>
      </c>
      <c r="H1549" s="12" t="inlineStr">
        <is>
          <t>APPROVED</t>
        </is>
      </c>
      <c r="I1549" s="12" t="inlineStr">
        <is>
          <t>New</t>
        </is>
      </c>
      <c r="J1549" s="12" t="inlineStr">
        <is>
          <t>Professional decision</t>
        </is>
      </c>
      <c r="K1549" s="12" t="inlineStr">
        <is>
          <t>Maya Chen, Owner Project Controls</t>
        </is>
      </c>
      <c r="L1549" s="12" t="inlineStr"/>
      <c r="M1549" s="12" t="inlineStr"/>
      <c r="N1549" s="17" t="inlineStr">
        <is>
          <t>10 EVIDENCE &amp; DECISIONS</t>
        </is>
      </c>
      <c r="O1549" s="105" t="n">
        <v>667500</v>
      </c>
      <c r="P1549" s="105" t="n">
        <v>667500</v>
      </c>
      <c r="Q1549" s="105" t="inlineStr">
        <is>
          <t>CAD</t>
        </is>
      </c>
      <c r="R1549" s="105" t="n"/>
      <c r="S1549" s="105" t="inlineStr">
        <is>
          <t>2027-06-30</t>
        </is>
      </c>
      <c r="T1549" s="105" t="inlineStr">
        <is>
          <t>C1-R0</t>
        </is>
      </c>
      <c r="U1549" s="105" t="inlineStr">
        <is>
          <t>Supplied practice file monthly_cost_forecast.xlsx, row 322</t>
        </is>
      </c>
      <c r="V1549" s="105" t="inlineStr">
        <is>
          <t>Whole source account, not a target allocation. Repeated target rows must not be summed. Aggregate cost / forecast remains withheld.</t>
        </is>
      </c>
    </row>
    <row r="1550" ht="34" customHeight="1">
      <c r="A1550" s="12" t="inlineStr">
        <is>
          <t>Cost &amp; Forecast Control Accounts</t>
        </is>
      </c>
      <c r="B1550" s="12" t="inlineStr">
        <is>
          <t>CST-05-002</t>
        </is>
      </c>
      <c r="C1550" s="12" t="inlineStr">
        <is>
          <t>Testing &amp; readiness - safety certification - control account</t>
        </is>
      </c>
      <c r="D1550" s="12" t="inlineStr">
        <is>
          <t>Cost Account = CA-5002</t>
        </is>
      </c>
      <c r="E1550" s="12" t="inlineStr">
        <is>
          <t>R1404-v2</t>
        </is>
      </c>
      <c r="F1550" s="12" t="inlineStr">
        <is>
          <t>UNSURE</t>
        </is>
      </c>
      <c r="G1550" s="12" t="inlineStr">
        <is>
          <t>UNSURE</t>
        </is>
      </c>
      <c r="H1550" s="12" t="inlineStr">
        <is>
          <t>APPROVED</t>
        </is>
      </c>
      <c r="I1550" s="12" t="inlineStr">
        <is>
          <t>New</t>
        </is>
      </c>
      <c r="J1550" s="12" t="inlineStr">
        <is>
          <t>Professional decision</t>
        </is>
      </c>
      <c r="K1550" s="12" t="inlineStr">
        <is>
          <t>Maya Chen, Owner Project Controls</t>
        </is>
      </c>
      <c r="L1550" s="12" t="inlineStr"/>
      <c r="M1550" s="12" t="inlineStr"/>
      <c r="N1550" s="17" t="inlineStr">
        <is>
          <t>10 EVIDENCE &amp; DECISIONS</t>
        </is>
      </c>
      <c r="O1550" s="105" t="n">
        <v>685000</v>
      </c>
      <c r="P1550" s="105" t="n">
        <v>697500</v>
      </c>
      <c r="Q1550" s="105" t="inlineStr">
        <is>
          <t>CAD</t>
        </is>
      </c>
      <c r="R1550" s="105" t="n"/>
      <c r="S1550" s="105" t="inlineStr">
        <is>
          <t>2027-06-30</t>
        </is>
      </c>
      <c r="T1550" s="105" t="inlineStr">
        <is>
          <t>C1-R0</t>
        </is>
      </c>
      <c r="U1550" s="105" t="inlineStr">
        <is>
          <t>Supplied practice file monthly_cost_forecast.xlsx, row 323</t>
        </is>
      </c>
      <c r="V1550" s="105" t="inlineStr">
        <is>
          <t>Whole source account, not a target allocation. Repeated target rows must not be summed. Aggregate cost / forecast remains withheld.</t>
        </is>
      </c>
    </row>
    <row r="1551" ht="34" customHeight="1">
      <c r="A1551" s="12" t="inlineStr">
        <is>
          <t>Cost &amp; Forecast Control Accounts</t>
        </is>
      </c>
      <c r="B1551" s="12" t="inlineStr">
        <is>
          <t>CST-05-003</t>
        </is>
      </c>
      <c r="C1551" s="12" t="inlineStr">
        <is>
          <t>Testing &amp; readiness - defect closeout - control account</t>
        </is>
      </c>
      <c r="D1551" s="12" t="inlineStr">
        <is>
          <t>Cost Account = CA-5003</t>
        </is>
      </c>
      <c r="E1551" s="12" t="inlineStr">
        <is>
          <t>R1405-v2</t>
        </is>
      </c>
      <c r="F1551" s="12" t="inlineStr">
        <is>
          <t>UNSURE</t>
        </is>
      </c>
      <c r="G1551" s="12" t="inlineStr">
        <is>
          <t>UNSURE</t>
        </is>
      </c>
      <c r="H1551" s="12" t="inlineStr">
        <is>
          <t>APPROVED</t>
        </is>
      </c>
      <c r="I1551" s="12" t="inlineStr">
        <is>
          <t>New</t>
        </is>
      </c>
      <c r="J1551" s="12" t="inlineStr">
        <is>
          <t>Professional decision</t>
        </is>
      </c>
      <c r="K1551" s="12" t="inlineStr">
        <is>
          <t>Maya Chen, Owner Project Controls</t>
        </is>
      </c>
      <c r="L1551" s="12" t="inlineStr"/>
      <c r="M1551" s="12" t="inlineStr"/>
      <c r="N1551" s="17" t="inlineStr">
        <is>
          <t>10 EVIDENCE &amp; DECISIONS</t>
        </is>
      </c>
      <c r="O1551" s="105" t="n">
        <v>702500</v>
      </c>
      <c r="P1551" s="105" t="n">
        <v>727500</v>
      </c>
      <c r="Q1551" s="105" t="inlineStr">
        <is>
          <t>CAD</t>
        </is>
      </c>
      <c r="R1551" s="105" t="n"/>
      <c r="S1551" s="105" t="inlineStr">
        <is>
          <t>2027-06-30</t>
        </is>
      </c>
      <c r="T1551" s="105" t="inlineStr">
        <is>
          <t>C1-R0</t>
        </is>
      </c>
      <c r="U1551" s="105" t="inlineStr">
        <is>
          <t>Supplied practice file monthly_cost_forecast.xlsx, row 324</t>
        </is>
      </c>
      <c r="V1551" s="105" t="inlineStr">
        <is>
          <t>Whole source account, not a target allocation. Repeated target rows must not be summed. Aggregate cost / forecast remains withheld.</t>
        </is>
      </c>
    </row>
    <row r="1552" ht="34" customHeight="1">
      <c r="A1552" s="12" t="inlineStr">
        <is>
          <t>Cost &amp; Forecast Control Accounts</t>
        </is>
      </c>
      <c r="B1552" s="12" t="inlineStr">
        <is>
          <t>CST-05-004</t>
        </is>
      </c>
      <c r="C1552" s="12" t="inlineStr">
        <is>
          <t>Testing &amp; readiness - test management - control account</t>
        </is>
      </c>
      <c r="D1552" s="12" t="inlineStr">
        <is>
          <t>Cost Account = CA-5004</t>
        </is>
      </c>
      <c r="E1552" s="12" t="inlineStr">
        <is>
          <t>R1406-v2</t>
        </is>
      </c>
      <c r="F1552" s="12" t="inlineStr">
        <is>
          <t>UNSURE</t>
        </is>
      </c>
      <c r="G1552" s="12" t="inlineStr">
        <is>
          <t>UNSURE</t>
        </is>
      </c>
      <c r="H1552" s="12" t="inlineStr">
        <is>
          <t>APPROVED</t>
        </is>
      </c>
      <c r="I1552" s="12" t="inlineStr">
        <is>
          <t>New</t>
        </is>
      </c>
      <c r="J1552" s="12" t="inlineStr">
        <is>
          <t>Professional decision</t>
        </is>
      </c>
      <c r="K1552" s="12" t="inlineStr">
        <is>
          <t>Maya Chen, Owner Project Controls</t>
        </is>
      </c>
      <c r="L1552" s="12" t="inlineStr"/>
      <c r="M1552" s="12" t="inlineStr"/>
      <c r="N1552" s="17" t="inlineStr">
        <is>
          <t>10 EVIDENCE &amp; DECISIONS</t>
        </is>
      </c>
      <c r="O1552" s="105" t="n">
        <v>720000</v>
      </c>
      <c r="P1552" s="105" t="n">
        <v>707500</v>
      </c>
      <c r="Q1552" s="105" t="inlineStr">
        <is>
          <t>CAD</t>
        </is>
      </c>
      <c r="R1552" s="105" t="n"/>
      <c r="S1552" s="105" t="inlineStr">
        <is>
          <t>2027-06-30</t>
        </is>
      </c>
      <c r="T1552" s="105" t="inlineStr">
        <is>
          <t>C1-R0</t>
        </is>
      </c>
      <c r="U1552" s="105" t="inlineStr">
        <is>
          <t>Supplied practice file monthly_cost_forecast.xlsx, row 325</t>
        </is>
      </c>
      <c r="V1552" s="105" t="inlineStr">
        <is>
          <t>Whole source account, not a target allocation. Repeated target rows must not be summed. Aggregate cost / forecast remains withheld.</t>
        </is>
      </c>
    </row>
    <row r="1553" ht="34" customHeight="1">
      <c r="A1553" s="12" t="inlineStr">
        <is>
          <t>Cost &amp; Forecast Control Accounts</t>
        </is>
      </c>
      <c r="B1553" s="12" t="inlineStr">
        <is>
          <t>CST-05-005</t>
        </is>
      </c>
      <c r="C1553" s="12" t="inlineStr">
        <is>
          <t>Testing &amp; readiness - trial running - control account</t>
        </is>
      </c>
      <c r="D1553" s="12" t="inlineStr">
        <is>
          <t>Cost Account = CA-5005</t>
        </is>
      </c>
      <c r="E1553" s="12" t="inlineStr">
        <is>
          <t>R1407-v2</t>
        </is>
      </c>
      <c r="F1553" s="12" t="inlineStr">
        <is>
          <t>UNSURE</t>
        </is>
      </c>
      <c r="G1553" s="12" t="inlineStr">
        <is>
          <t>UNSURE</t>
        </is>
      </c>
      <c r="H1553" s="12" t="inlineStr">
        <is>
          <t>APPROVED</t>
        </is>
      </c>
      <c r="I1553" s="12" t="inlineStr">
        <is>
          <t>New</t>
        </is>
      </c>
      <c r="J1553" s="12" t="inlineStr">
        <is>
          <t>Professional decision</t>
        </is>
      </c>
      <c r="K1553" s="12" t="inlineStr">
        <is>
          <t>Maya Chen, Owner Project Controls</t>
        </is>
      </c>
      <c r="L1553" s="12" t="inlineStr"/>
      <c r="M1553" s="12" t="inlineStr"/>
      <c r="N1553" s="17" t="inlineStr">
        <is>
          <t>10 EVIDENCE &amp; DECISIONS</t>
        </is>
      </c>
      <c r="O1553" s="105" t="n">
        <v>737500</v>
      </c>
      <c r="P1553" s="105" t="n">
        <v>737500</v>
      </c>
      <c r="Q1553" s="105" t="inlineStr">
        <is>
          <t>CAD</t>
        </is>
      </c>
      <c r="R1553" s="105" t="n"/>
      <c r="S1553" s="105" t="inlineStr">
        <is>
          <t>2027-06-30</t>
        </is>
      </c>
      <c r="T1553" s="105" t="inlineStr">
        <is>
          <t>C1-R0</t>
        </is>
      </c>
      <c r="U1553" s="105" t="inlineStr">
        <is>
          <t>Supplied practice file monthly_cost_forecast.xlsx, row 326</t>
        </is>
      </c>
      <c r="V1553" s="105" t="inlineStr">
        <is>
          <t>Whole source account, not a target allocation. Repeated target rows must not be summed. Aggregate cost / forecast remains withheld.</t>
        </is>
      </c>
    </row>
    <row r="1554" ht="34" customHeight="1">
      <c r="A1554" s="12" t="inlineStr">
        <is>
          <t>Cost &amp; Forecast Control Accounts</t>
        </is>
      </c>
      <c r="B1554" s="12" t="inlineStr">
        <is>
          <t>CST-05-006</t>
        </is>
      </c>
      <c r="C1554" s="12" t="inlineStr">
        <is>
          <t>Testing &amp; readiness - safety certification - control account</t>
        </is>
      </c>
      <c r="D1554" s="12" t="inlineStr">
        <is>
          <t>Cost Account = CA-5006</t>
        </is>
      </c>
      <c r="E1554" s="12" t="inlineStr">
        <is>
          <t>R1408-v2</t>
        </is>
      </c>
      <c r="F1554" s="12" t="inlineStr">
        <is>
          <t>UNSURE</t>
        </is>
      </c>
      <c r="G1554" s="12" t="inlineStr">
        <is>
          <t>UNSURE</t>
        </is>
      </c>
      <c r="H1554" s="12" t="inlineStr">
        <is>
          <t>APPROVED</t>
        </is>
      </c>
      <c r="I1554" s="12" t="inlineStr">
        <is>
          <t>New</t>
        </is>
      </c>
      <c r="J1554" s="12" t="inlineStr">
        <is>
          <t>Professional decision</t>
        </is>
      </c>
      <c r="K1554" s="12" t="inlineStr">
        <is>
          <t>Maya Chen, Owner Project Controls</t>
        </is>
      </c>
      <c r="L1554" s="12" t="inlineStr"/>
      <c r="M1554" s="12" t="inlineStr"/>
      <c r="N1554" s="17" t="inlineStr">
        <is>
          <t>10 EVIDENCE &amp; DECISIONS</t>
        </is>
      </c>
      <c r="O1554" s="105" t="n">
        <v>755000</v>
      </c>
      <c r="P1554" s="105" t="n">
        <v>767500</v>
      </c>
      <c r="Q1554" s="105" t="inlineStr">
        <is>
          <t>CAD</t>
        </is>
      </c>
      <c r="R1554" s="105" t="n"/>
      <c r="S1554" s="105" t="inlineStr">
        <is>
          <t>2027-06-30</t>
        </is>
      </c>
      <c r="T1554" s="105" t="inlineStr">
        <is>
          <t>C1-R0</t>
        </is>
      </c>
      <c r="U1554" s="105" t="inlineStr">
        <is>
          <t>Supplied practice file monthly_cost_forecast.xlsx, row 327</t>
        </is>
      </c>
      <c r="V1554" s="105" t="inlineStr">
        <is>
          <t>Whole source account, not a target allocation. Repeated target rows must not be summed. Aggregate cost / forecast remains withheld.</t>
        </is>
      </c>
    </row>
    <row r="1555" ht="34" customHeight="1">
      <c r="A1555" s="12" t="inlineStr">
        <is>
          <t>Cost &amp; Forecast Control Accounts</t>
        </is>
      </c>
      <c r="B1555" s="12" t="inlineStr">
        <is>
          <t>CST-05-007</t>
        </is>
      </c>
      <c r="C1555" s="12" t="inlineStr">
        <is>
          <t>Testing &amp; readiness - defect closeout - control account</t>
        </is>
      </c>
      <c r="D1555" s="12" t="inlineStr">
        <is>
          <t>Cost Account = CA-5007</t>
        </is>
      </c>
      <c r="E1555" s="12" t="inlineStr">
        <is>
          <t>R1409-v2</t>
        </is>
      </c>
      <c r="F1555" s="12" t="inlineStr">
        <is>
          <t>UNSURE</t>
        </is>
      </c>
      <c r="G1555" s="12" t="inlineStr">
        <is>
          <t>UNSURE</t>
        </is>
      </c>
      <c r="H1555" s="12" t="inlineStr">
        <is>
          <t>APPROVED</t>
        </is>
      </c>
      <c r="I1555" s="12" t="inlineStr">
        <is>
          <t>New</t>
        </is>
      </c>
      <c r="J1555" s="12" t="inlineStr">
        <is>
          <t>Professional decision</t>
        </is>
      </c>
      <c r="K1555" s="12" t="inlineStr">
        <is>
          <t>Maya Chen, Owner Project Controls</t>
        </is>
      </c>
      <c r="L1555" s="12" t="inlineStr"/>
      <c r="M1555" s="12" t="inlineStr"/>
      <c r="N1555" s="17" t="inlineStr">
        <is>
          <t>10 EVIDENCE &amp; DECISIONS</t>
        </is>
      </c>
      <c r="O1555" s="105" t="n">
        <v>772500</v>
      </c>
      <c r="P1555" s="105" t="n">
        <v>797500</v>
      </c>
      <c r="Q1555" s="105" t="inlineStr">
        <is>
          <t>CAD</t>
        </is>
      </c>
      <c r="R1555" s="105" t="n"/>
      <c r="S1555" s="105" t="inlineStr">
        <is>
          <t>2027-06-30</t>
        </is>
      </c>
      <c r="T1555" s="105" t="inlineStr">
        <is>
          <t>C1-R0</t>
        </is>
      </c>
      <c r="U1555" s="105" t="inlineStr">
        <is>
          <t>Supplied practice file monthly_cost_forecast.xlsx, row 328</t>
        </is>
      </c>
      <c r="V1555" s="105" t="inlineStr">
        <is>
          <t>Whole source account, not a target allocation. Repeated target rows must not be summed. Aggregate cost / forecast remains withheld.</t>
        </is>
      </c>
    </row>
    <row r="1556" ht="34" customHeight="1">
      <c r="A1556" s="12" t="inlineStr">
        <is>
          <t>Cost &amp; Forecast Control Accounts</t>
        </is>
      </c>
      <c r="B1556" s="12" t="inlineStr">
        <is>
          <t>CST-05-008</t>
        </is>
      </c>
      <c r="C1556" s="12" t="inlineStr">
        <is>
          <t>Testing &amp; readiness - test management - control account</t>
        </is>
      </c>
      <c r="D1556" s="12" t="inlineStr">
        <is>
          <t>Cost Account = CA-5008</t>
        </is>
      </c>
      <c r="E1556" s="12" t="inlineStr">
        <is>
          <t>R1410-v2</t>
        </is>
      </c>
      <c r="F1556" s="12" t="inlineStr">
        <is>
          <t>UNSURE</t>
        </is>
      </c>
      <c r="G1556" s="12" t="inlineStr">
        <is>
          <t>UNSURE</t>
        </is>
      </c>
      <c r="H1556" s="12" t="inlineStr">
        <is>
          <t>APPROVED</t>
        </is>
      </c>
      <c r="I1556" s="12" t="inlineStr">
        <is>
          <t>New</t>
        </is>
      </c>
      <c r="J1556" s="12" t="inlineStr">
        <is>
          <t>Professional decision</t>
        </is>
      </c>
      <c r="K1556" s="12" t="inlineStr">
        <is>
          <t>Maya Chen, Owner Project Controls</t>
        </is>
      </c>
      <c r="L1556" s="12" t="inlineStr"/>
      <c r="M1556" s="12" t="inlineStr"/>
      <c r="N1556" s="17" t="inlineStr">
        <is>
          <t>10 EVIDENCE &amp; DECISIONS</t>
        </is>
      </c>
      <c r="O1556" s="105" t="n">
        <v>790000</v>
      </c>
      <c r="P1556" s="105" t="n">
        <v>777500</v>
      </c>
      <c r="Q1556" s="105" t="inlineStr">
        <is>
          <t>CAD</t>
        </is>
      </c>
      <c r="R1556" s="105" t="n"/>
      <c r="S1556" s="105" t="inlineStr">
        <is>
          <t>2027-06-30</t>
        </is>
      </c>
      <c r="T1556" s="105" t="inlineStr">
        <is>
          <t>C1-R0</t>
        </is>
      </c>
      <c r="U1556" s="105" t="inlineStr">
        <is>
          <t>Supplied practice file monthly_cost_forecast.xlsx, row 329</t>
        </is>
      </c>
      <c r="V1556" s="105" t="inlineStr">
        <is>
          <t>Whole source account, not a target allocation. Repeated target rows must not be summed. Aggregate cost / forecast remains withheld.</t>
        </is>
      </c>
    </row>
    <row r="1557" ht="34" customHeight="1">
      <c r="A1557" s="12" t="inlineStr">
        <is>
          <t>Cost &amp; Forecast Control Accounts</t>
        </is>
      </c>
      <c r="B1557" s="12" t="inlineStr">
        <is>
          <t>CST-05-009</t>
        </is>
      </c>
      <c r="C1557" s="12" t="inlineStr">
        <is>
          <t>Testing &amp; readiness - trial running - control account</t>
        </is>
      </c>
      <c r="D1557" s="12" t="inlineStr">
        <is>
          <t>Cost Account = CA-5009</t>
        </is>
      </c>
      <c r="E1557" s="12" t="inlineStr">
        <is>
          <t>R1411-v2</t>
        </is>
      </c>
      <c r="F1557" s="12" t="inlineStr">
        <is>
          <t>UNSURE</t>
        </is>
      </c>
      <c r="G1557" s="12" t="inlineStr">
        <is>
          <t>UNSURE</t>
        </is>
      </c>
      <c r="H1557" s="12" t="inlineStr">
        <is>
          <t>APPROVED</t>
        </is>
      </c>
      <c r="I1557" s="12" t="inlineStr">
        <is>
          <t>New</t>
        </is>
      </c>
      <c r="J1557" s="12" t="inlineStr">
        <is>
          <t>Professional decision</t>
        </is>
      </c>
      <c r="K1557" s="12" t="inlineStr">
        <is>
          <t>Maya Chen, Owner Project Controls</t>
        </is>
      </c>
      <c r="L1557" s="12" t="inlineStr"/>
      <c r="M1557" s="12" t="inlineStr"/>
      <c r="N1557" s="17" t="inlineStr">
        <is>
          <t>10 EVIDENCE &amp; DECISIONS</t>
        </is>
      </c>
      <c r="O1557" s="105" t="n">
        <v>807500</v>
      </c>
      <c r="P1557" s="105" t="n">
        <v>807500</v>
      </c>
      <c r="Q1557" s="105" t="inlineStr">
        <is>
          <t>CAD</t>
        </is>
      </c>
      <c r="R1557" s="105" t="n"/>
      <c r="S1557" s="105" t="inlineStr">
        <is>
          <t>2027-06-30</t>
        </is>
      </c>
      <c r="T1557" s="105" t="inlineStr">
        <is>
          <t>C1-R0</t>
        </is>
      </c>
      <c r="U1557" s="105" t="inlineStr">
        <is>
          <t>Supplied practice file monthly_cost_forecast.xlsx, row 330</t>
        </is>
      </c>
      <c r="V1557" s="105" t="inlineStr">
        <is>
          <t>Whole source account, not a target allocation. Repeated target rows must not be summed. Aggregate cost / forecast remains withheld.</t>
        </is>
      </c>
    </row>
    <row r="1558" ht="34" customHeight="1">
      <c r="A1558" s="12" t="inlineStr">
        <is>
          <t>Cost &amp; Forecast Control Accounts</t>
        </is>
      </c>
      <c r="B1558" s="12" t="inlineStr">
        <is>
          <t>CST-05-010</t>
        </is>
      </c>
      <c r="C1558" s="12" t="inlineStr">
        <is>
          <t>Testing &amp; readiness - safety certification - control account</t>
        </is>
      </c>
      <c r="D1558" s="12" t="inlineStr">
        <is>
          <t>Cost Account = CA-5010</t>
        </is>
      </c>
      <c r="E1558" s="12" t="inlineStr">
        <is>
          <t>R1412-v2</t>
        </is>
      </c>
      <c r="F1558" s="12" t="inlineStr">
        <is>
          <t>UNSURE</t>
        </is>
      </c>
      <c r="G1558" s="12" t="inlineStr">
        <is>
          <t>UNSURE</t>
        </is>
      </c>
      <c r="H1558" s="12" t="inlineStr">
        <is>
          <t>APPROVED</t>
        </is>
      </c>
      <c r="I1558" s="12" t="inlineStr">
        <is>
          <t>New</t>
        </is>
      </c>
      <c r="J1558" s="12" t="inlineStr">
        <is>
          <t>Professional decision</t>
        </is>
      </c>
      <c r="K1558" s="12" t="inlineStr">
        <is>
          <t>Maya Chen, Owner Project Controls</t>
        </is>
      </c>
      <c r="L1558" s="12" t="inlineStr"/>
      <c r="M1558" s="12" t="inlineStr"/>
      <c r="N1558" s="17" t="inlineStr">
        <is>
          <t>10 EVIDENCE &amp; DECISIONS</t>
        </is>
      </c>
      <c r="O1558" s="105" t="n">
        <v>825000</v>
      </c>
      <c r="P1558" s="105" t="n">
        <v>837500</v>
      </c>
      <c r="Q1558" s="105" t="inlineStr">
        <is>
          <t>CAD</t>
        </is>
      </c>
      <c r="R1558" s="105" t="n"/>
      <c r="S1558" s="105" t="inlineStr">
        <is>
          <t>2027-06-30</t>
        </is>
      </c>
      <c r="T1558" s="105" t="inlineStr">
        <is>
          <t>C1-R0</t>
        </is>
      </c>
      <c r="U1558" s="105" t="inlineStr">
        <is>
          <t>Supplied practice file monthly_cost_forecast.xlsx, row 331</t>
        </is>
      </c>
      <c r="V1558" s="105" t="inlineStr">
        <is>
          <t>Whole source account, not a target allocation. Repeated target rows must not be summed. Aggregate cost / forecast remains withheld.</t>
        </is>
      </c>
    </row>
    <row r="1559" ht="34" customHeight="1">
      <c r="A1559" s="12" t="inlineStr">
        <is>
          <t>Cost &amp; Forecast Control Accounts</t>
        </is>
      </c>
      <c r="B1559" s="12" t="inlineStr">
        <is>
          <t>CST-05-011</t>
        </is>
      </c>
      <c r="C1559" s="12" t="inlineStr">
        <is>
          <t>Testing &amp; readiness - defect closeout - control account</t>
        </is>
      </c>
      <c r="D1559" s="12" t="inlineStr">
        <is>
          <t>Cost Account = CA-5011</t>
        </is>
      </c>
      <c r="E1559" s="12" t="inlineStr">
        <is>
          <t>R1413-v2</t>
        </is>
      </c>
      <c r="F1559" s="12" t="inlineStr">
        <is>
          <t>UNSURE</t>
        </is>
      </c>
      <c r="G1559" s="12" t="inlineStr">
        <is>
          <t>UNSURE</t>
        </is>
      </c>
      <c r="H1559" s="12" t="inlineStr">
        <is>
          <t>APPROVED</t>
        </is>
      </c>
      <c r="I1559" s="12" t="inlineStr">
        <is>
          <t>New</t>
        </is>
      </c>
      <c r="J1559" s="12" t="inlineStr">
        <is>
          <t>Professional decision</t>
        </is>
      </c>
      <c r="K1559" s="12" t="inlineStr">
        <is>
          <t>Maya Chen, Owner Project Controls</t>
        </is>
      </c>
      <c r="L1559" s="12" t="inlineStr"/>
      <c r="M1559" s="12" t="inlineStr"/>
      <c r="N1559" s="17" t="inlineStr">
        <is>
          <t>10 EVIDENCE &amp; DECISIONS</t>
        </is>
      </c>
      <c r="O1559" s="105" t="n">
        <v>842500</v>
      </c>
      <c r="P1559" s="105" t="n">
        <v>867500</v>
      </c>
      <c r="Q1559" s="105" t="inlineStr">
        <is>
          <t>CAD</t>
        </is>
      </c>
      <c r="R1559" s="105" t="n"/>
      <c r="S1559" s="105" t="inlineStr">
        <is>
          <t>2027-06-30</t>
        </is>
      </c>
      <c r="T1559" s="105" t="inlineStr">
        <is>
          <t>C1-R0</t>
        </is>
      </c>
      <c r="U1559" s="105" t="inlineStr">
        <is>
          <t>Supplied practice file monthly_cost_forecast.xlsx, row 332</t>
        </is>
      </c>
      <c r="V1559" s="105" t="inlineStr">
        <is>
          <t>Whole source account, not a target allocation. Repeated target rows must not be summed. Aggregate cost / forecast remains withheld.</t>
        </is>
      </c>
    </row>
    <row r="1560" ht="34" customHeight="1">
      <c r="A1560" s="12" t="inlineStr">
        <is>
          <t>Cost &amp; Forecast Control Accounts</t>
        </is>
      </c>
      <c r="B1560" s="12" t="inlineStr">
        <is>
          <t>CST-05-012</t>
        </is>
      </c>
      <c r="C1560" s="12" t="inlineStr">
        <is>
          <t>Testing &amp; readiness - test management - control account</t>
        </is>
      </c>
      <c r="D1560" s="12" t="inlineStr">
        <is>
          <t>Cost Account = CA-5012</t>
        </is>
      </c>
      <c r="E1560" s="12" t="inlineStr">
        <is>
          <t>R1414-v2</t>
        </is>
      </c>
      <c r="F1560" s="12" t="inlineStr">
        <is>
          <t>UNSURE</t>
        </is>
      </c>
      <c r="G1560" s="12" t="inlineStr">
        <is>
          <t>UNSURE</t>
        </is>
      </c>
      <c r="H1560" s="12" t="inlineStr">
        <is>
          <t>APPROVED</t>
        </is>
      </c>
      <c r="I1560" s="12" t="inlineStr">
        <is>
          <t>New</t>
        </is>
      </c>
      <c r="J1560" s="12" t="inlineStr">
        <is>
          <t>Professional decision</t>
        </is>
      </c>
      <c r="K1560" s="12" t="inlineStr">
        <is>
          <t>Maya Chen, Owner Project Controls</t>
        </is>
      </c>
      <c r="L1560" s="12" t="inlineStr"/>
      <c r="M1560" s="12" t="inlineStr"/>
      <c r="N1560" s="17" t="inlineStr">
        <is>
          <t>10 EVIDENCE &amp; DECISIONS</t>
        </is>
      </c>
      <c r="O1560" s="105" t="n">
        <v>860000</v>
      </c>
      <c r="P1560" s="105" t="n">
        <v>847500</v>
      </c>
      <c r="Q1560" s="105" t="inlineStr">
        <is>
          <t>CAD</t>
        </is>
      </c>
      <c r="R1560" s="105" t="n"/>
      <c r="S1560" s="105" t="inlineStr">
        <is>
          <t>2027-06-30</t>
        </is>
      </c>
      <c r="T1560" s="105" t="inlineStr">
        <is>
          <t>C1-R0</t>
        </is>
      </c>
      <c r="U1560" s="105" t="inlineStr">
        <is>
          <t>Supplied practice file monthly_cost_forecast.xlsx, row 333</t>
        </is>
      </c>
      <c r="V1560" s="105" t="inlineStr">
        <is>
          <t>Whole source account, not a target allocation. Repeated target rows must not be summed. Aggregate cost / forecast remains withheld.</t>
        </is>
      </c>
    </row>
    <row r="1561" ht="34" customHeight="1">
      <c r="A1561" s="12" t="inlineStr">
        <is>
          <t>Cost &amp; Forecast Control Accounts</t>
        </is>
      </c>
      <c r="B1561" s="12" t="inlineStr">
        <is>
          <t>CST-05-013</t>
        </is>
      </c>
      <c r="C1561" s="12" t="inlineStr">
        <is>
          <t>Testing &amp; readiness - trial running - control account</t>
        </is>
      </c>
      <c r="D1561" s="12" t="inlineStr">
        <is>
          <t>Cost Account = CA-5013</t>
        </is>
      </c>
      <c r="E1561" s="12" t="inlineStr">
        <is>
          <t>R1415-v2</t>
        </is>
      </c>
      <c r="F1561" s="12" t="inlineStr">
        <is>
          <t>UNSURE</t>
        </is>
      </c>
      <c r="G1561" s="12" t="inlineStr">
        <is>
          <t>UNSURE</t>
        </is>
      </c>
      <c r="H1561" s="12" t="inlineStr">
        <is>
          <t>APPROVED</t>
        </is>
      </c>
      <c r="I1561" s="12" t="inlineStr">
        <is>
          <t>New</t>
        </is>
      </c>
      <c r="J1561" s="12" t="inlineStr">
        <is>
          <t>Professional decision</t>
        </is>
      </c>
      <c r="K1561" s="12" t="inlineStr">
        <is>
          <t>Maya Chen, Owner Project Controls</t>
        </is>
      </c>
      <c r="L1561" s="12" t="inlineStr"/>
      <c r="M1561" s="12" t="inlineStr"/>
      <c r="N1561" s="17" t="inlineStr">
        <is>
          <t>10 EVIDENCE &amp; DECISIONS</t>
        </is>
      </c>
      <c r="O1561" s="105" t="n">
        <v>877500</v>
      </c>
      <c r="P1561" s="105" t="n">
        <v>877500</v>
      </c>
      <c r="Q1561" s="105" t="inlineStr">
        <is>
          <t>CAD</t>
        </is>
      </c>
      <c r="R1561" s="105" t="n"/>
      <c r="S1561" s="105" t="inlineStr">
        <is>
          <t>2027-06-30</t>
        </is>
      </c>
      <c r="T1561" s="105" t="inlineStr">
        <is>
          <t>C1-R0</t>
        </is>
      </c>
      <c r="U1561" s="105" t="inlineStr">
        <is>
          <t>Supplied practice file monthly_cost_forecast.xlsx, row 334</t>
        </is>
      </c>
      <c r="V1561" s="105" t="inlineStr">
        <is>
          <t>Whole source account, not a target allocation. Repeated target rows must not be summed. Aggregate cost / forecast remains withheld.</t>
        </is>
      </c>
    </row>
    <row r="1562" ht="34" customHeight="1">
      <c r="A1562" s="12" t="inlineStr">
        <is>
          <t>Cost &amp; Forecast Control Accounts</t>
        </is>
      </c>
      <c r="B1562" s="12" t="inlineStr">
        <is>
          <t>CST-05-014</t>
        </is>
      </c>
      <c r="C1562" s="12" t="inlineStr">
        <is>
          <t>Testing &amp; readiness - safety certification - control account</t>
        </is>
      </c>
      <c r="D1562" s="12" t="inlineStr">
        <is>
          <t>Cost Account = CA-5014</t>
        </is>
      </c>
      <c r="E1562" s="12" t="inlineStr">
        <is>
          <t>R1416-v2</t>
        </is>
      </c>
      <c r="F1562" s="12" t="inlineStr">
        <is>
          <t>UNSURE</t>
        </is>
      </c>
      <c r="G1562" s="12" t="inlineStr">
        <is>
          <t>UNSURE</t>
        </is>
      </c>
      <c r="H1562" s="12" t="inlineStr">
        <is>
          <t>APPROVED</t>
        </is>
      </c>
      <c r="I1562" s="12" t="inlineStr">
        <is>
          <t>New</t>
        </is>
      </c>
      <c r="J1562" s="12" t="inlineStr">
        <is>
          <t>Professional decision</t>
        </is>
      </c>
      <c r="K1562" s="12" t="inlineStr">
        <is>
          <t>Maya Chen, Owner Project Controls</t>
        </is>
      </c>
      <c r="L1562" s="12" t="inlineStr"/>
      <c r="M1562" s="12" t="inlineStr"/>
      <c r="N1562" s="17" t="inlineStr">
        <is>
          <t>10 EVIDENCE &amp; DECISIONS</t>
        </is>
      </c>
      <c r="O1562" s="105" t="n">
        <v>895000</v>
      </c>
      <c r="P1562" s="105" t="n">
        <v>907500</v>
      </c>
      <c r="Q1562" s="105" t="inlineStr">
        <is>
          <t>CAD</t>
        </is>
      </c>
      <c r="R1562" s="105" t="n"/>
      <c r="S1562" s="105" t="inlineStr">
        <is>
          <t>2027-06-30</t>
        </is>
      </c>
      <c r="T1562" s="105" t="inlineStr">
        <is>
          <t>C1-R0</t>
        </is>
      </c>
      <c r="U1562" s="105" t="inlineStr">
        <is>
          <t>Supplied practice file monthly_cost_forecast.xlsx, row 335</t>
        </is>
      </c>
      <c r="V1562" s="105" t="inlineStr">
        <is>
          <t>Whole source account, not a target allocation. Repeated target rows must not be summed. Aggregate cost / forecast remains withheld.</t>
        </is>
      </c>
    </row>
    <row r="1563" ht="34" customHeight="1">
      <c r="A1563" s="12" t="inlineStr">
        <is>
          <t>Cost &amp; Forecast Control Accounts</t>
        </is>
      </c>
      <c r="B1563" s="12" t="inlineStr">
        <is>
          <t>CST-05-015</t>
        </is>
      </c>
      <c r="C1563" s="12" t="inlineStr">
        <is>
          <t>Testing &amp; readiness - defect closeout - control account</t>
        </is>
      </c>
      <c r="D1563" s="12" t="inlineStr">
        <is>
          <t>Cost Account = CA-5015</t>
        </is>
      </c>
      <c r="E1563" s="12" t="inlineStr">
        <is>
          <t>R1417-v2</t>
        </is>
      </c>
      <c r="F1563" s="12" t="inlineStr">
        <is>
          <t>UNSURE</t>
        </is>
      </c>
      <c r="G1563" s="12" t="inlineStr">
        <is>
          <t>UNSURE</t>
        </is>
      </c>
      <c r="H1563" s="12" t="inlineStr">
        <is>
          <t>APPROVED</t>
        </is>
      </c>
      <c r="I1563" s="12" t="inlineStr">
        <is>
          <t>New</t>
        </is>
      </c>
      <c r="J1563" s="12" t="inlineStr">
        <is>
          <t>Professional decision</t>
        </is>
      </c>
      <c r="K1563" s="12" t="inlineStr">
        <is>
          <t>Maya Chen, Owner Project Controls</t>
        </is>
      </c>
      <c r="L1563" s="12" t="inlineStr"/>
      <c r="M1563" s="12" t="inlineStr"/>
      <c r="N1563" s="17" t="inlineStr">
        <is>
          <t>10 EVIDENCE &amp; DECISIONS</t>
        </is>
      </c>
      <c r="O1563" s="105" t="n">
        <v>912500</v>
      </c>
      <c r="P1563" s="105" t="n">
        <v>937500</v>
      </c>
      <c r="Q1563" s="105" t="inlineStr">
        <is>
          <t>CAD</t>
        </is>
      </c>
      <c r="R1563" s="105" t="n"/>
      <c r="S1563" s="105" t="inlineStr">
        <is>
          <t>2027-06-30</t>
        </is>
      </c>
      <c r="T1563" s="105" t="inlineStr">
        <is>
          <t>C1-R0</t>
        </is>
      </c>
      <c r="U1563" s="105" t="inlineStr">
        <is>
          <t>Supplied practice file monthly_cost_forecast.xlsx, row 336</t>
        </is>
      </c>
      <c r="V1563" s="105" t="inlineStr">
        <is>
          <t>Whole source account, not a target allocation. Repeated target rows must not be summed. Aggregate cost / forecast remains withheld.</t>
        </is>
      </c>
    </row>
    <row r="1564" ht="34" customHeight="1">
      <c r="A1564" s="12" t="inlineStr">
        <is>
          <t>Cost &amp; Forecast Control Accounts</t>
        </is>
      </c>
      <c r="B1564" s="12" t="inlineStr">
        <is>
          <t>CST-05-016</t>
        </is>
      </c>
      <c r="C1564" s="12" t="inlineStr">
        <is>
          <t>Testing &amp; readiness - test management - control account</t>
        </is>
      </c>
      <c r="D1564" s="12" t="inlineStr">
        <is>
          <t>Cost Account = CA-5016</t>
        </is>
      </c>
      <c r="E1564" s="12" t="inlineStr">
        <is>
          <t>R1418-v2</t>
        </is>
      </c>
      <c r="F1564" s="12" t="inlineStr">
        <is>
          <t>UNSURE</t>
        </is>
      </c>
      <c r="G1564" s="12" t="inlineStr">
        <is>
          <t>UNSURE</t>
        </is>
      </c>
      <c r="H1564" s="12" t="inlineStr">
        <is>
          <t>APPROVED</t>
        </is>
      </c>
      <c r="I1564" s="12" t="inlineStr">
        <is>
          <t>New</t>
        </is>
      </c>
      <c r="J1564" s="12" t="inlineStr">
        <is>
          <t>Professional decision</t>
        </is>
      </c>
      <c r="K1564" s="12" t="inlineStr">
        <is>
          <t>Maya Chen, Owner Project Controls</t>
        </is>
      </c>
      <c r="L1564" s="12" t="inlineStr"/>
      <c r="M1564" s="12" t="inlineStr"/>
      <c r="N1564" s="17" t="inlineStr">
        <is>
          <t>10 EVIDENCE &amp; DECISIONS</t>
        </is>
      </c>
      <c r="O1564" s="105" t="n">
        <v>930000</v>
      </c>
      <c r="P1564" s="105" t="n">
        <v>917500</v>
      </c>
      <c r="Q1564" s="105" t="inlineStr">
        <is>
          <t>CAD</t>
        </is>
      </c>
      <c r="R1564" s="105" t="n"/>
      <c r="S1564" s="105" t="inlineStr">
        <is>
          <t>2027-06-30</t>
        </is>
      </c>
      <c r="T1564" s="105" t="inlineStr">
        <is>
          <t>C1-R0</t>
        </is>
      </c>
      <c r="U1564" s="105" t="inlineStr">
        <is>
          <t>Supplied practice file monthly_cost_forecast.xlsx, row 337</t>
        </is>
      </c>
      <c r="V1564" s="105" t="inlineStr">
        <is>
          <t>Whole source account, not a target allocation. Repeated target rows must not be summed. Aggregate cost / forecast remains withheld.</t>
        </is>
      </c>
    </row>
    <row r="1565" ht="34" customHeight="1">
      <c r="A1565" s="12" t="inlineStr">
        <is>
          <t>Cost &amp; Forecast Control Accounts</t>
        </is>
      </c>
      <c r="B1565" s="12" t="inlineStr">
        <is>
          <t>CST-05-017</t>
        </is>
      </c>
      <c r="C1565" s="12" t="inlineStr">
        <is>
          <t>Testing &amp; readiness - trial running - control account</t>
        </is>
      </c>
      <c r="D1565" s="12" t="inlineStr">
        <is>
          <t>Cost Account = CA-5017</t>
        </is>
      </c>
      <c r="E1565" s="12" t="inlineStr">
        <is>
          <t>R1419-v2</t>
        </is>
      </c>
      <c r="F1565" s="12" t="inlineStr">
        <is>
          <t>UNSURE</t>
        </is>
      </c>
      <c r="G1565" s="12" t="inlineStr">
        <is>
          <t>UNSURE</t>
        </is>
      </c>
      <c r="H1565" s="12" t="inlineStr">
        <is>
          <t>APPROVED</t>
        </is>
      </c>
      <c r="I1565" s="12" t="inlineStr">
        <is>
          <t>New</t>
        </is>
      </c>
      <c r="J1565" s="12" t="inlineStr">
        <is>
          <t>Professional decision</t>
        </is>
      </c>
      <c r="K1565" s="12" t="inlineStr">
        <is>
          <t>Maya Chen, Owner Project Controls</t>
        </is>
      </c>
      <c r="L1565" s="12" t="inlineStr"/>
      <c r="M1565" s="12" t="inlineStr"/>
      <c r="N1565" s="17" t="inlineStr">
        <is>
          <t>10 EVIDENCE &amp; DECISIONS</t>
        </is>
      </c>
      <c r="O1565" s="105" t="n">
        <v>947500</v>
      </c>
      <c r="P1565" s="105" t="n">
        <v>947500</v>
      </c>
      <c r="Q1565" s="105" t="inlineStr">
        <is>
          <t>CAD</t>
        </is>
      </c>
      <c r="R1565" s="105" t="n"/>
      <c r="S1565" s="105" t="inlineStr">
        <is>
          <t>2027-06-30</t>
        </is>
      </c>
      <c r="T1565" s="105" t="inlineStr">
        <is>
          <t>C1-R0</t>
        </is>
      </c>
      <c r="U1565" s="105" t="inlineStr">
        <is>
          <t>Supplied practice file monthly_cost_forecast.xlsx, row 338</t>
        </is>
      </c>
      <c r="V1565" s="105" t="inlineStr">
        <is>
          <t>Whole source account, not a target allocation. Repeated target rows must not be summed. Aggregate cost / forecast remains withheld.</t>
        </is>
      </c>
    </row>
    <row r="1566" ht="34" customHeight="1">
      <c r="A1566" s="12" t="inlineStr">
        <is>
          <t>Cost &amp; Forecast Control Accounts</t>
        </is>
      </c>
      <c r="B1566" s="12" t="inlineStr">
        <is>
          <t>CST-05-018</t>
        </is>
      </c>
      <c r="C1566" s="12" t="inlineStr">
        <is>
          <t>Testing &amp; readiness - safety certification - control account</t>
        </is>
      </c>
      <c r="D1566" s="12" t="inlineStr">
        <is>
          <t>Cost Account = CA-5018</t>
        </is>
      </c>
      <c r="E1566" s="12" t="inlineStr">
        <is>
          <t>R1420-v2</t>
        </is>
      </c>
      <c r="F1566" s="12" t="inlineStr">
        <is>
          <t>UNSURE</t>
        </is>
      </c>
      <c r="G1566" s="12" t="inlineStr">
        <is>
          <t>UNSURE</t>
        </is>
      </c>
      <c r="H1566" s="12" t="inlineStr">
        <is>
          <t>APPROVED</t>
        </is>
      </c>
      <c r="I1566" s="12" t="inlineStr">
        <is>
          <t>New</t>
        </is>
      </c>
      <c r="J1566" s="12" t="inlineStr">
        <is>
          <t>Professional decision</t>
        </is>
      </c>
      <c r="K1566" s="12" t="inlineStr">
        <is>
          <t>Maya Chen, Owner Project Controls</t>
        </is>
      </c>
      <c r="L1566" s="12" t="inlineStr"/>
      <c r="M1566" s="12" t="inlineStr"/>
      <c r="N1566" s="17" t="inlineStr">
        <is>
          <t>10 EVIDENCE &amp; DECISIONS</t>
        </is>
      </c>
      <c r="O1566" s="105" t="n">
        <v>965000</v>
      </c>
      <c r="P1566" s="105" t="n">
        <v>977500</v>
      </c>
      <c r="Q1566" s="105" t="inlineStr">
        <is>
          <t>CAD</t>
        </is>
      </c>
      <c r="R1566" s="105" t="n"/>
      <c r="S1566" s="105" t="inlineStr">
        <is>
          <t>2027-06-30</t>
        </is>
      </c>
      <c r="T1566" s="105" t="inlineStr">
        <is>
          <t>C1-R0</t>
        </is>
      </c>
      <c r="U1566" s="105" t="inlineStr">
        <is>
          <t>Supplied practice file monthly_cost_forecast.xlsx, row 339</t>
        </is>
      </c>
      <c r="V1566" s="105" t="inlineStr">
        <is>
          <t>Whole source account, not a target allocation. Repeated target rows must not be summed. Aggregate cost / forecast remains withheld.</t>
        </is>
      </c>
    </row>
    <row r="1567" ht="34" customHeight="1">
      <c r="A1567" s="12" t="inlineStr">
        <is>
          <t>Cost &amp; Forecast Control Accounts</t>
        </is>
      </c>
      <c r="B1567" s="12" t="inlineStr">
        <is>
          <t>CST-05-019</t>
        </is>
      </c>
      <c r="C1567" s="12" t="inlineStr">
        <is>
          <t>Testing &amp; readiness - defect closeout - control account</t>
        </is>
      </c>
      <c r="D1567" s="12" t="inlineStr">
        <is>
          <t>Cost Account = CA-5019</t>
        </is>
      </c>
      <c r="E1567" s="12" t="inlineStr">
        <is>
          <t>R1421-v2</t>
        </is>
      </c>
      <c r="F1567" s="12" t="inlineStr">
        <is>
          <t>UNSURE</t>
        </is>
      </c>
      <c r="G1567" s="12" t="inlineStr">
        <is>
          <t>UNSURE</t>
        </is>
      </c>
      <c r="H1567" s="12" t="inlineStr">
        <is>
          <t>APPROVED</t>
        </is>
      </c>
      <c r="I1567" s="12" t="inlineStr">
        <is>
          <t>New</t>
        </is>
      </c>
      <c r="J1567" s="12" t="inlineStr">
        <is>
          <t>Professional decision</t>
        </is>
      </c>
      <c r="K1567" s="12" t="inlineStr">
        <is>
          <t>Maya Chen, Owner Project Controls</t>
        </is>
      </c>
      <c r="L1567" s="12" t="inlineStr"/>
      <c r="M1567" s="12" t="inlineStr"/>
      <c r="N1567" s="17" t="inlineStr">
        <is>
          <t>10 EVIDENCE &amp; DECISIONS</t>
        </is>
      </c>
      <c r="O1567" s="105" t="n">
        <v>982500</v>
      </c>
      <c r="P1567" s="105" t="n">
        <v>1007500</v>
      </c>
      <c r="Q1567" s="105" t="inlineStr">
        <is>
          <t>CAD</t>
        </is>
      </c>
      <c r="R1567" s="105" t="n"/>
      <c r="S1567" s="105" t="inlineStr">
        <is>
          <t>2027-06-30</t>
        </is>
      </c>
      <c r="T1567" s="105" t="inlineStr">
        <is>
          <t>C1-R0</t>
        </is>
      </c>
      <c r="U1567" s="105" t="inlineStr">
        <is>
          <t>Supplied practice file monthly_cost_forecast.xlsx, row 340</t>
        </is>
      </c>
      <c r="V1567" s="105" t="inlineStr">
        <is>
          <t>Whole source account, not a target allocation. Repeated target rows must not be summed. Aggregate cost / forecast remains withheld.</t>
        </is>
      </c>
    </row>
    <row r="1568" ht="34" customHeight="1">
      <c r="A1568" s="12" t="inlineStr">
        <is>
          <t>Cost &amp; Forecast Control Accounts</t>
        </is>
      </c>
      <c r="B1568" s="12" t="inlineStr">
        <is>
          <t>CST-05-020</t>
        </is>
      </c>
      <c r="C1568" s="12" t="inlineStr">
        <is>
          <t>Testing &amp; readiness - test management - control account</t>
        </is>
      </c>
      <c r="D1568" s="12" t="inlineStr">
        <is>
          <t>Cost Account = CA-5020</t>
        </is>
      </c>
      <c r="E1568" s="12" t="inlineStr">
        <is>
          <t>R1422-v2</t>
        </is>
      </c>
      <c r="F1568" s="12" t="inlineStr">
        <is>
          <t>UNSURE</t>
        </is>
      </c>
      <c r="G1568" s="12" t="inlineStr">
        <is>
          <t>UNSURE</t>
        </is>
      </c>
      <c r="H1568" s="12" t="inlineStr">
        <is>
          <t>APPROVED</t>
        </is>
      </c>
      <c r="I1568" s="12" t="inlineStr">
        <is>
          <t>New</t>
        </is>
      </c>
      <c r="J1568" s="12" t="inlineStr">
        <is>
          <t>Professional decision</t>
        </is>
      </c>
      <c r="K1568" s="12" t="inlineStr">
        <is>
          <t>Maya Chen, Owner Project Controls</t>
        </is>
      </c>
      <c r="L1568" s="12" t="inlineStr"/>
      <c r="M1568" s="12" t="inlineStr"/>
      <c r="N1568" s="17" t="inlineStr">
        <is>
          <t>10 EVIDENCE &amp; DECISIONS</t>
        </is>
      </c>
      <c r="O1568" s="105" t="n">
        <v>1000000</v>
      </c>
      <c r="P1568" s="105" t="n">
        <v>987500</v>
      </c>
      <c r="Q1568" s="105" t="inlineStr">
        <is>
          <t>CAD</t>
        </is>
      </c>
      <c r="R1568" s="105" t="n"/>
      <c r="S1568" s="105" t="inlineStr">
        <is>
          <t>2027-06-30</t>
        </is>
      </c>
      <c r="T1568" s="105" t="inlineStr">
        <is>
          <t>C1-R0</t>
        </is>
      </c>
      <c r="U1568" s="105" t="inlineStr">
        <is>
          <t>Supplied practice file monthly_cost_forecast.xlsx, row 341</t>
        </is>
      </c>
      <c r="V1568" s="105" t="inlineStr">
        <is>
          <t>Whole source account, not a target allocation. Repeated target rows must not be summed. Aggregate cost / forecast remains withheld.</t>
        </is>
      </c>
    </row>
    <row r="1569" ht="34" customHeight="1">
      <c r="A1569" s="12" t="inlineStr">
        <is>
          <t>Cost &amp; Forecast Control Accounts</t>
        </is>
      </c>
      <c r="B1569" s="12" t="inlineStr">
        <is>
          <t>CST-05-021</t>
        </is>
      </c>
      <c r="C1569" s="12" t="inlineStr">
        <is>
          <t>Testing &amp; readiness - trial running - control account</t>
        </is>
      </c>
      <c r="D1569" s="12" t="inlineStr">
        <is>
          <t>Cost Account = CA-5021</t>
        </is>
      </c>
      <c r="E1569" s="12" t="inlineStr">
        <is>
          <t>R1423-v2</t>
        </is>
      </c>
      <c r="F1569" s="12" t="inlineStr">
        <is>
          <t>UNSURE</t>
        </is>
      </c>
      <c r="G1569" s="12" t="inlineStr">
        <is>
          <t>UNSURE</t>
        </is>
      </c>
      <c r="H1569" s="12" t="inlineStr">
        <is>
          <t>APPROVED</t>
        </is>
      </c>
      <c r="I1569" s="12" t="inlineStr">
        <is>
          <t>New</t>
        </is>
      </c>
      <c r="J1569" s="12" t="inlineStr">
        <is>
          <t>Professional decision</t>
        </is>
      </c>
      <c r="K1569" s="12" t="inlineStr">
        <is>
          <t>Maya Chen, Owner Project Controls</t>
        </is>
      </c>
      <c r="L1569" s="12" t="inlineStr"/>
      <c r="M1569" s="12" t="inlineStr"/>
      <c r="N1569" s="17" t="inlineStr">
        <is>
          <t>10 EVIDENCE &amp; DECISIONS</t>
        </is>
      </c>
      <c r="O1569" s="105" t="n">
        <v>1017500</v>
      </c>
      <c r="P1569" s="105" t="n">
        <v>1017500</v>
      </c>
      <c r="Q1569" s="105" t="inlineStr">
        <is>
          <t>CAD</t>
        </is>
      </c>
      <c r="R1569" s="105" t="n"/>
      <c r="S1569" s="105" t="inlineStr">
        <is>
          <t>2027-06-30</t>
        </is>
      </c>
      <c r="T1569" s="105" t="inlineStr">
        <is>
          <t>C1-R0</t>
        </is>
      </c>
      <c r="U1569" s="105" t="inlineStr">
        <is>
          <t>Supplied practice file monthly_cost_forecast.xlsx, row 342</t>
        </is>
      </c>
      <c r="V1569" s="105" t="inlineStr">
        <is>
          <t>Whole source account, not a target allocation. Repeated target rows must not be summed. Aggregate cost / forecast remains withheld.</t>
        </is>
      </c>
    </row>
    <row r="1570" ht="34" customHeight="1">
      <c r="A1570" s="12" t="inlineStr">
        <is>
          <t>Cost &amp; Forecast Control Accounts</t>
        </is>
      </c>
      <c r="B1570" s="12" t="inlineStr">
        <is>
          <t>CST-05-022</t>
        </is>
      </c>
      <c r="C1570" s="12" t="inlineStr">
        <is>
          <t>Testing &amp; readiness - safety certification - control account</t>
        </is>
      </c>
      <c r="D1570" s="12" t="inlineStr">
        <is>
          <t>Cost Account = CA-5022</t>
        </is>
      </c>
      <c r="E1570" s="12" t="inlineStr">
        <is>
          <t>R1424-v2</t>
        </is>
      </c>
      <c r="F1570" s="12" t="inlineStr">
        <is>
          <t>UNSURE</t>
        </is>
      </c>
      <c r="G1570" s="12" t="inlineStr">
        <is>
          <t>UNSURE</t>
        </is>
      </c>
      <c r="H1570" s="12" t="inlineStr">
        <is>
          <t>APPROVED</t>
        </is>
      </c>
      <c r="I1570" s="12" t="inlineStr">
        <is>
          <t>New</t>
        </is>
      </c>
      <c r="J1570" s="12" t="inlineStr">
        <is>
          <t>Professional decision</t>
        </is>
      </c>
      <c r="K1570" s="12" t="inlineStr">
        <is>
          <t>Maya Chen, Owner Project Controls</t>
        </is>
      </c>
      <c r="L1570" s="12" t="inlineStr"/>
      <c r="M1570" s="12" t="inlineStr"/>
      <c r="N1570" s="17" t="inlineStr">
        <is>
          <t>10 EVIDENCE &amp; DECISIONS</t>
        </is>
      </c>
      <c r="O1570" s="105" t="n">
        <v>1035000</v>
      </c>
      <c r="P1570" s="105" t="n">
        <v>1047500</v>
      </c>
      <c r="Q1570" s="105" t="inlineStr">
        <is>
          <t>CAD</t>
        </is>
      </c>
      <c r="R1570" s="105" t="n"/>
      <c r="S1570" s="105" t="inlineStr">
        <is>
          <t>2027-06-30</t>
        </is>
      </c>
      <c r="T1570" s="105" t="inlineStr">
        <is>
          <t>C1-R0</t>
        </is>
      </c>
      <c r="U1570" s="105" t="inlineStr">
        <is>
          <t>Supplied practice file monthly_cost_forecast.xlsx, row 343</t>
        </is>
      </c>
      <c r="V1570" s="105" t="inlineStr">
        <is>
          <t>Whole source account, not a target allocation. Repeated target rows must not be summed. Aggregate cost / forecast remains withheld.</t>
        </is>
      </c>
    </row>
    <row r="1571" ht="34" customHeight="1">
      <c r="A1571" s="12" t="inlineStr">
        <is>
          <t>Cost &amp; Forecast Control Accounts</t>
        </is>
      </c>
      <c r="B1571" s="12" t="inlineStr">
        <is>
          <t>CST-05-023</t>
        </is>
      </c>
      <c r="C1571" s="12" t="inlineStr">
        <is>
          <t>Testing &amp; readiness - defect closeout - control account</t>
        </is>
      </c>
      <c r="D1571" s="12" t="inlineStr">
        <is>
          <t>Cost Account = CA-5023</t>
        </is>
      </c>
      <c r="E1571" s="12" t="inlineStr">
        <is>
          <t>R1425-v2</t>
        </is>
      </c>
      <c r="F1571" s="12" t="inlineStr">
        <is>
          <t>UNSURE</t>
        </is>
      </c>
      <c r="G1571" s="12" t="inlineStr">
        <is>
          <t>UNSURE</t>
        </is>
      </c>
      <c r="H1571" s="12" t="inlineStr">
        <is>
          <t>APPROVED</t>
        </is>
      </c>
      <c r="I1571" s="12" t="inlineStr">
        <is>
          <t>New</t>
        </is>
      </c>
      <c r="J1571" s="12" t="inlineStr">
        <is>
          <t>Professional decision</t>
        </is>
      </c>
      <c r="K1571" s="12" t="inlineStr">
        <is>
          <t>Maya Chen, Owner Project Controls</t>
        </is>
      </c>
      <c r="L1571" s="12" t="inlineStr"/>
      <c r="M1571" s="12" t="inlineStr"/>
      <c r="N1571" s="17" t="inlineStr">
        <is>
          <t>10 EVIDENCE &amp; DECISIONS</t>
        </is>
      </c>
      <c r="O1571" s="105" t="n">
        <v>1052500</v>
      </c>
      <c r="P1571" s="105" t="n">
        <v>1077500</v>
      </c>
      <c r="Q1571" s="105" t="inlineStr">
        <is>
          <t>CAD</t>
        </is>
      </c>
      <c r="R1571" s="105" t="n"/>
      <c r="S1571" s="105" t="inlineStr">
        <is>
          <t>2027-06-30</t>
        </is>
      </c>
      <c r="T1571" s="105" t="inlineStr">
        <is>
          <t>C1-R0</t>
        </is>
      </c>
      <c r="U1571" s="105" t="inlineStr">
        <is>
          <t>Supplied practice file monthly_cost_forecast.xlsx, row 344</t>
        </is>
      </c>
      <c r="V1571" s="105" t="inlineStr">
        <is>
          <t>Whole source account, not a target allocation. Repeated target rows must not be summed. Aggregate cost / forecast remains withheld.</t>
        </is>
      </c>
    </row>
    <row r="1572" ht="34" customHeight="1">
      <c r="A1572" s="12" t="inlineStr">
        <is>
          <t>Cost &amp; Forecast Control Accounts</t>
        </is>
      </c>
      <c r="B1572" s="12" t="inlineStr">
        <is>
          <t>CST-05-024</t>
        </is>
      </c>
      <c r="C1572" s="12" t="inlineStr">
        <is>
          <t>Testing &amp; readiness - test management - control account</t>
        </is>
      </c>
      <c r="D1572" s="12" t="inlineStr">
        <is>
          <t>Cost Account = CA-5024</t>
        </is>
      </c>
      <c r="E1572" s="12" t="inlineStr">
        <is>
          <t>R1426-v2</t>
        </is>
      </c>
      <c r="F1572" s="12" t="inlineStr">
        <is>
          <t>UNSURE</t>
        </is>
      </c>
      <c r="G1572" s="12" t="inlineStr">
        <is>
          <t>UNSURE</t>
        </is>
      </c>
      <c r="H1572" s="12" t="inlineStr">
        <is>
          <t>APPROVED</t>
        </is>
      </c>
      <c r="I1572" s="12" t="inlineStr">
        <is>
          <t>New</t>
        </is>
      </c>
      <c r="J1572" s="12" t="inlineStr">
        <is>
          <t>Professional decision</t>
        </is>
      </c>
      <c r="K1572" s="12" t="inlineStr">
        <is>
          <t>Maya Chen, Owner Project Controls</t>
        </is>
      </c>
      <c r="L1572" s="12" t="inlineStr"/>
      <c r="M1572" s="12" t="inlineStr"/>
      <c r="N1572" s="17" t="inlineStr">
        <is>
          <t>10 EVIDENCE &amp; DECISIONS</t>
        </is>
      </c>
      <c r="O1572" s="105" t="n">
        <v>1070000</v>
      </c>
      <c r="P1572" s="105" t="n">
        <v>1057500</v>
      </c>
      <c r="Q1572" s="105" t="inlineStr">
        <is>
          <t>CAD</t>
        </is>
      </c>
      <c r="R1572" s="105" t="n"/>
      <c r="S1572" s="105" t="inlineStr">
        <is>
          <t>2027-06-30</t>
        </is>
      </c>
      <c r="T1572" s="105" t="inlineStr">
        <is>
          <t>C1-R0</t>
        </is>
      </c>
      <c r="U1572" s="105" t="inlineStr">
        <is>
          <t>Supplied practice file monthly_cost_forecast.xlsx, row 345</t>
        </is>
      </c>
      <c r="V1572" s="105" t="inlineStr">
        <is>
          <t>Whole source account, not a target allocation. Repeated target rows must not be summed. Aggregate cost / forecast remains withheld.</t>
        </is>
      </c>
    </row>
    <row r="1573" ht="34" customHeight="1">
      <c r="A1573" s="12" t="inlineStr">
        <is>
          <t>Cost &amp; Forecast Control Accounts</t>
        </is>
      </c>
      <c r="B1573" s="12" t="inlineStr">
        <is>
          <t>CST-05-025</t>
        </is>
      </c>
      <c r="C1573" s="12" t="inlineStr">
        <is>
          <t>Testing &amp; readiness - trial running - control account</t>
        </is>
      </c>
      <c r="D1573" s="12" t="inlineStr">
        <is>
          <t>Cost Account = CA-5025</t>
        </is>
      </c>
      <c r="E1573" s="12" t="inlineStr">
        <is>
          <t>R1427-v2</t>
        </is>
      </c>
      <c r="F1573" s="12" t="inlineStr">
        <is>
          <t>UNSURE</t>
        </is>
      </c>
      <c r="G1573" s="12" t="inlineStr">
        <is>
          <t>UNSURE</t>
        </is>
      </c>
      <c r="H1573" s="12" t="inlineStr">
        <is>
          <t>APPROVED</t>
        </is>
      </c>
      <c r="I1573" s="12" t="inlineStr">
        <is>
          <t>New</t>
        </is>
      </c>
      <c r="J1573" s="12" t="inlineStr">
        <is>
          <t>Professional decision</t>
        </is>
      </c>
      <c r="K1573" s="12" t="inlineStr">
        <is>
          <t>Maya Chen, Owner Project Controls</t>
        </is>
      </c>
      <c r="L1573" s="12" t="inlineStr"/>
      <c r="M1573" s="12" t="inlineStr"/>
      <c r="N1573" s="17" t="inlineStr">
        <is>
          <t>10 EVIDENCE &amp; DECISIONS</t>
        </is>
      </c>
      <c r="O1573" s="105" t="n">
        <v>1087500</v>
      </c>
      <c r="P1573" s="105" t="n">
        <v>1087500</v>
      </c>
      <c r="Q1573" s="105" t="inlineStr">
        <is>
          <t>CAD</t>
        </is>
      </c>
      <c r="R1573" s="105" t="n"/>
      <c r="S1573" s="105" t="inlineStr">
        <is>
          <t>2027-06-30</t>
        </is>
      </c>
      <c r="T1573" s="105" t="inlineStr">
        <is>
          <t>C1-R0</t>
        </is>
      </c>
      <c r="U1573" s="105" t="inlineStr">
        <is>
          <t>Supplied practice file monthly_cost_forecast.xlsx, row 346</t>
        </is>
      </c>
      <c r="V1573" s="105" t="inlineStr">
        <is>
          <t>Whole source account, not a target allocation. Repeated target rows must not be summed. Aggregate cost / forecast remains withheld.</t>
        </is>
      </c>
    </row>
    <row r="1574" ht="34" customHeight="1">
      <c r="A1574" s="12" t="inlineStr">
        <is>
          <t>Cost &amp; Forecast Control Accounts</t>
        </is>
      </c>
      <c r="B1574" s="12" t="inlineStr">
        <is>
          <t>CST-05-026</t>
        </is>
      </c>
      <c r="C1574" s="12" t="inlineStr">
        <is>
          <t>Testing &amp; readiness - safety certification - control account</t>
        </is>
      </c>
      <c r="D1574" s="12" t="inlineStr">
        <is>
          <t>Cost Account = CA-5026</t>
        </is>
      </c>
      <c r="E1574" s="12" t="inlineStr">
        <is>
          <t>R1428-v2</t>
        </is>
      </c>
      <c r="F1574" s="12" t="inlineStr">
        <is>
          <t>UNSURE</t>
        </is>
      </c>
      <c r="G1574" s="12" t="inlineStr">
        <is>
          <t>UNSURE</t>
        </is>
      </c>
      <c r="H1574" s="12" t="inlineStr">
        <is>
          <t>APPROVED</t>
        </is>
      </c>
      <c r="I1574" s="12" t="inlineStr">
        <is>
          <t>New</t>
        </is>
      </c>
      <c r="J1574" s="12" t="inlineStr">
        <is>
          <t>Professional decision</t>
        </is>
      </c>
      <c r="K1574" s="12" t="inlineStr">
        <is>
          <t>Maya Chen, Owner Project Controls</t>
        </is>
      </c>
      <c r="L1574" s="12" t="inlineStr"/>
      <c r="M1574" s="12" t="inlineStr"/>
      <c r="N1574" s="17" t="inlineStr">
        <is>
          <t>10 EVIDENCE &amp; DECISIONS</t>
        </is>
      </c>
      <c r="O1574" s="105" t="n">
        <v>1105000</v>
      </c>
      <c r="P1574" s="105" t="n">
        <v>1117500</v>
      </c>
      <c r="Q1574" s="105" t="inlineStr">
        <is>
          <t>CAD</t>
        </is>
      </c>
      <c r="R1574" s="105" t="n"/>
      <c r="S1574" s="105" t="inlineStr">
        <is>
          <t>2027-06-30</t>
        </is>
      </c>
      <c r="T1574" s="105" t="inlineStr">
        <is>
          <t>C1-R0</t>
        </is>
      </c>
      <c r="U1574" s="105" t="inlineStr">
        <is>
          <t>Supplied practice file monthly_cost_forecast.xlsx, row 347</t>
        </is>
      </c>
      <c r="V1574" s="105" t="inlineStr">
        <is>
          <t>Whole source account, not a target allocation. Repeated target rows must not be summed. Aggregate cost / forecast remains withheld.</t>
        </is>
      </c>
    </row>
    <row r="1575" ht="34" customHeight="1">
      <c r="A1575" s="12" t="inlineStr">
        <is>
          <t>Cost &amp; Forecast Control Accounts</t>
        </is>
      </c>
      <c r="B1575" s="12" t="inlineStr">
        <is>
          <t>CST-05-027</t>
        </is>
      </c>
      <c r="C1575" s="12" t="inlineStr">
        <is>
          <t>Testing &amp; readiness - defect closeout - control account</t>
        </is>
      </c>
      <c r="D1575" s="12" t="inlineStr">
        <is>
          <t>Cost Account = CA-5027</t>
        </is>
      </c>
      <c r="E1575" s="12" t="inlineStr">
        <is>
          <t>R1429-v2</t>
        </is>
      </c>
      <c r="F1575" s="12" t="inlineStr">
        <is>
          <t>UNSURE</t>
        </is>
      </c>
      <c r="G1575" s="12" t="inlineStr">
        <is>
          <t>UNSURE</t>
        </is>
      </c>
      <c r="H1575" s="12" t="inlineStr">
        <is>
          <t>APPROVED</t>
        </is>
      </c>
      <c r="I1575" s="12" t="inlineStr">
        <is>
          <t>New</t>
        </is>
      </c>
      <c r="J1575" s="12" t="inlineStr">
        <is>
          <t>Professional decision</t>
        </is>
      </c>
      <c r="K1575" s="12" t="inlineStr">
        <is>
          <t>Maya Chen, Owner Project Controls</t>
        </is>
      </c>
      <c r="L1575" s="12" t="inlineStr"/>
      <c r="M1575" s="12" t="inlineStr"/>
      <c r="N1575" s="17" t="inlineStr">
        <is>
          <t>10 EVIDENCE &amp; DECISIONS</t>
        </is>
      </c>
      <c r="O1575" s="105" t="n">
        <v>1122500</v>
      </c>
      <c r="P1575" s="105" t="n">
        <v>1147500</v>
      </c>
      <c r="Q1575" s="105" t="inlineStr">
        <is>
          <t>CAD</t>
        </is>
      </c>
      <c r="R1575" s="105" t="n"/>
      <c r="S1575" s="105" t="inlineStr">
        <is>
          <t>2027-06-30</t>
        </is>
      </c>
      <c r="T1575" s="105" t="inlineStr">
        <is>
          <t>C1-R0</t>
        </is>
      </c>
      <c r="U1575" s="105" t="inlineStr">
        <is>
          <t>Supplied practice file monthly_cost_forecast.xlsx, row 348</t>
        </is>
      </c>
      <c r="V1575" s="105" t="inlineStr">
        <is>
          <t>Whole source account, not a target allocation. Repeated target rows must not be summed. Aggregate cost / forecast remains withheld.</t>
        </is>
      </c>
    </row>
    <row r="1576" ht="34" customHeight="1">
      <c r="A1576" s="12" t="inlineStr">
        <is>
          <t>Cost &amp; Forecast Control Accounts</t>
        </is>
      </c>
      <c r="B1576" s="12" t="inlineStr">
        <is>
          <t>CST-05-028</t>
        </is>
      </c>
      <c r="C1576" s="12" t="inlineStr">
        <is>
          <t>Testing &amp; readiness - test management - control account</t>
        </is>
      </c>
      <c r="D1576" s="12" t="inlineStr">
        <is>
          <t>Cost Account = CA-5028</t>
        </is>
      </c>
      <c r="E1576" s="12" t="inlineStr">
        <is>
          <t>R1430-v2</t>
        </is>
      </c>
      <c r="F1576" s="12" t="inlineStr">
        <is>
          <t>UNSURE</t>
        </is>
      </c>
      <c r="G1576" s="12" t="inlineStr">
        <is>
          <t>UNSURE</t>
        </is>
      </c>
      <c r="H1576" s="12" t="inlineStr">
        <is>
          <t>APPROVED</t>
        </is>
      </c>
      <c r="I1576" s="12" t="inlineStr">
        <is>
          <t>New</t>
        </is>
      </c>
      <c r="J1576" s="12" t="inlineStr">
        <is>
          <t>Professional decision</t>
        </is>
      </c>
      <c r="K1576" s="12" t="inlineStr">
        <is>
          <t>Maya Chen, Owner Project Controls</t>
        </is>
      </c>
      <c r="L1576" s="12" t="inlineStr"/>
      <c r="M1576" s="12" t="inlineStr"/>
      <c r="N1576" s="17" t="inlineStr">
        <is>
          <t>10 EVIDENCE &amp; DECISIONS</t>
        </is>
      </c>
      <c r="O1576" s="105" t="n">
        <v>1140000</v>
      </c>
      <c r="P1576" s="105" t="n">
        <v>1127500</v>
      </c>
      <c r="Q1576" s="105" t="inlineStr">
        <is>
          <t>CAD</t>
        </is>
      </c>
      <c r="R1576" s="105" t="n"/>
      <c r="S1576" s="105" t="inlineStr">
        <is>
          <t>2027-06-30</t>
        </is>
      </c>
      <c r="T1576" s="105" t="inlineStr">
        <is>
          <t>C1-R0</t>
        </is>
      </c>
      <c r="U1576" s="105" t="inlineStr">
        <is>
          <t>Supplied practice file monthly_cost_forecast.xlsx, row 349</t>
        </is>
      </c>
      <c r="V1576" s="105" t="inlineStr">
        <is>
          <t>Whole source account, not a target allocation. Repeated target rows must not be summed. Aggregate cost / forecast remains withheld.</t>
        </is>
      </c>
    </row>
    <row r="1577" ht="34" customHeight="1">
      <c r="A1577" s="12" t="inlineStr">
        <is>
          <t>Cost &amp; Forecast Control Accounts</t>
        </is>
      </c>
      <c r="B1577" s="12" t="inlineStr">
        <is>
          <t>CST-05-029</t>
        </is>
      </c>
      <c r="C1577" s="12" t="inlineStr">
        <is>
          <t>Testing &amp; readiness - trial running - control account</t>
        </is>
      </c>
      <c r="D1577" s="12" t="inlineStr">
        <is>
          <t>Cost Account = CA-5029</t>
        </is>
      </c>
      <c r="E1577" s="12" t="inlineStr">
        <is>
          <t>R1431-v2</t>
        </is>
      </c>
      <c r="F1577" s="12" t="inlineStr">
        <is>
          <t>UNSURE</t>
        </is>
      </c>
      <c r="G1577" s="12" t="inlineStr">
        <is>
          <t>UNSURE</t>
        </is>
      </c>
      <c r="H1577" s="12" t="inlineStr">
        <is>
          <t>APPROVED</t>
        </is>
      </c>
      <c r="I1577" s="12" t="inlineStr">
        <is>
          <t>New</t>
        </is>
      </c>
      <c r="J1577" s="12" t="inlineStr">
        <is>
          <t>Professional decision</t>
        </is>
      </c>
      <c r="K1577" s="12" t="inlineStr">
        <is>
          <t>Maya Chen, Owner Project Controls</t>
        </is>
      </c>
      <c r="L1577" s="12" t="inlineStr"/>
      <c r="M1577" s="12" t="inlineStr"/>
      <c r="N1577" s="17" t="inlineStr">
        <is>
          <t>10 EVIDENCE &amp; DECISIONS</t>
        </is>
      </c>
      <c r="O1577" s="105" t="n">
        <v>1157500</v>
      </c>
      <c r="P1577" s="105" t="n">
        <v>1157500</v>
      </c>
      <c r="Q1577" s="105" t="inlineStr">
        <is>
          <t>CAD</t>
        </is>
      </c>
      <c r="R1577" s="105" t="n"/>
      <c r="S1577" s="105" t="inlineStr">
        <is>
          <t>2027-06-30</t>
        </is>
      </c>
      <c r="T1577" s="105" t="inlineStr">
        <is>
          <t>C1-R0</t>
        </is>
      </c>
      <c r="U1577" s="105" t="inlineStr">
        <is>
          <t>Supplied practice file monthly_cost_forecast.xlsx, row 350</t>
        </is>
      </c>
      <c r="V1577" s="105" t="inlineStr">
        <is>
          <t>Whole source account, not a target allocation. Repeated target rows must not be summed. Aggregate cost / forecast remains withheld.</t>
        </is>
      </c>
    </row>
    <row r="1578" ht="34" customHeight="1">
      <c r="A1578" s="12" t="inlineStr">
        <is>
          <t>Cost &amp; Forecast Control Accounts</t>
        </is>
      </c>
      <c r="B1578" s="12" t="inlineStr">
        <is>
          <t>CST-05-030</t>
        </is>
      </c>
      <c r="C1578" s="12" t="inlineStr">
        <is>
          <t>Testing &amp; readiness - safety certification - control account</t>
        </is>
      </c>
      <c r="D1578" s="12" t="inlineStr">
        <is>
          <t>Cost Account = CA-5030</t>
        </is>
      </c>
      <c r="E1578" s="12" t="inlineStr">
        <is>
          <t>R1432-v2</t>
        </is>
      </c>
      <c r="F1578" s="12" t="inlineStr">
        <is>
          <t>UNSURE</t>
        </is>
      </c>
      <c r="G1578" s="12" t="inlineStr">
        <is>
          <t>UNSURE</t>
        </is>
      </c>
      <c r="H1578" s="12" t="inlineStr">
        <is>
          <t>APPROVED</t>
        </is>
      </c>
      <c r="I1578" s="12" t="inlineStr">
        <is>
          <t>New</t>
        </is>
      </c>
      <c r="J1578" s="12" t="inlineStr">
        <is>
          <t>Professional decision</t>
        </is>
      </c>
      <c r="K1578" s="12" t="inlineStr">
        <is>
          <t>Maya Chen, Owner Project Controls</t>
        </is>
      </c>
      <c r="L1578" s="12" t="inlineStr"/>
      <c r="M1578" s="12" t="inlineStr"/>
      <c r="N1578" s="17" t="inlineStr">
        <is>
          <t>10 EVIDENCE &amp; DECISIONS</t>
        </is>
      </c>
      <c r="O1578" s="105" t="n">
        <v>1175000</v>
      </c>
      <c r="P1578" s="105" t="n">
        <v>1187500</v>
      </c>
      <c r="Q1578" s="105" t="inlineStr">
        <is>
          <t>CAD</t>
        </is>
      </c>
      <c r="R1578" s="105" t="n"/>
      <c r="S1578" s="105" t="inlineStr">
        <is>
          <t>2027-06-30</t>
        </is>
      </c>
      <c r="T1578" s="105" t="inlineStr">
        <is>
          <t>C1-R0</t>
        </is>
      </c>
      <c r="U1578" s="105" t="inlineStr">
        <is>
          <t>Supplied practice file monthly_cost_forecast.xlsx, row 351</t>
        </is>
      </c>
      <c r="V1578" s="105" t="inlineStr">
        <is>
          <t>Whole source account, not a target allocation. Repeated target rows must not be summed. Aggregate cost / forecast remains withheld.</t>
        </is>
      </c>
    </row>
    <row r="1579" ht="34" customHeight="1">
      <c r="A1579" s="12" t="inlineStr">
        <is>
          <t>Cost &amp; Forecast Control Accounts</t>
        </is>
      </c>
      <c r="B1579" s="12" t="inlineStr">
        <is>
          <t>CST-05-031</t>
        </is>
      </c>
      <c r="C1579" s="12" t="inlineStr">
        <is>
          <t>Testing &amp; readiness - defect closeout - control account</t>
        </is>
      </c>
      <c r="D1579" s="12" t="inlineStr">
        <is>
          <t>Cost Account = CA-5031</t>
        </is>
      </c>
      <c r="E1579" s="12" t="inlineStr">
        <is>
          <t>R1433-v2</t>
        </is>
      </c>
      <c r="F1579" s="12" t="inlineStr">
        <is>
          <t>UNSURE</t>
        </is>
      </c>
      <c r="G1579" s="12" t="inlineStr">
        <is>
          <t>UNSURE</t>
        </is>
      </c>
      <c r="H1579" s="12" t="inlineStr">
        <is>
          <t>APPROVED</t>
        </is>
      </c>
      <c r="I1579" s="12" t="inlineStr">
        <is>
          <t>New</t>
        </is>
      </c>
      <c r="J1579" s="12" t="inlineStr">
        <is>
          <t>Professional decision</t>
        </is>
      </c>
      <c r="K1579" s="12" t="inlineStr">
        <is>
          <t>Maya Chen, Owner Project Controls</t>
        </is>
      </c>
      <c r="L1579" s="12" t="inlineStr"/>
      <c r="M1579" s="12" t="inlineStr"/>
      <c r="N1579" s="17" t="inlineStr">
        <is>
          <t>10 EVIDENCE &amp; DECISIONS</t>
        </is>
      </c>
      <c r="O1579" s="105" t="n">
        <v>1192500</v>
      </c>
      <c r="P1579" s="105" t="n">
        <v>1217500</v>
      </c>
      <c r="Q1579" s="105" t="inlineStr">
        <is>
          <t>CAD</t>
        </is>
      </c>
      <c r="R1579" s="105" t="n"/>
      <c r="S1579" s="105" t="inlineStr">
        <is>
          <t>2027-06-30</t>
        </is>
      </c>
      <c r="T1579" s="105" t="inlineStr">
        <is>
          <t>C1-R0</t>
        </is>
      </c>
      <c r="U1579" s="105" t="inlineStr">
        <is>
          <t>Supplied practice file monthly_cost_forecast.xlsx, row 352</t>
        </is>
      </c>
      <c r="V1579" s="105" t="inlineStr">
        <is>
          <t>Whole source account, not a target allocation. Repeated target rows must not be summed. Aggregate cost / forecast remains withheld.</t>
        </is>
      </c>
    </row>
    <row r="1580" ht="34" customHeight="1">
      <c r="A1580" s="12" t="inlineStr">
        <is>
          <t>Cost &amp; Forecast Control Accounts</t>
        </is>
      </c>
      <c r="B1580" s="12" t="inlineStr">
        <is>
          <t>CST-05-032</t>
        </is>
      </c>
      <c r="C1580" s="12" t="inlineStr">
        <is>
          <t>Testing &amp; readiness - test management - control account</t>
        </is>
      </c>
      <c r="D1580" s="12" t="inlineStr">
        <is>
          <t>Cost Account = CA-5032</t>
        </is>
      </c>
      <c r="E1580" s="12" t="inlineStr">
        <is>
          <t>R1434-v2</t>
        </is>
      </c>
      <c r="F1580" s="12" t="inlineStr">
        <is>
          <t>UNSURE</t>
        </is>
      </c>
      <c r="G1580" s="12" t="inlineStr">
        <is>
          <t>UNSURE</t>
        </is>
      </c>
      <c r="H1580" s="12" t="inlineStr">
        <is>
          <t>APPROVED</t>
        </is>
      </c>
      <c r="I1580" s="12" t="inlineStr">
        <is>
          <t>New</t>
        </is>
      </c>
      <c r="J1580" s="12" t="inlineStr">
        <is>
          <t>Professional decision</t>
        </is>
      </c>
      <c r="K1580" s="12" t="inlineStr">
        <is>
          <t>Maya Chen, Owner Project Controls</t>
        </is>
      </c>
      <c r="L1580" s="12" t="inlineStr"/>
      <c r="M1580" s="12" t="inlineStr"/>
      <c r="N1580" s="17" t="inlineStr">
        <is>
          <t>10 EVIDENCE &amp; DECISIONS</t>
        </is>
      </c>
      <c r="O1580" s="105" t="n">
        <v>1210000</v>
      </c>
      <c r="P1580" s="105" t="n">
        <v>1197500</v>
      </c>
      <c r="Q1580" s="105" t="inlineStr">
        <is>
          <t>CAD</t>
        </is>
      </c>
      <c r="R1580" s="105" t="n"/>
      <c r="S1580" s="105" t="inlineStr">
        <is>
          <t>2027-06-30</t>
        </is>
      </c>
      <c r="T1580" s="105" t="inlineStr">
        <is>
          <t>C1-R0</t>
        </is>
      </c>
      <c r="U1580" s="105" t="inlineStr">
        <is>
          <t>Supplied practice file monthly_cost_forecast.xlsx, row 353</t>
        </is>
      </c>
      <c r="V1580" s="105" t="inlineStr">
        <is>
          <t>Whole source account, not a target allocation. Repeated target rows must not be summed. Aggregate cost / forecast remains withheld.</t>
        </is>
      </c>
    </row>
    <row r="1581" ht="34" customHeight="1">
      <c r="A1581" s="12" t="inlineStr">
        <is>
          <t>Cost &amp; Forecast Control Accounts</t>
        </is>
      </c>
      <c r="B1581" s="12" t="inlineStr">
        <is>
          <t>CST-05-033</t>
        </is>
      </c>
      <c r="C1581" s="12" t="inlineStr">
        <is>
          <t>Testing &amp; readiness - trial running - control account</t>
        </is>
      </c>
      <c r="D1581" s="12" t="inlineStr">
        <is>
          <t>Cost Account = CA-5033</t>
        </is>
      </c>
      <c r="E1581" s="12" t="inlineStr">
        <is>
          <t>R1435-v2</t>
        </is>
      </c>
      <c r="F1581" s="12" t="inlineStr">
        <is>
          <t>UNSURE</t>
        </is>
      </c>
      <c r="G1581" s="12" t="inlineStr">
        <is>
          <t>UNSURE</t>
        </is>
      </c>
      <c r="H1581" s="12" t="inlineStr">
        <is>
          <t>APPROVED</t>
        </is>
      </c>
      <c r="I1581" s="12" t="inlineStr">
        <is>
          <t>New</t>
        </is>
      </c>
      <c r="J1581" s="12" t="inlineStr">
        <is>
          <t>Professional decision</t>
        </is>
      </c>
      <c r="K1581" s="12" t="inlineStr">
        <is>
          <t>Maya Chen, Owner Project Controls</t>
        </is>
      </c>
      <c r="L1581" s="12" t="inlineStr"/>
      <c r="M1581" s="12" t="inlineStr"/>
      <c r="N1581" s="17" t="inlineStr">
        <is>
          <t>10 EVIDENCE &amp; DECISIONS</t>
        </is>
      </c>
      <c r="O1581" s="105" t="n">
        <v>1227500</v>
      </c>
      <c r="P1581" s="105" t="n">
        <v>1227500</v>
      </c>
      <c r="Q1581" s="105" t="inlineStr">
        <is>
          <t>CAD</t>
        </is>
      </c>
      <c r="R1581" s="105" t="n"/>
      <c r="S1581" s="105" t="inlineStr">
        <is>
          <t>2027-06-30</t>
        </is>
      </c>
      <c r="T1581" s="105" t="inlineStr">
        <is>
          <t>C1-R0</t>
        </is>
      </c>
      <c r="U1581" s="105" t="inlineStr">
        <is>
          <t>Supplied practice file monthly_cost_forecast.xlsx, row 354</t>
        </is>
      </c>
      <c r="V1581" s="105" t="inlineStr">
        <is>
          <t>Whole source account, not a target allocation. Repeated target rows must not be summed. Aggregate cost / forecast remains withheld.</t>
        </is>
      </c>
    </row>
    <row r="1582" ht="34" customHeight="1">
      <c r="A1582" s="12" t="inlineStr">
        <is>
          <t>Cost &amp; Forecast Control Accounts</t>
        </is>
      </c>
      <c r="B1582" s="12" t="inlineStr">
        <is>
          <t>CST-05-034</t>
        </is>
      </c>
      <c r="C1582" s="12" t="inlineStr">
        <is>
          <t>Testing &amp; readiness - safety certification - control account</t>
        </is>
      </c>
      <c r="D1582" s="12" t="inlineStr">
        <is>
          <t>Cost Account = CA-5034</t>
        </is>
      </c>
      <c r="E1582" s="12" t="inlineStr">
        <is>
          <t>R1436-v2</t>
        </is>
      </c>
      <c r="F1582" s="12" t="inlineStr">
        <is>
          <t>UNSURE</t>
        </is>
      </c>
      <c r="G1582" s="12" t="inlineStr">
        <is>
          <t>UNSURE</t>
        </is>
      </c>
      <c r="H1582" s="12" t="inlineStr">
        <is>
          <t>APPROVED</t>
        </is>
      </c>
      <c r="I1582" s="12" t="inlineStr">
        <is>
          <t>New</t>
        </is>
      </c>
      <c r="J1582" s="12" t="inlineStr">
        <is>
          <t>Professional decision</t>
        </is>
      </c>
      <c r="K1582" s="12" t="inlineStr">
        <is>
          <t>Maya Chen, Owner Project Controls</t>
        </is>
      </c>
      <c r="L1582" s="12" t="inlineStr"/>
      <c r="M1582" s="12" t="inlineStr"/>
      <c r="N1582" s="17" t="inlineStr">
        <is>
          <t>10 EVIDENCE &amp; DECISIONS</t>
        </is>
      </c>
      <c r="O1582" s="105" t="n">
        <v>1245000</v>
      </c>
      <c r="P1582" s="105" t="n">
        <v>1257500</v>
      </c>
      <c r="Q1582" s="105" t="inlineStr">
        <is>
          <t>CAD</t>
        </is>
      </c>
      <c r="R1582" s="105" t="n"/>
      <c r="S1582" s="105" t="inlineStr">
        <is>
          <t>2027-06-30</t>
        </is>
      </c>
      <c r="T1582" s="105" t="inlineStr">
        <is>
          <t>C1-R0</t>
        </is>
      </c>
      <c r="U1582" s="105" t="inlineStr">
        <is>
          <t>Supplied practice file monthly_cost_forecast.xlsx, row 355</t>
        </is>
      </c>
      <c r="V1582" s="105" t="inlineStr">
        <is>
          <t>Whole source account, not a target allocation. Repeated target rows must not be summed. Aggregate cost / forecast remains withheld.</t>
        </is>
      </c>
    </row>
    <row r="1583" ht="34" customHeight="1">
      <c r="A1583" s="12" t="inlineStr">
        <is>
          <t>Cost &amp; Forecast Control Accounts</t>
        </is>
      </c>
      <c r="B1583" s="12" t="inlineStr">
        <is>
          <t>CST-05-035</t>
        </is>
      </c>
      <c r="C1583" s="12" t="inlineStr">
        <is>
          <t>Testing &amp; readiness - defect closeout - control account</t>
        </is>
      </c>
      <c r="D1583" s="12" t="inlineStr">
        <is>
          <t>Cost Account = CA-5035</t>
        </is>
      </c>
      <c r="E1583" s="12" t="inlineStr">
        <is>
          <t>R1437-v2</t>
        </is>
      </c>
      <c r="F1583" s="12" t="inlineStr">
        <is>
          <t>UNSURE</t>
        </is>
      </c>
      <c r="G1583" s="12" t="inlineStr">
        <is>
          <t>UNSURE</t>
        </is>
      </c>
      <c r="H1583" s="12" t="inlineStr">
        <is>
          <t>APPROVED</t>
        </is>
      </c>
      <c r="I1583" s="12" t="inlineStr">
        <is>
          <t>New</t>
        </is>
      </c>
      <c r="J1583" s="12" t="inlineStr">
        <is>
          <t>Professional decision</t>
        </is>
      </c>
      <c r="K1583" s="12" t="inlineStr">
        <is>
          <t>Maya Chen, Owner Project Controls</t>
        </is>
      </c>
      <c r="L1583" s="12" t="inlineStr"/>
      <c r="M1583" s="12" t="inlineStr"/>
      <c r="N1583" s="17" t="inlineStr">
        <is>
          <t>10 EVIDENCE &amp; DECISIONS</t>
        </is>
      </c>
      <c r="O1583" s="105" t="n">
        <v>1262500</v>
      </c>
      <c r="P1583" s="105" t="n">
        <v>1287500</v>
      </c>
      <c r="Q1583" s="105" t="inlineStr">
        <is>
          <t>CAD</t>
        </is>
      </c>
      <c r="R1583" s="105" t="n"/>
      <c r="S1583" s="105" t="inlineStr">
        <is>
          <t>2027-06-30</t>
        </is>
      </c>
      <c r="T1583" s="105" t="inlineStr">
        <is>
          <t>C1-R0</t>
        </is>
      </c>
      <c r="U1583" s="105" t="inlineStr">
        <is>
          <t>Supplied practice file monthly_cost_forecast.xlsx, row 356</t>
        </is>
      </c>
      <c r="V1583" s="105" t="inlineStr">
        <is>
          <t>Whole source account, not a target allocation. Repeated target rows must not be summed. Aggregate cost / forecast remains withheld.</t>
        </is>
      </c>
    </row>
    <row r="1584" ht="34" customHeight="1">
      <c r="A1584" s="12" t="inlineStr">
        <is>
          <t>Cost &amp; Forecast Control Accounts</t>
        </is>
      </c>
      <c r="B1584" s="12" t="inlineStr">
        <is>
          <t>CST-05-036</t>
        </is>
      </c>
      <c r="C1584" s="12" t="inlineStr">
        <is>
          <t>Testing &amp; readiness - test management - control account</t>
        </is>
      </c>
      <c r="D1584" s="12" t="inlineStr">
        <is>
          <t>Cost Account = CA-5036</t>
        </is>
      </c>
      <c r="E1584" s="12" t="inlineStr">
        <is>
          <t>R1438-v2</t>
        </is>
      </c>
      <c r="F1584" s="12" t="inlineStr">
        <is>
          <t>UNSURE</t>
        </is>
      </c>
      <c r="G1584" s="12" t="inlineStr">
        <is>
          <t>UNSURE</t>
        </is>
      </c>
      <c r="H1584" s="12" t="inlineStr">
        <is>
          <t>APPROVED</t>
        </is>
      </c>
      <c r="I1584" s="12" t="inlineStr">
        <is>
          <t>New</t>
        </is>
      </c>
      <c r="J1584" s="12" t="inlineStr">
        <is>
          <t>Professional decision</t>
        </is>
      </c>
      <c r="K1584" s="12" t="inlineStr">
        <is>
          <t>Maya Chen, Owner Project Controls</t>
        </is>
      </c>
      <c r="L1584" s="12" t="inlineStr"/>
      <c r="M1584" s="12" t="inlineStr"/>
      <c r="N1584" s="17" t="inlineStr">
        <is>
          <t>10 EVIDENCE &amp; DECISIONS</t>
        </is>
      </c>
      <c r="O1584" s="105" t="n">
        <v>1280000</v>
      </c>
      <c r="P1584" s="105" t="n">
        <v>1267500</v>
      </c>
      <c r="Q1584" s="105" t="inlineStr">
        <is>
          <t>CAD</t>
        </is>
      </c>
      <c r="R1584" s="105" t="n"/>
      <c r="S1584" s="105" t="inlineStr">
        <is>
          <t>2027-06-30</t>
        </is>
      </c>
      <c r="T1584" s="105" t="inlineStr">
        <is>
          <t>C1-R0</t>
        </is>
      </c>
      <c r="U1584" s="105" t="inlineStr">
        <is>
          <t>Supplied practice file monthly_cost_forecast.xlsx, row 357</t>
        </is>
      </c>
      <c r="V1584" s="105" t="inlineStr">
        <is>
          <t>Whole source account, not a target allocation. Repeated target rows must not be summed. Aggregate cost / forecast remains withheld.</t>
        </is>
      </c>
    </row>
    <row r="1585" ht="34" customHeight="1">
      <c r="A1585" s="12" t="inlineStr">
        <is>
          <t>Cost &amp; Forecast Control Accounts</t>
        </is>
      </c>
      <c r="B1585" s="12" t="inlineStr">
        <is>
          <t>CST-05-037</t>
        </is>
      </c>
      <c r="C1585" s="12" t="inlineStr">
        <is>
          <t>Testing &amp; readiness - trial running - control account</t>
        </is>
      </c>
      <c r="D1585" s="12" t="inlineStr">
        <is>
          <t>Cost Account = CA-5037</t>
        </is>
      </c>
      <c r="E1585" s="12" t="inlineStr">
        <is>
          <t>R1439-v2</t>
        </is>
      </c>
      <c r="F1585" s="12" t="inlineStr">
        <is>
          <t>UNSURE</t>
        </is>
      </c>
      <c r="G1585" s="12" t="inlineStr">
        <is>
          <t>UNSURE</t>
        </is>
      </c>
      <c r="H1585" s="12" t="inlineStr">
        <is>
          <t>APPROVED</t>
        </is>
      </c>
      <c r="I1585" s="12" t="inlineStr">
        <is>
          <t>New</t>
        </is>
      </c>
      <c r="J1585" s="12" t="inlineStr">
        <is>
          <t>Professional decision</t>
        </is>
      </c>
      <c r="K1585" s="12" t="inlineStr">
        <is>
          <t>Maya Chen, Owner Project Controls</t>
        </is>
      </c>
      <c r="L1585" s="12" t="inlineStr"/>
      <c r="M1585" s="12" t="inlineStr"/>
      <c r="N1585" s="17" t="inlineStr">
        <is>
          <t>10 EVIDENCE &amp; DECISIONS</t>
        </is>
      </c>
      <c r="O1585" s="105" t="n">
        <v>1297500</v>
      </c>
      <c r="P1585" s="105" t="n">
        <v>1297500</v>
      </c>
      <c r="Q1585" s="105" t="inlineStr">
        <is>
          <t>CAD</t>
        </is>
      </c>
      <c r="R1585" s="105" t="n"/>
      <c r="S1585" s="105" t="inlineStr">
        <is>
          <t>2027-06-30</t>
        </is>
      </c>
      <c r="T1585" s="105" t="inlineStr">
        <is>
          <t>C1-R0</t>
        </is>
      </c>
      <c r="U1585" s="105" t="inlineStr">
        <is>
          <t>Supplied practice file monthly_cost_forecast.xlsx, row 358</t>
        </is>
      </c>
      <c r="V1585" s="105" t="inlineStr">
        <is>
          <t>Whole source account, not a target allocation. Repeated target rows must not be summed. Aggregate cost / forecast remains withheld.</t>
        </is>
      </c>
    </row>
    <row r="1586" ht="34" customHeight="1">
      <c r="A1586" s="12" t="inlineStr">
        <is>
          <t>Cost &amp; Forecast Control Accounts</t>
        </is>
      </c>
      <c r="B1586" s="12" t="inlineStr">
        <is>
          <t>CST-05-038</t>
        </is>
      </c>
      <c r="C1586" s="12" t="inlineStr">
        <is>
          <t>Testing &amp; readiness - safety certification - control account</t>
        </is>
      </c>
      <c r="D1586" s="12" t="inlineStr">
        <is>
          <t>Cost Account = CA-5038</t>
        </is>
      </c>
      <c r="E1586" s="12" t="inlineStr">
        <is>
          <t>R1440-v2</t>
        </is>
      </c>
      <c r="F1586" s="12" t="inlineStr">
        <is>
          <t>UNSURE</t>
        </is>
      </c>
      <c r="G1586" s="12" t="inlineStr">
        <is>
          <t>UNSURE</t>
        </is>
      </c>
      <c r="H1586" s="12" t="inlineStr">
        <is>
          <t>APPROVED</t>
        </is>
      </c>
      <c r="I1586" s="12" t="inlineStr">
        <is>
          <t>New</t>
        </is>
      </c>
      <c r="J1586" s="12" t="inlineStr">
        <is>
          <t>Professional decision</t>
        </is>
      </c>
      <c r="K1586" s="12" t="inlineStr">
        <is>
          <t>Maya Chen, Owner Project Controls</t>
        </is>
      </c>
      <c r="L1586" s="12" t="inlineStr"/>
      <c r="M1586" s="12" t="inlineStr"/>
      <c r="N1586" s="17" t="inlineStr">
        <is>
          <t>10 EVIDENCE &amp; DECISIONS</t>
        </is>
      </c>
      <c r="O1586" s="105" t="n">
        <v>1315000</v>
      </c>
      <c r="P1586" s="105" t="n">
        <v>1327500</v>
      </c>
      <c r="Q1586" s="105" t="inlineStr">
        <is>
          <t>CAD</t>
        </is>
      </c>
      <c r="R1586" s="105" t="n"/>
      <c r="S1586" s="105" t="inlineStr">
        <is>
          <t>2027-06-30</t>
        </is>
      </c>
      <c r="T1586" s="105" t="inlineStr">
        <is>
          <t>C1-R0</t>
        </is>
      </c>
      <c r="U1586" s="105" t="inlineStr">
        <is>
          <t>Supplied practice file monthly_cost_forecast.xlsx, row 359</t>
        </is>
      </c>
      <c r="V1586" s="105" t="inlineStr">
        <is>
          <t>Whole source account, not a target allocation. Repeated target rows must not be summed. Aggregate cost / forecast remains withheld.</t>
        </is>
      </c>
    </row>
    <row r="1587" ht="34" customHeight="1">
      <c r="A1587" s="12" t="inlineStr">
        <is>
          <t>Cost &amp; Forecast Control Accounts</t>
        </is>
      </c>
      <c r="B1587" s="12" t="inlineStr">
        <is>
          <t>CST-05-039</t>
        </is>
      </c>
      <c r="C1587" s="12" t="inlineStr">
        <is>
          <t>Testing &amp; readiness - defect closeout - control account</t>
        </is>
      </c>
      <c r="D1587" s="12" t="inlineStr">
        <is>
          <t>Cost Account = CA-5039</t>
        </is>
      </c>
      <c r="E1587" s="12" t="inlineStr">
        <is>
          <t>R1441-v2</t>
        </is>
      </c>
      <c r="F1587" s="12" t="inlineStr">
        <is>
          <t>UNSURE</t>
        </is>
      </c>
      <c r="G1587" s="12" t="inlineStr">
        <is>
          <t>UNSURE</t>
        </is>
      </c>
      <c r="H1587" s="12" t="inlineStr">
        <is>
          <t>APPROVED</t>
        </is>
      </c>
      <c r="I1587" s="12" t="inlineStr">
        <is>
          <t>New</t>
        </is>
      </c>
      <c r="J1587" s="12" t="inlineStr">
        <is>
          <t>Professional decision</t>
        </is>
      </c>
      <c r="K1587" s="12" t="inlineStr">
        <is>
          <t>Maya Chen, Owner Project Controls</t>
        </is>
      </c>
      <c r="L1587" s="12" t="inlineStr"/>
      <c r="M1587" s="12" t="inlineStr"/>
      <c r="N1587" s="17" t="inlineStr">
        <is>
          <t>10 EVIDENCE &amp; DECISIONS</t>
        </is>
      </c>
      <c r="O1587" s="105" t="n">
        <v>1332500</v>
      </c>
      <c r="P1587" s="105" t="n">
        <v>1357500</v>
      </c>
      <c r="Q1587" s="105" t="inlineStr">
        <is>
          <t>CAD</t>
        </is>
      </c>
      <c r="R1587" s="105" t="n"/>
      <c r="S1587" s="105" t="inlineStr">
        <is>
          <t>2027-06-30</t>
        </is>
      </c>
      <c r="T1587" s="105" t="inlineStr">
        <is>
          <t>C1-R0</t>
        </is>
      </c>
      <c r="U1587" s="105" t="inlineStr">
        <is>
          <t>Supplied practice file monthly_cost_forecast.xlsx, row 360</t>
        </is>
      </c>
      <c r="V1587" s="105" t="inlineStr">
        <is>
          <t>Whole source account, not a target allocation. Repeated target rows must not be summed. Aggregate cost / forecast remains withheld.</t>
        </is>
      </c>
    </row>
    <row r="1588" ht="34" customHeight="1">
      <c r="A1588" s="12" t="inlineStr">
        <is>
          <t>Cost &amp; Forecast Control Accounts</t>
        </is>
      </c>
      <c r="B1588" s="12" t="inlineStr">
        <is>
          <t>CST-05-040</t>
        </is>
      </c>
      <c r="C1588" s="12" t="inlineStr">
        <is>
          <t>Testing &amp; readiness - test management - control account</t>
        </is>
      </c>
      <c r="D1588" s="12" t="inlineStr">
        <is>
          <t>Cost Account = CA-5040</t>
        </is>
      </c>
      <c r="E1588" s="12" t="inlineStr">
        <is>
          <t>R1442-v2</t>
        </is>
      </c>
      <c r="F1588" s="12" t="inlineStr">
        <is>
          <t>UNSURE</t>
        </is>
      </c>
      <c r="G1588" s="12" t="inlineStr">
        <is>
          <t>UNSURE</t>
        </is>
      </c>
      <c r="H1588" s="12" t="inlineStr">
        <is>
          <t>APPROVED</t>
        </is>
      </c>
      <c r="I1588" s="12" t="inlineStr">
        <is>
          <t>New</t>
        </is>
      </c>
      <c r="J1588" s="12" t="inlineStr">
        <is>
          <t>Professional decision</t>
        </is>
      </c>
      <c r="K1588" s="12" t="inlineStr">
        <is>
          <t>Maya Chen, Owner Project Controls</t>
        </is>
      </c>
      <c r="L1588" s="12" t="inlineStr"/>
      <c r="M1588" s="12" t="inlineStr"/>
      <c r="N1588" s="17" t="inlineStr">
        <is>
          <t>10 EVIDENCE &amp; DECISIONS</t>
        </is>
      </c>
      <c r="O1588" s="105" t="n">
        <v>1350000</v>
      </c>
      <c r="P1588" s="105" t="n">
        <v>1337500</v>
      </c>
      <c r="Q1588" s="105" t="inlineStr">
        <is>
          <t>CAD</t>
        </is>
      </c>
      <c r="R1588" s="105" t="n"/>
      <c r="S1588" s="105" t="inlineStr">
        <is>
          <t>2027-06-30</t>
        </is>
      </c>
      <c r="T1588" s="105" t="inlineStr">
        <is>
          <t>C1-R0</t>
        </is>
      </c>
      <c r="U1588" s="105" t="inlineStr">
        <is>
          <t>Supplied practice file monthly_cost_forecast.xlsx, row 361</t>
        </is>
      </c>
      <c r="V1588" s="105" t="inlineStr">
        <is>
          <t>Whole source account, not a target allocation. Repeated target rows must not be summed. Aggregate cost / forecast remains withheld.</t>
        </is>
      </c>
    </row>
    <row r="1589" ht="34" customHeight="1">
      <c r="A1589" s="12" t="inlineStr">
        <is>
          <t>Cost &amp; Forecast Control Accounts</t>
        </is>
      </c>
      <c r="B1589" s="12" t="inlineStr">
        <is>
          <t>CST-05-041</t>
        </is>
      </c>
      <c r="C1589" s="12" t="inlineStr">
        <is>
          <t>Testing &amp; readiness - trial running - control account</t>
        </is>
      </c>
      <c r="D1589" s="12" t="inlineStr">
        <is>
          <t>Cost Account = CA-5041</t>
        </is>
      </c>
      <c r="E1589" s="12" t="inlineStr">
        <is>
          <t>R1443-v2</t>
        </is>
      </c>
      <c r="F1589" s="12" t="inlineStr">
        <is>
          <t>UNSURE</t>
        </is>
      </c>
      <c r="G1589" s="12" t="inlineStr">
        <is>
          <t>UNSURE</t>
        </is>
      </c>
      <c r="H1589" s="12" t="inlineStr">
        <is>
          <t>APPROVED</t>
        </is>
      </c>
      <c r="I1589" s="12" t="inlineStr">
        <is>
          <t>New</t>
        </is>
      </c>
      <c r="J1589" s="12" t="inlineStr">
        <is>
          <t>Professional decision</t>
        </is>
      </c>
      <c r="K1589" s="12" t="inlineStr">
        <is>
          <t>Maya Chen, Owner Project Controls</t>
        </is>
      </c>
      <c r="L1589" s="12" t="inlineStr"/>
      <c r="M1589" s="12" t="inlineStr"/>
      <c r="N1589" s="17" t="inlineStr">
        <is>
          <t>10 EVIDENCE &amp; DECISIONS</t>
        </is>
      </c>
      <c r="O1589" s="105" t="n">
        <v>1367500</v>
      </c>
      <c r="P1589" s="105" t="n">
        <v>1367500</v>
      </c>
      <c r="Q1589" s="105" t="inlineStr">
        <is>
          <t>CAD</t>
        </is>
      </c>
      <c r="R1589" s="105" t="n"/>
      <c r="S1589" s="105" t="inlineStr">
        <is>
          <t>2027-06-30</t>
        </is>
      </c>
      <c r="T1589" s="105" t="inlineStr">
        <is>
          <t>C1-R0</t>
        </is>
      </c>
      <c r="U1589" s="105" t="inlineStr">
        <is>
          <t>Supplied practice file monthly_cost_forecast.xlsx, row 362</t>
        </is>
      </c>
      <c r="V1589" s="105" t="inlineStr">
        <is>
          <t>Whole source account, not a target allocation. Repeated target rows must not be summed. Aggregate cost / forecast remains withheld.</t>
        </is>
      </c>
    </row>
    <row r="1590" ht="34" customHeight="1">
      <c r="A1590" s="12" t="inlineStr">
        <is>
          <t>Cost &amp; Forecast Control Accounts</t>
        </is>
      </c>
      <c r="B1590" s="12" t="inlineStr">
        <is>
          <t>CST-05-042</t>
        </is>
      </c>
      <c r="C1590" s="12" t="inlineStr">
        <is>
          <t>Testing &amp; readiness - safety certification - control account</t>
        </is>
      </c>
      <c r="D1590" s="12" t="inlineStr">
        <is>
          <t>Cost Account = CA-5042</t>
        </is>
      </c>
      <c r="E1590" s="12" t="inlineStr">
        <is>
          <t>R1444-v2</t>
        </is>
      </c>
      <c r="F1590" s="12" t="inlineStr">
        <is>
          <t>UNSURE</t>
        </is>
      </c>
      <c r="G1590" s="12" t="inlineStr">
        <is>
          <t>UNSURE</t>
        </is>
      </c>
      <c r="H1590" s="12" t="inlineStr">
        <is>
          <t>APPROVED</t>
        </is>
      </c>
      <c r="I1590" s="12" t="inlineStr">
        <is>
          <t>New</t>
        </is>
      </c>
      <c r="J1590" s="12" t="inlineStr">
        <is>
          <t>Professional decision</t>
        </is>
      </c>
      <c r="K1590" s="12" t="inlineStr">
        <is>
          <t>Maya Chen, Owner Project Controls</t>
        </is>
      </c>
      <c r="L1590" s="12" t="inlineStr"/>
      <c r="M1590" s="12" t="inlineStr"/>
      <c r="N1590" s="17" t="inlineStr">
        <is>
          <t>10 EVIDENCE &amp; DECISIONS</t>
        </is>
      </c>
      <c r="O1590" s="105" t="n">
        <v>1385000</v>
      </c>
      <c r="P1590" s="105" t="n">
        <v>1397500</v>
      </c>
      <c r="Q1590" s="105" t="inlineStr">
        <is>
          <t>CAD</t>
        </is>
      </c>
      <c r="R1590" s="105" t="n"/>
      <c r="S1590" s="105" t="inlineStr">
        <is>
          <t>2027-06-30</t>
        </is>
      </c>
      <c r="T1590" s="105" t="inlineStr">
        <is>
          <t>C1-R0</t>
        </is>
      </c>
      <c r="U1590" s="105" t="inlineStr">
        <is>
          <t>Supplied practice file monthly_cost_forecast.xlsx, row 363</t>
        </is>
      </c>
      <c r="V1590" s="105" t="inlineStr">
        <is>
          <t>Whole source account, not a target allocation. Repeated target rows must not be summed. Aggregate cost / forecast remains withheld.</t>
        </is>
      </c>
    </row>
    <row r="1591" ht="34" customHeight="1">
      <c r="A1591" s="12" t="inlineStr">
        <is>
          <t>Cost &amp; Forecast Control Accounts</t>
        </is>
      </c>
      <c r="B1591" s="12" t="inlineStr">
        <is>
          <t>CST-05-043</t>
        </is>
      </c>
      <c r="C1591" s="12" t="inlineStr">
        <is>
          <t>Testing &amp; readiness - defect closeout - control account</t>
        </is>
      </c>
      <c r="D1591" s="12" t="inlineStr">
        <is>
          <t>Cost Account = CA-5043</t>
        </is>
      </c>
      <c r="E1591" s="12" t="inlineStr">
        <is>
          <t>R1445-v2</t>
        </is>
      </c>
      <c r="F1591" s="12" t="inlineStr">
        <is>
          <t>UNSURE</t>
        </is>
      </c>
      <c r="G1591" s="12" t="inlineStr">
        <is>
          <t>UNSURE</t>
        </is>
      </c>
      <c r="H1591" s="12" t="inlineStr">
        <is>
          <t>APPROVED</t>
        </is>
      </c>
      <c r="I1591" s="12" t="inlineStr">
        <is>
          <t>New</t>
        </is>
      </c>
      <c r="J1591" s="12" t="inlineStr">
        <is>
          <t>Professional decision</t>
        </is>
      </c>
      <c r="K1591" s="12" t="inlineStr">
        <is>
          <t>Maya Chen, Owner Project Controls</t>
        </is>
      </c>
      <c r="L1591" s="12" t="inlineStr"/>
      <c r="M1591" s="12" t="inlineStr"/>
      <c r="N1591" s="17" t="inlineStr">
        <is>
          <t>10 EVIDENCE &amp; DECISIONS</t>
        </is>
      </c>
      <c r="O1591" s="105" t="n">
        <v>1402500</v>
      </c>
      <c r="P1591" s="105" t="n">
        <v>1427500</v>
      </c>
      <c r="Q1591" s="105" t="inlineStr">
        <is>
          <t>CAD</t>
        </is>
      </c>
      <c r="R1591" s="105" t="n"/>
      <c r="S1591" s="105" t="inlineStr">
        <is>
          <t>2027-06-30</t>
        </is>
      </c>
      <c r="T1591" s="105" t="inlineStr">
        <is>
          <t>C1-R0</t>
        </is>
      </c>
      <c r="U1591" s="105" t="inlineStr">
        <is>
          <t>Supplied practice file monthly_cost_forecast.xlsx, row 364</t>
        </is>
      </c>
      <c r="V1591" s="105" t="inlineStr">
        <is>
          <t>Whole source account, not a target allocation. Repeated target rows must not be summed. Aggregate cost / forecast remains withheld.</t>
        </is>
      </c>
    </row>
    <row r="1592" ht="34" customHeight="1">
      <c r="A1592" s="12" t="inlineStr">
        <is>
          <t>Cost &amp; Forecast Control Accounts</t>
        </is>
      </c>
      <c r="B1592" s="12" t="inlineStr">
        <is>
          <t>CST-05-044</t>
        </is>
      </c>
      <c r="C1592" s="12" t="inlineStr">
        <is>
          <t>Testing &amp; readiness - test management - control account</t>
        </is>
      </c>
      <c r="D1592" s="12" t="inlineStr">
        <is>
          <t>Cost Account = CA-5044</t>
        </is>
      </c>
      <c r="E1592" s="12" t="inlineStr">
        <is>
          <t>R1446-v2</t>
        </is>
      </c>
      <c r="F1592" s="12" t="inlineStr">
        <is>
          <t>UNSURE</t>
        </is>
      </c>
      <c r="G1592" s="12" t="inlineStr">
        <is>
          <t>UNSURE</t>
        </is>
      </c>
      <c r="H1592" s="12" t="inlineStr">
        <is>
          <t>APPROVED</t>
        </is>
      </c>
      <c r="I1592" s="12" t="inlineStr">
        <is>
          <t>New</t>
        </is>
      </c>
      <c r="J1592" s="12" t="inlineStr">
        <is>
          <t>Professional decision</t>
        </is>
      </c>
      <c r="K1592" s="12" t="inlineStr">
        <is>
          <t>Maya Chen, Owner Project Controls</t>
        </is>
      </c>
      <c r="L1592" s="12" t="inlineStr"/>
      <c r="M1592" s="12" t="inlineStr"/>
      <c r="N1592" s="17" t="inlineStr">
        <is>
          <t>10 EVIDENCE &amp; DECISIONS</t>
        </is>
      </c>
      <c r="O1592" s="105" t="n">
        <v>1420000</v>
      </c>
      <c r="P1592" s="105" t="n">
        <v>1407500</v>
      </c>
      <c r="Q1592" s="105" t="inlineStr">
        <is>
          <t>CAD</t>
        </is>
      </c>
      <c r="R1592" s="105" t="n"/>
      <c r="S1592" s="105" t="inlineStr">
        <is>
          <t>2027-06-30</t>
        </is>
      </c>
      <c r="T1592" s="105" t="inlineStr">
        <is>
          <t>C1-R0</t>
        </is>
      </c>
      <c r="U1592" s="105" t="inlineStr">
        <is>
          <t>Supplied practice file monthly_cost_forecast.xlsx, row 365</t>
        </is>
      </c>
      <c r="V1592" s="105" t="inlineStr">
        <is>
          <t>Whole source account, not a target allocation. Repeated target rows must not be summed. Aggregate cost / forecast remains withheld.</t>
        </is>
      </c>
    </row>
    <row r="1593" ht="34" customHeight="1">
      <c r="A1593" s="12" t="inlineStr">
        <is>
          <t>Cost &amp; Forecast Control Accounts</t>
        </is>
      </c>
      <c r="B1593" s="12" t="inlineStr">
        <is>
          <t>CST-05-045</t>
        </is>
      </c>
      <c r="C1593" s="12" t="inlineStr">
        <is>
          <t>Testing &amp; readiness - trial running - control account</t>
        </is>
      </c>
      <c r="D1593" s="12" t="inlineStr">
        <is>
          <t>Cost Account = CA-5045</t>
        </is>
      </c>
      <c r="E1593" s="12" t="inlineStr">
        <is>
          <t>R1447-v2</t>
        </is>
      </c>
      <c r="F1593" s="12" t="inlineStr">
        <is>
          <t>UNSURE</t>
        </is>
      </c>
      <c r="G1593" s="12" t="inlineStr">
        <is>
          <t>UNSURE</t>
        </is>
      </c>
      <c r="H1593" s="12" t="inlineStr">
        <is>
          <t>APPROVED</t>
        </is>
      </c>
      <c r="I1593" s="12" t="inlineStr">
        <is>
          <t>New</t>
        </is>
      </c>
      <c r="J1593" s="12" t="inlineStr">
        <is>
          <t>Professional decision</t>
        </is>
      </c>
      <c r="K1593" s="12" t="inlineStr">
        <is>
          <t>Maya Chen, Owner Project Controls</t>
        </is>
      </c>
      <c r="L1593" s="12" t="inlineStr"/>
      <c r="M1593" s="12" t="inlineStr"/>
      <c r="N1593" s="17" t="inlineStr">
        <is>
          <t>10 EVIDENCE &amp; DECISIONS</t>
        </is>
      </c>
      <c r="O1593" s="105" t="n">
        <v>1437500</v>
      </c>
      <c r="P1593" s="105" t="n">
        <v>1437500</v>
      </c>
      <c r="Q1593" s="105" t="inlineStr">
        <is>
          <t>CAD</t>
        </is>
      </c>
      <c r="R1593" s="105" t="n"/>
      <c r="S1593" s="105" t="inlineStr">
        <is>
          <t>2027-06-30</t>
        </is>
      </c>
      <c r="T1593" s="105" t="inlineStr">
        <is>
          <t>C1-R0</t>
        </is>
      </c>
      <c r="U1593" s="105" t="inlineStr">
        <is>
          <t>Supplied practice file monthly_cost_forecast.xlsx, row 366</t>
        </is>
      </c>
      <c r="V1593" s="105" t="inlineStr">
        <is>
          <t>Whole source account, not a target allocation. Repeated target rows must not be summed. Aggregate cost / forecast remains withheld.</t>
        </is>
      </c>
    </row>
    <row r="1594" ht="34" customHeight="1">
      <c r="A1594" s="12" t="inlineStr">
        <is>
          <t>Cost &amp; Forecast Control Accounts</t>
        </is>
      </c>
      <c r="B1594" s="12" t="inlineStr">
        <is>
          <t>CST-05-046</t>
        </is>
      </c>
      <c r="C1594" s="12" t="inlineStr">
        <is>
          <t>Testing &amp; readiness - safety certification - control account</t>
        </is>
      </c>
      <c r="D1594" s="12" t="inlineStr">
        <is>
          <t>Cost Account = CA-5046</t>
        </is>
      </c>
      <c r="E1594" s="12" t="inlineStr">
        <is>
          <t>R1448-v2</t>
        </is>
      </c>
      <c r="F1594" s="12" t="inlineStr">
        <is>
          <t>UNSURE</t>
        </is>
      </c>
      <c r="G1594" s="12" t="inlineStr">
        <is>
          <t>UNSURE</t>
        </is>
      </c>
      <c r="H1594" s="12" t="inlineStr">
        <is>
          <t>APPROVED</t>
        </is>
      </c>
      <c r="I1594" s="12" t="inlineStr">
        <is>
          <t>New</t>
        </is>
      </c>
      <c r="J1594" s="12" t="inlineStr">
        <is>
          <t>Professional decision</t>
        </is>
      </c>
      <c r="K1594" s="12" t="inlineStr">
        <is>
          <t>Maya Chen, Owner Project Controls</t>
        </is>
      </c>
      <c r="L1594" s="12" t="inlineStr"/>
      <c r="M1594" s="12" t="inlineStr"/>
      <c r="N1594" s="17" t="inlineStr">
        <is>
          <t>10 EVIDENCE &amp; DECISIONS</t>
        </is>
      </c>
      <c r="O1594" s="105" t="n">
        <v>1455000</v>
      </c>
      <c r="P1594" s="105" t="n">
        <v>1467500</v>
      </c>
      <c r="Q1594" s="105" t="inlineStr">
        <is>
          <t>CAD</t>
        </is>
      </c>
      <c r="R1594" s="105" t="n"/>
      <c r="S1594" s="105" t="inlineStr">
        <is>
          <t>2027-06-30</t>
        </is>
      </c>
      <c r="T1594" s="105" t="inlineStr">
        <is>
          <t>C1-R0</t>
        </is>
      </c>
      <c r="U1594" s="105" t="inlineStr">
        <is>
          <t>Supplied practice file monthly_cost_forecast.xlsx, row 367</t>
        </is>
      </c>
      <c r="V1594" s="105" t="inlineStr">
        <is>
          <t>Whole source account, not a target allocation. Repeated target rows must not be summed. Aggregate cost / forecast remains withheld.</t>
        </is>
      </c>
    </row>
    <row r="1595" ht="34" customHeight="1">
      <c r="A1595" s="12" t="inlineStr">
        <is>
          <t>Cost &amp; Forecast Control Accounts</t>
        </is>
      </c>
      <c r="B1595" s="12" t="inlineStr">
        <is>
          <t>CST-05-047</t>
        </is>
      </c>
      <c r="C1595" s="12" t="inlineStr">
        <is>
          <t>Testing &amp; readiness - defect closeout - control account</t>
        </is>
      </c>
      <c r="D1595" s="12" t="inlineStr">
        <is>
          <t>Cost Account = CA-5047</t>
        </is>
      </c>
      <c r="E1595" s="12" t="inlineStr">
        <is>
          <t>R1449-v2</t>
        </is>
      </c>
      <c r="F1595" s="12" t="inlineStr">
        <is>
          <t>UNSURE</t>
        </is>
      </c>
      <c r="G1595" s="12" t="inlineStr">
        <is>
          <t>UNSURE</t>
        </is>
      </c>
      <c r="H1595" s="12" t="inlineStr">
        <is>
          <t>APPROVED</t>
        </is>
      </c>
      <c r="I1595" s="12" t="inlineStr">
        <is>
          <t>New</t>
        </is>
      </c>
      <c r="J1595" s="12" t="inlineStr">
        <is>
          <t>Professional decision</t>
        </is>
      </c>
      <c r="K1595" s="12" t="inlineStr">
        <is>
          <t>Maya Chen, Owner Project Controls</t>
        </is>
      </c>
      <c r="L1595" s="12" t="inlineStr"/>
      <c r="M1595" s="12" t="inlineStr"/>
      <c r="N1595" s="17" t="inlineStr">
        <is>
          <t>10 EVIDENCE &amp; DECISIONS</t>
        </is>
      </c>
      <c r="O1595" s="105" t="n">
        <v>1472500</v>
      </c>
      <c r="P1595" s="105" t="n">
        <v>1497500</v>
      </c>
      <c r="Q1595" s="105" t="inlineStr">
        <is>
          <t>CAD</t>
        </is>
      </c>
      <c r="R1595" s="105" t="n"/>
      <c r="S1595" s="105" t="inlineStr">
        <is>
          <t>2027-06-30</t>
        </is>
      </c>
      <c r="T1595" s="105" t="inlineStr">
        <is>
          <t>C1-R0</t>
        </is>
      </c>
      <c r="U1595" s="105" t="inlineStr">
        <is>
          <t>Supplied practice file monthly_cost_forecast.xlsx, row 368</t>
        </is>
      </c>
      <c r="V1595" s="105" t="inlineStr">
        <is>
          <t>Whole source account, not a target allocation. Repeated target rows must not be summed. Aggregate cost / forecast remains withheld.</t>
        </is>
      </c>
    </row>
    <row r="1596" ht="34" customHeight="1">
      <c r="A1596" s="12" t="inlineStr">
        <is>
          <t>Cost &amp; Forecast Control Accounts</t>
        </is>
      </c>
      <c r="B1596" s="12" t="inlineStr">
        <is>
          <t>CST-05-048</t>
        </is>
      </c>
      <c r="C1596" s="12" t="inlineStr">
        <is>
          <t>Testing &amp; readiness - test management - control account</t>
        </is>
      </c>
      <c r="D1596" s="12" t="inlineStr">
        <is>
          <t>Cost Account = CA-5048</t>
        </is>
      </c>
      <c r="E1596" s="12" t="inlineStr">
        <is>
          <t>R1450-v2</t>
        </is>
      </c>
      <c r="F1596" s="12" t="inlineStr">
        <is>
          <t>UNSURE</t>
        </is>
      </c>
      <c r="G1596" s="12" t="inlineStr">
        <is>
          <t>UNSURE</t>
        </is>
      </c>
      <c r="H1596" s="12" t="inlineStr">
        <is>
          <t>APPROVED</t>
        </is>
      </c>
      <c r="I1596" s="12" t="inlineStr">
        <is>
          <t>New</t>
        </is>
      </c>
      <c r="J1596" s="12" t="inlineStr">
        <is>
          <t>Professional decision</t>
        </is>
      </c>
      <c r="K1596" s="12" t="inlineStr">
        <is>
          <t>Maya Chen, Owner Project Controls</t>
        </is>
      </c>
      <c r="L1596" s="12" t="inlineStr"/>
      <c r="M1596" s="12" t="inlineStr"/>
      <c r="N1596" s="17" t="inlineStr">
        <is>
          <t>10 EVIDENCE &amp; DECISIONS</t>
        </is>
      </c>
      <c r="O1596" s="105" t="n">
        <v>1490000</v>
      </c>
      <c r="P1596" s="105" t="n">
        <v>1477500</v>
      </c>
      <c r="Q1596" s="105" t="inlineStr">
        <is>
          <t>CAD</t>
        </is>
      </c>
      <c r="R1596" s="105" t="n"/>
      <c r="S1596" s="105" t="inlineStr">
        <is>
          <t>2027-06-30</t>
        </is>
      </c>
      <c r="T1596" s="105" t="inlineStr">
        <is>
          <t>C1-R0</t>
        </is>
      </c>
      <c r="U1596" s="105" t="inlineStr">
        <is>
          <t>Supplied practice file monthly_cost_forecast.xlsx, row 369</t>
        </is>
      </c>
      <c r="V1596" s="105" t="inlineStr">
        <is>
          <t>Whole source account, not a target allocation. Repeated target rows must not be summed. Aggregate cost / forecast remains withheld.</t>
        </is>
      </c>
    </row>
    <row r="1597" ht="34" customHeight="1">
      <c r="A1597" s="12" t="inlineStr">
        <is>
          <t>Cost &amp; Forecast Control Accounts</t>
        </is>
      </c>
      <c r="B1597" s="12" t="inlineStr">
        <is>
          <t>CST-05-049</t>
        </is>
      </c>
      <c r="C1597" s="12" t="inlineStr">
        <is>
          <t>Testing &amp; readiness - trial running - control account</t>
        </is>
      </c>
      <c r="D1597" s="12" t="inlineStr">
        <is>
          <t>Cost Account = CA-5049</t>
        </is>
      </c>
      <c r="E1597" s="12" t="inlineStr">
        <is>
          <t>R1451-v2</t>
        </is>
      </c>
      <c r="F1597" s="12" t="inlineStr">
        <is>
          <t>UNSURE</t>
        </is>
      </c>
      <c r="G1597" s="12" t="inlineStr">
        <is>
          <t>UNSURE</t>
        </is>
      </c>
      <c r="H1597" s="12" t="inlineStr">
        <is>
          <t>APPROVED</t>
        </is>
      </c>
      <c r="I1597" s="12" t="inlineStr">
        <is>
          <t>New</t>
        </is>
      </c>
      <c r="J1597" s="12" t="inlineStr">
        <is>
          <t>Professional decision</t>
        </is>
      </c>
      <c r="K1597" s="12" t="inlineStr">
        <is>
          <t>Maya Chen, Owner Project Controls</t>
        </is>
      </c>
      <c r="L1597" s="12" t="inlineStr"/>
      <c r="M1597" s="12" t="inlineStr"/>
      <c r="N1597" s="17" t="inlineStr">
        <is>
          <t>10 EVIDENCE &amp; DECISIONS</t>
        </is>
      </c>
      <c r="O1597" s="105" t="n">
        <v>1507500</v>
      </c>
      <c r="P1597" s="105" t="n">
        <v>1507500</v>
      </c>
      <c r="Q1597" s="105" t="inlineStr">
        <is>
          <t>CAD</t>
        </is>
      </c>
      <c r="R1597" s="105" t="n"/>
      <c r="S1597" s="105" t="inlineStr">
        <is>
          <t>2027-06-30</t>
        </is>
      </c>
      <c r="T1597" s="105" t="inlineStr">
        <is>
          <t>C1-R0</t>
        </is>
      </c>
      <c r="U1597" s="105" t="inlineStr">
        <is>
          <t>Supplied practice file monthly_cost_forecast.xlsx, row 370</t>
        </is>
      </c>
      <c r="V1597" s="105" t="inlineStr">
        <is>
          <t>Whole source account, not a target allocation. Repeated target rows must not be summed. Aggregate cost / forecast remains withheld.</t>
        </is>
      </c>
    </row>
    <row r="1598" ht="34" customHeight="1">
      <c r="A1598" s="12" t="inlineStr">
        <is>
          <t>Cost &amp; Forecast Control Accounts</t>
        </is>
      </c>
      <c r="B1598" s="12" t="inlineStr">
        <is>
          <t>CST-05-050</t>
        </is>
      </c>
      <c r="C1598" s="12" t="inlineStr">
        <is>
          <t>Testing &amp; readiness - safety certification - control account</t>
        </is>
      </c>
      <c r="D1598" s="12" t="inlineStr">
        <is>
          <t>Cost Account = CA-5050</t>
        </is>
      </c>
      <c r="E1598" s="12" t="inlineStr">
        <is>
          <t>R1452-v2</t>
        </is>
      </c>
      <c r="F1598" s="12" t="inlineStr">
        <is>
          <t>UNSURE</t>
        </is>
      </c>
      <c r="G1598" s="12" t="inlineStr">
        <is>
          <t>UNSURE</t>
        </is>
      </c>
      <c r="H1598" s="12" t="inlineStr">
        <is>
          <t>APPROVED</t>
        </is>
      </c>
      <c r="I1598" s="12" t="inlineStr">
        <is>
          <t>New</t>
        </is>
      </c>
      <c r="J1598" s="12" t="inlineStr">
        <is>
          <t>Professional decision</t>
        </is>
      </c>
      <c r="K1598" s="12" t="inlineStr">
        <is>
          <t>Maya Chen, Owner Project Controls</t>
        </is>
      </c>
      <c r="L1598" s="12" t="inlineStr"/>
      <c r="M1598" s="12" t="inlineStr"/>
      <c r="N1598" s="17" t="inlineStr">
        <is>
          <t>10 EVIDENCE &amp; DECISIONS</t>
        </is>
      </c>
      <c r="O1598" s="105" t="n">
        <v>1525000</v>
      </c>
      <c r="P1598" s="105" t="n">
        <v>1537500</v>
      </c>
      <c r="Q1598" s="105" t="inlineStr">
        <is>
          <t>CAD</t>
        </is>
      </c>
      <c r="R1598" s="105" t="n"/>
      <c r="S1598" s="105" t="inlineStr">
        <is>
          <t>2027-06-30</t>
        </is>
      </c>
      <c r="T1598" s="105" t="inlineStr">
        <is>
          <t>C1-R0</t>
        </is>
      </c>
      <c r="U1598" s="105" t="inlineStr">
        <is>
          <t>Supplied practice file monthly_cost_forecast.xlsx, row 371</t>
        </is>
      </c>
      <c r="V1598" s="105" t="inlineStr">
        <is>
          <t>Whole source account, not a target allocation. Repeated target rows must not be summed. Aggregate cost / forecast remains withheld.</t>
        </is>
      </c>
    </row>
    <row r="1599" ht="34" customHeight="1">
      <c r="A1599" s="12" t="inlineStr">
        <is>
          <t>Cost &amp; Forecast Control Accounts</t>
        </is>
      </c>
      <c r="B1599" s="12" t="inlineStr">
        <is>
          <t>CST-05-051</t>
        </is>
      </c>
      <c r="C1599" s="12" t="inlineStr">
        <is>
          <t>Testing &amp; readiness - defect closeout - control account</t>
        </is>
      </c>
      <c r="D1599" s="12" t="inlineStr">
        <is>
          <t>Cost Account = CA-5051</t>
        </is>
      </c>
      <c r="E1599" s="12" t="inlineStr">
        <is>
          <t>R1453-v2</t>
        </is>
      </c>
      <c r="F1599" s="12" t="inlineStr">
        <is>
          <t>UNSURE</t>
        </is>
      </c>
      <c r="G1599" s="12" t="inlineStr">
        <is>
          <t>UNSURE</t>
        </is>
      </c>
      <c r="H1599" s="12" t="inlineStr">
        <is>
          <t>APPROVED</t>
        </is>
      </c>
      <c r="I1599" s="12" t="inlineStr">
        <is>
          <t>New</t>
        </is>
      </c>
      <c r="J1599" s="12" t="inlineStr">
        <is>
          <t>Professional decision</t>
        </is>
      </c>
      <c r="K1599" s="12" t="inlineStr">
        <is>
          <t>Maya Chen, Owner Project Controls</t>
        </is>
      </c>
      <c r="L1599" s="12" t="inlineStr"/>
      <c r="M1599" s="12" t="inlineStr"/>
      <c r="N1599" s="17" t="inlineStr">
        <is>
          <t>10 EVIDENCE &amp; DECISIONS</t>
        </is>
      </c>
      <c r="O1599" s="105" t="n">
        <v>1542500</v>
      </c>
      <c r="P1599" s="105" t="n">
        <v>1567500</v>
      </c>
      <c r="Q1599" s="105" t="inlineStr">
        <is>
          <t>CAD</t>
        </is>
      </c>
      <c r="R1599" s="105" t="n"/>
      <c r="S1599" s="105" t="inlineStr">
        <is>
          <t>2027-06-30</t>
        </is>
      </c>
      <c r="T1599" s="105" t="inlineStr">
        <is>
          <t>C1-R0</t>
        </is>
      </c>
      <c r="U1599" s="105" t="inlineStr">
        <is>
          <t>Supplied practice file monthly_cost_forecast.xlsx, row 372</t>
        </is>
      </c>
      <c r="V1599" s="105" t="inlineStr">
        <is>
          <t>Whole source account, not a target allocation. Repeated target rows must not be summed. Aggregate cost / forecast remains withheld.</t>
        </is>
      </c>
    </row>
    <row r="1600" ht="34" customHeight="1">
      <c r="A1600" s="12" t="inlineStr">
        <is>
          <t>Cost &amp; Forecast Control Accounts</t>
        </is>
      </c>
      <c r="B1600" s="12" t="inlineStr">
        <is>
          <t>CST-05-052</t>
        </is>
      </c>
      <c r="C1600" s="12" t="inlineStr">
        <is>
          <t>Testing &amp; readiness - test management - control account</t>
        </is>
      </c>
      <c r="D1600" s="12" t="inlineStr">
        <is>
          <t>Cost Account = CA-5052</t>
        </is>
      </c>
      <c r="E1600" s="12" t="inlineStr">
        <is>
          <t>R1454-v2</t>
        </is>
      </c>
      <c r="F1600" s="12" t="inlineStr">
        <is>
          <t>UNSURE</t>
        </is>
      </c>
      <c r="G1600" s="12" t="inlineStr">
        <is>
          <t>UNSURE</t>
        </is>
      </c>
      <c r="H1600" s="12" t="inlineStr">
        <is>
          <t>APPROVED</t>
        </is>
      </c>
      <c r="I1600" s="12" t="inlineStr">
        <is>
          <t>New</t>
        </is>
      </c>
      <c r="J1600" s="12" t="inlineStr">
        <is>
          <t>Professional decision</t>
        </is>
      </c>
      <c r="K1600" s="12" t="inlineStr">
        <is>
          <t>Maya Chen, Owner Project Controls</t>
        </is>
      </c>
      <c r="L1600" s="12" t="inlineStr"/>
      <c r="M1600" s="12" t="inlineStr"/>
      <c r="N1600" s="17" t="inlineStr">
        <is>
          <t>10 EVIDENCE &amp; DECISIONS</t>
        </is>
      </c>
      <c r="O1600" s="105" t="n">
        <v>1560000</v>
      </c>
      <c r="P1600" s="105" t="n">
        <v>1547500</v>
      </c>
      <c r="Q1600" s="105" t="inlineStr">
        <is>
          <t>CAD</t>
        </is>
      </c>
      <c r="R1600" s="105" t="n"/>
      <c r="S1600" s="105" t="inlineStr">
        <is>
          <t>2027-06-30</t>
        </is>
      </c>
      <c r="T1600" s="105" t="inlineStr">
        <is>
          <t>C1-R0</t>
        </is>
      </c>
      <c r="U1600" s="105" t="inlineStr">
        <is>
          <t>Supplied practice file monthly_cost_forecast.xlsx, row 373</t>
        </is>
      </c>
      <c r="V1600" s="105" t="inlineStr">
        <is>
          <t>Whole source account, not a target allocation. Repeated target rows must not be summed. Aggregate cost / forecast remains withheld.</t>
        </is>
      </c>
    </row>
    <row r="1601" ht="34" customHeight="1">
      <c r="A1601" s="12" t="inlineStr">
        <is>
          <t>Cost &amp; Forecast Control Accounts</t>
        </is>
      </c>
      <c r="B1601" s="12" t="inlineStr">
        <is>
          <t>CST-05-053</t>
        </is>
      </c>
      <c r="C1601" s="12" t="inlineStr">
        <is>
          <t>Testing &amp; readiness - trial running - control account</t>
        </is>
      </c>
      <c r="D1601" s="12" t="inlineStr">
        <is>
          <t>Cost Account = CA-5053</t>
        </is>
      </c>
      <c r="E1601" s="12" t="inlineStr">
        <is>
          <t>R1455-v2</t>
        </is>
      </c>
      <c r="F1601" s="12" t="inlineStr">
        <is>
          <t>UNSURE</t>
        </is>
      </c>
      <c r="G1601" s="12" t="inlineStr">
        <is>
          <t>UNSURE</t>
        </is>
      </c>
      <c r="H1601" s="12" t="inlineStr">
        <is>
          <t>APPROVED</t>
        </is>
      </c>
      <c r="I1601" s="12" t="inlineStr">
        <is>
          <t>New</t>
        </is>
      </c>
      <c r="J1601" s="12" t="inlineStr">
        <is>
          <t>Professional decision</t>
        </is>
      </c>
      <c r="K1601" s="12" t="inlineStr">
        <is>
          <t>Maya Chen, Owner Project Controls</t>
        </is>
      </c>
      <c r="L1601" s="12" t="inlineStr"/>
      <c r="M1601" s="12" t="inlineStr"/>
      <c r="N1601" s="17" t="inlineStr">
        <is>
          <t>10 EVIDENCE &amp; DECISIONS</t>
        </is>
      </c>
      <c r="O1601" s="105" t="n">
        <v>1577500</v>
      </c>
      <c r="P1601" s="105" t="n">
        <v>1577500</v>
      </c>
      <c r="Q1601" s="105" t="inlineStr">
        <is>
          <t>CAD</t>
        </is>
      </c>
      <c r="R1601" s="105" t="n"/>
      <c r="S1601" s="105" t="inlineStr">
        <is>
          <t>2027-06-30</t>
        </is>
      </c>
      <c r="T1601" s="105" t="inlineStr">
        <is>
          <t>C1-R0</t>
        </is>
      </c>
      <c r="U1601" s="105" t="inlineStr">
        <is>
          <t>Supplied practice file monthly_cost_forecast.xlsx, row 374</t>
        </is>
      </c>
      <c r="V1601" s="105" t="inlineStr">
        <is>
          <t>Whole source account, not a target allocation. Repeated target rows must not be summed. Aggregate cost / forecast remains withheld.</t>
        </is>
      </c>
    </row>
    <row r="1602" ht="34" customHeight="1">
      <c r="A1602" s="12" t="inlineStr">
        <is>
          <t>Cost &amp; Forecast Control Accounts</t>
        </is>
      </c>
      <c r="B1602" s="12" t="inlineStr">
        <is>
          <t>CST-05-054</t>
        </is>
      </c>
      <c r="C1602" s="12" t="inlineStr">
        <is>
          <t>Testing &amp; readiness - safety certification - control account</t>
        </is>
      </c>
      <c r="D1602" s="12" t="inlineStr">
        <is>
          <t>Cost Account = CA-5054</t>
        </is>
      </c>
      <c r="E1602" s="12" t="inlineStr">
        <is>
          <t>R1456-v2</t>
        </is>
      </c>
      <c r="F1602" s="12" t="inlineStr">
        <is>
          <t>UNSURE</t>
        </is>
      </c>
      <c r="G1602" s="12" t="inlineStr">
        <is>
          <t>UNSURE</t>
        </is>
      </c>
      <c r="H1602" s="12" t="inlineStr">
        <is>
          <t>APPROVED</t>
        </is>
      </c>
      <c r="I1602" s="12" t="inlineStr">
        <is>
          <t>New</t>
        </is>
      </c>
      <c r="J1602" s="12" t="inlineStr">
        <is>
          <t>Professional decision</t>
        </is>
      </c>
      <c r="K1602" s="12" t="inlineStr">
        <is>
          <t>Maya Chen, Owner Project Controls</t>
        </is>
      </c>
      <c r="L1602" s="12" t="inlineStr"/>
      <c r="M1602" s="12" t="inlineStr"/>
      <c r="N1602" s="17" t="inlineStr">
        <is>
          <t>10 EVIDENCE &amp; DECISIONS</t>
        </is>
      </c>
      <c r="O1602" s="105" t="n">
        <v>1595000</v>
      </c>
      <c r="P1602" s="105" t="n">
        <v>1607500</v>
      </c>
      <c r="Q1602" s="105" t="inlineStr">
        <is>
          <t>CAD</t>
        </is>
      </c>
      <c r="R1602" s="105" t="n"/>
      <c r="S1602" s="105" t="inlineStr">
        <is>
          <t>2027-06-30</t>
        </is>
      </c>
      <c r="T1602" s="105" t="inlineStr">
        <is>
          <t>C1-R0</t>
        </is>
      </c>
      <c r="U1602" s="105" t="inlineStr">
        <is>
          <t>Supplied practice file monthly_cost_forecast.xlsx, row 375</t>
        </is>
      </c>
      <c r="V1602" s="105" t="inlineStr">
        <is>
          <t>Whole source account, not a target allocation. Repeated target rows must not be summed. Aggregate cost / forecast remains withheld.</t>
        </is>
      </c>
    </row>
    <row r="1603" ht="34" customHeight="1">
      <c r="A1603" s="12" t="inlineStr">
        <is>
          <t>Cost &amp; Forecast Control Accounts</t>
        </is>
      </c>
      <c r="B1603" s="12" t="inlineStr">
        <is>
          <t>CST-05-055</t>
        </is>
      </c>
      <c r="C1603" s="12" t="inlineStr">
        <is>
          <t>Testing &amp; readiness - defect closeout - control account</t>
        </is>
      </c>
      <c r="D1603" s="12" t="inlineStr">
        <is>
          <t>Cost Account = CA-5055</t>
        </is>
      </c>
      <c r="E1603" s="12" t="inlineStr">
        <is>
          <t>R1457-v2</t>
        </is>
      </c>
      <c r="F1603" s="12" t="inlineStr">
        <is>
          <t>UNSURE</t>
        </is>
      </c>
      <c r="G1603" s="12" t="inlineStr">
        <is>
          <t>UNSURE</t>
        </is>
      </c>
      <c r="H1603" s="12" t="inlineStr">
        <is>
          <t>APPROVED</t>
        </is>
      </c>
      <c r="I1603" s="12" t="inlineStr">
        <is>
          <t>New</t>
        </is>
      </c>
      <c r="J1603" s="12" t="inlineStr">
        <is>
          <t>Professional decision</t>
        </is>
      </c>
      <c r="K1603" s="12" t="inlineStr">
        <is>
          <t>Maya Chen, Owner Project Controls</t>
        </is>
      </c>
      <c r="L1603" s="12" t="inlineStr"/>
      <c r="M1603" s="12" t="inlineStr"/>
      <c r="N1603" s="17" t="inlineStr">
        <is>
          <t>10 EVIDENCE &amp; DECISIONS</t>
        </is>
      </c>
      <c r="O1603" s="105" t="n">
        <v>1612500</v>
      </c>
      <c r="P1603" s="105" t="n">
        <v>1637500</v>
      </c>
      <c r="Q1603" s="105" t="inlineStr">
        <is>
          <t>CAD</t>
        </is>
      </c>
      <c r="R1603" s="105" t="n"/>
      <c r="S1603" s="105" t="inlineStr">
        <is>
          <t>2027-06-30</t>
        </is>
      </c>
      <c r="T1603" s="105" t="inlineStr">
        <is>
          <t>C1-R0</t>
        </is>
      </c>
      <c r="U1603" s="105" t="inlineStr">
        <is>
          <t>Supplied practice file monthly_cost_forecast.xlsx, row 376</t>
        </is>
      </c>
      <c r="V1603" s="105" t="inlineStr">
        <is>
          <t>Whole source account, not a target allocation. Repeated target rows must not be summed. Aggregate cost / forecast remains withheld.</t>
        </is>
      </c>
    </row>
    <row r="1604" ht="34" customHeight="1">
      <c r="A1604" s="12" t="inlineStr">
        <is>
          <t>Cost &amp; Forecast Control Accounts</t>
        </is>
      </c>
      <c r="B1604" s="12" t="inlineStr">
        <is>
          <t>CST-05-056</t>
        </is>
      </c>
      <c r="C1604" s="12" t="inlineStr">
        <is>
          <t>Testing &amp; readiness - test management - control account</t>
        </is>
      </c>
      <c r="D1604" s="12" t="inlineStr">
        <is>
          <t>Cost Account = CA-5056</t>
        </is>
      </c>
      <c r="E1604" s="12" t="inlineStr">
        <is>
          <t>R1458-v2</t>
        </is>
      </c>
      <c r="F1604" s="12" t="inlineStr">
        <is>
          <t>UNSURE</t>
        </is>
      </c>
      <c r="G1604" s="12" t="inlineStr">
        <is>
          <t>UNSURE</t>
        </is>
      </c>
      <c r="H1604" s="12" t="inlineStr">
        <is>
          <t>APPROVED</t>
        </is>
      </c>
      <c r="I1604" s="12" t="inlineStr">
        <is>
          <t>New</t>
        </is>
      </c>
      <c r="J1604" s="12" t="inlineStr">
        <is>
          <t>Professional decision</t>
        </is>
      </c>
      <c r="K1604" s="12" t="inlineStr">
        <is>
          <t>Maya Chen, Owner Project Controls</t>
        </is>
      </c>
      <c r="L1604" s="12" t="inlineStr"/>
      <c r="M1604" s="12" t="inlineStr"/>
      <c r="N1604" s="17" t="inlineStr">
        <is>
          <t>10 EVIDENCE &amp; DECISIONS</t>
        </is>
      </c>
      <c r="O1604" s="105" t="n">
        <v>1630000</v>
      </c>
      <c r="P1604" s="105" t="n">
        <v>1617500</v>
      </c>
      <c r="Q1604" s="105" t="inlineStr">
        <is>
          <t>CAD</t>
        </is>
      </c>
      <c r="R1604" s="105" t="n"/>
      <c r="S1604" s="105" t="inlineStr">
        <is>
          <t>2027-06-30</t>
        </is>
      </c>
      <c r="T1604" s="105" t="inlineStr">
        <is>
          <t>C1-R0</t>
        </is>
      </c>
      <c r="U1604" s="105" t="inlineStr">
        <is>
          <t>Supplied practice file monthly_cost_forecast.xlsx, row 377</t>
        </is>
      </c>
      <c r="V1604" s="105" t="inlineStr">
        <is>
          <t>Whole source account, not a target allocation. Repeated target rows must not be summed. Aggregate cost / forecast remains withheld.</t>
        </is>
      </c>
    </row>
    <row r="1605" ht="34" customHeight="1">
      <c r="A1605" s="12" t="inlineStr">
        <is>
          <t>Cost &amp; Forecast Control Accounts</t>
        </is>
      </c>
      <c r="B1605" s="12" t="inlineStr">
        <is>
          <t>CST-05-057</t>
        </is>
      </c>
      <c r="C1605" s="12" t="inlineStr">
        <is>
          <t>Testing &amp; readiness - trial running - control account</t>
        </is>
      </c>
      <c r="D1605" s="12" t="inlineStr">
        <is>
          <t>Cost Account = CA-5057</t>
        </is>
      </c>
      <c r="E1605" s="12" t="inlineStr">
        <is>
          <t>R1459-v2</t>
        </is>
      </c>
      <c r="F1605" s="12" t="inlineStr">
        <is>
          <t>UNSURE</t>
        </is>
      </c>
      <c r="G1605" s="12" t="inlineStr">
        <is>
          <t>UNSURE</t>
        </is>
      </c>
      <c r="H1605" s="12" t="inlineStr">
        <is>
          <t>APPROVED</t>
        </is>
      </c>
      <c r="I1605" s="12" t="inlineStr">
        <is>
          <t>New</t>
        </is>
      </c>
      <c r="J1605" s="12" t="inlineStr">
        <is>
          <t>Professional decision</t>
        </is>
      </c>
      <c r="K1605" s="12" t="inlineStr">
        <is>
          <t>Maya Chen, Owner Project Controls</t>
        </is>
      </c>
      <c r="L1605" s="12" t="inlineStr"/>
      <c r="M1605" s="12" t="inlineStr"/>
      <c r="N1605" s="17" t="inlineStr">
        <is>
          <t>10 EVIDENCE &amp; DECISIONS</t>
        </is>
      </c>
      <c r="O1605" s="105" t="n">
        <v>1647500</v>
      </c>
      <c r="P1605" s="105" t="n">
        <v>1647500</v>
      </c>
      <c r="Q1605" s="105" t="inlineStr">
        <is>
          <t>CAD</t>
        </is>
      </c>
      <c r="R1605" s="105" t="n"/>
      <c r="S1605" s="105" t="inlineStr">
        <is>
          <t>2027-06-30</t>
        </is>
      </c>
      <c r="T1605" s="105" t="inlineStr">
        <is>
          <t>C1-R0</t>
        </is>
      </c>
      <c r="U1605" s="105" t="inlineStr">
        <is>
          <t>Supplied practice file monthly_cost_forecast.xlsx, row 378</t>
        </is>
      </c>
      <c r="V1605" s="105" t="inlineStr">
        <is>
          <t>Whole source account, not a target allocation. Repeated target rows must not be summed. Aggregate cost / forecast remains withheld.</t>
        </is>
      </c>
    </row>
    <row r="1606" ht="34" customHeight="1">
      <c r="A1606" s="12" t="inlineStr">
        <is>
          <t>Cost &amp; Forecast Control Accounts</t>
        </is>
      </c>
      <c r="B1606" s="12" t="inlineStr">
        <is>
          <t>CST-05-058</t>
        </is>
      </c>
      <c r="C1606" s="12" t="inlineStr">
        <is>
          <t>Testing &amp; readiness - safety certification - control account</t>
        </is>
      </c>
      <c r="D1606" s="12" t="inlineStr">
        <is>
          <t>Cost Account = CA-5058</t>
        </is>
      </c>
      <c r="E1606" s="12" t="inlineStr">
        <is>
          <t>R1460-v2</t>
        </is>
      </c>
      <c r="F1606" s="12" t="inlineStr">
        <is>
          <t>UNSURE</t>
        </is>
      </c>
      <c r="G1606" s="12" t="inlineStr">
        <is>
          <t>UNSURE</t>
        </is>
      </c>
      <c r="H1606" s="12" t="inlineStr">
        <is>
          <t>APPROVED</t>
        </is>
      </c>
      <c r="I1606" s="12" t="inlineStr">
        <is>
          <t>New</t>
        </is>
      </c>
      <c r="J1606" s="12" t="inlineStr">
        <is>
          <t>Professional decision</t>
        </is>
      </c>
      <c r="K1606" s="12" t="inlineStr">
        <is>
          <t>Maya Chen, Owner Project Controls</t>
        </is>
      </c>
      <c r="L1606" s="12" t="inlineStr"/>
      <c r="M1606" s="12" t="inlineStr"/>
      <c r="N1606" s="17" t="inlineStr">
        <is>
          <t>10 EVIDENCE &amp; DECISIONS</t>
        </is>
      </c>
      <c r="O1606" s="105" t="n">
        <v>1665000</v>
      </c>
      <c r="P1606" s="105" t="n">
        <v>1677500</v>
      </c>
      <c r="Q1606" s="105" t="inlineStr">
        <is>
          <t>CAD</t>
        </is>
      </c>
      <c r="R1606" s="105" t="n"/>
      <c r="S1606" s="105" t="inlineStr">
        <is>
          <t>2027-06-30</t>
        </is>
      </c>
      <c r="T1606" s="105" t="inlineStr">
        <is>
          <t>C1-R0</t>
        </is>
      </c>
      <c r="U1606" s="105" t="inlineStr">
        <is>
          <t>Supplied practice file monthly_cost_forecast.xlsx, row 379</t>
        </is>
      </c>
      <c r="V1606" s="105" t="inlineStr">
        <is>
          <t>Whole source account, not a target allocation. Repeated target rows must not be summed. Aggregate cost / forecast remains withheld.</t>
        </is>
      </c>
    </row>
    <row r="1607" ht="34" customHeight="1">
      <c r="A1607" s="12" t="inlineStr">
        <is>
          <t>Cost &amp; Forecast Control Accounts</t>
        </is>
      </c>
      <c r="B1607" s="12" t="inlineStr">
        <is>
          <t>CST-05-059</t>
        </is>
      </c>
      <c r="C1607" s="12" t="inlineStr">
        <is>
          <t>Testing &amp; readiness - defect closeout - control account</t>
        </is>
      </c>
      <c r="D1607" s="12" t="inlineStr">
        <is>
          <t>Cost Account = CA-5059</t>
        </is>
      </c>
      <c r="E1607" s="12" t="inlineStr">
        <is>
          <t>R1461-v2</t>
        </is>
      </c>
      <c r="F1607" s="12" t="inlineStr">
        <is>
          <t>UNSURE</t>
        </is>
      </c>
      <c r="G1607" s="12" t="inlineStr">
        <is>
          <t>UNSURE</t>
        </is>
      </c>
      <c r="H1607" s="12" t="inlineStr">
        <is>
          <t>APPROVED</t>
        </is>
      </c>
      <c r="I1607" s="12" t="inlineStr">
        <is>
          <t>New</t>
        </is>
      </c>
      <c r="J1607" s="12" t="inlineStr">
        <is>
          <t>Professional decision</t>
        </is>
      </c>
      <c r="K1607" s="12" t="inlineStr">
        <is>
          <t>Maya Chen, Owner Project Controls</t>
        </is>
      </c>
      <c r="L1607" s="12" t="inlineStr"/>
      <c r="M1607" s="12" t="inlineStr"/>
      <c r="N1607" s="17" t="inlineStr">
        <is>
          <t>10 EVIDENCE &amp; DECISIONS</t>
        </is>
      </c>
      <c r="O1607" s="105" t="n">
        <v>1682500</v>
      </c>
      <c r="P1607" s="105" t="n">
        <v>1707500</v>
      </c>
      <c r="Q1607" s="105" t="inlineStr">
        <is>
          <t>CAD</t>
        </is>
      </c>
      <c r="R1607" s="105" t="n"/>
      <c r="S1607" s="105" t="inlineStr">
        <is>
          <t>2027-06-30</t>
        </is>
      </c>
      <c r="T1607" s="105" t="inlineStr">
        <is>
          <t>C1-R0</t>
        </is>
      </c>
      <c r="U1607" s="105" t="inlineStr">
        <is>
          <t>Supplied practice file monthly_cost_forecast.xlsx, row 380</t>
        </is>
      </c>
      <c r="V1607" s="105" t="inlineStr">
        <is>
          <t>Whole source account, not a target allocation. Repeated target rows must not be summed. Aggregate cost / forecast remains withheld.</t>
        </is>
      </c>
    </row>
    <row r="1608" ht="34" customHeight="1">
      <c r="A1608" s="12" t="inlineStr">
        <is>
          <t>Cost &amp; Forecast Control Accounts</t>
        </is>
      </c>
      <c r="B1608" s="12" t="inlineStr">
        <is>
          <t>CST-05-060</t>
        </is>
      </c>
      <c r="C1608" s="12" t="inlineStr">
        <is>
          <t>Testing &amp; readiness - test management - control account</t>
        </is>
      </c>
      <c r="D1608" s="12" t="inlineStr">
        <is>
          <t>Cost Account = CA-5060</t>
        </is>
      </c>
      <c r="E1608" s="12" t="inlineStr">
        <is>
          <t>R1462-v2</t>
        </is>
      </c>
      <c r="F1608" s="12" t="inlineStr">
        <is>
          <t>UNSURE</t>
        </is>
      </c>
      <c r="G1608" s="12" t="inlineStr">
        <is>
          <t>UNSURE</t>
        </is>
      </c>
      <c r="H1608" s="12" t="inlineStr">
        <is>
          <t>APPROVED</t>
        </is>
      </c>
      <c r="I1608" s="12" t="inlineStr">
        <is>
          <t>New</t>
        </is>
      </c>
      <c r="J1608" s="12" t="inlineStr">
        <is>
          <t>Professional decision</t>
        </is>
      </c>
      <c r="K1608" s="12" t="inlineStr">
        <is>
          <t>Maya Chen, Owner Project Controls</t>
        </is>
      </c>
      <c r="L1608" s="12" t="inlineStr"/>
      <c r="M1608" s="12" t="inlineStr"/>
      <c r="N1608" s="17" t="inlineStr">
        <is>
          <t>10 EVIDENCE &amp; DECISIONS</t>
        </is>
      </c>
      <c r="O1608" s="105" t="n">
        <v>1700000</v>
      </c>
      <c r="P1608" s="105" t="n">
        <v>1687500</v>
      </c>
      <c r="Q1608" s="105" t="inlineStr">
        <is>
          <t>CAD</t>
        </is>
      </c>
      <c r="R1608" s="105" t="n"/>
      <c r="S1608" s="105" t="inlineStr">
        <is>
          <t>2027-06-30</t>
        </is>
      </c>
      <c r="T1608" s="105" t="inlineStr">
        <is>
          <t>C1-R0</t>
        </is>
      </c>
      <c r="U1608" s="105" t="inlineStr">
        <is>
          <t>Supplied practice file monthly_cost_forecast.xlsx, row 381</t>
        </is>
      </c>
      <c r="V1608" s="105" t="inlineStr">
        <is>
          <t>Whole source account, not a target allocation. Repeated target rows must not be summed. Aggregate cost / forecast remains withheld.</t>
        </is>
      </c>
    </row>
    <row r="1609" ht="34" customHeight="1">
      <c r="A1609" s="12" t="inlineStr">
        <is>
          <t>Cost &amp; Forecast Control Accounts</t>
        </is>
      </c>
      <c r="B1609" s="12" t="inlineStr">
        <is>
          <t>CST-05-061</t>
        </is>
      </c>
      <c r="C1609" s="12" t="inlineStr">
        <is>
          <t>Testing &amp; readiness - trial running - control account</t>
        </is>
      </c>
      <c r="D1609" s="12" t="inlineStr">
        <is>
          <t>Cost Account = CA-5061</t>
        </is>
      </c>
      <c r="E1609" s="12" t="inlineStr">
        <is>
          <t>R1463-v2</t>
        </is>
      </c>
      <c r="F1609" s="12" t="inlineStr">
        <is>
          <t>UNSURE</t>
        </is>
      </c>
      <c r="G1609" s="12" t="inlineStr">
        <is>
          <t>UNSURE</t>
        </is>
      </c>
      <c r="H1609" s="12" t="inlineStr">
        <is>
          <t>APPROVED</t>
        </is>
      </c>
      <c r="I1609" s="12" t="inlineStr">
        <is>
          <t>New</t>
        </is>
      </c>
      <c r="J1609" s="12" t="inlineStr">
        <is>
          <t>Professional decision</t>
        </is>
      </c>
      <c r="K1609" s="12" t="inlineStr">
        <is>
          <t>Maya Chen, Owner Project Controls</t>
        </is>
      </c>
      <c r="L1609" s="12" t="inlineStr"/>
      <c r="M1609" s="12" t="inlineStr"/>
      <c r="N1609" s="17" t="inlineStr">
        <is>
          <t>10 EVIDENCE &amp; DECISIONS</t>
        </is>
      </c>
      <c r="O1609" s="105" t="n">
        <v>1717500</v>
      </c>
      <c r="P1609" s="105" t="n">
        <v>1717500</v>
      </c>
      <c r="Q1609" s="105" t="inlineStr">
        <is>
          <t>CAD</t>
        </is>
      </c>
      <c r="R1609" s="105" t="n"/>
      <c r="S1609" s="105" t="inlineStr">
        <is>
          <t>2027-06-30</t>
        </is>
      </c>
      <c r="T1609" s="105" t="inlineStr">
        <is>
          <t>C1-R0</t>
        </is>
      </c>
      <c r="U1609" s="105" t="inlineStr">
        <is>
          <t>Supplied practice file monthly_cost_forecast.xlsx, row 382</t>
        </is>
      </c>
      <c r="V1609" s="105" t="inlineStr">
        <is>
          <t>Whole source account, not a target allocation. Repeated target rows must not be summed. Aggregate cost / forecast remains withheld.</t>
        </is>
      </c>
    </row>
    <row r="1610" ht="34" customHeight="1">
      <c r="A1610" s="12" t="inlineStr">
        <is>
          <t>Cost &amp; Forecast Control Accounts</t>
        </is>
      </c>
      <c r="B1610" s="12" t="inlineStr">
        <is>
          <t>CST-05-062</t>
        </is>
      </c>
      <c r="C1610" s="12" t="inlineStr">
        <is>
          <t>Testing &amp; readiness - safety certification - control account</t>
        </is>
      </c>
      <c r="D1610" s="12" t="inlineStr">
        <is>
          <t>Cost Account = CA-5062</t>
        </is>
      </c>
      <c r="E1610" s="12" t="inlineStr">
        <is>
          <t>R1464-v2</t>
        </is>
      </c>
      <c r="F1610" s="12" t="inlineStr">
        <is>
          <t>UNSURE</t>
        </is>
      </c>
      <c r="G1610" s="12" t="inlineStr">
        <is>
          <t>UNSURE</t>
        </is>
      </c>
      <c r="H1610" s="12" t="inlineStr">
        <is>
          <t>APPROVED</t>
        </is>
      </c>
      <c r="I1610" s="12" t="inlineStr">
        <is>
          <t>New</t>
        </is>
      </c>
      <c r="J1610" s="12" t="inlineStr">
        <is>
          <t>Professional decision</t>
        </is>
      </c>
      <c r="K1610" s="12" t="inlineStr">
        <is>
          <t>Maya Chen, Owner Project Controls</t>
        </is>
      </c>
      <c r="L1610" s="12" t="inlineStr"/>
      <c r="M1610" s="12" t="inlineStr"/>
      <c r="N1610" s="17" t="inlineStr">
        <is>
          <t>10 EVIDENCE &amp; DECISIONS</t>
        </is>
      </c>
      <c r="O1610" s="105" t="n">
        <v>1735000</v>
      </c>
      <c r="P1610" s="105" t="n">
        <v>1747500</v>
      </c>
      <c r="Q1610" s="105" t="inlineStr">
        <is>
          <t>CAD</t>
        </is>
      </c>
      <c r="R1610" s="105" t="n"/>
      <c r="S1610" s="105" t="inlineStr">
        <is>
          <t>2027-06-30</t>
        </is>
      </c>
      <c r="T1610" s="105" t="inlineStr">
        <is>
          <t>C1-R0</t>
        </is>
      </c>
      <c r="U1610" s="105" t="inlineStr">
        <is>
          <t>Supplied practice file monthly_cost_forecast.xlsx, row 383</t>
        </is>
      </c>
      <c r="V1610" s="105" t="inlineStr">
        <is>
          <t>Whole source account, not a target allocation. Repeated target rows must not be summed. Aggregate cost / forecast remains withheld.</t>
        </is>
      </c>
    </row>
    <row r="1611" ht="34" customHeight="1">
      <c r="A1611" s="12" t="inlineStr">
        <is>
          <t>Cost &amp; Forecast Control Accounts</t>
        </is>
      </c>
      <c r="B1611" s="12" t="inlineStr">
        <is>
          <t>CST-05-063</t>
        </is>
      </c>
      <c r="C1611" s="12" t="inlineStr">
        <is>
          <t>Testing &amp; readiness - defect closeout - control account</t>
        </is>
      </c>
      <c r="D1611" s="12" t="inlineStr">
        <is>
          <t>Cost Account = CA-5063</t>
        </is>
      </c>
      <c r="E1611" s="12" t="inlineStr">
        <is>
          <t>R1465-v2</t>
        </is>
      </c>
      <c r="F1611" s="12" t="inlineStr">
        <is>
          <t>UNSURE</t>
        </is>
      </c>
      <c r="G1611" s="12" t="inlineStr">
        <is>
          <t>UNSURE</t>
        </is>
      </c>
      <c r="H1611" s="12" t="inlineStr">
        <is>
          <t>APPROVED</t>
        </is>
      </c>
      <c r="I1611" s="12" t="inlineStr">
        <is>
          <t>New</t>
        </is>
      </c>
      <c r="J1611" s="12" t="inlineStr">
        <is>
          <t>Professional decision</t>
        </is>
      </c>
      <c r="K1611" s="12" t="inlineStr">
        <is>
          <t>Maya Chen, Owner Project Controls</t>
        </is>
      </c>
      <c r="L1611" s="12" t="inlineStr"/>
      <c r="M1611" s="12" t="inlineStr"/>
      <c r="N1611" s="17" t="inlineStr">
        <is>
          <t>10 EVIDENCE &amp; DECISIONS</t>
        </is>
      </c>
      <c r="O1611" s="105" t="n">
        <v>1752500</v>
      </c>
      <c r="P1611" s="105" t="n">
        <v>1777500</v>
      </c>
      <c r="Q1611" s="105" t="inlineStr">
        <is>
          <t>CAD</t>
        </is>
      </c>
      <c r="R1611" s="105" t="n"/>
      <c r="S1611" s="105" t="inlineStr">
        <is>
          <t>2027-06-30</t>
        </is>
      </c>
      <c r="T1611" s="105" t="inlineStr">
        <is>
          <t>C1-R0</t>
        </is>
      </c>
      <c r="U1611" s="105" t="inlineStr">
        <is>
          <t>Supplied practice file monthly_cost_forecast.xlsx, row 384</t>
        </is>
      </c>
      <c r="V1611" s="105" t="inlineStr">
        <is>
          <t>Whole source account, not a target allocation. Repeated target rows must not be summed. Aggregate cost / forecast remains withheld.</t>
        </is>
      </c>
    </row>
    <row r="1612" ht="34" customHeight="1">
      <c r="A1612" s="12" t="inlineStr">
        <is>
          <t>Cost &amp; Forecast Control Accounts</t>
        </is>
      </c>
      <c r="B1612" s="12" t="inlineStr">
        <is>
          <t>CST-05-064</t>
        </is>
      </c>
      <c r="C1612" s="12" t="inlineStr">
        <is>
          <t>Testing &amp; readiness - test management - control account</t>
        </is>
      </c>
      <c r="D1612" s="12" t="inlineStr">
        <is>
          <t>Cost Account = CA-5064</t>
        </is>
      </c>
      <c r="E1612" s="12" t="inlineStr">
        <is>
          <t>R1466-v2</t>
        </is>
      </c>
      <c r="F1612" s="12" t="inlineStr">
        <is>
          <t>UNSURE</t>
        </is>
      </c>
      <c r="G1612" s="12" t="inlineStr">
        <is>
          <t>UNSURE</t>
        </is>
      </c>
      <c r="H1612" s="12" t="inlineStr">
        <is>
          <t>APPROVED</t>
        </is>
      </c>
      <c r="I1612" s="12" t="inlineStr">
        <is>
          <t>New</t>
        </is>
      </c>
      <c r="J1612" s="12" t="inlineStr">
        <is>
          <t>Professional decision</t>
        </is>
      </c>
      <c r="K1612" s="12" t="inlineStr">
        <is>
          <t>Maya Chen, Owner Project Controls</t>
        </is>
      </c>
      <c r="L1612" s="12" t="inlineStr"/>
      <c r="M1612" s="12" t="inlineStr"/>
      <c r="N1612" s="17" t="inlineStr">
        <is>
          <t>10 EVIDENCE &amp; DECISIONS</t>
        </is>
      </c>
      <c r="O1612" s="105" t="n">
        <v>1770000</v>
      </c>
      <c r="P1612" s="105" t="n">
        <v>1757500</v>
      </c>
      <c r="Q1612" s="105" t="inlineStr">
        <is>
          <t>CAD</t>
        </is>
      </c>
      <c r="R1612" s="105" t="n"/>
      <c r="S1612" s="105" t="inlineStr">
        <is>
          <t>2027-06-30</t>
        </is>
      </c>
      <c r="T1612" s="105" t="inlineStr">
        <is>
          <t>C1-R0</t>
        </is>
      </c>
      <c r="U1612" s="105" t="inlineStr">
        <is>
          <t>Supplied practice file monthly_cost_forecast.xlsx, row 385</t>
        </is>
      </c>
      <c r="V1612" s="105" t="inlineStr">
        <is>
          <t>Whole source account, not a target allocation. Repeated target rows must not be summed. Aggregate cost / forecast remains withheld.</t>
        </is>
      </c>
    </row>
    <row r="1613" ht="34" customHeight="1">
      <c r="A1613" s="12" t="inlineStr">
        <is>
          <t>Cost &amp; Forecast Control Accounts</t>
        </is>
      </c>
      <c r="B1613" s="12" t="inlineStr">
        <is>
          <t>CST-05-065</t>
        </is>
      </c>
      <c r="C1613" s="12" t="inlineStr">
        <is>
          <t>Testing &amp; readiness - trial running - control account</t>
        </is>
      </c>
      <c r="D1613" s="12" t="inlineStr">
        <is>
          <t>Cost Account = CA-5065</t>
        </is>
      </c>
      <c r="E1613" s="12" t="inlineStr">
        <is>
          <t>R1467-v2</t>
        </is>
      </c>
      <c r="F1613" s="12" t="inlineStr">
        <is>
          <t>UNSURE</t>
        </is>
      </c>
      <c r="G1613" s="12" t="inlineStr">
        <is>
          <t>UNSURE</t>
        </is>
      </c>
      <c r="H1613" s="12" t="inlineStr">
        <is>
          <t>APPROVED</t>
        </is>
      </c>
      <c r="I1613" s="12" t="inlineStr">
        <is>
          <t>New</t>
        </is>
      </c>
      <c r="J1613" s="12" t="inlineStr">
        <is>
          <t>Professional decision</t>
        </is>
      </c>
      <c r="K1613" s="12" t="inlineStr">
        <is>
          <t>Maya Chen, Owner Project Controls</t>
        </is>
      </c>
      <c r="L1613" s="12" t="inlineStr"/>
      <c r="M1613" s="12" t="inlineStr"/>
      <c r="N1613" s="17" t="inlineStr">
        <is>
          <t>10 EVIDENCE &amp; DECISIONS</t>
        </is>
      </c>
      <c r="O1613" s="105" t="n">
        <v>1787500</v>
      </c>
      <c r="P1613" s="105" t="n">
        <v>1787500</v>
      </c>
      <c r="Q1613" s="105" t="inlineStr">
        <is>
          <t>CAD</t>
        </is>
      </c>
      <c r="R1613" s="105" t="n"/>
      <c r="S1613" s="105" t="inlineStr">
        <is>
          <t>2027-06-30</t>
        </is>
      </c>
      <c r="T1613" s="105" t="inlineStr">
        <is>
          <t>C1-R0</t>
        </is>
      </c>
      <c r="U1613" s="105" t="inlineStr">
        <is>
          <t>Supplied practice file monthly_cost_forecast.xlsx, row 386</t>
        </is>
      </c>
      <c r="V1613" s="105" t="inlineStr">
        <is>
          <t>Whole source account, not a target allocation. Repeated target rows must not be summed. Aggregate cost / forecast remains withheld.</t>
        </is>
      </c>
    </row>
    <row r="1614" ht="34" customHeight="1">
      <c r="A1614" s="12" t="inlineStr">
        <is>
          <t>Cost &amp; Forecast Control Accounts</t>
        </is>
      </c>
      <c r="B1614" s="12" t="inlineStr">
        <is>
          <t>CST-05-066</t>
        </is>
      </c>
      <c r="C1614" s="12" t="inlineStr">
        <is>
          <t>Testing &amp; readiness - safety certification - control account</t>
        </is>
      </c>
      <c r="D1614" s="12" t="inlineStr">
        <is>
          <t>Cost Account = CA-5066</t>
        </is>
      </c>
      <c r="E1614" s="12" t="inlineStr">
        <is>
          <t>R1468-v2</t>
        </is>
      </c>
      <c r="F1614" s="12" t="inlineStr">
        <is>
          <t>UNSURE</t>
        </is>
      </c>
      <c r="G1614" s="12" t="inlineStr">
        <is>
          <t>UNSURE</t>
        </is>
      </c>
      <c r="H1614" s="12" t="inlineStr">
        <is>
          <t>APPROVED</t>
        </is>
      </c>
      <c r="I1614" s="12" t="inlineStr">
        <is>
          <t>New</t>
        </is>
      </c>
      <c r="J1614" s="12" t="inlineStr">
        <is>
          <t>Professional decision</t>
        </is>
      </c>
      <c r="K1614" s="12" t="inlineStr">
        <is>
          <t>Maya Chen, Owner Project Controls</t>
        </is>
      </c>
      <c r="L1614" s="12" t="inlineStr"/>
      <c r="M1614" s="12" t="inlineStr"/>
      <c r="N1614" s="17" t="inlineStr">
        <is>
          <t>10 EVIDENCE &amp; DECISIONS</t>
        </is>
      </c>
      <c r="O1614" s="105" t="n">
        <v>1805000</v>
      </c>
      <c r="P1614" s="105" t="n">
        <v>1817500</v>
      </c>
      <c r="Q1614" s="105" t="inlineStr">
        <is>
          <t>CAD</t>
        </is>
      </c>
      <c r="R1614" s="105" t="n"/>
      <c r="S1614" s="105" t="inlineStr">
        <is>
          <t>2027-06-30</t>
        </is>
      </c>
      <c r="T1614" s="105" t="inlineStr">
        <is>
          <t>C1-R0</t>
        </is>
      </c>
      <c r="U1614" s="105" t="inlineStr">
        <is>
          <t>Supplied practice file monthly_cost_forecast.xlsx, row 387</t>
        </is>
      </c>
      <c r="V1614" s="105" t="inlineStr">
        <is>
          <t>Whole source account, not a target allocation. Repeated target rows must not be summed. Aggregate cost / forecast remains withheld.</t>
        </is>
      </c>
    </row>
    <row r="1615" ht="34" customHeight="1">
      <c r="A1615" s="12" t="inlineStr">
        <is>
          <t>Cost &amp; Forecast Control Accounts</t>
        </is>
      </c>
      <c r="B1615" s="12" t="inlineStr">
        <is>
          <t>CST-05-067</t>
        </is>
      </c>
      <c r="C1615" s="12" t="inlineStr">
        <is>
          <t>Testing &amp; readiness - defect closeout - control account</t>
        </is>
      </c>
      <c r="D1615" s="12" t="inlineStr">
        <is>
          <t>Cost Account = CA-5067</t>
        </is>
      </c>
      <c r="E1615" s="12" t="inlineStr">
        <is>
          <t>R1469-v2</t>
        </is>
      </c>
      <c r="F1615" s="12" t="inlineStr">
        <is>
          <t>UNSURE</t>
        </is>
      </c>
      <c r="G1615" s="12" t="inlineStr">
        <is>
          <t>UNSURE</t>
        </is>
      </c>
      <c r="H1615" s="12" t="inlineStr">
        <is>
          <t>APPROVED</t>
        </is>
      </c>
      <c r="I1615" s="12" t="inlineStr">
        <is>
          <t>New</t>
        </is>
      </c>
      <c r="J1615" s="12" t="inlineStr">
        <is>
          <t>Professional decision</t>
        </is>
      </c>
      <c r="K1615" s="12" t="inlineStr">
        <is>
          <t>Maya Chen, Owner Project Controls</t>
        </is>
      </c>
      <c r="L1615" s="12" t="inlineStr"/>
      <c r="M1615" s="12" t="inlineStr"/>
      <c r="N1615" s="17" t="inlineStr">
        <is>
          <t>10 EVIDENCE &amp; DECISIONS</t>
        </is>
      </c>
      <c r="O1615" s="105" t="n">
        <v>1822500</v>
      </c>
      <c r="P1615" s="105" t="n">
        <v>1847500</v>
      </c>
      <c r="Q1615" s="105" t="inlineStr">
        <is>
          <t>CAD</t>
        </is>
      </c>
      <c r="R1615" s="105" t="n"/>
      <c r="S1615" s="105" t="inlineStr">
        <is>
          <t>2027-06-30</t>
        </is>
      </c>
      <c r="T1615" s="105" t="inlineStr">
        <is>
          <t>C1-R0</t>
        </is>
      </c>
      <c r="U1615" s="105" t="inlineStr">
        <is>
          <t>Supplied practice file monthly_cost_forecast.xlsx, row 388</t>
        </is>
      </c>
      <c r="V1615" s="105" t="inlineStr">
        <is>
          <t>Whole source account, not a target allocation. Repeated target rows must not be summed. Aggregate cost / forecast remains withheld.</t>
        </is>
      </c>
    </row>
    <row r="1616" ht="34" customHeight="1">
      <c r="A1616" s="12" t="inlineStr">
        <is>
          <t>Cost &amp; Forecast Control Accounts</t>
        </is>
      </c>
      <c r="B1616" s="12" t="inlineStr">
        <is>
          <t>CST-05-068</t>
        </is>
      </c>
      <c r="C1616" s="12" t="inlineStr">
        <is>
          <t>Testing &amp; readiness - test management - control account</t>
        </is>
      </c>
      <c r="D1616" s="12" t="inlineStr">
        <is>
          <t>Cost Account = CA-5068</t>
        </is>
      </c>
      <c r="E1616" s="12" t="inlineStr">
        <is>
          <t>R1470-v2</t>
        </is>
      </c>
      <c r="F1616" s="12" t="inlineStr">
        <is>
          <t>UNSURE</t>
        </is>
      </c>
      <c r="G1616" s="12" t="inlineStr">
        <is>
          <t>UNSURE</t>
        </is>
      </c>
      <c r="H1616" s="12" t="inlineStr">
        <is>
          <t>APPROVED</t>
        </is>
      </c>
      <c r="I1616" s="12" t="inlineStr">
        <is>
          <t>New</t>
        </is>
      </c>
      <c r="J1616" s="12" t="inlineStr">
        <is>
          <t>Professional decision</t>
        </is>
      </c>
      <c r="K1616" s="12" t="inlineStr">
        <is>
          <t>Maya Chen, Owner Project Controls</t>
        </is>
      </c>
      <c r="L1616" s="12" t="inlineStr"/>
      <c r="M1616" s="12" t="inlineStr"/>
      <c r="N1616" s="17" t="inlineStr">
        <is>
          <t>10 EVIDENCE &amp; DECISIONS</t>
        </is>
      </c>
      <c r="O1616" s="105" t="n">
        <v>1840000</v>
      </c>
      <c r="P1616" s="105" t="n">
        <v>1827500</v>
      </c>
      <c r="Q1616" s="105" t="inlineStr">
        <is>
          <t>CAD</t>
        </is>
      </c>
      <c r="R1616" s="105" t="n"/>
      <c r="S1616" s="105" t="inlineStr">
        <is>
          <t>2027-06-30</t>
        </is>
      </c>
      <c r="T1616" s="105" t="inlineStr">
        <is>
          <t>C1-R0</t>
        </is>
      </c>
      <c r="U1616" s="105" t="inlineStr">
        <is>
          <t>Supplied practice file monthly_cost_forecast.xlsx, row 389</t>
        </is>
      </c>
      <c r="V1616" s="105" t="inlineStr">
        <is>
          <t>Whole source account, not a target allocation. Repeated target rows must not be summed. Aggregate cost / forecast remains withheld.</t>
        </is>
      </c>
    </row>
    <row r="1617" ht="34" customHeight="1">
      <c r="A1617" s="12" t="inlineStr">
        <is>
          <t>Cost &amp; Forecast Control Accounts</t>
        </is>
      </c>
      <c r="B1617" s="12" t="inlineStr">
        <is>
          <t>CST-05-069</t>
        </is>
      </c>
      <c r="C1617" s="12" t="inlineStr">
        <is>
          <t>Testing &amp; readiness - trial running - control account</t>
        </is>
      </c>
      <c r="D1617" s="12" t="inlineStr">
        <is>
          <t>Cost Account = CA-5069</t>
        </is>
      </c>
      <c r="E1617" s="12" t="inlineStr">
        <is>
          <t>R1471-v2</t>
        </is>
      </c>
      <c r="F1617" s="12" t="inlineStr">
        <is>
          <t>UNSURE</t>
        </is>
      </c>
      <c r="G1617" s="12" t="inlineStr">
        <is>
          <t>UNSURE</t>
        </is>
      </c>
      <c r="H1617" s="12" t="inlineStr">
        <is>
          <t>APPROVED</t>
        </is>
      </c>
      <c r="I1617" s="12" t="inlineStr">
        <is>
          <t>New</t>
        </is>
      </c>
      <c r="J1617" s="12" t="inlineStr">
        <is>
          <t>Professional decision</t>
        </is>
      </c>
      <c r="K1617" s="12" t="inlineStr">
        <is>
          <t>Maya Chen, Owner Project Controls</t>
        </is>
      </c>
      <c r="L1617" s="12" t="inlineStr"/>
      <c r="M1617" s="12" t="inlineStr"/>
      <c r="N1617" s="17" t="inlineStr">
        <is>
          <t>10 EVIDENCE &amp; DECISIONS</t>
        </is>
      </c>
      <c r="O1617" s="105" t="n">
        <v>1857500</v>
      </c>
      <c r="P1617" s="105" t="n">
        <v>1857500</v>
      </c>
      <c r="Q1617" s="105" t="inlineStr">
        <is>
          <t>CAD</t>
        </is>
      </c>
      <c r="R1617" s="105" t="n"/>
      <c r="S1617" s="105" t="inlineStr">
        <is>
          <t>2027-06-30</t>
        </is>
      </c>
      <c r="T1617" s="105" t="inlineStr">
        <is>
          <t>C1-R0</t>
        </is>
      </c>
      <c r="U1617" s="105" t="inlineStr">
        <is>
          <t>Supplied practice file monthly_cost_forecast.xlsx, row 390</t>
        </is>
      </c>
      <c r="V1617" s="105" t="inlineStr">
        <is>
          <t>Whole source account, not a target allocation. Repeated target rows must not be summed. Aggregate cost / forecast remains withheld.</t>
        </is>
      </c>
    </row>
    <row r="1618" ht="34" customHeight="1">
      <c r="A1618" s="12" t="inlineStr">
        <is>
          <t>Cost &amp; Forecast Control Accounts</t>
        </is>
      </c>
      <c r="B1618" s="12" t="inlineStr">
        <is>
          <t>CST-05-070</t>
        </is>
      </c>
      <c r="C1618" s="12" t="inlineStr">
        <is>
          <t>Testing &amp; readiness - safety certification - control account</t>
        </is>
      </c>
      <c r="D1618" s="12" t="inlineStr">
        <is>
          <t>Cost Account = CA-5070</t>
        </is>
      </c>
      <c r="E1618" s="12" t="inlineStr">
        <is>
          <t>R1472-v2</t>
        </is>
      </c>
      <c r="F1618" s="12" t="inlineStr">
        <is>
          <t>UNSURE</t>
        </is>
      </c>
      <c r="G1618" s="12" t="inlineStr">
        <is>
          <t>UNSURE</t>
        </is>
      </c>
      <c r="H1618" s="12" t="inlineStr">
        <is>
          <t>APPROVED</t>
        </is>
      </c>
      <c r="I1618" s="12" t="inlineStr">
        <is>
          <t>New</t>
        </is>
      </c>
      <c r="J1618" s="12" t="inlineStr">
        <is>
          <t>Professional decision</t>
        </is>
      </c>
      <c r="K1618" s="12" t="inlineStr">
        <is>
          <t>Maya Chen, Owner Project Controls</t>
        </is>
      </c>
      <c r="L1618" s="12" t="inlineStr"/>
      <c r="M1618" s="12" t="inlineStr"/>
      <c r="N1618" s="17" t="inlineStr">
        <is>
          <t>10 EVIDENCE &amp; DECISIONS</t>
        </is>
      </c>
      <c r="O1618" s="105" t="n">
        <v>1875000</v>
      </c>
      <c r="P1618" s="105" t="n">
        <v>1887500</v>
      </c>
      <c r="Q1618" s="105" t="inlineStr">
        <is>
          <t>CAD</t>
        </is>
      </c>
      <c r="R1618" s="105" t="n"/>
      <c r="S1618" s="105" t="inlineStr">
        <is>
          <t>2027-06-30</t>
        </is>
      </c>
      <c r="T1618" s="105" t="inlineStr">
        <is>
          <t>C1-R0</t>
        </is>
      </c>
      <c r="U1618" s="105" t="inlineStr">
        <is>
          <t>Supplied practice file monthly_cost_forecast.xlsx, row 391</t>
        </is>
      </c>
      <c r="V1618" s="105" t="inlineStr">
        <is>
          <t>Whole source account, not a target allocation. Repeated target rows must not be summed. Aggregate cost / forecast remains withheld.</t>
        </is>
      </c>
    </row>
    <row r="1619" ht="34" customHeight="1">
      <c r="A1619" s="12" t="inlineStr">
        <is>
          <t>Cost &amp; Forecast Control Accounts</t>
        </is>
      </c>
      <c r="B1619" s="12" t="inlineStr">
        <is>
          <t>CST-05-071</t>
        </is>
      </c>
      <c r="C1619" s="12" t="inlineStr">
        <is>
          <t>Testing &amp; readiness - defect closeout - control account</t>
        </is>
      </c>
      <c r="D1619" s="12" t="inlineStr">
        <is>
          <t>Cost Account = CA-5071</t>
        </is>
      </c>
      <c r="E1619" s="12" t="inlineStr">
        <is>
          <t>R1473-v2</t>
        </is>
      </c>
      <c r="F1619" s="12" t="inlineStr">
        <is>
          <t>UNSURE</t>
        </is>
      </c>
      <c r="G1619" s="12" t="inlineStr">
        <is>
          <t>UNSURE</t>
        </is>
      </c>
      <c r="H1619" s="12" t="inlineStr">
        <is>
          <t>APPROVED</t>
        </is>
      </c>
      <c r="I1619" s="12" t="inlineStr">
        <is>
          <t>New</t>
        </is>
      </c>
      <c r="J1619" s="12" t="inlineStr">
        <is>
          <t>Professional decision</t>
        </is>
      </c>
      <c r="K1619" s="12" t="inlineStr">
        <is>
          <t>Maya Chen, Owner Project Controls</t>
        </is>
      </c>
      <c r="L1619" s="12" t="inlineStr"/>
      <c r="M1619" s="12" t="inlineStr"/>
      <c r="N1619" s="17" t="inlineStr">
        <is>
          <t>10 EVIDENCE &amp; DECISIONS</t>
        </is>
      </c>
      <c r="O1619" s="105" t="n">
        <v>1892500</v>
      </c>
      <c r="P1619" s="105" t="n">
        <v>1917500</v>
      </c>
      <c r="Q1619" s="105" t="inlineStr">
        <is>
          <t>CAD</t>
        </is>
      </c>
      <c r="R1619" s="105" t="n"/>
      <c r="S1619" s="105" t="inlineStr">
        <is>
          <t>2027-06-30</t>
        </is>
      </c>
      <c r="T1619" s="105" t="inlineStr">
        <is>
          <t>C1-R0</t>
        </is>
      </c>
      <c r="U1619" s="105" t="inlineStr">
        <is>
          <t>Supplied practice file monthly_cost_forecast.xlsx, row 392</t>
        </is>
      </c>
      <c r="V1619" s="105" t="inlineStr">
        <is>
          <t>Whole source account, not a target allocation. Repeated target rows must not be summed. Aggregate cost / forecast remains withheld.</t>
        </is>
      </c>
    </row>
    <row r="1620" ht="34" customHeight="1">
      <c r="A1620" s="12" t="inlineStr">
        <is>
          <t>Cost &amp; Forecast Control Accounts</t>
        </is>
      </c>
      <c r="B1620" s="12" t="inlineStr">
        <is>
          <t>CST-05-072</t>
        </is>
      </c>
      <c r="C1620" s="12" t="inlineStr">
        <is>
          <t>Testing &amp; readiness - test management - control account</t>
        </is>
      </c>
      <c r="D1620" s="12" t="inlineStr">
        <is>
          <t>Cost Account = CA-5072</t>
        </is>
      </c>
      <c r="E1620" s="12" t="inlineStr">
        <is>
          <t>R1474-v2</t>
        </is>
      </c>
      <c r="F1620" s="12" t="inlineStr">
        <is>
          <t>UNSURE</t>
        </is>
      </c>
      <c r="G1620" s="12" t="inlineStr">
        <is>
          <t>UNSURE</t>
        </is>
      </c>
      <c r="H1620" s="12" t="inlineStr">
        <is>
          <t>APPROVED</t>
        </is>
      </c>
      <c r="I1620" s="12" t="inlineStr">
        <is>
          <t>New</t>
        </is>
      </c>
      <c r="J1620" s="12" t="inlineStr">
        <is>
          <t>Professional decision</t>
        </is>
      </c>
      <c r="K1620" s="12" t="inlineStr">
        <is>
          <t>Maya Chen, Owner Project Controls</t>
        </is>
      </c>
      <c r="L1620" s="12" t="inlineStr"/>
      <c r="M1620" s="12" t="inlineStr"/>
      <c r="N1620" s="17" t="inlineStr">
        <is>
          <t>10 EVIDENCE &amp; DECISIONS</t>
        </is>
      </c>
      <c r="O1620" s="105" t="n">
        <v>1910000</v>
      </c>
      <c r="P1620" s="105" t="n">
        <v>1897500</v>
      </c>
      <c r="Q1620" s="105" t="inlineStr">
        <is>
          <t>CAD</t>
        </is>
      </c>
      <c r="R1620" s="105" t="n"/>
      <c r="S1620" s="105" t="inlineStr">
        <is>
          <t>2027-06-30</t>
        </is>
      </c>
      <c r="T1620" s="105" t="inlineStr">
        <is>
          <t>C1-R0</t>
        </is>
      </c>
      <c r="U1620" s="105" t="inlineStr">
        <is>
          <t>Supplied practice file monthly_cost_forecast.xlsx, row 393</t>
        </is>
      </c>
      <c r="V1620" s="105" t="inlineStr">
        <is>
          <t>Whole source account, not a target allocation. Repeated target rows must not be summed. Aggregate cost / forecast remains withheld.</t>
        </is>
      </c>
    </row>
    <row r="1621" ht="34" customHeight="1">
      <c r="A1621" s="12" t="inlineStr">
        <is>
          <t>Cost &amp; Forecast Control Accounts</t>
        </is>
      </c>
      <c r="B1621" s="12" t="inlineStr">
        <is>
          <t>CST-05-073</t>
        </is>
      </c>
      <c r="C1621" s="12" t="inlineStr">
        <is>
          <t>Testing &amp; readiness - trial running - control account</t>
        </is>
      </c>
      <c r="D1621" s="12" t="inlineStr">
        <is>
          <t>Cost Account = CA-5073</t>
        </is>
      </c>
      <c r="E1621" s="12" t="inlineStr">
        <is>
          <t>R1475-v2</t>
        </is>
      </c>
      <c r="F1621" s="12" t="inlineStr">
        <is>
          <t>UNSURE</t>
        </is>
      </c>
      <c r="G1621" s="12" t="inlineStr">
        <is>
          <t>UNSURE</t>
        </is>
      </c>
      <c r="H1621" s="12" t="inlineStr">
        <is>
          <t>APPROVED</t>
        </is>
      </c>
      <c r="I1621" s="12" t="inlineStr">
        <is>
          <t>New</t>
        </is>
      </c>
      <c r="J1621" s="12" t="inlineStr">
        <is>
          <t>Professional decision</t>
        </is>
      </c>
      <c r="K1621" s="12" t="inlineStr">
        <is>
          <t>Maya Chen, Owner Project Controls</t>
        </is>
      </c>
      <c r="L1621" s="12" t="inlineStr"/>
      <c r="M1621" s="12" t="inlineStr"/>
      <c r="N1621" s="17" t="inlineStr">
        <is>
          <t>10 EVIDENCE &amp; DECISIONS</t>
        </is>
      </c>
      <c r="O1621" s="105" t="n">
        <v>1927500</v>
      </c>
      <c r="P1621" s="105" t="n">
        <v>1927500</v>
      </c>
      <c r="Q1621" s="105" t="inlineStr">
        <is>
          <t>CAD</t>
        </is>
      </c>
      <c r="R1621" s="105" t="n"/>
      <c r="S1621" s="105" t="inlineStr">
        <is>
          <t>2027-06-30</t>
        </is>
      </c>
      <c r="T1621" s="105" t="inlineStr">
        <is>
          <t>C1-R0</t>
        </is>
      </c>
      <c r="U1621" s="105" t="inlineStr">
        <is>
          <t>Supplied practice file monthly_cost_forecast.xlsx, row 394</t>
        </is>
      </c>
      <c r="V1621" s="105" t="inlineStr">
        <is>
          <t>Whole source account, not a target allocation. Repeated target rows must not be summed. Aggregate cost / forecast remains withheld.</t>
        </is>
      </c>
    </row>
    <row r="1622" ht="34" customHeight="1">
      <c r="A1622" s="12" t="inlineStr">
        <is>
          <t>Cost &amp; Forecast Control Accounts</t>
        </is>
      </c>
      <c r="B1622" s="12" t="inlineStr">
        <is>
          <t>CST-05-074</t>
        </is>
      </c>
      <c r="C1622" s="12" t="inlineStr">
        <is>
          <t>Testing &amp; readiness - safety certification - control account</t>
        </is>
      </c>
      <c r="D1622" s="12" t="inlineStr">
        <is>
          <t>Cost Account = CA-5074</t>
        </is>
      </c>
      <c r="E1622" s="12" t="inlineStr">
        <is>
          <t>R1476-v2</t>
        </is>
      </c>
      <c r="F1622" s="12" t="inlineStr">
        <is>
          <t>UNSURE</t>
        </is>
      </c>
      <c r="G1622" s="12" t="inlineStr">
        <is>
          <t>UNSURE</t>
        </is>
      </c>
      <c r="H1622" s="12" t="inlineStr">
        <is>
          <t>APPROVED</t>
        </is>
      </c>
      <c r="I1622" s="12" t="inlineStr">
        <is>
          <t>New</t>
        </is>
      </c>
      <c r="J1622" s="12" t="inlineStr">
        <is>
          <t>Professional decision</t>
        </is>
      </c>
      <c r="K1622" s="12" t="inlineStr">
        <is>
          <t>Maya Chen, Owner Project Controls</t>
        </is>
      </c>
      <c r="L1622" s="12" t="inlineStr"/>
      <c r="M1622" s="12" t="inlineStr"/>
      <c r="N1622" s="17" t="inlineStr">
        <is>
          <t>10 EVIDENCE &amp; DECISIONS</t>
        </is>
      </c>
      <c r="O1622" s="105" t="n">
        <v>1945000</v>
      </c>
      <c r="P1622" s="105" t="n">
        <v>1957500</v>
      </c>
      <c r="Q1622" s="105" t="inlineStr">
        <is>
          <t>CAD</t>
        </is>
      </c>
      <c r="R1622" s="105" t="n"/>
      <c r="S1622" s="105" t="inlineStr">
        <is>
          <t>2027-06-30</t>
        </is>
      </c>
      <c r="T1622" s="105" t="inlineStr">
        <is>
          <t>C1-R0</t>
        </is>
      </c>
      <c r="U1622" s="105" t="inlineStr">
        <is>
          <t>Supplied practice file monthly_cost_forecast.xlsx, row 395</t>
        </is>
      </c>
      <c r="V1622" s="105" t="inlineStr">
        <is>
          <t>Whole source account, not a target allocation. Repeated target rows must not be summed. Aggregate cost / forecast remains withheld.</t>
        </is>
      </c>
    </row>
    <row r="1623" ht="34" customHeight="1">
      <c r="A1623" s="12" t="inlineStr">
        <is>
          <t>Cost &amp; Forecast Control Accounts</t>
        </is>
      </c>
      <c r="B1623" s="12" t="inlineStr">
        <is>
          <t>CST-05-075</t>
        </is>
      </c>
      <c r="C1623" s="12" t="inlineStr">
        <is>
          <t>Testing &amp; readiness - defect closeout - control account</t>
        </is>
      </c>
      <c r="D1623" s="12" t="inlineStr">
        <is>
          <t>Cost Account = CA-5075</t>
        </is>
      </c>
      <c r="E1623" s="12" t="inlineStr">
        <is>
          <t>R1477-v2</t>
        </is>
      </c>
      <c r="F1623" s="12" t="inlineStr">
        <is>
          <t>UNSURE</t>
        </is>
      </c>
      <c r="G1623" s="12" t="inlineStr">
        <is>
          <t>UNSURE</t>
        </is>
      </c>
      <c r="H1623" s="12" t="inlineStr">
        <is>
          <t>APPROVED</t>
        </is>
      </c>
      <c r="I1623" s="12" t="inlineStr">
        <is>
          <t>New</t>
        </is>
      </c>
      <c r="J1623" s="12" t="inlineStr">
        <is>
          <t>Professional decision</t>
        </is>
      </c>
      <c r="K1623" s="12" t="inlineStr">
        <is>
          <t>Maya Chen, Owner Project Controls</t>
        </is>
      </c>
      <c r="L1623" s="12" t="inlineStr"/>
      <c r="M1623" s="12" t="inlineStr"/>
      <c r="N1623" s="17" t="inlineStr">
        <is>
          <t>10 EVIDENCE &amp; DECISIONS</t>
        </is>
      </c>
      <c r="O1623" s="105" t="n">
        <v>1962500</v>
      </c>
      <c r="P1623" s="105" t="n">
        <v>1987500</v>
      </c>
      <c r="Q1623" s="105" t="inlineStr">
        <is>
          <t>CAD</t>
        </is>
      </c>
      <c r="R1623" s="105" t="n"/>
      <c r="S1623" s="105" t="inlineStr">
        <is>
          <t>2027-06-30</t>
        </is>
      </c>
      <c r="T1623" s="105" t="inlineStr">
        <is>
          <t>C1-R0</t>
        </is>
      </c>
      <c r="U1623" s="105" t="inlineStr">
        <is>
          <t>Supplied practice file monthly_cost_forecast.xlsx, row 396</t>
        </is>
      </c>
      <c r="V1623" s="105" t="inlineStr">
        <is>
          <t>Whole source account, not a target allocation. Repeated target rows must not be summed. Aggregate cost / forecast remains withheld.</t>
        </is>
      </c>
    </row>
    <row r="1624" ht="34" customHeight="1">
      <c r="A1624" s="12" t="inlineStr">
        <is>
          <t>Cost &amp; Forecast Control Accounts</t>
        </is>
      </c>
      <c r="B1624" s="12" t="inlineStr">
        <is>
          <t>CST-05-076</t>
        </is>
      </c>
      <c r="C1624" s="12" t="inlineStr">
        <is>
          <t>Testing &amp; readiness - test management - control account</t>
        </is>
      </c>
      <c r="D1624" s="12" t="inlineStr">
        <is>
          <t>Cost Account = CA-5076</t>
        </is>
      </c>
      <c r="E1624" s="12" t="inlineStr">
        <is>
          <t>R1478-v2</t>
        </is>
      </c>
      <c r="F1624" s="12" t="inlineStr">
        <is>
          <t>UNSURE</t>
        </is>
      </c>
      <c r="G1624" s="12" t="inlineStr">
        <is>
          <t>UNSURE</t>
        </is>
      </c>
      <c r="H1624" s="12" t="inlineStr">
        <is>
          <t>APPROVED</t>
        </is>
      </c>
      <c r="I1624" s="12" t="inlineStr">
        <is>
          <t>New</t>
        </is>
      </c>
      <c r="J1624" s="12" t="inlineStr">
        <is>
          <t>Professional decision</t>
        </is>
      </c>
      <c r="K1624" s="12" t="inlineStr">
        <is>
          <t>Maya Chen, Owner Project Controls</t>
        </is>
      </c>
      <c r="L1624" s="12" t="inlineStr"/>
      <c r="M1624" s="12" t="inlineStr"/>
      <c r="N1624" s="17" t="inlineStr">
        <is>
          <t>10 EVIDENCE &amp; DECISIONS</t>
        </is>
      </c>
      <c r="O1624" s="105" t="n">
        <v>1980000</v>
      </c>
      <c r="P1624" s="105" t="n">
        <v>1967500</v>
      </c>
      <c r="Q1624" s="105" t="inlineStr">
        <is>
          <t>CAD</t>
        </is>
      </c>
      <c r="R1624" s="105" t="n"/>
      <c r="S1624" s="105" t="inlineStr">
        <is>
          <t>2027-06-30</t>
        </is>
      </c>
      <c r="T1624" s="105" t="inlineStr">
        <is>
          <t>C1-R0</t>
        </is>
      </c>
      <c r="U1624" s="105" t="inlineStr">
        <is>
          <t>Supplied practice file monthly_cost_forecast.xlsx, row 397</t>
        </is>
      </c>
      <c r="V1624" s="105" t="inlineStr">
        <is>
          <t>Whole source account, not a target allocation. Repeated target rows must not be summed. Aggregate cost / forecast remains withheld.</t>
        </is>
      </c>
    </row>
    <row r="1625" ht="34" customHeight="1">
      <c r="A1625" s="12" t="inlineStr">
        <is>
          <t>Cost &amp; Forecast Control Accounts</t>
        </is>
      </c>
      <c r="B1625" s="12" t="inlineStr">
        <is>
          <t>CST-05-077</t>
        </is>
      </c>
      <c r="C1625" s="12" t="inlineStr">
        <is>
          <t>Testing &amp; readiness - trial running - control account</t>
        </is>
      </c>
      <c r="D1625" s="12" t="inlineStr">
        <is>
          <t>Cost Account = CA-5077</t>
        </is>
      </c>
      <c r="E1625" s="12" t="inlineStr">
        <is>
          <t>R1479-v2</t>
        </is>
      </c>
      <c r="F1625" s="12" t="inlineStr">
        <is>
          <t>UNSURE</t>
        </is>
      </c>
      <c r="G1625" s="12" t="inlineStr">
        <is>
          <t>UNSURE</t>
        </is>
      </c>
      <c r="H1625" s="12" t="inlineStr">
        <is>
          <t>APPROVED</t>
        </is>
      </c>
      <c r="I1625" s="12" t="inlineStr">
        <is>
          <t>New</t>
        </is>
      </c>
      <c r="J1625" s="12" t="inlineStr">
        <is>
          <t>Professional decision</t>
        </is>
      </c>
      <c r="K1625" s="12" t="inlineStr">
        <is>
          <t>Maya Chen, Owner Project Controls</t>
        </is>
      </c>
      <c r="L1625" s="12" t="inlineStr"/>
      <c r="M1625" s="12" t="inlineStr"/>
      <c r="N1625" s="17" t="inlineStr">
        <is>
          <t>10 EVIDENCE &amp; DECISIONS</t>
        </is>
      </c>
      <c r="O1625" s="105" t="n">
        <v>1997500</v>
      </c>
      <c r="P1625" s="105" t="n">
        <v>1997500</v>
      </c>
      <c r="Q1625" s="105" t="inlineStr">
        <is>
          <t>CAD</t>
        </is>
      </c>
      <c r="R1625" s="105" t="n"/>
      <c r="S1625" s="105" t="inlineStr">
        <is>
          <t>2027-06-30</t>
        </is>
      </c>
      <c r="T1625" s="105" t="inlineStr">
        <is>
          <t>C1-R0</t>
        </is>
      </c>
      <c r="U1625" s="105" t="inlineStr">
        <is>
          <t>Supplied practice file monthly_cost_forecast.xlsx, row 398</t>
        </is>
      </c>
      <c r="V1625" s="105" t="inlineStr">
        <is>
          <t>Whole source account, not a target allocation. Repeated target rows must not be summed. Aggregate cost / forecast remains withheld.</t>
        </is>
      </c>
    </row>
    <row r="1626" ht="34" customHeight="1">
      <c r="A1626" s="12" t="inlineStr">
        <is>
          <t>Cost &amp; Forecast Control Accounts</t>
        </is>
      </c>
      <c r="B1626" s="12" t="inlineStr">
        <is>
          <t>CST-05-078</t>
        </is>
      </c>
      <c r="C1626" s="12" t="inlineStr">
        <is>
          <t>Testing &amp; readiness - safety certification - control account</t>
        </is>
      </c>
      <c r="D1626" s="12" t="inlineStr">
        <is>
          <t>Cost Account = CA-5078</t>
        </is>
      </c>
      <c r="E1626" s="12" t="inlineStr">
        <is>
          <t>R1480-v2</t>
        </is>
      </c>
      <c r="F1626" s="12" t="inlineStr">
        <is>
          <t>UNSURE</t>
        </is>
      </c>
      <c r="G1626" s="12" t="inlineStr">
        <is>
          <t>UNSURE</t>
        </is>
      </c>
      <c r="H1626" s="12" t="inlineStr">
        <is>
          <t>APPROVED</t>
        </is>
      </c>
      <c r="I1626" s="12" t="inlineStr">
        <is>
          <t>New</t>
        </is>
      </c>
      <c r="J1626" s="12" t="inlineStr">
        <is>
          <t>Professional decision</t>
        </is>
      </c>
      <c r="K1626" s="12" t="inlineStr">
        <is>
          <t>Maya Chen, Owner Project Controls</t>
        </is>
      </c>
      <c r="L1626" s="12" t="inlineStr"/>
      <c r="M1626" s="12" t="inlineStr"/>
      <c r="N1626" s="17" t="inlineStr">
        <is>
          <t>10 EVIDENCE &amp; DECISIONS</t>
        </is>
      </c>
      <c r="O1626" s="105" t="n">
        <v>2015000</v>
      </c>
      <c r="P1626" s="105" t="n">
        <v>2027500</v>
      </c>
      <c r="Q1626" s="105" t="inlineStr">
        <is>
          <t>CAD</t>
        </is>
      </c>
      <c r="R1626" s="105" t="n"/>
      <c r="S1626" s="105" t="inlineStr">
        <is>
          <t>2027-06-30</t>
        </is>
      </c>
      <c r="T1626" s="105" t="inlineStr">
        <is>
          <t>C1-R0</t>
        </is>
      </c>
      <c r="U1626" s="105" t="inlineStr">
        <is>
          <t>Supplied practice file monthly_cost_forecast.xlsx, row 399</t>
        </is>
      </c>
      <c r="V1626" s="105" t="inlineStr">
        <is>
          <t>Whole source account, not a target allocation. Repeated target rows must not be summed. Aggregate cost / forecast remains withheld.</t>
        </is>
      </c>
    </row>
    <row r="1627" ht="34" customHeight="1">
      <c r="A1627" s="12" t="inlineStr">
        <is>
          <t>Cost &amp; Forecast Control Accounts</t>
        </is>
      </c>
      <c r="B1627" s="12" t="inlineStr">
        <is>
          <t>CST-05-079</t>
        </is>
      </c>
      <c r="C1627" s="12" t="inlineStr">
        <is>
          <t>Testing &amp; readiness - defect closeout - control account</t>
        </is>
      </c>
      <c r="D1627" s="12" t="inlineStr">
        <is>
          <t>Cost Account = CA-5079</t>
        </is>
      </c>
      <c r="E1627" s="12" t="inlineStr">
        <is>
          <t>R1481-v2</t>
        </is>
      </c>
      <c r="F1627" s="12" t="inlineStr">
        <is>
          <t>UNSURE</t>
        </is>
      </c>
      <c r="G1627" s="12" t="inlineStr">
        <is>
          <t>UNSURE</t>
        </is>
      </c>
      <c r="H1627" s="12" t="inlineStr">
        <is>
          <t>APPROVED</t>
        </is>
      </c>
      <c r="I1627" s="12" t="inlineStr">
        <is>
          <t>New</t>
        </is>
      </c>
      <c r="J1627" s="12" t="inlineStr">
        <is>
          <t>Professional decision</t>
        </is>
      </c>
      <c r="K1627" s="12" t="inlineStr">
        <is>
          <t>Maya Chen, Owner Project Controls</t>
        </is>
      </c>
      <c r="L1627" s="12" t="inlineStr"/>
      <c r="M1627" s="12" t="inlineStr"/>
      <c r="N1627" s="17" t="inlineStr">
        <is>
          <t>10 EVIDENCE &amp; DECISIONS</t>
        </is>
      </c>
      <c r="O1627" s="105" t="n">
        <v>2032500</v>
      </c>
      <c r="P1627" s="105" t="n">
        <v>2057500</v>
      </c>
      <c r="Q1627" s="105" t="inlineStr">
        <is>
          <t>CAD</t>
        </is>
      </c>
      <c r="R1627" s="105" t="n"/>
      <c r="S1627" s="105" t="inlineStr">
        <is>
          <t>2027-06-30</t>
        </is>
      </c>
      <c r="T1627" s="105" t="inlineStr">
        <is>
          <t>C1-R0</t>
        </is>
      </c>
      <c r="U1627" s="105" t="inlineStr">
        <is>
          <t>Supplied practice file monthly_cost_forecast.xlsx, row 400</t>
        </is>
      </c>
      <c r="V1627" s="105" t="inlineStr">
        <is>
          <t>Whole source account, not a target allocation. Repeated target rows must not be summed. Aggregate cost / forecast remains withheld.</t>
        </is>
      </c>
    </row>
    <row r="1628" ht="34" customHeight="1">
      <c r="A1628" s="12" t="inlineStr">
        <is>
          <t>Cost &amp; Forecast Control Accounts</t>
        </is>
      </c>
      <c r="B1628" s="12" t="inlineStr">
        <is>
          <t>CST-05-080</t>
        </is>
      </c>
      <c r="C1628" s="12" t="inlineStr">
        <is>
          <t>Testing &amp; readiness - test management - control account</t>
        </is>
      </c>
      <c r="D1628" s="12" t="inlineStr">
        <is>
          <t>Cost Account = CA-5080</t>
        </is>
      </c>
      <c r="E1628" s="12" t="inlineStr">
        <is>
          <t>R1482-v2</t>
        </is>
      </c>
      <c r="F1628" s="12" t="inlineStr">
        <is>
          <t>UNSURE</t>
        </is>
      </c>
      <c r="G1628" s="12" t="inlineStr">
        <is>
          <t>UNSURE</t>
        </is>
      </c>
      <c r="H1628" s="12" t="inlineStr">
        <is>
          <t>APPROVED</t>
        </is>
      </c>
      <c r="I1628" s="12" t="inlineStr">
        <is>
          <t>New</t>
        </is>
      </c>
      <c r="J1628" s="12" t="inlineStr">
        <is>
          <t>Professional decision</t>
        </is>
      </c>
      <c r="K1628" s="12" t="inlineStr">
        <is>
          <t>Maya Chen, Owner Project Controls</t>
        </is>
      </c>
      <c r="L1628" s="12" t="inlineStr"/>
      <c r="M1628" s="12" t="inlineStr"/>
      <c r="N1628" s="17" t="inlineStr">
        <is>
          <t>10 EVIDENCE &amp; DECISIONS</t>
        </is>
      </c>
      <c r="O1628" s="105" t="n">
        <v>2050000</v>
      </c>
      <c r="P1628" s="105" t="n">
        <v>2037500</v>
      </c>
      <c r="Q1628" s="105" t="inlineStr">
        <is>
          <t>CAD</t>
        </is>
      </c>
      <c r="R1628" s="105" t="n"/>
      <c r="S1628" s="105" t="inlineStr">
        <is>
          <t>2027-06-30</t>
        </is>
      </c>
      <c r="T1628" s="105" t="inlineStr">
        <is>
          <t>C1-R0</t>
        </is>
      </c>
      <c r="U1628" s="105" t="inlineStr">
        <is>
          <t>Supplied practice file monthly_cost_forecast.xlsx, row 401</t>
        </is>
      </c>
      <c r="V1628" s="105" t="inlineStr">
        <is>
          <t>Whole source account, not a target allocation. Repeated target rows must not be summed. Aggregate cost / forecast remains withheld.</t>
        </is>
      </c>
    </row>
  </sheetData>
  <autoFilter ref="A5:N1628"/>
  <mergeCells count="3">
    <mergeCell ref="A1:D1"/>
    <mergeCell ref="O2:V3"/>
    <mergeCell ref="A2:D2"/>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N6" r:id="rId10"/>
    <hyperlink xmlns:r="http://schemas.openxmlformats.org/officeDocument/2006/relationships" ref="N7" r:id="rId11"/>
    <hyperlink xmlns:r="http://schemas.openxmlformats.org/officeDocument/2006/relationships" ref="N8" r:id="rId12"/>
    <hyperlink xmlns:r="http://schemas.openxmlformats.org/officeDocument/2006/relationships" ref="N9" r:id="rId13"/>
    <hyperlink xmlns:r="http://schemas.openxmlformats.org/officeDocument/2006/relationships" ref="N10" r:id="rId14"/>
    <hyperlink xmlns:r="http://schemas.openxmlformats.org/officeDocument/2006/relationships" ref="N11" r:id="rId15"/>
    <hyperlink xmlns:r="http://schemas.openxmlformats.org/officeDocument/2006/relationships" ref="N12" r:id="rId16"/>
    <hyperlink xmlns:r="http://schemas.openxmlformats.org/officeDocument/2006/relationships" ref="N13" r:id="rId17"/>
    <hyperlink xmlns:r="http://schemas.openxmlformats.org/officeDocument/2006/relationships" ref="N14" r:id="rId18"/>
    <hyperlink xmlns:r="http://schemas.openxmlformats.org/officeDocument/2006/relationships" ref="N15" r:id="rId19"/>
    <hyperlink xmlns:r="http://schemas.openxmlformats.org/officeDocument/2006/relationships" ref="N16" r:id="rId20"/>
    <hyperlink xmlns:r="http://schemas.openxmlformats.org/officeDocument/2006/relationships" ref="N17" r:id="rId21"/>
    <hyperlink xmlns:r="http://schemas.openxmlformats.org/officeDocument/2006/relationships" ref="N18" r:id="rId22"/>
    <hyperlink xmlns:r="http://schemas.openxmlformats.org/officeDocument/2006/relationships" ref="N19" r:id="rId23"/>
    <hyperlink xmlns:r="http://schemas.openxmlformats.org/officeDocument/2006/relationships" ref="N20" r:id="rId24"/>
    <hyperlink xmlns:r="http://schemas.openxmlformats.org/officeDocument/2006/relationships" ref="N21" r:id="rId25"/>
    <hyperlink xmlns:r="http://schemas.openxmlformats.org/officeDocument/2006/relationships" ref="N22" r:id="rId26"/>
    <hyperlink xmlns:r="http://schemas.openxmlformats.org/officeDocument/2006/relationships" ref="N23" r:id="rId27"/>
    <hyperlink xmlns:r="http://schemas.openxmlformats.org/officeDocument/2006/relationships" ref="N24" r:id="rId28"/>
    <hyperlink xmlns:r="http://schemas.openxmlformats.org/officeDocument/2006/relationships" ref="N25" r:id="rId29"/>
    <hyperlink xmlns:r="http://schemas.openxmlformats.org/officeDocument/2006/relationships" ref="N26" r:id="rId30"/>
    <hyperlink xmlns:r="http://schemas.openxmlformats.org/officeDocument/2006/relationships" ref="N27" r:id="rId31"/>
    <hyperlink xmlns:r="http://schemas.openxmlformats.org/officeDocument/2006/relationships" ref="N28" r:id="rId32"/>
    <hyperlink xmlns:r="http://schemas.openxmlformats.org/officeDocument/2006/relationships" ref="N29" r:id="rId33"/>
    <hyperlink xmlns:r="http://schemas.openxmlformats.org/officeDocument/2006/relationships" ref="N30" r:id="rId34"/>
    <hyperlink xmlns:r="http://schemas.openxmlformats.org/officeDocument/2006/relationships" ref="N31" r:id="rId35"/>
    <hyperlink xmlns:r="http://schemas.openxmlformats.org/officeDocument/2006/relationships" ref="N32" r:id="rId36"/>
    <hyperlink xmlns:r="http://schemas.openxmlformats.org/officeDocument/2006/relationships" ref="N33" r:id="rId37"/>
    <hyperlink xmlns:r="http://schemas.openxmlformats.org/officeDocument/2006/relationships" ref="N34" r:id="rId38"/>
    <hyperlink xmlns:r="http://schemas.openxmlformats.org/officeDocument/2006/relationships" ref="N35" r:id="rId39"/>
    <hyperlink xmlns:r="http://schemas.openxmlformats.org/officeDocument/2006/relationships" ref="N36" r:id="rId40"/>
    <hyperlink xmlns:r="http://schemas.openxmlformats.org/officeDocument/2006/relationships" ref="N37" r:id="rId41"/>
    <hyperlink xmlns:r="http://schemas.openxmlformats.org/officeDocument/2006/relationships" ref="N38" r:id="rId42"/>
    <hyperlink xmlns:r="http://schemas.openxmlformats.org/officeDocument/2006/relationships" ref="N39" r:id="rId43"/>
    <hyperlink xmlns:r="http://schemas.openxmlformats.org/officeDocument/2006/relationships" ref="N40" r:id="rId44"/>
    <hyperlink xmlns:r="http://schemas.openxmlformats.org/officeDocument/2006/relationships" ref="N41" r:id="rId45"/>
    <hyperlink xmlns:r="http://schemas.openxmlformats.org/officeDocument/2006/relationships" ref="N42" r:id="rId46"/>
    <hyperlink xmlns:r="http://schemas.openxmlformats.org/officeDocument/2006/relationships" ref="N43" r:id="rId47"/>
    <hyperlink xmlns:r="http://schemas.openxmlformats.org/officeDocument/2006/relationships" ref="N44" r:id="rId48"/>
    <hyperlink xmlns:r="http://schemas.openxmlformats.org/officeDocument/2006/relationships" ref="N45" r:id="rId49"/>
    <hyperlink xmlns:r="http://schemas.openxmlformats.org/officeDocument/2006/relationships" ref="N46" r:id="rId50"/>
    <hyperlink xmlns:r="http://schemas.openxmlformats.org/officeDocument/2006/relationships" ref="N47" r:id="rId51"/>
    <hyperlink xmlns:r="http://schemas.openxmlformats.org/officeDocument/2006/relationships" ref="N48" r:id="rId52"/>
    <hyperlink xmlns:r="http://schemas.openxmlformats.org/officeDocument/2006/relationships" ref="N49" r:id="rId53"/>
    <hyperlink xmlns:r="http://schemas.openxmlformats.org/officeDocument/2006/relationships" ref="N50" r:id="rId54"/>
    <hyperlink xmlns:r="http://schemas.openxmlformats.org/officeDocument/2006/relationships" ref="N51" r:id="rId55"/>
    <hyperlink xmlns:r="http://schemas.openxmlformats.org/officeDocument/2006/relationships" ref="N52" r:id="rId56"/>
    <hyperlink xmlns:r="http://schemas.openxmlformats.org/officeDocument/2006/relationships" ref="N53" r:id="rId57"/>
    <hyperlink xmlns:r="http://schemas.openxmlformats.org/officeDocument/2006/relationships" ref="N54" r:id="rId58"/>
    <hyperlink xmlns:r="http://schemas.openxmlformats.org/officeDocument/2006/relationships" ref="N55" r:id="rId59"/>
    <hyperlink xmlns:r="http://schemas.openxmlformats.org/officeDocument/2006/relationships" ref="N56" r:id="rId60"/>
    <hyperlink xmlns:r="http://schemas.openxmlformats.org/officeDocument/2006/relationships" ref="N57" r:id="rId61"/>
    <hyperlink xmlns:r="http://schemas.openxmlformats.org/officeDocument/2006/relationships" ref="N58" r:id="rId62"/>
    <hyperlink xmlns:r="http://schemas.openxmlformats.org/officeDocument/2006/relationships" ref="N59" r:id="rId63"/>
    <hyperlink xmlns:r="http://schemas.openxmlformats.org/officeDocument/2006/relationships" ref="N60" r:id="rId64"/>
    <hyperlink xmlns:r="http://schemas.openxmlformats.org/officeDocument/2006/relationships" ref="N61" r:id="rId65"/>
    <hyperlink xmlns:r="http://schemas.openxmlformats.org/officeDocument/2006/relationships" ref="N62" r:id="rId66"/>
    <hyperlink xmlns:r="http://schemas.openxmlformats.org/officeDocument/2006/relationships" ref="N63" r:id="rId67"/>
    <hyperlink xmlns:r="http://schemas.openxmlformats.org/officeDocument/2006/relationships" ref="N64" r:id="rId68"/>
    <hyperlink xmlns:r="http://schemas.openxmlformats.org/officeDocument/2006/relationships" ref="N65" r:id="rId69"/>
    <hyperlink xmlns:r="http://schemas.openxmlformats.org/officeDocument/2006/relationships" ref="N66" r:id="rId70"/>
    <hyperlink xmlns:r="http://schemas.openxmlformats.org/officeDocument/2006/relationships" ref="N67" r:id="rId71"/>
    <hyperlink xmlns:r="http://schemas.openxmlformats.org/officeDocument/2006/relationships" ref="N68" r:id="rId72"/>
    <hyperlink xmlns:r="http://schemas.openxmlformats.org/officeDocument/2006/relationships" ref="N69" r:id="rId73"/>
    <hyperlink xmlns:r="http://schemas.openxmlformats.org/officeDocument/2006/relationships" ref="N70" r:id="rId74"/>
    <hyperlink xmlns:r="http://schemas.openxmlformats.org/officeDocument/2006/relationships" ref="N71" r:id="rId75"/>
    <hyperlink xmlns:r="http://schemas.openxmlformats.org/officeDocument/2006/relationships" ref="N72" r:id="rId76"/>
    <hyperlink xmlns:r="http://schemas.openxmlformats.org/officeDocument/2006/relationships" ref="N73" r:id="rId77"/>
    <hyperlink xmlns:r="http://schemas.openxmlformats.org/officeDocument/2006/relationships" ref="N74" r:id="rId78"/>
    <hyperlink xmlns:r="http://schemas.openxmlformats.org/officeDocument/2006/relationships" ref="N75" r:id="rId79"/>
    <hyperlink xmlns:r="http://schemas.openxmlformats.org/officeDocument/2006/relationships" ref="N76" r:id="rId80"/>
    <hyperlink xmlns:r="http://schemas.openxmlformats.org/officeDocument/2006/relationships" ref="N77" r:id="rId81"/>
    <hyperlink xmlns:r="http://schemas.openxmlformats.org/officeDocument/2006/relationships" ref="N78" r:id="rId82"/>
    <hyperlink xmlns:r="http://schemas.openxmlformats.org/officeDocument/2006/relationships" ref="N79" r:id="rId83"/>
    <hyperlink xmlns:r="http://schemas.openxmlformats.org/officeDocument/2006/relationships" ref="N80" r:id="rId84"/>
    <hyperlink xmlns:r="http://schemas.openxmlformats.org/officeDocument/2006/relationships" ref="N81" r:id="rId85"/>
    <hyperlink xmlns:r="http://schemas.openxmlformats.org/officeDocument/2006/relationships" ref="N82" r:id="rId86"/>
    <hyperlink xmlns:r="http://schemas.openxmlformats.org/officeDocument/2006/relationships" ref="N83" r:id="rId87"/>
    <hyperlink xmlns:r="http://schemas.openxmlformats.org/officeDocument/2006/relationships" ref="N84" r:id="rId88"/>
    <hyperlink xmlns:r="http://schemas.openxmlformats.org/officeDocument/2006/relationships" ref="N85" r:id="rId89"/>
    <hyperlink xmlns:r="http://schemas.openxmlformats.org/officeDocument/2006/relationships" ref="N86" r:id="rId90"/>
    <hyperlink xmlns:r="http://schemas.openxmlformats.org/officeDocument/2006/relationships" ref="N87" r:id="rId91"/>
    <hyperlink xmlns:r="http://schemas.openxmlformats.org/officeDocument/2006/relationships" ref="N88" r:id="rId92"/>
    <hyperlink xmlns:r="http://schemas.openxmlformats.org/officeDocument/2006/relationships" ref="N89" r:id="rId93"/>
    <hyperlink xmlns:r="http://schemas.openxmlformats.org/officeDocument/2006/relationships" ref="N90" r:id="rId94"/>
    <hyperlink xmlns:r="http://schemas.openxmlformats.org/officeDocument/2006/relationships" ref="N91" r:id="rId95"/>
    <hyperlink xmlns:r="http://schemas.openxmlformats.org/officeDocument/2006/relationships" ref="N92" r:id="rId96"/>
    <hyperlink xmlns:r="http://schemas.openxmlformats.org/officeDocument/2006/relationships" ref="N93" r:id="rId97"/>
    <hyperlink xmlns:r="http://schemas.openxmlformats.org/officeDocument/2006/relationships" ref="N94" r:id="rId98"/>
    <hyperlink xmlns:r="http://schemas.openxmlformats.org/officeDocument/2006/relationships" ref="N95" r:id="rId99"/>
    <hyperlink xmlns:r="http://schemas.openxmlformats.org/officeDocument/2006/relationships" ref="N96" r:id="rId100"/>
    <hyperlink xmlns:r="http://schemas.openxmlformats.org/officeDocument/2006/relationships" ref="N97" r:id="rId101"/>
    <hyperlink xmlns:r="http://schemas.openxmlformats.org/officeDocument/2006/relationships" ref="N98" r:id="rId102"/>
    <hyperlink xmlns:r="http://schemas.openxmlformats.org/officeDocument/2006/relationships" ref="N99" r:id="rId103"/>
    <hyperlink xmlns:r="http://schemas.openxmlformats.org/officeDocument/2006/relationships" ref="N100" r:id="rId104"/>
    <hyperlink xmlns:r="http://schemas.openxmlformats.org/officeDocument/2006/relationships" ref="N101" r:id="rId105"/>
    <hyperlink xmlns:r="http://schemas.openxmlformats.org/officeDocument/2006/relationships" ref="N102" r:id="rId106"/>
    <hyperlink xmlns:r="http://schemas.openxmlformats.org/officeDocument/2006/relationships" ref="N103" r:id="rId107"/>
    <hyperlink xmlns:r="http://schemas.openxmlformats.org/officeDocument/2006/relationships" ref="N104" r:id="rId108"/>
    <hyperlink xmlns:r="http://schemas.openxmlformats.org/officeDocument/2006/relationships" ref="N105" r:id="rId109"/>
    <hyperlink xmlns:r="http://schemas.openxmlformats.org/officeDocument/2006/relationships" ref="N106" r:id="rId110"/>
    <hyperlink xmlns:r="http://schemas.openxmlformats.org/officeDocument/2006/relationships" ref="N107" r:id="rId111"/>
    <hyperlink xmlns:r="http://schemas.openxmlformats.org/officeDocument/2006/relationships" ref="N108" r:id="rId112"/>
    <hyperlink xmlns:r="http://schemas.openxmlformats.org/officeDocument/2006/relationships" ref="N109" r:id="rId113"/>
    <hyperlink xmlns:r="http://schemas.openxmlformats.org/officeDocument/2006/relationships" ref="N110" r:id="rId114"/>
    <hyperlink xmlns:r="http://schemas.openxmlformats.org/officeDocument/2006/relationships" ref="N111" r:id="rId115"/>
    <hyperlink xmlns:r="http://schemas.openxmlformats.org/officeDocument/2006/relationships" ref="N112" r:id="rId116"/>
    <hyperlink xmlns:r="http://schemas.openxmlformats.org/officeDocument/2006/relationships" ref="N113" r:id="rId117"/>
    <hyperlink xmlns:r="http://schemas.openxmlformats.org/officeDocument/2006/relationships" ref="N114" r:id="rId118"/>
    <hyperlink xmlns:r="http://schemas.openxmlformats.org/officeDocument/2006/relationships" ref="N115" r:id="rId119"/>
    <hyperlink xmlns:r="http://schemas.openxmlformats.org/officeDocument/2006/relationships" ref="N116" r:id="rId120"/>
    <hyperlink xmlns:r="http://schemas.openxmlformats.org/officeDocument/2006/relationships" ref="N117" r:id="rId121"/>
    <hyperlink xmlns:r="http://schemas.openxmlformats.org/officeDocument/2006/relationships" ref="N118" r:id="rId122"/>
    <hyperlink xmlns:r="http://schemas.openxmlformats.org/officeDocument/2006/relationships" ref="N119" r:id="rId123"/>
    <hyperlink xmlns:r="http://schemas.openxmlformats.org/officeDocument/2006/relationships" ref="N120" r:id="rId124"/>
    <hyperlink xmlns:r="http://schemas.openxmlformats.org/officeDocument/2006/relationships" ref="N121" r:id="rId125"/>
    <hyperlink xmlns:r="http://schemas.openxmlformats.org/officeDocument/2006/relationships" ref="N122" r:id="rId126"/>
    <hyperlink xmlns:r="http://schemas.openxmlformats.org/officeDocument/2006/relationships" ref="N123" r:id="rId127"/>
    <hyperlink xmlns:r="http://schemas.openxmlformats.org/officeDocument/2006/relationships" ref="N124" r:id="rId128"/>
    <hyperlink xmlns:r="http://schemas.openxmlformats.org/officeDocument/2006/relationships" ref="N125" r:id="rId129"/>
    <hyperlink xmlns:r="http://schemas.openxmlformats.org/officeDocument/2006/relationships" ref="N126" r:id="rId130"/>
    <hyperlink xmlns:r="http://schemas.openxmlformats.org/officeDocument/2006/relationships" ref="N127" r:id="rId131"/>
    <hyperlink xmlns:r="http://schemas.openxmlformats.org/officeDocument/2006/relationships" ref="N128" r:id="rId132"/>
    <hyperlink xmlns:r="http://schemas.openxmlformats.org/officeDocument/2006/relationships" ref="N129" r:id="rId133"/>
    <hyperlink xmlns:r="http://schemas.openxmlformats.org/officeDocument/2006/relationships" ref="N130" r:id="rId134"/>
    <hyperlink xmlns:r="http://schemas.openxmlformats.org/officeDocument/2006/relationships" ref="N131" r:id="rId135"/>
    <hyperlink xmlns:r="http://schemas.openxmlformats.org/officeDocument/2006/relationships" ref="N132" r:id="rId136"/>
    <hyperlink xmlns:r="http://schemas.openxmlformats.org/officeDocument/2006/relationships" ref="N133" r:id="rId137"/>
    <hyperlink xmlns:r="http://schemas.openxmlformats.org/officeDocument/2006/relationships" ref="N134" r:id="rId138"/>
    <hyperlink xmlns:r="http://schemas.openxmlformats.org/officeDocument/2006/relationships" ref="N135" r:id="rId139"/>
    <hyperlink xmlns:r="http://schemas.openxmlformats.org/officeDocument/2006/relationships" ref="N136" r:id="rId140"/>
    <hyperlink xmlns:r="http://schemas.openxmlformats.org/officeDocument/2006/relationships" ref="N137" r:id="rId141"/>
    <hyperlink xmlns:r="http://schemas.openxmlformats.org/officeDocument/2006/relationships" ref="N138" r:id="rId142"/>
    <hyperlink xmlns:r="http://schemas.openxmlformats.org/officeDocument/2006/relationships" ref="N139" r:id="rId143"/>
    <hyperlink xmlns:r="http://schemas.openxmlformats.org/officeDocument/2006/relationships" ref="N140" r:id="rId144"/>
    <hyperlink xmlns:r="http://schemas.openxmlformats.org/officeDocument/2006/relationships" ref="N141" r:id="rId145"/>
    <hyperlink xmlns:r="http://schemas.openxmlformats.org/officeDocument/2006/relationships" ref="N142" r:id="rId146"/>
    <hyperlink xmlns:r="http://schemas.openxmlformats.org/officeDocument/2006/relationships" ref="N143" r:id="rId147"/>
    <hyperlink xmlns:r="http://schemas.openxmlformats.org/officeDocument/2006/relationships" ref="N144" r:id="rId148"/>
    <hyperlink xmlns:r="http://schemas.openxmlformats.org/officeDocument/2006/relationships" ref="N145" r:id="rId149"/>
    <hyperlink xmlns:r="http://schemas.openxmlformats.org/officeDocument/2006/relationships" ref="N146" r:id="rId150"/>
    <hyperlink xmlns:r="http://schemas.openxmlformats.org/officeDocument/2006/relationships" ref="N147" r:id="rId151"/>
    <hyperlink xmlns:r="http://schemas.openxmlformats.org/officeDocument/2006/relationships" ref="N148" r:id="rId152"/>
    <hyperlink xmlns:r="http://schemas.openxmlformats.org/officeDocument/2006/relationships" ref="N149" r:id="rId153"/>
    <hyperlink xmlns:r="http://schemas.openxmlformats.org/officeDocument/2006/relationships" ref="N150" r:id="rId154"/>
    <hyperlink xmlns:r="http://schemas.openxmlformats.org/officeDocument/2006/relationships" ref="N151" r:id="rId155"/>
    <hyperlink xmlns:r="http://schemas.openxmlformats.org/officeDocument/2006/relationships" ref="N152" r:id="rId156"/>
    <hyperlink xmlns:r="http://schemas.openxmlformats.org/officeDocument/2006/relationships" ref="N153" r:id="rId157"/>
    <hyperlink xmlns:r="http://schemas.openxmlformats.org/officeDocument/2006/relationships" ref="N154" r:id="rId158"/>
    <hyperlink xmlns:r="http://schemas.openxmlformats.org/officeDocument/2006/relationships" ref="N155" r:id="rId159"/>
    <hyperlink xmlns:r="http://schemas.openxmlformats.org/officeDocument/2006/relationships" ref="N156" r:id="rId160"/>
    <hyperlink xmlns:r="http://schemas.openxmlformats.org/officeDocument/2006/relationships" ref="N157" r:id="rId161"/>
    <hyperlink xmlns:r="http://schemas.openxmlformats.org/officeDocument/2006/relationships" ref="N158" r:id="rId162"/>
    <hyperlink xmlns:r="http://schemas.openxmlformats.org/officeDocument/2006/relationships" ref="N159" r:id="rId163"/>
    <hyperlink xmlns:r="http://schemas.openxmlformats.org/officeDocument/2006/relationships" ref="N160" r:id="rId164"/>
    <hyperlink xmlns:r="http://schemas.openxmlformats.org/officeDocument/2006/relationships" ref="N161" r:id="rId165"/>
    <hyperlink xmlns:r="http://schemas.openxmlformats.org/officeDocument/2006/relationships" ref="N162" r:id="rId166"/>
    <hyperlink xmlns:r="http://schemas.openxmlformats.org/officeDocument/2006/relationships" ref="N163" r:id="rId167"/>
    <hyperlink xmlns:r="http://schemas.openxmlformats.org/officeDocument/2006/relationships" ref="N164" r:id="rId168"/>
    <hyperlink xmlns:r="http://schemas.openxmlformats.org/officeDocument/2006/relationships" ref="N165" r:id="rId169"/>
    <hyperlink xmlns:r="http://schemas.openxmlformats.org/officeDocument/2006/relationships" ref="N166" r:id="rId170"/>
    <hyperlink xmlns:r="http://schemas.openxmlformats.org/officeDocument/2006/relationships" ref="N167" r:id="rId171"/>
    <hyperlink xmlns:r="http://schemas.openxmlformats.org/officeDocument/2006/relationships" ref="N168" r:id="rId172"/>
    <hyperlink xmlns:r="http://schemas.openxmlformats.org/officeDocument/2006/relationships" ref="N169" r:id="rId173"/>
    <hyperlink xmlns:r="http://schemas.openxmlformats.org/officeDocument/2006/relationships" ref="N170" r:id="rId174"/>
    <hyperlink xmlns:r="http://schemas.openxmlformats.org/officeDocument/2006/relationships" ref="N171" r:id="rId175"/>
    <hyperlink xmlns:r="http://schemas.openxmlformats.org/officeDocument/2006/relationships" ref="N172" r:id="rId176"/>
    <hyperlink xmlns:r="http://schemas.openxmlformats.org/officeDocument/2006/relationships" ref="N173" r:id="rId177"/>
    <hyperlink xmlns:r="http://schemas.openxmlformats.org/officeDocument/2006/relationships" ref="N174" r:id="rId178"/>
    <hyperlink xmlns:r="http://schemas.openxmlformats.org/officeDocument/2006/relationships" ref="N175" r:id="rId179"/>
    <hyperlink xmlns:r="http://schemas.openxmlformats.org/officeDocument/2006/relationships" ref="N176" r:id="rId180"/>
    <hyperlink xmlns:r="http://schemas.openxmlformats.org/officeDocument/2006/relationships" ref="N177" r:id="rId181"/>
    <hyperlink xmlns:r="http://schemas.openxmlformats.org/officeDocument/2006/relationships" ref="N178" r:id="rId182"/>
    <hyperlink xmlns:r="http://schemas.openxmlformats.org/officeDocument/2006/relationships" ref="N179" r:id="rId183"/>
    <hyperlink xmlns:r="http://schemas.openxmlformats.org/officeDocument/2006/relationships" ref="N180" r:id="rId184"/>
    <hyperlink xmlns:r="http://schemas.openxmlformats.org/officeDocument/2006/relationships" ref="N181" r:id="rId185"/>
    <hyperlink xmlns:r="http://schemas.openxmlformats.org/officeDocument/2006/relationships" ref="N182" r:id="rId186"/>
    <hyperlink xmlns:r="http://schemas.openxmlformats.org/officeDocument/2006/relationships" ref="N183" r:id="rId187"/>
    <hyperlink xmlns:r="http://schemas.openxmlformats.org/officeDocument/2006/relationships" ref="N184" r:id="rId188"/>
    <hyperlink xmlns:r="http://schemas.openxmlformats.org/officeDocument/2006/relationships" ref="N185" r:id="rId189"/>
    <hyperlink xmlns:r="http://schemas.openxmlformats.org/officeDocument/2006/relationships" ref="N186" r:id="rId190"/>
    <hyperlink xmlns:r="http://schemas.openxmlformats.org/officeDocument/2006/relationships" ref="N187" r:id="rId191"/>
    <hyperlink xmlns:r="http://schemas.openxmlformats.org/officeDocument/2006/relationships" ref="N188" r:id="rId192"/>
    <hyperlink xmlns:r="http://schemas.openxmlformats.org/officeDocument/2006/relationships" ref="N189" r:id="rId193"/>
    <hyperlink xmlns:r="http://schemas.openxmlformats.org/officeDocument/2006/relationships" ref="N190" r:id="rId194"/>
    <hyperlink xmlns:r="http://schemas.openxmlformats.org/officeDocument/2006/relationships" ref="N191" r:id="rId195"/>
    <hyperlink xmlns:r="http://schemas.openxmlformats.org/officeDocument/2006/relationships" ref="N192" r:id="rId196"/>
    <hyperlink xmlns:r="http://schemas.openxmlformats.org/officeDocument/2006/relationships" ref="N193" r:id="rId197"/>
    <hyperlink xmlns:r="http://schemas.openxmlformats.org/officeDocument/2006/relationships" ref="N194" r:id="rId198"/>
    <hyperlink xmlns:r="http://schemas.openxmlformats.org/officeDocument/2006/relationships" ref="N195" r:id="rId199"/>
    <hyperlink xmlns:r="http://schemas.openxmlformats.org/officeDocument/2006/relationships" ref="N196" r:id="rId200"/>
    <hyperlink xmlns:r="http://schemas.openxmlformats.org/officeDocument/2006/relationships" ref="N197" r:id="rId201"/>
    <hyperlink xmlns:r="http://schemas.openxmlformats.org/officeDocument/2006/relationships" ref="N198" r:id="rId202"/>
    <hyperlink xmlns:r="http://schemas.openxmlformats.org/officeDocument/2006/relationships" ref="N199" r:id="rId203"/>
    <hyperlink xmlns:r="http://schemas.openxmlformats.org/officeDocument/2006/relationships" ref="N200" r:id="rId204"/>
    <hyperlink xmlns:r="http://schemas.openxmlformats.org/officeDocument/2006/relationships" ref="N201" r:id="rId205"/>
    <hyperlink xmlns:r="http://schemas.openxmlformats.org/officeDocument/2006/relationships" ref="N202" r:id="rId206"/>
    <hyperlink xmlns:r="http://schemas.openxmlformats.org/officeDocument/2006/relationships" ref="N203" r:id="rId207"/>
    <hyperlink xmlns:r="http://schemas.openxmlformats.org/officeDocument/2006/relationships" ref="N204" r:id="rId208"/>
    <hyperlink xmlns:r="http://schemas.openxmlformats.org/officeDocument/2006/relationships" ref="N205" r:id="rId209"/>
    <hyperlink xmlns:r="http://schemas.openxmlformats.org/officeDocument/2006/relationships" ref="N206" r:id="rId210"/>
    <hyperlink xmlns:r="http://schemas.openxmlformats.org/officeDocument/2006/relationships" ref="N207" r:id="rId211"/>
    <hyperlink xmlns:r="http://schemas.openxmlformats.org/officeDocument/2006/relationships" ref="N208" r:id="rId212"/>
    <hyperlink xmlns:r="http://schemas.openxmlformats.org/officeDocument/2006/relationships" ref="N209" r:id="rId213"/>
    <hyperlink xmlns:r="http://schemas.openxmlformats.org/officeDocument/2006/relationships" ref="N210" r:id="rId214"/>
    <hyperlink xmlns:r="http://schemas.openxmlformats.org/officeDocument/2006/relationships" ref="N211" r:id="rId215"/>
    <hyperlink xmlns:r="http://schemas.openxmlformats.org/officeDocument/2006/relationships" ref="N212" r:id="rId216"/>
    <hyperlink xmlns:r="http://schemas.openxmlformats.org/officeDocument/2006/relationships" ref="N213" r:id="rId217"/>
    <hyperlink xmlns:r="http://schemas.openxmlformats.org/officeDocument/2006/relationships" ref="N214" r:id="rId218"/>
    <hyperlink xmlns:r="http://schemas.openxmlformats.org/officeDocument/2006/relationships" ref="N215" r:id="rId219"/>
    <hyperlink xmlns:r="http://schemas.openxmlformats.org/officeDocument/2006/relationships" ref="N216" r:id="rId220"/>
    <hyperlink xmlns:r="http://schemas.openxmlformats.org/officeDocument/2006/relationships" ref="N217" r:id="rId221"/>
    <hyperlink xmlns:r="http://schemas.openxmlformats.org/officeDocument/2006/relationships" ref="N218" r:id="rId222"/>
    <hyperlink xmlns:r="http://schemas.openxmlformats.org/officeDocument/2006/relationships" ref="N219" r:id="rId223"/>
    <hyperlink xmlns:r="http://schemas.openxmlformats.org/officeDocument/2006/relationships" ref="N220" r:id="rId224"/>
    <hyperlink xmlns:r="http://schemas.openxmlformats.org/officeDocument/2006/relationships" ref="N221" r:id="rId225"/>
    <hyperlink xmlns:r="http://schemas.openxmlformats.org/officeDocument/2006/relationships" ref="N222" r:id="rId226"/>
    <hyperlink xmlns:r="http://schemas.openxmlformats.org/officeDocument/2006/relationships" ref="N223" r:id="rId227"/>
    <hyperlink xmlns:r="http://schemas.openxmlformats.org/officeDocument/2006/relationships" ref="N224" r:id="rId228"/>
    <hyperlink xmlns:r="http://schemas.openxmlformats.org/officeDocument/2006/relationships" ref="N225" r:id="rId229"/>
    <hyperlink xmlns:r="http://schemas.openxmlformats.org/officeDocument/2006/relationships" ref="N226" r:id="rId230"/>
    <hyperlink xmlns:r="http://schemas.openxmlformats.org/officeDocument/2006/relationships" ref="N227" r:id="rId231"/>
    <hyperlink xmlns:r="http://schemas.openxmlformats.org/officeDocument/2006/relationships" ref="N228" r:id="rId232"/>
    <hyperlink xmlns:r="http://schemas.openxmlformats.org/officeDocument/2006/relationships" ref="N229" r:id="rId233"/>
    <hyperlink xmlns:r="http://schemas.openxmlformats.org/officeDocument/2006/relationships" ref="N230" r:id="rId234"/>
    <hyperlink xmlns:r="http://schemas.openxmlformats.org/officeDocument/2006/relationships" ref="N231" r:id="rId235"/>
    <hyperlink xmlns:r="http://schemas.openxmlformats.org/officeDocument/2006/relationships" ref="N232" r:id="rId236"/>
    <hyperlink xmlns:r="http://schemas.openxmlformats.org/officeDocument/2006/relationships" ref="N233" r:id="rId237"/>
    <hyperlink xmlns:r="http://schemas.openxmlformats.org/officeDocument/2006/relationships" ref="N234" r:id="rId238"/>
    <hyperlink xmlns:r="http://schemas.openxmlformats.org/officeDocument/2006/relationships" ref="N235" r:id="rId239"/>
    <hyperlink xmlns:r="http://schemas.openxmlformats.org/officeDocument/2006/relationships" ref="N236" r:id="rId240"/>
    <hyperlink xmlns:r="http://schemas.openxmlformats.org/officeDocument/2006/relationships" ref="N237" r:id="rId241"/>
    <hyperlink xmlns:r="http://schemas.openxmlformats.org/officeDocument/2006/relationships" ref="N238" r:id="rId242"/>
    <hyperlink xmlns:r="http://schemas.openxmlformats.org/officeDocument/2006/relationships" ref="N239" r:id="rId243"/>
    <hyperlink xmlns:r="http://schemas.openxmlformats.org/officeDocument/2006/relationships" ref="N240" r:id="rId244"/>
    <hyperlink xmlns:r="http://schemas.openxmlformats.org/officeDocument/2006/relationships" ref="N241" r:id="rId245"/>
    <hyperlink xmlns:r="http://schemas.openxmlformats.org/officeDocument/2006/relationships" ref="N242" r:id="rId246"/>
    <hyperlink xmlns:r="http://schemas.openxmlformats.org/officeDocument/2006/relationships" ref="N243" r:id="rId247"/>
    <hyperlink xmlns:r="http://schemas.openxmlformats.org/officeDocument/2006/relationships" ref="N244" r:id="rId248"/>
    <hyperlink xmlns:r="http://schemas.openxmlformats.org/officeDocument/2006/relationships" ref="N245" r:id="rId249"/>
    <hyperlink xmlns:r="http://schemas.openxmlformats.org/officeDocument/2006/relationships" ref="N246" r:id="rId250"/>
    <hyperlink xmlns:r="http://schemas.openxmlformats.org/officeDocument/2006/relationships" ref="N247" r:id="rId251"/>
    <hyperlink xmlns:r="http://schemas.openxmlformats.org/officeDocument/2006/relationships" ref="N248" r:id="rId252"/>
    <hyperlink xmlns:r="http://schemas.openxmlformats.org/officeDocument/2006/relationships" ref="N249" r:id="rId253"/>
    <hyperlink xmlns:r="http://schemas.openxmlformats.org/officeDocument/2006/relationships" ref="N250" r:id="rId254"/>
    <hyperlink xmlns:r="http://schemas.openxmlformats.org/officeDocument/2006/relationships" ref="N251" r:id="rId255"/>
    <hyperlink xmlns:r="http://schemas.openxmlformats.org/officeDocument/2006/relationships" ref="N252" r:id="rId256"/>
    <hyperlink xmlns:r="http://schemas.openxmlformats.org/officeDocument/2006/relationships" ref="N253" r:id="rId257"/>
    <hyperlink xmlns:r="http://schemas.openxmlformats.org/officeDocument/2006/relationships" ref="N254" r:id="rId258"/>
    <hyperlink xmlns:r="http://schemas.openxmlformats.org/officeDocument/2006/relationships" ref="N255" r:id="rId259"/>
    <hyperlink xmlns:r="http://schemas.openxmlformats.org/officeDocument/2006/relationships" ref="N256" r:id="rId260"/>
    <hyperlink xmlns:r="http://schemas.openxmlformats.org/officeDocument/2006/relationships" ref="N257" r:id="rId261"/>
    <hyperlink xmlns:r="http://schemas.openxmlformats.org/officeDocument/2006/relationships" ref="N258" r:id="rId262"/>
    <hyperlink xmlns:r="http://schemas.openxmlformats.org/officeDocument/2006/relationships" ref="N259" r:id="rId263"/>
    <hyperlink xmlns:r="http://schemas.openxmlformats.org/officeDocument/2006/relationships" ref="N260" r:id="rId264"/>
    <hyperlink xmlns:r="http://schemas.openxmlformats.org/officeDocument/2006/relationships" ref="N261" r:id="rId265"/>
    <hyperlink xmlns:r="http://schemas.openxmlformats.org/officeDocument/2006/relationships" ref="N262" r:id="rId266"/>
    <hyperlink xmlns:r="http://schemas.openxmlformats.org/officeDocument/2006/relationships" ref="N263" r:id="rId267"/>
    <hyperlink xmlns:r="http://schemas.openxmlformats.org/officeDocument/2006/relationships" ref="N264" r:id="rId268"/>
    <hyperlink xmlns:r="http://schemas.openxmlformats.org/officeDocument/2006/relationships" ref="N265" r:id="rId269"/>
    <hyperlink xmlns:r="http://schemas.openxmlformats.org/officeDocument/2006/relationships" ref="N266" r:id="rId270"/>
    <hyperlink xmlns:r="http://schemas.openxmlformats.org/officeDocument/2006/relationships" ref="N267" r:id="rId271"/>
    <hyperlink xmlns:r="http://schemas.openxmlformats.org/officeDocument/2006/relationships" ref="N268" r:id="rId272"/>
    <hyperlink xmlns:r="http://schemas.openxmlformats.org/officeDocument/2006/relationships" ref="N269" r:id="rId273"/>
    <hyperlink xmlns:r="http://schemas.openxmlformats.org/officeDocument/2006/relationships" ref="N270" r:id="rId274"/>
    <hyperlink xmlns:r="http://schemas.openxmlformats.org/officeDocument/2006/relationships" ref="N271" r:id="rId275"/>
    <hyperlink xmlns:r="http://schemas.openxmlformats.org/officeDocument/2006/relationships" ref="N272" r:id="rId276"/>
    <hyperlink xmlns:r="http://schemas.openxmlformats.org/officeDocument/2006/relationships" ref="N273" r:id="rId277"/>
    <hyperlink xmlns:r="http://schemas.openxmlformats.org/officeDocument/2006/relationships" ref="N274" r:id="rId278"/>
    <hyperlink xmlns:r="http://schemas.openxmlformats.org/officeDocument/2006/relationships" ref="N275" r:id="rId279"/>
    <hyperlink xmlns:r="http://schemas.openxmlformats.org/officeDocument/2006/relationships" ref="N276" r:id="rId280"/>
    <hyperlink xmlns:r="http://schemas.openxmlformats.org/officeDocument/2006/relationships" ref="N277" r:id="rId281"/>
    <hyperlink xmlns:r="http://schemas.openxmlformats.org/officeDocument/2006/relationships" ref="N278" r:id="rId282"/>
    <hyperlink xmlns:r="http://schemas.openxmlformats.org/officeDocument/2006/relationships" ref="N279" r:id="rId283"/>
    <hyperlink xmlns:r="http://schemas.openxmlformats.org/officeDocument/2006/relationships" ref="N280" r:id="rId284"/>
    <hyperlink xmlns:r="http://schemas.openxmlformats.org/officeDocument/2006/relationships" ref="N281" r:id="rId285"/>
    <hyperlink xmlns:r="http://schemas.openxmlformats.org/officeDocument/2006/relationships" ref="N282" r:id="rId286"/>
    <hyperlink xmlns:r="http://schemas.openxmlformats.org/officeDocument/2006/relationships" ref="N283" r:id="rId287"/>
    <hyperlink xmlns:r="http://schemas.openxmlformats.org/officeDocument/2006/relationships" ref="N284" r:id="rId288"/>
    <hyperlink xmlns:r="http://schemas.openxmlformats.org/officeDocument/2006/relationships" ref="N285" r:id="rId289"/>
    <hyperlink xmlns:r="http://schemas.openxmlformats.org/officeDocument/2006/relationships" ref="N286" r:id="rId290"/>
    <hyperlink xmlns:r="http://schemas.openxmlformats.org/officeDocument/2006/relationships" ref="N287" r:id="rId291"/>
    <hyperlink xmlns:r="http://schemas.openxmlformats.org/officeDocument/2006/relationships" ref="N288" r:id="rId292"/>
    <hyperlink xmlns:r="http://schemas.openxmlformats.org/officeDocument/2006/relationships" ref="N289" r:id="rId293"/>
    <hyperlink xmlns:r="http://schemas.openxmlformats.org/officeDocument/2006/relationships" ref="N290" r:id="rId294"/>
    <hyperlink xmlns:r="http://schemas.openxmlformats.org/officeDocument/2006/relationships" ref="N291" r:id="rId295"/>
    <hyperlink xmlns:r="http://schemas.openxmlformats.org/officeDocument/2006/relationships" ref="N292" r:id="rId296"/>
    <hyperlink xmlns:r="http://schemas.openxmlformats.org/officeDocument/2006/relationships" ref="N293" r:id="rId297"/>
    <hyperlink xmlns:r="http://schemas.openxmlformats.org/officeDocument/2006/relationships" ref="N294" r:id="rId298"/>
    <hyperlink xmlns:r="http://schemas.openxmlformats.org/officeDocument/2006/relationships" ref="N295" r:id="rId299"/>
    <hyperlink xmlns:r="http://schemas.openxmlformats.org/officeDocument/2006/relationships" ref="N296" r:id="rId300"/>
    <hyperlink xmlns:r="http://schemas.openxmlformats.org/officeDocument/2006/relationships" ref="N297" r:id="rId301"/>
    <hyperlink xmlns:r="http://schemas.openxmlformats.org/officeDocument/2006/relationships" ref="N298" r:id="rId302"/>
    <hyperlink xmlns:r="http://schemas.openxmlformats.org/officeDocument/2006/relationships" ref="N299" r:id="rId303"/>
    <hyperlink xmlns:r="http://schemas.openxmlformats.org/officeDocument/2006/relationships" ref="N300" r:id="rId304"/>
    <hyperlink xmlns:r="http://schemas.openxmlformats.org/officeDocument/2006/relationships" ref="N301" r:id="rId305"/>
    <hyperlink xmlns:r="http://schemas.openxmlformats.org/officeDocument/2006/relationships" ref="N302" r:id="rId306"/>
    <hyperlink xmlns:r="http://schemas.openxmlformats.org/officeDocument/2006/relationships" ref="N303" r:id="rId307"/>
    <hyperlink xmlns:r="http://schemas.openxmlformats.org/officeDocument/2006/relationships" ref="N304" r:id="rId308"/>
    <hyperlink xmlns:r="http://schemas.openxmlformats.org/officeDocument/2006/relationships" ref="N305" r:id="rId309"/>
    <hyperlink xmlns:r="http://schemas.openxmlformats.org/officeDocument/2006/relationships" ref="N306" r:id="rId310"/>
    <hyperlink xmlns:r="http://schemas.openxmlformats.org/officeDocument/2006/relationships" ref="N307" r:id="rId311"/>
    <hyperlink xmlns:r="http://schemas.openxmlformats.org/officeDocument/2006/relationships" ref="N308" r:id="rId312"/>
    <hyperlink xmlns:r="http://schemas.openxmlformats.org/officeDocument/2006/relationships" ref="N309" r:id="rId313"/>
    <hyperlink xmlns:r="http://schemas.openxmlformats.org/officeDocument/2006/relationships" ref="N310" r:id="rId314"/>
    <hyperlink xmlns:r="http://schemas.openxmlformats.org/officeDocument/2006/relationships" ref="N311" r:id="rId315"/>
    <hyperlink xmlns:r="http://schemas.openxmlformats.org/officeDocument/2006/relationships" ref="N312" r:id="rId316"/>
    <hyperlink xmlns:r="http://schemas.openxmlformats.org/officeDocument/2006/relationships" ref="N313" r:id="rId317"/>
    <hyperlink xmlns:r="http://schemas.openxmlformats.org/officeDocument/2006/relationships" ref="N314" r:id="rId318"/>
    <hyperlink xmlns:r="http://schemas.openxmlformats.org/officeDocument/2006/relationships" ref="N315" r:id="rId319"/>
    <hyperlink xmlns:r="http://schemas.openxmlformats.org/officeDocument/2006/relationships" ref="N316" r:id="rId320"/>
    <hyperlink xmlns:r="http://schemas.openxmlformats.org/officeDocument/2006/relationships" ref="N317" r:id="rId321"/>
    <hyperlink xmlns:r="http://schemas.openxmlformats.org/officeDocument/2006/relationships" ref="N318" r:id="rId322"/>
    <hyperlink xmlns:r="http://schemas.openxmlformats.org/officeDocument/2006/relationships" ref="N319" r:id="rId323"/>
    <hyperlink xmlns:r="http://schemas.openxmlformats.org/officeDocument/2006/relationships" ref="N320" r:id="rId324"/>
    <hyperlink xmlns:r="http://schemas.openxmlformats.org/officeDocument/2006/relationships" ref="N321" r:id="rId325"/>
    <hyperlink xmlns:r="http://schemas.openxmlformats.org/officeDocument/2006/relationships" ref="N322" r:id="rId326"/>
    <hyperlink xmlns:r="http://schemas.openxmlformats.org/officeDocument/2006/relationships" ref="N323" r:id="rId327"/>
    <hyperlink xmlns:r="http://schemas.openxmlformats.org/officeDocument/2006/relationships" ref="N324" r:id="rId328"/>
    <hyperlink xmlns:r="http://schemas.openxmlformats.org/officeDocument/2006/relationships" ref="N325" r:id="rId329"/>
    <hyperlink xmlns:r="http://schemas.openxmlformats.org/officeDocument/2006/relationships" ref="N326" r:id="rId330"/>
    <hyperlink xmlns:r="http://schemas.openxmlformats.org/officeDocument/2006/relationships" ref="N327" r:id="rId331"/>
    <hyperlink xmlns:r="http://schemas.openxmlformats.org/officeDocument/2006/relationships" ref="N328" r:id="rId332"/>
    <hyperlink xmlns:r="http://schemas.openxmlformats.org/officeDocument/2006/relationships" ref="N329" r:id="rId333"/>
    <hyperlink xmlns:r="http://schemas.openxmlformats.org/officeDocument/2006/relationships" ref="N330" r:id="rId334"/>
    <hyperlink xmlns:r="http://schemas.openxmlformats.org/officeDocument/2006/relationships" ref="N331" r:id="rId335"/>
    <hyperlink xmlns:r="http://schemas.openxmlformats.org/officeDocument/2006/relationships" ref="N332" r:id="rId336"/>
    <hyperlink xmlns:r="http://schemas.openxmlformats.org/officeDocument/2006/relationships" ref="N333" r:id="rId337"/>
    <hyperlink xmlns:r="http://schemas.openxmlformats.org/officeDocument/2006/relationships" ref="N334" r:id="rId338"/>
    <hyperlink xmlns:r="http://schemas.openxmlformats.org/officeDocument/2006/relationships" ref="N335" r:id="rId339"/>
    <hyperlink xmlns:r="http://schemas.openxmlformats.org/officeDocument/2006/relationships" ref="N336" r:id="rId340"/>
    <hyperlink xmlns:r="http://schemas.openxmlformats.org/officeDocument/2006/relationships" ref="N337" r:id="rId341"/>
    <hyperlink xmlns:r="http://schemas.openxmlformats.org/officeDocument/2006/relationships" ref="N338" r:id="rId342"/>
    <hyperlink xmlns:r="http://schemas.openxmlformats.org/officeDocument/2006/relationships" ref="N339" r:id="rId343"/>
    <hyperlink xmlns:r="http://schemas.openxmlformats.org/officeDocument/2006/relationships" ref="N340" r:id="rId344"/>
    <hyperlink xmlns:r="http://schemas.openxmlformats.org/officeDocument/2006/relationships" ref="N341" r:id="rId345"/>
    <hyperlink xmlns:r="http://schemas.openxmlformats.org/officeDocument/2006/relationships" ref="N342" r:id="rId346"/>
    <hyperlink xmlns:r="http://schemas.openxmlformats.org/officeDocument/2006/relationships" ref="N343" r:id="rId347"/>
    <hyperlink xmlns:r="http://schemas.openxmlformats.org/officeDocument/2006/relationships" ref="N344" r:id="rId348"/>
    <hyperlink xmlns:r="http://schemas.openxmlformats.org/officeDocument/2006/relationships" ref="N345" r:id="rId349"/>
    <hyperlink xmlns:r="http://schemas.openxmlformats.org/officeDocument/2006/relationships" ref="N346" r:id="rId350"/>
    <hyperlink xmlns:r="http://schemas.openxmlformats.org/officeDocument/2006/relationships" ref="N347" r:id="rId351"/>
    <hyperlink xmlns:r="http://schemas.openxmlformats.org/officeDocument/2006/relationships" ref="N348" r:id="rId352"/>
    <hyperlink xmlns:r="http://schemas.openxmlformats.org/officeDocument/2006/relationships" ref="N349" r:id="rId353"/>
    <hyperlink xmlns:r="http://schemas.openxmlformats.org/officeDocument/2006/relationships" ref="N350" r:id="rId354"/>
    <hyperlink xmlns:r="http://schemas.openxmlformats.org/officeDocument/2006/relationships" ref="N351" r:id="rId355"/>
    <hyperlink xmlns:r="http://schemas.openxmlformats.org/officeDocument/2006/relationships" ref="N352" r:id="rId356"/>
    <hyperlink xmlns:r="http://schemas.openxmlformats.org/officeDocument/2006/relationships" ref="N353" r:id="rId357"/>
    <hyperlink xmlns:r="http://schemas.openxmlformats.org/officeDocument/2006/relationships" ref="N354" r:id="rId358"/>
    <hyperlink xmlns:r="http://schemas.openxmlformats.org/officeDocument/2006/relationships" ref="N355" r:id="rId359"/>
    <hyperlink xmlns:r="http://schemas.openxmlformats.org/officeDocument/2006/relationships" ref="N356" r:id="rId360"/>
    <hyperlink xmlns:r="http://schemas.openxmlformats.org/officeDocument/2006/relationships" ref="N357" r:id="rId361"/>
    <hyperlink xmlns:r="http://schemas.openxmlformats.org/officeDocument/2006/relationships" ref="N358" r:id="rId362"/>
    <hyperlink xmlns:r="http://schemas.openxmlformats.org/officeDocument/2006/relationships" ref="N359" r:id="rId363"/>
    <hyperlink xmlns:r="http://schemas.openxmlformats.org/officeDocument/2006/relationships" ref="N360" r:id="rId364"/>
    <hyperlink xmlns:r="http://schemas.openxmlformats.org/officeDocument/2006/relationships" ref="N361" r:id="rId365"/>
    <hyperlink xmlns:r="http://schemas.openxmlformats.org/officeDocument/2006/relationships" ref="N362" r:id="rId366"/>
    <hyperlink xmlns:r="http://schemas.openxmlformats.org/officeDocument/2006/relationships" ref="N363" r:id="rId367"/>
    <hyperlink xmlns:r="http://schemas.openxmlformats.org/officeDocument/2006/relationships" ref="N364" r:id="rId368"/>
    <hyperlink xmlns:r="http://schemas.openxmlformats.org/officeDocument/2006/relationships" ref="N365" r:id="rId369"/>
    <hyperlink xmlns:r="http://schemas.openxmlformats.org/officeDocument/2006/relationships" ref="N366" r:id="rId370"/>
    <hyperlink xmlns:r="http://schemas.openxmlformats.org/officeDocument/2006/relationships" ref="N367" r:id="rId371"/>
    <hyperlink xmlns:r="http://schemas.openxmlformats.org/officeDocument/2006/relationships" ref="N368" r:id="rId372"/>
    <hyperlink xmlns:r="http://schemas.openxmlformats.org/officeDocument/2006/relationships" ref="N369" r:id="rId373"/>
    <hyperlink xmlns:r="http://schemas.openxmlformats.org/officeDocument/2006/relationships" ref="N370" r:id="rId374"/>
    <hyperlink xmlns:r="http://schemas.openxmlformats.org/officeDocument/2006/relationships" ref="N371" r:id="rId375"/>
    <hyperlink xmlns:r="http://schemas.openxmlformats.org/officeDocument/2006/relationships" ref="N372" r:id="rId376"/>
    <hyperlink xmlns:r="http://schemas.openxmlformats.org/officeDocument/2006/relationships" ref="N373" r:id="rId377"/>
    <hyperlink xmlns:r="http://schemas.openxmlformats.org/officeDocument/2006/relationships" ref="N374" r:id="rId378"/>
    <hyperlink xmlns:r="http://schemas.openxmlformats.org/officeDocument/2006/relationships" ref="N375" r:id="rId379"/>
    <hyperlink xmlns:r="http://schemas.openxmlformats.org/officeDocument/2006/relationships" ref="N376" r:id="rId380"/>
    <hyperlink xmlns:r="http://schemas.openxmlformats.org/officeDocument/2006/relationships" ref="N377" r:id="rId381"/>
    <hyperlink xmlns:r="http://schemas.openxmlformats.org/officeDocument/2006/relationships" ref="N378" r:id="rId382"/>
    <hyperlink xmlns:r="http://schemas.openxmlformats.org/officeDocument/2006/relationships" ref="N379" r:id="rId383"/>
    <hyperlink xmlns:r="http://schemas.openxmlformats.org/officeDocument/2006/relationships" ref="N380" r:id="rId384"/>
    <hyperlink xmlns:r="http://schemas.openxmlformats.org/officeDocument/2006/relationships" ref="N381" r:id="rId385"/>
    <hyperlink xmlns:r="http://schemas.openxmlformats.org/officeDocument/2006/relationships" ref="N382" r:id="rId386"/>
    <hyperlink xmlns:r="http://schemas.openxmlformats.org/officeDocument/2006/relationships" ref="N383" r:id="rId387"/>
    <hyperlink xmlns:r="http://schemas.openxmlformats.org/officeDocument/2006/relationships" ref="N384" r:id="rId388"/>
    <hyperlink xmlns:r="http://schemas.openxmlformats.org/officeDocument/2006/relationships" ref="N385" r:id="rId389"/>
    <hyperlink xmlns:r="http://schemas.openxmlformats.org/officeDocument/2006/relationships" ref="N386" r:id="rId390"/>
    <hyperlink xmlns:r="http://schemas.openxmlformats.org/officeDocument/2006/relationships" ref="N387" r:id="rId391"/>
    <hyperlink xmlns:r="http://schemas.openxmlformats.org/officeDocument/2006/relationships" ref="N388" r:id="rId392"/>
    <hyperlink xmlns:r="http://schemas.openxmlformats.org/officeDocument/2006/relationships" ref="N389" r:id="rId393"/>
    <hyperlink xmlns:r="http://schemas.openxmlformats.org/officeDocument/2006/relationships" ref="N390" r:id="rId394"/>
    <hyperlink xmlns:r="http://schemas.openxmlformats.org/officeDocument/2006/relationships" ref="N391" r:id="rId395"/>
    <hyperlink xmlns:r="http://schemas.openxmlformats.org/officeDocument/2006/relationships" ref="N392" r:id="rId396"/>
    <hyperlink xmlns:r="http://schemas.openxmlformats.org/officeDocument/2006/relationships" ref="N393" r:id="rId397"/>
    <hyperlink xmlns:r="http://schemas.openxmlformats.org/officeDocument/2006/relationships" ref="N394" r:id="rId398"/>
    <hyperlink xmlns:r="http://schemas.openxmlformats.org/officeDocument/2006/relationships" ref="N395" r:id="rId399"/>
    <hyperlink xmlns:r="http://schemas.openxmlformats.org/officeDocument/2006/relationships" ref="N396" r:id="rId400"/>
    <hyperlink xmlns:r="http://schemas.openxmlformats.org/officeDocument/2006/relationships" ref="N397" r:id="rId401"/>
    <hyperlink xmlns:r="http://schemas.openxmlformats.org/officeDocument/2006/relationships" ref="N398" r:id="rId402"/>
    <hyperlink xmlns:r="http://schemas.openxmlformats.org/officeDocument/2006/relationships" ref="N399" r:id="rId403"/>
    <hyperlink xmlns:r="http://schemas.openxmlformats.org/officeDocument/2006/relationships" ref="N400" r:id="rId404"/>
    <hyperlink xmlns:r="http://schemas.openxmlformats.org/officeDocument/2006/relationships" ref="N401" r:id="rId405"/>
    <hyperlink xmlns:r="http://schemas.openxmlformats.org/officeDocument/2006/relationships" ref="N402" r:id="rId406"/>
    <hyperlink xmlns:r="http://schemas.openxmlformats.org/officeDocument/2006/relationships" ref="N403" r:id="rId407"/>
    <hyperlink xmlns:r="http://schemas.openxmlformats.org/officeDocument/2006/relationships" ref="N404" r:id="rId408"/>
    <hyperlink xmlns:r="http://schemas.openxmlformats.org/officeDocument/2006/relationships" ref="N405" r:id="rId409"/>
    <hyperlink xmlns:r="http://schemas.openxmlformats.org/officeDocument/2006/relationships" ref="N406" r:id="rId410"/>
    <hyperlink xmlns:r="http://schemas.openxmlformats.org/officeDocument/2006/relationships" ref="N407" r:id="rId411"/>
    <hyperlink xmlns:r="http://schemas.openxmlformats.org/officeDocument/2006/relationships" ref="N408" r:id="rId412"/>
    <hyperlink xmlns:r="http://schemas.openxmlformats.org/officeDocument/2006/relationships" ref="N409" r:id="rId413"/>
    <hyperlink xmlns:r="http://schemas.openxmlformats.org/officeDocument/2006/relationships" ref="N410" r:id="rId414"/>
    <hyperlink xmlns:r="http://schemas.openxmlformats.org/officeDocument/2006/relationships" ref="N411" r:id="rId415"/>
    <hyperlink xmlns:r="http://schemas.openxmlformats.org/officeDocument/2006/relationships" ref="N412" r:id="rId416"/>
    <hyperlink xmlns:r="http://schemas.openxmlformats.org/officeDocument/2006/relationships" ref="N413" r:id="rId417"/>
    <hyperlink xmlns:r="http://schemas.openxmlformats.org/officeDocument/2006/relationships" ref="N414" r:id="rId418"/>
    <hyperlink xmlns:r="http://schemas.openxmlformats.org/officeDocument/2006/relationships" ref="N415" r:id="rId419"/>
    <hyperlink xmlns:r="http://schemas.openxmlformats.org/officeDocument/2006/relationships" ref="N416" r:id="rId420"/>
    <hyperlink xmlns:r="http://schemas.openxmlformats.org/officeDocument/2006/relationships" ref="N417" r:id="rId421"/>
    <hyperlink xmlns:r="http://schemas.openxmlformats.org/officeDocument/2006/relationships" ref="N418" r:id="rId422"/>
    <hyperlink xmlns:r="http://schemas.openxmlformats.org/officeDocument/2006/relationships" ref="N419" r:id="rId423"/>
    <hyperlink xmlns:r="http://schemas.openxmlformats.org/officeDocument/2006/relationships" ref="N420" r:id="rId424"/>
    <hyperlink xmlns:r="http://schemas.openxmlformats.org/officeDocument/2006/relationships" ref="N421" r:id="rId425"/>
    <hyperlink xmlns:r="http://schemas.openxmlformats.org/officeDocument/2006/relationships" ref="N422" r:id="rId426"/>
    <hyperlink xmlns:r="http://schemas.openxmlformats.org/officeDocument/2006/relationships" ref="N423" r:id="rId427"/>
    <hyperlink xmlns:r="http://schemas.openxmlformats.org/officeDocument/2006/relationships" ref="N424" r:id="rId428"/>
    <hyperlink xmlns:r="http://schemas.openxmlformats.org/officeDocument/2006/relationships" ref="N425" r:id="rId429"/>
    <hyperlink xmlns:r="http://schemas.openxmlformats.org/officeDocument/2006/relationships" ref="N426" r:id="rId430"/>
    <hyperlink xmlns:r="http://schemas.openxmlformats.org/officeDocument/2006/relationships" ref="N427" r:id="rId431"/>
    <hyperlink xmlns:r="http://schemas.openxmlformats.org/officeDocument/2006/relationships" ref="N428" r:id="rId432"/>
    <hyperlink xmlns:r="http://schemas.openxmlformats.org/officeDocument/2006/relationships" ref="N429" r:id="rId433"/>
    <hyperlink xmlns:r="http://schemas.openxmlformats.org/officeDocument/2006/relationships" ref="N430" r:id="rId434"/>
    <hyperlink xmlns:r="http://schemas.openxmlformats.org/officeDocument/2006/relationships" ref="N431" r:id="rId435"/>
    <hyperlink xmlns:r="http://schemas.openxmlformats.org/officeDocument/2006/relationships" ref="N432" r:id="rId436"/>
    <hyperlink xmlns:r="http://schemas.openxmlformats.org/officeDocument/2006/relationships" ref="N433" r:id="rId437"/>
    <hyperlink xmlns:r="http://schemas.openxmlformats.org/officeDocument/2006/relationships" ref="N434" r:id="rId438"/>
    <hyperlink xmlns:r="http://schemas.openxmlformats.org/officeDocument/2006/relationships" ref="N435" r:id="rId439"/>
    <hyperlink xmlns:r="http://schemas.openxmlformats.org/officeDocument/2006/relationships" ref="N436" r:id="rId440"/>
    <hyperlink xmlns:r="http://schemas.openxmlformats.org/officeDocument/2006/relationships" ref="N437" r:id="rId441"/>
    <hyperlink xmlns:r="http://schemas.openxmlformats.org/officeDocument/2006/relationships" ref="N438" r:id="rId442"/>
    <hyperlink xmlns:r="http://schemas.openxmlformats.org/officeDocument/2006/relationships" ref="N439" r:id="rId443"/>
    <hyperlink xmlns:r="http://schemas.openxmlformats.org/officeDocument/2006/relationships" ref="N440" r:id="rId444"/>
    <hyperlink xmlns:r="http://schemas.openxmlformats.org/officeDocument/2006/relationships" ref="N441" r:id="rId445"/>
    <hyperlink xmlns:r="http://schemas.openxmlformats.org/officeDocument/2006/relationships" ref="N442" r:id="rId446"/>
    <hyperlink xmlns:r="http://schemas.openxmlformats.org/officeDocument/2006/relationships" ref="N443" r:id="rId447"/>
    <hyperlink xmlns:r="http://schemas.openxmlformats.org/officeDocument/2006/relationships" ref="N444" r:id="rId448"/>
    <hyperlink xmlns:r="http://schemas.openxmlformats.org/officeDocument/2006/relationships" ref="N445" r:id="rId449"/>
    <hyperlink xmlns:r="http://schemas.openxmlformats.org/officeDocument/2006/relationships" ref="N446" r:id="rId450"/>
    <hyperlink xmlns:r="http://schemas.openxmlformats.org/officeDocument/2006/relationships" ref="N447" r:id="rId451"/>
    <hyperlink xmlns:r="http://schemas.openxmlformats.org/officeDocument/2006/relationships" ref="N448" r:id="rId452"/>
    <hyperlink xmlns:r="http://schemas.openxmlformats.org/officeDocument/2006/relationships" ref="N449" r:id="rId453"/>
    <hyperlink xmlns:r="http://schemas.openxmlformats.org/officeDocument/2006/relationships" ref="N450" r:id="rId454"/>
    <hyperlink xmlns:r="http://schemas.openxmlformats.org/officeDocument/2006/relationships" ref="N451" r:id="rId455"/>
    <hyperlink xmlns:r="http://schemas.openxmlformats.org/officeDocument/2006/relationships" ref="N452" r:id="rId456"/>
    <hyperlink xmlns:r="http://schemas.openxmlformats.org/officeDocument/2006/relationships" ref="N453" r:id="rId457"/>
    <hyperlink xmlns:r="http://schemas.openxmlformats.org/officeDocument/2006/relationships" ref="N454" r:id="rId458"/>
    <hyperlink xmlns:r="http://schemas.openxmlformats.org/officeDocument/2006/relationships" ref="N455" r:id="rId459"/>
    <hyperlink xmlns:r="http://schemas.openxmlformats.org/officeDocument/2006/relationships" ref="N456" r:id="rId460"/>
    <hyperlink xmlns:r="http://schemas.openxmlformats.org/officeDocument/2006/relationships" ref="N457" r:id="rId461"/>
    <hyperlink xmlns:r="http://schemas.openxmlformats.org/officeDocument/2006/relationships" ref="N458" r:id="rId462"/>
    <hyperlink xmlns:r="http://schemas.openxmlformats.org/officeDocument/2006/relationships" ref="N459" r:id="rId463"/>
    <hyperlink xmlns:r="http://schemas.openxmlformats.org/officeDocument/2006/relationships" ref="N460" r:id="rId464"/>
    <hyperlink xmlns:r="http://schemas.openxmlformats.org/officeDocument/2006/relationships" ref="N461" r:id="rId465"/>
    <hyperlink xmlns:r="http://schemas.openxmlformats.org/officeDocument/2006/relationships" ref="N462" r:id="rId466"/>
    <hyperlink xmlns:r="http://schemas.openxmlformats.org/officeDocument/2006/relationships" ref="N463" r:id="rId467"/>
    <hyperlink xmlns:r="http://schemas.openxmlformats.org/officeDocument/2006/relationships" ref="N464" r:id="rId468"/>
    <hyperlink xmlns:r="http://schemas.openxmlformats.org/officeDocument/2006/relationships" ref="N465" r:id="rId469"/>
    <hyperlink xmlns:r="http://schemas.openxmlformats.org/officeDocument/2006/relationships" ref="N466" r:id="rId470"/>
    <hyperlink xmlns:r="http://schemas.openxmlformats.org/officeDocument/2006/relationships" ref="N467" r:id="rId471"/>
    <hyperlink xmlns:r="http://schemas.openxmlformats.org/officeDocument/2006/relationships" ref="N468" r:id="rId472"/>
    <hyperlink xmlns:r="http://schemas.openxmlformats.org/officeDocument/2006/relationships" ref="N469" r:id="rId473"/>
    <hyperlink xmlns:r="http://schemas.openxmlformats.org/officeDocument/2006/relationships" ref="N470" r:id="rId474"/>
    <hyperlink xmlns:r="http://schemas.openxmlformats.org/officeDocument/2006/relationships" ref="N471" r:id="rId475"/>
    <hyperlink xmlns:r="http://schemas.openxmlformats.org/officeDocument/2006/relationships" ref="N472" r:id="rId476"/>
    <hyperlink xmlns:r="http://schemas.openxmlformats.org/officeDocument/2006/relationships" ref="N473" r:id="rId477"/>
    <hyperlink xmlns:r="http://schemas.openxmlformats.org/officeDocument/2006/relationships" ref="N474" r:id="rId478"/>
    <hyperlink xmlns:r="http://schemas.openxmlformats.org/officeDocument/2006/relationships" ref="N475" r:id="rId479"/>
    <hyperlink xmlns:r="http://schemas.openxmlformats.org/officeDocument/2006/relationships" ref="N476" r:id="rId480"/>
    <hyperlink xmlns:r="http://schemas.openxmlformats.org/officeDocument/2006/relationships" ref="N477" r:id="rId481"/>
    <hyperlink xmlns:r="http://schemas.openxmlformats.org/officeDocument/2006/relationships" ref="N478" r:id="rId482"/>
    <hyperlink xmlns:r="http://schemas.openxmlformats.org/officeDocument/2006/relationships" ref="N479" r:id="rId483"/>
    <hyperlink xmlns:r="http://schemas.openxmlformats.org/officeDocument/2006/relationships" ref="N480" r:id="rId484"/>
    <hyperlink xmlns:r="http://schemas.openxmlformats.org/officeDocument/2006/relationships" ref="N481" r:id="rId485"/>
    <hyperlink xmlns:r="http://schemas.openxmlformats.org/officeDocument/2006/relationships" ref="N482" r:id="rId486"/>
    <hyperlink xmlns:r="http://schemas.openxmlformats.org/officeDocument/2006/relationships" ref="N483" r:id="rId487"/>
    <hyperlink xmlns:r="http://schemas.openxmlformats.org/officeDocument/2006/relationships" ref="N484" r:id="rId488"/>
    <hyperlink xmlns:r="http://schemas.openxmlformats.org/officeDocument/2006/relationships" ref="N485" r:id="rId489"/>
    <hyperlink xmlns:r="http://schemas.openxmlformats.org/officeDocument/2006/relationships" ref="N486" r:id="rId490"/>
    <hyperlink xmlns:r="http://schemas.openxmlformats.org/officeDocument/2006/relationships" ref="N487" r:id="rId491"/>
    <hyperlink xmlns:r="http://schemas.openxmlformats.org/officeDocument/2006/relationships" ref="N488" r:id="rId492"/>
    <hyperlink xmlns:r="http://schemas.openxmlformats.org/officeDocument/2006/relationships" ref="N489" r:id="rId493"/>
    <hyperlink xmlns:r="http://schemas.openxmlformats.org/officeDocument/2006/relationships" ref="N490" r:id="rId494"/>
    <hyperlink xmlns:r="http://schemas.openxmlformats.org/officeDocument/2006/relationships" ref="N491" r:id="rId495"/>
    <hyperlink xmlns:r="http://schemas.openxmlformats.org/officeDocument/2006/relationships" ref="N492" r:id="rId496"/>
    <hyperlink xmlns:r="http://schemas.openxmlformats.org/officeDocument/2006/relationships" ref="N493" r:id="rId497"/>
    <hyperlink xmlns:r="http://schemas.openxmlformats.org/officeDocument/2006/relationships" ref="N494" r:id="rId498"/>
    <hyperlink xmlns:r="http://schemas.openxmlformats.org/officeDocument/2006/relationships" ref="N495" r:id="rId499"/>
    <hyperlink xmlns:r="http://schemas.openxmlformats.org/officeDocument/2006/relationships" ref="N496" r:id="rId500"/>
    <hyperlink xmlns:r="http://schemas.openxmlformats.org/officeDocument/2006/relationships" ref="N497" r:id="rId501"/>
    <hyperlink xmlns:r="http://schemas.openxmlformats.org/officeDocument/2006/relationships" ref="N498" r:id="rId502"/>
    <hyperlink xmlns:r="http://schemas.openxmlformats.org/officeDocument/2006/relationships" ref="N499" r:id="rId503"/>
    <hyperlink xmlns:r="http://schemas.openxmlformats.org/officeDocument/2006/relationships" ref="N500" r:id="rId504"/>
    <hyperlink xmlns:r="http://schemas.openxmlformats.org/officeDocument/2006/relationships" ref="N501" r:id="rId505"/>
    <hyperlink xmlns:r="http://schemas.openxmlformats.org/officeDocument/2006/relationships" ref="N502" r:id="rId506"/>
    <hyperlink xmlns:r="http://schemas.openxmlformats.org/officeDocument/2006/relationships" ref="N503" r:id="rId507"/>
    <hyperlink xmlns:r="http://schemas.openxmlformats.org/officeDocument/2006/relationships" ref="N504" r:id="rId508"/>
    <hyperlink xmlns:r="http://schemas.openxmlformats.org/officeDocument/2006/relationships" ref="N505" r:id="rId509"/>
    <hyperlink xmlns:r="http://schemas.openxmlformats.org/officeDocument/2006/relationships" ref="N506" r:id="rId510"/>
    <hyperlink xmlns:r="http://schemas.openxmlformats.org/officeDocument/2006/relationships" ref="N507" r:id="rId511"/>
    <hyperlink xmlns:r="http://schemas.openxmlformats.org/officeDocument/2006/relationships" ref="N508" r:id="rId512"/>
    <hyperlink xmlns:r="http://schemas.openxmlformats.org/officeDocument/2006/relationships" ref="N509" r:id="rId513"/>
    <hyperlink xmlns:r="http://schemas.openxmlformats.org/officeDocument/2006/relationships" ref="N510" r:id="rId514"/>
    <hyperlink xmlns:r="http://schemas.openxmlformats.org/officeDocument/2006/relationships" ref="N511" r:id="rId515"/>
    <hyperlink xmlns:r="http://schemas.openxmlformats.org/officeDocument/2006/relationships" ref="N512" r:id="rId516"/>
    <hyperlink xmlns:r="http://schemas.openxmlformats.org/officeDocument/2006/relationships" ref="N513" r:id="rId517"/>
    <hyperlink xmlns:r="http://schemas.openxmlformats.org/officeDocument/2006/relationships" ref="N514" r:id="rId518"/>
    <hyperlink xmlns:r="http://schemas.openxmlformats.org/officeDocument/2006/relationships" ref="N515" r:id="rId519"/>
    <hyperlink xmlns:r="http://schemas.openxmlformats.org/officeDocument/2006/relationships" ref="N516" r:id="rId520"/>
    <hyperlink xmlns:r="http://schemas.openxmlformats.org/officeDocument/2006/relationships" ref="N517" r:id="rId521"/>
    <hyperlink xmlns:r="http://schemas.openxmlformats.org/officeDocument/2006/relationships" ref="N518" r:id="rId522"/>
    <hyperlink xmlns:r="http://schemas.openxmlformats.org/officeDocument/2006/relationships" ref="N519" r:id="rId523"/>
    <hyperlink xmlns:r="http://schemas.openxmlformats.org/officeDocument/2006/relationships" ref="N520" r:id="rId524"/>
    <hyperlink xmlns:r="http://schemas.openxmlformats.org/officeDocument/2006/relationships" ref="N521" r:id="rId525"/>
    <hyperlink xmlns:r="http://schemas.openxmlformats.org/officeDocument/2006/relationships" ref="N522" r:id="rId526"/>
    <hyperlink xmlns:r="http://schemas.openxmlformats.org/officeDocument/2006/relationships" ref="N523" r:id="rId527"/>
    <hyperlink xmlns:r="http://schemas.openxmlformats.org/officeDocument/2006/relationships" ref="N524" r:id="rId528"/>
    <hyperlink xmlns:r="http://schemas.openxmlformats.org/officeDocument/2006/relationships" ref="N525" r:id="rId529"/>
    <hyperlink xmlns:r="http://schemas.openxmlformats.org/officeDocument/2006/relationships" ref="N526" r:id="rId530"/>
    <hyperlink xmlns:r="http://schemas.openxmlformats.org/officeDocument/2006/relationships" ref="N527" r:id="rId531"/>
    <hyperlink xmlns:r="http://schemas.openxmlformats.org/officeDocument/2006/relationships" ref="N528" r:id="rId532"/>
    <hyperlink xmlns:r="http://schemas.openxmlformats.org/officeDocument/2006/relationships" ref="N529" r:id="rId533"/>
    <hyperlink xmlns:r="http://schemas.openxmlformats.org/officeDocument/2006/relationships" ref="N530" r:id="rId534"/>
    <hyperlink xmlns:r="http://schemas.openxmlformats.org/officeDocument/2006/relationships" ref="N531" r:id="rId535"/>
    <hyperlink xmlns:r="http://schemas.openxmlformats.org/officeDocument/2006/relationships" ref="N532" r:id="rId536"/>
    <hyperlink xmlns:r="http://schemas.openxmlformats.org/officeDocument/2006/relationships" ref="N533" r:id="rId537"/>
    <hyperlink xmlns:r="http://schemas.openxmlformats.org/officeDocument/2006/relationships" ref="N534" r:id="rId538"/>
    <hyperlink xmlns:r="http://schemas.openxmlformats.org/officeDocument/2006/relationships" ref="N535" r:id="rId539"/>
    <hyperlink xmlns:r="http://schemas.openxmlformats.org/officeDocument/2006/relationships" ref="N536" r:id="rId540"/>
    <hyperlink xmlns:r="http://schemas.openxmlformats.org/officeDocument/2006/relationships" ref="N537" r:id="rId541"/>
    <hyperlink xmlns:r="http://schemas.openxmlformats.org/officeDocument/2006/relationships" ref="N538" r:id="rId542"/>
    <hyperlink xmlns:r="http://schemas.openxmlformats.org/officeDocument/2006/relationships" ref="N539" r:id="rId543"/>
    <hyperlink xmlns:r="http://schemas.openxmlformats.org/officeDocument/2006/relationships" ref="N540" r:id="rId544"/>
    <hyperlink xmlns:r="http://schemas.openxmlformats.org/officeDocument/2006/relationships" ref="N541" r:id="rId545"/>
    <hyperlink xmlns:r="http://schemas.openxmlformats.org/officeDocument/2006/relationships" ref="N542" r:id="rId546"/>
    <hyperlink xmlns:r="http://schemas.openxmlformats.org/officeDocument/2006/relationships" ref="N543" r:id="rId547"/>
    <hyperlink xmlns:r="http://schemas.openxmlformats.org/officeDocument/2006/relationships" ref="N544" r:id="rId548"/>
    <hyperlink xmlns:r="http://schemas.openxmlformats.org/officeDocument/2006/relationships" ref="N545" r:id="rId549"/>
    <hyperlink xmlns:r="http://schemas.openxmlformats.org/officeDocument/2006/relationships" ref="N546" r:id="rId550"/>
    <hyperlink xmlns:r="http://schemas.openxmlformats.org/officeDocument/2006/relationships" ref="N547" r:id="rId551"/>
    <hyperlink xmlns:r="http://schemas.openxmlformats.org/officeDocument/2006/relationships" ref="N548" r:id="rId552"/>
    <hyperlink xmlns:r="http://schemas.openxmlformats.org/officeDocument/2006/relationships" ref="N549" r:id="rId553"/>
    <hyperlink xmlns:r="http://schemas.openxmlformats.org/officeDocument/2006/relationships" ref="N550" r:id="rId554"/>
    <hyperlink xmlns:r="http://schemas.openxmlformats.org/officeDocument/2006/relationships" ref="N551" r:id="rId555"/>
    <hyperlink xmlns:r="http://schemas.openxmlformats.org/officeDocument/2006/relationships" ref="N552" r:id="rId556"/>
    <hyperlink xmlns:r="http://schemas.openxmlformats.org/officeDocument/2006/relationships" ref="N553" r:id="rId557"/>
    <hyperlink xmlns:r="http://schemas.openxmlformats.org/officeDocument/2006/relationships" ref="N554" r:id="rId558"/>
    <hyperlink xmlns:r="http://schemas.openxmlformats.org/officeDocument/2006/relationships" ref="N555" r:id="rId559"/>
    <hyperlink xmlns:r="http://schemas.openxmlformats.org/officeDocument/2006/relationships" ref="N556" r:id="rId560"/>
    <hyperlink xmlns:r="http://schemas.openxmlformats.org/officeDocument/2006/relationships" ref="N557" r:id="rId561"/>
    <hyperlink xmlns:r="http://schemas.openxmlformats.org/officeDocument/2006/relationships" ref="N558" r:id="rId562"/>
    <hyperlink xmlns:r="http://schemas.openxmlformats.org/officeDocument/2006/relationships" ref="N559" r:id="rId563"/>
    <hyperlink xmlns:r="http://schemas.openxmlformats.org/officeDocument/2006/relationships" ref="N560" r:id="rId564"/>
    <hyperlink xmlns:r="http://schemas.openxmlformats.org/officeDocument/2006/relationships" ref="N561" r:id="rId565"/>
    <hyperlink xmlns:r="http://schemas.openxmlformats.org/officeDocument/2006/relationships" ref="N562" r:id="rId566"/>
    <hyperlink xmlns:r="http://schemas.openxmlformats.org/officeDocument/2006/relationships" ref="N563" r:id="rId567"/>
    <hyperlink xmlns:r="http://schemas.openxmlformats.org/officeDocument/2006/relationships" ref="N564" r:id="rId568"/>
    <hyperlink xmlns:r="http://schemas.openxmlformats.org/officeDocument/2006/relationships" ref="N565" r:id="rId569"/>
    <hyperlink xmlns:r="http://schemas.openxmlformats.org/officeDocument/2006/relationships" ref="N566" r:id="rId570"/>
    <hyperlink xmlns:r="http://schemas.openxmlformats.org/officeDocument/2006/relationships" ref="N567" r:id="rId571"/>
    <hyperlink xmlns:r="http://schemas.openxmlformats.org/officeDocument/2006/relationships" ref="N568" r:id="rId572"/>
    <hyperlink xmlns:r="http://schemas.openxmlformats.org/officeDocument/2006/relationships" ref="N569" r:id="rId573"/>
    <hyperlink xmlns:r="http://schemas.openxmlformats.org/officeDocument/2006/relationships" ref="N570" r:id="rId574"/>
    <hyperlink xmlns:r="http://schemas.openxmlformats.org/officeDocument/2006/relationships" ref="N571" r:id="rId575"/>
    <hyperlink xmlns:r="http://schemas.openxmlformats.org/officeDocument/2006/relationships" ref="N572" r:id="rId576"/>
    <hyperlink xmlns:r="http://schemas.openxmlformats.org/officeDocument/2006/relationships" ref="N573" r:id="rId577"/>
    <hyperlink xmlns:r="http://schemas.openxmlformats.org/officeDocument/2006/relationships" ref="N574" r:id="rId578"/>
    <hyperlink xmlns:r="http://schemas.openxmlformats.org/officeDocument/2006/relationships" ref="N575" r:id="rId579"/>
    <hyperlink xmlns:r="http://schemas.openxmlformats.org/officeDocument/2006/relationships" ref="N576" r:id="rId580"/>
    <hyperlink xmlns:r="http://schemas.openxmlformats.org/officeDocument/2006/relationships" ref="N577" r:id="rId581"/>
    <hyperlink xmlns:r="http://schemas.openxmlformats.org/officeDocument/2006/relationships" ref="N578" r:id="rId582"/>
    <hyperlink xmlns:r="http://schemas.openxmlformats.org/officeDocument/2006/relationships" ref="N579" r:id="rId583"/>
    <hyperlink xmlns:r="http://schemas.openxmlformats.org/officeDocument/2006/relationships" ref="N580" r:id="rId584"/>
    <hyperlink xmlns:r="http://schemas.openxmlformats.org/officeDocument/2006/relationships" ref="N581" r:id="rId585"/>
    <hyperlink xmlns:r="http://schemas.openxmlformats.org/officeDocument/2006/relationships" ref="N582" r:id="rId586"/>
    <hyperlink xmlns:r="http://schemas.openxmlformats.org/officeDocument/2006/relationships" ref="N583" r:id="rId587"/>
    <hyperlink xmlns:r="http://schemas.openxmlformats.org/officeDocument/2006/relationships" ref="N584" r:id="rId588"/>
    <hyperlink xmlns:r="http://schemas.openxmlformats.org/officeDocument/2006/relationships" ref="N585" r:id="rId589"/>
    <hyperlink xmlns:r="http://schemas.openxmlformats.org/officeDocument/2006/relationships" ref="N586" r:id="rId590"/>
    <hyperlink xmlns:r="http://schemas.openxmlformats.org/officeDocument/2006/relationships" ref="N587" r:id="rId591"/>
    <hyperlink xmlns:r="http://schemas.openxmlformats.org/officeDocument/2006/relationships" ref="N588" r:id="rId592"/>
    <hyperlink xmlns:r="http://schemas.openxmlformats.org/officeDocument/2006/relationships" ref="N589" r:id="rId593"/>
    <hyperlink xmlns:r="http://schemas.openxmlformats.org/officeDocument/2006/relationships" ref="N590" r:id="rId594"/>
    <hyperlink xmlns:r="http://schemas.openxmlformats.org/officeDocument/2006/relationships" ref="N591" r:id="rId595"/>
    <hyperlink xmlns:r="http://schemas.openxmlformats.org/officeDocument/2006/relationships" ref="N592" r:id="rId596"/>
    <hyperlink xmlns:r="http://schemas.openxmlformats.org/officeDocument/2006/relationships" ref="N593" r:id="rId597"/>
    <hyperlink xmlns:r="http://schemas.openxmlformats.org/officeDocument/2006/relationships" ref="N594" r:id="rId598"/>
    <hyperlink xmlns:r="http://schemas.openxmlformats.org/officeDocument/2006/relationships" ref="N595" r:id="rId599"/>
    <hyperlink xmlns:r="http://schemas.openxmlformats.org/officeDocument/2006/relationships" ref="N596" r:id="rId600"/>
    <hyperlink xmlns:r="http://schemas.openxmlformats.org/officeDocument/2006/relationships" ref="N597" r:id="rId601"/>
    <hyperlink xmlns:r="http://schemas.openxmlformats.org/officeDocument/2006/relationships" ref="N598" r:id="rId602"/>
    <hyperlink xmlns:r="http://schemas.openxmlformats.org/officeDocument/2006/relationships" ref="N599" r:id="rId603"/>
    <hyperlink xmlns:r="http://schemas.openxmlformats.org/officeDocument/2006/relationships" ref="N600" r:id="rId604"/>
    <hyperlink xmlns:r="http://schemas.openxmlformats.org/officeDocument/2006/relationships" ref="N601" r:id="rId605"/>
    <hyperlink xmlns:r="http://schemas.openxmlformats.org/officeDocument/2006/relationships" ref="N602" r:id="rId606"/>
    <hyperlink xmlns:r="http://schemas.openxmlformats.org/officeDocument/2006/relationships" ref="N603" r:id="rId607"/>
    <hyperlink xmlns:r="http://schemas.openxmlformats.org/officeDocument/2006/relationships" ref="N604" r:id="rId608"/>
    <hyperlink xmlns:r="http://schemas.openxmlformats.org/officeDocument/2006/relationships" ref="N605" r:id="rId609"/>
    <hyperlink xmlns:r="http://schemas.openxmlformats.org/officeDocument/2006/relationships" ref="N606" r:id="rId610"/>
    <hyperlink xmlns:r="http://schemas.openxmlformats.org/officeDocument/2006/relationships" ref="N607" r:id="rId611"/>
    <hyperlink xmlns:r="http://schemas.openxmlformats.org/officeDocument/2006/relationships" ref="N608" r:id="rId612"/>
    <hyperlink xmlns:r="http://schemas.openxmlformats.org/officeDocument/2006/relationships" ref="N609" r:id="rId613"/>
    <hyperlink xmlns:r="http://schemas.openxmlformats.org/officeDocument/2006/relationships" ref="N610" r:id="rId614"/>
    <hyperlink xmlns:r="http://schemas.openxmlformats.org/officeDocument/2006/relationships" ref="N611" r:id="rId615"/>
    <hyperlink xmlns:r="http://schemas.openxmlformats.org/officeDocument/2006/relationships" ref="N612" r:id="rId616"/>
    <hyperlink xmlns:r="http://schemas.openxmlformats.org/officeDocument/2006/relationships" ref="N613" r:id="rId617"/>
    <hyperlink xmlns:r="http://schemas.openxmlformats.org/officeDocument/2006/relationships" ref="N614" r:id="rId618"/>
    <hyperlink xmlns:r="http://schemas.openxmlformats.org/officeDocument/2006/relationships" ref="N615" r:id="rId619"/>
    <hyperlink xmlns:r="http://schemas.openxmlformats.org/officeDocument/2006/relationships" ref="N616" r:id="rId620"/>
    <hyperlink xmlns:r="http://schemas.openxmlformats.org/officeDocument/2006/relationships" ref="N617" r:id="rId621"/>
    <hyperlink xmlns:r="http://schemas.openxmlformats.org/officeDocument/2006/relationships" ref="N618" r:id="rId622"/>
    <hyperlink xmlns:r="http://schemas.openxmlformats.org/officeDocument/2006/relationships" ref="N619" r:id="rId623"/>
    <hyperlink xmlns:r="http://schemas.openxmlformats.org/officeDocument/2006/relationships" ref="N620" r:id="rId624"/>
    <hyperlink xmlns:r="http://schemas.openxmlformats.org/officeDocument/2006/relationships" ref="N621" r:id="rId625"/>
    <hyperlink xmlns:r="http://schemas.openxmlformats.org/officeDocument/2006/relationships" ref="N622" r:id="rId626"/>
    <hyperlink xmlns:r="http://schemas.openxmlformats.org/officeDocument/2006/relationships" ref="N623" r:id="rId627"/>
    <hyperlink xmlns:r="http://schemas.openxmlformats.org/officeDocument/2006/relationships" ref="N624" r:id="rId628"/>
    <hyperlink xmlns:r="http://schemas.openxmlformats.org/officeDocument/2006/relationships" ref="N625" r:id="rId629"/>
    <hyperlink xmlns:r="http://schemas.openxmlformats.org/officeDocument/2006/relationships" ref="N626" r:id="rId630"/>
    <hyperlink xmlns:r="http://schemas.openxmlformats.org/officeDocument/2006/relationships" ref="N627" r:id="rId631"/>
    <hyperlink xmlns:r="http://schemas.openxmlformats.org/officeDocument/2006/relationships" ref="N628" r:id="rId632"/>
    <hyperlink xmlns:r="http://schemas.openxmlformats.org/officeDocument/2006/relationships" ref="N629" r:id="rId633"/>
    <hyperlink xmlns:r="http://schemas.openxmlformats.org/officeDocument/2006/relationships" ref="N630" r:id="rId634"/>
    <hyperlink xmlns:r="http://schemas.openxmlformats.org/officeDocument/2006/relationships" ref="N631" r:id="rId635"/>
    <hyperlink xmlns:r="http://schemas.openxmlformats.org/officeDocument/2006/relationships" ref="N632" r:id="rId636"/>
    <hyperlink xmlns:r="http://schemas.openxmlformats.org/officeDocument/2006/relationships" ref="N633" r:id="rId637"/>
    <hyperlink xmlns:r="http://schemas.openxmlformats.org/officeDocument/2006/relationships" ref="N634" r:id="rId638"/>
    <hyperlink xmlns:r="http://schemas.openxmlformats.org/officeDocument/2006/relationships" ref="N635" r:id="rId639"/>
    <hyperlink xmlns:r="http://schemas.openxmlformats.org/officeDocument/2006/relationships" ref="N636" r:id="rId640"/>
    <hyperlink xmlns:r="http://schemas.openxmlformats.org/officeDocument/2006/relationships" ref="N637" r:id="rId641"/>
    <hyperlink xmlns:r="http://schemas.openxmlformats.org/officeDocument/2006/relationships" ref="N638" r:id="rId642"/>
    <hyperlink xmlns:r="http://schemas.openxmlformats.org/officeDocument/2006/relationships" ref="N639" r:id="rId643"/>
    <hyperlink xmlns:r="http://schemas.openxmlformats.org/officeDocument/2006/relationships" ref="N640" r:id="rId644"/>
    <hyperlink xmlns:r="http://schemas.openxmlformats.org/officeDocument/2006/relationships" ref="N641" r:id="rId645"/>
    <hyperlink xmlns:r="http://schemas.openxmlformats.org/officeDocument/2006/relationships" ref="N642" r:id="rId646"/>
    <hyperlink xmlns:r="http://schemas.openxmlformats.org/officeDocument/2006/relationships" ref="N643" r:id="rId647"/>
    <hyperlink xmlns:r="http://schemas.openxmlformats.org/officeDocument/2006/relationships" ref="N644" r:id="rId648"/>
    <hyperlink xmlns:r="http://schemas.openxmlformats.org/officeDocument/2006/relationships" ref="N645" r:id="rId649"/>
    <hyperlink xmlns:r="http://schemas.openxmlformats.org/officeDocument/2006/relationships" ref="N646" r:id="rId650"/>
    <hyperlink xmlns:r="http://schemas.openxmlformats.org/officeDocument/2006/relationships" ref="N647" r:id="rId651"/>
    <hyperlink xmlns:r="http://schemas.openxmlformats.org/officeDocument/2006/relationships" ref="N648" r:id="rId652"/>
    <hyperlink xmlns:r="http://schemas.openxmlformats.org/officeDocument/2006/relationships" ref="N649" r:id="rId653"/>
    <hyperlink xmlns:r="http://schemas.openxmlformats.org/officeDocument/2006/relationships" ref="N650" r:id="rId654"/>
    <hyperlink xmlns:r="http://schemas.openxmlformats.org/officeDocument/2006/relationships" ref="N651" r:id="rId655"/>
    <hyperlink xmlns:r="http://schemas.openxmlformats.org/officeDocument/2006/relationships" ref="N652" r:id="rId656"/>
    <hyperlink xmlns:r="http://schemas.openxmlformats.org/officeDocument/2006/relationships" ref="N653" r:id="rId657"/>
    <hyperlink xmlns:r="http://schemas.openxmlformats.org/officeDocument/2006/relationships" ref="N654" r:id="rId658"/>
    <hyperlink xmlns:r="http://schemas.openxmlformats.org/officeDocument/2006/relationships" ref="N655" r:id="rId659"/>
    <hyperlink xmlns:r="http://schemas.openxmlformats.org/officeDocument/2006/relationships" ref="N656" r:id="rId660"/>
    <hyperlink xmlns:r="http://schemas.openxmlformats.org/officeDocument/2006/relationships" ref="N657" r:id="rId661"/>
    <hyperlink xmlns:r="http://schemas.openxmlformats.org/officeDocument/2006/relationships" ref="N658" r:id="rId662"/>
    <hyperlink xmlns:r="http://schemas.openxmlformats.org/officeDocument/2006/relationships" ref="N659" r:id="rId663"/>
    <hyperlink xmlns:r="http://schemas.openxmlformats.org/officeDocument/2006/relationships" ref="N660" r:id="rId664"/>
    <hyperlink xmlns:r="http://schemas.openxmlformats.org/officeDocument/2006/relationships" ref="N661" r:id="rId665"/>
    <hyperlink xmlns:r="http://schemas.openxmlformats.org/officeDocument/2006/relationships" ref="N662" r:id="rId666"/>
    <hyperlink xmlns:r="http://schemas.openxmlformats.org/officeDocument/2006/relationships" ref="N663" r:id="rId667"/>
    <hyperlink xmlns:r="http://schemas.openxmlformats.org/officeDocument/2006/relationships" ref="N664" r:id="rId668"/>
    <hyperlink xmlns:r="http://schemas.openxmlformats.org/officeDocument/2006/relationships" ref="N665" r:id="rId669"/>
    <hyperlink xmlns:r="http://schemas.openxmlformats.org/officeDocument/2006/relationships" ref="N666" r:id="rId670"/>
    <hyperlink xmlns:r="http://schemas.openxmlformats.org/officeDocument/2006/relationships" ref="N667" r:id="rId671"/>
    <hyperlink xmlns:r="http://schemas.openxmlformats.org/officeDocument/2006/relationships" ref="N668" r:id="rId672"/>
    <hyperlink xmlns:r="http://schemas.openxmlformats.org/officeDocument/2006/relationships" ref="N669" r:id="rId673"/>
    <hyperlink xmlns:r="http://schemas.openxmlformats.org/officeDocument/2006/relationships" ref="N670" r:id="rId674"/>
    <hyperlink xmlns:r="http://schemas.openxmlformats.org/officeDocument/2006/relationships" ref="N671" r:id="rId675"/>
    <hyperlink xmlns:r="http://schemas.openxmlformats.org/officeDocument/2006/relationships" ref="N672" r:id="rId676"/>
    <hyperlink xmlns:r="http://schemas.openxmlformats.org/officeDocument/2006/relationships" ref="N673" r:id="rId677"/>
    <hyperlink xmlns:r="http://schemas.openxmlformats.org/officeDocument/2006/relationships" ref="N674" r:id="rId678"/>
    <hyperlink xmlns:r="http://schemas.openxmlformats.org/officeDocument/2006/relationships" ref="N675" r:id="rId679"/>
    <hyperlink xmlns:r="http://schemas.openxmlformats.org/officeDocument/2006/relationships" ref="N676" r:id="rId680"/>
    <hyperlink xmlns:r="http://schemas.openxmlformats.org/officeDocument/2006/relationships" ref="N677" r:id="rId681"/>
    <hyperlink xmlns:r="http://schemas.openxmlformats.org/officeDocument/2006/relationships" ref="N678" r:id="rId682"/>
    <hyperlink xmlns:r="http://schemas.openxmlformats.org/officeDocument/2006/relationships" ref="N679" r:id="rId683"/>
    <hyperlink xmlns:r="http://schemas.openxmlformats.org/officeDocument/2006/relationships" ref="N680" r:id="rId684"/>
    <hyperlink xmlns:r="http://schemas.openxmlformats.org/officeDocument/2006/relationships" ref="N681" r:id="rId685"/>
    <hyperlink xmlns:r="http://schemas.openxmlformats.org/officeDocument/2006/relationships" ref="N682" r:id="rId686"/>
    <hyperlink xmlns:r="http://schemas.openxmlformats.org/officeDocument/2006/relationships" ref="N683" r:id="rId687"/>
    <hyperlink xmlns:r="http://schemas.openxmlformats.org/officeDocument/2006/relationships" ref="N684" r:id="rId688"/>
    <hyperlink xmlns:r="http://schemas.openxmlformats.org/officeDocument/2006/relationships" ref="N685" r:id="rId689"/>
    <hyperlink xmlns:r="http://schemas.openxmlformats.org/officeDocument/2006/relationships" ref="N686" r:id="rId690"/>
    <hyperlink xmlns:r="http://schemas.openxmlformats.org/officeDocument/2006/relationships" ref="N687" r:id="rId691"/>
    <hyperlink xmlns:r="http://schemas.openxmlformats.org/officeDocument/2006/relationships" ref="N688" r:id="rId692"/>
    <hyperlink xmlns:r="http://schemas.openxmlformats.org/officeDocument/2006/relationships" ref="N689" r:id="rId693"/>
    <hyperlink xmlns:r="http://schemas.openxmlformats.org/officeDocument/2006/relationships" ref="N690" r:id="rId694"/>
    <hyperlink xmlns:r="http://schemas.openxmlformats.org/officeDocument/2006/relationships" ref="N691" r:id="rId695"/>
    <hyperlink xmlns:r="http://schemas.openxmlformats.org/officeDocument/2006/relationships" ref="N692" r:id="rId696"/>
    <hyperlink xmlns:r="http://schemas.openxmlformats.org/officeDocument/2006/relationships" ref="N693" r:id="rId697"/>
    <hyperlink xmlns:r="http://schemas.openxmlformats.org/officeDocument/2006/relationships" ref="N694" r:id="rId698"/>
    <hyperlink xmlns:r="http://schemas.openxmlformats.org/officeDocument/2006/relationships" ref="N695" r:id="rId699"/>
    <hyperlink xmlns:r="http://schemas.openxmlformats.org/officeDocument/2006/relationships" ref="N696" r:id="rId700"/>
    <hyperlink xmlns:r="http://schemas.openxmlformats.org/officeDocument/2006/relationships" ref="N697" r:id="rId701"/>
    <hyperlink xmlns:r="http://schemas.openxmlformats.org/officeDocument/2006/relationships" ref="N698" r:id="rId702"/>
    <hyperlink xmlns:r="http://schemas.openxmlformats.org/officeDocument/2006/relationships" ref="N699" r:id="rId703"/>
    <hyperlink xmlns:r="http://schemas.openxmlformats.org/officeDocument/2006/relationships" ref="N700" r:id="rId704"/>
    <hyperlink xmlns:r="http://schemas.openxmlformats.org/officeDocument/2006/relationships" ref="N701" r:id="rId705"/>
    <hyperlink xmlns:r="http://schemas.openxmlformats.org/officeDocument/2006/relationships" ref="N702" r:id="rId706"/>
    <hyperlink xmlns:r="http://schemas.openxmlformats.org/officeDocument/2006/relationships" ref="N703" r:id="rId707"/>
    <hyperlink xmlns:r="http://schemas.openxmlformats.org/officeDocument/2006/relationships" ref="N704" r:id="rId708"/>
    <hyperlink xmlns:r="http://schemas.openxmlformats.org/officeDocument/2006/relationships" ref="N705" r:id="rId709"/>
    <hyperlink xmlns:r="http://schemas.openxmlformats.org/officeDocument/2006/relationships" ref="N706" r:id="rId710"/>
    <hyperlink xmlns:r="http://schemas.openxmlformats.org/officeDocument/2006/relationships" ref="N707" r:id="rId711"/>
    <hyperlink xmlns:r="http://schemas.openxmlformats.org/officeDocument/2006/relationships" ref="N708" r:id="rId712"/>
    <hyperlink xmlns:r="http://schemas.openxmlformats.org/officeDocument/2006/relationships" ref="N709" r:id="rId713"/>
    <hyperlink xmlns:r="http://schemas.openxmlformats.org/officeDocument/2006/relationships" ref="N710" r:id="rId714"/>
    <hyperlink xmlns:r="http://schemas.openxmlformats.org/officeDocument/2006/relationships" ref="N711" r:id="rId715"/>
    <hyperlink xmlns:r="http://schemas.openxmlformats.org/officeDocument/2006/relationships" ref="N712" r:id="rId716"/>
    <hyperlink xmlns:r="http://schemas.openxmlformats.org/officeDocument/2006/relationships" ref="N713" r:id="rId717"/>
    <hyperlink xmlns:r="http://schemas.openxmlformats.org/officeDocument/2006/relationships" ref="N714" r:id="rId718"/>
    <hyperlink xmlns:r="http://schemas.openxmlformats.org/officeDocument/2006/relationships" ref="N715" r:id="rId719"/>
    <hyperlink xmlns:r="http://schemas.openxmlformats.org/officeDocument/2006/relationships" ref="N716" r:id="rId720"/>
    <hyperlink xmlns:r="http://schemas.openxmlformats.org/officeDocument/2006/relationships" ref="N717" r:id="rId721"/>
    <hyperlink xmlns:r="http://schemas.openxmlformats.org/officeDocument/2006/relationships" ref="N718" r:id="rId722"/>
    <hyperlink xmlns:r="http://schemas.openxmlformats.org/officeDocument/2006/relationships" ref="N719" r:id="rId723"/>
    <hyperlink xmlns:r="http://schemas.openxmlformats.org/officeDocument/2006/relationships" ref="N720" r:id="rId724"/>
    <hyperlink xmlns:r="http://schemas.openxmlformats.org/officeDocument/2006/relationships" ref="N721" r:id="rId725"/>
    <hyperlink xmlns:r="http://schemas.openxmlformats.org/officeDocument/2006/relationships" ref="N722" r:id="rId726"/>
    <hyperlink xmlns:r="http://schemas.openxmlformats.org/officeDocument/2006/relationships" ref="N723" r:id="rId727"/>
    <hyperlink xmlns:r="http://schemas.openxmlformats.org/officeDocument/2006/relationships" ref="N724" r:id="rId728"/>
    <hyperlink xmlns:r="http://schemas.openxmlformats.org/officeDocument/2006/relationships" ref="N725" r:id="rId729"/>
    <hyperlink xmlns:r="http://schemas.openxmlformats.org/officeDocument/2006/relationships" ref="N726" r:id="rId730"/>
    <hyperlink xmlns:r="http://schemas.openxmlformats.org/officeDocument/2006/relationships" ref="N727" r:id="rId731"/>
    <hyperlink xmlns:r="http://schemas.openxmlformats.org/officeDocument/2006/relationships" ref="N728" r:id="rId732"/>
    <hyperlink xmlns:r="http://schemas.openxmlformats.org/officeDocument/2006/relationships" ref="N729" r:id="rId733"/>
    <hyperlink xmlns:r="http://schemas.openxmlformats.org/officeDocument/2006/relationships" ref="N730" r:id="rId734"/>
    <hyperlink xmlns:r="http://schemas.openxmlformats.org/officeDocument/2006/relationships" ref="N731" r:id="rId735"/>
    <hyperlink xmlns:r="http://schemas.openxmlformats.org/officeDocument/2006/relationships" ref="N732" r:id="rId736"/>
    <hyperlink xmlns:r="http://schemas.openxmlformats.org/officeDocument/2006/relationships" ref="N733" r:id="rId737"/>
    <hyperlink xmlns:r="http://schemas.openxmlformats.org/officeDocument/2006/relationships" ref="N734" r:id="rId738"/>
    <hyperlink xmlns:r="http://schemas.openxmlformats.org/officeDocument/2006/relationships" ref="N735" r:id="rId739"/>
    <hyperlink xmlns:r="http://schemas.openxmlformats.org/officeDocument/2006/relationships" ref="N736" r:id="rId740"/>
    <hyperlink xmlns:r="http://schemas.openxmlformats.org/officeDocument/2006/relationships" ref="N737" r:id="rId741"/>
    <hyperlink xmlns:r="http://schemas.openxmlformats.org/officeDocument/2006/relationships" ref="N738" r:id="rId742"/>
    <hyperlink xmlns:r="http://schemas.openxmlformats.org/officeDocument/2006/relationships" ref="N739" r:id="rId743"/>
    <hyperlink xmlns:r="http://schemas.openxmlformats.org/officeDocument/2006/relationships" ref="N740" r:id="rId744"/>
    <hyperlink xmlns:r="http://schemas.openxmlformats.org/officeDocument/2006/relationships" ref="N741" r:id="rId745"/>
    <hyperlink xmlns:r="http://schemas.openxmlformats.org/officeDocument/2006/relationships" ref="N742" r:id="rId746"/>
    <hyperlink xmlns:r="http://schemas.openxmlformats.org/officeDocument/2006/relationships" ref="N743" r:id="rId747"/>
    <hyperlink xmlns:r="http://schemas.openxmlformats.org/officeDocument/2006/relationships" ref="N744" r:id="rId748"/>
    <hyperlink xmlns:r="http://schemas.openxmlformats.org/officeDocument/2006/relationships" ref="N745" r:id="rId749"/>
    <hyperlink xmlns:r="http://schemas.openxmlformats.org/officeDocument/2006/relationships" ref="N746" r:id="rId750"/>
    <hyperlink xmlns:r="http://schemas.openxmlformats.org/officeDocument/2006/relationships" ref="N747" r:id="rId751"/>
    <hyperlink xmlns:r="http://schemas.openxmlformats.org/officeDocument/2006/relationships" ref="N748" r:id="rId752"/>
    <hyperlink xmlns:r="http://schemas.openxmlformats.org/officeDocument/2006/relationships" ref="N749" r:id="rId753"/>
    <hyperlink xmlns:r="http://schemas.openxmlformats.org/officeDocument/2006/relationships" ref="N750" r:id="rId754"/>
    <hyperlink xmlns:r="http://schemas.openxmlformats.org/officeDocument/2006/relationships" ref="N751" r:id="rId755"/>
    <hyperlink xmlns:r="http://schemas.openxmlformats.org/officeDocument/2006/relationships" ref="N752" r:id="rId756"/>
    <hyperlink xmlns:r="http://schemas.openxmlformats.org/officeDocument/2006/relationships" ref="N753" r:id="rId757"/>
    <hyperlink xmlns:r="http://schemas.openxmlformats.org/officeDocument/2006/relationships" ref="N754" r:id="rId758"/>
    <hyperlink xmlns:r="http://schemas.openxmlformats.org/officeDocument/2006/relationships" ref="N755" r:id="rId759"/>
    <hyperlink xmlns:r="http://schemas.openxmlformats.org/officeDocument/2006/relationships" ref="N756" r:id="rId760"/>
    <hyperlink xmlns:r="http://schemas.openxmlformats.org/officeDocument/2006/relationships" ref="N757" r:id="rId761"/>
    <hyperlink xmlns:r="http://schemas.openxmlformats.org/officeDocument/2006/relationships" ref="N758" r:id="rId762"/>
    <hyperlink xmlns:r="http://schemas.openxmlformats.org/officeDocument/2006/relationships" ref="N759" r:id="rId763"/>
    <hyperlink xmlns:r="http://schemas.openxmlformats.org/officeDocument/2006/relationships" ref="N760" r:id="rId764"/>
    <hyperlink xmlns:r="http://schemas.openxmlformats.org/officeDocument/2006/relationships" ref="N761" r:id="rId765"/>
    <hyperlink xmlns:r="http://schemas.openxmlformats.org/officeDocument/2006/relationships" ref="N762" r:id="rId766"/>
    <hyperlink xmlns:r="http://schemas.openxmlformats.org/officeDocument/2006/relationships" ref="N763" r:id="rId767"/>
    <hyperlink xmlns:r="http://schemas.openxmlformats.org/officeDocument/2006/relationships" ref="N764" r:id="rId768"/>
    <hyperlink xmlns:r="http://schemas.openxmlformats.org/officeDocument/2006/relationships" ref="N765" r:id="rId769"/>
    <hyperlink xmlns:r="http://schemas.openxmlformats.org/officeDocument/2006/relationships" ref="N766" r:id="rId770"/>
    <hyperlink xmlns:r="http://schemas.openxmlformats.org/officeDocument/2006/relationships" ref="N767" r:id="rId771"/>
    <hyperlink xmlns:r="http://schemas.openxmlformats.org/officeDocument/2006/relationships" ref="N768" r:id="rId772"/>
    <hyperlink xmlns:r="http://schemas.openxmlformats.org/officeDocument/2006/relationships" ref="N769" r:id="rId773"/>
    <hyperlink xmlns:r="http://schemas.openxmlformats.org/officeDocument/2006/relationships" ref="N770" r:id="rId774"/>
    <hyperlink xmlns:r="http://schemas.openxmlformats.org/officeDocument/2006/relationships" ref="N771" r:id="rId775"/>
    <hyperlink xmlns:r="http://schemas.openxmlformats.org/officeDocument/2006/relationships" ref="N772" r:id="rId776"/>
    <hyperlink xmlns:r="http://schemas.openxmlformats.org/officeDocument/2006/relationships" ref="N773" r:id="rId777"/>
    <hyperlink xmlns:r="http://schemas.openxmlformats.org/officeDocument/2006/relationships" ref="N774" r:id="rId778"/>
    <hyperlink xmlns:r="http://schemas.openxmlformats.org/officeDocument/2006/relationships" ref="N775" r:id="rId779"/>
    <hyperlink xmlns:r="http://schemas.openxmlformats.org/officeDocument/2006/relationships" ref="N776" r:id="rId780"/>
    <hyperlink xmlns:r="http://schemas.openxmlformats.org/officeDocument/2006/relationships" ref="N777" r:id="rId781"/>
    <hyperlink xmlns:r="http://schemas.openxmlformats.org/officeDocument/2006/relationships" ref="N778" r:id="rId782"/>
    <hyperlink xmlns:r="http://schemas.openxmlformats.org/officeDocument/2006/relationships" ref="N779" r:id="rId783"/>
    <hyperlink xmlns:r="http://schemas.openxmlformats.org/officeDocument/2006/relationships" ref="N780" r:id="rId784"/>
    <hyperlink xmlns:r="http://schemas.openxmlformats.org/officeDocument/2006/relationships" ref="N781" r:id="rId785"/>
    <hyperlink xmlns:r="http://schemas.openxmlformats.org/officeDocument/2006/relationships" ref="N782" r:id="rId786"/>
    <hyperlink xmlns:r="http://schemas.openxmlformats.org/officeDocument/2006/relationships" ref="N783" r:id="rId787"/>
    <hyperlink xmlns:r="http://schemas.openxmlformats.org/officeDocument/2006/relationships" ref="N784" r:id="rId788"/>
    <hyperlink xmlns:r="http://schemas.openxmlformats.org/officeDocument/2006/relationships" ref="N785" r:id="rId789"/>
    <hyperlink xmlns:r="http://schemas.openxmlformats.org/officeDocument/2006/relationships" ref="N786" r:id="rId790"/>
    <hyperlink xmlns:r="http://schemas.openxmlformats.org/officeDocument/2006/relationships" ref="N787" r:id="rId791"/>
    <hyperlink xmlns:r="http://schemas.openxmlformats.org/officeDocument/2006/relationships" ref="N788" r:id="rId792"/>
    <hyperlink xmlns:r="http://schemas.openxmlformats.org/officeDocument/2006/relationships" ref="N789" r:id="rId793"/>
    <hyperlink xmlns:r="http://schemas.openxmlformats.org/officeDocument/2006/relationships" ref="N790" r:id="rId794"/>
    <hyperlink xmlns:r="http://schemas.openxmlformats.org/officeDocument/2006/relationships" ref="N791" r:id="rId795"/>
    <hyperlink xmlns:r="http://schemas.openxmlformats.org/officeDocument/2006/relationships" ref="N792" r:id="rId796"/>
    <hyperlink xmlns:r="http://schemas.openxmlformats.org/officeDocument/2006/relationships" ref="N793" r:id="rId797"/>
    <hyperlink xmlns:r="http://schemas.openxmlformats.org/officeDocument/2006/relationships" ref="N794" r:id="rId798"/>
    <hyperlink xmlns:r="http://schemas.openxmlformats.org/officeDocument/2006/relationships" ref="N795" r:id="rId799"/>
    <hyperlink xmlns:r="http://schemas.openxmlformats.org/officeDocument/2006/relationships" ref="N796" r:id="rId800"/>
    <hyperlink xmlns:r="http://schemas.openxmlformats.org/officeDocument/2006/relationships" ref="N797" r:id="rId801"/>
    <hyperlink xmlns:r="http://schemas.openxmlformats.org/officeDocument/2006/relationships" ref="N798" r:id="rId802"/>
    <hyperlink xmlns:r="http://schemas.openxmlformats.org/officeDocument/2006/relationships" ref="N799" r:id="rId803"/>
    <hyperlink xmlns:r="http://schemas.openxmlformats.org/officeDocument/2006/relationships" ref="N800" r:id="rId804"/>
    <hyperlink xmlns:r="http://schemas.openxmlformats.org/officeDocument/2006/relationships" ref="N801" r:id="rId805"/>
    <hyperlink xmlns:r="http://schemas.openxmlformats.org/officeDocument/2006/relationships" ref="N802" r:id="rId806"/>
    <hyperlink xmlns:r="http://schemas.openxmlformats.org/officeDocument/2006/relationships" ref="N803" r:id="rId807"/>
    <hyperlink xmlns:r="http://schemas.openxmlformats.org/officeDocument/2006/relationships" ref="N804" r:id="rId808"/>
    <hyperlink xmlns:r="http://schemas.openxmlformats.org/officeDocument/2006/relationships" ref="N805" r:id="rId809"/>
    <hyperlink xmlns:r="http://schemas.openxmlformats.org/officeDocument/2006/relationships" ref="N806" r:id="rId810"/>
    <hyperlink xmlns:r="http://schemas.openxmlformats.org/officeDocument/2006/relationships" ref="N807" r:id="rId811"/>
    <hyperlink xmlns:r="http://schemas.openxmlformats.org/officeDocument/2006/relationships" ref="N808" r:id="rId812"/>
    <hyperlink xmlns:r="http://schemas.openxmlformats.org/officeDocument/2006/relationships" ref="N809" r:id="rId813"/>
    <hyperlink xmlns:r="http://schemas.openxmlformats.org/officeDocument/2006/relationships" ref="N810" r:id="rId814"/>
    <hyperlink xmlns:r="http://schemas.openxmlformats.org/officeDocument/2006/relationships" ref="N811" r:id="rId815"/>
    <hyperlink xmlns:r="http://schemas.openxmlformats.org/officeDocument/2006/relationships" ref="N812" r:id="rId816"/>
    <hyperlink xmlns:r="http://schemas.openxmlformats.org/officeDocument/2006/relationships" ref="N813" r:id="rId817"/>
    <hyperlink xmlns:r="http://schemas.openxmlformats.org/officeDocument/2006/relationships" ref="N814" r:id="rId818"/>
    <hyperlink xmlns:r="http://schemas.openxmlformats.org/officeDocument/2006/relationships" ref="N815" r:id="rId819"/>
    <hyperlink xmlns:r="http://schemas.openxmlformats.org/officeDocument/2006/relationships" ref="N816" r:id="rId820"/>
    <hyperlink xmlns:r="http://schemas.openxmlformats.org/officeDocument/2006/relationships" ref="N817" r:id="rId821"/>
    <hyperlink xmlns:r="http://schemas.openxmlformats.org/officeDocument/2006/relationships" ref="N818" r:id="rId822"/>
    <hyperlink xmlns:r="http://schemas.openxmlformats.org/officeDocument/2006/relationships" ref="N819" r:id="rId823"/>
    <hyperlink xmlns:r="http://schemas.openxmlformats.org/officeDocument/2006/relationships" ref="N820" r:id="rId824"/>
    <hyperlink xmlns:r="http://schemas.openxmlformats.org/officeDocument/2006/relationships" ref="N821" r:id="rId825"/>
    <hyperlink xmlns:r="http://schemas.openxmlformats.org/officeDocument/2006/relationships" ref="N822" r:id="rId826"/>
    <hyperlink xmlns:r="http://schemas.openxmlformats.org/officeDocument/2006/relationships" ref="N823" r:id="rId827"/>
    <hyperlink xmlns:r="http://schemas.openxmlformats.org/officeDocument/2006/relationships" ref="N824" r:id="rId828"/>
    <hyperlink xmlns:r="http://schemas.openxmlformats.org/officeDocument/2006/relationships" ref="N825" r:id="rId829"/>
    <hyperlink xmlns:r="http://schemas.openxmlformats.org/officeDocument/2006/relationships" ref="N826" r:id="rId830"/>
    <hyperlink xmlns:r="http://schemas.openxmlformats.org/officeDocument/2006/relationships" ref="N827" r:id="rId831"/>
    <hyperlink xmlns:r="http://schemas.openxmlformats.org/officeDocument/2006/relationships" ref="N828" r:id="rId832"/>
    <hyperlink xmlns:r="http://schemas.openxmlformats.org/officeDocument/2006/relationships" ref="N829" r:id="rId833"/>
    <hyperlink xmlns:r="http://schemas.openxmlformats.org/officeDocument/2006/relationships" ref="N830" r:id="rId834"/>
    <hyperlink xmlns:r="http://schemas.openxmlformats.org/officeDocument/2006/relationships" ref="N831" r:id="rId835"/>
    <hyperlink xmlns:r="http://schemas.openxmlformats.org/officeDocument/2006/relationships" ref="N832" r:id="rId836"/>
    <hyperlink xmlns:r="http://schemas.openxmlformats.org/officeDocument/2006/relationships" ref="N833" r:id="rId837"/>
    <hyperlink xmlns:r="http://schemas.openxmlformats.org/officeDocument/2006/relationships" ref="N834" r:id="rId838"/>
    <hyperlink xmlns:r="http://schemas.openxmlformats.org/officeDocument/2006/relationships" ref="N835" r:id="rId839"/>
    <hyperlink xmlns:r="http://schemas.openxmlformats.org/officeDocument/2006/relationships" ref="N836" r:id="rId840"/>
    <hyperlink xmlns:r="http://schemas.openxmlformats.org/officeDocument/2006/relationships" ref="N837" r:id="rId841"/>
    <hyperlink xmlns:r="http://schemas.openxmlformats.org/officeDocument/2006/relationships" ref="N838" r:id="rId842"/>
    <hyperlink xmlns:r="http://schemas.openxmlformats.org/officeDocument/2006/relationships" ref="N839" r:id="rId843"/>
    <hyperlink xmlns:r="http://schemas.openxmlformats.org/officeDocument/2006/relationships" ref="N840" r:id="rId844"/>
    <hyperlink xmlns:r="http://schemas.openxmlformats.org/officeDocument/2006/relationships" ref="N841" r:id="rId845"/>
    <hyperlink xmlns:r="http://schemas.openxmlformats.org/officeDocument/2006/relationships" ref="N842" r:id="rId846"/>
    <hyperlink xmlns:r="http://schemas.openxmlformats.org/officeDocument/2006/relationships" ref="N843" r:id="rId847"/>
    <hyperlink xmlns:r="http://schemas.openxmlformats.org/officeDocument/2006/relationships" ref="N844" r:id="rId848"/>
    <hyperlink xmlns:r="http://schemas.openxmlformats.org/officeDocument/2006/relationships" ref="N845" r:id="rId849"/>
    <hyperlink xmlns:r="http://schemas.openxmlformats.org/officeDocument/2006/relationships" ref="N846" r:id="rId850"/>
    <hyperlink xmlns:r="http://schemas.openxmlformats.org/officeDocument/2006/relationships" ref="N847" r:id="rId851"/>
    <hyperlink xmlns:r="http://schemas.openxmlformats.org/officeDocument/2006/relationships" ref="N848" r:id="rId852"/>
    <hyperlink xmlns:r="http://schemas.openxmlformats.org/officeDocument/2006/relationships" ref="N849" r:id="rId853"/>
    <hyperlink xmlns:r="http://schemas.openxmlformats.org/officeDocument/2006/relationships" ref="N850" r:id="rId854"/>
    <hyperlink xmlns:r="http://schemas.openxmlformats.org/officeDocument/2006/relationships" ref="N851" r:id="rId855"/>
    <hyperlink xmlns:r="http://schemas.openxmlformats.org/officeDocument/2006/relationships" ref="N852" r:id="rId856"/>
    <hyperlink xmlns:r="http://schemas.openxmlformats.org/officeDocument/2006/relationships" ref="N853" r:id="rId857"/>
    <hyperlink xmlns:r="http://schemas.openxmlformats.org/officeDocument/2006/relationships" ref="N854" r:id="rId858"/>
    <hyperlink xmlns:r="http://schemas.openxmlformats.org/officeDocument/2006/relationships" ref="N855" r:id="rId859"/>
    <hyperlink xmlns:r="http://schemas.openxmlformats.org/officeDocument/2006/relationships" ref="N856" r:id="rId860"/>
    <hyperlink xmlns:r="http://schemas.openxmlformats.org/officeDocument/2006/relationships" ref="N857" r:id="rId861"/>
    <hyperlink xmlns:r="http://schemas.openxmlformats.org/officeDocument/2006/relationships" ref="N858" r:id="rId862"/>
    <hyperlink xmlns:r="http://schemas.openxmlformats.org/officeDocument/2006/relationships" ref="N859" r:id="rId863"/>
    <hyperlink xmlns:r="http://schemas.openxmlformats.org/officeDocument/2006/relationships" ref="N860" r:id="rId864"/>
    <hyperlink xmlns:r="http://schemas.openxmlformats.org/officeDocument/2006/relationships" ref="N861" r:id="rId865"/>
    <hyperlink xmlns:r="http://schemas.openxmlformats.org/officeDocument/2006/relationships" ref="N862" r:id="rId866"/>
    <hyperlink xmlns:r="http://schemas.openxmlformats.org/officeDocument/2006/relationships" ref="N863" r:id="rId867"/>
    <hyperlink xmlns:r="http://schemas.openxmlformats.org/officeDocument/2006/relationships" ref="N864" r:id="rId868"/>
    <hyperlink xmlns:r="http://schemas.openxmlformats.org/officeDocument/2006/relationships" ref="N865" r:id="rId869"/>
    <hyperlink xmlns:r="http://schemas.openxmlformats.org/officeDocument/2006/relationships" ref="N866" r:id="rId870"/>
    <hyperlink xmlns:r="http://schemas.openxmlformats.org/officeDocument/2006/relationships" ref="N867" r:id="rId871"/>
    <hyperlink xmlns:r="http://schemas.openxmlformats.org/officeDocument/2006/relationships" ref="N868" r:id="rId872"/>
    <hyperlink xmlns:r="http://schemas.openxmlformats.org/officeDocument/2006/relationships" ref="N869" r:id="rId873"/>
    <hyperlink xmlns:r="http://schemas.openxmlformats.org/officeDocument/2006/relationships" ref="N870" r:id="rId874"/>
    <hyperlink xmlns:r="http://schemas.openxmlformats.org/officeDocument/2006/relationships" ref="N871" r:id="rId875"/>
    <hyperlink xmlns:r="http://schemas.openxmlformats.org/officeDocument/2006/relationships" ref="N872" r:id="rId876"/>
    <hyperlink xmlns:r="http://schemas.openxmlformats.org/officeDocument/2006/relationships" ref="N873" r:id="rId877"/>
    <hyperlink xmlns:r="http://schemas.openxmlformats.org/officeDocument/2006/relationships" ref="N874" r:id="rId878"/>
    <hyperlink xmlns:r="http://schemas.openxmlformats.org/officeDocument/2006/relationships" ref="N875" r:id="rId879"/>
    <hyperlink xmlns:r="http://schemas.openxmlformats.org/officeDocument/2006/relationships" ref="N876" r:id="rId880"/>
    <hyperlink xmlns:r="http://schemas.openxmlformats.org/officeDocument/2006/relationships" ref="N877" r:id="rId881"/>
    <hyperlink xmlns:r="http://schemas.openxmlformats.org/officeDocument/2006/relationships" ref="N878" r:id="rId882"/>
    <hyperlink xmlns:r="http://schemas.openxmlformats.org/officeDocument/2006/relationships" ref="N879" r:id="rId883"/>
    <hyperlink xmlns:r="http://schemas.openxmlformats.org/officeDocument/2006/relationships" ref="N880" r:id="rId884"/>
    <hyperlink xmlns:r="http://schemas.openxmlformats.org/officeDocument/2006/relationships" ref="N881" r:id="rId885"/>
    <hyperlink xmlns:r="http://schemas.openxmlformats.org/officeDocument/2006/relationships" ref="N882" r:id="rId886"/>
    <hyperlink xmlns:r="http://schemas.openxmlformats.org/officeDocument/2006/relationships" ref="N883" r:id="rId887"/>
    <hyperlink xmlns:r="http://schemas.openxmlformats.org/officeDocument/2006/relationships" ref="N884" r:id="rId888"/>
    <hyperlink xmlns:r="http://schemas.openxmlformats.org/officeDocument/2006/relationships" ref="N885" r:id="rId889"/>
    <hyperlink xmlns:r="http://schemas.openxmlformats.org/officeDocument/2006/relationships" ref="N886" r:id="rId890"/>
    <hyperlink xmlns:r="http://schemas.openxmlformats.org/officeDocument/2006/relationships" ref="N887" r:id="rId891"/>
    <hyperlink xmlns:r="http://schemas.openxmlformats.org/officeDocument/2006/relationships" ref="N888" r:id="rId892"/>
    <hyperlink xmlns:r="http://schemas.openxmlformats.org/officeDocument/2006/relationships" ref="N889" r:id="rId893"/>
    <hyperlink xmlns:r="http://schemas.openxmlformats.org/officeDocument/2006/relationships" ref="N890" r:id="rId894"/>
    <hyperlink xmlns:r="http://schemas.openxmlformats.org/officeDocument/2006/relationships" ref="N891" r:id="rId895"/>
    <hyperlink xmlns:r="http://schemas.openxmlformats.org/officeDocument/2006/relationships" ref="N892" r:id="rId896"/>
    <hyperlink xmlns:r="http://schemas.openxmlformats.org/officeDocument/2006/relationships" ref="N893" r:id="rId897"/>
    <hyperlink xmlns:r="http://schemas.openxmlformats.org/officeDocument/2006/relationships" ref="N894" r:id="rId898"/>
    <hyperlink xmlns:r="http://schemas.openxmlformats.org/officeDocument/2006/relationships" ref="N895" r:id="rId899"/>
    <hyperlink xmlns:r="http://schemas.openxmlformats.org/officeDocument/2006/relationships" ref="N896" r:id="rId900"/>
    <hyperlink xmlns:r="http://schemas.openxmlformats.org/officeDocument/2006/relationships" ref="N897" r:id="rId901"/>
    <hyperlink xmlns:r="http://schemas.openxmlformats.org/officeDocument/2006/relationships" ref="N898" r:id="rId902"/>
    <hyperlink xmlns:r="http://schemas.openxmlformats.org/officeDocument/2006/relationships" ref="N899" r:id="rId903"/>
    <hyperlink xmlns:r="http://schemas.openxmlformats.org/officeDocument/2006/relationships" ref="N900" r:id="rId904"/>
    <hyperlink xmlns:r="http://schemas.openxmlformats.org/officeDocument/2006/relationships" ref="N901" r:id="rId905"/>
    <hyperlink xmlns:r="http://schemas.openxmlformats.org/officeDocument/2006/relationships" ref="N902" r:id="rId906"/>
    <hyperlink xmlns:r="http://schemas.openxmlformats.org/officeDocument/2006/relationships" ref="N903" r:id="rId907"/>
    <hyperlink xmlns:r="http://schemas.openxmlformats.org/officeDocument/2006/relationships" ref="N904" r:id="rId908"/>
    <hyperlink xmlns:r="http://schemas.openxmlformats.org/officeDocument/2006/relationships" ref="N905" r:id="rId909"/>
    <hyperlink xmlns:r="http://schemas.openxmlformats.org/officeDocument/2006/relationships" ref="N906" r:id="rId910"/>
    <hyperlink xmlns:r="http://schemas.openxmlformats.org/officeDocument/2006/relationships" ref="N907" r:id="rId911"/>
    <hyperlink xmlns:r="http://schemas.openxmlformats.org/officeDocument/2006/relationships" ref="N908" r:id="rId912"/>
    <hyperlink xmlns:r="http://schemas.openxmlformats.org/officeDocument/2006/relationships" ref="N909" r:id="rId913"/>
    <hyperlink xmlns:r="http://schemas.openxmlformats.org/officeDocument/2006/relationships" ref="N910" r:id="rId914"/>
    <hyperlink xmlns:r="http://schemas.openxmlformats.org/officeDocument/2006/relationships" ref="N911" r:id="rId915"/>
    <hyperlink xmlns:r="http://schemas.openxmlformats.org/officeDocument/2006/relationships" ref="N912" r:id="rId916"/>
    <hyperlink xmlns:r="http://schemas.openxmlformats.org/officeDocument/2006/relationships" ref="N913" r:id="rId917"/>
    <hyperlink xmlns:r="http://schemas.openxmlformats.org/officeDocument/2006/relationships" ref="N914" r:id="rId918"/>
    <hyperlink xmlns:r="http://schemas.openxmlformats.org/officeDocument/2006/relationships" ref="N915" r:id="rId919"/>
    <hyperlink xmlns:r="http://schemas.openxmlformats.org/officeDocument/2006/relationships" ref="N916" r:id="rId920"/>
    <hyperlink xmlns:r="http://schemas.openxmlformats.org/officeDocument/2006/relationships" ref="N917" r:id="rId921"/>
    <hyperlink xmlns:r="http://schemas.openxmlformats.org/officeDocument/2006/relationships" ref="N918" r:id="rId922"/>
    <hyperlink xmlns:r="http://schemas.openxmlformats.org/officeDocument/2006/relationships" ref="N919" r:id="rId923"/>
    <hyperlink xmlns:r="http://schemas.openxmlformats.org/officeDocument/2006/relationships" ref="N920" r:id="rId924"/>
    <hyperlink xmlns:r="http://schemas.openxmlformats.org/officeDocument/2006/relationships" ref="N921" r:id="rId925"/>
    <hyperlink xmlns:r="http://schemas.openxmlformats.org/officeDocument/2006/relationships" ref="N922" r:id="rId926"/>
    <hyperlink xmlns:r="http://schemas.openxmlformats.org/officeDocument/2006/relationships" ref="N923" r:id="rId927"/>
    <hyperlink xmlns:r="http://schemas.openxmlformats.org/officeDocument/2006/relationships" ref="N924" r:id="rId928"/>
    <hyperlink xmlns:r="http://schemas.openxmlformats.org/officeDocument/2006/relationships" ref="N925" r:id="rId929"/>
    <hyperlink xmlns:r="http://schemas.openxmlformats.org/officeDocument/2006/relationships" ref="N926" r:id="rId930"/>
    <hyperlink xmlns:r="http://schemas.openxmlformats.org/officeDocument/2006/relationships" ref="N927" r:id="rId931"/>
    <hyperlink xmlns:r="http://schemas.openxmlformats.org/officeDocument/2006/relationships" ref="N928" r:id="rId932"/>
    <hyperlink xmlns:r="http://schemas.openxmlformats.org/officeDocument/2006/relationships" ref="N929" r:id="rId933"/>
    <hyperlink xmlns:r="http://schemas.openxmlformats.org/officeDocument/2006/relationships" ref="N930" r:id="rId934"/>
    <hyperlink xmlns:r="http://schemas.openxmlformats.org/officeDocument/2006/relationships" ref="N931" r:id="rId935"/>
    <hyperlink xmlns:r="http://schemas.openxmlformats.org/officeDocument/2006/relationships" ref="N932" r:id="rId936"/>
    <hyperlink xmlns:r="http://schemas.openxmlformats.org/officeDocument/2006/relationships" ref="N933" r:id="rId937"/>
    <hyperlink xmlns:r="http://schemas.openxmlformats.org/officeDocument/2006/relationships" ref="N934" r:id="rId938"/>
    <hyperlink xmlns:r="http://schemas.openxmlformats.org/officeDocument/2006/relationships" ref="N935" r:id="rId939"/>
    <hyperlink xmlns:r="http://schemas.openxmlformats.org/officeDocument/2006/relationships" ref="N936" r:id="rId940"/>
    <hyperlink xmlns:r="http://schemas.openxmlformats.org/officeDocument/2006/relationships" ref="N937" r:id="rId941"/>
    <hyperlink xmlns:r="http://schemas.openxmlformats.org/officeDocument/2006/relationships" ref="N938" r:id="rId942"/>
    <hyperlink xmlns:r="http://schemas.openxmlformats.org/officeDocument/2006/relationships" ref="N939" r:id="rId943"/>
    <hyperlink xmlns:r="http://schemas.openxmlformats.org/officeDocument/2006/relationships" ref="N940" r:id="rId944"/>
    <hyperlink xmlns:r="http://schemas.openxmlformats.org/officeDocument/2006/relationships" ref="N941" r:id="rId945"/>
    <hyperlink xmlns:r="http://schemas.openxmlformats.org/officeDocument/2006/relationships" ref="N942" r:id="rId946"/>
    <hyperlink xmlns:r="http://schemas.openxmlformats.org/officeDocument/2006/relationships" ref="N943" r:id="rId947"/>
    <hyperlink xmlns:r="http://schemas.openxmlformats.org/officeDocument/2006/relationships" ref="N944" r:id="rId948"/>
    <hyperlink xmlns:r="http://schemas.openxmlformats.org/officeDocument/2006/relationships" ref="N945" r:id="rId949"/>
    <hyperlink xmlns:r="http://schemas.openxmlformats.org/officeDocument/2006/relationships" ref="N946" r:id="rId950"/>
    <hyperlink xmlns:r="http://schemas.openxmlformats.org/officeDocument/2006/relationships" ref="N947" r:id="rId951"/>
    <hyperlink xmlns:r="http://schemas.openxmlformats.org/officeDocument/2006/relationships" ref="N948" r:id="rId952"/>
    <hyperlink xmlns:r="http://schemas.openxmlformats.org/officeDocument/2006/relationships" ref="N949" r:id="rId953"/>
    <hyperlink xmlns:r="http://schemas.openxmlformats.org/officeDocument/2006/relationships" ref="N950" r:id="rId954"/>
    <hyperlink xmlns:r="http://schemas.openxmlformats.org/officeDocument/2006/relationships" ref="N951" r:id="rId955"/>
    <hyperlink xmlns:r="http://schemas.openxmlformats.org/officeDocument/2006/relationships" ref="N952" r:id="rId956"/>
    <hyperlink xmlns:r="http://schemas.openxmlformats.org/officeDocument/2006/relationships" ref="N953" r:id="rId957"/>
    <hyperlink xmlns:r="http://schemas.openxmlformats.org/officeDocument/2006/relationships" ref="N954" r:id="rId958"/>
    <hyperlink xmlns:r="http://schemas.openxmlformats.org/officeDocument/2006/relationships" ref="N955" r:id="rId959"/>
    <hyperlink xmlns:r="http://schemas.openxmlformats.org/officeDocument/2006/relationships" ref="N956" r:id="rId960"/>
    <hyperlink xmlns:r="http://schemas.openxmlformats.org/officeDocument/2006/relationships" ref="N957" r:id="rId961"/>
    <hyperlink xmlns:r="http://schemas.openxmlformats.org/officeDocument/2006/relationships" ref="N958" r:id="rId962"/>
    <hyperlink xmlns:r="http://schemas.openxmlformats.org/officeDocument/2006/relationships" ref="N959" r:id="rId963"/>
    <hyperlink xmlns:r="http://schemas.openxmlformats.org/officeDocument/2006/relationships" ref="N960" r:id="rId964"/>
    <hyperlink xmlns:r="http://schemas.openxmlformats.org/officeDocument/2006/relationships" ref="N961" r:id="rId965"/>
    <hyperlink xmlns:r="http://schemas.openxmlformats.org/officeDocument/2006/relationships" ref="N962" r:id="rId966"/>
    <hyperlink xmlns:r="http://schemas.openxmlformats.org/officeDocument/2006/relationships" ref="N963" r:id="rId967"/>
    <hyperlink xmlns:r="http://schemas.openxmlformats.org/officeDocument/2006/relationships" ref="N964" r:id="rId968"/>
    <hyperlink xmlns:r="http://schemas.openxmlformats.org/officeDocument/2006/relationships" ref="N965" r:id="rId969"/>
    <hyperlink xmlns:r="http://schemas.openxmlformats.org/officeDocument/2006/relationships" ref="N966" r:id="rId970"/>
    <hyperlink xmlns:r="http://schemas.openxmlformats.org/officeDocument/2006/relationships" ref="N967" r:id="rId971"/>
    <hyperlink xmlns:r="http://schemas.openxmlformats.org/officeDocument/2006/relationships" ref="N968" r:id="rId972"/>
    <hyperlink xmlns:r="http://schemas.openxmlformats.org/officeDocument/2006/relationships" ref="N969" r:id="rId973"/>
    <hyperlink xmlns:r="http://schemas.openxmlformats.org/officeDocument/2006/relationships" ref="N970" r:id="rId974"/>
    <hyperlink xmlns:r="http://schemas.openxmlformats.org/officeDocument/2006/relationships" ref="N971" r:id="rId975"/>
    <hyperlink xmlns:r="http://schemas.openxmlformats.org/officeDocument/2006/relationships" ref="N972" r:id="rId976"/>
    <hyperlink xmlns:r="http://schemas.openxmlformats.org/officeDocument/2006/relationships" ref="N973" r:id="rId977"/>
    <hyperlink xmlns:r="http://schemas.openxmlformats.org/officeDocument/2006/relationships" ref="N974" r:id="rId978"/>
    <hyperlink xmlns:r="http://schemas.openxmlformats.org/officeDocument/2006/relationships" ref="N975" r:id="rId979"/>
    <hyperlink xmlns:r="http://schemas.openxmlformats.org/officeDocument/2006/relationships" ref="N976" r:id="rId980"/>
    <hyperlink xmlns:r="http://schemas.openxmlformats.org/officeDocument/2006/relationships" ref="N977" r:id="rId981"/>
    <hyperlink xmlns:r="http://schemas.openxmlformats.org/officeDocument/2006/relationships" ref="N978" r:id="rId982"/>
    <hyperlink xmlns:r="http://schemas.openxmlformats.org/officeDocument/2006/relationships" ref="N979" r:id="rId983"/>
    <hyperlink xmlns:r="http://schemas.openxmlformats.org/officeDocument/2006/relationships" ref="N980" r:id="rId984"/>
    <hyperlink xmlns:r="http://schemas.openxmlformats.org/officeDocument/2006/relationships" ref="N981" r:id="rId985"/>
    <hyperlink xmlns:r="http://schemas.openxmlformats.org/officeDocument/2006/relationships" ref="N982" r:id="rId986"/>
    <hyperlink xmlns:r="http://schemas.openxmlformats.org/officeDocument/2006/relationships" ref="N983" r:id="rId987"/>
    <hyperlink xmlns:r="http://schemas.openxmlformats.org/officeDocument/2006/relationships" ref="N984" r:id="rId988"/>
    <hyperlink xmlns:r="http://schemas.openxmlformats.org/officeDocument/2006/relationships" ref="N985" r:id="rId989"/>
    <hyperlink xmlns:r="http://schemas.openxmlformats.org/officeDocument/2006/relationships" ref="N986" r:id="rId990"/>
    <hyperlink xmlns:r="http://schemas.openxmlformats.org/officeDocument/2006/relationships" ref="N987" r:id="rId991"/>
    <hyperlink xmlns:r="http://schemas.openxmlformats.org/officeDocument/2006/relationships" ref="N988" r:id="rId992"/>
    <hyperlink xmlns:r="http://schemas.openxmlformats.org/officeDocument/2006/relationships" ref="N989" r:id="rId993"/>
    <hyperlink xmlns:r="http://schemas.openxmlformats.org/officeDocument/2006/relationships" ref="N990" r:id="rId994"/>
    <hyperlink xmlns:r="http://schemas.openxmlformats.org/officeDocument/2006/relationships" ref="N991" r:id="rId995"/>
    <hyperlink xmlns:r="http://schemas.openxmlformats.org/officeDocument/2006/relationships" ref="N992" r:id="rId996"/>
    <hyperlink xmlns:r="http://schemas.openxmlformats.org/officeDocument/2006/relationships" ref="N993" r:id="rId997"/>
    <hyperlink xmlns:r="http://schemas.openxmlformats.org/officeDocument/2006/relationships" ref="N994" r:id="rId998"/>
    <hyperlink xmlns:r="http://schemas.openxmlformats.org/officeDocument/2006/relationships" ref="N995" r:id="rId999"/>
    <hyperlink xmlns:r="http://schemas.openxmlformats.org/officeDocument/2006/relationships" ref="N996" r:id="rId1000"/>
    <hyperlink xmlns:r="http://schemas.openxmlformats.org/officeDocument/2006/relationships" ref="N997" r:id="rId1001"/>
    <hyperlink xmlns:r="http://schemas.openxmlformats.org/officeDocument/2006/relationships" ref="N998" r:id="rId1002"/>
    <hyperlink xmlns:r="http://schemas.openxmlformats.org/officeDocument/2006/relationships" ref="N999" r:id="rId1003"/>
    <hyperlink xmlns:r="http://schemas.openxmlformats.org/officeDocument/2006/relationships" ref="N1000" r:id="rId1004"/>
    <hyperlink xmlns:r="http://schemas.openxmlformats.org/officeDocument/2006/relationships" ref="N1001" r:id="rId1005"/>
    <hyperlink xmlns:r="http://schemas.openxmlformats.org/officeDocument/2006/relationships" ref="N1002" r:id="rId1006"/>
    <hyperlink xmlns:r="http://schemas.openxmlformats.org/officeDocument/2006/relationships" ref="N1003" r:id="rId1007"/>
    <hyperlink xmlns:r="http://schemas.openxmlformats.org/officeDocument/2006/relationships" ref="N1004" r:id="rId1008"/>
    <hyperlink xmlns:r="http://schemas.openxmlformats.org/officeDocument/2006/relationships" ref="N1005" r:id="rId1009"/>
    <hyperlink xmlns:r="http://schemas.openxmlformats.org/officeDocument/2006/relationships" ref="N1006" r:id="rId1010"/>
    <hyperlink xmlns:r="http://schemas.openxmlformats.org/officeDocument/2006/relationships" ref="N1007" r:id="rId1011"/>
    <hyperlink xmlns:r="http://schemas.openxmlformats.org/officeDocument/2006/relationships" ref="N1008" r:id="rId1012"/>
    <hyperlink xmlns:r="http://schemas.openxmlformats.org/officeDocument/2006/relationships" ref="N1009" r:id="rId1013"/>
    <hyperlink xmlns:r="http://schemas.openxmlformats.org/officeDocument/2006/relationships" ref="N1010" r:id="rId1014"/>
    <hyperlink xmlns:r="http://schemas.openxmlformats.org/officeDocument/2006/relationships" ref="N1011" r:id="rId1015"/>
    <hyperlink xmlns:r="http://schemas.openxmlformats.org/officeDocument/2006/relationships" ref="N1012" r:id="rId1016"/>
    <hyperlink xmlns:r="http://schemas.openxmlformats.org/officeDocument/2006/relationships" ref="N1013" r:id="rId1017"/>
    <hyperlink xmlns:r="http://schemas.openxmlformats.org/officeDocument/2006/relationships" ref="N1014" r:id="rId1018"/>
    <hyperlink xmlns:r="http://schemas.openxmlformats.org/officeDocument/2006/relationships" ref="N1015" r:id="rId1019"/>
    <hyperlink xmlns:r="http://schemas.openxmlformats.org/officeDocument/2006/relationships" ref="N1016" r:id="rId1020"/>
    <hyperlink xmlns:r="http://schemas.openxmlformats.org/officeDocument/2006/relationships" ref="N1017" r:id="rId1021"/>
    <hyperlink xmlns:r="http://schemas.openxmlformats.org/officeDocument/2006/relationships" ref="N1018" r:id="rId1022"/>
    <hyperlink xmlns:r="http://schemas.openxmlformats.org/officeDocument/2006/relationships" ref="N1019" r:id="rId1023"/>
    <hyperlink xmlns:r="http://schemas.openxmlformats.org/officeDocument/2006/relationships" ref="N1020" r:id="rId1024"/>
    <hyperlink xmlns:r="http://schemas.openxmlformats.org/officeDocument/2006/relationships" ref="N1021" r:id="rId1025"/>
    <hyperlink xmlns:r="http://schemas.openxmlformats.org/officeDocument/2006/relationships" ref="N1022" r:id="rId1026"/>
    <hyperlink xmlns:r="http://schemas.openxmlformats.org/officeDocument/2006/relationships" ref="N1023" r:id="rId1027"/>
    <hyperlink xmlns:r="http://schemas.openxmlformats.org/officeDocument/2006/relationships" ref="N1024" r:id="rId1028"/>
    <hyperlink xmlns:r="http://schemas.openxmlformats.org/officeDocument/2006/relationships" ref="N1025" r:id="rId1029"/>
    <hyperlink xmlns:r="http://schemas.openxmlformats.org/officeDocument/2006/relationships" ref="N1026" r:id="rId1030"/>
    <hyperlink xmlns:r="http://schemas.openxmlformats.org/officeDocument/2006/relationships" ref="N1027" r:id="rId1031"/>
    <hyperlink xmlns:r="http://schemas.openxmlformats.org/officeDocument/2006/relationships" ref="N1028" r:id="rId1032"/>
    <hyperlink xmlns:r="http://schemas.openxmlformats.org/officeDocument/2006/relationships" ref="N1029" r:id="rId1033"/>
    <hyperlink xmlns:r="http://schemas.openxmlformats.org/officeDocument/2006/relationships" ref="N1030" r:id="rId1034"/>
    <hyperlink xmlns:r="http://schemas.openxmlformats.org/officeDocument/2006/relationships" ref="N1031" r:id="rId1035"/>
    <hyperlink xmlns:r="http://schemas.openxmlformats.org/officeDocument/2006/relationships" ref="N1032" r:id="rId1036"/>
    <hyperlink xmlns:r="http://schemas.openxmlformats.org/officeDocument/2006/relationships" ref="N1033" r:id="rId1037"/>
    <hyperlink xmlns:r="http://schemas.openxmlformats.org/officeDocument/2006/relationships" ref="N1034" r:id="rId1038"/>
    <hyperlink xmlns:r="http://schemas.openxmlformats.org/officeDocument/2006/relationships" ref="N1035" r:id="rId1039"/>
    <hyperlink xmlns:r="http://schemas.openxmlformats.org/officeDocument/2006/relationships" ref="N1036" r:id="rId1040"/>
    <hyperlink xmlns:r="http://schemas.openxmlformats.org/officeDocument/2006/relationships" ref="N1037" r:id="rId1041"/>
    <hyperlink xmlns:r="http://schemas.openxmlformats.org/officeDocument/2006/relationships" ref="N1038" r:id="rId1042"/>
    <hyperlink xmlns:r="http://schemas.openxmlformats.org/officeDocument/2006/relationships" ref="N1039" r:id="rId1043"/>
    <hyperlink xmlns:r="http://schemas.openxmlformats.org/officeDocument/2006/relationships" ref="N1040" r:id="rId1044"/>
    <hyperlink xmlns:r="http://schemas.openxmlformats.org/officeDocument/2006/relationships" ref="N1041" r:id="rId1045"/>
    <hyperlink xmlns:r="http://schemas.openxmlformats.org/officeDocument/2006/relationships" ref="N1042" r:id="rId1046"/>
    <hyperlink xmlns:r="http://schemas.openxmlformats.org/officeDocument/2006/relationships" ref="N1043" r:id="rId1047"/>
    <hyperlink xmlns:r="http://schemas.openxmlformats.org/officeDocument/2006/relationships" ref="N1044" r:id="rId1048"/>
    <hyperlink xmlns:r="http://schemas.openxmlformats.org/officeDocument/2006/relationships" ref="N1045" r:id="rId1049"/>
    <hyperlink xmlns:r="http://schemas.openxmlformats.org/officeDocument/2006/relationships" ref="N1046" r:id="rId1050"/>
    <hyperlink xmlns:r="http://schemas.openxmlformats.org/officeDocument/2006/relationships" ref="N1047" r:id="rId1051"/>
    <hyperlink xmlns:r="http://schemas.openxmlformats.org/officeDocument/2006/relationships" ref="N1048" r:id="rId1052"/>
    <hyperlink xmlns:r="http://schemas.openxmlformats.org/officeDocument/2006/relationships" ref="N1049" r:id="rId1053"/>
    <hyperlink xmlns:r="http://schemas.openxmlformats.org/officeDocument/2006/relationships" ref="N1050" r:id="rId1054"/>
    <hyperlink xmlns:r="http://schemas.openxmlformats.org/officeDocument/2006/relationships" ref="N1051" r:id="rId1055"/>
    <hyperlink xmlns:r="http://schemas.openxmlformats.org/officeDocument/2006/relationships" ref="N1052" r:id="rId1056"/>
    <hyperlink xmlns:r="http://schemas.openxmlformats.org/officeDocument/2006/relationships" ref="N1053" r:id="rId1057"/>
    <hyperlink xmlns:r="http://schemas.openxmlformats.org/officeDocument/2006/relationships" ref="N1054" r:id="rId1058"/>
    <hyperlink xmlns:r="http://schemas.openxmlformats.org/officeDocument/2006/relationships" ref="N1055" r:id="rId1059"/>
    <hyperlink xmlns:r="http://schemas.openxmlformats.org/officeDocument/2006/relationships" ref="N1056" r:id="rId1060"/>
    <hyperlink xmlns:r="http://schemas.openxmlformats.org/officeDocument/2006/relationships" ref="N1057" r:id="rId1061"/>
    <hyperlink xmlns:r="http://schemas.openxmlformats.org/officeDocument/2006/relationships" ref="N1058" r:id="rId1062"/>
    <hyperlink xmlns:r="http://schemas.openxmlformats.org/officeDocument/2006/relationships" ref="N1059" r:id="rId1063"/>
    <hyperlink xmlns:r="http://schemas.openxmlformats.org/officeDocument/2006/relationships" ref="N1060" r:id="rId1064"/>
    <hyperlink xmlns:r="http://schemas.openxmlformats.org/officeDocument/2006/relationships" ref="N1061" r:id="rId1065"/>
    <hyperlink xmlns:r="http://schemas.openxmlformats.org/officeDocument/2006/relationships" ref="N1062" r:id="rId1066"/>
    <hyperlink xmlns:r="http://schemas.openxmlformats.org/officeDocument/2006/relationships" ref="N1063" r:id="rId1067"/>
    <hyperlink xmlns:r="http://schemas.openxmlformats.org/officeDocument/2006/relationships" ref="N1064" r:id="rId1068"/>
    <hyperlink xmlns:r="http://schemas.openxmlformats.org/officeDocument/2006/relationships" ref="N1065" r:id="rId1069"/>
    <hyperlink xmlns:r="http://schemas.openxmlformats.org/officeDocument/2006/relationships" ref="N1066" r:id="rId1070"/>
    <hyperlink xmlns:r="http://schemas.openxmlformats.org/officeDocument/2006/relationships" ref="N1067" r:id="rId1071"/>
    <hyperlink xmlns:r="http://schemas.openxmlformats.org/officeDocument/2006/relationships" ref="N1068" r:id="rId1072"/>
    <hyperlink xmlns:r="http://schemas.openxmlformats.org/officeDocument/2006/relationships" ref="N1069" r:id="rId1073"/>
    <hyperlink xmlns:r="http://schemas.openxmlformats.org/officeDocument/2006/relationships" ref="N1070" r:id="rId1074"/>
    <hyperlink xmlns:r="http://schemas.openxmlformats.org/officeDocument/2006/relationships" ref="N1071" r:id="rId1075"/>
    <hyperlink xmlns:r="http://schemas.openxmlformats.org/officeDocument/2006/relationships" ref="N1072" r:id="rId1076"/>
    <hyperlink xmlns:r="http://schemas.openxmlformats.org/officeDocument/2006/relationships" ref="N1073" r:id="rId1077"/>
    <hyperlink xmlns:r="http://schemas.openxmlformats.org/officeDocument/2006/relationships" ref="N1074" r:id="rId1078"/>
    <hyperlink xmlns:r="http://schemas.openxmlformats.org/officeDocument/2006/relationships" ref="N1075" r:id="rId1079"/>
    <hyperlink xmlns:r="http://schemas.openxmlformats.org/officeDocument/2006/relationships" ref="N1076" r:id="rId1080"/>
    <hyperlink xmlns:r="http://schemas.openxmlformats.org/officeDocument/2006/relationships" ref="N1077" r:id="rId1081"/>
    <hyperlink xmlns:r="http://schemas.openxmlformats.org/officeDocument/2006/relationships" ref="N1078" r:id="rId1082"/>
    <hyperlink xmlns:r="http://schemas.openxmlformats.org/officeDocument/2006/relationships" ref="N1079" r:id="rId1083"/>
    <hyperlink xmlns:r="http://schemas.openxmlformats.org/officeDocument/2006/relationships" ref="N1080" r:id="rId1084"/>
    <hyperlink xmlns:r="http://schemas.openxmlformats.org/officeDocument/2006/relationships" ref="N1081" r:id="rId1085"/>
    <hyperlink xmlns:r="http://schemas.openxmlformats.org/officeDocument/2006/relationships" ref="N1082" r:id="rId1086"/>
    <hyperlink xmlns:r="http://schemas.openxmlformats.org/officeDocument/2006/relationships" ref="N1083" r:id="rId1087"/>
    <hyperlink xmlns:r="http://schemas.openxmlformats.org/officeDocument/2006/relationships" ref="N1084" r:id="rId1088"/>
    <hyperlink xmlns:r="http://schemas.openxmlformats.org/officeDocument/2006/relationships" ref="N1085" r:id="rId1089"/>
    <hyperlink xmlns:r="http://schemas.openxmlformats.org/officeDocument/2006/relationships" ref="N1086" r:id="rId1090"/>
    <hyperlink xmlns:r="http://schemas.openxmlformats.org/officeDocument/2006/relationships" ref="N1087" r:id="rId1091"/>
    <hyperlink xmlns:r="http://schemas.openxmlformats.org/officeDocument/2006/relationships" ref="N1088" r:id="rId1092"/>
    <hyperlink xmlns:r="http://schemas.openxmlformats.org/officeDocument/2006/relationships" ref="N1089" r:id="rId1093"/>
    <hyperlink xmlns:r="http://schemas.openxmlformats.org/officeDocument/2006/relationships" ref="N1090" r:id="rId1094"/>
    <hyperlink xmlns:r="http://schemas.openxmlformats.org/officeDocument/2006/relationships" ref="N1091" r:id="rId1095"/>
    <hyperlink xmlns:r="http://schemas.openxmlformats.org/officeDocument/2006/relationships" ref="N1092" r:id="rId1096"/>
    <hyperlink xmlns:r="http://schemas.openxmlformats.org/officeDocument/2006/relationships" ref="N1093" r:id="rId1097"/>
    <hyperlink xmlns:r="http://schemas.openxmlformats.org/officeDocument/2006/relationships" ref="N1094" r:id="rId1098"/>
    <hyperlink xmlns:r="http://schemas.openxmlformats.org/officeDocument/2006/relationships" ref="N1095" r:id="rId1099"/>
    <hyperlink xmlns:r="http://schemas.openxmlformats.org/officeDocument/2006/relationships" ref="N1096" r:id="rId1100"/>
    <hyperlink xmlns:r="http://schemas.openxmlformats.org/officeDocument/2006/relationships" ref="N1097" r:id="rId1101"/>
    <hyperlink xmlns:r="http://schemas.openxmlformats.org/officeDocument/2006/relationships" ref="N1098" r:id="rId1102"/>
    <hyperlink xmlns:r="http://schemas.openxmlformats.org/officeDocument/2006/relationships" ref="N1099" r:id="rId1103"/>
    <hyperlink xmlns:r="http://schemas.openxmlformats.org/officeDocument/2006/relationships" ref="N1100" r:id="rId1104"/>
    <hyperlink xmlns:r="http://schemas.openxmlformats.org/officeDocument/2006/relationships" ref="N1101" r:id="rId1105"/>
    <hyperlink xmlns:r="http://schemas.openxmlformats.org/officeDocument/2006/relationships" ref="N1102" r:id="rId1106"/>
    <hyperlink xmlns:r="http://schemas.openxmlformats.org/officeDocument/2006/relationships" ref="N1103" r:id="rId1107"/>
    <hyperlink xmlns:r="http://schemas.openxmlformats.org/officeDocument/2006/relationships" ref="N1104" r:id="rId1108"/>
    <hyperlink xmlns:r="http://schemas.openxmlformats.org/officeDocument/2006/relationships" ref="N1105" r:id="rId1109"/>
    <hyperlink xmlns:r="http://schemas.openxmlformats.org/officeDocument/2006/relationships" ref="N1106" r:id="rId1110"/>
    <hyperlink xmlns:r="http://schemas.openxmlformats.org/officeDocument/2006/relationships" ref="N1107" r:id="rId1111"/>
    <hyperlink xmlns:r="http://schemas.openxmlformats.org/officeDocument/2006/relationships" ref="N1108" r:id="rId1112"/>
    <hyperlink xmlns:r="http://schemas.openxmlformats.org/officeDocument/2006/relationships" ref="N1109" r:id="rId1113"/>
    <hyperlink xmlns:r="http://schemas.openxmlformats.org/officeDocument/2006/relationships" ref="N1110" r:id="rId1114"/>
    <hyperlink xmlns:r="http://schemas.openxmlformats.org/officeDocument/2006/relationships" ref="N1111" r:id="rId1115"/>
    <hyperlink xmlns:r="http://schemas.openxmlformats.org/officeDocument/2006/relationships" ref="N1112" r:id="rId1116"/>
    <hyperlink xmlns:r="http://schemas.openxmlformats.org/officeDocument/2006/relationships" ref="N1113" r:id="rId1117"/>
    <hyperlink xmlns:r="http://schemas.openxmlformats.org/officeDocument/2006/relationships" ref="N1114" r:id="rId1118"/>
    <hyperlink xmlns:r="http://schemas.openxmlformats.org/officeDocument/2006/relationships" ref="N1115" r:id="rId1119"/>
    <hyperlink xmlns:r="http://schemas.openxmlformats.org/officeDocument/2006/relationships" ref="N1116" r:id="rId1120"/>
    <hyperlink xmlns:r="http://schemas.openxmlformats.org/officeDocument/2006/relationships" ref="N1117" r:id="rId1121"/>
    <hyperlink xmlns:r="http://schemas.openxmlformats.org/officeDocument/2006/relationships" ref="N1118" r:id="rId1122"/>
    <hyperlink xmlns:r="http://schemas.openxmlformats.org/officeDocument/2006/relationships" ref="N1119" r:id="rId1123"/>
    <hyperlink xmlns:r="http://schemas.openxmlformats.org/officeDocument/2006/relationships" ref="N1120" r:id="rId1124"/>
    <hyperlink xmlns:r="http://schemas.openxmlformats.org/officeDocument/2006/relationships" ref="N1121" r:id="rId1125"/>
    <hyperlink xmlns:r="http://schemas.openxmlformats.org/officeDocument/2006/relationships" ref="N1122" r:id="rId1126"/>
    <hyperlink xmlns:r="http://schemas.openxmlformats.org/officeDocument/2006/relationships" ref="N1123" r:id="rId1127"/>
    <hyperlink xmlns:r="http://schemas.openxmlformats.org/officeDocument/2006/relationships" ref="N1124" r:id="rId1128"/>
    <hyperlink xmlns:r="http://schemas.openxmlformats.org/officeDocument/2006/relationships" ref="N1125" r:id="rId1129"/>
    <hyperlink xmlns:r="http://schemas.openxmlformats.org/officeDocument/2006/relationships" ref="N1126" r:id="rId1130"/>
    <hyperlink xmlns:r="http://schemas.openxmlformats.org/officeDocument/2006/relationships" ref="N1127" r:id="rId1131"/>
    <hyperlink xmlns:r="http://schemas.openxmlformats.org/officeDocument/2006/relationships" ref="N1128" r:id="rId1132"/>
    <hyperlink xmlns:r="http://schemas.openxmlformats.org/officeDocument/2006/relationships" ref="N1129" r:id="rId1133"/>
    <hyperlink xmlns:r="http://schemas.openxmlformats.org/officeDocument/2006/relationships" ref="N1130" r:id="rId1134"/>
    <hyperlink xmlns:r="http://schemas.openxmlformats.org/officeDocument/2006/relationships" ref="N1131" r:id="rId1135"/>
    <hyperlink xmlns:r="http://schemas.openxmlformats.org/officeDocument/2006/relationships" ref="N1132" r:id="rId1136"/>
    <hyperlink xmlns:r="http://schemas.openxmlformats.org/officeDocument/2006/relationships" ref="N1133" r:id="rId1137"/>
    <hyperlink xmlns:r="http://schemas.openxmlformats.org/officeDocument/2006/relationships" ref="N1134" r:id="rId1138"/>
    <hyperlink xmlns:r="http://schemas.openxmlformats.org/officeDocument/2006/relationships" ref="N1135" r:id="rId1139"/>
    <hyperlink xmlns:r="http://schemas.openxmlformats.org/officeDocument/2006/relationships" ref="N1136" r:id="rId1140"/>
    <hyperlink xmlns:r="http://schemas.openxmlformats.org/officeDocument/2006/relationships" ref="N1137" r:id="rId1141"/>
    <hyperlink xmlns:r="http://schemas.openxmlformats.org/officeDocument/2006/relationships" ref="N1138" r:id="rId1142"/>
    <hyperlink xmlns:r="http://schemas.openxmlformats.org/officeDocument/2006/relationships" ref="N1139" r:id="rId1143"/>
    <hyperlink xmlns:r="http://schemas.openxmlformats.org/officeDocument/2006/relationships" ref="N1140" r:id="rId1144"/>
    <hyperlink xmlns:r="http://schemas.openxmlformats.org/officeDocument/2006/relationships" ref="N1141" r:id="rId1145"/>
    <hyperlink xmlns:r="http://schemas.openxmlformats.org/officeDocument/2006/relationships" ref="N1142" r:id="rId1146"/>
    <hyperlink xmlns:r="http://schemas.openxmlformats.org/officeDocument/2006/relationships" ref="N1143" r:id="rId1147"/>
    <hyperlink xmlns:r="http://schemas.openxmlformats.org/officeDocument/2006/relationships" ref="N1144" r:id="rId1148"/>
    <hyperlink xmlns:r="http://schemas.openxmlformats.org/officeDocument/2006/relationships" ref="N1145" r:id="rId1149"/>
    <hyperlink xmlns:r="http://schemas.openxmlformats.org/officeDocument/2006/relationships" ref="N1146" r:id="rId1150"/>
    <hyperlink xmlns:r="http://schemas.openxmlformats.org/officeDocument/2006/relationships" ref="N1147" r:id="rId1151"/>
    <hyperlink xmlns:r="http://schemas.openxmlformats.org/officeDocument/2006/relationships" ref="N1148" r:id="rId1152"/>
    <hyperlink xmlns:r="http://schemas.openxmlformats.org/officeDocument/2006/relationships" ref="N1149" r:id="rId1153"/>
    <hyperlink xmlns:r="http://schemas.openxmlformats.org/officeDocument/2006/relationships" ref="N1150" r:id="rId1154"/>
    <hyperlink xmlns:r="http://schemas.openxmlformats.org/officeDocument/2006/relationships" ref="N1151" r:id="rId1155"/>
    <hyperlink xmlns:r="http://schemas.openxmlformats.org/officeDocument/2006/relationships" ref="N1152" r:id="rId1156"/>
    <hyperlink xmlns:r="http://schemas.openxmlformats.org/officeDocument/2006/relationships" ref="N1153" r:id="rId1157"/>
    <hyperlink xmlns:r="http://schemas.openxmlformats.org/officeDocument/2006/relationships" ref="N1154" r:id="rId1158"/>
    <hyperlink xmlns:r="http://schemas.openxmlformats.org/officeDocument/2006/relationships" ref="N1155" r:id="rId1159"/>
    <hyperlink xmlns:r="http://schemas.openxmlformats.org/officeDocument/2006/relationships" ref="N1156" r:id="rId1160"/>
    <hyperlink xmlns:r="http://schemas.openxmlformats.org/officeDocument/2006/relationships" ref="N1157" r:id="rId1161"/>
    <hyperlink xmlns:r="http://schemas.openxmlformats.org/officeDocument/2006/relationships" ref="N1158" r:id="rId1162"/>
    <hyperlink xmlns:r="http://schemas.openxmlformats.org/officeDocument/2006/relationships" ref="N1159" r:id="rId1163"/>
    <hyperlink xmlns:r="http://schemas.openxmlformats.org/officeDocument/2006/relationships" ref="N1160" r:id="rId1164"/>
    <hyperlink xmlns:r="http://schemas.openxmlformats.org/officeDocument/2006/relationships" ref="N1161" r:id="rId1165"/>
    <hyperlink xmlns:r="http://schemas.openxmlformats.org/officeDocument/2006/relationships" ref="N1162" r:id="rId1166"/>
    <hyperlink xmlns:r="http://schemas.openxmlformats.org/officeDocument/2006/relationships" ref="N1163" r:id="rId1167"/>
    <hyperlink xmlns:r="http://schemas.openxmlformats.org/officeDocument/2006/relationships" ref="N1164" r:id="rId1168"/>
    <hyperlink xmlns:r="http://schemas.openxmlformats.org/officeDocument/2006/relationships" ref="N1165" r:id="rId1169"/>
    <hyperlink xmlns:r="http://schemas.openxmlformats.org/officeDocument/2006/relationships" ref="N1166" r:id="rId1170"/>
    <hyperlink xmlns:r="http://schemas.openxmlformats.org/officeDocument/2006/relationships" ref="N1167" r:id="rId1171"/>
    <hyperlink xmlns:r="http://schemas.openxmlformats.org/officeDocument/2006/relationships" ref="N1168" r:id="rId1172"/>
    <hyperlink xmlns:r="http://schemas.openxmlformats.org/officeDocument/2006/relationships" ref="N1169" r:id="rId1173"/>
    <hyperlink xmlns:r="http://schemas.openxmlformats.org/officeDocument/2006/relationships" ref="N1170" r:id="rId1174"/>
    <hyperlink xmlns:r="http://schemas.openxmlformats.org/officeDocument/2006/relationships" ref="N1171" r:id="rId1175"/>
    <hyperlink xmlns:r="http://schemas.openxmlformats.org/officeDocument/2006/relationships" ref="N1172" r:id="rId1176"/>
    <hyperlink xmlns:r="http://schemas.openxmlformats.org/officeDocument/2006/relationships" ref="N1173" r:id="rId1177"/>
    <hyperlink xmlns:r="http://schemas.openxmlformats.org/officeDocument/2006/relationships" ref="N1174" r:id="rId1178"/>
    <hyperlink xmlns:r="http://schemas.openxmlformats.org/officeDocument/2006/relationships" ref="N1175" r:id="rId1179"/>
    <hyperlink xmlns:r="http://schemas.openxmlformats.org/officeDocument/2006/relationships" ref="N1176" r:id="rId1180"/>
    <hyperlink xmlns:r="http://schemas.openxmlformats.org/officeDocument/2006/relationships" ref="N1177" r:id="rId1181"/>
    <hyperlink xmlns:r="http://schemas.openxmlformats.org/officeDocument/2006/relationships" ref="N1178" r:id="rId1182"/>
    <hyperlink xmlns:r="http://schemas.openxmlformats.org/officeDocument/2006/relationships" ref="N1179" r:id="rId1183"/>
    <hyperlink xmlns:r="http://schemas.openxmlformats.org/officeDocument/2006/relationships" ref="N1180" r:id="rId1184"/>
    <hyperlink xmlns:r="http://schemas.openxmlformats.org/officeDocument/2006/relationships" ref="N1181" r:id="rId1185"/>
    <hyperlink xmlns:r="http://schemas.openxmlformats.org/officeDocument/2006/relationships" ref="N1182" r:id="rId1186"/>
    <hyperlink xmlns:r="http://schemas.openxmlformats.org/officeDocument/2006/relationships" ref="N1183" r:id="rId1187"/>
    <hyperlink xmlns:r="http://schemas.openxmlformats.org/officeDocument/2006/relationships" ref="N1184" r:id="rId1188"/>
    <hyperlink xmlns:r="http://schemas.openxmlformats.org/officeDocument/2006/relationships" ref="N1185" r:id="rId1189"/>
    <hyperlink xmlns:r="http://schemas.openxmlformats.org/officeDocument/2006/relationships" ref="N1186" r:id="rId1190"/>
    <hyperlink xmlns:r="http://schemas.openxmlformats.org/officeDocument/2006/relationships" ref="N1187" r:id="rId1191"/>
    <hyperlink xmlns:r="http://schemas.openxmlformats.org/officeDocument/2006/relationships" ref="N1188" r:id="rId1192"/>
    <hyperlink xmlns:r="http://schemas.openxmlformats.org/officeDocument/2006/relationships" ref="N1189" r:id="rId1193"/>
    <hyperlink xmlns:r="http://schemas.openxmlformats.org/officeDocument/2006/relationships" ref="N1190" r:id="rId1194"/>
    <hyperlink xmlns:r="http://schemas.openxmlformats.org/officeDocument/2006/relationships" ref="N1191" r:id="rId1195"/>
    <hyperlink xmlns:r="http://schemas.openxmlformats.org/officeDocument/2006/relationships" ref="N1192" r:id="rId1196"/>
    <hyperlink xmlns:r="http://schemas.openxmlformats.org/officeDocument/2006/relationships" ref="N1193" r:id="rId1197"/>
    <hyperlink xmlns:r="http://schemas.openxmlformats.org/officeDocument/2006/relationships" ref="N1194" r:id="rId1198"/>
    <hyperlink xmlns:r="http://schemas.openxmlformats.org/officeDocument/2006/relationships" ref="N1195" r:id="rId1199"/>
    <hyperlink xmlns:r="http://schemas.openxmlformats.org/officeDocument/2006/relationships" ref="N1196" r:id="rId1200"/>
    <hyperlink xmlns:r="http://schemas.openxmlformats.org/officeDocument/2006/relationships" ref="N1197" r:id="rId1201"/>
    <hyperlink xmlns:r="http://schemas.openxmlformats.org/officeDocument/2006/relationships" ref="N1198" r:id="rId1202"/>
    <hyperlink xmlns:r="http://schemas.openxmlformats.org/officeDocument/2006/relationships" ref="N1199" r:id="rId1203"/>
    <hyperlink xmlns:r="http://schemas.openxmlformats.org/officeDocument/2006/relationships" ref="N1200" r:id="rId1204"/>
    <hyperlink xmlns:r="http://schemas.openxmlformats.org/officeDocument/2006/relationships" ref="N1201" r:id="rId1205"/>
    <hyperlink xmlns:r="http://schemas.openxmlformats.org/officeDocument/2006/relationships" ref="N1202" r:id="rId1206"/>
    <hyperlink xmlns:r="http://schemas.openxmlformats.org/officeDocument/2006/relationships" ref="N1203" r:id="rId1207"/>
    <hyperlink xmlns:r="http://schemas.openxmlformats.org/officeDocument/2006/relationships" ref="N1204" r:id="rId1208"/>
    <hyperlink xmlns:r="http://schemas.openxmlformats.org/officeDocument/2006/relationships" ref="N1205" r:id="rId1209"/>
    <hyperlink xmlns:r="http://schemas.openxmlformats.org/officeDocument/2006/relationships" ref="N1206" r:id="rId1210"/>
    <hyperlink xmlns:r="http://schemas.openxmlformats.org/officeDocument/2006/relationships" ref="N1207" r:id="rId1211"/>
    <hyperlink xmlns:r="http://schemas.openxmlformats.org/officeDocument/2006/relationships" ref="N1208" r:id="rId1212"/>
    <hyperlink xmlns:r="http://schemas.openxmlformats.org/officeDocument/2006/relationships" ref="N1209" r:id="rId1213"/>
    <hyperlink xmlns:r="http://schemas.openxmlformats.org/officeDocument/2006/relationships" ref="N1210" r:id="rId1214"/>
    <hyperlink xmlns:r="http://schemas.openxmlformats.org/officeDocument/2006/relationships" ref="N1211" r:id="rId1215"/>
    <hyperlink xmlns:r="http://schemas.openxmlformats.org/officeDocument/2006/relationships" ref="N1212" r:id="rId1216"/>
    <hyperlink xmlns:r="http://schemas.openxmlformats.org/officeDocument/2006/relationships" ref="N1213" r:id="rId1217"/>
    <hyperlink xmlns:r="http://schemas.openxmlformats.org/officeDocument/2006/relationships" ref="N1214" r:id="rId1218"/>
    <hyperlink xmlns:r="http://schemas.openxmlformats.org/officeDocument/2006/relationships" ref="N1215" r:id="rId1219"/>
    <hyperlink xmlns:r="http://schemas.openxmlformats.org/officeDocument/2006/relationships" ref="N1216" r:id="rId1220"/>
    <hyperlink xmlns:r="http://schemas.openxmlformats.org/officeDocument/2006/relationships" ref="N1217" r:id="rId1221"/>
    <hyperlink xmlns:r="http://schemas.openxmlformats.org/officeDocument/2006/relationships" ref="N1218" r:id="rId1222"/>
    <hyperlink xmlns:r="http://schemas.openxmlformats.org/officeDocument/2006/relationships" ref="N1219" r:id="rId1223"/>
    <hyperlink xmlns:r="http://schemas.openxmlformats.org/officeDocument/2006/relationships" ref="N1220" r:id="rId1224"/>
    <hyperlink xmlns:r="http://schemas.openxmlformats.org/officeDocument/2006/relationships" ref="N1221" r:id="rId1225"/>
    <hyperlink xmlns:r="http://schemas.openxmlformats.org/officeDocument/2006/relationships" ref="N1222" r:id="rId1226"/>
    <hyperlink xmlns:r="http://schemas.openxmlformats.org/officeDocument/2006/relationships" ref="N1223" r:id="rId1227"/>
    <hyperlink xmlns:r="http://schemas.openxmlformats.org/officeDocument/2006/relationships" ref="N1224" r:id="rId1228"/>
    <hyperlink xmlns:r="http://schemas.openxmlformats.org/officeDocument/2006/relationships" ref="N1225" r:id="rId1229"/>
    <hyperlink xmlns:r="http://schemas.openxmlformats.org/officeDocument/2006/relationships" ref="N1226" r:id="rId1230"/>
    <hyperlink xmlns:r="http://schemas.openxmlformats.org/officeDocument/2006/relationships" ref="N1227" r:id="rId1231"/>
    <hyperlink xmlns:r="http://schemas.openxmlformats.org/officeDocument/2006/relationships" ref="N1228" r:id="rId1232"/>
    <hyperlink xmlns:r="http://schemas.openxmlformats.org/officeDocument/2006/relationships" ref="N1229" r:id="rId1233"/>
    <hyperlink xmlns:r="http://schemas.openxmlformats.org/officeDocument/2006/relationships" ref="N1230" r:id="rId1234"/>
    <hyperlink xmlns:r="http://schemas.openxmlformats.org/officeDocument/2006/relationships" ref="N1231" r:id="rId1235"/>
    <hyperlink xmlns:r="http://schemas.openxmlformats.org/officeDocument/2006/relationships" ref="N1232" r:id="rId1236"/>
    <hyperlink xmlns:r="http://schemas.openxmlformats.org/officeDocument/2006/relationships" ref="N1233" r:id="rId1237"/>
    <hyperlink xmlns:r="http://schemas.openxmlformats.org/officeDocument/2006/relationships" ref="N1234" r:id="rId1238"/>
    <hyperlink xmlns:r="http://schemas.openxmlformats.org/officeDocument/2006/relationships" ref="N1235" r:id="rId1239"/>
    <hyperlink xmlns:r="http://schemas.openxmlformats.org/officeDocument/2006/relationships" ref="N1236" r:id="rId1240"/>
    <hyperlink xmlns:r="http://schemas.openxmlformats.org/officeDocument/2006/relationships" ref="N1237" r:id="rId1241"/>
    <hyperlink xmlns:r="http://schemas.openxmlformats.org/officeDocument/2006/relationships" ref="N1238" r:id="rId1242"/>
    <hyperlink xmlns:r="http://schemas.openxmlformats.org/officeDocument/2006/relationships" ref="N1239" r:id="rId1243"/>
    <hyperlink xmlns:r="http://schemas.openxmlformats.org/officeDocument/2006/relationships" ref="N1240" r:id="rId1244"/>
    <hyperlink xmlns:r="http://schemas.openxmlformats.org/officeDocument/2006/relationships" ref="N1241" r:id="rId1245"/>
    <hyperlink xmlns:r="http://schemas.openxmlformats.org/officeDocument/2006/relationships" ref="N1242" r:id="rId1246"/>
    <hyperlink xmlns:r="http://schemas.openxmlformats.org/officeDocument/2006/relationships" ref="N1243" r:id="rId1247"/>
    <hyperlink xmlns:r="http://schemas.openxmlformats.org/officeDocument/2006/relationships" ref="N1244" r:id="rId1248"/>
    <hyperlink xmlns:r="http://schemas.openxmlformats.org/officeDocument/2006/relationships" ref="N1245" r:id="rId1249"/>
    <hyperlink xmlns:r="http://schemas.openxmlformats.org/officeDocument/2006/relationships" ref="N1246" r:id="rId1250"/>
    <hyperlink xmlns:r="http://schemas.openxmlformats.org/officeDocument/2006/relationships" ref="N1247" r:id="rId1251"/>
    <hyperlink xmlns:r="http://schemas.openxmlformats.org/officeDocument/2006/relationships" ref="N1248" r:id="rId1252"/>
    <hyperlink xmlns:r="http://schemas.openxmlformats.org/officeDocument/2006/relationships" ref="N1249" r:id="rId1253"/>
    <hyperlink xmlns:r="http://schemas.openxmlformats.org/officeDocument/2006/relationships" ref="N1250" r:id="rId1254"/>
    <hyperlink xmlns:r="http://schemas.openxmlformats.org/officeDocument/2006/relationships" ref="N1251" r:id="rId1255"/>
    <hyperlink xmlns:r="http://schemas.openxmlformats.org/officeDocument/2006/relationships" ref="N1252" r:id="rId1256"/>
    <hyperlink xmlns:r="http://schemas.openxmlformats.org/officeDocument/2006/relationships" ref="N1253" r:id="rId1257"/>
    <hyperlink xmlns:r="http://schemas.openxmlformats.org/officeDocument/2006/relationships" ref="N1254" r:id="rId1258"/>
    <hyperlink xmlns:r="http://schemas.openxmlformats.org/officeDocument/2006/relationships" ref="N1255" r:id="rId1259"/>
    <hyperlink xmlns:r="http://schemas.openxmlformats.org/officeDocument/2006/relationships" ref="N1256" r:id="rId1260"/>
    <hyperlink xmlns:r="http://schemas.openxmlformats.org/officeDocument/2006/relationships" ref="N1257" r:id="rId1261"/>
    <hyperlink xmlns:r="http://schemas.openxmlformats.org/officeDocument/2006/relationships" ref="N1258" r:id="rId1262"/>
    <hyperlink xmlns:r="http://schemas.openxmlformats.org/officeDocument/2006/relationships" ref="N1259" r:id="rId1263"/>
    <hyperlink xmlns:r="http://schemas.openxmlformats.org/officeDocument/2006/relationships" ref="N1260" r:id="rId1264"/>
    <hyperlink xmlns:r="http://schemas.openxmlformats.org/officeDocument/2006/relationships" ref="N1261" r:id="rId1265"/>
    <hyperlink xmlns:r="http://schemas.openxmlformats.org/officeDocument/2006/relationships" ref="N1262" r:id="rId1266"/>
    <hyperlink xmlns:r="http://schemas.openxmlformats.org/officeDocument/2006/relationships" ref="N1263" r:id="rId1267"/>
    <hyperlink xmlns:r="http://schemas.openxmlformats.org/officeDocument/2006/relationships" ref="N1264" r:id="rId1268"/>
    <hyperlink xmlns:r="http://schemas.openxmlformats.org/officeDocument/2006/relationships" ref="N1265" r:id="rId1269"/>
    <hyperlink xmlns:r="http://schemas.openxmlformats.org/officeDocument/2006/relationships" ref="N1266" r:id="rId1270"/>
    <hyperlink xmlns:r="http://schemas.openxmlformats.org/officeDocument/2006/relationships" ref="N1267" r:id="rId1271"/>
    <hyperlink xmlns:r="http://schemas.openxmlformats.org/officeDocument/2006/relationships" ref="N1268" r:id="rId1272"/>
    <hyperlink xmlns:r="http://schemas.openxmlformats.org/officeDocument/2006/relationships" ref="N1269" r:id="rId1273"/>
    <hyperlink xmlns:r="http://schemas.openxmlformats.org/officeDocument/2006/relationships" ref="N1270" r:id="rId1274"/>
    <hyperlink xmlns:r="http://schemas.openxmlformats.org/officeDocument/2006/relationships" ref="N1271" r:id="rId1275"/>
    <hyperlink xmlns:r="http://schemas.openxmlformats.org/officeDocument/2006/relationships" ref="N1272" r:id="rId1276"/>
    <hyperlink xmlns:r="http://schemas.openxmlformats.org/officeDocument/2006/relationships" ref="N1273" r:id="rId1277"/>
    <hyperlink xmlns:r="http://schemas.openxmlformats.org/officeDocument/2006/relationships" ref="N1274" r:id="rId1278"/>
    <hyperlink xmlns:r="http://schemas.openxmlformats.org/officeDocument/2006/relationships" ref="N1275" r:id="rId1279"/>
    <hyperlink xmlns:r="http://schemas.openxmlformats.org/officeDocument/2006/relationships" ref="N1276" r:id="rId1280"/>
    <hyperlink xmlns:r="http://schemas.openxmlformats.org/officeDocument/2006/relationships" ref="N1277" r:id="rId1281"/>
    <hyperlink xmlns:r="http://schemas.openxmlformats.org/officeDocument/2006/relationships" ref="N1278" r:id="rId1282"/>
    <hyperlink xmlns:r="http://schemas.openxmlformats.org/officeDocument/2006/relationships" ref="N1279" r:id="rId1283"/>
    <hyperlink xmlns:r="http://schemas.openxmlformats.org/officeDocument/2006/relationships" ref="N1280" r:id="rId1284"/>
    <hyperlink xmlns:r="http://schemas.openxmlformats.org/officeDocument/2006/relationships" ref="N1281" r:id="rId1285"/>
    <hyperlink xmlns:r="http://schemas.openxmlformats.org/officeDocument/2006/relationships" ref="N1282" r:id="rId1286"/>
    <hyperlink xmlns:r="http://schemas.openxmlformats.org/officeDocument/2006/relationships" ref="N1283" r:id="rId1287"/>
    <hyperlink xmlns:r="http://schemas.openxmlformats.org/officeDocument/2006/relationships" ref="N1284" r:id="rId1288"/>
    <hyperlink xmlns:r="http://schemas.openxmlformats.org/officeDocument/2006/relationships" ref="N1285" r:id="rId1289"/>
    <hyperlink xmlns:r="http://schemas.openxmlformats.org/officeDocument/2006/relationships" ref="N1286" r:id="rId1290"/>
    <hyperlink xmlns:r="http://schemas.openxmlformats.org/officeDocument/2006/relationships" ref="N1287" r:id="rId1291"/>
    <hyperlink xmlns:r="http://schemas.openxmlformats.org/officeDocument/2006/relationships" ref="N1288" r:id="rId1292"/>
    <hyperlink xmlns:r="http://schemas.openxmlformats.org/officeDocument/2006/relationships" ref="N1289" r:id="rId1293"/>
    <hyperlink xmlns:r="http://schemas.openxmlformats.org/officeDocument/2006/relationships" ref="N1290" r:id="rId1294"/>
    <hyperlink xmlns:r="http://schemas.openxmlformats.org/officeDocument/2006/relationships" ref="N1291" r:id="rId1295"/>
    <hyperlink xmlns:r="http://schemas.openxmlformats.org/officeDocument/2006/relationships" ref="N1292" r:id="rId1296"/>
    <hyperlink xmlns:r="http://schemas.openxmlformats.org/officeDocument/2006/relationships" ref="N1293" r:id="rId1297"/>
    <hyperlink xmlns:r="http://schemas.openxmlformats.org/officeDocument/2006/relationships" ref="N1294" r:id="rId1298"/>
    <hyperlink xmlns:r="http://schemas.openxmlformats.org/officeDocument/2006/relationships" ref="N1295" r:id="rId1299"/>
    <hyperlink xmlns:r="http://schemas.openxmlformats.org/officeDocument/2006/relationships" ref="N1296" r:id="rId1300"/>
    <hyperlink xmlns:r="http://schemas.openxmlformats.org/officeDocument/2006/relationships" ref="N1297" r:id="rId1301"/>
    <hyperlink xmlns:r="http://schemas.openxmlformats.org/officeDocument/2006/relationships" ref="N1298" r:id="rId1302"/>
    <hyperlink xmlns:r="http://schemas.openxmlformats.org/officeDocument/2006/relationships" ref="N1299" r:id="rId1303"/>
    <hyperlink xmlns:r="http://schemas.openxmlformats.org/officeDocument/2006/relationships" ref="N1300" r:id="rId1304"/>
    <hyperlink xmlns:r="http://schemas.openxmlformats.org/officeDocument/2006/relationships" ref="N1301" r:id="rId1305"/>
    <hyperlink xmlns:r="http://schemas.openxmlformats.org/officeDocument/2006/relationships" ref="N1302" r:id="rId1306"/>
    <hyperlink xmlns:r="http://schemas.openxmlformats.org/officeDocument/2006/relationships" ref="N1303" r:id="rId1307"/>
    <hyperlink xmlns:r="http://schemas.openxmlformats.org/officeDocument/2006/relationships" ref="N1304" r:id="rId1308"/>
    <hyperlink xmlns:r="http://schemas.openxmlformats.org/officeDocument/2006/relationships" ref="N1305" r:id="rId1309"/>
    <hyperlink xmlns:r="http://schemas.openxmlformats.org/officeDocument/2006/relationships" ref="N1306" r:id="rId1310"/>
    <hyperlink xmlns:r="http://schemas.openxmlformats.org/officeDocument/2006/relationships" ref="N1307" r:id="rId1311"/>
    <hyperlink xmlns:r="http://schemas.openxmlformats.org/officeDocument/2006/relationships" ref="N1308" r:id="rId1312"/>
    <hyperlink xmlns:r="http://schemas.openxmlformats.org/officeDocument/2006/relationships" ref="N1309" r:id="rId1313"/>
    <hyperlink xmlns:r="http://schemas.openxmlformats.org/officeDocument/2006/relationships" ref="N1310" r:id="rId1314"/>
    <hyperlink xmlns:r="http://schemas.openxmlformats.org/officeDocument/2006/relationships" ref="N1311" r:id="rId1315"/>
    <hyperlink xmlns:r="http://schemas.openxmlformats.org/officeDocument/2006/relationships" ref="N1312" r:id="rId1316"/>
    <hyperlink xmlns:r="http://schemas.openxmlformats.org/officeDocument/2006/relationships" ref="N1313" r:id="rId1317"/>
    <hyperlink xmlns:r="http://schemas.openxmlformats.org/officeDocument/2006/relationships" ref="N1314" r:id="rId1318"/>
    <hyperlink xmlns:r="http://schemas.openxmlformats.org/officeDocument/2006/relationships" ref="N1315" r:id="rId1319"/>
    <hyperlink xmlns:r="http://schemas.openxmlformats.org/officeDocument/2006/relationships" ref="N1316" r:id="rId1320"/>
    <hyperlink xmlns:r="http://schemas.openxmlformats.org/officeDocument/2006/relationships" ref="N1317" r:id="rId1321"/>
    <hyperlink xmlns:r="http://schemas.openxmlformats.org/officeDocument/2006/relationships" ref="N1318" r:id="rId1322"/>
    <hyperlink xmlns:r="http://schemas.openxmlformats.org/officeDocument/2006/relationships" ref="N1319" r:id="rId1323"/>
    <hyperlink xmlns:r="http://schemas.openxmlformats.org/officeDocument/2006/relationships" ref="N1320" r:id="rId1324"/>
    <hyperlink xmlns:r="http://schemas.openxmlformats.org/officeDocument/2006/relationships" ref="N1321" r:id="rId1325"/>
    <hyperlink xmlns:r="http://schemas.openxmlformats.org/officeDocument/2006/relationships" ref="N1322" r:id="rId1326"/>
    <hyperlink xmlns:r="http://schemas.openxmlformats.org/officeDocument/2006/relationships" ref="N1323" r:id="rId1327"/>
    <hyperlink xmlns:r="http://schemas.openxmlformats.org/officeDocument/2006/relationships" ref="N1324" r:id="rId1328"/>
    <hyperlink xmlns:r="http://schemas.openxmlformats.org/officeDocument/2006/relationships" ref="N1325" r:id="rId1329"/>
    <hyperlink xmlns:r="http://schemas.openxmlformats.org/officeDocument/2006/relationships" ref="N1326" r:id="rId1330"/>
    <hyperlink xmlns:r="http://schemas.openxmlformats.org/officeDocument/2006/relationships" ref="N1327" r:id="rId1331"/>
    <hyperlink xmlns:r="http://schemas.openxmlformats.org/officeDocument/2006/relationships" ref="N1328" r:id="rId1332"/>
    <hyperlink xmlns:r="http://schemas.openxmlformats.org/officeDocument/2006/relationships" ref="N1329" r:id="rId1333"/>
    <hyperlink xmlns:r="http://schemas.openxmlformats.org/officeDocument/2006/relationships" ref="N1330" r:id="rId1334"/>
    <hyperlink xmlns:r="http://schemas.openxmlformats.org/officeDocument/2006/relationships" ref="N1331" r:id="rId1335"/>
    <hyperlink xmlns:r="http://schemas.openxmlformats.org/officeDocument/2006/relationships" ref="N1332" r:id="rId1336"/>
    <hyperlink xmlns:r="http://schemas.openxmlformats.org/officeDocument/2006/relationships" ref="N1333" r:id="rId1337"/>
    <hyperlink xmlns:r="http://schemas.openxmlformats.org/officeDocument/2006/relationships" ref="N1334" r:id="rId1338"/>
    <hyperlink xmlns:r="http://schemas.openxmlformats.org/officeDocument/2006/relationships" ref="N1335" r:id="rId1339"/>
    <hyperlink xmlns:r="http://schemas.openxmlformats.org/officeDocument/2006/relationships" ref="N1336" r:id="rId1340"/>
    <hyperlink xmlns:r="http://schemas.openxmlformats.org/officeDocument/2006/relationships" ref="N1337" r:id="rId1341"/>
    <hyperlink xmlns:r="http://schemas.openxmlformats.org/officeDocument/2006/relationships" ref="N1338" r:id="rId1342"/>
    <hyperlink xmlns:r="http://schemas.openxmlformats.org/officeDocument/2006/relationships" ref="N1339" r:id="rId1343"/>
    <hyperlink xmlns:r="http://schemas.openxmlformats.org/officeDocument/2006/relationships" ref="N1340" r:id="rId1344"/>
    <hyperlink xmlns:r="http://schemas.openxmlformats.org/officeDocument/2006/relationships" ref="N1341" r:id="rId1345"/>
    <hyperlink xmlns:r="http://schemas.openxmlformats.org/officeDocument/2006/relationships" ref="N1342" r:id="rId1346"/>
    <hyperlink xmlns:r="http://schemas.openxmlformats.org/officeDocument/2006/relationships" ref="N1343" r:id="rId1347"/>
    <hyperlink xmlns:r="http://schemas.openxmlformats.org/officeDocument/2006/relationships" ref="N1344" r:id="rId1348"/>
    <hyperlink xmlns:r="http://schemas.openxmlformats.org/officeDocument/2006/relationships" ref="N1345" r:id="rId1349"/>
    <hyperlink xmlns:r="http://schemas.openxmlformats.org/officeDocument/2006/relationships" ref="N1346" r:id="rId1350"/>
    <hyperlink xmlns:r="http://schemas.openxmlformats.org/officeDocument/2006/relationships" ref="N1347" r:id="rId1351"/>
    <hyperlink xmlns:r="http://schemas.openxmlformats.org/officeDocument/2006/relationships" ref="N1348" r:id="rId1352"/>
    <hyperlink xmlns:r="http://schemas.openxmlformats.org/officeDocument/2006/relationships" ref="N1349" r:id="rId1353"/>
    <hyperlink xmlns:r="http://schemas.openxmlformats.org/officeDocument/2006/relationships" ref="N1350" r:id="rId1354"/>
    <hyperlink xmlns:r="http://schemas.openxmlformats.org/officeDocument/2006/relationships" ref="N1351" r:id="rId1355"/>
    <hyperlink xmlns:r="http://schemas.openxmlformats.org/officeDocument/2006/relationships" ref="N1352" r:id="rId1356"/>
    <hyperlink xmlns:r="http://schemas.openxmlformats.org/officeDocument/2006/relationships" ref="N1353" r:id="rId1357"/>
    <hyperlink xmlns:r="http://schemas.openxmlformats.org/officeDocument/2006/relationships" ref="N1354" r:id="rId1358"/>
    <hyperlink xmlns:r="http://schemas.openxmlformats.org/officeDocument/2006/relationships" ref="N1355" r:id="rId1359"/>
    <hyperlink xmlns:r="http://schemas.openxmlformats.org/officeDocument/2006/relationships" ref="N1356" r:id="rId1360"/>
    <hyperlink xmlns:r="http://schemas.openxmlformats.org/officeDocument/2006/relationships" ref="N1357" r:id="rId1361"/>
    <hyperlink xmlns:r="http://schemas.openxmlformats.org/officeDocument/2006/relationships" ref="N1358" r:id="rId1362"/>
    <hyperlink xmlns:r="http://schemas.openxmlformats.org/officeDocument/2006/relationships" ref="N1359" r:id="rId1363"/>
    <hyperlink xmlns:r="http://schemas.openxmlformats.org/officeDocument/2006/relationships" ref="N1360" r:id="rId1364"/>
    <hyperlink xmlns:r="http://schemas.openxmlformats.org/officeDocument/2006/relationships" ref="N1361" r:id="rId1365"/>
    <hyperlink xmlns:r="http://schemas.openxmlformats.org/officeDocument/2006/relationships" ref="N1362" r:id="rId1366"/>
    <hyperlink xmlns:r="http://schemas.openxmlformats.org/officeDocument/2006/relationships" ref="N1363" r:id="rId1367"/>
    <hyperlink xmlns:r="http://schemas.openxmlformats.org/officeDocument/2006/relationships" ref="N1364" r:id="rId1368"/>
    <hyperlink xmlns:r="http://schemas.openxmlformats.org/officeDocument/2006/relationships" ref="N1365" r:id="rId1369"/>
    <hyperlink xmlns:r="http://schemas.openxmlformats.org/officeDocument/2006/relationships" ref="N1366" r:id="rId1370"/>
    <hyperlink xmlns:r="http://schemas.openxmlformats.org/officeDocument/2006/relationships" ref="N1367" r:id="rId1371"/>
    <hyperlink xmlns:r="http://schemas.openxmlformats.org/officeDocument/2006/relationships" ref="N1368" r:id="rId1372"/>
    <hyperlink xmlns:r="http://schemas.openxmlformats.org/officeDocument/2006/relationships" ref="N1369" r:id="rId1373"/>
    <hyperlink xmlns:r="http://schemas.openxmlformats.org/officeDocument/2006/relationships" ref="N1370" r:id="rId1374"/>
    <hyperlink xmlns:r="http://schemas.openxmlformats.org/officeDocument/2006/relationships" ref="N1371" r:id="rId1375"/>
    <hyperlink xmlns:r="http://schemas.openxmlformats.org/officeDocument/2006/relationships" ref="N1372" r:id="rId1376"/>
    <hyperlink xmlns:r="http://schemas.openxmlformats.org/officeDocument/2006/relationships" ref="N1373" r:id="rId1377"/>
    <hyperlink xmlns:r="http://schemas.openxmlformats.org/officeDocument/2006/relationships" ref="N1374" r:id="rId1378"/>
    <hyperlink xmlns:r="http://schemas.openxmlformats.org/officeDocument/2006/relationships" ref="N1375" r:id="rId1379"/>
    <hyperlink xmlns:r="http://schemas.openxmlformats.org/officeDocument/2006/relationships" ref="N1376" r:id="rId1380"/>
    <hyperlink xmlns:r="http://schemas.openxmlformats.org/officeDocument/2006/relationships" ref="N1377" r:id="rId1381"/>
    <hyperlink xmlns:r="http://schemas.openxmlformats.org/officeDocument/2006/relationships" ref="N1378" r:id="rId1382"/>
    <hyperlink xmlns:r="http://schemas.openxmlformats.org/officeDocument/2006/relationships" ref="N1379" r:id="rId1383"/>
    <hyperlink xmlns:r="http://schemas.openxmlformats.org/officeDocument/2006/relationships" ref="N1380" r:id="rId1384"/>
    <hyperlink xmlns:r="http://schemas.openxmlformats.org/officeDocument/2006/relationships" ref="N1381" r:id="rId1385"/>
    <hyperlink xmlns:r="http://schemas.openxmlformats.org/officeDocument/2006/relationships" ref="N1382" r:id="rId1386"/>
    <hyperlink xmlns:r="http://schemas.openxmlformats.org/officeDocument/2006/relationships" ref="N1383" r:id="rId1387"/>
    <hyperlink xmlns:r="http://schemas.openxmlformats.org/officeDocument/2006/relationships" ref="N1384" r:id="rId1388"/>
    <hyperlink xmlns:r="http://schemas.openxmlformats.org/officeDocument/2006/relationships" ref="N1385" r:id="rId1389"/>
    <hyperlink xmlns:r="http://schemas.openxmlformats.org/officeDocument/2006/relationships" ref="N1386" r:id="rId1390"/>
    <hyperlink xmlns:r="http://schemas.openxmlformats.org/officeDocument/2006/relationships" ref="N1387" r:id="rId1391"/>
    <hyperlink xmlns:r="http://schemas.openxmlformats.org/officeDocument/2006/relationships" ref="N1388" r:id="rId1392"/>
    <hyperlink xmlns:r="http://schemas.openxmlformats.org/officeDocument/2006/relationships" ref="N1389" r:id="rId1393"/>
    <hyperlink xmlns:r="http://schemas.openxmlformats.org/officeDocument/2006/relationships" ref="N1390" r:id="rId1394"/>
    <hyperlink xmlns:r="http://schemas.openxmlformats.org/officeDocument/2006/relationships" ref="N1391" r:id="rId1395"/>
    <hyperlink xmlns:r="http://schemas.openxmlformats.org/officeDocument/2006/relationships" ref="N1392" r:id="rId1396"/>
    <hyperlink xmlns:r="http://schemas.openxmlformats.org/officeDocument/2006/relationships" ref="N1393" r:id="rId1397"/>
    <hyperlink xmlns:r="http://schemas.openxmlformats.org/officeDocument/2006/relationships" ref="N1394" r:id="rId1398"/>
    <hyperlink xmlns:r="http://schemas.openxmlformats.org/officeDocument/2006/relationships" ref="N1395" r:id="rId1399"/>
    <hyperlink xmlns:r="http://schemas.openxmlformats.org/officeDocument/2006/relationships" ref="N1396" r:id="rId1400"/>
    <hyperlink xmlns:r="http://schemas.openxmlformats.org/officeDocument/2006/relationships" ref="N1397" r:id="rId1401"/>
    <hyperlink xmlns:r="http://schemas.openxmlformats.org/officeDocument/2006/relationships" ref="N1398" r:id="rId1402"/>
    <hyperlink xmlns:r="http://schemas.openxmlformats.org/officeDocument/2006/relationships" ref="N1399" r:id="rId1403"/>
    <hyperlink xmlns:r="http://schemas.openxmlformats.org/officeDocument/2006/relationships" ref="N1400" r:id="rId1404"/>
    <hyperlink xmlns:r="http://schemas.openxmlformats.org/officeDocument/2006/relationships" ref="N1401" r:id="rId1405"/>
    <hyperlink xmlns:r="http://schemas.openxmlformats.org/officeDocument/2006/relationships" ref="N1402" r:id="rId1406"/>
    <hyperlink xmlns:r="http://schemas.openxmlformats.org/officeDocument/2006/relationships" ref="N1403" r:id="rId1407"/>
    <hyperlink xmlns:r="http://schemas.openxmlformats.org/officeDocument/2006/relationships" ref="N1404" r:id="rId1408"/>
    <hyperlink xmlns:r="http://schemas.openxmlformats.org/officeDocument/2006/relationships" ref="N1405" r:id="rId1409"/>
    <hyperlink xmlns:r="http://schemas.openxmlformats.org/officeDocument/2006/relationships" ref="N1406" r:id="rId1410"/>
    <hyperlink xmlns:r="http://schemas.openxmlformats.org/officeDocument/2006/relationships" ref="N1407" r:id="rId1411"/>
    <hyperlink xmlns:r="http://schemas.openxmlformats.org/officeDocument/2006/relationships" ref="N1408" r:id="rId1412"/>
    <hyperlink xmlns:r="http://schemas.openxmlformats.org/officeDocument/2006/relationships" ref="N1409" r:id="rId1413"/>
    <hyperlink xmlns:r="http://schemas.openxmlformats.org/officeDocument/2006/relationships" ref="N1410" r:id="rId1414"/>
    <hyperlink xmlns:r="http://schemas.openxmlformats.org/officeDocument/2006/relationships" ref="N1411" r:id="rId1415"/>
    <hyperlink xmlns:r="http://schemas.openxmlformats.org/officeDocument/2006/relationships" ref="N1412" r:id="rId1416"/>
    <hyperlink xmlns:r="http://schemas.openxmlformats.org/officeDocument/2006/relationships" ref="N1413" r:id="rId1417"/>
    <hyperlink xmlns:r="http://schemas.openxmlformats.org/officeDocument/2006/relationships" ref="N1414" r:id="rId1418"/>
    <hyperlink xmlns:r="http://schemas.openxmlformats.org/officeDocument/2006/relationships" ref="N1415" r:id="rId1419"/>
    <hyperlink xmlns:r="http://schemas.openxmlformats.org/officeDocument/2006/relationships" ref="N1416" r:id="rId1420"/>
    <hyperlink xmlns:r="http://schemas.openxmlformats.org/officeDocument/2006/relationships" ref="N1417" r:id="rId1421"/>
    <hyperlink xmlns:r="http://schemas.openxmlformats.org/officeDocument/2006/relationships" ref="N1418" r:id="rId1422"/>
    <hyperlink xmlns:r="http://schemas.openxmlformats.org/officeDocument/2006/relationships" ref="N1419" r:id="rId1423"/>
    <hyperlink xmlns:r="http://schemas.openxmlformats.org/officeDocument/2006/relationships" ref="N1420" r:id="rId1424"/>
    <hyperlink xmlns:r="http://schemas.openxmlformats.org/officeDocument/2006/relationships" ref="N1421" r:id="rId1425"/>
    <hyperlink xmlns:r="http://schemas.openxmlformats.org/officeDocument/2006/relationships" ref="N1422" r:id="rId1426"/>
    <hyperlink xmlns:r="http://schemas.openxmlformats.org/officeDocument/2006/relationships" ref="N1423" r:id="rId1427"/>
    <hyperlink xmlns:r="http://schemas.openxmlformats.org/officeDocument/2006/relationships" ref="N1424" r:id="rId1428"/>
    <hyperlink xmlns:r="http://schemas.openxmlformats.org/officeDocument/2006/relationships" ref="N1425" r:id="rId1429"/>
    <hyperlink xmlns:r="http://schemas.openxmlformats.org/officeDocument/2006/relationships" ref="N1426" r:id="rId1430"/>
    <hyperlink xmlns:r="http://schemas.openxmlformats.org/officeDocument/2006/relationships" ref="N1427" r:id="rId1431"/>
    <hyperlink xmlns:r="http://schemas.openxmlformats.org/officeDocument/2006/relationships" ref="N1428" r:id="rId1432"/>
    <hyperlink xmlns:r="http://schemas.openxmlformats.org/officeDocument/2006/relationships" ref="N1429" r:id="rId1433"/>
    <hyperlink xmlns:r="http://schemas.openxmlformats.org/officeDocument/2006/relationships" ref="N1430" r:id="rId1434"/>
    <hyperlink xmlns:r="http://schemas.openxmlformats.org/officeDocument/2006/relationships" ref="N1431" r:id="rId1435"/>
    <hyperlink xmlns:r="http://schemas.openxmlformats.org/officeDocument/2006/relationships" ref="N1432" r:id="rId1436"/>
    <hyperlink xmlns:r="http://schemas.openxmlformats.org/officeDocument/2006/relationships" ref="N1433" r:id="rId1437"/>
    <hyperlink xmlns:r="http://schemas.openxmlformats.org/officeDocument/2006/relationships" ref="N1434" r:id="rId1438"/>
    <hyperlink xmlns:r="http://schemas.openxmlformats.org/officeDocument/2006/relationships" ref="N1435" r:id="rId1439"/>
    <hyperlink xmlns:r="http://schemas.openxmlformats.org/officeDocument/2006/relationships" ref="N1436" r:id="rId1440"/>
    <hyperlink xmlns:r="http://schemas.openxmlformats.org/officeDocument/2006/relationships" ref="N1437" r:id="rId1441"/>
    <hyperlink xmlns:r="http://schemas.openxmlformats.org/officeDocument/2006/relationships" ref="N1438" r:id="rId1442"/>
    <hyperlink xmlns:r="http://schemas.openxmlformats.org/officeDocument/2006/relationships" ref="N1439" r:id="rId1443"/>
    <hyperlink xmlns:r="http://schemas.openxmlformats.org/officeDocument/2006/relationships" ref="N1440" r:id="rId1444"/>
    <hyperlink xmlns:r="http://schemas.openxmlformats.org/officeDocument/2006/relationships" ref="N1441" r:id="rId1445"/>
    <hyperlink xmlns:r="http://schemas.openxmlformats.org/officeDocument/2006/relationships" ref="N1442" r:id="rId1446"/>
    <hyperlink xmlns:r="http://schemas.openxmlformats.org/officeDocument/2006/relationships" ref="N1443" r:id="rId1447"/>
    <hyperlink xmlns:r="http://schemas.openxmlformats.org/officeDocument/2006/relationships" ref="N1444" r:id="rId1448"/>
    <hyperlink xmlns:r="http://schemas.openxmlformats.org/officeDocument/2006/relationships" ref="N1445" r:id="rId1449"/>
    <hyperlink xmlns:r="http://schemas.openxmlformats.org/officeDocument/2006/relationships" ref="N1446" r:id="rId1450"/>
    <hyperlink xmlns:r="http://schemas.openxmlformats.org/officeDocument/2006/relationships" ref="N1447" r:id="rId1451"/>
    <hyperlink xmlns:r="http://schemas.openxmlformats.org/officeDocument/2006/relationships" ref="N1448" r:id="rId1452"/>
    <hyperlink xmlns:r="http://schemas.openxmlformats.org/officeDocument/2006/relationships" ref="N1449" r:id="rId1453"/>
    <hyperlink xmlns:r="http://schemas.openxmlformats.org/officeDocument/2006/relationships" ref="N1450" r:id="rId1454"/>
    <hyperlink xmlns:r="http://schemas.openxmlformats.org/officeDocument/2006/relationships" ref="N1451" r:id="rId1455"/>
    <hyperlink xmlns:r="http://schemas.openxmlformats.org/officeDocument/2006/relationships" ref="N1452" r:id="rId1456"/>
    <hyperlink xmlns:r="http://schemas.openxmlformats.org/officeDocument/2006/relationships" ref="N1453" r:id="rId1457"/>
    <hyperlink xmlns:r="http://schemas.openxmlformats.org/officeDocument/2006/relationships" ref="N1454" r:id="rId1458"/>
    <hyperlink xmlns:r="http://schemas.openxmlformats.org/officeDocument/2006/relationships" ref="N1455" r:id="rId1459"/>
    <hyperlink xmlns:r="http://schemas.openxmlformats.org/officeDocument/2006/relationships" ref="N1456" r:id="rId1460"/>
    <hyperlink xmlns:r="http://schemas.openxmlformats.org/officeDocument/2006/relationships" ref="N1457" r:id="rId1461"/>
    <hyperlink xmlns:r="http://schemas.openxmlformats.org/officeDocument/2006/relationships" ref="N1458" r:id="rId1462"/>
    <hyperlink xmlns:r="http://schemas.openxmlformats.org/officeDocument/2006/relationships" ref="N1459" r:id="rId1463"/>
    <hyperlink xmlns:r="http://schemas.openxmlformats.org/officeDocument/2006/relationships" ref="N1460" r:id="rId1464"/>
    <hyperlink xmlns:r="http://schemas.openxmlformats.org/officeDocument/2006/relationships" ref="N1461" r:id="rId1465"/>
    <hyperlink xmlns:r="http://schemas.openxmlformats.org/officeDocument/2006/relationships" ref="N1462" r:id="rId1466"/>
    <hyperlink xmlns:r="http://schemas.openxmlformats.org/officeDocument/2006/relationships" ref="N1463" r:id="rId1467"/>
    <hyperlink xmlns:r="http://schemas.openxmlformats.org/officeDocument/2006/relationships" ref="N1464" r:id="rId1468"/>
    <hyperlink xmlns:r="http://schemas.openxmlformats.org/officeDocument/2006/relationships" ref="N1465" r:id="rId1469"/>
    <hyperlink xmlns:r="http://schemas.openxmlformats.org/officeDocument/2006/relationships" ref="N1466" r:id="rId1470"/>
    <hyperlink xmlns:r="http://schemas.openxmlformats.org/officeDocument/2006/relationships" ref="N1467" r:id="rId1471"/>
    <hyperlink xmlns:r="http://schemas.openxmlformats.org/officeDocument/2006/relationships" ref="N1468" r:id="rId1472"/>
    <hyperlink xmlns:r="http://schemas.openxmlformats.org/officeDocument/2006/relationships" ref="N1469" r:id="rId1473"/>
    <hyperlink xmlns:r="http://schemas.openxmlformats.org/officeDocument/2006/relationships" ref="N1470" r:id="rId1474"/>
    <hyperlink xmlns:r="http://schemas.openxmlformats.org/officeDocument/2006/relationships" ref="N1471" r:id="rId1475"/>
    <hyperlink xmlns:r="http://schemas.openxmlformats.org/officeDocument/2006/relationships" ref="N1472" r:id="rId1476"/>
    <hyperlink xmlns:r="http://schemas.openxmlformats.org/officeDocument/2006/relationships" ref="N1473" r:id="rId1477"/>
    <hyperlink xmlns:r="http://schemas.openxmlformats.org/officeDocument/2006/relationships" ref="N1474" r:id="rId1478"/>
    <hyperlink xmlns:r="http://schemas.openxmlformats.org/officeDocument/2006/relationships" ref="N1475" r:id="rId1479"/>
    <hyperlink xmlns:r="http://schemas.openxmlformats.org/officeDocument/2006/relationships" ref="N1476" r:id="rId1480"/>
    <hyperlink xmlns:r="http://schemas.openxmlformats.org/officeDocument/2006/relationships" ref="N1477" r:id="rId1481"/>
    <hyperlink xmlns:r="http://schemas.openxmlformats.org/officeDocument/2006/relationships" ref="N1478" r:id="rId1482"/>
    <hyperlink xmlns:r="http://schemas.openxmlformats.org/officeDocument/2006/relationships" ref="N1479" r:id="rId1483"/>
    <hyperlink xmlns:r="http://schemas.openxmlformats.org/officeDocument/2006/relationships" ref="N1480" r:id="rId1484"/>
    <hyperlink xmlns:r="http://schemas.openxmlformats.org/officeDocument/2006/relationships" ref="N1481" r:id="rId1485"/>
    <hyperlink xmlns:r="http://schemas.openxmlformats.org/officeDocument/2006/relationships" ref="N1482" r:id="rId1486"/>
    <hyperlink xmlns:r="http://schemas.openxmlformats.org/officeDocument/2006/relationships" ref="N1483" r:id="rId1487"/>
    <hyperlink xmlns:r="http://schemas.openxmlformats.org/officeDocument/2006/relationships" ref="N1484" r:id="rId1488"/>
    <hyperlink xmlns:r="http://schemas.openxmlformats.org/officeDocument/2006/relationships" ref="N1485" r:id="rId1489"/>
    <hyperlink xmlns:r="http://schemas.openxmlformats.org/officeDocument/2006/relationships" ref="N1486" r:id="rId1490"/>
    <hyperlink xmlns:r="http://schemas.openxmlformats.org/officeDocument/2006/relationships" ref="N1487" r:id="rId1491"/>
    <hyperlink xmlns:r="http://schemas.openxmlformats.org/officeDocument/2006/relationships" ref="N1488" r:id="rId1492"/>
    <hyperlink xmlns:r="http://schemas.openxmlformats.org/officeDocument/2006/relationships" ref="N1489" r:id="rId1493"/>
    <hyperlink xmlns:r="http://schemas.openxmlformats.org/officeDocument/2006/relationships" ref="N1490" r:id="rId1494"/>
    <hyperlink xmlns:r="http://schemas.openxmlformats.org/officeDocument/2006/relationships" ref="N1491" r:id="rId1495"/>
    <hyperlink xmlns:r="http://schemas.openxmlformats.org/officeDocument/2006/relationships" ref="N1492" r:id="rId1496"/>
    <hyperlink xmlns:r="http://schemas.openxmlformats.org/officeDocument/2006/relationships" ref="N1493" r:id="rId1497"/>
    <hyperlink xmlns:r="http://schemas.openxmlformats.org/officeDocument/2006/relationships" ref="N1494" r:id="rId1498"/>
    <hyperlink xmlns:r="http://schemas.openxmlformats.org/officeDocument/2006/relationships" ref="N1495" r:id="rId1499"/>
    <hyperlink xmlns:r="http://schemas.openxmlformats.org/officeDocument/2006/relationships" ref="N1496" r:id="rId1500"/>
    <hyperlink xmlns:r="http://schemas.openxmlformats.org/officeDocument/2006/relationships" ref="N1497" r:id="rId1501"/>
    <hyperlink xmlns:r="http://schemas.openxmlformats.org/officeDocument/2006/relationships" ref="N1498" r:id="rId1502"/>
    <hyperlink xmlns:r="http://schemas.openxmlformats.org/officeDocument/2006/relationships" ref="N1499" r:id="rId1503"/>
    <hyperlink xmlns:r="http://schemas.openxmlformats.org/officeDocument/2006/relationships" ref="N1500" r:id="rId1504"/>
    <hyperlink xmlns:r="http://schemas.openxmlformats.org/officeDocument/2006/relationships" ref="N1501" r:id="rId1505"/>
    <hyperlink xmlns:r="http://schemas.openxmlformats.org/officeDocument/2006/relationships" ref="N1502" r:id="rId1506"/>
    <hyperlink xmlns:r="http://schemas.openxmlformats.org/officeDocument/2006/relationships" ref="N1503" r:id="rId1507"/>
    <hyperlink xmlns:r="http://schemas.openxmlformats.org/officeDocument/2006/relationships" ref="N1504" r:id="rId1508"/>
    <hyperlink xmlns:r="http://schemas.openxmlformats.org/officeDocument/2006/relationships" ref="N1505" r:id="rId1509"/>
    <hyperlink xmlns:r="http://schemas.openxmlformats.org/officeDocument/2006/relationships" ref="N1506" r:id="rId1510"/>
    <hyperlink xmlns:r="http://schemas.openxmlformats.org/officeDocument/2006/relationships" ref="N1507" r:id="rId1511"/>
    <hyperlink xmlns:r="http://schemas.openxmlformats.org/officeDocument/2006/relationships" ref="N1508" r:id="rId1512"/>
    <hyperlink xmlns:r="http://schemas.openxmlformats.org/officeDocument/2006/relationships" ref="N1509" r:id="rId1513"/>
    <hyperlink xmlns:r="http://schemas.openxmlformats.org/officeDocument/2006/relationships" ref="N1510" r:id="rId1514"/>
    <hyperlink xmlns:r="http://schemas.openxmlformats.org/officeDocument/2006/relationships" ref="N1511" r:id="rId1515"/>
    <hyperlink xmlns:r="http://schemas.openxmlformats.org/officeDocument/2006/relationships" ref="N1512" r:id="rId1516"/>
    <hyperlink xmlns:r="http://schemas.openxmlformats.org/officeDocument/2006/relationships" ref="N1513" r:id="rId1517"/>
    <hyperlink xmlns:r="http://schemas.openxmlformats.org/officeDocument/2006/relationships" ref="N1514" r:id="rId1518"/>
    <hyperlink xmlns:r="http://schemas.openxmlformats.org/officeDocument/2006/relationships" ref="N1515" r:id="rId1519"/>
    <hyperlink xmlns:r="http://schemas.openxmlformats.org/officeDocument/2006/relationships" ref="N1516" r:id="rId1520"/>
    <hyperlink xmlns:r="http://schemas.openxmlformats.org/officeDocument/2006/relationships" ref="N1517" r:id="rId1521"/>
    <hyperlink xmlns:r="http://schemas.openxmlformats.org/officeDocument/2006/relationships" ref="N1518" r:id="rId1522"/>
    <hyperlink xmlns:r="http://schemas.openxmlformats.org/officeDocument/2006/relationships" ref="N1519" r:id="rId1523"/>
    <hyperlink xmlns:r="http://schemas.openxmlformats.org/officeDocument/2006/relationships" ref="N1520" r:id="rId1524"/>
    <hyperlink xmlns:r="http://schemas.openxmlformats.org/officeDocument/2006/relationships" ref="N1521" r:id="rId1525"/>
    <hyperlink xmlns:r="http://schemas.openxmlformats.org/officeDocument/2006/relationships" ref="N1522" r:id="rId1526"/>
    <hyperlink xmlns:r="http://schemas.openxmlformats.org/officeDocument/2006/relationships" ref="N1523" r:id="rId1527"/>
    <hyperlink xmlns:r="http://schemas.openxmlformats.org/officeDocument/2006/relationships" ref="N1524" r:id="rId1528"/>
    <hyperlink xmlns:r="http://schemas.openxmlformats.org/officeDocument/2006/relationships" ref="N1525" r:id="rId1529"/>
    <hyperlink xmlns:r="http://schemas.openxmlformats.org/officeDocument/2006/relationships" ref="N1526" r:id="rId1530"/>
    <hyperlink xmlns:r="http://schemas.openxmlformats.org/officeDocument/2006/relationships" ref="N1527" r:id="rId1531"/>
    <hyperlink xmlns:r="http://schemas.openxmlformats.org/officeDocument/2006/relationships" ref="N1528" r:id="rId1532"/>
    <hyperlink xmlns:r="http://schemas.openxmlformats.org/officeDocument/2006/relationships" ref="N1529" r:id="rId1533"/>
    <hyperlink xmlns:r="http://schemas.openxmlformats.org/officeDocument/2006/relationships" ref="N1530" r:id="rId1534"/>
    <hyperlink xmlns:r="http://schemas.openxmlformats.org/officeDocument/2006/relationships" ref="N1531" r:id="rId1535"/>
    <hyperlink xmlns:r="http://schemas.openxmlformats.org/officeDocument/2006/relationships" ref="N1532" r:id="rId1536"/>
    <hyperlink xmlns:r="http://schemas.openxmlformats.org/officeDocument/2006/relationships" ref="N1533" r:id="rId1537"/>
    <hyperlink xmlns:r="http://schemas.openxmlformats.org/officeDocument/2006/relationships" ref="N1534" r:id="rId1538"/>
    <hyperlink xmlns:r="http://schemas.openxmlformats.org/officeDocument/2006/relationships" ref="N1535" r:id="rId1539"/>
    <hyperlink xmlns:r="http://schemas.openxmlformats.org/officeDocument/2006/relationships" ref="N1536" r:id="rId1540"/>
    <hyperlink xmlns:r="http://schemas.openxmlformats.org/officeDocument/2006/relationships" ref="N1537" r:id="rId1541"/>
    <hyperlink xmlns:r="http://schemas.openxmlformats.org/officeDocument/2006/relationships" ref="N1538" r:id="rId1542"/>
    <hyperlink xmlns:r="http://schemas.openxmlformats.org/officeDocument/2006/relationships" ref="N1539" r:id="rId1543"/>
    <hyperlink xmlns:r="http://schemas.openxmlformats.org/officeDocument/2006/relationships" ref="N1540" r:id="rId1544"/>
    <hyperlink xmlns:r="http://schemas.openxmlformats.org/officeDocument/2006/relationships" ref="N1541" r:id="rId1545"/>
    <hyperlink xmlns:r="http://schemas.openxmlformats.org/officeDocument/2006/relationships" ref="N1542" r:id="rId1546"/>
    <hyperlink xmlns:r="http://schemas.openxmlformats.org/officeDocument/2006/relationships" ref="N1543" r:id="rId1547"/>
    <hyperlink xmlns:r="http://schemas.openxmlformats.org/officeDocument/2006/relationships" ref="N1544" r:id="rId1548"/>
    <hyperlink xmlns:r="http://schemas.openxmlformats.org/officeDocument/2006/relationships" ref="N1545" r:id="rId1549"/>
    <hyperlink xmlns:r="http://schemas.openxmlformats.org/officeDocument/2006/relationships" ref="N1546" r:id="rId1550"/>
    <hyperlink xmlns:r="http://schemas.openxmlformats.org/officeDocument/2006/relationships" ref="N1547" r:id="rId1551"/>
    <hyperlink xmlns:r="http://schemas.openxmlformats.org/officeDocument/2006/relationships" ref="N1548" r:id="rId1552"/>
    <hyperlink xmlns:r="http://schemas.openxmlformats.org/officeDocument/2006/relationships" ref="N1549" r:id="rId1553"/>
    <hyperlink xmlns:r="http://schemas.openxmlformats.org/officeDocument/2006/relationships" ref="N1550" r:id="rId1554"/>
    <hyperlink xmlns:r="http://schemas.openxmlformats.org/officeDocument/2006/relationships" ref="N1551" r:id="rId1555"/>
    <hyperlink xmlns:r="http://schemas.openxmlformats.org/officeDocument/2006/relationships" ref="N1552" r:id="rId1556"/>
    <hyperlink xmlns:r="http://schemas.openxmlformats.org/officeDocument/2006/relationships" ref="N1553" r:id="rId1557"/>
    <hyperlink xmlns:r="http://schemas.openxmlformats.org/officeDocument/2006/relationships" ref="N1554" r:id="rId1558"/>
    <hyperlink xmlns:r="http://schemas.openxmlformats.org/officeDocument/2006/relationships" ref="N1555" r:id="rId1559"/>
    <hyperlink xmlns:r="http://schemas.openxmlformats.org/officeDocument/2006/relationships" ref="N1556" r:id="rId1560"/>
    <hyperlink xmlns:r="http://schemas.openxmlformats.org/officeDocument/2006/relationships" ref="N1557" r:id="rId1561"/>
    <hyperlink xmlns:r="http://schemas.openxmlformats.org/officeDocument/2006/relationships" ref="N1558" r:id="rId1562"/>
    <hyperlink xmlns:r="http://schemas.openxmlformats.org/officeDocument/2006/relationships" ref="N1559" r:id="rId1563"/>
    <hyperlink xmlns:r="http://schemas.openxmlformats.org/officeDocument/2006/relationships" ref="N1560" r:id="rId1564"/>
    <hyperlink xmlns:r="http://schemas.openxmlformats.org/officeDocument/2006/relationships" ref="N1561" r:id="rId1565"/>
    <hyperlink xmlns:r="http://schemas.openxmlformats.org/officeDocument/2006/relationships" ref="N1562" r:id="rId1566"/>
    <hyperlink xmlns:r="http://schemas.openxmlformats.org/officeDocument/2006/relationships" ref="N1563" r:id="rId1567"/>
    <hyperlink xmlns:r="http://schemas.openxmlformats.org/officeDocument/2006/relationships" ref="N1564" r:id="rId1568"/>
    <hyperlink xmlns:r="http://schemas.openxmlformats.org/officeDocument/2006/relationships" ref="N1565" r:id="rId1569"/>
    <hyperlink xmlns:r="http://schemas.openxmlformats.org/officeDocument/2006/relationships" ref="N1566" r:id="rId1570"/>
    <hyperlink xmlns:r="http://schemas.openxmlformats.org/officeDocument/2006/relationships" ref="N1567" r:id="rId1571"/>
    <hyperlink xmlns:r="http://schemas.openxmlformats.org/officeDocument/2006/relationships" ref="N1568" r:id="rId1572"/>
    <hyperlink xmlns:r="http://schemas.openxmlformats.org/officeDocument/2006/relationships" ref="N1569" r:id="rId1573"/>
    <hyperlink xmlns:r="http://schemas.openxmlformats.org/officeDocument/2006/relationships" ref="N1570" r:id="rId1574"/>
    <hyperlink xmlns:r="http://schemas.openxmlformats.org/officeDocument/2006/relationships" ref="N1571" r:id="rId1575"/>
    <hyperlink xmlns:r="http://schemas.openxmlformats.org/officeDocument/2006/relationships" ref="N1572" r:id="rId1576"/>
    <hyperlink xmlns:r="http://schemas.openxmlformats.org/officeDocument/2006/relationships" ref="N1573" r:id="rId1577"/>
    <hyperlink xmlns:r="http://schemas.openxmlformats.org/officeDocument/2006/relationships" ref="N1574" r:id="rId1578"/>
    <hyperlink xmlns:r="http://schemas.openxmlformats.org/officeDocument/2006/relationships" ref="N1575" r:id="rId1579"/>
    <hyperlink xmlns:r="http://schemas.openxmlformats.org/officeDocument/2006/relationships" ref="N1576" r:id="rId1580"/>
    <hyperlink xmlns:r="http://schemas.openxmlformats.org/officeDocument/2006/relationships" ref="N1577" r:id="rId1581"/>
    <hyperlink xmlns:r="http://schemas.openxmlformats.org/officeDocument/2006/relationships" ref="N1578" r:id="rId1582"/>
    <hyperlink xmlns:r="http://schemas.openxmlformats.org/officeDocument/2006/relationships" ref="N1579" r:id="rId1583"/>
    <hyperlink xmlns:r="http://schemas.openxmlformats.org/officeDocument/2006/relationships" ref="N1580" r:id="rId1584"/>
    <hyperlink xmlns:r="http://schemas.openxmlformats.org/officeDocument/2006/relationships" ref="N1581" r:id="rId1585"/>
    <hyperlink xmlns:r="http://schemas.openxmlformats.org/officeDocument/2006/relationships" ref="N1582" r:id="rId1586"/>
    <hyperlink xmlns:r="http://schemas.openxmlformats.org/officeDocument/2006/relationships" ref="N1583" r:id="rId1587"/>
    <hyperlink xmlns:r="http://schemas.openxmlformats.org/officeDocument/2006/relationships" ref="N1584" r:id="rId1588"/>
    <hyperlink xmlns:r="http://schemas.openxmlformats.org/officeDocument/2006/relationships" ref="N1585" r:id="rId1589"/>
    <hyperlink xmlns:r="http://schemas.openxmlformats.org/officeDocument/2006/relationships" ref="N1586" r:id="rId1590"/>
    <hyperlink xmlns:r="http://schemas.openxmlformats.org/officeDocument/2006/relationships" ref="N1587" r:id="rId1591"/>
    <hyperlink xmlns:r="http://schemas.openxmlformats.org/officeDocument/2006/relationships" ref="N1588" r:id="rId1592"/>
    <hyperlink xmlns:r="http://schemas.openxmlformats.org/officeDocument/2006/relationships" ref="N1589" r:id="rId1593"/>
    <hyperlink xmlns:r="http://schemas.openxmlformats.org/officeDocument/2006/relationships" ref="N1590" r:id="rId1594"/>
    <hyperlink xmlns:r="http://schemas.openxmlformats.org/officeDocument/2006/relationships" ref="N1591" r:id="rId1595"/>
    <hyperlink xmlns:r="http://schemas.openxmlformats.org/officeDocument/2006/relationships" ref="N1592" r:id="rId1596"/>
    <hyperlink xmlns:r="http://schemas.openxmlformats.org/officeDocument/2006/relationships" ref="N1593" r:id="rId1597"/>
    <hyperlink xmlns:r="http://schemas.openxmlformats.org/officeDocument/2006/relationships" ref="N1594" r:id="rId1598"/>
    <hyperlink xmlns:r="http://schemas.openxmlformats.org/officeDocument/2006/relationships" ref="N1595" r:id="rId1599"/>
    <hyperlink xmlns:r="http://schemas.openxmlformats.org/officeDocument/2006/relationships" ref="N1596" r:id="rId1600"/>
    <hyperlink xmlns:r="http://schemas.openxmlformats.org/officeDocument/2006/relationships" ref="N1597" r:id="rId1601"/>
    <hyperlink xmlns:r="http://schemas.openxmlformats.org/officeDocument/2006/relationships" ref="N1598" r:id="rId1602"/>
    <hyperlink xmlns:r="http://schemas.openxmlformats.org/officeDocument/2006/relationships" ref="N1599" r:id="rId1603"/>
    <hyperlink xmlns:r="http://schemas.openxmlformats.org/officeDocument/2006/relationships" ref="N1600" r:id="rId1604"/>
    <hyperlink xmlns:r="http://schemas.openxmlformats.org/officeDocument/2006/relationships" ref="N1601" r:id="rId1605"/>
    <hyperlink xmlns:r="http://schemas.openxmlformats.org/officeDocument/2006/relationships" ref="N1602" r:id="rId1606"/>
    <hyperlink xmlns:r="http://schemas.openxmlformats.org/officeDocument/2006/relationships" ref="N1603" r:id="rId1607"/>
    <hyperlink xmlns:r="http://schemas.openxmlformats.org/officeDocument/2006/relationships" ref="N1604" r:id="rId1608"/>
    <hyperlink xmlns:r="http://schemas.openxmlformats.org/officeDocument/2006/relationships" ref="N1605" r:id="rId1609"/>
    <hyperlink xmlns:r="http://schemas.openxmlformats.org/officeDocument/2006/relationships" ref="N1606" r:id="rId1610"/>
    <hyperlink xmlns:r="http://schemas.openxmlformats.org/officeDocument/2006/relationships" ref="N1607" r:id="rId1611"/>
    <hyperlink xmlns:r="http://schemas.openxmlformats.org/officeDocument/2006/relationships" ref="N1608" r:id="rId1612"/>
    <hyperlink xmlns:r="http://schemas.openxmlformats.org/officeDocument/2006/relationships" ref="N1609" r:id="rId1613"/>
    <hyperlink xmlns:r="http://schemas.openxmlformats.org/officeDocument/2006/relationships" ref="N1610" r:id="rId1614"/>
    <hyperlink xmlns:r="http://schemas.openxmlformats.org/officeDocument/2006/relationships" ref="N1611" r:id="rId1615"/>
    <hyperlink xmlns:r="http://schemas.openxmlformats.org/officeDocument/2006/relationships" ref="N1612" r:id="rId1616"/>
    <hyperlink xmlns:r="http://schemas.openxmlformats.org/officeDocument/2006/relationships" ref="N1613" r:id="rId1617"/>
    <hyperlink xmlns:r="http://schemas.openxmlformats.org/officeDocument/2006/relationships" ref="N1614" r:id="rId1618"/>
    <hyperlink xmlns:r="http://schemas.openxmlformats.org/officeDocument/2006/relationships" ref="N1615" r:id="rId1619"/>
    <hyperlink xmlns:r="http://schemas.openxmlformats.org/officeDocument/2006/relationships" ref="N1616" r:id="rId1620"/>
    <hyperlink xmlns:r="http://schemas.openxmlformats.org/officeDocument/2006/relationships" ref="N1617" r:id="rId1621"/>
    <hyperlink xmlns:r="http://schemas.openxmlformats.org/officeDocument/2006/relationships" ref="N1618" r:id="rId1622"/>
    <hyperlink xmlns:r="http://schemas.openxmlformats.org/officeDocument/2006/relationships" ref="N1619" r:id="rId1623"/>
    <hyperlink xmlns:r="http://schemas.openxmlformats.org/officeDocument/2006/relationships" ref="N1620" r:id="rId1624"/>
    <hyperlink xmlns:r="http://schemas.openxmlformats.org/officeDocument/2006/relationships" ref="N1621" r:id="rId1625"/>
    <hyperlink xmlns:r="http://schemas.openxmlformats.org/officeDocument/2006/relationships" ref="N1622" r:id="rId1626"/>
    <hyperlink xmlns:r="http://schemas.openxmlformats.org/officeDocument/2006/relationships" ref="N1623" r:id="rId1627"/>
    <hyperlink xmlns:r="http://schemas.openxmlformats.org/officeDocument/2006/relationships" ref="N1624" r:id="rId1628"/>
    <hyperlink xmlns:r="http://schemas.openxmlformats.org/officeDocument/2006/relationships" ref="N1625" r:id="rId1629"/>
    <hyperlink xmlns:r="http://schemas.openxmlformats.org/officeDocument/2006/relationships" ref="N1626" r:id="rId1630"/>
    <hyperlink xmlns:r="http://schemas.openxmlformats.org/officeDocument/2006/relationships" ref="N1627" r:id="rId1631"/>
    <hyperlink xmlns:r="http://schemas.openxmlformats.org/officeDocument/2006/relationships" ref="N1628" r:id="rId1632"/>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00243553"/>
    <outlinePr summaryBelow="0" summaryRight="0"/>
    <pageSetUpPr fitToPage="1"/>
  </sheetPr>
  <dimension ref="A1:K85"/>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42" customWidth="1" min="2" max="2"/>
    <col width="8" customWidth="1" min="3" max="3"/>
    <col width="21" customWidth="1" min="4" max="4"/>
    <col width="21" customWidth="1" min="5" max="5"/>
    <col width="22" customWidth="1" min="6" max="6"/>
    <col width="18" customWidth="1" min="7" max="7"/>
    <col width="17" customWidth="1" min="8" max="8"/>
    <col width="12" customWidth="1" min="9" max="9"/>
    <col width="46" customWidth="1" min="10" max="10"/>
    <col width="18" customWidth="1" min="11" max="11"/>
  </cols>
  <sheetData>
    <row r="1" ht="33.2" customHeight="1">
      <c r="A1" s="97" t="inlineStr">
        <is>
          <t>WBS EXPLORER</t>
        </is>
      </c>
    </row>
    <row r="2" ht="35.92" customHeight="1">
      <c r="A2" s="46" t="inlineStr">
        <is>
          <t>The approved WBS as integration spine, with governed relationship populations beneath it.</t>
        </is>
      </c>
    </row>
    <row r="3" ht="34"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row>
    <row r="4" ht="35.92" customHeight="1">
      <c r="A4" s="53" t="inlineStr">
        <is>
          <t>Governed relationship coverage/status → advanced approved scope / relationship-row view</t>
        </is>
      </c>
    </row>
    <row r="5" ht="34" customHeight="1">
      <c r="A5" s="11" t="inlineStr">
        <is>
          <t>WBS</t>
        </is>
      </c>
      <c r="B5" s="11" t="inlineStr">
        <is>
          <t>Element</t>
        </is>
      </c>
      <c r="C5" s="11" t="inlineStr">
        <is>
          <t>Level</t>
        </is>
      </c>
      <c r="D5" s="11" t="inlineStr">
        <is>
          <t>Schedule</t>
        </is>
      </c>
      <c r="E5" s="11" t="inlineStr">
        <is>
          <t>Cost / forecast</t>
        </is>
      </c>
      <c r="F5" s="11" t="inlineStr">
        <is>
          <t>Package / contract</t>
        </is>
      </c>
      <c r="G5" s="11" t="inlineStr">
        <is>
          <t>Other</t>
        </is>
      </c>
      <c r="H5" s="11" t="inlineStr">
        <is>
          <t>Open / unresolved</t>
        </is>
      </c>
      <c r="I5" s="11" t="inlineStr">
        <is>
          <t>Changed</t>
        </is>
      </c>
      <c r="J5" s="11" t="inlineStr">
        <is>
          <t>Integration condition</t>
        </is>
      </c>
      <c r="K5" s="11" t="inlineStr">
        <is>
          <t>Crosswalk</t>
        </is>
      </c>
    </row>
    <row r="6" ht="64" customHeight="1">
      <c r="A6" s="55" t="inlineStr"/>
      <c r="B6" s="55" t="inlineStr">
        <is>
          <t>HarbourLink Urban Transit Expansion</t>
        </is>
      </c>
      <c r="C6" s="56" t="n">
        <v>0</v>
      </c>
      <c r="D6" s="55" t="inlineStr">
        <is>
          <t>898 governed relationships</t>
        </is>
      </c>
      <c r="E6" s="55" t="inlineStr">
        <is>
          <t>399 governed relationships</t>
        </is>
      </c>
      <c r="F6" s="55" t="inlineStr">
        <is>
          <t>60 governed relationships</t>
        </is>
      </c>
      <c r="G6" s="55" t="inlineStr">
        <is>
          <t>0 governed relationships</t>
        </is>
      </c>
      <c r="H6" s="56" t="n">
        <v>0</v>
      </c>
      <c r="I6" s="56" t="n">
        <v>1357</v>
      </c>
      <c r="J6" s="55" t="inlineStr">
        <is>
          <t>Aligned: Schedule and cost both relate through this WBS branch. 60 package/contract relationships also project through this branch.</t>
        </is>
      </c>
      <c r="K6" s="17" t="inlineStr">
        <is>
          <t>08 CROSSWALK</t>
        </is>
      </c>
    </row>
    <row r="7" ht="64" customHeight="1">
      <c r="A7" s="55" t="inlineStr">
        <is>
          <t>1</t>
        </is>
      </c>
      <c r="B7" s="57" t="inlineStr">
        <is>
          <t>HarbourLink Urban Transit Expansion</t>
        </is>
      </c>
      <c r="C7" s="56" t="n">
        <v>1</v>
      </c>
      <c r="D7" s="55" t="inlineStr">
        <is>
          <t>898 governed relationships</t>
        </is>
      </c>
      <c r="E7" s="55" t="inlineStr">
        <is>
          <t>399 governed relationships</t>
        </is>
      </c>
      <c r="F7" s="55" t="inlineStr">
        <is>
          <t>60 governed relationships</t>
        </is>
      </c>
      <c r="G7" s="55" t="inlineStr">
        <is>
          <t>0 governed relationships</t>
        </is>
      </c>
      <c r="H7" s="56" t="n">
        <v>0</v>
      </c>
      <c r="I7" s="56" t="n">
        <v>1357</v>
      </c>
      <c r="J7" s="55" t="inlineStr">
        <is>
          <t>Aligned: Schedule and cost both relate through this WBS branch. 60 package/contract relationships also project through this branch.</t>
        </is>
      </c>
      <c r="K7" s="17" t="inlineStr">
        <is>
          <t>08 CROSSWALK</t>
        </is>
      </c>
    </row>
    <row r="8" ht="64" customHeight="1">
      <c r="A8" s="12" t="inlineStr">
        <is>
          <t>1.1</t>
        </is>
      </c>
      <c r="B8" s="58" t="inlineStr">
        <is>
          <t>Guideway and Civil</t>
        </is>
      </c>
      <c r="C8" s="32" t="n">
        <v>2</v>
      </c>
      <c r="D8" s="12" t="inlineStr">
        <is>
          <t>180 governed relationships</t>
        </is>
      </c>
      <c r="E8" s="12" t="inlineStr">
        <is>
          <t>80 governed relationships</t>
        </is>
      </c>
      <c r="F8" s="12" t="inlineStr">
        <is>
          <t>10 governed relationships</t>
        </is>
      </c>
      <c r="G8" s="12" t="inlineStr">
        <is>
          <t>0 governed relationships</t>
        </is>
      </c>
      <c r="H8" s="32" t="n">
        <v>0</v>
      </c>
      <c r="I8" s="32" t="n">
        <v>270</v>
      </c>
      <c r="J8" s="12" t="inlineStr">
        <is>
          <t>Aligned: Schedule and cost both relate through this WBS branch. 10 package/contract relationships also project through this branch.</t>
        </is>
      </c>
      <c r="K8" s="17" t="inlineStr">
        <is>
          <t>08 CROSSWALK</t>
        </is>
      </c>
    </row>
    <row r="9" ht="34" customHeight="1">
      <c r="A9" s="12" t="inlineStr">
        <is>
          <t>1.1.1</t>
        </is>
      </c>
      <c r="B9" s="59" t="inlineStr">
        <is>
          <t>Guideway and Civil - Guideway Structures</t>
        </is>
      </c>
      <c r="C9" s="32" t="n">
        <v>3</v>
      </c>
      <c r="D9" s="12" t="inlineStr">
        <is>
          <t>120 governed relationships</t>
        </is>
      </c>
      <c r="E9" s="12" t="inlineStr">
        <is>
          <t>40 governed relationships</t>
        </is>
      </c>
      <c r="F9" s="12" t="inlineStr">
        <is>
          <t>0 governed relationships</t>
        </is>
      </c>
      <c r="G9" s="12" t="inlineStr">
        <is>
          <t>0 governed relationships</t>
        </is>
      </c>
      <c r="H9" s="32" t="n">
        <v>0</v>
      </c>
      <c r="I9" s="32" t="n">
        <v>160</v>
      </c>
      <c r="J9" s="12" t="inlineStr">
        <is>
          <t>Aligned: Schedule and cost both relate through this WBS branch.</t>
        </is>
      </c>
      <c r="K9" s="17" t="inlineStr">
        <is>
          <t>08 CROSSWALK</t>
        </is>
      </c>
    </row>
    <row r="10" ht="34" customHeight="1">
      <c r="A10" s="12" t="inlineStr">
        <is>
          <t>1.1.1.1</t>
        </is>
      </c>
      <c r="B10" s="60" t="inlineStr">
        <is>
          <t>Guideway Structures - East Segment</t>
        </is>
      </c>
      <c r="C10" s="32" t="n">
        <v>4</v>
      </c>
      <c r="D10" s="12" t="inlineStr">
        <is>
          <t>0 governed relationships</t>
        </is>
      </c>
      <c r="E10" s="12" t="inlineStr">
        <is>
          <t>0 governed relationships</t>
        </is>
      </c>
      <c r="F10" s="12" t="inlineStr">
        <is>
          <t>0 governed relationships</t>
        </is>
      </c>
      <c r="G10" s="12" t="inlineStr">
        <is>
          <t>0 governed relationships</t>
        </is>
      </c>
      <c r="H10" s="32" t="n">
        <v>0</v>
      </c>
      <c r="I10" s="32" t="n">
        <v>0</v>
      </c>
      <c r="J10" s="12" t="inlineStr">
        <is>
          <t>Partial: No governed schedule or cost relationships in this WBS branch.</t>
        </is>
      </c>
      <c r="K10" s="17" t="inlineStr">
        <is>
          <t>08 CROSSWALK</t>
        </is>
      </c>
    </row>
    <row r="11" ht="34" customHeight="1">
      <c r="A11" s="12" t="inlineStr">
        <is>
          <t>1.1.1.2</t>
        </is>
      </c>
      <c r="B11" s="60" t="inlineStr">
        <is>
          <t>Guideway Structures - West Segment</t>
        </is>
      </c>
      <c r="C11" s="32" t="n">
        <v>4</v>
      </c>
      <c r="D11" s="12" t="inlineStr">
        <is>
          <t>0 governed relationships</t>
        </is>
      </c>
      <c r="E11" s="12" t="inlineStr">
        <is>
          <t>0 governed relationships</t>
        </is>
      </c>
      <c r="F11" s="12" t="inlineStr">
        <is>
          <t>0 governed relationships</t>
        </is>
      </c>
      <c r="G11" s="12" t="inlineStr">
        <is>
          <t>0 governed relationships</t>
        </is>
      </c>
      <c r="H11" s="32" t="n">
        <v>0</v>
      </c>
      <c r="I11" s="32" t="n">
        <v>0</v>
      </c>
      <c r="J11" s="12" t="inlineStr">
        <is>
          <t>Partial: No governed schedule or cost relationships in this WBS branch.</t>
        </is>
      </c>
      <c r="K11" s="17" t="inlineStr">
        <is>
          <t>08 CROSSWALK</t>
        </is>
      </c>
    </row>
    <row r="12" ht="34" customHeight="1">
      <c r="A12" s="12" t="inlineStr">
        <is>
          <t>1.1.2</t>
        </is>
      </c>
      <c r="B12" s="59" t="inlineStr">
        <is>
          <t>Guideway and Civil - Utility &amp; Roadworks</t>
        </is>
      </c>
      <c r="C12" s="32" t="n">
        <v>3</v>
      </c>
      <c r="D12" s="12" t="inlineStr">
        <is>
          <t>60 governed relationships</t>
        </is>
      </c>
      <c r="E12" s="12" t="inlineStr">
        <is>
          <t>40 governed relationships</t>
        </is>
      </c>
      <c r="F12" s="12" t="inlineStr">
        <is>
          <t>0 governed relationships</t>
        </is>
      </c>
      <c r="G12" s="12" t="inlineStr">
        <is>
          <t>0 governed relationships</t>
        </is>
      </c>
      <c r="H12" s="32" t="n">
        <v>0</v>
      </c>
      <c r="I12" s="32" t="n">
        <v>100</v>
      </c>
      <c r="J12" s="12" t="inlineStr">
        <is>
          <t>Aligned: Schedule and cost both relate through this WBS branch.</t>
        </is>
      </c>
      <c r="K12" s="17" t="inlineStr">
        <is>
          <t>08 CROSSWALK</t>
        </is>
      </c>
    </row>
    <row r="13" ht="34" customHeight="1">
      <c r="A13" s="12" t="inlineStr">
        <is>
          <t>1.1.2.1</t>
        </is>
      </c>
      <c r="B13" s="60" t="inlineStr">
        <is>
          <t>Utility &amp; Roadworks - East Segment</t>
        </is>
      </c>
      <c r="C13" s="32" t="n">
        <v>4</v>
      </c>
      <c r="D13" s="12" t="inlineStr">
        <is>
          <t>0 governed relationships</t>
        </is>
      </c>
      <c r="E13" s="12" t="inlineStr">
        <is>
          <t>0 governed relationships</t>
        </is>
      </c>
      <c r="F13" s="12" t="inlineStr">
        <is>
          <t>0 governed relationships</t>
        </is>
      </c>
      <c r="G13" s="12" t="inlineStr">
        <is>
          <t>0 governed relationships</t>
        </is>
      </c>
      <c r="H13" s="32" t="n">
        <v>0</v>
      </c>
      <c r="I13" s="32" t="n">
        <v>0</v>
      </c>
      <c r="J13" s="12" t="inlineStr">
        <is>
          <t>Partial: No governed schedule or cost relationships in this WBS branch.</t>
        </is>
      </c>
      <c r="K13" s="17" t="inlineStr">
        <is>
          <t>08 CROSSWALK</t>
        </is>
      </c>
    </row>
    <row r="14" ht="34" customHeight="1">
      <c r="A14" s="12" t="inlineStr">
        <is>
          <t>1.1.2.2</t>
        </is>
      </c>
      <c r="B14" s="60" t="inlineStr">
        <is>
          <t>Utility &amp; Roadworks - West Segment</t>
        </is>
      </c>
      <c r="C14" s="32" t="n">
        <v>4</v>
      </c>
      <c r="D14" s="12" t="inlineStr">
        <is>
          <t>0 governed relationships</t>
        </is>
      </c>
      <c r="E14" s="12" t="inlineStr">
        <is>
          <t>0 governed relationships</t>
        </is>
      </c>
      <c r="F14" s="12" t="inlineStr">
        <is>
          <t>0 governed relationships</t>
        </is>
      </c>
      <c r="G14" s="12" t="inlineStr">
        <is>
          <t>0 governed relationships</t>
        </is>
      </c>
      <c r="H14" s="32" t="n">
        <v>0</v>
      </c>
      <c r="I14" s="32" t="n">
        <v>0</v>
      </c>
      <c r="J14" s="12" t="inlineStr">
        <is>
          <t>Partial: No governed schedule or cost relationships in this WBS branch.</t>
        </is>
      </c>
      <c r="K14" s="17" t="inlineStr">
        <is>
          <t>08 CROSSWALK</t>
        </is>
      </c>
    </row>
    <row r="15" ht="34" customHeight="1">
      <c r="A15" s="12" t="inlineStr">
        <is>
          <t>1.1.3</t>
        </is>
      </c>
      <c r="B15" s="59" t="inlineStr">
        <is>
          <t>Guideway and Civil - Track Support Works</t>
        </is>
      </c>
      <c r="C15" s="32" t="n">
        <v>3</v>
      </c>
      <c r="D15" s="12" t="inlineStr">
        <is>
          <t>0 governed relationships</t>
        </is>
      </c>
      <c r="E15" s="12" t="inlineStr">
        <is>
          <t>0 governed relationships</t>
        </is>
      </c>
      <c r="F15" s="12" t="inlineStr">
        <is>
          <t>0 governed relationships</t>
        </is>
      </c>
      <c r="G15" s="12" t="inlineStr">
        <is>
          <t>0 governed relationships</t>
        </is>
      </c>
      <c r="H15" s="32" t="n">
        <v>0</v>
      </c>
      <c r="I15" s="32" t="n">
        <v>0</v>
      </c>
      <c r="J15" s="12" t="inlineStr">
        <is>
          <t>Partial: No governed schedule or cost relationships in this WBS branch.</t>
        </is>
      </c>
      <c r="K15" s="17" t="inlineStr">
        <is>
          <t>08 CROSSWALK</t>
        </is>
      </c>
    </row>
    <row r="16" ht="34" customHeight="1">
      <c r="A16" s="12" t="inlineStr">
        <is>
          <t>1.1.3.1</t>
        </is>
      </c>
      <c r="B16" s="60" t="inlineStr">
        <is>
          <t>Track Support Works - East Segment</t>
        </is>
      </c>
      <c r="C16" s="32" t="n">
        <v>4</v>
      </c>
      <c r="D16" s="12" t="inlineStr">
        <is>
          <t>0 governed relationships</t>
        </is>
      </c>
      <c r="E16" s="12" t="inlineStr">
        <is>
          <t>0 governed relationships</t>
        </is>
      </c>
      <c r="F16" s="12" t="inlineStr">
        <is>
          <t>0 governed relationships</t>
        </is>
      </c>
      <c r="G16" s="12" t="inlineStr">
        <is>
          <t>0 governed relationships</t>
        </is>
      </c>
      <c r="H16" s="32" t="n">
        <v>0</v>
      </c>
      <c r="I16" s="32" t="n">
        <v>0</v>
      </c>
      <c r="J16" s="12" t="inlineStr">
        <is>
          <t>Partial: No governed schedule or cost relationships in this WBS branch.</t>
        </is>
      </c>
      <c r="K16" s="17" t="inlineStr">
        <is>
          <t>08 CROSSWALK</t>
        </is>
      </c>
    </row>
    <row r="17" ht="34" customHeight="1">
      <c r="A17" s="12" t="inlineStr">
        <is>
          <t>1.1.3.2</t>
        </is>
      </c>
      <c r="B17" s="60" t="inlineStr">
        <is>
          <t>Track Support Works - West Segment</t>
        </is>
      </c>
      <c r="C17" s="32" t="n">
        <v>4</v>
      </c>
      <c r="D17" s="12" t="inlineStr">
        <is>
          <t>0 governed relationships</t>
        </is>
      </c>
      <c r="E17" s="12" t="inlineStr">
        <is>
          <t>0 governed relationships</t>
        </is>
      </c>
      <c r="F17" s="12" t="inlineStr">
        <is>
          <t>0 governed relationships</t>
        </is>
      </c>
      <c r="G17" s="12" t="inlineStr">
        <is>
          <t>0 governed relationships</t>
        </is>
      </c>
      <c r="H17" s="32" t="n">
        <v>0</v>
      </c>
      <c r="I17" s="32" t="n">
        <v>0</v>
      </c>
      <c r="J17" s="12" t="inlineStr">
        <is>
          <t>Partial: No governed schedule or cost relationships in this WBS branch.</t>
        </is>
      </c>
      <c r="K17" s="17" t="inlineStr">
        <is>
          <t>08 CROSSWALK</t>
        </is>
      </c>
    </row>
    <row r="18" ht="34" customHeight="1">
      <c r="A18" s="12" t="inlineStr">
        <is>
          <t>1.1.4</t>
        </is>
      </c>
      <c r="B18" s="59" t="inlineStr">
        <is>
          <t>Guideway and Civil - Civil Interfaces</t>
        </is>
      </c>
      <c r="C18" s="32" t="n">
        <v>3</v>
      </c>
      <c r="D18" s="12" t="inlineStr">
        <is>
          <t>0 governed relationships</t>
        </is>
      </c>
      <c r="E18" s="12" t="inlineStr">
        <is>
          <t>0 governed relationships</t>
        </is>
      </c>
      <c r="F18" s="12" t="inlineStr">
        <is>
          <t>0 governed relationships</t>
        </is>
      </c>
      <c r="G18" s="12" t="inlineStr">
        <is>
          <t>0 governed relationships</t>
        </is>
      </c>
      <c r="H18" s="32" t="n">
        <v>0</v>
      </c>
      <c r="I18" s="32" t="n">
        <v>0</v>
      </c>
      <c r="J18" s="12" t="inlineStr">
        <is>
          <t>Partial: No governed schedule or cost relationships in this WBS branch.</t>
        </is>
      </c>
      <c r="K18" s="17" t="inlineStr">
        <is>
          <t>08 CROSSWALK</t>
        </is>
      </c>
    </row>
    <row r="19" ht="34" customHeight="1">
      <c r="A19" s="12" t="inlineStr">
        <is>
          <t>1.1.4.1</t>
        </is>
      </c>
      <c r="B19" s="60" t="inlineStr">
        <is>
          <t>Civil Interfaces - East Segment</t>
        </is>
      </c>
      <c r="C19" s="32" t="n">
        <v>4</v>
      </c>
      <c r="D19" s="12" t="inlineStr">
        <is>
          <t>0 governed relationships</t>
        </is>
      </c>
      <c r="E19" s="12" t="inlineStr">
        <is>
          <t>0 governed relationships</t>
        </is>
      </c>
      <c r="F19" s="12" t="inlineStr">
        <is>
          <t>0 governed relationships</t>
        </is>
      </c>
      <c r="G19" s="12" t="inlineStr">
        <is>
          <t>0 governed relationships</t>
        </is>
      </c>
      <c r="H19" s="32" t="n">
        <v>0</v>
      </c>
      <c r="I19" s="32" t="n">
        <v>0</v>
      </c>
      <c r="J19" s="12" t="inlineStr">
        <is>
          <t>Partial: No governed schedule or cost relationships in this WBS branch.</t>
        </is>
      </c>
      <c r="K19" s="17" t="inlineStr">
        <is>
          <t>08 CROSSWALK</t>
        </is>
      </c>
    </row>
    <row r="20" ht="34" customHeight="1">
      <c r="A20" s="12" t="inlineStr">
        <is>
          <t>1.1.4.2</t>
        </is>
      </c>
      <c r="B20" s="60" t="inlineStr">
        <is>
          <t>Civil Interfaces - West Segment</t>
        </is>
      </c>
      <c r="C20" s="32" t="n">
        <v>4</v>
      </c>
      <c r="D20" s="12" t="inlineStr">
        <is>
          <t>0 governed relationships</t>
        </is>
      </c>
      <c r="E20" s="12" t="inlineStr">
        <is>
          <t>0 governed relationships</t>
        </is>
      </c>
      <c r="F20" s="12" t="inlineStr">
        <is>
          <t>0 governed relationships</t>
        </is>
      </c>
      <c r="G20" s="12" t="inlineStr">
        <is>
          <t>0 governed relationships</t>
        </is>
      </c>
      <c r="H20" s="32" t="n">
        <v>0</v>
      </c>
      <c r="I20" s="32" t="n">
        <v>0</v>
      </c>
      <c r="J20" s="12" t="inlineStr">
        <is>
          <t>Partial: No governed schedule or cost relationships in this WBS branch.</t>
        </is>
      </c>
      <c r="K20" s="17" t="inlineStr">
        <is>
          <t>08 CROSSWALK</t>
        </is>
      </c>
    </row>
    <row r="21" ht="64" customHeight="1">
      <c r="A21" s="12" t="inlineStr">
        <is>
          <t>1.2</t>
        </is>
      </c>
      <c r="B21" s="58" t="inlineStr">
        <is>
          <t>Stations</t>
        </is>
      </c>
      <c r="C21" s="32" t="n">
        <v>2</v>
      </c>
      <c r="D21" s="12" t="inlineStr">
        <is>
          <t>179 governed relationships</t>
        </is>
      </c>
      <c r="E21" s="12" t="inlineStr">
        <is>
          <t>80 governed relationships</t>
        </is>
      </c>
      <c r="F21" s="12" t="inlineStr">
        <is>
          <t>11 governed relationships</t>
        </is>
      </c>
      <c r="G21" s="12" t="inlineStr">
        <is>
          <t>0 governed relationships</t>
        </is>
      </c>
      <c r="H21" s="32" t="n">
        <v>0</v>
      </c>
      <c r="I21" s="32" t="n">
        <v>270</v>
      </c>
      <c r="J21" s="12" t="inlineStr">
        <is>
          <t>Aligned: Schedule and cost both relate through this WBS branch. 11 package/contract relationships also project through this branch.</t>
        </is>
      </c>
      <c r="K21" s="17" t="inlineStr">
        <is>
          <t>08 CROSSWALK</t>
        </is>
      </c>
    </row>
    <row r="22" ht="34" customHeight="1">
      <c r="A22" s="12" t="inlineStr">
        <is>
          <t>1.2.1</t>
        </is>
      </c>
      <c r="B22" s="59" t="inlineStr">
        <is>
          <t>Stations - Station Structures</t>
        </is>
      </c>
      <c r="C22" s="32" t="n">
        <v>3</v>
      </c>
      <c r="D22" s="12" t="inlineStr">
        <is>
          <t>120 governed relationships</t>
        </is>
      </c>
      <c r="E22" s="12" t="inlineStr">
        <is>
          <t>40 governed relationships</t>
        </is>
      </c>
      <c r="F22" s="12" t="inlineStr">
        <is>
          <t>0 governed relationships</t>
        </is>
      </c>
      <c r="G22" s="12" t="inlineStr">
        <is>
          <t>0 governed relationships</t>
        </is>
      </c>
      <c r="H22" s="32" t="n">
        <v>0</v>
      </c>
      <c r="I22" s="32" t="n">
        <v>160</v>
      </c>
      <c r="J22" s="12" t="inlineStr">
        <is>
          <t>Aligned: Schedule and cost both relate through this WBS branch.</t>
        </is>
      </c>
      <c r="K22" s="17" t="inlineStr">
        <is>
          <t>08 CROSSWALK</t>
        </is>
      </c>
    </row>
    <row r="23" ht="34" customHeight="1">
      <c r="A23" s="12" t="inlineStr">
        <is>
          <t>1.2.1.1</t>
        </is>
      </c>
      <c r="B23" s="60" t="inlineStr">
        <is>
          <t>Station Structures - Concourse &amp; Entries</t>
        </is>
      </c>
      <c r="C23" s="32" t="n">
        <v>4</v>
      </c>
      <c r="D23" s="12" t="inlineStr">
        <is>
          <t>0 governed relationships</t>
        </is>
      </c>
      <c r="E23" s="12" t="inlineStr">
        <is>
          <t>0 governed relationships</t>
        </is>
      </c>
      <c r="F23" s="12" t="inlineStr">
        <is>
          <t>0 governed relationships</t>
        </is>
      </c>
      <c r="G23" s="12" t="inlineStr">
        <is>
          <t>0 governed relationships</t>
        </is>
      </c>
      <c r="H23" s="32" t="n">
        <v>0</v>
      </c>
      <c r="I23" s="32" t="n">
        <v>0</v>
      </c>
      <c r="J23" s="12" t="inlineStr">
        <is>
          <t>Partial: No governed schedule or cost relationships in this WBS branch.</t>
        </is>
      </c>
      <c r="K23" s="17" t="inlineStr">
        <is>
          <t>08 CROSSWALK</t>
        </is>
      </c>
    </row>
    <row r="24" ht="34" customHeight="1">
      <c r="A24" s="12" t="inlineStr">
        <is>
          <t>1.2.1.2</t>
        </is>
      </c>
      <c r="B24" s="60" t="inlineStr">
        <is>
          <t>Station Structures - Platforms &amp; Back-of-House</t>
        </is>
      </c>
      <c r="C24" s="32" t="n">
        <v>4</v>
      </c>
      <c r="D24" s="12" t="inlineStr">
        <is>
          <t>0 governed relationships</t>
        </is>
      </c>
      <c r="E24" s="12" t="inlineStr">
        <is>
          <t>0 governed relationships</t>
        </is>
      </c>
      <c r="F24" s="12" t="inlineStr">
        <is>
          <t>0 governed relationships</t>
        </is>
      </c>
      <c r="G24" s="12" t="inlineStr">
        <is>
          <t>0 governed relationships</t>
        </is>
      </c>
      <c r="H24" s="32" t="n">
        <v>0</v>
      </c>
      <c r="I24" s="32" t="n">
        <v>0</v>
      </c>
      <c r="J24" s="12" t="inlineStr">
        <is>
          <t>Partial: No governed schedule or cost relationships in this WBS branch.</t>
        </is>
      </c>
      <c r="K24" s="17" t="inlineStr">
        <is>
          <t>08 CROSSWALK</t>
        </is>
      </c>
    </row>
    <row r="25" ht="34" customHeight="1">
      <c r="A25" s="12" t="inlineStr">
        <is>
          <t>1.2.2</t>
        </is>
      </c>
      <c r="B25" s="59" t="inlineStr">
        <is>
          <t>Stations - Architectural Fit-Out</t>
        </is>
      </c>
      <c r="C25" s="32" t="n">
        <v>3</v>
      </c>
      <c r="D25" s="12" t="inlineStr">
        <is>
          <t>59 governed relationships</t>
        </is>
      </c>
      <c r="E25" s="12" t="inlineStr">
        <is>
          <t>40 governed relationships</t>
        </is>
      </c>
      <c r="F25" s="12" t="inlineStr">
        <is>
          <t>0 governed relationships</t>
        </is>
      </c>
      <c r="G25" s="12" t="inlineStr">
        <is>
          <t>0 governed relationships</t>
        </is>
      </c>
      <c r="H25" s="32" t="n">
        <v>0</v>
      </c>
      <c r="I25" s="32" t="n">
        <v>99</v>
      </c>
      <c r="J25" s="12" t="inlineStr">
        <is>
          <t>Aligned: Schedule and cost both relate through this WBS branch.</t>
        </is>
      </c>
      <c r="K25" s="17" t="inlineStr">
        <is>
          <t>08 CROSSWALK</t>
        </is>
      </c>
    </row>
    <row r="26" ht="34" customHeight="1">
      <c r="A26" s="12" t="inlineStr">
        <is>
          <t>1.2.2.1</t>
        </is>
      </c>
      <c r="B26" s="60" t="inlineStr">
        <is>
          <t>Architectural Fit-Out - Concourse &amp; Entries</t>
        </is>
      </c>
      <c r="C26" s="32" t="n">
        <v>4</v>
      </c>
      <c r="D26" s="12" t="inlineStr">
        <is>
          <t>0 governed relationships</t>
        </is>
      </c>
      <c r="E26" s="12" t="inlineStr">
        <is>
          <t>0 governed relationships</t>
        </is>
      </c>
      <c r="F26" s="12" t="inlineStr">
        <is>
          <t>0 governed relationships</t>
        </is>
      </c>
      <c r="G26" s="12" t="inlineStr">
        <is>
          <t>0 governed relationships</t>
        </is>
      </c>
      <c r="H26" s="32" t="n">
        <v>0</v>
      </c>
      <c r="I26" s="32" t="n">
        <v>0</v>
      </c>
      <c r="J26" s="12" t="inlineStr">
        <is>
          <t>Partial: No governed schedule or cost relationships in this WBS branch.</t>
        </is>
      </c>
      <c r="K26" s="17" t="inlineStr">
        <is>
          <t>08 CROSSWALK</t>
        </is>
      </c>
    </row>
    <row r="27" ht="34" customHeight="1">
      <c r="A27" s="12" t="inlineStr">
        <is>
          <t>1.2.2.2</t>
        </is>
      </c>
      <c r="B27" s="60" t="inlineStr">
        <is>
          <t>Architectural Fit-Out - Platforms &amp; Back-of-House</t>
        </is>
      </c>
      <c r="C27" s="32" t="n">
        <v>4</v>
      </c>
      <c r="D27" s="12" t="inlineStr">
        <is>
          <t>0 governed relationships</t>
        </is>
      </c>
      <c r="E27" s="12" t="inlineStr">
        <is>
          <t>0 governed relationships</t>
        </is>
      </c>
      <c r="F27" s="12" t="inlineStr">
        <is>
          <t>0 governed relationships</t>
        </is>
      </c>
      <c r="G27" s="12" t="inlineStr">
        <is>
          <t>0 governed relationships</t>
        </is>
      </c>
      <c r="H27" s="32" t="n">
        <v>0</v>
      </c>
      <c r="I27" s="32" t="n">
        <v>0</v>
      </c>
      <c r="J27" s="12" t="inlineStr">
        <is>
          <t>Partial: No governed schedule or cost relationships in this WBS branch.</t>
        </is>
      </c>
      <c r="K27" s="17" t="inlineStr">
        <is>
          <t>08 CROSSWALK</t>
        </is>
      </c>
    </row>
    <row r="28" ht="34" customHeight="1">
      <c r="A28" s="12" t="inlineStr">
        <is>
          <t>1.2.3</t>
        </is>
      </c>
      <c r="B28" s="59" t="inlineStr">
        <is>
          <t>Stations - Station Building Services</t>
        </is>
      </c>
      <c r="C28" s="32" t="n">
        <v>3</v>
      </c>
      <c r="D28" s="12" t="inlineStr">
        <is>
          <t>0 governed relationships</t>
        </is>
      </c>
      <c r="E28" s="12" t="inlineStr">
        <is>
          <t>0 governed relationships</t>
        </is>
      </c>
      <c r="F28" s="12" t="inlineStr">
        <is>
          <t>0 governed relationships</t>
        </is>
      </c>
      <c r="G28" s="12" t="inlineStr">
        <is>
          <t>0 governed relationships</t>
        </is>
      </c>
      <c r="H28" s="32" t="n">
        <v>0</v>
      </c>
      <c r="I28" s="32" t="n">
        <v>0</v>
      </c>
      <c r="J28" s="12" t="inlineStr">
        <is>
          <t>Partial: No governed schedule or cost relationships in this WBS branch.</t>
        </is>
      </c>
      <c r="K28" s="17" t="inlineStr">
        <is>
          <t>08 CROSSWALK</t>
        </is>
      </c>
    </row>
    <row r="29" ht="34" customHeight="1">
      <c r="A29" s="12" t="inlineStr">
        <is>
          <t>1.2.3.1</t>
        </is>
      </c>
      <c r="B29" s="60" t="inlineStr">
        <is>
          <t>Station Building Services - Concourse &amp; Entries</t>
        </is>
      </c>
      <c r="C29" s="32" t="n">
        <v>4</v>
      </c>
      <c r="D29" s="12" t="inlineStr">
        <is>
          <t>0 governed relationships</t>
        </is>
      </c>
      <c r="E29" s="12" t="inlineStr">
        <is>
          <t>0 governed relationships</t>
        </is>
      </c>
      <c r="F29" s="12" t="inlineStr">
        <is>
          <t>0 governed relationships</t>
        </is>
      </c>
      <c r="G29" s="12" t="inlineStr">
        <is>
          <t>0 governed relationships</t>
        </is>
      </c>
      <c r="H29" s="32" t="n">
        <v>0</v>
      </c>
      <c r="I29" s="32" t="n">
        <v>0</v>
      </c>
      <c r="J29" s="12" t="inlineStr">
        <is>
          <t>Partial: No governed schedule or cost relationships in this WBS branch.</t>
        </is>
      </c>
      <c r="K29" s="17" t="inlineStr">
        <is>
          <t>08 CROSSWALK</t>
        </is>
      </c>
    </row>
    <row r="30" ht="34" customHeight="1">
      <c r="A30" s="12" t="inlineStr">
        <is>
          <t>1.2.3.2</t>
        </is>
      </c>
      <c r="B30" s="60" t="inlineStr">
        <is>
          <t>Station Building Services - Platforms &amp; Back-of-House</t>
        </is>
      </c>
      <c r="C30" s="32" t="n">
        <v>4</v>
      </c>
      <c r="D30" s="12" t="inlineStr">
        <is>
          <t>0 governed relationships</t>
        </is>
      </c>
      <c r="E30" s="12" t="inlineStr">
        <is>
          <t>0 governed relationships</t>
        </is>
      </c>
      <c r="F30" s="12" t="inlineStr">
        <is>
          <t>0 governed relationships</t>
        </is>
      </c>
      <c r="G30" s="12" t="inlineStr">
        <is>
          <t>0 governed relationships</t>
        </is>
      </c>
      <c r="H30" s="32" t="n">
        <v>0</v>
      </c>
      <c r="I30" s="32" t="n">
        <v>0</v>
      </c>
      <c r="J30" s="12" t="inlineStr">
        <is>
          <t>Partial: No governed schedule or cost relationships in this WBS branch.</t>
        </is>
      </c>
      <c r="K30" s="17" t="inlineStr">
        <is>
          <t>08 CROSSWALK</t>
        </is>
      </c>
    </row>
    <row r="31" ht="34" customHeight="1">
      <c r="A31" s="12" t="inlineStr">
        <is>
          <t>1.2.4</t>
        </is>
      </c>
      <c r="B31" s="59" t="inlineStr">
        <is>
          <t>Stations - Public Realm</t>
        </is>
      </c>
      <c r="C31" s="32" t="n">
        <v>3</v>
      </c>
      <c r="D31" s="12" t="inlineStr">
        <is>
          <t>0 governed relationships</t>
        </is>
      </c>
      <c r="E31" s="12" t="inlineStr">
        <is>
          <t>0 governed relationships</t>
        </is>
      </c>
      <c r="F31" s="12" t="inlineStr">
        <is>
          <t>0 governed relationships</t>
        </is>
      </c>
      <c r="G31" s="12" t="inlineStr">
        <is>
          <t>0 governed relationships</t>
        </is>
      </c>
      <c r="H31" s="32" t="n">
        <v>0</v>
      </c>
      <c r="I31" s="32" t="n">
        <v>0</v>
      </c>
      <c r="J31" s="12" t="inlineStr">
        <is>
          <t>Partial: No governed schedule or cost relationships in this WBS branch.</t>
        </is>
      </c>
      <c r="K31" s="17" t="inlineStr">
        <is>
          <t>08 CROSSWALK</t>
        </is>
      </c>
    </row>
    <row r="32" ht="34" customHeight="1">
      <c r="A32" s="12" t="inlineStr">
        <is>
          <t>1.2.4.1</t>
        </is>
      </c>
      <c r="B32" s="60" t="inlineStr">
        <is>
          <t>Public Realm - Concourse &amp; Entries</t>
        </is>
      </c>
      <c r="C32" s="32" t="n">
        <v>4</v>
      </c>
      <c r="D32" s="12" t="inlineStr">
        <is>
          <t>0 governed relationships</t>
        </is>
      </c>
      <c r="E32" s="12" t="inlineStr">
        <is>
          <t>0 governed relationships</t>
        </is>
      </c>
      <c r="F32" s="12" t="inlineStr">
        <is>
          <t>0 governed relationships</t>
        </is>
      </c>
      <c r="G32" s="12" t="inlineStr">
        <is>
          <t>0 governed relationships</t>
        </is>
      </c>
      <c r="H32" s="32" t="n">
        <v>0</v>
      </c>
      <c r="I32" s="32" t="n">
        <v>0</v>
      </c>
      <c r="J32" s="12" t="inlineStr">
        <is>
          <t>Partial: No governed schedule or cost relationships in this WBS branch.</t>
        </is>
      </c>
      <c r="K32" s="17" t="inlineStr">
        <is>
          <t>08 CROSSWALK</t>
        </is>
      </c>
    </row>
    <row r="33" ht="34" customHeight="1">
      <c r="A33" s="12" t="inlineStr">
        <is>
          <t>1.2.4.2</t>
        </is>
      </c>
      <c r="B33" s="60" t="inlineStr">
        <is>
          <t>Public Realm - Platforms &amp; Back-of-House</t>
        </is>
      </c>
      <c r="C33" s="32" t="n">
        <v>4</v>
      </c>
      <c r="D33" s="12" t="inlineStr">
        <is>
          <t>0 governed relationships</t>
        </is>
      </c>
      <c r="E33" s="12" t="inlineStr">
        <is>
          <t>0 governed relationships</t>
        </is>
      </c>
      <c r="F33" s="12" t="inlineStr">
        <is>
          <t>0 governed relationships</t>
        </is>
      </c>
      <c r="G33" s="12" t="inlineStr">
        <is>
          <t>0 governed relationships</t>
        </is>
      </c>
      <c r="H33" s="32" t="n">
        <v>0</v>
      </c>
      <c r="I33" s="32" t="n">
        <v>0</v>
      </c>
      <c r="J33" s="12" t="inlineStr">
        <is>
          <t>Partial: No governed schedule or cost relationships in this WBS branch.</t>
        </is>
      </c>
      <c r="K33" s="17" t="inlineStr">
        <is>
          <t>08 CROSSWALK</t>
        </is>
      </c>
    </row>
    <row r="34" ht="64" customHeight="1">
      <c r="A34" s="12" t="inlineStr">
        <is>
          <t>1.3</t>
        </is>
      </c>
      <c r="B34" s="58" t="inlineStr">
        <is>
          <t>Systems</t>
        </is>
      </c>
      <c r="C34" s="32" t="n">
        <v>2</v>
      </c>
      <c r="D34" s="12" t="inlineStr">
        <is>
          <t>180 governed relationships</t>
        </is>
      </c>
      <c r="E34" s="12" t="inlineStr">
        <is>
          <t>79 governed relationships</t>
        </is>
      </c>
      <c r="F34" s="12" t="inlineStr">
        <is>
          <t>10 governed relationships</t>
        </is>
      </c>
      <c r="G34" s="12" t="inlineStr">
        <is>
          <t>0 governed relationships</t>
        </is>
      </c>
      <c r="H34" s="32" t="n">
        <v>0</v>
      </c>
      <c r="I34" s="32" t="n">
        <v>269</v>
      </c>
      <c r="J34" s="12" t="inlineStr">
        <is>
          <t>Aligned: Schedule and cost both relate through this WBS branch. 10 package/contract relationships also project through this branch.</t>
        </is>
      </c>
      <c r="K34" s="17" t="inlineStr">
        <is>
          <t>08 CROSSWALK</t>
        </is>
      </c>
    </row>
    <row r="35" ht="34" customHeight="1">
      <c r="A35" s="12" t="inlineStr">
        <is>
          <t>1.3.1</t>
        </is>
      </c>
      <c r="B35" s="59" t="inlineStr">
        <is>
          <t>Systems - Traction Power</t>
        </is>
      </c>
      <c r="C35" s="32" t="n">
        <v>3</v>
      </c>
      <c r="D35" s="12" t="inlineStr">
        <is>
          <t>120 governed relationships</t>
        </is>
      </c>
      <c r="E35" s="12" t="inlineStr">
        <is>
          <t>40 governed relationships</t>
        </is>
      </c>
      <c r="F35" s="12" t="inlineStr">
        <is>
          <t>0 governed relationships</t>
        </is>
      </c>
      <c r="G35" s="12" t="inlineStr">
        <is>
          <t>0 governed relationships</t>
        </is>
      </c>
      <c r="H35" s="32" t="n">
        <v>0</v>
      </c>
      <c r="I35" s="32" t="n">
        <v>160</v>
      </c>
      <c r="J35" s="12" t="inlineStr">
        <is>
          <t>Aligned: Schedule and cost both relate through this WBS branch.</t>
        </is>
      </c>
      <c r="K35" s="17" t="inlineStr">
        <is>
          <t>08 CROSSWALK</t>
        </is>
      </c>
    </row>
    <row r="36" ht="34" customHeight="1">
      <c r="A36" s="12" t="inlineStr">
        <is>
          <t>1.3.1.1</t>
        </is>
      </c>
      <c r="B36" s="60" t="inlineStr">
        <is>
          <t>Traction Power - Wayside</t>
        </is>
      </c>
      <c r="C36" s="32" t="n">
        <v>4</v>
      </c>
      <c r="D36" s="12" t="inlineStr">
        <is>
          <t>0 governed relationships</t>
        </is>
      </c>
      <c r="E36" s="12" t="inlineStr">
        <is>
          <t>0 governed relationships</t>
        </is>
      </c>
      <c r="F36" s="12" t="inlineStr">
        <is>
          <t>0 governed relationships</t>
        </is>
      </c>
      <c r="G36" s="12" t="inlineStr">
        <is>
          <t>0 governed relationships</t>
        </is>
      </c>
      <c r="H36" s="32" t="n">
        <v>0</v>
      </c>
      <c r="I36" s="32" t="n">
        <v>0</v>
      </c>
      <c r="J36" s="12" t="inlineStr">
        <is>
          <t>Partial: No governed schedule or cost relationships in this WBS branch.</t>
        </is>
      </c>
      <c r="K36" s="17" t="inlineStr">
        <is>
          <t>08 CROSSWALK</t>
        </is>
      </c>
    </row>
    <row r="37" ht="34" customHeight="1">
      <c r="A37" s="12" t="inlineStr">
        <is>
          <t>1.3.1.2</t>
        </is>
      </c>
      <c r="B37" s="60" t="inlineStr">
        <is>
          <t>Traction Power - Control Centre &amp; Stations</t>
        </is>
      </c>
      <c r="C37" s="32" t="n">
        <v>4</v>
      </c>
      <c r="D37" s="12" t="inlineStr">
        <is>
          <t>0 governed relationships</t>
        </is>
      </c>
      <c r="E37" s="12" t="inlineStr">
        <is>
          <t>0 governed relationships</t>
        </is>
      </c>
      <c r="F37" s="12" t="inlineStr">
        <is>
          <t>0 governed relationships</t>
        </is>
      </c>
      <c r="G37" s="12" t="inlineStr">
        <is>
          <t>0 governed relationships</t>
        </is>
      </c>
      <c r="H37" s="32" t="n">
        <v>0</v>
      </c>
      <c r="I37" s="32" t="n">
        <v>0</v>
      </c>
      <c r="J37" s="12" t="inlineStr">
        <is>
          <t>Partial: No governed schedule or cost relationships in this WBS branch.</t>
        </is>
      </c>
      <c r="K37" s="17" t="inlineStr">
        <is>
          <t>08 CROSSWALK</t>
        </is>
      </c>
    </row>
    <row r="38" ht="34" customHeight="1">
      <c r="A38" s="12" t="inlineStr">
        <is>
          <t>1.3.2</t>
        </is>
      </c>
      <c r="B38" s="59" t="inlineStr">
        <is>
          <t>Systems - Signalling &amp; Train Control</t>
        </is>
      </c>
      <c r="C38" s="32" t="n">
        <v>3</v>
      </c>
      <c r="D38" s="12" t="inlineStr">
        <is>
          <t>60 governed relationships</t>
        </is>
      </c>
      <c r="E38" s="12" t="inlineStr">
        <is>
          <t>39 governed relationships</t>
        </is>
      </c>
      <c r="F38" s="12" t="inlineStr">
        <is>
          <t>0 governed relationships</t>
        </is>
      </c>
      <c r="G38" s="12" t="inlineStr">
        <is>
          <t>0 governed relationships</t>
        </is>
      </c>
      <c r="H38" s="32" t="n">
        <v>0</v>
      </c>
      <c r="I38" s="32" t="n">
        <v>99</v>
      </c>
      <c r="J38" s="12" t="inlineStr">
        <is>
          <t>Aligned: Schedule and cost both relate through this WBS branch.</t>
        </is>
      </c>
      <c r="K38" s="17" t="inlineStr">
        <is>
          <t>08 CROSSWALK</t>
        </is>
      </c>
    </row>
    <row r="39" ht="34" customHeight="1">
      <c r="A39" s="12" t="inlineStr">
        <is>
          <t>1.3.2.1</t>
        </is>
      </c>
      <c r="B39" s="60" t="inlineStr">
        <is>
          <t>Signalling &amp; Train Control - Wayside</t>
        </is>
      </c>
      <c r="C39" s="32" t="n">
        <v>4</v>
      </c>
      <c r="D39" s="12" t="inlineStr">
        <is>
          <t>0 governed relationships</t>
        </is>
      </c>
      <c r="E39" s="12" t="inlineStr">
        <is>
          <t>0 governed relationships</t>
        </is>
      </c>
      <c r="F39" s="12" t="inlineStr">
        <is>
          <t>0 governed relationships</t>
        </is>
      </c>
      <c r="G39" s="12" t="inlineStr">
        <is>
          <t>0 governed relationships</t>
        </is>
      </c>
      <c r="H39" s="32" t="n">
        <v>0</v>
      </c>
      <c r="I39" s="32" t="n">
        <v>0</v>
      </c>
      <c r="J39" s="12" t="inlineStr">
        <is>
          <t>Partial: No governed schedule or cost relationships in this WBS branch.</t>
        </is>
      </c>
      <c r="K39" s="17" t="inlineStr">
        <is>
          <t>08 CROSSWALK</t>
        </is>
      </c>
    </row>
    <row r="40" ht="34" customHeight="1">
      <c r="A40" s="12" t="inlineStr">
        <is>
          <t>1.3.2.2</t>
        </is>
      </c>
      <c r="B40" s="60" t="inlineStr">
        <is>
          <t>Signalling &amp; Train Control - Control Centre &amp; Stations</t>
        </is>
      </c>
      <c r="C40" s="32" t="n">
        <v>4</v>
      </c>
      <c r="D40" s="12" t="inlineStr">
        <is>
          <t>0 governed relationships</t>
        </is>
      </c>
      <c r="E40" s="12" t="inlineStr">
        <is>
          <t>0 governed relationships</t>
        </is>
      </c>
      <c r="F40" s="12" t="inlineStr">
        <is>
          <t>0 governed relationships</t>
        </is>
      </c>
      <c r="G40" s="12" t="inlineStr">
        <is>
          <t>0 governed relationships</t>
        </is>
      </c>
      <c r="H40" s="32" t="n">
        <v>0</v>
      </c>
      <c r="I40" s="32" t="n">
        <v>0</v>
      </c>
      <c r="J40" s="12" t="inlineStr">
        <is>
          <t>Partial: No governed schedule or cost relationships in this WBS branch.</t>
        </is>
      </c>
      <c r="K40" s="17" t="inlineStr">
        <is>
          <t>08 CROSSWALK</t>
        </is>
      </c>
    </row>
    <row r="41" ht="34" customHeight="1">
      <c r="A41" s="12" t="inlineStr">
        <is>
          <t>1.3.3</t>
        </is>
      </c>
      <c r="B41" s="59" t="inlineStr">
        <is>
          <t>Systems - Communications</t>
        </is>
      </c>
      <c r="C41" s="32" t="n">
        <v>3</v>
      </c>
      <c r="D41" s="12" t="inlineStr">
        <is>
          <t>0 governed relationships</t>
        </is>
      </c>
      <c r="E41" s="12" t="inlineStr">
        <is>
          <t>0 governed relationships</t>
        </is>
      </c>
      <c r="F41" s="12" t="inlineStr">
        <is>
          <t>0 governed relationships</t>
        </is>
      </c>
      <c r="G41" s="12" t="inlineStr">
        <is>
          <t>0 governed relationships</t>
        </is>
      </c>
      <c r="H41" s="32" t="n">
        <v>0</v>
      </c>
      <c r="I41" s="32" t="n">
        <v>0</v>
      </c>
      <c r="J41" s="12" t="inlineStr">
        <is>
          <t>Partial: No governed schedule or cost relationships in this WBS branch.</t>
        </is>
      </c>
      <c r="K41" s="17" t="inlineStr">
        <is>
          <t>08 CROSSWALK</t>
        </is>
      </c>
    </row>
    <row r="42" ht="34" customHeight="1">
      <c r="A42" s="12" t="inlineStr">
        <is>
          <t>1.3.3.1</t>
        </is>
      </c>
      <c r="B42" s="60" t="inlineStr">
        <is>
          <t>Communications - Wayside</t>
        </is>
      </c>
      <c r="C42" s="32" t="n">
        <v>4</v>
      </c>
      <c r="D42" s="12" t="inlineStr">
        <is>
          <t>0 governed relationships</t>
        </is>
      </c>
      <c r="E42" s="12" t="inlineStr">
        <is>
          <t>0 governed relationships</t>
        </is>
      </c>
      <c r="F42" s="12" t="inlineStr">
        <is>
          <t>0 governed relationships</t>
        </is>
      </c>
      <c r="G42" s="12" t="inlineStr">
        <is>
          <t>0 governed relationships</t>
        </is>
      </c>
      <c r="H42" s="32" t="n">
        <v>0</v>
      </c>
      <c r="I42" s="32" t="n">
        <v>0</v>
      </c>
      <c r="J42" s="12" t="inlineStr">
        <is>
          <t>Partial: No governed schedule or cost relationships in this WBS branch.</t>
        </is>
      </c>
      <c r="K42" s="17" t="inlineStr">
        <is>
          <t>08 CROSSWALK</t>
        </is>
      </c>
    </row>
    <row r="43" ht="34" customHeight="1">
      <c r="A43" s="12" t="inlineStr">
        <is>
          <t>1.3.3.2</t>
        </is>
      </c>
      <c r="B43" s="60" t="inlineStr">
        <is>
          <t>Communications - Control Centre &amp; Stations</t>
        </is>
      </c>
      <c r="C43" s="32" t="n">
        <v>4</v>
      </c>
      <c r="D43" s="12" t="inlineStr">
        <is>
          <t>0 governed relationships</t>
        </is>
      </c>
      <c r="E43" s="12" t="inlineStr">
        <is>
          <t>0 governed relationships</t>
        </is>
      </c>
      <c r="F43" s="12" t="inlineStr">
        <is>
          <t>0 governed relationships</t>
        </is>
      </c>
      <c r="G43" s="12" t="inlineStr">
        <is>
          <t>0 governed relationships</t>
        </is>
      </c>
      <c r="H43" s="32" t="n">
        <v>0</v>
      </c>
      <c r="I43" s="32" t="n">
        <v>0</v>
      </c>
      <c r="J43" s="12" t="inlineStr">
        <is>
          <t>Partial: No governed schedule or cost relationships in this WBS branch.</t>
        </is>
      </c>
      <c r="K43" s="17" t="inlineStr">
        <is>
          <t>08 CROSSWALK</t>
        </is>
      </c>
    </row>
    <row r="44" ht="34" customHeight="1">
      <c r="A44" s="12" t="inlineStr">
        <is>
          <t>1.3.4</t>
        </is>
      </c>
      <c r="B44" s="59" t="inlineStr">
        <is>
          <t>Systems - Systems Integration</t>
        </is>
      </c>
      <c r="C44" s="32" t="n">
        <v>3</v>
      </c>
      <c r="D44" s="12" t="inlineStr">
        <is>
          <t>0 governed relationships</t>
        </is>
      </c>
      <c r="E44" s="12" t="inlineStr">
        <is>
          <t>0 governed relationships</t>
        </is>
      </c>
      <c r="F44" s="12" t="inlineStr">
        <is>
          <t>0 governed relationships</t>
        </is>
      </c>
      <c r="G44" s="12" t="inlineStr">
        <is>
          <t>0 governed relationships</t>
        </is>
      </c>
      <c r="H44" s="32" t="n">
        <v>0</v>
      </c>
      <c r="I44" s="32" t="n">
        <v>0</v>
      </c>
      <c r="J44" s="12" t="inlineStr">
        <is>
          <t>Partial: No governed schedule or cost relationships in this WBS branch.</t>
        </is>
      </c>
      <c r="K44" s="17" t="inlineStr">
        <is>
          <t>08 CROSSWALK</t>
        </is>
      </c>
    </row>
    <row r="45" ht="34" customHeight="1">
      <c r="A45" s="12" t="inlineStr">
        <is>
          <t>1.3.4.1</t>
        </is>
      </c>
      <c r="B45" s="60" t="inlineStr">
        <is>
          <t>Systems Integration - Wayside</t>
        </is>
      </c>
      <c r="C45" s="32" t="n">
        <v>4</v>
      </c>
      <c r="D45" s="12" t="inlineStr">
        <is>
          <t>0 governed relationships</t>
        </is>
      </c>
      <c r="E45" s="12" t="inlineStr">
        <is>
          <t>0 governed relationships</t>
        </is>
      </c>
      <c r="F45" s="12" t="inlineStr">
        <is>
          <t>0 governed relationships</t>
        </is>
      </c>
      <c r="G45" s="12" t="inlineStr">
        <is>
          <t>0 governed relationships</t>
        </is>
      </c>
      <c r="H45" s="32" t="n">
        <v>0</v>
      </c>
      <c r="I45" s="32" t="n">
        <v>0</v>
      </c>
      <c r="J45" s="12" t="inlineStr">
        <is>
          <t>Partial: No governed schedule or cost relationships in this WBS branch.</t>
        </is>
      </c>
      <c r="K45" s="17" t="inlineStr">
        <is>
          <t>08 CROSSWALK</t>
        </is>
      </c>
    </row>
    <row r="46" ht="34" customHeight="1">
      <c r="A46" s="12" t="inlineStr">
        <is>
          <t>1.3.4.2</t>
        </is>
      </c>
      <c r="B46" s="60" t="inlineStr">
        <is>
          <t>Systems Integration - Control Centre &amp; Stations</t>
        </is>
      </c>
      <c r="C46" s="32" t="n">
        <v>4</v>
      </c>
      <c r="D46" s="12" t="inlineStr">
        <is>
          <t>0 governed relationships</t>
        </is>
      </c>
      <c r="E46" s="12" t="inlineStr">
        <is>
          <t>0 governed relationships</t>
        </is>
      </c>
      <c r="F46" s="12" t="inlineStr">
        <is>
          <t>0 governed relationships</t>
        </is>
      </c>
      <c r="G46" s="12" t="inlineStr">
        <is>
          <t>0 governed relationships</t>
        </is>
      </c>
      <c r="H46" s="32" t="n">
        <v>0</v>
      </c>
      <c r="I46" s="32" t="n">
        <v>0</v>
      </c>
      <c r="J46" s="12" t="inlineStr">
        <is>
          <t>Partial: No governed schedule or cost relationships in this WBS branch.</t>
        </is>
      </c>
      <c r="K46" s="17" t="inlineStr">
        <is>
          <t>08 CROSSWALK</t>
        </is>
      </c>
    </row>
    <row r="47" ht="64" customHeight="1">
      <c r="A47" s="12" t="inlineStr">
        <is>
          <t>1.4</t>
        </is>
      </c>
      <c r="B47" s="58" t="inlineStr">
        <is>
          <t>Vehicles and Depot</t>
        </is>
      </c>
      <c r="C47" s="32" t="n">
        <v>2</v>
      </c>
      <c r="D47" s="12" t="inlineStr">
        <is>
          <t>179 governed relationships</t>
        </is>
      </c>
      <c r="E47" s="12" t="inlineStr">
        <is>
          <t>80 governed relationships</t>
        </is>
      </c>
      <c r="F47" s="12" t="inlineStr">
        <is>
          <t>10 governed relationships</t>
        </is>
      </c>
      <c r="G47" s="12" t="inlineStr">
        <is>
          <t>0 governed relationships</t>
        </is>
      </c>
      <c r="H47" s="32" t="n">
        <v>0</v>
      </c>
      <c r="I47" s="32" t="n">
        <v>269</v>
      </c>
      <c r="J47" s="12" t="inlineStr">
        <is>
          <t>Aligned: Schedule and cost both relate through this WBS branch. 10 package/contract relationships also project through this branch.</t>
        </is>
      </c>
      <c r="K47" s="17" t="inlineStr">
        <is>
          <t>08 CROSSWALK</t>
        </is>
      </c>
    </row>
    <row r="48" ht="34" customHeight="1">
      <c r="A48" s="12" t="inlineStr">
        <is>
          <t>1.4.1</t>
        </is>
      </c>
      <c r="B48" s="59" t="inlineStr">
        <is>
          <t>Vehicles and Depot - Fleet Supply</t>
        </is>
      </c>
      <c r="C48" s="32" t="n">
        <v>3</v>
      </c>
      <c r="D48" s="12" t="inlineStr">
        <is>
          <t>120 governed relationships</t>
        </is>
      </c>
      <c r="E48" s="12" t="inlineStr">
        <is>
          <t>40 governed relationships</t>
        </is>
      </c>
      <c r="F48" s="12" t="inlineStr">
        <is>
          <t>0 governed relationships</t>
        </is>
      </c>
      <c r="G48" s="12" t="inlineStr">
        <is>
          <t>0 governed relationships</t>
        </is>
      </c>
      <c r="H48" s="32" t="n">
        <v>0</v>
      </c>
      <c r="I48" s="32" t="n">
        <v>160</v>
      </c>
      <c r="J48" s="12" t="inlineStr">
        <is>
          <t>Aligned: Schedule and cost both relate through this WBS branch.</t>
        </is>
      </c>
      <c r="K48" s="17" t="inlineStr">
        <is>
          <t>08 CROSSWALK</t>
        </is>
      </c>
    </row>
    <row r="49" ht="34" customHeight="1">
      <c r="A49" s="12" t="inlineStr">
        <is>
          <t>1.4.1.1</t>
        </is>
      </c>
      <c r="B49" s="60" t="inlineStr">
        <is>
          <t>Fleet Supply - Maintenance Facility</t>
        </is>
      </c>
      <c r="C49" s="32" t="n">
        <v>4</v>
      </c>
      <c r="D49" s="12" t="inlineStr">
        <is>
          <t>0 governed relationships</t>
        </is>
      </c>
      <c r="E49" s="12" t="inlineStr">
        <is>
          <t>0 governed relationships</t>
        </is>
      </c>
      <c r="F49" s="12" t="inlineStr">
        <is>
          <t>0 governed relationships</t>
        </is>
      </c>
      <c r="G49" s="12" t="inlineStr">
        <is>
          <t>0 governed relationships</t>
        </is>
      </c>
      <c r="H49" s="32" t="n">
        <v>0</v>
      </c>
      <c r="I49" s="32" t="n">
        <v>0</v>
      </c>
      <c r="J49" s="12" t="inlineStr">
        <is>
          <t>Partial: No governed schedule or cost relationships in this WBS branch.</t>
        </is>
      </c>
      <c r="K49" s="17" t="inlineStr">
        <is>
          <t>08 CROSSWALK</t>
        </is>
      </c>
    </row>
    <row r="50" ht="34" customHeight="1">
      <c r="A50" s="12" t="inlineStr">
        <is>
          <t>1.4.1.2</t>
        </is>
      </c>
      <c r="B50" s="60" t="inlineStr">
        <is>
          <t>Fleet Supply - Storage &amp; Commissioning Yard</t>
        </is>
      </c>
      <c r="C50" s="32" t="n">
        <v>4</v>
      </c>
      <c r="D50" s="12" t="inlineStr">
        <is>
          <t>0 governed relationships</t>
        </is>
      </c>
      <c r="E50" s="12" t="inlineStr">
        <is>
          <t>0 governed relationships</t>
        </is>
      </c>
      <c r="F50" s="12" t="inlineStr">
        <is>
          <t>0 governed relationships</t>
        </is>
      </c>
      <c r="G50" s="12" t="inlineStr">
        <is>
          <t>0 governed relationships</t>
        </is>
      </c>
      <c r="H50" s="32" t="n">
        <v>0</v>
      </c>
      <c r="I50" s="32" t="n">
        <v>0</v>
      </c>
      <c r="J50" s="12" t="inlineStr">
        <is>
          <t>Partial: No governed schedule or cost relationships in this WBS branch.</t>
        </is>
      </c>
      <c r="K50" s="17" t="inlineStr">
        <is>
          <t>08 CROSSWALK</t>
        </is>
      </c>
    </row>
    <row r="51" ht="34" customHeight="1">
      <c r="A51" s="12" t="inlineStr">
        <is>
          <t>1.4.2</t>
        </is>
      </c>
      <c r="B51" s="59" t="inlineStr">
        <is>
          <t>Vehicles and Depot - Depot Buildings</t>
        </is>
      </c>
      <c r="C51" s="32" t="n">
        <v>3</v>
      </c>
      <c r="D51" s="12" t="inlineStr">
        <is>
          <t>59 governed relationships</t>
        </is>
      </c>
      <c r="E51" s="12" t="inlineStr">
        <is>
          <t>40 governed relationships</t>
        </is>
      </c>
      <c r="F51" s="12" t="inlineStr">
        <is>
          <t>0 governed relationships</t>
        </is>
      </c>
      <c r="G51" s="12" t="inlineStr">
        <is>
          <t>0 governed relationships</t>
        </is>
      </c>
      <c r="H51" s="32" t="n">
        <v>0</v>
      </c>
      <c r="I51" s="32" t="n">
        <v>99</v>
      </c>
      <c r="J51" s="12" t="inlineStr">
        <is>
          <t>Aligned: Schedule and cost both relate through this WBS branch.</t>
        </is>
      </c>
      <c r="K51" s="17" t="inlineStr">
        <is>
          <t>08 CROSSWALK</t>
        </is>
      </c>
    </row>
    <row r="52" ht="34" customHeight="1">
      <c r="A52" s="12" t="inlineStr">
        <is>
          <t>1.4.2.1</t>
        </is>
      </c>
      <c r="B52" s="60" t="inlineStr">
        <is>
          <t>Depot Buildings - Maintenance Facility</t>
        </is>
      </c>
      <c r="C52" s="32" t="n">
        <v>4</v>
      </c>
      <c r="D52" s="12" t="inlineStr">
        <is>
          <t>0 governed relationships</t>
        </is>
      </c>
      <c r="E52" s="12" t="inlineStr">
        <is>
          <t>0 governed relationships</t>
        </is>
      </c>
      <c r="F52" s="12" t="inlineStr">
        <is>
          <t>0 governed relationships</t>
        </is>
      </c>
      <c r="G52" s="12" t="inlineStr">
        <is>
          <t>0 governed relationships</t>
        </is>
      </c>
      <c r="H52" s="32" t="n">
        <v>0</v>
      </c>
      <c r="I52" s="32" t="n">
        <v>0</v>
      </c>
      <c r="J52" s="12" t="inlineStr">
        <is>
          <t>Partial: No governed schedule or cost relationships in this WBS branch.</t>
        </is>
      </c>
      <c r="K52" s="17" t="inlineStr">
        <is>
          <t>08 CROSSWALK</t>
        </is>
      </c>
    </row>
    <row r="53" ht="34" customHeight="1">
      <c r="A53" s="12" t="inlineStr">
        <is>
          <t>1.4.2.2</t>
        </is>
      </c>
      <c r="B53" s="60" t="inlineStr">
        <is>
          <t>Depot Buildings - Storage &amp; Commissioning Yard</t>
        </is>
      </c>
      <c r="C53" s="32" t="n">
        <v>4</v>
      </c>
      <c r="D53" s="12" t="inlineStr">
        <is>
          <t>0 governed relationships</t>
        </is>
      </c>
      <c r="E53" s="12" t="inlineStr">
        <is>
          <t>0 governed relationships</t>
        </is>
      </c>
      <c r="F53" s="12" t="inlineStr">
        <is>
          <t>0 governed relationships</t>
        </is>
      </c>
      <c r="G53" s="12" t="inlineStr">
        <is>
          <t>0 governed relationships</t>
        </is>
      </c>
      <c r="H53" s="32" t="n">
        <v>0</v>
      </c>
      <c r="I53" s="32" t="n">
        <v>0</v>
      </c>
      <c r="J53" s="12" t="inlineStr">
        <is>
          <t>Partial: No governed schedule or cost relationships in this WBS branch.</t>
        </is>
      </c>
      <c r="K53" s="17" t="inlineStr">
        <is>
          <t>08 CROSSWALK</t>
        </is>
      </c>
    </row>
    <row r="54" ht="34" customHeight="1">
      <c r="A54" s="12" t="inlineStr">
        <is>
          <t>1.4.3</t>
        </is>
      </c>
      <c r="B54" s="59" t="inlineStr">
        <is>
          <t>Vehicles and Depot - Workshop Equipment</t>
        </is>
      </c>
      <c r="C54" s="32" t="n">
        <v>3</v>
      </c>
      <c r="D54" s="12" t="inlineStr">
        <is>
          <t>0 governed relationships</t>
        </is>
      </c>
      <c r="E54" s="12" t="inlineStr">
        <is>
          <t>0 governed relationships</t>
        </is>
      </c>
      <c r="F54" s="12" t="inlineStr">
        <is>
          <t>0 governed relationships</t>
        </is>
      </c>
      <c r="G54" s="12" t="inlineStr">
        <is>
          <t>0 governed relationships</t>
        </is>
      </c>
      <c r="H54" s="32" t="n">
        <v>0</v>
      </c>
      <c r="I54" s="32" t="n">
        <v>0</v>
      </c>
      <c r="J54" s="12" t="inlineStr">
        <is>
          <t>Partial: No governed schedule or cost relationships in this WBS branch.</t>
        </is>
      </c>
      <c r="K54" s="17" t="inlineStr">
        <is>
          <t>08 CROSSWALK</t>
        </is>
      </c>
    </row>
    <row r="55" ht="34" customHeight="1">
      <c r="A55" s="12" t="inlineStr">
        <is>
          <t>1.4.3.1</t>
        </is>
      </c>
      <c r="B55" s="60" t="inlineStr">
        <is>
          <t>Workshop Equipment - Maintenance Facility</t>
        </is>
      </c>
      <c r="C55" s="32" t="n">
        <v>4</v>
      </c>
      <c r="D55" s="12" t="inlineStr">
        <is>
          <t>0 governed relationships</t>
        </is>
      </c>
      <c r="E55" s="12" t="inlineStr">
        <is>
          <t>0 governed relationships</t>
        </is>
      </c>
      <c r="F55" s="12" t="inlineStr">
        <is>
          <t>0 governed relationships</t>
        </is>
      </c>
      <c r="G55" s="12" t="inlineStr">
        <is>
          <t>0 governed relationships</t>
        </is>
      </c>
      <c r="H55" s="32" t="n">
        <v>0</v>
      </c>
      <c r="I55" s="32" t="n">
        <v>0</v>
      </c>
      <c r="J55" s="12" t="inlineStr">
        <is>
          <t>Partial: No governed schedule or cost relationships in this WBS branch.</t>
        </is>
      </c>
      <c r="K55" s="17" t="inlineStr">
        <is>
          <t>08 CROSSWALK</t>
        </is>
      </c>
    </row>
    <row r="56" ht="34" customHeight="1">
      <c r="A56" s="12" t="inlineStr">
        <is>
          <t>1.4.3.2</t>
        </is>
      </c>
      <c r="B56" s="60" t="inlineStr">
        <is>
          <t>Workshop Equipment - Storage &amp; Commissioning Yard</t>
        </is>
      </c>
      <c r="C56" s="32" t="n">
        <v>4</v>
      </c>
      <c r="D56" s="12" t="inlineStr">
        <is>
          <t>0 governed relationships</t>
        </is>
      </c>
      <c r="E56" s="12" t="inlineStr">
        <is>
          <t>0 governed relationships</t>
        </is>
      </c>
      <c r="F56" s="12" t="inlineStr">
        <is>
          <t>0 governed relationships</t>
        </is>
      </c>
      <c r="G56" s="12" t="inlineStr">
        <is>
          <t>0 governed relationships</t>
        </is>
      </c>
      <c r="H56" s="32" t="n">
        <v>0</v>
      </c>
      <c r="I56" s="32" t="n">
        <v>0</v>
      </c>
      <c r="J56" s="12" t="inlineStr">
        <is>
          <t>Partial: No governed schedule or cost relationships in this WBS branch.</t>
        </is>
      </c>
      <c r="K56" s="17" t="inlineStr">
        <is>
          <t>08 CROSSWALK</t>
        </is>
      </c>
    </row>
    <row r="57" ht="34" customHeight="1">
      <c r="A57" s="12" t="inlineStr">
        <is>
          <t>1.4.4</t>
        </is>
      </c>
      <c r="B57" s="59" t="inlineStr">
        <is>
          <t>Vehicles and Depot - Vehicle Integration</t>
        </is>
      </c>
      <c r="C57" s="32" t="n">
        <v>3</v>
      </c>
      <c r="D57" s="12" t="inlineStr">
        <is>
          <t>0 governed relationships</t>
        </is>
      </c>
      <c r="E57" s="12" t="inlineStr">
        <is>
          <t>0 governed relationships</t>
        </is>
      </c>
      <c r="F57" s="12" t="inlineStr">
        <is>
          <t>0 governed relationships</t>
        </is>
      </c>
      <c r="G57" s="12" t="inlineStr">
        <is>
          <t>0 governed relationships</t>
        </is>
      </c>
      <c r="H57" s="32" t="n">
        <v>0</v>
      </c>
      <c r="I57" s="32" t="n">
        <v>0</v>
      </c>
      <c r="J57" s="12" t="inlineStr">
        <is>
          <t>Partial: No governed schedule or cost relationships in this WBS branch.</t>
        </is>
      </c>
      <c r="K57" s="17" t="inlineStr">
        <is>
          <t>08 CROSSWALK</t>
        </is>
      </c>
    </row>
    <row r="58" ht="34" customHeight="1">
      <c r="A58" s="12" t="inlineStr">
        <is>
          <t>1.4.4.1</t>
        </is>
      </c>
      <c r="B58" s="60" t="inlineStr">
        <is>
          <t>Vehicle Integration - Maintenance Facility</t>
        </is>
      </c>
      <c r="C58" s="32" t="n">
        <v>4</v>
      </c>
      <c r="D58" s="12" t="inlineStr">
        <is>
          <t>0 governed relationships</t>
        </is>
      </c>
      <c r="E58" s="12" t="inlineStr">
        <is>
          <t>0 governed relationships</t>
        </is>
      </c>
      <c r="F58" s="12" t="inlineStr">
        <is>
          <t>0 governed relationships</t>
        </is>
      </c>
      <c r="G58" s="12" t="inlineStr">
        <is>
          <t>0 governed relationships</t>
        </is>
      </c>
      <c r="H58" s="32" t="n">
        <v>0</v>
      </c>
      <c r="I58" s="32" t="n">
        <v>0</v>
      </c>
      <c r="J58" s="12" t="inlineStr">
        <is>
          <t>Partial: No governed schedule or cost relationships in this WBS branch.</t>
        </is>
      </c>
      <c r="K58" s="17" t="inlineStr">
        <is>
          <t>08 CROSSWALK</t>
        </is>
      </c>
    </row>
    <row r="59" ht="34" customHeight="1">
      <c r="A59" s="12" t="inlineStr">
        <is>
          <t>1.4.4.2</t>
        </is>
      </c>
      <c r="B59" s="60" t="inlineStr">
        <is>
          <t>Vehicle Integration - Storage &amp; Commissioning Yard</t>
        </is>
      </c>
      <c r="C59" s="32" t="n">
        <v>4</v>
      </c>
      <c r="D59" s="12" t="inlineStr">
        <is>
          <t>0 governed relationships</t>
        </is>
      </c>
      <c r="E59" s="12" t="inlineStr">
        <is>
          <t>0 governed relationships</t>
        </is>
      </c>
      <c r="F59" s="12" t="inlineStr">
        <is>
          <t>0 governed relationships</t>
        </is>
      </c>
      <c r="G59" s="12" t="inlineStr">
        <is>
          <t>0 governed relationships</t>
        </is>
      </c>
      <c r="H59" s="32" t="n">
        <v>0</v>
      </c>
      <c r="I59" s="32" t="n">
        <v>0</v>
      </c>
      <c r="J59" s="12" t="inlineStr">
        <is>
          <t>Partial: No governed schedule or cost relationships in this WBS branch.</t>
        </is>
      </c>
      <c r="K59" s="17" t="inlineStr">
        <is>
          <t>08 CROSSWALK</t>
        </is>
      </c>
    </row>
    <row r="60" ht="64" customHeight="1">
      <c r="A60" s="12" t="inlineStr">
        <is>
          <t>1.5</t>
        </is>
      </c>
      <c r="B60" s="58" t="inlineStr">
        <is>
          <t>Testing and Commissioning</t>
        </is>
      </c>
      <c r="C60" s="32" t="n">
        <v>2</v>
      </c>
      <c r="D60" s="12" t="inlineStr">
        <is>
          <t>180 governed relationships</t>
        </is>
      </c>
      <c r="E60" s="12" t="inlineStr">
        <is>
          <t>0 governed relationships</t>
        </is>
      </c>
      <c r="F60" s="12" t="inlineStr">
        <is>
          <t>10 governed relationships</t>
        </is>
      </c>
      <c r="G60" s="12" t="inlineStr">
        <is>
          <t>0 governed relationships</t>
        </is>
      </c>
      <c r="H60" s="32" t="n">
        <v>0</v>
      </c>
      <c r="I60" s="32" t="n">
        <v>190</v>
      </c>
      <c r="J60" s="12" t="inlineStr">
        <is>
          <t>Attention: Schedule scope has no governed cost relationships in this WBS branch. 10 package/contract relationships also project through this branch.</t>
        </is>
      </c>
      <c r="K60" s="17" t="inlineStr">
        <is>
          <t>08 CROSSWALK</t>
        </is>
      </c>
    </row>
    <row r="61" ht="34" customHeight="1">
      <c r="A61" s="12" t="inlineStr">
        <is>
          <t>1.5.1</t>
        </is>
      </c>
      <c r="B61" s="59" t="inlineStr">
        <is>
          <t>Testing and Commissioning - Test Readiness</t>
        </is>
      </c>
      <c r="C61" s="32" t="n">
        <v>3</v>
      </c>
      <c r="D61" s="12" t="inlineStr">
        <is>
          <t>120 governed relationships</t>
        </is>
      </c>
      <c r="E61" s="12" t="inlineStr">
        <is>
          <t>0 governed relationships</t>
        </is>
      </c>
      <c r="F61" s="12" t="inlineStr">
        <is>
          <t>0 governed relationships</t>
        </is>
      </c>
      <c r="G61" s="12" t="inlineStr">
        <is>
          <t>0 governed relationships</t>
        </is>
      </c>
      <c r="H61" s="32" t="n">
        <v>0</v>
      </c>
      <c r="I61" s="32" t="n">
        <v>120</v>
      </c>
      <c r="J61" s="12" t="inlineStr">
        <is>
          <t>Attention: Schedule scope has no governed cost relationships in this WBS branch.</t>
        </is>
      </c>
      <c r="K61" s="17" t="inlineStr">
        <is>
          <t>08 CROSSWALK</t>
        </is>
      </c>
    </row>
    <row r="62" ht="34" customHeight="1">
      <c r="A62" s="12" t="inlineStr">
        <is>
          <t>1.5.1.1</t>
        </is>
      </c>
      <c r="B62" s="60" t="inlineStr">
        <is>
          <t>Test Readiness - Mainline</t>
        </is>
      </c>
      <c r="C62" s="32" t="n">
        <v>4</v>
      </c>
      <c r="D62" s="12" t="inlineStr">
        <is>
          <t>0 governed relationships</t>
        </is>
      </c>
      <c r="E62" s="12" t="inlineStr">
        <is>
          <t>0 governed relationships</t>
        </is>
      </c>
      <c r="F62" s="12" t="inlineStr">
        <is>
          <t>0 governed relationships</t>
        </is>
      </c>
      <c r="G62" s="12" t="inlineStr">
        <is>
          <t>0 governed relationships</t>
        </is>
      </c>
      <c r="H62" s="32" t="n">
        <v>0</v>
      </c>
      <c r="I62" s="32" t="n">
        <v>0</v>
      </c>
      <c r="J62" s="12" t="inlineStr">
        <is>
          <t>Partial: No governed schedule or cost relationships in this WBS branch.</t>
        </is>
      </c>
      <c r="K62" s="17" t="inlineStr">
        <is>
          <t>08 CROSSWALK</t>
        </is>
      </c>
    </row>
    <row r="63" ht="34" customHeight="1">
      <c r="A63" s="12" t="inlineStr">
        <is>
          <t>1.5.1.2</t>
        </is>
      </c>
      <c r="B63" s="60" t="inlineStr">
        <is>
          <t>Test Readiness - Depot &amp; Stations</t>
        </is>
      </c>
      <c r="C63" s="32" t="n">
        <v>4</v>
      </c>
      <c r="D63" s="12" t="inlineStr">
        <is>
          <t>0 governed relationships</t>
        </is>
      </c>
      <c r="E63" s="12" t="inlineStr">
        <is>
          <t>0 governed relationships</t>
        </is>
      </c>
      <c r="F63" s="12" t="inlineStr">
        <is>
          <t>0 governed relationships</t>
        </is>
      </c>
      <c r="G63" s="12" t="inlineStr">
        <is>
          <t>0 governed relationships</t>
        </is>
      </c>
      <c r="H63" s="32" t="n">
        <v>0</v>
      </c>
      <c r="I63" s="32" t="n">
        <v>0</v>
      </c>
      <c r="J63" s="12" t="inlineStr">
        <is>
          <t>Partial: No governed schedule or cost relationships in this WBS branch.</t>
        </is>
      </c>
      <c r="K63" s="17" t="inlineStr">
        <is>
          <t>08 CROSSWALK</t>
        </is>
      </c>
    </row>
    <row r="64" ht="34" customHeight="1">
      <c r="A64" s="12" t="inlineStr">
        <is>
          <t>1.5.2</t>
        </is>
      </c>
      <c r="B64" s="59" t="inlineStr">
        <is>
          <t>Testing and Commissioning - Dynamic Testing</t>
        </is>
      </c>
      <c r="C64" s="32" t="n">
        <v>3</v>
      </c>
      <c r="D64" s="12" t="inlineStr">
        <is>
          <t>60 governed relationships</t>
        </is>
      </c>
      <c r="E64" s="12" t="inlineStr">
        <is>
          <t>0 governed relationships</t>
        </is>
      </c>
      <c r="F64" s="12" t="inlineStr">
        <is>
          <t>0 governed relationships</t>
        </is>
      </c>
      <c r="G64" s="12" t="inlineStr">
        <is>
          <t>0 governed relationships</t>
        </is>
      </c>
      <c r="H64" s="32" t="n">
        <v>0</v>
      </c>
      <c r="I64" s="32" t="n">
        <v>60</v>
      </c>
      <c r="J64" s="12" t="inlineStr">
        <is>
          <t>Attention: Schedule scope has no governed cost relationships in this WBS branch.</t>
        </is>
      </c>
      <c r="K64" s="17" t="inlineStr">
        <is>
          <t>08 CROSSWALK</t>
        </is>
      </c>
    </row>
    <row r="65" ht="34" customHeight="1">
      <c r="A65" s="12" t="inlineStr">
        <is>
          <t>1.5.2.1</t>
        </is>
      </c>
      <c r="B65" s="60" t="inlineStr">
        <is>
          <t>Dynamic Testing - Mainline</t>
        </is>
      </c>
      <c r="C65" s="32" t="n">
        <v>4</v>
      </c>
      <c r="D65" s="12" t="inlineStr">
        <is>
          <t>0 governed relationships</t>
        </is>
      </c>
      <c r="E65" s="12" t="inlineStr">
        <is>
          <t>0 governed relationships</t>
        </is>
      </c>
      <c r="F65" s="12" t="inlineStr">
        <is>
          <t>0 governed relationships</t>
        </is>
      </c>
      <c r="G65" s="12" t="inlineStr">
        <is>
          <t>0 governed relationships</t>
        </is>
      </c>
      <c r="H65" s="32" t="n">
        <v>0</v>
      </c>
      <c r="I65" s="32" t="n">
        <v>0</v>
      </c>
      <c r="J65" s="12" t="inlineStr">
        <is>
          <t>Partial: No governed schedule or cost relationships in this WBS branch.</t>
        </is>
      </c>
      <c r="K65" s="17" t="inlineStr">
        <is>
          <t>08 CROSSWALK</t>
        </is>
      </c>
    </row>
    <row r="66" ht="34" customHeight="1">
      <c r="A66" s="12" t="inlineStr">
        <is>
          <t>1.5.2.2</t>
        </is>
      </c>
      <c r="B66" s="60" t="inlineStr">
        <is>
          <t>Dynamic Testing - Depot &amp; Stations</t>
        </is>
      </c>
      <c r="C66" s="32" t="n">
        <v>4</v>
      </c>
      <c r="D66" s="12" t="inlineStr">
        <is>
          <t>0 governed relationships</t>
        </is>
      </c>
      <c r="E66" s="12" t="inlineStr">
        <is>
          <t>0 governed relationships</t>
        </is>
      </c>
      <c r="F66" s="12" t="inlineStr">
        <is>
          <t>0 governed relationships</t>
        </is>
      </c>
      <c r="G66" s="12" t="inlineStr">
        <is>
          <t>0 governed relationships</t>
        </is>
      </c>
      <c r="H66" s="32" t="n">
        <v>0</v>
      </c>
      <c r="I66" s="32" t="n">
        <v>0</v>
      </c>
      <c r="J66" s="12" t="inlineStr">
        <is>
          <t>Partial: No governed schedule or cost relationships in this WBS branch.</t>
        </is>
      </c>
      <c r="K66" s="17" t="inlineStr">
        <is>
          <t>08 CROSSWALK</t>
        </is>
      </c>
    </row>
    <row r="67" ht="34" customHeight="1">
      <c r="A67" s="12" t="inlineStr">
        <is>
          <t>1.5.3</t>
        </is>
      </c>
      <c r="B67" s="59" t="inlineStr">
        <is>
          <t>Testing and Commissioning - Safety Certification</t>
        </is>
      </c>
      <c r="C67" s="32" t="n">
        <v>3</v>
      </c>
      <c r="D67" s="12" t="inlineStr">
        <is>
          <t>0 governed relationships</t>
        </is>
      </c>
      <c r="E67" s="12" t="inlineStr">
        <is>
          <t>0 governed relationships</t>
        </is>
      </c>
      <c r="F67" s="12" t="inlineStr">
        <is>
          <t>0 governed relationships</t>
        </is>
      </c>
      <c r="G67" s="12" t="inlineStr">
        <is>
          <t>0 governed relationships</t>
        </is>
      </c>
      <c r="H67" s="32" t="n">
        <v>0</v>
      </c>
      <c r="I67" s="32" t="n">
        <v>0</v>
      </c>
      <c r="J67" s="12" t="inlineStr">
        <is>
          <t>Partial: No governed schedule or cost relationships in this WBS branch.</t>
        </is>
      </c>
      <c r="K67" s="17" t="inlineStr">
        <is>
          <t>08 CROSSWALK</t>
        </is>
      </c>
    </row>
    <row r="68" ht="34" customHeight="1">
      <c r="A68" s="12" t="inlineStr">
        <is>
          <t>1.5.3.1</t>
        </is>
      </c>
      <c r="B68" s="60" t="inlineStr">
        <is>
          <t>Safety Certification - Mainline</t>
        </is>
      </c>
      <c r="C68" s="32" t="n">
        <v>4</v>
      </c>
      <c r="D68" s="12" t="inlineStr">
        <is>
          <t>0 governed relationships</t>
        </is>
      </c>
      <c r="E68" s="12" t="inlineStr">
        <is>
          <t>0 governed relationships</t>
        </is>
      </c>
      <c r="F68" s="12" t="inlineStr">
        <is>
          <t>0 governed relationships</t>
        </is>
      </c>
      <c r="G68" s="12" t="inlineStr">
        <is>
          <t>0 governed relationships</t>
        </is>
      </c>
      <c r="H68" s="32" t="n">
        <v>0</v>
      </c>
      <c r="I68" s="32" t="n">
        <v>0</v>
      </c>
      <c r="J68" s="12" t="inlineStr">
        <is>
          <t>Partial: No governed schedule or cost relationships in this WBS branch.</t>
        </is>
      </c>
      <c r="K68" s="17" t="inlineStr">
        <is>
          <t>08 CROSSWALK</t>
        </is>
      </c>
    </row>
    <row r="69" ht="34" customHeight="1">
      <c r="A69" s="12" t="inlineStr">
        <is>
          <t>1.5.3.2</t>
        </is>
      </c>
      <c r="B69" s="60" t="inlineStr">
        <is>
          <t>Safety Certification - Depot &amp; Stations</t>
        </is>
      </c>
      <c r="C69" s="32" t="n">
        <v>4</v>
      </c>
      <c r="D69" s="12" t="inlineStr">
        <is>
          <t>0 governed relationships</t>
        </is>
      </c>
      <c r="E69" s="12" t="inlineStr">
        <is>
          <t>0 governed relationships</t>
        </is>
      </c>
      <c r="F69" s="12" t="inlineStr">
        <is>
          <t>0 governed relationships</t>
        </is>
      </c>
      <c r="G69" s="12" t="inlineStr">
        <is>
          <t>0 governed relationships</t>
        </is>
      </c>
      <c r="H69" s="32" t="n">
        <v>0</v>
      </c>
      <c r="I69" s="32" t="n">
        <v>0</v>
      </c>
      <c r="J69" s="12" t="inlineStr">
        <is>
          <t>Partial: No governed schedule or cost relationships in this WBS branch.</t>
        </is>
      </c>
      <c r="K69" s="17" t="inlineStr">
        <is>
          <t>08 CROSSWALK</t>
        </is>
      </c>
    </row>
    <row r="70" ht="34" customHeight="1">
      <c r="A70" s="12" t="inlineStr">
        <is>
          <t>1.5.4</t>
        </is>
      </c>
      <c r="B70" s="59" t="inlineStr">
        <is>
          <t>Testing and Commissioning - Service Readiness</t>
        </is>
      </c>
      <c r="C70" s="32" t="n">
        <v>3</v>
      </c>
      <c r="D70" s="12" t="inlineStr">
        <is>
          <t>0 governed relationships</t>
        </is>
      </c>
      <c r="E70" s="12" t="inlineStr">
        <is>
          <t>0 governed relationships</t>
        </is>
      </c>
      <c r="F70" s="12" t="inlineStr">
        <is>
          <t>0 governed relationships</t>
        </is>
      </c>
      <c r="G70" s="12" t="inlineStr">
        <is>
          <t>0 governed relationships</t>
        </is>
      </c>
      <c r="H70" s="32" t="n">
        <v>0</v>
      </c>
      <c r="I70" s="32" t="n">
        <v>0</v>
      </c>
      <c r="J70" s="12" t="inlineStr">
        <is>
          <t>Partial: No governed schedule or cost relationships in this WBS branch.</t>
        </is>
      </c>
      <c r="K70" s="17" t="inlineStr">
        <is>
          <t>08 CROSSWALK</t>
        </is>
      </c>
    </row>
    <row r="71" ht="34" customHeight="1">
      <c r="A71" s="12" t="inlineStr">
        <is>
          <t>1.5.4.1</t>
        </is>
      </c>
      <c r="B71" s="60" t="inlineStr">
        <is>
          <t>Service Readiness - Mainline</t>
        </is>
      </c>
      <c r="C71" s="32" t="n">
        <v>4</v>
      </c>
      <c r="D71" s="12" t="inlineStr">
        <is>
          <t>0 governed relationships</t>
        </is>
      </c>
      <c r="E71" s="12" t="inlineStr">
        <is>
          <t>0 governed relationships</t>
        </is>
      </c>
      <c r="F71" s="12" t="inlineStr">
        <is>
          <t>0 governed relationships</t>
        </is>
      </c>
      <c r="G71" s="12" t="inlineStr">
        <is>
          <t>0 governed relationships</t>
        </is>
      </c>
      <c r="H71" s="32" t="n">
        <v>0</v>
      </c>
      <c r="I71" s="32" t="n">
        <v>0</v>
      </c>
      <c r="J71" s="12" t="inlineStr">
        <is>
          <t>Partial: No governed schedule or cost relationships in this WBS branch.</t>
        </is>
      </c>
      <c r="K71" s="17" t="inlineStr">
        <is>
          <t>08 CROSSWALK</t>
        </is>
      </c>
    </row>
    <row r="72" ht="34" customHeight="1">
      <c r="A72" s="12" t="inlineStr">
        <is>
          <t>1.5.4.2</t>
        </is>
      </c>
      <c r="B72" s="60" t="inlineStr">
        <is>
          <t>Service Readiness - Depot &amp; Stations</t>
        </is>
      </c>
      <c r="C72" s="32" t="n">
        <v>4</v>
      </c>
      <c r="D72" s="12" t="inlineStr">
        <is>
          <t>0 governed relationships</t>
        </is>
      </c>
      <c r="E72" s="12" t="inlineStr">
        <is>
          <t>0 governed relationships</t>
        </is>
      </c>
      <c r="F72" s="12" t="inlineStr">
        <is>
          <t>0 governed relationships</t>
        </is>
      </c>
      <c r="G72" s="12" t="inlineStr">
        <is>
          <t>0 governed relationships</t>
        </is>
      </c>
      <c r="H72" s="32" t="n">
        <v>0</v>
      </c>
      <c r="I72" s="32" t="n">
        <v>0</v>
      </c>
      <c r="J72" s="12" t="inlineStr">
        <is>
          <t>Partial: No governed schedule or cost relationships in this WBS branch.</t>
        </is>
      </c>
      <c r="K72" s="17" t="inlineStr">
        <is>
          <t>08 CROSSWALK</t>
        </is>
      </c>
    </row>
    <row r="73" ht="64" customHeight="1">
      <c r="A73" s="12" t="inlineStr">
        <is>
          <t>1.6</t>
        </is>
      </c>
      <c r="B73" s="58" t="inlineStr">
        <is>
          <t>Program Management</t>
        </is>
      </c>
      <c r="C73" s="32" t="n">
        <v>2</v>
      </c>
      <c r="D73" s="12" t="inlineStr">
        <is>
          <t>0 governed relationships</t>
        </is>
      </c>
      <c r="E73" s="12" t="inlineStr">
        <is>
          <t>80 governed relationships</t>
        </is>
      </c>
      <c r="F73" s="12" t="inlineStr">
        <is>
          <t>10 governed relationships</t>
        </is>
      </c>
      <c r="G73" s="12" t="inlineStr">
        <is>
          <t>0 governed relationships</t>
        </is>
      </c>
      <c r="H73" s="32" t="n">
        <v>0</v>
      </c>
      <c r="I73" s="32" t="n">
        <v>90</v>
      </c>
      <c r="J73" s="12" t="inlineStr">
        <is>
          <t>Attention: Cost scope has no governed schedule relationships in this WBS branch. 10 package/contract relationships also project through this branch.</t>
        </is>
      </c>
      <c r="K73" s="17" t="inlineStr">
        <is>
          <t>08 CROSSWALK</t>
        </is>
      </c>
    </row>
    <row r="74" ht="49" customHeight="1">
      <c r="A74" s="12" t="inlineStr">
        <is>
          <t>1.6.1</t>
        </is>
      </c>
      <c r="B74" s="59" t="inlineStr">
        <is>
          <t>Program Management - Program Controls</t>
        </is>
      </c>
      <c r="C74" s="32" t="n">
        <v>3</v>
      </c>
      <c r="D74" s="12" t="inlineStr">
        <is>
          <t>0 governed relationships</t>
        </is>
      </c>
      <c r="E74" s="12" t="inlineStr">
        <is>
          <t>40 governed relationships</t>
        </is>
      </c>
      <c r="F74" s="12" t="inlineStr">
        <is>
          <t>0 governed relationships</t>
        </is>
      </c>
      <c r="G74" s="12" t="inlineStr">
        <is>
          <t>0 governed relationships</t>
        </is>
      </c>
      <c r="H74" s="32" t="n">
        <v>0</v>
      </c>
      <c r="I74" s="32" t="n">
        <v>40</v>
      </c>
      <c r="J74" s="12" t="inlineStr">
        <is>
          <t>Attention: Cost scope has no governed schedule relationships in this WBS branch.</t>
        </is>
      </c>
      <c r="K74" s="17" t="inlineStr">
        <is>
          <t>08 CROSSWALK</t>
        </is>
      </c>
    </row>
    <row r="75" ht="34" customHeight="1">
      <c r="A75" s="12" t="inlineStr">
        <is>
          <t>1.6.1.1</t>
        </is>
      </c>
      <c r="B75" s="60" t="inlineStr">
        <is>
          <t>Program Controls - Owner Team</t>
        </is>
      </c>
      <c r="C75" s="32" t="n">
        <v>4</v>
      </c>
      <c r="D75" s="12" t="inlineStr">
        <is>
          <t>0 governed relationships</t>
        </is>
      </c>
      <c r="E75" s="12" t="inlineStr">
        <is>
          <t>0 governed relationships</t>
        </is>
      </c>
      <c r="F75" s="12" t="inlineStr">
        <is>
          <t>0 governed relationships</t>
        </is>
      </c>
      <c r="G75" s="12" t="inlineStr">
        <is>
          <t>0 governed relationships</t>
        </is>
      </c>
      <c r="H75" s="32" t="n">
        <v>0</v>
      </c>
      <c r="I75" s="32" t="n">
        <v>0</v>
      </c>
      <c r="J75" s="12" t="inlineStr">
        <is>
          <t>Partial: No governed schedule or cost relationships in this WBS branch.</t>
        </is>
      </c>
      <c r="K75" s="17" t="inlineStr">
        <is>
          <t>08 CROSSWALK</t>
        </is>
      </c>
    </row>
    <row r="76" ht="34" customHeight="1">
      <c r="A76" s="12" t="inlineStr">
        <is>
          <t>1.6.1.2</t>
        </is>
      </c>
      <c r="B76" s="60" t="inlineStr">
        <is>
          <t>Program Controls - Delivery Partners</t>
        </is>
      </c>
      <c r="C76" s="32" t="n">
        <v>4</v>
      </c>
      <c r="D76" s="12" t="inlineStr">
        <is>
          <t>0 governed relationships</t>
        </is>
      </c>
      <c r="E76" s="12" t="inlineStr">
        <is>
          <t>0 governed relationships</t>
        </is>
      </c>
      <c r="F76" s="12" t="inlineStr">
        <is>
          <t>0 governed relationships</t>
        </is>
      </c>
      <c r="G76" s="12" t="inlineStr">
        <is>
          <t>0 governed relationships</t>
        </is>
      </c>
      <c r="H76" s="32" t="n">
        <v>0</v>
      </c>
      <c r="I76" s="32" t="n">
        <v>0</v>
      </c>
      <c r="J76" s="12" t="inlineStr">
        <is>
          <t>Partial: No governed schedule or cost relationships in this WBS branch.</t>
        </is>
      </c>
      <c r="K76" s="17" t="inlineStr">
        <is>
          <t>08 CROSSWALK</t>
        </is>
      </c>
    </row>
    <row r="77" ht="49" customHeight="1">
      <c r="A77" s="12" t="inlineStr">
        <is>
          <t>1.6.2</t>
        </is>
      </c>
      <c r="B77" s="59" t="inlineStr">
        <is>
          <t>Program Management - Commercial &amp; Procurement</t>
        </is>
      </c>
      <c r="C77" s="32" t="n">
        <v>3</v>
      </c>
      <c r="D77" s="12" t="inlineStr">
        <is>
          <t>0 governed relationships</t>
        </is>
      </c>
      <c r="E77" s="12" t="inlineStr">
        <is>
          <t>40 governed relationships</t>
        </is>
      </c>
      <c r="F77" s="12" t="inlineStr">
        <is>
          <t>0 governed relationships</t>
        </is>
      </c>
      <c r="G77" s="12" t="inlineStr">
        <is>
          <t>0 governed relationships</t>
        </is>
      </c>
      <c r="H77" s="32" t="n">
        <v>0</v>
      </c>
      <c r="I77" s="32" t="n">
        <v>40</v>
      </c>
      <c r="J77" s="12" t="inlineStr">
        <is>
          <t>Attention: Cost scope has no governed schedule relationships in this WBS branch.</t>
        </is>
      </c>
      <c r="K77" s="17" t="inlineStr">
        <is>
          <t>08 CROSSWALK</t>
        </is>
      </c>
    </row>
    <row r="78" ht="34" customHeight="1">
      <c r="A78" s="12" t="inlineStr">
        <is>
          <t>1.6.2.1</t>
        </is>
      </c>
      <c r="B78" s="60" t="inlineStr">
        <is>
          <t>Commercial &amp; Procurement - Owner Team</t>
        </is>
      </c>
      <c r="C78" s="32" t="n">
        <v>4</v>
      </c>
      <c r="D78" s="12" t="inlineStr">
        <is>
          <t>0 governed relationships</t>
        </is>
      </c>
      <c r="E78" s="12" t="inlineStr">
        <is>
          <t>0 governed relationships</t>
        </is>
      </c>
      <c r="F78" s="12" t="inlineStr">
        <is>
          <t>0 governed relationships</t>
        </is>
      </c>
      <c r="G78" s="12" t="inlineStr">
        <is>
          <t>0 governed relationships</t>
        </is>
      </c>
      <c r="H78" s="32" t="n">
        <v>0</v>
      </c>
      <c r="I78" s="32" t="n">
        <v>0</v>
      </c>
      <c r="J78" s="12" t="inlineStr">
        <is>
          <t>Partial: No governed schedule or cost relationships in this WBS branch.</t>
        </is>
      </c>
      <c r="K78" s="17" t="inlineStr">
        <is>
          <t>08 CROSSWALK</t>
        </is>
      </c>
    </row>
    <row r="79" ht="34" customHeight="1">
      <c r="A79" s="12" t="inlineStr">
        <is>
          <t>1.6.2.2</t>
        </is>
      </c>
      <c r="B79" s="60" t="inlineStr">
        <is>
          <t>Commercial &amp; Procurement - Delivery Partners</t>
        </is>
      </c>
      <c r="C79" s="32" t="n">
        <v>4</v>
      </c>
      <c r="D79" s="12" t="inlineStr">
        <is>
          <t>0 governed relationships</t>
        </is>
      </c>
      <c r="E79" s="12" t="inlineStr">
        <is>
          <t>0 governed relationships</t>
        </is>
      </c>
      <c r="F79" s="12" t="inlineStr">
        <is>
          <t>0 governed relationships</t>
        </is>
      </c>
      <c r="G79" s="12" t="inlineStr">
        <is>
          <t>0 governed relationships</t>
        </is>
      </c>
      <c r="H79" s="32" t="n">
        <v>0</v>
      </c>
      <c r="I79" s="32" t="n">
        <v>0</v>
      </c>
      <c r="J79" s="12" t="inlineStr">
        <is>
          <t>Partial: No governed schedule or cost relationships in this WBS branch.</t>
        </is>
      </c>
      <c r="K79" s="17" t="inlineStr">
        <is>
          <t>08 CROSSWALK</t>
        </is>
      </c>
    </row>
    <row r="80" ht="34" customHeight="1">
      <c r="A80" s="12" t="inlineStr">
        <is>
          <t>1.6.3</t>
        </is>
      </c>
      <c r="B80" s="59" t="inlineStr">
        <is>
          <t>Program Management - Stakeholder &amp; Permits</t>
        </is>
      </c>
      <c r="C80" s="32" t="n">
        <v>3</v>
      </c>
      <c r="D80" s="12" t="inlineStr">
        <is>
          <t>0 governed relationships</t>
        </is>
      </c>
      <c r="E80" s="12" t="inlineStr">
        <is>
          <t>0 governed relationships</t>
        </is>
      </c>
      <c r="F80" s="12" t="inlineStr">
        <is>
          <t>0 governed relationships</t>
        </is>
      </c>
      <c r="G80" s="12" t="inlineStr">
        <is>
          <t>0 governed relationships</t>
        </is>
      </c>
      <c r="H80" s="32" t="n">
        <v>0</v>
      </c>
      <c r="I80" s="32" t="n">
        <v>0</v>
      </c>
      <c r="J80" s="12" t="inlineStr">
        <is>
          <t>Partial: No governed schedule or cost relationships in this WBS branch.</t>
        </is>
      </c>
      <c r="K80" s="17" t="inlineStr">
        <is>
          <t>08 CROSSWALK</t>
        </is>
      </c>
    </row>
    <row r="81" ht="34" customHeight="1">
      <c r="A81" s="12" t="inlineStr">
        <is>
          <t>1.6.3.1</t>
        </is>
      </c>
      <c r="B81" s="60" t="inlineStr">
        <is>
          <t>Stakeholder &amp; Permits - Owner Team</t>
        </is>
      </c>
      <c r="C81" s="32" t="n">
        <v>4</v>
      </c>
      <c r="D81" s="12" t="inlineStr">
        <is>
          <t>0 governed relationships</t>
        </is>
      </c>
      <c r="E81" s="12" t="inlineStr">
        <is>
          <t>0 governed relationships</t>
        </is>
      </c>
      <c r="F81" s="12" t="inlineStr">
        <is>
          <t>0 governed relationships</t>
        </is>
      </c>
      <c r="G81" s="12" t="inlineStr">
        <is>
          <t>0 governed relationships</t>
        </is>
      </c>
      <c r="H81" s="32" t="n">
        <v>0</v>
      </c>
      <c r="I81" s="32" t="n">
        <v>0</v>
      </c>
      <c r="J81" s="12" t="inlineStr">
        <is>
          <t>Partial: No governed schedule or cost relationships in this WBS branch.</t>
        </is>
      </c>
      <c r="K81" s="17" t="inlineStr">
        <is>
          <t>08 CROSSWALK</t>
        </is>
      </c>
    </row>
    <row r="82" ht="34" customHeight="1">
      <c r="A82" s="12" t="inlineStr">
        <is>
          <t>1.6.3.2</t>
        </is>
      </c>
      <c r="B82" s="60" t="inlineStr">
        <is>
          <t>Stakeholder &amp; Permits - Delivery Partners</t>
        </is>
      </c>
      <c r="C82" s="32" t="n">
        <v>4</v>
      </c>
      <c r="D82" s="12" t="inlineStr">
        <is>
          <t>0 governed relationships</t>
        </is>
      </c>
      <c r="E82" s="12" t="inlineStr">
        <is>
          <t>0 governed relationships</t>
        </is>
      </c>
      <c r="F82" s="12" t="inlineStr">
        <is>
          <t>0 governed relationships</t>
        </is>
      </c>
      <c r="G82" s="12" t="inlineStr">
        <is>
          <t>0 governed relationships</t>
        </is>
      </c>
      <c r="H82" s="32" t="n">
        <v>0</v>
      </c>
      <c r="I82" s="32" t="n">
        <v>0</v>
      </c>
      <c r="J82" s="12" t="inlineStr">
        <is>
          <t>Partial: No governed schedule or cost relationships in this WBS branch.</t>
        </is>
      </c>
      <c r="K82" s="17" t="inlineStr">
        <is>
          <t>08 CROSSWALK</t>
        </is>
      </c>
    </row>
    <row r="83" ht="34" customHeight="1">
      <c r="A83" s="12" t="inlineStr">
        <is>
          <t>1.6.4</t>
        </is>
      </c>
      <c r="B83" s="59" t="inlineStr">
        <is>
          <t>Program Management - Delivery Integration</t>
        </is>
      </c>
      <c r="C83" s="32" t="n">
        <v>3</v>
      </c>
      <c r="D83" s="12" t="inlineStr">
        <is>
          <t>0 governed relationships</t>
        </is>
      </c>
      <c r="E83" s="12" t="inlineStr">
        <is>
          <t>0 governed relationships</t>
        </is>
      </c>
      <c r="F83" s="12" t="inlineStr">
        <is>
          <t>0 governed relationships</t>
        </is>
      </c>
      <c r="G83" s="12" t="inlineStr">
        <is>
          <t>0 governed relationships</t>
        </is>
      </c>
      <c r="H83" s="32" t="n">
        <v>0</v>
      </c>
      <c r="I83" s="32" t="n">
        <v>0</v>
      </c>
      <c r="J83" s="12" t="inlineStr">
        <is>
          <t>Partial: No governed schedule or cost relationships in this WBS branch.</t>
        </is>
      </c>
      <c r="K83" s="17" t="inlineStr">
        <is>
          <t>08 CROSSWALK</t>
        </is>
      </c>
    </row>
    <row r="84" ht="34" customHeight="1">
      <c r="A84" s="12" t="inlineStr">
        <is>
          <t>1.6.4.1</t>
        </is>
      </c>
      <c r="B84" s="60" t="inlineStr">
        <is>
          <t>Delivery Integration - Owner Team</t>
        </is>
      </c>
      <c r="C84" s="32" t="n">
        <v>4</v>
      </c>
      <c r="D84" s="12" t="inlineStr">
        <is>
          <t>0 governed relationships</t>
        </is>
      </c>
      <c r="E84" s="12" t="inlineStr">
        <is>
          <t>0 governed relationships</t>
        </is>
      </c>
      <c r="F84" s="12" t="inlineStr">
        <is>
          <t>0 governed relationships</t>
        </is>
      </c>
      <c r="G84" s="12" t="inlineStr">
        <is>
          <t>0 governed relationships</t>
        </is>
      </c>
      <c r="H84" s="32" t="n">
        <v>0</v>
      </c>
      <c r="I84" s="32" t="n">
        <v>0</v>
      </c>
      <c r="J84" s="12" t="inlineStr">
        <is>
          <t>Partial: No governed schedule or cost relationships in this WBS branch.</t>
        </is>
      </c>
      <c r="K84" s="17" t="inlineStr">
        <is>
          <t>08 CROSSWALK</t>
        </is>
      </c>
    </row>
    <row r="85" ht="34" customHeight="1">
      <c r="A85" s="12" t="inlineStr">
        <is>
          <t>1.6.4.2</t>
        </is>
      </c>
      <c r="B85" s="60" t="inlineStr">
        <is>
          <t>Delivery Integration - Delivery Partners</t>
        </is>
      </c>
      <c r="C85" s="32" t="n">
        <v>4</v>
      </c>
      <c r="D85" s="12" t="inlineStr">
        <is>
          <t>0 governed relationships</t>
        </is>
      </c>
      <c r="E85" s="12" t="inlineStr">
        <is>
          <t>0 governed relationships</t>
        </is>
      </c>
      <c r="F85" s="12" t="inlineStr">
        <is>
          <t>0 governed relationships</t>
        </is>
      </c>
      <c r="G85" s="12" t="inlineStr">
        <is>
          <t>0 governed relationships</t>
        </is>
      </c>
      <c r="H85" s="32" t="n">
        <v>0</v>
      </c>
      <c r="I85" s="32" t="n">
        <v>0</v>
      </c>
      <c r="J85" s="12" t="inlineStr">
        <is>
          <t>Partial: No governed schedule or cost relationships in this WBS branch.</t>
        </is>
      </c>
      <c r="K85" s="17" t="inlineStr">
        <is>
          <t>08 CROSSWALK</t>
        </is>
      </c>
    </row>
  </sheetData>
  <autoFilter ref="A5:K85"/>
  <mergeCells count="3">
    <mergeCell ref="A1:D1"/>
    <mergeCell ref="A4:D4"/>
    <mergeCell ref="A2:D2"/>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A4" r:id="rId10"/>
    <hyperlink xmlns:r="http://schemas.openxmlformats.org/officeDocument/2006/relationships" ref="K6" r:id="rId11"/>
    <hyperlink xmlns:r="http://schemas.openxmlformats.org/officeDocument/2006/relationships" ref="K7" tooltip="First relationship in this approved WBS branch; use the WBS Explorer hierarchy and Target WBS filter to inspect all descendant targets." r:id="rId12"/>
    <hyperlink xmlns:r="http://schemas.openxmlformats.org/officeDocument/2006/relationships" ref="K8" tooltip="First relationship in this approved WBS branch; use the WBS Explorer hierarchy and Target WBS filter to inspect all descendant targets." r:id="rId13"/>
    <hyperlink xmlns:r="http://schemas.openxmlformats.org/officeDocument/2006/relationships" ref="K9" tooltip="First relationship in this approved WBS branch; use the WBS Explorer hierarchy and Target WBS filter to inspect all descendant targets." r:id="rId14"/>
    <hyperlink xmlns:r="http://schemas.openxmlformats.org/officeDocument/2006/relationships" ref="K10" r:id="rId15"/>
    <hyperlink xmlns:r="http://schemas.openxmlformats.org/officeDocument/2006/relationships" ref="K11" r:id="rId16"/>
    <hyperlink xmlns:r="http://schemas.openxmlformats.org/officeDocument/2006/relationships" ref="K12" tooltip="First relationship in this approved WBS branch; use the WBS Explorer hierarchy and Target WBS filter to inspect all descendant targets." r:id="rId17"/>
    <hyperlink xmlns:r="http://schemas.openxmlformats.org/officeDocument/2006/relationships" ref="K13" r:id="rId18"/>
    <hyperlink xmlns:r="http://schemas.openxmlformats.org/officeDocument/2006/relationships" ref="K14" r:id="rId19"/>
    <hyperlink xmlns:r="http://schemas.openxmlformats.org/officeDocument/2006/relationships" ref="K15" r:id="rId20"/>
    <hyperlink xmlns:r="http://schemas.openxmlformats.org/officeDocument/2006/relationships" ref="K16" r:id="rId21"/>
    <hyperlink xmlns:r="http://schemas.openxmlformats.org/officeDocument/2006/relationships" ref="K17" r:id="rId22"/>
    <hyperlink xmlns:r="http://schemas.openxmlformats.org/officeDocument/2006/relationships" ref="K18" r:id="rId23"/>
    <hyperlink xmlns:r="http://schemas.openxmlformats.org/officeDocument/2006/relationships" ref="K19" r:id="rId24"/>
    <hyperlink xmlns:r="http://schemas.openxmlformats.org/officeDocument/2006/relationships" ref="K20" r:id="rId25"/>
    <hyperlink xmlns:r="http://schemas.openxmlformats.org/officeDocument/2006/relationships" ref="K21" tooltip="First relationship in this approved WBS branch; use the WBS Explorer hierarchy and Target WBS filter to inspect all descendant targets." r:id="rId26"/>
    <hyperlink xmlns:r="http://schemas.openxmlformats.org/officeDocument/2006/relationships" ref="K22" tooltip="First relationship in this approved WBS branch; use the WBS Explorer hierarchy and Target WBS filter to inspect all descendant targets." r:id="rId27"/>
    <hyperlink xmlns:r="http://schemas.openxmlformats.org/officeDocument/2006/relationships" ref="K23" r:id="rId28"/>
    <hyperlink xmlns:r="http://schemas.openxmlformats.org/officeDocument/2006/relationships" ref="K24" r:id="rId29"/>
    <hyperlink xmlns:r="http://schemas.openxmlformats.org/officeDocument/2006/relationships" ref="K25" tooltip="First relationship in this approved WBS branch; use the WBS Explorer hierarchy and Target WBS filter to inspect all descendant targets." r:id="rId30"/>
    <hyperlink xmlns:r="http://schemas.openxmlformats.org/officeDocument/2006/relationships" ref="K26" r:id="rId31"/>
    <hyperlink xmlns:r="http://schemas.openxmlformats.org/officeDocument/2006/relationships" ref="K27" r:id="rId32"/>
    <hyperlink xmlns:r="http://schemas.openxmlformats.org/officeDocument/2006/relationships" ref="K28" r:id="rId33"/>
    <hyperlink xmlns:r="http://schemas.openxmlformats.org/officeDocument/2006/relationships" ref="K29" r:id="rId34"/>
    <hyperlink xmlns:r="http://schemas.openxmlformats.org/officeDocument/2006/relationships" ref="K30" r:id="rId35"/>
    <hyperlink xmlns:r="http://schemas.openxmlformats.org/officeDocument/2006/relationships" ref="K31" r:id="rId36"/>
    <hyperlink xmlns:r="http://schemas.openxmlformats.org/officeDocument/2006/relationships" ref="K32" r:id="rId37"/>
    <hyperlink xmlns:r="http://schemas.openxmlformats.org/officeDocument/2006/relationships" ref="K33" r:id="rId38"/>
    <hyperlink xmlns:r="http://schemas.openxmlformats.org/officeDocument/2006/relationships" ref="K34" tooltip="First relationship in this approved WBS branch; use the WBS Explorer hierarchy and Target WBS filter to inspect all descendant targets." r:id="rId39"/>
    <hyperlink xmlns:r="http://schemas.openxmlformats.org/officeDocument/2006/relationships" ref="K35" tooltip="First relationship in this approved WBS branch; use the WBS Explorer hierarchy and Target WBS filter to inspect all descendant targets." r:id="rId40"/>
    <hyperlink xmlns:r="http://schemas.openxmlformats.org/officeDocument/2006/relationships" ref="K36" r:id="rId41"/>
    <hyperlink xmlns:r="http://schemas.openxmlformats.org/officeDocument/2006/relationships" ref="K37" r:id="rId42"/>
    <hyperlink xmlns:r="http://schemas.openxmlformats.org/officeDocument/2006/relationships" ref="K38" tooltip="First relationship in this approved WBS branch; use the WBS Explorer hierarchy and Target WBS filter to inspect all descendant targets." r:id="rId43"/>
    <hyperlink xmlns:r="http://schemas.openxmlformats.org/officeDocument/2006/relationships" ref="K39" r:id="rId44"/>
    <hyperlink xmlns:r="http://schemas.openxmlformats.org/officeDocument/2006/relationships" ref="K40" r:id="rId45"/>
    <hyperlink xmlns:r="http://schemas.openxmlformats.org/officeDocument/2006/relationships" ref="K41" r:id="rId46"/>
    <hyperlink xmlns:r="http://schemas.openxmlformats.org/officeDocument/2006/relationships" ref="K42" r:id="rId47"/>
    <hyperlink xmlns:r="http://schemas.openxmlformats.org/officeDocument/2006/relationships" ref="K43" r:id="rId48"/>
    <hyperlink xmlns:r="http://schemas.openxmlformats.org/officeDocument/2006/relationships" ref="K44" r:id="rId49"/>
    <hyperlink xmlns:r="http://schemas.openxmlformats.org/officeDocument/2006/relationships" ref="K45" r:id="rId50"/>
    <hyperlink xmlns:r="http://schemas.openxmlformats.org/officeDocument/2006/relationships" ref="K46" r:id="rId51"/>
    <hyperlink xmlns:r="http://schemas.openxmlformats.org/officeDocument/2006/relationships" ref="K47" tooltip="First relationship in this approved WBS branch; use the WBS Explorer hierarchy and Target WBS filter to inspect all descendant targets." r:id="rId52"/>
    <hyperlink xmlns:r="http://schemas.openxmlformats.org/officeDocument/2006/relationships" ref="K48" tooltip="First relationship in this approved WBS branch; use the WBS Explorer hierarchy and Target WBS filter to inspect all descendant targets." r:id="rId53"/>
    <hyperlink xmlns:r="http://schemas.openxmlformats.org/officeDocument/2006/relationships" ref="K49" r:id="rId54"/>
    <hyperlink xmlns:r="http://schemas.openxmlformats.org/officeDocument/2006/relationships" ref="K50" r:id="rId55"/>
    <hyperlink xmlns:r="http://schemas.openxmlformats.org/officeDocument/2006/relationships" ref="K51" tooltip="First relationship in this approved WBS branch; use the WBS Explorer hierarchy and Target WBS filter to inspect all descendant targets." r:id="rId56"/>
    <hyperlink xmlns:r="http://schemas.openxmlformats.org/officeDocument/2006/relationships" ref="K52" r:id="rId57"/>
    <hyperlink xmlns:r="http://schemas.openxmlformats.org/officeDocument/2006/relationships" ref="K53" r:id="rId58"/>
    <hyperlink xmlns:r="http://schemas.openxmlformats.org/officeDocument/2006/relationships" ref="K54" r:id="rId59"/>
    <hyperlink xmlns:r="http://schemas.openxmlformats.org/officeDocument/2006/relationships" ref="K55" r:id="rId60"/>
    <hyperlink xmlns:r="http://schemas.openxmlformats.org/officeDocument/2006/relationships" ref="K56" r:id="rId61"/>
    <hyperlink xmlns:r="http://schemas.openxmlformats.org/officeDocument/2006/relationships" ref="K57" r:id="rId62"/>
    <hyperlink xmlns:r="http://schemas.openxmlformats.org/officeDocument/2006/relationships" ref="K58" r:id="rId63"/>
    <hyperlink xmlns:r="http://schemas.openxmlformats.org/officeDocument/2006/relationships" ref="K59" r:id="rId64"/>
    <hyperlink xmlns:r="http://schemas.openxmlformats.org/officeDocument/2006/relationships" ref="K60" tooltip="First relationship in this approved WBS branch; use the WBS Explorer hierarchy and Target WBS filter to inspect all descendant targets." r:id="rId65"/>
    <hyperlink xmlns:r="http://schemas.openxmlformats.org/officeDocument/2006/relationships" ref="K61" tooltip="First relationship in this approved WBS branch; use the WBS Explorer hierarchy and Target WBS filter to inspect all descendant targets." r:id="rId66"/>
    <hyperlink xmlns:r="http://schemas.openxmlformats.org/officeDocument/2006/relationships" ref="K62" r:id="rId67"/>
    <hyperlink xmlns:r="http://schemas.openxmlformats.org/officeDocument/2006/relationships" ref="K63" r:id="rId68"/>
    <hyperlink xmlns:r="http://schemas.openxmlformats.org/officeDocument/2006/relationships" ref="K64" tooltip="First relationship in this approved WBS branch; use the WBS Explorer hierarchy and Target WBS filter to inspect all descendant targets." r:id="rId69"/>
    <hyperlink xmlns:r="http://schemas.openxmlformats.org/officeDocument/2006/relationships" ref="K65" r:id="rId70"/>
    <hyperlink xmlns:r="http://schemas.openxmlformats.org/officeDocument/2006/relationships" ref="K66" r:id="rId71"/>
    <hyperlink xmlns:r="http://schemas.openxmlformats.org/officeDocument/2006/relationships" ref="K67" r:id="rId72"/>
    <hyperlink xmlns:r="http://schemas.openxmlformats.org/officeDocument/2006/relationships" ref="K68" r:id="rId73"/>
    <hyperlink xmlns:r="http://schemas.openxmlformats.org/officeDocument/2006/relationships" ref="K69" r:id="rId74"/>
    <hyperlink xmlns:r="http://schemas.openxmlformats.org/officeDocument/2006/relationships" ref="K70" r:id="rId75"/>
    <hyperlink xmlns:r="http://schemas.openxmlformats.org/officeDocument/2006/relationships" ref="K71" r:id="rId76"/>
    <hyperlink xmlns:r="http://schemas.openxmlformats.org/officeDocument/2006/relationships" ref="K72" r:id="rId77"/>
    <hyperlink xmlns:r="http://schemas.openxmlformats.org/officeDocument/2006/relationships" ref="K73" tooltip="First relationship in this approved WBS branch; use the WBS Explorer hierarchy and Target WBS filter to inspect all descendant targets." r:id="rId78"/>
    <hyperlink xmlns:r="http://schemas.openxmlformats.org/officeDocument/2006/relationships" ref="K74" tooltip="First relationship in this approved WBS branch; use the WBS Explorer hierarchy and Target WBS filter to inspect all descendant targets." r:id="rId79"/>
    <hyperlink xmlns:r="http://schemas.openxmlformats.org/officeDocument/2006/relationships" ref="K75" r:id="rId80"/>
    <hyperlink xmlns:r="http://schemas.openxmlformats.org/officeDocument/2006/relationships" ref="K76" r:id="rId81"/>
    <hyperlink xmlns:r="http://schemas.openxmlformats.org/officeDocument/2006/relationships" ref="K77" tooltip="First relationship in this approved WBS branch; use the WBS Explorer hierarchy and Target WBS filter to inspect all descendant targets." r:id="rId82"/>
    <hyperlink xmlns:r="http://schemas.openxmlformats.org/officeDocument/2006/relationships" ref="K78" r:id="rId83"/>
    <hyperlink xmlns:r="http://schemas.openxmlformats.org/officeDocument/2006/relationships" ref="K79" r:id="rId84"/>
    <hyperlink xmlns:r="http://schemas.openxmlformats.org/officeDocument/2006/relationships" ref="K80" r:id="rId85"/>
    <hyperlink xmlns:r="http://schemas.openxmlformats.org/officeDocument/2006/relationships" ref="K81" r:id="rId86"/>
    <hyperlink xmlns:r="http://schemas.openxmlformats.org/officeDocument/2006/relationships" ref="K82" r:id="rId87"/>
    <hyperlink xmlns:r="http://schemas.openxmlformats.org/officeDocument/2006/relationships" ref="K83" r:id="rId88"/>
    <hyperlink xmlns:r="http://schemas.openxmlformats.org/officeDocument/2006/relationships" ref="K84" r:id="rId89"/>
    <hyperlink xmlns:r="http://schemas.openxmlformats.org/officeDocument/2006/relationships" ref="K85" r:id="rId90"/>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rgb="00565B64"/>
    <outlinePr summaryBelow="0" summaryRight="0"/>
    <pageSetUpPr fitToPage="1"/>
  </sheetPr>
  <dimension ref="A1:J1628"/>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30" customWidth="1" min="2" max="2"/>
    <col width="45" customWidth="1" min="3" max="3"/>
    <col width="45" customWidth="1" min="4" max="4"/>
    <col width="46" customWidth="1" min="5" max="5"/>
    <col width="40" customWidth="1" min="6" max="6"/>
    <col width="30" customWidth="1" min="7" max="7"/>
    <col width="42" customWidth="1" min="8" max="8"/>
    <col width="40" customWidth="1" min="9" max="9"/>
    <col width="18" customWidth="1" min="10" max="10"/>
  </cols>
  <sheetData>
    <row r="1" ht="33.2" customHeight="1">
      <c r="A1" s="97" t="inlineStr">
        <is>
          <t>EVIDENCE &amp; DECISIONS</t>
        </is>
      </c>
    </row>
    <row r="2" ht="26" customHeight="1">
      <c r="A2" s="46" t="inlineStr">
        <is>
          <t>Source says → relationship / interpretation → professional decision → current governed state.</t>
        </is>
      </c>
    </row>
    <row r="3" ht="19"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row>
    <row r="4"/>
    <row r="5" ht="34" customHeight="1">
      <c r="A5" s="11" t="inlineStr">
        <is>
          <t>Relationship</t>
        </is>
      </c>
      <c r="B5" s="11" t="inlineStr">
        <is>
          <t>Source / record</t>
        </is>
      </c>
      <c r="C5" s="11" t="inlineStr">
        <is>
          <t>SOURCE SAYS</t>
        </is>
      </c>
      <c r="D5" s="11" t="inlineStr">
        <is>
          <t>RELATIONSHIP / INTERPRETATION</t>
        </is>
      </c>
      <c r="E5" s="11" t="inlineStr">
        <is>
          <t>Contrary / competing evidence</t>
        </is>
      </c>
      <c r="F5" s="11" t="inlineStr">
        <is>
          <t>PROFESSIONAL DECISION</t>
        </is>
      </c>
      <c r="G5" s="11" t="inlineStr">
        <is>
          <t>Decision scope</t>
        </is>
      </c>
      <c r="H5" s="11" t="inlineStr">
        <is>
          <t>CURRENT GOVERNED STATE</t>
        </is>
      </c>
      <c r="I5" s="11" t="inlineStr">
        <is>
          <t>Change / reopen</t>
        </is>
      </c>
      <c r="J5" s="11" t="inlineStr">
        <is>
          <t>Crosswalk</t>
        </is>
      </c>
    </row>
    <row r="6" ht="94" customHeight="1">
      <c r="A6" s="12" t="inlineStr">
        <is>
          <t>R1563-v2</t>
        </is>
      </c>
      <c r="B6" s="12" t="inlineStr">
        <is>
          <t>Commercial Package Register / PKG-001</t>
        </is>
      </c>
      <c r="C6" s="12" t="inlineStr">
        <is>
          <t>Package Code = PK-101; WBS Code = 1.1;1.2</t>
        </is>
      </c>
      <c r="D6" s="12" t="inlineStr">
        <is>
          <t>Proposed by Professional; target 1.1 Guideway and Civil</t>
        </is>
      </c>
      <c r="E6" s="12" t="inlineStr">
        <is>
          <t>Source states 'WBS Code' = '1.1;1.2' -- names no element of this WBS -- professional reason (Maya Chen, Owner Project Controls): Source package register explicitly states both Owner-WBS branches.</t>
        </is>
      </c>
      <c r="F6" s="12" t="inlineStr">
        <is>
          <t>Maya Chen, Owner Project Controls: Professional decision</t>
        </is>
      </c>
      <c r="G6" s="12" t="inlineStr">
        <is>
          <t>Individual</t>
        </is>
      </c>
      <c r="H6" s="12" t="inlineStr">
        <is>
          <t xml:space="preserve">APPROVED / ONE_TO_MANY; </t>
        </is>
      </c>
      <c r="I6" s="12" t="inlineStr">
        <is>
          <t>New</t>
        </is>
      </c>
      <c r="J6" s="17" t="inlineStr">
        <is>
          <t>08 CROSSWALK</t>
        </is>
      </c>
    </row>
    <row r="7" ht="49" customHeight="1">
      <c r="A7" s="12" t="inlineStr">
        <is>
          <t>R1564-v1</t>
        </is>
      </c>
      <c r="B7" s="12" t="inlineStr">
        <is>
          <t>Commercial Package Register / PKG-002</t>
        </is>
      </c>
      <c r="C7" s="12" t="inlineStr">
        <is>
          <t>Package Code = PK-102; WBS Code = 1.1</t>
        </is>
      </c>
      <c r="D7" s="12" t="inlineStr">
        <is>
          <t>Proposed by Source assignment; target 1.1 Guideway and Civil</t>
        </is>
      </c>
      <c r="E7" s="12" t="inlineStr">
        <is>
          <t>None recorded</t>
        </is>
      </c>
      <c r="F7" s="12" t="inlineStr">
        <is>
          <t>No individual professional decision recorded; Source assignment -- not individually reviewed</t>
        </is>
      </c>
      <c r="G7" s="12" t="inlineStr">
        <is>
          <t>Not individually decided</t>
        </is>
      </c>
      <c r="H7" s="12" t="inlineStr">
        <is>
          <t xml:space="preserve">APPROVED / ONE_TO_ONE; </t>
        </is>
      </c>
      <c r="I7" s="12" t="inlineStr">
        <is>
          <t>New</t>
        </is>
      </c>
      <c r="J7" s="17" t="inlineStr">
        <is>
          <t>08 CROSSWALK</t>
        </is>
      </c>
    </row>
    <row r="8" ht="49" customHeight="1">
      <c r="A8" s="12" t="inlineStr">
        <is>
          <t>R1565-v1</t>
        </is>
      </c>
      <c r="B8" s="12" t="inlineStr">
        <is>
          <t>Commercial Package Register / PKG-003</t>
        </is>
      </c>
      <c r="C8" s="12" t="inlineStr">
        <is>
          <t>Package Code = PK-103; WBS Code = 1.1</t>
        </is>
      </c>
      <c r="D8" s="12" t="inlineStr">
        <is>
          <t>Proposed by Source assignment; target 1.1 Guideway and Civil</t>
        </is>
      </c>
      <c r="E8" s="12" t="inlineStr">
        <is>
          <t>None recorded</t>
        </is>
      </c>
      <c r="F8" s="12" t="inlineStr">
        <is>
          <t>No individual professional decision recorded; Source assignment -- not individually reviewed</t>
        </is>
      </c>
      <c r="G8" s="12" t="inlineStr">
        <is>
          <t>Not individually decided</t>
        </is>
      </c>
      <c r="H8" s="12" t="inlineStr">
        <is>
          <t xml:space="preserve">APPROVED / ONE_TO_ONE; </t>
        </is>
      </c>
      <c r="I8" s="12" t="inlineStr">
        <is>
          <t>New</t>
        </is>
      </c>
      <c r="J8" s="17" t="inlineStr">
        <is>
          <t>08 CROSSWALK</t>
        </is>
      </c>
    </row>
    <row r="9" ht="49" customHeight="1">
      <c r="A9" s="12" t="inlineStr">
        <is>
          <t>R1566-v1</t>
        </is>
      </c>
      <c r="B9" s="12" t="inlineStr">
        <is>
          <t>Commercial Package Register / PKG-004</t>
        </is>
      </c>
      <c r="C9" s="12" t="inlineStr">
        <is>
          <t>Package Code = PK-104; WBS Code = 1.1</t>
        </is>
      </c>
      <c r="D9" s="12" t="inlineStr">
        <is>
          <t>Proposed by Source assignment; target 1.1 Guideway and Civil</t>
        </is>
      </c>
      <c r="E9" s="12" t="inlineStr">
        <is>
          <t>None recorded</t>
        </is>
      </c>
      <c r="F9" s="12" t="inlineStr">
        <is>
          <t>No individual professional decision recorded; Source assignment -- not individually reviewed</t>
        </is>
      </c>
      <c r="G9" s="12" t="inlineStr">
        <is>
          <t>Not individually decided</t>
        </is>
      </c>
      <c r="H9" s="12" t="inlineStr">
        <is>
          <t xml:space="preserve">APPROVED / ONE_TO_ONE; </t>
        </is>
      </c>
      <c r="I9" s="12" t="inlineStr">
        <is>
          <t>New</t>
        </is>
      </c>
      <c r="J9" s="17" t="inlineStr">
        <is>
          <t>08 CROSSWALK</t>
        </is>
      </c>
    </row>
    <row r="10" ht="49" customHeight="1">
      <c r="A10" s="12" t="inlineStr">
        <is>
          <t>R1567-v1</t>
        </is>
      </c>
      <c r="B10" s="12" t="inlineStr">
        <is>
          <t>Commercial Package Register / PKG-005</t>
        </is>
      </c>
      <c r="C10" s="12" t="inlineStr">
        <is>
          <t>Package Code = PK-105; WBS Code = 1.1</t>
        </is>
      </c>
      <c r="D10" s="12" t="inlineStr">
        <is>
          <t>Proposed by Source assignment; target 1.1 Guideway and Civil</t>
        </is>
      </c>
      <c r="E10" s="12" t="inlineStr">
        <is>
          <t>None recorded</t>
        </is>
      </c>
      <c r="F10" s="12" t="inlineStr">
        <is>
          <t>No individual professional decision recorded; Source assignment -- not individually reviewed</t>
        </is>
      </c>
      <c r="G10" s="12" t="inlineStr">
        <is>
          <t>Not individually decided</t>
        </is>
      </c>
      <c r="H10" s="12" t="inlineStr">
        <is>
          <t xml:space="preserve">APPROVED / ONE_TO_ONE; </t>
        </is>
      </c>
      <c r="I10" s="12" t="inlineStr">
        <is>
          <t>New</t>
        </is>
      </c>
      <c r="J10" s="17" t="inlineStr">
        <is>
          <t>08 CROSSWALK</t>
        </is>
      </c>
    </row>
    <row r="11" ht="49" customHeight="1">
      <c r="A11" s="12" t="inlineStr">
        <is>
          <t>R1568-v1</t>
        </is>
      </c>
      <c r="B11" s="12" t="inlineStr">
        <is>
          <t>Commercial Package Register / PKG-006</t>
        </is>
      </c>
      <c r="C11" s="12" t="inlineStr">
        <is>
          <t>Package Code = PK-106; WBS Code = 1.1</t>
        </is>
      </c>
      <c r="D11" s="12" t="inlineStr">
        <is>
          <t>Proposed by Source assignment; target 1.1 Guideway and Civil</t>
        </is>
      </c>
      <c r="E11" s="12" t="inlineStr">
        <is>
          <t>None recorded</t>
        </is>
      </c>
      <c r="F11" s="12" t="inlineStr">
        <is>
          <t>No individual professional decision recorded; Source assignment -- not individually reviewed</t>
        </is>
      </c>
      <c r="G11" s="12" t="inlineStr">
        <is>
          <t>Not individually decided</t>
        </is>
      </c>
      <c r="H11" s="12" t="inlineStr">
        <is>
          <t xml:space="preserve">APPROVED / ONE_TO_ONE; </t>
        </is>
      </c>
      <c r="I11" s="12" t="inlineStr">
        <is>
          <t>New</t>
        </is>
      </c>
      <c r="J11" s="17" t="inlineStr">
        <is>
          <t>08 CROSSWALK</t>
        </is>
      </c>
    </row>
    <row r="12" ht="49" customHeight="1">
      <c r="A12" s="12" t="inlineStr">
        <is>
          <t>R1569-v1</t>
        </is>
      </c>
      <c r="B12" s="12" t="inlineStr">
        <is>
          <t>Commercial Package Register / PKG-007</t>
        </is>
      </c>
      <c r="C12" s="12" t="inlineStr">
        <is>
          <t>Package Code = PK-107; WBS Code = 1.1</t>
        </is>
      </c>
      <c r="D12" s="12" t="inlineStr">
        <is>
          <t>Proposed by Source assignment; target 1.1 Guideway and Civil</t>
        </is>
      </c>
      <c r="E12" s="12" t="inlineStr">
        <is>
          <t>None recorded</t>
        </is>
      </c>
      <c r="F12" s="12" t="inlineStr">
        <is>
          <t>No individual professional decision recorded; Source assignment -- not individually reviewed</t>
        </is>
      </c>
      <c r="G12" s="12" t="inlineStr">
        <is>
          <t>Not individually decided</t>
        </is>
      </c>
      <c r="H12" s="12" t="inlineStr">
        <is>
          <t xml:space="preserve">APPROVED / ONE_TO_ONE; </t>
        </is>
      </c>
      <c r="I12" s="12" t="inlineStr">
        <is>
          <t>New</t>
        </is>
      </c>
      <c r="J12" s="17" t="inlineStr">
        <is>
          <t>08 CROSSWALK</t>
        </is>
      </c>
    </row>
    <row r="13" ht="49" customHeight="1">
      <c r="A13" s="12" t="inlineStr">
        <is>
          <t>R1570-v1</t>
        </is>
      </c>
      <c r="B13" s="12" t="inlineStr">
        <is>
          <t>Commercial Package Register / PKG-008</t>
        </is>
      </c>
      <c r="C13" s="12" t="inlineStr">
        <is>
          <t>Package Code = PK-108; WBS Code = 1.1</t>
        </is>
      </c>
      <c r="D13" s="12" t="inlineStr">
        <is>
          <t>Proposed by Source assignment; target 1.1 Guideway and Civil</t>
        </is>
      </c>
      <c r="E13" s="12" t="inlineStr">
        <is>
          <t>None recorded</t>
        </is>
      </c>
      <c r="F13" s="12" t="inlineStr">
        <is>
          <t>No individual professional decision recorded; Source assignment -- not individually reviewed</t>
        </is>
      </c>
      <c r="G13" s="12" t="inlineStr">
        <is>
          <t>Not individually decided</t>
        </is>
      </c>
      <c r="H13" s="12" t="inlineStr">
        <is>
          <t xml:space="preserve">APPROVED / ONE_TO_ONE; </t>
        </is>
      </c>
      <c r="I13" s="12" t="inlineStr">
        <is>
          <t>New</t>
        </is>
      </c>
      <c r="J13" s="17" t="inlineStr">
        <is>
          <t>08 CROSSWALK</t>
        </is>
      </c>
    </row>
    <row r="14" ht="49" customHeight="1">
      <c r="A14" s="12" t="inlineStr">
        <is>
          <t>R1571-v1</t>
        </is>
      </c>
      <c r="B14" s="12" t="inlineStr">
        <is>
          <t>Commercial Package Register / PKG-009</t>
        </is>
      </c>
      <c r="C14" s="12" t="inlineStr">
        <is>
          <t>Package Code = PK-109; WBS Code = 1.1</t>
        </is>
      </c>
      <c r="D14" s="12" t="inlineStr">
        <is>
          <t>Proposed by Source assignment; target 1.1 Guideway and Civil</t>
        </is>
      </c>
      <c r="E14" s="12" t="inlineStr">
        <is>
          <t>None recorded</t>
        </is>
      </c>
      <c r="F14" s="12" t="inlineStr">
        <is>
          <t>No individual professional decision recorded; Source assignment -- not individually reviewed</t>
        </is>
      </c>
      <c r="G14" s="12" t="inlineStr">
        <is>
          <t>Not individually decided</t>
        </is>
      </c>
      <c r="H14" s="12" t="inlineStr">
        <is>
          <t xml:space="preserve">APPROVED / ONE_TO_ONE; </t>
        </is>
      </c>
      <c r="I14" s="12" t="inlineStr">
        <is>
          <t>New</t>
        </is>
      </c>
      <c r="J14" s="17" t="inlineStr">
        <is>
          <t>08 CROSSWALK</t>
        </is>
      </c>
    </row>
    <row r="15" ht="49" customHeight="1">
      <c r="A15" s="12" t="inlineStr">
        <is>
          <t>R1572-v1</t>
        </is>
      </c>
      <c r="B15" s="12" t="inlineStr">
        <is>
          <t>Commercial Package Register / PKG-010</t>
        </is>
      </c>
      <c r="C15" s="12" t="inlineStr">
        <is>
          <t>Package Code = PK-110; WBS Code = 1.1</t>
        </is>
      </c>
      <c r="D15" s="12" t="inlineStr">
        <is>
          <t>Proposed by Source assignment; target 1.1 Guideway and Civil</t>
        </is>
      </c>
      <c r="E15" s="12" t="inlineStr">
        <is>
          <t>None recorded</t>
        </is>
      </c>
      <c r="F15" s="12" t="inlineStr">
        <is>
          <t>No individual professional decision recorded; Source assignment -- not individually reviewed</t>
        </is>
      </c>
      <c r="G15" s="12" t="inlineStr">
        <is>
          <t>Not individually decided</t>
        </is>
      </c>
      <c r="H15" s="12" t="inlineStr">
        <is>
          <t xml:space="preserve">APPROVED / ONE_TO_ONE; </t>
        </is>
      </c>
      <c r="I15" s="12" t="inlineStr">
        <is>
          <t>New</t>
        </is>
      </c>
      <c r="J15" s="17" t="inlineStr">
        <is>
          <t>08 CROSSWALK</t>
        </is>
      </c>
    </row>
    <row r="16" ht="49" customHeight="1">
      <c r="A16" s="12" t="inlineStr">
        <is>
          <t>R1-v1</t>
        </is>
      </c>
      <c r="B16" s="12" t="inlineStr">
        <is>
          <t>Contractor Programme / SCH-01-001</t>
        </is>
      </c>
      <c r="C16" s="12" t="inlineStr">
        <is>
          <t>WBS Code = 1.1.1</t>
        </is>
      </c>
      <c r="D16" s="12" t="inlineStr">
        <is>
          <t>Proposed by Source assignment; target 1.1.1 Guideway and Civil - Guideway Structures</t>
        </is>
      </c>
      <c r="E16" s="12" t="inlineStr">
        <is>
          <t>None recorded</t>
        </is>
      </c>
      <c r="F16" s="12" t="inlineStr">
        <is>
          <t>No individual professional decision recorded; Source assignment -- not individually reviewed</t>
        </is>
      </c>
      <c r="G16" s="12" t="inlineStr">
        <is>
          <t>Not individually decided</t>
        </is>
      </c>
      <c r="H16" s="12" t="inlineStr">
        <is>
          <t xml:space="preserve">APPROVED / ONE_TO_ONE; </t>
        </is>
      </c>
      <c r="I16" s="12" t="inlineStr">
        <is>
          <t>New</t>
        </is>
      </c>
      <c r="J16" s="17" t="inlineStr">
        <is>
          <t>08 CROSSWALK</t>
        </is>
      </c>
    </row>
    <row r="17" ht="49" customHeight="1">
      <c r="A17" s="12" t="inlineStr">
        <is>
          <t>R2-v1</t>
        </is>
      </c>
      <c r="B17" s="12" t="inlineStr">
        <is>
          <t>Contractor Programme / SCH-01-002</t>
        </is>
      </c>
      <c r="C17" s="12" t="inlineStr">
        <is>
          <t>WBS Code = 1.1.1</t>
        </is>
      </c>
      <c r="D17" s="12" t="inlineStr">
        <is>
          <t>Proposed by Source assignment; target 1.1.1 Guideway and Civil - Guideway Structures</t>
        </is>
      </c>
      <c r="E17" s="12" t="inlineStr">
        <is>
          <t>None recorded</t>
        </is>
      </c>
      <c r="F17" s="12" t="inlineStr">
        <is>
          <t>No individual professional decision recorded; Source assignment -- not individually reviewed</t>
        </is>
      </c>
      <c r="G17" s="12" t="inlineStr">
        <is>
          <t>Not individually decided</t>
        </is>
      </c>
      <c r="H17" s="12" t="inlineStr">
        <is>
          <t xml:space="preserve">APPROVED / ONE_TO_ONE; </t>
        </is>
      </c>
      <c r="I17" s="12" t="inlineStr">
        <is>
          <t>New</t>
        </is>
      </c>
      <c r="J17" s="17" t="inlineStr">
        <is>
          <t>08 CROSSWALK</t>
        </is>
      </c>
    </row>
    <row r="18" ht="49" customHeight="1">
      <c r="A18" s="12" t="inlineStr">
        <is>
          <t>R4-v1</t>
        </is>
      </c>
      <c r="B18" s="12" t="inlineStr">
        <is>
          <t>Contractor Programme / SCH-01-004</t>
        </is>
      </c>
      <c r="C18" s="12" t="inlineStr">
        <is>
          <t>WBS Code = 1.1.1</t>
        </is>
      </c>
      <c r="D18" s="12" t="inlineStr">
        <is>
          <t>Proposed by Source assignment; target 1.1.1 Guideway and Civil - Guideway Structures</t>
        </is>
      </c>
      <c r="E18" s="12" t="inlineStr">
        <is>
          <t>None recorded</t>
        </is>
      </c>
      <c r="F18" s="12" t="inlineStr">
        <is>
          <t>No individual professional decision recorded; Source assignment -- not individually reviewed</t>
        </is>
      </c>
      <c r="G18" s="12" t="inlineStr">
        <is>
          <t>Not individually decided</t>
        </is>
      </c>
      <c r="H18" s="12" t="inlineStr">
        <is>
          <t xml:space="preserve">APPROVED / ONE_TO_ONE; </t>
        </is>
      </c>
      <c r="I18" s="12" t="inlineStr">
        <is>
          <t>New</t>
        </is>
      </c>
      <c r="J18" s="17" t="inlineStr">
        <is>
          <t>08 CROSSWALK</t>
        </is>
      </c>
    </row>
    <row r="19" ht="49" customHeight="1">
      <c r="A19" s="12" t="inlineStr">
        <is>
          <t>R5-v1</t>
        </is>
      </c>
      <c r="B19" s="12" t="inlineStr">
        <is>
          <t>Contractor Programme / SCH-01-005</t>
        </is>
      </c>
      <c r="C19" s="12" t="inlineStr">
        <is>
          <t>WBS Code = 1.1.1</t>
        </is>
      </c>
      <c r="D19" s="12" t="inlineStr">
        <is>
          <t>Proposed by Source assignment; target 1.1.1 Guideway and Civil - Guideway Structures</t>
        </is>
      </c>
      <c r="E19" s="12" t="inlineStr">
        <is>
          <t>None recorded</t>
        </is>
      </c>
      <c r="F19" s="12" t="inlineStr">
        <is>
          <t>No individual professional decision recorded; Source assignment -- not individually reviewed</t>
        </is>
      </c>
      <c r="G19" s="12" t="inlineStr">
        <is>
          <t>Not individually decided</t>
        </is>
      </c>
      <c r="H19" s="12" t="inlineStr">
        <is>
          <t xml:space="preserve">APPROVED / ONE_TO_ONE; </t>
        </is>
      </c>
      <c r="I19" s="12" t="inlineStr">
        <is>
          <t>New</t>
        </is>
      </c>
      <c r="J19" s="17" t="inlineStr">
        <is>
          <t>08 CROSSWALK</t>
        </is>
      </c>
    </row>
    <row r="20" ht="49" customHeight="1">
      <c r="A20" s="12" t="inlineStr">
        <is>
          <t>R7-v1</t>
        </is>
      </c>
      <c r="B20" s="12" t="inlineStr">
        <is>
          <t>Contractor Programme / SCH-01-007</t>
        </is>
      </c>
      <c r="C20" s="12" t="inlineStr">
        <is>
          <t>WBS Code = 1.1.1</t>
        </is>
      </c>
      <c r="D20" s="12" t="inlineStr">
        <is>
          <t>Proposed by Source assignment; target 1.1.1 Guideway and Civil - Guideway Structures</t>
        </is>
      </c>
      <c r="E20" s="12" t="inlineStr">
        <is>
          <t>None recorded</t>
        </is>
      </c>
      <c r="F20" s="12" t="inlineStr">
        <is>
          <t>No individual professional decision recorded; Source assignment -- not individually reviewed</t>
        </is>
      </c>
      <c r="G20" s="12" t="inlineStr">
        <is>
          <t>Not individually decided</t>
        </is>
      </c>
      <c r="H20" s="12" t="inlineStr">
        <is>
          <t xml:space="preserve">APPROVED / ONE_TO_ONE; </t>
        </is>
      </c>
      <c r="I20" s="12" t="inlineStr">
        <is>
          <t>New</t>
        </is>
      </c>
      <c r="J20" s="17" t="inlineStr">
        <is>
          <t>08 CROSSWALK</t>
        </is>
      </c>
    </row>
    <row r="21" ht="49" customHeight="1">
      <c r="A21" s="12" t="inlineStr">
        <is>
          <t>R8-v1</t>
        </is>
      </c>
      <c r="B21" s="12" t="inlineStr">
        <is>
          <t>Contractor Programme / SCH-01-008</t>
        </is>
      </c>
      <c r="C21" s="12" t="inlineStr">
        <is>
          <t>WBS Code = 1.1.1</t>
        </is>
      </c>
      <c r="D21" s="12" t="inlineStr">
        <is>
          <t>Proposed by Source assignment; target 1.1.1 Guideway and Civil - Guideway Structures</t>
        </is>
      </c>
      <c r="E21" s="12" t="inlineStr">
        <is>
          <t>None recorded</t>
        </is>
      </c>
      <c r="F21" s="12" t="inlineStr">
        <is>
          <t>No individual professional decision recorded; Source assignment -- not individually reviewed</t>
        </is>
      </c>
      <c r="G21" s="12" t="inlineStr">
        <is>
          <t>Not individually decided</t>
        </is>
      </c>
      <c r="H21" s="12" t="inlineStr">
        <is>
          <t xml:space="preserve">APPROVED / ONE_TO_ONE; </t>
        </is>
      </c>
      <c r="I21" s="12" t="inlineStr">
        <is>
          <t>New</t>
        </is>
      </c>
      <c r="J21" s="17" t="inlineStr">
        <is>
          <t>08 CROSSWALK</t>
        </is>
      </c>
    </row>
    <row r="22" ht="49" customHeight="1">
      <c r="A22" s="12" t="inlineStr">
        <is>
          <t>R10-v1</t>
        </is>
      </c>
      <c r="B22" s="12" t="inlineStr">
        <is>
          <t>Contractor Programme / SCH-01-010</t>
        </is>
      </c>
      <c r="C22" s="12" t="inlineStr">
        <is>
          <t>WBS Code = 1.1.1</t>
        </is>
      </c>
      <c r="D22" s="12" t="inlineStr">
        <is>
          <t>Proposed by Source assignment; target 1.1.1 Guideway and Civil - Guideway Structures</t>
        </is>
      </c>
      <c r="E22" s="12" t="inlineStr">
        <is>
          <t>None recorded</t>
        </is>
      </c>
      <c r="F22" s="12" t="inlineStr">
        <is>
          <t>No individual professional decision recorded; Source assignment -- not individually reviewed</t>
        </is>
      </c>
      <c r="G22" s="12" t="inlineStr">
        <is>
          <t>Not individually decided</t>
        </is>
      </c>
      <c r="H22" s="12" t="inlineStr">
        <is>
          <t xml:space="preserve">APPROVED / ONE_TO_ONE; </t>
        </is>
      </c>
      <c r="I22" s="12" t="inlineStr">
        <is>
          <t>New</t>
        </is>
      </c>
      <c r="J22" s="17" t="inlineStr">
        <is>
          <t>08 CROSSWALK</t>
        </is>
      </c>
    </row>
    <row r="23" ht="49" customHeight="1">
      <c r="A23" s="12" t="inlineStr">
        <is>
          <t>R11-v1</t>
        </is>
      </c>
      <c r="B23" s="12" t="inlineStr">
        <is>
          <t>Contractor Programme / SCH-01-011</t>
        </is>
      </c>
      <c r="C23" s="12" t="inlineStr">
        <is>
          <t>WBS Code = 1.1.1</t>
        </is>
      </c>
      <c r="D23" s="12" t="inlineStr">
        <is>
          <t>Proposed by Source assignment; target 1.1.1 Guideway and Civil - Guideway Structures</t>
        </is>
      </c>
      <c r="E23" s="12" t="inlineStr">
        <is>
          <t>None recorded</t>
        </is>
      </c>
      <c r="F23" s="12" t="inlineStr">
        <is>
          <t>No individual professional decision recorded; Source assignment -- not individually reviewed</t>
        </is>
      </c>
      <c r="G23" s="12" t="inlineStr">
        <is>
          <t>Not individually decided</t>
        </is>
      </c>
      <c r="H23" s="12" t="inlineStr">
        <is>
          <t xml:space="preserve">APPROVED / ONE_TO_ONE; </t>
        </is>
      </c>
      <c r="I23" s="12" t="inlineStr">
        <is>
          <t>New</t>
        </is>
      </c>
      <c r="J23" s="17" t="inlineStr">
        <is>
          <t>08 CROSSWALK</t>
        </is>
      </c>
    </row>
    <row r="24" ht="49" customHeight="1">
      <c r="A24" s="12" t="inlineStr">
        <is>
          <t>R13-v1</t>
        </is>
      </c>
      <c r="B24" s="12" t="inlineStr">
        <is>
          <t>Contractor Programme / SCH-01-013</t>
        </is>
      </c>
      <c r="C24" s="12" t="inlineStr">
        <is>
          <t>WBS Code = 1.1.1</t>
        </is>
      </c>
      <c r="D24" s="12" t="inlineStr">
        <is>
          <t>Proposed by Source assignment; target 1.1.1 Guideway and Civil - Guideway Structures</t>
        </is>
      </c>
      <c r="E24" s="12" t="inlineStr">
        <is>
          <t>None recorded</t>
        </is>
      </c>
      <c r="F24" s="12" t="inlineStr">
        <is>
          <t>No individual professional decision recorded; Source assignment -- not individually reviewed</t>
        </is>
      </c>
      <c r="G24" s="12" t="inlineStr">
        <is>
          <t>Not individually decided</t>
        </is>
      </c>
      <c r="H24" s="12" t="inlineStr">
        <is>
          <t xml:space="preserve">APPROVED / ONE_TO_ONE; </t>
        </is>
      </c>
      <c r="I24" s="12" t="inlineStr">
        <is>
          <t>New</t>
        </is>
      </c>
      <c r="J24" s="17" t="inlineStr">
        <is>
          <t>08 CROSSWALK</t>
        </is>
      </c>
    </row>
    <row r="25" ht="49" customHeight="1">
      <c r="A25" s="12" t="inlineStr">
        <is>
          <t>R14-v1</t>
        </is>
      </c>
      <c r="B25" s="12" t="inlineStr">
        <is>
          <t>Contractor Programme / SCH-01-014</t>
        </is>
      </c>
      <c r="C25" s="12" t="inlineStr">
        <is>
          <t>WBS Code = 1.1.1</t>
        </is>
      </c>
      <c r="D25" s="12" t="inlineStr">
        <is>
          <t>Proposed by Source assignment; target 1.1.1 Guideway and Civil - Guideway Structures</t>
        </is>
      </c>
      <c r="E25" s="12" t="inlineStr">
        <is>
          <t>None recorded</t>
        </is>
      </c>
      <c r="F25" s="12" t="inlineStr">
        <is>
          <t>No individual professional decision recorded; Source assignment -- not individually reviewed</t>
        </is>
      </c>
      <c r="G25" s="12" t="inlineStr">
        <is>
          <t>Not individually decided</t>
        </is>
      </c>
      <c r="H25" s="12" t="inlineStr">
        <is>
          <t xml:space="preserve">APPROVED / ONE_TO_ONE; </t>
        </is>
      </c>
      <c r="I25" s="12" t="inlineStr">
        <is>
          <t>New</t>
        </is>
      </c>
      <c r="J25" s="17" t="inlineStr">
        <is>
          <t>08 CROSSWALK</t>
        </is>
      </c>
    </row>
    <row r="26" ht="49" customHeight="1">
      <c r="A26" s="12" t="inlineStr">
        <is>
          <t>R16-v1</t>
        </is>
      </c>
      <c r="B26" s="12" t="inlineStr">
        <is>
          <t>Contractor Programme / SCH-01-016</t>
        </is>
      </c>
      <c r="C26" s="12" t="inlineStr">
        <is>
          <t>WBS Code = 1.1.1</t>
        </is>
      </c>
      <c r="D26" s="12" t="inlineStr">
        <is>
          <t>Proposed by Source assignment; target 1.1.1 Guideway and Civil - Guideway Structures</t>
        </is>
      </c>
      <c r="E26" s="12" t="inlineStr">
        <is>
          <t>None recorded</t>
        </is>
      </c>
      <c r="F26" s="12" t="inlineStr">
        <is>
          <t>No individual professional decision recorded; Source assignment -- not individually reviewed</t>
        </is>
      </c>
      <c r="G26" s="12" t="inlineStr">
        <is>
          <t>Not individually decided</t>
        </is>
      </c>
      <c r="H26" s="12" t="inlineStr">
        <is>
          <t xml:space="preserve">APPROVED / ONE_TO_ONE; </t>
        </is>
      </c>
      <c r="I26" s="12" t="inlineStr">
        <is>
          <t>New</t>
        </is>
      </c>
      <c r="J26" s="17" t="inlineStr">
        <is>
          <t>08 CROSSWALK</t>
        </is>
      </c>
    </row>
    <row r="27" ht="49" customHeight="1">
      <c r="A27" s="12" t="inlineStr">
        <is>
          <t>R17-v1</t>
        </is>
      </c>
      <c r="B27" s="12" t="inlineStr">
        <is>
          <t>Contractor Programme / SCH-01-017</t>
        </is>
      </c>
      <c r="C27" s="12" t="inlineStr">
        <is>
          <t>WBS Code = 1.1.1</t>
        </is>
      </c>
      <c r="D27" s="12" t="inlineStr">
        <is>
          <t>Proposed by Source assignment; target 1.1.1 Guideway and Civil - Guideway Structures</t>
        </is>
      </c>
      <c r="E27" s="12" t="inlineStr">
        <is>
          <t>None recorded</t>
        </is>
      </c>
      <c r="F27" s="12" t="inlineStr">
        <is>
          <t>No individual professional decision recorded; Source assignment -- not individually reviewed</t>
        </is>
      </c>
      <c r="G27" s="12" t="inlineStr">
        <is>
          <t>Not individually decided</t>
        </is>
      </c>
      <c r="H27" s="12" t="inlineStr">
        <is>
          <t xml:space="preserve">APPROVED / ONE_TO_ONE; </t>
        </is>
      </c>
      <c r="I27" s="12" t="inlineStr">
        <is>
          <t>New</t>
        </is>
      </c>
      <c r="J27" s="17" t="inlineStr">
        <is>
          <t>08 CROSSWALK</t>
        </is>
      </c>
    </row>
    <row r="28" ht="49" customHeight="1">
      <c r="A28" s="12" t="inlineStr">
        <is>
          <t>R19-v1</t>
        </is>
      </c>
      <c r="B28" s="12" t="inlineStr">
        <is>
          <t>Contractor Programme / SCH-01-019</t>
        </is>
      </c>
      <c r="C28" s="12" t="inlineStr">
        <is>
          <t>WBS Code = 1.1.1</t>
        </is>
      </c>
      <c r="D28" s="12" t="inlineStr">
        <is>
          <t>Proposed by Source assignment; target 1.1.1 Guideway and Civil - Guideway Structures</t>
        </is>
      </c>
      <c r="E28" s="12" t="inlineStr">
        <is>
          <t>None recorded</t>
        </is>
      </c>
      <c r="F28" s="12" t="inlineStr">
        <is>
          <t>No individual professional decision recorded; Source assignment -- not individually reviewed</t>
        </is>
      </c>
      <c r="G28" s="12" t="inlineStr">
        <is>
          <t>Not individually decided</t>
        </is>
      </c>
      <c r="H28" s="12" t="inlineStr">
        <is>
          <t xml:space="preserve">APPROVED / ONE_TO_ONE; </t>
        </is>
      </c>
      <c r="I28" s="12" t="inlineStr">
        <is>
          <t>New</t>
        </is>
      </c>
      <c r="J28" s="17" t="inlineStr">
        <is>
          <t>08 CROSSWALK</t>
        </is>
      </c>
    </row>
    <row r="29" ht="49" customHeight="1">
      <c r="A29" s="12" t="inlineStr">
        <is>
          <t>R20-v1</t>
        </is>
      </c>
      <c r="B29" s="12" t="inlineStr">
        <is>
          <t>Contractor Programme / SCH-01-020</t>
        </is>
      </c>
      <c r="C29" s="12" t="inlineStr">
        <is>
          <t>WBS Code = 1.1.1</t>
        </is>
      </c>
      <c r="D29" s="12" t="inlineStr">
        <is>
          <t>Proposed by Source assignment; target 1.1.1 Guideway and Civil - Guideway Structures</t>
        </is>
      </c>
      <c r="E29" s="12" t="inlineStr">
        <is>
          <t>None recorded</t>
        </is>
      </c>
      <c r="F29" s="12" t="inlineStr">
        <is>
          <t>No individual professional decision recorded; Source assignment -- not individually reviewed</t>
        </is>
      </c>
      <c r="G29" s="12" t="inlineStr">
        <is>
          <t>Not individually decided</t>
        </is>
      </c>
      <c r="H29" s="12" t="inlineStr">
        <is>
          <t xml:space="preserve">APPROVED / ONE_TO_ONE; </t>
        </is>
      </c>
      <c r="I29" s="12" t="inlineStr">
        <is>
          <t>New</t>
        </is>
      </c>
      <c r="J29" s="17" t="inlineStr">
        <is>
          <t>08 CROSSWALK</t>
        </is>
      </c>
    </row>
    <row r="30" ht="49" customHeight="1">
      <c r="A30" s="12" t="inlineStr">
        <is>
          <t>R22-v1</t>
        </is>
      </c>
      <c r="B30" s="12" t="inlineStr">
        <is>
          <t>Contractor Programme / SCH-01-022</t>
        </is>
      </c>
      <c r="C30" s="12" t="inlineStr">
        <is>
          <t>WBS Code = 1.1.1</t>
        </is>
      </c>
      <c r="D30" s="12" t="inlineStr">
        <is>
          <t>Proposed by Source assignment; target 1.1.1 Guideway and Civil - Guideway Structures</t>
        </is>
      </c>
      <c r="E30" s="12" t="inlineStr">
        <is>
          <t>None recorded</t>
        </is>
      </c>
      <c r="F30" s="12" t="inlineStr">
        <is>
          <t>No individual professional decision recorded; Source assignment -- not individually reviewed</t>
        </is>
      </c>
      <c r="G30" s="12" t="inlineStr">
        <is>
          <t>Not individually decided</t>
        </is>
      </c>
      <c r="H30" s="12" t="inlineStr">
        <is>
          <t xml:space="preserve">APPROVED / ONE_TO_ONE; </t>
        </is>
      </c>
      <c r="I30" s="12" t="inlineStr">
        <is>
          <t>New</t>
        </is>
      </c>
      <c r="J30" s="17" t="inlineStr">
        <is>
          <t>08 CROSSWALK</t>
        </is>
      </c>
    </row>
    <row r="31" ht="49" customHeight="1">
      <c r="A31" s="12" t="inlineStr">
        <is>
          <t>R23-v1</t>
        </is>
      </c>
      <c r="B31" s="12" t="inlineStr">
        <is>
          <t>Contractor Programme / SCH-01-023</t>
        </is>
      </c>
      <c r="C31" s="12" t="inlineStr">
        <is>
          <t>WBS Code = 1.1.1</t>
        </is>
      </c>
      <c r="D31" s="12" t="inlineStr">
        <is>
          <t>Proposed by Source assignment; target 1.1.1 Guideway and Civil - Guideway Structures</t>
        </is>
      </c>
      <c r="E31" s="12" t="inlineStr">
        <is>
          <t>None recorded</t>
        </is>
      </c>
      <c r="F31" s="12" t="inlineStr">
        <is>
          <t>No individual professional decision recorded; Source assignment -- not individually reviewed</t>
        </is>
      </c>
      <c r="G31" s="12" t="inlineStr">
        <is>
          <t>Not individually decided</t>
        </is>
      </c>
      <c r="H31" s="12" t="inlineStr">
        <is>
          <t xml:space="preserve">APPROVED / ONE_TO_ONE; </t>
        </is>
      </c>
      <c r="I31" s="12" t="inlineStr">
        <is>
          <t>New</t>
        </is>
      </c>
      <c r="J31" s="17" t="inlineStr">
        <is>
          <t>08 CROSSWALK</t>
        </is>
      </c>
    </row>
    <row r="32" ht="49" customHeight="1">
      <c r="A32" s="12" t="inlineStr">
        <is>
          <t>R25-v1</t>
        </is>
      </c>
      <c r="B32" s="12" t="inlineStr">
        <is>
          <t>Contractor Programme / SCH-01-025</t>
        </is>
      </c>
      <c r="C32" s="12" t="inlineStr">
        <is>
          <t>WBS Code = 1.1.1</t>
        </is>
      </c>
      <c r="D32" s="12" t="inlineStr">
        <is>
          <t>Proposed by Source assignment; target 1.1.1 Guideway and Civil - Guideway Structures</t>
        </is>
      </c>
      <c r="E32" s="12" t="inlineStr">
        <is>
          <t>None recorded</t>
        </is>
      </c>
      <c r="F32" s="12" t="inlineStr">
        <is>
          <t>No individual professional decision recorded; Source assignment -- not individually reviewed</t>
        </is>
      </c>
      <c r="G32" s="12" t="inlineStr">
        <is>
          <t>Not individually decided</t>
        </is>
      </c>
      <c r="H32" s="12" t="inlineStr">
        <is>
          <t xml:space="preserve">APPROVED / ONE_TO_ONE; </t>
        </is>
      </c>
      <c r="I32" s="12" t="inlineStr">
        <is>
          <t>New</t>
        </is>
      </c>
      <c r="J32" s="17" t="inlineStr">
        <is>
          <t>08 CROSSWALK</t>
        </is>
      </c>
    </row>
    <row r="33" ht="49" customHeight="1">
      <c r="A33" s="12" t="inlineStr">
        <is>
          <t>R26-v1</t>
        </is>
      </c>
      <c r="B33" s="12" t="inlineStr">
        <is>
          <t>Contractor Programme / SCH-01-026</t>
        </is>
      </c>
      <c r="C33" s="12" t="inlineStr">
        <is>
          <t>WBS Code = 1.1.1</t>
        </is>
      </c>
      <c r="D33" s="12" t="inlineStr">
        <is>
          <t>Proposed by Source assignment; target 1.1.1 Guideway and Civil - Guideway Structures</t>
        </is>
      </c>
      <c r="E33" s="12" t="inlineStr">
        <is>
          <t>None recorded</t>
        </is>
      </c>
      <c r="F33" s="12" t="inlineStr">
        <is>
          <t>No individual professional decision recorded; Source assignment -- not individually reviewed</t>
        </is>
      </c>
      <c r="G33" s="12" t="inlineStr">
        <is>
          <t>Not individually decided</t>
        </is>
      </c>
      <c r="H33" s="12" t="inlineStr">
        <is>
          <t xml:space="preserve">APPROVED / ONE_TO_ONE; </t>
        </is>
      </c>
      <c r="I33" s="12" t="inlineStr">
        <is>
          <t>New</t>
        </is>
      </c>
      <c r="J33" s="17" t="inlineStr">
        <is>
          <t>08 CROSSWALK</t>
        </is>
      </c>
    </row>
    <row r="34" ht="49" customHeight="1">
      <c r="A34" s="12" t="inlineStr">
        <is>
          <t>R28-v1</t>
        </is>
      </c>
      <c r="B34" s="12" t="inlineStr">
        <is>
          <t>Contractor Programme / SCH-01-028</t>
        </is>
      </c>
      <c r="C34" s="12" t="inlineStr">
        <is>
          <t>WBS Code = 1.1.1</t>
        </is>
      </c>
      <c r="D34" s="12" t="inlineStr">
        <is>
          <t>Proposed by Source assignment; target 1.1.1 Guideway and Civil - Guideway Structures</t>
        </is>
      </c>
      <c r="E34" s="12" t="inlineStr">
        <is>
          <t>None recorded</t>
        </is>
      </c>
      <c r="F34" s="12" t="inlineStr">
        <is>
          <t>No individual professional decision recorded; Source assignment -- not individually reviewed</t>
        </is>
      </c>
      <c r="G34" s="12" t="inlineStr">
        <is>
          <t>Not individually decided</t>
        </is>
      </c>
      <c r="H34" s="12" t="inlineStr">
        <is>
          <t xml:space="preserve">APPROVED / ONE_TO_ONE; </t>
        </is>
      </c>
      <c r="I34" s="12" t="inlineStr">
        <is>
          <t>New</t>
        </is>
      </c>
      <c r="J34" s="17" t="inlineStr">
        <is>
          <t>08 CROSSWALK</t>
        </is>
      </c>
    </row>
    <row r="35" ht="49" customHeight="1">
      <c r="A35" s="12" t="inlineStr">
        <is>
          <t>R29-v1</t>
        </is>
      </c>
      <c r="B35" s="12" t="inlineStr">
        <is>
          <t>Contractor Programme / SCH-01-029</t>
        </is>
      </c>
      <c r="C35" s="12" t="inlineStr">
        <is>
          <t>WBS Code = 1.1.1</t>
        </is>
      </c>
      <c r="D35" s="12" t="inlineStr">
        <is>
          <t>Proposed by Source assignment; target 1.1.1 Guideway and Civil - Guideway Structures</t>
        </is>
      </c>
      <c r="E35" s="12" t="inlineStr">
        <is>
          <t>None recorded</t>
        </is>
      </c>
      <c r="F35" s="12" t="inlineStr">
        <is>
          <t>No individual professional decision recorded; Source assignment -- not individually reviewed</t>
        </is>
      </c>
      <c r="G35" s="12" t="inlineStr">
        <is>
          <t>Not individually decided</t>
        </is>
      </c>
      <c r="H35" s="12" t="inlineStr">
        <is>
          <t xml:space="preserve">APPROVED / ONE_TO_ONE; </t>
        </is>
      </c>
      <c r="I35" s="12" t="inlineStr">
        <is>
          <t>New</t>
        </is>
      </c>
      <c r="J35" s="17" t="inlineStr">
        <is>
          <t>08 CROSSWALK</t>
        </is>
      </c>
    </row>
    <row r="36" ht="49" customHeight="1">
      <c r="A36" s="12" t="inlineStr">
        <is>
          <t>R31-v1</t>
        </is>
      </c>
      <c r="B36" s="12" t="inlineStr">
        <is>
          <t>Contractor Programme / SCH-01-031</t>
        </is>
      </c>
      <c r="C36" s="12" t="inlineStr">
        <is>
          <t>WBS Code = 1.1.1</t>
        </is>
      </c>
      <c r="D36" s="12" t="inlineStr">
        <is>
          <t>Proposed by Source assignment; target 1.1.1 Guideway and Civil - Guideway Structures</t>
        </is>
      </c>
      <c r="E36" s="12" t="inlineStr">
        <is>
          <t>None recorded</t>
        </is>
      </c>
      <c r="F36" s="12" t="inlineStr">
        <is>
          <t>No individual professional decision recorded; Source assignment -- not individually reviewed</t>
        </is>
      </c>
      <c r="G36" s="12" t="inlineStr">
        <is>
          <t>Not individually decided</t>
        </is>
      </c>
      <c r="H36" s="12" t="inlineStr">
        <is>
          <t xml:space="preserve">APPROVED / ONE_TO_ONE; </t>
        </is>
      </c>
      <c r="I36" s="12" t="inlineStr">
        <is>
          <t>New</t>
        </is>
      </c>
      <c r="J36" s="17" t="inlineStr">
        <is>
          <t>08 CROSSWALK</t>
        </is>
      </c>
    </row>
    <row r="37" ht="49" customHeight="1">
      <c r="A37" s="12" t="inlineStr">
        <is>
          <t>R32-v1</t>
        </is>
      </c>
      <c r="B37" s="12" t="inlineStr">
        <is>
          <t>Contractor Programme / SCH-01-032</t>
        </is>
      </c>
      <c r="C37" s="12" t="inlineStr">
        <is>
          <t>WBS Code = 1.1.1</t>
        </is>
      </c>
      <c r="D37" s="12" t="inlineStr">
        <is>
          <t>Proposed by Source assignment; target 1.1.1 Guideway and Civil - Guideway Structures</t>
        </is>
      </c>
      <c r="E37" s="12" t="inlineStr">
        <is>
          <t>None recorded</t>
        </is>
      </c>
      <c r="F37" s="12" t="inlineStr">
        <is>
          <t>No individual professional decision recorded; Source assignment -- not individually reviewed</t>
        </is>
      </c>
      <c r="G37" s="12" t="inlineStr">
        <is>
          <t>Not individually decided</t>
        </is>
      </c>
      <c r="H37" s="12" t="inlineStr">
        <is>
          <t xml:space="preserve">APPROVED / ONE_TO_ONE; </t>
        </is>
      </c>
      <c r="I37" s="12" t="inlineStr">
        <is>
          <t>New</t>
        </is>
      </c>
      <c r="J37" s="17" t="inlineStr">
        <is>
          <t>08 CROSSWALK</t>
        </is>
      </c>
    </row>
    <row r="38" ht="49" customHeight="1">
      <c r="A38" s="12" t="inlineStr">
        <is>
          <t>R34-v1</t>
        </is>
      </c>
      <c r="B38" s="12" t="inlineStr">
        <is>
          <t>Contractor Programme / SCH-01-034</t>
        </is>
      </c>
      <c r="C38" s="12" t="inlineStr">
        <is>
          <t>WBS Code = 1.1.1</t>
        </is>
      </c>
      <c r="D38" s="12" t="inlineStr">
        <is>
          <t>Proposed by Source assignment; target 1.1.1 Guideway and Civil - Guideway Structures</t>
        </is>
      </c>
      <c r="E38" s="12" t="inlineStr">
        <is>
          <t>None recorded</t>
        </is>
      </c>
      <c r="F38" s="12" t="inlineStr">
        <is>
          <t>No individual professional decision recorded; Source assignment -- not individually reviewed</t>
        </is>
      </c>
      <c r="G38" s="12" t="inlineStr">
        <is>
          <t>Not individually decided</t>
        </is>
      </c>
      <c r="H38" s="12" t="inlineStr">
        <is>
          <t xml:space="preserve">APPROVED / ONE_TO_ONE; </t>
        </is>
      </c>
      <c r="I38" s="12" t="inlineStr">
        <is>
          <t>New</t>
        </is>
      </c>
      <c r="J38" s="17" t="inlineStr">
        <is>
          <t>08 CROSSWALK</t>
        </is>
      </c>
    </row>
    <row r="39" ht="49" customHeight="1">
      <c r="A39" s="12" t="inlineStr">
        <is>
          <t>R35-v1</t>
        </is>
      </c>
      <c r="B39" s="12" t="inlineStr">
        <is>
          <t>Contractor Programme / SCH-01-035</t>
        </is>
      </c>
      <c r="C39" s="12" t="inlineStr">
        <is>
          <t>WBS Code = 1.1.1</t>
        </is>
      </c>
      <c r="D39" s="12" t="inlineStr">
        <is>
          <t>Proposed by Source assignment; target 1.1.1 Guideway and Civil - Guideway Structures</t>
        </is>
      </c>
      <c r="E39" s="12" t="inlineStr">
        <is>
          <t>None recorded</t>
        </is>
      </c>
      <c r="F39" s="12" t="inlineStr">
        <is>
          <t>No individual professional decision recorded; Source assignment -- not individually reviewed</t>
        </is>
      </c>
      <c r="G39" s="12" t="inlineStr">
        <is>
          <t>Not individually decided</t>
        </is>
      </c>
      <c r="H39" s="12" t="inlineStr">
        <is>
          <t xml:space="preserve">APPROVED / ONE_TO_ONE; </t>
        </is>
      </c>
      <c r="I39" s="12" t="inlineStr">
        <is>
          <t>New</t>
        </is>
      </c>
      <c r="J39" s="17" t="inlineStr">
        <is>
          <t>08 CROSSWALK</t>
        </is>
      </c>
    </row>
    <row r="40" ht="49" customHeight="1">
      <c r="A40" s="12" t="inlineStr">
        <is>
          <t>R37-v1</t>
        </is>
      </c>
      <c r="B40" s="12" t="inlineStr">
        <is>
          <t>Contractor Programme / SCH-01-037</t>
        </is>
      </c>
      <c r="C40" s="12" t="inlineStr">
        <is>
          <t>WBS Code = 1.1.1</t>
        </is>
      </c>
      <c r="D40" s="12" t="inlineStr">
        <is>
          <t>Proposed by Source assignment; target 1.1.1 Guideway and Civil - Guideway Structures</t>
        </is>
      </c>
      <c r="E40" s="12" t="inlineStr">
        <is>
          <t>None recorded</t>
        </is>
      </c>
      <c r="F40" s="12" t="inlineStr">
        <is>
          <t>No individual professional decision recorded; Source assignment -- not individually reviewed</t>
        </is>
      </c>
      <c r="G40" s="12" t="inlineStr">
        <is>
          <t>Not individually decided</t>
        </is>
      </c>
      <c r="H40" s="12" t="inlineStr">
        <is>
          <t xml:space="preserve">APPROVED / ONE_TO_ONE; </t>
        </is>
      </c>
      <c r="I40" s="12" t="inlineStr">
        <is>
          <t>New</t>
        </is>
      </c>
      <c r="J40" s="17" t="inlineStr">
        <is>
          <t>08 CROSSWALK</t>
        </is>
      </c>
    </row>
    <row r="41" ht="49" customHeight="1">
      <c r="A41" s="12" t="inlineStr">
        <is>
          <t>R38-v1</t>
        </is>
      </c>
      <c r="B41" s="12" t="inlineStr">
        <is>
          <t>Contractor Programme / SCH-01-038</t>
        </is>
      </c>
      <c r="C41" s="12" t="inlineStr">
        <is>
          <t>WBS Code = 1.1.1</t>
        </is>
      </c>
      <c r="D41" s="12" t="inlineStr">
        <is>
          <t>Proposed by Source assignment; target 1.1.1 Guideway and Civil - Guideway Structures</t>
        </is>
      </c>
      <c r="E41" s="12" t="inlineStr">
        <is>
          <t>None recorded</t>
        </is>
      </c>
      <c r="F41" s="12" t="inlineStr">
        <is>
          <t>No individual professional decision recorded; Source assignment -- not individually reviewed</t>
        </is>
      </c>
      <c r="G41" s="12" t="inlineStr">
        <is>
          <t>Not individually decided</t>
        </is>
      </c>
      <c r="H41" s="12" t="inlineStr">
        <is>
          <t xml:space="preserve">APPROVED / ONE_TO_ONE; </t>
        </is>
      </c>
      <c r="I41" s="12" t="inlineStr">
        <is>
          <t>New</t>
        </is>
      </c>
      <c r="J41" s="17" t="inlineStr">
        <is>
          <t>08 CROSSWALK</t>
        </is>
      </c>
    </row>
    <row r="42" ht="49" customHeight="1">
      <c r="A42" s="12" t="inlineStr">
        <is>
          <t>R40-v1</t>
        </is>
      </c>
      <c r="B42" s="12" t="inlineStr">
        <is>
          <t>Contractor Programme / SCH-01-040</t>
        </is>
      </c>
      <c r="C42" s="12" t="inlineStr">
        <is>
          <t>WBS Code = 1.1.1</t>
        </is>
      </c>
      <c r="D42" s="12" t="inlineStr">
        <is>
          <t>Proposed by Source assignment; target 1.1.1 Guideway and Civil - Guideway Structures</t>
        </is>
      </c>
      <c r="E42" s="12" t="inlineStr">
        <is>
          <t>None recorded</t>
        </is>
      </c>
      <c r="F42" s="12" t="inlineStr">
        <is>
          <t>No individual professional decision recorded; Source assignment -- not individually reviewed</t>
        </is>
      </c>
      <c r="G42" s="12" t="inlineStr">
        <is>
          <t>Not individually decided</t>
        </is>
      </c>
      <c r="H42" s="12" t="inlineStr">
        <is>
          <t xml:space="preserve">APPROVED / ONE_TO_ONE; </t>
        </is>
      </c>
      <c r="I42" s="12" t="inlineStr">
        <is>
          <t>New</t>
        </is>
      </c>
      <c r="J42" s="17" t="inlineStr">
        <is>
          <t>08 CROSSWALK</t>
        </is>
      </c>
    </row>
    <row r="43" ht="49" customHeight="1">
      <c r="A43" s="12" t="inlineStr">
        <is>
          <t>R41-v1</t>
        </is>
      </c>
      <c r="B43" s="12" t="inlineStr">
        <is>
          <t>Contractor Programme / SCH-01-041</t>
        </is>
      </c>
      <c r="C43" s="12" t="inlineStr">
        <is>
          <t>WBS Code = 1.1.1</t>
        </is>
      </c>
      <c r="D43" s="12" t="inlineStr">
        <is>
          <t>Proposed by Source assignment; target 1.1.1 Guideway and Civil - Guideway Structures</t>
        </is>
      </c>
      <c r="E43" s="12" t="inlineStr">
        <is>
          <t>None recorded</t>
        </is>
      </c>
      <c r="F43" s="12" t="inlineStr">
        <is>
          <t>No individual professional decision recorded; Source assignment -- not individually reviewed</t>
        </is>
      </c>
      <c r="G43" s="12" t="inlineStr">
        <is>
          <t>Not individually decided</t>
        </is>
      </c>
      <c r="H43" s="12" t="inlineStr">
        <is>
          <t xml:space="preserve">APPROVED / ONE_TO_ONE; </t>
        </is>
      </c>
      <c r="I43" s="12" t="inlineStr">
        <is>
          <t>New</t>
        </is>
      </c>
      <c r="J43" s="17" t="inlineStr">
        <is>
          <t>08 CROSSWALK</t>
        </is>
      </c>
    </row>
    <row r="44" ht="49" customHeight="1">
      <c r="A44" s="12" t="inlineStr">
        <is>
          <t>R43-v1</t>
        </is>
      </c>
      <c r="B44" s="12" t="inlineStr">
        <is>
          <t>Contractor Programme / SCH-01-043</t>
        </is>
      </c>
      <c r="C44" s="12" t="inlineStr">
        <is>
          <t>WBS Code = 1.1.1</t>
        </is>
      </c>
      <c r="D44" s="12" t="inlineStr">
        <is>
          <t>Proposed by Source assignment; target 1.1.1 Guideway and Civil - Guideway Structures</t>
        </is>
      </c>
      <c r="E44" s="12" t="inlineStr">
        <is>
          <t>None recorded</t>
        </is>
      </c>
      <c r="F44" s="12" t="inlineStr">
        <is>
          <t>No individual professional decision recorded; Source assignment -- not individually reviewed</t>
        </is>
      </c>
      <c r="G44" s="12" t="inlineStr">
        <is>
          <t>Not individually decided</t>
        </is>
      </c>
      <c r="H44" s="12" t="inlineStr">
        <is>
          <t xml:space="preserve">APPROVED / ONE_TO_ONE; </t>
        </is>
      </c>
      <c r="I44" s="12" t="inlineStr">
        <is>
          <t>New</t>
        </is>
      </c>
      <c r="J44" s="17" t="inlineStr">
        <is>
          <t>08 CROSSWALK</t>
        </is>
      </c>
    </row>
    <row r="45" ht="49" customHeight="1">
      <c r="A45" s="12" t="inlineStr">
        <is>
          <t>R44-v1</t>
        </is>
      </c>
      <c r="B45" s="12" t="inlineStr">
        <is>
          <t>Contractor Programme / SCH-01-044</t>
        </is>
      </c>
      <c r="C45" s="12" t="inlineStr">
        <is>
          <t>WBS Code = 1.1.1</t>
        </is>
      </c>
      <c r="D45" s="12" t="inlineStr">
        <is>
          <t>Proposed by Source assignment; target 1.1.1 Guideway and Civil - Guideway Structures</t>
        </is>
      </c>
      <c r="E45" s="12" t="inlineStr">
        <is>
          <t>None recorded</t>
        </is>
      </c>
      <c r="F45" s="12" t="inlineStr">
        <is>
          <t>No individual professional decision recorded; Source assignment -- not individually reviewed</t>
        </is>
      </c>
      <c r="G45" s="12" t="inlineStr">
        <is>
          <t>Not individually decided</t>
        </is>
      </c>
      <c r="H45" s="12" t="inlineStr">
        <is>
          <t xml:space="preserve">APPROVED / ONE_TO_ONE; </t>
        </is>
      </c>
      <c r="I45" s="12" t="inlineStr">
        <is>
          <t>New</t>
        </is>
      </c>
      <c r="J45" s="17" t="inlineStr">
        <is>
          <t>08 CROSSWALK</t>
        </is>
      </c>
    </row>
    <row r="46" ht="49" customHeight="1">
      <c r="A46" s="12" t="inlineStr">
        <is>
          <t>R46-v1</t>
        </is>
      </c>
      <c r="B46" s="12" t="inlineStr">
        <is>
          <t>Contractor Programme / SCH-01-046</t>
        </is>
      </c>
      <c r="C46" s="12" t="inlineStr">
        <is>
          <t>WBS Code = 1.1.1</t>
        </is>
      </c>
      <c r="D46" s="12" t="inlineStr">
        <is>
          <t>Proposed by Source assignment; target 1.1.1 Guideway and Civil - Guideway Structures</t>
        </is>
      </c>
      <c r="E46" s="12" t="inlineStr">
        <is>
          <t>None recorded</t>
        </is>
      </c>
      <c r="F46" s="12" t="inlineStr">
        <is>
          <t>No individual professional decision recorded; Source assignment -- not individually reviewed</t>
        </is>
      </c>
      <c r="G46" s="12" t="inlineStr">
        <is>
          <t>Not individually decided</t>
        </is>
      </c>
      <c r="H46" s="12" t="inlineStr">
        <is>
          <t xml:space="preserve">APPROVED / ONE_TO_ONE; </t>
        </is>
      </c>
      <c r="I46" s="12" t="inlineStr">
        <is>
          <t>New</t>
        </is>
      </c>
      <c r="J46" s="17" t="inlineStr">
        <is>
          <t>08 CROSSWALK</t>
        </is>
      </c>
    </row>
    <row r="47" ht="49" customHeight="1">
      <c r="A47" s="12" t="inlineStr">
        <is>
          <t>R47-v1</t>
        </is>
      </c>
      <c r="B47" s="12" t="inlineStr">
        <is>
          <t>Contractor Programme / SCH-01-047</t>
        </is>
      </c>
      <c r="C47" s="12" t="inlineStr">
        <is>
          <t>WBS Code = 1.1.1</t>
        </is>
      </c>
      <c r="D47" s="12" t="inlineStr">
        <is>
          <t>Proposed by Source assignment; target 1.1.1 Guideway and Civil - Guideway Structures</t>
        </is>
      </c>
      <c r="E47" s="12" t="inlineStr">
        <is>
          <t>None recorded</t>
        </is>
      </c>
      <c r="F47" s="12" t="inlineStr">
        <is>
          <t>No individual professional decision recorded; Source assignment -- not individually reviewed</t>
        </is>
      </c>
      <c r="G47" s="12" t="inlineStr">
        <is>
          <t>Not individually decided</t>
        </is>
      </c>
      <c r="H47" s="12" t="inlineStr">
        <is>
          <t xml:space="preserve">APPROVED / ONE_TO_ONE; </t>
        </is>
      </c>
      <c r="I47" s="12" t="inlineStr">
        <is>
          <t>New</t>
        </is>
      </c>
      <c r="J47" s="17" t="inlineStr">
        <is>
          <t>08 CROSSWALK</t>
        </is>
      </c>
    </row>
    <row r="48" ht="49" customHeight="1">
      <c r="A48" s="12" t="inlineStr">
        <is>
          <t>R49-v1</t>
        </is>
      </c>
      <c r="B48" s="12" t="inlineStr">
        <is>
          <t>Contractor Programme / SCH-01-049</t>
        </is>
      </c>
      <c r="C48" s="12" t="inlineStr">
        <is>
          <t>WBS Code = 1.1.1</t>
        </is>
      </c>
      <c r="D48" s="12" t="inlineStr">
        <is>
          <t>Proposed by Source assignment; target 1.1.1 Guideway and Civil - Guideway Structures</t>
        </is>
      </c>
      <c r="E48" s="12" t="inlineStr">
        <is>
          <t>None recorded</t>
        </is>
      </c>
      <c r="F48" s="12" t="inlineStr">
        <is>
          <t>No individual professional decision recorded; Source assignment -- not individually reviewed</t>
        </is>
      </c>
      <c r="G48" s="12" t="inlineStr">
        <is>
          <t>Not individually decided</t>
        </is>
      </c>
      <c r="H48" s="12" t="inlineStr">
        <is>
          <t xml:space="preserve">APPROVED / ONE_TO_ONE; </t>
        </is>
      </c>
      <c r="I48" s="12" t="inlineStr">
        <is>
          <t>New</t>
        </is>
      </c>
      <c r="J48" s="17" t="inlineStr">
        <is>
          <t>08 CROSSWALK</t>
        </is>
      </c>
    </row>
    <row r="49" ht="49" customHeight="1">
      <c r="A49" s="12" t="inlineStr">
        <is>
          <t>R50-v1</t>
        </is>
      </c>
      <c r="B49" s="12" t="inlineStr">
        <is>
          <t>Contractor Programme / SCH-01-050</t>
        </is>
      </c>
      <c r="C49" s="12" t="inlineStr">
        <is>
          <t>WBS Code = 1.1.1</t>
        </is>
      </c>
      <c r="D49" s="12" t="inlineStr">
        <is>
          <t>Proposed by Source assignment; target 1.1.1 Guideway and Civil - Guideway Structures</t>
        </is>
      </c>
      <c r="E49" s="12" t="inlineStr">
        <is>
          <t>None recorded</t>
        </is>
      </c>
      <c r="F49" s="12" t="inlineStr">
        <is>
          <t>No individual professional decision recorded; Source assignment -- not individually reviewed</t>
        </is>
      </c>
      <c r="G49" s="12" t="inlineStr">
        <is>
          <t>Not individually decided</t>
        </is>
      </c>
      <c r="H49" s="12" t="inlineStr">
        <is>
          <t xml:space="preserve">APPROVED / ONE_TO_ONE; </t>
        </is>
      </c>
      <c r="I49" s="12" t="inlineStr">
        <is>
          <t>New</t>
        </is>
      </c>
      <c r="J49" s="17" t="inlineStr">
        <is>
          <t>08 CROSSWALK</t>
        </is>
      </c>
    </row>
    <row r="50" ht="49" customHeight="1">
      <c r="A50" s="12" t="inlineStr">
        <is>
          <t>R52-v1</t>
        </is>
      </c>
      <c r="B50" s="12" t="inlineStr">
        <is>
          <t>Contractor Programme / SCH-01-052</t>
        </is>
      </c>
      <c r="C50" s="12" t="inlineStr">
        <is>
          <t>WBS Code = 1.1.1</t>
        </is>
      </c>
      <c r="D50" s="12" t="inlineStr">
        <is>
          <t>Proposed by Source assignment; target 1.1.1 Guideway and Civil - Guideway Structures</t>
        </is>
      </c>
      <c r="E50" s="12" t="inlineStr">
        <is>
          <t>None recorded</t>
        </is>
      </c>
      <c r="F50" s="12" t="inlineStr">
        <is>
          <t>No individual professional decision recorded; Source assignment -- not individually reviewed</t>
        </is>
      </c>
      <c r="G50" s="12" t="inlineStr">
        <is>
          <t>Not individually decided</t>
        </is>
      </c>
      <c r="H50" s="12" t="inlineStr">
        <is>
          <t xml:space="preserve">APPROVED / ONE_TO_ONE; </t>
        </is>
      </c>
      <c r="I50" s="12" t="inlineStr">
        <is>
          <t>New</t>
        </is>
      </c>
      <c r="J50" s="17" t="inlineStr">
        <is>
          <t>08 CROSSWALK</t>
        </is>
      </c>
    </row>
    <row r="51" ht="49" customHeight="1">
      <c r="A51" s="12" t="inlineStr">
        <is>
          <t>R53-v1</t>
        </is>
      </c>
      <c r="B51" s="12" t="inlineStr">
        <is>
          <t>Contractor Programme / SCH-01-053</t>
        </is>
      </c>
      <c r="C51" s="12" t="inlineStr">
        <is>
          <t>WBS Code = 1.1.1</t>
        </is>
      </c>
      <c r="D51" s="12" t="inlineStr">
        <is>
          <t>Proposed by Source assignment; target 1.1.1 Guideway and Civil - Guideway Structures</t>
        </is>
      </c>
      <c r="E51" s="12" t="inlineStr">
        <is>
          <t>None recorded</t>
        </is>
      </c>
      <c r="F51" s="12" t="inlineStr">
        <is>
          <t>No individual professional decision recorded; Source assignment -- not individually reviewed</t>
        </is>
      </c>
      <c r="G51" s="12" t="inlineStr">
        <is>
          <t>Not individually decided</t>
        </is>
      </c>
      <c r="H51" s="12" t="inlineStr">
        <is>
          <t xml:space="preserve">APPROVED / ONE_TO_ONE; </t>
        </is>
      </c>
      <c r="I51" s="12" t="inlineStr">
        <is>
          <t>New</t>
        </is>
      </c>
      <c r="J51" s="17" t="inlineStr">
        <is>
          <t>08 CROSSWALK</t>
        </is>
      </c>
    </row>
    <row r="52" ht="49" customHeight="1">
      <c r="A52" s="12" t="inlineStr">
        <is>
          <t>R55-v1</t>
        </is>
      </c>
      <c r="B52" s="12" t="inlineStr">
        <is>
          <t>Contractor Programme / SCH-01-055</t>
        </is>
      </c>
      <c r="C52" s="12" t="inlineStr">
        <is>
          <t>WBS Code = 1.1.1</t>
        </is>
      </c>
      <c r="D52" s="12" t="inlineStr">
        <is>
          <t>Proposed by Source assignment; target 1.1.1 Guideway and Civil - Guideway Structures</t>
        </is>
      </c>
      <c r="E52" s="12" t="inlineStr">
        <is>
          <t>None recorded</t>
        </is>
      </c>
      <c r="F52" s="12" t="inlineStr">
        <is>
          <t>No individual professional decision recorded; Source assignment -- not individually reviewed</t>
        </is>
      </c>
      <c r="G52" s="12" t="inlineStr">
        <is>
          <t>Not individually decided</t>
        </is>
      </c>
      <c r="H52" s="12" t="inlineStr">
        <is>
          <t xml:space="preserve">APPROVED / ONE_TO_ONE; </t>
        </is>
      </c>
      <c r="I52" s="12" t="inlineStr">
        <is>
          <t>New</t>
        </is>
      </c>
      <c r="J52" s="17" t="inlineStr">
        <is>
          <t>08 CROSSWALK</t>
        </is>
      </c>
    </row>
    <row r="53" ht="49" customHeight="1">
      <c r="A53" s="12" t="inlineStr">
        <is>
          <t>R56-v1</t>
        </is>
      </c>
      <c r="B53" s="12" t="inlineStr">
        <is>
          <t>Contractor Programme / SCH-01-056</t>
        </is>
      </c>
      <c r="C53" s="12" t="inlineStr">
        <is>
          <t>WBS Code = 1.1.1</t>
        </is>
      </c>
      <c r="D53" s="12" t="inlineStr">
        <is>
          <t>Proposed by Source assignment; target 1.1.1 Guideway and Civil - Guideway Structures</t>
        </is>
      </c>
      <c r="E53" s="12" t="inlineStr">
        <is>
          <t>None recorded</t>
        </is>
      </c>
      <c r="F53" s="12" t="inlineStr">
        <is>
          <t>No individual professional decision recorded; Source assignment -- not individually reviewed</t>
        </is>
      </c>
      <c r="G53" s="12" t="inlineStr">
        <is>
          <t>Not individually decided</t>
        </is>
      </c>
      <c r="H53" s="12" t="inlineStr">
        <is>
          <t xml:space="preserve">APPROVED / ONE_TO_ONE; </t>
        </is>
      </c>
      <c r="I53" s="12" t="inlineStr">
        <is>
          <t>New</t>
        </is>
      </c>
      <c r="J53" s="17" t="inlineStr">
        <is>
          <t>08 CROSSWALK</t>
        </is>
      </c>
    </row>
    <row r="54" ht="49" customHeight="1">
      <c r="A54" s="12" t="inlineStr">
        <is>
          <t>R58-v1</t>
        </is>
      </c>
      <c r="B54" s="12" t="inlineStr">
        <is>
          <t>Contractor Programme / SCH-01-058</t>
        </is>
      </c>
      <c r="C54" s="12" t="inlineStr">
        <is>
          <t>WBS Code = 1.1.1</t>
        </is>
      </c>
      <c r="D54" s="12" t="inlineStr">
        <is>
          <t>Proposed by Source assignment; target 1.1.1 Guideway and Civil - Guideway Structures</t>
        </is>
      </c>
      <c r="E54" s="12" t="inlineStr">
        <is>
          <t>None recorded</t>
        </is>
      </c>
      <c r="F54" s="12" t="inlineStr">
        <is>
          <t>No individual professional decision recorded; Source assignment -- not individually reviewed</t>
        </is>
      </c>
      <c r="G54" s="12" t="inlineStr">
        <is>
          <t>Not individually decided</t>
        </is>
      </c>
      <c r="H54" s="12" t="inlineStr">
        <is>
          <t xml:space="preserve">APPROVED / ONE_TO_ONE; </t>
        </is>
      </c>
      <c r="I54" s="12" t="inlineStr">
        <is>
          <t>New</t>
        </is>
      </c>
      <c r="J54" s="17" t="inlineStr">
        <is>
          <t>08 CROSSWALK</t>
        </is>
      </c>
    </row>
    <row r="55" ht="49" customHeight="1">
      <c r="A55" s="12" t="inlineStr">
        <is>
          <t>R59-v1</t>
        </is>
      </c>
      <c r="B55" s="12" t="inlineStr">
        <is>
          <t>Contractor Programme / SCH-01-059</t>
        </is>
      </c>
      <c r="C55" s="12" t="inlineStr">
        <is>
          <t>WBS Code = 1.1.1</t>
        </is>
      </c>
      <c r="D55" s="12" t="inlineStr">
        <is>
          <t>Proposed by Source assignment; target 1.1.1 Guideway and Civil - Guideway Structures</t>
        </is>
      </c>
      <c r="E55" s="12" t="inlineStr">
        <is>
          <t>None recorded</t>
        </is>
      </c>
      <c r="F55" s="12" t="inlineStr">
        <is>
          <t>No individual professional decision recorded; Source assignment -- not individually reviewed</t>
        </is>
      </c>
      <c r="G55" s="12" t="inlineStr">
        <is>
          <t>Not individually decided</t>
        </is>
      </c>
      <c r="H55" s="12" t="inlineStr">
        <is>
          <t xml:space="preserve">APPROVED / ONE_TO_ONE; </t>
        </is>
      </c>
      <c r="I55" s="12" t="inlineStr">
        <is>
          <t>New</t>
        </is>
      </c>
      <c r="J55" s="17" t="inlineStr">
        <is>
          <t>08 CROSSWALK</t>
        </is>
      </c>
    </row>
    <row r="56" ht="49" customHeight="1">
      <c r="A56" s="12" t="inlineStr">
        <is>
          <t>R61-v1</t>
        </is>
      </c>
      <c r="B56" s="12" t="inlineStr">
        <is>
          <t>Contractor Programme / SCH-01-061</t>
        </is>
      </c>
      <c r="C56" s="12" t="inlineStr">
        <is>
          <t>WBS Code = 1.1.1</t>
        </is>
      </c>
      <c r="D56" s="12" t="inlineStr">
        <is>
          <t>Proposed by Source assignment; target 1.1.1 Guideway and Civil - Guideway Structures</t>
        </is>
      </c>
      <c r="E56" s="12" t="inlineStr">
        <is>
          <t>None recorded</t>
        </is>
      </c>
      <c r="F56" s="12" t="inlineStr">
        <is>
          <t>No individual professional decision recorded; Source assignment -- not individually reviewed</t>
        </is>
      </c>
      <c r="G56" s="12" t="inlineStr">
        <is>
          <t>Not individually decided</t>
        </is>
      </c>
      <c r="H56" s="12" t="inlineStr">
        <is>
          <t xml:space="preserve">APPROVED / ONE_TO_ONE; </t>
        </is>
      </c>
      <c r="I56" s="12" t="inlineStr">
        <is>
          <t>New</t>
        </is>
      </c>
      <c r="J56" s="17" t="inlineStr">
        <is>
          <t>08 CROSSWALK</t>
        </is>
      </c>
    </row>
    <row r="57" ht="49" customHeight="1">
      <c r="A57" s="12" t="inlineStr">
        <is>
          <t>R62-v1</t>
        </is>
      </c>
      <c r="B57" s="12" t="inlineStr">
        <is>
          <t>Contractor Programme / SCH-01-062</t>
        </is>
      </c>
      <c r="C57" s="12" t="inlineStr">
        <is>
          <t>WBS Code = 1.1.1</t>
        </is>
      </c>
      <c r="D57" s="12" t="inlineStr">
        <is>
          <t>Proposed by Source assignment; target 1.1.1 Guideway and Civil - Guideway Structures</t>
        </is>
      </c>
      <c r="E57" s="12" t="inlineStr">
        <is>
          <t>None recorded</t>
        </is>
      </c>
      <c r="F57" s="12" t="inlineStr">
        <is>
          <t>No individual professional decision recorded; Source assignment -- not individually reviewed</t>
        </is>
      </c>
      <c r="G57" s="12" t="inlineStr">
        <is>
          <t>Not individually decided</t>
        </is>
      </c>
      <c r="H57" s="12" t="inlineStr">
        <is>
          <t xml:space="preserve">APPROVED / ONE_TO_ONE; </t>
        </is>
      </c>
      <c r="I57" s="12" t="inlineStr">
        <is>
          <t>New</t>
        </is>
      </c>
      <c r="J57" s="17" t="inlineStr">
        <is>
          <t>08 CROSSWALK</t>
        </is>
      </c>
    </row>
    <row r="58" ht="49" customHeight="1">
      <c r="A58" s="12" t="inlineStr">
        <is>
          <t>R64-v1</t>
        </is>
      </c>
      <c r="B58" s="12" t="inlineStr">
        <is>
          <t>Contractor Programme / SCH-01-064</t>
        </is>
      </c>
      <c r="C58" s="12" t="inlineStr">
        <is>
          <t>WBS Code = 1.1.1</t>
        </is>
      </c>
      <c r="D58" s="12" t="inlineStr">
        <is>
          <t>Proposed by Source assignment; target 1.1.1 Guideway and Civil - Guideway Structures</t>
        </is>
      </c>
      <c r="E58" s="12" t="inlineStr">
        <is>
          <t>None recorded</t>
        </is>
      </c>
      <c r="F58" s="12" t="inlineStr">
        <is>
          <t>No individual professional decision recorded; Source assignment -- not individually reviewed</t>
        </is>
      </c>
      <c r="G58" s="12" t="inlineStr">
        <is>
          <t>Not individually decided</t>
        </is>
      </c>
      <c r="H58" s="12" t="inlineStr">
        <is>
          <t xml:space="preserve">APPROVED / ONE_TO_ONE; </t>
        </is>
      </c>
      <c r="I58" s="12" t="inlineStr">
        <is>
          <t>New</t>
        </is>
      </c>
      <c r="J58" s="17" t="inlineStr">
        <is>
          <t>08 CROSSWALK</t>
        </is>
      </c>
    </row>
    <row r="59" ht="49" customHeight="1">
      <c r="A59" s="12" t="inlineStr">
        <is>
          <t>R65-v1</t>
        </is>
      </c>
      <c r="B59" s="12" t="inlineStr">
        <is>
          <t>Contractor Programme / SCH-01-065</t>
        </is>
      </c>
      <c r="C59" s="12" t="inlineStr">
        <is>
          <t>WBS Code = 1.1.1</t>
        </is>
      </c>
      <c r="D59" s="12" t="inlineStr">
        <is>
          <t>Proposed by Source assignment; target 1.1.1 Guideway and Civil - Guideway Structures</t>
        </is>
      </c>
      <c r="E59" s="12" t="inlineStr">
        <is>
          <t>None recorded</t>
        </is>
      </c>
      <c r="F59" s="12" t="inlineStr">
        <is>
          <t>No individual professional decision recorded; Source assignment -- not individually reviewed</t>
        </is>
      </c>
      <c r="G59" s="12" t="inlineStr">
        <is>
          <t>Not individually decided</t>
        </is>
      </c>
      <c r="H59" s="12" t="inlineStr">
        <is>
          <t xml:space="preserve">APPROVED / ONE_TO_ONE; </t>
        </is>
      </c>
      <c r="I59" s="12" t="inlineStr">
        <is>
          <t>New</t>
        </is>
      </c>
      <c r="J59" s="17" t="inlineStr">
        <is>
          <t>08 CROSSWALK</t>
        </is>
      </c>
    </row>
    <row r="60" ht="49" customHeight="1">
      <c r="A60" s="12" t="inlineStr">
        <is>
          <t>R67-v1</t>
        </is>
      </c>
      <c r="B60" s="12" t="inlineStr">
        <is>
          <t>Contractor Programme / SCH-01-067</t>
        </is>
      </c>
      <c r="C60" s="12" t="inlineStr">
        <is>
          <t>WBS Code = 1.1.1</t>
        </is>
      </c>
      <c r="D60" s="12" t="inlineStr">
        <is>
          <t>Proposed by Source assignment; target 1.1.1 Guideway and Civil - Guideway Structures</t>
        </is>
      </c>
      <c r="E60" s="12" t="inlineStr">
        <is>
          <t>None recorded</t>
        </is>
      </c>
      <c r="F60" s="12" t="inlineStr">
        <is>
          <t>No individual professional decision recorded; Source assignment -- not individually reviewed</t>
        </is>
      </c>
      <c r="G60" s="12" t="inlineStr">
        <is>
          <t>Not individually decided</t>
        </is>
      </c>
      <c r="H60" s="12" t="inlineStr">
        <is>
          <t xml:space="preserve">APPROVED / ONE_TO_ONE; </t>
        </is>
      </c>
      <c r="I60" s="12" t="inlineStr">
        <is>
          <t>New</t>
        </is>
      </c>
      <c r="J60" s="17" t="inlineStr">
        <is>
          <t>08 CROSSWALK</t>
        </is>
      </c>
    </row>
    <row r="61" ht="49" customHeight="1">
      <c r="A61" s="12" t="inlineStr">
        <is>
          <t>R68-v1</t>
        </is>
      </c>
      <c r="B61" s="12" t="inlineStr">
        <is>
          <t>Contractor Programme / SCH-01-068</t>
        </is>
      </c>
      <c r="C61" s="12" t="inlineStr">
        <is>
          <t>WBS Code = 1.1.1</t>
        </is>
      </c>
      <c r="D61" s="12" t="inlineStr">
        <is>
          <t>Proposed by Source assignment; target 1.1.1 Guideway and Civil - Guideway Structures</t>
        </is>
      </c>
      <c r="E61" s="12" t="inlineStr">
        <is>
          <t>None recorded</t>
        </is>
      </c>
      <c r="F61" s="12" t="inlineStr">
        <is>
          <t>No individual professional decision recorded; Source assignment -- not individually reviewed</t>
        </is>
      </c>
      <c r="G61" s="12" t="inlineStr">
        <is>
          <t>Not individually decided</t>
        </is>
      </c>
      <c r="H61" s="12" t="inlineStr">
        <is>
          <t xml:space="preserve">APPROVED / ONE_TO_ONE; </t>
        </is>
      </c>
      <c r="I61" s="12" t="inlineStr">
        <is>
          <t>New</t>
        </is>
      </c>
      <c r="J61" s="17" t="inlineStr">
        <is>
          <t>08 CROSSWALK</t>
        </is>
      </c>
    </row>
    <row r="62" ht="49" customHeight="1">
      <c r="A62" s="12" t="inlineStr">
        <is>
          <t>R70-v1</t>
        </is>
      </c>
      <c r="B62" s="12" t="inlineStr">
        <is>
          <t>Contractor Programme / SCH-01-070</t>
        </is>
      </c>
      <c r="C62" s="12" t="inlineStr">
        <is>
          <t>WBS Code = 1.1.1</t>
        </is>
      </c>
      <c r="D62" s="12" t="inlineStr">
        <is>
          <t>Proposed by Source assignment; target 1.1.1 Guideway and Civil - Guideway Structures</t>
        </is>
      </c>
      <c r="E62" s="12" t="inlineStr">
        <is>
          <t>None recorded</t>
        </is>
      </c>
      <c r="F62" s="12" t="inlineStr">
        <is>
          <t>No individual professional decision recorded; Source assignment -- not individually reviewed</t>
        </is>
      </c>
      <c r="G62" s="12" t="inlineStr">
        <is>
          <t>Not individually decided</t>
        </is>
      </c>
      <c r="H62" s="12" t="inlineStr">
        <is>
          <t xml:space="preserve">APPROVED / ONE_TO_ONE; </t>
        </is>
      </c>
      <c r="I62" s="12" t="inlineStr">
        <is>
          <t>New</t>
        </is>
      </c>
      <c r="J62" s="17" t="inlineStr">
        <is>
          <t>08 CROSSWALK</t>
        </is>
      </c>
    </row>
    <row r="63" ht="49" customHeight="1">
      <c r="A63" s="12" t="inlineStr">
        <is>
          <t>R71-v1</t>
        </is>
      </c>
      <c r="B63" s="12" t="inlineStr">
        <is>
          <t>Contractor Programme / SCH-01-071</t>
        </is>
      </c>
      <c r="C63" s="12" t="inlineStr">
        <is>
          <t>WBS Code = 1.1.1</t>
        </is>
      </c>
      <c r="D63" s="12" t="inlineStr">
        <is>
          <t>Proposed by Source assignment; target 1.1.1 Guideway and Civil - Guideway Structures</t>
        </is>
      </c>
      <c r="E63" s="12" t="inlineStr">
        <is>
          <t>None recorded</t>
        </is>
      </c>
      <c r="F63" s="12" t="inlineStr">
        <is>
          <t>No individual professional decision recorded; Source assignment -- not individually reviewed</t>
        </is>
      </c>
      <c r="G63" s="12" t="inlineStr">
        <is>
          <t>Not individually decided</t>
        </is>
      </c>
      <c r="H63" s="12" t="inlineStr">
        <is>
          <t xml:space="preserve">APPROVED / ONE_TO_ONE; </t>
        </is>
      </c>
      <c r="I63" s="12" t="inlineStr">
        <is>
          <t>New</t>
        </is>
      </c>
      <c r="J63" s="17" t="inlineStr">
        <is>
          <t>08 CROSSWALK</t>
        </is>
      </c>
    </row>
    <row r="64" ht="49" customHeight="1">
      <c r="A64" s="12" t="inlineStr">
        <is>
          <t>R73-v1</t>
        </is>
      </c>
      <c r="B64" s="12" t="inlineStr">
        <is>
          <t>Contractor Programme / SCH-01-073</t>
        </is>
      </c>
      <c r="C64" s="12" t="inlineStr">
        <is>
          <t>WBS Code = 1.1.1</t>
        </is>
      </c>
      <c r="D64" s="12" t="inlineStr">
        <is>
          <t>Proposed by Source assignment; target 1.1.1 Guideway and Civil - Guideway Structures</t>
        </is>
      </c>
      <c r="E64" s="12" t="inlineStr">
        <is>
          <t>None recorded</t>
        </is>
      </c>
      <c r="F64" s="12" t="inlineStr">
        <is>
          <t>No individual professional decision recorded; Source assignment -- not individually reviewed</t>
        </is>
      </c>
      <c r="G64" s="12" t="inlineStr">
        <is>
          <t>Not individually decided</t>
        </is>
      </c>
      <c r="H64" s="12" t="inlineStr">
        <is>
          <t xml:space="preserve">APPROVED / ONE_TO_ONE; </t>
        </is>
      </c>
      <c r="I64" s="12" t="inlineStr">
        <is>
          <t>New</t>
        </is>
      </c>
      <c r="J64" s="17" t="inlineStr">
        <is>
          <t>08 CROSSWALK</t>
        </is>
      </c>
    </row>
    <row r="65" ht="49" customHeight="1">
      <c r="A65" s="12" t="inlineStr">
        <is>
          <t>R74-v1</t>
        </is>
      </c>
      <c r="B65" s="12" t="inlineStr">
        <is>
          <t>Contractor Programme / SCH-01-074</t>
        </is>
      </c>
      <c r="C65" s="12" t="inlineStr">
        <is>
          <t>WBS Code = 1.1.1</t>
        </is>
      </c>
      <c r="D65" s="12" t="inlineStr">
        <is>
          <t>Proposed by Source assignment; target 1.1.1 Guideway and Civil - Guideway Structures</t>
        </is>
      </c>
      <c r="E65" s="12" t="inlineStr">
        <is>
          <t>None recorded</t>
        </is>
      </c>
      <c r="F65" s="12" t="inlineStr">
        <is>
          <t>No individual professional decision recorded; Source assignment -- not individually reviewed</t>
        </is>
      </c>
      <c r="G65" s="12" t="inlineStr">
        <is>
          <t>Not individually decided</t>
        </is>
      </c>
      <c r="H65" s="12" t="inlineStr">
        <is>
          <t xml:space="preserve">APPROVED / ONE_TO_ONE; </t>
        </is>
      </c>
      <c r="I65" s="12" t="inlineStr">
        <is>
          <t>New</t>
        </is>
      </c>
      <c r="J65" s="17" t="inlineStr">
        <is>
          <t>08 CROSSWALK</t>
        </is>
      </c>
    </row>
    <row r="66" ht="49" customHeight="1">
      <c r="A66" s="12" t="inlineStr">
        <is>
          <t>R76-v1</t>
        </is>
      </c>
      <c r="B66" s="12" t="inlineStr">
        <is>
          <t>Contractor Programme / SCH-01-076</t>
        </is>
      </c>
      <c r="C66" s="12" t="inlineStr">
        <is>
          <t>WBS Code = 1.1.1</t>
        </is>
      </c>
      <c r="D66" s="12" t="inlineStr">
        <is>
          <t>Proposed by Source assignment; target 1.1.1 Guideway and Civil - Guideway Structures</t>
        </is>
      </c>
      <c r="E66" s="12" t="inlineStr">
        <is>
          <t>None recorded</t>
        </is>
      </c>
      <c r="F66" s="12" t="inlineStr">
        <is>
          <t>No individual professional decision recorded; Source assignment -- not individually reviewed</t>
        </is>
      </c>
      <c r="G66" s="12" t="inlineStr">
        <is>
          <t>Not individually decided</t>
        </is>
      </c>
      <c r="H66" s="12" t="inlineStr">
        <is>
          <t xml:space="preserve">APPROVED / ONE_TO_ONE; </t>
        </is>
      </c>
      <c r="I66" s="12" t="inlineStr">
        <is>
          <t>New</t>
        </is>
      </c>
      <c r="J66" s="17" t="inlineStr">
        <is>
          <t>08 CROSSWALK</t>
        </is>
      </c>
    </row>
    <row r="67" ht="49" customHeight="1">
      <c r="A67" s="12" t="inlineStr">
        <is>
          <t>R77-v1</t>
        </is>
      </c>
      <c r="B67" s="12" t="inlineStr">
        <is>
          <t>Contractor Programme / SCH-01-077</t>
        </is>
      </c>
      <c r="C67" s="12" t="inlineStr">
        <is>
          <t>WBS Code = 1.1.1</t>
        </is>
      </c>
      <c r="D67" s="12" t="inlineStr">
        <is>
          <t>Proposed by Source assignment; target 1.1.1 Guideway and Civil - Guideway Structures</t>
        </is>
      </c>
      <c r="E67" s="12" t="inlineStr">
        <is>
          <t>None recorded</t>
        </is>
      </c>
      <c r="F67" s="12" t="inlineStr">
        <is>
          <t>No individual professional decision recorded; Source assignment -- not individually reviewed</t>
        </is>
      </c>
      <c r="G67" s="12" t="inlineStr">
        <is>
          <t>Not individually decided</t>
        </is>
      </c>
      <c r="H67" s="12" t="inlineStr">
        <is>
          <t xml:space="preserve">APPROVED / ONE_TO_ONE; </t>
        </is>
      </c>
      <c r="I67" s="12" t="inlineStr">
        <is>
          <t>New</t>
        </is>
      </c>
      <c r="J67" s="17" t="inlineStr">
        <is>
          <t>08 CROSSWALK</t>
        </is>
      </c>
    </row>
    <row r="68" ht="49" customHeight="1">
      <c r="A68" s="12" t="inlineStr">
        <is>
          <t>R79-v1</t>
        </is>
      </c>
      <c r="B68" s="12" t="inlineStr">
        <is>
          <t>Contractor Programme / SCH-01-079</t>
        </is>
      </c>
      <c r="C68" s="12" t="inlineStr">
        <is>
          <t>WBS Code = 1.1.1</t>
        </is>
      </c>
      <c r="D68" s="12" t="inlineStr">
        <is>
          <t>Proposed by Source assignment; target 1.1.1 Guideway and Civil - Guideway Structures</t>
        </is>
      </c>
      <c r="E68" s="12" t="inlineStr">
        <is>
          <t>None recorded</t>
        </is>
      </c>
      <c r="F68" s="12" t="inlineStr">
        <is>
          <t>No individual professional decision recorded; Source assignment -- not individually reviewed</t>
        </is>
      </c>
      <c r="G68" s="12" t="inlineStr">
        <is>
          <t>Not individually decided</t>
        </is>
      </c>
      <c r="H68" s="12" t="inlineStr">
        <is>
          <t xml:space="preserve">APPROVED / ONE_TO_ONE; </t>
        </is>
      </c>
      <c r="I68" s="12" t="inlineStr">
        <is>
          <t>New</t>
        </is>
      </c>
      <c r="J68" s="17" t="inlineStr">
        <is>
          <t>08 CROSSWALK</t>
        </is>
      </c>
    </row>
    <row r="69" ht="49" customHeight="1">
      <c r="A69" s="12" t="inlineStr">
        <is>
          <t>R80-v1</t>
        </is>
      </c>
      <c r="B69" s="12" t="inlineStr">
        <is>
          <t>Contractor Programme / SCH-01-080</t>
        </is>
      </c>
      <c r="C69" s="12" t="inlineStr">
        <is>
          <t>WBS Code = 1.1.1</t>
        </is>
      </c>
      <c r="D69" s="12" t="inlineStr">
        <is>
          <t>Proposed by Source assignment; target 1.1.1 Guideway and Civil - Guideway Structures</t>
        </is>
      </c>
      <c r="E69" s="12" t="inlineStr">
        <is>
          <t>None recorded</t>
        </is>
      </c>
      <c r="F69" s="12" t="inlineStr">
        <is>
          <t>No individual professional decision recorded; Source assignment -- not individually reviewed</t>
        </is>
      </c>
      <c r="G69" s="12" t="inlineStr">
        <is>
          <t>Not individually decided</t>
        </is>
      </c>
      <c r="H69" s="12" t="inlineStr">
        <is>
          <t xml:space="preserve">APPROVED / ONE_TO_ONE; </t>
        </is>
      </c>
      <c r="I69" s="12" t="inlineStr">
        <is>
          <t>New</t>
        </is>
      </c>
      <c r="J69" s="17" t="inlineStr">
        <is>
          <t>08 CROSSWALK</t>
        </is>
      </c>
    </row>
    <row r="70" ht="49" customHeight="1">
      <c r="A70" s="12" t="inlineStr">
        <is>
          <t>R82-v1</t>
        </is>
      </c>
      <c r="B70" s="12" t="inlineStr">
        <is>
          <t>Contractor Programme / SCH-01-082</t>
        </is>
      </c>
      <c r="C70" s="12" t="inlineStr">
        <is>
          <t>WBS Code = 1.1.1</t>
        </is>
      </c>
      <c r="D70" s="12" t="inlineStr">
        <is>
          <t>Proposed by Source assignment; target 1.1.1 Guideway and Civil - Guideway Structures</t>
        </is>
      </c>
      <c r="E70" s="12" t="inlineStr">
        <is>
          <t>None recorded</t>
        </is>
      </c>
      <c r="F70" s="12" t="inlineStr">
        <is>
          <t>No individual professional decision recorded; Source assignment -- not individually reviewed</t>
        </is>
      </c>
      <c r="G70" s="12" t="inlineStr">
        <is>
          <t>Not individually decided</t>
        </is>
      </c>
      <c r="H70" s="12" t="inlineStr">
        <is>
          <t xml:space="preserve">APPROVED / ONE_TO_ONE; </t>
        </is>
      </c>
      <c r="I70" s="12" t="inlineStr">
        <is>
          <t>New</t>
        </is>
      </c>
      <c r="J70" s="17" t="inlineStr">
        <is>
          <t>08 CROSSWALK</t>
        </is>
      </c>
    </row>
    <row r="71" ht="49" customHeight="1">
      <c r="A71" s="12" t="inlineStr">
        <is>
          <t>R83-v1</t>
        </is>
      </c>
      <c r="B71" s="12" t="inlineStr">
        <is>
          <t>Contractor Programme / SCH-01-083</t>
        </is>
      </c>
      <c r="C71" s="12" t="inlineStr">
        <is>
          <t>WBS Code = 1.1.1</t>
        </is>
      </c>
      <c r="D71" s="12" t="inlineStr">
        <is>
          <t>Proposed by Source assignment; target 1.1.1 Guideway and Civil - Guideway Structures</t>
        </is>
      </c>
      <c r="E71" s="12" t="inlineStr">
        <is>
          <t>None recorded</t>
        </is>
      </c>
      <c r="F71" s="12" t="inlineStr">
        <is>
          <t>No individual professional decision recorded; Source assignment -- not individually reviewed</t>
        </is>
      </c>
      <c r="G71" s="12" t="inlineStr">
        <is>
          <t>Not individually decided</t>
        </is>
      </c>
      <c r="H71" s="12" t="inlineStr">
        <is>
          <t xml:space="preserve">APPROVED / ONE_TO_ONE; </t>
        </is>
      </c>
      <c r="I71" s="12" t="inlineStr">
        <is>
          <t>New</t>
        </is>
      </c>
      <c r="J71" s="17" t="inlineStr">
        <is>
          <t>08 CROSSWALK</t>
        </is>
      </c>
    </row>
    <row r="72" ht="49" customHeight="1">
      <c r="A72" s="12" t="inlineStr">
        <is>
          <t>R85-v1</t>
        </is>
      </c>
      <c r="B72" s="12" t="inlineStr">
        <is>
          <t>Contractor Programme / SCH-01-085</t>
        </is>
      </c>
      <c r="C72" s="12" t="inlineStr">
        <is>
          <t>WBS Code = 1.1.1</t>
        </is>
      </c>
      <c r="D72" s="12" t="inlineStr">
        <is>
          <t>Proposed by Source assignment; target 1.1.1 Guideway and Civil - Guideway Structures</t>
        </is>
      </c>
      <c r="E72" s="12" t="inlineStr">
        <is>
          <t>None recorded</t>
        </is>
      </c>
      <c r="F72" s="12" t="inlineStr">
        <is>
          <t>No individual professional decision recorded; Source assignment -- not individually reviewed</t>
        </is>
      </c>
      <c r="G72" s="12" t="inlineStr">
        <is>
          <t>Not individually decided</t>
        </is>
      </c>
      <c r="H72" s="12" t="inlineStr">
        <is>
          <t xml:space="preserve">APPROVED / ONE_TO_ONE; </t>
        </is>
      </c>
      <c r="I72" s="12" t="inlineStr">
        <is>
          <t>New</t>
        </is>
      </c>
      <c r="J72" s="17" t="inlineStr">
        <is>
          <t>08 CROSSWALK</t>
        </is>
      </c>
    </row>
    <row r="73" ht="49" customHeight="1">
      <c r="A73" s="12" t="inlineStr">
        <is>
          <t>R86-v1</t>
        </is>
      </c>
      <c r="B73" s="12" t="inlineStr">
        <is>
          <t>Contractor Programme / SCH-01-086</t>
        </is>
      </c>
      <c r="C73" s="12" t="inlineStr">
        <is>
          <t>WBS Code = 1.1.1</t>
        </is>
      </c>
      <c r="D73" s="12" t="inlineStr">
        <is>
          <t>Proposed by Source assignment; target 1.1.1 Guideway and Civil - Guideway Structures</t>
        </is>
      </c>
      <c r="E73" s="12" t="inlineStr">
        <is>
          <t>None recorded</t>
        </is>
      </c>
      <c r="F73" s="12" t="inlineStr">
        <is>
          <t>No individual professional decision recorded; Source assignment -- not individually reviewed</t>
        </is>
      </c>
      <c r="G73" s="12" t="inlineStr">
        <is>
          <t>Not individually decided</t>
        </is>
      </c>
      <c r="H73" s="12" t="inlineStr">
        <is>
          <t xml:space="preserve">APPROVED / ONE_TO_ONE; </t>
        </is>
      </c>
      <c r="I73" s="12" t="inlineStr">
        <is>
          <t>New</t>
        </is>
      </c>
      <c r="J73" s="17" t="inlineStr">
        <is>
          <t>08 CROSSWALK</t>
        </is>
      </c>
    </row>
    <row r="74" ht="49" customHeight="1">
      <c r="A74" s="12" t="inlineStr">
        <is>
          <t>R88-v1</t>
        </is>
      </c>
      <c r="B74" s="12" t="inlineStr">
        <is>
          <t>Contractor Programme / SCH-01-088</t>
        </is>
      </c>
      <c r="C74" s="12" t="inlineStr">
        <is>
          <t>WBS Code = 1.1.1</t>
        </is>
      </c>
      <c r="D74" s="12" t="inlineStr">
        <is>
          <t>Proposed by Source assignment; target 1.1.1 Guideway and Civil - Guideway Structures</t>
        </is>
      </c>
      <c r="E74" s="12" t="inlineStr">
        <is>
          <t>None recorded</t>
        </is>
      </c>
      <c r="F74" s="12" t="inlineStr">
        <is>
          <t>No individual professional decision recorded; Source assignment -- not individually reviewed</t>
        </is>
      </c>
      <c r="G74" s="12" t="inlineStr">
        <is>
          <t>Not individually decided</t>
        </is>
      </c>
      <c r="H74" s="12" t="inlineStr">
        <is>
          <t xml:space="preserve">APPROVED / ONE_TO_ONE; </t>
        </is>
      </c>
      <c r="I74" s="12" t="inlineStr">
        <is>
          <t>New</t>
        </is>
      </c>
      <c r="J74" s="17" t="inlineStr">
        <is>
          <t>08 CROSSWALK</t>
        </is>
      </c>
    </row>
    <row r="75" ht="49" customHeight="1">
      <c r="A75" s="12" t="inlineStr">
        <is>
          <t>R89-v1</t>
        </is>
      </c>
      <c r="B75" s="12" t="inlineStr">
        <is>
          <t>Contractor Programme / SCH-01-089</t>
        </is>
      </c>
      <c r="C75" s="12" t="inlineStr">
        <is>
          <t>WBS Code = 1.1.1</t>
        </is>
      </c>
      <c r="D75" s="12" t="inlineStr">
        <is>
          <t>Proposed by Source assignment; target 1.1.1 Guideway and Civil - Guideway Structures</t>
        </is>
      </c>
      <c r="E75" s="12" t="inlineStr">
        <is>
          <t>None recorded</t>
        </is>
      </c>
      <c r="F75" s="12" t="inlineStr">
        <is>
          <t>No individual professional decision recorded; Source assignment -- not individually reviewed</t>
        </is>
      </c>
      <c r="G75" s="12" t="inlineStr">
        <is>
          <t>Not individually decided</t>
        </is>
      </c>
      <c r="H75" s="12" t="inlineStr">
        <is>
          <t xml:space="preserve">APPROVED / ONE_TO_ONE; </t>
        </is>
      </c>
      <c r="I75" s="12" t="inlineStr">
        <is>
          <t>New</t>
        </is>
      </c>
      <c r="J75" s="17" t="inlineStr">
        <is>
          <t>08 CROSSWALK</t>
        </is>
      </c>
    </row>
    <row r="76" ht="49" customHeight="1">
      <c r="A76" s="12" t="inlineStr">
        <is>
          <t>R91-v1</t>
        </is>
      </c>
      <c r="B76" s="12" t="inlineStr">
        <is>
          <t>Contractor Programme / SCH-01-091</t>
        </is>
      </c>
      <c r="C76" s="12" t="inlineStr">
        <is>
          <t>WBS Code = 1.1.1</t>
        </is>
      </c>
      <c r="D76" s="12" t="inlineStr">
        <is>
          <t>Proposed by Source assignment; target 1.1.1 Guideway and Civil - Guideway Structures</t>
        </is>
      </c>
      <c r="E76" s="12" t="inlineStr">
        <is>
          <t>None recorded</t>
        </is>
      </c>
      <c r="F76" s="12" t="inlineStr">
        <is>
          <t>No individual professional decision recorded; Source assignment -- not individually reviewed</t>
        </is>
      </c>
      <c r="G76" s="12" t="inlineStr">
        <is>
          <t>Not individually decided</t>
        </is>
      </c>
      <c r="H76" s="12" t="inlineStr">
        <is>
          <t xml:space="preserve">APPROVED / ONE_TO_ONE; </t>
        </is>
      </c>
      <c r="I76" s="12" t="inlineStr">
        <is>
          <t>New</t>
        </is>
      </c>
      <c r="J76" s="17" t="inlineStr">
        <is>
          <t>08 CROSSWALK</t>
        </is>
      </c>
    </row>
    <row r="77" ht="49" customHeight="1">
      <c r="A77" s="12" t="inlineStr">
        <is>
          <t>R92-v1</t>
        </is>
      </c>
      <c r="B77" s="12" t="inlineStr">
        <is>
          <t>Contractor Programme / SCH-01-092</t>
        </is>
      </c>
      <c r="C77" s="12" t="inlineStr">
        <is>
          <t>WBS Code = 1.1.1</t>
        </is>
      </c>
      <c r="D77" s="12" t="inlineStr">
        <is>
          <t>Proposed by Source assignment; target 1.1.1 Guideway and Civil - Guideway Structures</t>
        </is>
      </c>
      <c r="E77" s="12" t="inlineStr">
        <is>
          <t>None recorded</t>
        </is>
      </c>
      <c r="F77" s="12" t="inlineStr">
        <is>
          <t>No individual professional decision recorded; Source assignment -- not individually reviewed</t>
        </is>
      </c>
      <c r="G77" s="12" t="inlineStr">
        <is>
          <t>Not individually decided</t>
        </is>
      </c>
      <c r="H77" s="12" t="inlineStr">
        <is>
          <t xml:space="preserve">APPROVED / ONE_TO_ONE; </t>
        </is>
      </c>
      <c r="I77" s="12" t="inlineStr">
        <is>
          <t>New</t>
        </is>
      </c>
      <c r="J77" s="17" t="inlineStr">
        <is>
          <t>08 CROSSWALK</t>
        </is>
      </c>
    </row>
    <row r="78" ht="49" customHeight="1">
      <c r="A78" s="12" t="inlineStr">
        <is>
          <t>R94-v1</t>
        </is>
      </c>
      <c r="B78" s="12" t="inlineStr">
        <is>
          <t>Contractor Programme / SCH-01-094</t>
        </is>
      </c>
      <c r="C78" s="12" t="inlineStr">
        <is>
          <t>WBS Code = 1.1.1</t>
        </is>
      </c>
      <c r="D78" s="12" t="inlineStr">
        <is>
          <t>Proposed by Source assignment; target 1.1.1 Guideway and Civil - Guideway Structures</t>
        </is>
      </c>
      <c r="E78" s="12" t="inlineStr">
        <is>
          <t>None recorded</t>
        </is>
      </c>
      <c r="F78" s="12" t="inlineStr">
        <is>
          <t>No individual professional decision recorded; Source assignment -- not individually reviewed</t>
        </is>
      </c>
      <c r="G78" s="12" t="inlineStr">
        <is>
          <t>Not individually decided</t>
        </is>
      </c>
      <c r="H78" s="12" t="inlineStr">
        <is>
          <t xml:space="preserve">APPROVED / ONE_TO_ONE; </t>
        </is>
      </c>
      <c r="I78" s="12" t="inlineStr">
        <is>
          <t>New</t>
        </is>
      </c>
      <c r="J78" s="17" t="inlineStr">
        <is>
          <t>08 CROSSWALK</t>
        </is>
      </c>
    </row>
    <row r="79" ht="49" customHeight="1">
      <c r="A79" s="12" t="inlineStr">
        <is>
          <t>R95-v1</t>
        </is>
      </c>
      <c r="B79" s="12" t="inlineStr">
        <is>
          <t>Contractor Programme / SCH-01-095</t>
        </is>
      </c>
      <c r="C79" s="12" t="inlineStr">
        <is>
          <t>WBS Code = 1.1.1</t>
        </is>
      </c>
      <c r="D79" s="12" t="inlineStr">
        <is>
          <t>Proposed by Source assignment; target 1.1.1 Guideway and Civil - Guideway Structures</t>
        </is>
      </c>
      <c r="E79" s="12" t="inlineStr">
        <is>
          <t>None recorded</t>
        </is>
      </c>
      <c r="F79" s="12" t="inlineStr">
        <is>
          <t>No individual professional decision recorded; Source assignment -- not individually reviewed</t>
        </is>
      </c>
      <c r="G79" s="12" t="inlineStr">
        <is>
          <t>Not individually decided</t>
        </is>
      </c>
      <c r="H79" s="12" t="inlineStr">
        <is>
          <t xml:space="preserve">APPROVED / ONE_TO_ONE; </t>
        </is>
      </c>
      <c r="I79" s="12" t="inlineStr">
        <is>
          <t>New</t>
        </is>
      </c>
      <c r="J79" s="17" t="inlineStr">
        <is>
          <t>08 CROSSWALK</t>
        </is>
      </c>
    </row>
    <row r="80" ht="49" customHeight="1">
      <c r="A80" s="12" t="inlineStr">
        <is>
          <t>R97-v1</t>
        </is>
      </c>
      <c r="B80" s="12" t="inlineStr">
        <is>
          <t>Contractor Programme / SCH-01-097</t>
        </is>
      </c>
      <c r="C80" s="12" t="inlineStr">
        <is>
          <t>WBS Code = 1.1.1</t>
        </is>
      </c>
      <c r="D80" s="12" t="inlineStr">
        <is>
          <t>Proposed by Source assignment; target 1.1.1 Guideway and Civil - Guideway Structures</t>
        </is>
      </c>
      <c r="E80" s="12" t="inlineStr">
        <is>
          <t>None recorded</t>
        </is>
      </c>
      <c r="F80" s="12" t="inlineStr">
        <is>
          <t>No individual professional decision recorded; Source assignment -- not individually reviewed</t>
        </is>
      </c>
      <c r="G80" s="12" t="inlineStr">
        <is>
          <t>Not individually decided</t>
        </is>
      </c>
      <c r="H80" s="12" t="inlineStr">
        <is>
          <t xml:space="preserve">APPROVED / ONE_TO_ONE; </t>
        </is>
      </c>
      <c r="I80" s="12" t="inlineStr">
        <is>
          <t>New</t>
        </is>
      </c>
      <c r="J80" s="17" t="inlineStr">
        <is>
          <t>08 CROSSWALK</t>
        </is>
      </c>
    </row>
    <row r="81" ht="49" customHeight="1">
      <c r="A81" s="12" t="inlineStr">
        <is>
          <t>R98-v1</t>
        </is>
      </c>
      <c r="B81" s="12" t="inlineStr">
        <is>
          <t>Contractor Programme / SCH-01-098</t>
        </is>
      </c>
      <c r="C81" s="12" t="inlineStr">
        <is>
          <t>WBS Code = 1.1.1</t>
        </is>
      </c>
      <c r="D81" s="12" t="inlineStr">
        <is>
          <t>Proposed by Source assignment; target 1.1.1 Guideway and Civil - Guideway Structures</t>
        </is>
      </c>
      <c r="E81" s="12" t="inlineStr">
        <is>
          <t>None recorded</t>
        </is>
      </c>
      <c r="F81" s="12" t="inlineStr">
        <is>
          <t>No individual professional decision recorded; Source assignment -- not individually reviewed</t>
        </is>
      </c>
      <c r="G81" s="12" t="inlineStr">
        <is>
          <t>Not individually decided</t>
        </is>
      </c>
      <c r="H81" s="12" t="inlineStr">
        <is>
          <t xml:space="preserve">APPROVED / ONE_TO_ONE; </t>
        </is>
      </c>
      <c r="I81" s="12" t="inlineStr">
        <is>
          <t>New</t>
        </is>
      </c>
      <c r="J81" s="17" t="inlineStr">
        <is>
          <t>08 CROSSWALK</t>
        </is>
      </c>
    </row>
    <row r="82" ht="49" customHeight="1">
      <c r="A82" s="12" t="inlineStr">
        <is>
          <t>R100-v1</t>
        </is>
      </c>
      <c r="B82" s="12" t="inlineStr">
        <is>
          <t>Contractor Programme / SCH-01-100</t>
        </is>
      </c>
      <c r="C82" s="12" t="inlineStr">
        <is>
          <t>WBS Code = 1.1.1</t>
        </is>
      </c>
      <c r="D82" s="12" t="inlineStr">
        <is>
          <t>Proposed by Source assignment; target 1.1.1 Guideway and Civil - Guideway Structures</t>
        </is>
      </c>
      <c r="E82" s="12" t="inlineStr">
        <is>
          <t>None recorded</t>
        </is>
      </c>
      <c r="F82" s="12" t="inlineStr">
        <is>
          <t>No individual professional decision recorded; Source assignment -- not individually reviewed</t>
        </is>
      </c>
      <c r="G82" s="12" t="inlineStr">
        <is>
          <t>Not individually decided</t>
        </is>
      </c>
      <c r="H82" s="12" t="inlineStr">
        <is>
          <t xml:space="preserve">APPROVED / ONE_TO_ONE; </t>
        </is>
      </c>
      <c r="I82" s="12" t="inlineStr">
        <is>
          <t>New</t>
        </is>
      </c>
      <c r="J82" s="17" t="inlineStr">
        <is>
          <t>08 CROSSWALK</t>
        </is>
      </c>
    </row>
    <row r="83" ht="49" customHeight="1">
      <c r="A83" s="12" t="inlineStr">
        <is>
          <t>R101-v1</t>
        </is>
      </c>
      <c r="B83" s="12" t="inlineStr">
        <is>
          <t>Contractor Programme / SCH-01-101</t>
        </is>
      </c>
      <c r="C83" s="12" t="inlineStr">
        <is>
          <t>WBS Code = 1.1.1</t>
        </is>
      </c>
      <c r="D83" s="12" t="inlineStr">
        <is>
          <t>Proposed by Source assignment; target 1.1.1 Guideway and Civil - Guideway Structures</t>
        </is>
      </c>
      <c r="E83" s="12" t="inlineStr">
        <is>
          <t>None recorded</t>
        </is>
      </c>
      <c r="F83" s="12" t="inlineStr">
        <is>
          <t>No individual professional decision recorded; Source assignment -- not individually reviewed</t>
        </is>
      </c>
      <c r="G83" s="12" t="inlineStr">
        <is>
          <t>Not individually decided</t>
        </is>
      </c>
      <c r="H83" s="12" t="inlineStr">
        <is>
          <t xml:space="preserve">APPROVED / ONE_TO_ONE; </t>
        </is>
      </c>
      <c r="I83" s="12" t="inlineStr">
        <is>
          <t>New</t>
        </is>
      </c>
      <c r="J83" s="17" t="inlineStr">
        <is>
          <t>08 CROSSWALK</t>
        </is>
      </c>
    </row>
    <row r="84" ht="49" customHeight="1">
      <c r="A84" s="12" t="inlineStr">
        <is>
          <t>R103-v1</t>
        </is>
      </c>
      <c r="B84" s="12" t="inlineStr">
        <is>
          <t>Contractor Programme / SCH-01-103</t>
        </is>
      </c>
      <c r="C84" s="12" t="inlineStr">
        <is>
          <t>WBS Code = 1.1.1</t>
        </is>
      </c>
      <c r="D84" s="12" t="inlineStr">
        <is>
          <t>Proposed by Source assignment; target 1.1.1 Guideway and Civil - Guideway Structures</t>
        </is>
      </c>
      <c r="E84" s="12" t="inlineStr">
        <is>
          <t>None recorded</t>
        </is>
      </c>
      <c r="F84" s="12" t="inlineStr">
        <is>
          <t>No individual professional decision recorded; Source assignment -- not individually reviewed</t>
        </is>
      </c>
      <c r="G84" s="12" t="inlineStr">
        <is>
          <t>Not individually decided</t>
        </is>
      </c>
      <c r="H84" s="12" t="inlineStr">
        <is>
          <t xml:space="preserve">APPROVED / ONE_TO_ONE; </t>
        </is>
      </c>
      <c r="I84" s="12" t="inlineStr">
        <is>
          <t>New</t>
        </is>
      </c>
      <c r="J84" s="17" t="inlineStr">
        <is>
          <t>08 CROSSWALK</t>
        </is>
      </c>
    </row>
    <row r="85" ht="49" customHeight="1">
      <c r="A85" s="12" t="inlineStr">
        <is>
          <t>R104-v1</t>
        </is>
      </c>
      <c r="B85" s="12" t="inlineStr">
        <is>
          <t>Contractor Programme / SCH-01-104</t>
        </is>
      </c>
      <c r="C85" s="12" t="inlineStr">
        <is>
          <t>WBS Code = 1.1.1</t>
        </is>
      </c>
      <c r="D85" s="12" t="inlineStr">
        <is>
          <t>Proposed by Source assignment; target 1.1.1 Guideway and Civil - Guideway Structures</t>
        </is>
      </c>
      <c r="E85" s="12" t="inlineStr">
        <is>
          <t>None recorded</t>
        </is>
      </c>
      <c r="F85" s="12" t="inlineStr">
        <is>
          <t>No individual professional decision recorded; Source assignment -- not individually reviewed</t>
        </is>
      </c>
      <c r="G85" s="12" t="inlineStr">
        <is>
          <t>Not individually decided</t>
        </is>
      </c>
      <c r="H85" s="12" t="inlineStr">
        <is>
          <t xml:space="preserve">APPROVED / ONE_TO_ONE; </t>
        </is>
      </c>
      <c r="I85" s="12" t="inlineStr">
        <is>
          <t>New</t>
        </is>
      </c>
      <c r="J85" s="17" t="inlineStr">
        <is>
          <t>08 CROSSWALK</t>
        </is>
      </c>
    </row>
    <row r="86" ht="49" customHeight="1">
      <c r="A86" s="12" t="inlineStr">
        <is>
          <t>R106-v1</t>
        </is>
      </c>
      <c r="B86" s="12" t="inlineStr">
        <is>
          <t>Contractor Programme / SCH-01-106</t>
        </is>
      </c>
      <c r="C86" s="12" t="inlineStr">
        <is>
          <t>WBS Code = 1.1.1</t>
        </is>
      </c>
      <c r="D86" s="12" t="inlineStr">
        <is>
          <t>Proposed by Source assignment; target 1.1.1 Guideway and Civil - Guideway Structures</t>
        </is>
      </c>
      <c r="E86" s="12" t="inlineStr">
        <is>
          <t>None recorded</t>
        </is>
      </c>
      <c r="F86" s="12" t="inlineStr">
        <is>
          <t>No individual professional decision recorded; Source assignment -- not individually reviewed</t>
        </is>
      </c>
      <c r="G86" s="12" t="inlineStr">
        <is>
          <t>Not individually decided</t>
        </is>
      </c>
      <c r="H86" s="12" t="inlineStr">
        <is>
          <t xml:space="preserve">APPROVED / ONE_TO_ONE; </t>
        </is>
      </c>
      <c r="I86" s="12" t="inlineStr">
        <is>
          <t>New</t>
        </is>
      </c>
      <c r="J86" s="17" t="inlineStr">
        <is>
          <t>08 CROSSWALK</t>
        </is>
      </c>
    </row>
    <row r="87" ht="49" customHeight="1">
      <c r="A87" s="12" t="inlineStr">
        <is>
          <t>R107-v1</t>
        </is>
      </c>
      <c r="B87" s="12" t="inlineStr">
        <is>
          <t>Contractor Programme / SCH-01-107</t>
        </is>
      </c>
      <c r="C87" s="12" t="inlineStr">
        <is>
          <t>WBS Code = 1.1.1</t>
        </is>
      </c>
      <c r="D87" s="12" t="inlineStr">
        <is>
          <t>Proposed by Source assignment; target 1.1.1 Guideway and Civil - Guideway Structures</t>
        </is>
      </c>
      <c r="E87" s="12" t="inlineStr">
        <is>
          <t>None recorded</t>
        </is>
      </c>
      <c r="F87" s="12" t="inlineStr">
        <is>
          <t>No individual professional decision recorded; Source assignment -- not individually reviewed</t>
        </is>
      </c>
      <c r="G87" s="12" t="inlineStr">
        <is>
          <t>Not individually decided</t>
        </is>
      </c>
      <c r="H87" s="12" t="inlineStr">
        <is>
          <t xml:space="preserve">APPROVED / ONE_TO_ONE; </t>
        </is>
      </c>
      <c r="I87" s="12" t="inlineStr">
        <is>
          <t>New</t>
        </is>
      </c>
      <c r="J87" s="17" t="inlineStr">
        <is>
          <t>08 CROSSWALK</t>
        </is>
      </c>
    </row>
    <row r="88" ht="49" customHeight="1">
      <c r="A88" s="12" t="inlineStr">
        <is>
          <t>R109-v1</t>
        </is>
      </c>
      <c r="B88" s="12" t="inlineStr">
        <is>
          <t>Contractor Programme / SCH-01-109</t>
        </is>
      </c>
      <c r="C88" s="12" t="inlineStr">
        <is>
          <t>WBS Code = 1.1.1</t>
        </is>
      </c>
      <c r="D88" s="12" t="inlineStr">
        <is>
          <t>Proposed by Source assignment; target 1.1.1 Guideway and Civil - Guideway Structures</t>
        </is>
      </c>
      <c r="E88" s="12" t="inlineStr">
        <is>
          <t>None recorded</t>
        </is>
      </c>
      <c r="F88" s="12" t="inlineStr">
        <is>
          <t>No individual professional decision recorded; Source assignment -- not individually reviewed</t>
        </is>
      </c>
      <c r="G88" s="12" t="inlineStr">
        <is>
          <t>Not individually decided</t>
        </is>
      </c>
      <c r="H88" s="12" t="inlineStr">
        <is>
          <t xml:space="preserve">APPROVED / ONE_TO_ONE; </t>
        </is>
      </c>
      <c r="I88" s="12" t="inlineStr">
        <is>
          <t>New</t>
        </is>
      </c>
      <c r="J88" s="17" t="inlineStr">
        <is>
          <t>08 CROSSWALK</t>
        </is>
      </c>
    </row>
    <row r="89" ht="49" customHeight="1">
      <c r="A89" s="12" t="inlineStr">
        <is>
          <t>R110-v1</t>
        </is>
      </c>
      <c r="B89" s="12" t="inlineStr">
        <is>
          <t>Contractor Programme / SCH-01-110</t>
        </is>
      </c>
      <c r="C89" s="12" t="inlineStr">
        <is>
          <t>WBS Code = 1.1.1</t>
        </is>
      </c>
      <c r="D89" s="12" t="inlineStr">
        <is>
          <t>Proposed by Source assignment; target 1.1.1 Guideway and Civil - Guideway Structures</t>
        </is>
      </c>
      <c r="E89" s="12" t="inlineStr">
        <is>
          <t>None recorded</t>
        </is>
      </c>
      <c r="F89" s="12" t="inlineStr">
        <is>
          <t>No individual professional decision recorded; Source assignment -- not individually reviewed</t>
        </is>
      </c>
      <c r="G89" s="12" t="inlineStr">
        <is>
          <t>Not individually decided</t>
        </is>
      </c>
      <c r="H89" s="12" t="inlineStr">
        <is>
          <t xml:space="preserve">APPROVED / ONE_TO_ONE; </t>
        </is>
      </c>
      <c r="I89" s="12" t="inlineStr">
        <is>
          <t>New</t>
        </is>
      </c>
      <c r="J89" s="17" t="inlineStr">
        <is>
          <t>08 CROSSWALK</t>
        </is>
      </c>
    </row>
    <row r="90" ht="49" customHeight="1">
      <c r="A90" s="12" t="inlineStr">
        <is>
          <t>R112-v1</t>
        </is>
      </c>
      <c r="B90" s="12" t="inlineStr">
        <is>
          <t>Contractor Programme / SCH-01-112</t>
        </is>
      </c>
      <c r="C90" s="12" t="inlineStr">
        <is>
          <t>WBS Code = 1.1.1</t>
        </is>
      </c>
      <c r="D90" s="12" t="inlineStr">
        <is>
          <t>Proposed by Source assignment; target 1.1.1 Guideway and Civil - Guideway Structures</t>
        </is>
      </c>
      <c r="E90" s="12" t="inlineStr">
        <is>
          <t>None recorded</t>
        </is>
      </c>
      <c r="F90" s="12" t="inlineStr">
        <is>
          <t>No individual professional decision recorded; Source assignment -- not individually reviewed</t>
        </is>
      </c>
      <c r="G90" s="12" t="inlineStr">
        <is>
          <t>Not individually decided</t>
        </is>
      </c>
      <c r="H90" s="12" t="inlineStr">
        <is>
          <t xml:space="preserve">APPROVED / ONE_TO_ONE; </t>
        </is>
      </c>
      <c r="I90" s="12" t="inlineStr">
        <is>
          <t>New</t>
        </is>
      </c>
      <c r="J90" s="17" t="inlineStr">
        <is>
          <t>08 CROSSWALK</t>
        </is>
      </c>
    </row>
    <row r="91" ht="49" customHeight="1">
      <c r="A91" s="12" t="inlineStr">
        <is>
          <t>R113-v1</t>
        </is>
      </c>
      <c r="B91" s="12" t="inlineStr">
        <is>
          <t>Contractor Programme / SCH-01-113</t>
        </is>
      </c>
      <c r="C91" s="12" t="inlineStr">
        <is>
          <t>WBS Code = 1.1.1</t>
        </is>
      </c>
      <c r="D91" s="12" t="inlineStr">
        <is>
          <t>Proposed by Source assignment; target 1.1.1 Guideway and Civil - Guideway Structures</t>
        </is>
      </c>
      <c r="E91" s="12" t="inlineStr">
        <is>
          <t>None recorded</t>
        </is>
      </c>
      <c r="F91" s="12" t="inlineStr">
        <is>
          <t>No individual professional decision recorded; Source assignment -- not individually reviewed</t>
        </is>
      </c>
      <c r="G91" s="12" t="inlineStr">
        <is>
          <t>Not individually decided</t>
        </is>
      </c>
      <c r="H91" s="12" t="inlineStr">
        <is>
          <t xml:space="preserve">APPROVED / ONE_TO_ONE; </t>
        </is>
      </c>
      <c r="I91" s="12" t="inlineStr">
        <is>
          <t>New</t>
        </is>
      </c>
      <c r="J91" s="17" t="inlineStr">
        <is>
          <t>08 CROSSWALK</t>
        </is>
      </c>
    </row>
    <row r="92" ht="49" customHeight="1">
      <c r="A92" s="12" t="inlineStr">
        <is>
          <t>R115-v1</t>
        </is>
      </c>
      <c r="B92" s="12" t="inlineStr">
        <is>
          <t>Contractor Programme / SCH-01-115</t>
        </is>
      </c>
      <c r="C92" s="12" t="inlineStr">
        <is>
          <t>WBS Code = 1.1.1</t>
        </is>
      </c>
      <c r="D92" s="12" t="inlineStr">
        <is>
          <t>Proposed by Source assignment; target 1.1.1 Guideway and Civil - Guideway Structures</t>
        </is>
      </c>
      <c r="E92" s="12" t="inlineStr">
        <is>
          <t>None recorded</t>
        </is>
      </c>
      <c r="F92" s="12" t="inlineStr">
        <is>
          <t>No individual professional decision recorded; Source assignment -- not individually reviewed</t>
        </is>
      </c>
      <c r="G92" s="12" t="inlineStr">
        <is>
          <t>Not individually decided</t>
        </is>
      </c>
      <c r="H92" s="12" t="inlineStr">
        <is>
          <t xml:space="preserve">APPROVED / ONE_TO_ONE; </t>
        </is>
      </c>
      <c r="I92" s="12" t="inlineStr">
        <is>
          <t>New</t>
        </is>
      </c>
      <c r="J92" s="17" t="inlineStr">
        <is>
          <t>08 CROSSWALK</t>
        </is>
      </c>
    </row>
    <row r="93" ht="49" customHeight="1">
      <c r="A93" s="12" t="inlineStr">
        <is>
          <t>R116-v1</t>
        </is>
      </c>
      <c r="B93" s="12" t="inlineStr">
        <is>
          <t>Contractor Programme / SCH-01-116</t>
        </is>
      </c>
      <c r="C93" s="12" t="inlineStr">
        <is>
          <t>WBS Code = 1.1.1</t>
        </is>
      </c>
      <c r="D93" s="12" t="inlineStr">
        <is>
          <t>Proposed by Source assignment; target 1.1.1 Guideway and Civil - Guideway Structures</t>
        </is>
      </c>
      <c r="E93" s="12" t="inlineStr">
        <is>
          <t>None recorded</t>
        </is>
      </c>
      <c r="F93" s="12" t="inlineStr">
        <is>
          <t>No individual professional decision recorded; Source assignment -- not individually reviewed</t>
        </is>
      </c>
      <c r="G93" s="12" t="inlineStr">
        <is>
          <t>Not individually decided</t>
        </is>
      </c>
      <c r="H93" s="12" t="inlineStr">
        <is>
          <t xml:space="preserve">APPROVED / ONE_TO_ONE; </t>
        </is>
      </c>
      <c r="I93" s="12" t="inlineStr">
        <is>
          <t>New</t>
        </is>
      </c>
      <c r="J93" s="17" t="inlineStr">
        <is>
          <t>08 CROSSWALK</t>
        </is>
      </c>
    </row>
    <row r="94" ht="49" customHeight="1">
      <c r="A94" s="12" t="inlineStr">
        <is>
          <t>R118-v1</t>
        </is>
      </c>
      <c r="B94" s="12" t="inlineStr">
        <is>
          <t>Contractor Programme / SCH-01-118</t>
        </is>
      </c>
      <c r="C94" s="12" t="inlineStr">
        <is>
          <t>WBS Code = 1.1.1</t>
        </is>
      </c>
      <c r="D94" s="12" t="inlineStr">
        <is>
          <t>Proposed by Source assignment; target 1.1.1 Guideway and Civil - Guideway Structures</t>
        </is>
      </c>
      <c r="E94" s="12" t="inlineStr">
        <is>
          <t>None recorded</t>
        </is>
      </c>
      <c r="F94" s="12" t="inlineStr">
        <is>
          <t>No individual professional decision recorded; Source assignment -- not individually reviewed</t>
        </is>
      </c>
      <c r="G94" s="12" t="inlineStr">
        <is>
          <t>Not individually decided</t>
        </is>
      </c>
      <c r="H94" s="12" t="inlineStr">
        <is>
          <t xml:space="preserve">APPROVED / ONE_TO_ONE; </t>
        </is>
      </c>
      <c r="I94" s="12" t="inlineStr">
        <is>
          <t>New</t>
        </is>
      </c>
      <c r="J94" s="17" t="inlineStr">
        <is>
          <t>08 CROSSWALK</t>
        </is>
      </c>
    </row>
    <row r="95" ht="49" customHeight="1">
      <c r="A95" s="12" t="inlineStr">
        <is>
          <t>R119-v1</t>
        </is>
      </c>
      <c r="B95" s="12" t="inlineStr">
        <is>
          <t>Contractor Programme / SCH-01-119</t>
        </is>
      </c>
      <c r="C95" s="12" t="inlineStr">
        <is>
          <t>WBS Code = 1.1.1</t>
        </is>
      </c>
      <c r="D95" s="12" t="inlineStr">
        <is>
          <t>Proposed by Source assignment; target 1.1.1 Guideway and Civil - Guideway Structures</t>
        </is>
      </c>
      <c r="E95" s="12" t="inlineStr">
        <is>
          <t>None recorded</t>
        </is>
      </c>
      <c r="F95" s="12" t="inlineStr">
        <is>
          <t>No individual professional decision recorded; Source assignment -- not individually reviewed</t>
        </is>
      </c>
      <c r="G95" s="12" t="inlineStr">
        <is>
          <t>Not individually decided</t>
        </is>
      </c>
      <c r="H95" s="12" t="inlineStr">
        <is>
          <t xml:space="preserve">APPROVED / ONE_TO_ONE; </t>
        </is>
      </c>
      <c r="I95" s="12" t="inlineStr">
        <is>
          <t>New</t>
        </is>
      </c>
      <c r="J95" s="17" t="inlineStr">
        <is>
          <t>08 CROSSWALK</t>
        </is>
      </c>
    </row>
    <row r="96" ht="49" customHeight="1">
      <c r="A96" s="12" t="inlineStr">
        <is>
          <t>R121-v1</t>
        </is>
      </c>
      <c r="B96" s="12" t="inlineStr">
        <is>
          <t>Contractor Programme / SCH-01-121</t>
        </is>
      </c>
      <c r="C96" s="12" t="inlineStr">
        <is>
          <t>WBS Code = 1.1.1</t>
        </is>
      </c>
      <c r="D96" s="12" t="inlineStr">
        <is>
          <t>Proposed by Source assignment; target 1.1.1 Guideway and Civil - Guideway Structures</t>
        </is>
      </c>
      <c r="E96" s="12" t="inlineStr">
        <is>
          <t>None recorded</t>
        </is>
      </c>
      <c r="F96" s="12" t="inlineStr">
        <is>
          <t>No individual professional decision recorded; Source assignment -- not individually reviewed</t>
        </is>
      </c>
      <c r="G96" s="12" t="inlineStr">
        <is>
          <t>Not individually decided</t>
        </is>
      </c>
      <c r="H96" s="12" t="inlineStr">
        <is>
          <t xml:space="preserve">APPROVED / ONE_TO_ONE; </t>
        </is>
      </c>
      <c r="I96" s="12" t="inlineStr">
        <is>
          <t>New</t>
        </is>
      </c>
      <c r="J96" s="17" t="inlineStr">
        <is>
          <t>08 CROSSWALK</t>
        </is>
      </c>
    </row>
    <row r="97" ht="49" customHeight="1">
      <c r="A97" s="12" t="inlineStr">
        <is>
          <t>R122-v1</t>
        </is>
      </c>
      <c r="B97" s="12" t="inlineStr">
        <is>
          <t>Contractor Programme / SCH-01-122</t>
        </is>
      </c>
      <c r="C97" s="12" t="inlineStr">
        <is>
          <t>WBS Code = 1.1.1</t>
        </is>
      </c>
      <c r="D97" s="12" t="inlineStr">
        <is>
          <t>Proposed by Source assignment; target 1.1.1 Guideway and Civil - Guideway Structures</t>
        </is>
      </c>
      <c r="E97" s="12" t="inlineStr">
        <is>
          <t>None recorded</t>
        </is>
      </c>
      <c r="F97" s="12" t="inlineStr">
        <is>
          <t>No individual professional decision recorded; Source assignment -- not individually reviewed</t>
        </is>
      </c>
      <c r="G97" s="12" t="inlineStr">
        <is>
          <t>Not individually decided</t>
        </is>
      </c>
      <c r="H97" s="12" t="inlineStr">
        <is>
          <t xml:space="preserve">APPROVED / ONE_TO_ONE; </t>
        </is>
      </c>
      <c r="I97" s="12" t="inlineStr">
        <is>
          <t>New</t>
        </is>
      </c>
      <c r="J97" s="17" t="inlineStr">
        <is>
          <t>08 CROSSWALK</t>
        </is>
      </c>
    </row>
    <row r="98" ht="49" customHeight="1">
      <c r="A98" s="12" t="inlineStr">
        <is>
          <t>R124-v1</t>
        </is>
      </c>
      <c r="B98" s="12" t="inlineStr">
        <is>
          <t>Contractor Programme / SCH-01-124</t>
        </is>
      </c>
      <c r="C98" s="12" t="inlineStr">
        <is>
          <t>WBS Code = 1.1.1</t>
        </is>
      </c>
      <c r="D98" s="12" t="inlineStr">
        <is>
          <t>Proposed by Source assignment; target 1.1.1 Guideway and Civil - Guideway Structures</t>
        </is>
      </c>
      <c r="E98" s="12" t="inlineStr">
        <is>
          <t>None recorded</t>
        </is>
      </c>
      <c r="F98" s="12" t="inlineStr">
        <is>
          <t>No individual professional decision recorded; Source assignment -- not individually reviewed</t>
        </is>
      </c>
      <c r="G98" s="12" t="inlineStr">
        <is>
          <t>Not individually decided</t>
        </is>
      </c>
      <c r="H98" s="12" t="inlineStr">
        <is>
          <t xml:space="preserve">APPROVED / ONE_TO_ONE; </t>
        </is>
      </c>
      <c r="I98" s="12" t="inlineStr">
        <is>
          <t>New</t>
        </is>
      </c>
      <c r="J98" s="17" t="inlineStr">
        <is>
          <t>08 CROSSWALK</t>
        </is>
      </c>
    </row>
    <row r="99" ht="49" customHeight="1">
      <c r="A99" s="12" t="inlineStr">
        <is>
          <t>R125-v1</t>
        </is>
      </c>
      <c r="B99" s="12" t="inlineStr">
        <is>
          <t>Contractor Programme / SCH-01-125</t>
        </is>
      </c>
      <c r="C99" s="12" t="inlineStr">
        <is>
          <t>WBS Code = 1.1.1</t>
        </is>
      </c>
      <c r="D99" s="12" t="inlineStr">
        <is>
          <t>Proposed by Source assignment; target 1.1.1 Guideway and Civil - Guideway Structures</t>
        </is>
      </c>
      <c r="E99" s="12" t="inlineStr">
        <is>
          <t>None recorded</t>
        </is>
      </c>
      <c r="F99" s="12" t="inlineStr">
        <is>
          <t>No individual professional decision recorded; Source assignment -- not individually reviewed</t>
        </is>
      </c>
      <c r="G99" s="12" t="inlineStr">
        <is>
          <t>Not individually decided</t>
        </is>
      </c>
      <c r="H99" s="12" t="inlineStr">
        <is>
          <t xml:space="preserve">APPROVED / ONE_TO_ONE; </t>
        </is>
      </c>
      <c r="I99" s="12" t="inlineStr">
        <is>
          <t>New</t>
        </is>
      </c>
      <c r="J99" s="17" t="inlineStr">
        <is>
          <t>08 CROSSWALK</t>
        </is>
      </c>
    </row>
    <row r="100" ht="49" customHeight="1">
      <c r="A100" s="12" t="inlineStr">
        <is>
          <t>R127-v1</t>
        </is>
      </c>
      <c r="B100" s="12" t="inlineStr">
        <is>
          <t>Contractor Programme / SCH-01-127</t>
        </is>
      </c>
      <c r="C100" s="12" t="inlineStr">
        <is>
          <t>WBS Code = 1.1.1</t>
        </is>
      </c>
      <c r="D100" s="12" t="inlineStr">
        <is>
          <t>Proposed by Source assignment; target 1.1.1 Guideway and Civil - Guideway Structures</t>
        </is>
      </c>
      <c r="E100" s="12" t="inlineStr">
        <is>
          <t>None recorded</t>
        </is>
      </c>
      <c r="F100" s="12" t="inlineStr">
        <is>
          <t>No individual professional decision recorded; Source assignment -- not individually reviewed</t>
        </is>
      </c>
      <c r="G100" s="12" t="inlineStr">
        <is>
          <t>Not individually decided</t>
        </is>
      </c>
      <c r="H100" s="12" t="inlineStr">
        <is>
          <t xml:space="preserve">APPROVED / ONE_TO_ONE; </t>
        </is>
      </c>
      <c r="I100" s="12" t="inlineStr">
        <is>
          <t>New</t>
        </is>
      </c>
      <c r="J100" s="17" t="inlineStr">
        <is>
          <t>08 CROSSWALK</t>
        </is>
      </c>
    </row>
    <row r="101" ht="49" customHeight="1">
      <c r="A101" s="12" t="inlineStr">
        <is>
          <t>R128-v1</t>
        </is>
      </c>
      <c r="B101" s="12" t="inlineStr">
        <is>
          <t>Contractor Programme / SCH-01-128</t>
        </is>
      </c>
      <c r="C101" s="12" t="inlineStr">
        <is>
          <t>WBS Code = 1.1.1</t>
        </is>
      </c>
      <c r="D101" s="12" t="inlineStr">
        <is>
          <t>Proposed by Source assignment; target 1.1.1 Guideway and Civil - Guideway Structures</t>
        </is>
      </c>
      <c r="E101" s="12" t="inlineStr">
        <is>
          <t>None recorded</t>
        </is>
      </c>
      <c r="F101" s="12" t="inlineStr">
        <is>
          <t>No individual professional decision recorded; Source assignment -- not individually reviewed</t>
        </is>
      </c>
      <c r="G101" s="12" t="inlineStr">
        <is>
          <t>Not individually decided</t>
        </is>
      </c>
      <c r="H101" s="12" t="inlineStr">
        <is>
          <t xml:space="preserve">APPROVED / ONE_TO_ONE; </t>
        </is>
      </c>
      <c r="I101" s="12" t="inlineStr">
        <is>
          <t>New</t>
        </is>
      </c>
      <c r="J101" s="17" t="inlineStr">
        <is>
          <t>08 CROSSWALK</t>
        </is>
      </c>
    </row>
    <row r="102" ht="49" customHeight="1">
      <c r="A102" s="12" t="inlineStr">
        <is>
          <t>R130-v1</t>
        </is>
      </c>
      <c r="B102" s="12" t="inlineStr">
        <is>
          <t>Contractor Programme / SCH-01-130</t>
        </is>
      </c>
      <c r="C102" s="12" t="inlineStr">
        <is>
          <t>WBS Code = 1.1.1</t>
        </is>
      </c>
      <c r="D102" s="12" t="inlineStr">
        <is>
          <t>Proposed by Source assignment; target 1.1.1 Guideway and Civil - Guideway Structures</t>
        </is>
      </c>
      <c r="E102" s="12" t="inlineStr">
        <is>
          <t>None recorded</t>
        </is>
      </c>
      <c r="F102" s="12" t="inlineStr">
        <is>
          <t>No individual professional decision recorded; Source assignment -- not individually reviewed</t>
        </is>
      </c>
      <c r="G102" s="12" t="inlineStr">
        <is>
          <t>Not individually decided</t>
        </is>
      </c>
      <c r="H102" s="12" t="inlineStr">
        <is>
          <t xml:space="preserve">APPROVED / ONE_TO_ONE; </t>
        </is>
      </c>
      <c r="I102" s="12" t="inlineStr">
        <is>
          <t>New</t>
        </is>
      </c>
      <c r="J102" s="17" t="inlineStr">
        <is>
          <t>08 CROSSWALK</t>
        </is>
      </c>
    </row>
    <row r="103" ht="49" customHeight="1">
      <c r="A103" s="12" t="inlineStr">
        <is>
          <t>R131-v1</t>
        </is>
      </c>
      <c r="B103" s="12" t="inlineStr">
        <is>
          <t>Contractor Programme / SCH-01-131</t>
        </is>
      </c>
      <c r="C103" s="12" t="inlineStr">
        <is>
          <t>WBS Code = 1.1.1</t>
        </is>
      </c>
      <c r="D103" s="12" t="inlineStr">
        <is>
          <t>Proposed by Source assignment; target 1.1.1 Guideway and Civil - Guideway Structures</t>
        </is>
      </c>
      <c r="E103" s="12" t="inlineStr">
        <is>
          <t>None recorded</t>
        </is>
      </c>
      <c r="F103" s="12" t="inlineStr">
        <is>
          <t>No individual professional decision recorded; Source assignment -- not individually reviewed</t>
        </is>
      </c>
      <c r="G103" s="12" t="inlineStr">
        <is>
          <t>Not individually decided</t>
        </is>
      </c>
      <c r="H103" s="12" t="inlineStr">
        <is>
          <t xml:space="preserve">APPROVED / ONE_TO_ONE; </t>
        </is>
      </c>
      <c r="I103" s="12" t="inlineStr">
        <is>
          <t>New</t>
        </is>
      </c>
      <c r="J103" s="17" t="inlineStr">
        <is>
          <t>08 CROSSWALK</t>
        </is>
      </c>
    </row>
    <row r="104" ht="49" customHeight="1">
      <c r="A104" s="12" t="inlineStr">
        <is>
          <t>R133-v1</t>
        </is>
      </c>
      <c r="B104" s="12" t="inlineStr">
        <is>
          <t>Contractor Programme / SCH-01-133</t>
        </is>
      </c>
      <c r="C104" s="12" t="inlineStr">
        <is>
          <t>WBS Code = 1.1.1</t>
        </is>
      </c>
      <c r="D104" s="12" t="inlineStr">
        <is>
          <t>Proposed by Source assignment; target 1.1.1 Guideway and Civil - Guideway Structures</t>
        </is>
      </c>
      <c r="E104" s="12" t="inlineStr">
        <is>
          <t>None recorded</t>
        </is>
      </c>
      <c r="F104" s="12" t="inlineStr">
        <is>
          <t>No individual professional decision recorded; Source assignment -- not individually reviewed</t>
        </is>
      </c>
      <c r="G104" s="12" t="inlineStr">
        <is>
          <t>Not individually decided</t>
        </is>
      </c>
      <c r="H104" s="12" t="inlineStr">
        <is>
          <t xml:space="preserve">APPROVED / ONE_TO_ONE; </t>
        </is>
      </c>
      <c r="I104" s="12" t="inlineStr">
        <is>
          <t>New</t>
        </is>
      </c>
      <c r="J104" s="17" t="inlineStr">
        <is>
          <t>08 CROSSWALK</t>
        </is>
      </c>
    </row>
    <row r="105" ht="49" customHeight="1">
      <c r="A105" s="12" t="inlineStr">
        <is>
          <t>R134-v1</t>
        </is>
      </c>
      <c r="B105" s="12" t="inlineStr">
        <is>
          <t>Contractor Programme / SCH-01-134</t>
        </is>
      </c>
      <c r="C105" s="12" t="inlineStr">
        <is>
          <t>WBS Code = 1.1.1</t>
        </is>
      </c>
      <c r="D105" s="12" t="inlineStr">
        <is>
          <t>Proposed by Source assignment; target 1.1.1 Guideway and Civil - Guideway Structures</t>
        </is>
      </c>
      <c r="E105" s="12" t="inlineStr">
        <is>
          <t>None recorded</t>
        </is>
      </c>
      <c r="F105" s="12" t="inlineStr">
        <is>
          <t>No individual professional decision recorded; Source assignment -- not individually reviewed</t>
        </is>
      </c>
      <c r="G105" s="12" t="inlineStr">
        <is>
          <t>Not individually decided</t>
        </is>
      </c>
      <c r="H105" s="12" t="inlineStr">
        <is>
          <t xml:space="preserve">APPROVED / ONE_TO_ONE; </t>
        </is>
      </c>
      <c r="I105" s="12" t="inlineStr">
        <is>
          <t>New</t>
        </is>
      </c>
      <c r="J105" s="17" t="inlineStr">
        <is>
          <t>08 CROSSWALK</t>
        </is>
      </c>
    </row>
    <row r="106" ht="49" customHeight="1">
      <c r="A106" s="12" t="inlineStr">
        <is>
          <t>R136-v1</t>
        </is>
      </c>
      <c r="B106" s="12" t="inlineStr">
        <is>
          <t>Contractor Programme / SCH-01-136</t>
        </is>
      </c>
      <c r="C106" s="12" t="inlineStr">
        <is>
          <t>WBS Code = 1.1.1</t>
        </is>
      </c>
      <c r="D106" s="12" t="inlineStr">
        <is>
          <t>Proposed by Source assignment; target 1.1.1 Guideway and Civil - Guideway Structures</t>
        </is>
      </c>
      <c r="E106" s="12" t="inlineStr">
        <is>
          <t>None recorded</t>
        </is>
      </c>
      <c r="F106" s="12" t="inlineStr">
        <is>
          <t>No individual professional decision recorded; Source assignment -- not individually reviewed</t>
        </is>
      </c>
      <c r="G106" s="12" t="inlineStr">
        <is>
          <t>Not individually decided</t>
        </is>
      </c>
      <c r="H106" s="12" t="inlineStr">
        <is>
          <t xml:space="preserve">APPROVED / ONE_TO_ONE; </t>
        </is>
      </c>
      <c r="I106" s="12" t="inlineStr">
        <is>
          <t>New</t>
        </is>
      </c>
      <c r="J106" s="17" t="inlineStr">
        <is>
          <t>08 CROSSWALK</t>
        </is>
      </c>
    </row>
    <row r="107" ht="49" customHeight="1">
      <c r="A107" s="12" t="inlineStr">
        <is>
          <t>R137-v1</t>
        </is>
      </c>
      <c r="B107" s="12" t="inlineStr">
        <is>
          <t>Contractor Programme / SCH-01-137</t>
        </is>
      </c>
      <c r="C107" s="12" t="inlineStr">
        <is>
          <t>WBS Code = 1.1.1</t>
        </is>
      </c>
      <c r="D107" s="12" t="inlineStr">
        <is>
          <t>Proposed by Source assignment; target 1.1.1 Guideway and Civil - Guideway Structures</t>
        </is>
      </c>
      <c r="E107" s="12" t="inlineStr">
        <is>
          <t>None recorded</t>
        </is>
      </c>
      <c r="F107" s="12" t="inlineStr">
        <is>
          <t>No individual professional decision recorded; Source assignment -- not individually reviewed</t>
        </is>
      </c>
      <c r="G107" s="12" t="inlineStr">
        <is>
          <t>Not individually decided</t>
        </is>
      </c>
      <c r="H107" s="12" t="inlineStr">
        <is>
          <t xml:space="preserve">APPROVED / ONE_TO_ONE; </t>
        </is>
      </c>
      <c r="I107" s="12" t="inlineStr">
        <is>
          <t>New</t>
        </is>
      </c>
      <c r="J107" s="17" t="inlineStr">
        <is>
          <t>08 CROSSWALK</t>
        </is>
      </c>
    </row>
    <row r="108" ht="49" customHeight="1">
      <c r="A108" s="12" t="inlineStr">
        <is>
          <t>R139-v1</t>
        </is>
      </c>
      <c r="B108" s="12" t="inlineStr">
        <is>
          <t>Contractor Programme / SCH-01-139</t>
        </is>
      </c>
      <c r="C108" s="12" t="inlineStr">
        <is>
          <t>WBS Code = 1.1.1</t>
        </is>
      </c>
      <c r="D108" s="12" t="inlineStr">
        <is>
          <t>Proposed by Source assignment; target 1.1.1 Guideway and Civil - Guideway Structures</t>
        </is>
      </c>
      <c r="E108" s="12" t="inlineStr">
        <is>
          <t>None recorded</t>
        </is>
      </c>
      <c r="F108" s="12" t="inlineStr">
        <is>
          <t>No individual professional decision recorded; Source assignment -- not individually reviewed</t>
        </is>
      </c>
      <c r="G108" s="12" t="inlineStr">
        <is>
          <t>Not individually decided</t>
        </is>
      </c>
      <c r="H108" s="12" t="inlineStr">
        <is>
          <t xml:space="preserve">APPROVED / ONE_TO_ONE; </t>
        </is>
      </c>
      <c r="I108" s="12" t="inlineStr">
        <is>
          <t>New</t>
        </is>
      </c>
      <c r="J108" s="17" t="inlineStr">
        <is>
          <t>08 CROSSWALK</t>
        </is>
      </c>
    </row>
    <row r="109" ht="49" customHeight="1">
      <c r="A109" s="12" t="inlineStr">
        <is>
          <t>R140-v1</t>
        </is>
      </c>
      <c r="B109" s="12" t="inlineStr">
        <is>
          <t>Contractor Programme / SCH-01-140</t>
        </is>
      </c>
      <c r="C109" s="12" t="inlineStr">
        <is>
          <t>WBS Code = 1.1.1</t>
        </is>
      </c>
      <c r="D109" s="12" t="inlineStr">
        <is>
          <t>Proposed by Source assignment; target 1.1.1 Guideway and Civil - Guideway Structures</t>
        </is>
      </c>
      <c r="E109" s="12" t="inlineStr">
        <is>
          <t>None recorded</t>
        </is>
      </c>
      <c r="F109" s="12" t="inlineStr">
        <is>
          <t>No individual professional decision recorded; Source assignment -- not individually reviewed</t>
        </is>
      </c>
      <c r="G109" s="12" t="inlineStr">
        <is>
          <t>Not individually decided</t>
        </is>
      </c>
      <c r="H109" s="12" t="inlineStr">
        <is>
          <t xml:space="preserve">APPROVED / ONE_TO_ONE; </t>
        </is>
      </c>
      <c r="I109" s="12" t="inlineStr">
        <is>
          <t>New</t>
        </is>
      </c>
      <c r="J109" s="17" t="inlineStr">
        <is>
          <t>08 CROSSWALK</t>
        </is>
      </c>
    </row>
    <row r="110" ht="49" customHeight="1">
      <c r="A110" s="12" t="inlineStr">
        <is>
          <t>R142-v1</t>
        </is>
      </c>
      <c r="B110" s="12" t="inlineStr">
        <is>
          <t>Contractor Programme / SCH-01-142</t>
        </is>
      </c>
      <c r="C110" s="12" t="inlineStr">
        <is>
          <t>WBS Code = 1.1.1</t>
        </is>
      </c>
      <c r="D110" s="12" t="inlineStr">
        <is>
          <t>Proposed by Source assignment; target 1.1.1 Guideway and Civil - Guideway Structures</t>
        </is>
      </c>
      <c r="E110" s="12" t="inlineStr">
        <is>
          <t>None recorded</t>
        </is>
      </c>
      <c r="F110" s="12" t="inlineStr">
        <is>
          <t>No individual professional decision recorded; Source assignment -- not individually reviewed</t>
        </is>
      </c>
      <c r="G110" s="12" t="inlineStr">
        <is>
          <t>Not individually decided</t>
        </is>
      </c>
      <c r="H110" s="12" t="inlineStr">
        <is>
          <t xml:space="preserve">APPROVED / ONE_TO_ONE; </t>
        </is>
      </c>
      <c r="I110" s="12" t="inlineStr">
        <is>
          <t>New</t>
        </is>
      </c>
      <c r="J110" s="17" t="inlineStr">
        <is>
          <t>08 CROSSWALK</t>
        </is>
      </c>
    </row>
    <row r="111" ht="49" customHeight="1">
      <c r="A111" s="12" t="inlineStr">
        <is>
          <t>R143-v1</t>
        </is>
      </c>
      <c r="B111" s="12" t="inlineStr">
        <is>
          <t>Contractor Programme / SCH-01-143</t>
        </is>
      </c>
      <c r="C111" s="12" t="inlineStr">
        <is>
          <t>WBS Code = 1.1.1</t>
        </is>
      </c>
      <c r="D111" s="12" t="inlineStr">
        <is>
          <t>Proposed by Source assignment; target 1.1.1 Guideway and Civil - Guideway Structures</t>
        </is>
      </c>
      <c r="E111" s="12" t="inlineStr">
        <is>
          <t>None recorded</t>
        </is>
      </c>
      <c r="F111" s="12" t="inlineStr">
        <is>
          <t>No individual professional decision recorded; Source assignment -- not individually reviewed</t>
        </is>
      </c>
      <c r="G111" s="12" t="inlineStr">
        <is>
          <t>Not individually decided</t>
        </is>
      </c>
      <c r="H111" s="12" t="inlineStr">
        <is>
          <t xml:space="preserve">APPROVED / ONE_TO_ONE; </t>
        </is>
      </c>
      <c r="I111" s="12" t="inlineStr">
        <is>
          <t>New</t>
        </is>
      </c>
      <c r="J111" s="17" t="inlineStr">
        <is>
          <t>08 CROSSWALK</t>
        </is>
      </c>
    </row>
    <row r="112" ht="49" customHeight="1">
      <c r="A112" s="12" t="inlineStr">
        <is>
          <t>R145-v1</t>
        </is>
      </c>
      <c r="B112" s="12" t="inlineStr">
        <is>
          <t>Contractor Programme / SCH-01-145</t>
        </is>
      </c>
      <c r="C112" s="12" t="inlineStr">
        <is>
          <t>WBS Code = 1.1.1</t>
        </is>
      </c>
      <c r="D112" s="12" t="inlineStr">
        <is>
          <t>Proposed by Source assignment; target 1.1.1 Guideway and Civil - Guideway Structures</t>
        </is>
      </c>
      <c r="E112" s="12" t="inlineStr">
        <is>
          <t>None recorded</t>
        </is>
      </c>
      <c r="F112" s="12" t="inlineStr">
        <is>
          <t>No individual professional decision recorded; Source assignment -- not individually reviewed</t>
        </is>
      </c>
      <c r="G112" s="12" t="inlineStr">
        <is>
          <t>Not individually decided</t>
        </is>
      </c>
      <c r="H112" s="12" t="inlineStr">
        <is>
          <t xml:space="preserve">APPROVED / ONE_TO_ONE; </t>
        </is>
      </c>
      <c r="I112" s="12" t="inlineStr">
        <is>
          <t>New</t>
        </is>
      </c>
      <c r="J112" s="17" t="inlineStr">
        <is>
          <t>08 CROSSWALK</t>
        </is>
      </c>
    </row>
    <row r="113" ht="49" customHeight="1">
      <c r="A113" s="12" t="inlineStr">
        <is>
          <t>R146-v1</t>
        </is>
      </c>
      <c r="B113" s="12" t="inlineStr">
        <is>
          <t>Contractor Programme / SCH-01-146</t>
        </is>
      </c>
      <c r="C113" s="12" t="inlineStr">
        <is>
          <t>WBS Code = 1.1.1</t>
        </is>
      </c>
      <c r="D113" s="12" t="inlineStr">
        <is>
          <t>Proposed by Source assignment; target 1.1.1 Guideway and Civil - Guideway Structures</t>
        </is>
      </c>
      <c r="E113" s="12" t="inlineStr">
        <is>
          <t>None recorded</t>
        </is>
      </c>
      <c r="F113" s="12" t="inlineStr">
        <is>
          <t>No individual professional decision recorded; Source assignment -- not individually reviewed</t>
        </is>
      </c>
      <c r="G113" s="12" t="inlineStr">
        <is>
          <t>Not individually decided</t>
        </is>
      </c>
      <c r="H113" s="12" t="inlineStr">
        <is>
          <t xml:space="preserve">APPROVED / ONE_TO_ONE; </t>
        </is>
      </c>
      <c r="I113" s="12" t="inlineStr">
        <is>
          <t>New</t>
        </is>
      </c>
      <c r="J113" s="17" t="inlineStr">
        <is>
          <t>08 CROSSWALK</t>
        </is>
      </c>
    </row>
    <row r="114" ht="49" customHeight="1">
      <c r="A114" s="12" t="inlineStr">
        <is>
          <t>R148-v1</t>
        </is>
      </c>
      <c r="B114" s="12" t="inlineStr">
        <is>
          <t>Contractor Programme / SCH-01-148</t>
        </is>
      </c>
      <c r="C114" s="12" t="inlineStr">
        <is>
          <t>WBS Code = 1.1.1</t>
        </is>
      </c>
      <c r="D114" s="12" t="inlineStr">
        <is>
          <t>Proposed by Source assignment; target 1.1.1 Guideway and Civil - Guideway Structures</t>
        </is>
      </c>
      <c r="E114" s="12" t="inlineStr">
        <is>
          <t>None recorded</t>
        </is>
      </c>
      <c r="F114" s="12" t="inlineStr">
        <is>
          <t>No individual professional decision recorded; Source assignment -- not individually reviewed</t>
        </is>
      </c>
      <c r="G114" s="12" t="inlineStr">
        <is>
          <t>Not individually decided</t>
        </is>
      </c>
      <c r="H114" s="12" t="inlineStr">
        <is>
          <t xml:space="preserve">APPROVED / ONE_TO_ONE; </t>
        </is>
      </c>
      <c r="I114" s="12" t="inlineStr">
        <is>
          <t>New</t>
        </is>
      </c>
      <c r="J114" s="17" t="inlineStr">
        <is>
          <t>08 CROSSWALK</t>
        </is>
      </c>
    </row>
    <row r="115" ht="49" customHeight="1">
      <c r="A115" s="12" t="inlineStr">
        <is>
          <t>R149-v1</t>
        </is>
      </c>
      <c r="B115" s="12" t="inlineStr">
        <is>
          <t>Contractor Programme / SCH-01-149</t>
        </is>
      </c>
      <c r="C115" s="12" t="inlineStr">
        <is>
          <t>WBS Code = 1.1.1</t>
        </is>
      </c>
      <c r="D115" s="12" t="inlineStr">
        <is>
          <t>Proposed by Source assignment; target 1.1.1 Guideway and Civil - Guideway Structures</t>
        </is>
      </c>
      <c r="E115" s="12" t="inlineStr">
        <is>
          <t>None recorded</t>
        </is>
      </c>
      <c r="F115" s="12" t="inlineStr">
        <is>
          <t>No individual professional decision recorded; Source assignment -- not individually reviewed</t>
        </is>
      </c>
      <c r="G115" s="12" t="inlineStr">
        <is>
          <t>Not individually decided</t>
        </is>
      </c>
      <c r="H115" s="12" t="inlineStr">
        <is>
          <t xml:space="preserve">APPROVED / ONE_TO_ONE; </t>
        </is>
      </c>
      <c r="I115" s="12" t="inlineStr">
        <is>
          <t>New</t>
        </is>
      </c>
      <c r="J115" s="17" t="inlineStr">
        <is>
          <t>08 CROSSWALK</t>
        </is>
      </c>
    </row>
    <row r="116" ht="49" customHeight="1">
      <c r="A116" s="12" t="inlineStr">
        <is>
          <t>R151-v1</t>
        </is>
      </c>
      <c r="B116" s="12" t="inlineStr">
        <is>
          <t>Contractor Programme / SCH-01-151</t>
        </is>
      </c>
      <c r="C116" s="12" t="inlineStr">
        <is>
          <t>WBS Code = 1.1.1</t>
        </is>
      </c>
      <c r="D116" s="12" t="inlineStr">
        <is>
          <t>Proposed by Source assignment; target 1.1.1 Guideway and Civil - Guideway Structures</t>
        </is>
      </c>
      <c r="E116" s="12" t="inlineStr">
        <is>
          <t>None recorded</t>
        </is>
      </c>
      <c r="F116" s="12" t="inlineStr">
        <is>
          <t>No individual professional decision recorded; Source assignment -- not individually reviewed</t>
        </is>
      </c>
      <c r="G116" s="12" t="inlineStr">
        <is>
          <t>Not individually decided</t>
        </is>
      </c>
      <c r="H116" s="12" t="inlineStr">
        <is>
          <t xml:space="preserve">APPROVED / ONE_TO_ONE; </t>
        </is>
      </c>
      <c r="I116" s="12" t="inlineStr">
        <is>
          <t>New</t>
        </is>
      </c>
      <c r="J116" s="17" t="inlineStr">
        <is>
          <t>08 CROSSWALK</t>
        </is>
      </c>
    </row>
    <row r="117" ht="49" customHeight="1">
      <c r="A117" s="12" t="inlineStr">
        <is>
          <t>R152-v1</t>
        </is>
      </c>
      <c r="B117" s="12" t="inlineStr">
        <is>
          <t>Contractor Programme / SCH-01-152</t>
        </is>
      </c>
      <c r="C117" s="12" t="inlineStr">
        <is>
          <t>WBS Code = 1.1.1</t>
        </is>
      </c>
      <c r="D117" s="12" t="inlineStr">
        <is>
          <t>Proposed by Source assignment; target 1.1.1 Guideway and Civil - Guideway Structures</t>
        </is>
      </c>
      <c r="E117" s="12" t="inlineStr">
        <is>
          <t>None recorded</t>
        </is>
      </c>
      <c r="F117" s="12" t="inlineStr">
        <is>
          <t>No individual professional decision recorded; Source assignment -- not individually reviewed</t>
        </is>
      </c>
      <c r="G117" s="12" t="inlineStr">
        <is>
          <t>Not individually decided</t>
        </is>
      </c>
      <c r="H117" s="12" t="inlineStr">
        <is>
          <t xml:space="preserve">APPROVED / ONE_TO_ONE; </t>
        </is>
      </c>
      <c r="I117" s="12" t="inlineStr">
        <is>
          <t>New</t>
        </is>
      </c>
      <c r="J117" s="17" t="inlineStr">
        <is>
          <t>08 CROSSWALK</t>
        </is>
      </c>
    </row>
    <row r="118" ht="49" customHeight="1">
      <c r="A118" s="12" t="inlineStr">
        <is>
          <t>R154-v1</t>
        </is>
      </c>
      <c r="B118" s="12" t="inlineStr">
        <is>
          <t>Contractor Programme / SCH-01-154</t>
        </is>
      </c>
      <c r="C118" s="12" t="inlineStr">
        <is>
          <t>WBS Code = 1.1.1</t>
        </is>
      </c>
      <c r="D118" s="12" t="inlineStr">
        <is>
          <t>Proposed by Source assignment; target 1.1.1 Guideway and Civil - Guideway Structures</t>
        </is>
      </c>
      <c r="E118" s="12" t="inlineStr">
        <is>
          <t>None recorded</t>
        </is>
      </c>
      <c r="F118" s="12" t="inlineStr">
        <is>
          <t>No individual professional decision recorded; Source assignment -- not individually reviewed</t>
        </is>
      </c>
      <c r="G118" s="12" t="inlineStr">
        <is>
          <t>Not individually decided</t>
        </is>
      </c>
      <c r="H118" s="12" t="inlineStr">
        <is>
          <t xml:space="preserve">APPROVED / ONE_TO_ONE; </t>
        </is>
      </c>
      <c r="I118" s="12" t="inlineStr">
        <is>
          <t>New</t>
        </is>
      </c>
      <c r="J118" s="17" t="inlineStr">
        <is>
          <t>08 CROSSWALK</t>
        </is>
      </c>
    </row>
    <row r="119" ht="49" customHeight="1">
      <c r="A119" s="12" t="inlineStr">
        <is>
          <t>R155-v1</t>
        </is>
      </c>
      <c r="B119" s="12" t="inlineStr">
        <is>
          <t>Contractor Programme / SCH-01-155</t>
        </is>
      </c>
      <c r="C119" s="12" t="inlineStr">
        <is>
          <t>WBS Code = 1.1.1</t>
        </is>
      </c>
      <c r="D119" s="12" t="inlineStr">
        <is>
          <t>Proposed by Source assignment; target 1.1.1 Guideway and Civil - Guideway Structures</t>
        </is>
      </c>
      <c r="E119" s="12" t="inlineStr">
        <is>
          <t>None recorded</t>
        </is>
      </c>
      <c r="F119" s="12" t="inlineStr">
        <is>
          <t>No individual professional decision recorded; Source assignment -- not individually reviewed</t>
        </is>
      </c>
      <c r="G119" s="12" t="inlineStr">
        <is>
          <t>Not individually decided</t>
        </is>
      </c>
      <c r="H119" s="12" t="inlineStr">
        <is>
          <t xml:space="preserve">APPROVED / ONE_TO_ONE; </t>
        </is>
      </c>
      <c r="I119" s="12" t="inlineStr">
        <is>
          <t>New</t>
        </is>
      </c>
      <c r="J119" s="17" t="inlineStr">
        <is>
          <t>08 CROSSWALK</t>
        </is>
      </c>
    </row>
    <row r="120" ht="49" customHeight="1">
      <c r="A120" s="12" t="inlineStr">
        <is>
          <t>R157-v1</t>
        </is>
      </c>
      <c r="B120" s="12" t="inlineStr">
        <is>
          <t>Contractor Programme / SCH-01-157</t>
        </is>
      </c>
      <c r="C120" s="12" t="inlineStr">
        <is>
          <t>WBS Code = 1.1.1</t>
        </is>
      </c>
      <c r="D120" s="12" t="inlineStr">
        <is>
          <t>Proposed by Source assignment; target 1.1.1 Guideway and Civil - Guideway Structures</t>
        </is>
      </c>
      <c r="E120" s="12" t="inlineStr">
        <is>
          <t>None recorded</t>
        </is>
      </c>
      <c r="F120" s="12" t="inlineStr">
        <is>
          <t>No individual professional decision recorded; Source assignment -- not individually reviewed</t>
        </is>
      </c>
      <c r="G120" s="12" t="inlineStr">
        <is>
          <t>Not individually decided</t>
        </is>
      </c>
      <c r="H120" s="12" t="inlineStr">
        <is>
          <t xml:space="preserve">APPROVED / ONE_TO_ONE; </t>
        </is>
      </c>
      <c r="I120" s="12" t="inlineStr">
        <is>
          <t>New</t>
        </is>
      </c>
      <c r="J120" s="17" t="inlineStr">
        <is>
          <t>08 CROSSWALK</t>
        </is>
      </c>
    </row>
    <row r="121" ht="49" customHeight="1">
      <c r="A121" s="12" t="inlineStr">
        <is>
          <t>R158-v1</t>
        </is>
      </c>
      <c r="B121" s="12" t="inlineStr">
        <is>
          <t>Contractor Programme / SCH-01-158</t>
        </is>
      </c>
      <c r="C121" s="12" t="inlineStr">
        <is>
          <t>WBS Code = 1.1.1</t>
        </is>
      </c>
      <c r="D121" s="12" t="inlineStr">
        <is>
          <t>Proposed by Source assignment; target 1.1.1 Guideway and Civil - Guideway Structures</t>
        </is>
      </c>
      <c r="E121" s="12" t="inlineStr">
        <is>
          <t>None recorded</t>
        </is>
      </c>
      <c r="F121" s="12" t="inlineStr">
        <is>
          <t>No individual professional decision recorded; Source assignment -- not individually reviewed</t>
        </is>
      </c>
      <c r="G121" s="12" t="inlineStr">
        <is>
          <t>Not individually decided</t>
        </is>
      </c>
      <c r="H121" s="12" t="inlineStr">
        <is>
          <t xml:space="preserve">APPROVED / ONE_TO_ONE; </t>
        </is>
      </c>
      <c r="I121" s="12" t="inlineStr">
        <is>
          <t>New</t>
        </is>
      </c>
      <c r="J121" s="17" t="inlineStr">
        <is>
          <t>08 CROSSWALK</t>
        </is>
      </c>
    </row>
    <row r="122" ht="49" customHeight="1">
      <c r="A122" s="12" t="inlineStr">
        <is>
          <t>R160-v1</t>
        </is>
      </c>
      <c r="B122" s="12" t="inlineStr">
        <is>
          <t>Contractor Programme / SCH-01-160</t>
        </is>
      </c>
      <c r="C122" s="12" t="inlineStr">
        <is>
          <t>WBS Code = 1.1.1</t>
        </is>
      </c>
      <c r="D122" s="12" t="inlineStr">
        <is>
          <t>Proposed by Source assignment; target 1.1.1 Guideway and Civil - Guideway Structures</t>
        </is>
      </c>
      <c r="E122" s="12" t="inlineStr">
        <is>
          <t>None recorded</t>
        </is>
      </c>
      <c r="F122" s="12" t="inlineStr">
        <is>
          <t>No individual professional decision recorded; Source assignment -- not individually reviewed</t>
        </is>
      </c>
      <c r="G122" s="12" t="inlineStr">
        <is>
          <t>Not individually decided</t>
        </is>
      </c>
      <c r="H122" s="12" t="inlineStr">
        <is>
          <t xml:space="preserve">APPROVED / ONE_TO_ONE; </t>
        </is>
      </c>
      <c r="I122" s="12" t="inlineStr">
        <is>
          <t>New</t>
        </is>
      </c>
      <c r="J122" s="17" t="inlineStr">
        <is>
          <t>08 CROSSWALK</t>
        </is>
      </c>
    </row>
    <row r="123" ht="49" customHeight="1">
      <c r="A123" s="12" t="inlineStr">
        <is>
          <t>R161-v1</t>
        </is>
      </c>
      <c r="B123" s="12" t="inlineStr">
        <is>
          <t>Contractor Programme / SCH-01-161</t>
        </is>
      </c>
      <c r="C123" s="12" t="inlineStr">
        <is>
          <t>WBS Code = 1.1.1</t>
        </is>
      </c>
      <c r="D123" s="12" t="inlineStr">
        <is>
          <t>Proposed by Source assignment; target 1.1.1 Guideway and Civil - Guideway Structures</t>
        </is>
      </c>
      <c r="E123" s="12" t="inlineStr">
        <is>
          <t>None recorded</t>
        </is>
      </c>
      <c r="F123" s="12" t="inlineStr">
        <is>
          <t>No individual professional decision recorded; Source assignment -- not individually reviewed</t>
        </is>
      </c>
      <c r="G123" s="12" t="inlineStr">
        <is>
          <t>Not individually decided</t>
        </is>
      </c>
      <c r="H123" s="12" t="inlineStr">
        <is>
          <t xml:space="preserve">APPROVED / ONE_TO_ONE; </t>
        </is>
      </c>
      <c r="I123" s="12" t="inlineStr">
        <is>
          <t>New</t>
        </is>
      </c>
      <c r="J123" s="17" t="inlineStr">
        <is>
          <t>08 CROSSWALK</t>
        </is>
      </c>
    </row>
    <row r="124" ht="49" customHeight="1">
      <c r="A124" s="12" t="inlineStr">
        <is>
          <t>R163-v1</t>
        </is>
      </c>
      <c r="B124" s="12" t="inlineStr">
        <is>
          <t>Contractor Programme / SCH-01-163</t>
        </is>
      </c>
      <c r="C124" s="12" t="inlineStr">
        <is>
          <t>WBS Code = 1.1.1</t>
        </is>
      </c>
      <c r="D124" s="12" t="inlineStr">
        <is>
          <t>Proposed by Source assignment; target 1.1.1 Guideway and Civil - Guideway Structures</t>
        </is>
      </c>
      <c r="E124" s="12" t="inlineStr">
        <is>
          <t>None recorded</t>
        </is>
      </c>
      <c r="F124" s="12" t="inlineStr">
        <is>
          <t>No individual professional decision recorded; Source assignment -- not individually reviewed</t>
        </is>
      </c>
      <c r="G124" s="12" t="inlineStr">
        <is>
          <t>Not individually decided</t>
        </is>
      </c>
      <c r="H124" s="12" t="inlineStr">
        <is>
          <t xml:space="preserve">APPROVED / ONE_TO_ONE; </t>
        </is>
      </c>
      <c r="I124" s="12" t="inlineStr">
        <is>
          <t>New</t>
        </is>
      </c>
      <c r="J124" s="17" t="inlineStr">
        <is>
          <t>08 CROSSWALK</t>
        </is>
      </c>
    </row>
    <row r="125" ht="49" customHeight="1">
      <c r="A125" s="12" t="inlineStr">
        <is>
          <t>R164-v1</t>
        </is>
      </c>
      <c r="B125" s="12" t="inlineStr">
        <is>
          <t>Contractor Programme / SCH-01-164</t>
        </is>
      </c>
      <c r="C125" s="12" t="inlineStr">
        <is>
          <t>WBS Code = 1.1.1</t>
        </is>
      </c>
      <c r="D125" s="12" t="inlineStr">
        <is>
          <t>Proposed by Source assignment; target 1.1.1 Guideway and Civil - Guideway Structures</t>
        </is>
      </c>
      <c r="E125" s="12" t="inlineStr">
        <is>
          <t>None recorded</t>
        </is>
      </c>
      <c r="F125" s="12" t="inlineStr">
        <is>
          <t>No individual professional decision recorded; Source assignment -- not individually reviewed</t>
        </is>
      </c>
      <c r="G125" s="12" t="inlineStr">
        <is>
          <t>Not individually decided</t>
        </is>
      </c>
      <c r="H125" s="12" t="inlineStr">
        <is>
          <t xml:space="preserve">APPROVED / ONE_TO_ONE; </t>
        </is>
      </c>
      <c r="I125" s="12" t="inlineStr">
        <is>
          <t>New</t>
        </is>
      </c>
      <c r="J125" s="17" t="inlineStr">
        <is>
          <t>08 CROSSWALK</t>
        </is>
      </c>
    </row>
    <row r="126" ht="49" customHeight="1">
      <c r="A126" s="12" t="inlineStr">
        <is>
          <t>R166-v1</t>
        </is>
      </c>
      <c r="B126" s="12" t="inlineStr">
        <is>
          <t>Contractor Programme / SCH-01-166</t>
        </is>
      </c>
      <c r="C126" s="12" t="inlineStr">
        <is>
          <t>WBS Code = 1.1.1</t>
        </is>
      </c>
      <c r="D126" s="12" t="inlineStr">
        <is>
          <t>Proposed by Source assignment; target 1.1.1 Guideway and Civil - Guideway Structures</t>
        </is>
      </c>
      <c r="E126" s="12" t="inlineStr">
        <is>
          <t>None recorded</t>
        </is>
      </c>
      <c r="F126" s="12" t="inlineStr">
        <is>
          <t>No individual professional decision recorded; Source assignment -- not individually reviewed</t>
        </is>
      </c>
      <c r="G126" s="12" t="inlineStr">
        <is>
          <t>Not individually decided</t>
        </is>
      </c>
      <c r="H126" s="12" t="inlineStr">
        <is>
          <t xml:space="preserve">APPROVED / ONE_TO_ONE; </t>
        </is>
      </c>
      <c r="I126" s="12" t="inlineStr">
        <is>
          <t>New</t>
        </is>
      </c>
      <c r="J126" s="17" t="inlineStr">
        <is>
          <t>08 CROSSWALK</t>
        </is>
      </c>
    </row>
    <row r="127" ht="49" customHeight="1">
      <c r="A127" s="12" t="inlineStr">
        <is>
          <t>R167-v1</t>
        </is>
      </c>
      <c r="B127" s="12" t="inlineStr">
        <is>
          <t>Contractor Programme / SCH-01-167</t>
        </is>
      </c>
      <c r="C127" s="12" t="inlineStr">
        <is>
          <t>WBS Code = 1.1.1</t>
        </is>
      </c>
      <c r="D127" s="12" t="inlineStr">
        <is>
          <t>Proposed by Source assignment; target 1.1.1 Guideway and Civil - Guideway Structures</t>
        </is>
      </c>
      <c r="E127" s="12" t="inlineStr">
        <is>
          <t>None recorded</t>
        </is>
      </c>
      <c r="F127" s="12" t="inlineStr">
        <is>
          <t>No individual professional decision recorded; Source assignment -- not individually reviewed</t>
        </is>
      </c>
      <c r="G127" s="12" t="inlineStr">
        <is>
          <t>Not individually decided</t>
        </is>
      </c>
      <c r="H127" s="12" t="inlineStr">
        <is>
          <t xml:space="preserve">APPROVED / ONE_TO_ONE; </t>
        </is>
      </c>
      <c r="I127" s="12" t="inlineStr">
        <is>
          <t>New</t>
        </is>
      </c>
      <c r="J127" s="17" t="inlineStr">
        <is>
          <t>08 CROSSWALK</t>
        </is>
      </c>
    </row>
    <row r="128" ht="49" customHeight="1">
      <c r="A128" s="12" t="inlineStr">
        <is>
          <t>R169-v1</t>
        </is>
      </c>
      <c r="B128" s="12" t="inlineStr">
        <is>
          <t>Contractor Programme / SCH-01-169</t>
        </is>
      </c>
      <c r="C128" s="12" t="inlineStr">
        <is>
          <t>WBS Code = 1.1.1</t>
        </is>
      </c>
      <c r="D128" s="12" t="inlineStr">
        <is>
          <t>Proposed by Source assignment; target 1.1.1 Guideway and Civil - Guideway Structures</t>
        </is>
      </c>
      <c r="E128" s="12" t="inlineStr">
        <is>
          <t>None recorded</t>
        </is>
      </c>
      <c r="F128" s="12" t="inlineStr">
        <is>
          <t>No individual professional decision recorded; Source assignment -- not individually reviewed</t>
        </is>
      </c>
      <c r="G128" s="12" t="inlineStr">
        <is>
          <t>Not individually decided</t>
        </is>
      </c>
      <c r="H128" s="12" t="inlineStr">
        <is>
          <t xml:space="preserve">APPROVED / ONE_TO_ONE; </t>
        </is>
      </c>
      <c r="I128" s="12" t="inlineStr">
        <is>
          <t>New</t>
        </is>
      </c>
      <c r="J128" s="17" t="inlineStr">
        <is>
          <t>08 CROSSWALK</t>
        </is>
      </c>
    </row>
    <row r="129" ht="49" customHeight="1">
      <c r="A129" s="12" t="inlineStr">
        <is>
          <t>R170-v1</t>
        </is>
      </c>
      <c r="B129" s="12" t="inlineStr">
        <is>
          <t>Contractor Programme / SCH-01-170</t>
        </is>
      </c>
      <c r="C129" s="12" t="inlineStr">
        <is>
          <t>WBS Code = 1.1.1</t>
        </is>
      </c>
      <c r="D129" s="12" t="inlineStr">
        <is>
          <t>Proposed by Source assignment; target 1.1.1 Guideway and Civil - Guideway Structures</t>
        </is>
      </c>
      <c r="E129" s="12" t="inlineStr">
        <is>
          <t>None recorded</t>
        </is>
      </c>
      <c r="F129" s="12" t="inlineStr">
        <is>
          <t>No individual professional decision recorded; Source assignment -- not individually reviewed</t>
        </is>
      </c>
      <c r="G129" s="12" t="inlineStr">
        <is>
          <t>Not individually decided</t>
        </is>
      </c>
      <c r="H129" s="12" t="inlineStr">
        <is>
          <t xml:space="preserve">APPROVED / ONE_TO_ONE; </t>
        </is>
      </c>
      <c r="I129" s="12" t="inlineStr">
        <is>
          <t>New</t>
        </is>
      </c>
      <c r="J129" s="17" t="inlineStr">
        <is>
          <t>08 CROSSWALK</t>
        </is>
      </c>
    </row>
    <row r="130" ht="49" customHeight="1">
      <c r="A130" s="12" t="inlineStr">
        <is>
          <t>R172-v1</t>
        </is>
      </c>
      <c r="B130" s="12" t="inlineStr">
        <is>
          <t>Contractor Programme / SCH-01-172</t>
        </is>
      </c>
      <c r="C130" s="12" t="inlineStr">
        <is>
          <t>WBS Code = 1.1.1</t>
        </is>
      </c>
      <c r="D130" s="12" t="inlineStr">
        <is>
          <t>Proposed by Source assignment; target 1.1.1 Guideway and Civil - Guideway Structures</t>
        </is>
      </c>
      <c r="E130" s="12" t="inlineStr">
        <is>
          <t>None recorded</t>
        </is>
      </c>
      <c r="F130" s="12" t="inlineStr">
        <is>
          <t>No individual professional decision recorded; Source assignment -- not individually reviewed</t>
        </is>
      </c>
      <c r="G130" s="12" t="inlineStr">
        <is>
          <t>Not individually decided</t>
        </is>
      </c>
      <c r="H130" s="12" t="inlineStr">
        <is>
          <t xml:space="preserve">APPROVED / ONE_TO_ONE; </t>
        </is>
      </c>
      <c r="I130" s="12" t="inlineStr">
        <is>
          <t>New</t>
        </is>
      </c>
      <c r="J130" s="17" t="inlineStr">
        <is>
          <t>08 CROSSWALK</t>
        </is>
      </c>
    </row>
    <row r="131" ht="49" customHeight="1">
      <c r="A131" s="12" t="inlineStr">
        <is>
          <t>R173-v1</t>
        </is>
      </c>
      <c r="B131" s="12" t="inlineStr">
        <is>
          <t>Contractor Programme / SCH-01-173</t>
        </is>
      </c>
      <c r="C131" s="12" t="inlineStr">
        <is>
          <t>WBS Code = 1.1.1</t>
        </is>
      </c>
      <c r="D131" s="12" t="inlineStr">
        <is>
          <t>Proposed by Source assignment; target 1.1.1 Guideway and Civil - Guideway Structures</t>
        </is>
      </c>
      <c r="E131" s="12" t="inlineStr">
        <is>
          <t>None recorded</t>
        </is>
      </c>
      <c r="F131" s="12" t="inlineStr">
        <is>
          <t>No individual professional decision recorded; Source assignment -- not individually reviewed</t>
        </is>
      </c>
      <c r="G131" s="12" t="inlineStr">
        <is>
          <t>Not individually decided</t>
        </is>
      </c>
      <c r="H131" s="12" t="inlineStr">
        <is>
          <t xml:space="preserve">APPROVED / ONE_TO_ONE; </t>
        </is>
      </c>
      <c r="I131" s="12" t="inlineStr">
        <is>
          <t>New</t>
        </is>
      </c>
      <c r="J131" s="17" t="inlineStr">
        <is>
          <t>08 CROSSWALK</t>
        </is>
      </c>
    </row>
    <row r="132" ht="49" customHeight="1">
      <c r="A132" s="12" t="inlineStr">
        <is>
          <t>R175-v1</t>
        </is>
      </c>
      <c r="B132" s="12" t="inlineStr">
        <is>
          <t>Contractor Programme / SCH-01-175</t>
        </is>
      </c>
      <c r="C132" s="12" t="inlineStr">
        <is>
          <t>WBS Code = 1.1.1</t>
        </is>
      </c>
      <c r="D132" s="12" t="inlineStr">
        <is>
          <t>Proposed by Source assignment; target 1.1.1 Guideway and Civil - Guideway Structures</t>
        </is>
      </c>
      <c r="E132" s="12" t="inlineStr">
        <is>
          <t>None recorded</t>
        </is>
      </c>
      <c r="F132" s="12" t="inlineStr">
        <is>
          <t>No individual professional decision recorded; Source assignment -- not individually reviewed</t>
        </is>
      </c>
      <c r="G132" s="12" t="inlineStr">
        <is>
          <t>Not individually decided</t>
        </is>
      </c>
      <c r="H132" s="12" t="inlineStr">
        <is>
          <t xml:space="preserve">APPROVED / ONE_TO_ONE; </t>
        </is>
      </c>
      <c r="I132" s="12" t="inlineStr">
        <is>
          <t>New</t>
        </is>
      </c>
      <c r="J132" s="17" t="inlineStr">
        <is>
          <t>08 CROSSWALK</t>
        </is>
      </c>
    </row>
    <row r="133" ht="49" customHeight="1">
      <c r="A133" s="12" t="inlineStr">
        <is>
          <t>R176-v1</t>
        </is>
      </c>
      <c r="B133" s="12" t="inlineStr">
        <is>
          <t>Contractor Programme / SCH-01-176</t>
        </is>
      </c>
      <c r="C133" s="12" t="inlineStr">
        <is>
          <t>WBS Code = 1.1.1</t>
        </is>
      </c>
      <c r="D133" s="12" t="inlineStr">
        <is>
          <t>Proposed by Source assignment; target 1.1.1 Guideway and Civil - Guideway Structures</t>
        </is>
      </c>
      <c r="E133" s="12" t="inlineStr">
        <is>
          <t>None recorded</t>
        </is>
      </c>
      <c r="F133" s="12" t="inlineStr">
        <is>
          <t>No individual professional decision recorded; Source assignment -- not individually reviewed</t>
        </is>
      </c>
      <c r="G133" s="12" t="inlineStr">
        <is>
          <t>Not individually decided</t>
        </is>
      </c>
      <c r="H133" s="12" t="inlineStr">
        <is>
          <t xml:space="preserve">APPROVED / ONE_TO_ONE; </t>
        </is>
      </c>
      <c r="I133" s="12" t="inlineStr">
        <is>
          <t>New</t>
        </is>
      </c>
      <c r="J133" s="17" t="inlineStr">
        <is>
          <t>08 CROSSWALK</t>
        </is>
      </c>
    </row>
    <row r="134" ht="49" customHeight="1">
      <c r="A134" s="12" t="inlineStr">
        <is>
          <t>R178-v1</t>
        </is>
      </c>
      <c r="B134" s="12" t="inlineStr">
        <is>
          <t>Contractor Programme / SCH-01-178</t>
        </is>
      </c>
      <c r="C134" s="12" t="inlineStr">
        <is>
          <t>WBS Code = 1.1.1</t>
        </is>
      </c>
      <c r="D134" s="12" t="inlineStr">
        <is>
          <t>Proposed by Source assignment; target 1.1.1 Guideway and Civil - Guideway Structures</t>
        </is>
      </c>
      <c r="E134" s="12" t="inlineStr">
        <is>
          <t>None recorded</t>
        </is>
      </c>
      <c r="F134" s="12" t="inlineStr">
        <is>
          <t>No individual professional decision recorded; Source assignment -- not individually reviewed</t>
        </is>
      </c>
      <c r="G134" s="12" t="inlineStr">
        <is>
          <t>Not individually decided</t>
        </is>
      </c>
      <c r="H134" s="12" t="inlineStr">
        <is>
          <t xml:space="preserve">APPROVED / ONE_TO_ONE; </t>
        </is>
      </c>
      <c r="I134" s="12" t="inlineStr">
        <is>
          <t>New</t>
        </is>
      </c>
      <c r="J134" s="17" t="inlineStr">
        <is>
          <t>08 CROSSWALK</t>
        </is>
      </c>
    </row>
    <row r="135" ht="49" customHeight="1">
      <c r="A135" s="12" t="inlineStr">
        <is>
          <t>R179-v1</t>
        </is>
      </c>
      <c r="B135" s="12" t="inlineStr">
        <is>
          <t>Contractor Programme / SCH-01-179</t>
        </is>
      </c>
      <c r="C135" s="12" t="inlineStr">
        <is>
          <t>WBS Code = 1.1.1</t>
        </is>
      </c>
      <c r="D135" s="12" t="inlineStr">
        <is>
          <t>Proposed by Source assignment; target 1.1.1 Guideway and Civil - Guideway Structures</t>
        </is>
      </c>
      <c r="E135" s="12" t="inlineStr">
        <is>
          <t>None recorded</t>
        </is>
      </c>
      <c r="F135" s="12" t="inlineStr">
        <is>
          <t>No individual professional decision recorded; Source assignment -- not individually reviewed</t>
        </is>
      </c>
      <c r="G135" s="12" t="inlineStr">
        <is>
          <t>Not individually decided</t>
        </is>
      </c>
      <c r="H135" s="12" t="inlineStr">
        <is>
          <t xml:space="preserve">APPROVED / ONE_TO_ONE; </t>
        </is>
      </c>
      <c r="I135" s="12" t="inlineStr">
        <is>
          <t>New</t>
        </is>
      </c>
      <c r="J135" s="17" t="inlineStr">
        <is>
          <t>08 CROSSWALK</t>
        </is>
      </c>
    </row>
    <row r="136" ht="49" customHeight="1">
      <c r="A136" s="12" t="inlineStr">
        <is>
          <t>R1083-v1</t>
        </is>
      </c>
      <c r="B136" s="12" t="inlineStr">
        <is>
          <t>Cost &amp; Forecast Control Accounts / CST-01-001</t>
        </is>
      </c>
      <c r="C136" s="12" t="inlineStr">
        <is>
          <t>Cost Account = CA-1001; WBS Code = 1.1.1</t>
        </is>
      </c>
      <c r="D136" s="12" t="inlineStr">
        <is>
          <t>Proposed by Source assignment; target 1.1.1 Guideway and Civil - Guideway Structures</t>
        </is>
      </c>
      <c r="E136" s="12" t="inlineStr">
        <is>
          <t>None recorded</t>
        </is>
      </c>
      <c r="F136" s="12" t="inlineStr">
        <is>
          <t>No individual professional decision recorded; Source assignment -- not individually reviewed</t>
        </is>
      </c>
      <c r="G136" s="12" t="inlineStr">
        <is>
          <t>Not individually decided</t>
        </is>
      </c>
      <c r="H136" s="12" t="inlineStr">
        <is>
          <t xml:space="preserve">APPROVED / ONE_TO_ONE; </t>
        </is>
      </c>
      <c r="I136" s="12" t="inlineStr">
        <is>
          <t>New</t>
        </is>
      </c>
      <c r="J136" s="17" t="inlineStr">
        <is>
          <t>08 CROSSWALK</t>
        </is>
      </c>
    </row>
    <row r="137" ht="49" customHeight="1">
      <c r="A137" s="12" t="inlineStr">
        <is>
          <t>R1085-v1</t>
        </is>
      </c>
      <c r="B137" s="12" t="inlineStr">
        <is>
          <t>Cost &amp; Forecast Control Accounts / CST-01-003</t>
        </is>
      </c>
      <c r="C137" s="12" t="inlineStr">
        <is>
          <t>Cost Account = CA-1003; WBS Code = 1.1.1</t>
        </is>
      </c>
      <c r="D137" s="12" t="inlineStr">
        <is>
          <t>Proposed by Source assignment; target 1.1.1 Guideway and Civil - Guideway Structures</t>
        </is>
      </c>
      <c r="E137" s="12" t="inlineStr">
        <is>
          <t>None recorded</t>
        </is>
      </c>
      <c r="F137" s="12" t="inlineStr">
        <is>
          <t>No individual professional decision recorded; Source assignment -- not individually reviewed</t>
        </is>
      </c>
      <c r="G137" s="12" t="inlineStr">
        <is>
          <t>Not individually decided</t>
        </is>
      </c>
      <c r="H137" s="12" t="inlineStr">
        <is>
          <t xml:space="preserve">APPROVED / ONE_TO_ONE; </t>
        </is>
      </c>
      <c r="I137" s="12" t="inlineStr">
        <is>
          <t>New</t>
        </is>
      </c>
      <c r="J137" s="17" t="inlineStr">
        <is>
          <t>08 CROSSWALK</t>
        </is>
      </c>
    </row>
    <row r="138" ht="49" customHeight="1">
      <c r="A138" s="12" t="inlineStr">
        <is>
          <t>R1087-v1</t>
        </is>
      </c>
      <c r="B138" s="12" t="inlineStr">
        <is>
          <t>Cost &amp; Forecast Control Accounts / CST-01-005</t>
        </is>
      </c>
      <c r="C138" s="12" t="inlineStr">
        <is>
          <t>Cost Account = CA-1005; WBS Code = 1.1.1</t>
        </is>
      </c>
      <c r="D138" s="12" t="inlineStr">
        <is>
          <t>Proposed by Source assignment; target 1.1.1 Guideway and Civil - Guideway Structures</t>
        </is>
      </c>
      <c r="E138" s="12" t="inlineStr">
        <is>
          <t>None recorded</t>
        </is>
      </c>
      <c r="F138" s="12" t="inlineStr">
        <is>
          <t>No individual professional decision recorded; Source assignment -- not individually reviewed</t>
        </is>
      </c>
      <c r="G138" s="12" t="inlineStr">
        <is>
          <t>Not individually decided</t>
        </is>
      </c>
      <c r="H138" s="12" t="inlineStr">
        <is>
          <t xml:space="preserve">APPROVED / ONE_TO_ONE; </t>
        </is>
      </c>
      <c r="I138" s="12" t="inlineStr">
        <is>
          <t>New</t>
        </is>
      </c>
      <c r="J138" s="17" t="inlineStr">
        <is>
          <t>08 CROSSWALK</t>
        </is>
      </c>
    </row>
    <row r="139" ht="49" customHeight="1">
      <c r="A139" s="12" t="inlineStr">
        <is>
          <t>R1089-v1</t>
        </is>
      </c>
      <c r="B139" s="12" t="inlineStr">
        <is>
          <t>Cost &amp; Forecast Control Accounts / CST-01-007</t>
        </is>
      </c>
      <c r="C139" s="12" t="inlineStr">
        <is>
          <t>Cost Account = CA-1007; WBS Code = 1.1.1</t>
        </is>
      </c>
      <c r="D139" s="12" t="inlineStr">
        <is>
          <t>Proposed by Source assignment; target 1.1.1 Guideway and Civil - Guideway Structures</t>
        </is>
      </c>
      <c r="E139" s="12" t="inlineStr">
        <is>
          <t>None recorded</t>
        </is>
      </c>
      <c r="F139" s="12" t="inlineStr">
        <is>
          <t>No individual professional decision recorded; Source assignment -- not individually reviewed</t>
        </is>
      </c>
      <c r="G139" s="12" t="inlineStr">
        <is>
          <t>Not individually decided</t>
        </is>
      </c>
      <c r="H139" s="12" t="inlineStr">
        <is>
          <t xml:space="preserve">APPROVED / ONE_TO_ONE; </t>
        </is>
      </c>
      <c r="I139" s="12" t="inlineStr">
        <is>
          <t>New</t>
        </is>
      </c>
      <c r="J139" s="17" t="inlineStr">
        <is>
          <t>08 CROSSWALK</t>
        </is>
      </c>
    </row>
    <row r="140" ht="49" customHeight="1">
      <c r="A140" s="12" t="inlineStr">
        <is>
          <t>R1091-v1</t>
        </is>
      </c>
      <c r="B140" s="12" t="inlineStr">
        <is>
          <t>Cost &amp; Forecast Control Accounts / CST-01-009</t>
        </is>
      </c>
      <c r="C140" s="12" t="inlineStr">
        <is>
          <t>Cost Account = CA-1009; WBS Code = 1.1.1</t>
        </is>
      </c>
      <c r="D140" s="12" t="inlineStr">
        <is>
          <t>Proposed by Source assignment; target 1.1.1 Guideway and Civil - Guideway Structures</t>
        </is>
      </c>
      <c r="E140" s="12" t="inlineStr">
        <is>
          <t>None recorded</t>
        </is>
      </c>
      <c r="F140" s="12" t="inlineStr">
        <is>
          <t>No individual professional decision recorded; Source assignment -- not individually reviewed</t>
        </is>
      </c>
      <c r="G140" s="12" t="inlineStr">
        <is>
          <t>Not individually decided</t>
        </is>
      </c>
      <c r="H140" s="12" t="inlineStr">
        <is>
          <t xml:space="preserve">APPROVED / ONE_TO_ONE; </t>
        </is>
      </c>
      <c r="I140" s="12" t="inlineStr">
        <is>
          <t>New</t>
        </is>
      </c>
      <c r="J140" s="17" t="inlineStr">
        <is>
          <t>08 CROSSWALK</t>
        </is>
      </c>
    </row>
    <row r="141" ht="49" customHeight="1">
      <c r="A141" s="12" t="inlineStr">
        <is>
          <t>R1093-v1</t>
        </is>
      </c>
      <c r="B141" s="12" t="inlineStr">
        <is>
          <t>Cost &amp; Forecast Control Accounts / CST-01-011</t>
        </is>
      </c>
      <c r="C141" s="12" t="inlineStr">
        <is>
          <t>Cost Account = CA-1011; WBS Code = 1.1.1</t>
        </is>
      </c>
      <c r="D141" s="12" t="inlineStr">
        <is>
          <t>Proposed by Source assignment; target 1.1.1 Guideway and Civil - Guideway Structures</t>
        </is>
      </c>
      <c r="E141" s="12" t="inlineStr">
        <is>
          <t>None recorded</t>
        </is>
      </c>
      <c r="F141" s="12" t="inlineStr">
        <is>
          <t>No individual professional decision recorded; Source assignment -- not individually reviewed</t>
        </is>
      </c>
      <c r="G141" s="12" t="inlineStr">
        <is>
          <t>Not individually decided</t>
        </is>
      </c>
      <c r="H141" s="12" t="inlineStr">
        <is>
          <t xml:space="preserve">APPROVED / ONE_TO_ONE; </t>
        </is>
      </c>
      <c r="I141" s="12" t="inlineStr">
        <is>
          <t>New</t>
        </is>
      </c>
      <c r="J141" s="17" t="inlineStr">
        <is>
          <t>08 CROSSWALK</t>
        </is>
      </c>
    </row>
    <row r="142" ht="49" customHeight="1">
      <c r="A142" s="12" t="inlineStr">
        <is>
          <t>R1095-v1</t>
        </is>
      </c>
      <c r="B142" s="12" t="inlineStr">
        <is>
          <t>Cost &amp; Forecast Control Accounts / CST-01-013</t>
        </is>
      </c>
      <c r="C142" s="12" t="inlineStr">
        <is>
          <t>Cost Account = CA-1013; WBS Code = 1.1.1</t>
        </is>
      </c>
      <c r="D142" s="12" t="inlineStr">
        <is>
          <t>Proposed by Source assignment; target 1.1.1 Guideway and Civil - Guideway Structures</t>
        </is>
      </c>
      <c r="E142" s="12" t="inlineStr">
        <is>
          <t>None recorded</t>
        </is>
      </c>
      <c r="F142" s="12" t="inlineStr">
        <is>
          <t>No individual professional decision recorded; Source assignment -- not individually reviewed</t>
        </is>
      </c>
      <c r="G142" s="12" t="inlineStr">
        <is>
          <t>Not individually decided</t>
        </is>
      </c>
      <c r="H142" s="12" t="inlineStr">
        <is>
          <t xml:space="preserve">APPROVED / ONE_TO_ONE; </t>
        </is>
      </c>
      <c r="I142" s="12" t="inlineStr">
        <is>
          <t>New</t>
        </is>
      </c>
      <c r="J142" s="17" t="inlineStr">
        <is>
          <t>08 CROSSWALK</t>
        </is>
      </c>
    </row>
    <row r="143" ht="49" customHeight="1">
      <c r="A143" s="12" t="inlineStr">
        <is>
          <t>R1097-v1</t>
        </is>
      </c>
      <c r="B143" s="12" t="inlineStr">
        <is>
          <t>Cost &amp; Forecast Control Accounts / CST-01-015</t>
        </is>
      </c>
      <c r="C143" s="12" t="inlineStr">
        <is>
          <t>Cost Account = CA-1015; WBS Code = 1.1.1</t>
        </is>
      </c>
      <c r="D143" s="12" t="inlineStr">
        <is>
          <t>Proposed by Source assignment; target 1.1.1 Guideway and Civil - Guideway Structures</t>
        </is>
      </c>
      <c r="E143" s="12" t="inlineStr">
        <is>
          <t>None recorded</t>
        </is>
      </c>
      <c r="F143" s="12" t="inlineStr">
        <is>
          <t>No individual professional decision recorded; Source assignment -- not individually reviewed</t>
        </is>
      </c>
      <c r="G143" s="12" t="inlineStr">
        <is>
          <t>Not individually decided</t>
        </is>
      </c>
      <c r="H143" s="12" t="inlineStr">
        <is>
          <t xml:space="preserve">APPROVED / ONE_TO_ONE; </t>
        </is>
      </c>
      <c r="I143" s="12" t="inlineStr">
        <is>
          <t>New</t>
        </is>
      </c>
      <c r="J143" s="17" t="inlineStr">
        <is>
          <t>08 CROSSWALK</t>
        </is>
      </c>
    </row>
    <row r="144" ht="49" customHeight="1">
      <c r="A144" s="12" t="inlineStr">
        <is>
          <t>R1099-v1</t>
        </is>
      </c>
      <c r="B144" s="12" t="inlineStr">
        <is>
          <t>Cost &amp; Forecast Control Accounts / CST-01-017</t>
        </is>
      </c>
      <c r="C144" s="12" t="inlineStr">
        <is>
          <t>Cost Account = CA-1017; WBS Code = 1.1.1</t>
        </is>
      </c>
      <c r="D144" s="12" t="inlineStr">
        <is>
          <t>Proposed by Source assignment; target 1.1.1 Guideway and Civil - Guideway Structures</t>
        </is>
      </c>
      <c r="E144" s="12" t="inlineStr">
        <is>
          <t>None recorded</t>
        </is>
      </c>
      <c r="F144" s="12" t="inlineStr">
        <is>
          <t>No individual professional decision recorded; Source assignment -- not individually reviewed</t>
        </is>
      </c>
      <c r="G144" s="12" t="inlineStr">
        <is>
          <t>Not individually decided</t>
        </is>
      </c>
      <c r="H144" s="12" t="inlineStr">
        <is>
          <t xml:space="preserve">APPROVED / ONE_TO_ONE; </t>
        </is>
      </c>
      <c r="I144" s="12" t="inlineStr">
        <is>
          <t>New</t>
        </is>
      </c>
      <c r="J144" s="17" t="inlineStr">
        <is>
          <t>08 CROSSWALK</t>
        </is>
      </c>
    </row>
    <row r="145" ht="49" customHeight="1">
      <c r="A145" s="12" t="inlineStr">
        <is>
          <t>R1101-v1</t>
        </is>
      </c>
      <c r="B145" s="12" t="inlineStr">
        <is>
          <t>Cost &amp; Forecast Control Accounts / CST-01-019</t>
        </is>
      </c>
      <c r="C145" s="12" t="inlineStr">
        <is>
          <t>Cost Account = CA-1019; WBS Code = 1.1.1</t>
        </is>
      </c>
      <c r="D145" s="12" t="inlineStr">
        <is>
          <t>Proposed by Source assignment; target 1.1.1 Guideway and Civil - Guideway Structures</t>
        </is>
      </c>
      <c r="E145" s="12" t="inlineStr">
        <is>
          <t>None recorded</t>
        </is>
      </c>
      <c r="F145" s="12" t="inlineStr">
        <is>
          <t>No individual professional decision recorded; Source assignment -- not individually reviewed</t>
        </is>
      </c>
      <c r="G145" s="12" t="inlineStr">
        <is>
          <t>Not individually decided</t>
        </is>
      </c>
      <c r="H145" s="12" t="inlineStr">
        <is>
          <t xml:space="preserve">APPROVED / ONE_TO_ONE; </t>
        </is>
      </c>
      <c r="I145" s="12" t="inlineStr">
        <is>
          <t>New</t>
        </is>
      </c>
      <c r="J145" s="17" t="inlineStr">
        <is>
          <t>08 CROSSWALK</t>
        </is>
      </c>
    </row>
    <row r="146" ht="49" customHeight="1">
      <c r="A146" s="12" t="inlineStr">
        <is>
          <t>R1103-v1</t>
        </is>
      </c>
      <c r="B146" s="12" t="inlineStr">
        <is>
          <t>Cost &amp; Forecast Control Accounts / CST-01-021</t>
        </is>
      </c>
      <c r="C146" s="12" t="inlineStr">
        <is>
          <t>Cost Account = CA-1021; WBS Code = 1.1.1</t>
        </is>
      </c>
      <c r="D146" s="12" t="inlineStr">
        <is>
          <t>Proposed by Source assignment; target 1.1.1 Guideway and Civil - Guideway Structures</t>
        </is>
      </c>
      <c r="E146" s="12" t="inlineStr">
        <is>
          <t>None recorded</t>
        </is>
      </c>
      <c r="F146" s="12" t="inlineStr">
        <is>
          <t>No individual professional decision recorded; Source assignment -- not individually reviewed</t>
        </is>
      </c>
      <c r="G146" s="12" t="inlineStr">
        <is>
          <t>Not individually decided</t>
        </is>
      </c>
      <c r="H146" s="12" t="inlineStr">
        <is>
          <t xml:space="preserve">APPROVED / ONE_TO_ONE; </t>
        </is>
      </c>
      <c r="I146" s="12" t="inlineStr">
        <is>
          <t>New</t>
        </is>
      </c>
      <c r="J146" s="17" t="inlineStr">
        <is>
          <t>08 CROSSWALK</t>
        </is>
      </c>
    </row>
    <row r="147" ht="49" customHeight="1">
      <c r="A147" s="12" t="inlineStr">
        <is>
          <t>R1105-v1</t>
        </is>
      </c>
      <c r="B147" s="12" t="inlineStr">
        <is>
          <t>Cost &amp; Forecast Control Accounts / CST-01-023</t>
        </is>
      </c>
      <c r="C147" s="12" t="inlineStr">
        <is>
          <t>Cost Account = CA-1023; WBS Code = 1.1.1</t>
        </is>
      </c>
      <c r="D147" s="12" t="inlineStr">
        <is>
          <t>Proposed by Source assignment; target 1.1.1 Guideway and Civil - Guideway Structures</t>
        </is>
      </c>
      <c r="E147" s="12" t="inlineStr">
        <is>
          <t>None recorded</t>
        </is>
      </c>
      <c r="F147" s="12" t="inlineStr">
        <is>
          <t>No individual professional decision recorded; Source assignment -- not individually reviewed</t>
        </is>
      </c>
      <c r="G147" s="12" t="inlineStr">
        <is>
          <t>Not individually decided</t>
        </is>
      </c>
      <c r="H147" s="12" t="inlineStr">
        <is>
          <t xml:space="preserve">APPROVED / ONE_TO_ONE; </t>
        </is>
      </c>
      <c r="I147" s="12" t="inlineStr">
        <is>
          <t>New</t>
        </is>
      </c>
      <c r="J147" s="17" t="inlineStr">
        <is>
          <t>08 CROSSWALK</t>
        </is>
      </c>
    </row>
    <row r="148" ht="49" customHeight="1">
      <c r="A148" s="12" t="inlineStr">
        <is>
          <t>R1107-v1</t>
        </is>
      </c>
      <c r="B148" s="12" t="inlineStr">
        <is>
          <t>Cost &amp; Forecast Control Accounts / CST-01-025</t>
        </is>
      </c>
      <c r="C148" s="12" t="inlineStr">
        <is>
          <t>Cost Account = CA-1025; WBS Code = 1.1.1</t>
        </is>
      </c>
      <c r="D148" s="12" t="inlineStr">
        <is>
          <t>Proposed by Source assignment; target 1.1.1 Guideway and Civil - Guideway Structures</t>
        </is>
      </c>
      <c r="E148" s="12" t="inlineStr">
        <is>
          <t>None recorded</t>
        </is>
      </c>
      <c r="F148" s="12" t="inlineStr">
        <is>
          <t>No individual professional decision recorded; Source assignment -- not individually reviewed</t>
        </is>
      </c>
      <c r="G148" s="12" t="inlineStr">
        <is>
          <t>Not individually decided</t>
        </is>
      </c>
      <c r="H148" s="12" t="inlineStr">
        <is>
          <t xml:space="preserve">APPROVED / ONE_TO_ONE; </t>
        </is>
      </c>
      <c r="I148" s="12" t="inlineStr">
        <is>
          <t>New</t>
        </is>
      </c>
      <c r="J148" s="17" t="inlineStr">
        <is>
          <t>08 CROSSWALK</t>
        </is>
      </c>
    </row>
    <row r="149" ht="49" customHeight="1">
      <c r="A149" s="12" t="inlineStr">
        <is>
          <t>R1109-v1</t>
        </is>
      </c>
      <c r="B149" s="12" t="inlineStr">
        <is>
          <t>Cost &amp; Forecast Control Accounts / CST-01-027</t>
        </is>
      </c>
      <c r="C149" s="12" t="inlineStr">
        <is>
          <t>Cost Account = CA-1027; WBS Code = 1.1.1</t>
        </is>
      </c>
      <c r="D149" s="12" t="inlineStr">
        <is>
          <t>Proposed by Source assignment; target 1.1.1 Guideway and Civil - Guideway Structures</t>
        </is>
      </c>
      <c r="E149" s="12" t="inlineStr">
        <is>
          <t>None recorded</t>
        </is>
      </c>
      <c r="F149" s="12" t="inlineStr">
        <is>
          <t>No individual professional decision recorded; Source assignment -- not individually reviewed</t>
        </is>
      </c>
      <c r="G149" s="12" t="inlineStr">
        <is>
          <t>Not individually decided</t>
        </is>
      </c>
      <c r="H149" s="12" t="inlineStr">
        <is>
          <t xml:space="preserve">APPROVED / ONE_TO_ONE; </t>
        </is>
      </c>
      <c r="I149" s="12" t="inlineStr">
        <is>
          <t>New</t>
        </is>
      </c>
      <c r="J149" s="17" t="inlineStr">
        <is>
          <t>08 CROSSWALK</t>
        </is>
      </c>
    </row>
    <row r="150" ht="49" customHeight="1">
      <c r="A150" s="12" t="inlineStr">
        <is>
          <t>R1111-v1</t>
        </is>
      </c>
      <c r="B150" s="12" t="inlineStr">
        <is>
          <t>Cost &amp; Forecast Control Accounts / CST-01-029</t>
        </is>
      </c>
      <c r="C150" s="12" t="inlineStr">
        <is>
          <t>Cost Account = CA-1029; WBS Code = 1.1.1</t>
        </is>
      </c>
      <c r="D150" s="12" t="inlineStr">
        <is>
          <t>Proposed by Source assignment; target 1.1.1 Guideway and Civil - Guideway Structures</t>
        </is>
      </c>
      <c r="E150" s="12" t="inlineStr">
        <is>
          <t>None recorded</t>
        </is>
      </c>
      <c r="F150" s="12" t="inlineStr">
        <is>
          <t>No individual professional decision recorded; Source assignment -- not individually reviewed</t>
        </is>
      </c>
      <c r="G150" s="12" t="inlineStr">
        <is>
          <t>Not individually decided</t>
        </is>
      </c>
      <c r="H150" s="12" t="inlineStr">
        <is>
          <t xml:space="preserve">APPROVED / ONE_TO_ONE; </t>
        </is>
      </c>
      <c r="I150" s="12" t="inlineStr">
        <is>
          <t>New</t>
        </is>
      </c>
      <c r="J150" s="17" t="inlineStr">
        <is>
          <t>08 CROSSWALK</t>
        </is>
      </c>
    </row>
    <row r="151" ht="49" customHeight="1">
      <c r="A151" s="12" t="inlineStr">
        <is>
          <t>R1113-v1</t>
        </is>
      </c>
      <c r="B151" s="12" t="inlineStr">
        <is>
          <t>Cost &amp; Forecast Control Accounts / CST-01-031</t>
        </is>
      </c>
      <c r="C151" s="12" t="inlineStr">
        <is>
          <t>Cost Account = CA-1031; WBS Code = 1.1.1</t>
        </is>
      </c>
      <c r="D151" s="12" t="inlineStr">
        <is>
          <t>Proposed by Source assignment; target 1.1.1 Guideway and Civil - Guideway Structures</t>
        </is>
      </c>
      <c r="E151" s="12" t="inlineStr">
        <is>
          <t>None recorded</t>
        </is>
      </c>
      <c r="F151" s="12" t="inlineStr">
        <is>
          <t>No individual professional decision recorded; Source assignment -- not individually reviewed</t>
        </is>
      </c>
      <c r="G151" s="12" t="inlineStr">
        <is>
          <t>Not individually decided</t>
        </is>
      </c>
      <c r="H151" s="12" t="inlineStr">
        <is>
          <t xml:space="preserve">APPROVED / ONE_TO_ONE; </t>
        </is>
      </c>
      <c r="I151" s="12" t="inlineStr">
        <is>
          <t>New</t>
        </is>
      </c>
      <c r="J151" s="17" t="inlineStr">
        <is>
          <t>08 CROSSWALK</t>
        </is>
      </c>
    </row>
    <row r="152" ht="49" customHeight="1">
      <c r="A152" s="12" t="inlineStr">
        <is>
          <t>R1115-v1</t>
        </is>
      </c>
      <c r="B152" s="12" t="inlineStr">
        <is>
          <t>Cost &amp; Forecast Control Accounts / CST-01-033</t>
        </is>
      </c>
      <c r="C152" s="12" t="inlineStr">
        <is>
          <t>Cost Account = CA-1033; WBS Code = 1.1.1</t>
        </is>
      </c>
      <c r="D152" s="12" t="inlineStr">
        <is>
          <t>Proposed by Source assignment; target 1.1.1 Guideway and Civil - Guideway Structures</t>
        </is>
      </c>
      <c r="E152" s="12" t="inlineStr">
        <is>
          <t>None recorded</t>
        </is>
      </c>
      <c r="F152" s="12" t="inlineStr">
        <is>
          <t>No individual professional decision recorded; Source assignment -- not individually reviewed</t>
        </is>
      </c>
      <c r="G152" s="12" t="inlineStr">
        <is>
          <t>Not individually decided</t>
        </is>
      </c>
      <c r="H152" s="12" t="inlineStr">
        <is>
          <t xml:space="preserve">APPROVED / ONE_TO_ONE; </t>
        </is>
      </c>
      <c r="I152" s="12" t="inlineStr">
        <is>
          <t>New</t>
        </is>
      </c>
      <c r="J152" s="17" t="inlineStr">
        <is>
          <t>08 CROSSWALK</t>
        </is>
      </c>
    </row>
    <row r="153" ht="49" customHeight="1">
      <c r="A153" s="12" t="inlineStr">
        <is>
          <t>R1117-v1</t>
        </is>
      </c>
      <c r="B153" s="12" t="inlineStr">
        <is>
          <t>Cost &amp; Forecast Control Accounts / CST-01-035</t>
        </is>
      </c>
      <c r="C153" s="12" t="inlineStr">
        <is>
          <t>Cost Account = CA-1035; WBS Code = 1.1.1</t>
        </is>
      </c>
      <c r="D153" s="12" t="inlineStr">
        <is>
          <t>Proposed by Source assignment; target 1.1.1 Guideway and Civil - Guideway Structures</t>
        </is>
      </c>
      <c r="E153" s="12" t="inlineStr">
        <is>
          <t>None recorded</t>
        </is>
      </c>
      <c r="F153" s="12" t="inlineStr">
        <is>
          <t>No individual professional decision recorded; Source assignment -- not individually reviewed</t>
        </is>
      </c>
      <c r="G153" s="12" t="inlineStr">
        <is>
          <t>Not individually decided</t>
        </is>
      </c>
      <c r="H153" s="12" t="inlineStr">
        <is>
          <t xml:space="preserve">APPROVED / ONE_TO_ONE; </t>
        </is>
      </c>
      <c r="I153" s="12" t="inlineStr">
        <is>
          <t>New</t>
        </is>
      </c>
      <c r="J153" s="17" t="inlineStr">
        <is>
          <t>08 CROSSWALK</t>
        </is>
      </c>
    </row>
    <row r="154" ht="49" customHeight="1">
      <c r="A154" s="12" t="inlineStr">
        <is>
          <t>R1119-v1</t>
        </is>
      </c>
      <c r="B154" s="12" t="inlineStr">
        <is>
          <t>Cost &amp; Forecast Control Accounts / CST-01-037</t>
        </is>
      </c>
      <c r="C154" s="12" t="inlineStr">
        <is>
          <t>Cost Account = CA-1037; WBS Code = 1.1.1</t>
        </is>
      </c>
      <c r="D154" s="12" t="inlineStr">
        <is>
          <t>Proposed by Source assignment; target 1.1.1 Guideway and Civil - Guideway Structures</t>
        </is>
      </c>
      <c r="E154" s="12" t="inlineStr">
        <is>
          <t>None recorded</t>
        </is>
      </c>
      <c r="F154" s="12" t="inlineStr">
        <is>
          <t>No individual professional decision recorded; Source assignment -- not individually reviewed</t>
        </is>
      </c>
      <c r="G154" s="12" t="inlineStr">
        <is>
          <t>Not individually decided</t>
        </is>
      </c>
      <c r="H154" s="12" t="inlineStr">
        <is>
          <t xml:space="preserve">APPROVED / ONE_TO_ONE; </t>
        </is>
      </c>
      <c r="I154" s="12" t="inlineStr">
        <is>
          <t>New</t>
        </is>
      </c>
      <c r="J154" s="17" t="inlineStr">
        <is>
          <t>08 CROSSWALK</t>
        </is>
      </c>
    </row>
    <row r="155" ht="49" customHeight="1">
      <c r="A155" s="12" t="inlineStr">
        <is>
          <t>R1121-v1</t>
        </is>
      </c>
      <c r="B155" s="12" t="inlineStr">
        <is>
          <t>Cost &amp; Forecast Control Accounts / CST-01-039</t>
        </is>
      </c>
      <c r="C155" s="12" t="inlineStr">
        <is>
          <t>Cost Account = CA-1039; WBS Code = 1.1.1</t>
        </is>
      </c>
      <c r="D155" s="12" t="inlineStr">
        <is>
          <t>Proposed by Source assignment; target 1.1.1 Guideway and Civil - Guideway Structures</t>
        </is>
      </c>
      <c r="E155" s="12" t="inlineStr">
        <is>
          <t>None recorded</t>
        </is>
      </c>
      <c r="F155" s="12" t="inlineStr">
        <is>
          <t>No individual professional decision recorded; Source assignment -- not individually reviewed</t>
        </is>
      </c>
      <c r="G155" s="12" t="inlineStr">
        <is>
          <t>Not individually decided</t>
        </is>
      </c>
      <c r="H155" s="12" t="inlineStr">
        <is>
          <t xml:space="preserve">APPROVED / ONE_TO_ONE; </t>
        </is>
      </c>
      <c r="I155" s="12" t="inlineStr">
        <is>
          <t>New</t>
        </is>
      </c>
      <c r="J155" s="17" t="inlineStr">
        <is>
          <t>08 CROSSWALK</t>
        </is>
      </c>
    </row>
    <row r="156" ht="49" customHeight="1">
      <c r="A156" s="12" t="inlineStr">
        <is>
          <t>R1123-v1</t>
        </is>
      </c>
      <c r="B156" s="12" t="inlineStr">
        <is>
          <t>Cost &amp; Forecast Control Accounts / CST-01-041</t>
        </is>
      </c>
      <c r="C156" s="12" t="inlineStr">
        <is>
          <t>Cost Account = CA-1041; WBS Code = 1.1.1</t>
        </is>
      </c>
      <c r="D156" s="12" t="inlineStr">
        <is>
          <t>Proposed by Source assignment; target 1.1.1 Guideway and Civil - Guideway Structures</t>
        </is>
      </c>
      <c r="E156" s="12" t="inlineStr">
        <is>
          <t>None recorded</t>
        </is>
      </c>
      <c r="F156" s="12" t="inlineStr">
        <is>
          <t>No individual professional decision recorded; Source assignment -- not individually reviewed</t>
        </is>
      </c>
      <c r="G156" s="12" t="inlineStr">
        <is>
          <t>Not individually decided</t>
        </is>
      </c>
      <c r="H156" s="12" t="inlineStr">
        <is>
          <t xml:space="preserve">APPROVED / ONE_TO_ONE; </t>
        </is>
      </c>
      <c r="I156" s="12" t="inlineStr">
        <is>
          <t>New</t>
        </is>
      </c>
      <c r="J156" s="17" t="inlineStr">
        <is>
          <t>08 CROSSWALK</t>
        </is>
      </c>
    </row>
    <row r="157" ht="49" customHeight="1">
      <c r="A157" s="12" t="inlineStr">
        <is>
          <t>R1125-v1</t>
        </is>
      </c>
      <c r="B157" s="12" t="inlineStr">
        <is>
          <t>Cost &amp; Forecast Control Accounts / CST-01-043</t>
        </is>
      </c>
      <c r="C157" s="12" t="inlineStr">
        <is>
          <t>Cost Account = CA-1043; WBS Code = 1.1.1</t>
        </is>
      </c>
      <c r="D157" s="12" t="inlineStr">
        <is>
          <t>Proposed by Source assignment; target 1.1.1 Guideway and Civil - Guideway Structures</t>
        </is>
      </c>
      <c r="E157" s="12" t="inlineStr">
        <is>
          <t>None recorded</t>
        </is>
      </c>
      <c r="F157" s="12" t="inlineStr">
        <is>
          <t>No individual professional decision recorded; Source assignment -- not individually reviewed</t>
        </is>
      </c>
      <c r="G157" s="12" t="inlineStr">
        <is>
          <t>Not individually decided</t>
        </is>
      </c>
      <c r="H157" s="12" t="inlineStr">
        <is>
          <t xml:space="preserve">APPROVED / ONE_TO_ONE; </t>
        </is>
      </c>
      <c r="I157" s="12" t="inlineStr">
        <is>
          <t>New</t>
        </is>
      </c>
      <c r="J157" s="17" t="inlineStr">
        <is>
          <t>08 CROSSWALK</t>
        </is>
      </c>
    </row>
    <row r="158" ht="49" customHeight="1">
      <c r="A158" s="12" t="inlineStr">
        <is>
          <t>R1127-v1</t>
        </is>
      </c>
      <c r="B158" s="12" t="inlineStr">
        <is>
          <t>Cost &amp; Forecast Control Accounts / CST-01-045</t>
        </is>
      </c>
      <c r="C158" s="12" t="inlineStr">
        <is>
          <t>Cost Account = CA-1045; WBS Code = 1.1.1</t>
        </is>
      </c>
      <c r="D158" s="12" t="inlineStr">
        <is>
          <t>Proposed by Source assignment; target 1.1.1 Guideway and Civil - Guideway Structures</t>
        </is>
      </c>
      <c r="E158" s="12" t="inlineStr">
        <is>
          <t>None recorded</t>
        </is>
      </c>
      <c r="F158" s="12" t="inlineStr">
        <is>
          <t>No individual professional decision recorded; Source assignment -- not individually reviewed</t>
        </is>
      </c>
      <c r="G158" s="12" t="inlineStr">
        <is>
          <t>Not individually decided</t>
        </is>
      </c>
      <c r="H158" s="12" t="inlineStr">
        <is>
          <t xml:space="preserve">APPROVED / ONE_TO_ONE; </t>
        </is>
      </c>
      <c r="I158" s="12" t="inlineStr">
        <is>
          <t>New</t>
        </is>
      </c>
      <c r="J158" s="17" t="inlineStr">
        <is>
          <t>08 CROSSWALK</t>
        </is>
      </c>
    </row>
    <row r="159" ht="49" customHeight="1">
      <c r="A159" s="12" t="inlineStr">
        <is>
          <t>R1129-v1</t>
        </is>
      </c>
      <c r="B159" s="12" t="inlineStr">
        <is>
          <t>Cost &amp; Forecast Control Accounts / CST-01-047</t>
        </is>
      </c>
      <c r="C159" s="12" t="inlineStr">
        <is>
          <t>Cost Account = CA-1047; WBS Code = 1.1.1</t>
        </is>
      </c>
      <c r="D159" s="12" t="inlineStr">
        <is>
          <t>Proposed by Source assignment; target 1.1.1 Guideway and Civil - Guideway Structures</t>
        </is>
      </c>
      <c r="E159" s="12" t="inlineStr">
        <is>
          <t>None recorded</t>
        </is>
      </c>
      <c r="F159" s="12" t="inlineStr">
        <is>
          <t>No individual professional decision recorded; Source assignment -- not individually reviewed</t>
        </is>
      </c>
      <c r="G159" s="12" t="inlineStr">
        <is>
          <t>Not individually decided</t>
        </is>
      </c>
      <c r="H159" s="12" t="inlineStr">
        <is>
          <t xml:space="preserve">APPROVED / ONE_TO_ONE; </t>
        </is>
      </c>
      <c r="I159" s="12" t="inlineStr">
        <is>
          <t>New</t>
        </is>
      </c>
      <c r="J159" s="17" t="inlineStr">
        <is>
          <t>08 CROSSWALK</t>
        </is>
      </c>
    </row>
    <row r="160" ht="49" customHeight="1">
      <c r="A160" s="12" t="inlineStr">
        <is>
          <t>R1131-v1</t>
        </is>
      </c>
      <c r="B160" s="12" t="inlineStr">
        <is>
          <t>Cost &amp; Forecast Control Accounts / CST-01-049</t>
        </is>
      </c>
      <c r="C160" s="12" t="inlineStr">
        <is>
          <t>Cost Account = CA-1049; WBS Code = 1.1.1</t>
        </is>
      </c>
      <c r="D160" s="12" t="inlineStr">
        <is>
          <t>Proposed by Source assignment; target 1.1.1 Guideway and Civil - Guideway Structures</t>
        </is>
      </c>
      <c r="E160" s="12" t="inlineStr">
        <is>
          <t>None recorded</t>
        </is>
      </c>
      <c r="F160" s="12" t="inlineStr">
        <is>
          <t>No individual professional decision recorded; Source assignment -- not individually reviewed</t>
        </is>
      </c>
      <c r="G160" s="12" t="inlineStr">
        <is>
          <t>Not individually decided</t>
        </is>
      </c>
      <c r="H160" s="12" t="inlineStr">
        <is>
          <t xml:space="preserve">APPROVED / ONE_TO_ONE; </t>
        </is>
      </c>
      <c r="I160" s="12" t="inlineStr">
        <is>
          <t>New</t>
        </is>
      </c>
      <c r="J160" s="17" t="inlineStr">
        <is>
          <t>08 CROSSWALK</t>
        </is>
      </c>
    </row>
    <row r="161" ht="49" customHeight="1">
      <c r="A161" s="12" t="inlineStr">
        <is>
          <t>R1133-v1</t>
        </is>
      </c>
      <c r="B161" s="12" t="inlineStr">
        <is>
          <t>Cost &amp; Forecast Control Accounts / CST-01-051</t>
        </is>
      </c>
      <c r="C161" s="12" t="inlineStr">
        <is>
          <t>Cost Account = CA-1051; WBS Code = 1.1.1</t>
        </is>
      </c>
      <c r="D161" s="12" t="inlineStr">
        <is>
          <t>Proposed by Source assignment; target 1.1.1 Guideway and Civil - Guideway Structures</t>
        </is>
      </c>
      <c r="E161" s="12" t="inlineStr">
        <is>
          <t>None recorded</t>
        </is>
      </c>
      <c r="F161" s="12" t="inlineStr">
        <is>
          <t>No individual professional decision recorded; Source assignment -- not individually reviewed</t>
        </is>
      </c>
      <c r="G161" s="12" t="inlineStr">
        <is>
          <t>Not individually decided</t>
        </is>
      </c>
      <c r="H161" s="12" t="inlineStr">
        <is>
          <t xml:space="preserve">APPROVED / ONE_TO_ONE; </t>
        </is>
      </c>
      <c r="I161" s="12" t="inlineStr">
        <is>
          <t>New</t>
        </is>
      </c>
      <c r="J161" s="17" t="inlineStr">
        <is>
          <t>08 CROSSWALK</t>
        </is>
      </c>
    </row>
    <row r="162" ht="49" customHeight="1">
      <c r="A162" s="12" t="inlineStr">
        <is>
          <t>R1135-v1</t>
        </is>
      </c>
      <c r="B162" s="12" t="inlineStr">
        <is>
          <t>Cost &amp; Forecast Control Accounts / CST-01-053</t>
        </is>
      </c>
      <c r="C162" s="12" t="inlineStr">
        <is>
          <t>Cost Account = CA-1053; WBS Code = 1.1.1</t>
        </is>
      </c>
      <c r="D162" s="12" t="inlineStr">
        <is>
          <t>Proposed by Source assignment; target 1.1.1 Guideway and Civil - Guideway Structures</t>
        </is>
      </c>
      <c r="E162" s="12" t="inlineStr">
        <is>
          <t>None recorded</t>
        </is>
      </c>
      <c r="F162" s="12" t="inlineStr">
        <is>
          <t>No individual professional decision recorded; Source assignment -- not individually reviewed</t>
        </is>
      </c>
      <c r="G162" s="12" t="inlineStr">
        <is>
          <t>Not individually decided</t>
        </is>
      </c>
      <c r="H162" s="12" t="inlineStr">
        <is>
          <t xml:space="preserve">APPROVED / ONE_TO_ONE; </t>
        </is>
      </c>
      <c r="I162" s="12" t="inlineStr">
        <is>
          <t>New</t>
        </is>
      </c>
      <c r="J162" s="17" t="inlineStr">
        <is>
          <t>08 CROSSWALK</t>
        </is>
      </c>
    </row>
    <row r="163" ht="49" customHeight="1">
      <c r="A163" s="12" t="inlineStr">
        <is>
          <t>R1137-v1</t>
        </is>
      </c>
      <c r="B163" s="12" t="inlineStr">
        <is>
          <t>Cost &amp; Forecast Control Accounts / CST-01-055</t>
        </is>
      </c>
      <c r="C163" s="12" t="inlineStr">
        <is>
          <t>Cost Account = CA-1055; WBS Code = 1.1.1</t>
        </is>
      </c>
      <c r="D163" s="12" t="inlineStr">
        <is>
          <t>Proposed by Source assignment; target 1.1.1 Guideway and Civil - Guideway Structures</t>
        </is>
      </c>
      <c r="E163" s="12" t="inlineStr">
        <is>
          <t>None recorded</t>
        </is>
      </c>
      <c r="F163" s="12" t="inlineStr">
        <is>
          <t>No individual professional decision recorded; Source assignment -- not individually reviewed</t>
        </is>
      </c>
      <c r="G163" s="12" t="inlineStr">
        <is>
          <t>Not individually decided</t>
        </is>
      </c>
      <c r="H163" s="12" t="inlineStr">
        <is>
          <t xml:space="preserve">APPROVED / ONE_TO_ONE; </t>
        </is>
      </c>
      <c r="I163" s="12" t="inlineStr">
        <is>
          <t>New</t>
        </is>
      </c>
      <c r="J163" s="17" t="inlineStr">
        <is>
          <t>08 CROSSWALK</t>
        </is>
      </c>
    </row>
    <row r="164" ht="49" customHeight="1">
      <c r="A164" s="12" t="inlineStr">
        <is>
          <t>R1139-v1</t>
        </is>
      </c>
      <c r="B164" s="12" t="inlineStr">
        <is>
          <t>Cost &amp; Forecast Control Accounts / CST-01-057</t>
        </is>
      </c>
      <c r="C164" s="12" t="inlineStr">
        <is>
          <t>Cost Account = CA-1057; WBS Code = 1.1.1</t>
        </is>
      </c>
      <c r="D164" s="12" t="inlineStr">
        <is>
          <t>Proposed by Source assignment; target 1.1.1 Guideway and Civil - Guideway Structures</t>
        </is>
      </c>
      <c r="E164" s="12" t="inlineStr">
        <is>
          <t>None recorded</t>
        </is>
      </c>
      <c r="F164" s="12" t="inlineStr">
        <is>
          <t>No individual professional decision recorded; Source assignment -- not individually reviewed</t>
        </is>
      </c>
      <c r="G164" s="12" t="inlineStr">
        <is>
          <t>Not individually decided</t>
        </is>
      </c>
      <c r="H164" s="12" t="inlineStr">
        <is>
          <t xml:space="preserve">APPROVED / ONE_TO_ONE; </t>
        </is>
      </c>
      <c r="I164" s="12" t="inlineStr">
        <is>
          <t>New</t>
        </is>
      </c>
      <c r="J164" s="17" t="inlineStr">
        <is>
          <t>08 CROSSWALK</t>
        </is>
      </c>
    </row>
    <row r="165" ht="49" customHeight="1">
      <c r="A165" s="12" t="inlineStr">
        <is>
          <t>R1141-v1</t>
        </is>
      </c>
      <c r="B165" s="12" t="inlineStr">
        <is>
          <t>Cost &amp; Forecast Control Accounts / CST-01-059</t>
        </is>
      </c>
      <c r="C165" s="12" t="inlineStr">
        <is>
          <t>Cost Account = CA-1059; WBS Code = 1.1.1</t>
        </is>
      </c>
      <c r="D165" s="12" t="inlineStr">
        <is>
          <t>Proposed by Source assignment; target 1.1.1 Guideway and Civil - Guideway Structures</t>
        </is>
      </c>
      <c r="E165" s="12" t="inlineStr">
        <is>
          <t>None recorded</t>
        </is>
      </c>
      <c r="F165" s="12" t="inlineStr">
        <is>
          <t>No individual professional decision recorded; Source assignment -- not individually reviewed</t>
        </is>
      </c>
      <c r="G165" s="12" t="inlineStr">
        <is>
          <t>Not individually decided</t>
        </is>
      </c>
      <c r="H165" s="12" t="inlineStr">
        <is>
          <t xml:space="preserve">APPROVED / ONE_TO_ONE; </t>
        </is>
      </c>
      <c r="I165" s="12" t="inlineStr">
        <is>
          <t>New</t>
        </is>
      </c>
      <c r="J165" s="17" t="inlineStr">
        <is>
          <t>08 CROSSWALK</t>
        </is>
      </c>
    </row>
    <row r="166" ht="49" customHeight="1">
      <c r="A166" s="12" t="inlineStr">
        <is>
          <t>R1143-v1</t>
        </is>
      </c>
      <c r="B166" s="12" t="inlineStr">
        <is>
          <t>Cost &amp; Forecast Control Accounts / CST-01-061</t>
        </is>
      </c>
      <c r="C166" s="12" t="inlineStr">
        <is>
          <t>Cost Account = CA-1061; WBS Code = 1.1.1</t>
        </is>
      </c>
      <c r="D166" s="12" t="inlineStr">
        <is>
          <t>Proposed by Source assignment; target 1.1.1 Guideway and Civil - Guideway Structures</t>
        </is>
      </c>
      <c r="E166" s="12" t="inlineStr">
        <is>
          <t>None recorded</t>
        </is>
      </c>
      <c r="F166" s="12" t="inlineStr">
        <is>
          <t>No individual professional decision recorded; Source assignment -- not individually reviewed</t>
        </is>
      </c>
      <c r="G166" s="12" t="inlineStr">
        <is>
          <t>Not individually decided</t>
        </is>
      </c>
      <c r="H166" s="12" t="inlineStr">
        <is>
          <t xml:space="preserve">APPROVED / ONE_TO_ONE; </t>
        </is>
      </c>
      <c r="I166" s="12" t="inlineStr">
        <is>
          <t>New</t>
        </is>
      </c>
      <c r="J166" s="17" t="inlineStr">
        <is>
          <t>08 CROSSWALK</t>
        </is>
      </c>
    </row>
    <row r="167" ht="49" customHeight="1">
      <c r="A167" s="12" t="inlineStr">
        <is>
          <t>R1145-v1</t>
        </is>
      </c>
      <c r="B167" s="12" t="inlineStr">
        <is>
          <t>Cost &amp; Forecast Control Accounts / CST-01-063</t>
        </is>
      </c>
      <c r="C167" s="12" t="inlineStr">
        <is>
          <t>Cost Account = CA-1063; WBS Code = 1.1.1</t>
        </is>
      </c>
      <c r="D167" s="12" t="inlineStr">
        <is>
          <t>Proposed by Source assignment; target 1.1.1 Guideway and Civil - Guideway Structures</t>
        </is>
      </c>
      <c r="E167" s="12" t="inlineStr">
        <is>
          <t>None recorded</t>
        </is>
      </c>
      <c r="F167" s="12" t="inlineStr">
        <is>
          <t>No individual professional decision recorded; Source assignment -- not individually reviewed</t>
        </is>
      </c>
      <c r="G167" s="12" t="inlineStr">
        <is>
          <t>Not individually decided</t>
        </is>
      </c>
      <c r="H167" s="12" t="inlineStr">
        <is>
          <t xml:space="preserve">APPROVED / ONE_TO_ONE; </t>
        </is>
      </c>
      <c r="I167" s="12" t="inlineStr">
        <is>
          <t>New</t>
        </is>
      </c>
      <c r="J167" s="17" t="inlineStr">
        <is>
          <t>08 CROSSWALK</t>
        </is>
      </c>
    </row>
    <row r="168" ht="49" customHeight="1">
      <c r="A168" s="12" t="inlineStr">
        <is>
          <t>R1147-v1</t>
        </is>
      </c>
      <c r="B168" s="12" t="inlineStr">
        <is>
          <t>Cost &amp; Forecast Control Accounts / CST-01-065</t>
        </is>
      </c>
      <c r="C168" s="12" t="inlineStr">
        <is>
          <t>Cost Account = CA-1065; WBS Code = 1.1.1</t>
        </is>
      </c>
      <c r="D168" s="12" t="inlineStr">
        <is>
          <t>Proposed by Source assignment; target 1.1.1 Guideway and Civil - Guideway Structures</t>
        </is>
      </c>
      <c r="E168" s="12" t="inlineStr">
        <is>
          <t>None recorded</t>
        </is>
      </c>
      <c r="F168" s="12" t="inlineStr">
        <is>
          <t>No individual professional decision recorded; Source assignment -- not individually reviewed</t>
        </is>
      </c>
      <c r="G168" s="12" t="inlineStr">
        <is>
          <t>Not individually decided</t>
        </is>
      </c>
      <c r="H168" s="12" t="inlineStr">
        <is>
          <t xml:space="preserve">APPROVED / ONE_TO_ONE; </t>
        </is>
      </c>
      <c r="I168" s="12" t="inlineStr">
        <is>
          <t>New</t>
        </is>
      </c>
      <c r="J168" s="17" t="inlineStr">
        <is>
          <t>08 CROSSWALK</t>
        </is>
      </c>
    </row>
    <row r="169" ht="49" customHeight="1">
      <c r="A169" s="12" t="inlineStr">
        <is>
          <t>R1149-v1</t>
        </is>
      </c>
      <c r="B169" s="12" t="inlineStr">
        <is>
          <t>Cost &amp; Forecast Control Accounts / CST-01-067</t>
        </is>
      </c>
      <c r="C169" s="12" t="inlineStr">
        <is>
          <t>Cost Account = CA-1067; WBS Code = 1.1.1</t>
        </is>
      </c>
      <c r="D169" s="12" t="inlineStr">
        <is>
          <t>Proposed by Source assignment; target 1.1.1 Guideway and Civil - Guideway Structures</t>
        </is>
      </c>
      <c r="E169" s="12" t="inlineStr">
        <is>
          <t>None recorded</t>
        </is>
      </c>
      <c r="F169" s="12" t="inlineStr">
        <is>
          <t>No individual professional decision recorded; Source assignment -- not individually reviewed</t>
        </is>
      </c>
      <c r="G169" s="12" t="inlineStr">
        <is>
          <t>Not individually decided</t>
        </is>
      </c>
      <c r="H169" s="12" t="inlineStr">
        <is>
          <t xml:space="preserve">APPROVED / ONE_TO_ONE; </t>
        </is>
      </c>
      <c r="I169" s="12" t="inlineStr">
        <is>
          <t>New</t>
        </is>
      </c>
      <c r="J169" s="17" t="inlineStr">
        <is>
          <t>08 CROSSWALK</t>
        </is>
      </c>
    </row>
    <row r="170" ht="49" customHeight="1">
      <c r="A170" s="12" t="inlineStr">
        <is>
          <t>R1151-v1</t>
        </is>
      </c>
      <c r="B170" s="12" t="inlineStr">
        <is>
          <t>Cost &amp; Forecast Control Accounts / CST-01-069</t>
        </is>
      </c>
      <c r="C170" s="12" t="inlineStr">
        <is>
          <t>Cost Account = CA-1069; WBS Code = 1.1.1</t>
        </is>
      </c>
      <c r="D170" s="12" t="inlineStr">
        <is>
          <t>Proposed by Source assignment; target 1.1.1 Guideway and Civil - Guideway Structures</t>
        </is>
      </c>
      <c r="E170" s="12" t="inlineStr">
        <is>
          <t>None recorded</t>
        </is>
      </c>
      <c r="F170" s="12" t="inlineStr">
        <is>
          <t>No individual professional decision recorded; Source assignment -- not individually reviewed</t>
        </is>
      </c>
      <c r="G170" s="12" t="inlineStr">
        <is>
          <t>Not individually decided</t>
        </is>
      </c>
      <c r="H170" s="12" t="inlineStr">
        <is>
          <t xml:space="preserve">APPROVED / ONE_TO_ONE; </t>
        </is>
      </c>
      <c r="I170" s="12" t="inlineStr">
        <is>
          <t>New</t>
        </is>
      </c>
      <c r="J170" s="17" t="inlineStr">
        <is>
          <t>08 CROSSWALK</t>
        </is>
      </c>
    </row>
    <row r="171" ht="49" customHeight="1">
      <c r="A171" s="12" t="inlineStr">
        <is>
          <t>R1153-v1</t>
        </is>
      </c>
      <c r="B171" s="12" t="inlineStr">
        <is>
          <t>Cost &amp; Forecast Control Accounts / CST-01-071</t>
        </is>
      </c>
      <c r="C171" s="12" t="inlineStr">
        <is>
          <t>Cost Account = CA-1071; WBS Code = 1.1.1</t>
        </is>
      </c>
      <c r="D171" s="12" t="inlineStr">
        <is>
          <t>Proposed by Source assignment; target 1.1.1 Guideway and Civil - Guideway Structures</t>
        </is>
      </c>
      <c r="E171" s="12" t="inlineStr">
        <is>
          <t>None recorded</t>
        </is>
      </c>
      <c r="F171" s="12" t="inlineStr">
        <is>
          <t>No individual professional decision recorded; Source assignment -- not individually reviewed</t>
        </is>
      </c>
      <c r="G171" s="12" t="inlineStr">
        <is>
          <t>Not individually decided</t>
        </is>
      </c>
      <c r="H171" s="12" t="inlineStr">
        <is>
          <t xml:space="preserve">APPROVED / ONE_TO_ONE; </t>
        </is>
      </c>
      <c r="I171" s="12" t="inlineStr">
        <is>
          <t>New</t>
        </is>
      </c>
      <c r="J171" s="17" t="inlineStr">
        <is>
          <t>08 CROSSWALK</t>
        </is>
      </c>
    </row>
    <row r="172" ht="49" customHeight="1">
      <c r="A172" s="12" t="inlineStr">
        <is>
          <t>R1155-v1</t>
        </is>
      </c>
      <c r="B172" s="12" t="inlineStr">
        <is>
          <t>Cost &amp; Forecast Control Accounts / CST-01-073</t>
        </is>
      </c>
      <c r="C172" s="12" t="inlineStr">
        <is>
          <t>Cost Account = CA-1073; WBS Code = 1.1.1</t>
        </is>
      </c>
      <c r="D172" s="12" t="inlineStr">
        <is>
          <t>Proposed by Source assignment; target 1.1.1 Guideway and Civil - Guideway Structures</t>
        </is>
      </c>
      <c r="E172" s="12" t="inlineStr">
        <is>
          <t>None recorded</t>
        </is>
      </c>
      <c r="F172" s="12" t="inlineStr">
        <is>
          <t>No individual professional decision recorded; Source assignment -- not individually reviewed</t>
        </is>
      </c>
      <c r="G172" s="12" t="inlineStr">
        <is>
          <t>Not individually decided</t>
        </is>
      </c>
      <c r="H172" s="12" t="inlineStr">
        <is>
          <t xml:space="preserve">APPROVED / ONE_TO_ONE; </t>
        </is>
      </c>
      <c r="I172" s="12" t="inlineStr">
        <is>
          <t>New</t>
        </is>
      </c>
      <c r="J172" s="17" t="inlineStr">
        <is>
          <t>08 CROSSWALK</t>
        </is>
      </c>
    </row>
    <row r="173" ht="49" customHeight="1">
      <c r="A173" s="12" t="inlineStr">
        <is>
          <t>R1157-v1</t>
        </is>
      </c>
      <c r="B173" s="12" t="inlineStr">
        <is>
          <t>Cost &amp; Forecast Control Accounts / CST-01-075</t>
        </is>
      </c>
      <c r="C173" s="12" t="inlineStr">
        <is>
          <t>Cost Account = CA-1075; WBS Code = 1.1.1</t>
        </is>
      </c>
      <c r="D173" s="12" t="inlineStr">
        <is>
          <t>Proposed by Source assignment; target 1.1.1 Guideway and Civil - Guideway Structures</t>
        </is>
      </c>
      <c r="E173" s="12" t="inlineStr">
        <is>
          <t>None recorded</t>
        </is>
      </c>
      <c r="F173" s="12" t="inlineStr">
        <is>
          <t>No individual professional decision recorded; Source assignment -- not individually reviewed</t>
        </is>
      </c>
      <c r="G173" s="12" t="inlineStr">
        <is>
          <t>Not individually decided</t>
        </is>
      </c>
      <c r="H173" s="12" t="inlineStr">
        <is>
          <t xml:space="preserve">APPROVED / ONE_TO_ONE; </t>
        </is>
      </c>
      <c r="I173" s="12" t="inlineStr">
        <is>
          <t>New</t>
        </is>
      </c>
      <c r="J173" s="17" t="inlineStr">
        <is>
          <t>08 CROSSWALK</t>
        </is>
      </c>
    </row>
    <row r="174" ht="49" customHeight="1">
      <c r="A174" s="12" t="inlineStr">
        <is>
          <t>R1159-v1</t>
        </is>
      </c>
      <c r="B174" s="12" t="inlineStr">
        <is>
          <t>Cost &amp; Forecast Control Accounts / CST-01-077</t>
        </is>
      </c>
      <c r="C174" s="12" t="inlineStr">
        <is>
          <t>Cost Account = CA-1077; WBS Code = 1.1.1</t>
        </is>
      </c>
      <c r="D174" s="12" t="inlineStr">
        <is>
          <t>Proposed by Source assignment; target 1.1.1 Guideway and Civil - Guideway Structures</t>
        </is>
      </c>
      <c r="E174" s="12" t="inlineStr">
        <is>
          <t>None recorded</t>
        </is>
      </c>
      <c r="F174" s="12" t="inlineStr">
        <is>
          <t>No individual professional decision recorded; Source assignment -- not individually reviewed</t>
        </is>
      </c>
      <c r="G174" s="12" t="inlineStr">
        <is>
          <t>Not individually decided</t>
        </is>
      </c>
      <c r="H174" s="12" t="inlineStr">
        <is>
          <t xml:space="preserve">APPROVED / ONE_TO_ONE; </t>
        </is>
      </c>
      <c r="I174" s="12" t="inlineStr">
        <is>
          <t>New</t>
        </is>
      </c>
      <c r="J174" s="17" t="inlineStr">
        <is>
          <t>08 CROSSWALK</t>
        </is>
      </c>
    </row>
    <row r="175" ht="49" customHeight="1">
      <c r="A175" s="12" t="inlineStr">
        <is>
          <t>R1161-v1</t>
        </is>
      </c>
      <c r="B175" s="12" t="inlineStr">
        <is>
          <t>Cost &amp; Forecast Control Accounts / CST-01-079</t>
        </is>
      </c>
      <c r="C175" s="12" t="inlineStr">
        <is>
          <t>Cost Account = CA-1079; WBS Code = 1.1.1</t>
        </is>
      </c>
      <c r="D175" s="12" t="inlineStr">
        <is>
          <t>Proposed by Source assignment; target 1.1.1 Guideway and Civil - Guideway Structures</t>
        </is>
      </c>
      <c r="E175" s="12" t="inlineStr">
        <is>
          <t>None recorded</t>
        </is>
      </c>
      <c r="F175" s="12" t="inlineStr">
        <is>
          <t>No individual professional decision recorded; Source assignment -- not individually reviewed</t>
        </is>
      </c>
      <c r="G175" s="12" t="inlineStr">
        <is>
          <t>Not individually decided</t>
        </is>
      </c>
      <c r="H175" s="12" t="inlineStr">
        <is>
          <t xml:space="preserve">APPROVED / ONE_TO_ONE; </t>
        </is>
      </c>
      <c r="I175" s="12" t="inlineStr">
        <is>
          <t>New</t>
        </is>
      </c>
      <c r="J175" s="17" t="inlineStr">
        <is>
          <t>08 CROSSWALK</t>
        </is>
      </c>
    </row>
    <row r="176" ht="49" customHeight="1">
      <c r="A176" s="12" t="inlineStr">
        <is>
          <t>R3-v1</t>
        </is>
      </c>
      <c r="B176" s="12" t="inlineStr">
        <is>
          <t>Contractor Programme / SCH-01-003</t>
        </is>
      </c>
      <c r="C176" s="12" t="inlineStr">
        <is>
          <t>WBS Code = 1.1.2</t>
        </is>
      </c>
      <c r="D176" s="12" t="inlineStr">
        <is>
          <t>Proposed by Source assignment; target 1.1.2 Guideway and Civil - Utility &amp; Roadworks</t>
        </is>
      </c>
      <c r="E176" s="12" t="inlineStr">
        <is>
          <t>None recorded</t>
        </is>
      </c>
      <c r="F176" s="12" t="inlineStr">
        <is>
          <t>No individual professional decision recorded; Source assignment -- not individually reviewed</t>
        </is>
      </c>
      <c r="G176" s="12" t="inlineStr">
        <is>
          <t>Not individually decided</t>
        </is>
      </c>
      <c r="H176" s="12" t="inlineStr">
        <is>
          <t xml:space="preserve">APPROVED / ONE_TO_ONE; </t>
        </is>
      </c>
      <c r="I176" s="12" t="inlineStr">
        <is>
          <t>New</t>
        </is>
      </c>
      <c r="J176" s="17" t="inlineStr">
        <is>
          <t>08 CROSSWALK</t>
        </is>
      </c>
    </row>
    <row r="177" ht="49" customHeight="1">
      <c r="A177" s="12" t="inlineStr">
        <is>
          <t>R6-v1</t>
        </is>
      </c>
      <c r="B177" s="12" t="inlineStr">
        <is>
          <t>Contractor Programme / SCH-01-006</t>
        </is>
      </c>
      <c r="C177" s="12" t="inlineStr">
        <is>
          <t>WBS Code = 1.1.2</t>
        </is>
      </c>
      <c r="D177" s="12" t="inlineStr">
        <is>
          <t>Proposed by Source assignment; target 1.1.2 Guideway and Civil - Utility &amp; Roadworks</t>
        </is>
      </c>
      <c r="E177" s="12" t="inlineStr">
        <is>
          <t>None recorded</t>
        </is>
      </c>
      <c r="F177" s="12" t="inlineStr">
        <is>
          <t>No individual professional decision recorded; Source assignment -- not individually reviewed</t>
        </is>
      </c>
      <c r="G177" s="12" t="inlineStr">
        <is>
          <t>Not individually decided</t>
        </is>
      </c>
      <c r="H177" s="12" t="inlineStr">
        <is>
          <t xml:space="preserve">APPROVED / ONE_TO_ONE; </t>
        </is>
      </c>
      <c r="I177" s="12" t="inlineStr">
        <is>
          <t>New</t>
        </is>
      </c>
      <c r="J177" s="17" t="inlineStr">
        <is>
          <t>08 CROSSWALK</t>
        </is>
      </c>
    </row>
    <row r="178" ht="49" customHeight="1">
      <c r="A178" s="12" t="inlineStr">
        <is>
          <t>R9-v1</t>
        </is>
      </c>
      <c r="B178" s="12" t="inlineStr">
        <is>
          <t>Contractor Programme / SCH-01-009</t>
        </is>
      </c>
      <c r="C178" s="12" t="inlineStr">
        <is>
          <t>WBS Code = 1.1.2</t>
        </is>
      </c>
      <c r="D178" s="12" t="inlineStr">
        <is>
          <t>Proposed by Source assignment; target 1.1.2 Guideway and Civil - Utility &amp; Roadworks</t>
        </is>
      </c>
      <c r="E178" s="12" t="inlineStr">
        <is>
          <t>None recorded</t>
        </is>
      </c>
      <c r="F178" s="12" t="inlineStr">
        <is>
          <t>No individual professional decision recorded; Source assignment -- not individually reviewed</t>
        </is>
      </c>
      <c r="G178" s="12" t="inlineStr">
        <is>
          <t>Not individually decided</t>
        </is>
      </c>
      <c r="H178" s="12" t="inlineStr">
        <is>
          <t xml:space="preserve">APPROVED / ONE_TO_ONE; </t>
        </is>
      </c>
      <c r="I178" s="12" t="inlineStr">
        <is>
          <t>New</t>
        </is>
      </c>
      <c r="J178" s="17" t="inlineStr">
        <is>
          <t>08 CROSSWALK</t>
        </is>
      </c>
    </row>
    <row r="179" ht="49" customHeight="1">
      <c r="A179" s="12" t="inlineStr">
        <is>
          <t>R12-v1</t>
        </is>
      </c>
      <c r="B179" s="12" t="inlineStr">
        <is>
          <t>Contractor Programme / SCH-01-012</t>
        </is>
      </c>
      <c r="C179" s="12" t="inlineStr">
        <is>
          <t>WBS Code = 1.1.2</t>
        </is>
      </c>
      <c r="D179" s="12" t="inlineStr">
        <is>
          <t>Proposed by Source assignment; target 1.1.2 Guideway and Civil - Utility &amp; Roadworks</t>
        </is>
      </c>
      <c r="E179" s="12" t="inlineStr">
        <is>
          <t>None recorded</t>
        </is>
      </c>
      <c r="F179" s="12" t="inlineStr">
        <is>
          <t>No individual professional decision recorded; Source assignment -- not individually reviewed</t>
        </is>
      </c>
      <c r="G179" s="12" t="inlineStr">
        <is>
          <t>Not individually decided</t>
        </is>
      </c>
      <c r="H179" s="12" t="inlineStr">
        <is>
          <t xml:space="preserve">APPROVED / ONE_TO_ONE; </t>
        </is>
      </c>
      <c r="I179" s="12" t="inlineStr">
        <is>
          <t>New</t>
        </is>
      </c>
      <c r="J179" s="17" t="inlineStr">
        <is>
          <t>08 CROSSWALK</t>
        </is>
      </c>
    </row>
    <row r="180" ht="49" customHeight="1">
      <c r="A180" s="12" t="inlineStr">
        <is>
          <t>R15-v1</t>
        </is>
      </c>
      <c r="B180" s="12" t="inlineStr">
        <is>
          <t>Contractor Programme / SCH-01-015</t>
        </is>
      </c>
      <c r="C180" s="12" t="inlineStr">
        <is>
          <t>WBS Code = 1.1.2</t>
        </is>
      </c>
      <c r="D180" s="12" t="inlineStr">
        <is>
          <t>Proposed by Source assignment; target 1.1.2 Guideway and Civil - Utility &amp; Roadworks</t>
        </is>
      </c>
      <c r="E180" s="12" t="inlineStr">
        <is>
          <t>None recorded</t>
        </is>
      </c>
      <c r="F180" s="12" t="inlineStr">
        <is>
          <t>No individual professional decision recorded; Source assignment -- not individually reviewed</t>
        </is>
      </c>
      <c r="G180" s="12" t="inlineStr">
        <is>
          <t>Not individually decided</t>
        </is>
      </c>
      <c r="H180" s="12" t="inlineStr">
        <is>
          <t xml:space="preserve">APPROVED / ONE_TO_ONE; </t>
        </is>
      </c>
      <c r="I180" s="12" t="inlineStr">
        <is>
          <t>New</t>
        </is>
      </c>
      <c r="J180" s="17" t="inlineStr">
        <is>
          <t>08 CROSSWALK</t>
        </is>
      </c>
    </row>
    <row r="181" ht="49" customHeight="1">
      <c r="A181" s="12" t="inlineStr">
        <is>
          <t>R18-v1</t>
        </is>
      </c>
      <c r="B181" s="12" t="inlineStr">
        <is>
          <t>Contractor Programme / SCH-01-018</t>
        </is>
      </c>
      <c r="C181" s="12" t="inlineStr">
        <is>
          <t>WBS Code = 1.1.2</t>
        </is>
      </c>
      <c r="D181" s="12" t="inlineStr">
        <is>
          <t>Proposed by Source assignment; target 1.1.2 Guideway and Civil - Utility &amp; Roadworks</t>
        </is>
      </c>
      <c r="E181" s="12" t="inlineStr">
        <is>
          <t>None recorded</t>
        </is>
      </c>
      <c r="F181" s="12" t="inlineStr">
        <is>
          <t>No individual professional decision recorded; Source assignment -- not individually reviewed</t>
        </is>
      </c>
      <c r="G181" s="12" t="inlineStr">
        <is>
          <t>Not individually decided</t>
        </is>
      </c>
      <c r="H181" s="12" t="inlineStr">
        <is>
          <t xml:space="preserve">APPROVED / ONE_TO_ONE; </t>
        </is>
      </c>
      <c r="I181" s="12" t="inlineStr">
        <is>
          <t>New</t>
        </is>
      </c>
      <c r="J181" s="17" t="inlineStr">
        <is>
          <t>08 CROSSWALK</t>
        </is>
      </c>
    </row>
    <row r="182" ht="49" customHeight="1">
      <c r="A182" s="12" t="inlineStr">
        <is>
          <t>R21-v1</t>
        </is>
      </c>
      <c r="B182" s="12" t="inlineStr">
        <is>
          <t>Contractor Programme / SCH-01-021</t>
        </is>
      </c>
      <c r="C182" s="12" t="inlineStr">
        <is>
          <t>WBS Code = 1.1.2</t>
        </is>
      </c>
      <c r="D182" s="12" t="inlineStr">
        <is>
          <t>Proposed by Source assignment; target 1.1.2 Guideway and Civil - Utility &amp; Roadworks</t>
        </is>
      </c>
      <c r="E182" s="12" t="inlineStr">
        <is>
          <t>None recorded</t>
        </is>
      </c>
      <c r="F182" s="12" t="inlineStr">
        <is>
          <t>No individual professional decision recorded; Source assignment -- not individually reviewed</t>
        </is>
      </c>
      <c r="G182" s="12" t="inlineStr">
        <is>
          <t>Not individually decided</t>
        </is>
      </c>
      <c r="H182" s="12" t="inlineStr">
        <is>
          <t xml:space="preserve">APPROVED / ONE_TO_ONE; </t>
        </is>
      </c>
      <c r="I182" s="12" t="inlineStr">
        <is>
          <t>New</t>
        </is>
      </c>
      <c r="J182" s="17" t="inlineStr">
        <is>
          <t>08 CROSSWALK</t>
        </is>
      </c>
    </row>
    <row r="183" ht="49" customHeight="1">
      <c r="A183" s="12" t="inlineStr">
        <is>
          <t>R24-v1</t>
        </is>
      </c>
      <c r="B183" s="12" t="inlineStr">
        <is>
          <t>Contractor Programme / SCH-01-024</t>
        </is>
      </c>
      <c r="C183" s="12" t="inlineStr">
        <is>
          <t>WBS Code = 1.1.2</t>
        </is>
      </c>
      <c r="D183" s="12" t="inlineStr">
        <is>
          <t>Proposed by Source assignment; target 1.1.2 Guideway and Civil - Utility &amp; Roadworks</t>
        </is>
      </c>
      <c r="E183" s="12" t="inlineStr">
        <is>
          <t>None recorded</t>
        </is>
      </c>
      <c r="F183" s="12" t="inlineStr">
        <is>
          <t>No individual professional decision recorded; Source assignment -- not individually reviewed</t>
        </is>
      </c>
      <c r="G183" s="12" t="inlineStr">
        <is>
          <t>Not individually decided</t>
        </is>
      </c>
      <c r="H183" s="12" t="inlineStr">
        <is>
          <t xml:space="preserve">APPROVED / ONE_TO_ONE; </t>
        </is>
      </c>
      <c r="I183" s="12" t="inlineStr">
        <is>
          <t>New</t>
        </is>
      </c>
      <c r="J183" s="17" t="inlineStr">
        <is>
          <t>08 CROSSWALK</t>
        </is>
      </c>
    </row>
    <row r="184" ht="49" customHeight="1">
      <c r="A184" s="12" t="inlineStr">
        <is>
          <t>R27-v1</t>
        </is>
      </c>
      <c r="B184" s="12" t="inlineStr">
        <is>
          <t>Contractor Programme / SCH-01-027</t>
        </is>
      </c>
      <c r="C184" s="12" t="inlineStr">
        <is>
          <t>WBS Code = 1.1.2</t>
        </is>
      </c>
      <c r="D184" s="12" t="inlineStr">
        <is>
          <t>Proposed by Source assignment; target 1.1.2 Guideway and Civil - Utility &amp; Roadworks</t>
        </is>
      </c>
      <c r="E184" s="12" t="inlineStr">
        <is>
          <t>None recorded</t>
        </is>
      </c>
      <c r="F184" s="12" t="inlineStr">
        <is>
          <t>No individual professional decision recorded; Source assignment -- not individually reviewed</t>
        </is>
      </c>
      <c r="G184" s="12" t="inlineStr">
        <is>
          <t>Not individually decided</t>
        </is>
      </c>
      <c r="H184" s="12" t="inlineStr">
        <is>
          <t xml:space="preserve">APPROVED / ONE_TO_ONE; </t>
        </is>
      </c>
      <c r="I184" s="12" t="inlineStr">
        <is>
          <t>New</t>
        </is>
      </c>
      <c r="J184" s="17" t="inlineStr">
        <is>
          <t>08 CROSSWALK</t>
        </is>
      </c>
    </row>
    <row r="185" ht="49" customHeight="1">
      <c r="A185" s="12" t="inlineStr">
        <is>
          <t>R30-v1</t>
        </is>
      </c>
      <c r="B185" s="12" t="inlineStr">
        <is>
          <t>Contractor Programme / SCH-01-030</t>
        </is>
      </c>
      <c r="C185" s="12" t="inlineStr">
        <is>
          <t>WBS Code = 1.1.2</t>
        </is>
      </c>
      <c r="D185" s="12" t="inlineStr">
        <is>
          <t>Proposed by Source assignment; target 1.1.2 Guideway and Civil - Utility &amp; Roadworks</t>
        </is>
      </c>
      <c r="E185" s="12" t="inlineStr">
        <is>
          <t>None recorded</t>
        </is>
      </c>
      <c r="F185" s="12" t="inlineStr">
        <is>
          <t>No individual professional decision recorded; Source assignment -- not individually reviewed</t>
        </is>
      </c>
      <c r="G185" s="12" t="inlineStr">
        <is>
          <t>Not individually decided</t>
        </is>
      </c>
      <c r="H185" s="12" t="inlineStr">
        <is>
          <t xml:space="preserve">APPROVED / ONE_TO_ONE; </t>
        </is>
      </c>
      <c r="I185" s="12" t="inlineStr">
        <is>
          <t>New</t>
        </is>
      </c>
      <c r="J185" s="17" t="inlineStr">
        <is>
          <t>08 CROSSWALK</t>
        </is>
      </c>
    </row>
    <row r="186" ht="49" customHeight="1">
      <c r="A186" s="12" t="inlineStr">
        <is>
          <t>R33-v1</t>
        </is>
      </c>
      <c r="B186" s="12" t="inlineStr">
        <is>
          <t>Contractor Programme / SCH-01-033</t>
        </is>
      </c>
      <c r="C186" s="12" t="inlineStr">
        <is>
          <t>WBS Code = 1.1.2</t>
        </is>
      </c>
      <c r="D186" s="12" t="inlineStr">
        <is>
          <t>Proposed by Source assignment; target 1.1.2 Guideway and Civil - Utility &amp; Roadworks</t>
        </is>
      </c>
      <c r="E186" s="12" t="inlineStr">
        <is>
          <t>None recorded</t>
        </is>
      </c>
      <c r="F186" s="12" t="inlineStr">
        <is>
          <t>No individual professional decision recorded; Source assignment -- not individually reviewed</t>
        </is>
      </c>
      <c r="G186" s="12" t="inlineStr">
        <is>
          <t>Not individually decided</t>
        </is>
      </c>
      <c r="H186" s="12" t="inlineStr">
        <is>
          <t xml:space="preserve">APPROVED / ONE_TO_ONE; </t>
        </is>
      </c>
      <c r="I186" s="12" t="inlineStr">
        <is>
          <t>New</t>
        </is>
      </c>
      <c r="J186" s="17" t="inlineStr">
        <is>
          <t>08 CROSSWALK</t>
        </is>
      </c>
    </row>
    <row r="187" ht="49" customHeight="1">
      <c r="A187" s="12" t="inlineStr">
        <is>
          <t>R36-v1</t>
        </is>
      </c>
      <c r="B187" s="12" t="inlineStr">
        <is>
          <t>Contractor Programme / SCH-01-036</t>
        </is>
      </c>
      <c r="C187" s="12" t="inlineStr">
        <is>
          <t>WBS Code = 1.1.2</t>
        </is>
      </c>
      <c r="D187" s="12" t="inlineStr">
        <is>
          <t>Proposed by Source assignment; target 1.1.2 Guideway and Civil - Utility &amp; Roadworks</t>
        </is>
      </c>
      <c r="E187" s="12" t="inlineStr">
        <is>
          <t>None recorded</t>
        </is>
      </c>
      <c r="F187" s="12" t="inlineStr">
        <is>
          <t>No individual professional decision recorded; Source assignment -- not individually reviewed</t>
        </is>
      </c>
      <c r="G187" s="12" t="inlineStr">
        <is>
          <t>Not individually decided</t>
        </is>
      </c>
      <c r="H187" s="12" t="inlineStr">
        <is>
          <t xml:space="preserve">APPROVED / ONE_TO_ONE; </t>
        </is>
      </c>
      <c r="I187" s="12" t="inlineStr">
        <is>
          <t>New</t>
        </is>
      </c>
      <c r="J187" s="17" t="inlineStr">
        <is>
          <t>08 CROSSWALK</t>
        </is>
      </c>
    </row>
    <row r="188" ht="49" customHeight="1">
      <c r="A188" s="12" t="inlineStr">
        <is>
          <t>R39-v1</t>
        </is>
      </c>
      <c r="B188" s="12" t="inlineStr">
        <is>
          <t>Contractor Programme / SCH-01-039</t>
        </is>
      </c>
      <c r="C188" s="12" t="inlineStr">
        <is>
          <t>WBS Code = 1.1.2</t>
        </is>
      </c>
      <c r="D188" s="12" t="inlineStr">
        <is>
          <t>Proposed by Source assignment; target 1.1.2 Guideway and Civil - Utility &amp; Roadworks</t>
        </is>
      </c>
      <c r="E188" s="12" t="inlineStr">
        <is>
          <t>None recorded</t>
        </is>
      </c>
      <c r="F188" s="12" t="inlineStr">
        <is>
          <t>No individual professional decision recorded; Source assignment -- not individually reviewed</t>
        </is>
      </c>
      <c r="G188" s="12" t="inlineStr">
        <is>
          <t>Not individually decided</t>
        </is>
      </c>
      <c r="H188" s="12" t="inlineStr">
        <is>
          <t xml:space="preserve">APPROVED / ONE_TO_ONE; </t>
        </is>
      </c>
      <c r="I188" s="12" t="inlineStr">
        <is>
          <t>New</t>
        </is>
      </c>
      <c r="J188" s="17" t="inlineStr">
        <is>
          <t>08 CROSSWALK</t>
        </is>
      </c>
    </row>
    <row r="189" ht="49" customHeight="1">
      <c r="A189" s="12" t="inlineStr">
        <is>
          <t>R42-v1</t>
        </is>
      </c>
      <c r="B189" s="12" t="inlineStr">
        <is>
          <t>Contractor Programme / SCH-01-042</t>
        </is>
      </c>
      <c r="C189" s="12" t="inlineStr">
        <is>
          <t>WBS Code = 1.1.2</t>
        </is>
      </c>
      <c r="D189" s="12" t="inlineStr">
        <is>
          <t>Proposed by Source assignment; target 1.1.2 Guideway and Civil - Utility &amp; Roadworks</t>
        </is>
      </c>
      <c r="E189" s="12" t="inlineStr">
        <is>
          <t>None recorded</t>
        </is>
      </c>
      <c r="F189" s="12" t="inlineStr">
        <is>
          <t>No individual professional decision recorded; Source assignment -- not individually reviewed</t>
        </is>
      </c>
      <c r="G189" s="12" t="inlineStr">
        <is>
          <t>Not individually decided</t>
        </is>
      </c>
      <c r="H189" s="12" t="inlineStr">
        <is>
          <t xml:space="preserve">APPROVED / ONE_TO_ONE; </t>
        </is>
      </c>
      <c r="I189" s="12" t="inlineStr">
        <is>
          <t>New</t>
        </is>
      </c>
      <c r="J189" s="17" t="inlineStr">
        <is>
          <t>08 CROSSWALK</t>
        </is>
      </c>
    </row>
    <row r="190" ht="49" customHeight="1">
      <c r="A190" s="12" t="inlineStr">
        <is>
          <t>R45-v1</t>
        </is>
      </c>
      <c r="B190" s="12" t="inlineStr">
        <is>
          <t>Contractor Programme / SCH-01-045</t>
        </is>
      </c>
      <c r="C190" s="12" t="inlineStr">
        <is>
          <t>WBS Code = 1.1.2</t>
        </is>
      </c>
      <c r="D190" s="12" t="inlineStr">
        <is>
          <t>Proposed by Source assignment; target 1.1.2 Guideway and Civil - Utility &amp; Roadworks</t>
        </is>
      </c>
      <c r="E190" s="12" t="inlineStr">
        <is>
          <t>None recorded</t>
        </is>
      </c>
      <c r="F190" s="12" t="inlineStr">
        <is>
          <t>No individual professional decision recorded; Source assignment -- not individually reviewed</t>
        </is>
      </c>
      <c r="G190" s="12" t="inlineStr">
        <is>
          <t>Not individually decided</t>
        </is>
      </c>
      <c r="H190" s="12" t="inlineStr">
        <is>
          <t xml:space="preserve">APPROVED / ONE_TO_ONE; </t>
        </is>
      </c>
      <c r="I190" s="12" t="inlineStr">
        <is>
          <t>New</t>
        </is>
      </c>
      <c r="J190" s="17" t="inlineStr">
        <is>
          <t>08 CROSSWALK</t>
        </is>
      </c>
    </row>
    <row r="191" ht="49" customHeight="1">
      <c r="A191" s="12" t="inlineStr">
        <is>
          <t>R48-v1</t>
        </is>
      </c>
      <c r="B191" s="12" t="inlineStr">
        <is>
          <t>Contractor Programme / SCH-01-048</t>
        </is>
      </c>
      <c r="C191" s="12" t="inlineStr">
        <is>
          <t>WBS Code = 1.1.2</t>
        </is>
      </c>
      <c r="D191" s="12" t="inlineStr">
        <is>
          <t>Proposed by Source assignment; target 1.1.2 Guideway and Civil - Utility &amp; Roadworks</t>
        </is>
      </c>
      <c r="E191" s="12" t="inlineStr">
        <is>
          <t>None recorded</t>
        </is>
      </c>
      <c r="F191" s="12" t="inlineStr">
        <is>
          <t>No individual professional decision recorded; Source assignment -- not individually reviewed</t>
        </is>
      </c>
      <c r="G191" s="12" t="inlineStr">
        <is>
          <t>Not individually decided</t>
        </is>
      </c>
      <c r="H191" s="12" t="inlineStr">
        <is>
          <t xml:space="preserve">APPROVED / ONE_TO_ONE; </t>
        </is>
      </c>
      <c r="I191" s="12" t="inlineStr">
        <is>
          <t>New</t>
        </is>
      </c>
      <c r="J191" s="17" t="inlineStr">
        <is>
          <t>08 CROSSWALK</t>
        </is>
      </c>
    </row>
    <row r="192" ht="49" customHeight="1">
      <c r="A192" s="12" t="inlineStr">
        <is>
          <t>R51-v1</t>
        </is>
      </c>
      <c r="B192" s="12" t="inlineStr">
        <is>
          <t>Contractor Programme / SCH-01-051</t>
        </is>
      </c>
      <c r="C192" s="12" t="inlineStr">
        <is>
          <t>WBS Code = 1.1.2</t>
        </is>
      </c>
      <c r="D192" s="12" t="inlineStr">
        <is>
          <t>Proposed by Source assignment; target 1.1.2 Guideway and Civil - Utility &amp; Roadworks</t>
        </is>
      </c>
      <c r="E192" s="12" t="inlineStr">
        <is>
          <t>None recorded</t>
        </is>
      </c>
      <c r="F192" s="12" t="inlineStr">
        <is>
          <t>No individual professional decision recorded; Source assignment -- not individually reviewed</t>
        </is>
      </c>
      <c r="G192" s="12" t="inlineStr">
        <is>
          <t>Not individually decided</t>
        </is>
      </c>
      <c r="H192" s="12" t="inlineStr">
        <is>
          <t xml:space="preserve">APPROVED / ONE_TO_ONE; </t>
        </is>
      </c>
      <c r="I192" s="12" t="inlineStr">
        <is>
          <t>New</t>
        </is>
      </c>
      <c r="J192" s="17" t="inlineStr">
        <is>
          <t>08 CROSSWALK</t>
        </is>
      </c>
    </row>
    <row r="193" ht="49" customHeight="1">
      <c r="A193" s="12" t="inlineStr">
        <is>
          <t>R54-v1</t>
        </is>
      </c>
      <c r="B193" s="12" t="inlineStr">
        <is>
          <t>Contractor Programme / SCH-01-054</t>
        </is>
      </c>
      <c r="C193" s="12" t="inlineStr">
        <is>
          <t>WBS Code = 1.1.2</t>
        </is>
      </c>
      <c r="D193" s="12" t="inlineStr">
        <is>
          <t>Proposed by Source assignment; target 1.1.2 Guideway and Civil - Utility &amp; Roadworks</t>
        </is>
      </c>
      <c r="E193" s="12" t="inlineStr">
        <is>
          <t>None recorded</t>
        </is>
      </c>
      <c r="F193" s="12" t="inlineStr">
        <is>
          <t>No individual professional decision recorded; Source assignment -- not individually reviewed</t>
        </is>
      </c>
      <c r="G193" s="12" t="inlineStr">
        <is>
          <t>Not individually decided</t>
        </is>
      </c>
      <c r="H193" s="12" t="inlineStr">
        <is>
          <t xml:space="preserve">APPROVED / ONE_TO_ONE; </t>
        </is>
      </c>
      <c r="I193" s="12" t="inlineStr">
        <is>
          <t>New</t>
        </is>
      </c>
      <c r="J193" s="17" t="inlineStr">
        <is>
          <t>08 CROSSWALK</t>
        </is>
      </c>
    </row>
    <row r="194" ht="49" customHeight="1">
      <c r="A194" s="12" t="inlineStr">
        <is>
          <t>R57-v1</t>
        </is>
      </c>
      <c r="B194" s="12" t="inlineStr">
        <is>
          <t>Contractor Programme / SCH-01-057</t>
        </is>
      </c>
      <c r="C194" s="12" t="inlineStr">
        <is>
          <t>WBS Code = 1.1.2</t>
        </is>
      </c>
      <c r="D194" s="12" t="inlineStr">
        <is>
          <t>Proposed by Source assignment; target 1.1.2 Guideway and Civil - Utility &amp; Roadworks</t>
        </is>
      </c>
      <c r="E194" s="12" t="inlineStr">
        <is>
          <t>None recorded</t>
        </is>
      </c>
      <c r="F194" s="12" t="inlineStr">
        <is>
          <t>No individual professional decision recorded; Source assignment -- not individually reviewed</t>
        </is>
      </c>
      <c r="G194" s="12" t="inlineStr">
        <is>
          <t>Not individually decided</t>
        </is>
      </c>
      <c r="H194" s="12" t="inlineStr">
        <is>
          <t xml:space="preserve">APPROVED / ONE_TO_ONE; </t>
        </is>
      </c>
      <c r="I194" s="12" t="inlineStr">
        <is>
          <t>New</t>
        </is>
      </c>
      <c r="J194" s="17" t="inlineStr">
        <is>
          <t>08 CROSSWALK</t>
        </is>
      </c>
    </row>
    <row r="195" ht="49" customHeight="1">
      <c r="A195" s="12" t="inlineStr">
        <is>
          <t>R60-v1</t>
        </is>
      </c>
      <c r="B195" s="12" t="inlineStr">
        <is>
          <t>Contractor Programme / SCH-01-060</t>
        </is>
      </c>
      <c r="C195" s="12" t="inlineStr">
        <is>
          <t>WBS Code = 1.1.2</t>
        </is>
      </c>
      <c r="D195" s="12" t="inlineStr">
        <is>
          <t>Proposed by Source assignment; target 1.1.2 Guideway and Civil - Utility &amp; Roadworks</t>
        </is>
      </c>
      <c r="E195" s="12" t="inlineStr">
        <is>
          <t>None recorded</t>
        </is>
      </c>
      <c r="F195" s="12" t="inlineStr">
        <is>
          <t>No individual professional decision recorded; Source assignment -- not individually reviewed</t>
        </is>
      </c>
      <c r="G195" s="12" t="inlineStr">
        <is>
          <t>Not individually decided</t>
        </is>
      </c>
      <c r="H195" s="12" t="inlineStr">
        <is>
          <t xml:space="preserve">APPROVED / ONE_TO_ONE; </t>
        </is>
      </c>
      <c r="I195" s="12" t="inlineStr">
        <is>
          <t>New</t>
        </is>
      </c>
      <c r="J195" s="17" t="inlineStr">
        <is>
          <t>08 CROSSWALK</t>
        </is>
      </c>
    </row>
    <row r="196" ht="49" customHeight="1">
      <c r="A196" s="12" t="inlineStr">
        <is>
          <t>R63-v1</t>
        </is>
      </c>
      <c r="B196" s="12" t="inlineStr">
        <is>
          <t>Contractor Programme / SCH-01-063</t>
        </is>
      </c>
      <c r="C196" s="12" t="inlineStr">
        <is>
          <t>WBS Code = 1.1.2</t>
        </is>
      </c>
      <c r="D196" s="12" t="inlineStr">
        <is>
          <t>Proposed by Source assignment; target 1.1.2 Guideway and Civil - Utility &amp; Roadworks</t>
        </is>
      </c>
      <c r="E196" s="12" t="inlineStr">
        <is>
          <t>None recorded</t>
        </is>
      </c>
      <c r="F196" s="12" t="inlineStr">
        <is>
          <t>No individual professional decision recorded; Source assignment -- not individually reviewed</t>
        </is>
      </c>
      <c r="G196" s="12" t="inlineStr">
        <is>
          <t>Not individually decided</t>
        </is>
      </c>
      <c r="H196" s="12" t="inlineStr">
        <is>
          <t xml:space="preserve">APPROVED / ONE_TO_ONE; </t>
        </is>
      </c>
      <c r="I196" s="12" t="inlineStr">
        <is>
          <t>New</t>
        </is>
      </c>
      <c r="J196" s="17" t="inlineStr">
        <is>
          <t>08 CROSSWALK</t>
        </is>
      </c>
    </row>
    <row r="197" ht="49" customHeight="1">
      <c r="A197" s="12" t="inlineStr">
        <is>
          <t>R66-v1</t>
        </is>
      </c>
      <c r="B197" s="12" t="inlineStr">
        <is>
          <t>Contractor Programme / SCH-01-066</t>
        </is>
      </c>
      <c r="C197" s="12" t="inlineStr">
        <is>
          <t>WBS Code = 1.1.2</t>
        </is>
      </c>
      <c r="D197" s="12" t="inlineStr">
        <is>
          <t>Proposed by Source assignment; target 1.1.2 Guideway and Civil - Utility &amp; Roadworks</t>
        </is>
      </c>
      <c r="E197" s="12" t="inlineStr">
        <is>
          <t>None recorded</t>
        </is>
      </c>
      <c r="F197" s="12" t="inlineStr">
        <is>
          <t>No individual professional decision recorded; Source assignment -- not individually reviewed</t>
        </is>
      </c>
      <c r="G197" s="12" t="inlineStr">
        <is>
          <t>Not individually decided</t>
        </is>
      </c>
      <c r="H197" s="12" t="inlineStr">
        <is>
          <t xml:space="preserve">APPROVED / ONE_TO_ONE; </t>
        </is>
      </c>
      <c r="I197" s="12" t="inlineStr">
        <is>
          <t>New</t>
        </is>
      </c>
      <c r="J197" s="17" t="inlineStr">
        <is>
          <t>08 CROSSWALK</t>
        </is>
      </c>
    </row>
    <row r="198" ht="49" customHeight="1">
      <c r="A198" s="12" t="inlineStr">
        <is>
          <t>R69-v1</t>
        </is>
      </c>
      <c r="B198" s="12" t="inlineStr">
        <is>
          <t>Contractor Programme / SCH-01-069</t>
        </is>
      </c>
      <c r="C198" s="12" t="inlineStr">
        <is>
          <t>WBS Code = 1.1.2</t>
        </is>
      </c>
      <c r="D198" s="12" t="inlineStr">
        <is>
          <t>Proposed by Source assignment; target 1.1.2 Guideway and Civil - Utility &amp; Roadworks</t>
        </is>
      </c>
      <c r="E198" s="12" t="inlineStr">
        <is>
          <t>None recorded</t>
        </is>
      </c>
      <c r="F198" s="12" t="inlineStr">
        <is>
          <t>No individual professional decision recorded; Source assignment -- not individually reviewed</t>
        </is>
      </c>
      <c r="G198" s="12" t="inlineStr">
        <is>
          <t>Not individually decided</t>
        </is>
      </c>
      <c r="H198" s="12" t="inlineStr">
        <is>
          <t xml:space="preserve">APPROVED / ONE_TO_ONE; </t>
        </is>
      </c>
      <c r="I198" s="12" t="inlineStr">
        <is>
          <t>New</t>
        </is>
      </c>
      <c r="J198" s="17" t="inlineStr">
        <is>
          <t>08 CROSSWALK</t>
        </is>
      </c>
    </row>
    <row r="199" ht="49" customHeight="1">
      <c r="A199" s="12" t="inlineStr">
        <is>
          <t>R72-v1</t>
        </is>
      </c>
      <c r="B199" s="12" t="inlineStr">
        <is>
          <t>Contractor Programme / SCH-01-072</t>
        </is>
      </c>
      <c r="C199" s="12" t="inlineStr">
        <is>
          <t>WBS Code = 1.1.2</t>
        </is>
      </c>
      <c r="D199" s="12" t="inlineStr">
        <is>
          <t>Proposed by Source assignment; target 1.1.2 Guideway and Civil - Utility &amp; Roadworks</t>
        </is>
      </c>
      <c r="E199" s="12" t="inlineStr">
        <is>
          <t>None recorded</t>
        </is>
      </c>
      <c r="F199" s="12" t="inlineStr">
        <is>
          <t>No individual professional decision recorded; Source assignment -- not individually reviewed</t>
        </is>
      </c>
      <c r="G199" s="12" t="inlineStr">
        <is>
          <t>Not individually decided</t>
        </is>
      </c>
      <c r="H199" s="12" t="inlineStr">
        <is>
          <t xml:space="preserve">APPROVED / ONE_TO_ONE; </t>
        </is>
      </c>
      <c r="I199" s="12" t="inlineStr">
        <is>
          <t>New</t>
        </is>
      </c>
      <c r="J199" s="17" t="inlineStr">
        <is>
          <t>08 CROSSWALK</t>
        </is>
      </c>
    </row>
    <row r="200" ht="49" customHeight="1">
      <c r="A200" s="12" t="inlineStr">
        <is>
          <t>R75-v1</t>
        </is>
      </c>
      <c r="B200" s="12" t="inlineStr">
        <is>
          <t>Contractor Programme / SCH-01-075</t>
        </is>
      </c>
      <c r="C200" s="12" t="inlineStr">
        <is>
          <t>WBS Code = 1.1.2</t>
        </is>
      </c>
      <c r="D200" s="12" t="inlineStr">
        <is>
          <t>Proposed by Source assignment; target 1.1.2 Guideway and Civil - Utility &amp; Roadworks</t>
        </is>
      </c>
      <c r="E200" s="12" t="inlineStr">
        <is>
          <t>None recorded</t>
        </is>
      </c>
      <c r="F200" s="12" t="inlineStr">
        <is>
          <t>No individual professional decision recorded; Source assignment -- not individually reviewed</t>
        </is>
      </c>
      <c r="G200" s="12" t="inlineStr">
        <is>
          <t>Not individually decided</t>
        </is>
      </c>
      <c r="H200" s="12" t="inlineStr">
        <is>
          <t xml:space="preserve">APPROVED / ONE_TO_ONE; </t>
        </is>
      </c>
      <c r="I200" s="12" t="inlineStr">
        <is>
          <t>New</t>
        </is>
      </c>
      <c r="J200" s="17" t="inlineStr">
        <is>
          <t>08 CROSSWALK</t>
        </is>
      </c>
    </row>
    <row r="201" ht="49" customHeight="1">
      <c r="A201" s="12" t="inlineStr">
        <is>
          <t>R78-v1</t>
        </is>
      </c>
      <c r="B201" s="12" t="inlineStr">
        <is>
          <t>Contractor Programme / SCH-01-078</t>
        </is>
      </c>
      <c r="C201" s="12" t="inlineStr">
        <is>
          <t>WBS Code = 1.1.2</t>
        </is>
      </c>
      <c r="D201" s="12" t="inlineStr">
        <is>
          <t>Proposed by Source assignment; target 1.1.2 Guideway and Civil - Utility &amp; Roadworks</t>
        </is>
      </c>
      <c r="E201" s="12" t="inlineStr">
        <is>
          <t>None recorded</t>
        </is>
      </c>
      <c r="F201" s="12" t="inlineStr">
        <is>
          <t>No individual professional decision recorded; Source assignment -- not individually reviewed</t>
        </is>
      </c>
      <c r="G201" s="12" t="inlineStr">
        <is>
          <t>Not individually decided</t>
        </is>
      </c>
      <c r="H201" s="12" t="inlineStr">
        <is>
          <t xml:space="preserve">APPROVED / ONE_TO_ONE; </t>
        </is>
      </c>
      <c r="I201" s="12" t="inlineStr">
        <is>
          <t>New</t>
        </is>
      </c>
      <c r="J201" s="17" t="inlineStr">
        <is>
          <t>08 CROSSWALK</t>
        </is>
      </c>
    </row>
    <row r="202" ht="49" customHeight="1">
      <c r="A202" s="12" t="inlineStr">
        <is>
          <t>R81-v1</t>
        </is>
      </c>
      <c r="B202" s="12" t="inlineStr">
        <is>
          <t>Contractor Programme / SCH-01-081</t>
        </is>
      </c>
      <c r="C202" s="12" t="inlineStr">
        <is>
          <t>WBS Code = 1.1.2</t>
        </is>
      </c>
      <c r="D202" s="12" t="inlineStr">
        <is>
          <t>Proposed by Source assignment; target 1.1.2 Guideway and Civil - Utility &amp; Roadworks</t>
        </is>
      </c>
      <c r="E202" s="12" t="inlineStr">
        <is>
          <t>None recorded</t>
        </is>
      </c>
      <c r="F202" s="12" t="inlineStr">
        <is>
          <t>No individual professional decision recorded; Source assignment -- not individually reviewed</t>
        </is>
      </c>
      <c r="G202" s="12" t="inlineStr">
        <is>
          <t>Not individually decided</t>
        </is>
      </c>
      <c r="H202" s="12" t="inlineStr">
        <is>
          <t xml:space="preserve">APPROVED / ONE_TO_ONE; </t>
        </is>
      </c>
      <c r="I202" s="12" t="inlineStr">
        <is>
          <t>New</t>
        </is>
      </c>
      <c r="J202" s="17" t="inlineStr">
        <is>
          <t>08 CROSSWALK</t>
        </is>
      </c>
    </row>
    <row r="203" ht="49" customHeight="1">
      <c r="A203" s="12" t="inlineStr">
        <is>
          <t>R84-v1</t>
        </is>
      </c>
      <c r="B203" s="12" t="inlineStr">
        <is>
          <t>Contractor Programme / SCH-01-084</t>
        </is>
      </c>
      <c r="C203" s="12" t="inlineStr">
        <is>
          <t>WBS Code = 1.1.2</t>
        </is>
      </c>
      <c r="D203" s="12" t="inlineStr">
        <is>
          <t>Proposed by Source assignment; target 1.1.2 Guideway and Civil - Utility &amp; Roadworks</t>
        </is>
      </c>
      <c r="E203" s="12" t="inlineStr">
        <is>
          <t>None recorded</t>
        </is>
      </c>
      <c r="F203" s="12" t="inlineStr">
        <is>
          <t>No individual professional decision recorded; Source assignment -- not individually reviewed</t>
        </is>
      </c>
      <c r="G203" s="12" t="inlineStr">
        <is>
          <t>Not individually decided</t>
        </is>
      </c>
      <c r="H203" s="12" t="inlineStr">
        <is>
          <t xml:space="preserve">APPROVED / ONE_TO_ONE; </t>
        </is>
      </c>
      <c r="I203" s="12" t="inlineStr">
        <is>
          <t>New</t>
        </is>
      </c>
      <c r="J203" s="17" t="inlineStr">
        <is>
          <t>08 CROSSWALK</t>
        </is>
      </c>
    </row>
    <row r="204" ht="49" customHeight="1">
      <c r="A204" s="12" t="inlineStr">
        <is>
          <t>R87-v1</t>
        </is>
      </c>
      <c r="B204" s="12" t="inlineStr">
        <is>
          <t>Contractor Programme / SCH-01-087</t>
        </is>
      </c>
      <c r="C204" s="12" t="inlineStr">
        <is>
          <t>WBS Code = 1.1.2</t>
        </is>
      </c>
      <c r="D204" s="12" t="inlineStr">
        <is>
          <t>Proposed by Source assignment; target 1.1.2 Guideway and Civil - Utility &amp; Roadworks</t>
        </is>
      </c>
      <c r="E204" s="12" t="inlineStr">
        <is>
          <t>None recorded</t>
        </is>
      </c>
      <c r="F204" s="12" t="inlineStr">
        <is>
          <t>No individual professional decision recorded; Source assignment -- not individually reviewed</t>
        </is>
      </c>
      <c r="G204" s="12" t="inlineStr">
        <is>
          <t>Not individually decided</t>
        </is>
      </c>
      <c r="H204" s="12" t="inlineStr">
        <is>
          <t xml:space="preserve">APPROVED / ONE_TO_ONE; </t>
        </is>
      </c>
      <c r="I204" s="12" t="inlineStr">
        <is>
          <t>New</t>
        </is>
      </c>
      <c r="J204" s="17" t="inlineStr">
        <is>
          <t>08 CROSSWALK</t>
        </is>
      </c>
    </row>
    <row r="205" ht="49" customHeight="1">
      <c r="A205" s="12" t="inlineStr">
        <is>
          <t>R90-v1</t>
        </is>
      </c>
      <c r="B205" s="12" t="inlineStr">
        <is>
          <t>Contractor Programme / SCH-01-090</t>
        </is>
      </c>
      <c r="C205" s="12" t="inlineStr">
        <is>
          <t>WBS Code = 1.1.2</t>
        </is>
      </c>
      <c r="D205" s="12" t="inlineStr">
        <is>
          <t>Proposed by Source assignment; target 1.1.2 Guideway and Civil - Utility &amp; Roadworks</t>
        </is>
      </c>
      <c r="E205" s="12" t="inlineStr">
        <is>
          <t>None recorded</t>
        </is>
      </c>
      <c r="F205" s="12" t="inlineStr">
        <is>
          <t>No individual professional decision recorded; Source assignment -- not individually reviewed</t>
        </is>
      </c>
      <c r="G205" s="12" t="inlineStr">
        <is>
          <t>Not individually decided</t>
        </is>
      </c>
      <c r="H205" s="12" t="inlineStr">
        <is>
          <t xml:space="preserve">APPROVED / ONE_TO_ONE; </t>
        </is>
      </c>
      <c r="I205" s="12" t="inlineStr">
        <is>
          <t>New</t>
        </is>
      </c>
      <c r="J205" s="17" t="inlineStr">
        <is>
          <t>08 CROSSWALK</t>
        </is>
      </c>
    </row>
    <row r="206" ht="49" customHeight="1">
      <c r="A206" s="12" t="inlineStr">
        <is>
          <t>R93-v1</t>
        </is>
      </c>
      <c r="B206" s="12" t="inlineStr">
        <is>
          <t>Contractor Programme / SCH-01-093</t>
        </is>
      </c>
      <c r="C206" s="12" t="inlineStr">
        <is>
          <t>WBS Code = 1.1.2</t>
        </is>
      </c>
      <c r="D206" s="12" t="inlineStr">
        <is>
          <t>Proposed by Source assignment; target 1.1.2 Guideway and Civil - Utility &amp; Roadworks</t>
        </is>
      </c>
      <c r="E206" s="12" t="inlineStr">
        <is>
          <t>None recorded</t>
        </is>
      </c>
      <c r="F206" s="12" t="inlineStr">
        <is>
          <t>No individual professional decision recorded; Source assignment -- not individually reviewed</t>
        </is>
      </c>
      <c r="G206" s="12" t="inlineStr">
        <is>
          <t>Not individually decided</t>
        </is>
      </c>
      <c r="H206" s="12" t="inlineStr">
        <is>
          <t xml:space="preserve">APPROVED / ONE_TO_ONE; </t>
        </is>
      </c>
      <c r="I206" s="12" t="inlineStr">
        <is>
          <t>New</t>
        </is>
      </c>
      <c r="J206" s="17" t="inlineStr">
        <is>
          <t>08 CROSSWALK</t>
        </is>
      </c>
    </row>
    <row r="207" ht="49" customHeight="1">
      <c r="A207" s="12" t="inlineStr">
        <is>
          <t>R96-v1</t>
        </is>
      </c>
      <c r="B207" s="12" t="inlineStr">
        <is>
          <t>Contractor Programme / SCH-01-096</t>
        </is>
      </c>
      <c r="C207" s="12" t="inlineStr">
        <is>
          <t>WBS Code = 1.1.2</t>
        </is>
      </c>
      <c r="D207" s="12" t="inlineStr">
        <is>
          <t>Proposed by Source assignment; target 1.1.2 Guideway and Civil - Utility &amp; Roadworks</t>
        </is>
      </c>
      <c r="E207" s="12" t="inlineStr">
        <is>
          <t>None recorded</t>
        </is>
      </c>
      <c r="F207" s="12" t="inlineStr">
        <is>
          <t>No individual professional decision recorded; Source assignment -- not individually reviewed</t>
        </is>
      </c>
      <c r="G207" s="12" t="inlineStr">
        <is>
          <t>Not individually decided</t>
        </is>
      </c>
      <c r="H207" s="12" t="inlineStr">
        <is>
          <t xml:space="preserve">APPROVED / ONE_TO_ONE; </t>
        </is>
      </c>
      <c r="I207" s="12" t="inlineStr">
        <is>
          <t>New</t>
        </is>
      </c>
      <c r="J207" s="17" t="inlineStr">
        <is>
          <t>08 CROSSWALK</t>
        </is>
      </c>
    </row>
    <row r="208" ht="49" customHeight="1">
      <c r="A208" s="12" t="inlineStr">
        <is>
          <t>R99-v1</t>
        </is>
      </c>
      <c r="B208" s="12" t="inlineStr">
        <is>
          <t>Contractor Programme / SCH-01-099</t>
        </is>
      </c>
      <c r="C208" s="12" t="inlineStr">
        <is>
          <t>WBS Code = 1.1.2</t>
        </is>
      </c>
      <c r="D208" s="12" t="inlineStr">
        <is>
          <t>Proposed by Source assignment; target 1.1.2 Guideway and Civil - Utility &amp; Roadworks</t>
        </is>
      </c>
      <c r="E208" s="12" t="inlineStr">
        <is>
          <t>None recorded</t>
        </is>
      </c>
      <c r="F208" s="12" t="inlineStr">
        <is>
          <t>No individual professional decision recorded; Source assignment -- not individually reviewed</t>
        </is>
      </c>
      <c r="G208" s="12" t="inlineStr">
        <is>
          <t>Not individually decided</t>
        </is>
      </c>
      <c r="H208" s="12" t="inlineStr">
        <is>
          <t xml:space="preserve">APPROVED / ONE_TO_ONE; </t>
        </is>
      </c>
      <c r="I208" s="12" t="inlineStr">
        <is>
          <t>New</t>
        </is>
      </c>
      <c r="J208" s="17" t="inlineStr">
        <is>
          <t>08 CROSSWALK</t>
        </is>
      </c>
    </row>
    <row r="209" ht="49" customHeight="1">
      <c r="A209" s="12" t="inlineStr">
        <is>
          <t>R102-v1</t>
        </is>
      </c>
      <c r="B209" s="12" t="inlineStr">
        <is>
          <t>Contractor Programme / SCH-01-102</t>
        </is>
      </c>
      <c r="C209" s="12" t="inlineStr">
        <is>
          <t>WBS Code = 1.1.2</t>
        </is>
      </c>
      <c r="D209" s="12" t="inlineStr">
        <is>
          <t>Proposed by Source assignment; target 1.1.2 Guideway and Civil - Utility &amp; Roadworks</t>
        </is>
      </c>
      <c r="E209" s="12" t="inlineStr">
        <is>
          <t>None recorded</t>
        </is>
      </c>
      <c r="F209" s="12" t="inlineStr">
        <is>
          <t>No individual professional decision recorded; Source assignment -- not individually reviewed</t>
        </is>
      </c>
      <c r="G209" s="12" t="inlineStr">
        <is>
          <t>Not individually decided</t>
        </is>
      </c>
      <c r="H209" s="12" t="inlineStr">
        <is>
          <t xml:space="preserve">APPROVED / ONE_TO_ONE; </t>
        </is>
      </c>
      <c r="I209" s="12" t="inlineStr">
        <is>
          <t>New</t>
        </is>
      </c>
      <c r="J209" s="17" t="inlineStr">
        <is>
          <t>08 CROSSWALK</t>
        </is>
      </c>
    </row>
    <row r="210" ht="49" customHeight="1">
      <c r="A210" s="12" t="inlineStr">
        <is>
          <t>R105-v1</t>
        </is>
      </c>
      <c r="B210" s="12" t="inlineStr">
        <is>
          <t>Contractor Programme / SCH-01-105</t>
        </is>
      </c>
      <c r="C210" s="12" t="inlineStr">
        <is>
          <t>WBS Code = 1.1.2</t>
        </is>
      </c>
      <c r="D210" s="12" t="inlineStr">
        <is>
          <t>Proposed by Source assignment; target 1.1.2 Guideway and Civil - Utility &amp; Roadworks</t>
        </is>
      </c>
      <c r="E210" s="12" t="inlineStr">
        <is>
          <t>None recorded</t>
        </is>
      </c>
      <c r="F210" s="12" t="inlineStr">
        <is>
          <t>No individual professional decision recorded; Source assignment -- not individually reviewed</t>
        </is>
      </c>
      <c r="G210" s="12" t="inlineStr">
        <is>
          <t>Not individually decided</t>
        </is>
      </c>
      <c r="H210" s="12" t="inlineStr">
        <is>
          <t xml:space="preserve">APPROVED / ONE_TO_ONE; </t>
        </is>
      </c>
      <c r="I210" s="12" t="inlineStr">
        <is>
          <t>New</t>
        </is>
      </c>
      <c r="J210" s="17" t="inlineStr">
        <is>
          <t>08 CROSSWALK</t>
        </is>
      </c>
    </row>
    <row r="211" ht="49" customHeight="1">
      <c r="A211" s="12" t="inlineStr">
        <is>
          <t>R108-v1</t>
        </is>
      </c>
      <c r="B211" s="12" t="inlineStr">
        <is>
          <t>Contractor Programme / SCH-01-108</t>
        </is>
      </c>
      <c r="C211" s="12" t="inlineStr">
        <is>
          <t>WBS Code = 1.1.2</t>
        </is>
      </c>
      <c r="D211" s="12" t="inlineStr">
        <is>
          <t>Proposed by Source assignment; target 1.1.2 Guideway and Civil - Utility &amp; Roadworks</t>
        </is>
      </c>
      <c r="E211" s="12" t="inlineStr">
        <is>
          <t>None recorded</t>
        </is>
      </c>
      <c r="F211" s="12" t="inlineStr">
        <is>
          <t>No individual professional decision recorded; Source assignment -- not individually reviewed</t>
        </is>
      </c>
      <c r="G211" s="12" t="inlineStr">
        <is>
          <t>Not individually decided</t>
        </is>
      </c>
      <c r="H211" s="12" t="inlineStr">
        <is>
          <t xml:space="preserve">APPROVED / ONE_TO_ONE; </t>
        </is>
      </c>
      <c r="I211" s="12" t="inlineStr">
        <is>
          <t>New</t>
        </is>
      </c>
      <c r="J211" s="17" t="inlineStr">
        <is>
          <t>08 CROSSWALK</t>
        </is>
      </c>
    </row>
    <row r="212" ht="49" customHeight="1">
      <c r="A212" s="12" t="inlineStr">
        <is>
          <t>R111-v1</t>
        </is>
      </c>
      <c r="B212" s="12" t="inlineStr">
        <is>
          <t>Contractor Programme / SCH-01-111</t>
        </is>
      </c>
      <c r="C212" s="12" t="inlineStr">
        <is>
          <t>WBS Code = 1.1.2</t>
        </is>
      </c>
      <c r="D212" s="12" t="inlineStr">
        <is>
          <t>Proposed by Source assignment; target 1.1.2 Guideway and Civil - Utility &amp; Roadworks</t>
        </is>
      </c>
      <c r="E212" s="12" t="inlineStr">
        <is>
          <t>None recorded</t>
        </is>
      </c>
      <c r="F212" s="12" t="inlineStr">
        <is>
          <t>No individual professional decision recorded; Source assignment -- not individually reviewed</t>
        </is>
      </c>
      <c r="G212" s="12" t="inlineStr">
        <is>
          <t>Not individually decided</t>
        </is>
      </c>
      <c r="H212" s="12" t="inlineStr">
        <is>
          <t xml:space="preserve">APPROVED / ONE_TO_ONE; </t>
        </is>
      </c>
      <c r="I212" s="12" t="inlineStr">
        <is>
          <t>New</t>
        </is>
      </c>
      <c r="J212" s="17" t="inlineStr">
        <is>
          <t>08 CROSSWALK</t>
        </is>
      </c>
    </row>
    <row r="213" ht="49" customHeight="1">
      <c r="A213" s="12" t="inlineStr">
        <is>
          <t>R114-v1</t>
        </is>
      </c>
      <c r="B213" s="12" t="inlineStr">
        <is>
          <t>Contractor Programme / SCH-01-114</t>
        </is>
      </c>
      <c r="C213" s="12" t="inlineStr">
        <is>
          <t>WBS Code = 1.1.2</t>
        </is>
      </c>
      <c r="D213" s="12" t="inlineStr">
        <is>
          <t>Proposed by Source assignment; target 1.1.2 Guideway and Civil - Utility &amp; Roadworks</t>
        </is>
      </c>
      <c r="E213" s="12" t="inlineStr">
        <is>
          <t>None recorded</t>
        </is>
      </c>
      <c r="F213" s="12" t="inlineStr">
        <is>
          <t>No individual professional decision recorded; Source assignment -- not individually reviewed</t>
        </is>
      </c>
      <c r="G213" s="12" t="inlineStr">
        <is>
          <t>Not individually decided</t>
        </is>
      </c>
      <c r="H213" s="12" t="inlineStr">
        <is>
          <t xml:space="preserve">APPROVED / ONE_TO_ONE; </t>
        </is>
      </c>
      <c r="I213" s="12" t="inlineStr">
        <is>
          <t>New</t>
        </is>
      </c>
      <c r="J213" s="17" t="inlineStr">
        <is>
          <t>08 CROSSWALK</t>
        </is>
      </c>
    </row>
    <row r="214" ht="49" customHeight="1">
      <c r="A214" s="12" t="inlineStr">
        <is>
          <t>R117-v1</t>
        </is>
      </c>
      <c r="B214" s="12" t="inlineStr">
        <is>
          <t>Contractor Programme / SCH-01-117</t>
        </is>
      </c>
      <c r="C214" s="12" t="inlineStr">
        <is>
          <t>WBS Code = 1.1.2</t>
        </is>
      </c>
      <c r="D214" s="12" t="inlineStr">
        <is>
          <t>Proposed by Source assignment; target 1.1.2 Guideway and Civil - Utility &amp; Roadworks</t>
        </is>
      </c>
      <c r="E214" s="12" t="inlineStr">
        <is>
          <t>None recorded</t>
        </is>
      </c>
      <c r="F214" s="12" t="inlineStr">
        <is>
          <t>No individual professional decision recorded; Source assignment -- not individually reviewed</t>
        </is>
      </c>
      <c r="G214" s="12" t="inlineStr">
        <is>
          <t>Not individually decided</t>
        </is>
      </c>
      <c r="H214" s="12" t="inlineStr">
        <is>
          <t xml:space="preserve">APPROVED / ONE_TO_ONE; </t>
        </is>
      </c>
      <c r="I214" s="12" t="inlineStr">
        <is>
          <t>New</t>
        </is>
      </c>
      <c r="J214" s="17" t="inlineStr">
        <is>
          <t>08 CROSSWALK</t>
        </is>
      </c>
    </row>
    <row r="215" ht="49" customHeight="1">
      <c r="A215" s="12" t="inlineStr">
        <is>
          <t>R120-v1</t>
        </is>
      </c>
      <c r="B215" s="12" t="inlineStr">
        <is>
          <t>Contractor Programme / SCH-01-120</t>
        </is>
      </c>
      <c r="C215" s="12" t="inlineStr">
        <is>
          <t>WBS Code = 1.1.2</t>
        </is>
      </c>
      <c r="D215" s="12" t="inlineStr">
        <is>
          <t>Proposed by Source assignment; target 1.1.2 Guideway and Civil - Utility &amp; Roadworks</t>
        </is>
      </c>
      <c r="E215" s="12" t="inlineStr">
        <is>
          <t>None recorded</t>
        </is>
      </c>
      <c r="F215" s="12" t="inlineStr">
        <is>
          <t>No individual professional decision recorded; Source assignment -- not individually reviewed</t>
        </is>
      </c>
      <c r="G215" s="12" t="inlineStr">
        <is>
          <t>Not individually decided</t>
        </is>
      </c>
      <c r="H215" s="12" t="inlineStr">
        <is>
          <t xml:space="preserve">APPROVED / ONE_TO_ONE; </t>
        </is>
      </c>
      <c r="I215" s="12" t="inlineStr">
        <is>
          <t>New</t>
        </is>
      </c>
      <c r="J215" s="17" t="inlineStr">
        <is>
          <t>08 CROSSWALK</t>
        </is>
      </c>
    </row>
    <row r="216" ht="49" customHeight="1">
      <c r="A216" s="12" t="inlineStr">
        <is>
          <t>R123-v1</t>
        </is>
      </c>
      <c r="B216" s="12" t="inlineStr">
        <is>
          <t>Contractor Programme / SCH-01-123</t>
        </is>
      </c>
      <c r="C216" s="12" t="inlineStr">
        <is>
          <t>WBS Code = 1.1.2</t>
        </is>
      </c>
      <c r="D216" s="12" t="inlineStr">
        <is>
          <t>Proposed by Source assignment; target 1.1.2 Guideway and Civil - Utility &amp; Roadworks</t>
        </is>
      </c>
      <c r="E216" s="12" t="inlineStr">
        <is>
          <t>None recorded</t>
        </is>
      </c>
      <c r="F216" s="12" t="inlineStr">
        <is>
          <t>No individual professional decision recorded; Source assignment -- not individually reviewed</t>
        </is>
      </c>
      <c r="G216" s="12" t="inlineStr">
        <is>
          <t>Not individually decided</t>
        </is>
      </c>
      <c r="H216" s="12" t="inlineStr">
        <is>
          <t xml:space="preserve">APPROVED / ONE_TO_ONE; </t>
        </is>
      </c>
      <c r="I216" s="12" t="inlineStr">
        <is>
          <t>New</t>
        </is>
      </c>
      <c r="J216" s="17" t="inlineStr">
        <is>
          <t>08 CROSSWALK</t>
        </is>
      </c>
    </row>
    <row r="217" ht="49" customHeight="1">
      <c r="A217" s="12" t="inlineStr">
        <is>
          <t>R126-v1</t>
        </is>
      </c>
      <c r="B217" s="12" t="inlineStr">
        <is>
          <t>Contractor Programme / SCH-01-126</t>
        </is>
      </c>
      <c r="C217" s="12" t="inlineStr">
        <is>
          <t>WBS Code = 1.1.2</t>
        </is>
      </c>
      <c r="D217" s="12" t="inlineStr">
        <is>
          <t>Proposed by Source assignment; target 1.1.2 Guideway and Civil - Utility &amp; Roadworks</t>
        </is>
      </c>
      <c r="E217" s="12" t="inlineStr">
        <is>
          <t>None recorded</t>
        </is>
      </c>
      <c r="F217" s="12" t="inlineStr">
        <is>
          <t>No individual professional decision recorded; Source assignment -- not individually reviewed</t>
        </is>
      </c>
      <c r="G217" s="12" t="inlineStr">
        <is>
          <t>Not individually decided</t>
        </is>
      </c>
      <c r="H217" s="12" t="inlineStr">
        <is>
          <t xml:space="preserve">APPROVED / ONE_TO_ONE; </t>
        </is>
      </c>
      <c r="I217" s="12" t="inlineStr">
        <is>
          <t>New</t>
        </is>
      </c>
      <c r="J217" s="17" t="inlineStr">
        <is>
          <t>08 CROSSWALK</t>
        </is>
      </c>
    </row>
    <row r="218" ht="49" customHeight="1">
      <c r="A218" s="12" t="inlineStr">
        <is>
          <t>R129-v1</t>
        </is>
      </c>
      <c r="B218" s="12" t="inlineStr">
        <is>
          <t>Contractor Programme / SCH-01-129</t>
        </is>
      </c>
      <c r="C218" s="12" t="inlineStr">
        <is>
          <t>WBS Code = 1.1.2</t>
        </is>
      </c>
      <c r="D218" s="12" t="inlineStr">
        <is>
          <t>Proposed by Source assignment; target 1.1.2 Guideway and Civil - Utility &amp; Roadworks</t>
        </is>
      </c>
      <c r="E218" s="12" t="inlineStr">
        <is>
          <t>None recorded</t>
        </is>
      </c>
      <c r="F218" s="12" t="inlineStr">
        <is>
          <t>No individual professional decision recorded; Source assignment -- not individually reviewed</t>
        </is>
      </c>
      <c r="G218" s="12" t="inlineStr">
        <is>
          <t>Not individually decided</t>
        </is>
      </c>
      <c r="H218" s="12" t="inlineStr">
        <is>
          <t xml:space="preserve">APPROVED / ONE_TO_ONE; </t>
        </is>
      </c>
      <c r="I218" s="12" t="inlineStr">
        <is>
          <t>New</t>
        </is>
      </c>
      <c r="J218" s="17" t="inlineStr">
        <is>
          <t>08 CROSSWALK</t>
        </is>
      </c>
    </row>
    <row r="219" ht="49" customHeight="1">
      <c r="A219" s="12" t="inlineStr">
        <is>
          <t>R132-v1</t>
        </is>
      </c>
      <c r="B219" s="12" t="inlineStr">
        <is>
          <t>Contractor Programme / SCH-01-132</t>
        </is>
      </c>
      <c r="C219" s="12" t="inlineStr">
        <is>
          <t>WBS Code = 1.1.2</t>
        </is>
      </c>
      <c r="D219" s="12" t="inlineStr">
        <is>
          <t>Proposed by Source assignment; target 1.1.2 Guideway and Civil - Utility &amp; Roadworks</t>
        </is>
      </c>
      <c r="E219" s="12" t="inlineStr">
        <is>
          <t>None recorded</t>
        </is>
      </c>
      <c r="F219" s="12" t="inlineStr">
        <is>
          <t>No individual professional decision recorded; Source assignment -- not individually reviewed</t>
        </is>
      </c>
      <c r="G219" s="12" t="inlineStr">
        <is>
          <t>Not individually decided</t>
        </is>
      </c>
      <c r="H219" s="12" t="inlineStr">
        <is>
          <t xml:space="preserve">APPROVED / ONE_TO_ONE; </t>
        </is>
      </c>
      <c r="I219" s="12" t="inlineStr">
        <is>
          <t>New</t>
        </is>
      </c>
      <c r="J219" s="17" t="inlineStr">
        <is>
          <t>08 CROSSWALK</t>
        </is>
      </c>
    </row>
    <row r="220" ht="49" customHeight="1">
      <c r="A220" s="12" t="inlineStr">
        <is>
          <t>R135-v1</t>
        </is>
      </c>
      <c r="B220" s="12" t="inlineStr">
        <is>
          <t>Contractor Programme / SCH-01-135</t>
        </is>
      </c>
      <c r="C220" s="12" t="inlineStr">
        <is>
          <t>WBS Code = 1.1.2</t>
        </is>
      </c>
      <c r="D220" s="12" t="inlineStr">
        <is>
          <t>Proposed by Source assignment; target 1.1.2 Guideway and Civil - Utility &amp; Roadworks</t>
        </is>
      </c>
      <c r="E220" s="12" t="inlineStr">
        <is>
          <t>None recorded</t>
        </is>
      </c>
      <c r="F220" s="12" t="inlineStr">
        <is>
          <t>No individual professional decision recorded; Source assignment -- not individually reviewed</t>
        </is>
      </c>
      <c r="G220" s="12" t="inlineStr">
        <is>
          <t>Not individually decided</t>
        </is>
      </c>
      <c r="H220" s="12" t="inlineStr">
        <is>
          <t xml:space="preserve">APPROVED / ONE_TO_ONE; </t>
        </is>
      </c>
      <c r="I220" s="12" t="inlineStr">
        <is>
          <t>New</t>
        </is>
      </c>
      <c r="J220" s="17" t="inlineStr">
        <is>
          <t>08 CROSSWALK</t>
        </is>
      </c>
    </row>
    <row r="221" ht="49" customHeight="1">
      <c r="A221" s="12" t="inlineStr">
        <is>
          <t>R138-v1</t>
        </is>
      </c>
      <c r="B221" s="12" t="inlineStr">
        <is>
          <t>Contractor Programme / SCH-01-138</t>
        </is>
      </c>
      <c r="C221" s="12" t="inlineStr">
        <is>
          <t>WBS Code = 1.1.2</t>
        </is>
      </c>
      <c r="D221" s="12" t="inlineStr">
        <is>
          <t>Proposed by Source assignment; target 1.1.2 Guideway and Civil - Utility &amp; Roadworks</t>
        </is>
      </c>
      <c r="E221" s="12" t="inlineStr">
        <is>
          <t>None recorded</t>
        </is>
      </c>
      <c r="F221" s="12" t="inlineStr">
        <is>
          <t>No individual professional decision recorded; Source assignment -- not individually reviewed</t>
        </is>
      </c>
      <c r="G221" s="12" t="inlineStr">
        <is>
          <t>Not individually decided</t>
        </is>
      </c>
      <c r="H221" s="12" t="inlineStr">
        <is>
          <t xml:space="preserve">APPROVED / ONE_TO_ONE; </t>
        </is>
      </c>
      <c r="I221" s="12" t="inlineStr">
        <is>
          <t>New</t>
        </is>
      </c>
      <c r="J221" s="17" t="inlineStr">
        <is>
          <t>08 CROSSWALK</t>
        </is>
      </c>
    </row>
    <row r="222" ht="49" customHeight="1">
      <c r="A222" s="12" t="inlineStr">
        <is>
          <t>R141-v1</t>
        </is>
      </c>
      <c r="B222" s="12" t="inlineStr">
        <is>
          <t>Contractor Programme / SCH-01-141</t>
        </is>
      </c>
      <c r="C222" s="12" t="inlineStr">
        <is>
          <t>WBS Code = 1.1.2</t>
        </is>
      </c>
      <c r="D222" s="12" t="inlineStr">
        <is>
          <t>Proposed by Source assignment; target 1.1.2 Guideway and Civil - Utility &amp; Roadworks</t>
        </is>
      </c>
      <c r="E222" s="12" t="inlineStr">
        <is>
          <t>None recorded</t>
        </is>
      </c>
      <c r="F222" s="12" t="inlineStr">
        <is>
          <t>No individual professional decision recorded; Source assignment -- not individually reviewed</t>
        </is>
      </c>
      <c r="G222" s="12" t="inlineStr">
        <is>
          <t>Not individually decided</t>
        </is>
      </c>
      <c r="H222" s="12" t="inlineStr">
        <is>
          <t xml:space="preserve">APPROVED / ONE_TO_ONE; </t>
        </is>
      </c>
      <c r="I222" s="12" t="inlineStr">
        <is>
          <t>New</t>
        </is>
      </c>
      <c r="J222" s="17" t="inlineStr">
        <is>
          <t>08 CROSSWALK</t>
        </is>
      </c>
    </row>
    <row r="223" ht="49" customHeight="1">
      <c r="A223" s="12" t="inlineStr">
        <is>
          <t>R144-v1</t>
        </is>
      </c>
      <c r="B223" s="12" t="inlineStr">
        <is>
          <t>Contractor Programme / SCH-01-144</t>
        </is>
      </c>
      <c r="C223" s="12" t="inlineStr">
        <is>
          <t>WBS Code = 1.1.2</t>
        </is>
      </c>
      <c r="D223" s="12" t="inlineStr">
        <is>
          <t>Proposed by Source assignment; target 1.1.2 Guideway and Civil - Utility &amp; Roadworks</t>
        </is>
      </c>
      <c r="E223" s="12" t="inlineStr">
        <is>
          <t>None recorded</t>
        </is>
      </c>
      <c r="F223" s="12" t="inlineStr">
        <is>
          <t>No individual professional decision recorded; Source assignment -- not individually reviewed</t>
        </is>
      </c>
      <c r="G223" s="12" t="inlineStr">
        <is>
          <t>Not individually decided</t>
        </is>
      </c>
      <c r="H223" s="12" t="inlineStr">
        <is>
          <t xml:space="preserve">APPROVED / ONE_TO_ONE; </t>
        </is>
      </c>
      <c r="I223" s="12" t="inlineStr">
        <is>
          <t>New</t>
        </is>
      </c>
      <c r="J223" s="17" t="inlineStr">
        <is>
          <t>08 CROSSWALK</t>
        </is>
      </c>
    </row>
    <row r="224" ht="49" customHeight="1">
      <c r="A224" s="12" t="inlineStr">
        <is>
          <t>R147-v1</t>
        </is>
      </c>
      <c r="B224" s="12" t="inlineStr">
        <is>
          <t>Contractor Programme / SCH-01-147</t>
        </is>
      </c>
      <c r="C224" s="12" t="inlineStr">
        <is>
          <t>WBS Code = 1.1.2</t>
        </is>
      </c>
      <c r="D224" s="12" t="inlineStr">
        <is>
          <t>Proposed by Source assignment; target 1.1.2 Guideway and Civil - Utility &amp; Roadworks</t>
        </is>
      </c>
      <c r="E224" s="12" t="inlineStr">
        <is>
          <t>None recorded</t>
        </is>
      </c>
      <c r="F224" s="12" t="inlineStr">
        <is>
          <t>No individual professional decision recorded; Source assignment -- not individually reviewed</t>
        </is>
      </c>
      <c r="G224" s="12" t="inlineStr">
        <is>
          <t>Not individually decided</t>
        </is>
      </c>
      <c r="H224" s="12" t="inlineStr">
        <is>
          <t xml:space="preserve">APPROVED / ONE_TO_ONE; </t>
        </is>
      </c>
      <c r="I224" s="12" t="inlineStr">
        <is>
          <t>New</t>
        </is>
      </c>
      <c r="J224" s="17" t="inlineStr">
        <is>
          <t>08 CROSSWALK</t>
        </is>
      </c>
    </row>
    <row r="225" ht="49" customHeight="1">
      <c r="A225" s="12" t="inlineStr">
        <is>
          <t>R150-v1</t>
        </is>
      </c>
      <c r="B225" s="12" t="inlineStr">
        <is>
          <t>Contractor Programme / SCH-01-150</t>
        </is>
      </c>
      <c r="C225" s="12" t="inlineStr">
        <is>
          <t>WBS Code = 1.1.2</t>
        </is>
      </c>
      <c r="D225" s="12" t="inlineStr">
        <is>
          <t>Proposed by Source assignment; target 1.1.2 Guideway and Civil - Utility &amp; Roadworks</t>
        </is>
      </c>
      <c r="E225" s="12" t="inlineStr">
        <is>
          <t>None recorded</t>
        </is>
      </c>
      <c r="F225" s="12" t="inlineStr">
        <is>
          <t>No individual professional decision recorded; Source assignment -- not individually reviewed</t>
        </is>
      </c>
      <c r="G225" s="12" t="inlineStr">
        <is>
          <t>Not individually decided</t>
        </is>
      </c>
      <c r="H225" s="12" t="inlineStr">
        <is>
          <t xml:space="preserve">APPROVED / ONE_TO_ONE; </t>
        </is>
      </c>
      <c r="I225" s="12" t="inlineStr">
        <is>
          <t>New</t>
        </is>
      </c>
      <c r="J225" s="17" t="inlineStr">
        <is>
          <t>08 CROSSWALK</t>
        </is>
      </c>
    </row>
    <row r="226" ht="49" customHeight="1">
      <c r="A226" s="12" t="inlineStr">
        <is>
          <t>R153-v1</t>
        </is>
      </c>
      <c r="B226" s="12" t="inlineStr">
        <is>
          <t>Contractor Programme / SCH-01-153</t>
        </is>
      </c>
      <c r="C226" s="12" t="inlineStr">
        <is>
          <t>WBS Code = 1.1.2</t>
        </is>
      </c>
      <c r="D226" s="12" t="inlineStr">
        <is>
          <t>Proposed by Source assignment; target 1.1.2 Guideway and Civil - Utility &amp; Roadworks</t>
        </is>
      </c>
      <c r="E226" s="12" t="inlineStr">
        <is>
          <t>None recorded</t>
        </is>
      </c>
      <c r="F226" s="12" t="inlineStr">
        <is>
          <t>No individual professional decision recorded; Source assignment -- not individually reviewed</t>
        </is>
      </c>
      <c r="G226" s="12" t="inlineStr">
        <is>
          <t>Not individually decided</t>
        </is>
      </c>
      <c r="H226" s="12" t="inlineStr">
        <is>
          <t xml:space="preserve">APPROVED / ONE_TO_ONE; </t>
        </is>
      </c>
      <c r="I226" s="12" t="inlineStr">
        <is>
          <t>New</t>
        </is>
      </c>
      <c r="J226" s="17" t="inlineStr">
        <is>
          <t>08 CROSSWALK</t>
        </is>
      </c>
    </row>
    <row r="227" ht="49" customHeight="1">
      <c r="A227" s="12" t="inlineStr">
        <is>
          <t>R156-v1</t>
        </is>
      </c>
      <c r="B227" s="12" t="inlineStr">
        <is>
          <t>Contractor Programme / SCH-01-156</t>
        </is>
      </c>
      <c r="C227" s="12" t="inlineStr">
        <is>
          <t>WBS Code = 1.1.2</t>
        </is>
      </c>
      <c r="D227" s="12" t="inlineStr">
        <is>
          <t>Proposed by Source assignment; target 1.1.2 Guideway and Civil - Utility &amp; Roadworks</t>
        </is>
      </c>
      <c r="E227" s="12" t="inlineStr">
        <is>
          <t>None recorded</t>
        </is>
      </c>
      <c r="F227" s="12" t="inlineStr">
        <is>
          <t>No individual professional decision recorded; Source assignment -- not individually reviewed</t>
        </is>
      </c>
      <c r="G227" s="12" t="inlineStr">
        <is>
          <t>Not individually decided</t>
        </is>
      </c>
      <c r="H227" s="12" t="inlineStr">
        <is>
          <t xml:space="preserve">APPROVED / ONE_TO_ONE; </t>
        </is>
      </c>
      <c r="I227" s="12" t="inlineStr">
        <is>
          <t>New</t>
        </is>
      </c>
      <c r="J227" s="17" t="inlineStr">
        <is>
          <t>08 CROSSWALK</t>
        </is>
      </c>
    </row>
    <row r="228" ht="49" customHeight="1">
      <c r="A228" s="12" t="inlineStr">
        <is>
          <t>R159-v1</t>
        </is>
      </c>
      <c r="B228" s="12" t="inlineStr">
        <is>
          <t>Contractor Programme / SCH-01-159</t>
        </is>
      </c>
      <c r="C228" s="12" t="inlineStr">
        <is>
          <t>WBS Code = 1.1.2</t>
        </is>
      </c>
      <c r="D228" s="12" t="inlineStr">
        <is>
          <t>Proposed by Source assignment; target 1.1.2 Guideway and Civil - Utility &amp; Roadworks</t>
        </is>
      </c>
      <c r="E228" s="12" t="inlineStr">
        <is>
          <t>None recorded</t>
        </is>
      </c>
      <c r="F228" s="12" t="inlineStr">
        <is>
          <t>No individual professional decision recorded; Source assignment -- not individually reviewed</t>
        </is>
      </c>
      <c r="G228" s="12" t="inlineStr">
        <is>
          <t>Not individually decided</t>
        </is>
      </c>
      <c r="H228" s="12" t="inlineStr">
        <is>
          <t xml:space="preserve">APPROVED / ONE_TO_ONE; </t>
        </is>
      </c>
      <c r="I228" s="12" t="inlineStr">
        <is>
          <t>New</t>
        </is>
      </c>
      <c r="J228" s="17" t="inlineStr">
        <is>
          <t>08 CROSSWALK</t>
        </is>
      </c>
    </row>
    <row r="229" ht="49" customHeight="1">
      <c r="A229" s="12" t="inlineStr">
        <is>
          <t>R162-v1</t>
        </is>
      </c>
      <c r="B229" s="12" t="inlineStr">
        <is>
          <t>Contractor Programme / SCH-01-162</t>
        </is>
      </c>
      <c r="C229" s="12" t="inlineStr">
        <is>
          <t>WBS Code = 1.1.2</t>
        </is>
      </c>
      <c r="D229" s="12" t="inlineStr">
        <is>
          <t>Proposed by Source assignment; target 1.1.2 Guideway and Civil - Utility &amp; Roadworks</t>
        </is>
      </c>
      <c r="E229" s="12" t="inlineStr">
        <is>
          <t>None recorded</t>
        </is>
      </c>
      <c r="F229" s="12" t="inlineStr">
        <is>
          <t>No individual professional decision recorded; Source assignment -- not individually reviewed</t>
        </is>
      </c>
      <c r="G229" s="12" t="inlineStr">
        <is>
          <t>Not individually decided</t>
        </is>
      </c>
      <c r="H229" s="12" t="inlineStr">
        <is>
          <t xml:space="preserve">APPROVED / ONE_TO_ONE; </t>
        </is>
      </c>
      <c r="I229" s="12" t="inlineStr">
        <is>
          <t>New</t>
        </is>
      </c>
      <c r="J229" s="17" t="inlineStr">
        <is>
          <t>08 CROSSWALK</t>
        </is>
      </c>
    </row>
    <row r="230" ht="49" customHeight="1">
      <c r="A230" s="12" t="inlineStr">
        <is>
          <t>R165-v1</t>
        </is>
      </c>
      <c r="B230" s="12" t="inlineStr">
        <is>
          <t>Contractor Programme / SCH-01-165</t>
        </is>
      </c>
      <c r="C230" s="12" t="inlineStr">
        <is>
          <t>WBS Code = 1.1.2</t>
        </is>
      </c>
      <c r="D230" s="12" t="inlineStr">
        <is>
          <t>Proposed by Source assignment; target 1.1.2 Guideway and Civil - Utility &amp; Roadworks</t>
        </is>
      </c>
      <c r="E230" s="12" t="inlineStr">
        <is>
          <t>None recorded</t>
        </is>
      </c>
      <c r="F230" s="12" t="inlineStr">
        <is>
          <t>No individual professional decision recorded; Source assignment -- not individually reviewed</t>
        </is>
      </c>
      <c r="G230" s="12" t="inlineStr">
        <is>
          <t>Not individually decided</t>
        </is>
      </c>
      <c r="H230" s="12" t="inlineStr">
        <is>
          <t xml:space="preserve">APPROVED / ONE_TO_ONE; </t>
        </is>
      </c>
      <c r="I230" s="12" t="inlineStr">
        <is>
          <t>New</t>
        </is>
      </c>
      <c r="J230" s="17" t="inlineStr">
        <is>
          <t>08 CROSSWALK</t>
        </is>
      </c>
    </row>
    <row r="231" ht="49" customHeight="1">
      <c r="A231" s="12" t="inlineStr">
        <is>
          <t>R168-v1</t>
        </is>
      </c>
      <c r="B231" s="12" t="inlineStr">
        <is>
          <t>Contractor Programme / SCH-01-168</t>
        </is>
      </c>
      <c r="C231" s="12" t="inlineStr">
        <is>
          <t>WBS Code = 1.1.2</t>
        </is>
      </c>
      <c r="D231" s="12" t="inlineStr">
        <is>
          <t>Proposed by Source assignment; target 1.1.2 Guideway and Civil - Utility &amp; Roadworks</t>
        </is>
      </c>
      <c r="E231" s="12" t="inlineStr">
        <is>
          <t>None recorded</t>
        </is>
      </c>
      <c r="F231" s="12" t="inlineStr">
        <is>
          <t>No individual professional decision recorded; Source assignment -- not individually reviewed</t>
        </is>
      </c>
      <c r="G231" s="12" t="inlineStr">
        <is>
          <t>Not individually decided</t>
        </is>
      </c>
      <c r="H231" s="12" t="inlineStr">
        <is>
          <t xml:space="preserve">APPROVED / ONE_TO_ONE; </t>
        </is>
      </c>
      <c r="I231" s="12" t="inlineStr">
        <is>
          <t>New</t>
        </is>
      </c>
      <c r="J231" s="17" t="inlineStr">
        <is>
          <t>08 CROSSWALK</t>
        </is>
      </c>
    </row>
    <row r="232" ht="49" customHeight="1">
      <c r="A232" s="12" t="inlineStr">
        <is>
          <t>R171-v1</t>
        </is>
      </c>
      <c r="B232" s="12" t="inlineStr">
        <is>
          <t>Contractor Programme / SCH-01-171</t>
        </is>
      </c>
      <c r="C232" s="12" t="inlineStr">
        <is>
          <t>WBS Code = 1.1.2</t>
        </is>
      </c>
      <c r="D232" s="12" t="inlineStr">
        <is>
          <t>Proposed by Source assignment; target 1.1.2 Guideway and Civil - Utility &amp; Roadworks</t>
        </is>
      </c>
      <c r="E232" s="12" t="inlineStr">
        <is>
          <t>None recorded</t>
        </is>
      </c>
      <c r="F232" s="12" t="inlineStr">
        <is>
          <t>No individual professional decision recorded; Source assignment -- not individually reviewed</t>
        </is>
      </c>
      <c r="G232" s="12" t="inlineStr">
        <is>
          <t>Not individually decided</t>
        </is>
      </c>
      <c r="H232" s="12" t="inlineStr">
        <is>
          <t xml:space="preserve">APPROVED / ONE_TO_ONE; </t>
        </is>
      </c>
      <c r="I232" s="12" t="inlineStr">
        <is>
          <t>New</t>
        </is>
      </c>
      <c r="J232" s="17" t="inlineStr">
        <is>
          <t>08 CROSSWALK</t>
        </is>
      </c>
    </row>
    <row r="233" ht="49" customHeight="1">
      <c r="A233" s="12" t="inlineStr">
        <is>
          <t>R174-v1</t>
        </is>
      </c>
      <c r="B233" s="12" t="inlineStr">
        <is>
          <t>Contractor Programme / SCH-01-174</t>
        </is>
      </c>
      <c r="C233" s="12" t="inlineStr">
        <is>
          <t>WBS Code = 1.1.2</t>
        </is>
      </c>
      <c r="D233" s="12" t="inlineStr">
        <is>
          <t>Proposed by Source assignment; target 1.1.2 Guideway and Civil - Utility &amp; Roadworks</t>
        </is>
      </c>
      <c r="E233" s="12" t="inlineStr">
        <is>
          <t>None recorded</t>
        </is>
      </c>
      <c r="F233" s="12" t="inlineStr">
        <is>
          <t>No individual professional decision recorded; Source assignment -- not individually reviewed</t>
        </is>
      </c>
      <c r="G233" s="12" t="inlineStr">
        <is>
          <t>Not individually decided</t>
        </is>
      </c>
      <c r="H233" s="12" t="inlineStr">
        <is>
          <t xml:space="preserve">APPROVED / ONE_TO_ONE; </t>
        </is>
      </c>
      <c r="I233" s="12" t="inlineStr">
        <is>
          <t>New</t>
        </is>
      </c>
      <c r="J233" s="17" t="inlineStr">
        <is>
          <t>08 CROSSWALK</t>
        </is>
      </c>
    </row>
    <row r="234" ht="49" customHeight="1">
      <c r="A234" s="12" t="inlineStr">
        <is>
          <t>R177-v1</t>
        </is>
      </c>
      <c r="B234" s="12" t="inlineStr">
        <is>
          <t>Contractor Programme / SCH-01-177</t>
        </is>
      </c>
      <c r="C234" s="12" t="inlineStr">
        <is>
          <t>WBS Code = 1.1.2</t>
        </is>
      </c>
      <c r="D234" s="12" t="inlineStr">
        <is>
          <t>Proposed by Source assignment; target 1.1.2 Guideway and Civil - Utility &amp; Roadworks</t>
        </is>
      </c>
      <c r="E234" s="12" t="inlineStr">
        <is>
          <t>None recorded</t>
        </is>
      </c>
      <c r="F234" s="12" t="inlineStr">
        <is>
          <t>No individual professional decision recorded; Source assignment -- not individually reviewed</t>
        </is>
      </c>
      <c r="G234" s="12" t="inlineStr">
        <is>
          <t>Not individually decided</t>
        </is>
      </c>
      <c r="H234" s="12" t="inlineStr">
        <is>
          <t xml:space="preserve">APPROVED / ONE_TO_ONE; </t>
        </is>
      </c>
      <c r="I234" s="12" t="inlineStr">
        <is>
          <t>New</t>
        </is>
      </c>
      <c r="J234" s="17" t="inlineStr">
        <is>
          <t>08 CROSSWALK</t>
        </is>
      </c>
    </row>
    <row r="235" ht="49" customHeight="1">
      <c r="A235" s="12" t="inlineStr">
        <is>
          <t>R180-v1</t>
        </is>
      </c>
      <c r="B235" s="12" t="inlineStr">
        <is>
          <t>Contractor Programme / SCH-01-180</t>
        </is>
      </c>
      <c r="C235" s="12" t="inlineStr">
        <is>
          <t>WBS Code = 1.1.2</t>
        </is>
      </c>
      <c r="D235" s="12" t="inlineStr">
        <is>
          <t>Proposed by Source assignment; target 1.1.2 Guideway and Civil - Utility &amp; Roadworks</t>
        </is>
      </c>
      <c r="E235" s="12" t="inlineStr">
        <is>
          <t>None recorded</t>
        </is>
      </c>
      <c r="F235" s="12" t="inlineStr">
        <is>
          <t>No individual professional decision recorded; Source assignment -- not individually reviewed</t>
        </is>
      </c>
      <c r="G235" s="12" t="inlineStr">
        <is>
          <t>Not individually decided</t>
        </is>
      </c>
      <c r="H235" s="12" t="inlineStr">
        <is>
          <t xml:space="preserve">APPROVED / ONE_TO_ONE; </t>
        </is>
      </c>
      <c r="I235" s="12" t="inlineStr">
        <is>
          <t>New</t>
        </is>
      </c>
      <c r="J235" s="17" t="inlineStr">
        <is>
          <t>08 CROSSWALK</t>
        </is>
      </c>
    </row>
    <row r="236" ht="49" customHeight="1">
      <c r="A236" s="12" t="inlineStr">
        <is>
          <t>R1084-v1</t>
        </is>
      </c>
      <c r="B236" s="12" t="inlineStr">
        <is>
          <t>Cost &amp; Forecast Control Accounts / CST-01-002</t>
        </is>
      </c>
      <c r="C236" s="12" t="inlineStr">
        <is>
          <t>Cost Account = CA-1002; WBS Code = 1.1.2</t>
        </is>
      </c>
      <c r="D236" s="12" t="inlineStr">
        <is>
          <t>Proposed by Source assignment; target 1.1.2 Guideway and Civil - Utility &amp; Roadworks</t>
        </is>
      </c>
      <c r="E236" s="12" t="inlineStr">
        <is>
          <t>None recorded</t>
        </is>
      </c>
      <c r="F236" s="12" t="inlineStr">
        <is>
          <t>No individual professional decision recorded; Source assignment -- not individually reviewed</t>
        </is>
      </c>
      <c r="G236" s="12" t="inlineStr">
        <is>
          <t>Not individually decided</t>
        </is>
      </c>
      <c r="H236" s="12" t="inlineStr">
        <is>
          <t xml:space="preserve">APPROVED / ONE_TO_ONE; </t>
        </is>
      </c>
      <c r="I236" s="12" t="inlineStr">
        <is>
          <t>New</t>
        </is>
      </c>
      <c r="J236" s="17" t="inlineStr">
        <is>
          <t>08 CROSSWALK</t>
        </is>
      </c>
    </row>
    <row r="237" ht="49" customHeight="1">
      <c r="A237" s="12" t="inlineStr">
        <is>
          <t>R1086-v1</t>
        </is>
      </c>
      <c r="B237" s="12" t="inlineStr">
        <is>
          <t>Cost &amp; Forecast Control Accounts / CST-01-004</t>
        </is>
      </c>
      <c r="C237" s="12" t="inlineStr">
        <is>
          <t>Cost Account = CA-1004; WBS Code = 1.1.2</t>
        </is>
      </c>
      <c r="D237" s="12" t="inlineStr">
        <is>
          <t>Proposed by Source assignment; target 1.1.2 Guideway and Civil - Utility &amp; Roadworks</t>
        </is>
      </c>
      <c r="E237" s="12" t="inlineStr">
        <is>
          <t>None recorded</t>
        </is>
      </c>
      <c r="F237" s="12" t="inlineStr">
        <is>
          <t>No individual professional decision recorded; Source assignment -- not individually reviewed</t>
        </is>
      </c>
      <c r="G237" s="12" t="inlineStr">
        <is>
          <t>Not individually decided</t>
        </is>
      </c>
      <c r="H237" s="12" t="inlineStr">
        <is>
          <t xml:space="preserve">APPROVED / ONE_TO_ONE; </t>
        </is>
      </c>
      <c r="I237" s="12" t="inlineStr">
        <is>
          <t>New</t>
        </is>
      </c>
      <c r="J237" s="17" t="inlineStr">
        <is>
          <t>08 CROSSWALK</t>
        </is>
      </c>
    </row>
    <row r="238" ht="49" customHeight="1">
      <c r="A238" s="12" t="inlineStr">
        <is>
          <t>R1088-v1</t>
        </is>
      </c>
      <c r="B238" s="12" t="inlineStr">
        <is>
          <t>Cost &amp; Forecast Control Accounts / CST-01-006</t>
        </is>
      </c>
      <c r="C238" s="12" t="inlineStr">
        <is>
          <t>Cost Account = CA-1006; WBS Code = 1.1.2</t>
        </is>
      </c>
      <c r="D238" s="12" t="inlineStr">
        <is>
          <t>Proposed by Source assignment; target 1.1.2 Guideway and Civil - Utility &amp; Roadworks</t>
        </is>
      </c>
      <c r="E238" s="12" t="inlineStr">
        <is>
          <t>None recorded</t>
        </is>
      </c>
      <c r="F238" s="12" t="inlineStr">
        <is>
          <t>No individual professional decision recorded; Source assignment -- not individually reviewed</t>
        </is>
      </c>
      <c r="G238" s="12" t="inlineStr">
        <is>
          <t>Not individually decided</t>
        </is>
      </c>
      <c r="H238" s="12" t="inlineStr">
        <is>
          <t xml:space="preserve">APPROVED / ONE_TO_ONE; </t>
        </is>
      </c>
      <c r="I238" s="12" t="inlineStr">
        <is>
          <t>New</t>
        </is>
      </c>
      <c r="J238" s="17" t="inlineStr">
        <is>
          <t>08 CROSSWALK</t>
        </is>
      </c>
    </row>
    <row r="239" ht="49" customHeight="1">
      <c r="A239" s="12" t="inlineStr">
        <is>
          <t>R1090-v1</t>
        </is>
      </c>
      <c r="B239" s="12" t="inlineStr">
        <is>
          <t>Cost &amp; Forecast Control Accounts / CST-01-008</t>
        </is>
      </c>
      <c r="C239" s="12" t="inlineStr">
        <is>
          <t>Cost Account = CA-1008; WBS Code = 1.1.2</t>
        </is>
      </c>
      <c r="D239" s="12" t="inlineStr">
        <is>
          <t>Proposed by Source assignment; target 1.1.2 Guideway and Civil - Utility &amp; Roadworks</t>
        </is>
      </c>
      <c r="E239" s="12" t="inlineStr">
        <is>
          <t>None recorded</t>
        </is>
      </c>
      <c r="F239" s="12" t="inlineStr">
        <is>
          <t>No individual professional decision recorded; Source assignment -- not individually reviewed</t>
        </is>
      </c>
      <c r="G239" s="12" t="inlineStr">
        <is>
          <t>Not individually decided</t>
        </is>
      </c>
      <c r="H239" s="12" t="inlineStr">
        <is>
          <t xml:space="preserve">APPROVED / ONE_TO_ONE; </t>
        </is>
      </c>
      <c r="I239" s="12" t="inlineStr">
        <is>
          <t>New</t>
        </is>
      </c>
      <c r="J239" s="17" t="inlineStr">
        <is>
          <t>08 CROSSWALK</t>
        </is>
      </c>
    </row>
    <row r="240" ht="49" customHeight="1">
      <c r="A240" s="12" t="inlineStr">
        <is>
          <t>R1092-v1</t>
        </is>
      </c>
      <c r="B240" s="12" t="inlineStr">
        <is>
          <t>Cost &amp; Forecast Control Accounts / CST-01-010</t>
        </is>
      </c>
      <c r="C240" s="12" t="inlineStr">
        <is>
          <t>Cost Account = CA-1010; WBS Code = 1.1.2</t>
        </is>
      </c>
      <c r="D240" s="12" t="inlineStr">
        <is>
          <t>Proposed by Source assignment; target 1.1.2 Guideway and Civil - Utility &amp; Roadworks</t>
        </is>
      </c>
      <c r="E240" s="12" t="inlineStr">
        <is>
          <t>None recorded</t>
        </is>
      </c>
      <c r="F240" s="12" t="inlineStr">
        <is>
          <t>No individual professional decision recorded; Source assignment -- not individually reviewed</t>
        </is>
      </c>
      <c r="G240" s="12" t="inlineStr">
        <is>
          <t>Not individually decided</t>
        </is>
      </c>
      <c r="H240" s="12" t="inlineStr">
        <is>
          <t xml:space="preserve">APPROVED / ONE_TO_ONE; </t>
        </is>
      </c>
      <c r="I240" s="12" t="inlineStr">
        <is>
          <t>New</t>
        </is>
      </c>
      <c r="J240" s="17" t="inlineStr">
        <is>
          <t>08 CROSSWALK</t>
        </is>
      </c>
    </row>
    <row r="241" ht="49" customHeight="1">
      <c r="A241" s="12" t="inlineStr">
        <is>
          <t>R1094-v1</t>
        </is>
      </c>
      <c r="B241" s="12" t="inlineStr">
        <is>
          <t>Cost &amp; Forecast Control Accounts / CST-01-012</t>
        </is>
      </c>
      <c r="C241" s="12" t="inlineStr">
        <is>
          <t>Cost Account = CA-1012; WBS Code = 1.1.2</t>
        </is>
      </c>
      <c r="D241" s="12" t="inlineStr">
        <is>
          <t>Proposed by Source assignment; target 1.1.2 Guideway and Civil - Utility &amp; Roadworks</t>
        </is>
      </c>
      <c r="E241" s="12" t="inlineStr">
        <is>
          <t>None recorded</t>
        </is>
      </c>
      <c r="F241" s="12" t="inlineStr">
        <is>
          <t>No individual professional decision recorded; Source assignment -- not individually reviewed</t>
        </is>
      </c>
      <c r="G241" s="12" t="inlineStr">
        <is>
          <t>Not individually decided</t>
        </is>
      </c>
      <c r="H241" s="12" t="inlineStr">
        <is>
          <t xml:space="preserve">APPROVED / ONE_TO_ONE; </t>
        </is>
      </c>
      <c r="I241" s="12" t="inlineStr">
        <is>
          <t>New</t>
        </is>
      </c>
      <c r="J241" s="17" t="inlineStr">
        <is>
          <t>08 CROSSWALK</t>
        </is>
      </c>
    </row>
    <row r="242" ht="49" customHeight="1">
      <c r="A242" s="12" t="inlineStr">
        <is>
          <t>R1096-v1</t>
        </is>
      </c>
      <c r="B242" s="12" t="inlineStr">
        <is>
          <t>Cost &amp; Forecast Control Accounts / CST-01-014</t>
        </is>
      </c>
      <c r="C242" s="12" t="inlineStr">
        <is>
          <t>Cost Account = CA-1014; WBS Code = 1.1.2</t>
        </is>
      </c>
      <c r="D242" s="12" t="inlineStr">
        <is>
          <t>Proposed by Source assignment; target 1.1.2 Guideway and Civil - Utility &amp; Roadworks</t>
        </is>
      </c>
      <c r="E242" s="12" t="inlineStr">
        <is>
          <t>None recorded</t>
        </is>
      </c>
      <c r="F242" s="12" t="inlineStr">
        <is>
          <t>No individual professional decision recorded; Source assignment -- not individually reviewed</t>
        </is>
      </c>
      <c r="G242" s="12" t="inlineStr">
        <is>
          <t>Not individually decided</t>
        </is>
      </c>
      <c r="H242" s="12" t="inlineStr">
        <is>
          <t xml:space="preserve">APPROVED / ONE_TO_ONE; </t>
        </is>
      </c>
      <c r="I242" s="12" t="inlineStr">
        <is>
          <t>New</t>
        </is>
      </c>
      <c r="J242" s="17" t="inlineStr">
        <is>
          <t>08 CROSSWALK</t>
        </is>
      </c>
    </row>
    <row r="243" ht="49" customHeight="1">
      <c r="A243" s="12" t="inlineStr">
        <is>
          <t>R1098-v1</t>
        </is>
      </c>
      <c r="B243" s="12" t="inlineStr">
        <is>
          <t>Cost &amp; Forecast Control Accounts / CST-01-016</t>
        </is>
      </c>
      <c r="C243" s="12" t="inlineStr">
        <is>
          <t>Cost Account = CA-1016; WBS Code = 1.1.2</t>
        </is>
      </c>
      <c r="D243" s="12" t="inlineStr">
        <is>
          <t>Proposed by Source assignment; target 1.1.2 Guideway and Civil - Utility &amp; Roadworks</t>
        </is>
      </c>
      <c r="E243" s="12" t="inlineStr">
        <is>
          <t>None recorded</t>
        </is>
      </c>
      <c r="F243" s="12" t="inlineStr">
        <is>
          <t>No individual professional decision recorded; Source assignment -- not individually reviewed</t>
        </is>
      </c>
      <c r="G243" s="12" t="inlineStr">
        <is>
          <t>Not individually decided</t>
        </is>
      </c>
      <c r="H243" s="12" t="inlineStr">
        <is>
          <t xml:space="preserve">APPROVED / ONE_TO_ONE; </t>
        </is>
      </c>
      <c r="I243" s="12" t="inlineStr">
        <is>
          <t>New</t>
        </is>
      </c>
      <c r="J243" s="17" t="inlineStr">
        <is>
          <t>08 CROSSWALK</t>
        </is>
      </c>
    </row>
    <row r="244" ht="49" customHeight="1">
      <c r="A244" s="12" t="inlineStr">
        <is>
          <t>R1100-v1</t>
        </is>
      </c>
      <c r="B244" s="12" t="inlineStr">
        <is>
          <t>Cost &amp; Forecast Control Accounts / CST-01-018</t>
        </is>
      </c>
      <c r="C244" s="12" t="inlineStr">
        <is>
          <t>Cost Account = CA-1018; WBS Code = 1.1.2</t>
        </is>
      </c>
      <c r="D244" s="12" t="inlineStr">
        <is>
          <t>Proposed by Source assignment; target 1.1.2 Guideway and Civil - Utility &amp; Roadworks</t>
        </is>
      </c>
      <c r="E244" s="12" t="inlineStr">
        <is>
          <t>None recorded</t>
        </is>
      </c>
      <c r="F244" s="12" t="inlineStr">
        <is>
          <t>No individual professional decision recorded; Source assignment -- not individually reviewed</t>
        </is>
      </c>
      <c r="G244" s="12" t="inlineStr">
        <is>
          <t>Not individually decided</t>
        </is>
      </c>
      <c r="H244" s="12" t="inlineStr">
        <is>
          <t xml:space="preserve">APPROVED / ONE_TO_ONE; </t>
        </is>
      </c>
      <c r="I244" s="12" t="inlineStr">
        <is>
          <t>New</t>
        </is>
      </c>
      <c r="J244" s="17" t="inlineStr">
        <is>
          <t>08 CROSSWALK</t>
        </is>
      </c>
    </row>
    <row r="245" ht="49" customHeight="1">
      <c r="A245" s="12" t="inlineStr">
        <is>
          <t>R1102-v1</t>
        </is>
      </c>
      <c r="B245" s="12" t="inlineStr">
        <is>
          <t>Cost &amp; Forecast Control Accounts / CST-01-020</t>
        </is>
      </c>
      <c r="C245" s="12" t="inlineStr">
        <is>
          <t>Cost Account = CA-1020; WBS Code = 1.1.2</t>
        </is>
      </c>
      <c r="D245" s="12" t="inlineStr">
        <is>
          <t>Proposed by Source assignment; target 1.1.2 Guideway and Civil - Utility &amp; Roadworks</t>
        </is>
      </c>
      <c r="E245" s="12" t="inlineStr">
        <is>
          <t>None recorded</t>
        </is>
      </c>
      <c r="F245" s="12" t="inlineStr">
        <is>
          <t>No individual professional decision recorded; Source assignment -- not individually reviewed</t>
        </is>
      </c>
      <c r="G245" s="12" t="inlineStr">
        <is>
          <t>Not individually decided</t>
        </is>
      </c>
      <c r="H245" s="12" t="inlineStr">
        <is>
          <t xml:space="preserve">APPROVED / ONE_TO_ONE; </t>
        </is>
      </c>
      <c r="I245" s="12" t="inlineStr">
        <is>
          <t>New</t>
        </is>
      </c>
      <c r="J245" s="17" t="inlineStr">
        <is>
          <t>08 CROSSWALK</t>
        </is>
      </c>
    </row>
    <row r="246" ht="49" customHeight="1">
      <c r="A246" s="12" t="inlineStr">
        <is>
          <t>R1104-v1</t>
        </is>
      </c>
      <c r="B246" s="12" t="inlineStr">
        <is>
          <t>Cost &amp; Forecast Control Accounts / CST-01-022</t>
        </is>
      </c>
      <c r="C246" s="12" t="inlineStr">
        <is>
          <t>Cost Account = CA-1022; WBS Code = 1.1.2</t>
        </is>
      </c>
      <c r="D246" s="12" t="inlineStr">
        <is>
          <t>Proposed by Source assignment; target 1.1.2 Guideway and Civil - Utility &amp; Roadworks</t>
        </is>
      </c>
      <c r="E246" s="12" t="inlineStr">
        <is>
          <t>None recorded</t>
        </is>
      </c>
      <c r="F246" s="12" t="inlineStr">
        <is>
          <t>No individual professional decision recorded; Source assignment -- not individually reviewed</t>
        </is>
      </c>
      <c r="G246" s="12" t="inlineStr">
        <is>
          <t>Not individually decided</t>
        </is>
      </c>
      <c r="H246" s="12" t="inlineStr">
        <is>
          <t xml:space="preserve">APPROVED / ONE_TO_ONE; </t>
        </is>
      </c>
      <c r="I246" s="12" t="inlineStr">
        <is>
          <t>New</t>
        </is>
      </c>
      <c r="J246" s="17" t="inlineStr">
        <is>
          <t>08 CROSSWALK</t>
        </is>
      </c>
    </row>
    <row r="247" ht="49" customHeight="1">
      <c r="A247" s="12" t="inlineStr">
        <is>
          <t>R1106-v1</t>
        </is>
      </c>
      <c r="B247" s="12" t="inlineStr">
        <is>
          <t>Cost &amp; Forecast Control Accounts / CST-01-024</t>
        </is>
      </c>
      <c r="C247" s="12" t="inlineStr">
        <is>
          <t>Cost Account = CA-1024; WBS Code = 1.1.2</t>
        </is>
      </c>
      <c r="D247" s="12" t="inlineStr">
        <is>
          <t>Proposed by Source assignment; target 1.1.2 Guideway and Civil - Utility &amp; Roadworks</t>
        </is>
      </c>
      <c r="E247" s="12" t="inlineStr">
        <is>
          <t>None recorded</t>
        </is>
      </c>
      <c r="F247" s="12" t="inlineStr">
        <is>
          <t>No individual professional decision recorded; Source assignment -- not individually reviewed</t>
        </is>
      </c>
      <c r="G247" s="12" t="inlineStr">
        <is>
          <t>Not individually decided</t>
        </is>
      </c>
      <c r="H247" s="12" t="inlineStr">
        <is>
          <t xml:space="preserve">APPROVED / ONE_TO_ONE; </t>
        </is>
      </c>
      <c r="I247" s="12" t="inlineStr">
        <is>
          <t>New</t>
        </is>
      </c>
      <c r="J247" s="17" t="inlineStr">
        <is>
          <t>08 CROSSWALK</t>
        </is>
      </c>
    </row>
    <row r="248" ht="49" customHeight="1">
      <c r="A248" s="12" t="inlineStr">
        <is>
          <t>R1108-v1</t>
        </is>
      </c>
      <c r="B248" s="12" t="inlineStr">
        <is>
          <t>Cost &amp; Forecast Control Accounts / CST-01-026</t>
        </is>
      </c>
      <c r="C248" s="12" t="inlineStr">
        <is>
          <t>Cost Account = CA-1026; WBS Code = 1.1.2</t>
        </is>
      </c>
      <c r="D248" s="12" t="inlineStr">
        <is>
          <t>Proposed by Source assignment; target 1.1.2 Guideway and Civil - Utility &amp; Roadworks</t>
        </is>
      </c>
      <c r="E248" s="12" t="inlineStr">
        <is>
          <t>None recorded</t>
        </is>
      </c>
      <c r="F248" s="12" t="inlineStr">
        <is>
          <t>No individual professional decision recorded; Source assignment -- not individually reviewed</t>
        </is>
      </c>
      <c r="G248" s="12" t="inlineStr">
        <is>
          <t>Not individually decided</t>
        </is>
      </c>
      <c r="H248" s="12" t="inlineStr">
        <is>
          <t xml:space="preserve">APPROVED / ONE_TO_ONE; </t>
        </is>
      </c>
      <c r="I248" s="12" t="inlineStr">
        <is>
          <t>New</t>
        </is>
      </c>
      <c r="J248" s="17" t="inlineStr">
        <is>
          <t>08 CROSSWALK</t>
        </is>
      </c>
    </row>
    <row r="249" ht="49" customHeight="1">
      <c r="A249" s="12" t="inlineStr">
        <is>
          <t>R1110-v1</t>
        </is>
      </c>
      <c r="B249" s="12" t="inlineStr">
        <is>
          <t>Cost &amp; Forecast Control Accounts / CST-01-028</t>
        </is>
      </c>
      <c r="C249" s="12" t="inlineStr">
        <is>
          <t>Cost Account = CA-1028; WBS Code = 1.1.2</t>
        </is>
      </c>
      <c r="D249" s="12" t="inlineStr">
        <is>
          <t>Proposed by Source assignment; target 1.1.2 Guideway and Civil - Utility &amp; Roadworks</t>
        </is>
      </c>
      <c r="E249" s="12" t="inlineStr">
        <is>
          <t>None recorded</t>
        </is>
      </c>
      <c r="F249" s="12" t="inlineStr">
        <is>
          <t>No individual professional decision recorded; Source assignment -- not individually reviewed</t>
        </is>
      </c>
      <c r="G249" s="12" t="inlineStr">
        <is>
          <t>Not individually decided</t>
        </is>
      </c>
      <c r="H249" s="12" t="inlineStr">
        <is>
          <t xml:space="preserve">APPROVED / ONE_TO_ONE; </t>
        </is>
      </c>
      <c r="I249" s="12" t="inlineStr">
        <is>
          <t>New</t>
        </is>
      </c>
      <c r="J249" s="17" t="inlineStr">
        <is>
          <t>08 CROSSWALK</t>
        </is>
      </c>
    </row>
    <row r="250" ht="49" customHeight="1">
      <c r="A250" s="12" t="inlineStr">
        <is>
          <t>R1112-v1</t>
        </is>
      </c>
      <c r="B250" s="12" t="inlineStr">
        <is>
          <t>Cost &amp; Forecast Control Accounts / CST-01-030</t>
        </is>
      </c>
      <c r="C250" s="12" t="inlineStr">
        <is>
          <t>Cost Account = CA-1030; WBS Code = 1.1.2</t>
        </is>
      </c>
      <c r="D250" s="12" t="inlineStr">
        <is>
          <t>Proposed by Source assignment; target 1.1.2 Guideway and Civil - Utility &amp; Roadworks</t>
        </is>
      </c>
      <c r="E250" s="12" t="inlineStr">
        <is>
          <t>None recorded</t>
        </is>
      </c>
      <c r="F250" s="12" t="inlineStr">
        <is>
          <t>No individual professional decision recorded; Source assignment -- not individually reviewed</t>
        </is>
      </c>
      <c r="G250" s="12" t="inlineStr">
        <is>
          <t>Not individually decided</t>
        </is>
      </c>
      <c r="H250" s="12" t="inlineStr">
        <is>
          <t xml:space="preserve">APPROVED / ONE_TO_ONE; </t>
        </is>
      </c>
      <c r="I250" s="12" t="inlineStr">
        <is>
          <t>New</t>
        </is>
      </c>
      <c r="J250" s="17" t="inlineStr">
        <is>
          <t>08 CROSSWALK</t>
        </is>
      </c>
    </row>
    <row r="251" ht="49" customHeight="1">
      <c r="A251" s="12" t="inlineStr">
        <is>
          <t>R1114-v1</t>
        </is>
      </c>
      <c r="B251" s="12" t="inlineStr">
        <is>
          <t>Cost &amp; Forecast Control Accounts / CST-01-032</t>
        </is>
      </c>
      <c r="C251" s="12" t="inlineStr">
        <is>
          <t>Cost Account = CA-1032; WBS Code = 1.1.2</t>
        </is>
      </c>
      <c r="D251" s="12" t="inlineStr">
        <is>
          <t>Proposed by Source assignment; target 1.1.2 Guideway and Civil - Utility &amp; Roadworks</t>
        </is>
      </c>
      <c r="E251" s="12" t="inlineStr">
        <is>
          <t>None recorded</t>
        </is>
      </c>
      <c r="F251" s="12" t="inlineStr">
        <is>
          <t>No individual professional decision recorded; Source assignment -- not individually reviewed</t>
        </is>
      </c>
      <c r="G251" s="12" t="inlineStr">
        <is>
          <t>Not individually decided</t>
        </is>
      </c>
      <c r="H251" s="12" t="inlineStr">
        <is>
          <t xml:space="preserve">APPROVED / ONE_TO_ONE; </t>
        </is>
      </c>
      <c r="I251" s="12" t="inlineStr">
        <is>
          <t>New</t>
        </is>
      </c>
      <c r="J251" s="17" t="inlineStr">
        <is>
          <t>08 CROSSWALK</t>
        </is>
      </c>
    </row>
    <row r="252" ht="49" customHeight="1">
      <c r="A252" s="12" t="inlineStr">
        <is>
          <t>R1116-v1</t>
        </is>
      </c>
      <c r="B252" s="12" t="inlineStr">
        <is>
          <t>Cost &amp; Forecast Control Accounts / CST-01-034</t>
        </is>
      </c>
      <c r="C252" s="12" t="inlineStr">
        <is>
          <t>Cost Account = CA-1034; WBS Code = 1.1.2</t>
        </is>
      </c>
      <c r="D252" s="12" t="inlineStr">
        <is>
          <t>Proposed by Source assignment; target 1.1.2 Guideway and Civil - Utility &amp; Roadworks</t>
        </is>
      </c>
      <c r="E252" s="12" t="inlineStr">
        <is>
          <t>None recorded</t>
        </is>
      </c>
      <c r="F252" s="12" t="inlineStr">
        <is>
          <t>No individual professional decision recorded; Source assignment -- not individually reviewed</t>
        </is>
      </c>
      <c r="G252" s="12" t="inlineStr">
        <is>
          <t>Not individually decided</t>
        </is>
      </c>
      <c r="H252" s="12" t="inlineStr">
        <is>
          <t xml:space="preserve">APPROVED / ONE_TO_ONE; </t>
        </is>
      </c>
      <c r="I252" s="12" t="inlineStr">
        <is>
          <t>New</t>
        </is>
      </c>
      <c r="J252" s="17" t="inlineStr">
        <is>
          <t>08 CROSSWALK</t>
        </is>
      </c>
    </row>
    <row r="253" ht="49" customHeight="1">
      <c r="A253" s="12" t="inlineStr">
        <is>
          <t>R1118-v1</t>
        </is>
      </c>
      <c r="B253" s="12" t="inlineStr">
        <is>
          <t>Cost &amp; Forecast Control Accounts / CST-01-036</t>
        </is>
      </c>
      <c r="C253" s="12" t="inlineStr">
        <is>
          <t>Cost Account = CA-1036; WBS Code = 1.1.2</t>
        </is>
      </c>
      <c r="D253" s="12" t="inlineStr">
        <is>
          <t>Proposed by Source assignment; target 1.1.2 Guideway and Civil - Utility &amp; Roadworks</t>
        </is>
      </c>
      <c r="E253" s="12" t="inlineStr">
        <is>
          <t>None recorded</t>
        </is>
      </c>
      <c r="F253" s="12" t="inlineStr">
        <is>
          <t>No individual professional decision recorded; Source assignment -- not individually reviewed</t>
        </is>
      </c>
      <c r="G253" s="12" t="inlineStr">
        <is>
          <t>Not individually decided</t>
        </is>
      </c>
      <c r="H253" s="12" t="inlineStr">
        <is>
          <t xml:space="preserve">APPROVED / ONE_TO_ONE; </t>
        </is>
      </c>
      <c r="I253" s="12" t="inlineStr">
        <is>
          <t>New</t>
        </is>
      </c>
      <c r="J253" s="17" t="inlineStr">
        <is>
          <t>08 CROSSWALK</t>
        </is>
      </c>
    </row>
    <row r="254" ht="49" customHeight="1">
      <c r="A254" s="12" t="inlineStr">
        <is>
          <t>R1120-v1</t>
        </is>
      </c>
      <c r="B254" s="12" t="inlineStr">
        <is>
          <t>Cost &amp; Forecast Control Accounts / CST-01-038</t>
        </is>
      </c>
      <c r="C254" s="12" t="inlineStr">
        <is>
          <t>Cost Account = CA-1038; WBS Code = 1.1.2</t>
        </is>
      </c>
      <c r="D254" s="12" t="inlineStr">
        <is>
          <t>Proposed by Source assignment; target 1.1.2 Guideway and Civil - Utility &amp; Roadworks</t>
        </is>
      </c>
      <c r="E254" s="12" t="inlineStr">
        <is>
          <t>None recorded</t>
        </is>
      </c>
      <c r="F254" s="12" t="inlineStr">
        <is>
          <t>No individual professional decision recorded; Source assignment -- not individually reviewed</t>
        </is>
      </c>
      <c r="G254" s="12" t="inlineStr">
        <is>
          <t>Not individually decided</t>
        </is>
      </c>
      <c r="H254" s="12" t="inlineStr">
        <is>
          <t xml:space="preserve">APPROVED / ONE_TO_ONE; </t>
        </is>
      </c>
      <c r="I254" s="12" t="inlineStr">
        <is>
          <t>New</t>
        </is>
      </c>
      <c r="J254" s="17" t="inlineStr">
        <is>
          <t>08 CROSSWALK</t>
        </is>
      </c>
    </row>
    <row r="255" ht="49" customHeight="1">
      <c r="A255" s="12" t="inlineStr">
        <is>
          <t>R1122-v1</t>
        </is>
      </c>
      <c r="B255" s="12" t="inlineStr">
        <is>
          <t>Cost &amp; Forecast Control Accounts / CST-01-040</t>
        </is>
      </c>
      <c r="C255" s="12" t="inlineStr">
        <is>
          <t>Cost Account = CA-1040; WBS Code = 1.1.2</t>
        </is>
      </c>
      <c r="D255" s="12" t="inlineStr">
        <is>
          <t>Proposed by Source assignment; target 1.1.2 Guideway and Civil - Utility &amp; Roadworks</t>
        </is>
      </c>
      <c r="E255" s="12" t="inlineStr">
        <is>
          <t>None recorded</t>
        </is>
      </c>
      <c r="F255" s="12" t="inlineStr">
        <is>
          <t>No individual professional decision recorded; Source assignment -- not individually reviewed</t>
        </is>
      </c>
      <c r="G255" s="12" t="inlineStr">
        <is>
          <t>Not individually decided</t>
        </is>
      </c>
      <c r="H255" s="12" t="inlineStr">
        <is>
          <t xml:space="preserve">APPROVED / ONE_TO_ONE; </t>
        </is>
      </c>
      <c r="I255" s="12" t="inlineStr">
        <is>
          <t>New</t>
        </is>
      </c>
      <c r="J255" s="17" t="inlineStr">
        <is>
          <t>08 CROSSWALK</t>
        </is>
      </c>
    </row>
    <row r="256" ht="49" customHeight="1">
      <c r="A256" s="12" t="inlineStr">
        <is>
          <t>R1124-v1</t>
        </is>
      </c>
      <c r="B256" s="12" t="inlineStr">
        <is>
          <t>Cost &amp; Forecast Control Accounts / CST-01-042</t>
        </is>
      </c>
      <c r="C256" s="12" t="inlineStr">
        <is>
          <t>Cost Account = CA-1042; WBS Code = 1.1.2</t>
        </is>
      </c>
      <c r="D256" s="12" t="inlineStr">
        <is>
          <t>Proposed by Source assignment; target 1.1.2 Guideway and Civil - Utility &amp; Roadworks</t>
        </is>
      </c>
      <c r="E256" s="12" t="inlineStr">
        <is>
          <t>None recorded</t>
        </is>
      </c>
      <c r="F256" s="12" t="inlineStr">
        <is>
          <t>No individual professional decision recorded; Source assignment -- not individually reviewed</t>
        </is>
      </c>
      <c r="G256" s="12" t="inlineStr">
        <is>
          <t>Not individually decided</t>
        </is>
      </c>
      <c r="H256" s="12" t="inlineStr">
        <is>
          <t xml:space="preserve">APPROVED / ONE_TO_ONE; </t>
        </is>
      </c>
      <c r="I256" s="12" t="inlineStr">
        <is>
          <t>New</t>
        </is>
      </c>
      <c r="J256" s="17" t="inlineStr">
        <is>
          <t>08 CROSSWALK</t>
        </is>
      </c>
    </row>
    <row r="257" ht="49" customHeight="1">
      <c r="A257" s="12" t="inlineStr">
        <is>
          <t>R1126-v1</t>
        </is>
      </c>
      <c r="B257" s="12" t="inlineStr">
        <is>
          <t>Cost &amp; Forecast Control Accounts / CST-01-044</t>
        </is>
      </c>
      <c r="C257" s="12" t="inlineStr">
        <is>
          <t>Cost Account = CA-1044; WBS Code = 1.1.2</t>
        </is>
      </c>
      <c r="D257" s="12" t="inlineStr">
        <is>
          <t>Proposed by Source assignment; target 1.1.2 Guideway and Civil - Utility &amp; Roadworks</t>
        </is>
      </c>
      <c r="E257" s="12" t="inlineStr">
        <is>
          <t>None recorded</t>
        </is>
      </c>
      <c r="F257" s="12" t="inlineStr">
        <is>
          <t>No individual professional decision recorded; Source assignment -- not individually reviewed</t>
        </is>
      </c>
      <c r="G257" s="12" t="inlineStr">
        <is>
          <t>Not individually decided</t>
        </is>
      </c>
      <c r="H257" s="12" t="inlineStr">
        <is>
          <t xml:space="preserve">APPROVED / ONE_TO_ONE; </t>
        </is>
      </c>
      <c r="I257" s="12" t="inlineStr">
        <is>
          <t>New</t>
        </is>
      </c>
      <c r="J257" s="17" t="inlineStr">
        <is>
          <t>08 CROSSWALK</t>
        </is>
      </c>
    </row>
    <row r="258" ht="49" customHeight="1">
      <c r="A258" s="12" t="inlineStr">
        <is>
          <t>R1128-v1</t>
        </is>
      </c>
      <c r="B258" s="12" t="inlineStr">
        <is>
          <t>Cost &amp; Forecast Control Accounts / CST-01-046</t>
        </is>
      </c>
      <c r="C258" s="12" t="inlineStr">
        <is>
          <t>Cost Account = CA-1046; WBS Code = 1.1.2</t>
        </is>
      </c>
      <c r="D258" s="12" t="inlineStr">
        <is>
          <t>Proposed by Source assignment; target 1.1.2 Guideway and Civil - Utility &amp; Roadworks</t>
        </is>
      </c>
      <c r="E258" s="12" t="inlineStr">
        <is>
          <t>None recorded</t>
        </is>
      </c>
      <c r="F258" s="12" t="inlineStr">
        <is>
          <t>No individual professional decision recorded; Source assignment -- not individually reviewed</t>
        </is>
      </c>
      <c r="G258" s="12" t="inlineStr">
        <is>
          <t>Not individually decided</t>
        </is>
      </c>
      <c r="H258" s="12" t="inlineStr">
        <is>
          <t xml:space="preserve">APPROVED / ONE_TO_ONE; </t>
        </is>
      </c>
      <c r="I258" s="12" t="inlineStr">
        <is>
          <t>New</t>
        </is>
      </c>
      <c r="J258" s="17" t="inlineStr">
        <is>
          <t>08 CROSSWALK</t>
        </is>
      </c>
    </row>
    <row r="259" ht="49" customHeight="1">
      <c r="A259" s="12" t="inlineStr">
        <is>
          <t>R1130-v1</t>
        </is>
      </c>
      <c r="B259" s="12" t="inlineStr">
        <is>
          <t>Cost &amp; Forecast Control Accounts / CST-01-048</t>
        </is>
      </c>
      <c r="C259" s="12" t="inlineStr">
        <is>
          <t>Cost Account = CA-1048; WBS Code = 1.1.2</t>
        </is>
      </c>
      <c r="D259" s="12" t="inlineStr">
        <is>
          <t>Proposed by Source assignment; target 1.1.2 Guideway and Civil - Utility &amp; Roadworks</t>
        </is>
      </c>
      <c r="E259" s="12" t="inlineStr">
        <is>
          <t>None recorded</t>
        </is>
      </c>
      <c r="F259" s="12" t="inlineStr">
        <is>
          <t>No individual professional decision recorded; Source assignment -- not individually reviewed</t>
        </is>
      </c>
      <c r="G259" s="12" t="inlineStr">
        <is>
          <t>Not individually decided</t>
        </is>
      </c>
      <c r="H259" s="12" t="inlineStr">
        <is>
          <t xml:space="preserve">APPROVED / ONE_TO_ONE; </t>
        </is>
      </c>
      <c r="I259" s="12" t="inlineStr">
        <is>
          <t>New</t>
        </is>
      </c>
      <c r="J259" s="17" t="inlineStr">
        <is>
          <t>08 CROSSWALK</t>
        </is>
      </c>
    </row>
    <row r="260" ht="49" customHeight="1">
      <c r="A260" s="12" t="inlineStr">
        <is>
          <t>R1132-v1</t>
        </is>
      </c>
      <c r="B260" s="12" t="inlineStr">
        <is>
          <t>Cost &amp; Forecast Control Accounts / CST-01-050</t>
        </is>
      </c>
      <c r="C260" s="12" t="inlineStr">
        <is>
          <t>Cost Account = CA-1050; WBS Code = 1.1.2</t>
        </is>
      </c>
      <c r="D260" s="12" t="inlineStr">
        <is>
          <t>Proposed by Source assignment; target 1.1.2 Guideway and Civil - Utility &amp; Roadworks</t>
        </is>
      </c>
      <c r="E260" s="12" t="inlineStr">
        <is>
          <t>None recorded</t>
        </is>
      </c>
      <c r="F260" s="12" t="inlineStr">
        <is>
          <t>No individual professional decision recorded; Source assignment -- not individually reviewed</t>
        </is>
      </c>
      <c r="G260" s="12" t="inlineStr">
        <is>
          <t>Not individually decided</t>
        </is>
      </c>
      <c r="H260" s="12" t="inlineStr">
        <is>
          <t xml:space="preserve">APPROVED / ONE_TO_ONE; </t>
        </is>
      </c>
      <c r="I260" s="12" t="inlineStr">
        <is>
          <t>New</t>
        </is>
      </c>
      <c r="J260" s="17" t="inlineStr">
        <is>
          <t>08 CROSSWALK</t>
        </is>
      </c>
    </row>
    <row r="261" ht="49" customHeight="1">
      <c r="A261" s="12" t="inlineStr">
        <is>
          <t>R1134-v1</t>
        </is>
      </c>
      <c r="B261" s="12" t="inlineStr">
        <is>
          <t>Cost &amp; Forecast Control Accounts / CST-01-052</t>
        </is>
      </c>
      <c r="C261" s="12" t="inlineStr">
        <is>
          <t>Cost Account = CA-1052; WBS Code = 1.1.2</t>
        </is>
      </c>
      <c r="D261" s="12" t="inlineStr">
        <is>
          <t>Proposed by Source assignment; target 1.1.2 Guideway and Civil - Utility &amp; Roadworks</t>
        </is>
      </c>
      <c r="E261" s="12" t="inlineStr">
        <is>
          <t>None recorded</t>
        </is>
      </c>
      <c r="F261" s="12" t="inlineStr">
        <is>
          <t>No individual professional decision recorded; Source assignment -- not individually reviewed</t>
        </is>
      </c>
      <c r="G261" s="12" t="inlineStr">
        <is>
          <t>Not individually decided</t>
        </is>
      </c>
      <c r="H261" s="12" t="inlineStr">
        <is>
          <t xml:space="preserve">APPROVED / ONE_TO_ONE; </t>
        </is>
      </c>
      <c r="I261" s="12" t="inlineStr">
        <is>
          <t>New</t>
        </is>
      </c>
      <c r="J261" s="17" t="inlineStr">
        <is>
          <t>08 CROSSWALK</t>
        </is>
      </c>
    </row>
    <row r="262" ht="49" customHeight="1">
      <c r="A262" s="12" t="inlineStr">
        <is>
          <t>R1136-v1</t>
        </is>
      </c>
      <c r="B262" s="12" t="inlineStr">
        <is>
          <t>Cost &amp; Forecast Control Accounts / CST-01-054</t>
        </is>
      </c>
      <c r="C262" s="12" t="inlineStr">
        <is>
          <t>Cost Account = CA-1054; WBS Code = 1.1.2</t>
        </is>
      </c>
      <c r="D262" s="12" t="inlineStr">
        <is>
          <t>Proposed by Source assignment; target 1.1.2 Guideway and Civil - Utility &amp; Roadworks</t>
        </is>
      </c>
      <c r="E262" s="12" t="inlineStr">
        <is>
          <t>None recorded</t>
        </is>
      </c>
      <c r="F262" s="12" t="inlineStr">
        <is>
          <t>No individual professional decision recorded; Source assignment -- not individually reviewed</t>
        </is>
      </c>
      <c r="G262" s="12" t="inlineStr">
        <is>
          <t>Not individually decided</t>
        </is>
      </c>
      <c r="H262" s="12" t="inlineStr">
        <is>
          <t xml:space="preserve">APPROVED / ONE_TO_ONE; </t>
        </is>
      </c>
      <c r="I262" s="12" t="inlineStr">
        <is>
          <t>New</t>
        </is>
      </c>
      <c r="J262" s="17" t="inlineStr">
        <is>
          <t>08 CROSSWALK</t>
        </is>
      </c>
    </row>
    <row r="263" ht="49" customHeight="1">
      <c r="A263" s="12" t="inlineStr">
        <is>
          <t>R1138-v1</t>
        </is>
      </c>
      <c r="B263" s="12" t="inlineStr">
        <is>
          <t>Cost &amp; Forecast Control Accounts / CST-01-056</t>
        </is>
      </c>
      <c r="C263" s="12" t="inlineStr">
        <is>
          <t>Cost Account = CA-1056; WBS Code = 1.1.2</t>
        </is>
      </c>
      <c r="D263" s="12" t="inlineStr">
        <is>
          <t>Proposed by Source assignment; target 1.1.2 Guideway and Civil - Utility &amp; Roadworks</t>
        </is>
      </c>
      <c r="E263" s="12" t="inlineStr">
        <is>
          <t>None recorded</t>
        </is>
      </c>
      <c r="F263" s="12" t="inlineStr">
        <is>
          <t>No individual professional decision recorded; Source assignment -- not individually reviewed</t>
        </is>
      </c>
      <c r="G263" s="12" t="inlineStr">
        <is>
          <t>Not individually decided</t>
        </is>
      </c>
      <c r="H263" s="12" t="inlineStr">
        <is>
          <t xml:space="preserve">APPROVED / ONE_TO_ONE; </t>
        </is>
      </c>
      <c r="I263" s="12" t="inlineStr">
        <is>
          <t>New</t>
        </is>
      </c>
      <c r="J263" s="17" t="inlineStr">
        <is>
          <t>08 CROSSWALK</t>
        </is>
      </c>
    </row>
    <row r="264" ht="49" customHeight="1">
      <c r="A264" s="12" t="inlineStr">
        <is>
          <t>R1140-v1</t>
        </is>
      </c>
      <c r="B264" s="12" t="inlineStr">
        <is>
          <t>Cost &amp; Forecast Control Accounts / CST-01-058</t>
        </is>
      </c>
      <c r="C264" s="12" t="inlineStr">
        <is>
          <t>Cost Account = CA-1058; WBS Code = 1.1.2</t>
        </is>
      </c>
      <c r="D264" s="12" t="inlineStr">
        <is>
          <t>Proposed by Source assignment; target 1.1.2 Guideway and Civil - Utility &amp; Roadworks</t>
        </is>
      </c>
      <c r="E264" s="12" t="inlineStr">
        <is>
          <t>None recorded</t>
        </is>
      </c>
      <c r="F264" s="12" t="inlineStr">
        <is>
          <t>No individual professional decision recorded; Source assignment -- not individually reviewed</t>
        </is>
      </c>
      <c r="G264" s="12" t="inlineStr">
        <is>
          <t>Not individually decided</t>
        </is>
      </c>
      <c r="H264" s="12" t="inlineStr">
        <is>
          <t xml:space="preserve">APPROVED / ONE_TO_ONE; </t>
        </is>
      </c>
      <c r="I264" s="12" t="inlineStr">
        <is>
          <t>New</t>
        </is>
      </c>
      <c r="J264" s="17" t="inlineStr">
        <is>
          <t>08 CROSSWALK</t>
        </is>
      </c>
    </row>
    <row r="265" ht="49" customHeight="1">
      <c r="A265" s="12" t="inlineStr">
        <is>
          <t>R1142-v1</t>
        </is>
      </c>
      <c r="B265" s="12" t="inlineStr">
        <is>
          <t>Cost &amp; Forecast Control Accounts / CST-01-060</t>
        </is>
      </c>
      <c r="C265" s="12" t="inlineStr">
        <is>
          <t>Cost Account = CA-1060; WBS Code = 1.1.2</t>
        </is>
      </c>
      <c r="D265" s="12" t="inlineStr">
        <is>
          <t>Proposed by Source assignment; target 1.1.2 Guideway and Civil - Utility &amp; Roadworks</t>
        </is>
      </c>
      <c r="E265" s="12" t="inlineStr">
        <is>
          <t>None recorded</t>
        </is>
      </c>
      <c r="F265" s="12" t="inlineStr">
        <is>
          <t>No individual professional decision recorded; Source assignment -- not individually reviewed</t>
        </is>
      </c>
      <c r="G265" s="12" t="inlineStr">
        <is>
          <t>Not individually decided</t>
        </is>
      </c>
      <c r="H265" s="12" t="inlineStr">
        <is>
          <t xml:space="preserve">APPROVED / ONE_TO_ONE; </t>
        </is>
      </c>
      <c r="I265" s="12" t="inlineStr">
        <is>
          <t>New</t>
        </is>
      </c>
      <c r="J265" s="17" t="inlineStr">
        <is>
          <t>08 CROSSWALK</t>
        </is>
      </c>
    </row>
    <row r="266" ht="49" customHeight="1">
      <c r="A266" s="12" t="inlineStr">
        <is>
          <t>R1144-v1</t>
        </is>
      </c>
      <c r="B266" s="12" t="inlineStr">
        <is>
          <t>Cost &amp; Forecast Control Accounts / CST-01-062</t>
        </is>
      </c>
      <c r="C266" s="12" t="inlineStr">
        <is>
          <t>Cost Account = CA-1062; WBS Code = 1.1.2</t>
        </is>
      </c>
      <c r="D266" s="12" t="inlineStr">
        <is>
          <t>Proposed by Source assignment; target 1.1.2 Guideway and Civil - Utility &amp; Roadworks</t>
        </is>
      </c>
      <c r="E266" s="12" t="inlineStr">
        <is>
          <t>None recorded</t>
        </is>
      </c>
      <c r="F266" s="12" t="inlineStr">
        <is>
          <t>No individual professional decision recorded; Source assignment -- not individually reviewed</t>
        </is>
      </c>
      <c r="G266" s="12" t="inlineStr">
        <is>
          <t>Not individually decided</t>
        </is>
      </c>
      <c r="H266" s="12" t="inlineStr">
        <is>
          <t xml:space="preserve">APPROVED / ONE_TO_ONE; </t>
        </is>
      </c>
      <c r="I266" s="12" t="inlineStr">
        <is>
          <t>New</t>
        </is>
      </c>
      <c r="J266" s="17" t="inlineStr">
        <is>
          <t>08 CROSSWALK</t>
        </is>
      </c>
    </row>
    <row r="267" ht="49" customHeight="1">
      <c r="A267" s="12" t="inlineStr">
        <is>
          <t>R1146-v1</t>
        </is>
      </c>
      <c r="B267" s="12" t="inlineStr">
        <is>
          <t>Cost &amp; Forecast Control Accounts / CST-01-064</t>
        </is>
      </c>
      <c r="C267" s="12" t="inlineStr">
        <is>
          <t>Cost Account = CA-1064; WBS Code = 1.1.2</t>
        </is>
      </c>
      <c r="D267" s="12" t="inlineStr">
        <is>
          <t>Proposed by Source assignment; target 1.1.2 Guideway and Civil - Utility &amp; Roadworks</t>
        </is>
      </c>
      <c r="E267" s="12" t="inlineStr">
        <is>
          <t>None recorded</t>
        </is>
      </c>
      <c r="F267" s="12" t="inlineStr">
        <is>
          <t>No individual professional decision recorded; Source assignment -- not individually reviewed</t>
        </is>
      </c>
      <c r="G267" s="12" t="inlineStr">
        <is>
          <t>Not individually decided</t>
        </is>
      </c>
      <c r="H267" s="12" t="inlineStr">
        <is>
          <t xml:space="preserve">APPROVED / ONE_TO_ONE; </t>
        </is>
      </c>
      <c r="I267" s="12" t="inlineStr">
        <is>
          <t>New</t>
        </is>
      </c>
      <c r="J267" s="17" t="inlineStr">
        <is>
          <t>08 CROSSWALK</t>
        </is>
      </c>
    </row>
    <row r="268" ht="49" customHeight="1">
      <c r="A268" s="12" t="inlineStr">
        <is>
          <t>R1148-v1</t>
        </is>
      </c>
      <c r="B268" s="12" t="inlineStr">
        <is>
          <t>Cost &amp; Forecast Control Accounts / CST-01-066</t>
        </is>
      </c>
      <c r="C268" s="12" t="inlineStr">
        <is>
          <t>Cost Account = CA-1066; WBS Code = 1.1.2</t>
        </is>
      </c>
      <c r="D268" s="12" t="inlineStr">
        <is>
          <t>Proposed by Source assignment; target 1.1.2 Guideway and Civil - Utility &amp; Roadworks</t>
        </is>
      </c>
      <c r="E268" s="12" t="inlineStr">
        <is>
          <t>None recorded</t>
        </is>
      </c>
      <c r="F268" s="12" t="inlineStr">
        <is>
          <t>No individual professional decision recorded; Source assignment -- not individually reviewed</t>
        </is>
      </c>
      <c r="G268" s="12" t="inlineStr">
        <is>
          <t>Not individually decided</t>
        </is>
      </c>
      <c r="H268" s="12" t="inlineStr">
        <is>
          <t xml:space="preserve">APPROVED / ONE_TO_ONE; </t>
        </is>
      </c>
      <c r="I268" s="12" t="inlineStr">
        <is>
          <t>New</t>
        </is>
      </c>
      <c r="J268" s="17" t="inlineStr">
        <is>
          <t>08 CROSSWALK</t>
        </is>
      </c>
    </row>
    <row r="269" ht="49" customHeight="1">
      <c r="A269" s="12" t="inlineStr">
        <is>
          <t>R1150-v1</t>
        </is>
      </c>
      <c r="B269" s="12" t="inlineStr">
        <is>
          <t>Cost &amp; Forecast Control Accounts / CST-01-068</t>
        </is>
      </c>
      <c r="C269" s="12" t="inlineStr">
        <is>
          <t>Cost Account = CA-1068; WBS Code = 1.1.2</t>
        </is>
      </c>
      <c r="D269" s="12" t="inlineStr">
        <is>
          <t>Proposed by Source assignment; target 1.1.2 Guideway and Civil - Utility &amp; Roadworks</t>
        </is>
      </c>
      <c r="E269" s="12" t="inlineStr">
        <is>
          <t>None recorded</t>
        </is>
      </c>
      <c r="F269" s="12" t="inlineStr">
        <is>
          <t>No individual professional decision recorded; Source assignment -- not individually reviewed</t>
        </is>
      </c>
      <c r="G269" s="12" t="inlineStr">
        <is>
          <t>Not individually decided</t>
        </is>
      </c>
      <c r="H269" s="12" t="inlineStr">
        <is>
          <t xml:space="preserve">APPROVED / ONE_TO_ONE; </t>
        </is>
      </c>
      <c r="I269" s="12" t="inlineStr">
        <is>
          <t>New</t>
        </is>
      </c>
      <c r="J269" s="17" t="inlineStr">
        <is>
          <t>08 CROSSWALK</t>
        </is>
      </c>
    </row>
    <row r="270" ht="49" customHeight="1">
      <c r="A270" s="12" t="inlineStr">
        <is>
          <t>R1152-v1</t>
        </is>
      </c>
      <c r="B270" s="12" t="inlineStr">
        <is>
          <t>Cost &amp; Forecast Control Accounts / CST-01-070</t>
        </is>
      </c>
      <c r="C270" s="12" t="inlineStr">
        <is>
          <t>Cost Account = CA-1070; WBS Code = 1.1.2</t>
        </is>
      </c>
      <c r="D270" s="12" t="inlineStr">
        <is>
          <t>Proposed by Source assignment; target 1.1.2 Guideway and Civil - Utility &amp; Roadworks</t>
        </is>
      </c>
      <c r="E270" s="12" t="inlineStr">
        <is>
          <t>None recorded</t>
        </is>
      </c>
      <c r="F270" s="12" t="inlineStr">
        <is>
          <t>No individual professional decision recorded; Source assignment -- not individually reviewed</t>
        </is>
      </c>
      <c r="G270" s="12" t="inlineStr">
        <is>
          <t>Not individually decided</t>
        </is>
      </c>
      <c r="H270" s="12" t="inlineStr">
        <is>
          <t xml:space="preserve">APPROVED / ONE_TO_ONE; </t>
        </is>
      </c>
      <c r="I270" s="12" t="inlineStr">
        <is>
          <t>New</t>
        </is>
      </c>
      <c r="J270" s="17" t="inlineStr">
        <is>
          <t>08 CROSSWALK</t>
        </is>
      </c>
    </row>
    <row r="271" ht="49" customHeight="1">
      <c r="A271" s="12" t="inlineStr">
        <is>
          <t>R1154-v1</t>
        </is>
      </c>
      <c r="B271" s="12" t="inlineStr">
        <is>
          <t>Cost &amp; Forecast Control Accounts / CST-01-072</t>
        </is>
      </c>
      <c r="C271" s="12" t="inlineStr">
        <is>
          <t>Cost Account = CA-1072; WBS Code = 1.1.2</t>
        </is>
      </c>
      <c r="D271" s="12" t="inlineStr">
        <is>
          <t>Proposed by Source assignment; target 1.1.2 Guideway and Civil - Utility &amp; Roadworks</t>
        </is>
      </c>
      <c r="E271" s="12" t="inlineStr">
        <is>
          <t>None recorded</t>
        </is>
      </c>
      <c r="F271" s="12" t="inlineStr">
        <is>
          <t>No individual professional decision recorded; Source assignment -- not individually reviewed</t>
        </is>
      </c>
      <c r="G271" s="12" t="inlineStr">
        <is>
          <t>Not individually decided</t>
        </is>
      </c>
      <c r="H271" s="12" t="inlineStr">
        <is>
          <t xml:space="preserve">APPROVED / ONE_TO_ONE; </t>
        </is>
      </c>
      <c r="I271" s="12" t="inlineStr">
        <is>
          <t>New</t>
        </is>
      </c>
      <c r="J271" s="17" t="inlineStr">
        <is>
          <t>08 CROSSWALK</t>
        </is>
      </c>
    </row>
    <row r="272" ht="49" customHeight="1">
      <c r="A272" s="12" t="inlineStr">
        <is>
          <t>R1156-v1</t>
        </is>
      </c>
      <c r="B272" s="12" t="inlineStr">
        <is>
          <t>Cost &amp; Forecast Control Accounts / CST-01-074</t>
        </is>
      </c>
      <c r="C272" s="12" t="inlineStr">
        <is>
          <t>Cost Account = CA-1074; WBS Code = 1.1.2</t>
        </is>
      </c>
      <c r="D272" s="12" t="inlineStr">
        <is>
          <t>Proposed by Source assignment; target 1.1.2 Guideway and Civil - Utility &amp; Roadworks</t>
        </is>
      </c>
      <c r="E272" s="12" t="inlineStr">
        <is>
          <t>None recorded</t>
        </is>
      </c>
      <c r="F272" s="12" t="inlineStr">
        <is>
          <t>No individual professional decision recorded; Source assignment -- not individually reviewed</t>
        </is>
      </c>
      <c r="G272" s="12" t="inlineStr">
        <is>
          <t>Not individually decided</t>
        </is>
      </c>
      <c r="H272" s="12" t="inlineStr">
        <is>
          <t xml:space="preserve">APPROVED / ONE_TO_ONE; </t>
        </is>
      </c>
      <c r="I272" s="12" t="inlineStr">
        <is>
          <t>New</t>
        </is>
      </c>
      <c r="J272" s="17" t="inlineStr">
        <is>
          <t>08 CROSSWALK</t>
        </is>
      </c>
    </row>
    <row r="273" ht="49" customHeight="1">
      <c r="A273" s="12" t="inlineStr">
        <is>
          <t>R1158-v1</t>
        </is>
      </c>
      <c r="B273" s="12" t="inlineStr">
        <is>
          <t>Cost &amp; Forecast Control Accounts / CST-01-076</t>
        </is>
      </c>
      <c r="C273" s="12" t="inlineStr">
        <is>
          <t>Cost Account = CA-1076; WBS Code = 1.1.2</t>
        </is>
      </c>
      <c r="D273" s="12" t="inlineStr">
        <is>
          <t>Proposed by Source assignment; target 1.1.2 Guideway and Civil - Utility &amp; Roadworks</t>
        </is>
      </c>
      <c r="E273" s="12" t="inlineStr">
        <is>
          <t>None recorded</t>
        </is>
      </c>
      <c r="F273" s="12" t="inlineStr">
        <is>
          <t>No individual professional decision recorded; Source assignment -- not individually reviewed</t>
        </is>
      </c>
      <c r="G273" s="12" t="inlineStr">
        <is>
          <t>Not individually decided</t>
        </is>
      </c>
      <c r="H273" s="12" t="inlineStr">
        <is>
          <t xml:space="preserve">APPROVED / ONE_TO_ONE; </t>
        </is>
      </c>
      <c r="I273" s="12" t="inlineStr">
        <is>
          <t>New</t>
        </is>
      </c>
      <c r="J273" s="17" t="inlineStr">
        <is>
          <t>08 CROSSWALK</t>
        </is>
      </c>
    </row>
    <row r="274" ht="49" customHeight="1">
      <c r="A274" s="12" t="inlineStr">
        <is>
          <t>R1160-v1</t>
        </is>
      </c>
      <c r="B274" s="12" t="inlineStr">
        <is>
          <t>Cost &amp; Forecast Control Accounts / CST-01-078</t>
        </is>
      </c>
      <c r="C274" s="12" t="inlineStr">
        <is>
          <t>Cost Account = CA-1078; WBS Code = 1.1.2</t>
        </is>
      </c>
      <c r="D274" s="12" t="inlineStr">
        <is>
          <t>Proposed by Source assignment; target 1.1.2 Guideway and Civil - Utility &amp; Roadworks</t>
        </is>
      </c>
      <c r="E274" s="12" t="inlineStr">
        <is>
          <t>None recorded</t>
        </is>
      </c>
      <c r="F274" s="12" t="inlineStr">
        <is>
          <t>No individual professional decision recorded; Source assignment -- not individually reviewed</t>
        </is>
      </c>
      <c r="G274" s="12" t="inlineStr">
        <is>
          <t>Not individually decided</t>
        </is>
      </c>
      <c r="H274" s="12" t="inlineStr">
        <is>
          <t xml:space="preserve">APPROVED / ONE_TO_ONE; </t>
        </is>
      </c>
      <c r="I274" s="12" t="inlineStr">
        <is>
          <t>New</t>
        </is>
      </c>
      <c r="J274" s="17" t="inlineStr">
        <is>
          <t>08 CROSSWALK</t>
        </is>
      </c>
    </row>
    <row r="275" ht="49" customHeight="1">
      <c r="A275" s="12" t="inlineStr">
        <is>
          <t>R1162-v1</t>
        </is>
      </c>
      <c r="B275" s="12" t="inlineStr">
        <is>
          <t>Cost &amp; Forecast Control Accounts / CST-01-080</t>
        </is>
      </c>
      <c r="C275" s="12" t="inlineStr">
        <is>
          <t>Cost Account = CA-1080; WBS Code = 1.1.2</t>
        </is>
      </c>
      <c r="D275" s="12" t="inlineStr">
        <is>
          <t>Proposed by Source assignment; target 1.1.2 Guideway and Civil - Utility &amp; Roadworks</t>
        </is>
      </c>
      <c r="E275" s="12" t="inlineStr">
        <is>
          <t>None recorded</t>
        </is>
      </c>
      <c r="F275" s="12" t="inlineStr">
        <is>
          <t>No individual professional decision recorded; Source assignment -- not individually reviewed</t>
        </is>
      </c>
      <c r="G275" s="12" t="inlineStr">
        <is>
          <t>Not individually decided</t>
        </is>
      </c>
      <c r="H275" s="12" t="inlineStr">
        <is>
          <t xml:space="preserve">APPROVED / ONE_TO_ONE; </t>
        </is>
      </c>
      <c r="I275" s="12" t="inlineStr">
        <is>
          <t>New</t>
        </is>
      </c>
      <c r="J275" s="17" t="inlineStr">
        <is>
          <t>08 CROSSWALK</t>
        </is>
      </c>
    </row>
    <row r="276" ht="94" customHeight="1">
      <c r="A276" s="12" t="inlineStr">
        <is>
          <t>R1563-v2</t>
        </is>
      </c>
      <c r="B276" s="12" t="inlineStr">
        <is>
          <t>Commercial Package Register / PKG-001</t>
        </is>
      </c>
      <c r="C276" s="12" t="inlineStr">
        <is>
          <t>Package Code = PK-101; WBS Code = 1.1;1.2</t>
        </is>
      </c>
      <c r="D276" s="12" t="inlineStr">
        <is>
          <t>Proposed by Professional; target 1.2 Stations</t>
        </is>
      </c>
      <c r="E276" s="12" t="inlineStr">
        <is>
          <t>Source states 'WBS Code' = '1.1;1.2' -- names no element of this WBS -- professional reason (Maya Chen, Owner Project Controls): Source package register explicitly states both Owner-WBS branches.</t>
        </is>
      </c>
      <c r="F276" s="12" t="inlineStr">
        <is>
          <t>Maya Chen, Owner Project Controls: Professional decision</t>
        </is>
      </c>
      <c r="G276" s="12" t="inlineStr">
        <is>
          <t>Individual</t>
        </is>
      </c>
      <c r="H276" s="12" t="inlineStr">
        <is>
          <t xml:space="preserve">APPROVED / ONE_TO_MANY; </t>
        </is>
      </c>
      <c r="I276" s="12" t="inlineStr">
        <is>
          <t>New</t>
        </is>
      </c>
      <c r="J276" s="17" t="inlineStr">
        <is>
          <t>08 CROSSWALK</t>
        </is>
      </c>
    </row>
    <row r="277" ht="49" customHeight="1">
      <c r="A277" s="12" t="inlineStr">
        <is>
          <t>R1573-v1</t>
        </is>
      </c>
      <c r="B277" s="12" t="inlineStr">
        <is>
          <t>Commercial Package Register / PKG-011</t>
        </is>
      </c>
      <c r="C277" s="12" t="inlineStr">
        <is>
          <t>Package Code = PK-201; WBS Code = 1.2</t>
        </is>
      </c>
      <c r="D277" s="12" t="inlineStr">
        <is>
          <t>Proposed by Source assignment; target 1.2 Stations</t>
        </is>
      </c>
      <c r="E277" s="12" t="inlineStr">
        <is>
          <t>None recorded</t>
        </is>
      </c>
      <c r="F277" s="12" t="inlineStr">
        <is>
          <t>No individual professional decision recorded; Source assignment -- not individually reviewed</t>
        </is>
      </c>
      <c r="G277" s="12" t="inlineStr">
        <is>
          <t>Not individually decided</t>
        </is>
      </c>
      <c r="H277" s="12" t="inlineStr">
        <is>
          <t xml:space="preserve">APPROVED / ONE_TO_ONE; </t>
        </is>
      </c>
      <c r="I277" s="12" t="inlineStr">
        <is>
          <t>New</t>
        </is>
      </c>
      <c r="J277" s="17" t="inlineStr">
        <is>
          <t>08 CROSSWALK</t>
        </is>
      </c>
    </row>
    <row r="278" ht="49" customHeight="1">
      <c r="A278" s="12" t="inlineStr">
        <is>
          <t>R1574-v1</t>
        </is>
      </c>
      <c r="B278" s="12" t="inlineStr">
        <is>
          <t>Commercial Package Register / PKG-012</t>
        </is>
      </c>
      <c r="C278" s="12" t="inlineStr">
        <is>
          <t>Package Code = PK-202; WBS Code = 1.2</t>
        </is>
      </c>
      <c r="D278" s="12" t="inlineStr">
        <is>
          <t>Proposed by Source assignment; target 1.2 Stations</t>
        </is>
      </c>
      <c r="E278" s="12" t="inlineStr">
        <is>
          <t>None recorded</t>
        </is>
      </c>
      <c r="F278" s="12" t="inlineStr">
        <is>
          <t>No individual professional decision recorded; Source assignment -- not individually reviewed</t>
        </is>
      </c>
      <c r="G278" s="12" t="inlineStr">
        <is>
          <t>Not individually decided</t>
        </is>
      </c>
      <c r="H278" s="12" t="inlineStr">
        <is>
          <t xml:space="preserve">APPROVED / ONE_TO_ONE; </t>
        </is>
      </c>
      <c r="I278" s="12" t="inlineStr">
        <is>
          <t>New</t>
        </is>
      </c>
      <c r="J278" s="17" t="inlineStr">
        <is>
          <t>08 CROSSWALK</t>
        </is>
      </c>
    </row>
    <row r="279" ht="49" customHeight="1">
      <c r="A279" s="12" t="inlineStr">
        <is>
          <t>R1575-v1</t>
        </is>
      </c>
      <c r="B279" s="12" t="inlineStr">
        <is>
          <t>Commercial Package Register / PKG-013</t>
        </is>
      </c>
      <c r="C279" s="12" t="inlineStr">
        <is>
          <t>Package Code = PK-203; WBS Code = 1.2</t>
        </is>
      </c>
      <c r="D279" s="12" t="inlineStr">
        <is>
          <t>Proposed by Source assignment; target 1.2 Stations</t>
        </is>
      </c>
      <c r="E279" s="12" t="inlineStr">
        <is>
          <t>None recorded</t>
        </is>
      </c>
      <c r="F279" s="12" t="inlineStr">
        <is>
          <t>No individual professional decision recorded; Source assignment -- not individually reviewed</t>
        </is>
      </c>
      <c r="G279" s="12" t="inlineStr">
        <is>
          <t>Not individually decided</t>
        </is>
      </c>
      <c r="H279" s="12" t="inlineStr">
        <is>
          <t xml:space="preserve">APPROVED / ONE_TO_ONE; </t>
        </is>
      </c>
      <c r="I279" s="12" t="inlineStr">
        <is>
          <t>New</t>
        </is>
      </c>
      <c r="J279" s="17" t="inlineStr">
        <is>
          <t>08 CROSSWALK</t>
        </is>
      </c>
    </row>
    <row r="280" ht="49" customHeight="1">
      <c r="A280" s="12" t="inlineStr">
        <is>
          <t>R1576-v1</t>
        </is>
      </c>
      <c r="B280" s="12" t="inlineStr">
        <is>
          <t>Commercial Package Register / PKG-014</t>
        </is>
      </c>
      <c r="C280" s="12" t="inlineStr">
        <is>
          <t>Package Code = PK-204; WBS Code = 1.2</t>
        </is>
      </c>
      <c r="D280" s="12" t="inlineStr">
        <is>
          <t>Proposed by Source assignment; target 1.2 Stations</t>
        </is>
      </c>
      <c r="E280" s="12" t="inlineStr">
        <is>
          <t>None recorded</t>
        </is>
      </c>
      <c r="F280" s="12" t="inlineStr">
        <is>
          <t>No individual professional decision recorded; Source assignment -- not individually reviewed</t>
        </is>
      </c>
      <c r="G280" s="12" t="inlineStr">
        <is>
          <t>Not individually decided</t>
        </is>
      </c>
      <c r="H280" s="12" t="inlineStr">
        <is>
          <t xml:space="preserve">APPROVED / ONE_TO_ONE; </t>
        </is>
      </c>
      <c r="I280" s="12" t="inlineStr">
        <is>
          <t>New</t>
        </is>
      </c>
      <c r="J280" s="17" t="inlineStr">
        <is>
          <t>08 CROSSWALK</t>
        </is>
      </c>
    </row>
    <row r="281" ht="49" customHeight="1">
      <c r="A281" s="12" t="inlineStr">
        <is>
          <t>R1577-v1</t>
        </is>
      </c>
      <c r="B281" s="12" t="inlineStr">
        <is>
          <t>Commercial Package Register / PKG-015</t>
        </is>
      </c>
      <c r="C281" s="12" t="inlineStr">
        <is>
          <t>Package Code = PK-205; WBS Code = 1.2</t>
        </is>
      </c>
      <c r="D281" s="12" t="inlineStr">
        <is>
          <t>Proposed by Source assignment; target 1.2 Stations</t>
        </is>
      </c>
      <c r="E281" s="12" t="inlineStr">
        <is>
          <t>None recorded</t>
        </is>
      </c>
      <c r="F281" s="12" t="inlineStr">
        <is>
          <t>No individual professional decision recorded; Source assignment -- not individually reviewed</t>
        </is>
      </c>
      <c r="G281" s="12" t="inlineStr">
        <is>
          <t>Not individually decided</t>
        </is>
      </c>
      <c r="H281" s="12" t="inlineStr">
        <is>
          <t xml:space="preserve">APPROVED / ONE_TO_ONE; </t>
        </is>
      </c>
      <c r="I281" s="12" t="inlineStr">
        <is>
          <t>New</t>
        </is>
      </c>
      <c r="J281" s="17" t="inlineStr">
        <is>
          <t>08 CROSSWALK</t>
        </is>
      </c>
    </row>
    <row r="282" ht="49" customHeight="1">
      <c r="A282" s="12" t="inlineStr">
        <is>
          <t>R1578-v1</t>
        </is>
      </c>
      <c r="B282" s="12" t="inlineStr">
        <is>
          <t>Commercial Package Register / PKG-016</t>
        </is>
      </c>
      <c r="C282" s="12" t="inlineStr">
        <is>
          <t>Package Code = PK-206; WBS Code = 1.2</t>
        </is>
      </c>
      <c r="D282" s="12" t="inlineStr">
        <is>
          <t>Proposed by Source assignment; target 1.2 Stations</t>
        </is>
      </c>
      <c r="E282" s="12" t="inlineStr">
        <is>
          <t>None recorded</t>
        </is>
      </c>
      <c r="F282" s="12" t="inlineStr">
        <is>
          <t>No individual professional decision recorded; Source assignment -- not individually reviewed</t>
        </is>
      </c>
      <c r="G282" s="12" t="inlineStr">
        <is>
          <t>Not individually decided</t>
        </is>
      </c>
      <c r="H282" s="12" t="inlineStr">
        <is>
          <t xml:space="preserve">APPROVED / ONE_TO_ONE; </t>
        </is>
      </c>
      <c r="I282" s="12" t="inlineStr">
        <is>
          <t>New</t>
        </is>
      </c>
      <c r="J282" s="17" t="inlineStr">
        <is>
          <t>08 CROSSWALK</t>
        </is>
      </c>
    </row>
    <row r="283" ht="49" customHeight="1">
      <c r="A283" s="12" t="inlineStr">
        <is>
          <t>R1579-v1</t>
        </is>
      </c>
      <c r="B283" s="12" t="inlineStr">
        <is>
          <t>Commercial Package Register / PKG-017</t>
        </is>
      </c>
      <c r="C283" s="12" t="inlineStr">
        <is>
          <t>Package Code = PK-207; WBS Code = 1.2</t>
        </is>
      </c>
      <c r="D283" s="12" t="inlineStr">
        <is>
          <t>Proposed by Source assignment; target 1.2 Stations</t>
        </is>
      </c>
      <c r="E283" s="12" t="inlineStr">
        <is>
          <t>None recorded</t>
        </is>
      </c>
      <c r="F283" s="12" t="inlineStr">
        <is>
          <t>No individual professional decision recorded; Source assignment -- not individually reviewed</t>
        </is>
      </c>
      <c r="G283" s="12" t="inlineStr">
        <is>
          <t>Not individually decided</t>
        </is>
      </c>
      <c r="H283" s="12" t="inlineStr">
        <is>
          <t xml:space="preserve">APPROVED / ONE_TO_ONE; </t>
        </is>
      </c>
      <c r="I283" s="12" t="inlineStr">
        <is>
          <t>New</t>
        </is>
      </c>
      <c r="J283" s="17" t="inlineStr">
        <is>
          <t>08 CROSSWALK</t>
        </is>
      </c>
    </row>
    <row r="284" ht="49" customHeight="1">
      <c r="A284" s="12" t="inlineStr">
        <is>
          <t>R1580-v1</t>
        </is>
      </c>
      <c r="B284" s="12" t="inlineStr">
        <is>
          <t>Commercial Package Register / PKG-018</t>
        </is>
      </c>
      <c r="C284" s="12" t="inlineStr">
        <is>
          <t>Package Code = PK-208; WBS Code = 1.2</t>
        </is>
      </c>
      <c r="D284" s="12" t="inlineStr">
        <is>
          <t>Proposed by Source assignment; target 1.2 Stations</t>
        </is>
      </c>
      <c r="E284" s="12" t="inlineStr">
        <is>
          <t>None recorded</t>
        </is>
      </c>
      <c r="F284" s="12" t="inlineStr">
        <is>
          <t>No individual professional decision recorded; Source assignment -- not individually reviewed</t>
        </is>
      </c>
      <c r="G284" s="12" t="inlineStr">
        <is>
          <t>Not individually decided</t>
        </is>
      </c>
      <c r="H284" s="12" t="inlineStr">
        <is>
          <t xml:space="preserve">APPROVED / ONE_TO_ONE; </t>
        </is>
      </c>
      <c r="I284" s="12" t="inlineStr">
        <is>
          <t>New</t>
        </is>
      </c>
      <c r="J284" s="17" t="inlineStr">
        <is>
          <t>08 CROSSWALK</t>
        </is>
      </c>
    </row>
    <row r="285" ht="49" customHeight="1">
      <c r="A285" s="12" t="inlineStr">
        <is>
          <t>R1581-v1</t>
        </is>
      </c>
      <c r="B285" s="12" t="inlineStr">
        <is>
          <t>Commercial Package Register / PKG-019</t>
        </is>
      </c>
      <c r="C285" s="12" t="inlineStr">
        <is>
          <t>Package Code = PK-209; WBS Code = 1.2</t>
        </is>
      </c>
      <c r="D285" s="12" t="inlineStr">
        <is>
          <t>Proposed by Source assignment; target 1.2 Stations</t>
        </is>
      </c>
      <c r="E285" s="12" t="inlineStr">
        <is>
          <t>None recorded</t>
        </is>
      </c>
      <c r="F285" s="12" t="inlineStr">
        <is>
          <t>No individual professional decision recorded; Source assignment -- not individually reviewed</t>
        </is>
      </c>
      <c r="G285" s="12" t="inlineStr">
        <is>
          <t>Not individually decided</t>
        </is>
      </c>
      <c r="H285" s="12" t="inlineStr">
        <is>
          <t xml:space="preserve">APPROVED / ONE_TO_ONE; </t>
        </is>
      </c>
      <c r="I285" s="12" t="inlineStr">
        <is>
          <t>New</t>
        </is>
      </c>
      <c r="J285" s="17" t="inlineStr">
        <is>
          <t>08 CROSSWALK</t>
        </is>
      </c>
    </row>
    <row r="286" ht="49" customHeight="1">
      <c r="A286" s="12" t="inlineStr">
        <is>
          <t>R1582-v1</t>
        </is>
      </c>
      <c r="B286" s="12" t="inlineStr">
        <is>
          <t>Commercial Package Register / PKG-020</t>
        </is>
      </c>
      <c r="C286" s="12" t="inlineStr">
        <is>
          <t>Package Code = PK-210; WBS Code = 1.2</t>
        </is>
      </c>
      <c r="D286" s="12" t="inlineStr">
        <is>
          <t>Proposed by Source assignment; target 1.2 Stations</t>
        </is>
      </c>
      <c r="E286" s="12" t="inlineStr">
        <is>
          <t>None recorded</t>
        </is>
      </c>
      <c r="F286" s="12" t="inlineStr">
        <is>
          <t>No individual professional decision recorded; Source assignment -- not individually reviewed</t>
        </is>
      </c>
      <c r="G286" s="12" t="inlineStr">
        <is>
          <t>Not individually decided</t>
        </is>
      </c>
      <c r="H286" s="12" t="inlineStr">
        <is>
          <t xml:space="preserve">APPROVED / ONE_TO_ONE; </t>
        </is>
      </c>
      <c r="I286" s="12" t="inlineStr">
        <is>
          <t>New</t>
        </is>
      </c>
      <c r="J286" s="17" t="inlineStr">
        <is>
          <t>08 CROSSWALK</t>
        </is>
      </c>
    </row>
    <row r="287" ht="49" customHeight="1">
      <c r="A287" s="12" t="inlineStr">
        <is>
          <t>R181-v1</t>
        </is>
      </c>
      <c r="B287" s="12" t="inlineStr">
        <is>
          <t>Contractor Programme / SCH-02-001</t>
        </is>
      </c>
      <c r="C287" s="12" t="inlineStr">
        <is>
          <t>WBS Code = 1.2.1</t>
        </is>
      </c>
      <c r="D287" s="12" t="inlineStr">
        <is>
          <t>Proposed by Source assignment; target 1.2.1 Stations - Station Structures</t>
        </is>
      </c>
      <c r="E287" s="12" t="inlineStr">
        <is>
          <t>None recorded</t>
        </is>
      </c>
      <c r="F287" s="12" t="inlineStr">
        <is>
          <t>No individual professional decision recorded; Source assignment -- not individually reviewed</t>
        </is>
      </c>
      <c r="G287" s="12" t="inlineStr">
        <is>
          <t>Not individually decided</t>
        </is>
      </c>
      <c r="H287" s="12" t="inlineStr">
        <is>
          <t xml:space="preserve">APPROVED / ONE_TO_ONE; </t>
        </is>
      </c>
      <c r="I287" s="12" t="inlineStr">
        <is>
          <t>New</t>
        </is>
      </c>
      <c r="J287" s="17" t="inlineStr">
        <is>
          <t>08 CROSSWALK</t>
        </is>
      </c>
    </row>
    <row r="288" ht="49" customHeight="1">
      <c r="A288" s="12" t="inlineStr">
        <is>
          <t>R182-v1</t>
        </is>
      </c>
      <c r="B288" s="12" t="inlineStr">
        <is>
          <t>Contractor Programme / SCH-02-002</t>
        </is>
      </c>
      <c r="C288" s="12" t="inlineStr">
        <is>
          <t>WBS Code = 1.2.1</t>
        </is>
      </c>
      <c r="D288" s="12" t="inlineStr">
        <is>
          <t>Proposed by Source assignment; target 1.2.1 Stations - Station Structures</t>
        </is>
      </c>
      <c r="E288" s="12" t="inlineStr">
        <is>
          <t>None recorded</t>
        </is>
      </c>
      <c r="F288" s="12" t="inlineStr">
        <is>
          <t>No individual professional decision recorded; Source assignment -- not individually reviewed</t>
        </is>
      </c>
      <c r="G288" s="12" t="inlineStr">
        <is>
          <t>Not individually decided</t>
        </is>
      </c>
      <c r="H288" s="12" t="inlineStr">
        <is>
          <t xml:space="preserve">APPROVED / ONE_TO_ONE; </t>
        </is>
      </c>
      <c r="I288" s="12" t="inlineStr">
        <is>
          <t>New</t>
        </is>
      </c>
      <c r="J288" s="17" t="inlineStr">
        <is>
          <t>08 CROSSWALK</t>
        </is>
      </c>
    </row>
    <row r="289" ht="49" customHeight="1">
      <c r="A289" s="12" t="inlineStr">
        <is>
          <t>R184-v1</t>
        </is>
      </c>
      <c r="B289" s="12" t="inlineStr">
        <is>
          <t>Contractor Programme / SCH-02-004</t>
        </is>
      </c>
      <c r="C289" s="12" t="inlineStr">
        <is>
          <t>WBS Code = 1.2.1</t>
        </is>
      </c>
      <c r="D289" s="12" t="inlineStr">
        <is>
          <t>Proposed by Source assignment; target 1.2.1 Stations - Station Structures</t>
        </is>
      </c>
      <c r="E289" s="12" t="inlineStr">
        <is>
          <t>None recorded</t>
        </is>
      </c>
      <c r="F289" s="12" t="inlineStr">
        <is>
          <t>No individual professional decision recorded; Source assignment -- not individually reviewed</t>
        </is>
      </c>
      <c r="G289" s="12" t="inlineStr">
        <is>
          <t>Not individually decided</t>
        </is>
      </c>
      <c r="H289" s="12" t="inlineStr">
        <is>
          <t xml:space="preserve">APPROVED / ONE_TO_ONE; </t>
        </is>
      </c>
      <c r="I289" s="12" t="inlineStr">
        <is>
          <t>New</t>
        </is>
      </c>
      <c r="J289" s="17" t="inlineStr">
        <is>
          <t>08 CROSSWALK</t>
        </is>
      </c>
    </row>
    <row r="290" ht="49" customHeight="1">
      <c r="A290" s="12" t="inlineStr">
        <is>
          <t>R185-v1</t>
        </is>
      </c>
      <c r="B290" s="12" t="inlineStr">
        <is>
          <t>Contractor Programme / SCH-02-005</t>
        </is>
      </c>
      <c r="C290" s="12" t="inlineStr">
        <is>
          <t>WBS Code = 1.2.1</t>
        </is>
      </c>
      <c r="D290" s="12" t="inlineStr">
        <is>
          <t>Proposed by Source assignment; target 1.2.1 Stations - Station Structures</t>
        </is>
      </c>
      <c r="E290" s="12" t="inlineStr">
        <is>
          <t>None recorded</t>
        </is>
      </c>
      <c r="F290" s="12" t="inlineStr">
        <is>
          <t>No individual professional decision recorded; Source assignment -- not individually reviewed</t>
        </is>
      </c>
      <c r="G290" s="12" t="inlineStr">
        <is>
          <t>Not individually decided</t>
        </is>
      </c>
      <c r="H290" s="12" t="inlineStr">
        <is>
          <t xml:space="preserve">APPROVED / ONE_TO_ONE; </t>
        </is>
      </c>
      <c r="I290" s="12" t="inlineStr">
        <is>
          <t>New</t>
        </is>
      </c>
      <c r="J290" s="17" t="inlineStr">
        <is>
          <t>08 CROSSWALK</t>
        </is>
      </c>
    </row>
    <row r="291" ht="49" customHeight="1">
      <c r="A291" s="12" t="inlineStr">
        <is>
          <t>R187-v1</t>
        </is>
      </c>
      <c r="B291" s="12" t="inlineStr">
        <is>
          <t>Contractor Programme / SCH-02-007</t>
        </is>
      </c>
      <c r="C291" s="12" t="inlineStr">
        <is>
          <t>WBS Code = 1.2.1</t>
        </is>
      </c>
      <c r="D291" s="12" t="inlineStr">
        <is>
          <t>Proposed by Source assignment; target 1.2.1 Stations - Station Structures</t>
        </is>
      </c>
      <c r="E291" s="12" t="inlineStr">
        <is>
          <t>None recorded</t>
        </is>
      </c>
      <c r="F291" s="12" t="inlineStr">
        <is>
          <t>No individual professional decision recorded; Source assignment -- not individually reviewed</t>
        </is>
      </c>
      <c r="G291" s="12" t="inlineStr">
        <is>
          <t>Not individually decided</t>
        </is>
      </c>
      <c r="H291" s="12" t="inlineStr">
        <is>
          <t xml:space="preserve">APPROVED / ONE_TO_ONE; </t>
        </is>
      </c>
      <c r="I291" s="12" t="inlineStr">
        <is>
          <t>New</t>
        </is>
      </c>
      <c r="J291" s="17" t="inlineStr">
        <is>
          <t>08 CROSSWALK</t>
        </is>
      </c>
    </row>
    <row r="292" ht="49" customHeight="1">
      <c r="A292" s="12" t="inlineStr">
        <is>
          <t>R188-v1</t>
        </is>
      </c>
      <c r="B292" s="12" t="inlineStr">
        <is>
          <t>Contractor Programme / SCH-02-008</t>
        </is>
      </c>
      <c r="C292" s="12" t="inlineStr">
        <is>
          <t>WBS Code = 1.2.1</t>
        </is>
      </c>
      <c r="D292" s="12" t="inlineStr">
        <is>
          <t>Proposed by Source assignment; target 1.2.1 Stations - Station Structures</t>
        </is>
      </c>
      <c r="E292" s="12" t="inlineStr">
        <is>
          <t>None recorded</t>
        </is>
      </c>
      <c r="F292" s="12" t="inlineStr">
        <is>
          <t>No individual professional decision recorded; Source assignment -- not individually reviewed</t>
        </is>
      </c>
      <c r="G292" s="12" t="inlineStr">
        <is>
          <t>Not individually decided</t>
        </is>
      </c>
      <c r="H292" s="12" t="inlineStr">
        <is>
          <t xml:space="preserve">APPROVED / ONE_TO_ONE; </t>
        </is>
      </c>
      <c r="I292" s="12" t="inlineStr">
        <is>
          <t>New</t>
        </is>
      </c>
      <c r="J292" s="17" t="inlineStr">
        <is>
          <t>08 CROSSWALK</t>
        </is>
      </c>
    </row>
    <row r="293" ht="49" customHeight="1">
      <c r="A293" s="12" t="inlineStr">
        <is>
          <t>R190-v1</t>
        </is>
      </c>
      <c r="B293" s="12" t="inlineStr">
        <is>
          <t>Contractor Programme / SCH-02-010</t>
        </is>
      </c>
      <c r="C293" s="12" t="inlineStr">
        <is>
          <t>WBS Code = 1.2.1</t>
        </is>
      </c>
      <c r="D293" s="12" t="inlineStr">
        <is>
          <t>Proposed by Source assignment; target 1.2.1 Stations - Station Structures</t>
        </is>
      </c>
      <c r="E293" s="12" t="inlineStr">
        <is>
          <t>None recorded</t>
        </is>
      </c>
      <c r="F293" s="12" t="inlineStr">
        <is>
          <t>No individual professional decision recorded; Source assignment -- not individually reviewed</t>
        </is>
      </c>
      <c r="G293" s="12" t="inlineStr">
        <is>
          <t>Not individually decided</t>
        </is>
      </c>
      <c r="H293" s="12" t="inlineStr">
        <is>
          <t xml:space="preserve">APPROVED / ONE_TO_ONE; </t>
        </is>
      </c>
      <c r="I293" s="12" t="inlineStr">
        <is>
          <t>New</t>
        </is>
      </c>
      <c r="J293" s="17" t="inlineStr">
        <is>
          <t>08 CROSSWALK</t>
        </is>
      </c>
    </row>
    <row r="294" ht="49" customHeight="1">
      <c r="A294" s="12" t="inlineStr">
        <is>
          <t>R191-v1</t>
        </is>
      </c>
      <c r="B294" s="12" t="inlineStr">
        <is>
          <t>Contractor Programme / SCH-02-011</t>
        </is>
      </c>
      <c r="C294" s="12" t="inlineStr">
        <is>
          <t>WBS Code = 1.2.1</t>
        </is>
      </c>
      <c r="D294" s="12" t="inlineStr">
        <is>
          <t>Proposed by Source assignment; target 1.2.1 Stations - Station Structures</t>
        </is>
      </c>
      <c r="E294" s="12" t="inlineStr">
        <is>
          <t>None recorded</t>
        </is>
      </c>
      <c r="F294" s="12" t="inlineStr">
        <is>
          <t>No individual professional decision recorded; Source assignment -- not individually reviewed</t>
        </is>
      </c>
      <c r="G294" s="12" t="inlineStr">
        <is>
          <t>Not individually decided</t>
        </is>
      </c>
      <c r="H294" s="12" t="inlineStr">
        <is>
          <t xml:space="preserve">APPROVED / ONE_TO_ONE; </t>
        </is>
      </c>
      <c r="I294" s="12" t="inlineStr">
        <is>
          <t>New</t>
        </is>
      </c>
      <c r="J294" s="17" t="inlineStr">
        <is>
          <t>08 CROSSWALK</t>
        </is>
      </c>
    </row>
    <row r="295" ht="49" customHeight="1">
      <c r="A295" s="12" t="inlineStr">
        <is>
          <t>R193-v1</t>
        </is>
      </c>
      <c r="B295" s="12" t="inlineStr">
        <is>
          <t>Contractor Programme / SCH-02-013</t>
        </is>
      </c>
      <c r="C295" s="12" t="inlineStr">
        <is>
          <t>WBS Code = 1.2.1</t>
        </is>
      </c>
      <c r="D295" s="12" t="inlineStr">
        <is>
          <t>Proposed by Source assignment; target 1.2.1 Stations - Station Structures</t>
        </is>
      </c>
      <c r="E295" s="12" t="inlineStr">
        <is>
          <t>None recorded</t>
        </is>
      </c>
      <c r="F295" s="12" t="inlineStr">
        <is>
          <t>No individual professional decision recorded; Source assignment -- not individually reviewed</t>
        </is>
      </c>
      <c r="G295" s="12" t="inlineStr">
        <is>
          <t>Not individually decided</t>
        </is>
      </c>
      <c r="H295" s="12" t="inlineStr">
        <is>
          <t xml:space="preserve">APPROVED / ONE_TO_ONE; </t>
        </is>
      </c>
      <c r="I295" s="12" t="inlineStr">
        <is>
          <t>New</t>
        </is>
      </c>
      <c r="J295" s="17" t="inlineStr">
        <is>
          <t>08 CROSSWALK</t>
        </is>
      </c>
    </row>
    <row r="296" ht="49" customHeight="1">
      <c r="A296" s="12" t="inlineStr">
        <is>
          <t>R194-v1</t>
        </is>
      </c>
      <c r="B296" s="12" t="inlineStr">
        <is>
          <t>Contractor Programme / SCH-02-014</t>
        </is>
      </c>
      <c r="C296" s="12" t="inlineStr">
        <is>
          <t>WBS Code = 1.2.1</t>
        </is>
      </c>
      <c r="D296" s="12" t="inlineStr">
        <is>
          <t>Proposed by Source assignment; target 1.2.1 Stations - Station Structures</t>
        </is>
      </c>
      <c r="E296" s="12" t="inlineStr">
        <is>
          <t>None recorded</t>
        </is>
      </c>
      <c r="F296" s="12" t="inlineStr">
        <is>
          <t>No individual professional decision recorded; Source assignment -- not individually reviewed</t>
        </is>
      </c>
      <c r="G296" s="12" t="inlineStr">
        <is>
          <t>Not individually decided</t>
        </is>
      </c>
      <c r="H296" s="12" t="inlineStr">
        <is>
          <t xml:space="preserve">APPROVED / ONE_TO_ONE; </t>
        </is>
      </c>
      <c r="I296" s="12" t="inlineStr">
        <is>
          <t>New</t>
        </is>
      </c>
      <c r="J296" s="17" t="inlineStr">
        <is>
          <t>08 CROSSWALK</t>
        </is>
      </c>
    </row>
    <row r="297" ht="49" customHeight="1">
      <c r="A297" s="12" t="inlineStr">
        <is>
          <t>R196-v1</t>
        </is>
      </c>
      <c r="B297" s="12" t="inlineStr">
        <is>
          <t>Contractor Programme / SCH-02-016</t>
        </is>
      </c>
      <c r="C297" s="12" t="inlineStr">
        <is>
          <t>WBS Code = 1.2.1</t>
        </is>
      </c>
      <c r="D297" s="12" t="inlineStr">
        <is>
          <t>Proposed by Source assignment; target 1.2.1 Stations - Station Structures</t>
        </is>
      </c>
      <c r="E297" s="12" t="inlineStr">
        <is>
          <t>None recorded</t>
        </is>
      </c>
      <c r="F297" s="12" t="inlineStr">
        <is>
          <t>No individual professional decision recorded; Source assignment -- not individually reviewed</t>
        </is>
      </c>
      <c r="G297" s="12" t="inlineStr">
        <is>
          <t>Not individually decided</t>
        </is>
      </c>
      <c r="H297" s="12" t="inlineStr">
        <is>
          <t xml:space="preserve">APPROVED / ONE_TO_ONE; </t>
        </is>
      </c>
      <c r="I297" s="12" t="inlineStr">
        <is>
          <t>New</t>
        </is>
      </c>
      <c r="J297" s="17" t="inlineStr">
        <is>
          <t>08 CROSSWALK</t>
        </is>
      </c>
    </row>
    <row r="298" ht="49" customHeight="1">
      <c r="A298" s="12" t="inlineStr">
        <is>
          <t>R197-v1</t>
        </is>
      </c>
      <c r="B298" s="12" t="inlineStr">
        <is>
          <t>Contractor Programme / SCH-02-017</t>
        </is>
      </c>
      <c r="C298" s="12" t="inlineStr">
        <is>
          <t>WBS Code = 1.2.1</t>
        </is>
      </c>
      <c r="D298" s="12" t="inlineStr">
        <is>
          <t>Proposed by Source assignment; target 1.2.1 Stations - Station Structures</t>
        </is>
      </c>
      <c r="E298" s="12" t="inlineStr">
        <is>
          <t>None recorded</t>
        </is>
      </c>
      <c r="F298" s="12" t="inlineStr">
        <is>
          <t>No individual professional decision recorded; Source assignment -- not individually reviewed</t>
        </is>
      </c>
      <c r="G298" s="12" t="inlineStr">
        <is>
          <t>Not individually decided</t>
        </is>
      </c>
      <c r="H298" s="12" t="inlineStr">
        <is>
          <t xml:space="preserve">APPROVED / ONE_TO_ONE; </t>
        </is>
      </c>
      <c r="I298" s="12" t="inlineStr">
        <is>
          <t>New</t>
        </is>
      </c>
      <c r="J298" s="17" t="inlineStr">
        <is>
          <t>08 CROSSWALK</t>
        </is>
      </c>
    </row>
    <row r="299" ht="49" customHeight="1">
      <c r="A299" s="12" t="inlineStr">
        <is>
          <t>R199-v1</t>
        </is>
      </c>
      <c r="B299" s="12" t="inlineStr">
        <is>
          <t>Contractor Programme / SCH-02-019</t>
        </is>
      </c>
      <c r="C299" s="12" t="inlineStr">
        <is>
          <t>WBS Code = 1.2.1</t>
        </is>
      </c>
      <c r="D299" s="12" t="inlineStr">
        <is>
          <t>Proposed by Source assignment; target 1.2.1 Stations - Station Structures</t>
        </is>
      </c>
      <c r="E299" s="12" t="inlineStr">
        <is>
          <t>None recorded</t>
        </is>
      </c>
      <c r="F299" s="12" t="inlineStr">
        <is>
          <t>No individual professional decision recorded; Source assignment -- not individually reviewed</t>
        </is>
      </c>
      <c r="G299" s="12" t="inlineStr">
        <is>
          <t>Not individually decided</t>
        </is>
      </c>
      <c r="H299" s="12" t="inlineStr">
        <is>
          <t xml:space="preserve">APPROVED / ONE_TO_ONE; </t>
        </is>
      </c>
      <c r="I299" s="12" t="inlineStr">
        <is>
          <t>New</t>
        </is>
      </c>
      <c r="J299" s="17" t="inlineStr">
        <is>
          <t>08 CROSSWALK</t>
        </is>
      </c>
    </row>
    <row r="300" ht="49" customHeight="1">
      <c r="A300" s="12" t="inlineStr">
        <is>
          <t>R200-v1</t>
        </is>
      </c>
      <c r="B300" s="12" t="inlineStr">
        <is>
          <t>Contractor Programme / SCH-02-020</t>
        </is>
      </c>
      <c r="C300" s="12" t="inlineStr">
        <is>
          <t>WBS Code = 1.2.1</t>
        </is>
      </c>
      <c r="D300" s="12" t="inlineStr">
        <is>
          <t>Proposed by Source assignment; target 1.2.1 Stations - Station Structures</t>
        </is>
      </c>
      <c r="E300" s="12" t="inlineStr">
        <is>
          <t>None recorded</t>
        </is>
      </c>
      <c r="F300" s="12" t="inlineStr">
        <is>
          <t>No individual professional decision recorded; Source assignment -- not individually reviewed</t>
        </is>
      </c>
      <c r="G300" s="12" t="inlineStr">
        <is>
          <t>Not individually decided</t>
        </is>
      </c>
      <c r="H300" s="12" t="inlineStr">
        <is>
          <t xml:space="preserve">APPROVED / ONE_TO_ONE; </t>
        </is>
      </c>
      <c r="I300" s="12" t="inlineStr">
        <is>
          <t>New</t>
        </is>
      </c>
      <c r="J300" s="17" t="inlineStr">
        <is>
          <t>08 CROSSWALK</t>
        </is>
      </c>
    </row>
    <row r="301" ht="49" customHeight="1">
      <c r="A301" s="12" t="inlineStr">
        <is>
          <t>R202-v1</t>
        </is>
      </c>
      <c r="B301" s="12" t="inlineStr">
        <is>
          <t>Contractor Programme / SCH-02-022</t>
        </is>
      </c>
      <c r="C301" s="12" t="inlineStr">
        <is>
          <t>WBS Code = 1.2.1</t>
        </is>
      </c>
      <c r="D301" s="12" t="inlineStr">
        <is>
          <t>Proposed by Source assignment; target 1.2.1 Stations - Station Structures</t>
        </is>
      </c>
      <c r="E301" s="12" t="inlineStr">
        <is>
          <t>None recorded</t>
        </is>
      </c>
      <c r="F301" s="12" t="inlineStr">
        <is>
          <t>No individual professional decision recorded; Source assignment -- not individually reviewed</t>
        </is>
      </c>
      <c r="G301" s="12" t="inlineStr">
        <is>
          <t>Not individually decided</t>
        </is>
      </c>
      <c r="H301" s="12" t="inlineStr">
        <is>
          <t xml:space="preserve">APPROVED / ONE_TO_ONE; </t>
        </is>
      </c>
      <c r="I301" s="12" t="inlineStr">
        <is>
          <t>New</t>
        </is>
      </c>
      <c r="J301" s="17" t="inlineStr">
        <is>
          <t>08 CROSSWALK</t>
        </is>
      </c>
    </row>
    <row r="302" ht="49" customHeight="1">
      <c r="A302" s="12" t="inlineStr">
        <is>
          <t>R203-v1</t>
        </is>
      </c>
      <c r="B302" s="12" t="inlineStr">
        <is>
          <t>Contractor Programme / SCH-02-023</t>
        </is>
      </c>
      <c r="C302" s="12" t="inlineStr">
        <is>
          <t>WBS Code = 1.2.1</t>
        </is>
      </c>
      <c r="D302" s="12" t="inlineStr">
        <is>
          <t>Proposed by Source assignment; target 1.2.1 Stations - Station Structures</t>
        </is>
      </c>
      <c r="E302" s="12" t="inlineStr">
        <is>
          <t>None recorded</t>
        </is>
      </c>
      <c r="F302" s="12" t="inlineStr">
        <is>
          <t>No individual professional decision recorded; Source assignment -- not individually reviewed</t>
        </is>
      </c>
      <c r="G302" s="12" t="inlineStr">
        <is>
          <t>Not individually decided</t>
        </is>
      </c>
      <c r="H302" s="12" t="inlineStr">
        <is>
          <t xml:space="preserve">APPROVED / ONE_TO_ONE; </t>
        </is>
      </c>
      <c r="I302" s="12" t="inlineStr">
        <is>
          <t>New</t>
        </is>
      </c>
      <c r="J302" s="17" t="inlineStr">
        <is>
          <t>08 CROSSWALK</t>
        </is>
      </c>
    </row>
    <row r="303" ht="49" customHeight="1">
      <c r="A303" s="12" t="inlineStr">
        <is>
          <t>R205-v1</t>
        </is>
      </c>
      <c r="B303" s="12" t="inlineStr">
        <is>
          <t>Contractor Programme / SCH-02-025</t>
        </is>
      </c>
      <c r="C303" s="12" t="inlineStr">
        <is>
          <t>WBS Code = 1.2.1</t>
        </is>
      </c>
      <c r="D303" s="12" t="inlineStr">
        <is>
          <t>Proposed by Source assignment; target 1.2.1 Stations - Station Structures</t>
        </is>
      </c>
      <c r="E303" s="12" t="inlineStr">
        <is>
          <t>None recorded</t>
        </is>
      </c>
      <c r="F303" s="12" t="inlineStr">
        <is>
          <t>No individual professional decision recorded; Source assignment -- not individually reviewed</t>
        </is>
      </c>
      <c r="G303" s="12" t="inlineStr">
        <is>
          <t>Not individually decided</t>
        </is>
      </c>
      <c r="H303" s="12" t="inlineStr">
        <is>
          <t xml:space="preserve">APPROVED / ONE_TO_ONE; </t>
        </is>
      </c>
      <c r="I303" s="12" t="inlineStr">
        <is>
          <t>New</t>
        </is>
      </c>
      <c r="J303" s="17" t="inlineStr">
        <is>
          <t>08 CROSSWALK</t>
        </is>
      </c>
    </row>
    <row r="304" ht="49" customHeight="1">
      <c r="A304" s="12" t="inlineStr">
        <is>
          <t>R206-v1</t>
        </is>
      </c>
      <c r="B304" s="12" t="inlineStr">
        <is>
          <t>Contractor Programme / SCH-02-026</t>
        </is>
      </c>
      <c r="C304" s="12" t="inlineStr">
        <is>
          <t>WBS Code = 1.2.1</t>
        </is>
      </c>
      <c r="D304" s="12" t="inlineStr">
        <is>
          <t>Proposed by Source assignment; target 1.2.1 Stations - Station Structures</t>
        </is>
      </c>
      <c r="E304" s="12" t="inlineStr">
        <is>
          <t>None recorded</t>
        </is>
      </c>
      <c r="F304" s="12" t="inlineStr">
        <is>
          <t>No individual professional decision recorded; Source assignment -- not individually reviewed</t>
        </is>
      </c>
      <c r="G304" s="12" t="inlineStr">
        <is>
          <t>Not individually decided</t>
        </is>
      </c>
      <c r="H304" s="12" t="inlineStr">
        <is>
          <t xml:space="preserve">APPROVED / ONE_TO_ONE; </t>
        </is>
      </c>
      <c r="I304" s="12" t="inlineStr">
        <is>
          <t>New</t>
        </is>
      </c>
      <c r="J304" s="17" t="inlineStr">
        <is>
          <t>08 CROSSWALK</t>
        </is>
      </c>
    </row>
    <row r="305" ht="49" customHeight="1">
      <c r="A305" s="12" t="inlineStr">
        <is>
          <t>R208-v1</t>
        </is>
      </c>
      <c r="B305" s="12" t="inlineStr">
        <is>
          <t>Contractor Programme / SCH-02-028</t>
        </is>
      </c>
      <c r="C305" s="12" t="inlineStr">
        <is>
          <t>WBS Code = 1.2.1</t>
        </is>
      </c>
      <c r="D305" s="12" t="inlineStr">
        <is>
          <t>Proposed by Source assignment; target 1.2.1 Stations - Station Structures</t>
        </is>
      </c>
      <c r="E305" s="12" t="inlineStr">
        <is>
          <t>None recorded</t>
        </is>
      </c>
      <c r="F305" s="12" t="inlineStr">
        <is>
          <t>No individual professional decision recorded; Source assignment -- not individually reviewed</t>
        </is>
      </c>
      <c r="G305" s="12" t="inlineStr">
        <is>
          <t>Not individually decided</t>
        </is>
      </c>
      <c r="H305" s="12" t="inlineStr">
        <is>
          <t xml:space="preserve">APPROVED / ONE_TO_ONE; </t>
        </is>
      </c>
      <c r="I305" s="12" t="inlineStr">
        <is>
          <t>New</t>
        </is>
      </c>
      <c r="J305" s="17" t="inlineStr">
        <is>
          <t>08 CROSSWALK</t>
        </is>
      </c>
    </row>
    <row r="306" ht="49" customHeight="1">
      <c r="A306" s="12" t="inlineStr">
        <is>
          <t>R209-v1</t>
        </is>
      </c>
      <c r="B306" s="12" t="inlineStr">
        <is>
          <t>Contractor Programme / SCH-02-029</t>
        </is>
      </c>
      <c r="C306" s="12" t="inlineStr">
        <is>
          <t>WBS Code = 1.2.1</t>
        </is>
      </c>
      <c r="D306" s="12" t="inlineStr">
        <is>
          <t>Proposed by Source assignment; target 1.2.1 Stations - Station Structures</t>
        </is>
      </c>
      <c r="E306" s="12" t="inlineStr">
        <is>
          <t>None recorded</t>
        </is>
      </c>
      <c r="F306" s="12" t="inlineStr">
        <is>
          <t>No individual professional decision recorded; Source assignment -- not individually reviewed</t>
        </is>
      </c>
      <c r="G306" s="12" t="inlineStr">
        <is>
          <t>Not individually decided</t>
        </is>
      </c>
      <c r="H306" s="12" t="inlineStr">
        <is>
          <t xml:space="preserve">APPROVED / ONE_TO_ONE; </t>
        </is>
      </c>
      <c r="I306" s="12" t="inlineStr">
        <is>
          <t>New</t>
        </is>
      </c>
      <c r="J306" s="17" t="inlineStr">
        <is>
          <t>08 CROSSWALK</t>
        </is>
      </c>
    </row>
    <row r="307" ht="49" customHeight="1">
      <c r="A307" s="12" t="inlineStr">
        <is>
          <t>R211-v1</t>
        </is>
      </c>
      <c r="B307" s="12" t="inlineStr">
        <is>
          <t>Contractor Programme / SCH-02-031</t>
        </is>
      </c>
      <c r="C307" s="12" t="inlineStr">
        <is>
          <t>WBS Code = 1.2.1</t>
        </is>
      </c>
      <c r="D307" s="12" t="inlineStr">
        <is>
          <t>Proposed by Source assignment; target 1.2.1 Stations - Station Structures</t>
        </is>
      </c>
      <c r="E307" s="12" t="inlineStr">
        <is>
          <t>None recorded</t>
        </is>
      </c>
      <c r="F307" s="12" t="inlineStr">
        <is>
          <t>No individual professional decision recorded; Source assignment -- not individually reviewed</t>
        </is>
      </c>
      <c r="G307" s="12" t="inlineStr">
        <is>
          <t>Not individually decided</t>
        </is>
      </c>
      <c r="H307" s="12" t="inlineStr">
        <is>
          <t xml:space="preserve">APPROVED / ONE_TO_ONE; </t>
        </is>
      </c>
      <c r="I307" s="12" t="inlineStr">
        <is>
          <t>New</t>
        </is>
      </c>
      <c r="J307" s="17" t="inlineStr">
        <is>
          <t>08 CROSSWALK</t>
        </is>
      </c>
    </row>
    <row r="308" ht="49" customHeight="1">
      <c r="A308" s="12" t="inlineStr">
        <is>
          <t>R212-v1</t>
        </is>
      </c>
      <c r="B308" s="12" t="inlineStr">
        <is>
          <t>Contractor Programme / SCH-02-032</t>
        </is>
      </c>
      <c r="C308" s="12" t="inlineStr">
        <is>
          <t>WBS Code = 1.2.1</t>
        </is>
      </c>
      <c r="D308" s="12" t="inlineStr">
        <is>
          <t>Proposed by Source assignment; target 1.2.1 Stations - Station Structures</t>
        </is>
      </c>
      <c r="E308" s="12" t="inlineStr">
        <is>
          <t>None recorded</t>
        </is>
      </c>
      <c r="F308" s="12" t="inlineStr">
        <is>
          <t>No individual professional decision recorded; Source assignment -- not individually reviewed</t>
        </is>
      </c>
      <c r="G308" s="12" t="inlineStr">
        <is>
          <t>Not individually decided</t>
        </is>
      </c>
      <c r="H308" s="12" t="inlineStr">
        <is>
          <t xml:space="preserve">APPROVED / ONE_TO_ONE; </t>
        </is>
      </c>
      <c r="I308" s="12" t="inlineStr">
        <is>
          <t>New</t>
        </is>
      </c>
      <c r="J308" s="17" t="inlineStr">
        <is>
          <t>08 CROSSWALK</t>
        </is>
      </c>
    </row>
    <row r="309" ht="49" customHeight="1">
      <c r="A309" s="12" t="inlineStr">
        <is>
          <t>R214-v1</t>
        </is>
      </c>
      <c r="B309" s="12" t="inlineStr">
        <is>
          <t>Contractor Programme / SCH-02-034</t>
        </is>
      </c>
      <c r="C309" s="12" t="inlineStr">
        <is>
          <t>WBS Code = 1.2.1</t>
        </is>
      </c>
      <c r="D309" s="12" t="inlineStr">
        <is>
          <t>Proposed by Source assignment; target 1.2.1 Stations - Station Structures</t>
        </is>
      </c>
      <c r="E309" s="12" t="inlineStr">
        <is>
          <t>None recorded</t>
        </is>
      </c>
      <c r="F309" s="12" t="inlineStr">
        <is>
          <t>No individual professional decision recorded; Source assignment -- not individually reviewed</t>
        </is>
      </c>
      <c r="G309" s="12" t="inlineStr">
        <is>
          <t>Not individually decided</t>
        </is>
      </c>
      <c r="H309" s="12" t="inlineStr">
        <is>
          <t xml:space="preserve">APPROVED / ONE_TO_ONE; </t>
        </is>
      </c>
      <c r="I309" s="12" t="inlineStr">
        <is>
          <t>New</t>
        </is>
      </c>
      <c r="J309" s="17" t="inlineStr">
        <is>
          <t>08 CROSSWALK</t>
        </is>
      </c>
    </row>
    <row r="310" ht="49" customHeight="1">
      <c r="A310" s="12" t="inlineStr">
        <is>
          <t>R215-v1</t>
        </is>
      </c>
      <c r="B310" s="12" t="inlineStr">
        <is>
          <t>Contractor Programme / SCH-02-035</t>
        </is>
      </c>
      <c r="C310" s="12" t="inlineStr">
        <is>
          <t>WBS Code = 1.2.1</t>
        </is>
      </c>
      <c r="D310" s="12" t="inlineStr">
        <is>
          <t>Proposed by Source assignment; target 1.2.1 Stations - Station Structures</t>
        </is>
      </c>
      <c r="E310" s="12" t="inlineStr">
        <is>
          <t>None recorded</t>
        </is>
      </c>
      <c r="F310" s="12" t="inlineStr">
        <is>
          <t>No individual professional decision recorded; Source assignment -- not individually reviewed</t>
        </is>
      </c>
      <c r="G310" s="12" t="inlineStr">
        <is>
          <t>Not individually decided</t>
        </is>
      </c>
      <c r="H310" s="12" t="inlineStr">
        <is>
          <t xml:space="preserve">APPROVED / ONE_TO_ONE; </t>
        </is>
      </c>
      <c r="I310" s="12" t="inlineStr">
        <is>
          <t>New</t>
        </is>
      </c>
      <c r="J310" s="17" t="inlineStr">
        <is>
          <t>08 CROSSWALK</t>
        </is>
      </c>
    </row>
    <row r="311" ht="49" customHeight="1">
      <c r="A311" s="12" t="inlineStr">
        <is>
          <t>R217-v1</t>
        </is>
      </c>
      <c r="B311" s="12" t="inlineStr">
        <is>
          <t>Contractor Programme / SCH-02-037</t>
        </is>
      </c>
      <c r="C311" s="12" t="inlineStr">
        <is>
          <t>WBS Code = 1.2.1</t>
        </is>
      </c>
      <c r="D311" s="12" t="inlineStr">
        <is>
          <t>Proposed by Source assignment; target 1.2.1 Stations - Station Structures</t>
        </is>
      </c>
      <c r="E311" s="12" t="inlineStr">
        <is>
          <t>None recorded</t>
        </is>
      </c>
      <c r="F311" s="12" t="inlineStr">
        <is>
          <t>No individual professional decision recorded; Source assignment -- not individually reviewed</t>
        </is>
      </c>
      <c r="G311" s="12" t="inlineStr">
        <is>
          <t>Not individually decided</t>
        </is>
      </c>
      <c r="H311" s="12" t="inlineStr">
        <is>
          <t xml:space="preserve">APPROVED / ONE_TO_ONE; </t>
        </is>
      </c>
      <c r="I311" s="12" t="inlineStr">
        <is>
          <t>New</t>
        </is>
      </c>
      <c r="J311" s="17" t="inlineStr">
        <is>
          <t>08 CROSSWALK</t>
        </is>
      </c>
    </row>
    <row r="312" ht="49" customHeight="1">
      <c r="A312" s="12" t="inlineStr">
        <is>
          <t>R218-v1</t>
        </is>
      </c>
      <c r="B312" s="12" t="inlineStr">
        <is>
          <t>Contractor Programme / SCH-02-038</t>
        </is>
      </c>
      <c r="C312" s="12" t="inlineStr">
        <is>
          <t>WBS Code = 1.2.1</t>
        </is>
      </c>
      <c r="D312" s="12" t="inlineStr">
        <is>
          <t>Proposed by Source assignment; target 1.2.1 Stations - Station Structures</t>
        </is>
      </c>
      <c r="E312" s="12" t="inlineStr">
        <is>
          <t>None recorded</t>
        </is>
      </c>
      <c r="F312" s="12" t="inlineStr">
        <is>
          <t>No individual professional decision recorded; Source assignment -- not individually reviewed</t>
        </is>
      </c>
      <c r="G312" s="12" t="inlineStr">
        <is>
          <t>Not individually decided</t>
        </is>
      </c>
      <c r="H312" s="12" t="inlineStr">
        <is>
          <t xml:space="preserve">APPROVED / ONE_TO_ONE; </t>
        </is>
      </c>
      <c r="I312" s="12" t="inlineStr">
        <is>
          <t>New</t>
        </is>
      </c>
      <c r="J312" s="17" t="inlineStr">
        <is>
          <t>08 CROSSWALK</t>
        </is>
      </c>
    </row>
    <row r="313" ht="49" customHeight="1">
      <c r="A313" s="12" t="inlineStr">
        <is>
          <t>R220-v1</t>
        </is>
      </c>
      <c r="B313" s="12" t="inlineStr">
        <is>
          <t>Contractor Programme / SCH-02-040</t>
        </is>
      </c>
      <c r="C313" s="12" t="inlineStr">
        <is>
          <t>WBS Code = 1.2.1</t>
        </is>
      </c>
      <c r="D313" s="12" t="inlineStr">
        <is>
          <t>Proposed by Source assignment; target 1.2.1 Stations - Station Structures</t>
        </is>
      </c>
      <c r="E313" s="12" t="inlineStr">
        <is>
          <t>None recorded</t>
        </is>
      </c>
      <c r="F313" s="12" t="inlineStr">
        <is>
          <t>No individual professional decision recorded; Source assignment -- not individually reviewed</t>
        </is>
      </c>
      <c r="G313" s="12" t="inlineStr">
        <is>
          <t>Not individually decided</t>
        </is>
      </c>
      <c r="H313" s="12" t="inlineStr">
        <is>
          <t xml:space="preserve">APPROVED / ONE_TO_ONE; </t>
        </is>
      </c>
      <c r="I313" s="12" t="inlineStr">
        <is>
          <t>New</t>
        </is>
      </c>
      <c r="J313" s="17" t="inlineStr">
        <is>
          <t>08 CROSSWALK</t>
        </is>
      </c>
    </row>
    <row r="314" ht="49" customHeight="1">
      <c r="A314" s="12" t="inlineStr">
        <is>
          <t>R221-v1</t>
        </is>
      </c>
      <c r="B314" s="12" t="inlineStr">
        <is>
          <t>Contractor Programme / SCH-02-041</t>
        </is>
      </c>
      <c r="C314" s="12" t="inlineStr">
        <is>
          <t>WBS Code = 1.2.1</t>
        </is>
      </c>
      <c r="D314" s="12" t="inlineStr">
        <is>
          <t>Proposed by Source assignment; target 1.2.1 Stations - Station Structures</t>
        </is>
      </c>
      <c r="E314" s="12" t="inlineStr">
        <is>
          <t>None recorded</t>
        </is>
      </c>
      <c r="F314" s="12" t="inlineStr">
        <is>
          <t>No individual professional decision recorded; Source assignment -- not individually reviewed</t>
        </is>
      </c>
      <c r="G314" s="12" t="inlineStr">
        <is>
          <t>Not individually decided</t>
        </is>
      </c>
      <c r="H314" s="12" t="inlineStr">
        <is>
          <t xml:space="preserve">APPROVED / ONE_TO_ONE; </t>
        </is>
      </c>
      <c r="I314" s="12" t="inlineStr">
        <is>
          <t>New</t>
        </is>
      </c>
      <c r="J314" s="17" t="inlineStr">
        <is>
          <t>08 CROSSWALK</t>
        </is>
      </c>
    </row>
    <row r="315" ht="49" customHeight="1">
      <c r="A315" s="12" t="inlineStr">
        <is>
          <t>R223-v1</t>
        </is>
      </c>
      <c r="B315" s="12" t="inlineStr">
        <is>
          <t>Contractor Programme / SCH-02-043</t>
        </is>
      </c>
      <c r="C315" s="12" t="inlineStr">
        <is>
          <t>WBS Code = 1.2.1</t>
        </is>
      </c>
      <c r="D315" s="12" t="inlineStr">
        <is>
          <t>Proposed by Source assignment; target 1.2.1 Stations - Station Structures</t>
        </is>
      </c>
      <c r="E315" s="12" t="inlineStr">
        <is>
          <t>None recorded</t>
        </is>
      </c>
      <c r="F315" s="12" t="inlineStr">
        <is>
          <t>No individual professional decision recorded; Source assignment -- not individually reviewed</t>
        </is>
      </c>
      <c r="G315" s="12" t="inlineStr">
        <is>
          <t>Not individually decided</t>
        </is>
      </c>
      <c r="H315" s="12" t="inlineStr">
        <is>
          <t xml:space="preserve">APPROVED / ONE_TO_ONE; </t>
        </is>
      </c>
      <c r="I315" s="12" t="inlineStr">
        <is>
          <t>New</t>
        </is>
      </c>
      <c r="J315" s="17" t="inlineStr">
        <is>
          <t>08 CROSSWALK</t>
        </is>
      </c>
    </row>
    <row r="316" ht="49" customHeight="1">
      <c r="A316" s="12" t="inlineStr">
        <is>
          <t>R224-v1</t>
        </is>
      </c>
      <c r="B316" s="12" t="inlineStr">
        <is>
          <t>Contractor Programme / SCH-02-044</t>
        </is>
      </c>
      <c r="C316" s="12" t="inlineStr">
        <is>
          <t>WBS Code = 1.2.1</t>
        </is>
      </c>
      <c r="D316" s="12" t="inlineStr">
        <is>
          <t>Proposed by Source assignment; target 1.2.1 Stations - Station Structures</t>
        </is>
      </c>
      <c r="E316" s="12" t="inlineStr">
        <is>
          <t>None recorded</t>
        </is>
      </c>
      <c r="F316" s="12" t="inlineStr">
        <is>
          <t>No individual professional decision recorded; Source assignment -- not individually reviewed</t>
        </is>
      </c>
      <c r="G316" s="12" t="inlineStr">
        <is>
          <t>Not individually decided</t>
        </is>
      </c>
      <c r="H316" s="12" t="inlineStr">
        <is>
          <t xml:space="preserve">APPROVED / ONE_TO_ONE; </t>
        </is>
      </c>
      <c r="I316" s="12" t="inlineStr">
        <is>
          <t>New</t>
        </is>
      </c>
      <c r="J316" s="17" t="inlineStr">
        <is>
          <t>08 CROSSWALK</t>
        </is>
      </c>
    </row>
    <row r="317" ht="49" customHeight="1">
      <c r="A317" s="12" t="inlineStr">
        <is>
          <t>R226-v1</t>
        </is>
      </c>
      <c r="B317" s="12" t="inlineStr">
        <is>
          <t>Contractor Programme / SCH-02-046</t>
        </is>
      </c>
      <c r="C317" s="12" t="inlineStr">
        <is>
          <t>WBS Code = 1.2.1</t>
        </is>
      </c>
      <c r="D317" s="12" t="inlineStr">
        <is>
          <t>Proposed by Source assignment; target 1.2.1 Stations - Station Structures</t>
        </is>
      </c>
      <c r="E317" s="12" t="inlineStr">
        <is>
          <t>None recorded</t>
        </is>
      </c>
      <c r="F317" s="12" t="inlineStr">
        <is>
          <t>No individual professional decision recorded; Source assignment -- not individually reviewed</t>
        </is>
      </c>
      <c r="G317" s="12" t="inlineStr">
        <is>
          <t>Not individually decided</t>
        </is>
      </c>
      <c r="H317" s="12" t="inlineStr">
        <is>
          <t xml:space="preserve">APPROVED / ONE_TO_ONE; </t>
        </is>
      </c>
      <c r="I317" s="12" t="inlineStr">
        <is>
          <t>New</t>
        </is>
      </c>
      <c r="J317" s="17" t="inlineStr">
        <is>
          <t>08 CROSSWALK</t>
        </is>
      </c>
    </row>
    <row r="318" ht="49" customHeight="1">
      <c r="A318" s="12" t="inlineStr">
        <is>
          <t>R227-v1</t>
        </is>
      </c>
      <c r="B318" s="12" t="inlineStr">
        <is>
          <t>Contractor Programme / SCH-02-047</t>
        </is>
      </c>
      <c r="C318" s="12" t="inlineStr">
        <is>
          <t>WBS Code = 1.2.1</t>
        </is>
      </c>
      <c r="D318" s="12" t="inlineStr">
        <is>
          <t>Proposed by Source assignment; target 1.2.1 Stations - Station Structures</t>
        </is>
      </c>
      <c r="E318" s="12" t="inlineStr">
        <is>
          <t>None recorded</t>
        </is>
      </c>
      <c r="F318" s="12" t="inlineStr">
        <is>
          <t>No individual professional decision recorded; Source assignment -- not individually reviewed</t>
        </is>
      </c>
      <c r="G318" s="12" t="inlineStr">
        <is>
          <t>Not individually decided</t>
        </is>
      </c>
      <c r="H318" s="12" t="inlineStr">
        <is>
          <t xml:space="preserve">APPROVED / ONE_TO_ONE; </t>
        </is>
      </c>
      <c r="I318" s="12" t="inlineStr">
        <is>
          <t>New</t>
        </is>
      </c>
      <c r="J318" s="17" t="inlineStr">
        <is>
          <t>08 CROSSWALK</t>
        </is>
      </c>
    </row>
    <row r="319" ht="49" customHeight="1">
      <c r="A319" s="12" t="inlineStr">
        <is>
          <t>R229-v1</t>
        </is>
      </c>
      <c r="B319" s="12" t="inlineStr">
        <is>
          <t>Contractor Programme / SCH-02-049</t>
        </is>
      </c>
      <c r="C319" s="12" t="inlineStr">
        <is>
          <t>WBS Code = 1.2.1</t>
        </is>
      </c>
      <c r="D319" s="12" t="inlineStr">
        <is>
          <t>Proposed by Source assignment; target 1.2.1 Stations - Station Structures</t>
        </is>
      </c>
      <c r="E319" s="12" t="inlineStr">
        <is>
          <t>None recorded</t>
        </is>
      </c>
      <c r="F319" s="12" t="inlineStr">
        <is>
          <t>No individual professional decision recorded; Source assignment -- not individually reviewed</t>
        </is>
      </c>
      <c r="G319" s="12" t="inlineStr">
        <is>
          <t>Not individually decided</t>
        </is>
      </c>
      <c r="H319" s="12" t="inlineStr">
        <is>
          <t xml:space="preserve">APPROVED / ONE_TO_ONE; </t>
        </is>
      </c>
      <c r="I319" s="12" t="inlineStr">
        <is>
          <t>New</t>
        </is>
      </c>
      <c r="J319" s="17" t="inlineStr">
        <is>
          <t>08 CROSSWALK</t>
        </is>
      </c>
    </row>
    <row r="320" ht="49" customHeight="1">
      <c r="A320" s="12" t="inlineStr">
        <is>
          <t>R230-v1</t>
        </is>
      </c>
      <c r="B320" s="12" t="inlineStr">
        <is>
          <t>Contractor Programme / SCH-02-050</t>
        </is>
      </c>
      <c r="C320" s="12" t="inlineStr">
        <is>
          <t>WBS Code = 1.2.1</t>
        </is>
      </c>
      <c r="D320" s="12" t="inlineStr">
        <is>
          <t>Proposed by Source assignment; target 1.2.1 Stations - Station Structures</t>
        </is>
      </c>
      <c r="E320" s="12" t="inlineStr">
        <is>
          <t>None recorded</t>
        </is>
      </c>
      <c r="F320" s="12" t="inlineStr">
        <is>
          <t>No individual professional decision recorded; Source assignment -- not individually reviewed</t>
        </is>
      </c>
      <c r="G320" s="12" t="inlineStr">
        <is>
          <t>Not individually decided</t>
        </is>
      </c>
      <c r="H320" s="12" t="inlineStr">
        <is>
          <t xml:space="preserve">APPROVED / ONE_TO_ONE; </t>
        </is>
      </c>
      <c r="I320" s="12" t="inlineStr">
        <is>
          <t>New</t>
        </is>
      </c>
      <c r="J320" s="17" t="inlineStr">
        <is>
          <t>08 CROSSWALK</t>
        </is>
      </c>
    </row>
    <row r="321" ht="49" customHeight="1">
      <c r="A321" s="12" t="inlineStr">
        <is>
          <t>R232-v1</t>
        </is>
      </c>
      <c r="B321" s="12" t="inlineStr">
        <is>
          <t>Contractor Programme / SCH-02-052</t>
        </is>
      </c>
      <c r="C321" s="12" t="inlineStr">
        <is>
          <t>WBS Code = 1.2.1</t>
        </is>
      </c>
      <c r="D321" s="12" t="inlineStr">
        <is>
          <t>Proposed by Source assignment; target 1.2.1 Stations - Station Structures</t>
        </is>
      </c>
      <c r="E321" s="12" t="inlineStr">
        <is>
          <t>None recorded</t>
        </is>
      </c>
      <c r="F321" s="12" t="inlineStr">
        <is>
          <t>No individual professional decision recorded; Source assignment -- not individually reviewed</t>
        </is>
      </c>
      <c r="G321" s="12" t="inlineStr">
        <is>
          <t>Not individually decided</t>
        </is>
      </c>
      <c r="H321" s="12" t="inlineStr">
        <is>
          <t xml:space="preserve">APPROVED / ONE_TO_ONE; </t>
        </is>
      </c>
      <c r="I321" s="12" t="inlineStr">
        <is>
          <t>New</t>
        </is>
      </c>
      <c r="J321" s="17" t="inlineStr">
        <is>
          <t>08 CROSSWALK</t>
        </is>
      </c>
    </row>
    <row r="322" ht="49" customHeight="1">
      <c r="A322" s="12" t="inlineStr">
        <is>
          <t>R233-v1</t>
        </is>
      </c>
      <c r="B322" s="12" t="inlineStr">
        <is>
          <t>Contractor Programme / SCH-02-053</t>
        </is>
      </c>
      <c r="C322" s="12" t="inlineStr">
        <is>
          <t>WBS Code = 1.2.1</t>
        </is>
      </c>
      <c r="D322" s="12" t="inlineStr">
        <is>
          <t>Proposed by Source assignment; target 1.2.1 Stations - Station Structures</t>
        </is>
      </c>
      <c r="E322" s="12" t="inlineStr">
        <is>
          <t>None recorded</t>
        </is>
      </c>
      <c r="F322" s="12" t="inlineStr">
        <is>
          <t>No individual professional decision recorded; Source assignment -- not individually reviewed</t>
        </is>
      </c>
      <c r="G322" s="12" t="inlineStr">
        <is>
          <t>Not individually decided</t>
        </is>
      </c>
      <c r="H322" s="12" t="inlineStr">
        <is>
          <t xml:space="preserve">APPROVED / ONE_TO_ONE; </t>
        </is>
      </c>
      <c r="I322" s="12" t="inlineStr">
        <is>
          <t>New</t>
        </is>
      </c>
      <c r="J322" s="17" t="inlineStr">
        <is>
          <t>08 CROSSWALK</t>
        </is>
      </c>
    </row>
    <row r="323" ht="49" customHeight="1">
      <c r="A323" s="12" t="inlineStr">
        <is>
          <t>R235-v1</t>
        </is>
      </c>
      <c r="B323" s="12" t="inlineStr">
        <is>
          <t>Contractor Programme / SCH-02-055</t>
        </is>
      </c>
      <c r="C323" s="12" t="inlineStr">
        <is>
          <t>WBS Code = 1.2.1</t>
        </is>
      </c>
      <c r="D323" s="12" t="inlineStr">
        <is>
          <t>Proposed by Source assignment; target 1.2.1 Stations - Station Structures</t>
        </is>
      </c>
      <c r="E323" s="12" t="inlineStr">
        <is>
          <t>None recorded</t>
        </is>
      </c>
      <c r="F323" s="12" t="inlineStr">
        <is>
          <t>No individual professional decision recorded; Source assignment -- not individually reviewed</t>
        </is>
      </c>
      <c r="G323" s="12" t="inlineStr">
        <is>
          <t>Not individually decided</t>
        </is>
      </c>
      <c r="H323" s="12" t="inlineStr">
        <is>
          <t xml:space="preserve">APPROVED / ONE_TO_ONE; </t>
        </is>
      </c>
      <c r="I323" s="12" t="inlineStr">
        <is>
          <t>New</t>
        </is>
      </c>
      <c r="J323" s="17" t="inlineStr">
        <is>
          <t>08 CROSSWALK</t>
        </is>
      </c>
    </row>
    <row r="324" ht="49" customHeight="1">
      <c r="A324" s="12" t="inlineStr">
        <is>
          <t>R236-v1</t>
        </is>
      </c>
      <c r="B324" s="12" t="inlineStr">
        <is>
          <t>Contractor Programme / SCH-02-056</t>
        </is>
      </c>
      <c r="C324" s="12" t="inlineStr">
        <is>
          <t>WBS Code = 1.2.1</t>
        </is>
      </c>
      <c r="D324" s="12" t="inlineStr">
        <is>
          <t>Proposed by Source assignment; target 1.2.1 Stations - Station Structures</t>
        </is>
      </c>
      <c r="E324" s="12" t="inlineStr">
        <is>
          <t>None recorded</t>
        </is>
      </c>
      <c r="F324" s="12" t="inlineStr">
        <is>
          <t>No individual professional decision recorded; Source assignment -- not individually reviewed</t>
        </is>
      </c>
      <c r="G324" s="12" t="inlineStr">
        <is>
          <t>Not individually decided</t>
        </is>
      </c>
      <c r="H324" s="12" t="inlineStr">
        <is>
          <t xml:space="preserve">APPROVED / ONE_TO_ONE; </t>
        </is>
      </c>
      <c r="I324" s="12" t="inlineStr">
        <is>
          <t>New</t>
        </is>
      </c>
      <c r="J324" s="17" t="inlineStr">
        <is>
          <t>08 CROSSWALK</t>
        </is>
      </c>
    </row>
    <row r="325" ht="49" customHeight="1">
      <c r="A325" s="12" t="inlineStr">
        <is>
          <t>R238-v1</t>
        </is>
      </c>
      <c r="B325" s="12" t="inlineStr">
        <is>
          <t>Contractor Programme / SCH-02-058</t>
        </is>
      </c>
      <c r="C325" s="12" t="inlineStr">
        <is>
          <t>WBS Code = 1.2.1</t>
        </is>
      </c>
      <c r="D325" s="12" t="inlineStr">
        <is>
          <t>Proposed by Source assignment; target 1.2.1 Stations - Station Structures</t>
        </is>
      </c>
      <c r="E325" s="12" t="inlineStr">
        <is>
          <t>None recorded</t>
        </is>
      </c>
      <c r="F325" s="12" t="inlineStr">
        <is>
          <t>No individual professional decision recorded; Source assignment -- not individually reviewed</t>
        </is>
      </c>
      <c r="G325" s="12" t="inlineStr">
        <is>
          <t>Not individually decided</t>
        </is>
      </c>
      <c r="H325" s="12" t="inlineStr">
        <is>
          <t xml:space="preserve">APPROVED / ONE_TO_ONE; </t>
        </is>
      </c>
      <c r="I325" s="12" t="inlineStr">
        <is>
          <t>New</t>
        </is>
      </c>
      <c r="J325" s="17" t="inlineStr">
        <is>
          <t>08 CROSSWALK</t>
        </is>
      </c>
    </row>
    <row r="326" ht="49" customHeight="1">
      <c r="A326" s="12" t="inlineStr">
        <is>
          <t>R239-v1</t>
        </is>
      </c>
      <c r="B326" s="12" t="inlineStr">
        <is>
          <t>Contractor Programme / SCH-02-059</t>
        </is>
      </c>
      <c r="C326" s="12" t="inlineStr">
        <is>
          <t>WBS Code = 1.2.1</t>
        </is>
      </c>
      <c r="D326" s="12" t="inlineStr">
        <is>
          <t>Proposed by Source assignment; target 1.2.1 Stations - Station Structures</t>
        </is>
      </c>
      <c r="E326" s="12" t="inlineStr">
        <is>
          <t>None recorded</t>
        </is>
      </c>
      <c r="F326" s="12" t="inlineStr">
        <is>
          <t>No individual professional decision recorded; Source assignment -- not individually reviewed</t>
        </is>
      </c>
      <c r="G326" s="12" t="inlineStr">
        <is>
          <t>Not individually decided</t>
        </is>
      </c>
      <c r="H326" s="12" t="inlineStr">
        <is>
          <t xml:space="preserve">APPROVED / ONE_TO_ONE; </t>
        </is>
      </c>
      <c r="I326" s="12" t="inlineStr">
        <is>
          <t>New</t>
        </is>
      </c>
      <c r="J326" s="17" t="inlineStr">
        <is>
          <t>08 CROSSWALK</t>
        </is>
      </c>
    </row>
    <row r="327" ht="49" customHeight="1">
      <c r="A327" s="12" t="inlineStr">
        <is>
          <t>R241-v1</t>
        </is>
      </c>
      <c r="B327" s="12" t="inlineStr">
        <is>
          <t>Contractor Programme / SCH-02-061</t>
        </is>
      </c>
      <c r="C327" s="12" t="inlineStr">
        <is>
          <t>WBS Code = 1.2.1</t>
        </is>
      </c>
      <c r="D327" s="12" t="inlineStr">
        <is>
          <t>Proposed by Source assignment; target 1.2.1 Stations - Station Structures</t>
        </is>
      </c>
      <c r="E327" s="12" t="inlineStr">
        <is>
          <t>None recorded</t>
        </is>
      </c>
      <c r="F327" s="12" t="inlineStr">
        <is>
          <t>No individual professional decision recorded; Source assignment -- not individually reviewed</t>
        </is>
      </c>
      <c r="G327" s="12" t="inlineStr">
        <is>
          <t>Not individually decided</t>
        </is>
      </c>
      <c r="H327" s="12" t="inlineStr">
        <is>
          <t xml:space="preserve">APPROVED / ONE_TO_ONE; </t>
        </is>
      </c>
      <c r="I327" s="12" t="inlineStr">
        <is>
          <t>New</t>
        </is>
      </c>
      <c r="J327" s="17" t="inlineStr">
        <is>
          <t>08 CROSSWALK</t>
        </is>
      </c>
    </row>
    <row r="328" ht="49" customHeight="1">
      <c r="A328" s="12" t="inlineStr">
        <is>
          <t>R242-v1</t>
        </is>
      </c>
      <c r="B328" s="12" t="inlineStr">
        <is>
          <t>Contractor Programme / SCH-02-062</t>
        </is>
      </c>
      <c r="C328" s="12" t="inlineStr">
        <is>
          <t>WBS Code = 1.2.1</t>
        </is>
      </c>
      <c r="D328" s="12" t="inlineStr">
        <is>
          <t>Proposed by Source assignment; target 1.2.1 Stations - Station Structures</t>
        </is>
      </c>
      <c r="E328" s="12" t="inlineStr">
        <is>
          <t>None recorded</t>
        </is>
      </c>
      <c r="F328" s="12" t="inlineStr">
        <is>
          <t>No individual professional decision recorded; Source assignment -- not individually reviewed</t>
        </is>
      </c>
      <c r="G328" s="12" t="inlineStr">
        <is>
          <t>Not individually decided</t>
        </is>
      </c>
      <c r="H328" s="12" t="inlineStr">
        <is>
          <t xml:space="preserve">APPROVED / ONE_TO_ONE; </t>
        </is>
      </c>
      <c r="I328" s="12" t="inlineStr">
        <is>
          <t>New</t>
        </is>
      </c>
      <c r="J328" s="17" t="inlineStr">
        <is>
          <t>08 CROSSWALK</t>
        </is>
      </c>
    </row>
    <row r="329" ht="49" customHeight="1">
      <c r="A329" s="12" t="inlineStr">
        <is>
          <t>R244-v1</t>
        </is>
      </c>
      <c r="B329" s="12" t="inlineStr">
        <is>
          <t>Contractor Programme / SCH-02-064</t>
        </is>
      </c>
      <c r="C329" s="12" t="inlineStr">
        <is>
          <t>WBS Code = 1.2.1</t>
        </is>
      </c>
      <c r="D329" s="12" t="inlineStr">
        <is>
          <t>Proposed by Source assignment; target 1.2.1 Stations - Station Structures</t>
        </is>
      </c>
      <c r="E329" s="12" t="inlineStr">
        <is>
          <t>None recorded</t>
        </is>
      </c>
      <c r="F329" s="12" t="inlineStr">
        <is>
          <t>No individual professional decision recorded; Source assignment -- not individually reviewed</t>
        </is>
      </c>
      <c r="G329" s="12" t="inlineStr">
        <is>
          <t>Not individually decided</t>
        </is>
      </c>
      <c r="H329" s="12" t="inlineStr">
        <is>
          <t xml:space="preserve">APPROVED / ONE_TO_ONE; </t>
        </is>
      </c>
      <c r="I329" s="12" t="inlineStr">
        <is>
          <t>New</t>
        </is>
      </c>
      <c r="J329" s="17" t="inlineStr">
        <is>
          <t>08 CROSSWALK</t>
        </is>
      </c>
    </row>
    <row r="330" ht="49" customHeight="1">
      <c r="A330" s="12" t="inlineStr">
        <is>
          <t>R245-v1</t>
        </is>
      </c>
      <c r="B330" s="12" t="inlineStr">
        <is>
          <t>Contractor Programme / SCH-02-065</t>
        </is>
      </c>
      <c r="C330" s="12" t="inlineStr">
        <is>
          <t>WBS Code = 1.2.1</t>
        </is>
      </c>
      <c r="D330" s="12" t="inlineStr">
        <is>
          <t>Proposed by Source assignment; target 1.2.1 Stations - Station Structures</t>
        </is>
      </c>
      <c r="E330" s="12" t="inlineStr">
        <is>
          <t>None recorded</t>
        </is>
      </c>
      <c r="F330" s="12" t="inlineStr">
        <is>
          <t>No individual professional decision recorded; Source assignment -- not individually reviewed</t>
        </is>
      </c>
      <c r="G330" s="12" t="inlineStr">
        <is>
          <t>Not individually decided</t>
        </is>
      </c>
      <c r="H330" s="12" t="inlineStr">
        <is>
          <t xml:space="preserve">APPROVED / ONE_TO_ONE; </t>
        </is>
      </c>
      <c r="I330" s="12" t="inlineStr">
        <is>
          <t>New</t>
        </is>
      </c>
      <c r="J330" s="17" t="inlineStr">
        <is>
          <t>08 CROSSWALK</t>
        </is>
      </c>
    </row>
    <row r="331" ht="49" customHeight="1">
      <c r="A331" s="12" t="inlineStr">
        <is>
          <t>R247-v1</t>
        </is>
      </c>
      <c r="B331" s="12" t="inlineStr">
        <is>
          <t>Contractor Programme / SCH-02-067</t>
        </is>
      </c>
      <c r="C331" s="12" t="inlineStr">
        <is>
          <t>WBS Code = 1.2.1</t>
        </is>
      </c>
      <c r="D331" s="12" t="inlineStr">
        <is>
          <t>Proposed by Source assignment; target 1.2.1 Stations - Station Structures</t>
        </is>
      </c>
      <c r="E331" s="12" t="inlineStr">
        <is>
          <t>None recorded</t>
        </is>
      </c>
      <c r="F331" s="12" t="inlineStr">
        <is>
          <t>No individual professional decision recorded; Source assignment -- not individually reviewed</t>
        </is>
      </c>
      <c r="G331" s="12" t="inlineStr">
        <is>
          <t>Not individually decided</t>
        </is>
      </c>
      <c r="H331" s="12" t="inlineStr">
        <is>
          <t xml:space="preserve">APPROVED / ONE_TO_ONE; </t>
        </is>
      </c>
      <c r="I331" s="12" t="inlineStr">
        <is>
          <t>New</t>
        </is>
      </c>
      <c r="J331" s="17" t="inlineStr">
        <is>
          <t>08 CROSSWALK</t>
        </is>
      </c>
    </row>
    <row r="332" ht="49" customHeight="1">
      <c r="A332" s="12" t="inlineStr">
        <is>
          <t>R248-v1</t>
        </is>
      </c>
      <c r="B332" s="12" t="inlineStr">
        <is>
          <t>Contractor Programme / SCH-02-068</t>
        </is>
      </c>
      <c r="C332" s="12" t="inlineStr">
        <is>
          <t>WBS Code = 1.2.1</t>
        </is>
      </c>
      <c r="D332" s="12" t="inlineStr">
        <is>
          <t>Proposed by Source assignment; target 1.2.1 Stations - Station Structures</t>
        </is>
      </c>
      <c r="E332" s="12" t="inlineStr">
        <is>
          <t>None recorded</t>
        </is>
      </c>
      <c r="F332" s="12" t="inlineStr">
        <is>
          <t>No individual professional decision recorded; Source assignment -- not individually reviewed</t>
        </is>
      </c>
      <c r="G332" s="12" t="inlineStr">
        <is>
          <t>Not individually decided</t>
        </is>
      </c>
      <c r="H332" s="12" t="inlineStr">
        <is>
          <t xml:space="preserve">APPROVED / ONE_TO_ONE; </t>
        </is>
      </c>
      <c r="I332" s="12" t="inlineStr">
        <is>
          <t>New</t>
        </is>
      </c>
      <c r="J332" s="17" t="inlineStr">
        <is>
          <t>08 CROSSWALK</t>
        </is>
      </c>
    </row>
    <row r="333" ht="49" customHeight="1">
      <c r="A333" s="12" t="inlineStr">
        <is>
          <t>R250-v1</t>
        </is>
      </c>
      <c r="B333" s="12" t="inlineStr">
        <is>
          <t>Contractor Programme / SCH-02-070</t>
        </is>
      </c>
      <c r="C333" s="12" t="inlineStr">
        <is>
          <t>WBS Code = 1.2.1</t>
        </is>
      </c>
      <c r="D333" s="12" t="inlineStr">
        <is>
          <t>Proposed by Source assignment; target 1.2.1 Stations - Station Structures</t>
        </is>
      </c>
      <c r="E333" s="12" t="inlineStr">
        <is>
          <t>None recorded</t>
        </is>
      </c>
      <c r="F333" s="12" t="inlineStr">
        <is>
          <t>No individual professional decision recorded; Source assignment -- not individually reviewed</t>
        </is>
      </c>
      <c r="G333" s="12" t="inlineStr">
        <is>
          <t>Not individually decided</t>
        </is>
      </c>
      <c r="H333" s="12" t="inlineStr">
        <is>
          <t xml:space="preserve">APPROVED / ONE_TO_ONE; </t>
        </is>
      </c>
      <c r="I333" s="12" t="inlineStr">
        <is>
          <t>New</t>
        </is>
      </c>
      <c r="J333" s="17" t="inlineStr">
        <is>
          <t>08 CROSSWALK</t>
        </is>
      </c>
    </row>
    <row r="334" ht="49" customHeight="1">
      <c r="A334" s="12" t="inlineStr">
        <is>
          <t>R251-v1</t>
        </is>
      </c>
      <c r="B334" s="12" t="inlineStr">
        <is>
          <t>Contractor Programme / SCH-02-071</t>
        </is>
      </c>
      <c r="C334" s="12" t="inlineStr">
        <is>
          <t>WBS Code = 1.2.1</t>
        </is>
      </c>
      <c r="D334" s="12" t="inlineStr">
        <is>
          <t>Proposed by Source assignment; target 1.2.1 Stations - Station Structures</t>
        </is>
      </c>
      <c r="E334" s="12" t="inlineStr">
        <is>
          <t>None recorded</t>
        </is>
      </c>
      <c r="F334" s="12" t="inlineStr">
        <is>
          <t>No individual professional decision recorded; Source assignment -- not individually reviewed</t>
        </is>
      </c>
      <c r="G334" s="12" t="inlineStr">
        <is>
          <t>Not individually decided</t>
        </is>
      </c>
      <c r="H334" s="12" t="inlineStr">
        <is>
          <t xml:space="preserve">APPROVED / ONE_TO_ONE; </t>
        </is>
      </c>
      <c r="I334" s="12" t="inlineStr">
        <is>
          <t>New</t>
        </is>
      </c>
      <c r="J334" s="17" t="inlineStr">
        <is>
          <t>08 CROSSWALK</t>
        </is>
      </c>
    </row>
    <row r="335" ht="49" customHeight="1">
      <c r="A335" s="12" t="inlineStr">
        <is>
          <t>R253-v1</t>
        </is>
      </c>
      <c r="B335" s="12" t="inlineStr">
        <is>
          <t>Contractor Programme / SCH-02-073</t>
        </is>
      </c>
      <c r="C335" s="12" t="inlineStr">
        <is>
          <t>WBS Code = 1.2.1</t>
        </is>
      </c>
      <c r="D335" s="12" t="inlineStr">
        <is>
          <t>Proposed by Source assignment; target 1.2.1 Stations - Station Structures</t>
        </is>
      </c>
      <c r="E335" s="12" t="inlineStr">
        <is>
          <t>None recorded</t>
        </is>
      </c>
      <c r="F335" s="12" t="inlineStr">
        <is>
          <t>No individual professional decision recorded; Source assignment -- not individually reviewed</t>
        </is>
      </c>
      <c r="G335" s="12" t="inlineStr">
        <is>
          <t>Not individually decided</t>
        </is>
      </c>
      <c r="H335" s="12" t="inlineStr">
        <is>
          <t xml:space="preserve">APPROVED / ONE_TO_ONE; </t>
        </is>
      </c>
      <c r="I335" s="12" t="inlineStr">
        <is>
          <t>New</t>
        </is>
      </c>
      <c r="J335" s="17" t="inlineStr">
        <is>
          <t>08 CROSSWALK</t>
        </is>
      </c>
    </row>
    <row r="336" ht="49" customHeight="1">
      <c r="A336" s="12" t="inlineStr">
        <is>
          <t>R254-v1</t>
        </is>
      </c>
      <c r="B336" s="12" t="inlineStr">
        <is>
          <t>Contractor Programme / SCH-02-074</t>
        </is>
      </c>
      <c r="C336" s="12" t="inlineStr">
        <is>
          <t>WBS Code = 1.2.1</t>
        </is>
      </c>
      <c r="D336" s="12" t="inlineStr">
        <is>
          <t>Proposed by Source assignment; target 1.2.1 Stations - Station Structures</t>
        </is>
      </c>
      <c r="E336" s="12" t="inlineStr">
        <is>
          <t>None recorded</t>
        </is>
      </c>
      <c r="F336" s="12" t="inlineStr">
        <is>
          <t>No individual professional decision recorded; Source assignment -- not individually reviewed</t>
        </is>
      </c>
      <c r="G336" s="12" t="inlineStr">
        <is>
          <t>Not individually decided</t>
        </is>
      </c>
      <c r="H336" s="12" t="inlineStr">
        <is>
          <t xml:space="preserve">APPROVED / ONE_TO_ONE; </t>
        </is>
      </c>
      <c r="I336" s="12" t="inlineStr">
        <is>
          <t>New</t>
        </is>
      </c>
      <c r="J336" s="17" t="inlineStr">
        <is>
          <t>08 CROSSWALK</t>
        </is>
      </c>
    </row>
    <row r="337" ht="49" customHeight="1">
      <c r="A337" s="12" t="inlineStr">
        <is>
          <t>R256-v1</t>
        </is>
      </c>
      <c r="B337" s="12" t="inlineStr">
        <is>
          <t>Contractor Programme / SCH-02-076</t>
        </is>
      </c>
      <c r="C337" s="12" t="inlineStr">
        <is>
          <t>WBS Code = 1.2.1</t>
        </is>
      </c>
      <c r="D337" s="12" t="inlineStr">
        <is>
          <t>Proposed by Source assignment; target 1.2.1 Stations - Station Structures</t>
        </is>
      </c>
      <c r="E337" s="12" t="inlineStr">
        <is>
          <t>None recorded</t>
        </is>
      </c>
      <c r="F337" s="12" t="inlineStr">
        <is>
          <t>No individual professional decision recorded; Source assignment -- not individually reviewed</t>
        </is>
      </c>
      <c r="G337" s="12" t="inlineStr">
        <is>
          <t>Not individually decided</t>
        </is>
      </c>
      <c r="H337" s="12" t="inlineStr">
        <is>
          <t xml:space="preserve">APPROVED / ONE_TO_ONE; </t>
        </is>
      </c>
      <c r="I337" s="12" t="inlineStr">
        <is>
          <t>New</t>
        </is>
      </c>
      <c r="J337" s="17" t="inlineStr">
        <is>
          <t>08 CROSSWALK</t>
        </is>
      </c>
    </row>
    <row r="338" ht="49" customHeight="1">
      <c r="A338" s="12" t="inlineStr">
        <is>
          <t>R257-v1</t>
        </is>
      </c>
      <c r="B338" s="12" t="inlineStr">
        <is>
          <t>Contractor Programme / SCH-02-077</t>
        </is>
      </c>
      <c r="C338" s="12" t="inlineStr">
        <is>
          <t>WBS Code = 1.2.1</t>
        </is>
      </c>
      <c r="D338" s="12" t="inlineStr">
        <is>
          <t>Proposed by Source assignment; target 1.2.1 Stations - Station Structures</t>
        </is>
      </c>
      <c r="E338" s="12" t="inlineStr">
        <is>
          <t>None recorded</t>
        </is>
      </c>
      <c r="F338" s="12" t="inlineStr">
        <is>
          <t>No individual professional decision recorded; Source assignment -- not individually reviewed</t>
        </is>
      </c>
      <c r="G338" s="12" t="inlineStr">
        <is>
          <t>Not individually decided</t>
        </is>
      </c>
      <c r="H338" s="12" t="inlineStr">
        <is>
          <t xml:space="preserve">APPROVED / ONE_TO_ONE; </t>
        </is>
      </c>
      <c r="I338" s="12" t="inlineStr">
        <is>
          <t>New</t>
        </is>
      </c>
      <c r="J338" s="17" t="inlineStr">
        <is>
          <t>08 CROSSWALK</t>
        </is>
      </c>
    </row>
    <row r="339" ht="49" customHeight="1">
      <c r="A339" s="12" t="inlineStr">
        <is>
          <t>R259-v1</t>
        </is>
      </c>
      <c r="B339" s="12" t="inlineStr">
        <is>
          <t>Contractor Programme / SCH-02-079</t>
        </is>
      </c>
      <c r="C339" s="12" t="inlineStr">
        <is>
          <t>WBS Code = 1.2.1</t>
        </is>
      </c>
      <c r="D339" s="12" t="inlineStr">
        <is>
          <t>Proposed by Source assignment; target 1.2.1 Stations - Station Structures</t>
        </is>
      </c>
      <c r="E339" s="12" t="inlineStr">
        <is>
          <t>None recorded</t>
        </is>
      </c>
      <c r="F339" s="12" t="inlineStr">
        <is>
          <t>No individual professional decision recorded; Source assignment -- not individually reviewed</t>
        </is>
      </c>
      <c r="G339" s="12" t="inlineStr">
        <is>
          <t>Not individually decided</t>
        </is>
      </c>
      <c r="H339" s="12" t="inlineStr">
        <is>
          <t xml:space="preserve">APPROVED / ONE_TO_ONE; </t>
        </is>
      </c>
      <c r="I339" s="12" t="inlineStr">
        <is>
          <t>New</t>
        </is>
      </c>
      <c r="J339" s="17" t="inlineStr">
        <is>
          <t>08 CROSSWALK</t>
        </is>
      </c>
    </row>
    <row r="340" ht="49" customHeight="1">
      <c r="A340" s="12" t="inlineStr">
        <is>
          <t>R260-v1</t>
        </is>
      </c>
      <c r="B340" s="12" t="inlineStr">
        <is>
          <t>Contractor Programme / SCH-02-080</t>
        </is>
      </c>
      <c r="C340" s="12" t="inlineStr">
        <is>
          <t>WBS Code = 1.2.1</t>
        </is>
      </c>
      <c r="D340" s="12" t="inlineStr">
        <is>
          <t>Proposed by Source assignment; target 1.2.1 Stations - Station Structures</t>
        </is>
      </c>
      <c r="E340" s="12" t="inlineStr">
        <is>
          <t>None recorded</t>
        </is>
      </c>
      <c r="F340" s="12" t="inlineStr">
        <is>
          <t>No individual professional decision recorded; Source assignment -- not individually reviewed</t>
        </is>
      </c>
      <c r="G340" s="12" t="inlineStr">
        <is>
          <t>Not individually decided</t>
        </is>
      </c>
      <c r="H340" s="12" t="inlineStr">
        <is>
          <t xml:space="preserve">APPROVED / ONE_TO_ONE; </t>
        </is>
      </c>
      <c r="I340" s="12" t="inlineStr">
        <is>
          <t>New</t>
        </is>
      </c>
      <c r="J340" s="17" t="inlineStr">
        <is>
          <t>08 CROSSWALK</t>
        </is>
      </c>
    </row>
    <row r="341" ht="49" customHeight="1">
      <c r="A341" s="12" t="inlineStr">
        <is>
          <t>R262-v1</t>
        </is>
      </c>
      <c r="B341" s="12" t="inlineStr">
        <is>
          <t>Contractor Programme / SCH-02-082</t>
        </is>
      </c>
      <c r="C341" s="12" t="inlineStr">
        <is>
          <t>WBS Code = 1.2.1</t>
        </is>
      </c>
      <c r="D341" s="12" t="inlineStr">
        <is>
          <t>Proposed by Source assignment; target 1.2.1 Stations - Station Structures</t>
        </is>
      </c>
      <c r="E341" s="12" t="inlineStr">
        <is>
          <t>None recorded</t>
        </is>
      </c>
      <c r="F341" s="12" t="inlineStr">
        <is>
          <t>No individual professional decision recorded; Source assignment -- not individually reviewed</t>
        </is>
      </c>
      <c r="G341" s="12" t="inlineStr">
        <is>
          <t>Not individually decided</t>
        </is>
      </c>
      <c r="H341" s="12" t="inlineStr">
        <is>
          <t xml:space="preserve">APPROVED / ONE_TO_ONE; </t>
        </is>
      </c>
      <c r="I341" s="12" t="inlineStr">
        <is>
          <t>New</t>
        </is>
      </c>
      <c r="J341" s="17" t="inlineStr">
        <is>
          <t>08 CROSSWALK</t>
        </is>
      </c>
    </row>
    <row r="342" ht="49" customHeight="1">
      <c r="A342" s="12" t="inlineStr">
        <is>
          <t>R263-v1</t>
        </is>
      </c>
      <c r="B342" s="12" t="inlineStr">
        <is>
          <t>Contractor Programme / SCH-02-083</t>
        </is>
      </c>
      <c r="C342" s="12" t="inlineStr">
        <is>
          <t>WBS Code = 1.2.1</t>
        </is>
      </c>
      <c r="D342" s="12" t="inlineStr">
        <is>
          <t>Proposed by Source assignment; target 1.2.1 Stations - Station Structures</t>
        </is>
      </c>
      <c r="E342" s="12" t="inlineStr">
        <is>
          <t>None recorded</t>
        </is>
      </c>
      <c r="F342" s="12" t="inlineStr">
        <is>
          <t>No individual professional decision recorded; Source assignment -- not individually reviewed</t>
        </is>
      </c>
      <c r="G342" s="12" t="inlineStr">
        <is>
          <t>Not individually decided</t>
        </is>
      </c>
      <c r="H342" s="12" t="inlineStr">
        <is>
          <t xml:space="preserve">APPROVED / ONE_TO_ONE; </t>
        </is>
      </c>
      <c r="I342" s="12" t="inlineStr">
        <is>
          <t>New</t>
        </is>
      </c>
      <c r="J342" s="17" t="inlineStr">
        <is>
          <t>08 CROSSWALK</t>
        </is>
      </c>
    </row>
    <row r="343" ht="49" customHeight="1">
      <c r="A343" s="12" t="inlineStr">
        <is>
          <t>R265-v1</t>
        </is>
      </c>
      <c r="B343" s="12" t="inlineStr">
        <is>
          <t>Contractor Programme / SCH-02-085</t>
        </is>
      </c>
      <c r="C343" s="12" t="inlineStr">
        <is>
          <t>WBS Code = 1.2.1</t>
        </is>
      </c>
      <c r="D343" s="12" t="inlineStr">
        <is>
          <t>Proposed by Source assignment; target 1.2.1 Stations - Station Structures</t>
        </is>
      </c>
      <c r="E343" s="12" t="inlineStr">
        <is>
          <t>None recorded</t>
        </is>
      </c>
      <c r="F343" s="12" t="inlineStr">
        <is>
          <t>No individual professional decision recorded; Source assignment -- not individually reviewed</t>
        </is>
      </c>
      <c r="G343" s="12" t="inlineStr">
        <is>
          <t>Not individually decided</t>
        </is>
      </c>
      <c r="H343" s="12" t="inlineStr">
        <is>
          <t xml:space="preserve">APPROVED / ONE_TO_ONE; </t>
        </is>
      </c>
      <c r="I343" s="12" t="inlineStr">
        <is>
          <t>New</t>
        </is>
      </c>
      <c r="J343" s="17" t="inlineStr">
        <is>
          <t>08 CROSSWALK</t>
        </is>
      </c>
    </row>
    <row r="344" ht="49" customHeight="1">
      <c r="A344" s="12" t="inlineStr">
        <is>
          <t>R266-v1</t>
        </is>
      </c>
      <c r="B344" s="12" t="inlineStr">
        <is>
          <t>Contractor Programme / SCH-02-086</t>
        </is>
      </c>
      <c r="C344" s="12" t="inlineStr">
        <is>
          <t>WBS Code = 1.2.1</t>
        </is>
      </c>
      <c r="D344" s="12" t="inlineStr">
        <is>
          <t>Proposed by Source assignment; target 1.2.1 Stations - Station Structures</t>
        </is>
      </c>
      <c r="E344" s="12" t="inlineStr">
        <is>
          <t>None recorded</t>
        </is>
      </c>
      <c r="F344" s="12" t="inlineStr">
        <is>
          <t>No individual professional decision recorded; Source assignment -- not individually reviewed</t>
        </is>
      </c>
      <c r="G344" s="12" t="inlineStr">
        <is>
          <t>Not individually decided</t>
        </is>
      </c>
      <c r="H344" s="12" t="inlineStr">
        <is>
          <t xml:space="preserve">APPROVED / ONE_TO_ONE; </t>
        </is>
      </c>
      <c r="I344" s="12" t="inlineStr">
        <is>
          <t>New</t>
        </is>
      </c>
      <c r="J344" s="17" t="inlineStr">
        <is>
          <t>08 CROSSWALK</t>
        </is>
      </c>
    </row>
    <row r="345" ht="49" customHeight="1">
      <c r="A345" s="12" t="inlineStr">
        <is>
          <t>R268-v1</t>
        </is>
      </c>
      <c r="B345" s="12" t="inlineStr">
        <is>
          <t>Contractor Programme / SCH-02-088</t>
        </is>
      </c>
      <c r="C345" s="12" t="inlineStr">
        <is>
          <t>WBS Code = 1.2.1</t>
        </is>
      </c>
      <c r="D345" s="12" t="inlineStr">
        <is>
          <t>Proposed by Source assignment; target 1.2.1 Stations - Station Structures</t>
        </is>
      </c>
      <c r="E345" s="12" t="inlineStr">
        <is>
          <t>None recorded</t>
        </is>
      </c>
      <c r="F345" s="12" t="inlineStr">
        <is>
          <t>No individual professional decision recorded; Source assignment -- not individually reviewed</t>
        </is>
      </c>
      <c r="G345" s="12" t="inlineStr">
        <is>
          <t>Not individually decided</t>
        </is>
      </c>
      <c r="H345" s="12" t="inlineStr">
        <is>
          <t xml:space="preserve">APPROVED / ONE_TO_ONE; </t>
        </is>
      </c>
      <c r="I345" s="12" t="inlineStr">
        <is>
          <t>New</t>
        </is>
      </c>
      <c r="J345" s="17" t="inlineStr">
        <is>
          <t>08 CROSSWALK</t>
        </is>
      </c>
    </row>
    <row r="346" ht="49" customHeight="1">
      <c r="A346" s="12" t="inlineStr">
        <is>
          <t>R269-v1</t>
        </is>
      </c>
      <c r="B346" s="12" t="inlineStr">
        <is>
          <t>Contractor Programme / SCH-02-089</t>
        </is>
      </c>
      <c r="C346" s="12" t="inlineStr">
        <is>
          <t>WBS Code = 1.2.1</t>
        </is>
      </c>
      <c r="D346" s="12" t="inlineStr">
        <is>
          <t>Proposed by Source assignment; target 1.2.1 Stations - Station Structures</t>
        </is>
      </c>
      <c r="E346" s="12" t="inlineStr">
        <is>
          <t>None recorded</t>
        </is>
      </c>
      <c r="F346" s="12" t="inlineStr">
        <is>
          <t>No individual professional decision recorded; Source assignment -- not individually reviewed</t>
        </is>
      </c>
      <c r="G346" s="12" t="inlineStr">
        <is>
          <t>Not individually decided</t>
        </is>
      </c>
      <c r="H346" s="12" t="inlineStr">
        <is>
          <t xml:space="preserve">APPROVED / ONE_TO_ONE; </t>
        </is>
      </c>
      <c r="I346" s="12" t="inlineStr">
        <is>
          <t>New</t>
        </is>
      </c>
      <c r="J346" s="17" t="inlineStr">
        <is>
          <t>08 CROSSWALK</t>
        </is>
      </c>
    </row>
    <row r="347" ht="49" customHeight="1">
      <c r="A347" s="12" t="inlineStr">
        <is>
          <t>R271-v1</t>
        </is>
      </c>
      <c r="B347" s="12" t="inlineStr">
        <is>
          <t>Contractor Programme / SCH-02-091</t>
        </is>
      </c>
      <c r="C347" s="12" t="inlineStr">
        <is>
          <t>WBS Code = 1.2.1</t>
        </is>
      </c>
      <c r="D347" s="12" t="inlineStr">
        <is>
          <t>Proposed by Source assignment; target 1.2.1 Stations - Station Structures</t>
        </is>
      </c>
      <c r="E347" s="12" t="inlineStr">
        <is>
          <t>None recorded</t>
        </is>
      </c>
      <c r="F347" s="12" t="inlineStr">
        <is>
          <t>No individual professional decision recorded; Source assignment -- not individually reviewed</t>
        </is>
      </c>
      <c r="G347" s="12" t="inlineStr">
        <is>
          <t>Not individually decided</t>
        </is>
      </c>
      <c r="H347" s="12" t="inlineStr">
        <is>
          <t xml:space="preserve">APPROVED / ONE_TO_ONE; </t>
        </is>
      </c>
      <c r="I347" s="12" t="inlineStr">
        <is>
          <t>New</t>
        </is>
      </c>
      <c r="J347" s="17" t="inlineStr">
        <is>
          <t>08 CROSSWALK</t>
        </is>
      </c>
    </row>
    <row r="348" ht="49" customHeight="1">
      <c r="A348" s="12" t="inlineStr">
        <is>
          <t>R272-v1</t>
        </is>
      </c>
      <c r="B348" s="12" t="inlineStr">
        <is>
          <t>Contractor Programme / SCH-02-092</t>
        </is>
      </c>
      <c r="C348" s="12" t="inlineStr">
        <is>
          <t>WBS Code = 1.2.1</t>
        </is>
      </c>
      <c r="D348" s="12" t="inlineStr">
        <is>
          <t>Proposed by Source assignment; target 1.2.1 Stations - Station Structures</t>
        </is>
      </c>
      <c r="E348" s="12" t="inlineStr">
        <is>
          <t>None recorded</t>
        </is>
      </c>
      <c r="F348" s="12" t="inlineStr">
        <is>
          <t>No individual professional decision recorded; Source assignment -- not individually reviewed</t>
        </is>
      </c>
      <c r="G348" s="12" t="inlineStr">
        <is>
          <t>Not individually decided</t>
        </is>
      </c>
      <c r="H348" s="12" t="inlineStr">
        <is>
          <t xml:space="preserve">APPROVED / ONE_TO_ONE; </t>
        </is>
      </c>
      <c r="I348" s="12" t="inlineStr">
        <is>
          <t>New</t>
        </is>
      </c>
      <c r="J348" s="17" t="inlineStr">
        <is>
          <t>08 CROSSWALK</t>
        </is>
      </c>
    </row>
    <row r="349" ht="49" customHeight="1">
      <c r="A349" s="12" t="inlineStr">
        <is>
          <t>R274-v1</t>
        </is>
      </c>
      <c r="B349" s="12" t="inlineStr">
        <is>
          <t>Contractor Programme / SCH-02-094</t>
        </is>
      </c>
      <c r="C349" s="12" t="inlineStr">
        <is>
          <t>WBS Code = 1.2.1</t>
        </is>
      </c>
      <c r="D349" s="12" t="inlineStr">
        <is>
          <t>Proposed by Source assignment; target 1.2.1 Stations - Station Structures</t>
        </is>
      </c>
      <c r="E349" s="12" t="inlineStr">
        <is>
          <t>None recorded</t>
        </is>
      </c>
      <c r="F349" s="12" t="inlineStr">
        <is>
          <t>No individual professional decision recorded; Source assignment -- not individually reviewed</t>
        </is>
      </c>
      <c r="G349" s="12" t="inlineStr">
        <is>
          <t>Not individually decided</t>
        </is>
      </c>
      <c r="H349" s="12" t="inlineStr">
        <is>
          <t xml:space="preserve">APPROVED / ONE_TO_ONE; </t>
        </is>
      </c>
      <c r="I349" s="12" t="inlineStr">
        <is>
          <t>New</t>
        </is>
      </c>
      <c r="J349" s="17" t="inlineStr">
        <is>
          <t>08 CROSSWALK</t>
        </is>
      </c>
    </row>
    <row r="350" ht="49" customHeight="1">
      <c r="A350" s="12" t="inlineStr">
        <is>
          <t>R275-v1</t>
        </is>
      </c>
      <c r="B350" s="12" t="inlineStr">
        <is>
          <t>Contractor Programme / SCH-02-095</t>
        </is>
      </c>
      <c r="C350" s="12" t="inlineStr">
        <is>
          <t>WBS Code = 1.2.1</t>
        </is>
      </c>
      <c r="D350" s="12" t="inlineStr">
        <is>
          <t>Proposed by Source assignment; target 1.2.1 Stations - Station Structures</t>
        </is>
      </c>
      <c r="E350" s="12" t="inlineStr">
        <is>
          <t>None recorded</t>
        </is>
      </c>
      <c r="F350" s="12" t="inlineStr">
        <is>
          <t>No individual professional decision recorded; Source assignment -- not individually reviewed</t>
        </is>
      </c>
      <c r="G350" s="12" t="inlineStr">
        <is>
          <t>Not individually decided</t>
        </is>
      </c>
      <c r="H350" s="12" t="inlineStr">
        <is>
          <t xml:space="preserve">APPROVED / ONE_TO_ONE; </t>
        </is>
      </c>
      <c r="I350" s="12" t="inlineStr">
        <is>
          <t>New</t>
        </is>
      </c>
      <c r="J350" s="17" t="inlineStr">
        <is>
          <t>08 CROSSWALK</t>
        </is>
      </c>
    </row>
    <row r="351" ht="49" customHeight="1">
      <c r="A351" s="12" t="inlineStr">
        <is>
          <t>R277-v1</t>
        </is>
      </c>
      <c r="B351" s="12" t="inlineStr">
        <is>
          <t>Contractor Programme / SCH-02-097</t>
        </is>
      </c>
      <c r="C351" s="12" t="inlineStr">
        <is>
          <t>WBS Code = 1.2.1</t>
        </is>
      </c>
      <c r="D351" s="12" t="inlineStr">
        <is>
          <t>Proposed by Source assignment; target 1.2.1 Stations - Station Structures</t>
        </is>
      </c>
      <c r="E351" s="12" t="inlineStr">
        <is>
          <t>None recorded</t>
        </is>
      </c>
      <c r="F351" s="12" t="inlineStr">
        <is>
          <t>No individual professional decision recorded; Source assignment -- not individually reviewed</t>
        </is>
      </c>
      <c r="G351" s="12" t="inlineStr">
        <is>
          <t>Not individually decided</t>
        </is>
      </c>
      <c r="H351" s="12" t="inlineStr">
        <is>
          <t xml:space="preserve">APPROVED / ONE_TO_ONE; </t>
        </is>
      </c>
      <c r="I351" s="12" t="inlineStr">
        <is>
          <t>New</t>
        </is>
      </c>
      <c r="J351" s="17" t="inlineStr">
        <is>
          <t>08 CROSSWALK</t>
        </is>
      </c>
    </row>
    <row r="352" ht="49" customHeight="1">
      <c r="A352" s="12" t="inlineStr">
        <is>
          <t>R278-v1</t>
        </is>
      </c>
      <c r="B352" s="12" t="inlineStr">
        <is>
          <t>Contractor Programme / SCH-02-098</t>
        </is>
      </c>
      <c r="C352" s="12" t="inlineStr">
        <is>
          <t>WBS Code = 1.2.1</t>
        </is>
      </c>
      <c r="D352" s="12" t="inlineStr">
        <is>
          <t>Proposed by Source assignment; target 1.2.1 Stations - Station Structures</t>
        </is>
      </c>
      <c r="E352" s="12" t="inlineStr">
        <is>
          <t>None recorded</t>
        </is>
      </c>
      <c r="F352" s="12" t="inlineStr">
        <is>
          <t>No individual professional decision recorded; Source assignment -- not individually reviewed</t>
        </is>
      </c>
      <c r="G352" s="12" t="inlineStr">
        <is>
          <t>Not individually decided</t>
        </is>
      </c>
      <c r="H352" s="12" t="inlineStr">
        <is>
          <t xml:space="preserve">APPROVED / ONE_TO_ONE; </t>
        </is>
      </c>
      <c r="I352" s="12" t="inlineStr">
        <is>
          <t>New</t>
        </is>
      </c>
      <c r="J352" s="17" t="inlineStr">
        <is>
          <t>08 CROSSWALK</t>
        </is>
      </c>
    </row>
    <row r="353" ht="49" customHeight="1">
      <c r="A353" s="12" t="inlineStr">
        <is>
          <t>R280-v1</t>
        </is>
      </c>
      <c r="B353" s="12" t="inlineStr">
        <is>
          <t>Contractor Programme / SCH-02-100</t>
        </is>
      </c>
      <c r="C353" s="12" t="inlineStr">
        <is>
          <t>WBS Code = 1.2.1</t>
        </is>
      </c>
      <c r="D353" s="12" t="inlineStr">
        <is>
          <t>Proposed by Source assignment; target 1.2.1 Stations - Station Structures</t>
        </is>
      </c>
      <c r="E353" s="12" t="inlineStr">
        <is>
          <t>None recorded</t>
        </is>
      </c>
      <c r="F353" s="12" t="inlineStr">
        <is>
          <t>No individual professional decision recorded; Source assignment -- not individually reviewed</t>
        </is>
      </c>
      <c r="G353" s="12" t="inlineStr">
        <is>
          <t>Not individually decided</t>
        </is>
      </c>
      <c r="H353" s="12" t="inlineStr">
        <is>
          <t xml:space="preserve">APPROVED / ONE_TO_ONE; </t>
        </is>
      </c>
      <c r="I353" s="12" t="inlineStr">
        <is>
          <t>New</t>
        </is>
      </c>
      <c r="J353" s="17" t="inlineStr">
        <is>
          <t>08 CROSSWALK</t>
        </is>
      </c>
    </row>
    <row r="354" ht="49" customHeight="1">
      <c r="A354" s="12" t="inlineStr">
        <is>
          <t>R281-v1</t>
        </is>
      </c>
      <c r="B354" s="12" t="inlineStr">
        <is>
          <t>Contractor Programme / SCH-02-101</t>
        </is>
      </c>
      <c r="C354" s="12" t="inlineStr">
        <is>
          <t>WBS Code = 1.2.1</t>
        </is>
      </c>
      <c r="D354" s="12" t="inlineStr">
        <is>
          <t>Proposed by Source assignment; target 1.2.1 Stations - Station Structures</t>
        </is>
      </c>
      <c r="E354" s="12" t="inlineStr">
        <is>
          <t>None recorded</t>
        </is>
      </c>
      <c r="F354" s="12" t="inlineStr">
        <is>
          <t>No individual professional decision recorded; Source assignment -- not individually reviewed</t>
        </is>
      </c>
      <c r="G354" s="12" t="inlineStr">
        <is>
          <t>Not individually decided</t>
        </is>
      </c>
      <c r="H354" s="12" t="inlineStr">
        <is>
          <t xml:space="preserve">APPROVED / ONE_TO_ONE; </t>
        </is>
      </c>
      <c r="I354" s="12" t="inlineStr">
        <is>
          <t>New</t>
        </is>
      </c>
      <c r="J354" s="17" t="inlineStr">
        <is>
          <t>08 CROSSWALK</t>
        </is>
      </c>
    </row>
    <row r="355" ht="49" customHeight="1">
      <c r="A355" s="12" t="inlineStr">
        <is>
          <t>R283-v1</t>
        </is>
      </c>
      <c r="B355" s="12" t="inlineStr">
        <is>
          <t>Contractor Programme / SCH-02-103</t>
        </is>
      </c>
      <c r="C355" s="12" t="inlineStr">
        <is>
          <t>WBS Code = 1.2.1</t>
        </is>
      </c>
      <c r="D355" s="12" t="inlineStr">
        <is>
          <t>Proposed by Source assignment; target 1.2.1 Stations - Station Structures</t>
        </is>
      </c>
      <c r="E355" s="12" t="inlineStr">
        <is>
          <t>None recorded</t>
        </is>
      </c>
      <c r="F355" s="12" t="inlineStr">
        <is>
          <t>No individual professional decision recorded; Source assignment -- not individually reviewed</t>
        </is>
      </c>
      <c r="G355" s="12" t="inlineStr">
        <is>
          <t>Not individually decided</t>
        </is>
      </c>
      <c r="H355" s="12" t="inlineStr">
        <is>
          <t xml:space="preserve">APPROVED / ONE_TO_ONE; </t>
        </is>
      </c>
      <c r="I355" s="12" t="inlineStr">
        <is>
          <t>New</t>
        </is>
      </c>
      <c r="J355" s="17" t="inlineStr">
        <is>
          <t>08 CROSSWALK</t>
        </is>
      </c>
    </row>
    <row r="356" ht="49" customHeight="1">
      <c r="A356" s="12" t="inlineStr">
        <is>
          <t>R284-v1</t>
        </is>
      </c>
      <c r="B356" s="12" t="inlineStr">
        <is>
          <t>Contractor Programme / SCH-02-104</t>
        </is>
      </c>
      <c r="C356" s="12" t="inlineStr">
        <is>
          <t>WBS Code = 1.2.1</t>
        </is>
      </c>
      <c r="D356" s="12" t="inlineStr">
        <is>
          <t>Proposed by Source assignment; target 1.2.1 Stations - Station Structures</t>
        </is>
      </c>
      <c r="E356" s="12" t="inlineStr">
        <is>
          <t>None recorded</t>
        </is>
      </c>
      <c r="F356" s="12" t="inlineStr">
        <is>
          <t>No individual professional decision recorded; Source assignment -- not individually reviewed</t>
        </is>
      </c>
      <c r="G356" s="12" t="inlineStr">
        <is>
          <t>Not individually decided</t>
        </is>
      </c>
      <c r="H356" s="12" t="inlineStr">
        <is>
          <t xml:space="preserve">APPROVED / ONE_TO_ONE; </t>
        </is>
      </c>
      <c r="I356" s="12" t="inlineStr">
        <is>
          <t>New</t>
        </is>
      </c>
      <c r="J356" s="17" t="inlineStr">
        <is>
          <t>08 CROSSWALK</t>
        </is>
      </c>
    </row>
    <row r="357" ht="49" customHeight="1">
      <c r="A357" s="12" t="inlineStr">
        <is>
          <t>R286-v1</t>
        </is>
      </c>
      <c r="B357" s="12" t="inlineStr">
        <is>
          <t>Contractor Programme / SCH-02-106</t>
        </is>
      </c>
      <c r="C357" s="12" t="inlineStr">
        <is>
          <t>WBS Code = 1.2.1</t>
        </is>
      </c>
      <c r="D357" s="12" t="inlineStr">
        <is>
          <t>Proposed by Source assignment; target 1.2.1 Stations - Station Structures</t>
        </is>
      </c>
      <c r="E357" s="12" t="inlineStr">
        <is>
          <t>None recorded</t>
        </is>
      </c>
      <c r="F357" s="12" t="inlineStr">
        <is>
          <t>No individual professional decision recorded; Source assignment -- not individually reviewed</t>
        </is>
      </c>
      <c r="G357" s="12" t="inlineStr">
        <is>
          <t>Not individually decided</t>
        </is>
      </c>
      <c r="H357" s="12" t="inlineStr">
        <is>
          <t xml:space="preserve">APPROVED / ONE_TO_ONE; </t>
        </is>
      </c>
      <c r="I357" s="12" t="inlineStr">
        <is>
          <t>New</t>
        </is>
      </c>
      <c r="J357" s="17" t="inlineStr">
        <is>
          <t>08 CROSSWALK</t>
        </is>
      </c>
    </row>
    <row r="358" ht="49" customHeight="1">
      <c r="A358" s="12" t="inlineStr">
        <is>
          <t>R287-v1</t>
        </is>
      </c>
      <c r="B358" s="12" t="inlineStr">
        <is>
          <t>Contractor Programme / SCH-02-107</t>
        </is>
      </c>
      <c r="C358" s="12" t="inlineStr">
        <is>
          <t>WBS Code = 1.2.1</t>
        </is>
      </c>
      <c r="D358" s="12" t="inlineStr">
        <is>
          <t>Proposed by Source assignment; target 1.2.1 Stations - Station Structures</t>
        </is>
      </c>
      <c r="E358" s="12" t="inlineStr">
        <is>
          <t>None recorded</t>
        </is>
      </c>
      <c r="F358" s="12" t="inlineStr">
        <is>
          <t>No individual professional decision recorded; Source assignment -- not individually reviewed</t>
        </is>
      </c>
      <c r="G358" s="12" t="inlineStr">
        <is>
          <t>Not individually decided</t>
        </is>
      </c>
      <c r="H358" s="12" t="inlineStr">
        <is>
          <t xml:space="preserve">APPROVED / ONE_TO_ONE; </t>
        </is>
      </c>
      <c r="I358" s="12" t="inlineStr">
        <is>
          <t>New</t>
        </is>
      </c>
      <c r="J358" s="17" t="inlineStr">
        <is>
          <t>08 CROSSWALK</t>
        </is>
      </c>
    </row>
    <row r="359" ht="49" customHeight="1">
      <c r="A359" s="12" t="inlineStr">
        <is>
          <t>R289-v1</t>
        </is>
      </c>
      <c r="B359" s="12" t="inlineStr">
        <is>
          <t>Contractor Programme / SCH-02-109</t>
        </is>
      </c>
      <c r="C359" s="12" t="inlineStr">
        <is>
          <t>WBS Code = 1.2.1</t>
        </is>
      </c>
      <c r="D359" s="12" t="inlineStr">
        <is>
          <t>Proposed by Source assignment; target 1.2.1 Stations - Station Structures</t>
        </is>
      </c>
      <c r="E359" s="12" t="inlineStr">
        <is>
          <t>None recorded</t>
        </is>
      </c>
      <c r="F359" s="12" t="inlineStr">
        <is>
          <t>No individual professional decision recorded; Source assignment -- not individually reviewed</t>
        </is>
      </c>
      <c r="G359" s="12" t="inlineStr">
        <is>
          <t>Not individually decided</t>
        </is>
      </c>
      <c r="H359" s="12" t="inlineStr">
        <is>
          <t xml:space="preserve">APPROVED / ONE_TO_ONE; </t>
        </is>
      </c>
      <c r="I359" s="12" t="inlineStr">
        <is>
          <t>New</t>
        </is>
      </c>
      <c r="J359" s="17" t="inlineStr">
        <is>
          <t>08 CROSSWALK</t>
        </is>
      </c>
    </row>
    <row r="360" ht="49" customHeight="1">
      <c r="A360" s="12" t="inlineStr">
        <is>
          <t>R290-v1</t>
        </is>
      </c>
      <c r="B360" s="12" t="inlineStr">
        <is>
          <t>Contractor Programme / SCH-02-110</t>
        </is>
      </c>
      <c r="C360" s="12" t="inlineStr">
        <is>
          <t>WBS Code = 1.2.1</t>
        </is>
      </c>
      <c r="D360" s="12" t="inlineStr">
        <is>
          <t>Proposed by Source assignment; target 1.2.1 Stations - Station Structures</t>
        </is>
      </c>
      <c r="E360" s="12" t="inlineStr">
        <is>
          <t>None recorded</t>
        </is>
      </c>
      <c r="F360" s="12" t="inlineStr">
        <is>
          <t>No individual professional decision recorded; Source assignment -- not individually reviewed</t>
        </is>
      </c>
      <c r="G360" s="12" t="inlineStr">
        <is>
          <t>Not individually decided</t>
        </is>
      </c>
      <c r="H360" s="12" t="inlineStr">
        <is>
          <t xml:space="preserve">APPROVED / ONE_TO_ONE; </t>
        </is>
      </c>
      <c r="I360" s="12" t="inlineStr">
        <is>
          <t>New</t>
        </is>
      </c>
      <c r="J360" s="17" t="inlineStr">
        <is>
          <t>08 CROSSWALK</t>
        </is>
      </c>
    </row>
    <row r="361" ht="49" customHeight="1">
      <c r="A361" s="12" t="inlineStr">
        <is>
          <t>R292-v1</t>
        </is>
      </c>
      <c r="B361" s="12" t="inlineStr">
        <is>
          <t>Contractor Programme / SCH-02-112</t>
        </is>
      </c>
      <c r="C361" s="12" t="inlineStr">
        <is>
          <t>WBS Code = 1.2.1</t>
        </is>
      </c>
      <c r="D361" s="12" t="inlineStr">
        <is>
          <t>Proposed by Source assignment; target 1.2.1 Stations - Station Structures</t>
        </is>
      </c>
      <c r="E361" s="12" t="inlineStr">
        <is>
          <t>None recorded</t>
        </is>
      </c>
      <c r="F361" s="12" t="inlineStr">
        <is>
          <t>No individual professional decision recorded; Source assignment -- not individually reviewed</t>
        </is>
      </c>
      <c r="G361" s="12" t="inlineStr">
        <is>
          <t>Not individually decided</t>
        </is>
      </c>
      <c r="H361" s="12" t="inlineStr">
        <is>
          <t xml:space="preserve">APPROVED / ONE_TO_ONE; </t>
        </is>
      </c>
      <c r="I361" s="12" t="inlineStr">
        <is>
          <t>New</t>
        </is>
      </c>
      <c r="J361" s="17" t="inlineStr">
        <is>
          <t>08 CROSSWALK</t>
        </is>
      </c>
    </row>
    <row r="362" ht="49" customHeight="1">
      <c r="A362" s="12" t="inlineStr">
        <is>
          <t>R293-v1</t>
        </is>
      </c>
      <c r="B362" s="12" t="inlineStr">
        <is>
          <t>Contractor Programme / SCH-02-113</t>
        </is>
      </c>
      <c r="C362" s="12" t="inlineStr">
        <is>
          <t>WBS Code = 1.2.1</t>
        </is>
      </c>
      <c r="D362" s="12" t="inlineStr">
        <is>
          <t>Proposed by Source assignment; target 1.2.1 Stations - Station Structures</t>
        </is>
      </c>
      <c r="E362" s="12" t="inlineStr">
        <is>
          <t>None recorded</t>
        </is>
      </c>
      <c r="F362" s="12" t="inlineStr">
        <is>
          <t>No individual professional decision recorded; Source assignment -- not individually reviewed</t>
        </is>
      </c>
      <c r="G362" s="12" t="inlineStr">
        <is>
          <t>Not individually decided</t>
        </is>
      </c>
      <c r="H362" s="12" t="inlineStr">
        <is>
          <t xml:space="preserve">APPROVED / ONE_TO_ONE; </t>
        </is>
      </c>
      <c r="I362" s="12" t="inlineStr">
        <is>
          <t>New</t>
        </is>
      </c>
      <c r="J362" s="17" t="inlineStr">
        <is>
          <t>08 CROSSWALK</t>
        </is>
      </c>
    </row>
    <row r="363" ht="49" customHeight="1">
      <c r="A363" s="12" t="inlineStr">
        <is>
          <t>R295-v1</t>
        </is>
      </c>
      <c r="B363" s="12" t="inlineStr">
        <is>
          <t>Contractor Programme / SCH-02-115</t>
        </is>
      </c>
      <c r="C363" s="12" t="inlineStr">
        <is>
          <t>WBS Code = 1.2.1</t>
        </is>
      </c>
      <c r="D363" s="12" t="inlineStr">
        <is>
          <t>Proposed by Source assignment; target 1.2.1 Stations - Station Structures</t>
        </is>
      </c>
      <c r="E363" s="12" t="inlineStr">
        <is>
          <t>None recorded</t>
        </is>
      </c>
      <c r="F363" s="12" t="inlineStr">
        <is>
          <t>No individual professional decision recorded; Source assignment -- not individually reviewed</t>
        </is>
      </c>
      <c r="G363" s="12" t="inlineStr">
        <is>
          <t>Not individually decided</t>
        </is>
      </c>
      <c r="H363" s="12" t="inlineStr">
        <is>
          <t xml:space="preserve">APPROVED / ONE_TO_ONE; </t>
        </is>
      </c>
      <c r="I363" s="12" t="inlineStr">
        <is>
          <t>New</t>
        </is>
      </c>
      <c r="J363" s="17" t="inlineStr">
        <is>
          <t>08 CROSSWALK</t>
        </is>
      </c>
    </row>
    <row r="364" ht="49" customHeight="1">
      <c r="A364" s="12" t="inlineStr">
        <is>
          <t>R296-v1</t>
        </is>
      </c>
      <c r="B364" s="12" t="inlineStr">
        <is>
          <t>Contractor Programme / SCH-02-116</t>
        </is>
      </c>
      <c r="C364" s="12" t="inlineStr">
        <is>
          <t>WBS Code = 1.2.1</t>
        </is>
      </c>
      <c r="D364" s="12" t="inlineStr">
        <is>
          <t>Proposed by Source assignment; target 1.2.1 Stations - Station Structures</t>
        </is>
      </c>
      <c r="E364" s="12" t="inlineStr">
        <is>
          <t>None recorded</t>
        </is>
      </c>
      <c r="F364" s="12" t="inlineStr">
        <is>
          <t>No individual professional decision recorded; Source assignment -- not individually reviewed</t>
        </is>
      </c>
      <c r="G364" s="12" t="inlineStr">
        <is>
          <t>Not individually decided</t>
        </is>
      </c>
      <c r="H364" s="12" t="inlineStr">
        <is>
          <t xml:space="preserve">APPROVED / ONE_TO_ONE; </t>
        </is>
      </c>
      <c r="I364" s="12" t="inlineStr">
        <is>
          <t>New</t>
        </is>
      </c>
      <c r="J364" s="17" t="inlineStr">
        <is>
          <t>08 CROSSWALK</t>
        </is>
      </c>
    </row>
    <row r="365" ht="49" customHeight="1">
      <c r="A365" s="12" t="inlineStr">
        <is>
          <t>R298-v1</t>
        </is>
      </c>
      <c r="B365" s="12" t="inlineStr">
        <is>
          <t>Contractor Programme / SCH-02-118</t>
        </is>
      </c>
      <c r="C365" s="12" t="inlineStr">
        <is>
          <t>WBS Code = 1.2.1</t>
        </is>
      </c>
      <c r="D365" s="12" t="inlineStr">
        <is>
          <t>Proposed by Source assignment; target 1.2.1 Stations - Station Structures</t>
        </is>
      </c>
      <c r="E365" s="12" t="inlineStr">
        <is>
          <t>None recorded</t>
        </is>
      </c>
      <c r="F365" s="12" t="inlineStr">
        <is>
          <t>No individual professional decision recorded; Source assignment -- not individually reviewed</t>
        </is>
      </c>
      <c r="G365" s="12" t="inlineStr">
        <is>
          <t>Not individually decided</t>
        </is>
      </c>
      <c r="H365" s="12" t="inlineStr">
        <is>
          <t xml:space="preserve">APPROVED / ONE_TO_ONE; </t>
        </is>
      </c>
      <c r="I365" s="12" t="inlineStr">
        <is>
          <t>New</t>
        </is>
      </c>
      <c r="J365" s="17" t="inlineStr">
        <is>
          <t>08 CROSSWALK</t>
        </is>
      </c>
    </row>
    <row r="366" ht="49" customHeight="1">
      <c r="A366" s="12" t="inlineStr">
        <is>
          <t>R299-v1</t>
        </is>
      </c>
      <c r="B366" s="12" t="inlineStr">
        <is>
          <t>Contractor Programme / SCH-02-119</t>
        </is>
      </c>
      <c r="C366" s="12" t="inlineStr">
        <is>
          <t>WBS Code = 1.2.1</t>
        </is>
      </c>
      <c r="D366" s="12" t="inlineStr">
        <is>
          <t>Proposed by Source assignment; target 1.2.1 Stations - Station Structures</t>
        </is>
      </c>
      <c r="E366" s="12" t="inlineStr">
        <is>
          <t>None recorded</t>
        </is>
      </c>
      <c r="F366" s="12" t="inlineStr">
        <is>
          <t>No individual professional decision recorded; Source assignment -- not individually reviewed</t>
        </is>
      </c>
      <c r="G366" s="12" t="inlineStr">
        <is>
          <t>Not individually decided</t>
        </is>
      </c>
      <c r="H366" s="12" t="inlineStr">
        <is>
          <t xml:space="preserve">APPROVED / ONE_TO_ONE; </t>
        </is>
      </c>
      <c r="I366" s="12" t="inlineStr">
        <is>
          <t>New</t>
        </is>
      </c>
      <c r="J366" s="17" t="inlineStr">
        <is>
          <t>08 CROSSWALK</t>
        </is>
      </c>
    </row>
    <row r="367" ht="49" customHeight="1">
      <c r="A367" s="12" t="inlineStr">
        <is>
          <t>R301-v1</t>
        </is>
      </c>
      <c r="B367" s="12" t="inlineStr">
        <is>
          <t>Contractor Programme / SCH-02-121</t>
        </is>
      </c>
      <c r="C367" s="12" t="inlineStr">
        <is>
          <t>WBS Code = 1.2.1</t>
        </is>
      </c>
      <c r="D367" s="12" t="inlineStr">
        <is>
          <t>Proposed by Source assignment; target 1.2.1 Stations - Station Structures</t>
        </is>
      </c>
      <c r="E367" s="12" t="inlineStr">
        <is>
          <t>None recorded</t>
        </is>
      </c>
      <c r="F367" s="12" t="inlineStr">
        <is>
          <t>No individual professional decision recorded; Source assignment -- not individually reviewed</t>
        </is>
      </c>
      <c r="G367" s="12" t="inlineStr">
        <is>
          <t>Not individually decided</t>
        </is>
      </c>
      <c r="H367" s="12" t="inlineStr">
        <is>
          <t xml:space="preserve">APPROVED / ONE_TO_ONE; </t>
        </is>
      </c>
      <c r="I367" s="12" t="inlineStr">
        <is>
          <t>New</t>
        </is>
      </c>
      <c r="J367" s="17" t="inlineStr">
        <is>
          <t>08 CROSSWALK</t>
        </is>
      </c>
    </row>
    <row r="368" ht="49" customHeight="1">
      <c r="A368" s="12" t="inlineStr">
        <is>
          <t>R302-v1</t>
        </is>
      </c>
      <c r="B368" s="12" t="inlineStr">
        <is>
          <t>Contractor Programme / SCH-02-122</t>
        </is>
      </c>
      <c r="C368" s="12" t="inlineStr">
        <is>
          <t>WBS Code = 1.2.1</t>
        </is>
      </c>
      <c r="D368" s="12" t="inlineStr">
        <is>
          <t>Proposed by Source assignment; target 1.2.1 Stations - Station Structures</t>
        </is>
      </c>
      <c r="E368" s="12" t="inlineStr">
        <is>
          <t>None recorded</t>
        </is>
      </c>
      <c r="F368" s="12" t="inlineStr">
        <is>
          <t>No individual professional decision recorded; Source assignment -- not individually reviewed</t>
        </is>
      </c>
      <c r="G368" s="12" t="inlineStr">
        <is>
          <t>Not individually decided</t>
        </is>
      </c>
      <c r="H368" s="12" t="inlineStr">
        <is>
          <t xml:space="preserve">APPROVED / ONE_TO_ONE; </t>
        </is>
      </c>
      <c r="I368" s="12" t="inlineStr">
        <is>
          <t>New</t>
        </is>
      </c>
      <c r="J368" s="17" t="inlineStr">
        <is>
          <t>08 CROSSWALK</t>
        </is>
      </c>
    </row>
    <row r="369" ht="49" customHeight="1">
      <c r="A369" s="12" t="inlineStr">
        <is>
          <t>R304-v1</t>
        </is>
      </c>
      <c r="B369" s="12" t="inlineStr">
        <is>
          <t>Contractor Programme / SCH-02-124</t>
        </is>
      </c>
      <c r="C369" s="12" t="inlineStr">
        <is>
          <t>WBS Code = 1.2.1</t>
        </is>
      </c>
      <c r="D369" s="12" t="inlineStr">
        <is>
          <t>Proposed by Source assignment; target 1.2.1 Stations - Station Structures</t>
        </is>
      </c>
      <c r="E369" s="12" t="inlineStr">
        <is>
          <t>None recorded</t>
        </is>
      </c>
      <c r="F369" s="12" t="inlineStr">
        <is>
          <t>No individual professional decision recorded; Source assignment -- not individually reviewed</t>
        </is>
      </c>
      <c r="G369" s="12" t="inlineStr">
        <is>
          <t>Not individually decided</t>
        </is>
      </c>
      <c r="H369" s="12" t="inlineStr">
        <is>
          <t xml:space="preserve">APPROVED / ONE_TO_ONE; </t>
        </is>
      </c>
      <c r="I369" s="12" t="inlineStr">
        <is>
          <t>New</t>
        </is>
      </c>
      <c r="J369" s="17" t="inlineStr">
        <is>
          <t>08 CROSSWALK</t>
        </is>
      </c>
    </row>
    <row r="370" ht="49" customHeight="1">
      <c r="A370" s="12" t="inlineStr">
        <is>
          <t>R305-v1</t>
        </is>
      </c>
      <c r="B370" s="12" t="inlineStr">
        <is>
          <t>Contractor Programme / SCH-02-125</t>
        </is>
      </c>
      <c r="C370" s="12" t="inlineStr">
        <is>
          <t>WBS Code = 1.2.1</t>
        </is>
      </c>
      <c r="D370" s="12" t="inlineStr">
        <is>
          <t>Proposed by Source assignment; target 1.2.1 Stations - Station Structures</t>
        </is>
      </c>
      <c r="E370" s="12" t="inlineStr">
        <is>
          <t>None recorded</t>
        </is>
      </c>
      <c r="F370" s="12" t="inlineStr">
        <is>
          <t>No individual professional decision recorded; Source assignment -- not individually reviewed</t>
        </is>
      </c>
      <c r="G370" s="12" t="inlineStr">
        <is>
          <t>Not individually decided</t>
        </is>
      </c>
      <c r="H370" s="12" t="inlineStr">
        <is>
          <t xml:space="preserve">APPROVED / ONE_TO_ONE; </t>
        </is>
      </c>
      <c r="I370" s="12" t="inlineStr">
        <is>
          <t>New</t>
        </is>
      </c>
      <c r="J370" s="17" t="inlineStr">
        <is>
          <t>08 CROSSWALK</t>
        </is>
      </c>
    </row>
    <row r="371" ht="49" customHeight="1">
      <c r="A371" s="12" t="inlineStr">
        <is>
          <t>R307-v1</t>
        </is>
      </c>
      <c r="B371" s="12" t="inlineStr">
        <is>
          <t>Contractor Programme / SCH-02-127</t>
        </is>
      </c>
      <c r="C371" s="12" t="inlineStr">
        <is>
          <t>WBS Code = 1.2.1</t>
        </is>
      </c>
      <c r="D371" s="12" t="inlineStr">
        <is>
          <t>Proposed by Source assignment; target 1.2.1 Stations - Station Structures</t>
        </is>
      </c>
      <c r="E371" s="12" t="inlineStr">
        <is>
          <t>None recorded</t>
        </is>
      </c>
      <c r="F371" s="12" t="inlineStr">
        <is>
          <t>No individual professional decision recorded; Source assignment -- not individually reviewed</t>
        </is>
      </c>
      <c r="G371" s="12" t="inlineStr">
        <is>
          <t>Not individually decided</t>
        </is>
      </c>
      <c r="H371" s="12" t="inlineStr">
        <is>
          <t xml:space="preserve">APPROVED / ONE_TO_ONE; </t>
        </is>
      </c>
      <c r="I371" s="12" t="inlineStr">
        <is>
          <t>New</t>
        </is>
      </c>
      <c r="J371" s="17" t="inlineStr">
        <is>
          <t>08 CROSSWALK</t>
        </is>
      </c>
    </row>
    <row r="372" ht="49" customHeight="1">
      <c r="A372" s="12" t="inlineStr">
        <is>
          <t>R308-v1</t>
        </is>
      </c>
      <c r="B372" s="12" t="inlineStr">
        <is>
          <t>Contractor Programme / SCH-02-128</t>
        </is>
      </c>
      <c r="C372" s="12" t="inlineStr">
        <is>
          <t>WBS Code = 1.2.1</t>
        </is>
      </c>
      <c r="D372" s="12" t="inlineStr">
        <is>
          <t>Proposed by Source assignment; target 1.2.1 Stations - Station Structures</t>
        </is>
      </c>
      <c r="E372" s="12" t="inlineStr">
        <is>
          <t>None recorded</t>
        </is>
      </c>
      <c r="F372" s="12" t="inlineStr">
        <is>
          <t>No individual professional decision recorded; Source assignment -- not individually reviewed</t>
        </is>
      </c>
      <c r="G372" s="12" t="inlineStr">
        <is>
          <t>Not individually decided</t>
        </is>
      </c>
      <c r="H372" s="12" t="inlineStr">
        <is>
          <t xml:space="preserve">APPROVED / ONE_TO_ONE; </t>
        </is>
      </c>
      <c r="I372" s="12" t="inlineStr">
        <is>
          <t>New</t>
        </is>
      </c>
      <c r="J372" s="17" t="inlineStr">
        <is>
          <t>08 CROSSWALK</t>
        </is>
      </c>
    </row>
    <row r="373" ht="49" customHeight="1">
      <c r="A373" s="12" t="inlineStr">
        <is>
          <t>R310-v1</t>
        </is>
      </c>
      <c r="B373" s="12" t="inlineStr">
        <is>
          <t>Contractor Programme / SCH-02-130</t>
        </is>
      </c>
      <c r="C373" s="12" t="inlineStr">
        <is>
          <t>WBS Code = 1.2.1</t>
        </is>
      </c>
      <c r="D373" s="12" t="inlineStr">
        <is>
          <t>Proposed by Source assignment; target 1.2.1 Stations - Station Structures</t>
        </is>
      </c>
      <c r="E373" s="12" t="inlineStr">
        <is>
          <t>None recorded</t>
        </is>
      </c>
      <c r="F373" s="12" t="inlineStr">
        <is>
          <t>No individual professional decision recorded; Source assignment -- not individually reviewed</t>
        </is>
      </c>
      <c r="G373" s="12" t="inlineStr">
        <is>
          <t>Not individually decided</t>
        </is>
      </c>
      <c r="H373" s="12" t="inlineStr">
        <is>
          <t xml:space="preserve">APPROVED / ONE_TO_ONE; </t>
        </is>
      </c>
      <c r="I373" s="12" t="inlineStr">
        <is>
          <t>New</t>
        </is>
      </c>
      <c r="J373" s="17" t="inlineStr">
        <is>
          <t>08 CROSSWALK</t>
        </is>
      </c>
    </row>
    <row r="374" ht="49" customHeight="1">
      <c r="A374" s="12" t="inlineStr">
        <is>
          <t>R311-v1</t>
        </is>
      </c>
      <c r="B374" s="12" t="inlineStr">
        <is>
          <t>Contractor Programme / SCH-02-131</t>
        </is>
      </c>
      <c r="C374" s="12" t="inlineStr">
        <is>
          <t>WBS Code = 1.2.1</t>
        </is>
      </c>
      <c r="D374" s="12" t="inlineStr">
        <is>
          <t>Proposed by Source assignment; target 1.2.1 Stations - Station Structures</t>
        </is>
      </c>
      <c r="E374" s="12" t="inlineStr">
        <is>
          <t>None recorded</t>
        </is>
      </c>
      <c r="F374" s="12" t="inlineStr">
        <is>
          <t>No individual professional decision recorded; Source assignment -- not individually reviewed</t>
        </is>
      </c>
      <c r="G374" s="12" t="inlineStr">
        <is>
          <t>Not individually decided</t>
        </is>
      </c>
      <c r="H374" s="12" t="inlineStr">
        <is>
          <t xml:space="preserve">APPROVED / ONE_TO_ONE; </t>
        </is>
      </c>
      <c r="I374" s="12" t="inlineStr">
        <is>
          <t>New</t>
        </is>
      </c>
      <c r="J374" s="17" t="inlineStr">
        <is>
          <t>08 CROSSWALK</t>
        </is>
      </c>
    </row>
    <row r="375" ht="49" customHeight="1">
      <c r="A375" s="12" t="inlineStr">
        <is>
          <t>R313-v1</t>
        </is>
      </c>
      <c r="B375" s="12" t="inlineStr">
        <is>
          <t>Contractor Programme / SCH-02-133</t>
        </is>
      </c>
      <c r="C375" s="12" t="inlineStr">
        <is>
          <t>WBS Code = 1.2.1</t>
        </is>
      </c>
      <c r="D375" s="12" t="inlineStr">
        <is>
          <t>Proposed by Source assignment; target 1.2.1 Stations - Station Structures</t>
        </is>
      </c>
      <c r="E375" s="12" t="inlineStr">
        <is>
          <t>None recorded</t>
        </is>
      </c>
      <c r="F375" s="12" t="inlineStr">
        <is>
          <t>No individual professional decision recorded; Source assignment -- not individually reviewed</t>
        </is>
      </c>
      <c r="G375" s="12" t="inlineStr">
        <is>
          <t>Not individually decided</t>
        </is>
      </c>
      <c r="H375" s="12" t="inlineStr">
        <is>
          <t xml:space="preserve">APPROVED / ONE_TO_ONE; </t>
        </is>
      </c>
      <c r="I375" s="12" t="inlineStr">
        <is>
          <t>New</t>
        </is>
      </c>
      <c r="J375" s="17" t="inlineStr">
        <is>
          <t>08 CROSSWALK</t>
        </is>
      </c>
    </row>
    <row r="376" ht="49" customHeight="1">
      <c r="A376" s="12" t="inlineStr">
        <is>
          <t>R314-v1</t>
        </is>
      </c>
      <c r="B376" s="12" t="inlineStr">
        <is>
          <t>Contractor Programme / SCH-02-134</t>
        </is>
      </c>
      <c r="C376" s="12" t="inlineStr">
        <is>
          <t>WBS Code = 1.2.1</t>
        </is>
      </c>
      <c r="D376" s="12" t="inlineStr">
        <is>
          <t>Proposed by Source assignment; target 1.2.1 Stations - Station Structures</t>
        </is>
      </c>
      <c r="E376" s="12" t="inlineStr">
        <is>
          <t>None recorded</t>
        </is>
      </c>
      <c r="F376" s="12" t="inlineStr">
        <is>
          <t>No individual professional decision recorded; Source assignment -- not individually reviewed</t>
        </is>
      </c>
      <c r="G376" s="12" t="inlineStr">
        <is>
          <t>Not individually decided</t>
        </is>
      </c>
      <c r="H376" s="12" t="inlineStr">
        <is>
          <t xml:space="preserve">APPROVED / ONE_TO_ONE; </t>
        </is>
      </c>
      <c r="I376" s="12" t="inlineStr">
        <is>
          <t>New</t>
        </is>
      </c>
      <c r="J376" s="17" t="inlineStr">
        <is>
          <t>08 CROSSWALK</t>
        </is>
      </c>
    </row>
    <row r="377" ht="49" customHeight="1">
      <c r="A377" s="12" t="inlineStr">
        <is>
          <t>R316-v1</t>
        </is>
      </c>
      <c r="B377" s="12" t="inlineStr">
        <is>
          <t>Contractor Programme / SCH-02-136</t>
        </is>
      </c>
      <c r="C377" s="12" t="inlineStr">
        <is>
          <t>WBS Code = 1.2.1</t>
        </is>
      </c>
      <c r="D377" s="12" t="inlineStr">
        <is>
          <t>Proposed by Source assignment; target 1.2.1 Stations - Station Structures</t>
        </is>
      </c>
      <c r="E377" s="12" t="inlineStr">
        <is>
          <t>None recorded</t>
        </is>
      </c>
      <c r="F377" s="12" t="inlineStr">
        <is>
          <t>No individual professional decision recorded; Source assignment -- not individually reviewed</t>
        </is>
      </c>
      <c r="G377" s="12" t="inlineStr">
        <is>
          <t>Not individually decided</t>
        </is>
      </c>
      <c r="H377" s="12" t="inlineStr">
        <is>
          <t xml:space="preserve">APPROVED / ONE_TO_ONE; </t>
        </is>
      </c>
      <c r="I377" s="12" t="inlineStr">
        <is>
          <t>New</t>
        </is>
      </c>
      <c r="J377" s="17" t="inlineStr">
        <is>
          <t>08 CROSSWALK</t>
        </is>
      </c>
    </row>
    <row r="378" ht="49" customHeight="1">
      <c r="A378" s="12" t="inlineStr">
        <is>
          <t>R317-v1</t>
        </is>
      </c>
      <c r="B378" s="12" t="inlineStr">
        <is>
          <t>Contractor Programme / SCH-02-137</t>
        </is>
      </c>
      <c r="C378" s="12" t="inlineStr">
        <is>
          <t>WBS Code = 1.2.1</t>
        </is>
      </c>
      <c r="D378" s="12" t="inlineStr">
        <is>
          <t>Proposed by Source assignment; target 1.2.1 Stations - Station Structures</t>
        </is>
      </c>
      <c r="E378" s="12" t="inlineStr">
        <is>
          <t>None recorded</t>
        </is>
      </c>
      <c r="F378" s="12" t="inlineStr">
        <is>
          <t>No individual professional decision recorded; Source assignment -- not individually reviewed</t>
        </is>
      </c>
      <c r="G378" s="12" t="inlineStr">
        <is>
          <t>Not individually decided</t>
        </is>
      </c>
      <c r="H378" s="12" t="inlineStr">
        <is>
          <t xml:space="preserve">APPROVED / ONE_TO_ONE; </t>
        </is>
      </c>
      <c r="I378" s="12" t="inlineStr">
        <is>
          <t>New</t>
        </is>
      </c>
      <c r="J378" s="17" t="inlineStr">
        <is>
          <t>08 CROSSWALK</t>
        </is>
      </c>
    </row>
    <row r="379" ht="49" customHeight="1">
      <c r="A379" s="12" t="inlineStr">
        <is>
          <t>R319-v1</t>
        </is>
      </c>
      <c r="B379" s="12" t="inlineStr">
        <is>
          <t>Contractor Programme / SCH-02-139</t>
        </is>
      </c>
      <c r="C379" s="12" t="inlineStr">
        <is>
          <t>WBS Code = 1.2.1</t>
        </is>
      </c>
      <c r="D379" s="12" t="inlineStr">
        <is>
          <t>Proposed by Source assignment; target 1.2.1 Stations - Station Structures</t>
        </is>
      </c>
      <c r="E379" s="12" t="inlineStr">
        <is>
          <t>None recorded</t>
        </is>
      </c>
      <c r="F379" s="12" t="inlineStr">
        <is>
          <t>No individual professional decision recorded; Source assignment -- not individually reviewed</t>
        </is>
      </c>
      <c r="G379" s="12" t="inlineStr">
        <is>
          <t>Not individually decided</t>
        </is>
      </c>
      <c r="H379" s="12" t="inlineStr">
        <is>
          <t xml:space="preserve">APPROVED / ONE_TO_ONE; </t>
        </is>
      </c>
      <c r="I379" s="12" t="inlineStr">
        <is>
          <t>New</t>
        </is>
      </c>
      <c r="J379" s="17" t="inlineStr">
        <is>
          <t>08 CROSSWALK</t>
        </is>
      </c>
    </row>
    <row r="380" ht="49" customHeight="1">
      <c r="A380" s="12" t="inlineStr">
        <is>
          <t>R320-v1</t>
        </is>
      </c>
      <c r="B380" s="12" t="inlineStr">
        <is>
          <t>Contractor Programme / SCH-02-140</t>
        </is>
      </c>
      <c r="C380" s="12" t="inlineStr">
        <is>
          <t>WBS Code = 1.2.1</t>
        </is>
      </c>
      <c r="D380" s="12" t="inlineStr">
        <is>
          <t>Proposed by Source assignment; target 1.2.1 Stations - Station Structures</t>
        </is>
      </c>
      <c r="E380" s="12" t="inlineStr">
        <is>
          <t>None recorded</t>
        </is>
      </c>
      <c r="F380" s="12" t="inlineStr">
        <is>
          <t>No individual professional decision recorded; Source assignment -- not individually reviewed</t>
        </is>
      </c>
      <c r="G380" s="12" t="inlineStr">
        <is>
          <t>Not individually decided</t>
        </is>
      </c>
      <c r="H380" s="12" t="inlineStr">
        <is>
          <t xml:space="preserve">APPROVED / ONE_TO_ONE; </t>
        </is>
      </c>
      <c r="I380" s="12" t="inlineStr">
        <is>
          <t>New</t>
        </is>
      </c>
      <c r="J380" s="17" t="inlineStr">
        <is>
          <t>08 CROSSWALK</t>
        </is>
      </c>
    </row>
    <row r="381" ht="49" customHeight="1">
      <c r="A381" s="12" t="inlineStr">
        <is>
          <t>R322-v1</t>
        </is>
      </c>
      <c r="B381" s="12" t="inlineStr">
        <is>
          <t>Contractor Programme / SCH-02-142</t>
        </is>
      </c>
      <c r="C381" s="12" t="inlineStr">
        <is>
          <t>WBS Code = 1.2.1</t>
        </is>
      </c>
      <c r="D381" s="12" t="inlineStr">
        <is>
          <t>Proposed by Source assignment; target 1.2.1 Stations - Station Structures</t>
        </is>
      </c>
      <c r="E381" s="12" t="inlineStr">
        <is>
          <t>None recorded</t>
        </is>
      </c>
      <c r="F381" s="12" t="inlineStr">
        <is>
          <t>No individual professional decision recorded; Source assignment -- not individually reviewed</t>
        </is>
      </c>
      <c r="G381" s="12" t="inlineStr">
        <is>
          <t>Not individually decided</t>
        </is>
      </c>
      <c r="H381" s="12" t="inlineStr">
        <is>
          <t xml:space="preserve">APPROVED / ONE_TO_ONE; </t>
        </is>
      </c>
      <c r="I381" s="12" t="inlineStr">
        <is>
          <t>New</t>
        </is>
      </c>
      <c r="J381" s="17" t="inlineStr">
        <is>
          <t>08 CROSSWALK</t>
        </is>
      </c>
    </row>
    <row r="382" ht="49" customHeight="1">
      <c r="A382" s="12" t="inlineStr">
        <is>
          <t>R323-v1</t>
        </is>
      </c>
      <c r="B382" s="12" t="inlineStr">
        <is>
          <t>Contractor Programme / SCH-02-143</t>
        </is>
      </c>
      <c r="C382" s="12" t="inlineStr">
        <is>
          <t>WBS Code = 1.2.1</t>
        </is>
      </c>
      <c r="D382" s="12" t="inlineStr">
        <is>
          <t>Proposed by Source assignment; target 1.2.1 Stations - Station Structures</t>
        </is>
      </c>
      <c r="E382" s="12" t="inlineStr">
        <is>
          <t>None recorded</t>
        </is>
      </c>
      <c r="F382" s="12" t="inlineStr">
        <is>
          <t>No individual professional decision recorded; Source assignment -- not individually reviewed</t>
        </is>
      </c>
      <c r="G382" s="12" t="inlineStr">
        <is>
          <t>Not individually decided</t>
        </is>
      </c>
      <c r="H382" s="12" t="inlineStr">
        <is>
          <t xml:space="preserve">APPROVED / ONE_TO_ONE; </t>
        </is>
      </c>
      <c r="I382" s="12" t="inlineStr">
        <is>
          <t>New</t>
        </is>
      </c>
      <c r="J382" s="17" t="inlineStr">
        <is>
          <t>08 CROSSWALK</t>
        </is>
      </c>
    </row>
    <row r="383" ht="49" customHeight="1">
      <c r="A383" s="12" t="inlineStr">
        <is>
          <t>R325-v1</t>
        </is>
      </c>
      <c r="B383" s="12" t="inlineStr">
        <is>
          <t>Contractor Programme / SCH-02-145</t>
        </is>
      </c>
      <c r="C383" s="12" t="inlineStr">
        <is>
          <t>WBS Code = 1.2.1</t>
        </is>
      </c>
      <c r="D383" s="12" t="inlineStr">
        <is>
          <t>Proposed by Source assignment; target 1.2.1 Stations - Station Structures</t>
        </is>
      </c>
      <c r="E383" s="12" t="inlineStr">
        <is>
          <t>None recorded</t>
        </is>
      </c>
      <c r="F383" s="12" t="inlineStr">
        <is>
          <t>No individual professional decision recorded; Source assignment -- not individually reviewed</t>
        </is>
      </c>
      <c r="G383" s="12" t="inlineStr">
        <is>
          <t>Not individually decided</t>
        </is>
      </c>
      <c r="H383" s="12" t="inlineStr">
        <is>
          <t xml:space="preserve">APPROVED / ONE_TO_ONE; </t>
        </is>
      </c>
      <c r="I383" s="12" t="inlineStr">
        <is>
          <t>New</t>
        </is>
      </c>
      <c r="J383" s="17" t="inlineStr">
        <is>
          <t>08 CROSSWALK</t>
        </is>
      </c>
    </row>
    <row r="384" ht="49" customHeight="1">
      <c r="A384" s="12" t="inlineStr">
        <is>
          <t>R326-v1</t>
        </is>
      </c>
      <c r="B384" s="12" t="inlineStr">
        <is>
          <t>Contractor Programme / SCH-02-146</t>
        </is>
      </c>
      <c r="C384" s="12" t="inlineStr">
        <is>
          <t>WBS Code = 1.2.1</t>
        </is>
      </c>
      <c r="D384" s="12" t="inlineStr">
        <is>
          <t>Proposed by Source assignment; target 1.2.1 Stations - Station Structures</t>
        </is>
      </c>
      <c r="E384" s="12" t="inlineStr">
        <is>
          <t>None recorded</t>
        </is>
      </c>
      <c r="F384" s="12" t="inlineStr">
        <is>
          <t>No individual professional decision recorded; Source assignment -- not individually reviewed</t>
        </is>
      </c>
      <c r="G384" s="12" t="inlineStr">
        <is>
          <t>Not individually decided</t>
        </is>
      </c>
      <c r="H384" s="12" t="inlineStr">
        <is>
          <t xml:space="preserve">APPROVED / ONE_TO_ONE; </t>
        </is>
      </c>
      <c r="I384" s="12" t="inlineStr">
        <is>
          <t>New</t>
        </is>
      </c>
      <c r="J384" s="17" t="inlineStr">
        <is>
          <t>08 CROSSWALK</t>
        </is>
      </c>
    </row>
    <row r="385" ht="49" customHeight="1">
      <c r="A385" s="12" t="inlineStr">
        <is>
          <t>R328-v1</t>
        </is>
      </c>
      <c r="B385" s="12" t="inlineStr">
        <is>
          <t>Contractor Programme / SCH-02-148</t>
        </is>
      </c>
      <c r="C385" s="12" t="inlineStr">
        <is>
          <t>WBS Code = 1.2.1</t>
        </is>
      </c>
      <c r="D385" s="12" t="inlineStr">
        <is>
          <t>Proposed by Source assignment; target 1.2.1 Stations - Station Structures</t>
        </is>
      </c>
      <c r="E385" s="12" t="inlineStr">
        <is>
          <t>None recorded</t>
        </is>
      </c>
      <c r="F385" s="12" t="inlineStr">
        <is>
          <t>No individual professional decision recorded; Source assignment -- not individually reviewed</t>
        </is>
      </c>
      <c r="G385" s="12" t="inlineStr">
        <is>
          <t>Not individually decided</t>
        </is>
      </c>
      <c r="H385" s="12" t="inlineStr">
        <is>
          <t xml:space="preserve">APPROVED / ONE_TO_ONE; </t>
        </is>
      </c>
      <c r="I385" s="12" t="inlineStr">
        <is>
          <t>New</t>
        </is>
      </c>
      <c r="J385" s="17" t="inlineStr">
        <is>
          <t>08 CROSSWALK</t>
        </is>
      </c>
    </row>
    <row r="386" ht="49" customHeight="1">
      <c r="A386" s="12" t="inlineStr">
        <is>
          <t>R329-v1</t>
        </is>
      </c>
      <c r="B386" s="12" t="inlineStr">
        <is>
          <t>Contractor Programme / SCH-02-149</t>
        </is>
      </c>
      <c r="C386" s="12" t="inlineStr">
        <is>
          <t>WBS Code = 1.2.1</t>
        </is>
      </c>
      <c r="D386" s="12" t="inlineStr">
        <is>
          <t>Proposed by Source assignment; target 1.2.1 Stations - Station Structures</t>
        </is>
      </c>
      <c r="E386" s="12" t="inlineStr">
        <is>
          <t>None recorded</t>
        </is>
      </c>
      <c r="F386" s="12" t="inlineStr">
        <is>
          <t>No individual professional decision recorded; Source assignment -- not individually reviewed</t>
        </is>
      </c>
      <c r="G386" s="12" t="inlineStr">
        <is>
          <t>Not individually decided</t>
        </is>
      </c>
      <c r="H386" s="12" t="inlineStr">
        <is>
          <t xml:space="preserve">APPROVED / ONE_TO_ONE; </t>
        </is>
      </c>
      <c r="I386" s="12" t="inlineStr">
        <is>
          <t>New</t>
        </is>
      </c>
      <c r="J386" s="17" t="inlineStr">
        <is>
          <t>08 CROSSWALK</t>
        </is>
      </c>
    </row>
    <row r="387" ht="49" customHeight="1">
      <c r="A387" s="12" t="inlineStr">
        <is>
          <t>R331-v1</t>
        </is>
      </c>
      <c r="B387" s="12" t="inlineStr">
        <is>
          <t>Contractor Programme / SCH-02-151</t>
        </is>
      </c>
      <c r="C387" s="12" t="inlineStr">
        <is>
          <t>WBS Code = 1.2.1</t>
        </is>
      </c>
      <c r="D387" s="12" t="inlineStr">
        <is>
          <t>Proposed by Source assignment; target 1.2.1 Stations - Station Structures</t>
        </is>
      </c>
      <c r="E387" s="12" t="inlineStr">
        <is>
          <t>None recorded</t>
        </is>
      </c>
      <c r="F387" s="12" t="inlineStr">
        <is>
          <t>No individual professional decision recorded; Source assignment -- not individually reviewed</t>
        </is>
      </c>
      <c r="G387" s="12" t="inlineStr">
        <is>
          <t>Not individually decided</t>
        </is>
      </c>
      <c r="H387" s="12" t="inlineStr">
        <is>
          <t xml:space="preserve">APPROVED / ONE_TO_ONE; </t>
        </is>
      </c>
      <c r="I387" s="12" t="inlineStr">
        <is>
          <t>New</t>
        </is>
      </c>
      <c r="J387" s="17" t="inlineStr">
        <is>
          <t>08 CROSSWALK</t>
        </is>
      </c>
    </row>
    <row r="388" ht="49" customHeight="1">
      <c r="A388" s="12" t="inlineStr">
        <is>
          <t>R332-v1</t>
        </is>
      </c>
      <c r="B388" s="12" t="inlineStr">
        <is>
          <t>Contractor Programme / SCH-02-152</t>
        </is>
      </c>
      <c r="C388" s="12" t="inlineStr">
        <is>
          <t>WBS Code = 1.2.1</t>
        </is>
      </c>
      <c r="D388" s="12" t="inlineStr">
        <is>
          <t>Proposed by Source assignment; target 1.2.1 Stations - Station Structures</t>
        </is>
      </c>
      <c r="E388" s="12" t="inlineStr">
        <is>
          <t>None recorded</t>
        </is>
      </c>
      <c r="F388" s="12" t="inlineStr">
        <is>
          <t>No individual professional decision recorded; Source assignment -- not individually reviewed</t>
        </is>
      </c>
      <c r="G388" s="12" t="inlineStr">
        <is>
          <t>Not individually decided</t>
        </is>
      </c>
      <c r="H388" s="12" t="inlineStr">
        <is>
          <t xml:space="preserve">APPROVED / ONE_TO_ONE; </t>
        </is>
      </c>
      <c r="I388" s="12" t="inlineStr">
        <is>
          <t>New</t>
        </is>
      </c>
      <c r="J388" s="17" t="inlineStr">
        <is>
          <t>08 CROSSWALK</t>
        </is>
      </c>
    </row>
    <row r="389" ht="49" customHeight="1">
      <c r="A389" s="12" t="inlineStr">
        <is>
          <t>R334-v1</t>
        </is>
      </c>
      <c r="B389" s="12" t="inlineStr">
        <is>
          <t>Contractor Programme / SCH-02-154</t>
        </is>
      </c>
      <c r="C389" s="12" t="inlineStr">
        <is>
          <t>WBS Code = 1.2.1</t>
        </is>
      </c>
      <c r="D389" s="12" t="inlineStr">
        <is>
          <t>Proposed by Source assignment; target 1.2.1 Stations - Station Structures</t>
        </is>
      </c>
      <c r="E389" s="12" t="inlineStr">
        <is>
          <t>None recorded</t>
        </is>
      </c>
      <c r="F389" s="12" t="inlineStr">
        <is>
          <t>No individual professional decision recorded; Source assignment -- not individually reviewed</t>
        </is>
      </c>
      <c r="G389" s="12" t="inlineStr">
        <is>
          <t>Not individually decided</t>
        </is>
      </c>
      <c r="H389" s="12" t="inlineStr">
        <is>
          <t xml:space="preserve">APPROVED / ONE_TO_ONE; </t>
        </is>
      </c>
      <c r="I389" s="12" t="inlineStr">
        <is>
          <t>New</t>
        </is>
      </c>
      <c r="J389" s="17" t="inlineStr">
        <is>
          <t>08 CROSSWALK</t>
        </is>
      </c>
    </row>
    <row r="390" ht="49" customHeight="1">
      <c r="A390" s="12" t="inlineStr">
        <is>
          <t>R335-v1</t>
        </is>
      </c>
      <c r="B390" s="12" t="inlineStr">
        <is>
          <t>Contractor Programme / SCH-02-155</t>
        </is>
      </c>
      <c r="C390" s="12" t="inlineStr">
        <is>
          <t>WBS Code = 1.2.1</t>
        </is>
      </c>
      <c r="D390" s="12" t="inlineStr">
        <is>
          <t>Proposed by Source assignment; target 1.2.1 Stations - Station Structures</t>
        </is>
      </c>
      <c r="E390" s="12" t="inlineStr">
        <is>
          <t>None recorded</t>
        </is>
      </c>
      <c r="F390" s="12" t="inlineStr">
        <is>
          <t>No individual professional decision recorded; Source assignment -- not individually reviewed</t>
        </is>
      </c>
      <c r="G390" s="12" t="inlineStr">
        <is>
          <t>Not individually decided</t>
        </is>
      </c>
      <c r="H390" s="12" t="inlineStr">
        <is>
          <t xml:space="preserve">APPROVED / ONE_TO_ONE; </t>
        </is>
      </c>
      <c r="I390" s="12" t="inlineStr">
        <is>
          <t>New</t>
        </is>
      </c>
      <c r="J390" s="17" t="inlineStr">
        <is>
          <t>08 CROSSWALK</t>
        </is>
      </c>
    </row>
    <row r="391" ht="49" customHeight="1">
      <c r="A391" s="12" t="inlineStr">
        <is>
          <t>R337-v1</t>
        </is>
      </c>
      <c r="B391" s="12" t="inlineStr">
        <is>
          <t>Contractor Programme / SCH-02-157</t>
        </is>
      </c>
      <c r="C391" s="12" t="inlineStr">
        <is>
          <t>WBS Code = 1.2.1</t>
        </is>
      </c>
      <c r="D391" s="12" t="inlineStr">
        <is>
          <t>Proposed by Source assignment; target 1.2.1 Stations - Station Structures</t>
        </is>
      </c>
      <c r="E391" s="12" t="inlineStr">
        <is>
          <t>None recorded</t>
        </is>
      </c>
      <c r="F391" s="12" t="inlineStr">
        <is>
          <t>No individual professional decision recorded; Source assignment -- not individually reviewed</t>
        </is>
      </c>
      <c r="G391" s="12" t="inlineStr">
        <is>
          <t>Not individually decided</t>
        </is>
      </c>
      <c r="H391" s="12" t="inlineStr">
        <is>
          <t xml:space="preserve">APPROVED / ONE_TO_ONE; </t>
        </is>
      </c>
      <c r="I391" s="12" t="inlineStr">
        <is>
          <t>New</t>
        </is>
      </c>
      <c r="J391" s="17" t="inlineStr">
        <is>
          <t>08 CROSSWALK</t>
        </is>
      </c>
    </row>
    <row r="392" ht="49" customHeight="1">
      <c r="A392" s="12" t="inlineStr">
        <is>
          <t>R338-v1</t>
        </is>
      </c>
      <c r="B392" s="12" t="inlineStr">
        <is>
          <t>Contractor Programme / SCH-02-158</t>
        </is>
      </c>
      <c r="C392" s="12" t="inlineStr">
        <is>
          <t>WBS Code = 1.2.1</t>
        </is>
      </c>
      <c r="D392" s="12" t="inlineStr">
        <is>
          <t>Proposed by Source assignment; target 1.2.1 Stations - Station Structures</t>
        </is>
      </c>
      <c r="E392" s="12" t="inlineStr">
        <is>
          <t>None recorded</t>
        </is>
      </c>
      <c r="F392" s="12" t="inlineStr">
        <is>
          <t>No individual professional decision recorded; Source assignment -- not individually reviewed</t>
        </is>
      </c>
      <c r="G392" s="12" t="inlineStr">
        <is>
          <t>Not individually decided</t>
        </is>
      </c>
      <c r="H392" s="12" t="inlineStr">
        <is>
          <t xml:space="preserve">APPROVED / ONE_TO_ONE; </t>
        </is>
      </c>
      <c r="I392" s="12" t="inlineStr">
        <is>
          <t>New</t>
        </is>
      </c>
      <c r="J392" s="17" t="inlineStr">
        <is>
          <t>08 CROSSWALK</t>
        </is>
      </c>
    </row>
    <row r="393" ht="49" customHeight="1">
      <c r="A393" s="12" t="inlineStr">
        <is>
          <t>R340-v1</t>
        </is>
      </c>
      <c r="B393" s="12" t="inlineStr">
        <is>
          <t>Contractor Programme / SCH-02-160</t>
        </is>
      </c>
      <c r="C393" s="12" t="inlineStr">
        <is>
          <t>WBS Code = 1.2.1</t>
        </is>
      </c>
      <c r="D393" s="12" t="inlineStr">
        <is>
          <t>Proposed by Source assignment; target 1.2.1 Stations - Station Structures</t>
        </is>
      </c>
      <c r="E393" s="12" t="inlineStr">
        <is>
          <t>None recorded</t>
        </is>
      </c>
      <c r="F393" s="12" t="inlineStr">
        <is>
          <t>No individual professional decision recorded; Source assignment -- not individually reviewed</t>
        </is>
      </c>
      <c r="G393" s="12" t="inlineStr">
        <is>
          <t>Not individually decided</t>
        </is>
      </c>
      <c r="H393" s="12" t="inlineStr">
        <is>
          <t xml:space="preserve">APPROVED / ONE_TO_ONE; </t>
        </is>
      </c>
      <c r="I393" s="12" t="inlineStr">
        <is>
          <t>New</t>
        </is>
      </c>
      <c r="J393" s="17" t="inlineStr">
        <is>
          <t>08 CROSSWALK</t>
        </is>
      </c>
    </row>
    <row r="394" ht="49" customHeight="1">
      <c r="A394" s="12" t="inlineStr">
        <is>
          <t>R341-v1</t>
        </is>
      </c>
      <c r="B394" s="12" t="inlineStr">
        <is>
          <t>Contractor Programme / SCH-02-161</t>
        </is>
      </c>
      <c r="C394" s="12" t="inlineStr">
        <is>
          <t>WBS Code = 1.2.1</t>
        </is>
      </c>
      <c r="D394" s="12" t="inlineStr">
        <is>
          <t>Proposed by Source assignment; target 1.2.1 Stations - Station Structures</t>
        </is>
      </c>
      <c r="E394" s="12" t="inlineStr">
        <is>
          <t>None recorded</t>
        </is>
      </c>
      <c r="F394" s="12" t="inlineStr">
        <is>
          <t>No individual professional decision recorded; Source assignment -- not individually reviewed</t>
        </is>
      </c>
      <c r="G394" s="12" t="inlineStr">
        <is>
          <t>Not individually decided</t>
        </is>
      </c>
      <c r="H394" s="12" t="inlineStr">
        <is>
          <t xml:space="preserve">APPROVED / ONE_TO_ONE; </t>
        </is>
      </c>
      <c r="I394" s="12" t="inlineStr">
        <is>
          <t>New</t>
        </is>
      </c>
      <c r="J394" s="17" t="inlineStr">
        <is>
          <t>08 CROSSWALK</t>
        </is>
      </c>
    </row>
    <row r="395" ht="49" customHeight="1">
      <c r="A395" s="12" t="inlineStr">
        <is>
          <t>R343-v1</t>
        </is>
      </c>
      <c r="B395" s="12" t="inlineStr">
        <is>
          <t>Contractor Programme / SCH-02-163</t>
        </is>
      </c>
      <c r="C395" s="12" t="inlineStr">
        <is>
          <t>WBS Code = 1.2.1</t>
        </is>
      </c>
      <c r="D395" s="12" t="inlineStr">
        <is>
          <t>Proposed by Source assignment; target 1.2.1 Stations - Station Structures</t>
        </is>
      </c>
      <c r="E395" s="12" t="inlineStr">
        <is>
          <t>None recorded</t>
        </is>
      </c>
      <c r="F395" s="12" t="inlineStr">
        <is>
          <t>No individual professional decision recorded; Source assignment -- not individually reviewed</t>
        </is>
      </c>
      <c r="G395" s="12" t="inlineStr">
        <is>
          <t>Not individually decided</t>
        </is>
      </c>
      <c r="H395" s="12" t="inlineStr">
        <is>
          <t xml:space="preserve">APPROVED / ONE_TO_ONE; </t>
        </is>
      </c>
      <c r="I395" s="12" t="inlineStr">
        <is>
          <t>New</t>
        </is>
      </c>
      <c r="J395" s="17" t="inlineStr">
        <is>
          <t>08 CROSSWALK</t>
        </is>
      </c>
    </row>
    <row r="396" ht="49" customHeight="1">
      <c r="A396" s="12" t="inlineStr">
        <is>
          <t>R344-v1</t>
        </is>
      </c>
      <c r="B396" s="12" t="inlineStr">
        <is>
          <t>Contractor Programme / SCH-02-164</t>
        </is>
      </c>
      <c r="C396" s="12" t="inlineStr">
        <is>
          <t>WBS Code = 1.2.1</t>
        </is>
      </c>
      <c r="D396" s="12" t="inlineStr">
        <is>
          <t>Proposed by Source assignment; target 1.2.1 Stations - Station Structures</t>
        </is>
      </c>
      <c r="E396" s="12" t="inlineStr">
        <is>
          <t>None recorded</t>
        </is>
      </c>
      <c r="F396" s="12" t="inlineStr">
        <is>
          <t>No individual professional decision recorded; Source assignment -- not individually reviewed</t>
        </is>
      </c>
      <c r="G396" s="12" t="inlineStr">
        <is>
          <t>Not individually decided</t>
        </is>
      </c>
      <c r="H396" s="12" t="inlineStr">
        <is>
          <t xml:space="preserve">APPROVED / ONE_TO_ONE; </t>
        </is>
      </c>
      <c r="I396" s="12" t="inlineStr">
        <is>
          <t>New</t>
        </is>
      </c>
      <c r="J396" s="17" t="inlineStr">
        <is>
          <t>08 CROSSWALK</t>
        </is>
      </c>
    </row>
    <row r="397" ht="49" customHeight="1">
      <c r="A397" s="12" t="inlineStr">
        <is>
          <t>R346-v1</t>
        </is>
      </c>
      <c r="B397" s="12" t="inlineStr">
        <is>
          <t>Contractor Programme / SCH-02-166</t>
        </is>
      </c>
      <c r="C397" s="12" t="inlineStr">
        <is>
          <t>WBS Code = 1.2.1</t>
        </is>
      </c>
      <c r="D397" s="12" t="inlineStr">
        <is>
          <t>Proposed by Source assignment; target 1.2.1 Stations - Station Structures</t>
        </is>
      </c>
      <c r="E397" s="12" t="inlineStr">
        <is>
          <t>None recorded</t>
        </is>
      </c>
      <c r="F397" s="12" t="inlineStr">
        <is>
          <t>No individual professional decision recorded; Source assignment -- not individually reviewed</t>
        </is>
      </c>
      <c r="G397" s="12" t="inlineStr">
        <is>
          <t>Not individually decided</t>
        </is>
      </c>
      <c r="H397" s="12" t="inlineStr">
        <is>
          <t xml:space="preserve">APPROVED / ONE_TO_ONE; </t>
        </is>
      </c>
      <c r="I397" s="12" t="inlineStr">
        <is>
          <t>New</t>
        </is>
      </c>
      <c r="J397" s="17" t="inlineStr">
        <is>
          <t>08 CROSSWALK</t>
        </is>
      </c>
    </row>
    <row r="398" ht="49" customHeight="1">
      <c r="A398" s="12" t="inlineStr">
        <is>
          <t>R347-v1</t>
        </is>
      </c>
      <c r="B398" s="12" t="inlineStr">
        <is>
          <t>Contractor Programme / SCH-02-167</t>
        </is>
      </c>
      <c r="C398" s="12" t="inlineStr">
        <is>
          <t>WBS Code = 1.2.1</t>
        </is>
      </c>
      <c r="D398" s="12" t="inlineStr">
        <is>
          <t>Proposed by Source assignment; target 1.2.1 Stations - Station Structures</t>
        </is>
      </c>
      <c r="E398" s="12" t="inlineStr">
        <is>
          <t>None recorded</t>
        </is>
      </c>
      <c r="F398" s="12" t="inlineStr">
        <is>
          <t>No individual professional decision recorded; Source assignment -- not individually reviewed</t>
        </is>
      </c>
      <c r="G398" s="12" t="inlineStr">
        <is>
          <t>Not individually decided</t>
        </is>
      </c>
      <c r="H398" s="12" t="inlineStr">
        <is>
          <t xml:space="preserve">APPROVED / ONE_TO_ONE; </t>
        </is>
      </c>
      <c r="I398" s="12" t="inlineStr">
        <is>
          <t>New</t>
        </is>
      </c>
      <c r="J398" s="17" t="inlineStr">
        <is>
          <t>08 CROSSWALK</t>
        </is>
      </c>
    </row>
    <row r="399" ht="49" customHeight="1">
      <c r="A399" s="12" t="inlineStr">
        <is>
          <t>R349-v1</t>
        </is>
      </c>
      <c r="B399" s="12" t="inlineStr">
        <is>
          <t>Contractor Programme / SCH-02-169</t>
        </is>
      </c>
      <c r="C399" s="12" t="inlineStr">
        <is>
          <t>WBS Code = 1.2.1</t>
        </is>
      </c>
      <c r="D399" s="12" t="inlineStr">
        <is>
          <t>Proposed by Source assignment; target 1.2.1 Stations - Station Structures</t>
        </is>
      </c>
      <c r="E399" s="12" t="inlineStr">
        <is>
          <t>None recorded</t>
        </is>
      </c>
      <c r="F399" s="12" t="inlineStr">
        <is>
          <t>No individual professional decision recorded; Source assignment -- not individually reviewed</t>
        </is>
      </c>
      <c r="G399" s="12" t="inlineStr">
        <is>
          <t>Not individually decided</t>
        </is>
      </c>
      <c r="H399" s="12" t="inlineStr">
        <is>
          <t xml:space="preserve">APPROVED / ONE_TO_ONE; </t>
        </is>
      </c>
      <c r="I399" s="12" t="inlineStr">
        <is>
          <t>New</t>
        </is>
      </c>
      <c r="J399" s="17" t="inlineStr">
        <is>
          <t>08 CROSSWALK</t>
        </is>
      </c>
    </row>
    <row r="400" ht="49" customHeight="1">
      <c r="A400" s="12" t="inlineStr">
        <is>
          <t>R350-v1</t>
        </is>
      </c>
      <c r="B400" s="12" t="inlineStr">
        <is>
          <t>Contractor Programme / SCH-02-170</t>
        </is>
      </c>
      <c r="C400" s="12" t="inlineStr">
        <is>
          <t>WBS Code = 1.2.1</t>
        </is>
      </c>
      <c r="D400" s="12" t="inlineStr">
        <is>
          <t>Proposed by Source assignment; target 1.2.1 Stations - Station Structures</t>
        </is>
      </c>
      <c r="E400" s="12" t="inlineStr">
        <is>
          <t>None recorded</t>
        </is>
      </c>
      <c r="F400" s="12" t="inlineStr">
        <is>
          <t>No individual professional decision recorded; Source assignment -- not individually reviewed</t>
        </is>
      </c>
      <c r="G400" s="12" t="inlineStr">
        <is>
          <t>Not individually decided</t>
        </is>
      </c>
      <c r="H400" s="12" t="inlineStr">
        <is>
          <t xml:space="preserve">APPROVED / ONE_TO_ONE; </t>
        </is>
      </c>
      <c r="I400" s="12" t="inlineStr">
        <is>
          <t>New</t>
        </is>
      </c>
      <c r="J400" s="17" t="inlineStr">
        <is>
          <t>08 CROSSWALK</t>
        </is>
      </c>
    </row>
    <row r="401" ht="49" customHeight="1">
      <c r="A401" s="12" t="inlineStr">
        <is>
          <t>R352-v1</t>
        </is>
      </c>
      <c r="B401" s="12" t="inlineStr">
        <is>
          <t>Contractor Programme / SCH-02-172</t>
        </is>
      </c>
      <c r="C401" s="12" t="inlineStr">
        <is>
          <t>WBS Code = 1.2.1</t>
        </is>
      </c>
      <c r="D401" s="12" t="inlineStr">
        <is>
          <t>Proposed by Source assignment; target 1.2.1 Stations - Station Structures</t>
        </is>
      </c>
      <c r="E401" s="12" t="inlineStr">
        <is>
          <t>None recorded</t>
        </is>
      </c>
      <c r="F401" s="12" t="inlineStr">
        <is>
          <t>No individual professional decision recorded; Source assignment -- not individually reviewed</t>
        </is>
      </c>
      <c r="G401" s="12" t="inlineStr">
        <is>
          <t>Not individually decided</t>
        </is>
      </c>
      <c r="H401" s="12" t="inlineStr">
        <is>
          <t xml:space="preserve">APPROVED / ONE_TO_ONE; </t>
        </is>
      </c>
      <c r="I401" s="12" t="inlineStr">
        <is>
          <t>New</t>
        </is>
      </c>
      <c r="J401" s="17" t="inlineStr">
        <is>
          <t>08 CROSSWALK</t>
        </is>
      </c>
    </row>
    <row r="402" ht="49" customHeight="1">
      <c r="A402" s="12" t="inlineStr">
        <is>
          <t>R353-v1</t>
        </is>
      </c>
      <c r="B402" s="12" t="inlineStr">
        <is>
          <t>Contractor Programme / SCH-02-173</t>
        </is>
      </c>
      <c r="C402" s="12" t="inlineStr">
        <is>
          <t>WBS Code = 1.2.1</t>
        </is>
      </c>
      <c r="D402" s="12" t="inlineStr">
        <is>
          <t>Proposed by Source assignment; target 1.2.1 Stations - Station Structures</t>
        </is>
      </c>
      <c r="E402" s="12" t="inlineStr">
        <is>
          <t>None recorded</t>
        </is>
      </c>
      <c r="F402" s="12" t="inlineStr">
        <is>
          <t>No individual professional decision recorded; Source assignment -- not individually reviewed</t>
        </is>
      </c>
      <c r="G402" s="12" t="inlineStr">
        <is>
          <t>Not individually decided</t>
        </is>
      </c>
      <c r="H402" s="12" t="inlineStr">
        <is>
          <t xml:space="preserve">APPROVED / ONE_TO_ONE; </t>
        </is>
      </c>
      <c r="I402" s="12" t="inlineStr">
        <is>
          <t>New</t>
        </is>
      </c>
      <c r="J402" s="17" t="inlineStr">
        <is>
          <t>08 CROSSWALK</t>
        </is>
      </c>
    </row>
    <row r="403" ht="49" customHeight="1">
      <c r="A403" s="12" t="inlineStr">
        <is>
          <t>R355-v1</t>
        </is>
      </c>
      <c r="B403" s="12" t="inlineStr">
        <is>
          <t>Contractor Programme / SCH-02-175</t>
        </is>
      </c>
      <c r="C403" s="12" t="inlineStr">
        <is>
          <t>WBS Code = 1.2.1</t>
        </is>
      </c>
      <c r="D403" s="12" t="inlineStr">
        <is>
          <t>Proposed by Source assignment; target 1.2.1 Stations - Station Structures</t>
        </is>
      </c>
      <c r="E403" s="12" t="inlineStr">
        <is>
          <t>None recorded</t>
        </is>
      </c>
      <c r="F403" s="12" t="inlineStr">
        <is>
          <t>No individual professional decision recorded; Source assignment -- not individually reviewed</t>
        </is>
      </c>
      <c r="G403" s="12" t="inlineStr">
        <is>
          <t>Not individually decided</t>
        </is>
      </c>
      <c r="H403" s="12" t="inlineStr">
        <is>
          <t xml:space="preserve">APPROVED / ONE_TO_ONE; </t>
        </is>
      </c>
      <c r="I403" s="12" t="inlineStr">
        <is>
          <t>New</t>
        </is>
      </c>
      <c r="J403" s="17" t="inlineStr">
        <is>
          <t>08 CROSSWALK</t>
        </is>
      </c>
    </row>
    <row r="404" ht="49" customHeight="1">
      <c r="A404" s="12" t="inlineStr">
        <is>
          <t>R356-v1</t>
        </is>
      </c>
      <c r="B404" s="12" t="inlineStr">
        <is>
          <t>Contractor Programme / SCH-02-176</t>
        </is>
      </c>
      <c r="C404" s="12" t="inlineStr">
        <is>
          <t>WBS Code = 1.2.1</t>
        </is>
      </c>
      <c r="D404" s="12" t="inlineStr">
        <is>
          <t>Proposed by Source assignment; target 1.2.1 Stations - Station Structures</t>
        </is>
      </c>
      <c r="E404" s="12" t="inlineStr">
        <is>
          <t>None recorded</t>
        </is>
      </c>
      <c r="F404" s="12" t="inlineStr">
        <is>
          <t>No individual professional decision recorded; Source assignment -- not individually reviewed</t>
        </is>
      </c>
      <c r="G404" s="12" t="inlineStr">
        <is>
          <t>Not individually decided</t>
        </is>
      </c>
      <c r="H404" s="12" t="inlineStr">
        <is>
          <t xml:space="preserve">APPROVED / ONE_TO_ONE; </t>
        </is>
      </c>
      <c r="I404" s="12" t="inlineStr">
        <is>
          <t>New</t>
        </is>
      </c>
      <c r="J404" s="17" t="inlineStr">
        <is>
          <t>08 CROSSWALK</t>
        </is>
      </c>
    </row>
    <row r="405" ht="49" customHeight="1">
      <c r="A405" s="12" t="inlineStr">
        <is>
          <t>R358-v1</t>
        </is>
      </c>
      <c r="B405" s="12" t="inlineStr">
        <is>
          <t>Contractor Programme / SCH-02-178</t>
        </is>
      </c>
      <c r="C405" s="12" t="inlineStr">
        <is>
          <t>WBS Code = 1.2.1</t>
        </is>
      </c>
      <c r="D405" s="12" t="inlineStr">
        <is>
          <t>Proposed by Source assignment; target 1.2.1 Stations - Station Structures</t>
        </is>
      </c>
      <c r="E405" s="12" t="inlineStr">
        <is>
          <t>None recorded</t>
        </is>
      </c>
      <c r="F405" s="12" t="inlineStr">
        <is>
          <t>No individual professional decision recorded; Source assignment -- not individually reviewed</t>
        </is>
      </c>
      <c r="G405" s="12" t="inlineStr">
        <is>
          <t>Not individually decided</t>
        </is>
      </c>
      <c r="H405" s="12" t="inlineStr">
        <is>
          <t xml:space="preserve">APPROVED / ONE_TO_ONE; </t>
        </is>
      </c>
      <c r="I405" s="12" t="inlineStr">
        <is>
          <t>New</t>
        </is>
      </c>
      <c r="J405" s="17" t="inlineStr">
        <is>
          <t>08 CROSSWALK</t>
        </is>
      </c>
    </row>
    <row r="406" ht="49" customHeight="1">
      <c r="A406" s="12" t="inlineStr">
        <is>
          <t>R359-v1</t>
        </is>
      </c>
      <c r="B406" s="12" t="inlineStr">
        <is>
          <t>Contractor Programme / SCH-02-179</t>
        </is>
      </c>
      <c r="C406" s="12" t="inlineStr">
        <is>
          <t>WBS Code = 1.2.1</t>
        </is>
      </c>
      <c r="D406" s="12" t="inlineStr">
        <is>
          <t>Proposed by Source assignment; target 1.2.1 Stations - Station Structures</t>
        </is>
      </c>
      <c r="E406" s="12" t="inlineStr">
        <is>
          <t>None recorded</t>
        </is>
      </c>
      <c r="F406" s="12" t="inlineStr">
        <is>
          <t>No individual professional decision recorded; Source assignment -- not individually reviewed</t>
        </is>
      </c>
      <c r="G406" s="12" t="inlineStr">
        <is>
          <t>Not individually decided</t>
        </is>
      </c>
      <c r="H406" s="12" t="inlineStr">
        <is>
          <t xml:space="preserve">APPROVED / ONE_TO_ONE; </t>
        </is>
      </c>
      <c r="I406" s="12" t="inlineStr">
        <is>
          <t>New</t>
        </is>
      </c>
      <c r="J406" s="17" t="inlineStr">
        <is>
          <t>08 CROSSWALK</t>
        </is>
      </c>
    </row>
    <row r="407" ht="49" customHeight="1">
      <c r="A407" s="12" t="inlineStr">
        <is>
          <t>R1163-v1</t>
        </is>
      </c>
      <c r="B407" s="12" t="inlineStr">
        <is>
          <t>Cost &amp; Forecast Control Accounts / CST-02-001</t>
        </is>
      </c>
      <c r="C407" s="12" t="inlineStr">
        <is>
          <t>Cost Account = CA-2001; WBS Code = 1.2.1</t>
        </is>
      </c>
      <c r="D407" s="12" t="inlineStr">
        <is>
          <t>Proposed by Source assignment; target 1.2.1 Stations - Station Structures</t>
        </is>
      </c>
      <c r="E407" s="12" t="inlineStr">
        <is>
          <t>None recorded</t>
        </is>
      </c>
      <c r="F407" s="12" t="inlineStr">
        <is>
          <t>No individual professional decision recorded; Source assignment -- not individually reviewed</t>
        </is>
      </c>
      <c r="G407" s="12" t="inlineStr">
        <is>
          <t>Not individually decided</t>
        </is>
      </c>
      <c r="H407" s="12" t="inlineStr">
        <is>
          <t xml:space="preserve">APPROVED / ONE_TO_ONE; </t>
        </is>
      </c>
      <c r="I407" s="12" t="inlineStr">
        <is>
          <t>New</t>
        </is>
      </c>
      <c r="J407" s="17" t="inlineStr">
        <is>
          <t>08 CROSSWALK</t>
        </is>
      </c>
    </row>
    <row r="408" ht="49" customHeight="1">
      <c r="A408" s="12" t="inlineStr">
        <is>
          <t>R1165-v1</t>
        </is>
      </c>
      <c r="B408" s="12" t="inlineStr">
        <is>
          <t>Cost &amp; Forecast Control Accounts / CST-02-003</t>
        </is>
      </c>
      <c r="C408" s="12" t="inlineStr">
        <is>
          <t>Cost Account = CA-2003; WBS Code = 1.2.1</t>
        </is>
      </c>
      <c r="D408" s="12" t="inlineStr">
        <is>
          <t>Proposed by Source assignment; target 1.2.1 Stations - Station Structures</t>
        </is>
      </c>
      <c r="E408" s="12" t="inlineStr">
        <is>
          <t>None recorded</t>
        </is>
      </c>
      <c r="F408" s="12" t="inlineStr">
        <is>
          <t>No individual professional decision recorded; Source assignment -- not individually reviewed</t>
        </is>
      </c>
      <c r="G408" s="12" t="inlineStr">
        <is>
          <t>Not individually decided</t>
        </is>
      </c>
      <c r="H408" s="12" t="inlineStr">
        <is>
          <t xml:space="preserve">APPROVED / ONE_TO_ONE; </t>
        </is>
      </c>
      <c r="I408" s="12" t="inlineStr">
        <is>
          <t>New</t>
        </is>
      </c>
      <c r="J408" s="17" t="inlineStr">
        <is>
          <t>08 CROSSWALK</t>
        </is>
      </c>
    </row>
    <row r="409" ht="49" customHeight="1">
      <c r="A409" s="12" t="inlineStr">
        <is>
          <t>R1167-v1</t>
        </is>
      </c>
      <c r="B409" s="12" t="inlineStr">
        <is>
          <t>Cost &amp; Forecast Control Accounts / CST-02-005</t>
        </is>
      </c>
      <c r="C409" s="12" t="inlineStr">
        <is>
          <t>Cost Account = CA-2005; WBS Code = 1.2.1</t>
        </is>
      </c>
      <c r="D409" s="12" t="inlineStr">
        <is>
          <t>Proposed by Source assignment; target 1.2.1 Stations - Station Structures</t>
        </is>
      </c>
      <c r="E409" s="12" t="inlineStr">
        <is>
          <t>None recorded</t>
        </is>
      </c>
      <c r="F409" s="12" t="inlineStr">
        <is>
          <t>No individual professional decision recorded; Source assignment -- not individually reviewed</t>
        </is>
      </c>
      <c r="G409" s="12" t="inlineStr">
        <is>
          <t>Not individually decided</t>
        </is>
      </c>
      <c r="H409" s="12" t="inlineStr">
        <is>
          <t xml:space="preserve">APPROVED / ONE_TO_ONE; </t>
        </is>
      </c>
      <c r="I409" s="12" t="inlineStr">
        <is>
          <t>New</t>
        </is>
      </c>
      <c r="J409" s="17" t="inlineStr">
        <is>
          <t>08 CROSSWALK</t>
        </is>
      </c>
    </row>
    <row r="410" ht="49" customHeight="1">
      <c r="A410" s="12" t="inlineStr">
        <is>
          <t>R1169-v1</t>
        </is>
      </c>
      <c r="B410" s="12" t="inlineStr">
        <is>
          <t>Cost &amp; Forecast Control Accounts / CST-02-007</t>
        </is>
      </c>
      <c r="C410" s="12" t="inlineStr">
        <is>
          <t>Cost Account = CA-2007; WBS Code = 1.2.1</t>
        </is>
      </c>
      <c r="D410" s="12" t="inlineStr">
        <is>
          <t>Proposed by Source assignment; target 1.2.1 Stations - Station Structures</t>
        </is>
      </c>
      <c r="E410" s="12" t="inlineStr">
        <is>
          <t>None recorded</t>
        </is>
      </c>
      <c r="F410" s="12" t="inlineStr">
        <is>
          <t>No individual professional decision recorded; Source assignment -- not individually reviewed</t>
        </is>
      </c>
      <c r="G410" s="12" t="inlineStr">
        <is>
          <t>Not individually decided</t>
        </is>
      </c>
      <c r="H410" s="12" t="inlineStr">
        <is>
          <t xml:space="preserve">APPROVED / ONE_TO_ONE; </t>
        </is>
      </c>
      <c r="I410" s="12" t="inlineStr">
        <is>
          <t>New</t>
        </is>
      </c>
      <c r="J410" s="17" t="inlineStr">
        <is>
          <t>08 CROSSWALK</t>
        </is>
      </c>
    </row>
    <row r="411" ht="49" customHeight="1">
      <c r="A411" s="12" t="inlineStr">
        <is>
          <t>R1171-v1</t>
        </is>
      </c>
      <c r="B411" s="12" t="inlineStr">
        <is>
          <t>Cost &amp; Forecast Control Accounts / CST-02-009</t>
        </is>
      </c>
      <c r="C411" s="12" t="inlineStr">
        <is>
          <t>Cost Account = CA-2009; WBS Code = 1.2.1</t>
        </is>
      </c>
      <c r="D411" s="12" t="inlineStr">
        <is>
          <t>Proposed by Source assignment; target 1.2.1 Stations - Station Structures</t>
        </is>
      </c>
      <c r="E411" s="12" t="inlineStr">
        <is>
          <t>None recorded</t>
        </is>
      </c>
      <c r="F411" s="12" t="inlineStr">
        <is>
          <t>No individual professional decision recorded; Source assignment -- not individually reviewed</t>
        </is>
      </c>
      <c r="G411" s="12" t="inlineStr">
        <is>
          <t>Not individually decided</t>
        </is>
      </c>
      <c r="H411" s="12" t="inlineStr">
        <is>
          <t xml:space="preserve">APPROVED / ONE_TO_ONE; </t>
        </is>
      </c>
      <c r="I411" s="12" t="inlineStr">
        <is>
          <t>New</t>
        </is>
      </c>
      <c r="J411" s="17" t="inlineStr">
        <is>
          <t>08 CROSSWALK</t>
        </is>
      </c>
    </row>
    <row r="412" ht="49" customHeight="1">
      <c r="A412" s="12" t="inlineStr">
        <is>
          <t>R1173-v1</t>
        </is>
      </c>
      <c r="B412" s="12" t="inlineStr">
        <is>
          <t>Cost &amp; Forecast Control Accounts / CST-02-011</t>
        </is>
      </c>
      <c r="C412" s="12" t="inlineStr">
        <is>
          <t>Cost Account = CA-2011; WBS Code = 1.2.1</t>
        </is>
      </c>
      <c r="D412" s="12" t="inlineStr">
        <is>
          <t>Proposed by Source assignment; target 1.2.1 Stations - Station Structures</t>
        </is>
      </c>
      <c r="E412" s="12" t="inlineStr">
        <is>
          <t>None recorded</t>
        </is>
      </c>
      <c r="F412" s="12" t="inlineStr">
        <is>
          <t>No individual professional decision recorded; Source assignment -- not individually reviewed</t>
        </is>
      </c>
      <c r="G412" s="12" t="inlineStr">
        <is>
          <t>Not individually decided</t>
        </is>
      </c>
      <c r="H412" s="12" t="inlineStr">
        <is>
          <t xml:space="preserve">APPROVED / ONE_TO_ONE; </t>
        </is>
      </c>
      <c r="I412" s="12" t="inlineStr">
        <is>
          <t>New</t>
        </is>
      </c>
      <c r="J412" s="17" t="inlineStr">
        <is>
          <t>08 CROSSWALK</t>
        </is>
      </c>
    </row>
    <row r="413" ht="49" customHeight="1">
      <c r="A413" s="12" t="inlineStr">
        <is>
          <t>R1175-v1</t>
        </is>
      </c>
      <c r="B413" s="12" t="inlineStr">
        <is>
          <t>Cost &amp; Forecast Control Accounts / CST-02-013</t>
        </is>
      </c>
      <c r="C413" s="12" t="inlineStr">
        <is>
          <t>Cost Account = CA-2013; WBS Code = 1.2.1</t>
        </is>
      </c>
      <c r="D413" s="12" t="inlineStr">
        <is>
          <t>Proposed by Source assignment; target 1.2.1 Stations - Station Structures</t>
        </is>
      </c>
      <c r="E413" s="12" t="inlineStr">
        <is>
          <t>None recorded</t>
        </is>
      </c>
      <c r="F413" s="12" t="inlineStr">
        <is>
          <t>No individual professional decision recorded; Source assignment -- not individually reviewed</t>
        </is>
      </c>
      <c r="G413" s="12" t="inlineStr">
        <is>
          <t>Not individually decided</t>
        </is>
      </c>
      <c r="H413" s="12" t="inlineStr">
        <is>
          <t xml:space="preserve">APPROVED / ONE_TO_ONE; </t>
        </is>
      </c>
      <c r="I413" s="12" t="inlineStr">
        <is>
          <t>New</t>
        </is>
      </c>
      <c r="J413" s="17" t="inlineStr">
        <is>
          <t>08 CROSSWALK</t>
        </is>
      </c>
    </row>
    <row r="414" ht="49" customHeight="1">
      <c r="A414" s="12" t="inlineStr">
        <is>
          <t>R1177-v1</t>
        </is>
      </c>
      <c r="B414" s="12" t="inlineStr">
        <is>
          <t>Cost &amp; Forecast Control Accounts / CST-02-015</t>
        </is>
      </c>
      <c r="C414" s="12" t="inlineStr">
        <is>
          <t>Cost Account = CA-2015; WBS Code = 1.2.1</t>
        </is>
      </c>
      <c r="D414" s="12" t="inlineStr">
        <is>
          <t>Proposed by Source assignment; target 1.2.1 Stations - Station Structures</t>
        </is>
      </c>
      <c r="E414" s="12" t="inlineStr">
        <is>
          <t>None recorded</t>
        </is>
      </c>
      <c r="F414" s="12" t="inlineStr">
        <is>
          <t>No individual professional decision recorded; Source assignment -- not individually reviewed</t>
        </is>
      </c>
      <c r="G414" s="12" t="inlineStr">
        <is>
          <t>Not individually decided</t>
        </is>
      </c>
      <c r="H414" s="12" t="inlineStr">
        <is>
          <t xml:space="preserve">APPROVED / ONE_TO_ONE; </t>
        </is>
      </c>
      <c r="I414" s="12" t="inlineStr">
        <is>
          <t>New</t>
        </is>
      </c>
      <c r="J414" s="17" t="inlineStr">
        <is>
          <t>08 CROSSWALK</t>
        </is>
      </c>
    </row>
    <row r="415" ht="49" customHeight="1">
      <c r="A415" s="12" t="inlineStr">
        <is>
          <t>R1179-v1</t>
        </is>
      </c>
      <c r="B415" s="12" t="inlineStr">
        <is>
          <t>Cost &amp; Forecast Control Accounts / CST-02-017</t>
        </is>
      </c>
      <c r="C415" s="12" t="inlineStr">
        <is>
          <t>Cost Account = CA-2017; WBS Code = 1.2.1</t>
        </is>
      </c>
      <c r="D415" s="12" t="inlineStr">
        <is>
          <t>Proposed by Source assignment; target 1.2.1 Stations - Station Structures</t>
        </is>
      </c>
      <c r="E415" s="12" t="inlineStr">
        <is>
          <t>None recorded</t>
        </is>
      </c>
      <c r="F415" s="12" t="inlineStr">
        <is>
          <t>No individual professional decision recorded; Source assignment -- not individually reviewed</t>
        </is>
      </c>
      <c r="G415" s="12" t="inlineStr">
        <is>
          <t>Not individually decided</t>
        </is>
      </c>
      <c r="H415" s="12" t="inlineStr">
        <is>
          <t xml:space="preserve">APPROVED / ONE_TO_ONE; </t>
        </is>
      </c>
      <c r="I415" s="12" t="inlineStr">
        <is>
          <t>New</t>
        </is>
      </c>
      <c r="J415" s="17" t="inlineStr">
        <is>
          <t>08 CROSSWALK</t>
        </is>
      </c>
    </row>
    <row r="416" ht="49" customHeight="1">
      <c r="A416" s="12" t="inlineStr">
        <is>
          <t>R1181-v1</t>
        </is>
      </c>
      <c r="B416" s="12" t="inlineStr">
        <is>
          <t>Cost &amp; Forecast Control Accounts / CST-02-019</t>
        </is>
      </c>
      <c r="C416" s="12" t="inlineStr">
        <is>
          <t>Cost Account = CA-2019; WBS Code = 1.2.1</t>
        </is>
      </c>
      <c r="D416" s="12" t="inlineStr">
        <is>
          <t>Proposed by Source assignment; target 1.2.1 Stations - Station Structures</t>
        </is>
      </c>
      <c r="E416" s="12" t="inlineStr">
        <is>
          <t>None recorded</t>
        </is>
      </c>
      <c r="F416" s="12" t="inlineStr">
        <is>
          <t>No individual professional decision recorded; Source assignment -- not individually reviewed</t>
        </is>
      </c>
      <c r="G416" s="12" t="inlineStr">
        <is>
          <t>Not individually decided</t>
        </is>
      </c>
      <c r="H416" s="12" t="inlineStr">
        <is>
          <t xml:space="preserve">APPROVED / ONE_TO_ONE; </t>
        </is>
      </c>
      <c r="I416" s="12" t="inlineStr">
        <is>
          <t>New</t>
        </is>
      </c>
      <c r="J416" s="17" t="inlineStr">
        <is>
          <t>08 CROSSWALK</t>
        </is>
      </c>
    </row>
    <row r="417" ht="49" customHeight="1">
      <c r="A417" s="12" t="inlineStr">
        <is>
          <t>R1183-v1</t>
        </is>
      </c>
      <c r="B417" s="12" t="inlineStr">
        <is>
          <t>Cost &amp; Forecast Control Accounts / CST-02-021</t>
        </is>
      </c>
      <c r="C417" s="12" t="inlineStr">
        <is>
          <t>Cost Account = CA-2021; WBS Code = 1.2.1</t>
        </is>
      </c>
      <c r="D417" s="12" t="inlineStr">
        <is>
          <t>Proposed by Source assignment; target 1.2.1 Stations - Station Structures</t>
        </is>
      </c>
      <c r="E417" s="12" t="inlineStr">
        <is>
          <t>None recorded</t>
        </is>
      </c>
      <c r="F417" s="12" t="inlineStr">
        <is>
          <t>No individual professional decision recorded; Source assignment -- not individually reviewed</t>
        </is>
      </c>
      <c r="G417" s="12" t="inlineStr">
        <is>
          <t>Not individually decided</t>
        </is>
      </c>
      <c r="H417" s="12" t="inlineStr">
        <is>
          <t xml:space="preserve">APPROVED / ONE_TO_ONE; </t>
        </is>
      </c>
      <c r="I417" s="12" t="inlineStr">
        <is>
          <t>New</t>
        </is>
      </c>
      <c r="J417" s="17" t="inlineStr">
        <is>
          <t>08 CROSSWALK</t>
        </is>
      </c>
    </row>
    <row r="418" ht="49" customHeight="1">
      <c r="A418" s="12" t="inlineStr">
        <is>
          <t>R1185-v1</t>
        </is>
      </c>
      <c r="B418" s="12" t="inlineStr">
        <is>
          <t>Cost &amp; Forecast Control Accounts / CST-02-023</t>
        </is>
      </c>
      <c r="C418" s="12" t="inlineStr">
        <is>
          <t>Cost Account = CA-2023; WBS Code = 1.2.1</t>
        </is>
      </c>
      <c r="D418" s="12" t="inlineStr">
        <is>
          <t>Proposed by Source assignment; target 1.2.1 Stations - Station Structures</t>
        </is>
      </c>
      <c r="E418" s="12" t="inlineStr">
        <is>
          <t>None recorded</t>
        </is>
      </c>
      <c r="F418" s="12" t="inlineStr">
        <is>
          <t>No individual professional decision recorded; Source assignment -- not individually reviewed</t>
        </is>
      </c>
      <c r="G418" s="12" t="inlineStr">
        <is>
          <t>Not individually decided</t>
        </is>
      </c>
      <c r="H418" s="12" t="inlineStr">
        <is>
          <t xml:space="preserve">APPROVED / ONE_TO_ONE; </t>
        </is>
      </c>
      <c r="I418" s="12" t="inlineStr">
        <is>
          <t>New</t>
        </is>
      </c>
      <c r="J418" s="17" t="inlineStr">
        <is>
          <t>08 CROSSWALK</t>
        </is>
      </c>
    </row>
    <row r="419" ht="49" customHeight="1">
      <c r="A419" s="12" t="inlineStr">
        <is>
          <t>R1187-v1</t>
        </is>
      </c>
      <c r="B419" s="12" t="inlineStr">
        <is>
          <t>Cost &amp; Forecast Control Accounts / CST-02-025</t>
        </is>
      </c>
      <c r="C419" s="12" t="inlineStr">
        <is>
          <t>Cost Account = CA-2025; WBS Code = 1.2.1</t>
        </is>
      </c>
      <c r="D419" s="12" t="inlineStr">
        <is>
          <t>Proposed by Source assignment; target 1.2.1 Stations - Station Structures</t>
        </is>
      </c>
      <c r="E419" s="12" t="inlineStr">
        <is>
          <t>None recorded</t>
        </is>
      </c>
      <c r="F419" s="12" t="inlineStr">
        <is>
          <t>No individual professional decision recorded; Source assignment -- not individually reviewed</t>
        </is>
      </c>
      <c r="G419" s="12" t="inlineStr">
        <is>
          <t>Not individually decided</t>
        </is>
      </c>
      <c r="H419" s="12" t="inlineStr">
        <is>
          <t xml:space="preserve">APPROVED / ONE_TO_ONE; </t>
        </is>
      </c>
      <c r="I419" s="12" t="inlineStr">
        <is>
          <t>New</t>
        </is>
      </c>
      <c r="J419" s="17" t="inlineStr">
        <is>
          <t>08 CROSSWALK</t>
        </is>
      </c>
    </row>
    <row r="420" ht="49" customHeight="1">
      <c r="A420" s="12" t="inlineStr">
        <is>
          <t>R1189-v1</t>
        </is>
      </c>
      <c r="B420" s="12" t="inlineStr">
        <is>
          <t>Cost &amp; Forecast Control Accounts / CST-02-027</t>
        </is>
      </c>
      <c r="C420" s="12" t="inlineStr">
        <is>
          <t>Cost Account = CA-2027; WBS Code = 1.2.1</t>
        </is>
      </c>
      <c r="D420" s="12" t="inlineStr">
        <is>
          <t>Proposed by Source assignment; target 1.2.1 Stations - Station Structures</t>
        </is>
      </c>
      <c r="E420" s="12" t="inlineStr">
        <is>
          <t>None recorded</t>
        </is>
      </c>
      <c r="F420" s="12" t="inlineStr">
        <is>
          <t>No individual professional decision recorded; Source assignment -- not individually reviewed</t>
        </is>
      </c>
      <c r="G420" s="12" t="inlineStr">
        <is>
          <t>Not individually decided</t>
        </is>
      </c>
      <c r="H420" s="12" t="inlineStr">
        <is>
          <t xml:space="preserve">APPROVED / ONE_TO_ONE; </t>
        </is>
      </c>
      <c r="I420" s="12" t="inlineStr">
        <is>
          <t>New</t>
        </is>
      </c>
      <c r="J420" s="17" t="inlineStr">
        <is>
          <t>08 CROSSWALK</t>
        </is>
      </c>
    </row>
    <row r="421" ht="49" customHeight="1">
      <c r="A421" s="12" t="inlineStr">
        <is>
          <t>R1191-v1</t>
        </is>
      </c>
      <c r="B421" s="12" t="inlineStr">
        <is>
          <t>Cost &amp; Forecast Control Accounts / CST-02-029</t>
        </is>
      </c>
      <c r="C421" s="12" t="inlineStr">
        <is>
          <t>Cost Account = CA-2029; WBS Code = 1.2.1</t>
        </is>
      </c>
      <c r="D421" s="12" t="inlineStr">
        <is>
          <t>Proposed by Source assignment; target 1.2.1 Stations - Station Structures</t>
        </is>
      </c>
      <c r="E421" s="12" t="inlineStr">
        <is>
          <t>None recorded</t>
        </is>
      </c>
      <c r="F421" s="12" t="inlineStr">
        <is>
          <t>No individual professional decision recorded; Source assignment -- not individually reviewed</t>
        </is>
      </c>
      <c r="G421" s="12" t="inlineStr">
        <is>
          <t>Not individually decided</t>
        </is>
      </c>
      <c r="H421" s="12" t="inlineStr">
        <is>
          <t xml:space="preserve">APPROVED / ONE_TO_ONE; </t>
        </is>
      </c>
      <c r="I421" s="12" t="inlineStr">
        <is>
          <t>New</t>
        </is>
      </c>
      <c r="J421" s="17" t="inlineStr">
        <is>
          <t>08 CROSSWALK</t>
        </is>
      </c>
    </row>
    <row r="422" ht="49" customHeight="1">
      <c r="A422" s="12" t="inlineStr">
        <is>
          <t>R1193-v1</t>
        </is>
      </c>
      <c r="B422" s="12" t="inlineStr">
        <is>
          <t>Cost &amp; Forecast Control Accounts / CST-02-031</t>
        </is>
      </c>
      <c r="C422" s="12" t="inlineStr">
        <is>
          <t>Cost Account = CA-2031; WBS Code = 1.2.1</t>
        </is>
      </c>
      <c r="D422" s="12" t="inlineStr">
        <is>
          <t>Proposed by Source assignment; target 1.2.1 Stations - Station Structures</t>
        </is>
      </c>
      <c r="E422" s="12" t="inlineStr">
        <is>
          <t>None recorded</t>
        </is>
      </c>
      <c r="F422" s="12" t="inlineStr">
        <is>
          <t>No individual professional decision recorded; Source assignment -- not individually reviewed</t>
        </is>
      </c>
      <c r="G422" s="12" t="inlineStr">
        <is>
          <t>Not individually decided</t>
        </is>
      </c>
      <c r="H422" s="12" t="inlineStr">
        <is>
          <t xml:space="preserve">APPROVED / ONE_TO_ONE; </t>
        </is>
      </c>
      <c r="I422" s="12" t="inlineStr">
        <is>
          <t>New</t>
        </is>
      </c>
      <c r="J422" s="17" t="inlineStr">
        <is>
          <t>08 CROSSWALK</t>
        </is>
      </c>
    </row>
    <row r="423" ht="49" customHeight="1">
      <c r="A423" s="12" t="inlineStr">
        <is>
          <t>R1195-v1</t>
        </is>
      </c>
      <c r="B423" s="12" t="inlineStr">
        <is>
          <t>Cost &amp; Forecast Control Accounts / CST-02-033</t>
        </is>
      </c>
      <c r="C423" s="12" t="inlineStr">
        <is>
          <t>Cost Account = CA-2033; WBS Code = 1.2.1</t>
        </is>
      </c>
      <c r="D423" s="12" t="inlineStr">
        <is>
          <t>Proposed by Source assignment; target 1.2.1 Stations - Station Structures</t>
        </is>
      </c>
      <c r="E423" s="12" t="inlineStr">
        <is>
          <t>None recorded</t>
        </is>
      </c>
      <c r="F423" s="12" t="inlineStr">
        <is>
          <t>No individual professional decision recorded; Source assignment -- not individually reviewed</t>
        </is>
      </c>
      <c r="G423" s="12" t="inlineStr">
        <is>
          <t>Not individually decided</t>
        </is>
      </c>
      <c r="H423" s="12" t="inlineStr">
        <is>
          <t xml:space="preserve">APPROVED / ONE_TO_ONE; </t>
        </is>
      </c>
      <c r="I423" s="12" t="inlineStr">
        <is>
          <t>New</t>
        </is>
      </c>
      <c r="J423" s="17" t="inlineStr">
        <is>
          <t>08 CROSSWALK</t>
        </is>
      </c>
    </row>
    <row r="424" ht="49" customHeight="1">
      <c r="A424" s="12" t="inlineStr">
        <is>
          <t>R1197-v1</t>
        </is>
      </c>
      <c r="B424" s="12" t="inlineStr">
        <is>
          <t>Cost &amp; Forecast Control Accounts / CST-02-035</t>
        </is>
      </c>
      <c r="C424" s="12" t="inlineStr">
        <is>
          <t>Cost Account = CA-2035; WBS Code = 1.2.1</t>
        </is>
      </c>
      <c r="D424" s="12" t="inlineStr">
        <is>
          <t>Proposed by Source assignment; target 1.2.1 Stations - Station Structures</t>
        </is>
      </c>
      <c r="E424" s="12" t="inlineStr">
        <is>
          <t>None recorded</t>
        </is>
      </c>
      <c r="F424" s="12" t="inlineStr">
        <is>
          <t>No individual professional decision recorded; Source assignment -- not individually reviewed</t>
        </is>
      </c>
      <c r="G424" s="12" t="inlineStr">
        <is>
          <t>Not individually decided</t>
        </is>
      </c>
      <c r="H424" s="12" t="inlineStr">
        <is>
          <t xml:space="preserve">APPROVED / ONE_TO_ONE; </t>
        </is>
      </c>
      <c r="I424" s="12" t="inlineStr">
        <is>
          <t>New</t>
        </is>
      </c>
      <c r="J424" s="17" t="inlineStr">
        <is>
          <t>08 CROSSWALK</t>
        </is>
      </c>
    </row>
    <row r="425" ht="49" customHeight="1">
      <c r="A425" s="12" t="inlineStr">
        <is>
          <t>R1199-v1</t>
        </is>
      </c>
      <c r="B425" s="12" t="inlineStr">
        <is>
          <t>Cost &amp; Forecast Control Accounts / CST-02-037</t>
        </is>
      </c>
      <c r="C425" s="12" t="inlineStr">
        <is>
          <t>Cost Account = CA-2037; WBS Code = 1.2.1</t>
        </is>
      </c>
      <c r="D425" s="12" t="inlineStr">
        <is>
          <t>Proposed by Source assignment; target 1.2.1 Stations - Station Structures</t>
        </is>
      </c>
      <c r="E425" s="12" t="inlineStr">
        <is>
          <t>None recorded</t>
        </is>
      </c>
      <c r="F425" s="12" t="inlineStr">
        <is>
          <t>No individual professional decision recorded; Source assignment -- not individually reviewed</t>
        </is>
      </c>
      <c r="G425" s="12" t="inlineStr">
        <is>
          <t>Not individually decided</t>
        </is>
      </c>
      <c r="H425" s="12" t="inlineStr">
        <is>
          <t xml:space="preserve">APPROVED / ONE_TO_ONE; </t>
        </is>
      </c>
      <c r="I425" s="12" t="inlineStr">
        <is>
          <t>New</t>
        </is>
      </c>
      <c r="J425" s="17" t="inlineStr">
        <is>
          <t>08 CROSSWALK</t>
        </is>
      </c>
    </row>
    <row r="426" ht="49" customHeight="1">
      <c r="A426" s="12" t="inlineStr">
        <is>
          <t>R1201-v1</t>
        </is>
      </c>
      <c r="B426" s="12" t="inlineStr">
        <is>
          <t>Cost &amp; Forecast Control Accounts / CST-02-039</t>
        </is>
      </c>
      <c r="C426" s="12" t="inlineStr">
        <is>
          <t>Cost Account = CA-2039; WBS Code = 1.2.1</t>
        </is>
      </c>
      <c r="D426" s="12" t="inlineStr">
        <is>
          <t>Proposed by Source assignment; target 1.2.1 Stations - Station Structures</t>
        </is>
      </c>
      <c r="E426" s="12" t="inlineStr">
        <is>
          <t>None recorded</t>
        </is>
      </c>
      <c r="F426" s="12" t="inlineStr">
        <is>
          <t>No individual professional decision recorded; Source assignment -- not individually reviewed</t>
        </is>
      </c>
      <c r="G426" s="12" t="inlineStr">
        <is>
          <t>Not individually decided</t>
        </is>
      </c>
      <c r="H426" s="12" t="inlineStr">
        <is>
          <t xml:space="preserve">APPROVED / ONE_TO_ONE; </t>
        </is>
      </c>
      <c r="I426" s="12" t="inlineStr">
        <is>
          <t>New</t>
        </is>
      </c>
      <c r="J426" s="17" t="inlineStr">
        <is>
          <t>08 CROSSWALK</t>
        </is>
      </c>
    </row>
    <row r="427" ht="49" customHeight="1">
      <c r="A427" s="12" t="inlineStr">
        <is>
          <t>R1203-v1</t>
        </is>
      </c>
      <c r="B427" s="12" t="inlineStr">
        <is>
          <t>Cost &amp; Forecast Control Accounts / CST-02-041</t>
        </is>
      </c>
      <c r="C427" s="12" t="inlineStr">
        <is>
          <t>Cost Account = CA-2041; WBS Code = 1.2.1</t>
        </is>
      </c>
      <c r="D427" s="12" t="inlineStr">
        <is>
          <t>Proposed by Source assignment; target 1.2.1 Stations - Station Structures</t>
        </is>
      </c>
      <c r="E427" s="12" t="inlineStr">
        <is>
          <t>None recorded</t>
        </is>
      </c>
      <c r="F427" s="12" t="inlineStr">
        <is>
          <t>No individual professional decision recorded; Source assignment -- not individually reviewed</t>
        </is>
      </c>
      <c r="G427" s="12" t="inlineStr">
        <is>
          <t>Not individually decided</t>
        </is>
      </c>
      <c r="H427" s="12" t="inlineStr">
        <is>
          <t xml:space="preserve">APPROVED / ONE_TO_ONE; </t>
        </is>
      </c>
      <c r="I427" s="12" t="inlineStr">
        <is>
          <t>New</t>
        </is>
      </c>
      <c r="J427" s="17" t="inlineStr">
        <is>
          <t>08 CROSSWALK</t>
        </is>
      </c>
    </row>
    <row r="428" ht="49" customHeight="1">
      <c r="A428" s="12" t="inlineStr">
        <is>
          <t>R1205-v1</t>
        </is>
      </c>
      <c r="B428" s="12" t="inlineStr">
        <is>
          <t>Cost &amp; Forecast Control Accounts / CST-02-043</t>
        </is>
      </c>
      <c r="C428" s="12" t="inlineStr">
        <is>
          <t>Cost Account = CA-2043; WBS Code = 1.2.1</t>
        </is>
      </c>
      <c r="D428" s="12" t="inlineStr">
        <is>
          <t>Proposed by Source assignment; target 1.2.1 Stations - Station Structures</t>
        </is>
      </c>
      <c r="E428" s="12" t="inlineStr">
        <is>
          <t>None recorded</t>
        </is>
      </c>
      <c r="F428" s="12" t="inlineStr">
        <is>
          <t>No individual professional decision recorded; Source assignment -- not individually reviewed</t>
        </is>
      </c>
      <c r="G428" s="12" t="inlineStr">
        <is>
          <t>Not individually decided</t>
        </is>
      </c>
      <c r="H428" s="12" t="inlineStr">
        <is>
          <t xml:space="preserve">APPROVED / ONE_TO_ONE; </t>
        </is>
      </c>
      <c r="I428" s="12" t="inlineStr">
        <is>
          <t>New</t>
        </is>
      </c>
      <c r="J428" s="17" t="inlineStr">
        <is>
          <t>08 CROSSWALK</t>
        </is>
      </c>
    </row>
    <row r="429" ht="49" customHeight="1">
      <c r="A429" s="12" t="inlineStr">
        <is>
          <t>R1207-v1</t>
        </is>
      </c>
      <c r="B429" s="12" t="inlineStr">
        <is>
          <t>Cost &amp; Forecast Control Accounts / CST-02-045</t>
        </is>
      </c>
      <c r="C429" s="12" t="inlineStr">
        <is>
          <t>Cost Account = CA-2045; WBS Code = 1.2.1</t>
        </is>
      </c>
      <c r="D429" s="12" t="inlineStr">
        <is>
          <t>Proposed by Source assignment; target 1.2.1 Stations - Station Structures</t>
        </is>
      </c>
      <c r="E429" s="12" t="inlineStr">
        <is>
          <t>None recorded</t>
        </is>
      </c>
      <c r="F429" s="12" t="inlineStr">
        <is>
          <t>No individual professional decision recorded; Source assignment -- not individually reviewed</t>
        </is>
      </c>
      <c r="G429" s="12" t="inlineStr">
        <is>
          <t>Not individually decided</t>
        </is>
      </c>
      <c r="H429" s="12" t="inlineStr">
        <is>
          <t xml:space="preserve">APPROVED / ONE_TO_ONE; </t>
        </is>
      </c>
      <c r="I429" s="12" t="inlineStr">
        <is>
          <t>New</t>
        </is>
      </c>
      <c r="J429" s="17" t="inlineStr">
        <is>
          <t>08 CROSSWALK</t>
        </is>
      </c>
    </row>
    <row r="430" ht="49" customHeight="1">
      <c r="A430" s="12" t="inlineStr">
        <is>
          <t>R1209-v1</t>
        </is>
      </c>
      <c r="B430" s="12" t="inlineStr">
        <is>
          <t>Cost &amp; Forecast Control Accounts / CST-02-047</t>
        </is>
      </c>
      <c r="C430" s="12" t="inlineStr">
        <is>
          <t>Cost Account = CA-2047; WBS Code = 1.2.1</t>
        </is>
      </c>
      <c r="D430" s="12" t="inlineStr">
        <is>
          <t>Proposed by Source assignment; target 1.2.1 Stations - Station Structures</t>
        </is>
      </c>
      <c r="E430" s="12" t="inlineStr">
        <is>
          <t>None recorded</t>
        </is>
      </c>
      <c r="F430" s="12" t="inlineStr">
        <is>
          <t>No individual professional decision recorded; Source assignment -- not individually reviewed</t>
        </is>
      </c>
      <c r="G430" s="12" t="inlineStr">
        <is>
          <t>Not individually decided</t>
        </is>
      </c>
      <c r="H430" s="12" t="inlineStr">
        <is>
          <t xml:space="preserve">APPROVED / ONE_TO_ONE; </t>
        </is>
      </c>
      <c r="I430" s="12" t="inlineStr">
        <is>
          <t>New</t>
        </is>
      </c>
      <c r="J430" s="17" t="inlineStr">
        <is>
          <t>08 CROSSWALK</t>
        </is>
      </c>
    </row>
    <row r="431" ht="49" customHeight="1">
      <c r="A431" s="12" t="inlineStr">
        <is>
          <t>R1211-v1</t>
        </is>
      </c>
      <c r="B431" s="12" t="inlineStr">
        <is>
          <t>Cost &amp; Forecast Control Accounts / CST-02-049</t>
        </is>
      </c>
      <c r="C431" s="12" t="inlineStr">
        <is>
          <t>Cost Account = CA-2049; WBS Code = 1.2.1</t>
        </is>
      </c>
      <c r="D431" s="12" t="inlineStr">
        <is>
          <t>Proposed by Source assignment; target 1.2.1 Stations - Station Structures</t>
        </is>
      </c>
      <c r="E431" s="12" t="inlineStr">
        <is>
          <t>None recorded</t>
        </is>
      </c>
      <c r="F431" s="12" t="inlineStr">
        <is>
          <t>No individual professional decision recorded; Source assignment -- not individually reviewed</t>
        </is>
      </c>
      <c r="G431" s="12" t="inlineStr">
        <is>
          <t>Not individually decided</t>
        </is>
      </c>
      <c r="H431" s="12" t="inlineStr">
        <is>
          <t xml:space="preserve">APPROVED / ONE_TO_ONE; </t>
        </is>
      </c>
      <c r="I431" s="12" t="inlineStr">
        <is>
          <t>New</t>
        </is>
      </c>
      <c r="J431" s="17" t="inlineStr">
        <is>
          <t>08 CROSSWALK</t>
        </is>
      </c>
    </row>
    <row r="432" ht="49" customHeight="1">
      <c r="A432" s="12" t="inlineStr">
        <is>
          <t>R1213-v1</t>
        </is>
      </c>
      <c r="B432" s="12" t="inlineStr">
        <is>
          <t>Cost &amp; Forecast Control Accounts / CST-02-051</t>
        </is>
      </c>
      <c r="C432" s="12" t="inlineStr">
        <is>
          <t>Cost Account = CA-2051; WBS Code = 1.2.1</t>
        </is>
      </c>
      <c r="D432" s="12" t="inlineStr">
        <is>
          <t>Proposed by Source assignment; target 1.2.1 Stations - Station Structures</t>
        </is>
      </c>
      <c r="E432" s="12" t="inlineStr">
        <is>
          <t>None recorded</t>
        </is>
      </c>
      <c r="F432" s="12" t="inlineStr">
        <is>
          <t>No individual professional decision recorded; Source assignment -- not individually reviewed</t>
        </is>
      </c>
      <c r="G432" s="12" t="inlineStr">
        <is>
          <t>Not individually decided</t>
        </is>
      </c>
      <c r="H432" s="12" t="inlineStr">
        <is>
          <t xml:space="preserve">APPROVED / ONE_TO_ONE; </t>
        </is>
      </c>
      <c r="I432" s="12" t="inlineStr">
        <is>
          <t>New</t>
        </is>
      </c>
      <c r="J432" s="17" t="inlineStr">
        <is>
          <t>08 CROSSWALK</t>
        </is>
      </c>
    </row>
    <row r="433" ht="49" customHeight="1">
      <c r="A433" s="12" t="inlineStr">
        <is>
          <t>R1215-v1</t>
        </is>
      </c>
      <c r="B433" s="12" t="inlineStr">
        <is>
          <t>Cost &amp; Forecast Control Accounts / CST-02-053</t>
        </is>
      </c>
      <c r="C433" s="12" t="inlineStr">
        <is>
          <t>Cost Account = CA-2053; WBS Code = 1.2.1</t>
        </is>
      </c>
      <c r="D433" s="12" t="inlineStr">
        <is>
          <t>Proposed by Source assignment; target 1.2.1 Stations - Station Structures</t>
        </is>
      </c>
      <c r="E433" s="12" t="inlineStr">
        <is>
          <t>None recorded</t>
        </is>
      </c>
      <c r="F433" s="12" t="inlineStr">
        <is>
          <t>No individual professional decision recorded; Source assignment -- not individually reviewed</t>
        </is>
      </c>
      <c r="G433" s="12" t="inlineStr">
        <is>
          <t>Not individually decided</t>
        </is>
      </c>
      <c r="H433" s="12" t="inlineStr">
        <is>
          <t xml:space="preserve">APPROVED / ONE_TO_ONE; </t>
        </is>
      </c>
      <c r="I433" s="12" t="inlineStr">
        <is>
          <t>New</t>
        </is>
      </c>
      <c r="J433" s="17" t="inlineStr">
        <is>
          <t>08 CROSSWALK</t>
        </is>
      </c>
    </row>
    <row r="434" ht="49" customHeight="1">
      <c r="A434" s="12" t="inlineStr">
        <is>
          <t>R1217-v1</t>
        </is>
      </c>
      <c r="B434" s="12" t="inlineStr">
        <is>
          <t>Cost &amp; Forecast Control Accounts / CST-02-055</t>
        </is>
      </c>
      <c r="C434" s="12" t="inlineStr">
        <is>
          <t>Cost Account = CA-2055; WBS Code = 1.2.1</t>
        </is>
      </c>
      <c r="D434" s="12" t="inlineStr">
        <is>
          <t>Proposed by Source assignment; target 1.2.1 Stations - Station Structures</t>
        </is>
      </c>
      <c r="E434" s="12" t="inlineStr">
        <is>
          <t>None recorded</t>
        </is>
      </c>
      <c r="F434" s="12" t="inlineStr">
        <is>
          <t>No individual professional decision recorded; Source assignment -- not individually reviewed</t>
        </is>
      </c>
      <c r="G434" s="12" t="inlineStr">
        <is>
          <t>Not individually decided</t>
        </is>
      </c>
      <c r="H434" s="12" t="inlineStr">
        <is>
          <t xml:space="preserve">APPROVED / ONE_TO_ONE; </t>
        </is>
      </c>
      <c r="I434" s="12" t="inlineStr">
        <is>
          <t>New</t>
        </is>
      </c>
      <c r="J434" s="17" t="inlineStr">
        <is>
          <t>08 CROSSWALK</t>
        </is>
      </c>
    </row>
    <row r="435" ht="49" customHeight="1">
      <c r="A435" s="12" t="inlineStr">
        <is>
          <t>R1219-v1</t>
        </is>
      </c>
      <c r="B435" s="12" t="inlineStr">
        <is>
          <t>Cost &amp; Forecast Control Accounts / CST-02-057</t>
        </is>
      </c>
      <c r="C435" s="12" t="inlineStr">
        <is>
          <t>Cost Account = CA-2057; WBS Code = 1.2.1</t>
        </is>
      </c>
      <c r="D435" s="12" t="inlineStr">
        <is>
          <t>Proposed by Source assignment; target 1.2.1 Stations - Station Structures</t>
        </is>
      </c>
      <c r="E435" s="12" t="inlineStr">
        <is>
          <t>None recorded</t>
        </is>
      </c>
      <c r="F435" s="12" t="inlineStr">
        <is>
          <t>No individual professional decision recorded; Source assignment -- not individually reviewed</t>
        </is>
      </c>
      <c r="G435" s="12" t="inlineStr">
        <is>
          <t>Not individually decided</t>
        </is>
      </c>
      <c r="H435" s="12" t="inlineStr">
        <is>
          <t xml:space="preserve">APPROVED / ONE_TO_ONE; </t>
        </is>
      </c>
      <c r="I435" s="12" t="inlineStr">
        <is>
          <t>New</t>
        </is>
      </c>
      <c r="J435" s="17" t="inlineStr">
        <is>
          <t>08 CROSSWALK</t>
        </is>
      </c>
    </row>
    <row r="436" ht="49" customHeight="1">
      <c r="A436" s="12" t="inlineStr">
        <is>
          <t>R1221-v1</t>
        </is>
      </c>
      <c r="B436" s="12" t="inlineStr">
        <is>
          <t>Cost &amp; Forecast Control Accounts / CST-02-059</t>
        </is>
      </c>
      <c r="C436" s="12" t="inlineStr">
        <is>
          <t>Cost Account = CA-2059; WBS Code = 1.2.1</t>
        </is>
      </c>
      <c r="D436" s="12" t="inlineStr">
        <is>
          <t>Proposed by Source assignment; target 1.2.1 Stations - Station Structures</t>
        </is>
      </c>
      <c r="E436" s="12" t="inlineStr">
        <is>
          <t>None recorded</t>
        </is>
      </c>
      <c r="F436" s="12" t="inlineStr">
        <is>
          <t>No individual professional decision recorded; Source assignment -- not individually reviewed</t>
        </is>
      </c>
      <c r="G436" s="12" t="inlineStr">
        <is>
          <t>Not individually decided</t>
        </is>
      </c>
      <c r="H436" s="12" t="inlineStr">
        <is>
          <t xml:space="preserve">APPROVED / ONE_TO_ONE; </t>
        </is>
      </c>
      <c r="I436" s="12" t="inlineStr">
        <is>
          <t>New</t>
        </is>
      </c>
      <c r="J436" s="17" t="inlineStr">
        <is>
          <t>08 CROSSWALK</t>
        </is>
      </c>
    </row>
    <row r="437" ht="49" customHeight="1">
      <c r="A437" s="12" t="inlineStr">
        <is>
          <t>R1223-v1</t>
        </is>
      </c>
      <c r="B437" s="12" t="inlineStr">
        <is>
          <t>Cost &amp; Forecast Control Accounts / CST-02-061</t>
        </is>
      </c>
      <c r="C437" s="12" t="inlineStr">
        <is>
          <t>Cost Account = CA-2061; WBS Code = 1.2.1</t>
        </is>
      </c>
      <c r="D437" s="12" t="inlineStr">
        <is>
          <t>Proposed by Source assignment; target 1.2.1 Stations - Station Structures</t>
        </is>
      </c>
      <c r="E437" s="12" t="inlineStr">
        <is>
          <t>None recorded</t>
        </is>
      </c>
      <c r="F437" s="12" t="inlineStr">
        <is>
          <t>No individual professional decision recorded; Source assignment -- not individually reviewed</t>
        </is>
      </c>
      <c r="G437" s="12" t="inlineStr">
        <is>
          <t>Not individually decided</t>
        </is>
      </c>
      <c r="H437" s="12" t="inlineStr">
        <is>
          <t xml:space="preserve">APPROVED / ONE_TO_ONE; </t>
        </is>
      </c>
      <c r="I437" s="12" t="inlineStr">
        <is>
          <t>New</t>
        </is>
      </c>
      <c r="J437" s="17" t="inlineStr">
        <is>
          <t>08 CROSSWALK</t>
        </is>
      </c>
    </row>
    <row r="438" ht="49" customHeight="1">
      <c r="A438" s="12" t="inlineStr">
        <is>
          <t>R1225-v1</t>
        </is>
      </c>
      <c r="B438" s="12" t="inlineStr">
        <is>
          <t>Cost &amp; Forecast Control Accounts / CST-02-063</t>
        </is>
      </c>
      <c r="C438" s="12" t="inlineStr">
        <is>
          <t>Cost Account = CA-2063; WBS Code = 1.2.1</t>
        </is>
      </c>
      <c r="D438" s="12" t="inlineStr">
        <is>
          <t>Proposed by Source assignment; target 1.2.1 Stations - Station Structures</t>
        </is>
      </c>
      <c r="E438" s="12" t="inlineStr">
        <is>
          <t>None recorded</t>
        </is>
      </c>
      <c r="F438" s="12" t="inlineStr">
        <is>
          <t>No individual professional decision recorded; Source assignment -- not individually reviewed</t>
        </is>
      </c>
      <c r="G438" s="12" t="inlineStr">
        <is>
          <t>Not individually decided</t>
        </is>
      </c>
      <c r="H438" s="12" t="inlineStr">
        <is>
          <t xml:space="preserve">APPROVED / ONE_TO_ONE; </t>
        </is>
      </c>
      <c r="I438" s="12" t="inlineStr">
        <is>
          <t>New</t>
        </is>
      </c>
      <c r="J438" s="17" t="inlineStr">
        <is>
          <t>08 CROSSWALK</t>
        </is>
      </c>
    </row>
    <row r="439" ht="49" customHeight="1">
      <c r="A439" s="12" t="inlineStr">
        <is>
          <t>R1227-v1</t>
        </is>
      </c>
      <c r="B439" s="12" t="inlineStr">
        <is>
          <t>Cost &amp; Forecast Control Accounts / CST-02-065</t>
        </is>
      </c>
      <c r="C439" s="12" t="inlineStr">
        <is>
          <t>Cost Account = CA-2065; WBS Code = 1.2.1</t>
        </is>
      </c>
      <c r="D439" s="12" t="inlineStr">
        <is>
          <t>Proposed by Source assignment; target 1.2.1 Stations - Station Structures</t>
        </is>
      </c>
      <c r="E439" s="12" t="inlineStr">
        <is>
          <t>None recorded</t>
        </is>
      </c>
      <c r="F439" s="12" t="inlineStr">
        <is>
          <t>No individual professional decision recorded; Source assignment -- not individually reviewed</t>
        </is>
      </c>
      <c r="G439" s="12" t="inlineStr">
        <is>
          <t>Not individually decided</t>
        </is>
      </c>
      <c r="H439" s="12" t="inlineStr">
        <is>
          <t xml:space="preserve">APPROVED / ONE_TO_ONE; </t>
        </is>
      </c>
      <c r="I439" s="12" t="inlineStr">
        <is>
          <t>New</t>
        </is>
      </c>
      <c r="J439" s="17" t="inlineStr">
        <is>
          <t>08 CROSSWALK</t>
        </is>
      </c>
    </row>
    <row r="440" ht="49" customHeight="1">
      <c r="A440" s="12" t="inlineStr">
        <is>
          <t>R1229-v1</t>
        </is>
      </c>
      <c r="B440" s="12" t="inlineStr">
        <is>
          <t>Cost &amp; Forecast Control Accounts / CST-02-067</t>
        </is>
      </c>
      <c r="C440" s="12" t="inlineStr">
        <is>
          <t>Cost Account = CA-2067; WBS Code = 1.2.1</t>
        </is>
      </c>
      <c r="D440" s="12" t="inlineStr">
        <is>
          <t>Proposed by Source assignment; target 1.2.1 Stations - Station Structures</t>
        </is>
      </c>
      <c r="E440" s="12" t="inlineStr">
        <is>
          <t>None recorded</t>
        </is>
      </c>
      <c r="F440" s="12" t="inlineStr">
        <is>
          <t>No individual professional decision recorded; Source assignment -- not individually reviewed</t>
        </is>
      </c>
      <c r="G440" s="12" t="inlineStr">
        <is>
          <t>Not individually decided</t>
        </is>
      </c>
      <c r="H440" s="12" t="inlineStr">
        <is>
          <t xml:space="preserve">APPROVED / ONE_TO_ONE; </t>
        </is>
      </c>
      <c r="I440" s="12" t="inlineStr">
        <is>
          <t>New</t>
        </is>
      </c>
      <c r="J440" s="17" t="inlineStr">
        <is>
          <t>08 CROSSWALK</t>
        </is>
      </c>
    </row>
    <row r="441" ht="49" customHeight="1">
      <c r="A441" s="12" t="inlineStr">
        <is>
          <t>R1231-v1</t>
        </is>
      </c>
      <c r="B441" s="12" t="inlineStr">
        <is>
          <t>Cost &amp; Forecast Control Accounts / CST-02-069</t>
        </is>
      </c>
      <c r="C441" s="12" t="inlineStr">
        <is>
          <t>Cost Account = CA-2069; WBS Code = 1.2.1</t>
        </is>
      </c>
      <c r="D441" s="12" t="inlineStr">
        <is>
          <t>Proposed by Source assignment; target 1.2.1 Stations - Station Structures</t>
        </is>
      </c>
      <c r="E441" s="12" t="inlineStr">
        <is>
          <t>None recorded</t>
        </is>
      </c>
      <c r="F441" s="12" t="inlineStr">
        <is>
          <t>No individual professional decision recorded; Source assignment -- not individually reviewed</t>
        </is>
      </c>
      <c r="G441" s="12" t="inlineStr">
        <is>
          <t>Not individually decided</t>
        </is>
      </c>
      <c r="H441" s="12" t="inlineStr">
        <is>
          <t xml:space="preserve">APPROVED / ONE_TO_ONE; </t>
        </is>
      </c>
      <c r="I441" s="12" t="inlineStr">
        <is>
          <t>New</t>
        </is>
      </c>
      <c r="J441" s="17" t="inlineStr">
        <is>
          <t>08 CROSSWALK</t>
        </is>
      </c>
    </row>
    <row r="442" ht="49" customHeight="1">
      <c r="A442" s="12" t="inlineStr">
        <is>
          <t>R1233-v1</t>
        </is>
      </c>
      <c r="B442" s="12" t="inlineStr">
        <is>
          <t>Cost &amp; Forecast Control Accounts / CST-02-071</t>
        </is>
      </c>
      <c r="C442" s="12" t="inlineStr">
        <is>
          <t>Cost Account = CA-2071; WBS Code = 1.2.1</t>
        </is>
      </c>
      <c r="D442" s="12" t="inlineStr">
        <is>
          <t>Proposed by Source assignment; target 1.2.1 Stations - Station Structures</t>
        </is>
      </c>
      <c r="E442" s="12" t="inlineStr">
        <is>
          <t>None recorded</t>
        </is>
      </c>
      <c r="F442" s="12" t="inlineStr">
        <is>
          <t>No individual professional decision recorded; Source assignment -- not individually reviewed</t>
        </is>
      </c>
      <c r="G442" s="12" t="inlineStr">
        <is>
          <t>Not individually decided</t>
        </is>
      </c>
      <c r="H442" s="12" t="inlineStr">
        <is>
          <t xml:space="preserve">APPROVED / ONE_TO_ONE; </t>
        </is>
      </c>
      <c r="I442" s="12" t="inlineStr">
        <is>
          <t>New</t>
        </is>
      </c>
      <c r="J442" s="17" t="inlineStr">
        <is>
          <t>08 CROSSWALK</t>
        </is>
      </c>
    </row>
    <row r="443" ht="49" customHeight="1">
      <c r="A443" s="12" t="inlineStr">
        <is>
          <t>R1235-v1</t>
        </is>
      </c>
      <c r="B443" s="12" t="inlineStr">
        <is>
          <t>Cost &amp; Forecast Control Accounts / CST-02-073</t>
        </is>
      </c>
      <c r="C443" s="12" t="inlineStr">
        <is>
          <t>Cost Account = CA-2073; WBS Code = 1.2.1</t>
        </is>
      </c>
      <c r="D443" s="12" t="inlineStr">
        <is>
          <t>Proposed by Source assignment; target 1.2.1 Stations - Station Structures</t>
        </is>
      </c>
      <c r="E443" s="12" t="inlineStr">
        <is>
          <t>None recorded</t>
        </is>
      </c>
      <c r="F443" s="12" t="inlineStr">
        <is>
          <t>No individual professional decision recorded; Source assignment -- not individually reviewed</t>
        </is>
      </c>
      <c r="G443" s="12" t="inlineStr">
        <is>
          <t>Not individually decided</t>
        </is>
      </c>
      <c r="H443" s="12" t="inlineStr">
        <is>
          <t xml:space="preserve">APPROVED / ONE_TO_ONE; </t>
        </is>
      </c>
      <c r="I443" s="12" t="inlineStr">
        <is>
          <t>New</t>
        </is>
      </c>
      <c r="J443" s="17" t="inlineStr">
        <is>
          <t>08 CROSSWALK</t>
        </is>
      </c>
    </row>
    <row r="444" ht="49" customHeight="1">
      <c r="A444" s="12" t="inlineStr">
        <is>
          <t>R1237-v1</t>
        </is>
      </c>
      <c r="B444" s="12" t="inlineStr">
        <is>
          <t>Cost &amp; Forecast Control Accounts / CST-02-075</t>
        </is>
      </c>
      <c r="C444" s="12" t="inlineStr">
        <is>
          <t>Cost Account = CA-2075; WBS Code = 1.2.1</t>
        </is>
      </c>
      <c r="D444" s="12" t="inlineStr">
        <is>
          <t>Proposed by Source assignment; target 1.2.1 Stations - Station Structures</t>
        </is>
      </c>
      <c r="E444" s="12" t="inlineStr">
        <is>
          <t>None recorded</t>
        </is>
      </c>
      <c r="F444" s="12" t="inlineStr">
        <is>
          <t>No individual professional decision recorded; Source assignment -- not individually reviewed</t>
        </is>
      </c>
      <c r="G444" s="12" t="inlineStr">
        <is>
          <t>Not individually decided</t>
        </is>
      </c>
      <c r="H444" s="12" t="inlineStr">
        <is>
          <t xml:space="preserve">APPROVED / ONE_TO_ONE; </t>
        </is>
      </c>
      <c r="I444" s="12" t="inlineStr">
        <is>
          <t>New</t>
        </is>
      </c>
      <c r="J444" s="17" t="inlineStr">
        <is>
          <t>08 CROSSWALK</t>
        </is>
      </c>
    </row>
    <row r="445" ht="49" customHeight="1">
      <c r="A445" s="12" t="inlineStr">
        <is>
          <t>R1239-v1</t>
        </is>
      </c>
      <c r="B445" s="12" t="inlineStr">
        <is>
          <t>Cost &amp; Forecast Control Accounts / CST-02-077</t>
        </is>
      </c>
      <c r="C445" s="12" t="inlineStr">
        <is>
          <t>Cost Account = CA-2077; WBS Code = 1.2.1</t>
        </is>
      </c>
      <c r="D445" s="12" t="inlineStr">
        <is>
          <t>Proposed by Source assignment; target 1.2.1 Stations - Station Structures</t>
        </is>
      </c>
      <c r="E445" s="12" t="inlineStr">
        <is>
          <t>None recorded</t>
        </is>
      </c>
      <c r="F445" s="12" t="inlineStr">
        <is>
          <t>No individual professional decision recorded; Source assignment -- not individually reviewed</t>
        </is>
      </c>
      <c r="G445" s="12" t="inlineStr">
        <is>
          <t>Not individually decided</t>
        </is>
      </c>
      <c r="H445" s="12" t="inlineStr">
        <is>
          <t xml:space="preserve">APPROVED / ONE_TO_ONE; </t>
        </is>
      </c>
      <c r="I445" s="12" t="inlineStr">
        <is>
          <t>New</t>
        </is>
      </c>
      <c r="J445" s="17" t="inlineStr">
        <is>
          <t>08 CROSSWALK</t>
        </is>
      </c>
    </row>
    <row r="446" ht="49" customHeight="1">
      <c r="A446" s="12" t="inlineStr">
        <is>
          <t>R1241-v1</t>
        </is>
      </c>
      <c r="B446" s="12" t="inlineStr">
        <is>
          <t>Cost &amp; Forecast Control Accounts / CST-02-079</t>
        </is>
      </c>
      <c r="C446" s="12" t="inlineStr">
        <is>
          <t>Cost Account = CA-2079; WBS Code = 1.2.1</t>
        </is>
      </c>
      <c r="D446" s="12" t="inlineStr">
        <is>
          <t>Proposed by Source assignment; target 1.2.1 Stations - Station Structures</t>
        </is>
      </c>
      <c r="E446" s="12" t="inlineStr">
        <is>
          <t>None recorded</t>
        </is>
      </c>
      <c r="F446" s="12" t="inlineStr">
        <is>
          <t>No individual professional decision recorded; Source assignment -- not individually reviewed</t>
        </is>
      </c>
      <c r="G446" s="12" t="inlineStr">
        <is>
          <t>Not individually decided</t>
        </is>
      </c>
      <c r="H446" s="12" t="inlineStr">
        <is>
          <t xml:space="preserve">APPROVED / ONE_TO_ONE; </t>
        </is>
      </c>
      <c r="I446" s="12" t="inlineStr">
        <is>
          <t>New</t>
        </is>
      </c>
      <c r="J446" s="17" t="inlineStr">
        <is>
          <t>08 CROSSWALK</t>
        </is>
      </c>
    </row>
    <row r="447" ht="49" customHeight="1">
      <c r="A447" s="12" t="inlineStr">
        <is>
          <t>R186-v1</t>
        </is>
      </c>
      <c r="B447" s="12" t="inlineStr">
        <is>
          <t>Contractor Programme / SCH-02-006</t>
        </is>
      </c>
      <c r="C447" s="12" t="inlineStr">
        <is>
          <t>WBS Code = 1.2.2</t>
        </is>
      </c>
      <c r="D447" s="12" t="inlineStr">
        <is>
          <t>Proposed by Source assignment; target 1.2.2 Stations - Architectural Fit-Out</t>
        </is>
      </c>
      <c r="E447" s="12" t="inlineStr">
        <is>
          <t>None recorded</t>
        </is>
      </c>
      <c r="F447" s="12" t="inlineStr">
        <is>
          <t>No individual professional decision recorded; Source assignment -- not individually reviewed</t>
        </is>
      </c>
      <c r="G447" s="12" t="inlineStr">
        <is>
          <t>Not individually decided</t>
        </is>
      </c>
      <c r="H447" s="12" t="inlineStr">
        <is>
          <t xml:space="preserve">APPROVED / ONE_TO_ONE; </t>
        </is>
      </c>
      <c r="I447" s="12" t="inlineStr">
        <is>
          <t>New</t>
        </is>
      </c>
      <c r="J447" s="17" t="inlineStr">
        <is>
          <t>08 CROSSWALK</t>
        </is>
      </c>
    </row>
    <row r="448" ht="49" customHeight="1">
      <c r="A448" s="12" t="inlineStr">
        <is>
          <t>R189-v1</t>
        </is>
      </c>
      <c r="B448" s="12" t="inlineStr">
        <is>
          <t>Contractor Programme / SCH-02-009</t>
        </is>
      </c>
      <c r="C448" s="12" t="inlineStr">
        <is>
          <t>WBS Code = 1.2.2</t>
        </is>
      </c>
      <c r="D448" s="12" t="inlineStr">
        <is>
          <t>Proposed by Source assignment; target 1.2.2 Stations - Architectural Fit-Out</t>
        </is>
      </c>
      <c r="E448" s="12" t="inlineStr">
        <is>
          <t>None recorded</t>
        </is>
      </c>
      <c r="F448" s="12" t="inlineStr">
        <is>
          <t>No individual professional decision recorded; Source assignment -- not individually reviewed</t>
        </is>
      </c>
      <c r="G448" s="12" t="inlineStr">
        <is>
          <t>Not individually decided</t>
        </is>
      </c>
      <c r="H448" s="12" t="inlineStr">
        <is>
          <t xml:space="preserve">APPROVED / ONE_TO_ONE; </t>
        </is>
      </c>
      <c r="I448" s="12" t="inlineStr">
        <is>
          <t>New</t>
        </is>
      </c>
      <c r="J448" s="17" t="inlineStr">
        <is>
          <t>08 CROSSWALK</t>
        </is>
      </c>
    </row>
    <row r="449" ht="49" customHeight="1">
      <c r="A449" s="12" t="inlineStr">
        <is>
          <t>R192-v1</t>
        </is>
      </c>
      <c r="B449" s="12" t="inlineStr">
        <is>
          <t>Contractor Programme / SCH-02-012</t>
        </is>
      </c>
      <c r="C449" s="12" t="inlineStr">
        <is>
          <t>WBS Code = 1.2.2</t>
        </is>
      </c>
      <c r="D449" s="12" t="inlineStr">
        <is>
          <t>Proposed by Source assignment; target 1.2.2 Stations - Architectural Fit-Out</t>
        </is>
      </c>
      <c r="E449" s="12" t="inlineStr">
        <is>
          <t>None recorded</t>
        </is>
      </c>
      <c r="F449" s="12" t="inlineStr">
        <is>
          <t>No individual professional decision recorded; Source assignment -- not individually reviewed</t>
        </is>
      </c>
      <c r="G449" s="12" t="inlineStr">
        <is>
          <t>Not individually decided</t>
        </is>
      </c>
      <c r="H449" s="12" t="inlineStr">
        <is>
          <t xml:space="preserve">APPROVED / ONE_TO_ONE; </t>
        </is>
      </c>
      <c r="I449" s="12" t="inlineStr">
        <is>
          <t>New</t>
        </is>
      </c>
      <c r="J449" s="17" t="inlineStr">
        <is>
          <t>08 CROSSWALK</t>
        </is>
      </c>
    </row>
    <row r="450" ht="49" customHeight="1">
      <c r="A450" s="12" t="inlineStr">
        <is>
          <t>R195-v1</t>
        </is>
      </c>
      <c r="B450" s="12" t="inlineStr">
        <is>
          <t>Contractor Programme / SCH-02-015</t>
        </is>
      </c>
      <c r="C450" s="12" t="inlineStr">
        <is>
          <t>WBS Code = 1.2.2</t>
        </is>
      </c>
      <c r="D450" s="12" t="inlineStr">
        <is>
          <t>Proposed by Source assignment; target 1.2.2 Stations - Architectural Fit-Out</t>
        </is>
      </c>
      <c r="E450" s="12" t="inlineStr">
        <is>
          <t>None recorded</t>
        </is>
      </c>
      <c r="F450" s="12" t="inlineStr">
        <is>
          <t>No individual professional decision recorded; Source assignment -- not individually reviewed</t>
        </is>
      </c>
      <c r="G450" s="12" t="inlineStr">
        <is>
          <t>Not individually decided</t>
        </is>
      </c>
      <c r="H450" s="12" t="inlineStr">
        <is>
          <t xml:space="preserve">APPROVED / ONE_TO_ONE; </t>
        </is>
      </c>
      <c r="I450" s="12" t="inlineStr">
        <is>
          <t>New</t>
        </is>
      </c>
      <c r="J450" s="17" t="inlineStr">
        <is>
          <t>08 CROSSWALK</t>
        </is>
      </c>
    </row>
    <row r="451" ht="49" customHeight="1">
      <c r="A451" s="12" t="inlineStr">
        <is>
          <t>R198-v1</t>
        </is>
      </c>
      <c r="B451" s="12" t="inlineStr">
        <is>
          <t>Contractor Programme / SCH-02-018</t>
        </is>
      </c>
      <c r="C451" s="12" t="inlineStr">
        <is>
          <t>WBS Code = 1.2.2</t>
        </is>
      </c>
      <c r="D451" s="12" t="inlineStr">
        <is>
          <t>Proposed by Source assignment; target 1.2.2 Stations - Architectural Fit-Out</t>
        </is>
      </c>
      <c r="E451" s="12" t="inlineStr">
        <is>
          <t>None recorded</t>
        </is>
      </c>
      <c r="F451" s="12" t="inlineStr">
        <is>
          <t>No individual professional decision recorded; Source assignment -- not individually reviewed</t>
        </is>
      </c>
      <c r="G451" s="12" t="inlineStr">
        <is>
          <t>Not individually decided</t>
        </is>
      </c>
      <c r="H451" s="12" t="inlineStr">
        <is>
          <t xml:space="preserve">APPROVED / ONE_TO_ONE; </t>
        </is>
      </c>
      <c r="I451" s="12" t="inlineStr">
        <is>
          <t>New</t>
        </is>
      </c>
      <c r="J451" s="17" t="inlineStr">
        <is>
          <t>08 CROSSWALK</t>
        </is>
      </c>
    </row>
    <row r="452" ht="49" customHeight="1">
      <c r="A452" s="12" t="inlineStr">
        <is>
          <t>R201-v1</t>
        </is>
      </c>
      <c r="B452" s="12" t="inlineStr">
        <is>
          <t>Contractor Programme / SCH-02-021</t>
        </is>
      </c>
      <c r="C452" s="12" t="inlineStr">
        <is>
          <t>WBS Code = 1.2.2</t>
        </is>
      </c>
      <c r="D452" s="12" t="inlineStr">
        <is>
          <t>Proposed by Source assignment; target 1.2.2 Stations - Architectural Fit-Out</t>
        </is>
      </c>
      <c r="E452" s="12" t="inlineStr">
        <is>
          <t>None recorded</t>
        </is>
      </c>
      <c r="F452" s="12" t="inlineStr">
        <is>
          <t>No individual professional decision recorded; Source assignment -- not individually reviewed</t>
        </is>
      </c>
      <c r="G452" s="12" t="inlineStr">
        <is>
          <t>Not individually decided</t>
        </is>
      </c>
      <c r="H452" s="12" t="inlineStr">
        <is>
          <t xml:space="preserve">APPROVED / ONE_TO_ONE; </t>
        </is>
      </c>
      <c r="I452" s="12" t="inlineStr">
        <is>
          <t>New</t>
        </is>
      </c>
      <c r="J452" s="17" t="inlineStr">
        <is>
          <t>08 CROSSWALK</t>
        </is>
      </c>
    </row>
    <row r="453" ht="49" customHeight="1">
      <c r="A453" s="12" t="inlineStr">
        <is>
          <t>R204-v1</t>
        </is>
      </c>
      <c r="B453" s="12" t="inlineStr">
        <is>
          <t>Contractor Programme / SCH-02-024</t>
        </is>
      </c>
      <c r="C453" s="12" t="inlineStr">
        <is>
          <t>WBS Code = 1.2.2</t>
        </is>
      </c>
      <c r="D453" s="12" t="inlineStr">
        <is>
          <t>Proposed by Source assignment; target 1.2.2 Stations - Architectural Fit-Out</t>
        </is>
      </c>
      <c r="E453" s="12" t="inlineStr">
        <is>
          <t>None recorded</t>
        </is>
      </c>
      <c r="F453" s="12" t="inlineStr">
        <is>
          <t>No individual professional decision recorded; Source assignment -- not individually reviewed</t>
        </is>
      </c>
      <c r="G453" s="12" t="inlineStr">
        <is>
          <t>Not individually decided</t>
        </is>
      </c>
      <c r="H453" s="12" t="inlineStr">
        <is>
          <t xml:space="preserve">APPROVED / ONE_TO_ONE; </t>
        </is>
      </c>
      <c r="I453" s="12" t="inlineStr">
        <is>
          <t>New</t>
        </is>
      </c>
      <c r="J453" s="17" t="inlineStr">
        <is>
          <t>08 CROSSWALK</t>
        </is>
      </c>
    </row>
    <row r="454" ht="49" customHeight="1">
      <c r="A454" s="12" t="inlineStr">
        <is>
          <t>R207-v1</t>
        </is>
      </c>
      <c r="B454" s="12" t="inlineStr">
        <is>
          <t>Contractor Programme / SCH-02-027</t>
        </is>
      </c>
      <c r="C454" s="12" t="inlineStr">
        <is>
          <t>WBS Code = 1.2.2</t>
        </is>
      </c>
      <c r="D454" s="12" t="inlineStr">
        <is>
          <t>Proposed by Source assignment; target 1.2.2 Stations - Architectural Fit-Out</t>
        </is>
      </c>
      <c r="E454" s="12" t="inlineStr">
        <is>
          <t>None recorded</t>
        </is>
      </c>
      <c r="F454" s="12" t="inlineStr">
        <is>
          <t>No individual professional decision recorded; Source assignment -- not individually reviewed</t>
        </is>
      </c>
      <c r="G454" s="12" t="inlineStr">
        <is>
          <t>Not individually decided</t>
        </is>
      </c>
      <c r="H454" s="12" t="inlineStr">
        <is>
          <t xml:space="preserve">APPROVED / ONE_TO_ONE; </t>
        </is>
      </c>
      <c r="I454" s="12" t="inlineStr">
        <is>
          <t>New</t>
        </is>
      </c>
      <c r="J454" s="17" t="inlineStr">
        <is>
          <t>08 CROSSWALK</t>
        </is>
      </c>
    </row>
    <row r="455" ht="49" customHeight="1">
      <c r="A455" s="12" t="inlineStr">
        <is>
          <t>R210-v1</t>
        </is>
      </c>
      <c r="B455" s="12" t="inlineStr">
        <is>
          <t>Contractor Programme / SCH-02-030</t>
        </is>
      </c>
      <c r="C455" s="12" t="inlineStr">
        <is>
          <t>WBS Code = 1.2.2</t>
        </is>
      </c>
      <c r="D455" s="12" t="inlineStr">
        <is>
          <t>Proposed by Source assignment; target 1.2.2 Stations - Architectural Fit-Out</t>
        </is>
      </c>
      <c r="E455" s="12" t="inlineStr">
        <is>
          <t>None recorded</t>
        </is>
      </c>
      <c r="F455" s="12" t="inlineStr">
        <is>
          <t>No individual professional decision recorded; Source assignment -- not individually reviewed</t>
        </is>
      </c>
      <c r="G455" s="12" t="inlineStr">
        <is>
          <t>Not individually decided</t>
        </is>
      </c>
      <c r="H455" s="12" t="inlineStr">
        <is>
          <t xml:space="preserve">APPROVED / ONE_TO_ONE; </t>
        </is>
      </c>
      <c r="I455" s="12" t="inlineStr">
        <is>
          <t>New</t>
        </is>
      </c>
      <c r="J455" s="17" t="inlineStr">
        <is>
          <t>08 CROSSWALK</t>
        </is>
      </c>
    </row>
    <row r="456" ht="49" customHeight="1">
      <c r="A456" s="12" t="inlineStr">
        <is>
          <t>R213-v1</t>
        </is>
      </c>
      <c r="B456" s="12" t="inlineStr">
        <is>
          <t>Contractor Programme / SCH-02-033</t>
        </is>
      </c>
      <c r="C456" s="12" t="inlineStr">
        <is>
          <t>WBS Code = 1.2.2</t>
        </is>
      </c>
      <c r="D456" s="12" t="inlineStr">
        <is>
          <t>Proposed by Source assignment; target 1.2.2 Stations - Architectural Fit-Out</t>
        </is>
      </c>
      <c r="E456" s="12" t="inlineStr">
        <is>
          <t>None recorded</t>
        </is>
      </c>
      <c r="F456" s="12" t="inlineStr">
        <is>
          <t>No individual professional decision recorded; Source assignment -- not individually reviewed</t>
        </is>
      </c>
      <c r="G456" s="12" t="inlineStr">
        <is>
          <t>Not individually decided</t>
        </is>
      </c>
      <c r="H456" s="12" t="inlineStr">
        <is>
          <t xml:space="preserve">APPROVED / ONE_TO_ONE; </t>
        </is>
      </c>
      <c r="I456" s="12" t="inlineStr">
        <is>
          <t>New</t>
        </is>
      </c>
      <c r="J456" s="17" t="inlineStr">
        <is>
          <t>08 CROSSWALK</t>
        </is>
      </c>
    </row>
    <row r="457" ht="49" customHeight="1">
      <c r="A457" s="12" t="inlineStr">
        <is>
          <t>R216-v1</t>
        </is>
      </c>
      <c r="B457" s="12" t="inlineStr">
        <is>
          <t>Contractor Programme / SCH-02-036</t>
        </is>
      </c>
      <c r="C457" s="12" t="inlineStr">
        <is>
          <t>WBS Code = 1.2.2</t>
        </is>
      </c>
      <c r="D457" s="12" t="inlineStr">
        <is>
          <t>Proposed by Source assignment; target 1.2.2 Stations - Architectural Fit-Out</t>
        </is>
      </c>
      <c r="E457" s="12" t="inlineStr">
        <is>
          <t>None recorded</t>
        </is>
      </c>
      <c r="F457" s="12" t="inlineStr">
        <is>
          <t>No individual professional decision recorded; Source assignment -- not individually reviewed</t>
        </is>
      </c>
      <c r="G457" s="12" t="inlineStr">
        <is>
          <t>Not individually decided</t>
        </is>
      </c>
      <c r="H457" s="12" t="inlineStr">
        <is>
          <t xml:space="preserve">APPROVED / ONE_TO_ONE; </t>
        </is>
      </c>
      <c r="I457" s="12" t="inlineStr">
        <is>
          <t>New</t>
        </is>
      </c>
      <c r="J457" s="17" t="inlineStr">
        <is>
          <t>08 CROSSWALK</t>
        </is>
      </c>
    </row>
    <row r="458" ht="49" customHeight="1">
      <c r="A458" s="12" t="inlineStr">
        <is>
          <t>R219-v1</t>
        </is>
      </c>
      <c r="B458" s="12" t="inlineStr">
        <is>
          <t>Contractor Programme / SCH-02-039</t>
        </is>
      </c>
      <c r="C458" s="12" t="inlineStr">
        <is>
          <t>WBS Code = 1.2.2</t>
        </is>
      </c>
      <c r="D458" s="12" t="inlineStr">
        <is>
          <t>Proposed by Source assignment; target 1.2.2 Stations - Architectural Fit-Out</t>
        </is>
      </c>
      <c r="E458" s="12" t="inlineStr">
        <is>
          <t>None recorded</t>
        </is>
      </c>
      <c r="F458" s="12" t="inlineStr">
        <is>
          <t>No individual professional decision recorded; Source assignment -- not individually reviewed</t>
        </is>
      </c>
      <c r="G458" s="12" t="inlineStr">
        <is>
          <t>Not individually decided</t>
        </is>
      </c>
      <c r="H458" s="12" t="inlineStr">
        <is>
          <t xml:space="preserve">APPROVED / ONE_TO_ONE; </t>
        </is>
      </c>
      <c r="I458" s="12" t="inlineStr">
        <is>
          <t>New</t>
        </is>
      </c>
      <c r="J458" s="17" t="inlineStr">
        <is>
          <t>08 CROSSWALK</t>
        </is>
      </c>
    </row>
    <row r="459" ht="49" customHeight="1">
      <c r="A459" s="12" t="inlineStr">
        <is>
          <t>R222-v1</t>
        </is>
      </c>
      <c r="B459" s="12" t="inlineStr">
        <is>
          <t>Contractor Programme / SCH-02-042</t>
        </is>
      </c>
      <c r="C459" s="12" t="inlineStr">
        <is>
          <t>WBS Code = 1.2.2</t>
        </is>
      </c>
      <c r="D459" s="12" t="inlineStr">
        <is>
          <t>Proposed by Source assignment; target 1.2.2 Stations - Architectural Fit-Out</t>
        </is>
      </c>
      <c r="E459" s="12" t="inlineStr">
        <is>
          <t>None recorded</t>
        </is>
      </c>
      <c r="F459" s="12" t="inlineStr">
        <is>
          <t>No individual professional decision recorded; Source assignment -- not individually reviewed</t>
        </is>
      </c>
      <c r="G459" s="12" t="inlineStr">
        <is>
          <t>Not individually decided</t>
        </is>
      </c>
      <c r="H459" s="12" t="inlineStr">
        <is>
          <t xml:space="preserve">APPROVED / ONE_TO_ONE; </t>
        </is>
      </c>
      <c r="I459" s="12" t="inlineStr">
        <is>
          <t>New</t>
        </is>
      </c>
      <c r="J459" s="17" t="inlineStr">
        <is>
          <t>08 CROSSWALK</t>
        </is>
      </c>
    </row>
    <row r="460" ht="49" customHeight="1">
      <c r="A460" s="12" t="inlineStr">
        <is>
          <t>R225-v1</t>
        </is>
      </c>
      <c r="B460" s="12" t="inlineStr">
        <is>
          <t>Contractor Programme / SCH-02-045</t>
        </is>
      </c>
      <c r="C460" s="12" t="inlineStr">
        <is>
          <t>WBS Code = 1.2.2</t>
        </is>
      </c>
      <c r="D460" s="12" t="inlineStr">
        <is>
          <t>Proposed by Source assignment; target 1.2.2 Stations - Architectural Fit-Out</t>
        </is>
      </c>
      <c r="E460" s="12" t="inlineStr">
        <is>
          <t>None recorded</t>
        </is>
      </c>
      <c r="F460" s="12" t="inlineStr">
        <is>
          <t>No individual professional decision recorded; Source assignment -- not individually reviewed</t>
        </is>
      </c>
      <c r="G460" s="12" t="inlineStr">
        <is>
          <t>Not individually decided</t>
        </is>
      </c>
      <c r="H460" s="12" t="inlineStr">
        <is>
          <t xml:space="preserve">APPROVED / ONE_TO_ONE; </t>
        </is>
      </c>
      <c r="I460" s="12" t="inlineStr">
        <is>
          <t>New</t>
        </is>
      </c>
      <c r="J460" s="17" t="inlineStr">
        <is>
          <t>08 CROSSWALK</t>
        </is>
      </c>
    </row>
    <row r="461" ht="49" customHeight="1">
      <c r="A461" s="12" t="inlineStr">
        <is>
          <t>R228-v1</t>
        </is>
      </c>
      <c r="B461" s="12" t="inlineStr">
        <is>
          <t>Contractor Programme / SCH-02-048</t>
        </is>
      </c>
      <c r="C461" s="12" t="inlineStr">
        <is>
          <t>WBS Code = 1.2.2</t>
        </is>
      </c>
      <c r="D461" s="12" t="inlineStr">
        <is>
          <t>Proposed by Source assignment; target 1.2.2 Stations - Architectural Fit-Out</t>
        </is>
      </c>
      <c r="E461" s="12" t="inlineStr">
        <is>
          <t>None recorded</t>
        </is>
      </c>
      <c r="F461" s="12" t="inlineStr">
        <is>
          <t>No individual professional decision recorded; Source assignment -- not individually reviewed</t>
        </is>
      </c>
      <c r="G461" s="12" t="inlineStr">
        <is>
          <t>Not individually decided</t>
        </is>
      </c>
      <c r="H461" s="12" t="inlineStr">
        <is>
          <t xml:space="preserve">APPROVED / ONE_TO_ONE; </t>
        </is>
      </c>
      <c r="I461" s="12" t="inlineStr">
        <is>
          <t>New</t>
        </is>
      </c>
      <c r="J461" s="17" t="inlineStr">
        <is>
          <t>08 CROSSWALK</t>
        </is>
      </c>
    </row>
    <row r="462" ht="49" customHeight="1">
      <c r="A462" s="12" t="inlineStr">
        <is>
          <t>R231-v1</t>
        </is>
      </c>
      <c r="B462" s="12" t="inlineStr">
        <is>
          <t>Contractor Programme / SCH-02-051</t>
        </is>
      </c>
      <c r="C462" s="12" t="inlineStr">
        <is>
          <t>WBS Code = 1.2.2</t>
        </is>
      </c>
      <c r="D462" s="12" t="inlineStr">
        <is>
          <t>Proposed by Source assignment; target 1.2.2 Stations - Architectural Fit-Out</t>
        </is>
      </c>
      <c r="E462" s="12" t="inlineStr">
        <is>
          <t>None recorded</t>
        </is>
      </c>
      <c r="F462" s="12" t="inlineStr">
        <is>
          <t>No individual professional decision recorded; Source assignment -- not individually reviewed</t>
        </is>
      </c>
      <c r="G462" s="12" t="inlineStr">
        <is>
          <t>Not individually decided</t>
        </is>
      </c>
      <c r="H462" s="12" t="inlineStr">
        <is>
          <t xml:space="preserve">APPROVED / ONE_TO_ONE; </t>
        </is>
      </c>
      <c r="I462" s="12" t="inlineStr">
        <is>
          <t>New</t>
        </is>
      </c>
      <c r="J462" s="17" t="inlineStr">
        <is>
          <t>08 CROSSWALK</t>
        </is>
      </c>
    </row>
    <row r="463" ht="49" customHeight="1">
      <c r="A463" s="12" t="inlineStr">
        <is>
          <t>R234-v1</t>
        </is>
      </c>
      <c r="B463" s="12" t="inlineStr">
        <is>
          <t>Contractor Programme / SCH-02-054</t>
        </is>
      </c>
      <c r="C463" s="12" t="inlineStr">
        <is>
          <t>WBS Code = 1.2.2</t>
        </is>
      </c>
      <c r="D463" s="12" t="inlineStr">
        <is>
          <t>Proposed by Source assignment; target 1.2.2 Stations - Architectural Fit-Out</t>
        </is>
      </c>
      <c r="E463" s="12" t="inlineStr">
        <is>
          <t>None recorded</t>
        </is>
      </c>
      <c r="F463" s="12" t="inlineStr">
        <is>
          <t>No individual professional decision recorded; Source assignment -- not individually reviewed</t>
        </is>
      </c>
      <c r="G463" s="12" t="inlineStr">
        <is>
          <t>Not individually decided</t>
        </is>
      </c>
      <c r="H463" s="12" t="inlineStr">
        <is>
          <t xml:space="preserve">APPROVED / ONE_TO_ONE; </t>
        </is>
      </c>
      <c r="I463" s="12" t="inlineStr">
        <is>
          <t>New</t>
        </is>
      </c>
      <c r="J463" s="17" t="inlineStr">
        <is>
          <t>08 CROSSWALK</t>
        </is>
      </c>
    </row>
    <row r="464" ht="49" customHeight="1">
      <c r="A464" s="12" t="inlineStr">
        <is>
          <t>R237-v1</t>
        </is>
      </c>
      <c r="B464" s="12" t="inlineStr">
        <is>
          <t>Contractor Programme / SCH-02-057</t>
        </is>
      </c>
      <c r="C464" s="12" t="inlineStr">
        <is>
          <t>WBS Code = 1.2.2</t>
        </is>
      </c>
      <c r="D464" s="12" t="inlineStr">
        <is>
          <t>Proposed by Source assignment; target 1.2.2 Stations - Architectural Fit-Out</t>
        </is>
      </c>
      <c r="E464" s="12" t="inlineStr">
        <is>
          <t>None recorded</t>
        </is>
      </c>
      <c r="F464" s="12" t="inlineStr">
        <is>
          <t>No individual professional decision recorded; Source assignment -- not individually reviewed</t>
        </is>
      </c>
      <c r="G464" s="12" t="inlineStr">
        <is>
          <t>Not individually decided</t>
        </is>
      </c>
      <c r="H464" s="12" t="inlineStr">
        <is>
          <t xml:space="preserve">APPROVED / ONE_TO_ONE; </t>
        </is>
      </c>
      <c r="I464" s="12" t="inlineStr">
        <is>
          <t>New</t>
        </is>
      </c>
      <c r="J464" s="17" t="inlineStr">
        <is>
          <t>08 CROSSWALK</t>
        </is>
      </c>
    </row>
    <row r="465" ht="49" customHeight="1">
      <c r="A465" s="12" t="inlineStr">
        <is>
          <t>R240-v1</t>
        </is>
      </c>
      <c r="B465" s="12" t="inlineStr">
        <is>
          <t>Contractor Programme / SCH-02-060</t>
        </is>
      </c>
      <c r="C465" s="12" t="inlineStr">
        <is>
          <t>WBS Code = 1.2.2</t>
        </is>
      </c>
      <c r="D465" s="12" t="inlineStr">
        <is>
          <t>Proposed by Source assignment; target 1.2.2 Stations - Architectural Fit-Out</t>
        </is>
      </c>
      <c r="E465" s="12" t="inlineStr">
        <is>
          <t>None recorded</t>
        </is>
      </c>
      <c r="F465" s="12" t="inlineStr">
        <is>
          <t>No individual professional decision recorded; Source assignment -- not individually reviewed</t>
        </is>
      </c>
      <c r="G465" s="12" t="inlineStr">
        <is>
          <t>Not individually decided</t>
        </is>
      </c>
      <c r="H465" s="12" t="inlineStr">
        <is>
          <t xml:space="preserve">APPROVED / ONE_TO_ONE; </t>
        </is>
      </c>
      <c r="I465" s="12" t="inlineStr">
        <is>
          <t>New</t>
        </is>
      </c>
      <c r="J465" s="17" t="inlineStr">
        <is>
          <t>08 CROSSWALK</t>
        </is>
      </c>
    </row>
    <row r="466" ht="49" customHeight="1">
      <c r="A466" s="12" t="inlineStr">
        <is>
          <t>R243-v1</t>
        </is>
      </c>
      <c r="B466" s="12" t="inlineStr">
        <is>
          <t>Contractor Programme / SCH-02-063</t>
        </is>
      </c>
      <c r="C466" s="12" t="inlineStr">
        <is>
          <t>WBS Code = 1.2.2</t>
        </is>
      </c>
      <c r="D466" s="12" t="inlineStr">
        <is>
          <t>Proposed by Source assignment; target 1.2.2 Stations - Architectural Fit-Out</t>
        </is>
      </c>
      <c r="E466" s="12" t="inlineStr">
        <is>
          <t>None recorded</t>
        </is>
      </c>
      <c r="F466" s="12" t="inlineStr">
        <is>
          <t>No individual professional decision recorded; Source assignment -- not individually reviewed</t>
        </is>
      </c>
      <c r="G466" s="12" t="inlineStr">
        <is>
          <t>Not individually decided</t>
        </is>
      </c>
      <c r="H466" s="12" t="inlineStr">
        <is>
          <t xml:space="preserve">APPROVED / ONE_TO_ONE; </t>
        </is>
      </c>
      <c r="I466" s="12" t="inlineStr">
        <is>
          <t>New</t>
        </is>
      </c>
      <c r="J466" s="17" t="inlineStr">
        <is>
          <t>08 CROSSWALK</t>
        </is>
      </c>
    </row>
    <row r="467" ht="49" customHeight="1">
      <c r="A467" s="12" t="inlineStr">
        <is>
          <t>R246-v1</t>
        </is>
      </c>
      <c r="B467" s="12" t="inlineStr">
        <is>
          <t>Contractor Programme / SCH-02-066</t>
        </is>
      </c>
      <c r="C467" s="12" t="inlineStr">
        <is>
          <t>WBS Code = 1.2.2</t>
        </is>
      </c>
      <c r="D467" s="12" t="inlineStr">
        <is>
          <t>Proposed by Source assignment; target 1.2.2 Stations - Architectural Fit-Out</t>
        </is>
      </c>
      <c r="E467" s="12" t="inlineStr">
        <is>
          <t>None recorded</t>
        </is>
      </c>
      <c r="F467" s="12" t="inlineStr">
        <is>
          <t>No individual professional decision recorded; Source assignment -- not individually reviewed</t>
        </is>
      </c>
      <c r="G467" s="12" t="inlineStr">
        <is>
          <t>Not individually decided</t>
        </is>
      </c>
      <c r="H467" s="12" t="inlineStr">
        <is>
          <t xml:space="preserve">APPROVED / ONE_TO_ONE; </t>
        </is>
      </c>
      <c r="I467" s="12" t="inlineStr">
        <is>
          <t>New</t>
        </is>
      </c>
      <c r="J467" s="17" t="inlineStr">
        <is>
          <t>08 CROSSWALK</t>
        </is>
      </c>
    </row>
    <row r="468" ht="49" customHeight="1">
      <c r="A468" s="12" t="inlineStr">
        <is>
          <t>R249-v1</t>
        </is>
      </c>
      <c r="B468" s="12" t="inlineStr">
        <is>
          <t>Contractor Programme / SCH-02-069</t>
        </is>
      </c>
      <c r="C468" s="12" t="inlineStr">
        <is>
          <t>WBS Code = 1.2.2</t>
        </is>
      </c>
      <c r="D468" s="12" t="inlineStr">
        <is>
          <t>Proposed by Source assignment; target 1.2.2 Stations - Architectural Fit-Out</t>
        </is>
      </c>
      <c r="E468" s="12" t="inlineStr">
        <is>
          <t>None recorded</t>
        </is>
      </c>
      <c r="F468" s="12" t="inlineStr">
        <is>
          <t>No individual professional decision recorded; Source assignment -- not individually reviewed</t>
        </is>
      </c>
      <c r="G468" s="12" t="inlineStr">
        <is>
          <t>Not individually decided</t>
        </is>
      </c>
      <c r="H468" s="12" t="inlineStr">
        <is>
          <t xml:space="preserve">APPROVED / ONE_TO_ONE; </t>
        </is>
      </c>
      <c r="I468" s="12" t="inlineStr">
        <is>
          <t>New</t>
        </is>
      </c>
      <c r="J468" s="17" t="inlineStr">
        <is>
          <t>08 CROSSWALK</t>
        </is>
      </c>
    </row>
    <row r="469" ht="49" customHeight="1">
      <c r="A469" s="12" t="inlineStr">
        <is>
          <t>R252-v1</t>
        </is>
      </c>
      <c r="B469" s="12" t="inlineStr">
        <is>
          <t>Contractor Programme / SCH-02-072</t>
        </is>
      </c>
      <c r="C469" s="12" t="inlineStr">
        <is>
          <t>WBS Code = 1.2.2</t>
        </is>
      </c>
      <c r="D469" s="12" t="inlineStr">
        <is>
          <t>Proposed by Source assignment; target 1.2.2 Stations - Architectural Fit-Out</t>
        </is>
      </c>
      <c r="E469" s="12" t="inlineStr">
        <is>
          <t>None recorded</t>
        </is>
      </c>
      <c r="F469" s="12" t="inlineStr">
        <is>
          <t>No individual professional decision recorded; Source assignment -- not individually reviewed</t>
        </is>
      </c>
      <c r="G469" s="12" t="inlineStr">
        <is>
          <t>Not individually decided</t>
        </is>
      </c>
      <c r="H469" s="12" t="inlineStr">
        <is>
          <t xml:space="preserve">APPROVED / ONE_TO_ONE; </t>
        </is>
      </c>
      <c r="I469" s="12" t="inlineStr">
        <is>
          <t>New</t>
        </is>
      </c>
      <c r="J469" s="17" t="inlineStr">
        <is>
          <t>08 CROSSWALK</t>
        </is>
      </c>
    </row>
    <row r="470" ht="49" customHeight="1">
      <c r="A470" s="12" t="inlineStr">
        <is>
          <t>R255-v1</t>
        </is>
      </c>
      <c r="B470" s="12" t="inlineStr">
        <is>
          <t>Contractor Programme / SCH-02-075</t>
        </is>
      </c>
      <c r="C470" s="12" t="inlineStr">
        <is>
          <t>WBS Code = 1.2.2</t>
        </is>
      </c>
      <c r="D470" s="12" t="inlineStr">
        <is>
          <t>Proposed by Source assignment; target 1.2.2 Stations - Architectural Fit-Out</t>
        </is>
      </c>
      <c r="E470" s="12" t="inlineStr">
        <is>
          <t>None recorded</t>
        </is>
      </c>
      <c r="F470" s="12" t="inlineStr">
        <is>
          <t>No individual professional decision recorded; Source assignment -- not individually reviewed</t>
        </is>
      </c>
      <c r="G470" s="12" t="inlineStr">
        <is>
          <t>Not individually decided</t>
        </is>
      </c>
      <c r="H470" s="12" t="inlineStr">
        <is>
          <t xml:space="preserve">APPROVED / ONE_TO_ONE; </t>
        </is>
      </c>
      <c r="I470" s="12" t="inlineStr">
        <is>
          <t>New</t>
        </is>
      </c>
      <c r="J470" s="17" t="inlineStr">
        <is>
          <t>08 CROSSWALK</t>
        </is>
      </c>
    </row>
    <row r="471" ht="49" customHeight="1">
      <c r="A471" s="12" t="inlineStr">
        <is>
          <t>R258-v1</t>
        </is>
      </c>
      <c r="B471" s="12" t="inlineStr">
        <is>
          <t>Contractor Programme / SCH-02-078</t>
        </is>
      </c>
      <c r="C471" s="12" t="inlineStr">
        <is>
          <t>WBS Code = 1.2.2</t>
        </is>
      </c>
      <c r="D471" s="12" t="inlineStr">
        <is>
          <t>Proposed by Source assignment; target 1.2.2 Stations - Architectural Fit-Out</t>
        </is>
      </c>
      <c r="E471" s="12" t="inlineStr">
        <is>
          <t>None recorded</t>
        </is>
      </c>
      <c r="F471" s="12" t="inlineStr">
        <is>
          <t>No individual professional decision recorded; Source assignment -- not individually reviewed</t>
        </is>
      </c>
      <c r="G471" s="12" t="inlineStr">
        <is>
          <t>Not individually decided</t>
        </is>
      </c>
      <c r="H471" s="12" t="inlineStr">
        <is>
          <t xml:space="preserve">APPROVED / ONE_TO_ONE; </t>
        </is>
      </c>
      <c r="I471" s="12" t="inlineStr">
        <is>
          <t>New</t>
        </is>
      </c>
      <c r="J471" s="17" t="inlineStr">
        <is>
          <t>08 CROSSWALK</t>
        </is>
      </c>
    </row>
    <row r="472" ht="49" customHeight="1">
      <c r="A472" s="12" t="inlineStr">
        <is>
          <t>R261-v1</t>
        </is>
      </c>
      <c r="B472" s="12" t="inlineStr">
        <is>
          <t>Contractor Programme / SCH-02-081</t>
        </is>
      </c>
      <c r="C472" s="12" t="inlineStr">
        <is>
          <t>WBS Code = 1.2.2</t>
        </is>
      </c>
      <c r="D472" s="12" t="inlineStr">
        <is>
          <t>Proposed by Source assignment; target 1.2.2 Stations - Architectural Fit-Out</t>
        </is>
      </c>
      <c r="E472" s="12" t="inlineStr">
        <is>
          <t>None recorded</t>
        </is>
      </c>
      <c r="F472" s="12" t="inlineStr">
        <is>
          <t>No individual professional decision recorded; Source assignment -- not individually reviewed</t>
        </is>
      </c>
      <c r="G472" s="12" t="inlineStr">
        <is>
          <t>Not individually decided</t>
        </is>
      </c>
      <c r="H472" s="12" t="inlineStr">
        <is>
          <t xml:space="preserve">APPROVED / ONE_TO_ONE; </t>
        </is>
      </c>
      <c r="I472" s="12" t="inlineStr">
        <is>
          <t>New</t>
        </is>
      </c>
      <c r="J472" s="17" t="inlineStr">
        <is>
          <t>08 CROSSWALK</t>
        </is>
      </c>
    </row>
    <row r="473" ht="49" customHeight="1">
      <c r="A473" s="12" t="inlineStr">
        <is>
          <t>R264-v1</t>
        </is>
      </c>
      <c r="B473" s="12" t="inlineStr">
        <is>
          <t>Contractor Programme / SCH-02-084</t>
        </is>
      </c>
      <c r="C473" s="12" t="inlineStr">
        <is>
          <t>WBS Code = 1.2.2</t>
        </is>
      </c>
      <c r="D473" s="12" t="inlineStr">
        <is>
          <t>Proposed by Source assignment; target 1.2.2 Stations - Architectural Fit-Out</t>
        </is>
      </c>
      <c r="E473" s="12" t="inlineStr">
        <is>
          <t>None recorded</t>
        </is>
      </c>
      <c r="F473" s="12" t="inlineStr">
        <is>
          <t>No individual professional decision recorded; Source assignment -- not individually reviewed</t>
        </is>
      </c>
      <c r="G473" s="12" t="inlineStr">
        <is>
          <t>Not individually decided</t>
        </is>
      </c>
      <c r="H473" s="12" t="inlineStr">
        <is>
          <t xml:space="preserve">APPROVED / ONE_TO_ONE; </t>
        </is>
      </c>
      <c r="I473" s="12" t="inlineStr">
        <is>
          <t>New</t>
        </is>
      </c>
      <c r="J473" s="17" t="inlineStr">
        <is>
          <t>08 CROSSWALK</t>
        </is>
      </c>
    </row>
    <row r="474" ht="49" customHeight="1">
      <c r="A474" s="12" t="inlineStr">
        <is>
          <t>R267-v1</t>
        </is>
      </c>
      <c r="B474" s="12" t="inlineStr">
        <is>
          <t>Contractor Programme / SCH-02-087</t>
        </is>
      </c>
      <c r="C474" s="12" t="inlineStr">
        <is>
          <t>WBS Code = 1.2.2</t>
        </is>
      </c>
      <c r="D474" s="12" t="inlineStr">
        <is>
          <t>Proposed by Source assignment; target 1.2.2 Stations - Architectural Fit-Out</t>
        </is>
      </c>
      <c r="E474" s="12" t="inlineStr">
        <is>
          <t>None recorded</t>
        </is>
      </c>
      <c r="F474" s="12" t="inlineStr">
        <is>
          <t>No individual professional decision recorded; Source assignment -- not individually reviewed</t>
        </is>
      </c>
      <c r="G474" s="12" t="inlineStr">
        <is>
          <t>Not individually decided</t>
        </is>
      </c>
      <c r="H474" s="12" t="inlineStr">
        <is>
          <t xml:space="preserve">APPROVED / ONE_TO_ONE; </t>
        </is>
      </c>
      <c r="I474" s="12" t="inlineStr">
        <is>
          <t>New</t>
        </is>
      </c>
      <c r="J474" s="17" t="inlineStr">
        <is>
          <t>08 CROSSWALK</t>
        </is>
      </c>
    </row>
    <row r="475" ht="49" customHeight="1">
      <c r="A475" s="12" t="inlineStr">
        <is>
          <t>R270-v1</t>
        </is>
      </c>
      <c r="B475" s="12" t="inlineStr">
        <is>
          <t>Contractor Programme / SCH-02-090</t>
        </is>
      </c>
      <c r="C475" s="12" t="inlineStr">
        <is>
          <t>WBS Code = 1.2.2</t>
        </is>
      </c>
      <c r="D475" s="12" t="inlineStr">
        <is>
          <t>Proposed by Source assignment; target 1.2.2 Stations - Architectural Fit-Out</t>
        </is>
      </c>
      <c r="E475" s="12" t="inlineStr">
        <is>
          <t>None recorded</t>
        </is>
      </c>
      <c r="F475" s="12" t="inlineStr">
        <is>
          <t>No individual professional decision recorded; Source assignment -- not individually reviewed</t>
        </is>
      </c>
      <c r="G475" s="12" t="inlineStr">
        <is>
          <t>Not individually decided</t>
        </is>
      </c>
      <c r="H475" s="12" t="inlineStr">
        <is>
          <t xml:space="preserve">APPROVED / ONE_TO_ONE; </t>
        </is>
      </c>
      <c r="I475" s="12" t="inlineStr">
        <is>
          <t>New</t>
        </is>
      </c>
      <c r="J475" s="17" t="inlineStr">
        <is>
          <t>08 CROSSWALK</t>
        </is>
      </c>
    </row>
    <row r="476" ht="49" customHeight="1">
      <c r="A476" s="12" t="inlineStr">
        <is>
          <t>R273-v1</t>
        </is>
      </c>
      <c r="B476" s="12" t="inlineStr">
        <is>
          <t>Contractor Programme / SCH-02-093</t>
        </is>
      </c>
      <c r="C476" s="12" t="inlineStr">
        <is>
          <t>WBS Code = 1.2.2</t>
        </is>
      </c>
      <c r="D476" s="12" t="inlineStr">
        <is>
          <t>Proposed by Source assignment; target 1.2.2 Stations - Architectural Fit-Out</t>
        </is>
      </c>
      <c r="E476" s="12" t="inlineStr">
        <is>
          <t>None recorded</t>
        </is>
      </c>
      <c r="F476" s="12" t="inlineStr">
        <is>
          <t>No individual professional decision recorded; Source assignment -- not individually reviewed</t>
        </is>
      </c>
      <c r="G476" s="12" t="inlineStr">
        <is>
          <t>Not individually decided</t>
        </is>
      </c>
      <c r="H476" s="12" t="inlineStr">
        <is>
          <t xml:space="preserve">APPROVED / ONE_TO_ONE; </t>
        </is>
      </c>
      <c r="I476" s="12" t="inlineStr">
        <is>
          <t>New</t>
        </is>
      </c>
      <c r="J476" s="17" t="inlineStr">
        <is>
          <t>08 CROSSWALK</t>
        </is>
      </c>
    </row>
    <row r="477" ht="49" customHeight="1">
      <c r="A477" s="12" t="inlineStr">
        <is>
          <t>R276-v1</t>
        </is>
      </c>
      <c r="B477" s="12" t="inlineStr">
        <is>
          <t>Contractor Programme / SCH-02-096</t>
        </is>
      </c>
      <c r="C477" s="12" t="inlineStr">
        <is>
          <t>WBS Code = 1.2.2</t>
        </is>
      </c>
      <c r="D477" s="12" t="inlineStr">
        <is>
          <t>Proposed by Source assignment; target 1.2.2 Stations - Architectural Fit-Out</t>
        </is>
      </c>
      <c r="E477" s="12" t="inlineStr">
        <is>
          <t>None recorded</t>
        </is>
      </c>
      <c r="F477" s="12" t="inlineStr">
        <is>
          <t>No individual professional decision recorded; Source assignment -- not individually reviewed</t>
        </is>
      </c>
      <c r="G477" s="12" t="inlineStr">
        <is>
          <t>Not individually decided</t>
        </is>
      </c>
      <c r="H477" s="12" t="inlineStr">
        <is>
          <t xml:space="preserve">APPROVED / ONE_TO_ONE; </t>
        </is>
      </c>
      <c r="I477" s="12" t="inlineStr">
        <is>
          <t>New</t>
        </is>
      </c>
      <c r="J477" s="17" t="inlineStr">
        <is>
          <t>08 CROSSWALK</t>
        </is>
      </c>
    </row>
    <row r="478" ht="49" customHeight="1">
      <c r="A478" s="12" t="inlineStr">
        <is>
          <t>R279-v1</t>
        </is>
      </c>
      <c r="B478" s="12" t="inlineStr">
        <is>
          <t>Contractor Programme / SCH-02-099</t>
        </is>
      </c>
      <c r="C478" s="12" t="inlineStr">
        <is>
          <t>WBS Code = 1.2.2</t>
        </is>
      </c>
      <c r="D478" s="12" t="inlineStr">
        <is>
          <t>Proposed by Source assignment; target 1.2.2 Stations - Architectural Fit-Out</t>
        </is>
      </c>
      <c r="E478" s="12" t="inlineStr">
        <is>
          <t>None recorded</t>
        </is>
      </c>
      <c r="F478" s="12" t="inlineStr">
        <is>
          <t>No individual professional decision recorded; Source assignment -- not individually reviewed</t>
        </is>
      </c>
      <c r="G478" s="12" t="inlineStr">
        <is>
          <t>Not individually decided</t>
        </is>
      </c>
      <c r="H478" s="12" t="inlineStr">
        <is>
          <t xml:space="preserve">APPROVED / ONE_TO_ONE; </t>
        </is>
      </c>
      <c r="I478" s="12" t="inlineStr">
        <is>
          <t>New</t>
        </is>
      </c>
      <c r="J478" s="17" t="inlineStr">
        <is>
          <t>08 CROSSWALK</t>
        </is>
      </c>
    </row>
    <row r="479" ht="49" customHeight="1">
      <c r="A479" s="12" t="inlineStr">
        <is>
          <t>R282-v1</t>
        </is>
      </c>
      <c r="B479" s="12" t="inlineStr">
        <is>
          <t>Contractor Programme / SCH-02-102</t>
        </is>
      </c>
      <c r="C479" s="12" t="inlineStr">
        <is>
          <t>WBS Code = 1.2.2</t>
        </is>
      </c>
      <c r="D479" s="12" t="inlineStr">
        <is>
          <t>Proposed by Source assignment; target 1.2.2 Stations - Architectural Fit-Out</t>
        </is>
      </c>
      <c r="E479" s="12" t="inlineStr">
        <is>
          <t>None recorded</t>
        </is>
      </c>
      <c r="F479" s="12" t="inlineStr">
        <is>
          <t>No individual professional decision recorded; Source assignment -- not individually reviewed</t>
        </is>
      </c>
      <c r="G479" s="12" t="inlineStr">
        <is>
          <t>Not individually decided</t>
        </is>
      </c>
      <c r="H479" s="12" t="inlineStr">
        <is>
          <t xml:space="preserve">APPROVED / ONE_TO_ONE; </t>
        </is>
      </c>
      <c r="I479" s="12" t="inlineStr">
        <is>
          <t>New</t>
        </is>
      </c>
      <c r="J479" s="17" t="inlineStr">
        <is>
          <t>08 CROSSWALK</t>
        </is>
      </c>
    </row>
    <row r="480" ht="49" customHeight="1">
      <c r="A480" s="12" t="inlineStr">
        <is>
          <t>R285-v1</t>
        </is>
      </c>
      <c r="B480" s="12" t="inlineStr">
        <is>
          <t>Contractor Programme / SCH-02-105</t>
        </is>
      </c>
      <c r="C480" s="12" t="inlineStr">
        <is>
          <t>WBS Code = 1.2.2</t>
        </is>
      </c>
      <c r="D480" s="12" t="inlineStr">
        <is>
          <t>Proposed by Source assignment; target 1.2.2 Stations - Architectural Fit-Out</t>
        </is>
      </c>
      <c r="E480" s="12" t="inlineStr">
        <is>
          <t>None recorded</t>
        </is>
      </c>
      <c r="F480" s="12" t="inlineStr">
        <is>
          <t>No individual professional decision recorded; Source assignment -- not individually reviewed</t>
        </is>
      </c>
      <c r="G480" s="12" t="inlineStr">
        <is>
          <t>Not individually decided</t>
        </is>
      </c>
      <c r="H480" s="12" t="inlineStr">
        <is>
          <t xml:space="preserve">APPROVED / ONE_TO_ONE; </t>
        </is>
      </c>
      <c r="I480" s="12" t="inlineStr">
        <is>
          <t>New</t>
        </is>
      </c>
      <c r="J480" s="17" t="inlineStr">
        <is>
          <t>08 CROSSWALK</t>
        </is>
      </c>
    </row>
    <row r="481" ht="49" customHeight="1">
      <c r="A481" s="12" t="inlineStr">
        <is>
          <t>R288-v1</t>
        </is>
      </c>
      <c r="B481" s="12" t="inlineStr">
        <is>
          <t>Contractor Programme / SCH-02-108</t>
        </is>
      </c>
      <c r="C481" s="12" t="inlineStr">
        <is>
          <t>WBS Code = 1.2.2</t>
        </is>
      </c>
      <c r="D481" s="12" t="inlineStr">
        <is>
          <t>Proposed by Source assignment; target 1.2.2 Stations - Architectural Fit-Out</t>
        </is>
      </c>
      <c r="E481" s="12" t="inlineStr">
        <is>
          <t>None recorded</t>
        </is>
      </c>
      <c r="F481" s="12" t="inlineStr">
        <is>
          <t>No individual professional decision recorded; Source assignment -- not individually reviewed</t>
        </is>
      </c>
      <c r="G481" s="12" t="inlineStr">
        <is>
          <t>Not individually decided</t>
        </is>
      </c>
      <c r="H481" s="12" t="inlineStr">
        <is>
          <t xml:space="preserve">APPROVED / ONE_TO_ONE; </t>
        </is>
      </c>
      <c r="I481" s="12" t="inlineStr">
        <is>
          <t>New</t>
        </is>
      </c>
      <c r="J481" s="17" t="inlineStr">
        <is>
          <t>08 CROSSWALK</t>
        </is>
      </c>
    </row>
    <row r="482" ht="49" customHeight="1">
      <c r="A482" s="12" t="inlineStr">
        <is>
          <t>R291-v1</t>
        </is>
      </c>
      <c r="B482" s="12" t="inlineStr">
        <is>
          <t>Contractor Programme / SCH-02-111</t>
        </is>
      </c>
      <c r="C482" s="12" t="inlineStr">
        <is>
          <t>WBS Code = 1.2.2</t>
        </is>
      </c>
      <c r="D482" s="12" t="inlineStr">
        <is>
          <t>Proposed by Source assignment; target 1.2.2 Stations - Architectural Fit-Out</t>
        </is>
      </c>
      <c r="E482" s="12" t="inlineStr">
        <is>
          <t>None recorded</t>
        </is>
      </c>
      <c r="F482" s="12" t="inlineStr">
        <is>
          <t>No individual professional decision recorded; Source assignment -- not individually reviewed</t>
        </is>
      </c>
      <c r="G482" s="12" t="inlineStr">
        <is>
          <t>Not individually decided</t>
        </is>
      </c>
      <c r="H482" s="12" t="inlineStr">
        <is>
          <t xml:space="preserve">APPROVED / ONE_TO_ONE; </t>
        </is>
      </c>
      <c r="I482" s="12" t="inlineStr">
        <is>
          <t>New</t>
        </is>
      </c>
      <c r="J482" s="17" t="inlineStr">
        <is>
          <t>08 CROSSWALK</t>
        </is>
      </c>
    </row>
    <row r="483" ht="49" customHeight="1">
      <c r="A483" s="12" t="inlineStr">
        <is>
          <t>R294-v1</t>
        </is>
      </c>
      <c r="B483" s="12" t="inlineStr">
        <is>
          <t>Contractor Programme / SCH-02-114</t>
        </is>
      </c>
      <c r="C483" s="12" t="inlineStr">
        <is>
          <t>WBS Code = 1.2.2</t>
        </is>
      </c>
      <c r="D483" s="12" t="inlineStr">
        <is>
          <t>Proposed by Source assignment; target 1.2.2 Stations - Architectural Fit-Out</t>
        </is>
      </c>
      <c r="E483" s="12" t="inlineStr">
        <is>
          <t>None recorded</t>
        </is>
      </c>
      <c r="F483" s="12" t="inlineStr">
        <is>
          <t>No individual professional decision recorded; Source assignment -- not individually reviewed</t>
        </is>
      </c>
      <c r="G483" s="12" t="inlineStr">
        <is>
          <t>Not individually decided</t>
        </is>
      </c>
      <c r="H483" s="12" t="inlineStr">
        <is>
          <t xml:space="preserve">APPROVED / ONE_TO_ONE; </t>
        </is>
      </c>
      <c r="I483" s="12" t="inlineStr">
        <is>
          <t>New</t>
        </is>
      </c>
      <c r="J483" s="17" t="inlineStr">
        <is>
          <t>08 CROSSWALK</t>
        </is>
      </c>
    </row>
    <row r="484" ht="49" customHeight="1">
      <c r="A484" s="12" t="inlineStr">
        <is>
          <t>R297-v1</t>
        </is>
      </c>
      <c r="B484" s="12" t="inlineStr">
        <is>
          <t>Contractor Programme / SCH-02-117</t>
        </is>
      </c>
      <c r="C484" s="12" t="inlineStr">
        <is>
          <t>WBS Code = 1.2.2</t>
        </is>
      </c>
      <c r="D484" s="12" t="inlineStr">
        <is>
          <t>Proposed by Source assignment; target 1.2.2 Stations - Architectural Fit-Out</t>
        </is>
      </c>
      <c r="E484" s="12" t="inlineStr">
        <is>
          <t>None recorded</t>
        </is>
      </c>
      <c r="F484" s="12" t="inlineStr">
        <is>
          <t>No individual professional decision recorded; Source assignment -- not individually reviewed</t>
        </is>
      </c>
      <c r="G484" s="12" t="inlineStr">
        <is>
          <t>Not individually decided</t>
        </is>
      </c>
      <c r="H484" s="12" t="inlineStr">
        <is>
          <t xml:space="preserve">APPROVED / ONE_TO_ONE; </t>
        </is>
      </c>
      <c r="I484" s="12" t="inlineStr">
        <is>
          <t>New</t>
        </is>
      </c>
      <c r="J484" s="17" t="inlineStr">
        <is>
          <t>08 CROSSWALK</t>
        </is>
      </c>
    </row>
    <row r="485" ht="49" customHeight="1">
      <c r="A485" s="12" t="inlineStr">
        <is>
          <t>R300-v1</t>
        </is>
      </c>
      <c r="B485" s="12" t="inlineStr">
        <is>
          <t>Contractor Programme / SCH-02-120</t>
        </is>
      </c>
      <c r="C485" s="12" t="inlineStr">
        <is>
          <t>WBS Code = 1.2.2</t>
        </is>
      </c>
      <c r="D485" s="12" t="inlineStr">
        <is>
          <t>Proposed by Source assignment; target 1.2.2 Stations - Architectural Fit-Out</t>
        </is>
      </c>
      <c r="E485" s="12" t="inlineStr">
        <is>
          <t>None recorded</t>
        </is>
      </c>
      <c r="F485" s="12" t="inlineStr">
        <is>
          <t>No individual professional decision recorded; Source assignment -- not individually reviewed</t>
        </is>
      </c>
      <c r="G485" s="12" t="inlineStr">
        <is>
          <t>Not individually decided</t>
        </is>
      </c>
      <c r="H485" s="12" t="inlineStr">
        <is>
          <t xml:space="preserve">APPROVED / ONE_TO_ONE; </t>
        </is>
      </c>
      <c r="I485" s="12" t="inlineStr">
        <is>
          <t>New</t>
        </is>
      </c>
      <c r="J485" s="17" t="inlineStr">
        <is>
          <t>08 CROSSWALK</t>
        </is>
      </c>
    </row>
    <row r="486" ht="49" customHeight="1">
      <c r="A486" s="12" t="inlineStr">
        <is>
          <t>R303-v1</t>
        </is>
      </c>
      <c r="B486" s="12" t="inlineStr">
        <is>
          <t>Contractor Programme / SCH-02-123</t>
        </is>
      </c>
      <c r="C486" s="12" t="inlineStr">
        <is>
          <t>WBS Code = 1.2.2</t>
        </is>
      </c>
      <c r="D486" s="12" t="inlineStr">
        <is>
          <t>Proposed by Source assignment; target 1.2.2 Stations - Architectural Fit-Out</t>
        </is>
      </c>
      <c r="E486" s="12" t="inlineStr">
        <is>
          <t>None recorded</t>
        </is>
      </c>
      <c r="F486" s="12" t="inlineStr">
        <is>
          <t>No individual professional decision recorded; Source assignment -- not individually reviewed</t>
        </is>
      </c>
      <c r="G486" s="12" t="inlineStr">
        <is>
          <t>Not individually decided</t>
        </is>
      </c>
      <c r="H486" s="12" t="inlineStr">
        <is>
          <t xml:space="preserve">APPROVED / ONE_TO_ONE; </t>
        </is>
      </c>
      <c r="I486" s="12" t="inlineStr">
        <is>
          <t>New</t>
        </is>
      </c>
      <c r="J486" s="17" t="inlineStr">
        <is>
          <t>08 CROSSWALK</t>
        </is>
      </c>
    </row>
    <row r="487" ht="49" customHeight="1">
      <c r="A487" s="12" t="inlineStr">
        <is>
          <t>R306-v1</t>
        </is>
      </c>
      <c r="B487" s="12" t="inlineStr">
        <is>
          <t>Contractor Programme / SCH-02-126</t>
        </is>
      </c>
      <c r="C487" s="12" t="inlineStr">
        <is>
          <t>WBS Code = 1.2.2</t>
        </is>
      </c>
      <c r="D487" s="12" t="inlineStr">
        <is>
          <t>Proposed by Source assignment; target 1.2.2 Stations - Architectural Fit-Out</t>
        </is>
      </c>
      <c r="E487" s="12" t="inlineStr">
        <is>
          <t>None recorded</t>
        </is>
      </c>
      <c r="F487" s="12" t="inlineStr">
        <is>
          <t>No individual professional decision recorded; Source assignment -- not individually reviewed</t>
        </is>
      </c>
      <c r="G487" s="12" t="inlineStr">
        <is>
          <t>Not individually decided</t>
        </is>
      </c>
      <c r="H487" s="12" t="inlineStr">
        <is>
          <t xml:space="preserve">APPROVED / ONE_TO_ONE; </t>
        </is>
      </c>
      <c r="I487" s="12" t="inlineStr">
        <is>
          <t>New</t>
        </is>
      </c>
      <c r="J487" s="17" t="inlineStr">
        <is>
          <t>08 CROSSWALK</t>
        </is>
      </c>
    </row>
    <row r="488" ht="49" customHeight="1">
      <c r="A488" s="12" t="inlineStr">
        <is>
          <t>R309-v1</t>
        </is>
      </c>
      <c r="B488" s="12" t="inlineStr">
        <is>
          <t>Contractor Programme / SCH-02-129</t>
        </is>
      </c>
      <c r="C488" s="12" t="inlineStr">
        <is>
          <t>WBS Code = 1.2.2</t>
        </is>
      </c>
      <c r="D488" s="12" t="inlineStr">
        <is>
          <t>Proposed by Source assignment; target 1.2.2 Stations - Architectural Fit-Out</t>
        </is>
      </c>
      <c r="E488" s="12" t="inlineStr">
        <is>
          <t>None recorded</t>
        </is>
      </c>
      <c r="F488" s="12" t="inlineStr">
        <is>
          <t>No individual professional decision recorded; Source assignment -- not individually reviewed</t>
        </is>
      </c>
      <c r="G488" s="12" t="inlineStr">
        <is>
          <t>Not individually decided</t>
        </is>
      </c>
      <c r="H488" s="12" t="inlineStr">
        <is>
          <t xml:space="preserve">APPROVED / ONE_TO_ONE; </t>
        </is>
      </c>
      <c r="I488" s="12" t="inlineStr">
        <is>
          <t>New</t>
        </is>
      </c>
      <c r="J488" s="17" t="inlineStr">
        <is>
          <t>08 CROSSWALK</t>
        </is>
      </c>
    </row>
    <row r="489" ht="49" customHeight="1">
      <c r="A489" s="12" t="inlineStr">
        <is>
          <t>R312-v1</t>
        </is>
      </c>
      <c r="B489" s="12" t="inlineStr">
        <is>
          <t>Contractor Programme / SCH-02-132</t>
        </is>
      </c>
      <c r="C489" s="12" t="inlineStr">
        <is>
          <t>WBS Code = 1.2.2</t>
        </is>
      </c>
      <c r="D489" s="12" t="inlineStr">
        <is>
          <t>Proposed by Source assignment; target 1.2.2 Stations - Architectural Fit-Out</t>
        </is>
      </c>
      <c r="E489" s="12" t="inlineStr">
        <is>
          <t>None recorded</t>
        </is>
      </c>
      <c r="F489" s="12" t="inlineStr">
        <is>
          <t>No individual professional decision recorded; Source assignment -- not individually reviewed</t>
        </is>
      </c>
      <c r="G489" s="12" t="inlineStr">
        <is>
          <t>Not individually decided</t>
        </is>
      </c>
      <c r="H489" s="12" t="inlineStr">
        <is>
          <t xml:space="preserve">APPROVED / ONE_TO_ONE; </t>
        </is>
      </c>
      <c r="I489" s="12" t="inlineStr">
        <is>
          <t>New</t>
        </is>
      </c>
      <c r="J489" s="17" t="inlineStr">
        <is>
          <t>08 CROSSWALK</t>
        </is>
      </c>
    </row>
    <row r="490" ht="49" customHeight="1">
      <c r="A490" s="12" t="inlineStr">
        <is>
          <t>R315-v1</t>
        </is>
      </c>
      <c r="B490" s="12" t="inlineStr">
        <is>
          <t>Contractor Programme / SCH-02-135</t>
        </is>
      </c>
      <c r="C490" s="12" t="inlineStr">
        <is>
          <t>WBS Code = 1.2.2</t>
        </is>
      </c>
      <c r="D490" s="12" t="inlineStr">
        <is>
          <t>Proposed by Source assignment; target 1.2.2 Stations - Architectural Fit-Out</t>
        </is>
      </c>
      <c r="E490" s="12" t="inlineStr">
        <is>
          <t>None recorded</t>
        </is>
      </c>
      <c r="F490" s="12" t="inlineStr">
        <is>
          <t>No individual professional decision recorded; Source assignment -- not individually reviewed</t>
        </is>
      </c>
      <c r="G490" s="12" t="inlineStr">
        <is>
          <t>Not individually decided</t>
        </is>
      </c>
      <c r="H490" s="12" t="inlineStr">
        <is>
          <t xml:space="preserve">APPROVED / ONE_TO_ONE; </t>
        </is>
      </c>
      <c r="I490" s="12" t="inlineStr">
        <is>
          <t>New</t>
        </is>
      </c>
      <c r="J490" s="17" t="inlineStr">
        <is>
          <t>08 CROSSWALK</t>
        </is>
      </c>
    </row>
    <row r="491" ht="49" customHeight="1">
      <c r="A491" s="12" t="inlineStr">
        <is>
          <t>R318-v1</t>
        </is>
      </c>
      <c r="B491" s="12" t="inlineStr">
        <is>
          <t>Contractor Programme / SCH-02-138</t>
        </is>
      </c>
      <c r="C491" s="12" t="inlineStr">
        <is>
          <t>WBS Code = 1.2.2</t>
        </is>
      </c>
      <c r="D491" s="12" t="inlineStr">
        <is>
          <t>Proposed by Source assignment; target 1.2.2 Stations - Architectural Fit-Out</t>
        </is>
      </c>
      <c r="E491" s="12" t="inlineStr">
        <is>
          <t>None recorded</t>
        </is>
      </c>
      <c r="F491" s="12" t="inlineStr">
        <is>
          <t>No individual professional decision recorded; Source assignment -- not individually reviewed</t>
        </is>
      </c>
      <c r="G491" s="12" t="inlineStr">
        <is>
          <t>Not individually decided</t>
        </is>
      </c>
      <c r="H491" s="12" t="inlineStr">
        <is>
          <t xml:space="preserve">APPROVED / ONE_TO_ONE; </t>
        </is>
      </c>
      <c r="I491" s="12" t="inlineStr">
        <is>
          <t>New</t>
        </is>
      </c>
      <c r="J491" s="17" t="inlineStr">
        <is>
          <t>08 CROSSWALK</t>
        </is>
      </c>
    </row>
    <row r="492" ht="49" customHeight="1">
      <c r="A492" s="12" t="inlineStr">
        <is>
          <t>R321-v1</t>
        </is>
      </c>
      <c r="B492" s="12" t="inlineStr">
        <is>
          <t>Contractor Programme / SCH-02-141</t>
        </is>
      </c>
      <c r="C492" s="12" t="inlineStr">
        <is>
          <t>WBS Code = 1.2.2</t>
        </is>
      </c>
      <c r="D492" s="12" t="inlineStr">
        <is>
          <t>Proposed by Source assignment; target 1.2.2 Stations - Architectural Fit-Out</t>
        </is>
      </c>
      <c r="E492" s="12" t="inlineStr">
        <is>
          <t>None recorded</t>
        </is>
      </c>
      <c r="F492" s="12" t="inlineStr">
        <is>
          <t>No individual professional decision recorded; Source assignment -- not individually reviewed</t>
        </is>
      </c>
      <c r="G492" s="12" t="inlineStr">
        <is>
          <t>Not individually decided</t>
        </is>
      </c>
      <c r="H492" s="12" t="inlineStr">
        <is>
          <t xml:space="preserve">APPROVED / ONE_TO_ONE; </t>
        </is>
      </c>
      <c r="I492" s="12" t="inlineStr">
        <is>
          <t>New</t>
        </is>
      </c>
      <c r="J492" s="17" t="inlineStr">
        <is>
          <t>08 CROSSWALK</t>
        </is>
      </c>
    </row>
    <row r="493" ht="49" customHeight="1">
      <c r="A493" s="12" t="inlineStr">
        <is>
          <t>R324-v1</t>
        </is>
      </c>
      <c r="B493" s="12" t="inlineStr">
        <is>
          <t>Contractor Programme / SCH-02-144</t>
        </is>
      </c>
      <c r="C493" s="12" t="inlineStr">
        <is>
          <t>WBS Code = 1.2.2</t>
        </is>
      </c>
      <c r="D493" s="12" t="inlineStr">
        <is>
          <t>Proposed by Source assignment; target 1.2.2 Stations - Architectural Fit-Out</t>
        </is>
      </c>
      <c r="E493" s="12" t="inlineStr">
        <is>
          <t>None recorded</t>
        </is>
      </c>
      <c r="F493" s="12" t="inlineStr">
        <is>
          <t>No individual professional decision recorded; Source assignment -- not individually reviewed</t>
        </is>
      </c>
      <c r="G493" s="12" t="inlineStr">
        <is>
          <t>Not individually decided</t>
        </is>
      </c>
      <c r="H493" s="12" t="inlineStr">
        <is>
          <t xml:space="preserve">APPROVED / ONE_TO_ONE; </t>
        </is>
      </c>
      <c r="I493" s="12" t="inlineStr">
        <is>
          <t>New</t>
        </is>
      </c>
      <c r="J493" s="17" t="inlineStr">
        <is>
          <t>08 CROSSWALK</t>
        </is>
      </c>
    </row>
    <row r="494" ht="49" customHeight="1">
      <c r="A494" s="12" t="inlineStr">
        <is>
          <t>R327-v1</t>
        </is>
      </c>
      <c r="B494" s="12" t="inlineStr">
        <is>
          <t>Contractor Programme / SCH-02-147</t>
        </is>
      </c>
      <c r="C494" s="12" t="inlineStr">
        <is>
          <t>WBS Code = 1.2.2</t>
        </is>
      </c>
      <c r="D494" s="12" t="inlineStr">
        <is>
          <t>Proposed by Source assignment; target 1.2.2 Stations - Architectural Fit-Out</t>
        </is>
      </c>
      <c r="E494" s="12" t="inlineStr">
        <is>
          <t>None recorded</t>
        </is>
      </c>
      <c r="F494" s="12" t="inlineStr">
        <is>
          <t>No individual professional decision recorded; Source assignment -- not individually reviewed</t>
        </is>
      </c>
      <c r="G494" s="12" t="inlineStr">
        <is>
          <t>Not individually decided</t>
        </is>
      </c>
      <c r="H494" s="12" t="inlineStr">
        <is>
          <t xml:space="preserve">APPROVED / ONE_TO_ONE; </t>
        </is>
      </c>
      <c r="I494" s="12" t="inlineStr">
        <is>
          <t>New</t>
        </is>
      </c>
      <c r="J494" s="17" t="inlineStr">
        <is>
          <t>08 CROSSWALK</t>
        </is>
      </c>
    </row>
    <row r="495" ht="49" customHeight="1">
      <c r="A495" s="12" t="inlineStr">
        <is>
          <t>R330-v1</t>
        </is>
      </c>
      <c r="B495" s="12" t="inlineStr">
        <is>
          <t>Contractor Programme / SCH-02-150</t>
        </is>
      </c>
      <c r="C495" s="12" t="inlineStr">
        <is>
          <t>WBS Code = 1.2.2</t>
        </is>
      </c>
      <c r="D495" s="12" t="inlineStr">
        <is>
          <t>Proposed by Source assignment; target 1.2.2 Stations - Architectural Fit-Out</t>
        </is>
      </c>
      <c r="E495" s="12" t="inlineStr">
        <is>
          <t>None recorded</t>
        </is>
      </c>
      <c r="F495" s="12" t="inlineStr">
        <is>
          <t>No individual professional decision recorded; Source assignment -- not individually reviewed</t>
        </is>
      </c>
      <c r="G495" s="12" t="inlineStr">
        <is>
          <t>Not individually decided</t>
        </is>
      </c>
      <c r="H495" s="12" t="inlineStr">
        <is>
          <t xml:space="preserve">APPROVED / ONE_TO_ONE; </t>
        </is>
      </c>
      <c r="I495" s="12" t="inlineStr">
        <is>
          <t>New</t>
        </is>
      </c>
      <c r="J495" s="17" t="inlineStr">
        <is>
          <t>08 CROSSWALK</t>
        </is>
      </c>
    </row>
    <row r="496" ht="49" customHeight="1">
      <c r="A496" s="12" t="inlineStr">
        <is>
          <t>R333-v1</t>
        </is>
      </c>
      <c r="B496" s="12" t="inlineStr">
        <is>
          <t>Contractor Programme / SCH-02-153</t>
        </is>
      </c>
      <c r="C496" s="12" t="inlineStr">
        <is>
          <t>WBS Code = 1.2.2</t>
        </is>
      </c>
      <c r="D496" s="12" t="inlineStr">
        <is>
          <t>Proposed by Source assignment; target 1.2.2 Stations - Architectural Fit-Out</t>
        </is>
      </c>
      <c r="E496" s="12" t="inlineStr">
        <is>
          <t>None recorded</t>
        </is>
      </c>
      <c r="F496" s="12" t="inlineStr">
        <is>
          <t>No individual professional decision recorded; Source assignment -- not individually reviewed</t>
        </is>
      </c>
      <c r="G496" s="12" t="inlineStr">
        <is>
          <t>Not individually decided</t>
        </is>
      </c>
      <c r="H496" s="12" t="inlineStr">
        <is>
          <t xml:space="preserve">APPROVED / ONE_TO_ONE; </t>
        </is>
      </c>
      <c r="I496" s="12" t="inlineStr">
        <is>
          <t>New</t>
        </is>
      </c>
      <c r="J496" s="17" t="inlineStr">
        <is>
          <t>08 CROSSWALK</t>
        </is>
      </c>
    </row>
    <row r="497" ht="49" customHeight="1">
      <c r="A497" s="12" t="inlineStr">
        <is>
          <t>R336-v1</t>
        </is>
      </c>
      <c r="B497" s="12" t="inlineStr">
        <is>
          <t>Contractor Programme / SCH-02-156</t>
        </is>
      </c>
      <c r="C497" s="12" t="inlineStr">
        <is>
          <t>WBS Code = 1.2.2</t>
        </is>
      </c>
      <c r="D497" s="12" t="inlineStr">
        <is>
          <t>Proposed by Source assignment; target 1.2.2 Stations - Architectural Fit-Out</t>
        </is>
      </c>
      <c r="E497" s="12" t="inlineStr">
        <is>
          <t>None recorded</t>
        </is>
      </c>
      <c r="F497" s="12" t="inlineStr">
        <is>
          <t>No individual professional decision recorded; Source assignment -- not individually reviewed</t>
        </is>
      </c>
      <c r="G497" s="12" t="inlineStr">
        <is>
          <t>Not individually decided</t>
        </is>
      </c>
      <c r="H497" s="12" t="inlineStr">
        <is>
          <t xml:space="preserve">APPROVED / ONE_TO_ONE; </t>
        </is>
      </c>
      <c r="I497" s="12" t="inlineStr">
        <is>
          <t>New</t>
        </is>
      </c>
      <c r="J497" s="17" t="inlineStr">
        <is>
          <t>08 CROSSWALK</t>
        </is>
      </c>
    </row>
    <row r="498" ht="49" customHeight="1">
      <c r="A498" s="12" t="inlineStr">
        <is>
          <t>R339-v1</t>
        </is>
      </c>
      <c r="B498" s="12" t="inlineStr">
        <is>
          <t>Contractor Programme / SCH-02-159</t>
        </is>
      </c>
      <c r="C498" s="12" t="inlineStr">
        <is>
          <t>WBS Code = 1.2.2</t>
        </is>
      </c>
      <c r="D498" s="12" t="inlineStr">
        <is>
          <t>Proposed by Source assignment; target 1.2.2 Stations - Architectural Fit-Out</t>
        </is>
      </c>
      <c r="E498" s="12" t="inlineStr">
        <is>
          <t>None recorded</t>
        </is>
      </c>
      <c r="F498" s="12" t="inlineStr">
        <is>
          <t>No individual professional decision recorded; Source assignment -- not individually reviewed</t>
        </is>
      </c>
      <c r="G498" s="12" t="inlineStr">
        <is>
          <t>Not individually decided</t>
        </is>
      </c>
      <c r="H498" s="12" t="inlineStr">
        <is>
          <t xml:space="preserve">APPROVED / ONE_TO_ONE; </t>
        </is>
      </c>
      <c r="I498" s="12" t="inlineStr">
        <is>
          <t>New</t>
        </is>
      </c>
      <c r="J498" s="17" t="inlineStr">
        <is>
          <t>08 CROSSWALK</t>
        </is>
      </c>
    </row>
    <row r="499" ht="49" customHeight="1">
      <c r="A499" s="12" t="inlineStr">
        <is>
          <t>R342-v1</t>
        </is>
      </c>
      <c r="B499" s="12" t="inlineStr">
        <is>
          <t>Contractor Programme / SCH-02-162</t>
        </is>
      </c>
      <c r="C499" s="12" t="inlineStr">
        <is>
          <t>WBS Code = 1.2.2</t>
        </is>
      </c>
      <c r="D499" s="12" t="inlineStr">
        <is>
          <t>Proposed by Source assignment; target 1.2.2 Stations - Architectural Fit-Out</t>
        </is>
      </c>
      <c r="E499" s="12" t="inlineStr">
        <is>
          <t>None recorded</t>
        </is>
      </c>
      <c r="F499" s="12" t="inlineStr">
        <is>
          <t>No individual professional decision recorded; Source assignment -- not individually reviewed</t>
        </is>
      </c>
      <c r="G499" s="12" t="inlineStr">
        <is>
          <t>Not individually decided</t>
        </is>
      </c>
      <c r="H499" s="12" t="inlineStr">
        <is>
          <t xml:space="preserve">APPROVED / ONE_TO_ONE; </t>
        </is>
      </c>
      <c r="I499" s="12" t="inlineStr">
        <is>
          <t>New</t>
        </is>
      </c>
      <c r="J499" s="17" t="inlineStr">
        <is>
          <t>08 CROSSWALK</t>
        </is>
      </c>
    </row>
    <row r="500" ht="49" customHeight="1">
      <c r="A500" s="12" t="inlineStr">
        <is>
          <t>R345-v1</t>
        </is>
      </c>
      <c r="B500" s="12" t="inlineStr">
        <is>
          <t>Contractor Programme / SCH-02-165</t>
        </is>
      </c>
      <c r="C500" s="12" t="inlineStr">
        <is>
          <t>WBS Code = 1.2.2</t>
        </is>
      </c>
      <c r="D500" s="12" t="inlineStr">
        <is>
          <t>Proposed by Source assignment; target 1.2.2 Stations - Architectural Fit-Out</t>
        </is>
      </c>
      <c r="E500" s="12" t="inlineStr">
        <is>
          <t>None recorded</t>
        </is>
      </c>
      <c r="F500" s="12" t="inlineStr">
        <is>
          <t>No individual professional decision recorded; Source assignment -- not individually reviewed</t>
        </is>
      </c>
      <c r="G500" s="12" t="inlineStr">
        <is>
          <t>Not individually decided</t>
        </is>
      </c>
      <c r="H500" s="12" t="inlineStr">
        <is>
          <t xml:space="preserve">APPROVED / ONE_TO_ONE; </t>
        </is>
      </c>
      <c r="I500" s="12" t="inlineStr">
        <is>
          <t>New</t>
        </is>
      </c>
      <c r="J500" s="17" t="inlineStr">
        <is>
          <t>08 CROSSWALK</t>
        </is>
      </c>
    </row>
    <row r="501" ht="49" customHeight="1">
      <c r="A501" s="12" t="inlineStr">
        <is>
          <t>R348-v1</t>
        </is>
      </c>
      <c r="B501" s="12" t="inlineStr">
        <is>
          <t>Contractor Programme / SCH-02-168</t>
        </is>
      </c>
      <c r="C501" s="12" t="inlineStr">
        <is>
          <t>WBS Code = 1.2.2</t>
        </is>
      </c>
      <c r="D501" s="12" t="inlineStr">
        <is>
          <t>Proposed by Source assignment; target 1.2.2 Stations - Architectural Fit-Out</t>
        </is>
      </c>
      <c r="E501" s="12" t="inlineStr">
        <is>
          <t>None recorded</t>
        </is>
      </c>
      <c r="F501" s="12" t="inlineStr">
        <is>
          <t>No individual professional decision recorded; Source assignment -- not individually reviewed</t>
        </is>
      </c>
      <c r="G501" s="12" t="inlineStr">
        <is>
          <t>Not individually decided</t>
        </is>
      </c>
      <c r="H501" s="12" t="inlineStr">
        <is>
          <t xml:space="preserve">APPROVED / ONE_TO_ONE; </t>
        </is>
      </c>
      <c r="I501" s="12" t="inlineStr">
        <is>
          <t>New</t>
        </is>
      </c>
      <c r="J501" s="17" t="inlineStr">
        <is>
          <t>08 CROSSWALK</t>
        </is>
      </c>
    </row>
    <row r="502" ht="49" customHeight="1">
      <c r="A502" s="12" t="inlineStr">
        <is>
          <t>R351-v1</t>
        </is>
      </c>
      <c r="B502" s="12" t="inlineStr">
        <is>
          <t>Contractor Programme / SCH-02-171</t>
        </is>
      </c>
      <c r="C502" s="12" t="inlineStr">
        <is>
          <t>WBS Code = 1.2.2</t>
        </is>
      </c>
      <c r="D502" s="12" t="inlineStr">
        <is>
          <t>Proposed by Source assignment; target 1.2.2 Stations - Architectural Fit-Out</t>
        </is>
      </c>
      <c r="E502" s="12" t="inlineStr">
        <is>
          <t>None recorded</t>
        </is>
      </c>
      <c r="F502" s="12" t="inlineStr">
        <is>
          <t>No individual professional decision recorded; Source assignment -- not individually reviewed</t>
        </is>
      </c>
      <c r="G502" s="12" t="inlineStr">
        <is>
          <t>Not individually decided</t>
        </is>
      </c>
      <c r="H502" s="12" t="inlineStr">
        <is>
          <t xml:space="preserve">APPROVED / ONE_TO_ONE; </t>
        </is>
      </c>
      <c r="I502" s="12" t="inlineStr">
        <is>
          <t>New</t>
        </is>
      </c>
      <c r="J502" s="17" t="inlineStr">
        <is>
          <t>08 CROSSWALK</t>
        </is>
      </c>
    </row>
    <row r="503" ht="49" customHeight="1">
      <c r="A503" s="12" t="inlineStr">
        <is>
          <t>R354-v1</t>
        </is>
      </c>
      <c r="B503" s="12" t="inlineStr">
        <is>
          <t>Contractor Programme / SCH-02-174</t>
        </is>
      </c>
      <c r="C503" s="12" t="inlineStr">
        <is>
          <t>WBS Code = 1.2.2</t>
        </is>
      </c>
      <c r="D503" s="12" t="inlineStr">
        <is>
          <t>Proposed by Source assignment; target 1.2.2 Stations - Architectural Fit-Out</t>
        </is>
      </c>
      <c r="E503" s="12" t="inlineStr">
        <is>
          <t>None recorded</t>
        </is>
      </c>
      <c r="F503" s="12" t="inlineStr">
        <is>
          <t>No individual professional decision recorded; Source assignment -- not individually reviewed</t>
        </is>
      </c>
      <c r="G503" s="12" t="inlineStr">
        <is>
          <t>Not individually decided</t>
        </is>
      </c>
      <c r="H503" s="12" t="inlineStr">
        <is>
          <t xml:space="preserve">APPROVED / ONE_TO_ONE; </t>
        </is>
      </c>
      <c r="I503" s="12" t="inlineStr">
        <is>
          <t>New</t>
        </is>
      </c>
      <c r="J503" s="17" t="inlineStr">
        <is>
          <t>08 CROSSWALK</t>
        </is>
      </c>
    </row>
    <row r="504" ht="49" customHeight="1">
      <c r="A504" s="12" t="inlineStr">
        <is>
          <t>R357-v1</t>
        </is>
      </c>
      <c r="B504" s="12" t="inlineStr">
        <is>
          <t>Contractor Programme / SCH-02-177</t>
        </is>
      </c>
      <c r="C504" s="12" t="inlineStr">
        <is>
          <t>WBS Code = 1.2.2</t>
        </is>
      </c>
      <c r="D504" s="12" t="inlineStr">
        <is>
          <t>Proposed by Source assignment; target 1.2.2 Stations - Architectural Fit-Out</t>
        </is>
      </c>
      <c r="E504" s="12" t="inlineStr">
        <is>
          <t>None recorded</t>
        </is>
      </c>
      <c r="F504" s="12" t="inlineStr">
        <is>
          <t>No individual professional decision recorded; Source assignment -- not individually reviewed</t>
        </is>
      </c>
      <c r="G504" s="12" t="inlineStr">
        <is>
          <t>Not individually decided</t>
        </is>
      </c>
      <c r="H504" s="12" t="inlineStr">
        <is>
          <t xml:space="preserve">APPROVED / ONE_TO_ONE; </t>
        </is>
      </c>
      <c r="I504" s="12" t="inlineStr">
        <is>
          <t>New</t>
        </is>
      </c>
      <c r="J504" s="17" t="inlineStr">
        <is>
          <t>08 CROSSWALK</t>
        </is>
      </c>
    </row>
    <row r="505" ht="49" customHeight="1">
      <c r="A505" s="12" t="inlineStr">
        <is>
          <t>R360-v1</t>
        </is>
      </c>
      <c r="B505" s="12" t="inlineStr">
        <is>
          <t>Contractor Programme / SCH-02-180</t>
        </is>
      </c>
      <c r="C505" s="12" t="inlineStr">
        <is>
          <t>WBS Code = 1.2.2</t>
        </is>
      </c>
      <c r="D505" s="12" t="inlineStr">
        <is>
          <t>Proposed by Source assignment; target 1.2.2 Stations - Architectural Fit-Out</t>
        </is>
      </c>
      <c r="E505" s="12" t="inlineStr">
        <is>
          <t>None recorded</t>
        </is>
      </c>
      <c r="F505" s="12" t="inlineStr">
        <is>
          <t>No individual professional decision recorded; Source assignment -- not individually reviewed</t>
        </is>
      </c>
      <c r="G505" s="12" t="inlineStr">
        <is>
          <t>Not individually decided</t>
        </is>
      </c>
      <c r="H505" s="12" t="inlineStr">
        <is>
          <t xml:space="preserve">APPROVED / ONE_TO_ONE; </t>
        </is>
      </c>
      <c r="I505" s="12" t="inlineStr">
        <is>
          <t>New</t>
        </is>
      </c>
      <c r="J505" s="17" t="inlineStr">
        <is>
          <t>08 CROSSWALK</t>
        </is>
      </c>
    </row>
    <row r="506" ht="49" customHeight="1">
      <c r="A506" s="12" t="inlineStr">
        <is>
          <t>R1164-v1</t>
        </is>
      </c>
      <c r="B506" s="12" t="inlineStr">
        <is>
          <t>Cost &amp; Forecast Control Accounts / CST-02-002</t>
        </is>
      </c>
      <c r="C506" s="12" t="inlineStr">
        <is>
          <t>Cost Account = CA-2002; WBS Code = 1.2.2</t>
        </is>
      </c>
      <c r="D506" s="12" t="inlineStr">
        <is>
          <t>Proposed by Source assignment; target 1.2.2 Stations - Architectural Fit-Out</t>
        </is>
      </c>
      <c r="E506" s="12" t="inlineStr">
        <is>
          <t>None recorded</t>
        </is>
      </c>
      <c r="F506" s="12" t="inlineStr">
        <is>
          <t>No individual professional decision recorded; Source assignment -- not individually reviewed</t>
        </is>
      </c>
      <c r="G506" s="12" t="inlineStr">
        <is>
          <t>Not individually decided</t>
        </is>
      </c>
      <c r="H506" s="12" t="inlineStr">
        <is>
          <t xml:space="preserve">APPROVED / ONE_TO_ONE; </t>
        </is>
      </c>
      <c r="I506" s="12" t="inlineStr">
        <is>
          <t>New</t>
        </is>
      </c>
      <c r="J506" s="17" t="inlineStr">
        <is>
          <t>08 CROSSWALK</t>
        </is>
      </c>
    </row>
    <row r="507" ht="49" customHeight="1">
      <c r="A507" s="12" t="inlineStr">
        <is>
          <t>R1166-v1</t>
        </is>
      </c>
      <c r="B507" s="12" t="inlineStr">
        <is>
          <t>Cost &amp; Forecast Control Accounts / CST-02-004</t>
        </is>
      </c>
      <c r="C507" s="12" t="inlineStr">
        <is>
          <t>Cost Account = CA-2004; WBS Code = 1.2.2</t>
        </is>
      </c>
      <c r="D507" s="12" t="inlineStr">
        <is>
          <t>Proposed by Source assignment; target 1.2.2 Stations - Architectural Fit-Out</t>
        </is>
      </c>
      <c r="E507" s="12" t="inlineStr">
        <is>
          <t>None recorded</t>
        </is>
      </c>
      <c r="F507" s="12" t="inlineStr">
        <is>
          <t>No individual professional decision recorded; Source assignment -- not individually reviewed</t>
        </is>
      </c>
      <c r="G507" s="12" t="inlineStr">
        <is>
          <t>Not individually decided</t>
        </is>
      </c>
      <c r="H507" s="12" t="inlineStr">
        <is>
          <t xml:space="preserve">APPROVED / ONE_TO_ONE; </t>
        </is>
      </c>
      <c r="I507" s="12" t="inlineStr">
        <is>
          <t>New</t>
        </is>
      </c>
      <c r="J507" s="17" t="inlineStr">
        <is>
          <t>08 CROSSWALK</t>
        </is>
      </c>
    </row>
    <row r="508" ht="49" customHeight="1">
      <c r="A508" s="12" t="inlineStr">
        <is>
          <t>R1168-v1</t>
        </is>
      </c>
      <c r="B508" s="12" t="inlineStr">
        <is>
          <t>Cost &amp; Forecast Control Accounts / CST-02-006</t>
        </is>
      </c>
      <c r="C508" s="12" t="inlineStr">
        <is>
          <t>Cost Account = CA-2006; WBS Code = 1.2.2</t>
        </is>
      </c>
      <c r="D508" s="12" t="inlineStr">
        <is>
          <t>Proposed by Source assignment; target 1.2.2 Stations - Architectural Fit-Out</t>
        </is>
      </c>
      <c r="E508" s="12" t="inlineStr">
        <is>
          <t>None recorded</t>
        </is>
      </c>
      <c r="F508" s="12" t="inlineStr">
        <is>
          <t>No individual professional decision recorded; Source assignment -- not individually reviewed</t>
        </is>
      </c>
      <c r="G508" s="12" t="inlineStr">
        <is>
          <t>Not individually decided</t>
        </is>
      </c>
      <c r="H508" s="12" t="inlineStr">
        <is>
          <t xml:space="preserve">APPROVED / ONE_TO_ONE; </t>
        </is>
      </c>
      <c r="I508" s="12" t="inlineStr">
        <is>
          <t>New</t>
        </is>
      </c>
      <c r="J508" s="17" t="inlineStr">
        <is>
          <t>08 CROSSWALK</t>
        </is>
      </c>
    </row>
    <row r="509" ht="49" customHeight="1">
      <c r="A509" s="12" t="inlineStr">
        <is>
          <t>R1170-v1</t>
        </is>
      </c>
      <c r="B509" s="12" t="inlineStr">
        <is>
          <t>Cost &amp; Forecast Control Accounts / CST-02-008</t>
        </is>
      </c>
      <c r="C509" s="12" t="inlineStr">
        <is>
          <t>Cost Account = CA-2008; WBS Code = 1.2.2</t>
        </is>
      </c>
      <c r="D509" s="12" t="inlineStr">
        <is>
          <t>Proposed by Source assignment; target 1.2.2 Stations - Architectural Fit-Out</t>
        </is>
      </c>
      <c r="E509" s="12" t="inlineStr">
        <is>
          <t>None recorded</t>
        </is>
      </c>
      <c r="F509" s="12" t="inlineStr">
        <is>
          <t>No individual professional decision recorded; Source assignment -- not individually reviewed</t>
        </is>
      </c>
      <c r="G509" s="12" t="inlineStr">
        <is>
          <t>Not individually decided</t>
        </is>
      </c>
      <c r="H509" s="12" t="inlineStr">
        <is>
          <t xml:space="preserve">APPROVED / ONE_TO_ONE; </t>
        </is>
      </c>
      <c r="I509" s="12" t="inlineStr">
        <is>
          <t>New</t>
        </is>
      </c>
      <c r="J509" s="17" t="inlineStr">
        <is>
          <t>08 CROSSWALK</t>
        </is>
      </c>
    </row>
    <row r="510" ht="49" customHeight="1">
      <c r="A510" s="12" t="inlineStr">
        <is>
          <t>R1172-v1</t>
        </is>
      </c>
      <c r="B510" s="12" t="inlineStr">
        <is>
          <t>Cost &amp; Forecast Control Accounts / CST-02-010</t>
        </is>
      </c>
      <c r="C510" s="12" t="inlineStr">
        <is>
          <t>Cost Account = CA-2010; WBS Code = 1.2.2</t>
        </is>
      </c>
      <c r="D510" s="12" t="inlineStr">
        <is>
          <t>Proposed by Source assignment; target 1.2.2 Stations - Architectural Fit-Out</t>
        </is>
      </c>
      <c r="E510" s="12" t="inlineStr">
        <is>
          <t>None recorded</t>
        </is>
      </c>
      <c r="F510" s="12" t="inlineStr">
        <is>
          <t>No individual professional decision recorded; Source assignment -- not individually reviewed</t>
        </is>
      </c>
      <c r="G510" s="12" t="inlineStr">
        <is>
          <t>Not individually decided</t>
        </is>
      </c>
      <c r="H510" s="12" t="inlineStr">
        <is>
          <t xml:space="preserve">APPROVED / ONE_TO_ONE; </t>
        </is>
      </c>
      <c r="I510" s="12" t="inlineStr">
        <is>
          <t>New</t>
        </is>
      </c>
      <c r="J510" s="17" t="inlineStr">
        <is>
          <t>08 CROSSWALK</t>
        </is>
      </c>
    </row>
    <row r="511" ht="49" customHeight="1">
      <c r="A511" s="12" t="inlineStr">
        <is>
          <t>R1174-v1</t>
        </is>
      </c>
      <c r="B511" s="12" t="inlineStr">
        <is>
          <t>Cost &amp; Forecast Control Accounts / CST-02-012</t>
        </is>
      </c>
      <c r="C511" s="12" t="inlineStr">
        <is>
          <t>Cost Account = CA-2012; WBS Code = 1.2.2</t>
        </is>
      </c>
      <c r="D511" s="12" t="inlineStr">
        <is>
          <t>Proposed by Source assignment; target 1.2.2 Stations - Architectural Fit-Out</t>
        </is>
      </c>
      <c r="E511" s="12" t="inlineStr">
        <is>
          <t>None recorded</t>
        </is>
      </c>
      <c r="F511" s="12" t="inlineStr">
        <is>
          <t>No individual professional decision recorded; Source assignment -- not individually reviewed</t>
        </is>
      </c>
      <c r="G511" s="12" t="inlineStr">
        <is>
          <t>Not individually decided</t>
        </is>
      </c>
      <c r="H511" s="12" t="inlineStr">
        <is>
          <t xml:space="preserve">APPROVED / ONE_TO_ONE; </t>
        </is>
      </c>
      <c r="I511" s="12" t="inlineStr">
        <is>
          <t>New</t>
        </is>
      </c>
      <c r="J511" s="17" t="inlineStr">
        <is>
          <t>08 CROSSWALK</t>
        </is>
      </c>
    </row>
    <row r="512" ht="49" customHeight="1">
      <c r="A512" s="12" t="inlineStr">
        <is>
          <t>R1176-v1</t>
        </is>
      </c>
      <c r="B512" s="12" t="inlineStr">
        <is>
          <t>Cost &amp; Forecast Control Accounts / CST-02-014</t>
        </is>
      </c>
      <c r="C512" s="12" t="inlineStr">
        <is>
          <t>Cost Account = CA-2014; WBS Code = 1.2.2</t>
        </is>
      </c>
      <c r="D512" s="12" t="inlineStr">
        <is>
          <t>Proposed by Source assignment; target 1.2.2 Stations - Architectural Fit-Out</t>
        </is>
      </c>
      <c r="E512" s="12" t="inlineStr">
        <is>
          <t>None recorded</t>
        </is>
      </c>
      <c r="F512" s="12" t="inlineStr">
        <is>
          <t>No individual professional decision recorded; Source assignment -- not individually reviewed</t>
        </is>
      </c>
      <c r="G512" s="12" t="inlineStr">
        <is>
          <t>Not individually decided</t>
        </is>
      </c>
      <c r="H512" s="12" t="inlineStr">
        <is>
          <t xml:space="preserve">APPROVED / ONE_TO_ONE; </t>
        </is>
      </c>
      <c r="I512" s="12" t="inlineStr">
        <is>
          <t>New</t>
        </is>
      </c>
      <c r="J512" s="17" t="inlineStr">
        <is>
          <t>08 CROSSWALK</t>
        </is>
      </c>
    </row>
    <row r="513" ht="49" customHeight="1">
      <c r="A513" s="12" t="inlineStr">
        <is>
          <t>R1178-v1</t>
        </is>
      </c>
      <c r="B513" s="12" t="inlineStr">
        <is>
          <t>Cost &amp; Forecast Control Accounts / CST-02-016</t>
        </is>
      </c>
      <c r="C513" s="12" t="inlineStr">
        <is>
          <t>Cost Account = CA-2016; WBS Code = 1.2.2</t>
        </is>
      </c>
      <c r="D513" s="12" t="inlineStr">
        <is>
          <t>Proposed by Source assignment; target 1.2.2 Stations - Architectural Fit-Out</t>
        </is>
      </c>
      <c r="E513" s="12" t="inlineStr">
        <is>
          <t>None recorded</t>
        </is>
      </c>
      <c r="F513" s="12" t="inlineStr">
        <is>
          <t>No individual professional decision recorded; Source assignment -- not individually reviewed</t>
        </is>
      </c>
      <c r="G513" s="12" t="inlineStr">
        <is>
          <t>Not individually decided</t>
        </is>
      </c>
      <c r="H513" s="12" t="inlineStr">
        <is>
          <t xml:space="preserve">APPROVED / ONE_TO_ONE; </t>
        </is>
      </c>
      <c r="I513" s="12" t="inlineStr">
        <is>
          <t>New</t>
        </is>
      </c>
      <c r="J513" s="17" t="inlineStr">
        <is>
          <t>08 CROSSWALK</t>
        </is>
      </c>
    </row>
    <row r="514" ht="49" customHeight="1">
      <c r="A514" s="12" t="inlineStr">
        <is>
          <t>R1180-v1</t>
        </is>
      </c>
      <c r="B514" s="12" t="inlineStr">
        <is>
          <t>Cost &amp; Forecast Control Accounts / CST-02-018</t>
        </is>
      </c>
      <c r="C514" s="12" t="inlineStr">
        <is>
          <t>Cost Account = CA-2018; WBS Code = 1.2.2</t>
        </is>
      </c>
      <c r="D514" s="12" t="inlineStr">
        <is>
          <t>Proposed by Source assignment; target 1.2.2 Stations - Architectural Fit-Out</t>
        </is>
      </c>
      <c r="E514" s="12" t="inlineStr">
        <is>
          <t>None recorded</t>
        </is>
      </c>
      <c r="F514" s="12" t="inlineStr">
        <is>
          <t>No individual professional decision recorded; Source assignment -- not individually reviewed</t>
        </is>
      </c>
      <c r="G514" s="12" t="inlineStr">
        <is>
          <t>Not individually decided</t>
        </is>
      </c>
      <c r="H514" s="12" t="inlineStr">
        <is>
          <t xml:space="preserve">APPROVED / ONE_TO_ONE; </t>
        </is>
      </c>
      <c r="I514" s="12" t="inlineStr">
        <is>
          <t>New</t>
        </is>
      </c>
      <c r="J514" s="17" t="inlineStr">
        <is>
          <t>08 CROSSWALK</t>
        </is>
      </c>
    </row>
    <row r="515" ht="49" customHeight="1">
      <c r="A515" s="12" t="inlineStr">
        <is>
          <t>R1182-v1</t>
        </is>
      </c>
      <c r="B515" s="12" t="inlineStr">
        <is>
          <t>Cost &amp; Forecast Control Accounts / CST-02-020</t>
        </is>
      </c>
      <c r="C515" s="12" t="inlineStr">
        <is>
          <t>Cost Account = CA-2020; WBS Code = 1.2.2</t>
        </is>
      </c>
      <c r="D515" s="12" t="inlineStr">
        <is>
          <t>Proposed by Source assignment; target 1.2.2 Stations - Architectural Fit-Out</t>
        </is>
      </c>
      <c r="E515" s="12" t="inlineStr">
        <is>
          <t>None recorded</t>
        </is>
      </c>
      <c r="F515" s="12" t="inlineStr">
        <is>
          <t>No individual professional decision recorded; Source assignment -- not individually reviewed</t>
        </is>
      </c>
      <c r="G515" s="12" t="inlineStr">
        <is>
          <t>Not individually decided</t>
        </is>
      </c>
      <c r="H515" s="12" t="inlineStr">
        <is>
          <t xml:space="preserve">APPROVED / ONE_TO_ONE; </t>
        </is>
      </c>
      <c r="I515" s="12" t="inlineStr">
        <is>
          <t>New</t>
        </is>
      </c>
      <c r="J515" s="17" t="inlineStr">
        <is>
          <t>08 CROSSWALK</t>
        </is>
      </c>
    </row>
    <row r="516" ht="49" customHeight="1">
      <c r="A516" s="12" t="inlineStr">
        <is>
          <t>R1184-v1</t>
        </is>
      </c>
      <c r="B516" s="12" t="inlineStr">
        <is>
          <t>Cost &amp; Forecast Control Accounts / CST-02-022</t>
        </is>
      </c>
      <c r="C516" s="12" t="inlineStr">
        <is>
          <t>Cost Account = CA-2022; WBS Code = 1.2.2</t>
        </is>
      </c>
      <c r="D516" s="12" t="inlineStr">
        <is>
          <t>Proposed by Source assignment; target 1.2.2 Stations - Architectural Fit-Out</t>
        </is>
      </c>
      <c r="E516" s="12" t="inlineStr">
        <is>
          <t>None recorded</t>
        </is>
      </c>
      <c r="F516" s="12" t="inlineStr">
        <is>
          <t>No individual professional decision recorded; Source assignment -- not individually reviewed</t>
        </is>
      </c>
      <c r="G516" s="12" t="inlineStr">
        <is>
          <t>Not individually decided</t>
        </is>
      </c>
      <c r="H516" s="12" t="inlineStr">
        <is>
          <t xml:space="preserve">APPROVED / ONE_TO_ONE; </t>
        </is>
      </c>
      <c r="I516" s="12" t="inlineStr">
        <is>
          <t>New</t>
        </is>
      </c>
      <c r="J516" s="17" t="inlineStr">
        <is>
          <t>08 CROSSWALK</t>
        </is>
      </c>
    </row>
    <row r="517" ht="49" customHeight="1">
      <c r="A517" s="12" t="inlineStr">
        <is>
          <t>R1186-v1</t>
        </is>
      </c>
      <c r="B517" s="12" t="inlineStr">
        <is>
          <t>Cost &amp; Forecast Control Accounts / CST-02-024</t>
        </is>
      </c>
      <c r="C517" s="12" t="inlineStr">
        <is>
          <t>Cost Account = CA-2024; WBS Code = 1.2.2</t>
        </is>
      </c>
      <c r="D517" s="12" t="inlineStr">
        <is>
          <t>Proposed by Source assignment; target 1.2.2 Stations - Architectural Fit-Out</t>
        </is>
      </c>
      <c r="E517" s="12" t="inlineStr">
        <is>
          <t>None recorded</t>
        </is>
      </c>
      <c r="F517" s="12" t="inlineStr">
        <is>
          <t>No individual professional decision recorded; Source assignment -- not individually reviewed</t>
        </is>
      </c>
      <c r="G517" s="12" t="inlineStr">
        <is>
          <t>Not individually decided</t>
        </is>
      </c>
      <c r="H517" s="12" t="inlineStr">
        <is>
          <t xml:space="preserve">APPROVED / ONE_TO_ONE; </t>
        </is>
      </c>
      <c r="I517" s="12" t="inlineStr">
        <is>
          <t>New</t>
        </is>
      </c>
      <c r="J517" s="17" t="inlineStr">
        <is>
          <t>08 CROSSWALK</t>
        </is>
      </c>
    </row>
    <row r="518" ht="49" customHeight="1">
      <c r="A518" s="12" t="inlineStr">
        <is>
          <t>R1188-v1</t>
        </is>
      </c>
      <c r="B518" s="12" t="inlineStr">
        <is>
          <t>Cost &amp; Forecast Control Accounts / CST-02-026</t>
        </is>
      </c>
      <c r="C518" s="12" t="inlineStr">
        <is>
          <t>Cost Account = CA-2026; WBS Code = 1.2.2</t>
        </is>
      </c>
      <c r="D518" s="12" t="inlineStr">
        <is>
          <t>Proposed by Source assignment; target 1.2.2 Stations - Architectural Fit-Out</t>
        </is>
      </c>
      <c r="E518" s="12" t="inlineStr">
        <is>
          <t>None recorded</t>
        </is>
      </c>
      <c r="F518" s="12" t="inlineStr">
        <is>
          <t>No individual professional decision recorded; Source assignment -- not individually reviewed</t>
        </is>
      </c>
      <c r="G518" s="12" t="inlineStr">
        <is>
          <t>Not individually decided</t>
        </is>
      </c>
      <c r="H518" s="12" t="inlineStr">
        <is>
          <t xml:space="preserve">APPROVED / ONE_TO_ONE; </t>
        </is>
      </c>
      <c r="I518" s="12" t="inlineStr">
        <is>
          <t>New</t>
        </is>
      </c>
      <c r="J518" s="17" t="inlineStr">
        <is>
          <t>08 CROSSWALK</t>
        </is>
      </c>
    </row>
    <row r="519" ht="49" customHeight="1">
      <c r="A519" s="12" t="inlineStr">
        <is>
          <t>R1190-v1</t>
        </is>
      </c>
      <c r="B519" s="12" t="inlineStr">
        <is>
          <t>Cost &amp; Forecast Control Accounts / CST-02-028</t>
        </is>
      </c>
      <c r="C519" s="12" t="inlineStr">
        <is>
          <t>Cost Account = CA-2028; WBS Code = 1.2.2</t>
        </is>
      </c>
      <c r="D519" s="12" t="inlineStr">
        <is>
          <t>Proposed by Source assignment; target 1.2.2 Stations - Architectural Fit-Out</t>
        </is>
      </c>
      <c r="E519" s="12" t="inlineStr">
        <is>
          <t>None recorded</t>
        </is>
      </c>
      <c r="F519" s="12" t="inlineStr">
        <is>
          <t>No individual professional decision recorded; Source assignment -- not individually reviewed</t>
        </is>
      </c>
      <c r="G519" s="12" t="inlineStr">
        <is>
          <t>Not individually decided</t>
        </is>
      </c>
      <c r="H519" s="12" t="inlineStr">
        <is>
          <t xml:space="preserve">APPROVED / ONE_TO_ONE; </t>
        </is>
      </c>
      <c r="I519" s="12" t="inlineStr">
        <is>
          <t>New</t>
        </is>
      </c>
      <c r="J519" s="17" t="inlineStr">
        <is>
          <t>08 CROSSWALK</t>
        </is>
      </c>
    </row>
    <row r="520" ht="49" customHeight="1">
      <c r="A520" s="12" t="inlineStr">
        <is>
          <t>R1192-v1</t>
        </is>
      </c>
      <c r="B520" s="12" t="inlineStr">
        <is>
          <t>Cost &amp; Forecast Control Accounts / CST-02-030</t>
        </is>
      </c>
      <c r="C520" s="12" t="inlineStr">
        <is>
          <t>Cost Account = CA-2030; WBS Code = 1.2.2</t>
        </is>
      </c>
      <c r="D520" s="12" t="inlineStr">
        <is>
          <t>Proposed by Source assignment; target 1.2.2 Stations - Architectural Fit-Out</t>
        </is>
      </c>
      <c r="E520" s="12" t="inlineStr">
        <is>
          <t>None recorded</t>
        </is>
      </c>
      <c r="F520" s="12" t="inlineStr">
        <is>
          <t>No individual professional decision recorded; Source assignment -- not individually reviewed</t>
        </is>
      </c>
      <c r="G520" s="12" t="inlineStr">
        <is>
          <t>Not individually decided</t>
        </is>
      </c>
      <c r="H520" s="12" t="inlineStr">
        <is>
          <t xml:space="preserve">APPROVED / ONE_TO_ONE; </t>
        </is>
      </c>
      <c r="I520" s="12" t="inlineStr">
        <is>
          <t>New</t>
        </is>
      </c>
      <c r="J520" s="17" t="inlineStr">
        <is>
          <t>08 CROSSWALK</t>
        </is>
      </c>
    </row>
    <row r="521" ht="49" customHeight="1">
      <c r="A521" s="12" t="inlineStr">
        <is>
          <t>R1194-v1</t>
        </is>
      </c>
      <c r="B521" s="12" t="inlineStr">
        <is>
          <t>Cost &amp; Forecast Control Accounts / CST-02-032</t>
        </is>
      </c>
      <c r="C521" s="12" t="inlineStr">
        <is>
          <t>Cost Account = CA-2032; WBS Code = 1.2.2</t>
        </is>
      </c>
      <c r="D521" s="12" t="inlineStr">
        <is>
          <t>Proposed by Source assignment; target 1.2.2 Stations - Architectural Fit-Out</t>
        </is>
      </c>
      <c r="E521" s="12" t="inlineStr">
        <is>
          <t>None recorded</t>
        </is>
      </c>
      <c r="F521" s="12" t="inlineStr">
        <is>
          <t>No individual professional decision recorded; Source assignment -- not individually reviewed</t>
        </is>
      </c>
      <c r="G521" s="12" t="inlineStr">
        <is>
          <t>Not individually decided</t>
        </is>
      </c>
      <c r="H521" s="12" t="inlineStr">
        <is>
          <t xml:space="preserve">APPROVED / ONE_TO_ONE; </t>
        </is>
      </c>
      <c r="I521" s="12" t="inlineStr">
        <is>
          <t>New</t>
        </is>
      </c>
      <c r="J521" s="17" t="inlineStr">
        <is>
          <t>08 CROSSWALK</t>
        </is>
      </c>
    </row>
    <row r="522" ht="49" customHeight="1">
      <c r="A522" s="12" t="inlineStr">
        <is>
          <t>R1196-v1</t>
        </is>
      </c>
      <c r="B522" s="12" t="inlineStr">
        <is>
          <t>Cost &amp; Forecast Control Accounts / CST-02-034</t>
        </is>
      </c>
      <c r="C522" s="12" t="inlineStr">
        <is>
          <t>Cost Account = CA-2034; WBS Code = 1.2.2</t>
        </is>
      </c>
      <c r="D522" s="12" t="inlineStr">
        <is>
          <t>Proposed by Source assignment; target 1.2.2 Stations - Architectural Fit-Out</t>
        </is>
      </c>
      <c r="E522" s="12" t="inlineStr">
        <is>
          <t>None recorded</t>
        </is>
      </c>
      <c r="F522" s="12" t="inlineStr">
        <is>
          <t>No individual professional decision recorded; Source assignment -- not individually reviewed</t>
        </is>
      </c>
      <c r="G522" s="12" t="inlineStr">
        <is>
          <t>Not individually decided</t>
        </is>
      </c>
      <c r="H522" s="12" t="inlineStr">
        <is>
          <t xml:space="preserve">APPROVED / ONE_TO_ONE; </t>
        </is>
      </c>
      <c r="I522" s="12" t="inlineStr">
        <is>
          <t>New</t>
        </is>
      </c>
      <c r="J522" s="17" t="inlineStr">
        <is>
          <t>08 CROSSWALK</t>
        </is>
      </c>
    </row>
    <row r="523" ht="49" customHeight="1">
      <c r="A523" s="12" t="inlineStr">
        <is>
          <t>R1198-v1</t>
        </is>
      </c>
      <c r="B523" s="12" t="inlineStr">
        <is>
          <t>Cost &amp; Forecast Control Accounts / CST-02-036</t>
        </is>
      </c>
      <c r="C523" s="12" t="inlineStr">
        <is>
          <t>Cost Account = CA-2036; WBS Code = 1.2.2</t>
        </is>
      </c>
      <c r="D523" s="12" t="inlineStr">
        <is>
          <t>Proposed by Source assignment; target 1.2.2 Stations - Architectural Fit-Out</t>
        </is>
      </c>
      <c r="E523" s="12" t="inlineStr">
        <is>
          <t>None recorded</t>
        </is>
      </c>
      <c r="F523" s="12" t="inlineStr">
        <is>
          <t>No individual professional decision recorded; Source assignment -- not individually reviewed</t>
        </is>
      </c>
      <c r="G523" s="12" t="inlineStr">
        <is>
          <t>Not individually decided</t>
        </is>
      </c>
      <c r="H523" s="12" t="inlineStr">
        <is>
          <t xml:space="preserve">APPROVED / ONE_TO_ONE; </t>
        </is>
      </c>
      <c r="I523" s="12" t="inlineStr">
        <is>
          <t>New</t>
        </is>
      </c>
      <c r="J523" s="17" t="inlineStr">
        <is>
          <t>08 CROSSWALK</t>
        </is>
      </c>
    </row>
    <row r="524" ht="49" customHeight="1">
      <c r="A524" s="12" t="inlineStr">
        <is>
          <t>R1200-v1</t>
        </is>
      </c>
      <c r="B524" s="12" t="inlineStr">
        <is>
          <t>Cost &amp; Forecast Control Accounts / CST-02-038</t>
        </is>
      </c>
      <c r="C524" s="12" t="inlineStr">
        <is>
          <t>Cost Account = CA-2038; WBS Code = 1.2.2</t>
        </is>
      </c>
      <c r="D524" s="12" t="inlineStr">
        <is>
          <t>Proposed by Source assignment; target 1.2.2 Stations - Architectural Fit-Out</t>
        </is>
      </c>
      <c r="E524" s="12" t="inlineStr">
        <is>
          <t>None recorded</t>
        </is>
      </c>
      <c r="F524" s="12" t="inlineStr">
        <is>
          <t>No individual professional decision recorded; Source assignment -- not individually reviewed</t>
        </is>
      </c>
      <c r="G524" s="12" t="inlineStr">
        <is>
          <t>Not individually decided</t>
        </is>
      </c>
      <c r="H524" s="12" t="inlineStr">
        <is>
          <t xml:space="preserve">APPROVED / ONE_TO_ONE; </t>
        </is>
      </c>
      <c r="I524" s="12" t="inlineStr">
        <is>
          <t>New</t>
        </is>
      </c>
      <c r="J524" s="17" t="inlineStr">
        <is>
          <t>08 CROSSWALK</t>
        </is>
      </c>
    </row>
    <row r="525" ht="49" customHeight="1">
      <c r="A525" s="12" t="inlineStr">
        <is>
          <t>R1202-v1</t>
        </is>
      </c>
      <c r="B525" s="12" t="inlineStr">
        <is>
          <t>Cost &amp; Forecast Control Accounts / CST-02-040</t>
        </is>
      </c>
      <c r="C525" s="12" t="inlineStr">
        <is>
          <t>Cost Account = CA-2040; WBS Code = 1.2.2</t>
        </is>
      </c>
      <c r="D525" s="12" t="inlineStr">
        <is>
          <t>Proposed by Source assignment; target 1.2.2 Stations - Architectural Fit-Out</t>
        </is>
      </c>
      <c r="E525" s="12" t="inlineStr">
        <is>
          <t>None recorded</t>
        </is>
      </c>
      <c r="F525" s="12" t="inlineStr">
        <is>
          <t>No individual professional decision recorded; Source assignment -- not individually reviewed</t>
        </is>
      </c>
      <c r="G525" s="12" t="inlineStr">
        <is>
          <t>Not individually decided</t>
        </is>
      </c>
      <c r="H525" s="12" t="inlineStr">
        <is>
          <t xml:space="preserve">APPROVED / ONE_TO_ONE; </t>
        </is>
      </c>
      <c r="I525" s="12" t="inlineStr">
        <is>
          <t>New</t>
        </is>
      </c>
      <c r="J525" s="17" t="inlineStr">
        <is>
          <t>08 CROSSWALK</t>
        </is>
      </c>
    </row>
    <row r="526" ht="49" customHeight="1">
      <c r="A526" s="12" t="inlineStr">
        <is>
          <t>R1204-v1</t>
        </is>
      </c>
      <c r="B526" s="12" t="inlineStr">
        <is>
          <t>Cost &amp; Forecast Control Accounts / CST-02-042</t>
        </is>
      </c>
      <c r="C526" s="12" t="inlineStr">
        <is>
          <t>Cost Account = CA-2042; WBS Code = 1.2.2</t>
        </is>
      </c>
      <c r="D526" s="12" t="inlineStr">
        <is>
          <t>Proposed by Source assignment; target 1.2.2 Stations - Architectural Fit-Out</t>
        </is>
      </c>
      <c r="E526" s="12" t="inlineStr">
        <is>
          <t>None recorded</t>
        </is>
      </c>
      <c r="F526" s="12" t="inlineStr">
        <is>
          <t>No individual professional decision recorded; Source assignment -- not individually reviewed</t>
        </is>
      </c>
      <c r="G526" s="12" t="inlineStr">
        <is>
          <t>Not individually decided</t>
        </is>
      </c>
      <c r="H526" s="12" t="inlineStr">
        <is>
          <t xml:space="preserve">APPROVED / ONE_TO_ONE; </t>
        </is>
      </c>
      <c r="I526" s="12" t="inlineStr">
        <is>
          <t>New</t>
        </is>
      </c>
      <c r="J526" s="17" t="inlineStr">
        <is>
          <t>08 CROSSWALK</t>
        </is>
      </c>
    </row>
    <row r="527" ht="49" customHeight="1">
      <c r="A527" s="12" t="inlineStr">
        <is>
          <t>R1206-v1</t>
        </is>
      </c>
      <c r="B527" s="12" t="inlineStr">
        <is>
          <t>Cost &amp; Forecast Control Accounts / CST-02-044</t>
        </is>
      </c>
      <c r="C527" s="12" t="inlineStr">
        <is>
          <t>Cost Account = CA-2044; WBS Code = 1.2.2</t>
        </is>
      </c>
      <c r="D527" s="12" t="inlineStr">
        <is>
          <t>Proposed by Source assignment; target 1.2.2 Stations - Architectural Fit-Out</t>
        </is>
      </c>
      <c r="E527" s="12" t="inlineStr">
        <is>
          <t>None recorded</t>
        </is>
      </c>
      <c r="F527" s="12" t="inlineStr">
        <is>
          <t>No individual professional decision recorded; Source assignment -- not individually reviewed</t>
        </is>
      </c>
      <c r="G527" s="12" t="inlineStr">
        <is>
          <t>Not individually decided</t>
        </is>
      </c>
      <c r="H527" s="12" t="inlineStr">
        <is>
          <t xml:space="preserve">APPROVED / ONE_TO_ONE; </t>
        </is>
      </c>
      <c r="I527" s="12" t="inlineStr">
        <is>
          <t>New</t>
        </is>
      </c>
      <c r="J527" s="17" t="inlineStr">
        <is>
          <t>08 CROSSWALK</t>
        </is>
      </c>
    </row>
    <row r="528" ht="49" customHeight="1">
      <c r="A528" s="12" t="inlineStr">
        <is>
          <t>R1208-v1</t>
        </is>
      </c>
      <c r="B528" s="12" t="inlineStr">
        <is>
          <t>Cost &amp; Forecast Control Accounts / CST-02-046</t>
        </is>
      </c>
      <c r="C528" s="12" t="inlineStr">
        <is>
          <t>Cost Account = CA-2046; WBS Code = 1.2.2</t>
        </is>
      </c>
      <c r="D528" s="12" t="inlineStr">
        <is>
          <t>Proposed by Source assignment; target 1.2.2 Stations - Architectural Fit-Out</t>
        </is>
      </c>
      <c r="E528" s="12" t="inlineStr">
        <is>
          <t>None recorded</t>
        </is>
      </c>
      <c r="F528" s="12" t="inlineStr">
        <is>
          <t>No individual professional decision recorded; Source assignment -- not individually reviewed</t>
        </is>
      </c>
      <c r="G528" s="12" t="inlineStr">
        <is>
          <t>Not individually decided</t>
        </is>
      </c>
      <c r="H528" s="12" t="inlineStr">
        <is>
          <t xml:space="preserve">APPROVED / ONE_TO_ONE; </t>
        </is>
      </c>
      <c r="I528" s="12" t="inlineStr">
        <is>
          <t>New</t>
        </is>
      </c>
      <c r="J528" s="17" t="inlineStr">
        <is>
          <t>08 CROSSWALK</t>
        </is>
      </c>
    </row>
    <row r="529" ht="49" customHeight="1">
      <c r="A529" s="12" t="inlineStr">
        <is>
          <t>R1210-v1</t>
        </is>
      </c>
      <c r="B529" s="12" t="inlineStr">
        <is>
          <t>Cost &amp; Forecast Control Accounts / CST-02-048</t>
        </is>
      </c>
      <c r="C529" s="12" t="inlineStr">
        <is>
          <t>Cost Account = CA-2048; WBS Code = 1.2.2</t>
        </is>
      </c>
      <c r="D529" s="12" t="inlineStr">
        <is>
          <t>Proposed by Source assignment; target 1.2.2 Stations - Architectural Fit-Out</t>
        </is>
      </c>
      <c r="E529" s="12" t="inlineStr">
        <is>
          <t>None recorded</t>
        </is>
      </c>
      <c r="F529" s="12" t="inlineStr">
        <is>
          <t>No individual professional decision recorded; Source assignment -- not individually reviewed</t>
        </is>
      </c>
      <c r="G529" s="12" t="inlineStr">
        <is>
          <t>Not individually decided</t>
        </is>
      </c>
      <c r="H529" s="12" t="inlineStr">
        <is>
          <t xml:space="preserve">APPROVED / ONE_TO_ONE; </t>
        </is>
      </c>
      <c r="I529" s="12" t="inlineStr">
        <is>
          <t>New</t>
        </is>
      </c>
      <c r="J529" s="17" t="inlineStr">
        <is>
          <t>08 CROSSWALK</t>
        </is>
      </c>
    </row>
    <row r="530" ht="49" customHeight="1">
      <c r="A530" s="12" t="inlineStr">
        <is>
          <t>R1212-v1</t>
        </is>
      </c>
      <c r="B530" s="12" t="inlineStr">
        <is>
          <t>Cost &amp; Forecast Control Accounts / CST-02-050</t>
        </is>
      </c>
      <c r="C530" s="12" t="inlineStr">
        <is>
          <t>Cost Account = CA-2050; WBS Code = 1.2.2</t>
        </is>
      </c>
      <c r="D530" s="12" t="inlineStr">
        <is>
          <t>Proposed by Source assignment; target 1.2.2 Stations - Architectural Fit-Out</t>
        </is>
      </c>
      <c r="E530" s="12" t="inlineStr">
        <is>
          <t>None recorded</t>
        </is>
      </c>
      <c r="F530" s="12" t="inlineStr">
        <is>
          <t>No individual professional decision recorded; Source assignment -- not individually reviewed</t>
        </is>
      </c>
      <c r="G530" s="12" t="inlineStr">
        <is>
          <t>Not individually decided</t>
        </is>
      </c>
      <c r="H530" s="12" t="inlineStr">
        <is>
          <t xml:space="preserve">APPROVED / ONE_TO_ONE; </t>
        </is>
      </c>
      <c r="I530" s="12" t="inlineStr">
        <is>
          <t>New</t>
        </is>
      </c>
      <c r="J530" s="17" t="inlineStr">
        <is>
          <t>08 CROSSWALK</t>
        </is>
      </c>
    </row>
    <row r="531" ht="49" customHeight="1">
      <c r="A531" s="12" t="inlineStr">
        <is>
          <t>R1214-v1</t>
        </is>
      </c>
      <c r="B531" s="12" t="inlineStr">
        <is>
          <t>Cost &amp; Forecast Control Accounts / CST-02-052</t>
        </is>
      </c>
      <c r="C531" s="12" t="inlineStr">
        <is>
          <t>Cost Account = CA-2052; WBS Code = 1.2.2</t>
        </is>
      </c>
      <c r="D531" s="12" t="inlineStr">
        <is>
          <t>Proposed by Source assignment; target 1.2.2 Stations - Architectural Fit-Out</t>
        </is>
      </c>
      <c r="E531" s="12" t="inlineStr">
        <is>
          <t>None recorded</t>
        </is>
      </c>
      <c r="F531" s="12" t="inlineStr">
        <is>
          <t>No individual professional decision recorded; Source assignment -- not individually reviewed</t>
        </is>
      </c>
      <c r="G531" s="12" t="inlineStr">
        <is>
          <t>Not individually decided</t>
        </is>
      </c>
      <c r="H531" s="12" t="inlineStr">
        <is>
          <t xml:space="preserve">APPROVED / ONE_TO_ONE; </t>
        </is>
      </c>
      <c r="I531" s="12" t="inlineStr">
        <is>
          <t>New</t>
        </is>
      </c>
      <c r="J531" s="17" t="inlineStr">
        <is>
          <t>08 CROSSWALK</t>
        </is>
      </c>
    </row>
    <row r="532" ht="49" customHeight="1">
      <c r="A532" s="12" t="inlineStr">
        <is>
          <t>R1216-v1</t>
        </is>
      </c>
      <c r="B532" s="12" t="inlineStr">
        <is>
          <t>Cost &amp; Forecast Control Accounts / CST-02-054</t>
        </is>
      </c>
      <c r="C532" s="12" t="inlineStr">
        <is>
          <t>Cost Account = CA-2054; WBS Code = 1.2.2</t>
        </is>
      </c>
      <c r="D532" s="12" t="inlineStr">
        <is>
          <t>Proposed by Source assignment; target 1.2.2 Stations - Architectural Fit-Out</t>
        </is>
      </c>
      <c r="E532" s="12" t="inlineStr">
        <is>
          <t>None recorded</t>
        </is>
      </c>
      <c r="F532" s="12" t="inlineStr">
        <is>
          <t>No individual professional decision recorded; Source assignment -- not individually reviewed</t>
        </is>
      </c>
      <c r="G532" s="12" t="inlineStr">
        <is>
          <t>Not individually decided</t>
        </is>
      </c>
      <c r="H532" s="12" t="inlineStr">
        <is>
          <t xml:space="preserve">APPROVED / ONE_TO_ONE; </t>
        </is>
      </c>
      <c r="I532" s="12" t="inlineStr">
        <is>
          <t>New</t>
        </is>
      </c>
      <c r="J532" s="17" t="inlineStr">
        <is>
          <t>08 CROSSWALK</t>
        </is>
      </c>
    </row>
    <row r="533" ht="49" customHeight="1">
      <c r="A533" s="12" t="inlineStr">
        <is>
          <t>R1218-v1</t>
        </is>
      </c>
      <c r="B533" s="12" t="inlineStr">
        <is>
          <t>Cost &amp; Forecast Control Accounts / CST-02-056</t>
        </is>
      </c>
      <c r="C533" s="12" t="inlineStr">
        <is>
          <t>Cost Account = CA-2056; WBS Code = 1.2.2</t>
        </is>
      </c>
      <c r="D533" s="12" t="inlineStr">
        <is>
          <t>Proposed by Source assignment; target 1.2.2 Stations - Architectural Fit-Out</t>
        </is>
      </c>
      <c r="E533" s="12" t="inlineStr">
        <is>
          <t>None recorded</t>
        </is>
      </c>
      <c r="F533" s="12" t="inlineStr">
        <is>
          <t>No individual professional decision recorded; Source assignment -- not individually reviewed</t>
        </is>
      </c>
      <c r="G533" s="12" t="inlineStr">
        <is>
          <t>Not individually decided</t>
        </is>
      </c>
      <c r="H533" s="12" t="inlineStr">
        <is>
          <t xml:space="preserve">APPROVED / ONE_TO_ONE; </t>
        </is>
      </c>
      <c r="I533" s="12" t="inlineStr">
        <is>
          <t>New</t>
        </is>
      </c>
      <c r="J533" s="17" t="inlineStr">
        <is>
          <t>08 CROSSWALK</t>
        </is>
      </c>
    </row>
    <row r="534" ht="49" customHeight="1">
      <c r="A534" s="12" t="inlineStr">
        <is>
          <t>R1220-v1</t>
        </is>
      </c>
      <c r="B534" s="12" t="inlineStr">
        <is>
          <t>Cost &amp; Forecast Control Accounts / CST-02-058</t>
        </is>
      </c>
      <c r="C534" s="12" t="inlineStr">
        <is>
          <t>Cost Account = CA-2058; WBS Code = 1.2.2</t>
        </is>
      </c>
      <c r="D534" s="12" t="inlineStr">
        <is>
          <t>Proposed by Source assignment; target 1.2.2 Stations - Architectural Fit-Out</t>
        </is>
      </c>
      <c r="E534" s="12" t="inlineStr">
        <is>
          <t>None recorded</t>
        </is>
      </c>
      <c r="F534" s="12" t="inlineStr">
        <is>
          <t>No individual professional decision recorded; Source assignment -- not individually reviewed</t>
        </is>
      </c>
      <c r="G534" s="12" t="inlineStr">
        <is>
          <t>Not individually decided</t>
        </is>
      </c>
      <c r="H534" s="12" t="inlineStr">
        <is>
          <t xml:space="preserve">APPROVED / ONE_TO_ONE; </t>
        </is>
      </c>
      <c r="I534" s="12" t="inlineStr">
        <is>
          <t>New</t>
        </is>
      </c>
      <c r="J534" s="17" t="inlineStr">
        <is>
          <t>08 CROSSWALK</t>
        </is>
      </c>
    </row>
    <row r="535" ht="49" customHeight="1">
      <c r="A535" s="12" t="inlineStr">
        <is>
          <t>R1222-v1</t>
        </is>
      </c>
      <c r="B535" s="12" t="inlineStr">
        <is>
          <t>Cost &amp; Forecast Control Accounts / CST-02-060</t>
        </is>
      </c>
      <c r="C535" s="12" t="inlineStr">
        <is>
          <t>Cost Account = CA-2060; WBS Code = 1.2.2</t>
        </is>
      </c>
      <c r="D535" s="12" t="inlineStr">
        <is>
          <t>Proposed by Source assignment; target 1.2.2 Stations - Architectural Fit-Out</t>
        </is>
      </c>
      <c r="E535" s="12" t="inlineStr">
        <is>
          <t>None recorded</t>
        </is>
      </c>
      <c r="F535" s="12" t="inlineStr">
        <is>
          <t>No individual professional decision recorded; Source assignment -- not individually reviewed</t>
        </is>
      </c>
      <c r="G535" s="12" t="inlineStr">
        <is>
          <t>Not individually decided</t>
        </is>
      </c>
      <c r="H535" s="12" t="inlineStr">
        <is>
          <t xml:space="preserve">APPROVED / ONE_TO_ONE; </t>
        </is>
      </c>
      <c r="I535" s="12" t="inlineStr">
        <is>
          <t>New</t>
        </is>
      </c>
      <c r="J535" s="17" t="inlineStr">
        <is>
          <t>08 CROSSWALK</t>
        </is>
      </c>
    </row>
    <row r="536" ht="49" customHeight="1">
      <c r="A536" s="12" t="inlineStr">
        <is>
          <t>R1224-v1</t>
        </is>
      </c>
      <c r="B536" s="12" t="inlineStr">
        <is>
          <t>Cost &amp; Forecast Control Accounts / CST-02-062</t>
        </is>
      </c>
      <c r="C536" s="12" t="inlineStr">
        <is>
          <t>Cost Account = CA-2062; WBS Code = 1.2.2</t>
        </is>
      </c>
      <c r="D536" s="12" t="inlineStr">
        <is>
          <t>Proposed by Source assignment; target 1.2.2 Stations - Architectural Fit-Out</t>
        </is>
      </c>
      <c r="E536" s="12" t="inlineStr">
        <is>
          <t>None recorded</t>
        </is>
      </c>
      <c r="F536" s="12" t="inlineStr">
        <is>
          <t>No individual professional decision recorded; Source assignment -- not individually reviewed</t>
        </is>
      </c>
      <c r="G536" s="12" t="inlineStr">
        <is>
          <t>Not individually decided</t>
        </is>
      </c>
      <c r="H536" s="12" t="inlineStr">
        <is>
          <t xml:space="preserve">APPROVED / ONE_TO_ONE; </t>
        </is>
      </c>
      <c r="I536" s="12" t="inlineStr">
        <is>
          <t>New</t>
        </is>
      </c>
      <c r="J536" s="17" t="inlineStr">
        <is>
          <t>08 CROSSWALK</t>
        </is>
      </c>
    </row>
    <row r="537" ht="49" customHeight="1">
      <c r="A537" s="12" t="inlineStr">
        <is>
          <t>R1226-v1</t>
        </is>
      </c>
      <c r="B537" s="12" t="inlineStr">
        <is>
          <t>Cost &amp; Forecast Control Accounts / CST-02-064</t>
        </is>
      </c>
      <c r="C537" s="12" t="inlineStr">
        <is>
          <t>Cost Account = CA-2064; WBS Code = 1.2.2</t>
        </is>
      </c>
      <c r="D537" s="12" t="inlineStr">
        <is>
          <t>Proposed by Source assignment; target 1.2.2 Stations - Architectural Fit-Out</t>
        </is>
      </c>
      <c r="E537" s="12" t="inlineStr">
        <is>
          <t>None recorded</t>
        </is>
      </c>
      <c r="F537" s="12" t="inlineStr">
        <is>
          <t>No individual professional decision recorded; Source assignment -- not individually reviewed</t>
        </is>
      </c>
      <c r="G537" s="12" t="inlineStr">
        <is>
          <t>Not individually decided</t>
        </is>
      </c>
      <c r="H537" s="12" t="inlineStr">
        <is>
          <t xml:space="preserve">APPROVED / ONE_TO_ONE; </t>
        </is>
      </c>
      <c r="I537" s="12" t="inlineStr">
        <is>
          <t>New</t>
        </is>
      </c>
      <c r="J537" s="17" t="inlineStr">
        <is>
          <t>08 CROSSWALK</t>
        </is>
      </c>
    </row>
    <row r="538" ht="49" customHeight="1">
      <c r="A538" s="12" t="inlineStr">
        <is>
          <t>R1228-v1</t>
        </is>
      </c>
      <c r="B538" s="12" t="inlineStr">
        <is>
          <t>Cost &amp; Forecast Control Accounts / CST-02-066</t>
        </is>
      </c>
      <c r="C538" s="12" t="inlineStr">
        <is>
          <t>Cost Account = CA-2066; WBS Code = 1.2.2</t>
        </is>
      </c>
      <c r="D538" s="12" t="inlineStr">
        <is>
          <t>Proposed by Source assignment; target 1.2.2 Stations - Architectural Fit-Out</t>
        </is>
      </c>
      <c r="E538" s="12" t="inlineStr">
        <is>
          <t>None recorded</t>
        </is>
      </c>
      <c r="F538" s="12" t="inlineStr">
        <is>
          <t>No individual professional decision recorded; Source assignment -- not individually reviewed</t>
        </is>
      </c>
      <c r="G538" s="12" t="inlineStr">
        <is>
          <t>Not individually decided</t>
        </is>
      </c>
      <c r="H538" s="12" t="inlineStr">
        <is>
          <t xml:space="preserve">APPROVED / ONE_TO_ONE; </t>
        </is>
      </c>
      <c r="I538" s="12" t="inlineStr">
        <is>
          <t>New</t>
        </is>
      </c>
      <c r="J538" s="17" t="inlineStr">
        <is>
          <t>08 CROSSWALK</t>
        </is>
      </c>
    </row>
    <row r="539" ht="49" customHeight="1">
      <c r="A539" s="12" t="inlineStr">
        <is>
          <t>R1230-v1</t>
        </is>
      </c>
      <c r="B539" s="12" t="inlineStr">
        <is>
          <t>Cost &amp; Forecast Control Accounts / CST-02-068</t>
        </is>
      </c>
      <c r="C539" s="12" t="inlineStr">
        <is>
          <t>Cost Account = CA-2068; WBS Code = 1.2.2</t>
        </is>
      </c>
      <c r="D539" s="12" t="inlineStr">
        <is>
          <t>Proposed by Source assignment; target 1.2.2 Stations - Architectural Fit-Out</t>
        </is>
      </c>
      <c r="E539" s="12" t="inlineStr">
        <is>
          <t>None recorded</t>
        </is>
      </c>
      <c r="F539" s="12" t="inlineStr">
        <is>
          <t>No individual professional decision recorded; Source assignment -- not individually reviewed</t>
        </is>
      </c>
      <c r="G539" s="12" t="inlineStr">
        <is>
          <t>Not individually decided</t>
        </is>
      </c>
      <c r="H539" s="12" t="inlineStr">
        <is>
          <t xml:space="preserve">APPROVED / ONE_TO_ONE; </t>
        </is>
      </c>
      <c r="I539" s="12" t="inlineStr">
        <is>
          <t>New</t>
        </is>
      </c>
      <c r="J539" s="17" t="inlineStr">
        <is>
          <t>08 CROSSWALK</t>
        </is>
      </c>
    </row>
    <row r="540" ht="49" customHeight="1">
      <c r="A540" s="12" t="inlineStr">
        <is>
          <t>R1232-v1</t>
        </is>
      </c>
      <c r="B540" s="12" t="inlineStr">
        <is>
          <t>Cost &amp; Forecast Control Accounts / CST-02-070</t>
        </is>
      </c>
      <c r="C540" s="12" t="inlineStr">
        <is>
          <t>Cost Account = CA-2070; WBS Code = 1.2.2</t>
        </is>
      </c>
      <c r="D540" s="12" t="inlineStr">
        <is>
          <t>Proposed by Source assignment; target 1.2.2 Stations - Architectural Fit-Out</t>
        </is>
      </c>
      <c r="E540" s="12" t="inlineStr">
        <is>
          <t>None recorded</t>
        </is>
      </c>
      <c r="F540" s="12" t="inlineStr">
        <is>
          <t>No individual professional decision recorded; Source assignment -- not individually reviewed</t>
        </is>
      </c>
      <c r="G540" s="12" t="inlineStr">
        <is>
          <t>Not individually decided</t>
        </is>
      </c>
      <c r="H540" s="12" t="inlineStr">
        <is>
          <t xml:space="preserve">APPROVED / ONE_TO_ONE; </t>
        </is>
      </c>
      <c r="I540" s="12" t="inlineStr">
        <is>
          <t>New</t>
        </is>
      </c>
      <c r="J540" s="17" t="inlineStr">
        <is>
          <t>08 CROSSWALK</t>
        </is>
      </c>
    </row>
    <row r="541" ht="49" customHeight="1">
      <c r="A541" s="12" t="inlineStr">
        <is>
          <t>R1234-v1</t>
        </is>
      </c>
      <c r="B541" s="12" t="inlineStr">
        <is>
          <t>Cost &amp; Forecast Control Accounts / CST-02-072</t>
        </is>
      </c>
      <c r="C541" s="12" t="inlineStr">
        <is>
          <t>Cost Account = CA-2072; WBS Code = 1.2.2</t>
        </is>
      </c>
      <c r="D541" s="12" t="inlineStr">
        <is>
          <t>Proposed by Source assignment; target 1.2.2 Stations - Architectural Fit-Out</t>
        </is>
      </c>
      <c r="E541" s="12" t="inlineStr">
        <is>
          <t>None recorded</t>
        </is>
      </c>
      <c r="F541" s="12" t="inlineStr">
        <is>
          <t>No individual professional decision recorded; Source assignment -- not individually reviewed</t>
        </is>
      </c>
      <c r="G541" s="12" t="inlineStr">
        <is>
          <t>Not individually decided</t>
        </is>
      </c>
      <c r="H541" s="12" t="inlineStr">
        <is>
          <t xml:space="preserve">APPROVED / ONE_TO_ONE; </t>
        </is>
      </c>
      <c r="I541" s="12" t="inlineStr">
        <is>
          <t>New</t>
        </is>
      </c>
      <c r="J541" s="17" t="inlineStr">
        <is>
          <t>08 CROSSWALK</t>
        </is>
      </c>
    </row>
    <row r="542" ht="49" customHeight="1">
      <c r="A542" s="12" t="inlineStr">
        <is>
          <t>R1236-v1</t>
        </is>
      </c>
      <c r="B542" s="12" t="inlineStr">
        <is>
          <t>Cost &amp; Forecast Control Accounts / CST-02-074</t>
        </is>
      </c>
      <c r="C542" s="12" t="inlineStr">
        <is>
          <t>Cost Account = CA-2074; WBS Code = 1.2.2</t>
        </is>
      </c>
      <c r="D542" s="12" t="inlineStr">
        <is>
          <t>Proposed by Source assignment; target 1.2.2 Stations - Architectural Fit-Out</t>
        </is>
      </c>
      <c r="E542" s="12" t="inlineStr">
        <is>
          <t>None recorded</t>
        </is>
      </c>
      <c r="F542" s="12" t="inlineStr">
        <is>
          <t>No individual professional decision recorded; Source assignment -- not individually reviewed</t>
        </is>
      </c>
      <c r="G542" s="12" t="inlineStr">
        <is>
          <t>Not individually decided</t>
        </is>
      </c>
      <c r="H542" s="12" t="inlineStr">
        <is>
          <t xml:space="preserve">APPROVED / ONE_TO_ONE; </t>
        </is>
      </c>
      <c r="I542" s="12" t="inlineStr">
        <is>
          <t>New</t>
        </is>
      </c>
      <c r="J542" s="17" t="inlineStr">
        <is>
          <t>08 CROSSWALK</t>
        </is>
      </c>
    </row>
    <row r="543" ht="49" customHeight="1">
      <c r="A543" s="12" t="inlineStr">
        <is>
          <t>R1238-v1</t>
        </is>
      </c>
      <c r="B543" s="12" t="inlineStr">
        <is>
          <t>Cost &amp; Forecast Control Accounts / CST-02-076</t>
        </is>
      </c>
      <c r="C543" s="12" t="inlineStr">
        <is>
          <t>Cost Account = CA-2076; WBS Code = 1.2.2</t>
        </is>
      </c>
      <c r="D543" s="12" t="inlineStr">
        <is>
          <t>Proposed by Source assignment; target 1.2.2 Stations - Architectural Fit-Out</t>
        </is>
      </c>
      <c r="E543" s="12" t="inlineStr">
        <is>
          <t>None recorded</t>
        </is>
      </c>
      <c r="F543" s="12" t="inlineStr">
        <is>
          <t>No individual professional decision recorded; Source assignment -- not individually reviewed</t>
        </is>
      </c>
      <c r="G543" s="12" t="inlineStr">
        <is>
          <t>Not individually decided</t>
        </is>
      </c>
      <c r="H543" s="12" t="inlineStr">
        <is>
          <t xml:space="preserve">APPROVED / ONE_TO_ONE; </t>
        </is>
      </c>
      <c r="I543" s="12" t="inlineStr">
        <is>
          <t>New</t>
        </is>
      </c>
      <c r="J543" s="17" t="inlineStr">
        <is>
          <t>08 CROSSWALK</t>
        </is>
      </c>
    </row>
    <row r="544" ht="49" customHeight="1">
      <c r="A544" s="12" t="inlineStr">
        <is>
          <t>R1240-v1</t>
        </is>
      </c>
      <c r="B544" s="12" t="inlineStr">
        <is>
          <t>Cost &amp; Forecast Control Accounts / CST-02-078</t>
        </is>
      </c>
      <c r="C544" s="12" t="inlineStr">
        <is>
          <t>Cost Account = CA-2078; WBS Code = 1.2.2</t>
        </is>
      </c>
      <c r="D544" s="12" t="inlineStr">
        <is>
          <t>Proposed by Source assignment; target 1.2.2 Stations - Architectural Fit-Out</t>
        </is>
      </c>
      <c r="E544" s="12" t="inlineStr">
        <is>
          <t>None recorded</t>
        </is>
      </c>
      <c r="F544" s="12" t="inlineStr">
        <is>
          <t>No individual professional decision recorded; Source assignment -- not individually reviewed</t>
        </is>
      </c>
      <c r="G544" s="12" t="inlineStr">
        <is>
          <t>Not individually decided</t>
        </is>
      </c>
      <c r="H544" s="12" t="inlineStr">
        <is>
          <t xml:space="preserve">APPROVED / ONE_TO_ONE; </t>
        </is>
      </c>
      <c r="I544" s="12" t="inlineStr">
        <is>
          <t>New</t>
        </is>
      </c>
      <c r="J544" s="17" t="inlineStr">
        <is>
          <t>08 CROSSWALK</t>
        </is>
      </c>
    </row>
    <row r="545" ht="49" customHeight="1">
      <c r="A545" s="12" t="inlineStr">
        <is>
          <t>R1242-v1</t>
        </is>
      </c>
      <c r="B545" s="12" t="inlineStr">
        <is>
          <t>Cost &amp; Forecast Control Accounts / CST-02-080</t>
        </is>
      </c>
      <c r="C545" s="12" t="inlineStr">
        <is>
          <t>Cost Account = CA-2080; WBS Code = 1.2.2</t>
        </is>
      </c>
      <c r="D545" s="12" t="inlineStr">
        <is>
          <t>Proposed by Source assignment; target 1.2.2 Stations - Architectural Fit-Out</t>
        </is>
      </c>
      <c r="E545" s="12" t="inlineStr">
        <is>
          <t>None recorded</t>
        </is>
      </c>
      <c r="F545" s="12" t="inlineStr">
        <is>
          <t>No individual professional decision recorded; Source assignment -- not individually reviewed</t>
        </is>
      </c>
      <c r="G545" s="12" t="inlineStr">
        <is>
          <t>Not individually decided</t>
        </is>
      </c>
      <c r="H545" s="12" t="inlineStr">
        <is>
          <t xml:space="preserve">APPROVED / ONE_TO_ONE; </t>
        </is>
      </c>
      <c r="I545" s="12" t="inlineStr">
        <is>
          <t>New</t>
        </is>
      </c>
      <c r="J545" s="17" t="inlineStr">
        <is>
          <t>08 CROSSWALK</t>
        </is>
      </c>
    </row>
    <row r="546" ht="49" customHeight="1">
      <c r="A546" s="12" t="inlineStr">
        <is>
          <t>R1583-v1</t>
        </is>
      </c>
      <c r="B546" s="12" t="inlineStr">
        <is>
          <t>Commercial Package Register / PKG-021</t>
        </is>
      </c>
      <c r="C546" s="12" t="inlineStr">
        <is>
          <t>Package Code = PK-301; WBS Code = 1.3</t>
        </is>
      </c>
      <c r="D546" s="12" t="inlineStr">
        <is>
          <t>Proposed by Source assignment; target 1.3 Systems</t>
        </is>
      </c>
      <c r="E546" s="12" t="inlineStr">
        <is>
          <t>None recorded</t>
        </is>
      </c>
      <c r="F546" s="12" t="inlineStr">
        <is>
          <t>No individual professional decision recorded; Source assignment -- not individually reviewed</t>
        </is>
      </c>
      <c r="G546" s="12" t="inlineStr">
        <is>
          <t>Not individually decided</t>
        </is>
      </c>
      <c r="H546" s="12" t="inlineStr">
        <is>
          <t xml:space="preserve">APPROVED / ONE_TO_ONE; </t>
        </is>
      </c>
      <c r="I546" s="12" t="inlineStr">
        <is>
          <t>New</t>
        </is>
      </c>
      <c r="J546" s="17" t="inlineStr">
        <is>
          <t>08 CROSSWALK</t>
        </is>
      </c>
    </row>
    <row r="547" ht="49" customHeight="1">
      <c r="A547" s="12" t="inlineStr">
        <is>
          <t>R1584-v1</t>
        </is>
      </c>
      <c r="B547" s="12" t="inlineStr">
        <is>
          <t>Commercial Package Register / PKG-022</t>
        </is>
      </c>
      <c r="C547" s="12" t="inlineStr">
        <is>
          <t>Package Code = PK-302; WBS Code = 1.3</t>
        </is>
      </c>
      <c r="D547" s="12" t="inlineStr">
        <is>
          <t>Proposed by Source assignment; target 1.3 Systems</t>
        </is>
      </c>
      <c r="E547" s="12" t="inlineStr">
        <is>
          <t>None recorded</t>
        </is>
      </c>
      <c r="F547" s="12" t="inlineStr">
        <is>
          <t>No individual professional decision recorded; Source assignment -- not individually reviewed</t>
        </is>
      </c>
      <c r="G547" s="12" t="inlineStr">
        <is>
          <t>Not individually decided</t>
        </is>
      </c>
      <c r="H547" s="12" t="inlineStr">
        <is>
          <t xml:space="preserve">APPROVED / ONE_TO_ONE; </t>
        </is>
      </c>
      <c r="I547" s="12" t="inlineStr">
        <is>
          <t>New</t>
        </is>
      </c>
      <c r="J547" s="17" t="inlineStr">
        <is>
          <t>08 CROSSWALK</t>
        </is>
      </c>
    </row>
    <row r="548" ht="49" customHeight="1">
      <c r="A548" s="12" t="inlineStr">
        <is>
          <t>R1585-v1</t>
        </is>
      </c>
      <c r="B548" s="12" t="inlineStr">
        <is>
          <t>Commercial Package Register / PKG-023</t>
        </is>
      </c>
      <c r="C548" s="12" t="inlineStr">
        <is>
          <t>Package Code = PK-303; WBS Code = 1.3</t>
        </is>
      </c>
      <c r="D548" s="12" t="inlineStr">
        <is>
          <t>Proposed by Source assignment; target 1.3 Systems</t>
        </is>
      </c>
      <c r="E548" s="12" t="inlineStr">
        <is>
          <t>None recorded</t>
        </is>
      </c>
      <c r="F548" s="12" t="inlineStr">
        <is>
          <t>No individual professional decision recorded; Source assignment -- not individually reviewed</t>
        </is>
      </c>
      <c r="G548" s="12" t="inlineStr">
        <is>
          <t>Not individually decided</t>
        </is>
      </c>
      <c r="H548" s="12" t="inlineStr">
        <is>
          <t xml:space="preserve">APPROVED / ONE_TO_ONE; </t>
        </is>
      </c>
      <c r="I548" s="12" t="inlineStr">
        <is>
          <t>New</t>
        </is>
      </c>
      <c r="J548" s="17" t="inlineStr">
        <is>
          <t>08 CROSSWALK</t>
        </is>
      </c>
    </row>
    <row r="549" ht="49" customHeight="1">
      <c r="A549" s="12" t="inlineStr">
        <is>
          <t>R1586-v1</t>
        </is>
      </c>
      <c r="B549" s="12" t="inlineStr">
        <is>
          <t>Commercial Package Register / PKG-024</t>
        </is>
      </c>
      <c r="C549" s="12" t="inlineStr">
        <is>
          <t>Package Code = PK-304; WBS Code = 1.3</t>
        </is>
      </c>
      <c r="D549" s="12" t="inlineStr">
        <is>
          <t>Proposed by Source assignment; target 1.3 Systems</t>
        </is>
      </c>
      <c r="E549" s="12" t="inlineStr">
        <is>
          <t>None recorded</t>
        </is>
      </c>
      <c r="F549" s="12" t="inlineStr">
        <is>
          <t>No individual professional decision recorded; Source assignment -- not individually reviewed</t>
        </is>
      </c>
      <c r="G549" s="12" t="inlineStr">
        <is>
          <t>Not individually decided</t>
        </is>
      </c>
      <c r="H549" s="12" t="inlineStr">
        <is>
          <t xml:space="preserve">APPROVED / ONE_TO_ONE; </t>
        </is>
      </c>
      <c r="I549" s="12" t="inlineStr">
        <is>
          <t>New</t>
        </is>
      </c>
      <c r="J549" s="17" t="inlineStr">
        <is>
          <t>08 CROSSWALK</t>
        </is>
      </c>
    </row>
    <row r="550" ht="49" customHeight="1">
      <c r="A550" s="12" t="inlineStr">
        <is>
          <t>R1587-v1</t>
        </is>
      </c>
      <c r="B550" s="12" t="inlineStr">
        <is>
          <t>Commercial Package Register / PKG-025</t>
        </is>
      </c>
      <c r="C550" s="12" t="inlineStr">
        <is>
          <t>Package Code = PK-305; WBS Code = 1.3</t>
        </is>
      </c>
      <c r="D550" s="12" t="inlineStr">
        <is>
          <t>Proposed by Source assignment; target 1.3 Systems</t>
        </is>
      </c>
      <c r="E550" s="12" t="inlineStr">
        <is>
          <t>None recorded</t>
        </is>
      </c>
      <c r="F550" s="12" t="inlineStr">
        <is>
          <t>No individual professional decision recorded; Source assignment -- not individually reviewed</t>
        </is>
      </c>
      <c r="G550" s="12" t="inlineStr">
        <is>
          <t>Not individually decided</t>
        </is>
      </c>
      <c r="H550" s="12" t="inlineStr">
        <is>
          <t xml:space="preserve">APPROVED / ONE_TO_ONE; </t>
        </is>
      </c>
      <c r="I550" s="12" t="inlineStr">
        <is>
          <t>New</t>
        </is>
      </c>
      <c r="J550" s="17" t="inlineStr">
        <is>
          <t>08 CROSSWALK</t>
        </is>
      </c>
    </row>
    <row r="551" ht="49" customHeight="1">
      <c r="A551" s="12" t="inlineStr">
        <is>
          <t>R1588-v1</t>
        </is>
      </c>
      <c r="B551" s="12" t="inlineStr">
        <is>
          <t>Commercial Package Register / PKG-026</t>
        </is>
      </c>
      <c r="C551" s="12" t="inlineStr">
        <is>
          <t>Package Code = PK-306; WBS Code = 1.3</t>
        </is>
      </c>
      <c r="D551" s="12" t="inlineStr">
        <is>
          <t>Proposed by Source assignment; target 1.3 Systems</t>
        </is>
      </c>
      <c r="E551" s="12" t="inlineStr">
        <is>
          <t>None recorded</t>
        </is>
      </c>
      <c r="F551" s="12" t="inlineStr">
        <is>
          <t>No individual professional decision recorded; Source assignment -- not individually reviewed</t>
        </is>
      </c>
      <c r="G551" s="12" t="inlineStr">
        <is>
          <t>Not individually decided</t>
        </is>
      </c>
      <c r="H551" s="12" t="inlineStr">
        <is>
          <t xml:space="preserve">APPROVED / ONE_TO_ONE; </t>
        </is>
      </c>
      <c r="I551" s="12" t="inlineStr">
        <is>
          <t>New</t>
        </is>
      </c>
      <c r="J551" s="17" t="inlineStr">
        <is>
          <t>08 CROSSWALK</t>
        </is>
      </c>
    </row>
    <row r="552" ht="49" customHeight="1">
      <c r="A552" s="12" t="inlineStr">
        <is>
          <t>R1589-v1</t>
        </is>
      </c>
      <c r="B552" s="12" t="inlineStr">
        <is>
          <t>Commercial Package Register / PKG-027</t>
        </is>
      </c>
      <c r="C552" s="12" t="inlineStr">
        <is>
          <t>Package Code = PK-307; WBS Code = 1.3</t>
        </is>
      </c>
      <c r="D552" s="12" t="inlineStr">
        <is>
          <t>Proposed by Source assignment; target 1.3 Systems</t>
        </is>
      </c>
      <c r="E552" s="12" t="inlineStr">
        <is>
          <t>None recorded</t>
        </is>
      </c>
      <c r="F552" s="12" t="inlineStr">
        <is>
          <t>No individual professional decision recorded; Source assignment -- not individually reviewed</t>
        </is>
      </c>
      <c r="G552" s="12" t="inlineStr">
        <is>
          <t>Not individually decided</t>
        </is>
      </c>
      <c r="H552" s="12" t="inlineStr">
        <is>
          <t xml:space="preserve">APPROVED / ONE_TO_ONE; </t>
        </is>
      </c>
      <c r="I552" s="12" t="inlineStr">
        <is>
          <t>New</t>
        </is>
      </c>
      <c r="J552" s="17" t="inlineStr">
        <is>
          <t>08 CROSSWALK</t>
        </is>
      </c>
    </row>
    <row r="553" ht="49" customHeight="1">
      <c r="A553" s="12" t="inlineStr">
        <is>
          <t>R1590-v1</t>
        </is>
      </c>
      <c r="B553" s="12" t="inlineStr">
        <is>
          <t>Commercial Package Register / PKG-028</t>
        </is>
      </c>
      <c r="C553" s="12" t="inlineStr">
        <is>
          <t>Package Code = PK-308; WBS Code = 1.3</t>
        </is>
      </c>
      <c r="D553" s="12" t="inlineStr">
        <is>
          <t>Proposed by Source assignment; target 1.3 Systems</t>
        </is>
      </c>
      <c r="E553" s="12" t="inlineStr">
        <is>
          <t>None recorded</t>
        </is>
      </c>
      <c r="F553" s="12" t="inlineStr">
        <is>
          <t>No individual professional decision recorded; Source assignment -- not individually reviewed</t>
        </is>
      </c>
      <c r="G553" s="12" t="inlineStr">
        <is>
          <t>Not individually decided</t>
        </is>
      </c>
      <c r="H553" s="12" t="inlineStr">
        <is>
          <t xml:space="preserve">APPROVED / ONE_TO_ONE; </t>
        </is>
      </c>
      <c r="I553" s="12" t="inlineStr">
        <is>
          <t>New</t>
        </is>
      </c>
      <c r="J553" s="17" t="inlineStr">
        <is>
          <t>08 CROSSWALK</t>
        </is>
      </c>
    </row>
    <row r="554" ht="49" customHeight="1">
      <c r="A554" s="12" t="inlineStr">
        <is>
          <t>R1591-v1</t>
        </is>
      </c>
      <c r="B554" s="12" t="inlineStr">
        <is>
          <t>Commercial Package Register / PKG-029</t>
        </is>
      </c>
      <c r="C554" s="12" t="inlineStr">
        <is>
          <t>Package Code = PK-309; WBS Code = 1.3</t>
        </is>
      </c>
      <c r="D554" s="12" t="inlineStr">
        <is>
          <t>Proposed by Source assignment; target 1.3 Systems</t>
        </is>
      </c>
      <c r="E554" s="12" t="inlineStr">
        <is>
          <t>None recorded</t>
        </is>
      </c>
      <c r="F554" s="12" t="inlineStr">
        <is>
          <t>No individual professional decision recorded; Source assignment -- not individually reviewed</t>
        </is>
      </c>
      <c r="G554" s="12" t="inlineStr">
        <is>
          <t>Not individually decided</t>
        </is>
      </c>
      <c r="H554" s="12" t="inlineStr">
        <is>
          <t xml:space="preserve">APPROVED / ONE_TO_ONE; </t>
        </is>
      </c>
      <c r="I554" s="12" t="inlineStr">
        <is>
          <t>New</t>
        </is>
      </c>
      <c r="J554" s="17" t="inlineStr">
        <is>
          <t>08 CROSSWALK</t>
        </is>
      </c>
    </row>
    <row r="555" ht="49" customHeight="1">
      <c r="A555" s="12" t="inlineStr">
        <is>
          <t>R1592-v1</t>
        </is>
      </c>
      <c r="B555" s="12" t="inlineStr">
        <is>
          <t>Commercial Package Register / PKG-030</t>
        </is>
      </c>
      <c r="C555" s="12" t="inlineStr">
        <is>
          <t>Package Code = PK-310; WBS Code = 1.3</t>
        </is>
      </c>
      <c r="D555" s="12" t="inlineStr">
        <is>
          <t>Proposed by Source assignment; target 1.3 Systems</t>
        </is>
      </c>
      <c r="E555" s="12" t="inlineStr">
        <is>
          <t>None recorded</t>
        </is>
      </c>
      <c r="F555" s="12" t="inlineStr">
        <is>
          <t>No individual professional decision recorded; Source assignment -- not individually reviewed</t>
        </is>
      </c>
      <c r="G555" s="12" t="inlineStr">
        <is>
          <t>Not individually decided</t>
        </is>
      </c>
      <c r="H555" s="12" t="inlineStr">
        <is>
          <t xml:space="preserve">APPROVED / ONE_TO_ONE; </t>
        </is>
      </c>
      <c r="I555" s="12" t="inlineStr">
        <is>
          <t>New</t>
        </is>
      </c>
      <c r="J555" s="17" t="inlineStr">
        <is>
          <t>08 CROSSWALK</t>
        </is>
      </c>
    </row>
    <row r="556" ht="49" customHeight="1">
      <c r="A556" s="12" t="inlineStr">
        <is>
          <t>R361-v1</t>
        </is>
      </c>
      <c r="B556" s="12" t="inlineStr">
        <is>
          <t>Contractor Programme / SCH-03-001</t>
        </is>
      </c>
      <c r="C556" s="12" t="inlineStr">
        <is>
          <t>WBS Code = 1.3.1</t>
        </is>
      </c>
      <c r="D556" s="12" t="inlineStr">
        <is>
          <t>Proposed by Source assignment; target 1.3.1 Systems - Traction Power</t>
        </is>
      </c>
      <c r="E556" s="12" t="inlineStr">
        <is>
          <t>None recorded</t>
        </is>
      </c>
      <c r="F556" s="12" t="inlineStr">
        <is>
          <t>No individual professional decision recorded; Source assignment -- not individually reviewed</t>
        </is>
      </c>
      <c r="G556" s="12" t="inlineStr">
        <is>
          <t>Not individually decided</t>
        </is>
      </c>
      <c r="H556" s="12" t="inlineStr">
        <is>
          <t xml:space="preserve">APPROVED / ONE_TO_ONE; </t>
        </is>
      </c>
      <c r="I556" s="12" t="inlineStr">
        <is>
          <t>New</t>
        </is>
      </c>
      <c r="J556" s="17" t="inlineStr">
        <is>
          <t>08 CROSSWALK</t>
        </is>
      </c>
    </row>
    <row r="557" ht="49" customHeight="1">
      <c r="A557" s="12" t="inlineStr">
        <is>
          <t>R362-v1</t>
        </is>
      </c>
      <c r="B557" s="12" t="inlineStr">
        <is>
          <t>Contractor Programme / SCH-03-002</t>
        </is>
      </c>
      <c r="C557" s="12" t="inlineStr">
        <is>
          <t>WBS Code = 1.3.1</t>
        </is>
      </c>
      <c r="D557" s="12" t="inlineStr">
        <is>
          <t>Proposed by Source assignment; target 1.3.1 Systems - Traction Power</t>
        </is>
      </c>
      <c r="E557" s="12" t="inlineStr">
        <is>
          <t>None recorded</t>
        </is>
      </c>
      <c r="F557" s="12" t="inlineStr">
        <is>
          <t>No individual professional decision recorded; Source assignment -- not individually reviewed</t>
        </is>
      </c>
      <c r="G557" s="12" t="inlineStr">
        <is>
          <t>Not individually decided</t>
        </is>
      </c>
      <c r="H557" s="12" t="inlineStr">
        <is>
          <t xml:space="preserve">APPROVED / ONE_TO_ONE; </t>
        </is>
      </c>
      <c r="I557" s="12" t="inlineStr">
        <is>
          <t>New</t>
        </is>
      </c>
      <c r="J557" s="17" t="inlineStr">
        <is>
          <t>08 CROSSWALK</t>
        </is>
      </c>
    </row>
    <row r="558" ht="49" customHeight="1">
      <c r="A558" s="12" t="inlineStr">
        <is>
          <t>R364-v1</t>
        </is>
      </c>
      <c r="B558" s="12" t="inlineStr">
        <is>
          <t>Contractor Programme / SCH-03-004</t>
        </is>
      </c>
      <c r="C558" s="12" t="inlineStr">
        <is>
          <t>WBS Code = 1.3.1</t>
        </is>
      </c>
      <c r="D558" s="12" t="inlineStr">
        <is>
          <t>Proposed by Source assignment; target 1.3.1 Systems - Traction Power</t>
        </is>
      </c>
      <c r="E558" s="12" t="inlineStr">
        <is>
          <t>None recorded</t>
        </is>
      </c>
      <c r="F558" s="12" t="inlineStr">
        <is>
          <t>No individual professional decision recorded; Source assignment -- not individually reviewed</t>
        </is>
      </c>
      <c r="G558" s="12" t="inlineStr">
        <is>
          <t>Not individually decided</t>
        </is>
      </c>
      <c r="H558" s="12" t="inlineStr">
        <is>
          <t xml:space="preserve">APPROVED / ONE_TO_ONE; </t>
        </is>
      </c>
      <c r="I558" s="12" t="inlineStr">
        <is>
          <t>New</t>
        </is>
      </c>
      <c r="J558" s="17" t="inlineStr">
        <is>
          <t>08 CROSSWALK</t>
        </is>
      </c>
    </row>
    <row r="559" ht="49" customHeight="1">
      <c r="A559" s="12" t="inlineStr">
        <is>
          <t>R365-v1</t>
        </is>
      </c>
      <c r="B559" s="12" t="inlineStr">
        <is>
          <t>Contractor Programme / SCH-03-005</t>
        </is>
      </c>
      <c r="C559" s="12" t="inlineStr">
        <is>
          <t>WBS Code = 1.3.1</t>
        </is>
      </c>
      <c r="D559" s="12" t="inlineStr">
        <is>
          <t>Proposed by Source assignment; target 1.3.1 Systems - Traction Power</t>
        </is>
      </c>
      <c r="E559" s="12" t="inlineStr">
        <is>
          <t>None recorded</t>
        </is>
      </c>
      <c r="F559" s="12" t="inlineStr">
        <is>
          <t>No individual professional decision recorded; Source assignment -- not individually reviewed</t>
        </is>
      </c>
      <c r="G559" s="12" t="inlineStr">
        <is>
          <t>Not individually decided</t>
        </is>
      </c>
      <c r="H559" s="12" t="inlineStr">
        <is>
          <t xml:space="preserve">APPROVED / ONE_TO_ONE; </t>
        </is>
      </c>
      <c r="I559" s="12" t="inlineStr">
        <is>
          <t>New</t>
        </is>
      </c>
      <c r="J559" s="17" t="inlineStr">
        <is>
          <t>08 CROSSWALK</t>
        </is>
      </c>
    </row>
    <row r="560" ht="49" customHeight="1">
      <c r="A560" s="12" t="inlineStr">
        <is>
          <t>R367-v1</t>
        </is>
      </c>
      <c r="B560" s="12" t="inlineStr">
        <is>
          <t>Contractor Programme / SCH-03-007</t>
        </is>
      </c>
      <c r="C560" s="12" t="inlineStr">
        <is>
          <t>WBS Code = 1.3.1</t>
        </is>
      </c>
      <c r="D560" s="12" t="inlineStr">
        <is>
          <t>Proposed by Source assignment; target 1.3.1 Systems - Traction Power</t>
        </is>
      </c>
      <c r="E560" s="12" t="inlineStr">
        <is>
          <t>None recorded</t>
        </is>
      </c>
      <c r="F560" s="12" t="inlineStr">
        <is>
          <t>No individual professional decision recorded; Source assignment -- not individually reviewed</t>
        </is>
      </c>
      <c r="G560" s="12" t="inlineStr">
        <is>
          <t>Not individually decided</t>
        </is>
      </c>
      <c r="H560" s="12" t="inlineStr">
        <is>
          <t xml:space="preserve">APPROVED / ONE_TO_ONE; </t>
        </is>
      </c>
      <c r="I560" s="12" t="inlineStr">
        <is>
          <t>New</t>
        </is>
      </c>
      <c r="J560" s="17" t="inlineStr">
        <is>
          <t>08 CROSSWALK</t>
        </is>
      </c>
    </row>
    <row r="561" ht="49" customHeight="1">
      <c r="A561" s="12" t="inlineStr">
        <is>
          <t>R368-v1</t>
        </is>
      </c>
      <c r="B561" s="12" t="inlineStr">
        <is>
          <t>Contractor Programme / SCH-03-008</t>
        </is>
      </c>
      <c r="C561" s="12" t="inlineStr">
        <is>
          <t>WBS Code = 1.3.1</t>
        </is>
      </c>
      <c r="D561" s="12" t="inlineStr">
        <is>
          <t>Proposed by Source assignment; target 1.3.1 Systems - Traction Power</t>
        </is>
      </c>
      <c r="E561" s="12" t="inlineStr">
        <is>
          <t>None recorded</t>
        </is>
      </c>
      <c r="F561" s="12" t="inlineStr">
        <is>
          <t>No individual professional decision recorded; Source assignment -- not individually reviewed</t>
        </is>
      </c>
      <c r="G561" s="12" t="inlineStr">
        <is>
          <t>Not individually decided</t>
        </is>
      </c>
      <c r="H561" s="12" t="inlineStr">
        <is>
          <t xml:space="preserve">APPROVED / ONE_TO_ONE; </t>
        </is>
      </c>
      <c r="I561" s="12" t="inlineStr">
        <is>
          <t>New</t>
        </is>
      </c>
      <c r="J561" s="17" t="inlineStr">
        <is>
          <t>08 CROSSWALK</t>
        </is>
      </c>
    </row>
    <row r="562" ht="49" customHeight="1">
      <c r="A562" s="12" t="inlineStr">
        <is>
          <t>R370-v1</t>
        </is>
      </c>
      <c r="B562" s="12" t="inlineStr">
        <is>
          <t>Contractor Programme / SCH-03-010</t>
        </is>
      </c>
      <c r="C562" s="12" t="inlineStr">
        <is>
          <t>WBS Code = 1.3.1</t>
        </is>
      </c>
      <c r="D562" s="12" t="inlineStr">
        <is>
          <t>Proposed by Source assignment; target 1.3.1 Systems - Traction Power</t>
        </is>
      </c>
      <c r="E562" s="12" t="inlineStr">
        <is>
          <t>None recorded</t>
        </is>
      </c>
      <c r="F562" s="12" t="inlineStr">
        <is>
          <t>No individual professional decision recorded; Source assignment -- not individually reviewed</t>
        </is>
      </c>
      <c r="G562" s="12" t="inlineStr">
        <is>
          <t>Not individually decided</t>
        </is>
      </c>
      <c r="H562" s="12" t="inlineStr">
        <is>
          <t xml:space="preserve">APPROVED / ONE_TO_ONE; </t>
        </is>
      </c>
      <c r="I562" s="12" t="inlineStr">
        <is>
          <t>New</t>
        </is>
      </c>
      <c r="J562" s="17" t="inlineStr">
        <is>
          <t>08 CROSSWALK</t>
        </is>
      </c>
    </row>
    <row r="563" ht="49" customHeight="1">
      <c r="A563" s="12" t="inlineStr">
        <is>
          <t>R371-v1</t>
        </is>
      </c>
      <c r="B563" s="12" t="inlineStr">
        <is>
          <t>Contractor Programme / SCH-03-011</t>
        </is>
      </c>
      <c r="C563" s="12" t="inlineStr">
        <is>
          <t>WBS Code = 1.3.1</t>
        </is>
      </c>
      <c r="D563" s="12" t="inlineStr">
        <is>
          <t>Proposed by Source assignment; target 1.3.1 Systems - Traction Power</t>
        </is>
      </c>
      <c r="E563" s="12" t="inlineStr">
        <is>
          <t>None recorded</t>
        </is>
      </c>
      <c r="F563" s="12" t="inlineStr">
        <is>
          <t>No individual professional decision recorded; Source assignment -- not individually reviewed</t>
        </is>
      </c>
      <c r="G563" s="12" t="inlineStr">
        <is>
          <t>Not individually decided</t>
        </is>
      </c>
      <c r="H563" s="12" t="inlineStr">
        <is>
          <t xml:space="preserve">APPROVED / ONE_TO_ONE; </t>
        </is>
      </c>
      <c r="I563" s="12" t="inlineStr">
        <is>
          <t>New</t>
        </is>
      </c>
      <c r="J563" s="17" t="inlineStr">
        <is>
          <t>08 CROSSWALK</t>
        </is>
      </c>
    </row>
    <row r="564" ht="49" customHeight="1">
      <c r="A564" s="12" t="inlineStr">
        <is>
          <t>R373-v1</t>
        </is>
      </c>
      <c r="B564" s="12" t="inlineStr">
        <is>
          <t>Contractor Programme / SCH-03-013</t>
        </is>
      </c>
      <c r="C564" s="12" t="inlineStr">
        <is>
          <t>WBS Code = 1.3.1</t>
        </is>
      </c>
      <c r="D564" s="12" t="inlineStr">
        <is>
          <t>Proposed by Source assignment; target 1.3.1 Systems - Traction Power</t>
        </is>
      </c>
      <c r="E564" s="12" t="inlineStr">
        <is>
          <t>None recorded</t>
        </is>
      </c>
      <c r="F564" s="12" t="inlineStr">
        <is>
          <t>No individual professional decision recorded; Source assignment -- not individually reviewed</t>
        </is>
      </c>
      <c r="G564" s="12" t="inlineStr">
        <is>
          <t>Not individually decided</t>
        </is>
      </c>
      <c r="H564" s="12" t="inlineStr">
        <is>
          <t xml:space="preserve">APPROVED / ONE_TO_ONE; </t>
        </is>
      </c>
      <c r="I564" s="12" t="inlineStr">
        <is>
          <t>New</t>
        </is>
      </c>
      <c r="J564" s="17" t="inlineStr">
        <is>
          <t>08 CROSSWALK</t>
        </is>
      </c>
    </row>
    <row r="565" ht="49" customHeight="1">
      <c r="A565" s="12" t="inlineStr">
        <is>
          <t>R374-v1</t>
        </is>
      </c>
      <c r="B565" s="12" t="inlineStr">
        <is>
          <t>Contractor Programme / SCH-03-014</t>
        </is>
      </c>
      <c r="C565" s="12" t="inlineStr">
        <is>
          <t>WBS Code = 1.3.1</t>
        </is>
      </c>
      <c r="D565" s="12" t="inlineStr">
        <is>
          <t>Proposed by Source assignment; target 1.3.1 Systems - Traction Power</t>
        </is>
      </c>
      <c r="E565" s="12" t="inlineStr">
        <is>
          <t>None recorded</t>
        </is>
      </c>
      <c r="F565" s="12" t="inlineStr">
        <is>
          <t>No individual professional decision recorded; Source assignment -- not individually reviewed</t>
        </is>
      </c>
      <c r="G565" s="12" t="inlineStr">
        <is>
          <t>Not individually decided</t>
        </is>
      </c>
      <c r="H565" s="12" t="inlineStr">
        <is>
          <t xml:space="preserve">APPROVED / ONE_TO_ONE; </t>
        </is>
      </c>
      <c r="I565" s="12" t="inlineStr">
        <is>
          <t>New</t>
        </is>
      </c>
      <c r="J565" s="17" t="inlineStr">
        <is>
          <t>08 CROSSWALK</t>
        </is>
      </c>
    </row>
    <row r="566" ht="49" customHeight="1">
      <c r="A566" s="12" t="inlineStr">
        <is>
          <t>R376-v1</t>
        </is>
      </c>
      <c r="B566" s="12" t="inlineStr">
        <is>
          <t>Contractor Programme / SCH-03-016</t>
        </is>
      </c>
      <c r="C566" s="12" t="inlineStr">
        <is>
          <t>WBS Code = 1.3.1</t>
        </is>
      </c>
      <c r="D566" s="12" t="inlineStr">
        <is>
          <t>Proposed by Source assignment; target 1.3.1 Systems - Traction Power</t>
        </is>
      </c>
      <c r="E566" s="12" t="inlineStr">
        <is>
          <t>None recorded</t>
        </is>
      </c>
      <c r="F566" s="12" t="inlineStr">
        <is>
          <t>No individual professional decision recorded; Source assignment -- not individually reviewed</t>
        </is>
      </c>
      <c r="G566" s="12" t="inlineStr">
        <is>
          <t>Not individually decided</t>
        </is>
      </c>
      <c r="H566" s="12" t="inlineStr">
        <is>
          <t xml:space="preserve">APPROVED / ONE_TO_ONE; </t>
        </is>
      </c>
      <c r="I566" s="12" t="inlineStr">
        <is>
          <t>New</t>
        </is>
      </c>
      <c r="J566" s="17" t="inlineStr">
        <is>
          <t>08 CROSSWALK</t>
        </is>
      </c>
    </row>
    <row r="567" ht="49" customHeight="1">
      <c r="A567" s="12" t="inlineStr">
        <is>
          <t>R377-v1</t>
        </is>
      </c>
      <c r="B567" s="12" t="inlineStr">
        <is>
          <t>Contractor Programme / SCH-03-017</t>
        </is>
      </c>
      <c r="C567" s="12" t="inlineStr">
        <is>
          <t>WBS Code = 1.3.1</t>
        </is>
      </c>
      <c r="D567" s="12" t="inlineStr">
        <is>
          <t>Proposed by Source assignment; target 1.3.1 Systems - Traction Power</t>
        </is>
      </c>
      <c r="E567" s="12" t="inlineStr">
        <is>
          <t>None recorded</t>
        </is>
      </c>
      <c r="F567" s="12" t="inlineStr">
        <is>
          <t>No individual professional decision recorded; Source assignment -- not individually reviewed</t>
        </is>
      </c>
      <c r="G567" s="12" t="inlineStr">
        <is>
          <t>Not individually decided</t>
        </is>
      </c>
      <c r="H567" s="12" t="inlineStr">
        <is>
          <t xml:space="preserve">APPROVED / ONE_TO_ONE; </t>
        </is>
      </c>
      <c r="I567" s="12" t="inlineStr">
        <is>
          <t>New</t>
        </is>
      </c>
      <c r="J567" s="17" t="inlineStr">
        <is>
          <t>08 CROSSWALK</t>
        </is>
      </c>
    </row>
    <row r="568" ht="49" customHeight="1">
      <c r="A568" s="12" t="inlineStr">
        <is>
          <t>R379-v1</t>
        </is>
      </c>
      <c r="B568" s="12" t="inlineStr">
        <is>
          <t>Contractor Programme / SCH-03-019</t>
        </is>
      </c>
      <c r="C568" s="12" t="inlineStr">
        <is>
          <t>WBS Code = 1.3.1</t>
        </is>
      </c>
      <c r="D568" s="12" t="inlineStr">
        <is>
          <t>Proposed by Source assignment; target 1.3.1 Systems - Traction Power</t>
        </is>
      </c>
      <c r="E568" s="12" t="inlineStr">
        <is>
          <t>None recorded</t>
        </is>
      </c>
      <c r="F568" s="12" t="inlineStr">
        <is>
          <t>No individual professional decision recorded; Source assignment -- not individually reviewed</t>
        </is>
      </c>
      <c r="G568" s="12" t="inlineStr">
        <is>
          <t>Not individually decided</t>
        </is>
      </c>
      <c r="H568" s="12" t="inlineStr">
        <is>
          <t xml:space="preserve">APPROVED / ONE_TO_ONE; </t>
        </is>
      </c>
      <c r="I568" s="12" t="inlineStr">
        <is>
          <t>New</t>
        </is>
      </c>
      <c r="J568" s="17" t="inlineStr">
        <is>
          <t>08 CROSSWALK</t>
        </is>
      </c>
    </row>
    <row r="569" ht="49" customHeight="1">
      <c r="A569" s="12" t="inlineStr">
        <is>
          <t>R380-v1</t>
        </is>
      </c>
      <c r="B569" s="12" t="inlineStr">
        <is>
          <t>Contractor Programme / SCH-03-020</t>
        </is>
      </c>
      <c r="C569" s="12" t="inlineStr">
        <is>
          <t>WBS Code = 1.3.1</t>
        </is>
      </c>
      <c r="D569" s="12" t="inlineStr">
        <is>
          <t>Proposed by Source assignment; target 1.3.1 Systems - Traction Power</t>
        </is>
      </c>
      <c r="E569" s="12" t="inlineStr">
        <is>
          <t>None recorded</t>
        </is>
      </c>
      <c r="F569" s="12" t="inlineStr">
        <is>
          <t>No individual professional decision recorded; Source assignment -- not individually reviewed</t>
        </is>
      </c>
      <c r="G569" s="12" t="inlineStr">
        <is>
          <t>Not individually decided</t>
        </is>
      </c>
      <c r="H569" s="12" t="inlineStr">
        <is>
          <t xml:space="preserve">APPROVED / ONE_TO_ONE; </t>
        </is>
      </c>
      <c r="I569" s="12" t="inlineStr">
        <is>
          <t>New</t>
        </is>
      </c>
      <c r="J569" s="17" t="inlineStr">
        <is>
          <t>08 CROSSWALK</t>
        </is>
      </c>
    </row>
    <row r="570" ht="49" customHeight="1">
      <c r="A570" s="12" t="inlineStr">
        <is>
          <t>R382-v1</t>
        </is>
      </c>
      <c r="B570" s="12" t="inlineStr">
        <is>
          <t>Contractor Programme / SCH-03-022</t>
        </is>
      </c>
      <c r="C570" s="12" t="inlineStr">
        <is>
          <t>WBS Code = 1.3.1</t>
        </is>
      </c>
      <c r="D570" s="12" t="inlineStr">
        <is>
          <t>Proposed by Source assignment; target 1.3.1 Systems - Traction Power</t>
        </is>
      </c>
      <c r="E570" s="12" t="inlineStr">
        <is>
          <t>None recorded</t>
        </is>
      </c>
      <c r="F570" s="12" t="inlineStr">
        <is>
          <t>No individual professional decision recorded; Source assignment -- not individually reviewed</t>
        </is>
      </c>
      <c r="G570" s="12" t="inlineStr">
        <is>
          <t>Not individually decided</t>
        </is>
      </c>
      <c r="H570" s="12" t="inlineStr">
        <is>
          <t xml:space="preserve">APPROVED / ONE_TO_ONE; </t>
        </is>
      </c>
      <c r="I570" s="12" t="inlineStr">
        <is>
          <t>New</t>
        </is>
      </c>
      <c r="J570" s="17" t="inlineStr">
        <is>
          <t>08 CROSSWALK</t>
        </is>
      </c>
    </row>
    <row r="571" ht="49" customHeight="1">
      <c r="A571" s="12" t="inlineStr">
        <is>
          <t>R383-v1</t>
        </is>
      </c>
      <c r="B571" s="12" t="inlineStr">
        <is>
          <t>Contractor Programme / SCH-03-023</t>
        </is>
      </c>
      <c r="C571" s="12" t="inlineStr">
        <is>
          <t>WBS Code = 1.3.1</t>
        </is>
      </c>
      <c r="D571" s="12" t="inlineStr">
        <is>
          <t>Proposed by Source assignment; target 1.3.1 Systems - Traction Power</t>
        </is>
      </c>
      <c r="E571" s="12" t="inlineStr">
        <is>
          <t>None recorded</t>
        </is>
      </c>
      <c r="F571" s="12" t="inlineStr">
        <is>
          <t>No individual professional decision recorded; Source assignment -- not individually reviewed</t>
        </is>
      </c>
      <c r="G571" s="12" t="inlineStr">
        <is>
          <t>Not individually decided</t>
        </is>
      </c>
      <c r="H571" s="12" t="inlineStr">
        <is>
          <t xml:space="preserve">APPROVED / ONE_TO_ONE; </t>
        </is>
      </c>
      <c r="I571" s="12" t="inlineStr">
        <is>
          <t>New</t>
        </is>
      </c>
      <c r="J571" s="17" t="inlineStr">
        <is>
          <t>08 CROSSWALK</t>
        </is>
      </c>
    </row>
    <row r="572" ht="49" customHeight="1">
      <c r="A572" s="12" t="inlineStr">
        <is>
          <t>R385-v1</t>
        </is>
      </c>
      <c r="B572" s="12" t="inlineStr">
        <is>
          <t>Contractor Programme / SCH-03-025</t>
        </is>
      </c>
      <c r="C572" s="12" t="inlineStr">
        <is>
          <t>WBS Code = 1.3.1</t>
        </is>
      </c>
      <c r="D572" s="12" t="inlineStr">
        <is>
          <t>Proposed by Source assignment; target 1.3.1 Systems - Traction Power</t>
        </is>
      </c>
      <c r="E572" s="12" t="inlineStr">
        <is>
          <t>None recorded</t>
        </is>
      </c>
      <c r="F572" s="12" t="inlineStr">
        <is>
          <t>No individual professional decision recorded; Source assignment -- not individually reviewed</t>
        </is>
      </c>
      <c r="G572" s="12" t="inlineStr">
        <is>
          <t>Not individually decided</t>
        </is>
      </c>
      <c r="H572" s="12" t="inlineStr">
        <is>
          <t xml:space="preserve">APPROVED / ONE_TO_ONE; </t>
        </is>
      </c>
      <c r="I572" s="12" t="inlineStr">
        <is>
          <t>New</t>
        </is>
      </c>
      <c r="J572" s="17" t="inlineStr">
        <is>
          <t>08 CROSSWALK</t>
        </is>
      </c>
    </row>
    <row r="573" ht="49" customHeight="1">
      <c r="A573" s="12" t="inlineStr">
        <is>
          <t>R386-v1</t>
        </is>
      </c>
      <c r="B573" s="12" t="inlineStr">
        <is>
          <t>Contractor Programme / SCH-03-026</t>
        </is>
      </c>
      <c r="C573" s="12" t="inlineStr">
        <is>
          <t>WBS Code = 1.3.1</t>
        </is>
      </c>
      <c r="D573" s="12" t="inlineStr">
        <is>
          <t>Proposed by Source assignment; target 1.3.1 Systems - Traction Power</t>
        </is>
      </c>
      <c r="E573" s="12" t="inlineStr">
        <is>
          <t>None recorded</t>
        </is>
      </c>
      <c r="F573" s="12" t="inlineStr">
        <is>
          <t>No individual professional decision recorded; Source assignment -- not individually reviewed</t>
        </is>
      </c>
      <c r="G573" s="12" t="inlineStr">
        <is>
          <t>Not individually decided</t>
        </is>
      </c>
      <c r="H573" s="12" t="inlineStr">
        <is>
          <t xml:space="preserve">APPROVED / ONE_TO_ONE; </t>
        </is>
      </c>
      <c r="I573" s="12" t="inlineStr">
        <is>
          <t>New</t>
        </is>
      </c>
      <c r="J573" s="17" t="inlineStr">
        <is>
          <t>08 CROSSWALK</t>
        </is>
      </c>
    </row>
    <row r="574" ht="49" customHeight="1">
      <c r="A574" s="12" t="inlineStr">
        <is>
          <t>R388-v1</t>
        </is>
      </c>
      <c r="B574" s="12" t="inlineStr">
        <is>
          <t>Contractor Programme / SCH-03-028</t>
        </is>
      </c>
      <c r="C574" s="12" t="inlineStr">
        <is>
          <t>WBS Code = 1.3.1</t>
        </is>
      </c>
      <c r="D574" s="12" t="inlineStr">
        <is>
          <t>Proposed by Source assignment; target 1.3.1 Systems - Traction Power</t>
        </is>
      </c>
      <c r="E574" s="12" t="inlineStr">
        <is>
          <t>None recorded</t>
        </is>
      </c>
      <c r="F574" s="12" t="inlineStr">
        <is>
          <t>No individual professional decision recorded; Source assignment -- not individually reviewed</t>
        </is>
      </c>
      <c r="G574" s="12" t="inlineStr">
        <is>
          <t>Not individually decided</t>
        </is>
      </c>
      <c r="H574" s="12" t="inlineStr">
        <is>
          <t xml:space="preserve">APPROVED / ONE_TO_ONE; </t>
        </is>
      </c>
      <c r="I574" s="12" t="inlineStr">
        <is>
          <t>New</t>
        </is>
      </c>
      <c r="J574" s="17" t="inlineStr">
        <is>
          <t>08 CROSSWALK</t>
        </is>
      </c>
    </row>
    <row r="575" ht="49" customHeight="1">
      <c r="A575" s="12" t="inlineStr">
        <is>
          <t>R389-v1</t>
        </is>
      </c>
      <c r="B575" s="12" t="inlineStr">
        <is>
          <t>Contractor Programme / SCH-03-029</t>
        </is>
      </c>
      <c r="C575" s="12" t="inlineStr">
        <is>
          <t>WBS Code = 1.3.1</t>
        </is>
      </c>
      <c r="D575" s="12" t="inlineStr">
        <is>
          <t>Proposed by Source assignment; target 1.3.1 Systems - Traction Power</t>
        </is>
      </c>
      <c r="E575" s="12" t="inlineStr">
        <is>
          <t>None recorded</t>
        </is>
      </c>
      <c r="F575" s="12" t="inlineStr">
        <is>
          <t>No individual professional decision recorded; Source assignment -- not individually reviewed</t>
        </is>
      </c>
      <c r="G575" s="12" t="inlineStr">
        <is>
          <t>Not individually decided</t>
        </is>
      </c>
      <c r="H575" s="12" t="inlineStr">
        <is>
          <t xml:space="preserve">APPROVED / ONE_TO_ONE; </t>
        </is>
      </c>
      <c r="I575" s="12" t="inlineStr">
        <is>
          <t>New</t>
        </is>
      </c>
      <c r="J575" s="17" t="inlineStr">
        <is>
          <t>08 CROSSWALK</t>
        </is>
      </c>
    </row>
    <row r="576" ht="49" customHeight="1">
      <c r="A576" s="12" t="inlineStr">
        <is>
          <t>R391-v1</t>
        </is>
      </c>
      <c r="B576" s="12" t="inlineStr">
        <is>
          <t>Contractor Programme / SCH-03-031</t>
        </is>
      </c>
      <c r="C576" s="12" t="inlineStr">
        <is>
          <t>WBS Code = 1.3.1</t>
        </is>
      </c>
      <c r="D576" s="12" t="inlineStr">
        <is>
          <t>Proposed by Source assignment; target 1.3.1 Systems - Traction Power</t>
        </is>
      </c>
      <c r="E576" s="12" t="inlineStr">
        <is>
          <t>None recorded</t>
        </is>
      </c>
      <c r="F576" s="12" t="inlineStr">
        <is>
          <t>No individual professional decision recorded; Source assignment -- not individually reviewed</t>
        </is>
      </c>
      <c r="G576" s="12" t="inlineStr">
        <is>
          <t>Not individually decided</t>
        </is>
      </c>
      <c r="H576" s="12" t="inlineStr">
        <is>
          <t xml:space="preserve">APPROVED / ONE_TO_ONE; </t>
        </is>
      </c>
      <c r="I576" s="12" t="inlineStr">
        <is>
          <t>New</t>
        </is>
      </c>
      <c r="J576" s="17" t="inlineStr">
        <is>
          <t>08 CROSSWALK</t>
        </is>
      </c>
    </row>
    <row r="577" ht="49" customHeight="1">
      <c r="A577" s="12" t="inlineStr">
        <is>
          <t>R392-v1</t>
        </is>
      </c>
      <c r="B577" s="12" t="inlineStr">
        <is>
          <t>Contractor Programme / SCH-03-032</t>
        </is>
      </c>
      <c r="C577" s="12" t="inlineStr">
        <is>
          <t>WBS Code = 1.3.1</t>
        </is>
      </c>
      <c r="D577" s="12" t="inlineStr">
        <is>
          <t>Proposed by Source assignment; target 1.3.1 Systems - Traction Power</t>
        </is>
      </c>
      <c r="E577" s="12" t="inlineStr">
        <is>
          <t>None recorded</t>
        </is>
      </c>
      <c r="F577" s="12" t="inlineStr">
        <is>
          <t>No individual professional decision recorded; Source assignment -- not individually reviewed</t>
        </is>
      </c>
      <c r="G577" s="12" t="inlineStr">
        <is>
          <t>Not individually decided</t>
        </is>
      </c>
      <c r="H577" s="12" t="inlineStr">
        <is>
          <t xml:space="preserve">APPROVED / ONE_TO_ONE; </t>
        </is>
      </c>
      <c r="I577" s="12" t="inlineStr">
        <is>
          <t>New</t>
        </is>
      </c>
      <c r="J577" s="17" t="inlineStr">
        <is>
          <t>08 CROSSWALK</t>
        </is>
      </c>
    </row>
    <row r="578" ht="49" customHeight="1">
      <c r="A578" s="12" t="inlineStr">
        <is>
          <t>R394-v1</t>
        </is>
      </c>
      <c r="B578" s="12" t="inlineStr">
        <is>
          <t>Contractor Programme / SCH-03-034</t>
        </is>
      </c>
      <c r="C578" s="12" t="inlineStr">
        <is>
          <t>WBS Code = 1.3.1</t>
        </is>
      </c>
      <c r="D578" s="12" t="inlineStr">
        <is>
          <t>Proposed by Source assignment; target 1.3.1 Systems - Traction Power</t>
        </is>
      </c>
      <c r="E578" s="12" t="inlineStr">
        <is>
          <t>None recorded</t>
        </is>
      </c>
      <c r="F578" s="12" t="inlineStr">
        <is>
          <t>No individual professional decision recorded; Source assignment -- not individually reviewed</t>
        </is>
      </c>
      <c r="G578" s="12" t="inlineStr">
        <is>
          <t>Not individually decided</t>
        </is>
      </c>
      <c r="H578" s="12" t="inlineStr">
        <is>
          <t xml:space="preserve">APPROVED / ONE_TO_ONE; </t>
        </is>
      </c>
      <c r="I578" s="12" t="inlineStr">
        <is>
          <t>New</t>
        </is>
      </c>
      <c r="J578" s="17" t="inlineStr">
        <is>
          <t>08 CROSSWALK</t>
        </is>
      </c>
    </row>
    <row r="579" ht="49" customHeight="1">
      <c r="A579" s="12" t="inlineStr">
        <is>
          <t>R395-v1</t>
        </is>
      </c>
      <c r="B579" s="12" t="inlineStr">
        <is>
          <t>Contractor Programme / SCH-03-035</t>
        </is>
      </c>
      <c r="C579" s="12" t="inlineStr">
        <is>
          <t>WBS Code = 1.3.1</t>
        </is>
      </c>
      <c r="D579" s="12" t="inlineStr">
        <is>
          <t>Proposed by Source assignment; target 1.3.1 Systems - Traction Power</t>
        </is>
      </c>
      <c r="E579" s="12" t="inlineStr">
        <is>
          <t>None recorded</t>
        </is>
      </c>
      <c r="F579" s="12" t="inlineStr">
        <is>
          <t>No individual professional decision recorded; Source assignment -- not individually reviewed</t>
        </is>
      </c>
      <c r="G579" s="12" t="inlineStr">
        <is>
          <t>Not individually decided</t>
        </is>
      </c>
      <c r="H579" s="12" t="inlineStr">
        <is>
          <t xml:space="preserve">APPROVED / ONE_TO_ONE; </t>
        </is>
      </c>
      <c r="I579" s="12" t="inlineStr">
        <is>
          <t>New</t>
        </is>
      </c>
      <c r="J579" s="17" t="inlineStr">
        <is>
          <t>08 CROSSWALK</t>
        </is>
      </c>
    </row>
    <row r="580" ht="49" customHeight="1">
      <c r="A580" s="12" t="inlineStr">
        <is>
          <t>R397-v1</t>
        </is>
      </c>
      <c r="B580" s="12" t="inlineStr">
        <is>
          <t>Contractor Programme / SCH-03-037</t>
        </is>
      </c>
      <c r="C580" s="12" t="inlineStr">
        <is>
          <t>WBS Code = 1.3.1</t>
        </is>
      </c>
      <c r="D580" s="12" t="inlineStr">
        <is>
          <t>Proposed by Source assignment; target 1.3.1 Systems - Traction Power</t>
        </is>
      </c>
      <c r="E580" s="12" t="inlineStr">
        <is>
          <t>None recorded</t>
        </is>
      </c>
      <c r="F580" s="12" t="inlineStr">
        <is>
          <t>No individual professional decision recorded; Source assignment -- not individually reviewed</t>
        </is>
      </c>
      <c r="G580" s="12" t="inlineStr">
        <is>
          <t>Not individually decided</t>
        </is>
      </c>
      <c r="H580" s="12" t="inlineStr">
        <is>
          <t xml:space="preserve">APPROVED / ONE_TO_ONE; </t>
        </is>
      </c>
      <c r="I580" s="12" t="inlineStr">
        <is>
          <t>New</t>
        </is>
      </c>
      <c r="J580" s="17" t="inlineStr">
        <is>
          <t>08 CROSSWALK</t>
        </is>
      </c>
    </row>
    <row r="581" ht="49" customHeight="1">
      <c r="A581" s="12" t="inlineStr">
        <is>
          <t>R398-v1</t>
        </is>
      </c>
      <c r="B581" s="12" t="inlineStr">
        <is>
          <t>Contractor Programme / SCH-03-038</t>
        </is>
      </c>
      <c r="C581" s="12" t="inlineStr">
        <is>
          <t>WBS Code = 1.3.1</t>
        </is>
      </c>
      <c r="D581" s="12" t="inlineStr">
        <is>
          <t>Proposed by Source assignment; target 1.3.1 Systems - Traction Power</t>
        </is>
      </c>
      <c r="E581" s="12" t="inlineStr">
        <is>
          <t>None recorded</t>
        </is>
      </c>
      <c r="F581" s="12" t="inlineStr">
        <is>
          <t>No individual professional decision recorded; Source assignment -- not individually reviewed</t>
        </is>
      </c>
      <c r="G581" s="12" t="inlineStr">
        <is>
          <t>Not individually decided</t>
        </is>
      </c>
      <c r="H581" s="12" t="inlineStr">
        <is>
          <t xml:space="preserve">APPROVED / ONE_TO_ONE; </t>
        </is>
      </c>
      <c r="I581" s="12" t="inlineStr">
        <is>
          <t>New</t>
        </is>
      </c>
      <c r="J581" s="17" t="inlineStr">
        <is>
          <t>08 CROSSWALK</t>
        </is>
      </c>
    </row>
    <row r="582" ht="49" customHeight="1">
      <c r="A582" s="12" t="inlineStr">
        <is>
          <t>R400-v1</t>
        </is>
      </c>
      <c r="B582" s="12" t="inlineStr">
        <is>
          <t>Contractor Programme / SCH-03-040</t>
        </is>
      </c>
      <c r="C582" s="12" t="inlineStr">
        <is>
          <t>WBS Code = 1.3.1</t>
        </is>
      </c>
      <c r="D582" s="12" t="inlineStr">
        <is>
          <t>Proposed by Source assignment; target 1.3.1 Systems - Traction Power</t>
        </is>
      </c>
      <c r="E582" s="12" t="inlineStr">
        <is>
          <t>None recorded</t>
        </is>
      </c>
      <c r="F582" s="12" t="inlineStr">
        <is>
          <t>No individual professional decision recorded; Source assignment -- not individually reviewed</t>
        </is>
      </c>
      <c r="G582" s="12" t="inlineStr">
        <is>
          <t>Not individually decided</t>
        </is>
      </c>
      <c r="H582" s="12" t="inlineStr">
        <is>
          <t xml:space="preserve">APPROVED / ONE_TO_ONE; </t>
        </is>
      </c>
      <c r="I582" s="12" t="inlineStr">
        <is>
          <t>New</t>
        </is>
      </c>
      <c r="J582" s="17" t="inlineStr">
        <is>
          <t>08 CROSSWALK</t>
        </is>
      </c>
    </row>
    <row r="583" ht="49" customHeight="1">
      <c r="A583" s="12" t="inlineStr">
        <is>
          <t>R401-v1</t>
        </is>
      </c>
      <c r="B583" s="12" t="inlineStr">
        <is>
          <t>Contractor Programme / SCH-03-041</t>
        </is>
      </c>
      <c r="C583" s="12" t="inlineStr">
        <is>
          <t>WBS Code = 1.3.1</t>
        </is>
      </c>
      <c r="D583" s="12" t="inlineStr">
        <is>
          <t>Proposed by Source assignment; target 1.3.1 Systems - Traction Power</t>
        </is>
      </c>
      <c r="E583" s="12" t="inlineStr">
        <is>
          <t>None recorded</t>
        </is>
      </c>
      <c r="F583" s="12" t="inlineStr">
        <is>
          <t>No individual professional decision recorded; Source assignment -- not individually reviewed</t>
        </is>
      </c>
      <c r="G583" s="12" t="inlineStr">
        <is>
          <t>Not individually decided</t>
        </is>
      </c>
      <c r="H583" s="12" t="inlineStr">
        <is>
          <t xml:space="preserve">APPROVED / ONE_TO_ONE; </t>
        </is>
      </c>
      <c r="I583" s="12" t="inlineStr">
        <is>
          <t>New</t>
        </is>
      </c>
      <c r="J583" s="17" t="inlineStr">
        <is>
          <t>08 CROSSWALK</t>
        </is>
      </c>
    </row>
    <row r="584" ht="49" customHeight="1">
      <c r="A584" s="12" t="inlineStr">
        <is>
          <t>R403-v1</t>
        </is>
      </c>
      <c r="B584" s="12" t="inlineStr">
        <is>
          <t>Contractor Programme / SCH-03-043</t>
        </is>
      </c>
      <c r="C584" s="12" t="inlineStr">
        <is>
          <t>WBS Code = 1.3.1</t>
        </is>
      </c>
      <c r="D584" s="12" t="inlineStr">
        <is>
          <t>Proposed by Source assignment; target 1.3.1 Systems - Traction Power</t>
        </is>
      </c>
      <c r="E584" s="12" t="inlineStr">
        <is>
          <t>None recorded</t>
        </is>
      </c>
      <c r="F584" s="12" t="inlineStr">
        <is>
          <t>No individual professional decision recorded; Source assignment -- not individually reviewed</t>
        </is>
      </c>
      <c r="G584" s="12" t="inlineStr">
        <is>
          <t>Not individually decided</t>
        </is>
      </c>
      <c r="H584" s="12" t="inlineStr">
        <is>
          <t xml:space="preserve">APPROVED / ONE_TO_ONE; </t>
        </is>
      </c>
      <c r="I584" s="12" t="inlineStr">
        <is>
          <t>New</t>
        </is>
      </c>
      <c r="J584" s="17" t="inlineStr">
        <is>
          <t>08 CROSSWALK</t>
        </is>
      </c>
    </row>
    <row r="585" ht="49" customHeight="1">
      <c r="A585" s="12" t="inlineStr">
        <is>
          <t>R404-v1</t>
        </is>
      </c>
      <c r="B585" s="12" t="inlineStr">
        <is>
          <t>Contractor Programme / SCH-03-044</t>
        </is>
      </c>
      <c r="C585" s="12" t="inlineStr">
        <is>
          <t>WBS Code = 1.3.1</t>
        </is>
      </c>
      <c r="D585" s="12" t="inlineStr">
        <is>
          <t>Proposed by Source assignment; target 1.3.1 Systems - Traction Power</t>
        </is>
      </c>
      <c r="E585" s="12" t="inlineStr">
        <is>
          <t>None recorded</t>
        </is>
      </c>
      <c r="F585" s="12" t="inlineStr">
        <is>
          <t>No individual professional decision recorded; Source assignment -- not individually reviewed</t>
        </is>
      </c>
      <c r="G585" s="12" t="inlineStr">
        <is>
          <t>Not individually decided</t>
        </is>
      </c>
      <c r="H585" s="12" t="inlineStr">
        <is>
          <t xml:space="preserve">APPROVED / ONE_TO_ONE; </t>
        </is>
      </c>
      <c r="I585" s="12" t="inlineStr">
        <is>
          <t>New</t>
        </is>
      </c>
      <c r="J585" s="17" t="inlineStr">
        <is>
          <t>08 CROSSWALK</t>
        </is>
      </c>
    </row>
    <row r="586" ht="49" customHeight="1">
      <c r="A586" s="12" t="inlineStr">
        <is>
          <t>R406-v1</t>
        </is>
      </c>
      <c r="B586" s="12" t="inlineStr">
        <is>
          <t>Contractor Programme / SCH-03-046</t>
        </is>
      </c>
      <c r="C586" s="12" t="inlineStr">
        <is>
          <t>WBS Code = 1.3.1</t>
        </is>
      </c>
      <c r="D586" s="12" t="inlineStr">
        <is>
          <t>Proposed by Source assignment; target 1.3.1 Systems - Traction Power</t>
        </is>
      </c>
      <c r="E586" s="12" t="inlineStr">
        <is>
          <t>None recorded</t>
        </is>
      </c>
      <c r="F586" s="12" t="inlineStr">
        <is>
          <t>No individual professional decision recorded; Source assignment -- not individually reviewed</t>
        </is>
      </c>
      <c r="G586" s="12" t="inlineStr">
        <is>
          <t>Not individually decided</t>
        </is>
      </c>
      <c r="H586" s="12" t="inlineStr">
        <is>
          <t xml:space="preserve">APPROVED / ONE_TO_ONE; </t>
        </is>
      </c>
      <c r="I586" s="12" t="inlineStr">
        <is>
          <t>New</t>
        </is>
      </c>
      <c r="J586" s="17" t="inlineStr">
        <is>
          <t>08 CROSSWALK</t>
        </is>
      </c>
    </row>
    <row r="587" ht="49" customHeight="1">
      <c r="A587" s="12" t="inlineStr">
        <is>
          <t>R407-v1</t>
        </is>
      </c>
      <c r="B587" s="12" t="inlineStr">
        <is>
          <t>Contractor Programme / SCH-03-047</t>
        </is>
      </c>
      <c r="C587" s="12" t="inlineStr">
        <is>
          <t>WBS Code = 1.3.1</t>
        </is>
      </c>
      <c r="D587" s="12" t="inlineStr">
        <is>
          <t>Proposed by Source assignment; target 1.3.1 Systems - Traction Power</t>
        </is>
      </c>
      <c r="E587" s="12" t="inlineStr">
        <is>
          <t>None recorded</t>
        </is>
      </c>
      <c r="F587" s="12" t="inlineStr">
        <is>
          <t>No individual professional decision recorded; Source assignment -- not individually reviewed</t>
        </is>
      </c>
      <c r="G587" s="12" t="inlineStr">
        <is>
          <t>Not individually decided</t>
        </is>
      </c>
      <c r="H587" s="12" t="inlineStr">
        <is>
          <t xml:space="preserve">APPROVED / ONE_TO_ONE; </t>
        </is>
      </c>
      <c r="I587" s="12" t="inlineStr">
        <is>
          <t>New</t>
        </is>
      </c>
      <c r="J587" s="17" t="inlineStr">
        <is>
          <t>08 CROSSWALK</t>
        </is>
      </c>
    </row>
    <row r="588" ht="49" customHeight="1">
      <c r="A588" s="12" t="inlineStr">
        <is>
          <t>R409-v1</t>
        </is>
      </c>
      <c r="B588" s="12" t="inlineStr">
        <is>
          <t>Contractor Programme / SCH-03-049</t>
        </is>
      </c>
      <c r="C588" s="12" t="inlineStr">
        <is>
          <t>WBS Code = 1.3.1</t>
        </is>
      </c>
      <c r="D588" s="12" t="inlineStr">
        <is>
          <t>Proposed by Source assignment; target 1.3.1 Systems - Traction Power</t>
        </is>
      </c>
      <c r="E588" s="12" t="inlineStr">
        <is>
          <t>None recorded</t>
        </is>
      </c>
      <c r="F588" s="12" t="inlineStr">
        <is>
          <t>No individual professional decision recorded; Source assignment -- not individually reviewed</t>
        </is>
      </c>
      <c r="G588" s="12" t="inlineStr">
        <is>
          <t>Not individually decided</t>
        </is>
      </c>
      <c r="H588" s="12" t="inlineStr">
        <is>
          <t xml:space="preserve">APPROVED / ONE_TO_ONE; </t>
        </is>
      </c>
      <c r="I588" s="12" t="inlineStr">
        <is>
          <t>New</t>
        </is>
      </c>
      <c r="J588" s="17" t="inlineStr">
        <is>
          <t>08 CROSSWALK</t>
        </is>
      </c>
    </row>
    <row r="589" ht="49" customHeight="1">
      <c r="A589" s="12" t="inlineStr">
        <is>
          <t>R410-v1</t>
        </is>
      </c>
      <c r="B589" s="12" t="inlineStr">
        <is>
          <t>Contractor Programme / SCH-03-050</t>
        </is>
      </c>
      <c r="C589" s="12" t="inlineStr">
        <is>
          <t>WBS Code = 1.3.1</t>
        </is>
      </c>
      <c r="D589" s="12" t="inlineStr">
        <is>
          <t>Proposed by Source assignment; target 1.3.1 Systems - Traction Power</t>
        </is>
      </c>
      <c r="E589" s="12" t="inlineStr">
        <is>
          <t>None recorded</t>
        </is>
      </c>
      <c r="F589" s="12" t="inlineStr">
        <is>
          <t>No individual professional decision recorded; Source assignment -- not individually reviewed</t>
        </is>
      </c>
      <c r="G589" s="12" t="inlineStr">
        <is>
          <t>Not individually decided</t>
        </is>
      </c>
      <c r="H589" s="12" t="inlineStr">
        <is>
          <t xml:space="preserve">APPROVED / ONE_TO_ONE; </t>
        </is>
      </c>
      <c r="I589" s="12" t="inlineStr">
        <is>
          <t>New</t>
        </is>
      </c>
      <c r="J589" s="17" t="inlineStr">
        <is>
          <t>08 CROSSWALK</t>
        </is>
      </c>
    </row>
    <row r="590" ht="49" customHeight="1">
      <c r="A590" s="12" t="inlineStr">
        <is>
          <t>R412-v1</t>
        </is>
      </c>
      <c r="B590" s="12" t="inlineStr">
        <is>
          <t>Contractor Programme / SCH-03-052</t>
        </is>
      </c>
      <c r="C590" s="12" t="inlineStr">
        <is>
          <t>WBS Code = 1.3.1</t>
        </is>
      </c>
      <c r="D590" s="12" t="inlineStr">
        <is>
          <t>Proposed by Source assignment; target 1.3.1 Systems - Traction Power</t>
        </is>
      </c>
      <c r="E590" s="12" t="inlineStr">
        <is>
          <t>None recorded</t>
        </is>
      </c>
      <c r="F590" s="12" t="inlineStr">
        <is>
          <t>No individual professional decision recorded; Source assignment -- not individually reviewed</t>
        </is>
      </c>
      <c r="G590" s="12" t="inlineStr">
        <is>
          <t>Not individually decided</t>
        </is>
      </c>
      <c r="H590" s="12" t="inlineStr">
        <is>
          <t xml:space="preserve">APPROVED / ONE_TO_ONE; </t>
        </is>
      </c>
      <c r="I590" s="12" t="inlineStr">
        <is>
          <t>New</t>
        </is>
      </c>
      <c r="J590" s="17" t="inlineStr">
        <is>
          <t>08 CROSSWALK</t>
        </is>
      </c>
    </row>
    <row r="591" ht="49" customHeight="1">
      <c r="A591" s="12" t="inlineStr">
        <is>
          <t>R413-v1</t>
        </is>
      </c>
      <c r="B591" s="12" t="inlineStr">
        <is>
          <t>Contractor Programme / SCH-03-053</t>
        </is>
      </c>
      <c r="C591" s="12" t="inlineStr">
        <is>
          <t>WBS Code = 1.3.1</t>
        </is>
      </c>
      <c r="D591" s="12" t="inlineStr">
        <is>
          <t>Proposed by Source assignment; target 1.3.1 Systems - Traction Power</t>
        </is>
      </c>
      <c r="E591" s="12" t="inlineStr">
        <is>
          <t>None recorded</t>
        </is>
      </c>
      <c r="F591" s="12" t="inlineStr">
        <is>
          <t>No individual professional decision recorded; Source assignment -- not individually reviewed</t>
        </is>
      </c>
      <c r="G591" s="12" t="inlineStr">
        <is>
          <t>Not individually decided</t>
        </is>
      </c>
      <c r="H591" s="12" t="inlineStr">
        <is>
          <t xml:space="preserve">APPROVED / ONE_TO_ONE; </t>
        </is>
      </c>
      <c r="I591" s="12" t="inlineStr">
        <is>
          <t>New</t>
        </is>
      </c>
      <c r="J591" s="17" t="inlineStr">
        <is>
          <t>08 CROSSWALK</t>
        </is>
      </c>
    </row>
    <row r="592" ht="49" customHeight="1">
      <c r="A592" s="12" t="inlineStr">
        <is>
          <t>R415-v1</t>
        </is>
      </c>
      <c r="B592" s="12" t="inlineStr">
        <is>
          <t>Contractor Programme / SCH-03-055</t>
        </is>
      </c>
      <c r="C592" s="12" t="inlineStr">
        <is>
          <t>WBS Code = 1.3.1</t>
        </is>
      </c>
      <c r="D592" s="12" t="inlineStr">
        <is>
          <t>Proposed by Source assignment; target 1.3.1 Systems - Traction Power</t>
        </is>
      </c>
      <c r="E592" s="12" t="inlineStr">
        <is>
          <t>None recorded</t>
        </is>
      </c>
      <c r="F592" s="12" t="inlineStr">
        <is>
          <t>No individual professional decision recorded; Source assignment -- not individually reviewed</t>
        </is>
      </c>
      <c r="G592" s="12" t="inlineStr">
        <is>
          <t>Not individually decided</t>
        </is>
      </c>
      <c r="H592" s="12" t="inlineStr">
        <is>
          <t xml:space="preserve">APPROVED / ONE_TO_ONE; </t>
        </is>
      </c>
      <c r="I592" s="12" t="inlineStr">
        <is>
          <t>New</t>
        </is>
      </c>
      <c r="J592" s="17" t="inlineStr">
        <is>
          <t>08 CROSSWALK</t>
        </is>
      </c>
    </row>
    <row r="593" ht="49" customHeight="1">
      <c r="A593" s="12" t="inlineStr">
        <is>
          <t>R416-v1</t>
        </is>
      </c>
      <c r="B593" s="12" t="inlineStr">
        <is>
          <t>Contractor Programme / SCH-03-056</t>
        </is>
      </c>
      <c r="C593" s="12" t="inlineStr">
        <is>
          <t>WBS Code = 1.3.1</t>
        </is>
      </c>
      <c r="D593" s="12" t="inlineStr">
        <is>
          <t>Proposed by Source assignment; target 1.3.1 Systems - Traction Power</t>
        </is>
      </c>
      <c r="E593" s="12" t="inlineStr">
        <is>
          <t>None recorded</t>
        </is>
      </c>
      <c r="F593" s="12" t="inlineStr">
        <is>
          <t>No individual professional decision recorded; Source assignment -- not individually reviewed</t>
        </is>
      </c>
      <c r="G593" s="12" t="inlineStr">
        <is>
          <t>Not individually decided</t>
        </is>
      </c>
      <c r="H593" s="12" t="inlineStr">
        <is>
          <t xml:space="preserve">APPROVED / ONE_TO_ONE; </t>
        </is>
      </c>
      <c r="I593" s="12" t="inlineStr">
        <is>
          <t>New</t>
        </is>
      </c>
      <c r="J593" s="17" t="inlineStr">
        <is>
          <t>08 CROSSWALK</t>
        </is>
      </c>
    </row>
    <row r="594" ht="49" customHeight="1">
      <c r="A594" s="12" t="inlineStr">
        <is>
          <t>R418-v1</t>
        </is>
      </c>
      <c r="B594" s="12" t="inlineStr">
        <is>
          <t>Contractor Programme / SCH-03-058</t>
        </is>
      </c>
      <c r="C594" s="12" t="inlineStr">
        <is>
          <t>WBS Code = 1.3.1</t>
        </is>
      </c>
      <c r="D594" s="12" t="inlineStr">
        <is>
          <t>Proposed by Source assignment; target 1.3.1 Systems - Traction Power</t>
        </is>
      </c>
      <c r="E594" s="12" t="inlineStr">
        <is>
          <t>None recorded</t>
        </is>
      </c>
      <c r="F594" s="12" t="inlineStr">
        <is>
          <t>No individual professional decision recorded; Source assignment -- not individually reviewed</t>
        </is>
      </c>
      <c r="G594" s="12" t="inlineStr">
        <is>
          <t>Not individually decided</t>
        </is>
      </c>
      <c r="H594" s="12" t="inlineStr">
        <is>
          <t xml:space="preserve">APPROVED / ONE_TO_ONE; </t>
        </is>
      </c>
      <c r="I594" s="12" t="inlineStr">
        <is>
          <t>New</t>
        </is>
      </c>
      <c r="J594" s="17" t="inlineStr">
        <is>
          <t>08 CROSSWALK</t>
        </is>
      </c>
    </row>
    <row r="595" ht="49" customHeight="1">
      <c r="A595" s="12" t="inlineStr">
        <is>
          <t>R419-v1</t>
        </is>
      </c>
      <c r="B595" s="12" t="inlineStr">
        <is>
          <t>Contractor Programme / SCH-03-059</t>
        </is>
      </c>
      <c r="C595" s="12" t="inlineStr">
        <is>
          <t>WBS Code = 1.3.1</t>
        </is>
      </c>
      <c r="D595" s="12" t="inlineStr">
        <is>
          <t>Proposed by Source assignment; target 1.3.1 Systems - Traction Power</t>
        </is>
      </c>
      <c r="E595" s="12" t="inlineStr">
        <is>
          <t>None recorded</t>
        </is>
      </c>
      <c r="F595" s="12" t="inlineStr">
        <is>
          <t>No individual professional decision recorded; Source assignment -- not individually reviewed</t>
        </is>
      </c>
      <c r="G595" s="12" t="inlineStr">
        <is>
          <t>Not individually decided</t>
        </is>
      </c>
      <c r="H595" s="12" t="inlineStr">
        <is>
          <t xml:space="preserve">APPROVED / ONE_TO_ONE; </t>
        </is>
      </c>
      <c r="I595" s="12" t="inlineStr">
        <is>
          <t>New</t>
        </is>
      </c>
      <c r="J595" s="17" t="inlineStr">
        <is>
          <t>08 CROSSWALK</t>
        </is>
      </c>
    </row>
    <row r="596" ht="49" customHeight="1">
      <c r="A596" s="12" t="inlineStr">
        <is>
          <t>R421-v1</t>
        </is>
      </c>
      <c r="B596" s="12" t="inlineStr">
        <is>
          <t>Contractor Programme / SCH-03-061</t>
        </is>
      </c>
      <c r="C596" s="12" t="inlineStr">
        <is>
          <t>WBS Code = 1.3.1</t>
        </is>
      </c>
      <c r="D596" s="12" t="inlineStr">
        <is>
          <t>Proposed by Source assignment; target 1.3.1 Systems - Traction Power</t>
        </is>
      </c>
      <c r="E596" s="12" t="inlineStr">
        <is>
          <t>None recorded</t>
        </is>
      </c>
      <c r="F596" s="12" t="inlineStr">
        <is>
          <t>No individual professional decision recorded; Source assignment -- not individually reviewed</t>
        </is>
      </c>
      <c r="G596" s="12" t="inlineStr">
        <is>
          <t>Not individually decided</t>
        </is>
      </c>
      <c r="H596" s="12" t="inlineStr">
        <is>
          <t xml:space="preserve">APPROVED / ONE_TO_ONE; </t>
        </is>
      </c>
      <c r="I596" s="12" t="inlineStr">
        <is>
          <t>New</t>
        </is>
      </c>
      <c r="J596" s="17" t="inlineStr">
        <is>
          <t>08 CROSSWALK</t>
        </is>
      </c>
    </row>
    <row r="597" ht="49" customHeight="1">
      <c r="A597" s="12" t="inlineStr">
        <is>
          <t>R422-v1</t>
        </is>
      </c>
      <c r="B597" s="12" t="inlineStr">
        <is>
          <t>Contractor Programme / SCH-03-062</t>
        </is>
      </c>
      <c r="C597" s="12" t="inlineStr">
        <is>
          <t>WBS Code = 1.3.1</t>
        </is>
      </c>
      <c r="D597" s="12" t="inlineStr">
        <is>
          <t>Proposed by Source assignment; target 1.3.1 Systems - Traction Power</t>
        </is>
      </c>
      <c r="E597" s="12" t="inlineStr">
        <is>
          <t>None recorded</t>
        </is>
      </c>
      <c r="F597" s="12" t="inlineStr">
        <is>
          <t>No individual professional decision recorded; Source assignment -- not individually reviewed</t>
        </is>
      </c>
      <c r="G597" s="12" t="inlineStr">
        <is>
          <t>Not individually decided</t>
        </is>
      </c>
      <c r="H597" s="12" t="inlineStr">
        <is>
          <t xml:space="preserve">APPROVED / ONE_TO_ONE; </t>
        </is>
      </c>
      <c r="I597" s="12" t="inlineStr">
        <is>
          <t>New</t>
        </is>
      </c>
      <c r="J597" s="17" t="inlineStr">
        <is>
          <t>08 CROSSWALK</t>
        </is>
      </c>
    </row>
    <row r="598" ht="49" customHeight="1">
      <c r="A598" s="12" t="inlineStr">
        <is>
          <t>R424-v1</t>
        </is>
      </c>
      <c r="B598" s="12" t="inlineStr">
        <is>
          <t>Contractor Programme / SCH-03-064</t>
        </is>
      </c>
      <c r="C598" s="12" t="inlineStr">
        <is>
          <t>WBS Code = 1.3.1</t>
        </is>
      </c>
      <c r="D598" s="12" t="inlineStr">
        <is>
          <t>Proposed by Source assignment; target 1.3.1 Systems - Traction Power</t>
        </is>
      </c>
      <c r="E598" s="12" t="inlineStr">
        <is>
          <t>None recorded</t>
        </is>
      </c>
      <c r="F598" s="12" t="inlineStr">
        <is>
          <t>No individual professional decision recorded; Source assignment -- not individually reviewed</t>
        </is>
      </c>
      <c r="G598" s="12" t="inlineStr">
        <is>
          <t>Not individually decided</t>
        </is>
      </c>
      <c r="H598" s="12" t="inlineStr">
        <is>
          <t xml:space="preserve">APPROVED / ONE_TO_ONE; </t>
        </is>
      </c>
      <c r="I598" s="12" t="inlineStr">
        <is>
          <t>New</t>
        </is>
      </c>
      <c r="J598" s="17" t="inlineStr">
        <is>
          <t>08 CROSSWALK</t>
        </is>
      </c>
    </row>
    <row r="599" ht="49" customHeight="1">
      <c r="A599" s="12" t="inlineStr">
        <is>
          <t>R425-v1</t>
        </is>
      </c>
      <c r="B599" s="12" t="inlineStr">
        <is>
          <t>Contractor Programme / SCH-03-065</t>
        </is>
      </c>
      <c r="C599" s="12" t="inlineStr">
        <is>
          <t>WBS Code = 1.3.1</t>
        </is>
      </c>
      <c r="D599" s="12" t="inlineStr">
        <is>
          <t>Proposed by Source assignment; target 1.3.1 Systems - Traction Power</t>
        </is>
      </c>
      <c r="E599" s="12" t="inlineStr">
        <is>
          <t>None recorded</t>
        </is>
      </c>
      <c r="F599" s="12" t="inlineStr">
        <is>
          <t>No individual professional decision recorded; Source assignment -- not individually reviewed</t>
        </is>
      </c>
      <c r="G599" s="12" t="inlineStr">
        <is>
          <t>Not individually decided</t>
        </is>
      </c>
      <c r="H599" s="12" t="inlineStr">
        <is>
          <t xml:space="preserve">APPROVED / ONE_TO_ONE; </t>
        </is>
      </c>
      <c r="I599" s="12" t="inlineStr">
        <is>
          <t>New</t>
        </is>
      </c>
      <c r="J599" s="17" t="inlineStr">
        <is>
          <t>08 CROSSWALK</t>
        </is>
      </c>
    </row>
    <row r="600" ht="49" customHeight="1">
      <c r="A600" s="12" t="inlineStr">
        <is>
          <t>R427-v1</t>
        </is>
      </c>
      <c r="B600" s="12" t="inlineStr">
        <is>
          <t>Contractor Programme / SCH-03-067</t>
        </is>
      </c>
      <c r="C600" s="12" t="inlineStr">
        <is>
          <t>WBS Code = 1.3.1</t>
        </is>
      </c>
      <c r="D600" s="12" t="inlineStr">
        <is>
          <t>Proposed by Source assignment; target 1.3.1 Systems - Traction Power</t>
        </is>
      </c>
      <c r="E600" s="12" t="inlineStr">
        <is>
          <t>None recorded</t>
        </is>
      </c>
      <c r="F600" s="12" t="inlineStr">
        <is>
          <t>No individual professional decision recorded; Source assignment -- not individually reviewed</t>
        </is>
      </c>
      <c r="G600" s="12" t="inlineStr">
        <is>
          <t>Not individually decided</t>
        </is>
      </c>
      <c r="H600" s="12" t="inlineStr">
        <is>
          <t xml:space="preserve">APPROVED / ONE_TO_ONE; </t>
        </is>
      </c>
      <c r="I600" s="12" t="inlineStr">
        <is>
          <t>New</t>
        </is>
      </c>
      <c r="J600" s="17" t="inlineStr">
        <is>
          <t>08 CROSSWALK</t>
        </is>
      </c>
    </row>
    <row r="601" ht="49" customHeight="1">
      <c r="A601" s="12" t="inlineStr">
        <is>
          <t>R428-v1</t>
        </is>
      </c>
      <c r="B601" s="12" t="inlineStr">
        <is>
          <t>Contractor Programme / SCH-03-068</t>
        </is>
      </c>
      <c r="C601" s="12" t="inlineStr">
        <is>
          <t>WBS Code = 1.3.1</t>
        </is>
      </c>
      <c r="D601" s="12" t="inlineStr">
        <is>
          <t>Proposed by Source assignment; target 1.3.1 Systems - Traction Power</t>
        </is>
      </c>
      <c r="E601" s="12" t="inlineStr">
        <is>
          <t>None recorded</t>
        </is>
      </c>
      <c r="F601" s="12" t="inlineStr">
        <is>
          <t>No individual professional decision recorded; Source assignment -- not individually reviewed</t>
        </is>
      </c>
      <c r="G601" s="12" t="inlineStr">
        <is>
          <t>Not individually decided</t>
        </is>
      </c>
      <c r="H601" s="12" t="inlineStr">
        <is>
          <t xml:space="preserve">APPROVED / ONE_TO_ONE; </t>
        </is>
      </c>
      <c r="I601" s="12" t="inlineStr">
        <is>
          <t>New</t>
        </is>
      </c>
      <c r="J601" s="17" t="inlineStr">
        <is>
          <t>08 CROSSWALK</t>
        </is>
      </c>
    </row>
    <row r="602" ht="49" customHeight="1">
      <c r="A602" s="12" t="inlineStr">
        <is>
          <t>R430-v1</t>
        </is>
      </c>
      <c r="B602" s="12" t="inlineStr">
        <is>
          <t>Contractor Programme / SCH-03-070</t>
        </is>
      </c>
      <c r="C602" s="12" t="inlineStr">
        <is>
          <t>WBS Code = 1.3.1</t>
        </is>
      </c>
      <c r="D602" s="12" t="inlineStr">
        <is>
          <t>Proposed by Source assignment; target 1.3.1 Systems - Traction Power</t>
        </is>
      </c>
      <c r="E602" s="12" t="inlineStr">
        <is>
          <t>None recorded</t>
        </is>
      </c>
      <c r="F602" s="12" t="inlineStr">
        <is>
          <t>No individual professional decision recorded; Source assignment -- not individually reviewed</t>
        </is>
      </c>
      <c r="G602" s="12" t="inlineStr">
        <is>
          <t>Not individually decided</t>
        </is>
      </c>
      <c r="H602" s="12" t="inlineStr">
        <is>
          <t xml:space="preserve">APPROVED / ONE_TO_ONE; </t>
        </is>
      </c>
      <c r="I602" s="12" t="inlineStr">
        <is>
          <t>New</t>
        </is>
      </c>
      <c r="J602" s="17" t="inlineStr">
        <is>
          <t>08 CROSSWALK</t>
        </is>
      </c>
    </row>
    <row r="603" ht="49" customHeight="1">
      <c r="A603" s="12" t="inlineStr">
        <is>
          <t>R431-v1</t>
        </is>
      </c>
      <c r="B603" s="12" t="inlineStr">
        <is>
          <t>Contractor Programme / SCH-03-071</t>
        </is>
      </c>
      <c r="C603" s="12" t="inlineStr">
        <is>
          <t>WBS Code = 1.3.1</t>
        </is>
      </c>
      <c r="D603" s="12" t="inlineStr">
        <is>
          <t>Proposed by Source assignment; target 1.3.1 Systems - Traction Power</t>
        </is>
      </c>
      <c r="E603" s="12" t="inlineStr">
        <is>
          <t>None recorded</t>
        </is>
      </c>
      <c r="F603" s="12" t="inlineStr">
        <is>
          <t>No individual professional decision recorded; Source assignment -- not individually reviewed</t>
        </is>
      </c>
      <c r="G603" s="12" t="inlineStr">
        <is>
          <t>Not individually decided</t>
        </is>
      </c>
      <c r="H603" s="12" t="inlineStr">
        <is>
          <t xml:space="preserve">APPROVED / ONE_TO_ONE; </t>
        </is>
      </c>
      <c r="I603" s="12" t="inlineStr">
        <is>
          <t>New</t>
        </is>
      </c>
      <c r="J603" s="17" t="inlineStr">
        <is>
          <t>08 CROSSWALK</t>
        </is>
      </c>
    </row>
    <row r="604" ht="49" customHeight="1">
      <c r="A604" s="12" t="inlineStr">
        <is>
          <t>R433-v1</t>
        </is>
      </c>
      <c r="B604" s="12" t="inlineStr">
        <is>
          <t>Contractor Programme / SCH-03-073</t>
        </is>
      </c>
      <c r="C604" s="12" t="inlineStr">
        <is>
          <t>WBS Code = 1.3.1</t>
        </is>
      </c>
      <c r="D604" s="12" t="inlineStr">
        <is>
          <t>Proposed by Source assignment; target 1.3.1 Systems - Traction Power</t>
        </is>
      </c>
      <c r="E604" s="12" t="inlineStr">
        <is>
          <t>None recorded</t>
        </is>
      </c>
      <c r="F604" s="12" t="inlineStr">
        <is>
          <t>No individual professional decision recorded; Source assignment -- not individually reviewed</t>
        </is>
      </c>
      <c r="G604" s="12" t="inlineStr">
        <is>
          <t>Not individually decided</t>
        </is>
      </c>
      <c r="H604" s="12" t="inlineStr">
        <is>
          <t xml:space="preserve">APPROVED / ONE_TO_ONE; </t>
        </is>
      </c>
      <c r="I604" s="12" t="inlineStr">
        <is>
          <t>New</t>
        </is>
      </c>
      <c r="J604" s="17" t="inlineStr">
        <is>
          <t>08 CROSSWALK</t>
        </is>
      </c>
    </row>
    <row r="605" ht="49" customHeight="1">
      <c r="A605" s="12" t="inlineStr">
        <is>
          <t>R434-v1</t>
        </is>
      </c>
      <c r="B605" s="12" t="inlineStr">
        <is>
          <t>Contractor Programme / SCH-03-074</t>
        </is>
      </c>
      <c r="C605" s="12" t="inlineStr">
        <is>
          <t>WBS Code = 1.3.1</t>
        </is>
      </c>
      <c r="D605" s="12" t="inlineStr">
        <is>
          <t>Proposed by Source assignment; target 1.3.1 Systems - Traction Power</t>
        </is>
      </c>
      <c r="E605" s="12" t="inlineStr">
        <is>
          <t>None recorded</t>
        </is>
      </c>
      <c r="F605" s="12" t="inlineStr">
        <is>
          <t>No individual professional decision recorded; Source assignment -- not individually reviewed</t>
        </is>
      </c>
      <c r="G605" s="12" t="inlineStr">
        <is>
          <t>Not individually decided</t>
        </is>
      </c>
      <c r="H605" s="12" t="inlineStr">
        <is>
          <t xml:space="preserve">APPROVED / ONE_TO_ONE; </t>
        </is>
      </c>
      <c r="I605" s="12" t="inlineStr">
        <is>
          <t>New</t>
        </is>
      </c>
      <c r="J605" s="17" t="inlineStr">
        <is>
          <t>08 CROSSWALK</t>
        </is>
      </c>
    </row>
    <row r="606" ht="49" customHeight="1">
      <c r="A606" s="12" t="inlineStr">
        <is>
          <t>R436-v1</t>
        </is>
      </c>
      <c r="B606" s="12" t="inlineStr">
        <is>
          <t>Contractor Programme / SCH-03-076</t>
        </is>
      </c>
      <c r="C606" s="12" t="inlineStr">
        <is>
          <t>WBS Code = 1.3.1</t>
        </is>
      </c>
      <c r="D606" s="12" t="inlineStr">
        <is>
          <t>Proposed by Source assignment; target 1.3.1 Systems - Traction Power</t>
        </is>
      </c>
      <c r="E606" s="12" t="inlineStr">
        <is>
          <t>None recorded</t>
        </is>
      </c>
      <c r="F606" s="12" t="inlineStr">
        <is>
          <t>No individual professional decision recorded; Source assignment -- not individually reviewed</t>
        </is>
      </c>
      <c r="G606" s="12" t="inlineStr">
        <is>
          <t>Not individually decided</t>
        </is>
      </c>
      <c r="H606" s="12" t="inlineStr">
        <is>
          <t xml:space="preserve">APPROVED / ONE_TO_ONE; </t>
        </is>
      </c>
      <c r="I606" s="12" t="inlineStr">
        <is>
          <t>New</t>
        </is>
      </c>
      <c r="J606" s="17" t="inlineStr">
        <is>
          <t>08 CROSSWALK</t>
        </is>
      </c>
    </row>
    <row r="607" ht="49" customHeight="1">
      <c r="A607" s="12" t="inlineStr">
        <is>
          <t>R437-v1</t>
        </is>
      </c>
      <c r="B607" s="12" t="inlineStr">
        <is>
          <t>Contractor Programme / SCH-03-077</t>
        </is>
      </c>
      <c r="C607" s="12" t="inlineStr">
        <is>
          <t>WBS Code = 1.3.1</t>
        </is>
      </c>
      <c r="D607" s="12" t="inlineStr">
        <is>
          <t>Proposed by Source assignment; target 1.3.1 Systems - Traction Power</t>
        </is>
      </c>
      <c r="E607" s="12" t="inlineStr">
        <is>
          <t>None recorded</t>
        </is>
      </c>
      <c r="F607" s="12" t="inlineStr">
        <is>
          <t>No individual professional decision recorded; Source assignment -- not individually reviewed</t>
        </is>
      </c>
      <c r="G607" s="12" t="inlineStr">
        <is>
          <t>Not individually decided</t>
        </is>
      </c>
      <c r="H607" s="12" t="inlineStr">
        <is>
          <t xml:space="preserve">APPROVED / ONE_TO_ONE; </t>
        </is>
      </c>
      <c r="I607" s="12" t="inlineStr">
        <is>
          <t>New</t>
        </is>
      </c>
      <c r="J607" s="17" t="inlineStr">
        <is>
          <t>08 CROSSWALK</t>
        </is>
      </c>
    </row>
    <row r="608" ht="49" customHeight="1">
      <c r="A608" s="12" t="inlineStr">
        <is>
          <t>R439-v1</t>
        </is>
      </c>
      <c r="B608" s="12" t="inlineStr">
        <is>
          <t>Contractor Programme / SCH-03-079</t>
        </is>
      </c>
      <c r="C608" s="12" t="inlineStr">
        <is>
          <t>WBS Code = 1.3.1</t>
        </is>
      </c>
      <c r="D608" s="12" t="inlineStr">
        <is>
          <t>Proposed by Source assignment; target 1.3.1 Systems - Traction Power</t>
        </is>
      </c>
      <c r="E608" s="12" t="inlineStr">
        <is>
          <t>None recorded</t>
        </is>
      </c>
      <c r="F608" s="12" t="inlineStr">
        <is>
          <t>No individual professional decision recorded; Source assignment -- not individually reviewed</t>
        </is>
      </c>
      <c r="G608" s="12" t="inlineStr">
        <is>
          <t>Not individually decided</t>
        </is>
      </c>
      <c r="H608" s="12" t="inlineStr">
        <is>
          <t xml:space="preserve">APPROVED / ONE_TO_ONE; </t>
        </is>
      </c>
      <c r="I608" s="12" t="inlineStr">
        <is>
          <t>New</t>
        </is>
      </c>
      <c r="J608" s="17" t="inlineStr">
        <is>
          <t>08 CROSSWALK</t>
        </is>
      </c>
    </row>
    <row r="609" ht="49" customHeight="1">
      <c r="A609" s="12" t="inlineStr">
        <is>
          <t>R440-v1</t>
        </is>
      </c>
      <c r="B609" s="12" t="inlineStr">
        <is>
          <t>Contractor Programme / SCH-03-080</t>
        </is>
      </c>
      <c r="C609" s="12" t="inlineStr">
        <is>
          <t>WBS Code = 1.3.1</t>
        </is>
      </c>
      <c r="D609" s="12" t="inlineStr">
        <is>
          <t>Proposed by Source assignment; target 1.3.1 Systems - Traction Power</t>
        </is>
      </c>
      <c r="E609" s="12" t="inlineStr">
        <is>
          <t>None recorded</t>
        </is>
      </c>
      <c r="F609" s="12" t="inlineStr">
        <is>
          <t>No individual professional decision recorded; Source assignment -- not individually reviewed</t>
        </is>
      </c>
      <c r="G609" s="12" t="inlineStr">
        <is>
          <t>Not individually decided</t>
        </is>
      </c>
      <c r="H609" s="12" t="inlineStr">
        <is>
          <t xml:space="preserve">APPROVED / ONE_TO_ONE; </t>
        </is>
      </c>
      <c r="I609" s="12" t="inlineStr">
        <is>
          <t>New</t>
        </is>
      </c>
      <c r="J609" s="17" t="inlineStr">
        <is>
          <t>08 CROSSWALK</t>
        </is>
      </c>
    </row>
    <row r="610" ht="49" customHeight="1">
      <c r="A610" s="12" t="inlineStr">
        <is>
          <t>R442-v1</t>
        </is>
      </c>
      <c r="B610" s="12" t="inlineStr">
        <is>
          <t>Contractor Programme / SCH-03-082</t>
        </is>
      </c>
      <c r="C610" s="12" t="inlineStr">
        <is>
          <t>WBS Code = 1.3.1</t>
        </is>
      </c>
      <c r="D610" s="12" t="inlineStr">
        <is>
          <t>Proposed by Source assignment; target 1.3.1 Systems - Traction Power</t>
        </is>
      </c>
      <c r="E610" s="12" t="inlineStr">
        <is>
          <t>None recorded</t>
        </is>
      </c>
      <c r="F610" s="12" t="inlineStr">
        <is>
          <t>No individual professional decision recorded; Source assignment -- not individually reviewed</t>
        </is>
      </c>
      <c r="G610" s="12" t="inlineStr">
        <is>
          <t>Not individually decided</t>
        </is>
      </c>
      <c r="H610" s="12" t="inlineStr">
        <is>
          <t xml:space="preserve">APPROVED / ONE_TO_ONE; </t>
        </is>
      </c>
      <c r="I610" s="12" t="inlineStr">
        <is>
          <t>New</t>
        </is>
      </c>
      <c r="J610" s="17" t="inlineStr">
        <is>
          <t>08 CROSSWALK</t>
        </is>
      </c>
    </row>
    <row r="611" ht="49" customHeight="1">
      <c r="A611" s="12" t="inlineStr">
        <is>
          <t>R443-v1</t>
        </is>
      </c>
      <c r="B611" s="12" t="inlineStr">
        <is>
          <t>Contractor Programme / SCH-03-083</t>
        </is>
      </c>
      <c r="C611" s="12" t="inlineStr">
        <is>
          <t>WBS Code = 1.3.1</t>
        </is>
      </c>
      <c r="D611" s="12" t="inlineStr">
        <is>
          <t>Proposed by Source assignment; target 1.3.1 Systems - Traction Power</t>
        </is>
      </c>
      <c r="E611" s="12" t="inlineStr">
        <is>
          <t>None recorded</t>
        </is>
      </c>
      <c r="F611" s="12" t="inlineStr">
        <is>
          <t>No individual professional decision recorded; Source assignment -- not individually reviewed</t>
        </is>
      </c>
      <c r="G611" s="12" t="inlineStr">
        <is>
          <t>Not individually decided</t>
        </is>
      </c>
      <c r="H611" s="12" t="inlineStr">
        <is>
          <t xml:space="preserve">APPROVED / ONE_TO_ONE; </t>
        </is>
      </c>
      <c r="I611" s="12" t="inlineStr">
        <is>
          <t>New</t>
        </is>
      </c>
      <c r="J611" s="17" t="inlineStr">
        <is>
          <t>08 CROSSWALK</t>
        </is>
      </c>
    </row>
    <row r="612" ht="49" customHeight="1">
      <c r="A612" s="12" t="inlineStr">
        <is>
          <t>R445-v1</t>
        </is>
      </c>
      <c r="B612" s="12" t="inlineStr">
        <is>
          <t>Contractor Programme / SCH-03-085</t>
        </is>
      </c>
      <c r="C612" s="12" t="inlineStr">
        <is>
          <t>WBS Code = 1.3.1</t>
        </is>
      </c>
      <c r="D612" s="12" t="inlineStr">
        <is>
          <t>Proposed by Source assignment; target 1.3.1 Systems - Traction Power</t>
        </is>
      </c>
      <c r="E612" s="12" t="inlineStr">
        <is>
          <t>None recorded</t>
        </is>
      </c>
      <c r="F612" s="12" t="inlineStr">
        <is>
          <t>No individual professional decision recorded; Source assignment -- not individually reviewed</t>
        </is>
      </c>
      <c r="G612" s="12" t="inlineStr">
        <is>
          <t>Not individually decided</t>
        </is>
      </c>
      <c r="H612" s="12" t="inlineStr">
        <is>
          <t xml:space="preserve">APPROVED / ONE_TO_ONE; </t>
        </is>
      </c>
      <c r="I612" s="12" t="inlineStr">
        <is>
          <t>New</t>
        </is>
      </c>
      <c r="J612" s="17" t="inlineStr">
        <is>
          <t>08 CROSSWALK</t>
        </is>
      </c>
    </row>
    <row r="613" ht="49" customHeight="1">
      <c r="A613" s="12" t="inlineStr">
        <is>
          <t>R446-v1</t>
        </is>
      </c>
      <c r="B613" s="12" t="inlineStr">
        <is>
          <t>Contractor Programme / SCH-03-086</t>
        </is>
      </c>
      <c r="C613" s="12" t="inlineStr">
        <is>
          <t>WBS Code = 1.3.1</t>
        </is>
      </c>
      <c r="D613" s="12" t="inlineStr">
        <is>
          <t>Proposed by Source assignment; target 1.3.1 Systems - Traction Power</t>
        </is>
      </c>
      <c r="E613" s="12" t="inlineStr">
        <is>
          <t>None recorded</t>
        </is>
      </c>
      <c r="F613" s="12" t="inlineStr">
        <is>
          <t>No individual professional decision recorded; Source assignment -- not individually reviewed</t>
        </is>
      </c>
      <c r="G613" s="12" t="inlineStr">
        <is>
          <t>Not individually decided</t>
        </is>
      </c>
      <c r="H613" s="12" t="inlineStr">
        <is>
          <t xml:space="preserve">APPROVED / ONE_TO_ONE; </t>
        </is>
      </c>
      <c r="I613" s="12" t="inlineStr">
        <is>
          <t>New</t>
        </is>
      </c>
      <c r="J613" s="17" t="inlineStr">
        <is>
          <t>08 CROSSWALK</t>
        </is>
      </c>
    </row>
    <row r="614" ht="49" customHeight="1">
      <c r="A614" s="12" t="inlineStr">
        <is>
          <t>R448-v1</t>
        </is>
      </c>
      <c r="B614" s="12" t="inlineStr">
        <is>
          <t>Contractor Programme / SCH-03-088</t>
        </is>
      </c>
      <c r="C614" s="12" t="inlineStr">
        <is>
          <t>WBS Code = 1.3.1</t>
        </is>
      </c>
      <c r="D614" s="12" t="inlineStr">
        <is>
          <t>Proposed by Source assignment; target 1.3.1 Systems - Traction Power</t>
        </is>
      </c>
      <c r="E614" s="12" t="inlineStr">
        <is>
          <t>None recorded</t>
        </is>
      </c>
      <c r="F614" s="12" t="inlineStr">
        <is>
          <t>No individual professional decision recorded; Source assignment -- not individually reviewed</t>
        </is>
      </c>
      <c r="G614" s="12" t="inlineStr">
        <is>
          <t>Not individually decided</t>
        </is>
      </c>
      <c r="H614" s="12" t="inlineStr">
        <is>
          <t xml:space="preserve">APPROVED / ONE_TO_ONE; </t>
        </is>
      </c>
      <c r="I614" s="12" t="inlineStr">
        <is>
          <t>New</t>
        </is>
      </c>
      <c r="J614" s="17" t="inlineStr">
        <is>
          <t>08 CROSSWALK</t>
        </is>
      </c>
    </row>
    <row r="615" ht="49" customHeight="1">
      <c r="A615" s="12" t="inlineStr">
        <is>
          <t>R449-v1</t>
        </is>
      </c>
      <c r="B615" s="12" t="inlineStr">
        <is>
          <t>Contractor Programme / SCH-03-089</t>
        </is>
      </c>
      <c r="C615" s="12" t="inlineStr">
        <is>
          <t>WBS Code = 1.3.1</t>
        </is>
      </c>
      <c r="D615" s="12" t="inlineStr">
        <is>
          <t>Proposed by Source assignment; target 1.3.1 Systems - Traction Power</t>
        </is>
      </c>
      <c r="E615" s="12" t="inlineStr">
        <is>
          <t>None recorded</t>
        </is>
      </c>
      <c r="F615" s="12" t="inlineStr">
        <is>
          <t>No individual professional decision recorded; Source assignment -- not individually reviewed</t>
        </is>
      </c>
      <c r="G615" s="12" t="inlineStr">
        <is>
          <t>Not individually decided</t>
        </is>
      </c>
      <c r="H615" s="12" t="inlineStr">
        <is>
          <t xml:space="preserve">APPROVED / ONE_TO_ONE; </t>
        </is>
      </c>
      <c r="I615" s="12" t="inlineStr">
        <is>
          <t>New</t>
        </is>
      </c>
      <c r="J615" s="17" t="inlineStr">
        <is>
          <t>08 CROSSWALK</t>
        </is>
      </c>
    </row>
    <row r="616" ht="49" customHeight="1">
      <c r="A616" s="12" t="inlineStr">
        <is>
          <t>R451-v1</t>
        </is>
      </c>
      <c r="B616" s="12" t="inlineStr">
        <is>
          <t>Contractor Programme / SCH-03-091</t>
        </is>
      </c>
      <c r="C616" s="12" t="inlineStr">
        <is>
          <t>WBS Code = 1.3.1</t>
        </is>
      </c>
      <c r="D616" s="12" t="inlineStr">
        <is>
          <t>Proposed by Source assignment; target 1.3.1 Systems - Traction Power</t>
        </is>
      </c>
      <c r="E616" s="12" t="inlineStr">
        <is>
          <t>None recorded</t>
        </is>
      </c>
      <c r="F616" s="12" t="inlineStr">
        <is>
          <t>No individual professional decision recorded; Source assignment -- not individually reviewed</t>
        </is>
      </c>
      <c r="G616" s="12" t="inlineStr">
        <is>
          <t>Not individually decided</t>
        </is>
      </c>
      <c r="H616" s="12" t="inlineStr">
        <is>
          <t xml:space="preserve">APPROVED / ONE_TO_ONE; </t>
        </is>
      </c>
      <c r="I616" s="12" t="inlineStr">
        <is>
          <t>New</t>
        </is>
      </c>
      <c r="J616" s="17" t="inlineStr">
        <is>
          <t>08 CROSSWALK</t>
        </is>
      </c>
    </row>
    <row r="617" ht="49" customHeight="1">
      <c r="A617" s="12" t="inlineStr">
        <is>
          <t>R452-v1</t>
        </is>
      </c>
      <c r="B617" s="12" t="inlineStr">
        <is>
          <t>Contractor Programme / SCH-03-092</t>
        </is>
      </c>
      <c r="C617" s="12" t="inlineStr">
        <is>
          <t>WBS Code = 1.3.1</t>
        </is>
      </c>
      <c r="D617" s="12" t="inlineStr">
        <is>
          <t>Proposed by Source assignment; target 1.3.1 Systems - Traction Power</t>
        </is>
      </c>
      <c r="E617" s="12" t="inlineStr">
        <is>
          <t>None recorded</t>
        </is>
      </c>
      <c r="F617" s="12" t="inlineStr">
        <is>
          <t>No individual professional decision recorded; Source assignment -- not individually reviewed</t>
        </is>
      </c>
      <c r="G617" s="12" t="inlineStr">
        <is>
          <t>Not individually decided</t>
        </is>
      </c>
      <c r="H617" s="12" t="inlineStr">
        <is>
          <t xml:space="preserve">APPROVED / ONE_TO_ONE; </t>
        </is>
      </c>
      <c r="I617" s="12" t="inlineStr">
        <is>
          <t>New</t>
        </is>
      </c>
      <c r="J617" s="17" t="inlineStr">
        <is>
          <t>08 CROSSWALK</t>
        </is>
      </c>
    </row>
    <row r="618" ht="49" customHeight="1">
      <c r="A618" s="12" t="inlineStr">
        <is>
          <t>R454-v1</t>
        </is>
      </c>
      <c r="B618" s="12" t="inlineStr">
        <is>
          <t>Contractor Programme / SCH-03-094</t>
        </is>
      </c>
      <c r="C618" s="12" t="inlineStr">
        <is>
          <t>WBS Code = 1.3.1</t>
        </is>
      </c>
      <c r="D618" s="12" t="inlineStr">
        <is>
          <t>Proposed by Source assignment; target 1.3.1 Systems - Traction Power</t>
        </is>
      </c>
      <c r="E618" s="12" t="inlineStr">
        <is>
          <t>None recorded</t>
        </is>
      </c>
      <c r="F618" s="12" t="inlineStr">
        <is>
          <t>No individual professional decision recorded; Source assignment -- not individually reviewed</t>
        </is>
      </c>
      <c r="G618" s="12" t="inlineStr">
        <is>
          <t>Not individually decided</t>
        </is>
      </c>
      <c r="H618" s="12" t="inlineStr">
        <is>
          <t xml:space="preserve">APPROVED / ONE_TO_ONE; </t>
        </is>
      </c>
      <c r="I618" s="12" t="inlineStr">
        <is>
          <t>New</t>
        </is>
      </c>
      <c r="J618" s="17" t="inlineStr">
        <is>
          <t>08 CROSSWALK</t>
        </is>
      </c>
    </row>
    <row r="619" ht="49" customHeight="1">
      <c r="A619" s="12" t="inlineStr">
        <is>
          <t>R455-v1</t>
        </is>
      </c>
      <c r="B619" s="12" t="inlineStr">
        <is>
          <t>Contractor Programme / SCH-03-095</t>
        </is>
      </c>
      <c r="C619" s="12" t="inlineStr">
        <is>
          <t>WBS Code = 1.3.1</t>
        </is>
      </c>
      <c r="D619" s="12" t="inlineStr">
        <is>
          <t>Proposed by Source assignment; target 1.3.1 Systems - Traction Power</t>
        </is>
      </c>
      <c r="E619" s="12" t="inlineStr">
        <is>
          <t>None recorded</t>
        </is>
      </c>
      <c r="F619" s="12" t="inlineStr">
        <is>
          <t>No individual professional decision recorded; Source assignment -- not individually reviewed</t>
        </is>
      </c>
      <c r="G619" s="12" t="inlineStr">
        <is>
          <t>Not individually decided</t>
        </is>
      </c>
      <c r="H619" s="12" t="inlineStr">
        <is>
          <t xml:space="preserve">APPROVED / ONE_TO_ONE; </t>
        </is>
      </c>
      <c r="I619" s="12" t="inlineStr">
        <is>
          <t>New</t>
        </is>
      </c>
      <c r="J619" s="17" t="inlineStr">
        <is>
          <t>08 CROSSWALK</t>
        </is>
      </c>
    </row>
    <row r="620" ht="49" customHeight="1">
      <c r="A620" s="12" t="inlineStr">
        <is>
          <t>R457-v1</t>
        </is>
      </c>
      <c r="B620" s="12" t="inlineStr">
        <is>
          <t>Contractor Programme / SCH-03-097</t>
        </is>
      </c>
      <c r="C620" s="12" t="inlineStr">
        <is>
          <t>WBS Code = 1.3.1</t>
        </is>
      </c>
      <c r="D620" s="12" t="inlineStr">
        <is>
          <t>Proposed by Source assignment; target 1.3.1 Systems - Traction Power</t>
        </is>
      </c>
      <c r="E620" s="12" t="inlineStr">
        <is>
          <t>None recorded</t>
        </is>
      </c>
      <c r="F620" s="12" t="inlineStr">
        <is>
          <t>No individual professional decision recorded; Source assignment -- not individually reviewed</t>
        </is>
      </c>
      <c r="G620" s="12" t="inlineStr">
        <is>
          <t>Not individually decided</t>
        </is>
      </c>
      <c r="H620" s="12" t="inlineStr">
        <is>
          <t xml:space="preserve">APPROVED / ONE_TO_ONE; </t>
        </is>
      </c>
      <c r="I620" s="12" t="inlineStr">
        <is>
          <t>New</t>
        </is>
      </c>
      <c r="J620" s="17" t="inlineStr">
        <is>
          <t>08 CROSSWALK</t>
        </is>
      </c>
    </row>
    <row r="621" ht="49" customHeight="1">
      <c r="A621" s="12" t="inlineStr">
        <is>
          <t>R458-v1</t>
        </is>
      </c>
      <c r="B621" s="12" t="inlineStr">
        <is>
          <t>Contractor Programme / SCH-03-098</t>
        </is>
      </c>
      <c r="C621" s="12" t="inlineStr">
        <is>
          <t>WBS Code = 1.3.1</t>
        </is>
      </c>
      <c r="D621" s="12" t="inlineStr">
        <is>
          <t>Proposed by Source assignment; target 1.3.1 Systems - Traction Power</t>
        </is>
      </c>
      <c r="E621" s="12" t="inlineStr">
        <is>
          <t>None recorded</t>
        </is>
      </c>
      <c r="F621" s="12" t="inlineStr">
        <is>
          <t>No individual professional decision recorded; Source assignment -- not individually reviewed</t>
        </is>
      </c>
      <c r="G621" s="12" t="inlineStr">
        <is>
          <t>Not individually decided</t>
        </is>
      </c>
      <c r="H621" s="12" t="inlineStr">
        <is>
          <t xml:space="preserve">APPROVED / ONE_TO_ONE; </t>
        </is>
      </c>
      <c r="I621" s="12" t="inlineStr">
        <is>
          <t>New</t>
        </is>
      </c>
      <c r="J621" s="17" t="inlineStr">
        <is>
          <t>08 CROSSWALK</t>
        </is>
      </c>
    </row>
    <row r="622" ht="49" customHeight="1">
      <c r="A622" s="12" t="inlineStr">
        <is>
          <t>R460-v1</t>
        </is>
      </c>
      <c r="B622" s="12" t="inlineStr">
        <is>
          <t>Contractor Programme / SCH-03-100</t>
        </is>
      </c>
      <c r="C622" s="12" t="inlineStr">
        <is>
          <t>WBS Code = 1.3.1</t>
        </is>
      </c>
      <c r="D622" s="12" t="inlineStr">
        <is>
          <t>Proposed by Source assignment; target 1.3.1 Systems - Traction Power</t>
        </is>
      </c>
      <c r="E622" s="12" t="inlineStr">
        <is>
          <t>None recorded</t>
        </is>
      </c>
      <c r="F622" s="12" t="inlineStr">
        <is>
          <t>No individual professional decision recorded; Source assignment -- not individually reviewed</t>
        </is>
      </c>
      <c r="G622" s="12" t="inlineStr">
        <is>
          <t>Not individually decided</t>
        </is>
      </c>
      <c r="H622" s="12" t="inlineStr">
        <is>
          <t xml:space="preserve">APPROVED / ONE_TO_ONE; </t>
        </is>
      </c>
      <c r="I622" s="12" t="inlineStr">
        <is>
          <t>New</t>
        </is>
      </c>
      <c r="J622" s="17" t="inlineStr">
        <is>
          <t>08 CROSSWALK</t>
        </is>
      </c>
    </row>
    <row r="623" ht="49" customHeight="1">
      <c r="A623" s="12" t="inlineStr">
        <is>
          <t>R461-v1</t>
        </is>
      </c>
      <c r="B623" s="12" t="inlineStr">
        <is>
          <t>Contractor Programme / SCH-03-101</t>
        </is>
      </c>
      <c r="C623" s="12" t="inlineStr">
        <is>
          <t>WBS Code = 1.3.1</t>
        </is>
      </c>
      <c r="D623" s="12" t="inlineStr">
        <is>
          <t>Proposed by Source assignment; target 1.3.1 Systems - Traction Power</t>
        </is>
      </c>
      <c r="E623" s="12" t="inlineStr">
        <is>
          <t>None recorded</t>
        </is>
      </c>
      <c r="F623" s="12" t="inlineStr">
        <is>
          <t>No individual professional decision recorded; Source assignment -- not individually reviewed</t>
        </is>
      </c>
      <c r="G623" s="12" t="inlineStr">
        <is>
          <t>Not individually decided</t>
        </is>
      </c>
      <c r="H623" s="12" t="inlineStr">
        <is>
          <t xml:space="preserve">APPROVED / ONE_TO_ONE; </t>
        </is>
      </c>
      <c r="I623" s="12" t="inlineStr">
        <is>
          <t>New</t>
        </is>
      </c>
      <c r="J623" s="17" t="inlineStr">
        <is>
          <t>08 CROSSWALK</t>
        </is>
      </c>
    </row>
    <row r="624" ht="49" customHeight="1">
      <c r="A624" s="12" t="inlineStr">
        <is>
          <t>R463-v1</t>
        </is>
      </c>
      <c r="B624" s="12" t="inlineStr">
        <is>
          <t>Contractor Programme / SCH-03-103</t>
        </is>
      </c>
      <c r="C624" s="12" t="inlineStr">
        <is>
          <t>WBS Code = 1.3.1</t>
        </is>
      </c>
      <c r="D624" s="12" t="inlineStr">
        <is>
          <t>Proposed by Source assignment; target 1.3.1 Systems - Traction Power</t>
        </is>
      </c>
      <c r="E624" s="12" t="inlineStr">
        <is>
          <t>None recorded</t>
        </is>
      </c>
      <c r="F624" s="12" t="inlineStr">
        <is>
          <t>No individual professional decision recorded; Source assignment -- not individually reviewed</t>
        </is>
      </c>
      <c r="G624" s="12" t="inlineStr">
        <is>
          <t>Not individually decided</t>
        </is>
      </c>
      <c r="H624" s="12" t="inlineStr">
        <is>
          <t xml:space="preserve">APPROVED / ONE_TO_ONE; </t>
        </is>
      </c>
      <c r="I624" s="12" t="inlineStr">
        <is>
          <t>New</t>
        </is>
      </c>
      <c r="J624" s="17" t="inlineStr">
        <is>
          <t>08 CROSSWALK</t>
        </is>
      </c>
    </row>
    <row r="625" ht="49" customHeight="1">
      <c r="A625" s="12" t="inlineStr">
        <is>
          <t>R464-v1</t>
        </is>
      </c>
      <c r="B625" s="12" t="inlineStr">
        <is>
          <t>Contractor Programme / SCH-03-104</t>
        </is>
      </c>
      <c r="C625" s="12" t="inlineStr">
        <is>
          <t>WBS Code = 1.3.1</t>
        </is>
      </c>
      <c r="D625" s="12" t="inlineStr">
        <is>
          <t>Proposed by Source assignment; target 1.3.1 Systems - Traction Power</t>
        </is>
      </c>
      <c r="E625" s="12" t="inlineStr">
        <is>
          <t>None recorded</t>
        </is>
      </c>
      <c r="F625" s="12" t="inlineStr">
        <is>
          <t>No individual professional decision recorded; Source assignment -- not individually reviewed</t>
        </is>
      </c>
      <c r="G625" s="12" t="inlineStr">
        <is>
          <t>Not individually decided</t>
        </is>
      </c>
      <c r="H625" s="12" t="inlineStr">
        <is>
          <t xml:space="preserve">APPROVED / ONE_TO_ONE; </t>
        </is>
      </c>
      <c r="I625" s="12" t="inlineStr">
        <is>
          <t>New</t>
        </is>
      </c>
      <c r="J625" s="17" t="inlineStr">
        <is>
          <t>08 CROSSWALK</t>
        </is>
      </c>
    </row>
    <row r="626" ht="49" customHeight="1">
      <c r="A626" s="12" t="inlineStr">
        <is>
          <t>R466-v1</t>
        </is>
      </c>
      <c r="B626" s="12" t="inlineStr">
        <is>
          <t>Contractor Programme / SCH-03-106</t>
        </is>
      </c>
      <c r="C626" s="12" t="inlineStr">
        <is>
          <t>WBS Code = 1.3.1</t>
        </is>
      </c>
      <c r="D626" s="12" t="inlineStr">
        <is>
          <t>Proposed by Source assignment; target 1.3.1 Systems - Traction Power</t>
        </is>
      </c>
      <c r="E626" s="12" t="inlineStr">
        <is>
          <t>None recorded</t>
        </is>
      </c>
      <c r="F626" s="12" t="inlineStr">
        <is>
          <t>No individual professional decision recorded; Source assignment -- not individually reviewed</t>
        </is>
      </c>
      <c r="G626" s="12" t="inlineStr">
        <is>
          <t>Not individually decided</t>
        </is>
      </c>
      <c r="H626" s="12" t="inlineStr">
        <is>
          <t xml:space="preserve">APPROVED / ONE_TO_ONE; </t>
        </is>
      </c>
      <c r="I626" s="12" t="inlineStr">
        <is>
          <t>New</t>
        </is>
      </c>
      <c r="J626" s="17" t="inlineStr">
        <is>
          <t>08 CROSSWALK</t>
        </is>
      </c>
    </row>
    <row r="627" ht="49" customHeight="1">
      <c r="A627" s="12" t="inlineStr">
        <is>
          <t>R467-v1</t>
        </is>
      </c>
      <c r="B627" s="12" t="inlineStr">
        <is>
          <t>Contractor Programme / SCH-03-107</t>
        </is>
      </c>
      <c r="C627" s="12" t="inlineStr">
        <is>
          <t>WBS Code = 1.3.1</t>
        </is>
      </c>
      <c r="D627" s="12" t="inlineStr">
        <is>
          <t>Proposed by Source assignment; target 1.3.1 Systems - Traction Power</t>
        </is>
      </c>
      <c r="E627" s="12" t="inlineStr">
        <is>
          <t>None recorded</t>
        </is>
      </c>
      <c r="F627" s="12" t="inlineStr">
        <is>
          <t>No individual professional decision recorded; Source assignment -- not individually reviewed</t>
        </is>
      </c>
      <c r="G627" s="12" t="inlineStr">
        <is>
          <t>Not individually decided</t>
        </is>
      </c>
      <c r="H627" s="12" t="inlineStr">
        <is>
          <t xml:space="preserve">APPROVED / ONE_TO_ONE; </t>
        </is>
      </c>
      <c r="I627" s="12" t="inlineStr">
        <is>
          <t>New</t>
        </is>
      </c>
      <c r="J627" s="17" t="inlineStr">
        <is>
          <t>08 CROSSWALK</t>
        </is>
      </c>
    </row>
    <row r="628" ht="49" customHeight="1">
      <c r="A628" s="12" t="inlineStr">
        <is>
          <t>R469-v1</t>
        </is>
      </c>
      <c r="B628" s="12" t="inlineStr">
        <is>
          <t>Contractor Programme / SCH-03-109</t>
        </is>
      </c>
      <c r="C628" s="12" t="inlineStr">
        <is>
          <t>WBS Code = 1.3.1</t>
        </is>
      </c>
      <c r="D628" s="12" t="inlineStr">
        <is>
          <t>Proposed by Source assignment; target 1.3.1 Systems - Traction Power</t>
        </is>
      </c>
      <c r="E628" s="12" t="inlineStr">
        <is>
          <t>None recorded</t>
        </is>
      </c>
      <c r="F628" s="12" t="inlineStr">
        <is>
          <t>No individual professional decision recorded; Source assignment -- not individually reviewed</t>
        </is>
      </c>
      <c r="G628" s="12" t="inlineStr">
        <is>
          <t>Not individually decided</t>
        </is>
      </c>
      <c r="H628" s="12" t="inlineStr">
        <is>
          <t xml:space="preserve">APPROVED / ONE_TO_ONE; </t>
        </is>
      </c>
      <c r="I628" s="12" t="inlineStr">
        <is>
          <t>New</t>
        </is>
      </c>
      <c r="J628" s="17" t="inlineStr">
        <is>
          <t>08 CROSSWALK</t>
        </is>
      </c>
    </row>
    <row r="629" ht="49" customHeight="1">
      <c r="A629" s="12" t="inlineStr">
        <is>
          <t>R470-v1</t>
        </is>
      </c>
      <c r="B629" s="12" t="inlineStr">
        <is>
          <t>Contractor Programme / SCH-03-110</t>
        </is>
      </c>
      <c r="C629" s="12" t="inlineStr">
        <is>
          <t>WBS Code = 1.3.1</t>
        </is>
      </c>
      <c r="D629" s="12" t="inlineStr">
        <is>
          <t>Proposed by Source assignment; target 1.3.1 Systems - Traction Power</t>
        </is>
      </c>
      <c r="E629" s="12" t="inlineStr">
        <is>
          <t>None recorded</t>
        </is>
      </c>
      <c r="F629" s="12" t="inlineStr">
        <is>
          <t>No individual professional decision recorded; Source assignment -- not individually reviewed</t>
        </is>
      </c>
      <c r="G629" s="12" t="inlineStr">
        <is>
          <t>Not individually decided</t>
        </is>
      </c>
      <c r="H629" s="12" t="inlineStr">
        <is>
          <t xml:space="preserve">APPROVED / ONE_TO_ONE; </t>
        </is>
      </c>
      <c r="I629" s="12" t="inlineStr">
        <is>
          <t>New</t>
        </is>
      </c>
      <c r="J629" s="17" t="inlineStr">
        <is>
          <t>08 CROSSWALK</t>
        </is>
      </c>
    </row>
    <row r="630" ht="49" customHeight="1">
      <c r="A630" s="12" t="inlineStr">
        <is>
          <t>R472-v1</t>
        </is>
      </c>
      <c r="B630" s="12" t="inlineStr">
        <is>
          <t>Contractor Programme / SCH-03-112</t>
        </is>
      </c>
      <c r="C630" s="12" t="inlineStr">
        <is>
          <t>WBS Code = 1.3.1</t>
        </is>
      </c>
      <c r="D630" s="12" t="inlineStr">
        <is>
          <t>Proposed by Source assignment; target 1.3.1 Systems - Traction Power</t>
        </is>
      </c>
      <c r="E630" s="12" t="inlineStr">
        <is>
          <t>None recorded</t>
        </is>
      </c>
      <c r="F630" s="12" t="inlineStr">
        <is>
          <t>No individual professional decision recorded; Source assignment -- not individually reviewed</t>
        </is>
      </c>
      <c r="G630" s="12" t="inlineStr">
        <is>
          <t>Not individually decided</t>
        </is>
      </c>
      <c r="H630" s="12" t="inlineStr">
        <is>
          <t xml:space="preserve">APPROVED / ONE_TO_ONE; </t>
        </is>
      </c>
      <c r="I630" s="12" t="inlineStr">
        <is>
          <t>New</t>
        </is>
      </c>
      <c r="J630" s="17" t="inlineStr">
        <is>
          <t>08 CROSSWALK</t>
        </is>
      </c>
    </row>
    <row r="631" ht="49" customHeight="1">
      <c r="A631" s="12" t="inlineStr">
        <is>
          <t>R473-v1</t>
        </is>
      </c>
      <c r="B631" s="12" t="inlineStr">
        <is>
          <t>Contractor Programme / SCH-03-113</t>
        </is>
      </c>
      <c r="C631" s="12" t="inlineStr">
        <is>
          <t>WBS Code = 1.3.1</t>
        </is>
      </c>
      <c r="D631" s="12" t="inlineStr">
        <is>
          <t>Proposed by Source assignment; target 1.3.1 Systems - Traction Power</t>
        </is>
      </c>
      <c r="E631" s="12" t="inlineStr">
        <is>
          <t>None recorded</t>
        </is>
      </c>
      <c r="F631" s="12" t="inlineStr">
        <is>
          <t>No individual professional decision recorded; Source assignment -- not individually reviewed</t>
        </is>
      </c>
      <c r="G631" s="12" t="inlineStr">
        <is>
          <t>Not individually decided</t>
        </is>
      </c>
      <c r="H631" s="12" t="inlineStr">
        <is>
          <t xml:space="preserve">APPROVED / ONE_TO_ONE; </t>
        </is>
      </c>
      <c r="I631" s="12" t="inlineStr">
        <is>
          <t>New</t>
        </is>
      </c>
      <c r="J631" s="17" t="inlineStr">
        <is>
          <t>08 CROSSWALK</t>
        </is>
      </c>
    </row>
    <row r="632" ht="49" customHeight="1">
      <c r="A632" s="12" t="inlineStr">
        <is>
          <t>R475-v1</t>
        </is>
      </c>
      <c r="B632" s="12" t="inlineStr">
        <is>
          <t>Contractor Programme / SCH-03-115</t>
        </is>
      </c>
      <c r="C632" s="12" t="inlineStr">
        <is>
          <t>WBS Code = 1.3.1</t>
        </is>
      </c>
      <c r="D632" s="12" t="inlineStr">
        <is>
          <t>Proposed by Source assignment; target 1.3.1 Systems - Traction Power</t>
        </is>
      </c>
      <c r="E632" s="12" t="inlineStr">
        <is>
          <t>None recorded</t>
        </is>
      </c>
      <c r="F632" s="12" t="inlineStr">
        <is>
          <t>No individual professional decision recorded; Source assignment -- not individually reviewed</t>
        </is>
      </c>
      <c r="G632" s="12" t="inlineStr">
        <is>
          <t>Not individually decided</t>
        </is>
      </c>
      <c r="H632" s="12" t="inlineStr">
        <is>
          <t xml:space="preserve">APPROVED / ONE_TO_ONE; </t>
        </is>
      </c>
      <c r="I632" s="12" t="inlineStr">
        <is>
          <t>New</t>
        </is>
      </c>
      <c r="J632" s="17" t="inlineStr">
        <is>
          <t>08 CROSSWALK</t>
        </is>
      </c>
    </row>
    <row r="633" ht="49" customHeight="1">
      <c r="A633" s="12" t="inlineStr">
        <is>
          <t>R476-v1</t>
        </is>
      </c>
      <c r="B633" s="12" t="inlineStr">
        <is>
          <t>Contractor Programme / SCH-03-116</t>
        </is>
      </c>
      <c r="C633" s="12" t="inlineStr">
        <is>
          <t>WBS Code = 1.3.1</t>
        </is>
      </c>
      <c r="D633" s="12" t="inlineStr">
        <is>
          <t>Proposed by Source assignment; target 1.3.1 Systems - Traction Power</t>
        </is>
      </c>
      <c r="E633" s="12" t="inlineStr">
        <is>
          <t>None recorded</t>
        </is>
      </c>
      <c r="F633" s="12" t="inlineStr">
        <is>
          <t>No individual professional decision recorded; Source assignment -- not individually reviewed</t>
        </is>
      </c>
      <c r="G633" s="12" t="inlineStr">
        <is>
          <t>Not individually decided</t>
        </is>
      </c>
      <c r="H633" s="12" t="inlineStr">
        <is>
          <t xml:space="preserve">APPROVED / ONE_TO_ONE; </t>
        </is>
      </c>
      <c r="I633" s="12" t="inlineStr">
        <is>
          <t>New</t>
        </is>
      </c>
      <c r="J633" s="17" t="inlineStr">
        <is>
          <t>08 CROSSWALK</t>
        </is>
      </c>
    </row>
    <row r="634" ht="49" customHeight="1">
      <c r="A634" s="12" t="inlineStr">
        <is>
          <t>R478-v1</t>
        </is>
      </c>
      <c r="B634" s="12" t="inlineStr">
        <is>
          <t>Contractor Programme / SCH-03-118</t>
        </is>
      </c>
      <c r="C634" s="12" t="inlineStr">
        <is>
          <t>WBS Code = 1.3.1</t>
        </is>
      </c>
      <c r="D634" s="12" t="inlineStr">
        <is>
          <t>Proposed by Source assignment; target 1.3.1 Systems - Traction Power</t>
        </is>
      </c>
      <c r="E634" s="12" t="inlineStr">
        <is>
          <t>None recorded</t>
        </is>
      </c>
      <c r="F634" s="12" t="inlineStr">
        <is>
          <t>No individual professional decision recorded; Source assignment -- not individually reviewed</t>
        </is>
      </c>
      <c r="G634" s="12" t="inlineStr">
        <is>
          <t>Not individually decided</t>
        </is>
      </c>
      <c r="H634" s="12" t="inlineStr">
        <is>
          <t xml:space="preserve">APPROVED / ONE_TO_ONE; </t>
        </is>
      </c>
      <c r="I634" s="12" t="inlineStr">
        <is>
          <t>New</t>
        </is>
      </c>
      <c r="J634" s="17" t="inlineStr">
        <is>
          <t>08 CROSSWALK</t>
        </is>
      </c>
    </row>
    <row r="635" ht="49" customHeight="1">
      <c r="A635" s="12" t="inlineStr">
        <is>
          <t>R479-v1</t>
        </is>
      </c>
      <c r="B635" s="12" t="inlineStr">
        <is>
          <t>Contractor Programme / SCH-03-119</t>
        </is>
      </c>
      <c r="C635" s="12" t="inlineStr">
        <is>
          <t>WBS Code = 1.3.1</t>
        </is>
      </c>
      <c r="D635" s="12" t="inlineStr">
        <is>
          <t>Proposed by Source assignment; target 1.3.1 Systems - Traction Power</t>
        </is>
      </c>
      <c r="E635" s="12" t="inlineStr">
        <is>
          <t>None recorded</t>
        </is>
      </c>
      <c r="F635" s="12" t="inlineStr">
        <is>
          <t>No individual professional decision recorded; Source assignment -- not individually reviewed</t>
        </is>
      </c>
      <c r="G635" s="12" t="inlineStr">
        <is>
          <t>Not individually decided</t>
        </is>
      </c>
      <c r="H635" s="12" t="inlineStr">
        <is>
          <t xml:space="preserve">APPROVED / ONE_TO_ONE; </t>
        </is>
      </c>
      <c r="I635" s="12" t="inlineStr">
        <is>
          <t>New</t>
        </is>
      </c>
      <c r="J635" s="17" t="inlineStr">
        <is>
          <t>08 CROSSWALK</t>
        </is>
      </c>
    </row>
    <row r="636" ht="49" customHeight="1">
      <c r="A636" s="12" t="inlineStr">
        <is>
          <t>R481-v1</t>
        </is>
      </c>
      <c r="B636" s="12" t="inlineStr">
        <is>
          <t>Contractor Programme / SCH-03-121</t>
        </is>
      </c>
      <c r="C636" s="12" t="inlineStr">
        <is>
          <t>WBS Code = 1.3.1</t>
        </is>
      </c>
      <c r="D636" s="12" t="inlineStr">
        <is>
          <t>Proposed by Source assignment; target 1.3.1 Systems - Traction Power</t>
        </is>
      </c>
      <c r="E636" s="12" t="inlineStr">
        <is>
          <t>None recorded</t>
        </is>
      </c>
      <c r="F636" s="12" t="inlineStr">
        <is>
          <t>No individual professional decision recorded; Source assignment -- not individually reviewed</t>
        </is>
      </c>
      <c r="G636" s="12" t="inlineStr">
        <is>
          <t>Not individually decided</t>
        </is>
      </c>
      <c r="H636" s="12" t="inlineStr">
        <is>
          <t xml:space="preserve">APPROVED / ONE_TO_ONE; </t>
        </is>
      </c>
      <c r="I636" s="12" t="inlineStr">
        <is>
          <t>New</t>
        </is>
      </c>
      <c r="J636" s="17" t="inlineStr">
        <is>
          <t>08 CROSSWALK</t>
        </is>
      </c>
    </row>
    <row r="637" ht="49" customHeight="1">
      <c r="A637" s="12" t="inlineStr">
        <is>
          <t>R482-v1</t>
        </is>
      </c>
      <c r="B637" s="12" t="inlineStr">
        <is>
          <t>Contractor Programme / SCH-03-122</t>
        </is>
      </c>
      <c r="C637" s="12" t="inlineStr">
        <is>
          <t>WBS Code = 1.3.1</t>
        </is>
      </c>
      <c r="D637" s="12" t="inlineStr">
        <is>
          <t>Proposed by Source assignment; target 1.3.1 Systems - Traction Power</t>
        </is>
      </c>
      <c r="E637" s="12" t="inlineStr">
        <is>
          <t>None recorded</t>
        </is>
      </c>
      <c r="F637" s="12" t="inlineStr">
        <is>
          <t>No individual professional decision recorded; Source assignment -- not individually reviewed</t>
        </is>
      </c>
      <c r="G637" s="12" t="inlineStr">
        <is>
          <t>Not individually decided</t>
        </is>
      </c>
      <c r="H637" s="12" t="inlineStr">
        <is>
          <t xml:space="preserve">APPROVED / ONE_TO_ONE; </t>
        </is>
      </c>
      <c r="I637" s="12" t="inlineStr">
        <is>
          <t>New</t>
        </is>
      </c>
      <c r="J637" s="17" t="inlineStr">
        <is>
          <t>08 CROSSWALK</t>
        </is>
      </c>
    </row>
    <row r="638" ht="49" customHeight="1">
      <c r="A638" s="12" t="inlineStr">
        <is>
          <t>R484-v1</t>
        </is>
      </c>
      <c r="B638" s="12" t="inlineStr">
        <is>
          <t>Contractor Programme / SCH-03-124</t>
        </is>
      </c>
      <c r="C638" s="12" t="inlineStr">
        <is>
          <t>WBS Code = 1.3.1</t>
        </is>
      </c>
      <c r="D638" s="12" t="inlineStr">
        <is>
          <t>Proposed by Source assignment; target 1.3.1 Systems - Traction Power</t>
        </is>
      </c>
      <c r="E638" s="12" t="inlineStr">
        <is>
          <t>None recorded</t>
        </is>
      </c>
      <c r="F638" s="12" t="inlineStr">
        <is>
          <t>No individual professional decision recorded; Source assignment -- not individually reviewed</t>
        </is>
      </c>
      <c r="G638" s="12" t="inlineStr">
        <is>
          <t>Not individually decided</t>
        </is>
      </c>
      <c r="H638" s="12" t="inlineStr">
        <is>
          <t xml:space="preserve">APPROVED / ONE_TO_ONE; </t>
        </is>
      </c>
      <c r="I638" s="12" t="inlineStr">
        <is>
          <t>New</t>
        </is>
      </c>
      <c r="J638" s="17" t="inlineStr">
        <is>
          <t>08 CROSSWALK</t>
        </is>
      </c>
    </row>
    <row r="639" ht="49" customHeight="1">
      <c r="A639" s="12" t="inlineStr">
        <is>
          <t>R485-v1</t>
        </is>
      </c>
      <c r="B639" s="12" t="inlineStr">
        <is>
          <t>Contractor Programme / SCH-03-125</t>
        </is>
      </c>
      <c r="C639" s="12" t="inlineStr">
        <is>
          <t>WBS Code = 1.3.1</t>
        </is>
      </c>
      <c r="D639" s="12" t="inlineStr">
        <is>
          <t>Proposed by Source assignment; target 1.3.1 Systems - Traction Power</t>
        </is>
      </c>
      <c r="E639" s="12" t="inlineStr">
        <is>
          <t>None recorded</t>
        </is>
      </c>
      <c r="F639" s="12" t="inlineStr">
        <is>
          <t>No individual professional decision recorded; Source assignment -- not individually reviewed</t>
        </is>
      </c>
      <c r="G639" s="12" t="inlineStr">
        <is>
          <t>Not individually decided</t>
        </is>
      </c>
      <c r="H639" s="12" t="inlineStr">
        <is>
          <t xml:space="preserve">APPROVED / ONE_TO_ONE; </t>
        </is>
      </c>
      <c r="I639" s="12" t="inlineStr">
        <is>
          <t>New</t>
        </is>
      </c>
      <c r="J639" s="17" t="inlineStr">
        <is>
          <t>08 CROSSWALK</t>
        </is>
      </c>
    </row>
    <row r="640" ht="49" customHeight="1">
      <c r="A640" s="12" t="inlineStr">
        <is>
          <t>R487-v1</t>
        </is>
      </c>
      <c r="B640" s="12" t="inlineStr">
        <is>
          <t>Contractor Programme / SCH-03-127</t>
        </is>
      </c>
      <c r="C640" s="12" t="inlineStr">
        <is>
          <t>WBS Code = 1.3.1</t>
        </is>
      </c>
      <c r="D640" s="12" t="inlineStr">
        <is>
          <t>Proposed by Source assignment; target 1.3.1 Systems - Traction Power</t>
        </is>
      </c>
      <c r="E640" s="12" t="inlineStr">
        <is>
          <t>None recorded</t>
        </is>
      </c>
      <c r="F640" s="12" t="inlineStr">
        <is>
          <t>No individual professional decision recorded; Source assignment -- not individually reviewed</t>
        </is>
      </c>
      <c r="G640" s="12" t="inlineStr">
        <is>
          <t>Not individually decided</t>
        </is>
      </c>
      <c r="H640" s="12" t="inlineStr">
        <is>
          <t xml:space="preserve">APPROVED / ONE_TO_ONE; </t>
        </is>
      </c>
      <c r="I640" s="12" t="inlineStr">
        <is>
          <t>New</t>
        </is>
      </c>
      <c r="J640" s="17" t="inlineStr">
        <is>
          <t>08 CROSSWALK</t>
        </is>
      </c>
    </row>
    <row r="641" ht="49" customHeight="1">
      <c r="A641" s="12" t="inlineStr">
        <is>
          <t>R488-v1</t>
        </is>
      </c>
      <c r="B641" s="12" t="inlineStr">
        <is>
          <t>Contractor Programme / SCH-03-128</t>
        </is>
      </c>
      <c r="C641" s="12" t="inlineStr">
        <is>
          <t>WBS Code = 1.3.1</t>
        </is>
      </c>
      <c r="D641" s="12" t="inlineStr">
        <is>
          <t>Proposed by Source assignment; target 1.3.1 Systems - Traction Power</t>
        </is>
      </c>
      <c r="E641" s="12" t="inlineStr">
        <is>
          <t>None recorded</t>
        </is>
      </c>
      <c r="F641" s="12" t="inlineStr">
        <is>
          <t>No individual professional decision recorded; Source assignment -- not individually reviewed</t>
        </is>
      </c>
      <c r="G641" s="12" t="inlineStr">
        <is>
          <t>Not individually decided</t>
        </is>
      </c>
      <c r="H641" s="12" t="inlineStr">
        <is>
          <t xml:space="preserve">APPROVED / ONE_TO_ONE; </t>
        </is>
      </c>
      <c r="I641" s="12" t="inlineStr">
        <is>
          <t>New</t>
        </is>
      </c>
      <c r="J641" s="17" t="inlineStr">
        <is>
          <t>08 CROSSWALK</t>
        </is>
      </c>
    </row>
    <row r="642" ht="49" customHeight="1">
      <c r="A642" s="12" t="inlineStr">
        <is>
          <t>R490-v1</t>
        </is>
      </c>
      <c r="B642" s="12" t="inlineStr">
        <is>
          <t>Contractor Programme / SCH-03-130</t>
        </is>
      </c>
      <c r="C642" s="12" t="inlineStr">
        <is>
          <t>WBS Code = 1.3.1</t>
        </is>
      </c>
      <c r="D642" s="12" t="inlineStr">
        <is>
          <t>Proposed by Source assignment; target 1.3.1 Systems - Traction Power</t>
        </is>
      </c>
      <c r="E642" s="12" t="inlineStr">
        <is>
          <t>None recorded</t>
        </is>
      </c>
      <c r="F642" s="12" t="inlineStr">
        <is>
          <t>No individual professional decision recorded; Source assignment -- not individually reviewed</t>
        </is>
      </c>
      <c r="G642" s="12" t="inlineStr">
        <is>
          <t>Not individually decided</t>
        </is>
      </c>
      <c r="H642" s="12" t="inlineStr">
        <is>
          <t xml:space="preserve">APPROVED / ONE_TO_ONE; </t>
        </is>
      </c>
      <c r="I642" s="12" t="inlineStr">
        <is>
          <t>New</t>
        </is>
      </c>
      <c r="J642" s="17" t="inlineStr">
        <is>
          <t>08 CROSSWALK</t>
        </is>
      </c>
    </row>
    <row r="643" ht="49" customHeight="1">
      <c r="A643" s="12" t="inlineStr">
        <is>
          <t>R491-v1</t>
        </is>
      </c>
      <c r="B643" s="12" t="inlineStr">
        <is>
          <t>Contractor Programme / SCH-03-131</t>
        </is>
      </c>
      <c r="C643" s="12" t="inlineStr">
        <is>
          <t>WBS Code = 1.3.1</t>
        </is>
      </c>
      <c r="D643" s="12" t="inlineStr">
        <is>
          <t>Proposed by Source assignment; target 1.3.1 Systems - Traction Power</t>
        </is>
      </c>
      <c r="E643" s="12" t="inlineStr">
        <is>
          <t>None recorded</t>
        </is>
      </c>
      <c r="F643" s="12" t="inlineStr">
        <is>
          <t>No individual professional decision recorded; Source assignment -- not individually reviewed</t>
        </is>
      </c>
      <c r="G643" s="12" t="inlineStr">
        <is>
          <t>Not individually decided</t>
        </is>
      </c>
      <c r="H643" s="12" t="inlineStr">
        <is>
          <t xml:space="preserve">APPROVED / ONE_TO_ONE; </t>
        </is>
      </c>
      <c r="I643" s="12" t="inlineStr">
        <is>
          <t>New</t>
        </is>
      </c>
      <c r="J643" s="17" t="inlineStr">
        <is>
          <t>08 CROSSWALK</t>
        </is>
      </c>
    </row>
    <row r="644" ht="49" customHeight="1">
      <c r="A644" s="12" t="inlineStr">
        <is>
          <t>R493-v1</t>
        </is>
      </c>
      <c r="B644" s="12" t="inlineStr">
        <is>
          <t>Contractor Programme / SCH-03-133</t>
        </is>
      </c>
      <c r="C644" s="12" t="inlineStr">
        <is>
          <t>WBS Code = 1.3.1</t>
        </is>
      </c>
      <c r="D644" s="12" t="inlineStr">
        <is>
          <t>Proposed by Source assignment; target 1.3.1 Systems - Traction Power</t>
        </is>
      </c>
      <c r="E644" s="12" t="inlineStr">
        <is>
          <t>None recorded</t>
        </is>
      </c>
      <c r="F644" s="12" t="inlineStr">
        <is>
          <t>No individual professional decision recorded; Source assignment -- not individually reviewed</t>
        </is>
      </c>
      <c r="G644" s="12" t="inlineStr">
        <is>
          <t>Not individually decided</t>
        </is>
      </c>
      <c r="H644" s="12" t="inlineStr">
        <is>
          <t xml:space="preserve">APPROVED / ONE_TO_ONE; </t>
        </is>
      </c>
      <c r="I644" s="12" t="inlineStr">
        <is>
          <t>New</t>
        </is>
      </c>
      <c r="J644" s="17" t="inlineStr">
        <is>
          <t>08 CROSSWALK</t>
        </is>
      </c>
    </row>
    <row r="645" ht="49" customHeight="1">
      <c r="A645" s="12" t="inlineStr">
        <is>
          <t>R494-v1</t>
        </is>
      </c>
      <c r="B645" s="12" t="inlineStr">
        <is>
          <t>Contractor Programme / SCH-03-134</t>
        </is>
      </c>
      <c r="C645" s="12" t="inlineStr">
        <is>
          <t>WBS Code = 1.3.1</t>
        </is>
      </c>
      <c r="D645" s="12" t="inlineStr">
        <is>
          <t>Proposed by Source assignment; target 1.3.1 Systems - Traction Power</t>
        </is>
      </c>
      <c r="E645" s="12" t="inlineStr">
        <is>
          <t>None recorded</t>
        </is>
      </c>
      <c r="F645" s="12" t="inlineStr">
        <is>
          <t>No individual professional decision recorded; Source assignment -- not individually reviewed</t>
        </is>
      </c>
      <c r="G645" s="12" t="inlineStr">
        <is>
          <t>Not individually decided</t>
        </is>
      </c>
      <c r="H645" s="12" t="inlineStr">
        <is>
          <t xml:space="preserve">APPROVED / ONE_TO_ONE; </t>
        </is>
      </c>
      <c r="I645" s="12" t="inlineStr">
        <is>
          <t>New</t>
        </is>
      </c>
      <c r="J645" s="17" t="inlineStr">
        <is>
          <t>08 CROSSWALK</t>
        </is>
      </c>
    </row>
    <row r="646" ht="49" customHeight="1">
      <c r="A646" s="12" t="inlineStr">
        <is>
          <t>R496-v1</t>
        </is>
      </c>
      <c r="B646" s="12" t="inlineStr">
        <is>
          <t>Contractor Programme / SCH-03-136</t>
        </is>
      </c>
      <c r="C646" s="12" t="inlineStr">
        <is>
          <t>WBS Code = 1.3.1</t>
        </is>
      </c>
      <c r="D646" s="12" t="inlineStr">
        <is>
          <t>Proposed by Source assignment; target 1.3.1 Systems - Traction Power</t>
        </is>
      </c>
      <c r="E646" s="12" t="inlineStr">
        <is>
          <t>None recorded</t>
        </is>
      </c>
      <c r="F646" s="12" t="inlineStr">
        <is>
          <t>No individual professional decision recorded; Source assignment -- not individually reviewed</t>
        </is>
      </c>
      <c r="G646" s="12" t="inlineStr">
        <is>
          <t>Not individually decided</t>
        </is>
      </c>
      <c r="H646" s="12" t="inlineStr">
        <is>
          <t xml:space="preserve">APPROVED / ONE_TO_ONE; </t>
        </is>
      </c>
      <c r="I646" s="12" t="inlineStr">
        <is>
          <t>New</t>
        </is>
      </c>
      <c r="J646" s="17" t="inlineStr">
        <is>
          <t>08 CROSSWALK</t>
        </is>
      </c>
    </row>
    <row r="647" ht="49" customHeight="1">
      <c r="A647" s="12" t="inlineStr">
        <is>
          <t>R497-v1</t>
        </is>
      </c>
      <c r="B647" s="12" t="inlineStr">
        <is>
          <t>Contractor Programme / SCH-03-137</t>
        </is>
      </c>
      <c r="C647" s="12" t="inlineStr">
        <is>
          <t>WBS Code = 1.3.1</t>
        </is>
      </c>
      <c r="D647" s="12" t="inlineStr">
        <is>
          <t>Proposed by Source assignment; target 1.3.1 Systems - Traction Power</t>
        </is>
      </c>
      <c r="E647" s="12" t="inlineStr">
        <is>
          <t>None recorded</t>
        </is>
      </c>
      <c r="F647" s="12" t="inlineStr">
        <is>
          <t>No individual professional decision recorded; Source assignment -- not individually reviewed</t>
        </is>
      </c>
      <c r="G647" s="12" t="inlineStr">
        <is>
          <t>Not individually decided</t>
        </is>
      </c>
      <c r="H647" s="12" t="inlineStr">
        <is>
          <t xml:space="preserve">APPROVED / ONE_TO_ONE; </t>
        </is>
      </c>
      <c r="I647" s="12" t="inlineStr">
        <is>
          <t>New</t>
        </is>
      </c>
      <c r="J647" s="17" t="inlineStr">
        <is>
          <t>08 CROSSWALK</t>
        </is>
      </c>
    </row>
    <row r="648" ht="49" customHeight="1">
      <c r="A648" s="12" t="inlineStr">
        <is>
          <t>R499-v1</t>
        </is>
      </c>
      <c r="B648" s="12" t="inlineStr">
        <is>
          <t>Contractor Programme / SCH-03-139</t>
        </is>
      </c>
      <c r="C648" s="12" t="inlineStr">
        <is>
          <t>WBS Code = 1.3.1</t>
        </is>
      </c>
      <c r="D648" s="12" t="inlineStr">
        <is>
          <t>Proposed by Source assignment; target 1.3.1 Systems - Traction Power</t>
        </is>
      </c>
      <c r="E648" s="12" t="inlineStr">
        <is>
          <t>None recorded</t>
        </is>
      </c>
      <c r="F648" s="12" t="inlineStr">
        <is>
          <t>No individual professional decision recorded; Source assignment -- not individually reviewed</t>
        </is>
      </c>
      <c r="G648" s="12" t="inlineStr">
        <is>
          <t>Not individually decided</t>
        </is>
      </c>
      <c r="H648" s="12" t="inlineStr">
        <is>
          <t xml:space="preserve">APPROVED / ONE_TO_ONE; </t>
        </is>
      </c>
      <c r="I648" s="12" t="inlineStr">
        <is>
          <t>New</t>
        </is>
      </c>
      <c r="J648" s="17" t="inlineStr">
        <is>
          <t>08 CROSSWALK</t>
        </is>
      </c>
    </row>
    <row r="649" ht="49" customHeight="1">
      <c r="A649" s="12" t="inlineStr">
        <is>
          <t>R500-v1</t>
        </is>
      </c>
      <c r="B649" s="12" t="inlineStr">
        <is>
          <t>Contractor Programme / SCH-03-140</t>
        </is>
      </c>
      <c r="C649" s="12" t="inlineStr">
        <is>
          <t>WBS Code = 1.3.1</t>
        </is>
      </c>
      <c r="D649" s="12" t="inlineStr">
        <is>
          <t>Proposed by Source assignment; target 1.3.1 Systems - Traction Power</t>
        </is>
      </c>
      <c r="E649" s="12" t="inlineStr">
        <is>
          <t>None recorded</t>
        </is>
      </c>
      <c r="F649" s="12" t="inlineStr">
        <is>
          <t>No individual professional decision recorded; Source assignment -- not individually reviewed</t>
        </is>
      </c>
      <c r="G649" s="12" t="inlineStr">
        <is>
          <t>Not individually decided</t>
        </is>
      </c>
      <c r="H649" s="12" t="inlineStr">
        <is>
          <t xml:space="preserve">APPROVED / ONE_TO_ONE; </t>
        </is>
      </c>
      <c r="I649" s="12" t="inlineStr">
        <is>
          <t>New</t>
        </is>
      </c>
      <c r="J649" s="17" t="inlineStr">
        <is>
          <t>08 CROSSWALK</t>
        </is>
      </c>
    </row>
    <row r="650" ht="49" customHeight="1">
      <c r="A650" s="12" t="inlineStr">
        <is>
          <t>R502-v1</t>
        </is>
      </c>
      <c r="B650" s="12" t="inlineStr">
        <is>
          <t>Contractor Programme / SCH-03-142</t>
        </is>
      </c>
      <c r="C650" s="12" t="inlineStr">
        <is>
          <t>WBS Code = 1.3.1</t>
        </is>
      </c>
      <c r="D650" s="12" t="inlineStr">
        <is>
          <t>Proposed by Source assignment; target 1.3.1 Systems - Traction Power</t>
        </is>
      </c>
      <c r="E650" s="12" t="inlineStr">
        <is>
          <t>None recorded</t>
        </is>
      </c>
      <c r="F650" s="12" t="inlineStr">
        <is>
          <t>No individual professional decision recorded; Source assignment -- not individually reviewed</t>
        </is>
      </c>
      <c r="G650" s="12" t="inlineStr">
        <is>
          <t>Not individually decided</t>
        </is>
      </c>
      <c r="H650" s="12" t="inlineStr">
        <is>
          <t xml:space="preserve">APPROVED / ONE_TO_ONE; </t>
        </is>
      </c>
      <c r="I650" s="12" t="inlineStr">
        <is>
          <t>New</t>
        </is>
      </c>
      <c r="J650" s="17" t="inlineStr">
        <is>
          <t>08 CROSSWALK</t>
        </is>
      </c>
    </row>
    <row r="651" ht="49" customHeight="1">
      <c r="A651" s="12" t="inlineStr">
        <is>
          <t>R503-v1</t>
        </is>
      </c>
      <c r="B651" s="12" t="inlineStr">
        <is>
          <t>Contractor Programme / SCH-03-143</t>
        </is>
      </c>
      <c r="C651" s="12" t="inlineStr">
        <is>
          <t>WBS Code = 1.3.1</t>
        </is>
      </c>
      <c r="D651" s="12" t="inlineStr">
        <is>
          <t>Proposed by Source assignment; target 1.3.1 Systems - Traction Power</t>
        </is>
      </c>
      <c r="E651" s="12" t="inlineStr">
        <is>
          <t>None recorded</t>
        </is>
      </c>
      <c r="F651" s="12" t="inlineStr">
        <is>
          <t>No individual professional decision recorded; Source assignment -- not individually reviewed</t>
        </is>
      </c>
      <c r="G651" s="12" t="inlineStr">
        <is>
          <t>Not individually decided</t>
        </is>
      </c>
      <c r="H651" s="12" t="inlineStr">
        <is>
          <t xml:space="preserve">APPROVED / ONE_TO_ONE; </t>
        </is>
      </c>
      <c r="I651" s="12" t="inlineStr">
        <is>
          <t>New</t>
        </is>
      </c>
      <c r="J651" s="17" t="inlineStr">
        <is>
          <t>08 CROSSWALK</t>
        </is>
      </c>
    </row>
    <row r="652" ht="49" customHeight="1">
      <c r="A652" s="12" t="inlineStr">
        <is>
          <t>R505-v1</t>
        </is>
      </c>
      <c r="B652" s="12" t="inlineStr">
        <is>
          <t>Contractor Programme / SCH-03-145</t>
        </is>
      </c>
      <c r="C652" s="12" t="inlineStr">
        <is>
          <t>WBS Code = 1.3.1</t>
        </is>
      </c>
      <c r="D652" s="12" t="inlineStr">
        <is>
          <t>Proposed by Source assignment; target 1.3.1 Systems - Traction Power</t>
        </is>
      </c>
      <c r="E652" s="12" t="inlineStr">
        <is>
          <t>None recorded</t>
        </is>
      </c>
      <c r="F652" s="12" t="inlineStr">
        <is>
          <t>No individual professional decision recorded; Source assignment -- not individually reviewed</t>
        </is>
      </c>
      <c r="G652" s="12" t="inlineStr">
        <is>
          <t>Not individually decided</t>
        </is>
      </c>
      <c r="H652" s="12" t="inlineStr">
        <is>
          <t xml:space="preserve">APPROVED / ONE_TO_ONE; </t>
        </is>
      </c>
      <c r="I652" s="12" t="inlineStr">
        <is>
          <t>New</t>
        </is>
      </c>
      <c r="J652" s="17" t="inlineStr">
        <is>
          <t>08 CROSSWALK</t>
        </is>
      </c>
    </row>
    <row r="653" ht="49" customHeight="1">
      <c r="A653" s="12" t="inlineStr">
        <is>
          <t>R506-v1</t>
        </is>
      </c>
      <c r="B653" s="12" t="inlineStr">
        <is>
          <t>Contractor Programme / SCH-03-146</t>
        </is>
      </c>
      <c r="C653" s="12" t="inlineStr">
        <is>
          <t>WBS Code = 1.3.1</t>
        </is>
      </c>
      <c r="D653" s="12" t="inlineStr">
        <is>
          <t>Proposed by Source assignment; target 1.3.1 Systems - Traction Power</t>
        </is>
      </c>
      <c r="E653" s="12" t="inlineStr">
        <is>
          <t>None recorded</t>
        </is>
      </c>
      <c r="F653" s="12" t="inlineStr">
        <is>
          <t>No individual professional decision recorded; Source assignment -- not individually reviewed</t>
        </is>
      </c>
      <c r="G653" s="12" t="inlineStr">
        <is>
          <t>Not individually decided</t>
        </is>
      </c>
      <c r="H653" s="12" t="inlineStr">
        <is>
          <t xml:space="preserve">APPROVED / ONE_TO_ONE; </t>
        </is>
      </c>
      <c r="I653" s="12" t="inlineStr">
        <is>
          <t>New</t>
        </is>
      </c>
      <c r="J653" s="17" t="inlineStr">
        <is>
          <t>08 CROSSWALK</t>
        </is>
      </c>
    </row>
    <row r="654" ht="49" customHeight="1">
      <c r="A654" s="12" t="inlineStr">
        <is>
          <t>R508-v1</t>
        </is>
      </c>
      <c r="B654" s="12" t="inlineStr">
        <is>
          <t>Contractor Programme / SCH-03-148</t>
        </is>
      </c>
      <c r="C654" s="12" t="inlineStr">
        <is>
          <t>WBS Code = 1.3.1</t>
        </is>
      </c>
      <c r="D654" s="12" t="inlineStr">
        <is>
          <t>Proposed by Source assignment; target 1.3.1 Systems - Traction Power</t>
        </is>
      </c>
      <c r="E654" s="12" t="inlineStr">
        <is>
          <t>None recorded</t>
        </is>
      </c>
      <c r="F654" s="12" t="inlineStr">
        <is>
          <t>No individual professional decision recorded; Source assignment -- not individually reviewed</t>
        </is>
      </c>
      <c r="G654" s="12" t="inlineStr">
        <is>
          <t>Not individually decided</t>
        </is>
      </c>
      <c r="H654" s="12" t="inlineStr">
        <is>
          <t xml:space="preserve">APPROVED / ONE_TO_ONE; </t>
        </is>
      </c>
      <c r="I654" s="12" t="inlineStr">
        <is>
          <t>New</t>
        </is>
      </c>
      <c r="J654" s="17" t="inlineStr">
        <is>
          <t>08 CROSSWALK</t>
        </is>
      </c>
    </row>
    <row r="655" ht="49" customHeight="1">
      <c r="A655" s="12" t="inlineStr">
        <is>
          <t>R509-v1</t>
        </is>
      </c>
      <c r="B655" s="12" t="inlineStr">
        <is>
          <t>Contractor Programme / SCH-03-149</t>
        </is>
      </c>
      <c r="C655" s="12" t="inlineStr">
        <is>
          <t>WBS Code = 1.3.1</t>
        </is>
      </c>
      <c r="D655" s="12" t="inlineStr">
        <is>
          <t>Proposed by Source assignment; target 1.3.1 Systems - Traction Power</t>
        </is>
      </c>
      <c r="E655" s="12" t="inlineStr">
        <is>
          <t>None recorded</t>
        </is>
      </c>
      <c r="F655" s="12" t="inlineStr">
        <is>
          <t>No individual professional decision recorded; Source assignment -- not individually reviewed</t>
        </is>
      </c>
      <c r="G655" s="12" t="inlineStr">
        <is>
          <t>Not individually decided</t>
        </is>
      </c>
      <c r="H655" s="12" t="inlineStr">
        <is>
          <t xml:space="preserve">APPROVED / ONE_TO_ONE; </t>
        </is>
      </c>
      <c r="I655" s="12" t="inlineStr">
        <is>
          <t>New</t>
        </is>
      </c>
      <c r="J655" s="17" t="inlineStr">
        <is>
          <t>08 CROSSWALK</t>
        </is>
      </c>
    </row>
    <row r="656" ht="49" customHeight="1">
      <c r="A656" s="12" t="inlineStr">
        <is>
          <t>R511-v1</t>
        </is>
      </c>
      <c r="B656" s="12" t="inlineStr">
        <is>
          <t>Contractor Programme / SCH-03-151</t>
        </is>
      </c>
      <c r="C656" s="12" t="inlineStr">
        <is>
          <t>WBS Code = 1.3.1</t>
        </is>
      </c>
      <c r="D656" s="12" t="inlineStr">
        <is>
          <t>Proposed by Source assignment; target 1.3.1 Systems - Traction Power</t>
        </is>
      </c>
      <c r="E656" s="12" t="inlineStr">
        <is>
          <t>None recorded</t>
        </is>
      </c>
      <c r="F656" s="12" t="inlineStr">
        <is>
          <t>No individual professional decision recorded; Source assignment -- not individually reviewed</t>
        </is>
      </c>
      <c r="G656" s="12" t="inlineStr">
        <is>
          <t>Not individually decided</t>
        </is>
      </c>
      <c r="H656" s="12" t="inlineStr">
        <is>
          <t xml:space="preserve">APPROVED / ONE_TO_ONE; </t>
        </is>
      </c>
      <c r="I656" s="12" t="inlineStr">
        <is>
          <t>New</t>
        </is>
      </c>
      <c r="J656" s="17" t="inlineStr">
        <is>
          <t>08 CROSSWALK</t>
        </is>
      </c>
    </row>
    <row r="657" ht="49" customHeight="1">
      <c r="A657" s="12" t="inlineStr">
        <is>
          <t>R512-v1</t>
        </is>
      </c>
      <c r="B657" s="12" t="inlineStr">
        <is>
          <t>Contractor Programme / SCH-03-152</t>
        </is>
      </c>
      <c r="C657" s="12" t="inlineStr">
        <is>
          <t>WBS Code = 1.3.1</t>
        </is>
      </c>
      <c r="D657" s="12" t="inlineStr">
        <is>
          <t>Proposed by Source assignment; target 1.3.1 Systems - Traction Power</t>
        </is>
      </c>
      <c r="E657" s="12" t="inlineStr">
        <is>
          <t>None recorded</t>
        </is>
      </c>
      <c r="F657" s="12" t="inlineStr">
        <is>
          <t>No individual professional decision recorded; Source assignment -- not individually reviewed</t>
        </is>
      </c>
      <c r="G657" s="12" t="inlineStr">
        <is>
          <t>Not individually decided</t>
        </is>
      </c>
      <c r="H657" s="12" t="inlineStr">
        <is>
          <t xml:space="preserve">APPROVED / ONE_TO_ONE; </t>
        </is>
      </c>
      <c r="I657" s="12" t="inlineStr">
        <is>
          <t>New</t>
        </is>
      </c>
      <c r="J657" s="17" t="inlineStr">
        <is>
          <t>08 CROSSWALK</t>
        </is>
      </c>
    </row>
    <row r="658" ht="49" customHeight="1">
      <c r="A658" s="12" t="inlineStr">
        <is>
          <t>R514-v1</t>
        </is>
      </c>
      <c r="B658" s="12" t="inlineStr">
        <is>
          <t>Contractor Programme / SCH-03-154</t>
        </is>
      </c>
      <c r="C658" s="12" t="inlineStr">
        <is>
          <t>WBS Code = 1.3.1</t>
        </is>
      </c>
      <c r="D658" s="12" t="inlineStr">
        <is>
          <t>Proposed by Source assignment; target 1.3.1 Systems - Traction Power</t>
        </is>
      </c>
      <c r="E658" s="12" t="inlineStr">
        <is>
          <t>None recorded</t>
        </is>
      </c>
      <c r="F658" s="12" t="inlineStr">
        <is>
          <t>No individual professional decision recorded; Source assignment -- not individually reviewed</t>
        </is>
      </c>
      <c r="G658" s="12" t="inlineStr">
        <is>
          <t>Not individually decided</t>
        </is>
      </c>
      <c r="H658" s="12" t="inlineStr">
        <is>
          <t xml:space="preserve">APPROVED / ONE_TO_ONE; </t>
        </is>
      </c>
      <c r="I658" s="12" t="inlineStr">
        <is>
          <t>New</t>
        </is>
      </c>
      <c r="J658" s="17" t="inlineStr">
        <is>
          <t>08 CROSSWALK</t>
        </is>
      </c>
    </row>
    <row r="659" ht="49" customHeight="1">
      <c r="A659" s="12" t="inlineStr">
        <is>
          <t>R515-v1</t>
        </is>
      </c>
      <c r="B659" s="12" t="inlineStr">
        <is>
          <t>Contractor Programme / SCH-03-155</t>
        </is>
      </c>
      <c r="C659" s="12" t="inlineStr">
        <is>
          <t>WBS Code = 1.3.1</t>
        </is>
      </c>
      <c r="D659" s="12" t="inlineStr">
        <is>
          <t>Proposed by Source assignment; target 1.3.1 Systems - Traction Power</t>
        </is>
      </c>
      <c r="E659" s="12" t="inlineStr">
        <is>
          <t>None recorded</t>
        </is>
      </c>
      <c r="F659" s="12" t="inlineStr">
        <is>
          <t>No individual professional decision recorded; Source assignment -- not individually reviewed</t>
        </is>
      </c>
      <c r="G659" s="12" t="inlineStr">
        <is>
          <t>Not individually decided</t>
        </is>
      </c>
      <c r="H659" s="12" t="inlineStr">
        <is>
          <t xml:space="preserve">APPROVED / ONE_TO_ONE; </t>
        </is>
      </c>
      <c r="I659" s="12" t="inlineStr">
        <is>
          <t>New</t>
        </is>
      </c>
      <c r="J659" s="17" t="inlineStr">
        <is>
          <t>08 CROSSWALK</t>
        </is>
      </c>
    </row>
    <row r="660" ht="49" customHeight="1">
      <c r="A660" s="12" t="inlineStr">
        <is>
          <t>R517-v1</t>
        </is>
      </c>
      <c r="B660" s="12" t="inlineStr">
        <is>
          <t>Contractor Programme / SCH-03-157</t>
        </is>
      </c>
      <c r="C660" s="12" t="inlineStr">
        <is>
          <t>WBS Code = 1.3.1</t>
        </is>
      </c>
      <c r="D660" s="12" t="inlineStr">
        <is>
          <t>Proposed by Source assignment; target 1.3.1 Systems - Traction Power</t>
        </is>
      </c>
      <c r="E660" s="12" t="inlineStr">
        <is>
          <t>None recorded</t>
        </is>
      </c>
      <c r="F660" s="12" t="inlineStr">
        <is>
          <t>No individual professional decision recorded; Source assignment -- not individually reviewed</t>
        </is>
      </c>
      <c r="G660" s="12" t="inlineStr">
        <is>
          <t>Not individually decided</t>
        </is>
      </c>
      <c r="H660" s="12" t="inlineStr">
        <is>
          <t xml:space="preserve">APPROVED / ONE_TO_ONE; </t>
        </is>
      </c>
      <c r="I660" s="12" t="inlineStr">
        <is>
          <t>New</t>
        </is>
      </c>
      <c r="J660" s="17" t="inlineStr">
        <is>
          <t>08 CROSSWALK</t>
        </is>
      </c>
    </row>
    <row r="661" ht="49" customHeight="1">
      <c r="A661" s="12" t="inlineStr">
        <is>
          <t>R518-v1</t>
        </is>
      </c>
      <c r="B661" s="12" t="inlineStr">
        <is>
          <t>Contractor Programme / SCH-03-158</t>
        </is>
      </c>
      <c r="C661" s="12" t="inlineStr">
        <is>
          <t>WBS Code = 1.3.1</t>
        </is>
      </c>
      <c r="D661" s="12" t="inlineStr">
        <is>
          <t>Proposed by Source assignment; target 1.3.1 Systems - Traction Power</t>
        </is>
      </c>
      <c r="E661" s="12" t="inlineStr">
        <is>
          <t>None recorded</t>
        </is>
      </c>
      <c r="F661" s="12" t="inlineStr">
        <is>
          <t>No individual professional decision recorded; Source assignment -- not individually reviewed</t>
        </is>
      </c>
      <c r="G661" s="12" t="inlineStr">
        <is>
          <t>Not individually decided</t>
        </is>
      </c>
      <c r="H661" s="12" t="inlineStr">
        <is>
          <t xml:space="preserve">APPROVED / ONE_TO_ONE; </t>
        </is>
      </c>
      <c r="I661" s="12" t="inlineStr">
        <is>
          <t>New</t>
        </is>
      </c>
      <c r="J661" s="17" t="inlineStr">
        <is>
          <t>08 CROSSWALK</t>
        </is>
      </c>
    </row>
    <row r="662" ht="49" customHeight="1">
      <c r="A662" s="12" t="inlineStr">
        <is>
          <t>R520-v1</t>
        </is>
      </c>
      <c r="B662" s="12" t="inlineStr">
        <is>
          <t>Contractor Programme / SCH-03-160</t>
        </is>
      </c>
      <c r="C662" s="12" t="inlineStr">
        <is>
          <t>WBS Code = 1.3.1</t>
        </is>
      </c>
      <c r="D662" s="12" t="inlineStr">
        <is>
          <t>Proposed by Source assignment; target 1.3.1 Systems - Traction Power</t>
        </is>
      </c>
      <c r="E662" s="12" t="inlineStr">
        <is>
          <t>None recorded</t>
        </is>
      </c>
      <c r="F662" s="12" t="inlineStr">
        <is>
          <t>No individual professional decision recorded; Source assignment -- not individually reviewed</t>
        </is>
      </c>
      <c r="G662" s="12" t="inlineStr">
        <is>
          <t>Not individually decided</t>
        </is>
      </c>
      <c r="H662" s="12" t="inlineStr">
        <is>
          <t xml:space="preserve">APPROVED / ONE_TO_ONE; </t>
        </is>
      </c>
      <c r="I662" s="12" t="inlineStr">
        <is>
          <t>New</t>
        </is>
      </c>
      <c r="J662" s="17" t="inlineStr">
        <is>
          <t>08 CROSSWALK</t>
        </is>
      </c>
    </row>
    <row r="663" ht="49" customHeight="1">
      <c r="A663" s="12" t="inlineStr">
        <is>
          <t>R521-v1</t>
        </is>
      </c>
      <c r="B663" s="12" t="inlineStr">
        <is>
          <t>Contractor Programme / SCH-03-161</t>
        </is>
      </c>
      <c r="C663" s="12" t="inlineStr">
        <is>
          <t>WBS Code = 1.3.1</t>
        </is>
      </c>
      <c r="D663" s="12" t="inlineStr">
        <is>
          <t>Proposed by Source assignment; target 1.3.1 Systems - Traction Power</t>
        </is>
      </c>
      <c r="E663" s="12" t="inlineStr">
        <is>
          <t>None recorded</t>
        </is>
      </c>
      <c r="F663" s="12" t="inlineStr">
        <is>
          <t>No individual professional decision recorded; Source assignment -- not individually reviewed</t>
        </is>
      </c>
      <c r="G663" s="12" t="inlineStr">
        <is>
          <t>Not individually decided</t>
        </is>
      </c>
      <c r="H663" s="12" t="inlineStr">
        <is>
          <t xml:space="preserve">APPROVED / ONE_TO_ONE; </t>
        </is>
      </c>
      <c r="I663" s="12" t="inlineStr">
        <is>
          <t>New</t>
        </is>
      </c>
      <c r="J663" s="17" t="inlineStr">
        <is>
          <t>08 CROSSWALK</t>
        </is>
      </c>
    </row>
    <row r="664" ht="49" customHeight="1">
      <c r="A664" s="12" t="inlineStr">
        <is>
          <t>R523-v1</t>
        </is>
      </c>
      <c r="B664" s="12" t="inlineStr">
        <is>
          <t>Contractor Programme / SCH-03-163</t>
        </is>
      </c>
      <c r="C664" s="12" t="inlineStr">
        <is>
          <t>WBS Code = 1.3.1</t>
        </is>
      </c>
      <c r="D664" s="12" t="inlineStr">
        <is>
          <t>Proposed by Source assignment; target 1.3.1 Systems - Traction Power</t>
        </is>
      </c>
      <c r="E664" s="12" t="inlineStr">
        <is>
          <t>None recorded</t>
        </is>
      </c>
      <c r="F664" s="12" t="inlineStr">
        <is>
          <t>No individual professional decision recorded; Source assignment -- not individually reviewed</t>
        </is>
      </c>
      <c r="G664" s="12" t="inlineStr">
        <is>
          <t>Not individually decided</t>
        </is>
      </c>
      <c r="H664" s="12" t="inlineStr">
        <is>
          <t xml:space="preserve">APPROVED / ONE_TO_ONE; </t>
        </is>
      </c>
      <c r="I664" s="12" t="inlineStr">
        <is>
          <t>New</t>
        </is>
      </c>
      <c r="J664" s="17" t="inlineStr">
        <is>
          <t>08 CROSSWALK</t>
        </is>
      </c>
    </row>
    <row r="665" ht="49" customHeight="1">
      <c r="A665" s="12" t="inlineStr">
        <is>
          <t>R524-v1</t>
        </is>
      </c>
      <c r="B665" s="12" t="inlineStr">
        <is>
          <t>Contractor Programme / SCH-03-164</t>
        </is>
      </c>
      <c r="C665" s="12" t="inlineStr">
        <is>
          <t>WBS Code = 1.3.1</t>
        </is>
      </c>
      <c r="D665" s="12" t="inlineStr">
        <is>
          <t>Proposed by Source assignment; target 1.3.1 Systems - Traction Power</t>
        </is>
      </c>
      <c r="E665" s="12" t="inlineStr">
        <is>
          <t>None recorded</t>
        </is>
      </c>
      <c r="F665" s="12" t="inlineStr">
        <is>
          <t>No individual professional decision recorded; Source assignment -- not individually reviewed</t>
        </is>
      </c>
      <c r="G665" s="12" t="inlineStr">
        <is>
          <t>Not individually decided</t>
        </is>
      </c>
      <c r="H665" s="12" t="inlineStr">
        <is>
          <t xml:space="preserve">APPROVED / ONE_TO_ONE; </t>
        </is>
      </c>
      <c r="I665" s="12" t="inlineStr">
        <is>
          <t>New</t>
        </is>
      </c>
      <c r="J665" s="17" t="inlineStr">
        <is>
          <t>08 CROSSWALK</t>
        </is>
      </c>
    </row>
    <row r="666" ht="49" customHeight="1">
      <c r="A666" s="12" t="inlineStr">
        <is>
          <t>R526-v1</t>
        </is>
      </c>
      <c r="B666" s="12" t="inlineStr">
        <is>
          <t>Contractor Programme / SCH-03-166</t>
        </is>
      </c>
      <c r="C666" s="12" t="inlineStr">
        <is>
          <t>WBS Code = 1.3.1</t>
        </is>
      </c>
      <c r="D666" s="12" t="inlineStr">
        <is>
          <t>Proposed by Source assignment; target 1.3.1 Systems - Traction Power</t>
        </is>
      </c>
      <c r="E666" s="12" t="inlineStr">
        <is>
          <t>None recorded</t>
        </is>
      </c>
      <c r="F666" s="12" t="inlineStr">
        <is>
          <t>No individual professional decision recorded; Source assignment -- not individually reviewed</t>
        </is>
      </c>
      <c r="G666" s="12" t="inlineStr">
        <is>
          <t>Not individually decided</t>
        </is>
      </c>
      <c r="H666" s="12" t="inlineStr">
        <is>
          <t xml:space="preserve">APPROVED / ONE_TO_ONE; </t>
        </is>
      </c>
      <c r="I666" s="12" t="inlineStr">
        <is>
          <t>New</t>
        </is>
      </c>
      <c r="J666" s="17" t="inlineStr">
        <is>
          <t>08 CROSSWALK</t>
        </is>
      </c>
    </row>
    <row r="667" ht="49" customHeight="1">
      <c r="A667" s="12" t="inlineStr">
        <is>
          <t>R527-v1</t>
        </is>
      </c>
      <c r="B667" s="12" t="inlineStr">
        <is>
          <t>Contractor Programme / SCH-03-167</t>
        </is>
      </c>
      <c r="C667" s="12" t="inlineStr">
        <is>
          <t>WBS Code = 1.3.1</t>
        </is>
      </c>
      <c r="D667" s="12" t="inlineStr">
        <is>
          <t>Proposed by Source assignment; target 1.3.1 Systems - Traction Power</t>
        </is>
      </c>
      <c r="E667" s="12" t="inlineStr">
        <is>
          <t>None recorded</t>
        </is>
      </c>
      <c r="F667" s="12" t="inlineStr">
        <is>
          <t>No individual professional decision recorded; Source assignment -- not individually reviewed</t>
        </is>
      </c>
      <c r="G667" s="12" t="inlineStr">
        <is>
          <t>Not individually decided</t>
        </is>
      </c>
      <c r="H667" s="12" t="inlineStr">
        <is>
          <t xml:space="preserve">APPROVED / ONE_TO_ONE; </t>
        </is>
      </c>
      <c r="I667" s="12" t="inlineStr">
        <is>
          <t>New</t>
        </is>
      </c>
      <c r="J667" s="17" t="inlineStr">
        <is>
          <t>08 CROSSWALK</t>
        </is>
      </c>
    </row>
    <row r="668" ht="49" customHeight="1">
      <c r="A668" s="12" t="inlineStr">
        <is>
          <t>R529-v1</t>
        </is>
      </c>
      <c r="B668" s="12" t="inlineStr">
        <is>
          <t>Contractor Programme / SCH-03-169</t>
        </is>
      </c>
      <c r="C668" s="12" t="inlineStr">
        <is>
          <t>WBS Code = 1.3.1</t>
        </is>
      </c>
      <c r="D668" s="12" t="inlineStr">
        <is>
          <t>Proposed by Source assignment; target 1.3.1 Systems - Traction Power</t>
        </is>
      </c>
      <c r="E668" s="12" t="inlineStr">
        <is>
          <t>None recorded</t>
        </is>
      </c>
      <c r="F668" s="12" t="inlineStr">
        <is>
          <t>No individual professional decision recorded; Source assignment -- not individually reviewed</t>
        </is>
      </c>
      <c r="G668" s="12" t="inlineStr">
        <is>
          <t>Not individually decided</t>
        </is>
      </c>
      <c r="H668" s="12" t="inlineStr">
        <is>
          <t xml:space="preserve">APPROVED / ONE_TO_ONE; </t>
        </is>
      </c>
      <c r="I668" s="12" t="inlineStr">
        <is>
          <t>New</t>
        </is>
      </c>
      <c r="J668" s="17" t="inlineStr">
        <is>
          <t>08 CROSSWALK</t>
        </is>
      </c>
    </row>
    <row r="669" ht="49" customHeight="1">
      <c r="A669" s="12" t="inlineStr">
        <is>
          <t>R530-v1</t>
        </is>
      </c>
      <c r="B669" s="12" t="inlineStr">
        <is>
          <t>Contractor Programme / SCH-03-170</t>
        </is>
      </c>
      <c r="C669" s="12" t="inlineStr">
        <is>
          <t>WBS Code = 1.3.1</t>
        </is>
      </c>
      <c r="D669" s="12" t="inlineStr">
        <is>
          <t>Proposed by Source assignment; target 1.3.1 Systems - Traction Power</t>
        </is>
      </c>
      <c r="E669" s="12" t="inlineStr">
        <is>
          <t>None recorded</t>
        </is>
      </c>
      <c r="F669" s="12" t="inlineStr">
        <is>
          <t>No individual professional decision recorded; Source assignment -- not individually reviewed</t>
        </is>
      </c>
      <c r="G669" s="12" t="inlineStr">
        <is>
          <t>Not individually decided</t>
        </is>
      </c>
      <c r="H669" s="12" t="inlineStr">
        <is>
          <t xml:space="preserve">APPROVED / ONE_TO_ONE; </t>
        </is>
      </c>
      <c r="I669" s="12" t="inlineStr">
        <is>
          <t>New</t>
        </is>
      </c>
      <c r="J669" s="17" t="inlineStr">
        <is>
          <t>08 CROSSWALK</t>
        </is>
      </c>
    </row>
    <row r="670" ht="49" customHeight="1">
      <c r="A670" s="12" t="inlineStr">
        <is>
          <t>R532-v1</t>
        </is>
      </c>
      <c r="B670" s="12" t="inlineStr">
        <is>
          <t>Contractor Programme / SCH-03-172</t>
        </is>
      </c>
      <c r="C670" s="12" t="inlineStr">
        <is>
          <t>WBS Code = 1.3.1</t>
        </is>
      </c>
      <c r="D670" s="12" t="inlineStr">
        <is>
          <t>Proposed by Source assignment; target 1.3.1 Systems - Traction Power</t>
        </is>
      </c>
      <c r="E670" s="12" t="inlineStr">
        <is>
          <t>None recorded</t>
        </is>
      </c>
      <c r="F670" s="12" t="inlineStr">
        <is>
          <t>No individual professional decision recorded; Source assignment -- not individually reviewed</t>
        </is>
      </c>
      <c r="G670" s="12" t="inlineStr">
        <is>
          <t>Not individually decided</t>
        </is>
      </c>
      <c r="H670" s="12" t="inlineStr">
        <is>
          <t xml:space="preserve">APPROVED / ONE_TO_ONE; </t>
        </is>
      </c>
      <c r="I670" s="12" t="inlineStr">
        <is>
          <t>New</t>
        </is>
      </c>
      <c r="J670" s="17" t="inlineStr">
        <is>
          <t>08 CROSSWALK</t>
        </is>
      </c>
    </row>
    <row r="671" ht="49" customHeight="1">
      <c r="A671" s="12" t="inlineStr">
        <is>
          <t>R533-v1</t>
        </is>
      </c>
      <c r="B671" s="12" t="inlineStr">
        <is>
          <t>Contractor Programme / SCH-03-173</t>
        </is>
      </c>
      <c r="C671" s="12" t="inlineStr">
        <is>
          <t>WBS Code = 1.3.1</t>
        </is>
      </c>
      <c r="D671" s="12" t="inlineStr">
        <is>
          <t>Proposed by Source assignment; target 1.3.1 Systems - Traction Power</t>
        </is>
      </c>
      <c r="E671" s="12" t="inlineStr">
        <is>
          <t>None recorded</t>
        </is>
      </c>
      <c r="F671" s="12" t="inlineStr">
        <is>
          <t>No individual professional decision recorded; Source assignment -- not individually reviewed</t>
        </is>
      </c>
      <c r="G671" s="12" t="inlineStr">
        <is>
          <t>Not individually decided</t>
        </is>
      </c>
      <c r="H671" s="12" t="inlineStr">
        <is>
          <t xml:space="preserve">APPROVED / ONE_TO_ONE; </t>
        </is>
      </c>
      <c r="I671" s="12" t="inlineStr">
        <is>
          <t>New</t>
        </is>
      </c>
      <c r="J671" s="17" t="inlineStr">
        <is>
          <t>08 CROSSWALK</t>
        </is>
      </c>
    </row>
    <row r="672" ht="49" customHeight="1">
      <c r="A672" s="12" t="inlineStr">
        <is>
          <t>R535-v1</t>
        </is>
      </c>
      <c r="B672" s="12" t="inlineStr">
        <is>
          <t>Contractor Programme / SCH-03-175</t>
        </is>
      </c>
      <c r="C672" s="12" t="inlineStr">
        <is>
          <t>WBS Code = 1.3.1</t>
        </is>
      </c>
      <c r="D672" s="12" t="inlineStr">
        <is>
          <t>Proposed by Source assignment; target 1.3.1 Systems - Traction Power</t>
        </is>
      </c>
      <c r="E672" s="12" t="inlineStr">
        <is>
          <t>None recorded</t>
        </is>
      </c>
      <c r="F672" s="12" t="inlineStr">
        <is>
          <t>No individual professional decision recorded; Source assignment -- not individually reviewed</t>
        </is>
      </c>
      <c r="G672" s="12" t="inlineStr">
        <is>
          <t>Not individually decided</t>
        </is>
      </c>
      <c r="H672" s="12" t="inlineStr">
        <is>
          <t xml:space="preserve">APPROVED / ONE_TO_ONE; </t>
        </is>
      </c>
      <c r="I672" s="12" t="inlineStr">
        <is>
          <t>New</t>
        </is>
      </c>
      <c r="J672" s="17" t="inlineStr">
        <is>
          <t>08 CROSSWALK</t>
        </is>
      </c>
    </row>
    <row r="673" ht="49" customHeight="1">
      <c r="A673" s="12" t="inlineStr">
        <is>
          <t>R536-v1</t>
        </is>
      </c>
      <c r="B673" s="12" t="inlineStr">
        <is>
          <t>Contractor Programme / SCH-03-176</t>
        </is>
      </c>
      <c r="C673" s="12" t="inlineStr">
        <is>
          <t>WBS Code = 1.3.1</t>
        </is>
      </c>
      <c r="D673" s="12" t="inlineStr">
        <is>
          <t>Proposed by Source assignment; target 1.3.1 Systems - Traction Power</t>
        </is>
      </c>
      <c r="E673" s="12" t="inlineStr">
        <is>
          <t>None recorded</t>
        </is>
      </c>
      <c r="F673" s="12" t="inlineStr">
        <is>
          <t>No individual professional decision recorded; Source assignment -- not individually reviewed</t>
        </is>
      </c>
      <c r="G673" s="12" t="inlineStr">
        <is>
          <t>Not individually decided</t>
        </is>
      </c>
      <c r="H673" s="12" t="inlineStr">
        <is>
          <t xml:space="preserve">APPROVED / ONE_TO_ONE; </t>
        </is>
      </c>
      <c r="I673" s="12" t="inlineStr">
        <is>
          <t>New</t>
        </is>
      </c>
      <c r="J673" s="17" t="inlineStr">
        <is>
          <t>08 CROSSWALK</t>
        </is>
      </c>
    </row>
    <row r="674" ht="49" customHeight="1">
      <c r="A674" s="12" t="inlineStr">
        <is>
          <t>R538-v1</t>
        </is>
      </c>
      <c r="B674" s="12" t="inlineStr">
        <is>
          <t>Contractor Programme / SCH-03-178</t>
        </is>
      </c>
      <c r="C674" s="12" t="inlineStr">
        <is>
          <t>WBS Code = 1.3.1</t>
        </is>
      </c>
      <c r="D674" s="12" t="inlineStr">
        <is>
          <t>Proposed by Source assignment; target 1.3.1 Systems - Traction Power</t>
        </is>
      </c>
      <c r="E674" s="12" t="inlineStr">
        <is>
          <t>None recorded</t>
        </is>
      </c>
      <c r="F674" s="12" t="inlineStr">
        <is>
          <t>No individual professional decision recorded; Source assignment -- not individually reviewed</t>
        </is>
      </c>
      <c r="G674" s="12" t="inlineStr">
        <is>
          <t>Not individually decided</t>
        </is>
      </c>
      <c r="H674" s="12" t="inlineStr">
        <is>
          <t xml:space="preserve">APPROVED / ONE_TO_ONE; </t>
        </is>
      </c>
      <c r="I674" s="12" t="inlineStr">
        <is>
          <t>New</t>
        </is>
      </c>
      <c r="J674" s="17" t="inlineStr">
        <is>
          <t>08 CROSSWALK</t>
        </is>
      </c>
    </row>
    <row r="675" ht="49" customHeight="1">
      <c r="A675" s="12" t="inlineStr">
        <is>
          <t>R539-v1</t>
        </is>
      </c>
      <c r="B675" s="12" t="inlineStr">
        <is>
          <t>Contractor Programme / SCH-03-179</t>
        </is>
      </c>
      <c r="C675" s="12" t="inlineStr">
        <is>
          <t>WBS Code = 1.3.1</t>
        </is>
      </c>
      <c r="D675" s="12" t="inlineStr">
        <is>
          <t>Proposed by Source assignment; target 1.3.1 Systems - Traction Power</t>
        </is>
      </c>
      <c r="E675" s="12" t="inlineStr">
        <is>
          <t>None recorded</t>
        </is>
      </c>
      <c r="F675" s="12" t="inlineStr">
        <is>
          <t>No individual professional decision recorded; Source assignment -- not individually reviewed</t>
        </is>
      </c>
      <c r="G675" s="12" t="inlineStr">
        <is>
          <t>Not individually decided</t>
        </is>
      </c>
      <c r="H675" s="12" t="inlineStr">
        <is>
          <t xml:space="preserve">APPROVED / ONE_TO_ONE; </t>
        </is>
      </c>
      <c r="I675" s="12" t="inlineStr">
        <is>
          <t>New</t>
        </is>
      </c>
      <c r="J675" s="17" t="inlineStr">
        <is>
          <t>08 CROSSWALK</t>
        </is>
      </c>
    </row>
    <row r="676" ht="49" customHeight="1">
      <c r="A676" s="12" t="inlineStr">
        <is>
          <t>R1243-v1</t>
        </is>
      </c>
      <c r="B676" s="12" t="inlineStr">
        <is>
          <t>Cost &amp; Forecast Control Accounts / CST-03-001</t>
        </is>
      </c>
      <c r="C676" s="12" t="inlineStr">
        <is>
          <t>Cost Account = CA-3001; WBS Code = 1.3.1</t>
        </is>
      </c>
      <c r="D676" s="12" t="inlineStr">
        <is>
          <t>Proposed by Source assignment; target 1.3.1 Systems - Traction Power</t>
        </is>
      </c>
      <c r="E676" s="12" t="inlineStr">
        <is>
          <t>None recorded</t>
        </is>
      </c>
      <c r="F676" s="12" t="inlineStr">
        <is>
          <t>No individual professional decision recorded; Source assignment -- not individually reviewed</t>
        </is>
      </c>
      <c r="G676" s="12" t="inlineStr">
        <is>
          <t>Not individually decided</t>
        </is>
      </c>
      <c r="H676" s="12" t="inlineStr">
        <is>
          <t xml:space="preserve">APPROVED / ONE_TO_ONE; </t>
        </is>
      </c>
      <c r="I676" s="12" t="inlineStr">
        <is>
          <t>New</t>
        </is>
      </c>
      <c r="J676" s="17" t="inlineStr">
        <is>
          <t>08 CROSSWALK</t>
        </is>
      </c>
    </row>
    <row r="677" ht="49" customHeight="1">
      <c r="A677" s="12" t="inlineStr">
        <is>
          <t>R1245-v1</t>
        </is>
      </c>
      <c r="B677" s="12" t="inlineStr">
        <is>
          <t>Cost &amp; Forecast Control Accounts / CST-03-003</t>
        </is>
      </c>
      <c r="C677" s="12" t="inlineStr">
        <is>
          <t>Cost Account = CA-3003; WBS Code = 1.3.1</t>
        </is>
      </c>
      <c r="D677" s="12" t="inlineStr">
        <is>
          <t>Proposed by Source assignment; target 1.3.1 Systems - Traction Power</t>
        </is>
      </c>
      <c r="E677" s="12" t="inlineStr">
        <is>
          <t>None recorded</t>
        </is>
      </c>
      <c r="F677" s="12" t="inlineStr">
        <is>
          <t>No individual professional decision recorded; Source assignment -- not individually reviewed</t>
        </is>
      </c>
      <c r="G677" s="12" t="inlineStr">
        <is>
          <t>Not individually decided</t>
        </is>
      </c>
      <c r="H677" s="12" t="inlineStr">
        <is>
          <t xml:space="preserve">APPROVED / ONE_TO_ONE; </t>
        </is>
      </c>
      <c r="I677" s="12" t="inlineStr">
        <is>
          <t>New</t>
        </is>
      </c>
      <c r="J677" s="17" t="inlineStr">
        <is>
          <t>08 CROSSWALK</t>
        </is>
      </c>
    </row>
    <row r="678" ht="49" customHeight="1">
      <c r="A678" s="12" t="inlineStr">
        <is>
          <t>R1247-v1</t>
        </is>
      </c>
      <c r="B678" s="12" t="inlineStr">
        <is>
          <t>Cost &amp; Forecast Control Accounts / CST-03-005</t>
        </is>
      </c>
      <c r="C678" s="12" t="inlineStr">
        <is>
          <t>Cost Account = CA-3005; WBS Code = 1.3.1</t>
        </is>
      </c>
      <c r="D678" s="12" t="inlineStr">
        <is>
          <t>Proposed by Source assignment; target 1.3.1 Systems - Traction Power</t>
        </is>
      </c>
      <c r="E678" s="12" t="inlineStr">
        <is>
          <t>None recorded</t>
        </is>
      </c>
      <c r="F678" s="12" t="inlineStr">
        <is>
          <t>No individual professional decision recorded; Source assignment -- not individually reviewed</t>
        </is>
      </c>
      <c r="G678" s="12" t="inlineStr">
        <is>
          <t>Not individually decided</t>
        </is>
      </c>
      <c r="H678" s="12" t="inlineStr">
        <is>
          <t xml:space="preserve">APPROVED / ONE_TO_ONE; </t>
        </is>
      </c>
      <c r="I678" s="12" t="inlineStr">
        <is>
          <t>New</t>
        </is>
      </c>
      <c r="J678" s="17" t="inlineStr">
        <is>
          <t>08 CROSSWALK</t>
        </is>
      </c>
    </row>
    <row r="679" ht="49" customHeight="1">
      <c r="A679" s="12" t="inlineStr">
        <is>
          <t>R1249-v1</t>
        </is>
      </c>
      <c r="B679" s="12" t="inlineStr">
        <is>
          <t>Cost &amp; Forecast Control Accounts / CST-03-007</t>
        </is>
      </c>
      <c r="C679" s="12" t="inlineStr">
        <is>
          <t>Cost Account = CA-3007; WBS Code = 1.3.1</t>
        </is>
      </c>
      <c r="D679" s="12" t="inlineStr">
        <is>
          <t>Proposed by Source assignment; target 1.3.1 Systems - Traction Power</t>
        </is>
      </c>
      <c r="E679" s="12" t="inlineStr">
        <is>
          <t>None recorded</t>
        </is>
      </c>
      <c r="F679" s="12" t="inlineStr">
        <is>
          <t>No individual professional decision recorded; Source assignment -- not individually reviewed</t>
        </is>
      </c>
      <c r="G679" s="12" t="inlineStr">
        <is>
          <t>Not individually decided</t>
        </is>
      </c>
      <c r="H679" s="12" t="inlineStr">
        <is>
          <t xml:space="preserve">APPROVED / ONE_TO_ONE; </t>
        </is>
      </c>
      <c r="I679" s="12" t="inlineStr">
        <is>
          <t>New</t>
        </is>
      </c>
      <c r="J679" s="17" t="inlineStr">
        <is>
          <t>08 CROSSWALK</t>
        </is>
      </c>
    </row>
    <row r="680" ht="49" customHeight="1">
      <c r="A680" s="12" t="inlineStr">
        <is>
          <t>R1251-v1</t>
        </is>
      </c>
      <c r="B680" s="12" t="inlineStr">
        <is>
          <t>Cost &amp; Forecast Control Accounts / CST-03-009</t>
        </is>
      </c>
      <c r="C680" s="12" t="inlineStr">
        <is>
          <t>Cost Account = CA-3009; WBS Code = 1.3.1</t>
        </is>
      </c>
      <c r="D680" s="12" t="inlineStr">
        <is>
          <t>Proposed by Source assignment; target 1.3.1 Systems - Traction Power</t>
        </is>
      </c>
      <c r="E680" s="12" t="inlineStr">
        <is>
          <t>None recorded</t>
        </is>
      </c>
      <c r="F680" s="12" t="inlineStr">
        <is>
          <t>No individual professional decision recorded; Source assignment -- not individually reviewed</t>
        </is>
      </c>
      <c r="G680" s="12" t="inlineStr">
        <is>
          <t>Not individually decided</t>
        </is>
      </c>
      <c r="H680" s="12" t="inlineStr">
        <is>
          <t xml:space="preserve">APPROVED / ONE_TO_ONE; </t>
        </is>
      </c>
      <c r="I680" s="12" t="inlineStr">
        <is>
          <t>New</t>
        </is>
      </c>
      <c r="J680" s="17" t="inlineStr">
        <is>
          <t>08 CROSSWALK</t>
        </is>
      </c>
    </row>
    <row r="681" ht="49" customHeight="1">
      <c r="A681" s="12" t="inlineStr">
        <is>
          <t>R1253-v1</t>
        </is>
      </c>
      <c r="B681" s="12" t="inlineStr">
        <is>
          <t>Cost &amp; Forecast Control Accounts / CST-03-011</t>
        </is>
      </c>
      <c r="C681" s="12" t="inlineStr">
        <is>
          <t>Cost Account = CA-3011; WBS Code = 1.3.1</t>
        </is>
      </c>
      <c r="D681" s="12" t="inlineStr">
        <is>
          <t>Proposed by Source assignment; target 1.3.1 Systems - Traction Power</t>
        </is>
      </c>
      <c r="E681" s="12" t="inlineStr">
        <is>
          <t>None recorded</t>
        </is>
      </c>
      <c r="F681" s="12" t="inlineStr">
        <is>
          <t>No individual professional decision recorded; Source assignment -- not individually reviewed</t>
        </is>
      </c>
      <c r="G681" s="12" t="inlineStr">
        <is>
          <t>Not individually decided</t>
        </is>
      </c>
      <c r="H681" s="12" t="inlineStr">
        <is>
          <t xml:space="preserve">APPROVED / ONE_TO_ONE; </t>
        </is>
      </c>
      <c r="I681" s="12" t="inlineStr">
        <is>
          <t>New</t>
        </is>
      </c>
      <c r="J681" s="17" t="inlineStr">
        <is>
          <t>08 CROSSWALK</t>
        </is>
      </c>
    </row>
    <row r="682" ht="49" customHeight="1">
      <c r="A682" s="12" t="inlineStr">
        <is>
          <t>R1255-v1</t>
        </is>
      </c>
      <c r="B682" s="12" t="inlineStr">
        <is>
          <t>Cost &amp; Forecast Control Accounts / CST-03-013</t>
        </is>
      </c>
      <c r="C682" s="12" t="inlineStr">
        <is>
          <t>Cost Account = CA-3013; WBS Code = 1.3.1</t>
        </is>
      </c>
      <c r="D682" s="12" t="inlineStr">
        <is>
          <t>Proposed by Source assignment; target 1.3.1 Systems - Traction Power</t>
        </is>
      </c>
      <c r="E682" s="12" t="inlineStr">
        <is>
          <t>None recorded</t>
        </is>
      </c>
      <c r="F682" s="12" t="inlineStr">
        <is>
          <t>No individual professional decision recorded; Source assignment -- not individually reviewed</t>
        </is>
      </c>
      <c r="G682" s="12" t="inlineStr">
        <is>
          <t>Not individually decided</t>
        </is>
      </c>
      <c r="H682" s="12" t="inlineStr">
        <is>
          <t xml:space="preserve">APPROVED / ONE_TO_ONE; </t>
        </is>
      </c>
      <c r="I682" s="12" t="inlineStr">
        <is>
          <t>New</t>
        </is>
      </c>
      <c r="J682" s="17" t="inlineStr">
        <is>
          <t>08 CROSSWALK</t>
        </is>
      </c>
    </row>
    <row r="683" ht="49" customHeight="1">
      <c r="A683" s="12" t="inlineStr">
        <is>
          <t>R1257-v1</t>
        </is>
      </c>
      <c r="B683" s="12" t="inlineStr">
        <is>
          <t>Cost &amp; Forecast Control Accounts / CST-03-015</t>
        </is>
      </c>
      <c r="C683" s="12" t="inlineStr">
        <is>
          <t>Cost Account = CA-3015; WBS Code = 1.3.1</t>
        </is>
      </c>
      <c r="D683" s="12" t="inlineStr">
        <is>
          <t>Proposed by Source assignment; target 1.3.1 Systems - Traction Power</t>
        </is>
      </c>
      <c r="E683" s="12" t="inlineStr">
        <is>
          <t>None recorded</t>
        </is>
      </c>
      <c r="F683" s="12" t="inlineStr">
        <is>
          <t>No individual professional decision recorded; Source assignment -- not individually reviewed</t>
        </is>
      </c>
      <c r="G683" s="12" t="inlineStr">
        <is>
          <t>Not individually decided</t>
        </is>
      </c>
      <c r="H683" s="12" t="inlineStr">
        <is>
          <t xml:space="preserve">APPROVED / ONE_TO_ONE; </t>
        </is>
      </c>
      <c r="I683" s="12" t="inlineStr">
        <is>
          <t>New</t>
        </is>
      </c>
      <c r="J683" s="17" t="inlineStr">
        <is>
          <t>08 CROSSWALK</t>
        </is>
      </c>
    </row>
    <row r="684" ht="49" customHeight="1">
      <c r="A684" s="12" t="inlineStr">
        <is>
          <t>R1259-v1</t>
        </is>
      </c>
      <c r="B684" s="12" t="inlineStr">
        <is>
          <t>Cost &amp; Forecast Control Accounts / CST-03-017</t>
        </is>
      </c>
      <c r="C684" s="12" t="inlineStr">
        <is>
          <t>Cost Account = CA-3017; WBS Code = 1.3.1</t>
        </is>
      </c>
      <c r="D684" s="12" t="inlineStr">
        <is>
          <t>Proposed by Source assignment; target 1.3.1 Systems - Traction Power</t>
        </is>
      </c>
      <c r="E684" s="12" t="inlineStr">
        <is>
          <t>None recorded</t>
        </is>
      </c>
      <c r="F684" s="12" t="inlineStr">
        <is>
          <t>No individual professional decision recorded; Source assignment -- not individually reviewed</t>
        </is>
      </c>
      <c r="G684" s="12" t="inlineStr">
        <is>
          <t>Not individually decided</t>
        </is>
      </c>
      <c r="H684" s="12" t="inlineStr">
        <is>
          <t xml:space="preserve">APPROVED / ONE_TO_ONE; </t>
        </is>
      </c>
      <c r="I684" s="12" t="inlineStr">
        <is>
          <t>New</t>
        </is>
      </c>
      <c r="J684" s="17" t="inlineStr">
        <is>
          <t>08 CROSSWALK</t>
        </is>
      </c>
    </row>
    <row r="685" ht="49" customHeight="1">
      <c r="A685" s="12" t="inlineStr">
        <is>
          <t>R1261-v1</t>
        </is>
      </c>
      <c r="B685" s="12" t="inlineStr">
        <is>
          <t>Cost &amp; Forecast Control Accounts / CST-03-019</t>
        </is>
      </c>
      <c r="C685" s="12" t="inlineStr">
        <is>
          <t>Cost Account = CA-3019; WBS Code = 1.3.1</t>
        </is>
      </c>
      <c r="D685" s="12" t="inlineStr">
        <is>
          <t>Proposed by Source assignment; target 1.3.1 Systems - Traction Power</t>
        </is>
      </c>
      <c r="E685" s="12" t="inlineStr">
        <is>
          <t>None recorded</t>
        </is>
      </c>
      <c r="F685" s="12" t="inlineStr">
        <is>
          <t>No individual professional decision recorded; Source assignment -- not individually reviewed</t>
        </is>
      </c>
      <c r="G685" s="12" t="inlineStr">
        <is>
          <t>Not individually decided</t>
        </is>
      </c>
      <c r="H685" s="12" t="inlineStr">
        <is>
          <t xml:space="preserve">APPROVED / ONE_TO_ONE; </t>
        </is>
      </c>
      <c r="I685" s="12" t="inlineStr">
        <is>
          <t>New</t>
        </is>
      </c>
      <c r="J685" s="17" t="inlineStr">
        <is>
          <t>08 CROSSWALK</t>
        </is>
      </c>
    </row>
    <row r="686" ht="49" customHeight="1">
      <c r="A686" s="12" t="inlineStr">
        <is>
          <t>R1263-v1</t>
        </is>
      </c>
      <c r="B686" s="12" t="inlineStr">
        <is>
          <t>Cost &amp; Forecast Control Accounts / CST-03-021</t>
        </is>
      </c>
      <c r="C686" s="12" t="inlineStr">
        <is>
          <t>Cost Account = CA-3021; WBS Code = 1.3.1</t>
        </is>
      </c>
      <c r="D686" s="12" t="inlineStr">
        <is>
          <t>Proposed by Source assignment; target 1.3.1 Systems - Traction Power</t>
        </is>
      </c>
      <c r="E686" s="12" t="inlineStr">
        <is>
          <t>None recorded</t>
        </is>
      </c>
      <c r="F686" s="12" t="inlineStr">
        <is>
          <t>No individual professional decision recorded; Source assignment -- not individually reviewed</t>
        </is>
      </c>
      <c r="G686" s="12" t="inlineStr">
        <is>
          <t>Not individually decided</t>
        </is>
      </c>
      <c r="H686" s="12" t="inlineStr">
        <is>
          <t xml:space="preserve">APPROVED / ONE_TO_ONE; </t>
        </is>
      </c>
      <c r="I686" s="12" t="inlineStr">
        <is>
          <t>New</t>
        </is>
      </c>
      <c r="J686" s="17" t="inlineStr">
        <is>
          <t>08 CROSSWALK</t>
        </is>
      </c>
    </row>
    <row r="687" ht="49" customHeight="1">
      <c r="A687" s="12" t="inlineStr">
        <is>
          <t>R1265-v1</t>
        </is>
      </c>
      <c r="B687" s="12" t="inlineStr">
        <is>
          <t>Cost &amp; Forecast Control Accounts / CST-03-023</t>
        </is>
      </c>
      <c r="C687" s="12" t="inlineStr">
        <is>
          <t>Cost Account = CA-3023; WBS Code = 1.3.1</t>
        </is>
      </c>
      <c r="D687" s="12" t="inlineStr">
        <is>
          <t>Proposed by Source assignment; target 1.3.1 Systems - Traction Power</t>
        </is>
      </c>
      <c r="E687" s="12" t="inlineStr">
        <is>
          <t>None recorded</t>
        </is>
      </c>
      <c r="F687" s="12" t="inlineStr">
        <is>
          <t>No individual professional decision recorded; Source assignment -- not individually reviewed</t>
        </is>
      </c>
      <c r="G687" s="12" t="inlineStr">
        <is>
          <t>Not individually decided</t>
        </is>
      </c>
      <c r="H687" s="12" t="inlineStr">
        <is>
          <t xml:space="preserve">APPROVED / ONE_TO_ONE; </t>
        </is>
      </c>
      <c r="I687" s="12" t="inlineStr">
        <is>
          <t>New</t>
        </is>
      </c>
      <c r="J687" s="17" t="inlineStr">
        <is>
          <t>08 CROSSWALK</t>
        </is>
      </c>
    </row>
    <row r="688" ht="49" customHeight="1">
      <c r="A688" s="12" t="inlineStr">
        <is>
          <t>R1267-v1</t>
        </is>
      </c>
      <c r="B688" s="12" t="inlineStr">
        <is>
          <t>Cost &amp; Forecast Control Accounts / CST-03-025</t>
        </is>
      </c>
      <c r="C688" s="12" t="inlineStr">
        <is>
          <t>Cost Account = CA-3025; WBS Code = 1.3.1</t>
        </is>
      </c>
      <c r="D688" s="12" t="inlineStr">
        <is>
          <t>Proposed by Source assignment; target 1.3.1 Systems - Traction Power</t>
        </is>
      </c>
      <c r="E688" s="12" t="inlineStr">
        <is>
          <t>None recorded</t>
        </is>
      </c>
      <c r="F688" s="12" t="inlineStr">
        <is>
          <t>No individual professional decision recorded; Source assignment -- not individually reviewed</t>
        </is>
      </c>
      <c r="G688" s="12" t="inlineStr">
        <is>
          <t>Not individually decided</t>
        </is>
      </c>
      <c r="H688" s="12" t="inlineStr">
        <is>
          <t xml:space="preserve">APPROVED / ONE_TO_ONE; </t>
        </is>
      </c>
      <c r="I688" s="12" t="inlineStr">
        <is>
          <t>New</t>
        </is>
      </c>
      <c r="J688" s="17" t="inlineStr">
        <is>
          <t>08 CROSSWALK</t>
        </is>
      </c>
    </row>
    <row r="689" ht="49" customHeight="1">
      <c r="A689" s="12" t="inlineStr">
        <is>
          <t>R1269-v1</t>
        </is>
      </c>
      <c r="B689" s="12" t="inlineStr">
        <is>
          <t>Cost &amp; Forecast Control Accounts / CST-03-027</t>
        </is>
      </c>
      <c r="C689" s="12" t="inlineStr">
        <is>
          <t>Cost Account = CA-3027; WBS Code = 1.3.1</t>
        </is>
      </c>
      <c r="D689" s="12" t="inlineStr">
        <is>
          <t>Proposed by Source assignment; target 1.3.1 Systems - Traction Power</t>
        </is>
      </c>
      <c r="E689" s="12" t="inlineStr">
        <is>
          <t>None recorded</t>
        </is>
      </c>
      <c r="F689" s="12" t="inlineStr">
        <is>
          <t>No individual professional decision recorded; Source assignment -- not individually reviewed</t>
        </is>
      </c>
      <c r="G689" s="12" t="inlineStr">
        <is>
          <t>Not individually decided</t>
        </is>
      </c>
      <c r="H689" s="12" t="inlineStr">
        <is>
          <t xml:space="preserve">APPROVED / ONE_TO_ONE; </t>
        </is>
      </c>
      <c r="I689" s="12" t="inlineStr">
        <is>
          <t>New</t>
        </is>
      </c>
      <c r="J689" s="17" t="inlineStr">
        <is>
          <t>08 CROSSWALK</t>
        </is>
      </c>
    </row>
    <row r="690" ht="49" customHeight="1">
      <c r="A690" s="12" t="inlineStr">
        <is>
          <t>R1271-v1</t>
        </is>
      </c>
      <c r="B690" s="12" t="inlineStr">
        <is>
          <t>Cost &amp; Forecast Control Accounts / CST-03-029</t>
        </is>
      </c>
      <c r="C690" s="12" t="inlineStr">
        <is>
          <t>Cost Account = CA-3029; WBS Code = 1.3.1</t>
        </is>
      </c>
      <c r="D690" s="12" t="inlineStr">
        <is>
          <t>Proposed by Source assignment; target 1.3.1 Systems - Traction Power</t>
        </is>
      </c>
      <c r="E690" s="12" t="inlineStr">
        <is>
          <t>None recorded</t>
        </is>
      </c>
      <c r="F690" s="12" t="inlineStr">
        <is>
          <t>No individual professional decision recorded; Source assignment -- not individually reviewed</t>
        </is>
      </c>
      <c r="G690" s="12" t="inlineStr">
        <is>
          <t>Not individually decided</t>
        </is>
      </c>
      <c r="H690" s="12" t="inlineStr">
        <is>
          <t xml:space="preserve">APPROVED / ONE_TO_ONE; </t>
        </is>
      </c>
      <c r="I690" s="12" t="inlineStr">
        <is>
          <t>New</t>
        </is>
      </c>
      <c r="J690" s="17" t="inlineStr">
        <is>
          <t>08 CROSSWALK</t>
        </is>
      </c>
    </row>
    <row r="691" ht="49" customHeight="1">
      <c r="A691" s="12" t="inlineStr">
        <is>
          <t>R1273-v1</t>
        </is>
      </c>
      <c r="B691" s="12" t="inlineStr">
        <is>
          <t>Cost &amp; Forecast Control Accounts / CST-03-031</t>
        </is>
      </c>
      <c r="C691" s="12" t="inlineStr">
        <is>
          <t>Cost Account = CA-3031; WBS Code = 1.3.1</t>
        </is>
      </c>
      <c r="D691" s="12" t="inlineStr">
        <is>
          <t>Proposed by Source assignment; target 1.3.1 Systems - Traction Power</t>
        </is>
      </c>
      <c r="E691" s="12" t="inlineStr">
        <is>
          <t>None recorded</t>
        </is>
      </c>
      <c r="F691" s="12" t="inlineStr">
        <is>
          <t>No individual professional decision recorded; Source assignment -- not individually reviewed</t>
        </is>
      </c>
      <c r="G691" s="12" t="inlineStr">
        <is>
          <t>Not individually decided</t>
        </is>
      </c>
      <c r="H691" s="12" t="inlineStr">
        <is>
          <t xml:space="preserve">APPROVED / ONE_TO_ONE; </t>
        </is>
      </c>
      <c r="I691" s="12" t="inlineStr">
        <is>
          <t>New</t>
        </is>
      </c>
      <c r="J691" s="17" t="inlineStr">
        <is>
          <t>08 CROSSWALK</t>
        </is>
      </c>
    </row>
    <row r="692" ht="49" customHeight="1">
      <c r="A692" s="12" t="inlineStr">
        <is>
          <t>R1275-v1</t>
        </is>
      </c>
      <c r="B692" s="12" t="inlineStr">
        <is>
          <t>Cost &amp; Forecast Control Accounts / CST-03-033</t>
        </is>
      </c>
      <c r="C692" s="12" t="inlineStr">
        <is>
          <t>Cost Account = CA-3033; WBS Code = 1.3.1</t>
        </is>
      </c>
      <c r="D692" s="12" t="inlineStr">
        <is>
          <t>Proposed by Source assignment; target 1.3.1 Systems - Traction Power</t>
        </is>
      </c>
      <c r="E692" s="12" t="inlineStr">
        <is>
          <t>None recorded</t>
        </is>
      </c>
      <c r="F692" s="12" t="inlineStr">
        <is>
          <t>No individual professional decision recorded; Source assignment -- not individually reviewed</t>
        </is>
      </c>
      <c r="G692" s="12" t="inlineStr">
        <is>
          <t>Not individually decided</t>
        </is>
      </c>
      <c r="H692" s="12" t="inlineStr">
        <is>
          <t xml:space="preserve">APPROVED / ONE_TO_ONE; </t>
        </is>
      </c>
      <c r="I692" s="12" t="inlineStr">
        <is>
          <t>New</t>
        </is>
      </c>
      <c r="J692" s="17" t="inlineStr">
        <is>
          <t>08 CROSSWALK</t>
        </is>
      </c>
    </row>
    <row r="693" ht="49" customHeight="1">
      <c r="A693" s="12" t="inlineStr">
        <is>
          <t>R1277-v1</t>
        </is>
      </c>
      <c r="B693" s="12" t="inlineStr">
        <is>
          <t>Cost &amp; Forecast Control Accounts / CST-03-035</t>
        </is>
      </c>
      <c r="C693" s="12" t="inlineStr">
        <is>
          <t>Cost Account = CA-3035; WBS Code = 1.3.1</t>
        </is>
      </c>
      <c r="D693" s="12" t="inlineStr">
        <is>
          <t>Proposed by Source assignment; target 1.3.1 Systems - Traction Power</t>
        </is>
      </c>
      <c r="E693" s="12" t="inlineStr">
        <is>
          <t>None recorded</t>
        </is>
      </c>
      <c r="F693" s="12" t="inlineStr">
        <is>
          <t>No individual professional decision recorded; Source assignment -- not individually reviewed</t>
        </is>
      </c>
      <c r="G693" s="12" t="inlineStr">
        <is>
          <t>Not individually decided</t>
        </is>
      </c>
      <c r="H693" s="12" t="inlineStr">
        <is>
          <t xml:space="preserve">APPROVED / ONE_TO_ONE; </t>
        </is>
      </c>
      <c r="I693" s="12" t="inlineStr">
        <is>
          <t>New</t>
        </is>
      </c>
      <c r="J693" s="17" t="inlineStr">
        <is>
          <t>08 CROSSWALK</t>
        </is>
      </c>
    </row>
    <row r="694" ht="49" customHeight="1">
      <c r="A694" s="12" t="inlineStr">
        <is>
          <t>R1279-v1</t>
        </is>
      </c>
      <c r="B694" s="12" t="inlineStr">
        <is>
          <t>Cost &amp; Forecast Control Accounts / CST-03-037</t>
        </is>
      </c>
      <c r="C694" s="12" t="inlineStr">
        <is>
          <t>Cost Account = CA-3037; WBS Code = 1.3.1</t>
        </is>
      </c>
      <c r="D694" s="12" t="inlineStr">
        <is>
          <t>Proposed by Source assignment; target 1.3.1 Systems - Traction Power</t>
        </is>
      </c>
      <c r="E694" s="12" t="inlineStr">
        <is>
          <t>None recorded</t>
        </is>
      </c>
      <c r="F694" s="12" t="inlineStr">
        <is>
          <t>No individual professional decision recorded; Source assignment -- not individually reviewed</t>
        </is>
      </c>
      <c r="G694" s="12" t="inlineStr">
        <is>
          <t>Not individually decided</t>
        </is>
      </c>
      <c r="H694" s="12" t="inlineStr">
        <is>
          <t xml:space="preserve">APPROVED / ONE_TO_ONE; </t>
        </is>
      </c>
      <c r="I694" s="12" t="inlineStr">
        <is>
          <t>New</t>
        </is>
      </c>
      <c r="J694" s="17" t="inlineStr">
        <is>
          <t>08 CROSSWALK</t>
        </is>
      </c>
    </row>
    <row r="695" ht="49" customHeight="1">
      <c r="A695" s="12" t="inlineStr">
        <is>
          <t>R1281-v1</t>
        </is>
      </c>
      <c r="B695" s="12" t="inlineStr">
        <is>
          <t>Cost &amp; Forecast Control Accounts / CST-03-039</t>
        </is>
      </c>
      <c r="C695" s="12" t="inlineStr">
        <is>
          <t>Cost Account = CA-3039; WBS Code = 1.3.1</t>
        </is>
      </c>
      <c r="D695" s="12" t="inlineStr">
        <is>
          <t>Proposed by Source assignment; target 1.3.1 Systems - Traction Power</t>
        </is>
      </c>
      <c r="E695" s="12" t="inlineStr">
        <is>
          <t>None recorded</t>
        </is>
      </c>
      <c r="F695" s="12" t="inlineStr">
        <is>
          <t>No individual professional decision recorded; Source assignment -- not individually reviewed</t>
        </is>
      </c>
      <c r="G695" s="12" t="inlineStr">
        <is>
          <t>Not individually decided</t>
        </is>
      </c>
      <c r="H695" s="12" t="inlineStr">
        <is>
          <t xml:space="preserve">APPROVED / ONE_TO_ONE; </t>
        </is>
      </c>
      <c r="I695" s="12" t="inlineStr">
        <is>
          <t>New</t>
        </is>
      </c>
      <c r="J695" s="17" t="inlineStr">
        <is>
          <t>08 CROSSWALK</t>
        </is>
      </c>
    </row>
    <row r="696" ht="49" customHeight="1">
      <c r="A696" s="12" t="inlineStr">
        <is>
          <t>R1283-v1</t>
        </is>
      </c>
      <c r="B696" s="12" t="inlineStr">
        <is>
          <t>Cost &amp; Forecast Control Accounts / CST-03-041</t>
        </is>
      </c>
      <c r="C696" s="12" t="inlineStr">
        <is>
          <t>Cost Account = CA-3041; WBS Code = 1.3.1</t>
        </is>
      </c>
      <c r="D696" s="12" t="inlineStr">
        <is>
          <t>Proposed by Source assignment; target 1.3.1 Systems - Traction Power</t>
        </is>
      </c>
      <c r="E696" s="12" t="inlineStr">
        <is>
          <t>None recorded</t>
        </is>
      </c>
      <c r="F696" s="12" t="inlineStr">
        <is>
          <t>No individual professional decision recorded; Source assignment -- not individually reviewed</t>
        </is>
      </c>
      <c r="G696" s="12" t="inlineStr">
        <is>
          <t>Not individually decided</t>
        </is>
      </c>
      <c r="H696" s="12" t="inlineStr">
        <is>
          <t xml:space="preserve">APPROVED / ONE_TO_ONE; </t>
        </is>
      </c>
      <c r="I696" s="12" t="inlineStr">
        <is>
          <t>New</t>
        </is>
      </c>
      <c r="J696" s="17" t="inlineStr">
        <is>
          <t>08 CROSSWALK</t>
        </is>
      </c>
    </row>
    <row r="697" ht="49" customHeight="1">
      <c r="A697" s="12" t="inlineStr">
        <is>
          <t>R1285-v1</t>
        </is>
      </c>
      <c r="B697" s="12" t="inlineStr">
        <is>
          <t>Cost &amp; Forecast Control Accounts / CST-03-043</t>
        </is>
      </c>
      <c r="C697" s="12" t="inlineStr">
        <is>
          <t>Cost Account = CA-3043; WBS Code = 1.3.1</t>
        </is>
      </c>
      <c r="D697" s="12" t="inlineStr">
        <is>
          <t>Proposed by Source assignment; target 1.3.1 Systems - Traction Power</t>
        </is>
      </c>
      <c r="E697" s="12" t="inlineStr">
        <is>
          <t>None recorded</t>
        </is>
      </c>
      <c r="F697" s="12" t="inlineStr">
        <is>
          <t>No individual professional decision recorded; Source assignment -- not individually reviewed</t>
        </is>
      </c>
      <c r="G697" s="12" t="inlineStr">
        <is>
          <t>Not individually decided</t>
        </is>
      </c>
      <c r="H697" s="12" t="inlineStr">
        <is>
          <t xml:space="preserve">APPROVED / ONE_TO_ONE; </t>
        </is>
      </c>
      <c r="I697" s="12" t="inlineStr">
        <is>
          <t>New</t>
        </is>
      </c>
      <c r="J697" s="17" t="inlineStr">
        <is>
          <t>08 CROSSWALK</t>
        </is>
      </c>
    </row>
    <row r="698" ht="49" customHeight="1">
      <c r="A698" s="12" t="inlineStr">
        <is>
          <t>R1287-v1</t>
        </is>
      </c>
      <c r="B698" s="12" t="inlineStr">
        <is>
          <t>Cost &amp; Forecast Control Accounts / CST-03-045</t>
        </is>
      </c>
      <c r="C698" s="12" t="inlineStr">
        <is>
          <t>Cost Account = CA-3045; WBS Code = 1.3.1</t>
        </is>
      </c>
      <c r="D698" s="12" t="inlineStr">
        <is>
          <t>Proposed by Source assignment; target 1.3.1 Systems - Traction Power</t>
        </is>
      </c>
      <c r="E698" s="12" t="inlineStr">
        <is>
          <t>None recorded</t>
        </is>
      </c>
      <c r="F698" s="12" t="inlineStr">
        <is>
          <t>No individual professional decision recorded; Source assignment -- not individually reviewed</t>
        </is>
      </c>
      <c r="G698" s="12" t="inlineStr">
        <is>
          <t>Not individually decided</t>
        </is>
      </c>
      <c r="H698" s="12" t="inlineStr">
        <is>
          <t xml:space="preserve">APPROVED / ONE_TO_ONE; </t>
        </is>
      </c>
      <c r="I698" s="12" t="inlineStr">
        <is>
          <t>New</t>
        </is>
      </c>
      <c r="J698" s="17" t="inlineStr">
        <is>
          <t>08 CROSSWALK</t>
        </is>
      </c>
    </row>
    <row r="699" ht="49" customHeight="1">
      <c r="A699" s="12" t="inlineStr">
        <is>
          <t>R1289-v1</t>
        </is>
      </c>
      <c r="B699" s="12" t="inlineStr">
        <is>
          <t>Cost &amp; Forecast Control Accounts / CST-03-047</t>
        </is>
      </c>
      <c r="C699" s="12" t="inlineStr">
        <is>
          <t>Cost Account = CA-3047; WBS Code = 1.3.1</t>
        </is>
      </c>
      <c r="D699" s="12" t="inlineStr">
        <is>
          <t>Proposed by Source assignment; target 1.3.1 Systems - Traction Power</t>
        </is>
      </c>
      <c r="E699" s="12" t="inlineStr">
        <is>
          <t>None recorded</t>
        </is>
      </c>
      <c r="F699" s="12" t="inlineStr">
        <is>
          <t>No individual professional decision recorded; Source assignment -- not individually reviewed</t>
        </is>
      </c>
      <c r="G699" s="12" t="inlineStr">
        <is>
          <t>Not individually decided</t>
        </is>
      </c>
      <c r="H699" s="12" t="inlineStr">
        <is>
          <t xml:space="preserve">APPROVED / ONE_TO_ONE; </t>
        </is>
      </c>
      <c r="I699" s="12" t="inlineStr">
        <is>
          <t>New</t>
        </is>
      </c>
      <c r="J699" s="17" t="inlineStr">
        <is>
          <t>08 CROSSWALK</t>
        </is>
      </c>
    </row>
    <row r="700" ht="49" customHeight="1">
      <c r="A700" s="12" t="inlineStr">
        <is>
          <t>R1291-v1</t>
        </is>
      </c>
      <c r="B700" s="12" t="inlineStr">
        <is>
          <t>Cost &amp; Forecast Control Accounts / CST-03-049</t>
        </is>
      </c>
      <c r="C700" s="12" t="inlineStr">
        <is>
          <t>Cost Account = CA-3049; WBS Code = 1.3.1</t>
        </is>
      </c>
      <c r="D700" s="12" t="inlineStr">
        <is>
          <t>Proposed by Source assignment; target 1.3.1 Systems - Traction Power</t>
        </is>
      </c>
      <c r="E700" s="12" t="inlineStr">
        <is>
          <t>None recorded</t>
        </is>
      </c>
      <c r="F700" s="12" t="inlineStr">
        <is>
          <t>No individual professional decision recorded; Source assignment -- not individually reviewed</t>
        </is>
      </c>
      <c r="G700" s="12" t="inlineStr">
        <is>
          <t>Not individually decided</t>
        </is>
      </c>
      <c r="H700" s="12" t="inlineStr">
        <is>
          <t xml:space="preserve">APPROVED / ONE_TO_ONE; </t>
        </is>
      </c>
      <c r="I700" s="12" t="inlineStr">
        <is>
          <t>New</t>
        </is>
      </c>
      <c r="J700" s="17" t="inlineStr">
        <is>
          <t>08 CROSSWALK</t>
        </is>
      </c>
    </row>
    <row r="701" ht="49" customHeight="1">
      <c r="A701" s="12" t="inlineStr">
        <is>
          <t>R1293-v1</t>
        </is>
      </c>
      <c r="B701" s="12" t="inlineStr">
        <is>
          <t>Cost &amp; Forecast Control Accounts / CST-03-051</t>
        </is>
      </c>
      <c r="C701" s="12" t="inlineStr">
        <is>
          <t>Cost Account = CA-3051; WBS Code = 1.3.1</t>
        </is>
      </c>
      <c r="D701" s="12" t="inlineStr">
        <is>
          <t>Proposed by Source assignment; target 1.3.1 Systems - Traction Power</t>
        </is>
      </c>
      <c r="E701" s="12" t="inlineStr">
        <is>
          <t>None recorded</t>
        </is>
      </c>
      <c r="F701" s="12" t="inlineStr">
        <is>
          <t>No individual professional decision recorded; Source assignment -- not individually reviewed</t>
        </is>
      </c>
      <c r="G701" s="12" t="inlineStr">
        <is>
          <t>Not individually decided</t>
        </is>
      </c>
      <c r="H701" s="12" t="inlineStr">
        <is>
          <t xml:space="preserve">APPROVED / ONE_TO_ONE; </t>
        </is>
      </c>
      <c r="I701" s="12" t="inlineStr">
        <is>
          <t>New</t>
        </is>
      </c>
      <c r="J701" s="17" t="inlineStr">
        <is>
          <t>08 CROSSWALK</t>
        </is>
      </c>
    </row>
    <row r="702" ht="49" customHeight="1">
      <c r="A702" s="12" t="inlineStr">
        <is>
          <t>R1295-v1</t>
        </is>
      </c>
      <c r="B702" s="12" t="inlineStr">
        <is>
          <t>Cost &amp; Forecast Control Accounts / CST-03-053</t>
        </is>
      </c>
      <c r="C702" s="12" t="inlineStr">
        <is>
          <t>Cost Account = CA-3053; WBS Code = 1.3.1</t>
        </is>
      </c>
      <c r="D702" s="12" t="inlineStr">
        <is>
          <t>Proposed by Source assignment; target 1.3.1 Systems - Traction Power</t>
        </is>
      </c>
      <c r="E702" s="12" t="inlineStr">
        <is>
          <t>None recorded</t>
        </is>
      </c>
      <c r="F702" s="12" t="inlineStr">
        <is>
          <t>No individual professional decision recorded; Source assignment -- not individually reviewed</t>
        </is>
      </c>
      <c r="G702" s="12" t="inlineStr">
        <is>
          <t>Not individually decided</t>
        </is>
      </c>
      <c r="H702" s="12" t="inlineStr">
        <is>
          <t xml:space="preserve">APPROVED / ONE_TO_ONE; </t>
        </is>
      </c>
      <c r="I702" s="12" t="inlineStr">
        <is>
          <t>New</t>
        </is>
      </c>
      <c r="J702" s="17" t="inlineStr">
        <is>
          <t>08 CROSSWALK</t>
        </is>
      </c>
    </row>
    <row r="703" ht="49" customHeight="1">
      <c r="A703" s="12" t="inlineStr">
        <is>
          <t>R1297-v1</t>
        </is>
      </c>
      <c r="B703" s="12" t="inlineStr">
        <is>
          <t>Cost &amp; Forecast Control Accounts / CST-03-055</t>
        </is>
      </c>
      <c r="C703" s="12" t="inlineStr">
        <is>
          <t>Cost Account = CA-3055; WBS Code = 1.3.1</t>
        </is>
      </c>
      <c r="D703" s="12" t="inlineStr">
        <is>
          <t>Proposed by Source assignment; target 1.3.1 Systems - Traction Power</t>
        </is>
      </c>
      <c r="E703" s="12" t="inlineStr">
        <is>
          <t>None recorded</t>
        </is>
      </c>
      <c r="F703" s="12" t="inlineStr">
        <is>
          <t>No individual professional decision recorded; Source assignment -- not individually reviewed</t>
        </is>
      </c>
      <c r="G703" s="12" t="inlineStr">
        <is>
          <t>Not individually decided</t>
        </is>
      </c>
      <c r="H703" s="12" t="inlineStr">
        <is>
          <t xml:space="preserve">APPROVED / ONE_TO_ONE; </t>
        </is>
      </c>
      <c r="I703" s="12" t="inlineStr">
        <is>
          <t>New</t>
        </is>
      </c>
      <c r="J703" s="17" t="inlineStr">
        <is>
          <t>08 CROSSWALK</t>
        </is>
      </c>
    </row>
    <row r="704" ht="49" customHeight="1">
      <c r="A704" s="12" t="inlineStr">
        <is>
          <t>R1299-v1</t>
        </is>
      </c>
      <c r="B704" s="12" t="inlineStr">
        <is>
          <t>Cost &amp; Forecast Control Accounts / CST-03-057</t>
        </is>
      </c>
      <c r="C704" s="12" t="inlineStr">
        <is>
          <t>Cost Account = CA-3057; WBS Code = 1.3.1</t>
        </is>
      </c>
      <c r="D704" s="12" t="inlineStr">
        <is>
          <t>Proposed by Source assignment; target 1.3.1 Systems - Traction Power</t>
        </is>
      </c>
      <c r="E704" s="12" t="inlineStr">
        <is>
          <t>None recorded</t>
        </is>
      </c>
      <c r="F704" s="12" t="inlineStr">
        <is>
          <t>No individual professional decision recorded; Source assignment -- not individually reviewed</t>
        </is>
      </c>
      <c r="G704" s="12" t="inlineStr">
        <is>
          <t>Not individually decided</t>
        </is>
      </c>
      <c r="H704" s="12" t="inlineStr">
        <is>
          <t xml:space="preserve">APPROVED / ONE_TO_ONE; </t>
        </is>
      </c>
      <c r="I704" s="12" t="inlineStr">
        <is>
          <t>New</t>
        </is>
      </c>
      <c r="J704" s="17" t="inlineStr">
        <is>
          <t>08 CROSSWALK</t>
        </is>
      </c>
    </row>
    <row r="705" ht="49" customHeight="1">
      <c r="A705" s="12" t="inlineStr">
        <is>
          <t>R1301-v1</t>
        </is>
      </c>
      <c r="B705" s="12" t="inlineStr">
        <is>
          <t>Cost &amp; Forecast Control Accounts / CST-03-059</t>
        </is>
      </c>
      <c r="C705" s="12" t="inlineStr">
        <is>
          <t>Cost Account = CA-3059; WBS Code = 1.3.1</t>
        </is>
      </c>
      <c r="D705" s="12" t="inlineStr">
        <is>
          <t>Proposed by Source assignment; target 1.3.1 Systems - Traction Power</t>
        </is>
      </c>
      <c r="E705" s="12" t="inlineStr">
        <is>
          <t>None recorded</t>
        </is>
      </c>
      <c r="F705" s="12" t="inlineStr">
        <is>
          <t>No individual professional decision recorded; Source assignment -- not individually reviewed</t>
        </is>
      </c>
      <c r="G705" s="12" t="inlineStr">
        <is>
          <t>Not individually decided</t>
        </is>
      </c>
      <c r="H705" s="12" t="inlineStr">
        <is>
          <t xml:space="preserve">APPROVED / ONE_TO_ONE; </t>
        </is>
      </c>
      <c r="I705" s="12" t="inlineStr">
        <is>
          <t>New</t>
        </is>
      </c>
      <c r="J705" s="17" t="inlineStr">
        <is>
          <t>08 CROSSWALK</t>
        </is>
      </c>
    </row>
    <row r="706" ht="49" customHeight="1">
      <c r="A706" s="12" t="inlineStr">
        <is>
          <t>R1303-v1</t>
        </is>
      </c>
      <c r="B706" s="12" t="inlineStr">
        <is>
          <t>Cost &amp; Forecast Control Accounts / CST-03-061</t>
        </is>
      </c>
      <c r="C706" s="12" t="inlineStr">
        <is>
          <t>Cost Account = CA-3061; WBS Code = 1.3.1</t>
        </is>
      </c>
      <c r="D706" s="12" t="inlineStr">
        <is>
          <t>Proposed by Source assignment; target 1.3.1 Systems - Traction Power</t>
        </is>
      </c>
      <c r="E706" s="12" t="inlineStr">
        <is>
          <t>None recorded</t>
        </is>
      </c>
      <c r="F706" s="12" t="inlineStr">
        <is>
          <t>No individual professional decision recorded; Source assignment -- not individually reviewed</t>
        </is>
      </c>
      <c r="G706" s="12" t="inlineStr">
        <is>
          <t>Not individually decided</t>
        </is>
      </c>
      <c r="H706" s="12" t="inlineStr">
        <is>
          <t xml:space="preserve">APPROVED / ONE_TO_ONE; </t>
        </is>
      </c>
      <c r="I706" s="12" t="inlineStr">
        <is>
          <t>New</t>
        </is>
      </c>
      <c r="J706" s="17" t="inlineStr">
        <is>
          <t>08 CROSSWALK</t>
        </is>
      </c>
    </row>
    <row r="707" ht="49" customHeight="1">
      <c r="A707" s="12" t="inlineStr">
        <is>
          <t>R1305-v1</t>
        </is>
      </c>
      <c r="B707" s="12" t="inlineStr">
        <is>
          <t>Cost &amp; Forecast Control Accounts / CST-03-063</t>
        </is>
      </c>
      <c r="C707" s="12" t="inlineStr">
        <is>
          <t>Cost Account = CA-3063; WBS Code = 1.3.1</t>
        </is>
      </c>
      <c r="D707" s="12" t="inlineStr">
        <is>
          <t>Proposed by Source assignment; target 1.3.1 Systems - Traction Power</t>
        </is>
      </c>
      <c r="E707" s="12" t="inlineStr">
        <is>
          <t>None recorded</t>
        </is>
      </c>
      <c r="F707" s="12" t="inlineStr">
        <is>
          <t>No individual professional decision recorded; Source assignment -- not individually reviewed</t>
        </is>
      </c>
      <c r="G707" s="12" t="inlineStr">
        <is>
          <t>Not individually decided</t>
        </is>
      </c>
      <c r="H707" s="12" t="inlineStr">
        <is>
          <t xml:space="preserve">APPROVED / ONE_TO_ONE; </t>
        </is>
      </c>
      <c r="I707" s="12" t="inlineStr">
        <is>
          <t>New</t>
        </is>
      </c>
      <c r="J707" s="17" t="inlineStr">
        <is>
          <t>08 CROSSWALK</t>
        </is>
      </c>
    </row>
    <row r="708" ht="49" customHeight="1">
      <c r="A708" s="12" t="inlineStr">
        <is>
          <t>R1307-v1</t>
        </is>
      </c>
      <c r="B708" s="12" t="inlineStr">
        <is>
          <t>Cost &amp; Forecast Control Accounts / CST-03-065</t>
        </is>
      </c>
      <c r="C708" s="12" t="inlineStr">
        <is>
          <t>Cost Account = CA-3065; WBS Code = 1.3.1</t>
        </is>
      </c>
      <c r="D708" s="12" t="inlineStr">
        <is>
          <t>Proposed by Source assignment; target 1.3.1 Systems - Traction Power</t>
        </is>
      </c>
      <c r="E708" s="12" t="inlineStr">
        <is>
          <t>None recorded</t>
        </is>
      </c>
      <c r="F708" s="12" t="inlineStr">
        <is>
          <t>No individual professional decision recorded; Source assignment -- not individually reviewed</t>
        </is>
      </c>
      <c r="G708" s="12" t="inlineStr">
        <is>
          <t>Not individually decided</t>
        </is>
      </c>
      <c r="H708" s="12" t="inlineStr">
        <is>
          <t xml:space="preserve">APPROVED / ONE_TO_ONE; </t>
        </is>
      </c>
      <c r="I708" s="12" t="inlineStr">
        <is>
          <t>New</t>
        </is>
      </c>
      <c r="J708" s="17" t="inlineStr">
        <is>
          <t>08 CROSSWALK</t>
        </is>
      </c>
    </row>
    <row r="709" ht="49" customHeight="1">
      <c r="A709" s="12" t="inlineStr">
        <is>
          <t>R1309-v1</t>
        </is>
      </c>
      <c r="B709" s="12" t="inlineStr">
        <is>
          <t>Cost &amp; Forecast Control Accounts / CST-03-067</t>
        </is>
      </c>
      <c r="C709" s="12" t="inlineStr">
        <is>
          <t>Cost Account = CA-3067; WBS Code = 1.3.1</t>
        </is>
      </c>
      <c r="D709" s="12" t="inlineStr">
        <is>
          <t>Proposed by Source assignment; target 1.3.1 Systems - Traction Power</t>
        </is>
      </c>
      <c r="E709" s="12" t="inlineStr">
        <is>
          <t>None recorded</t>
        </is>
      </c>
      <c r="F709" s="12" t="inlineStr">
        <is>
          <t>No individual professional decision recorded; Source assignment -- not individually reviewed</t>
        </is>
      </c>
      <c r="G709" s="12" t="inlineStr">
        <is>
          <t>Not individually decided</t>
        </is>
      </c>
      <c r="H709" s="12" t="inlineStr">
        <is>
          <t xml:space="preserve">APPROVED / ONE_TO_ONE; </t>
        </is>
      </c>
      <c r="I709" s="12" t="inlineStr">
        <is>
          <t>New</t>
        </is>
      </c>
      <c r="J709" s="17" t="inlineStr">
        <is>
          <t>08 CROSSWALK</t>
        </is>
      </c>
    </row>
    <row r="710" ht="49" customHeight="1">
      <c r="A710" s="12" t="inlineStr">
        <is>
          <t>R1311-v1</t>
        </is>
      </c>
      <c r="B710" s="12" t="inlineStr">
        <is>
          <t>Cost &amp; Forecast Control Accounts / CST-03-069</t>
        </is>
      </c>
      <c r="C710" s="12" t="inlineStr">
        <is>
          <t>Cost Account = CA-3069; WBS Code = 1.3.1</t>
        </is>
      </c>
      <c r="D710" s="12" t="inlineStr">
        <is>
          <t>Proposed by Source assignment; target 1.3.1 Systems - Traction Power</t>
        </is>
      </c>
      <c r="E710" s="12" t="inlineStr">
        <is>
          <t>None recorded</t>
        </is>
      </c>
      <c r="F710" s="12" t="inlineStr">
        <is>
          <t>No individual professional decision recorded; Source assignment -- not individually reviewed</t>
        </is>
      </c>
      <c r="G710" s="12" t="inlineStr">
        <is>
          <t>Not individually decided</t>
        </is>
      </c>
      <c r="H710" s="12" t="inlineStr">
        <is>
          <t xml:space="preserve">APPROVED / ONE_TO_ONE; </t>
        </is>
      </c>
      <c r="I710" s="12" t="inlineStr">
        <is>
          <t>New</t>
        </is>
      </c>
      <c r="J710" s="17" t="inlineStr">
        <is>
          <t>08 CROSSWALK</t>
        </is>
      </c>
    </row>
    <row r="711" ht="49" customHeight="1">
      <c r="A711" s="12" t="inlineStr">
        <is>
          <t>R1313-v1</t>
        </is>
      </c>
      <c r="B711" s="12" t="inlineStr">
        <is>
          <t>Cost &amp; Forecast Control Accounts / CST-03-071</t>
        </is>
      </c>
      <c r="C711" s="12" t="inlineStr">
        <is>
          <t>Cost Account = CA-3071; WBS Code = 1.3.1</t>
        </is>
      </c>
      <c r="D711" s="12" t="inlineStr">
        <is>
          <t>Proposed by Source assignment; target 1.3.1 Systems - Traction Power</t>
        </is>
      </c>
      <c r="E711" s="12" t="inlineStr">
        <is>
          <t>None recorded</t>
        </is>
      </c>
      <c r="F711" s="12" t="inlineStr">
        <is>
          <t>No individual professional decision recorded; Source assignment -- not individually reviewed</t>
        </is>
      </c>
      <c r="G711" s="12" t="inlineStr">
        <is>
          <t>Not individually decided</t>
        </is>
      </c>
      <c r="H711" s="12" t="inlineStr">
        <is>
          <t xml:space="preserve">APPROVED / ONE_TO_ONE; </t>
        </is>
      </c>
      <c r="I711" s="12" t="inlineStr">
        <is>
          <t>New</t>
        </is>
      </c>
      <c r="J711" s="17" t="inlineStr">
        <is>
          <t>08 CROSSWALK</t>
        </is>
      </c>
    </row>
    <row r="712" ht="49" customHeight="1">
      <c r="A712" s="12" t="inlineStr">
        <is>
          <t>R1315-v1</t>
        </is>
      </c>
      <c r="B712" s="12" t="inlineStr">
        <is>
          <t>Cost &amp; Forecast Control Accounts / CST-03-073</t>
        </is>
      </c>
      <c r="C712" s="12" t="inlineStr">
        <is>
          <t>Cost Account = CA-3073; WBS Code = 1.3.1</t>
        </is>
      </c>
      <c r="D712" s="12" t="inlineStr">
        <is>
          <t>Proposed by Source assignment; target 1.3.1 Systems - Traction Power</t>
        </is>
      </c>
      <c r="E712" s="12" t="inlineStr">
        <is>
          <t>None recorded</t>
        </is>
      </c>
      <c r="F712" s="12" t="inlineStr">
        <is>
          <t>No individual professional decision recorded; Source assignment -- not individually reviewed</t>
        </is>
      </c>
      <c r="G712" s="12" t="inlineStr">
        <is>
          <t>Not individually decided</t>
        </is>
      </c>
      <c r="H712" s="12" t="inlineStr">
        <is>
          <t xml:space="preserve">APPROVED / ONE_TO_ONE; </t>
        </is>
      </c>
      <c r="I712" s="12" t="inlineStr">
        <is>
          <t>New</t>
        </is>
      </c>
      <c r="J712" s="17" t="inlineStr">
        <is>
          <t>08 CROSSWALK</t>
        </is>
      </c>
    </row>
    <row r="713" ht="49" customHeight="1">
      <c r="A713" s="12" t="inlineStr">
        <is>
          <t>R1317-v1</t>
        </is>
      </c>
      <c r="B713" s="12" t="inlineStr">
        <is>
          <t>Cost &amp; Forecast Control Accounts / CST-03-075</t>
        </is>
      </c>
      <c r="C713" s="12" t="inlineStr">
        <is>
          <t>Cost Account = CA-3075; WBS Code = 1.3.1</t>
        </is>
      </c>
      <c r="D713" s="12" t="inlineStr">
        <is>
          <t>Proposed by Source assignment; target 1.3.1 Systems - Traction Power</t>
        </is>
      </c>
      <c r="E713" s="12" t="inlineStr">
        <is>
          <t>None recorded</t>
        </is>
      </c>
      <c r="F713" s="12" t="inlineStr">
        <is>
          <t>No individual professional decision recorded; Source assignment -- not individually reviewed</t>
        </is>
      </c>
      <c r="G713" s="12" t="inlineStr">
        <is>
          <t>Not individually decided</t>
        </is>
      </c>
      <c r="H713" s="12" t="inlineStr">
        <is>
          <t xml:space="preserve">APPROVED / ONE_TO_ONE; </t>
        </is>
      </c>
      <c r="I713" s="12" t="inlineStr">
        <is>
          <t>New</t>
        </is>
      </c>
      <c r="J713" s="17" t="inlineStr">
        <is>
          <t>08 CROSSWALK</t>
        </is>
      </c>
    </row>
    <row r="714" ht="49" customHeight="1">
      <c r="A714" s="12" t="inlineStr">
        <is>
          <t>R1319-v1</t>
        </is>
      </c>
      <c r="B714" s="12" t="inlineStr">
        <is>
          <t>Cost &amp; Forecast Control Accounts / CST-03-077</t>
        </is>
      </c>
      <c r="C714" s="12" t="inlineStr">
        <is>
          <t>Cost Account = CA-3077; WBS Code = 1.3.1</t>
        </is>
      </c>
      <c r="D714" s="12" t="inlineStr">
        <is>
          <t>Proposed by Source assignment; target 1.3.1 Systems - Traction Power</t>
        </is>
      </c>
      <c r="E714" s="12" t="inlineStr">
        <is>
          <t>None recorded</t>
        </is>
      </c>
      <c r="F714" s="12" t="inlineStr">
        <is>
          <t>No individual professional decision recorded; Source assignment -- not individually reviewed</t>
        </is>
      </c>
      <c r="G714" s="12" t="inlineStr">
        <is>
          <t>Not individually decided</t>
        </is>
      </c>
      <c r="H714" s="12" t="inlineStr">
        <is>
          <t xml:space="preserve">APPROVED / ONE_TO_ONE; </t>
        </is>
      </c>
      <c r="I714" s="12" t="inlineStr">
        <is>
          <t>New</t>
        </is>
      </c>
      <c r="J714" s="17" t="inlineStr">
        <is>
          <t>08 CROSSWALK</t>
        </is>
      </c>
    </row>
    <row r="715" ht="49" customHeight="1">
      <c r="A715" s="12" t="inlineStr">
        <is>
          <t>R1321-v1</t>
        </is>
      </c>
      <c r="B715" s="12" t="inlineStr">
        <is>
          <t>Cost &amp; Forecast Control Accounts / CST-03-079</t>
        </is>
      </c>
      <c r="C715" s="12" t="inlineStr">
        <is>
          <t>Cost Account = CA-3079; WBS Code = 1.3.1</t>
        </is>
      </c>
      <c r="D715" s="12" t="inlineStr">
        <is>
          <t>Proposed by Source assignment; target 1.3.1 Systems - Traction Power</t>
        </is>
      </c>
      <c r="E715" s="12" t="inlineStr">
        <is>
          <t>None recorded</t>
        </is>
      </c>
      <c r="F715" s="12" t="inlineStr">
        <is>
          <t>No individual professional decision recorded; Source assignment -- not individually reviewed</t>
        </is>
      </c>
      <c r="G715" s="12" t="inlineStr">
        <is>
          <t>Not individually decided</t>
        </is>
      </c>
      <c r="H715" s="12" t="inlineStr">
        <is>
          <t xml:space="preserve">APPROVED / ONE_TO_ONE; </t>
        </is>
      </c>
      <c r="I715" s="12" t="inlineStr">
        <is>
          <t>New</t>
        </is>
      </c>
      <c r="J715" s="17" t="inlineStr">
        <is>
          <t>08 CROSSWALK</t>
        </is>
      </c>
    </row>
    <row r="716" ht="49" customHeight="1">
      <c r="A716" s="12" t="inlineStr">
        <is>
          <t>R363-v1</t>
        </is>
      </c>
      <c r="B716" s="12" t="inlineStr">
        <is>
          <t>Contractor Programme / SCH-03-003</t>
        </is>
      </c>
      <c r="C716" s="12" t="inlineStr">
        <is>
          <t>WBS Code = 1.3.2</t>
        </is>
      </c>
      <c r="D716" s="12" t="inlineStr">
        <is>
          <t>Proposed by Source assignment; target 1.3.2 Systems - Signalling &amp; Train Control</t>
        </is>
      </c>
      <c r="E716" s="12" t="inlineStr">
        <is>
          <t>None recorded</t>
        </is>
      </c>
      <c r="F716" s="12" t="inlineStr">
        <is>
          <t>No individual professional decision recorded; Source assignment -- not individually reviewed</t>
        </is>
      </c>
      <c r="G716" s="12" t="inlineStr">
        <is>
          <t>Not individually decided</t>
        </is>
      </c>
      <c r="H716" s="12" t="inlineStr">
        <is>
          <t xml:space="preserve">APPROVED / ONE_TO_ONE; </t>
        </is>
      </c>
      <c r="I716" s="12" t="inlineStr">
        <is>
          <t>New</t>
        </is>
      </c>
      <c r="J716" s="17" t="inlineStr">
        <is>
          <t>08 CROSSWALK</t>
        </is>
      </c>
    </row>
    <row r="717" ht="49" customHeight="1">
      <c r="A717" s="12" t="inlineStr">
        <is>
          <t>R366-v1</t>
        </is>
      </c>
      <c r="B717" s="12" t="inlineStr">
        <is>
          <t>Contractor Programme / SCH-03-006</t>
        </is>
      </c>
      <c r="C717" s="12" t="inlineStr">
        <is>
          <t>WBS Code = 1.3.2</t>
        </is>
      </c>
      <c r="D717" s="12" t="inlineStr">
        <is>
          <t>Proposed by Source assignment; target 1.3.2 Systems - Signalling &amp; Train Control</t>
        </is>
      </c>
      <c r="E717" s="12" t="inlineStr">
        <is>
          <t>None recorded</t>
        </is>
      </c>
      <c r="F717" s="12" t="inlineStr">
        <is>
          <t>No individual professional decision recorded; Source assignment -- not individually reviewed</t>
        </is>
      </c>
      <c r="G717" s="12" t="inlineStr">
        <is>
          <t>Not individually decided</t>
        </is>
      </c>
      <c r="H717" s="12" t="inlineStr">
        <is>
          <t xml:space="preserve">APPROVED / ONE_TO_ONE; </t>
        </is>
      </c>
      <c r="I717" s="12" t="inlineStr">
        <is>
          <t>New</t>
        </is>
      </c>
      <c r="J717" s="17" t="inlineStr">
        <is>
          <t>08 CROSSWALK</t>
        </is>
      </c>
    </row>
    <row r="718" ht="49" customHeight="1">
      <c r="A718" s="12" t="inlineStr">
        <is>
          <t>R369-v1</t>
        </is>
      </c>
      <c r="B718" s="12" t="inlineStr">
        <is>
          <t>Contractor Programme / SCH-03-009</t>
        </is>
      </c>
      <c r="C718" s="12" t="inlineStr">
        <is>
          <t>WBS Code = 1.3.2</t>
        </is>
      </c>
      <c r="D718" s="12" t="inlineStr">
        <is>
          <t>Proposed by Source assignment; target 1.3.2 Systems - Signalling &amp; Train Control</t>
        </is>
      </c>
      <c r="E718" s="12" t="inlineStr">
        <is>
          <t>None recorded</t>
        </is>
      </c>
      <c r="F718" s="12" t="inlineStr">
        <is>
          <t>No individual professional decision recorded; Source assignment -- not individually reviewed</t>
        </is>
      </c>
      <c r="G718" s="12" t="inlineStr">
        <is>
          <t>Not individually decided</t>
        </is>
      </c>
      <c r="H718" s="12" t="inlineStr">
        <is>
          <t xml:space="preserve">APPROVED / ONE_TO_ONE; </t>
        </is>
      </c>
      <c r="I718" s="12" t="inlineStr">
        <is>
          <t>New</t>
        </is>
      </c>
      <c r="J718" s="17" t="inlineStr">
        <is>
          <t>08 CROSSWALK</t>
        </is>
      </c>
    </row>
    <row r="719" ht="49" customHeight="1">
      <c r="A719" s="12" t="inlineStr">
        <is>
          <t>R372-v1</t>
        </is>
      </c>
      <c r="B719" s="12" t="inlineStr">
        <is>
          <t>Contractor Programme / SCH-03-012</t>
        </is>
      </c>
      <c r="C719" s="12" t="inlineStr">
        <is>
          <t>WBS Code = 1.3.2</t>
        </is>
      </c>
      <c r="D719" s="12" t="inlineStr">
        <is>
          <t>Proposed by Source assignment; target 1.3.2 Systems - Signalling &amp; Train Control</t>
        </is>
      </c>
      <c r="E719" s="12" t="inlineStr">
        <is>
          <t>None recorded</t>
        </is>
      </c>
      <c r="F719" s="12" t="inlineStr">
        <is>
          <t>No individual professional decision recorded; Source assignment -- not individually reviewed</t>
        </is>
      </c>
      <c r="G719" s="12" t="inlineStr">
        <is>
          <t>Not individually decided</t>
        </is>
      </c>
      <c r="H719" s="12" t="inlineStr">
        <is>
          <t xml:space="preserve">APPROVED / ONE_TO_ONE; </t>
        </is>
      </c>
      <c r="I719" s="12" t="inlineStr">
        <is>
          <t>New</t>
        </is>
      </c>
      <c r="J719" s="17" t="inlineStr">
        <is>
          <t>08 CROSSWALK</t>
        </is>
      </c>
    </row>
    <row r="720" ht="49" customHeight="1">
      <c r="A720" s="12" t="inlineStr">
        <is>
          <t>R375-v1</t>
        </is>
      </c>
      <c r="B720" s="12" t="inlineStr">
        <is>
          <t>Contractor Programme / SCH-03-015</t>
        </is>
      </c>
      <c r="C720" s="12" t="inlineStr">
        <is>
          <t>WBS Code = 1.3.2</t>
        </is>
      </c>
      <c r="D720" s="12" t="inlineStr">
        <is>
          <t>Proposed by Source assignment; target 1.3.2 Systems - Signalling &amp; Train Control</t>
        </is>
      </c>
      <c r="E720" s="12" t="inlineStr">
        <is>
          <t>None recorded</t>
        </is>
      </c>
      <c r="F720" s="12" t="inlineStr">
        <is>
          <t>No individual professional decision recorded; Source assignment -- not individually reviewed</t>
        </is>
      </c>
      <c r="G720" s="12" t="inlineStr">
        <is>
          <t>Not individually decided</t>
        </is>
      </c>
      <c r="H720" s="12" t="inlineStr">
        <is>
          <t xml:space="preserve">APPROVED / ONE_TO_ONE; </t>
        </is>
      </c>
      <c r="I720" s="12" t="inlineStr">
        <is>
          <t>New</t>
        </is>
      </c>
      <c r="J720" s="17" t="inlineStr">
        <is>
          <t>08 CROSSWALK</t>
        </is>
      </c>
    </row>
    <row r="721" ht="49" customHeight="1">
      <c r="A721" s="12" t="inlineStr">
        <is>
          <t>R378-v1</t>
        </is>
      </c>
      <c r="B721" s="12" t="inlineStr">
        <is>
          <t>Contractor Programme / SCH-03-018</t>
        </is>
      </c>
      <c r="C721" s="12" t="inlineStr">
        <is>
          <t>WBS Code = 1.3.2</t>
        </is>
      </c>
      <c r="D721" s="12" t="inlineStr">
        <is>
          <t>Proposed by Source assignment; target 1.3.2 Systems - Signalling &amp; Train Control</t>
        </is>
      </c>
      <c r="E721" s="12" t="inlineStr">
        <is>
          <t>None recorded</t>
        </is>
      </c>
      <c r="F721" s="12" t="inlineStr">
        <is>
          <t>No individual professional decision recorded; Source assignment -- not individually reviewed</t>
        </is>
      </c>
      <c r="G721" s="12" t="inlineStr">
        <is>
          <t>Not individually decided</t>
        </is>
      </c>
      <c r="H721" s="12" t="inlineStr">
        <is>
          <t xml:space="preserve">APPROVED / ONE_TO_ONE; </t>
        </is>
      </c>
      <c r="I721" s="12" t="inlineStr">
        <is>
          <t>New</t>
        </is>
      </c>
      <c r="J721" s="17" t="inlineStr">
        <is>
          <t>08 CROSSWALK</t>
        </is>
      </c>
    </row>
    <row r="722" ht="49" customHeight="1">
      <c r="A722" s="12" t="inlineStr">
        <is>
          <t>R381-v1</t>
        </is>
      </c>
      <c r="B722" s="12" t="inlineStr">
        <is>
          <t>Contractor Programme / SCH-03-021</t>
        </is>
      </c>
      <c r="C722" s="12" t="inlineStr">
        <is>
          <t>WBS Code = 1.3.2</t>
        </is>
      </c>
      <c r="D722" s="12" t="inlineStr">
        <is>
          <t>Proposed by Source assignment; target 1.3.2 Systems - Signalling &amp; Train Control</t>
        </is>
      </c>
      <c r="E722" s="12" t="inlineStr">
        <is>
          <t>None recorded</t>
        </is>
      </c>
      <c r="F722" s="12" t="inlineStr">
        <is>
          <t>No individual professional decision recorded; Source assignment -- not individually reviewed</t>
        </is>
      </c>
      <c r="G722" s="12" t="inlineStr">
        <is>
          <t>Not individually decided</t>
        </is>
      </c>
      <c r="H722" s="12" t="inlineStr">
        <is>
          <t xml:space="preserve">APPROVED / ONE_TO_ONE; </t>
        </is>
      </c>
      <c r="I722" s="12" t="inlineStr">
        <is>
          <t>New</t>
        </is>
      </c>
      <c r="J722" s="17" t="inlineStr">
        <is>
          <t>08 CROSSWALK</t>
        </is>
      </c>
    </row>
    <row r="723" ht="49" customHeight="1">
      <c r="A723" s="12" t="inlineStr">
        <is>
          <t>R384-v1</t>
        </is>
      </c>
      <c r="B723" s="12" t="inlineStr">
        <is>
          <t>Contractor Programme / SCH-03-024</t>
        </is>
      </c>
      <c r="C723" s="12" t="inlineStr">
        <is>
          <t>WBS Code = 1.3.2</t>
        </is>
      </c>
      <c r="D723" s="12" t="inlineStr">
        <is>
          <t>Proposed by Source assignment; target 1.3.2 Systems - Signalling &amp; Train Control</t>
        </is>
      </c>
      <c r="E723" s="12" t="inlineStr">
        <is>
          <t>None recorded</t>
        </is>
      </c>
      <c r="F723" s="12" t="inlineStr">
        <is>
          <t>No individual professional decision recorded; Source assignment -- not individually reviewed</t>
        </is>
      </c>
      <c r="G723" s="12" t="inlineStr">
        <is>
          <t>Not individually decided</t>
        </is>
      </c>
      <c r="H723" s="12" t="inlineStr">
        <is>
          <t xml:space="preserve">APPROVED / ONE_TO_ONE; </t>
        </is>
      </c>
      <c r="I723" s="12" t="inlineStr">
        <is>
          <t>New</t>
        </is>
      </c>
      <c r="J723" s="17" t="inlineStr">
        <is>
          <t>08 CROSSWALK</t>
        </is>
      </c>
    </row>
    <row r="724" ht="49" customHeight="1">
      <c r="A724" s="12" t="inlineStr">
        <is>
          <t>R387-v1</t>
        </is>
      </c>
      <c r="B724" s="12" t="inlineStr">
        <is>
          <t>Contractor Programme / SCH-03-027</t>
        </is>
      </c>
      <c r="C724" s="12" t="inlineStr">
        <is>
          <t>WBS Code = 1.3.2</t>
        </is>
      </c>
      <c r="D724" s="12" t="inlineStr">
        <is>
          <t>Proposed by Source assignment; target 1.3.2 Systems - Signalling &amp; Train Control</t>
        </is>
      </c>
      <c r="E724" s="12" t="inlineStr">
        <is>
          <t>None recorded</t>
        </is>
      </c>
      <c r="F724" s="12" t="inlineStr">
        <is>
          <t>No individual professional decision recorded; Source assignment -- not individually reviewed</t>
        </is>
      </c>
      <c r="G724" s="12" t="inlineStr">
        <is>
          <t>Not individually decided</t>
        </is>
      </c>
      <c r="H724" s="12" t="inlineStr">
        <is>
          <t xml:space="preserve">APPROVED / ONE_TO_ONE; </t>
        </is>
      </c>
      <c r="I724" s="12" t="inlineStr">
        <is>
          <t>New</t>
        </is>
      </c>
      <c r="J724" s="17" t="inlineStr">
        <is>
          <t>08 CROSSWALK</t>
        </is>
      </c>
    </row>
    <row r="725" ht="49" customHeight="1">
      <c r="A725" s="12" t="inlineStr">
        <is>
          <t>R390-v1</t>
        </is>
      </c>
      <c r="B725" s="12" t="inlineStr">
        <is>
          <t>Contractor Programme / SCH-03-030</t>
        </is>
      </c>
      <c r="C725" s="12" t="inlineStr">
        <is>
          <t>WBS Code = 1.3.2</t>
        </is>
      </c>
      <c r="D725" s="12" t="inlineStr">
        <is>
          <t>Proposed by Source assignment; target 1.3.2 Systems - Signalling &amp; Train Control</t>
        </is>
      </c>
      <c r="E725" s="12" t="inlineStr">
        <is>
          <t>None recorded</t>
        </is>
      </c>
      <c r="F725" s="12" t="inlineStr">
        <is>
          <t>No individual professional decision recorded; Source assignment -- not individually reviewed</t>
        </is>
      </c>
      <c r="G725" s="12" t="inlineStr">
        <is>
          <t>Not individually decided</t>
        </is>
      </c>
      <c r="H725" s="12" t="inlineStr">
        <is>
          <t xml:space="preserve">APPROVED / ONE_TO_ONE; </t>
        </is>
      </c>
      <c r="I725" s="12" t="inlineStr">
        <is>
          <t>New</t>
        </is>
      </c>
      <c r="J725" s="17" t="inlineStr">
        <is>
          <t>08 CROSSWALK</t>
        </is>
      </c>
    </row>
    <row r="726" ht="49" customHeight="1">
      <c r="A726" s="12" t="inlineStr">
        <is>
          <t>R393-v1</t>
        </is>
      </c>
      <c r="B726" s="12" t="inlineStr">
        <is>
          <t>Contractor Programme / SCH-03-033</t>
        </is>
      </c>
      <c r="C726" s="12" t="inlineStr">
        <is>
          <t>WBS Code = 1.3.2</t>
        </is>
      </c>
      <c r="D726" s="12" t="inlineStr">
        <is>
          <t>Proposed by Source assignment; target 1.3.2 Systems - Signalling &amp; Train Control</t>
        </is>
      </c>
      <c r="E726" s="12" t="inlineStr">
        <is>
          <t>None recorded</t>
        </is>
      </c>
      <c r="F726" s="12" t="inlineStr">
        <is>
          <t>No individual professional decision recorded; Source assignment -- not individually reviewed</t>
        </is>
      </c>
      <c r="G726" s="12" t="inlineStr">
        <is>
          <t>Not individually decided</t>
        </is>
      </c>
      <c r="H726" s="12" t="inlineStr">
        <is>
          <t xml:space="preserve">APPROVED / ONE_TO_ONE; </t>
        </is>
      </c>
      <c r="I726" s="12" t="inlineStr">
        <is>
          <t>New</t>
        </is>
      </c>
      <c r="J726" s="17" t="inlineStr">
        <is>
          <t>08 CROSSWALK</t>
        </is>
      </c>
    </row>
    <row r="727" ht="49" customHeight="1">
      <c r="A727" s="12" t="inlineStr">
        <is>
          <t>R396-v1</t>
        </is>
      </c>
      <c r="B727" s="12" t="inlineStr">
        <is>
          <t>Contractor Programme / SCH-03-036</t>
        </is>
      </c>
      <c r="C727" s="12" t="inlineStr">
        <is>
          <t>WBS Code = 1.3.2</t>
        </is>
      </c>
      <c r="D727" s="12" t="inlineStr">
        <is>
          <t>Proposed by Source assignment; target 1.3.2 Systems - Signalling &amp; Train Control</t>
        </is>
      </c>
      <c r="E727" s="12" t="inlineStr">
        <is>
          <t>None recorded</t>
        </is>
      </c>
      <c r="F727" s="12" t="inlineStr">
        <is>
          <t>No individual professional decision recorded; Source assignment -- not individually reviewed</t>
        </is>
      </c>
      <c r="G727" s="12" t="inlineStr">
        <is>
          <t>Not individually decided</t>
        </is>
      </c>
      <c r="H727" s="12" t="inlineStr">
        <is>
          <t xml:space="preserve">APPROVED / ONE_TO_ONE; </t>
        </is>
      </c>
      <c r="I727" s="12" t="inlineStr">
        <is>
          <t>New</t>
        </is>
      </c>
      <c r="J727" s="17" t="inlineStr">
        <is>
          <t>08 CROSSWALK</t>
        </is>
      </c>
    </row>
    <row r="728" ht="49" customHeight="1">
      <c r="A728" s="12" t="inlineStr">
        <is>
          <t>R399-v1</t>
        </is>
      </c>
      <c r="B728" s="12" t="inlineStr">
        <is>
          <t>Contractor Programme / SCH-03-039</t>
        </is>
      </c>
      <c r="C728" s="12" t="inlineStr">
        <is>
          <t>WBS Code = 1.3.2</t>
        </is>
      </c>
      <c r="D728" s="12" t="inlineStr">
        <is>
          <t>Proposed by Source assignment; target 1.3.2 Systems - Signalling &amp; Train Control</t>
        </is>
      </c>
      <c r="E728" s="12" t="inlineStr">
        <is>
          <t>None recorded</t>
        </is>
      </c>
      <c r="F728" s="12" t="inlineStr">
        <is>
          <t>No individual professional decision recorded; Source assignment -- not individually reviewed</t>
        </is>
      </c>
      <c r="G728" s="12" t="inlineStr">
        <is>
          <t>Not individually decided</t>
        </is>
      </c>
      <c r="H728" s="12" t="inlineStr">
        <is>
          <t xml:space="preserve">APPROVED / ONE_TO_ONE; </t>
        </is>
      </c>
      <c r="I728" s="12" t="inlineStr">
        <is>
          <t>New</t>
        </is>
      </c>
      <c r="J728" s="17" t="inlineStr">
        <is>
          <t>08 CROSSWALK</t>
        </is>
      </c>
    </row>
    <row r="729" ht="49" customHeight="1">
      <c r="A729" s="12" t="inlineStr">
        <is>
          <t>R402-v1</t>
        </is>
      </c>
      <c r="B729" s="12" t="inlineStr">
        <is>
          <t>Contractor Programme / SCH-03-042</t>
        </is>
      </c>
      <c r="C729" s="12" t="inlineStr">
        <is>
          <t>WBS Code = 1.3.2</t>
        </is>
      </c>
      <c r="D729" s="12" t="inlineStr">
        <is>
          <t>Proposed by Source assignment; target 1.3.2 Systems - Signalling &amp; Train Control</t>
        </is>
      </c>
      <c r="E729" s="12" t="inlineStr">
        <is>
          <t>None recorded</t>
        </is>
      </c>
      <c r="F729" s="12" t="inlineStr">
        <is>
          <t>No individual professional decision recorded; Source assignment -- not individually reviewed</t>
        </is>
      </c>
      <c r="G729" s="12" t="inlineStr">
        <is>
          <t>Not individually decided</t>
        </is>
      </c>
      <c r="H729" s="12" t="inlineStr">
        <is>
          <t xml:space="preserve">APPROVED / ONE_TO_ONE; </t>
        </is>
      </c>
      <c r="I729" s="12" t="inlineStr">
        <is>
          <t>New</t>
        </is>
      </c>
      <c r="J729" s="17" t="inlineStr">
        <is>
          <t>08 CROSSWALK</t>
        </is>
      </c>
    </row>
    <row r="730" ht="49" customHeight="1">
      <c r="A730" s="12" t="inlineStr">
        <is>
          <t>R405-v1</t>
        </is>
      </c>
      <c r="B730" s="12" t="inlineStr">
        <is>
          <t>Contractor Programme / SCH-03-045</t>
        </is>
      </c>
      <c r="C730" s="12" t="inlineStr">
        <is>
          <t>WBS Code = 1.3.2</t>
        </is>
      </c>
      <c r="D730" s="12" t="inlineStr">
        <is>
          <t>Proposed by Source assignment; target 1.3.2 Systems - Signalling &amp; Train Control</t>
        </is>
      </c>
      <c r="E730" s="12" t="inlineStr">
        <is>
          <t>None recorded</t>
        </is>
      </c>
      <c r="F730" s="12" t="inlineStr">
        <is>
          <t>No individual professional decision recorded; Source assignment -- not individually reviewed</t>
        </is>
      </c>
      <c r="G730" s="12" t="inlineStr">
        <is>
          <t>Not individually decided</t>
        </is>
      </c>
      <c r="H730" s="12" t="inlineStr">
        <is>
          <t xml:space="preserve">APPROVED / ONE_TO_ONE; </t>
        </is>
      </c>
      <c r="I730" s="12" t="inlineStr">
        <is>
          <t>New</t>
        </is>
      </c>
      <c r="J730" s="17" t="inlineStr">
        <is>
          <t>08 CROSSWALK</t>
        </is>
      </c>
    </row>
    <row r="731" ht="49" customHeight="1">
      <c r="A731" s="12" t="inlineStr">
        <is>
          <t>R408-v1</t>
        </is>
      </c>
      <c r="B731" s="12" t="inlineStr">
        <is>
          <t>Contractor Programme / SCH-03-048</t>
        </is>
      </c>
      <c r="C731" s="12" t="inlineStr">
        <is>
          <t>WBS Code = 1.3.2</t>
        </is>
      </c>
      <c r="D731" s="12" t="inlineStr">
        <is>
          <t>Proposed by Source assignment; target 1.3.2 Systems - Signalling &amp; Train Control</t>
        </is>
      </c>
      <c r="E731" s="12" t="inlineStr">
        <is>
          <t>None recorded</t>
        </is>
      </c>
      <c r="F731" s="12" t="inlineStr">
        <is>
          <t>No individual professional decision recorded; Source assignment -- not individually reviewed</t>
        </is>
      </c>
      <c r="G731" s="12" t="inlineStr">
        <is>
          <t>Not individually decided</t>
        </is>
      </c>
      <c r="H731" s="12" t="inlineStr">
        <is>
          <t xml:space="preserve">APPROVED / ONE_TO_ONE; </t>
        </is>
      </c>
      <c r="I731" s="12" t="inlineStr">
        <is>
          <t>New</t>
        </is>
      </c>
      <c r="J731" s="17" t="inlineStr">
        <is>
          <t>08 CROSSWALK</t>
        </is>
      </c>
    </row>
    <row r="732" ht="49" customHeight="1">
      <c r="A732" s="12" t="inlineStr">
        <is>
          <t>R411-v1</t>
        </is>
      </c>
      <c r="B732" s="12" t="inlineStr">
        <is>
          <t>Contractor Programme / SCH-03-051</t>
        </is>
      </c>
      <c r="C732" s="12" t="inlineStr">
        <is>
          <t>WBS Code = 1.3.2</t>
        </is>
      </c>
      <c r="D732" s="12" t="inlineStr">
        <is>
          <t>Proposed by Source assignment; target 1.3.2 Systems - Signalling &amp; Train Control</t>
        </is>
      </c>
      <c r="E732" s="12" t="inlineStr">
        <is>
          <t>None recorded</t>
        </is>
      </c>
      <c r="F732" s="12" t="inlineStr">
        <is>
          <t>No individual professional decision recorded; Source assignment -- not individually reviewed</t>
        </is>
      </c>
      <c r="G732" s="12" t="inlineStr">
        <is>
          <t>Not individually decided</t>
        </is>
      </c>
      <c r="H732" s="12" t="inlineStr">
        <is>
          <t xml:space="preserve">APPROVED / ONE_TO_ONE; </t>
        </is>
      </c>
      <c r="I732" s="12" t="inlineStr">
        <is>
          <t>New</t>
        </is>
      </c>
      <c r="J732" s="17" t="inlineStr">
        <is>
          <t>08 CROSSWALK</t>
        </is>
      </c>
    </row>
    <row r="733" ht="49" customHeight="1">
      <c r="A733" s="12" t="inlineStr">
        <is>
          <t>R414-v1</t>
        </is>
      </c>
      <c r="B733" s="12" t="inlineStr">
        <is>
          <t>Contractor Programme / SCH-03-054</t>
        </is>
      </c>
      <c r="C733" s="12" t="inlineStr">
        <is>
          <t>WBS Code = 1.3.2</t>
        </is>
      </c>
      <c r="D733" s="12" t="inlineStr">
        <is>
          <t>Proposed by Source assignment; target 1.3.2 Systems - Signalling &amp; Train Control</t>
        </is>
      </c>
      <c r="E733" s="12" t="inlineStr">
        <is>
          <t>None recorded</t>
        </is>
      </c>
      <c r="F733" s="12" t="inlineStr">
        <is>
          <t>No individual professional decision recorded; Source assignment -- not individually reviewed</t>
        </is>
      </c>
      <c r="G733" s="12" t="inlineStr">
        <is>
          <t>Not individually decided</t>
        </is>
      </c>
      <c r="H733" s="12" t="inlineStr">
        <is>
          <t xml:space="preserve">APPROVED / ONE_TO_ONE; </t>
        </is>
      </c>
      <c r="I733" s="12" t="inlineStr">
        <is>
          <t>New</t>
        </is>
      </c>
      <c r="J733" s="17" t="inlineStr">
        <is>
          <t>08 CROSSWALK</t>
        </is>
      </c>
    </row>
    <row r="734" ht="49" customHeight="1">
      <c r="A734" s="12" t="inlineStr">
        <is>
          <t>R417-v1</t>
        </is>
      </c>
      <c r="B734" s="12" t="inlineStr">
        <is>
          <t>Contractor Programme / SCH-03-057</t>
        </is>
      </c>
      <c r="C734" s="12" t="inlineStr">
        <is>
          <t>WBS Code = 1.3.2</t>
        </is>
      </c>
      <c r="D734" s="12" t="inlineStr">
        <is>
          <t>Proposed by Source assignment; target 1.3.2 Systems - Signalling &amp; Train Control</t>
        </is>
      </c>
      <c r="E734" s="12" t="inlineStr">
        <is>
          <t>None recorded</t>
        </is>
      </c>
      <c r="F734" s="12" t="inlineStr">
        <is>
          <t>No individual professional decision recorded; Source assignment -- not individually reviewed</t>
        </is>
      </c>
      <c r="G734" s="12" t="inlineStr">
        <is>
          <t>Not individually decided</t>
        </is>
      </c>
      <c r="H734" s="12" t="inlineStr">
        <is>
          <t xml:space="preserve">APPROVED / ONE_TO_ONE; </t>
        </is>
      </c>
      <c r="I734" s="12" t="inlineStr">
        <is>
          <t>New</t>
        </is>
      </c>
      <c r="J734" s="17" t="inlineStr">
        <is>
          <t>08 CROSSWALK</t>
        </is>
      </c>
    </row>
    <row r="735" ht="49" customHeight="1">
      <c r="A735" s="12" t="inlineStr">
        <is>
          <t>R420-v1</t>
        </is>
      </c>
      <c r="B735" s="12" t="inlineStr">
        <is>
          <t>Contractor Programme / SCH-03-060</t>
        </is>
      </c>
      <c r="C735" s="12" t="inlineStr">
        <is>
          <t>WBS Code = 1.3.2</t>
        </is>
      </c>
      <c r="D735" s="12" t="inlineStr">
        <is>
          <t>Proposed by Source assignment; target 1.3.2 Systems - Signalling &amp; Train Control</t>
        </is>
      </c>
      <c r="E735" s="12" t="inlineStr">
        <is>
          <t>None recorded</t>
        </is>
      </c>
      <c r="F735" s="12" t="inlineStr">
        <is>
          <t>No individual professional decision recorded; Source assignment -- not individually reviewed</t>
        </is>
      </c>
      <c r="G735" s="12" t="inlineStr">
        <is>
          <t>Not individually decided</t>
        </is>
      </c>
      <c r="H735" s="12" t="inlineStr">
        <is>
          <t xml:space="preserve">APPROVED / ONE_TO_ONE; </t>
        </is>
      </c>
      <c r="I735" s="12" t="inlineStr">
        <is>
          <t>New</t>
        </is>
      </c>
      <c r="J735" s="17" t="inlineStr">
        <is>
          <t>08 CROSSWALK</t>
        </is>
      </c>
    </row>
    <row r="736" ht="49" customHeight="1">
      <c r="A736" s="12" t="inlineStr">
        <is>
          <t>R423-v1</t>
        </is>
      </c>
      <c r="B736" s="12" t="inlineStr">
        <is>
          <t>Contractor Programme / SCH-03-063</t>
        </is>
      </c>
      <c r="C736" s="12" t="inlineStr">
        <is>
          <t>WBS Code = 1.3.2</t>
        </is>
      </c>
      <c r="D736" s="12" t="inlineStr">
        <is>
          <t>Proposed by Source assignment; target 1.3.2 Systems - Signalling &amp; Train Control</t>
        </is>
      </c>
      <c r="E736" s="12" t="inlineStr">
        <is>
          <t>None recorded</t>
        </is>
      </c>
      <c r="F736" s="12" t="inlineStr">
        <is>
          <t>No individual professional decision recorded; Source assignment -- not individually reviewed</t>
        </is>
      </c>
      <c r="G736" s="12" t="inlineStr">
        <is>
          <t>Not individually decided</t>
        </is>
      </c>
      <c r="H736" s="12" t="inlineStr">
        <is>
          <t xml:space="preserve">APPROVED / ONE_TO_ONE; </t>
        </is>
      </c>
      <c r="I736" s="12" t="inlineStr">
        <is>
          <t>New</t>
        </is>
      </c>
      <c r="J736" s="17" t="inlineStr">
        <is>
          <t>08 CROSSWALK</t>
        </is>
      </c>
    </row>
    <row r="737" ht="49" customHeight="1">
      <c r="A737" s="12" t="inlineStr">
        <is>
          <t>R426-v1</t>
        </is>
      </c>
      <c r="B737" s="12" t="inlineStr">
        <is>
          <t>Contractor Programme / SCH-03-066</t>
        </is>
      </c>
      <c r="C737" s="12" t="inlineStr">
        <is>
          <t>WBS Code = 1.3.2</t>
        </is>
      </c>
      <c r="D737" s="12" t="inlineStr">
        <is>
          <t>Proposed by Source assignment; target 1.3.2 Systems - Signalling &amp; Train Control</t>
        </is>
      </c>
      <c r="E737" s="12" t="inlineStr">
        <is>
          <t>None recorded</t>
        </is>
      </c>
      <c r="F737" s="12" t="inlineStr">
        <is>
          <t>No individual professional decision recorded; Source assignment -- not individually reviewed</t>
        </is>
      </c>
      <c r="G737" s="12" t="inlineStr">
        <is>
          <t>Not individually decided</t>
        </is>
      </c>
      <c r="H737" s="12" t="inlineStr">
        <is>
          <t xml:space="preserve">APPROVED / ONE_TO_ONE; </t>
        </is>
      </c>
      <c r="I737" s="12" t="inlineStr">
        <is>
          <t>New</t>
        </is>
      </c>
      <c r="J737" s="17" t="inlineStr">
        <is>
          <t>08 CROSSWALK</t>
        </is>
      </c>
    </row>
    <row r="738" ht="49" customHeight="1">
      <c r="A738" s="12" t="inlineStr">
        <is>
          <t>R429-v1</t>
        </is>
      </c>
      <c r="B738" s="12" t="inlineStr">
        <is>
          <t>Contractor Programme / SCH-03-069</t>
        </is>
      </c>
      <c r="C738" s="12" t="inlineStr">
        <is>
          <t>WBS Code = 1.3.2</t>
        </is>
      </c>
      <c r="D738" s="12" t="inlineStr">
        <is>
          <t>Proposed by Source assignment; target 1.3.2 Systems - Signalling &amp; Train Control</t>
        </is>
      </c>
      <c r="E738" s="12" t="inlineStr">
        <is>
          <t>None recorded</t>
        </is>
      </c>
      <c r="F738" s="12" t="inlineStr">
        <is>
          <t>No individual professional decision recorded; Source assignment -- not individually reviewed</t>
        </is>
      </c>
      <c r="G738" s="12" t="inlineStr">
        <is>
          <t>Not individually decided</t>
        </is>
      </c>
      <c r="H738" s="12" t="inlineStr">
        <is>
          <t xml:space="preserve">APPROVED / ONE_TO_ONE; </t>
        </is>
      </c>
      <c r="I738" s="12" t="inlineStr">
        <is>
          <t>New</t>
        </is>
      </c>
      <c r="J738" s="17" t="inlineStr">
        <is>
          <t>08 CROSSWALK</t>
        </is>
      </c>
    </row>
    <row r="739" ht="49" customHeight="1">
      <c r="A739" s="12" t="inlineStr">
        <is>
          <t>R432-v1</t>
        </is>
      </c>
      <c r="B739" s="12" t="inlineStr">
        <is>
          <t>Contractor Programme / SCH-03-072</t>
        </is>
      </c>
      <c r="C739" s="12" t="inlineStr">
        <is>
          <t>WBS Code = 1.3.2</t>
        </is>
      </c>
      <c r="D739" s="12" t="inlineStr">
        <is>
          <t>Proposed by Source assignment; target 1.3.2 Systems - Signalling &amp; Train Control</t>
        </is>
      </c>
      <c r="E739" s="12" t="inlineStr">
        <is>
          <t>None recorded</t>
        </is>
      </c>
      <c r="F739" s="12" t="inlineStr">
        <is>
          <t>No individual professional decision recorded; Source assignment -- not individually reviewed</t>
        </is>
      </c>
      <c r="G739" s="12" t="inlineStr">
        <is>
          <t>Not individually decided</t>
        </is>
      </c>
      <c r="H739" s="12" t="inlineStr">
        <is>
          <t xml:space="preserve">APPROVED / ONE_TO_ONE; </t>
        </is>
      </c>
      <c r="I739" s="12" t="inlineStr">
        <is>
          <t>New</t>
        </is>
      </c>
      <c r="J739" s="17" t="inlineStr">
        <is>
          <t>08 CROSSWALK</t>
        </is>
      </c>
    </row>
    <row r="740" ht="49" customHeight="1">
      <c r="A740" s="12" t="inlineStr">
        <is>
          <t>R435-v1</t>
        </is>
      </c>
      <c r="B740" s="12" t="inlineStr">
        <is>
          <t>Contractor Programme / SCH-03-075</t>
        </is>
      </c>
      <c r="C740" s="12" t="inlineStr">
        <is>
          <t>WBS Code = 1.3.2</t>
        </is>
      </c>
      <c r="D740" s="12" t="inlineStr">
        <is>
          <t>Proposed by Source assignment; target 1.3.2 Systems - Signalling &amp; Train Control</t>
        </is>
      </c>
      <c r="E740" s="12" t="inlineStr">
        <is>
          <t>None recorded</t>
        </is>
      </c>
      <c r="F740" s="12" t="inlineStr">
        <is>
          <t>No individual professional decision recorded; Source assignment -- not individually reviewed</t>
        </is>
      </c>
      <c r="G740" s="12" t="inlineStr">
        <is>
          <t>Not individually decided</t>
        </is>
      </c>
      <c r="H740" s="12" t="inlineStr">
        <is>
          <t xml:space="preserve">APPROVED / ONE_TO_ONE; </t>
        </is>
      </c>
      <c r="I740" s="12" t="inlineStr">
        <is>
          <t>New</t>
        </is>
      </c>
      <c r="J740" s="17" t="inlineStr">
        <is>
          <t>08 CROSSWALK</t>
        </is>
      </c>
    </row>
    <row r="741" ht="49" customHeight="1">
      <c r="A741" s="12" t="inlineStr">
        <is>
          <t>R438-v1</t>
        </is>
      </c>
      <c r="B741" s="12" t="inlineStr">
        <is>
          <t>Contractor Programme / SCH-03-078</t>
        </is>
      </c>
      <c r="C741" s="12" t="inlineStr">
        <is>
          <t>WBS Code = 1.3.2</t>
        </is>
      </c>
      <c r="D741" s="12" t="inlineStr">
        <is>
          <t>Proposed by Source assignment; target 1.3.2 Systems - Signalling &amp; Train Control</t>
        </is>
      </c>
      <c r="E741" s="12" t="inlineStr">
        <is>
          <t>None recorded</t>
        </is>
      </c>
      <c r="F741" s="12" t="inlineStr">
        <is>
          <t>No individual professional decision recorded; Source assignment -- not individually reviewed</t>
        </is>
      </c>
      <c r="G741" s="12" t="inlineStr">
        <is>
          <t>Not individually decided</t>
        </is>
      </c>
      <c r="H741" s="12" t="inlineStr">
        <is>
          <t xml:space="preserve">APPROVED / ONE_TO_ONE; </t>
        </is>
      </c>
      <c r="I741" s="12" t="inlineStr">
        <is>
          <t>New</t>
        </is>
      </c>
      <c r="J741" s="17" t="inlineStr">
        <is>
          <t>08 CROSSWALK</t>
        </is>
      </c>
    </row>
    <row r="742" ht="49" customHeight="1">
      <c r="A742" s="12" t="inlineStr">
        <is>
          <t>R441-v1</t>
        </is>
      </c>
      <c r="B742" s="12" t="inlineStr">
        <is>
          <t>Contractor Programme / SCH-03-081</t>
        </is>
      </c>
      <c r="C742" s="12" t="inlineStr">
        <is>
          <t>WBS Code = 1.3.2</t>
        </is>
      </c>
      <c r="D742" s="12" t="inlineStr">
        <is>
          <t>Proposed by Source assignment; target 1.3.2 Systems - Signalling &amp; Train Control</t>
        </is>
      </c>
      <c r="E742" s="12" t="inlineStr">
        <is>
          <t>None recorded</t>
        </is>
      </c>
      <c r="F742" s="12" t="inlineStr">
        <is>
          <t>No individual professional decision recorded; Source assignment -- not individually reviewed</t>
        </is>
      </c>
      <c r="G742" s="12" t="inlineStr">
        <is>
          <t>Not individually decided</t>
        </is>
      </c>
      <c r="H742" s="12" t="inlineStr">
        <is>
          <t xml:space="preserve">APPROVED / ONE_TO_ONE; </t>
        </is>
      </c>
      <c r="I742" s="12" t="inlineStr">
        <is>
          <t>New</t>
        </is>
      </c>
      <c r="J742" s="17" t="inlineStr">
        <is>
          <t>08 CROSSWALK</t>
        </is>
      </c>
    </row>
    <row r="743" ht="49" customHeight="1">
      <c r="A743" s="12" t="inlineStr">
        <is>
          <t>R444-v1</t>
        </is>
      </c>
      <c r="B743" s="12" t="inlineStr">
        <is>
          <t>Contractor Programme / SCH-03-084</t>
        </is>
      </c>
      <c r="C743" s="12" t="inlineStr">
        <is>
          <t>WBS Code = 1.3.2</t>
        </is>
      </c>
      <c r="D743" s="12" t="inlineStr">
        <is>
          <t>Proposed by Source assignment; target 1.3.2 Systems - Signalling &amp; Train Control</t>
        </is>
      </c>
      <c r="E743" s="12" t="inlineStr">
        <is>
          <t>None recorded</t>
        </is>
      </c>
      <c r="F743" s="12" t="inlineStr">
        <is>
          <t>No individual professional decision recorded; Source assignment -- not individually reviewed</t>
        </is>
      </c>
      <c r="G743" s="12" t="inlineStr">
        <is>
          <t>Not individually decided</t>
        </is>
      </c>
      <c r="H743" s="12" t="inlineStr">
        <is>
          <t xml:space="preserve">APPROVED / ONE_TO_ONE; </t>
        </is>
      </c>
      <c r="I743" s="12" t="inlineStr">
        <is>
          <t>New</t>
        </is>
      </c>
      <c r="J743" s="17" t="inlineStr">
        <is>
          <t>08 CROSSWALK</t>
        </is>
      </c>
    </row>
    <row r="744" ht="49" customHeight="1">
      <c r="A744" s="12" t="inlineStr">
        <is>
          <t>R447-v1</t>
        </is>
      </c>
      <c r="B744" s="12" t="inlineStr">
        <is>
          <t>Contractor Programme / SCH-03-087</t>
        </is>
      </c>
      <c r="C744" s="12" t="inlineStr">
        <is>
          <t>WBS Code = 1.3.2</t>
        </is>
      </c>
      <c r="D744" s="12" t="inlineStr">
        <is>
          <t>Proposed by Source assignment; target 1.3.2 Systems - Signalling &amp; Train Control</t>
        </is>
      </c>
      <c r="E744" s="12" t="inlineStr">
        <is>
          <t>None recorded</t>
        </is>
      </c>
      <c r="F744" s="12" t="inlineStr">
        <is>
          <t>No individual professional decision recorded; Source assignment -- not individually reviewed</t>
        </is>
      </c>
      <c r="G744" s="12" t="inlineStr">
        <is>
          <t>Not individually decided</t>
        </is>
      </c>
      <c r="H744" s="12" t="inlineStr">
        <is>
          <t xml:space="preserve">APPROVED / ONE_TO_ONE; </t>
        </is>
      </c>
      <c r="I744" s="12" t="inlineStr">
        <is>
          <t>New</t>
        </is>
      </c>
      <c r="J744" s="17" t="inlineStr">
        <is>
          <t>08 CROSSWALK</t>
        </is>
      </c>
    </row>
    <row r="745" ht="49" customHeight="1">
      <c r="A745" s="12" t="inlineStr">
        <is>
          <t>R450-v1</t>
        </is>
      </c>
      <c r="B745" s="12" t="inlineStr">
        <is>
          <t>Contractor Programme / SCH-03-090</t>
        </is>
      </c>
      <c r="C745" s="12" t="inlineStr">
        <is>
          <t>WBS Code = 1.3.2</t>
        </is>
      </c>
      <c r="D745" s="12" t="inlineStr">
        <is>
          <t>Proposed by Source assignment; target 1.3.2 Systems - Signalling &amp; Train Control</t>
        </is>
      </c>
      <c r="E745" s="12" t="inlineStr">
        <is>
          <t>None recorded</t>
        </is>
      </c>
      <c r="F745" s="12" t="inlineStr">
        <is>
          <t>No individual professional decision recorded; Source assignment -- not individually reviewed</t>
        </is>
      </c>
      <c r="G745" s="12" t="inlineStr">
        <is>
          <t>Not individually decided</t>
        </is>
      </c>
      <c r="H745" s="12" t="inlineStr">
        <is>
          <t xml:space="preserve">APPROVED / ONE_TO_ONE; </t>
        </is>
      </c>
      <c r="I745" s="12" t="inlineStr">
        <is>
          <t>New</t>
        </is>
      </c>
      <c r="J745" s="17" t="inlineStr">
        <is>
          <t>08 CROSSWALK</t>
        </is>
      </c>
    </row>
    <row r="746" ht="49" customHeight="1">
      <c r="A746" s="12" t="inlineStr">
        <is>
          <t>R453-v1</t>
        </is>
      </c>
      <c r="B746" s="12" t="inlineStr">
        <is>
          <t>Contractor Programme / SCH-03-093</t>
        </is>
      </c>
      <c r="C746" s="12" t="inlineStr">
        <is>
          <t>WBS Code = 1.3.2</t>
        </is>
      </c>
      <c r="D746" s="12" t="inlineStr">
        <is>
          <t>Proposed by Source assignment; target 1.3.2 Systems - Signalling &amp; Train Control</t>
        </is>
      </c>
      <c r="E746" s="12" t="inlineStr">
        <is>
          <t>None recorded</t>
        </is>
      </c>
      <c r="F746" s="12" t="inlineStr">
        <is>
          <t>No individual professional decision recorded; Source assignment -- not individually reviewed</t>
        </is>
      </c>
      <c r="G746" s="12" t="inlineStr">
        <is>
          <t>Not individually decided</t>
        </is>
      </c>
      <c r="H746" s="12" t="inlineStr">
        <is>
          <t xml:space="preserve">APPROVED / ONE_TO_ONE; </t>
        </is>
      </c>
      <c r="I746" s="12" t="inlineStr">
        <is>
          <t>New</t>
        </is>
      </c>
      <c r="J746" s="17" t="inlineStr">
        <is>
          <t>08 CROSSWALK</t>
        </is>
      </c>
    </row>
    <row r="747" ht="49" customHeight="1">
      <c r="A747" s="12" t="inlineStr">
        <is>
          <t>R456-v1</t>
        </is>
      </c>
      <c r="B747" s="12" t="inlineStr">
        <is>
          <t>Contractor Programme / SCH-03-096</t>
        </is>
      </c>
      <c r="C747" s="12" t="inlineStr">
        <is>
          <t>WBS Code = 1.3.2</t>
        </is>
      </c>
      <c r="D747" s="12" t="inlineStr">
        <is>
          <t>Proposed by Source assignment; target 1.3.2 Systems - Signalling &amp; Train Control</t>
        </is>
      </c>
      <c r="E747" s="12" t="inlineStr">
        <is>
          <t>None recorded</t>
        </is>
      </c>
      <c r="F747" s="12" t="inlineStr">
        <is>
          <t>No individual professional decision recorded; Source assignment -- not individually reviewed</t>
        </is>
      </c>
      <c r="G747" s="12" t="inlineStr">
        <is>
          <t>Not individually decided</t>
        </is>
      </c>
      <c r="H747" s="12" t="inlineStr">
        <is>
          <t xml:space="preserve">APPROVED / ONE_TO_ONE; </t>
        </is>
      </c>
      <c r="I747" s="12" t="inlineStr">
        <is>
          <t>New</t>
        </is>
      </c>
      <c r="J747" s="17" t="inlineStr">
        <is>
          <t>08 CROSSWALK</t>
        </is>
      </c>
    </row>
    <row r="748" ht="49" customHeight="1">
      <c r="A748" s="12" t="inlineStr">
        <is>
          <t>R459-v1</t>
        </is>
      </c>
      <c r="B748" s="12" t="inlineStr">
        <is>
          <t>Contractor Programme / SCH-03-099</t>
        </is>
      </c>
      <c r="C748" s="12" t="inlineStr">
        <is>
          <t>WBS Code = 1.3.2</t>
        </is>
      </c>
      <c r="D748" s="12" t="inlineStr">
        <is>
          <t>Proposed by Source assignment; target 1.3.2 Systems - Signalling &amp; Train Control</t>
        </is>
      </c>
      <c r="E748" s="12" t="inlineStr">
        <is>
          <t>None recorded</t>
        </is>
      </c>
      <c r="F748" s="12" t="inlineStr">
        <is>
          <t>No individual professional decision recorded; Source assignment -- not individually reviewed</t>
        </is>
      </c>
      <c r="G748" s="12" t="inlineStr">
        <is>
          <t>Not individually decided</t>
        </is>
      </c>
      <c r="H748" s="12" t="inlineStr">
        <is>
          <t xml:space="preserve">APPROVED / ONE_TO_ONE; </t>
        </is>
      </c>
      <c r="I748" s="12" t="inlineStr">
        <is>
          <t>New</t>
        </is>
      </c>
      <c r="J748" s="17" t="inlineStr">
        <is>
          <t>08 CROSSWALK</t>
        </is>
      </c>
    </row>
    <row r="749" ht="49" customHeight="1">
      <c r="A749" s="12" t="inlineStr">
        <is>
          <t>R462-v1</t>
        </is>
      </c>
      <c r="B749" s="12" t="inlineStr">
        <is>
          <t>Contractor Programme / SCH-03-102</t>
        </is>
      </c>
      <c r="C749" s="12" t="inlineStr">
        <is>
          <t>WBS Code = 1.3.2</t>
        </is>
      </c>
      <c r="D749" s="12" t="inlineStr">
        <is>
          <t>Proposed by Source assignment; target 1.3.2 Systems - Signalling &amp; Train Control</t>
        </is>
      </c>
      <c r="E749" s="12" t="inlineStr">
        <is>
          <t>None recorded</t>
        </is>
      </c>
      <c r="F749" s="12" t="inlineStr">
        <is>
          <t>No individual professional decision recorded; Source assignment -- not individually reviewed</t>
        </is>
      </c>
      <c r="G749" s="12" t="inlineStr">
        <is>
          <t>Not individually decided</t>
        </is>
      </c>
      <c r="H749" s="12" t="inlineStr">
        <is>
          <t xml:space="preserve">APPROVED / ONE_TO_ONE; </t>
        </is>
      </c>
      <c r="I749" s="12" t="inlineStr">
        <is>
          <t>New</t>
        </is>
      </c>
      <c r="J749" s="17" t="inlineStr">
        <is>
          <t>08 CROSSWALK</t>
        </is>
      </c>
    </row>
    <row r="750" ht="49" customHeight="1">
      <c r="A750" s="12" t="inlineStr">
        <is>
          <t>R465-v1</t>
        </is>
      </c>
      <c r="B750" s="12" t="inlineStr">
        <is>
          <t>Contractor Programme / SCH-03-105</t>
        </is>
      </c>
      <c r="C750" s="12" t="inlineStr">
        <is>
          <t>WBS Code = 1.3.2</t>
        </is>
      </c>
      <c r="D750" s="12" t="inlineStr">
        <is>
          <t>Proposed by Source assignment; target 1.3.2 Systems - Signalling &amp; Train Control</t>
        </is>
      </c>
      <c r="E750" s="12" t="inlineStr">
        <is>
          <t>None recorded</t>
        </is>
      </c>
      <c r="F750" s="12" t="inlineStr">
        <is>
          <t>No individual professional decision recorded; Source assignment -- not individually reviewed</t>
        </is>
      </c>
      <c r="G750" s="12" t="inlineStr">
        <is>
          <t>Not individually decided</t>
        </is>
      </c>
      <c r="H750" s="12" t="inlineStr">
        <is>
          <t xml:space="preserve">APPROVED / ONE_TO_ONE; </t>
        </is>
      </c>
      <c r="I750" s="12" t="inlineStr">
        <is>
          <t>New</t>
        </is>
      </c>
      <c r="J750" s="17" t="inlineStr">
        <is>
          <t>08 CROSSWALK</t>
        </is>
      </c>
    </row>
    <row r="751" ht="49" customHeight="1">
      <c r="A751" s="12" t="inlineStr">
        <is>
          <t>R468-v1</t>
        </is>
      </c>
      <c r="B751" s="12" t="inlineStr">
        <is>
          <t>Contractor Programme / SCH-03-108</t>
        </is>
      </c>
      <c r="C751" s="12" t="inlineStr">
        <is>
          <t>WBS Code = 1.3.2</t>
        </is>
      </c>
      <c r="D751" s="12" t="inlineStr">
        <is>
          <t>Proposed by Source assignment; target 1.3.2 Systems - Signalling &amp; Train Control</t>
        </is>
      </c>
      <c r="E751" s="12" t="inlineStr">
        <is>
          <t>None recorded</t>
        </is>
      </c>
      <c r="F751" s="12" t="inlineStr">
        <is>
          <t>No individual professional decision recorded; Source assignment -- not individually reviewed</t>
        </is>
      </c>
      <c r="G751" s="12" t="inlineStr">
        <is>
          <t>Not individually decided</t>
        </is>
      </c>
      <c r="H751" s="12" t="inlineStr">
        <is>
          <t xml:space="preserve">APPROVED / ONE_TO_ONE; </t>
        </is>
      </c>
      <c r="I751" s="12" t="inlineStr">
        <is>
          <t>New</t>
        </is>
      </c>
      <c r="J751" s="17" t="inlineStr">
        <is>
          <t>08 CROSSWALK</t>
        </is>
      </c>
    </row>
    <row r="752" ht="49" customHeight="1">
      <c r="A752" s="12" t="inlineStr">
        <is>
          <t>R471-v1</t>
        </is>
      </c>
      <c r="B752" s="12" t="inlineStr">
        <is>
          <t>Contractor Programme / SCH-03-111</t>
        </is>
      </c>
      <c r="C752" s="12" t="inlineStr">
        <is>
          <t>WBS Code = 1.3.2</t>
        </is>
      </c>
      <c r="D752" s="12" t="inlineStr">
        <is>
          <t>Proposed by Source assignment; target 1.3.2 Systems - Signalling &amp; Train Control</t>
        </is>
      </c>
      <c r="E752" s="12" t="inlineStr">
        <is>
          <t>None recorded</t>
        </is>
      </c>
      <c r="F752" s="12" t="inlineStr">
        <is>
          <t>No individual professional decision recorded; Source assignment -- not individually reviewed</t>
        </is>
      </c>
      <c r="G752" s="12" t="inlineStr">
        <is>
          <t>Not individually decided</t>
        </is>
      </c>
      <c r="H752" s="12" t="inlineStr">
        <is>
          <t xml:space="preserve">APPROVED / ONE_TO_ONE; </t>
        </is>
      </c>
      <c r="I752" s="12" t="inlineStr">
        <is>
          <t>New</t>
        </is>
      </c>
      <c r="J752" s="17" t="inlineStr">
        <is>
          <t>08 CROSSWALK</t>
        </is>
      </c>
    </row>
    <row r="753" ht="49" customHeight="1">
      <c r="A753" s="12" t="inlineStr">
        <is>
          <t>R474-v1</t>
        </is>
      </c>
      <c r="B753" s="12" t="inlineStr">
        <is>
          <t>Contractor Programme / SCH-03-114</t>
        </is>
      </c>
      <c r="C753" s="12" t="inlineStr">
        <is>
          <t>WBS Code = 1.3.2</t>
        </is>
      </c>
      <c r="D753" s="12" t="inlineStr">
        <is>
          <t>Proposed by Source assignment; target 1.3.2 Systems - Signalling &amp; Train Control</t>
        </is>
      </c>
      <c r="E753" s="12" t="inlineStr">
        <is>
          <t>None recorded</t>
        </is>
      </c>
      <c r="F753" s="12" t="inlineStr">
        <is>
          <t>No individual professional decision recorded; Source assignment -- not individually reviewed</t>
        </is>
      </c>
      <c r="G753" s="12" t="inlineStr">
        <is>
          <t>Not individually decided</t>
        </is>
      </c>
      <c r="H753" s="12" t="inlineStr">
        <is>
          <t xml:space="preserve">APPROVED / ONE_TO_ONE; </t>
        </is>
      </c>
      <c r="I753" s="12" t="inlineStr">
        <is>
          <t>New</t>
        </is>
      </c>
      <c r="J753" s="17" t="inlineStr">
        <is>
          <t>08 CROSSWALK</t>
        </is>
      </c>
    </row>
    <row r="754" ht="49" customHeight="1">
      <c r="A754" s="12" t="inlineStr">
        <is>
          <t>R477-v1</t>
        </is>
      </c>
      <c r="B754" s="12" t="inlineStr">
        <is>
          <t>Contractor Programme / SCH-03-117</t>
        </is>
      </c>
      <c r="C754" s="12" t="inlineStr">
        <is>
          <t>WBS Code = 1.3.2</t>
        </is>
      </c>
      <c r="D754" s="12" t="inlineStr">
        <is>
          <t>Proposed by Source assignment; target 1.3.2 Systems - Signalling &amp; Train Control</t>
        </is>
      </c>
      <c r="E754" s="12" t="inlineStr">
        <is>
          <t>None recorded</t>
        </is>
      </c>
      <c r="F754" s="12" t="inlineStr">
        <is>
          <t>No individual professional decision recorded; Source assignment -- not individually reviewed</t>
        </is>
      </c>
      <c r="G754" s="12" t="inlineStr">
        <is>
          <t>Not individually decided</t>
        </is>
      </c>
      <c r="H754" s="12" t="inlineStr">
        <is>
          <t xml:space="preserve">APPROVED / ONE_TO_ONE; </t>
        </is>
      </c>
      <c r="I754" s="12" t="inlineStr">
        <is>
          <t>New</t>
        </is>
      </c>
      <c r="J754" s="17" t="inlineStr">
        <is>
          <t>08 CROSSWALK</t>
        </is>
      </c>
    </row>
    <row r="755" ht="49" customHeight="1">
      <c r="A755" s="12" t="inlineStr">
        <is>
          <t>R480-v1</t>
        </is>
      </c>
      <c r="B755" s="12" t="inlineStr">
        <is>
          <t>Contractor Programme / SCH-03-120</t>
        </is>
      </c>
      <c r="C755" s="12" t="inlineStr">
        <is>
          <t>WBS Code = 1.3.2</t>
        </is>
      </c>
      <c r="D755" s="12" t="inlineStr">
        <is>
          <t>Proposed by Source assignment; target 1.3.2 Systems - Signalling &amp; Train Control</t>
        </is>
      </c>
      <c r="E755" s="12" t="inlineStr">
        <is>
          <t>None recorded</t>
        </is>
      </c>
      <c r="F755" s="12" t="inlineStr">
        <is>
          <t>No individual professional decision recorded; Source assignment -- not individually reviewed</t>
        </is>
      </c>
      <c r="G755" s="12" t="inlineStr">
        <is>
          <t>Not individually decided</t>
        </is>
      </c>
      <c r="H755" s="12" t="inlineStr">
        <is>
          <t xml:space="preserve">APPROVED / ONE_TO_ONE; </t>
        </is>
      </c>
      <c r="I755" s="12" t="inlineStr">
        <is>
          <t>New</t>
        </is>
      </c>
      <c r="J755" s="17" t="inlineStr">
        <is>
          <t>08 CROSSWALK</t>
        </is>
      </c>
    </row>
    <row r="756" ht="49" customHeight="1">
      <c r="A756" s="12" t="inlineStr">
        <is>
          <t>R483-v1</t>
        </is>
      </c>
      <c r="B756" s="12" t="inlineStr">
        <is>
          <t>Contractor Programme / SCH-03-123</t>
        </is>
      </c>
      <c r="C756" s="12" t="inlineStr">
        <is>
          <t>WBS Code = 1.3.2</t>
        </is>
      </c>
      <c r="D756" s="12" t="inlineStr">
        <is>
          <t>Proposed by Source assignment; target 1.3.2 Systems - Signalling &amp; Train Control</t>
        </is>
      </c>
      <c r="E756" s="12" t="inlineStr">
        <is>
          <t>None recorded</t>
        </is>
      </c>
      <c r="F756" s="12" t="inlineStr">
        <is>
          <t>No individual professional decision recorded; Source assignment -- not individually reviewed</t>
        </is>
      </c>
      <c r="G756" s="12" t="inlineStr">
        <is>
          <t>Not individually decided</t>
        </is>
      </c>
      <c r="H756" s="12" t="inlineStr">
        <is>
          <t xml:space="preserve">APPROVED / ONE_TO_ONE; </t>
        </is>
      </c>
      <c r="I756" s="12" t="inlineStr">
        <is>
          <t>New</t>
        </is>
      </c>
      <c r="J756" s="17" t="inlineStr">
        <is>
          <t>08 CROSSWALK</t>
        </is>
      </c>
    </row>
    <row r="757" ht="49" customHeight="1">
      <c r="A757" s="12" t="inlineStr">
        <is>
          <t>R486-v1</t>
        </is>
      </c>
      <c r="B757" s="12" t="inlineStr">
        <is>
          <t>Contractor Programme / SCH-03-126</t>
        </is>
      </c>
      <c r="C757" s="12" t="inlineStr">
        <is>
          <t>WBS Code = 1.3.2</t>
        </is>
      </c>
      <c r="D757" s="12" t="inlineStr">
        <is>
          <t>Proposed by Source assignment; target 1.3.2 Systems - Signalling &amp; Train Control</t>
        </is>
      </c>
      <c r="E757" s="12" t="inlineStr">
        <is>
          <t>None recorded</t>
        </is>
      </c>
      <c r="F757" s="12" t="inlineStr">
        <is>
          <t>No individual professional decision recorded; Source assignment -- not individually reviewed</t>
        </is>
      </c>
      <c r="G757" s="12" t="inlineStr">
        <is>
          <t>Not individually decided</t>
        </is>
      </c>
      <c r="H757" s="12" t="inlineStr">
        <is>
          <t xml:space="preserve">APPROVED / ONE_TO_ONE; </t>
        </is>
      </c>
      <c r="I757" s="12" t="inlineStr">
        <is>
          <t>New</t>
        </is>
      </c>
      <c r="J757" s="17" t="inlineStr">
        <is>
          <t>08 CROSSWALK</t>
        </is>
      </c>
    </row>
    <row r="758" ht="49" customHeight="1">
      <c r="A758" s="12" t="inlineStr">
        <is>
          <t>R489-v1</t>
        </is>
      </c>
      <c r="B758" s="12" t="inlineStr">
        <is>
          <t>Contractor Programme / SCH-03-129</t>
        </is>
      </c>
      <c r="C758" s="12" t="inlineStr">
        <is>
          <t>WBS Code = 1.3.2</t>
        </is>
      </c>
      <c r="D758" s="12" t="inlineStr">
        <is>
          <t>Proposed by Source assignment; target 1.3.2 Systems - Signalling &amp; Train Control</t>
        </is>
      </c>
      <c r="E758" s="12" t="inlineStr">
        <is>
          <t>None recorded</t>
        </is>
      </c>
      <c r="F758" s="12" t="inlineStr">
        <is>
          <t>No individual professional decision recorded; Source assignment -- not individually reviewed</t>
        </is>
      </c>
      <c r="G758" s="12" t="inlineStr">
        <is>
          <t>Not individually decided</t>
        </is>
      </c>
      <c r="H758" s="12" t="inlineStr">
        <is>
          <t xml:space="preserve">APPROVED / ONE_TO_ONE; </t>
        </is>
      </c>
      <c r="I758" s="12" t="inlineStr">
        <is>
          <t>New</t>
        </is>
      </c>
      <c r="J758" s="17" t="inlineStr">
        <is>
          <t>08 CROSSWALK</t>
        </is>
      </c>
    </row>
    <row r="759" ht="49" customHeight="1">
      <c r="A759" s="12" t="inlineStr">
        <is>
          <t>R492-v1</t>
        </is>
      </c>
      <c r="B759" s="12" t="inlineStr">
        <is>
          <t>Contractor Programme / SCH-03-132</t>
        </is>
      </c>
      <c r="C759" s="12" t="inlineStr">
        <is>
          <t>WBS Code = 1.3.2</t>
        </is>
      </c>
      <c r="D759" s="12" t="inlineStr">
        <is>
          <t>Proposed by Source assignment; target 1.3.2 Systems - Signalling &amp; Train Control</t>
        </is>
      </c>
      <c r="E759" s="12" t="inlineStr">
        <is>
          <t>None recorded</t>
        </is>
      </c>
      <c r="F759" s="12" t="inlineStr">
        <is>
          <t>No individual professional decision recorded; Source assignment -- not individually reviewed</t>
        </is>
      </c>
      <c r="G759" s="12" t="inlineStr">
        <is>
          <t>Not individually decided</t>
        </is>
      </c>
      <c r="H759" s="12" t="inlineStr">
        <is>
          <t xml:space="preserve">APPROVED / ONE_TO_ONE; </t>
        </is>
      </c>
      <c r="I759" s="12" t="inlineStr">
        <is>
          <t>New</t>
        </is>
      </c>
      <c r="J759" s="17" t="inlineStr">
        <is>
          <t>08 CROSSWALK</t>
        </is>
      </c>
    </row>
    <row r="760" ht="49" customHeight="1">
      <c r="A760" s="12" t="inlineStr">
        <is>
          <t>R495-v1</t>
        </is>
      </c>
      <c r="B760" s="12" t="inlineStr">
        <is>
          <t>Contractor Programme / SCH-03-135</t>
        </is>
      </c>
      <c r="C760" s="12" t="inlineStr">
        <is>
          <t>WBS Code = 1.3.2</t>
        </is>
      </c>
      <c r="D760" s="12" t="inlineStr">
        <is>
          <t>Proposed by Source assignment; target 1.3.2 Systems - Signalling &amp; Train Control</t>
        </is>
      </c>
      <c r="E760" s="12" t="inlineStr">
        <is>
          <t>None recorded</t>
        </is>
      </c>
      <c r="F760" s="12" t="inlineStr">
        <is>
          <t>No individual professional decision recorded; Source assignment -- not individually reviewed</t>
        </is>
      </c>
      <c r="G760" s="12" t="inlineStr">
        <is>
          <t>Not individually decided</t>
        </is>
      </c>
      <c r="H760" s="12" t="inlineStr">
        <is>
          <t xml:space="preserve">APPROVED / ONE_TO_ONE; </t>
        </is>
      </c>
      <c r="I760" s="12" t="inlineStr">
        <is>
          <t>New</t>
        </is>
      </c>
      <c r="J760" s="17" t="inlineStr">
        <is>
          <t>08 CROSSWALK</t>
        </is>
      </c>
    </row>
    <row r="761" ht="49" customHeight="1">
      <c r="A761" s="12" t="inlineStr">
        <is>
          <t>R498-v1</t>
        </is>
      </c>
      <c r="B761" s="12" t="inlineStr">
        <is>
          <t>Contractor Programme / SCH-03-138</t>
        </is>
      </c>
      <c r="C761" s="12" t="inlineStr">
        <is>
          <t>WBS Code = 1.3.2</t>
        </is>
      </c>
      <c r="D761" s="12" t="inlineStr">
        <is>
          <t>Proposed by Source assignment; target 1.3.2 Systems - Signalling &amp; Train Control</t>
        </is>
      </c>
      <c r="E761" s="12" t="inlineStr">
        <is>
          <t>None recorded</t>
        </is>
      </c>
      <c r="F761" s="12" t="inlineStr">
        <is>
          <t>No individual professional decision recorded; Source assignment -- not individually reviewed</t>
        </is>
      </c>
      <c r="G761" s="12" t="inlineStr">
        <is>
          <t>Not individually decided</t>
        </is>
      </c>
      <c r="H761" s="12" t="inlineStr">
        <is>
          <t xml:space="preserve">APPROVED / ONE_TO_ONE; </t>
        </is>
      </c>
      <c r="I761" s="12" t="inlineStr">
        <is>
          <t>New</t>
        </is>
      </c>
      <c r="J761" s="17" t="inlineStr">
        <is>
          <t>08 CROSSWALK</t>
        </is>
      </c>
    </row>
    <row r="762" ht="49" customHeight="1">
      <c r="A762" s="12" t="inlineStr">
        <is>
          <t>R501-v1</t>
        </is>
      </c>
      <c r="B762" s="12" t="inlineStr">
        <is>
          <t>Contractor Programme / SCH-03-141</t>
        </is>
      </c>
      <c r="C762" s="12" t="inlineStr">
        <is>
          <t>WBS Code = 1.3.2</t>
        </is>
      </c>
      <c r="D762" s="12" t="inlineStr">
        <is>
          <t>Proposed by Source assignment; target 1.3.2 Systems - Signalling &amp; Train Control</t>
        </is>
      </c>
      <c r="E762" s="12" t="inlineStr">
        <is>
          <t>None recorded</t>
        </is>
      </c>
      <c r="F762" s="12" t="inlineStr">
        <is>
          <t>No individual professional decision recorded; Source assignment -- not individually reviewed</t>
        </is>
      </c>
      <c r="G762" s="12" t="inlineStr">
        <is>
          <t>Not individually decided</t>
        </is>
      </c>
      <c r="H762" s="12" t="inlineStr">
        <is>
          <t xml:space="preserve">APPROVED / ONE_TO_ONE; </t>
        </is>
      </c>
      <c r="I762" s="12" t="inlineStr">
        <is>
          <t>New</t>
        </is>
      </c>
      <c r="J762" s="17" t="inlineStr">
        <is>
          <t>08 CROSSWALK</t>
        </is>
      </c>
    </row>
    <row r="763" ht="49" customHeight="1">
      <c r="A763" s="12" t="inlineStr">
        <is>
          <t>R504-v1</t>
        </is>
      </c>
      <c r="B763" s="12" t="inlineStr">
        <is>
          <t>Contractor Programme / SCH-03-144</t>
        </is>
      </c>
      <c r="C763" s="12" t="inlineStr">
        <is>
          <t>WBS Code = 1.3.2</t>
        </is>
      </c>
      <c r="D763" s="12" t="inlineStr">
        <is>
          <t>Proposed by Source assignment; target 1.3.2 Systems - Signalling &amp; Train Control</t>
        </is>
      </c>
      <c r="E763" s="12" t="inlineStr">
        <is>
          <t>None recorded</t>
        </is>
      </c>
      <c r="F763" s="12" t="inlineStr">
        <is>
          <t>No individual professional decision recorded; Source assignment -- not individually reviewed</t>
        </is>
      </c>
      <c r="G763" s="12" t="inlineStr">
        <is>
          <t>Not individually decided</t>
        </is>
      </c>
      <c r="H763" s="12" t="inlineStr">
        <is>
          <t xml:space="preserve">APPROVED / ONE_TO_ONE; </t>
        </is>
      </c>
      <c r="I763" s="12" t="inlineStr">
        <is>
          <t>New</t>
        </is>
      </c>
      <c r="J763" s="17" t="inlineStr">
        <is>
          <t>08 CROSSWALK</t>
        </is>
      </c>
    </row>
    <row r="764" ht="49" customHeight="1">
      <c r="A764" s="12" t="inlineStr">
        <is>
          <t>R507-v1</t>
        </is>
      </c>
      <c r="B764" s="12" t="inlineStr">
        <is>
          <t>Contractor Programme / SCH-03-147</t>
        </is>
      </c>
      <c r="C764" s="12" t="inlineStr">
        <is>
          <t>WBS Code = 1.3.2</t>
        </is>
      </c>
      <c r="D764" s="12" t="inlineStr">
        <is>
          <t>Proposed by Source assignment; target 1.3.2 Systems - Signalling &amp; Train Control</t>
        </is>
      </c>
      <c r="E764" s="12" t="inlineStr">
        <is>
          <t>None recorded</t>
        </is>
      </c>
      <c r="F764" s="12" t="inlineStr">
        <is>
          <t>No individual professional decision recorded; Source assignment -- not individually reviewed</t>
        </is>
      </c>
      <c r="G764" s="12" t="inlineStr">
        <is>
          <t>Not individually decided</t>
        </is>
      </c>
      <c r="H764" s="12" t="inlineStr">
        <is>
          <t xml:space="preserve">APPROVED / ONE_TO_ONE; </t>
        </is>
      </c>
      <c r="I764" s="12" t="inlineStr">
        <is>
          <t>New</t>
        </is>
      </c>
      <c r="J764" s="17" t="inlineStr">
        <is>
          <t>08 CROSSWALK</t>
        </is>
      </c>
    </row>
    <row r="765" ht="49" customHeight="1">
      <c r="A765" s="12" t="inlineStr">
        <is>
          <t>R510-v1</t>
        </is>
      </c>
      <c r="B765" s="12" t="inlineStr">
        <is>
          <t>Contractor Programme / SCH-03-150</t>
        </is>
      </c>
      <c r="C765" s="12" t="inlineStr">
        <is>
          <t>WBS Code = 1.3.2</t>
        </is>
      </c>
      <c r="D765" s="12" t="inlineStr">
        <is>
          <t>Proposed by Source assignment; target 1.3.2 Systems - Signalling &amp; Train Control</t>
        </is>
      </c>
      <c r="E765" s="12" t="inlineStr">
        <is>
          <t>None recorded</t>
        </is>
      </c>
      <c r="F765" s="12" t="inlineStr">
        <is>
          <t>No individual professional decision recorded; Source assignment -- not individually reviewed</t>
        </is>
      </c>
      <c r="G765" s="12" t="inlineStr">
        <is>
          <t>Not individually decided</t>
        </is>
      </c>
      <c r="H765" s="12" t="inlineStr">
        <is>
          <t xml:space="preserve">APPROVED / ONE_TO_ONE; </t>
        </is>
      </c>
      <c r="I765" s="12" t="inlineStr">
        <is>
          <t>New</t>
        </is>
      </c>
      <c r="J765" s="17" t="inlineStr">
        <is>
          <t>08 CROSSWALK</t>
        </is>
      </c>
    </row>
    <row r="766" ht="49" customHeight="1">
      <c r="A766" s="12" t="inlineStr">
        <is>
          <t>R513-v1</t>
        </is>
      </c>
      <c r="B766" s="12" t="inlineStr">
        <is>
          <t>Contractor Programme / SCH-03-153</t>
        </is>
      </c>
      <c r="C766" s="12" t="inlineStr">
        <is>
          <t>WBS Code = 1.3.2</t>
        </is>
      </c>
      <c r="D766" s="12" t="inlineStr">
        <is>
          <t>Proposed by Source assignment; target 1.3.2 Systems - Signalling &amp; Train Control</t>
        </is>
      </c>
      <c r="E766" s="12" t="inlineStr">
        <is>
          <t>None recorded</t>
        </is>
      </c>
      <c r="F766" s="12" t="inlineStr">
        <is>
          <t>No individual professional decision recorded; Source assignment -- not individually reviewed</t>
        </is>
      </c>
      <c r="G766" s="12" t="inlineStr">
        <is>
          <t>Not individually decided</t>
        </is>
      </c>
      <c r="H766" s="12" t="inlineStr">
        <is>
          <t xml:space="preserve">APPROVED / ONE_TO_ONE; </t>
        </is>
      </c>
      <c r="I766" s="12" t="inlineStr">
        <is>
          <t>New</t>
        </is>
      </c>
      <c r="J766" s="17" t="inlineStr">
        <is>
          <t>08 CROSSWALK</t>
        </is>
      </c>
    </row>
    <row r="767" ht="49" customHeight="1">
      <c r="A767" s="12" t="inlineStr">
        <is>
          <t>R516-v1</t>
        </is>
      </c>
      <c r="B767" s="12" t="inlineStr">
        <is>
          <t>Contractor Programme / SCH-03-156</t>
        </is>
      </c>
      <c r="C767" s="12" t="inlineStr">
        <is>
          <t>WBS Code = 1.3.2</t>
        </is>
      </c>
      <c r="D767" s="12" t="inlineStr">
        <is>
          <t>Proposed by Source assignment; target 1.3.2 Systems - Signalling &amp; Train Control</t>
        </is>
      </c>
      <c r="E767" s="12" t="inlineStr">
        <is>
          <t>None recorded</t>
        </is>
      </c>
      <c r="F767" s="12" t="inlineStr">
        <is>
          <t>No individual professional decision recorded; Source assignment -- not individually reviewed</t>
        </is>
      </c>
      <c r="G767" s="12" t="inlineStr">
        <is>
          <t>Not individually decided</t>
        </is>
      </c>
      <c r="H767" s="12" t="inlineStr">
        <is>
          <t xml:space="preserve">APPROVED / ONE_TO_ONE; </t>
        </is>
      </c>
      <c r="I767" s="12" t="inlineStr">
        <is>
          <t>New</t>
        </is>
      </c>
      <c r="J767" s="17" t="inlineStr">
        <is>
          <t>08 CROSSWALK</t>
        </is>
      </c>
    </row>
    <row r="768" ht="49" customHeight="1">
      <c r="A768" s="12" t="inlineStr">
        <is>
          <t>R519-v1</t>
        </is>
      </c>
      <c r="B768" s="12" t="inlineStr">
        <is>
          <t>Contractor Programme / SCH-03-159</t>
        </is>
      </c>
      <c r="C768" s="12" t="inlineStr">
        <is>
          <t>WBS Code = 1.3.2</t>
        </is>
      </c>
      <c r="D768" s="12" t="inlineStr">
        <is>
          <t>Proposed by Source assignment; target 1.3.2 Systems - Signalling &amp; Train Control</t>
        </is>
      </c>
      <c r="E768" s="12" t="inlineStr">
        <is>
          <t>None recorded</t>
        </is>
      </c>
      <c r="F768" s="12" t="inlineStr">
        <is>
          <t>No individual professional decision recorded; Source assignment -- not individually reviewed</t>
        </is>
      </c>
      <c r="G768" s="12" t="inlineStr">
        <is>
          <t>Not individually decided</t>
        </is>
      </c>
      <c r="H768" s="12" t="inlineStr">
        <is>
          <t xml:space="preserve">APPROVED / ONE_TO_ONE; </t>
        </is>
      </c>
      <c r="I768" s="12" t="inlineStr">
        <is>
          <t>New</t>
        </is>
      </c>
      <c r="J768" s="17" t="inlineStr">
        <is>
          <t>08 CROSSWALK</t>
        </is>
      </c>
    </row>
    <row r="769" ht="49" customHeight="1">
      <c r="A769" s="12" t="inlineStr">
        <is>
          <t>R522-v1</t>
        </is>
      </c>
      <c r="B769" s="12" t="inlineStr">
        <is>
          <t>Contractor Programme / SCH-03-162</t>
        </is>
      </c>
      <c r="C769" s="12" t="inlineStr">
        <is>
          <t>WBS Code = 1.3.2</t>
        </is>
      </c>
      <c r="D769" s="12" t="inlineStr">
        <is>
          <t>Proposed by Source assignment; target 1.3.2 Systems - Signalling &amp; Train Control</t>
        </is>
      </c>
      <c r="E769" s="12" t="inlineStr">
        <is>
          <t>None recorded</t>
        </is>
      </c>
      <c r="F769" s="12" t="inlineStr">
        <is>
          <t>No individual professional decision recorded; Source assignment -- not individually reviewed</t>
        </is>
      </c>
      <c r="G769" s="12" t="inlineStr">
        <is>
          <t>Not individually decided</t>
        </is>
      </c>
      <c r="H769" s="12" t="inlineStr">
        <is>
          <t xml:space="preserve">APPROVED / ONE_TO_ONE; </t>
        </is>
      </c>
      <c r="I769" s="12" t="inlineStr">
        <is>
          <t>New</t>
        </is>
      </c>
      <c r="J769" s="17" t="inlineStr">
        <is>
          <t>08 CROSSWALK</t>
        </is>
      </c>
    </row>
    <row r="770" ht="49" customHeight="1">
      <c r="A770" s="12" t="inlineStr">
        <is>
          <t>R525-v1</t>
        </is>
      </c>
      <c r="B770" s="12" t="inlineStr">
        <is>
          <t>Contractor Programme / SCH-03-165</t>
        </is>
      </c>
      <c r="C770" s="12" t="inlineStr">
        <is>
          <t>WBS Code = 1.3.2</t>
        </is>
      </c>
      <c r="D770" s="12" t="inlineStr">
        <is>
          <t>Proposed by Source assignment; target 1.3.2 Systems - Signalling &amp; Train Control</t>
        </is>
      </c>
      <c r="E770" s="12" t="inlineStr">
        <is>
          <t>None recorded</t>
        </is>
      </c>
      <c r="F770" s="12" t="inlineStr">
        <is>
          <t>No individual professional decision recorded; Source assignment -- not individually reviewed</t>
        </is>
      </c>
      <c r="G770" s="12" t="inlineStr">
        <is>
          <t>Not individually decided</t>
        </is>
      </c>
      <c r="H770" s="12" t="inlineStr">
        <is>
          <t xml:space="preserve">APPROVED / ONE_TO_ONE; </t>
        </is>
      </c>
      <c r="I770" s="12" t="inlineStr">
        <is>
          <t>New</t>
        </is>
      </c>
      <c r="J770" s="17" t="inlineStr">
        <is>
          <t>08 CROSSWALK</t>
        </is>
      </c>
    </row>
    <row r="771" ht="49" customHeight="1">
      <c r="A771" s="12" t="inlineStr">
        <is>
          <t>R528-v1</t>
        </is>
      </c>
      <c r="B771" s="12" t="inlineStr">
        <is>
          <t>Contractor Programme / SCH-03-168</t>
        </is>
      </c>
      <c r="C771" s="12" t="inlineStr">
        <is>
          <t>WBS Code = 1.3.2</t>
        </is>
      </c>
      <c r="D771" s="12" t="inlineStr">
        <is>
          <t>Proposed by Source assignment; target 1.3.2 Systems - Signalling &amp; Train Control</t>
        </is>
      </c>
      <c r="E771" s="12" t="inlineStr">
        <is>
          <t>None recorded</t>
        </is>
      </c>
      <c r="F771" s="12" t="inlineStr">
        <is>
          <t>No individual professional decision recorded; Source assignment -- not individually reviewed</t>
        </is>
      </c>
      <c r="G771" s="12" t="inlineStr">
        <is>
          <t>Not individually decided</t>
        </is>
      </c>
      <c r="H771" s="12" t="inlineStr">
        <is>
          <t xml:space="preserve">APPROVED / ONE_TO_ONE; </t>
        </is>
      </c>
      <c r="I771" s="12" t="inlineStr">
        <is>
          <t>New</t>
        </is>
      </c>
      <c r="J771" s="17" t="inlineStr">
        <is>
          <t>08 CROSSWALK</t>
        </is>
      </c>
    </row>
    <row r="772" ht="49" customHeight="1">
      <c r="A772" s="12" t="inlineStr">
        <is>
          <t>R531-v1</t>
        </is>
      </c>
      <c r="B772" s="12" t="inlineStr">
        <is>
          <t>Contractor Programme / SCH-03-171</t>
        </is>
      </c>
      <c r="C772" s="12" t="inlineStr">
        <is>
          <t>WBS Code = 1.3.2</t>
        </is>
      </c>
      <c r="D772" s="12" t="inlineStr">
        <is>
          <t>Proposed by Source assignment; target 1.3.2 Systems - Signalling &amp; Train Control</t>
        </is>
      </c>
      <c r="E772" s="12" t="inlineStr">
        <is>
          <t>None recorded</t>
        </is>
      </c>
      <c r="F772" s="12" t="inlineStr">
        <is>
          <t>No individual professional decision recorded; Source assignment -- not individually reviewed</t>
        </is>
      </c>
      <c r="G772" s="12" t="inlineStr">
        <is>
          <t>Not individually decided</t>
        </is>
      </c>
      <c r="H772" s="12" t="inlineStr">
        <is>
          <t xml:space="preserve">APPROVED / ONE_TO_ONE; </t>
        </is>
      </c>
      <c r="I772" s="12" t="inlineStr">
        <is>
          <t>New</t>
        </is>
      </c>
      <c r="J772" s="17" t="inlineStr">
        <is>
          <t>08 CROSSWALK</t>
        </is>
      </c>
    </row>
    <row r="773" ht="49" customHeight="1">
      <c r="A773" s="12" t="inlineStr">
        <is>
          <t>R534-v1</t>
        </is>
      </c>
      <c r="B773" s="12" t="inlineStr">
        <is>
          <t>Contractor Programme / SCH-03-174</t>
        </is>
      </c>
      <c r="C773" s="12" t="inlineStr">
        <is>
          <t>WBS Code = 1.3.2</t>
        </is>
      </c>
      <c r="D773" s="12" t="inlineStr">
        <is>
          <t>Proposed by Source assignment; target 1.3.2 Systems - Signalling &amp; Train Control</t>
        </is>
      </c>
      <c r="E773" s="12" t="inlineStr">
        <is>
          <t>None recorded</t>
        </is>
      </c>
      <c r="F773" s="12" t="inlineStr">
        <is>
          <t>No individual professional decision recorded; Source assignment -- not individually reviewed</t>
        </is>
      </c>
      <c r="G773" s="12" t="inlineStr">
        <is>
          <t>Not individually decided</t>
        </is>
      </c>
      <c r="H773" s="12" t="inlineStr">
        <is>
          <t xml:space="preserve">APPROVED / ONE_TO_ONE; </t>
        </is>
      </c>
      <c r="I773" s="12" t="inlineStr">
        <is>
          <t>New</t>
        </is>
      </c>
      <c r="J773" s="17" t="inlineStr">
        <is>
          <t>08 CROSSWALK</t>
        </is>
      </c>
    </row>
    <row r="774" ht="49" customHeight="1">
      <c r="A774" s="12" t="inlineStr">
        <is>
          <t>R537-v1</t>
        </is>
      </c>
      <c r="B774" s="12" t="inlineStr">
        <is>
          <t>Contractor Programme / SCH-03-177</t>
        </is>
      </c>
      <c r="C774" s="12" t="inlineStr">
        <is>
          <t>WBS Code = 1.3.2</t>
        </is>
      </c>
      <c r="D774" s="12" t="inlineStr">
        <is>
          <t>Proposed by Source assignment; target 1.3.2 Systems - Signalling &amp; Train Control</t>
        </is>
      </c>
      <c r="E774" s="12" t="inlineStr">
        <is>
          <t>None recorded</t>
        </is>
      </c>
      <c r="F774" s="12" t="inlineStr">
        <is>
          <t>No individual professional decision recorded; Source assignment -- not individually reviewed</t>
        </is>
      </c>
      <c r="G774" s="12" t="inlineStr">
        <is>
          <t>Not individually decided</t>
        </is>
      </c>
      <c r="H774" s="12" t="inlineStr">
        <is>
          <t xml:space="preserve">APPROVED / ONE_TO_ONE; </t>
        </is>
      </c>
      <c r="I774" s="12" t="inlineStr">
        <is>
          <t>New</t>
        </is>
      </c>
      <c r="J774" s="17" t="inlineStr">
        <is>
          <t>08 CROSSWALK</t>
        </is>
      </c>
    </row>
    <row r="775" ht="49" customHeight="1">
      <c r="A775" s="12" t="inlineStr">
        <is>
          <t>R540-v1</t>
        </is>
      </c>
      <c r="B775" s="12" t="inlineStr">
        <is>
          <t>Contractor Programme / SCH-03-180</t>
        </is>
      </c>
      <c r="C775" s="12" t="inlineStr">
        <is>
          <t>WBS Code = 1.3.2</t>
        </is>
      </c>
      <c r="D775" s="12" t="inlineStr">
        <is>
          <t>Proposed by Source assignment; target 1.3.2 Systems - Signalling &amp; Train Control</t>
        </is>
      </c>
      <c r="E775" s="12" t="inlineStr">
        <is>
          <t>None recorded</t>
        </is>
      </c>
      <c r="F775" s="12" t="inlineStr">
        <is>
          <t>No individual professional decision recorded; Source assignment -- not individually reviewed</t>
        </is>
      </c>
      <c r="G775" s="12" t="inlineStr">
        <is>
          <t>Not individually decided</t>
        </is>
      </c>
      <c r="H775" s="12" t="inlineStr">
        <is>
          <t xml:space="preserve">APPROVED / ONE_TO_ONE; </t>
        </is>
      </c>
      <c r="I775" s="12" t="inlineStr">
        <is>
          <t>New</t>
        </is>
      </c>
      <c r="J775" s="17" t="inlineStr">
        <is>
          <t>08 CROSSWALK</t>
        </is>
      </c>
    </row>
    <row r="776" ht="49" customHeight="1">
      <c r="A776" s="12" t="inlineStr">
        <is>
          <t>R1244-v1</t>
        </is>
      </c>
      <c r="B776" s="12" t="inlineStr">
        <is>
          <t>Cost &amp; Forecast Control Accounts / CST-03-002</t>
        </is>
      </c>
      <c r="C776" s="12" t="inlineStr">
        <is>
          <t>Cost Account = CA-3002; WBS Code = 1.3.2</t>
        </is>
      </c>
      <c r="D776" s="12" t="inlineStr">
        <is>
          <t>Proposed by Source assignment; target 1.3.2 Systems - Signalling &amp; Train Control</t>
        </is>
      </c>
      <c r="E776" s="12" t="inlineStr">
        <is>
          <t>None recorded</t>
        </is>
      </c>
      <c r="F776" s="12" t="inlineStr">
        <is>
          <t>No individual professional decision recorded; Source assignment -- not individually reviewed</t>
        </is>
      </c>
      <c r="G776" s="12" t="inlineStr">
        <is>
          <t>Not individually decided</t>
        </is>
      </c>
      <c r="H776" s="12" t="inlineStr">
        <is>
          <t xml:space="preserve">APPROVED / ONE_TO_ONE; </t>
        </is>
      </c>
      <c r="I776" s="12" t="inlineStr">
        <is>
          <t>New</t>
        </is>
      </c>
      <c r="J776" s="17" t="inlineStr">
        <is>
          <t>08 CROSSWALK</t>
        </is>
      </c>
    </row>
    <row r="777" ht="49" customHeight="1">
      <c r="A777" s="12" t="inlineStr">
        <is>
          <t>R1248-v1</t>
        </is>
      </c>
      <c r="B777" s="12" t="inlineStr">
        <is>
          <t>Cost &amp; Forecast Control Accounts / CST-03-006</t>
        </is>
      </c>
      <c r="C777" s="12" t="inlineStr">
        <is>
          <t>Cost Account = CA-3006; WBS Code = 1.3.2</t>
        </is>
      </c>
      <c r="D777" s="12" t="inlineStr">
        <is>
          <t>Proposed by Source assignment; target 1.3.2 Systems - Signalling &amp; Train Control</t>
        </is>
      </c>
      <c r="E777" s="12" t="inlineStr">
        <is>
          <t>None recorded</t>
        </is>
      </c>
      <c r="F777" s="12" t="inlineStr">
        <is>
          <t>No individual professional decision recorded; Source assignment -- not individually reviewed</t>
        </is>
      </c>
      <c r="G777" s="12" t="inlineStr">
        <is>
          <t>Not individually decided</t>
        </is>
      </c>
      <c r="H777" s="12" t="inlineStr">
        <is>
          <t xml:space="preserve">APPROVED / ONE_TO_ONE; </t>
        </is>
      </c>
      <c r="I777" s="12" t="inlineStr">
        <is>
          <t>New</t>
        </is>
      </c>
      <c r="J777" s="17" t="inlineStr">
        <is>
          <t>08 CROSSWALK</t>
        </is>
      </c>
    </row>
    <row r="778" ht="49" customHeight="1">
      <c r="A778" s="12" t="inlineStr">
        <is>
          <t>R1250-v1</t>
        </is>
      </c>
      <c r="B778" s="12" t="inlineStr">
        <is>
          <t>Cost &amp; Forecast Control Accounts / CST-03-008</t>
        </is>
      </c>
      <c r="C778" s="12" t="inlineStr">
        <is>
          <t>Cost Account = CA-3008; WBS Code = 1.3.2</t>
        </is>
      </c>
      <c r="D778" s="12" t="inlineStr">
        <is>
          <t>Proposed by Source assignment; target 1.3.2 Systems - Signalling &amp; Train Control</t>
        </is>
      </c>
      <c r="E778" s="12" t="inlineStr">
        <is>
          <t>None recorded</t>
        </is>
      </c>
      <c r="F778" s="12" t="inlineStr">
        <is>
          <t>No individual professional decision recorded; Source assignment -- not individually reviewed</t>
        </is>
      </c>
      <c r="G778" s="12" t="inlineStr">
        <is>
          <t>Not individually decided</t>
        </is>
      </c>
      <c r="H778" s="12" t="inlineStr">
        <is>
          <t xml:space="preserve">APPROVED / ONE_TO_ONE; </t>
        </is>
      </c>
      <c r="I778" s="12" t="inlineStr">
        <is>
          <t>New</t>
        </is>
      </c>
      <c r="J778" s="17" t="inlineStr">
        <is>
          <t>08 CROSSWALK</t>
        </is>
      </c>
    </row>
    <row r="779" ht="49" customHeight="1">
      <c r="A779" s="12" t="inlineStr">
        <is>
          <t>R1252-v1</t>
        </is>
      </c>
      <c r="B779" s="12" t="inlineStr">
        <is>
          <t>Cost &amp; Forecast Control Accounts / CST-03-010</t>
        </is>
      </c>
      <c r="C779" s="12" t="inlineStr">
        <is>
          <t>Cost Account = CA-3010; WBS Code = 1.3.2</t>
        </is>
      </c>
      <c r="D779" s="12" t="inlineStr">
        <is>
          <t>Proposed by Source assignment; target 1.3.2 Systems - Signalling &amp; Train Control</t>
        </is>
      </c>
      <c r="E779" s="12" t="inlineStr">
        <is>
          <t>None recorded</t>
        </is>
      </c>
      <c r="F779" s="12" t="inlineStr">
        <is>
          <t>No individual professional decision recorded; Source assignment -- not individually reviewed</t>
        </is>
      </c>
      <c r="G779" s="12" t="inlineStr">
        <is>
          <t>Not individually decided</t>
        </is>
      </c>
      <c r="H779" s="12" t="inlineStr">
        <is>
          <t xml:space="preserve">APPROVED / ONE_TO_ONE; </t>
        </is>
      </c>
      <c r="I779" s="12" t="inlineStr">
        <is>
          <t>New</t>
        </is>
      </c>
      <c r="J779" s="17" t="inlineStr">
        <is>
          <t>08 CROSSWALK</t>
        </is>
      </c>
    </row>
    <row r="780" ht="49" customHeight="1">
      <c r="A780" s="12" t="inlineStr">
        <is>
          <t>R1254-v1</t>
        </is>
      </c>
      <c r="B780" s="12" t="inlineStr">
        <is>
          <t>Cost &amp; Forecast Control Accounts / CST-03-012</t>
        </is>
      </c>
      <c r="C780" s="12" t="inlineStr">
        <is>
          <t>Cost Account = CA-3012; WBS Code = 1.3.2</t>
        </is>
      </c>
      <c r="D780" s="12" t="inlineStr">
        <is>
          <t>Proposed by Source assignment; target 1.3.2 Systems - Signalling &amp; Train Control</t>
        </is>
      </c>
      <c r="E780" s="12" t="inlineStr">
        <is>
          <t>None recorded</t>
        </is>
      </c>
      <c r="F780" s="12" t="inlineStr">
        <is>
          <t>No individual professional decision recorded; Source assignment -- not individually reviewed</t>
        </is>
      </c>
      <c r="G780" s="12" t="inlineStr">
        <is>
          <t>Not individually decided</t>
        </is>
      </c>
      <c r="H780" s="12" t="inlineStr">
        <is>
          <t xml:space="preserve">APPROVED / ONE_TO_ONE; </t>
        </is>
      </c>
      <c r="I780" s="12" t="inlineStr">
        <is>
          <t>New</t>
        </is>
      </c>
      <c r="J780" s="17" t="inlineStr">
        <is>
          <t>08 CROSSWALK</t>
        </is>
      </c>
    </row>
    <row r="781" ht="49" customHeight="1">
      <c r="A781" s="12" t="inlineStr">
        <is>
          <t>R1256-v1</t>
        </is>
      </c>
      <c r="B781" s="12" t="inlineStr">
        <is>
          <t>Cost &amp; Forecast Control Accounts / CST-03-014</t>
        </is>
      </c>
      <c r="C781" s="12" t="inlineStr">
        <is>
          <t>Cost Account = CA-3014; WBS Code = 1.3.2</t>
        </is>
      </c>
      <c r="D781" s="12" t="inlineStr">
        <is>
          <t>Proposed by Source assignment; target 1.3.2 Systems - Signalling &amp; Train Control</t>
        </is>
      </c>
      <c r="E781" s="12" t="inlineStr">
        <is>
          <t>None recorded</t>
        </is>
      </c>
      <c r="F781" s="12" t="inlineStr">
        <is>
          <t>No individual professional decision recorded; Source assignment -- not individually reviewed</t>
        </is>
      </c>
      <c r="G781" s="12" t="inlineStr">
        <is>
          <t>Not individually decided</t>
        </is>
      </c>
      <c r="H781" s="12" t="inlineStr">
        <is>
          <t xml:space="preserve">APPROVED / ONE_TO_ONE; </t>
        </is>
      </c>
      <c r="I781" s="12" t="inlineStr">
        <is>
          <t>New</t>
        </is>
      </c>
      <c r="J781" s="17" t="inlineStr">
        <is>
          <t>08 CROSSWALK</t>
        </is>
      </c>
    </row>
    <row r="782" ht="49" customHeight="1">
      <c r="A782" s="12" t="inlineStr">
        <is>
          <t>R1258-v1</t>
        </is>
      </c>
      <c r="B782" s="12" t="inlineStr">
        <is>
          <t>Cost &amp; Forecast Control Accounts / CST-03-016</t>
        </is>
      </c>
      <c r="C782" s="12" t="inlineStr">
        <is>
          <t>Cost Account = CA-3016; WBS Code = 1.3.2</t>
        </is>
      </c>
      <c r="D782" s="12" t="inlineStr">
        <is>
          <t>Proposed by Source assignment; target 1.3.2 Systems - Signalling &amp; Train Control</t>
        </is>
      </c>
      <c r="E782" s="12" t="inlineStr">
        <is>
          <t>None recorded</t>
        </is>
      </c>
      <c r="F782" s="12" t="inlineStr">
        <is>
          <t>No individual professional decision recorded; Source assignment -- not individually reviewed</t>
        </is>
      </c>
      <c r="G782" s="12" t="inlineStr">
        <is>
          <t>Not individually decided</t>
        </is>
      </c>
      <c r="H782" s="12" t="inlineStr">
        <is>
          <t xml:space="preserve">APPROVED / ONE_TO_ONE; </t>
        </is>
      </c>
      <c r="I782" s="12" t="inlineStr">
        <is>
          <t>New</t>
        </is>
      </c>
      <c r="J782" s="17" t="inlineStr">
        <is>
          <t>08 CROSSWALK</t>
        </is>
      </c>
    </row>
    <row r="783" ht="49" customHeight="1">
      <c r="A783" s="12" t="inlineStr">
        <is>
          <t>R1260-v1</t>
        </is>
      </c>
      <c r="B783" s="12" t="inlineStr">
        <is>
          <t>Cost &amp; Forecast Control Accounts / CST-03-018</t>
        </is>
      </c>
      <c r="C783" s="12" t="inlineStr">
        <is>
          <t>Cost Account = CA-3018; WBS Code = 1.3.2</t>
        </is>
      </c>
      <c r="D783" s="12" t="inlineStr">
        <is>
          <t>Proposed by Source assignment; target 1.3.2 Systems - Signalling &amp; Train Control</t>
        </is>
      </c>
      <c r="E783" s="12" t="inlineStr">
        <is>
          <t>None recorded</t>
        </is>
      </c>
      <c r="F783" s="12" t="inlineStr">
        <is>
          <t>No individual professional decision recorded; Source assignment -- not individually reviewed</t>
        </is>
      </c>
      <c r="G783" s="12" t="inlineStr">
        <is>
          <t>Not individually decided</t>
        </is>
      </c>
      <c r="H783" s="12" t="inlineStr">
        <is>
          <t xml:space="preserve">APPROVED / ONE_TO_ONE; </t>
        </is>
      </c>
      <c r="I783" s="12" t="inlineStr">
        <is>
          <t>New</t>
        </is>
      </c>
      <c r="J783" s="17" t="inlineStr">
        <is>
          <t>08 CROSSWALK</t>
        </is>
      </c>
    </row>
    <row r="784" ht="49" customHeight="1">
      <c r="A784" s="12" t="inlineStr">
        <is>
          <t>R1262-v1</t>
        </is>
      </c>
      <c r="B784" s="12" t="inlineStr">
        <is>
          <t>Cost &amp; Forecast Control Accounts / CST-03-020</t>
        </is>
      </c>
      <c r="C784" s="12" t="inlineStr">
        <is>
          <t>Cost Account = CA-3020; WBS Code = 1.3.2</t>
        </is>
      </c>
      <c r="D784" s="12" t="inlineStr">
        <is>
          <t>Proposed by Source assignment; target 1.3.2 Systems - Signalling &amp; Train Control</t>
        </is>
      </c>
      <c r="E784" s="12" t="inlineStr">
        <is>
          <t>None recorded</t>
        </is>
      </c>
      <c r="F784" s="12" t="inlineStr">
        <is>
          <t>No individual professional decision recorded; Source assignment -- not individually reviewed</t>
        </is>
      </c>
      <c r="G784" s="12" t="inlineStr">
        <is>
          <t>Not individually decided</t>
        </is>
      </c>
      <c r="H784" s="12" t="inlineStr">
        <is>
          <t xml:space="preserve">APPROVED / ONE_TO_ONE; </t>
        </is>
      </c>
      <c r="I784" s="12" t="inlineStr">
        <is>
          <t>New</t>
        </is>
      </c>
      <c r="J784" s="17" t="inlineStr">
        <is>
          <t>08 CROSSWALK</t>
        </is>
      </c>
    </row>
    <row r="785" ht="49" customHeight="1">
      <c r="A785" s="12" t="inlineStr">
        <is>
          <t>R1264-v1</t>
        </is>
      </c>
      <c r="B785" s="12" t="inlineStr">
        <is>
          <t>Cost &amp; Forecast Control Accounts / CST-03-022</t>
        </is>
      </c>
      <c r="C785" s="12" t="inlineStr">
        <is>
          <t>Cost Account = CA-3022; WBS Code = 1.3.2</t>
        </is>
      </c>
      <c r="D785" s="12" t="inlineStr">
        <is>
          <t>Proposed by Source assignment; target 1.3.2 Systems - Signalling &amp; Train Control</t>
        </is>
      </c>
      <c r="E785" s="12" t="inlineStr">
        <is>
          <t>None recorded</t>
        </is>
      </c>
      <c r="F785" s="12" t="inlineStr">
        <is>
          <t>No individual professional decision recorded; Source assignment -- not individually reviewed</t>
        </is>
      </c>
      <c r="G785" s="12" t="inlineStr">
        <is>
          <t>Not individually decided</t>
        </is>
      </c>
      <c r="H785" s="12" t="inlineStr">
        <is>
          <t xml:space="preserve">APPROVED / ONE_TO_ONE; </t>
        </is>
      </c>
      <c r="I785" s="12" t="inlineStr">
        <is>
          <t>New</t>
        </is>
      </c>
      <c r="J785" s="17" t="inlineStr">
        <is>
          <t>08 CROSSWALK</t>
        </is>
      </c>
    </row>
    <row r="786" ht="49" customHeight="1">
      <c r="A786" s="12" t="inlineStr">
        <is>
          <t>R1266-v1</t>
        </is>
      </c>
      <c r="B786" s="12" t="inlineStr">
        <is>
          <t>Cost &amp; Forecast Control Accounts / CST-03-024</t>
        </is>
      </c>
      <c r="C786" s="12" t="inlineStr">
        <is>
          <t>Cost Account = CA-3024; WBS Code = 1.3.2</t>
        </is>
      </c>
      <c r="D786" s="12" t="inlineStr">
        <is>
          <t>Proposed by Source assignment; target 1.3.2 Systems - Signalling &amp; Train Control</t>
        </is>
      </c>
      <c r="E786" s="12" t="inlineStr">
        <is>
          <t>None recorded</t>
        </is>
      </c>
      <c r="F786" s="12" t="inlineStr">
        <is>
          <t>No individual professional decision recorded; Source assignment -- not individually reviewed</t>
        </is>
      </c>
      <c r="G786" s="12" t="inlineStr">
        <is>
          <t>Not individually decided</t>
        </is>
      </c>
      <c r="H786" s="12" t="inlineStr">
        <is>
          <t xml:space="preserve">APPROVED / ONE_TO_ONE; </t>
        </is>
      </c>
      <c r="I786" s="12" t="inlineStr">
        <is>
          <t>New</t>
        </is>
      </c>
      <c r="J786" s="17" t="inlineStr">
        <is>
          <t>08 CROSSWALK</t>
        </is>
      </c>
    </row>
    <row r="787" ht="49" customHeight="1">
      <c r="A787" s="12" t="inlineStr">
        <is>
          <t>R1268-v1</t>
        </is>
      </c>
      <c r="B787" s="12" t="inlineStr">
        <is>
          <t>Cost &amp; Forecast Control Accounts / CST-03-026</t>
        </is>
      </c>
      <c r="C787" s="12" t="inlineStr">
        <is>
          <t>Cost Account = CA-3026; WBS Code = 1.3.2</t>
        </is>
      </c>
      <c r="D787" s="12" t="inlineStr">
        <is>
          <t>Proposed by Source assignment; target 1.3.2 Systems - Signalling &amp; Train Control</t>
        </is>
      </c>
      <c r="E787" s="12" t="inlineStr">
        <is>
          <t>None recorded</t>
        </is>
      </c>
      <c r="F787" s="12" t="inlineStr">
        <is>
          <t>No individual professional decision recorded; Source assignment -- not individually reviewed</t>
        </is>
      </c>
      <c r="G787" s="12" t="inlineStr">
        <is>
          <t>Not individually decided</t>
        </is>
      </c>
      <c r="H787" s="12" t="inlineStr">
        <is>
          <t xml:space="preserve">APPROVED / ONE_TO_ONE; </t>
        </is>
      </c>
      <c r="I787" s="12" t="inlineStr">
        <is>
          <t>New</t>
        </is>
      </c>
      <c r="J787" s="17" t="inlineStr">
        <is>
          <t>08 CROSSWALK</t>
        </is>
      </c>
    </row>
    <row r="788" ht="49" customHeight="1">
      <c r="A788" s="12" t="inlineStr">
        <is>
          <t>R1270-v1</t>
        </is>
      </c>
      <c r="B788" s="12" t="inlineStr">
        <is>
          <t>Cost &amp; Forecast Control Accounts / CST-03-028</t>
        </is>
      </c>
      <c r="C788" s="12" t="inlineStr">
        <is>
          <t>Cost Account = CA-3028; WBS Code = 1.3.2</t>
        </is>
      </c>
      <c r="D788" s="12" t="inlineStr">
        <is>
          <t>Proposed by Source assignment; target 1.3.2 Systems - Signalling &amp; Train Control</t>
        </is>
      </c>
      <c r="E788" s="12" t="inlineStr">
        <is>
          <t>None recorded</t>
        </is>
      </c>
      <c r="F788" s="12" t="inlineStr">
        <is>
          <t>No individual professional decision recorded; Source assignment -- not individually reviewed</t>
        </is>
      </c>
      <c r="G788" s="12" t="inlineStr">
        <is>
          <t>Not individually decided</t>
        </is>
      </c>
      <c r="H788" s="12" t="inlineStr">
        <is>
          <t xml:space="preserve">APPROVED / ONE_TO_ONE; </t>
        </is>
      </c>
      <c r="I788" s="12" t="inlineStr">
        <is>
          <t>New</t>
        </is>
      </c>
      <c r="J788" s="17" t="inlineStr">
        <is>
          <t>08 CROSSWALK</t>
        </is>
      </c>
    </row>
    <row r="789" ht="49" customHeight="1">
      <c r="A789" s="12" t="inlineStr">
        <is>
          <t>R1272-v1</t>
        </is>
      </c>
      <c r="B789" s="12" t="inlineStr">
        <is>
          <t>Cost &amp; Forecast Control Accounts / CST-03-030</t>
        </is>
      </c>
      <c r="C789" s="12" t="inlineStr">
        <is>
          <t>Cost Account = CA-3030; WBS Code = 1.3.2</t>
        </is>
      </c>
      <c r="D789" s="12" t="inlineStr">
        <is>
          <t>Proposed by Source assignment; target 1.3.2 Systems - Signalling &amp; Train Control</t>
        </is>
      </c>
      <c r="E789" s="12" t="inlineStr">
        <is>
          <t>None recorded</t>
        </is>
      </c>
      <c r="F789" s="12" t="inlineStr">
        <is>
          <t>No individual professional decision recorded; Source assignment -- not individually reviewed</t>
        </is>
      </c>
      <c r="G789" s="12" t="inlineStr">
        <is>
          <t>Not individually decided</t>
        </is>
      </c>
      <c r="H789" s="12" t="inlineStr">
        <is>
          <t xml:space="preserve">APPROVED / ONE_TO_ONE; </t>
        </is>
      </c>
      <c r="I789" s="12" t="inlineStr">
        <is>
          <t>New</t>
        </is>
      </c>
      <c r="J789" s="17" t="inlineStr">
        <is>
          <t>08 CROSSWALK</t>
        </is>
      </c>
    </row>
    <row r="790" ht="49" customHeight="1">
      <c r="A790" s="12" t="inlineStr">
        <is>
          <t>R1274-v1</t>
        </is>
      </c>
      <c r="B790" s="12" t="inlineStr">
        <is>
          <t>Cost &amp; Forecast Control Accounts / CST-03-032</t>
        </is>
      </c>
      <c r="C790" s="12" t="inlineStr">
        <is>
          <t>Cost Account = CA-3032; WBS Code = 1.3.2</t>
        </is>
      </c>
      <c r="D790" s="12" t="inlineStr">
        <is>
          <t>Proposed by Source assignment; target 1.3.2 Systems - Signalling &amp; Train Control</t>
        </is>
      </c>
      <c r="E790" s="12" t="inlineStr">
        <is>
          <t>None recorded</t>
        </is>
      </c>
      <c r="F790" s="12" t="inlineStr">
        <is>
          <t>No individual professional decision recorded; Source assignment -- not individually reviewed</t>
        </is>
      </c>
      <c r="G790" s="12" t="inlineStr">
        <is>
          <t>Not individually decided</t>
        </is>
      </c>
      <c r="H790" s="12" t="inlineStr">
        <is>
          <t xml:space="preserve">APPROVED / ONE_TO_ONE; </t>
        </is>
      </c>
      <c r="I790" s="12" t="inlineStr">
        <is>
          <t>New</t>
        </is>
      </c>
      <c r="J790" s="17" t="inlineStr">
        <is>
          <t>08 CROSSWALK</t>
        </is>
      </c>
    </row>
    <row r="791" ht="49" customHeight="1">
      <c r="A791" s="12" t="inlineStr">
        <is>
          <t>R1276-v1</t>
        </is>
      </c>
      <c r="B791" s="12" t="inlineStr">
        <is>
          <t>Cost &amp; Forecast Control Accounts / CST-03-034</t>
        </is>
      </c>
      <c r="C791" s="12" t="inlineStr">
        <is>
          <t>Cost Account = CA-3034; WBS Code = 1.3.2</t>
        </is>
      </c>
      <c r="D791" s="12" t="inlineStr">
        <is>
          <t>Proposed by Source assignment; target 1.3.2 Systems - Signalling &amp; Train Control</t>
        </is>
      </c>
      <c r="E791" s="12" t="inlineStr">
        <is>
          <t>None recorded</t>
        </is>
      </c>
      <c r="F791" s="12" t="inlineStr">
        <is>
          <t>No individual professional decision recorded; Source assignment -- not individually reviewed</t>
        </is>
      </c>
      <c r="G791" s="12" t="inlineStr">
        <is>
          <t>Not individually decided</t>
        </is>
      </c>
      <c r="H791" s="12" t="inlineStr">
        <is>
          <t xml:space="preserve">APPROVED / ONE_TO_ONE; </t>
        </is>
      </c>
      <c r="I791" s="12" t="inlineStr">
        <is>
          <t>New</t>
        </is>
      </c>
      <c r="J791" s="17" t="inlineStr">
        <is>
          <t>08 CROSSWALK</t>
        </is>
      </c>
    </row>
    <row r="792" ht="49" customHeight="1">
      <c r="A792" s="12" t="inlineStr">
        <is>
          <t>R1278-v1</t>
        </is>
      </c>
      <c r="B792" s="12" t="inlineStr">
        <is>
          <t>Cost &amp; Forecast Control Accounts / CST-03-036</t>
        </is>
      </c>
      <c r="C792" s="12" t="inlineStr">
        <is>
          <t>Cost Account = CA-3036; WBS Code = 1.3.2</t>
        </is>
      </c>
      <c r="D792" s="12" t="inlineStr">
        <is>
          <t>Proposed by Source assignment; target 1.3.2 Systems - Signalling &amp; Train Control</t>
        </is>
      </c>
      <c r="E792" s="12" t="inlineStr">
        <is>
          <t>None recorded</t>
        </is>
      </c>
      <c r="F792" s="12" t="inlineStr">
        <is>
          <t>No individual professional decision recorded; Source assignment -- not individually reviewed</t>
        </is>
      </c>
      <c r="G792" s="12" t="inlineStr">
        <is>
          <t>Not individually decided</t>
        </is>
      </c>
      <c r="H792" s="12" t="inlineStr">
        <is>
          <t xml:space="preserve">APPROVED / ONE_TO_ONE; </t>
        </is>
      </c>
      <c r="I792" s="12" t="inlineStr">
        <is>
          <t>New</t>
        </is>
      </c>
      <c r="J792" s="17" t="inlineStr">
        <is>
          <t>08 CROSSWALK</t>
        </is>
      </c>
    </row>
    <row r="793" ht="49" customHeight="1">
      <c r="A793" s="12" t="inlineStr">
        <is>
          <t>R1280-v1</t>
        </is>
      </c>
      <c r="B793" s="12" t="inlineStr">
        <is>
          <t>Cost &amp; Forecast Control Accounts / CST-03-038</t>
        </is>
      </c>
      <c r="C793" s="12" t="inlineStr">
        <is>
          <t>Cost Account = CA-3038; WBS Code = 1.3.2</t>
        </is>
      </c>
      <c r="D793" s="12" t="inlineStr">
        <is>
          <t>Proposed by Source assignment; target 1.3.2 Systems - Signalling &amp; Train Control</t>
        </is>
      </c>
      <c r="E793" s="12" t="inlineStr">
        <is>
          <t>None recorded</t>
        </is>
      </c>
      <c r="F793" s="12" t="inlineStr">
        <is>
          <t>No individual professional decision recorded; Source assignment -- not individually reviewed</t>
        </is>
      </c>
      <c r="G793" s="12" t="inlineStr">
        <is>
          <t>Not individually decided</t>
        </is>
      </c>
      <c r="H793" s="12" t="inlineStr">
        <is>
          <t xml:space="preserve">APPROVED / ONE_TO_ONE; </t>
        </is>
      </c>
      <c r="I793" s="12" t="inlineStr">
        <is>
          <t>New</t>
        </is>
      </c>
      <c r="J793" s="17" t="inlineStr">
        <is>
          <t>08 CROSSWALK</t>
        </is>
      </c>
    </row>
    <row r="794" ht="49" customHeight="1">
      <c r="A794" s="12" t="inlineStr">
        <is>
          <t>R1282-v1</t>
        </is>
      </c>
      <c r="B794" s="12" t="inlineStr">
        <is>
          <t>Cost &amp; Forecast Control Accounts / CST-03-040</t>
        </is>
      </c>
      <c r="C794" s="12" t="inlineStr">
        <is>
          <t>Cost Account = CA-3040; WBS Code = 1.3.2</t>
        </is>
      </c>
      <c r="D794" s="12" t="inlineStr">
        <is>
          <t>Proposed by Source assignment; target 1.3.2 Systems - Signalling &amp; Train Control</t>
        </is>
      </c>
      <c r="E794" s="12" t="inlineStr">
        <is>
          <t>None recorded</t>
        </is>
      </c>
      <c r="F794" s="12" t="inlineStr">
        <is>
          <t>No individual professional decision recorded; Source assignment -- not individually reviewed</t>
        </is>
      </c>
      <c r="G794" s="12" t="inlineStr">
        <is>
          <t>Not individually decided</t>
        </is>
      </c>
      <c r="H794" s="12" t="inlineStr">
        <is>
          <t xml:space="preserve">APPROVED / ONE_TO_ONE; </t>
        </is>
      </c>
      <c r="I794" s="12" t="inlineStr">
        <is>
          <t>New</t>
        </is>
      </c>
      <c r="J794" s="17" t="inlineStr">
        <is>
          <t>08 CROSSWALK</t>
        </is>
      </c>
    </row>
    <row r="795" ht="49" customHeight="1">
      <c r="A795" s="12" t="inlineStr">
        <is>
          <t>R1284-v1</t>
        </is>
      </c>
      <c r="B795" s="12" t="inlineStr">
        <is>
          <t>Cost &amp; Forecast Control Accounts / CST-03-042</t>
        </is>
      </c>
      <c r="C795" s="12" t="inlineStr">
        <is>
          <t>Cost Account = CA-3042; WBS Code = 1.3.2</t>
        </is>
      </c>
      <c r="D795" s="12" t="inlineStr">
        <is>
          <t>Proposed by Source assignment; target 1.3.2 Systems - Signalling &amp; Train Control</t>
        </is>
      </c>
      <c r="E795" s="12" t="inlineStr">
        <is>
          <t>None recorded</t>
        </is>
      </c>
      <c r="F795" s="12" t="inlineStr">
        <is>
          <t>No individual professional decision recorded; Source assignment -- not individually reviewed</t>
        </is>
      </c>
      <c r="G795" s="12" t="inlineStr">
        <is>
          <t>Not individually decided</t>
        </is>
      </c>
      <c r="H795" s="12" t="inlineStr">
        <is>
          <t xml:space="preserve">APPROVED / ONE_TO_ONE; </t>
        </is>
      </c>
      <c r="I795" s="12" t="inlineStr">
        <is>
          <t>New</t>
        </is>
      </c>
      <c r="J795" s="17" t="inlineStr">
        <is>
          <t>08 CROSSWALK</t>
        </is>
      </c>
    </row>
    <row r="796" ht="49" customHeight="1">
      <c r="A796" s="12" t="inlineStr">
        <is>
          <t>R1286-v1</t>
        </is>
      </c>
      <c r="B796" s="12" t="inlineStr">
        <is>
          <t>Cost &amp; Forecast Control Accounts / CST-03-044</t>
        </is>
      </c>
      <c r="C796" s="12" t="inlineStr">
        <is>
          <t>Cost Account = CA-3044; WBS Code = 1.3.2</t>
        </is>
      </c>
      <c r="D796" s="12" t="inlineStr">
        <is>
          <t>Proposed by Source assignment; target 1.3.2 Systems - Signalling &amp; Train Control</t>
        </is>
      </c>
      <c r="E796" s="12" t="inlineStr">
        <is>
          <t>None recorded</t>
        </is>
      </c>
      <c r="F796" s="12" t="inlineStr">
        <is>
          <t>No individual professional decision recorded; Source assignment -- not individually reviewed</t>
        </is>
      </c>
      <c r="G796" s="12" t="inlineStr">
        <is>
          <t>Not individually decided</t>
        </is>
      </c>
      <c r="H796" s="12" t="inlineStr">
        <is>
          <t xml:space="preserve">APPROVED / ONE_TO_ONE; </t>
        </is>
      </c>
      <c r="I796" s="12" t="inlineStr">
        <is>
          <t>New</t>
        </is>
      </c>
      <c r="J796" s="17" t="inlineStr">
        <is>
          <t>08 CROSSWALK</t>
        </is>
      </c>
    </row>
    <row r="797" ht="49" customHeight="1">
      <c r="A797" s="12" t="inlineStr">
        <is>
          <t>R1288-v1</t>
        </is>
      </c>
      <c r="B797" s="12" t="inlineStr">
        <is>
          <t>Cost &amp; Forecast Control Accounts / CST-03-046</t>
        </is>
      </c>
      <c r="C797" s="12" t="inlineStr">
        <is>
          <t>Cost Account = CA-3046; WBS Code = 1.3.2</t>
        </is>
      </c>
      <c r="D797" s="12" t="inlineStr">
        <is>
          <t>Proposed by Source assignment; target 1.3.2 Systems - Signalling &amp; Train Control</t>
        </is>
      </c>
      <c r="E797" s="12" t="inlineStr">
        <is>
          <t>None recorded</t>
        </is>
      </c>
      <c r="F797" s="12" t="inlineStr">
        <is>
          <t>No individual professional decision recorded; Source assignment -- not individually reviewed</t>
        </is>
      </c>
      <c r="G797" s="12" t="inlineStr">
        <is>
          <t>Not individually decided</t>
        </is>
      </c>
      <c r="H797" s="12" t="inlineStr">
        <is>
          <t xml:space="preserve">APPROVED / ONE_TO_ONE; </t>
        </is>
      </c>
      <c r="I797" s="12" t="inlineStr">
        <is>
          <t>New</t>
        </is>
      </c>
      <c r="J797" s="17" t="inlineStr">
        <is>
          <t>08 CROSSWALK</t>
        </is>
      </c>
    </row>
    <row r="798" ht="49" customHeight="1">
      <c r="A798" s="12" t="inlineStr">
        <is>
          <t>R1290-v1</t>
        </is>
      </c>
      <c r="B798" s="12" t="inlineStr">
        <is>
          <t>Cost &amp; Forecast Control Accounts / CST-03-048</t>
        </is>
      </c>
      <c r="C798" s="12" t="inlineStr">
        <is>
          <t>Cost Account = CA-3048; WBS Code = 1.3.2</t>
        </is>
      </c>
      <c r="D798" s="12" t="inlineStr">
        <is>
          <t>Proposed by Source assignment; target 1.3.2 Systems - Signalling &amp; Train Control</t>
        </is>
      </c>
      <c r="E798" s="12" t="inlineStr">
        <is>
          <t>None recorded</t>
        </is>
      </c>
      <c r="F798" s="12" t="inlineStr">
        <is>
          <t>No individual professional decision recorded; Source assignment -- not individually reviewed</t>
        </is>
      </c>
      <c r="G798" s="12" t="inlineStr">
        <is>
          <t>Not individually decided</t>
        </is>
      </c>
      <c r="H798" s="12" t="inlineStr">
        <is>
          <t xml:space="preserve">APPROVED / ONE_TO_ONE; </t>
        </is>
      </c>
      <c r="I798" s="12" t="inlineStr">
        <is>
          <t>New</t>
        </is>
      </c>
      <c r="J798" s="17" t="inlineStr">
        <is>
          <t>08 CROSSWALK</t>
        </is>
      </c>
    </row>
    <row r="799" ht="49" customHeight="1">
      <c r="A799" s="12" t="inlineStr">
        <is>
          <t>R1292-v1</t>
        </is>
      </c>
      <c r="B799" s="12" t="inlineStr">
        <is>
          <t>Cost &amp; Forecast Control Accounts / CST-03-050</t>
        </is>
      </c>
      <c r="C799" s="12" t="inlineStr">
        <is>
          <t>Cost Account = CA-3050; WBS Code = 1.3.2</t>
        </is>
      </c>
      <c r="D799" s="12" t="inlineStr">
        <is>
          <t>Proposed by Source assignment; target 1.3.2 Systems - Signalling &amp; Train Control</t>
        </is>
      </c>
      <c r="E799" s="12" t="inlineStr">
        <is>
          <t>None recorded</t>
        </is>
      </c>
      <c r="F799" s="12" t="inlineStr">
        <is>
          <t>No individual professional decision recorded; Source assignment -- not individually reviewed</t>
        </is>
      </c>
      <c r="G799" s="12" t="inlineStr">
        <is>
          <t>Not individually decided</t>
        </is>
      </c>
      <c r="H799" s="12" t="inlineStr">
        <is>
          <t xml:space="preserve">APPROVED / ONE_TO_ONE; </t>
        </is>
      </c>
      <c r="I799" s="12" t="inlineStr">
        <is>
          <t>New</t>
        </is>
      </c>
      <c r="J799" s="17" t="inlineStr">
        <is>
          <t>08 CROSSWALK</t>
        </is>
      </c>
    </row>
    <row r="800" ht="49" customHeight="1">
      <c r="A800" s="12" t="inlineStr">
        <is>
          <t>R1294-v1</t>
        </is>
      </c>
      <c r="B800" s="12" t="inlineStr">
        <is>
          <t>Cost &amp; Forecast Control Accounts / CST-03-052</t>
        </is>
      </c>
      <c r="C800" s="12" t="inlineStr">
        <is>
          <t>Cost Account = CA-3052; WBS Code = 1.3.2</t>
        </is>
      </c>
      <c r="D800" s="12" t="inlineStr">
        <is>
          <t>Proposed by Source assignment; target 1.3.2 Systems - Signalling &amp; Train Control</t>
        </is>
      </c>
      <c r="E800" s="12" t="inlineStr">
        <is>
          <t>None recorded</t>
        </is>
      </c>
      <c r="F800" s="12" t="inlineStr">
        <is>
          <t>No individual professional decision recorded; Source assignment -- not individually reviewed</t>
        </is>
      </c>
      <c r="G800" s="12" t="inlineStr">
        <is>
          <t>Not individually decided</t>
        </is>
      </c>
      <c r="H800" s="12" t="inlineStr">
        <is>
          <t xml:space="preserve">APPROVED / ONE_TO_ONE; </t>
        </is>
      </c>
      <c r="I800" s="12" t="inlineStr">
        <is>
          <t>New</t>
        </is>
      </c>
      <c r="J800" s="17" t="inlineStr">
        <is>
          <t>08 CROSSWALK</t>
        </is>
      </c>
    </row>
    <row r="801" ht="49" customHeight="1">
      <c r="A801" s="12" t="inlineStr">
        <is>
          <t>R1296-v1</t>
        </is>
      </c>
      <c r="B801" s="12" t="inlineStr">
        <is>
          <t>Cost &amp; Forecast Control Accounts / CST-03-054</t>
        </is>
      </c>
      <c r="C801" s="12" t="inlineStr">
        <is>
          <t>Cost Account = CA-3054; WBS Code = 1.3.2</t>
        </is>
      </c>
      <c r="D801" s="12" t="inlineStr">
        <is>
          <t>Proposed by Source assignment; target 1.3.2 Systems - Signalling &amp; Train Control</t>
        </is>
      </c>
      <c r="E801" s="12" t="inlineStr">
        <is>
          <t>None recorded</t>
        </is>
      </c>
      <c r="F801" s="12" t="inlineStr">
        <is>
          <t>No individual professional decision recorded; Source assignment -- not individually reviewed</t>
        </is>
      </c>
      <c r="G801" s="12" t="inlineStr">
        <is>
          <t>Not individually decided</t>
        </is>
      </c>
      <c r="H801" s="12" t="inlineStr">
        <is>
          <t xml:space="preserve">APPROVED / ONE_TO_ONE; </t>
        </is>
      </c>
      <c r="I801" s="12" t="inlineStr">
        <is>
          <t>New</t>
        </is>
      </c>
      <c r="J801" s="17" t="inlineStr">
        <is>
          <t>08 CROSSWALK</t>
        </is>
      </c>
    </row>
    <row r="802" ht="49" customHeight="1">
      <c r="A802" s="12" t="inlineStr">
        <is>
          <t>R1298-v1</t>
        </is>
      </c>
      <c r="B802" s="12" t="inlineStr">
        <is>
          <t>Cost &amp; Forecast Control Accounts / CST-03-056</t>
        </is>
      </c>
      <c r="C802" s="12" t="inlineStr">
        <is>
          <t>Cost Account = CA-3056; WBS Code = 1.3.2</t>
        </is>
      </c>
      <c r="D802" s="12" t="inlineStr">
        <is>
          <t>Proposed by Source assignment; target 1.3.2 Systems - Signalling &amp; Train Control</t>
        </is>
      </c>
      <c r="E802" s="12" t="inlineStr">
        <is>
          <t>None recorded</t>
        </is>
      </c>
      <c r="F802" s="12" t="inlineStr">
        <is>
          <t>No individual professional decision recorded; Source assignment -- not individually reviewed</t>
        </is>
      </c>
      <c r="G802" s="12" t="inlineStr">
        <is>
          <t>Not individually decided</t>
        </is>
      </c>
      <c r="H802" s="12" t="inlineStr">
        <is>
          <t xml:space="preserve">APPROVED / ONE_TO_ONE; </t>
        </is>
      </c>
      <c r="I802" s="12" t="inlineStr">
        <is>
          <t>New</t>
        </is>
      </c>
      <c r="J802" s="17" t="inlineStr">
        <is>
          <t>08 CROSSWALK</t>
        </is>
      </c>
    </row>
    <row r="803" ht="49" customHeight="1">
      <c r="A803" s="12" t="inlineStr">
        <is>
          <t>R1300-v1</t>
        </is>
      </c>
      <c r="B803" s="12" t="inlineStr">
        <is>
          <t>Cost &amp; Forecast Control Accounts / CST-03-058</t>
        </is>
      </c>
      <c r="C803" s="12" t="inlineStr">
        <is>
          <t>Cost Account = CA-3058; WBS Code = 1.3.2</t>
        </is>
      </c>
      <c r="D803" s="12" t="inlineStr">
        <is>
          <t>Proposed by Source assignment; target 1.3.2 Systems - Signalling &amp; Train Control</t>
        </is>
      </c>
      <c r="E803" s="12" t="inlineStr">
        <is>
          <t>None recorded</t>
        </is>
      </c>
      <c r="F803" s="12" t="inlineStr">
        <is>
          <t>No individual professional decision recorded; Source assignment -- not individually reviewed</t>
        </is>
      </c>
      <c r="G803" s="12" t="inlineStr">
        <is>
          <t>Not individually decided</t>
        </is>
      </c>
      <c r="H803" s="12" t="inlineStr">
        <is>
          <t xml:space="preserve">APPROVED / ONE_TO_ONE; </t>
        </is>
      </c>
      <c r="I803" s="12" t="inlineStr">
        <is>
          <t>New</t>
        </is>
      </c>
      <c r="J803" s="17" t="inlineStr">
        <is>
          <t>08 CROSSWALK</t>
        </is>
      </c>
    </row>
    <row r="804" ht="49" customHeight="1">
      <c r="A804" s="12" t="inlineStr">
        <is>
          <t>R1302-v1</t>
        </is>
      </c>
      <c r="B804" s="12" t="inlineStr">
        <is>
          <t>Cost &amp; Forecast Control Accounts / CST-03-060</t>
        </is>
      </c>
      <c r="C804" s="12" t="inlineStr">
        <is>
          <t>Cost Account = CA-3060; WBS Code = 1.3.2</t>
        </is>
      </c>
      <c r="D804" s="12" t="inlineStr">
        <is>
          <t>Proposed by Source assignment; target 1.3.2 Systems - Signalling &amp; Train Control</t>
        </is>
      </c>
      <c r="E804" s="12" t="inlineStr">
        <is>
          <t>None recorded</t>
        </is>
      </c>
      <c r="F804" s="12" t="inlineStr">
        <is>
          <t>No individual professional decision recorded; Source assignment -- not individually reviewed</t>
        </is>
      </c>
      <c r="G804" s="12" t="inlineStr">
        <is>
          <t>Not individually decided</t>
        </is>
      </c>
      <c r="H804" s="12" t="inlineStr">
        <is>
          <t xml:space="preserve">APPROVED / ONE_TO_ONE; </t>
        </is>
      </c>
      <c r="I804" s="12" t="inlineStr">
        <is>
          <t>New</t>
        </is>
      </c>
      <c r="J804" s="17" t="inlineStr">
        <is>
          <t>08 CROSSWALK</t>
        </is>
      </c>
    </row>
    <row r="805" ht="49" customHeight="1">
      <c r="A805" s="12" t="inlineStr">
        <is>
          <t>R1304-v1</t>
        </is>
      </c>
      <c r="B805" s="12" t="inlineStr">
        <is>
          <t>Cost &amp; Forecast Control Accounts / CST-03-062</t>
        </is>
      </c>
      <c r="C805" s="12" t="inlineStr">
        <is>
          <t>Cost Account = CA-3062; WBS Code = 1.3.2</t>
        </is>
      </c>
      <c r="D805" s="12" t="inlineStr">
        <is>
          <t>Proposed by Source assignment; target 1.3.2 Systems - Signalling &amp; Train Control</t>
        </is>
      </c>
      <c r="E805" s="12" t="inlineStr">
        <is>
          <t>None recorded</t>
        </is>
      </c>
      <c r="F805" s="12" t="inlineStr">
        <is>
          <t>No individual professional decision recorded; Source assignment -- not individually reviewed</t>
        </is>
      </c>
      <c r="G805" s="12" t="inlineStr">
        <is>
          <t>Not individually decided</t>
        </is>
      </c>
      <c r="H805" s="12" t="inlineStr">
        <is>
          <t xml:space="preserve">APPROVED / ONE_TO_ONE; </t>
        </is>
      </c>
      <c r="I805" s="12" t="inlineStr">
        <is>
          <t>New</t>
        </is>
      </c>
      <c r="J805" s="17" t="inlineStr">
        <is>
          <t>08 CROSSWALK</t>
        </is>
      </c>
    </row>
    <row r="806" ht="49" customHeight="1">
      <c r="A806" s="12" t="inlineStr">
        <is>
          <t>R1306-v1</t>
        </is>
      </c>
      <c r="B806" s="12" t="inlineStr">
        <is>
          <t>Cost &amp; Forecast Control Accounts / CST-03-064</t>
        </is>
      </c>
      <c r="C806" s="12" t="inlineStr">
        <is>
          <t>Cost Account = CA-3064; WBS Code = 1.3.2</t>
        </is>
      </c>
      <c r="D806" s="12" t="inlineStr">
        <is>
          <t>Proposed by Source assignment; target 1.3.2 Systems - Signalling &amp; Train Control</t>
        </is>
      </c>
      <c r="E806" s="12" t="inlineStr">
        <is>
          <t>None recorded</t>
        </is>
      </c>
      <c r="F806" s="12" t="inlineStr">
        <is>
          <t>No individual professional decision recorded; Source assignment -- not individually reviewed</t>
        </is>
      </c>
      <c r="G806" s="12" t="inlineStr">
        <is>
          <t>Not individually decided</t>
        </is>
      </c>
      <c r="H806" s="12" t="inlineStr">
        <is>
          <t xml:space="preserve">APPROVED / ONE_TO_ONE; </t>
        </is>
      </c>
      <c r="I806" s="12" t="inlineStr">
        <is>
          <t>New</t>
        </is>
      </c>
      <c r="J806" s="17" t="inlineStr">
        <is>
          <t>08 CROSSWALK</t>
        </is>
      </c>
    </row>
    <row r="807" ht="49" customHeight="1">
      <c r="A807" s="12" t="inlineStr">
        <is>
          <t>R1308-v1</t>
        </is>
      </c>
      <c r="B807" s="12" t="inlineStr">
        <is>
          <t>Cost &amp; Forecast Control Accounts / CST-03-066</t>
        </is>
      </c>
      <c r="C807" s="12" t="inlineStr">
        <is>
          <t>Cost Account = CA-3066; WBS Code = 1.3.2</t>
        </is>
      </c>
      <c r="D807" s="12" t="inlineStr">
        <is>
          <t>Proposed by Source assignment; target 1.3.2 Systems - Signalling &amp; Train Control</t>
        </is>
      </c>
      <c r="E807" s="12" t="inlineStr">
        <is>
          <t>None recorded</t>
        </is>
      </c>
      <c r="F807" s="12" t="inlineStr">
        <is>
          <t>No individual professional decision recorded; Source assignment -- not individually reviewed</t>
        </is>
      </c>
      <c r="G807" s="12" t="inlineStr">
        <is>
          <t>Not individually decided</t>
        </is>
      </c>
      <c r="H807" s="12" t="inlineStr">
        <is>
          <t xml:space="preserve">APPROVED / ONE_TO_ONE; </t>
        </is>
      </c>
      <c r="I807" s="12" t="inlineStr">
        <is>
          <t>New</t>
        </is>
      </c>
      <c r="J807" s="17" t="inlineStr">
        <is>
          <t>08 CROSSWALK</t>
        </is>
      </c>
    </row>
    <row r="808" ht="49" customHeight="1">
      <c r="A808" s="12" t="inlineStr">
        <is>
          <t>R1310-v1</t>
        </is>
      </c>
      <c r="B808" s="12" t="inlineStr">
        <is>
          <t>Cost &amp; Forecast Control Accounts / CST-03-068</t>
        </is>
      </c>
      <c r="C808" s="12" t="inlineStr">
        <is>
          <t>Cost Account = CA-3068; WBS Code = 1.3.2</t>
        </is>
      </c>
      <c r="D808" s="12" t="inlineStr">
        <is>
          <t>Proposed by Source assignment; target 1.3.2 Systems - Signalling &amp; Train Control</t>
        </is>
      </c>
      <c r="E808" s="12" t="inlineStr">
        <is>
          <t>None recorded</t>
        </is>
      </c>
      <c r="F808" s="12" t="inlineStr">
        <is>
          <t>No individual professional decision recorded; Source assignment -- not individually reviewed</t>
        </is>
      </c>
      <c r="G808" s="12" t="inlineStr">
        <is>
          <t>Not individually decided</t>
        </is>
      </c>
      <c r="H808" s="12" t="inlineStr">
        <is>
          <t xml:space="preserve">APPROVED / ONE_TO_ONE; </t>
        </is>
      </c>
      <c r="I808" s="12" t="inlineStr">
        <is>
          <t>New</t>
        </is>
      </c>
      <c r="J808" s="17" t="inlineStr">
        <is>
          <t>08 CROSSWALK</t>
        </is>
      </c>
    </row>
    <row r="809" ht="49" customHeight="1">
      <c r="A809" s="12" t="inlineStr">
        <is>
          <t>R1312-v1</t>
        </is>
      </c>
      <c r="B809" s="12" t="inlineStr">
        <is>
          <t>Cost &amp; Forecast Control Accounts / CST-03-070</t>
        </is>
      </c>
      <c r="C809" s="12" t="inlineStr">
        <is>
          <t>Cost Account = CA-3070; WBS Code = 1.3.2</t>
        </is>
      </c>
      <c r="D809" s="12" t="inlineStr">
        <is>
          <t>Proposed by Source assignment; target 1.3.2 Systems - Signalling &amp; Train Control</t>
        </is>
      </c>
      <c r="E809" s="12" t="inlineStr">
        <is>
          <t>None recorded</t>
        </is>
      </c>
      <c r="F809" s="12" t="inlineStr">
        <is>
          <t>No individual professional decision recorded; Source assignment -- not individually reviewed</t>
        </is>
      </c>
      <c r="G809" s="12" t="inlineStr">
        <is>
          <t>Not individually decided</t>
        </is>
      </c>
      <c r="H809" s="12" t="inlineStr">
        <is>
          <t xml:space="preserve">APPROVED / ONE_TO_ONE; </t>
        </is>
      </c>
      <c r="I809" s="12" t="inlineStr">
        <is>
          <t>New</t>
        </is>
      </c>
      <c r="J809" s="17" t="inlineStr">
        <is>
          <t>08 CROSSWALK</t>
        </is>
      </c>
    </row>
    <row r="810" ht="49" customHeight="1">
      <c r="A810" s="12" t="inlineStr">
        <is>
          <t>R1314-v1</t>
        </is>
      </c>
      <c r="B810" s="12" t="inlineStr">
        <is>
          <t>Cost &amp; Forecast Control Accounts / CST-03-072</t>
        </is>
      </c>
      <c r="C810" s="12" t="inlineStr">
        <is>
          <t>Cost Account = CA-3072; WBS Code = 1.3.2</t>
        </is>
      </c>
      <c r="D810" s="12" t="inlineStr">
        <is>
          <t>Proposed by Source assignment; target 1.3.2 Systems - Signalling &amp; Train Control</t>
        </is>
      </c>
      <c r="E810" s="12" t="inlineStr">
        <is>
          <t>None recorded</t>
        </is>
      </c>
      <c r="F810" s="12" t="inlineStr">
        <is>
          <t>No individual professional decision recorded; Source assignment -- not individually reviewed</t>
        </is>
      </c>
      <c r="G810" s="12" t="inlineStr">
        <is>
          <t>Not individually decided</t>
        </is>
      </c>
      <c r="H810" s="12" t="inlineStr">
        <is>
          <t xml:space="preserve">APPROVED / ONE_TO_ONE; </t>
        </is>
      </c>
      <c r="I810" s="12" t="inlineStr">
        <is>
          <t>New</t>
        </is>
      </c>
      <c r="J810" s="17" t="inlineStr">
        <is>
          <t>08 CROSSWALK</t>
        </is>
      </c>
    </row>
    <row r="811" ht="49" customHeight="1">
      <c r="A811" s="12" t="inlineStr">
        <is>
          <t>R1316-v1</t>
        </is>
      </c>
      <c r="B811" s="12" t="inlineStr">
        <is>
          <t>Cost &amp; Forecast Control Accounts / CST-03-074</t>
        </is>
      </c>
      <c r="C811" s="12" t="inlineStr">
        <is>
          <t>Cost Account = CA-3074; WBS Code = 1.3.2</t>
        </is>
      </c>
      <c r="D811" s="12" t="inlineStr">
        <is>
          <t>Proposed by Source assignment; target 1.3.2 Systems - Signalling &amp; Train Control</t>
        </is>
      </c>
      <c r="E811" s="12" t="inlineStr">
        <is>
          <t>None recorded</t>
        </is>
      </c>
      <c r="F811" s="12" t="inlineStr">
        <is>
          <t>No individual professional decision recorded; Source assignment -- not individually reviewed</t>
        </is>
      </c>
      <c r="G811" s="12" t="inlineStr">
        <is>
          <t>Not individually decided</t>
        </is>
      </c>
      <c r="H811" s="12" t="inlineStr">
        <is>
          <t xml:space="preserve">APPROVED / ONE_TO_ONE; </t>
        </is>
      </c>
      <c r="I811" s="12" t="inlineStr">
        <is>
          <t>New</t>
        </is>
      </c>
      <c r="J811" s="17" t="inlineStr">
        <is>
          <t>08 CROSSWALK</t>
        </is>
      </c>
    </row>
    <row r="812" ht="49" customHeight="1">
      <c r="A812" s="12" t="inlineStr">
        <is>
          <t>R1318-v1</t>
        </is>
      </c>
      <c r="B812" s="12" t="inlineStr">
        <is>
          <t>Cost &amp; Forecast Control Accounts / CST-03-076</t>
        </is>
      </c>
      <c r="C812" s="12" t="inlineStr">
        <is>
          <t>Cost Account = CA-3076; WBS Code = 1.3.2</t>
        </is>
      </c>
      <c r="D812" s="12" t="inlineStr">
        <is>
          <t>Proposed by Source assignment; target 1.3.2 Systems - Signalling &amp; Train Control</t>
        </is>
      </c>
      <c r="E812" s="12" t="inlineStr">
        <is>
          <t>None recorded</t>
        </is>
      </c>
      <c r="F812" s="12" t="inlineStr">
        <is>
          <t>No individual professional decision recorded; Source assignment -- not individually reviewed</t>
        </is>
      </c>
      <c r="G812" s="12" t="inlineStr">
        <is>
          <t>Not individually decided</t>
        </is>
      </c>
      <c r="H812" s="12" t="inlineStr">
        <is>
          <t xml:space="preserve">APPROVED / ONE_TO_ONE; </t>
        </is>
      </c>
      <c r="I812" s="12" t="inlineStr">
        <is>
          <t>New</t>
        </is>
      </c>
      <c r="J812" s="17" t="inlineStr">
        <is>
          <t>08 CROSSWALK</t>
        </is>
      </c>
    </row>
    <row r="813" ht="49" customHeight="1">
      <c r="A813" s="12" t="inlineStr">
        <is>
          <t>R1320-v1</t>
        </is>
      </c>
      <c r="B813" s="12" t="inlineStr">
        <is>
          <t>Cost &amp; Forecast Control Accounts / CST-03-078</t>
        </is>
      </c>
      <c r="C813" s="12" t="inlineStr">
        <is>
          <t>Cost Account = CA-3078; WBS Code = 1.3.2</t>
        </is>
      </c>
      <c r="D813" s="12" t="inlineStr">
        <is>
          <t>Proposed by Source assignment; target 1.3.2 Systems - Signalling &amp; Train Control</t>
        </is>
      </c>
      <c r="E813" s="12" t="inlineStr">
        <is>
          <t>None recorded</t>
        </is>
      </c>
      <c r="F813" s="12" t="inlineStr">
        <is>
          <t>No individual professional decision recorded; Source assignment -- not individually reviewed</t>
        </is>
      </c>
      <c r="G813" s="12" t="inlineStr">
        <is>
          <t>Not individually decided</t>
        </is>
      </c>
      <c r="H813" s="12" t="inlineStr">
        <is>
          <t xml:space="preserve">APPROVED / ONE_TO_ONE; </t>
        </is>
      </c>
      <c r="I813" s="12" t="inlineStr">
        <is>
          <t>New</t>
        </is>
      </c>
      <c r="J813" s="17" t="inlineStr">
        <is>
          <t>08 CROSSWALK</t>
        </is>
      </c>
    </row>
    <row r="814" ht="49" customHeight="1">
      <c r="A814" s="12" t="inlineStr">
        <is>
          <t>R1322-v1</t>
        </is>
      </c>
      <c r="B814" s="12" t="inlineStr">
        <is>
          <t>Cost &amp; Forecast Control Accounts / CST-03-080</t>
        </is>
      </c>
      <c r="C814" s="12" t="inlineStr">
        <is>
          <t>Cost Account = CA-3080; WBS Code = 1.3.2</t>
        </is>
      </c>
      <c r="D814" s="12" t="inlineStr">
        <is>
          <t>Proposed by Source assignment; target 1.3.2 Systems - Signalling &amp; Train Control</t>
        </is>
      </c>
      <c r="E814" s="12" t="inlineStr">
        <is>
          <t>None recorded</t>
        </is>
      </c>
      <c r="F814" s="12" t="inlineStr">
        <is>
          <t>No individual professional decision recorded; Source assignment -- not individually reviewed</t>
        </is>
      </c>
      <c r="G814" s="12" t="inlineStr">
        <is>
          <t>Not individually decided</t>
        </is>
      </c>
      <c r="H814" s="12" t="inlineStr">
        <is>
          <t xml:space="preserve">APPROVED / ONE_TO_ONE; </t>
        </is>
      </c>
      <c r="I814" s="12" t="inlineStr">
        <is>
          <t>New</t>
        </is>
      </c>
      <c r="J814" s="17" t="inlineStr">
        <is>
          <t>08 CROSSWALK</t>
        </is>
      </c>
    </row>
    <row r="815" ht="49" customHeight="1">
      <c r="A815" s="12" t="inlineStr">
        <is>
          <t>R1593-v1</t>
        </is>
      </c>
      <c r="B815" s="12" t="inlineStr">
        <is>
          <t>Commercial Package Register / PKG-031</t>
        </is>
      </c>
      <c r="C815" s="12" t="inlineStr">
        <is>
          <t>Package Code = PK-401; WBS Code = 1.4</t>
        </is>
      </c>
      <c r="D815" s="12" t="inlineStr">
        <is>
          <t>Proposed by Source assignment; target 1.4 Vehicles and Depot</t>
        </is>
      </c>
      <c r="E815" s="12" t="inlineStr">
        <is>
          <t>None recorded</t>
        </is>
      </c>
      <c r="F815" s="12" t="inlineStr">
        <is>
          <t>No individual professional decision recorded; Source assignment -- not individually reviewed</t>
        </is>
      </c>
      <c r="G815" s="12" t="inlineStr">
        <is>
          <t>Not individually decided</t>
        </is>
      </c>
      <c r="H815" s="12" t="inlineStr">
        <is>
          <t xml:space="preserve">APPROVED / ONE_TO_ONE; </t>
        </is>
      </c>
      <c r="I815" s="12" t="inlineStr">
        <is>
          <t>New</t>
        </is>
      </c>
      <c r="J815" s="17" t="inlineStr">
        <is>
          <t>08 CROSSWALK</t>
        </is>
      </c>
    </row>
    <row r="816" ht="49" customHeight="1">
      <c r="A816" s="12" t="inlineStr">
        <is>
          <t>R1594-v1</t>
        </is>
      </c>
      <c r="B816" s="12" t="inlineStr">
        <is>
          <t>Commercial Package Register / PKG-032</t>
        </is>
      </c>
      <c r="C816" s="12" t="inlineStr">
        <is>
          <t>Package Code = PK-402; WBS Code = 1.4</t>
        </is>
      </c>
      <c r="D816" s="12" t="inlineStr">
        <is>
          <t>Proposed by Source assignment; target 1.4 Vehicles and Depot</t>
        </is>
      </c>
      <c r="E816" s="12" t="inlineStr">
        <is>
          <t>None recorded</t>
        </is>
      </c>
      <c r="F816" s="12" t="inlineStr">
        <is>
          <t>No individual professional decision recorded; Source assignment -- not individually reviewed</t>
        </is>
      </c>
      <c r="G816" s="12" t="inlineStr">
        <is>
          <t>Not individually decided</t>
        </is>
      </c>
      <c r="H816" s="12" t="inlineStr">
        <is>
          <t xml:space="preserve">APPROVED / ONE_TO_ONE; </t>
        </is>
      </c>
      <c r="I816" s="12" t="inlineStr">
        <is>
          <t>New</t>
        </is>
      </c>
      <c r="J816" s="17" t="inlineStr">
        <is>
          <t>08 CROSSWALK</t>
        </is>
      </c>
    </row>
    <row r="817" ht="49" customHeight="1">
      <c r="A817" s="12" t="inlineStr">
        <is>
          <t>R1595-v1</t>
        </is>
      </c>
      <c r="B817" s="12" t="inlineStr">
        <is>
          <t>Commercial Package Register / PKG-033</t>
        </is>
      </c>
      <c r="C817" s="12" t="inlineStr">
        <is>
          <t>Package Code = PK-403; WBS Code = 1.4</t>
        </is>
      </c>
      <c r="D817" s="12" t="inlineStr">
        <is>
          <t>Proposed by Source assignment; target 1.4 Vehicles and Depot</t>
        </is>
      </c>
      <c r="E817" s="12" t="inlineStr">
        <is>
          <t>None recorded</t>
        </is>
      </c>
      <c r="F817" s="12" t="inlineStr">
        <is>
          <t>No individual professional decision recorded; Source assignment -- not individually reviewed</t>
        </is>
      </c>
      <c r="G817" s="12" t="inlineStr">
        <is>
          <t>Not individually decided</t>
        </is>
      </c>
      <c r="H817" s="12" t="inlineStr">
        <is>
          <t xml:space="preserve">APPROVED / ONE_TO_ONE; </t>
        </is>
      </c>
      <c r="I817" s="12" t="inlineStr">
        <is>
          <t>New</t>
        </is>
      </c>
      <c r="J817" s="17" t="inlineStr">
        <is>
          <t>08 CROSSWALK</t>
        </is>
      </c>
    </row>
    <row r="818" ht="49" customHeight="1">
      <c r="A818" s="12" t="inlineStr">
        <is>
          <t>R1596-v1</t>
        </is>
      </c>
      <c r="B818" s="12" t="inlineStr">
        <is>
          <t>Commercial Package Register / PKG-034</t>
        </is>
      </c>
      <c r="C818" s="12" t="inlineStr">
        <is>
          <t>Package Code = PK-404; WBS Code = 1.4</t>
        </is>
      </c>
      <c r="D818" s="12" t="inlineStr">
        <is>
          <t>Proposed by Source assignment; target 1.4 Vehicles and Depot</t>
        </is>
      </c>
      <c r="E818" s="12" t="inlineStr">
        <is>
          <t>None recorded</t>
        </is>
      </c>
      <c r="F818" s="12" t="inlineStr">
        <is>
          <t>No individual professional decision recorded; Source assignment -- not individually reviewed</t>
        </is>
      </c>
      <c r="G818" s="12" t="inlineStr">
        <is>
          <t>Not individually decided</t>
        </is>
      </c>
      <c r="H818" s="12" t="inlineStr">
        <is>
          <t xml:space="preserve">APPROVED / ONE_TO_ONE; </t>
        </is>
      </c>
      <c r="I818" s="12" t="inlineStr">
        <is>
          <t>New</t>
        </is>
      </c>
      <c r="J818" s="17" t="inlineStr">
        <is>
          <t>08 CROSSWALK</t>
        </is>
      </c>
    </row>
    <row r="819" ht="49" customHeight="1">
      <c r="A819" s="12" t="inlineStr">
        <is>
          <t>R1597-v1</t>
        </is>
      </c>
      <c r="B819" s="12" t="inlineStr">
        <is>
          <t>Commercial Package Register / PKG-035</t>
        </is>
      </c>
      <c r="C819" s="12" t="inlineStr">
        <is>
          <t>Package Code = PK-405; WBS Code = 1.4</t>
        </is>
      </c>
      <c r="D819" s="12" t="inlineStr">
        <is>
          <t>Proposed by Source assignment; target 1.4 Vehicles and Depot</t>
        </is>
      </c>
      <c r="E819" s="12" t="inlineStr">
        <is>
          <t>None recorded</t>
        </is>
      </c>
      <c r="F819" s="12" t="inlineStr">
        <is>
          <t>No individual professional decision recorded; Source assignment -- not individually reviewed</t>
        </is>
      </c>
      <c r="G819" s="12" t="inlineStr">
        <is>
          <t>Not individually decided</t>
        </is>
      </c>
      <c r="H819" s="12" t="inlineStr">
        <is>
          <t xml:space="preserve">APPROVED / ONE_TO_ONE; </t>
        </is>
      </c>
      <c r="I819" s="12" t="inlineStr">
        <is>
          <t>New</t>
        </is>
      </c>
      <c r="J819" s="17" t="inlineStr">
        <is>
          <t>08 CROSSWALK</t>
        </is>
      </c>
    </row>
    <row r="820" ht="49" customHeight="1">
      <c r="A820" s="12" t="inlineStr">
        <is>
          <t>R1598-v1</t>
        </is>
      </c>
      <c r="B820" s="12" t="inlineStr">
        <is>
          <t>Commercial Package Register / PKG-036</t>
        </is>
      </c>
      <c r="C820" s="12" t="inlineStr">
        <is>
          <t>Package Code = PK-406; WBS Code = 1.4</t>
        </is>
      </c>
      <c r="D820" s="12" t="inlineStr">
        <is>
          <t>Proposed by Source assignment; target 1.4 Vehicles and Depot</t>
        </is>
      </c>
      <c r="E820" s="12" t="inlineStr">
        <is>
          <t>None recorded</t>
        </is>
      </c>
      <c r="F820" s="12" t="inlineStr">
        <is>
          <t>No individual professional decision recorded; Source assignment -- not individually reviewed</t>
        </is>
      </c>
      <c r="G820" s="12" t="inlineStr">
        <is>
          <t>Not individually decided</t>
        </is>
      </c>
      <c r="H820" s="12" t="inlineStr">
        <is>
          <t xml:space="preserve">APPROVED / ONE_TO_ONE; </t>
        </is>
      </c>
      <c r="I820" s="12" t="inlineStr">
        <is>
          <t>New</t>
        </is>
      </c>
      <c r="J820" s="17" t="inlineStr">
        <is>
          <t>08 CROSSWALK</t>
        </is>
      </c>
    </row>
    <row r="821" ht="49" customHeight="1">
      <c r="A821" s="12" t="inlineStr">
        <is>
          <t>R1599-v1</t>
        </is>
      </c>
      <c r="B821" s="12" t="inlineStr">
        <is>
          <t>Commercial Package Register / PKG-037</t>
        </is>
      </c>
      <c r="C821" s="12" t="inlineStr">
        <is>
          <t>Package Code = PK-407; WBS Code = 1.4</t>
        </is>
      </c>
      <c r="D821" s="12" t="inlineStr">
        <is>
          <t>Proposed by Source assignment; target 1.4 Vehicles and Depot</t>
        </is>
      </c>
      <c r="E821" s="12" t="inlineStr">
        <is>
          <t>None recorded</t>
        </is>
      </c>
      <c r="F821" s="12" t="inlineStr">
        <is>
          <t>No individual professional decision recorded; Source assignment -- not individually reviewed</t>
        </is>
      </c>
      <c r="G821" s="12" t="inlineStr">
        <is>
          <t>Not individually decided</t>
        </is>
      </c>
      <c r="H821" s="12" t="inlineStr">
        <is>
          <t xml:space="preserve">APPROVED / ONE_TO_ONE; </t>
        </is>
      </c>
      <c r="I821" s="12" t="inlineStr">
        <is>
          <t>New</t>
        </is>
      </c>
      <c r="J821" s="17" t="inlineStr">
        <is>
          <t>08 CROSSWALK</t>
        </is>
      </c>
    </row>
    <row r="822" ht="49" customHeight="1">
      <c r="A822" s="12" t="inlineStr">
        <is>
          <t>R1600-v1</t>
        </is>
      </c>
      <c r="B822" s="12" t="inlineStr">
        <is>
          <t>Commercial Package Register / PKG-038</t>
        </is>
      </c>
      <c r="C822" s="12" t="inlineStr">
        <is>
          <t>Package Code = PK-408; WBS Code = 1.4</t>
        </is>
      </c>
      <c r="D822" s="12" t="inlineStr">
        <is>
          <t>Proposed by Source assignment; target 1.4 Vehicles and Depot</t>
        </is>
      </c>
      <c r="E822" s="12" t="inlineStr">
        <is>
          <t>None recorded</t>
        </is>
      </c>
      <c r="F822" s="12" t="inlineStr">
        <is>
          <t>No individual professional decision recorded; Source assignment -- not individually reviewed</t>
        </is>
      </c>
      <c r="G822" s="12" t="inlineStr">
        <is>
          <t>Not individually decided</t>
        </is>
      </c>
      <c r="H822" s="12" t="inlineStr">
        <is>
          <t xml:space="preserve">APPROVED / ONE_TO_ONE; </t>
        </is>
      </c>
      <c r="I822" s="12" t="inlineStr">
        <is>
          <t>New</t>
        </is>
      </c>
      <c r="J822" s="17" t="inlineStr">
        <is>
          <t>08 CROSSWALK</t>
        </is>
      </c>
    </row>
    <row r="823" ht="49" customHeight="1">
      <c r="A823" s="12" t="inlineStr">
        <is>
          <t>R1601-v1</t>
        </is>
      </c>
      <c r="B823" s="12" t="inlineStr">
        <is>
          <t>Commercial Package Register / PKG-039</t>
        </is>
      </c>
      <c r="C823" s="12" t="inlineStr">
        <is>
          <t>Package Code = PK-409; WBS Code = 1.4</t>
        </is>
      </c>
      <c r="D823" s="12" t="inlineStr">
        <is>
          <t>Proposed by Source assignment; target 1.4 Vehicles and Depot</t>
        </is>
      </c>
      <c r="E823" s="12" t="inlineStr">
        <is>
          <t>None recorded</t>
        </is>
      </c>
      <c r="F823" s="12" t="inlineStr">
        <is>
          <t>No individual professional decision recorded; Source assignment -- not individually reviewed</t>
        </is>
      </c>
      <c r="G823" s="12" t="inlineStr">
        <is>
          <t>Not individually decided</t>
        </is>
      </c>
      <c r="H823" s="12" t="inlineStr">
        <is>
          <t xml:space="preserve">APPROVED / ONE_TO_ONE; </t>
        </is>
      </c>
      <c r="I823" s="12" t="inlineStr">
        <is>
          <t>New</t>
        </is>
      </c>
      <c r="J823" s="17" t="inlineStr">
        <is>
          <t>08 CROSSWALK</t>
        </is>
      </c>
    </row>
    <row r="824" ht="49" customHeight="1">
      <c r="A824" s="12" t="inlineStr">
        <is>
          <t>R1602-v1</t>
        </is>
      </c>
      <c r="B824" s="12" t="inlineStr">
        <is>
          <t>Commercial Package Register / PKG-040</t>
        </is>
      </c>
      <c r="C824" s="12" t="inlineStr">
        <is>
          <t>Package Code = PK-410; WBS Code = 1.4</t>
        </is>
      </c>
      <c r="D824" s="12" t="inlineStr">
        <is>
          <t>Proposed by Source assignment; target 1.4 Vehicles and Depot</t>
        </is>
      </c>
      <c r="E824" s="12" t="inlineStr">
        <is>
          <t>None recorded</t>
        </is>
      </c>
      <c r="F824" s="12" t="inlineStr">
        <is>
          <t>No individual professional decision recorded; Source assignment -- not individually reviewed</t>
        </is>
      </c>
      <c r="G824" s="12" t="inlineStr">
        <is>
          <t>Not individually decided</t>
        </is>
      </c>
      <c r="H824" s="12" t="inlineStr">
        <is>
          <t xml:space="preserve">APPROVED / ONE_TO_ONE; </t>
        </is>
      </c>
      <c r="I824" s="12" t="inlineStr">
        <is>
          <t>New</t>
        </is>
      </c>
      <c r="J824" s="17" t="inlineStr">
        <is>
          <t>08 CROSSWALK</t>
        </is>
      </c>
    </row>
    <row r="825" ht="49" customHeight="1">
      <c r="A825" s="12" t="inlineStr">
        <is>
          <t>R541-v1</t>
        </is>
      </c>
      <c r="B825" s="12" t="inlineStr">
        <is>
          <t>Contractor Programme / SCH-04-001</t>
        </is>
      </c>
      <c r="C825" s="12" t="inlineStr">
        <is>
          <t>WBS Code = 1.4.1</t>
        </is>
      </c>
      <c r="D825" s="12" t="inlineStr">
        <is>
          <t>Proposed by Source assignment; target 1.4.1 Vehicles and Depot - Fleet Supply</t>
        </is>
      </c>
      <c r="E825" s="12" t="inlineStr">
        <is>
          <t>None recorded</t>
        </is>
      </c>
      <c r="F825" s="12" t="inlineStr">
        <is>
          <t>No individual professional decision recorded; Source assignment -- not individually reviewed</t>
        </is>
      </c>
      <c r="G825" s="12" t="inlineStr">
        <is>
          <t>Not individually decided</t>
        </is>
      </c>
      <c r="H825" s="12" t="inlineStr">
        <is>
          <t xml:space="preserve">APPROVED / ONE_TO_ONE; </t>
        </is>
      </c>
      <c r="I825" s="12" t="inlineStr">
        <is>
          <t>New</t>
        </is>
      </c>
      <c r="J825" s="17" t="inlineStr">
        <is>
          <t>08 CROSSWALK</t>
        </is>
      </c>
    </row>
    <row r="826" ht="49" customHeight="1">
      <c r="A826" s="12" t="inlineStr">
        <is>
          <t>R542-v1</t>
        </is>
      </c>
      <c r="B826" s="12" t="inlineStr">
        <is>
          <t>Contractor Programme / SCH-04-002</t>
        </is>
      </c>
      <c r="C826" s="12" t="inlineStr">
        <is>
          <t>WBS Code = 1.4.1</t>
        </is>
      </c>
      <c r="D826" s="12" t="inlineStr">
        <is>
          <t>Proposed by Source assignment; target 1.4.1 Vehicles and Depot - Fleet Supply</t>
        </is>
      </c>
      <c r="E826" s="12" t="inlineStr">
        <is>
          <t>None recorded</t>
        </is>
      </c>
      <c r="F826" s="12" t="inlineStr">
        <is>
          <t>No individual professional decision recorded; Source assignment -- not individually reviewed</t>
        </is>
      </c>
      <c r="G826" s="12" t="inlineStr">
        <is>
          <t>Not individually decided</t>
        </is>
      </c>
      <c r="H826" s="12" t="inlineStr">
        <is>
          <t xml:space="preserve">APPROVED / ONE_TO_ONE; </t>
        </is>
      </c>
      <c r="I826" s="12" t="inlineStr">
        <is>
          <t>New</t>
        </is>
      </c>
      <c r="J826" s="17" t="inlineStr">
        <is>
          <t>08 CROSSWALK</t>
        </is>
      </c>
    </row>
    <row r="827" ht="49" customHeight="1">
      <c r="A827" s="12" t="inlineStr">
        <is>
          <t>R544-v1</t>
        </is>
      </c>
      <c r="B827" s="12" t="inlineStr">
        <is>
          <t>Contractor Programme / SCH-04-004</t>
        </is>
      </c>
      <c r="C827" s="12" t="inlineStr">
        <is>
          <t>WBS Code = 1.4.1</t>
        </is>
      </c>
      <c r="D827" s="12" t="inlineStr">
        <is>
          <t>Proposed by Source assignment; target 1.4.1 Vehicles and Depot - Fleet Supply</t>
        </is>
      </c>
      <c r="E827" s="12" t="inlineStr">
        <is>
          <t>None recorded</t>
        </is>
      </c>
      <c r="F827" s="12" t="inlineStr">
        <is>
          <t>No individual professional decision recorded; Source assignment -- not individually reviewed</t>
        </is>
      </c>
      <c r="G827" s="12" t="inlineStr">
        <is>
          <t>Not individually decided</t>
        </is>
      </c>
      <c r="H827" s="12" t="inlineStr">
        <is>
          <t xml:space="preserve">APPROVED / ONE_TO_ONE; </t>
        </is>
      </c>
      <c r="I827" s="12" t="inlineStr">
        <is>
          <t>New</t>
        </is>
      </c>
      <c r="J827" s="17" t="inlineStr">
        <is>
          <t>08 CROSSWALK</t>
        </is>
      </c>
    </row>
    <row r="828" ht="49" customHeight="1">
      <c r="A828" s="12" t="inlineStr">
        <is>
          <t>R545-v1</t>
        </is>
      </c>
      <c r="B828" s="12" t="inlineStr">
        <is>
          <t>Contractor Programme / SCH-04-005</t>
        </is>
      </c>
      <c r="C828" s="12" t="inlineStr">
        <is>
          <t>WBS Code = 1.4.1</t>
        </is>
      </c>
      <c r="D828" s="12" t="inlineStr">
        <is>
          <t>Proposed by Source assignment; target 1.4.1 Vehicles and Depot - Fleet Supply</t>
        </is>
      </c>
      <c r="E828" s="12" t="inlineStr">
        <is>
          <t>None recorded</t>
        </is>
      </c>
      <c r="F828" s="12" t="inlineStr">
        <is>
          <t>No individual professional decision recorded; Source assignment -- not individually reviewed</t>
        </is>
      </c>
      <c r="G828" s="12" t="inlineStr">
        <is>
          <t>Not individually decided</t>
        </is>
      </c>
      <c r="H828" s="12" t="inlineStr">
        <is>
          <t xml:space="preserve">APPROVED / ONE_TO_ONE; </t>
        </is>
      </c>
      <c r="I828" s="12" t="inlineStr">
        <is>
          <t>New</t>
        </is>
      </c>
      <c r="J828" s="17" t="inlineStr">
        <is>
          <t>08 CROSSWALK</t>
        </is>
      </c>
    </row>
    <row r="829" ht="49" customHeight="1">
      <c r="A829" s="12" t="inlineStr">
        <is>
          <t>R547-v1</t>
        </is>
      </c>
      <c r="B829" s="12" t="inlineStr">
        <is>
          <t>Contractor Programme / SCH-04-007</t>
        </is>
      </c>
      <c r="C829" s="12" t="inlineStr">
        <is>
          <t>WBS Code = 1.4.1</t>
        </is>
      </c>
      <c r="D829" s="12" t="inlineStr">
        <is>
          <t>Proposed by Source assignment; target 1.4.1 Vehicles and Depot - Fleet Supply</t>
        </is>
      </c>
      <c r="E829" s="12" t="inlineStr">
        <is>
          <t>None recorded</t>
        </is>
      </c>
      <c r="F829" s="12" t="inlineStr">
        <is>
          <t>No individual professional decision recorded; Source assignment -- not individually reviewed</t>
        </is>
      </c>
      <c r="G829" s="12" t="inlineStr">
        <is>
          <t>Not individually decided</t>
        </is>
      </c>
      <c r="H829" s="12" t="inlineStr">
        <is>
          <t xml:space="preserve">APPROVED / ONE_TO_ONE; </t>
        </is>
      </c>
      <c r="I829" s="12" t="inlineStr">
        <is>
          <t>New</t>
        </is>
      </c>
      <c r="J829" s="17" t="inlineStr">
        <is>
          <t>08 CROSSWALK</t>
        </is>
      </c>
    </row>
    <row r="830" ht="49" customHeight="1">
      <c r="A830" s="12" t="inlineStr">
        <is>
          <t>R548-v1</t>
        </is>
      </c>
      <c r="B830" s="12" t="inlineStr">
        <is>
          <t>Contractor Programme / SCH-04-008</t>
        </is>
      </c>
      <c r="C830" s="12" t="inlineStr">
        <is>
          <t>WBS Code = 1.4.1</t>
        </is>
      </c>
      <c r="D830" s="12" t="inlineStr">
        <is>
          <t>Proposed by Source assignment; target 1.4.1 Vehicles and Depot - Fleet Supply</t>
        </is>
      </c>
      <c r="E830" s="12" t="inlineStr">
        <is>
          <t>None recorded</t>
        </is>
      </c>
      <c r="F830" s="12" t="inlineStr">
        <is>
          <t>No individual professional decision recorded; Source assignment -- not individually reviewed</t>
        </is>
      </c>
      <c r="G830" s="12" t="inlineStr">
        <is>
          <t>Not individually decided</t>
        </is>
      </c>
      <c r="H830" s="12" t="inlineStr">
        <is>
          <t xml:space="preserve">APPROVED / ONE_TO_ONE; </t>
        </is>
      </c>
      <c r="I830" s="12" t="inlineStr">
        <is>
          <t>New</t>
        </is>
      </c>
      <c r="J830" s="17" t="inlineStr">
        <is>
          <t>08 CROSSWALK</t>
        </is>
      </c>
    </row>
    <row r="831" ht="49" customHeight="1">
      <c r="A831" s="12" t="inlineStr">
        <is>
          <t>R550-v1</t>
        </is>
      </c>
      <c r="B831" s="12" t="inlineStr">
        <is>
          <t>Contractor Programme / SCH-04-010</t>
        </is>
      </c>
      <c r="C831" s="12" t="inlineStr">
        <is>
          <t>WBS Code = 1.4.1</t>
        </is>
      </c>
      <c r="D831" s="12" t="inlineStr">
        <is>
          <t>Proposed by Source assignment; target 1.4.1 Vehicles and Depot - Fleet Supply</t>
        </is>
      </c>
      <c r="E831" s="12" t="inlineStr">
        <is>
          <t>None recorded</t>
        </is>
      </c>
      <c r="F831" s="12" t="inlineStr">
        <is>
          <t>No individual professional decision recorded; Source assignment -- not individually reviewed</t>
        </is>
      </c>
      <c r="G831" s="12" t="inlineStr">
        <is>
          <t>Not individually decided</t>
        </is>
      </c>
      <c r="H831" s="12" t="inlineStr">
        <is>
          <t xml:space="preserve">APPROVED / ONE_TO_ONE; </t>
        </is>
      </c>
      <c r="I831" s="12" t="inlineStr">
        <is>
          <t>New</t>
        </is>
      </c>
      <c r="J831" s="17" t="inlineStr">
        <is>
          <t>08 CROSSWALK</t>
        </is>
      </c>
    </row>
    <row r="832" ht="49" customHeight="1">
      <c r="A832" s="12" t="inlineStr">
        <is>
          <t>R551-v1</t>
        </is>
      </c>
      <c r="B832" s="12" t="inlineStr">
        <is>
          <t>Contractor Programme / SCH-04-011</t>
        </is>
      </c>
      <c r="C832" s="12" t="inlineStr">
        <is>
          <t>WBS Code = 1.4.1</t>
        </is>
      </c>
      <c r="D832" s="12" t="inlineStr">
        <is>
          <t>Proposed by Source assignment; target 1.4.1 Vehicles and Depot - Fleet Supply</t>
        </is>
      </c>
      <c r="E832" s="12" t="inlineStr">
        <is>
          <t>None recorded</t>
        </is>
      </c>
      <c r="F832" s="12" t="inlineStr">
        <is>
          <t>No individual professional decision recorded; Source assignment -- not individually reviewed</t>
        </is>
      </c>
      <c r="G832" s="12" t="inlineStr">
        <is>
          <t>Not individually decided</t>
        </is>
      </c>
      <c r="H832" s="12" t="inlineStr">
        <is>
          <t xml:space="preserve">APPROVED / ONE_TO_ONE; </t>
        </is>
      </c>
      <c r="I832" s="12" t="inlineStr">
        <is>
          <t>New</t>
        </is>
      </c>
      <c r="J832" s="17" t="inlineStr">
        <is>
          <t>08 CROSSWALK</t>
        </is>
      </c>
    </row>
    <row r="833" ht="49" customHeight="1">
      <c r="A833" s="12" t="inlineStr">
        <is>
          <t>R553-v1</t>
        </is>
      </c>
      <c r="B833" s="12" t="inlineStr">
        <is>
          <t>Contractor Programme / SCH-04-013</t>
        </is>
      </c>
      <c r="C833" s="12" t="inlineStr">
        <is>
          <t>WBS Code = 1.4.1</t>
        </is>
      </c>
      <c r="D833" s="12" t="inlineStr">
        <is>
          <t>Proposed by Source assignment; target 1.4.1 Vehicles and Depot - Fleet Supply</t>
        </is>
      </c>
      <c r="E833" s="12" t="inlineStr">
        <is>
          <t>None recorded</t>
        </is>
      </c>
      <c r="F833" s="12" t="inlineStr">
        <is>
          <t>No individual professional decision recorded; Source assignment -- not individually reviewed</t>
        </is>
      </c>
      <c r="G833" s="12" t="inlineStr">
        <is>
          <t>Not individually decided</t>
        </is>
      </c>
      <c r="H833" s="12" t="inlineStr">
        <is>
          <t xml:space="preserve">APPROVED / ONE_TO_ONE; </t>
        </is>
      </c>
      <c r="I833" s="12" t="inlineStr">
        <is>
          <t>New</t>
        </is>
      </c>
      <c r="J833" s="17" t="inlineStr">
        <is>
          <t>08 CROSSWALK</t>
        </is>
      </c>
    </row>
    <row r="834" ht="49" customHeight="1">
      <c r="A834" s="12" t="inlineStr">
        <is>
          <t>R554-v1</t>
        </is>
      </c>
      <c r="B834" s="12" t="inlineStr">
        <is>
          <t>Contractor Programme / SCH-04-014</t>
        </is>
      </c>
      <c r="C834" s="12" t="inlineStr">
        <is>
          <t>WBS Code = 1.4.1</t>
        </is>
      </c>
      <c r="D834" s="12" t="inlineStr">
        <is>
          <t>Proposed by Source assignment; target 1.4.1 Vehicles and Depot - Fleet Supply</t>
        </is>
      </c>
      <c r="E834" s="12" t="inlineStr">
        <is>
          <t>None recorded</t>
        </is>
      </c>
      <c r="F834" s="12" t="inlineStr">
        <is>
          <t>No individual professional decision recorded; Source assignment -- not individually reviewed</t>
        </is>
      </c>
      <c r="G834" s="12" t="inlineStr">
        <is>
          <t>Not individually decided</t>
        </is>
      </c>
      <c r="H834" s="12" t="inlineStr">
        <is>
          <t xml:space="preserve">APPROVED / ONE_TO_ONE; </t>
        </is>
      </c>
      <c r="I834" s="12" t="inlineStr">
        <is>
          <t>New</t>
        </is>
      </c>
      <c r="J834" s="17" t="inlineStr">
        <is>
          <t>08 CROSSWALK</t>
        </is>
      </c>
    </row>
    <row r="835" ht="49" customHeight="1">
      <c r="A835" s="12" t="inlineStr">
        <is>
          <t>R556-v1</t>
        </is>
      </c>
      <c r="B835" s="12" t="inlineStr">
        <is>
          <t>Contractor Programme / SCH-04-016</t>
        </is>
      </c>
      <c r="C835" s="12" t="inlineStr">
        <is>
          <t>WBS Code = 1.4.1</t>
        </is>
      </c>
      <c r="D835" s="12" t="inlineStr">
        <is>
          <t>Proposed by Source assignment; target 1.4.1 Vehicles and Depot - Fleet Supply</t>
        </is>
      </c>
      <c r="E835" s="12" t="inlineStr">
        <is>
          <t>None recorded</t>
        </is>
      </c>
      <c r="F835" s="12" t="inlineStr">
        <is>
          <t>No individual professional decision recorded; Source assignment -- not individually reviewed</t>
        </is>
      </c>
      <c r="G835" s="12" t="inlineStr">
        <is>
          <t>Not individually decided</t>
        </is>
      </c>
      <c r="H835" s="12" t="inlineStr">
        <is>
          <t xml:space="preserve">APPROVED / ONE_TO_ONE; </t>
        </is>
      </c>
      <c r="I835" s="12" t="inlineStr">
        <is>
          <t>New</t>
        </is>
      </c>
      <c r="J835" s="17" t="inlineStr">
        <is>
          <t>08 CROSSWALK</t>
        </is>
      </c>
    </row>
    <row r="836" ht="49" customHeight="1">
      <c r="A836" s="12" t="inlineStr">
        <is>
          <t>R557-v1</t>
        </is>
      </c>
      <c r="B836" s="12" t="inlineStr">
        <is>
          <t>Contractor Programme / SCH-04-017</t>
        </is>
      </c>
      <c r="C836" s="12" t="inlineStr">
        <is>
          <t>WBS Code = 1.4.1</t>
        </is>
      </c>
      <c r="D836" s="12" t="inlineStr">
        <is>
          <t>Proposed by Source assignment; target 1.4.1 Vehicles and Depot - Fleet Supply</t>
        </is>
      </c>
      <c r="E836" s="12" t="inlineStr">
        <is>
          <t>None recorded</t>
        </is>
      </c>
      <c r="F836" s="12" t="inlineStr">
        <is>
          <t>No individual professional decision recorded; Source assignment -- not individually reviewed</t>
        </is>
      </c>
      <c r="G836" s="12" t="inlineStr">
        <is>
          <t>Not individually decided</t>
        </is>
      </c>
      <c r="H836" s="12" t="inlineStr">
        <is>
          <t xml:space="preserve">APPROVED / ONE_TO_ONE; </t>
        </is>
      </c>
      <c r="I836" s="12" t="inlineStr">
        <is>
          <t>New</t>
        </is>
      </c>
      <c r="J836" s="17" t="inlineStr">
        <is>
          <t>08 CROSSWALK</t>
        </is>
      </c>
    </row>
    <row r="837" ht="49" customHeight="1">
      <c r="A837" s="12" t="inlineStr">
        <is>
          <t>R559-v1</t>
        </is>
      </c>
      <c r="B837" s="12" t="inlineStr">
        <is>
          <t>Contractor Programme / SCH-04-019</t>
        </is>
      </c>
      <c r="C837" s="12" t="inlineStr">
        <is>
          <t>WBS Code = 1.4.1</t>
        </is>
      </c>
      <c r="D837" s="12" t="inlineStr">
        <is>
          <t>Proposed by Source assignment; target 1.4.1 Vehicles and Depot - Fleet Supply</t>
        </is>
      </c>
      <c r="E837" s="12" t="inlineStr">
        <is>
          <t>None recorded</t>
        </is>
      </c>
      <c r="F837" s="12" t="inlineStr">
        <is>
          <t>No individual professional decision recorded; Source assignment -- not individually reviewed</t>
        </is>
      </c>
      <c r="G837" s="12" t="inlineStr">
        <is>
          <t>Not individually decided</t>
        </is>
      </c>
      <c r="H837" s="12" t="inlineStr">
        <is>
          <t xml:space="preserve">APPROVED / ONE_TO_ONE; </t>
        </is>
      </c>
      <c r="I837" s="12" t="inlineStr">
        <is>
          <t>New</t>
        </is>
      </c>
      <c r="J837" s="17" t="inlineStr">
        <is>
          <t>08 CROSSWALK</t>
        </is>
      </c>
    </row>
    <row r="838" ht="49" customHeight="1">
      <c r="A838" s="12" t="inlineStr">
        <is>
          <t>R560-v1</t>
        </is>
      </c>
      <c r="B838" s="12" t="inlineStr">
        <is>
          <t>Contractor Programme / SCH-04-020</t>
        </is>
      </c>
      <c r="C838" s="12" t="inlineStr">
        <is>
          <t>WBS Code = 1.4.1</t>
        </is>
      </c>
      <c r="D838" s="12" t="inlineStr">
        <is>
          <t>Proposed by Source assignment; target 1.4.1 Vehicles and Depot - Fleet Supply</t>
        </is>
      </c>
      <c r="E838" s="12" t="inlineStr">
        <is>
          <t>None recorded</t>
        </is>
      </c>
      <c r="F838" s="12" t="inlineStr">
        <is>
          <t>No individual professional decision recorded; Source assignment -- not individually reviewed</t>
        </is>
      </c>
      <c r="G838" s="12" t="inlineStr">
        <is>
          <t>Not individually decided</t>
        </is>
      </c>
      <c r="H838" s="12" t="inlineStr">
        <is>
          <t xml:space="preserve">APPROVED / ONE_TO_ONE; </t>
        </is>
      </c>
      <c r="I838" s="12" t="inlineStr">
        <is>
          <t>New</t>
        </is>
      </c>
      <c r="J838" s="17" t="inlineStr">
        <is>
          <t>08 CROSSWALK</t>
        </is>
      </c>
    </row>
    <row r="839" ht="49" customHeight="1">
      <c r="A839" s="12" t="inlineStr">
        <is>
          <t>R562-v1</t>
        </is>
      </c>
      <c r="B839" s="12" t="inlineStr">
        <is>
          <t>Contractor Programme / SCH-04-022</t>
        </is>
      </c>
      <c r="C839" s="12" t="inlineStr">
        <is>
          <t>WBS Code = 1.4.1</t>
        </is>
      </c>
      <c r="D839" s="12" t="inlineStr">
        <is>
          <t>Proposed by Source assignment; target 1.4.1 Vehicles and Depot - Fleet Supply</t>
        </is>
      </c>
      <c r="E839" s="12" t="inlineStr">
        <is>
          <t>None recorded</t>
        </is>
      </c>
      <c r="F839" s="12" t="inlineStr">
        <is>
          <t>No individual professional decision recorded; Source assignment -- not individually reviewed</t>
        </is>
      </c>
      <c r="G839" s="12" t="inlineStr">
        <is>
          <t>Not individually decided</t>
        </is>
      </c>
      <c r="H839" s="12" t="inlineStr">
        <is>
          <t xml:space="preserve">APPROVED / ONE_TO_ONE; </t>
        </is>
      </c>
      <c r="I839" s="12" t="inlineStr">
        <is>
          <t>New</t>
        </is>
      </c>
      <c r="J839" s="17" t="inlineStr">
        <is>
          <t>08 CROSSWALK</t>
        </is>
      </c>
    </row>
    <row r="840" ht="49" customHeight="1">
      <c r="A840" s="12" t="inlineStr">
        <is>
          <t>R563-v1</t>
        </is>
      </c>
      <c r="B840" s="12" t="inlineStr">
        <is>
          <t>Contractor Programme / SCH-04-023</t>
        </is>
      </c>
      <c r="C840" s="12" t="inlineStr">
        <is>
          <t>WBS Code = 1.4.1</t>
        </is>
      </c>
      <c r="D840" s="12" t="inlineStr">
        <is>
          <t>Proposed by Source assignment; target 1.4.1 Vehicles and Depot - Fleet Supply</t>
        </is>
      </c>
      <c r="E840" s="12" t="inlineStr">
        <is>
          <t>None recorded</t>
        </is>
      </c>
      <c r="F840" s="12" t="inlineStr">
        <is>
          <t>No individual professional decision recorded; Source assignment -- not individually reviewed</t>
        </is>
      </c>
      <c r="G840" s="12" t="inlineStr">
        <is>
          <t>Not individually decided</t>
        </is>
      </c>
      <c r="H840" s="12" t="inlineStr">
        <is>
          <t xml:space="preserve">APPROVED / ONE_TO_ONE; </t>
        </is>
      </c>
      <c r="I840" s="12" t="inlineStr">
        <is>
          <t>New</t>
        </is>
      </c>
      <c r="J840" s="17" t="inlineStr">
        <is>
          <t>08 CROSSWALK</t>
        </is>
      </c>
    </row>
    <row r="841" ht="49" customHeight="1">
      <c r="A841" s="12" t="inlineStr">
        <is>
          <t>R565-v1</t>
        </is>
      </c>
      <c r="B841" s="12" t="inlineStr">
        <is>
          <t>Contractor Programme / SCH-04-025</t>
        </is>
      </c>
      <c r="C841" s="12" t="inlineStr">
        <is>
          <t>WBS Code = 1.4.1</t>
        </is>
      </c>
      <c r="D841" s="12" t="inlineStr">
        <is>
          <t>Proposed by Source assignment; target 1.4.1 Vehicles and Depot - Fleet Supply</t>
        </is>
      </c>
      <c r="E841" s="12" t="inlineStr">
        <is>
          <t>None recorded</t>
        </is>
      </c>
      <c r="F841" s="12" t="inlineStr">
        <is>
          <t>No individual professional decision recorded; Source assignment -- not individually reviewed</t>
        </is>
      </c>
      <c r="G841" s="12" t="inlineStr">
        <is>
          <t>Not individually decided</t>
        </is>
      </c>
      <c r="H841" s="12" t="inlineStr">
        <is>
          <t xml:space="preserve">APPROVED / ONE_TO_ONE; </t>
        </is>
      </c>
      <c r="I841" s="12" t="inlineStr">
        <is>
          <t>New</t>
        </is>
      </c>
      <c r="J841" s="17" t="inlineStr">
        <is>
          <t>08 CROSSWALK</t>
        </is>
      </c>
    </row>
    <row r="842" ht="49" customHeight="1">
      <c r="A842" s="12" t="inlineStr">
        <is>
          <t>R566-v1</t>
        </is>
      </c>
      <c r="B842" s="12" t="inlineStr">
        <is>
          <t>Contractor Programme / SCH-04-026</t>
        </is>
      </c>
      <c r="C842" s="12" t="inlineStr">
        <is>
          <t>WBS Code = 1.4.1</t>
        </is>
      </c>
      <c r="D842" s="12" t="inlineStr">
        <is>
          <t>Proposed by Source assignment; target 1.4.1 Vehicles and Depot - Fleet Supply</t>
        </is>
      </c>
      <c r="E842" s="12" t="inlineStr">
        <is>
          <t>None recorded</t>
        </is>
      </c>
      <c r="F842" s="12" t="inlineStr">
        <is>
          <t>No individual professional decision recorded; Source assignment -- not individually reviewed</t>
        </is>
      </c>
      <c r="G842" s="12" t="inlineStr">
        <is>
          <t>Not individually decided</t>
        </is>
      </c>
      <c r="H842" s="12" t="inlineStr">
        <is>
          <t xml:space="preserve">APPROVED / ONE_TO_ONE; </t>
        </is>
      </c>
      <c r="I842" s="12" t="inlineStr">
        <is>
          <t>New</t>
        </is>
      </c>
      <c r="J842" s="17" t="inlineStr">
        <is>
          <t>08 CROSSWALK</t>
        </is>
      </c>
    </row>
    <row r="843" ht="49" customHeight="1">
      <c r="A843" s="12" t="inlineStr">
        <is>
          <t>R568-v1</t>
        </is>
      </c>
      <c r="B843" s="12" t="inlineStr">
        <is>
          <t>Contractor Programme / SCH-04-028</t>
        </is>
      </c>
      <c r="C843" s="12" t="inlineStr">
        <is>
          <t>WBS Code = 1.4.1</t>
        </is>
      </c>
      <c r="D843" s="12" t="inlineStr">
        <is>
          <t>Proposed by Source assignment; target 1.4.1 Vehicles and Depot - Fleet Supply</t>
        </is>
      </c>
      <c r="E843" s="12" t="inlineStr">
        <is>
          <t>None recorded</t>
        </is>
      </c>
      <c r="F843" s="12" t="inlineStr">
        <is>
          <t>No individual professional decision recorded; Source assignment -- not individually reviewed</t>
        </is>
      </c>
      <c r="G843" s="12" t="inlineStr">
        <is>
          <t>Not individually decided</t>
        </is>
      </c>
      <c r="H843" s="12" t="inlineStr">
        <is>
          <t xml:space="preserve">APPROVED / ONE_TO_ONE; </t>
        </is>
      </c>
      <c r="I843" s="12" t="inlineStr">
        <is>
          <t>New</t>
        </is>
      </c>
      <c r="J843" s="17" t="inlineStr">
        <is>
          <t>08 CROSSWALK</t>
        </is>
      </c>
    </row>
    <row r="844" ht="49" customHeight="1">
      <c r="A844" s="12" t="inlineStr">
        <is>
          <t>R569-v1</t>
        </is>
      </c>
      <c r="B844" s="12" t="inlineStr">
        <is>
          <t>Contractor Programme / SCH-04-029</t>
        </is>
      </c>
      <c r="C844" s="12" t="inlineStr">
        <is>
          <t>WBS Code = 1.4.1</t>
        </is>
      </c>
      <c r="D844" s="12" t="inlineStr">
        <is>
          <t>Proposed by Source assignment; target 1.4.1 Vehicles and Depot - Fleet Supply</t>
        </is>
      </c>
      <c r="E844" s="12" t="inlineStr">
        <is>
          <t>None recorded</t>
        </is>
      </c>
      <c r="F844" s="12" t="inlineStr">
        <is>
          <t>No individual professional decision recorded; Source assignment -- not individually reviewed</t>
        </is>
      </c>
      <c r="G844" s="12" t="inlineStr">
        <is>
          <t>Not individually decided</t>
        </is>
      </c>
      <c r="H844" s="12" t="inlineStr">
        <is>
          <t xml:space="preserve">APPROVED / ONE_TO_ONE; </t>
        </is>
      </c>
      <c r="I844" s="12" t="inlineStr">
        <is>
          <t>New</t>
        </is>
      </c>
      <c r="J844" s="17" t="inlineStr">
        <is>
          <t>08 CROSSWALK</t>
        </is>
      </c>
    </row>
    <row r="845" ht="49" customHeight="1">
      <c r="A845" s="12" t="inlineStr">
        <is>
          <t>R571-v1</t>
        </is>
      </c>
      <c r="B845" s="12" t="inlineStr">
        <is>
          <t>Contractor Programme / SCH-04-031</t>
        </is>
      </c>
      <c r="C845" s="12" t="inlineStr">
        <is>
          <t>WBS Code = 1.4.1</t>
        </is>
      </c>
      <c r="D845" s="12" t="inlineStr">
        <is>
          <t>Proposed by Source assignment; target 1.4.1 Vehicles and Depot - Fleet Supply</t>
        </is>
      </c>
      <c r="E845" s="12" t="inlineStr">
        <is>
          <t>None recorded</t>
        </is>
      </c>
      <c r="F845" s="12" t="inlineStr">
        <is>
          <t>No individual professional decision recorded; Source assignment -- not individually reviewed</t>
        </is>
      </c>
      <c r="G845" s="12" t="inlineStr">
        <is>
          <t>Not individually decided</t>
        </is>
      </c>
      <c r="H845" s="12" t="inlineStr">
        <is>
          <t xml:space="preserve">APPROVED / ONE_TO_ONE; </t>
        </is>
      </c>
      <c r="I845" s="12" t="inlineStr">
        <is>
          <t>New</t>
        </is>
      </c>
      <c r="J845" s="17" t="inlineStr">
        <is>
          <t>08 CROSSWALK</t>
        </is>
      </c>
    </row>
    <row r="846" ht="49" customHeight="1">
      <c r="A846" s="12" t="inlineStr">
        <is>
          <t>R572-v1</t>
        </is>
      </c>
      <c r="B846" s="12" t="inlineStr">
        <is>
          <t>Contractor Programme / SCH-04-032</t>
        </is>
      </c>
      <c r="C846" s="12" t="inlineStr">
        <is>
          <t>WBS Code = 1.4.1</t>
        </is>
      </c>
      <c r="D846" s="12" t="inlineStr">
        <is>
          <t>Proposed by Source assignment; target 1.4.1 Vehicles and Depot - Fleet Supply</t>
        </is>
      </c>
      <c r="E846" s="12" t="inlineStr">
        <is>
          <t>None recorded</t>
        </is>
      </c>
      <c r="F846" s="12" t="inlineStr">
        <is>
          <t>No individual professional decision recorded; Source assignment -- not individually reviewed</t>
        </is>
      </c>
      <c r="G846" s="12" t="inlineStr">
        <is>
          <t>Not individually decided</t>
        </is>
      </c>
      <c r="H846" s="12" t="inlineStr">
        <is>
          <t xml:space="preserve">APPROVED / ONE_TO_ONE; </t>
        </is>
      </c>
      <c r="I846" s="12" t="inlineStr">
        <is>
          <t>New</t>
        </is>
      </c>
      <c r="J846" s="17" t="inlineStr">
        <is>
          <t>08 CROSSWALK</t>
        </is>
      </c>
    </row>
    <row r="847" ht="49" customHeight="1">
      <c r="A847" s="12" t="inlineStr">
        <is>
          <t>R574-v1</t>
        </is>
      </c>
      <c r="B847" s="12" t="inlineStr">
        <is>
          <t>Contractor Programme / SCH-04-034</t>
        </is>
      </c>
      <c r="C847" s="12" t="inlineStr">
        <is>
          <t>WBS Code = 1.4.1</t>
        </is>
      </c>
      <c r="D847" s="12" t="inlineStr">
        <is>
          <t>Proposed by Source assignment; target 1.4.1 Vehicles and Depot - Fleet Supply</t>
        </is>
      </c>
      <c r="E847" s="12" t="inlineStr">
        <is>
          <t>None recorded</t>
        </is>
      </c>
      <c r="F847" s="12" t="inlineStr">
        <is>
          <t>No individual professional decision recorded; Source assignment -- not individually reviewed</t>
        </is>
      </c>
      <c r="G847" s="12" t="inlineStr">
        <is>
          <t>Not individually decided</t>
        </is>
      </c>
      <c r="H847" s="12" t="inlineStr">
        <is>
          <t xml:space="preserve">APPROVED / ONE_TO_ONE; </t>
        </is>
      </c>
      <c r="I847" s="12" t="inlineStr">
        <is>
          <t>New</t>
        </is>
      </c>
      <c r="J847" s="17" t="inlineStr">
        <is>
          <t>08 CROSSWALK</t>
        </is>
      </c>
    </row>
    <row r="848" ht="49" customHeight="1">
      <c r="A848" s="12" t="inlineStr">
        <is>
          <t>R575-v1</t>
        </is>
      </c>
      <c r="B848" s="12" t="inlineStr">
        <is>
          <t>Contractor Programme / SCH-04-035</t>
        </is>
      </c>
      <c r="C848" s="12" t="inlineStr">
        <is>
          <t>WBS Code = 1.4.1</t>
        </is>
      </c>
      <c r="D848" s="12" t="inlineStr">
        <is>
          <t>Proposed by Source assignment; target 1.4.1 Vehicles and Depot - Fleet Supply</t>
        </is>
      </c>
      <c r="E848" s="12" t="inlineStr">
        <is>
          <t>None recorded</t>
        </is>
      </c>
      <c r="F848" s="12" t="inlineStr">
        <is>
          <t>No individual professional decision recorded; Source assignment -- not individually reviewed</t>
        </is>
      </c>
      <c r="G848" s="12" t="inlineStr">
        <is>
          <t>Not individually decided</t>
        </is>
      </c>
      <c r="H848" s="12" t="inlineStr">
        <is>
          <t xml:space="preserve">APPROVED / ONE_TO_ONE; </t>
        </is>
      </c>
      <c r="I848" s="12" t="inlineStr">
        <is>
          <t>New</t>
        </is>
      </c>
      <c r="J848" s="17" t="inlineStr">
        <is>
          <t>08 CROSSWALK</t>
        </is>
      </c>
    </row>
    <row r="849" ht="49" customHeight="1">
      <c r="A849" s="12" t="inlineStr">
        <is>
          <t>R577-v1</t>
        </is>
      </c>
      <c r="B849" s="12" t="inlineStr">
        <is>
          <t>Contractor Programme / SCH-04-037</t>
        </is>
      </c>
      <c r="C849" s="12" t="inlineStr">
        <is>
          <t>WBS Code = 1.4.1</t>
        </is>
      </c>
      <c r="D849" s="12" t="inlineStr">
        <is>
          <t>Proposed by Source assignment; target 1.4.1 Vehicles and Depot - Fleet Supply</t>
        </is>
      </c>
      <c r="E849" s="12" t="inlineStr">
        <is>
          <t>None recorded</t>
        </is>
      </c>
      <c r="F849" s="12" t="inlineStr">
        <is>
          <t>No individual professional decision recorded; Source assignment -- not individually reviewed</t>
        </is>
      </c>
      <c r="G849" s="12" t="inlineStr">
        <is>
          <t>Not individually decided</t>
        </is>
      </c>
      <c r="H849" s="12" t="inlineStr">
        <is>
          <t xml:space="preserve">APPROVED / ONE_TO_ONE; </t>
        </is>
      </c>
      <c r="I849" s="12" t="inlineStr">
        <is>
          <t>New</t>
        </is>
      </c>
      <c r="J849" s="17" t="inlineStr">
        <is>
          <t>08 CROSSWALK</t>
        </is>
      </c>
    </row>
    <row r="850" ht="49" customHeight="1">
      <c r="A850" s="12" t="inlineStr">
        <is>
          <t>R578-v1</t>
        </is>
      </c>
      <c r="B850" s="12" t="inlineStr">
        <is>
          <t>Contractor Programme / SCH-04-038</t>
        </is>
      </c>
      <c r="C850" s="12" t="inlineStr">
        <is>
          <t>WBS Code = 1.4.1</t>
        </is>
      </c>
      <c r="D850" s="12" t="inlineStr">
        <is>
          <t>Proposed by Source assignment; target 1.4.1 Vehicles and Depot - Fleet Supply</t>
        </is>
      </c>
      <c r="E850" s="12" t="inlineStr">
        <is>
          <t>None recorded</t>
        </is>
      </c>
      <c r="F850" s="12" t="inlineStr">
        <is>
          <t>No individual professional decision recorded; Source assignment -- not individually reviewed</t>
        </is>
      </c>
      <c r="G850" s="12" t="inlineStr">
        <is>
          <t>Not individually decided</t>
        </is>
      </c>
      <c r="H850" s="12" t="inlineStr">
        <is>
          <t xml:space="preserve">APPROVED / ONE_TO_ONE; </t>
        </is>
      </c>
      <c r="I850" s="12" t="inlineStr">
        <is>
          <t>New</t>
        </is>
      </c>
      <c r="J850" s="17" t="inlineStr">
        <is>
          <t>08 CROSSWALK</t>
        </is>
      </c>
    </row>
    <row r="851" ht="49" customHeight="1">
      <c r="A851" s="12" t="inlineStr">
        <is>
          <t>R580-v1</t>
        </is>
      </c>
      <c r="B851" s="12" t="inlineStr">
        <is>
          <t>Contractor Programme / SCH-04-040</t>
        </is>
      </c>
      <c r="C851" s="12" t="inlineStr">
        <is>
          <t>WBS Code = 1.4.1</t>
        </is>
      </c>
      <c r="D851" s="12" t="inlineStr">
        <is>
          <t>Proposed by Source assignment; target 1.4.1 Vehicles and Depot - Fleet Supply</t>
        </is>
      </c>
      <c r="E851" s="12" t="inlineStr">
        <is>
          <t>None recorded</t>
        </is>
      </c>
      <c r="F851" s="12" t="inlineStr">
        <is>
          <t>No individual professional decision recorded; Source assignment -- not individually reviewed</t>
        </is>
      </c>
      <c r="G851" s="12" t="inlineStr">
        <is>
          <t>Not individually decided</t>
        </is>
      </c>
      <c r="H851" s="12" t="inlineStr">
        <is>
          <t xml:space="preserve">APPROVED / ONE_TO_ONE; </t>
        </is>
      </c>
      <c r="I851" s="12" t="inlineStr">
        <is>
          <t>New</t>
        </is>
      </c>
      <c r="J851" s="17" t="inlineStr">
        <is>
          <t>08 CROSSWALK</t>
        </is>
      </c>
    </row>
    <row r="852" ht="49" customHeight="1">
      <c r="A852" s="12" t="inlineStr">
        <is>
          <t>R581-v1</t>
        </is>
      </c>
      <c r="B852" s="12" t="inlineStr">
        <is>
          <t>Contractor Programme / SCH-04-041</t>
        </is>
      </c>
      <c r="C852" s="12" t="inlineStr">
        <is>
          <t>WBS Code = 1.4.1</t>
        </is>
      </c>
      <c r="D852" s="12" t="inlineStr">
        <is>
          <t>Proposed by Source assignment; target 1.4.1 Vehicles and Depot - Fleet Supply</t>
        </is>
      </c>
      <c r="E852" s="12" t="inlineStr">
        <is>
          <t>None recorded</t>
        </is>
      </c>
      <c r="F852" s="12" t="inlineStr">
        <is>
          <t>No individual professional decision recorded; Source assignment -- not individually reviewed</t>
        </is>
      </c>
      <c r="G852" s="12" t="inlineStr">
        <is>
          <t>Not individually decided</t>
        </is>
      </c>
      <c r="H852" s="12" t="inlineStr">
        <is>
          <t xml:space="preserve">APPROVED / ONE_TO_ONE; </t>
        </is>
      </c>
      <c r="I852" s="12" t="inlineStr">
        <is>
          <t>New</t>
        </is>
      </c>
      <c r="J852" s="17" t="inlineStr">
        <is>
          <t>08 CROSSWALK</t>
        </is>
      </c>
    </row>
    <row r="853" ht="49" customHeight="1">
      <c r="A853" s="12" t="inlineStr">
        <is>
          <t>R583-v1</t>
        </is>
      </c>
      <c r="B853" s="12" t="inlineStr">
        <is>
          <t>Contractor Programme / SCH-04-043</t>
        </is>
      </c>
      <c r="C853" s="12" t="inlineStr">
        <is>
          <t>WBS Code = 1.4.1</t>
        </is>
      </c>
      <c r="D853" s="12" t="inlineStr">
        <is>
          <t>Proposed by Source assignment; target 1.4.1 Vehicles and Depot - Fleet Supply</t>
        </is>
      </c>
      <c r="E853" s="12" t="inlineStr">
        <is>
          <t>None recorded</t>
        </is>
      </c>
      <c r="F853" s="12" t="inlineStr">
        <is>
          <t>No individual professional decision recorded; Source assignment -- not individually reviewed</t>
        </is>
      </c>
      <c r="G853" s="12" t="inlineStr">
        <is>
          <t>Not individually decided</t>
        </is>
      </c>
      <c r="H853" s="12" t="inlineStr">
        <is>
          <t xml:space="preserve">APPROVED / ONE_TO_ONE; </t>
        </is>
      </c>
      <c r="I853" s="12" t="inlineStr">
        <is>
          <t>New</t>
        </is>
      </c>
      <c r="J853" s="17" t="inlineStr">
        <is>
          <t>08 CROSSWALK</t>
        </is>
      </c>
    </row>
    <row r="854" ht="49" customHeight="1">
      <c r="A854" s="12" t="inlineStr">
        <is>
          <t>R584-v1</t>
        </is>
      </c>
      <c r="B854" s="12" t="inlineStr">
        <is>
          <t>Contractor Programme / SCH-04-044</t>
        </is>
      </c>
      <c r="C854" s="12" t="inlineStr">
        <is>
          <t>WBS Code = 1.4.1</t>
        </is>
      </c>
      <c r="D854" s="12" t="inlineStr">
        <is>
          <t>Proposed by Source assignment; target 1.4.1 Vehicles and Depot - Fleet Supply</t>
        </is>
      </c>
      <c r="E854" s="12" t="inlineStr">
        <is>
          <t>None recorded</t>
        </is>
      </c>
      <c r="F854" s="12" t="inlineStr">
        <is>
          <t>No individual professional decision recorded; Source assignment -- not individually reviewed</t>
        </is>
      </c>
      <c r="G854" s="12" t="inlineStr">
        <is>
          <t>Not individually decided</t>
        </is>
      </c>
      <c r="H854" s="12" t="inlineStr">
        <is>
          <t xml:space="preserve">APPROVED / ONE_TO_ONE; </t>
        </is>
      </c>
      <c r="I854" s="12" t="inlineStr">
        <is>
          <t>New</t>
        </is>
      </c>
      <c r="J854" s="17" t="inlineStr">
        <is>
          <t>08 CROSSWALK</t>
        </is>
      </c>
    </row>
    <row r="855" ht="49" customHeight="1">
      <c r="A855" s="12" t="inlineStr">
        <is>
          <t>R586-v1</t>
        </is>
      </c>
      <c r="B855" s="12" t="inlineStr">
        <is>
          <t>Contractor Programme / SCH-04-046</t>
        </is>
      </c>
      <c r="C855" s="12" t="inlineStr">
        <is>
          <t>WBS Code = 1.4.1</t>
        </is>
      </c>
      <c r="D855" s="12" t="inlineStr">
        <is>
          <t>Proposed by Source assignment; target 1.4.1 Vehicles and Depot - Fleet Supply</t>
        </is>
      </c>
      <c r="E855" s="12" t="inlineStr">
        <is>
          <t>None recorded</t>
        </is>
      </c>
      <c r="F855" s="12" t="inlineStr">
        <is>
          <t>No individual professional decision recorded; Source assignment -- not individually reviewed</t>
        </is>
      </c>
      <c r="G855" s="12" t="inlineStr">
        <is>
          <t>Not individually decided</t>
        </is>
      </c>
      <c r="H855" s="12" t="inlineStr">
        <is>
          <t xml:space="preserve">APPROVED / ONE_TO_ONE; </t>
        </is>
      </c>
      <c r="I855" s="12" t="inlineStr">
        <is>
          <t>New</t>
        </is>
      </c>
      <c r="J855" s="17" t="inlineStr">
        <is>
          <t>08 CROSSWALK</t>
        </is>
      </c>
    </row>
    <row r="856" ht="49" customHeight="1">
      <c r="A856" s="12" t="inlineStr">
        <is>
          <t>R587-v1</t>
        </is>
      </c>
      <c r="B856" s="12" t="inlineStr">
        <is>
          <t>Contractor Programme / SCH-04-047</t>
        </is>
      </c>
      <c r="C856" s="12" t="inlineStr">
        <is>
          <t>WBS Code = 1.4.1</t>
        </is>
      </c>
      <c r="D856" s="12" t="inlineStr">
        <is>
          <t>Proposed by Source assignment; target 1.4.1 Vehicles and Depot - Fleet Supply</t>
        </is>
      </c>
      <c r="E856" s="12" t="inlineStr">
        <is>
          <t>None recorded</t>
        </is>
      </c>
      <c r="F856" s="12" t="inlineStr">
        <is>
          <t>No individual professional decision recorded; Source assignment -- not individually reviewed</t>
        </is>
      </c>
      <c r="G856" s="12" t="inlineStr">
        <is>
          <t>Not individually decided</t>
        </is>
      </c>
      <c r="H856" s="12" t="inlineStr">
        <is>
          <t xml:space="preserve">APPROVED / ONE_TO_ONE; </t>
        </is>
      </c>
      <c r="I856" s="12" t="inlineStr">
        <is>
          <t>New</t>
        </is>
      </c>
      <c r="J856" s="17" t="inlineStr">
        <is>
          <t>08 CROSSWALK</t>
        </is>
      </c>
    </row>
    <row r="857" ht="49" customHeight="1">
      <c r="A857" s="12" t="inlineStr">
        <is>
          <t>R589-v1</t>
        </is>
      </c>
      <c r="B857" s="12" t="inlineStr">
        <is>
          <t>Contractor Programme / SCH-04-049</t>
        </is>
      </c>
      <c r="C857" s="12" t="inlineStr">
        <is>
          <t>WBS Code = 1.4.1</t>
        </is>
      </c>
      <c r="D857" s="12" t="inlineStr">
        <is>
          <t>Proposed by Source assignment; target 1.4.1 Vehicles and Depot - Fleet Supply</t>
        </is>
      </c>
      <c r="E857" s="12" t="inlineStr">
        <is>
          <t>None recorded</t>
        </is>
      </c>
      <c r="F857" s="12" t="inlineStr">
        <is>
          <t>No individual professional decision recorded; Source assignment -- not individually reviewed</t>
        </is>
      </c>
      <c r="G857" s="12" t="inlineStr">
        <is>
          <t>Not individually decided</t>
        </is>
      </c>
      <c r="H857" s="12" t="inlineStr">
        <is>
          <t xml:space="preserve">APPROVED / ONE_TO_ONE; </t>
        </is>
      </c>
      <c r="I857" s="12" t="inlineStr">
        <is>
          <t>New</t>
        </is>
      </c>
      <c r="J857" s="17" t="inlineStr">
        <is>
          <t>08 CROSSWALK</t>
        </is>
      </c>
    </row>
    <row r="858" ht="49" customHeight="1">
      <c r="A858" s="12" t="inlineStr">
        <is>
          <t>R590-v1</t>
        </is>
      </c>
      <c r="B858" s="12" t="inlineStr">
        <is>
          <t>Contractor Programme / SCH-04-050</t>
        </is>
      </c>
      <c r="C858" s="12" t="inlineStr">
        <is>
          <t>WBS Code = 1.4.1</t>
        </is>
      </c>
      <c r="D858" s="12" t="inlineStr">
        <is>
          <t>Proposed by Source assignment; target 1.4.1 Vehicles and Depot - Fleet Supply</t>
        </is>
      </c>
      <c r="E858" s="12" t="inlineStr">
        <is>
          <t>None recorded</t>
        </is>
      </c>
      <c r="F858" s="12" t="inlineStr">
        <is>
          <t>No individual professional decision recorded; Source assignment -- not individually reviewed</t>
        </is>
      </c>
      <c r="G858" s="12" t="inlineStr">
        <is>
          <t>Not individually decided</t>
        </is>
      </c>
      <c r="H858" s="12" t="inlineStr">
        <is>
          <t xml:space="preserve">APPROVED / ONE_TO_ONE; </t>
        </is>
      </c>
      <c r="I858" s="12" t="inlineStr">
        <is>
          <t>New</t>
        </is>
      </c>
      <c r="J858" s="17" t="inlineStr">
        <is>
          <t>08 CROSSWALK</t>
        </is>
      </c>
    </row>
    <row r="859" ht="49" customHeight="1">
      <c r="A859" s="12" t="inlineStr">
        <is>
          <t>R592-v1</t>
        </is>
      </c>
      <c r="B859" s="12" t="inlineStr">
        <is>
          <t>Contractor Programme / SCH-04-052</t>
        </is>
      </c>
      <c r="C859" s="12" t="inlineStr">
        <is>
          <t>WBS Code = 1.4.1</t>
        </is>
      </c>
      <c r="D859" s="12" t="inlineStr">
        <is>
          <t>Proposed by Source assignment; target 1.4.1 Vehicles and Depot - Fleet Supply</t>
        </is>
      </c>
      <c r="E859" s="12" t="inlineStr">
        <is>
          <t>None recorded</t>
        </is>
      </c>
      <c r="F859" s="12" t="inlineStr">
        <is>
          <t>No individual professional decision recorded; Source assignment -- not individually reviewed</t>
        </is>
      </c>
      <c r="G859" s="12" t="inlineStr">
        <is>
          <t>Not individually decided</t>
        </is>
      </c>
      <c r="H859" s="12" t="inlineStr">
        <is>
          <t xml:space="preserve">APPROVED / ONE_TO_ONE; </t>
        </is>
      </c>
      <c r="I859" s="12" t="inlineStr">
        <is>
          <t>New</t>
        </is>
      </c>
      <c r="J859" s="17" t="inlineStr">
        <is>
          <t>08 CROSSWALK</t>
        </is>
      </c>
    </row>
    <row r="860" ht="49" customHeight="1">
      <c r="A860" s="12" t="inlineStr">
        <is>
          <t>R593-v1</t>
        </is>
      </c>
      <c r="B860" s="12" t="inlineStr">
        <is>
          <t>Contractor Programme / SCH-04-053</t>
        </is>
      </c>
      <c r="C860" s="12" t="inlineStr">
        <is>
          <t>WBS Code = 1.4.1</t>
        </is>
      </c>
      <c r="D860" s="12" t="inlineStr">
        <is>
          <t>Proposed by Source assignment; target 1.4.1 Vehicles and Depot - Fleet Supply</t>
        </is>
      </c>
      <c r="E860" s="12" t="inlineStr">
        <is>
          <t>None recorded</t>
        </is>
      </c>
      <c r="F860" s="12" t="inlineStr">
        <is>
          <t>No individual professional decision recorded; Source assignment -- not individually reviewed</t>
        </is>
      </c>
      <c r="G860" s="12" t="inlineStr">
        <is>
          <t>Not individually decided</t>
        </is>
      </c>
      <c r="H860" s="12" t="inlineStr">
        <is>
          <t xml:space="preserve">APPROVED / ONE_TO_ONE; </t>
        </is>
      </c>
      <c r="I860" s="12" t="inlineStr">
        <is>
          <t>New</t>
        </is>
      </c>
      <c r="J860" s="17" t="inlineStr">
        <is>
          <t>08 CROSSWALK</t>
        </is>
      </c>
    </row>
    <row r="861" ht="49" customHeight="1">
      <c r="A861" s="12" t="inlineStr">
        <is>
          <t>R595-v1</t>
        </is>
      </c>
      <c r="B861" s="12" t="inlineStr">
        <is>
          <t>Contractor Programme / SCH-04-055</t>
        </is>
      </c>
      <c r="C861" s="12" t="inlineStr">
        <is>
          <t>WBS Code = 1.4.1</t>
        </is>
      </c>
      <c r="D861" s="12" t="inlineStr">
        <is>
          <t>Proposed by Source assignment; target 1.4.1 Vehicles and Depot - Fleet Supply</t>
        </is>
      </c>
      <c r="E861" s="12" t="inlineStr">
        <is>
          <t>None recorded</t>
        </is>
      </c>
      <c r="F861" s="12" t="inlineStr">
        <is>
          <t>No individual professional decision recorded; Source assignment -- not individually reviewed</t>
        </is>
      </c>
      <c r="G861" s="12" t="inlineStr">
        <is>
          <t>Not individually decided</t>
        </is>
      </c>
      <c r="H861" s="12" t="inlineStr">
        <is>
          <t xml:space="preserve">APPROVED / ONE_TO_ONE; </t>
        </is>
      </c>
      <c r="I861" s="12" t="inlineStr">
        <is>
          <t>New</t>
        </is>
      </c>
      <c r="J861" s="17" t="inlineStr">
        <is>
          <t>08 CROSSWALK</t>
        </is>
      </c>
    </row>
    <row r="862" ht="49" customHeight="1">
      <c r="A862" s="12" t="inlineStr">
        <is>
          <t>R596-v1</t>
        </is>
      </c>
      <c r="B862" s="12" t="inlineStr">
        <is>
          <t>Contractor Programme / SCH-04-056</t>
        </is>
      </c>
      <c r="C862" s="12" t="inlineStr">
        <is>
          <t>WBS Code = 1.4.1</t>
        </is>
      </c>
      <c r="D862" s="12" t="inlineStr">
        <is>
          <t>Proposed by Source assignment; target 1.4.1 Vehicles and Depot - Fleet Supply</t>
        </is>
      </c>
      <c r="E862" s="12" t="inlineStr">
        <is>
          <t>None recorded</t>
        </is>
      </c>
      <c r="F862" s="12" t="inlineStr">
        <is>
          <t>No individual professional decision recorded; Source assignment -- not individually reviewed</t>
        </is>
      </c>
      <c r="G862" s="12" t="inlineStr">
        <is>
          <t>Not individually decided</t>
        </is>
      </c>
      <c r="H862" s="12" t="inlineStr">
        <is>
          <t xml:space="preserve">APPROVED / ONE_TO_ONE; </t>
        </is>
      </c>
      <c r="I862" s="12" t="inlineStr">
        <is>
          <t>New</t>
        </is>
      </c>
      <c r="J862" s="17" t="inlineStr">
        <is>
          <t>08 CROSSWALK</t>
        </is>
      </c>
    </row>
    <row r="863" ht="49" customHeight="1">
      <c r="A863" s="12" t="inlineStr">
        <is>
          <t>R598-v1</t>
        </is>
      </c>
      <c r="B863" s="12" t="inlineStr">
        <is>
          <t>Contractor Programme / SCH-04-058</t>
        </is>
      </c>
      <c r="C863" s="12" t="inlineStr">
        <is>
          <t>WBS Code = 1.4.1</t>
        </is>
      </c>
      <c r="D863" s="12" t="inlineStr">
        <is>
          <t>Proposed by Source assignment; target 1.4.1 Vehicles and Depot - Fleet Supply</t>
        </is>
      </c>
      <c r="E863" s="12" t="inlineStr">
        <is>
          <t>None recorded</t>
        </is>
      </c>
      <c r="F863" s="12" t="inlineStr">
        <is>
          <t>No individual professional decision recorded; Source assignment -- not individually reviewed</t>
        </is>
      </c>
      <c r="G863" s="12" t="inlineStr">
        <is>
          <t>Not individually decided</t>
        </is>
      </c>
      <c r="H863" s="12" t="inlineStr">
        <is>
          <t xml:space="preserve">APPROVED / ONE_TO_ONE; </t>
        </is>
      </c>
      <c r="I863" s="12" t="inlineStr">
        <is>
          <t>New</t>
        </is>
      </c>
      <c r="J863" s="17" t="inlineStr">
        <is>
          <t>08 CROSSWALK</t>
        </is>
      </c>
    </row>
    <row r="864" ht="49" customHeight="1">
      <c r="A864" s="12" t="inlineStr">
        <is>
          <t>R599-v1</t>
        </is>
      </c>
      <c r="B864" s="12" t="inlineStr">
        <is>
          <t>Contractor Programme / SCH-04-059</t>
        </is>
      </c>
      <c r="C864" s="12" t="inlineStr">
        <is>
          <t>WBS Code = 1.4.1</t>
        </is>
      </c>
      <c r="D864" s="12" t="inlineStr">
        <is>
          <t>Proposed by Source assignment; target 1.4.1 Vehicles and Depot - Fleet Supply</t>
        </is>
      </c>
      <c r="E864" s="12" t="inlineStr">
        <is>
          <t>None recorded</t>
        </is>
      </c>
      <c r="F864" s="12" t="inlineStr">
        <is>
          <t>No individual professional decision recorded; Source assignment -- not individually reviewed</t>
        </is>
      </c>
      <c r="G864" s="12" t="inlineStr">
        <is>
          <t>Not individually decided</t>
        </is>
      </c>
      <c r="H864" s="12" t="inlineStr">
        <is>
          <t xml:space="preserve">APPROVED / ONE_TO_ONE; </t>
        </is>
      </c>
      <c r="I864" s="12" t="inlineStr">
        <is>
          <t>New</t>
        </is>
      </c>
      <c r="J864" s="17" t="inlineStr">
        <is>
          <t>08 CROSSWALK</t>
        </is>
      </c>
    </row>
    <row r="865" ht="49" customHeight="1">
      <c r="A865" s="12" t="inlineStr">
        <is>
          <t>R601-v1</t>
        </is>
      </c>
      <c r="B865" s="12" t="inlineStr">
        <is>
          <t>Contractor Programme / SCH-04-061</t>
        </is>
      </c>
      <c r="C865" s="12" t="inlineStr">
        <is>
          <t>WBS Code = 1.4.1</t>
        </is>
      </c>
      <c r="D865" s="12" t="inlineStr">
        <is>
          <t>Proposed by Source assignment; target 1.4.1 Vehicles and Depot - Fleet Supply</t>
        </is>
      </c>
      <c r="E865" s="12" t="inlineStr">
        <is>
          <t>None recorded</t>
        </is>
      </c>
      <c r="F865" s="12" t="inlineStr">
        <is>
          <t>No individual professional decision recorded; Source assignment -- not individually reviewed</t>
        </is>
      </c>
      <c r="G865" s="12" t="inlineStr">
        <is>
          <t>Not individually decided</t>
        </is>
      </c>
      <c r="H865" s="12" t="inlineStr">
        <is>
          <t xml:space="preserve">APPROVED / ONE_TO_ONE; </t>
        </is>
      </c>
      <c r="I865" s="12" t="inlineStr">
        <is>
          <t>New</t>
        </is>
      </c>
      <c r="J865" s="17" t="inlineStr">
        <is>
          <t>08 CROSSWALK</t>
        </is>
      </c>
    </row>
    <row r="866" ht="49" customHeight="1">
      <c r="A866" s="12" t="inlineStr">
        <is>
          <t>R602-v1</t>
        </is>
      </c>
      <c r="B866" s="12" t="inlineStr">
        <is>
          <t>Contractor Programme / SCH-04-062</t>
        </is>
      </c>
      <c r="C866" s="12" t="inlineStr">
        <is>
          <t>WBS Code = 1.4.1</t>
        </is>
      </c>
      <c r="D866" s="12" t="inlineStr">
        <is>
          <t>Proposed by Source assignment; target 1.4.1 Vehicles and Depot - Fleet Supply</t>
        </is>
      </c>
      <c r="E866" s="12" t="inlineStr">
        <is>
          <t>None recorded</t>
        </is>
      </c>
      <c r="F866" s="12" t="inlineStr">
        <is>
          <t>No individual professional decision recorded; Source assignment -- not individually reviewed</t>
        </is>
      </c>
      <c r="G866" s="12" t="inlineStr">
        <is>
          <t>Not individually decided</t>
        </is>
      </c>
      <c r="H866" s="12" t="inlineStr">
        <is>
          <t xml:space="preserve">APPROVED / ONE_TO_ONE; </t>
        </is>
      </c>
      <c r="I866" s="12" t="inlineStr">
        <is>
          <t>New</t>
        </is>
      </c>
      <c r="J866" s="17" t="inlineStr">
        <is>
          <t>08 CROSSWALK</t>
        </is>
      </c>
    </row>
    <row r="867" ht="49" customHeight="1">
      <c r="A867" s="12" t="inlineStr">
        <is>
          <t>R604-v1</t>
        </is>
      </c>
      <c r="B867" s="12" t="inlineStr">
        <is>
          <t>Contractor Programme / SCH-04-064</t>
        </is>
      </c>
      <c r="C867" s="12" t="inlineStr">
        <is>
          <t>WBS Code = 1.4.1</t>
        </is>
      </c>
      <c r="D867" s="12" t="inlineStr">
        <is>
          <t>Proposed by Source assignment; target 1.4.1 Vehicles and Depot - Fleet Supply</t>
        </is>
      </c>
      <c r="E867" s="12" t="inlineStr">
        <is>
          <t>None recorded</t>
        </is>
      </c>
      <c r="F867" s="12" t="inlineStr">
        <is>
          <t>No individual professional decision recorded; Source assignment -- not individually reviewed</t>
        </is>
      </c>
      <c r="G867" s="12" t="inlineStr">
        <is>
          <t>Not individually decided</t>
        </is>
      </c>
      <c r="H867" s="12" t="inlineStr">
        <is>
          <t xml:space="preserve">APPROVED / ONE_TO_ONE; </t>
        </is>
      </c>
      <c r="I867" s="12" t="inlineStr">
        <is>
          <t>New</t>
        </is>
      </c>
      <c r="J867" s="17" t="inlineStr">
        <is>
          <t>08 CROSSWALK</t>
        </is>
      </c>
    </row>
    <row r="868" ht="49" customHeight="1">
      <c r="A868" s="12" t="inlineStr">
        <is>
          <t>R605-v1</t>
        </is>
      </c>
      <c r="B868" s="12" t="inlineStr">
        <is>
          <t>Contractor Programme / SCH-04-065</t>
        </is>
      </c>
      <c r="C868" s="12" t="inlineStr">
        <is>
          <t>WBS Code = 1.4.1</t>
        </is>
      </c>
      <c r="D868" s="12" t="inlineStr">
        <is>
          <t>Proposed by Source assignment; target 1.4.1 Vehicles and Depot - Fleet Supply</t>
        </is>
      </c>
      <c r="E868" s="12" t="inlineStr">
        <is>
          <t>None recorded</t>
        </is>
      </c>
      <c r="F868" s="12" t="inlineStr">
        <is>
          <t>No individual professional decision recorded; Source assignment -- not individually reviewed</t>
        </is>
      </c>
      <c r="G868" s="12" t="inlineStr">
        <is>
          <t>Not individually decided</t>
        </is>
      </c>
      <c r="H868" s="12" t="inlineStr">
        <is>
          <t xml:space="preserve">APPROVED / ONE_TO_ONE; </t>
        </is>
      </c>
      <c r="I868" s="12" t="inlineStr">
        <is>
          <t>New</t>
        </is>
      </c>
      <c r="J868" s="17" t="inlineStr">
        <is>
          <t>08 CROSSWALK</t>
        </is>
      </c>
    </row>
    <row r="869" ht="49" customHeight="1">
      <c r="A869" s="12" t="inlineStr">
        <is>
          <t>R607-v1</t>
        </is>
      </c>
      <c r="B869" s="12" t="inlineStr">
        <is>
          <t>Contractor Programme / SCH-04-067</t>
        </is>
      </c>
      <c r="C869" s="12" t="inlineStr">
        <is>
          <t>WBS Code = 1.4.1</t>
        </is>
      </c>
      <c r="D869" s="12" t="inlineStr">
        <is>
          <t>Proposed by Source assignment; target 1.4.1 Vehicles and Depot - Fleet Supply</t>
        </is>
      </c>
      <c r="E869" s="12" t="inlineStr">
        <is>
          <t>None recorded</t>
        </is>
      </c>
      <c r="F869" s="12" t="inlineStr">
        <is>
          <t>No individual professional decision recorded; Source assignment -- not individually reviewed</t>
        </is>
      </c>
      <c r="G869" s="12" t="inlineStr">
        <is>
          <t>Not individually decided</t>
        </is>
      </c>
      <c r="H869" s="12" t="inlineStr">
        <is>
          <t xml:space="preserve">APPROVED / ONE_TO_ONE; </t>
        </is>
      </c>
      <c r="I869" s="12" t="inlineStr">
        <is>
          <t>New</t>
        </is>
      </c>
      <c r="J869" s="17" t="inlineStr">
        <is>
          <t>08 CROSSWALK</t>
        </is>
      </c>
    </row>
    <row r="870" ht="49" customHeight="1">
      <c r="A870" s="12" t="inlineStr">
        <is>
          <t>R608-v1</t>
        </is>
      </c>
      <c r="B870" s="12" t="inlineStr">
        <is>
          <t>Contractor Programme / SCH-04-068</t>
        </is>
      </c>
      <c r="C870" s="12" t="inlineStr">
        <is>
          <t>WBS Code = 1.4.1</t>
        </is>
      </c>
      <c r="D870" s="12" t="inlineStr">
        <is>
          <t>Proposed by Source assignment; target 1.4.1 Vehicles and Depot - Fleet Supply</t>
        </is>
      </c>
      <c r="E870" s="12" t="inlineStr">
        <is>
          <t>None recorded</t>
        </is>
      </c>
      <c r="F870" s="12" t="inlineStr">
        <is>
          <t>No individual professional decision recorded; Source assignment -- not individually reviewed</t>
        </is>
      </c>
      <c r="G870" s="12" t="inlineStr">
        <is>
          <t>Not individually decided</t>
        </is>
      </c>
      <c r="H870" s="12" t="inlineStr">
        <is>
          <t xml:space="preserve">APPROVED / ONE_TO_ONE; </t>
        </is>
      </c>
      <c r="I870" s="12" t="inlineStr">
        <is>
          <t>New</t>
        </is>
      </c>
      <c r="J870" s="17" t="inlineStr">
        <is>
          <t>08 CROSSWALK</t>
        </is>
      </c>
    </row>
    <row r="871" ht="49" customHeight="1">
      <c r="A871" s="12" t="inlineStr">
        <is>
          <t>R610-v1</t>
        </is>
      </c>
      <c r="B871" s="12" t="inlineStr">
        <is>
          <t>Contractor Programme / SCH-04-070</t>
        </is>
      </c>
      <c r="C871" s="12" t="inlineStr">
        <is>
          <t>WBS Code = 1.4.1</t>
        </is>
      </c>
      <c r="D871" s="12" t="inlineStr">
        <is>
          <t>Proposed by Source assignment; target 1.4.1 Vehicles and Depot - Fleet Supply</t>
        </is>
      </c>
      <c r="E871" s="12" t="inlineStr">
        <is>
          <t>None recorded</t>
        </is>
      </c>
      <c r="F871" s="12" t="inlineStr">
        <is>
          <t>No individual professional decision recorded; Source assignment -- not individually reviewed</t>
        </is>
      </c>
      <c r="G871" s="12" t="inlineStr">
        <is>
          <t>Not individually decided</t>
        </is>
      </c>
      <c r="H871" s="12" t="inlineStr">
        <is>
          <t xml:space="preserve">APPROVED / ONE_TO_ONE; </t>
        </is>
      </c>
      <c r="I871" s="12" t="inlineStr">
        <is>
          <t>New</t>
        </is>
      </c>
      <c r="J871" s="17" t="inlineStr">
        <is>
          <t>08 CROSSWALK</t>
        </is>
      </c>
    </row>
    <row r="872" ht="49" customHeight="1">
      <c r="A872" s="12" t="inlineStr">
        <is>
          <t>R611-v1</t>
        </is>
      </c>
      <c r="B872" s="12" t="inlineStr">
        <is>
          <t>Contractor Programme / SCH-04-071</t>
        </is>
      </c>
      <c r="C872" s="12" t="inlineStr">
        <is>
          <t>WBS Code = 1.4.1</t>
        </is>
      </c>
      <c r="D872" s="12" t="inlineStr">
        <is>
          <t>Proposed by Source assignment; target 1.4.1 Vehicles and Depot - Fleet Supply</t>
        </is>
      </c>
      <c r="E872" s="12" t="inlineStr">
        <is>
          <t>None recorded</t>
        </is>
      </c>
      <c r="F872" s="12" t="inlineStr">
        <is>
          <t>No individual professional decision recorded; Source assignment -- not individually reviewed</t>
        </is>
      </c>
      <c r="G872" s="12" t="inlineStr">
        <is>
          <t>Not individually decided</t>
        </is>
      </c>
      <c r="H872" s="12" t="inlineStr">
        <is>
          <t xml:space="preserve">APPROVED / ONE_TO_ONE; </t>
        </is>
      </c>
      <c r="I872" s="12" t="inlineStr">
        <is>
          <t>New</t>
        </is>
      </c>
      <c r="J872" s="17" t="inlineStr">
        <is>
          <t>08 CROSSWALK</t>
        </is>
      </c>
    </row>
    <row r="873" ht="49" customHeight="1">
      <c r="A873" s="12" t="inlineStr">
        <is>
          <t>R613-v1</t>
        </is>
      </c>
      <c r="B873" s="12" t="inlineStr">
        <is>
          <t>Contractor Programme / SCH-04-073</t>
        </is>
      </c>
      <c r="C873" s="12" t="inlineStr">
        <is>
          <t>WBS Code = 1.4.1</t>
        </is>
      </c>
      <c r="D873" s="12" t="inlineStr">
        <is>
          <t>Proposed by Source assignment; target 1.4.1 Vehicles and Depot - Fleet Supply</t>
        </is>
      </c>
      <c r="E873" s="12" t="inlineStr">
        <is>
          <t>None recorded</t>
        </is>
      </c>
      <c r="F873" s="12" t="inlineStr">
        <is>
          <t>No individual professional decision recorded; Source assignment -- not individually reviewed</t>
        </is>
      </c>
      <c r="G873" s="12" t="inlineStr">
        <is>
          <t>Not individually decided</t>
        </is>
      </c>
      <c r="H873" s="12" t="inlineStr">
        <is>
          <t xml:space="preserve">APPROVED / ONE_TO_ONE; </t>
        </is>
      </c>
      <c r="I873" s="12" t="inlineStr">
        <is>
          <t>New</t>
        </is>
      </c>
      <c r="J873" s="17" t="inlineStr">
        <is>
          <t>08 CROSSWALK</t>
        </is>
      </c>
    </row>
    <row r="874" ht="49" customHeight="1">
      <c r="A874" s="12" t="inlineStr">
        <is>
          <t>R614-v1</t>
        </is>
      </c>
      <c r="B874" s="12" t="inlineStr">
        <is>
          <t>Contractor Programme / SCH-04-074</t>
        </is>
      </c>
      <c r="C874" s="12" t="inlineStr">
        <is>
          <t>WBS Code = 1.4.1</t>
        </is>
      </c>
      <c r="D874" s="12" t="inlineStr">
        <is>
          <t>Proposed by Source assignment; target 1.4.1 Vehicles and Depot - Fleet Supply</t>
        </is>
      </c>
      <c r="E874" s="12" t="inlineStr">
        <is>
          <t>None recorded</t>
        </is>
      </c>
      <c r="F874" s="12" t="inlineStr">
        <is>
          <t>No individual professional decision recorded; Source assignment -- not individually reviewed</t>
        </is>
      </c>
      <c r="G874" s="12" t="inlineStr">
        <is>
          <t>Not individually decided</t>
        </is>
      </c>
      <c r="H874" s="12" t="inlineStr">
        <is>
          <t xml:space="preserve">APPROVED / ONE_TO_ONE; </t>
        </is>
      </c>
      <c r="I874" s="12" t="inlineStr">
        <is>
          <t>New</t>
        </is>
      </c>
      <c r="J874" s="17" t="inlineStr">
        <is>
          <t>08 CROSSWALK</t>
        </is>
      </c>
    </row>
    <row r="875" ht="49" customHeight="1">
      <c r="A875" s="12" t="inlineStr">
        <is>
          <t>R616-v1</t>
        </is>
      </c>
      <c r="B875" s="12" t="inlineStr">
        <is>
          <t>Contractor Programme / SCH-04-076</t>
        </is>
      </c>
      <c r="C875" s="12" t="inlineStr">
        <is>
          <t>WBS Code = 1.4.1</t>
        </is>
      </c>
      <c r="D875" s="12" t="inlineStr">
        <is>
          <t>Proposed by Source assignment; target 1.4.1 Vehicles and Depot - Fleet Supply</t>
        </is>
      </c>
      <c r="E875" s="12" t="inlineStr">
        <is>
          <t>None recorded</t>
        </is>
      </c>
      <c r="F875" s="12" t="inlineStr">
        <is>
          <t>No individual professional decision recorded; Source assignment -- not individually reviewed</t>
        </is>
      </c>
      <c r="G875" s="12" t="inlineStr">
        <is>
          <t>Not individually decided</t>
        </is>
      </c>
      <c r="H875" s="12" t="inlineStr">
        <is>
          <t xml:space="preserve">APPROVED / ONE_TO_ONE; </t>
        </is>
      </c>
      <c r="I875" s="12" t="inlineStr">
        <is>
          <t>New</t>
        </is>
      </c>
      <c r="J875" s="17" t="inlineStr">
        <is>
          <t>08 CROSSWALK</t>
        </is>
      </c>
    </row>
    <row r="876" ht="49" customHeight="1">
      <c r="A876" s="12" t="inlineStr">
        <is>
          <t>R617-v1</t>
        </is>
      </c>
      <c r="B876" s="12" t="inlineStr">
        <is>
          <t>Contractor Programme / SCH-04-077</t>
        </is>
      </c>
      <c r="C876" s="12" t="inlineStr">
        <is>
          <t>WBS Code = 1.4.1</t>
        </is>
      </c>
      <c r="D876" s="12" t="inlineStr">
        <is>
          <t>Proposed by Source assignment; target 1.4.1 Vehicles and Depot - Fleet Supply</t>
        </is>
      </c>
      <c r="E876" s="12" t="inlineStr">
        <is>
          <t>None recorded</t>
        </is>
      </c>
      <c r="F876" s="12" t="inlineStr">
        <is>
          <t>No individual professional decision recorded; Source assignment -- not individually reviewed</t>
        </is>
      </c>
      <c r="G876" s="12" t="inlineStr">
        <is>
          <t>Not individually decided</t>
        </is>
      </c>
      <c r="H876" s="12" t="inlineStr">
        <is>
          <t xml:space="preserve">APPROVED / ONE_TO_ONE; </t>
        </is>
      </c>
      <c r="I876" s="12" t="inlineStr">
        <is>
          <t>New</t>
        </is>
      </c>
      <c r="J876" s="17" t="inlineStr">
        <is>
          <t>08 CROSSWALK</t>
        </is>
      </c>
    </row>
    <row r="877" ht="49" customHeight="1">
      <c r="A877" s="12" t="inlineStr">
        <is>
          <t>R619-v1</t>
        </is>
      </c>
      <c r="B877" s="12" t="inlineStr">
        <is>
          <t>Contractor Programme / SCH-04-079</t>
        </is>
      </c>
      <c r="C877" s="12" t="inlineStr">
        <is>
          <t>WBS Code = 1.4.1</t>
        </is>
      </c>
      <c r="D877" s="12" t="inlineStr">
        <is>
          <t>Proposed by Source assignment; target 1.4.1 Vehicles and Depot - Fleet Supply</t>
        </is>
      </c>
      <c r="E877" s="12" t="inlineStr">
        <is>
          <t>None recorded</t>
        </is>
      </c>
      <c r="F877" s="12" t="inlineStr">
        <is>
          <t>No individual professional decision recorded; Source assignment -- not individually reviewed</t>
        </is>
      </c>
      <c r="G877" s="12" t="inlineStr">
        <is>
          <t>Not individually decided</t>
        </is>
      </c>
      <c r="H877" s="12" t="inlineStr">
        <is>
          <t xml:space="preserve">APPROVED / ONE_TO_ONE; </t>
        </is>
      </c>
      <c r="I877" s="12" t="inlineStr">
        <is>
          <t>New</t>
        </is>
      </c>
      <c r="J877" s="17" t="inlineStr">
        <is>
          <t>08 CROSSWALK</t>
        </is>
      </c>
    </row>
    <row r="878" ht="49" customHeight="1">
      <c r="A878" s="12" t="inlineStr">
        <is>
          <t>R620-v1</t>
        </is>
      </c>
      <c r="B878" s="12" t="inlineStr">
        <is>
          <t>Contractor Programme / SCH-04-080</t>
        </is>
      </c>
      <c r="C878" s="12" t="inlineStr">
        <is>
          <t>WBS Code = 1.4.1</t>
        </is>
      </c>
      <c r="D878" s="12" t="inlineStr">
        <is>
          <t>Proposed by Source assignment; target 1.4.1 Vehicles and Depot - Fleet Supply</t>
        </is>
      </c>
      <c r="E878" s="12" t="inlineStr">
        <is>
          <t>None recorded</t>
        </is>
      </c>
      <c r="F878" s="12" t="inlineStr">
        <is>
          <t>No individual professional decision recorded; Source assignment -- not individually reviewed</t>
        </is>
      </c>
      <c r="G878" s="12" t="inlineStr">
        <is>
          <t>Not individually decided</t>
        </is>
      </c>
      <c r="H878" s="12" t="inlineStr">
        <is>
          <t xml:space="preserve">APPROVED / ONE_TO_ONE; </t>
        </is>
      </c>
      <c r="I878" s="12" t="inlineStr">
        <is>
          <t>New</t>
        </is>
      </c>
      <c r="J878" s="17" t="inlineStr">
        <is>
          <t>08 CROSSWALK</t>
        </is>
      </c>
    </row>
    <row r="879" ht="49" customHeight="1">
      <c r="A879" s="12" t="inlineStr">
        <is>
          <t>R622-v1</t>
        </is>
      </c>
      <c r="B879" s="12" t="inlineStr">
        <is>
          <t>Contractor Programme / SCH-04-082</t>
        </is>
      </c>
      <c r="C879" s="12" t="inlineStr">
        <is>
          <t>WBS Code = 1.4.1</t>
        </is>
      </c>
      <c r="D879" s="12" t="inlineStr">
        <is>
          <t>Proposed by Source assignment; target 1.4.1 Vehicles and Depot - Fleet Supply</t>
        </is>
      </c>
      <c r="E879" s="12" t="inlineStr">
        <is>
          <t>None recorded</t>
        </is>
      </c>
      <c r="F879" s="12" t="inlineStr">
        <is>
          <t>No individual professional decision recorded; Source assignment -- not individually reviewed</t>
        </is>
      </c>
      <c r="G879" s="12" t="inlineStr">
        <is>
          <t>Not individually decided</t>
        </is>
      </c>
      <c r="H879" s="12" t="inlineStr">
        <is>
          <t xml:space="preserve">APPROVED / ONE_TO_ONE; </t>
        </is>
      </c>
      <c r="I879" s="12" t="inlineStr">
        <is>
          <t>New</t>
        </is>
      </c>
      <c r="J879" s="17" t="inlineStr">
        <is>
          <t>08 CROSSWALK</t>
        </is>
      </c>
    </row>
    <row r="880" ht="49" customHeight="1">
      <c r="A880" s="12" t="inlineStr">
        <is>
          <t>R623-v1</t>
        </is>
      </c>
      <c r="B880" s="12" t="inlineStr">
        <is>
          <t>Contractor Programme / SCH-04-083</t>
        </is>
      </c>
      <c r="C880" s="12" t="inlineStr">
        <is>
          <t>WBS Code = 1.4.1</t>
        </is>
      </c>
      <c r="D880" s="12" t="inlineStr">
        <is>
          <t>Proposed by Source assignment; target 1.4.1 Vehicles and Depot - Fleet Supply</t>
        </is>
      </c>
      <c r="E880" s="12" t="inlineStr">
        <is>
          <t>None recorded</t>
        </is>
      </c>
      <c r="F880" s="12" t="inlineStr">
        <is>
          <t>No individual professional decision recorded; Source assignment -- not individually reviewed</t>
        </is>
      </c>
      <c r="G880" s="12" t="inlineStr">
        <is>
          <t>Not individually decided</t>
        </is>
      </c>
      <c r="H880" s="12" t="inlineStr">
        <is>
          <t xml:space="preserve">APPROVED / ONE_TO_ONE; </t>
        </is>
      </c>
      <c r="I880" s="12" t="inlineStr">
        <is>
          <t>New</t>
        </is>
      </c>
      <c r="J880" s="17" t="inlineStr">
        <is>
          <t>08 CROSSWALK</t>
        </is>
      </c>
    </row>
    <row r="881" ht="49" customHeight="1">
      <c r="A881" s="12" t="inlineStr">
        <is>
          <t>R625-v1</t>
        </is>
      </c>
      <c r="B881" s="12" t="inlineStr">
        <is>
          <t>Contractor Programme / SCH-04-085</t>
        </is>
      </c>
      <c r="C881" s="12" t="inlineStr">
        <is>
          <t>WBS Code = 1.4.1</t>
        </is>
      </c>
      <c r="D881" s="12" t="inlineStr">
        <is>
          <t>Proposed by Source assignment; target 1.4.1 Vehicles and Depot - Fleet Supply</t>
        </is>
      </c>
      <c r="E881" s="12" t="inlineStr">
        <is>
          <t>None recorded</t>
        </is>
      </c>
      <c r="F881" s="12" t="inlineStr">
        <is>
          <t>No individual professional decision recorded; Source assignment -- not individually reviewed</t>
        </is>
      </c>
      <c r="G881" s="12" t="inlineStr">
        <is>
          <t>Not individually decided</t>
        </is>
      </c>
      <c r="H881" s="12" t="inlineStr">
        <is>
          <t xml:space="preserve">APPROVED / ONE_TO_ONE; </t>
        </is>
      </c>
      <c r="I881" s="12" t="inlineStr">
        <is>
          <t>New</t>
        </is>
      </c>
      <c r="J881" s="17" t="inlineStr">
        <is>
          <t>08 CROSSWALK</t>
        </is>
      </c>
    </row>
    <row r="882" ht="49" customHeight="1">
      <c r="A882" s="12" t="inlineStr">
        <is>
          <t>R626-v1</t>
        </is>
      </c>
      <c r="B882" s="12" t="inlineStr">
        <is>
          <t>Contractor Programme / SCH-04-086</t>
        </is>
      </c>
      <c r="C882" s="12" t="inlineStr">
        <is>
          <t>WBS Code = 1.4.1</t>
        </is>
      </c>
      <c r="D882" s="12" t="inlineStr">
        <is>
          <t>Proposed by Source assignment; target 1.4.1 Vehicles and Depot - Fleet Supply</t>
        </is>
      </c>
      <c r="E882" s="12" t="inlineStr">
        <is>
          <t>None recorded</t>
        </is>
      </c>
      <c r="F882" s="12" t="inlineStr">
        <is>
          <t>No individual professional decision recorded; Source assignment -- not individually reviewed</t>
        </is>
      </c>
      <c r="G882" s="12" t="inlineStr">
        <is>
          <t>Not individually decided</t>
        </is>
      </c>
      <c r="H882" s="12" t="inlineStr">
        <is>
          <t xml:space="preserve">APPROVED / ONE_TO_ONE; </t>
        </is>
      </c>
      <c r="I882" s="12" t="inlineStr">
        <is>
          <t>New</t>
        </is>
      </c>
      <c r="J882" s="17" t="inlineStr">
        <is>
          <t>08 CROSSWALK</t>
        </is>
      </c>
    </row>
    <row r="883" ht="49" customHeight="1">
      <c r="A883" s="12" t="inlineStr">
        <is>
          <t>R628-v1</t>
        </is>
      </c>
      <c r="B883" s="12" t="inlineStr">
        <is>
          <t>Contractor Programme / SCH-04-088</t>
        </is>
      </c>
      <c r="C883" s="12" t="inlineStr">
        <is>
          <t>WBS Code = 1.4.1</t>
        </is>
      </c>
      <c r="D883" s="12" t="inlineStr">
        <is>
          <t>Proposed by Source assignment; target 1.4.1 Vehicles and Depot - Fleet Supply</t>
        </is>
      </c>
      <c r="E883" s="12" t="inlineStr">
        <is>
          <t>None recorded</t>
        </is>
      </c>
      <c r="F883" s="12" t="inlineStr">
        <is>
          <t>No individual professional decision recorded; Source assignment -- not individually reviewed</t>
        </is>
      </c>
      <c r="G883" s="12" t="inlineStr">
        <is>
          <t>Not individually decided</t>
        </is>
      </c>
      <c r="H883" s="12" t="inlineStr">
        <is>
          <t xml:space="preserve">APPROVED / ONE_TO_ONE; </t>
        </is>
      </c>
      <c r="I883" s="12" t="inlineStr">
        <is>
          <t>New</t>
        </is>
      </c>
      <c r="J883" s="17" t="inlineStr">
        <is>
          <t>08 CROSSWALK</t>
        </is>
      </c>
    </row>
    <row r="884" ht="49" customHeight="1">
      <c r="A884" s="12" t="inlineStr">
        <is>
          <t>R629-v1</t>
        </is>
      </c>
      <c r="B884" s="12" t="inlineStr">
        <is>
          <t>Contractor Programme / SCH-04-089</t>
        </is>
      </c>
      <c r="C884" s="12" t="inlineStr">
        <is>
          <t>WBS Code = 1.4.1</t>
        </is>
      </c>
      <c r="D884" s="12" t="inlineStr">
        <is>
          <t>Proposed by Source assignment; target 1.4.1 Vehicles and Depot - Fleet Supply</t>
        </is>
      </c>
      <c r="E884" s="12" t="inlineStr">
        <is>
          <t>None recorded</t>
        </is>
      </c>
      <c r="F884" s="12" t="inlineStr">
        <is>
          <t>No individual professional decision recorded; Source assignment -- not individually reviewed</t>
        </is>
      </c>
      <c r="G884" s="12" t="inlineStr">
        <is>
          <t>Not individually decided</t>
        </is>
      </c>
      <c r="H884" s="12" t="inlineStr">
        <is>
          <t xml:space="preserve">APPROVED / ONE_TO_ONE; </t>
        </is>
      </c>
      <c r="I884" s="12" t="inlineStr">
        <is>
          <t>New</t>
        </is>
      </c>
      <c r="J884" s="17" t="inlineStr">
        <is>
          <t>08 CROSSWALK</t>
        </is>
      </c>
    </row>
    <row r="885" ht="49" customHeight="1">
      <c r="A885" s="12" t="inlineStr">
        <is>
          <t>R631-v1</t>
        </is>
      </c>
      <c r="B885" s="12" t="inlineStr">
        <is>
          <t>Contractor Programme / SCH-04-091</t>
        </is>
      </c>
      <c r="C885" s="12" t="inlineStr">
        <is>
          <t>WBS Code = 1.4.1</t>
        </is>
      </c>
      <c r="D885" s="12" t="inlineStr">
        <is>
          <t>Proposed by Source assignment; target 1.4.1 Vehicles and Depot - Fleet Supply</t>
        </is>
      </c>
      <c r="E885" s="12" t="inlineStr">
        <is>
          <t>None recorded</t>
        </is>
      </c>
      <c r="F885" s="12" t="inlineStr">
        <is>
          <t>No individual professional decision recorded; Source assignment -- not individually reviewed</t>
        </is>
      </c>
      <c r="G885" s="12" t="inlineStr">
        <is>
          <t>Not individually decided</t>
        </is>
      </c>
      <c r="H885" s="12" t="inlineStr">
        <is>
          <t xml:space="preserve">APPROVED / ONE_TO_ONE; </t>
        </is>
      </c>
      <c r="I885" s="12" t="inlineStr">
        <is>
          <t>New</t>
        </is>
      </c>
      <c r="J885" s="17" t="inlineStr">
        <is>
          <t>08 CROSSWALK</t>
        </is>
      </c>
    </row>
    <row r="886" ht="49" customHeight="1">
      <c r="A886" s="12" t="inlineStr">
        <is>
          <t>R632-v1</t>
        </is>
      </c>
      <c r="B886" s="12" t="inlineStr">
        <is>
          <t>Contractor Programme / SCH-04-092</t>
        </is>
      </c>
      <c r="C886" s="12" t="inlineStr">
        <is>
          <t>WBS Code = 1.4.1</t>
        </is>
      </c>
      <c r="D886" s="12" t="inlineStr">
        <is>
          <t>Proposed by Source assignment; target 1.4.1 Vehicles and Depot - Fleet Supply</t>
        </is>
      </c>
      <c r="E886" s="12" t="inlineStr">
        <is>
          <t>None recorded</t>
        </is>
      </c>
      <c r="F886" s="12" t="inlineStr">
        <is>
          <t>No individual professional decision recorded; Source assignment -- not individually reviewed</t>
        </is>
      </c>
      <c r="G886" s="12" t="inlineStr">
        <is>
          <t>Not individually decided</t>
        </is>
      </c>
      <c r="H886" s="12" t="inlineStr">
        <is>
          <t xml:space="preserve">APPROVED / ONE_TO_ONE; </t>
        </is>
      </c>
      <c r="I886" s="12" t="inlineStr">
        <is>
          <t>New</t>
        </is>
      </c>
      <c r="J886" s="17" t="inlineStr">
        <is>
          <t>08 CROSSWALK</t>
        </is>
      </c>
    </row>
    <row r="887" ht="49" customHeight="1">
      <c r="A887" s="12" t="inlineStr">
        <is>
          <t>R634-v1</t>
        </is>
      </c>
      <c r="B887" s="12" t="inlineStr">
        <is>
          <t>Contractor Programme / SCH-04-094</t>
        </is>
      </c>
      <c r="C887" s="12" t="inlineStr">
        <is>
          <t>WBS Code = 1.4.1</t>
        </is>
      </c>
      <c r="D887" s="12" t="inlineStr">
        <is>
          <t>Proposed by Source assignment; target 1.4.1 Vehicles and Depot - Fleet Supply</t>
        </is>
      </c>
      <c r="E887" s="12" t="inlineStr">
        <is>
          <t>None recorded</t>
        </is>
      </c>
      <c r="F887" s="12" t="inlineStr">
        <is>
          <t>No individual professional decision recorded; Source assignment -- not individually reviewed</t>
        </is>
      </c>
      <c r="G887" s="12" t="inlineStr">
        <is>
          <t>Not individually decided</t>
        </is>
      </c>
      <c r="H887" s="12" t="inlineStr">
        <is>
          <t xml:space="preserve">APPROVED / ONE_TO_ONE; </t>
        </is>
      </c>
      <c r="I887" s="12" t="inlineStr">
        <is>
          <t>New</t>
        </is>
      </c>
      <c r="J887" s="17" t="inlineStr">
        <is>
          <t>08 CROSSWALK</t>
        </is>
      </c>
    </row>
    <row r="888" ht="49" customHeight="1">
      <c r="A888" s="12" t="inlineStr">
        <is>
          <t>R635-v1</t>
        </is>
      </c>
      <c r="B888" s="12" t="inlineStr">
        <is>
          <t>Contractor Programme / SCH-04-095</t>
        </is>
      </c>
      <c r="C888" s="12" t="inlineStr">
        <is>
          <t>WBS Code = 1.4.1</t>
        </is>
      </c>
      <c r="D888" s="12" t="inlineStr">
        <is>
          <t>Proposed by Source assignment; target 1.4.1 Vehicles and Depot - Fleet Supply</t>
        </is>
      </c>
      <c r="E888" s="12" t="inlineStr">
        <is>
          <t>None recorded</t>
        </is>
      </c>
      <c r="F888" s="12" t="inlineStr">
        <is>
          <t>No individual professional decision recorded; Source assignment -- not individually reviewed</t>
        </is>
      </c>
      <c r="G888" s="12" t="inlineStr">
        <is>
          <t>Not individually decided</t>
        </is>
      </c>
      <c r="H888" s="12" t="inlineStr">
        <is>
          <t xml:space="preserve">APPROVED / ONE_TO_ONE; </t>
        </is>
      </c>
      <c r="I888" s="12" t="inlineStr">
        <is>
          <t>New</t>
        </is>
      </c>
      <c r="J888" s="17" t="inlineStr">
        <is>
          <t>08 CROSSWALK</t>
        </is>
      </c>
    </row>
    <row r="889" ht="49" customHeight="1">
      <c r="A889" s="12" t="inlineStr">
        <is>
          <t>R637-v1</t>
        </is>
      </c>
      <c r="B889" s="12" t="inlineStr">
        <is>
          <t>Contractor Programme / SCH-04-097</t>
        </is>
      </c>
      <c r="C889" s="12" t="inlineStr">
        <is>
          <t>WBS Code = 1.4.1</t>
        </is>
      </c>
      <c r="D889" s="12" t="inlineStr">
        <is>
          <t>Proposed by Source assignment; target 1.4.1 Vehicles and Depot - Fleet Supply</t>
        </is>
      </c>
      <c r="E889" s="12" t="inlineStr">
        <is>
          <t>None recorded</t>
        </is>
      </c>
      <c r="F889" s="12" t="inlineStr">
        <is>
          <t>No individual professional decision recorded; Source assignment -- not individually reviewed</t>
        </is>
      </c>
      <c r="G889" s="12" t="inlineStr">
        <is>
          <t>Not individually decided</t>
        </is>
      </c>
      <c r="H889" s="12" t="inlineStr">
        <is>
          <t xml:space="preserve">APPROVED / ONE_TO_ONE; </t>
        </is>
      </c>
      <c r="I889" s="12" t="inlineStr">
        <is>
          <t>New</t>
        </is>
      </c>
      <c r="J889" s="17" t="inlineStr">
        <is>
          <t>08 CROSSWALK</t>
        </is>
      </c>
    </row>
    <row r="890" ht="49" customHeight="1">
      <c r="A890" s="12" t="inlineStr">
        <is>
          <t>R638-v1</t>
        </is>
      </c>
      <c r="B890" s="12" t="inlineStr">
        <is>
          <t>Contractor Programme / SCH-04-098</t>
        </is>
      </c>
      <c r="C890" s="12" t="inlineStr">
        <is>
          <t>WBS Code = 1.4.1</t>
        </is>
      </c>
      <c r="D890" s="12" t="inlineStr">
        <is>
          <t>Proposed by Source assignment; target 1.4.1 Vehicles and Depot - Fleet Supply</t>
        </is>
      </c>
      <c r="E890" s="12" t="inlineStr">
        <is>
          <t>None recorded</t>
        </is>
      </c>
      <c r="F890" s="12" t="inlineStr">
        <is>
          <t>No individual professional decision recorded; Source assignment -- not individually reviewed</t>
        </is>
      </c>
      <c r="G890" s="12" t="inlineStr">
        <is>
          <t>Not individually decided</t>
        </is>
      </c>
      <c r="H890" s="12" t="inlineStr">
        <is>
          <t xml:space="preserve">APPROVED / ONE_TO_ONE; </t>
        </is>
      </c>
      <c r="I890" s="12" t="inlineStr">
        <is>
          <t>New</t>
        </is>
      </c>
      <c r="J890" s="17" t="inlineStr">
        <is>
          <t>08 CROSSWALK</t>
        </is>
      </c>
    </row>
    <row r="891" ht="49" customHeight="1">
      <c r="A891" s="12" t="inlineStr">
        <is>
          <t>R640-v1</t>
        </is>
      </c>
      <c r="B891" s="12" t="inlineStr">
        <is>
          <t>Contractor Programme / SCH-04-100</t>
        </is>
      </c>
      <c r="C891" s="12" t="inlineStr">
        <is>
          <t>WBS Code = 1.4.1</t>
        </is>
      </c>
      <c r="D891" s="12" t="inlineStr">
        <is>
          <t>Proposed by Source assignment; target 1.4.1 Vehicles and Depot - Fleet Supply</t>
        </is>
      </c>
      <c r="E891" s="12" t="inlineStr">
        <is>
          <t>None recorded</t>
        </is>
      </c>
      <c r="F891" s="12" t="inlineStr">
        <is>
          <t>No individual professional decision recorded; Source assignment -- not individually reviewed</t>
        </is>
      </c>
      <c r="G891" s="12" t="inlineStr">
        <is>
          <t>Not individually decided</t>
        </is>
      </c>
      <c r="H891" s="12" t="inlineStr">
        <is>
          <t xml:space="preserve">APPROVED / ONE_TO_ONE; </t>
        </is>
      </c>
      <c r="I891" s="12" t="inlineStr">
        <is>
          <t>New</t>
        </is>
      </c>
      <c r="J891" s="17" t="inlineStr">
        <is>
          <t>08 CROSSWALK</t>
        </is>
      </c>
    </row>
    <row r="892" ht="49" customHeight="1">
      <c r="A892" s="12" t="inlineStr">
        <is>
          <t>R641-v1</t>
        </is>
      </c>
      <c r="B892" s="12" t="inlineStr">
        <is>
          <t>Contractor Programme / SCH-04-101</t>
        </is>
      </c>
      <c r="C892" s="12" t="inlineStr">
        <is>
          <t>WBS Code = 1.4.1</t>
        </is>
      </c>
      <c r="D892" s="12" t="inlineStr">
        <is>
          <t>Proposed by Source assignment; target 1.4.1 Vehicles and Depot - Fleet Supply</t>
        </is>
      </c>
      <c r="E892" s="12" t="inlineStr">
        <is>
          <t>None recorded</t>
        </is>
      </c>
      <c r="F892" s="12" t="inlineStr">
        <is>
          <t>No individual professional decision recorded; Source assignment -- not individually reviewed</t>
        </is>
      </c>
      <c r="G892" s="12" t="inlineStr">
        <is>
          <t>Not individually decided</t>
        </is>
      </c>
      <c r="H892" s="12" t="inlineStr">
        <is>
          <t xml:space="preserve">APPROVED / ONE_TO_ONE; </t>
        </is>
      </c>
      <c r="I892" s="12" t="inlineStr">
        <is>
          <t>New</t>
        </is>
      </c>
      <c r="J892" s="17" t="inlineStr">
        <is>
          <t>08 CROSSWALK</t>
        </is>
      </c>
    </row>
    <row r="893" ht="49" customHeight="1">
      <c r="A893" s="12" t="inlineStr">
        <is>
          <t>R643-v1</t>
        </is>
      </c>
      <c r="B893" s="12" t="inlineStr">
        <is>
          <t>Contractor Programme / SCH-04-103</t>
        </is>
      </c>
      <c r="C893" s="12" t="inlineStr">
        <is>
          <t>WBS Code = 1.4.1</t>
        </is>
      </c>
      <c r="D893" s="12" t="inlineStr">
        <is>
          <t>Proposed by Source assignment; target 1.4.1 Vehicles and Depot - Fleet Supply</t>
        </is>
      </c>
      <c r="E893" s="12" t="inlineStr">
        <is>
          <t>None recorded</t>
        </is>
      </c>
      <c r="F893" s="12" t="inlineStr">
        <is>
          <t>No individual professional decision recorded; Source assignment -- not individually reviewed</t>
        </is>
      </c>
      <c r="G893" s="12" t="inlineStr">
        <is>
          <t>Not individually decided</t>
        </is>
      </c>
      <c r="H893" s="12" t="inlineStr">
        <is>
          <t xml:space="preserve">APPROVED / ONE_TO_ONE; </t>
        </is>
      </c>
      <c r="I893" s="12" t="inlineStr">
        <is>
          <t>New</t>
        </is>
      </c>
      <c r="J893" s="17" t="inlineStr">
        <is>
          <t>08 CROSSWALK</t>
        </is>
      </c>
    </row>
    <row r="894" ht="49" customHeight="1">
      <c r="A894" s="12" t="inlineStr">
        <is>
          <t>R644-v1</t>
        </is>
      </c>
      <c r="B894" s="12" t="inlineStr">
        <is>
          <t>Contractor Programme / SCH-04-104</t>
        </is>
      </c>
      <c r="C894" s="12" t="inlineStr">
        <is>
          <t>WBS Code = 1.4.1</t>
        </is>
      </c>
      <c r="D894" s="12" t="inlineStr">
        <is>
          <t>Proposed by Source assignment; target 1.4.1 Vehicles and Depot - Fleet Supply</t>
        </is>
      </c>
      <c r="E894" s="12" t="inlineStr">
        <is>
          <t>None recorded</t>
        </is>
      </c>
      <c r="F894" s="12" t="inlineStr">
        <is>
          <t>No individual professional decision recorded; Source assignment -- not individually reviewed</t>
        </is>
      </c>
      <c r="G894" s="12" t="inlineStr">
        <is>
          <t>Not individually decided</t>
        </is>
      </c>
      <c r="H894" s="12" t="inlineStr">
        <is>
          <t xml:space="preserve">APPROVED / ONE_TO_ONE; </t>
        </is>
      </c>
      <c r="I894" s="12" t="inlineStr">
        <is>
          <t>New</t>
        </is>
      </c>
      <c r="J894" s="17" t="inlineStr">
        <is>
          <t>08 CROSSWALK</t>
        </is>
      </c>
    </row>
    <row r="895" ht="49" customHeight="1">
      <c r="A895" s="12" t="inlineStr">
        <is>
          <t>R646-v1</t>
        </is>
      </c>
      <c r="B895" s="12" t="inlineStr">
        <is>
          <t>Contractor Programme / SCH-04-106</t>
        </is>
      </c>
      <c r="C895" s="12" t="inlineStr">
        <is>
          <t>WBS Code = 1.4.1</t>
        </is>
      </c>
      <c r="D895" s="12" t="inlineStr">
        <is>
          <t>Proposed by Source assignment; target 1.4.1 Vehicles and Depot - Fleet Supply</t>
        </is>
      </c>
      <c r="E895" s="12" t="inlineStr">
        <is>
          <t>None recorded</t>
        </is>
      </c>
      <c r="F895" s="12" t="inlineStr">
        <is>
          <t>No individual professional decision recorded; Source assignment -- not individually reviewed</t>
        </is>
      </c>
      <c r="G895" s="12" t="inlineStr">
        <is>
          <t>Not individually decided</t>
        </is>
      </c>
      <c r="H895" s="12" t="inlineStr">
        <is>
          <t xml:space="preserve">APPROVED / ONE_TO_ONE; </t>
        </is>
      </c>
      <c r="I895" s="12" t="inlineStr">
        <is>
          <t>New</t>
        </is>
      </c>
      <c r="J895" s="17" t="inlineStr">
        <is>
          <t>08 CROSSWALK</t>
        </is>
      </c>
    </row>
    <row r="896" ht="49" customHeight="1">
      <c r="A896" s="12" t="inlineStr">
        <is>
          <t>R647-v1</t>
        </is>
      </c>
      <c r="B896" s="12" t="inlineStr">
        <is>
          <t>Contractor Programme / SCH-04-107</t>
        </is>
      </c>
      <c r="C896" s="12" t="inlineStr">
        <is>
          <t>WBS Code = 1.4.1</t>
        </is>
      </c>
      <c r="D896" s="12" t="inlineStr">
        <is>
          <t>Proposed by Source assignment; target 1.4.1 Vehicles and Depot - Fleet Supply</t>
        </is>
      </c>
      <c r="E896" s="12" t="inlineStr">
        <is>
          <t>None recorded</t>
        </is>
      </c>
      <c r="F896" s="12" t="inlineStr">
        <is>
          <t>No individual professional decision recorded; Source assignment -- not individually reviewed</t>
        </is>
      </c>
      <c r="G896" s="12" t="inlineStr">
        <is>
          <t>Not individually decided</t>
        </is>
      </c>
      <c r="H896" s="12" t="inlineStr">
        <is>
          <t xml:space="preserve">APPROVED / ONE_TO_ONE; </t>
        </is>
      </c>
      <c r="I896" s="12" t="inlineStr">
        <is>
          <t>New</t>
        </is>
      </c>
      <c r="J896" s="17" t="inlineStr">
        <is>
          <t>08 CROSSWALK</t>
        </is>
      </c>
    </row>
    <row r="897" ht="49" customHeight="1">
      <c r="A897" s="12" t="inlineStr">
        <is>
          <t>R649-v1</t>
        </is>
      </c>
      <c r="B897" s="12" t="inlineStr">
        <is>
          <t>Contractor Programme / SCH-04-109</t>
        </is>
      </c>
      <c r="C897" s="12" t="inlineStr">
        <is>
          <t>WBS Code = 1.4.1</t>
        </is>
      </c>
      <c r="D897" s="12" t="inlineStr">
        <is>
          <t>Proposed by Source assignment; target 1.4.1 Vehicles and Depot - Fleet Supply</t>
        </is>
      </c>
      <c r="E897" s="12" t="inlineStr">
        <is>
          <t>None recorded</t>
        </is>
      </c>
      <c r="F897" s="12" t="inlineStr">
        <is>
          <t>No individual professional decision recorded; Source assignment -- not individually reviewed</t>
        </is>
      </c>
      <c r="G897" s="12" t="inlineStr">
        <is>
          <t>Not individually decided</t>
        </is>
      </c>
      <c r="H897" s="12" t="inlineStr">
        <is>
          <t xml:space="preserve">APPROVED / ONE_TO_ONE; </t>
        </is>
      </c>
      <c r="I897" s="12" t="inlineStr">
        <is>
          <t>New</t>
        </is>
      </c>
      <c r="J897" s="17" t="inlineStr">
        <is>
          <t>08 CROSSWALK</t>
        </is>
      </c>
    </row>
    <row r="898" ht="49" customHeight="1">
      <c r="A898" s="12" t="inlineStr">
        <is>
          <t>R650-v1</t>
        </is>
      </c>
      <c r="B898" s="12" t="inlineStr">
        <is>
          <t>Contractor Programme / SCH-04-110</t>
        </is>
      </c>
      <c r="C898" s="12" t="inlineStr">
        <is>
          <t>WBS Code = 1.4.1</t>
        </is>
      </c>
      <c r="D898" s="12" t="inlineStr">
        <is>
          <t>Proposed by Source assignment; target 1.4.1 Vehicles and Depot - Fleet Supply</t>
        </is>
      </c>
      <c r="E898" s="12" t="inlineStr">
        <is>
          <t>None recorded</t>
        </is>
      </c>
      <c r="F898" s="12" t="inlineStr">
        <is>
          <t>No individual professional decision recorded; Source assignment -- not individually reviewed</t>
        </is>
      </c>
      <c r="G898" s="12" t="inlineStr">
        <is>
          <t>Not individually decided</t>
        </is>
      </c>
      <c r="H898" s="12" t="inlineStr">
        <is>
          <t xml:space="preserve">APPROVED / ONE_TO_ONE; </t>
        </is>
      </c>
      <c r="I898" s="12" t="inlineStr">
        <is>
          <t>New</t>
        </is>
      </c>
      <c r="J898" s="17" t="inlineStr">
        <is>
          <t>08 CROSSWALK</t>
        </is>
      </c>
    </row>
    <row r="899" ht="49" customHeight="1">
      <c r="A899" s="12" t="inlineStr">
        <is>
          <t>R652-v1</t>
        </is>
      </c>
      <c r="B899" s="12" t="inlineStr">
        <is>
          <t>Contractor Programme / SCH-04-112</t>
        </is>
      </c>
      <c r="C899" s="12" t="inlineStr">
        <is>
          <t>WBS Code = 1.4.1</t>
        </is>
      </c>
      <c r="D899" s="12" t="inlineStr">
        <is>
          <t>Proposed by Source assignment; target 1.4.1 Vehicles and Depot - Fleet Supply</t>
        </is>
      </c>
      <c r="E899" s="12" t="inlineStr">
        <is>
          <t>None recorded</t>
        </is>
      </c>
      <c r="F899" s="12" t="inlineStr">
        <is>
          <t>No individual professional decision recorded; Source assignment -- not individually reviewed</t>
        </is>
      </c>
      <c r="G899" s="12" t="inlineStr">
        <is>
          <t>Not individually decided</t>
        </is>
      </c>
      <c r="H899" s="12" t="inlineStr">
        <is>
          <t xml:space="preserve">APPROVED / ONE_TO_ONE; </t>
        </is>
      </c>
      <c r="I899" s="12" t="inlineStr">
        <is>
          <t>New</t>
        </is>
      </c>
      <c r="J899" s="17" t="inlineStr">
        <is>
          <t>08 CROSSWALK</t>
        </is>
      </c>
    </row>
    <row r="900" ht="49" customHeight="1">
      <c r="A900" s="12" t="inlineStr">
        <is>
          <t>R653-v1</t>
        </is>
      </c>
      <c r="B900" s="12" t="inlineStr">
        <is>
          <t>Contractor Programme / SCH-04-113</t>
        </is>
      </c>
      <c r="C900" s="12" t="inlineStr">
        <is>
          <t>WBS Code = 1.4.1</t>
        </is>
      </c>
      <c r="D900" s="12" t="inlineStr">
        <is>
          <t>Proposed by Source assignment; target 1.4.1 Vehicles and Depot - Fleet Supply</t>
        </is>
      </c>
      <c r="E900" s="12" t="inlineStr">
        <is>
          <t>None recorded</t>
        </is>
      </c>
      <c r="F900" s="12" t="inlineStr">
        <is>
          <t>No individual professional decision recorded; Source assignment -- not individually reviewed</t>
        </is>
      </c>
      <c r="G900" s="12" t="inlineStr">
        <is>
          <t>Not individually decided</t>
        </is>
      </c>
      <c r="H900" s="12" t="inlineStr">
        <is>
          <t xml:space="preserve">APPROVED / ONE_TO_ONE; </t>
        </is>
      </c>
      <c r="I900" s="12" t="inlineStr">
        <is>
          <t>New</t>
        </is>
      </c>
      <c r="J900" s="17" t="inlineStr">
        <is>
          <t>08 CROSSWALK</t>
        </is>
      </c>
    </row>
    <row r="901" ht="49" customHeight="1">
      <c r="A901" s="12" t="inlineStr">
        <is>
          <t>R655-v1</t>
        </is>
      </c>
      <c r="B901" s="12" t="inlineStr">
        <is>
          <t>Contractor Programme / SCH-04-115</t>
        </is>
      </c>
      <c r="C901" s="12" t="inlineStr">
        <is>
          <t>WBS Code = 1.4.1</t>
        </is>
      </c>
      <c r="D901" s="12" t="inlineStr">
        <is>
          <t>Proposed by Source assignment; target 1.4.1 Vehicles and Depot - Fleet Supply</t>
        </is>
      </c>
      <c r="E901" s="12" t="inlineStr">
        <is>
          <t>None recorded</t>
        </is>
      </c>
      <c r="F901" s="12" t="inlineStr">
        <is>
          <t>No individual professional decision recorded; Source assignment -- not individually reviewed</t>
        </is>
      </c>
      <c r="G901" s="12" t="inlineStr">
        <is>
          <t>Not individually decided</t>
        </is>
      </c>
      <c r="H901" s="12" t="inlineStr">
        <is>
          <t xml:space="preserve">APPROVED / ONE_TO_ONE; </t>
        </is>
      </c>
      <c r="I901" s="12" t="inlineStr">
        <is>
          <t>New</t>
        </is>
      </c>
      <c r="J901" s="17" t="inlineStr">
        <is>
          <t>08 CROSSWALK</t>
        </is>
      </c>
    </row>
    <row r="902" ht="49" customHeight="1">
      <c r="A902" s="12" t="inlineStr">
        <is>
          <t>R656-v1</t>
        </is>
      </c>
      <c r="B902" s="12" t="inlineStr">
        <is>
          <t>Contractor Programme / SCH-04-116</t>
        </is>
      </c>
      <c r="C902" s="12" t="inlineStr">
        <is>
          <t>WBS Code = 1.4.1</t>
        </is>
      </c>
      <c r="D902" s="12" t="inlineStr">
        <is>
          <t>Proposed by Source assignment; target 1.4.1 Vehicles and Depot - Fleet Supply</t>
        </is>
      </c>
      <c r="E902" s="12" t="inlineStr">
        <is>
          <t>None recorded</t>
        </is>
      </c>
      <c r="F902" s="12" t="inlineStr">
        <is>
          <t>No individual professional decision recorded; Source assignment -- not individually reviewed</t>
        </is>
      </c>
      <c r="G902" s="12" t="inlineStr">
        <is>
          <t>Not individually decided</t>
        </is>
      </c>
      <c r="H902" s="12" t="inlineStr">
        <is>
          <t xml:space="preserve">APPROVED / ONE_TO_ONE; </t>
        </is>
      </c>
      <c r="I902" s="12" t="inlineStr">
        <is>
          <t>New</t>
        </is>
      </c>
      <c r="J902" s="17" t="inlineStr">
        <is>
          <t>08 CROSSWALK</t>
        </is>
      </c>
    </row>
    <row r="903" ht="49" customHeight="1">
      <c r="A903" s="12" t="inlineStr">
        <is>
          <t>R658-v1</t>
        </is>
      </c>
      <c r="B903" s="12" t="inlineStr">
        <is>
          <t>Contractor Programme / SCH-04-118</t>
        </is>
      </c>
      <c r="C903" s="12" t="inlineStr">
        <is>
          <t>WBS Code = 1.4.1</t>
        </is>
      </c>
      <c r="D903" s="12" t="inlineStr">
        <is>
          <t>Proposed by Source assignment; target 1.4.1 Vehicles and Depot - Fleet Supply</t>
        </is>
      </c>
      <c r="E903" s="12" t="inlineStr">
        <is>
          <t>None recorded</t>
        </is>
      </c>
      <c r="F903" s="12" t="inlineStr">
        <is>
          <t>No individual professional decision recorded; Source assignment -- not individually reviewed</t>
        </is>
      </c>
      <c r="G903" s="12" t="inlineStr">
        <is>
          <t>Not individually decided</t>
        </is>
      </c>
      <c r="H903" s="12" t="inlineStr">
        <is>
          <t xml:space="preserve">APPROVED / ONE_TO_ONE; </t>
        </is>
      </c>
      <c r="I903" s="12" t="inlineStr">
        <is>
          <t>New</t>
        </is>
      </c>
      <c r="J903" s="17" t="inlineStr">
        <is>
          <t>08 CROSSWALK</t>
        </is>
      </c>
    </row>
    <row r="904" ht="49" customHeight="1">
      <c r="A904" s="12" t="inlineStr">
        <is>
          <t>R659-v1</t>
        </is>
      </c>
      <c r="B904" s="12" t="inlineStr">
        <is>
          <t>Contractor Programme / SCH-04-119</t>
        </is>
      </c>
      <c r="C904" s="12" t="inlineStr">
        <is>
          <t>WBS Code = 1.4.1</t>
        </is>
      </c>
      <c r="D904" s="12" t="inlineStr">
        <is>
          <t>Proposed by Source assignment; target 1.4.1 Vehicles and Depot - Fleet Supply</t>
        </is>
      </c>
      <c r="E904" s="12" t="inlineStr">
        <is>
          <t>None recorded</t>
        </is>
      </c>
      <c r="F904" s="12" t="inlineStr">
        <is>
          <t>No individual professional decision recorded; Source assignment -- not individually reviewed</t>
        </is>
      </c>
      <c r="G904" s="12" t="inlineStr">
        <is>
          <t>Not individually decided</t>
        </is>
      </c>
      <c r="H904" s="12" t="inlineStr">
        <is>
          <t xml:space="preserve">APPROVED / ONE_TO_ONE; </t>
        </is>
      </c>
      <c r="I904" s="12" t="inlineStr">
        <is>
          <t>New</t>
        </is>
      </c>
      <c r="J904" s="17" t="inlineStr">
        <is>
          <t>08 CROSSWALK</t>
        </is>
      </c>
    </row>
    <row r="905" ht="49" customHeight="1">
      <c r="A905" s="12" t="inlineStr">
        <is>
          <t>R661-v1</t>
        </is>
      </c>
      <c r="B905" s="12" t="inlineStr">
        <is>
          <t>Contractor Programme / SCH-04-121</t>
        </is>
      </c>
      <c r="C905" s="12" t="inlineStr">
        <is>
          <t>WBS Code = 1.4.1</t>
        </is>
      </c>
      <c r="D905" s="12" t="inlineStr">
        <is>
          <t>Proposed by Source assignment; target 1.4.1 Vehicles and Depot - Fleet Supply</t>
        </is>
      </c>
      <c r="E905" s="12" t="inlineStr">
        <is>
          <t>None recorded</t>
        </is>
      </c>
      <c r="F905" s="12" t="inlineStr">
        <is>
          <t>No individual professional decision recorded; Source assignment -- not individually reviewed</t>
        </is>
      </c>
      <c r="G905" s="12" t="inlineStr">
        <is>
          <t>Not individually decided</t>
        </is>
      </c>
      <c r="H905" s="12" t="inlineStr">
        <is>
          <t xml:space="preserve">APPROVED / ONE_TO_ONE; </t>
        </is>
      </c>
      <c r="I905" s="12" t="inlineStr">
        <is>
          <t>New</t>
        </is>
      </c>
      <c r="J905" s="17" t="inlineStr">
        <is>
          <t>08 CROSSWALK</t>
        </is>
      </c>
    </row>
    <row r="906" ht="49" customHeight="1">
      <c r="A906" s="12" t="inlineStr">
        <is>
          <t>R662-v1</t>
        </is>
      </c>
      <c r="B906" s="12" t="inlineStr">
        <is>
          <t>Contractor Programme / SCH-04-122</t>
        </is>
      </c>
      <c r="C906" s="12" t="inlineStr">
        <is>
          <t>WBS Code = 1.4.1</t>
        </is>
      </c>
      <c r="D906" s="12" t="inlineStr">
        <is>
          <t>Proposed by Source assignment; target 1.4.1 Vehicles and Depot - Fleet Supply</t>
        </is>
      </c>
      <c r="E906" s="12" t="inlineStr">
        <is>
          <t>None recorded</t>
        </is>
      </c>
      <c r="F906" s="12" t="inlineStr">
        <is>
          <t>No individual professional decision recorded; Source assignment -- not individually reviewed</t>
        </is>
      </c>
      <c r="G906" s="12" t="inlineStr">
        <is>
          <t>Not individually decided</t>
        </is>
      </c>
      <c r="H906" s="12" t="inlineStr">
        <is>
          <t xml:space="preserve">APPROVED / ONE_TO_ONE; </t>
        </is>
      </c>
      <c r="I906" s="12" t="inlineStr">
        <is>
          <t>New</t>
        </is>
      </c>
      <c r="J906" s="17" t="inlineStr">
        <is>
          <t>08 CROSSWALK</t>
        </is>
      </c>
    </row>
    <row r="907" ht="49" customHeight="1">
      <c r="A907" s="12" t="inlineStr">
        <is>
          <t>R664-v1</t>
        </is>
      </c>
      <c r="B907" s="12" t="inlineStr">
        <is>
          <t>Contractor Programme / SCH-04-124</t>
        </is>
      </c>
      <c r="C907" s="12" t="inlineStr">
        <is>
          <t>WBS Code = 1.4.1</t>
        </is>
      </c>
      <c r="D907" s="12" t="inlineStr">
        <is>
          <t>Proposed by Source assignment; target 1.4.1 Vehicles and Depot - Fleet Supply</t>
        </is>
      </c>
      <c r="E907" s="12" t="inlineStr">
        <is>
          <t>None recorded</t>
        </is>
      </c>
      <c r="F907" s="12" t="inlineStr">
        <is>
          <t>No individual professional decision recorded; Source assignment -- not individually reviewed</t>
        </is>
      </c>
      <c r="G907" s="12" t="inlineStr">
        <is>
          <t>Not individually decided</t>
        </is>
      </c>
      <c r="H907" s="12" t="inlineStr">
        <is>
          <t xml:space="preserve">APPROVED / ONE_TO_ONE; </t>
        </is>
      </c>
      <c r="I907" s="12" t="inlineStr">
        <is>
          <t>New</t>
        </is>
      </c>
      <c r="J907" s="17" t="inlineStr">
        <is>
          <t>08 CROSSWALK</t>
        </is>
      </c>
    </row>
    <row r="908" ht="49" customHeight="1">
      <c r="A908" s="12" t="inlineStr">
        <is>
          <t>R665-v1</t>
        </is>
      </c>
      <c r="B908" s="12" t="inlineStr">
        <is>
          <t>Contractor Programme / SCH-04-125</t>
        </is>
      </c>
      <c r="C908" s="12" t="inlineStr">
        <is>
          <t>WBS Code = 1.4.1</t>
        </is>
      </c>
      <c r="D908" s="12" t="inlineStr">
        <is>
          <t>Proposed by Source assignment; target 1.4.1 Vehicles and Depot - Fleet Supply</t>
        </is>
      </c>
      <c r="E908" s="12" t="inlineStr">
        <is>
          <t>None recorded</t>
        </is>
      </c>
      <c r="F908" s="12" t="inlineStr">
        <is>
          <t>No individual professional decision recorded; Source assignment -- not individually reviewed</t>
        </is>
      </c>
      <c r="G908" s="12" t="inlineStr">
        <is>
          <t>Not individually decided</t>
        </is>
      </c>
      <c r="H908" s="12" t="inlineStr">
        <is>
          <t xml:space="preserve">APPROVED / ONE_TO_ONE; </t>
        </is>
      </c>
      <c r="I908" s="12" t="inlineStr">
        <is>
          <t>New</t>
        </is>
      </c>
      <c r="J908" s="17" t="inlineStr">
        <is>
          <t>08 CROSSWALK</t>
        </is>
      </c>
    </row>
    <row r="909" ht="49" customHeight="1">
      <c r="A909" s="12" t="inlineStr">
        <is>
          <t>R667-v1</t>
        </is>
      </c>
      <c r="B909" s="12" t="inlineStr">
        <is>
          <t>Contractor Programme / SCH-04-127</t>
        </is>
      </c>
      <c r="C909" s="12" t="inlineStr">
        <is>
          <t>WBS Code = 1.4.1</t>
        </is>
      </c>
      <c r="D909" s="12" t="inlineStr">
        <is>
          <t>Proposed by Source assignment; target 1.4.1 Vehicles and Depot - Fleet Supply</t>
        </is>
      </c>
      <c r="E909" s="12" t="inlineStr">
        <is>
          <t>None recorded</t>
        </is>
      </c>
      <c r="F909" s="12" t="inlineStr">
        <is>
          <t>No individual professional decision recorded; Source assignment -- not individually reviewed</t>
        </is>
      </c>
      <c r="G909" s="12" t="inlineStr">
        <is>
          <t>Not individually decided</t>
        </is>
      </c>
      <c r="H909" s="12" t="inlineStr">
        <is>
          <t xml:space="preserve">APPROVED / ONE_TO_ONE; </t>
        </is>
      </c>
      <c r="I909" s="12" t="inlineStr">
        <is>
          <t>New</t>
        </is>
      </c>
      <c r="J909" s="17" t="inlineStr">
        <is>
          <t>08 CROSSWALK</t>
        </is>
      </c>
    </row>
    <row r="910" ht="49" customHeight="1">
      <c r="A910" s="12" t="inlineStr">
        <is>
          <t>R668-v1</t>
        </is>
      </c>
      <c r="B910" s="12" t="inlineStr">
        <is>
          <t>Contractor Programme / SCH-04-128</t>
        </is>
      </c>
      <c r="C910" s="12" t="inlineStr">
        <is>
          <t>WBS Code = 1.4.1</t>
        </is>
      </c>
      <c r="D910" s="12" t="inlineStr">
        <is>
          <t>Proposed by Source assignment; target 1.4.1 Vehicles and Depot - Fleet Supply</t>
        </is>
      </c>
      <c r="E910" s="12" t="inlineStr">
        <is>
          <t>None recorded</t>
        </is>
      </c>
      <c r="F910" s="12" t="inlineStr">
        <is>
          <t>No individual professional decision recorded; Source assignment -- not individually reviewed</t>
        </is>
      </c>
      <c r="G910" s="12" t="inlineStr">
        <is>
          <t>Not individually decided</t>
        </is>
      </c>
      <c r="H910" s="12" t="inlineStr">
        <is>
          <t xml:space="preserve">APPROVED / ONE_TO_ONE; </t>
        </is>
      </c>
      <c r="I910" s="12" t="inlineStr">
        <is>
          <t>New</t>
        </is>
      </c>
      <c r="J910" s="17" t="inlineStr">
        <is>
          <t>08 CROSSWALK</t>
        </is>
      </c>
    </row>
    <row r="911" ht="49" customHeight="1">
      <c r="A911" s="12" t="inlineStr">
        <is>
          <t>R670-v1</t>
        </is>
      </c>
      <c r="B911" s="12" t="inlineStr">
        <is>
          <t>Contractor Programme / SCH-04-130</t>
        </is>
      </c>
      <c r="C911" s="12" t="inlineStr">
        <is>
          <t>WBS Code = 1.4.1</t>
        </is>
      </c>
      <c r="D911" s="12" t="inlineStr">
        <is>
          <t>Proposed by Source assignment; target 1.4.1 Vehicles and Depot - Fleet Supply</t>
        </is>
      </c>
      <c r="E911" s="12" t="inlineStr">
        <is>
          <t>None recorded</t>
        </is>
      </c>
      <c r="F911" s="12" t="inlineStr">
        <is>
          <t>No individual professional decision recorded; Source assignment -- not individually reviewed</t>
        </is>
      </c>
      <c r="G911" s="12" t="inlineStr">
        <is>
          <t>Not individually decided</t>
        </is>
      </c>
      <c r="H911" s="12" t="inlineStr">
        <is>
          <t xml:space="preserve">APPROVED / ONE_TO_ONE; </t>
        </is>
      </c>
      <c r="I911" s="12" t="inlineStr">
        <is>
          <t>New</t>
        </is>
      </c>
      <c r="J911" s="17" t="inlineStr">
        <is>
          <t>08 CROSSWALK</t>
        </is>
      </c>
    </row>
    <row r="912" ht="49" customHeight="1">
      <c r="A912" s="12" t="inlineStr">
        <is>
          <t>R671-v1</t>
        </is>
      </c>
      <c r="B912" s="12" t="inlineStr">
        <is>
          <t>Contractor Programme / SCH-04-131</t>
        </is>
      </c>
      <c r="C912" s="12" t="inlineStr">
        <is>
          <t>WBS Code = 1.4.1</t>
        </is>
      </c>
      <c r="D912" s="12" t="inlineStr">
        <is>
          <t>Proposed by Source assignment; target 1.4.1 Vehicles and Depot - Fleet Supply</t>
        </is>
      </c>
      <c r="E912" s="12" t="inlineStr">
        <is>
          <t>None recorded</t>
        </is>
      </c>
      <c r="F912" s="12" t="inlineStr">
        <is>
          <t>No individual professional decision recorded; Source assignment -- not individually reviewed</t>
        </is>
      </c>
      <c r="G912" s="12" t="inlineStr">
        <is>
          <t>Not individually decided</t>
        </is>
      </c>
      <c r="H912" s="12" t="inlineStr">
        <is>
          <t xml:space="preserve">APPROVED / ONE_TO_ONE; </t>
        </is>
      </c>
      <c r="I912" s="12" t="inlineStr">
        <is>
          <t>New</t>
        </is>
      </c>
      <c r="J912" s="17" t="inlineStr">
        <is>
          <t>08 CROSSWALK</t>
        </is>
      </c>
    </row>
    <row r="913" ht="49" customHeight="1">
      <c r="A913" s="12" t="inlineStr">
        <is>
          <t>R673-v1</t>
        </is>
      </c>
      <c r="B913" s="12" t="inlineStr">
        <is>
          <t>Contractor Programme / SCH-04-133</t>
        </is>
      </c>
      <c r="C913" s="12" t="inlineStr">
        <is>
          <t>WBS Code = 1.4.1</t>
        </is>
      </c>
      <c r="D913" s="12" t="inlineStr">
        <is>
          <t>Proposed by Source assignment; target 1.4.1 Vehicles and Depot - Fleet Supply</t>
        </is>
      </c>
      <c r="E913" s="12" t="inlineStr">
        <is>
          <t>None recorded</t>
        </is>
      </c>
      <c r="F913" s="12" t="inlineStr">
        <is>
          <t>No individual professional decision recorded; Source assignment -- not individually reviewed</t>
        </is>
      </c>
      <c r="G913" s="12" t="inlineStr">
        <is>
          <t>Not individually decided</t>
        </is>
      </c>
      <c r="H913" s="12" t="inlineStr">
        <is>
          <t xml:space="preserve">APPROVED / ONE_TO_ONE; </t>
        </is>
      </c>
      <c r="I913" s="12" t="inlineStr">
        <is>
          <t>New</t>
        </is>
      </c>
      <c r="J913" s="17" t="inlineStr">
        <is>
          <t>08 CROSSWALK</t>
        </is>
      </c>
    </row>
    <row r="914" ht="49" customHeight="1">
      <c r="A914" s="12" t="inlineStr">
        <is>
          <t>R674-v1</t>
        </is>
      </c>
      <c r="B914" s="12" t="inlineStr">
        <is>
          <t>Contractor Programme / SCH-04-134</t>
        </is>
      </c>
      <c r="C914" s="12" t="inlineStr">
        <is>
          <t>WBS Code = 1.4.1</t>
        </is>
      </c>
      <c r="D914" s="12" t="inlineStr">
        <is>
          <t>Proposed by Source assignment; target 1.4.1 Vehicles and Depot - Fleet Supply</t>
        </is>
      </c>
      <c r="E914" s="12" t="inlineStr">
        <is>
          <t>None recorded</t>
        </is>
      </c>
      <c r="F914" s="12" t="inlineStr">
        <is>
          <t>No individual professional decision recorded; Source assignment -- not individually reviewed</t>
        </is>
      </c>
      <c r="G914" s="12" t="inlineStr">
        <is>
          <t>Not individually decided</t>
        </is>
      </c>
      <c r="H914" s="12" t="inlineStr">
        <is>
          <t xml:space="preserve">APPROVED / ONE_TO_ONE; </t>
        </is>
      </c>
      <c r="I914" s="12" t="inlineStr">
        <is>
          <t>New</t>
        </is>
      </c>
      <c r="J914" s="17" t="inlineStr">
        <is>
          <t>08 CROSSWALK</t>
        </is>
      </c>
    </row>
    <row r="915" ht="49" customHeight="1">
      <c r="A915" s="12" t="inlineStr">
        <is>
          <t>R676-v1</t>
        </is>
      </c>
      <c r="B915" s="12" t="inlineStr">
        <is>
          <t>Contractor Programme / SCH-04-136</t>
        </is>
      </c>
      <c r="C915" s="12" t="inlineStr">
        <is>
          <t>WBS Code = 1.4.1</t>
        </is>
      </c>
      <c r="D915" s="12" t="inlineStr">
        <is>
          <t>Proposed by Source assignment; target 1.4.1 Vehicles and Depot - Fleet Supply</t>
        </is>
      </c>
      <c r="E915" s="12" t="inlineStr">
        <is>
          <t>None recorded</t>
        </is>
      </c>
      <c r="F915" s="12" t="inlineStr">
        <is>
          <t>No individual professional decision recorded; Source assignment -- not individually reviewed</t>
        </is>
      </c>
      <c r="G915" s="12" t="inlineStr">
        <is>
          <t>Not individually decided</t>
        </is>
      </c>
      <c r="H915" s="12" t="inlineStr">
        <is>
          <t xml:space="preserve">APPROVED / ONE_TO_ONE; </t>
        </is>
      </c>
      <c r="I915" s="12" t="inlineStr">
        <is>
          <t>New</t>
        </is>
      </c>
      <c r="J915" s="17" t="inlineStr">
        <is>
          <t>08 CROSSWALK</t>
        </is>
      </c>
    </row>
    <row r="916" ht="49" customHeight="1">
      <c r="A916" s="12" t="inlineStr">
        <is>
          <t>R677-v1</t>
        </is>
      </c>
      <c r="B916" s="12" t="inlineStr">
        <is>
          <t>Contractor Programme / SCH-04-137</t>
        </is>
      </c>
      <c r="C916" s="12" t="inlineStr">
        <is>
          <t>WBS Code = 1.4.1</t>
        </is>
      </c>
      <c r="D916" s="12" t="inlineStr">
        <is>
          <t>Proposed by Source assignment; target 1.4.1 Vehicles and Depot - Fleet Supply</t>
        </is>
      </c>
      <c r="E916" s="12" t="inlineStr">
        <is>
          <t>None recorded</t>
        </is>
      </c>
      <c r="F916" s="12" t="inlineStr">
        <is>
          <t>No individual professional decision recorded; Source assignment -- not individually reviewed</t>
        </is>
      </c>
      <c r="G916" s="12" t="inlineStr">
        <is>
          <t>Not individually decided</t>
        </is>
      </c>
      <c r="H916" s="12" t="inlineStr">
        <is>
          <t xml:space="preserve">APPROVED / ONE_TO_ONE; </t>
        </is>
      </c>
      <c r="I916" s="12" t="inlineStr">
        <is>
          <t>New</t>
        </is>
      </c>
      <c r="J916" s="17" t="inlineStr">
        <is>
          <t>08 CROSSWALK</t>
        </is>
      </c>
    </row>
    <row r="917" ht="49" customHeight="1">
      <c r="A917" s="12" t="inlineStr">
        <is>
          <t>R679-v1</t>
        </is>
      </c>
      <c r="B917" s="12" t="inlineStr">
        <is>
          <t>Contractor Programme / SCH-04-139</t>
        </is>
      </c>
      <c r="C917" s="12" t="inlineStr">
        <is>
          <t>WBS Code = 1.4.1</t>
        </is>
      </c>
      <c r="D917" s="12" t="inlineStr">
        <is>
          <t>Proposed by Source assignment; target 1.4.1 Vehicles and Depot - Fleet Supply</t>
        </is>
      </c>
      <c r="E917" s="12" t="inlineStr">
        <is>
          <t>None recorded</t>
        </is>
      </c>
      <c r="F917" s="12" t="inlineStr">
        <is>
          <t>No individual professional decision recorded; Source assignment -- not individually reviewed</t>
        </is>
      </c>
      <c r="G917" s="12" t="inlineStr">
        <is>
          <t>Not individually decided</t>
        </is>
      </c>
      <c r="H917" s="12" t="inlineStr">
        <is>
          <t xml:space="preserve">APPROVED / ONE_TO_ONE; </t>
        </is>
      </c>
      <c r="I917" s="12" t="inlineStr">
        <is>
          <t>New</t>
        </is>
      </c>
      <c r="J917" s="17" t="inlineStr">
        <is>
          <t>08 CROSSWALK</t>
        </is>
      </c>
    </row>
    <row r="918" ht="49" customHeight="1">
      <c r="A918" s="12" t="inlineStr">
        <is>
          <t>R680-v1</t>
        </is>
      </c>
      <c r="B918" s="12" t="inlineStr">
        <is>
          <t>Contractor Programme / SCH-04-140</t>
        </is>
      </c>
      <c r="C918" s="12" t="inlineStr">
        <is>
          <t>WBS Code = 1.4.1</t>
        </is>
      </c>
      <c r="D918" s="12" t="inlineStr">
        <is>
          <t>Proposed by Source assignment; target 1.4.1 Vehicles and Depot - Fleet Supply</t>
        </is>
      </c>
      <c r="E918" s="12" t="inlineStr">
        <is>
          <t>None recorded</t>
        </is>
      </c>
      <c r="F918" s="12" t="inlineStr">
        <is>
          <t>No individual professional decision recorded; Source assignment -- not individually reviewed</t>
        </is>
      </c>
      <c r="G918" s="12" t="inlineStr">
        <is>
          <t>Not individually decided</t>
        </is>
      </c>
      <c r="H918" s="12" t="inlineStr">
        <is>
          <t xml:space="preserve">APPROVED / ONE_TO_ONE; </t>
        </is>
      </c>
      <c r="I918" s="12" t="inlineStr">
        <is>
          <t>New</t>
        </is>
      </c>
      <c r="J918" s="17" t="inlineStr">
        <is>
          <t>08 CROSSWALK</t>
        </is>
      </c>
    </row>
    <row r="919" ht="49" customHeight="1">
      <c r="A919" s="12" t="inlineStr">
        <is>
          <t>R682-v1</t>
        </is>
      </c>
      <c r="B919" s="12" t="inlineStr">
        <is>
          <t>Contractor Programme / SCH-04-142</t>
        </is>
      </c>
      <c r="C919" s="12" t="inlineStr">
        <is>
          <t>WBS Code = 1.4.1</t>
        </is>
      </c>
      <c r="D919" s="12" t="inlineStr">
        <is>
          <t>Proposed by Source assignment; target 1.4.1 Vehicles and Depot - Fleet Supply</t>
        </is>
      </c>
      <c r="E919" s="12" t="inlineStr">
        <is>
          <t>None recorded</t>
        </is>
      </c>
      <c r="F919" s="12" t="inlineStr">
        <is>
          <t>No individual professional decision recorded; Source assignment -- not individually reviewed</t>
        </is>
      </c>
      <c r="G919" s="12" t="inlineStr">
        <is>
          <t>Not individually decided</t>
        </is>
      </c>
      <c r="H919" s="12" t="inlineStr">
        <is>
          <t xml:space="preserve">APPROVED / ONE_TO_ONE; </t>
        </is>
      </c>
      <c r="I919" s="12" t="inlineStr">
        <is>
          <t>New</t>
        </is>
      </c>
      <c r="J919" s="17" t="inlineStr">
        <is>
          <t>08 CROSSWALK</t>
        </is>
      </c>
    </row>
    <row r="920" ht="49" customHeight="1">
      <c r="A920" s="12" t="inlineStr">
        <is>
          <t>R683-v1</t>
        </is>
      </c>
      <c r="B920" s="12" t="inlineStr">
        <is>
          <t>Contractor Programme / SCH-04-143</t>
        </is>
      </c>
      <c r="C920" s="12" t="inlineStr">
        <is>
          <t>WBS Code = 1.4.1</t>
        </is>
      </c>
      <c r="D920" s="12" t="inlineStr">
        <is>
          <t>Proposed by Source assignment; target 1.4.1 Vehicles and Depot - Fleet Supply</t>
        </is>
      </c>
      <c r="E920" s="12" t="inlineStr">
        <is>
          <t>None recorded</t>
        </is>
      </c>
      <c r="F920" s="12" t="inlineStr">
        <is>
          <t>No individual professional decision recorded; Source assignment -- not individually reviewed</t>
        </is>
      </c>
      <c r="G920" s="12" t="inlineStr">
        <is>
          <t>Not individually decided</t>
        </is>
      </c>
      <c r="H920" s="12" t="inlineStr">
        <is>
          <t xml:space="preserve">APPROVED / ONE_TO_ONE; </t>
        </is>
      </c>
      <c r="I920" s="12" t="inlineStr">
        <is>
          <t>New</t>
        </is>
      </c>
      <c r="J920" s="17" t="inlineStr">
        <is>
          <t>08 CROSSWALK</t>
        </is>
      </c>
    </row>
    <row r="921" ht="49" customHeight="1">
      <c r="A921" s="12" t="inlineStr">
        <is>
          <t>R685-v1</t>
        </is>
      </c>
      <c r="B921" s="12" t="inlineStr">
        <is>
          <t>Contractor Programme / SCH-04-145</t>
        </is>
      </c>
      <c r="C921" s="12" t="inlineStr">
        <is>
          <t>WBS Code = 1.4.1</t>
        </is>
      </c>
      <c r="D921" s="12" t="inlineStr">
        <is>
          <t>Proposed by Source assignment; target 1.4.1 Vehicles and Depot - Fleet Supply</t>
        </is>
      </c>
      <c r="E921" s="12" t="inlineStr">
        <is>
          <t>None recorded</t>
        </is>
      </c>
      <c r="F921" s="12" t="inlineStr">
        <is>
          <t>No individual professional decision recorded; Source assignment -- not individually reviewed</t>
        </is>
      </c>
      <c r="G921" s="12" t="inlineStr">
        <is>
          <t>Not individually decided</t>
        </is>
      </c>
      <c r="H921" s="12" t="inlineStr">
        <is>
          <t xml:space="preserve">APPROVED / ONE_TO_ONE; </t>
        </is>
      </c>
      <c r="I921" s="12" t="inlineStr">
        <is>
          <t>New</t>
        </is>
      </c>
      <c r="J921" s="17" t="inlineStr">
        <is>
          <t>08 CROSSWALK</t>
        </is>
      </c>
    </row>
    <row r="922" ht="49" customHeight="1">
      <c r="A922" s="12" t="inlineStr">
        <is>
          <t>R686-v1</t>
        </is>
      </c>
      <c r="B922" s="12" t="inlineStr">
        <is>
          <t>Contractor Programme / SCH-04-146</t>
        </is>
      </c>
      <c r="C922" s="12" t="inlineStr">
        <is>
          <t>WBS Code = 1.4.1</t>
        </is>
      </c>
      <c r="D922" s="12" t="inlineStr">
        <is>
          <t>Proposed by Source assignment; target 1.4.1 Vehicles and Depot - Fleet Supply</t>
        </is>
      </c>
      <c r="E922" s="12" t="inlineStr">
        <is>
          <t>None recorded</t>
        </is>
      </c>
      <c r="F922" s="12" t="inlineStr">
        <is>
          <t>No individual professional decision recorded; Source assignment -- not individually reviewed</t>
        </is>
      </c>
      <c r="G922" s="12" t="inlineStr">
        <is>
          <t>Not individually decided</t>
        </is>
      </c>
      <c r="H922" s="12" t="inlineStr">
        <is>
          <t xml:space="preserve">APPROVED / ONE_TO_ONE; </t>
        </is>
      </c>
      <c r="I922" s="12" t="inlineStr">
        <is>
          <t>New</t>
        </is>
      </c>
      <c r="J922" s="17" t="inlineStr">
        <is>
          <t>08 CROSSWALK</t>
        </is>
      </c>
    </row>
    <row r="923" ht="49" customHeight="1">
      <c r="A923" s="12" t="inlineStr">
        <is>
          <t>R688-v1</t>
        </is>
      </c>
      <c r="B923" s="12" t="inlineStr">
        <is>
          <t>Contractor Programme / SCH-04-148</t>
        </is>
      </c>
      <c r="C923" s="12" t="inlineStr">
        <is>
          <t>WBS Code = 1.4.1</t>
        </is>
      </c>
      <c r="D923" s="12" t="inlineStr">
        <is>
          <t>Proposed by Source assignment; target 1.4.1 Vehicles and Depot - Fleet Supply</t>
        </is>
      </c>
      <c r="E923" s="12" t="inlineStr">
        <is>
          <t>None recorded</t>
        </is>
      </c>
      <c r="F923" s="12" t="inlineStr">
        <is>
          <t>No individual professional decision recorded; Source assignment -- not individually reviewed</t>
        </is>
      </c>
      <c r="G923" s="12" t="inlineStr">
        <is>
          <t>Not individually decided</t>
        </is>
      </c>
      <c r="H923" s="12" t="inlineStr">
        <is>
          <t xml:space="preserve">APPROVED / ONE_TO_ONE; </t>
        </is>
      </c>
      <c r="I923" s="12" t="inlineStr">
        <is>
          <t>New</t>
        </is>
      </c>
      <c r="J923" s="17" t="inlineStr">
        <is>
          <t>08 CROSSWALK</t>
        </is>
      </c>
    </row>
    <row r="924" ht="49" customHeight="1">
      <c r="A924" s="12" t="inlineStr">
        <is>
          <t>R689-v1</t>
        </is>
      </c>
      <c r="B924" s="12" t="inlineStr">
        <is>
          <t>Contractor Programme / SCH-04-149</t>
        </is>
      </c>
      <c r="C924" s="12" t="inlineStr">
        <is>
          <t>WBS Code = 1.4.1</t>
        </is>
      </c>
      <c r="D924" s="12" t="inlineStr">
        <is>
          <t>Proposed by Source assignment; target 1.4.1 Vehicles and Depot - Fleet Supply</t>
        </is>
      </c>
      <c r="E924" s="12" t="inlineStr">
        <is>
          <t>None recorded</t>
        </is>
      </c>
      <c r="F924" s="12" t="inlineStr">
        <is>
          <t>No individual professional decision recorded; Source assignment -- not individually reviewed</t>
        </is>
      </c>
      <c r="G924" s="12" t="inlineStr">
        <is>
          <t>Not individually decided</t>
        </is>
      </c>
      <c r="H924" s="12" t="inlineStr">
        <is>
          <t xml:space="preserve">APPROVED / ONE_TO_ONE; </t>
        </is>
      </c>
      <c r="I924" s="12" t="inlineStr">
        <is>
          <t>New</t>
        </is>
      </c>
      <c r="J924" s="17" t="inlineStr">
        <is>
          <t>08 CROSSWALK</t>
        </is>
      </c>
    </row>
    <row r="925" ht="49" customHeight="1">
      <c r="A925" s="12" t="inlineStr">
        <is>
          <t>R691-v1</t>
        </is>
      </c>
      <c r="B925" s="12" t="inlineStr">
        <is>
          <t>Contractor Programme / SCH-04-151</t>
        </is>
      </c>
      <c r="C925" s="12" t="inlineStr">
        <is>
          <t>WBS Code = 1.4.1</t>
        </is>
      </c>
      <c r="D925" s="12" t="inlineStr">
        <is>
          <t>Proposed by Source assignment; target 1.4.1 Vehicles and Depot - Fleet Supply</t>
        </is>
      </c>
      <c r="E925" s="12" t="inlineStr">
        <is>
          <t>None recorded</t>
        </is>
      </c>
      <c r="F925" s="12" t="inlineStr">
        <is>
          <t>No individual professional decision recorded; Source assignment -- not individually reviewed</t>
        </is>
      </c>
      <c r="G925" s="12" t="inlineStr">
        <is>
          <t>Not individually decided</t>
        </is>
      </c>
      <c r="H925" s="12" t="inlineStr">
        <is>
          <t xml:space="preserve">APPROVED / ONE_TO_ONE; </t>
        </is>
      </c>
      <c r="I925" s="12" t="inlineStr">
        <is>
          <t>New</t>
        </is>
      </c>
      <c r="J925" s="17" t="inlineStr">
        <is>
          <t>08 CROSSWALK</t>
        </is>
      </c>
    </row>
    <row r="926" ht="49" customHeight="1">
      <c r="A926" s="12" t="inlineStr">
        <is>
          <t>R692-v1</t>
        </is>
      </c>
      <c r="B926" s="12" t="inlineStr">
        <is>
          <t>Contractor Programme / SCH-04-152</t>
        </is>
      </c>
      <c r="C926" s="12" t="inlineStr">
        <is>
          <t>WBS Code = 1.4.1</t>
        </is>
      </c>
      <c r="D926" s="12" t="inlineStr">
        <is>
          <t>Proposed by Source assignment; target 1.4.1 Vehicles and Depot - Fleet Supply</t>
        </is>
      </c>
      <c r="E926" s="12" t="inlineStr">
        <is>
          <t>None recorded</t>
        </is>
      </c>
      <c r="F926" s="12" t="inlineStr">
        <is>
          <t>No individual professional decision recorded; Source assignment -- not individually reviewed</t>
        </is>
      </c>
      <c r="G926" s="12" t="inlineStr">
        <is>
          <t>Not individually decided</t>
        </is>
      </c>
      <c r="H926" s="12" t="inlineStr">
        <is>
          <t xml:space="preserve">APPROVED / ONE_TO_ONE; </t>
        </is>
      </c>
      <c r="I926" s="12" t="inlineStr">
        <is>
          <t>New</t>
        </is>
      </c>
      <c r="J926" s="17" t="inlineStr">
        <is>
          <t>08 CROSSWALK</t>
        </is>
      </c>
    </row>
    <row r="927" ht="49" customHeight="1">
      <c r="A927" s="12" t="inlineStr">
        <is>
          <t>R694-v1</t>
        </is>
      </c>
      <c r="B927" s="12" t="inlineStr">
        <is>
          <t>Contractor Programme / SCH-04-154</t>
        </is>
      </c>
      <c r="C927" s="12" t="inlineStr">
        <is>
          <t>WBS Code = 1.4.1</t>
        </is>
      </c>
      <c r="D927" s="12" t="inlineStr">
        <is>
          <t>Proposed by Source assignment; target 1.4.1 Vehicles and Depot - Fleet Supply</t>
        </is>
      </c>
      <c r="E927" s="12" t="inlineStr">
        <is>
          <t>None recorded</t>
        </is>
      </c>
      <c r="F927" s="12" t="inlineStr">
        <is>
          <t>No individual professional decision recorded; Source assignment -- not individually reviewed</t>
        </is>
      </c>
      <c r="G927" s="12" t="inlineStr">
        <is>
          <t>Not individually decided</t>
        </is>
      </c>
      <c r="H927" s="12" t="inlineStr">
        <is>
          <t xml:space="preserve">APPROVED / ONE_TO_ONE; </t>
        </is>
      </c>
      <c r="I927" s="12" t="inlineStr">
        <is>
          <t>New</t>
        </is>
      </c>
      <c r="J927" s="17" t="inlineStr">
        <is>
          <t>08 CROSSWALK</t>
        </is>
      </c>
    </row>
    <row r="928" ht="49" customHeight="1">
      <c r="A928" s="12" t="inlineStr">
        <is>
          <t>R695-v1</t>
        </is>
      </c>
      <c r="B928" s="12" t="inlineStr">
        <is>
          <t>Contractor Programme / SCH-04-155</t>
        </is>
      </c>
      <c r="C928" s="12" t="inlineStr">
        <is>
          <t>WBS Code = 1.4.1</t>
        </is>
      </c>
      <c r="D928" s="12" t="inlineStr">
        <is>
          <t>Proposed by Source assignment; target 1.4.1 Vehicles and Depot - Fleet Supply</t>
        </is>
      </c>
      <c r="E928" s="12" t="inlineStr">
        <is>
          <t>None recorded</t>
        </is>
      </c>
      <c r="F928" s="12" t="inlineStr">
        <is>
          <t>No individual professional decision recorded; Source assignment -- not individually reviewed</t>
        </is>
      </c>
      <c r="G928" s="12" t="inlineStr">
        <is>
          <t>Not individually decided</t>
        </is>
      </c>
      <c r="H928" s="12" t="inlineStr">
        <is>
          <t xml:space="preserve">APPROVED / ONE_TO_ONE; </t>
        </is>
      </c>
      <c r="I928" s="12" t="inlineStr">
        <is>
          <t>New</t>
        </is>
      </c>
      <c r="J928" s="17" t="inlineStr">
        <is>
          <t>08 CROSSWALK</t>
        </is>
      </c>
    </row>
    <row r="929" ht="49" customHeight="1">
      <c r="A929" s="12" t="inlineStr">
        <is>
          <t>R697-v1</t>
        </is>
      </c>
      <c r="B929" s="12" t="inlineStr">
        <is>
          <t>Contractor Programme / SCH-04-157</t>
        </is>
      </c>
      <c r="C929" s="12" t="inlineStr">
        <is>
          <t>WBS Code = 1.4.1</t>
        </is>
      </c>
      <c r="D929" s="12" t="inlineStr">
        <is>
          <t>Proposed by Source assignment; target 1.4.1 Vehicles and Depot - Fleet Supply</t>
        </is>
      </c>
      <c r="E929" s="12" t="inlineStr">
        <is>
          <t>None recorded</t>
        </is>
      </c>
      <c r="F929" s="12" t="inlineStr">
        <is>
          <t>No individual professional decision recorded; Source assignment -- not individually reviewed</t>
        </is>
      </c>
      <c r="G929" s="12" t="inlineStr">
        <is>
          <t>Not individually decided</t>
        </is>
      </c>
      <c r="H929" s="12" t="inlineStr">
        <is>
          <t xml:space="preserve">APPROVED / ONE_TO_ONE; </t>
        </is>
      </c>
      <c r="I929" s="12" t="inlineStr">
        <is>
          <t>New</t>
        </is>
      </c>
      <c r="J929" s="17" t="inlineStr">
        <is>
          <t>08 CROSSWALK</t>
        </is>
      </c>
    </row>
    <row r="930" ht="49" customHeight="1">
      <c r="A930" s="12" t="inlineStr">
        <is>
          <t>R698-v1</t>
        </is>
      </c>
      <c r="B930" s="12" t="inlineStr">
        <is>
          <t>Contractor Programme / SCH-04-158</t>
        </is>
      </c>
      <c r="C930" s="12" t="inlineStr">
        <is>
          <t>WBS Code = 1.4.1</t>
        </is>
      </c>
      <c r="D930" s="12" t="inlineStr">
        <is>
          <t>Proposed by Source assignment; target 1.4.1 Vehicles and Depot - Fleet Supply</t>
        </is>
      </c>
      <c r="E930" s="12" t="inlineStr">
        <is>
          <t>None recorded</t>
        </is>
      </c>
      <c r="F930" s="12" t="inlineStr">
        <is>
          <t>No individual professional decision recorded; Source assignment -- not individually reviewed</t>
        </is>
      </c>
      <c r="G930" s="12" t="inlineStr">
        <is>
          <t>Not individually decided</t>
        </is>
      </c>
      <c r="H930" s="12" t="inlineStr">
        <is>
          <t xml:space="preserve">APPROVED / ONE_TO_ONE; </t>
        </is>
      </c>
      <c r="I930" s="12" t="inlineStr">
        <is>
          <t>New</t>
        </is>
      </c>
      <c r="J930" s="17" t="inlineStr">
        <is>
          <t>08 CROSSWALK</t>
        </is>
      </c>
    </row>
    <row r="931" ht="49" customHeight="1">
      <c r="A931" s="12" t="inlineStr">
        <is>
          <t>R700-v1</t>
        </is>
      </c>
      <c r="B931" s="12" t="inlineStr">
        <is>
          <t>Contractor Programme / SCH-04-160</t>
        </is>
      </c>
      <c r="C931" s="12" t="inlineStr">
        <is>
          <t>WBS Code = 1.4.1</t>
        </is>
      </c>
      <c r="D931" s="12" t="inlineStr">
        <is>
          <t>Proposed by Source assignment; target 1.4.1 Vehicles and Depot - Fleet Supply</t>
        </is>
      </c>
      <c r="E931" s="12" t="inlineStr">
        <is>
          <t>None recorded</t>
        </is>
      </c>
      <c r="F931" s="12" t="inlineStr">
        <is>
          <t>No individual professional decision recorded; Source assignment -- not individually reviewed</t>
        </is>
      </c>
      <c r="G931" s="12" t="inlineStr">
        <is>
          <t>Not individually decided</t>
        </is>
      </c>
      <c r="H931" s="12" t="inlineStr">
        <is>
          <t xml:space="preserve">APPROVED / ONE_TO_ONE; </t>
        </is>
      </c>
      <c r="I931" s="12" t="inlineStr">
        <is>
          <t>New</t>
        </is>
      </c>
      <c r="J931" s="17" t="inlineStr">
        <is>
          <t>08 CROSSWALK</t>
        </is>
      </c>
    </row>
    <row r="932" ht="49" customHeight="1">
      <c r="A932" s="12" t="inlineStr">
        <is>
          <t>R701-v1</t>
        </is>
      </c>
      <c r="B932" s="12" t="inlineStr">
        <is>
          <t>Contractor Programme / SCH-04-161</t>
        </is>
      </c>
      <c r="C932" s="12" t="inlineStr">
        <is>
          <t>WBS Code = 1.4.1</t>
        </is>
      </c>
      <c r="D932" s="12" t="inlineStr">
        <is>
          <t>Proposed by Source assignment; target 1.4.1 Vehicles and Depot - Fleet Supply</t>
        </is>
      </c>
      <c r="E932" s="12" t="inlineStr">
        <is>
          <t>None recorded</t>
        </is>
      </c>
      <c r="F932" s="12" t="inlineStr">
        <is>
          <t>No individual professional decision recorded; Source assignment -- not individually reviewed</t>
        </is>
      </c>
      <c r="G932" s="12" t="inlineStr">
        <is>
          <t>Not individually decided</t>
        </is>
      </c>
      <c r="H932" s="12" t="inlineStr">
        <is>
          <t xml:space="preserve">APPROVED / ONE_TO_ONE; </t>
        </is>
      </c>
      <c r="I932" s="12" t="inlineStr">
        <is>
          <t>New</t>
        </is>
      </c>
      <c r="J932" s="17" t="inlineStr">
        <is>
          <t>08 CROSSWALK</t>
        </is>
      </c>
    </row>
    <row r="933" ht="49" customHeight="1">
      <c r="A933" s="12" t="inlineStr">
        <is>
          <t>R703-v1</t>
        </is>
      </c>
      <c r="B933" s="12" t="inlineStr">
        <is>
          <t>Contractor Programme / SCH-04-163</t>
        </is>
      </c>
      <c r="C933" s="12" t="inlineStr">
        <is>
          <t>WBS Code = 1.4.1</t>
        </is>
      </c>
      <c r="D933" s="12" t="inlineStr">
        <is>
          <t>Proposed by Source assignment; target 1.4.1 Vehicles and Depot - Fleet Supply</t>
        </is>
      </c>
      <c r="E933" s="12" t="inlineStr">
        <is>
          <t>None recorded</t>
        </is>
      </c>
      <c r="F933" s="12" t="inlineStr">
        <is>
          <t>No individual professional decision recorded; Source assignment -- not individually reviewed</t>
        </is>
      </c>
      <c r="G933" s="12" t="inlineStr">
        <is>
          <t>Not individually decided</t>
        </is>
      </c>
      <c r="H933" s="12" t="inlineStr">
        <is>
          <t xml:space="preserve">APPROVED / ONE_TO_ONE; </t>
        </is>
      </c>
      <c r="I933" s="12" t="inlineStr">
        <is>
          <t>New</t>
        </is>
      </c>
      <c r="J933" s="17" t="inlineStr">
        <is>
          <t>08 CROSSWALK</t>
        </is>
      </c>
    </row>
    <row r="934" ht="49" customHeight="1">
      <c r="A934" s="12" t="inlineStr">
        <is>
          <t>R704-v1</t>
        </is>
      </c>
      <c r="B934" s="12" t="inlineStr">
        <is>
          <t>Contractor Programme / SCH-04-164</t>
        </is>
      </c>
      <c r="C934" s="12" t="inlineStr">
        <is>
          <t>WBS Code = 1.4.1</t>
        </is>
      </c>
      <c r="D934" s="12" t="inlineStr">
        <is>
          <t>Proposed by Source assignment; target 1.4.1 Vehicles and Depot - Fleet Supply</t>
        </is>
      </c>
      <c r="E934" s="12" t="inlineStr">
        <is>
          <t>None recorded</t>
        </is>
      </c>
      <c r="F934" s="12" t="inlineStr">
        <is>
          <t>No individual professional decision recorded; Source assignment -- not individually reviewed</t>
        </is>
      </c>
      <c r="G934" s="12" t="inlineStr">
        <is>
          <t>Not individually decided</t>
        </is>
      </c>
      <c r="H934" s="12" t="inlineStr">
        <is>
          <t xml:space="preserve">APPROVED / ONE_TO_ONE; </t>
        </is>
      </c>
      <c r="I934" s="12" t="inlineStr">
        <is>
          <t>New</t>
        </is>
      </c>
      <c r="J934" s="17" t="inlineStr">
        <is>
          <t>08 CROSSWALK</t>
        </is>
      </c>
    </row>
    <row r="935" ht="49" customHeight="1">
      <c r="A935" s="12" t="inlineStr">
        <is>
          <t>R706-v1</t>
        </is>
      </c>
      <c r="B935" s="12" t="inlineStr">
        <is>
          <t>Contractor Programme / SCH-04-166</t>
        </is>
      </c>
      <c r="C935" s="12" t="inlineStr">
        <is>
          <t>WBS Code = 1.4.1</t>
        </is>
      </c>
      <c r="D935" s="12" t="inlineStr">
        <is>
          <t>Proposed by Source assignment; target 1.4.1 Vehicles and Depot - Fleet Supply</t>
        </is>
      </c>
      <c r="E935" s="12" t="inlineStr">
        <is>
          <t>None recorded</t>
        </is>
      </c>
      <c r="F935" s="12" t="inlineStr">
        <is>
          <t>No individual professional decision recorded; Source assignment -- not individually reviewed</t>
        </is>
      </c>
      <c r="G935" s="12" t="inlineStr">
        <is>
          <t>Not individually decided</t>
        </is>
      </c>
      <c r="H935" s="12" t="inlineStr">
        <is>
          <t xml:space="preserve">APPROVED / ONE_TO_ONE; </t>
        </is>
      </c>
      <c r="I935" s="12" t="inlineStr">
        <is>
          <t>New</t>
        </is>
      </c>
      <c r="J935" s="17" t="inlineStr">
        <is>
          <t>08 CROSSWALK</t>
        </is>
      </c>
    </row>
    <row r="936" ht="49" customHeight="1">
      <c r="A936" s="12" t="inlineStr">
        <is>
          <t>R707-v1</t>
        </is>
      </c>
      <c r="B936" s="12" t="inlineStr">
        <is>
          <t>Contractor Programme / SCH-04-167</t>
        </is>
      </c>
      <c r="C936" s="12" t="inlineStr">
        <is>
          <t>WBS Code = 1.4.1</t>
        </is>
      </c>
      <c r="D936" s="12" t="inlineStr">
        <is>
          <t>Proposed by Source assignment; target 1.4.1 Vehicles and Depot - Fleet Supply</t>
        </is>
      </c>
      <c r="E936" s="12" t="inlineStr">
        <is>
          <t>None recorded</t>
        </is>
      </c>
      <c r="F936" s="12" t="inlineStr">
        <is>
          <t>No individual professional decision recorded; Source assignment -- not individually reviewed</t>
        </is>
      </c>
      <c r="G936" s="12" t="inlineStr">
        <is>
          <t>Not individually decided</t>
        </is>
      </c>
      <c r="H936" s="12" t="inlineStr">
        <is>
          <t xml:space="preserve">APPROVED / ONE_TO_ONE; </t>
        </is>
      </c>
      <c r="I936" s="12" t="inlineStr">
        <is>
          <t>New</t>
        </is>
      </c>
      <c r="J936" s="17" t="inlineStr">
        <is>
          <t>08 CROSSWALK</t>
        </is>
      </c>
    </row>
    <row r="937" ht="49" customHeight="1">
      <c r="A937" s="12" t="inlineStr">
        <is>
          <t>R709-v1</t>
        </is>
      </c>
      <c r="B937" s="12" t="inlineStr">
        <is>
          <t>Contractor Programme / SCH-04-169</t>
        </is>
      </c>
      <c r="C937" s="12" t="inlineStr">
        <is>
          <t>WBS Code = 1.4.1</t>
        </is>
      </c>
      <c r="D937" s="12" t="inlineStr">
        <is>
          <t>Proposed by Source assignment; target 1.4.1 Vehicles and Depot - Fleet Supply</t>
        </is>
      </c>
      <c r="E937" s="12" t="inlineStr">
        <is>
          <t>None recorded</t>
        </is>
      </c>
      <c r="F937" s="12" t="inlineStr">
        <is>
          <t>No individual professional decision recorded; Source assignment -- not individually reviewed</t>
        </is>
      </c>
      <c r="G937" s="12" t="inlineStr">
        <is>
          <t>Not individually decided</t>
        </is>
      </c>
      <c r="H937" s="12" t="inlineStr">
        <is>
          <t xml:space="preserve">APPROVED / ONE_TO_ONE; </t>
        </is>
      </c>
      <c r="I937" s="12" t="inlineStr">
        <is>
          <t>New</t>
        </is>
      </c>
      <c r="J937" s="17" t="inlineStr">
        <is>
          <t>08 CROSSWALK</t>
        </is>
      </c>
    </row>
    <row r="938" ht="49" customHeight="1">
      <c r="A938" s="12" t="inlineStr">
        <is>
          <t>R710-v1</t>
        </is>
      </c>
      <c r="B938" s="12" t="inlineStr">
        <is>
          <t>Contractor Programme / SCH-04-170</t>
        </is>
      </c>
      <c r="C938" s="12" t="inlineStr">
        <is>
          <t>WBS Code = 1.4.1</t>
        </is>
      </c>
      <c r="D938" s="12" t="inlineStr">
        <is>
          <t>Proposed by Source assignment; target 1.4.1 Vehicles and Depot - Fleet Supply</t>
        </is>
      </c>
      <c r="E938" s="12" t="inlineStr">
        <is>
          <t>None recorded</t>
        </is>
      </c>
      <c r="F938" s="12" t="inlineStr">
        <is>
          <t>No individual professional decision recorded; Source assignment -- not individually reviewed</t>
        </is>
      </c>
      <c r="G938" s="12" t="inlineStr">
        <is>
          <t>Not individually decided</t>
        </is>
      </c>
      <c r="H938" s="12" t="inlineStr">
        <is>
          <t xml:space="preserve">APPROVED / ONE_TO_ONE; </t>
        </is>
      </c>
      <c r="I938" s="12" t="inlineStr">
        <is>
          <t>New</t>
        </is>
      </c>
      <c r="J938" s="17" t="inlineStr">
        <is>
          <t>08 CROSSWALK</t>
        </is>
      </c>
    </row>
    <row r="939" ht="49" customHeight="1">
      <c r="A939" s="12" t="inlineStr">
        <is>
          <t>R712-v1</t>
        </is>
      </c>
      <c r="B939" s="12" t="inlineStr">
        <is>
          <t>Contractor Programme / SCH-04-172</t>
        </is>
      </c>
      <c r="C939" s="12" t="inlineStr">
        <is>
          <t>WBS Code = 1.4.1</t>
        </is>
      </c>
      <c r="D939" s="12" t="inlineStr">
        <is>
          <t>Proposed by Source assignment; target 1.4.1 Vehicles and Depot - Fleet Supply</t>
        </is>
      </c>
      <c r="E939" s="12" t="inlineStr">
        <is>
          <t>None recorded</t>
        </is>
      </c>
      <c r="F939" s="12" t="inlineStr">
        <is>
          <t>No individual professional decision recorded; Source assignment -- not individually reviewed</t>
        </is>
      </c>
      <c r="G939" s="12" t="inlineStr">
        <is>
          <t>Not individually decided</t>
        </is>
      </c>
      <c r="H939" s="12" t="inlineStr">
        <is>
          <t xml:space="preserve">APPROVED / ONE_TO_ONE; </t>
        </is>
      </c>
      <c r="I939" s="12" t="inlineStr">
        <is>
          <t>New</t>
        </is>
      </c>
      <c r="J939" s="17" t="inlineStr">
        <is>
          <t>08 CROSSWALK</t>
        </is>
      </c>
    </row>
    <row r="940" ht="49" customHeight="1">
      <c r="A940" s="12" t="inlineStr">
        <is>
          <t>R713-v1</t>
        </is>
      </c>
      <c r="B940" s="12" t="inlineStr">
        <is>
          <t>Contractor Programme / SCH-04-173</t>
        </is>
      </c>
      <c r="C940" s="12" t="inlineStr">
        <is>
          <t>WBS Code = 1.4.1</t>
        </is>
      </c>
      <c r="D940" s="12" t="inlineStr">
        <is>
          <t>Proposed by Source assignment; target 1.4.1 Vehicles and Depot - Fleet Supply</t>
        </is>
      </c>
      <c r="E940" s="12" t="inlineStr">
        <is>
          <t>None recorded</t>
        </is>
      </c>
      <c r="F940" s="12" t="inlineStr">
        <is>
          <t>No individual professional decision recorded; Source assignment -- not individually reviewed</t>
        </is>
      </c>
      <c r="G940" s="12" t="inlineStr">
        <is>
          <t>Not individually decided</t>
        </is>
      </c>
      <c r="H940" s="12" t="inlineStr">
        <is>
          <t xml:space="preserve">APPROVED / ONE_TO_ONE; </t>
        </is>
      </c>
      <c r="I940" s="12" t="inlineStr">
        <is>
          <t>New</t>
        </is>
      </c>
      <c r="J940" s="17" t="inlineStr">
        <is>
          <t>08 CROSSWALK</t>
        </is>
      </c>
    </row>
    <row r="941" ht="49" customHeight="1">
      <c r="A941" s="12" t="inlineStr">
        <is>
          <t>R715-v1</t>
        </is>
      </c>
      <c r="B941" s="12" t="inlineStr">
        <is>
          <t>Contractor Programme / SCH-04-175</t>
        </is>
      </c>
      <c r="C941" s="12" t="inlineStr">
        <is>
          <t>WBS Code = 1.4.1</t>
        </is>
      </c>
      <c r="D941" s="12" t="inlineStr">
        <is>
          <t>Proposed by Source assignment; target 1.4.1 Vehicles and Depot - Fleet Supply</t>
        </is>
      </c>
      <c r="E941" s="12" t="inlineStr">
        <is>
          <t>None recorded</t>
        </is>
      </c>
      <c r="F941" s="12" t="inlineStr">
        <is>
          <t>No individual professional decision recorded; Source assignment -- not individually reviewed</t>
        </is>
      </c>
      <c r="G941" s="12" t="inlineStr">
        <is>
          <t>Not individually decided</t>
        </is>
      </c>
      <c r="H941" s="12" t="inlineStr">
        <is>
          <t xml:space="preserve">APPROVED / ONE_TO_ONE; </t>
        </is>
      </c>
      <c r="I941" s="12" t="inlineStr">
        <is>
          <t>New</t>
        </is>
      </c>
      <c r="J941" s="17" t="inlineStr">
        <is>
          <t>08 CROSSWALK</t>
        </is>
      </c>
    </row>
    <row r="942" ht="49" customHeight="1">
      <c r="A942" s="12" t="inlineStr">
        <is>
          <t>R716-v1</t>
        </is>
      </c>
      <c r="B942" s="12" t="inlineStr">
        <is>
          <t>Contractor Programme / SCH-04-176</t>
        </is>
      </c>
      <c r="C942" s="12" t="inlineStr">
        <is>
          <t>WBS Code = 1.4.1</t>
        </is>
      </c>
      <c r="D942" s="12" t="inlineStr">
        <is>
          <t>Proposed by Source assignment; target 1.4.1 Vehicles and Depot - Fleet Supply</t>
        </is>
      </c>
      <c r="E942" s="12" t="inlineStr">
        <is>
          <t>None recorded</t>
        </is>
      </c>
      <c r="F942" s="12" t="inlineStr">
        <is>
          <t>No individual professional decision recorded; Source assignment -- not individually reviewed</t>
        </is>
      </c>
      <c r="G942" s="12" t="inlineStr">
        <is>
          <t>Not individually decided</t>
        </is>
      </c>
      <c r="H942" s="12" t="inlineStr">
        <is>
          <t xml:space="preserve">APPROVED / ONE_TO_ONE; </t>
        </is>
      </c>
      <c r="I942" s="12" t="inlineStr">
        <is>
          <t>New</t>
        </is>
      </c>
      <c r="J942" s="17" t="inlineStr">
        <is>
          <t>08 CROSSWALK</t>
        </is>
      </c>
    </row>
    <row r="943" ht="49" customHeight="1">
      <c r="A943" s="12" t="inlineStr">
        <is>
          <t>R718-v1</t>
        </is>
      </c>
      <c r="B943" s="12" t="inlineStr">
        <is>
          <t>Contractor Programme / SCH-04-178</t>
        </is>
      </c>
      <c r="C943" s="12" t="inlineStr">
        <is>
          <t>WBS Code = 1.4.1</t>
        </is>
      </c>
      <c r="D943" s="12" t="inlineStr">
        <is>
          <t>Proposed by Source assignment; target 1.4.1 Vehicles and Depot - Fleet Supply</t>
        </is>
      </c>
      <c r="E943" s="12" t="inlineStr">
        <is>
          <t>None recorded</t>
        </is>
      </c>
      <c r="F943" s="12" t="inlineStr">
        <is>
          <t>No individual professional decision recorded; Source assignment -- not individually reviewed</t>
        </is>
      </c>
      <c r="G943" s="12" t="inlineStr">
        <is>
          <t>Not individually decided</t>
        </is>
      </c>
      <c r="H943" s="12" t="inlineStr">
        <is>
          <t xml:space="preserve">APPROVED / ONE_TO_ONE; </t>
        </is>
      </c>
      <c r="I943" s="12" t="inlineStr">
        <is>
          <t>New</t>
        </is>
      </c>
      <c r="J943" s="17" t="inlineStr">
        <is>
          <t>08 CROSSWALK</t>
        </is>
      </c>
    </row>
    <row r="944" ht="49" customHeight="1">
      <c r="A944" s="12" t="inlineStr">
        <is>
          <t>R719-v1</t>
        </is>
      </c>
      <c r="B944" s="12" t="inlineStr">
        <is>
          <t>Contractor Programme / SCH-04-179</t>
        </is>
      </c>
      <c r="C944" s="12" t="inlineStr">
        <is>
          <t>WBS Code = 1.4.1</t>
        </is>
      </c>
      <c r="D944" s="12" t="inlineStr">
        <is>
          <t>Proposed by Source assignment; target 1.4.1 Vehicles and Depot - Fleet Supply</t>
        </is>
      </c>
      <c r="E944" s="12" t="inlineStr">
        <is>
          <t>None recorded</t>
        </is>
      </c>
      <c r="F944" s="12" t="inlineStr">
        <is>
          <t>No individual professional decision recorded; Source assignment -- not individually reviewed</t>
        </is>
      </c>
      <c r="G944" s="12" t="inlineStr">
        <is>
          <t>Not individually decided</t>
        </is>
      </c>
      <c r="H944" s="12" t="inlineStr">
        <is>
          <t xml:space="preserve">APPROVED / ONE_TO_ONE; </t>
        </is>
      </c>
      <c r="I944" s="12" t="inlineStr">
        <is>
          <t>New</t>
        </is>
      </c>
      <c r="J944" s="17" t="inlineStr">
        <is>
          <t>08 CROSSWALK</t>
        </is>
      </c>
    </row>
    <row r="945" ht="49" customHeight="1">
      <c r="A945" s="12" t="inlineStr">
        <is>
          <t>R1323-v1</t>
        </is>
      </c>
      <c r="B945" s="12" t="inlineStr">
        <is>
          <t>Cost &amp; Forecast Control Accounts / CST-04-001</t>
        </is>
      </c>
      <c r="C945" s="12" t="inlineStr">
        <is>
          <t>Cost Account = CA-4001; WBS Code = 1.4.1</t>
        </is>
      </c>
      <c r="D945" s="12" t="inlineStr">
        <is>
          <t>Proposed by Source assignment; target 1.4.1 Vehicles and Depot - Fleet Supply</t>
        </is>
      </c>
      <c r="E945" s="12" t="inlineStr">
        <is>
          <t>None recorded</t>
        </is>
      </c>
      <c r="F945" s="12" t="inlineStr">
        <is>
          <t>No individual professional decision recorded; Source assignment -- not individually reviewed</t>
        </is>
      </c>
      <c r="G945" s="12" t="inlineStr">
        <is>
          <t>Not individually decided</t>
        </is>
      </c>
      <c r="H945" s="12" t="inlineStr">
        <is>
          <t xml:space="preserve">APPROVED / ONE_TO_ONE; </t>
        </is>
      </c>
      <c r="I945" s="12" t="inlineStr">
        <is>
          <t>New</t>
        </is>
      </c>
      <c r="J945" s="17" t="inlineStr">
        <is>
          <t>08 CROSSWALK</t>
        </is>
      </c>
    </row>
    <row r="946" ht="49" customHeight="1">
      <c r="A946" s="12" t="inlineStr">
        <is>
          <t>R1325-v1</t>
        </is>
      </c>
      <c r="B946" s="12" t="inlineStr">
        <is>
          <t>Cost &amp; Forecast Control Accounts / CST-04-003</t>
        </is>
      </c>
      <c r="C946" s="12" t="inlineStr">
        <is>
          <t>Cost Account = CA-4003; WBS Code = 1.4.1</t>
        </is>
      </c>
      <c r="D946" s="12" t="inlineStr">
        <is>
          <t>Proposed by Source assignment; target 1.4.1 Vehicles and Depot - Fleet Supply</t>
        </is>
      </c>
      <c r="E946" s="12" t="inlineStr">
        <is>
          <t>None recorded</t>
        </is>
      </c>
      <c r="F946" s="12" t="inlineStr">
        <is>
          <t>No individual professional decision recorded; Source assignment -- not individually reviewed</t>
        </is>
      </c>
      <c r="G946" s="12" t="inlineStr">
        <is>
          <t>Not individually decided</t>
        </is>
      </c>
      <c r="H946" s="12" t="inlineStr">
        <is>
          <t xml:space="preserve">APPROVED / ONE_TO_ONE; </t>
        </is>
      </c>
      <c r="I946" s="12" t="inlineStr">
        <is>
          <t>New</t>
        </is>
      </c>
      <c r="J946" s="17" t="inlineStr">
        <is>
          <t>08 CROSSWALK</t>
        </is>
      </c>
    </row>
    <row r="947" ht="49" customHeight="1">
      <c r="A947" s="12" t="inlineStr">
        <is>
          <t>R1327-v1</t>
        </is>
      </c>
      <c r="B947" s="12" t="inlineStr">
        <is>
          <t>Cost &amp; Forecast Control Accounts / CST-04-005</t>
        </is>
      </c>
      <c r="C947" s="12" t="inlineStr">
        <is>
          <t>Cost Account = CA-4005; WBS Code = 1.4.1</t>
        </is>
      </c>
      <c r="D947" s="12" t="inlineStr">
        <is>
          <t>Proposed by Source assignment; target 1.4.1 Vehicles and Depot - Fleet Supply</t>
        </is>
      </c>
      <c r="E947" s="12" t="inlineStr">
        <is>
          <t>None recorded</t>
        </is>
      </c>
      <c r="F947" s="12" t="inlineStr">
        <is>
          <t>No individual professional decision recorded; Source assignment -- not individually reviewed</t>
        </is>
      </c>
      <c r="G947" s="12" t="inlineStr">
        <is>
          <t>Not individually decided</t>
        </is>
      </c>
      <c r="H947" s="12" t="inlineStr">
        <is>
          <t xml:space="preserve">APPROVED / ONE_TO_ONE; </t>
        </is>
      </c>
      <c r="I947" s="12" t="inlineStr">
        <is>
          <t>New</t>
        </is>
      </c>
      <c r="J947" s="17" t="inlineStr">
        <is>
          <t>08 CROSSWALK</t>
        </is>
      </c>
    </row>
    <row r="948" ht="49" customHeight="1">
      <c r="A948" s="12" t="inlineStr">
        <is>
          <t>R1329-v1</t>
        </is>
      </c>
      <c r="B948" s="12" t="inlineStr">
        <is>
          <t>Cost &amp; Forecast Control Accounts / CST-04-007</t>
        </is>
      </c>
      <c r="C948" s="12" t="inlineStr">
        <is>
          <t>Cost Account = CA-4007; WBS Code = 1.4.1</t>
        </is>
      </c>
      <c r="D948" s="12" t="inlineStr">
        <is>
          <t>Proposed by Source assignment; target 1.4.1 Vehicles and Depot - Fleet Supply</t>
        </is>
      </c>
      <c r="E948" s="12" t="inlineStr">
        <is>
          <t>None recorded</t>
        </is>
      </c>
      <c r="F948" s="12" t="inlineStr">
        <is>
          <t>No individual professional decision recorded; Source assignment -- not individually reviewed</t>
        </is>
      </c>
      <c r="G948" s="12" t="inlineStr">
        <is>
          <t>Not individually decided</t>
        </is>
      </c>
      <c r="H948" s="12" t="inlineStr">
        <is>
          <t xml:space="preserve">APPROVED / ONE_TO_ONE; </t>
        </is>
      </c>
      <c r="I948" s="12" t="inlineStr">
        <is>
          <t>New</t>
        </is>
      </c>
      <c r="J948" s="17" t="inlineStr">
        <is>
          <t>08 CROSSWALK</t>
        </is>
      </c>
    </row>
    <row r="949" ht="49" customHeight="1">
      <c r="A949" s="12" t="inlineStr">
        <is>
          <t>R1331-v1</t>
        </is>
      </c>
      <c r="B949" s="12" t="inlineStr">
        <is>
          <t>Cost &amp; Forecast Control Accounts / CST-04-009</t>
        </is>
      </c>
      <c r="C949" s="12" t="inlineStr">
        <is>
          <t>Cost Account = CA-4009; WBS Code = 1.4.1</t>
        </is>
      </c>
      <c r="D949" s="12" t="inlineStr">
        <is>
          <t>Proposed by Source assignment; target 1.4.1 Vehicles and Depot - Fleet Supply</t>
        </is>
      </c>
      <c r="E949" s="12" t="inlineStr">
        <is>
          <t>None recorded</t>
        </is>
      </c>
      <c r="F949" s="12" t="inlineStr">
        <is>
          <t>No individual professional decision recorded; Source assignment -- not individually reviewed</t>
        </is>
      </c>
      <c r="G949" s="12" t="inlineStr">
        <is>
          <t>Not individually decided</t>
        </is>
      </c>
      <c r="H949" s="12" t="inlineStr">
        <is>
          <t xml:space="preserve">APPROVED / ONE_TO_ONE; </t>
        </is>
      </c>
      <c r="I949" s="12" t="inlineStr">
        <is>
          <t>New</t>
        </is>
      </c>
      <c r="J949" s="17" t="inlineStr">
        <is>
          <t>08 CROSSWALK</t>
        </is>
      </c>
    </row>
    <row r="950" ht="49" customHeight="1">
      <c r="A950" s="12" t="inlineStr">
        <is>
          <t>R1333-v1</t>
        </is>
      </c>
      <c r="B950" s="12" t="inlineStr">
        <is>
          <t>Cost &amp; Forecast Control Accounts / CST-04-011</t>
        </is>
      </c>
      <c r="C950" s="12" t="inlineStr">
        <is>
          <t>Cost Account = CA-4011; WBS Code = 1.4.1</t>
        </is>
      </c>
      <c r="D950" s="12" t="inlineStr">
        <is>
          <t>Proposed by Source assignment; target 1.4.1 Vehicles and Depot - Fleet Supply</t>
        </is>
      </c>
      <c r="E950" s="12" t="inlineStr">
        <is>
          <t>None recorded</t>
        </is>
      </c>
      <c r="F950" s="12" t="inlineStr">
        <is>
          <t>No individual professional decision recorded; Source assignment -- not individually reviewed</t>
        </is>
      </c>
      <c r="G950" s="12" t="inlineStr">
        <is>
          <t>Not individually decided</t>
        </is>
      </c>
      <c r="H950" s="12" t="inlineStr">
        <is>
          <t xml:space="preserve">APPROVED / ONE_TO_ONE; </t>
        </is>
      </c>
      <c r="I950" s="12" t="inlineStr">
        <is>
          <t>New</t>
        </is>
      </c>
      <c r="J950" s="17" t="inlineStr">
        <is>
          <t>08 CROSSWALK</t>
        </is>
      </c>
    </row>
    <row r="951" ht="49" customHeight="1">
      <c r="A951" s="12" t="inlineStr">
        <is>
          <t>R1335-v1</t>
        </is>
      </c>
      <c r="B951" s="12" t="inlineStr">
        <is>
          <t>Cost &amp; Forecast Control Accounts / CST-04-013</t>
        </is>
      </c>
      <c r="C951" s="12" t="inlineStr">
        <is>
          <t>Cost Account = CA-4013; WBS Code = 1.4.1</t>
        </is>
      </c>
      <c r="D951" s="12" t="inlineStr">
        <is>
          <t>Proposed by Source assignment; target 1.4.1 Vehicles and Depot - Fleet Supply</t>
        </is>
      </c>
      <c r="E951" s="12" t="inlineStr">
        <is>
          <t>None recorded</t>
        </is>
      </c>
      <c r="F951" s="12" t="inlineStr">
        <is>
          <t>No individual professional decision recorded; Source assignment -- not individually reviewed</t>
        </is>
      </c>
      <c r="G951" s="12" t="inlineStr">
        <is>
          <t>Not individually decided</t>
        </is>
      </c>
      <c r="H951" s="12" t="inlineStr">
        <is>
          <t xml:space="preserve">APPROVED / ONE_TO_ONE; </t>
        </is>
      </c>
      <c r="I951" s="12" t="inlineStr">
        <is>
          <t>New</t>
        </is>
      </c>
      <c r="J951" s="17" t="inlineStr">
        <is>
          <t>08 CROSSWALK</t>
        </is>
      </c>
    </row>
    <row r="952" ht="49" customHeight="1">
      <c r="A952" s="12" t="inlineStr">
        <is>
          <t>R1337-v1</t>
        </is>
      </c>
      <c r="B952" s="12" t="inlineStr">
        <is>
          <t>Cost &amp; Forecast Control Accounts / CST-04-015</t>
        </is>
      </c>
      <c r="C952" s="12" t="inlineStr">
        <is>
          <t>Cost Account = CA-4015; WBS Code = 1.4.1</t>
        </is>
      </c>
      <c r="D952" s="12" t="inlineStr">
        <is>
          <t>Proposed by Source assignment; target 1.4.1 Vehicles and Depot - Fleet Supply</t>
        </is>
      </c>
      <c r="E952" s="12" t="inlineStr">
        <is>
          <t>None recorded</t>
        </is>
      </c>
      <c r="F952" s="12" t="inlineStr">
        <is>
          <t>No individual professional decision recorded; Source assignment -- not individually reviewed</t>
        </is>
      </c>
      <c r="G952" s="12" t="inlineStr">
        <is>
          <t>Not individually decided</t>
        </is>
      </c>
      <c r="H952" s="12" t="inlineStr">
        <is>
          <t xml:space="preserve">APPROVED / ONE_TO_ONE; </t>
        </is>
      </c>
      <c r="I952" s="12" t="inlineStr">
        <is>
          <t>New</t>
        </is>
      </c>
      <c r="J952" s="17" t="inlineStr">
        <is>
          <t>08 CROSSWALK</t>
        </is>
      </c>
    </row>
    <row r="953" ht="49" customHeight="1">
      <c r="A953" s="12" t="inlineStr">
        <is>
          <t>R1339-v1</t>
        </is>
      </c>
      <c r="B953" s="12" t="inlineStr">
        <is>
          <t>Cost &amp; Forecast Control Accounts / CST-04-017</t>
        </is>
      </c>
      <c r="C953" s="12" t="inlineStr">
        <is>
          <t>Cost Account = CA-4017; WBS Code = 1.4.1</t>
        </is>
      </c>
      <c r="D953" s="12" t="inlineStr">
        <is>
          <t>Proposed by Source assignment; target 1.4.1 Vehicles and Depot - Fleet Supply</t>
        </is>
      </c>
      <c r="E953" s="12" t="inlineStr">
        <is>
          <t>None recorded</t>
        </is>
      </c>
      <c r="F953" s="12" t="inlineStr">
        <is>
          <t>No individual professional decision recorded; Source assignment -- not individually reviewed</t>
        </is>
      </c>
      <c r="G953" s="12" t="inlineStr">
        <is>
          <t>Not individually decided</t>
        </is>
      </c>
      <c r="H953" s="12" t="inlineStr">
        <is>
          <t xml:space="preserve">APPROVED / ONE_TO_ONE; </t>
        </is>
      </c>
      <c r="I953" s="12" t="inlineStr">
        <is>
          <t>New</t>
        </is>
      </c>
      <c r="J953" s="17" t="inlineStr">
        <is>
          <t>08 CROSSWALK</t>
        </is>
      </c>
    </row>
    <row r="954" ht="49" customHeight="1">
      <c r="A954" s="12" t="inlineStr">
        <is>
          <t>R1341-v1</t>
        </is>
      </c>
      <c r="B954" s="12" t="inlineStr">
        <is>
          <t>Cost &amp; Forecast Control Accounts / CST-04-019</t>
        </is>
      </c>
      <c r="C954" s="12" t="inlineStr">
        <is>
          <t>Cost Account = CA-4019; WBS Code = 1.4.1</t>
        </is>
      </c>
      <c r="D954" s="12" t="inlineStr">
        <is>
          <t>Proposed by Source assignment; target 1.4.1 Vehicles and Depot - Fleet Supply</t>
        </is>
      </c>
      <c r="E954" s="12" t="inlineStr">
        <is>
          <t>None recorded</t>
        </is>
      </c>
      <c r="F954" s="12" t="inlineStr">
        <is>
          <t>No individual professional decision recorded; Source assignment -- not individually reviewed</t>
        </is>
      </c>
      <c r="G954" s="12" t="inlineStr">
        <is>
          <t>Not individually decided</t>
        </is>
      </c>
      <c r="H954" s="12" t="inlineStr">
        <is>
          <t xml:space="preserve">APPROVED / ONE_TO_ONE; </t>
        </is>
      </c>
      <c r="I954" s="12" t="inlineStr">
        <is>
          <t>New</t>
        </is>
      </c>
      <c r="J954" s="17" t="inlineStr">
        <is>
          <t>08 CROSSWALK</t>
        </is>
      </c>
    </row>
    <row r="955" ht="49" customHeight="1">
      <c r="A955" s="12" t="inlineStr">
        <is>
          <t>R1343-v1</t>
        </is>
      </c>
      <c r="B955" s="12" t="inlineStr">
        <is>
          <t>Cost &amp; Forecast Control Accounts / CST-04-021</t>
        </is>
      </c>
      <c r="C955" s="12" t="inlineStr">
        <is>
          <t>Cost Account = CA-4021; WBS Code = 1.4.1</t>
        </is>
      </c>
      <c r="D955" s="12" t="inlineStr">
        <is>
          <t>Proposed by Source assignment; target 1.4.1 Vehicles and Depot - Fleet Supply</t>
        </is>
      </c>
      <c r="E955" s="12" t="inlineStr">
        <is>
          <t>None recorded</t>
        </is>
      </c>
      <c r="F955" s="12" t="inlineStr">
        <is>
          <t>No individual professional decision recorded; Source assignment -- not individually reviewed</t>
        </is>
      </c>
      <c r="G955" s="12" t="inlineStr">
        <is>
          <t>Not individually decided</t>
        </is>
      </c>
      <c r="H955" s="12" t="inlineStr">
        <is>
          <t xml:space="preserve">APPROVED / ONE_TO_ONE; </t>
        </is>
      </c>
      <c r="I955" s="12" t="inlineStr">
        <is>
          <t>New</t>
        </is>
      </c>
      <c r="J955" s="17" t="inlineStr">
        <is>
          <t>08 CROSSWALK</t>
        </is>
      </c>
    </row>
    <row r="956" ht="49" customHeight="1">
      <c r="A956" s="12" t="inlineStr">
        <is>
          <t>R1345-v1</t>
        </is>
      </c>
      <c r="B956" s="12" t="inlineStr">
        <is>
          <t>Cost &amp; Forecast Control Accounts / CST-04-023</t>
        </is>
      </c>
      <c r="C956" s="12" t="inlineStr">
        <is>
          <t>Cost Account = CA-4023; WBS Code = 1.4.1</t>
        </is>
      </c>
      <c r="D956" s="12" t="inlineStr">
        <is>
          <t>Proposed by Source assignment; target 1.4.1 Vehicles and Depot - Fleet Supply</t>
        </is>
      </c>
      <c r="E956" s="12" t="inlineStr">
        <is>
          <t>None recorded</t>
        </is>
      </c>
      <c r="F956" s="12" t="inlineStr">
        <is>
          <t>No individual professional decision recorded; Source assignment -- not individually reviewed</t>
        </is>
      </c>
      <c r="G956" s="12" t="inlineStr">
        <is>
          <t>Not individually decided</t>
        </is>
      </c>
      <c r="H956" s="12" t="inlineStr">
        <is>
          <t xml:space="preserve">APPROVED / ONE_TO_ONE; </t>
        </is>
      </c>
      <c r="I956" s="12" t="inlineStr">
        <is>
          <t>New</t>
        </is>
      </c>
      <c r="J956" s="17" t="inlineStr">
        <is>
          <t>08 CROSSWALK</t>
        </is>
      </c>
    </row>
    <row r="957" ht="49" customHeight="1">
      <c r="A957" s="12" t="inlineStr">
        <is>
          <t>R1347-v1</t>
        </is>
      </c>
      <c r="B957" s="12" t="inlineStr">
        <is>
          <t>Cost &amp; Forecast Control Accounts / CST-04-025</t>
        </is>
      </c>
      <c r="C957" s="12" t="inlineStr">
        <is>
          <t>Cost Account = CA-4025; WBS Code = 1.4.1</t>
        </is>
      </c>
      <c r="D957" s="12" t="inlineStr">
        <is>
          <t>Proposed by Source assignment; target 1.4.1 Vehicles and Depot - Fleet Supply</t>
        </is>
      </c>
      <c r="E957" s="12" t="inlineStr">
        <is>
          <t>None recorded</t>
        </is>
      </c>
      <c r="F957" s="12" t="inlineStr">
        <is>
          <t>No individual professional decision recorded; Source assignment -- not individually reviewed</t>
        </is>
      </c>
      <c r="G957" s="12" t="inlineStr">
        <is>
          <t>Not individually decided</t>
        </is>
      </c>
      <c r="H957" s="12" t="inlineStr">
        <is>
          <t xml:space="preserve">APPROVED / ONE_TO_ONE; </t>
        </is>
      </c>
      <c r="I957" s="12" t="inlineStr">
        <is>
          <t>New</t>
        </is>
      </c>
      <c r="J957" s="17" t="inlineStr">
        <is>
          <t>08 CROSSWALK</t>
        </is>
      </c>
    </row>
    <row r="958" ht="49" customHeight="1">
      <c r="A958" s="12" t="inlineStr">
        <is>
          <t>R1349-v1</t>
        </is>
      </c>
      <c r="B958" s="12" t="inlineStr">
        <is>
          <t>Cost &amp; Forecast Control Accounts / CST-04-027</t>
        </is>
      </c>
      <c r="C958" s="12" t="inlineStr">
        <is>
          <t>Cost Account = CA-4027; WBS Code = 1.4.1</t>
        </is>
      </c>
      <c r="D958" s="12" t="inlineStr">
        <is>
          <t>Proposed by Source assignment; target 1.4.1 Vehicles and Depot - Fleet Supply</t>
        </is>
      </c>
      <c r="E958" s="12" t="inlineStr">
        <is>
          <t>None recorded</t>
        </is>
      </c>
      <c r="F958" s="12" t="inlineStr">
        <is>
          <t>No individual professional decision recorded; Source assignment -- not individually reviewed</t>
        </is>
      </c>
      <c r="G958" s="12" t="inlineStr">
        <is>
          <t>Not individually decided</t>
        </is>
      </c>
      <c r="H958" s="12" t="inlineStr">
        <is>
          <t xml:space="preserve">APPROVED / ONE_TO_ONE; </t>
        </is>
      </c>
      <c r="I958" s="12" t="inlineStr">
        <is>
          <t>New</t>
        </is>
      </c>
      <c r="J958" s="17" t="inlineStr">
        <is>
          <t>08 CROSSWALK</t>
        </is>
      </c>
    </row>
    <row r="959" ht="49" customHeight="1">
      <c r="A959" s="12" t="inlineStr">
        <is>
          <t>R1351-v1</t>
        </is>
      </c>
      <c r="B959" s="12" t="inlineStr">
        <is>
          <t>Cost &amp; Forecast Control Accounts / CST-04-029</t>
        </is>
      </c>
      <c r="C959" s="12" t="inlineStr">
        <is>
          <t>Cost Account = CA-4029; WBS Code = 1.4.1</t>
        </is>
      </c>
      <c r="D959" s="12" t="inlineStr">
        <is>
          <t>Proposed by Source assignment; target 1.4.1 Vehicles and Depot - Fleet Supply</t>
        </is>
      </c>
      <c r="E959" s="12" t="inlineStr">
        <is>
          <t>None recorded</t>
        </is>
      </c>
      <c r="F959" s="12" t="inlineStr">
        <is>
          <t>No individual professional decision recorded; Source assignment -- not individually reviewed</t>
        </is>
      </c>
      <c r="G959" s="12" t="inlineStr">
        <is>
          <t>Not individually decided</t>
        </is>
      </c>
      <c r="H959" s="12" t="inlineStr">
        <is>
          <t xml:space="preserve">APPROVED / ONE_TO_ONE; </t>
        </is>
      </c>
      <c r="I959" s="12" t="inlineStr">
        <is>
          <t>New</t>
        </is>
      </c>
      <c r="J959" s="17" t="inlineStr">
        <is>
          <t>08 CROSSWALK</t>
        </is>
      </c>
    </row>
    <row r="960" ht="49" customHeight="1">
      <c r="A960" s="12" t="inlineStr">
        <is>
          <t>R1353-v1</t>
        </is>
      </c>
      <c r="B960" s="12" t="inlineStr">
        <is>
          <t>Cost &amp; Forecast Control Accounts / CST-04-031</t>
        </is>
      </c>
      <c r="C960" s="12" t="inlineStr">
        <is>
          <t>Cost Account = CA-4031; WBS Code = 1.4.1</t>
        </is>
      </c>
      <c r="D960" s="12" t="inlineStr">
        <is>
          <t>Proposed by Source assignment; target 1.4.1 Vehicles and Depot - Fleet Supply</t>
        </is>
      </c>
      <c r="E960" s="12" t="inlineStr">
        <is>
          <t>None recorded</t>
        </is>
      </c>
      <c r="F960" s="12" t="inlineStr">
        <is>
          <t>No individual professional decision recorded; Source assignment -- not individually reviewed</t>
        </is>
      </c>
      <c r="G960" s="12" t="inlineStr">
        <is>
          <t>Not individually decided</t>
        </is>
      </c>
      <c r="H960" s="12" t="inlineStr">
        <is>
          <t xml:space="preserve">APPROVED / ONE_TO_ONE; </t>
        </is>
      </c>
      <c r="I960" s="12" t="inlineStr">
        <is>
          <t>New</t>
        </is>
      </c>
      <c r="J960" s="17" t="inlineStr">
        <is>
          <t>08 CROSSWALK</t>
        </is>
      </c>
    </row>
    <row r="961" ht="49" customHeight="1">
      <c r="A961" s="12" t="inlineStr">
        <is>
          <t>R1355-v1</t>
        </is>
      </c>
      <c r="B961" s="12" t="inlineStr">
        <is>
          <t>Cost &amp; Forecast Control Accounts / CST-04-033</t>
        </is>
      </c>
      <c r="C961" s="12" t="inlineStr">
        <is>
          <t>Cost Account = CA-4033; WBS Code = 1.4.1</t>
        </is>
      </c>
      <c r="D961" s="12" t="inlineStr">
        <is>
          <t>Proposed by Source assignment; target 1.4.1 Vehicles and Depot - Fleet Supply</t>
        </is>
      </c>
      <c r="E961" s="12" t="inlineStr">
        <is>
          <t>None recorded</t>
        </is>
      </c>
      <c r="F961" s="12" t="inlineStr">
        <is>
          <t>No individual professional decision recorded; Source assignment -- not individually reviewed</t>
        </is>
      </c>
      <c r="G961" s="12" t="inlineStr">
        <is>
          <t>Not individually decided</t>
        </is>
      </c>
      <c r="H961" s="12" t="inlineStr">
        <is>
          <t xml:space="preserve">APPROVED / ONE_TO_ONE; </t>
        </is>
      </c>
      <c r="I961" s="12" t="inlineStr">
        <is>
          <t>New</t>
        </is>
      </c>
      <c r="J961" s="17" t="inlineStr">
        <is>
          <t>08 CROSSWALK</t>
        </is>
      </c>
    </row>
    <row r="962" ht="49" customHeight="1">
      <c r="A962" s="12" t="inlineStr">
        <is>
          <t>R1357-v1</t>
        </is>
      </c>
      <c r="B962" s="12" t="inlineStr">
        <is>
          <t>Cost &amp; Forecast Control Accounts / CST-04-035</t>
        </is>
      </c>
      <c r="C962" s="12" t="inlineStr">
        <is>
          <t>Cost Account = CA-4035; WBS Code = 1.4.1</t>
        </is>
      </c>
      <c r="D962" s="12" t="inlineStr">
        <is>
          <t>Proposed by Source assignment; target 1.4.1 Vehicles and Depot - Fleet Supply</t>
        </is>
      </c>
      <c r="E962" s="12" t="inlineStr">
        <is>
          <t>None recorded</t>
        </is>
      </c>
      <c r="F962" s="12" t="inlineStr">
        <is>
          <t>No individual professional decision recorded; Source assignment -- not individually reviewed</t>
        </is>
      </c>
      <c r="G962" s="12" t="inlineStr">
        <is>
          <t>Not individually decided</t>
        </is>
      </c>
      <c r="H962" s="12" t="inlineStr">
        <is>
          <t xml:space="preserve">APPROVED / ONE_TO_ONE; </t>
        </is>
      </c>
      <c r="I962" s="12" t="inlineStr">
        <is>
          <t>New</t>
        </is>
      </c>
      <c r="J962" s="17" t="inlineStr">
        <is>
          <t>08 CROSSWALK</t>
        </is>
      </c>
    </row>
    <row r="963" ht="49" customHeight="1">
      <c r="A963" s="12" t="inlineStr">
        <is>
          <t>R1359-v1</t>
        </is>
      </c>
      <c r="B963" s="12" t="inlineStr">
        <is>
          <t>Cost &amp; Forecast Control Accounts / CST-04-037</t>
        </is>
      </c>
      <c r="C963" s="12" t="inlineStr">
        <is>
          <t>Cost Account = CA-4037; WBS Code = 1.4.1</t>
        </is>
      </c>
      <c r="D963" s="12" t="inlineStr">
        <is>
          <t>Proposed by Source assignment; target 1.4.1 Vehicles and Depot - Fleet Supply</t>
        </is>
      </c>
      <c r="E963" s="12" t="inlineStr">
        <is>
          <t>None recorded</t>
        </is>
      </c>
      <c r="F963" s="12" t="inlineStr">
        <is>
          <t>No individual professional decision recorded; Source assignment -- not individually reviewed</t>
        </is>
      </c>
      <c r="G963" s="12" t="inlineStr">
        <is>
          <t>Not individually decided</t>
        </is>
      </c>
      <c r="H963" s="12" t="inlineStr">
        <is>
          <t xml:space="preserve">APPROVED / ONE_TO_ONE; </t>
        </is>
      </c>
      <c r="I963" s="12" t="inlineStr">
        <is>
          <t>New</t>
        </is>
      </c>
      <c r="J963" s="17" t="inlineStr">
        <is>
          <t>08 CROSSWALK</t>
        </is>
      </c>
    </row>
    <row r="964" ht="49" customHeight="1">
      <c r="A964" s="12" t="inlineStr">
        <is>
          <t>R1361-v1</t>
        </is>
      </c>
      <c r="B964" s="12" t="inlineStr">
        <is>
          <t>Cost &amp; Forecast Control Accounts / CST-04-039</t>
        </is>
      </c>
      <c r="C964" s="12" t="inlineStr">
        <is>
          <t>Cost Account = CA-4039; WBS Code = 1.4.1</t>
        </is>
      </c>
      <c r="D964" s="12" t="inlineStr">
        <is>
          <t>Proposed by Source assignment; target 1.4.1 Vehicles and Depot - Fleet Supply</t>
        </is>
      </c>
      <c r="E964" s="12" t="inlineStr">
        <is>
          <t>None recorded</t>
        </is>
      </c>
      <c r="F964" s="12" t="inlineStr">
        <is>
          <t>No individual professional decision recorded; Source assignment -- not individually reviewed</t>
        </is>
      </c>
      <c r="G964" s="12" t="inlineStr">
        <is>
          <t>Not individually decided</t>
        </is>
      </c>
      <c r="H964" s="12" t="inlineStr">
        <is>
          <t xml:space="preserve">APPROVED / ONE_TO_ONE; </t>
        </is>
      </c>
      <c r="I964" s="12" t="inlineStr">
        <is>
          <t>New</t>
        </is>
      </c>
      <c r="J964" s="17" t="inlineStr">
        <is>
          <t>08 CROSSWALK</t>
        </is>
      </c>
    </row>
    <row r="965" ht="49" customHeight="1">
      <c r="A965" s="12" t="inlineStr">
        <is>
          <t>R1363-v1</t>
        </is>
      </c>
      <c r="B965" s="12" t="inlineStr">
        <is>
          <t>Cost &amp; Forecast Control Accounts / CST-04-041</t>
        </is>
      </c>
      <c r="C965" s="12" t="inlineStr">
        <is>
          <t>Cost Account = CA-4041; WBS Code = 1.4.1</t>
        </is>
      </c>
      <c r="D965" s="12" t="inlineStr">
        <is>
          <t>Proposed by Source assignment; target 1.4.1 Vehicles and Depot - Fleet Supply</t>
        </is>
      </c>
      <c r="E965" s="12" t="inlineStr">
        <is>
          <t>None recorded</t>
        </is>
      </c>
      <c r="F965" s="12" t="inlineStr">
        <is>
          <t>No individual professional decision recorded; Source assignment -- not individually reviewed</t>
        </is>
      </c>
      <c r="G965" s="12" t="inlineStr">
        <is>
          <t>Not individually decided</t>
        </is>
      </c>
      <c r="H965" s="12" t="inlineStr">
        <is>
          <t xml:space="preserve">APPROVED / ONE_TO_ONE; </t>
        </is>
      </c>
      <c r="I965" s="12" t="inlineStr">
        <is>
          <t>New</t>
        </is>
      </c>
      <c r="J965" s="17" t="inlineStr">
        <is>
          <t>08 CROSSWALK</t>
        </is>
      </c>
    </row>
    <row r="966" ht="49" customHeight="1">
      <c r="A966" s="12" t="inlineStr">
        <is>
          <t>R1365-v1</t>
        </is>
      </c>
      <c r="B966" s="12" t="inlineStr">
        <is>
          <t>Cost &amp; Forecast Control Accounts / CST-04-043</t>
        </is>
      </c>
      <c r="C966" s="12" t="inlineStr">
        <is>
          <t>Cost Account = CA-4043; WBS Code = 1.4.1</t>
        </is>
      </c>
      <c r="D966" s="12" t="inlineStr">
        <is>
          <t>Proposed by Source assignment; target 1.4.1 Vehicles and Depot - Fleet Supply</t>
        </is>
      </c>
      <c r="E966" s="12" t="inlineStr">
        <is>
          <t>None recorded</t>
        </is>
      </c>
      <c r="F966" s="12" t="inlineStr">
        <is>
          <t>No individual professional decision recorded; Source assignment -- not individually reviewed</t>
        </is>
      </c>
      <c r="G966" s="12" t="inlineStr">
        <is>
          <t>Not individually decided</t>
        </is>
      </c>
      <c r="H966" s="12" t="inlineStr">
        <is>
          <t xml:space="preserve">APPROVED / ONE_TO_ONE; </t>
        </is>
      </c>
      <c r="I966" s="12" t="inlineStr">
        <is>
          <t>New</t>
        </is>
      </c>
      <c r="J966" s="17" t="inlineStr">
        <is>
          <t>08 CROSSWALK</t>
        </is>
      </c>
    </row>
    <row r="967" ht="49" customHeight="1">
      <c r="A967" s="12" t="inlineStr">
        <is>
          <t>R1367-v1</t>
        </is>
      </c>
      <c r="B967" s="12" t="inlineStr">
        <is>
          <t>Cost &amp; Forecast Control Accounts / CST-04-045</t>
        </is>
      </c>
      <c r="C967" s="12" t="inlineStr">
        <is>
          <t>Cost Account = CA-4045; WBS Code = 1.4.1</t>
        </is>
      </c>
      <c r="D967" s="12" t="inlineStr">
        <is>
          <t>Proposed by Source assignment; target 1.4.1 Vehicles and Depot - Fleet Supply</t>
        </is>
      </c>
      <c r="E967" s="12" t="inlineStr">
        <is>
          <t>None recorded</t>
        </is>
      </c>
      <c r="F967" s="12" t="inlineStr">
        <is>
          <t>No individual professional decision recorded; Source assignment -- not individually reviewed</t>
        </is>
      </c>
      <c r="G967" s="12" t="inlineStr">
        <is>
          <t>Not individually decided</t>
        </is>
      </c>
      <c r="H967" s="12" t="inlineStr">
        <is>
          <t xml:space="preserve">APPROVED / ONE_TO_ONE; </t>
        </is>
      </c>
      <c r="I967" s="12" t="inlineStr">
        <is>
          <t>New</t>
        </is>
      </c>
      <c r="J967" s="17" t="inlineStr">
        <is>
          <t>08 CROSSWALK</t>
        </is>
      </c>
    </row>
    <row r="968" ht="49" customHeight="1">
      <c r="A968" s="12" t="inlineStr">
        <is>
          <t>R1369-v1</t>
        </is>
      </c>
      <c r="B968" s="12" t="inlineStr">
        <is>
          <t>Cost &amp; Forecast Control Accounts / CST-04-047</t>
        </is>
      </c>
      <c r="C968" s="12" t="inlineStr">
        <is>
          <t>Cost Account = CA-4047; WBS Code = 1.4.1</t>
        </is>
      </c>
      <c r="D968" s="12" t="inlineStr">
        <is>
          <t>Proposed by Source assignment; target 1.4.1 Vehicles and Depot - Fleet Supply</t>
        </is>
      </c>
      <c r="E968" s="12" t="inlineStr">
        <is>
          <t>None recorded</t>
        </is>
      </c>
      <c r="F968" s="12" t="inlineStr">
        <is>
          <t>No individual professional decision recorded; Source assignment -- not individually reviewed</t>
        </is>
      </c>
      <c r="G968" s="12" t="inlineStr">
        <is>
          <t>Not individually decided</t>
        </is>
      </c>
      <c r="H968" s="12" t="inlineStr">
        <is>
          <t xml:space="preserve">APPROVED / ONE_TO_ONE; </t>
        </is>
      </c>
      <c r="I968" s="12" t="inlineStr">
        <is>
          <t>New</t>
        </is>
      </c>
      <c r="J968" s="17" t="inlineStr">
        <is>
          <t>08 CROSSWALK</t>
        </is>
      </c>
    </row>
    <row r="969" ht="49" customHeight="1">
      <c r="A969" s="12" t="inlineStr">
        <is>
          <t>R1371-v1</t>
        </is>
      </c>
      <c r="B969" s="12" t="inlineStr">
        <is>
          <t>Cost &amp; Forecast Control Accounts / CST-04-049</t>
        </is>
      </c>
      <c r="C969" s="12" t="inlineStr">
        <is>
          <t>Cost Account = CA-4049; WBS Code = 1.4.1</t>
        </is>
      </c>
      <c r="D969" s="12" t="inlineStr">
        <is>
          <t>Proposed by Source assignment; target 1.4.1 Vehicles and Depot - Fleet Supply</t>
        </is>
      </c>
      <c r="E969" s="12" t="inlineStr">
        <is>
          <t>None recorded</t>
        </is>
      </c>
      <c r="F969" s="12" t="inlineStr">
        <is>
          <t>No individual professional decision recorded; Source assignment -- not individually reviewed</t>
        </is>
      </c>
      <c r="G969" s="12" t="inlineStr">
        <is>
          <t>Not individually decided</t>
        </is>
      </c>
      <c r="H969" s="12" t="inlineStr">
        <is>
          <t xml:space="preserve">APPROVED / ONE_TO_ONE; </t>
        </is>
      </c>
      <c r="I969" s="12" t="inlineStr">
        <is>
          <t>New</t>
        </is>
      </c>
      <c r="J969" s="17" t="inlineStr">
        <is>
          <t>08 CROSSWALK</t>
        </is>
      </c>
    </row>
    <row r="970" ht="49" customHeight="1">
      <c r="A970" s="12" t="inlineStr">
        <is>
          <t>R1373-v1</t>
        </is>
      </c>
      <c r="B970" s="12" t="inlineStr">
        <is>
          <t>Cost &amp; Forecast Control Accounts / CST-04-051</t>
        </is>
      </c>
      <c r="C970" s="12" t="inlineStr">
        <is>
          <t>Cost Account = CA-4051; WBS Code = 1.4.1</t>
        </is>
      </c>
      <c r="D970" s="12" t="inlineStr">
        <is>
          <t>Proposed by Source assignment; target 1.4.1 Vehicles and Depot - Fleet Supply</t>
        </is>
      </c>
      <c r="E970" s="12" t="inlineStr">
        <is>
          <t>None recorded</t>
        </is>
      </c>
      <c r="F970" s="12" t="inlineStr">
        <is>
          <t>No individual professional decision recorded; Source assignment -- not individually reviewed</t>
        </is>
      </c>
      <c r="G970" s="12" t="inlineStr">
        <is>
          <t>Not individually decided</t>
        </is>
      </c>
      <c r="H970" s="12" t="inlineStr">
        <is>
          <t xml:space="preserve">APPROVED / ONE_TO_ONE; </t>
        </is>
      </c>
      <c r="I970" s="12" t="inlineStr">
        <is>
          <t>New</t>
        </is>
      </c>
      <c r="J970" s="17" t="inlineStr">
        <is>
          <t>08 CROSSWALK</t>
        </is>
      </c>
    </row>
    <row r="971" ht="49" customHeight="1">
      <c r="A971" s="12" t="inlineStr">
        <is>
          <t>R1375-v1</t>
        </is>
      </c>
      <c r="B971" s="12" t="inlineStr">
        <is>
          <t>Cost &amp; Forecast Control Accounts / CST-04-053</t>
        </is>
      </c>
      <c r="C971" s="12" t="inlineStr">
        <is>
          <t>Cost Account = CA-4053; WBS Code = 1.4.1</t>
        </is>
      </c>
      <c r="D971" s="12" t="inlineStr">
        <is>
          <t>Proposed by Source assignment; target 1.4.1 Vehicles and Depot - Fleet Supply</t>
        </is>
      </c>
      <c r="E971" s="12" t="inlineStr">
        <is>
          <t>None recorded</t>
        </is>
      </c>
      <c r="F971" s="12" t="inlineStr">
        <is>
          <t>No individual professional decision recorded; Source assignment -- not individually reviewed</t>
        </is>
      </c>
      <c r="G971" s="12" t="inlineStr">
        <is>
          <t>Not individually decided</t>
        </is>
      </c>
      <c r="H971" s="12" t="inlineStr">
        <is>
          <t xml:space="preserve">APPROVED / ONE_TO_ONE; </t>
        </is>
      </c>
      <c r="I971" s="12" t="inlineStr">
        <is>
          <t>New</t>
        </is>
      </c>
      <c r="J971" s="17" t="inlineStr">
        <is>
          <t>08 CROSSWALK</t>
        </is>
      </c>
    </row>
    <row r="972" ht="49" customHeight="1">
      <c r="A972" s="12" t="inlineStr">
        <is>
          <t>R1377-v1</t>
        </is>
      </c>
      <c r="B972" s="12" t="inlineStr">
        <is>
          <t>Cost &amp; Forecast Control Accounts / CST-04-055</t>
        </is>
      </c>
      <c r="C972" s="12" t="inlineStr">
        <is>
          <t>Cost Account = CA-4055; WBS Code = 1.4.1</t>
        </is>
      </c>
      <c r="D972" s="12" t="inlineStr">
        <is>
          <t>Proposed by Source assignment; target 1.4.1 Vehicles and Depot - Fleet Supply</t>
        </is>
      </c>
      <c r="E972" s="12" t="inlineStr">
        <is>
          <t>None recorded</t>
        </is>
      </c>
      <c r="F972" s="12" t="inlineStr">
        <is>
          <t>No individual professional decision recorded; Source assignment -- not individually reviewed</t>
        </is>
      </c>
      <c r="G972" s="12" t="inlineStr">
        <is>
          <t>Not individually decided</t>
        </is>
      </c>
      <c r="H972" s="12" t="inlineStr">
        <is>
          <t xml:space="preserve">APPROVED / ONE_TO_ONE; </t>
        </is>
      </c>
      <c r="I972" s="12" t="inlineStr">
        <is>
          <t>New</t>
        </is>
      </c>
      <c r="J972" s="17" t="inlineStr">
        <is>
          <t>08 CROSSWALK</t>
        </is>
      </c>
    </row>
    <row r="973" ht="49" customHeight="1">
      <c r="A973" s="12" t="inlineStr">
        <is>
          <t>R1379-v1</t>
        </is>
      </c>
      <c r="B973" s="12" t="inlineStr">
        <is>
          <t>Cost &amp; Forecast Control Accounts / CST-04-057</t>
        </is>
      </c>
      <c r="C973" s="12" t="inlineStr">
        <is>
          <t>Cost Account = CA-4057; WBS Code = 1.4.1</t>
        </is>
      </c>
      <c r="D973" s="12" t="inlineStr">
        <is>
          <t>Proposed by Source assignment; target 1.4.1 Vehicles and Depot - Fleet Supply</t>
        </is>
      </c>
      <c r="E973" s="12" t="inlineStr">
        <is>
          <t>None recorded</t>
        </is>
      </c>
      <c r="F973" s="12" t="inlineStr">
        <is>
          <t>No individual professional decision recorded; Source assignment -- not individually reviewed</t>
        </is>
      </c>
      <c r="G973" s="12" t="inlineStr">
        <is>
          <t>Not individually decided</t>
        </is>
      </c>
      <c r="H973" s="12" t="inlineStr">
        <is>
          <t xml:space="preserve">APPROVED / ONE_TO_ONE; </t>
        </is>
      </c>
      <c r="I973" s="12" t="inlineStr">
        <is>
          <t>New</t>
        </is>
      </c>
      <c r="J973" s="17" t="inlineStr">
        <is>
          <t>08 CROSSWALK</t>
        </is>
      </c>
    </row>
    <row r="974" ht="49" customHeight="1">
      <c r="A974" s="12" t="inlineStr">
        <is>
          <t>R1381-v1</t>
        </is>
      </c>
      <c r="B974" s="12" t="inlineStr">
        <is>
          <t>Cost &amp; Forecast Control Accounts / CST-04-059</t>
        </is>
      </c>
      <c r="C974" s="12" t="inlineStr">
        <is>
          <t>Cost Account = CA-4059; WBS Code = 1.4.1</t>
        </is>
      </c>
      <c r="D974" s="12" t="inlineStr">
        <is>
          <t>Proposed by Source assignment; target 1.4.1 Vehicles and Depot - Fleet Supply</t>
        </is>
      </c>
      <c r="E974" s="12" t="inlineStr">
        <is>
          <t>None recorded</t>
        </is>
      </c>
      <c r="F974" s="12" t="inlineStr">
        <is>
          <t>No individual professional decision recorded; Source assignment -- not individually reviewed</t>
        </is>
      </c>
      <c r="G974" s="12" t="inlineStr">
        <is>
          <t>Not individually decided</t>
        </is>
      </c>
      <c r="H974" s="12" t="inlineStr">
        <is>
          <t xml:space="preserve">APPROVED / ONE_TO_ONE; </t>
        </is>
      </c>
      <c r="I974" s="12" t="inlineStr">
        <is>
          <t>New</t>
        </is>
      </c>
      <c r="J974" s="17" t="inlineStr">
        <is>
          <t>08 CROSSWALK</t>
        </is>
      </c>
    </row>
    <row r="975" ht="49" customHeight="1">
      <c r="A975" s="12" t="inlineStr">
        <is>
          <t>R1383-v1</t>
        </is>
      </c>
      <c r="B975" s="12" t="inlineStr">
        <is>
          <t>Cost &amp; Forecast Control Accounts / CST-04-061</t>
        </is>
      </c>
      <c r="C975" s="12" t="inlineStr">
        <is>
          <t>Cost Account = CA-4061; WBS Code = 1.4.1</t>
        </is>
      </c>
      <c r="D975" s="12" t="inlineStr">
        <is>
          <t>Proposed by Source assignment; target 1.4.1 Vehicles and Depot - Fleet Supply</t>
        </is>
      </c>
      <c r="E975" s="12" t="inlineStr">
        <is>
          <t>None recorded</t>
        </is>
      </c>
      <c r="F975" s="12" t="inlineStr">
        <is>
          <t>No individual professional decision recorded; Source assignment -- not individually reviewed</t>
        </is>
      </c>
      <c r="G975" s="12" t="inlineStr">
        <is>
          <t>Not individually decided</t>
        </is>
      </c>
      <c r="H975" s="12" t="inlineStr">
        <is>
          <t xml:space="preserve">APPROVED / ONE_TO_ONE; </t>
        </is>
      </c>
      <c r="I975" s="12" t="inlineStr">
        <is>
          <t>New</t>
        </is>
      </c>
      <c r="J975" s="17" t="inlineStr">
        <is>
          <t>08 CROSSWALK</t>
        </is>
      </c>
    </row>
    <row r="976" ht="49" customHeight="1">
      <c r="A976" s="12" t="inlineStr">
        <is>
          <t>R1385-v1</t>
        </is>
      </c>
      <c r="B976" s="12" t="inlineStr">
        <is>
          <t>Cost &amp; Forecast Control Accounts / CST-04-063</t>
        </is>
      </c>
      <c r="C976" s="12" t="inlineStr">
        <is>
          <t>Cost Account = CA-4063; WBS Code = 1.4.1</t>
        </is>
      </c>
      <c r="D976" s="12" t="inlineStr">
        <is>
          <t>Proposed by Source assignment; target 1.4.1 Vehicles and Depot - Fleet Supply</t>
        </is>
      </c>
      <c r="E976" s="12" t="inlineStr">
        <is>
          <t>None recorded</t>
        </is>
      </c>
      <c r="F976" s="12" t="inlineStr">
        <is>
          <t>No individual professional decision recorded; Source assignment -- not individually reviewed</t>
        </is>
      </c>
      <c r="G976" s="12" t="inlineStr">
        <is>
          <t>Not individually decided</t>
        </is>
      </c>
      <c r="H976" s="12" t="inlineStr">
        <is>
          <t xml:space="preserve">APPROVED / ONE_TO_ONE; </t>
        </is>
      </c>
      <c r="I976" s="12" t="inlineStr">
        <is>
          <t>New</t>
        </is>
      </c>
      <c r="J976" s="17" t="inlineStr">
        <is>
          <t>08 CROSSWALK</t>
        </is>
      </c>
    </row>
    <row r="977" ht="49" customHeight="1">
      <c r="A977" s="12" t="inlineStr">
        <is>
          <t>R1387-v1</t>
        </is>
      </c>
      <c r="B977" s="12" t="inlineStr">
        <is>
          <t>Cost &amp; Forecast Control Accounts / CST-04-065</t>
        </is>
      </c>
      <c r="C977" s="12" t="inlineStr">
        <is>
          <t>Cost Account = CA-4065; WBS Code = 1.4.1</t>
        </is>
      </c>
      <c r="D977" s="12" t="inlineStr">
        <is>
          <t>Proposed by Source assignment; target 1.4.1 Vehicles and Depot - Fleet Supply</t>
        </is>
      </c>
      <c r="E977" s="12" t="inlineStr">
        <is>
          <t>None recorded</t>
        </is>
      </c>
      <c r="F977" s="12" t="inlineStr">
        <is>
          <t>No individual professional decision recorded; Source assignment -- not individually reviewed</t>
        </is>
      </c>
      <c r="G977" s="12" t="inlineStr">
        <is>
          <t>Not individually decided</t>
        </is>
      </c>
      <c r="H977" s="12" t="inlineStr">
        <is>
          <t xml:space="preserve">APPROVED / ONE_TO_ONE; </t>
        </is>
      </c>
      <c r="I977" s="12" t="inlineStr">
        <is>
          <t>New</t>
        </is>
      </c>
      <c r="J977" s="17" t="inlineStr">
        <is>
          <t>08 CROSSWALK</t>
        </is>
      </c>
    </row>
    <row r="978" ht="49" customHeight="1">
      <c r="A978" s="12" t="inlineStr">
        <is>
          <t>R1389-v1</t>
        </is>
      </c>
      <c r="B978" s="12" t="inlineStr">
        <is>
          <t>Cost &amp; Forecast Control Accounts / CST-04-067</t>
        </is>
      </c>
      <c r="C978" s="12" t="inlineStr">
        <is>
          <t>Cost Account = CA-4067; WBS Code = 1.4.1</t>
        </is>
      </c>
      <c r="D978" s="12" t="inlineStr">
        <is>
          <t>Proposed by Source assignment; target 1.4.1 Vehicles and Depot - Fleet Supply</t>
        </is>
      </c>
      <c r="E978" s="12" t="inlineStr">
        <is>
          <t>None recorded</t>
        </is>
      </c>
      <c r="F978" s="12" t="inlineStr">
        <is>
          <t>No individual professional decision recorded; Source assignment -- not individually reviewed</t>
        </is>
      </c>
      <c r="G978" s="12" t="inlineStr">
        <is>
          <t>Not individually decided</t>
        </is>
      </c>
      <c r="H978" s="12" t="inlineStr">
        <is>
          <t xml:space="preserve">APPROVED / ONE_TO_ONE; </t>
        </is>
      </c>
      <c r="I978" s="12" t="inlineStr">
        <is>
          <t>New</t>
        </is>
      </c>
      <c r="J978" s="17" t="inlineStr">
        <is>
          <t>08 CROSSWALK</t>
        </is>
      </c>
    </row>
    <row r="979" ht="49" customHeight="1">
      <c r="A979" s="12" t="inlineStr">
        <is>
          <t>R1391-v1</t>
        </is>
      </c>
      <c r="B979" s="12" t="inlineStr">
        <is>
          <t>Cost &amp; Forecast Control Accounts / CST-04-069</t>
        </is>
      </c>
      <c r="C979" s="12" t="inlineStr">
        <is>
          <t>Cost Account = CA-4069; WBS Code = 1.4.1</t>
        </is>
      </c>
      <c r="D979" s="12" t="inlineStr">
        <is>
          <t>Proposed by Source assignment; target 1.4.1 Vehicles and Depot - Fleet Supply</t>
        </is>
      </c>
      <c r="E979" s="12" t="inlineStr">
        <is>
          <t>None recorded</t>
        </is>
      </c>
      <c r="F979" s="12" t="inlineStr">
        <is>
          <t>No individual professional decision recorded; Source assignment -- not individually reviewed</t>
        </is>
      </c>
      <c r="G979" s="12" t="inlineStr">
        <is>
          <t>Not individually decided</t>
        </is>
      </c>
      <c r="H979" s="12" t="inlineStr">
        <is>
          <t xml:space="preserve">APPROVED / ONE_TO_ONE; </t>
        </is>
      </c>
      <c r="I979" s="12" t="inlineStr">
        <is>
          <t>New</t>
        </is>
      </c>
      <c r="J979" s="17" t="inlineStr">
        <is>
          <t>08 CROSSWALK</t>
        </is>
      </c>
    </row>
    <row r="980" ht="49" customHeight="1">
      <c r="A980" s="12" t="inlineStr">
        <is>
          <t>R1393-v1</t>
        </is>
      </c>
      <c r="B980" s="12" t="inlineStr">
        <is>
          <t>Cost &amp; Forecast Control Accounts / CST-04-071</t>
        </is>
      </c>
      <c r="C980" s="12" t="inlineStr">
        <is>
          <t>Cost Account = CA-4071; WBS Code = 1.4.1</t>
        </is>
      </c>
      <c r="D980" s="12" t="inlineStr">
        <is>
          <t>Proposed by Source assignment; target 1.4.1 Vehicles and Depot - Fleet Supply</t>
        </is>
      </c>
      <c r="E980" s="12" t="inlineStr">
        <is>
          <t>None recorded</t>
        </is>
      </c>
      <c r="F980" s="12" t="inlineStr">
        <is>
          <t>No individual professional decision recorded; Source assignment -- not individually reviewed</t>
        </is>
      </c>
      <c r="G980" s="12" t="inlineStr">
        <is>
          <t>Not individually decided</t>
        </is>
      </c>
      <c r="H980" s="12" t="inlineStr">
        <is>
          <t xml:space="preserve">APPROVED / ONE_TO_ONE; </t>
        </is>
      </c>
      <c r="I980" s="12" t="inlineStr">
        <is>
          <t>New</t>
        </is>
      </c>
      <c r="J980" s="17" t="inlineStr">
        <is>
          <t>08 CROSSWALK</t>
        </is>
      </c>
    </row>
    <row r="981" ht="49" customHeight="1">
      <c r="A981" s="12" t="inlineStr">
        <is>
          <t>R1395-v1</t>
        </is>
      </c>
      <c r="B981" s="12" t="inlineStr">
        <is>
          <t>Cost &amp; Forecast Control Accounts / CST-04-073</t>
        </is>
      </c>
      <c r="C981" s="12" t="inlineStr">
        <is>
          <t>Cost Account = CA-4073; WBS Code = 1.4.1</t>
        </is>
      </c>
      <c r="D981" s="12" t="inlineStr">
        <is>
          <t>Proposed by Source assignment; target 1.4.1 Vehicles and Depot - Fleet Supply</t>
        </is>
      </c>
      <c r="E981" s="12" t="inlineStr">
        <is>
          <t>None recorded</t>
        </is>
      </c>
      <c r="F981" s="12" t="inlineStr">
        <is>
          <t>No individual professional decision recorded; Source assignment -- not individually reviewed</t>
        </is>
      </c>
      <c r="G981" s="12" t="inlineStr">
        <is>
          <t>Not individually decided</t>
        </is>
      </c>
      <c r="H981" s="12" t="inlineStr">
        <is>
          <t xml:space="preserve">APPROVED / ONE_TO_ONE; </t>
        </is>
      </c>
      <c r="I981" s="12" t="inlineStr">
        <is>
          <t>New</t>
        </is>
      </c>
      <c r="J981" s="17" t="inlineStr">
        <is>
          <t>08 CROSSWALK</t>
        </is>
      </c>
    </row>
    <row r="982" ht="49" customHeight="1">
      <c r="A982" s="12" t="inlineStr">
        <is>
          <t>R1397-v1</t>
        </is>
      </c>
      <c r="B982" s="12" t="inlineStr">
        <is>
          <t>Cost &amp; Forecast Control Accounts / CST-04-075</t>
        </is>
      </c>
      <c r="C982" s="12" t="inlineStr">
        <is>
          <t>Cost Account = CA-4075; WBS Code = 1.4.1</t>
        </is>
      </c>
      <c r="D982" s="12" t="inlineStr">
        <is>
          <t>Proposed by Source assignment; target 1.4.1 Vehicles and Depot - Fleet Supply</t>
        </is>
      </c>
      <c r="E982" s="12" t="inlineStr">
        <is>
          <t>None recorded</t>
        </is>
      </c>
      <c r="F982" s="12" t="inlineStr">
        <is>
          <t>No individual professional decision recorded; Source assignment -- not individually reviewed</t>
        </is>
      </c>
      <c r="G982" s="12" t="inlineStr">
        <is>
          <t>Not individually decided</t>
        </is>
      </c>
      <c r="H982" s="12" t="inlineStr">
        <is>
          <t xml:space="preserve">APPROVED / ONE_TO_ONE; </t>
        </is>
      </c>
      <c r="I982" s="12" t="inlineStr">
        <is>
          <t>New</t>
        </is>
      </c>
      <c r="J982" s="17" t="inlineStr">
        <is>
          <t>08 CROSSWALK</t>
        </is>
      </c>
    </row>
    <row r="983" ht="49" customHeight="1">
      <c r="A983" s="12" t="inlineStr">
        <is>
          <t>R1399-v1</t>
        </is>
      </c>
      <c r="B983" s="12" t="inlineStr">
        <is>
          <t>Cost &amp; Forecast Control Accounts / CST-04-077</t>
        </is>
      </c>
      <c r="C983" s="12" t="inlineStr">
        <is>
          <t>Cost Account = CA-4077; WBS Code = 1.4.1</t>
        </is>
      </c>
      <c r="D983" s="12" t="inlineStr">
        <is>
          <t>Proposed by Source assignment; target 1.4.1 Vehicles and Depot - Fleet Supply</t>
        </is>
      </c>
      <c r="E983" s="12" t="inlineStr">
        <is>
          <t>None recorded</t>
        </is>
      </c>
      <c r="F983" s="12" t="inlineStr">
        <is>
          <t>No individual professional decision recorded; Source assignment -- not individually reviewed</t>
        </is>
      </c>
      <c r="G983" s="12" t="inlineStr">
        <is>
          <t>Not individually decided</t>
        </is>
      </c>
      <c r="H983" s="12" t="inlineStr">
        <is>
          <t xml:space="preserve">APPROVED / ONE_TO_ONE; </t>
        </is>
      </c>
      <c r="I983" s="12" t="inlineStr">
        <is>
          <t>New</t>
        </is>
      </c>
      <c r="J983" s="17" t="inlineStr">
        <is>
          <t>08 CROSSWALK</t>
        </is>
      </c>
    </row>
    <row r="984" ht="49" customHeight="1">
      <c r="A984" s="12" t="inlineStr">
        <is>
          <t>R1401-v1</t>
        </is>
      </c>
      <c r="B984" s="12" t="inlineStr">
        <is>
          <t>Cost &amp; Forecast Control Accounts / CST-04-079</t>
        </is>
      </c>
      <c r="C984" s="12" t="inlineStr">
        <is>
          <t>Cost Account = CA-4079; WBS Code = 1.4.1</t>
        </is>
      </c>
      <c r="D984" s="12" t="inlineStr">
        <is>
          <t>Proposed by Source assignment; target 1.4.1 Vehicles and Depot - Fleet Supply</t>
        </is>
      </c>
      <c r="E984" s="12" t="inlineStr">
        <is>
          <t>None recorded</t>
        </is>
      </c>
      <c r="F984" s="12" t="inlineStr">
        <is>
          <t>No individual professional decision recorded; Source assignment -- not individually reviewed</t>
        </is>
      </c>
      <c r="G984" s="12" t="inlineStr">
        <is>
          <t>Not individually decided</t>
        </is>
      </c>
      <c r="H984" s="12" t="inlineStr">
        <is>
          <t xml:space="preserve">APPROVED / ONE_TO_ONE; </t>
        </is>
      </c>
      <c r="I984" s="12" t="inlineStr">
        <is>
          <t>New</t>
        </is>
      </c>
      <c r="J984" s="17" t="inlineStr">
        <is>
          <t>08 CROSSWALK</t>
        </is>
      </c>
    </row>
    <row r="985" ht="49" customHeight="1">
      <c r="A985" s="12" t="inlineStr">
        <is>
          <t>R546-v1</t>
        </is>
      </c>
      <c r="B985" s="12" t="inlineStr">
        <is>
          <t>Contractor Programme / SCH-04-006</t>
        </is>
      </c>
      <c r="C985" s="12" t="inlineStr">
        <is>
          <t>WBS Code = 1.4.2</t>
        </is>
      </c>
      <c r="D985" s="12" t="inlineStr">
        <is>
          <t>Proposed by Source assignment; target 1.4.2 Vehicles and Depot - Depot Buildings</t>
        </is>
      </c>
      <c r="E985" s="12" t="inlineStr">
        <is>
          <t>None recorded</t>
        </is>
      </c>
      <c r="F985" s="12" t="inlineStr">
        <is>
          <t>No individual professional decision recorded; Source assignment -- not individually reviewed</t>
        </is>
      </c>
      <c r="G985" s="12" t="inlineStr">
        <is>
          <t>Not individually decided</t>
        </is>
      </c>
      <c r="H985" s="12" t="inlineStr">
        <is>
          <t xml:space="preserve">APPROVED / ONE_TO_ONE; </t>
        </is>
      </c>
      <c r="I985" s="12" t="inlineStr">
        <is>
          <t>New</t>
        </is>
      </c>
      <c r="J985" s="17" t="inlineStr">
        <is>
          <t>08 CROSSWALK</t>
        </is>
      </c>
    </row>
    <row r="986" ht="49" customHeight="1">
      <c r="A986" s="12" t="inlineStr">
        <is>
          <t>R549-v1</t>
        </is>
      </c>
      <c r="B986" s="12" t="inlineStr">
        <is>
          <t>Contractor Programme / SCH-04-009</t>
        </is>
      </c>
      <c r="C986" s="12" t="inlineStr">
        <is>
          <t>WBS Code = 1.4.2</t>
        </is>
      </c>
      <c r="D986" s="12" t="inlineStr">
        <is>
          <t>Proposed by Source assignment; target 1.4.2 Vehicles and Depot - Depot Buildings</t>
        </is>
      </c>
      <c r="E986" s="12" t="inlineStr">
        <is>
          <t>None recorded</t>
        </is>
      </c>
      <c r="F986" s="12" t="inlineStr">
        <is>
          <t>No individual professional decision recorded; Source assignment -- not individually reviewed</t>
        </is>
      </c>
      <c r="G986" s="12" t="inlineStr">
        <is>
          <t>Not individually decided</t>
        </is>
      </c>
      <c r="H986" s="12" t="inlineStr">
        <is>
          <t xml:space="preserve">APPROVED / ONE_TO_ONE; </t>
        </is>
      </c>
      <c r="I986" s="12" t="inlineStr">
        <is>
          <t>New</t>
        </is>
      </c>
      <c r="J986" s="17" t="inlineStr">
        <is>
          <t>08 CROSSWALK</t>
        </is>
      </c>
    </row>
    <row r="987" ht="49" customHeight="1">
      <c r="A987" s="12" t="inlineStr">
        <is>
          <t>R552-v1</t>
        </is>
      </c>
      <c r="B987" s="12" t="inlineStr">
        <is>
          <t>Contractor Programme / SCH-04-012</t>
        </is>
      </c>
      <c r="C987" s="12" t="inlineStr">
        <is>
          <t>WBS Code = 1.4.2</t>
        </is>
      </c>
      <c r="D987" s="12" t="inlineStr">
        <is>
          <t>Proposed by Source assignment; target 1.4.2 Vehicles and Depot - Depot Buildings</t>
        </is>
      </c>
      <c r="E987" s="12" t="inlineStr">
        <is>
          <t>None recorded</t>
        </is>
      </c>
      <c r="F987" s="12" t="inlineStr">
        <is>
          <t>No individual professional decision recorded; Source assignment -- not individually reviewed</t>
        </is>
      </c>
      <c r="G987" s="12" t="inlineStr">
        <is>
          <t>Not individually decided</t>
        </is>
      </c>
      <c r="H987" s="12" t="inlineStr">
        <is>
          <t xml:space="preserve">APPROVED / ONE_TO_ONE; </t>
        </is>
      </c>
      <c r="I987" s="12" t="inlineStr">
        <is>
          <t>New</t>
        </is>
      </c>
      <c r="J987" s="17" t="inlineStr">
        <is>
          <t>08 CROSSWALK</t>
        </is>
      </c>
    </row>
    <row r="988" ht="49" customHeight="1">
      <c r="A988" s="12" t="inlineStr">
        <is>
          <t>R555-v1</t>
        </is>
      </c>
      <c r="B988" s="12" t="inlineStr">
        <is>
          <t>Contractor Programme / SCH-04-015</t>
        </is>
      </c>
      <c r="C988" s="12" t="inlineStr">
        <is>
          <t>WBS Code = 1.4.2</t>
        </is>
      </c>
      <c r="D988" s="12" t="inlineStr">
        <is>
          <t>Proposed by Source assignment; target 1.4.2 Vehicles and Depot - Depot Buildings</t>
        </is>
      </c>
      <c r="E988" s="12" t="inlineStr">
        <is>
          <t>None recorded</t>
        </is>
      </c>
      <c r="F988" s="12" t="inlineStr">
        <is>
          <t>No individual professional decision recorded; Source assignment -- not individually reviewed</t>
        </is>
      </c>
      <c r="G988" s="12" t="inlineStr">
        <is>
          <t>Not individually decided</t>
        </is>
      </c>
      <c r="H988" s="12" t="inlineStr">
        <is>
          <t xml:space="preserve">APPROVED / ONE_TO_ONE; </t>
        </is>
      </c>
      <c r="I988" s="12" t="inlineStr">
        <is>
          <t>New</t>
        </is>
      </c>
      <c r="J988" s="17" t="inlineStr">
        <is>
          <t>08 CROSSWALK</t>
        </is>
      </c>
    </row>
    <row r="989" ht="49" customHeight="1">
      <c r="A989" s="12" t="inlineStr">
        <is>
          <t>R558-v1</t>
        </is>
      </c>
      <c r="B989" s="12" t="inlineStr">
        <is>
          <t>Contractor Programme / SCH-04-018</t>
        </is>
      </c>
      <c r="C989" s="12" t="inlineStr">
        <is>
          <t>WBS Code = 1.4.2</t>
        </is>
      </c>
      <c r="D989" s="12" t="inlineStr">
        <is>
          <t>Proposed by Source assignment; target 1.4.2 Vehicles and Depot - Depot Buildings</t>
        </is>
      </c>
      <c r="E989" s="12" t="inlineStr">
        <is>
          <t>None recorded</t>
        </is>
      </c>
      <c r="F989" s="12" t="inlineStr">
        <is>
          <t>No individual professional decision recorded; Source assignment -- not individually reviewed</t>
        </is>
      </c>
      <c r="G989" s="12" t="inlineStr">
        <is>
          <t>Not individually decided</t>
        </is>
      </c>
      <c r="H989" s="12" t="inlineStr">
        <is>
          <t xml:space="preserve">APPROVED / ONE_TO_ONE; </t>
        </is>
      </c>
      <c r="I989" s="12" t="inlineStr">
        <is>
          <t>New</t>
        </is>
      </c>
      <c r="J989" s="17" t="inlineStr">
        <is>
          <t>08 CROSSWALK</t>
        </is>
      </c>
    </row>
    <row r="990" ht="49" customHeight="1">
      <c r="A990" s="12" t="inlineStr">
        <is>
          <t>R561-v1</t>
        </is>
      </c>
      <c r="B990" s="12" t="inlineStr">
        <is>
          <t>Contractor Programme / SCH-04-021</t>
        </is>
      </c>
      <c r="C990" s="12" t="inlineStr">
        <is>
          <t>WBS Code = 1.4.2</t>
        </is>
      </c>
      <c r="D990" s="12" t="inlineStr">
        <is>
          <t>Proposed by Source assignment; target 1.4.2 Vehicles and Depot - Depot Buildings</t>
        </is>
      </c>
      <c r="E990" s="12" t="inlineStr">
        <is>
          <t>None recorded</t>
        </is>
      </c>
      <c r="F990" s="12" t="inlineStr">
        <is>
          <t>No individual professional decision recorded; Source assignment -- not individually reviewed</t>
        </is>
      </c>
      <c r="G990" s="12" t="inlineStr">
        <is>
          <t>Not individually decided</t>
        </is>
      </c>
      <c r="H990" s="12" t="inlineStr">
        <is>
          <t xml:space="preserve">APPROVED / ONE_TO_ONE; </t>
        </is>
      </c>
      <c r="I990" s="12" t="inlineStr">
        <is>
          <t>New</t>
        </is>
      </c>
      <c r="J990" s="17" t="inlineStr">
        <is>
          <t>08 CROSSWALK</t>
        </is>
      </c>
    </row>
    <row r="991" ht="49" customHeight="1">
      <c r="A991" s="12" t="inlineStr">
        <is>
          <t>R564-v1</t>
        </is>
      </c>
      <c r="B991" s="12" t="inlineStr">
        <is>
          <t>Contractor Programme / SCH-04-024</t>
        </is>
      </c>
      <c r="C991" s="12" t="inlineStr">
        <is>
          <t>WBS Code = 1.4.2</t>
        </is>
      </c>
      <c r="D991" s="12" t="inlineStr">
        <is>
          <t>Proposed by Source assignment; target 1.4.2 Vehicles and Depot - Depot Buildings</t>
        </is>
      </c>
      <c r="E991" s="12" t="inlineStr">
        <is>
          <t>None recorded</t>
        </is>
      </c>
      <c r="F991" s="12" t="inlineStr">
        <is>
          <t>No individual professional decision recorded; Source assignment -- not individually reviewed</t>
        </is>
      </c>
      <c r="G991" s="12" t="inlineStr">
        <is>
          <t>Not individually decided</t>
        </is>
      </c>
      <c r="H991" s="12" t="inlineStr">
        <is>
          <t xml:space="preserve">APPROVED / ONE_TO_ONE; </t>
        </is>
      </c>
      <c r="I991" s="12" t="inlineStr">
        <is>
          <t>New</t>
        </is>
      </c>
      <c r="J991" s="17" t="inlineStr">
        <is>
          <t>08 CROSSWALK</t>
        </is>
      </c>
    </row>
    <row r="992" ht="49" customHeight="1">
      <c r="A992" s="12" t="inlineStr">
        <is>
          <t>R567-v1</t>
        </is>
      </c>
      <c r="B992" s="12" t="inlineStr">
        <is>
          <t>Contractor Programme / SCH-04-027</t>
        </is>
      </c>
      <c r="C992" s="12" t="inlineStr">
        <is>
          <t>WBS Code = 1.4.2</t>
        </is>
      </c>
      <c r="D992" s="12" t="inlineStr">
        <is>
          <t>Proposed by Source assignment; target 1.4.2 Vehicles and Depot - Depot Buildings</t>
        </is>
      </c>
      <c r="E992" s="12" t="inlineStr">
        <is>
          <t>None recorded</t>
        </is>
      </c>
      <c r="F992" s="12" t="inlineStr">
        <is>
          <t>No individual professional decision recorded; Source assignment -- not individually reviewed</t>
        </is>
      </c>
      <c r="G992" s="12" t="inlineStr">
        <is>
          <t>Not individually decided</t>
        </is>
      </c>
      <c r="H992" s="12" t="inlineStr">
        <is>
          <t xml:space="preserve">APPROVED / ONE_TO_ONE; </t>
        </is>
      </c>
      <c r="I992" s="12" t="inlineStr">
        <is>
          <t>New</t>
        </is>
      </c>
      <c r="J992" s="17" t="inlineStr">
        <is>
          <t>08 CROSSWALK</t>
        </is>
      </c>
    </row>
    <row r="993" ht="49" customHeight="1">
      <c r="A993" s="12" t="inlineStr">
        <is>
          <t>R570-v1</t>
        </is>
      </c>
      <c r="B993" s="12" t="inlineStr">
        <is>
          <t>Contractor Programme / SCH-04-030</t>
        </is>
      </c>
      <c r="C993" s="12" t="inlineStr">
        <is>
          <t>WBS Code = 1.4.2</t>
        </is>
      </c>
      <c r="D993" s="12" t="inlineStr">
        <is>
          <t>Proposed by Source assignment; target 1.4.2 Vehicles and Depot - Depot Buildings</t>
        </is>
      </c>
      <c r="E993" s="12" t="inlineStr">
        <is>
          <t>None recorded</t>
        </is>
      </c>
      <c r="F993" s="12" t="inlineStr">
        <is>
          <t>No individual professional decision recorded; Source assignment -- not individually reviewed</t>
        </is>
      </c>
      <c r="G993" s="12" t="inlineStr">
        <is>
          <t>Not individually decided</t>
        </is>
      </c>
      <c r="H993" s="12" t="inlineStr">
        <is>
          <t xml:space="preserve">APPROVED / ONE_TO_ONE; </t>
        </is>
      </c>
      <c r="I993" s="12" t="inlineStr">
        <is>
          <t>New</t>
        </is>
      </c>
      <c r="J993" s="17" t="inlineStr">
        <is>
          <t>08 CROSSWALK</t>
        </is>
      </c>
    </row>
    <row r="994" ht="49" customHeight="1">
      <c r="A994" s="12" t="inlineStr">
        <is>
          <t>R573-v1</t>
        </is>
      </c>
      <c r="B994" s="12" t="inlineStr">
        <is>
          <t>Contractor Programme / SCH-04-033</t>
        </is>
      </c>
      <c r="C994" s="12" t="inlineStr">
        <is>
          <t>WBS Code = 1.4.2</t>
        </is>
      </c>
      <c r="D994" s="12" t="inlineStr">
        <is>
          <t>Proposed by Source assignment; target 1.4.2 Vehicles and Depot - Depot Buildings</t>
        </is>
      </c>
      <c r="E994" s="12" t="inlineStr">
        <is>
          <t>None recorded</t>
        </is>
      </c>
      <c r="F994" s="12" t="inlineStr">
        <is>
          <t>No individual professional decision recorded; Source assignment -- not individually reviewed</t>
        </is>
      </c>
      <c r="G994" s="12" t="inlineStr">
        <is>
          <t>Not individually decided</t>
        </is>
      </c>
      <c r="H994" s="12" t="inlineStr">
        <is>
          <t xml:space="preserve">APPROVED / ONE_TO_ONE; </t>
        </is>
      </c>
      <c r="I994" s="12" t="inlineStr">
        <is>
          <t>New</t>
        </is>
      </c>
      <c r="J994" s="17" t="inlineStr">
        <is>
          <t>08 CROSSWALK</t>
        </is>
      </c>
    </row>
    <row r="995" ht="49" customHeight="1">
      <c r="A995" s="12" t="inlineStr">
        <is>
          <t>R576-v1</t>
        </is>
      </c>
      <c r="B995" s="12" t="inlineStr">
        <is>
          <t>Contractor Programme / SCH-04-036</t>
        </is>
      </c>
      <c r="C995" s="12" t="inlineStr">
        <is>
          <t>WBS Code = 1.4.2</t>
        </is>
      </c>
      <c r="D995" s="12" t="inlineStr">
        <is>
          <t>Proposed by Source assignment; target 1.4.2 Vehicles and Depot - Depot Buildings</t>
        </is>
      </c>
      <c r="E995" s="12" t="inlineStr">
        <is>
          <t>None recorded</t>
        </is>
      </c>
      <c r="F995" s="12" t="inlineStr">
        <is>
          <t>No individual professional decision recorded; Source assignment -- not individually reviewed</t>
        </is>
      </c>
      <c r="G995" s="12" t="inlineStr">
        <is>
          <t>Not individually decided</t>
        </is>
      </c>
      <c r="H995" s="12" t="inlineStr">
        <is>
          <t xml:space="preserve">APPROVED / ONE_TO_ONE; </t>
        </is>
      </c>
      <c r="I995" s="12" t="inlineStr">
        <is>
          <t>New</t>
        </is>
      </c>
      <c r="J995" s="17" t="inlineStr">
        <is>
          <t>08 CROSSWALK</t>
        </is>
      </c>
    </row>
    <row r="996" ht="49" customHeight="1">
      <c r="A996" s="12" t="inlineStr">
        <is>
          <t>R579-v1</t>
        </is>
      </c>
      <c r="B996" s="12" t="inlineStr">
        <is>
          <t>Contractor Programme / SCH-04-039</t>
        </is>
      </c>
      <c r="C996" s="12" t="inlineStr">
        <is>
          <t>WBS Code = 1.4.2</t>
        </is>
      </c>
      <c r="D996" s="12" t="inlineStr">
        <is>
          <t>Proposed by Source assignment; target 1.4.2 Vehicles and Depot - Depot Buildings</t>
        </is>
      </c>
      <c r="E996" s="12" t="inlineStr">
        <is>
          <t>None recorded</t>
        </is>
      </c>
      <c r="F996" s="12" t="inlineStr">
        <is>
          <t>No individual professional decision recorded; Source assignment -- not individually reviewed</t>
        </is>
      </c>
      <c r="G996" s="12" t="inlineStr">
        <is>
          <t>Not individually decided</t>
        </is>
      </c>
      <c r="H996" s="12" t="inlineStr">
        <is>
          <t xml:space="preserve">APPROVED / ONE_TO_ONE; </t>
        </is>
      </c>
      <c r="I996" s="12" t="inlineStr">
        <is>
          <t>New</t>
        </is>
      </c>
      <c r="J996" s="17" t="inlineStr">
        <is>
          <t>08 CROSSWALK</t>
        </is>
      </c>
    </row>
    <row r="997" ht="49" customHeight="1">
      <c r="A997" s="12" t="inlineStr">
        <is>
          <t>R582-v1</t>
        </is>
      </c>
      <c r="B997" s="12" t="inlineStr">
        <is>
          <t>Contractor Programme / SCH-04-042</t>
        </is>
      </c>
      <c r="C997" s="12" t="inlineStr">
        <is>
          <t>WBS Code = 1.4.2</t>
        </is>
      </c>
      <c r="D997" s="12" t="inlineStr">
        <is>
          <t>Proposed by Source assignment; target 1.4.2 Vehicles and Depot - Depot Buildings</t>
        </is>
      </c>
      <c r="E997" s="12" t="inlineStr">
        <is>
          <t>None recorded</t>
        </is>
      </c>
      <c r="F997" s="12" t="inlineStr">
        <is>
          <t>No individual professional decision recorded; Source assignment -- not individually reviewed</t>
        </is>
      </c>
      <c r="G997" s="12" t="inlineStr">
        <is>
          <t>Not individually decided</t>
        </is>
      </c>
      <c r="H997" s="12" t="inlineStr">
        <is>
          <t xml:space="preserve">APPROVED / ONE_TO_ONE; </t>
        </is>
      </c>
      <c r="I997" s="12" t="inlineStr">
        <is>
          <t>New</t>
        </is>
      </c>
      <c r="J997" s="17" t="inlineStr">
        <is>
          <t>08 CROSSWALK</t>
        </is>
      </c>
    </row>
    <row r="998" ht="49" customHeight="1">
      <c r="A998" s="12" t="inlineStr">
        <is>
          <t>R585-v1</t>
        </is>
      </c>
      <c r="B998" s="12" t="inlineStr">
        <is>
          <t>Contractor Programme / SCH-04-045</t>
        </is>
      </c>
      <c r="C998" s="12" t="inlineStr">
        <is>
          <t>WBS Code = 1.4.2</t>
        </is>
      </c>
      <c r="D998" s="12" t="inlineStr">
        <is>
          <t>Proposed by Source assignment; target 1.4.2 Vehicles and Depot - Depot Buildings</t>
        </is>
      </c>
      <c r="E998" s="12" t="inlineStr">
        <is>
          <t>None recorded</t>
        </is>
      </c>
      <c r="F998" s="12" t="inlineStr">
        <is>
          <t>No individual professional decision recorded; Source assignment -- not individually reviewed</t>
        </is>
      </c>
      <c r="G998" s="12" t="inlineStr">
        <is>
          <t>Not individually decided</t>
        </is>
      </c>
      <c r="H998" s="12" t="inlineStr">
        <is>
          <t xml:space="preserve">APPROVED / ONE_TO_ONE; </t>
        </is>
      </c>
      <c r="I998" s="12" t="inlineStr">
        <is>
          <t>New</t>
        </is>
      </c>
      <c r="J998" s="17" t="inlineStr">
        <is>
          <t>08 CROSSWALK</t>
        </is>
      </c>
    </row>
    <row r="999" ht="49" customHeight="1">
      <c r="A999" s="12" t="inlineStr">
        <is>
          <t>R588-v1</t>
        </is>
      </c>
      <c r="B999" s="12" t="inlineStr">
        <is>
          <t>Contractor Programme / SCH-04-048</t>
        </is>
      </c>
      <c r="C999" s="12" t="inlineStr">
        <is>
          <t>WBS Code = 1.4.2</t>
        </is>
      </c>
      <c r="D999" s="12" t="inlineStr">
        <is>
          <t>Proposed by Source assignment; target 1.4.2 Vehicles and Depot - Depot Buildings</t>
        </is>
      </c>
      <c r="E999" s="12" t="inlineStr">
        <is>
          <t>None recorded</t>
        </is>
      </c>
      <c r="F999" s="12" t="inlineStr">
        <is>
          <t>No individual professional decision recorded; Source assignment -- not individually reviewed</t>
        </is>
      </c>
      <c r="G999" s="12" t="inlineStr">
        <is>
          <t>Not individually decided</t>
        </is>
      </c>
      <c r="H999" s="12" t="inlineStr">
        <is>
          <t xml:space="preserve">APPROVED / ONE_TO_ONE; </t>
        </is>
      </c>
      <c r="I999" s="12" t="inlineStr">
        <is>
          <t>New</t>
        </is>
      </c>
      <c r="J999" s="17" t="inlineStr">
        <is>
          <t>08 CROSSWALK</t>
        </is>
      </c>
    </row>
    <row r="1000" ht="49" customHeight="1">
      <c r="A1000" s="12" t="inlineStr">
        <is>
          <t>R591-v1</t>
        </is>
      </c>
      <c r="B1000" s="12" t="inlineStr">
        <is>
          <t>Contractor Programme / SCH-04-051</t>
        </is>
      </c>
      <c r="C1000" s="12" t="inlineStr">
        <is>
          <t>WBS Code = 1.4.2</t>
        </is>
      </c>
      <c r="D1000" s="12" t="inlineStr">
        <is>
          <t>Proposed by Source assignment; target 1.4.2 Vehicles and Depot - Depot Buildings</t>
        </is>
      </c>
      <c r="E1000" s="12" t="inlineStr">
        <is>
          <t>None recorded</t>
        </is>
      </c>
      <c r="F1000" s="12" t="inlineStr">
        <is>
          <t>No individual professional decision recorded; Source assignment -- not individually reviewed</t>
        </is>
      </c>
      <c r="G1000" s="12" t="inlineStr">
        <is>
          <t>Not individually decided</t>
        </is>
      </c>
      <c r="H1000" s="12" t="inlineStr">
        <is>
          <t xml:space="preserve">APPROVED / ONE_TO_ONE; </t>
        </is>
      </c>
      <c r="I1000" s="12" t="inlineStr">
        <is>
          <t>New</t>
        </is>
      </c>
      <c r="J1000" s="17" t="inlineStr">
        <is>
          <t>08 CROSSWALK</t>
        </is>
      </c>
    </row>
    <row r="1001" ht="49" customHeight="1">
      <c r="A1001" s="12" t="inlineStr">
        <is>
          <t>R594-v1</t>
        </is>
      </c>
      <c r="B1001" s="12" t="inlineStr">
        <is>
          <t>Contractor Programme / SCH-04-054</t>
        </is>
      </c>
      <c r="C1001" s="12" t="inlineStr">
        <is>
          <t>WBS Code = 1.4.2</t>
        </is>
      </c>
      <c r="D1001" s="12" t="inlineStr">
        <is>
          <t>Proposed by Source assignment; target 1.4.2 Vehicles and Depot - Depot Buildings</t>
        </is>
      </c>
      <c r="E1001" s="12" t="inlineStr">
        <is>
          <t>None recorded</t>
        </is>
      </c>
      <c r="F1001" s="12" t="inlineStr">
        <is>
          <t>No individual professional decision recorded; Source assignment -- not individually reviewed</t>
        </is>
      </c>
      <c r="G1001" s="12" t="inlineStr">
        <is>
          <t>Not individually decided</t>
        </is>
      </c>
      <c r="H1001" s="12" t="inlineStr">
        <is>
          <t xml:space="preserve">APPROVED / ONE_TO_ONE; </t>
        </is>
      </c>
      <c r="I1001" s="12" t="inlineStr">
        <is>
          <t>New</t>
        </is>
      </c>
      <c r="J1001" s="17" t="inlineStr">
        <is>
          <t>08 CROSSWALK</t>
        </is>
      </c>
    </row>
    <row r="1002" ht="49" customHeight="1">
      <c r="A1002" s="12" t="inlineStr">
        <is>
          <t>R597-v1</t>
        </is>
      </c>
      <c r="B1002" s="12" t="inlineStr">
        <is>
          <t>Contractor Programme / SCH-04-057</t>
        </is>
      </c>
      <c r="C1002" s="12" t="inlineStr">
        <is>
          <t>WBS Code = 1.4.2</t>
        </is>
      </c>
      <c r="D1002" s="12" t="inlineStr">
        <is>
          <t>Proposed by Source assignment; target 1.4.2 Vehicles and Depot - Depot Buildings</t>
        </is>
      </c>
      <c r="E1002" s="12" t="inlineStr">
        <is>
          <t>None recorded</t>
        </is>
      </c>
      <c r="F1002" s="12" t="inlineStr">
        <is>
          <t>No individual professional decision recorded; Source assignment -- not individually reviewed</t>
        </is>
      </c>
      <c r="G1002" s="12" t="inlineStr">
        <is>
          <t>Not individually decided</t>
        </is>
      </c>
      <c r="H1002" s="12" t="inlineStr">
        <is>
          <t xml:space="preserve">APPROVED / ONE_TO_ONE; </t>
        </is>
      </c>
      <c r="I1002" s="12" t="inlineStr">
        <is>
          <t>New</t>
        </is>
      </c>
      <c r="J1002" s="17" t="inlineStr">
        <is>
          <t>08 CROSSWALK</t>
        </is>
      </c>
    </row>
    <row r="1003" ht="49" customHeight="1">
      <c r="A1003" s="12" t="inlineStr">
        <is>
          <t>R600-v1</t>
        </is>
      </c>
      <c r="B1003" s="12" t="inlineStr">
        <is>
          <t>Contractor Programme / SCH-04-060</t>
        </is>
      </c>
      <c r="C1003" s="12" t="inlineStr">
        <is>
          <t>WBS Code = 1.4.2</t>
        </is>
      </c>
      <c r="D1003" s="12" t="inlineStr">
        <is>
          <t>Proposed by Source assignment; target 1.4.2 Vehicles and Depot - Depot Buildings</t>
        </is>
      </c>
      <c r="E1003" s="12" t="inlineStr">
        <is>
          <t>None recorded</t>
        </is>
      </c>
      <c r="F1003" s="12" t="inlineStr">
        <is>
          <t>No individual professional decision recorded; Source assignment -- not individually reviewed</t>
        </is>
      </c>
      <c r="G1003" s="12" t="inlineStr">
        <is>
          <t>Not individually decided</t>
        </is>
      </c>
      <c r="H1003" s="12" t="inlineStr">
        <is>
          <t xml:space="preserve">APPROVED / ONE_TO_ONE; </t>
        </is>
      </c>
      <c r="I1003" s="12" t="inlineStr">
        <is>
          <t>New</t>
        </is>
      </c>
      <c r="J1003" s="17" t="inlineStr">
        <is>
          <t>08 CROSSWALK</t>
        </is>
      </c>
    </row>
    <row r="1004" ht="49" customHeight="1">
      <c r="A1004" s="12" t="inlineStr">
        <is>
          <t>R603-v1</t>
        </is>
      </c>
      <c r="B1004" s="12" t="inlineStr">
        <is>
          <t>Contractor Programme / SCH-04-063</t>
        </is>
      </c>
      <c r="C1004" s="12" t="inlineStr">
        <is>
          <t>WBS Code = 1.4.2</t>
        </is>
      </c>
      <c r="D1004" s="12" t="inlineStr">
        <is>
          <t>Proposed by Source assignment; target 1.4.2 Vehicles and Depot - Depot Buildings</t>
        </is>
      </c>
      <c r="E1004" s="12" t="inlineStr">
        <is>
          <t>None recorded</t>
        </is>
      </c>
      <c r="F1004" s="12" t="inlineStr">
        <is>
          <t>No individual professional decision recorded; Source assignment -- not individually reviewed</t>
        </is>
      </c>
      <c r="G1004" s="12" t="inlineStr">
        <is>
          <t>Not individually decided</t>
        </is>
      </c>
      <c r="H1004" s="12" t="inlineStr">
        <is>
          <t xml:space="preserve">APPROVED / ONE_TO_ONE; </t>
        </is>
      </c>
      <c r="I1004" s="12" t="inlineStr">
        <is>
          <t>New</t>
        </is>
      </c>
      <c r="J1004" s="17" t="inlineStr">
        <is>
          <t>08 CROSSWALK</t>
        </is>
      </c>
    </row>
    <row r="1005" ht="49" customHeight="1">
      <c r="A1005" s="12" t="inlineStr">
        <is>
          <t>R606-v1</t>
        </is>
      </c>
      <c r="B1005" s="12" t="inlineStr">
        <is>
          <t>Contractor Programme / SCH-04-066</t>
        </is>
      </c>
      <c r="C1005" s="12" t="inlineStr">
        <is>
          <t>WBS Code = 1.4.2</t>
        </is>
      </c>
      <c r="D1005" s="12" t="inlineStr">
        <is>
          <t>Proposed by Source assignment; target 1.4.2 Vehicles and Depot - Depot Buildings</t>
        </is>
      </c>
      <c r="E1005" s="12" t="inlineStr">
        <is>
          <t>None recorded</t>
        </is>
      </c>
      <c r="F1005" s="12" t="inlineStr">
        <is>
          <t>No individual professional decision recorded; Source assignment -- not individually reviewed</t>
        </is>
      </c>
      <c r="G1005" s="12" t="inlineStr">
        <is>
          <t>Not individually decided</t>
        </is>
      </c>
      <c r="H1005" s="12" t="inlineStr">
        <is>
          <t xml:space="preserve">APPROVED / ONE_TO_ONE; </t>
        </is>
      </c>
      <c r="I1005" s="12" t="inlineStr">
        <is>
          <t>New</t>
        </is>
      </c>
      <c r="J1005" s="17" t="inlineStr">
        <is>
          <t>08 CROSSWALK</t>
        </is>
      </c>
    </row>
    <row r="1006" ht="49" customHeight="1">
      <c r="A1006" s="12" t="inlineStr">
        <is>
          <t>R609-v1</t>
        </is>
      </c>
      <c r="B1006" s="12" t="inlineStr">
        <is>
          <t>Contractor Programme / SCH-04-069</t>
        </is>
      </c>
      <c r="C1006" s="12" t="inlineStr">
        <is>
          <t>WBS Code = 1.4.2</t>
        </is>
      </c>
      <c r="D1006" s="12" t="inlineStr">
        <is>
          <t>Proposed by Source assignment; target 1.4.2 Vehicles and Depot - Depot Buildings</t>
        </is>
      </c>
      <c r="E1006" s="12" t="inlineStr">
        <is>
          <t>None recorded</t>
        </is>
      </c>
      <c r="F1006" s="12" t="inlineStr">
        <is>
          <t>No individual professional decision recorded; Source assignment -- not individually reviewed</t>
        </is>
      </c>
      <c r="G1006" s="12" t="inlineStr">
        <is>
          <t>Not individually decided</t>
        </is>
      </c>
      <c r="H1006" s="12" t="inlineStr">
        <is>
          <t xml:space="preserve">APPROVED / ONE_TO_ONE; </t>
        </is>
      </c>
      <c r="I1006" s="12" t="inlineStr">
        <is>
          <t>New</t>
        </is>
      </c>
      <c r="J1006" s="17" t="inlineStr">
        <is>
          <t>08 CROSSWALK</t>
        </is>
      </c>
    </row>
    <row r="1007" ht="49" customHeight="1">
      <c r="A1007" s="12" t="inlineStr">
        <is>
          <t>R612-v1</t>
        </is>
      </c>
      <c r="B1007" s="12" t="inlineStr">
        <is>
          <t>Contractor Programme / SCH-04-072</t>
        </is>
      </c>
      <c r="C1007" s="12" t="inlineStr">
        <is>
          <t>WBS Code = 1.4.2</t>
        </is>
      </c>
      <c r="D1007" s="12" t="inlineStr">
        <is>
          <t>Proposed by Source assignment; target 1.4.2 Vehicles and Depot - Depot Buildings</t>
        </is>
      </c>
      <c r="E1007" s="12" t="inlineStr">
        <is>
          <t>None recorded</t>
        </is>
      </c>
      <c r="F1007" s="12" t="inlineStr">
        <is>
          <t>No individual professional decision recorded; Source assignment -- not individually reviewed</t>
        </is>
      </c>
      <c r="G1007" s="12" t="inlineStr">
        <is>
          <t>Not individually decided</t>
        </is>
      </c>
      <c r="H1007" s="12" t="inlineStr">
        <is>
          <t xml:space="preserve">APPROVED / ONE_TO_ONE; </t>
        </is>
      </c>
      <c r="I1007" s="12" t="inlineStr">
        <is>
          <t>New</t>
        </is>
      </c>
      <c r="J1007" s="17" t="inlineStr">
        <is>
          <t>08 CROSSWALK</t>
        </is>
      </c>
    </row>
    <row r="1008" ht="49" customHeight="1">
      <c r="A1008" s="12" t="inlineStr">
        <is>
          <t>R615-v1</t>
        </is>
      </c>
      <c r="B1008" s="12" t="inlineStr">
        <is>
          <t>Contractor Programme / SCH-04-075</t>
        </is>
      </c>
      <c r="C1008" s="12" t="inlineStr">
        <is>
          <t>WBS Code = 1.4.2</t>
        </is>
      </c>
      <c r="D1008" s="12" t="inlineStr">
        <is>
          <t>Proposed by Source assignment; target 1.4.2 Vehicles and Depot - Depot Buildings</t>
        </is>
      </c>
      <c r="E1008" s="12" t="inlineStr">
        <is>
          <t>None recorded</t>
        </is>
      </c>
      <c r="F1008" s="12" t="inlineStr">
        <is>
          <t>No individual professional decision recorded; Source assignment -- not individually reviewed</t>
        </is>
      </c>
      <c r="G1008" s="12" t="inlineStr">
        <is>
          <t>Not individually decided</t>
        </is>
      </c>
      <c r="H1008" s="12" t="inlineStr">
        <is>
          <t xml:space="preserve">APPROVED / ONE_TO_ONE; </t>
        </is>
      </c>
      <c r="I1008" s="12" t="inlineStr">
        <is>
          <t>New</t>
        </is>
      </c>
      <c r="J1008" s="17" t="inlineStr">
        <is>
          <t>08 CROSSWALK</t>
        </is>
      </c>
    </row>
    <row r="1009" ht="49" customHeight="1">
      <c r="A1009" s="12" t="inlineStr">
        <is>
          <t>R618-v1</t>
        </is>
      </c>
      <c r="B1009" s="12" t="inlineStr">
        <is>
          <t>Contractor Programme / SCH-04-078</t>
        </is>
      </c>
      <c r="C1009" s="12" t="inlineStr">
        <is>
          <t>WBS Code = 1.4.2</t>
        </is>
      </c>
      <c r="D1009" s="12" t="inlineStr">
        <is>
          <t>Proposed by Source assignment; target 1.4.2 Vehicles and Depot - Depot Buildings</t>
        </is>
      </c>
      <c r="E1009" s="12" t="inlineStr">
        <is>
          <t>None recorded</t>
        </is>
      </c>
      <c r="F1009" s="12" t="inlineStr">
        <is>
          <t>No individual professional decision recorded; Source assignment -- not individually reviewed</t>
        </is>
      </c>
      <c r="G1009" s="12" t="inlineStr">
        <is>
          <t>Not individually decided</t>
        </is>
      </c>
      <c r="H1009" s="12" t="inlineStr">
        <is>
          <t xml:space="preserve">APPROVED / ONE_TO_ONE; </t>
        </is>
      </c>
      <c r="I1009" s="12" t="inlineStr">
        <is>
          <t>New</t>
        </is>
      </c>
      <c r="J1009" s="17" t="inlineStr">
        <is>
          <t>08 CROSSWALK</t>
        </is>
      </c>
    </row>
    <row r="1010" ht="49" customHeight="1">
      <c r="A1010" s="12" t="inlineStr">
        <is>
          <t>R621-v1</t>
        </is>
      </c>
      <c r="B1010" s="12" t="inlineStr">
        <is>
          <t>Contractor Programme / SCH-04-081</t>
        </is>
      </c>
      <c r="C1010" s="12" t="inlineStr">
        <is>
          <t>WBS Code = 1.4.2</t>
        </is>
      </c>
      <c r="D1010" s="12" t="inlineStr">
        <is>
          <t>Proposed by Source assignment; target 1.4.2 Vehicles and Depot - Depot Buildings</t>
        </is>
      </c>
      <c r="E1010" s="12" t="inlineStr">
        <is>
          <t>None recorded</t>
        </is>
      </c>
      <c r="F1010" s="12" t="inlineStr">
        <is>
          <t>No individual professional decision recorded; Source assignment -- not individually reviewed</t>
        </is>
      </c>
      <c r="G1010" s="12" t="inlineStr">
        <is>
          <t>Not individually decided</t>
        </is>
      </c>
      <c r="H1010" s="12" t="inlineStr">
        <is>
          <t xml:space="preserve">APPROVED / ONE_TO_ONE; </t>
        </is>
      </c>
      <c r="I1010" s="12" t="inlineStr">
        <is>
          <t>New</t>
        </is>
      </c>
      <c r="J1010" s="17" t="inlineStr">
        <is>
          <t>08 CROSSWALK</t>
        </is>
      </c>
    </row>
    <row r="1011" ht="49" customHeight="1">
      <c r="A1011" s="12" t="inlineStr">
        <is>
          <t>R624-v1</t>
        </is>
      </c>
      <c r="B1011" s="12" t="inlineStr">
        <is>
          <t>Contractor Programme / SCH-04-084</t>
        </is>
      </c>
      <c r="C1011" s="12" t="inlineStr">
        <is>
          <t>WBS Code = 1.4.2</t>
        </is>
      </c>
      <c r="D1011" s="12" t="inlineStr">
        <is>
          <t>Proposed by Source assignment; target 1.4.2 Vehicles and Depot - Depot Buildings</t>
        </is>
      </c>
      <c r="E1011" s="12" t="inlineStr">
        <is>
          <t>None recorded</t>
        </is>
      </c>
      <c r="F1011" s="12" t="inlineStr">
        <is>
          <t>No individual professional decision recorded; Source assignment -- not individually reviewed</t>
        </is>
      </c>
      <c r="G1011" s="12" t="inlineStr">
        <is>
          <t>Not individually decided</t>
        </is>
      </c>
      <c r="H1011" s="12" t="inlineStr">
        <is>
          <t xml:space="preserve">APPROVED / ONE_TO_ONE; </t>
        </is>
      </c>
      <c r="I1011" s="12" t="inlineStr">
        <is>
          <t>New</t>
        </is>
      </c>
      <c r="J1011" s="17" t="inlineStr">
        <is>
          <t>08 CROSSWALK</t>
        </is>
      </c>
    </row>
    <row r="1012" ht="49" customHeight="1">
      <c r="A1012" s="12" t="inlineStr">
        <is>
          <t>R627-v1</t>
        </is>
      </c>
      <c r="B1012" s="12" t="inlineStr">
        <is>
          <t>Contractor Programme / SCH-04-087</t>
        </is>
      </c>
      <c r="C1012" s="12" t="inlineStr">
        <is>
          <t>WBS Code = 1.4.2</t>
        </is>
      </c>
      <c r="D1012" s="12" t="inlineStr">
        <is>
          <t>Proposed by Source assignment; target 1.4.2 Vehicles and Depot - Depot Buildings</t>
        </is>
      </c>
      <c r="E1012" s="12" t="inlineStr">
        <is>
          <t>None recorded</t>
        </is>
      </c>
      <c r="F1012" s="12" t="inlineStr">
        <is>
          <t>No individual professional decision recorded; Source assignment -- not individually reviewed</t>
        </is>
      </c>
      <c r="G1012" s="12" t="inlineStr">
        <is>
          <t>Not individually decided</t>
        </is>
      </c>
      <c r="H1012" s="12" t="inlineStr">
        <is>
          <t xml:space="preserve">APPROVED / ONE_TO_ONE; </t>
        </is>
      </c>
      <c r="I1012" s="12" t="inlineStr">
        <is>
          <t>New</t>
        </is>
      </c>
      <c r="J1012" s="17" t="inlineStr">
        <is>
          <t>08 CROSSWALK</t>
        </is>
      </c>
    </row>
    <row r="1013" ht="49" customHeight="1">
      <c r="A1013" s="12" t="inlineStr">
        <is>
          <t>R630-v1</t>
        </is>
      </c>
      <c r="B1013" s="12" t="inlineStr">
        <is>
          <t>Contractor Programme / SCH-04-090</t>
        </is>
      </c>
      <c r="C1013" s="12" t="inlineStr">
        <is>
          <t>WBS Code = 1.4.2</t>
        </is>
      </c>
      <c r="D1013" s="12" t="inlineStr">
        <is>
          <t>Proposed by Source assignment; target 1.4.2 Vehicles and Depot - Depot Buildings</t>
        </is>
      </c>
      <c r="E1013" s="12" t="inlineStr">
        <is>
          <t>None recorded</t>
        </is>
      </c>
      <c r="F1013" s="12" t="inlineStr">
        <is>
          <t>No individual professional decision recorded; Source assignment -- not individually reviewed</t>
        </is>
      </c>
      <c r="G1013" s="12" t="inlineStr">
        <is>
          <t>Not individually decided</t>
        </is>
      </c>
      <c r="H1013" s="12" t="inlineStr">
        <is>
          <t xml:space="preserve">APPROVED / ONE_TO_ONE; </t>
        </is>
      </c>
      <c r="I1013" s="12" t="inlineStr">
        <is>
          <t>New</t>
        </is>
      </c>
      <c r="J1013" s="17" t="inlineStr">
        <is>
          <t>08 CROSSWALK</t>
        </is>
      </c>
    </row>
    <row r="1014" ht="49" customHeight="1">
      <c r="A1014" s="12" t="inlineStr">
        <is>
          <t>R633-v1</t>
        </is>
      </c>
      <c r="B1014" s="12" t="inlineStr">
        <is>
          <t>Contractor Programme / SCH-04-093</t>
        </is>
      </c>
      <c r="C1014" s="12" t="inlineStr">
        <is>
          <t>WBS Code = 1.4.2</t>
        </is>
      </c>
      <c r="D1014" s="12" t="inlineStr">
        <is>
          <t>Proposed by Source assignment; target 1.4.2 Vehicles and Depot - Depot Buildings</t>
        </is>
      </c>
      <c r="E1014" s="12" t="inlineStr">
        <is>
          <t>None recorded</t>
        </is>
      </c>
      <c r="F1014" s="12" t="inlineStr">
        <is>
          <t>No individual professional decision recorded; Source assignment -- not individually reviewed</t>
        </is>
      </c>
      <c r="G1014" s="12" t="inlineStr">
        <is>
          <t>Not individually decided</t>
        </is>
      </c>
      <c r="H1014" s="12" t="inlineStr">
        <is>
          <t xml:space="preserve">APPROVED / ONE_TO_ONE; </t>
        </is>
      </c>
      <c r="I1014" s="12" t="inlineStr">
        <is>
          <t>New</t>
        </is>
      </c>
      <c r="J1014" s="17" t="inlineStr">
        <is>
          <t>08 CROSSWALK</t>
        </is>
      </c>
    </row>
    <row r="1015" ht="49" customHeight="1">
      <c r="A1015" s="12" t="inlineStr">
        <is>
          <t>R636-v1</t>
        </is>
      </c>
      <c r="B1015" s="12" t="inlineStr">
        <is>
          <t>Contractor Programme / SCH-04-096</t>
        </is>
      </c>
      <c r="C1015" s="12" t="inlineStr">
        <is>
          <t>WBS Code = 1.4.2</t>
        </is>
      </c>
      <c r="D1015" s="12" t="inlineStr">
        <is>
          <t>Proposed by Source assignment; target 1.4.2 Vehicles and Depot - Depot Buildings</t>
        </is>
      </c>
      <c r="E1015" s="12" t="inlineStr">
        <is>
          <t>None recorded</t>
        </is>
      </c>
      <c r="F1015" s="12" t="inlineStr">
        <is>
          <t>No individual professional decision recorded; Source assignment -- not individually reviewed</t>
        </is>
      </c>
      <c r="G1015" s="12" t="inlineStr">
        <is>
          <t>Not individually decided</t>
        </is>
      </c>
      <c r="H1015" s="12" t="inlineStr">
        <is>
          <t xml:space="preserve">APPROVED / ONE_TO_ONE; </t>
        </is>
      </c>
      <c r="I1015" s="12" t="inlineStr">
        <is>
          <t>New</t>
        </is>
      </c>
      <c r="J1015" s="17" t="inlineStr">
        <is>
          <t>08 CROSSWALK</t>
        </is>
      </c>
    </row>
    <row r="1016" ht="49" customHeight="1">
      <c r="A1016" s="12" t="inlineStr">
        <is>
          <t>R639-v1</t>
        </is>
      </c>
      <c r="B1016" s="12" t="inlineStr">
        <is>
          <t>Contractor Programme / SCH-04-099</t>
        </is>
      </c>
      <c r="C1016" s="12" t="inlineStr">
        <is>
          <t>WBS Code = 1.4.2</t>
        </is>
      </c>
      <c r="D1016" s="12" t="inlineStr">
        <is>
          <t>Proposed by Source assignment; target 1.4.2 Vehicles and Depot - Depot Buildings</t>
        </is>
      </c>
      <c r="E1016" s="12" t="inlineStr">
        <is>
          <t>None recorded</t>
        </is>
      </c>
      <c r="F1016" s="12" t="inlineStr">
        <is>
          <t>No individual professional decision recorded; Source assignment -- not individually reviewed</t>
        </is>
      </c>
      <c r="G1016" s="12" t="inlineStr">
        <is>
          <t>Not individually decided</t>
        </is>
      </c>
      <c r="H1016" s="12" t="inlineStr">
        <is>
          <t xml:space="preserve">APPROVED / ONE_TO_ONE; </t>
        </is>
      </c>
      <c r="I1016" s="12" t="inlineStr">
        <is>
          <t>New</t>
        </is>
      </c>
      <c r="J1016" s="17" t="inlineStr">
        <is>
          <t>08 CROSSWALK</t>
        </is>
      </c>
    </row>
    <row r="1017" ht="49" customHeight="1">
      <c r="A1017" s="12" t="inlineStr">
        <is>
          <t>R642-v1</t>
        </is>
      </c>
      <c r="B1017" s="12" t="inlineStr">
        <is>
          <t>Contractor Programme / SCH-04-102</t>
        </is>
      </c>
      <c r="C1017" s="12" t="inlineStr">
        <is>
          <t>WBS Code = 1.4.2</t>
        </is>
      </c>
      <c r="D1017" s="12" t="inlineStr">
        <is>
          <t>Proposed by Source assignment; target 1.4.2 Vehicles and Depot - Depot Buildings</t>
        </is>
      </c>
      <c r="E1017" s="12" t="inlineStr">
        <is>
          <t>None recorded</t>
        </is>
      </c>
      <c r="F1017" s="12" t="inlineStr">
        <is>
          <t>No individual professional decision recorded; Source assignment -- not individually reviewed</t>
        </is>
      </c>
      <c r="G1017" s="12" t="inlineStr">
        <is>
          <t>Not individually decided</t>
        </is>
      </c>
      <c r="H1017" s="12" t="inlineStr">
        <is>
          <t xml:space="preserve">APPROVED / ONE_TO_ONE; </t>
        </is>
      </c>
      <c r="I1017" s="12" t="inlineStr">
        <is>
          <t>New</t>
        </is>
      </c>
      <c r="J1017" s="17" t="inlineStr">
        <is>
          <t>08 CROSSWALK</t>
        </is>
      </c>
    </row>
    <row r="1018" ht="49" customHeight="1">
      <c r="A1018" s="12" t="inlineStr">
        <is>
          <t>R645-v1</t>
        </is>
      </c>
      <c r="B1018" s="12" t="inlineStr">
        <is>
          <t>Contractor Programme / SCH-04-105</t>
        </is>
      </c>
      <c r="C1018" s="12" t="inlineStr">
        <is>
          <t>WBS Code = 1.4.2</t>
        </is>
      </c>
      <c r="D1018" s="12" t="inlineStr">
        <is>
          <t>Proposed by Source assignment; target 1.4.2 Vehicles and Depot - Depot Buildings</t>
        </is>
      </c>
      <c r="E1018" s="12" t="inlineStr">
        <is>
          <t>None recorded</t>
        </is>
      </c>
      <c r="F1018" s="12" t="inlineStr">
        <is>
          <t>No individual professional decision recorded; Source assignment -- not individually reviewed</t>
        </is>
      </c>
      <c r="G1018" s="12" t="inlineStr">
        <is>
          <t>Not individually decided</t>
        </is>
      </c>
      <c r="H1018" s="12" t="inlineStr">
        <is>
          <t xml:space="preserve">APPROVED / ONE_TO_ONE; </t>
        </is>
      </c>
      <c r="I1018" s="12" t="inlineStr">
        <is>
          <t>New</t>
        </is>
      </c>
      <c r="J1018" s="17" t="inlineStr">
        <is>
          <t>08 CROSSWALK</t>
        </is>
      </c>
    </row>
    <row r="1019" ht="49" customHeight="1">
      <c r="A1019" s="12" t="inlineStr">
        <is>
          <t>R648-v1</t>
        </is>
      </c>
      <c r="B1019" s="12" t="inlineStr">
        <is>
          <t>Contractor Programme / SCH-04-108</t>
        </is>
      </c>
      <c r="C1019" s="12" t="inlineStr">
        <is>
          <t>WBS Code = 1.4.2</t>
        </is>
      </c>
      <c r="D1019" s="12" t="inlineStr">
        <is>
          <t>Proposed by Source assignment; target 1.4.2 Vehicles and Depot - Depot Buildings</t>
        </is>
      </c>
      <c r="E1019" s="12" t="inlineStr">
        <is>
          <t>None recorded</t>
        </is>
      </c>
      <c r="F1019" s="12" t="inlineStr">
        <is>
          <t>No individual professional decision recorded; Source assignment -- not individually reviewed</t>
        </is>
      </c>
      <c r="G1019" s="12" t="inlineStr">
        <is>
          <t>Not individually decided</t>
        </is>
      </c>
      <c r="H1019" s="12" t="inlineStr">
        <is>
          <t xml:space="preserve">APPROVED / ONE_TO_ONE; </t>
        </is>
      </c>
      <c r="I1019" s="12" t="inlineStr">
        <is>
          <t>New</t>
        </is>
      </c>
      <c r="J1019" s="17" t="inlineStr">
        <is>
          <t>08 CROSSWALK</t>
        </is>
      </c>
    </row>
    <row r="1020" ht="49" customHeight="1">
      <c r="A1020" s="12" t="inlineStr">
        <is>
          <t>R651-v1</t>
        </is>
      </c>
      <c r="B1020" s="12" t="inlineStr">
        <is>
          <t>Contractor Programme / SCH-04-111</t>
        </is>
      </c>
      <c r="C1020" s="12" t="inlineStr">
        <is>
          <t>WBS Code = 1.4.2</t>
        </is>
      </c>
      <c r="D1020" s="12" t="inlineStr">
        <is>
          <t>Proposed by Source assignment; target 1.4.2 Vehicles and Depot - Depot Buildings</t>
        </is>
      </c>
      <c r="E1020" s="12" t="inlineStr">
        <is>
          <t>None recorded</t>
        </is>
      </c>
      <c r="F1020" s="12" t="inlineStr">
        <is>
          <t>No individual professional decision recorded; Source assignment -- not individually reviewed</t>
        </is>
      </c>
      <c r="G1020" s="12" t="inlineStr">
        <is>
          <t>Not individually decided</t>
        </is>
      </c>
      <c r="H1020" s="12" t="inlineStr">
        <is>
          <t xml:space="preserve">APPROVED / ONE_TO_ONE; </t>
        </is>
      </c>
      <c r="I1020" s="12" t="inlineStr">
        <is>
          <t>New</t>
        </is>
      </c>
      <c r="J1020" s="17" t="inlineStr">
        <is>
          <t>08 CROSSWALK</t>
        </is>
      </c>
    </row>
    <row r="1021" ht="49" customHeight="1">
      <c r="A1021" s="12" t="inlineStr">
        <is>
          <t>R654-v1</t>
        </is>
      </c>
      <c r="B1021" s="12" t="inlineStr">
        <is>
          <t>Contractor Programme / SCH-04-114</t>
        </is>
      </c>
      <c r="C1021" s="12" t="inlineStr">
        <is>
          <t>WBS Code = 1.4.2</t>
        </is>
      </c>
      <c r="D1021" s="12" t="inlineStr">
        <is>
          <t>Proposed by Source assignment; target 1.4.2 Vehicles and Depot - Depot Buildings</t>
        </is>
      </c>
      <c r="E1021" s="12" t="inlineStr">
        <is>
          <t>None recorded</t>
        </is>
      </c>
      <c r="F1021" s="12" t="inlineStr">
        <is>
          <t>No individual professional decision recorded; Source assignment -- not individually reviewed</t>
        </is>
      </c>
      <c r="G1021" s="12" t="inlineStr">
        <is>
          <t>Not individually decided</t>
        </is>
      </c>
      <c r="H1021" s="12" t="inlineStr">
        <is>
          <t xml:space="preserve">APPROVED / ONE_TO_ONE; </t>
        </is>
      </c>
      <c r="I1021" s="12" t="inlineStr">
        <is>
          <t>New</t>
        </is>
      </c>
      <c r="J1021" s="17" t="inlineStr">
        <is>
          <t>08 CROSSWALK</t>
        </is>
      </c>
    </row>
    <row r="1022" ht="49" customHeight="1">
      <c r="A1022" s="12" t="inlineStr">
        <is>
          <t>R657-v1</t>
        </is>
      </c>
      <c r="B1022" s="12" t="inlineStr">
        <is>
          <t>Contractor Programme / SCH-04-117</t>
        </is>
      </c>
      <c r="C1022" s="12" t="inlineStr">
        <is>
          <t>WBS Code = 1.4.2</t>
        </is>
      </c>
      <c r="D1022" s="12" t="inlineStr">
        <is>
          <t>Proposed by Source assignment; target 1.4.2 Vehicles and Depot - Depot Buildings</t>
        </is>
      </c>
      <c r="E1022" s="12" t="inlineStr">
        <is>
          <t>None recorded</t>
        </is>
      </c>
      <c r="F1022" s="12" t="inlineStr">
        <is>
          <t>No individual professional decision recorded; Source assignment -- not individually reviewed</t>
        </is>
      </c>
      <c r="G1022" s="12" t="inlineStr">
        <is>
          <t>Not individually decided</t>
        </is>
      </c>
      <c r="H1022" s="12" t="inlineStr">
        <is>
          <t xml:space="preserve">APPROVED / ONE_TO_ONE; </t>
        </is>
      </c>
      <c r="I1022" s="12" t="inlineStr">
        <is>
          <t>New</t>
        </is>
      </c>
      <c r="J1022" s="17" t="inlineStr">
        <is>
          <t>08 CROSSWALK</t>
        </is>
      </c>
    </row>
    <row r="1023" ht="49" customHeight="1">
      <c r="A1023" s="12" t="inlineStr">
        <is>
          <t>R660-v1</t>
        </is>
      </c>
      <c r="B1023" s="12" t="inlineStr">
        <is>
          <t>Contractor Programme / SCH-04-120</t>
        </is>
      </c>
      <c r="C1023" s="12" t="inlineStr">
        <is>
          <t>WBS Code = 1.4.2</t>
        </is>
      </c>
      <c r="D1023" s="12" t="inlineStr">
        <is>
          <t>Proposed by Source assignment; target 1.4.2 Vehicles and Depot - Depot Buildings</t>
        </is>
      </c>
      <c r="E1023" s="12" t="inlineStr">
        <is>
          <t>None recorded</t>
        </is>
      </c>
      <c r="F1023" s="12" t="inlineStr">
        <is>
          <t>No individual professional decision recorded; Source assignment -- not individually reviewed</t>
        </is>
      </c>
      <c r="G1023" s="12" t="inlineStr">
        <is>
          <t>Not individually decided</t>
        </is>
      </c>
      <c r="H1023" s="12" t="inlineStr">
        <is>
          <t xml:space="preserve">APPROVED / ONE_TO_ONE; </t>
        </is>
      </c>
      <c r="I1023" s="12" t="inlineStr">
        <is>
          <t>New</t>
        </is>
      </c>
      <c r="J1023" s="17" t="inlineStr">
        <is>
          <t>08 CROSSWALK</t>
        </is>
      </c>
    </row>
    <row r="1024" ht="49" customHeight="1">
      <c r="A1024" s="12" t="inlineStr">
        <is>
          <t>R663-v1</t>
        </is>
      </c>
      <c r="B1024" s="12" t="inlineStr">
        <is>
          <t>Contractor Programme / SCH-04-123</t>
        </is>
      </c>
      <c r="C1024" s="12" t="inlineStr">
        <is>
          <t>WBS Code = 1.4.2</t>
        </is>
      </c>
      <c r="D1024" s="12" t="inlineStr">
        <is>
          <t>Proposed by Source assignment; target 1.4.2 Vehicles and Depot - Depot Buildings</t>
        </is>
      </c>
      <c r="E1024" s="12" t="inlineStr">
        <is>
          <t>None recorded</t>
        </is>
      </c>
      <c r="F1024" s="12" t="inlineStr">
        <is>
          <t>No individual professional decision recorded; Source assignment -- not individually reviewed</t>
        </is>
      </c>
      <c r="G1024" s="12" t="inlineStr">
        <is>
          <t>Not individually decided</t>
        </is>
      </c>
      <c r="H1024" s="12" t="inlineStr">
        <is>
          <t xml:space="preserve">APPROVED / ONE_TO_ONE; </t>
        </is>
      </c>
      <c r="I1024" s="12" t="inlineStr">
        <is>
          <t>New</t>
        </is>
      </c>
      <c r="J1024" s="17" t="inlineStr">
        <is>
          <t>08 CROSSWALK</t>
        </is>
      </c>
    </row>
    <row r="1025" ht="49" customHeight="1">
      <c r="A1025" s="12" t="inlineStr">
        <is>
          <t>R666-v1</t>
        </is>
      </c>
      <c r="B1025" s="12" t="inlineStr">
        <is>
          <t>Contractor Programme / SCH-04-126</t>
        </is>
      </c>
      <c r="C1025" s="12" t="inlineStr">
        <is>
          <t>WBS Code = 1.4.2</t>
        </is>
      </c>
      <c r="D1025" s="12" t="inlineStr">
        <is>
          <t>Proposed by Source assignment; target 1.4.2 Vehicles and Depot - Depot Buildings</t>
        </is>
      </c>
      <c r="E1025" s="12" t="inlineStr">
        <is>
          <t>None recorded</t>
        </is>
      </c>
      <c r="F1025" s="12" t="inlineStr">
        <is>
          <t>No individual professional decision recorded; Source assignment -- not individually reviewed</t>
        </is>
      </c>
      <c r="G1025" s="12" t="inlineStr">
        <is>
          <t>Not individually decided</t>
        </is>
      </c>
      <c r="H1025" s="12" t="inlineStr">
        <is>
          <t xml:space="preserve">APPROVED / ONE_TO_ONE; </t>
        </is>
      </c>
      <c r="I1025" s="12" t="inlineStr">
        <is>
          <t>New</t>
        </is>
      </c>
      <c r="J1025" s="17" t="inlineStr">
        <is>
          <t>08 CROSSWALK</t>
        </is>
      </c>
    </row>
    <row r="1026" ht="49" customHeight="1">
      <c r="A1026" s="12" t="inlineStr">
        <is>
          <t>R669-v1</t>
        </is>
      </c>
      <c r="B1026" s="12" t="inlineStr">
        <is>
          <t>Contractor Programme / SCH-04-129</t>
        </is>
      </c>
      <c r="C1026" s="12" t="inlineStr">
        <is>
          <t>WBS Code = 1.4.2</t>
        </is>
      </c>
      <c r="D1026" s="12" t="inlineStr">
        <is>
          <t>Proposed by Source assignment; target 1.4.2 Vehicles and Depot - Depot Buildings</t>
        </is>
      </c>
      <c r="E1026" s="12" t="inlineStr">
        <is>
          <t>None recorded</t>
        </is>
      </c>
      <c r="F1026" s="12" t="inlineStr">
        <is>
          <t>No individual professional decision recorded; Source assignment -- not individually reviewed</t>
        </is>
      </c>
      <c r="G1026" s="12" t="inlineStr">
        <is>
          <t>Not individually decided</t>
        </is>
      </c>
      <c r="H1026" s="12" t="inlineStr">
        <is>
          <t xml:space="preserve">APPROVED / ONE_TO_ONE; </t>
        </is>
      </c>
      <c r="I1026" s="12" t="inlineStr">
        <is>
          <t>New</t>
        </is>
      </c>
      <c r="J1026" s="17" t="inlineStr">
        <is>
          <t>08 CROSSWALK</t>
        </is>
      </c>
    </row>
    <row r="1027" ht="49" customHeight="1">
      <c r="A1027" s="12" t="inlineStr">
        <is>
          <t>R672-v1</t>
        </is>
      </c>
      <c r="B1027" s="12" t="inlineStr">
        <is>
          <t>Contractor Programme / SCH-04-132</t>
        </is>
      </c>
      <c r="C1027" s="12" t="inlineStr">
        <is>
          <t>WBS Code = 1.4.2</t>
        </is>
      </c>
      <c r="D1027" s="12" t="inlineStr">
        <is>
          <t>Proposed by Source assignment; target 1.4.2 Vehicles and Depot - Depot Buildings</t>
        </is>
      </c>
      <c r="E1027" s="12" t="inlineStr">
        <is>
          <t>None recorded</t>
        </is>
      </c>
      <c r="F1027" s="12" t="inlineStr">
        <is>
          <t>No individual professional decision recorded; Source assignment -- not individually reviewed</t>
        </is>
      </c>
      <c r="G1027" s="12" t="inlineStr">
        <is>
          <t>Not individually decided</t>
        </is>
      </c>
      <c r="H1027" s="12" t="inlineStr">
        <is>
          <t xml:space="preserve">APPROVED / ONE_TO_ONE; </t>
        </is>
      </c>
      <c r="I1027" s="12" t="inlineStr">
        <is>
          <t>New</t>
        </is>
      </c>
      <c r="J1027" s="17" t="inlineStr">
        <is>
          <t>08 CROSSWALK</t>
        </is>
      </c>
    </row>
    <row r="1028" ht="49" customHeight="1">
      <c r="A1028" s="12" t="inlineStr">
        <is>
          <t>R675-v1</t>
        </is>
      </c>
      <c r="B1028" s="12" t="inlineStr">
        <is>
          <t>Contractor Programme / SCH-04-135</t>
        </is>
      </c>
      <c r="C1028" s="12" t="inlineStr">
        <is>
          <t>WBS Code = 1.4.2</t>
        </is>
      </c>
      <c r="D1028" s="12" t="inlineStr">
        <is>
          <t>Proposed by Source assignment; target 1.4.2 Vehicles and Depot - Depot Buildings</t>
        </is>
      </c>
      <c r="E1028" s="12" t="inlineStr">
        <is>
          <t>None recorded</t>
        </is>
      </c>
      <c r="F1028" s="12" t="inlineStr">
        <is>
          <t>No individual professional decision recorded; Source assignment -- not individually reviewed</t>
        </is>
      </c>
      <c r="G1028" s="12" t="inlineStr">
        <is>
          <t>Not individually decided</t>
        </is>
      </c>
      <c r="H1028" s="12" t="inlineStr">
        <is>
          <t xml:space="preserve">APPROVED / ONE_TO_ONE; </t>
        </is>
      </c>
      <c r="I1028" s="12" t="inlineStr">
        <is>
          <t>New</t>
        </is>
      </c>
      <c r="J1028" s="17" t="inlineStr">
        <is>
          <t>08 CROSSWALK</t>
        </is>
      </c>
    </row>
    <row r="1029" ht="49" customHeight="1">
      <c r="A1029" s="12" t="inlineStr">
        <is>
          <t>R678-v1</t>
        </is>
      </c>
      <c r="B1029" s="12" t="inlineStr">
        <is>
          <t>Contractor Programme / SCH-04-138</t>
        </is>
      </c>
      <c r="C1029" s="12" t="inlineStr">
        <is>
          <t>WBS Code = 1.4.2</t>
        </is>
      </c>
      <c r="D1029" s="12" t="inlineStr">
        <is>
          <t>Proposed by Source assignment; target 1.4.2 Vehicles and Depot - Depot Buildings</t>
        </is>
      </c>
      <c r="E1029" s="12" t="inlineStr">
        <is>
          <t>None recorded</t>
        </is>
      </c>
      <c r="F1029" s="12" t="inlineStr">
        <is>
          <t>No individual professional decision recorded; Source assignment -- not individually reviewed</t>
        </is>
      </c>
      <c r="G1029" s="12" t="inlineStr">
        <is>
          <t>Not individually decided</t>
        </is>
      </c>
      <c r="H1029" s="12" t="inlineStr">
        <is>
          <t xml:space="preserve">APPROVED / ONE_TO_ONE; </t>
        </is>
      </c>
      <c r="I1029" s="12" t="inlineStr">
        <is>
          <t>New</t>
        </is>
      </c>
      <c r="J1029" s="17" t="inlineStr">
        <is>
          <t>08 CROSSWALK</t>
        </is>
      </c>
    </row>
    <row r="1030" ht="49" customHeight="1">
      <c r="A1030" s="12" t="inlineStr">
        <is>
          <t>R681-v1</t>
        </is>
      </c>
      <c r="B1030" s="12" t="inlineStr">
        <is>
          <t>Contractor Programme / SCH-04-141</t>
        </is>
      </c>
      <c r="C1030" s="12" t="inlineStr">
        <is>
          <t>WBS Code = 1.4.2</t>
        </is>
      </c>
      <c r="D1030" s="12" t="inlineStr">
        <is>
          <t>Proposed by Source assignment; target 1.4.2 Vehicles and Depot - Depot Buildings</t>
        </is>
      </c>
      <c r="E1030" s="12" t="inlineStr">
        <is>
          <t>None recorded</t>
        </is>
      </c>
      <c r="F1030" s="12" t="inlineStr">
        <is>
          <t>No individual professional decision recorded; Source assignment -- not individually reviewed</t>
        </is>
      </c>
      <c r="G1030" s="12" t="inlineStr">
        <is>
          <t>Not individually decided</t>
        </is>
      </c>
      <c r="H1030" s="12" t="inlineStr">
        <is>
          <t xml:space="preserve">APPROVED / ONE_TO_ONE; </t>
        </is>
      </c>
      <c r="I1030" s="12" t="inlineStr">
        <is>
          <t>New</t>
        </is>
      </c>
      <c r="J1030" s="17" t="inlineStr">
        <is>
          <t>08 CROSSWALK</t>
        </is>
      </c>
    </row>
    <row r="1031" ht="49" customHeight="1">
      <c r="A1031" s="12" t="inlineStr">
        <is>
          <t>R684-v1</t>
        </is>
      </c>
      <c r="B1031" s="12" t="inlineStr">
        <is>
          <t>Contractor Programme / SCH-04-144</t>
        </is>
      </c>
      <c r="C1031" s="12" t="inlineStr">
        <is>
          <t>WBS Code = 1.4.2</t>
        </is>
      </c>
      <c r="D1031" s="12" t="inlineStr">
        <is>
          <t>Proposed by Source assignment; target 1.4.2 Vehicles and Depot - Depot Buildings</t>
        </is>
      </c>
      <c r="E1031" s="12" t="inlineStr">
        <is>
          <t>None recorded</t>
        </is>
      </c>
      <c r="F1031" s="12" t="inlineStr">
        <is>
          <t>No individual professional decision recorded; Source assignment -- not individually reviewed</t>
        </is>
      </c>
      <c r="G1031" s="12" t="inlineStr">
        <is>
          <t>Not individually decided</t>
        </is>
      </c>
      <c r="H1031" s="12" t="inlineStr">
        <is>
          <t xml:space="preserve">APPROVED / ONE_TO_ONE; </t>
        </is>
      </c>
      <c r="I1031" s="12" t="inlineStr">
        <is>
          <t>New</t>
        </is>
      </c>
      <c r="J1031" s="17" t="inlineStr">
        <is>
          <t>08 CROSSWALK</t>
        </is>
      </c>
    </row>
    <row r="1032" ht="49" customHeight="1">
      <c r="A1032" s="12" t="inlineStr">
        <is>
          <t>R687-v1</t>
        </is>
      </c>
      <c r="B1032" s="12" t="inlineStr">
        <is>
          <t>Contractor Programme / SCH-04-147</t>
        </is>
      </c>
      <c r="C1032" s="12" t="inlineStr">
        <is>
          <t>WBS Code = 1.4.2</t>
        </is>
      </c>
      <c r="D1032" s="12" t="inlineStr">
        <is>
          <t>Proposed by Source assignment; target 1.4.2 Vehicles and Depot - Depot Buildings</t>
        </is>
      </c>
      <c r="E1032" s="12" t="inlineStr">
        <is>
          <t>None recorded</t>
        </is>
      </c>
      <c r="F1032" s="12" t="inlineStr">
        <is>
          <t>No individual professional decision recorded; Source assignment -- not individually reviewed</t>
        </is>
      </c>
      <c r="G1032" s="12" t="inlineStr">
        <is>
          <t>Not individually decided</t>
        </is>
      </c>
      <c r="H1032" s="12" t="inlineStr">
        <is>
          <t xml:space="preserve">APPROVED / ONE_TO_ONE; </t>
        </is>
      </c>
      <c r="I1032" s="12" t="inlineStr">
        <is>
          <t>New</t>
        </is>
      </c>
      <c r="J1032" s="17" t="inlineStr">
        <is>
          <t>08 CROSSWALK</t>
        </is>
      </c>
    </row>
    <row r="1033" ht="49" customHeight="1">
      <c r="A1033" s="12" t="inlineStr">
        <is>
          <t>R690-v1</t>
        </is>
      </c>
      <c r="B1033" s="12" t="inlineStr">
        <is>
          <t>Contractor Programme / SCH-04-150</t>
        </is>
      </c>
      <c r="C1033" s="12" t="inlineStr">
        <is>
          <t>WBS Code = 1.4.2</t>
        </is>
      </c>
      <c r="D1033" s="12" t="inlineStr">
        <is>
          <t>Proposed by Source assignment; target 1.4.2 Vehicles and Depot - Depot Buildings</t>
        </is>
      </c>
      <c r="E1033" s="12" t="inlineStr">
        <is>
          <t>None recorded</t>
        </is>
      </c>
      <c r="F1033" s="12" t="inlineStr">
        <is>
          <t>No individual professional decision recorded; Source assignment -- not individually reviewed</t>
        </is>
      </c>
      <c r="G1033" s="12" t="inlineStr">
        <is>
          <t>Not individually decided</t>
        </is>
      </c>
      <c r="H1033" s="12" t="inlineStr">
        <is>
          <t xml:space="preserve">APPROVED / ONE_TO_ONE; </t>
        </is>
      </c>
      <c r="I1033" s="12" t="inlineStr">
        <is>
          <t>New</t>
        </is>
      </c>
      <c r="J1033" s="17" t="inlineStr">
        <is>
          <t>08 CROSSWALK</t>
        </is>
      </c>
    </row>
    <row r="1034" ht="49" customHeight="1">
      <c r="A1034" s="12" t="inlineStr">
        <is>
          <t>R693-v1</t>
        </is>
      </c>
      <c r="B1034" s="12" t="inlineStr">
        <is>
          <t>Contractor Programme / SCH-04-153</t>
        </is>
      </c>
      <c r="C1034" s="12" t="inlineStr">
        <is>
          <t>WBS Code = 1.4.2</t>
        </is>
      </c>
      <c r="D1034" s="12" t="inlineStr">
        <is>
          <t>Proposed by Source assignment; target 1.4.2 Vehicles and Depot - Depot Buildings</t>
        </is>
      </c>
      <c r="E1034" s="12" t="inlineStr">
        <is>
          <t>None recorded</t>
        </is>
      </c>
      <c r="F1034" s="12" t="inlineStr">
        <is>
          <t>No individual professional decision recorded; Source assignment -- not individually reviewed</t>
        </is>
      </c>
      <c r="G1034" s="12" t="inlineStr">
        <is>
          <t>Not individually decided</t>
        </is>
      </c>
      <c r="H1034" s="12" t="inlineStr">
        <is>
          <t xml:space="preserve">APPROVED / ONE_TO_ONE; </t>
        </is>
      </c>
      <c r="I1034" s="12" t="inlineStr">
        <is>
          <t>New</t>
        </is>
      </c>
      <c r="J1034" s="17" t="inlineStr">
        <is>
          <t>08 CROSSWALK</t>
        </is>
      </c>
    </row>
    <row r="1035" ht="49" customHeight="1">
      <c r="A1035" s="12" t="inlineStr">
        <is>
          <t>R696-v1</t>
        </is>
      </c>
      <c r="B1035" s="12" t="inlineStr">
        <is>
          <t>Contractor Programme / SCH-04-156</t>
        </is>
      </c>
      <c r="C1035" s="12" t="inlineStr">
        <is>
          <t>WBS Code = 1.4.2</t>
        </is>
      </c>
      <c r="D1035" s="12" t="inlineStr">
        <is>
          <t>Proposed by Source assignment; target 1.4.2 Vehicles and Depot - Depot Buildings</t>
        </is>
      </c>
      <c r="E1035" s="12" t="inlineStr">
        <is>
          <t>None recorded</t>
        </is>
      </c>
      <c r="F1035" s="12" t="inlineStr">
        <is>
          <t>No individual professional decision recorded; Source assignment -- not individually reviewed</t>
        </is>
      </c>
      <c r="G1035" s="12" t="inlineStr">
        <is>
          <t>Not individually decided</t>
        </is>
      </c>
      <c r="H1035" s="12" t="inlineStr">
        <is>
          <t xml:space="preserve">APPROVED / ONE_TO_ONE; </t>
        </is>
      </c>
      <c r="I1035" s="12" t="inlineStr">
        <is>
          <t>New</t>
        </is>
      </c>
      <c r="J1035" s="17" t="inlineStr">
        <is>
          <t>08 CROSSWALK</t>
        </is>
      </c>
    </row>
    <row r="1036" ht="49" customHeight="1">
      <c r="A1036" s="12" t="inlineStr">
        <is>
          <t>R699-v1</t>
        </is>
      </c>
      <c r="B1036" s="12" t="inlineStr">
        <is>
          <t>Contractor Programme / SCH-04-159</t>
        </is>
      </c>
      <c r="C1036" s="12" t="inlineStr">
        <is>
          <t>WBS Code = 1.4.2</t>
        </is>
      </c>
      <c r="D1036" s="12" t="inlineStr">
        <is>
          <t>Proposed by Source assignment; target 1.4.2 Vehicles and Depot - Depot Buildings</t>
        </is>
      </c>
      <c r="E1036" s="12" t="inlineStr">
        <is>
          <t>None recorded</t>
        </is>
      </c>
      <c r="F1036" s="12" t="inlineStr">
        <is>
          <t>No individual professional decision recorded; Source assignment -- not individually reviewed</t>
        </is>
      </c>
      <c r="G1036" s="12" t="inlineStr">
        <is>
          <t>Not individually decided</t>
        </is>
      </c>
      <c r="H1036" s="12" t="inlineStr">
        <is>
          <t xml:space="preserve">APPROVED / ONE_TO_ONE; </t>
        </is>
      </c>
      <c r="I1036" s="12" t="inlineStr">
        <is>
          <t>New</t>
        </is>
      </c>
      <c r="J1036" s="17" t="inlineStr">
        <is>
          <t>08 CROSSWALK</t>
        </is>
      </c>
    </row>
    <row r="1037" ht="49" customHeight="1">
      <c r="A1037" s="12" t="inlineStr">
        <is>
          <t>R702-v1</t>
        </is>
      </c>
      <c r="B1037" s="12" t="inlineStr">
        <is>
          <t>Contractor Programme / SCH-04-162</t>
        </is>
      </c>
      <c r="C1037" s="12" t="inlineStr">
        <is>
          <t>WBS Code = 1.4.2</t>
        </is>
      </c>
      <c r="D1037" s="12" t="inlineStr">
        <is>
          <t>Proposed by Source assignment; target 1.4.2 Vehicles and Depot - Depot Buildings</t>
        </is>
      </c>
      <c r="E1037" s="12" t="inlineStr">
        <is>
          <t>None recorded</t>
        </is>
      </c>
      <c r="F1037" s="12" t="inlineStr">
        <is>
          <t>No individual professional decision recorded; Source assignment -- not individually reviewed</t>
        </is>
      </c>
      <c r="G1037" s="12" t="inlineStr">
        <is>
          <t>Not individually decided</t>
        </is>
      </c>
      <c r="H1037" s="12" t="inlineStr">
        <is>
          <t xml:space="preserve">APPROVED / ONE_TO_ONE; </t>
        </is>
      </c>
      <c r="I1037" s="12" t="inlineStr">
        <is>
          <t>New</t>
        </is>
      </c>
      <c r="J1037" s="17" t="inlineStr">
        <is>
          <t>08 CROSSWALK</t>
        </is>
      </c>
    </row>
    <row r="1038" ht="49" customHeight="1">
      <c r="A1038" s="12" t="inlineStr">
        <is>
          <t>R705-v1</t>
        </is>
      </c>
      <c r="B1038" s="12" t="inlineStr">
        <is>
          <t>Contractor Programme / SCH-04-165</t>
        </is>
      </c>
      <c r="C1038" s="12" t="inlineStr">
        <is>
          <t>WBS Code = 1.4.2</t>
        </is>
      </c>
      <c r="D1038" s="12" t="inlineStr">
        <is>
          <t>Proposed by Source assignment; target 1.4.2 Vehicles and Depot - Depot Buildings</t>
        </is>
      </c>
      <c r="E1038" s="12" t="inlineStr">
        <is>
          <t>None recorded</t>
        </is>
      </c>
      <c r="F1038" s="12" t="inlineStr">
        <is>
          <t>No individual professional decision recorded; Source assignment -- not individually reviewed</t>
        </is>
      </c>
      <c r="G1038" s="12" t="inlineStr">
        <is>
          <t>Not individually decided</t>
        </is>
      </c>
      <c r="H1038" s="12" t="inlineStr">
        <is>
          <t xml:space="preserve">APPROVED / ONE_TO_ONE; </t>
        </is>
      </c>
      <c r="I1038" s="12" t="inlineStr">
        <is>
          <t>New</t>
        </is>
      </c>
      <c r="J1038" s="17" t="inlineStr">
        <is>
          <t>08 CROSSWALK</t>
        </is>
      </c>
    </row>
    <row r="1039" ht="49" customHeight="1">
      <c r="A1039" s="12" t="inlineStr">
        <is>
          <t>R708-v1</t>
        </is>
      </c>
      <c r="B1039" s="12" t="inlineStr">
        <is>
          <t>Contractor Programme / SCH-04-168</t>
        </is>
      </c>
      <c r="C1039" s="12" t="inlineStr">
        <is>
          <t>WBS Code = 1.4.2</t>
        </is>
      </c>
      <c r="D1039" s="12" t="inlineStr">
        <is>
          <t>Proposed by Source assignment; target 1.4.2 Vehicles and Depot - Depot Buildings</t>
        </is>
      </c>
      <c r="E1039" s="12" t="inlineStr">
        <is>
          <t>None recorded</t>
        </is>
      </c>
      <c r="F1039" s="12" t="inlineStr">
        <is>
          <t>No individual professional decision recorded; Source assignment -- not individually reviewed</t>
        </is>
      </c>
      <c r="G1039" s="12" t="inlineStr">
        <is>
          <t>Not individually decided</t>
        </is>
      </c>
      <c r="H1039" s="12" t="inlineStr">
        <is>
          <t xml:space="preserve">APPROVED / ONE_TO_ONE; </t>
        </is>
      </c>
      <c r="I1039" s="12" t="inlineStr">
        <is>
          <t>New</t>
        </is>
      </c>
      <c r="J1039" s="17" t="inlineStr">
        <is>
          <t>08 CROSSWALK</t>
        </is>
      </c>
    </row>
    <row r="1040" ht="49" customHeight="1">
      <c r="A1040" s="12" t="inlineStr">
        <is>
          <t>R711-v1</t>
        </is>
      </c>
      <c r="B1040" s="12" t="inlineStr">
        <is>
          <t>Contractor Programme / SCH-04-171</t>
        </is>
      </c>
      <c r="C1040" s="12" t="inlineStr">
        <is>
          <t>WBS Code = 1.4.2</t>
        </is>
      </c>
      <c r="D1040" s="12" t="inlineStr">
        <is>
          <t>Proposed by Source assignment; target 1.4.2 Vehicles and Depot - Depot Buildings</t>
        </is>
      </c>
      <c r="E1040" s="12" t="inlineStr">
        <is>
          <t>None recorded</t>
        </is>
      </c>
      <c r="F1040" s="12" t="inlineStr">
        <is>
          <t>No individual professional decision recorded; Source assignment -- not individually reviewed</t>
        </is>
      </c>
      <c r="G1040" s="12" t="inlineStr">
        <is>
          <t>Not individually decided</t>
        </is>
      </c>
      <c r="H1040" s="12" t="inlineStr">
        <is>
          <t xml:space="preserve">APPROVED / ONE_TO_ONE; </t>
        </is>
      </c>
      <c r="I1040" s="12" t="inlineStr">
        <is>
          <t>New</t>
        </is>
      </c>
      <c r="J1040" s="17" t="inlineStr">
        <is>
          <t>08 CROSSWALK</t>
        </is>
      </c>
    </row>
    <row r="1041" ht="49" customHeight="1">
      <c r="A1041" s="12" t="inlineStr">
        <is>
          <t>R714-v1</t>
        </is>
      </c>
      <c r="B1041" s="12" t="inlineStr">
        <is>
          <t>Contractor Programme / SCH-04-174</t>
        </is>
      </c>
      <c r="C1041" s="12" t="inlineStr">
        <is>
          <t>WBS Code = 1.4.2</t>
        </is>
      </c>
      <c r="D1041" s="12" t="inlineStr">
        <is>
          <t>Proposed by Source assignment; target 1.4.2 Vehicles and Depot - Depot Buildings</t>
        </is>
      </c>
      <c r="E1041" s="12" t="inlineStr">
        <is>
          <t>None recorded</t>
        </is>
      </c>
      <c r="F1041" s="12" t="inlineStr">
        <is>
          <t>No individual professional decision recorded; Source assignment -- not individually reviewed</t>
        </is>
      </c>
      <c r="G1041" s="12" t="inlineStr">
        <is>
          <t>Not individually decided</t>
        </is>
      </c>
      <c r="H1041" s="12" t="inlineStr">
        <is>
          <t xml:space="preserve">APPROVED / ONE_TO_ONE; </t>
        </is>
      </c>
      <c r="I1041" s="12" t="inlineStr">
        <is>
          <t>New</t>
        </is>
      </c>
      <c r="J1041" s="17" t="inlineStr">
        <is>
          <t>08 CROSSWALK</t>
        </is>
      </c>
    </row>
    <row r="1042" ht="49" customHeight="1">
      <c r="A1042" s="12" t="inlineStr">
        <is>
          <t>R717-v1</t>
        </is>
      </c>
      <c r="B1042" s="12" t="inlineStr">
        <is>
          <t>Contractor Programme / SCH-04-177</t>
        </is>
      </c>
      <c r="C1042" s="12" t="inlineStr">
        <is>
          <t>WBS Code = 1.4.2</t>
        </is>
      </c>
      <c r="D1042" s="12" t="inlineStr">
        <is>
          <t>Proposed by Source assignment; target 1.4.2 Vehicles and Depot - Depot Buildings</t>
        </is>
      </c>
      <c r="E1042" s="12" t="inlineStr">
        <is>
          <t>None recorded</t>
        </is>
      </c>
      <c r="F1042" s="12" t="inlineStr">
        <is>
          <t>No individual professional decision recorded; Source assignment -- not individually reviewed</t>
        </is>
      </c>
      <c r="G1042" s="12" t="inlineStr">
        <is>
          <t>Not individually decided</t>
        </is>
      </c>
      <c r="H1042" s="12" t="inlineStr">
        <is>
          <t xml:space="preserve">APPROVED / ONE_TO_ONE; </t>
        </is>
      </c>
      <c r="I1042" s="12" t="inlineStr">
        <is>
          <t>New</t>
        </is>
      </c>
      <c r="J1042" s="17" t="inlineStr">
        <is>
          <t>08 CROSSWALK</t>
        </is>
      </c>
    </row>
    <row r="1043" ht="49" customHeight="1">
      <c r="A1043" s="12" t="inlineStr">
        <is>
          <t>R720-v1</t>
        </is>
      </c>
      <c r="B1043" s="12" t="inlineStr">
        <is>
          <t>Contractor Programme / SCH-04-180</t>
        </is>
      </c>
      <c r="C1043" s="12" t="inlineStr">
        <is>
          <t>WBS Code = 1.4.2</t>
        </is>
      </c>
      <c r="D1043" s="12" t="inlineStr">
        <is>
          <t>Proposed by Source assignment; target 1.4.2 Vehicles and Depot - Depot Buildings</t>
        </is>
      </c>
      <c r="E1043" s="12" t="inlineStr">
        <is>
          <t>None recorded</t>
        </is>
      </c>
      <c r="F1043" s="12" t="inlineStr">
        <is>
          <t>No individual professional decision recorded; Source assignment -- not individually reviewed</t>
        </is>
      </c>
      <c r="G1043" s="12" t="inlineStr">
        <is>
          <t>Not individually decided</t>
        </is>
      </c>
      <c r="H1043" s="12" t="inlineStr">
        <is>
          <t xml:space="preserve">APPROVED / ONE_TO_ONE; </t>
        </is>
      </c>
      <c r="I1043" s="12" t="inlineStr">
        <is>
          <t>New</t>
        </is>
      </c>
      <c r="J1043" s="17" t="inlineStr">
        <is>
          <t>08 CROSSWALK</t>
        </is>
      </c>
    </row>
    <row r="1044" ht="49" customHeight="1">
      <c r="A1044" s="12" t="inlineStr">
        <is>
          <t>R1324-v1</t>
        </is>
      </c>
      <c r="B1044" s="12" t="inlineStr">
        <is>
          <t>Cost &amp; Forecast Control Accounts / CST-04-002</t>
        </is>
      </c>
      <c r="C1044" s="12" t="inlineStr">
        <is>
          <t>Cost Account = CA-4002; WBS Code = 1.4.2</t>
        </is>
      </c>
      <c r="D1044" s="12" t="inlineStr">
        <is>
          <t>Proposed by Source assignment; target 1.4.2 Vehicles and Depot - Depot Buildings</t>
        </is>
      </c>
      <c r="E1044" s="12" t="inlineStr">
        <is>
          <t>None recorded</t>
        </is>
      </c>
      <c r="F1044" s="12" t="inlineStr">
        <is>
          <t>No individual professional decision recorded; Source assignment -- not individually reviewed</t>
        </is>
      </c>
      <c r="G1044" s="12" t="inlineStr">
        <is>
          <t>Not individually decided</t>
        </is>
      </c>
      <c r="H1044" s="12" t="inlineStr">
        <is>
          <t xml:space="preserve">APPROVED / ONE_TO_ONE; </t>
        </is>
      </c>
      <c r="I1044" s="12" t="inlineStr">
        <is>
          <t>New</t>
        </is>
      </c>
      <c r="J1044" s="17" t="inlineStr">
        <is>
          <t>08 CROSSWALK</t>
        </is>
      </c>
    </row>
    <row r="1045" ht="49" customHeight="1">
      <c r="A1045" s="12" t="inlineStr">
        <is>
          <t>R1326-v1</t>
        </is>
      </c>
      <c r="B1045" s="12" t="inlineStr">
        <is>
          <t>Cost &amp; Forecast Control Accounts / CST-04-004</t>
        </is>
      </c>
      <c r="C1045" s="12" t="inlineStr">
        <is>
          <t>Cost Account = CA-4004; WBS Code = 1.4.2</t>
        </is>
      </c>
      <c r="D1045" s="12" t="inlineStr">
        <is>
          <t>Proposed by Source assignment; target 1.4.2 Vehicles and Depot - Depot Buildings</t>
        </is>
      </c>
      <c r="E1045" s="12" t="inlineStr">
        <is>
          <t>None recorded</t>
        </is>
      </c>
      <c r="F1045" s="12" t="inlineStr">
        <is>
          <t>No individual professional decision recorded; Source assignment -- not individually reviewed</t>
        </is>
      </c>
      <c r="G1045" s="12" t="inlineStr">
        <is>
          <t>Not individually decided</t>
        </is>
      </c>
      <c r="H1045" s="12" t="inlineStr">
        <is>
          <t xml:space="preserve">APPROVED / ONE_TO_ONE; </t>
        </is>
      </c>
      <c r="I1045" s="12" t="inlineStr">
        <is>
          <t>New</t>
        </is>
      </c>
      <c r="J1045" s="17" t="inlineStr">
        <is>
          <t>08 CROSSWALK</t>
        </is>
      </c>
    </row>
    <row r="1046" ht="49" customHeight="1">
      <c r="A1046" s="12" t="inlineStr">
        <is>
          <t>R1328-v1</t>
        </is>
      </c>
      <c r="B1046" s="12" t="inlineStr">
        <is>
          <t>Cost &amp; Forecast Control Accounts / CST-04-006</t>
        </is>
      </c>
      <c r="C1046" s="12" t="inlineStr">
        <is>
          <t>Cost Account = CA-4006; WBS Code = 1.4.2</t>
        </is>
      </c>
      <c r="D1046" s="12" t="inlineStr">
        <is>
          <t>Proposed by Source assignment; target 1.4.2 Vehicles and Depot - Depot Buildings</t>
        </is>
      </c>
      <c r="E1046" s="12" t="inlineStr">
        <is>
          <t>None recorded</t>
        </is>
      </c>
      <c r="F1046" s="12" t="inlineStr">
        <is>
          <t>No individual professional decision recorded; Source assignment -- not individually reviewed</t>
        </is>
      </c>
      <c r="G1046" s="12" t="inlineStr">
        <is>
          <t>Not individually decided</t>
        </is>
      </c>
      <c r="H1046" s="12" t="inlineStr">
        <is>
          <t xml:space="preserve">APPROVED / ONE_TO_ONE; </t>
        </is>
      </c>
      <c r="I1046" s="12" t="inlineStr">
        <is>
          <t>New</t>
        </is>
      </c>
      <c r="J1046" s="17" t="inlineStr">
        <is>
          <t>08 CROSSWALK</t>
        </is>
      </c>
    </row>
    <row r="1047" ht="49" customHeight="1">
      <c r="A1047" s="12" t="inlineStr">
        <is>
          <t>R1330-v1</t>
        </is>
      </c>
      <c r="B1047" s="12" t="inlineStr">
        <is>
          <t>Cost &amp; Forecast Control Accounts / CST-04-008</t>
        </is>
      </c>
      <c r="C1047" s="12" t="inlineStr">
        <is>
          <t>Cost Account = CA-4008; WBS Code = 1.4.2</t>
        </is>
      </c>
      <c r="D1047" s="12" t="inlineStr">
        <is>
          <t>Proposed by Source assignment; target 1.4.2 Vehicles and Depot - Depot Buildings</t>
        </is>
      </c>
      <c r="E1047" s="12" t="inlineStr">
        <is>
          <t>None recorded</t>
        </is>
      </c>
      <c r="F1047" s="12" t="inlineStr">
        <is>
          <t>No individual professional decision recorded; Source assignment -- not individually reviewed</t>
        </is>
      </c>
      <c r="G1047" s="12" t="inlineStr">
        <is>
          <t>Not individually decided</t>
        </is>
      </c>
      <c r="H1047" s="12" t="inlineStr">
        <is>
          <t xml:space="preserve">APPROVED / ONE_TO_ONE; </t>
        </is>
      </c>
      <c r="I1047" s="12" t="inlineStr">
        <is>
          <t>New</t>
        </is>
      </c>
      <c r="J1047" s="17" t="inlineStr">
        <is>
          <t>08 CROSSWALK</t>
        </is>
      </c>
    </row>
    <row r="1048" ht="49" customHeight="1">
      <c r="A1048" s="12" t="inlineStr">
        <is>
          <t>R1332-v1</t>
        </is>
      </c>
      <c r="B1048" s="12" t="inlineStr">
        <is>
          <t>Cost &amp; Forecast Control Accounts / CST-04-010</t>
        </is>
      </c>
      <c r="C1048" s="12" t="inlineStr">
        <is>
          <t>Cost Account = CA-4010; WBS Code = 1.4.2</t>
        </is>
      </c>
      <c r="D1048" s="12" t="inlineStr">
        <is>
          <t>Proposed by Source assignment; target 1.4.2 Vehicles and Depot - Depot Buildings</t>
        </is>
      </c>
      <c r="E1048" s="12" t="inlineStr">
        <is>
          <t>None recorded</t>
        </is>
      </c>
      <c r="F1048" s="12" t="inlineStr">
        <is>
          <t>No individual professional decision recorded; Source assignment -- not individually reviewed</t>
        </is>
      </c>
      <c r="G1048" s="12" t="inlineStr">
        <is>
          <t>Not individually decided</t>
        </is>
      </c>
      <c r="H1048" s="12" t="inlineStr">
        <is>
          <t xml:space="preserve">APPROVED / ONE_TO_ONE; </t>
        </is>
      </c>
      <c r="I1048" s="12" t="inlineStr">
        <is>
          <t>New</t>
        </is>
      </c>
      <c r="J1048" s="17" t="inlineStr">
        <is>
          <t>08 CROSSWALK</t>
        </is>
      </c>
    </row>
    <row r="1049" ht="49" customHeight="1">
      <c r="A1049" s="12" t="inlineStr">
        <is>
          <t>R1334-v1</t>
        </is>
      </c>
      <c r="B1049" s="12" t="inlineStr">
        <is>
          <t>Cost &amp; Forecast Control Accounts / CST-04-012</t>
        </is>
      </c>
      <c r="C1049" s="12" t="inlineStr">
        <is>
          <t>Cost Account = CA-4012; WBS Code = 1.4.2</t>
        </is>
      </c>
      <c r="D1049" s="12" t="inlineStr">
        <is>
          <t>Proposed by Source assignment; target 1.4.2 Vehicles and Depot - Depot Buildings</t>
        </is>
      </c>
      <c r="E1049" s="12" t="inlineStr">
        <is>
          <t>None recorded</t>
        </is>
      </c>
      <c r="F1049" s="12" t="inlineStr">
        <is>
          <t>No individual professional decision recorded; Source assignment -- not individually reviewed</t>
        </is>
      </c>
      <c r="G1049" s="12" t="inlineStr">
        <is>
          <t>Not individually decided</t>
        </is>
      </c>
      <c r="H1049" s="12" t="inlineStr">
        <is>
          <t xml:space="preserve">APPROVED / ONE_TO_ONE; </t>
        </is>
      </c>
      <c r="I1049" s="12" t="inlineStr">
        <is>
          <t>New</t>
        </is>
      </c>
      <c r="J1049" s="17" t="inlineStr">
        <is>
          <t>08 CROSSWALK</t>
        </is>
      </c>
    </row>
    <row r="1050" ht="49" customHeight="1">
      <c r="A1050" s="12" t="inlineStr">
        <is>
          <t>R1336-v1</t>
        </is>
      </c>
      <c r="B1050" s="12" t="inlineStr">
        <is>
          <t>Cost &amp; Forecast Control Accounts / CST-04-014</t>
        </is>
      </c>
      <c r="C1050" s="12" t="inlineStr">
        <is>
          <t>Cost Account = CA-4014; WBS Code = 1.4.2</t>
        </is>
      </c>
      <c r="D1050" s="12" t="inlineStr">
        <is>
          <t>Proposed by Source assignment; target 1.4.2 Vehicles and Depot - Depot Buildings</t>
        </is>
      </c>
      <c r="E1050" s="12" t="inlineStr">
        <is>
          <t>None recorded</t>
        </is>
      </c>
      <c r="F1050" s="12" t="inlineStr">
        <is>
          <t>No individual professional decision recorded; Source assignment -- not individually reviewed</t>
        </is>
      </c>
      <c r="G1050" s="12" t="inlineStr">
        <is>
          <t>Not individually decided</t>
        </is>
      </c>
      <c r="H1050" s="12" t="inlineStr">
        <is>
          <t xml:space="preserve">APPROVED / ONE_TO_ONE; </t>
        </is>
      </c>
      <c r="I1050" s="12" t="inlineStr">
        <is>
          <t>New</t>
        </is>
      </c>
      <c r="J1050" s="17" t="inlineStr">
        <is>
          <t>08 CROSSWALK</t>
        </is>
      </c>
    </row>
    <row r="1051" ht="49" customHeight="1">
      <c r="A1051" s="12" t="inlineStr">
        <is>
          <t>R1338-v1</t>
        </is>
      </c>
      <c r="B1051" s="12" t="inlineStr">
        <is>
          <t>Cost &amp; Forecast Control Accounts / CST-04-016</t>
        </is>
      </c>
      <c r="C1051" s="12" t="inlineStr">
        <is>
          <t>Cost Account = CA-4016; WBS Code = 1.4.2</t>
        </is>
      </c>
      <c r="D1051" s="12" t="inlineStr">
        <is>
          <t>Proposed by Source assignment; target 1.4.2 Vehicles and Depot - Depot Buildings</t>
        </is>
      </c>
      <c r="E1051" s="12" t="inlineStr">
        <is>
          <t>None recorded</t>
        </is>
      </c>
      <c r="F1051" s="12" t="inlineStr">
        <is>
          <t>No individual professional decision recorded; Source assignment -- not individually reviewed</t>
        </is>
      </c>
      <c r="G1051" s="12" t="inlineStr">
        <is>
          <t>Not individually decided</t>
        </is>
      </c>
      <c r="H1051" s="12" t="inlineStr">
        <is>
          <t xml:space="preserve">APPROVED / ONE_TO_ONE; </t>
        </is>
      </c>
      <c r="I1051" s="12" t="inlineStr">
        <is>
          <t>New</t>
        </is>
      </c>
      <c r="J1051" s="17" t="inlineStr">
        <is>
          <t>08 CROSSWALK</t>
        </is>
      </c>
    </row>
    <row r="1052" ht="49" customHeight="1">
      <c r="A1052" s="12" t="inlineStr">
        <is>
          <t>R1340-v1</t>
        </is>
      </c>
      <c r="B1052" s="12" t="inlineStr">
        <is>
          <t>Cost &amp; Forecast Control Accounts / CST-04-018</t>
        </is>
      </c>
      <c r="C1052" s="12" t="inlineStr">
        <is>
          <t>Cost Account = CA-4018; WBS Code = 1.4.2</t>
        </is>
      </c>
      <c r="D1052" s="12" t="inlineStr">
        <is>
          <t>Proposed by Source assignment; target 1.4.2 Vehicles and Depot - Depot Buildings</t>
        </is>
      </c>
      <c r="E1052" s="12" t="inlineStr">
        <is>
          <t>None recorded</t>
        </is>
      </c>
      <c r="F1052" s="12" t="inlineStr">
        <is>
          <t>No individual professional decision recorded; Source assignment -- not individually reviewed</t>
        </is>
      </c>
      <c r="G1052" s="12" t="inlineStr">
        <is>
          <t>Not individually decided</t>
        </is>
      </c>
      <c r="H1052" s="12" t="inlineStr">
        <is>
          <t xml:space="preserve">APPROVED / ONE_TO_ONE; </t>
        </is>
      </c>
      <c r="I1052" s="12" t="inlineStr">
        <is>
          <t>New</t>
        </is>
      </c>
      <c r="J1052" s="17" t="inlineStr">
        <is>
          <t>08 CROSSWALK</t>
        </is>
      </c>
    </row>
    <row r="1053" ht="49" customHeight="1">
      <c r="A1053" s="12" t="inlineStr">
        <is>
          <t>R1342-v1</t>
        </is>
      </c>
      <c r="B1053" s="12" t="inlineStr">
        <is>
          <t>Cost &amp; Forecast Control Accounts / CST-04-020</t>
        </is>
      </c>
      <c r="C1053" s="12" t="inlineStr">
        <is>
          <t>Cost Account = CA-4020; WBS Code = 1.4.2</t>
        </is>
      </c>
      <c r="D1053" s="12" t="inlineStr">
        <is>
          <t>Proposed by Source assignment; target 1.4.2 Vehicles and Depot - Depot Buildings</t>
        </is>
      </c>
      <c r="E1053" s="12" t="inlineStr">
        <is>
          <t>None recorded</t>
        </is>
      </c>
      <c r="F1053" s="12" t="inlineStr">
        <is>
          <t>No individual professional decision recorded; Source assignment -- not individually reviewed</t>
        </is>
      </c>
      <c r="G1053" s="12" t="inlineStr">
        <is>
          <t>Not individually decided</t>
        </is>
      </c>
      <c r="H1053" s="12" t="inlineStr">
        <is>
          <t xml:space="preserve">APPROVED / ONE_TO_ONE; </t>
        </is>
      </c>
      <c r="I1053" s="12" t="inlineStr">
        <is>
          <t>New</t>
        </is>
      </c>
      <c r="J1053" s="17" t="inlineStr">
        <is>
          <t>08 CROSSWALK</t>
        </is>
      </c>
    </row>
    <row r="1054" ht="49" customHeight="1">
      <c r="A1054" s="12" t="inlineStr">
        <is>
          <t>R1344-v1</t>
        </is>
      </c>
      <c r="B1054" s="12" t="inlineStr">
        <is>
          <t>Cost &amp; Forecast Control Accounts / CST-04-022</t>
        </is>
      </c>
      <c r="C1054" s="12" t="inlineStr">
        <is>
          <t>Cost Account = CA-4022; WBS Code = 1.4.2</t>
        </is>
      </c>
      <c r="D1054" s="12" t="inlineStr">
        <is>
          <t>Proposed by Source assignment; target 1.4.2 Vehicles and Depot - Depot Buildings</t>
        </is>
      </c>
      <c r="E1054" s="12" t="inlineStr">
        <is>
          <t>None recorded</t>
        </is>
      </c>
      <c r="F1054" s="12" t="inlineStr">
        <is>
          <t>No individual professional decision recorded; Source assignment -- not individually reviewed</t>
        </is>
      </c>
      <c r="G1054" s="12" t="inlineStr">
        <is>
          <t>Not individually decided</t>
        </is>
      </c>
      <c r="H1054" s="12" t="inlineStr">
        <is>
          <t xml:space="preserve">APPROVED / ONE_TO_ONE; </t>
        </is>
      </c>
      <c r="I1054" s="12" t="inlineStr">
        <is>
          <t>New</t>
        </is>
      </c>
      <c r="J1054" s="17" t="inlineStr">
        <is>
          <t>08 CROSSWALK</t>
        </is>
      </c>
    </row>
    <row r="1055" ht="49" customHeight="1">
      <c r="A1055" s="12" t="inlineStr">
        <is>
          <t>R1346-v1</t>
        </is>
      </c>
      <c r="B1055" s="12" t="inlineStr">
        <is>
          <t>Cost &amp; Forecast Control Accounts / CST-04-024</t>
        </is>
      </c>
      <c r="C1055" s="12" t="inlineStr">
        <is>
          <t>Cost Account = CA-4024; WBS Code = 1.4.2</t>
        </is>
      </c>
      <c r="D1055" s="12" t="inlineStr">
        <is>
          <t>Proposed by Source assignment; target 1.4.2 Vehicles and Depot - Depot Buildings</t>
        </is>
      </c>
      <c r="E1055" s="12" t="inlineStr">
        <is>
          <t>None recorded</t>
        </is>
      </c>
      <c r="F1055" s="12" t="inlineStr">
        <is>
          <t>No individual professional decision recorded; Source assignment -- not individually reviewed</t>
        </is>
      </c>
      <c r="G1055" s="12" t="inlineStr">
        <is>
          <t>Not individually decided</t>
        </is>
      </c>
      <c r="H1055" s="12" t="inlineStr">
        <is>
          <t xml:space="preserve">APPROVED / ONE_TO_ONE; </t>
        </is>
      </c>
      <c r="I1055" s="12" t="inlineStr">
        <is>
          <t>New</t>
        </is>
      </c>
      <c r="J1055" s="17" t="inlineStr">
        <is>
          <t>08 CROSSWALK</t>
        </is>
      </c>
    </row>
    <row r="1056" ht="49" customHeight="1">
      <c r="A1056" s="12" t="inlineStr">
        <is>
          <t>R1348-v1</t>
        </is>
      </c>
      <c r="B1056" s="12" t="inlineStr">
        <is>
          <t>Cost &amp; Forecast Control Accounts / CST-04-026</t>
        </is>
      </c>
      <c r="C1056" s="12" t="inlineStr">
        <is>
          <t>Cost Account = CA-4026; WBS Code = 1.4.2</t>
        </is>
      </c>
      <c r="D1056" s="12" t="inlineStr">
        <is>
          <t>Proposed by Source assignment; target 1.4.2 Vehicles and Depot - Depot Buildings</t>
        </is>
      </c>
      <c r="E1056" s="12" t="inlineStr">
        <is>
          <t>None recorded</t>
        </is>
      </c>
      <c r="F1056" s="12" t="inlineStr">
        <is>
          <t>No individual professional decision recorded; Source assignment -- not individually reviewed</t>
        </is>
      </c>
      <c r="G1056" s="12" t="inlineStr">
        <is>
          <t>Not individually decided</t>
        </is>
      </c>
      <c r="H1056" s="12" t="inlineStr">
        <is>
          <t xml:space="preserve">APPROVED / ONE_TO_ONE; </t>
        </is>
      </c>
      <c r="I1056" s="12" t="inlineStr">
        <is>
          <t>New</t>
        </is>
      </c>
      <c r="J1056" s="17" t="inlineStr">
        <is>
          <t>08 CROSSWALK</t>
        </is>
      </c>
    </row>
    <row r="1057" ht="49" customHeight="1">
      <c r="A1057" s="12" t="inlineStr">
        <is>
          <t>R1350-v1</t>
        </is>
      </c>
      <c r="B1057" s="12" t="inlineStr">
        <is>
          <t>Cost &amp; Forecast Control Accounts / CST-04-028</t>
        </is>
      </c>
      <c r="C1057" s="12" t="inlineStr">
        <is>
          <t>Cost Account = CA-4028; WBS Code = 1.4.2</t>
        </is>
      </c>
      <c r="D1057" s="12" t="inlineStr">
        <is>
          <t>Proposed by Source assignment; target 1.4.2 Vehicles and Depot - Depot Buildings</t>
        </is>
      </c>
      <c r="E1057" s="12" t="inlineStr">
        <is>
          <t>None recorded</t>
        </is>
      </c>
      <c r="F1057" s="12" t="inlineStr">
        <is>
          <t>No individual professional decision recorded; Source assignment -- not individually reviewed</t>
        </is>
      </c>
      <c r="G1057" s="12" t="inlineStr">
        <is>
          <t>Not individually decided</t>
        </is>
      </c>
      <c r="H1057" s="12" t="inlineStr">
        <is>
          <t xml:space="preserve">APPROVED / ONE_TO_ONE; </t>
        </is>
      </c>
      <c r="I1057" s="12" t="inlineStr">
        <is>
          <t>New</t>
        </is>
      </c>
      <c r="J1057" s="17" t="inlineStr">
        <is>
          <t>08 CROSSWALK</t>
        </is>
      </c>
    </row>
    <row r="1058" ht="49" customHeight="1">
      <c r="A1058" s="12" t="inlineStr">
        <is>
          <t>R1352-v1</t>
        </is>
      </c>
      <c r="B1058" s="12" t="inlineStr">
        <is>
          <t>Cost &amp; Forecast Control Accounts / CST-04-030</t>
        </is>
      </c>
      <c r="C1058" s="12" t="inlineStr">
        <is>
          <t>Cost Account = CA-4030; WBS Code = 1.4.2</t>
        </is>
      </c>
      <c r="D1058" s="12" t="inlineStr">
        <is>
          <t>Proposed by Source assignment; target 1.4.2 Vehicles and Depot - Depot Buildings</t>
        </is>
      </c>
      <c r="E1058" s="12" t="inlineStr">
        <is>
          <t>None recorded</t>
        </is>
      </c>
      <c r="F1058" s="12" t="inlineStr">
        <is>
          <t>No individual professional decision recorded; Source assignment -- not individually reviewed</t>
        </is>
      </c>
      <c r="G1058" s="12" t="inlineStr">
        <is>
          <t>Not individually decided</t>
        </is>
      </c>
      <c r="H1058" s="12" t="inlineStr">
        <is>
          <t xml:space="preserve">APPROVED / ONE_TO_ONE; </t>
        </is>
      </c>
      <c r="I1058" s="12" t="inlineStr">
        <is>
          <t>New</t>
        </is>
      </c>
      <c r="J1058" s="17" t="inlineStr">
        <is>
          <t>08 CROSSWALK</t>
        </is>
      </c>
    </row>
    <row r="1059" ht="49" customHeight="1">
      <c r="A1059" s="12" t="inlineStr">
        <is>
          <t>R1354-v1</t>
        </is>
      </c>
      <c r="B1059" s="12" t="inlineStr">
        <is>
          <t>Cost &amp; Forecast Control Accounts / CST-04-032</t>
        </is>
      </c>
      <c r="C1059" s="12" t="inlineStr">
        <is>
          <t>Cost Account = CA-4032; WBS Code = 1.4.2</t>
        </is>
      </c>
      <c r="D1059" s="12" t="inlineStr">
        <is>
          <t>Proposed by Source assignment; target 1.4.2 Vehicles and Depot - Depot Buildings</t>
        </is>
      </c>
      <c r="E1059" s="12" t="inlineStr">
        <is>
          <t>None recorded</t>
        </is>
      </c>
      <c r="F1059" s="12" t="inlineStr">
        <is>
          <t>No individual professional decision recorded; Source assignment -- not individually reviewed</t>
        </is>
      </c>
      <c r="G1059" s="12" t="inlineStr">
        <is>
          <t>Not individually decided</t>
        </is>
      </c>
      <c r="H1059" s="12" t="inlineStr">
        <is>
          <t xml:space="preserve">APPROVED / ONE_TO_ONE; </t>
        </is>
      </c>
      <c r="I1059" s="12" t="inlineStr">
        <is>
          <t>New</t>
        </is>
      </c>
      <c r="J1059" s="17" t="inlineStr">
        <is>
          <t>08 CROSSWALK</t>
        </is>
      </c>
    </row>
    <row r="1060" ht="49" customHeight="1">
      <c r="A1060" s="12" t="inlineStr">
        <is>
          <t>R1356-v1</t>
        </is>
      </c>
      <c r="B1060" s="12" t="inlineStr">
        <is>
          <t>Cost &amp; Forecast Control Accounts / CST-04-034</t>
        </is>
      </c>
      <c r="C1060" s="12" t="inlineStr">
        <is>
          <t>Cost Account = CA-4034; WBS Code = 1.4.2</t>
        </is>
      </c>
      <c r="D1060" s="12" t="inlineStr">
        <is>
          <t>Proposed by Source assignment; target 1.4.2 Vehicles and Depot - Depot Buildings</t>
        </is>
      </c>
      <c r="E1060" s="12" t="inlineStr">
        <is>
          <t>None recorded</t>
        </is>
      </c>
      <c r="F1060" s="12" t="inlineStr">
        <is>
          <t>No individual professional decision recorded; Source assignment -- not individually reviewed</t>
        </is>
      </c>
      <c r="G1060" s="12" t="inlineStr">
        <is>
          <t>Not individually decided</t>
        </is>
      </c>
      <c r="H1060" s="12" t="inlineStr">
        <is>
          <t xml:space="preserve">APPROVED / ONE_TO_ONE; </t>
        </is>
      </c>
      <c r="I1060" s="12" t="inlineStr">
        <is>
          <t>New</t>
        </is>
      </c>
      <c r="J1060" s="17" t="inlineStr">
        <is>
          <t>08 CROSSWALK</t>
        </is>
      </c>
    </row>
    <row r="1061" ht="49" customHeight="1">
      <c r="A1061" s="12" t="inlineStr">
        <is>
          <t>R1358-v1</t>
        </is>
      </c>
      <c r="B1061" s="12" t="inlineStr">
        <is>
          <t>Cost &amp; Forecast Control Accounts / CST-04-036</t>
        </is>
      </c>
      <c r="C1061" s="12" t="inlineStr">
        <is>
          <t>Cost Account = CA-4036; WBS Code = 1.4.2</t>
        </is>
      </c>
      <c r="D1061" s="12" t="inlineStr">
        <is>
          <t>Proposed by Source assignment; target 1.4.2 Vehicles and Depot - Depot Buildings</t>
        </is>
      </c>
      <c r="E1061" s="12" t="inlineStr">
        <is>
          <t>None recorded</t>
        </is>
      </c>
      <c r="F1061" s="12" t="inlineStr">
        <is>
          <t>No individual professional decision recorded; Source assignment -- not individually reviewed</t>
        </is>
      </c>
      <c r="G1061" s="12" t="inlineStr">
        <is>
          <t>Not individually decided</t>
        </is>
      </c>
      <c r="H1061" s="12" t="inlineStr">
        <is>
          <t xml:space="preserve">APPROVED / ONE_TO_ONE; </t>
        </is>
      </c>
      <c r="I1061" s="12" t="inlineStr">
        <is>
          <t>New</t>
        </is>
      </c>
      <c r="J1061" s="17" t="inlineStr">
        <is>
          <t>08 CROSSWALK</t>
        </is>
      </c>
    </row>
    <row r="1062" ht="49" customHeight="1">
      <c r="A1062" s="12" t="inlineStr">
        <is>
          <t>R1360-v1</t>
        </is>
      </c>
      <c r="B1062" s="12" t="inlineStr">
        <is>
          <t>Cost &amp; Forecast Control Accounts / CST-04-038</t>
        </is>
      </c>
      <c r="C1062" s="12" t="inlineStr">
        <is>
          <t>Cost Account = CA-4038; WBS Code = 1.4.2</t>
        </is>
      </c>
      <c r="D1062" s="12" t="inlineStr">
        <is>
          <t>Proposed by Source assignment; target 1.4.2 Vehicles and Depot - Depot Buildings</t>
        </is>
      </c>
      <c r="E1062" s="12" t="inlineStr">
        <is>
          <t>None recorded</t>
        </is>
      </c>
      <c r="F1062" s="12" t="inlineStr">
        <is>
          <t>No individual professional decision recorded; Source assignment -- not individually reviewed</t>
        </is>
      </c>
      <c r="G1062" s="12" t="inlineStr">
        <is>
          <t>Not individually decided</t>
        </is>
      </c>
      <c r="H1062" s="12" t="inlineStr">
        <is>
          <t xml:space="preserve">APPROVED / ONE_TO_ONE; </t>
        </is>
      </c>
      <c r="I1062" s="12" t="inlineStr">
        <is>
          <t>New</t>
        </is>
      </c>
      <c r="J1062" s="17" t="inlineStr">
        <is>
          <t>08 CROSSWALK</t>
        </is>
      </c>
    </row>
    <row r="1063" ht="49" customHeight="1">
      <c r="A1063" s="12" t="inlineStr">
        <is>
          <t>R1362-v1</t>
        </is>
      </c>
      <c r="B1063" s="12" t="inlineStr">
        <is>
          <t>Cost &amp; Forecast Control Accounts / CST-04-040</t>
        </is>
      </c>
      <c r="C1063" s="12" t="inlineStr">
        <is>
          <t>Cost Account = CA-4040; WBS Code = 1.4.2</t>
        </is>
      </c>
      <c r="D1063" s="12" t="inlineStr">
        <is>
          <t>Proposed by Source assignment; target 1.4.2 Vehicles and Depot - Depot Buildings</t>
        </is>
      </c>
      <c r="E1063" s="12" t="inlineStr">
        <is>
          <t>None recorded</t>
        </is>
      </c>
      <c r="F1063" s="12" t="inlineStr">
        <is>
          <t>No individual professional decision recorded; Source assignment -- not individually reviewed</t>
        </is>
      </c>
      <c r="G1063" s="12" t="inlineStr">
        <is>
          <t>Not individually decided</t>
        </is>
      </c>
      <c r="H1063" s="12" t="inlineStr">
        <is>
          <t xml:space="preserve">APPROVED / ONE_TO_ONE; </t>
        </is>
      </c>
      <c r="I1063" s="12" t="inlineStr">
        <is>
          <t>New</t>
        </is>
      </c>
      <c r="J1063" s="17" t="inlineStr">
        <is>
          <t>08 CROSSWALK</t>
        </is>
      </c>
    </row>
    <row r="1064" ht="49" customHeight="1">
      <c r="A1064" s="12" t="inlineStr">
        <is>
          <t>R1364-v1</t>
        </is>
      </c>
      <c r="B1064" s="12" t="inlineStr">
        <is>
          <t>Cost &amp; Forecast Control Accounts / CST-04-042</t>
        </is>
      </c>
      <c r="C1064" s="12" t="inlineStr">
        <is>
          <t>Cost Account = CA-4042; WBS Code = 1.4.2</t>
        </is>
      </c>
      <c r="D1064" s="12" t="inlineStr">
        <is>
          <t>Proposed by Source assignment; target 1.4.2 Vehicles and Depot - Depot Buildings</t>
        </is>
      </c>
      <c r="E1064" s="12" t="inlineStr">
        <is>
          <t>None recorded</t>
        </is>
      </c>
      <c r="F1064" s="12" t="inlineStr">
        <is>
          <t>No individual professional decision recorded; Source assignment -- not individually reviewed</t>
        </is>
      </c>
      <c r="G1064" s="12" t="inlineStr">
        <is>
          <t>Not individually decided</t>
        </is>
      </c>
      <c r="H1064" s="12" t="inlineStr">
        <is>
          <t xml:space="preserve">APPROVED / ONE_TO_ONE; </t>
        </is>
      </c>
      <c r="I1064" s="12" t="inlineStr">
        <is>
          <t>New</t>
        </is>
      </c>
      <c r="J1064" s="17" t="inlineStr">
        <is>
          <t>08 CROSSWALK</t>
        </is>
      </c>
    </row>
    <row r="1065" ht="49" customHeight="1">
      <c r="A1065" s="12" t="inlineStr">
        <is>
          <t>R1366-v1</t>
        </is>
      </c>
      <c r="B1065" s="12" t="inlineStr">
        <is>
          <t>Cost &amp; Forecast Control Accounts / CST-04-044</t>
        </is>
      </c>
      <c r="C1065" s="12" t="inlineStr">
        <is>
          <t>Cost Account = CA-4044; WBS Code = 1.4.2</t>
        </is>
      </c>
      <c r="D1065" s="12" t="inlineStr">
        <is>
          <t>Proposed by Source assignment; target 1.4.2 Vehicles and Depot - Depot Buildings</t>
        </is>
      </c>
      <c r="E1065" s="12" t="inlineStr">
        <is>
          <t>None recorded</t>
        </is>
      </c>
      <c r="F1065" s="12" t="inlineStr">
        <is>
          <t>No individual professional decision recorded; Source assignment -- not individually reviewed</t>
        </is>
      </c>
      <c r="G1065" s="12" t="inlineStr">
        <is>
          <t>Not individually decided</t>
        </is>
      </c>
      <c r="H1065" s="12" t="inlineStr">
        <is>
          <t xml:space="preserve">APPROVED / ONE_TO_ONE; </t>
        </is>
      </c>
      <c r="I1065" s="12" t="inlineStr">
        <is>
          <t>New</t>
        </is>
      </c>
      <c r="J1065" s="17" t="inlineStr">
        <is>
          <t>08 CROSSWALK</t>
        </is>
      </c>
    </row>
    <row r="1066" ht="49" customHeight="1">
      <c r="A1066" s="12" t="inlineStr">
        <is>
          <t>R1368-v1</t>
        </is>
      </c>
      <c r="B1066" s="12" t="inlineStr">
        <is>
          <t>Cost &amp; Forecast Control Accounts / CST-04-046</t>
        </is>
      </c>
      <c r="C1066" s="12" t="inlineStr">
        <is>
          <t>Cost Account = CA-4046; WBS Code = 1.4.2</t>
        </is>
      </c>
      <c r="D1066" s="12" t="inlineStr">
        <is>
          <t>Proposed by Source assignment; target 1.4.2 Vehicles and Depot - Depot Buildings</t>
        </is>
      </c>
      <c r="E1066" s="12" t="inlineStr">
        <is>
          <t>None recorded</t>
        </is>
      </c>
      <c r="F1066" s="12" t="inlineStr">
        <is>
          <t>No individual professional decision recorded; Source assignment -- not individually reviewed</t>
        </is>
      </c>
      <c r="G1066" s="12" t="inlineStr">
        <is>
          <t>Not individually decided</t>
        </is>
      </c>
      <c r="H1066" s="12" t="inlineStr">
        <is>
          <t xml:space="preserve">APPROVED / ONE_TO_ONE; </t>
        </is>
      </c>
      <c r="I1066" s="12" t="inlineStr">
        <is>
          <t>New</t>
        </is>
      </c>
      <c r="J1066" s="17" t="inlineStr">
        <is>
          <t>08 CROSSWALK</t>
        </is>
      </c>
    </row>
    <row r="1067" ht="49" customHeight="1">
      <c r="A1067" s="12" t="inlineStr">
        <is>
          <t>R1370-v1</t>
        </is>
      </c>
      <c r="B1067" s="12" t="inlineStr">
        <is>
          <t>Cost &amp; Forecast Control Accounts / CST-04-048</t>
        </is>
      </c>
      <c r="C1067" s="12" t="inlineStr">
        <is>
          <t>Cost Account = CA-4048; WBS Code = 1.4.2</t>
        </is>
      </c>
      <c r="D1067" s="12" t="inlineStr">
        <is>
          <t>Proposed by Source assignment; target 1.4.2 Vehicles and Depot - Depot Buildings</t>
        </is>
      </c>
      <c r="E1067" s="12" t="inlineStr">
        <is>
          <t>None recorded</t>
        </is>
      </c>
      <c r="F1067" s="12" t="inlineStr">
        <is>
          <t>No individual professional decision recorded; Source assignment -- not individually reviewed</t>
        </is>
      </c>
      <c r="G1067" s="12" t="inlineStr">
        <is>
          <t>Not individually decided</t>
        </is>
      </c>
      <c r="H1067" s="12" t="inlineStr">
        <is>
          <t xml:space="preserve">APPROVED / ONE_TO_ONE; </t>
        </is>
      </c>
      <c r="I1067" s="12" t="inlineStr">
        <is>
          <t>New</t>
        </is>
      </c>
      <c r="J1067" s="17" t="inlineStr">
        <is>
          <t>08 CROSSWALK</t>
        </is>
      </c>
    </row>
    <row r="1068" ht="49" customHeight="1">
      <c r="A1068" s="12" t="inlineStr">
        <is>
          <t>R1372-v1</t>
        </is>
      </c>
      <c r="B1068" s="12" t="inlineStr">
        <is>
          <t>Cost &amp; Forecast Control Accounts / CST-04-050</t>
        </is>
      </c>
      <c r="C1068" s="12" t="inlineStr">
        <is>
          <t>Cost Account = CA-4050; WBS Code = 1.4.2</t>
        </is>
      </c>
      <c r="D1068" s="12" t="inlineStr">
        <is>
          <t>Proposed by Source assignment; target 1.4.2 Vehicles and Depot - Depot Buildings</t>
        </is>
      </c>
      <c r="E1068" s="12" t="inlineStr">
        <is>
          <t>None recorded</t>
        </is>
      </c>
      <c r="F1068" s="12" t="inlineStr">
        <is>
          <t>No individual professional decision recorded; Source assignment -- not individually reviewed</t>
        </is>
      </c>
      <c r="G1068" s="12" t="inlineStr">
        <is>
          <t>Not individually decided</t>
        </is>
      </c>
      <c r="H1068" s="12" t="inlineStr">
        <is>
          <t xml:space="preserve">APPROVED / ONE_TO_ONE; </t>
        </is>
      </c>
      <c r="I1068" s="12" t="inlineStr">
        <is>
          <t>New</t>
        </is>
      </c>
      <c r="J1068" s="17" t="inlineStr">
        <is>
          <t>08 CROSSWALK</t>
        </is>
      </c>
    </row>
    <row r="1069" ht="49" customHeight="1">
      <c r="A1069" s="12" t="inlineStr">
        <is>
          <t>R1374-v1</t>
        </is>
      </c>
      <c r="B1069" s="12" t="inlineStr">
        <is>
          <t>Cost &amp; Forecast Control Accounts / CST-04-052</t>
        </is>
      </c>
      <c r="C1069" s="12" t="inlineStr">
        <is>
          <t>Cost Account = CA-4052; WBS Code = 1.4.2</t>
        </is>
      </c>
      <c r="D1069" s="12" t="inlineStr">
        <is>
          <t>Proposed by Source assignment; target 1.4.2 Vehicles and Depot - Depot Buildings</t>
        </is>
      </c>
      <c r="E1069" s="12" t="inlineStr">
        <is>
          <t>None recorded</t>
        </is>
      </c>
      <c r="F1069" s="12" t="inlineStr">
        <is>
          <t>No individual professional decision recorded; Source assignment -- not individually reviewed</t>
        </is>
      </c>
      <c r="G1069" s="12" t="inlineStr">
        <is>
          <t>Not individually decided</t>
        </is>
      </c>
      <c r="H1069" s="12" t="inlineStr">
        <is>
          <t xml:space="preserve">APPROVED / ONE_TO_ONE; </t>
        </is>
      </c>
      <c r="I1069" s="12" t="inlineStr">
        <is>
          <t>New</t>
        </is>
      </c>
      <c r="J1069" s="17" t="inlineStr">
        <is>
          <t>08 CROSSWALK</t>
        </is>
      </c>
    </row>
    <row r="1070" ht="49" customHeight="1">
      <c r="A1070" s="12" t="inlineStr">
        <is>
          <t>R1376-v1</t>
        </is>
      </c>
      <c r="B1070" s="12" t="inlineStr">
        <is>
          <t>Cost &amp; Forecast Control Accounts / CST-04-054</t>
        </is>
      </c>
      <c r="C1070" s="12" t="inlineStr">
        <is>
          <t>Cost Account = CA-4054; WBS Code = 1.4.2</t>
        </is>
      </c>
      <c r="D1070" s="12" t="inlineStr">
        <is>
          <t>Proposed by Source assignment; target 1.4.2 Vehicles and Depot - Depot Buildings</t>
        </is>
      </c>
      <c r="E1070" s="12" t="inlineStr">
        <is>
          <t>None recorded</t>
        </is>
      </c>
      <c r="F1070" s="12" t="inlineStr">
        <is>
          <t>No individual professional decision recorded; Source assignment -- not individually reviewed</t>
        </is>
      </c>
      <c r="G1070" s="12" t="inlineStr">
        <is>
          <t>Not individually decided</t>
        </is>
      </c>
      <c r="H1070" s="12" t="inlineStr">
        <is>
          <t xml:space="preserve">APPROVED / ONE_TO_ONE; </t>
        </is>
      </c>
      <c r="I1070" s="12" t="inlineStr">
        <is>
          <t>New</t>
        </is>
      </c>
      <c r="J1070" s="17" t="inlineStr">
        <is>
          <t>08 CROSSWALK</t>
        </is>
      </c>
    </row>
    <row r="1071" ht="49" customHeight="1">
      <c r="A1071" s="12" t="inlineStr">
        <is>
          <t>R1378-v1</t>
        </is>
      </c>
      <c r="B1071" s="12" t="inlineStr">
        <is>
          <t>Cost &amp; Forecast Control Accounts / CST-04-056</t>
        </is>
      </c>
      <c r="C1071" s="12" t="inlineStr">
        <is>
          <t>Cost Account = CA-4056; WBS Code = 1.4.2</t>
        </is>
      </c>
      <c r="D1071" s="12" t="inlineStr">
        <is>
          <t>Proposed by Source assignment; target 1.4.2 Vehicles and Depot - Depot Buildings</t>
        </is>
      </c>
      <c r="E1071" s="12" t="inlineStr">
        <is>
          <t>None recorded</t>
        </is>
      </c>
      <c r="F1071" s="12" t="inlineStr">
        <is>
          <t>No individual professional decision recorded; Source assignment -- not individually reviewed</t>
        </is>
      </c>
      <c r="G1071" s="12" t="inlineStr">
        <is>
          <t>Not individually decided</t>
        </is>
      </c>
      <c r="H1071" s="12" t="inlineStr">
        <is>
          <t xml:space="preserve">APPROVED / ONE_TO_ONE; </t>
        </is>
      </c>
      <c r="I1071" s="12" t="inlineStr">
        <is>
          <t>New</t>
        </is>
      </c>
      <c r="J1071" s="17" t="inlineStr">
        <is>
          <t>08 CROSSWALK</t>
        </is>
      </c>
    </row>
    <row r="1072" ht="49" customHeight="1">
      <c r="A1072" s="12" t="inlineStr">
        <is>
          <t>R1380-v1</t>
        </is>
      </c>
      <c r="B1072" s="12" t="inlineStr">
        <is>
          <t>Cost &amp; Forecast Control Accounts / CST-04-058</t>
        </is>
      </c>
      <c r="C1072" s="12" t="inlineStr">
        <is>
          <t>Cost Account = CA-4058; WBS Code = 1.4.2</t>
        </is>
      </c>
      <c r="D1072" s="12" t="inlineStr">
        <is>
          <t>Proposed by Source assignment; target 1.4.2 Vehicles and Depot - Depot Buildings</t>
        </is>
      </c>
      <c r="E1072" s="12" t="inlineStr">
        <is>
          <t>None recorded</t>
        </is>
      </c>
      <c r="F1072" s="12" t="inlineStr">
        <is>
          <t>No individual professional decision recorded; Source assignment -- not individually reviewed</t>
        </is>
      </c>
      <c r="G1072" s="12" t="inlineStr">
        <is>
          <t>Not individually decided</t>
        </is>
      </c>
      <c r="H1072" s="12" t="inlineStr">
        <is>
          <t xml:space="preserve">APPROVED / ONE_TO_ONE; </t>
        </is>
      </c>
      <c r="I1072" s="12" t="inlineStr">
        <is>
          <t>New</t>
        </is>
      </c>
      <c r="J1072" s="17" t="inlineStr">
        <is>
          <t>08 CROSSWALK</t>
        </is>
      </c>
    </row>
    <row r="1073" ht="49" customHeight="1">
      <c r="A1073" s="12" t="inlineStr">
        <is>
          <t>R1382-v1</t>
        </is>
      </c>
      <c r="B1073" s="12" t="inlineStr">
        <is>
          <t>Cost &amp; Forecast Control Accounts / CST-04-060</t>
        </is>
      </c>
      <c r="C1073" s="12" t="inlineStr">
        <is>
          <t>Cost Account = CA-4060; WBS Code = 1.4.2</t>
        </is>
      </c>
      <c r="D1073" s="12" t="inlineStr">
        <is>
          <t>Proposed by Source assignment; target 1.4.2 Vehicles and Depot - Depot Buildings</t>
        </is>
      </c>
      <c r="E1073" s="12" t="inlineStr">
        <is>
          <t>None recorded</t>
        </is>
      </c>
      <c r="F1073" s="12" t="inlineStr">
        <is>
          <t>No individual professional decision recorded; Source assignment -- not individually reviewed</t>
        </is>
      </c>
      <c r="G1073" s="12" t="inlineStr">
        <is>
          <t>Not individually decided</t>
        </is>
      </c>
      <c r="H1073" s="12" t="inlineStr">
        <is>
          <t xml:space="preserve">APPROVED / ONE_TO_ONE; </t>
        </is>
      </c>
      <c r="I1073" s="12" t="inlineStr">
        <is>
          <t>New</t>
        </is>
      </c>
      <c r="J1073" s="17" t="inlineStr">
        <is>
          <t>08 CROSSWALK</t>
        </is>
      </c>
    </row>
    <row r="1074" ht="49" customHeight="1">
      <c r="A1074" s="12" t="inlineStr">
        <is>
          <t>R1384-v1</t>
        </is>
      </c>
      <c r="B1074" s="12" t="inlineStr">
        <is>
          <t>Cost &amp; Forecast Control Accounts / CST-04-062</t>
        </is>
      </c>
      <c r="C1074" s="12" t="inlineStr">
        <is>
          <t>Cost Account = CA-4062; WBS Code = 1.4.2</t>
        </is>
      </c>
      <c r="D1074" s="12" t="inlineStr">
        <is>
          <t>Proposed by Source assignment; target 1.4.2 Vehicles and Depot - Depot Buildings</t>
        </is>
      </c>
      <c r="E1074" s="12" t="inlineStr">
        <is>
          <t>None recorded</t>
        </is>
      </c>
      <c r="F1074" s="12" t="inlineStr">
        <is>
          <t>No individual professional decision recorded; Source assignment -- not individually reviewed</t>
        </is>
      </c>
      <c r="G1074" s="12" t="inlineStr">
        <is>
          <t>Not individually decided</t>
        </is>
      </c>
      <c r="H1074" s="12" t="inlineStr">
        <is>
          <t xml:space="preserve">APPROVED / ONE_TO_ONE; </t>
        </is>
      </c>
      <c r="I1074" s="12" t="inlineStr">
        <is>
          <t>New</t>
        </is>
      </c>
      <c r="J1074" s="17" t="inlineStr">
        <is>
          <t>08 CROSSWALK</t>
        </is>
      </c>
    </row>
    <row r="1075" ht="49" customHeight="1">
      <c r="A1075" s="12" t="inlineStr">
        <is>
          <t>R1386-v1</t>
        </is>
      </c>
      <c r="B1075" s="12" t="inlineStr">
        <is>
          <t>Cost &amp; Forecast Control Accounts / CST-04-064</t>
        </is>
      </c>
      <c r="C1075" s="12" t="inlineStr">
        <is>
          <t>Cost Account = CA-4064; WBS Code = 1.4.2</t>
        </is>
      </c>
      <c r="D1075" s="12" t="inlineStr">
        <is>
          <t>Proposed by Source assignment; target 1.4.2 Vehicles and Depot - Depot Buildings</t>
        </is>
      </c>
      <c r="E1075" s="12" t="inlineStr">
        <is>
          <t>None recorded</t>
        </is>
      </c>
      <c r="F1075" s="12" t="inlineStr">
        <is>
          <t>No individual professional decision recorded; Source assignment -- not individually reviewed</t>
        </is>
      </c>
      <c r="G1075" s="12" t="inlineStr">
        <is>
          <t>Not individually decided</t>
        </is>
      </c>
      <c r="H1075" s="12" t="inlineStr">
        <is>
          <t xml:space="preserve">APPROVED / ONE_TO_ONE; </t>
        </is>
      </c>
      <c r="I1075" s="12" t="inlineStr">
        <is>
          <t>New</t>
        </is>
      </c>
      <c r="J1075" s="17" t="inlineStr">
        <is>
          <t>08 CROSSWALK</t>
        </is>
      </c>
    </row>
    <row r="1076" ht="49" customHeight="1">
      <c r="A1076" s="12" t="inlineStr">
        <is>
          <t>R1388-v1</t>
        </is>
      </c>
      <c r="B1076" s="12" t="inlineStr">
        <is>
          <t>Cost &amp; Forecast Control Accounts / CST-04-066</t>
        </is>
      </c>
      <c r="C1076" s="12" t="inlineStr">
        <is>
          <t>Cost Account = CA-4066; WBS Code = 1.4.2</t>
        </is>
      </c>
      <c r="D1076" s="12" t="inlineStr">
        <is>
          <t>Proposed by Source assignment; target 1.4.2 Vehicles and Depot - Depot Buildings</t>
        </is>
      </c>
      <c r="E1076" s="12" t="inlineStr">
        <is>
          <t>None recorded</t>
        </is>
      </c>
      <c r="F1076" s="12" t="inlineStr">
        <is>
          <t>No individual professional decision recorded; Source assignment -- not individually reviewed</t>
        </is>
      </c>
      <c r="G1076" s="12" t="inlineStr">
        <is>
          <t>Not individually decided</t>
        </is>
      </c>
      <c r="H1076" s="12" t="inlineStr">
        <is>
          <t xml:space="preserve">APPROVED / ONE_TO_ONE; </t>
        </is>
      </c>
      <c r="I1076" s="12" t="inlineStr">
        <is>
          <t>New</t>
        </is>
      </c>
      <c r="J1076" s="17" t="inlineStr">
        <is>
          <t>08 CROSSWALK</t>
        </is>
      </c>
    </row>
    <row r="1077" ht="49" customHeight="1">
      <c r="A1077" s="12" t="inlineStr">
        <is>
          <t>R1390-v1</t>
        </is>
      </c>
      <c r="B1077" s="12" t="inlineStr">
        <is>
          <t>Cost &amp; Forecast Control Accounts / CST-04-068</t>
        </is>
      </c>
      <c r="C1077" s="12" t="inlineStr">
        <is>
          <t>Cost Account = CA-4068; WBS Code = 1.4.2</t>
        </is>
      </c>
      <c r="D1077" s="12" t="inlineStr">
        <is>
          <t>Proposed by Source assignment; target 1.4.2 Vehicles and Depot - Depot Buildings</t>
        </is>
      </c>
      <c r="E1077" s="12" t="inlineStr">
        <is>
          <t>None recorded</t>
        </is>
      </c>
      <c r="F1077" s="12" t="inlineStr">
        <is>
          <t>No individual professional decision recorded; Source assignment -- not individually reviewed</t>
        </is>
      </c>
      <c r="G1077" s="12" t="inlineStr">
        <is>
          <t>Not individually decided</t>
        </is>
      </c>
      <c r="H1077" s="12" t="inlineStr">
        <is>
          <t xml:space="preserve">APPROVED / ONE_TO_ONE; </t>
        </is>
      </c>
      <c r="I1077" s="12" t="inlineStr">
        <is>
          <t>New</t>
        </is>
      </c>
      <c r="J1077" s="17" t="inlineStr">
        <is>
          <t>08 CROSSWALK</t>
        </is>
      </c>
    </row>
    <row r="1078" ht="49" customHeight="1">
      <c r="A1078" s="12" t="inlineStr">
        <is>
          <t>R1392-v1</t>
        </is>
      </c>
      <c r="B1078" s="12" t="inlineStr">
        <is>
          <t>Cost &amp; Forecast Control Accounts / CST-04-070</t>
        </is>
      </c>
      <c r="C1078" s="12" t="inlineStr">
        <is>
          <t>Cost Account = CA-4070; WBS Code = 1.4.2</t>
        </is>
      </c>
      <c r="D1078" s="12" t="inlineStr">
        <is>
          <t>Proposed by Source assignment; target 1.4.2 Vehicles and Depot - Depot Buildings</t>
        </is>
      </c>
      <c r="E1078" s="12" t="inlineStr">
        <is>
          <t>None recorded</t>
        </is>
      </c>
      <c r="F1078" s="12" t="inlineStr">
        <is>
          <t>No individual professional decision recorded; Source assignment -- not individually reviewed</t>
        </is>
      </c>
      <c r="G1078" s="12" t="inlineStr">
        <is>
          <t>Not individually decided</t>
        </is>
      </c>
      <c r="H1078" s="12" t="inlineStr">
        <is>
          <t xml:space="preserve">APPROVED / ONE_TO_ONE; </t>
        </is>
      </c>
      <c r="I1078" s="12" t="inlineStr">
        <is>
          <t>New</t>
        </is>
      </c>
      <c r="J1078" s="17" t="inlineStr">
        <is>
          <t>08 CROSSWALK</t>
        </is>
      </c>
    </row>
    <row r="1079" ht="49" customHeight="1">
      <c r="A1079" s="12" t="inlineStr">
        <is>
          <t>R1394-v1</t>
        </is>
      </c>
      <c r="B1079" s="12" t="inlineStr">
        <is>
          <t>Cost &amp; Forecast Control Accounts / CST-04-072</t>
        </is>
      </c>
      <c r="C1079" s="12" t="inlineStr">
        <is>
          <t>Cost Account = CA-4072; WBS Code = 1.4.2</t>
        </is>
      </c>
      <c r="D1079" s="12" t="inlineStr">
        <is>
          <t>Proposed by Source assignment; target 1.4.2 Vehicles and Depot - Depot Buildings</t>
        </is>
      </c>
      <c r="E1079" s="12" t="inlineStr">
        <is>
          <t>None recorded</t>
        </is>
      </c>
      <c r="F1079" s="12" t="inlineStr">
        <is>
          <t>No individual professional decision recorded; Source assignment -- not individually reviewed</t>
        </is>
      </c>
      <c r="G1079" s="12" t="inlineStr">
        <is>
          <t>Not individually decided</t>
        </is>
      </c>
      <c r="H1079" s="12" t="inlineStr">
        <is>
          <t xml:space="preserve">APPROVED / ONE_TO_ONE; </t>
        </is>
      </c>
      <c r="I1079" s="12" t="inlineStr">
        <is>
          <t>New</t>
        </is>
      </c>
      <c r="J1079" s="17" t="inlineStr">
        <is>
          <t>08 CROSSWALK</t>
        </is>
      </c>
    </row>
    <row r="1080" ht="49" customHeight="1">
      <c r="A1080" s="12" t="inlineStr">
        <is>
          <t>R1396-v1</t>
        </is>
      </c>
      <c r="B1080" s="12" t="inlineStr">
        <is>
          <t>Cost &amp; Forecast Control Accounts / CST-04-074</t>
        </is>
      </c>
      <c r="C1080" s="12" t="inlineStr">
        <is>
          <t>Cost Account = CA-4074; WBS Code = 1.4.2</t>
        </is>
      </c>
      <c r="D1080" s="12" t="inlineStr">
        <is>
          <t>Proposed by Source assignment; target 1.4.2 Vehicles and Depot - Depot Buildings</t>
        </is>
      </c>
      <c r="E1080" s="12" t="inlineStr">
        <is>
          <t>None recorded</t>
        </is>
      </c>
      <c r="F1080" s="12" t="inlineStr">
        <is>
          <t>No individual professional decision recorded; Source assignment -- not individually reviewed</t>
        </is>
      </c>
      <c r="G1080" s="12" t="inlineStr">
        <is>
          <t>Not individually decided</t>
        </is>
      </c>
      <c r="H1080" s="12" t="inlineStr">
        <is>
          <t xml:space="preserve">APPROVED / ONE_TO_ONE; </t>
        </is>
      </c>
      <c r="I1080" s="12" t="inlineStr">
        <is>
          <t>New</t>
        </is>
      </c>
      <c r="J1080" s="17" t="inlineStr">
        <is>
          <t>08 CROSSWALK</t>
        </is>
      </c>
    </row>
    <row r="1081" ht="49" customHeight="1">
      <c r="A1081" s="12" t="inlineStr">
        <is>
          <t>R1398-v1</t>
        </is>
      </c>
      <c r="B1081" s="12" t="inlineStr">
        <is>
          <t>Cost &amp; Forecast Control Accounts / CST-04-076</t>
        </is>
      </c>
      <c r="C1081" s="12" t="inlineStr">
        <is>
          <t>Cost Account = CA-4076; WBS Code = 1.4.2</t>
        </is>
      </c>
      <c r="D1081" s="12" t="inlineStr">
        <is>
          <t>Proposed by Source assignment; target 1.4.2 Vehicles and Depot - Depot Buildings</t>
        </is>
      </c>
      <c r="E1081" s="12" t="inlineStr">
        <is>
          <t>None recorded</t>
        </is>
      </c>
      <c r="F1081" s="12" t="inlineStr">
        <is>
          <t>No individual professional decision recorded; Source assignment -- not individually reviewed</t>
        </is>
      </c>
      <c r="G1081" s="12" t="inlineStr">
        <is>
          <t>Not individually decided</t>
        </is>
      </c>
      <c r="H1081" s="12" t="inlineStr">
        <is>
          <t xml:space="preserve">APPROVED / ONE_TO_ONE; </t>
        </is>
      </c>
      <c r="I1081" s="12" t="inlineStr">
        <is>
          <t>New</t>
        </is>
      </c>
      <c r="J1081" s="17" t="inlineStr">
        <is>
          <t>08 CROSSWALK</t>
        </is>
      </c>
    </row>
    <row r="1082" ht="49" customHeight="1">
      <c r="A1082" s="12" t="inlineStr">
        <is>
          <t>R1400-v1</t>
        </is>
      </c>
      <c r="B1082" s="12" t="inlineStr">
        <is>
          <t>Cost &amp; Forecast Control Accounts / CST-04-078</t>
        </is>
      </c>
      <c r="C1082" s="12" t="inlineStr">
        <is>
          <t>Cost Account = CA-4078; WBS Code = 1.4.2</t>
        </is>
      </c>
      <c r="D1082" s="12" t="inlineStr">
        <is>
          <t>Proposed by Source assignment; target 1.4.2 Vehicles and Depot - Depot Buildings</t>
        </is>
      </c>
      <c r="E1082" s="12" t="inlineStr">
        <is>
          <t>None recorded</t>
        </is>
      </c>
      <c r="F1082" s="12" t="inlineStr">
        <is>
          <t>No individual professional decision recorded; Source assignment -- not individually reviewed</t>
        </is>
      </c>
      <c r="G1082" s="12" t="inlineStr">
        <is>
          <t>Not individually decided</t>
        </is>
      </c>
      <c r="H1082" s="12" t="inlineStr">
        <is>
          <t xml:space="preserve">APPROVED / ONE_TO_ONE; </t>
        </is>
      </c>
      <c r="I1082" s="12" t="inlineStr">
        <is>
          <t>New</t>
        </is>
      </c>
      <c r="J1082" s="17" t="inlineStr">
        <is>
          <t>08 CROSSWALK</t>
        </is>
      </c>
    </row>
    <row r="1083" ht="49" customHeight="1">
      <c r="A1083" s="12" t="inlineStr">
        <is>
          <t>R1402-v1</t>
        </is>
      </c>
      <c r="B1083" s="12" t="inlineStr">
        <is>
          <t>Cost &amp; Forecast Control Accounts / CST-04-080</t>
        </is>
      </c>
      <c r="C1083" s="12" t="inlineStr">
        <is>
          <t>Cost Account = CA-4080; WBS Code = 1.4.2</t>
        </is>
      </c>
      <c r="D1083" s="12" t="inlineStr">
        <is>
          <t>Proposed by Source assignment; target 1.4.2 Vehicles and Depot - Depot Buildings</t>
        </is>
      </c>
      <c r="E1083" s="12" t="inlineStr">
        <is>
          <t>None recorded</t>
        </is>
      </c>
      <c r="F1083" s="12" t="inlineStr">
        <is>
          <t>No individual professional decision recorded; Source assignment -- not individually reviewed</t>
        </is>
      </c>
      <c r="G1083" s="12" t="inlineStr">
        <is>
          <t>Not individually decided</t>
        </is>
      </c>
      <c r="H1083" s="12" t="inlineStr">
        <is>
          <t xml:space="preserve">APPROVED / ONE_TO_ONE; </t>
        </is>
      </c>
      <c r="I1083" s="12" t="inlineStr">
        <is>
          <t>New</t>
        </is>
      </c>
      <c r="J1083" s="17" t="inlineStr">
        <is>
          <t>08 CROSSWALK</t>
        </is>
      </c>
    </row>
    <row r="1084" ht="49" customHeight="1">
      <c r="A1084" s="12" t="inlineStr">
        <is>
          <t>R1603-v1</t>
        </is>
      </c>
      <c r="B1084" s="12" t="inlineStr">
        <is>
          <t>Commercial Package Register / PKG-041</t>
        </is>
      </c>
      <c r="C1084" s="12" t="inlineStr">
        <is>
          <t>Package Code = PK-501; WBS Code = 1.5</t>
        </is>
      </c>
      <c r="D1084" s="12" t="inlineStr">
        <is>
          <t>Proposed by Source assignment; target 1.5 Testing and Commissioning</t>
        </is>
      </c>
      <c r="E1084" s="12" t="inlineStr">
        <is>
          <t>None recorded</t>
        </is>
      </c>
      <c r="F1084" s="12" t="inlineStr">
        <is>
          <t>No individual professional decision recorded; Source assignment -- not individually reviewed</t>
        </is>
      </c>
      <c r="G1084" s="12" t="inlineStr">
        <is>
          <t>Not individually decided</t>
        </is>
      </c>
      <c r="H1084" s="12" t="inlineStr">
        <is>
          <t xml:space="preserve">APPROVED / ONE_TO_ONE; </t>
        </is>
      </c>
      <c r="I1084" s="12" t="inlineStr">
        <is>
          <t>New</t>
        </is>
      </c>
      <c r="J1084" s="17" t="inlineStr">
        <is>
          <t>08 CROSSWALK</t>
        </is>
      </c>
    </row>
    <row r="1085" ht="49" customHeight="1">
      <c r="A1085" s="12" t="inlineStr">
        <is>
          <t>R1604-v1</t>
        </is>
      </c>
      <c r="B1085" s="12" t="inlineStr">
        <is>
          <t>Commercial Package Register / PKG-042</t>
        </is>
      </c>
      <c r="C1085" s="12" t="inlineStr">
        <is>
          <t>Package Code = PK-502; WBS Code = 1.5</t>
        </is>
      </c>
      <c r="D1085" s="12" t="inlineStr">
        <is>
          <t>Proposed by Source assignment; target 1.5 Testing and Commissioning</t>
        </is>
      </c>
      <c r="E1085" s="12" t="inlineStr">
        <is>
          <t>None recorded</t>
        </is>
      </c>
      <c r="F1085" s="12" t="inlineStr">
        <is>
          <t>No individual professional decision recorded; Source assignment -- not individually reviewed</t>
        </is>
      </c>
      <c r="G1085" s="12" t="inlineStr">
        <is>
          <t>Not individually decided</t>
        </is>
      </c>
      <c r="H1085" s="12" t="inlineStr">
        <is>
          <t xml:space="preserve">APPROVED / ONE_TO_ONE; </t>
        </is>
      </c>
      <c r="I1085" s="12" t="inlineStr">
        <is>
          <t>New</t>
        </is>
      </c>
      <c r="J1085" s="17" t="inlineStr">
        <is>
          <t>08 CROSSWALK</t>
        </is>
      </c>
    </row>
    <row r="1086" ht="49" customHeight="1">
      <c r="A1086" s="12" t="inlineStr">
        <is>
          <t>R1605-v1</t>
        </is>
      </c>
      <c r="B1086" s="12" t="inlineStr">
        <is>
          <t>Commercial Package Register / PKG-043</t>
        </is>
      </c>
      <c r="C1086" s="12" t="inlineStr">
        <is>
          <t>Package Code = PK-503; WBS Code = 1.5</t>
        </is>
      </c>
      <c r="D1086" s="12" t="inlineStr">
        <is>
          <t>Proposed by Source assignment; target 1.5 Testing and Commissioning</t>
        </is>
      </c>
      <c r="E1086" s="12" t="inlineStr">
        <is>
          <t>None recorded</t>
        </is>
      </c>
      <c r="F1086" s="12" t="inlineStr">
        <is>
          <t>No individual professional decision recorded; Source assignment -- not individually reviewed</t>
        </is>
      </c>
      <c r="G1086" s="12" t="inlineStr">
        <is>
          <t>Not individually decided</t>
        </is>
      </c>
      <c r="H1086" s="12" t="inlineStr">
        <is>
          <t xml:space="preserve">APPROVED / ONE_TO_ONE; </t>
        </is>
      </c>
      <c r="I1086" s="12" t="inlineStr">
        <is>
          <t>New</t>
        </is>
      </c>
      <c r="J1086" s="17" t="inlineStr">
        <is>
          <t>08 CROSSWALK</t>
        </is>
      </c>
    </row>
    <row r="1087" ht="49" customHeight="1">
      <c r="A1087" s="12" t="inlineStr">
        <is>
          <t>R1606-v1</t>
        </is>
      </c>
      <c r="B1087" s="12" t="inlineStr">
        <is>
          <t>Commercial Package Register / PKG-044</t>
        </is>
      </c>
      <c r="C1087" s="12" t="inlineStr">
        <is>
          <t>Package Code = PK-504; WBS Code = 1.5</t>
        </is>
      </c>
      <c r="D1087" s="12" t="inlineStr">
        <is>
          <t>Proposed by Source assignment; target 1.5 Testing and Commissioning</t>
        </is>
      </c>
      <c r="E1087" s="12" t="inlineStr">
        <is>
          <t>None recorded</t>
        </is>
      </c>
      <c r="F1087" s="12" t="inlineStr">
        <is>
          <t>No individual professional decision recorded; Source assignment -- not individually reviewed</t>
        </is>
      </c>
      <c r="G1087" s="12" t="inlineStr">
        <is>
          <t>Not individually decided</t>
        </is>
      </c>
      <c r="H1087" s="12" t="inlineStr">
        <is>
          <t xml:space="preserve">APPROVED / ONE_TO_ONE; </t>
        </is>
      </c>
      <c r="I1087" s="12" t="inlineStr">
        <is>
          <t>New</t>
        </is>
      </c>
      <c r="J1087" s="17" t="inlineStr">
        <is>
          <t>08 CROSSWALK</t>
        </is>
      </c>
    </row>
    <row r="1088" ht="49" customHeight="1">
      <c r="A1088" s="12" t="inlineStr">
        <is>
          <t>R1607-v1</t>
        </is>
      </c>
      <c r="B1088" s="12" t="inlineStr">
        <is>
          <t>Commercial Package Register / PKG-045</t>
        </is>
      </c>
      <c r="C1088" s="12" t="inlineStr">
        <is>
          <t>Package Code = PK-505; WBS Code = 1.5</t>
        </is>
      </c>
      <c r="D1088" s="12" t="inlineStr">
        <is>
          <t>Proposed by Source assignment; target 1.5 Testing and Commissioning</t>
        </is>
      </c>
      <c r="E1088" s="12" t="inlineStr">
        <is>
          <t>None recorded</t>
        </is>
      </c>
      <c r="F1088" s="12" t="inlineStr">
        <is>
          <t>No individual professional decision recorded; Source assignment -- not individually reviewed</t>
        </is>
      </c>
      <c r="G1088" s="12" t="inlineStr">
        <is>
          <t>Not individually decided</t>
        </is>
      </c>
      <c r="H1088" s="12" t="inlineStr">
        <is>
          <t xml:space="preserve">APPROVED / ONE_TO_ONE; </t>
        </is>
      </c>
      <c r="I1088" s="12" t="inlineStr">
        <is>
          <t>New</t>
        </is>
      </c>
      <c r="J1088" s="17" t="inlineStr">
        <is>
          <t>08 CROSSWALK</t>
        </is>
      </c>
    </row>
    <row r="1089" ht="49" customHeight="1">
      <c r="A1089" s="12" t="inlineStr">
        <is>
          <t>R1608-v1</t>
        </is>
      </c>
      <c r="B1089" s="12" t="inlineStr">
        <is>
          <t>Commercial Package Register / PKG-046</t>
        </is>
      </c>
      <c r="C1089" s="12" t="inlineStr">
        <is>
          <t>Package Code = PK-506; WBS Code = 1.5</t>
        </is>
      </c>
      <c r="D1089" s="12" t="inlineStr">
        <is>
          <t>Proposed by Source assignment; target 1.5 Testing and Commissioning</t>
        </is>
      </c>
      <c r="E1089" s="12" t="inlineStr">
        <is>
          <t>None recorded</t>
        </is>
      </c>
      <c r="F1089" s="12" t="inlineStr">
        <is>
          <t>No individual professional decision recorded; Source assignment -- not individually reviewed</t>
        </is>
      </c>
      <c r="G1089" s="12" t="inlineStr">
        <is>
          <t>Not individually decided</t>
        </is>
      </c>
      <c r="H1089" s="12" t="inlineStr">
        <is>
          <t xml:space="preserve">APPROVED / ONE_TO_ONE; </t>
        </is>
      </c>
      <c r="I1089" s="12" t="inlineStr">
        <is>
          <t>New</t>
        </is>
      </c>
      <c r="J1089" s="17" t="inlineStr">
        <is>
          <t>08 CROSSWALK</t>
        </is>
      </c>
    </row>
    <row r="1090" ht="49" customHeight="1">
      <c r="A1090" s="12" t="inlineStr">
        <is>
          <t>R1609-v1</t>
        </is>
      </c>
      <c r="B1090" s="12" t="inlineStr">
        <is>
          <t>Commercial Package Register / PKG-047</t>
        </is>
      </c>
      <c r="C1090" s="12" t="inlineStr">
        <is>
          <t>Package Code = PK-507; WBS Code = 1.5</t>
        </is>
      </c>
      <c r="D1090" s="12" t="inlineStr">
        <is>
          <t>Proposed by Source assignment; target 1.5 Testing and Commissioning</t>
        </is>
      </c>
      <c r="E1090" s="12" t="inlineStr">
        <is>
          <t>None recorded</t>
        </is>
      </c>
      <c r="F1090" s="12" t="inlineStr">
        <is>
          <t>No individual professional decision recorded; Source assignment -- not individually reviewed</t>
        </is>
      </c>
      <c r="G1090" s="12" t="inlineStr">
        <is>
          <t>Not individually decided</t>
        </is>
      </c>
      <c r="H1090" s="12" t="inlineStr">
        <is>
          <t xml:space="preserve">APPROVED / ONE_TO_ONE; </t>
        </is>
      </c>
      <c r="I1090" s="12" t="inlineStr">
        <is>
          <t>New</t>
        </is>
      </c>
      <c r="J1090" s="17" t="inlineStr">
        <is>
          <t>08 CROSSWALK</t>
        </is>
      </c>
    </row>
    <row r="1091" ht="49" customHeight="1">
      <c r="A1091" s="12" t="inlineStr">
        <is>
          <t>R1610-v1</t>
        </is>
      </c>
      <c r="B1091" s="12" t="inlineStr">
        <is>
          <t>Commercial Package Register / PKG-048</t>
        </is>
      </c>
      <c r="C1091" s="12" t="inlineStr">
        <is>
          <t>Package Code = PK-508; WBS Code = 1.5</t>
        </is>
      </c>
      <c r="D1091" s="12" t="inlineStr">
        <is>
          <t>Proposed by Source assignment; target 1.5 Testing and Commissioning</t>
        </is>
      </c>
      <c r="E1091" s="12" t="inlineStr">
        <is>
          <t>None recorded</t>
        </is>
      </c>
      <c r="F1091" s="12" t="inlineStr">
        <is>
          <t>No individual professional decision recorded; Source assignment -- not individually reviewed</t>
        </is>
      </c>
      <c r="G1091" s="12" t="inlineStr">
        <is>
          <t>Not individually decided</t>
        </is>
      </c>
      <c r="H1091" s="12" t="inlineStr">
        <is>
          <t xml:space="preserve">APPROVED / ONE_TO_ONE; </t>
        </is>
      </c>
      <c r="I1091" s="12" t="inlineStr">
        <is>
          <t>New</t>
        </is>
      </c>
      <c r="J1091" s="17" t="inlineStr">
        <is>
          <t>08 CROSSWALK</t>
        </is>
      </c>
    </row>
    <row r="1092" ht="49" customHeight="1">
      <c r="A1092" s="12" t="inlineStr">
        <is>
          <t>R1611-v1</t>
        </is>
      </c>
      <c r="B1092" s="12" t="inlineStr">
        <is>
          <t>Commercial Package Register / PKG-049</t>
        </is>
      </c>
      <c r="C1092" s="12" t="inlineStr">
        <is>
          <t>Package Code = PK-509; WBS Code = 1.5</t>
        </is>
      </c>
      <c r="D1092" s="12" t="inlineStr">
        <is>
          <t>Proposed by Source assignment; target 1.5 Testing and Commissioning</t>
        </is>
      </c>
      <c r="E1092" s="12" t="inlineStr">
        <is>
          <t>None recorded</t>
        </is>
      </c>
      <c r="F1092" s="12" t="inlineStr">
        <is>
          <t>No individual professional decision recorded; Source assignment -- not individually reviewed</t>
        </is>
      </c>
      <c r="G1092" s="12" t="inlineStr">
        <is>
          <t>Not individually decided</t>
        </is>
      </c>
      <c r="H1092" s="12" t="inlineStr">
        <is>
          <t xml:space="preserve">APPROVED / ONE_TO_ONE; </t>
        </is>
      </c>
      <c r="I1092" s="12" t="inlineStr">
        <is>
          <t>New</t>
        </is>
      </c>
      <c r="J1092" s="17" t="inlineStr">
        <is>
          <t>08 CROSSWALK</t>
        </is>
      </c>
    </row>
    <row r="1093" ht="49" customHeight="1">
      <c r="A1093" s="12" t="inlineStr">
        <is>
          <t>R1612-v1</t>
        </is>
      </c>
      <c r="B1093" s="12" t="inlineStr">
        <is>
          <t>Commercial Package Register / PKG-050</t>
        </is>
      </c>
      <c r="C1093" s="12" t="inlineStr">
        <is>
          <t>Package Code = PK-510; WBS Code = 1.5</t>
        </is>
      </c>
      <c r="D1093" s="12" t="inlineStr">
        <is>
          <t>Proposed by Source assignment; target 1.5 Testing and Commissioning</t>
        </is>
      </c>
      <c r="E1093" s="12" t="inlineStr">
        <is>
          <t>None recorded</t>
        </is>
      </c>
      <c r="F1093" s="12" t="inlineStr">
        <is>
          <t>No individual professional decision recorded; Source assignment -- not individually reviewed</t>
        </is>
      </c>
      <c r="G1093" s="12" t="inlineStr">
        <is>
          <t>Not individually decided</t>
        </is>
      </c>
      <c r="H1093" s="12" t="inlineStr">
        <is>
          <t xml:space="preserve">APPROVED / ONE_TO_ONE; </t>
        </is>
      </c>
      <c r="I1093" s="12" t="inlineStr">
        <is>
          <t>New</t>
        </is>
      </c>
      <c r="J1093" s="17" t="inlineStr">
        <is>
          <t>08 CROSSWALK</t>
        </is>
      </c>
    </row>
    <row r="1094" ht="49" customHeight="1">
      <c r="A1094" s="12" t="inlineStr">
        <is>
          <t>R721-v1</t>
        </is>
      </c>
      <c r="B1094" s="12" t="inlineStr">
        <is>
          <t>Contractor Programme / SCH-05-001</t>
        </is>
      </c>
      <c r="C1094" s="12" t="inlineStr">
        <is>
          <t>WBS Code = 1.5.1</t>
        </is>
      </c>
      <c r="D1094" s="12" t="inlineStr">
        <is>
          <t>Proposed by Source assignment; target 1.5.1 Testing and Commissioning - Test Readiness</t>
        </is>
      </c>
      <c r="E1094" s="12" t="inlineStr">
        <is>
          <t>None recorded</t>
        </is>
      </c>
      <c r="F1094" s="12" t="inlineStr">
        <is>
          <t>No individual professional decision recorded; Source assignment -- not individually reviewed</t>
        </is>
      </c>
      <c r="G1094" s="12" t="inlineStr">
        <is>
          <t>Not individually decided</t>
        </is>
      </c>
      <c r="H1094" s="12" t="inlineStr">
        <is>
          <t xml:space="preserve">APPROVED / ONE_TO_ONE; </t>
        </is>
      </c>
      <c r="I1094" s="12" t="inlineStr">
        <is>
          <t>New</t>
        </is>
      </c>
      <c r="J1094" s="17" t="inlineStr">
        <is>
          <t>08 CROSSWALK</t>
        </is>
      </c>
    </row>
    <row r="1095" ht="49" customHeight="1">
      <c r="A1095" s="12" t="inlineStr">
        <is>
          <t>R722-v1</t>
        </is>
      </c>
      <c r="B1095" s="12" t="inlineStr">
        <is>
          <t>Contractor Programme / SCH-05-002</t>
        </is>
      </c>
      <c r="C1095" s="12" t="inlineStr">
        <is>
          <t>WBS Code = 1.5.1</t>
        </is>
      </c>
      <c r="D1095" s="12" t="inlineStr">
        <is>
          <t>Proposed by Source assignment; target 1.5.1 Testing and Commissioning - Test Readiness</t>
        </is>
      </c>
      <c r="E1095" s="12" t="inlineStr">
        <is>
          <t>None recorded</t>
        </is>
      </c>
      <c r="F1095" s="12" t="inlineStr">
        <is>
          <t>No individual professional decision recorded; Source assignment -- not individually reviewed</t>
        </is>
      </c>
      <c r="G1095" s="12" t="inlineStr">
        <is>
          <t>Not individually decided</t>
        </is>
      </c>
      <c r="H1095" s="12" t="inlineStr">
        <is>
          <t xml:space="preserve">APPROVED / ONE_TO_ONE; </t>
        </is>
      </c>
      <c r="I1095" s="12" t="inlineStr">
        <is>
          <t>New</t>
        </is>
      </c>
      <c r="J1095" s="17" t="inlineStr">
        <is>
          <t>08 CROSSWALK</t>
        </is>
      </c>
    </row>
    <row r="1096" ht="49" customHeight="1">
      <c r="A1096" s="12" t="inlineStr">
        <is>
          <t>R724-v1</t>
        </is>
      </c>
      <c r="B1096" s="12" t="inlineStr">
        <is>
          <t>Contractor Programme / SCH-05-004</t>
        </is>
      </c>
      <c r="C1096" s="12" t="inlineStr">
        <is>
          <t>WBS Code = 1.5.1</t>
        </is>
      </c>
      <c r="D1096" s="12" t="inlineStr">
        <is>
          <t>Proposed by Source assignment; target 1.5.1 Testing and Commissioning - Test Readiness</t>
        </is>
      </c>
      <c r="E1096" s="12" t="inlineStr">
        <is>
          <t>None recorded</t>
        </is>
      </c>
      <c r="F1096" s="12" t="inlineStr">
        <is>
          <t>No individual professional decision recorded; Source assignment -- not individually reviewed</t>
        </is>
      </c>
      <c r="G1096" s="12" t="inlineStr">
        <is>
          <t>Not individually decided</t>
        </is>
      </c>
      <c r="H1096" s="12" t="inlineStr">
        <is>
          <t xml:space="preserve">APPROVED / ONE_TO_ONE; </t>
        </is>
      </c>
      <c r="I1096" s="12" t="inlineStr">
        <is>
          <t>New</t>
        </is>
      </c>
      <c r="J1096" s="17" t="inlineStr">
        <is>
          <t>08 CROSSWALK</t>
        </is>
      </c>
    </row>
    <row r="1097" ht="49" customHeight="1">
      <c r="A1097" s="12" t="inlineStr">
        <is>
          <t>R725-v1</t>
        </is>
      </c>
      <c r="B1097" s="12" t="inlineStr">
        <is>
          <t>Contractor Programme / SCH-05-005</t>
        </is>
      </c>
      <c r="C1097" s="12" t="inlineStr">
        <is>
          <t>WBS Code = 1.5.1</t>
        </is>
      </c>
      <c r="D1097" s="12" t="inlineStr">
        <is>
          <t>Proposed by Source assignment; target 1.5.1 Testing and Commissioning - Test Readiness</t>
        </is>
      </c>
      <c r="E1097" s="12" t="inlineStr">
        <is>
          <t>None recorded</t>
        </is>
      </c>
      <c r="F1097" s="12" t="inlineStr">
        <is>
          <t>No individual professional decision recorded; Source assignment -- not individually reviewed</t>
        </is>
      </c>
      <c r="G1097" s="12" t="inlineStr">
        <is>
          <t>Not individually decided</t>
        </is>
      </c>
      <c r="H1097" s="12" t="inlineStr">
        <is>
          <t xml:space="preserve">APPROVED / ONE_TO_ONE; </t>
        </is>
      </c>
      <c r="I1097" s="12" t="inlineStr">
        <is>
          <t>New</t>
        </is>
      </c>
      <c r="J1097" s="17" t="inlineStr">
        <is>
          <t>08 CROSSWALK</t>
        </is>
      </c>
    </row>
    <row r="1098" ht="49" customHeight="1">
      <c r="A1098" s="12" t="inlineStr">
        <is>
          <t>R727-v1</t>
        </is>
      </c>
      <c r="B1098" s="12" t="inlineStr">
        <is>
          <t>Contractor Programme / SCH-05-007</t>
        </is>
      </c>
      <c r="C1098" s="12" t="inlineStr">
        <is>
          <t>WBS Code = 1.5.1</t>
        </is>
      </c>
      <c r="D1098" s="12" t="inlineStr">
        <is>
          <t>Proposed by Source assignment; target 1.5.1 Testing and Commissioning - Test Readiness</t>
        </is>
      </c>
      <c r="E1098" s="12" t="inlineStr">
        <is>
          <t>None recorded</t>
        </is>
      </c>
      <c r="F1098" s="12" t="inlineStr">
        <is>
          <t>No individual professional decision recorded; Source assignment -- not individually reviewed</t>
        </is>
      </c>
      <c r="G1098" s="12" t="inlineStr">
        <is>
          <t>Not individually decided</t>
        </is>
      </c>
      <c r="H1098" s="12" t="inlineStr">
        <is>
          <t xml:space="preserve">APPROVED / ONE_TO_ONE; </t>
        </is>
      </c>
      <c r="I1098" s="12" t="inlineStr">
        <is>
          <t>New</t>
        </is>
      </c>
      <c r="J1098" s="17" t="inlineStr">
        <is>
          <t>08 CROSSWALK</t>
        </is>
      </c>
    </row>
    <row r="1099" ht="49" customHeight="1">
      <c r="A1099" s="12" t="inlineStr">
        <is>
          <t>R728-v1</t>
        </is>
      </c>
      <c r="B1099" s="12" t="inlineStr">
        <is>
          <t>Contractor Programme / SCH-05-008</t>
        </is>
      </c>
      <c r="C1099" s="12" t="inlineStr">
        <is>
          <t>WBS Code = 1.5.1</t>
        </is>
      </c>
      <c r="D1099" s="12" t="inlineStr">
        <is>
          <t>Proposed by Source assignment; target 1.5.1 Testing and Commissioning - Test Readiness</t>
        </is>
      </c>
      <c r="E1099" s="12" t="inlineStr">
        <is>
          <t>None recorded</t>
        </is>
      </c>
      <c r="F1099" s="12" t="inlineStr">
        <is>
          <t>No individual professional decision recorded; Source assignment -- not individually reviewed</t>
        </is>
      </c>
      <c r="G1099" s="12" t="inlineStr">
        <is>
          <t>Not individually decided</t>
        </is>
      </c>
      <c r="H1099" s="12" t="inlineStr">
        <is>
          <t xml:space="preserve">APPROVED / ONE_TO_ONE; </t>
        </is>
      </c>
      <c r="I1099" s="12" t="inlineStr">
        <is>
          <t>New</t>
        </is>
      </c>
      <c r="J1099" s="17" t="inlineStr">
        <is>
          <t>08 CROSSWALK</t>
        </is>
      </c>
    </row>
    <row r="1100" ht="49" customHeight="1">
      <c r="A1100" s="12" t="inlineStr">
        <is>
          <t>R730-v1</t>
        </is>
      </c>
      <c r="B1100" s="12" t="inlineStr">
        <is>
          <t>Contractor Programme / SCH-05-010</t>
        </is>
      </c>
      <c r="C1100" s="12" t="inlineStr">
        <is>
          <t>WBS Code = 1.5.1</t>
        </is>
      </c>
      <c r="D1100" s="12" t="inlineStr">
        <is>
          <t>Proposed by Source assignment; target 1.5.1 Testing and Commissioning - Test Readiness</t>
        </is>
      </c>
      <c r="E1100" s="12" t="inlineStr">
        <is>
          <t>None recorded</t>
        </is>
      </c>
      <c r="F1100" s="12" t="inlineStr">
        <is>
          <t>No individual professional decision recorded; Source assignment -- not individually reviewed</t>
        </is>
      </c>
      <c r="G1100" s="12" t="inlineStr">
        <is>
          <t>Not individually decided</t>
        </is>
      </c>
      <c r="H1100" s="12" t="inlineStr">
        <is>
          <t xml:space="preserve">APPROVED / ONE_TO_ONE; </t>
        </is>
      </c>
      <c r="I1100" s="12" t="inlineStr">
        <is>
          <t>New</t>
        </is>
      </c>
      <c r="J1100" s="17" t="inlineStr">
        <is>
          <t>08 CROSSWALK</t>
        </is>
      </c>
    </row>
    <row r="1101" ht="49" customHeight="1">
      <c r="A1101" s="12" t="inlineStr">
        <is>
          <t>R731-v1</t>
        </is>
      </c>
      <c r="B1101" s="12" t="inlineStr">
        <is>
          <t>Contractor Programme / SCH-05-011</t>
        </is>
      </c>
      <c r="C1101" s="12" t="inlineStr">
        <is>
          <t>WBS Code = 1.5.1</t>
        </is>
      </c>
      <c r="D1101" s="12" t="inlineStr">
        <is>
          <t>Proposed by Source assignment; target 1.5.1 Testing and Commissioning - Test Readiness</t>
        </is>
      </c>
      <c r="E1101" s="12" t="inlineStr">
        <is>
          <t>None recorded</t>
        </is>
      </c>
      <c r="F1101" s="12" t="inlineStr">
        <is>
          <t>No individual professional decision recorded; Source assignment -- not individually reviewed</t>
        </is>
      </c>
      <c r="G1101" s="12" t="inlineStr">
        <is>
          <t>Not individually decided</t>
        </is>
      </c>
      <c r="H1101" s="12" t="inlineStr">
        <is>
          <t xml:space="preserve">APPROVED / ONE_TO_ONE; </t>
        </is>
      </c>
      <c r="I1101" s="12" t="inlineStr">
        <is>
          <t>New</t>
        </is>
      </c>
      <c r="J1101" s="17" t="inlineStr">
        <is>
          <t>08 CROSSWALK</t>
        </is>
      </c>
    </row>
    <row r="1102" ht="49" customHeight="1">
      <c r="A1102" s="12" t="inlineStr">
        <is>
          <t>R733-v1</t>
        </is>
      </c>
      <c r="B1102" s="12" t="inlineStr">
        <is>
          <t>Contractor Programme / SCH-05-013</t>
        </is>
      </c>
      <c r="C1102" s="12" t="inlineStr">
        <is>
          <t>WBS Code = 1.5.1</t>
        </is>
      </c>
      <c r="D1102" s="12" t="inlineStr">
        <is>
          <t>Proposed by Source assignment; target 1.5.1 Testing and Commissioning - Test Readiness</t>
        </is>
      </c>
      <c r="E1102" s="12" t="inlineStr">
        <is>
          <t>None recorded</t>
        </is>
      </c>
      <c r="F1102" s="12" t="inlineStr">
        <is>
          <t>No individual professional decision recorded; Source assignment -- not individually reviewed</t>
        </is>
      </c>
      <c r="G1102" s="12" t="inlineStr">
        <is>
          <t>Not individually decided</t>
        </is>
      </c>
      <c r="H1102" s="12" t="inlineStr">
        <is>
          <t xml:space="preserve">APPROVED / ONE_TO_ONE; </t>
        </is>
      </c>
      <c r="I1102" s="12" t="inlineStr">
        <is>
          <t>New</t>
        </is>
      </c>
      <c r="J1102" s="17" t="inlineStr">
        <is>
          <t>08 CROSSWALK</t>
        </is>
      </c>
    </row>
    <row r="1103" ht="49" customHeight="1">
      <c r="A1103" s="12" t="inlineStr">
        <is>
          <t>R734-v1</t>
        </is>
      </c>
      <c r="B1103" s="12" t="inlineStr">
        <is>
          <t>Contractor Programme / SCH-05-014</t>
        </is>
      </c>
      <c r="C1103" s="12" t="inlineStr">
        <is>
          <t>WBS Code = 1.5.1</t>
        </is>
      </c>
      <c r="D1103" s="12" t="inlineStr">
        <is>
          <t>Proposed by Source assignment; target 1.5.1 Testing and Commissioning - Test Readiness</t>
        </is>
      </c>
      <c r="E1103" s="12" t="inlineStr">
        <is>
          <t>None recorded</t>
        </is>
      </c>
      <c r="F1103" s="12" t="inlineStr">
        <is>
          <t>No individual professional decision recorded; Source assignment -- not individually reviewed</t>
        </is>
      </c>
      <c r="G1103" s="12" t="inlineStr">
        <is>
          <t>Not individually decided</t>
        </is>
      </c>
      <c r="H1103" s="12" t="inlineStr">
        <is>
          <t xml:space="preserve">APPROVED / ONE_TO_ONE; </t>
        </is>
      </c>
      <c r="I1103" s="12" t="inlineStr">
        <is>
          <t>New</t>
        </is>
      </c>
      <c r="J1103" s="17" t="inlineStr">
        <is>
          <t>08 CROSSWALK</t>
        </is>
      </c>
    </row>
    <row r="1104" ht="49" customHeight="1">
      <c r="A1104" s="12" t="inlineStr">
        <is>
          <t>R736-v1</t>
        </is>
      </c>
      <c r="B1104" s="12" t="inlineStr">
        <is>
          <t>Contractor Programme / SCH-05-016</t>
        </is>
      </c>
      <c r="C1104" s="12" t="inlineStr">
        <is>
          <t>WBS Code = 1.5.1</t>
        </is>
      </c>
      <c r="D1104" s="12" t="inlineStr">
        <is>
          <t>Proposed by Source assignment; target 1.5.1 Testing and Commissioning - Test Readiness</t>
        </is>
      </c>
      <c r="E1104" s="12" t="inlineStr">
        <is>
          <t>None recorded</t>
        </is>
      </c>
      <c r="F1104" s="12" t="inlineStr">
        <is>
          <t>No individual professional decision recorded; Source assignment -- not individually reviewed</t>
        </is>
      </c>
      <c r="G1104" s="12" t="inlineStr">
        <is>
          <t>Not individually decided</t>
        </is>
      </c>
      <c r="H1104" s="12" t="inlineStr">
        <is>
          <t xml:space="preserve">APPROVED / ONE_TO_ONE; </t>
        </is>
      </c>
      <c r="I1104" s="12" t="inlineStr">
        <is>
          <t>New</t>
        </is>
      </c>
      <c r="J1104" s="17" t="inlineStr">
        <is>
          <t>08 CROSSWALK</t>
        </is>
      </c>
    </row>
    <row r="1105" ht="49" customHeight="1">
      <c r="A1105" s="12" t="inlineStr">
        <is>
          <t>R737-v1</t>
        </is>
      </c>
      <c r="B1105" s="12" t="inlineStr">
        <is>
          <t>Contractor Programme / SCH-05-017</t>
        </is>
      </c>
      <c r="C1105" s="12" t="inlineStr">
        <is>
          <t>WBS Code = 1.5.1</t>
        </is>
      </c>
      <c r="D1105" s="12" t="inlineStr">
        <is>
          <t>Proposed by Source assignment; target 1.5.1 Testing and Commissioning - Test Readiness</t>
        </is>
      </c>
      <c r="E1105" s="12" t="inlineStr">
        <is>
          <t>None recorded</t>
        </is>
      </c>
      <c r="F1105" s="12" t="inlineStr">
        <is>
          <t>No individual professional decision recorded; Source assignment -- not individually reviewed</t>
        </is>
      </c>
      <c r="G1105" s="12" t="inlineStr">
        <is>
          <t>Not individually decided</t>
        </is>
      </c>
      <c r="H1105" s="12" t="inlineStr">
        <is>
          <t xml:space="preserve">APPROVED / ONE_TO_ONE; </t>
        </is>
      </c>
      <c r="I1105" s="12" t="inlineStr">
        <is>
          <t>New</t>
        </is>
      </c>
      <c r="J1105" s="17" t="inlineStr">
        <is>
          <t>08 CROSSWALK</t>
        </is>
      </c>
    </row>
    <row r="1106" ht="49" customHeight="1">
      <c r="A1106" s="12" t="inlineStr">
        <is>
          <t>R739-v1</t>
        </is>
      </c>
      <c r="B1106" s="12" t="inlineStr">
        <is>
          <t>Contractor Programme / SCH-05-019</t>
        </is>
      </c>
      <c r="C1106" s="12" t="inlineStr">
        <is>
          <t>WBS Code = 1.5.1</t>
        </is>
      </c>
      <c r="D1106" s="12" t="inlineStr">
        <is>
          <t>Proposed by Source assignment; target 1.5.1 Testing and Commissioning - Test Readiness</t>
        </is>
      </c>
      <c r="E1106" s="12" t="inlineStr">
        <is>
          <t>None recorded</t>
        </is>
      </c>
      <c r="F1106" s="12" t="inlineStr">
        <is>
          <t>No individual professional decision recorded; Source assignment -- not individually reviewed</t>
        </is>
      </c>
      <c r="G1106" s="12" t="inlineStr">
        <is>
          <t>Not individually decided</t>
        </is>
      </c>
      <c r="H1106" s="12" t="inlineStr">
        <is>
          <t xml:space="preserve">APPROVED / ONE_TO_ONE; </t>
        </is>
      </c>
      <c r="I1106" s="12" t="inlineStr">
        <is>
          <t>New</t>
        </is>
      </c>
      <c r="J1106" s="17" t="inlineStr">
        <is>
          <t>08 CROSSWALK</t>
        </is>
      </c>
    </row>
    <row r="1107" ht="49" customHeight="1">
      <c r="A1107" s="12" t="inlineStr">
        <is>
          <t>R740-v1</t>
        </is>
      </c>
      <c r="B1107" s="12" t="inlineStr">
        <is>
          <t>Contractor Programme / SCH-05-020</t>
        </is>
      </c>
      <c r="C1107" s="12" t="inlineStr">
        <is>
          <t>WBS Code = 1.5.1</t>
        </is>
      </c>
      <c r="D1107" s="12" t="inlineStr">
        <is>
          <t>Proposed by Source assignment; target 1.5.1 Testing and Commissioning - Test Readiness</t>
        </is>
      </c>
      <c r="E1107" s="12" t="inlineStr">
        <is>
          <t>None recorded</t>
        </is>
      </c>
      <c r="F1107" s="12" t="inlineStr">
        <is>
          <t>No individual professional decision recorded; Source assignment -- not individually reviewed</t>
        </is>
      </c>
      <c r="G1107" s="12" t="inlineStr">
        <is>
          <t>Not individually decided</t>
        </is>
      </c>
      <c r="H1107" s="12" t="inlineStr">
        <is>
          <t xml:space="preserve">APPROVED / ONE_TO_ONE; </t>
        </is>
      </c>
      <c r="I1107" s="12" t="inlineStr">
        <is>
          <t>New</t>
        </is>
      </c>
      <c r="J1107" s="17" t="inlineStr">
        <is>
          <t>08 CROSSWALK</t>
        </is>
      </c>
    </row>
    <row r="1108" ht="49" customHeight="1">
      <c r="A1108" s="12" t="inlineStr">
        <is>
          <t>R742-v1</t>
        </is>
      </c>
      <c r="B1108" s="12" t="inlineStr">
        <is>
          <t>Contractor Programme / SCH-05-022</t>
        </is>
      </c>
      <c r="C1108" s="12" t="inlineStr">
        <is>
          <t>WBS Code = 1.5.1</t>
        </is>
      </c>
      <c r="D1108" s="12" t="inlineStr">
        <is>
          <t>Proposed by Source assignment; target 1.5.1 Testing and Commissioning - Test Readiness</t>
        </is>
      </c>
      <c r="E1108" s="12" t="inlineStr">
        <is>
          <t>None recorded</t>
        </is>
      </c>
      <c r="F1108" s="12" t="inlineStr">
        <is>
          <t>No individual professional decision recorded; Source assignment -- not individually reviewed</t>
        </is>
      </c>
      <c r="G1108" s="12" t="inlineStr">
        <is>
          <t>Not individually decided</t>
        </is>
      </c>
      <c r="H1108" s="12" t="inlineStr">
        <is>
          <t xml:space="preserve">APPROVED / ONE_TO_ONE; </t>
        </is>
      </c>
      <c r="I1108" s="12" t="inlineStr">
        <is>
          <t>New</t>
        </is>
      </c>
      <c r="J1108" s="17" t="inlineStr">
        <is>
          <t>08 CROSSWALK</t>
        </is>
      </c>
    </row>
    <row r="1109" ht="49" customHeight="1">
      <c r="A1109" s="12" t="inlineStr">
        <is>
          <t>R743-v1</t>
        </is>
      </c>
      <c r="B1109" s="12" t="inlineStr">
        <is>
          <t>Contractor Programme / SCH-05-023</t>
        </is>
      </c>
      <c r="C1109" s="12" t="inlineStr">
        <is>
          <t>WBS Code = 1.5.1</t>
        </is>
      </c>
      <c r="D1109" s="12" t="inlineStr">
        <is>
          <t>Proposed by Source assignment; target 1.5.1 Testing and Commissioning - Test Readiness</t>
        </is>
      </c>
      <c r="E1109" s="12" t="inlineStr">
        <is>
          <t>None recorded</t>
        </is>
      </c>
      <c r="F1109" s="12" t="inlineStr">
        <is>
          <t>No individual professional decision recorded; Source assignment -- not individually reviewed</t>
        </is>
      </c>
      <c r="G1109" s="12" t="inlineStr">
        <is>
          <t>Not individually decided</t>
        </is>
      </c>
      <c r="H1109" s="12" t="inlineStr">
        <is>
          <t xml:space="preserve">APPROVED / ONE_TO_ONE; </t>
        </is>
      </c>
      <c r="I1109" s="12" t="inlineStr">
        <is>
          <t>New</t>
        </is>
      </c>
      <c r="J1109" s="17" t="inlineStr">
        <is>
          <t>08 CROSSWALK</t>
        </is>
      </c>
    </row>
    <row r="1110" ht="49" customHeight="1">
      <c r="A1110" s="12" t="inlineStr">
        <is>
          <t>R745-v1</t>
        </is>
      </c>
      <c r="B1110" s="12" t="inlineStr">
        <is>
          <t>Contractor Programme / SCH-05-025</t>
        </is>
      </c>
      <c r="C1110" s="12" t="inlineStr">
        <is>
          <t>WBS Code = 1.5.1</t>
        </is>
      </c>
      <c r="D1110" s="12" t="inlineStr">
        <is>
          <t>Proposed by Source assignment; target 1.5.1 Testing and Commissioning - Test Readiness</t>
        </is>
      </c>
      <c r="E1110" s="12" t="inlineStr">
        <is>
          <t>None recorded</t>
        </is>
      </c>
      <c r="F1110" s="12" t="inlineStr">
        <is>
          <t>No individual professional decision recorded; Source assignment -- not individually reviewed</t>
        </is>
      </c>
      <c r="G1110" s="12" t="inlineStr">
        <is>
          <t>Not individually decided</t>
        </is>
      </c>
      <c r="H1110" s="12" t="inlineStr">
        <is>
          <t xml:space="preserve">APPROVED / ONE_TO_ONE; </t>
        </is>
      </c>
      <c r="I1110" s="12" t="inlineStr">
        <is>
          <t>New</t>
        </is>
      </c>
      <c r="J1110" s="17" t="inlineStr">
        <is>
          <t>08 CROSSWALK</t>
        </is>
      </c>
    </row>
    <row r="1111" ht="49" customHeight="1">
      <c r="A1111" s="12" t="inlineStr">
        <is>
          <t>R746-v1</t>
        </is>
      </c>
      <c r="B1111" s="12" t="inlineStr">
        <is>
          <t>Contractor Programme / SCH-05-026</t>
        </is>
      </c>
      <c r="C1111" s="12" t="inlineStr">
        <is>
          <t>WBS Code = 1.5.1</t>
        </is>
      </c>
      <c r="D1111" s="12" t="inlineStr">
        <is>
          <t>Proposed by Source assignment; target 1.5.1 Testing and Commissioning - Test Readiness</t>
        </is>
      </c>
      <c r="E1111" s="12" t="inlineStr">
        <is>
          <t>None recorded</t>
        </is>
      </c>
      <c r="F1111" s="12" t="inlineStr">
        <is>
          <t>No individual professional decision recorded; Source assignment -- not individually reviewed</t>
        </is>
      </c>
      <c r="G1111" s="12" t="inlineStr">
        <is>
          <t>Not individually decided</t>
        </is>
      </c>
      <c r="H1111" s="12" t="inlineStr">
        <is>
          <t xml:space="preserve">APPROVED / ONE_TO_ONE; </t>
        </is>
      </c>
      <c r="I1111" s="12" t="inlineStr">
        <is>
          <t>New</t>
        </is>
      </c>
      <c r="J1111" s="17" t="inlineStr">
        <is>
          <t>08 CROSSWALK</t>
        </is>
      </c>
    </row>
    <row r="1112" ht="49" customHeight="1">
      <c r="A1112" s="12" t="inlineStr">
        <is>
          <t>R748-v1</t>
        </is>
      </c>
      <c r="B1112" s="12" t="inlineStr">
        <is>
          <t>Contractor Programme / SCH-05-028</t>
        </is>
      </c>
      <c r="C1112" s="12" t="inlineStr">
        <is>
          <t>WBS Code = 1.5.1</t>
        </is>
      </c>
      <c r="D1112" s="12" t="inlineStr">
        <is>
          <t>Proposed by Source assignment; target 1.5.1 Testing and Commissioning - Test Readiness</t>
        </is>
      </c>
      <c r="E1112" s="12" t="inlineStr">
        <is>
          <t>None recorded</t>
        </is>
      </c>
      <c r="F1112" s="12" t="inlineStr">
        <is>
          <t>No individual professional decision recorded; Source assignment -- not individually reviewed</t>
        </is>
      </c>
      <c r="G1112" s="12" t="inlineStr">
        <is>
          <t>Not individually decided</t>
        </is>
      </c>
      <c r="H1112" s="12" t="inlineStr">
        <is>
          <t xml:space="preserve">APPROVED / ONE_TO_ONE; </t>
        </is>
      </c>
      <c r="I1112" s="12" t="inlineStr">
        <is>
          <t>New</t>
        </is>
      </c>
      <c r="J1112" s="17" t="inlineStr">
        <is>
          <t>08 CROSSWALK</t>
        </is>
      </c>
    </row>
    <row r="1113" ht="49" customHeight="1">
      <c r="A1113" s="12" t="inlineStr">
        <is>
          <t>R749-v1</t>
        </is>
      </c>
      <c r="B1113" s="12" t="inlineStr">
        <is>
          <t>Contractor Programme / SCH-05-029</t>
        </is>
      </c>
      <c r="C1113" s="12" t="inlineStr">
        <is>
          <t>WBS Code = 1.5.1</t>
        </is>
      </c>
      <c r="D1113" s="12" t="inlineStr">
        <is>
          <t>Proposed by Source assignment; target 1.5.1 Testing and Commissioning - Test Readiness</t>
        </is>
      </c>
      <c r="E1113" s="12" t="inlineStr">
        <is>
          <t>None recorded</t>
        </is>
      </c>
      <c r="F1113" s="12" t="inlineStr">
        <is>
          <t>No individual professional decision recorded; Source assignment -- not individually reviewed</t>
        </is>
      </c>
      <c r="G1113" s="12" t="inlineStr">
        <is>
          <t>Not individually decided</t>
        </is>
      </c>
      <c r="H1113" s="12" t="inlineStr">
        <is>
          <t xml:space="preserve">APPROVED / ONE_TO_ONE; </t>
        </is>
      </c>
      <c r="I1113" s="12" t="inlineStr">
        <is>
          <t>New</t>
        </is>
      </c>
      <c r="J1113" s="17" t="inlineStr">
        <is>
          <t>08 CROSSWALK</t>
        </is>
      </c>
    </row>
    <row r="1114" ht="49" customHeight="1">
      <c r="A1114" s="12" t="inlineStr">
        <is>
          <t>R751-v1</t>
        </is>
      </c>
      <c r="B1114" s="12" t="inlineStr">
        <is>
          <t>Contractor Programme / SCH-05-031</t>
        </is>
      </c>
      <c r="C1114" s="12" t="inlineStr">
        <is>
          <t>WBS Code = 1.5.1</t>
        </is>
      </c>
      <c r="D1114" s="12" t="inlineStr">
        <is>
          <t>Proposed by Source assignment; target 1.5.1 Testing and Commissioning - Test Readiness</t>
        </is>
      </c>
      <c r="E1114" s="12" t="inlineStr">
        <is>
          <t>None recorded</t>
        </is>
      </c>
      <c r="F1114" s="12" t="inlineStr">
        <is>
          <t>No individual professional decision recorded; Source assignment -- not individually reviewed</t>
        </is>
      </c>
      <c r="G1114" s="12" t="inlineStr">
        <is>
          <t>Not individually decided</t>
        </is>
      </c>
      <c r="H1114" s="12" t="inlineStr">
        <is>
          <t xml:space="preserve">APPROVED / ONE_TO_ONE; </t>
        </is>
      </c>
      <c r="I1114" s="12" t="inlineStr">
        <is>
          <t>New</t>
        </is>
      </c>
      <c r="J1114" s="17" t="inlineStr">
        <is>
          <t>08 CROSSWALK</t>
        </is>
      </c>
    </row>
    <row r="1115" ht="49" customHeight="1">
      <c r="A1115" s="12" t="inlineStr">
        <is>
          <t>R752-v1</t>
        </is>
      </c>
      <c r="B1115" s="12" t="inlineStr">
        <is>
          <t>Contractor Programme / SCH-05-032</t>
        </is>
      </c>
      <c r="C1115" s="12" t="inlineStr">
        <is>
          <t>WBS Code = 1.5.1</t>
        </is>
      </c>
      <c r="D1115" s="12" t="inlineStr">
        <is>
          <t>Proposed by Source assignment; target 1.5.1 Testing and Commissioning - Test Readiness</t>
        </is>
      </c>
      <c r="E1115" s="12" t="inlineStr">
        <is>
          <t>None recorded</t>
        </is>
      </c>
      <c r="F1115" s="12" t="inlineStr">
        <is>
          <t>No individual professional decision recorded; Source assignment -- not individually reviewed</t>
        </is>
      </c>
      <c r="G1115" s="12" t="inlineStr">
        <is>
          <t>Not individually decided</t>
        </is>
      </c>
      <c r="H1115" s="12" t="inlineStr">
        <is>
          <t xml:space="preserve">APPROVED / ONE_TO_ONE; </t>
        </is>
      </c>
      <c r="I1115" s="12" t="inlineStr">
        <is>
          <t>New</t>
        </is>
      </c>
      <c r="J1115" s="17" t="inlineStr">
        <is>
          <t>08 CROSSWALK</t>
        </is>
      </c>
    </row>
    <row r="1116" ht="49" customHeight="1">
      <c r="A1116" s="12" t="inlineStr">
        <is>
          <t>R754-v1</t>
        </is>
      </c>
      <c r="B1116" s="12" t="inlineStr">
        <is>
          <t>Contractor Programme / SCH-05-034</t>
        </is>
      </c>
      <c r="C1116" s="12" t="inlineStr">
        <is>
          <t>WBS Code = 1.5.1</t>
        </is>
      </c>
      <c r="D1116" s="12" t="inlineStr">
        <is>
          <t>Proposed by Source assignment; target 1.5.1 Testing and Commissioning - Test Readiness</t>
        </is>
      </c>
      <c r="E1116" s="12" t="inlineStr">
        <is>
          <t>None recorded</t>
        </is>
      </c>
      <c r="F1116" s="12" t="inlineStr">
        <is>
          <t>No individual professional decision recorded; Source assignment -- not individually reviewed</t>
        </is>
      </c>
      <c r="G1116" s="12" t="inlineStr">
        <is>
          <t>Not individually decided</t>
        </is>
      </c>
      <c r="H1116" s="12" t="inlineStr">
        <is>
          <t xml:space="preserve">APPROVED / ONE_TO_ONE; </t>
        </is>
      </c>
      <c r="I1116" s="12" t="inlineStr">
        <is>
          <t>New</t>
        </is>
      </c>
      <c r="J1116" s="17" t="inlineStr">
        <is>
          <t>08 CROSSWALK</t>
        </is>
      </c>
    </row>
    <row r="1117" ht="49" customHeight="1">
      <c r="A1117" s="12" t="inlineStr">
        <is>
          <t>R755-v1</t>
        </is>
      </c>
      <c r="B1117" s="12" t="inlineStr">
        <is>
          <t>Contractor Programme / SCH-05-035</t>
        </is>
      </c>
      <c r="C1117" s="12" t="inlineStr">
        <is>
          <t>WBS Code = 1.5.1</t>
        </is>
      </c>
      <c r="D1117" s="12" t="inlineStr">
        <is>
          <t>Proposed by Source assignment; target 1.5.1 Testing and Commissioning - Test Readiness</t>
        </is>
      </c>
      <c r="E1117" s="12" t="inlineStr">
        <is>
          <t>None recorded</t>
        </is>
      </c>
      <c r="F1117" s="12" t="inlineStr">
        <is>
          <t>No individual professional decision recorded; Source assignment -- not individually reviewed</t>
        </is>
      </c>
      <c r="G1117" s="12" t="inlineStr">
        <is>
          <t>Not individually decided</t>
        </is>
      </c>
      <c r="H1117" s="12" t="inlineStr">
        <is>
          <t xml:space="preserve">APPROVED / ONE_TO_ONE; </t>
        </is>
      </c>
      <c r="I1117" s="12" t="inlineStr">
        <is>
          <t>New</t>
        </is>
      </c>
      <c r="J1117" s="17" t="inlineStr">
        <is>
          <t>08 CROSSWALK</t>
        </is>
      </c>
    </row>
    <row r="1118" ht="49" customHeight="1">
      <c r="A1118" s="12" t="inlineStr">
        <is>
          <t>R757-v1</t>
        </is>
      </c>
      <c r="B1118" s="12" t="inlineStr">
        <is>
          <t>Contractor Programme / SCH-05-037</t>
        </is>
      </c>
      <c r="C1118" s="12" t="inlineStr">
        <is>
          <t>WBS Code = 1.5.1</t>
        </is>
      </c>
      <c r="D1118" s="12" t="inlineStr">
        <is>
          <t>Proposed by Source assignment; target 1.5.1 Testing and Commissioning - Test Readiness</t>
        </is>
      </c>
      <c r="E1118" s="12" t="inlineStr">
        <is>
          <t>None recorded</t>
        </is>
      </c>
      <c r="F1118" s="12" t="inlineStr">
        <is>
          <t>No individual professional decision recorded; Source assignment -- not individually reviewed</t>
        </is>
      </c>
      <c r="G1118" s="12" t="inlineStr">
        <is>
          <t>Not individually decided</t>
        </is>
      </c>
      <c r="H1118" s="12" t="inlineStr">
        <is>
          <t xml:space="preserve">APPROVED / ONE_TO_ONE; </t>
        </is>
      </c>
      <c r="I1118" s="12" t="inlineStr">
        <is>
          <t>New</t>
        </is>
      </c>
      <c r="J1118" s="17" t="inlineStr">
        <is>
          <t>08 CROSSWALK</t>
        </is>
      </c>
    </row>
    <row r="1119" ht="49" customHeight="1">
      <c r="A1119" s="12" t="inlineStr">
        <is>
          <t>R758-v1</t>
        </is>
      </c>
      <c r="B1119" s="12" t="inlineStr">
        <is>
          <t>Contractor Programme / SCH-05-038</t>
        </is>
      </c>
      <c r="C1119" s="12" t="inlineStr">
        <is>
          <t>WBS Code = 1.5.1</t>
        </is>
      </c>
      <c r="D1119" s="12" t="inlineStr">
        <is>
          <t>Proposed by Source assignment; target 1.5.1 Testing and Commissioning - Test Readiness</t>
        </is>
      </c>
      <c r="E1119" s="12" t="inlineStr">
        <is>
          <t>None recorded</t>
        </is>
      </c>
      <c r="F1119" s="12" t="inlineStr">
        <is>
          <t>No individual professional decision recorded; Source assignment -- not individually reviewed</t>
        </is>
      </c>
      <c r="G1119" s="12" t="inlineStr">
        <is>
          <t>Not individually decided</t>
        </is>
      </c>
      <c r="H1119" s="12" t="inlineStr">
        <is>
          <t xml:space="preserve">APPROVED / ONE_TO_ONE; </t>
        </is>
      </c>
      <c r="I1119" s="12" t="inlineStr">
        <is>
          <t>New</t>
        </is>
      </c>
      <c r="J1119" s="17" t="inlineStr">
        <is>
          <t>08 CROSSWALK</t>
        </is>
      </c>
    </row>
    <row r="1120" ht="49" customHeight="1">
      <c r="A1120" s="12" t="inlineStr">
        <is>
          <t>R760-v1</t>
        </is>
      </c>
      <c r="B1120" s="12" t="inlineStr">
        <is>
          <t>Contractor Programme / SCH-05-040</t>
        </is>
      </c>
      <c r="C1120" s="12" t="inlineStr">
        <is>
          <t>WBS Code = 1.5.1</t>
        </is>
      </c>
      <c r="D1120" s="12" t="inlineStr">
        <is>
          <t>Proposed by Source assignment; target 1.5.1 Testing and Commissioning - Test Readiness</t>
        </is>
      </c>
      <c r="E1120" s="12" t="inlineStr">
        <is>
          <t>None recorded</t>
        </is>
      </c>
      <c r="F1120" s="12" t="inlineStr">
        <is>
          <t>No individual professional decision recorded; Source assignment -- not individually reviewed</t>
        </is>
      </c>
      <c r="G1120" s="12" t="inlineStr">
        <is>
          <t>Not individually decided</t>
        </is>
      </c>
      <c r="H1120" s="12" t="inlineStr">
        <is>
          <t xml:space="preserve">APPROVED / ONE_TO_ONE; </t>
        </is>
      </c>
      <c r="I1120" s="12" t="inlineStr">
        <is>
          <t>New</t>
        </is>
      </c>
      <c r="J1120" s="17" t="inlineStr">
        <is>
          <t>08 CROSSWALK</t>
        </is>
      </c>
    </row>
    <row r="1121" ht="49" customHeight="1">
      <c r="A1121" s="12" t="inlineStr">
        <is>
          <t>R761-v1</t>
        </is>
      </c>
      <c r="B1121" s="12" t="inlineStr">
        <is>
          <t>Contractor Programme / SCH-05-041</t>
        </is>
      </c>
      <c r="C1121" s="12" t="inlineStr">
        <is>
          <t>WBS Code = 1.5.1</t>
        </is>
      </c>
      <c r="D1121" s="12" t="inlineStr">
        <is>
          <t>Proposed by Source assignment; target 1.5.1 Testing and Commissioning - Test Readiness</t>
        </is>
      </c>
      <c r="E1121" s="12" t="inlineStr">
        <is>
          <t>None recorded</t>
        </is>
      </c>
      <c r="F1121" s="12" t="inlineStr">
        <is>
          <t>No individual professional decision recorded; Source assignment -- not individually reviewed</t>
        </is>
      </c>
      <c r="G1121" s="12" t="inlineStr">
        <is>
          <t>Not individually decided</t>
        </is>
      </c>
      <c r="H1121" s="12" t="inlineStr">
        <is>
          <t xml:space="preserve">APPROVED / ONE_TO_ONE; </t>
        </is>
      </c>
      <c r="I1121" s="12" t="inlineStr">
        <is>
          <t>New</t>
        </is>
      </c>
      <c r="J1121" s="17" t="inlineStr">
        <is>
          <t>08 CROSSWALK</t>
        </is>
      </c>
    </row>
    <row r="1122" ht="49" customHeight="1">
      <c r="A1122" s="12" t="inlineStr">
        <is>
          <t>R763-v1</t>
        </is>
      </c>
      <c r="B1122" s="12" t="inlineStr">
        <is>
          <t>Contractor Programme / SCH-05-043</t>
        </is>
      </c>
      <c r="C1122" s="12" t="inlineStr">
        <is>
          <t>WBS Code = 1.5.1</t>
        </is>
      </c>
      <c r="D1122" s="12" t="inlineStr">
        <is>
          <t>Proposed by Source assignment; target 1.5.1 Testing and Commissioning - Test Readiness</t>
        </is>
      </c>
      <c r="E1122" s="12" t="inlineStr">
        <is>
          <t>None recorded</t>
        </is>
      </c>
      <c r="F1122" s="12" t="inlineStr">
        <is>
          <t>No individual professional decision recorded; Source assignment -- not individually reviewed</t>
        </is>
      </c>
      <c r="G1122" s="12" t="inlineStr">
        <is>
          <t>Not individually decided</t>
        </is>
      </c>
      <c r="H1122" s="12" t="inlineStr">
        <is>
          <t xml:space="preserve">APPROVED / ONE_TO_ONE; </t>
        </is>
      </c>
      <c r="I1122" s="12" t="inlineStr">
        <is>
          <t>New</t>
        </is>
      </c>
      <c r="J1122" s="17" t="inlineStr">
        <is>
          <t>08 CROSSWALK</t>
        </is>
      </c>
    </row>
    <row r="1123" ht="49" customHeight="1">
      <c r="A1123" s="12" t="inlineStr">
        <is>
          <t>R764-v1</t>
        </is>
      </c>
      <c r="B1123" s="12" t="inlineStr">
        <is>
          <t>Contractor Programme / SCH-05-044</t>
        </is>
      </c>
      <c r="C1123" s="12" t="inlineStr">
        <is>
          <t>WBS Code = 1.5.1</t>
        </is>
      </c>
      <c r="D1123" s="12" t="inlineStr">
        <is>
          <t>Proposed by Source assignment; target 1.5.1 Testing and Commissioning - Test Readiness</t>
        </is>
      </c>
      <c r="E1123" s="12" t="inlineStr">
        <is>
          <t>None recorded</t>
        </is>
      </c>
      <c r="F1123" s="12" t="inlineStr">
        <is>
          <t>No individual professional decision recorded; Source assignment -- not individually reviewed</t>
        </is>
      </c>
      <c r="G1123" s="12" t="inlineStr">
        <is>
          <t>Not individually decided</t>
        </is>
      </c>
      <c r="H1123" s="12" t="inlineStr">
        <is>
          <t xml:space="preserve">APPROVED / ONE_TO_ONE; </t>
        </is>
      </c>
      <c r="I1123" s="12" t="inlineStr">
        <is>
          <t>New</t>
        </is>
      </c>
      <c r="J1123" s="17" t="inlineStr">
        <is>
          <t>08 CROSSWALK</t>
        </is>
      </c>
    </row>
    <row r="1124" ht="49" customHeight="1">
      <c r="A1124" s="12" t="inlineStr">
        <is>
          <t>R766-v1</t>
        </is>
      </c>
      <c r="B1124" s="12" t="inlineStr">
        <is>
          <t>Contractor Programme / SCH-05-046</t>
        </is>
      </c>
      <c r="C1124" s="12" t="inlineStr">
        <is>
          <t>WBS Code = 1.5.1</t>
        </is>
      </c>
      <c r="D1124" s="12" t="inlineStr">
        <is>
          <t>Proposed by Source assignment; target 1.5.1 Testing and Commissioning - Test Readiness</t>
        </is>
      </c>
      <c r="E1124" s="12" t="inlineStr">
        <is>
          <t>None recorded</t>
        </is>
      </c>
      <c r="F1124" s="12" t="inlineStr">
        <is>
          <t>No individual professional decision recorded; Source assignment -- not individually reviewed</t>
        </is>
      </c>
      <c r="G1124" s="12" t="inlineStr">
        <is>
          <t>Not individually decided</t>
        </is>
      </c>
      <c r="H1124" s="12" t="inlineStr">
        <is>
          <t xml:space="preserve">APPROVED / ONE_TO_ONE; </t>
        </is>
      </c>
      <c r="I1124" s="12" t="inlineStr">
        <is>
          <t>New</t>
        </is>
      </c>
      <c r="J1124" s="17" t="inlineStr">
        <is>
          <t>08 CROSSWALK</t>
        </is>
      </c>
    </row>
    <row r="1125" ht="49" customHeight="1">
      <c r="A1125" s="12" t="inlineStr">
        <is>
          <t>R767-v1</t>
        </is>
      </c>
      <c r="B1125" s="12" t="inlineStr">
        <is>
          <t>Contractor Programme / SCH-05-047</t>
        </is>
      </c>
      <c r="C1125" s="12" t="inlineStr">
        <is>
          <t>WBS Code = 1.5.1</t>
        </is>
      </c>
      <c r="D1125" s="12" t="inlineStr">
        <is>
          <t>Proposed by Source assignment; target 1.5.1 Testing and Commissioning - Test Readiness</t>
        </is>
      </c>
      <c r="E1125" s="12" t="inlineStr">
        <is>
          <t>None recorded</t>
        </is>
      </c>
      <c r="F1125" s="12" t="inlineStr">
        <is>
          <t>No individual professional decision recorded; Source assignment -- not individually reviewed</t>
        </is>
      </c>
      <c r="G1125" s="12" t="inlineStr">
        <is>
          <t>Not individually decided</t>
        </is>
      </c>
      <c r="H1125" s="12" t="inlineStr">
        <is>
          <t xml:space="preserve">APPROVED / ONE_TO_ONE; </t>
        </is>
      </c>
      <c r="I1125" s="12" t="inlineStr">
        <is>
          <t>New</t>
        </is>
      </c>
      <c r="J1125" s="17" t="inlineStr">
        <is>
          <t>08 CROSSWALK</t>
        </is>
      </c>
    </row>
    <row r="1126" ht="49" customHeight="1">
      <c r="A1126" s="12" t="inlineStr">
        <is>
          <t>R769-v1</t>
        </is>
      </c>
      <c r="B1126" s="12" t="inlineStr">
        <is>
          <t>Contractor Programme / SCH-05-049</t>
        </is>
      </c>
      <c r="C1126" s="12" t="inlineStr">
        <is>
          <t>WBS Code = 1.5.1</t>
        </is>
      </c>
      <c r="D1126" s="12" t="inlineStr">
        <is>
          <t>Proposed by Source assignment; target 1.5.1 Testing and Commissioning - Test Readiness</t>
        </is>
      </c>
      <c r="E1126" s="12" t="inlineStr">
        <is>
          <t>None recorded</t>
        </is>
      </c>
      <c r="F1126" s="12" t="inlineStr">
        <is>
          <t>No individual professional decision recorded; Source assignment -- not individually reviewed</t>
        </is>
      </c>
      <c r="G1126" s="12" t="inlineStr">
        <is>
          <t>Not individually decided</t>
        </is>
      </c>
      <c r="H1126" s="12" t="inlineStr">
        <is>
          <t xml:space="preserve">APPROVED / ONE_TO_ONE; </t>
        </is>
      </c>
      <c r="I1126" s="12" t="inlineStr">
        <is>
          <t>New</t>
        </is>
      </c>
      <c r="J1126" s="17" t="inlineStr">
        <is>
          <t>08 CROSSWALK</t>
        </is>
      </c>
    </row>
    <row r="1127" ht="49" customHeight="1">
      <c r="A1127" s="12" t="inlineStr">
        <is>
          <t>R770-v1</t>
        </is>
      </c>
      <c r="B1127" s="12" t="inlineStr">
        <is>
          <t>Contractor Programme / SCH-05-050</t>
        </is>
      </c>
      <c r="C1127" s="12" t="inlineStr">
        <is>
          <t>WBS Code = 1.5.1</t>
        </is>
      </c>
      <c r="D1127" s="12" t="inlineStr">
        <is>
          <t>Proposed by Source assignment; target 1.5.1 Testing and Commissioning - Test Readiness</t>
        </is>
      </c>
      <c r="E1127" s="12" t="inlineStr">
        <is>
          <t>None recorded</t>
        </is>
      </c>
      <c r="F1127" s="12" t="inlineStr">
        <is>
          <t>No individual professional decision recorded; Source assignment -- not individually reviewed</t>
        </is>
      </c>
      <c r="G1127" s="12" t="inlineStr">
        <is>
          <t>Not individually decided</t>
        </is>
      </c>
      <c r="H1127" s="12" t="inlineStr">
        <is>
          <t xml:space="preserve">APPROVED / ONE_TO_ONE; </t>
        </is>
      </c>
      <c r="I1127" s="12" t="inlineStr">
        <is>
          <t>New</t>
        </is>
      </c>
      <c r="J1127" s="17" t="inlineStr">
        <is>
          <t>08 CROSSWALK</t>
        </is>
      </c>
    </row>
    <row r="1128" ht="49" customHeight="1">
      <c r="A1128" s="12" t="inlineStr">
        <is>
          <t>R772-v1</t>
        </is>
      </c>
      <c r="B1128" s="12" t="inlineStr">
        <is>
          <t>Contractor Programme / SCH-05-052</t>
        </is>
      </c>
      <c r="C1128" s="12" t="inlineStr">
        <is>
          <t>WBS Code = 1.5.1</t>
        </is>
      </c>
      <c r="D1128" s="12" t="inlineStr">
        <is>
          <t>Proposed by Source assignment; target 1.5.1 Testing and Commissioning - Test Readiness</t>
        </is>
      </c>
      <c r="E1128" s="12" t="inlineStr">
        <is>
          <t>None recorded</t>
        </is>
      </c>
      <c r="F1128" s="12" t="inlineStr">
        <is>
          <t>No individual professional decision recorded; Source assignment -- not individually reviewed</t>
        </is>
      </c>
      <c r="G1128" s="12" t="inlineStr">
        <is>
          <t>Not individually decided</t>
        </is>
      </c>
      <c r="H1128" s="12" t="inlineStr">
        <is>
          <t xml:space="preserve">APPROVED / ONE_TO_ONE; </t>
        </is>
      </c>
      <c r="I1128" s="12" t="inlineStr">
        <is>
          <t>New</t>
        </is>
      </c>
      <c r="J1128" s="17" t="inlineStr">
        <is>
          <t>08 CROSSWALK</t>
        </is>
      </c>
    </row>
    <row r="1129" ht="49" customHeight="1">
      <c r="A1129" s="12" t="inlineStr">
        <is>
          <t>R773-v1</t>
        </is>
      </c>
      <c r="B1129" s="12" t="inlineStr">
        <is>
          <t>Contractor Programme / SCH-05-053</t>
        </is>
      </c>
      <c r="C1129" s="12" t="inlineStr">
        <is>
          <t>WBS Code = 1.5.1</t>
        </is>
      </c>
      <c r="D1129" s="12" t="inlineStr">
        <is>
          <t>Proposed by Source assignment; target 1.5.1 Testing and Commissioning - Test Readiness</t>
        </is>
      </c>
      <c r="E1129" s="12" t="inlineStr">
        <is>
          <t>None recorded</t>
        </is>
      </c>
      <c r="F1129" s="12" t="inlineStr">
        <is>
          <t>No individual professional decision recorded; Source assignment -- not individually reviewed</t>
        </is>
      </c>
      <c r="G1129" s="12" t="inlineStr">
        <is>
          <t>Not individually decided</t>
        </is>
      </c>
      <c r="H1129" s="12" t="inlineStr">
        <is>
          <t xml:space="preserve">APPROVED / ONE_TO_ONE; </t>
        </is>
      </c>
      <c r="I1129" s="12" t="inlineStr">
        <is>
          <t>New</t>
        </is>
      </c>
      <c r="J1129" s="17" t="inlineStr">
        <is>
          <t>08 CROSSWALK</t>
        </is>
      </c>
    </row>
    <row r="1130" ht="49" customHeight="1">
      <c r="A1130" s="12" t="inlineStr">
        <is>
          <t>R775-v1</t>
        </is>
      </c>
      <c r="B1130" s="12" t="inlineStr">
        <is>
          <t>Contractor Programme / SCH-05-055</t>
        </is>
      </c>
      <c r="C1130" s="12" t="inlineStr">
        <is>
          <t>WBS Code = 1.5.1</t>
        </is>
      </c>
      <c r="D1130" s="12" t="inlineStr">
        <is>
          <t>Proposed by Source assignment; target 1.5.1 Testing and Commissioning - Test Readiness</t>
        </is>
      </c>
      <c r="E1130" s="12" t="inlineStr">
        <is>
          <t>None recorded</t>
        </is>
      </c>
      <c r="F1130" s="12" t="inlineStr">
        <is>
          <t>No individual professional decision recorded; Source assignment -- not individually reviewed</t>
        </is>
      </c>
      <c r="G1130" s="12" t="inlineStr">
        <is>
          <t>Not individually decided</t>
        </is>
      </c>
      <c r="H1130" s="12" t="inlineStr">
        <is>
          <t xml:space="preserve">APPROVED / ONE_TO_ONE; </t>
        </is>
      </c>
      <c r="I1130" s="12" t="inlineStr">
        <is>
          <t>New</t>
        </is>
      </c>
      <c r="J1130" s="17" t="inlineStr">
        <is>
          <t>08 CROSSWALK</t>
        </is>
      </c>
    </row>
    <row r="1131" ht="49" customHeight="1">
      <c r="A1131" s="12" t="inlineStr">
        <is>
          <t>R776-v1</t>
        </is>
      </c>
      <c r="B1131" s="12" t="inlineStr">
        <is>
          <t>Contractor Programme / SCH-05-056</t>
        </is>
      </c>
      <c r="C1131" s="12" t="inlineStr">
        <is>
          <t>WBS Code = 1.5.1</t>
        </is>
      </c>
      <c r="D1131" s="12" t="inlineStr">
        <is>
          <t>Proposed by Source assignment; target 1.5.1 Testing and Commissioning - Test Readiness</t>
        </is>
      </c>
      <c r="E1131" s="12" t="inlineStr">
        <is>
          <t>None recorded</t>
        </is>
      </c>
      <c r="F1131" s="12" t="inlineStr">
        <is>
          <t>No individual professional decision recorded; Source assignment -- not individually reviewed</t>
        </is>
      </c>
      <c r="G1131" s="12" t="inlineStr">
        <is>
          <t>Not individually decided</t>
        </is>
      </c>
      <c r="H1131" s="12" t="inlineStr">
        <is>
          <t xml:space="preserve">APPROVED / ONE_TO_ONE; </t>
        </is>
      </c>
      <c r="I1131" s="12" t="inlineStr">
        <is>
          <t>New</t>
        </is>
      </c>
      <c r="J1131" s="17" t="inlineStr">
        <is>
          <t>08 CROSSWALK</t>
        </is>
      </c>
    </row>
    <row r="1132" ht="49" customHeight="1">
      <c r="A1132" s="12" t="inlineStr">
        <is>
          <t>R778-v1</t>
        </is>
      </c>
      <c r="B1132" s="12" t="inlineStr">
        <is>
          <t>Contractor Programme / SCH-05-058</t>
        </is>
      </c>
      <c r="C1132" s="12" t="inlineStr">
        <is>
          <t>WBS Code = 1.5.1</t>
        </is>
      </c>
      <c r="D1132" s="12" t="inlineStr">
        <is>
          <t>Proposed by Source assignment; target 1.5.1 Testing and Commissioning - Test Readiness</t>
        </is>
      </c>
      <c r="E1132" s="12" t="inlineStr">
        <is>
          <t>None recorded</t>
        </is>
      </c>
      <c r="F1132" s="12" t="inlineStr">
        <is>
          <t>No individual professional decision recorded; Source assignment -- not individually reviewed</t>
        </is>
      </c>
      <c r="G1132" s="12" t="inlineStr">
        <is>
          <t>Not individually decided</t>
        </is>
      </c>
      <c r="H1132" s="12" t="inlineStr">
        <is>
          <t xml:space="preserve">APPROVED / ONE_TO_ONE; </t>
        </is>
      </c>
      <c r="I1132" s="12" t="inlineStr">
        <is>
          <t>New</t>
        </is>
      </c>
      <c r="J1132" s="17" t="inlineStr">
        <is>
          <t>08 CROSSWALK</t>
        </is>
      </c>
    </row>
    <row r="1133" ht="49" customHeight="1">
      <c r="A1133" s="12" t="inlineStr">
        <is>
          <t>R779-v1</t>
        </is>
      </c>
      <c r="B1133" s="12" t="inlineStr">
        <is>
          <t>Contractor Programme / SCH-05-059</t>
        </is>
      </c>
      <c r="C1133" s="12" t="inlineStr">
        <is>
          <t>WBS Code = 1.5.1</t>
        </is>
      </c>
      <c r="D1133" s="12" t="inlineStr">
        <is>
          <t>Proposed by Source assignment; target 1.5.1 Testing and Commissioning - Test Readiness</t>
        </is>
      </c>
      <c r="E1133" s="12" t="inlineStr">
        <is>
          <t>None recorded</t>
        </is>
      </c>
      <c r="F1133" s="12" t="inlineStr">
        <is>
          <t>No individual professional decision recorded; Source assignment -- not individually reviewed</t>
        </is>
      </c>
      <c r="G1133" s="12" t="inlineStr">
        <is>
          <t>Not individually decided</t>
        </is>
      </c>
      <c r="H1133" s="12" t="inlineStr">
        <is>
          <t xml:space="preserve">APPROVED / ONE_TO_ONE; </t>
        </is>
      </c>
      <c r="I1133" s="12" t="inlineStr">
        <is>
          <t>New</t>
        </is>
      </c>
      <c r="J1133" s="17" t="inlineStr">
        <is>
          <t>08 CROSSWALK</t>
        </is>
      </c>
    </row>
    <row r="1134" ht="49" customHeight="1">
      <c r="A1134" s="12" t="inlineStr">
        <is>
          <t>R781-v1</t>
        </is>
      </c>
      <c r="B1134" s="12" t="inlineStr">
        <is>
          <t>Contractor Programme / SCH-05-061</t>
        </is>
      </c>
      <c r="C1134" s="12" t="inlineStr">
        <is>
          <t>WBS Code = 1.5.1</t>
        </is>
      </c>
      <c r="D1134" s="12" t="inlineStr">
        <is>
          <t>Proposed by Source assignment; target 1.5.1 Testing and Commissioning - Test Readiness</t>
        </is>
      </c>
      <c r="E1134" s="12" t="inlineStr">
        <is>
          <t>None recorded</t>
        </is>
      </c>
      <c r="F1134" s="12" t="inlineStr">
        <is>
          <t>No individual professional decision recorded; Source assignment -- not individually reviewed</t>
        </is>
      </c>
      <c r="G1134" s="12" t="inlineStr">
        <is>
          <t>Not individually decided</t>
        </is>
      </c>
      <c r="H1134" s="12" t="inlineStr">
        <is>
          <t xml:space="preserve">APPROVED / ONE_TO_ONE; </t>
        </is>
      </c>
      <c r="I1134" s="12" t="inlineStr">
        <is>
          <t>New</t>
        </is>
      </c>
      <c r="J1134" s="17" t="inlineStr">
        <is>
          <t>08 CROSSWALK</t>
        </is>
      </c>
    </row>
    <row r="1135" ht="49" customHeight="1">
      <c r="A1135" s="12" t="inlineStr">
        <is>
          <t>R782-v1</t>
        </is>
      </c>
      <c r="B1135" s="12" t="inlineStr">
        <is>
          <t>Contractor Programme / SCH-05-062</t>
        </is>
      </c>
      <c r="C1135" s="12" t="inlineStr">
        <is>
          <t>WBS Code = 1.5.1</t>
        </is>
      </c>
      <c r="D1135" s="12" t="inlineStr">
        <is>
          <t>Proposed by Source assignment; target 1.5.1 Testing and Commissioning - Test Readiness</t>
        </is>
      </c>
      <c r="E1135" s="12" t="inlineStr">
        <is>
          <t>None recorded</t>
        </is>
      </c>
      <c r="F1135" s="12" t="inlineStr">
        <is>
          <t>No individual professional decision recorded; Source assignment -- not individually reviewed</t>
        </is>
      </c>
      <c r="G1135" s="12" t="inlineStr">
        <is>
          <t>Not individually decided</t>
        </is>
      </c>
      <c r="H1135" s="12" t="inlineStr">
        <is>
          <t xml:space="preserve">APPROVED / ONE_TO_ONE; </t>
        </is>
      </c>
      <c r="I1135" s="12" t="inlineStr">
        <is>
          <t>New</t>
        </is>
      </c>
      <c r="J1135" s="17" t="inlineStr">
        <is>
          <t>08 CROSSWALK</t>
        </is>
      </c>
    </row>
    <row r="1136" ht="49" customHeight="1">
      <c r="A1136" s="12" t="inlineStr">
        <is>
          <t>R784-v1</t>
        </is>
      </c>
      <c r="B1136" s="12" t="inlineStr">
        <is>
          <t>Contractor Programme / SCH-05-064</t>
        </is>
      </c>
      <c r="C1136" s="12" t="inlineStr">
        <is>
          <t>WBS Code = 1.5.1</t>
        </is>
      </c>
      <c r="D1136" s="12" t="inlineStr">
        <is>
          <t>Proposed by Source assignment; target 1.5.1 Testing and Commissioning - Test Readiness</t>
        </is>
      </c>
      <c r="E1136" s="12" t="inlineStr">
        <is>
          <t>None recorded</t>
        </is>
      </c>
      <c r="F1136" s="12" t="inlineStr">
        <is>
          <t>No individual professional decision recorded; Source assignment -- not individually reviewed</t>
        </is>
      </c>
      <c r="G1136" s="12" t="inlineStr">
        <is>
          <t>Not individually decided</t>
        </is>
      </c>
      <c r="H1136" s="12" t="inlineStr">
        <is>
          <t xml:space="preserve">APPROVED / ONE_TO_ONE; </t>
        </is>
      </c>
      <c r="I1136" s="12" t="inlineStr">
        <is>
          <t>New</t>
        </is>
      </c>
      <c r="J1136" s="17" t="inlineStr">
        <is>
          <t>08 CROSSWALK</t>
        </is>
      </c>
    </row>
    <row r="1137" ht="49" customHeight="1">
      <c r="A1137" s="12" t="inlineStr">
        <is>
          <t>R785-v1</t>
        </is>
      </c>
      <c r="B1137" s="12" t="inlineStr">
        <is>
          <t>Contractor Programme / SCH-05-065</t>
        </is>
      </c>
      <c r="C1137" s="12" t="inlineStr">
        <is>
          <t>WBS Code = 1.5.1</t>
        </is>
      </c>
      <c r="D1137" s="12" t="inlineStr">
        <is>
          <t>Proposed by Source assignment; target 1.5.1 Testing and Commissioning - Test Readiness</t>
        </is>
      </c>
      <c r="E1137" s="12" t="inlineStr">
        <is>
          <t>None recorded</t>
        </is>
      </c>
      <c r="F1137" s="12" t="inlineStr">
        <is>
          <t>No individual professional decision recorded; Source assignment -- not individually reviewed</t>
        </is>
      </c>
      <c r="G1137" s="12" t="inlineStr">
        <is>
          <t>Not individually decided</t>
        </is>
      </c>
      <c r="H1137" s="12" t="inlineStr">
        <is>
          <t xml:space="preserve">APPROVED / ONE_TO_ONE; </t>
        </is>
      </c>
      <c r="I1137" s="12" t="inlineStr">
        <is>
          <t>New</t>
        </is>
      </c>
      <c r="J1137" s="17" t="inlineStr">
        <is>
          <t>08 CROSSWALK</t>
        </is>
      </c>
    </row>
    <row r="1138" ht="49" customHeight="1">
      <c r="A1138" s="12" t="inlineStr">
        <is>
          <t>R787-v1</t>
        </is>
      </c>
      <c r="B1138" s="12" t="inlineStr">
        <is>
          <t>Contractor Programme / SCH-05-067</t>
        </is>
      </c>
      <c r="C1138" s="12" t="inlineStr">
        <is>
          <t>WBS Code = 1.5.1</t>
        </is>
      </c>
      <c r="D1138" s="12" t="inlineStr">
        <is>
          <t>Proposed by Source assignment; target 1.5.1 Testing and Commissioning - Test Readiness</t>
        </is>
      </c>
      <c r="E1138" s="12" t="inlineStr">
        <is>
          <t>None recorded</t>
        </is>
      </c>
      <c r="F1138" s="12" t="inlineStr">
        <is>
          <t>No individual professional decision recorded; Source assignment -- not individually reviewed</t>
        </is>
      </c>
      <c r="G1138" s="12" t="inlineStr">
        <is>
          <t>Not individually decided</t>
        </is>
      </c>
      <c r="H1138" s="12" t="inlineStr">
        <is>
          <t xml:space="preserve">APPROVED / ONE_TO_ONE; </t>
        </is>
      </c>
      <c r="I1138" s="12" t="inlineStr">
        <is>
          <t>New</t>
        </is>
      </c>
      <c r="J1138" s="17" t="inlineStr">
        <is>
          <t>08 CROSSWALK</t>
        </is>
      </c>
    </row>
    <row r="1139" ht="49" customHeight="1">
      <c r="A1139" s="12" t="inlineStr">
        <is>
          <t>R788-v1</t>
        </is>
      </c>
      <c r="B1139" s="12" t="inlineStr">
        <is>
          <t>Contractor Programme / SCH-05-068</t>
        </is>
      </c>
      <c r="C1139" s="12" t="inlineStr">
        <is>
          <t>WBS Code = 1.5.1</t>
        </is>
      </c>
      <c r="D1139" s="12" t="inlineStr">
        <is>
          <t>Proposed by Source assignment; target 1.5.1 Testing and Commissioning - Test Readiness</t>
        </is>
      </c>
      <c r="E1139" s="12" t="inlineStr">
        <is>
          <t>None recorded</t>
        </is>
      </c>
      <c r="F1139" s="12" t="inlineStr">
        <is>
          <t>No individual professional decision recorded; Source assignment -- not individually reviewed</t>
        </is>
      </c>
      <c r="G1139" s="12" t="inlineStr">
        <is>
          <t>Not individually decided</t>
        </is>
      </c>
      <c r="H1139" s="12" t="inlineStr">
        <is>
          <t xml:space="preserve">APPROVED / ONE_TO_ONE; </t>
        </is>
      </c>
      <c r="I1139" s="12" t="inlineStr">
        <is>
          <t>New</t>
        </is>
      </c>
      <c r="J1139" s="17" t="inlineStr">
        <is>
          <t>08 CROSSWALK</t>
        </is>
      </c>
    </row>
    <row r="1140" ht="49" customHeight="1">
      <c r="A1140" s="12" t="inlineStr">
        <is>
          <t>R790-v1</t>
        </is>
      </c>
      <c r="B1140" s="12" t="inlineStr">
        <is>
          <t>Contractor Programme / SCH-05-070</t>
        </is>
      </c>
      <c r="C1140" s="12" t="inlineStr">
        <is>
          <t>WBS Code = 1.5.1</t>
        </is>
      </c>
      <c r="D1140" s="12" t="inlineStr">
        <is>
          <t>Proposed by Source assignment; target 1.5.1 Testing and Commissioning - Test Readiness</t>
        </is>
      </c>
      <c r="E1140" s="12" t="inlineStr">
        <is>
          <t>None recorded</t>
        </is>
      </c>
      <c r="F1140" s="12" t="inlineStr">
        <is>
          <t>No individual professional decision recorded; Source assignment -- not individually reviewed</t>
        </is>
      </c>
      <c r="G1140" s="12" t="inlineStr">
        <is>
          <t>Not individually decided</t>
        </is>
      </c>
      <c r="H1140" s="12" t="inlineStr">
        <is>
          <t xml:space="preserve">APPROVED / ONE_TO_ONE; </t>
        </is>
      </c>
      <c r="I1140" s="12" t="inlineStr">
        <is>
          <t>New</t>
        </is>
      </c>
      <c r="J1140" s="17" t="inlineStr">
        <is>
          <t>08 CROSSWALK</t>
        </is>
      </c>
    </row>
    <row r="1141" ht="49" customHeight="1">
      <c r="A1141" s="12" t="inlineStr">
        <is>
          <t>R791-v1</t>
        </is>
      </c>
      <c r="B1141" s="12" t="inlineStr">
        <is>
          <t>Contractor Programme / SCH-05-071</t>
        </is>
      </c>
      <c r="C1141" s="12" t="inlineStr">
        <is>
          <t>WBS Code = 1.5.1</t>
        </is>
      </c>
      <c r="D1141" s="12" t="inlineStr">
        <is>
          <t>Proposed by Source assignment; target 1.5.1 Testing and Commissioning - Test Readiness</t>
        </is>
      </c>
      <c r="E1141" s="12" t="inlineStr">
        <is>
          <t>None recorded</t>
        </is>
      </c>
      <c r="F1141" s="12" t="inlineStr">
        <is>
          <t>No individual professional decision recorded; Source assignment -- not individually reviewed</t>
        </is>
      </c>
      <c r="G1141" s="12" t="inlineStr">
        <is>
          <t>Not individually decided</t>
        </is>
      </c>
      <c r="H1141" s="12" t="inlineStr">
        <is>
          <t xml:space="preserve">APPROVED / ONE_TO_ONE; </t>
        </is>
      </c>
      <c r="I1141" s="12" t="inlineStr">
        <is>
          <t>New</t>
        </is>
      </c>
      <c r="J1141" s="17" t="inlineStr">
        <is>
          <t>08 CROSSWALK</t>
        </is>
      </c>
    </row>
    <row r="1142" ht="49" customHeight="1">
      <c r="A1142" s="12" t="inlineStr">
        <is>
          <t>R793-v1</t>
        </is>
      </c>
      <c r="B1142" s="12" t="inlineStr">
        <is>
          <t>Contractor Programme / SCH-05-073</t>
        </is>
      </c>
      <c r="C1142" s="12" t="inlineStr">
        <is>
          <t>WBS Code = 1.5.1</t>
        </is>
      </c>
      <c r="D1142" s="12" t="inlineStr">
        <is>
          <t>Proposed by Source assignment; target 1.5.1 Testing and Commissioning - Test Readiness</t>
        </is>
      </c>
      <c r="E1142" s="12" t="inlineStr">
        <is>
          <t>None recorded</t>
        </is>
      </c>
      <c r="F1142" s="12" t="inlineStr">
        <is>
          <t>No individual professional decision recorded; Source assignment -- not individually reviewed</t>
        </is>
      </c>
      <c r="G1142" s="12" t="inlineStr">
        <is>
          <t>Not individually decided</t>
        </is>
      </c>
      <c r="H1142" s="12" t="inlineStr">
        <is>
          <t xml:space="preserve">APPROVED / ONE_TO_ONE; </t>
        </is>
      </c>
      <c r="I1142" s="12" t="inlineStr">
        <is>
          <t>New</t>
        </is>
      </c>
      <c r="J1142" s="17" t="inlineStr">
        <is>
          <t>08 CROSSWALK</t>
        </is>
      </c>
    </row>
    <row r="1143" ht="49" customHeight="1">
      <c r="A1143" s="12" t="inlineStr">
        <is>
          <t>R794-v1</t>
        </is>
      </c>
      <c r="B1143" s="12" t="inlineStr">
        <is>
          <t>Contractor Programme / SCH-05-074</t>
        </is>
      </c>
      <c r="C1143" s="12" t="inlineStr">
        <is>
          <t>WBS Code = 1.5.1</t>
        </is>
      </c>
      <c r="D1143" s="12" t="inlineStr">
        <is>
          <t>Proposed by Source assignment; target 1.5.1 Testing and Commissioning - Test Readiness</t>
        </is>
      </c>
      <c r="E1143" s="12" t="inlineStr">
        <is>
          <t>None recorded</t>
        </is>
      </c>
      <c r="F1143" s="12" t="inlineStr">
        <is>
          <t>No individual professional decision recorded; Source assignment -- not individually reviewed</t>
        </is>
      </c>
      <c r="G1143" s="12" t="inlineStr">
        <is>
          <t>Not individually decided</t>
        </is>
      </c>
      <c r="H1143" s="12" t="inlineStr">
        <is>
          <t xml:space="preserve">APPROVED / ONE_TO_ONE; </t>
        </is>
      </c>
      <c r="I1143" s="12" t="inlineStr">
        <is>
          <t>New</t>
        </is>
      </c>
      <c r="J1143" s="17" t="inlineStr">
        <is>
          <t>08 CROSSWALK</t>
        </is>
      </c>
    </row>
    <row r="1144" ht="49" customHeight="1">
      <c r="A1144" s="12" t="inlineStr">
        <is>
          <t>R796-v1</t>
        </is>
      </c>
      <c r="B1144" s="12" t="inlineStr">
        <is>
          <t>Contractor Programme / SCH-05-076</t>
        </is>
      </c>
      <c r="C1144" s="12" t="inlineStr">
        <is>
          <t>WBS Code = 1.5.1</t>
        </is>
      </c>
      <c r="D1144" s="12" t="inlineStr">
        <is>
          <t>Proposed by Source assignment; target 1.5.1 Testing and Commissioning - Test Readiness</t>
        </is>
      </c>
      <c r="E1144" s="12" t="inlineStr">
        <is>
          <t>None recorded</t>
        </is>
      </c>
      <c r="F1144" s="12" t="inlineStr">
        <is>
          <t>No individual professional decision recorded; Source assignment -- not individually reviewed</t>
        </is>
      </c>
      <c r="G1144" s="12" t="inlineStr">
        <is>
          <t>Not individually decided</t>
        </is>
      </c>
      <c r="H1144" s="12" t="inlineStr">
        <is>
          <t xml:space="preserve">APPROVED / ONE_TO_ONE; </t>
        </is>
      </c>
      <c r="I1144" s="12" t="inlineStr">
        <is>
          <t>New</t>
        </is>
      </c>
      <c r="J1144" s="17" t="inlineStr">
        <is>
          <t>08 CROSSWALK</t>
        </is>
      </c>
    </row>
    <row r="1145" ht="49" customHeight="1">
      <c r="A1145" s="12" t="inlineStr">
        <is>
          <t>R797-v1</t>
        </is>
      </c>
      <c r="B1145" s="12" t="inlineStr">
        <is>
          <t>Contractor Programme / SCH-05-077</t>
        </is>
      </c>
      <c r="C1145" s="12" t="inlineStr">
        <is>
          <t>WBS Code = 1.5.1</t>
        </is>
      </c>
      <c r="D1145" s="12" t="inlineStr">
        <is>
          <t>Proposed by Source assignment; target 1.5.1 Testing and Commissioning - Test Readiness</t>
        </is>
      </c>
      <c r="E1145" s="12" t="inlineStr">
        <is>
          <t>None recorded</t>
        </is>
      </c>
      <c r="F1145" s="12" t="inlineStr">
        <is>
          <t>No individual professional decision recorded; Source assignment -- not individually reviewed</t>
        </is>
      </c>
      <c r="G1145" s="12" t="inlineStr">
        <is>
          <t>Not individually decided</t>
        </is>
      </c>
      <c r="H1145" s="12" t="inlineStr">
        <is>
          <t xml:space="preserve">APPROVED / ONE_TO_ONE; </t>
        </is>
      </c>
      <c r="I1145" s="12" t="inlineStr">
        <is>
          <t>New</t>
        </is>
      </c>
      <c r="J1145" s="17" t="inlineStr">
        <is>
          <t>08 CROSSWALK</t>
        </is>
      </c>
    </row>
    <row r="1146" ht="49" customHeight="1">
      <c r="A1146" s="12" t="inlineStr">
        <is>
          <t>R799-v1</t>
        </is>
      </c>
      <c r="B1146" s="12" t="inlineStr">
        <is>
          <t>Contractor Programme / SCH-05-079</t>
        </is>
      </c>
      <c r="C1146" s="12" t="inlineStr">
        <is>
          <t>WBS Code = 1.5.1</t>
        </is>
      </c>
      <c r="D1146" s="12" t="inlineStr">
        <is>
          <t>Proposed by Source assignment; target 1.5.1 Testing and Commissioning - Test Readiness</t>
        </is>
      </c>
      <c r="E1146" s="12" t="inlineStr">
        <is>
          <t>None recorded</t>
        </is>
      </c>
      <c r="F1146" s="12" t="inlineStr">
        <is>
          <t>No individual professional decision recorded; Source assignment -- not individually reviewed</t>
        </is>
      </c>
      <c r="G1146" s="12" t="inlineStr">
        <is>
          <t>Not individually decided</t>
        </is>
      </c>
      <c r="H1146" s="12" t="inlineStr">
        <is>
          <t xml:space="preserve">APPROVED / ONE_TO_ONE; </t>
        </is>
      </c>
      <c r="I1146" s="12" t="inlineStr">
        <is>
          <t>New</t>
        </is>
      </c>
      <c r="J1146" s="17" t="inlineStr">
        <is>
          <t>08 CROSSWALK</t>
        </is>
      </c>
    </row>
    <row r="1147" ht="49" customHeight="1">
      <c r="A1147" s="12" t="inlineStr">
        <is>
          <t>R800-v1</t>
        </is>
      </c>
      <c r="B1147" s="12" t="inlineStr">
        <is>
          <t>Contractor Programme / SCH-05-080</t>
        </is>
      </c>
      <c r="C1147" s="12" t="inlineStr">
        <is>
          <t>WBS Code = 1.5.1</t>
        </is>
      </c>
      <c r="D1147" s="12" t="inlineStr">
        <is>
          <t>Proposed by Source assignment; target 1.5.1 Testing and Commissioning - Test Readiness</t>
        </is>
      </c>
      <c r="E1147" s="12" t="inlineStr">
        <is>
          <t>None recorded</t>
        </is>
      </c>
      <c r="F1147" s="12" t="inlineStr">
        <is>
          <t>No individual professional decision recorded; Source assignment -- not individually reviewed</t>
        </is>
      </c>
      <c r="G1147" s="12" t="inlineStr">
        <is>
          <t>Not individually decided</t>
        </is>
      </c>
      <c r="H1147" s="12" t="inlineStr">
        <is>
          <t xml:space="preserve">APPROVED / ONE_TO_ONE; </t>
        </is>
      </c>
      <c r="I1147" s="12" t="inlineStr">
        <is>
          <t>New</t>
        </is>
      </c>
      <c r="J1147" s="17" t="inlineStr">
        <is>
          <t>08 CROSSWALK</t>
        </is>
      </c>
    </row>
    <row r="1148" ht="49" customHeight="1">
      <c r="A1148" s="12" t="inlineStr">
        <is>
          <t>R802-v1</t>
        </is>
      </c>
      <c r="B1148" s="12" t="inlineStr">
        <is>
          <t>Contractor Programme / SCH-05-082</t>
        </is>
      </c>
      <c r="C1148" s="12" t="inlineStr">
        <is>
          <t>WBS Code = 1.5.1</t>
        </is>
      </c>
      <c r="D1148" s="12" t="inlineStr">
        <is>
          <t>Proposed by Source assignment; target 1.5.1 Testing and Commissioning - Test Readiness</t>
        </is>
      </c>
      <c r="E1148" s="12" t="inlineStr">
        <is>
          <t>None recorded</t>
        </is>
      </c>
      <c r="F1148" s="12" t="inlineStr">
        <is>
          <t>No individual professional decision recorded; Source assignment -- not individually reviewed</t>
        </is>
      </c>
      <c r="G1148" s="12" t="inlineStr">
        <is>
          <t>Not individually decided</t>
        </is>
      </c>
      <c r="H1148" s="12" t="inlineStr">
        <is>
          <t xml:space="preserve">APPROVED / ONE_TO_ONE; </t>
        </is>
      </c>
      <c r="I1148" s="12" t="inlineStr">
        <is>
          <t>New</t>
        </is>
      </c>
      <c r="J1148" s="17" t="inlineStr">
        <is>
          <t>08 CROSSWALK</t>
        </is>
      </c>
    </row>
    <row r="1149" ht="49" customHeight="1">
      <c r="A1149" s="12" t="inlineStr">
        <is>
          <t>R803-v1</t>
        </is>
      </c>
      <c r="B1149" s="12" t="inlineStr">
        <is>
          <t>Contractor Programme / SCH-05-083</t>
        </is>
      </c>
      <c r="C1149" s="12" t="inlineStr">
        <is>
          <t>WBS Code = 1.5.1</t>
        </is>
      </c>
      <c r="D1149" s="12" t="inlineStr">
        <is>
          <t>Proposed by Source assignment; target 1.5.1 Testing and Commissioning - Test Readiness</t>
        </is>
      </c>
      <c r="E1149" s="12" t="inlineStr">
        <is>
          <t>None recorded</t>
        </is>
      </c>
      <c r="F1149" s="12" t="inlineStr">
        <is>
          <t>No individual professional decision recorded; Source assignment -- not individually reviewed</t>
        </is>
      </c>
      <c r="G1149" s="12" t="inlineStr">
        <is>
          <t>Not individually decided</t>
        </is>
      </c>
      <c r="H1149" s="12" t="inlineStr">
        <is>
          <t xml:space="preserve">APPROVED / ONE_TO_ONE; </t>
        </is>
      </c>
      <c r="I1149" s="12" t="inlineStr">
        <is>
          <t>New</t>
        </is>
      </c>
      <c r="J1149" s="17" t="inlineStr">
        <is>
          <t>08 CROSSWALK</t>
        </is>
      </c>
    </row>
    <row r="1150" ht="49" customHeight="1">
      <c r="A1150" s="12" t="inlineStr">
        <is>
          <t>R805-v1</t>
        </is>
      </c>
      <c r="B1150" s="12" t="inlineStr">
        <is>
          <t>Contractor Programme / SCH-05-085</t>
        </is>
      </c>
      <c r="C1150" s="12" t="inlineStr">
        <is>
          <t>WBS Code = 1.5.1</t>
        </is>
      </c>
      <c r="D1150" s="12" t="inlineStr">
        <is>
          <t>Proposed by Source assignment; target 1.5.1 Testing and Commissioning - Test Readiness</t>
        </is>
      </c>
      <c r="E1150" s="12" t="inlineStr">
        <is>
          <t>None recorded</t>
        </is>
      </c>
      <c r="F1150" s="12" t="inlineStr">
        <is>
          <t>No individual professional decision recorded; Source assignment -- not individually reviewed</t>
        </is>
      </c>
      <c r="G1150" s="12" t="inlineStr">
        <is>
          <t>Not individually decided</t>
        </is>
      </c>
      <c r="H1150" s="12" t="inlineStr">
        <is>
          <t xml:space="preserve">APPROVED / ONE_TO_ONE; </t>
        </is>
      </c>
      <c r="I1150" s="12" t="inlineStr">
        <is>
          <t>New</t>
        </is>
      </c>
      <c r="J1150" s="17" t="inlineStr">
        <is>
          <t>08 CROSSWALK</t>
        </is>
      </c>
    </row>
    <row r="1151" ht="49" customHeight="1">
      <c r="A1151" s="12" t="inlineStr">
        <is>
          <t>R806-v1</t>
        </is>
      </c>
      <c r="B1151" s="12" t="inlineStr">
        <is>
          <t>Contractor Programme / SCH-05-086</t>
        </is>
      </c>
      <c r="C1151" s="12" t="inlineStr">
        <is>
          <t>WBS Code = 1.5.1</t>
        </is>
      </c>
      <c r="D1151" s="12" t="inlineStr">
        <is>
          <t>Proposed by Source assignment; target 1.5.1 Testing and Commissioning - Test Readiness</t>
        </is>
      </c>
      <c r="E1151" s="12" t="inlineStr">
        <is>
          <t>None recorded</t>
        </is>
      </c>
      <c r="F1151" s="12" t="inlineStr">
        <is>
          <t>No individual professional decision recorded; Source assignment -- not individually reviewed</t>
        </is>
      </c>
      <c r="G1151" s="12" t="inlineStr">
        <is>
          <t>Not individually decided</t>
        </is>
      </c>
      <c r="H1151" s="12" t="inlineStr">
        <is>
          <t xml:space="preserve">APPROVED / ONE_TO_ONE; </t>
        </is>
      </c>
      <c r="I1151" s="12" t="inlineStr">
        <is>
          <t>New</t>
        </is>
      </c>
      <c r="J1151" s="17" t="inlineStr">
        <is>
          <t>08 CROSSWALK</t>
        </is>
      </c>
    </row>
    <row r="1152" ht="49" customHeight="1">
      <c r="A1152" s="12" t="inlineStr">
        <is>
          <t>R808-v1</t>
        </is>
      </c>
      <c r="B1152" s="12" t="inlineStr">
        <is>
          <t>Contractor Programme / SCH-05-088</t>
        </is>
      </c>
      <c r="C1152" s="12" t="inlineStr">
        <is>
          <t>WBS Code = 1.5.1</t>
        </is>
      </c>
      <c r="D1152" s="12" t="inlineStr">
        <is>
          <t>Proposed by Source assignment; target 1.5.1 Testing and Commissioning - Test Readiness</t>
        </is>
      </c>
      <c r="E1152" s="12" t="inlineStr">
        <is>
          <t>None recorded</t>
        </is>
      </c>
      <c r="F1152" s="12" t="inlineStr">
        <is>
          <t>No individual professional decision recorded; Source assignment -- not individually reviewed</t>
        </is>
      </c>
      <c r="G1152" s="12" t="inlineStr">
        <is>
          <t>Not individually decided</t>
        </is>
      </c>
      <c r="H1152" s="12" t="inlineStr">
        <is>
          <t xml:space="preserve">APPROVED / ONE_TO_ONE; </t>
        </is>
      </c>
      <c r="I1152" s="12" t="inlineStr">
        <is>
          <t>New</t>
        </is>
      </c>
      <c r="J1152" s="17" t="inlineStr">
        <is>
          <t>08 CROSSWALK</t>
        </is>
      </c>
    </row>
    <row r="1153" ht="49" customHeight="1">
      <c r="A1153" s="12" t="inlineStr">
        <is>
          <t>R809-v1</t>
        </is>
      </c>
      <c r="B1153" s="12" t="inlineStr">
        <is>
          <t>Contractor Programme / SCH-05-089</t>
        </is>
      </c>
      <c r="C1153" s="12" t="inlineStr">
        <is>
          <t>WBS Code = 1.5.1</t>
        </is>
      </c>
      <c r="D1153" s="12" t="inlineStr">
        <is>
          <t>Proposed by Source assignment; target 1.5.1 Testing and Commissioning - Test Readiness</t>
        </is>
      </c>
      <c r="E1153" s="12" t="inlineStr">
        <is>
          <t>None recorded</t>
        </is>
      </c>
      <c r="F1153" s="12" t="inlineStr">
        <is>
          <t>No individual professional decision recorded; Source assignment -- not individually reviewed</t>
        </is>
      </c>
      <c r="G1153" s="12" t="inlineStr">
        <is>
          <t>Not individually decided</t>
        </is>
      </c>
      <c r="H1153" s="12" t="inlineStr">
        <is>
          <t xml:space="preserve">APPROVED / ONE_TO_ONE; </t>
        </is>
      </c>
      <c r="I1153" s="12" t="inlineStr">
        <is>
          <t>New</t>
        </is>
      </c>
      <c r="J1153" s="17" t="inlineStr">
        <is>
          <t>08 CROSSWALK</t>
        </is>
      </c>
    </row>
    <row r="1154" ht="49" customHeight="1">
      <c r="A1154" s="12" t="inlineStr">
        <is>
          <t>R811-v1</t>
        </is>
      </c>
      <c r="B1154" s="12" t="inlineStr">
        <is>
          <t>Contractor Programme / SCH-05-091</t>
        </is>
      </c>
      <c r="C1154" s="12" t="inlineStr">
        <is>
          <t>WBS Code = 1.5.1</t>
        </is>
      </c>
      <c r="D1154" s="12" t="inlineStr">
        <is>
          <t>Proposed by Source assignment; target 1.5.1 Testing and Commissioning - Test Readiness</t>
        </is>
      </c>
      <c r="E1154" s="12" t="inlineStr">
        <is>
          <t>None recorded</t>
        </is>
      </c>
      <c r="F1154" s="12" t="inlineStr">
        <is>
          <t>No individual professional decision recorded; Source assignment -- not individually reviewed</t>
        </is>
      </c>
      <c r="G1154" s="12" t="inlineStr">
        <is>
          <t>Not individually decided</t>
        </is>
      </c>
      <c r="H1154" s="12" t="inlineStr">
        <is>
          <t xml:space="preserve">APPROVED / ONE_TO_ONE; </t>
        </is>
      </c>
      <c r="I1154" s="12" t="inlineStr">
        <is>
          <t>New</t>
        </is>
      </c>
      <c r="J1154" s="17" t="inlineStr">
        <is>
          <t>08 CROSSWALK</t>
        </is>
      </c>
    </row>
    <row r="1155" ht="49" customHeight="1">
      <c r="A1155" s="12" t="inlineStr">
        <is>
          <t>R812-v1</t>
        </is>
      </c>
      <c r="B1155" s="12" t="inlineStr">
        <is>
          <t>Contractor Programme / SCH-05-092</t>
        </is>
      </c>
      <c r="C1155" s="12" t="inlineStr">
        <is>
          <t>WBS Code = 1.5.1</t>
        </is>
      </c>
      <c r="D1155" s="12" t="inlineStr">
        <is>
          <t>Proposed by Source assignment; target 1.5.1 Testing and Commissioning - Test Readiness</t>
        </is>
      </c>
      <c r="E1155" s="12" t="inlineStr">
        <is>
          <t>None recorded</t>
        </is>
      </c>
      <c r="F1155" s="12" t="inlineStr">
        <is>
          <t>No individual professional decision recorded; Source assignment -- not individually reviewed</t>
        </is>
      </c>
      <c r="G1155" s="12" t="inlineStr">
        <is>
          <t>Not individually decided</t>
        </is>
      </c>
      <c r="H1155" s="12" t="inlineStr">
        <is>
          <t xml:space="preserve">APPROVED / ONE_TO_ONE; </t>
        </is>
      </c>
      <c r="I1155" s="12" t="inlineStr">
        <is>
          <t>New</t>
        </is>
      </c>
      <c r="J1155" s="17" t="inlineStr">
        <is>
          <t>08 CROSSWALK</t>
        </is>
      </c>
    </row>
    <row r="1156" ht="49" customHeight="1">
      <c r="A1156" s="12" t="inlineStr">
        <is>
          <t>R814-v1</t>
        </is>
      </c>
      <c r="B1156" s="12" t="inlineStr">
        <is>
          <t>Contractor Programme / SCH-05-094</t>
        </is>
      </c>
      <c r="C1156" s="12" t="inlineStr">
        <is>
          <t>WBS Code = 1.5.1</t>
        </is>
      </c>
      <c r="D1156" s="12" t="inlineStr">
        <is>
          <t>Proposed by Source assignment; target 1.5.1 Testing and Commissioning - Test Readiness</t>
        </is>
      </c>
      <c r="E1156" s="12" t="inlineStr">
        <is>
          <t>None recorded</t>
        </is>
      </c>
      <c r="F1156" s="12" t="inlineStr">
        <is>
          <t>No individual professional decision recorded; Source assignment -- not individually reviewed</t>
        </is>
      </c>
      <c r="G1156" s="12" t="inlineStr">
        <is>
          <t>Not individually decided</t>
        </is>
      </c>
      <c r="H1156" s="12" t="inlineStr">
        <is>
          <t xml:space="preserve">APPROVED / ONE_TO_ONE; </t>
        </is>
      </c>
      <c r="I1156" s="12" t="inlineStr">
        <is>
          <t>New</t>
        </is>
      </c>
      <c r="J1156" s="17" t="inlineStr">
        <is>
          <t>08 CROSSWALK</t>
        </is>
      </c>
    </row>
    <row r="1157" ht="49" customHeight="1">
      <c r="A1157" s="12" t="inlineStr">
        <is>
          <t>R815-v1</t>
        </is>
      </c>
      <c r="B1157" s="12" t="inlineStr">
        <is>
          <t>Contractor Programme / SCH-05-095</t>
        </is>
      </c>
      <c r="C1157" s="12" t="inlineStr">
        <is>
          <t>WBS Code = 1.5.1</t>
        </is>
      </c>
      <c r="D1157" s="12" t="inlineStr">
        <is>
          <t>Proposed by Source assignment; target 1.5.1 Testing and Commissioning - Test Readiness</t>
        </is>
      </c>
      <c r="E1157" s="12" t="inlineStr">
        <is>
          <t>None recorded</t>
        </is>
      </c>
      <c r="F1157" s="12" t="inlineStr">
        <is>
          <t>No individual professional decision recorded; Source assignment -- not individually reviewed</t>
        </is>
      </c>
      <c r="G1157" s="12" t="inlineStr">
        <is>
          <t>Not individually decided</t>
        </is>
      </c>
      <c r="H1157" s="12" t="inlineStr">
        <is>
          <t xml:space="preserve">APPROVED / ONE_TO_ONE; </t>
        </is>
      </c>
      <c r="I1157" s="12" t="inlineStr">
        <is>
          <t>New</t>
        </is>
      </c>
      <c r="J1157" s="17" t="inlineStr">
        <is>
          <t>08 CROSSWALK</t>
        </is>
      </c>
    </row>
    <row r="1158" ht="49" customHeight="1">
      <c r="A1158" s="12" t="inlineStr">
        <is>
          <t>R817-v1</t>
        </is>
      </c>
      <c r="B1158" s="12" t="inlineStr">
        <is>
          <t>Contractor Programme / SCH-05-097</t>
        </is>
      </c>
      <c r="C1158" s="12" t="inlineStr">
        <is>
          <t>WBS Code = 1.5.1</t>
        </is>
      </c>
      <c r="D1158" s="12" t="inlineStr">
        <is>
          <t>Proposed by Source assignment; target 1.5.1 Testing and Commissioning - Test Readiness</t>
        </is>
      </c>
      <c r="E1158" s="12" t="inlineStr">
        <is>
          <t>None recorded</t>
        </is>
      </c>
      <c r="F1158" s="12" t="inlineStr">
        <is>
          <t>No individual professional decision recorded; Source assignment -- not individually reviewed</t>
        </is>
      </c>
      <c r="G1158" s="12" t="inlineStr">
        <is>
          <t>Not individually decided</t>
        </is>
      </c>
      <c r="H1158" s="12" t="inlineStr">
        <is>
          <t xml:space="preserve">APPROVED / ONE_TO_ONE; </t>
        </is>
      </c>
      <c r="I1158" s="12" t="inlineStr">
        <is>
          <t>New</t>
        </is>
      </c>
      <c r="J1158" s="17" t="inlineStr">
        <is>
          <t>08 CROSSWALK</t>
        </is>
      </c>
    </row>
    <row r="1159" ht="49" customHeight="1">
      <c r="A1159" s="12" t="inlineStr">
        <is>
          <t>R818-v1</t>
        </is>
      </c>
      <c r="B1159" s="12" t="inlineStr">
        <is>
          <t>Contractor Programme / SCH-05-098</t>
        </is>
      </c>
      <c r="C1159" s="12" t="inlineStr">
        <is>
          <t>WBS Code = 1.5.1</t>
        </is>
      </c>
      <c r="D1159" s="12" t="inlineStr">
        <is>
          <t>Proposed by Source assignment; target 1.5.1 Testing and Commissioning - Test Readiness</t>
        </is>
      </c>
      <c r="E1159" s="12" t="inlineStr">
        <is>
          <t>None recorded</t>
        </is>
      </c>
      <c r="F1159" s="12" t="inlineStr">
        <is>
          <t>No individual professional decision recorded; Source assignment -- not individually reviewed</t>
        </is>
      </c>
      <c r="G1159" s="12" t="inlineStr">
        <is>
          <t>Not individually decided</t>
        </is>
      </c>
      <c r="H1159" s="12" t="inlineStr">
        <is>
          <t xml:space="preserve">APPROVED / ONE_TO_ONE; </t>
        </is>
      </c>
      <c r="I1159" s="12" t="inlineStr">
        <is>
          <t>New</t>
        </is>
      </c>
      <c r="J1159" s="17" t="inlineStr">
        <is>
          <t>08 CROSSWALK</t>
        </is>
      </c>
    </row>
    <row r="1160" ht="49" customHeight="1">
      <c r="A1160" s="12" t="inlineStr">
        <is>
          <t>R820-v1</t>
        </is>
      </c>
      <c r="B1160" s="12" t="inlineStr">
        <is>
          <t>Contractor Programme / SCH-05-100</t>
        </is>
      </c>
      <c r="C1160" s="12" t="inlineStr">
        <is>
          <t>WBS Code = 1.5.1</t>
        </is>
      </c>
      <c r="D1160" s="12" t="inlineStr">
        <is>
          <t>Proposed by Source assignment; target 1.5.1 Testing and Commissioning - Test Readiness</t>
        </is>
      </c>
      <c r="E1160" s="12" t="inlineStr">
        <is>
          <t>None recorded</t>
        </is>
      </c>
      <c r="F1160" s="12" t="inlineStr">
        <is>
          <t>No individual professional decision recorded; Source assignment -- not individually reviewed</t>
        </is>
      </c>
      <c r="G1160" s="12" t="inlineStr">
        <is>
          <t>Not individually decided</t>
        </is>
      </c>
      <c r="H1160" s="12" t="inlineStr">
        <is>
          <t xml:space="preserve">APPROVED / ONE_TO_ONE; </t>
        </is>
      </c>
      <c r="I1160" s="12" t="inlineStr">
        <is>
          <t>New</t>
        </is>
      </c>
      <c r="J1160" s="17" t="inlineStr">
        <is>
          <t>08 CROSSWALK</t>
        </is>
      </c>
    </row>
    <row r="1161" ht="49" customHeight="1">
      <c r="A1161" s="12" t="inlineStr">
        <is>
          <t>R821-v1</t>
        </is>
      </c>
      <c r="B1161" s="12" t="inlineStr">
        <is>
          <t>Contractor Programme / SCH-05-101</t>
        </is>
      </c>
      <c r="C1161" s="12" t="inlineStr">
        <is>
          <t>WBS Code = 1.5.1</t>
        </is>
      </c>
      <c r="D1161" s="12" t="inlineStr">
        <is>
          <t>Proposed by Source assignment; target 1.5.1 Testing and Commissioning - Test Readiness</t>
        </is>
      </c>
      <c r="E1161" s="12" t="inlineStr">
        <is>
          <t>None recorded</t>
        </is>
      </c>
      <c r="F1161" s="12" t="inlineStr">
        <is>
          <t>No individual professional decision recorded; Source assignment -- not individually reviewed</t>
        </is>
      </c>
      <c r="G1161" s="12" t="inlineStr">
        <is>
          <t>Not individually decided</t>
        </is>
      </c>
      <c r="H1161" s="12" t="inlineStr">
        <is>
          <t xml:space="preserve">APPROVED / ONE_TO_ONE; </t>
        </is>
      </c>
      <c r="I1161" s="12" t="inlineStr">
        <is>
          <t>New</t>
        </is>
      </c>
      <c r="J1161" s="17" t="inlineStr">
        <is>
          <t>08 CROSSWALK</t>
        </is>
      </c>
    </row>
    <row r="1162" ht="49" customHeight="1">
      <c r="A1162" s="12" t="inlineStr">
        <is>
          <t>R823-v1</t>
        </is>
      </c>
      <c r="B1162" s="12" t="inlineStr">
        <is>
          <t>Contractor Programme / SCH-05-103</t>
        </is>
      </c>
      <c r="C1162" s="12" t="inlineStr">
        <is>
          <t>WBS Code = 1.5.1</t>
        </is>
      </c>
      <c r="D1162" s="12" t="inlineStr">
        <is>
          <t>Proposed by Source assignment; target 1.5.1 Testing and Commissioning - Test Readiness</t>
        </is>
      </c>
      <c r="E1162" s="12" t="inlineStr">
        <is>
          <t>None recorded</t>
        </is>
      </c>
      <c r="F1162" s="12" t="inlineStr">
        <is>
          <t>No individual professional decision recorded; Source assignment -- not individually reviewed</t>
        </is>
      </c>
      <c r="G1162" s="12" t="inlineStr">
        <is>
          <t>Not individually decided</t>
        </is>
      </c>
      <c r="H1162" s="12" t="inlineStr">
        <is>
          <t xml:space="preserve">APPROVED / ONE_TO_ONE; </t>
        </is>
      </c>
      <c r="I1162" s="12" t="inlineStr">
        <is>
          <t>New</t>
        </is>
      </c>
      <c r="J1162" s="17" t="inlineStr">
        <is>
          <t>08 CROSSWALK</t>
        </is>
      </c>
    </row>
    <row r="1163" ht="49" customHeight="1">
      <c r="A1163" s="12" t="inlineStr">
        <is>
          <t>R824-v1</t>
        </is>
      </c>
      <c r="B1163" s="12" t="inlineStr">
        <is>
          <t>Contractor Programme / SCH-05-104</t>
        </is>
      </c>
      <c r="C1163" s="12" t="inlineStr">
        <is>
          <t>WBS Code = 1.5.1</t>
        </is>
      </c>
      <c r="D1163" s="12" t="inlineStr">
        <is>
          <t>Proposed by Source assignment; target 1.5.1 Testing and Commissioning - Test Readiness</t>
        </is>
      </c>
      <c r="E1163" s="12" t="inlineStr">
        <is>
          <t>None recorded</t>
        </is>
      </c>
      <c r="F1163" s="12" t="inlineStr">
        <is>
          <t>No individual professional decision recorded; Source assignment -- not individually reviewed</t>
        </is>
      </c>
      <c r="G1163" s="12" t="inlineStr">
        <is>
          <t>Not individually decided</t>
        </is>
      </c>
      <c r="H1163" s="12" t="inlineStr">
        <is>
          <t xml:space="preserve">APPROVED / ONE_TO_ONE; </t>
        </is>
      </c>
      <c r="I1163" s="12" t="inlineStr">
        <is>
          <t>New</t>
        </is>
      </c>
      <c r="J1163" s="17" t="inlineStr">
        <is>
          <t>08 CROSSWALK</t>
        </is>
      </c>
    </row>
    <row r="1164" ht="49" customHeight="1">
      <c r="A1164" s="12" t="inlineStr">
        <is>
          <t>R826-v1</t>
        </is>
      </c>
      <c r="B1164" s="12" t="inlineStr">
        <is>
          <t>Contractor Programme / SCH-05-106</t>
        </is>
      </c>
      <c r="C1164" s="12" t="inlineStr">
        <is>
          <t>WBS Code = 1.5.1</t>
        </is>
      </c>
      <c r="D1164" s="12" t="inlineStr">
        <is>
          <t>Proposed by Source assignment; target 1.5.1 Testing and Commissioning - Test Readiness</t>
        </is>
      </c>
      <c r="E1164" s="12" t="inlineStr">
        <is>
          <t>None recorded</t>
        </is>
      </c>
      <c r="F1164" s="12" t="inlineStr">
        <is>
          <t>No individual professional decision recorded; Source assignment -- not individually reviewed</t>
        </is>
      </c>
      <c r="G1164" s="12" t="inlineStr">
        <is>
          <t>Not individually decided</t>
        </is>
      </c>
      <c r="H1164" s="12" t="inlineStr">
        <is>
          <t xml:space="preserve">APPROVED / ONE_TO_ONE; </t>
        </is>
      </c>
      <c r="I1164" s="12" t="inlineStr">
        <is>
          <t>New</t>
        </is>
      </c>
      <c r="J1164" s="17" t="inlineStr">
        <is>
          <t>08 CROSSWALK</t>
        </is>
      </c>
    </row>
    <row r="1165" ht="49" customHeight="1">
      <c r="A1165" s="12" t="inlineStr">
        <is>
          <t>R827-v1</t>
        </is>
      </c>
      <c r="B1165" s="12" t="inlineStr">
        <is>
          <t>Contractor Programme / SCH-05-107</t>
        </is>
      </c>
      <c r="C1165" s="12" t="inlineStr">
        <is>
          <t>WBS Code = 1.5.1</t>
        </is>
      </c>
      <c r="D1165" s="12" t="inlineStr">
        <is>
          <t>Proposed by Source assignment; target 1.5.1 Testing and Commissioning - Test Readiness</t>
        </is>
      </c>
      <c r="E1165" s="12" t="inlineStr">
        <is>
          <t>None recorded</t>
        </is>
      </c>
      <c r="F1165" s="12" t="inlineStr">
        <is>
          <t>No individual professional decision recorded; Source assignment -- not individually reviewed</t>
        </is>
      </c>
      <c r="G1165" s="12" t="inlineStr">
        <is>
          <t>Not individually decided</t>
        </is>
      </c>
      <c r="H1165" s="12" t="inlineStr">
        <is>
          <t xml:space="preserve">APPROVED / ONE_TO_ONE; </t>
        </is>
      </c>
      <c r="I1165" s="12" t="inlineStr">
        <is>
          <t>New</t>
        </is>
      </c>
      <c r="J1165" s="17" t="inlineStr">
        <is>
          <t>08 CROSSWALK</t>
        </is>
      </c>
    </row>
    <row r="1166" ht="49" customHeight="1">
      <c r="A1166" s="12" t="inlineStr">
        <is>
          <t>R829-v1</t>
        </is>
      </c>
      <c r="B1166" s="12" t="inlineStr">
        <is>
          <t>Contractor Programme / SCH-05-109</t>
        </is>
      </c>
      <c r="C1166" s="12" t="inlineStr">
        <is>
          <t>WBS Code = 1.5.1</t>
        </is>
      </c>
      <c r="D1166" s="12" t="inlineStr">
        <is>
          <t>Proposed by Source assignment; target 1.5.1 Testing and Commissioning - Test Readiness</t>
        </is>
      </c>
      <c r="E1166" s="12" t="inlineStr">
        <is>
          <t>None recorded</t>
        </is>
      </c>
      <c r="F1166" s="12" t="inlineStr">
        <is>
          <t>No individual professional decision recorded; Source assignment -- not individually reviewed</t>
        </is>
      </c>
      <c r="G1166" s="12" t="inlineStr">
        <is>
          <t>Not individually decided</t>
        </is>
      </c>
      <c r="H1166" s="12" t="inlineStr">
        <is>
          <t xml:space="preserve">APPROVED / ONE_TO_ONE; </t>
        </is>
      </c>
      <c r="I1166" s="12" t="inlineStr">
        <is>
          <t>New</t>
        </is>
      </c>
      <c r="J1166" s="17" t="inlineStr">
        <is>
          <t>08 CROSSWALK</t>
        </is>
      </c>
    </row>
    <row r="1167" ht="49" customHeight="1">
      <c r="A1167" s="12" t="inlineStr">
        <is>
          <t>R830-v1</t>
        </is>
      </c>
      <c r="B1167" s="12" t="inlineStr">
        <is>
          <t>Contractor Programme / SCH-05-110</t>
        </is>
      </c>
      <c r="C1167" s="12" t="inlineStr">
        <is>
          <t>WBS Code = 1.5.1</t>
        </is>
      </c>
      <c r="D1167" s="12" t="inlineStr">
        <is>
          <t>Proposed by Source assignment; target 1.5.1 Testing and Commissioning - Test Readiness</t>
        </is>
      </c>
      <c r="E1167" s="12" t="inlineStr">
        <is>
          <t>None recorded</t>
        </is>
      </c>
      <c r="F1167" s="12" t="inlineStr">
        <is>
          <t>No individual professional decision recorded; Source assignment -- not individually reviewed</t>
        </is>
      </c>
      <c r="G1167" s="12" t="inlineStr">
        <is>
          <t>Not individually decided</t>
        </is>
      </c>
      <c r="H1167" s="12" t="inlineStr">
        <is>
          <t xml:space="preserve">APPROVED / ONE_TO_ONE; </t>
        </is>
      </c>
      <c r="I1167" s="12" t="inlineStr">
        <is>
          <t>New</t>
        </is>
      </c>
      <c r="J1167" s="17" t="inlineStr">
        <is>
          <t>08 CROSSWALK</t>
        </is>
      </c>
    </row>
    <row r="1168" ht="49" customHeight="1">
      <c r="A1168" s="12" t="inlineStr">
        <is>
          <t>R832-v1</t>
        </is>
      </c>
      <c r="B1168" s="12" t="inlineStr">
        <is>
          <t>Contractor Programme / SCH-05-112</t>
        </is>
      </c>
      <c r="C1168" s="12" t="inlineStr">
        <is>
          <t>WBS Code = 1.5.1</t>
        </is>
      </c>
      <c r="D1168" s="12" t="inlineStr">
        <is>
          <t>Proposed by Source assignment; target 1.5.1 Testing and Commissioning - Test Readiness</t>
        </is>
      </c>
      <c r="E1168" s="12" t="inlineStr">
        <is>
          <t>None recorded</t>
        </is>
      </c>
      <c r="F1168" s="12" t="inlineStr">
        <is>
          <t>No individual professional decision recorded; Source assignment -- not individually reviewed</t>
        </is>
      </c>
      <c r="G1168" s="12" t="inlineStr">
        <is>
          <t>Not individually decided</t>
        </is>
      </c>
      <c r="H1168" s="12" t="inlineStr">
        <is>
          <t xml:space="preserve">APPROVED / ONE_TO_ONE; </t>
        </is>
      </c>
      <c r="I1168" s="12" t="inlineStr">
        <is>
          <t>New</t>
        </is>
      </c>
      <c r="J1168" s="17" t="inlineStr">
        <is>
          <t>08 CROSSWALK</t>
        </is>
      </c>
    </row>
    <row r="1169" ht="49" customHeight="1">
      <c r="A1169" s="12" t="inlineStr">
        <is>
          <t>R833-v1</t>
        </is>
      </c>
      <c r="B1169" s="12" t="inlineStr">
        <is>
          <t>Contractor Programme / SCH-05-113</t>
        </is>
      </c>
      <c r="C1169" s="12" t="inlineStr">
        <is>
          <t>WBS Code = 1.5.1</t>
        </is>
      </c>
      <c r="D1169" s="12" t="inlineStr">
        <is>
          <t>Proposed by Source assignment; target 1.5.1 Testing and Commissioning - Test Readiness</t>
        </is>
      </c>
      <c r="E1169" s="12" t="inlineStr">
        <is>
          <t>None recorded</t>
        </is>
      </c>
      <c r="F1169" s="12" t="inlineStr">
        <is>
          <t>No individual professional decision recorded; Source assignment -- not individually reviewed</t>
        </is>
      </c>
      <c r="G1169" s="12" t="inlineStr">
        <is>
          <t>Not individually decided</t>
        </is>
      </c>
      <c r="H1169" s="12" t="inlineStr">
        <is>
          <t xml:space="preserve">APPROVED / ONE_TO_ONE; </t>
        </is>
      </c>
      <c r="I1169" s="12" t="inlineStr">
        <is>
          <t>New</t>
        </is>
      </c>
      <c r="J1169" s="17" t="inlineStr">
        <is>
          <t>08 CROSSWALK</t>
        </is>
      </c>
    </row>
    <row r="1170" ht="49" customHeight="1">
      <c r="A1170" s="12" t="inlineStr">
        <is>
          <t>R835-v1</t>
        </is>
      </c>
      <c r="B1170" s="12" t="inlineStr">
        <is>
          <t>Contractor Programme / SCH-05-115</t>
        </is>
      </c>
      <c r="C1170" s="12" t="inlineStr">
        <is>
          <t>WBS Code = 1.5.1</t>
        </is>
      </c>
      <c r="D1170" s="12" t="inlineStr">
        <is>
          <t>Proposed by Source assignment; target 1.5.1 Testing and Commissioning - Test Readiness</t>
        </is>
      </c>
      <c r="E1170" s="12" t="inlineStr">
        <is>
          <t>None recorded</t>
        </is>
      </c>
      <c r="F1170" s="12" t="inlineStr">
        <is>
          <t>No individual professional decision recorded; Source assignment -- not individually reviewed</t>
        </is>
      </c>
      <c r="G1170" s="12" t="inlineStr">
        <is>
          <t>Not individually decided</t>
        </is>
      </c>
      <c r="H1170" s="12" t="inlineStr">
        <is>
          <t xml:space="preserve">APPROVED / ONE_TO_ONE; </t>
        </is>
      </c>
      <c r="I1170" s="12" t="inlineStr">
        <is>
          <t>New</t>
        </is>
      </c>
      <c r="J1170" s="17" t="inlineStr">
        <is>
          <t>08 CROSSWALK</t>
        </is>
      </c>
    </row>
    <row r="1171" ht="49" customHeight="1">
      <c r="A1171" s="12" t="inlineStr">
        <is>
          <t>R836-v1</t>
        </is>
      </c>
      <c r="B1171" s="12" t="inlineStr">
        <is>
          <t>Contractor Programme / SCH-05-116</t>
        </is>
      </c>
      <c r="C1171" s="12" t="inlineStr">
        <is>
          <t>WBS Code = 1.5.1</t>
        </is>
      </c>
      <c r="D1171" s="12" t="inlineStr">
        <is>
          <t>Proposed by Source assignment; target 1.5.1 Testing and Commissioning - Test Readiness</t>
        </is>
      </c>
      <c r="E1171" s="12" t="inlineStr">
        <is>
          <t>None recorded</t>
        </is>
      </c>
      <c r="F1171" s="12" t="inlineStr">
        <is>
          <t>No individual professional decision recorded; Source assignment -- not individually reviewed</t>
        </is>
      </c>
      <c r="G1171" s="12" t="inlineStr">
        <is>
          <t>Not individually decided</t>
        </is>
      </c>
      <c r="H1171" s="12" t="inlineStr">
        <is>
          <t xml:space="preserve">APPROVED / ONE_TO_ONE; </t>
        </is>
      </c>
      <c r="I1171" s="12" t="inlineStr">
        <is>
          <t>New</t>
        </is>
      </c>
      <c r="J1171" s="17" t="inlineStr">
        <is>
          <t>08 CROSSWALK</t>
        </is>
      </c>
    </row>
    <row r="1172" ht="49" customHeight="1">
      <c r="A1172" s="12" t="inlineStr">
        <is>
          <t>R838-v1</t>
        </is>
      </c>
      <c r="B1172" s="12" t="inlineStr">
        <is>
          <t>Contractor Programme / SCH-05-118</t>
        </is>
      </c>
      <c r="C1172" s="12" t="inlineStr">
        <is>
          <t>WBS Code = 1.5.1</t>
        </is>
      </c>
      <c r="D1172" s="12" t="inlineStr">
        <is>
          <t>Proposed by Source assignment; target 1.5.1 Testing and Commissioning - Test Readiness</t>
        </is>
      </c>
      <c r="E1172" s="12" t="inlineStr">
        <is>
          <t>None recorded</t>
        </is>
      </c>
      <c r="F1172" s="12" t="inlineStr">
        <is>
          <t>No individual professional decision recorded; Source assignment -- not individually reviewed</t>
        </is>
      </c>
      <c r="G1172" s="12" t="inlineStr">
        <is>
          <t>Not individually decided</t>
        </is>
      </c>
      <c r="H1172" s="12" t="inlineStr">
        <is>
          <t xml:space="preserve">APPROVED / ONE_TO_ONE; </t>
        </is>
      </c>
      <c r="I1172" s="12" t="inlineStr">
        <is>
          <t>New</t>
        </is>
      </c>
      <c r="J1172" s="17" t="inlineStr">
        <is>
          <t>08 CROSSWALK</t>
        </is>
      </c>
    </row>
    <row r="1173" ht="49" customHeight="1">
      <c r="A1173" s="12" t="inlineStr">
        <is>
          <t>R839-v1</t>
        </is>
      </c>
      <c r="B1173" s="12" t="inlineStr">
        <is>
          <t>Contractor Programme / SCH-05-119</t>
        </is>
      </c>
      <c r="C1173" s="12" t="inlineStr">
        <is>
          <t>WBS Code = 1.5.1</t>
        </is>
      </c>
      <c r="D1173" s="12" t="inlineStr">
        <is>
          <t>Proposed by Source assignment; target 1.5.1 Testing and Commissioning - Test Readiness</t>
        </is>
      </c>
      <c r="E1173" s="12" t="inlineStr">
        <is>
          <t>None recorded</t>
        </is>
      </c>
      <c r="F1173" s="12" t="inlineStr">
        <is>
          <t>No individual professional decision recorded; Source assignment -- not individually reviewed</t>
        </is>
      </c>
      <c r="G1173" s="12" t="inlineStr">
        <is>
          <t>Not individually decided</t>
        </is>
      </c>
      <c r="H1173" s="12" t="inlineStr">
        <is>
          <t xml:space="preserve">APPROVED / ONE_TO_ONE; </t>
        </is>
      </c>
      <c r="I1173" s="12" t="inlineStr">
        <is>
          <t>New</t>
        </is>
      </c>
      <c r="J1173" s="17" t="inlineStr">
        <is>
          <t>08 CROSSWALK</t>
        </is>
      </c>
    </row>
    <row r="1174" ht="49" customHeight="1">
      <c r="A1174" s="12" t="inlineStr">
        <is>
          <t>R841-v1</t>
        </is>
      </c>
      <c r="B1174" s="12" t="inlineStr">
        <is>
          <t>Contractor Programme / SCH-05-121</t>
        </is>
      </c>
      <c r="C1174" s="12" t="inlineStr">
        <is>
          <t>WBS Code = 1.5.1</t>
        </is>
      </c>
      <c r="D1174" s="12" t="inlineStr">
        <is>
          <t>Proposed by Source assignment; target 1.5.1 Testing and Commissioning - Test Readiness</t>
        </is>
      </c>
      <c r="E1174" s="12" t="inlineStr">
        <is>
          <t>None recorded</t>
        </is>
      </c>
      <c r="F1174" s="12" t="inlineStr">
        <is>
          <t>No individual professional decision recorded; Source assignment -- not individually reviewed</t>
        </is>
      </c>
      <c r="G1174" s="12" t="inlineStr">
        <is>
          <t>Not individually decided</t>
        </is>
      </c>
      <c r="H1174" s="12" t="inlineStr">
        <is>
          <t xml:space="preserve">APPROVED / ONE_TO_ONE; </t>
        </is>
      </c>
      <c r="I1174" s="12" t="inlineStr">
        <is>
          <t>New</t>
        </is>
      </c>
      <c r="J1174" s="17" t="inlineStr">
        <is>
          <t>08 CROSSWALK</t>
        </is>
      </c>
    </row>
    <row r="1175" ht="49" customHeight="1">
      <c r="A1175" s="12" t="inlineStr">
        <is>
          <t>R842-v1</t>
        </is>
      </c>
      <c r="B1175" s="12" t="inlineStr">
        <is>
          <t>Contractor Programme / SCH-05-122</t>
        </is>
      </c>
      <c r="C1175" s="12" t="inlineStr">
        <is>
          <t>WBS Code = 1.5.1</t>
        </is>
      </c>
      <c r="D1175" s="12" t="inlineStr">
        <is>
          <t>Proposed by Source assignment; target 1.5.1 Testing and Commissioning - Test Readiness</t>
        </is>
      </c>
      <c r="E1175" s="12" t="inlineStr">
        <is>
          <t>None recorded</t>
        </is>
      </c>
      <c r="F1175" s="12" t="inlineStr">
        <is>
          <t>No individual professional decision recorded; Source assignment -- not individually reviewed</t>
        </is>
      </c>
      <c r="G1175" s="12" t="inlineStr">
        <is>
          <t>Not individually decided</t>
        </is>
      </c>
      <c r="H1175" s="12" t="inlineStr">
        <is>
          <t xml:space="preserve">APPROVED / ONE_TO_ONE; </t>
        </is>
      </c>
      <c r="I1175" s="12" t="inlineStr">
        <is>
          <t>New</t>
        </is>
      </c>
      <c r="J1175" s="17" t="inlineStr">
        <is>
          <t>08 CROSSWALK</t>
        </is>
      </c>
    </row>
    <row r="1176" ht="49" customHeight="1">
      <c r="A1176" s="12" t="inlineStr">
        <is>
          <t>R844-v1</t>
        </is>
      </c>
      <c r="B1176" s="12" t="inlineStr">
        <is>
          <t>Contractor Programme / SCH-05-124</t>
        </is>
      </c>
      <c r="C1176" s="12" t="inlineStr">
        <is>
          <t>WBS Code = 1.5.1</t>
        </is>
      </c>
      <c r="D1176" s="12" t="inlineStr">
        <is>
          <t>Proposed by Source assignment; target 1.5.1 Testing and Commissioning - Test Readiness</t>
        </is>
      </c>
      <c r="E1176" s="12" t="inlineStr">
        <is>
          <t>None recorded</t>
        </is>
      </c>
      <c r="F1176" s="12" t="inlineStr">
        <is>
          <t>No individual professional decision recorded; Source assignment -- not individually reviewed</t>
        </is>
      </c>
      <c r="G1176" s="12" t="inlineStr">
        <is>
          <t>Not individually decided</t>
        </is>
      </c>
      <c r="H1176" s="12" t="inlineStr">
        <is>
          <t xml:space="preserve">APPROVED / ONE_TO_ONE; </t>
        </is>
      </c>
      <c r="I1176" s="12" t="inlineStr">
        <is>
          <t>New</t>
        </is>
      </c>
      <c r="J1176" s="17" t="inlineStr">
        <is>
          <t>08 CROSSWALK</t>
        </is>
      </c>
    </row>
    <row r="1177" ht="49" customHeight="1">
      <c r="A1177" s="12" t="inlineStr">
        <is>
          <t>R845-v1</t>
        </is>
      </c>
      <c r="B1177" s="12" t="inlineStr">
        <is>
          <t>Contractor Programme / SCH-05-125</t>
        </is>
      </c>
      <c r="C1177" s="12" t="inlineStr">
        <is>
          <t>WBS Code = 1.5.1</t>
        </is>
      </c>
      <c r="D1177" s="12" t="inlineStr">
        <is>
          <t>Proposed by Source assignment; target 1.5.1 Testing and Commissioning - Test Readiness</t>
        </is>
      </c>
      <c r="E1177" s="12" t="inlineStr">
        <is>
          <t>None recorded</t>
        </is>
      </c>
      <c r="F1177" s="12" t="inlineStr">
        <is>
          <t>No individual professional decision recorded; Source assignment -- not individually reviewed</t>
        </is>
      </c>
      <c r="G1177" s="12" t="inlineStr">
        <is>
          <t>Not individually decided</t>
        </is>
      </c>
      <c r="H1177" s="12" t="inlineStr">
        <is>
          <t xml:space="preserve">APPROVED / ONE_TO_ONE; </t>
        </is>
      </c>
      <c r="I1177" s="12" t="inlineStr">
        <is>
          <t>New</t>
        </is>
      </c>
      <c r="J1177" s="17" t="inlineStr">
        <is>
          <t>08 CROSSWALK</t>
        </is>
      </c>
    </row>
    <row r="1178" ht="49" customHeight="1">
      <c r="A1178" s="12" t="inlineStr">
        <is>
          <t>R847-v1</t>
        </is>
      </c>
      <c r="B1178" s="12" t="inlineStr">
        <is>
          <t>Contractor Programme / SCH-05-127</t>
        </is>
      </c>
      <c r="C1178" s="12" t="inlineStr">
        <is>
          <t>WBS Code = 1.5.1</t>
        </is>
      </c>
      <c r="D1178" s="12" t="inlineStr">
        <is>
          <t>Proposed by Source assignment; target 1.5.1 Testing and Commissioning - Test Readiness</t>
        </is>
      </c>
      <c r="E1178" s="12" t="inlineStr">
        <is>
          <t>None recorded</t>
        </is>
      </c>
      <c r="F1178" s="12" t="inlineStr">
        <is>
          <t>No individual professional decision recorded; Source assignment -- not individually reviewed</t>
        </is>
      </c>
      <c r="G1178" s="12" t="inlineStr">
        <is>
          <t>Not individually decided</t>
        </is>
      </c>
      <c r="H1178" s="12" t="inlineStr">
        <is>
          <t xml:space="preserve">APPROVED / ONE_TO_ONE; </t>
        </is>
      </c>
      <c r="I1178" s="12" t="inlineStr">
        <is>
          <t>New</t>
        </is>
      </c>
      <c r="J1178" s="17" t="inlineStr">
        <is>
          <t>08 CROSSWALK</t>
        </is>
      </c>
    </row>
    <row r="1179" ht="49" customHeight="1">
      <c r="A1179" s="12" t="inlineStr">
        <is>
          <t>R848-v1</t>
        </is>
      </c>
      <c r="B1179" s="12" t="inlineStr">
        <is>
          <t>Contractor Programme / SCH-05-128</t>
        </is>
      </c>
      <c r="C1179" s="12" t="inlineStr">
        <is>
          <t>WBS Code = 1.5.1</t>
        </is>
      </c>
      <c r="D1179" s="12" t="inlineStr">
        <is>
          <t>Proposed by Source assignment; target 1.5.1 Testing and Commissioning - Test Readiness</t>
        </is>
      </c>
      <c r="E1179" s="12" t="inlineStr">
        <is>
          <t>None recorded</t>
        </is>
      </c>
      <c r="F1179" s="12" t="inlineStr">
        <is>
          <t>No individual professional decision recorded; Source assignment -- not individually reviewed</t>
        </is>
      </c>
      <c r="G1179" s="12" t="inlineStr">
        <is>
          <t>Not individually decided</t>
        </is>
      </c>
      <c r="H1179" s="12" t="inlineStr">
        <is>
          <t xml:space="preserve">APPROVED / ONE_TO_ONE; </t>
        </is>
      </c>
      <c r="I1179" s="12" t="inlineStr">
        <is>
          <t>New</t>
        </is>
      </c>
      <c r="J1179" s="17" t="inlineStr">
        <is>
          <t>08 CROSSWALK</t>
        </is>
      </c>
    </row>
    <row r="1180" ht="49" customHeight="1">
      <c r="A1180" s="12" t="inlineStr">
        <is>
          <t>R850-v1</t>
        </is>
      </c>
      <c r="B1180" s="12" t="inlineStr">
        <is>
          <t>Contractor Programme / SCH-05-130</t>
        </is>
      </c>
      <c r="C1180" s="12" t="inlineStr">
        <is>
          <t>WBS Code = 1.5.1</t>
        </is>
      </c>
      <c r="D1180" s="12" t="inlineStr">
        <is>
          <t>Proposed by Source assignment; target 1.5.1 Testing and Commissioning - Test Readiness</t>
        </is>
      </c>
      <c r="E1180" s="12" t="inlineStr">
        <is>
          <t>None recorded</t>
        </is>
      </c>
      <c r="F1180" s="12" t="inlineStr">
        <is>
          <t>No individual professional decision recorded; Source assignment -- not individually reviewed</t>
        </is>
      </c>
      <c r="G1180" s="12" t="inlineStr">
        <is>
          <t>Not individually decided</t>
        </is>
      </c>
      <c r="H1180" s="12" t="inlineStr">
        <is>
          <t xml:space="preserve">APPROVED / ONE_TO_ONE; </t>
        </is>
      </c>
      <c r="I1180" s="12" t="inlineStr">
        <is>
          <t>New</t>
        </is>
      </c>
      <c r="J1180" s="17" t="inlineStr">
        <is>
          <t>08 CROSSWALK</t>
        </is>
      </c>
    </row>
    <row r="1181" ht="49" customHeight="1">
      <c r="A1181" s="12" t="inlineStr">
        <is>
          <t>R851-v1</t>
        </is>
      </c>
      <c r="B1181" s="12" t="inlineStr">
        <is>
          <t>Contractor Programme / SCH-05-131</t>
        </is>
      </c>
      <c r="C1181" s="12" t="inlineStr">
        <is>
          <t>WBS Code = 1.5.1</t>
        </is>
      </c>
      <c r="D1181" s="12" t="inlineStr">
        <is>
          <t>Proposed by Source assignment; target 1.5.1 Testing and Commissioning - Test Readiness</t>
        </is>
      </c>
      <c r="E1181" s="12" t="inlineStr">
        <is>
          <t>None recorded</t>
        </is>
      </c>
      <c r="F1181" s="12" t="inlineStr">
        <is>
          <t>No individual professional decision recorded; Source assignment -- not individually reviewed</t>
        </is>
      </c>
      <c r="G1181" s="12" t="inlineStr">
        <is>
          <t>Not individually decided</t>
        </is>
      </c>
      <c r="H1181" s="12" t="inlineStr">
        <is>
          <t xml:space="preserve">APPROVED / ONE_TO_ONE; </t>
        </is>
      </c>
      <c r="I1181" s="12" t="inlineStr">
        <is>
          <t>New</t>
        </is>
      </c>
      <c r="J1181" s="17" t="inlineStr">
        <is>
          <t>08 CROSSWALK</t>
        </is>
      </c>
    </row>
    <row r="1182" ht="49" customHeight="1">
      <c r="A1182" s="12" t="inlineStr">
        <is>
          <t>R853-v1</t>
        </is>
      </c>
      <c r="B1182" s="12" t="inlineStr">
        <is>
          <t>Contractor Programme / SCH-05-133</t>
        </is>
      </c>
      <c r="C1182" s="12" t="inlineStr">
        <is>
          <t>WBS Code = 1.5.1</t>
        </is>
      </c>
      <c r="D1182" s="12" t="inlineStr">
        <is>
          <t>Proposed by Source assignment; target 1.5.1 Testing and Commissioning - Test Readiness</t>
        </is>
      </c>
      <c r="E1182" s="12" t="inlineStr">
        <is>
          <t>None recorded</t>
        </is>
      </c>
      <c r="F1182" s="12" t="inlineStr">
        <is>
          <t>No individual professional decision recorded; Source assignment -- not individually reviewed</t>
        </is>
      </c>
      <c r="G1182" s="12" t="inlineStr">
        <is>
          <t>Not individually decided</t>
        </is>
      </c>
      <c r="H1182" s="12" t="inlineStr">
        <is>
          <t xml:space="preserve">APPROVED / ONE_TO_ONE; </t>
        </is>
      </c>
      <c r="I1182" s="12" t="inlineStr">
        <is>
          <t>New</t>
        </is>
      </c>
      <c r="J1182" s="17" t="inlineStr">
        <is>
          <t>08 CROSSWALK</t>
        </is>
      </c>
    </row>
    <row r="1183" ht="49" customHeight="1">
      <c r="A1183" s="12" t="inlineStr">
        <is>
          <t>R854-v1</t>
        </is>
      </c>
      <c r="B1183" s="12" t="inlineStr">
        <is>
          <t>Contractor Programme / SCH-05-134</t>
        </is>
      </c>
      <c r="C1183" s="12" t="inlineStr">
        <is>
          <t>WBS Code = 1.5.1</t>
        </is>
      </c>
      <c r="D1183" s="12" t="inlineStr">
        <is>
          <t>Proposed by Source assignment; target 1.5.1 Testing and Commissioning - Test Readiness</t>
        </is>
      </c>
      <c r="E1183" s="12" t="inlineStr">
        <is>
          <t>None recorded</t>
        </is>
      </c>
      <c r="F1183" s="12" t="inlineStr">
        <is>
          <t>No individual professional decision recorded; Source assignment -- not individually reviewed</t>
        </is>
      </c>
      <c r="G1183" s="12" t="inlineStr">
        <is>
          <t>Not individually decided</t>
        </is>
      </c>
      <c r="H1183" s="12" t="inlineStr">
        <is>
          <t xml:space="preserve">APPROVED / ONE_TO_ONE; </t>
        </is>
      </c>
      <c r="I1183" s="12" t="inlineStr">
        <is>
          <t>New</t>
        </is>
      </c>
      <c r="J1183" s="17" t="inlineStr">
        <is>
          <t>08 CROSSWALK</t>
        </is>
      </c>
    </row>
    <row r="1184" ht="49" customHeight="1">
      <c r="A1184" s="12" t="inlineStr">
        <is>
          <t>R856-v1</t>
        </is>
      </c>
      <c r="B1184" s="12" t="inlineStr">
        <is>
          <t>Contractor Programme / SCH-05-136</t>
        </is>
      </c>
      <c r="C1184" s="12" t="inlineStr">
        <is>
          <t>WBS Code = 1.5.1</t>
        </is>
      </c>
      <c r="D1184" s="12" t="inlineStr">
        <is>
          <t>Proposed by Source assignment; target 1.5.1 Testing and Commissioning - Test Readiness</t>
        </is>
      </c>
      <c r="E1184" s="12" t="inlineStr">
        <is>
          <t>None recorded</t>
        </is>
      </c>
      <c r="F1184" s="12" t="inlineStr">
        <is>
          <t>No individual professional decision recorded; Source assignment -- not individually reviewed</t>
        </is>
      </c>
      <c r="G1184" s="12" t="inlineStr">
        <is>
          <t>Not individually decided</t>
        </is>
      </c>
      <c r="H1184" s="12" t="inlineStr">
        <is>
          <t xml:space="preserve">APPROVED / ONE_TO_ONE; </t>
        </is>
      </c>
      <c r="I1184" s="12" t="inlineStr">
        <is>
          <t>New</t>
        </is>
      </c>
      <c r="J1184" s="17" t="inlineStr">
        <is>
          <t>08 CROSSWALK</t>
        </is>
      </c>
    </row>
    <row r="1185" ht="49" customHeight="1">
      <c r="A1185" s="12" t="inlineStr">
        <is>
          <t>R857-v1</t>
        </is>
      </c>
      <c r="B1185" s="12" t="inlineStr">
        <is>
          <t>Contractor Programme / SCH-05-137</t>
        </is>
      </c>
      <c r="C1185" s="12" t="inlineStr">
        <is>
          <t>WBS Code = 1.5.1</t>
        </is>
      </c>
      <c r="D1185" s="12" t="inlineStr">
        <is>
          <t>Proposed by Source assignment; target 1.5.1 Testing and Commissioning - Test Readiness</t>
        </is>
      </c>
      <c r="E1185" s="12" t="inlineStr">
        <is>
          <t>None recorded</t>
        </is>
      </c>
      <c r="F1185" s="12" t="inlineStr">
        <is>
          <t>No individual professional decision recorded; Source assignment -- not individually reviewed</t>
        </is>
      </c>
      <c r="G1185" s="12" t="inlineStr">
        <is>
          <t>Not individually decided</t>
        </is>
      </c>
      <c r="H1185" s="12" t="inlineStr">
        <is>
          <t xml:space="preserve">APPROVED / ONE_TO_ONE; </t>
        </is>
      </c>
      <c r="I1185" s="12" t="inlineStr">
        <is>
          <t>New</t>
        </is>
      </c>
      <c r="J1185" s="17" t="inlineStr">
        <is>
          <t>08 CROSSWALK</t>
        </is>
      </c>
    </row>
    <row r="1186" ht="49" customHeight="1">
      <c r="A1186" s="12" t="inlineStr">
        <is>
          <t>R859-v1</t>
        </is>
      </c>
      <c r="B1186" s="12" t="inlineStr">
        <is>
          <t>Contractor Programme / SCH-05-139</t>
        </is>
      </c>
      <c r="C1186" s="12" t="inlineStr">
        <is>
          <t>WBS Code = 1.5.1</t>
        </is>
      </c>
      <c r="D1186" s="12" t="inlineStr">
        <is>
          <t>Proposed by Source assignment; target 1.5.1 Testing and Commissioning - Test Readiness</t>
        </is>
      </c>
      <c r="E1186" s="12" t="inlineStr">
        <is>
          <t>None recorded</t>
        </is>
      </c>
      <c r="F1186" s="12" t="inlineStr">
        <is>
          <t>No individual professional decision recorded; Source assignment -- not individually reviewed</t>
        </is>
      </c>
      <c r="G1186" s="12" t="inlineStr">
        <is>
          <t>Not individually decided</t>
        </is>
      </c>
      <c r="H1186" s="12" t="inlineStr">
        <is>
          <t xml:space="preserve">APPROVED / ONE_TO_ONE; </t>
        </is>
      </c>
      <c r="I1186" s="12" t="inlineStr">
        <is>
          <t>New</t>
        </is>
      </c>
      <c r="J1186" s="17" t="inlineStr">
        <is>
          <t>08 CROSSWALK</t>
        </is>
      </c>
    </row>
    <row r="1187" ht="49" customHeight="1">
      <c r="A1187" s="12" t="inlineStr">
        <is>
          <t>R860-v1</t>
        </is>
      </c>
      <c r="B1187" s="12" t="inlineStr">
        <is>
          <t>Contractor Programme / SCH-05-140</t>
        </is>
      </c>
      <c r="C1187" s="12" t="inlineStr">
        <is>
          <t>WBS Code = 1.5.1</t>
        </is>
      </c>
      <c r="D1187" s="12" t="inlineStr">
        <is>
          <t>Proposed by Source assignment; target 1.5.1 Testing and Commissioning - Test Readiness</t>
        </is>
      </c>
      <c r="E1187" s="12" t="inlineStr">
        <is>
          <t>None recorded</t>
        </is>
      </c>
      <c r="F1187" s="12" t="inlineStr">
        <is>
          <t>No individual professional decision recorded; Source assignment -- not individually reviewed</t>
        </is>
      </c>
      <c r="G1187" s="12" t="inlineStr">
        <is>
          <t>Not individually decided</t>
        </is>
      </c>
      <c r="H1187" s="12" t="inlineStr">
        <is>
          <t xml:space="preserve">APPROVED / ONE_TO_ONE; </t>
        </is>
      </c>
      <c r="I1187" s="12" t="inlineStr">
        <is>
          <t>New</t>
        </is>
      </c>
      <c r="J1187" s="17" t="inlineStr">
        <is>
          <t>08 CROSSWALK</t>
        </is>
      </c>
    </row>
    <row r="1188" ht="49" customHeight="1">
      <c r="A1188" s="12" t="inlineStr">
        <is>
          <t>R862-v1</t>
        </is>
      </c>
      <c r="B1188" s="12" t="inlineStr">
        <is>
          <t>Contractor Programme / SCH-05-142</t>
        </is>
      </c>
      <c r="C1188" s="12" t="inlineStr">
        <is>
          <t>WBS Code = 1.5.1</t>
        </is>
      </c>
      <c r="D1188" s="12" t="inlineStr">
        <is>
          <t>Proposed by Source assignment; target 1.5.1 Testing and Commissioning - Test Readiness</t>
        </is>
      </c>
      <c r="E1188" s="12" t="inlineStr">
        <is>
          <t>None recorded</t>
        </is>
      </c>
      <c r="F1188" s="12" t="inlineStr">
        <is>
          <t>No individual professional decision recorded; Source assignment -- not individually reviewed</t>
        </is>
      </c>
      <c r="G1188" s="12" t="inlineStr">
        <is>
          <t>Not individually decided</t>
        </is>
      </c>
      <c r="H1188" s="12" t="inlineStr">
        <is>
          <t xml:space="preserve">APPROVED / ONE_TO_ONE; </t>
        </is>
      </c>
      <c r="I1188" s="12" t="inlineStr">
        <is>
          <t>New</t>
        </is>
      </c>
      <c r="J1188" s="17" t="inlineStr">
        <is>
          <t>08 CROSSWALK</t>
        </is>
      </c>
    </row>
    <row r="1189" ht="49" customHeight="1">
      <c r="A1189" s="12" t="inlineStr">
        <is>
          <t>R863-v1</t>
        </is>
      </c>
      <c r="B1189" s="12" t="inlineStr">
        <is>
          <t>Contractor Programme / SCH-05-143</t>
        </is>
      </c>
      <c r="C1189" s="12" t="inlineStr">
        <is>
          <t>WBS Code = 1.5.1</t>
        </is>
      </c>
      <c r="D1189" s="12" t="inlineStr">
        <is>
          <t>Proposed by Source assignment; target 1.5.1 Testing and Commissioning - Test Readiness</t>
        </is>
      </c>
      <c r="E1189" s="12" t="inlineStr">
        <is>
          <t>None recorded</t>
        </is>
      </c>
      <c r="F1189" s="12" t="inlineStr">
        <is>
          <t>No individual professional decision recorded; Source assignment -- not individually reviewed</t>
        </is>
      </c>
      <c r="G1189" s="12" t="inlineStr">
        <is>
          <t>Not individually decided</t>
        </is>
      </c>
      <c r="H1189" s="12" t="inlineStr">
        <is>
          <t xml:space="preserve">APPROVED / ONE_TO_ONE; </t>
        </is>
      </c>
      <c r="I1189" s="12" t="inlineStr">
        <is>
          <t>New</t>
        </is>
      </c>
      <c r="J1189" s="17" t="inlineStr">
        <is>
          <t>08 CROSSWALK</t>
        </is>
      </c>
    </row>
    <row r="1190" ht="49" customHeight="1">
      <c r="A1190" s="12" t="inlineStr">
        <is>
          <t>R865-v1</t>
        </is>
      </c>
      <c r="B1190" s="12" t="inlineStr">
        <is>
          <t>Contractor Programme / SCH-05-145</t>
        </is>
      </c>
      <c r="C1190" s="12" t="inlineStr">
        <is>
          <t>WBS Code = 1.5.1</t>
        </is>
      </c>
      <c r="D1190" s="12" t="inlineStr">
        <is>
          <t>Proposed by Source assignment; target 1.5.1 Testing and Commissioning - Test Readiness</t>
        </is>
      </c>
      <c r="E1190" s="12" t="inlineStr">
        <is>
          <t>None recorded</t>
        </is>
      </c>
      <c r="F1190" s="12" t="inlineStr">
        <is>
          <t>No individual professional decision recorded; Source assignment -- not individually reviewed</t>
        </is>
      </c>
      <c r="G1190" s="12" t="inlineStr">
        <is>
          <t>Not individually decided</t>
        </is>
      </c>
      <c r="H1190" s="12" t="inlineStr">
        <is>
          <t xml:space="preserve">APPROVED / ONE_TO_ONE; </t>
        </is>
      </c>
      <c r="I1190" s="12" t="inlineStr">
        <is>
          <t>New</t>
        </is>
      </c>
      <c r="J1190" s="17" t="inlineStr">
        <is>
          <t>08 CROSSWALK</t>
        </is>
      </c>
    </row>
    <row r="1191" ht="49" customHeight="1">
      <c r="A1191" s="12" t="inlineStr">
        <is>
          <t>R866-v1</t>
        </is>
      </c>
      <c r="B1191" s="12" t="inlineStr">
        <is>
          <t>Contractor Programme / SCH-05-146</t>
        </is>
      </c>
      <c r="C1191" s="12" t="inlineStr">
        <is>
          <t>WBS Code = 1.5.1</t>
        </is>
      </c>
      <c r="D1191" s="12" t="inlineStr">
        <is>
          <t>Proposed by Source assignment; target 1.5.1 Testing and Commissioning - Test Readiness</t>
        </is>
      </c>
      <c r="E1191" s="12" t="inlineStr">
        <is>
          <t>None recorded</t>
        </is>
      </c>
      <c r="F1191" s="12" t="inlineStr">
        <is>
          <t>No individual professional decision recorded; Source assignment -- not individually reviewed</t>
        </is>
      </c>
      <c r="G1191" s="12" t="inlineStr">
        <is>
          <t>Not individually decided</t>
        </is>
      </c>
      <c r="H1191" s="12" t="inlineStr">
        <is>
          <t xml:space="preserve">APPROVED / ONE_TO_ONE; </t>
        </is>
      </c>
      <c r="I1191" s="12" t="inlineStr">
        <is>
          <t>New</t>
        </is>
      </c>
      <c r="J1191" s="17" t="inlineStr">
        <is>
          <t>08 CROSSWALK</t>
        </is>
      </c>
    </row>
    <row r="1192" ht="49" customHeight="1">
      <c r="A1192" s="12" t="inlineStr">
        <is>
          <t>R868-v1</t>
        </is>
      </c>
      <c r="B1192" s="12" t="inlineStr">
        <is>
          <t>Contractor Programme / SCH-05-148</t>
        </is>
      </c>
      <c r="C1192" s="12" t="inlineStr">
        <is>
          <t>WBS Code = 1.5.1</t>
        </is>
      </c>
      <c r="D1192" s="12" t="inlineStr">
        <is>
          <t>Proposed by Source assignment; target 1.5.1 Testing and Commissioning - Test Readiness</t>
        </is>
      </c>
      <c r="E1192" s="12" t="inlineStr">
        <is>
          <t>None recorded</t>
        </is>
      </c>
      <c r="F1192" s="12" t="inlineStr">
        <is>
          <t>No individual professional decision recorded; Source assignment -- not individually reviewed</t>
        </is>
      </c>
      <c r="G1192" s="12" t="inlineStr">
        <is>
          <t>Not individually decided</t>
        </is>
      </c>
      <c r="H1192" s="12" t="inlineStr">
        <is>
          <t xml:space="preserve">APPROVED / ONE_TO_ONE; </t>
        </is>
      </c>
      <c r="I1192" s="12" t="inlineStr">
        <is>
          <t>New</t>
        </is>
      </c>
      <c r="J1192" s="17" t="inlineStr">
        <is>
          <t>08 CROSSWALK</t>
        </is>
      </c>
    </row>
    <row r="1193" ht="49" customHeight="1">
      <c r="A1193" s="12" t="inlineStr">
        <is>
          <t>R869-v1</t>
        </is>
      </c>
      <c r="B1193" s="12" t="inlineStr">
        <is>
          <t>Contractor Programme / SCH-05-149</t>
        </is>
      </c>
      <c r="C1193" s="12" t="inlineStr">
        <is>
          <t>WBS Code = 1.5.1</t>
        </is>
      </c>
      <c r="D1193" s="12" t="inlineStr">
        <is>
          <t>Proposed by Source assignment; target 1.5.1 Testing and Commissioning - Test Readiness</t>
        </is>
      </c>
      <c r="E1193" s="12" t="inlineStr">
        <is>
          <t>None recorded</t>
        </is>
      </c>
      <c r="F1193" s="12" t="inlineStr">
        <is>
          <t>No individual professional decision recorded; Source assignment -- not individually reviewed</t>
        </is>
      </c>
      <c r="G1193" s="12" t="inlineStr">
        <is>
          <t>Not individually decided</t>
        </is>
      </c>
      <c r="H1193" s="12" t="inlineStr">
        <is>
          <t xml:space="preserve">APPROVED / ONE_TO_ONE; </t>
        </is>
      </c>
      <c r="I1193" s="12" t="inlineStr">
        <is>
          <t>New</t>
        </is>
      </c>
      <c r="J1193" s="17" t="inlineStr">
        <is>
          <t>08 CROSSWALK</t>
        </is>
      </c>
    </row>
    <row r="1194" ht="49" customHeight="1">
      <c r="A1194" s="12" t="inlineStr">
        <is>
          <t>R871-v1</t>
        </is>
      </c>
      <c r="B1194" s="12" t="inlineStr">
        <is>
          <t>Contractor Programme / SCH-05-151</t>
        </is>
      </c>
      <c r="C1194" s="12" t="inlineStr">
        <is>
          <t>WBS Code = 1.5.1</t>
        </is>
      </c>
      <c r="D1194" s="12" t="inlineStr">
        <is>
          <t>Proposed by Source assignment; target 1.5.1 Testing and Commissioning - Test Readiness</t>
        </is>
      </c>
      <c r="E1194" s="12" t="inlineStr">
        <is>
          <t>None recorded</t>
        </is>
      </c>
      <c r="F1194" s="12" t="inlineStr">
        <is>
          <t>No individual professional decision recorded; Source assignment -- not individually reviewed</t>
        </is>
      </c>
      <c r="G1194" s="12" t="inlineStr">
        <is>
          <t>Not individually decided</t>
        </is>
      </c>
      <c r="H1194" s="12" t="inlineStr">
        <is>
          <t xml:space="preserve">APPROVED / ONE_TO_ONE; </t>
        </is>
      </c>
      <c r="I1194" s="12" t="inlineStr">
        <is>
          <t>New</t>
        </is>
      </c>
      <c r="J1194" s="17" t="inlineStr">
        <is>
          <t>08 CROSSWALK</t>
        </is>
      </c>
    </row>
    <row r="1195" ht="49" customHeight="1">
      <c r="A1195" s="12" t="inlineStr">
        <is>
          <t>R872-v1</t>
        </is>
      </c>
      <c r="B1195" s="12" t="inlineStr">
        <is>
          <t>Contractor Programme / SCH-05-152</t>
        </is>
      </c>
      <c r="C1195" s="12" t="inlineStr">
        <is>
          <t>WBS Code = 1.5.1</t>
        </is>
      </c>
      <c r="D1195" s="12" t="inlineStr">
        <is>
          <t>Proposed by Source assignment; target 1.5.1 Testing and Commissioning - Test Readiness</t>
        </is>
      </c>
      <c r="E1195" s="12" t="inlineStr">
        <is>
          <t>None recorded</t>
        </is>
      </c>
      <c r="F1195" s="12" t="inlineStr">
        <is>
          <t>No individual professional decision recorded; Source assignment -- not individually reviewed</t>
        </is>
      </c>
      <c r="G1195" s="12" t="inlineStr">
        <is>
          <t>Not individually decided</t>
        </is>
      </c>
      <c r="H1195" s="12" t="inlineStr">
        <is>
          <t xml:space="preserve">APPROVED / ONE_TO_ONE; </t>
        </is>
      </c>
      <c r="I1195" s="12" t="inlineStr">
        <is>
          <t>New</t>
        </is>
      </c>
      <c r="J1195" s="17" t="inlineStr">
        <is>
          <t>08 CROSSWALK</t>
        </is>
      </c>
    </row>
    <row r="1196" ht="49" customHeight="1">
      <c r="A1196" s="12" t="inlineStr">
        <is>
          <t>R874-v1</t>
        </is>
      </c>
      <c r="B1196" s="12" t="inlineStr">
        <is>
          <t>Contractor Programme / SCH-05-154</t>
        </is>
      </c>
      <c r="C1196" s="12" t="inlineStr">
        <is>
          <t>WBS Code = 1.5.1</t>
        </is>
      </c>
      <c r="D1196" s="12" t="inlineStr">
        <is>
          <t>Proposed by Source assignment; target 1.5.1 Testing and Commissioning - Test Readiness</t>
        </is>
      </c>
      <c r="E1196" s="12" t="inlineStr">
        <is>
          <t>None recorded</t>
        </is>
      </c>
      <c r="F1196" s="12" t="inlineStr">
        <is>
          <t>No individual professional decision recorded; Source assignment -- not individually reviewed</t>
        </is>
      </c>
      <c r="G1196" s="12" t="inlineStr">
        <is>
          <t>Not individually decided</t>
        </is>
      </c>
      <c r="H1196" s="12" t="inlineStr">
        <is>
          <t xml:space="preserve">APPROVED / ONE_TO_ONE; </t>
        </is>
      </c>
      <c r="I1196" s="12" t="inlineStr">
        <is>
          <t>New</t>
        </is>
      </c>
      <c r="J1196" s="17" t="inlineStr">
        <is>
          <t>08 CROSSWALK</t>
        </is>
      </c>
    </row>
    <row r="1197" ht="49" customHeight="1">
      <c r="A1197" s="12" t="inlineStr">
        <is>
          <t>R875-v1</t>
        </is>
      </c>
      <c r="B1197" s="12" t="inlineStr">
        <is>
          <t>Contractor Programme / SCH-05-155</t>
        </is>
      </c>
      <c r="C1197" s="12" t="inlineStr">
        <is>
          <t>WBS Code = 1.5.1</t>
        </is>
      </c>
      <c r="D1197" s="12" t="inlineStr">
        <is>
          <t>Proposed by Source assignment; target 1.5.1 Testing and Commissioning - Test Readiness</t>
        </is>
      </c>
      <c r="E1197" s="12" t="inlineStr">
        <is>
          <t>None recorded</t>
        </is>
      </c>
      <c r="F1197" s="12" t="inlineStr">
        <is>
          <t>No individual professional decision recorded; Source assignment -- not individually reviewed</t>
        </is>
      </c>
      <c r="G1197" s="12" t="inlineStr">
        <is>
          <t>Not individually decided</t>
        </is>
      </c>
      <c r="H1197" s="12" t="inlineStr">
        <is>
          <t xml:space="preserve">APPROVED / ONE_TO_ONE; </t>
        </is>
      </c>
      <c r="I1197" s="12" t="inlineStr">
        <is>
          <t>New</t>
        </is>
      </c>
      <c r="J1197" s="17" t="inlineStr">
        <is>
          <t>08 CROSSWALK</t>
        </is>
      </c>
    </row>
    <row r="1198" ht="49" customHeight="1">
      <c r="A1198" s="12" t="inlineStr">
        <is>
          <t>R877-v1</t>
        </is>
      </c>
      <c r="B1198" s="12" t="inlineStr">
        <is>
          <t>Contractor Programme / SCH-05-157</t>
        </is>
      </c>
      <c r="C1198" s="12" t="inlineStr">
        <is>
          <t>WBS Code = 1.5.1</t>
        </is>
      </c>
      <c r="D1198" s="12" t="inlineStr">
        <is>
          <t>Proposed by Source assignment; target 1.5.1 Testing and Commissioning - Test Readiness</t>
        </is>
      </c>
      <c r="E1198" s="12" t="inlineStr">
        <is>
          <t>None recorded</t>
        </is>
      </c>
      <c r="F1198" s="12" t="inlineStr">
        <is>
          <t>No individual professional decision recorded; Source assignment -- not individually reviewed</t>
        </is>
      </c>
      <c r="G1198" s="12" t="inlineStr">
        <is>
          <t>Not individually decided</t>
        </is>
      </c>
      <c r="H1198" s="12" t="inlineStr">
        <is>
          <t xml:space="preserve">APPROVED / ONE_TO_ONE; </t>
        </is>
      </c>
      <c r="I1198" s="12" t="inlineStr">
        <is>
          <t>New</t>
        </is>
      </c>
      <c r="J1198" s="17" t="inlineStr">
        <is>
          <t>08 CROSSWALK</t>
        </is>
      </c>
    </row>
    <row r="1199" ht="49" customHeight="1">
      <c r="A1199" s="12" t="inlineStr">
        <is>
          <t>R878-v1</t>
        </is>
      </c>
      <c r="B1199" s="12" t="inlineStr">
        <is>
          <t>Contractor Programme / SCH-05-158</t>
        </is>
      </c>
      <c r="C1199" s="12" t="inlineStr">
        <is>
          <t>WBS Code = 1.5.1</t>
        </is>
      </c>
      <c r="D1199" s="12" t="inlineStr">
        <is>
          <t>Proposed by Source assignment; target 1.5.1 Testing and Commissioning - Test Readiness</t>
        </is>
      </c>
      <c r="E1199" s="12" t="inlineStr">
        <is>
          <t>None recorded</t>
        </is>
      </c>
      <c r="F1199" s="12" t="inlineStr">
        <is>
          <t>No individual professional decision recorded; Source assignment -- not individually reviewed</t>
        </is>
      </c>
      <c r="G1199" s="12" t="inlineStr">
        <is>
          <t>Not individually decided</t>
        </is>
      </c>
      <c r="H1199" s="12" t="inlineStr">
        <is>
          <t xml:space="preserve">APPROVED / ONE_TO_ONE; </t>
        </is>
      </c>
      <c r="I1199" s="12" t="inlineStr">
        <is>
          <t>New</t>
        </is>
      </c>
      <c r="J1199" s="17" t="inlineStr">
        <is>
          <t>08 CROSSWALK</t>
        </is>
      </c>
    </row>
    <row r="1200" ht="49" customHeight="1">
      <c r="A1200" s="12" t="inlineStr">
        <is>
          <t>R880-v1</t>
        </is>
      </c>
      <c r="B1200" s="12" t="inlineStr">
        <is>
          <t>Contractor Programme / SCH-05-160</t>
        </is>
      </c>
      <c r="C1200" s="12" t="inlineStr">
        <is>
          <t>WBS Code = 1.5.1</t>
        </is>
      </c>
      <c r="D1200" s="12" t="inlineStr">
        <is>
          <t>Proposed by Source assignment; target 1.5.1 Testing and Commissioning - Test Readiness</t>
        </is>
      </c>
      <c r="E1200" s="12" t="inlineStr">
        <is>
          <t>None recorded</t>
        </is>
      </c>
      <c r="F1200" s="12" t="inlineStr">
        <is>
          <t>No individual professional decision recorded; Source assignment -- not individually reviewed</t>
        </is>
      </c>
      <c r="G1200" s="12" t="inlineStr">
        <is>
          <t>Not individually decided</t>
        </is>
      </c>
      <c r="H1200" s="12" t="inlineStr">
        <is>
          <t xml:space="preserve">APPROVED / ONE_TO_ONE; </t>
        </is>
      </c>
      <c r="I1200" s="12" t="inlineStr">
        <is>
          <t>New</t>
        </is>
      </c>
      <c r="J1200" s="17" t="inlineStr">
        <is>
          <t>08 CROSSWALK</t>
        </is>
      </c>
    </row>
    <row r="1201" ht="49" customHeight="1">
      <c r="A1201" s="12" t="inlineStr">
        <is>
          <t>R881-v1</t>
        </is>
      </c>
      <c r="B1201" s="12" t="inlineStr">
        <is>
          <t>Contractor Programme / SCH-05-161</t>
        </is>
      </c>
      <c r="C1201" s="12" t="inlineStr">
        <is>
          <t>WBS Code = 1.5.1</t>
        </is>
      </c>
      <c r="D1201" s="12" t="inlineStr">
        <is>
          <t>Proposed by Source assignment; target 1.5.1 Testing and Commissioning - Test Readiness</t>
        </is>
      </c>
      <c r="E1201" s="12" t="inlineStr">
        <is>
          <t>None recorded</t>
        </is>
      </c>
      <c r="F1201" s="12" t="inlineStr">
        <is>
          <t>No individual professional decision recorded; Source assignment -- not individually reviewed</t>
        </is>
      </c>
      <c r="G1201" s="12" t="inlineStr">
        <is>
          <t>Not individually decided</t>
        </is>
      </c>
      <c r="H1201" s="12" t="inlineStr">
        <is>
          <t xml:space="preserve">APPROVED / ONE_TO_ONE; </t>
        </is>
      </c>
      <c r="I1201" s="12" t="inlineStr">
        <is>
          <t>New</t>
        </is>
      </c>
      <c r="J1201" s="17" t="inlineStr">
        <is>
          <t>08 CROSSWALK</t>
        </is>
      </c>
    </row>
    <row r="1202" ht="49" customHeight="1">
      <c r="A1202" s="12" t="inlineStr">
        <is>
          <t>R883-v1</t>
        </is>
      </c>
      <c r="B1202" s="12" t="inlineStr">
        <is>
          <t>Contractor Programme / SCH-05-163</t>
        </is>
      </c>
      <c r="C1202" s="12" t="inlineStr">
        <is>
          <t>WBS Code = 1.5.1</t>
        </is>
      </c>
      <c r="D1202" s="12" t="inlineStr">
        <is>
          <t>Proposed by Source assignment; target 1.5.1 Testing and Commissioning - Test Readiness</t>
        </is>
      </c>
      <c r="E1202" s="12" t="inlineStr">
        <is>
          <t>None recorded</t>
        </is>
      </c>
      <c r="F1202" s="12" t="inlineStr">
        <is>
          <t>No individual professional decision recorded; Source assignment -- not individually reviewed</t>
        </is>
      </c>
      <c r="G1202" s="12" t="inlineStr">
        <is>
          <t>Not individually decided</t>
        </is>
      </c>
      <c r="H1202" s="12" t="inlineStr">
        <is>
          <t xml:space="preserve">APPROVED / ONE_TO_ONE; </t>
        </is>
      </c>
      <c r="I1202" s="12" t="inlineStr">
        <is>
          <t>New</t>
        </is>
      </c>
      <c r="J1202" s="17" t="inlineStr">
        <is>
          <t>08 CROSSWALK</t>
        </is>
      </c>
    </row>
    <row r="1203" ht="49" customHeight="1">
      <c r="A1203" s="12" t="inlineStr">
        <is>
          <t>R884-v1</t>
        </is>
      </c>
      <c r="B1203" s="12" t="inlineStr">
        <is>
          <t>Contractor Programme / SCH-05-164</t>
        </is>
      </c>
      <c r="C1203" s="12" t="inlineStr">
        <is>
          <t>WBS Code = 1.5.1</t>
        </is>
      </c>
      <c r="D1203" s="12" t="inlineStr">
        <is>
          <t>Proposed by Source assignment; target 1.5.1 Testing and Commissioning - Test Readiness</t>
        </is>
      </c>
      <c r="E1203" s="12" t="inlineStr">
        <is>
          <t>None recorded</t>
        </is>
      </c>
      <c r="F1203" s="12" t="inlineStr">
        <is>
          <t>No individual professional decision recorded; Source assignment -- not individually reviewed</t>
        </is>
      </c>
      <c r="G1203" s="12" t="inlineStr">
        <is>
          <t>Not individually decided</t>
        </is>
      </c>
      <c r="H1203" s="12" t="inlineStr">
        <is>
          <t xml:space="preserve">APPROVED / ONE_TO_ONE; </t>
        </is>
      </c>
      <c r="I1203" s="12" t="inlineStr">
        <is>
          <t>New</t>
        </is>
      </c>
      <c r="J1203" s="17" t="inlineStr">
        <is>
          <t>08 CROSSWALK</t>
        </is>
      </c>
    </row>
    <row r="1204" ht="49" customHeight="1">
      <c r="A1204" s="12" t="inlineStr">
        <is>
          <t>R886-v1</t>
        </is>
      </c>
      <c r="B1204" s="12" t="inlineStr">
        <is>
          <t>Contractor Programme / SCH-05-166</t>
        </is>
      </c>
      <c r="C1204" s="12" t="inlineStr">
        <is>
          <t>WBS Code = 1.5.1</t>
        </is>
      </c>
      <c r="D1204" s="12" t="inlineStr">
        <is>
          <t>Proposed by Source assignment; target 1.5.1 Testing and Commissioning - Test Readiness</t>
        </is>
      </c>
      <c r="E1204" s="12" t="inlineStr">
        <is>
          <t>None recorded</t>
        </is>
      </c>
      <c r="F1204" s="12" t="inlineStr">
        <is>
          <t>No individual professional decision recorded; Source assignment -- not individually reviewed</t>
        </is>
      </c>
      <c r="G1204" s="12" t="inlineStr">
        <is>
          <t>Not individually decided</t>
        </is>
      </c>
      <c r="H1204" s="12" t="inlineStr">
        <is>
          <t xml:space="preserve">APPROVED / ONE_TO_ONE; </t>
        </is>
      </c>
      <c r="I1204" s="12" t="inlineStr">
        <is>
          <t>New</t>
        </is>
      </c>
      <c r="J1204" s="17" t="inlineStr">
        <is>
          <t>08 CROSSWALK</t>
        </is>
      </c>
    </row>
    <row r="1205" ht="49" customHeight="1">
      <c r="A1205" s="12" t="inlineStr">
        <is>
          <t>R887-v1</t>
        </is>
      </c>
      <c r="B1205" s="12" t="inlineStr">
        <is>
          <t>Contractor Programme / SCH-05-167</t>
        </is>
      </c>
      <c r="C1205" s="12" t="inlineStr">
        <is>
          <t>WBS Code = 1.5.1</t>
        </is>
      </c>
      <c r="D1205" s="12" t="inlineStr">
        <is>
          <t>Proposed by Source assignment; target 1.5.1 Testing and Commissioning - Test Readiness</t>
        </is>
      </c>
      <c r="E1205" s="12" t="inlineStr">
        <is>
          <t>None recorded</t>
        </is>
      </c>
      <c r="F1205" s="12" t="inlineStr">
        <is>
          <t>No individual professional decision recorded; Source assignment -- not individually reviewed</t>
        </is>
      </c>
      <c r="G1205" s="12" t="inlineStr">
        <is>
          <t>Not individually decided</t>
        </is>
      </c>
      <c r="H1205" s="12" t="inlineStr">
        <is>
          <t xml:space="preserve">APPROVED / ONE_TO_ONE; </t>
        </is>
      </c>
      <c r="I1205" s="12" t="inlineStr">
        <is>
          <t>New</t>
        </is>
      </c>
      <c r="J1205" s="17" t="inlineStr">
        <is>
          <t>08 CROSSWALK</t>
        </is>
      </c>
    </row>
    <row r="1206" ht="49" customHeight="1">
      <c r="A1206" s="12" t="inlineStr">
        <is>
          <t>R889-v1</t>
        </is>
      </c>
      <c r="B1206" s="12" t="inlineStr">
        <is>
          <t>Contractor Programme / SCH-05-169</t>
        </is>
      </c>
      <c r="C1206" s="12" t="inlineStr">
        <is>
          <t>WBS Code = 1.5.1</t>
        </is>
      </c>
      <c r="D1206" s="12" t="inlineStr">
        <is>
          <t>Proposed by Source assignment; target 1.5.1 Testing and Commissioning - Test Readiness</t>
        </is>
      </c>
      <c r="E1206" s="12" t="inlineStr">
        <is>
          <t>None recorded</t>
        </is>
      </c>
      <c r="F1206" s="12" t="inlineStr">
        <is>
          <t>No individual professional decision recorded; Source assignment -- not individually reviewed</t>
        </is>
      </c>
      <c r="G1206" s="12" t="inlineStr">
        <is>
          <t>Not individually decided</t>
        </is>
      </c>
      <c r="H1206" s="12" t="inlineStr">
        <is>
          <t xml:space="preserve">APPROVED / ONE_TO_ONE; </t>
        </is>
      </c>
      <c r="I1206" s="12" t="inlineStr">
        <is>
          <t>New</t>
        </is>
      </c>
      <c r="J1206" s="17" t="inlineStr">
        <is>
          <t>08 CROSSWALK</t>
        </is>
      </c>
    </row>
    <row r="1207" ht="49" customHeight="1">
      <c r="A1207" s="12" t="inlineStr">
        <is>
          <t>R890-v1</t>
        </is>
      </c>
      <c r="B1207" s="12" t="inlineStr">
        <is>
          <t>Contractor Programme / SCH-05-170</t>
        </is>
      </c>
      <c r="C1207" s="12" t="inlineStr">
        <is>
          <t>WBS Code = 1.5.1</t>
        </is>
      </c>
      <c r="D1207" s="12" t="inlineStr">
        <is>
          <t>Proposed by Source assignment; target 1.5.1 Testing and Commissioning - Test Readiness</t>
        </is>
      </c>
      <c r="E1207" s="12" t="inlineStr">
        <is>
          <t>None recorded</t>
        </is>
      </c>
      <c r="F1207" s="12" t="inlineStr">
        <is>
          <t>No individual professional decision recorded; Source assignment -- not individually reviewed</t>
        </is>
      </c>
      <c r="G1207" s="12" t="inlineStr">
        <is>
          <t>Not individually decided</t>
        </is>
      </c>
      <c r="H1207" s="12" t="inlineStr">
        <is>
          <t xml:space="preserve">APPROVED / ONE_TO_ONE; </t>
        </is>
      </c>
      <c r="I1207" s="12" t="inlineStr">
        <is>
          <t>New</t>
        </is>
      </c>
      <c r="J1207" s="17" t="inlineStr">
        <is>
          <t>08 CROSSWALK</t>
        </is>
      </c>
    </row>
    <row r="1208" ht="49" customHeight="1">
      <c r="A1208" s="12" t="inlineStr">
        <is>
          <t>R892-v1</t>
        </is>
      </c>
      <c r="B1208" s="12" t="inlineStr">
        <is>
          <t>Contractor Programme / SCH-05-172</t>
        </is>
      </c>
      <c r="C1208" s="12" t="inlineStr">
        <is>
          <t>WBS Code = 1.5.1</t>
        </is>
      </c>
      <c r="D1208" s="12" t="inlineStr">
        <is>
          <t>Proposed by Source assignment; target 1.5.1 Testing and Commissioning - Test Readiness</t>
        </is>
      </c>
      <c r="E1208" s="12" t="inlineStr">
        <is>
          <t>None recorded</t>
        </is>
      </c>
      <c r="F1208" s="12" t="inlineStr">
        <is>
          <t>No individual professional decision recorded; Source assignment -- not individually reviewed</t>
        </is>
      </c>
      <c r="G1208" s="12" t="inlineStr">
        <is>
          <t>Not individually decided</t>
        </is>
      </c>
      <c r="H1208" s="12" t="inlineStr">
        <is>
          <t xml:space="preserve">APPROVED / ONE_TO_ONE; </t>
        </is>
      </c>
      <c r="I1208" s="12" t="inlineStr">
        <is>
          <t>New</t>
        </is>
      </c>
      <c r="J1208" s="17" t="inlineStr">
        <is>
          <t>08 CROSSWALK</t>
        </is>
      </c>
    </row>
    <row r="1209" ht="49" customHeight="1">
      <c r="A1209" s="12" t="inlineStr">
        <is>
          <t>R893-v1</t>
        </is>
      </c>
      <c r="B1209" s="12" t="inlineStr">
        <is>
          <t>Contractor Programme / SCH-05-173</t>
        </is>
      </c>
      <c r="C1209" s="12" t="inlineStr">
        <is>
          <t>WBS Code = 1.5.1</t>
        </is>
      </c>
      <c r="D1209" s="12" t="inlineStr">
        <is>
          <t>Proposed by Source assignment; target 1.5.1 Testing and Commissioning - Test Readiness</t>
        </is>
      </c>
      <c r="E1209" s="12" t="inlineStr">
        <is>
          <t>None recorded</t>
        </is>
      </c>
      <c r="F1209" s="12" t="inlineStr">
        <is>
          <t>No individual professional decision recorded; Source assignment -- not individually reviewed</t>
        </is>
      </c>
      <c r="G1209" s="12" t="inlineStr">
        <is>
          <t>Not individually decided</t>
        </is>
      </c>
      <c r="H1209" s="12" t="inlineStr">
        <is>
          <t xml:space="preserve">APPROVED / ONE_TO_ONE; </t>
        </is>
      </c>
      <c r="I1209" s="12" t="inlineStr">
        <is>
          <t>New</t>
        </is>
      </c>
      <c r="J1209" s="17" t="inlineStr">
        <is>
          <t>08 CROSSWALK</t>
        </is>
      </c>
    </row>
    <row r="1210" ht="49" customHeight="1">
      <c r="A1210" s="12" t="inlineStr">
        <is>
          <t>R895-v1</t>
        </is>
      </c>
      <c r="B1210" s="12" t="inlineStr">
        <is>
          <t>Contractor Programme / SCH-05-175</t>
        </is>
      </c>
      <c r="C1210" s="12" t="inlineStr">
        <is>
          <t>WBS Code = 1.5.1</t>
        </is>
      </c>
      <c r="D1210" s="12" t="inlineStr">
        <is>
          <t>Proposed by Source assignment; target 1.5.1 Testing and Commissioning - Test Readiness</t>
        </is>
      </c>
      <c r="E1210" s="12" t="inlineStr">
        <is>
          <t>None recorded</t>
        </is>
      </c>
      <c r="F1210" s="12" t="inlineStr">
        <is>
          <t>No individual professional decision recorded; Source assignment -- not individually reviewed</t>
        </is>
      </c>
      <c r="G1210" s="12" t="inlineStr">
        <is>
          <t>Not individually decided</t>
        </is>
      </c>
      <c r="H1210" s="12" t="inlineStr">
        <is>
          <t xml:space="preserve">APPROVED / ONE_TO_ONE; </t>
        </is>
      </c>
      <c r="I1210" s="12" t="inlineStr">
        <is>
          <t>New</t>
        </is>
      </c>
      <c r="J1210" s="17" t="inlineStr">
        <is>
          <t>08 CROSSWALK</t>
        </is>
      </c>
    </row>
    <row r="1211" ht="49" customHeight="1">
      <c r="A1211" s="12" t="inlineStr">
        <is>
          <t>R896-v1</t>
        </is>
      </c>
      <c r="B1211" s="12" t="inlineStr">
        <is>
          <t>Contractor Programme / SCH-05-176</t>
        </is>
      </c>
      <c r="C1211" s="12" t="inlineStr">
        <is>
          <t>WBS Code = 1.5.1</t>
        </is>
      </c>
      <c r="D1211" s="12" t="inlineStr">
        <is>
          <t>Proposed by Source assignment; target 1.5.1 Testing and Commissioning - Test Readiness</t>
        </is>
      </c>
      <c r="E1211" s="12" t="inlineStr">
        <is>
          <t>None recorded</t>
        </is>
      </c>
      <c r="F1211" s="12" t="inlineStr">
        <is>
          <t>No individual professional decision recorded; Source assignment -- not individually reviewed</t>
        </is>
      </c>
      <c r="G1211" s="12" t="inlineStr">
        <is>
          <t>Not individually decided</t>
        </is>
      </c>
      <c r="H1211" s="12" t="inlineStr">
        <is>
          <t xml:space="preserve">APPROVED / ONE_TO_ONE; </t>
        </is>
      </c>
      <c r="I1211" s="12" t="inlineStr">
        <is>
          <t>New</t>
        </is>
      </c>
      <c r="J1211" s="17" t="inlineStr">
        <is>
          <t>08 CROSSWALK</t>
        </is>
      </c>
    </row>
    <row r="1212" ht="49" customHeight="1">
      <c r="A1212" s="12" t="inlineStr">
        <is>
          <t>R898-v1</t>
        </is>
      </c>
      <c r="B1212" s="12" t="inlineStr">
        <is>
          <t>Contractor Programme / SCH-05-178</t>
        </is>
      </c>
      <c r="C1212" s="12" t="inlineStr">
        <is>
          <t>WBS Code = 1.5.1</t>
        </is>
      </c>
      <c r="D1212" s="12" t="inlineStr">
        <is>
          <t>Proposed by Source assignment; target 1.5.1 Testing and Commissioning - Test Readiness</t>
        </is>
      </c>
      <c r="E1212" s="12" t="inlineStr">
        <is>
          <t>None recorded</t>
        </is>
      </c>
      <c r="F1212" s="12" t="inlineStr">
        <is>
          <t>No individual professional decision recorded; Source assignment -- not individually reviewed</t>
        </is>
      </c>
      <c r="G1212" s="12" t="inlineStr">
        <is>
          <t>Not individually decided</t>
        </is>
      </c>
      <c r="H1212" s="12" t="inlineStr">
        <is>
          <t xml:space="preserve">APPROVED / ONE_TO_ONE; </t>
        </is>
      </c>
      <c r="I1212" s="12" t="inlineStr">
        <is>
          <t>New</t>
        </is>
      </c>
      <c r="J1212" s="17" t="inlineStr">
        <is>
          <t>08 CROSSWALK</t>
        </is>
      </c>
    </row>
    <row r="1213" ht="49" customHeight="1">
      <c r="A1213" s="12" t="inlineStr">
        <is>
          <t>R899-v1</t>
        </is>
      </c>
      <c r="B1213" s="12" t="inlineStr">
        <is>
          <t>Contractor Programme / SCH-05-179</t>
        </is>
      </c>
      <c r="C1213" s="12" t="inlineStr">
        <is>
          <t>WBS Code = 1.5.1</t>
        </is>
      </c>
      <c r="D1213" s="12" t="inlineStr">
        <is>
          <t>Proposed by Source assignment; target 1.5.1 Testing and Commissioning - Test Readiness</t>
        </is>
      </c>
      <c r="E1213" s="12" t="inlineStr">
        <is>
          <t>None recorded</t>
        </is>
      </c>
      <c r="F1213" s="12" t="inlineStr">
        <is>
          <t>No individual professional decision recorded; Source assignment -- not individually reviewed</t>
        </is>
      </c>
      <c r="G1213" s="12" t="inlineStr">
        <is>
          <t>Not individually decided</t>
        </is>
      </c>
      <c r="H1213" s="12" t="inlineStr">
        <is>
          <t xml:space="preserve">APPROVED / ONE_TO_ONE; </t>
        </is>
      </c>
      <c r="I1213" s="12" t="inlineStr">
        <is>
          <t>New</t>
        </is>
      </c>
      <c r="J1213" s="17" t="inlineStr">
        <is>
          <t>08 CROSSWALK</t>
        </is>
      </c>
    </row>
    <row r="1214" ht="49" customHeight="1">
      <c r="A1214" s="12" t="inlineStr">
        <is>
          <t>R723-v1</t>
        </is>
      </c>
      <c r="B1214" s="12" t="inlineStr">
        <is>
          <t>Contractor Programme / SCH-05-003</t>
        </is>
      </c>
      <c r="C1214" s="12" t="inlineStr">
        <is>
          <t>WBS Code = 1.5.2</t>
        </is>
      </c>
      <c r="D1214" s="12" t="inlineStr">
        <is>
          <t>Proposed by Source assignment; target 1.5.2 Testing and Commissioning - Dynamic Testing</t>
        </is>
      </c>
      <c r="E1214" s="12" t="inlineStr">
        <is>
          <t>None recorded</t>
        </is>
      </c>
      <c r="F1214" s="12" t="inlineStr">
        <is>
          <t>No individual professional decision recorded; Source assignment -- not individually reviewed</t>
        </is>
      </c>
      <c r="G1214" s="12" t="inlineStr">
        <is>
          <t>Not individually decided</t>
        </is>
      </c>
      <c r="H1214" s="12" t="inlineStr">
        <is>
          <t xml:space="preserve">APPROVED / ONE_TO_ONE; </t>
        </is>
      </c>
      <c r="I1214" s="12" t="inlineStr">
        <is>
          <t>New</t>
        </is>
      </c>
      <c r="J1214" s="17" t="inlineStr">
        <is>
          <t>08 CROSSWALK</t>
        </is>
      </c>
    </row>
    <row r="1215" ht="49" customHeight="1">
      <c r="A1215" s="12" t="inlineStr">
        <is>
          <t>R726-v1</t>
        </is>
      </c>
      <c r="B1215" s="12" t="inlineStr">
        <is>
          <t>Contractor Programme / SCH-05-006</t>
        </is>
      </c>
      <c r="C1215" s="12" t="inlineStr">
        <is>
          <t>WBS Code = 1.5.2</t>
        </is>
      </c>
      <c r="D1215" s="12" t="inlineStr">
        <is>
          <t>Proposed by Source assignment; target 1.5.2 Testing and Commissioning - Dynamic Testing</t>
        </is>
      </c>
      <c r="E1215" s="12" t="inlineStr">
        <is>
          <t>None recorded</t>
        </is>
      </c>
      <c r="F1215" s="12" t="inlineStr">
        <is>
          <t>No individual professional decision recorded; Source assignment -- not individually reviewed</t>
        </is>
      </c>
      <c r="G1215" s="12" t="inlineStr">
        <is>
          <t>Not individually decided</t>
        </is>
      </c>
      <c r="H1215" s="12" t="inlineStr">
        <is>
          <t xml:space="preserve">APPROVED / ONE_TO_ONE; </t>
        </is>
      </c>
      <c r="I1215" s="12" t="inlineStr">
        <is>
          <t>New</t>
        </is>
      </c>
      <c r="J1215" s="17" t="inlineStr">
        <is>
          <t>08 CROSSWALK</t>
        </is>
      </c>
    </row>
    <row r="1216" ht="49" customHeight="1">
      <c r="A1216" s="12" t="inlineStr">
        <is>
          <t>R729-v1</t>
        </is>
      </c>
      <c r="B1216" s="12" t="inlineStr">
        <is>
          <t>Contractor Programme / SCH-05-009</t>
        </is>
      </c>
      <c r="C1216" s="12" t="inlineStr">
        <is>
          <t>WBS Code = 1.5.2</t>
        </is>
      </c>
      <c r="D1216" s="12" t="inlineStr">
        <is>
          <t>Proposed by Source assignment; target 1.5.2 Testing and Commissioning - Dynamic Testing</t>
        </is>
      </c>
      <c r="E1216" s="12" t="inlineStr">
        <is>
          <t>None recorded</t>
        </is>
      </c>
      <c r="F1216" s="12" t="inlineStr">
        <is>
          <t>No individual professional decision recorded; Source assignment -- not individually reviewed</t>
        </is>
      </c>
      <c r="G1216" s="12" t="inlineStr">
        <is>
          <t>Not individually decided</t>
        </is>
      </c>
      <c r="H1216" s="12" t="inlineStr">
        <is>
          <t xml:space="preserve">APPROVED / ONE_TO_ONE; </t>
        </is>
      </c>
      <c r="I1216" s="12" t="inlineStr">
        <is>
          <t>New</t>
        </is>
      </c>
      <c r="J1216" s="17" t="inlineStr">
        <is>
          <t>08 CROSSWALK</t>
        </is>
      </c>
    </row>
    <row r="1217" ht="49" customHeight="1">
      <c r="A1217" s="12" t="inlineStr">
        <is>
          <t>R732-v1</t>
        </is>
      </c>
      <c r="B1217" s="12" t="inlineStr">
        <is>
          <t>Contractor Programme / SCH-05-012</t>
        </is>
      </c>
      <c r="C1217" s="12" t="inlineStr">
        <is>
          <t>WBS Code = 1.5.2</t>
        </is>
      </c>
      <c r="D1217" s="12" t="inlineStr">
        <is>
          <t>Proposed by Source assignment; target 1.5.2 Testing and Commissioning - Dynamic Testing</t>
        </is>
      </c>
      <c r="E1217" s="12" t="inlineStr">
        <is>
          <t>None recorded</t>
        </is>
      </c>
      <c r="F1217" s="12" t="inlineStr">
        <is>
          <t>No individual professional decision recorded; Source assignment -- not individually reviewed</t>
        </is>
      </c>
      <c r="G1217" s="12" t="inlineStr">
        <is>
          <t>Not individually decided</t>
        </is>
      </c>
      <c r="H1217" s="12" t="inlineStr">
        <is>
          <t xml:space="preserve">APPROVED / ONE_TO_ONE; </t>
        </is>
      </c>
      <c r="I1217" s="12" t="inlineStr">
        <is>
          <t>New</t>
        </is>
      </c>
      <c r="J1217" s="17" t="inlineStr">
        <is>
          <t>08 CROSSWALK</t>
        </is>
      </c>
    </row>
    <row r="1218" ht="49" customHeight="1">
      <c r="A1218" s="12" t="inlineStr">
        <is>
          <t>R735-v1</t>
        </is>
      </c>
      <c r="B1218" s="12" t="inlineStr">
        <is>
          <t>Contractor Programme / SCH-05-015</t>
        </is>
      </c>
      <c r="C1218" s="12" t="inlineStr">
        <is>
          <t>WBS Code = 1.5.2</t>
        </is>
      </c>
      <c r="D1218" s="12" t="inlineStr">
        <is>
          <t>Proposed by Source assignment; target 1.5.2 Testing and Commissioning - Dynamic Testing</t>
        </is>
      </c>
      <c r="E1218" s="12" t="inlineStr">
        <is>
          <t>None recorded</t>
        </is>
      </c>
      <c r="F1218" s="12" t="inlineStr">
        <is>
          <t>No individual professional decision recorded; Source assignment -- not individually reviewed</t>
        </is>
      </c>
      <c r="G1218" s="12" t="inlineStr">
        <is>
          <t>Not individually decided</t>
        </is>
      </c>
      <c r="H1218" s="12" t="inlineStr">
        <is>
          <t xml:space="preserve">APPROVED / ONE_TO_ONE; </t>
        </is>
      </c>
      <c r="I1218" s="12" t="inlineStr">
        <is>
          <t>New</t>
        </is>
      </c>
      <c r="J1218" s="17" t="inlineStr">
        <is>
          <t>08 CROSSWALK</t>
        </is>
      </c>
    </row>
    <row r="1219" ht="49" customHeight="1">
      <c r="A1219" s="12" t="inlineStr">
        <is>
          <t>R738-v1</t>
        </is>
      </c>
      <c r="B1219" s="12" t="inlineStr">
        <is>
          <t>Contractor Programme / SCH-05-018</t>
        </is>
      </c>
      <c r="C1219" s="12" t="inlineStr">
        <is>
          <t>WBS Code = 1.5.2</t>
        </is>
      </c>
      <c r="D1219" s="12" t="inlineStr">
        <is>
          <t>Proposed by Source assignment; target 1.5.2 Testing and Commissioning - Dynamic Testing</t>
        </is>
      </c>
      <c r="E1219" s="12" t="inlineStr">
        <is>
          <t>None recorded</t>
        </is>
      </c>
      <c r="F1219" s="12" t="inlineStr">
        <is>
          <t>No individual professional decision recorded; Source assignment -- not individually reviewed</t>
        </is>
      </c>
      <c r="G1219" s="12" t="inlineStr">
        <is>
          <t>Not individually decided</t>
        </is>
      </c>
      <c r="H1219" s="12" t="inlineStr">
        <is>
          <t xml:space="preserve">APPROVED / ONE_TO_ONE; </t>
        </is>
      </c>
      <c r="I1219" s="12" t="inlineStr">
        <is>
          <t>New</t>
        </is>
      </c>
      <c r="J1219" s="17" t="inlineStr">
        <is>
          <t>08 CROSSWALK</t>
        </is>
      </c>
    </row>
    <row r="1220" ht="49" customHeight="1">
      <c r="A1220" s="12" t="inlineStr">
        <is>
          <t>R741-v1</t>
        </is>
      </c>
      <c r="B1220" s="12" t="inlineStr">
        <is>
          <t>Contractor Programme / SCH-05-021</t>
        </is>
      </c>
      <c r="C1220" s="12" t="inlineStr">
        <is>
          <t>WBS Code = 1.5.2</t>
        </is>
      </c>
      <c r="D1220" s="12" t="inlineStr">
        <is>
          <t>Proposed by Source assignment; target 1.5.2 Testing and Commissioning - Dynamic Testing</t>
        </is>
      </c>
      <c r="E1220" s="12" t="inlineStr">
        <is>
          <t>None recorded</t>
        </is>
      </c>
      <c r="F1220" s="12" t="inlineStr">
        <is>
          <t>No individual professional decision recorded; Source assignment -- not individually reviewed</t>
        </is>
      </c>
      <c r="G1220" s="12" t="inlineStr">
        <is>
          <t>Not individually decided</t>
        </is>
      </c>
      <c r="H1220" s="12" t="inlineStr">
        <is>
          <t xml:space="preserve">APPROVED / ONE_TO_ONE; </t>
        </is>
      </c>
      <c r="I1220" s="12" t="inlineStr">
        <is>
          <t>New</t>
        </is>
      </c>
      <c r="J1220" s="17" t="inlineStr">
        <is>
          <t>08 CROSSWALK</t>
        </is>
      </c>
    </row>
    <row r="1221" ht="49" customHeight="1">
      <c r="A1221" s="12" t="inlineStr">
        <is>
          <t>R744-v1</t>
        </is>
      </c>
      <c r="B1221" s="12" t="inlineStr">
        <is>
          <t>Contractor Programme / SCH-05-024</t>
        </is>
      </c>
      <c r="C1221" s="12" t="inlineStr">
        <is>
          <t>WBS Code = 1.5.2</t>
        </is>
      </c>
      <c r="D1221" s="12" t="inlineStr">
        <is>
          <t>Proposed by Source assignment; target 1.5.2 Testing and Commissioning - Dynamic Testing</t>
        </is>
      </c>
      <c r="E1221" s="12" t="inlineStr">
        <is>
          <t>None recorded</t>
        </is>
      </c>
      <c r="F1221" s="12" t="inlineStr">
        <is>
          <t>No individual professional decision recorded; Source assignment -- not individually reviewed</t>
        </is>
      </c>
      <c r="G1221" s="12" t="inlineStr">
        <is>
          <t>Not individually decided</t>
        </is>
      </c>
      <c r="H1221" s="12" t="inlineStr">
        <is>
          <t xml:space="preserve">APPROVED / ONE_TO_ONE; </t>
        </is>
      </c>
      <c r="I1221" s="12" t="inlineStr">
        <is>
          <t>New</t>
        </is>
      </c>
      <c r="J1221" s="17" t="inlineStr">
        <is>
          <t>08 CROSSWALK</t>
        </is>
      </c>
    </row>
    <row r="1222" ht="49" customHeight="1">
      <c r="A1222" s="12" t="inlineStr">
        <is>
          <t>R747-v1</t>
        </is>
      </c>
      <c r="B1222" s="12" t="inlineStr">
        <is>
          <t>Contractor Programme / SCH-05-027</t>
        </is>
      </c>
      <c r="C1222" s="12" t="inlineStr">
        <is>
          <t>WBS Code = 1.5.2</t>
        </is>
      </c>
      <c r="D1222" s="12" t="inlineStr">
        <is>
          <t>Proposed by Source assignment; target 1.5.2 Testing and Commissioning - Dynamic Testing</t>
        </is>
      </c>
      <c r="E1222" s="12" t="inlineStr">
        <is>
          <t>None recorded</t>
        </is>
      </c>
      <c r="F1222" s="12" t="inlineStr">
        <is>
          <t>No individual professional decision recorded; Source assignment -- not individually reviewed</t>
        </is>
      </c>
      <c r="G1222" s="12" t="inlineStr">
        <is>
          <t>Not individually decided</t>
        </is>
      </c>
      <c r="H1222" s="12" t="inlineStr">
        <is>
          <t xml:space="preserve">APPROVED / ONE_TO_ONE; </t>
        </is>
      </c>
      <c r="I1222" s="12" t="inlineStr">
        <is>
          <t>New</t>
        </is>
      </c>
      <c r="J1222" s="17" t="inlineStr">
        <is>
          <t>08 CROSSWALK</t>
        </is>
      </c>
    </row>
    <row r="1223" ht="49" customHeight="1">
      <c r="A1223" s="12" t="inlineStr">
        <is>
          <t>R750-v1</t>
        </is>
      </c>
      <c r="B1223" s="12" t="inlineStr">
        <is>
          <t>Contractor Programme / SCH-05-030</t>
        </is>
      </c>
      <c r="C1223" s="12" t="inlineStr">
        <is>
          <t>WBS Code = 1.5.2</t>
        </is>
      </c>
      <c r="D1223" s="12" t="inlineStr">
        <is>
          <t>Proposed by Source assignment; target 1.5.2 Testing and Commissioning - Dynamic Testing</t>
        </is>
      </c>
      <c r="E1223" s="12" t="inlineStr">
        <is>
          <t>None recorded</t>
        </is>
      </c>
      <c r="F1223" s="12" t="inlineStr">
        <is>
          <t>No individual professional decision recorded; Source assignment -- not individually reviewed</t>
        </is>
      </c>
      <c r="G1223" s="12" t="inlineStr">
        <is>
          <t>Not individually decided</t>
        </is>
      </c>
      <c r="H1223" s="12" t="inlineStr">
        <is>
          <t xml:space="preserve">APPROVED / ONE_TO_ONE; </t>
        </is>
      </c>
      <c r="I1223" s="12" t="inlineStr">
        <is>
          <t>New</t>
        </is>
      </c>
      <c r="J1223" s="17" t="inlineStr">
        <is>
          <t>08 CROSSWALK</t>
        </is>
      </c>
    </row>
    <row r="1224" ht="49" customHeight="1">
      <c r="A1224" s="12" t="inlineStr">
        <is>
          <t>R753-v1</t>
        </is>
      </c>
      <c r="B1224" s="12" t="inlineStr">
        <is>
          <t>Contractor Programme / SCH-05-033</t>
        </is>
      </c>
      <c r="C1224" s="12" t="inlineStr">
        <is>
          <t>WBS Code = 1.5.2</t>
        </is>
      </c>
      <c r="D1224" s="12" t="inlineStr">
        <is>
          <t>Proposed by Source assignment; target 1.5.2 Testing and Commissioning - Dynamic Testing</t>
        </is>
      </c>
      <c r="E1224" s="12" t="inlineStr">
        <is>
          <t>None recorded</t>
        </is>
      </c>
      <c r="F1224" s="12" t="inlineStr">
        <is>
          <t>No individual professional decision recorded; Source assignment -- not individually reviewed</t>
        </is>
      </c>
      <c r="G1224" s="12" t="inlineStr">
        <is>
          <t>Not individually decided</t>
        </is>
      </c>
      <c r="H1224" s="12" t="inlineStr">
        <is>
          <t xml:space="preserve">APPROVED / ONE_TO_ONE; </t>
        </is>
      </c>
      <c r="I1224" s="12" t="inlineStr">
        <is>
          <t>New</t>
        </is>
      </c>
      <c r="J1224" s="17" t="inlineStr">
        <is>
          <t>08 CROSSWALK</t>
        </is>
      </c>
    </row>
    <row r="1225" ht="49" customHeight="1">
      <c r="A1225" s="12" t="inlineStr">
        <is>
          <t>R756-v1</t>
        </is>
      </c>
      <c r="B1225" s="12" t="inlineStr">
        <is>
          <t>Contractor Programme / SCH-05-036</t>
        </is>
      </c>
      <c r="C1225" s="12" t="inlineStr">
        <is>
          <t>WBS Code = 1.5.2</t>
        </is>
      </c>
      <c r="D1225" s="12" t="inlineStr">
        <is>
          <t>Proposed by Source assignment; target 1.5.2 Testing and Commissioning - Dynamic Testing</t>
        </is>
      </c>
      <c r="E1225" s="12" t="inlineStr">
        <is>
          <t>None recorded</t>
        </is>
      </c>
      <c r="F1225" s="12" t="inlineStr">
        <is>
          <t>No individual professional decision recorded; Source assignment -- not individually reviewed</t>
        </is>
      </c>
      <c r="G1225" s="12" t="inlineStr">
        <is>
          <t>Not individually decided</t>
        </is>
      </c>
      <c r="H1225" s="12" t="inlineStr">
        <is>
          <t xml:space="preserve">APPROVED / ONE_TO_ONE; </t>
        </is>
      </c>
      <c r="I1225" s="12" t="inlineStr">
        <is>
          <t>New</t>
        </is>
      </c>
      <c r="J1225" s="17" t="inlineStr">
        <is>
          <t>08 CROSSWALK</t>
        </is>
      </c>
    </row>
    <row r="1226" ht="49" customHeight="1">
      <c r="A1226" s="12" t="inlineStr">
        <is>
          <t>R759-v1</t>
        </is>
      </c>
      <c r="B1226" s="12" t="inlineStr">
        <is>
          <t>Contractor Programme / SCH-05-039</t>
        </is>
      </c>
      <c r="C1226" s="12" t="inlineStr">
        <is>
          <t>WBS Code = 1.5.2</t>
        </is>
      </c>
      <c r="D1226" s="12" t="inlineStr">
        <is>
          <t>Proposed by Source assignment; target 1.5.2 Testing and Commissioning - Dynamic Testing</t>
        </is>
      </c>
      <c r="E1226" s="12" t="inlineStr">
        <is>
          <t>None recorded</t>
        </is>
      </c>
      <c r="F1226" s="12" t="inlineStr">
        <is>
          <t>No individual professional decision recorded; Source assignment -- not individually reviewed</t>
        </is>
      </c>
      <c r="G1226" s="12" t="inlineStr">
        <is>
          <t>Not individually decided</t>
        </is>
      </c>
      <c r="H1226" s="12" t="inlineStr">
        <is>
          <t xml:space="preserve">APPROVED / ONE_TO_ONE; </t>
        </is>
      </c>
      <c r="I1226" s="12" t="inlineStr">
        <is>
          <t>New</t>
        </is>
      </c>
      <c r="J1226" s="17" t="inlineStr">
        <is>
          <t>08 CROSSWALK</t>
        </is>
      </c>
    </row>
    <row r="1227" ht="49" customHeight="1">
      <c r="A1227" s="12" t="inlineStr">
        <is>
          <t>R762-v1</t>
        </is>
      </c>
      <c r="B1227" s="12" t="inlineStr">
        <is>
          <t>Contractor Programme / SCH-05-042</t>
        </is>
      </c>
      <c r="C1227" s="12" t="inlineStr">
        <is>
          <t>WBS Code = 1.5.2</t>
        </is>
      </c>
      <c r="D1227" s="12" t="inlineStr">
        <is>
          <t>Proposed by Source assignment; target 1.5.2 Testing and Commissioning - Dynamic Testing</t>
        </is>
      </c>
      <c r="E1227" s="12" t="inlineStr">
        <is>
          <t>None recorded</t>
        </is>
      </c>
      <c r="F1227" s="12" t="inlineStr">
        <is>
          <t>No individual professional decision recorded; Source assignment -- not individually reviewed</t>
        </is>
      </c>
      <c r="G1227" s="12" t="inlineStr">
        <is>
          <t>Not individually decided</t>
        </is>
      </c>
      <c r="H1227" s="12" t="inlineStr">
        <is>
          <t xml:space="preserve">APPROVED / ONE_TO_ONE; </t>
        </is>
      </c>
      <c r="I1227" s="12" t="inlineStr">
        <is>
          <t>New</t>
        </is>
      </c>
      <c r="J1227" s="17" t="inlineStr">
        <is>
          <t>08 CROSSWALK</t>
        </is>
      </c>
    </row>
    <row r="1228" ht="49" customHeight="1">
      <c r="A1228" s="12" t="inlineStr">
        <is>
          <t>R765-v1</t>
        </is>
      </c>
      <c r="B1228" s="12" t="inlineStr">
        <is>
          <t>Contractor Programme / SCH-05-045</t>
        </is>
      </c>
      <c r="C1228" s="12" t="inlineStr">
        <is>
          <t>WBS Code = 1.5.2</t>
        </is>
      </c>
      <c r="D1228" s="12" t="inlineStr">
        <is>
          <t>Proposed by Source assignment; target 1.5.2 Testing and Commissioning - Dynamic Testing</t>
        </is>
      </c>
      <c r="E1228" s="12" t="inlineStr">
        <is>
          <t>None recorded</t>
        </is>
      </c>
      <c r="F1228" s="12" t="inlineStr">
        <is>
          <t>No individual professional decision recorded; Source assignment -- not individually reviewed</t>
        </is>
      </c>
      <c r="G1228" s="12" t="inlineStr">
        <is>
          <t>Not individually decided</t>
        </is>
      </c>
      <c r="H1228" s="12" t="inlineStr">
        <is>
          <t xml:space="preserve">APPROVED / ONE_TO_ONE; </t>
        </is>
      </c>
      <c r="I1228" s="12" t="inlineStr">
        <is>
          <t>New</t>
        </is>
      </c>
      <c r="J1228" s="17" t="inlineStr">
        <is>
          <t>08 CROSSWALK</t>
        </is>
      </c>
    </row>
    <row r="1229" ht="49" customHeight="1">
      <c r="A1229" s="12" t="inlineStr">
        <is>
          <t>R768-v1</t>
        </is>
      </c>
      <c r="B1229" s="12" t="inlineStr">
        <is>
          <t>Contractor Programme / SCH-05-048</t>
        </is>
      </c>
      <c r="C1229" s="12" t="inlineStr">
        <is>
          <t>WBS Code = 1.5.2</t>
        </is>
      </c>
      <c r="D1229" s="12" t="inlineStr">
        <is>
          <t>Proposed by Source assignment; target 1.5.2 Testing and Commissioning - Dynamic Testing</t>
        </is>
      </c>
      <c r="E1229" s="12" t="inlineStr">
        <is>
          <t>None recorded</t>
        </is>
      </c>
      <c r="F1229" s="12" t="inlineStr">
        <is>
          <t>No individual professional decision recorded; Source assignment -- not individually reviewed</t>
        </is>
      </c>
      <c r="G1229" s="12" t="inlineStr">
        <is>
          <t>Not individually decided</t>
        </is>
      </c>
      <c r="H1229" s="12" t="inlineStr">
        <is>
          <t xml:space="preserve">APPROVED / ONE_TO_ONE; </t>
        </is>
      </c>
      <c r="I1229" s="12" t="inlineStr">
        <is>
          <t>New</t>
        </is>
      </c>
      <c r="J1229" s="17" t="inlineStr">
        <is>
          <t>08 CROSSWALK</t>
        </is>
      </c>
    </row>
    <row r="1230" ht="49" customHeight="1">
      <c r="A1230" s="12" t="inlineStr">
        <is>
          <t>R771-v1</t>
        </is>
      </c>
      <c r="B1230" s="12" t="inlineStr">
        <is>
          <t>Contractor Programme / SCH-05-051</t>
        </is>
      </c>
      <c r="C1230" s="12" t="inlineStr">
        <is>
          <t>WBS Code = 1.5.2</t>
        </is>
      </c>
      <c r="D1230" s="12" t="inlineStr">
        <is>
          <t>Proposed by Source assignment; target 1.5.2 Testing and Commissioning - Dynamic Testing</t>
        </is>
      </c>
      <c r="E1230" s="12" t="inlineStr">
        <is>
          <t>None recorded</t>
        </is>
      </c>
      <c r="F1230" s="12" t="inlineStr">
        <is>
          <t>No individual professional decision recorded; Source assignment -- not individually reviewed</t>
        </is>
      </c>
      <c r="G1230" s="12" t="inlineStr">
        <is>
          <t>Not individually decided</t>
        </is>
      </c>
      <c r="H1230" s="12" t="inlineStr">
        <is>
          <t xml:space="preserve">APPROVED / ONE_TO_ONE; </t>
        </is>
      </c>
      <c r="I1230" s="12" t="inlineStr">
        <is>
          <t>New</t>
        </is>
      </c>
      <c r="J1230" s="17" t="inlineStr">
        <is>
          <t>08 CROSSWALK</t>
        </is>
      </c>
    </row>
    <row r="1231" ht="49" customHeight="1">
      <c r="A1231" s="12" t="inlineStr">
        <is>
          <t>R774-v1</t>
        </is>
      </c>
      <c r="B1231" s="12" t="inlineStr">
        <is>
          <t>Contractor Programme / SCH-05-054</t>
        </is>
      </c>
      <c r="C1231" s="12" t="inlineStr">
        <is>
          <t>WBS Code = 1.5.2</t>
        </is>
      </c>
      <c r="D1231" s="12" t="inlineStr">
        <is>
          <t>Proposed by Source assignment; target 1.5.2 Testing and Commissioning - Dynamic Testing</t>
        </is>
      </c>
      <c r="E1231" s="12" t="inlineStr">
        <is>
          <t>None recorded</t>
        </is>
      </c>
      <c r="F1231" s="12" t="inlineStr">
        <is>
          <t>No individual professional decision recorded; Source assignment -- not individually reviewed</t>
        </is>
      </c>
      <c r="G1231" s="12" t="inlineStr">
        <is>
          <t>Not individually decided</t>
        </is>
      </c>
      <c r="H1231" s="12" t="inlineStr">
        <is>
          <t xml:space="preserve">APPROVED / ONE_TO_ONE; </t>
        </is>
      </c>
      <c r="I1231" s="12" t="inlineStr">
        <is>
          <t>New</t>
        </is>
      </c>
      <c r="J1231" s="17" t="inlineStr">
        <is>
          <t>08 CROSSWALK</t>
        </is>
      </c>
    </row>
    <row r="1232" ht="49" customHeight="1">
      <c r="A1232" s="12" t="inlineStr">
        <is>
          <t>R777-v1</t>
        </is>
      </c>
      <c r="B1232" s="12" t="inlineStr">
        <is>
          <t>Contractor Programme / SCH-05-057</t>
        </is>
      </c>
      <c r="C1232" s="12" t="inlineStr">
        <is>
          <t>WBS Code = 1.5.2</t>
        </is>
      </c>
      <c r="D1232" s="12" t="inlineStr">
        <is>
          <t>Proposed by Source assignment; target 1.5.2 Testing and Commissioning - Dynamic Testing</t>
        </is>
      </c>
      <c r="E1232" s="12" t="inlineStr">
        <is>
          <t>None recorded</t>
        </is>
      </c>
      <c r="F1232" s="12" t="inlineStr">
        <is>
          <t>No individual professional decision recorded; Source assignment -- not individually reviewed</t>
        </is>
      </c>
      <c r="G1232" s="12" t="inlineStr">
        <is>
          <t>Not individually decided</t>
        </is>
      </c>
      <c r="H1232" s="12" t="inlineStr">
        <is>
          <t xml:space="preserve">APPROVED / ONE_TO_ONE; </t>
        </is>
      </c>
      <c r="I1232" s="12" t="inlineStr">
        <is>
          <t>New</t>
        </is>
      </c>
      <c r="J1232" s="17" t="inlineStr">
        <is>
          <t>08 CROSSWALK</t>
        </is>
      </c>
    </row>
    <row r="1233" ht="49" customHeight="1">
      <c r="A1233" s="12" t="inlineStr">
        <is>
          <t>R780-v1</t>
        </is>
      </c>
      <c r="B1233" s="12" t="inlineStr">
        <is>
          <t>Contractor Programme / SCH-05-060</t>
        </is>
      </c>
      <c r="C1233" s="12" t="inlineStr">
        <is>
          <t>WBS Code = 1.5.2</t>
        </is>
      </c>
      <c r="D1233" s="12" t="inlineStr">
        <is>
          <t>Proposed by Source assignment; target 1.5.2 Testing and Commissioning - Dynamic Testing</t>
        </is>
      </c>
      <c r="E1233" s="12" t="inlineStr">
        <is>
          <t>None recorded</t>
        </is>
      </c>
      <c r="F1233" s="12" t="inlineStr">
        <is>
          <t>No individual professional decision recorded; Source assignment -- not individually reviewed</t>
        </is>
      </c>
      <c r="G1233" s="12" t="inlineStr">
        <is>
          <t>Not individually decided</t>
        </is>
      </c>
      <c r="H1233" s="12" t="inlineStr">
        <is>
          <t xml:space="preserve">APPROVED / ONE_TO_ONE; </t>
        </is>
      </c>
      <c r="I1233" s="12" t="inlineStr">
        <is>
          <t>New</t>
        </is>
      </c>
      <c r="J1233" s="17" t="inlineStr">
        <is>
          <t>08 CROSSWALK</t>
        </is>
      </c>
    </row>
    <row r="1234" ht="49" customHeight="1">
      <c r="A1234" s="12" t="inlineStr">
        <is>
          <t>R783-v1</t>
        </is>
      </c>
      <c r="B1234" s="12" t="inlineStr">
        <is>
          <t>Contractor Programme / SCH-05-063</t>
        </is>
      </c>
      <c r="C1234" s="12" t="inlineStr">
        <is>
          <t>WBS Code = 1.5.2</t>
        </is>
      </c>
      <c r="D1234" s="12" t="inlineStr">
        <is>
          <t>Proposed by Source assignment; target 1.5.2 Testing and Commissioning - Dynamic Testing</t>
        </is>
      </c>
      <c r="E1234" s="12" t="inlineStr">
        <is>
          <t>None recorded</t>
        </is>
      </c>
      <c r="F1234" s="12" t="inlineStr">
        <is>
          <t>No individual professional decision recorded; Source assignment -- not individually reviewed</t>
        </is>
      </c>
      <c r="G1234" s="12" t="inlineStr">
        <is>
          <t>Not individually decided</t>
        </is>
      </c>
      <c r="H1234" s="12" t="inlineStr">
        <is>
          <t xml:space="preserve">APPROVED / ONE_TO_ONE; </t>
        </is>
      </c>
      <c r="I1234" s="12" t="inlineStr">
        <is>
          <t>New</t>
        </is>
      </c>
      <c r="J1234" s="17" t="inlineStr">
        <is>
          <t>08 CROSSWALK</t>
        </is>
      </c>
    </row>
    <row r="1235" ht="49" customHeight="1">
      <c r="A1235" s="12" t="inlineStr">
        <is>
          <t>R786-v1</t>
        </is>
      </c>
      <c r="B1235" s="12" t="inlineStr">
        <is>
          <t>Contractor Programme / SCH-05-066</t>
        </is>
      </c>
      <c r="C1235" s="12" t="inlineStr">
        <is>
          <t>WBS Code = 1.5.2</t>
        </is>
      </c>
      <c r="D1235" s="12" t="inlineStr">
        <is>
          <t>Proposed by Source assignment; target 1.5.2 Testing and Commissioning - Dynamic Testing</t>
        </is>
      </c>
      <c r="E1235" s="12" t="inlineStr">
        <is>
          <t>None recorded</t>
        </is>
      </c>
      <c r="F1235" s="12" t="inlineStr">
        <is>
          <t>No individual professional decision recorded; Source assignment -- not individually reviewed</t>
        </is>
      </c>
      <c r="G1235" s="12" t="inlineStr">
        <is>
          <t>Not individually decided</t>
        </is>
      </c>
      <c r="H1235" s="12" t="inlineStr">
        <is>
          <t xml:space="preserve">APPROVED / ONE_TO_ONE; </t>
        </is>
      </c>
      <c r="I1235" s="12" t="inlineStr">
        <is>
          <t>New</t>
        </is>
      </c>
      <c r="J1235" s="17" t="inlineStr">
        <is>
          <t>08 CROSSWALK</t>
        </is>
      </c>
    </row>
    <row r="1236" ht="49" customHeight="1">
      <c r="A1236" s="12" t="inlineStr">
        <is>
          <t>R789-v1</t>
        </is>
      </c>
      <c r="B1236" s="12" t="inlineStr">
        <is>
          <t>Contractor Programme / SCH-05-069</t>
        </is>
      </c>
      <c r="C1236" s="12" t="inlineStr">
        <is>
          <t>WBS Code = 1.5.2</t>
        </is>
      </c>
      <c r="D1236" s="12" t="inlineStr">
        <is>
          <t>Proposed by Source assignment; target 1.5.2 Testing and Commissioning - Dynamic Testing</t>
        </is>
      </c>
      <c r="E1236" s="12" t="inlineStr">
        <is>
          <t>None recorded</t>
        </is>
      </c>
      <c r="F1236" s="12" t="inlineStr">
        <is>
          <t>No individual professional decision recorded; Source assignment -- not individually reviewed</t>
        </is>
      </c>
      <c r="G1236" s="12" t="inlineStr">
        <is>
          <t>Not individually decided</t>
        </is>
      </c>
      <c r="H1236" s="12" t="inlineStr">
        <is>
          <t xml:space="preserve">APPROVED / ONE_TO_ONE; </t>
        </is>
      </c>
      <c r="I1236" s="12" t="inlineStr">
        <is>
          <t>New</t>
        </is>
      </c>
      <c r="J1236" s="17" t="inlineStr">
        <is>
          <t>08 CROSSWALK</t>
        </is>
      </c>
    </row>
    <row r="1237" ht="49" customHeight="1">
      <c r="A1237" s="12" t="inlineStr">
        <is>
          <t>R792-v1</t>
        </is>
      </c>
      <c r="B1237" s="12" t="inlineStr">
        <is>
          <t>Contractor Programme / SCH-05-072</t>
        </is>
      </c>
      <c r="C1237" s="12" t="inlineStr">
        <is>
          <t>WBS Code = 1.5.2</t>
        </is>
      </c>
      <c r="D1237" s="12" t="inlineStr">
        <is>
          <t>Proposed by Source assignment; target 1.5.2 Testing and Commissioning - Dynamic Testing</t>
        </is>
      </c>
      <c r="E1237" s="12" t="inlineStr">
        <is>
          <t>None recorded</t>
        </is>
      </c>
      <c r="F1237" s="12" t="inlineStr">
        <is>
          <t>No individual professional decision recorded; Source assignment -- not individually reviewed</t>
        </is>
      </c>
      <c r="G1237" s="12" t="inlineStr">
        <is>
          <t>Not individually decided</t>
        </is>
      </c>
      <c r="H1237" s="12" t="inlineStr">
        <is>
          <t xml:space="preserve">APPROVED / ONE_TO_ONE; </t>
        </is>
      </c>
      <c r="I1237" s="12" t="inlineStr">
        <is>
          <t>New</t>
        </is>
      </c>
      <c r="J1237" s="17" t="inlineStr">
        <is>
          <t>08 CROSSWALK</t>
        </is>
      </c>
    </row>
    <row r="1238" ht="49" customHeight="1">
      <c r="A1238" s="12" t="inlineStr">
        <is>
          <t>R795-v1</t>
        </is>
      </c>
      <c r="B1238" s="12" t="inlineStr">
        <is>
          <t>Contractor Programme / SCH-05-075</t>
        </is>
      </c>
      <c r="C1238" s="12" t="inlineStr">
        <is>
          <t>WBS Code = 1.5.2</t>
        </is>
      </c>
      <c r="D1238" s="12" t="inlineStr">
        <is>
          <t>Proposed by Source assignment; target 1.5.2 Testing and Commissioning - Dynamic Testing</t>
        </is>
      </c>
      <c r="E1238" s="12" t="inlineStr">
        <is>
          <t>None recorded</t>
        </is>
      </c>
      <c r="F1238" s="12" t="inlineStr">
        <is>
          <t>No individual professional decision recorded; Source assignment -- not individually reviewed</t>
        </is>
      </c>
      <c r="G1238" s="12" t="inlineStr">
        <is>
          <t>Not individually decided</t>
        </is>
      </c>
      <c r="H1238" s="12" t="inlineStr">
        <is>
          <t xml:space="preserve">APPROVED / ONE_TO_ONE; </t>
        </is>
      </c>
      <c r="I1238" s="12" t="inlineStr">
        <is>
          <t>New</t>
        </is>
      </c>
      <c r="J1238" s="17" t="inlineStr">
        <is>
          <t>08 CROSSWALK</t>
        </is>
      </c>
    </row>
    <row r="1239" ht="49" customHeight="1">
      <c r="A1239" s="12" t="inlineStr">
        <is>
          <t>R798-v1</t>
        </is>
      </c>
      <c r="B1239" s="12" t="inlineStr">
        <is>
          <t>Contractor Programme / SCH-05-078</t>
        </is>
      </c>
      <c r="C1239" s="12" t="inlineStr">
        <is>
          <t>WBS Code = 1.5.2</t>
        </is>
      </c>
      <c r="D1239" s="12" t="inlineStr">
        <is>
          <t>Proposed by Source assignment; target 1.5.2 Testing and Commissioning - Dynamic Testing</t>
        </is>
      </c>
      <c r="E1239" s="12" t="inlineStr">
        <is>
          <t>None recorded</t>
        </is>
      </c>
      <c r="F1239" s="12" t="inlineStr">
        <is>
          <t>No individual professional decision recorded; Source assignment -- not individually reviewed</t>
        </is>
      </c>
      <c r="G1239" s="12" t="inlineStr">
        <is>
          <t>Not individually decided</t>
        </is>
      </c>
      <c r="H1239" s="12" t="inlineStr">
        <is>
          <t xml:space="preserve">APPROVED / ONE_TO_ONE; </t>
        </is>
      </c>
      <c r="I1239" s="12" t="inlineStr">
        <is>
          <t>New</t>
        </is>
      </c>
      <c r="J1239" s="17" t="inlineStr">
        <is>
          <t>08 CROSSWALK</t>
        </is>
      </c>
    </row>
    <row r="1240" ht="49" customHeight="1">
      <c r="A1240" s="12" t="inlineStr">
        <is>
          <t>R801-v1</t>
        </is>
      </c>
      <c r="B1240" s="12" t="inlineStr">
        <is>
          <t>Contractor Programme / SCH-05-081</t>
        </is>
      </c>
      <c r="C1240" s="12" t="inlineStr">
        <is>
          <t>WBS Code = 1.5.2</t>
        </is>
      </c>
      <c r="D1240" s="12" t="inlineStr">
        <is>
          <t>Proposed by Source assignment; target 1.5.2 Testing and Commissioning - Dynamic Testing</t>
        </is>
      </c>
      <c r="E1240" s="12" t="inlineStr">
        <is>
          <t>None recorded</t>
        </is>
      </c>
      <c r="F1240" s="12" t="inlineStr">
        <is>
          <t>No individual professional decision recorded; Source assignment -- not individually reviewed</t>
        </is>
      </c>
      <c r="G1240" s="12" t="inlineStr">
        <is>
          <t>Not individually decided</t>
        </is>
      </c>
      <c r="H1240" s="12" t="inlineStr">
        <is>
          <t xml:space="preserve">APPROVED / ONE_TO_ONE; </t>
        </is>
      </c>
      <c r="I1240" s="12" t="inlineStr">
        <is>
          <t>New</t>
        </is>
      </c>
      <c r="J1240" s="17" t="inlineStr">
        <is>
          <t>08 CROSSWALK</t>
        </is>
      </c>
    </row>
    <row r="1241" ht="49" customHeight="1">
      <c r="A1241" s="12" t="inlineStr">
        <is>
          <t>R804-v1</t>
        </is>
      </c>
      <c r="B1241" s="12" t="inlineStr">
        <is>
          <t>Contractor Programme / SCH-05-084</t>
        </is>
      </c>
      <c r="C1241" s="12" t="inlineStr">
        <is>
          <t>WBS Code = 1.5.2</t>
        </is>
      </c>
      <c r="D1241" s="12" t="inlineStr">
        <is>
          <t>Proposed by Source assignment; target 1.5.2 Testing and Commissioning - Dynamic Testing</t>
        </is>
      </c>
      <c r="E1241" s="12" t="inlineStr">
        <is>
          <t>None recorded</t>
        </is>
      </c>
      <c r="F1241" s="12" t="inlineStr">
        <is>
          <t>No individual professional decision recorded; Source assignment -- not individually reviewed</t>
        </is>
      </c>
      <c r="G1241" s="12" t="inlineStr">
        <is>
          <t>Not individually decided</t>
        </is>
      </c>
      <c r="H1241" s="12" t="inlineStr">
        <is>
          <t xml:space="preserve">APPROVED / ONE_TO_ONE; </t>
        </is>
      </c>
      <c r="I1241" s="12" t="inlineStr">
        <is>
          <t>New</t>
        </is>
      </c>
      <c r="J1241" s="17" t="inlineStr">
        <is>
          <t>08 CROSSWALK</t>
        </is>
      </c>
    </row>
    <row r="1242" ht="49" customHeight="1">
      <c r="A1242" s="12" t="inlineStr">
        <is>
          <t>R807-v1</t>
        </is>
      </c>
      <c r="B1242" s="12" t="inlineStr">
        <is>
          <t>Contractor Programme / SCH-05-087</t>
        </is>
      </c>
      <c r="C1242" s="12" t="inlineStr">
        <is>
          <t>WBS Code = 1.5.2</t>
        </is>
      </c>
      <c r="D1242" s="12" t="inlineStr">
        <is>
          <t>Proposed by Source assignment; target 1.5.2 Testing and Commissioning - Dynamic Testing</t>
        </is>
      </c>
      <c r="E1242" s="12" t="inlineStr">
        <is>
          <t>None recorded</t>
        </is>
      </c>
      <c r="F1242" s="12" t="inlineStr">
        <is>
          <t>No individual professional decision recorded; Source assignment -- not individually reviewed</t>
        </is>
      </c>
      <c r="G1242" s="12" t="inlineStr">
        <is>
          <t>Not individually decided</t>
        </is>
      </c>
      <c r="H1242" s="12" t="inlineStr">
        <is>
          <t xml:space="preserve">APPROVED / ONE_TO_ONE; </t>
        </is>
      </c>
      <c r="I1242" s="12" t="inlineStr">
        <is>
          <t>New</t>
        </is>
      </c>
      <c r="J1242" s="17" t="inlineStr">
        <is>
          <t>08 CROSSWALK</t>
        </is>
      </c>
    </row>
    <row r="1243" ht="49" customHeight="1">
      <c r="A1243" s="12" t="inlineStr">
        <is>
          <t>R810-v1</t>
        </is>
      </c>
      <c r="B1243" s="12" t="inlineStr">
        <is>
          <t>Contractor Programme / SCH-05-090</t>
        </is>
      </c>
      <c r="C1243" s="12" t="inlineStr">
        <is>
          <t>WBS Code = 1.5.2</t>
        </is>
      </c>
      <c r="D1243" s="12" t="inlineStr">
        <is>
          <t>Proposed by Source assignment; target 1.5.2 Testing and Commissioning - Dynamic Testing</t>
        </is>
      </c>
      <c r="E1243" s="12" t="inlineStr">
        <is>
          <t>None recorded</t>
        </is>
      </c>
      <c r="F1243" s="12" t="inlineStr">
        <is>
          <t>No individual professional decision recorded; Source assignment -- not individually reviewed</t>
        </is>
      </c>
      <c r="G1243" s="12" t="inlineStr">
        <is>
          <t>Not individually decided</t>
        </is>
      </c>
      <c r="H1243" s="12" t="inlineStr">
        <is>
          <t xml:space="preserve">APPROVED / ONE_TO_ONE; </t>
        </is>
      </c>
      <c r="I1243" s="12" t="inlineStr">
        <is>
          <t>New</t>
        </is>
      </c>
      <c r="J1243" s="17" t="inlineStr">
        <is>
          <t>08 CROSSWALK</t>
        </is>
      </c>
    </row>
    <row r="1244" ht="49" customHeight="1">
      <c r="A1244" s="12" t="inlineStr">
        <is>
          <t>R813-v1</t>
        </is>
      </c>
      <c r="B1244" s="12" t="inlineStr">
        <is>
          <t>Contractor Programme / SCH-05-093</t>
        </is>
      </c>
      <c r="C1244" s="12" t="inlineStr">
        <is>
          <t>WBS Code = 1.5.2</t>
        </is>
      </c>
      <c r="D1244" s="12" t="inlineStr">
        <is>
          <t>Proposed by Source assignment; target 1.5.2 Testing and Commissioning - Dynamic Testing</t>
        </is>
      </c>
      <c r="E1244" s="12" t="inlineStr">
        <is>
          <t>None recorded</t>
        </is>
      </c>
      <c r="F1244" s="12" t="inlineStr">
        <is>
          <t>No individual professional decision recorded; Source assignment -- not individually reviewed</t>
        </is>
      </c>
      <c r="G1244" s="12" t="inlineStr">
        <is>
          <t>Not individually decided</t>
        </is>
      </c>
      <c r="H1244" s="12" t="inlineStr">
        <is>
          <t xml:space="preserve">APPROVED / ONE_TO_ONE; </t>
        </is>
      </c>
      <c r="I1244" s="12" t="inlineStr">
        <is>
          <t>New</t>
        </is>
      </c>
      <c r="J1244" s="17" t="inlineStr">
        <is>
          <t>08 CROSSWALK</t>
        </is>
      </c>
    </row>
    <row r="1245" ht="49" customHeight="1">
      <c r="A1245" s="12" t="inlineStr">
        <is>
          <t>R816-v1</t>
        </is>
      </c>
      <c r="B1245" s="12" t="inlineStr">
        <is>
          <t>Contractor Programme / SCH-05-096</t>
        </is>
      </c>
      <c r="C1245" s="12" t="inlineStr">
        <is>
          <t>WBS Code = 1.5.2</t>
        </is>
      </c>
      <c r="D1245" s="12" t="inlineStr">
        <is>
          <t>Proposed by Source assignment; target 1.5.2 Testing and Commissioning - Dynamic Testing</t>
        </is>
      </c>
      <c r="E1245" s="12" t="inlineStr">
        <is>
          <t>None recorded</t>
        </is>
      </c>
      <c r="F1245" s="12" t="inlineStr">
        <is>
          <t>No individual professional decision recorded; Source assignment -- not individually reviewed</t>
        </is>
      </c>
      <c r="G1245" s="12" t="inlineStr">
        <is>
          <t>Not individually decided</t>
        </is>
      </c>
      <c r="H1245" s="12" t="inlineStr">
        <is>
          <t xml:space="preserve">APPROVED / ONE_TO_ONE; </t>
        </is>
      </c>
      <c r="I1245" s="12" t="inlineStr">
        <is>
          <t>New</t>
        </is>
      </c>
      <c r="J1245" s="17" t="inlineStr">
        <is>
          <t>08 CROSSWALK</t>
        </is>
      </c>
    </row>
    <row r="1246" ht="49" customHeight="1">
      <c r="A1246" s="12" t="inlineStr">
        <is>
          <t>R819-v1</t>
        </is>
      </c>
      <c r="B1246" s="12" t="inlineStr">
        <is>
          <t>Contractor Programme / SCH-05-099</t>
        </is>
      </c>
      <c r="C1246" s="12" t="inlineStr">
        <is>
          <t>WBS Code = 1.5.2</t>
        </is>
      </c>
      <c r="D1246" s="12" t="inlineStr">
        <is>
          <t>Proposed by Source assignment; target 1.5.2 Testing and Commissioning - Dynamic Testing</t>
        </is>
      </c>
      <c r="E1246" s="12" t="inlineStr">
        <is>
          <t>None recorded</t>
        </is>
      </c>
      <c r="F1246" s="12" t="inlineStr">
        <is>
          <t>No individual professional decision recorded; Source assignment -- not individually reviewed</t>
        </is>
      </c>
      <c r="G1246" s="12" t="inlineStr">
        <is>
          <t>Not individually decided</t>
        </is>
      </c>
      <c r="H1246" s="12" t="inlineStr">
        <is>
          <t xml:space="preserve">APPROVED / ONE_TO_ONE; </t>
        </is>
      </c>
      <c r="I1246" s="12" t="inlineStr">
        <is>
          <t>New</t>
        </is>
      </c>
      <c r="J1246" s="17" t="inlineStr">
        <is>
          <t>08 CROSSWALK</t>
        </is>
      </c>
    </row>
    <row r="1247" ht="49" customHeight="1">
      <c r="A1247" s="12" t="inlineStr">
        <is>
          <t>R822-v1</t>
        </is>
      </c>
      <c r="B1247" s="12" t="inlineStr">
        <is>
          <t>Contractor Programme / SCH-05-102</t>
        </is>
      </c>
      <c r="C1247" s="12" t="inlineStr">
        <is>
          <t>WBS Code = 1.5.2</t>
        </is>
      </c>
      <c r="D1247" s="12" t="inlineStr">
        <is>
          <t>Proposed by Source assignment; target 1.5.2 Testing and Commissioning - Dynamic Testing</t>
        </is>
      </c>
      <c r="E1247" s="12" t="inlineStr">
        <is>
          <t>None recorded</t>
        </is>
      </c>
      <c r="F1247" s="12" t="inlineStr">
        <is>
          <t>No individual professional decision recorded; Source assignment -- not individually reviewed</t>
        </is>
      </c>
      <c r="G1247" s="12" t="inlineStr">
        <is>
          <t>Not individually decided</t>
        </is>
      </c>
      <c r="H1247" s="12" t="inlineStr">
        <is>
          <t xml:space="preserve">APPROVED / ONE_TO_ONE; </t>
        </is>
      </c>
      <c r="I1247" s="12" t="inlineStr">
        <is>
          <t>New</t>
        </is>
      </c>
      <c r="J1247" s="17" t="inlineStr">
        <is>
          <t>08 CROSSWALK</t>
        </is>
      </c>
    </row>
    <row r="1248" ht="49" customHeight="1">
      <c r="A1248" s="12" t="inlineStr">
        <is>
          <t>R825-v1</t>
        </is>
      </c>
      <c r="B1248" s="12" t="inlineStr">
        <is>
          <t>Contractor Programme / SCH-05-105</t>
        </is>
      </c>
      <c r="C1248" s="12" t="inlineStr">
        <is>
          <t>WBS Code = 1.5.2</t>
        </is>
      </c>
      <c r="D1248" s="12" t="inlineStr">
        <is>
          <t>Proposed by Source assignment; target 1.5.2 Testing and Commissioning - Dynamic Testing</t>
        </is>
      </c>
      <c r="E1248" s="12" t="inlineStr">
        <is>
          <t>None recorded</t>
        </is>
      </c>
      <c r="F1248" s="12" t="inlineStr">
        <is>
          <t>No individual professional decision recorded; Source assignment -- not individually reviewed</t>
        </is>
      </c>
      <c r="G1248" s="12" t="inlineStr">
        <is>
          <t>Not individually decided</t>
        </is>
      </c>
      <c r="H1248" s="12" t="inlineStr">
        <is>
          <t xml:space="preserve">APPROVED / ONE_TO_ONE; </t>
        </is>
      </c>
      <c r="I1248" s="12" t="inlineStr">
        <is>
          <t>New</t>
        </is>
      </c>
      <c r="J1248" s="17" t="inlineStr">
        <is>
          <t>08 CROSSWALK</t>
        </is>
      </c>
    </row>
    <row r="1249" ht="49" customHeight="1">
      <c r="A1249" s="12" t="inlineStr">
        <is>
          <t>R828-v1</t>
        </is>
      </c>
      <c r="B1249" s="12" t="inlineStr">
        <is>
          <t>Contractor Programme / SCH-05-108</t>
        </is>
      </c>
      <c r="C1249" s="12" t="inlineStr">
        <is>
          <t>WBS Code = 1.5.2</t>
        </is>
      </c>
      <c r="D1249" s="12" t="inlineStr">
        <is>
          <t>Proposed by Source assignment; target 1.5.2 Testing and Commissioning - Dynamic Testing</t>
        </is>
      </c>
      <c r="E1249" s="12" t="inlineStr">
        <is>
          <t>None recorded</t>
        </is>
      </c>
      <c r="F1249" s="12" t="inlineStr">
        <is>
          <t>No individual professional decision recorded; Source assignment -- not individually reviewed</t>
        </is>
      </c>
      <c r="G1249" s="12" t="inlineStr">
        <is>
          <t>Not individually decided</t>
        </is>
      </c>
      <c r="H1249" s="12" t="inlineStr">
        <is>
          <t xml:space="preserve">APPROVED / ONE_TO_ONE; </t>
        </is>
      </c>
      <c r="I1249" s="12" t="inlineStr">
        <is>
          <t>New</t>
        </is>
      </c>
      <c r="J1249" s="17" t="inlineStr">
        <is>
          <t>08 CROSSWALK</t>
        </is>
      </c>
    </row>
    <row r="1250" ht="49" customHeight="1">
      <c r="A1250" s="12" t="inlineStr">
        <is>
          <t>R831-v1</t>
        </is>
      </c>
      <c r="B1250" s="12" t="inlineStr">
        <is>
          <t>Contractor Programme / SCH-05-111</t>
        </is>
      </c>
      <c r="C1250" s="12" t="inlineStr">
        <is>
          <t>WBS Code = 1.5.2</t>
        </is>
      </c>
      <c r="D1250" s="12" t="inlineStr">
        <is>
          <t>Proposed by Source assignment; target 1.5.2 Testing and Commissioning - Dynamic Testing</t>
        </is>
      </c>
      <c r="E1250" s="12" t="inlineStr">
        <is>
          <t>None recorded</t>
        </is>
      </c>
      <c r="F1250" s="12" t="inlineStr">
        <is>
          <t>No individual professional decision recorded; Source assignment -- not individually reviewed</t>
        </is>
      </c>
      <c r="G1250" s="12" t="inlineStr">
        <is>
          <t>Not individually decided</t>
        </is>
      </c>
      <c r="H1250" s="12" t="inlineStr">
        <is>
          <t xml:space="preserve">APPROVED / ONE_TO_ONE; </t>
        </is>
      </c>
      <c r="I1250" s="12" t="inlineStr">
        <is>
          <t>New</t>
        </is>
      </c>
      <c r="J1250" s="17" t="inlineStr">
        <is>
          <t>08 CROSSWALK</t>
        </is>
      </c>
    </row>
    <row r="1251" ht="49" customHeight="1">
      <c r="A1251" s="12" t="inlineStr">
        <is>
          <t>R834-v1</t>
        </is>
      </c>
      <c r="B1251" s="12" t="inlineStr">
        <is>
          <t>Contractor Programme / SCH-05-114</t>
        </is>
      </c>
      <c r="C1251" s="12" t="inlineStr">
        <is>
          <t>WBS Code = 1.5.2</t>
        </is>
      </c>
      <c r="D1251" s="12" t="inlineStr">
        <is>
          <t>Proposed by Source assignment; target 1.5.2 Testing and Commissioning - Dynamic Testing</t>
        </is>
      </c>
      <c r="E1251" s="12" t="inlineStr">
        <is>
          <t>None recorded</t>
        </is>
      </c>
      <c r="F1251" s="12" t="inlineStr">
        <is>
          <t>No individual professional decision recorded; Source assignment -- not individually reviewed</t>
        </is>
      </c>
      <c r="G1251" s="12" t="inlineStr">
        <is>
          <t>Not individually decided</t>
        </is>
      </c>
      <c r="H1251" s="12" t="inlineStr">
        <is>
          <t xml:space="preserve">APPROVED / ONE_TO_ONE; </t>
        </is>
      </c>
      <c r="I1251" s="12" t="inlineStr">
        <is>
          <t>New</t>
        </is>
      </c>
      <c r="J1251" s="17" t="inlineStr">
        <is>
          <t>08 CROSSWALK</t>
        </is>
      </c>
    </row>
    <row r="1252" ht="49" customHeight="1">
      <c r="A1252" s="12" t="inlineStr">
        <is>
          <t>R837-v1</t>
        </is>
      </c>
      <c r="B1252" s="12" t="inlineStr">
        <is>
          <t>Contractor Programme / SCH-05-117</t>
        </is>
      </c>
      <c r="C1252" s="12" t="inlineStr">
        <is>
          <t>WBS Code = 1.5.2</t>
        </is>
      </c>
      <c r="D1252" s="12" t="inlineStr">
        <is>
          <t>Proposed by Source assignment; target 1.5.2 Testing and Commissioning - Dynamic Testing</t>
        </is>
      </c>
      <c r="E1252" s="12" t="inlineStr">
        <is>
          <t>None recorded</t>
        </is>
      </c>
      <c r="F1252" s="12" t="inlineStr">
        <is>
          <t>No individual professional decision recorded; Source assignment -- not individually reviewed</t>
        </is>
      </c>
      <c r="G1252" s="12" t="inlineStr">
        <is>
          <t>Not individually decided</t>
        </is>
      </c>
      <c r="H1252" s="12" t="inlineStr">
        <is>
          <t xml:space="preserve">APPROVED / ONE_TO_ONE; </t>
        </is>
      </c>
      <c r="I1252" s="12" t="inlineStr">
        <is>
          <t>New</t>
        </is>
      </c>
      <c r="J1252" s="17" t="inlineStr">
        <is>
          <t>08 CROSSWALK</t>
        </is>
      </c>
    </row>
    <row r="1253" ht="49" customHeight="1">
      <c r="A1253" s="12" t="inlineStr">
        <is>
          <t>R840-v1</t>
        </is>
      </c>
      <c r="B1253" s="12" t="inlineStr">
        <is>
          <t>Contractor Programme / SCH-05-120</t>
        </is>
      </c>
      <c r="C1253" s="12" t="inlineStr">
        <is>
          <t>WBS Code = 1.5.2</t>
        </is>
      </c>
      <c r="D1253" s="12" t="inlineStr">
        <is>
          <t>Proposed by Source assignment; target 1.5.2 Testing and Commissioning - Dynamic Testing</t>
        </is>
      </c>
      <c r="E1253" s="12" t="inlineStr">
        <is>
          <t>None recorded</t>
        </is>
      </c>
      <c r="F1253" s="12" t="inlineStr">
        <is>
          <t>No individual professional decision recorded; Source assignment -- not individually reviewed</t>
        </is>
      </c>
      <c r="G1253" s="12" t="inlineStr">
        <is>
          <t>Not individually decided</t>
        </is>
      </c>
      <c r="H1253" s="12" t="inlineStr">
        <is>
          <t xml:space="preserve">APPROVED / ONE_TO_ONE; </t>
        </is>
      </c>
      <c r="I1253" s="12" t="inlineStr">
        <is>
          <t>New</t>
        </is>
      </c>
      <c r="J1253" s="17" t="inlineStr">
        <is>
          <t>08 CROSSWALK</t>
        </is>
      </c>
    </row>
    <row r="1254" ht="49" customHeight="1">
      <c r="A1254" s="12" t="inlineStr">
        <is>
          <t>R843-v1</t>
        </is>
      </c>
      <c r="B1254" s="12" t="inlineStr">
        <is>
          <t>Contractor Programme / SCH-05-123</t>
        </is>
      </c>
      <c r="C1254" s="12" t="inlineStr">
        <is>
          <t>WBS Code = 1.5.2</t>
        </is>
      </c>
      <c r="D1254" s="12" t="inlineStr">
        <is>
          <t>Proposed by Source assignment; target 1.5.2 Testing and Commissioning - Dynamic Testing</t>
        </is>
      </c>
      <c r="E1254" s="12" t="inlineStr">
        <is>
          <t>None recorded</t>
        </is>
      </c>
      <c r="F1254" s="12" t="inlineStr">
        <is>
          <t>No individual professional decision recorded; Source assignment -- not individually reviewed</t>
        </is>
      </c>
      <c r="G1254" s="12" t="inlineStr">
        <is>
          <t>Not individually decided</t>
        </is>
      </c>
      <c r="H1254" s="12" t="inlineStr">
        <is>
          <t xml:space="preserve">APPROVED / ONE_TO_ONE; </t>
        </is>
      </c>
      <c r="I1254" s="12" t="inlineStr">
        <is>
          <t>New</t>
        </is>
      </c>
      <c r="J1254" s="17" t="inlineStr">
        <is>
          <t>08 CROSSWALK</t>
        </is>
      </c>
    </row>
    <row r="1255" ht="49" customHeight="1">
      <c r="A1255" s="12" t="inlineStr">
        <is>
          <t>R846-v1</t>
        </is>
      </c>
      <c r="B1255" s="12" t="inlineStr">
        <is>
          <t>Contractor Programme / SCH-05-126</t>
        </is>
      </c>
      <c r="C1255" s="12" t="inlineStr">
        <is>
          <t>WBS Code = 1.5.2</t>
        </is>
      </c>
      <c r="D1255" s="12" t="inlineStr">
        <is>
          <t>Proposed by Source assignment; target 1.5.2 Testing and Commissioning - Dynamic Testing</t>
        </is>
      </c>
      <c r="E1255" s="12" t="inlineStr">
        <is>
          <t>None recorded</t>
        </is>
      </c>
      <c r="F1255" s="12" t="inlineStr">
        <is>
          <t>No individual professional decision recorded; Source assignment -- not individually reviewed</t>
        </is>
      </c>
      <c r="G1255" s="12" t="inlineStr">
        <is>
          <t>Not individually decided</t>
        </is>
      </c>
      <c r="H1255" s="12" t="inlineStr">
        <is>
          <t xml:space="preserve">APPROVED / ONE_TO_ONE; </t>
        </is>
      </c>
      <c r="I1255" s="12" t="inlineStr">
        <is>
          <t>New</t>
        </is>
      </c>
      <c r="J1255" s="17" t="inlineStr">
        <is>
          <t>08 CROSSWALK</t>
        </is>
      </c>
    </row>
    <row r="1256" ht="49" customHeight="1">
      <c r="A1256" s="12" t="inlineStr">
        <is>
          <t>R849-v1</t>
        </is>
      </c>
      <c r="B1256" s="12" t="inlineStr">
        <is>
          <t>Contractor Programme / SCH-05-129</t>
        </is>
      </c>
      <c r="C1256" s="12" t="inlineStr">
        <is>
          <t>WBS Code = 1.5.2</t>
        </is>
      </c>
      <c r="D1256" s="12" t="inlineStr">
        <is>
          <t>Proposed by Source assignment; target 1.5.2 Testing and Commissioning - Dynamic Testing</t>
        </is>
      </c>
      <c r="E1256" s="12" t="inlineStr">
        <is>
          <t>None recorded</t>
        </is>
      </c>
      <c r="F1256" s="12" t="inlineStr">
        <is>
          <t>No individual professional decision recorded; Source assignment -- not individually reviewed</t>
        </is>
      </c>
      <c r="G1256" s="12" t="inlineStr">
        <is>
          <t>Not individually decided</t>
        </is>
      </c>
      <c r="H1256" s="12" t="inlineStr">
        <is>
          <t xml:space="preserve">APPROVED / ONE_TO_ONE; </t>
        </is>
      </c>
      <c r="I1256" s="12" t="inlineStr">
        <is>
          <t>New</t>
        </is>
      </c>
      <c r="J1256" s="17" t="inlineStr">
        <is>
          <t>08 CROSSWALK</t>
        </is>
      </c>
    </row>
    <row r="1257" ht="49" customHeight="1">
      <c r="A1257" s="12" t="inlineStr">
        <is>
          <t>R852-v1</t>
        </is>
      </c>
      <c r="B1257" s="12" t="inlineStr">
        <is>
          <t>Contractor Programme / SCH-05-132</t>
        </is>
      </c>
      <c r="C1257" s="12" t="inlineStr">
        <is>
          <t>WBS Code = 1.5.2</t>
        </is>
      </c>
      <c r="D1257" s="12" t="inlineStr">
        <is>
          <t>Proposed by Source assignment; target 1.5.2 Testing and Commissioning - Dynamic Testing</t>
        </is>
      </c>
      <c r="E1257" s="12" t="inlineStr">
        <is>
          <t>None recorded</t>
        </is>
      </c>
      <c r="F1257" s="12" t="inlineStr">
        <is>
          <t>No individual professional decision recorded; Source assignment -- not individually reviewed</t>
        </is>
      </c>
      <c r="G1257" s="12" t="inlineStr">
        <is>
          <t>Not individually decided</t>
        </is>
      </c>
      <c r="H1257" s="12" t="inlineStr">
        <is>
          <t xml:space="preserve">APPROVED / ONE_TO_ONE; </t>
        </is>
      </c>
      <c r="I1257" s="12" t="inlineStr">
        <is>
          <t>New</t>
        </is>
      </c>
      <c r="J1257" s="17" t="inlineStr">
        <is>
          <t>08 CROSSWALK</t>
        </is>
      </c>
    </row>
    <row r="1258" ht="49" customHeight="1">
      <c r="A1258" s="12" t="inlineStr">
        <is>
          <t>R855-v1</t>
        </is>
      </c>
      <c r="B1258" s="12" t="inlineStr">
        <is>
          <t>Contractor Programme / SCH-05-135</t>
        </is>
      </c>
      <c r="C1258" s="12" t="inlineStr">
        <is>
          <t>WBS Code = 1.5.2</t>
        </is>
      </c>
      <c r="D1258" s="12" t="inlineStr">
        <is>
          <t>Proposed by Source assignment; target 1.5.2 Testing and Commissioning - Dynamic Testing</t>
        </is>
      </c>
      <c r="E1258" s="12" t="inlineStr">
        <is>
          <t>None recorded</t>
        </is>
      </c>
      <c r="F1258" s="12" t="inlineStr">
        <is>
          <t>No individual professional decision recorded; Source assignment -- not individually reviewed</t>
        </is>
      </c>
      <c r="G1258" s="12" t="inlineStr">
        <is>
          <t>Not individually decided</t>
        </is>
      </c>
      <c r="H1258" s="12" t="inlineStr">
        <is>
          <t xml:space="preserve">APPROVED / ONE_TO_ONE; </t>
        </is>
      </c>
      <c r="I1258" s="12" t="inlineStr">
        <is>
          <t>New</t>
        </is>
      </c>
      <c r="J1258" s="17" t="inlineStr">
        <is>
          <t>08 CROSSWALK</t>
        </is>
      </c>
    </row>
    <row r="1259" ht="49" customHeight="1">
      <c r="A1259" s="12" t="inlineStr">
        <is>
          <t>R858-v1</t>
        </is>
      </c>
      <c r="B1259" s="12" t="inlineStr">
        <is>
          <t>Contractor Programme / SCH-05-138</t>
        </is>
      </c>
      <c r="C1259" s="12" t="inlineStr">
        <is>
          <t>WBS Code = 1.5.2</t>
        </is>
      </c>
      <c r="D1259" s="12" t="inlineStr">
        <is>
          <t>Proposed by Source assignment; target 1.5.2 Testing and Commissioning - Dynamic Testing</t>
        </is>
      </c>
      <c r="E1259" s="12" t="inlineStr">
        <is>
          <t>None recorded</t>
        </is>
      </c>
      <c r="F1259" s="12" t="inlineStr">
        <is>
          <t>No individual professional decision recorded; Source assignment -- not individually reviewed</t>
        </is>
      </c>
      <c r="G1259" s="12" t="inlineStr">
        <is>
          <t>Not individually decided</t>
        </is>
      </c>
      <c r="H1259" s="12" t="inlineStr">
        <is>
          <t xml:space="preserve">APPROVED / ONE_TO_ONE; </t>
        </is>
      </c>
      <c r="I1259" s="12" t="inlineStr">
        <is>
          <t>New</t>
        </is>
      </c>
      <c r="J1259" s="17" t="inlineStr">
        <is>
          <t>08 CROSSWALK</t>
        </is>
      </c>
    </row>
    <row r="1260" ht="49" customHeight="1">
      <c r="A1260" s="12" t="inlineStr">
        <is>
          <t>R861-v1</t>
        </is>
      </c>
      <c r="B1260" s="12" t="inlineStr">
        <is>
          <t>Contractor Programme / SCH-05-141</t>
        </is>
      </c>
      <c r="C1260" s="12" t="inlineStr">
        <is>
          <t>WBS Code = 1.5.2</t>
        </is>
      </c>
      <c r="D1260" s="12" t="inlineStr">
        <is>
          <t>Proposed by Source assignment; target 1.5.2 Testing and Commissioning - Dynamic Testing</t>
        </is>
      </c>
      <c r="E1260" s="12" t="inlineStr">
        <is>
          <t>None recorded</t>
        </is>
      </c>
      <c r="F1260" s="12" t="inlineStr">
        <is>
          <t>No individual professional decision recorded; Source assignment -- not individually reviewed</t>
        </is>
      </c>
      <c r="G1260" s="12" t="inlineStr">
        <is>
          <t>Not individually decided</t>
        </is>
      </c>
      <c r="H1260" s="12" t="inlineStr">
        <is>
          <t xml:space="preserve">APPROVED / ONE_TO_ONE; </t>
        </is>
      </c>
      <c r="I1260" s="12" t="inlineStr">
        <is>
          <t>New</t>
        </is>
      </c>
      <c r="J1260" s="17" t="inlineStr">
        <is>
          <t>08 CROSSWALK</t>
        </is>
      </c>
    </row>
    <row r="1261" ht="49" customHeight="1">
      <c r="A1261" s="12" t="inlineStr">
        <is>
          <t>R864-v1</t>
        </is>
      </c>
      <c r="B1261" s="12" t="inlineStr">
        <is>
          <t>Contractor Programme / SCH-05-144</t>
        </is>
      </c>
      <c r="C1261" s="12" t="inlineStr">
        <is>
          <t>WBS Code = 1.5.2</t>
        </is>
      </c>
      <c r="D1261" s="12" t="inlineStr">
        <is>
          <t>Proposed by Source assignment; target 1.5.2 Testing and Commissioning - Dynamic Testing</t>
        </is>
      </c>
      <c r="E1261" s="12" t="inlineStr">
        <is>
          <t>None recorded</t>
        </is>
      </c>
      <c r="F1261" s="12" t="inlineStr">
        <is>
          <t>No individual professional decision recorded; Source assignment -- not individually reviewed</t>
        </is>
      </c>
      <c r="G1261" s="12" t="inlineStr">
        <is>
          <t>Not individually decided</t>
        </is>
      </c>
      <c r="H1261" s="12" t="inlineStr">
        <is>
          <t xml:space="preserve">APPROVED / ONE_TO_ONE; </t>
        </is>
      </c>
      <c r="I1261" s="12" t="inlineStr">
        <is>
          <t>New</t>
        </is>
      </c>
      <c r="J1261" s="17" t="inlineStr">
        <is>
          <t>08 CROSSWALK</t>
        </is>
      </c>
    </row>
    <row r="1262" ht="49" customHeight="1">
      <c r="A1262" s="12" t="inlineStr">
        <is>
          <t>R867-v1</t>
        </is>
      </c>
      <c r="B1262" s="12" t="inlineStr">
        <is>
          <t>Contractor Programme / SCH-05-147</t>
        </is>
      </c>
      <c r="C1262" s="12" t="inlineStr">
        <is>
          <t>WBS Code = 1.5.2</t>
        </is>
      </c>
      <c r="D1262" s="12" t="inlineStr">
        <is>
          <t>Proposed by Source assignment; target 1.5.2 Testing and Commissioning - Dynamic Testing</t>
        </is>
      </c>
      <c r="E1262" s="12" t="inlineStr">
        <is>
          <t>None recorded</t>
        </is>
      </c>
      <c r="F1262" s="12" t="inlineStr">
        <is>
          <t>No individual professional decision recorded; Source assignment -- not individually reviewed</t>
        </is>
      </c>
      <c r="G1262" s="12" t="inlineStr">
        <is>
          <t>Not individually decided</t>
        </is>
      </c>
      <c r="H1262" s="12" t="inlineStr">
        <is>
          <t xml:space="preserve">APPROVED / ONE_TO_ONE; </t>
        </is>
      </c>
      <c r="I1262" s="12" t="inlineStr">
        <is>
          <t>New</t>
        </is>
      </c>
      <c r="J1262" s="17" t="inlineStr">
        <is>
          <t>08 CROSSWALK</t>
        </is>
      </c>
    </row>
    <row r="1263" ht="49" customHeight="1">
      <c r="A1263" s="12" t="inlineStr">
        <is>
          <t>R870-v1</t>
        </is>
      </c>
      <c r="B1263" s="12" t="inlineStr">
        <is>
          <t>Contractor Programme / SCH-05-150</t>
        </is>
      </c>
      <c r="C1263" s="12" t="inlineStr">
        <is>
          <t>WBS Code = 1.5.2</t>
        </is>
      </c>
      <c r="D1263" s="12" t="inlineStr">
        <is>
          <t>Proposed by Source assignment; target 1.5.2 Testing and Commissioning - Dynamic Testing</t>
        </is>
      </c>
      <c r="E1263" s="12" t="inlineStr">
        <is>
          <t>None recorded</t>
        </is>
      </c>
      <c r="F1263" s="12" t="inlineStr">
        <is>
          <t>No individual professional decision recorded; Source assignment -- not individually reviewed</t>
        </is>
      </c>
      <c r="G1263" s="12" t="inlineStr">
        <is>
          <t>Not individually decided</t>
        </is>
      </c>
      <c r="H1263" s="12" t="inlineStr">
        <is>
          <t xml:space="preserve">APPROVED / ONE_TO_ONE; </t>
        </is>
      </c>
      <c r="I1263" s="12" t="inlineStr">
        <is>
          <t>New</t>
        </is>
      </c>
      <c r="J1263" s="17" t="inlineStr">
        <is>
          <t>08 CROSSWALK</t>
        </is>
      </c>
    </row>
    <row r="1264" ht="49" customHeight="1">
      <c r="A1264" s="12" t="inlineStr">
        <is>
          <t>R873-v1</t>
        </is>
      </c>
      <c r="B1264" s="12" t="inlineStr">
        <is>
          <t>Contractor Programme / SCH-05-153</t>
        </is>
      </c>
      <c r="C1264" s="12" t="inlineStr">
        <is>
          <t>WBS Code = 1.5.2</t>
        </is>
      </c>
      <c r="D1264" s="12" t="inlineStr">
        <is>
          <t>Proposed by Source assignment; target 1.5.2 Testing and Commissioning - Dynamic Testing</t>
        </is>
      </c>
      <c r="E1264" s="12" t="inlineStr">
        <is>
          <t>None recorded</t>
        </is>
      </c>
      <c r="F1264" s="12" t="inlineStr">
        <is>
          <t>No individual professional decision recorded; Source assignment -- not individually reviewed</t>
        </is>
      </c>
      <c r="G1264" s="12" t="inlineStr">
        <is>
          <t>Not individually decided</t>
        </is>
      </c>
      <c r="H1264" s="12" t="inlineStr">
        <is>
          <t xml:space="preserve">APPROVED / ONE_TO_ONE; </t>
        </is>
      </c>
      <c r="I1264" s="12" t="inlineStr">
        <is>
          <t>New</t>
        </is>
      </c>
      <c r="J1264" s="17" t="inlineStr">
        <is>
          <t>08 CROSSWALK</t>
        </is>
      </c>
    </row>
    <row r="1265" ht="49" customHeight="1">
      <c r="A1265" s="12" t="inlineStr">
        <is>
          <t>R876-v1</t>
        </is>
      </c>
      <c r="B1265" s="12" t="inlineStr">
        <is>
          <t>Contractor Programme / SCH-05-156</t>
        </is>
      </c>
      <c r="C1265" s="12" t="inlineStr">
        <is>
          <t>WBS Code = 1.5.2</t>
        </is>
      </c>
      <c r="D1265" s="12" t="inlineStr">
        <is>
          <t>Proposed by Source assignment; target 1.5.2 Testing and Commissioning - Dynamic Testing</t>
        </is>
      </c>
      <c r="E1265" s="12" t="inlineStr">
        <is>
          <t>None recorded</t>
        </is>
      </c>
      <c r="F1265" s="12" t="inlineStr">
        <is>
          <t>No individual professional decision recorded; Source assignment -- not individually reviewed</t>
        </is>
      </c>
      <c r="G1265" s="12" t="inlineStr">
        <is>
          <t>Not individually decided</t>
        </is>
      </c>
      <c r="H1265" s="12" t="inlineStr">
        <is>
          <t xml:space="preserve">APPROVED / ONE_TO_ONE; </t>
        </is>
      </c>
      <c r="I1265" s="12" t="inlineStr">
        <is>
          <t>New</t>
        </is>
      </c>
      <c r="J1265" s="17" t="inlineStr">
        <is>
          <t>08 CROSSWALK</t>
        </is>
      </c>
    </row>
    <row r="1266" ht="49" customHeight="1">
      <c r="A1266" s="12" t="inlineStr">
        <is>
          <t>R879-v1</t>
        </is>
      </c>
      <c r="B1266" s="12" t="inlineStr">
        <is>
          <t>Contractor Programme / SCH-05-159</t>
        </is>
      </c>
      <c r="C1266" s="12" t="inlineStr">
        <is>
          <t>WBS Code = 1.5.2</t>
        </is>
      </c>
      <c r="D1266" s="12" t="inlineStr">
        <is>
          <t>Proposed by Source assignment; target 1.5.2 Testing and Commissioning - Dynamic Testing</t>
        </is>
      </c>
      <c r="E1266" s="12" t="inlineStr">
        <is>
          <t>None recorded</t>
        </is>
      </c>
      <c r="F1266" s="12" t="inlineStr">
        <is>
          <t>No individual professional decision recorded; Source assignment -- not individually reviewed</t>
        </is>
      </c>
      <c r="G1266" s="12" t="inlineStr">
        <is>
          <t>Not individually decided</t>
        </is>
      </c>
      <c r="H1266" s="12" t="inlineStr">
        <is>
          <t xml:space="preserve">APPROVED / ONE_TO_ONE; </t>
        </is>
      </c>
      <c r="I1266" s="12" t="inlineStr">
        <is>
          <t>New</t>
        </is>
      </c>
      <c r="J1266" s="17" t="inlineStr">
        <is>
          <t>08 CROSSWALK</t>
        </is>
      </c>
    </row>
    <row r="1267" ht="49" customHeight="1">
      <c r="A1267" s="12" t="inlineStr">
        <is>
          <t>R882-v1</t>
        </is>
      </c>
      <c r="B1267" s="12" t="inlineStr">
        <is>
          <t>Contractor Programme / SCH-05-162</t>
        </is>
      </c>
      <c r="C1267" s="12" t="inlineStr">
        <is>
          <t>WBS Code = 1.5.2</t>
        </is>
      </c>
      <c r="D1267" s="12" t="inlineStr">
        <is>
          <t>Proposed by Source assignment; target 1.5.2 Testing and Commissioning - Dynamic Testing</t>
        </is>
      </c>
      <c r="E1267" s="12" t="inlineStr">
        <is>
          <t>None recorded</t>
        </is>
      </c>
      <c r="F1267" s="12" t="inlineStr">
        <is>
          <t>No individual professional decision recorded; Source assignment -- not individually reviewed</t>
        </is>
      </c>
      <c r="G1267" s="12" t="inlineStr">
        <is>
          <t>Not individually decided</t>
        </is>
      </c>
      <c r="H1267" s="12" t="inlineStr">
        <is>
          <t xml:space="preserve">APPROVED / ONE_TO_ONE; </t>
        </is>
      </c>
      <c r="I1267" s="12" t="inlineStr">
        <is>
          <t>New</t>
        </is>
      </c>
      <c r="J1267" s="17" t="inlineStr">
        <is>
          <t>08 CROSSWALK</t>
        </is>
      </c>
    </row>
    <row r="1268" ht="49" customHeight="1">
      <c r="A1268" s="12" t="inlineStr">
        <is>
          <t>R885-v1</t>
        </is>
      </c>
      <c r="B1268" s="12" t="inlineStr">
        <is>
          <t>Contractor Programme / SCH-05-165</t>
        </is>
      </c>
      <c r="C1268" s="12" t="inlineStr">
        <is>
          <t>WBS Code = 1.5.2</t>
        </is>
      </c>
      <c r="D1268" s="12" t="inlineStr">
        <is>
          <t>Proposed by Source assignment; target 1.5.2 Testing and Commissioning - Dynamic Testing</t>
        </is>
      </c>
      <c r="E1268" s="12" t="inlineStr">
        <is>
          <t>None recorded</t>
        </is>
      </c>
      <c r="F1268" s="12" t="inlineStr">
        <is>
          <t>No individual professional decision recorded; Source assignment -- not individually reviewed</t>
        </is>
      </c>
      <c r="G1268" s="12" t="inlineStr">
        <is>
          <t>Not individually decided</t>
        </is>
      </c>
      <c r="H1268" s="12" t="inlineStr">
        <is>
          <t xml:space="preserve">APPROVED / ONE_TO_ONE; </t>
        </is>
      </c>
      <c r="I1268" s="12" t="inlineStr">
        <is>
          <t>New</t>
        </is>
      </c>
      <c r="J1268" s="17" t="inlineStr">
        <is>
          <t>08 CROSSWALK</t>
        </is>
      </c>
    </row>
    <row r="1269" ht="49" customHeight="1">
      <c r="A1269" s="12" t="inlineStr">
        <is>
          <t>R888-v1</t>
        </is>
      </c>
      <c r="B1269" s="12" t="inlineStr">
        <is>
          <t>Contractor Programme / SCH-05-168</t>
        </is>
      </c>
      <c r="C1269" s="12" t="inlineStr">
        <is>
          <t>WBS Code = 1.5.2</t>
        </is>
      </c>
      <c r="D1269" s="12" t="inlineStr">
        <is>
          <t>Proposed by Source assignment; target 1.5.2 Testing and Commissioning - Dynamic Testing</t>
        </is>
      </c>
      <c r="E1269" s="12" t="inlineStr">
        <is>
          <t>None recorded</t>
        </is>
      </c>
      <c r="F1269" s="12" t="inlineStr">
        <is>
          <t>No individual professional decision recorded; Source assignment -- not individually reviewed</t>
        </is>
      </c>
      <c r="G1269" s="12" t="inlineStr">
        <is>
          <t>Not individually decided</t>
        </is>
      </c>
      <c r="H1269" s="12" t="inlineStr">
        <is>
          <t xml:space="preserve">APPROVED / ONE_TO_ONE; </t>
        </is>
      </c>
      <c r="I1269" s="12" t="inlineStr">
        <is>
          <t>New</t>
        </is>
      </c>
      <c r="J1269" s="17" t="inlineStr">
        <is>
          <t>08 CROSSWALK</t>
        </is>
      </c>
    </row>
    <row r="1270" ht="49" customHeight="1">
      <c r="A1270" s="12" t="inlineStr">
        <is>
          <t>R891-v1</t>
        </is>
      </c>
      <c r="B1270" s="12" t="inlineStr">
        <is>
          <t>Contractor Programme / SCH-05-171</t>
        </is>
      </c>
      <c r="C1270" s="12" t="inlineStr">
        <is>
          <t>WBS Code = 1.5.2</t>
        </is>
      </c>
      <c r="D1270" s="12" t="inlineStr">
        <is>
          <t>Proposed by Source assignment; target 1.5.2 Testing and Commissioning - Dynamic Testing</t>
        </is>
      </c>
      <c r="E1270" s="12" t="inlineStr">
        <is>
          <t>None recorded</t>
        </is>
      </c>
      <c r="F1270" s="12" t="inlineStr">
        <is>
          <t>No individual professional decision recorded; Source assignment -- not individually reviewed</t>
        </is>
      </c>
      <c r="G1270" s="12" t="inlineStr">
        <is>
          <t>Not individually decided</t>
        </is>
      </c>
      <c r="H1270" s="12" t="inlineStr">
        <is>
          <t xml:space="preserve">APPROVED / ONE_TO_ONE; </t>
        </is>
      </c>
      <c r="I1270" s="12" t="inlineStr">
        <is>
          <t>New</t>
        </is>
      </c>
      <c r="J1270" s="17" t="inlineStr">
        <is>
          <t>08 CROSSWALK</t>
        </is>
      </c>
    </row>
    <row r="1271" ht="49" customHeight="1">
      <c r="A1271" s="12" t="inlineStr">
        <is>
          <t>R894-v1</t>
        </is>
      </c>
      <c r="B1271" s="12" t="inlineStr">
        <is>
          <t>Contractor Programme / SCH-05-174</t>
        </is>
      </c>
      <c r="C1271" s="12" t="inlineStr">
        <is>
          <t>WBS Code = 1.5.2</t>
        </is>
      </c>
      <c r="D1271" s="12" t="inlineStr">
        <is>
          <t>Proposed by Source assignment; target 1.5.2 Testing and Commissioning - Dynamic Testing</t>
        </is>
      </c>
      <c r="E1271" s="12" t="inlineStr">
        <is>
          <t>None recorded</t>
        </is>
      </c>
      <c r="F1271" s="12" t="inlineStr">
        <is>
          <t>No individual professional decision recorded; Source assignment -- not individually reviewed</t>
        </is>
      </c>
      <c r="G1271" s="12" t="inlineStr">
        <is>
          <t>Not individually decided</t>
        </is>
      </c>
      <c r="H1271" s="12" t="inlineStr">
        <is>
          <t xml:space="preserve">APPROVED / ONE_TO_ONE; </t>
        </is>
      </c>
      <c r="I1271" s="12" t="inlineStr">
        <is>
          <t>New</t>
        </is>
      </c>
      <c r="J1271" s="17" t="inlineStr">
        <is>
          <t>08 CROSSWALK</t>
        </is>
      </c>
    </row>
    <row r="1272" ht="49" customHeight="1">
      <c r="A1272" s="12" t="inlineStr">
        <is>
          <t>R897-v1</t>
        </is>
      </c>
      <c r="B1272" s="12" t="inlineStr">
        <is>
          <t>Contractor Programme / SCH-05-177</t>
        </is>
      </c>
      <c r="C1272" s="12" t="inlineStr">
        <is>
          <t>WBS Code = 1.5.2</t>
        </is>
      </c>
      <c r="D1272" s="12" t="inlineStr">
        <is>
          <t>Proposed by Source assignment; target 1.5.2 Testing and Commissioning - Dynamic Testing</t>
        </is>
      </c>
      <c r="E1272" s="12" t="inlineStr">
        <is>
          <t>None recorded</t>
        </is>
      </c>
      <c r="F1272" s="12" t="inlineStr">
        <is>
          <t>No individual professional decision recorded; Source assignment -- not individually reviewed</t>
        </is>
      </c>
      <c r="G1272" s="12" t="inlineStr">
        <is>
          <t>Not individually decided</t>
        </is>
      </c>
      <c r="H1272" s="12" t="inlineStr">
        <is>
          <t xml:space="preserve">APPROVED / ONE_TO_ONE; </t>
        </is>
      </c>
      <c r="I1272" s="12" t="inlineStr">
        <is>
          <t>New</t>
        </is>
      </c>
      <c r="J1272" s="17" t="inlineStr">
        <is>
          <t>08 CROSSWALK</t>
        </is>
      </c>
    </row>
    <row r="1273" ht="49" customHeight="1">
      <c r="A1273" s="12" t="inlineStr">
        <is>
          <t>R900-v1</t>
        </is>
      </c>
      <c r="B1273" s="12" t="inlineStr">
        <is>
          <t>Contractor Programme / SCH-05-180</t>
        </is>
      </c>
      <c r="C1273" s="12" t="inlineStr">
        <is>
          <t>WBS Code = 1.5.2</t>
        </is>
      </c>
      <c r="D1273" s="12" t="inlineStr">
        <is>
          <t>Proposed by Source assignment; target 1.5.2 Testing and Commissioning - Dynamic Testing</t>
        </is>
      </c>
      <c r="E1273" s="12" t="inlineStr">
        <is>
          <t>None recorded</t>
        </is>
      </c>
      <c r="F1273" s="12" t="inlineStr">
        <is>
          <t>No individual professional decision recorded; Source assignment -- not individually reviewed</t>
        </is>
      </c>
      <c r="G1273" s="12" t="inlineStr">
        <is>
          <t>Not individually decided</t>
        </is>
      </c>
      <c r="H1273" s="12" t="inlineStr">
        <is>
          <t xml:space="preserve">APPROVED / ONE_TO_ONE; </t>
        </is>
      </c>
      <c r="I1273" s="12" t="inlineStr">
        <is>
          <t>New</t>
        </is>
      </c>
      <c r="J1273" s="17" t="inlineStr">
        <is>
          <t>08 CROSSWALK</t>
        </is>
      </c>
    </row>
    <row r="1274" ht="49" customHeight="1">
      <c r="A1274" s="12" t="inlineStr">
        <is>
          <t>R1613-v1</t>
        </is>
      </c>
      <c r="B1274" s="12" t="inlineStr">
        <is>
          <t>Commercial Package Register / PKG-051</t>
        </is>
      </c>
      <c r="C1274" s="12" t="inlineStr">
        <is>
          <t>Package Code = PK-601; WBS Code = 1.6</t>
        </is>
      </c>
      <c r="D1274" s="12" t="inlineStr">
        <is>
          <t>Proposed by Source assignment; target 1.6 Program Management</t>
        </is>
      </c>
      <c r="E1274" s="12" t="inlineStr">
        <is>
          <t>None recorded</t>
        </is>
      </c>
      <c r="F1274" s="12" t="inlineStr">
        <is>
          <t>No individual professional decision recorded; Source assignment -- not individually reviewed</t>
        </is>
      </c>
      <c r="G1274" s="12" t="inlineStr">
        <is>
          <t>Not individually decided</t>
        </is>
      </c>
      <c r="H1274" s="12" t="inlineStr">
        <is>
          <t xml:space="preserve">APPROVED / ONE_TO_ONE; </t>
        </is>
      </c>
      <c r="I1274" s="12" t="inlineStr">
        <is>
          <t>New</t>
        </is>
      </c>
      <c r="J1274" s="17" t="inlineStr">
        <is>
          <t>08 CROSSWALK</t>
        </is>
      </c>
    </row>
    <row r="1275" ht="49" customHeight="1">
      <c r="A1275" s="12" t="inlineStr">
        <is>
          <t>R1614-v1</t>
        </is>
      </c>
      <c r="B1275" s="12" t="inlineStr">
        <is>
          <t>Commercial Package Register / PKG-052</t>
        </is>
      </c>
      <c r="C1275" s="12" t="inlineStr">
        <is>
          <t>Package Code = PK-602; WBS Code = 1.6</t>
        </is>
      </c>
      <c r="D1275" s="12" t="inlineStr">
        <is>
          <t>Proposed by Source assignment; target 1.6 Program Management</t>
        </is>
      </c>
      <c r="E1275" s="12" t="inlineStr">
        <is>
          <t>None recorded</t>
        </is>
      </c>
      <c r="F1275" s="12" t="inlineStr">
        <is>
          <t>No individual professional decision recorded; Source assignment -- not individually reviewed</t>
        </is>
      </c>
      <c r="G1275" s="12" t="inlineStr">
        <is>
          <t>Not individually decided</t>
        </is>
      </c>
      <c r="H1275" s="12" t="inlineStr">
        <is>
          <t xml:space="preserve">APPROVED / ONE_TO_ONE; </t>
        </is>
      </c>
      <c r="I1275" s="12" t="inlineStr">
        <is>
          <t>New</t>
        </is>
      </c>
      <c r="J1275" s="17" t="inlineStr">
        <is>
          <t>08 CROSSWALK</t>
        </is>
      </c>
    </row>
    <row r="1276" ht="49" customHeight="1">
      <c r="A1276" s="12" t="inlineStr">
        <is>
          <t>R1615-v1</t>
        </is>
      </c>
      <c r="B1276" s="12" t="inlineStr">
        <is>
          <t>Commercial Package Register / PKG-053</t>
        </is>
      </c>
      <c r="C1276" s="12" t="inlineStr">
        <is>
          <t>Package Code = PK-603; WBS Code = 1.6</t>
        </is>
      </c>
      <c r="D1276" s="12" t="inlineStr">
        <is>
          <t>Proposed by Source assignment; target 1.6 Program Management</t>
        </is>
      </c>
      <c r="E1276" s="12" t="inlineStr">
        <is>
          <t>None recorded</t>
        </is>
      </c>
      <c r="F1276" s="12" t="inlineStr">
        <is>
          <t>No individual professional decision recorded; Source assignment -- not individually reviewed</t>
        </is>
      </c>
      <c r="G1276" s="12" t="inlineStr">
        <is>
          <t>Not individually decided</t>
        </is>
      </c>
      <c r="H1276" s="12" t="inlineStr">
        <is>
          <t xml:space="preserve">APPROVED / ONE_TO_ONE; </t>
        </is>
      </c>
      <c r="I1276" s="12" t="inlineStr">
        <is>
          <t>New</t>
        </is>
      </c>
      <c r="J1276" s="17" t="inlineStr">
        <is>
          <t>08 CROSSWALK</t>
        </is>
      </c>
    </row>
    <row r="1277" ht="49" customHeight="1">
      <c r="A1277" s="12" t="inlineStr">
        <is>
          <t>R1616-v1</t>
        </is>
      </c>
      <c r="B1277" s="12" t="inlineStr">
        <is>
          <t>Commercial Package Register / PKG-054</t>
        </is>
      </c>
      <c r="C1277" s="12" t="inlineStr">
        <is>
          <t>Package Code = PK-604; WBS Code = 1.6</t>
        </is>
      </c>
      <c r="D1277" s="12" t="inlineStr">
        <is>
          <t>Proposed by Source assignment; target 1.6 Program Management</t>
        </is>
      </c>
      <c r="E1277" s="12" t="inlineStr">
        <is>
          <t>None recorded</t>
        </is>
      </c>
      <c r="F1277" s="12" t="inlineStr">
        <is>
          <t>No individual professional decision recorded; Source assignment -- not individually reviewed</t>
        </is>
      </c>
      <c r="G1277" s="12" t="inlineStr">
        <is>
          <t>Not individually decided</t>
        </is>
      </c>
      <c r="H1277" s="12" t="inlineStr">
        <is>
          <t xml:space="preserve">APPROVED / ONE_TO_ONE; </t>
        </is>
      </c>
      <c r="I1277" s="12" t="inlineStr">
        <is>
          <t>New</t>
        </is>
      </c>
      <c r="J1277" s="17" t="inlineStr">
        <is>
          <t>08 CROSSWALK</t>
        </is>
      </c>
    </row>
    <row r="1278" ht="49" customHeight="1">
      <c r="A1278" s="12" t="inlineStr">
        <is>
          <t>R1617-v1</t>
        </is>
      </c>
      <c r="B1278" s="12" t="inlineStr">
        <is>
          <t>Commercial Package Register / PKG-055</t>
        </is>
      </c>
      <c r="C1278" s="12" t="inlineStr">
        <is>
          <t>Package Code = PK-605; WBS Code = 1.6</t>
        </is>
      </c>
      <c r="D1278" s="12" t="inlineStr">
        <is>
          <t>Proposed by Source assignment; target 1.6 Program Management</t>
        </is>
      </c>
      <c r="E1278" s="12" t="inlineStr">
        <is>
          <t>None recorded</t>
        </is>
      </c>
      <c r="F1278" s="12" t="inlineStr">
        <is>
          <t>No individual professional decision recorded; Source assignment -- not individually reviewed</t>
        </is>
      </c>
      <c r="G1278" s="12" t="inlineStr">
        <is>
          <t>Not individually decided</t>
        </is>
      </c>
      <c r="H1278" s="12" t="inlineStr">
        <is>
          <t xml:space="preserve">APPROVED / ONE_TO_ONE; </t>
        </is>
      </c>
      <c r="I1278" s="12" t="inlineStr">
        <is>
          <t>New</t>
        </is>
      </c>
      <c r="J1278" s="17" t="inlineStr">
        <is>
          <t>08 CROSSWALK</t>
        </is>
      </c>
    </row>
    <row r="1279" ht="49" customHeight="1">
      <c r="A1279" s="12" t="inlineStr">
        <is>
          <t>R1618-v1</t>
        </is>
      </c>
      <c r="B1279" s="12" t="inlineStr">
        <is>
          <t>Commercial Package Register / PKG-056</t>
        </is>
      </c>
      <c r="C1279" s="12" t="inlineStr">
        <is>
          <t>Package Code = PK-606; WBS Code = 1.6</t>
        </is>
      </c>
      <c r="D1279" s="12" t="inlineStr">
        <is>
          <t>Proposed by Source assignment; target 1.6 Program Management</t>
        </is>
      </c>
      <c r="E1279" s="12" t="inlineStr">
        <is>
          <t>None recorded</t>
        </is>
      </c>
      <c r="F1279" s="12" t="inlineStr">
        <is>
          <t>No individual professional decision recorded; Source assignment -- not individually reviewed</t>
        </is>
      </c>
      <c r="G1279" s="12" t="inlineStr">
        <is>
          <t>Not individually decided</t>
        </is>
      </c>
      <c r="H1279" s="12" t="inlineStr">
        <is>
          <t xml:space="preserve">APPROVED / ONE_TO_ONE; </t>
        </is>
      </c>
      <c r="I1279" s="12" t="inlineStr">
        <is>
          <t>New</t>
        </is>
      </c>
      <c r="J1279" s="17" t="inlineStr">
        <is>
          <t>08 CROSSWALK</t>
        </is>
      </c>
    </row>
    <row r="1280" ht="49" customHeight="1">
      <c r="A1280" s="12" t="inlineStr">
        <is>
          <t>R1619-v1</t>
        </is>
      </c>
      <c r="B1280" s="12" t="inlineStr">
        <is>
          <t>Commercial Package Register / PKG-057</t>
        </is>
      </c>
      <c r="C1280" s="12" t="inlineStr">
        <is>
          <t>Package Code = PK-607; WBS Code = 1.6</t>
        </is>
      </c>
      <c r="D1280" s="12" t="inlineStr">
        <is>
          <t>Proposed by Source assignment; target 1.6 Program Management</t>
        </is>
      </c>
      <c r="E1280" s="12" t="inlineStr">
        <is>
          <t>None recorded</t>
        </is>
      </c>
      <c r="F1280" s="12" t="inlineStr">
        <is>
          <t>No individual professional decision recorded; Source assignment -- not individually reviewed</t>
        </is>
      </c>
      <c r="G1280" s="12" t="inlineStr">
        <is>
          <t>Not individually decided</t>
        </is>
      </c>
      <c r="H1280" s="12" t="inlineStr">
        <is>
          <t xml:space="preserve">APPROVED / ONE_TO_ONE; </t>
        </is>
      </c>
      <c r="I1280" s="12" t="inlineStr">
        <is>
          <t>New</t>
        </is>
      </c>
      <c r="J1280" s="17" t="inlineStr">
        <is>
          <t>08 CROSSWALK</t>
        </is>
      </c>
    </row>
    <row r="1281" ht="49" customHeight="1">
      <c r="A1281" s="12" t="inlineStr">
        <is>
          <t>R1620-v1</t>
        </is>
      </c>
      <c r="B1281" s="12" t="inlineStr">
        <is>
          <t>Commercial Package Register / PKG-058</t>
        </is>
      </c>
      <c r="C1281" s="12" t="inlineStr">
        <is>
          <t>Package Code = PK-608; WBS Code = 1.6</t>
        </is>
      </c>
      <c r="D1281" s="12" t="inlineStr">
        <is>
          <t>Proposed by Source assignment; target 1.6 Program Management</t>
        </is>
      </c>
      <c r="E1281" s="12" t="inlineStr">
        <is>
          <t>None recorded</t>
        </is>
      </c>
      <c r="F1281" s="12" t="inlineStr">
        <is>
          <t>No individual professional decision recorded; Source assignment -- not individually reviewed</t>
        </is>
      </c>
      <c r="G1281" s="12" t="inlineStr">
        <is>
          <t>Not individually decided</t>
        </is>
      </c>
      <c r="H1281" s="12" t="inlineStr">
        <is>
          <t xml:space="preserve">APPROVED / ONE_TO_ONE; </t>
        </is>
      </c>
      <c r="I1281" s="12" t="inlineStr">
        <is>
          <t>New</t>
        </is>
      </c>
      <c r="J1281" s="17" t="inlineStr">
        <is>
          <t>08 CROSSWALK</t>
        </is>
      </c>
    </row>
    <row r="1282" ht="49" customHeight="1">
      <c r="A1282" s="12" t="inlineStr">
        <is>
          <t>R1621-v1</t>
        </is>
      </c>
      <c r="B1282" s="12" t="inlineStr">
        <is>
          <t>Commercial Package Register / PKG-059</t>
        </is>
      </c>
      <c r="C1282" s="12" t="inlineStr">
        <is>
          <t>Package Code = PK-609; WBS Code = 1.6</t>
        </is>
      </c>
      <c r="D1282" s="12" t="inlineStr">
        <is>
          <t>Proposed by Source assignment; target 1.6 Program Management</t>
        </is>
      </c>
      <c r="E1282" s="12" t="inlineStr">
        <is>
          <t>None recorded</t>
        </is>
      </c>
      <c r="F1282" s="12" t="inlineStr">
        <is>
          <t>No individual professional decision recorded; Source assignment -- not individually reviewed</t>
        </is>
      </c>
      <c r="G1282" s="12" t="inlineStr">
        <is>
          <t>Not individually decided</t>
        </is>
      </c>
      <c r="H1282" s="12" t="inlineStr">
        <is>
          <t xml:space="preserve">APPROVED / ONE_TO_ONE; </t>
        </is>
      </c>
      <c r="I1282" s="12" t="inlineStr">
        <is>
          <t>New</t>
        </is>
      </c>
      <c r="J1282" s="17" t="inlineStr">
        <is>
          <t>08 CROSSWALK</t>
        </is>
      </c>
    </row>
    <row r="1283" ht="49" customHeight="1">
      <c r="A1283" s="12" t="inlineStr">
        <is>
          <t>R1622-v1</t>
        </is>
      </c>
      <c r="B1283" s="12" t="inlineStr">
        <is>
          <t>Commercial Package Register / PKG-060</t>
        </is>
      </c>
      <c r="C1283" s="12" t="inlineStr">
        <is>
          <t>Package Code = PK-610; WBS Code = 1.6</t>
        </is>
      </c>
      <c r="D1283" s="12" t="inlineStr">
        <is>
          <t>Proposed by Source assignment; target 1.6 Program Management</t>
        </is>
      </c>
      <c r="E1283" s="12" t="inlineStr">
        <is>
          <t>None recorded</t>
        </is>
      </c>
      <c r="F1283" s="12" t="inlineStr">
        <is>
          <t>No individual professional decision recorded; Source assignment -- not individually reviewed</t>
        </is>
      </c>
      <c r="G1283" s="12" t="inlineStr">
        <is>
          <t>Not individually decided</t>
        </is>
      </c>
      <c r="H1283" s="12" t="inlineStr">
        <is>
          <t xml:space="preserve">APPROVED / ONE_TO_ONE; </t>
        </is>
      </c>
      <c r="I1283" s="12" t="inlineStr">
        <is>
          <t>New</t>
        </is>
      </c>
      <c r="J1283" s="17" t="inlineStr">
        <is>
          <t>08 CROSSWALK</t>
        </is>
      </c>
    </row>
    <row r="1284" ht="49" customHeight="1">
      <c r="A1284" s="12" t="inlineStr">
        <is>
          <t>R1483-v1</t>
        </is>
      </c>
      <c r="B1284" s="12" t="inlineStr">
        <is>
          <t>Cost &amp; Forecast Control Accounts / CST-06-001</t>
        </is>
      </c>
      <c r="C1284" s="12" t="inlineStr">
        <is>
          <t>Cost Account = CA-6001; WBS Code = 1.6.1</t>
        </is>
      </c>
      <c r="D1284" s="12" t="inlineStr">
        <is>
          <t>Proposed by Source assignment; target 1.6.1 Program Management - Program Controls</t>
        </is>
      </c>
      <c r="E1284" s="12" t="inlineStr">
        <is>
          <t>None recorded</t>
        </is>
      </c>
      <c r="F1284" s="12" t="inlineStr">
        <is>
          <t>No individual professional decision recorded; Source assignment -- not individually reviewed</t>
        </is>
      </c>
      <c r="G1284" s="12" t="inlineStr">
        <is>
          <t>Not individually decided</t>
        </is>
      </c>
      <c r="H1284" s="12" t="inlineStr">
        <is>
          <t xml:space="preserve">APPROVED / ONE_TO_ONE; </t>
        </is>
      </c>
      <c r="I1284" s="12" t="inlineStr">
        <is>
          <t>New</t>
        </is>
      </c>
      <c r="J1284" s="17" t="inlineStr">
        <is>
          <t>08 CROSSWALK</t>
        </is>
      </c>
    </row>
    <row r="1285" ht="49" customHeight="1">
      <c r="A1285" s="12" t="inlineStr">
        <is>
          <t>R1485-v1</t>
        </is>
      </c>
      <c r="B1285" s="12" t="inlineStr">
        <is>
          <t>Cost &amp; Forecast Control Accounts / CST-06-003</t>
        </is>
      </c>
      <c r="C1285" s="12" t="inlineStr">
        <is>
          <t>Cost Account = CA-6003; WBS Code = 1.6.1</t>
        </is>
      </c>
      <c r="D1285" s="12" t="inlineStr">
        <is>
          <t>Proposed by Source assignment; target 1.6.1 Program Management - Program Controls</t>
        </is>
      </c>
      <c r="E1285" s="12" t="inlineStr">
        <is>
          <t>None recorded</t>
        </is>
      </c>
      <c r="F1285" s="12" t="inlineStr">
        <is>
          <t>No individual professional decision recorded; Source assignment -- not individually reviewed</t>
        </is>
      </c>
      <c r="G1285" s="12" t="inlineStr">
        <is>
          <t>Not individually decided</t>
        </is>
      </c>
      <c r="H1285" s="12" t="inlineStr">
        <is>
          <t xml:space="preserve">APPROVED / ONE_TO_ONE; </t>
        </is>
      </c>
      <c r="I1285" s="12" t="inlineStr">
        <is>
          <t>New</t>
        </is>
      </c>
      <c r="J1285" s="17" t="inlineStr">
        <is>
          <t>08 CROSSWALK</t>
        </is>
      </c>
    </row>
    <row r="1286" ht="49" customHeight="1">
      <c r="A1286" s="12" t="inlineStr">
        <is>
          <t>R1487-v1</t>
        </is>
      </c>
      <c r="B1286" s="12" t="inlineStr">
        <is>
          <t>Cost &amp; Forecast Control Accounts / CST-06-005</t>
        </is>
      </c>
      <c r="C1286" s="12" t="inlineStr">
        <is>
          <t>Cost Account = CA-6005; WBS Code = 1.6.1</t>
        </is>
      </c>
      <c r="D1286" s="12" t="inlineStr">
        <is>
          <t>Proposed by Source assignment; target 1.6.1 Program Management - Program Controls</t>
        </is>
      </c>
      <c r="E1286" s="12" t="inlineStr">
        <is>
          <t>None recorded</t>
        </is>
      </c>
      <c r="F1286" s="12" t="inlineStr">
        <is>
          <t>No individual professional decision recorded; Source assignment -- not individually reviewed</t>
        </is>
      </c>
      <c r="G1286" s="12" t="inlineStr">
        <is>
          <t>Not individually decided</t>
        </is>
      </c>
      <c r="H1286" s="12" t="inlineStr">
        <is>
          <t xml:space="preserve">APPROVED / ONE_TO_ONE; </t>
        </is>
      </c>
      <c r="I1286" s="12" t="inlineStr">
        <is>
          <t>New</t>
        </is>
      </c>
      <c r="J1286" s="17" t="inlineStr">
        <is>
          <t>08 CROSSWALK</t>
        </is>
      </c>
    </row>
    <row r="1287" ht="49" customHeight="1">
      <c r="A1287" s="12" t="inlineStr">
        <is>
          <t>R1489-v1</t>
        </is>
      </c>
      <c r="B1287" s="12" t="inlineStr">
        <is>
          <t>Cost &amp; Forecast Control Accounts / CST-06-007</t>
        </is>
      </c>
      <c r="C1287" s="12" t="inlineStr">
        <is>
          <t>Cost Account = CA-6007; WBS Code = 1.6.1</t>
        </is>
      </c>
      <c r="D1287" s="12" t="inlineStr">
        <is>
          <t>Proposed by Source assignment; target 1.6.1 Program Management - Program Controls</t>
        </is>
      </c>
      <c r="E1287" s="12" t="inlineStr">
        <is>
          <t>None recorded</t>
        </is>
      </c>
      <c r="F1287" s="12" t="inlineStr">
        <is>
          <t>No individual professional decision recorded; Source assignment -- not individually reviewed</t>
        </is>
      </c>
      <c r="G1287" s="12" t="inlineStr">
        <is>
          <t>Not individually decided</t>
        </is>
      </c>
      <c r="H1287" s="12" t="inlineStr">
        <is>
          <t xml:space="preserve">APPROVED / ONE_TO_ONE; </t>
        </is>
      </c>
      <c r="I1287" s="12" t="inlineStr">
        <is>
          <t>New</t>
        </is>
      </c>
      <c r="J1287" s="17" t="inlineStr">
        <is>
          <t>08 CROSSWALK</t>
        </is>
      </c>
    </row>
    <row r="1288" ht="49" customHeight="1">
      <c r="A1288" s="12" t="inlineStr">
        <is>
          <t>R1491-v1</t>
        </is>
      </c>
      <c r="B1288" s="12" t="inlineStr">
        <is>
          <t>Cost &amp; Forecast Control Accounts / CST-06-009</t>
        </is>
      </c>
      <c r="C1288" s="12" t="inlineStr">
        <is>
          <t>Cost Account = CA-6009; WBS Code = 1.6.1</t>
        </is>
      </c>
      <c r="D1288" s="12" t="inlineStr">
        <is>
          <t>Proposed by Source assignment; target 1.6.1 Program Management - Program Controls</t>
        </is>
      </c>
      <c r="E1288" s="12" t="inlineStr">
        <is>
          <t>None recorded</t>
        </is>
      </c>
      <c r="F1288" s="12" t="inlineStr">
        <is>
          <t>No individual professional decision recorded; Source assignment -- not individually reviewed</t>
        </is>
      </c>
      <c r="G1288" s="12" t="inlineStr">
        <is>
          <t>Not individually decided</t>
        </is>
      </c>
      <c r="H1288" s="12" t="inlineStr">
        <is>
          <t xml:space="preserve">APPROVED / ONE_TO_ONE; </t>
        </is>
      </c>
      <c r="I1288" s="12" t="inlineStr">
        <is>
          <t>New</t>
        </is>
      </c>
      <c r="J1288" s="17" t="inlineStr">
        <is>
          <t>08 CROSSWALK</t>
        </is>
      </c>
    </row>
    <row r="1289" ht="49" customHeight="1">
      <c r="A1289" s="12" t="inlineStr">
        <is>
          <t>R1493-v1</t>
        </is>
      </c>
      <c r="B1289" s="12" t="inlineStr">
        <is>
          <t>Cost &amp; Forecast Control Accounts / CST-06-011</t>
        </is>
      </c>
      <c r="C1289" s="12" t="inlineStr">
        <is>
          <t>Cost Account = CA-6011; WBS Code = 1.6.1</t>
        </is>
      </c>
      <c r="D1289" s="12" t="inlineStr">
        <is>
          <t>Proposed by Source assignment; target 1.6.1 Program Management - Program Controls</t>
        </is>
      </c>
      <c r="E1289" s="12" t="inlineStr">
        <is>
          <t>None recorded</t>
        </is>
      </c>
      <c r="F1289" s="12" t="inlineStr">
        <is>
          <t>No individual professional decision recorded; Source assignment -- not individually reviewed</t>
        </is>
      </c>
      <c r="G1289" s="12" t="inlineStr">
        <is>
          <t>Not individually decided</t>
        </is>
      </c>
      <c r="H1289" s="12" t="inlineStr">
        <is>
          <t xml:space="preserve">APPROVED / ONE_TO_ONE; </t>
        </is>
      </c>
      <c r="I1289" s="12" t="inlineStr">
        <is>
          <t>New</t>
        </is>
      </c>
      <c r="J1289" s="17" t="inlineStr">
        <is>
          <t>08 CROSSWALK</t>
        </is>
      </c>
    </row>
    <row r="1290" ht="49" customHeight="1">
      <c r="A1290" s="12" t="inlineStr">
        <is>
          <t>R1495-v1</t>
        </is>
      </c>
      <c r="B1290" s="12" t="inlineStr">
        <is>
          <t>Cost &amp; Forecast Control Accounts / CST-06-013</t>
        </is>
      </c>
      <c r="C1290" s="12" t="inlineStr">
        <is>
          <t>Cost Account = CA-6013; WBS Code = 1.6.1</t>
        </is>
      </c>
      <c r="D1290" s="12" t="inlineStr">
        <is>
          <t>Proposed by Source assignment; target 1.6.1 Program Management - Program Controls</t>
        </is>
      </c>
      <c r="E1290" s="12" t="inlineStr">
        <is>
          <t>None recorded</t>
        </is>
      </c>
      <c r="F1290" s="12" t="inlineStr">
        <is>
          <t>No individual professional decision recorded; Source assignment -- not individually reviewed</t>
        </is>
      </c>
      <c r="G1290" s="12" t="inlineStr">
        <is>
          <t>Not individually decided</t>
        </is>
      </c>
      <c r="H1290" s="12" t="inlineStr">
        <is>
          <t xml:space="preserve">APPROVED / ONE_TO_ONE; </t>
        </is>
      </c>
      <c r="I1290" s="12" t="inlineStr">
        <is>
          <t>New</t>
        </is>
      </c>
      <c r="J1290" s="17" t="inlineStr">
        <is>
          <t>08 CROSSWALK</t>
        </is>
      </c>
    </row>
    <row r="1291" ht="49" customHeight="1">
      <c r="A1291" s="12" t="inlineStr">
        <is>
          <t>R1497-v1</t>
        </is>
      </c>
      <c r="B1291" s="12" t="inlineStr">
        <is>
          <t>Cost &amp; Forecast Control Accounts / CST-06-015</t>
        </is>
      </c>
      <c r="C1291" s="12" t="inlineStr">
        <is>
          <t>Cost Account = CA-6015; WBS Code = 1.6.1</t>
        </is>
      </c>
      <c r="D1291" s="12" t="inlineStr">
        <is>
          <t>Proposed by Source assignment; target 1.6.1 Program Management - Program Controls</t>
        </is>
      </c>
      <c r="E1291" s="12" t="inlineStr">
        <is>
          <t>None recorded</t>
        </is>
      </c>
      <c r="F1291" s="12" t="inlineStr">
        <is>
          <t>No individual professional decision recorded; Source assignment -- not individually reviewed</t>
        </is>
      </c>
      <c r="G1291" s="12" t="inlineStr">
        <is>
          <t>Not individually decided</t>
        </is>
      </c>
      <c r="H1291" s="12" t="inlineStr">
        <is>
          <t xml:space="preserve">APPROVED / ONE_TO_ONE; </t>
        </is>
      </c>
      <c r="I1291" s="12" t="inlineStr">
        <is>
          <t>New</t>
        </is>
      </c>
      <c r="J1291" s="17" t="inlineStr">
        <is>
          <t>08 CROSSWALK</t>
        </is>
      </c>
    </row>
    <row r="1292" ht="49" customHeight="1">
      <c r="A1292" s="12" t="inlineStr">
        <is>
          <t>R1499-v1</t>
        </is>
      </c>
      <c r="B1292" s="12" t="inlineStr">
        <is>
          <t>Cost &amp; Forecast Control Accounts / CST-06-017</t>
        </is>
      </c>
      <c r="C1292" s="12" t="inlineStr">
        <is>
          <t>Cost Account = CA-6017; WBS Code = 1.6.1</t>
        </is>
      </c>
      <c r="D1292" s="12" t="inlineStr">
        <is>
          <t>Proposed by Source assignment; target 1.6.1 Program Management - Program Controls</t>
        </is>
      </c>
      <c r="E1292" s="12" t="inlineStr">
        <is>
          <t>None recorded</t>
        </is>
      </c>
      <c r="F1292" s="12" t="inlineStr">
        <is>
          <t>No individual professional decision recorded; Source assignment -- not individually reviewed</t>
        </is>
      </c>
      <c r="G1292" s="12" t="inlineStr">
        <is>
          <t>Not individually decided</t>
        </is>
      </c>
      <c r="H1292" s="12" t="inlineStr">
        <is>
          <t xml:space="preserve">APPROVED / ONE_TO_ONE; </t>
        </is>
      </c>
      <c r="I1292" s="12" t="inlineStr">
        <is>
          <t>New</t>
        </is>
      </c>
      <c r="J1292" s="17" t="inlineStr">
        <is>
          <t>08 CROSSWALK</t>
        </is>
      </c>
    </row>
    <row r="1293" ht="49" customHeight="1">
      <c r="A1293" s="12" t="inlineStr">
        <is>
          <t>R1501-v1</t>
        </is>
      </c>
      <c r="B1293" s="12" t="inlineStr">
        <is>
          <t>Cost &amp; Forecast Control Accounts / CST-06-019</t>
        </is>
      </c>
      <c r="C1293" s="12" t="inlineStr">
        <is>
          <t>Cost Account = CA-6019; WBS Code = 1.6.1</t>
        </is>
      </c>
      <c r="D1293" s="12" t="inlineStr">
        <is>
          <t>Proposed by Source assignment; target 1.6.1 Program Management - Program Controls</t>
        </is>
      </c>
      <c r="E1293" s="12" t="inlineStr">
        <is>
          <t>None recorded</t>
        </is>
      </c>
      <c r="F1293" s="12" t="inlineStr">
        <is>
          <t>No individual professional decision recorded; Source assignment -- not individually reviewed</t>
        </is>
      </c>
      <c r="G1293" s="12" t="inlineStr">
        <is>
          <t>Not individually decided</t>
        </is>
      </c>
      <c r="H1293" s="12" t="inlineStr">
        <is>
          <t xml:space="preserve">APPROVED / ONE_TO_ONE; </t>
        </is>
      </c>
      <c r="I1293" s="12" t="inlineStr">
        <is>
          <t>New</t>
        </is>
      </c>
      <c r="J1293" s="17" t="inlineStr">
        <is>
          <t>08 CROSSWALK</t>
        </is>
      </c>
    </row>
    <row r="1294" ht="49" customHeight="1">
      <c r="A1294" s="12" t="inlineStr">
        <is>
          <t>R1503-v1</t>
        </is>
      </c>
      <c r="B1294" s="12" t="inlineStr">
        <is>
          <t>Cost &amp; Forecast Control Accounts / CST-06-021</t>
        </is>
      </c>
      <c r="C1294" s="12" t="inlineStr">
        <is>
          <t>Cost Account = CA-6021; WBS Code = 1.6.1</t>
        </is>
      </c>
      <c r="D1294" s="12" t="inlineStr">
        <is>
          <t>Proposed by Source assignment; target 1.6.1 Program Management - Program Controls</t>
        </is>
      </c>
      <c r="E1294" s="12" t="inlineStr">
        <is>
          <t>None recorded</t>
        </is>
      </c>
      <c r="F1294" s="12" t="inlineStr">
        <is>
          <t>No individual professional decision recorded; Source assignment -- not individually reviewed</t>
        </is>
      </c>
      <c r="G1294" s="12" t="inlineStr">
        <is>
          <t>Not individually decided</t>
        </is>
      </c>
      <c r="H1294" s="12" t="inlineStr">
        <is>
          <t xml:space="preserve">APPROVED / ONE_TO_ONE; </t>
        </is>
      </c>
      <c r="I1294" s="12" t="inlineStr">
        <is>
          <t>New</t>
        </is>
      </c>
      <c r="J1294" s="17" t="inlineStr">
        <is>
          <t>08 CROSSWALK</t>
        </is>
      </c>
    </row>
    <row r="1295" ht="49" customHeight="1">
      <c r="A1295" s="12" t="inlineStr">
        <is>
          <t>R1505-v1</t>
        </is>
      </c>
      <c r="B1295" s="12" t="inlineStr">
        <is>
          <t>Cost &amp; Forecast Control Accounts / CST-06-023</t>
        </is>
      </c>
      <c r="C1295" s="12" t="inlineStr">
        <is>
          <t>Cost Account = CA-6023; WBS Code = 1.6.1</t>
        </is>
      </c>
      <c r="D1295" s="12" t="inlineStr">
        <is>
          <t>Proposed by Source assignment; target 1.6.1 Program Management - Program Controls</t>
        </is>
      </c>
      <c r="E1295" s="12" t="inlineStr">
        <is>
          <t>None recorded</t>
        </is>
      </c>
      <c r="F1295" s="12" t="inlineStr">
        <is>
          <t>No individual professional decision recorded; Source assignment -- not individually reviewed</t>
        </is>
      </c>
      <c r="G1295" s="12" t="inlineStr">
        <is>
          <t>Not individually decided</t>
        </is>
      </c>
      <c r="H1295" s="12" t="inlineStr">
        <is>
          <t xml:space="preserve">APPROVED / ONE_TO_ONE; </t>
        </is>
      </c>
      <c r="I1295" s="12" t="inlineStr">
        <is>
          <t>New</t>
        </is>
      </c>
      <c r="J1295" s="17" t="inlineStr">
        <is>
          <t>08 CROSSWALK</t>
        </is>
      </c>
    </row>
    <row r="1296" ht="49" customHeight="1">
      <c r="A1296" s="12" t="inlineStr">
        <is>
          <t>R1507-v1</t>
        </is>
      </c>
      <c r="B1296" s="12" t="inlineStr">
        <is>
          <t>Cost &amp; Forecast Control Accounts / CST-06-025</t>
        </is>
      </c>
      <c r="C1296" s="12" t="inlineStr">
        <is>
          <t>Cost Account = CA-6025; WBS Code = 1.6.1</t>
        </is>
      </c>
      <c r="D1296" s="12" t="inlineStr">
        <is>
          <t>Proposed by Source assignment; target 1.6.1 Program Management - Program Controls</t>
        </is>
      </c>
      <c r="E1296" s="12" t="inlineStr">
        <is>
          <t>None recorded</t>
        </is>
      </c>
      <c r="F1296" s="12" t="inlineStr">
        <is>
          <t>No individual professional decision recorded; Source assignment -- not individually reviewed</t>
        </is>
      </c>
      <c r="G1296" s="12" t="inlineStr">
        <is>
          <t>Not individually decided</t>
        </is>
      </c>
      <c r="H1296" s="12" t="inlineStr">
        <is>
          <t xml:space="preserve">APPROVED / ONE_TO_ONE; </t>
        </is>
      </c>
      <c r="I1296" s="12" t="inlineStr">
        <is>
          <t>New</t>
        </is>
      </c>
      <c r="J1296" s="17" t="inlineStr">
        <is>
          <t>08 CROSSWALK</t>
        </is>
      </c>
    </row>
    <row r="1297" ht="49" customHeight="1">
      <c r="A1297" s="12" t="inlineStr">
        <is>
          <t>R1509-v1</t>
        </is>
      </c>
      <c r="B1297" s="12" t="inlineStr">
        <is>
          <t>Cost &amp; Forecast Control Accounts / CST-06-027</t>
        </is>
      </c>
      <c r="C1297" s="12" t="inlineStr">
        <is>
          <t>Cost Account = CA-6027; WBS Code = 1.6.1</t>
        </is>
      </c>
      <c r="D1297" s="12" t="inlineStr">
        <is>
          <t>Proposed by Source assignment; target 1.6.1 Program Management - Program Controls</t>
        </is>
      </c>
      <c r="E1297" s="12" t="inlineStr">
        <is>
          <t>None recorded</t>
        </is>
      </c>
      <c r="F1297" s="12" t="inlineStr">
        <is>
          <t>No individual professional decision recorded; Source assignment -- not individually reviewed</t>
        </is>
      </c>
      <c r="G1297" s="12" t="inlineStr">
        <is>
          <t>Not individually decided</t>
        </is>
      </c>
      <c r="H1297" s="12" t="inlineStr">
        <is>
          <t xml:space="preserve">APPROVED / ONE_TO_ONE; </t>
        </is>
      </c>
      <c r="I1297" s="12" t="inlineStr">
        <is>
          <t>New</t>
        </is>
      </c>
      <c r="J1297" s="17" t="inlineStr">
        <is>
          <t>08 CROSSWALK</t>
        </is>
      </c>
    </row>
    <row r="1298" ht="49" customHeight="1">
      <c r="A1298" s="12" t="inlineStr">
        <is>
          <t>R1511-v1</t>
        </is>
      </c>
      <c r="B1298" s="12" t="inlineStr">
        <is>
          <t>Cost &amp; Forecast Control Accounts / CST-06-029</t>
        </is>
      </c>
      <c r="C1298" s="12" t="inlineStr">
        <is>
          <t>Cost Account = CA-6029; WBS Code = 1.6.1</t>
        </is>
      </c>
      <c r="D1298" s="12" t="inlineStr">
        <is>
          <t>Proposed by Source assignment; target 1.6.1 Program Management - Program Controls</t>
        </is>
      </c>
      <c r="E1298" s="12" t="inlineStr">
        <is>
          <t>None recorded</t>
        </is>
      </c>
      <c r="F1298" s="12" t="inlineStr">
        <is>
          <t>No individual professional decision recorded; Source assignment -- not individually reviewed</t>
        </is>
      </c>
      <c r="G1298" s="12" t="inlineStr">
        <is>
          <t>Not individually decided</t>
        </is>
      </c>
      <c r="H1298" s="12" t="inlineStr">
        <is>
          <t xml:space="preserve">APPROVED / ONE_TO_ONE; </t>
        </is>
      </c>
      <c r="I1298" s="12" t="inlineStr">
        <is>
          <t>New</t>
        </is>
      </c>
      <c r="J1298" s="17" t="inlineStr">
        <is>
          <t>08 CROSSWALK</t>
        </is>
      </c>
    </row>
    <row r="1299" ht="49" customHeight="1">
      <c r="A1299" s="12" t="inlineStr">
        <is>
          <t>R1513-v1</t>
        </is>
      </c>
      <c r="B1299" s="12" t="inlineStr">
        <is>
          <t>Cost &amp; Forecast Control Accounts / CST-06-031</t>
        </is>
      </c>
      <c r="C1299" s="12" t="inlineStr">
        <is>
          <t>Cost Account = CA-6031; WBS Code = 1.6.1</t>
        </is>
      </c>
      <c r="D1299" s="12" t="inlineStr">
        <is>
          <t>Proposed by Source assignment; target 1.6.1 Program Management - Program Controls</t>
        </is>
      </c>
      <c r="E1299" s="12" t="inlineStr">
        <is>
          <t>None recorded</t>
        </is>
      </c>
      <c r="F1299" s="12" t="inlineStr">
        <is>
          <t>No individual professional decision recorded; Source assignment -- not individually reviewed</t>
        </is>
      </c>
      <c r="G1299" s="12" t="inlineStr">
        <is>
          <t>Not individually decided</t>
        </is>
      </c>
      <c r="H1299" s="12" t="inlineStr">
        <is>
          <t xml:space="preserve">APPROVED / ONE_TO_ONE; </t>
        </is>
      </c>
      <c r="I1299" s="12" t="inlineStr">
        <is>
          <t>New</t>
        </is>
      </c>
      <c r="J1299" s="17" t="inlineStr">
        <is>
          <t>08 CROSSWALK</t>
        </is>
      </c>
    </row>
    <row r="1300" ht="49" customHeight="1">
      <c r="A1300" s="12" t="inlineStr">
        <is>
          <t>R1515-v1</t>
        </is>
      </c>
      <c r="B1300" s="12" t="inlineStr">
        <is>
          <t>Cost &amp; Forecast Control Accounts / CST-06-033</t>
        </is>
      </c>
      <c r="C1300" s="12" t="inlineStr">
        <is>
          <t>Cost Account = CA-6033; WBS Code = 1.6.1</t>
        </is>
      </c>
      <c r="D1300" s="12" t="inlineStr">
        <is>
          <t>Proposed by Source assignment; target 1.6.1 Program Management - Program Controls</t>
        </is>
      </c>
      <c r="E1300" s="12" t="inlineStr">
        <is>
          <t>None recorded</t>
        </is>
      </c>
      <c r="F1300" s="12" t="inlineStr">
        <is>
          <t>No individual professional decision recorded; Source assignment -- not individually reviewed</t>
        </is>
      </c>
      <c r="G1300" s="12" t="inlineStr">
        <is>
          <t>Not individually decided</t>
        </is>
      </c>
      <c r="H1300" s="12" t="inlineStr">
        <is>
          <t xml:space="preserve">APPROVED / ONE_TO_ONE; </t>
        </is>
      </c>
      <c r="I1300" s="12" t="inlineStr">
        <is>
          <t>New</t>
        </is>
      </c>
      <c r="J1300" s="17" t="inlineStr">
        <is>
          <t>08 CROSSWALK</t>
        </is>
      </c>
    </row>
    <row r="1301" ht="49" customHeight="1">
      <c r="A1301" s="12" t="inlineStr">
        <is>
          <t>R1517-v1</t>
        </is>
      </c>
      <c r="B1301" s="12" t="inlineStr">
        <is>
          <t>Cost &amp; Forecast Control Accounts / CST-06-035</t>
        </is>
      </c>
      <c r="C1301" s="12" t="inlineStr">
        <is>
          <t>Cost Account = CA-6035; WBS Code = 1.6.1</t>
        </is>
      </c>
      <c r="D1301" s="12" t="inlineStr">
        <is>
          <t>Proposed by Source assignment; target 1.6.1 Program Management - Program Controls</t>
        </is>
      </c>
      <c r="E1301" s="12" t="inlineStr">
        <is>
          <t>None recorded</t>
        </is>
      </c>
      <c r="F1301" s="12" t="inlineStr">
        <is>
          <t>No individual professional decision recorded; Source assignment -- not individually reviewed</t>
        </is>
      </c>
      <c r="G1301" s="12" t="inlineStr">
        <is>
          <t>Not individually decided</t>
        </is>
      </c>
      <c r="H1301" s="12" t="inlineStr">
        <is>
          <t xml:space="preserve">APPROVED / ONE_TO_ONE; </t>
        </is>
      </c>
      <c r="I1301" s="12" t="inlineStr">
        <is>
          <t>New</t>
        </is>
      </c>
      <c r="J1301" s="17" t="inlineStr">
        <is>
          <t>08 CROSSWALK</t>
        </is>
      </c>
    </row>
    <row r="1302" ht="49" customHeight="1">
      <c r="A1302" s="12" t="inlineStr">
        <is>
          <t>R1519-v1</t>
        </is>
      </c>
      <c r="B1302" s="12" t="inlineStr">
        <is>
          <t>Cost &amp; Forecast Control Accounts / CST-06-037</t>
        </is>
      </c>
      <c r="C1302" s="12" t="inlineStr">
        <is>
          <t>Cost Account = CA-6037; WBS Code = 1.6.1</t>
        </is>
      </c>
      <c r="D1302" s="12" t="inlineStr">
        <is>
          <t>Proposed by Source assignment; target 1.6.1 Program Management - Program Controls</t>
        </is>
      </c>
      <c r="E1302" s="12" t="inlineStr">
        <is>
          <t>None recorded</t>
        </is>
      </c>
      <c r="F1302" s="12" t="inlineStr">
        <is>
          <t>No individual professional decision recorded; Source assignment -- not individually reviewed</t>
        </is>
      </c>
      <c r="G1302" s="12" t="inlineStr">
        <is>
          <t>Not individually decided</t>
        </is>
      </c>
      <c r="H1302" s="12" t="inlineStr">
        <is>
          <t xml:space="preserve">APPROVED / ONE_TO_ONE; </t>
        </is>
      </c>
      <c r="I1302" s="12" t="inlineStr">
        <is>
          <t>New</t>
        </is>
      </c>
      <c r="J1302" s="17" t="inlineStr">
        <is>
          <t>08 CROSSWALK</t>
        </is>
      </c>
    </row>
    <row r="1303" ht="49" customHeight="1">
      <c r="A1303" s="12" t="inlineStr">
        <is>
          <t>R1521-v1</t>
        </is>
      </c>
      <c r="B1303" s="12" t="inlineStr">
        <is>
          <t>Cost &amp; Forecast Control Accounts / CST-06-039</t>
        </is>
      </c>
      <c r="C1303" s="12" t="inlineStr">
        <is>
          <t>Cost Account = CA-6039; WBS Code = 1.6.1</t>
        </is>
      </c>
      <c r="D1303" s="12" t="inlineStr">
        <is>
          <t>Proposed by Source assignment; target 1.6.1 Program Management - Program Controls</t>
        </is>
      </c>
      <c r="E1303" s="12" t="inlineStr">
        <is>
          <t>None recorded</t>
        </is>
      </c>
      <c r="F1303" s="12" t="inlineStr">
        <is>
          <t>No individual professional decision recorded; Source assignment -- not individually reviewed</t>
        </is>
      </c>
      <c r="G1303" s="12" t="inlineStr">
        <is>
          <t>Not individually decided</t>
        </is>
      </c>
      <c r="H1303" s="12" t="inlineStr">
        <is>
          <t xml:space="preserve">APPROVED / ONE_TO_ONE; </t>
        </is>
      </c>
      <c r="I1303" s="12" t="inlineStr">
        <is>
          <t>New</t>
        </is>
      </c>
      <c r="J1303" s="17" t="inlineStr">
        <is>
          <t>08 CROSSWALK</t>
        </is>
      </c>
    </row>
    <row r="1304" ht="49" customHeight="1">
      <c r="A1304" s="12" t="inlineStr">
        <is>
          <t>R1523-v1</t>
        </is>
      </c>
      <c r="B1304" s="12" t="inlineStr">
        <is>
          <t>Cost &amp; Forecast Control Accounts / CST-06-041</t>
        </is>
      </c>
      <c r="C1304" s="12" t="inlineStr">
        <is>
          <t>Cost Account = CA-6041; WBS Code = 1.6.1</t>
        </is>
      </c>
      <c r="D1304" s="12" t="inlineStr">
        <is>
          <t>Proposed by Source assignment; target 1.6.1 Program Management - Program Controls</t>
        </is>
      </c>
      <c r="E1304" s="12" t="inlineStr">
        <is>
          <t>None recorded</t>
        </is>
      </c>
      <c r="F1304" s="12" t="inlineStr">
        <is>
          <t>No individual professional decision recorded; Source assignment -- not individually reviewed</t>
        </is>
      </c>
      <c r="G1304" s="12" t="inlineStr">
        <is>
          <t>Not individually decided</t>
        </is>
      </c>
      <c r="H1304" s="12" t="inlineStr">
        <is>
          <t xml:space="preserve">APPROVED / ONE_TO_ONE; </t>
        </is>
      </c>
      <c r="I1304" s="12" t="inlineStr">
        <is>
          <t>New</t>
        </is>
      </c>
      <c r="J1304" s="17" t="inlineStr">
        <is>
          <t>08 CROSSWALK</t>
        </is>
      </c>
    </row>
    <row r="1305" ht="49" customHeight="1">
      <c r="A1305" s="12" t="inlineStr">
        <is>
          <t>R1525-v1</t>
        </is>
      </c>
      <c r="B1305" s="12" t="inlineStr">
        <is>
          <t>Cost &amp; Forecast Control Accounts / CST-06-043</t>
        </is>
      </c>
      <c r="C1305" s="12" t="inlineStr">
        <is>
          <t>Cost Account = CA-6043; WBS Code = 1.6.1</t>
        </is>
      </c>
      <c r="D1305" s="12" t="inlineStr">
        <is>
          <t>Proposed by Source assignment; target 1.6.1 Program Management - Program Controls</t>
        </is>
      </c>
      <c r="E1305" s="12" t="inlineStr">
        <is>
          <t>None recorded</t>
        </is>
      </c>
      <c r="F1305" s="12" t="inlineStr">
        <is>
          <t>No individual professional decision recorded; Source assignment -- not individually reviewed</t>
        </is>
      </c>
      <c r="G1305" s="12" t="inlineStr">
        <is>
          <t>Not individually decided</t>
        </is>
      </c>
      <c r="H1305" s="12" t="inlineStr">
        <is>
          <t xml:space="preserve">APPROVED / ONE_TO_ONE; </t>
        </is>
      </c>
      <c r="I1305" s="12" t="inlineStr">
        <is>
          <t>New</t>
        </is>
      </c>
      <c r="J1305" s="17" t="inlineStr">
        <is>
          <t>08 CROSSWALK</t>
        </is>
      </c>
    </row>
    <row r="1306" ht="49" customHeight="1">
      <c r="A1306" s="12" t="inlineStr">
        <is>
          <t>R1527-v1</t>
        </is>
      </c>
      <c r="B1306" s="12" t="inlineStr">
        <is>
          <t>Cost &amp; Forecast Control Accounts / CST-06-045</t>
        </is>
      </c>
      <c r="C1306" s="12" t="inlineStr">
        <is>
          <t>Cost Account = CA-6045; WBS Code = 1.6.1</t>
        </is>
      </c>
      <c r="D1306" s="12" t="inlineStr">
        <is>
          <t>Proposed by Source assignment; target 1.6.1 Program Management - Program Controls</t>
        </is>
      </c>
      <c r="E1306" s="12" t="inlineStr">
        <is>
          <t>None recorded</t>
        </is>
      </c>
      <c r="F1306" s="12" t="inlineStr">
        <is>
          <t>No individual professional decision recorded; Source assignment -- not individually reviewed</t>
        </is>
      </c>
      <c r="G1306" s="12" t="inlineStr">
        <is>
          <t>Not individually decided</t>
        </is>
      </c>
      <c r="H1306" s="12" t="inlineStr">
        <is>
          <t xml:space="preserve">APPROVED / ONE_TO_ONE; </t>
        </is>
      </c>
      <c r="I1306" s="12" t="inlineStr">
        <is>
          <t>New</t>
        </is>
      </c>
      <c r="J1306" s="17" t="inlineStr">
        <is>
          <t>08 CROSSWALK</t>
        </is>
      </c>
    </row>
    <row r="1307" ht="49" customHeight="1">
      <c r="A1307" s="12" t="inlineStr">
        <is>
          <t>R1529-v1</t>
        </is>
      </c>
      <c r="B1307" s="12" t="inlineStr">
        <is>
          <t>Cost &amp; Forecast Control Accounts / CST-06-047</t>
        </is>
      </c>
      <c r="C1307" s="12" t="inlineStr">
        <is>
          <t>Cost Account = CA-6047; WBS Code = 1.6.1</t>
        </is>
      </c>
      <c r="D1307" s="12" t="inlineStr">
        <is>
          <t>Proposed by Source assignment; target 1.6.1 Program Management - Program Controls</t>
        </is>
      </c>
      <c r="E1307" s="12" t="inlineStr">
        <is>
          <t>None recorded</t>
        </is>
      </c>
      <c r="F1307" s="12" t="inlineStr">
        <is>
          <t>No individual professional decision recorded; Source assignment -- not individually reviewed</t>
        </is>
      </c>
      <c r="G1307" s="12" t="inlineStr">
        <is>
          <t>Not individually decided</t>
        </is>
      </c>
      <c r="H1307" s="12" t="inlineStr">
        <is>
          <t xml:space="preserve">APPROVED / ONE_TO_ONE; </t>
        </is>
      </c>
      <c r="I1307" s="12" t="inlineStr">
        <is>
          <t>New</t>
        </is>
      </c>
      <c r="J1307" s="17" t="inlineStr">
        <is>
          <t>08 CROSSWALK</t>
        </is>
      </c>
    </row>
    <row r="1308" ht="49" customHeight="1">
      <c r="A1308" s="12" t="inlineStr">
        <is>
          <t>R1531-v1</t>
        </is>
      </c>
      <c r="B1308" s="12" t="inlineStr">
        <is>
          <t>Cost &amp; Forecast Control Accounts / CST-06-049</t>
        </is>
      </c>
      <c r="C1308" s="12" t="inlineStr">
        <is>
          <t>Cost Account = CA-6049; WBS Code = 1.6.1</t>
        </is>
      </c>
      <c r="D1308" s="12" t="inlineStr">
        <is>
          <t>Proposed by Source assignment; target 1.6.1 Program Management - Program Controls</t>
        </is>
      </c>
      <c r="E1308" s="12" t="inlineStr">
        <is>
          <t>None recorded</t>
        </is>
      </c>
      <c r="F1308" s="12" t="inlineStr">
        <is>
          <t>No individual professional decision recorded; Source assignment -- not individually reviewed</t>
        </is>
      </c>
      <c r="G1308" s="12" t="inlineStr">
        <is>
          <t>Not individually decided</t>
        </is>
      </c>
      <c r="H1308" s="12" t="inlineStr">
        <is>
          <t xml:space="preserve">APPROVED / ONE_TO_ONE; </t>
        </is>
      </c>
      <c r="I1308" s="12" t="inlineStr">
        <is>
          <t>New</t>
        </is>
      </c>
      <c r="J1308" s="17" t="inlineStr">
        <is>
          <t>08 CROSSWALK</t>
        </is>
      </c>
    </row>
    <row r="1309" ht="49" customHeight="1">
      <c r="A1309" s="12" t="inlineStr">
        <is>
          <t>R1533-v1</t>
        </is>
      </c>
      <c r="B1309" s="12" t="inlineStr">
        <is>
          <t>Cost &amp; Forecast Control Accounts / CST-06-051</t>
        </is>
      </c>
      <c r="C1309" s="12" t="inlineStr">
        <is>
          <t>Cost Account = CA-6051; WBS Code = 1.6.1</t>
        </is>
      </c>
      <c r="D1309" s="12" t="inlineStr">
        <is>
          <t>Proposed by Source assignment; target 1.6.1 Program Management - Program Controls</t>
        </is>
      </c>
      <c r="E1309" s="12" t="inlineStr">
        <is>
          <t>None recorded</t>
        </is>
      </c>
      <c r="F1309" s="12" t="inlineStr">
        <is>
          <t>No individual professional decision recorded; Source assignment -- not individually reviewed</t>
        </is>
      </c>
      <c r="G1309" s="12" t="inlineStr">
        <is>
          <t>Not individually decided</t>
        </is>
      </c>
      <c r="H1309" s="12" t="inlineStr">
        <is>
          <t xml:space="preserve">APPROVED / ONE_TO_ONE; </t>
        </is>
      </c>
      <c r="I1309" s="12" t="inlineStr">
        <is>
          <t>New</t>
        </is>
      </c>
      <c r="J1309" s="17" t="inlineStr">
        <is>
          <t>08 CROSSWALK</t>
        </is>
      </c>
    </row>
    <row r="1310" ht="49" customHeight="1">
      <c r="A1310" s="12" t="inlineStr">
        <is>
          <t>R1535-v1</t>
        </is>
      </c>
      <c r="B1310" s="12" t="inlineStr">
        <is>
          <t>Cost &amp; Forecast Control Accounts / CST-06-053</t>
        </is>
      </c>
      <c r="C1310" s="12" t="inlineStr">
        <is>
          <t>Cost Account = CA-6053; WBS Code = 1.6.1</t>
        </is>
      </c>
      <c r="D1310" s="12" t="inlineStr">
        <is>
          <t>Proposed by Source assignment; target 1.6.1 Program Management - Program Controls</t>
        </is>
      </c>
      <c r="E1310" s="12" t="inlineStr">
        <is>
          <t>None recorded</t>
        </is>
      </c>
      <c r="F1310" s="12" t="inlineStr">
        <is>
          <t>No individual professional decision recorded; Source assignment -- not individually reviewed</t>
        </is>
      </c>
      <c r="G1310" s="12" t="inlineStr">
        <is>
          <t>Not individually decided</t>
        </is>
      </c>
      <c r="H1310" s="12" t="inlineStr">
        <is>
          <t xml:space="preserve">APPROVED / ONE_TO_ONE; </t>
        </is>
      </c>
      <c r="I1310" s="12" t="inlineStr">
        <is>
          <t>New</t>
        </is>
      </c>
      <c r="J1310" s="17" t="inlineStr">
        <is>
          <t>08 CROSSWALK</t>
        </is>
      </c>
    </row>
    <row r="1311" ht="49" customHeight="1">
      <c r="A1311" s="12" t="inlineStr">
        <is>
          <t>R1537-v1</t>
        </is>
      </c>
      <c r="B1311" s="12" t="inlineStr">
        <is>
          <t>Cost &amp; Forecast Control Accounts / CST-06-055</t>
        </is>
      </c>
      <c r="C1311" s="12" t="inlineStr">
        <is>
          <t>Cost Account = CA-6055; WBS Code = 1.6.1</t>
        </is>
      </c>
      <c r="D1311" s="12" t="inlineStr">
        <is>
          <t>Proposed by Source assignment; target 1.6.1 Program Management - Program Controls</t>
        </is>
      </c>
      <c r="E1311" s="12" t="inlineStr">
        <is>
          <t>None recorded</t>
        </is>
      </c>
      <c r="F1311" s="12" t="inlineStr">
        <is>
          <t>No individual professional decision recorded; Source assignment -- not individually reviewed</t>
        </is>
      </c>
      <c r="G1311" s="12" t="inlineStr">
        <is>
          <t>Not individually decided</t>
        </is>
      </c>
      <c r="H1311" s="12" t="inlineStr">
        <is>
          <t xml:space="preserve">APPROVED / ONE_TO_ONE; </t>
        </is>
      </c>
      <c r="I1311" s="12" t="inlineStr">
        <is>
          <t>New</t>
        </is>
      </c>
      <c r="J1311" s="17" t="inlineStr">
        <is>
          <t>08 CROSSWALK</t>
        </is>
      </c>
    </row>
    <row r="1312" ht="49" customHeight="1">
      <c r="A1312" s="12" t="inlineStr">
        <is>
          <t>R1539-v1</t>
        </is>
      </c>
      <c r="B1312" s="12" t="inlineStr">
        <is>
          <t>Cost &amp; Forecast Control Accounts / CST-06-057</t>
        </is>
      </c>
      <c r="C1312" s="12" t="inlineStr">
        <is>
          <t>Cost Account = CA-6057; WBS Code = 1.6.1</t>
        </is>
      </c>
      <c r="D1312" s="12" t="inlineStr">
        <is>
          <t>Proposed by Source assignment; target 1.6.1 Program Management - Program Controls</t>
        </is>
      </c>
      <c r="E1312" s="12" t="inlineStr">
        <is>
          <t>None recorded</t>
        </is>
      </c>
      <c r="F1312" s="12" t="inlineStr">
        <is>
          <t>No individual professional decision recorded; Source assignment -- not individually reviewed</t>
        </is>
      </c>
      <c r="G1312" s="12" t="inlineStr">
        <is>
          <t>Not individually decided</t>
        </is>
      </c>
      <c r="H1312" s="12" t="inlineStr">
        <is>
          <t xml:space="preserve">APPROVED / ONE_TO_ONE; </t>
        </is>
      </c>
      <c r="I1312" s="12" t="inlineStr">
        <is>
          <t>New</t>
        </is>
      </c>
      <c r="J1312" s="17" t="inlineStr">
        <is>
          <t>08 CROSSWALK</t>
        </is>
      </c>
    </row>
    <row r="1313" ht="49" customHeight="1">
      <c r="A1313" s="12" t="inlineStr">
        <is>
          <t>R1541-v1</t>
        </is>
      </c>
      <c r="B1313" s="12" t="inlineStr">
        <is>
          <t>Cost &amp; Forecast Control Accounts / CST-06-059</t>
        </is>
      </c>
      <c r="C1313" s="12" t="inlineStr">
        <is>
          <t>Cost Account = CA-6059; WBS Code = 1.6.1</t>
        </is>
      </c>
      <c r="D1313" s="12" t="inlineStr">
        <is>
          <t>Proposed by Source assignment; target 1.6.1 Program Management - Program Controls</t>
        </is>
      </c>
      <c r="E1313" s="12" t="inlineStr">
        <is>
          <t>None recorded</t>
        </is>
      </c>
      <c r="F1313" s="12" t="inlineStr">
        <is>
          <t>No individual professional decision recorded; Source assignment -- not individually reviewed</t>
        </is>
      </c>
      <c r="G1313" s="12" t="inlineStr">
        <is>
          <t>Not individually decided</t>
        </is>
      </c>
      <c r="H1313" s="12" t="inlineStr">
        <is>
          <t xml:space="preserve">APPROVED / ONE_TO_ONE; </t>
        </is>
      </c>
      <c r="I1313" s="12" t="inlineStr">
        <is>
          <t>New</t>
        </is>
      </c>
      <c r="J1313" s="17" t="inlineStr">
        <is>
          <t>08 CROSSWALK</t>
        </is>
      </c>
    </row>
    <row r="1314" ht="49" customHeight="1">
      <c r="A1314" s="12" t="inlineStr">
        <is>
          <t>R1543-v1</t>
        </is>
      </c>
      <c r="B1314" s="12" t="inlineStr">
        <is>
          <t>Cost &amp; Forecast Control Accounts / CST-06-061</t>
        </is>
      </c>
      <c r="C1314" s="12" t="inlineStr">
        <is>
          <t>Cost Account = CA-6061; WBS Code = 1.6.1</t>
        </is>
      </c>
      <c r="D1314" s="12" t="inlineStr">
        <is>
          <t>Proposed by Source assignment; target 1.6.1 Program Management - Program Controls</t>
        </is>
      </c>
      <c r="E1314" s="12" t="inlineStr">
        <is>
          <t>None recorded</t>
        </is>
      </c>
      <c r="F1314" s="12" t="inlineStr">
        <is>
          <t>No individual professional decision recorded; Source assignment -- not individually reviewed</t>
        </is>
      </c>
      <c r="G1314" s="12" t="inlineStr">
        <is>
          <t>Not individually decided</t>
        </is>
      </c>
      <c r="H1314" s="12" t="inlineStr">
        <is>
          <t xml:space="preserve">APPROVED / ONE_TO_ONE; </t>
        </is>
      </c>
      <c r="I1314" s="12" t="inlineStr">
        <is>
          <t>New</t>
        </is>
      </c>
      <c r="J1314" s="17" t="inlineStr">
        <is>
          <t>08 CROSSWALK</t>
        </is>
      </c>
    </row>
    <row r="1315" ht="49" customHeight="1">
      <c r="A1315" s="12" t="inlineStr">
        <is>
          <t>R1545-v1</t>
        </is>
      </c>
      <c r="B1315" s="12" t="inlineStr">
        <is>
          <t>Cost &amp; Forecast Control Accounts / CST-06-063</t>
        </is>
      </c>
      <c r="C1315" s="12" t="inlineStr">
        <is>
          <t>Cost Account = CA-6063; WBS Code = 1.6.1</t>
        </is>
      </c>
      <c r="D1315" s="12" t="inlineStr">
        <is>
          <t>Proposed by Source assignment; target 1.6.1 Program Management - Program Controls</t>
        </is>
      </c>
      <c r="E1315" s="12" t="inlineStr">
        <is>
          <t>None recorded</t>
        </is>
      </c>
      <c r="F1315" s="12" t="inlineStr">
        <is>
          <t>No individual professional decision recorded; Source assignment -- not individually reviewed</t>
        </is>
      </c>
      <c r="G1315" s="12" t="inlineStr">
        <is>
          <t>Not individually decided</t>
        </is>
      </c>
      <c r="H1315" s="12" t="inlineStr">
        <is>
          <t xml:space="preserve">APPROVED / ONE_TO_ONE; </t>
        </is>
      </c>
      <c r="I1315" s="12" t="inlineStr">
        <is>
          <t>New</t>
        </is>
      </c>
      <c r="J1315" s="17" t="inlineStr">
        <is>
          <t>08 CROSSWALK</t>
        </is>
      </c>
    </row>
    <row r="1316" ht="49" customHeight="1">
      <c r="A1316" s="12" t="inlineStr">
        <is>
          <t>R1547-v1</t>
        </is>
      </c>
      <c r="B1316" s="12" t="inlineStr">
        <is>
          <t>Cost &amp; Forecast Control Accounts / CST-06-065</t>
        </is>
      </c>
      <c r="C1316" s="12" t="inlineStr">
        <is>
          <t>Cost Account = CA-6065; WBS Code = 1.6.1</t>
        </is>
      </c>
      <c r="D1316" s="12" t="inlineStr">
        <is>
          <t>Proposed by Source assignment; target 1.6.1 Program Management - Program Controls</t>
        </is>
      </c>
      <c r="E1316" s="12" t="inlineStr">
        <is>
          <t>None recorded</t>
        </is>
      </c>
      <c r="F1316" s="12" t="inlineStr">
        <is>
          <t>No individual professional decision recorded; Source assignment -- not individually reviewed</t>
        </is>
      </c>
      <c r="G1316" s="12" t="inlineStr">
        <is>
          <t>Not individually decided</t>
        </is>
      </c>
      <c r="H1316" s="12" t="inlineStr">
        <is>
          <t xml:space="preserve">APPROVED / ONE_TO_ONE; </t>
        </is>
      </c>
      <c r="I1316" s="12" t="inlineStr">
        <is>
          <t>New</t>
        </is>
      </c>
      <c r="J1316" s="17" t="inlineStr">
        <is>
          <t>08 CROSSWALK</t>
        </is>
      </c>
    </row>
    <row r="1317" ht="49" customHeight="1">
      <c r="A1317" s="12" t="inlineStr">
        <is>
          <t>R1549-v1</t>
        </is>
      </c>
      <c r="B1317" s="12" t="inlineStr">
        <is>
          <t>Cost &amp; Forecast Control Accounts / CST-06-067</t>
        </is>
      </c>
      <c r="C1317" s="12" t="inlineStr">
        <is>
          <t>Cost Account = CA-6067; WBS Code = 1.6.1</t>
        </is>
      </c>
      <c r="D1317" s="12" t="inlineStr">
        <is>
          <t>Proposed by Source assignment; target 1.6.1 Program Management - Program Controls</t>
        </is>
      </c>
      <c r="E1317" s="12" t="inlineStr">
        <is>
          <t>None recorded</t>
        </is>
      </c>
      <c r="F1317" s="12" t="inlineStr">
        <is>
          <t>No individual professional decision recorded; Source assignment -- not individually reviewed</t>
        </is>
      </c>
      <c r="G1317" s="12" t="inlineStr">
        <is>
          <t>Not individually decided</t>
        </is>
      </c>
      <c r="H1317" s="12" t="inlineStr">
        <is>
          <t xml:space="preserve">APPROVED / ONE_TO_ONE; </t>
        </is>
      </c>
      <c r="I1317" s="12" t="inlineStr">
        <is>
          <t>New</t>
        </is>
      </c>
      <c r="J1317" s="17" t="inlineStr">
        <is>
          <t>08 CROSSWALK</t>
        </is>
      </c>
    </row>
    <row r="1318" ht="49" customHeight="1">
      <c r="A1318" s="12" t="inlineStr">
        <is>
          <t>R1551-v1</t>
        </is>
      </c>
      <c r="B1318" s="12" t="inlineStr">
        <is>
          <t>Cost &amp; Forecast Control Accounts / CST-06-069</t>
        </is>
      </c>
      <c r="C1318" s="12" t="inlineStr">
        <is>
          <t>Cost Account = CA-6069; WBS Code = 1.6.1</t>
        </is>
      </c>
      <c r="D1318" s="12" t="inlineStr">
        <is>
          <t>Proposed by Source assignment; target 1.6.1 Program Management - Program Controls</t>
        </is>
      </c>
      <c r="E1318" s="12" t="inlineStr">
        <is>
          <t>None recorded</t>
        </is>
      </c>
      <c r="F1318" s="12" t="inlineStr">
        <is>
          <t>No individual professional decision recorded; Source assignment -- not individually reviewed</t>
        </is>
      </c>
      <c r="G1318" s="12" t="inlineStr">
        <is>
          <t>Not individually decided</t>
        </is>
      </c>
      <c r="H1318" s="12" t="inlineStr">
        <is>
          <t xml:space="preserve">APPROVED / ONE_TO_ONE; </t>
        </is>
      </c>
      <c r="I1318" s="12" t="inlineStr">
        <is>
          <t>New</t>
        </is>
      </c>
      <c r="J1318" s="17" t="inlineStr">
        <is>
          <t>08 CROSSWALK</t>
        </is>
      </c>
    </row>
    <row r="1319" ht="49" customHeight="1">
      <c r="A1319" s="12" t="inlineStr">
        <is>
          <t>R1553-v1</t>
        </is>
      </c>
      <c r="B1319" s="12" t="inlineStr">
        <is>
          <t>Cost &amp; Forecast Control Accounts / CST-06-071</t>
        </is>
      </c>
      <c r="C1319" s="12" t="inlineStr">
        <is>
          <t>Cost Account = CA-6071; WBS Code = 1.6.1</t>
        </is>
      </c>
      <c r="D1319" s="12" t="inlineStr">
        <is>
          <t>Proposed by Source assignment; target 1.6.1 Program Management - Program Controls</t>
        </is>
      </c>
      <c r="E1319" s="12" t="inlineStr">
        <is>
          <t>None recorded</t>
        </is>
      </c>
      <c r="F1319" s="12" t="inlineStr">
        <is>
          <t>No individual professional decision recorded; Source assignment -- not individually reviewed</t>
        </is>
      </c>
      <c r="G1319" s="12" t="inlineStr">
        <is>
          <t>Not individually decided</t>
        </is>
      </c>
      <c r="H1319" s="12" t="inlineStr">
        <is>
          <t xml:space="preserve">APPROVED / ONE_TO_ONE; </t>
        </is>
      </c>
      <c r="I1319" s="12" t="inlineStr">
        <is>
          <t>New</t>
        </is>
      </c>
      <c r="J1319" s="17" t="inlineStr">
        <is>
          <t>08 CROSSWALK</t>
        </is>
      </c>
    </row>
    <row r="1320" ht="49" customHeight="1">
      <c r="A1320" s="12" t="inlineStr">
        <is>
          <t>R1555-v1</t>
        </is>
      </c>
      <c r="B1320" s="12" t="inlineStr">
        <is>
          <t>Cost &amp; Forecast Control Accounts / CST-06-073</t>
        </is>
      </c>
      <c r="C1320" s="12" t="inlineStr">
        <is>
          <t>Cost Account = CA-6073; WBS Code = 1.6.1</t>
        </is>
      </c>
      <c r="D1320" s="12" t="inlineStr">
        <is>
          <t>Proposed by Source assignment; target 1.6.1 Program Management - Program Controls</t>
        </is>
      </c>
      <c r="E1320" s="12" t="inlineStr">
        <is>
          <t>None recorded</t>
        </is>
      </c>
      <c r="F1320" s="12" t="inlineStr">
        <is>
          <t>No individual professional decision recorded; Source assignment -- not individually reviewed</t>
        </is>
      </c>
      <c r="G1320" s="12" t="inlineStr">
        <is>
          <t>Not individually decided</t>
        </is>
      </c>
      <c r="H1320" s="12" t="inlineStr">
        <is>
          <t xml:space="preserve">APPROVED / ONE_TO_ONE; </t>
        </is>
      </c>
      <c r="I1320" s="12" t="inlineStr">
        <is>
          <t>New</t>
        </is>
      </c>
      <c r="J1320" s="17" t="inlineStr">
        <is>
          <t>08 CROSSWALK</t>
        </is>
      </c>
    </row>
    <row r="1321" ht="49" customHeight="1">
      <c r="A1321" s="12" t="inlineStr">
        <is>
          <t>R1557-v1</t>
        </is>
      </c>
      <c r="B1321" s="12" t="inlineStr">
        <is>
          <t>Cost &amp; Forecast Control Accounts / CST-06-075</t>
        </is>
      </c>
      <c r="C1321" s="12" t="inlineStr">
        <is>
          <t>Cost Account = CA-6075; WBS Code = 1.6.1</t>
        </is>
      </c>
      <c r="D1321" s="12" t="inlineStr">
        <is>
          <t>Proposed by Source assignment; target 1.6.1 Program Management - Program Controls</t>
        </is>
      </c>
      <c r="E1321" s="12" t="inlineStr">
        <is>
          <t>None recorded</t>
        </is>
      </c>
      <c r="F1321" s="12" t="inlineStr">
        <is>
          <t>No individual professional decision recorded; Source assignment -- not individually reviewed</t>
        </is>
      </c>
      <c r="G1321" s="12" t="inlineStr">
        <is>
          <t>Not individually decided</t>
        </is>
      </c>
      <c r="H1321" s="12" t="inlineStr">
        <is>
          <t xml:space="preserve">APPROVED / ONE_TO_ONE; </t>
        </is>
      </c>
      <c r="I1321" s="12" t="inlineStr">
        <is>
          <t>New</t>
        </is>
      </c>
      <c r="J1321" s="17" t="inlineStr">
        <is>
          <t>08 CROSSWALK</t>
        </is>
      </c>
    </row>
    <row r="1322" ht="49" customHeight="1">
      <c r="A1322" s="12" t="inlineStr">
        <is>
          <t>R1559-v1</t>
        </is>
      </c>
      <c r="B1322" s="12" t="inlineStr">
        <is>
          <t>Cost &amp; Forecast Control Accounts / CST-06-077</t>
        </is>
      </c>
      <c r="C1322" s="12" t="inlineStr">
        <is>
          <t>Cost Account = CA-6077; WBS Code = 1.6.1</t>
        </is>
      </c>
      <c r="D1322" s="12" t="inlineStr">
        <is>
          <t>Proposed by Source assignment; target 1.6.1 Program Management - Program Controls</t>
        </is>
      </c>
      <c r="E1322" s="12" t="inlineStr">
        <is>
          <t>None recorded</t>
        </is>
      </c>
      <c r="F1322" s="12" t="inlineStr">
        <is>
          <t>No individual professional decision recorded; Source assignment -- not individually reviewed</t>
        </is>
      </c>
      <c r="G1322" s="12" t="inlineStr">
        <is>
          <t>Not individually decided</t>
        </is>
      </c>
      <c r="H1322" s="12" t="inlineStr">
        <is>
          <t xml:space="preserve">APPROVED / ONE_TO_ONE; </t>
        </is>
      </c>
      <c r="I1322" s="12" t="inlineStr">
        <is>
          <t>New</t>
        </is>
      </c>
      <c r="J1322" s="17" t="inlineStr">
        <is>
          <t>08 CROSSWALK</t>
        </is>
      </c>
    </row>
    <row r="1323" ht="49" customHeight="1">
      <c r="A1323" s="12" t="inlineStr">
        <is>
          <t>R1561-v1</t>
        </is>
      </c>
      <c r="B1323" s="12" t="inlineStr">
        <is>
          <t>Cost &amp; Forecast Control Accounts / CST-06-079</t>
        </is>
      </c>
      <c r="C1323" s="12" t="inlineStr">
        <is>
          <t>Cost Account = CA-6079; WBS Code = 1.6.1</t>
        </is>
      </c>
      <c r="D1323" s="12" t="inlineStr">
        <is>
          <t>Proposed by Source assignment; target 1.6.1 Program Management - Program Controls</t>
        </is>
      </c>
      <c r="E1323" s="12" t="inlineStr">
        <is>
          <t>None recorded</t>
        </is>
      </c>
      <c r="F1323" s="12" t="inlineStr">
        <is>
          <t>No individual professional decision recorded; Source assignment -- not individually reviewed</t>
        </is>
      </c>
      <c r="G1323" s="12" t="inlineStr">
        <is>
          <t>Not individually decided</t>
        </is>
      </c>
      <c r="H1323" s="12" t="inlineStr">
        <is>
          <t xml:space="preserve">APPROVED / ONE_TO_ONE; </t>
        </is>
      </c>
      <c r="I1323" s="12" t="inlineStr">
        <is>
          <t>New</t>
        </is>
      </c>
      <c r="J1323" s="17" t="inlineStr">
        <is>
          <t>08 CROSSWALK</t>
        </is>
      </c>
    </row>
    <row r="1324" ht="49" customHeight="1">
      <c r="A1324" s="12" t="inlineStr">
        <is>
          <t>R1484-v1</t>
        </is>
      </c>
      <c r="B1324" s="12" t="inlineStr">
        <is>
          <t>Cost &amp; Forecast Control Accounts / CST-06-002</t>
        </is>
      </c>
      <c r="C1324" s="12" t="inlineStr">
        <is>
          <t>Cost Account = CA-6002; WBS Code = 1.6.2</t>
        </is>
      </c>
      <c r="D1324" s="12" t="inlineStr">
        <is>
          <t>Proposed by Source assignment; target 1.6.2 Program Management - Commercial &amp; Procurement</t>
        </is>
      </c>
      <c r="E1324" s="12" t="inlineStr">
        <is>
          <t>None recorded</t>
        </is>
      </c>
      <c r="F1324" s="12" t="inlineStr">
        <is>
          <t>No individual professional decision recorded; Source assignment -- not individually reviewed</t>
        </is>
      </c>
      <c r="G1324" s="12" t="inlineStr">
        <is>
          <t>Not individually decided</t>
        </is>
      </c>
      <c r="H1324" s="12" t="inlineStr">
        <is>
          <t xml:space="preserve">APPROVED / ONE_TO_ONE; </t>
        </is>
      </c>
      <c r="I1324" s="12" t="inlineStr">
        <is>
          <t>New</t>
        </is>
      </c>
      <c r="J1324" s="17" t="inlineStr">
        <is>
          <t>08 CROSSWALK</t>
        </is>
      </c>
    </row>
    <row r="1325" ht="49" customHeight="1">
      <c r="A1325" s="12" t="inlineStr">
        <is>
          <t>R1486-v1</t>
        </is>
      </c>
      <c r="B1325" s="12" t="inlineStr">
        <is>
          <t>Cost &amp; Forecast Control Accounts / CST-06-004</t>
        </is>
      </c>
      <c r="C1325" s="12" t="inlineStr">
        <is>
          <t>Cost Account = CA-6004; WBS Code = 1.6.2</t>
        </is>
      </c>
      <c r="D1325" s="12" t="inlineStr">
        <is>
          <t>Proposed by Source assignment; target 1.6.2 Program Management - Commercial &amp; Procurement</t>
        </is>
      </c>
      <c r="E1325" s="12" t="inlineStr">
        <is>
          <t>None recorded</t>
        </is>
      </c>
      <c r="F1325" s="12" t="inlineStr">
        <is>
          <t>No individual professional decision recorded; Source assignment -- not individually reviewed</t>
        </is>
      </c>
      <c r="G1325" s="12" t="inlineStr">
        <is>
          <t>Not individually decided</t>
        </is>
      </c>
      <c r="H1325" s="12" t="inlineStr">
        <is>
          <t xml:space="preserve">APPROVED / ONE_TO_ONE; </t>
        </is>
      </c>
      <c r="I1325" s="12" t="inlineStr">
        <is>
          <t>New</t>
        </is>
      </c>
      <c r="J1325" s="17" t="inlineStr">
        <is>
          <t>08 CROSSWALK</t>
        </is>
      </c>
    </row>
    <row r="1326" ht="49" customHeight="1">
      <c r="A1326" s="12" t="inlineStr">
        <is>
          <t>R1488-v1</t>
        </is>
      </c>
      <c r="B1326" s="12" t="inlineStr">
        <is>
          <t>Cost &amp; Forecast Control Accounts / CST-06-006</t>
        </is>
      </c>
      <c r="C1326" s="12" t="inlineStr">
        <is>
          <t>Cost Account = CA-6006; WBS Code = 1.6.2</t>
        </is>
      </c>
      <c r="D1326" s="12" t="inlineStr">
        <is>
          <t>Proposed by Source assignment; target 1.6.2 Program Management - Commercial &amp; Procurement</t>
        </is>
      </c>
      <c r="E1326" s="12" t="inlineStr">
        <is>
          <t>None recorded</t>
        </is>
      </c>
      <c r="F1326" s="12" t="inlineStr">
        <is>
          <t>No individual professional decision recorded; Source assignment -- not individually reviewed</t>
        </is>
      </c>
      <c r="G1326" s="12" t="inlineStr">
        <is>
          <t>Not individually decided</t>
        </is>
      </c>
      <c r="H1326" s="12" t="inlineStr">
        <is>
          <t xml:space="preserve">APPROVED / ONE_TO_ONE; </t>
        </is>
      </c>
      <c r="I1326" s="12" t="inlineStr">
        <is>
          <t>New</t>
        </is>
      </c>
      <c r="J1326" s="17" t="inlineStr">
        <is>
          <t>08 CROSSWALK</t>
        </is>
      </c>
    </row>
    <row r="1327" ht="49" customHeight="1">
      <c r="A1327" s="12" t="inlineStr">
        <is>
          <t>R1490-v1</t>
        </is>
      </c>
      <c r="B1327" s="12" t="inlineStr">
        <is>
          <t>Cost &amp; Forecast Control Accounts / CST-06-008</t>
        </is>
      </c>
      <c r="C1327" s="12" t="inlineStr">
        <is>
          <t>Cost Account = CA-6008; WBS Code = 1.6.2</t>
        </is>
      </c>
      <c r="D1327" s="12" t="inlineStr">
        <is>
          <t>Proposed by Source assignment; target 1.6.2 Program Management - Commercial &amp; Procurement</t>
        </is>
      </c>
      <c r="E1327" s="12" t="inlineStr">
        <is>
          <t>None recorded</t>
        </is>
      </c>
      <c r="F1327" s="12" t="inlineStr">
        <is>
          <t>No individual professional decision recorded; Source assignment -- not individually reviewed</t>
        </is>
      </c>
      <c r="G1327" s="12" t="inlineStr">
        <is>
          <t>Not individually decided</t>
        </is>
      </c>
      <c r="H1327" s="12" t="inlineStr">
        <is>
          <t xml:space="preserve">APPROVED / ONE_TO_ONE; </t>
        </is>
      </c>
      <c r="I1327" s="12" t="inlineStr">
        <is>
          <t>New</t>
        </is>
      </c>
      <c r="J1327" s="17" t="inlineStr">
        <is>
          <t>08 CROSSWALK</t>
        </is>
      </c>
    </row>
    <row r="1328" ht="49" customHeight="1">
      <c r="A1328" s="12" t="inlineStr">
        <is>
          <t>R1492-v1</t>
        </is>
      </c>
      <c r="B1328" s="12" t="inlineStr">
        <is>
          <t>Cost &amp; Forecast Control Accounts / CST-06-010</t>
        </is>
      </c>
      <c r="C1328" s="12" t="inlineStr">
        <is>
          <t>Cost Account = CA-6010; WBS Code = 1.6.2</t>
        </is>
      </c>
      <c r="D1328" s="12" t="inlineStr">
        <is>
          <t>Proposed by Source assignment; target 1.6.2 Program Management - Commercial &amp; Procurement</t>
        </is>
      </c>
      <c r="E1328" s="12" t="inlineStr">
        <is>
          <t>None recorded</t>
        </is>
      </c>
      <c r="F1328" s="12" t="inlineStr">
        <is>
          <t>No individual professional decision recorded; Source assignment -- not individually reviewed</t>
        </is>
      </c>
      <c r="G1328" s="12" t="inlineStr">
        <is>
          <t>Not individually decided</t>
        </is>
      </c>
      <c r="H1328" s="12" t="inlineStr">
        <is>
          <t xml:space="preserve">APPROVED / ONE_TO_ONE; </t>
        </is>
      </c>
      <c r="I1328" s="12" t="inlineStr">
        <is>
          <t>New</t>
        </is>
      </c>
      <c r="J1328" s="17" t="inlineStr">
        <is>
          <t>08 CROSSWALK</t>
        </is>
      </c>
    </row>
    <row r="1329" ht="49" customHeight="1">
      <c r="A1329" s="12" t="inlineStr">
        <is>
          <t>R1494-v1</t>
        </is>
      </c>
      <c r="B1329" s="12" t="inlineStr">
        <is>
          <t>Cost &amp; Forecast Control Accounts / CST-06-012</t>
        </is>
      </c>
      <c r="C1329" s="12" t="inlineStr">
        <is>
          <t>Cost Account = CA-6012; WBS Code = 1.6.2</t>
        </is>
      </c>
      <c r="D1329" s="12" t="inlineStr">
        <is>
          <t>Proposed by Source assignment; target 1.6.2 Program Management - Commercial &amp; Procurement</t>
        </is>
      </c>
      <c r="E1329" s="12" t="inlineStr">
        <is>
          <t>None recorded</t>
        </is>
      </c>
      <c r="F1329" s="12" t="inlineStr">
        <is>
          <t>No individual professional decision recorded; Source assignment -- not individually reviewed</t>
        </is>
      </c>
      <c r="G1329" s="12" t="inlineStr">
        <is>
          <t>Not individually decided</t>
        </is>
      </c>
      <c r="H1329" s="12" t="inlineStr">
        <is>
          <t xml:space="preserve">APPROVED / ONE_TO_ONE; </t>
        </is>
      </c>
      <c r="I1329" s="12" t="inlineStr">
        <is>
          <t>New</t>
        </is>
      </c>
      <c r="J1329" s="17" t="inlineStr">
        <is>
          <t>08 CROSSWALK</t>
        </is>
      </c>
    </row>
    <row r="1330" ht="49" customHeight="1">
      <c r="A1330" s="12" t="inlineStr">
        <is>
          <t>R1496-v1</t>
        </is>
      </c>
      <c r="B1330" s="12" t="inlineStr">
        <is>
          <t>Cost &amp; Forecast Control Accounts / CST-06-014</t>
        </is>
      </c>
      <c r="C1330" s="12" t="inlineStr">
        <is>
          <t>Cost Account = CA-6014; WBS Code = 1.6.2</t>
        </is>
      </c>
      <c r="D1330" s="12" t="inlineStr">
        <is>
          <t>Proposed by Source assignment; target 1.6.2 Program Management - Commercial &amp; Procurement</t>
        </is>
      </c>
      <c r="E1330" s="12" t="inlineStr">
        <is>
          <t>None recorded</t>
        </is>
      </c>
      <c r="F1330" s="12" t="inlineStr">
        <is>
          <t>No individual professional decision recorded; Source assignment -- not individually reviewed</t>
        </is>
      </c>
      <c r="G1330" s="12" t="inlineStr">
        <is>
          <t>Not individually decided</t>
        </is>
      </c>
      <c r="H1330" s="12" t="inlineStr">
        <is>
          <t xml:space="preserve">APPROVED / ONE_TO_ONE; </t>
        </is>
      </c>
      <c r="I1330" s="12" t="inlineStr">
        <is>
          <t>New</t>
        </is>
      </c>
      <c r="J1330" s="17" t="inlineStr">
        <is>
          <t>08 CROSSWALK</t>
        </is>
      </c>
    </row>
    <row r="1331" ht="49" customHeight="1">
      <c r="A1331" s="12" t="inlineStr">
        <is>
          <t>R1498-v1</t>
        </is>
      </c>
      <c r="B1331" s="12" t="inlineStr">
        <is>
          <t>Cost &amp; Forecast Control Accounts / CST-06-016</t>
        </is>
      </c>
      <c r="C1331" s="12" t="inlineStr">
        <is>
          <t>Cost Account = CA-6016; WBS Code = 1.6.2</t>
        </is>
      </c>
      <c r="D1331" s="12" t="inlineStr">
        <is>
          <t>Proposed by Source assignment; target 1.6.2 Program Management - Commercial &amp; Procurement</t>
        </is>
      </c>
      <c r="E1331" s="12" t="inlineStr">
        <is>
          <t>None recorded</t>
        </is>
      </c>
      <c r="F1331" s="12" t="inlineStr">
        <is>
          <t>No individual professional decision recorded; Source assignment -- not individually reviewed</t>
        </is>
      </c>
      <c r="G1331" s="12" t="inlineStr">
        <is>
          <t>Not individually decided</t>
        </is>
      </c>
      <c r="H1331" s="12" t="inlineStr">
        <is>
          <t xml:space="preserve">APPROVED / ONE_TO_ONE; </t>
        </is>
      </c>
      <c r="I1331" s="12" t="inlineStr">
        <is>
          <t>New</t>
        </is>
      </c>
      <c r="J1331" s="17" t="inlineStr">
        <is>
          <t>08 CROSSWALK</t>
        </is>
      </c>
    </row>
    <row r="1332" ht="49" customHeight="1">
      <c r="A1332" s="12" t="inlineStr">
        <is>
          <t>R1500-v1</t>
        </is>
      </c>
      <c r="B1332" s="12" t="inlineStr">
        <is>
          <t>Cost &amp; Forecast Control Accounts / CST-06-018</t>
        </is>
      </c>
      <c r="C1332" s="12" t="inlineStr">
        <is>
          <t>Cost Account = CA-6018; WBS Code = 1.6.2</t>
        </is>
      </c>
      <c r="D1332" s="12" t="inlineStr">
        <is>
          <t>Proposed by Source assignment; target 1.6.2 Program Management - Commercial &amp; Procurement</t>
        </is>
      </c>
      <c r="E1332" s="12" t="inlineStr">
        <is>
          <t>None recorded</t>
        </is>
      </c>
      <c r="F1332" s="12" t="inlineStr">
        <is>
          <t>No individual professional decision recorded; Source assignment -- not individually reviewed</t>
        </is>
      </c>
      <c r="G1332" s="12" t="inlineStr">
        <is>
          <t>Not individually decided</t>
        </is>
      </c>
      <c r="H1332" s="12" t="inlineStr">
        <is>
          <t xml:space="preserve">APPROVED / ONE_TO_ONE; </t>
        </is>
      </c>
      <c r="I1332" s="12" t="inlineStr">
        <is>
          <t>New</t>
        </is>
      </c>
      <c r="J1332" s="17" t="inlineStr">
        <is>
          <t>08 CROSSWALK</t>
        </is>
      </c>
    </row>
    <row r="1333" ht="49" customHeight="1">
      <c r="A1333" s="12" t="inlineStr">
        <is>
          <t>R1502-v1</t>
        </is>
      </c>
      <c r="B1333" s="12" t="inlineStr">
        <is>
          <t>Cost &amp; Forecast Control Accounts / CST-06-020</t>
        </is>
      </c>
      <c r="C1333" s="12" t="inlineStr">
        <is>
          <t>Cost Account = CA-6020; WBS Code = 1.6.2</t>
        </is>
      </c>
      <c r="D1333" s="12" t="inlineStr">
        <is>
          <t>Proposed by Source assignment; target 1.6.2 Program Management - Commercial &amp; Procurement</t>
        </is>
      </c>
      <c r="E1333" s="12" t="inlineStr">
        <is>
          <t>None recorded</t>
        </is>
      </c>
      <c r="F1333" s="12" t="inlineStr">
        <is>
          <t>No individual professional decision recorded; Source assignment -- not individually reviewed</t>
        </is>
      </c>
      <c r="G1333" s="12" t="inlineStr">
        <is>
          <t>Not individually decided</t>
        </is>
      </c>
      <c r="H1333" s="12" t="inlineStr">
        <is>
          <t xml:space="preserve">APPROVED / ONE_TO_ONE; </t>
        </is>
      </c>
      <c r="I1333" s="12" t="inlineStr">
        <is>
          <t>New</t>
        </is>
      </c>
      <c r="J1333" s="17" t="inlineStr">
        <is>
          <t>08 CROSSWALK</t>
        </is>
      </c>
    </row>
    <row r="1334" ht="49" customHeight="1">
      <c r="A1334" s="12" t="inlineStr">
        <is>
          <t>R1504-v1</t>
        </is>
      </c>
      <c r="B1334" s="12" t="inlineStr">
        <is>
          <t>Cost &amp; Forecast Control Accounts / CST-06-022</t>
        </is>
      </c>
      <c r="C1334" s="12" t="inlineStr">
        <is>
          <t>Cost Account = CA-6022; WBS Code = 1.6.2</t>
        </is>
      </c>
      <c r="D1334" s="12" t="inlineStr">
        <is>
          <t>Proposed by Source assignment; target 1.6.2 Program Management - Commercial &amp; Procurement</t>
        </is>
      </c>
      <c r="E1334" s="12" t="inlineStr">
        <is>
          <t>None recorded</t>
        </is>
      </c>
      <c r="F1334" s="12" t="inlineStr">
        <is>
          <t>No individual professional decision recorded; Source assignment -- not individually reviewed</t>
        </is>
      </c>
      <c r="G1334" s="12" t="inlineStr">
        <is>
          <t>Not individually decided</t>
        </is>
      </c>
      <c r="H1334" s="12" t="inlineStr">
        <is>
          <t xml:space="preserve">APPROVED / ONE_TO_ONE; </t>
        </is>
      </c>
      <c r="I1334" s="12" t="inlineStr">
        <is>
          <t>New</t>
        </is>
      </c>
      <c r="J1334" s="17" t="inlineStr">
        <is>
          <t>08 CROSSWALK</t>
        </is>
      </c>
    </row>
    <row r="1335" ht="49" customHeight="1">
      <c r="A1335" s="12" t="inlineStr">
        <is>
          <t>R1506-v1</t>
        </is>
      </c>
      <c r="B1335" s="12" t="inlineStr">
        <is>
          <t>Cost &amp; Forecast Control Accounts / CST-06-024</t>
        </is>
      </c>
      <c r="C1335" s="12" t="inlineStr">
        <is>
          <t>Cost Account = CA-6024; WBS Code = 1.6.2</t>
        </is>
      </c>
      <c r="D1335" s="12" t="inlineStr">
        <is>
          <t>Proposed by Source assignment; target 1.6.2 Program Management - Commercial &amp; Procurement</t>
        </is>
      </c>
      <c r="E1335" s="12" t="inlineStr">
        <is>
          <t>None recorded</t>
        </is>
      </c>
      <c r="F1335" s="12" t="inlineStr">
        <is>
          <t>No individual professional decision recorded; Source assignment -- not individually reviewed</t>
        </is>
      </c>
      <c r="G1335" s="12" t="inlineStr">
        <is>
          <t>Not individually decided</t>
        </is>
      </c>
      <c r="H1335" s="12" t="inlineStr">
        <is>
          <t xml:space="preserve">APPROVED / ONE_TO_ONE; </t>
        </is>
      </c>
      <c r="I1335" s="12" t="inlineStr">
        <is>
          <t>New</t>
        </is>
      </c>
      <c r="J1335" s="17" t="inlineStr">
        <is>
          <t>08 CROSSWALK</t>
        </is>
      </c>
    </row>
    <row r="1336" ht="49" customHeight="1">
      <c r="A1336" s="12" t="inlineStr">
        <is>
          <t>R1508-v1</t>
        </is>
      </c>
      <c r="B1336" s="12" t="inlineStr">
        <is>
          <t>Cost &amp; Forecast Control Accounts / CST-06-026</t>
        </is>
      </c>
      <c r="C1336" s="12" t="inlineStr">
        <is>
          <t>Cost Account = CA-6026; WBS Code = 1.6.2</t>
        </is>
      </c>
      <c r="D1336" s="12" t="inlineStr">
        <is>
          <t>Proposed by Source assignment; target 1.6.2 Program Management - Commercial &amp; Procurement</t>
        </is>
      </c>
      <c r="E1336" s="12" t="inlineStr">
        <is>
          <t>None recorded</t>
        </is>
      </c>
      <c r="F1336" s="12" t="inlineStr">
        <is>
          <t>No individual professional decision recorded; Source assignment -- not individually reviewed</t>
        </is>
      </c>
      <c r="G1336" s="12" t="inlineStr">
        <is>
          <t>Not individually decided</t>
        </is>
      </c>
      <c r="H1336" s="12" t="inlineStr">
        <is>
          <t xml:space="preserve">APPROVED / ONE_TO_ONE; </t>
        </is>
      </c>
      <c r="I1336" s="12" t="inlineStr">
        <is>
          <t>New</t>
        </is>
      </c>
      <c r="J1336" s="17" t="inlineStr">
        <is>
          <t>08 CROSSWALK</t>
        </is>
      </c>
    </row>
    <row r="1337" ht="49" customHeight="1">
      <c r="A1337" s="12" t="inlineStr">
        <is>
          <t>R1510-v1</t>
        </is>
      </c>
      <c r="B1337" s="12" t="inlineStr">
        <is>
          <t>Cost &amp; Forecast Control Accounts / CST-06-028</t>
        </is>
      </c>
      <c r="C1337" s="12" t="inlineStr">
        <is>
          <t>Cost Account = CA-6028; WBS Code = 1.6.2</t>
        </is>
      </c>
      <c r="D1337" s="12" t="inlineStr">
        <is>
          <t>Proposed by Source assignment; target 1.6.2 Program Management - Commercial &amp; Procurement</t>
        </is>
      </c>
      <c r="E1337" s="12" t="inlineStr">
        <is>
          <t>None recorded</t>
        </is>
      </c>
      <c r="F1337" s="12" t="inlineStr">
        <is>
          <t>No individual professional decision recorded; Source assignment -- not individually reviewed</t>
        </is>
      </c>
      <c r="G1337" s="12" t="inlineStr">
        <is>
          <t>Not individually decided</t>
        </is>
      </c>
      <c r="H1337" s="12" t="inlineStr">
        <is>
          <t xml:space="preserve">APPROVED / ONE_TO_ONE; </t>
        </is>
      </c>
      <c r="I1337" s="12" t="inlineStr">
        <is>
          <t>New</t>
        </is>
      </c>
      <c r="J1337" s="17" t="inlineStr">
        <is>
          <t>08 CROSSWALK</t>
        </is>
      </c>
    </row>
    <row r="1338" ht="49" customHeight="1">
      <c r="A1338" s="12" t="inlineStr">
        <is>
          <t>R1512-v1</t>
        </is>
      </c>
      <c r="B1338" s="12" t="inlineStr">
        <is>
          <t>Cost &amp; Forecast Control Accounts / CST-06-030</t>
        </is>
      </c>
      <c r="C1338" s="12" t="inlineStr">
        <is>
          <t>Cost Account = CA-6030; WBS Code = 1.6.2</t>
        </is>
      </c>
      <c r="D1338" s="12" t="inlineStr">
        <is>
          <t>Proposed by Source assignment; target 1.6.2 Program Management - Commercial &amp; Procurement</t>
        </is>
      </c>
      <c r="E1338" s="12" t="inlineStr">
        <is>
          <t>None recorded</t>
        </is>
      </c>
      <c r="F1338" s="12" t="inlineStr">
        <is>
          <t>No individual professional decision recorded; Source assignment -- not individually reviewed</t>
        </is>
      </c>
      <c r="G1338" s="12" t="inlineStr">
        <is>
          <t>Not individually decided</t>
        </is>
      </c>
      <c r="H1338" s="12" t="inlineStr">
        <is>
          <t xml:space="preserve">APPROVED / ONE_TO_ONE; </t>
        </is>
      </c>
      <c r="I1338" s="12" t="inlineStr">
        <is>
          <t>New</t>
        </is>
      </c>
      <c r="J1338" s="17" t="inlineStr">
        <is>
          <t>08 CROSSWALK</t>
        </is>
      </c>
    </row>
    <row r="1339" ht="49" customHeight="1">
      <c r="A1339" s="12" t="inlineStr">
        <is>
          <t>R1514-v1</t>
        </is>
      </c>
      <c r="B1339" s="12" t="inlineStr">
        <is>
          <t>Cost &amp; Forecast Control Accounts / CST-06-032</t>
        </is>
      </c>
      <c r="C1339" s="12" t="inlineStr">
        <is>
          <t>Cost Account = CA-6032; WBS Code = 1.6.2</t>
        </is>
      </c>
      <c r="D1339" s="12" t="inlineStr">
        <is>
          <t>Proposed by Source assignment; target 1.6.2 Program Management - Commercial &amp; Procurement</t>
        </is>
      </c>
      <c r="E1339" s="12" t="inlineStr">
        <is>
          <t>None recorded</t>
        </is>
      </c>
      <c r="F1339" s="12" t="inlineStr">
        <is>
          <t>No individual professional decision recorded; Source assignment -- not individually reviewed</t>
        </is>
      </c>
      <c r="G1339" s="12" t="inlineStr">
        <is>
          <t>Not individually decided</t>
        </is>
      </c>
      <c r="H1339" s="12" t="inlineStr">
        <is>
          <t xml:space="preserve">APPROVED / ONE_TO_ONE; </t>
        </is>
      </c>
      <c r="I1339" s="12" t="inlineStr">
        <is>
          <t>New</t>
        </is>
      </c>
      <c r="J1339" s="17" t="inlineStr">
        <is>
          <t>08 CROSSWALK</t>
        </is>
      </c>
    </row>
    <row r="1340" ht="49" customHeight="1">
      <c r="A1340" s="12" t="inlineStr">
        <is>
          <t>R1516-v1</t>
        </is>
      </c>
      <c r="B1340" s="12" t="inlineStr">
        <is>
          <t>Cost &amp; Forecast Control Accounts / CST-06-034</t>
        </is>
      </c>
      <c r="C1340" s="12" t="inlineStr">
        <is>
          <t>Cost Account = CA-6034; WBS Code = 1.6.2</t>
        </is>
      </c>
      <c r="D1340" s="12" t="inlineStr">
        <is>
          <t>Proposed by Source assignment; target 1.6.2 Program Management - Commercial &amp; Procurement</t>
        </is>
      </c>
      <c r="E1340" s="12" t="inlineStr">
        <is>
          <t>None recorded</t>
        </is>
      </c>
      <c r="F1340" s="12" t="inlineStr">
        <is>
          <t>No individual professional decision recorded; Source assignment -- not individually reviewed</t>
        </is>
      </c>
      <c r="G1340" s="12" t="inlineStr">
        <is>
          <t>Not individually decided</t>
        </is>
      </c>
      <c r="H1340" s="12" t="inlineStr">
        <is>
          <t xml:space="preserve">APPROVED / ONE_TO_ONE; </t>
        </is>
      </c>
      <c r="I1340" s="12" t="inlineStr">
        <is>
          <t>New</t>
        </is>
      </c>
      <c r="J1340" s="17" t="inlineStr">
        <is>
          <t>08 CROSSWALK</t>
        </is>
      </c>
    </row>
    <row r="1341" ht="49" customHeight="1">
      <c r="A1341" s="12" t="inlineStr">
        <is>
          <t>R1518-v1</t>
        </is>
      </c>
      <c r="B1341" s="12" t="inlineStr">
        <is>
          <t>Cost &amp; Forecast Control Accounts / CST-06-036</t>
        </is>
      </c>
      <c r="C1341" s="12" t="inlineStr">
        <is>
          <t>Cost Account = CA-6036; WBS Code = 1.6.2</t>
        </is>
      </c>
      <c r="D1341" s="12" t="inlineStr">
        <is>
          <t>Proposed by Source assignment; target 1.6.2 Program Management - Commercial &amp; Procurement</t>
        </is>
      </c>
      <c r="E1341" s="12" t="inlineStr">
        <is>
          <t>None recorded</t>
        </is>
      </c>
      <c r="F1341" s="12" t="inlineStr">
        <is>
          <t>No individual professional decision recorded; Source assignment -- not individually reviewed</t>
        </is>
      </c>
      <c r="G1341" s="12" t="inlineStr">
        <is>
          <t>Not individually decided</t>
        </is>
      </c>
      <c r="H1341" s="12" t="inlineStr">
        <is>
          <t xml:space="preserve">APPROVED / ONE_TO_ONE; </t>
        </is>
      </c>
      <c r="I1341" s="12" t="inlineStr">
        <is>
          <t>New</t>
        </is>
      </c>
      <c r="J1341" s="17" t="inlineStr">
        <is>
          <t>08 CROSSWALK</t>
        </is>
      </c>
    </row>
    <row r="1342" ht="49" customHeight="1">
      <c r="A1342" s="12" t="inlineStr">
        <is>
          <t>R1520-v1</t>
        </is>
      </c>
      <c r="B1342" s="12" t="inlineStr">
        <is>
          <t>Cost &amp; Forecast Control Accounts / CST-06-038</t>
        </is>
      </c>
      <c r="C1342" s="12" t="inlineStr">
        <is>
          <t>Cost Account = CA-6038; WBS Code = 1.6.2</t>
        </is>
      </c>
      <c r="D1342" s="12" t="inlineStr">
        <is>
          <t>Proposed by Source assignment; target 1.6.2 Program Management - Commercial &amp; Procurement</t>
        </is>
      </c>
      <c r="E1342" s="12" t="inlineStr">
        <is>
          <t>None recorded</t>
        </is>
      </c>
      <c r="F1342" s="12" t="inlineStr">
        <is>
          <t>No individual professional decision recorded; Source assignment -- not individually reviewed</t>
        </is>
      </c>
      <c r="G1342" s="12" t="inlineStr">
        <is>
          <t>Not individually decided</t>
        </is>
      </c>
      <c r="H1342" s="12" t="inlineStr">
        <is>
          <t xml:space="preserve">APPROVED / ONE_TO_ONE; </t>
        </is>
      </c>
      <c r="I1342" s="12" t="inlineStr">
        <is>
          <t>New</t>
        </is>
      </c>
      <c r="J1342" s="17" t="inlineStr">
        <is>
          <t>08 CROSSWALK</t>
        </is>
      </c>
    </row>
    <row r="1343" ht="49" customHeight="1">
      <c r="A1343" s="12" t="inlineStr">
        <is>
          <t>R1522-v1</t>
        </is>
      </c>
      <c r="B1343" s="12" t="inlineStr">
        <is>
          <t>Cost &amp; Forecast Control Accounts / CST-06-040</t>
        </is>
      </c>
      <c r="C1343" s="12" t="inlineStr">
        <is>
          <t>Cost Account = CA-6040; WBS Code = 1.6.2</t>
        </is>
      </c>
      <c r="D1343" s="12" t="inlineStr">
        <is>
          <t>Proposed by Source assignment; target 1.6.2 Program Management - Commercial &amp; Procurement</t>
        </is>
      </c>
      <c r="E1343" s="12" t="inlineStr">
        <is>
          <t>None recorded</t>
        </is>
      </c>
      <c r="F1343" s="12" t="inlineStr">
        <is>
          <t>No individual professional decision recorded; Source assignment -- not individually reviewed</t>
        </is>
      </c>
      <c r="G1343" s="12" t="inlineStr">
        <is>
          <t>Not individually decided</t>
        </is>
      </c>
      <c r="H1343" s="12" t="inlineStr">
        <is>
          <t xml:space="preserve">APPROVED / ONE_TO_ONE; </t>
        </is>
      </c>
      <c r="I1343" s="12" t="inlineStr">
        <is>
          <t>New</t>
        </is>
      </c>
      <c r="J1343" s="17" t="inlineStr">
        <is>
          <t>08 CROSSWALK</t>
        </is>
      </c>
    </row>
    <row r="1344" ht="49" customHeight="1">
      <c r="A1344" s="12" t="inlineStr">
        <is>
          <t>R1524-v1</t>
        </is>
      </c>
      <c r="B1344" s="12" t="inlineStr">
        <is>
          <t>Cost &amp; Forecast Control Accounts / CST-06-042</t>
        </is>
      </c>
      <c r="C1344" s="12" t="inlineStr">
        <is>
          <t>Cost Account = CA-6042; WBS Code = 1.6.2</t>
        </is>
      </c>
      <c r="D1344" s="12" t="inlineStr">
        <is>
          <t>Proposed by Source assignment; target 1.6.2 Program Management - Commercial &amp; Procurement</t>
        </is>
      </c>
      <c r="E1344" s="12" t="inlineStr">
        <is>
          <t>None recorded</t>
        </is>
      </c>
      <c r="F1344" s="12" t="inlineStr">
        <is>
          <t>No individual professional decision recorded; Source assignment -- not individually reviewed</t>
        </is>
      </c>
      <c r="G1344" s="12" t="inlineStr">
        <is>
          <t>Not individually decided</t>
        </is>
      </c>
      <c r="H1344" s="12" t="inlineStr">
        <is>
          <t xml:space="preserve">APPROVED / ONE_TO_ONE; </t>
        </is>
      </c>
      <c r="I1344" s="12" t="inlineStr">
        <is>
          <t>New</t>
        </is>
      </c>
      <c r="J1344" s="17" t="inlineStr">
        <is>
          <t>08 CROSSWALK</t>
        </is>
      </c>
    </row>
    <row r="1345" ht="49" customHeight="1">
      <c r="A1345" s="12" t="inlineStr">
        <is>
          <t>R1526-v1</t>
        </is>
      </c>
      <c r="B1345" s="12" t="inlineStr">
        <is>
          <t>Cost &amp; Forecast Control Accounts / CST-06-044</t>
        </is>
      </c>
      <c r="C1345" s="12" t="inlineStr">
        <is>
          <t>Cost Account = CA-6044; WBS Code = 1.6.2</t>
        </is>
      </c>
      <c r="D1345" s="12" t="inlineStr">
        <is>
          <t>Proposed by Source assignment; target 1.6.2 Program Management - Commercial &amp; Procurement</t>
        </is>
      </c>
      <c r="E1345" s="12" t="inlineStr">
        <is>
          <t>None recorded</t>
        </is>
      </c>
      <c r="F1345" s="12" t="inlineStr">
        <is>
          <t>No individual professional decision recorded; Source assignment -- not individually reviewed</t>
        </is>
      </c>
      <c r="G1345" s="12" t="inlineStr">
        <is>
          <t>Not individually decided</t>
        </is>
      </c>
      <c r="H1345" s="12" t="inlineStr">
        <is>
          <t xml:space="preserve">APPROVED / ONE_TO_ONE; </t>
        </is>
      </c>
      <c r="I1345" s="12" t="inlineStr">
        <is>
          <t>New</t>
        </is>
      </c>
      <c r="J1345" s="17" t="inlineStr">
        <is>
          <t>08 CROSSWALK</t>
        </is>
      </c>
    </row>
    <row r="1346" ht="49" customHeight="1">
      <c r="A1346" s="12" t="inlineStr">
        <is>
          <t>R1528-v1</t>
        </is>
      </c>
      <c r="B1346" s="12" t="inlineStr">
        <is>
          <t>Cost &amp; Forecast Control Accounts / CST-06-046</t>
        </is>
      </c>
      <c r="C1346" s="12" t="inlineStr">
        <is>
          <t>Cost Account = CA-6046; WBS Code = 1.6.2</t>
        </is>
      </c>
      <c r="D1346" s="12" t="inlineStr">
        <is>
          <t>Proposed by Source assignment; target 1.6.2 Program Management - Commercial &amp; Procurement</t>
        </is>
      </c>
      <c r="E1346" s="12" t="inlineStr">
        <is>
          <t>None recorded</t>
        </is>
      </c>
      <c r="F1346" s="12" t="inlineStr">
        <is>
          <t>No individual professional decision recorded; Source assignment -- not individually reviewed</t>
        </is>
      </c>
      <c r="G1346" s="12" t="inlineStr">
        <is>
          <t>Not individually decided</t>
        </is>
      </c>
      <c r="H1346" s="12" t="inlineStr">
        <is>
          <t xml:space="preserve">APPROVED / ONE_TO_ONE; </t>
        </is>
      </c>
      <c r="I1346" s="12" t="inlineStr">
        <is>
          <t>New</t>
        </is>
      </c>
      <c r="J1346" s="17" t="inlineStr">
        <is>
          <t>08 CROSSWALK</t>
        </is>
      </c>
    </row>
    <row r="1347" ht="49" customHeight="1">
      <c r="A1347" s="12" t="inlineStr">
        <is>
          <t>R1530-v1</t>
        </is>
      </c>
      <c r="B1347" s="12" t="inlineStr">
        <is>
          <t>Cost &amp; Forecast Control Accounts / CST-06-048</t>
        </is>
      </c>
      <c r="C1347" s="12" t="inlineStr">
        <is>
          <t>Cost Account = CA-6048; WBS Code = 1.6.2</t>
        </is>
      </c>
      <c r="D1347" s="12" t="inlineStr">
        <is>
          <t>Proposed by Source assignment; target 1.6.2 Program Management - Commercial &amp; Procurement</t>
        </is>
      </c>
      <c r="E1347" s="12" t="inlineStr">
        <is>
          <t>None recorded</t>
        </is>
      </c>
      <c r="F1347" s="12" t="inlineStr">
        <is>
          <t>No individual professional decision recorded; Source assignment -- not individually reviewed</t>
        </is>
      </c>
      <c r="G1347" s="12" t="inlineStr">
        <is>
          <t>Not individually decided</t>
        </is>
      </c>
      <c r="H1347" s="12" t="inlineStr">
        <is>
          <t xml:space="preserve">APPROVED / ONE_TO_ONE; </t>
        </is>
      </c>
      <c r="I1347" s="12" t="inlineStr">
        <is>
          <t>New</t>
        </is>
      </c>
      <c r="J1347" s="17" t="inlineStr">
        <is>
          <t>08 CROSSWALK</t>
        </is>
      </c>
    </row>
    <row r="1348" ht="49" customHeight="1">
      <c r="A1348" s="12" t="inlineStr">
        <is>
          <t>R1532-v1</t>
        </is>
      </c>
      <c r="B1348" s="12" t="inlineStr">
        <is>
          <t>Cost &amp; Forecast Control Accounts / CST-06-050</t>
        </is>
      </c>
      <c r="C1348" s="12" t="inlineStr">
        <is>
          <t>Cost Account = CA-6050; WBS Code = 1.6.2</t>
        </is>
      </c>
      <c r="D1348" s="12" t="inlineStr">
        <is>
          <t>Proposed by Source assignment; target 1.6.2 Program Management - Commercial &amp; Procurement</t>
        </is>
      </c>
      <c r="E1348" s="12" t="inlineStr">
        <is>
          <t>None recorded</t>
        </is>
      </c>
      <c r="F1348" s="12" t="inlineStr">
        <is>
          <t>No individual professional decision recorded; Source assignment -- not individually reviewed</t>
        </is>
      </c>
      <c r="G1348" s="12" t="inlineStr">
        <is>
          <t>Not individually decided</t>
        </is>
      </c>
      <c r="H1348" s="12" t="inlineStr">
        <is>
          <t xml:space="preserve">APPROVED / ONE_TO_ONE; </t>
        </is>
      </c>
      <c r="I1348" s="12" t="inlineStr">
        <is>
          <t>New</t>
        </is>
      </c>
      <c r="J1348" s="17" t="inlineStr">
        <is>
          <t>08 CROSSWALK</t>
        </is>
      </c>
    </row>
    <row r="1349" ht="49" customHeight="1">
      <c r="A1349" s="12" t="inlineStr">
        <is>
          <t>R1534-v1</t>
        </is>
      </c>
      <c r="B1349" s="12" t="inlineStr">
        <is>
          <t>Cost &amp; Forecast Control Accounts / CST-06-052</t>
        </is>
      </c>
      <c r="C1349" s="12" t="inlineStr">
        <is>
          <t>Cost Account = CA-6052; WBS Code = 1.6.2</t>
        </is>
      </c>
      <c r="D1349" s="12" t="inlineStr">
        <is>
          <t>Proposed by Source assignment; target 1.6.2 Program Management - Commercial &amp; Procurement</t>
        </is>
      </c>
      <c r="E1349" s="12" t="inlineStr">
        <is>
          <t>None recorded</t>
        </is>
      </c>
      <c r="F1349" s="12" t="inlineStr">
        <is>
          <t>No individual professional decision recorded; Source assignment -- not individually reviewed</t>
        </is>
      </c>
      <c r="G1349" s="12" t="inlineStr">
        <is>
          <t>Not individually decided</t>
        </is>
      </c>
      <c r="H1349" s="12" t="inlineStr">
        <is>
          <t xml:space="preserve">APPROVED / ONE_TO_ONE; </t>
        </is>
      </c>
      <c r="I1349" s="12" t="inlineStr">
        <is>
          <t>New</t>
        </is>
      </c>
      <c r="J1349" s="17" t="inlineStr">
        <is>
          <t>08 CROSSWALK</t>
        </is>
      </c>
    </row>
    <row r="1350" ht="49" customHeight="1">
      <c r="A1350" s="12" t="inlineStr">
        <is>
          <t>R1536-v1</t>
        </is>
      </c>
      <c r="B1350" s="12" t="inlineStr">
        <is>
          <t>Cost &amp; Forecast Control Accounts / CST-06-054</t>
        </is>
      </c>
      <c r="C1350" s="12" t="inlineStr">
        <is>
          <t>Cost Account = CA-6054; WBS Code = 1.6.2</t>
        </is>
      </c>
      <c r="D1350" s="12" t="inlineStr">
        <is>
          <t>Proposed by Source assignment; target 1.6.2 Program Management - Commercial &amp; Procurement</t>
        </is>
      </c>
      <c r="E1350" s="12" t="inlineStr">
        <is>
          <t>None recorded</t>
        </is>
      </c>
      <c r="F1350" s="12" t="inlineStr">
        <is>
          <t>No individual professional decision recorded; Source assignment -- not individually reviewed</t>
        </is>
      </c>
      <c r="G1350" s="12" t="inlineStr">
        <is>
          <t>Not individually decided</t>
        </is>
      </c>
      <c r="H1350" s="12" t="inlineStr">
        <is>
          <t xml:space="preserve">APPROVED / ONE_TO_ONE; </t>
        </is>
      </c>
      <c r="I1350" s="12" t="inlineStr">
        <is>
          <t>New</t>
        </is>
      </c>
      <c r="J1350" s="17" t="inlineStr">
        <is>
          <t>08 CROSSWALK</t>
        </is>
      </c>
    </row>
    <row r="1351" ht="49" customHeight="1">
      <c r="A1351" s="12" t="inlineStr">
        <is>
          <t>R1538-v1</t>
        </is>
      </c>
      <c r="B1351" s="12" t="inlineStr">
        <is>
          <t>Cost &amp; Forecast Control Accounts / CST-06-056</t>
        </is>
      </c>
      <c r="C1351" s="12" t="inlineStr">
        <is>
          <t>Cost Account = CA-6056; WBS Code = 1.6.2</t>
        </is>
      </c>
      <c r="D1351" s="12" t="inlineStr">
        <is>
          <t>Proposed by Source assignment; target 1.6.2 Program Management - Commercial &amp; Procurement</t>
        </is>
      </c>
      <c r="E1351" s="12" t="inlineStr">
        <is>
          <t>None recorded</t>
        </is>
      </c>
      <c r="F1351" s="12" t="inlineStr">
        <is>
          <t>No individual professional decision recorded; Source assignment -- not individually reviewed</t>
        </is>
      </c>
      <c r="G1351" s="12" t="inlineStr">
        <is>
          <t>Not individually decided</t>
        </is>
      </c>
      <c r="H1351" s="12" t="inlineStr">
        <is>
          <t xml:space="preserve">APPROVED / ONE_TO_ONE; </t>
        </is>
      </c>
      <c r="I1351" s="12" t="inlineStr">
        <is>
          <t>New</t>
        </is>
      </c>
      <c r="J1351" s="17" t="inlineStr">
        <is>
          <t>08 CROSSWALK</t>
        </is>
      </c>
    </row>
    <row r="1352" ht="49" customHeight="1">
      <c r="A1352" s="12" t="inlineStr">
        <is>
          <t>R1540-v1</t>
        </is>
      </c>
      <c r="B1352" s="12" t="inlineStr">
        <is>
          <t>Cost &amp; Forecast Control Accounts / CST-06-058</t>
        </is>
      </c>
      <c r="C1352" s="12" t="inlineStr">
        <is>
          <t>Cost Account = CA-6058; WBS Code = 1.6.2</t>
        </is>
      </c>
      <c r="D1352" s="12" t="inlineStr">
        <is>
          <t>Proposed by Source assignment; target 1.6.2 Program Management - Commercial &amp; Procurement</t>
        </is>
      </c>
      <c r="E1352" s="12" t="inlineStr">
        <is>
          <t>None recorded</t>
        </is>
      </c>
      <c r="F1352" s="12" t="inlineStr">
        <is>
          <t>No individual professional decision recorded; Source assignment -- not individually reviewed</t>
        </is>
      </c>
      <c r="G1352" s="12" t="inlineStr">
        <is>
          <t>Not individually decided</t>
        </is>
      </c>
      <c r="H1352" s="12" t="inlineStr">
        <is>
          <t xml:space="preserve">APPROVED / ONE_TO_ONE; </t>
        </is>
      </c>
      <c r="I1352" s="12" t="inlineStr">
        <is>
          <t>New</t>
        </is>
      </c>
      <c r="J1352" s="17" t="inlineStr">
        <is>
          <t>08 CROSSWALK</t>
        </is>
      </c>
    </row>
    <row r="1353" ht="49" customHeight="1">
      <c r="A1353" s="12" t="inlineStr">
        <is>
          <t>R1542-v1</t>
        </is>
      </c>
      <c r="B1353" s="12" t="inlineStr">
        <is>
          <t>Cost &amp; Forecast Control Accounts / CST-06-060</t>
        </is>
      </c>
      <c r="C1353" s="12" t="inlineStr">
        <is>
          <t>Cost Account = CA-6060; WBS Code = 1.6.2</t>
        </is>
      </c>
      <c r="D1353" s="12" t="inlineStr">
        <is>
          <t>Proposed by Source assignment; target 1.6.2 Program Management - Commercial &amp; Procurement</t>
        </is>
      </c>
      <c r="E1353" s="12" t="inlineStr">
        <is>
          <t>None recorded</t>
        </is>
      </c>
      <c r="F1353" s="12" t="inlineStr">
        <is>
          <t>No individual professional decision recorded; Source assignment -- not individually reviewed</t>
        </is>
      </c>
      <c r="G1353" s="12" t="inlineStr">
        <is>
          <t>Not individually decided</t>
        </is>
      </c>
      <c r="H1353" s="12" t="inlineStr">
        <is>
          <t xml:space="preserve">APPROVED / ONE_TO_ONE; </t>
        </is>
      </c>
      <c r="I1353" s="12" t="inlineStr">
        <is>
          <t>New</t>
        </is>
      </c>
      <c r="J1353" s="17" t="inlineStr">
        <is>
          <t>08 CROSSWALK</t>
        </is>
      </c>
    </row>
    <row r="1354" ht="49" customHeight="1">
      <c r="A1354" s="12" t="inlineStr">
        <is>
          <t>R1544-v1</t>
        </is>
      </c>
      <c r="B1354" s="12" t="inlineStr">
        <is>
          <t>Cost &amp; Forecast Control Accounts / CST-06-062</t>
        </is>
      </c>
      <c r="C1354" s="12" t="inlineStr">
        <is>
          <t>Cost Account = CA-6062; WBS Code = 1.6.2</t>
        </is>
      </c>
      <c r="D1354" s="12" t="inlineStr">
        <is>
          <t>Proposed by Source assignment; target 1.6.2 Program Management - Commercial &amp; Procurement</t>
        </is>
      </c>
      <c r="E1354" s="12" t="inlineStr">
        <is>
          <t>None recorded</t>
        </is>
      </c>
      <c r="F1354" s="12" t="inlineStr">
        <is>
          <t>No individual professional decision recorded; Source assignment -- not individually reviewed</t>
        </is>
      </c>
      <c r="G1354" s="12" t="inlineStr">
        <is>
          <t>Not individually decided</t>
        </is>
      </c>
      <c r="H1354" s="12" t="inlineStr">
        <is>
          <t xml:space="preserve">APPROVED / ONE_TO_ONE; </t>
        </is>
      </c>
      <c r="I1354" s="12" t="inlineStr">
        <is>
          <t>New</t>
        </is>
      </c>
      <c r="J1354" s="17" t="inlineStr">
        <is>
          <t>08 CROSSWALK</t>
        </is>
      </c>
    </row>
    <row r="1355" ht="49" customHeight="1">
      <c r="A1355" s="12" t="inlineStr">
        <is>
          <t>R1546-v1</t>
        </is>
      </c>
      <c r="B1355" s="12" t="inlineStr">
        <is>
          <t>Cost &amp; Forecast Control Accounts / CST-06-064</t>
        </is>
      </c>
      <c r="C1355" s="12" t="inlineStr">
        <is>
          <t>Cost Account = CA-6064; WBS Code = 1.6.2</t>
        </is>
      </c>
      <c r="D1355" s="12" t="inlineStr">
        <is>
          <t>Proposed by Source assignment; target 1.6.2 Program Management - Commercial &amp; Procurement</t>
        </is>
      </c>
      <c r="E1355" s="12" t="inlineStr">
        <is>
          <t>None recorded</t>
        </is>
      </c>
      <c r="F1355" s="12" t="inlineStr">
        <is>
          <t>No individual professional decision recorded; Source assignment -- not individually reviewed</t>
        </is>
      </c>
      <c r="G1355" s="12" t="inlineStr">
        <is>
          <t>Not individually decided</t>
        </is>
      </c>
      <c r="H1355" s="12" t="inlineStr">
        <is>
          <t xml:space="preserve">APPROVED / ONE_TO_ONE; </t>
        </is>
      </c>
      <c r="I1355" s="12" t="inlineStr">
        <is>
          <t>New</t>
        </is>
      </c>
      <c r="J1355" s="17" t="inlineStr">
        <is>
          <t>08 CROSSWALK</t>
        </is>
      </c>
    </row>
    <row r="1356" ht="49" customHeight="1">
      <c r="A1356" s="12" t="inlineStr">
        <is>
          <t>R1548-v1</t>
        </is>
      </c>
      <c r="B1356" s="12" t="inlineStr">
        <is>
          <t>Cost &amp; Forecast Control Accounts / CST-06-066</t>
        </is>
      </c>
      <c r="C1356" s="12" t="inlineStr">
        <is>
          <t>Cost Account = CA-6066; WBS Code = 1.6.2</t>
        </is>
      </c>
      <c r="D1356" s="12" t="inlineStr">
        <is>
          <t>Proposed by Source assignment; target 1.6.2 Program Management - Commercial &amp; Procurement</t>
        </is>
      </c>
      <c r="E1356" s="12" t="inlineStr">
        <is>
          <t>None recorded</t>
        </is>
      </c>
      <c r="F1356" s="12" t="inlineStr">
        <is>
          <t>No individual professional decision recorded; Source assignment -- not individually reviewed</t>
        </is>
      </c>
      <c r="G1356" s="12" t="inlineStr">
        <is>
          <t>Not individually decided</t>
        </is>
      </c>
      <c r="H1356" s="12" t="inlineStr">
        <is>
          <t xml:space="preserve">APPROVED / ONE_TO_ONE; </t>
        </is>
      </c>
      <c r="I1356" s="12" t="inlineStr">
        <is>
          <t>New</t>
        </is>
      </c>
      <c r="J1356" s="17" t="inlineStr">
        <is>
          <t>08 CROSSWALK</t>
        </is>
      </c>
    </row>
    <row r="1357" ht="49" customHeight="1">
      <c r="A1357" s="12" t="inlineStr">
        <is>
          <t>R1550-v1</t>
        </is>
      </c>
      <c r="B1357" s="12" t="inlineStr">
        <is>
          <t>Cost &amp; Forecast Control Accounts / CST-06-068</t>
        </is>
      </c>
      <c r="C1357" s="12" t="inlineStr">
        <is>
          <t>Cost Account = CA-6068; WBS Code = 1.6.2</t>
        </is>
      </c>
      <c r="D1357" s="12" t="inlineStr">
        <is>
          <t>Proposed by Source assignment; target 1.6.2 Program Management - Commercial &amp; Procurement</t>
        </is>
      </c>
      <c r="E1357" s="12" t="inlineStr">
        <is>
          <t>None recorded</t>
        </is>
      </c>
      <c r="F1357" s="12" t="inlineStr">
        <is>
          <t>No individual professional decision recorded; Source assignment -- not individually reviewed</t>
        </is>
      </c>
      <c r="G1357" s="12" t="inlineStr">
        <is>
          <t>Not individually decided</t>
        </is>
      </c>
      <c r="H1357" s="12" t="inlineStr">
        <is>
          <t xml:space="preserve">APPROVED / ONE_TO_ONE; </t>
        </is>
      </c>
      <c r="I1357" s="12" t="inlineStr">
        <is>
          <t>New</t>
        </is>
      </c>
      <c r="J1357" s="17" t="inlineStr">
        <is>
          <t>08 CROSSWALK</t>
        </is>
      </c>
    </row>
    <row r="1358" ht="49" customHeight="1">
      <c r="A1358" s="12" t="inlineStr">
        <is>
          <t>R1552-v1</t>
        </is>
      </c>
      <c r="B1358" s="12" t="inlineStr">
        <is>
          <t>Cost &amp; Forecast Control Accounts / CST-06-070</t>
        </is>
      </c>
      <c r="C1358" s="12" t="inlineStr">
        <is>
          <t>Cost Account = CA-6070; WBS Code = 1.6.2</t>
        </is>
      </c>
      <c r="D1358" s="12" t="inlineStr">
        <is>
          <t>Proposed by Source assignment; target 1.6.2 Program Management - Commercial &amp; Procurement</t>
        </is>
      </c>
      <c r="E1358" s="12" t="inlineStr">
        <is>
          <t>None recorded</t>
        </is>
      </c>
      <c r="F1358" s="12" t="inlineStr">
        <is>
          <t>No individual professional decision recorded; Source assignment -- not individually reviewed</t>
        </is>
      </c>
      <c r="G1358" s="12" t="inlineStr">
        <is>
          <t>Not individually decided</t>
        </is>
      </c>
      <c r="H1358" s="12" t="inlineStr">
        <is>
          <t xml:space="preserve">APPROVED / ONE_TO_ONE; </t>
        </is>
      </c>
      <c r="I1358" s="12" t="inlineStr">
        <is>
          <t>New</t>
        </is>
      </c>
      <c r="J1358" s="17" t="inlineStr">
        <is>
          <t>08 CROSSWALK</t>
        </is>
      </c>
    </row>
    <row r="1359" ht="49" customHeight="1">
      <c r="A1359" s="12" t="inlineStr">
        <is>
          <t>R1554-v1</t>
        </is>
      </c>
      <c r="B1359" s="12" t="inlineStr">
        <is>
          <t>Cost &amp; Forecast Control Accounts / CST-06-072</t>
        </is>
      </c>
      <c r="C1359" s="12" t="inlineStr">
        <is>
          <t>Cost Account = CA-6072; WBS Code = 1.6.2</t>
        </is>
      </c>
      <c r="D1359" s="12" t="inlineStr">
        <is>
          <t>Proposed by Source assignment; target 1.6.2 Program Management - Commercial &amp; Procurement</t>
        </is>
      </c>
      <c r="E1359" s="12" t="inlineStr">
        <is>
          <t>None recorded</t>
        </is>
      </c>
      <c r="F1359" s="12" t="inlineStr">
        <is>
          <t>No individual professional decision recorded; Source assignment -- not individually reviewed</t>
        </is>
      </c>
      <c r="G1359" s="12" t="inlineStr">
        <is>
          <t>Not individually decided</t>
        </is>
      </c>
      <c r="H1359" s="12" t="inlineStr">
        <is>
          <t xml:space="preserve">APPROVED / ONE_TO_ONE; </t>
        </is>
      </c>
      <c r="I1359" s="12" t="inlineStr">
        <is>
          <t>New</t>
        </is>
      </c>
      <c r="J1359" s="17" t="inlineStr">
        <is>
          <t>08 CROSSWALK</t>
        </is>
      </c>
    </row>
    <row r="1360" ht="49" customHeight="1">
      <c r="A1360" s="12" t="inlineStr">
        <is>
          <t>R1556-v1</t>
        </is>
      </c>
      <c r="B1360" s="12" t="inlineStr">
        <is>
          <t>Cost &amp; Forecast Control Accounts / CST-06-074</t>
        </is>
      </c>
      <c r="C1360" s="12" t="inlineStr">
        <is>
          <t>Cost Account = CA-6074; WBS Code = 1.6.2</t>
        </is>
      </c>
      <c r="D1360" s="12" t="inlineStr">
        <is>
          <t>Proposed by Source assignment; target 1.6.2 Program Management - Commercial &amp; Procurement</t>
        </is>
      </c>
      <c r="E1360" s="12" t="inlineStr">
        <is>
          <t>None recorded</t>
        </is>
      </c>
      <c r="F1360" s="12" t="inlineStr">
        <is>
          <t>No individual professional decision recorded; Source assignment -- not individually reviewed</t>
        </is>
      </c>
      <c r="G1360" s="12" t="inlineStr">
        <is>
          <t>Not individually decided</t>
        </is>
      </c>
      <c r="H1360" s="12" t="inlineStr">
        <is>
          <t xml:space="preserve">APPROVED / ONE_TO_ONE; </t>
        </is>
      </c>
      <c r="I1360" s="12" t="inlineStr">
        <is>
          <t>New</t>
        </is>
      </c>
      <c r="J1360" s="17" t="inlineStr">
        <is>
          <t>08 CROSSWALK</t>
        </is>
      </c>
    </row>
    <row r="1361" ht="49" customHeight="1">
      <c r="A1361" s="12" t="inlineStr">
        <is>
          <t>R1558-v1</t>
        </is>
      </c>
      <c r="B1361" s="12" t="inlineStr">
        <is>
          <t>Cost &amp; Forecast Control Accounts / CST-06-076</t>
        </is>
      </c>
      <c r="C1361" s="12" t="inlineStr">
        <is>
          <t>Cost Account = CA-6076; WBS Code = 1.6.2</t>
        </is>
      </c>
      <c r="D1361" s="12" t="inlineStr">
        <is>
          <t>Proposed by Source assignment; target 1.6.2 Program Management - Commercial &amp; Procurement</t>
        </is>
      </c>
      <c r="E1361" s="12" t="inlineStr">
        <is>
          <t>None recorded</t>
        </is>
      </c>
      <c r="F1361" s="12" t="inlineStr">
        <is>
          <t>No individual professional decision recorded; Source assignment -- not individually reviewed</t>
        </is>
      </c>
      <c r="G1361" s="12" t="inlineStr">
        <is>
          <t>Not individually decided</t>
        </is>
      </c>
      <c r="H1361" s="12" t="inlineStr">
        <is>
          <t xml:space="preserve">APPROVED / ONE_TO_ONE; </t>
        </is>
      </c>
      <c r="I1361" s="12" t="inlineStr">
        <is>
          <t>New</t>
        </is>
      </c>
      <c r="J1361" s="17" t="inlineStr">
        <is>
          <t>08 CROSSWALK</t>
        </is>
      </c>
    </row>
    <row r="1362" ht="49" customHeight="1">
      <c r="A1362" s="12" t="inlineStr">
        <is>
          <t>R1560-v1</t>
        </is>
      </c>
      <c r="B1362" s="12" t="inlineStr">
        <is>
          <t>Cost &amp; Forecast Control Accounts / CST-06-078</t>
        </is>
      </c>
      <c r="C1362" s="12" t="inlineStr">
        <is>
          <t>Cost Account = CA-6078; WBS Code = 1.6.2</t>
        </is>
      </c>
      <c r="D1362" s="12" t="inlineStr">
        <is>
          <t>Proposed by Source assignment; target 1.6.2 Program Management - Commercial &amp; Procurement</t>
        </is>
      </c>
      <c r="E1362" s="12" t="inlineStr">
        <is>
          <t>None recorded</t>
        </is>
      </c>
      <c r="F1362" s="12" t="inlineStr">
        <is>
          <t>No individual professional decision recorded; Source assignment -- not individually reviewed</t>
        </is>
      </c>
      <c r="G1362" s="12" t="inlineStr">
        <is>
          <t>Not individually decided</t>
        </is>
      </c>
      <c r="H1362" s="12" t="inlineStr">
        <is>
          <t xml:space="preserve">APPROVED / ONE_TO_ONE; </t>
        </is>
      </c>
      <c r="I1362" s="12" t="inlineStr">
        <is>
          <t>New</t>
        </is>
      </c>
      <c r="J1362" s="17" t="inlineStr">
        <is>
          <t>08 CROSSWALK</t>
        </is>
      </c>
    </row>
    <row r="1363" ht="49" customHeight="1">
      <c r="A1363" s="12" t="inlineStr">
        <is>
          <t>R1562-v1</t>
        </is>
      </c>
      <c r="B1363" s="12" t="inlineStr">
        <is>
          <t>Cost &amp; Forecast Control Accounts / CST-06-080</t>
        </is>
      </c>
      <c r="C1363" s="12" t="inlineStr">
        <is>
          <t>Cost Account = CA-6080; WBS Code = 1.6.2</t>
        </is>
      </c>
      <c r="D1363" s="12" t="inlineStr">
        <is>
          <t>Proposed by Source assignment; target 1.6.2 Program Management - Commercial &amp; Procurement</t>
        </is>
      </c>
      <c r="E1363" s="12" t="inlineStr">
        <is>
          <t>None recorded</t>
        </is>
      </c>
      <c r="F1363" s="12" t="inlineStr">
        <is>
          <t>No individual professional decision recorded; Source assignment -- not individually reviewed</t>
        </is>
      </c>
      <c r="G1363" s="12" t="inlineStr">
        <is>
          <t>Not individually decided</t>
        </is>
      </c>
      <c r="H1363" s="12" t="inlineStr">
        <is>
          <t xml:space="preserve">APPROVED / ONE_TO_ONE; </t>
        </is>
      </c>
      <c r="I1363" s="12" t="inlineStr">
        <is>
          <t>New</t>
        </is>
      </c>
      <c r="J1363" s="17" t="inlineStr">
        <is>
          <t>08 CROSSWALK</t>
        </is>
      </c>
    </row>
    <row r="1364" ht="94" customHeight="1">
      <c r="A1364" s="12" t="inlineStr">
        <is>
          <t>R1081-v2</t>
        </is>
      </c>
      <c r="B1364" s="12" t="inlineStr">
        <is>
          <t>Contractor Programme / SCH-90-901</t>
        </is>
      </c>
      <c r="C1364" s="12" t="inlineStr">
        <is>
          <t>WBS Code = 2.1</t>
        </is>
      </c>
      <c r="D1364" s="12" t="inlineStr">
        <is>
          <t>Proposed by Professional; target NEW_SCOPE</t>
        </is>
      </c>
      <c r="E1364" s="12" t="inlineStr">
        <is>
          <t>Source states 'WBS Code' = '2.1' -- names no element of this WBS -- professional reason (Maya Chen, Owner Project Controls): Source states a project-delivery code outside the currently approved Owner WBS.</t>
        </is>
      </c>
      <c r="F1364" s="12" t="inlineStr">
        <is>
          <t>Maya Chen, Owner Project Controls: Professional decision</t>
        </is>
      </c>
      <c r="G1364" s="12" t="inlineStr">
        <is>
          <t>Individual</t>
        </is>
      </c>
      <c r="H1364" s="12" t="inlineStr">
        <is>
          <t xml:space="preserve">APPROVED / NEW_SCOPE; </t>
        </is>
      </c>
      <c r="I1364" s="12" t="inlineStr">
        <is>
          <t>New</t>
        </is>
      </c>
      <c r="J1364" s="17" t="inlineStr">
        <is>
          <t>08 CROSSWALK</t>
        </is>
      </c>
    </row>
    <row r="1365" ht="34" customHeight="1">
      <c r="A1365" s="12" t="inlineStr">
        <is>
          <t>R1082-v2</t>
        </is>
      </c>
      <c r="B1365" s="12" t="inlineStr">
        <is>
          <t>Contractor Programme / SCH-90-902</t>
        </is>
      </c>
      <c r="C1365" s="12" t="inlineStr">
        <is>
          <t>No explicit source assertion recorded</t>
        </is>
      </c>
      <c r="D1365" s="12" t="inlineStr">
        <is>
          <t>Proposed by Professional; target NO_WBS</t>
        </is>
      </c>
      <c r="E1365" s="12" t="inlineStr">
        <is>
          <t>None recorded</t>
        </is>
      </c>
      <c r="F1365" s="12" t="inlineStr">
        <is>
          <t>Maya Chen, Owner Project Controls: Professional decision</t>
        </is>
      </c>
      <c r="G1365" s="12" t="inlineStr">
        <is>
          <t>Individual</t>
        </is>
      </c>
      <c r="H1365" s="12" t="inlineStr">
        <is>
          <t xml:space="preserve">APPROVED / NO_WBS; </t>
        </is>
      </c>
      <c r="I1365" s="12" t="inlineStr">
        <is>
          <t>New</t>
        </is>
      </c>
      <c r="J1365" s="17" t="inlineStr">
        <is>
          <t>08 CROSSWALK</t>
        </is>
      </c>
    </row>
    <row r="1366" ht="49" customHeight="1">
      <c r="A1366" s="12" t="inlineStr">
        <is>
          <t>R183-v2</t>
        </is>
      </c>
      <c r="B1366" s="12" t="inlineStr">
        <is>
          <t>Contractor Programme / SCH-02-003</t>
        </is>
      </c>
      <c r="C1366" s="12" t="inlineStr">
        <is>
          <t>No explicit source assertion recorded</t>
        </is>
      </c>
      <c r="D1366" s="12" t="inlineStr">
        <is>
          <t>Proposed by Professional; target UNSURE</t>
        </is>
      </c>
      <c r="E1366" s="12" t="inlineStr">
        <is>
          <t>None recorded</t>
        </is>
      </c>
      <c r="F1366" s="12" t="inlineStr">
        <is>
          <t>Maya Chen, Owner Project Controls: Professional decision</t>
        </is>
      </c>
      <c r="G1366" s="12" t="inlineStr">
        <is>
          <t>Group decision (182 records sharing one decision state)</t>
        </is>
      </c>
      <c r="H1366" s="12" t="inlineStr">
        <is>
          <t xml:space="preserve">APPROVED / UNSURE; </t>
        </is>
      </c>
      <c r="I1366" s="12" t="inlineStr">
        <is>
          <t>New</t>
        </is>
      </c>
      <c r="J1366" s="17" t="inlineStr">
        <is>
          <t>08 CROSSWALK</t>
        </is>
      </c>
    </row>
    <row r="1367" ht="49" customHeight="1">
      <c r="A1367" s="12" t="inlineStr">
        <is>
          <t>R543-v2</t>
        </is>
      </c>
      <c r="B1367" s="12" t="inlineStr">
        <is>
          <t>Contractor Programme / SCH-04-003</t>
        </is>
      </c>
      <c r="C1367" s="12" t="inlineStr">
        <is>
          <t>No explicit source assertion recorded</t>
        </is>
      </c>
      <c r="D1367" s="12" t="inlineStr">
        <is>
          <t>Proposed by Professional; target UNSURE</t>
        </is>
      </c>
      <c r="E1367" s="12" t="inlineStr">
        <is>
          <t>None recorded</t>
        </is>
      </c>
      <c r="F1367" s="12" t="inlineStr">
        <is>
          <t>Maya Chen, Owner Project Controls: Professional decision</t>
        </is>
      </c>
      <c r="G1367" s="12" t="inlineStr">
        <is>
          <t>Group decision (182 records sharing one decision state)</t>
        </is>
      </c>
      <c r="H1367" s="12" t="inlineStr">
        <is>
          <t xml:space="preserve">APPROVED / UNSURE; </t>
        </is>
      </c>
      <c r="I1367" s="12" t="inlineStr">
        <is>
          <t>New</t>
        </is>
      </c>
      <c r="J1367" s="17" t="inlineStr">
        <is>
          <t>08 CROSSWALK</t>
        </is>
      </c>
    </row>
    <row r="1368" ht="49" customHeight="1">
      <c r="A1368" s="12" t="inlineStr">
        <is>
          <t>R901-v2</t>
        </is>
      </c>
      <c r="B1368" s="12" t="inlineStr">
        <is>
          <t>Contractor Programme / SCH-06-001</t>
        </is>
      </c>
      <c r="C1368" s="12" t="inlineStr">
        <is>
          <t>No explicit source assertion recorded</t>
        </is>
      </c>
      <c r="D1368" s="12" t="inlineStr">
        <is>
          <t>Proposed by Professional; target UNSURE</t>
        </is>
      </c>
      <c r="E1368" s="12" t="inlineStr">
        <is>
          <t>None recorded</t>
        </is>
      </c>
      <c r="F1368" s="12" t="inlineStr">
        <is>
          <t>Maya Chen, Owner Project Controls: Professional decision</t>
        </is>
      </c>
      <c r="G1368" s="12" t="inlineStr">
        <is>
          <t>Group decision (182 records sharing one decision state)</t>
        </is>
      </c>
      <c r="H1368" s="12" t="inlineStr">
        <is>
          <t xml:space="preserve">APPROVED / UNSURE; </t>
        </is>
      </c>
      <c r="I1368" s="12" t="inlineStr">
        <is>
          <t>New</t>
        </is>
      </c>
      <c r="J1368" s="17" t="inlineStr">
        <is>
          <t>08 CROSSWALK</t>
        </is>
      </c>
    </row>
    <row r="1369" ht="49" customHeight="1">
      <c r="A1369" s="12" t="inlineStr">
        <is>
          <t>R902-v2</t>
        </is>
      </c>
      <c r="B1369" s="12" t="inlineStr">
        <is>
          <t>Contractor Programme / SCH-06-002</t>
        </is>
      </c>
      <c r="C1369" s="12" t="inlineStr">
        <is>
          <t>No explicit source assertion recorded</t>
        </is>
      </c>
      <c r="D1369" s="12" t="inlineStr">
        <is>
          <t>Proposed by Professional; target UNSURE</t>
        </is>
      </c>
      <c r="E1369" s="12" t="inlineStr">
        <is>
          <t>None recorded</t>
        </is>
      </c>
      <c r="F1369" s="12" t="inlineStr">
        <is>
          <t>Maya Chen, Owner Project Controls: Professional decision</t>
        </is>
      </c>
      <c r="G1369" s="12" t="inlineStr">
        <is>
          <t>Group decision (182 records sharing one decision state)</t>
        </is>
      </c>
      <c r="H1369" s="12" t="inlineStr">
        <is>
          <t xml:space="preserve">APPROVED / UNSURE; </t>
        </is>
      </c>
      <c r="I1369" s="12" t="inlineStr">
        <is>
          <t>New</t>
        </is>
      </c>
      <c r="J1369" s="17" t="inlineStr">
        <is>
          <t>08 CROSSWALK</t>
        </is>
      </c>
    </row>
    <row r="1370" ht="49" customHeight="1">
      <c r="A1370" s="12" t="inlineStr">
        <is>
          <t>R903-v2</t>
        </is>
      </c>
      <c r="B1370" s="12" t="inlineStr">
        <is>
          <t>Contractor Programme / SCH-06-003</t>
        </is>
      </c>
      <c r="C1370" s="12" t="inlineStr">
        <is>
          <t>No explicit source assertion recorded</t>
        </is>
      </c>
      <c r="D1370" s="12" t="inlineStr">
        <is>
          <t>Proposed by Professional; target UNSURE</t>
        </is>
      </c>
      <c r="E1370" s="12" t="inlineStr">
        <is>
          <t>None recorded</t>
        </is>
      </c>
      <c r="F1370" s="12" t="inlineStr">
        <is>
          <t>Maya Chen, Owner Project Controls: Professional decision</t>
        </is>
      </c>
      <c r="G1370" s="12" t="inlineStr">
        <is>
          <t>Group decision (182 records sharing one decision state)</t>
        </is>
      </c>
      <c r="H1370" s="12" t="inlineStr">
        <is>
          <t xml:space="preserve">APPROVED / UNSURE; </t>
        </is>
      </c>
      <c r="I1370" s="12" t="inlineStr">
        <is>
          <t>New</t>
        </is>
      </c>
      <c r="J1370" s="17" t="inlineStr">
        <is>
          <t>08 CROSSWALK</t>
        </is>
      </c>
    </row>
    <row r="1371" ht="49" customHeight="1">
      <c r="A1371" s="12" t="inlineStr">
        <is>
          <t>R904-v2</t>
        </is>
      </c>
      <c r="B1371" s="12" t="inlineStr">
        <is>
          <t>Contractor Programme / SCH-06-004</t>
        </is>
      </c>
      <c r="C1371" s="12" t="inlineStr">
        <is>
          <t>No explicit source assertion recorded</t>
        </is>
      </c>
      <c r="D1371" s="12" t="inlineStr">
        <is>
          <t>Proposed by Professional; target UNSURE</t>
        </is>
      </c>
      <c r="E1371" s="12" t="inlineStr">
        <is>
          <t>None recorded</t>
        </is>
      </c>
      <c r="F1371" s="12" t="inlineStr">
        <is>
          <t>Maya Chen, Owner Project Controls: Professional decision</t>
        </is>
      </c>
      <c r="G1371" s="12" t="inlineStr">
        <is>
          <t>Group decision (182 records sharing one decision state)</t>
        </is>
      </c>
      <c r="H1371" s="12" t="inlineStr">
        <is>
          <t xml:space="preserve">APPROVED / UNSURE; </t>
        </is>
      </c>
      <c r="I1371" s="12" t="inlineStr">
        <is>
          <t>New</t>
        </is>
      </c>
      <c r="J1371" s="17" t="inlineStr">
        <is>
          <t>08 CROSSWALK</t>
        </is>
      </c>
    </row>
    <row r="1372" ht="49" customHeight="1">
      <c r="A1372" s="12" t="inlineStr">
        <is>
          <t>R905-v2</t>
        </is>
      </c>
      <c r="B1372" s="12" t="inlineStr">
        <is>
          <t>Contractor Programme / SCH-06-005</t>
        </is>
      </c>
      <c r="C1372" s="12" t="inlineStr">
        <is>
          <t>No explicit source assertion recorded</t>
        </is>
      </c>
      <c r="D1372" s="12" t="inlineStr">
        <is>
          <t>Proposed by Professional; target UNSURE</t>
        </is>
      </c>
      <c r="E1372" s="12" t="inlineStr">
        <is>
          <t>None recorded</t>
        </is>
      </c>
      <c r="F1372" s="12" t="inlineStr">
        <is>
          <t>Maya Chen, Owner Project Controls: Professional decision</t>
        </is>
      </c>
      <c r="G1372" s="12" t="inlineStr">
        <is>
          <t>Group decision (182 records sharing one decision state)</t>
        </is>
      </c>
      <c r="H1372" s="12" t="inlineStr">
        <is>
          <t xml:space="preserve">APPROVED / UNSURE; </t>
        </is>
      </c>
      <c r="I1372" s="12" t="inlineStr">
        <is>
          <t>New</t>
        </is>
      </c>
      <c r="J1372" s="17" t="inlineStr">
        <is>
          <t>08 CROSSWALK</t>
        </is>
      </c>
    </row>
    <row r="1373" ht="49" customHeight="1">
      <c r="A1373" s="12" t="inlineStr">
        <is>
          <t>R906-v2</t>
        </is>
      </c>
      <c r="B1373" s="12" t="inlineStr">
        <is>
          <t>Contractor Programme / SCH-06-006</t>
        </is>
      </c>
      <c r="C1373" s="12" t="inlineStr">
        <is>
          <t>No explicit source assertion recorded</t>
        </is>
      </c>
      <c r="D1373" s="12" t="inlineStr">
        <is>
          <t>Proposed by Professional; target UNSURE</t>
        </is>
      </c>
      <c r="E1373" s="12" t="inlineStr">
        <is>
          <t>None recorded</t>
        </is>
      </c>
      <c r="F1373" s="12" t="inlineStr">
        <is>
          <t>Maya Chen, Owner Project Controls: Professional decision</t>
        </is>
      </c>
      <c r="G1373" s="12" t="inlineStr">
        <is>
          <t>Group decision (182 records sharing one decision state)</t>
        </is>
      </c>
      <c r="H1373" s="12" t="inlineStr">
        <is>
          <t xml:space="preserve">APPROVED / UNSURE; </t>
        </is>
      </c>
      <c r="I1373" s="12" t="inlineStr">
        <is>
          <t>New</t>
        </is>
      </c>
      <c r="J1373" s="17" t="inlineStr">
        <is>
          <t>08 CROSSWALK</t>
        </is>
      </c>
    </row>
    <row r="1374" ht="49" customHeight="1">
      <c r="A1374" s="12" t="inlineStr">
        <is>
          <t>R907-v2</t>
        </is>
      </c>
      <c r="B1374" s="12" t="inlineStr">
        <is>
          <t>Contractor Programme / SCH-06-007</t>
        </is>
      </c>
      <c r="C1374" s="12" t="inlineStr">
        <is>
          <t>No explicit source assertion recorded</t>
        </is>
      </c>
      <c r="D1374" s="12" t="inlineStr">
        <is>
          <t>Proposed by Professional; target UNSURE</t>
        </is>
      </c>
      <c r="E1374" s="12" t="inlineStr">
        <is>
          <t>None recorded</t>
        </is>
      </c>
      <c r="F1374" s="12" t="inlineStr">
        <is>
          <t>Maya Chen, Owner Project Controls: Professional decision</t>
        </is>
      </c>
      <c r="G1374" s="12" t="inlineStr">
        <is>
          <t>Group decision (182 records sharing one decision state)</t>
        </is>
      </c>
      <c r="H1374" s="12" t="inlineStr">
        <is>
          <t xml:space="preserve">APPROVED / UNSURE; </t>
        </is>
      </c>
      <c r="I1374" s="12" t="inlineStr">
        <is>
          <t>New</t>
        </is>
      </c>
      <c r="J1374" s="17" t="inlineStr">
        <is>
          <t>08 CROSSWALK</t>
        </is>
      </c>
    </row>
    <row r="1375" ht="49" customHeight="1">
      <c r="A1375" s="12" t="inlineStr">
        <is>
          <t>R908-v2</t>
        </is>
      </c>
      <c r="B1375" s="12" t="inlineStr">
        <is>
          <t>Contractor Programme / SCH-06-008</t>
        </is>
      </c>
      <c r="C1375" s="12" t="inlineStr">
        <is>
          <t>No explicit source assertion recorded</t>
        </is>
      </c>
      <c r="D1375" s="12" t="inlineStr">
        <is>
          <t>Proposed by Professional; target UNSURE</t>
        </is>
      </c>
      <c r="E1375" s="12" t="inlineStr">
        <is>
          <t>None recorded</t>
        </is>
      </c>
      <c r="F1375" s="12" t="inlineStr">
        <is>
          <t>Maya Chen, Owner Project Controls: Professional decision</t>
        </is>
      </c>
      <c r="G1375" s="12" t="inlineStr">
        <is>
          <t>Group decision (182 records sharing one decision state)</t>
        </is>
      </c>
      <c r="H1375" s="12" t="inlineStr">
        <is>
          <t xml:space="preserve">APPROVED / UNSURE; </t>
        </is>
      </c>
      <c r="I1375" s="12" t="inlineStr">
        <is>
          <t>New</t>
        </is>
      </c>
      <c r="J1375" s="17" t="inlineStr">
        <is>
          <t>08 CROSSWALK</t>
        </is>
      </c>
    </row>
    <row r="1376" ht="49" customHeight="1">
      <c r="A1376" s="12" t="inlineStr">
        <is>
          <t>R909-v2</t>
        </is>
      </c>
      <c r="B1376" s="12" t="inlineStr">
        <is>
          <t>Contractor Programme / SCH-06-009</t>
        </is>
      </c>
      <c r="C1376" s="12" t="inlineStr">
        <is>
          <t>No explicit source assertion recorded</t>
        </is>
      </c>
      <c r="D1376" s="12" t="inlineStr">
        <is>
          <t>Proposed by Professional; target UNSURE</t>
        </is>
      </c>
      <c r="E1376" s="12" t="inlineStr">
        <is>
          <t>None recorded</t>
        </is>
      </c>
      <c r="F1376" s="12" t="inlineStr">
        <is>
          <t>Maya Chen, Owner Project Controls: Professional decision</t>
        </is>
      </c>
      <c r="G1376" s="12" t="inlineStr">
        <is>
          <t>Group decision (182 records sharing one decision state)</t>
        </is>
      </c>
      <c r="H1376" s="12" t="inlineStr">
        <is>
          <t xml:space="preserve">APPROVED / UNSURE; </t>
        </is>
      </c>
      <c r="I1376" s="12" t="inlineStr">
        <is>
          <t>New</t>
        </is>
      </c>
      <c r="J1376" s="17" t="inlineStr">
        <is>
          <t>08 CROSSWALK</t>
        </is>
      </c>
    </row>
    <row r="1377" ht="49" customHeight="1">
      <c r="A1377" s="12" t="inlineStr">
        <is>
          <t>R910-v2</t>
        </is>
      </c>
      <c r="B1377" s="12" t="inlineStr">
        <is>
          <t>Contractor Programme / SCH-06-010</t>
        </is>
      </c>
      <c r="C1377" s="12" t="inlineStr">
        <is>
          <t>No explicit source assertion recorded</t>
        </is>
      </c>
      <c r="D1377" s="12" t="inlineStr">
        <is>
          <t>Proposed by Professional; target UNSURE</t>
        </is>
      </c>
      <c r="E1377" s="12" t="inlineStr">
        <is>
          <t>None recorded</t>
        </is>
      </c>
      <c r="F1377" s="12" t="inlineStr">
        <is>
          <t>Maya Chen, Owner Project Controls: Professional decision</t>
        </is>
      </c>
      <c r="G1377" s="12" t="inlineStr">
        <is>
          <t>Group decision (182 records sharing one decision state)</t>
        </is>
      </c>
      <c r="H1377" s="12" t="inlineStr">
        <is>
          <t xml:space="preserve">APPROVED / UNSURE; </t>
        </is>
      </c>
      <c r="I1377" s="12" t="inlineStr">
        <is>
          <t>New</t>
        </is>
      </c>
      <c r="J1377" s="17" t="inlineStr">
        <is>
          <t>08 CROSSWALK</t>
        </is>
      </c>
    </row>
    <row r="1378" ht="49" customHeight="1">
      <c r="A1378" s="12" t="inlineStr">
        <is>
          <t>R911-v2</t>
        </is>
      </c>
      <c r="B1378" s="12" t="inlineStr">
        <is>
          <t>Contractor Programme / SCH-06-011</t>
        </is>
      </c>
      <c r="C1378" s="12" t="inlineStr">
        <is>
          <t>No explicit source assertion recorded</t>
        </is>
      </c>
      <c r="D1378" s="12" t="inlineStr">
        <is>
          <t>Proposed by Professional; target UNSURE</t>
        </is>
      </c>
      <c r="E1378" s="12" t="inlineStr">
        <is>
          <t>None recorded</t>
        </is>
      </c>
      <c r="F1378" s="12" t="inlineStr">
        <is>
          <t>Maya Chen, Owner Project Controls: Professional decision</t>
        </is>
      </c>
      <c r="G1378" s="12" t="inlineStr">
        <is>
          <t>Group decision (182 records sharing one decision state)</t>
        </is>
      </c>
      <c r="H1378" s="12" t="inlineStr">
        <is>
          <t xml:space="preserve">APPROVED / UNSURE; </t>
        </is>
      </c>
      <c r="I1378" s="12" t="inlineStr">
        <is>
          <t>New</t>
        </is>
      </c>
      <c r="J1378" s="17" t="inlineStr">
        <is>
          <t>08 CROSSWALK</t>
        </is>
      </c>
    </row>
    <row r="1379" ht="49" customHeight="1">
      <c r="A1379" s="12" t="inlineStr">
        <is>
          <t>R912-v2</t>
        </is>
      </c>
      <c r="B1379" s="12" t="inlineStr">
        <is>
          <t>Contractor Programme / SCH-06-012</t>
        </is>
      </c>
      <c r="C1379" s="12" t="inlineStr">
        <is>
          <t>No explicit source assertion recorded</t>
        </is>
      </c>
      <c r="D1379" s="12" t="inlineStr">
        <is>
          <t>Proposed by Professional; target UNSURE</t>
        </is>
      </c>
      <c r="E1379" s="12" t="inlineStr">
        <is>
          <t>None recorded</t>
        </is>
      </c>
      <c r="F1379" s="12" t="inlineStr">
        <is>
          <t>Maya Chen, Owner Project Controls: Professional decision</t>
        </is>
      </c>
      <c r="G1379" s="12" t="inlineStr">
        <is>
          <t>Group decision (182 records sharing one decision state)</t>
        </is>
      </c>
      <c r="H1379" s="12" t="inlineStr">
        <is>
          <t xml:space="preserve">APPROVED / UNSURE; </t>
        </is>
      </c>
      <c r="I1379" s="12" t="inlineStr">
        <is>
          <t>New</t>
        </is>
      </c>
      <c r="J1379" s="17" t="inlineStr">
        <is>
          <t>08 CROSSWALK</t>
        </is>
      </c>
    </row>
    <row r="1380" ht="49" customHeight="1">
      <c r="A1380" s="12" t="inlineStr">
        <is>
          <t>R913-v2</t>
        </is>
      </c>
      <c r="B1380" s="12" t="inlineStr">
        <is>
          <t>Contractor Programme / SCH-06-013</t>
        </is>
      </c>
      <c r="C1380" s="12" t="inlineStr">
        <is>
          <t>No explicit source assertion recorded</t>
        </is>
      </c>
      <c r="D1380" s="12" t="inlineStr">
        <is>
          <t>Proposed by Professional; target UNSURE</t>
        </is>
      </c>
      <c r="E1380" s="12" t="inlineStr">
        <is>
          <t>None recorded</t>
        </is>
      </c>
      <c r="F1380" s="12" t="inlineStr">
        <is>
          <t>Maya Chen, Owner Project Controls: Professional decision</t>
        </is>
      </c>
      <c r="G1380" s="12" t="inlineStr">
        <is>
          <t>Group decision (182 records sharing one decision state)</t>
        </is>
      </c>
      <c r="H1380" s="12" t="inlineStr">
        <is>
          <t xml:space="preserve">APPROVED / UNSURE; </t>
        </is>
      </c>
      <c r="I1380" s="12" t="inlineStr">
        <is>
          <t>New</t>
        </is>
      </c>
      <c r="J1380" s="17" t="inlineStr">
        <is>
          <t>08 CROSSWALK</t>
        </is>
      </c>
    </row>
    <row r="1381" ht="49" customHeight="1">
      <c r="A1381" s="12" t="inlineStr">
        <is>
          <t>R914-v2</t>
        </is>
      </c>
      <c r="B1381" s="12" t="inlineStr">
        <is>
          <t>Contractor Programme / SCH-06-014</t>
        </is>
      </c>
      <c r="C1381" s="12" t="inlineStr">
        <is>
          <t>No explicit source assertion recorded</t>
        </is>
      </c>
      <c r="D1381" s="12" t="inlineStr">
        <is>
          <t>Proposed by Professional; target UNSURE</t>
        </is>
      </c>
      <c r="E1381" s="12" t="inlineStr">
        <is>
          <t>None recorded</t>
        </is>
      </c>
      <c r="F1381" s="12" t="inlineStr">
        <is>
          <t>Maya Chen, Owner Project Controls: Professional decision</t>
        </is>
      </c>
      <c r="G1381" s="12" t="inlineStr">
        <is>
          <t>Group decision (182 records sharing one decision state)</t>
        </is>
      </c>
      <c r="H1381" s="12" t="inlineStr">
        <is>
          <t xml:space="preserve">APPROVED / UNSURE; </t>
        </is>
      </c>
      <c r="I1381" s="12" t="inlineStr">
        <is>
          <t>New</t>
        </is>
      </c>
      <c r="J1381" s="17" t="inlineStr">
        <is>
          <t>08 CROSSWALK</t>
        </is>
      </c>
    </row>
    <row r="1382" ht="49" customHeight="1">
      <c r="A1382" s="12" t="inlineStr">
        <is>
          <t>R915-v2</t>
        </is>
      </c>
      <c r="B1382" s="12" t="inlineStr">
        <is>
          <t>Contractor Programme / SCH-06-015</t>
        </is>
      </c>
      <c r="C1382" s="12" t="inlineStr">
        <is>
          <t>No explicit source assertion recorded</t>
        </is>
      </c>
      <c r="D1382" s="12" t="inlineStr">
        <is>
          <t>Proposed by Professional; target UNSURE</t>
        </is>
      </c>
      <c r="E1382" s="12" t="inlineStr">
        <is>
          <t>None recorded</t>
        </is>
      </c>
      <c r="F1382" s="12" t="inlineStr">
        <is>
          <t>Maya Chen, Owner Project Controls: Professional decision</t>
        </is>
      </c>
      <c r="G1382" s="12" t="inlineStr">
        <is>
          <t>Group decision (182 records sharing one decision state)</t>
        </is>
      </c>
      <c r="H1382" s="12" t="inlineStr">
        <is>
          <t xml:space="preserve">APPROVED / UNSURE; </t>
        </is>
      </c>
      <c r="I1382" s="12" t="inlineStr">
        <is>
          <t>New</t>
        </is>
      </c>
      <c r="J1382" s="17" t="inlineStr">
        <is>
          <t>08 CROSSWALK</t>
        </is>
      </c>
    </row>
    <row r="1383" ht="49" customHeight="1">
      <c r="A1383" s="12" t="inlineStr">
        <is>
          <t>R916-v2</t>
        </is>
      </c>
      <c r="B1383" s="12" t="inlineStr">
        <is>
          <t>Contractor Programme / SCH-06-016</t>
        </is>
      </c>
      <c r="C1383" s="12" t="inlineStr">
        <is>
          <t>No explicit source assertion recorded</t>
        </is>
      </c>
      <c r="D1383" s="12" t="inlineStr">
        <is>
          <t>Proposed by Professional; target UNSURE</t>
        </is>
      </c>
      <c r="E1383" s="12" t="inlineStr">
        <is>
          <t>None recorded</t>
        </is>
      </c>
      <c r="F1383" s="12" t="inlineStr">
        <is>
          <t>Maya Chen, Owner Project Controls: Professional decision</t>
        </is>
      </c>
      <c r="G1383" s="12" t="inlineStr">
        <is>
          <t>Group decision (182 records sharing one decision state)</t>
        </is>
      </c>
      <c r="H1383" s="12" t="inlineStr">
        <is>
          <t xml:space="preserve">APPROVED / UNSURE; </t>
        </is>
      </c>
      <c r="I1383" s="12" t="inlineStr">
        <is>
          <t>New</t>
        </is>
      </c>
      <c r="J1383" s="17" t="inlineStr">
        <is>
          <t>08 CROSSWALK</t>
        </is>
      </c>
    </row>
    <row r="1384" ht="49" customHeight="1">
      <c r="A1384" s="12" t="inlineStr">
        <is>
          <t>R917-v2</t>
        </is>
      </c>
      <c r="B1384" s="12" t="inlineStr">
        <is>
          <t>Contractor Programme / SCH-06-017</t>
        </is>
      </c>
      <c r="C1384" s="12" t="inlineStr">
        <is>
          <t>No explicit source assertion recorded</t>
        </is>
      </c>
      <c r="D1384" s="12" t="inlineStr">
        <is>
          <t>Proposed by Professional; target UNSURE</t>
        </is>
      </c>
      <c r="E1384" s="12" t="inlineStr">
        <is>
          <t>None recorded</t>
        </is>
      </c>
      <c r="F1384" s="12" t="inlineStr">
        <is>
          <t>Maya Chen, Owner Project Controls: Professional decision</t>
        </is>
      </c>
      <c r="G1384" s="12" t="inlineStr">
        <is>
          <t>Group decision (182 records sharing one decision state)</t>
        </is>
      </c>
      <c r="H1384" s="12" t="inlineStr">
        <is>
          <t xml:space="preserve">APPROVED / UNSURE; </t>
        </is>
      </c>
      <c r="I1384" s="12" t="inlineStr">
        <is>
          <t>New</t>
        </is>
      </c>
      <c r="J1384" s="17" t="inlineStr">
        <is>
          <t>08 CROSSWALK</t>
        </is>
      </c>
    </row>
    <row r="1385" ht="49" customHeight="1">
      <c r="A1385" s="12" t="inlineStr">
        <is>
          <t>R918-v2</t>
        </is>
      </c>
      <c r="B1385" s="12" t="inlineStr">
        <is>
          <t>Contractor Programme / SCH-06-018</t>
        </is>
      </c>
      <c r="C1385" s="12" t="inlineStr">
        <is>
          <t>No explicit source assertion recorded</t>
        </is>
      </c>
      <c r="D1385" s="12" t="inlineStr">
        <is>
          <t>Proposed by Professional; target UNSURE</t>
        </is>
      </c>
      <c r="E1385" s="12" t="inlineStr">
        <is>
          <t>None recorded</t>
        </is>
      </c>
      <c r="F1385" s="12" t="inlineStr">
        <is>
          <t>Maya Chen, Owner Project Controls: Professional decision</t>
        </is>
      </c>
      <c r="G1385" s="12" t="inlineStr">
        <is>
          <t>Group decision (182 records sharing one decision state)</t>
        </is>
      </c>
      <c r="H1385" s="12" t="inlineStr">
        <is>
          <t xml:space="preserve">APPROVED / UNSURE; </t>
        </is>
      </c>
      <c r="I1385" s="12" t="inlineStr">
        <is>
          <t>New</t>
        </is>
      </c>
      <c r="J1385" s="17" t="inlineStr">
        <is>
          <t>08 CROSSWALK</t>
        </is>
      </c>
    </row>
    <row r="1386" ht="49" customHeight="1">
      <c r="A1386" s="12" t="inlineStr">
        <is>
          <t>R919-v2</t>
        </is>
      </c>
      <c r="B1386" s="12" t="inlineStr">
        <is>
          <t>Contractor Programme / SCH-06-019</t>
        </is>
      </c>
      <c r="C1386" s="12" t="inlineStr">
        <is>
          <t>No explicit source assertion recorded</t>
        </is>
      </c>
      <c r="D1386" s="12" t="inlineStr">
        <is>
          <t>Proposed by Professional; target UNSURE</t>
        </is>
      </c>
      <c r="E1386" s="12" t="inlineStr">
        <is>
          <t>None recorded</t>
        </is>
      </c>
      <c r="F1386" s="12" t="inlineStr">
        <is>
          <t>Maya Chen, Owner Project Controls: Professional decision</t>
        </is>
      </c>
      <c r="G1386" s="12" t="inlineStr">
        <is>
          <t>Group decision (182 records sharing one decision state)</t>
        </is>
      </c>
      <c r="H1386" s="12" t="inlineStr">
        <is>
          <t xml:space="preserve">APPROVED / UNSURE; </t>
        </is>
      </c>
      <c r="I1386" s="12" t="inlineStr">
        <is>
          <t>New</t>
        </is>
      </c>
      <c r="J1386" s="17" t="inlineStr">
        <is>
          <t>08 CROSSWALK</t>
        </is>
      </c>
    </row>
    <row r="1387" ht="49" customHeight="1">
      <c r="A1387" s="12" t="inlineStr">
        <is>
          <t>R920-v2</t>
        </is>
      </c>
      <c r="B1387" s="12" t="inlineStr">
        <is>
          <t>Contractor Programme / SCH-06-020</t>
        </is>
      </c>
      <c r="C1387" s="12" t="inlineStr">
        <is>
          <t>No explicit source assertion recorded</t>
        </is>
      </c>
      <c r="D1387" s="12" t="inlineStr">
        <is>
          <t>Proposed by Professional; target UNSURE</t>
        </is>
      </c>
      <c r="E1387" s="12" t="inlineStr">
        <is>
          <t>None recorded</t>
        </is>
      </c>
      <c r="F1387" s="12" t="inlineStr">
        <is>
          <t>Maya Chen, Owner Project Controls: Professional decision</t>
        </is>
      </c>
      <c r="G1387" s="12" t="inlineStr">
        <is>
          <t>Group decision (182 records sharing one decision state)</t>
        </is>
      </c>
      <c r="H1387" s="12" t="inlineStr">
        <is>
          <t xml:space="preserve">APPROVED / UNSURE; </t>
        </is>
      </c>
      <c r="I1387" s="12" t="inlineStr">
        <is>
          <t>New</t>
        </is>
      </c>
      <c r="J1387" s="17" t="inlineStr">
        <is>
          <t>08 CROSSWALK</t>
        </is>
      </c>
    </row>
    <row r="1388" ht="49" customHeight="1">
      <c r="A1388" s="12" t="inlineStr">
        <is>
          <t>R921-v2</t>
        </is>
      </c>
      <c r="B1388" s="12" t="inlineStr">
        <is>
          <t>Contractor Programme / SCH-06-021</t>
        </is>
      </c>
      <c r="C1388" s="12" t="inlineStr">
        <is>
          <t>No explicit source assertion recorded</t>
        </is>
      </c>
      <c r="D1388" s="12" t="inlineStr">
        <is>
          <t>Proposed by Professional; target UNSURE</t>
        </is>
      </c>
      <c r="E1388" s="12" t="inlineStr">
        <is>
          <t>None recorded</t>
        </is>
      </c>
      <c r="F1388" s="12" t="inlineStr">
        <is>
          <t>Maya Chen, Owner Project Controls: Professional decision</t>
        </is>
      </c>
      <c r="G1388" s="12" t="inlineStr">
        <is>
          <t>Group decision (182 records sharing one decision state)</t>
        </is>
      </c>
      <c r="H1388" s="12" t="inlineStr">
        <is>
          <t xml:space="preserve">APPROVED / UNSURE; </t>
        </is>
      </c>
      <c r="I1388" s="12" t="inlineStr">
        <is>
          <t>New</t>
        </is>
      </c>
      <c r="J1388" s="17" t="inlineStr">
        <is>
          <t>08 CROSSWALK</t>
        </is>
      </c>
    </row>
    <row r="1389" ht="49" customHeight="1">
      <c r="A1389" s="12" t="inlineStr">
        <is>
          <t>R922-v2</t>
        </is>
      </c>
      <c r="B1389" s="12" t="inlineStr">
        <is>
          <t>Contractor Programme / SCH-06-022</t>
        </is>
      </c>
      <c r="C1389" s="12" t="inlineStr">
        <is>
          <t>No explicit source assertion recorded</t>
        </is>
      </c>
      <c r="D1389" s="12" t="inlineStr">
        <is>
          <t>Proposed by Professional; target UNSURE</t>
        </is>
      </c>
      <c r="E1389" s="12" t="inlineStr">
        <is>
          <t>None recorded</t>
        </is>
      </c>
      <c r="F1389" s="12" t="inlineStr">
        <is>
          <t>Maya Chen, Owner Project Controls: Professional decision</t>
        </is>
      </c>
      <c r="G1389" s="12" t="inlineStr">
        <is>
          <t>Group decision (182 records sharing one decision state)</t>
        </is>
      </c>
      <c r="H1389" s="12" t="inlineStr">
        <is>
          <t xml:space="preserve">APPROVED / UNSURE; </t>
        </is>
      </c>
      <c r="I1389" s="12" t="inlineStr">
        <is>
          <t>New</t>
        </is>
      </c>
      <c r="J1389" s="17" t="inlineStr">
        <is>
          <t>08 CROSSWALK</t>
        </is>
      </c>
    </row>
    <row r="1390" ht="49" customHeight="1">
      <c r="A1390" s="12" t="inlineStr">
        <is>
          <t>R923-v2</t>
        </is>
      </c>
      <c r="B1390" s="12" t="inlineStr">
        <is>
          <t>Contractor Programme / SCH-06-023</t>
        </is>
      </c>
      <c r="C1390" s="12" t="inlineStr">
        <is>
          <t>No explicit source assertion recorded</t>
        </is>
      </c>
      <c r="D1390" s="12" t="inlineStr">
        <is>
          <t>Proposed by Professional; target UNSURE</t>
        </is>
      </c>
      <c r="E1390" s="12" t="inlineStr">
        <is>
          <t>None recorded</t>
        </is>
      </c>
      <c r="F1390" s="12" t="inlineStr">
        <is>
          <t>Maya Chen, Owner Project Controls: Professional decision</t>
        </is>
      </c>
      <c r="G1390" s="12" t="inlineStr">
        <is>
          <t>Group decision (182 records sharing one decision state)</t>
        </is>
      </c>
      <c r="H1390" s="12" t="inlineStr">
        <is>
          <t xml:space="preserve">APPROVED / UNSURE; </t>
        </is>
      </c>
      <c r="I1390" s="12" t="inlineStr">
        <is>
          <t>New</t>
        </is>
      </c>
      <c r="J1390" s="17" t="inlineStr">
        <is>
          <t>08 CROSSWALK</t>
        </is>
      </c>
    </row>
    <row r="1391" ht="49" customHeight="1">
      <c r="A1391" s="12" t="inlineStr">
        <is>
          <t>R924-v2</t>
        </is>
      </c>
      <c r="B1391" s="12" t="inlineStr">
        <is>
          <t>Contractor Programme / SCH-06-024</t>
        </is>
      </c>
      <c r="C1391" s="12" t="inlineStr">
        <is>
          <t>No explicit source assertion recorded</t>
        </is>
      </c>
      <c r="D1391" s="12" t="inlineStr">
        <is>
          <t>Proposed by Professional; target UNSURE</t>
        </is>
      </c>
      <c r="E1391" s="12" t="inlineStr">
        <is>
          <t>None recorded</t>
        </is>
      </c>
      <c r="F1391" s="12" t="inlineStr">
        <is>
          <t>Maya Chen, Owner Project Controls: Professional decision</t>
        </is>
      </c>
      <c r="G1391" s="12" t="inlineStr">
        <is>
          <t>Group decision (182 records sharing one decision state)</t>
        </is>
      </c>
      <c r="H1391" s="12" t="inlineStr">
        <is>
          <t xml:space="preserve">APPROVED / UNSURE; </t>
        </is>
      </c>
      <c r="I1391" s="12" t="inlineStr">
        <is>
          <t>New</t>
        </is>
      </c>
      <c r="J1391" s="17" t="inlineStr">
        <is>
          <t>08 CROSSWALK</t>
        </is>
      </c>
    </row>
    <row r="1392" ht="49" customHeight="1">
      <c r="A1392" s="12" t="inlineStr">
        <is>
          <t>R925-v2</t>
        </is>
      </c>
      <c r="B1392" s="12" t="inlineStr">
        <is>
          <t>Contractor Programme / SCH-06-025</t>
        </is>
      </c>
      <c r="C1392" s="12" t="inlineStr">
        <is>
          <t>No explicit source assertion recorded</t>
        </is>
      </c>
      <c r="D1392" s="12" t="inlineStr">
        <is>
          <t>Proposed by Professional; target UNSURE</t>
        </is>
      </c>
      <c r="E1392" s="12" t="inlineStr">
        <is>
          <t>None recorded</t>
        </is>
      </c>
      <c r="F1392" s="12" t="inlineStr">
        <is>
          <t>Maya Chen, Owner Project Controls: Professional decision</t>
        </is>
      </c>
      <c r="G1392" s="12" t="inlineStr">
        <is>
          <t>Group decision (182 records sharing one decision state)</t>
        </is>
      </c>
      <c r="H1392" s="12" t="inlineStr">
        <is>
          <t xml:space="preserve">APPROVED / UNSURE; </t>
        </is>
      </c>
      <c r="I1392" s="12" t="inlineStr">
        <is>
          <t>New</t>
        </is>
      </c>
      <c r="J1392" s="17" t="inlineStr">
        <is>
          <t>08 CROSSWALK</t>
        </is>
      </c>
    </row>
    <row r="1393" ht="49" customHeight="1">
      <c r="A1393" s="12" t="inlineStr">
        <is>
          <t>R926-v2</t>
        </is>
      </c>
      <c r="B1393" s="12" t="inlineStr">
        <is>
          <t>Contractor Programme / SCH-06-026</t>
        </is>
      </c>
      <c r="C1393" s="12" t="inlineStr">
        <is>
          <t>No explicit source assertion recorded</t>
        </is>
      </c>
      <c r="D1393" s="12" t="inlineStr">
        <is>
          <t>Proposed by Professional; target UNSURE</t>
        </is>
      </c>
      <c r="E1393" s="12" t="inlineStr">
        <is>
          <t>None recorded</t>
        </is>
      </c>
      <c r="F1393" s="12" t="inlineStr">
        <is>
          <t>Maya Chen, Owner Project Controls: Professional decision</t>
        </is>
      </c>
      <c r="G1393" s="12" t="inlineStr">
        <is>
          <t>Group decision (182 records sharing one decision state)</t>
        </is>
      </c>
      <c r="H1393" s="12" t="inlineStr">
        <is>
          <t xml:space="preserve">APPROVED / UNSURE; </t>
        </is>
      </c>
      <c r="I1393" s="12" t="inlineStr">
        <is>
          <t>New</t>
        </is>
      </c>
      <c r="J1393" s="17" t="inlineStr">
        <is>
          <t>08 CROSSWALK</t>
        </is>
      </c>
    </row>
    <row r="1394" ht="49" customHeight="1">
      <c r="A1394" s="12" t="inlineStr">
        <is>
          <t>R927-v2</t>
        </is>
      </c>
      <c r="B1394" s="12" t="inlineStr">
        <is>
          <t>Contractor Programme / SCH-06-027</t>
        </is>
      </c>
      <c r="C1394" s="12" t="inlineStr">
        <is>
          <t>No explicit source assertion recorded</t>
        </is>
      </c>
      <c r="D1394" s="12" t="inlineStr">
        <is>
          <t>Proposed by Professional; target UNSURE</t>
        </is>
      </c>
      <c r="E1394" s="12" t="inlineStr">
        <is>
          <t>None recorded</t>
        </is>
      </c>
      <c r="F1394" s="12" t="inlineStr">
        <is>
          <t>Maya Chen, Owner Project Controls: Professional decision</t>
        </is>
      </c>
      <c r="G1394" s="12" t="inlineStr">
        <is>
          <t>Group decision (182 records sharing one decision state)</t>
        </is>
      </c>
      <c r="H1394" s="12" t="inlineStr">
        <is>
          <t xml:space="preserve">APPROVED / UNSURE; </t>
        </is>
      </c>
      <c r="I1394" s="12" t="inlineStr">
        <is>
          <t>New</t>
        </is>
      </c>
      <c r="J1394" s="17" t="inlineStr">
        <is>
          <t>08 CROSSWALK</t>
        </is>
      </c>
    </row>
    <row r="1395" ht="49" customHeight="1">
      <c r="A1395" s="12" t="inlineStr">
        <is>
          <t>R928-v2</t>
        </is>
      </c>
      <c r="B1395" s="12" t="inlineStr">
        <is>
          <t>Contractor Programme / SCH-06-028</t>
        </is>
      </c>
      <c r="C1395" s="12" t="inlineStr">
        <is>
          <t>No explicit source assertion recorded</t>
        </is>
      </c>
      <c r="D1395" s="12" t="inlineStr">
        <is>
          <t>Proposed by Professional; target UNSURE</t>
        </is>
      </c>
      <c r="E1395" s="12" t="inlineStr">
        <is>
          <t>None recorded</t>
        </is>
      </c>
      <c r="F1395" s="12" t="inlineStr">
        <is>
          <t>Maya Chen, Owner Project Controls: Professional decision</t>
        </is>
      </c>
      <c r="G1395" s="12" t="inlineStr">
        <is>
          <t>Group decision (182 records sharing one decision state)</t>
        </is>
      </c>
      <c r="H1395" s="12" t="inlineStr">
        <is>
          <t xml:space="preserve">APPROVED / UNSURE; </t>
        </is>
      </c>
      <c r="I1395" s="12" t="inlineStr">
        <is>
          <t>New</t>
        </is>
      </c>
      <c r="J1395" s="17" t="inlineStr">
        <is>
          <t>08 CROSSWALK</t>
        </is>
      </c>
    </row>
    <row r="1396" ht="49" customHeight="1">
      <c r="A1396" s="12" t="inlineStr">
        <is>
          <t>R929-v2</t>
        </is>
      </c>
      <c r="B1396" s="12" t="inlineStr">
        <is>
          <t>Contractor Programme / SCH-06-029</t>
        </is>
      </c>
      <c r="C1396" s="12" t="inlineStr">
        <is>
          <t>No explicit source assertion recorded</t>
        </is>
      </c>
      <c r="D1396" s="12" t="inlineStr">
        <is>
          <t>Proposed by Professional; target UNSURE</t>
        </is>
      </c>
      <c r="E1396" s="12" t="inlineStr">
        <is>
          <t>None recorded</t>
        </is>
      </c>
      <c r="F1396" s="12" t="inlineStr">
        <is>
          <t>Maya Chen, Owner Project Controls: Professional decision</t>
        </is>
      </c>
      <c r="G1396" s="12" t="inlineStr">
        <is>
          <t>Group decision (182 records sharing one decision state)</t>
        </is>
      </c>
      <c r="H1396" s="12" t="inlineStr">
        <is>
          <t xml:space="preserve">APPROVED / UNSURE; </t>
        </is>
      </c>
      <c r="I1396" s="12" t="inlineStr">
        <is>
          <t>New</t>
        </is>
      </c>
      <c r="J1396" s="17" t="inlineStr">
        <is>
          <t>08 CROSSWALK</t>
        </is>
      </c>
    </row>
    <row r="1397" ht="49" customHeight="1">
      <c r="A1397" s="12" t="inlineStr">
        <is>
          <t>R930-v2</t>
        </is>
      </c>
      <c r="B1397" s="12" t="inlineStr">
        <is>
          <t>Contractor Programme / SCH-06-030</t>
        </is>
      </c>
      <c r="C1397" s="12" t="inlineStr">
        <is>
          <t>No explicit source assertion recorded</t>
        </is>
      </c>
      <c r="D1397" s="12" t="inlineStr">
        <is>
          <t>Proposed by Professional; target UNSURE</t>
        </is>
      </c>
      <c r="E1397" s="12" t="inlineStr">
        <is>
          <t>None recorded</t>
        </is>
      </c>
      <c r="F1397" s="12" t="inlineStr">
        <is>
          <t>Maya Chen, Owner Project Controls: Professional decision</t>
        </is>
      </c>
      <c r="G1397" s="12" t="inlineStr">
        <is>
          <t>Group decision (182 records sharing one decision state)</t>
        </is>
      </c>
      <c r="H1397" s="12" t="inlineStr">
        <is>
          <t xml:space="preserve">APPROVED / UNSURE; </t>
        </is>
      </c>
      <c r="I1397" s="12" t="inlineStr">
        <is>
          <t>New</t>
        </is>
      </c>
      <c r="J1397" s="17" t="inlineStr">
        <is>
          <t>08 CROSSWALK</t>
        </is>
      </c>
    </row>
    <row r="1398" ht="49" customHeight="1">
      <c r="A1398" s="12" t="inlineStr">
        <is>
          <t>R931-v2</t>
        </is>
      </c>
      <c r="B1398" s="12" t="inlineStr">
        <is>
          <t>Contractor Programme / SCH-06-031</t>
        </is>
      </c>
      <c r="C1398" s="12" t="inlineStr">
        <is>
          <t>No explicit source assertion recorded</t>
        </is>
      </c>
      <c r="D1398" s="12" t="inlineStr">
        <is>
          <t>Proposed by Professional; target UNSURE</t>
        </is>
      </c>
      <c r="E1398" s="12" t="inlineStr">
        <is>
          <t>None recorded</t>
        </is>
      </c>
      <c r="F1398" s="12" t="inlineStr">
        <is>
          <t>Maya Chen, Owner Project Controls: Professional decision</t>
        </is>
      </c>
      <c r="G1398" s="12" t="inlineStr">
        <is>
          <t>Group decision (182 records sharing one decision state)</t>
        </is>
      </c>
      <c r="H1398" s="12" t="inlineStr">
        <is>
          <t xml:space="preserve">APPROVED / UNSURE; </t>
        </is>
      </c>
      <c r="I1398" s="12" t="inlineStr">
        <is>
          <t>New</t>
        </is>
      </c>
      <c r="J1398" s="17" t="inlineStr">
        <is>
          <t>08 CROSSWALK</t>
        </is>
      </c>
    </row>
    <row r="1399" ht="49" customHeight="1">
      <c r="A1399" s="12" t="inlineStr">
        <is>
          <t>R932-v2</t>
        </is>
      </c>
      <c r="B1399" s="12" t="inlineStr">
        <is>
          <t>Contractor Programme / SCH-06-032</t>
        </is>
      </c>
      <c r="C1399" s="12" t="inlineStr">
        <is>
          <t>No explicit source assertion recorded</t>
        </is>
      </c>
      <c r="D1399" s="12" t="inlineStr">
        <is>
          <t>Proposed by Professional; target UNSURE</t>
        </is>
      </c>
      <c r="E1399" s="12" t="inlineStr">
        <is>
          <t>None recorded</t>
        </is>
      </c>
      <c r="F1399" s="12" t="inlineStr">
        <is>
          <t>Maya Chen, Owner Project Controls: Professional decision</t>
        </is>
      </c>
      <c r="G1399" s="12" t="inlineStr">
        <is>
          <t>Group decision (182 records sharing one decision state)</t>
        </is>
      </c>
      <c r="H1399" s="12" t="inlineStr">
        <is>
          <t xml:space="preserve">APPROVED / UNSURE; </t>
        </is>
      </c>
      <c r="I1399" s="12" t="inlineStr">
        <is>
          <t>New</t>
        </is>
      </c>
      <c r="J1399" s="17" t="inlineStr">
        <is>
          <t>08 CROSSWALK</t>
        </is>
      </c>
    </row>
    <row r="1400" ht="49" customHeight="1">
      <c r="A1400" s="12" t="inlineStr">
        <is>
          <t>R933-v2</t>
        </is>
      </c>
      <c r="B1400" s="12" t="inlineStr">
        <is>
          <t>Contractor Programme / SCH-06-033</t>
        </is>
      </c>
      <c r="C1400" s="12" t="inlineStr">
        <is>
          <t>No explicit source assertion recorded</t>
        </is>
      </c>
      <c r="D1400" s="12" t="inlineStr">
        <is>
          <t>Proposed by Professional; target UNSURE</t>
        </is>
      </c>
      <c r="E1400" s="12" t="inlineStr">
        <is>
          <t>None recorded</t>
        </is>
      </c>
      <c r="F1400" s="12" t="inlineStr">
        <is>
          <t>Maya Chen, Owner Project Controls: Professional decision</t>
        </is>
      </c>
      <c r="G1400" s="12" t="inlineStr">
        <is>
          <t>Group decision (182 records sharing one decision state)</t>
        </is>
      </c>
      <c r="H1400" s="12" t="inlineStr">
        <is>
          <t xml:space="preserve">APPROVED / UNSURE; </t>
        </is>
      </c>
      <c r="I1400" s="12" t="inlineStr">
        <is>
          <t>New</t>
        </is>
      </c>
      <c r="J1400" s="17" t="inlineStr">
        <is>
          <t>08 CROSSWALK</t>
        </is>
      </c>
    </row>
    <row r="1401" ht="49" customHeight="1">
      <c r="A1401" s="12" t="inlineStr">
        <is>
          <t>R934-v2</t>
        </is>
      </c>
      <c r="B1401" s="12" t="inlineStr">
        <is>
          <t>Contractor Programme / SCH-06-034</t>
        </is>
      </c>
      <c r="C1401" s="12" t="inlineStr">
        <is>
          <t>No explicit source assertion recorded</t>
        </is>
      </c>
      <c r="D1401" s="12" t="inlineStr">
        <is>
          <t>Proposed by Professional; target UNSURE</t>
        </is>
      </c>
      <c r="E1401" s="12" t="inlineStr">
        <is>
          <t>None recorded</t>
        </is>
      </c>
      <c r="F1401" s="12" t="inlineStr">
        <is>
          <t>Maya Chen, Owner Project Controls: Professional decision</t>
        </is>
      </c>
      <c r="G1401" s="12" t="inlineStr">
        <is>
          <t>Group decision (182 records sharing one decision state)</t>
        </is>
      </c>
      <c r="H1401" s="12" t="inlineStr">
        <is>
          <t xml:space="preserve">APPROVED / UNSURE; </t>
        </is>
      </c>
      <c r="I1401" s="12" t="inlineStr">
        <is>
          <t>New</t>
        </is>
      </c>
      <c r="J1401" s="17" t="inlineStr">
        <is>
          <t>08 CROSSWALK</t>
        </is>
      </c>
    </row>
    <row r="1402" ht="49" customHeight="1">
      <c r="A1402" s="12" t="inlineStr">
        <is>
          <t>R935-v2</t>
        </is>
      </c>
      <c r="B1402" s="12" t="inlineStr">
        <is>
          <t>Contractor Programme / SCH-06-035</t>
        </is>
      </c>
      <c r="C1402" s="12" t="inlineStr">
        <is>
          <t>No explicit source assertion recorded</t>
        </is>
      </c>
      <c r="D1402" s="12" t="inlineStr">
        <is>
          <t>Proposed by Professional; target UNSURE</t>
        </is>
      </c>
      <c r="E1402" s="12" t="inlineStr">
        <is>
          <t>None recorded</t>
        </is>
      </c>
      <c r="F1402" s="12" t="inlineStr">
        <is>
          <t>Maya Chen, Owner Project Controls: Professional decision</t>
        </is>
      </c>
      <c r="G1402" s="12" t="inlineStr">
        <is>
          <t>Group decision (182 records sharing one decision state)</t>
        </is>
      </c>
      <c r="H1402" s="12" t="inlineStr">
        <is>
          <t xml:space="preserve">APPROVED / UNSURE; </t>
        </is>
      </c>
      <c r="I1402" s="12" t="inlineStr">
        <is>
          <t>New</t>
        </is>
      </c>
      <c r="J1402" s="17" t="inlineStr">
        <is>
          <t>08 CROSSWALK</t>
        </is>
      </c>
    </row>
    <row r="1403" ht="49" customHeight="1">
      <c r="A1403" s="12" t="inlineStr">
        <is>
          <t>R936-v2</t>
        </is>
      </c>
      <c r="B1403" s="12" t="inlineStr">
        <is>
          <t>Contractor Programme / SCH-06-036</t>
        </is>
      </c>
      <c r="C1403" s="12" t="inlineStr">
        <is>
          <t>No explicit source assertion recorded</t>
        </is>
      </c>
      <c r="D1403" s="12" t="inlineStr">
        <is>
          <t>Proposed by Professional; target UNSURE</t>
        </is>
      </c>
      <c r="E1403" s="12" t="inlineStr">
        <is>
          <t>None recorded</t>
        </is>
      </c>
      <c r="F1403" s="12" t="inlineStr">
        <is>
          <t>Maya Chen, Owner Project Controls: Professional decision</t>
        </is>
      </c>
      <c r="G1403" s="12" t="inlineStr">
        <is>
          <t>Group decision (182 records sharing one decision state)</t>
        </is>
      </c>
      <c r="H1403" s="12" t="inlineStr">
        <is>
          <t xml:space="preserve">APPROVED / UNSURE; </t>
        </is>
      </c>
      <c r="I1403" s="12" t="inlineStr">
        <is>
          <t>New</t>
        </is>
      </c>
      <c r="J1403" s="17" t="inlineStr">
        <is>
          <t>08 CROSSWALK</t>
        </is>
      </c>
    </row>
    <row r="1404" ht="49" customHeight="1">
      <c r="A1404" s="12" t="inlineStr">
        <is>
          <t>R937-v2</t>
        </is>
      </c>
      <c r="B1404" s="12" t="inlineStr">
        <is>
          <t>Contractor Programme / SCH-06-037</t>
        </is>
      </c>
      <c r="C1404" s="12" t="inlineStr">
        <is>
          <t>No explicit source assertion recorded</t>
        </is>
      </c>
      <c r="D1404" s="12" t="inlineStr">
        <is>
          <t>Proposed by Professional; target UNSURE</t>
        </is>
      </c>
      <c r="E1404" s="12" t="inlineStr">
        <is>
          <t>None recorded</t>
        </is>
      </c>
      <c r="F1404" s="12" t="inlineStr">
        <is>
          <t>Maya Chen, Owner Project Controls: Professional decision</t>
        </is>
      </c>
      <c r="G1404" s="12" t="inlineStr">
        <is>
          <t>Group decision (182 records sharing one decision state)</t>
        </is>
      </c>
      <c r="H1404" s="12" t="inlineStr">
        <is>
          <t xml:space="preserve">APPROVED / UNSURE; </t>
        </is>
      </c>
      <c r="I1404" s="12" t="inlineStr">
        <is>
          <t>New</t>
        </is>
      </c>
      <c r="J1404" s="17" t="inlineStr">
        <is>
          <t>08 CROSSWALK</t>
        </is>
      </c>
    </row>
    <row r="1405" ht="49" customHeight="1">
      <c r="A1405" s="12" t="inlineStr">
        <is>
          <t>R938-v2</t>
        </is>
      </c>
      <c r="B1405" s="12" t="inlineStr">
        <is>
          <t>Contractor Programme / SCH-06-038</t>
        </is>
      </c>
      <c r="C1405" s="12" t="inlineStr">
        <is>
          <t>No explicit source assertion recorded</t>
        </is>
      </c>
      <c r="D1405" s="12" t="inlineStr">
        <is>
          <t>Proposed by Professional; target UNSURE</t>
        </is>
      </c>
      <c r="E1405" s="12" t="inlineStr">
        <is>
          <t>None recorded</t>
        </is>
      </c>
      <c r="F1405" s="12" t="inlineStr">
        <is>
          <t>Maya Chen, Owner Project Controls: Professional decision</t>
        </is>
      </c>
      <c r="G1405" s="12" t="inlineStr">
        <is>
          <t>Group decision (182 records sharing one decision state)</t>
        </is>
      </c>
      <c r="H1405" s="12" t="inlineStr">
        <is>
          <t xml:space="preserve">APPROVED / UNSURE; </t>
        </is>
      </c>
      <c r="I1405" s="12" t="inlineStr">
        <is>
          <t>New</t>
        </is>
      </c>
      <c r="J1405" s="17" t="inlineStr">
        <is>
          <t>08 CROSSWALK</t>
        </is>
      </c>
    </row>
    <row r="1406" ht="49" customHeight="1">
      <c r="A1406" s="12" t="inlineStr">
        <is>
          <t>R939-v2</t>
        </is>
      </c>
      <c r="B1406" s="12" t="inlineStr">
        <is>
          <t>Contractor Programme / SCH-06-039</t>
        </is>
      </c>
      <c r="C1406" s="12" t="inlineStr">
        <is>
          <t>No explicit source assertion recorded</t>
        </is>
      </c>
      <c r="D1406" s="12" t="inlineStr">
        <is>
          <t>Proposed by Professional; target UNSURE</t>
        </is>
      </c>
      <c r="E1406" s="12" t="inlineStr">
        <is>
          <t>None recorded</t>
        </is>
      </c>
      <c r="F1406" s="12" t="inlineStr">
        <is>
          <t>Maya Chen, Owner Project Controls: Professional decision</t>
        </is>
      </c>
      <c r="G1406" s="12" t="inlineStr">
        <is>
          <t>Group decision (182 records sharing one decision state)</t>
        </is>
      </c>
      <c r="H1406" s="12" t="inlineStr">
        <is>
          <t xml:space="preserve">APPROVED / UNSURE; </t>
        </is>
      </c>
      <c r="I1406" s="12" t="inlineStr">
        <is>
          <t>New</t>
        </is>
      </c>
      <c r="J1406" s="17" t="inlineStr">
        <is>
          <t>08 CROSSWALK</t>
        </is>
      </c>
    </row>
    <row r="1407" ht="49" customHeight="1">
      <c r="A1407" s="12" t="inlineStr">
        <is>
          <t>R940-v2</t>
        </is>
      </c>
      <c r="B1407" s="12" t="inlineStr">
        <is>
          <t>Contractor Programme / SCH-06-040</t>
        </is>
      </c>
      <c r="C1407" s="12" t="inlineStr">
        <is>
          <t>No explicit source assertion recorded</t>
        </is>
      </c>
      <c r="D1407" s="12" t="inlineStr">
        <is>
          <t>Proposed by Professional; target UNSURE</t>
        </is>
      </c>
      <c r="E1407" s="12" t="inlineStr">
        <is>
          <t>None recorded</t>
        </is>
      </c>
      <c r="F1407" s="12" t="inlineStr">
        <is>
          <t>Maya Chen, Owner Project Controls: Professional decision</t>
        </is>
      </c>
      <c r="G1407" s="12" t="inlineStr">
        <is>
          <t>Group decision (182 records sharing one decision state)</t>
        </is>
      </c>
      <c r="H1407" s="12" t="inlineStr">
        <is>
          <t xml:space="preserve">APPROVED / UNSURE; </t>
        </is>
      </c>
      <c r="I1407" s="12" t="inlineStr">
        <is>
          <t>New</t>
        </is>
      </c>
      <c r="J1407" s="17" t="inlineStr">
        <is>
          <t>08 CROSSWALK</t>
        </is>
      </c>
    </row>
    <row r="1408" ht="49" customHeight="1">
      <c r="A1408" s="12" t="inlineStr">
        <is>
          <t>R941-v2</t>
        </is>
      </c>
      <c r="B1408" s="12" t="inlineStr">
        <is>
          <t>Contractor Programme / SCH-06-041</t>
        </is>
      </c>
      <c r="C1408" s="12" t="inlineStr">
        <is>
          <t>No explicit source assertion recorded</t>
        </is>
      </c>
      <c r="D1408" s="12" t="inlineStr">
        <is>
          <t>Proposed by Professional; target UNSURE</t>
        </is>
      </c>
      <c r="E1408" s="12" t="inlineStr">
        <is>
          <t>None recorded</t>
        </is>
      </c>
      <c r="F1408" s="12" t="inlineStr">
        <is>
          <t>Maya Chen, Owner Project Controls: Professional decision</t>
        </is>
      </c>
      <c r="G1408" s="12" t="inlineStr">
        <is>
          <t>Group decision (182 records sharing one decision state)</t>
        </is>
      </c>
      <c r="H1408" s="12" t="inlineStr">
        <is>
          <t xml:space="preserve">APPROVED / UNSURE; </t>
        </is>
      </c>
      <c r="I1408" s="12" t="inlineStr">
        <is>
          <t>New</t>
        </is>
      </c>
      <c r="J1408" s="17" t="inlineStr">
        <is>
          <t>08 CROSSWALK</t>
        </is>
      </c>
    </row>
    <row r="1409" ht="49" customHeight="1">
      <c r="A1409" s="12" t="inlineStr">
        <is>
          <t>R942-v2</t>
        </is>
      </c>
      <c r="B1409" s="12" t="inlineStr">
        <is>
          <t>Contractor Programme / SCH-06-042</t>
        </is>
      </c>
      <c r="C1409" s="12" t="inlineStr">
        <is>
          <t>No explicit source assertion recorded</t>
        </is>
      </c>
      <c r="D1409" s="12" t="inlineStr">
        <is>
          <t>Proposed by Professional; target UNSURE</t>
        </is>
      </c>
      <c r="E1409" s="12" t="inlineStr">
        <is>
          <t>None recorded</t>
        </is>
      </c>
      <c r="F1409" s="12" t="inlineStr">
        <is>
          <t>Maya Chen, Owner Project Controls: Professional decision</t>
        </is>
      </c>
      <c r="G1409" s="12" t="inlineStr">
        <is>
          <t>Group decision (182 records sharing one decision state)</t>
        </is>
      </c>
      <c r="H1409" s="12" t="inlineStr">
        <is>
          <t xml:space="preserve">APPROVED / UNSURE; </t>
        </is>
      </c>
      <c r="I1409" s="12" t="inlineStr">
        <is>
          <t>New</t>
        </is>
      </c>
      <c r="J1409" s="17" t="inlineStr">
        <is>
          <t>08 CROSSWALK</t>
        </is>
      </c>
    </row>
    <row r="1410" ht="49" customHeight="1">
      <c r="A1410" s="12" t="inlineStr">
        <is>
          <t>R943-v2</t>
        </is>
      </c>
      <c r="B1410" s="12" t="inlineStr">
        <is>
          <t>Contractor Programme / SCH-06-043</t>
        </is>
      </c>
      <c r="C1410" s="12" t="inlineStr">
        <is>
          <t>No explicit source assertion recorded</t>
        </is>
      </c>
      <c r="D1410" s="12" t="inlineStr">
        <is>
          <t>Proposed by Professional; target UNSURE</t>
        </is>
      </c>
      <c r="E1410" s="12" t="inlineStr">
        <is>
          <t>None recorded</t>
        </is>
      </c>
      <c r="F1410" s="12" t="inlineStr">
        <is>
          <t>Maya Chen, Owner Project Controls: Professional decision</t>
        </is>
      </c>
      <c r="G1410" s="12" t="inlineStr">
        <is>
          <t>Group decision (182 records sharing one decision state)</t>
        </is>
      </c>
      <c r="H1410" s="12" t="inlineStr">
        <is>
          <t xml:space="preserve">APPROVED / UNSURE; </t>
        </is>
      </c>
      <c r="I1410" s="12" t="inlineStr">
        <is>
          <t>New</t>
        </is>
      </c>
      <c r="J1410" s="17" t="inlineStr">
        <is>
          <t>08 CROSSWALK</t>
        </is>
      </c>
    </row>
    <row r="1411" ht="49" customHeight="1">
      <c r="A1411" s="12" t="inlineStr">
        <is>
          <t>R944-v2</t>
        </is>
      </c>
      <c r="B1411" s="12" t="inlineStr">
        <is>
          <t>Contractor Programme / SCH-06-044</t>
        </is>
      </c>
      <c r="C1411" s="12" t="inlineStr">
        <is>
          <t>No explicit source assertion recorded</t>
        </is>
      </c>
      <c r="D1411" s="12" t="inlineStr">
        <is>
          <t>Proposed by Professional; target UNSURE</t>
        </is>
      </c>
      <c r="E1411" s="12" t="inlineStr">
        <is>
          <t>None recorded</t>
        </is>
      </c>
      <c r="F1411" s="12" t="inlineStr">
        <is>
          <t>Maya Chen, Owner Project Controls: Professional decision</t>
        </is>
      </c>
      <c r="G1411" s="12" t="inlineStr">
        <is>
          <t>Group decision (182 records sharing one decision state)</t>
        </is>
      </c>
      <c r="H1411" s="12" t="inlineStr">
        <is>
          <t xml:space="preserve">APPROVED / UNSURE; </t>
        </is>
      </c>
      <c r="I1411" s="12" t="inlineStr">
        <is>
          <t>New</t>
        </is>
      </c>
      <c r="J1411" s="17" t="inlineStr">
        <is>
          <t>08 CROSSWALK</t>
        </is>
      </c>
    </row>
    <row r="1412" ht="49" customHeight="1">
      <c r="A1412" s="12" t="inlineStr">
        <is>
          <t>R945-v2</t>
        </is>
      </c>
      <c r="B1412" s="12" t="inlineStr">
        <is>
          <t>Contractor Programme / SCH-06-045</t>
        </is>
      </c>
      <c r="C1412" s="12" t="inlineStr">
        <is>
          <t>No explicit source assertion recorded</t>
        </is>
      </c>
      <c r="D1412" s="12" t="inlineStr">
        <is>
          <t>Proposed by Professional; target UNSURE</t>
        </is>
      </c>
      <c r="E1412" s="12" t="inlineStr">
        <is>
          <t>None recorded</t>
        </is>
      </c>
      <c r="F1412" s="12" t="inlineStr">
        <is>
          <t>Maya Chen, Owner Project Controls: Professional decision</t>
        </is>
      </c>
      <c r="G1412" s="12" t="inlineStr">
        <is>
          <t>Group decision (182 records sharing one decision state)</t>
        </is>
      </c>
      <c r="H1412" s="12" t="inlineStr">
        <is>
          <t xml:space="preserve">APPROVED / UNSURE; </t>
        </is>
      </c>
      <c r="I1412" s="12" t="inlineStr">
        <is>
          <t>New</t>
        </is>
      </c>
      <c r="J1412" s="17" t="inlineStr">
        <is>
          <t>08 CROSSWALK</t>
        </is>
      </c>
    </row>
    <row r="1413" ht="49" customHeight="1">
      <c r="A1413" s="12" t="inlineStr">
        <is>
          <t>R946-v2</t>
        </is>
      </c>
      <c r="B1413" s="12" t="inlineStr">
        <is>
          <t>Contractor Programme / SCH-06-046</t>
        </is>
      </c>
      <c r="C1413" s="12" t="inlineStr">
        <is>
          <t>No explicit source assertion recorded</t>
        </is>
      </c>
      <c r="D1413" s="12" t="inlineStr">
        <is>
          <t>Proposed by Professional; target UNSURE</t>
        </is>
      </c>
      <c r="E1413" s="12" t="inlineStr">
        <is>
          <t>None recorded</t>
        </is>
      </c>
      <c r="F1413" s="12" t="inlineStr">
        <is>
          <t>Maya Chen, Owner Project Controls: Professional decision</t>
        </is>
      </c>
      <c r="G1413" s="12" t="inlineStr">
        <is>
          <t>Group decision (182 records sharing one decision state)</t>
        </is>
      </c>
      <c r="H1413" s="12" t="inlineStr">
        <is>
          <t xml:space="preserve">APPROVED / UNSURE; </t>
        </is>
      </c>
      <c r="I1413" s="12" t="inlineStr">
        <is>
          <t>New</t>
        </is>
      </c>
      <c r="J1413" s="17" t="inlineStr">
        <is>
          <t>08 CROSSWALK</t>
        </is>
      </c>
    </row>
    <row r="1414" ht="49" customHeight="1">
      <c r="A1414" s="12" t="inlineStr">
        <is>
          <t>R947-v2</t>
        </is>
      </c>
      <c r="B1414" s="12" t="inlineStr">
        <is>
          <t>Contractor Programme / SCH-06-047</t>
        </is>
      </c>
      <c r="C1414" s="12" t="inlineStr">
        <is>
          <t>No explicit source assertion recorded</t>
        </is>
      </c>
      <c r="D1414" s="12" t="inlineStr">
        <is>
          <t>Proposed by Professional; target UNSURE</t>
        </is>
      </c>
      <c r="E1414" s="12" t="inlineStr">
        <is>
          <t>None recorded</t>
        </is>
      </c>
      <c r="F1414" s="12" t="inlineStr">
        <is>
          <t>Maya Chen, Owner Project Controls: Professional decision</t>
        </is>
      </c>
      <c r="G1414" s="12" t="inlineStr">
        <is>
          <t>Group decision (182 records sharing one decision state)</t>
        </is>
      </c>
      <c r="H1414" s="12" t="inlineStr">
        <is>
          <t xml:space="preserve">APPROVED / UNSURE; </t>
        </is>
      </c>
      <c r="I1414" s="12" t="inlineStr">
        <is>
          <t>New</t>
        </is>
      </c>
      <c r="J1414" s="17" t="inlineStr">
        <is>
          <t>08 CROSSWALK</t>
        </is>
      </c>
    </row>
    <row r="1415" ht="49" customHeight="1">
      <c r="A1415" s="12" t="inlineStr">
        <is>
          <t>R948-v2</t>
        </is>
      </c>
      <c r="B1415" s="12" t="inlineStr">
        <is>
          <t>Contractor Programme / SCH-06-048</t>
        </is>
      </c>
      <c r="C1415" s="12" t="inlineStr">
        <is>
          <t>No explicit source assertion recorded</t>
        </is>
      </c>
      <c r="D1415" s="12" t="inlineStr">
        <is>
          <t>Proposed by Professional; target UNSURE</t>
        </is>
      </c>
      <c r="E1415" s="12" t="inlineStr">
        <is>
          <t>None recorded</t>
        </is>
      </c>
      <c r="F1415" s="12" t="inlineStr">
        <is>
          <t>Maya Chen, Owner Project Controls: Professional decision</t>
        </is>
      </c>
      <c r="G1415" s="12" t="inlineStr">
        <is>
          <t>Group decision (182 records sharing one decision state)</t>
        </is>
      </c>
      <c r="H1415" s="12" t="inlineStr">
        <is>
          <t xml:space="preserve">APPROVED / UNSURE; </t>
        </is>
      </c>
      <c r="I1415" s="12" t="inlineStr">
        <is>
          <t>New</t>
        </is>
      </c>
      <c r="J1415" s="17" t="inlineStr">
        <is>
          <t>08 CROSSWALK</t>
        </is>
      </c>
    </row>
    <row r="1416" ht="49" customHeight="1">
      <c r="A1416" s="12" t="inlineStr">
        <is>
          <t>R949-v2</t>
        </is>
      </c>
      <c r="B1416" s="12" t="inlineStr">
        <is>
          <t>Contractor Programme / SCH-06-049</t>
        </is>
      </c>
      <c r="C1416" s="12" t="inlineStr">
        <is>
          <t>No explicit source assertion recorded</t>
        </is>
      </c>
      <c r="D1416" s="12" t="inlineStr">
        <is>
          <t>Proposed by Professional; target UNSURE</t>
        </is>
      </c>
      <c r="E1416" s="12" t="inlineStr">
        <is>
          <t>None recorded</t>
        </is>
      </c>
      <c r="F1416" s="12" t="inlineStr">
        <is>
          <t>Maya Chen, Owner Project Controls: Professional decision</t>
        </is>
      </c>
      <c r="G1416" s="12" t="inlineStr">
        <is>
          <t>Group decision (182 records sharing one decision state)</t>
        </is>
      </c>
      <c r="H1416" s="12" t="inlineStr">
        <is>
          <t xml:space="preserve">APPROVED / UNSURE; </t>
        </is>
      </c>
      <c r="I1416" s="12" t="inlineStr">
        <is>
          <t>New</t>
        </is>
      </c>
      <c r="J1416" s="17" t="inlineStr">
        <is>
          <t>08 CROSSWALK</t>
        </is>
      </c>
    </row>
    <row r="1417" ht="49" customHeight="1">
      <c r="A1417" s="12" t="inlineStr">
        <is>
          <t>R950-v2</t>
        </is>
      </c>
      <c r="B1417" s="12" t="inlineStr">
        <is>
          <t>Contractor Programme / SCH-06-050</t>
        </is>
      </c>
      <c r="C1417" s="12" t="inlineStr">
        <is>
          <t>No explicit source assertion recorded</t>
        </is>
      </c>
      <c r="D1417" s="12" t="inlineStr">
        <is>
          <t>Proposed by Professional; target UNSURE</t>
        </is>
      </c>
      <c r="E1417" s="12" t="inlineStr">
        <is>
          <t>None recorded</t>
        </is>
      </c>
      <c r="F1417" s="12" t="inlineStr">
        <is>
          <t>Maya Chen, Owner Project Controls: Professional decision</t>
        </is>
      </c>
      <c r="G1417" s="12" t="inlineStr">
        <is>
          <t>Group decision (182 records sharing one decision state)</t>
        </is>
      </c>
      <c r="H1417" s="12" t="inlineStr">
        <is>
          <t xml:space="preserve">APPROVED / UNSURE; </t>
        </is>
      </c>
      <c r="I1417" s="12" t="inlineStr">
        <is>
          <t>New</t>
        </is>
      </c>
      <c r="J1417" s="17" t="inlineStr">
        <is>
          <t>08 CROSSWALK</t>
        </is>
      </c>
    </row>
    <row r="1418" ht="49" customHeight="1">
      <c r="A1418" s="12" t="inlineStr">
        <is>
          <t>R951-v2</t>
        </is>
      </c>
      <c r="B1418" s="12" t="inlineStr">
        <is>
          <t>Contractor Programme / SCH-06-051</t>
        </is>
      </c>
      <c r="C1418" s="12" t="inlineStr">
        <is>
          <t>No explicit source assertion recorded</t>
        </is>
      </c>
      <c r="D1418" s="12" t="inlineStr">
        <is>
          <t>Proposed by Professional; target UNSURE</t>
        </is>
      </c>
      <c r="E1418" s="12" t="inlineStr">
        <is>
          <t>None recorded</t>
        </is>
      </c>
      <c r="F1418" s="12" t="inlineStr">
        <is>
          <t>Maya Chen, Owner Project Controls: Professional decision</t>
        </is>
      </c>
      <c r="G1418" s="12" t="inlineStr">
        <is>
          <t>Group decision (182 records sharing one decision state)</t>
        </is>
      </c>
      <c r="H1418" s="12" t="inlineStr">
        <is>
          <t xml:space="preserve">APPROVED / UNSURE; </t>
        </is>
      </c>
      <c r="I1418" s="12" t="inlineStr">
        <is>
          <t>New</t>
        </is>
      </c>
      <c r="J1418" s="17" t="inlineStr">
        <is>
          <t>08 CROSSWALK</t>
        </is>
      </c>
    </row>
    <row r="1419" ht="49" customHeight="1">
      <c r="A1419" s="12" t="inlineStr">
        <is>
          <t>R952-v2</t>
        </is>
      </c>
      <c r="B1419" s="12" t="inlineStr">
        <is>
          <t>Contractor Programme / SCH-06-052</t>
        </is>
      </c>
      <c r="C1419" s="12" t="inlineStr">
        <is>
          <t>No explicit source assertion recorded</t>
        </is>
      </c>
      <c r="D1419" s="12" t="inlineStr">
        <is>
          <t>Proposed by Professional; target UNSURE</t>
        </is>
      </c>
      <c r="E1419" s="12" t="inlineStr">
        <is>
          <t>None recorded</t>
        </is>
      </c>
      <c r="F1419" s="12" t="inlineStr">
        <is>
          <t>Maya Chen, Owner Project Controls: Professional decision</t>
        </is>
      </c>
      <c r="G1419" s="12" t="inlineStr">
        <is>
          <t>Group decision (182 records sharing one decision state)</t>
        </is>
      </c>
      <c r="H1419" s="12" t="inlineStr">
        <is>
          <t xml:space="preserve">APPROVED / UNSURE; </t>
        </is>
      </c>
      <c r="I1419" s="12" t="inlineStr">
        <is>
          <t>New</t>
        </is>
      </c>
      <c r="J1419" s="17" t="inlineStr">
        <is>
          <t>08 CROSSWALK</t>
        </is>
      </c>
    </row>
    <row r="1420" ht="49" customHeight="1">
      <c r="A1420" s="12" t="inlineStr">
        <is>
          <t>R953-v2</t>
        </is>
      </c>
      <c r="B1420" s="12" t="inlineStr">
        <is>
          <t>Contractor Programme / SCH-06-053</t>
        </is>
      </c>
      <c r="C1420" s="12" t="inlineStr">
        <is>
          <t>No explicit source assertion recorded</t>
        </is>
      </c>
      <c r="D1420" s="12" t="inlineStr">
        <is>
          <t>Proposed by Professional; target UNSURE</t>
        </is>
      </c>
      <c r="E1420" s="12" t="inlineStr">
        <is>
          <t>None recorded</t>
        </is>
      </c>
      <c r="F1420" s="12" t="inlineStr">
        <is>
          <t>Maya Chen, Owner Project Controls: Professional decision</t>
        </is>
      </c>
      <c r="G1420" s="12" t="inlineStr">
        <is>
          <t>Group decision (182 records sharing one decision state)</t>
        </is>
      </c>
      <c r="H1420" s="12" t="inlineStr">
        <is>
          <t xml:space="preserve">APPROVED / UNSURE; </t>
        </is>
      </c>
      <c r="I1420" s="12" t="inlineStr">
        <is>
          <t>New</t>
        </is>
      </c>
      <c r="J1420" s="17" t="inlineStr">
        <is>
          <t>08 CROSSWALK</t>
        </is>
      </c>
    </row>
    <row r="1421" ht="49" customHeight="1">
      <c r="A1421" s="12" t="inlineStr">
        <is>
          <t>R954-v2</t>
        </is>
      </c>
      <c r="B1421" s="12" t="inlineStr">
        <is>
          <t>Contractor Programme / SCH-06-054</t>
        </is>
      </c>
      <c r="C1421" s="12" t="inlineStr">
        <is>
          <t>No explicit source assertion recorded</t>
        </is>
      </c>
      <c r="D1421" s="12" t="inlineStr">
        <is>
          <t>Proposed by Professional; target UNSURE</t>
        </is>
      </c>
      <c r="E1421" s="12" t="inlineStr">
        <is>
          <t>None recorded</t>
        </is>
      </c>
      <c r="F1421" s="12" t="inlineStr">
        <is>
          <t>Maya Chen, Owner Project Controls: Professional decision</t>
        </is>
      </c>
      <c r="G1421" s="12" t="inlineStr">
        <is>
          <t>Group decision (182 records sharing one decision state)</t>
        </is>
      </c>
      <c r="H1421" s="12" t="inlineStr">
        <is>
          <t xml:space="preserve">APPROVED / UNSURE; </t>
        </is>
      </c>
      <c r="I1421" s="12" t="inlineStr">
        <is>
          <t>New</t>
        </is>
      </c>
      <c r="J1421" s="17" t="inlineStr">
        <is>
          <t>08 CROSSWALK</t>
        </is>
      </c>
    </row>
    <row r="1422" ht="49" customHeight="1">
      <c r="A1422" s="12" t="inlineStr">
        <is>
          <t>R955-v2</t>
        </is>
      </c>
      <c r="B1422" s="12" t="inlineStr">
        <is>
          <t>Contractor Programme / SCH-06-055</t>
        </is>
      </c>
      <c r="C1422" s="12" t="inlineStr">
        <is>
          <t>No explicit source assertion recorded</t>
        </is>
      </c>
      <c r="D1422" s="12" t="inlineStr">
        <is>
          <t>Proposed by Professional; target UNSURE</t>
        </is>
      </c>
      <c r="E1422" s="12" t="inlineStr">
        <is>
          <t>None recorded</t>
        </is>
      </c>
      <c r="F1422" s="12" t="inlineStr">
        <is>
          <t>Maya Chen, Owner Project Controls: Professional decision</t>
        </is>
      </c>
      <c r="G1422" s="12" t="inlineStr">
        <is>
          <t>Group decision (182 records sharing one decision state)</t>
        </is>
      </c>
      <c r="H1422" s="12" t="inlineStr">
        <is>
          <t xml:space="preserve">APPROVED / UNSURE; </t>
        </is>
      </c>
      <c r="I1422" s="12" t="inlineStr">
        <is>
          <t>New</t>
        </is>
      </c>
      <c r="J1422" s="17" t="inlineStr">
        <is>
          <t>08 CROSSWALK</t>
        </is>
      </c>
    </row>
    <row r="1423" ht="49" customHeight="1">
      <c r="A1423" s="12" t="inlineStr">
        <is>
          <t>R956-v2</t>
        </is>
      </c>
      <c r="B1423" s="12" t="inlineStr">
        <is>
          <t>Contractor Programme / SCH-06-056</t>
        </is>
      </c>
      <c r="C1423" s="12" t="inlineStr">
        <is>
          <t>No explicit source assertion recorded</t>
        </is>
      </c>
      <c r="D1423" s="12" t="inlineStr">
        <is>
          <t>Proposed by Professional; target UNSURE</t>
        </is>
      </c>
      <c r="E1423" s="12" t="inlineStr">
        <is>
          <t>None recorded</t>
        </is>
      </c>
      <c r="F1423" s="12" t="inlineStr">
        <is>
          <t>Maya Chen, Owner Project Controls: Professional decision</t>
        </is>
      </c>
      <c r="G1423" s="12" t="inlineStr">
        <is>
          <t>Group decision (182 records sharing one decision state)</t>
        </is>
      </c>
      <c r="H1423" s="12" t="inlineStr">
        <is>
          <t xml:space="preserve">APPROVED / UNSURE; </t>
        </is>
      </c>
      <c r="I1423" s="12" t="inlineStr">
        <is>
          <t>New</t>
        </is>
      </c>
      <c r="J1423" s="17" t="inlineStr">
        <is>
          <t>08 CROSSWALK</t>
        </is>
      </c>
    </row>
    <row r="1424" ht="49" customHeight="1">
      <c r="A1424" s="12" t="inlineStr">
        <is>
          <t>R957-v2</t>
        </is>
      </c>
      <c r="B1424" s="12" t="inlineStr">
        <is>
          <t>Contractor Programme / SCH-06-057</t>
        </is>
      </c>
      <c r="C1424" s="12" t="inlineStr">
        <is>
          <t>No explicit source assertion recorded</t>
        </is>
      </c>
      <c r="D1424" s="12" t="inlineStr">
        <is>
          <t>Proposed by Professional; target UNSURE</t>
        </is>
      </c>
      <c r="E1424" s="12" t="inlineStr">
        <is>
          <t>None recorded</t>
        </is>
      </c>
      <c r="F1424" s="12" t="inlineStr">
        <is>
          <t>Maya Chen, Owner Project Controls: Professional decision</t>
        </is>
      </c>
      <c r="G1424" s="12" t="inlineStr">
        <is>
          <t>Group decision (182 records sharing one decision state)</t>
        </is>
      </c>
      <c r="H1424" s="12" t="inlineStr">
        <is>
          <t xml:space="preserve">APPROVED / UNSURE; </t>
        </is>
      </c>
      <c r="I1424" s="12" t="inlineStr">
        <is>
          <t>New</t>
        </is>
      </c>
      <c r="J1424" s="17" t="inlineStr">
        <is>
          <t>08 CROSSWALK</t>
        </is>
      </c>
    </row>
    <row r="1425" ht="49" customHeight="1">
      <c r="A1425" s="12" t="inlineStr">
        <is>
          <t>R958-v2</t>
        </is>
      </c>
      <c r="B1425" s="12" t="inlineStr">
        <is>
          <t>Contractor Programme / SCH-06-058</t>
        </is>
      </c>
      <c r="C1425" s="12" t="inlineStr">
        <is>
          <t>No explicit source assertion recorded</t>
        </is>
      </c>
      <c r="D1425" s="12" t="inlineStr">
        <is>
          <t>Proposed by Professional; target UNSURE</t>
        </is>
      </c>
      <c r="E1425" s="12" t="inlineStr">
        <is>
          <t>None recorded</t>
        </is>
      </c>
      <c r="F1425" s="12" t="inlineStr">
        <is>
          <t>Maya Chen, Owner Project Controls: Professional decision</t>
        </is>
      </c>
      <c r="G1425" s="12" t="inlineStr">
        <is>
          <t>Group decision (182 records sharing one decision state)</t>
        </is>
      </c>
      <c r="H1425" s="12" t="inlineStr">
        <is>
          <t xml:space="preserve">APPROVED / UNSURE; </t>
        </is>
      </c>
      <c r="I1425" s="12" t="inlineStr">
        <is>
          <t>New</t>
        </is>
      </c>
      <c r="J1425" s="17" t="inlineStr">
        <is>
          <t>08 CROSSWALK</t>
        </is>
      </c>
    </row>
    <row r="1426" ht="49" customHeight="1">
      <c r="A1426" s="12" t="inlineStr">
        <is>
          <t>R959-v2</t>
        </is>
      </c>
      <c r="B1426" s="12" t="inlineStr">
        <is>
          <t>Contractor Programme / SCH-06-059</t>
        </is>
      </c>
      <c r="C1426" s="12" t="inlineStr">
        <is>
          <t>No explicit source assertion recorded</t>
        </is>
      </c>
      <c r="D1426" s="12" t="inlineStr">
        <is>
          <t>Proposed by Professional; target UNSURE</t>
        </is>
      </c>
      <c r="E1426" s="12" t="inlineStr">
        <is>
          <t>None recorded</t>
        </is>
      </c>
      <c r="F1426" s="12" t="inlineStr">
        <is>
          <t>Maya Chen, Owner Project Controls: Professional decision</t>
        </is>
      </c>
      <c r="G1426" s="12" t="inlineStr">
        <is>
          <t>Group decision (182 records sharing one decision state)</t>
        </is>
      </c>
      <c r="H1426" s="12" t="inlineStr">
        <is>
          <t xml:space="preserve">APPROVED / UNSURE; </t>
        </is>
      </c>
      <c r="I1426" s="12" t="inlineStr">
        <is>
          <t>New</t>
        </is>
      </c>
      <c r="J1426" s="17" t="inlineStr">
        <is>
          <t>08 CROSSWALK</t>
        </is>
      </c>
    </row>
    <row r="1427" ht="49" customHeight="1">
      <c r="A1427" s="12" t="inlineStr">
        <is>
          <t>R960-v2</t>
        </is>
      </c>
      <c r="B1427" s="12" t="inlineStr">
        <is>
          <t>Contractor Programme / SCH-06-060</t>
        </is>
      </c>
      <c r="C1427" s="12" t="inlineStr">
        <is>
          <t>No explicit source assertion recorded</t>
        </is>
      </c>
      <c r="D1427" s="12" t="inlineStr">
        <is>
          <t>Proposed by Professional; target UNSURE</t>
        </is>
      </c>
      <c r="E1427" s="12" t="inlineStr">
        <is>
          <t>None recorded</t>
        </is>
      </c>
      <c r="F1427" s="12" t="inlineStr">
        <is>
          <t>Maya Chen, Owner Project Controls: Professional decision</t>
        </is>
      </c>
      <c r="G1427" s="12" t="inlineStr">
        <is>
          <t>Group decision (182 records sharing one decision state)</t>
        </is>
      </c>
      <c r="H1427" s="12" t="inlineStr">
        <is>
          <t xml:space="preserve">APPROVED / UNSURE; </t>
        </is>
      </c>
      <c r="I1427" s="12" t="inlineStr">
        <is>
          <t>New</t>
        </is>
      </c>
      <c r="J1427" s="17" t="inlineStr">
        <is>
          <t>08 CROSSWALK</t>
        </is>
      </c>
    </row>
    <row r="1428" ht="49" customHeight="1">
      <c r="A1428" s="12" t="inlineStr">
        <is>
          <t>R961-v2</t>
        </is>
      </c>
      <c r="B1428" s="12" t="inlineStr">
        <is>
          <t>Contractor Programme / SCH-06-061</t>
        </is>
      </c>
      <c r="C1428" s="12" t="inlineStr">
        <is>
          <t>No explicit source assertion recorded</t>
        </is>
      </c>
      <c r="D1428" s="12" t="inlineStr">
        <is>
          <t>Proposed by Professional; target UNSURE</t>
        </is>
      </c>
      <c r="E1428" s="12" t="inlineStr">
        <is>
          <t>None recorded</t>
        </is>
      </c>
      <c r="F1428" s="12" t="inlineStr">
        <is>
          <t>Maya Chen, Owner Project Controls: Professional decision</t>
        </is>
      </c>
      <c r="G1428" s="12" t="inlineStr">
        <is>
          <t>Group decision (182 records sharing one decision state)</t>
        </is>
      </c>
      <c r="H1428" s="12" t="inlineStr">
        <is>
          <t xml:space="preserve">APPROVED / UNSURE; </t>
        </is>
      </c>
      <c r="I1428" s="12" t="inlineStr">
        <is>
          <t>New</t>
        </is>
      </c>
      <c r="J1428" s="17" t="inlineStr">
        <is>
          <t>08 CROSSWALK</t>
        </is>
      </c>
    </row>
    <row r="1429" ht="49" customHeight="1">
      <c r="A1429" s="12" t="inlineStr">
        <is>
          <t>R962-v2</t>
        </is>
      </c>
      <c r="B1429" s="12" t="inlineStr">
        <is>
          <t>Contractor Programme / SCH-06-062</t>
        </is>
      </c>
      <c r="C1429" s="12" t="inlineStr">
        <is>
          <t>No explicit source assertion recorded</t>
        </is>
      </c>
      <c r="D1429" s="12" t="inlineStr">
        <is>
          <t>Proposed by Professional; target UNSURE</t>
        </is>
      </c>
      <c r="E1429" s="12" t="inlineStr">
        <is>
          <t>None recorded</t>
        </is>
      </c>
      <c r="F1429" s="12" t="inlineStr">
        <is>
          <t>Maya Chen, Owner Project Controls: Professional decision</t>
        </is>
      </c>
      <c r="G1429" s="12" t="inlineStr">
        <is>
          <t>Group decision (182 records sharing one decision state)</t>
        </is>
      </c>
      <c r="H1429" s="12" t="inlineStr">
        <is>
          <t xml:space="preserve">APPROVED / UNSURE; </t>
        </is>
      </c>
      <c r="I1429" s="12" t="inlineStr">
        <is>
          <t>New</t>
        </is>
      </c>
      <c r="J1429" s="17" t="inlineStr">
        <is>
          <t>08 CROSSWALK</t>
        </is>
      </c>
    </row>
    <row r="1430" ht="49" customHeight="1">
      <c r="A1430" s="12" t="inlineStr">
        <is>
          <t>R963-v2</t>
        </is>
      </c>
      <c r="B1430" s="12" t="inlineStr">
        <is>
          <t>Contractor Programme / SCH-06-063</t>
        </is>
      </c>
      <c r="C1430" s="12" t="inlineStr">
        <is>
          <t>No explicit source assertion recorded</t>
        </is>
      </c>
      <c r="D1430" s="12" t="inlineStr">
        <is>
          <t>Proposed by Professional; target UNSURE</t>
        </is>
      </c>
      <c r="E1430" s="12" t="inlineStr">
        <is>
          <t>None recorded</t>
        </is>
      </c>
      <c r="F1430" s="12" t="inlineStr">
        <is>
          <t>Maya Chen, Owner Project Controls: Professional decision</t>
        </is>
      </c>
      <c r="G1430" s="12" t="inlineStr">
        <is>
          <t>Group decision (182 records sharing one decision state)</t>
        </is>
      </c>
      <c r="H1430" s="12" t="inlineStr">
        <is>
          <t xml:space="preserve">APPROVED / UNSURE; </t>
        </is>
      </c>
      <c r="I1430" s="12" t="inlineStr">
        <is>
          <t>New</t>
        </is>
      </c>
      <c r="J1430" s="17" t="inlineStr">
        <is>
          <t>08 CROSSWALK</t>
        </is>
      </c>
    </row>
    <row r="1431" ht="49" customHeight="1">
      <c r="A1431" s="12" t="inlineStr">
        <is>
          <t>R964-v2</t>
        </is>
      </c>
      <c r="B1431" s="12" t="inlineStr">
        <is>
          <t>Contractor Programme / SCH-06-064</t>
        </is>
      </c>
      <c r="C1431" s="12" t="inlineStr">
        <is>
          <t>No explicit source assertion recorded</t>
        </is>
      </c>
      <c r="D1431" s="12" t="inlineStr">
        <is>
          <t>Proposed by Professional; target UNSURE</t>
        </is>
      </c>
      <c r="E1431" s="12" t="inlineStr">
        <is>
          <t>None recorded</t>
        </is>
      </c>
      <c r="F1431" s="12" t="inlineStr">
        <is>
          <t>Maya Chen, Owner Project Controls: Professional decision</t>
        </is>
      </c>
      <c r="G1431" s="12" t="inlineStr">
        <is>
          <t>Group decision (182 records sharing one decision state)</t>
        </is>
      </c>
      <c r="H1431" s="12" t="inlineStr">
        <is>
          <t xml:space="preserve">APPROVED / UNSURE; </t>
        </is>
      </c>
      <c r="I1431" s="12" t="inlineStr">
        <is>
          <t>New</t>
        </is>
      </c>
      <c r="J1431" s="17" t="inlineStr">
        <is>
          <t>08 CROSSWALK</t>
        </is>
      </c>
    </row>
    <row r="1432" ht="49" customHeight="1">
      <c r="A1432" s="12" t="inlineStr">
        <is>
          <t>R965-v2</t>
        </is>
      </c>
      <c r="B1432" s="12" t="inlineStr">
        <is>
          <t>Contractor Programme / SCH-06-065</t>
        </is>
      </c>
      <c r="C1432" s="12" t="inlineStr">
        <is>
          <t>No explicit source assertion recorded</t>
        </is>
      </c>
      <c r="D1432" s="12" t="inlineStr">
        <is>
          <t>Proposed by Professional; target UNSURE</t>
        </is>
      </c>
      <c r="E1432" s="12" t="inlineStr">
        <is>
          <t>None recorded</t>
        </is>
      </c>
      <c r="F1432" s="12" t="inlineStr">
        <is>
          <t>Maya Chen, Owner Project Controls: Professional decision</t>
        </is>
      </c>
      <c r="G1432" s="12" t="inlineStr">
        <is>
          <t>Group decision (182 records sharing one decision state)</t>
        </is>
      </c>
      <c r="H1432" s="12" t="inlineStr">
        <is>
          <t xml:space="preserve">APPROVED / UNSURE; </t>
        </is>
      </c>
      <c r="I1432" s="12" t="inlineStr">
        <is>
          <t>New</t>
        </is>
      </c>
      <c r="J1432" s="17" t="inlineStr">
        <is>
          <t>08 CROSSWALK</t>
        </is>
      </c>
    </row>
    <row r="1433" ht="49" customHeight="1">
      <c r="A1433" s="12" t="inlineStr">
        <is>
          <t>R966-v2</t>
        </is>
      </c>
      <c r="B1433" s="12" t="inlineStr">
        <is>
          <t>Contractor Programme / SCH-06-066</t>
        </is>
      </c>
      <c r="C1433" s="12" t="inlineStr">
        <is>
          <t>No explicit source assertion recorded</t>
        </is>
      </c>
      <c r="D1433" s="12" t="inlineStr">
        <is>
          <t>Proposed by Professional; target UNSURE</t>
        </is>
      </c>
      <c r="E1433" s="12" t="inlineStr">
        <is>
          <t>None recorded</t>
        </is>
      </c>
      <c r="F1433" s="12" t="inlineStr">
        <is>
          <t>Maya Chen, Owner Project Controls: Professional decision</t>
        </is>
      </c>
      <c r="G1433" s="12" t="inlineStr">
        <is>
          <t>Group decision (182 records sharing one decision state)</t>
        </is>
      </c>
      <c r="H1433" s="12" t="inlineStr">
        <is>
          <t xml:space="preserve">APPROVED / UNSURE; </t>
        </is>
      </c>
      <c r="I1433" s="12" t="inlineStr">
        <is>
          <t>New</t>
        </is>
      </c>
      <c r="J1433" s="17" t="inlineStr">
        <is>
          <t>08 CROSSWALK</t>
        </is>
      </c>
    </row>
    <row r="1434" ht="49" customHeight="1">
      <c r="A1434" s="12" t="inlineStr">
        <is>
          <t>R967-v2</t>
        </is>
      </c>
      <c r="B1434" s="12" t="inlineStr">
        <is>
          <t>Contractor Programme / SCH-06-067</t>
        </is>
      </c>
      <c r="C1434" s="12" t="inlineStr">
        <is>
          <t>No explicit source assertion recorded</t>
        </is>
      </c>
      <c r="D1434" s="12" t="inlineStr">
        <is>
          <t>Proposed by Professional; target UNSURE</t>
        </is>
      </c>
      <c r="E1434" s="12" t="inlineStr">
        <is>
          <t>None recorded</t>
        </is>
      </c>
      <c r="F1434" s="12" t="inlineStr">
        <is>
          <t>Maya Chen, Owner Project Controls: Professional decision</t>
        </is>
      </c>
      <c r="G1434" s="12" t="inlineStr">
        <is>
          <t>Group decision (182 records sharing one decision state)</t>
        </is>
      </c>
      <c r="H1434" s="12" t="inlineStr">
        <is>
          <t xml:space="preserve">APPROVED / UNSURE; </t>
        </is>
      </c>
      <c r="I1434" s="12" t="inlineStr">
        <is>
          <t>New</t>
        </is>
      </c>
      <c r="J1434" s="17" t="inlineStr">
        <is>
          <t>08 CROSSWALK</t>
        </is>
      </c>
    </row>
    <row r="1435" ht="49" customHeight="1">
      <c r="A1435" s="12" t="inlineStr">
        <is>
          <t>R968-v2</t>
        </is>
      </c>
      <c r="B1435" s="12" t="inlineStr">
        <is>
          <t>Contractor Programme / SCH-06-068</t>
        </is>
      </c>
      <c r="C1435" s="12" t="inlineStr">
        <is>
          <t>No explicit source assertion recorded</t>
        </is>
      </c>
      <c r="D1435" s="12" t="inlineStr">
        <is>
          <t>Proposed by Professional; target UNSURE</t>
        </is>
      </c>
      <c r="E1435" s="12" t="inlineStr">
        <is>
          <t>None recorded</t>
        </is>
      </c>
      <c r="F1435" s="12" t="inlineStr">
        <is>
          <t>Maya Chen, Owner Project Controls: Professional decision</t>
        </is>
      </c>
      <c r="G1435" s="12" t="inlineStr">
        <is>
          <t>Group decision (182 records sharing one decision state)</t>
        </is>
      </c>
      <c r="H1435" s="12" t="inlineStr">
        <is>
          <t xml:space="preserve">APPROVED / UNSURE; </t>
        </is>
      </c>
      <c r="I1435" s="12" t="inlineStr">
        <is>
          <t>New</t>
        </is>
      </c>
      <c r="J1435" s="17" t="inlineStr">
        <is>
          <t>08 CROSSWALK</t>
        </is>
      </c>
    </row>
    <row r="1436" ht="49" customHeight="1">
      <c r="A1436" s="12" t="inlineStr">
        <is>
          <t>R969-v2</t>
        </is>
      </c>
      <c r="B1436" s="12" t="inlineStr">
        <is>
          <t>Contractor Programme / SCH-06-069</t>
        </is>
      </c>
      <c r="C1436" s="12" t="inlineStr">
        <is>
          <t>No explicit source assertion recorded</t>
        </is>
      </c>
      <c r="D1436" s="12" t="inlineStr">
        <is>
          <t>Proposed by Professional; target UNSURE</t>
        </is>
      </c>
      <c r="E1436" s="12" t="inlineStr">
        <is>
          <t>None recorded</t>
        </is>
      </c>
      <c r="F1436" s="12" t="inlineStr">
        <is>
          <t>Maya Chen, Owner Project Controls: Professional decision</t>
        </is>
      </c>
      <c r="G1436" s="12" t="inlineStr">
        <is>
          <t>Group decision (182 records sharing one decision state)</t>
        </is>
      </c>
      <c r="H1436" s="12" t="inlineStr">
        <is>
          <t xml:space="preserve">APPROVED / UNSURE; </t>
        </is>
      </c>
      <c r="I1436" s="12" t="inlineStr">
        <is>
          <t>New</t>
        </is>
      </c>
      <c r="J1436" s="17" t="inlineStr">
        <is>
          <t>08 CROSSWALK</t>
        </is>
      </c>
    </row>
    <row r="1437" ht="49" customHeight="1">
      <c r="A1437" s="12" t="inlineStr">
        <is>
          <t>R970-v2</t>
        </is>
      </c>
      <c r="B1437" s="12" t="inlineStr">
        <is>
          <t>Contractor Programme / SCH-06-070</t>
        </is>
      </c>
      <c r="C1437" s="12" t="inlineStr">
        <is>
          <t>No explicit source assertion recorded</t>
        </is>
      </c>
      <c r="D1437" s="12" t="inlineStr">
        <is>
          <t>Proposed by Professional; target UNSURE</t>
        </is>
      </c>
      <c r="E1437" s="12" t="inlineStr">
        <is>
          <t>None recorded</t>
        </is>
      </c>
      <c r="F1437" s="12" t="inlineStr">
        <is>
          <t>Maya Chen, Owner Project Controls: Professional decision</t>
        </is>
      </c>
      <c r="G1437" s="12" t="inlineStr">
        <is>
          <t>Group decision (182 records sharing one decision state)</t>
        </is>
      </c>
      <c r="H1437" s="12" t="inlineStr">
        <is>
          <t xml:space="preserve">APPROVED / UNSURE; </t>
        </is>
      </c>
      <c r="I1437" s="12" t="inlineStr">
        <is>
          <t>New</t>
        </is>
      </c>
      <c r="J1437" s="17" t="inlineStr">
        <is>
          <t>08 CROSSWALK</t>
        </is>
      </c>
    </row>
    <row r="1438" ht="49" customHeight="1">
      <c r="A1438" s="12" t="inlineStr">
        <is>
          <t>R971-v2</t>
        </is>
      </c>
      <c r="B1438" s="12" t="inlineStr">
        <is>
          <t>Contractor Programme / SCH-06-071</t>
        </is>
      </c>
      <c r="C1438" s="12" t="inlineStr">
        <is>
          <t>No explicit source assertion recorded</t>
        </is>
      </c>
      <c r="D1438" s="12" t="inlineStr">
        <is>
          <t>Proposed by Professional; target UNSURE</t>
        </is>
      </c>
      <c r="E1438" s="12" t="inlineStr">
        <is>
          <t>None recorded</t>
        </is>
      </c>
      <c r="F1438" s="12" t="inlineStr">
        <is>
          <t>Maya Chen, Owner Project Controls: Professional decision</t>
        </is>
      </c>
      <c r="G1438" s="12" t="inlineStr">
        <is>
          <t>Group decision (182 records sharing one decision state)</t>
        </is>
      </c>
      <c r="H1438" s="12" t="inlineStr">
        <is>
          <t xml:space="preserve">APPROVED / UNSURE; </t>
        </is>
      </c>
      <c r="I1438" s="12" t="inlineStr">
        <is>
          <t>New</t>
        </is>
      </c>
      <c r="J1438" s="17" t="inlineStr">
        <is>
          <t>08 CROSSWALK</t>
        </is>
      </c>
    </row>
    <row r="1439" ht="49" customHeight="1">
      <c r="A1439" s="12" t="inlineStr">
        <is>
          <t>R972-v2</t>
        </is>
      </c>
      <c r="B1439" s="12" t="inlineStr">
        <is>
          <t>Contractor Programme / SCH-06-072</t>
        </is>
      </c>
      <c r="C1439" s="12" t="inlineStr">
        <is>
          <t>No explicit source assertion recorded</t>
        </is>
      </c>
      <c r="D1439" s="12" t="inlineStr">
        <is>
          <t>Proposed by Professional; target UNSURE</t>
        </is>
      </c>
      <c r="E1439" s="12" t="inlineStr">
        <is>
          <t>None recorded</t>
        </is>
      </c>
      <c r="F1439" s="12" t="inlineStr">
        <is>
          <t>Maya Chen, Owner Project Controls: Professional decision</t>
        </is>
      </c>
      <c r="G1439" s="12" t="inlineStr">
        <is>
          <t>Group decision (182 records sharing one decision state)</t>
        </is>
      </c>
      <c r="H1439" s="12" t="inlineStr">
        <is>
          <t xml:space="preserve">APPROVED / UNSURE; </t>
        </is>
      </c>
      <c r="I1439" s="12" t="inlineStr">
        <is>
          <t>New</t>
        </is>
      </c>
      <c r="J1439" s="17" t="inlineStr">
        <is>
          <t>08 CROSSWALK</t>
        </is>
      </c>
    </row>
    <row r="1440" ht="49" customHeight="1">
      <c r="A1440" s="12" t="inlineStr">
        <is>
          <t>R973-v2</t>
        </is>
      </c>
      <c r="B1440" s="12" t="inlineStr">
        <is>
          <t>Contractor Programme / SCH-06-073</t>
        </is>
      </c>
      <c r="C1440" s="12" t="inlineStr">
        <is>
          <t>No explicit source assertion recorded</t>
        </is>
      </c>
      <c r="D1440" s="12" t="inlineStr">
        <is>
          <t>Proposed by Professional; target UNSURE</t>
        </is>
      </c>
      <c r="E1440" s="12" t="inlineStr">
        <is>
          <t>None recorded</t>
        </is>
      </c>
      <c r="F1440" s="12" t="inlineStr">
        <is>
          <t>Maya Chen, Owner Project Controls: Professional decision</t>
        </is>
      </c>
      <c r="G1440" s="12" t="inlineStr">
        <is>
          <t>Group decision (182 records sharing one decision state)</t>
        </is>
      </c>
      <c r="H1440" s="12" t="inlineStr">
        <is>
          <t xml:space="preserve">APPROVED / UNSURE; </t>
        </is>
      </c>
      <c r="I1440" s="12" t="inlineStr">
        <is>
          <t>New</t>
        </is>
      </c>
      <c r="J1440" s="17" t="inlineStr">
        <is>
          <t>08 CROSSWALK</t>
        </is>
      </c>
    </row>
    <row r="1441" ht="49" customHeight="1">
      <c r="A1441" s="12" t="inlineStr">
        <is>
          <t>R974-v2</t>
        </is>
      </c>
      <c r="B1441" s="12" t="inlineStr">
        <is>
          <t>Contractor Programme / SCH-06-074</t>
        </is>
      </c>
      <c r="C1441" s="12" t="inlineStr">
        <is>
          <t>No explicit source assertion recorded</t>
        </is>
      </c>
      <c r="D1441" s="12" t="inlineStr">
        <is>
          <t>Proposed by Professional; target UNSURE</t>
        </is>
      </c>
      <c r="E1441" s="12" t="inlineStr">
        <is>
          <t>None recorded</t>
        </is>
      </c>
      <c r="F1441" s="12" t="inlineStr">
        <is>
          <t>Maya Chen, Owner Project Controls: Professional decision</t>
        </is>
      </c>
      <c r="G1441" s="12" t="inlineStr">
        <is>
          <t>Group decision (182 records sharing one decision state)</t>
        </is>
      </c>
      <c r="H1441" s="12" t="inlineStr">
        <is>
          <t xml:space="preserve">APPROVED / UNSURE; </t>
        </is>
      </c>
      <c r="I1441" s="12" t="inlineStr">
        <is>
          <t>New</t>
        </is>
      </c>
      <c r="J1441" s="17" t="inlineStr">
        <is>
          <t>08 CROSSWALK</t>
        </is>
      </c>
    </row>
    <row r="1442" ht="49" customHeight="1">
      <c r="A1442" s="12" t="inlineStr">
        <is>
          <t>R975-v2</t>
        </is>
      </c>
      <c r="B1442" s="12" t="inlineStr">
        <is>
          <t>Contractor Programme / SCH-06-075</t>
        </is>
      </c>
      <c r="C1442" s="12" t="inlineStr">
        <is>
          <t>No explicit source assertion recorded</t>
        </is>
      </c>
      <c r="D1442" s="12" t="inlineStr">
        <is>
          <t>Proposed by Professional; target UNSURE</t>
        </is>
      </c>
      <c r="E1442" s="12" t="inlineStr">
        <is>
          <t>None recorded</t>
        </is>
      </c>
      <c r="F1442" s="12" t="inlineStr">
        <is>
          <t>Maya Chen, Owner Project Controls: Professional decision</t>
        </is>
      </c>
      <c r="G1442" s="12" t="inlineStr">
        <is>
          <t>Group decision (182 records sharing one decision state)</t>
        </is>
      </c>
      <c r="H1442" s="12" t="inlineStr">
        <is>
          <t xml:space="preserve">APPROVED / UNSURE; </t>
        </is>
      </c>
      <c r="I1442" s="12" t="inlineStr">
        <is>
          <t>New</t>
        </is>
      </c>
      <c r="J1442" s="17" t="inlineStr">
        <is>
          <t>08 CROSSWALK</t>
        </is>
      </c>
    </row>
    <row r="1443" ht="49" customHeight="1">
      <c r="A1443" s="12" t="inlineStr">
        <is>
          <t>R976-v2</t>
        </is>
      </c>
      <c r="B1443" s="12" t="inlineStr">
        <is>
          <t>Contractor Programme / SCH-06-076</t>
        </is>
      </c>
      <c r="C1443" s="12" t="inlineStr">
        <is>
          <t>No explicit source assertion recorded</t>
        </is>
      </c>
      <c r="D1443" s="12" t="inlineStr">
        <is>
          <t>Proposed by Professional; target UNSURE</t>
        </is>
      </c>
      <c r="E1443" s="12" t="inlineStr">
        <is>
          <t>None recorded</t>
        </is>
      </c>
      <c r="F1443" s="12" t="inlineStr">
        <is>
          <t>Maya Chen, Owner Project Controls: Professional decision</t>
        </is>
      </c>
      <c r="G1443" s="12" t="inlineStr">
        <is>
          <t>Group decision (182 records sharing one decision state)</t>
        </is>
      </c>
      <c r="H1443" s="12" t="inlineStr">
        <is>
          <t xml:space="preserve">APPROVED / UNSURE; </t>
        </is>
      </c>
      <c r="I1443" s="12" t="inlineStr">
        <is>
          <t>New</t>
        </is>
      </c>
      <c r="J1443" s="17" t="inlineStr">
        <is>
          <t>08 CROSSWALK</t>
        </is>
      </c>
    </row>
    <row r="1444" ht="49" customHeight="1">
      <c r="A1444" s="12" t="inlineStr">
        <is>
          <t>R977-v2</t>
        </is>
      </c>
      <c r="B1444" s="12" t="inlineStr">
        <is>
          <t>Contractor Programme / SCH-06-077</t>
        </is>
      </c>
      <c r="C1444" s="12" t="inlineStr">
        <is>
          <t>No explicit source assertion recorded</t>
        </is>
      </c>
      <c r="D1444" s="12" t="inlineStr">
        <is>
          <t>Proposed by Professional; target UNSURE</t>
        </is>
      </c>
      <c r="E1444" s="12" t="inlineStr">
        <is>
          <t>None recorded</t>
        </is>
      </c>
      <c r="F1444" s="12" t="inlineStr">
        <is>
          <t>Maya Chen, Owner Project Controls: Professional decision</t>
        </is>
      </c>
      <c r="G1444" s="12" t="inlineStr">
        <is>
          <t>Group decision (182 records sharing one decision state)</t>
        </is>
      </c>
      <c r="H1444" s="12" t="inlineStr">
        <is>
          <t xml:space="preserve">APPROVED / UNSURE; </t>
        </is>
      </c>
      <c r="I1444" s="12" t="inlineStr">
        <is>
          <t>New</t>
        </is>
      </c>
      <c r="J1444" s="17" t="inlineStr">
        <is>
          <t>08 CROSSWALK</t>
        </is>
      </c>
    </row>
    <row r="1445" ht="49" customHeight="1">
      <c r="A1445" s="12" t="inlineStr">
        <is>
          <t>R978-v2</t>
        </is>
      </c>
      <c r="B1445" s="12" t="inlineStr">
        <is>
          <t>Contractor Programme / SCH-06-078</t>
        </is>
      </c>
      <c r="C1445" s="12" t="inlineStr">
        <is>
          <t>No explicit source assertion recorded</t>
        </is>
      </c>
      <c r="D1445" s="12" t="inlineStr">
        <is>
          <t>Proposed by Professional; target UNSURE</t>
        </is>
      </c>
      <c r="E1445" s="12" t="inlineStr">
        <is>
          <t>None recorded</t>
        </is>
      </c>
      <c r="F1445" s="12" t="inlineStr">
        <is>
          <t>Maya Chen, Owner Project Controls: Professional decision</t>
        </is>
      </c>
      <c r="G1445" s="12" t="inlineStr">
        <is>
          <t>Group decision (182 records sharing one decision state)</t>
        </is>
      </c>
      <c r="H1445" s="12" t="inlineStr">
        <is>
          <t xml:space="preserve">APPROVED / UNSURE; </t>
        </is>
      </c>
      <c r="I1445" s="12" t="inlineStr">
        <is>
          <t>New</t>
        </is>
      </c>
      <c r="J1445" s="17" t="inlineStr">
        <is>
          <t>08 CROSSWALK</t>
        </is>
      </c>
    </row>
    <row r="1446" ht="49" customHeight="1">
      <c r="A1446" s="12" t="inlineStr">
        <is>
          <t>R979-v2</t>
        </is>
      </c>
      <c r="B1446" s="12" t="inlineStr">
        <is>
          <t>Contractor Programme / SCH-06-079</t>
        </is>
      </c>
      <c r="C1446" s="12" t="inlineStr">
        <is>
          <t>No explicit source assertion recorded</t>
        </is>
      </c>
      <c r="D1446" s="12" t="inlineStr">
        <is>
          <t>Proposed by Professional; target UNSURE</t>
        </is>
      </c>
      <c r="E1446" s="12" t="inlineStr">
        <is>
          <t>None recorded</t>
        </is>
      </c>
      <c r="F1446" s="12" t="inlineStr">
        <is>
          <t>Maya Chen, Owner Project Controls: Professional decision</t>
        </is>
      </c>
      <c r="G1446" s="12" t="inlineStr">
        <is>
          <t>Group decision (182 records sharing one decision state)</t>
        </is>
      </c>
      <c r="H1446" s="12" t="inlineStr">
        <is>
          <t xml:space="preserve">APPROVED / UNSURE; </t>
        </is>
      </c>
      <c r="I1446" s="12" t="inlineStr">
        <is>
          <t>New</t>
        </is>
      </c>
      <c r="J1446" s="17" t="inlineStr">
        <is>
          <t>08 CROSSWALK</t>
        </is>
      </c>
    </row>
    <row r="1447" ht="49" customHeight="1">
      <c r="A1447" s="12" t="inlineStr">
        <is>
          <t>R980-v2</t>
        </is>
      </c>
      <c r="B1447" s="12" t="inlineStr">
        <is>
          <t>Contractor Programme / SCH-06-080</t>
        </is>
      </c>
      <c r="C1447" s="12" t="inlineStr">
        <is>
          <t>No explicit source assertion recorded</t>
        </is>
      </c>
      <c r="D1447" s="12" t="inlineStr">
        <is>
          <t>Proposed by Professional; target UNSURE</t>
        </is>
      </c>
      <c r="E1447" s="12" t="inlineStr">
        <is>
          <t>None recorded</t>
        </is>
      </c>
      <c r="F1447" s="12" t="inlineStr">
        <is>
          <t>Maya Chen, Owner Project Controls: Professional decision</t>
        </is>
      </c>
      <c r="G1447" s="12" t="inlineStr">
        <is>
          <t>Group decision (182 records sharing one decision state)</t>
        </is>
      </c>
      <c r="H1447" s="12" t="inlineStr">
        <is>
          <t xml:space="preserve">APPROVED / UNSURE; </t>
        </is>
      </c>
      <c r="I1447" s="12" t="inlineStr">
        <is>
          <t>New</t>
        </is>
      </c>
      <c r="J1447" s="17" t="inlineStr">
        <is>
          <t>08 CROSSWALK</t>
        </is>
      </c>
    </row>
    <row r="1448" ht="49" customHeight="1">
      <c r="A1448" s="12" t="inlineStr">
        <is>
          <t>R981-v2</t>
        </is>
      </c>
      <c r="B1448" s="12" t="inlineStr">
        <is>
          <t>Contractor Programme / SCH-06-081</t>
        </is>
      </c>
      <c r="C1448" s="12" t="inlineStr">
        <is>
          <t>No explicit source assertion recorded</t>
        </is>
      </c>
      <c r="D1448" s="12" t="inlineStr">
        <is>
          <t>Proposed by Professional; target UNSURE</t>
        </is>
      </c>
      <c r="E1448" s="12" t="inlineStr">
        <is>
          <t>None recorded</t>
        </is>
      </c>
      <c r="F1448" s="12" t="inlineStr">
        <is>
          <t>Maya Chen, Owner Project Controls: Professional decision</t>
        </is>
      </c>
      <c r="G1448" s="12" t="inlineStr">
        <is>
          <t>Group decision (182 records sharing one decision state)</t>
        </is>
      </c>
      <c r="H1448" s="12" t="inlineStr">
        <is>
          <t xml:space="preserve">APPROVED / UNSURE; </t>
        </is>
      </c>
      <c r="I1448" s="12" t="inlineStr">
        <is>
          <t>New</t>
        </is>
      </c>
      <c r="J1448" s="17" t="inlineStr">
        <is>
          <t>08 CROSSWALK</t>
        </is>
      </c>
    </row>
    <row r="1449" ht="49" customHeight="1">
      <c r="A1449" s="12" t="inlineStr">
        <is>
          <t>R982-v2</t>
        </is>
      </c>
      <c r="B1449" s="12" t="inlineStr">
        <is>
          <t>Contractor Programme / SCH-06-082</t>
        </is>
      </c>
      <c r="C1449" s="12" t="inlineStr">
        <is>
          <t>No explicit source assertion recorded</t>
        </is>
      </c>
      <c r="D1449" s="12" t="inlineStr">
        <is>
          <t>Proposed by Professional; target UNSURE</t>
        </is>
      </c>
      <c r="E1449" s="12" t="inlineStr">
        <is>
          <t>None recorded</t>
        </is>
      </c>
      <c r="F1449" s="12" t="inlineStr">
        <is>
          <t>Maya Chen, Owner Project Controls: Professional decision</t>
        </is>
      </c>
      <c r="G1449" s="12" t="inlineStr">
        <is>
          <t>Group decision (182 records sharing one decision state)</t>
        </is>
      </c>
      <c r="H1449" s="12" t="inlineStr">
        <is>
          <t xml:space="preserve">APPROVED / UNSURE; </t>
        </is>
      </c>
      <c r="I1449" s="12" t="inlineStr">
        <is>
          <t>New</t>
        </is>
      </c>
      <c r="J1449" s="17" t="inlineStr">
        <is>
          <t>08 CROSSWALK</t>
        </is>
      </c>
    </row>
    <row r="1450" ht="49" customHeight="1">
      <c r="A1450" s="12" t="inlineStr">
        <is>
          <t>R983-v2</t>
        </is>
      </c>
      <c r="B1450" s="12" t="inlineStr">
        <is>
          <t>Contractor Programme / SCH-06-083</t>
        </is>
      </c>
      <c r="C1450" s="12" t="inlineStr">
        <is>
          <t>No explicit source assertion recorded</t>
        </is>
      </c>
      <c r="D1450" s="12" t="inlineStr">
        <is>
          <t>Proposed by Professional; target UNSURE</t>
        </is>
      </c>
      <c r="E1450" s="12" t="inlineStr">
        <is>
          <t>None recorded</t>
        </is>
      </c>
      <c r="F1450" s="12" t="inlineStr">
        <is>
          <t>Maya Chen, Owner Project Controls: Professional decision</t>
        </is>
      </c>
      <c r="G1450" s="12" t="inlineStr">
        <is>
          <t>Group decision (182 records sharing one decision state)</t>
        </is>
      </c>
      <c r="H1450" s="12" t="inlineStr">
        <is>
          <t xml:space="preserve">APPROVED / UNSURE; </t>
        </is>
      </c>
      <c r="I1450" s="12" t="inlineStr">
        <is>
          <t>New</t>
        </is>
      </c>
      <c r="J1450" s="17" t="inlineStr">
        <is>
          <t>08 CROSSWALK</t>
        </is>
      </c>
    </row>
    <row r="1451" ht="49" customHeight="1">
      <c r="A1451" s="12" t="inlineStr">
        <is>
          <t>R984-v2</t>
        </is>
      </c>
      <c r="B1451" s="12" t="inlineStr">
        <is>
          <t>Contractor Programme / SCH-06-084</t>
        </is>
      </c>
      <c r="C1451" s="12" t="inlineStr">
        <is>
          <t>No explicit source assertion recorded</t>
        </is>
      </c>
      <c r="D1451" s="12" t="inlineStr">
        <is>
          <t>Proposed by Professional; target UNSURE</t>
        </is>
      </c>
      <c r="E1451" s="12" t="inlineStr">
        <is>
          <t>None recorded</t>
        </is>
      </c>
      <c r="F1451" s="12" t="inlineStr">
        <is>
          <t>Maya Chen, Owner Project Controls: Professional decision</t>
        </is>
      </c>
      <c r="G1451" s="12" t="inlineStr">
        <is>
          <t>Group decision (182 records sharing one decision state)</t>
        </is>
      </c>
      <c r="H1451" s="12" t="inlineStr">
        <is>
          <t xml:space="preserve">APPROVED / UNSURE; </t>
        </is>
      </c>
      <c r="I1451" s="12" t="inlineStr">
        <is>
          <t>New</t>
        </is>
      </c>
      <c r="J1451" s="17" t="inlineStr">
        <is>
          <t>08 CROSSWALK</t>
        </is>
      </c>
    </row>
    <row r="1452" ht="49" customHeight="1">
      <c r="A1452" s="12" t="inlineStr">
        <is>
          <t>R985-v2</t>
        </is>
      </c>
      <c r="B1452" s="12" t="inlineStr">
        <is>
          <t>Contractor Programme / SCH-06-085</t>
        </is>
      </c>
      <c r="C1452" s="12" t="inlineStr">
        <is>
          <t>No explicit source assertion recorded</t>
        </is>
      </c>
      <c r="D1452" s="12" t="inlineStr">
        <is>
          <t>Proposed by Professional; target UNSURE</t>
        </is>
      </c>
      <c r="E1452" s="12" t="inlineStr">
        <is>
          <t>None recorded</t>
        </is>
      </c>
      <c r="F1452" s="12" t="inlineStr">
        <is>
          <t>Maya Chen, Owner Project Controls: Professional decision</t>
        </is>
      </c>
      <c r="G1452" s="12" t="inlineStr">
        <is>
          <t>Group decision (182 records sharing one decision state)</t>
        </is>
      </c>
      <c r="H1452" s="12" t="inlineStr">
        <is>
          <t xml:space="preserve">APPROVED / UNSURE; </t>
        </is>
      </c>
      <c r="I1452" s="12" t="inlineStr">
        <is>
          <t>New</t>
        </is>
      </c>
      <c r="J1452" s="17" t="inlineStr">
        <is>
          <t>08 CROSSWALK</t>
        </is>
      </c>
    </row>
    <row r="1453" ht="49" customHeight="1">
      <c r="A1453" s="12" t="inlineStr">
        <is>
          <t>R986-v2</t>
        </is>
      </c>
      <c r="B1453" s="12" t="inlineStr">
        <is>
          <t>Contractor Programme / SCH-06-086</t>
        </is>
      </c>
      <c r="C1453" s="12" t="inlineStr">
        <is>
          <t>No explicit source assertion recorded</t>
        </is>
      </c>
      <c r="D1453" s="12" t="inlineStr">
        <is>
          <t>Proposed by Professional; target UNSURE</t>
        </is>
      </c>
      <c r="E1453" s="12" t="inlineStr">
        <is>
          <t>None recorded</t>
        </is>
      </c>
      <c r="F1453" s="12" t="inlineStr">
        <is>
          <t>Maya Chen, Owner Project Controls: Professional decision</t>
        </is>
      </c>
      <c r="G1453" s="12" t="inlineStr">
        <is>
          <t>Group decision (182 records sharing one decision state)</t>
        </is>
      </c>
      <c r="H1453" s="12" t="inlineStr">
        <is>
          <t xml:space="preserve">APPROVED / UNSURE; </t>
        </is>
      </c>
      <c r="I1453" s="12" t="inlineStr">
        <is>
          <t>New</t>
        </is>
      </c>
      <c r="J1453" s="17" t="inlineStr">
        <is>
          <t>08 CROSSWALK</t>
        </is>
      </c>
    </row>
    <row r="1454" ht="49" customHeight="1">
      <c r="A1454" s="12" t="inlineStr">
        <is>
          <t>R987-v2</t>
        </is>
      </c>
      <c r="B1454" s="12" t="inlineStr">
        <is>
          <t>Contractor Programme / SCH-06-087</t>
        </is>
      </c>
      <c r="C1454" s="12" t="inlineStr">
        <is>
          <t>No explicit source assertion recorded</t>
        </is>
      </c>
      <c r="D1454" s="12" t="inlineStr">
        <is>
          <t>Proposed by Professional; target UNSURE</t>
        </is>
      </c>
      <c r="E1454" s="12" t="inlineStr">
        <is>
          <t>None recorded</t>
        </is>
      </c>
      <c r="F1454" s="12" t="inlineStr">
        <is>
          <t>Maya Chen, Owner Project Controls: Professional decision</t>
        </is>
      </c>
      <c r="G1454" s="12" t="inlineStr">
        <is>
          <t>Group decision (182 records sharing one decision state)</t>
        </is>
      </c>
      <c r="H1454" s="12" t="inlineStr">
        <is>
          <t xml:space="preserve">APPROVED / UNSURE; </t>
        </is>
      </c>
      <c r="I1454" s="12" t="inlineStr">
        <is>
          <t>New</t>
        </is>
      </c>
      <c r="J1454" s="17" t="inlineStr">
        <is>
          <t>08 CROSSWALK</t>
        </is>
      </c>
    </row>
    <row r="1455" ht="49" customHeight="1">
      <c r="A1455" s="12" t="inlineStr">
        <is>
          <t>R988-v2</t>
        </is>
      </c>
      <c r="B1455" s="12" t="inlineStr">
        <is>
          <t>Contractor Programme / SCH-06-088</t>
        </is>
      </c>
      <c r="C1455" s="12" t="inlineStr">
        <is>
          <t>No explicit source assertion recorded</t>
        </is>
      </c>
      <c r="D1455" s="12" t="inlineStr">
        <is>
          <t>Proposed by Professional; target UNSURE</t>
        </is>
      </c>
      <c r="E1455" s="12" t="inlineStr">
        <is>
          <t>None recorded</t>
        </is>
      </c>
      <c r="F1455" s="12" t="inlineStr">
        <is>
          <t>Maya Chen, Owner Project Controls: Professional decision</t>
        </is>
      </c>
      <c r="G1455" s="12" t="inlineStr">
        <is>
          <t>Group decision (182 records sharing one decision state)</t>
        </is>
      </c>
      <c r="H1455" s="12" t="inlineStr">
        <is>
          <t xml:space="preserve">APPROVED / UNSURE; </t>
        </is>
      </c>
      <c r="I1455" s="12" t="inlineStr">
        <is>
          <t>New</t>
        </is>
      </c>
      <c r="J1455" s="17" t="inlineStr">
        <is>
          <t>08 CROSSWALK</t>
        </is>
      </c>
    </row>
    <row r="1456" ht="49" customHeight="1">
      <c r="A1456" s="12" t="inlineStr">
        <is>
          <t>R989-v2</t>
        </is>
      </c>
      <c r="B1456" s="12" t="inlineStr">
        <is>
          <t>Contractor Programme / SCH-06-089</t>
        </is>
      </c>
      <c r="C1456" s="12" t="inlineStr">
        <is>
          <t>No explicit source assertion recorded</t>
        </is>
      </c>
      <c r="D1456" s="12" t="inlineStr">
        <is>
          <t>Proposed by Professional; target UNSURE</t>
        </is>
      </c>
      <c r="E1456" s="12" t="inlineStr">
        <is>
          <t>None recorded</t>
        </is>
      </c>
      <c r="F1456" s="12" t="inlineStr">
        <is>
          <t>Maya Chen, Owner Project Controls: Professional decision</t>
        </is>
      </c>
      <c r="G1456" s="12" t="inlineStr">
        <is>
          <t>Group decision (182 records sharing one decision state)</t>
        </is>
      </c>
      <c r="H1456" s="12" t="inlineStr">
        <is>
          <t xml:space="preserve">APPROVED / UNSURE; </t>
        </is>
      </c>
      <c r="I1456" s="12" t="inlineStr">
        <is>
          <t>New</t>
        </is>
      </c>
      <c r="J1456" s="17" t="inlineStr">
        <is>
          <t>08 CROSSWALK</t>
        </is>
      </c>
    </row>
    <row r="1457" ht="49" customHeight="1">
      <c r="A1457" s="12" t="inlineStr">
        <is>
          <t>R990-v2</t>
        </is>
      </c>
      <c r="B1457" s="12" t="inlineStr">
        <is>
          <t>Contractor Programme / SCH-06-090</t>
        </is>
      </c>
      <c r="C1457" s="12" t="inlineStr">
        <is>
          <t>No explicit source assertion recorded</t>
        </is>
      </c>
      <c r="D1457" s="12" t="inlineStr">
        <is>
          <t>Proposed by Professional; target UNSURE</t>
        </is>
      </c>
      <c r="E1457" s="12" t="inlineStr">
        <is>
          <t>None recorded</t>
        </is>
      </c>
      <c r="F1457" s="12" t="inlineStr">
        <is>
          <t>Maya Chen, Owner Project Controls: Professional decision</t>
        </is>
      </c>
      <c r="G1457" s="12" t="inlineStr">
        <is>
          <t>Group decision (182 records sharing one decision state)</t>
        </is>
      </c>
      <c r="H1457" s="12" t="inlineStr">
        <is>
          <t xml:space="preserve">APPROVED / UNSURE; </t>
        </is>
      </c>
      <c r="I1457" s="12" t="inlineStr">
        <is>
          <t>New</t>
        </is>
      </c>
      <c r="J1457" s="17" t="inlineStr">
        <is>
          <t>08 CROSSWALK</t>
        </is>
      </c>
    </row>
    <row r="1458" ht="49" customHeight="1">
      <c r="A1458" s="12" t="inlineStr">
        <is>
          <t>R991-v2</t>
        </is>
      </c>
      <c r="B1458" s="12" t="inlineStr">
        <is>
          <t>Contractor Programme / SCH-06-091</t>
        </is>
      </c>
      <c r="C1458" s="12" t="inlineStr">
        <is>
          <t>No explicit source assertion recorded</t>
        </is>
      </c>
      <c r="D1458" s="12" t="inlineStr">
        <is>
          <t>Proposed by Professional; target UNSURE</t>
        </is>
      </c>
      <c r="E1458" s="12" t="inlineStr">
        <is>
          <t>None recorded</t>
        </is>
      </c>
      <c r="F1458" s="12" t="inlineStr">
        <is>
          <t>Maya Chen, Owner Project Controls: Professional decision</t>
        </is>
      </c>
      <c r="G1458" s="12" t="inlineStr">
        <is>
          <t>Group decision (182 records sharing one decision state)</t>
        </is>
      </c>
      <c r="H1458" s="12" t="inlineStr">
        <is>
          <t xml:space="preserve">APPROVED / UNSURE; </t>
        </is>
      </c>
      <c r="I1458" s="12" t="inlineStr">
        <is>
          <t>New</t>
        </is>
      </c>
      <c r="J1458" s="17" t="inlineStr">
        <is>
          <t>08 CROSSWALK</t>
        </is>
      </c>
    </row>
    <row r="1459" ht="49" customHeight="1">
      <c r="A1459" s="12" t="inlineStr">
        <is>
          <t>R992-v2</t>
        </is>
      </c>
      <c r="B1459" s="12" t="inlineStr">
        <is>
          <t>Contractor Programme / SCH-06-092</t>
        </is>
      </c>
      <c r="C1459" s="12" t="inlineStr">
        <is>
          <t>No explicit source assertion recorded</t>
        </is>
      </c>
      <c r="D1459" s="12" t="inlineStr">
        <is>
          <t>Proposed by Professional; target UNSURE</t>
        </is>
      </c>
      <c r="E1459" s="12" t="inlineStr">
        <is>
          <t>None recorded</t>
        </is>
      </c>
      <c r="F1459" s="12" t="inlineStr">
        <is>
          <t>Maya Chen, Owner Project Controls: Professional decision</t>
        </is>
      </c>
      <c r="G1459" s="12" t="inlineStr">
        <is>
          <t>Group decision (182 records sharing one decision state)</t>
        </is>
      </c>
      <c r="H1459" s="12" t="inlineStr">
        <is>
          <t xml:space="preserve">APPROVED / UNSURE; </t>
        </is>
      </c>
      <c r="I1459" s="12" t="inlineStr">
        <is>
          <t>New</t>
        </is>
      </c>
      <c r="J1459" s="17" t="inlineStr">
        <is>
          <t>08 CROSSWALK</t>
        </is>
      </c>
    </row>
    <row r="1460" ht="49" customHeight="1">
      <c r="A1460" s="12" t="inlineStr">
        <is>
          <t>R993-v2</t>
        </is>
      </c>
      <c r="B1460" s="12" t="inlineStr">
        <is>
          <t>Contractor Programme / SCH-06-093</t>
        </is>
      </c>
      <c r="C1460" s="12" t="inlineStr">
        <is>
          <t>No explicit source assertion recorded</t>
        </is>
      </c>
      <c r="D1460" s="12" t="inlineStr">
        <is>
          <t>Proposed by Professional; target UNSURE</t>
        </is>
      </c>
      <c r="E1460" s="12" t="inlineStr">
        <is>
          <t>None recorded</t>
        </is>
      </c>
      <c r="F1460" s="12" t="inlineStr">
        <is>
          <t>Maya Chen, Owner Project Controls: Professional decision</t>
        </is>
      </c>
      <c r="G1460" s="12" t="inlineStr">
        <is>
          <t>Group decision (182 records sharing one decision state)</t>
        </is>
      </c>
      <c r="H1460" s="12" t="inlineStr">
        <is>
          <t xml:space="preserve">APPROVED / UNSURE; </t>
        </is>
      </c>
      <c r="I1460" s="12" t="inlineStr">
        <is>
          <t>New</t>
        </is>
      </c>
      <c r="J1460" s="17" t="inlineStr">
        <is>
          <t>08 CROSSWALK</t>
        </is>
      </c>
    </row>
    <row r="1461" ht="49" customHeight="1">
      <c r="A1461" s="12" t="inlineStr">
        <is>
          <t>R994-v2</t>
        </is>
      </c>
      <c r="B1461" s="12" t="inlineStr">
        <is>
          <t>Contractor Programme / SCH-06-094</t>
        </is>
      </c>
      <c r="C1461" s="12" t="inlineStr">
        <is>
          <t>No explicit source assertion recorded</t>
        </is>
      </c>
      <c r="D1461" s="12" t="inlineStr">
        <is>
          <t>Proposed by Professional; target UNSURE</t>
        </is>
      </c>
      <c r="E1461" s="12" t="inlineStr">
        <is>
          <t>None recorded</t>
        </is>
      </c>
      <c r="F1461" s="12" t="inlineStr">
        <is>
          <t>Maya Chen, Owner Project Controls: Professional decision</t>
        </is>
      </c>
      <c r="G1461" s="12" t="inlineStr">
        <is>
          <t>Group decision (182 records sharing one decision state)</t>
        </is>
      </c>
      <c r="H1461" s="12" t="inlineStr">
        <is>
          <t xml:space="preserve">APPROVED / UNSURE; </t>
        </is>
      </c>
      <c r="I1461" s="12" t="inlineStr">
        <is>
          <t>New</t>
        </is>
      </c>
      <c r="J1461" s="17" t="inlineStr">
        <is>
          <t>08 CROSSWALK</t>
        </is>
      </c>
    </row>
    <row r="1462" ht="49" customHeight="1">
      <c r="A1462" s="12" t="inlineStr">
        <is>
          <t>R995-v2</t>
        </is>
      </c>
      <c r="B1462" s="12" t="inlineStr">
        <is>
          <t>Contractor Programme / SCH-06-095</t>
        </is>
      </c>
      <c r="C1462" s="12" t="inlineStr">
        <is>
          <t>No explicit source assertion recorded</t>
        </is>
      </c>
      <c r="D1462" s="12" t="inlineStr">
        <is>
          <t>Proposed by Professional; target UNSURE</t>
        </is>
      </c>
      <c r="E1462" s="12" t="inlineStr">
        <is>
          <t>None recorded</t>
        </is>
      </c>
      <c r="F1462" s="12" t="inlineStr">
        <is>
          <t>Maya Chen, Owner Project Controls: Professional decision</t>
        </is>
      </c>
      <c r="G1462" s="12" t="inlineStr">
        <is>
          <t>Group decision (182 records sharing one decision state)</t>
        </is>
      </c>
      <c r="H1462" s="12" t="inlineStr">
        <is>
          <t xml:space="preserve">APPROVED / UNSURE; </t>
        </is>
      </c>
      <c r="I1462" s="12" t="inlineStr">
        <is>
          <t>New</t>
        </is>
      </c>
      <c r="J1462" s="17" t="inlineStr">
        <is>
          <t>08 CROSSWALK</t>
        </is>
      </c>
    </row>
    <row r="1463" ht="49" customHeight="1">
      <c r="A1463" s="12" t="inlineStr">
        <is>
          <t>R996-v2</t>
        </is>
      </c>
      <c r="B1463" s="12" t="inlineStr">
        <is>
          <t>Contractor Programme / SCH-06-096</t>
        </is>
      </c>
      <c r="C1463" s="12" t="inlineStr">
        <is>
          <t>No explicit source assertion recorded</t>
        </is>
      </c>
      <c r="D1463" s="12" t="inlineStr">
        <is>
          <t>Proposed by Professional; target UNSURE</t>
        </is>
      </c>
      <c r="E1463" s="12" t="inlineStr">
        <is>
          <t>None recorded</t>
        </is>
      </c>
      <c r="F1463" s="12" t="inlineStr">
        <is>
          <t>Maya Chen, Owner Project Controls: Professional decision</t>
        </is>
      </c>
      <c r="G1463" s="12" t="inlineStr">
        <is>
          <t>Group decision (182 records sharing one decision state)</t>
        </is>
      </c>
      <c r="H1463" s="12" t="inlineStr">
        <is>
          <t xml:space="preserve">APPROVED / UNSURE; </t>
        </is>
      </c>
      <c r="I1463" s="12" t="inlineStr">
        <is>
          <t>New</t>
        </is>
      </c>
      <c r="J1463" s="17" t="inlineStr">
        <is>
          <t>08 CROSSWALK</t>
        </is>
      </c>
    </row>
    <row r="1464" ht="49" customHeight="1">
      <c r="A1464" s="12" t="inlineStr">
        <is>
          <t>R997-v2</t>
        </is>
      </c>
      <c r="B1464" s="12" t="inlineStr">
        <is>
          <t>Contractor Programme / SCH-06-097</t>
        </is>
      </c>
      <c r="C1464" s="12" t="inlineStr">
        <is>
          <t>No explicit source assertion recorded</t>
        </is>
      </c>
      <c r="D1464" s="12" t="inlineStr">
        <is>
          <t>Proposed by Professional; target UNSURE</t>
        </is>
      </c>
      <c r="E1464" s="12" t="inlineStr">
        <is>
          <t>None recorded</t>
        </is>
      </c>
      <c r="F1464" s="12" t="inlineStr">
        <is>
          <t>Maya Chen, Owner Project Controls: Professional decision</t>
        </is>
      </c>
      <c r="G1464" s="12" t="inlineStr">
        <is>
          <t>Group decision (182 records sharing one decision state)</t>
        </is>
      </c>
      <c r="H1464" s="12" t="inlineStr">
        <is>
          <t xml:space="preserve">APPROVED / UNSURE; </t>
        </is>
      </c>
      <c r="I1464" s="12" t="inlineStr">
        <is>
          <t>New</t>
        </is>
      </c>
      <c r="J1464" s="17" t="inlineStr">
        <is>
          <t>08 CROSSWALK</t>
        </is>
      </c>
    </row>
    <row r="1465" ht="49" customHeight="1">
      <c r="A1465" s="12" t="inlineStr">
        <is>
          <t>R998-v2</t>
        </is>
      </c>
      <c r="B1465" s="12" t="inlineStr">
        <is>
          <t>Contractor Programme / SCH-06-098</t>
        </is>
      </c>
      <c r="C1465" s="12" t="inlineStr">
        <is>
          <t>No explicit source assertion recorded</t>
        </is>
      </c>
      <c r="D1465" s="12" t="inlineStr">
        <is>
          <t>Proposed by Professional; target UNSURE</t>
        </is>
      </c>
      <c r="E1465" s="12" t="inlineStr">
        <is>
          <t>None recorded</t>
        </is>
      </c>
      <c r="F1465" s="12" t="inlineStr">
        <is>
          <t>Maya Chen, Owner Project Controls: Professional decision</t>
        </is>
      </c>
      <c r="G1465" s="12" t="inlineStr">
        <is>
          <t>Group decision (182 records sharing one decision state)</t>
        </is>
      </c>
      <c r="H1465" s="12" t="inlineStr">
        <is>
          <t xml:space="preserve">APPROVED / UNSURE; </t>
        </is>
      </c>
      <c r="I1465" s="12" t="inlineStr">
        <is>
          <t>New</t>
        </is>
      </c>
      <c r="J1465" s="17" t="inlineStr">
        <is>
          <t>08 CROSSWALK</t>
        </is>
      </c>
    </row>
    <row r="1466" ht="49" customHeight="1">
      <c r="A1466" s="12" t="inlineStr">
        <is>
          <t>R999-v2</t>
        </is>
      </c>
      <c r="B1466" s="12" t="inlineStr">
        <is>
          <t>Contractor Programme / SCH-06-099</t>
        </is>
      </c>
      <c r="C1466" s="12" t="inlineStr">
        <is>
          <t>No explicit source assertion recorded</t>
        </is>
      </c>
      <c r="D1466" s="12" t="inlineStr">
        <is>
          <t>Proposed by Professional; target UNSURE</t>
        </is>
      </c>
      <c r="E1466" s="12" t="inlineStr">
        <is>
          <t>None recorded</t>
        </is>
      </c>
      <c r="F1466" s="12" t="inlineStr">
        <is>
          <t>Maya Chen, Owner Project Controls: Professional decision</t>
        </is>
      </c>
      <c r="G1466" s="12" t="inlineStr">
        <is>
          <t>Group decision (182 records sharing one decision state)</t>
        </is>
      </c>
      <c r="H1466" s="12" t="inlineStr">
        <is>
          <t xml:space="preserve">APPROVED / UNSURE; </t>
        </is>
      </c>
      <c r="I1466" s="12" t="inlineStr">
        <is>
          <t>New</t>
        </is>
      </c>
      <c r="J1466" s="17" t="inlineStr">
        <is>
          <t>08 CROSSWALK</t>
        </is>
      </c>
    </row>
    <row r="1467" ht="49" customHeight="1">
      <c r="A1467" s="12" t="inlineStr">
        <is>
          <t>R1000-v2</t>
        </is>
      </c>
      <c r="B1467" s="12" t="inlineStr">
        <is>
          <t>Contractor Programme / SCH-06-100</t>
        </is>
      </c>
      <c r="C1467" s="12" t="inlineStr">
        <is>
          <t>No explicit source assertion recorded</t>
        </is>
      </c>
      <c r="D1467" s="12" t="inlineStr">
        <is>
          <t>Proposed by Professional; target UNSURE</t>
        </is>
      </c>
      <c r="E1467" s="12" t="inlineStr">
        <is>
          <t>None recorded</t>
        </is>
      </c>
      <c r="F1467" s="12" t="inlineStr">
        <is>
          <t>Maya Chen, Owner Project Controls: Professional decision</t>
        </is>
      </c>
      <c r="G1467" s="12" t="inlineStr">
        <is>
          <t>Group decision (182 records sharing one decision state)</t>
        </is>
      </c>
      <c r="H1467" s="12" t="inlineStr">
        <is>
          <t xml:space="preserve">APPROVED / UNSURE; </t>
        </is>
      </c>
      <c r="I1467" s="12" t="inlineStr">
        <is>
          <t>New</t>
        </is>
      </c>
      <c r="J1467" s="17" t="inlineStr">
        <is>
          <t>08 CROSSWALK</t>
        </is>
      </c>
    </row>
    <row r="1468" ht="49" customHeight="1">
      <c r="A1468" s="12" t="inlineStr">
        <is>
          <t>R1001-v2</t>
        </is>
      </c>
      <c r="B1468" s="12" t="inlineStr">
        <is>
          <t>Contractor Programme / SCH-06-101</t>
        </is>
      </c>
      <c r="C1468" s="12" t="inlineStr">
        <is>
          <t>No explicit source assertion recorded</t>
        </is>
      </c>
      <c r="D1468" s="12" t="inlineStr">
        <is>
          <t>Proposed by Professional; target UNSURE</t>
        </is>
      </c>
      <c r="E1468" s="12" t="inlineStr">
        <is>
          <t>None recorded</t>
        </is>
      </c>
      <c r="F1468" s="12" t="inlineStr">
        <is>
          <t>Maya Chen, Owner Project Controls: Professional decision</t>
        </is>
      </c>
      <c r="G1468" s="12" t="inlineStr">
        <is>
          <t>Group decision (182 records sharing one decision state)</t>
        </is>
      </c>
      <c r="H1468" s="12" t="inlineStr">
        <is>
          <t xml:space="preserve">APPROVED / UNSURE; </t>
        </is>
      </c>
      <c r="I1468" s="12" t="inlineStr">
        <is>
          <t>New</t>
        </is>
      </c>
      <c r="J1468" s="17" t="inlineStr">
        <is>
          <t>08 CROSSWALK</t>
        </is>
      </c>
    </row>
    <row r="1469" ht="49" customHeight="1">
      <c r="A1469" s="12" t="inlineStr">
        <is>
          <t>R1002-v2</t>
        </is>
      </c>
      <c r="B1469" s="12" t="inlineStr">
        <is>
          <t>Contractor Programme / SCH-06-102</t>
        </is>
      </c>
      <c r="C1469" s="12" t="inlineStr">
        <is>
          <t>No explicit source assertion recorded</t>
        </is>
      </c>
      <c r="D1469" s="12" t="inlineStr">
        <is>
          <t>Proposed by Professional; target UNSURE</t>
        </is>
      </c>
      <c r="E1469" s="12" t="inlineStr">
        <is>
          <t>None recorded</t>
        </is>
      </c>
      <c r="F1469" s="12" t="inlineStr">
        <is>
          <t>Maya Chen, Owner Project Controls: Professional decision</t>
        </is>
      </c>
      <c r="G1469" s="12" t="inlineStr">
        <is>
          <t>Group decision (182 records sharing one decision state)</t>
        </is>
      </c>
      <c r="H1469" s="12" t="inlineStr">
        <is>
          <t xml:space="preserve">APPROVED / UNSURE; </t>
        </is>
      </c>
      <c r="I1469" s="12" t="inlineStr">
        <is>
          <t>New</t>
        </is>
      </c>
      <c r="J1469" s="17" t="inlineStr">
        <is>
          <t>08 CROSSWALK</t>
        </is>
      </c>
    </row>
    <row r="1470" ht="49" customHeight="1">
      <c r="A1470" s="12" t="inlineStr">
        <is>
          <t>R1003-v2</t>
        </is>
      </c>
      <c r="B1470" s="12" t="inlineStr">
        <is>
          <t>Contractor Programme / SCH-06-103</t>
        </is>
      </c>
      <c r="C1470" s="12" t="inlineStr">
        <is>
          <t>No explicit source assertion recorded</t>
        </is>
      </c>
      <c r="D1470" s="12" t="inlineStr">
        <is>
          <t>Proposed by Professional; target UNSURE</t>
        </is>
      </c>
      <c r="E1470" s="12" t="inlineStr">
        <is>
          <t>None recorded</t>
        </is>
      </c>
      <c r="F1470" s="12" t="inlineStr">
        <is>
          <t>Maya Chen, Owner Project Controls: Professional decision</t>
        </is>
      </c>
      <c r="G1470" s="12" t="inlineStr">
        <is>
          <t>Group decision (182 records sharing one decision state)</t>
        </is>
      </c>
      <c r="H1470" s="12" t="inlineStr">
        <is>
          <t xml:space="preserve">APPROVED / UNSURE; </t>
        </is>
      </c>
      <c r="I1470" s="12" t="inlineStr">
        <is>
          <t>New</t>
        </is>
      </c>
      <c r="J1470" s="17" t="inlineStr">
        <is>
          <t>08 CROSSWALK</t>
        </is>
      </c>
    </row>
    <row r="1471" ht="49" customHeight="1">
      <c r="A1471" s="12" t="inlineStr">
        <is>
          <t>R1004-v2</t>
        </is>
      </c>
      <c r="B1471" s="12" t="inlineStr">
        <is>
          <t>Contractor Programme / SCH-06-104</t>
        </is>
      </c>
      <c r="C1471" s="12" t="inlineStr">
        <is>
          <t>No explicit source assertion recorded</t>
        </is>
      </c>
      <c r="D1471" s="12" t="inlineStr">
        <is>
          <t>Proposed by Professional; target UNSURE</t>
        </is>
      </c>
      <c r="E1471" s="12" t="inlineStr">
        <is>
          <t>None recorded</t>
        </is>
      </c>
      <c r="F1471" s="12" t="inlineStr">
        <is>
          <t>Maya Chen, Owner Project Controls: Professional decision</t>
        </is>
      </c>
      <c r="G1471" s="12" t="inlineStr">
        <is>
          <t>Group decision (182 records sharing one decision state)</t>
        </is>
      </c>
      <c r="H1471" s="12" t="inlineStr">
        <is>
          <t xml:space="preserve">APPROVED / UNSURE; </t>
        </is>
      </c>
      <c r="I1471" s="12" t="inlineStr">
        <is>
          <t>New</t>
        </is>
      </c>
      <c r="J1471" s="17" t="inlineStr">
        <is>
          <t>08 CROSSWALK</t>
        </is>
      </c>
    </row>
    <row r="1472" ht="49" customHeight="1">
      <c r="A1472" s="12" t="inlineStr">
        <is>
          <t>R1005-v2</t>
        </is>
      </c>
      <c r="B1472" s="12" t="inlineStr">
        <is>
          <t>Contractor Programme / SCH-06-105</t>
        </is>
      </c>
      <c r="C1472" s="12" t="inlineStr">
        <is>
          <t>No explicit source assertion recorded</t>
        </is>
      </c>
      <c r="D1472" s="12" t="inlineStr">
        <is>
          <t>Proposed by Professional; target UNSURE</t>
        </is>
      </c>
      <c r="E1472" s="12" t="inlineStr">
        <is>
          <t>None recorded</t>
        </is>
      </c>
      <c r="F1472" s="12" t="inlineStr">
        <is>
          <t>Maya Chen, Owner Project Controls: Professional decision</t>
        </is>
      </c>
      <c r="G1472" s="12" t="inlineStr">
        <is>
          <t>Group decision (182 records sharing one decision state)</t>
        </is>
      </c>
      <c r="H1472" s="12" t="inlineStr">
        <is>
          <t xml:space="preserve">APPROVED / UNSURE; </t>
        </is>
      </c>
      <c r="I1472" s="12" t="inlineStr">
        <is>
          <t>New</t>
        </is>
      </c>
      <c r="J1472" s="17" t="inlineStr">
        <is>
          <t>08 CROSSWALK</t>
        </is>
      </c>
    </row>
    <row r="1473" ht="49" customHeight="1">
      <c r="A1473" s="12" t="inlineStr">
        <is>
          <t>R1006-v2</t>
        </is>
      </c>
      <c r="B1473" s="12" t="inlineStr">
        <is>
          <t>Contractor Programme / SCH-06-106</t>
        </is>
      </c>
      <c r="C1473" s="12" t="inlineStr">
        <is>
          <t>No explicit source assertion recorded</t>
        </is>
      </c>
      <c r="D1473" s="12" t="inlineStr">
        <is>
          <t>Proposed by Professional; target UNSURE</t>
        </is>
      </c>
      <c r="E1473" s="12" t="inlineStr">
        <is>
          <t>None recorded</t>
        </is>
      </c>
      <c r="F1473" s="12" t="inlineStr">
        <is>
          <t>Maya Chen, Owner Project Controls: Professional decision</t>
        </is>
      </c>
      <c r="G1473" s="12" t="inlineStr">
        <is>
          <t>Group decision (182 records sharing one decision state)</t>
        </is>
      </c>
      <c r="H1473" s="12" t="inlineStr">
        <is>
          <t xml:space="preserve">APPROVED / UNSURE; </t>
        </is>
      </c>
      <c r="I1473" s="12" t="inlineStr">
        <is>
          <t>New</t>
        </is>
      </c>
      <c r="J1473" s="17" t="inlineStr">
        <is>
          <t>08 CROSSWALK</t>
        </is>
      </c>
    </row>
    <row r="1474" ht="49" customHeight="1">
      <c r="A1474" s="12" t="inlineStr">
        <is>
          <t>R1007-v2</t>
        </is>
      </c>
      <c r="B1474" s="12" t="inlineStr">
        <is>
          <t>Contractor Programme / SCH-06-107</t>
        </is>
      </c>
      <c r="C1474" s="12" t="inlineStr">
        <is>
          <t>No explicit source assertion recorded</t>
        </is>
      </c>
      <c r="D1474" s="12" t="inlineStr">
        <is>
          <t>Proposed by Professional; target UNSURE</t>
        </is>
      </c>
      <c r="E1474" s="12" t="inlineStr">
        <is>
          <t>None recorded</t>
        </is>
      </c>
      <c r="F1474" s="12" t="inlineStr">
        <is>
          <t>Maya Chen, Owner Project Controls: Professional decision</t>
        </is>
      </c>
      <c r="G1474" s="12" t="inlineStr">
        <is>
          <t>Group decision (182 records sharing one decision state)</t>
        </is>
      </c>
      <c r="H1474" s="12" t="inlineStr">
        <is>
          <t xml:space="preserve">APPROVED / UNSURE; </t>
        </is>
      </c>
      <c r="I1474" s="12" t="inlineStr">
        <is>
          <t>New</t>
        </is>
      </c>
      <c r="J1474" s="17" t="inlineStr">
        <is>
          <t>08 CROSSWALK</t>
        </is>
      </c>
    </row>
    <row r="1475" ht="49" customHeight="1">
      <c r="A1475" s="12" t="inlineStr">
        <is>
          <t>R1008-v2</t>
        </is>
      </c>
      <c r="B1475" s="12" t="inlineStr">
        <is>
          <t>Contractor Programme / SCH-06-108</t>
        </is>
      </c>
      <c r="C1475" s="12" t="inlineStr">
        <is>
          <t>No explicit source assertion recorded</t>
        </is>
      </c>
      <c r="D1475" s="12" t="inlineStr">
        <is>
          <t>Proposed by Professional; target UNSURE</t>
        </is>
      </c>
      <c r="E1475" s="12" t="inlineStr">
        <is>
          <t>None recorded</t>
        </is>
      </c>
      <c r="F1475" s="12" t="inlineStr">
        <is>
          <t>Maya Chen, Owner Project Controls: Professional decision</t>
        </is>
      </c>
      <c r="G1475" s="12" t="inlineStr">
        <is>
          <t>Group decision (182 records sharing one decision state)</t>
        </is>
      </c>
      <c r="H1475" s="12" t="inlineStr">
        <is>
          <t xml:space="preserve">APPROVED / UNSURE; </t>
        </is>
      </c>
      <c r="I1475" s="12" t="inlineStr">
        <is>
          <t>New</t>
        </is>
      </c>
      <c r="J1475" s="17" t="inlineStr">
        <is>
          <t>08 CROSSWALK</t>
        </is>
      </c>
    </row>
    <row r="1476" ht="49" customHeight="1">
      <c r="A1476" s="12" t="inlineStr">
        <is>
          <t>R1009-v2</t>
        </is>
      </c>
      <c r="B1476" s="12" t="inlineStr">
        <is>
          <t>Contractor Programme / SCH-06-109</t>
        </is>
      </c>
      <c r="C1476" s="12" t="inlineStr">
        <is>
          <t>No explicit source assertion recorded</t>
        </is>
      </c>
      <c r="D1476" s="12" t="inlineStr">
        <is>
          <t>Proposed by Professional; target UNSURE</t>
        </is>
      </c>
      <c r="E1476" s="12" t="inlineStr">
        <is>
          <t>None recorded</t>
        </is>
      </c>
      <c r="F1476" s="12" t="inlineStr">
        <is>
          <t>Maya Chen, Owner Project Controls: Professional decision</t>
        </is>
      </c>
      <c r="G1476" s="12" t="inlineStr">
        <is>
          <t>Group decision (182 records sharing one decision state)</t>
        </is>
      </c>
      <c r="H1476" s="12" t="inlineStr">
        <is>
          <t xml:space="preserve">APPROVED / UNSURE; </t>
        </is>
      </c>
      <c r="I1476" s="12" t="inlineStr">
        <is>
          <t>New</t>
        </is>
      </c>
      <c r="J1476" s="17" t="inlineStr">
        <is>
          <t>08 CROSSWALK</t>
        </is>
      </c>
    </row>
    <row r="1477" ht="49" customHeight="1">
      <c r="A1477" s="12" t="inlineStr">
        <is>
          <t>R1010-v2</t>
        </is>
      </c>
      <c r="B1477" s="12" t="inlineStr">
        <is>
          <t>Contractor Programme / SCH-06-110</t>
        </is>
      </c>
      <c r="C1477" s="12" t="inlineStr">
        <is>
          <t>No explicit source assertion recorded</t>
        </is>
      </c>
      <c r="D1477" s="12" t="inlineStr">
        <is>
          <t>Proposed by Professional; target UNSURE</t>
        </is>
      </c>
      <c r="E1477" s="12" t="inlineStr">
        <is>
          <t>None recorded</t>
        </is>
      </c>
      <c r="F1477" s="12" t="inlineStr">
        <is>
          <t>Maya Chen, Owner Project Controls: Professional decision</t>
        </is>
      </c>
      <c r="G1477" s="12" t="inlineStr">
        <is>
          <t>Group decision (182 records sharing one decision state)</t>
        </is>
      </c>
      <c r="H1477" s="12" t="inlineStr">
        <is>
          <t xml:space="preserve">APPROVED / UNSURE; </t>
        </is>
      </c>
      <c r="I1477" s="12" t="inlineStr">
        <is>
          <t>New</t>
        </is>
      </c>
      <c r="J1477" s="17" t="inlineStr">
        <is>
          <t>08 CROSSWALK</t>
        </is>
      </c>
    </row>
    <row r="1478" ht="49" customHeight="1">
      <c r="A1478" s="12" t="inlineStr">
        <is>
          <t>R1011-v2</t>
        </is>
      </c>
      <c r="B1478" s="12" t="inlineStr">
        <is>
          <t>Contractor Programme / SCH-06-111</t>
        </is>
      </c>
      <c r="C1478" s="12" t="inlineStr">
        <is>
          <t>No explicit source assertion recorded</t>
        </is>
      </c>
      <c r="D1478" s="12" t="inlineStr">
        <is>
          <t>Proposed by Professional; target UNSURE</t>
        </is>
      </c>
      <c r="E1478" s="12" t="inlineStr">
        <is>
          <t>None recorded</t>
        </is>
      </c>
      <c r="F1478" s="12" t="inlineStr">
        <is>
          <t>Maya Chen, Owner Project Controls: Professional decision</t>
        </is>
      </c>
      <c r="G1478" s="12" t="inlineStr">
        <is>
          <t>Group decision (182 records sharing one decision state)</t>
        </is>
      </c>
      <c r="H1478" s="12" t="inlineStr">
        <is>
          <t xml:space="preserve">APPROVED / UNSURE; </t>
        </is>
      </c>
      <c r="I1478" s="12" t="inlineStr">
        <is>
          <t>New</t>
        </is>
      </c>
      <c r="J1478" s="17" t="inlineStr">
        <is>
          <t>08 CROSSWALK</t>
        </is>
      </c>
    </row>
    <row r="1479" ht="49" customHeight="1">
      <c r="A1479" s="12" t="inlineStr">
        <is>
          <t>R1012-v2</t>
        </is>
      </c>
      <c r="B1479" s="12" t="inlineStr">
        <is>
          <t>Contractor Programme / SCH-06-112</t>
        </is>
      </c>
      <c r="C1479" s="12" t="inlineStr">
        <is>
          <t>No explicit source assertion recorded</t>
        </is>
      </c>
      <c r="D1479" s="12" t="inlineStr">
        <is>
          <t>Proposed by Professional; target UNSURE</t>
        </is>
      </c>
      <c r="E1479" s="12" t="inlineStr">
        <is>
          <t>None recorded</t>
        </is>
      </c>
      <c r="F1479" s="12" t="inlineStr">
        <is>
          <t>Maya Chen, Owner Project Controls: Professional decision</t>
        </is>
      </c>
      <c r="G1479" s="12" t="inlineStr">
        <is>
          <t>Group decision (182 records sharing one decision state)</t>
        </is>
      </c>
      <c r="H1479" s="12" t="inlineStr">
        <is>
          <t xml:space="preserve">APPROVED / UNSURE; </t>
        </is>
      </c>
      <c r="I1479" s="12" t="inlineStr">
        <is>
          <t>New</t>
        </is>
      </c>
      <c r="J1479" s="17" t="inlineStr">
        <is>
          <t>08 CROSSWALK</t>
        </is>
      </c>
    </row>
    <row r="1480" ht="49" customHeight="1">
      <c r="A1480" s="12" t="inlineStr">
        <is>
          <t>R1013-v2</t>
        </is>
      </c>
      <c r="B1480" s="12" t="inlineStr">
        <is>
          <t>Contractor Programme / SCH-06-113</t>
        </is>
      </c>
      <c r="C1480" s="12" t="inlineStr">
        <is>
          <t>No explicit source assertion recorded</t>
        </is>
      </c>
      <c r="D1480" s="12" t="inlineStr">
        <is>
          <t>Proposed by Professional; target UNSURE</t>
        </is>
      </c>
      <c r="E1480" s="12" t="inlineStr">
        <is>
          <t>None recorded</t>
        </is>
      </c>
      <c r="F1480" s="12" t="inlineStr">
        <is>
          <t>Maya Chen, Owner Project Controls: Professional decision</t>
        </is>
      </c>
      <c r="G1480" s="12" t="inlineStr">
        <is>
          <t>Group decision (182 records sharing one decision state)</t>
        </is>
      </c>
      <c r="H1480" s="12" t="inlineStr">
        <is>
          <t xml:space="preserve">APPROVED / UNSURE; </t>
        </is>
      </c>
      <c r="I1480" s="12" t="inlineStr">
        <is>
          <t>New</t>
        </is>
      </c>
      <c r="J1480" s="17" t="inlineStr">
        <is>
          <t>08 CROSSWALK</t>
        </is>
      </c>
    </row>
    <row r="1481" ht="49" customHeight="1">
      <c r="A1481" s="12" t="inlineStr">
        <is>
          <t>R1014-v2</t>
        </is>
      </c>
      <c r="B1481" s="12" t="inlineStr">
        <is>
          <t>Contractor Programme / SCH-06-114</t>
        </is>
      </c>
      <c r="C1481" s="12" t="inlineStr">
        <is>
          <t>No explicit source assertion recorded</t>
        </is>
      </c>
      <c r="D1481" s="12" t="inlineStr">
        <is>
          <t>Proposed by Professional; target UNSURE</t>
        </is>
      </c>
      <c r="E1481" s="12" t="inlineStr">
        <is>
          <t>None recorded</t>
        </is>
      </c>
      <c r="F1481" s="12" t="inlineStr">
        <is>
          <t>Maya Chen, Owner Project Controls: Professional decision</t>
        </is>
      </c>
      <c r="G1481" s="12" t="inlineStr">
        <is>
          <t>Group decision (182 records sharing one decision state)</t>
        </is>
      </c>
      <c r="H1481" s="12" t="inlineStr">
        <is>
          <t xml:space="preserve">APPROVED / UNSURE; </t>
        </is>
      </c>
      <c r="I1481" s="12" t="inlineStr">
        <is>
          <t>New</t>
        </is>
      </c>
      <c r="J1481" s="17" t="inlineStr">
        <is>
          <t>08 CROSSWALK</t>
        </is>
      </c>
    </row>
    <row r="1482" ht="49" customHeight="1">
      <c r="A1482" s="12" t="inlineStr">
        <is>
          <t>R1015-v2</t>
        </is>
      </c>
      <c r="B1482" s="12" t="inlineStr">
        <is>
          <t>Contractor Programme / SCH-06-115</t>
        </is>
      </c>
      <c r="C1482" s="12" t="inlineStr">
        <is>
          <t>No explicit source assertion recorded</t>
        </is>
      </c>
      <c r="D1482" s="12" t="inlineStr">
        <is>
          <t>Proposed by Professional; target UNSURE</t>
        </is>
      </c>
      <c r="E1482" s="12" t="inlineStr">
        <is>
          <t>None recorded</t>
        </is>
      </c>
      <c r="F1482" s="12" t="inlineStr">
        <is>
          <t>Maya Chen, Owner Project Controls: Professional decision</t>
        </is>
      </c>
      <c r="G1482" s="12" t="inlineStr">
        <is>
          <t>Group decision (182 records sharing one decision state)</t>
        </is>
      </c>
      <c r="H1482" s="12" t="inlineStr">
        <is>
          <t xml:space="preserve">APPROVED / UNSURE; </t>
        </is>
      </c>
      <c r="I1482" s="12" t="inlineStr">
        <is>
          <t>New</t>
        </is>
      </c>
      <c r="J1482" s="17" t="inlineStr">
        <is>
          <t>08 CROSSWALK</t>
        </is>
      </c>
    </row>
    <row r="1483" ht="49" customHeight="1">
      <c r="A1483" s="12" t="inlineStr">
        <is>
          <t>R1016-v2</t>
        </is>
      </c>
      <c r="B1483" s="12" t="inlineStr">
        <is>
          <t>Contractor Programme / SCH-06-116</t>
        </is>
      </c>
      <c r="C1483" s="12" t="inlineStr">
        <is>
          <t>No explicit source assertion recorded</t>
        </is>
      </c>
      <c r="D1483" s="12" t="inlineStr">
        <is>
          <t>Proposed by Professional; target UNSURE</t>
        </is>
      </c>
      <c r="E1483" s="12" t="inlineStr">
        <is>
          <t>None recorded</t>
        </is>
      </c>
      <c r="F1483" s="12" t="inlineStr">
        <is>
          <t>Maya Chen, Owner Project Controls: Professional decision</t>
        </is>
      </c>
      <c r="G1483" s="12" t="inlineStr">
        <is>
          <t>Group decision (182 records sharing one decision state)</t>
        </is>
      </c>
      <c r="H1483" s="12" t="inlineStr">
        <is>
          <t xml:space="preserve">APPROVED / UNSURE; </t>
        </is>
      </c>
      <c r="I1483" s="12" t="inlineStr">
        <is>
          <t>New</t>
        </is>
      </c>
      <c r="J1483" s="17" t="inlineStr">
        <is>
          <t>08 CROSSWALK</t>
        </is>
      </c>
    </row>
    <row r="1484" ht="49" customHeight="1">
      <c r="A1484" s="12" t="inlineStr">
        <is>
          <t>R1017-v2</t>
        </is>
      </c>
      <c r="B1484" s="12" t="inlineStr">
        <is>
          <t>Contractor Programme / SCH-06-117</t>
        </is>
      </c>
      <c r="C1484" s="12" t="inlineStr">
        <is>
          <t>No explicit source assertion recorded</t>
        </is>
      </c>
      <c r="D1484" s="12" t="inlineStr">
        <is>
          <t>Proposed by Professional; target UNSURE</t>
        </is>
      </c>
      <c r="E1484" s="12" t="inlineStr">
        <is>
          <t>None recorded</t>
        </is>
      </c>
      <c r="F1484" s="12" t="inlineStr">
        <is>
          <t>Maya Chen, Owner Project Controls: Professional decision</t>
        </is>
      </c>
      <c r="G1484" s="12" t="inlineStr">
        <is>
          <t>Group decision (182 records sharing one decision state)</t>
        </is>
      </c>
      <c r="H1484" s="12" t="inlineStr">
        <is>
          <t xml:space="preserve">APPROVED / UNSURE; </t>
        </is>
      </c>
      <c r="I1484" s="12" t="inlineStr">
        <is>
          <t>New</t>
        </is>
      </c>
      <c r="J1484" s="17" t="inlineStr">
        <is>
          <t>08 CROSSWALK</t>
        </is>
      </c>
    </row>
    <row r="1485" ht="49" customHeight="1">
      <c r="A1485" s="12" t="inlineStr">
        <is>
          <t>R1018-v2</t>
        </is>
      </c>
      <c r="B1485" s="12" t="inlineStr">
        <is>
          <t>Contractor Programme / SCH-06-118</t>
        </is>
      </c>
      <c r="C1485" s="12" t="inlineStr">
        <is>
          <t>No explicit source assertion recorded</t>
        </is>
      </c>
      <c r="D1485" s="12" t="inlineStr">
        <is>
          <t>Proposed by Professional; target UNSURE</t>
        </is>
      </c>
      <c r="E1485" s="12" t="inlineStr">
        <is>
          <t>None recorded</t>
        </is>
      </c>
      <c r="F1485" s="12" t="inlineStr">
        <is>
          <t>Maya Chen, Owner Project Controls: Professional decision</t>
        </is>
      </c>
      <c r="G1485" s="12" t="inlineStr">
        <is>
          <t>Group decision (182 records sharing one decision state)</t>
        </is>
      </c>
      <c r="H1485" s="12" t="inlineStr">
        <is>
          <t xml:space="preserve">APPROVED / UNSURE; </t>
        </is>
      </c>
      <c r="I1485" s="12" t="inlineStr">
        <is>
          <t>New</t>
        </is>
      </c>
      <c r="J1485" s="17" t="inlineStr">
        <is>
          <t>08 CROSSWALK</t>
        </is>
      </c>
    </row>
    <row r="1486" ht="49" customHeight="1">
      <c r="A1486" s="12" t="inlineStr">
        <is>
          <t>R1019-v2</t>
        </is>
      </c>
      <c r="B1486" s="12" t="inlineStr">
        <is>
          <t>Contractor Programme / SCH-06-119</t>
        </is>
      </c>
      <c r="C1486" s="12" t="inlineStr">
        <is>
          <t>No explicit source assertion recorded</t>
        </is>
      </c>
      <c r="D1486" s="12" t="inlineStr">
        <is>
          <t>Proposed by Professional; target UNSURE</t>
        </is>
      </c>
      <c r="E1486" s="12" t="inlineStr">
        <is>
          <t>None recorded</t>
        </is>
      </c>
      <c r="F1486" s="12" t="inlineStr">
        <is>
          <t>Maya Chen, Owner Project Controls: Professional decision</t>
        </is>
      </c>
      <c r="G1486" s="12" t="inlineStr">
        <is>
          <t>Group decision (182 records sharing one decision state)</t>
        </is>
      </c>
      <c r="H1486" s="12" t="inlineStr">
        <is>
          <t xml:space="preserve">APPROVED / UNSURE; </t>
        </is>
      </c>
      <c r="I1486" s="12" t="inlineStr">
        <is>
          <t>New</t>
        </is>
      </c>
      <c r="J1486" s="17" t="inlineStr">
        <is>
          <t>08 CROSSWALK</t>
        </is>
      </c>
    </row>
    <row r="1487" ht="49" customHeight="1">
      <c r="A1487" s="12" t="inlineStr">
        <is>
          <t>R1020-v2</t>
        </is>
      </c>
      <c r="B1487" s="12" t="inlineStr">
        <is>
          <t>Contractor Programme / SCH-06-120</t>
        </is>
      </c>
      <c r="C1487" s="12" t="inlineStr">
        <is>
          <t>No explicit source assertion recorded</t>
        </is>
      </c>
      <c r="D1487" s="12" t="inlineStr">
        <is>
          <t>Proposed by Professional; target UNSURE</t>
        </is>
      </c>
      <c r="E1487" s="12" t="inlineStr">
        <is>
          <t>None recorded</t>
        </is>
      </c>
      <c r="F1487" s="12" t="inlineStr">
        <is>
          <t>Maya Chen, Owner Project Controls: Professional decision</t>
        </is>
      </c>
      <c r="G1487" s="12" t="inlineStr">
        <is>
          <t>Group decision (182 records sharing one decision state)</t>
        </is>
      </c>
      <c r="H1487" s="12" t="inlineStr">
        <is>
          <t xml:space="preserve">APPROVED / UNSURE; </t>
        </is>
      </c>
      <c r="I1487" s="12" t="inlineStr">
        <is>
          <t>New</t>
        </is>
      </c>
      <c r="J1487" s="17" t="inlineStr">
        <is>
          <t>08 CROSSWALK</t>
        </is>
      </c>
    </row>
    <row r="1488" ht="49" customHeight="1">
      <c r="A1488" s="12" t="inlineStr">
        <is>
          <t>R1021-v2</t>
        </is>
      </c>
      <c r="B1488" s="12" t="inlineStr">
        <is>
          <t>Contractor Programme / SCH-06-121</t>
        </is>
      </c>
      <c r="C1488" s="12" t="inlineStr">
        <is>
          <t>No explicit source assertion recorded</t>
        </is>
      </c>
      <c r="D1488" s="12" t="inlineStr">
        <is>
          <t>Proposed by Professional; target UNSURE</t>
        </is>
      </c>
      <c r="E1488" s="12" t="inlineStr">
        <is>
          <t>None recorded</t>
        </is>
      </c>
      <c r="F1488" s="12" t="inlineStr">
        <is>
          <t>Maya Chen, Owner Project Controls: Professional decision</t>
        </is>
      </c>
      <c r="G1488" s="12" t="inlineStr">
        <is>
          <t>Group decision (182 records sharing one decision state)</t>
        </is>
      </c>
      <c r="H1488" s="12" t="inlineStr">
        <is>
          <t xml:space="preserve">APPROVED / UNSURE; </t>
        </is>
      </c>
      <c r="I1488" s="12" t="inlineStr">
        <is>
          <t>New</t>
        </is>
      </c>
      <c r="J1488" s="17" t="inlineStr">
        <is>
          <t>08 CROSSWALK</t>
        </is>
      </c>
    </row>
    <row r="1489" ht="49" customHeight="1">
      <c r="A1489" s="12" t="inlineStr">
        <is>
          <t>R1022-v2</t>
        </is>
      </c>
      <c r="B1489" s="12" t="inlineStr">
        <is>
          <t>Contractor Programme / SCH-06-122</t>
        </is>
      </c>
      <c r="C1489" s="12" t="inlineStr">
        <is>
          <t>No explicit source assertion recorded</t>
        </is>
      </c>
      <c r="D1489" s="12" t="inlineStr">
        <is>
          <t>Proposed by Professional; target UNSURE</t>
        </is>
      </c>
      <c r="E1489" s="12" t="inlineStr">
        <is>
          <t>None recorded</t>
        </is>
      </c>
      <c r="F1489" s="12" t="inlineStr">
        <is>
          <t>Maya Chen, Owner Project Controls: Professional decision</t>
        </is>
      </c>
      <c r="G1489" s="12" t="inlineStr">
        <is>
          <t>Group decision (182 records sharing one decision state)</t>
        </is>
      </c>
      <c r="H1489" s="12" t="inlineStr">
        <is>
          <t xml:space="preserve">APPROVED / UNSURE; </t>
        </is>
      </c>
      <c r="I1489" s="12" t="inlineStr">
        <is>
          <t>New</t>
        </is>
      </c>
      <c r="J1489" s="17" t="inlineStr">
        <is>
          <t>08 CROSSWALK</t>
        </is>
      </c>
    </row>
    <row r="1490" ht="49" customHeight="1">
      <c r="A1490" s="12" t="inlineStr">
        <is>
          <t>R1023-v2</t>
        </is>
      </c>
      <c r="B1490" s="12" t="inlineStr">
        <is>
          <t>Contractor Programme / SCH-06-123</t>
        </is>
      </c>
      <c r="C1490" s="12" t="inlineStr">
        <is>
          <t>No explicit source assertion recorded</t>
        </is>
      </c>
      <c r="D1490" s="12" t="inlineStr">
        <is>
          <t>Proposed by Professional; target UNSURE</t>
        </is>
      </c>
      <c r="E1490" s="12" t="inlineStr">
        <is>
          <t>None recorded</t>
        </is>
      </c>
      <c r="F1490" s="12" t="inlineStr">
        <is>
          <t>Maya Chen, Owner Project Controls: Professional decision</t>
        </is>
      </c>
      <c r="G1490" s="12" t="inlineStr">
        <is>
          <t>Group decision (182 records sharing one decision state)</t>
        </is>
      </c>
      <c r="H1490" s="12" t="inlineStr">
        <is>
          <t xml:space="preserve">APPROVED / UNSURE; </t>
        </is>
      </c>
      <c r="I1490" s="12" t="inlineStr">
        <is>
          <t>New</t>
        </is>
      </c>
      <c r="J1490" s="17" t="inlineStr">
        <is>
          <t>08 CROSSWALK</t>
        </is>
      </c>
    </row>
    <row r="1491" ht="49" customHeight="1">
      <c r="A1491" s="12" t="inlineStr">
        <is>
          <t>R1024-v2</t>
        </is>
      </c>
      <c r="B1491" s="12" t="inlineStr">
        <is>
          <t>Contractor Programme / SCH-06-124</t>
        </is>
      </c>
      <c r="C1491" s="12" t="inlineStr">
        <is>
          <t>No explicit source assertion recorded</t>
        </is>
      </c>
      <c r="D1491" s="12" t="inlineStr">
        <is>
          <t>Proposed by Professional; target UNSURE</t>
        </is>
      </c>
      <c r="E1491" s="12" t="inlineStr">
        <is>
          <t>None recorded</t>
        </is>
      </c>
      <c r="F1491" s="12" t="inlineStr">
        <is>
          <t>Maya Chen, Owner Project Controls: Professional decision</t>
        </is>
      </c>
      <c r="G1491" s="12" t="inlineStr">
        <is>
          <t>Group decision (182 records sharing one decision state)</t>
        </is>
      </c>
      <c r="H1491" s="12" t="inlineStr">
        <is>
          <t xml:space="preserve">APPROVED / UNSURE; </t>
        </is>
      </c>
      <c r="I1491" s="12" t="inlineStr">
        <is>
          <t>New</t>
        </is>
      </c>
      <c r="J1491" s="17" t="inlineStr">
        <is>
          <t>08 CROSSWALK</t>
        </is>
      </c>
    </row>
    <row r="1492" ht="49" customHeight="1">
      <c r="A1492" s="12" t="inlineStr">
        <is>
          <t>R1025-v2</t>
        </is>
      </c>
      <c r="B1492" s="12" t="inlineStr">
        <is>
          <t>Contractor Programme / SCH-06-125</t>
        </is>
      </c>
      <c r="C1492" s="12" t="inlineStr">
        <is>
          <t>No explicit source assertion recorded</t>
        </is>
      </c>
      <c r="D1492" s="12" t="inlineStr">
        <is>
          <t>Proposed by Professional; target UNSURE</t>
        </is>
      </c>
      <c r="E1492" s="12" t="inlineStr">
        <is>
          <t>None recorded</t>
        </is>
      </c>
      <c r="F1492" s="12" t="inlineStr">
        <is>
          <t>Maya Chen, Owner Project Controls: Professional decision</t>
        </is>
      </c>
      <c r="G1492" s="12" t="inlineStr">
        <is>
          <t>Group decision (182 records sharing one decision state)</t>
        </is>
      </c>
      <c r="H1492" s="12" t="inlineStr">
        <is>
          <t xml:space="preserve">APPROVED / UNSURE; </t>
        </is>
      </c>
      <c r="I1492" s="12" t="inlineStr">
        <is>
          <t>New</t>
        </is>
      </c>
      <c r="J1492" s="17" t="inlineStr">
        <is>
          <t>08 CROSSWALK</t>
        </is>
      </c>
    </row>
    <row r="1493" ht="49" customHeight="1">
      <c r="A1493" s="12" t="inlineStr">
        <is>
          <t>R1026-v2</t>
        </is>
      </c>
      <c r="B1493" s="12" t="inlineStr">
        <is>
          <t>Contractor Programme / SCH-06-126</t>
        </is>
      </c>
      <c r="C1493" s="12" t="inlineStr">
        <is>
          <t>No explicit source assertion recorded</t>
        </is>
      </c>
      <c r="D1493" s="12" t="inlineStr">
        <is>
          <t>Proposed by Professional; target UNSURE</t>
        </is>
      </c>
      <c r="E1493" s="12" t="inlineStr">
        <is>
          <t>None recorded</t>
        </is>
      </c>
      <c r="F1493" s="12" t="inlineStr">
        <is>
          <t>Maya Chen, Owner Project Controls: Professional decision</t>
        </is>
      </c>
      <c r="G1493" s="12" t="inlineStr">
        <is>
          <t>Group decision (182 records sharing one decision state)</t>
        </is>
      </c>
      <c r="H1493" s="12" t="inlineStr">
        <is>
          <t xml:space="preserve">APPROVED / UNSURE; </t>
        </is>
      </c>
      <c r="I1493" s="12" t="inlineStr">
        <is>
          <t>New</t>
        </is>
      </c>
      <c r="J1493" s="17" t="inlineStr">
        <is>
          <t>08 CROSSWALK</t>
        </is>
      </c>
    </row>
    <row r="1494" ht="49" customHeight="1">
      <c r="A1494" s="12" t="inlineStr">
        <is>
          <t>R1027-v2</t>
        </is>
      </c>
      <c r="B1494" s="12" t="inlineStr">
        <is>
          <t>Contractor Programme / SCH-06-127</t>
        </is>
      </c>
      <c r="C1494" s="12" t="inlineStr">
        <is>
          <t>No explicit source assertion recorded</t>
        </is>
      </c>
      <c r="D1494" s="12" t="inlineStr">
        <is>
          <t>Proposed by Professional; target UNSURE</t>
        </is>
      </c>
      <c r="E1494" s="12" t="inlineStr">
        <is>
          <t>None recorded</t>
        </is>
      </c>
      <c r="F1494" s="12" t="inlineStr">
        <is>
          <t>Maya Chen, Owner Project Controls: Professional decision</t>
        </is>
      </c>
      <c r="G1494" s="12" t="inlineStr">
        <is>
          <t>Group decision (182 records sharing one decision state)</t>
        </is>
      </c>
      <c r="H1494" s="12" t="inlineStr">
        <is>
          <t xml:space="preserve">APPROVED / UNSURE; </t>
        </is>
      </c>
      <c r="I1494" s="12" t="inlineStr">
        <is>
          <t>New</t>
        </is>
      </c>
      <c r="J1494" s="17" t="inlineStr">
        <is>
          <t>08 CROSSWALK</t>
        </is>
      </c>
    </row>
    <row r="1495" ht="49" customHeight="1">
      <c r="A1495" s="12" t="inlineStr">
        <is>
          <t>R1028-v2</t>
        </is>
      </c>
      <c r="B1495" s="12" t="inlineStr">
        <is>
          <t>Contractor Programme / SCH-06-128</t>
        </is>
      </c>
      <c r="C1495" s="12" t="inlineStr">
        <is>
          <t>No explicit source assertion recorded</t>
        </is>
      </c>
      <c r="D1495" s="12" t="inlineStr">
        <is>
          <t>Proposed by Professional; target UNSURE</t>
        </is>
      </c>
      <c r="E1495" s="12" t="inlineStr">
        <is>
          <t>None recorded</t>
        </is>
      </c>
      <c r="F1495" s="12" t="inlineStr">
        <is>
          <t>Maya Chen, Owner Project Controls: Professional decision</t>
        </is>
      </c>
      <c r="G1495" s="12" t="inlineStr">
        <is>
          <t>Group decision (182 records sharing one decision state)</t>
        </is>
      </c>
      <c r="H1495" s="12" t="inlineStr">
        <is>
          <t xml:space="preserve">APPROVED / UNSURE; </t>
        </is>
      </c>
      <c r="I1495" s="12" t="inlineStr">
        <is>
          <t>New</t>
        </is>
      </c>
      <c r="J1495" s="17" t="inlineStr">
        <is>
          <t>08 CROSSWALK</t>
        </is>
      </c>
    </row>
    <row r="1496" ht="49" customHeight="1">
      <c r="A1496" s="12" t="inlineStr">
        <is>
          <t>R1029-v2</t>
        </is>
      </c>
      <c r="B1496" s="12" t="inlineStr">
        <is>
          <t>Contractor Programme / SCH-06-129</t>
        </is>
      </c>
      <c r="C1496" s="12" t="inlineStr">
        <is>
          <t>No explicit source assertion recorded</t>
        </is>
      </c>
      <c r="D1496" s="12" t="inlineStr">
        <is>
          <t>Proposed by Professional; target UNSURE</t>
        </is>
      </c>
      <c r="E1496" s="12" t="inlineStr">
        <is>
          <t>None recorded</t>
        </is>
      </c>
      <c r="F1496" s="12" t="inlineStr">
        <is>
          <t>Maya Chen, Owner Project Controls: Professional decision</t>
        </is>
      </c>
      <c r="G1496" s="12" t="inlineStr">
        <is>
          <t>Group decision (182 records sharing one decision state)</t>
        </is>
      </c>
      <c r="H1496" s="12" t="inlineStr">
        <is>
          <t xml:space="preserve">APPROVED / UNSURE; </t>
        </is>
      </c>
      <c r="I1496" s="12" t="inlineStr">
        <is>
          <t>New</t>
        </is>
      </c>
      <c r="J1496" s="17" t="inlineStr">
        <is>
          <t>08 CROSSWALK</t>
        </is>
      </c>
    </row>
    <row r="1497" ht="49" customHeight="1">
      <c r="A1497" s="12" t="inlineStr">
        <is>
          <t>R1030-v2</t>
        </is>
      </c>
      <c r="B1497" s="12" t="inlineStr">
        <is>
          <t>Contractor Programme / SCH-06-130</t>
        </is>
      </c>
      <c r="C1497" s="12" t="inlineStr">
        <is>
          <t>No explicit source assertion recorded</t>
        </is>
      </c>
      <c r="D1497" s="12" t="inlineStr">
        <is>
          <t>Proposed by Professional; target UNSURE</t>
        </is>
      </c>
      <c r="E1497" s="12" t="inlineStr">
        <is>
          <t>None recorded</t>
        </is>
      </c>
      <c r="F1497" s="12" t="inlineStr">
        <is>
          <t>Maya Chen, Owner Project Controls: Professional decision</t>
        </is>
      </c>
      <c r="G1497" s="12" t="inlineStr">
        <is>
          <t>Group decision (182 records sharing one decision state)</t>
        </is>
      </c>
      <c r="H1497" s="12" t="inlineStr">
        <is>
          <t xml:space="preserve">APPROVED / UNSURE; </t>
        </is>
      </c>
      <c r="I1497" s="12" t="inlineStr">
        <is>
          <t>New</t>
        </is>
      </c>
      <c r="J1497" s="17" t="inlineStr">
        <is>
          <t>08 CROSSWALK</t>
        </is>
      </c>
    </row>
    <row r="1498" ht="49" customHeight="1">
      <c r="A1498" s="12" t="inlineStr">
        <is>
          <t>R1031-v2</t>
        </is>
      </c>
      <c r="B1498" s="12" t="inlineStr">
        <is>
          <t>Contractor Programme / SCH-06-131</t>
        </is>
      </c>
      <c r="C1498" s="12" t="inlineStr">
        <is>
          <t>No explicit source assertion recorded</t>
        </is>
      </c>
      <c r="D1498" s="12" t="inlineStr">
        <is>
          <t>Proposed by Professional; target UNSURE</t>
        </is>
      </c>
      <c r="E1498" s="12" t="inlineStr">
        <is>
          <t>None recorded</t>
        </is>
      </c>
      <c r="F1498" s="12" t="inlineStr">
        <is>
          <t>Maya Chen, Owner Project Controls: Professional decision</t>
        </is>
      </c>
      <c r="G1498" s="12" t="inlineStr">
        <is>
          <t>Group decision (182 records sharing one decision state)</t>
        </is>
      </c>
      <c r="H1498" s="12" t="inlineStr">
        <is>
          <t xml:space="preserve">APPROVED / UNSURE; </t>
        </is>
      </c>
      <c r="I1498" s="12" t="inlineStr">
        <is>
          <t>New</t>
        </is>
      </c>
      <c r="J1498" s="17" t="inlineStr">
        <is>
          <t>08 CROSSWALK</t>
        </is>
      </c>
    </row>
    <row r="1499" ht="49" customHeight="1">
      <c r="A1499" s="12" t="inlineStr">
        <is>
          <t>R1032-v2</t>
        </is>
      </c>
      <c r="B1499" s="12" t="inlineStr">
        <is>
          <t>Contractor Programme / SCH-06-132</t>
        </is>
      </c>
      <c r="C1499" s="12" t="inlineStr">
        <is>
          <t>No explicit source assertion recorded</t>
        </is>
      </c>
      <c r="D1499" s="12" t="inlineStr">
        <is>
          <t>Proposed by Professional; target UNSURE</t>
        </is>
      </c>
      <c r="E1499" s="12" t="inlineStr">
        <is>
          <t>None recorded</t>
        </is>
      </c>
      <c r="F1499" s="12" t="inlineStr">
        <is>
          <t>Maya Chen, Owner Project Controls: Professional decision</t>
        </is>
      </c>
      <c r="G1499" s="12" t="inlineStr">
        <is>
          <t>Group decision (182 records sharing one decision state)</t>
        </is>
      </c>
      <c r="H1499" s="12" t="inlineStr">
        <is>
          <t xml:space="preserve">APPROVED / UNSURE; </t>
        </is>
      </c>
      <c r="I1499" s="12" t="inlineStr">
        <is>
          <t>New</t>
        </is>
      </c>
      <c r="J1499" s="17" t="inlineStr">
        <is>
          <t>08 CROSSWALK</t>
        </is>
      </c>
    </row>
    <row r="1500" ht="49" customHeight="1">
      <c r="A1500" s="12" t="inlineStr">
        <is>
          <t>R1033-v2</t>
        </is>
      </c>
      <c r="B1500" s="12" t="inlineStr">
        <is>
          <t>Contractor Programme / SCH-06-133</t>
        </is>
      </c>
      <c r="C1500" s="12" t="inlineStr">
        <is>
          <t>No explicit source assertion recorded</t>
        </is>
      </c>
      <c r="D1500" s="12" t="inlineStr">
        <is>
          <t>Proposed by Professional; target UNSURE</t>
        </is>
      </c>
      <c r="E1500" s="12" t="inlineStr">
        <is>
          <t>None recorded</t>
        </is>
      </c>
      <c r="F1500" s="12" t="inlineStr">
        <is>
          <t>Maya Chen, Owner Project Controls: Professional decision</t>
        </is>
      </c>
      <c r="G1500" s="12" t="inlineStr">
        <is>
          <t>Group decision (182 records sharing one decision state)</t>
        </is>
      </c>
      <c r="H1500" s="12" t="inlineStr">
        <is>
          <t xml:space="preserve">APPROVED / UNSURE; </t>
        </is>
      </c>
      <c r="I1500" s="12" t="inlineStr">
        <is>
          <t>New</t>
        </is>
      </c>
      <c r="J1500" s="17" t="inlineStr">
        <is>
          <t>08 CROSSWALK</t>
        </is>
      </c>
    </row>
    <row r="1501" ht="49" customHeight="1">
      <c r="A1501" s="12" t="inlineStr">
        <is>
          <t>R1034-v2</t>
        </is>
      </c>
      <c r="B1501" s="12" t="inlineStr">
        <is>
          <t>Contractor Programme / SCH-06-134</t>
        </is>
      </c>
      <c r="C1501" s="12" t="inlineStr">
        <is>
          <t>No explicit source assertion recorded</t>
        </is>
      </c>
      <c r="D1501" s="12" t="inlineStr">
        <is>
          <t>Proposed by Professional; target UNSURE</t>
        </is>
      </c>
      <c r="E1501" s="12" t="inlineStr">
        <is>
          <t>None recorded</t>
        </is>
      </c>
      <c r="F1501" s="12" t="inlineStr">
        <is>
          <t>Maya Chen, Owner Project Controls: Professional decision</t>
        </is>
      </c>
      <c r="G1501" s="12" t="inlineStr">
        <is>
          <t>Group decision (182 records sharing one decision state)</t>
        </is>
      </c>
      <c r="H1501" s="12" t="inlineStr">
        <is>
          <t xml:space="preserve">APPROVED / UNSURE; </t>
        </is>
      </c>
      <c r="I1501" s="12" t="inlineStr">
        <is>
          <t>New</t>
        </is>
      </c>
      <c r="J1501" s="17" t="inlineStr">
        <is>
          <t>08 CROSSWALK</t>
        </is>
      </c>
    </row>
    <row r="1502" ht="49" customHeight="1">
      <c r="A1502" s="12" t="inlineStr">
        <is>
          <t>R1035-v2</t>
        </is>
      </c>
      <c r="B1502" s="12" t="inlineStr">
        <is>
          <t>Contractor Programme / SCH-06-135</t>
        </is>
      </c>
      <c r="C1502" s="12" t="inlineStr">
        <is>
          <t>No explicit source assertion recorded</t>
        </is>
      </c>
      <c r="D1502" s="12" t="inlineStr">
        <is>
          <t>Proposed by Professional; target UNSURE</t>
        </is>
      </c>
      <c r="E1502" s="12" t="inlineStr">
        <is>
          <t>None recorded</t>
        </is>
      </c>
      <c r="F1502" s="12" t="inlineStr">
        <is>
          <t>Maya Chen, Owner Project Controls: Professional decision</t>
        </is>
      </c>
      <c r="G1502" s="12" t="inlineStr">
        <is>
          <t>Group decision (182 records sharing one decision state)</t>
        </is>
      </c>
      <c r="H1502" s="12" t="inlineStr">
        <is>
          <t xml:space="preserve">APPROVED / UNSURE; </t>
        </is>
      </c>
      <c r="I1502" s="12" t="inlineStr">
        <is>
          <t>New</t>
        </is>
      </c>
      <c r="J1502" s="17" t="inlineStr">
        <is>
          <t>08 CROSSWALK</t>
        </is>
      </c>
    </row>
    <row r="1503" ht="49" customHeight="1">
      <c r="A1503" s="12" t="inlineStr">
        <is>
          <t>R1036-v2</t>
        </is>
      </c>
      <c r="B1503" s="12" t="inlineStr">
        <is>
          <t>Contractor Programme / SCH-06-136</t>
        </is>
      </c>
      <c r="C1503" s="12" t="inlineStr">
        <is>
          <t>No explicit source assertion recorded</t>
        </is>
      </c>
      <c r="D1503" s="12" t="inlineStr">
        <is>
          <t>Proposed by Professional; target UNSURE</t>
        </is>
      </c>
      <c r="E1503" s="12" t="inlineStr">
        <is>
          <t>None recorded</t>
        </is>
      </c>
      <c r="F1503" s="12" t="inlineStr">
        <is>
          <t>Maya Chen, Owner Project Controls: Professional decision</t>
        </is>
      </c>
      <c r="G1503" s="12" t="inlineStr">
        <is>
          <t>Group decision (182 records sharing one decision state)</t>
        </is>
      </c>
      <c r="H1503" s="12" t="inlineStr">
        <is>
          <t xml:space="preserve">APPROVED / UNSURE; </t>
        </is>
      </c>
      <c r="I1503" s="12" t="inlineStr">
        <is>
          <t>New</t>
        </is>
      </c>
      <c r="J1503" s="17" t="inlineStr">
        <is>
          <t>08 CROSSWALK</t>
        </is>
      </c>
    </row>
    <row r="1504" ht="49" customHeight="1">
      <c r="A1504" s="12" t="inlineStr">
        <is>
          <t>R1037-v2</t>
        </is>
      </c>
      <c r="B1504" s="12" t="inlineStr">
        <is>
          <t>Contractor Programme / SCH-06-137</t>
        </is>
      </c>
      <c r="C1504" s="12" t="inlineStr">
        <is>
          <t>No explicit source assertion recorded</t>
        </is>
      </c>
      <c r="D1504" s="12" t="inlineStr">
        <is>
          <t>Proposed by Professional; target UNSURE</t>
        </is>
      </c>
      <c r="E1504" s="12" t="inlineStr">
        <is>
          <t>None recorded</t>
        </is>
      </c>
      <c r="F1504" s="12" t="inlineStr">
        <is>
          <t>Maya Chen, Owner Project Controls: Professional decision</t>
        </is>
      </c>
      <c r="G1504" s="12" t="inlineStr">
        <is>
          <t>Group decision (182 records sharing one decision state)</t>
        </is>
      </c>
      <c r="H1504" s="12" t="inlineStr">
        <is>
          <t xml:space="preserve">APPROVED / UNSURE; </t>
        </is>
      </c>
      <c r="I1504" s="12" t="inlineStr">
        <is>
          <t>New</t>
        </is>
      </c>
      <c r="J1504" s="17" t="inlineStr">
        <is>
          <t>08 CROSSWALK</t>
        </is>
      </c>
    </row>
    <row r="1505" ht="49" customHeight="1">
      <c r="A1505" s="12" t="inlineStr">
        <is>
          <t>R1038-v2</t>
        </is>
      </c>
      <c r="B1505" s="12" t="inlineStr">
        <is>
          <t>Contractor Programme / SCH-06-138</t>
        </is>
      </c>
      <c r="C1505" s="12" t="inlineStr">
        <is>
          <t>No explicit source assertion recorded</t>
        </is>
      </c>
      <c r="D1505" s="12" t="inlineStr">
        <is>
          <t>Proposed by Professional; target UNSURE</t>
        </is>
      </c>
      <c r="E1505" s="12" t="inlineStr">
        <is>
          <t>None recorded</t>
        </is>
      </c>
      <c r="F1505" s="12" t="inlineStr">
        <is>
          <t>Maya Chen, Owner Project Controls: Professional decision</t>
        </is>
      </c>
      <c r="G1505" s="12" t="inlineStr">
        <is>
          <t>Group decision (182 records sharing one decision state)</t>
        </is>
      </c>
      <c r="H1505" s="12" t="inlineStr">
        <is>
          <t xml:space="preserve">APPROVED / UNSURE; </t>
        </is>
      </c>
      <c r="I1505" s="12" t="inlineStr">
        <is>
          <t>New</t>
        </is>
      </c>
      <c r="J1505" s="17" t="inlineStr">
        <is>
          <t>08 CROSSWALK</t>
        </is>
      </c>
    </row>
    <row r="1506" ht="49" customHeight="1">
      <c r="A1506" s="12" t="inlineStr">
        <is>
          <t>R1039-v2</t>
        </is>
      </c>
      <c r="B1506" s="12" t="inlineStr">
        <is>
          <t>Contractor Programme / SCH-06-139</t>
        </is>
      </c>
      <c r="C1506" s="12" t="inlineStr">
        <is>
          <t>No explicit source assertion recorded</t>
        </is>
      </c>
      <c r="D1506" s="12" t="inlineStr">
        <is>
          <t>Proposed by Professional; target UNSURE</t>
        </is>
      </c>
      <c r="E1506" s="12" t="inlineStr">
        <is>
          <t>None recorded</t>
        </is>
      </c>
      <c r="F1506" s="12" t="inlineStr">
        <is>
          <t>Maya Chen, Owner Project Controls: Professional decision</t>
        </is>
      </c>
      <c r="G1506" s="12" t="inlineStr">
        <is>
          <t>Group decision (182 records sharing one decision state)</t>
        </is>
      </c>
      <c r="H1506" s="12" t="inlineStr">
        <is>
          <t xml:space="preserve">APPROVED / UNSURE; </t>
        </is>
      </c>
      <c r="I1506" s="12" t="inlineStr">
        <is>
          <t>New</t>
        </is>
      </c>
      <c r="J1506" s="17" t="inlineStr">
        <is>
          <t>08 CROSSWALK</t>
        </is>
      </c>
    </row>
    <row r="1507" ht="49" customHeight="1">
      <c r="A1507" s="12" t="inlineStr">
        <is>
          <t>R1040-v2</t>
        </is>
      </c>
      <c r="B1507" s="12" t="inlineStr">
        <is>
          <t>Contractor Programme / SCH-06-140</t>
        </is>
      </c>
      <c r="C1507" s="12" t="inlineStr">
        <is>
          <t>No explicit source assertion recorded</t>
        </is>
      </c>
      <c r="D1507" s="12" t="inlineStr">
        <is>
          <t>Proposed by Professional; target UNSURE</t>
        </is>
      </c>
      <c r="E1507" s="12" t="inlineStr">
        <is>
          <t>None recorded</t>
        </is>
      </c>
      <c r="F1507" s="12" t="inlineStr">
        <is>
          <t>Maya Chen, Owner Project Controls: Professional decision</t>
        </is>
      </c>
      <c r="G1507" s="12" t="inlineStr">
        <is>
          <t>Group decision (182 records sharing one decision state)</t>
        </is>
      </c>
      <c r="H1507" s="12" t="inlineStr">
        <is>
          <t xml:space="preserve">APPROVED / UNSURE; </t>
        </is>
      </c>
      <c r="I1507" s="12" t="inlineStr">
        <is>
          <t>New</t>
        </is>
      </c>
      <c r="J1507" s="17" t="inlineStr">
        <is>
          <t>08 CROSSWALK</t>
        </is>
      </c>
    </row>
    <row r="1508" ht="49" customHeight="1">
      <c r="A1508" s="12" t="inlineStr">
        <is>
          <t>R1041-v2</t>
        </is>
      </c>
      <c r="B1508" s="12" t="inlineStr">
        <is>
          <t>Contractor Programme / SCH-06-141</t>
        </is>
      </c>
      <c r="C1508" s="12" t="inlineStr">
        <is>
          <t>No explicit source assertion recorded</t>
        </is>
      </c>
      <c r="D1508" s="12" t="inlineStr">
        <is>
          <t>Proposed by Professional; target UNSURE</t>
        </is>
      </c>
      <c r="E1508" s="12" t="inlineStr">
        <is>
          <t>None recorded</t>
        </is>
      </c>
      <c r="F1508" s="12" t="inlineStr">
        <is>
          <t>Maya Chen, Owner Project Controls: Professional decision</t>
        </is>
      </c>
      <c r="G1508" s="12" t="inlineStr">
        <is>
          <t>Group decision (182 records sharing one decision state)</t>
        </is>
      </c>
      <c r="H1508" s="12" t="inlineStr">
        <is>
          <t xml:space="preserve">APPROVED / UNSURE; </t>
        </is>
      </c>
      <c r="I1508" s="12" t="inlineStr">
        <is>
          <t>New</t>
        </is>
      </c>
      <c r="J1508" s="17" t="inlineStr">
        <is>
          <t>08 CROSSWALK</t>
        </is>
      </c>
    </row>
    <row r="1509" ht="49" customHeight="1">
      <c r="A1509" s="12" t="inlineStr">
        <is>
          <t>R1042-v2</t>
        </is>
      </c>
      <c r="B1509" s="12" t="inlineStr">
        <is>
          <t>Contractor Programme / SCH-06-142</t>
        </is>
      </c>
      <c r="C1509" s="12" t="inlineStr">
        <is>
          <t>No explicit source assertion recorded</t>
        </is>
      </c>
      <c r="D1509" s="12" t="inlineStr">
        <is>
          <t>Proposed by Professional; target UNSURE</t>
        </is>
      </c>
      <c r="E1509" s="12" t="inlineStr">
        <is>
          <t>None recorded</t>
        </is>
      </c>
      <c r="F1509" s="12" t="inlineStr">
        <is>
          <t>Maya Chen, Owner Project Controls: Professional decision</t>
        </is>
      </c>
      <c r="G1509" s="12" t="inlineStr">
        <is>
          <t>Group decision (182 records sharing one decision state)</t>
        </is>
      </c>
      <c r="H1509" s="12" t="inlineStr">
        <is>
          <t xml:space="preserve">APPROVED / UNSURE; </t>
        </is>
      </c>
      <c r="I1509" s="12" t="inlineStr">
        <is>
          <t>New</t>
        </is>
      </c>
      <c r="J1509" s="17" t="inlineStr">
        <is>
          <t>08 CROSSWALK</t>
        </is>
      </c>
    </row>
    <row r="1510" ht="49" customHeight="1">
      <c r="A1510" s="12" t="inlineStr">
        <is>
          <t>R1043-v2</t>
        </is>
      </c>
      <c r="B1510" s="12" t="inlineStr">
        <is>
          <t>Contractor Programme / SCH-06-143</t>
        </is>
      </c>
      <c r="C1510" s="12" t="inlineStr">
        <is>
          <t>No explicit source assertion recorded</t>
        </is>
      </c>
      <c r="D1510" s="12" t="inlineStr">
        <is>
          <t>Proposed by Professional; target UNSURE</t>
        </is>
      </c>
      <c r="E1510" s="12" t="inlineStr">
        <is>
          <t>None recorded</t>
        </is>
      </c>
      <c r="F1510" s="12" t="inlineStr">
        <is>
          <t>Maya Chen, Owner Project Controls: Professional decision</t>
        </is>
      </c>
      <c r="G1510" s="12" t="inlineStr">
        <is>
          <t>Group decision (182 records sharing one decision state)</t>
        </is>
      </c>
      <c r="H1510" s="12" t="inlineStr">
        <is>
          <t xml:space="preserve">APPROVED / UNSURE; </t>
        </is>
      </c>
      <c r="I1510" s="12" t="inlineStr">
        <is>
          <t>New</t>
        </is>
      </c>
      <c r="J1510" s="17" t="inlineStr">
        <is>
          <t>08 CROSSWALK</t>
        </is>
      </c>
    </row>
    <row r="1511" ht="49" customHeight="1">
      <c r="A1511" s="12" t="inlineStr">
        <is>
          <t>R1044-v2</t>
        </is>
      </c>
      <c r="B1511" s="12" t="inlineStr">
        <is>
          <t>Contractor Programme / SCH-06-144</t>
        </is>
      </c>
      <c r="C1511" s="12" t="inlineStr">
        <is>
          <t>No explicit source assertion recorded</t>
        </is>
      </c>
      <c r="D1511" s="12" t="inlineStr">
        <is>
          <t>Proposed by Professional; target UNSURE</t>
        </is>
      </c>
      <c r="E1511" s="12" t="inlineStr">
        <is>
          <t>None recorded</t>
        </is>
      </c>
      <c r="F1511" s="12" t="inlineStr">
        <is>
          <t>Maya Chen, Owner Project Controls: Professional decision</t>
        </is>
      </c>
      <c r="G1511" s="12" t="inlineStr">
        <is>
          <t>Group decision (182 records sharing one decision state)</t>
        </is>
      </c>
      <c r="H1511" s="12" t="inlineStr">
        <is>
          <t xml:space="preserve">APPROVED / UNSURE; </t>
        </is>
      </c>
      <c r="I1511" s="12" t="inlineStr">
        <is>
          <t>New</t>
        </is>
      </c>
      <c r="J1511" s="17" t="inlineStr">
        <is>
          <t>08 CROSSWALK</t>
        </is>
      </c>
    </row>
    <row r="1512" ht="49" customHeight="1">
      <c r="A1512" s="12" t="inlineStr">
        <is>
          <t>R1045-v2</t>
        </is>
      </c>
      <c r="B1512" s="12" t="inlineStr">
        <is>
          <t>Contractor Programme / SCH-06-145</t>
        </is>
      </c>
      <c r="C1512" s="12" t="inlineStr">
        <is>
          <t>No explicit source assertion recorded</t>
        </is>
      </c>
      <c r="D1512" s="12" t="inlineStr">
        <is>
          <t>Proposed by Professional; target UNSURE</t>
        </is>
      </c>
      <c r="E1512" s="12" t="inlineStr">
        <is>
          <t>None recorded</t>
        </is>
      </c>
      <c r="F1512" s="12" t="inlineStr">
        <is>
          <t>Maya Chen, Owner Project Controls: Professional decision</t>
        </is>
      </c>
      <c r="G1512" s="12" t="inlineStr">
        <is>
          <t>Group decision (182 records sharing one decision state)</t>
        </is>
      </c>
      <c r="H1512" s="12" t="inlineStr">
        <is>
          <t xml:space="preserve">APPROVED / UNSURE; </t>
        </is>
      </c>
      <c r="I1512" s="12" t="inlineStr">
        <is>
          <t>New</t>
        </is>
      </c>
      <c r="J1512" s="17" t="inlineStr">
        <is>
          <t>08 CROSSWALK</t>
        </is>
      </c>
    </row>
    <row r="1513" ht="49" customHeight="1">
      <c r="A1513" s="12" t="inlineStr">
        <is>
          <t>R1046-v2</t>
        </is>
      </c>
      <c r="B1513" s="12" t="inlineStr">
        <is>
          <t>Contractor Programme / SCH-06-146</t>
        </is>
      </c>
      <c r="C1513" s="12" t="inlineStr">
        <is>
          <t>No explicit source assertion recorded</t>
        </is>
      </c>
      <c r="D1513" s="12" t="inlineStr">
        <is>
          <t>Proposed by Professional; target UNSURE</t>
        </is>
      </c>
      <c r="E1513" s="12" t="inlineStr">
        <is>
          <t>None recorded</t>
        </is>
      </c>
      <c r="F1513" s="12" t="inlineStr">
        <is>
          <t>Maya Chen, Owner Project Controls: Professional decision</t>
        </is>
      </c>
      <c r="G1513" s="12" t="inlineStr">
        <is>
          <t>Group decision (182 records sharing one decision state)</t>
        </is>
      </c>
      <c r="H1513" s="12" t="inlineStr">
        <is>
          <t xml:space="preserve">APPROVED / UNSURE; </t>
        </is>
      </c>
      <c r="I1513" s="12" t="inlineStr">
        <is>
          <t>New</t>
        </is>
      </c>
      <c r="J1513" s="17" t="inlineStr">
        <is>
          <t>08 CROSSWALK</t>
        </is>
      </c>
    </row>
    <row r="1514" ht="49" customHeight="1">
      <c r="A1514" s="12" t="inlineStr">
        <is>
          <t>R1047-v2</t>
        </is>
      </c>
      <c r="B1514" s="12" t="inlineStr">
        <is>
          <t>Contractor Programme / SCH-06-147</t>
        </is>
      </c>
      <c r="C1514" s="12" t="inlineStr">
        <is>
          <t>No explicit source assertion recorded</t>
        </is>
      </c>
      <c r="D1514" s="12" t="inlineStr">
        <is>
          <t>Proposed by Professional; target UNSURE</t>
        </is>
      </c>
      <c r="E1514" s="12" t="inlineStr">
        <is>
          <t>None recorded</t>
        </is>
      </c>
      <c r="F1514" s="12" t="inlineStr">
        <is>
          <t>Maya Chen, Owner Project Controls: Professional decision</t>
        </is>
      </c>
      <c r="G1514" s="12" t="inlineStr">
        <is>
          <t>Group decision (182 records sharing one decision state)</t>
        </is>
      </c>
      <c r="H1514" s="12" t="inlineStr">
        <is>
          <t xml:space="preserve">APPROVED / UNSURE; </t>
        </is>
      </c>
      <c r="I1514" s="12" t="inlineStr">
        <is>
          <t>New</t>
        </is>
      </c>
      <c r="J1514" s="17" t="inlineStr">
        <is>
          <t>08 CROSSWALK</t>
        </is>
      </c>
    </row>
    <row r="1515" ht="49" customHeight="1">
      <c r="A1515" s="12" t="inlineStr">
        <is>
          <t>R1048-v2</t>
        </is>
      </c>
      <c r="B1515" s="12" t="inlineStr">
        <is>
          <t>Contractor Programme / SCH-06-148</t>
        </is>
      </c>
      <c r="C1515" s="12" t="inlineStr">
        <is>
          <t>No explicit source assertion recorded</t>
        </is>
      </c>
      <c r="D1515" s="12" t="inlineStr">
        <is>
          <t>Proposed by Professional; target UNSURE</t>
        </is>
      </c>
      <c r="E1515" s="12" t="inlineStr">
        <is>
          <t>None recorded</t>
        </is>
      </c>
      <c r="F1515" s="12" t="inlineStr">
        <is>
          <t>Maya Chen, Owner Project Controls: Professional decision</t>
        </is>
      </c>
      <c r="G1515" s="12" t="inlineStr">
        <is>
          <t>Group decision (182 records sharing one decision state)</t>
        </is>
      </c>
      <c r="H1515" s="12" t="inlineStr">
        <is>
          <t xml:space="preserve">APPROVED / UNSURE; </t>
        </is>
      </c>
      <c r="I1515" s="12" t="inlineStr">
        <is>
          <t>New</t>
        </is>
      </c>
      <c r="J1515" s="17" t="inlineStr">
        <is>
          <t>08 CROSSWALK</t>
        </is>
      </c>
    </row>
    <row r="1516" ht="49" customHeight="1">
      <c r="A1516" s="12" t="inlineStr">
        <is>
          <t>R1049-v2</t>
        </is>
      </c>
      <c r="B1516" s="12" t="inlineStr">
        <is>
          <t>Contractor Programme / SCH-06-149</t>
        </is>
      </c>
      <c r="C1516" s="12" t="inlineStr">
        <is>
          <t>No explicit source assertion recorded</t>
        </is>
      </c>
      <c r="D1516" s="12" t="inlineStr">
        <is>
          <t>Proposed by Professional; target UNSURE</t>
        </is>
      </c>
      <c r="E1516" s="12" t="inlineStr">
        <is>
          <t>None recorded</t>
        </is>
      </c>
      <c r="F1516" s="12" t="inlineStr">
        <is>
          <t>Maya Chen, Owner Project Controls: Professional decision</t>
        </is>
      </c>
      <c r="G1516" s="12" t="inlineStr">
        <is>
          <t>Group decision (182 records sharing one decision state)</t>
        </is>
      </c>
      <c r="H1516" s="12" t="inlineStr">
        <is>
          <t xml:space="preserve">APPROVED / UNSURE; </t>
        </is>
      </c>
      <c r="I1516" s="12" t="inlineStr">
        <is>
          <t>New</t>
        </is>
      </c>
      <c r="J1516" s="17" t="inlineStr">
        <is>
          <t>08 CROSSWALK</t>
        </is>
      </c>
    </row>
    <row r="1517" ht="49" customHeight="1">
      <c r="A1517" s="12" t="inlineStr">
        <is>
          <t>R1050-v2</t>
        </is>
      </c>
      <c r="B1517" s="12" t="inlineStr">
        <is>
          <t>Contractor Programme / SCH-06-150</t>
        </is>
      </c>
      <c r="C1517" s="12" t="inlineStr">
        <is>
          <t>No explicit source assertion recorded</t>
        </is>
      </c>
      <c r="D1517" s="12" t="inlineStr">
        <is>
          <t>Proposed by Professional; target UNSURE</t>
        </is>
      </c>
      <c r="E1517" s="12" t="inlineStr">
        <is>
          <t>None recorded</t>
        </is>
      </c>
      <c r="F1517" s="12" t="inlineStr">
        <is>
          <t>Maya Chen, Owner Project Controls: Professional decision</t>
        </is>
      </c>
      <c r="G1517" s="12" t="inlineStr">
        <is>
          <t>Group decision (182 records sharing one decision state)</t>
        </is>
      </c>
      <c r="H1517" s="12" t="inlineStr">
        <is>
          <t xml:space="preserve">APPROVED / UNSURE; </t>
        </is>
      </c>
      <c r="I1517" s="12" t="inlineStr">
        <is>
          <t>New</t>
        </is>
      </c>
      <c r="J1517" s="17" t="inlineStr">
        <is>
          <t>08 CROSSWALK</t>
        </is>
      </c>
    </row>
    <row r="1518" ht="49" customHeight="1">
      <c r="A1518" s="12" t="inlineStr">
        <is>
          <t>R1051-v2</t>
        </is>
      </c>
      <c r="B1518" s="12" t="inlineStr">
        <is>
          <t>Contractor Programme / SCH-06-151</t>
        </is>
      </c>
      <c r="C1518" s="12" t="inlineStr">
        <is>
          <t>No explicit source assertion recorded</t>
        </is>
      </c>
      <c r="D1518" s="12" t="inlineStr">
        <is>
          <t>Proposed by Professional; target UNSURE</t>
        </is>
      </c>
      <c r="E1518" s="12" t="inlineStr">
        <is>
          <t>None recorded</t>
        </is>
      </c>
      <c r="F1518" s="12" t="inlineStr">
        <is>
          <t>Maya Chen, Owner Project Controls: Professional decision</t>
        </is>
      </c>
      <c r="G1518" s="12" t="inlineStr">
        <is>
          <t>Group decision (182 records sharing one decision state)</t>
        </is>
      </c>
      <c r="H1518" s="12" t="inlineStr">
        <is>
          <t xml:space="preserve">APPROVED / UNSURE; </t>
        </is>
      </c>
      <c r="I1518" s="12" t="inlineStr">
        <is>
          <t>New</t>
        </is>
      </c>
      <c r="J1518" s="17" t="inlineStr">
        <is>
          <t>08 CROSSWALK</t>
        </is>
      </c>
    </row>
    <row r="1519" ht="49" customHeight="1">
      <c r="A1519" s="12" t="inlineStr">
        <is>
          <t>R1052-v2</t>
        </is>
      </c>
      <c r="B1519" s="12" t="inlineStr">
        <is>
          <t>Contractor Programme / SCH-06-152</t>
        </is>
      </c>
      <c r="C1519" s="12" t="inlineStr">
        <is>
          <t>No explicit source assertion recorded</t>
        </is>
      </c>
      <c r="D1519" s="12" t="inlineStr">
        <is>
          <t>Proposed by Professional; target UNSURE</t>
        </is>
      </c>
      <c r="E1519" s="12" t="inlineStr">
        <is>
          <t>None recorded</t>
        </is>
      </c>
      <c r="F1519" s="12" t="inlineStr">
        <is>
          <t>Maya Chen, Owner Project Controls: Professional decision</t>
        </is>
      </c>
      <c r="G1519" s="12" t="inlineStr">
        <is>
          <t>Group decision (182 records sharing one decision state)</t>
        </is>
      </c>
      <c r="H1519" s="12" t="inlineStr">
        <is>
          <t xml:space="preserve">APPROVED / UNSURE; </t>
        </is>
      </c>
      <c r="I1519" s="12" t="inlineStr">
        <is>
          <t>New</t>
        </is>
      </c>
      <c r="J1519" s="17" t="inlineStr">
        <is>
          <t>08 CROSSWALK</t>
        </is>
      </c>
    </row>
    <row r="1520" ht="49" customHeight="1">
      <c r="A1520" s="12" t="inlineStr">
        <is>
          <t>R1053-v2</t>
        </is>
      </c>
      <c r="B1520" s="12" t="inlineStr">
        <is>
          <t>Contractor Programme / SCH-06-153</t>
        </is>
      </c>
      <c r="C1520" s="12" t="inlineStr">
        <is>
          <t>No explicit source assertion recorded</t>
        </is>
      </c>
      <c r="D1520" s="12" t="inlineStr">
        <is>
          <t>Proposed by Professional; target UNSURE</t>
        </is>
      </c>
      <c r="E1520" s="12" t="inlineStr">
        <is>
          <t>None recorded</t>
        </is>
      </c>
      <c r="F1520" s="12" t="inlineStr">
        <is>
          <t>Maya Chen, Owner Project Controls: Professional decision</t>
        </is>
      </c>
      <c r="G1520" s="12" t="inlineStr">
        <is>
          <t>Group decision (182 records sharing one decision state)</t>
        </is>
      </c>
      <c r="H1520" s="12" t="inlineStr">
        <is>
          <t xml:space="preserve">APPROVED / UNSURE; </t>
        </is>
      </c>
      <c r="I1520" s="12" t="inlineStr">
        <is>
          <t>New</t>
        </is>
      </c>
      <c r="J1520" s="17" t="inlineStr">
        <is>
          <t>08 CROSSWALK</t>
        </is>
      </c>
    </row>
    <row r="1521" ht="49" customHeight="1">
      <c r="A1521" s="12" t="inlineStr">
        <is>
          <t>R1054-v2</t>
        </is>
      </c>
      <c r="B1521" s="12" t="inlineStr">
        <is>
          <t>Contractor Programme / SCH-06-154</t>
        </is>
      </c>
      <c r="C1521" s="12" t="inlineStr">
        <is>
          <t>No explicit source assertion recorded</t>
        </is>
      </c>
      <c r="D1521" s="12" t="inlineStr">
        <is>
          <t>Proposed by Professional; target UNSURE</t>
        </is>
      </c>
      <c r="E1521" s="12" t="inlineStr">
        <is>
          <t>None recorded</t>
        </is>
      </c>
      <c r="F1521" s="12" t="inlineStr">
        <is>
          <t>Maya Chen, Owner Project Controls: Professional decision</t>
        </is>
      </c>
      <c r="G1521" s="12" t="inlineStr">
        <is>
          <t>Group decision (182 records sharing one decision state)</t>
        </is>
      </c>
      <c r="H1521" s="12" t="inlineStr">
        <is>
          <t xml:space="preserve">APPROVED / UNSURE; </t>
        </is>
      </c>
      <c r="I1521" s="12" t="inlineStr">
        <is>
          <t>New</t>
        </is>
      </c>
      <c r="J1521" s="17" t="inlineStr">
        <is>
          <t>08 CROSSWALK</t>
        </is>
      </c>
    </row>
    <row r="1522" ht="49" customHeight="1">
      <c r="A1522" s="12" t="inlineStr">
        <is>
          <t>R1055-v2</t>
        </is>
      </c>
      <c r="B1522" s="12" t="inlineStr">
        <is>
          <t>Contractor Programme / SCH-06-155</t>
        </is>
      </c>
      <c r="C1522" s="12" t="inlineStr">
        <is>
          <t>No explicit source assertion recorded</t>
        </is>
      </c>
      <c r="D1522" s="12" t="inlineStr">
        <is>
          <t>Proposed by Professional; target UNSURE</t>
        </is>
      </c>
      <c r="E1522" s="12" t="inlineStr">
        <is>
          <t>None recorded</t>
        </is>
      </c>
      <c r="F1522" s="12" t="inlineStr">
        <is>
          <t>Maya Chen, Owner Project Controls: Professional decision</t>
        </is>
      </c>
      <c r="G1522" s="12" t="inlineStr">
        <is>
          <t>Group decision (182 records sharing one decision state)</t>
        </is>
      </c>
      <c r="H1522" s="12" t="inlineStr">
        <is>
          <t xml:space="preserve">APPROVED / UNSURE; </t>
        </is>
      </c>
      <c r="I1522" s="12" t="inlineStr">
        <is>
          <t>New</t>
        </is>
      </c>
      <c r="J1522" s="17" t="inlineStr">
        <is>
          <t>08 CROSSWALK</t>
        </is>
      </c>
    </row>
    <row r="1523" ht="49" customHeight="1">
      <c r="A1523" s="12" t="inlineStr">
        <is>
          <t>R1056-v2</t>
        </is>
      </c>
      <c r="B1523" s="12" t="inlineStr">
        <is>
          <t>Contractor Programme / SCH-06-156</t>
        </is>
      </c>
      <c r="C1523" s="12" t="inlineStr">
        <is>
          <t>No explicit source assertion recorded</t>
        </is>
      </c>
      <c r="D1523" s="12" t="inlineStr">
        <is>
          <t>Proposed by Professional; target UNSURE</t>
        </is>
      </c>
      <c r="E1523" s="12" t="inlineStr">
        <is>
          <t>None recorded</t>
        </is>
      </c>
      <c r="F1523" s="12" t="inlineStr">
        <is>
          <t>Maya Chen, Owner Project Controls: Professional decision</t>
        </is>
      </c>
      <c r="G1523" s="12" t="inlineStr">
        <is>
          <t>Group decision (182 records sharing one decision state)</t>
        </is>
      </c>
      <c r="H1523" s="12" t="inlineStr">
        <is>
          <t xml:space="preserve">APPROVED / UNSURE; </t>
        </is>
      </c>
      <c r="I1523" s="12" t="inlineStr">
        <is>
          <t>New</t>
        </is>
      </c>
      <c r="J1523" s="17" t="inlineStr">
        <is>
          <t>08 CROSSWALK</t>
        </is>
      </c>
    </row>
    <row r="1524" ht="49" customHeight="1">
      <c r="A1524" s="12" t="inlineStr">
        <is>
          <t>R1057-v2</t>
        </is>
      </c>
      <c r="B1524" s="12" t="inlineStr">
        <is>
          <t>Contractor Programme / SCH-06-157</t>
        </is>
      </c>
      <c r="C1524" s="12" t="inlineStr">
        <is>
          <t>No explicit source assertion recorded</t>
        </is>
      </c>
      <c r="D1524" s="12" t="inlineStr">
        <is>
          <t>Proposed by Professional; target UNSURE</t>
        </is>
      </c>
      <c r="E1524" s="12" t="inlineStr">
        <is>
          <t>None recorded</t>
        </is>
      </c>
      <c r="F1524" s="12" t="inlineStr">
        <is>
          <t>Maya Chen, Owner Project Controls: Professional decision</t>
        </is>
      </c>
      <c r="G1524" s="12" t="inlineStr">
        <is>
          <t>Group decision (182 records sharing one decision state)</t>
        </is>
      </c>
      <c r="H1524" s="12" t="inlineStr">
        <is>
          <t xml:space="preserve">APPROVED / UNSURE; </t>
        </is>
      </c>
      <c r="I1524" s="12" t="inlineStr">
        <is>
          <t>New</t>
        </is>
      </c>
      <c r="J1524" s="17" t="inlineStr">
        <is>
          <t>08 CROSSWALK</t>
        </is>
      </c>
    </row>
    <row r="1525" ht="49" customHeight="1">
      <c r="A1525" s="12" t="inlineStr">
        <is>
          <t>R1058-v2</t>
        </is>
      </c>
      <c r="B1525" s="12" t="inlineStr">
        <is>
          <t>Contractor Programme / SCH-06-158</t>
        </is>
      </c>
      <c r="C1525" s="12" t="inlineStr">
        <is>
          <t>No explicit source assertion recorded</t>
        </is>
      </c>
      <c r="D1525" s="12" t="inlineStr">
        <is>
          <t>Proposed by Professional; target UNSURE</t>
        </is>
      </c>
      <c r="E1525" s="12" t="inlineStr">
        <is>
          <t>None recorded</t>
        </is>
      </c>
      <c r="F1525" s="12" t="inlineStr">
        <is>
          <t>Maya Chen, Owner Project Controls: Professional decision</t>
        </is>
      </c>
      <c r="G1525" s="12" t="inlineStr">
        <is>
          <t>Group decision (182 records sharing one decision state)</t>
        </is>
      </c>
      <c r="H1525" s="12" t="inlineStr">
        <is>
          <t xml:space="preserve">APPROVED / UNSURE; </t>
        </is>
      </c>
      <c r="I1525" s="12" t="inlineStr">
        <is>
          <t>New</t>
        </is>
      </c>
      <c r="J1525" s="17" t="inlineStr">
        <is>
          <t>08 CROSSWALK</t>
        </is>
      </c>
    </row>
    <row r="1526" ht="49" customHeight="1">
      <c r="A1526" s="12" t="inlineStr">
        <is>
          <t>R1059-v2</t>
        </is>
      </c>
      <c r="B1526" s="12" t="inlineStr">
        <is>
          <t>Contractor Programme / SCH-06-159</t>
        </is>
      </c>
      <c r="C1526" s="12" t="inlineStr">
        <is>
          <t>No explicit source assertion recorded</t>
        </is>
      </c>
      <c r="D1526" s="12" t="inlineStr">
        <is>
          <t>Proposed by Professional; target UNSURE</t>
        </is>
      </c>
      <c r="E1526" s="12" t="inlineStr">
        <is>
          <t>None recorded</t>
        </is>
      </c>
      <c r="F1526" s="12" t="inlineStr">
        <is>
          <t>Maya Chen, Owner Project Controls: Professional decision</t>
        </is>
      </c>
      <c r="G1526" s="12" t="inlineStr">
        <is>
          <t>Group decision (182 records sharing one decision state)</t>
        </is>
      </c>
      <c r="H1526" s="12" t="inlineStr">
        <is>
          <t xml:space="preserve">APPROVED / UNSURE; </t>
        </is>
      </c>
      <c r="I1526" s="12" t="inlineStr">
        <is>
          <t>New</t>
        </is>
      </c>
      <c r="J1526" s="17" t="inlineStr">
        <is>
          <t>08 CROSSWALK</t>
        </is>
      </c>
    </row>
    <row r="1527" ht="49" customHeight="1">
      <c r="A1527" s="12" t="inlineStr">
        <is>
          <t>R1060-v2</t>
        </is>
      </c>
      <c r="B1527" s="12" t="inlineStr">
        <is>
          <t>Contractor Programme / SCH-06-160</t>
        </is>
      </c>
      <c r="C1527" s="12" t="inlineStr">
        <is>
          <t>No explicit source assertion recorded</t>
        </is>
      </c>
      <c r="D1527" s="12" t="inlineStr">
        <is>
          <t>Proposed by Professional; target UNSURE</t>
        </is>
      </c>
      <c r="E1527" s="12" t="inlineStr">
        <is>
          <t>None recorded</t>
        </is>
      </c>
      <c r="F1527" s="12" t="inlineStr">
        <is>
          <t>Maya Chen, Owner Project Controls: Professional decision</t>
        </is>
      </c>
      <c r="G1527" s="12" t="inlineStr">
        <is>
          <t>Group decision (182 records sharing one decision state)</t>
        </is>
      </c>
      <c r="H1527" s="12" t="inlineStr">
        <is>
          <t xml:space="preserve">APPROVED / UNSURE; </t>
        </is>
      </c>
      <c r="I1527" s="12" t="inlineStr">
        <is>
          <t>New</t>
        </is>
      </c>
      <c r="J1527" s="17" t="inlineStr">
        <is>
          <t>08 CROSSWALK</t>
        </is>
      </c>
    </row>
    <row r="1528" ht="49" customHeight="1">
      <c r="A1528" s="12" t="inlineStr">
        <is>
          <t>R1061-v2</t>
        </is>
      </c>
      <c r="B1528" s="12" t="inlineStr">
        <is>
          <t>Contractor Programme / SCH-06-161</t>
        </is>
      </c>
      <c r="C1528" s="12" t="inlineStr">
        <is>
          <t>No explicit source assertion recorded</t>
        </is>
      </c>
      <c r="D1528" s="12" t="inlineStr">
        <is>
          <t>Proposed by Professional; target UNSURE</t>
        </is>
      </c>
      <c r="E1528" s="12" t="inlineStr">
        <is>
          <t>None recorded</t>
        </is>
      </c>
      <c r="F1528" s="12" t="inlineStr">
        <is>
          <t>Maya Chen, Owner Project Controls: Professional decision</t>
        </is>
      </c>
      <c r="G1528" s="12" t="inlineStr">
        <is>
          <t>Group decision (182 records sharing one decision state)</t>
        </is>
      </c>
      <c r="H1528" s="12" t="inlineStr">
        <is>
          <t xml:space="preserve">APPROVED / UNSURE; </t>
        </is>
      </c>
      <c r="I1528" s="12" t="inlineStr">
        <is>
          <t>New</t>
        </is>
      </c>
      <c r="J1528" s="17" t="inlineStr">
        <is>
          <t>08 CROSSWALK</t>
        </is>
      </c>
    </row>
    <row r="1529" ht="49" customHeight="1">
      <c r="A1529" s="12" t="inlineStr">
        <is>
          <t>R1062-v2</t>
        </is>
      </c>
      <c r="B1529" s="12" t="inlineStr">
        <is>
          <t>Contractor Programme / SCH-06-162</t>
        </is>
      </c>
      <c r="C1529" s="12" t="inlineStr">
        <is>
          <t>No explicit source assertion recorded</t>
        </is>
      </c>
      <c r="D1529" s="12" t="inlineStr">
        <is>
          <t>Proposed by Professional; target UNSURE</t>
        </is>
      </c>
      <c r="E1529" s="12" t="inlineStr">
        <is>
          <t>None recorded</t>
        </is>
      </c>
      <c r="F1529" s="12" t="inlineStr">
        <is>
          <t>Maya Chen, Owner Project Controls: Professional decision</t>
        </is>
      </c>
      <c r="G1529" s="12" t="inlineStr">
        <is>
          <t>Group decision (182 records sharing one decision state)</t>
        </is>
      </c>
      <c r="H1529" s="12" t="inlineStr">
        <is>
          <t xml:space="preserve">APPROVED / UNSURE; </t>
        </is>
      </c>
      <c r="I1529" s="12" t="inlineStr">
        <is>
          <t>New</t>
        </is>
      </c>
      <c r="J1529" s="17" t="inlineStr">
        <is>
          <t>08 CROSSWALK</t>
        </is>
      </c>
    </row>
    <row r="1530" ht="49" customHeight="1">
      <c r="A1530" s="12" t="inlineStr">
        <is>
          <t>R1063-v2</t>
        </is>
      </c>
      <c r="B1530" s="12" t="inlineStr">
        <is>
          <t>Contractor Programme / SCH-06-163</t>
        </is>
      </c>
      <c r="C1530" s="12" t="inlineStr">
        <is>
          <t>No explicit source assertion recorded</t>
        </is>
      </c>
      <c r="D1530" s="12" t="inlineStr">
        <is>
          <t>Proposed by Professional; target UNSURE</t>
        </is>
      </c>
      <c r="E1530" s="12" t="inlineStr">
        <is>
          <t>None recorded</t>
        </is>
      </c>
      <c r="F1530" s="12" t="inlineStr">
        <is>
          <t>Maya Chen, Owner Project Controls: Professional decision</t>
        </is>
      </c>
      <c r="G1530" s="12" t="inlineStr">
        <is>
          <t>Group decision (182 records sharing one decision state)</t>
        </is>
      </c>
      <c r="H1530" s="12" t="inlineStr">
        <is>
          <t xml:space="preserve">APPROVED / UNSURE; </t>
        </is>
      </c>
      <c r="I1530" s="12" t="inlineStr">
        <is>
          <t>New</t>
        </is>
      </c>
      <c r="J1530" s="17" t="inlineStr">
        <is>
          <t>08 CROSSWALK</t>
        </is>
      </c>
    </row>
    <row r="1531" ht="49" customHeight="1">
      <c r="A1531" s="12" t="inlineStr">
        <is>
          <t>R1064-v2</t>
        </is>
      </c>
      <c r="B1531" s="12" t="inlineStr">
        <is>
          <t>Contractor Programme / SCH-06-164</t>
        </is>
      </c>
      <c r="C1531" s="12" t="inlineStr">
        <is>
          <t>No explicit source assertion recorded</t>
        </is>
      </c>
      <c r="D1531" s="12" t="inlineStr">
        <is>
          <t>Proposed by Professional; target UNSURE</t>
        </is>
      </c>
      <c r="E1531" s="12" t="inlineStr">
        <is>
          <t>None recorded</t>
        </is>
      </c>
      <c r="F1531" s="12" t="inlineStr">
        <is>
          <t>Maya Chen, Owner Project Controls: Professional decision</t>
        </is>
      </c>
      <c r="G1531" s="12" t="inlineStr">
        <is>
          <t>Group decision (182 records sharing one decision state)</t>
        </is>
      </c>
      <c r="H1531" s="12" t="inlineStr">
        <is>
          <t xml:space="preserve">APPROVED / UNSURE; </t>
        </is>
      </c>
      <c r="I1531" s="12" t="inlineStr">
        <is>
          <t>New</t>
        </is>
      </c>
      <c r="J1531" s="17" t="inlineStr">
        <is>
          <t>08 CROSSWALK</t>
        </is>
      </c>
    </row>
    <row r="1532" ht="49" customHeight="1">
      <c r="A1532" s="12" t="inlineStr">
        <is>
          <t>R1065-v2</t>
        </is>
      </c>
      <c r="B1532" s="12" t="inlineStr">
        <is>
          <t>Contractor Programme / SCH-06-165</t>
        </is>
      </c>
      <c r="C1532" s="12" t="inlineStr">
        <is>
          <t>No explicit source assertion recorded</t>
        </is>
      </c>
      <c r="D1532" s="12" t="inlineStr">
        <is>
          <t>Proposed by Professional; target UNSURE</t>
        </is>
      </c>
      <c r="E1532" s="12" t="inlineStr">
        <is>
          <t>None recorded</t>
        </is>
      </c>
      <c r="F1532" s="12" t="inlineStr">
        <is>
          <t>Maya Chen, Owner Project Controls: Professional decision</t>
        </is>
      </c>
      <c r="G1532" s="12" t="inlineStr">
        <is>
          <t>Group decision (182 records sharing one decision state)</t>
        </is>
      </c>
      <c r="H1532" s="12" t="inlineStr">
        <is>
          <t xml:space="preserve">APPROVED / UNSURE; </t>
        </is>
      </c>
      <c r="I1532" s="12" t="inlineStr">
        <is>
          <t>New</t>
        </is>
      </c>
      <c r="J1532" s="17" t="inlineStr">
        <is>
          <t>08 CROSSWALK</t>
        </is>
      </c>
    </row>
    <row r="1533" ht="49" customHeight="1">
      <c r="A1533" s="12" t="inlineStr">
        <is>
          <t>R1066-v2</t>
        </is>
      </c>
      <c r="B1533" s="12" t="inlineStr">
        <is>
          <t>Contractor Programme / SCH-06-166</t>
        </is>
      </c>
      <c r="C1533" s="12" t="inlineStr">
        <is>
          <t>No explicit source assertion recorded</t>
        </is>
      </c>
      <c r="D1533" s="12" t="inlineStr">
        <is>
          <t>Proposed by Professional; target UNSURE</t>
        </is>
      </c>
      <c r="E1533" s="12" t="inlineStr">
        <is>
          <t>None recorded</t>
        </is>
      </c>
      <c r="F1533" s="12" t="inlineStr">
        <is>
          <t>Maya Chen, Owner Project Controls: Professional decision</t>
        </is>
      </c>
      <c r="G1533" s="12" t="inlineStr">
        <is>
          <t>Group decision (182 records sharing one decision state)</t>
        </is>
      </c>
      <c r="H1533" s="12" t="inlineStr">
        <is>
          <t xml:space="preserve">APPROVED / UNSURE; </t>
        </is>
      </c>
      <c r="I1533" s="12" t="inlineStr">
        <is>
          <t>New</t>
        </is>
      </c>
      <c r="J1533" s="17" t="inlineStr">
        <is>
          <t>08 CROSSWALK</t>
        </is>
      </c>
    </row>
    <row r="1534" ht="49" customHeight="1">
      <c r="A1534" s="12" t="inlineStr">
        <is>
          <t>R1067-v2</t>
        </is>
      </c>
      <c r="B1534" s="12" t="inlineStr">
        <is>
          <t>Contractor Programme / SCH-06-167</t>
        </is>
      </c>
      <c r="C1534" s="12" t="inlineStr">
        <is>
          <t>No explicit source assertion recorded</t>
        </is>
      </c>
      <c r="D1534" s="12" t="inlineStr">
        <is>
          <t>Proposed by Professional; target UNSURE</t>
        </is>
      </c>
      <c r="E1534" s="12" t="inlineStr">
        <is>
          <t>None recorded</t>
        </is>
      </c>
      <c r="F1534" s="12" t="inlineStr">
        <is>
          <t>Maya Chen, Owner Project Controls: Professional decision</t>
        </is>
      </c>
      <c r="G1534" s="12" t="inlineStr">
        <is>
          <t>Group decision (182 records sharing one decision state)</t>
        </is>
      </c>
      <c r="H1534" s="12" t="inlineStr">
        <is>
          <t xml:space="preserve">APPROVED / UNSURE; </t>
        </is>
      </c>
      <c r="I1534" s="12" t="inlineStr">
        <is>
          <t>New</t>
        </is>
      </c>
      <c r="J1534" s="17" t="inlineStr">
        <is>
          <t>08 CROSSWALK</t>
        </is>
      </c>
    </row>
    <row r="1535" ht="49" customHeight="1">
      <c r="A1535" s="12" t="inlineStr">
        <is>
          <t>R1068-v2</t>
        </is>
      </c>
      <c r="B1535" s="12" t="inlineStr">
        <is>
          <t>Contractor Programme / SCH-06-168</t>
        </is>
      </c>
      <c r="C1535" s="12" t="inlineStr">
        <is>
          <t>No explicit source assertion recorded</t>
        </is>
      </c>
      <c r="D1535" s="12" t="inlineStr">
        <is>
          <t>Proposed by Professional; target UNSURE</t>
        </is>
      </c>
      <c r="E1535" s="12" t="inlineStr">
        <is>
          <t>None recorded</t>
        </is>
      </c>
      <c r="F1535" s="12" t="inlineStr">
        <is>
          <t>Maya Chen, Owner Project Controls: Professional decision</t>
        </is>
      </c>
      <c r="G1535" s="12" t="inlineStr">
        <is>
          <t>Group decision (182 records sharing one decision state)</t>
        </is>
      </c>
      <c r="H1535" s="12" t="inlineStr">
        <is>
          <t xml:space="preserve">APPROVED / UNSURE; </t>
        </is>
      </c>
      <c r="I1535" s="12" t="inlineStr">
        <is>
          <t>New</t>
        </is>
      </c>
      <c r="J1535" s="17" t="inlineStr">
        <is>
          <t>08 CROSSWALK</t>
        </is>
      </c>
    </row>
    <row r="1536" ht="49" customHeight="1">
      <c r="A1536" s="12" t="inlineStr">
        <is>
          <t>R1069-v2</t>
        </is>
      </c>
      <c r="B1536" s="12" t="inlineStr">
        <is>
          <t>Contractor Programme / SCH-06-169</t>
        </is>
      </c>
      <c r="C1536" s="12" t="inlineStr">
        <is>
          <t>No explicit source assertion recorded</t>
        </is>
      </c>
      <c r="D1536" s="12" t="inlineStr">
        <is>
          <t>Proposed by Professional; target UNSURE</t>
        </is>
      </c>
      <c r="E1536" s="12" t="inlineStr">
        <is>
          <t>None recorded</t>
        </is>
      </c>
      <c r="F1536" s="12" t="inlineStr">
        <is>
          <t>Maya Chen, Owner Project Controls: Professional decision</t>
        </is>
      </c>
      <c r="G1536" s="12" t="inlineStr">
        <is>
          <t>Group decision (182 records sharing one decision state)</t>
        </is>
      </c>
      <c r="H1536" s="12" t="inlineStr">
        <is>
          <t xml:space="preserve">APPROVED / UNSURE; </t>
        </is>
      </c>
      <c r="I1536" s="12" t="inlineStr">
        <is>
          <t>New</t>
        </is>
      </c>
      <c r="J1536" s="17" t="inlineStr">
        <is>
          <t>08 CROSSWALK</t>
        </is>
      </c>
    </row>
    <row r="1537" ht="49" customHeight="1">
      <c r="A1537" s="12" t="inlineStr">
        <is>
          <t>R1070-v2</t>
        </is>
      </c>
      <c r="B1537" s="12" t="inlineStr">
        <is>
          <t>Contractor Programme / SCH-06-170</t>
        </is>
      </c>
      <c r="C1537" s="12" t="inlineStr">
        <is>
          <t>No explicit source assertion recorded</t>
        </is>
      </c>
      <c r="D1537" s="12" t="inlineStr">
        <is>
          <t>Proposed by Professional; target UNSURE</t>
        </is>
      </c>
      <c r="E1537" s="12" t="inlineStr">
        <is>
          <t>None recorded</t>
        </is>
      </c>
      <c r="F1537" s="12" t="inlineStr">
        <is>
          <t>Maya Chen, Owner Project Controls: Professional decision</t>
        </is>
      </c>
      <c r="G1537" s="12" t="inlineStr">
        <is>
          <t>Group decision (182 records sharing one decision state)</t>
        </is>
      </c>
      <c r="H1537" s="12" t="inlineStr">
        <is>
          <t xml:space="preserve">APPROVED / UNSURE; </t>
        </is>
      </c>
      <c r="I1537" s="12" t="inlineStr">
        <is>
          <t>New</t>
        </is>
      </c>
      <c r="J1537" s="17" t="inlineStr">
        <is>
          <t>08 CROSSWALK</t>
        </is>
      </c>
    </row>
    <row r="1538" ht="49" customHeight="1">
      <c r="A1538" s="12" t="inlineStr">
        <is>
          <t>R1071-v2</t>
        </is>
      </c>
      <c r="B1538" s="12" t="inlineStr">
        <is>
          <t>Contractor Programme / SCH-06-171</t>
        </is>
      </c>
      <c r="C1538" s="12" t="inlineStr">
        <is>
          <t>No explicit source assertion recorded</t>
        </is>
      </c>
      <c r="D1538" s="12" t="inlineStr">
        <is>
          <t>Proposed by Professional; target UNSURE</t>
        </is>
      </c>
      <c r="E1538" s="12" t="inlineStr">
        <is>
          <t>None recorded</t>
        </is>
      </c>
      <c r="F1538" s="12" t="inlineStr">
        <is>
          <t>Maya Chen, Owner Project Controls: Professional decision</t>
        </is>
      </c>
      <c r="G1538" s="12" t="inlineStr">
        <is>
          <t>Group decision (182 records sharing one decision state)</t>
        </is>
      </c>
      <c r="H1538" s="12" t="inlineStr">
        <is>
          <t xml:space="preserve">APPROVED / UNSURE; </t>
        </is>
      </c>
      <c r="I1538" s="12" t="inlineStr">
        <is>
          <t>New</t>
        </is>
      </c>
      <c r="J1538" s="17" t="inlineStr">
        <is>
          <t>08 CROSSWALK</t>
        </is>
      </c>
    </row>
    <row r="1539" ht="49" customHeight="1">
      <c r="A1539" s="12" t="inlineStr">
        <is>
          <t>R1072-v2</t>
        </is>
      </c>
      <c r="B1539" s="12" t="inlineStr">
        <is>
          <t>Contractor Programme / SCH-06-172</t>
        </is>
      </c>
      <c r="C1539" s="12" t="inlineStr">
        <is>
          <t>No explicit source assertion recorded</t>
        </is>
      </c>
      <c r="D1539" s="12" t="inlineStr">
        <is>
          <t>Proposed by Professional; target UNSURE</t>
        </is>
      </c>
      <c r="E1539" s="12" t="inlineStr">
        <is>
          <t>None recorded</t>
        </is>
      </c>
      <c r="F1539" s="12" t="inlineStr">
        <is>
          <t>Maya Chen, Owner Project Controls: Professional decision</t>
        </is>
      </c>
      <c r="G1539" s="12" t="inlineStr">
        <is>
          <t>Group decision (182 records sharing one decision state)</t>
        </is>
      </c>
      <c r="H1539" s="12" t="inlineStr">
        <is>
          <t xml:space="preserve">APPROVED / UNSURE; </t>
        </is>
      </c>
      <c r="I1539" s="12" t="inlineStr">
        <is>
          <t>New</t>
        </is>
      </c>
      <c r="J1539" s="17" t="inlineStr">
        <is>
          <t>08 CROSSWALK</t>
        </is>
      </c>
    </row>
    <row r="1540" ht="49" customHeight="1">
      <c r="A1540" s="12" t="inlineStr">
        <is>
          <t>R1073-v2</t>
        </is>
      </c>
      <c r="B1540" s="12" t="inlineStr">
        <is>
          <t>Contractor Programme / SCH-06-173</t>
        </is>
      </c>
      <c r="C1540" s="12" t="inlineStr">
        <is>
          <t>No explicit source assertion recorded</t>
        </is>
      </c>
      <c r="D1540" s="12" t="inlineStr">
        <is>
          <t>Proposed by Professional; target UNSURE</t>
        </is>
      </c>
      <c r="E1540" s="12" t="inlineStr">
        <is>
          <t>None recorded</t>
        </is>
      </c>
      <c r="F1540" s="12" t="inlineStr">
        <is>
          <t>Maya Chen, Owner Project Controls: Professional decision</t>
        </is>
      </c>
      <c r="G1540" s="12" t="inlineStr">
        <is>
          <t>Group decision (182 records sharing one decision state)</t>
        </is>
      </c>
      <c r="H1540" s="12" t="inlineStr">
        <is>
          <t xml:space="preserve">APPROVED / UNSURE; </t>
        </is>
      </c>
      <c r="I1540" s="12" t="inlineStr">
        <is>
          <t>New</t>
        </is>
      </c>
      <c r="J1540" s="17" t="inlineStr">
        <is>
          <t>08 CROSSWALK</t>
        </is>
      </c>
    </row>
    <row r="1541" ht="49" customHeight="1">
      <c r="A1541" s="12" t="inlineStr">
        <is>
          <t>R1074-v2</t>
        </is>
      </c>
      <c r="B1541" s="12" t="inlineStr">
        <is>
          <t>Contractor Programme / SCH-06-174</t>
        </is>
      </c>
      <c r="C1541" s="12" t="inlineStr">
        <is>
          <t>No explicit source assertion recorded</t>
        </is>
      </c>
      <c r="D1541" s="12" t="inlineStr">
        <is>
          <t>Proposed by Professional; target UNSURE</t>
        </is>
      </c>
      <c r="E1541" s="12" t="inlineStr">
        <is>
          <t>None recorded</t>
        </is>
      </c>
      <c r="F1541" s="12" t="inlineStr">
        <is>
          <t>Maya Chen, Owner Project Controls: Professional decision</t>
        </is>
      </c>
      <c r="G1541" s="12" t="inlineStr">
        <is>
          <t>Group decision (182 records sharing one decision state)</t>
        </is>
      </c>
      <c r="H1541" s="12" t="inlineStr">
        <is>
          <t xml:space="preserve">APPROVED / UNSURE; </t>
        </is>
      </c>
      <c r="I1541" s="12" t="inlineStr">
        <is>
          <t>New</t>
        </is>
      </c>
      <c r="J1541" s="17" t="inlineStr">
        <is>
          <t>08 CROSSWALK</t>
        </is>
      </c>
    </row>
    <row r="1542" ht="49" customHeight="1">
      <c r="A1542" s="12" t="inlineStr">
        <is>
          <t>R1075-v2</t>
        </is>
      </c>
      <c r="B1542" s="12" t="inlineStr">
        <is>
          <t>Contractor Programme / SCH-06-175</t>
        </is>
      </c>
      <c r="C1542" s="12" t="inlineStr">
        <is>
          <t>No explicit source assertion recorded</t>
        </is>
      </c>
      <c r="D1542" s="12" t="inlineStr">
        <is>
          <t>Proposed by Professional; target UNSURE</t>
        </is>
      </c>
      <c r="E1542" s="12" t="inlineStr">
        <is>
          <t>None recorded</t>
        </is>
      </c>
      <c r="F1542" s="12" t="inlineStr">
        <is>
          <t>Maya Chen, Owner Project Controls: Professional decision</t>
        </is>
      </c>
      <c r="G1542" s="12" t="inlineStr">
        <is>
          <t>Group decision (182 records sharing one decision state)</t>
        </is>
      </c>
      <c r="H1542" s="12" t="inlineStr">
        <is>
          <t xml:space="preserve">APPROVED / UNSURE; </t>
        </is>
      </c>
      <c r="I1542" s="12" t="inlineStr">
        <is>
          <t>New</t>
        </is>
      </c>
      <c r="J1542" s="17" t="inlineStr">
        <is>
          <t>08 CROSSWALK</t>
        </is>
      </c>
    </row>
    <row r="1543" ht="49" customHeight="1">
      <c r="A1543" s="12" t="inlineStr">
        <is>
          <t>R1076-v2</t>
        </is>
      </c>
      <c r="B1543" s="12" t="inlineStr">
        <is>
          <t>Contractor Programme / SCH-06-176</t>
        </is>
      </c>
      <c r="C1543" s="12" t="inlineStr">
        <is>
          <t>No explicit source assertion recorded</t>
        </is>
      </c>
      <c r="D1543" s="12" t="inlineStr">
        <is>
          <t>Proposed by Professional; target UNSURE</t>
        </is>
      </c>
      <c r="E1543" s="12" t="inlineStr">
        <is>
          <t>None recorded</t>
        </is>
      </c>
      <c r="F1543" s="12" t="inlineStr">
        <is>
          <t>Maya Chen, Owner Project Controls: Professional decision</t>
        </is>
      </c>
      <c r="G1543" s="12" t="inlineStr">
        <is>
          <t>Group decision (182 records sharing one decision state)</t>
        </is>
      </c>
      <c r="H1543" s="12" t="inlineStr">
        <is>
          <t xml:space="preserve">APPROVED / UNSURE; </t>
        </is>
      </c>
      <c r="I1543" s="12" t="inlineStr">
        <is>
          <t>New</t>
        </is>
      </c>
      <c r="J1543" s="17" t="inlineStr">
        <is>
          <t>08 CROSSWALK</t>
        </is>
      </c>
    </row>
    <row r="1544" ht="49" customHeight="1">
      <c r="A1544" s="12" t="inlineStr">
        <is>
          <t>R1077-v2</t>
        </is>
      </c>
      <c r="B1544" s="12" t="inlineStr">
        <is>
          <t>Contractor Programme / SCH-06-177</t>
        </is>
      </c>
      <c r="C1544" s="12" t="inlineStr">
        <is>
          <t>No explicit source assertion recorded</t>
        </is>
      </c>
      <c r="D1544" s="12" t="inlineStr">
        <is>
          <t>Proposed by Professional; target UNSURE</t>
        </is>
      </c>
      <c r="E1544" s="12" t="inlineStr">
        <is>
          <t>None recorded</t>
        </is>
      </c>
      <c r="F1544" s="12" t="inlineStr">
        <is>
          <t>Maya Chen, Owner Project Controls: Professional decision</t>
        </is>
      </c>
      <c r="G1544" s="12" t="inlineStr">
        <is>
          <t>Group decision (182 records sharing one decision state)</t>
        </is>
      </c>
      <c r="H1544" s="12" t="inlineStr">
        <is>
          <t xml:space="preserve">APPROVED / UNSURE; </t>
        </is>
      </c>
      <c r="I1544" s="12" t="inlineStr">
        <is>
          <t>New</t>
        </is>
      </c>
      <c r="J1544" s="17" t="inlineStr">
        <is>
          <t>08 CROSSWALK</t>
        </is>
      </c>
    </row>
    <row r="1545" ht="49" customHeight="1">
      <c r="A1545" s="12" t="inlineStr">
        <is>
          <t>R1078-v2</t>
        </is>
      </c>
      <c r="B1545" s="12" t="inlineStr">
        <is>
          <t>Contractor Programme / SCH-06-178</t>
        </is>
      </c>
      <c r="C1545" s="12" t="inlineStr">
        <is>
          <t>No explicit source assertion recorded</t>
        </is>
      </c>
      <c r="D1545" s="12" t="inlineStr">
        <is>
          <t>Proposed by Professional; target UNSURE</t>
        </is>
      </c>
      <c r="E1545" s="12" t="inlineStr">
        <is>
          <t>None recorded</t>
        </is>
      </c>
      <c r="F1545" s="12" t="inlineStr">
        <is>
          <t>Maya Chen, Owner Project Controls: Professional decision</t>
        </is>
      </c>
      <c r="G1545" s="12" t="inlineStr">
        <is>
          <t>Group decision (182 records sharing one decision state)</t>
        </is>
      </c>
      <c r="H1545" s="12" t="inlineStr">
        <is>
          <t xml:space="preserve">APPROVED / UNSURE; </t>
        </is>
      </c>
      <c r="I1545" s="12" t="inlineStr">
        <is>
          <t>New</t>
        </is>
      </c>
      <c r="J1545" s="17" t="inlineStr">
        <is>
          <t>08 CROSSWALK</t>
        </is>
      </c>
    </row>
    <row r="1546" ht="49" customHeight="1">
      <c r="A1546" s="12" t="inlineStr">
        <is>
          <t>R1079-v2</t>
        </is>
      </c>
      <c r="B1546" s="12" t="inlineStr">
        <is>
          <t>Contractor Programme / SCH-06-179</t>
        </is>
      </c>
      <c r="C1546" s="12" t="inlineStr">
        <is>
          <t>No explicit source assertion recorded</t>
        </is>
      </c>
      <c r="D1546" s="12" t="inlineStr">
        <is>
          <t>Proposed by Professional; target UNSURE</t>
        </is>
      </c>
      <c r="E1546" s="12" t="inlineStr">
        <is>
          <t>None recorded</t>
        </is>
      </c>
      <c r="F1546" s="12" t="inlineStr">
        <is>
          <t>Maya Chen, Owner Project Controls: Professional decision</t>
        </is>
      </c>
      <c r="G1546" s="12" t="inlineStr">
        <is>
          <t>Group decision (182 records sharing one decision state)</t>
        </is>
      </c>
      <c r="H1546" s="12" t="inlineStr">
        <is>
          <t xml:space="preserve">APPROVED / UNSURE; </t>
        </is>
      </c>
      <c r="I1546" s="12" t="inlineStr">
        <is>
          <t>New</t>
        </is>
      </c>
      <c r="J1546" s="17" t="inlineStr">
        <is>
          <t>08 CROSSWALK</t>
        </is>
      </c>
    </row>
    <row r="1547" ht="49" customHeight="1">
      <c r="A1547" s="12" t="inlineStr">
        <is>
          <t>R1080-v2</t>
        </is>
      </c>
      <c r="B1547" s="12" t="inlineStr">
        <is>
          <t>Contractor Programme / SCH-06-180</t>
        </is>
      </c>
      <c r="C1547" s="12" t="inlineStr">
        <is>
          <t>No explicit source assertion recorded</t>
        </is>
      </c>
      <c r="D1547" s="12" t="inlineStr">
        <is>
          <t>Proposed by Professional; target UNSURE</t>
        </is>
      </c>
      <c r="E1547" s="12" t="inlineStr">
        <is>
          <t>None recorded</t>
        </is>
      </c>
      <c r="F1547" s="12" t="inlineStr">
        <is>
          <t>Maya Chen, Owner Project Controls: Professional decision</t>
        </is>
      </c>
      <c r="G1547" s="12" t="inlineStr">
        <is>
          <t>Group decision (182 records sharing one decision state)</t>
        </is>
      </c>
      <c r="H1547" s="12" t="inlineStr">
        <is>
          <t xml:space="preserve">APPROVED / UNSURE; </t>
        </is>
      </c>
      <c r="I1547" s="12" t="inlineStr">
        <is>
          <t>New</t>
        </is>
      </c>
      <c r="J1547" s="17" t="inlineStr">
        <is>
          <t>08 CROSSWALK</t>
        </is>
      </c>
    </row>
    <row r="1548" ht="49" customHeight="1">
      <c r="A1548" s="12" t="inlineStr">
        <is>
          <t>R1246-v2</t>
        </is>
      </c>
      <c r="B1548" s="12" t="inlineStr">
        <is>
          <t>Cost &amp; Forecast Control Accounts / CST-03-004</t>
        </is>
      </c>
      <c r="C1548" s="12" t="inlineStr">
        <is>
          <t>Cost Account = CA-3004</t>
        </is>
      </c>
      <c r="D1548" s="12" t="inlineStr">
        <is>
          <t>Proposed by Professional; target UNSURE</t>
        </is>
      </c>
      <c r="E1548" s="12" t="inlineStr">
        <is>
          <t>None recorded</t>
        </is>
      </c>
      <c r="F1548" s="12" t="inlineStr">
        <is>
          <t>Maya Chen, Owner Project Controls: Professional decision</t>
        </is>
      </c>
      <c r="G1548" s="12" t="inlineStr">
        <is>
          <t>Group decision (81 records sharing one decision state)</t>
        </is>
      </c>
      <c r="H1548" s="12" t="inlineStr">
        <is>
          <t xml:space="preserve">APPROVED / UNSURE; </t>
        </is>
      </c>
      <c r="I1548" s="12" t="inlineStr">
        <is>
          <t>New</t>
        </is>
      </c>
      <c r="J1548" s="17" t="inlineStr">
        <is>
          <t>08 CROSSWALK</t>
        </is>
      </c>
    </row>
    <row r="1549" ht="49" customHeight="1">
      <c r="A1549" s="12" t="inlineStr">
        <is>
          <t>R1403-v2</t>
        </is>
      </c>
      <c r="B1549" s="12" t="inlineStr">
        <is>
          <t>Cost &amp; Forecast Control Accounts / CST-05-001</t>
        </is>
      </c>
      <c r="C1549" s="12" t="inlineStr">
        <is>
          <t>Cost Account = CA-5001</t>
        </is>
      </c>
      <c r="D1549" s="12" t="inlineStr">
        <is>
          <t>Proposed by Professional; target UNSURE</t>
        </is>
      </c>
      <c r="E1549" s="12" t="inlineStr">
        <is>
          <t>None recorded</t>
        </is>
      </c>
      <c r="F1549" s="12" t="inlineStr">
        <is>
          <t>Maya Chen, Owner Project Controls: Professional decision</t>
        </is>
      </c>
      <c r="G1549" s="12" t="inlineStr">
        <is>
          <t>Group decision (81 records sharing one decision state)</t>
        </is>
      </c>
      <c r="H1549" s="12" t="inlineStr">
        <is>
          <t xml:space="preserve">APPROVED / UNSURE; </t>
        </is>
      </c>
      <c r="I1549" s="12" t="inlineStr">
        <is>
          <t>New</t>
        </is>
      </c>
      <c r="J1549" s="17" t="inlineStr">
        <is>
          <t>08 CROSSWALK</t>
        </is>
      </c>
    </row>
    <row r="1550" ht="49" customHeight="1">
      <c r="A1550" s="12" t="inlineStr">
        <is>
          <t>R1404-v2</t>
        </is>
      </c>
      <c r="B1550" s="12" t="inlineStr">
        <is>
          <t>Cost &amp; Forecast Control Accounts / CST-05-002</t>
        </is>
      </c>
      <c r="C1550" s="12" t="inlineStr">
        <is>
          <t>Cost Account = CA-5002</t>
        </is>
      </c>
      <c r="D1550" s="12" t="inlineStr">
        <is>
          <t>Proposed by Professional; target UNSURE</t>
        </is>
      </c>
      <c r="E1550" s="12" t="inlineStr">
        <is>
          <t>None recorded</t>
        </is>
      </c>
      <c r="F1550" s="12" t="inlineStr">
        <is>
          <t>Maya Chen, Owner Project Controls: Professional decision</t>
        </is>
      </c>
      <c r="G1550" s="12" t="inlineStr">
        <is>
          <t>Group decision (81 records sharing one decision state)</t>
        </is>
      </c>
      <c r="H1550" s="12" t="inlineStr">
        <is>
          <t xml:space="preserve">APPROVED / UNSURE; </t>
        </is>
      </c>
      <c r="I1550" s="12" t="inlineStr">
        <is>
          <t>New</t>
        </is>
      </c>
      <c r="J1550" s="17" t="inlineStr">
        <is>
          <t>08 CROSSWALK</t>
        </is>
      </c>
    </row>
    <row r="1551" ht="49" customHeight="1">
      <c r="A1551" s="12" t="inlineStr">
        <is>
          <t>R1405-v2</t>
        </is>
      </c>
      <c r="B1551" s="12" t="inlineStr">
        <is>
          <t>Cost &amp; Forecast Control Accounts / CST-05-003</t>
        </is>
      </c>
      <c r="C1551" s="12" t="inlineStr">
        <is>
          <t>Cost Account = CA-5003</t>
        </is>
      </c>
      <c r="D1551" s="12" t="inlineStr">
        <is>
          <t>Proposed by Professional; target UNSURE</t>
        </is>
      </c>
      <c r="E1551" s="12" t="inlineStr">
        <is>
          <t>None recorded</t>
        </is>
      </c>
      <c r="F1551" s="12" t="inlineStr">
        <is>
          <t>Maya Chen, Owner Project Controls: Professional decision</t>
        </is>
      </c>
      <c r="G1551" s="12" t="inlineStr">
        <is>
          <t>Group decision (81 records sharing one decision state)</t>
        </is>
      </c>
      <c r="H1551" s="12" t="inlineStr">
        <is>
          <t xml:space="preserve">APPROVED / UNSURE; </t>
        </is>
      </c>
      <c r="I1551" s="12" t="inlineStr">
        <is>
          <t>New</t>
        </is>
      </c>
      <c r="J1551" s="17" t="inlineStr">
        <is>
          <t>08 CROSSWALK</t>
        </is>
      </c>
    </row>
    <row r="1552" ht="49" customHeight="1">
      <c r="A1552" s="12" t="inlineStr">
        <is>
          <t>R1406-v2</t>
        </is>
      </c>
      <c r="B1552" s="12" t="inlineStr">
        <is>
          <t>Cost &amp; Forecast Control Accounts / CST-05-004</t>
        </is>
      </c>
      <c r="C1552" s="12" t="inlineStr">
        <is>
          <t>Cost Account = CA-5004</t>
        </is>
      </c>
      <c r="D1552" s="12" t="inlineStr">
        <is>
          <t>Proposed by Professional; target UNSURE</t>
        </is>
      </c>
      <c r="E1552" s="12" t="inlineStr">
        <is>
          <t>None recorded</t>
        </is>
      </c>
      <c r="F1552" s="12" t="inlineStr">
        <is>
          <t>Maya Chen, Owner Project Controls: Professional decision</t>
        </is>
      </c>
      <c r="G1552" s="12" t="inlineStr">
        <is>
          <t>Group decision (81 records sharing one decision state)</t>
        </is>
      </c>
      <c r="H1552" s="12" t="inlineStr">
        <is>
          <t xml:space="preserve">APPROVED / UNSURE; </t>
        </is>
      </c>
      <c r="I1552" s="12" t="inlineStr">
        <is>
          <t>New</t>
        </is>
      </c>
      <c r="J1552" s="17" t="inlineStr">
        <is>
          <t>08 CROSSWALK</t>
        </is>
      </c>
    </row>
    <row r="1553" ht="49" customHeight="1">
      <c r="A1553" s="12" t="inlineStr">
        <is>
          <t>R1407-v2</t>
        </is>
      </c>
      <c r="B1553" s="12" t="inlineStr">
        <is>
          <t>Cost &amp; Forecast Control Accounts / CST-05-005</t>
        </is>
      </c>
      <c r="C1553" s="12" t="inlineStr">
        <is>
          <t>Cost Account = CA-5005</t>
        </is>
      </c>
      <c r="D1553" s="12" t="inlineStr">
        <is>
          <t>Proposed by Professional; target UNSURE</t>
        </is>
      </c>
      <c r="E1553" s="12" t="inlineStr">
        <is>
          <t>None recorded</t>
        </is>
      </c>
      <c r="F1553" s="12" t="inlineStr">
        <is>
          <t>Maya Chen, Owner Project Controls: Professional decision</t>
        </is>
      </c>
      <c r="G1553" s="12" t="inlineStr">
        <is>
          <t>Group decision (81 records sharing one decision state)</t>
        </is>
      </c>
      <c r="H1553" s="12" t="inlineStr">
        <is>
          <t xml:space="preserve">APPROVED / UNSURE; </t>
        </is>
      </c>
      <c r="I1553" s="12" t="inlineStr">
        <is>
          <t>New</t>
        </is>
      </c>
      <c r="J1553" s="17" t="inlineStr">
        <is>
          <t>08 CROSSWALK</t>
        </is>
      </c>
    </row>
    <row r="1554" ht="49" customHeight="1">
      <c r="A1554" s="12" t="inlineStr">
        <is>
          <t>R1408-v2</t>
        </is>
      </c>
      <c r="B1554" s="12" t="inlineStr">
        <is>
          <t>Cost &amp; Forecast Control Accounts / CST-05-006</t>
        </is>
      </c>
      <c r="C1554" s="12" t="inlineStr">
        <is>
          <t>Cost Account = CA-5006</t>
        </is>
      </c>
      <c r="D1554" s="12" t="inlineStr">
        <is>
          <t>Proposed by Professional; target UNSURE</t>
        </is>
      </c>
      <c r="E1554" s="12" t="inlineStr">
        <is>
          <t>None recorded</t>
        </is>
      </c>
      <c r="F1554" s="12" t="inlineStr">
        <is>
          <t>Maya Chen, Owner Project Controls: Professional decision</t>
        </is>
      </c>
      <c r="G1554" s="12" t="inlineStr">
        <is>
          <t>Group decision (81 records sharing one decision state)</t>
        </is>
      </c>
      <c r="H1554" s="12" t="inlineStr">
        <is>
          <t xml:space="preserve">APPROVED / UNSURE; </t>
        </is>
      </c>
      <c r="I1554" s="12" t="inlineStr">
        <is>
          <t>New</t>
        </is>
      </c>
      <c r="J1554" s="17" t="inlineStr">
        <is>
          <t>08 CROSSWALK</t>
        </is>
      </c>
    </row>
    <row r="1555" ht="49" customHeight="1">
      <c r="A1555" s="12" t="inlineStr">
        <is>
          <t>R1409-v2</t>
        </is>
      </c>
      <c r="B1555" s="12" t="inlineStr">
        <is>
          <t>Cost &amp; Forecast Control Accounts / CST-05-007</t>
        </is>
      </c>
      <c r="C1555" s="12" t="inlineStr">
        <is>
          <t>Cost Account = CA-5007</t>
        </is>
      </c>
      <c r="D1555" s="12" t="inlineStr">
        <is>
          <t>Proposed by Professional; target UNSURE</t>
        </is>
      </c>
      <c r="E1555" s="12" t="inlineStr">
        <is>
          <t>None recorded</t>
        </is>
      </c>
      <c r="F1555" s="12" t="inlineStr">
        <is>
          <t>Maya Chen, Owner Project Controls: Professional decision</t>
        </is>
      </c>
      <c r="G1555" s="12" t="inlineStr">
        <is>
          <t>Group decision (81 records sharing one decision state)</t>
        </is>
      </c>
      <c r="H1555" s="12" t="inlineStr">
        <is>
          <t xml:space="preserve">APPROVED / UNSURE; </t>
        </is>
      </c>
      <c r="I1555" s="12" t="inlineStr">
        <is>
          <t>New</t>
        </is>
      </c>
      <c r="J1555" s="17" t="inlineStr">
        <is>
          <t>08 CROSSWALK</t>
        </is>
      </c>
    </row>
    <row r="1556" ht="49" customHeight="1">
      <c r="A1556" s="12" t="inlineStr">
        <is>
          <t>R1410-v2</t>
        </is>
      </c>
      <c r="B1556" s="12" t="inlineStr">
        <is>
          <t>Cost &amp; Forecast Control Accounts / CST-05-008</t>
        </is>
      </c>
      <c r="C1556" s="12" t="inlineStr">
        <is>
          <t>Cost Account = CA-5008</t>
        </is>
      </c>
      <c r="D1556" s="12" t="inlineStr">
        <is>
          <t>Proposed by Professional; target UNSURE</t>
        </is>
      </c>
      <c r="E1556" s="12" t="inlineStr">
        <is>
          <t>None recorded</t>
        </is>
      </c>
      <c r="F1556" s="12" t="inlineStr">
        <is>
          <t>Maya Chen, Owner Project Controls: Professional decision</t>
        </is>
      </c>
      <c r="G1556" s="12" t="inlineStr">
        <is>
          <t>Group decision (81 records sharing one decision state)</t>
        </is>
      </c>
      <c r="H1556" s="12" t="inlineStr">
        <is>
          <t xml:space="preserve">APPROVED / UNSURE; </t>
        </is>
      </c>
      <c r="I1556" s="12" t="inlineStr">
        <is>
          <t>New</t>
        </is>
      </c>
      <c r="J1556" s="17" t="inlineStr">
        <is>
          <t>08 CROSSWALK</t>
        </is>
      </c>
    </row>
    <row r="1557" ht="49" customHeight="1">
      <c r="A1557" s="12" t="inlineStr">
        <is>
          <t>R1411-v2</t>
        </is>
      </c>
      <c r="B1557" s="12" t="inlineStr">
        <is>
          <t>Cost &amp; Forecast Control Accounts / CST-05-009</t>
        </is>
      </c>
      <c r="C1557" s="12" t="inlineStr">
        <is>
          <t>Cost Account = CA-5009</t>
        </is>
      </c>
      <c r="D1557" s="12" t="inlineStr">
        <is>
          <t>Proposed by Professional; target UNSURE</t>
        </is>
      </c>
      <c r="E1557" s="12" t="inlineStr">
        <is>
          <t>None recorded</t>
        </is>
      </c>
      <c r="F1557" s="12" t="inlineStr">
        <is>
          <t>Maya Chen, Owner Project Controls: Professional decision</t>
        </is>
      </c>
      <c r="G1557" s="12" t="inlineStr">
        <is>
          <t>Group decision (81 records sharing one decision state)</t>
        </is>
      </c>
      <c r="H1557" s="12" t="inlineStr">
        <is>
          <t xml:space="preserve">APPROVED / UNSURE; </t>
        </is>
      </c>
      <c r="I1557" s="12" t="inlineStr">
        <is>
          <t>New</t>
        </is>
      </c>
      <c r="J1557" s="17" t="inlineStr">
        <is>
          <t>08 CROSSWALK</t>
        </is>
      </c>
    </row>
    <row r="1558" ht="49" customHeight="1">
      <c r="A1558" s="12" t="inlineStr">
        <is>
          <t>R1412-v2</t>
        </is>
      </c>
      <c r="B1558" s="12" t="inlineStr">
        <is>
          <t>Cost &amp; Forecast Control Accounts / CST-05-010</t>
        </is>
      </c>
      <c r="C1558" s="12" t="inlineStr">
        <is>
          <t>Cost Account = CA-5010</t>
        </is>
      </c>
      <c r="D1558" s="12" t="inlineStr">
        <is>
          <t>Proposed by Professional; target UNSURE</t>
        </is>
      </c>
      <c r="E1558" s="12" t="inlineStr">
        <is>
          <t>None recorded</t>
        </is>
      </c>
      <c r="F1558" s="12" t="inlineStr">
        <is>
          <t>Maya Chen, Owner Project Controls: Professional decision</t>
        </is>
      </c>
      <c r="G1558" s="12" t="inlineStr">
        <is>
          <t>Group decision (81 records sharing one decision state)</t>
        </is>
      </c>
      <c r="H1558" s="12" t="inlineStr">
        <is>
          <t xml:space="preserve">APPROVED / UNSURE; </t>
        </is>
      </c>
      <c r="I1558" s="12" t="inlineStr">
        <is>
          <t>New</t>
        </is>
      </c>
      <c r="J1558" s="17" t="inlineStr">
        <is>
          <t>08 CROSSWALK</t>
        </is>
      </c>
    </row>
    <row r="1559" ht="49" customHeight="1">
      <c r="A1559" s="12" t="inlineStr">
        <is>
          <t>R1413-v2</t>
        </is>
      </c>
      <c r="B1559" s="12" t="inlineStr">
        <is>
          <t>Cost &amp; Forecast Control Accounts / CST-05-011</t>
        </is>
      </c>
      <c r="C1559" s="12" t="inlineStr">
        <is>
          <t>Cost Account = CA-5011</t>
        </is>
      </c>
      <c r="D1559" s="12" t="inlineStr">
        <is>
          <t>Proposed by Professional; target UNSURE</t>
        </is>
      </c>
      <c r="E1559" s="12" t="inlineStr">
        <is>
          <t>None recorded</t>
        </is>
      </c>
      <c r="F1559" s="12" t="inlineStr">
        <is>
          <t>Maya Chen, Owner Project Controls: Professional decision</t>
        </is>
      </c>
      <c r="G1559" s="12" t="inlineStr">
        <is>
          <t>Group decision (81 records sharing one decision state)</t>
        </is>
      </c>
      <c r="H1559" s="12" t="inlineStr">
        <is>
          <t xml:space="preserve">APPROVED / UNSURE; </t>
        </is>
      </c>
      <c r="I1559" s="12" t="inlineStr">
        <is>
          <t>New</t>
        </is>
      </c>
      <c r="J1559" s="17" t="inlineStr">
        <is>
          <t>08 CROSSWALK</t>
        </is>
      </c>
    </row>
    <row r="1560" ht="49" customHeight="1">
      <c r="A1560" s="12" t="inlineStr">
        <is>
          <t>R1414-v2</t>
        </is>
      </c>
      <c r="B1560" s="12" t="inlineStr">
        <is>
          <t>Cost &amp; Forecast Control Accounts / CST-05-012</t>
        </is>
      </c>
      <c r="C1560" s="12" t="inlineStr">
        <is>
          <t>Cost Account = CA-5012</t>
        </is>
      </c>
      <c r="D1560" s="12" t="inlineStr">
        <is>
          <t>Proposed by Professional; target UNSURE</t>
        </is>
      </c>
      <c r="E1560" s="12" t="inlineStr">
        <is>
          <t>None recorded</t>
        </is>
      </c>
      <c r="F1560" s="12" t="inlineStr">
        <is>
          <t>Maya Chen, Owner Project Controls: Professional decision</t>
        </is>
      </c>
      <c r="G1560" s="12" t="inlineStr">
        <is>
          <t>Group decision (81 records sharing one decision state)</t>
        </is>
      </c>
      <c r="H1560" s="12" t="inlineStr">
        <is>
          <t xml:space="preserve">APPROVED / UNSURE; </t>
        </is>
      </c>
      <c r="I1560" s="12" t="inlineStr">
        <is>
          <t>New</t>
        </is>
      </c>
      <c r="J1560" s="17" t="inlineStr">
        <is>
          <t>08 CROSSWALK</t>
        </is>
      </c>
    </row>
    <row r="1561" ht="49" customHeight="1">
      <c r="A1561" s="12" t="inlineStr">
        <is>
          <t>R1415-v2</t>
        </is>
      </c>
      <c r="B1561" s="12" t="inlineStr">
        <is>
          <t>Cost &amp; Forecast Control Accounts / CST-05-013</t>
        </is>
      </c>
      <c r="C1561" s="12" t="inlineStr">
        <is>
          <t>Cost Account = CA-5013</t>
        </is>
      </c>
      <c r="D1561" s="12" t="inlineStr">
        <is>
          <t>Proposed by Professional; target UNSURE</t>
        </is>
      </c>
      <c r="E1561" s="12" t="inlineStr">
        <is>
          <t>None recorded</t>
        </is>
      </c>
      <c r="F1561" s="12" t="inlineStr">
        <is>
          <t>Maya Chen, Owner Project Controls: Professional decision</t>
        </is>
      </c>
      <c r="G1561" s="12" t="inlineStr">
        <is>
          <t>Group decision (81 records sharing one decision state)</t>
        </is>
      </c>
      <c r="H1561" s="12" t="inlineStr">
        <is>
          <t xml:space="preserve">APPROVED / UNSURE; </t>
        </is>
      </c>
      <c r="I1561" s="12" t="inlineStr">
        <is>
          <t>New</t>
        </is>
      </c>
      <c r="J1561" s="17" t="inlineStr">
        <is>
          <t>08 CROSSWALK</t>
        </is>
      </c>
    </row>
    <row r="1562" ht="49" customHeight="1">
      <c r="A1562" s="12" t="inlineStr">
        <is>
          <t>R1416-v2</t>
        </is>
      </c>
      <c r="B1562" s="12" t="inlineStr">
        <is>
          <t>Cost &amp; Forecast Control Accounts / CST-05-014</t>
        </is>
      </c>
      <c r="C1562" s="12" t="inlineStr">
        <is>
          <t>Cost Account = CA-5014</t>
        </is>
      </c>
      <c r="D1562" s="12" t="inlineStr">
        <is>
          <t>Proposed by Professional; target UNSURE</t>
        </is>
      </c>
      <c r="E1562" s="12" t="inlineStr">
        <is>
          <t>None recorded</t>
        </is>
      </c>
      <c r="F1562" s="12" t="inlineStr">
        <is>
          <t>Maya Chen, Owner Project Controls: Professional decision</t>
        </is>
      </c>
      <c r="G1562" s="12" t="inlineStr">
        <is>
          <t>Group decision (81 records sharing one decision state)</t>
        </is>
      </c>
      <c r="H1562" s="12" t="inlineStr">
        <is>
          <t xml:space="preserve">APPROVED / UNSURE; </t>
        </is>
      </c>
      <c r="I1562" s="12" t="inlineStr">
        <is>
          <t>New</t>
        </is>
      </c>
      <c r="J1562" s="17" t="inlineStr">
        <is>
          <t>08 CROSSWALK</t>
        </is>
      </c>
    </row>
    <row r="1563" ht="49" customHeight="1">
      <c r="A1563" s="12" t="inlineStr">
        <is>
          <t>R1417-v2</t>
        </is>
      </c>
      <c r="B1563" s="12" t="inlineStr">
        <is>
          <t>Cost &amp; Forecast Control Accounts / CST-05-015</t>
        </is>
      </c>
      <c r="C1563" s="12" t="inlineStr">
        <is>
          <t>Cost Account = CA-5015</t>
        </is>
      </c>
      <c r="D1563" s="12" t="inlineStr">
        <is>
          <t>Proposed by Professional; target UNSURE</t>
        </is>
      </c>
      <c r="E1563" s="12" t="inlineStr">
        <is>
          <t>None recorded</t>
        </is>
      </c>
      <c r="F1563" s="12" t="inlineStr">
        <is>
          <t>Maya Chen, Owner Project Controls: Professional decision</t>
        </is>
      </c>
      <c r="G1563" s="12" t="inlineStr">
        <is>
          <t>Group decision (81 records sharing one decision state)</t>
        </is>
      </c>
      <c r="H1563" s="12" t="inlineStr">
        <is>
          <t xml:space="preserve">APPROVED / UNSURE; </t>
        </is>
      </c>
      <c r="I1563" s="12" t="inlineStr">
        <is>
          <t>New</t>
        </is>
      </c>
      <c r="J1563" s="17" t="inlineStr">
        <is>
          <t>08 CROSSWALK</t>
        </is>
      </c>
    </row>
    <row r="1564" ht="49" customHeight="1">
      <c r="A1564" s="12" t="inlineStr">
        <is>
          <t>R1418-v2</t>
        </is>
      </c>
      <c r="B1564" s="12" t="inlineStr">
        <is>
          <t>Cost &amp; Forecast Control Accounts / CST-05-016</t>
        </is>
      </c>
      <c r="C1564" s="12" t="inlineStr">
        <is>
          <t>Cost Account = CA-5016</t>
        </is>
      </c>
      <c r="D1564" s="12" t="inlineStr">
        <is>
          <t>Proposed by Professional; target UNSURE</t>
        </is>
      </c>
      <c r="E1564" s="12" t="inlineStr">
        <is>
          <t>None recorded</t>
        </is>
      </c>
      <c r="F1564" s="12" t="inlineStr">
        <is>
          <t>Maya Chen, Owner Project Controls: Professional decision</t>
        </is>
      </c>
      <c r="G1564" s="12" t="inlineStr">
        <is>
          <t>Group decision (81 records sharing one decision state)</t>
        </is>
      </c>
      <c r="H1564" s="12" t="inlineStr">
        <is>
          <t xml:space="preserve">APPROVED / UNSURE; </t>
        </is>
      </c>
      <c r="I1564" s="12" t="inlineStr">
        <is>
          <t>New</t>
        </is>
      </c>
      <c r="J1564" s="17" t="inlineStr">
        <is>
          <t>08 CROSSWALK</t>
        </is>
      </c>
    </row>
    <row r="1565" ht="49" customHeight="1">
      <c r="A1565" s="12" t="inlineStr">
        <is>
          <t>R1419-v2</t>
        </is>
      </c>
      <c r="B1565" s="12" t="inlineStr">
        <is>
          <t>Cost &amp; Forecast Control Accounts / CST-05-017</t>
        </is>
      </c>
      <c r="C1565" s="12" t="inlineStr">
        <is>
          <t>Cost Account = CA-5017</t>
        </is>
      </c>
      <c r="D1565" s="12" t="inlineStr">
        <is>
          <t>Proposed by Professional; target UNSURE</t>
        </is>
      </c>
      <c r="E1565" s="12" t="inlineStr">
        <is>
          <t>None recorded</t>
        </is>
      </c>
      <c r="F1565" s="12" t="inlineStr">
        <is>
          <t>Maya Chen, Owner Project Controls: Professional decision</t>
        </is>
      </c>
      <c r="G1565" s="12" t="inlineStr">
        <is>
          <t>Group decision (81 records sharing one decision state)</t>
        </is>
      </c>
      <c r="H1565" s="12" t="inlineStr">
        <is>
          <t xml:space="preserve">APPROVED / UNSURE; </t>
        </is>
      </c>
      <c r="I1565" s="12" t="inlineStr">
        <is>
          <t>New</t>
        </is>
      </c>
      <c r="J1565" s="17" t="inlineStr">
        <is>
          <t>08 CROSSWALK</t>
        </is>
      </c>
    </row>
    <row r="1566" ht="49" customHeight="1">
      <c r="A1566" s="12" t="inlineStr">
        <is>
          <t>R1420-v2</t>
        </is>
      </c>
      <c r="B1566" s="12" t="inlineStr">
        <is>
          <t>Cost &amp; Forecast Control Accounts / CST-05-018</t>
        </is>
      </c>
      <c r="C1566" s="12" t="inlineStr">
        <is>
          <t>Cost Account = CA-5018</t>
        </is>
      </c>
      <c r="D1566" s="12" t="inlineStr">
        <is>
          <t>Proposed by Professional; target UNSURE</t>
        </is>
      </c>
      <c r="E1566" s="12" t="inlineStr">
        <is>
          <t>None recorded</t>
        </is>
      </c>
      <c r="F1566" s="12" t="inlineStr">
        <is>
          <t>Maya Chen, Owner Project Controls: Professional decision</t>
        </is>
      </c>
      <c r="G1566" s="12" t="inlineStr">
        <is>
          <t>Group decision (81 records sharing one decision state)</t>
        </is>
      </c>
      <c r="H1566" s="12" t="inlineStr">
        <is>
          <t xml:space="preserve">APPROVED / UNSURE; </t>
        </is>
      </c>
      <c r="I1566" s="12" t="inlineStr">
        <is>
          <t>New</t>
        </is>
      </c>
      <c r="J1566" s="17" t="inlineStr">
        <is>
          <t>08 CROSSWALK</t>
        </is>
      </c>
    </row>
    <row r="1567" ht="49" customHeight="1">
      <c r="A1567" s="12" t="inlineStr">
        <is>
          <t>R1421-v2</t>
        </is>
      </c>
      <c r="B1567" s="12" t="inlineStr">
        <is>
          <t>Cost &amp; Forecast Control Accounts / CST-05-019</t>
        </is>
      </c>
      <c r="C1567" s="12" t="inlineStr">
        <is>
          <t>Cost Account = CA-5019</t>
        </is>
      </c>
      <c r="D1567" s="12" t="inlineStr">
        <is>
          <t>Proposed by Professional; target UNSURE</t>
        </is>
      </c>
      <c r="E1567" s="12" t="inlineStr">
        <is>
          <t>None recorded</t>
        </is>
      </c>
      <c r="F1567" s="12" t="inlineStr">
        <is>
          <t>Maya Chen, Owner Project Controls: Professional decision</t>
        </is>
      </c>
      <c r="G1567" s="12" t="inlineStr">
        <is>
          <t>Group decision (81 records sharing one decision state)</t>
        </is>
      </c>
      <c r="H1567" s="12" t="inlineStr">
        <is>
          <t xml:space="preserve">APPROVED / UNSURE; </t>
        </is>
      </c>
      <c r="I1567" s="12" t="inlineStr">
        <is>
          <t>New</t>
        </is>
      </c>
      <c r="J1567" s="17" t="inlineStr">
        <is>
          <t>08 CROSSWALK</t>
        </is>
      </c>
    </row>
    <row r="1568" ht="49" customHeight="1">
      <c r="A1568" s="12" t="inlineStr">
        <is>
          <t>R1422-v2</t>
        </is>
      </c>
      <c r="B1568" s="12" t="inlineStr">
        <is>
          <t>Cost &amp; Forecast Control Accounts / CST-05-020</t>
        </is>
      </c>
      <c r="C1568" s="12" t="inlineStr">
        <is>
          <t>Cost Account = CA-5020</t>
        </is>
      </c>
      <c r="D1568" s="12" t="inlineStr">
        <is>
          <t>Proposed by Professional; target UNSURE</t>
        </is>
      </c>
      <c r="E1568" s="12" t="inlineStr">
        <is>
          <t>None recorded</t>
        </is>
      </c>
      <c r="F1568" s="12" t="inlineStr">
        <is>
          <t>Maya Chen, Owner Project Controls: Professional decision</t>
        </is>
      </c>
      <c r="G1568" s="12" t="inlineStr">
        <is>
          <t>Group decision (81 records sharing one decision state)</t>
        </is>
      </c>
      <c r="H1568" s="12" t="inlineStr">
        <is>
          <t xml:space="preserve">APPROVED / UNSURE; </t>
        </is>
      </c>
      <c r="I1568" s="12" t="inlineStr">
        <is>
          <t>New</t>
        </is>
      </c>
      <c r="J1568" s="17" t="inlineStr">
        <is>
          <t>08 CROSSWALK</t>
        </is>
      </c>
    </row>
    <row r="1569" ht="49" customHeight="1">
      <c r="A1569" s="12" t="inlineStr">
        <is>
          <t>R1423-v2</t>
        </is>
      </c>
      <c r="B1569" s="12" t="inlineStr">
        <is>
          <t>Cost &amp; Forecast Control Accounts / CST-05-021</t>
        </is>
      </c>
      <c r="C1569" s="12" t="inlineStr">
        <is>
          <t>Cost Account = CA-5021</t>
        </is>
      </c>
      <c r="D1569" s="12" t="inlineStr">
        <is>
          <t>Proposed by Professional; target UNSURE</t>
        </is>
      </c>
      <c r="E1569" s="12" t="inlineStr">
        <is>
          <t>None recorded</t>
        </is>
      </c>
      <c r="F1569" s="12" t="inlineStr">
        <is>
          <t>Maya Chen, Owner Project Controls: Professional decision</t>
        </is>
      </c>
      <c r="G1569" s="12" t="inlineStr">
        <is>
          <t>Group decision (81 records sharing one decision state)</t>
        </is>
      </c>
      <c r="H1569" s="12" t="inlineStr">
        <is>
          <t xml:space="preserve">APPROVED / UNSURE; </t>
        </is>
      </c>
      <c r="I1569" s="12" t="inlineStr">
        <is>
          <t>New</t>
        </is>
      </c>
      <c r="J1569" s="17" t="inlineStr">
        <is>
          <t>08 CROSSWALK</t>
        </is>
      </c>
    </row>
    <row r="1570" ht="49" customHeight="1">
      <c r="A1570" s="12" t="inlineStr">
        <is>
          <t>R1424-v2</t>
        </is>
      </c>
      <c r="B1570" s="12" t="inlineStr">
        <is>
          <t>Cost &amp; Forecast Control Accounts / CST-05-022</t>
        </is>
      </c>
      <c r="C1570" s="12" t="inlineStr">
        <is>
          <t>Cost Account = CA-5022</t>
        </is>
      </c>
      <c r="D1570" s="12" t="inlineStr">
        <is>
          <t>Proposed by Professional; target UNSURE</t>
        </is>
      </c>
      <c r="E1570" s="12" t="inlineStr">
        <is>
          <t>None recorded</t>
        </is>
      </c>
      <c r="F1570" s="12" t="inlineStr">
        <is>
          <t>Maya Chen, Owner Project Controls: Professional decision</t>
        </is>
      </c>
      <c r="G1570" s="12" t="inlineStr">
        <is>
          <t>Group decision (81 records sharing one decision state)</t>
        </is>
      </c>
      <c r="H1570" s="12" t="inlineStr">
        <is>
          <t xml:space="preserve">APPROVED / UNSURE; </t>
        </is>
      </c>
      <c r="I1570" s="12" t="inlineStr">
        <is>
          <t>New</t>
        </is>
      </c>
      <c r="J1570" s="17" t="inlineStr">
        <is>
          <t>08 CROSSWALK</t>
        </is>
      </c>
    </row>
    <row r="1571" ht="49" customHeight="1">
      <c r="A1571" s="12" t="inlineStr">
        <is>
          <t>R1425-v2</t>
        </is>
      </c>
      <c r="B1571" s="12" t="inlineStr">
        <is>
          <t>Cost &amp; Forecast Control Accounts / CST-05-023</t>
        </is>
      </c>
      <c r="C1571" s="12" t="inlineStr">
        <is>
          <t>Cost Account = CA-5023</t>
        </is>
      </c>
      <c r="D1571" s="12" t="inlineStr">
        <is>
          <t>Proposed by Professional; target UNSURE</t>
        </is>
      </c>
      <c r="E1571" s="12" t="inlineStr">
        <is>
          <t>None recorded</t>
        </is>
      </c>
      <c r="F1571" s="12" t="inlineStr">
        <is>
          <t>Maya Chen, Owner Project Controls: Professional decision</t>
        </is>
      </c>
      <c r="G1571" s="12" t="inlineStr">
        <is>
          <t>Group decision (81 records sharing one decision state)</t>
        </is>
      </c>
      <c r="H1571" s="12" t="inlineStr">
        <is>
          <t xml:space="preserve">APPROVED / UNSURE; </t>
        </is>
      </c>
      <c r="I1571" s="12" t="inlineStr">
        <is>
          <t>New</t>
        </is>
      </c>
      <c r="J1571" s="17" t="inlineStr">
        <is>
          <t>08 CROSSWALK</t>
        </is>
      </c>
    </row>
    <row r="1572" ht="49" customHeight="1">
      <c r="A1572" s="12" t="inlineStr">
        <is>
          <t>R1426-v2</t>
        </is>
      </c>
      <c r="B1572" s="12" t="inlineStr">
        <is>
          <t>Cost &amp; Forecast Control Accounts / CST-05-024</t>
        </is>
      </c>
      <c r="C1572" s="12" t="inlineStr">
        <is>
          <t>Cost Account = CA-5024</t>
        </is>
      </c>
      <c r="D1572" s="12" t="inlineStr">
        <is>
          <t>Proposed by Professional; target UNSURE</t>
        </is>
      </c>
      <c r="E1572" s="12" t="inlineStr">
        <is>
          <t>None recorded</t>
        </is>
      </c>
      <c r="F1572" s="12" t="inlineStr">
        <is>
          <t>Maya Chen, Owner Project Controls: Professional decision</t>
        </is>
      </c>
      <c r="G1572" s="12" t="inlineStr">
        <is>
          <t>Group decision (81 records sharing one decision state)</t>
        </is>
      </c>
      <c r="H1572" s="12" t="inlineStr">
        <is>
          <t xml:space="preserve">APPROVED / UNSURE; </t>
        </is>
      </c>
      <c r="I1572" s="12" t="inlineStr">
        <is>
          <t>New</t>
        </is>
      </c>
      <c r="J1572" s="17" t="inlineStr">
        <is>
          <t>08 CROSSWALK</t>
        </is>
      </c>
    </row>
    <row r="1573" ht="49" customHeight="1">
      <c r="A1573" s="12" t="inlineStr">
        <is>
          <t>R1427-v2</t>
        </is>
      </c>
      <c r="B1573" s="12" t="inlineStr">
        <is>
          <t>Cost &amp; Forecast Control Accounts / CST-05-025</t>
        </is>
      </c>
      <c r="C1573" s="12" t="inlineStr">
        <is>
          <t>Cost Account = CA-5025</t>
        </is>
      </c>
      <c r="D1573" s="12" t="inlineStr">
        <is>
          <t>Proposed by Professional; target UNSURE</t>
        </is>
      </c>
      <c r="E1573" s="12" t="inlineStr">
        <is>
          <t>None recorded</t>
        </is>
      </c>
      <c r="F1573" s="12" t="inlineStr">
        <is>
          <t>Maya Chen, Owner Project Controls: Professional decision</t>
        </is>
      </c>
      <c r="G1573" s="12" t="inlineStr">
        <is>
          <t>Group decision (81 records sharing one decision state)</t>
        </is>
      </c>
      <c r="H1573" s="12" t="inlineStr">
        <is>
          <t xml:space="preserve">APPROVED / UNSURE; </t>
        </is>
      </c>
      <c r="I1573" s="12" t="inlineStr">
        <is>
          <t>New</t>
        </is>
      </c>
      <c r="J1573" s="17" t="inlineStr">
        <is>
          <t>08 CROSSWALK</t>
        </is>
      </c>
    </row>
    <row r="1574" ht="49" customHeight="1">
      <c r="A1574" s="12" t="inlineStr">
        <is>
          <t>R1428-v2</t>
        </is>
      </c>
      <c r="B1574" s="12" t="inlineStr">
        <is>
          <t>Cost &amp; Forecast Control Accounts / CST-05-026</t>
        </is>
      </c>
      <c r="C1574" s="12" t="inlineStr">
        <is>
          <t>Cost Account = CA-5026</t>
        </is>
      </c>
      <c r="D1574" s="12" t="inlineStr">
        <is>
          <t>Proposed by Professional; target UNSURE</t>
        </is>
      </c>
      <c r="E1574" s="12" t="inlineStr">
        <is>
          <t>None recorded</t>
        </is>
      </c>
      <c r="F1574" s="12" t="inlineStr">
        <is>
          <t>Maya Chen, Owner Project Controls: Professional decision</t>
        </is>
      </c>
      <c r="G1574" s="12" t="inlineStr">
        <is>
          <t>Group decision (81 records sharing one decision state)</t>
        </is>
      </c>
      <c r="H1574" s="12" t="inlineStr">
        <is>
          <t xml:space="preserve">APPROVED / UNSURE; </t>
        </is>
      </c>
      <c r="I1574" s="12" t="inlineStr">
        <is>
          <t>New</t>
        </is>
      </c>
      <c r="J1574" s="17" t="inlineStr">
        <is>
          <t>08 CROSSWALK</t>
        </is>
      </c>
    </row>
    <row r="1575" ht="49" customHeight="1">
      <c r="A1575" s="12" t="inlineStr">
        <is>
          <t>R1429-v2</t>
        </is>
      </c>
      <c r="B1575" s="12" t="inlineStr">
        <is>
          <t>Cost &amp; Forecast Control Accounts / CST-05-027</t>
        </is>
      </c>
      <c r="C1575" s="12" t="inlineStr">
        <is>
          <t>Cost Account = CA-5027</t>
        </is>
      </c>
      <c r="D1575" s="12" t="inlineStr">
        <is>
          <t>Proposed by Professional; target UNSURE</t>
        </is>
      </c>
      <c r="E1575" s="12" t="inlineStr">
        <is>
          <t>None recorded</t>
        </is>
      </c>
      <c r="F1575" s="12" t="inlineStr">
        <is>
          <t>Maya Chen, Owner Project Controls: Professional decision</t>
        </is>
      </c>
      <c r="G1575" s="12" t="inlineStr">
        <is>
          <t>Group decision (81 records sharing one decision state)</t>
        </is>
      </c>
      <c r="H1575" s="12" t="inlineStr">
        <is>
          <t xml:space="preserve">APPROVED / UNSURE; </t>
        </is>
      </c>
      <c r="I1575" s="12" t="inlineStr">
        <is>
          <t>New</t>
        </is>
      </c>
      <c r="J1575" s="17" t="inlineStr">
        <is>
          <t>08 CROSSWALK</t>
        </is>
      </c>
    </row>
    <row r="1576" ht="49" customHeight="1">
      <c r="A1576" s="12" t="inlineStr">
        <is>
          <t>R1430-v2</t>
        </is>
      </c>
      <c r="B1576" s="12" t="inlineStr">
        <is>
          <t>Cost &amp; Forecast Control Accounts / CST-05-028</t>
        </is>
      </c>
      <c r="C1576" s="12" t="inlineStr">
        <is>
          <t>Cost Account = CA-5028</t>
        </is>
      </c>
      <c r="D1576" s="12" t="inlineStr">
        <is>
          <t>Proposed by Professional; target UNSURE</t>
        </is>
      </c>
      <c r="E1576" s="12" t="inlineStr">
        <is>
          <t>None recorded</t>
        </is>
      </c>
      <c r="F1576" s="12" t="inlineStr">
        <is>
          <t>Maya Chen, Owner Project Controls: Professional decision</t>
        </is>
      </c>
      <c r="G1576" s="12" t="inlineStr">
        <is>
          <t>Group decision (81 records sharing one decision state)</t>
        </is>
      </c>
      <c r="H1576" s="12" t="inlineStr">
        <is>
          <t xml:space="preserve">APPROVED / UNSURE; </t>
        </is>
      </c>
      <c r="I1576" s="12" t="inlineStr">
        <is>
          <t>New</t>
        </is>
      </c>
      <c r="J1576" s="17" t="inlineStr">
        <is>
          <t>08 CROSSWALK</t>
        </is>
      </c>
    </row>
    <row r="1577" ht="49" customHeight="1">
      <c r="A1577" s="12" t="inlineStr">
        <is>
          <t>R1431-v2</t>
        </is>
      </c>
      <c r="B1577" s="12" t="inlineStr">
        <is>
          <t>Cost &amp; Forecast Control Accounts / CST-05-029</t>
        </is>
      </c>
      <c r="C1577" s="12" t="inlineStr">
        <is>
          <t>Cost Account = CA-5029</t>
        </is>
      </c>
      <c r="D1577" s="12" t="inlineStr">
        <is>
          <t>Proposed by Professional; target UNSURE</t>
        </is>
      </c>
      <c r="E1577" s="12" t="inlineStr">
        <is>
          <t>None recorded</t>
        </is>
      </c>
      <c r="F1577" s="12" t="inlineStr">
        <is>
          <t>Maya Chen, Owner Project Controls: Professional decision</t>
        </is>
      </c>
      <c r="G1577" s="12" t="inlineStr">
        <is>
          <t>Group decision (81 records sharing one decision state)</t>
        </is>
      </c>
      <c r="H1577" s="12" t="inlineStr">
        <is>
          <t xml:space="preserve">APPROVED / UNSURE; </t>
        </is>
      </c>
      <c r="I1577" s="12" t="inlineStr">
        <is>
          <t>New</t>
        </is>
      </c>
      <c r="J1577" s="17" t="inlineStr">
        <is>
          <t>08 CROSSWALK</t>
        </is>
      </c>
    </row>
    <row r="1578" ht="49" customHeight="1">
      <c r="A1578" s="12" t="inlineStr">
        <is>
          <t>R1432-v2</t>
        </is>
      </c>
      <c r="B1578" s="12" t="inlineStr">
        <is>
          <t>Cost &amp; Forecast Control Accounts / CST-05-030</t>
        </is>
      </c>
      <c r="C1578" s="12" t="inlineStr">
        <is>
          <t>Cost Account = CA-5030</t>
        </is>
      </c>
      <c r="D1578" s="12" t="inlineStr">
        <is>
          <t>Proposed by Professional; target UNSURE</t>
        </is>
      </c>
      <c r="E1578" s="12" t="inlineStr">
        <is>
          <t>None recorded</t>
        </is>
      </c>
      <c r="F1578" s="12" t="inlineStr">
        <is>
          <t>Maya Chen, Owner Project Controls: Professional decision</t>
        </is>
      </c>
      <c r="G1578" s="12" t="inlineStr">
        <is>
          <t>Group decision (81 records sharing one decision state)</t>
        </is>
      </c>
      <c r="H1578" s="12" t="inlineStr">
        <is>
          <t xml:space="preserve">APPROVED / UNSURE; </t>
        </is>
      </c>
      <c r="I1578" s="12" t="inlineStr">
        <is>
          <t>New</t>
        </is>
      </c>
      <c r="J1578" s="17" t="inlineStr">
        <is>
          <t>08 CROSSWALK</t>
        </is>
      </c>
    </row>
    <row r="1579" ht="49" customHeight="1">
      <c r="A1579" s="12" t="inlineStr">
        <is>
          <t>R1433-v2</t>
        </is>
      </c>
      <c r="B1579" s="12" t="inlineStr">
        <is>
          <t>Cost &amp; Forecast Control Accounts / CST-05-031</t>
        </is>
      </c>
      <c r="C1579" s="12" t="inlineStr">
        <is>
          <t>Cost Account = CA-5031</t>
        </is>
      </c>
      <c r="D1579" s="12" t="inlineStr">
        <is>
          <t>Proposed by Professional; target UNSURE</t>
        </is>
      </c>
      <c r="E1579" s="12" t="inlineStr">
        <is>
          <t>None recorded</t>
        </is>
      </c>
      <c r="F1579" s="12" t="inlineStr">
        <is>
          <t>Maya Chen, Owner Project Controls: Professional decision</t>
        </is>
      </c>
      <c r="G1579" s="12" t="inlineStr">
        <is>
          <t>Group decision (81 records sharing one decision state)</t>
        </is>
      </c>
      <c r="H1579" s="12" t="inlineStr">
        <is>
          <t xml:space="preserve">APPROVED / UNSURE; </t>
        </is>
      </c>
      <c r="I1579" s="12" t="inlineStr">
        <is>
          <t>New</t>
        </is>
      </c>
      <c r="J1579" s="17" t="inlineStr">
        <is>
          <t>08 CROSSWALK</t>
        </is>
      </c>
    </row>
    <row r="1580" ht="49" customHeight="1">
      <c r="A1580" s="12" t="inlineStr">
        <is>
          <t>R1434-v2</t>
        </is>
      </c>
      <c r="B1580" s="12" t="inlineStr">
        <is>
          <t>Cost &amp; Forecast Control Accounts / CST-05-032</t>
        </is>
      </c>
      <c r="C1580" s="12" t="inlineStr">
        <is>
          <t>Cost Account = CA-5032</t>
        </is>
      </c>
      <c r="D1580" s="12" t="inlineStr">
        <is>
          <t>Proposed by Professional; target UNSURE</t>
        </is>
      </c>
      <c r="E1580" s="12" t="inlineStr">
        <is>
          <t>None recorded</t>
        </is>
      </c>
      <c r="F1580" s="12" t="inlineStr">
        <is>
          <t>Maya Chen, Owner Project Controls: Professional decision</t>
        </is>
      </c>
      <c r="G1580" s="12" t="inlineStr">
        <is>
          <t>Group decision (81 records sharing one decision state)</t>
        </is>
      </c>
      <c r="H1580" s="12" t="inlineStr">
        <is>
          <t xml:space="preserve">APPROVED / UNSURE; </t>
        </is>
      </c>
      <c r="I1580" s="12" t="inlineStr">
        <is>
          <t>New</t>
        </is>
      </c>
      <c r="J1580" s="17" t="inlineStr">
        <is>
          <t>08 CROSSWALK</t>
        </is>
      </c>
    </row>
    <row r="1581" ht="49" customHeight="1">
      <c r="A1581" s="12" t="inlineStr">
        <is>
          <t>R1435-v2</t>
        </is>
      </c>
      <c r="B1581" s="12" t="inlineStr">
        <is>
          <t>Cost &amp; Forecast Control Accounts / CST-05-033</t>
        </is>
      </c>
      <c r="C1581" s="12" t="inlineStr">
        <is>
          <t>Cost Account = CA-5033</t>
        </is>
      </c>
      <c r="D1581" s="12" t="inlineStr">
        <is>
          <t>Proposed by Professional; target UNSURE</t>
        </is>
      </c>
      <c r="E1581" s="12" t="inlineStr">
        <is>
          <t>None recorded</t>
        </is>
      </c>
      <c r="F1581" s="12" t="inlineStr">
        <is>
          <t>Maya Chen, Owner Project Controls: Professional decision</t>
        </is>
      </c>
      <c r="G1581" s="12" t="inlineStr">
        <is>
          <t>Group decision (81 records sharing one decision state)</t>
        </is>
      </c>
      <c r="H1581" s="12" t="inlineStr">
        <is>
          <t xml:space="preserve">APPROVED / UNSURE; </t>
        </is>
      </c>
      <c r="I1581" s="12" t="inlineStr">
        <is>
          <t>New</t>
        </is>
      </c>
      <c r="J1581" s="17" t="inlineStr">
        <is>
          <t>08 CROSSWALK</t>
        </is>
      </c>
    </row>
    <row r="1582" ht="49" customHeight="1">
      <c r="A1582" s="12" t="inlineStr">
        <is>
          <t>R1436-v2</t>
        </is>
      </c>
      <c r="B1582" s="12" t="inlineStr">
        <is>
          <t>Cost &amp; Forecast Control Accounts / CST-05-034</t>
        </is>
      </c>
      <c r="C1582" s="12" t="inlineStr">
        <is>
          <t>Cost Account = CA-5034</t>
        </is>
      </c>
      <c r="D1582" s="12" t="inlineStr">
        <is>
          <t>Proposed by Professional; target UNSURE</t>
        </is>
      </c>
      <c r="E1582" s="12" t="inlineStr">
        <is>
          <t>None recorded</t>
        </is>
      </c>
      <c r="F1582" s="12" t="inlineStr">
        <is>
          <t>Maya Chen, Owner Project Controls: Professional decision</t>
        </is>
      </c>
      <c r="G1582" s="12" t="inlineStr">
        <is>
          <t>Group decision (81 records sharing one decision state)</t>
        </is>
      </c>
      <c r="H1582" s="12" t="inlineStr">
        <is>
          <t xml:space="preserve">APPROVED / UNSURE; </t>
        </is>
      </c>
      <c r="I1582" s="12" t="inlineStr">
        <is>
          <t>New</t>
        </is>
      </c>
      <c r="J1582" s="17" t="inlineStr">
        <is>
          <t>08 CROSSWALK</t>
        </is>
      </c>
    </row>
    <row r="1583" ht="49" customHeight="1">
      <c r="A1583" s="12" t="inlineStr">
        <is>
          <t>R1437-v2</t>
        </is>
      </c>
      <c r="B1583" s="12" t="inlineStr">
        <is>
          <t>Cost &amp; Forecast Control Accounts / CST-05-035</t>
        </is>
      </c>
      <c r="C1583" s="12" t="inlineStr">
        <is>
          <t>Cost Account = CA-5035</t>
        </is>
      </c>
      <c r="D1583" s="12" t="inlineStr">
        <is>
          <t>Proposed by Professional; target UNSURE</t>
        </is>
      </c>
      <c r="E1583" s="12" t="inlineStr">
        <is>
          <t>None recorded</t>
        </is>
      </c>
      <c r="F1583" s="12" t="inlineStr">
        <is>
          <t>Maya Chen, Owner Project Controls: Professional decision</t>
        </is>
      </c>
      <c r="G1583" s="12" t="inlineStr">
        <is>
          <t>Group decision (81 records sharing one decision state)</t>
        </is>
      </c>
      <c r="H1583" s="12" t="inlineStr">
        <is>
          <t xml:space="preserve">APPROVED / UNSURE; </t>
        </is>
      </c>
      <c r="I1583" s="12" t="inlineStr">
        <is>
          <t>New</t>
        </is>
      </c>
      <c r="J1583" s="17" t="inlineStr">
        <is>
          <t>08 CROSSWALK</t>
        </is>
      </c>
    </row>
    <row r="1584" ht="49" customHeight="1">
      <c r="A1584" s="12" t="inlineStr">
        <is>
          <t>R1438-v2</t>
        </is>
      </c>
      <c r="B1584" s="12" t="inlineStr">
        <is>
          <t>Cost &amp; Forecast Control Accounts / CST-05-036</t>
        </is>
      </c>
      <c r="C1584" s="12" t="inlineStr">
        <is>
          <t>Cost Account = CA-5036</t>
        </is>
      </c>
      <c r="D1584" s="12" t="inlineStr">
        <is>
          <t>Proposed by Professional; target UNSURE</t>
        </is>
      </c>
      <c r="E1584" s="12" t="inlineStr">
        <is>
          <t>None recorded</t>
        </is>
      </c>
      <c r="F1584" s="12" t="inlineStr">
        <is>
          <t>Maya Chen, Owner Project Controls: Professional decision</t>
        </is>
      </c>
      <c r="G1584" s="12" t="inlineStr">
        <is>
          <t>Group decision (81 records sharing one decision state)</t>
        </is>
      </c>
      <c r="H1584" s="12" t="inlineStr">
        <is>
          <t xml:space="preserve">APPROVED / UNSURE; </t>
        </is>
      </c>
      <c r="I1584" s="12" t="inlineStr">
        <is>
          <t>New</t>
        </is>
      </c>
      <c r="J1584" s="17" t="inlineStr">
        <is>
          <t>08 CROSSWALK</t>
        </is>
      </c>
    </row>
    <row r="1585" ht="49" customHeight="1">
      <c r="A1585" s="12" t="inlineStr">
        <is>
          <t>R1439-v2</t>
        </is>
      </c>
      <c r="B1585" s="12" t="inlineStr">
        <is>
          <t>Cost &amp; Forecast Control Accounts / CST-05-037</t>
        </is>
      </c>
      <c r="C1585" s="12" t="inlineStr">
        <is>
          <t>Cost Account = CA-5037</t>
        </is>
      </c>
      <c r="D1585" s="12" t="inlineStr">
        <is>
          <t>Proposed by Professional; target UNSURE</t>
        </is>
      </c>
      <c r="E1585" s="12" t="inlineStr">
        <is>
          <t>None recorded</t>
        </is>
      </c>
      <c r="F1585" s="12" t="inlineStr">
        <is>
          <t>Maya Chen, Owner Project Controls: Professional decision</t>
        </is>
      </c>
      <c r="G1585" s="12" t="inlineStr">
        <is>
          <t>Group decision (81 records sharing one decision state)</t>
        </is>
      </c>
      <c r="H1585" s="12" t="inlineStr">
        <is>
          <t xml:space="preserve">APPROVED / UNSURE; </t>
        </is>
      </c>
      <c r="I1585" s="12" t="inlineStr">
        <is>
          <t>New</t>
        </is>
      </c>
      <c r="J1585" s="17" t="inlineStr">
        <is>
          <t>08 CROSSWALK</t>
        </is>
      </c>
    </row>
    <row r="1586" ht="49" customHeight="1">
      <c r="A1586" s="12" t="inlineStr">
        <is>
          <t>R1440-v2</t>
        </is>
      </c>
      <c r="B1586" s="12" t="inlineStr">
        <is>
          <t>Cost &amp; Forecast Control Accounts / CST-05-038</t>
        </is>
      </c>
      <c r="C1586" s="12" t="inlineStr">
        <is>
          <t>Cost Account = CA-5038</t>
        </is>
      </c>
      <c r="D1586" s="12" t="inlineStr">
        <is>
          <t>Proposed by Professional; target UNSURE</t>
        </is>
      </c>
      <c r="E1586" s="12" t="inlineStr">
        <is>
          <t>None recorded</t>
        </is>
      </c>
      <c r="F1586" s="12" t="inlineStr">
        <is>
          <t>Maya Chen, Owner Project Controls: Professional decision</t>
        </is>
      </c>
      <c r="G1586" s="12" t="inlineStr">
        <is>
          <t>Group decision (81 records sharing one decision state)</t>
        </is>
      </c>
      <c r="H1586" s="12" t="inlineStr">
        <is>
          <t xml:space="preserve">APPROVED / UNSURE; </t>
        </is>
      </c>
      <c r="I1586" s="12" t="inlineStr">
        <is>
          <t>New</t>
        </is>
      </c>
      <c r="J1586" s="17" t="inlineStr">
        <is>
          <t>08 CROSSWALK</t>
        </is>
      </c>
    </row>
    <row r="1587" ht="49" customHeight="1">
      <c r="A1587" s="12" t="inlineStr">
        <is>
          <t>R1441-v2</t>
        </is>
      </c>
      <c r="B1587" s="12" t="inlineStr">
        <is>
          <t>Cost &amp; Forecast Control Accounts / CST-05-039</t>
        </is>
      </c>
      <c r="C1587" s="12" t="inlineStr">
        <is>
          <t>Cost Account = CA-5039</t>
        </is>
      </c>
      <c r="D1587" s="12" t="inlineStr">
        <is>
          <t>Proposed by Professional; target UNSURE</t>
        </is>
      </c>
      <c r="E1587" s="12" t="inlineStr">
        <is>
          <t>None recorded</t>
        </is>
      </c>
      <c r="F1587" s="12" t="inlineStr">
        <is>
          <t>Maya Chen, Owner Project Controls: Professional decision</t>
        </is>
      </c>
      <c r="G1587" s="12" t="inlineStr">
        <is>
          <t>Group decision (81 records sharing one decision state)</t>
        </is>
      </c>
      <c r="H1587" s="12" t="inlineStr">
        <is>
          <t xml:space="preserve">APPROVED / UNSURE; </t>
        </is>
      </c>
      <c r="I1587" s="12" t="inlineStr">
        <is>
          <t>New</t>
        </is>
      </c>
      <c r="J1587" s="17" t="inlineStr">
        <is>
          <t>08 CROSSWALK</t>
        </is>
      </c>
    </row>
    <row r="1588" ht="49" customHeight="1">
      <c r="A1588" s="12" t="inlineStr">
        <is>
          <t>R1442-v2</t>
        </is>
      </c>
      <c r="B1588" s="12" t="inlineStr">
        <is>
          <t>Cost &amp; Forecast Control Accounts / CST-05-040</t>
        </is>
      </c>
      <c r="C1588" s="12" t="inlineStr">
        <is>
          <t>Cost Account = CA-5040</t>
        </is>
      </c>
      <c r="D1588" s="12" t="inlineStr">
        <is>
          <t>Proposed by Professional; target UNSURE</t>
        </is>
      </c>
      <c r="E1588" s="12" t="inlineStr">
        <is>
          <t>None recorded</t>
        </is>
      </c>
      <c r="F1588" s="12" t="inlineStr">
        <is>
          <t>Maya Chen, Owner Project Controls: Professional decision</t>
        </is>
      </c>
      <c r="G1588" s="12" t="inlineStr">
        <is>
          <t>Group decision (81 records sharing one decision state)</t>
        </is>
      </c>
      <c r="H1588" s="12" t="inlineStr">
        <is>
          <t xml:space="preserve">APPROVED / UNSURE; </t>
        </is>
      </c>
      <c r="I1588" s="12" t="inlineStr">
        <is>
          <t>New</t>
        </is>
      </c>
      <c r="J1588" s="17" t="inlineStr">
        <is>
          <t>08 CROSSWALK</t>
        </is>
      </c>
    </row>
    <row r="1589" ht="49" customHeight="1">
      <c r="A1589" s="12" t="inlineStr">
        <is>
          <t>R1443-v2</t>
        </is>
      </c>
      <c r="B1589" s="12" t="inlineStr">
        <is>
          <t>Cost &amp; Forecast Control Accounts / CST-05-041</t>
        </is>
      </c>
      <c r="C1589" s="12" t="inlineStr">
        <is>
          <t>Cost Account = CA-5041</t>
        </is>
      </c>
      <c r="D1589" s="12" t="inlineStr">
        <is>
          <t>Proposed by Professional; target UNSURE</t>
        </is>
      </c>
      <c r="E1589" s="12" t="inlineStr">
        <is>
          <t>None recorded</t>
        </is>
      </c>
      <c r="F1589" s="12" t="inlineStr">
        <is>
          <t>Maya Chen, Owner Project Controls: Professional decision</t>
        </is>
      </c>
      <c r="G1589" s="12" t="inlineStr">
        <is>
          <t>Group decision (81 records sharing one decision state)</t>
        </is>
      </c>
      <c r="H1589" s="12" t="inlineStr">
        <is>
          <t xml:space="preserve">APPROVED / UNSURE; </t>
        </is>
      </c>
      <c r="I1589" s="12" t="inlineStr">
        <is>
          <t>New</t>
        </is>
      </c>
      <c r="J1589" s="17" t="inlineStr">
        <is>
          <t>08 CROSSWALK</t>
        </is>
      </c>
    </row>
    <row r="1590" ht="49" customHeight="1">
      <c r="A1590" s="12" t="inlineStr">
        <is>
          <t>R1444-v2</t>
        </is>
      </c>
      <c r="B1590" s="12" t="inlineStr">
        <is>
          <t>Cost &amp; Forecast Control Accounts / CST-05-042</t>
        </is>
      </c>
      <c r="C1590" s="12" t="inlineStr">
        <is>
          <t>Cost Account = CA-5042</t>
        </is>
      </c>
      <c r="D1590" s="12" t="inlineStr">
        <is>
          <t>Proposed by Professional; target UNSURE</t>
        </is>
      </c>
      <c r="E1590" s="12" t="inlineStr">
        <is>
          <t>None recorded</t>
        </is>
      </c>
      <c r="F1590" s="12" t="inlineStr">
        <is>
          <t>Maya Chen, Owner Project Controls: Professional decision</t>
        </is>
      </c>
      <c r="G1590" s="12" t="inlineStr">
        <is>
          <t>Group decision (81 records sharing one decision state)</t>
        </is>
      </c>
      <c r="H1590" s="12" t="inlineStr">
        <is>
          <t xml:space="preserve">APPROVED / UNSURE; </t>
        </is>
      </c>
      <c r="I1590" s="12" t="inlineStr">
        <is>
          <t>New</t>
        </is>
      </c>
      <c r="J1590" s="17" t="inlineStr">
        <is>
          <t>08 CROSSWALK</t>
        </is>
      </c>
    </row>
    <row r="1591" ht="49" customHeight="1">
      <c r="A1591" s="12" t="inlineStr">
        <is>
          <t>R1445-v2</t>
        </is>
      </c>
      <c r="B1591" s="12" t="inlineStr">
        <is>
          <t>Cost &amp; Forecast Control Accounts / CST-05-043</t>
        </is>
      </c>
      <c r="C1591" s="12" t="inlineStr">
        <is>
          <t>Cost Account = CA-5043</t>
        </is>
      </c>
      <c r="D1591" s="12" t="inlineStr">
        <is>
          <t>Proposed by Professional; target UNSURE</t>
        </is>
      </c>
      <c r="E1591" s="12" t="inlineStr">
        <is>
          <t>None recorded</t>
        </is>
      </c>
      <c r="F1591" s="12" t="inlineStr">
        <is>
          <t>Maya Chen, Owner Project Controls: Professional decision</t>
        </is>
      </c>
      <c r="G1591" s="12" t="inlineStr">
        <is>
          <t>Group decision (81 records sharing one decision state)</t>
        </is>
      </c>
      <c r="H1591" s="12" t="inlineStr">
        <is>
          <t xml:space="preserve">APPROVED / UNSURE; </t>
        </is>
      </c>
      <c r="I1591" s="12" t="inlineStr">
        <is>
          <t>New</t>
        </is>
      </c>
      <c r="J1591" s="17" t="inlineStr">
        <is>
          <t>08 CROSSWALK</t>
        </is>
      </c>
    </row>
    <row r="1592" ht="49" customHeight="1">
      <c r="A1592" s="12" t="inlineStr">
        <is>
          <t>R1446-v2</t>
        </is>
      </c>
      <c r="B1592" s="12" t="inlineStr">
        <is>
          <t>Cost &amp; Forecast Control Accounts / CST-05-044</t>
        </is>
      </c>
      <c r="C1592" s="12" t="inlineStr">
        <is>
          <t>Cost Account = CA-5044</t>
        </is>
      </c>
      <c r="D1592" s="12" t="inlineStr">
        <is>
          <t>Proposed by Professional; target UNSURE</t>
        </is>
      </c>
      <c r="E1592" s="12" t="inlineStr">
        <is>
          <t>None recorded</t>
        </is>
      </c>
      <c r="F1592" s="12" t="inlineStr">
        <is>
          <t>Maya Chen, Owner Project Controls: Professional decision</t>
        </is>
      </c>
      <c r="G1592" s="12" t="inlineStr">
        <is>
          <t>Group decision (81 records sharing one decision state)</t>
        </is>
      </c>
      <c r="H1592" s="12" t="inlineStr">
        <is>
          <t xml:space="preserve">APPROVED / UNSURE; </t>
        </is>
      </c>
      <c r="I1592" s="12" t="inlineStr">
        <is>
          <t>New</t>
        </is>
      </c>
      <c r="J1592" s="17" t="inlineStr">
        <is>
          <t>08 CROSSWALK</t>
        </is>
      </c>
    </row>
    <row r="1593" ht="49" customHeight="1">
      <c r="A1593" s="12" t="inlineStr">
        <is>
          <t>R1447-v2</t>
        </is>
      </c>
      <c r="B1593" s="12" t="inlineStr">
        <is>
          <t>Cost &amp; Forecast Control Accounts / CST-05-045</t>
        </is>
      </c>
      <c r="C1593" s="12" t="inlineStr">
        <is>
          <t>Cost Account = CA-5045</t>
        </is>
      </c>
      <c r="D1593" s="12" t="inlineStr">
        <is>
          <t>Proposed by Professional; target UNSURE</t>
        </is>
      </c>
      <c r="E1593" s="12" t="inlineStr">
        <is>
          <t>None recorded</t>
        </is>
      </c>
      <c r="F1593" s="12" t="inlineStr">
        <is>
          <t>Maya Chen, Owner Project Controls: Professional decision</t>
        </is>
      </c>
      <c r="G1593" s="12" t="inlineStr">
        <is>
          <t>Group decision (81 records sharing one decision state)</t>
        </is>
      </c>
      <c r="H1593" s="12" t="inlineStr">
        <is>
          <t xml:space="preserve">APPROVED / UNSURE; </t>
        </is>
      </c>
      <c r="I1593" s="12" t="inlineStr">
        <is>
          <t>New</t>
        </is>
      </c>
      <c r="J1593" s="17" t="inlineStr">
        <is>
          <t>08 CROSSWALK</t>
        </is>
      </c>
    </row>
    <row r="1594" ht="49" customHeight="1">
      <c r="A1594" s="12" t="inlineStr">
        <is>
          <t>R1448-v2</t>
        </is>
      </c>
      <c r="B1594" s="12" t="inlineStr">
        <is>
          <t>Cost &amp; Forecast Control Accounts / CST-05-046</t>
        </is>
      </c>
      <c r="C1594" s="12" t="inlineStr">
        <is>
          <t>Cost Account = CA-5046</t>
        </is>
      </c>
      <c r="D1594" s="12" t="inlineStr">
        <is>
          <t>Proposed by Professional; target UNSURE</t>
        </is>
      </c>
      <c r="E1594" s="12" t="inlineStr">
        <is>
          <t>None recorded</t>
        </is>
      </c>
      <c r="F1594" s="12" t="inlineStr">
        <is>
          <t>Maya Chen, Owner Project Controls: Professional decision</t>
        </is>
      </c>
      <c r="G1594" s="12" t="inlineStr">
        <is>
          <t>Group decision (81 records sharing one decision state)</t>
        </is>
      </c>
      <c r="H1594" s="12" t="inlineStr">
        <is>
          <t xml:space="preserve">APPROVED / UNSURE; </t>
        </is>
      </c>
      <c r="I1594" s="12" t="inlineStr">
        <is>
          <t>New</t>
        </is>
      </c>
      <c r="J1594" s="17" t="inlineStr">
        <is>
          <t>08 CROSSWALK</t>
        </is>
      </c>
    </row>
    <row r="1595" ht="49" customHeight="1">
      <c r="A1595" s="12" t="inlineStr">
        <is>
          <t>R1449-v2</t>
        </is>
      </c>
      <c r="B1595" s="12" t="inlineStr">
        <is>
          <t>Cost &amp; Forecast Control Accounts / CST-05-047</t>
        </is>
      </c>
      <c r="C1595" s="12" t="inlineStr">
        <is>
          <t>Cost Account = CA-5047</t>
        </is>
      </c>
      <c r="D1595" s="12" t="inlineStr">
        <is>
          <t>Proposed by Professional; target UNSURE</t>
        </is>
      </c>
      <c r="E1595" s="12" t="inlineStr">
        <is>
          <t>None recorded</t>
        </is>
      </c>
      <c r="F1595" s="12" t="inlineStr">
        <is>
          <t>Maya Chen, Owner Project Controls: Professional decision</t>
        </is>
      </c>
      <c r="G1595" s="12" t="inlineStr">
        <is>
          <t>Group decision (81 records sharing one decision state)</t>
        </is>
      </c>
      <c r="H1595" s="12" t="inlineStr">
        <is>
          <t xml:space="preserve">APPROVED / UNSURE; </t>
        </is>
      </c>
      <c r="I1595" s="12" t="inlineStr">
        <is>
          <t>New</t>
        </is>
      </c>
      <c r="J1595" s="17" t="inlineStr">
        <is>
          <t>08 CROSSWALK</t>
        </is>
      </c>
    </row>
    <row r="1596" ht="49" customHeight="1">
      <c r="A1596" s="12" t="inlineStr">
        <is>
          <t>R1450-v2</t>
        </is>
      </c>
      <c r="B1596" s="12" t="inlineStr">
        <is>
          <t>Cost &amp; Forecast Control Accounts / CST-05-048</t>
        </is>
      </c>
      <c r="C1596" s="12" t="inlineStr">
        <is>
          <t>Cost Account = CA-5048</t>
        </is>
      </c>
      <c r="D1596" s="12" t="inlineStr">
        <is>
          <t>Proposed by Professional; target UNSURE</t>
        </is>
      </c>
      <c r="E1596" s="12" t="inlineStr">
        <is>
          <t>None recorded</t>
        </is>
      </c>
      <c r="F1596" s="12" t="inlineStr">
        <is>
          <t>Maya Chen, Owner Project Controls: Professional decision</t>
        </is>
      </c>
      <c r="G1596" s="12" t="inlineStr">
        <is>
          <t>Group decision (81 records sharing one decision state)</t>
        </is>
      </c>
      <c r="H1596" s="12" t="inlineStr">
        <is>
          <t xml:space="preserve">APPROVED / UNSURE; </t>
        </is>
      </c>
      <c r="I1596" s="12" t="inlineStr">
        <is>
          <t>New</t>
        </is>
      </c>
      <c r="J1596" s="17" t="inlineStr">
        <is>
          <t>08 CROSSWALK</t>
        </is>
      </c>
    </row>
    <row r="1597" ht="49" customHeight="1">
      <c r="A1597" s="12" t="inlineStr">
        <is>
          <t>R1451-v2</t>
        </is>
      </c>
      <c r="B1597" s="12" t="inlineStr">
        <is>
          <t>Cost &amp; Forecast Control Accounts / CST-05-049</t>
        </is>
      </c>
      <c r="C1597" s="12" t="inlineStr">
        <is>
          <t>Cost Account = CA-5049</t>
        </is>
      </c>
      <c r="D1597" s="12" t="inlineStr">
        <is>
          <t>Proposed by Professional; target UNSURE</t>
        </is>
      </c>
      <c r="E1597" s="12" t="inlineStr">
        <is>
          <t>None recorded</t>
        </is>
      </c>
      <c r="F1597" s="12" t="inlineStr">
        <is>
          <t>Maya Chen, Owner Project Controls: Professional decision</t>
        </is>
      </c>
      <c r="G1597" s="12" t="inlineStr">
        <is>
          <t>Group decision (81 records sharing one decision state)</t>
        </is>
      </c>
      <c r="H1597" s="12" t="inlineStr">
        <is>
          <t xml:space="preserve">APPROVED / UNSURE; </t>
        </is>
      </c>
      <c r="I1597" s="12" t="inlineStr">
        <is>
          <t>New</t>
        </is>
      </c>
      <c r="J1597" s="17" t="inlineStr">
        <is>
          <t>08 CROSSWALK</t>
        </is>
      </c>
    </row>
    <row r="1598" ht="49" customHeight="1">
      <c r="A1598" s="12" t="inlineStr">
        <is>
          <t>R1452-v2</t>
        </is>
      </c>
      <c r="B1598" s="12" t="inlineStr">
        <is>
          <t>Cost &amp; Forecast Control Accounts / CST-05-050</t>
        </is>
      </c>
      <c r="C1598" s="12" t="inlineStr">
        <is>
          <t>Cost Account = CA-5050</t>
        </is>
      </c>
      <c r="D1598" s="12" t="inlineStr">
        <is>
          <t>Proposed by Professional; target UNSURE</t>
        </is>
      </c>
      <c r="E1598" s="12" t="inlineStr">
        <is>
          <t>None recorded</t>
        </is>
      </c>
      <c r="F1598" s="12" t="inlineStr">
        <is>
          <t>Maya Chen, Owner Project Controls: Professional decision</t>
        </is>
      </c>
      <c r="G1598" s="12" t="inlineStr">
        <is>
          <t>Group decision (81 records sharing one decision state)</t>
        </is>
      </c>
      <c r="H1598" s="12" t="inlineStr">
        <is>
          <t xml:space="preserve">APPROVED / UNSURE; </t>
        </is>
      </c>
      <c r="I1598" s="12" t="inlineStr">
        <is>
          <t>New</t>
        </is>
      </c>
      <c r="J1598" s="17" t="inlineStr">
        <is>
          <t>08 CROSSWALK</t>
        </is>
      </c>
    </row>
    <row r="1599" ht="49" customHeight="1">
      <c r="A1599" s="12" t="inlineStr">
        <is>
          <t>R1453-v2</t>
        </is>
      </c>
      <c r="B1599" s="12" t="inlineStr">
        <is>
          <t>Cost &amp; Forecast Control Accounts / CST-05-051</t>
        </is>
      </c>
      <c r="C1599" s="12" t="inlineStr">
        <is>
          <t>Cost Account = CA-5051</t>
        </is>
      </c>
      <c r="D1599" s="12" t="inlineStr">
        <is>
          <t>Proposed by Professional; target UNSURE</t>
        </is>
      </c>
      <c r="E1599" s="12" t="inlineStr">
        <is>
          <t>None recorded</t>
        </is>
      </c>
      <c r="F1599" s="12" t="inlineStr">
        <is>
          <t>Maya Chen, Owner Project Controls: Professional decision</t>
        </is>
      </c>
      <c r="G1599" s="12" t="inlineStr">
        <is>
          <t>Group decision (81 records sharing one decision state)</t>
        </is>
      </c>
      <c r="H1599" s="12" t="inlineStr">
        <is>
          <t xml:space="preserve">APPROVED / UNSURE; </t>
        </is>
      </c>
      <c r="I1599" s="12" t="inlineStr">
        <is>
          <t>New</t>
        </is>
      </c>
      <c r="J1599" s="17" t="inlineStr">
        <is>
          <t>08 CROSSWALK</t>
        </is>
      </c>
    </row>
    <row r="1600" ht="49" customHeight="1">
      <c r="A1600" s="12" t="inlineStr">
        <is>
          <t>R1454-v2</t>
        </is>
      </c>
      <c r="B1600" s="12" t="inlineStr">
        <is>
          <t>Cost &amp; Forecast Control Accounts / CST-05-052</t>
        </is>
      </c>
      <c r="C1600" s="12" t="inlineStr">
        <is>
          <t>Cost Account = CA-5052</t>
        </is>
      </c>
      <c r="D1600" s="12" t="inlineStr">
        <is>
          <t>Proposed by Professional; target UNSURE</t>
        </is>
      </c>
      <c r="E1600" s="12" t="inlineStr">
        <is>
          <t>None recorded</t>
        </is>
      </c>
      <c r="F1600" s="12" t="inlineStr">
        <is>
          <t>Maya Chen, Owner Project Controls: Professional decision</t>
        </is>
      </c>
      <c r="G1600" s="12" t="inlineStr">
        <is>
          <t>Group decision (81 records sharing one decision state)</t>
        </is>
      </c>
      <c r="H1600" s="12" t="inlineStr">
        <is>
          <t xml:space="preserve">APPROVED / UNSURE; </t>
        </is>
      </c>
      <c r="I1600" s="12" t="inlineStr">
        <is>
          <t>New</t>
        </is>
      </c>
      <c r="J1600" s="17" t="inlineStr">
        <is>
          <t>08 CROSSWALK</t>
        </is>
      </c>
    </row>
    <row r="1601" ht="49" customHeight="1">
      <c r="A1601" s="12" t="inlineStr">
        <is>
          <t>R1455-v2</t>
        </is>
      </c>
      <c r="B1601" s="12" t="inlineStr">
        <is>
          <t>Cost &amp; Forecast Control Accounts / CST-05-053</t>
        </is>
      </c>
      <c r="C1601" s="12" t="inlineStr">
        <is>
          <t>Cost Account = CA-5053</t>
        </is>
      </c>
      <c r="D1601" s="12" t="inlineStr">
        <is>
          <t>Proposed by Professional; target UNSURE</t>
        </is>
      </c>
      <c r="E1601" s="12" t="inlineStr">
        <is>
          <t>None recorded</t>
        </is>
      </c>
      <c r="F1601" s="12" t="inlineStr">
        <is>
          <t>Maya Chen, Owner Project Controls: Professional decision</t>
        </is>
      </c>
      <c r="G1601" s="12" t="inlineStr">
        <is>
          <t>Group decision (81 records sharing one decision state)</t>
        </is>
      </c>
      <c r="H1601" s="12" t="inlineStr">
        <is>
          <t xml:space="preserve">APPROVED / UNSURE; </t>
        </is>
      </c>
      <c r="I1601" s="12" t="inlineStr">
        <is>
          <t>New</t>
        </is>
      </c>
      <c r="J1601" s="17" t="inlineStr">
        <is>
          <t>08 CROSSWALK</t>
        </is>
      </c>
    </row>
    <row r="1602" ht="49" customHeight="1">
      <c r="A1602" s="12" t="inlineStr">
        <is>
          <t>R1456-v2</t>
        </is>
      </c>
      <c r="B1602" s="12" t="inlineStr">
        <is>
          <t>Cost &amp; Forecast Control Accounts / CST-05-054</t>
        </is>
      </c>
      <c r="C1602" s="12" t="inlineStr">
        <is>
          <t>Cost Account = CA-5054</t>
        </is>
      </c>
      <c r="D1602" s="12" t="inlineStr">
        <is>
          <t>Proposed by Professional; target UNSURE</t>
        </is>
      </c>
      <c r="E1602" s="12" t="inlineStr">
        <is>
          <t>None recorded</t>
        </is>
      </c>
      <c r="F1602" s="12" t="inlineStr">
        <is>
          <t>Maya Chen, Owner Project Controls: Professional decision</t>
        </is>
      </c>
      <c r="G1602" s="12" t="inlineStr">
        <is>
          <t>Group decision (81 records sharing one decision state)</t>
        </is>
      </c>
      <c r="H1602" s="12" t="inlineStr">
        <is>
          <t xml:space="preserve">APPROVED / UNSURE; </t>
        </is>
      </c>
      <c r="I1602" s="12" t="inlineStr">
        <is>
          <t>New</t>
        </is>
      </c>
      <c r="J1602" s="17" t="inlineStr">
        <is>
          <t>08 CROSSWALK</t>
        </is>
      </c>
    </row>
    <row r="1603" ht="49" customHeight="1">
      <c r="A1603" s="12" t="inlineStr">
        <is>
          <t>R1457-v2</t>
        </is>
      </c>
      <c r="B1603" s="12" t="inlineStr">
        <is>
          <t>Cost &amp; Forecast Control Accounts / CST-05-055</t>
        </is>
      </c>
      <c r="C1603" s="12" t="inlineStr">
        <is>
          <t>Cost Account = CA-5055</t>
        </is>
      </c>
      <c r="D1603" s="12" t="inlineStr">
        <is>
          <t>Proposed by Professional; target UNSURE</t>
        </is>
      </c>
      <c r="E1603" s="12" t="inlineStr">
        <is>
          <t>None recorded</t>
        </is>
      </c>
      <c r="F1603" s="12" t="inlineStr">
        <is>
          <t>Maya Chen, Owner Project Controls: Professional decision</t>
        </is>
      </c>
      <c r="G1603" s="12" t="inlineStr">
        <is>
          <t>Group decision (81 records sharing one decision state)</t>
        </is>
      </c>
      <c r="H1603" s="12" t="inlineStr">
        <is>
          <t xml:space="preserve">APPROVED / UNSURE; </t>
        </is>
      </c>
      <c r="I1603" s="12" t="inlineStr">
        <is>
          <t>New</t>
        </is>
      </c>
      <c r="J1603" s="17" t="inlineStr">
        <is>
          <t>08 CROSSWALK</t>
        </is>
      </c>
    </row>
    <row r="1604" ht="49" customHeight="1">
      <c r="A1604" s="12" t="inlineStr">
        <is>
          <t>R1458-v2</t>
        </is>
      </c>
      <c r="B1604" s="12" t="inlineStr">
        <is>
          <t>Cost &amp; Forecast Control Accounts / CST-05-056</t>
        </is>
      </c>
      <c r="C1604" s="12" t="inlineStr">
        <is>
          <t>Cost Account = CA-5056</t>
        </is>
      </c>
      <c r="D1604" s="12" t="inlineStr">
        <is>
          <t>Proposed by Professional; target UNSURE</t>
        </is>
      </c>
      <c r="E1604" s="12" t="inlineStr">
        <is>
          <t>None recorded</t>
        </is>
      </c>
      <c r="F1604" s="12" t="inlineStr">
        <is>
          <t>Maya Chen, Owner Project Controls: Professional decision</t>
        </is>
      </c>
      <c r="G1604" s="12" t="inlineStr">
        <is>
          <t>Group decision (81 records sharing one decision state)</t>
        </is>
      </c>
      <c r="H1604" s="12" t="inlineStr">
        <is>
          <t xml:space="preserve">APPROVED / UNSURE; </t>
        </is>
      </c>
      <c r="I1604" s="12" t="inlineStr">
        <is>
          <t>New</t>
        </is>
      </c>
      <c r="J1604" s="17" t="inlineStr">
        <is>
          <t>08 CROSSWALK</t>
        </is>
      </c>
    </row>
    <row r="1605" ht="49" customHeight="1">
      <c r="A1605" s="12" t="inlineStr">
        <is>
          <t>R1459-v2</t>
        </is>
      </c>
      <c r="B1605" s="12" t="inlineStr">
        <is>
          <t>Cost &amp; Forecast Control Accounts / CST-05-057</t>
        </is>
      </c>
      <c r="C1605" s="12" t="inlineStr">
        <is>
          <t>Cost Account = CA-5057</t>
        </is>
      </c>
      <c r="D1605" s="12" t="inlineStr">
        <is>
          <t>Proposed by Professional; target UNSURE</t>
        </is>
      </c>
      <c r="E1605" s="12" t="inlineStr">
        <is>
          <t>None recorded</t>
        </is>
      </c>
      <c r="F1605" s="12" t="inlineStr">
        <is>
          <t>Maya Chen, Owner Project Controls: Professional decision</t>
        </is>
      </c>
      <c r="G1605" s="12" t="inlineStr">
        <is>
          <t>Group decision (81 records sharing one decision state)</t>
        </is>
      </c>
      <c r="H1605" s="12" t="inlineStr">
        <is>
          <t xml:space="preserve">APPROVED / UNSURE; </t>
        </is>
      </c>
      <c r="I1605" s="12" t="inlineStr">
        <is>
          <t>New</t>
        </is>
      </c>
      <c r="J1605" s="17" t="inlineStr">
        <is>
          <t>08 CROSSWALK</t>
        </is>
      </c>
    </row>
    <row r="1606" ht="49" customHeight="1">
      <c r="A1606" s="12" t="inlineStr">
        <is>
          <t>R1460-v2</t>
        </is>
      </c>
      <c r="B1606" s="12" t="inlineStr">
        <is>
          <t>Cost &amp; Forecast Control Accounts / CST-05-058</t>
        </is>
      </c>
      <c r="C1606" s="12" t="inlineStr">
        <is>
          <t>Cost Account = CA-5058</t>
        </is>
      </c>
      <c r="D1606" s="12" t="inlineStr">
        <is>
          <t>Proposed by Professional; target UNSURE</t>
        </is>
      </c>
      <c r="E1606" s="12" t="inlineStr">
        <is>
          <t>None recorded</t>
        </is>
      </c>
      <c r="F1606" s="12" t="inlineStr">
        <is>
          <t>Maya Chen, Owner Project Controls: Professional decision</t>
        </is>
      </c>
      <c r="G1606" s="12" t="inlineStr">
        <is>
          <t>Group decision (81 records sharing one decision state)</t>
        </is>
      </c>
      <c r="H1606" s="12" t="inlineStr">
        <is>
          <t xml:space="preserve">APPROVED / UNSURE; </t>
        </is>
      </c>
      <c r="I1606" s="12" t="inlineStr">
        <is>
          <t>New</t>
        </is>
      </c>
      <c r="J1606" s="17" t="inlineStr">
        <is>
          <t>08 CROSSWALK</t>
        </is>
      </c>
    </row>
    <row r="1607" ht="49" customHeight="1">
      <c r="A1607" s="12" t="inlineStr">
        <is>
          <t>R1461-v2</t>
        </is>
      </c>
      <c r="B1607" s="12" t="inlineStr">
        <is>
          <t>Cost &amp; Forecast Control Accounts / CST-05-059</t>
        </is>
      </c>
      <c r="C1607" s="12" t="inlineStr">
        <is>
          <t>Cost Account = CA-5059</t>
        </is>
      </c>
      <c r="D1607" s="12" t="inlineStr">
        <is>
          <t>Proposed by Professional; target UNSURE</t>
        </is>
      </c>
      <c r="E1607" s="12" t="inlineStr">
        <is>
          <t>None recorded</t>
        </is>
      </c>
      <c r="F1607" s="12" t="inlineStr">
        <is>
          <t>Maya Chen, Owner Project Controls: Professional decision</t>
        </is>
      </c>
      <c r="G1607" s="12" t="inlineStr">
        <is>
          <t>Group decision (81 records sharing one decision state)</t>
        </is>
      </c>
      <c r="H1607" s="12" t="inlineStr">
        <is>
          <t xml:space="preserve">APPROVED / UNSURE; </t>
        </is>
      </c>
      <c r="I1607" s="12" t="inlineStr">
        <is>
          <t>New</t>
        </is>
      </c>
      <c r="J1607" s="17" t="inlineStr">
        <is>
          <t>08 CROSSWALK</t>
        </is>
      </c>
    </row>
    <row r="1608" ht="49" customHeight="1">
      <c r="A1608" s="12" t="inlineStr">
        <is>
          <t>R1462-v2</t>
        </is>
      </c>
      <c r="B1608" s="12" t="inlineStr">
        <is>
          <t>Cost &amp; Forecast Control Accounts / CST-05-060</t>
        </is>
      </c>
      <c r="C1608" s="12" t="inlineStr">
        <is>
          <t>Cost Account = CA-5060</t>
        </is>
      </c>
      <c r="D1608" s="12" t="inlineStr">
        <is>
          <t>Proposed by Professional; target UNSURE</t>
        </is>
      </c>
      <c r="E1608" s="12" t="inlineStr">
        <is>
          <t>None recorded</t>
        </is>
      </c>
      <c r="F1608" s="12" t="inlineStr">
        <is>
          <t>Maya Chen, Owner Project Controls: Professional decision</t>
        </is>
      </c>
      <c r="G1608" s="12" t="inlineStr">
        <is>
          <t>Group decision (81 records sharing one decision state)</t>
        </is>
      </c>
      <c r="H1608" s="12" t="inlineStr">
        <is>
          <t xml:space="preserve">APPROVED / UNSURE; </t>
        </is>
      </c>
      <c r="I1608" s="12" t="inlineStr">
        <is>
          <t>New</t>
        </is>
      </c>
      <c r="J1608" s="17" t="inlineStr">
        <is>
          <t>08 CROSSWALK</t>
        </is>
      </c>
    </row>
    <row r="1609" ht="49" customHeight="1">
      <c r="A1609" s="12" t="inlineStr">
        <is>
          <t>R1463-v2</t>
        </is>
      </c>
      <c r="B1609" s="12" t="inlineStr">
        <is>
          <t>Cost &amp; Forecast Control Accounts / CST-05-061</t>
        </is>
      </c>
      <c r="C1609" s="12" t="inlineStr">
        <is>
          <t>Cost Account = CA-5061</t>
        </is>
      </c>
      <c r="D1609" s="12" t="inlineStr">
        <is>
          <t>Proposed by Professional; target UNSURE</t>
        </is>
      </c>
      <c r="E1609" s="12" t="inlineStr">
        <is>
          <t>None recorded</t>
        </is>
      </c>
      <c r="F1609" s="12" t="inlineStr">
        <is>
          <t>Maya Chen, Owner Project Controls: Professional decision</t>
        </is>
      </c>
      <c r="G1609" s="12" t="inlineStr">
        <is>
          <t>Group decision (81 records sharing one decision state)</t>
        </is>
      </c>
      <c r="H1609" s="12" t="inlineStr">
        <is>
          <t xml:space="preserve">APPROVED / UNSURE; </t>
        </is>
      </c>
      <c r="I1609" s="12" t="inlineStr">
        <is>
          <t>New</t>
        </is>
      </c>
      <c r="J1609" s="17" t="inlineStr">
        <is>
          <t>08 CROSSWALK</t>
        </is>
      </c>
    </row>
    <row r="1610" ht="49" customHeight="1">
      <c r="A1610" s="12" t="inlineStr">
        <is>
          <t>R1464-v2</t>
        </is>
      </c>
      <c r="B1610" s="12" t="inlineStr">
        <is>
          <t>Cost &amp; Forecast Control Accounts / CST-05-062</t>
        </is>
      </c>
      <c r="C1610" s="12" t="inlineStr">
        <is>
          <t>Cost Account = CA-5062</t>
        </is>
      </c>
      <c r="D1610" s="12" t="inlineStr">
        <is>
          <t>Proposed by Professional; target UNSURE</t>
        </is>
      </c>
      <c r="E1610" s="12" t="inlineStr">
        <is>
          <t>None recorded</t>
        </is>
      </c>
      <c r="F1610" s="12" t="inlineStr">
        <is>
          <t>Maya Chen, Owner Project Controls: Professional decision</t>
        </is>
      </c>
      <c r="G1610" s="12" t="inlineStr">
        <is>
          <t>Group decision (81 records sharing one decision state)</t>
        </is>
      </c>
      <c r="H1610" s="12" t="inlineStr">
        <is>
          <t xml:space="preserve">APPROVED / UNSURE; </t>
        </is>
      </c>
      <c r="I1610" s="12" t="inlineStr">
        <is>
          <t>New</t>
        </is>
      </c>
      <c r="J1610" s="17" t="inlineStr">
        <is>
          <t>08 CROSSWALK</t>
        </is>
      </c>
    </row>
    <row r="1611" ht="49" customHeight="1">
      <c r="A1611" s="12" t="inlineStr">
        <is>
          <t>R1465-v2</t>
        </is>
      </c>
      <c r="B1611" s="12" t="inlineStr">
        <is>
          <t>Cost &amp; Forecast Control Accounts / CST-05-063</t>
        </is>
      </c>
      <c r="C1611" s="12" t="inlineStr">
        <is>
          <t>Cost Account = CA-5063</t>
        </is>
      </c>
      <c r="D1611" s="12" t="inlineStr">
        <is>
          <t>Proposed by Professional; target UNSURE</t>
        </is>
      </c>
      <c r="E1611" s="12" t="inlineStr">
        <is>
          <t>None recorded</t>
        </is>
      </c>
      <c r="F1611" s="12" t="inlineStr">
        <is>
          <t>Maya Chen, Owner Project Controls: Professional decision</t>
        </is>
      </c>
      <c r="G1611" s="12" t="inlineStr">
        <is>
          <t>Group decision (81 records sharing one decision state)</t>
        </is>
      </c>
      <c r="H1611" s="12" t="inlineStr">
        <is>
          <t xml:space="preserve">APPROVED / UNSURE; </t>
        </is>
      </c>
      <c r="I1611" s="12" t="inlineStr">
        <is>
          <t>New</t>
        </is>
      </c>
      <c r="J1611" s="17" t="inlineStr">
        <is>
          <t>08 CROSSWALK</t>
        </is>
      </c>
    </row>
    <row r="1612" ht="49" customHeight="1">
      <c r="A1612" s="12" t="inlineStr">
        <is>
          <t>R1466-v2</t>
        </is>
      </c>
      <c r="B1612" s="12" t="inlineStr">
        <is>
          <t>Cost &amp; Forecast Control Accounts / CST-05-064</t>
        </is>
      </c>
      <c r="C1612" s="12" t="inlineStr">
        <is>
          <t>Cost Account = CA-5064</t>
        </is>
      </c>
      <c r="D1612" s="12" t="inlineStr">
        <is>
          <t>Proposed by Professional; target UNSURE</t>
        </is>
      </c>
      <c r="E1612" s="12" t="inlineStr">
        <is>
          <t>None recorded</t>
        </is>
      </c>
      <c r="F1612" s="12" t="inlineStr">
        <is>
          <t>Maya Chen, Owner Project Controls: Professional decision</t>
        </is>
      </c>
      <c r="G1612" s="12" t="inlineStr">
        <is>
          <t>Group decision (81 records sharing one decision state)</t>
        </is>
      </c>
      <c r="H1612" s="12" t="inlineStr">
        <is>
          <t xml:space="preserve">APPROVED / UNSURE; </t>
        </is>
      </c>
      <c r="I1612" s="12" t="inlineStr">
        <is>
          <t>New</t>
        </is>
      </c>
      <c r="J1612" s="17" t="inlineStr">
        <is>
          <t>08 CROSSWALK</t>
        </is>
      </c>
    </row>
    <row r="1613" ht="49" customHeight="1">
      <c r="A1613" s="12" t="inlineStr">
        <is>
          <t>R1467-v2</t>
        </is>
      </c>
      <c r="B1613" s="12" t="inlineStr">
        <is>
          <t>Cost &amp; Forecast Control Accounts / CST-05-065</t>
        </is>
      </c>
      <c r="C1613" s="12" t="inlineStr">
        <is>
          <t>Cost Account = CA-5065</t>
        </is>
      </c>
      <c r="D1613" s="12" t="inlineStr">
        <is>
          <t>Proposed by Professional; target UNSURE</t>
        </is>
      </c>
      <c r="E1613" s="12" t="inlineStr">
        <is>
          <t>None recorded</t>
        </is>
      </c>
      <c r="F1613" s="12" t="inlineStr">
        <is>
          <t>Maya Chen, Owner Project Controls: Professional decision</t>
        </is>
      </c>
      <c r="G1613" s="12" t="inlineStr">
        <is>
          <t>Group decision (81 records sharing one decision state)</t>
        </is>
      </c>
      <c r="H1613" s="12" t="inlineStr">
        <is>
          <t xml:space="preserve">APPROVED / UNSURE; </t>
        </is>
      </c>
      <c r="I1613" s="12" t="inlineStr">
        <is>
          <t>New</t>
        </is>
      </c>
      <c r="J1613" s="17" t="inlineStr">
        <is>
          <t>08 CROSSWALK</t>
        </is>
      </c>
    </row>
    <row r="1614" ht="49" customHeight="1">
      <c r="A1614" s="12" t="inlineStr">
        <is>
          <t>R1468-v2</t>
        </is>
      </c>
      <c r="B1614" s="12" t="inlineStr">
        <is>
          <t>Cost &amp; Forecast Control Accounts / CST-05-066</t>
        </is>
      </c>
      <c r="C1614" s="12" t="inlineStr">
        <is>
          <t>Cost Account = CA-5066</t>
        </is>
      </c>
      <c r="D1614" s="12" t="inlineStr">
        <is>
          <t>Proposed by Professional; target UNSURE</t>
        </is>
      </c>
      <c r="E1614" s="12" t="inlineStr">
        <is>
          <t>None recorded</t>
        </is>
      </c>
      <c r="F1614" s="12" t="inlineStr">
        <is>
          <t>Maya Chen, Owner Project Controls: Professional decision</t>
        </is>
      </c>
      <c r="G1614" s="12" t="inlineStr">
        <is>
          <t>Group decision (81 records sharing one decision state)</t>
        </is>
      </c>
      <c r="H1614" s="12" t="inlineStr">
        <is>
          <t xml:space="preserve">APPROVED / UNSURE; </t>
        </is>
      </c>
      <c r="I1614" s="12" t="inlineStr">
        <is>
          <t>New</t>
        </is>
      </c>
      <c r="J1614" s="17" t="inlineStr">
        <is>
          <t>08 CROSSWALK</t>
        </is>
      </c>
    </row>
    <row r="1615" ht="49" customHeight="1">
      <c r="A1615" s="12" t="inlineStr">
        <is>
          <t>R1469-v2</t>
        </is>
      </c>
      <c r="B1615" s="12" t="inlineStr">
        <is>
          <t>Cost &amp; Forecast Control Accounts / CST-05-067</t>
        </is>
      </c>
      <c r="C1615" s="12" t="inlineStr">
        <is>
          <t>Cost Account = CA-5067</t>
        </is>
      </c>
      <c r="D1615" s="12" t="inlineStr">
        <is>
          <t>Proposed by Professional; target UNSURE</t>
        </is>
      </c>
      <c r="E1615" s="12" t="inlineStr">
        <is>
          <t>None recorded</t>
        </is>
      </c>
      <c r="F1615" s="12" t="inlineStr">
        <is>
          <t>Maya Chen, Owner Project Controls: Professional decision</t>
        </is>
      </c>
      <c r="G1615" s="12" t="inlineStr">
        <is>
          <t>Group decision (81 records sharing one decision state)</t>
        </is>
      </c>
      <c r="H1615" s="12" t="inlineStr">
        <is>
          <t xml:space="preserve">APPROVED / UNSURE; </t>
        </is>
      </c>
      <c r="I1615" s="12" t="inlineStr">
        <is>
          <t>New</t>
        </is>
      </c>
      <c r="J1615" s="17" t="inlineStr">
        <is>
          <t>08 CROSSWALK</t>
        </is>
      </c>
    </row>
    <row r="1616" ht="49" customHeight="1">
      <c r="A1616" s="12" t="inlineStr">
        <is>
          <t>R1470-v2</t>
        </is>
      </c>
      <c r="B1616" s="12" t="inlineStr">
        <is>
          <t>Cost &amp; Forecast Control Accounts / CST-05-068</t>
        </is>
      </c>
      <c r="C1616" s="12" t="inlineStr">
        <is>
          <t>Cost Account = CA-5068</t>
        </is>
      </c>
      <c r="D1616" s="12" t="inlineStr">
        <is>
          <t>Proposed by Professional; target UNSURE</t>
        </is>
      </c>
      <c r="E1616" s="12" t="inlineStr">
        <is>
          <t>None recorded</t>
        </is>
      </c>
      <c r="F1616" s="12" t="inlineStr">
        <is>
          <t>Maya Chen, Owner Project Controls: Professional decision</t>
        </is>
      </c>
      <c r="G1616" s="12" t="inlineStr">
        <is>
          <t>Group decision (81 records sharing one decision state)</t>
        </is>
      </c>
      <c r="H1616" s="12" t="inlineStr">
        <is>
          <t xml:space="preserve">APPROVED / UNSURE; </t>
        </is>
      </c>
      <c r="I1616" s="12" t="inlineStr">
        <is>
          <t>New</t>
        </is>
      </c>
      <c r="J1616" s="17" t="inlineStr">
        <is>
          <t>08 CROSSWALK</t>
        </is>
      </c>
    </row>
    <row r="1617" ht="49" customHeight="1">
      <c r="A1617" s="12" t="inlineStr">
        <is>
          <t>R1471-v2</t>
        </is>
      </c>
      <c r="B1617" s="12" t="inlineStr">
        <is>
          <t>Cost &amp; Forecast Control Accounts / CST-05-069</t>
        </is>
      </c>
      <c r="C1617" s="12" t="inlineStr">
        <is>
          <t>Cost Account = CA-5069</t>
        </is>
      </c>
      <c r="D1617" s="12" t="inlineStr">
        <is>
          <t>Proposed by Professional; target UNSURE</t>
        </is>
      </c>
      <c r="E1617" s="12" t="inlineStr">
        <is>
          <t>None recorded</t>
        </is>
      </c>
      <c r="F1617" s="12" t="inlineStr">
        <is>
          <t>Maya Chen, Owner Project Controls: Professional decision</t>
        </is>
      </c>
      <c r="G1617" s="12" t="inlineStr">
        <is>
          <t>Group decision (81 records sharing one decision state)</t>
        </is>
      </c>
      <c r="H1617" s="12" t="inlineStr">
        <is>
          <t xml:space="preserve">APPROVED / UNSURE; </t>
        </is>
      </c>
      <c r="I1617" s="12" t="inlineStr">
        <is>
          <t>New</t>
        </is>
      </c>
      <c r="J1617" s="17" t="inlineStr">
        <is>
          <t>08 CROSSWALK</t>
        </is>
      </c>
    </row>
    <row r="1618" ht="49" customHeight="1">
      <c r="A1618" s="12" t="inlineStr">
        <is>
          <t>R1472-v2</t>
        </is>
      </c>
      <c r="B1618" s="12" t="inlineStr">
        <is>
          <t>Cost &amp; Forecast Control Accounts / CST-05-070</t>
        </is>
      </c>
      <c r="C1618" s="12" t="inlineStr">
        <is>
          <t>Cost Account = CA-5070</t>
        </is>
      </c>
      <c r="D1618" s="12" t="inlineStr">
        <is>
          <t>Proposed by Professional; target UNSURE</t>
        </is>
      </c>
      <c r="E1618" s="12" t="inlineStr">
        <is>
          <t>None recorded</t>
        </is>
      </c>
      <c r="F1618" s="12" t="inlineStr">
        <is>
          <t>Maya Chen, Owner Project Controls: Professional decision</t>
        </is>
      </c>
      <c r="G1618" s="12" t="inlineStr">
        <is>
          <t>Group decision (81 records sharing one decision state)</t>
        </is>
      </c>
      <c r="H1618" s="12" t="inlineStr">
        <is>
          <t xml:space="preserve">APPROVED / UNSURE; </t>
        </is>
      </c>
      <c r="I1618" s="12" t="inlineStr">
        <is>
          <t>New</t>
        </is>
      </c>
      <c r="J1618" s="17" t="inlineStr">
        <is>
          <t>08 CROSSWALK</t>
        </is>
      </c>
    </row>
    <row r="1619" ht="49" customHeight="1">
      <c r="A1619" s="12" t="inlineStr">
        <is>
          <t>R1473-v2</t>
        </is>
      </c>
      <c r="B1619" s="12" t="inlineStr">
        <is>
          <t>Cost &amp; Forecast Control Accounts / CST-05-071</t>
        </is>
      </c>
      <c r="C1619" s="12" t="inlineStr">
        <is>
          <t>Cost Account = CA-5071</t>
        </is>
      </c>
      <c r="D1619" s="12" t="inlineStr">
        <is>
          <t>Proposed by Professional; target UNSURE</t>
        </is>
      </c>
      <c r="E1619" s="12" t="inlineStr">
        <is>
          <t>None recorded</t>
        </is>
      </c>
      <c r="F1619" s="12" t="inlineStr">
        <is>
          <t>Maya Chen, Owner Project Controls: Professional decision</t>
        </is>
      </c>
      <c r="G1619" s="12" t="inlineStr">
        <is>
          <t>Group decision (81 records sharing one decision state)</t>
        </is>
      </c>
      <c r="H1619" s="12" t="inlineStr">
        <is>
          <t xml:space="preserve">APPROVED / UNSURE; </t>
        </is>
      </c>
      <c r="I1619" s="12" t="inlineStr">
        <is>
          <t>New</t>
        </is>
      </c>
      <c r="J1619" s="17" t="inlineStr">
        <is>
          <t>08 CROSSWALK</t>
        </is>
      </c>
    </row>
    <row r="1620" ht="49" customHeight="1">
      <c r="A1620" s="12" t="inlineStr">
        <is>
          <t>R1474-v2</t>
        </is>
      </c>
      <c r="B1620" s="12" t="inlineStr">
        <is>
          <t>Cost &amp; Forecast Control Accounts / CST-05-072</t>
        </is>
      </c>
      <c r="C1620" s="12" t="inlineStr">
        <is>
          <t>Cost Account = CA-5072</t>
        </is>
      </c>
      <c r="D1620" s="12" t="inlineStr">
        <is>
          <t>Proposed by Professional; target UNSURE</t>
        </is>
      </c>
      <c r="E1620" s="12" t="inlineStr">
        <is>
          <t>None recorded</t>
        </is>
      </c>
      <c r="F1620" s="12" t="inlineStr">
        <is>
          <t>Maya Chen, Owner Project Controls: Professional decision</t>
        </is>
      </c>
      <c r="G1620" s="12" t="inlineStr">
        <is>
          <t>Group decision (81 records sharing one decision state)</t>
        </is>
      </c>
      <c r="H1620" s="12" t="inlineStr">
        <is>
          <t xml:space="preserve">APPROVED / UNSURE; </t>
        </is>
      </c>
      <c r="I1620" s="12" t="inlineStr">
        <is>
          <t>New</t>
        </is>
      </c>
      <c r="J1620" s="17" t="inlineStr">
        <is>
          <t>08 CROSSWALK</t>
        </is>
      </c>
    </row>
    <row r="1621" ht="49" customHeight="1">
      <c r="A1621" s="12" t="inlineStr">
        <is>
          <t>R1475-v2</t>
        </is>
      </c>
      <c r="B1621" s="12" t="inlineStr">
        <is>
          <t>Cost &amp; Forecast Control Accounts / CST-05-073</t>
        </is>
      </c>
      <c r="C1621" s="12" t="inlineStr">
        <is>
          <t>Cost Account = CA-5073</t>
        </is>
      </c>
      <c r="D1621" s="12" t="inlineStr">
        <is>
          <t>Proposed by Professional; target UNSURE</t>
        </is>
      </c>
      <c r="E1621" s="12" t="inlineStr">
        <is>
          <t>None recorded</t>
        </is>
      </c>
      <c r="F1621" s="12" t="inlineStr">
        <is>
          <t>Maya Chen, Owner Project Controls: Professional decision</t>
        </is>
      </c>
      <c r="G1621" s="12" t="inlineStr">
        <is>
          <t>Group decision (81 records sharing one decision state)</t>
        </is>
      </c>
      <c r="H1621" s="12" t="inlineStr">
        <is>
          <t xml:space="preserve">APPROVED / UNSURE; </t>
        </is>
      </c>
      <c r="I1621" s="12" t="inlineStr">
        <is>
          <t>New</t>
        </is>
      </c>
      <c r="J1621" s="17" t="inlineStr">
        <is>
          <t>08 CROSSWALK</t>
        </is>
      </c>
    </row>
    <row r="1622" ht="49" customHeight="1">
      <c r="A1622" s="12" t="inlineStr">
        <is>
          <t>R1476-v2</t>
        </is>
      </c>
      <c r="B1622" s="12" t="inlineStr">
        <is>
          <t>Cost &amp; Forecast Control Accounts / CST-05-074</t>
        </is>
      </c>
      <c r="C1622" s="12" t="inlineStr">
        <is>
          <t>Cost Account = CA-5074</t>
        </is>
      </c>
      <c r="D1622" s="12" t="inlineStr">
        <is>
          <t>Proposed by Professional; target UNSURE</t>
        </is>
      </c>
      <c r="E1622" s="12" t="inlineStr">
        <is>
          <t>None recorded</t>
        </is>
      </c>
      <c r="F1622" s="12" t="inlineStr">
        <is>
          <t>Maya Chen, Owner Project Controls: Professional decision</t>
        </is>
      </c>
      <c r="G1622" s="12" t="inlineStr">
        <is>
          <t>Group decision (81 records sharing one decision state)</t>
        </is>
      </c>
      <c r="H1622" s="12" t="inlineStr">
        <is>
          <t xml:space="preserve">APPROVED / UNSURE; </t>
        </is>
      </c>
      <c r="I1622" s="12" t="inlineStr">
        <is>
          <t>New</t>
        </is>
      </c>
      <c r="J1622" s="17" t="inlineStr">
        <is>
          <t>08 CROSSWALK</t>
        </is>
      </c>
    </row>
    <row r="1623" ht="49" customHeight="1">
      <c r="A1623" s="12" t="inlineStr">
        <is>
          <t>R1477-v2</t>
        </is>
      </c>
      <c r="B1623" s="12" t="inlineStr">
        <is>
          <t>Cost &amp; Forecast Control Accounts / CST-05-075</t>
        </is>
      </c>
      <c r="C1623" s="12" t="inlineStr">
        <is>
          <t>Cost Account = CA-5075</t>
        </is>
      </c>
      <c r="D1623" s="12" t="inlineStr">
        <is>
          <t>Proposed by Professional; target UNSURE</t>
        </is>
      </c>
      <c r="E1623" s="12" t="inlineStr">
        <is>
          <t>None recorded</t>
        </is>
      </c>
      <c r="F1623" s="12" t="inlineStr">
        <is>
          <t>Maya Chen, Owner Project Controls: Professional decision</t>
        </is>
      </c>
      <c r="G1623" s="12" t="inlineStr">
        <is>
          <t>Group decision (81 records sharing one decision state)</t>
        </is>
      </c>
      <c r="H1623" s="12" t="inlineStr">
        <is>
          <t xml:space="preserve">APPROVED / UNSURE; </t>
        </is>
      </c>
      <c r="I1623" s="12" t="inlineStr">
        <is>
          <t>New</t>
        </is>
      </c>
      <c r="J1623" s="17" t="inlineStr">
        <is>
          <t>08 CROSSWALK</t>
        </is>
      </c>
    </row>
    <row r="1624" ht="49" customHeight="1">
      <c r="A1624" s="12" t="inlineStr">
        <is>
          <t>R1478-v2</t>
        </is>
      </c>
      <c r="B1624" s="12" t="inlineStr">
        <is>
          <t>Cost &amp; Forecast Control Accounts / CST-05-076</t>
        </is>
      </c>
      <c r="C1624" s="12" t="inlineStr">
        <is>
          <t>Cost Account = CA-5076</t>
        </is>
      </c>
      <c r="D1624" s="12" t="inlineStr">
        <is>
          <t>Proposed by Professional; target UNSURE</t>
        </is>
      </c>
      <c r="E1624" s="12" t="inlineStr">
        <is>
          <t>None recorded</t>
        </is>
      </c>
      <c r="F1624" s="12" t="inlineStr">
        <is>
          <t>Maya Chen, Owner Project Controls: Professional decision</t>
        </is>
      </c>
      <c r="G1624" s="12" t="inlineStr">
        <is>
          <t>Group decision (81 records sharing one decision state)</t>
        </is>
      </c>
      <c r="H1624" s="12" t="inlineStr">
        <is>
          <t xml:space="preserve">APPROVED / UNSURE; </t>
        </is>
      </c>
      <c r="I1624" s="12" t="inlineStr">
        <is>
          <t>New</t>
        </is>
      </c>
      <c r="J1624" s="17" t="inlineStr">
        <is>
          <t>08 CROSSWALK</t>
        </is>
      </c>
    </row>
    <row r="1625" ht="49" customHeight="1">
      <c r="A1625" s="12" t="inlineStr">
        <is>
          <t>R1479-v2</t>
        </is>
      </c>
      <c r="B1625" s="12" t="inlineStr">
        <is>
          <t>Cost &amp; Forecast Control Accounts / CST-05-077</t>
        </is>
      </c>
      <c r="C1625" s="12" t="inlineStr">
        <is>
          <t>Cost Account = CA-5077</t>
        </is>
      </c>
      <c r="D1625" s="12" t="inlineStr">
        <is>
          <t>Proposed by Professional; target UNSURE</t>
        </is>
      </c>
      <c r="E1625" s="12" t="inlineStr">
        <is>
          <t>None recorded</t>
        </is>
      </c>
      <c r="F1625" s="12" t="inlineStr">
        <is>
          <t>Maya Chen, Owner Project Controls: Professional decision</t>
        </is>
      </c>
      <c r="G1625" s="12" t="inlineStr">
        <is>
          <t>Group decision (81 records sharing one decision state)</t>
        </is>
      </c>
      <c r="H1625" s="12" t="inlineStr">
        <is>
          <t xml:space="preserve">APPROVED / UNSURE; </t>
        </is>
      </c>
      <c r="I1625" s="12" t="inlineStr">
        <is>
          <t>New</t>
        </is>
      </c>
      <c r="J1625" s="17" t="inlineStr">
        <is>
          <t>08 CROSSWALK</t>
        </is>
      </c>
    </row>
    <row r="1626" ht="49" customHeight="1">
      <c r="A1626" s="12" t="inlineStr">
        <is>
          <t>R1480-v2</t>
        </is>
      </c>
      <c r="B1626" s="12" t="inlineStr">
        <is>
          <t>Cost &amp; Forecast Control Accounts / CST-05-078</t>
        </is>
      </c>
      <c r="C1626" s="12" t="inlineStr">
        <is>
          <t>Cost Account = CA-5078</t>
        </is>
      </c>
      <c r="D1626" s="12" t="inlineStr">
        <is>
          <t>Proposed by Professional; target UNSURE</t>
        </is>
      </c>
      <c r="E1626" s="12" t="inlineStr">
        <is>
          <t>None recorded</t>
        </is>
      </c>
      <c r="F1626" s="12" t="inlineStr">
        <is>
          <t>Maya Chen, Owner Project Controls: Professional decision</t>
        </is>
      </c>
      <c r="G1626" s="12" t="inlineStr">
        <is>
          <t>Group decision (81 records sharing one decision state)</t>
        </is>
      </c>
      <c r="H1626" s="12" t="inlineStr">
        <is>
          <t xml:space="preserve">APPROVED / UNSURE; </t>
        </is>
      </c>
      <c r="I1626" s="12" t="inlineStr">
        <is>
          <t>New</t>
        </is>
      </c>
      <c r="J1626" s="17" t="inlineStr">
        <is>
          <t>08 CROSSWALK</t>
        </is>
      </c>
    </row>
    <row r="1627" ht="49" customHeight="1">
      <c r="A1627" s="12" t="inlineStr">
        <is>
          <t>R1481-v2</t>
        </is>
      </c>
      <c r="B1627" s="12" t="inlineStr">
        <is>
          <t>Cost &amp; Forecast Control Accounts / CST-05-079</t>
        </is>
      </c>
      <c r="C1627" s="12" t="inlineStr">
        <is>
          <t>Cost Account = CA-5079</t>
        </is>
      </c>
      <c r="D1627" s="12" t="inlineStr">
        <is>
          <t>Proposed by Professional; target UNSURE</t>
        </is>
      </c>
      <c r="E1627" s="12" t="inlineStr">
        <is>
          <t>None recorded</t>
        </is>
      </c>
      <c r="F1627" s="12" t="inlineStr">
        <is>
          <t>Maya Chen, Owner Project Controls: Professional decision</t>
        </is>
      </c>
      <c r="G1627" s="12" t="inlineStr">
        <is>
          <t>Group decision (81 records sharing one decision state)</t>
        </is>
      </c>
      <c r="H1627" s="12" t="inlineStr">
        <is>
          <t xml:space="preserve">APPROVED / UNSURE; </t>
        </is>
      </c>
      <c r="I1627" s="12" t="inlineStr">
        <is>
          <t>New</t>
        </is>
      </c>
      <c r="J1627" s="17" t="inlineStr">
        <is>
          <t>08 CROSSWALK</t>
        </is>
      </c>
    </row>
    <row r="1628" ht="49" customHeight="1">
      <c r="A1628" s="12" t="inlineStr">
        <is>
          <t>R1482-v2</t>
        </is>
      </c>
      <c r="B1628" s="12" t="inlineStr">
        <is>
          <t>Cost &amp; Forecast Control Accounts / CST-05-080</t>
        </is>
      </c>
      <c r="C1628" s="12" t="inlineStr">
        <is>
          <t>Cost Account = CA-5080</t>
        </is>
      </c>
      <c r="D1628" s="12" t="inlineStr">
        <is>
          <t>Proposed by Professional; target UNSURE</t>
        </is>
      </c>
      <c r="E1628" s="12" t="inlineStr">
        <is>
          <t>None recorded</t>
        </is>
      </c>
      <c r="F1628" s="12" t="inlineStr">
        <is>
          <t>Maya Chen, Owner Project Controls: Professional decision</t>
        </is>
      </c>
      <c r="G1628" s="12" t="inlineStr">
        <is>
          <t>Group decision (81 records sharing one decision state)</t>
        </is>
      </c>
      <c r="H1628" s="12" t="inlineStr">
        <is>
          <t xml:space="preserve">APPROVED / UNSURE; </t>
        </is>
      </c>
      <c r="I1628" s="12" t="inlineStr">
        <is>
          <t>New</t>
        </is>
      </c>
      <c r="J1628" s="17" t="inlineStr">
        <is>
          <t>08 CROSSWALK</t>
        </is>
      </c>
    </row>
  </sheetData>
  <autoFilter ref="A5:J1628"/>
  <mergeCells count="2">
    <mergeCell ref="A1:D1"/>
    <mergeCell ref="A2:D2"/>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J6" r:id="rId10"/>
    <hyperlink xmlns:r="http://schemas.openxmlformats.org/officeDocument/2006/relationships" ref="J7" r:id="rId11"/>
    <hyperlink xmlns:r="http://schemas.openxmlformats.org/officeDocument/2006/relationships" ref="J8" r:id="rId12"/>
    <hyperlink xmlns:r="http://schemas.openxmlformats.org/officeDocument/2006/relationships" ref="J9" r:id="rId13"/>
    <hyperlink xmlns:r="http://schemas.openxmlformats.org/officeDocument/2006/relationships" ref="J10" r:id="rId14"/>
    <hyperlink xmlns:r="http://schemas.openxmlformats.org/officeDocument/2006/relationships" ref="J11" r:id="rId15"/>
    <hyperlink xmlns:r="http://schemas.openxmlformats.org/officeDocument/2006/relationships" ref="J12" r:id="rId16"/>
    <hyperlink xmlns:r="http://schemas.openxmlformats.org/officeDocument/2006/relationships" ref="J13" r:id="rId17"/>
    <hyperlink xmlns:r="http://schemas.openxmlformats.org/officeDocument/2006/relationships" ref="J14" r:id="rId18"/>
    <hyperlink xmlns:r="http://schemas.openxmlformats.org/officeDocument/2006/relationships" ref="J15" r:id="rId19"/>
    <hyperlink xmlns:r="http://schemas.openxmlformats.org/officeDocument/2006/relationships" ref="J16" r:id="rId20"/>
    <hyperlink xmlns:r="http://schemas.openxmlformats.org/officeDocument/2006/relationships" ref="J17" r:id="rId21"/>
    <hyperlink xmlns:r="http://schemas.openxmlformats.org/officeDocument/2006/relationships" ref="J18" r:id="rId22"/>
    <hyperlink xmlns:r="http://schemas.openxmlformats.org/officeDocument/2006/relationships" ref="J19" r:id="rId23"/>
    <hyperlink xmlns:r="http://schemas.openxmlformats.org/officeDocument/2006/relationships" ref="J20" r:id="rId24"/>
    <hyperlink xmlns:r="http://schemas.openxmlformats.org/officeDocument/2006/relationships" ref="J21" r:id="rId25"/>
    <hyperlink xmlns:r="http://schemas.openxmlformats.org/officeDocument/2006/relationships" ref="J22" r:id="rId26"/>
    <hyperlink xmlns:r="http://schemas.openxmlformats.org/officeDocument/2006/relationships" ref="J23" r:id="rId27"/>
    <hyperlink xmlns:r="http://schemas.openxmlformats.org/officeDocument/2006/relationships" ref="J24" r:id="rId28"/>
    <hyperlink xmlns:r="http://schemas.openxmlformats.org/officeDocument/2006/relationships" ref="J25" r:id="rId29"/>
    <hyperlink xmlns:r="http://schemas.openxmlformats.org/officeDocument/2006/relationships" ref="J26" r:id="rId30"/>
    <hyperlink xmlns:r="http://schemas.openxmlformats.org/officeDocument/2006/relationships" ref="J27" r:id="rId31"/>
    <hyperlink xmlns:r="http://schemas.openxmlformats.org/officeDocument/2006/relationships" ref="J28" r:id="rId32"/>
    <hyperlink xmlns:r="http://schemas.openxmlformats.org/officeDocument/2006/relationships" ref="J29" r:id="rId33"/>
    <hyperlink xmlns:r="http://schemas.openxmlformats.org/officeDocument/2006/relationships" ref="J30" r:id="rId34"/>
    <hyperlink xmlns:r="http://schemas.openxmlformats.org/officeDocument/2006/relationships" ref="J31" r:id="rId35"/>
    <hyperlink xmlns:r="http://schemas.openxmlformats.org/officeDocument/2006/relationships" ref="J32" r:id="rId36"/>
    <hyperlink xmlns:r="http://schemas.openxmlformats.org/officeDocument/2006/relationships" ref="J33" r:id="rId37"/>
    <hyperlink xmlns:r="http://schemas.openxmlformats.org/officeDocument/2006/relationships" ref="J34" r:id="rId38"/>
    <hyperlink xmlns:r="http://schemas.openxmlformats.org/officeDocument/2006/relationships" ref="J35" r:id="rId39"/>
    <hyperlink xmlns:r="http://schemas.openxmlformats.org/officeDocument/2006/relationships" ref="J36" r:id="rId40"/>
    <hyperlink xmlns:r="http://schemas.openxmlformats.org/officeDocument/2006/relationships" ref="J37" r:id="rId41"/>
    <hyperlink xmlns:r="http://schemas.openxmlformats.org/officeDocument/2006/relationships" ref="J38" r:id="rId42"/>
    <hyperlink xmlns:r="http://schemas.openxmlformats.org/officeDocument/2006/relationships" ref="J39" r:id="rId43"/>
    <hyperlink xmlns:r="http://schemas.openxmlformats.org/officeDocument/2006/relationships" ref="J40" r:id="rId44"/>
    <hyperlink xmlns:r="http://schemas.openxmlformats.org/officeDocument/2006/relationships" ref="J41" r:id="rId45"/>
    <hyperlink xmlns:r="http://schemas.openxmlformats.org/officeDocument/2006/relationships" ref="J42" r:id="rId46"/>
    <hyperlink xmlns:r="http://schemas.openxmlformats.org/officeDocument/2006/relationships" ref="J43" r:id="rId47"/>
    <hyperlink xmlns:r="http://schemas.openxmlformats.org/officeDocument/2006/relationships" ref="J44" r:id="rId48"/>
    <hyperlink xmlns:r="http://schemas.openxmlformats.org/officeDocument/2006/relationships" ref="J45" r:id="rId49"/>
    <hyperlink xmlns:r="http://schemas.openxmlformats.org/officeDocument/2006/relationships" ref="J46" r:id="rId50"/>
    <hyperlink xmlns:r="http://schemas.openxmlformats.org/officeDocument/2006/relationships" ref="J47" r:id="rId51"/>
    <hyperlink xmlns:r="http://schemas.openxmlformats.org/officeDocument/2006/relationships" ref="J48" r:id="rId52"/>
    <hyperlink xmlns:r="http://schemas.openxmlformats.org/officeDocument/2006/relationships" ref="J49" r:id="rId53"/>
    <hyperlink xmlns:r="http://schemas.openxmlformats.org/officeDocument/2006/relationships" ref="J50" r:id="rId54"/>
    <hyperlink xmlns:r="http://schemas.openxmlformats.org/officeDocument/2006/relationships" ref="J51" r:id="rId55"/>
    <hyperlink xmlns:r="http://schemas.openxmlformats.org/officeDocument/2006/relationships" ref="J52" r:id="rId56"/>
    <hyperlink xmlns:r="http://schemas.openxmlformats.org/officeDocument/2006/relationships" ref="J53" r:id="rId57"/>
    <hyperlink xmlns:r="http://schemas.openxmlformats.org/officeDocument/2006/relationships" ref="J54" r:id="rId58"/>
    <hyperlink xmlns:r="http://schemas.openxmlformats.org/officeDocument/2006/relationships" ref="J55" r:id="rId59"/>
    <hyperlink xmlns:r="http://schemas.openxmlformats.org/officeDocument/2006/relationships" ref="J56" r:id="rId60"/>
    <hyperlink xmlns:r="http://schemas.openxmlformats.org/officeDocument/2006/relationships" ref="J57" r:id="rId61"/>
    <hyperlink xmlns:r="http://schemas.openxmlformats.org/officeDocument/2006/relationships" ref="J58" r:id="rId62"/>
    <hyperlink xmlns:r="http://schemas.openxmlformats.org/officeDocument/2006/relationships" ref="J59" r:id="rId63"/>
    <hyperlink xmlns:r="http://schemas.openxmlformats.org/officeDocument/2006/relationships" ref="J60" r:id="rId64"/>
    <hyperlink xmlns:r="http://schemas.openxmlformats.org/officeDocument/2006/relationships" ref="J61" r:id="rId65"/>
    <hyperlink xmlns:r="http://schemas.openxmlformats.org/officeDocument/2006/relationships" ref="J62" r:id="rId66"/>
    <hyperlink xmlns:r="http://schemas.openxmlformats.org/officeDocument/2006/relationships" ref="J63" r:id="rId67"/>
    <hyperlink xmlns:r="http://schemas.openxmlformats.org/officeDocument/2006/relationships" ref="J64" r:id="rId68"/>
    <hyperlink xmlns:r="http://schemas.openxmlformats.org/officeDocument/2006/relationships" ref="J65" r:id="rId69"/>
    <hyperlink xmlns:r="http://schemas.openxmlformats.org/officeDocument/2006/relationships" ref="J66" r:id="rId70"/>
    <hyperlink xmlns:r="http://schemas.openxmlformats.org/officeDocument/2006/relationships" ref="J67" r:id="rId71"/>
    <hyperlink xmlns:r="http://schemas.openxmlformats.org/officeDocument/2006/relationships" ref="J68" r:id="rId72"/>
    <hyperlink xmlns:r="http://schemas.openxmlformats.org/officeDocument/2006/relationships" ref="J69" r:id="rId73"/>
    <hyperlink xmlns:r="http://schemas.openxmlformats.org/officeDocument/2006/relationships" ref="J70" r:id="rId74"/>
    <hyperlink xmlns:r="http://schemas.openxmlformats.org/officeDocument/2006/relationships" ref="J71" r:id="rId75"/>
    <hyperlink xmlns:r="http://schemas.openxmlformats.org/officeDocument/2006/relationships" ref="J72" r:id="rId76"/>
    <hyperlink xmlns:r="http://schemas.openxmlformats.org/officeDocument/2006/relationships" ref="J73" r:id="rId77"/>
    <hyperlink xmlns:r="http://schemas.openxmlformats.org/officeDocument/2006/relationships" ref="J74" r:id="rId78"/>
    <hyperlink xmlns:r="http://schemas.openxmlformats.org/officeDocument/2006/relationships" ref="J75" r:id="rId79"/>
    <hyperlink xmlns:r="http://schemas.openxmlformats.org/officeDocument/2006/relationships" ref="J76" r:id="rId80"/>
    <hyperlink xmlns:r="http://schemas.openxmlformats.org/officeDocument/2006/relationships" ref="J77" r:id="rId81"/>
    <hyperlink xmlns:r="http://schemas.openxmlformats.org/officeDocument/2006/relationships" ref="J78" r:id="rId82"/>
    <hyperlink xmlns:r="http://schemas.openxmlformats.org/officeDocument/2006/relationships" ref="J79" r:id="rId83"/>
    <hyperlink xmlns:r="http://schemas.openxmlformats.org/officeDocument/2006/relationships" ref="J80" r:id="rId84"/>
    <hyperlink xmlns:r="http://schemas.openxmlformats.org/officeDocument/2006/relationships" ref="J81" r:id="rId85"/>
    <hyperlink xmlns:r="http://schemas.openxmlformats.org/officeDocument/2006/relationships" ref="J82" r:id="rId86"/>
    <hyperlink xmlns:r="http://schemas.openxmlformats.org/officeDocument/2006/relationships" ref="J83" r:id="rId87"/>
    <hyperlink xmlns:r="http://schemas.openxmlformats.org/officeDocument/2006/relationships" ref="J84" r:id="rId88"/>
    <hyperlink xmlns:r="http://schemas.openxmlformats.org/officeDocument/2006/relationships" ref="J85" r:id="rId89"/>
    <hyperlink xmlns:r="http://schemas.openxmlformats.org/officeDocument/2006/relationships" ref="J86" r:id="rId90"/>
    <hyperlink xmlns:r="http://schemas.openxmlformats.org/officeDocument/2006/relationships" ref="J87" r:id="rId91"/>
    <hyperlink xmlns:r="http://schemas.openxmlformats.org/officeDocument/2006/relationships" ref="J88" r:id="rId92"/>
    <hyperlink xmlns:r="http://schemas.openxmlformats.org/officeDocument/2006/relationships" ref="J89" r:id="rId93"/>
    <hyperlink xmlns:r="http://schemas.openxmlformats.org/officeDocument/2006/relationships" ref="J90" r:id="rId94"/>
    <hyperlink xmlns:r="http://schemas.openxmlformats.org/officeDocument/2006/relationships" ref="J91" r:id="rId95"/>
    <hyperlink xmlns:r="http://schemas.openxmlformats.org/officeDocument/2006/relationships" ref="J92" r:id="rId96"/>
    <hyperlink xmlns:r="http://schemas.openxmlformats.org/officeDocument/2006/relationships" ref="J93" r:id="rId97"/>
    <hyperlink xmlns:r="http://schemas.openxmlformats.org/officeDocument/2006/relationships" ref="J94" r:id="rId98"/>
    <hyperlink xmlns:r="http://schemas.openxmlformats.org/officeDocument/2006/relationships" ref="J95" r:id="rId99"/>
    <hyperlink xmlns:r="http://schemas.openxmlformats.org/officeDocument/2006/relationships" ref="J96" r:id="rId100"/>
    <hyperlink xmlns:r="http://schemas.openxmlformats.org/officeDocument/2006/relationships" ref="J97" r:id="rId101"/>
    <hyperlink xmlns:r="http://schemas.openxmlformats.org/officeDocument/2006/relationships" ref="J98" r:id="rId102"/>
    <hyperlink xmlns:r="http://schemas.openxmlformats.org/officeDocument/2006/relationships" ref="J99" r:id="rId103"/>
    <hyperlink xmlns:r="http://schemas.openxmlformats.org/officeDocument/2006/relationships" ref="J100" r:id="rId104"/>
    <hyperlink xmlns:r="http://schemas.openxmlformats.org/officeDocument/2006/relationships" ref="J101" r:id="rId105"/>
    <hyperlink xmlns:r="http://schemas.openxmlformats.org/officeDocument/2006/relationships" ref="J102" r:id="rId106"/>
    <hyperlink xmlns:r="http://schemas.openxmlformats.org/officeDocument/2006/relationships" ref="J103" r:id="rId107"/>
    <hyperlink xmlns:r="http://schemas.openxmlformats.org/officeDocument/2006/relationships" ref="J104" r:id="rId108"/>
    <hyperlink xmlns:r="http://schemas.openxmlformats.org/officeDocument/2006/relationships" ref="J105" r:id="rId109"/>
    <hyperlink xmlns:r="http://schemas.openxmlformats.org/officeDocument/2006/relationships" ref="J106" r:id="rId110"/>
    <hyperlink xmlns:r="http://schemas.openxmlformats.org/officeDocument/2006/relationships" ref="J107" r:id="rId111"/>
    <hyperlink xmlns:r="http://schemas.openxmlformats.org/officeDocument/2006/relationships" ref="J108" r:id="rId112"/>
    <hyperlink xmlns:r="http://schemas.openxmlformats.org/officeDocument/2006/relationships" ref="J109" r:id="rId113"/>
    <hyperlink xmlns:r="http://schemas.openxmlformats.org/officeDocument/2006/relationships" ref="J110" r:id="rId114"/>
    <hyperlink xmlns:r="http://schemas.openxmlformats.org/officeDocument/2006/relationships" ref="J111" r:id="rId115"/>
    <hyperlink xmlns:r="http://schemas.openxmlformats.org/officeDocument/2006/relationships" ref="J112" r:id="rId116"/>
    <hyperlink xmlns:r="http://schemas.openxmlformats.org/officeDocument/2006/relationships" ref="J113" r:id="rId117"/>
    <hyperlink xmlns:r="http://schemas.openxmlformats.org/officeDocument/2006/relationships" ref="J114" r:id="rId118"/>
    <hyperlink xmlns:r="http://schemas.openxmlformats.org/officeDocument/2006/relationships" ref="J115" r:id="rId119"/>
    <hyperlink xmlns:r="http://schemas.openxmlformats.org/officeDocument/2006/relationships" ref="J116" r:id="rId120"/>
    <hyperlink xmlns:r="http://schemas.openxmlformats.org/officeDocument/2006/relationships" ref="J117" r:id="rId121"/>
    <hyperlink xmlns:r="http://schemas.openxmlformats.org/officeDocument/2006/relationships" ref="J118" r:id="rId122"/>
    <hyperlink xmlns:r="http://schemas.openxmlformats.org/officeDocument/2006/relationships" ref="J119" r:id="rId123"/>
    <hyperlink xmlns:r="http://schemas.openxmlformats.org/officeDocument/2006/relationships" ref="J120" r:id="rId124"/>
    <hyperlink xmlns:r="http://schemas.openxmlformats.org/officeDocument/2006/relationships" ref="J121" r:id="rId125"/>
    <hyperlink xmlns:r="http://schemas.openxmlformats.org/officeDocument/2006/relationships" ref="J122" r:id="rId126"/>
    <hyperlink xmlns:r="http://schemas.openxmlformats.org/officeDocument/2006/relationships" ref="J123" r:id="rId127"/>
    <hyperlink xmlns:r="http://schemas.openxmlformats.org/officeDocument/2006/relationships" ref="J124" r:id="rId128"/>
    <hyperlink xmlns:r="http://schemas.openxmlformats.org/officeDocument/2006/relationships" ref="J125" r:id="rId129"/>
    <hyperlink xmlns:r="http://schemas.openxmlformats.org/officeDocument/2006/relationships" ref="J126" r:id="rId130"/>
    <hyperlink xmlns:r="http://schemas.openxmlformats.org/officeDocument/2006/relationships" ref="J127" r:id="rId131"/>
    <hyperlink xmlns:r="http://schemas.openxmlformats.org/officeDocument/2006/relationships" ref="J128" r:id="rId132"/>
    <hyperlink xmlns:r="http://schemas.openxmlformats.org/officeDocument/2006/relationships" ref="J129" r:id="rId133"/>
    <hyperlink xmlns:r="http://schemas.openxmlformats.org/officeDocument/2006/relationships" ref="J130" r:id="rId134"/>
    <hyperlink xmlns:r="http://schemas.openxmlformats.org/officeDocument/2006/relationships" ref="J131" r:id="rId135"/>
    <hyperlink xmlns:r="http://schemas.openxmlformats.org/officeDocument/2006/relationships" ref="J132" r:id="rId136"/>
    <hyperlink xmlns:r="http://schemas.openxmlformats.org/officeDocument/2006/relationships" ref="J133" r:id="rId137"/>
    <hyperlink xmlns:r="http://schemas.openxmlformats.org/officeDocument/2006/relationships" ref="J134" r:id="rId138"/>
    <hyperlink xmlns:r="http://schemas.openxmlformats.org/officeDocument/2006/relationships" ref="J135" r:id="rId139"/>
    <hyperlink xmlns:r="http://schemas.openxmlformats.org/officeDocument/2006/relationships" ref="J136" r:id="rId140"/>
    <hyperlink xmlns:r="http://schemas.openxmlformats.org/officeDocument/2006/relationships" ref="J137" r:id="rId141"/>
    <hyperlink xmlns:r="http://schemas.openxmlformats.org/officeDocument/2006/relationships" ref="J138" r:id="rId142"/>
    <hyperlink xmlns:r="http://schemas.openxmlformats.org/officeDocument/2006/relationships" ref="J139" r:id="rId143"/>
    <hyperlink xmlns:r="http://schemas.openxmlformats.org/officeDocument/2006/relationships" ref="J140" r:id="rId144"/>
    <hyperlink xmlns:r="http://schemas.openxmlformats.org/officeDocument/2006/relationships" ref="J141" r:id="rId145"/>
    <hyperlink xmlns:r="http://schemas.openxmlformats.org/officeDocument/2006/relationships" ref="J142" r:id="rId146"/>
    <hyperlink xmlns:r="http://schemas.openxmlformats.org/officeDocument/2006/relationships" ref="J143" r:id="rId147"/>
    <hyperlink xmlns:r="http://schemas.openxmlformats.org/officeDocument/2006/relationships" ref="J144" r:id="rId148"/>
    <hyperlink xmlns:r="http://schemas.openxmlformats.org/officeDocument/2006/relationships" ref="J145" r:id="rId149"/>
    <hyperlink xmlns:r="http://schemas.openxmlformats.org/officeDocument/2006/relationships" ref="J146" r:id="rId150"/>
    <hyperlink xmlns:r="http://schemas.openxmlformats.org/officeDocument/2006/relationships" ref="J147" r:id="rId151"/>
    <hyperlink xmlns:r="http://schemas.openxmlformats.org/officeDocument/2006/relationships" ref="J148" r:id="rId152"/>
    <hyperlink xmlns:r="http://schemas.openxmlformats.org/officeDocument/2006/relationships" ref="J149" r:id="rId153"/>
    <hyperlink xmlns:r="http://schemas.openxmlformats.org/officeDocument/2006/relationships" ref="J150" r:id="rId154"/>
    <hyperlink xmlns:r="http://schemas.openxmlformats.org/officeDocument/2006/relationships" ref="J151" r:id="rId155"/>
    <hyperlink xmlns:r="http://schemas.openxmlformats.org/officeDocument/2006/relationships" ref="J152" r:id="rId156"/>
    <hyperlink xmlns:r="http://schemas.openxmlformats.org/officeDocument/2006/relationships" ref="J153" r:id="rId157"/>
    <hyperlink xmlns:r="http://schemas.openxmlformats.org/officeDocument/2006/relationships" ref="J154" r:id="rId158"/>
    <hyperlink xmlns:r="http://schemas.openxmlformats.org/officeDocument/2006/relationships" ref="J155" r:id="rId159"/>
    <hyperlink xmlns:r="http://schemas.openxmlformats.org/officeDocument/2006/relationships" ref="J156" r:id="rId160"/>
    <hyperlink xmlns:r="http://schemas.openxmlformats.org/officeDocument/2006/relationships" ref="J157" r:id="rId161"/>
    <hyperlink xmlns:r="http://schemas.openxmlformats.org/officeDocument/2006/relationships" ref="J158" r:id="rId162"/>
    <hyperlink xmlns:r="http://schemas.openxmlformats.org/officeDocument/2006/relationships" ref="J159" r:id="rId163"/>
    <hyperlink xmlns:r="http://schemas.openxmlformats.org/officeDocument/2006/relationships" ref="J160" r:id="rId164"/>
    <hyperlink xmlns:r="http://schemas.openxmlformats.org/officeDocument/2006/relationships" ref="J161" r:id="rId165"/>
    <hyperlink xmlns:r="http://schemas.openxmlformats.org/officeDocument/2006/relationships" ref="J162" r:id="rId166"/>
    <hyperlink xmlns:r="http://schemas.openxmlformats.org/officeDocument/2006/relationships" ref="J163" r:id="rId167"/>
    <hyperlink xmlns:r="http://schemas.openxmlformats.org/officeDocument/2006/relationships" ref="J164" r:id="rId168"/>
    <hyperlink xmlns:r="http://schemas.openxmlformats.org/officeDocument/2006/relationships" ref="J165" r:id="rId169"/>
    <hyperlink xmlns:r="http://schemas.openxmlformats.org/officeDocument/2006/relationships" ref="J166" r:id="rId170"/>
    <hyperlink xmlns:r="http://schemas.openxmlformats.org/officeDocument/2006/relationships" ref="J167" r:id="rId171"/>
    <hyperlink xmlns:r="http://schemas.openxmlformats.org/officeDocument/2006/relationships" ref="J168" r:id="rId172"/>
    <hyperlink xmlns:r="http://schemas.openxmlformats.org/officeDocument/2006/relationships" ref="J169" r:id="rId173"/>
    <hyperlink xmlns:r="http://schemas.openxmlformats.org/officeDocument/2006/relationships" ref="J170" r:id="rId174"/>
    <hyperlink xmlns:r="http://schemas.openxmlformats.org/officeDocument/2006/relationships" ref="J171" r:id="rId175"/>
    <hyperlink xmlns:r="http://schemas.openxmlformats.org/officeDocument/2006/relationships" ref="J172" r:id="rId176"/>
    <hyperlink xmlns:r="http://schemas.openxmlformats.org/officeDocument/2006/relationships" ref="J173" r:id="rId177"/>
    <hyperlink xmlns:r="http://schemas.openxmlformats.org/officeDocument/2006/relationships" ref="J174" r:id="rId178"/>
    <hyperlink xmlns:r="http://schemas.openxmlformats.org/officeDocument/2006/relationships" ref="J175" r:id="rId179"/>
    <hyperlink xmlns:r="http://schemas.openxmlformats.org/officeDocument/2006/relationships" ref="J176" r:id="rId180"/>
    <hyperlink xmlns:r="http://schemas.openxmlformats.org/officeDocument/2006/relationships" ref="J177" r:id="rId181"/>
    <hyperlink xmlns:r="http://schemas.openxmlformats.org/officeDocument/2006/relationships" ref="J178" r:id="rId182"/>
    <hyperlink xmlns:r="http://schemas.openxmlformats.org/officeDocument/2006/relationships" ref="J179" r:id="rId183"/>
    <hyperlink xmlns:r="http://schemas.openxmlformats.org/officeDocument/2006/relationships" ref="J180" r:id="rId184"/>
    <hyperlink xmlns:r="http://schemas.openxmlformats.org/officeDocument/2006/relationships" ref="J181" r:id="rId185"/>
    <hyperlink xmlns:r="http://schemas.openxmlformats.org/officeDocument/2006/relationships" ref="J182" r:id="rId186"/>
    <hyperlink xmlns:r="http://schemas.openxmlformats.org/officeDocument/2006/relationships" ref="J183" r:id="rId187"/>
    <hyperlink xmlns:r="http://schemas.openxmlformats.org/officeDocument/2006/relationships" ref="J184" r:id="rId188"/>
    <hyperlink xmlns:r="http://schemas.openxmlformats.org/officeDocument/2006/relationships" ref="J185" r:id="rId189"/>
    <hyperlink xmlns:r="http://schemas.openxmlformats.org/officeDocument/2006/relationships" ref="J186" r:id="rId190"/>
    <hyperlink xmlns:r="http://schemas.openxmlformats.org/officeDocument/2006/relationships" ref="J187" r:id="rId191"/>
    <hyperlink xmlns:r="http://schemas.openxmlformats.org/officeDocument/2006/relationships" ref="J188" r:id="rId192"/>
    <hyperlink xmlns:r="http://schemas.openxmlformats.org/officeDocument/2006/relationships" ref="J189" r:id="rId193"/>
    <hyperlink xmlns:r="http://schemas.openxmlformats.org/officeDocument/2006/relationships" ref="J190" r:id="rId194"/>
    <hyperlink xmlns:r="http://schemas.openxmlformats.org/officeDocument/2006/relationships" ref="J191" r:id="rId195"/>
    <hyperlink xmlns:r="http://schemas.openxmlformats.org/officeDocument/2006/relationships" ref="J192" r:id="rId196"/>
    <hyperlink xmlns:r="http://schemas.openxmlformats.org/officeDocument/2006/relationships" ref="J193" r:id="rId197"/>
    <hyperlink xmlns:r="http://schemas.openxmlformats.org/officeDocument/2006/relationships" ref="J194" r:id="rId198"/>
    <hyperlink xmlns:r="http://schemas.openxmlformats.org/officeDocument/2006/relationships" ref="J195" r:id="rId199"/>
    <hyperlink xmlns:r="http://schemas.openxmlformats.org/officeDocument/2006/relationships" ref="J196" r:id="rId200"/>
    <hyperlink xmlns:r="http://schemas.openxmlformats.org/officeDocument/2006/relationships" ref="J197" r:id="rId201"/>
    <hyperlink xmlns:r="http://schemas.openxmlformats.org/officeDocument/2006/relationships" ref="J198" r:id="rId202"/>
    <hyperlink xmlns:r="http://schemas.openxmlformats.org/officeDocument/2006/relationships" ref="J199" r:id="rId203"/>
    <hyperlink xmlns:r="http://schemas.openxmlformats.org/officeDocument/2006/relationships" ref="J200" r:id="rId204"/>
    <hyperlink xmlns:r="http://schemas.openxmlformats.org/officeDocument/2006/relationships" ref="J201" r:id="rId205"/>
    <hyperlink xmlns:r="http://schemas.openxmlformats.org/officeDocument/2006/relationships" ref="J202" r:id="rId206"/>
    <hyperlink xmlns:r="http://schemas.openxmlformats.org/officeDocument/2006/relationships" ref="J203" r:id="rId207"/>
    <hyperlink xmlns:r="http://schemas.openxmlformats.org/officeDocument/2006/relationships" ref="J204" r:id="rId208"/>
    <hyperlink xmlns:r="http://schemas.openxmlformats.org/officeDocument/2006/relationships" ref="J205" r:id="rId209"/>
    <hyperlink xmlns:r="http://schemas.openxmlformats.org/officeDocument/2006/relationships" ref="J206" r:id="rId210"/>
    <hyperlink xmlns:r="http://schemas.openxmlformats.org/officeDocument/2006/relationships" ref="J207" r:id="rId211"/>
    <hyperlink xmlns:r="http://schemas.openxmlformats.org/officeDocument/2006/relationships" ref="J208" r:id="rId212"/>
    <hyperlink xmlns:r="http://schemas.openxmlformats.org/officeDocument/2006/relationships" ref="J209" r:id="rId213"/>
    <hyperlink xmlns:r="http://schemas.openxmlformats.org/officeDocument/2006/relationships" ref="J210" r:id="rId214"/>
    <hyperlink xmlns:r="http://schemas.openxmlformats.org/officeDocument/2006/relationships" ref="J211" r:id="rId215"/>
    <hyperlink xmlns:r="http://schemas.openxmlformats.org/officeDocument/2006/relationships" ref="J212" r:id="rId216"/>
    <hyperlink xmlns:r="http://schemas.openxmlformats.org/officeDocument/2006/relationships" ref="J213" r:id="rId217"/>
    <hyperlink xmlns:r="http://schemas.openxmlformats.org/officeDocument/2006/relationships" ref="J214" r:id="rId218"/>
    <hyperlink xmlns:r="http://schemas.openxmlformats.org/officeDocument/2006/relationships" ref="J215" r:id="rId219"/>
    <hyperlink xmlns:r="http://schemas.openxmlformats.org/officeDocument/2006/relationships" ref="J216" r:id="rId220"/>
    <hyperlink xmlns:r="http://schemas.openxmlformats.org/officeDocument/2006/relationships" ref="J217" r:id="rId221"/>
    <hyperlink xmlns:r="http://schemas.openxmlformats.org/officeDocument/2006/relationships" ref="J218" r:id="rId222"/>
    <hyperlink xmlns:r="http://schemas.openxmlformats.org/officeDocument/2006/relationships" ref="J219" r:id="rId223"/>
    <hyperlink xmlns:r="http://schemas.openxmlformats.org/officeDocument/2006/relationships" ref="J220" r:id="rId224"/>
    <hyperlink xmlns:r="http://schemas.openxmlformats.org/officeDocument/2006/relationships" ref="J221" r:id="rId225"/>
    <hyperlink xmlns:r="http://schemas.openxmlformats.org/officeDocument/2006/relationships" ref="J222" r:id="rId226"/>
    <hyperlink xmlns:r="http://schemas.openxmlformats.org/officeDocument/2006/relationships" ref="J223" r:id="rId227"/>
    <hyperlink xmlns:r="http://schemas.openxmlformats.org/officeDocument/2006/relationships" ref="J224" r:id="rId228"/>
    <hyperlink xmlns:r="http://schemas.openxmlformats.org/officeDocument/2006/relationships" ref="J225" r:id="rId229"/>
    <hyperlink xmlns:r="http://schemas.openxmlformats.org/officeDocument/2006/relationships" ref="J226" r:id="rId230"/>
    <hyperlink xmlns:r="http://schemas.openxmlformats.org/officeDocument/2006/relationships" ref="J227" r:id="rId231"/>
    <hyperlink xmlns:r="http://schemas.openxmlformats.org/officeDocument/2006/relationships" ref="J228" r:id="rId232"/>
    <hyperlink xmlns:r="http://schemas.openxmlformats.org/officeDocument/2006/relationships" ref="J229" r:id="rId233"/>
    <hyperlink xmlns:r="http://schemas.openxmlformats.org/officeDocument/2006/relationships" ref="J230" r:id="rId234"/>
    <hyperlink xmlns:r="http://schemas.openxmlformats.org/officeDocument/2006/relationships" ref="J231" r:id="rId235"/>
    <hyperlink xmlns:r="http://schemas.openxmlformats.org/officeDocument/2006/relationships" ref="J232" r:id="rId236"/>
    <hyperlink xmlns:r="http://schemas.openxmlformats.org/officeDocument/2006/relationships" ref="J233" r:id="rId237"/>
    <hyperlink xmlns:r="http://schemas.openxmlformats.org/officeDocument/2006/relationships" ref="J234" r:id="rId238"/>
    <hyperlink xmlns:r="http://schemas.openxmlformats.org/officeDocument/2006/relationships" ref="J235" r:id="rId239"/>
    <hyperlink xmlns:r="http://schemas.openxmlformats.org/officeDocument/2006/relationships" ref="J236" r:id="rId240"/>
    <hyperlink xmlns:r="http://schemas.openxmlformats.org/officeDocument/2006/relationships" ref="J237" r:id="rId241"/>
    <hyperlink xmlns:r="http://schemas.openxmlformats.org/officeDocument/2006/relationships" ref="J238" r:id="rId242"/>
    <hyperlink xmlns:r="http://schemas.openxmlformats.org/officeDocument/2006/relationships" ref="J239" r:id="rId243"/>
    <hyperlink xmlns:r="http://schemas.openxmlformats.org/officeDocument/2006/relationships" ref="J240" r:id="rId244"/>
    <hyperlink xmlns:r="http://schemas.openxmlformats.org/officeDocument/2006/relationships" ref="J241" r:id="rId245"/>
    <hyperlink xmlns:r="http://schemas.openxmlformats.org/officeDocument/2006/relationships" ref="J242" r:id="rId246"/>
    <hyperlink xmlns:r="http://schemas.openxmlformats.org/officeDocument/2006/relationships" ref="J243" r:id="rId247"/>
    <hyperlink xmlns:r="http://schemas.openxmlformats.org/officeDocument/2006/relationships" ref="J244" r:id="rId248"/>
    <hyperlink xmlns:r="http://schemas.openxmlformats.org/officeDocument/2006/relationships" ref="J245" r:id="rId249"/>
    <hyperlink xmlns:r="http://schemas.openxmlformats.org/officeDocument/2006/relationships" ref="J246" r:id="rId250"/>
    <hyperlink xmlns:r="http://schemas.openxmlformats.org/officeDocument/2006/relationships" ref="J247" r:id="rId251"/>
    <hyperlink xmlns:r="http://schemas.openxmlformats.org/officeDocument/2006/relationships" ref="J248" r:id="rId252"/>
    <hyperlink xmlns:r="http://schemas.openxmlformats.org/officeDocument/2006/relationships" ref="J249" r:id="rId253"/>
    <hyperlink xmlns:r="http://schemas.openxmlformats.org/officeDocument/2006/relationships" ref="J250" r:id="rId254"/>
    <hyperlink xmlns:r="http://schemas.openxmlformats.org/officeDocument/2006/relationships" ref="J251" r:id="rId255"/>
    <hyperlink xmlns:r="http://schemas.openxmlformats.org/officeDocument/2006/relationships" ref="J252" r:id="rId256"/>
    <hyperlink xmlns:r="http://schemas.openxmlformats.org/officeDocument/2006/relationships" ref="J253" r:id="rId257"/>
    <hyperlink xmlns:r="http://schemas.openxmlformats.org/officeDocument/2006/relationships" ref="J254" r:id="rId258"/>
    <hyperlink xmlns:r="http://schemas.openxmlformats.org/officeDocument/2006/relationships" ref="J255" r:id="rId259"/>
    <hyperlink xmlns:r="http://schemas.openxmlformats.org/officeDocument/2006/relationships" ref="J256" r:id="rId260"/>
    <hyperlink xmlns:r="http://schemas.openxmlformats.org/officeDocument/2006/relationships" ref="J257" r:id="rId261"/>
    <hyperlink xmlns:r="http://schemas.openxmlformats.org/officeDocument/2006/relationships" ref="J258" r:id="rId262"/>
    <hyperlink xmlns:r="http://schemas.openxmlformats.org/officeDocument/2006/relationships" ref="J259" r:id="rId263"/>
    <hyperlink xmlns:r="http://schemas.openxmlformats.org/officeDocument/2006/relationships" ref="J260" r:id="rId264"/>
    <hyperlink xmlns:r="http://schemas.openxmlformats.org/officeDocument/2006/relationships" ref="J261" r:id="rId265"/>
    <hyperlink xmlns:r="http://schemas.openxmlformats.org/officeDocument/2006/relationships" ref="J262" r:id="rId266"/>
    <hyperlink xmlns:r="http://schemas.openxmlformats.org/officeDocument/2006/relationships" ref="J263" r:id="rId267"/>
    <hyperlink xmlns:r="http://schemas.openxmlformats.org/officeDocument/2006/relationships" ref="J264" r:id="rId268"/>
    <hyperlink xmlns:r="http://schemas.openxmlformats.org/officeDocument/2006/relationships" ref="J265" r:id="rId269"/>
    <hyperlink xmlns:r="http://schemas.openxmlformats.org/officeDocument/2006/relationships" ref="J266" r:id="rId270"/>
    <hyperlink xmlns:r="http://schemas.openxmlformats.org/officeDocument/2006/relationships" ref="J267" r:id="rId271"/>
    <hyperlink xmlns:r="http://schemas.openxmlformats.org/officeDocument/2006/relationships" ref="J268" r:id="rId272"/>
    <hyperlink xmlns:r="http://schemas.openxmlformats.org/officeDocument/2006/relationships" ref="J269" r:id="rId273"/>
    <hyperlink xmlns:r="http://schemas.openxmlformats.org/officeDocument/2006/relationships" ref="J270" r:id="rId274"/>
    <hyperlink xmlns:r="http://schemas.openxmlformats.org/officeDocument/2006/relationships" ref="J271" r:id="rId275"/>
    <hyperlink xmlns:r="http://schemas.openxmlformats.org/officeDocument/2006/relationships" ref="J272" r:id="rId276"/>
    <hyperlink xmlns:r="http://schemas.openxmlformats.org/officeDocument/2006/relationships" ref="J273" r:id="rId277"/>
    <hyperlink xmlns:r="http://schemas.openxmlformats.org/officeDocument/2006/relationships" ref="J274" r:id="rId278"/>
    <hyperlink xmlns:r="http://schemas.openxmlformats.org/officeDocument/2006/relationships" ref="J275" r:id="rId279"/>
    <hyperlink xmlns:r="http://schemas.openxmlformats.org/officeDocument/2006/relationships" ref="J276" r:id="rId280"/>
    <hyperlink xmlns:r="http://schemas.openxmlformats.org/officeDocument/2006/relationships" ref="J277" r:id="rId281"/>
    <hyperlink xmlns:r="http://schemas.openxmlformats.org/officeDocument/2006/relationships" ref="J278" r:id="rId282"/>
    <hyperlink xmlns:r="http://schemas.openxmlformats.org/officeDocument/2006/relationships" ref="J279" r:id="rId283"/>
    <hyperlink xmlns:r="http://schemas.openxmlformats.org/officeDocument/2006/relationships" ref="J280" r:id="rId284"/>
    <hyperlink xmlns:r="http://schemas.openxmlformats.org/officeDocument/2006/relationships" ref="J281" r:id="rId285"/>
    <hyperlink xmlns:r="http://schemas.openxmlformats.org/officeDocument/2006/relationships" ref="J282" r:id="rId286"/>
    <hyperlink xmlns:r="http://schemas.openxmlformats.org/officeDocument/2006/relationships" ref="J283" r:id="rId287"/>
    <hyperlink xmlns:r="http://schemas.openxmlformats.org/officeDocument/2006/relationships" ref="J284" r:id="rId288"/>
    <hyperlink xmlns:r="http://schemas.openxmlformats.org/officeDocument/2006/relationships" ref="J285" r:id="rId289"/>
    <hyperlink xmlns:r="http://schemas.openxmlformats.org/officeDocument/2006/relationships" ref="J286" r:id="rId290"/>
    <hyperlink xmlns:r="http://schemas.openxmlformats.org/officeDocument/2006/relationships" ref="J287" r:id="rId291"/>
    <hyperlink xmlns:r="http://schemas.openxmlformats.org/officeDocument/2006/relationships" ref="J288" r:id="rId292"/>
    <hyperlink xmlns:r="http://schemas.openxmlformats.org/officeDocument/2006/relationships" ref="J289" r:id="rId293"/>
    <hyperlink xmlns:r="http://schemas.openxmlformats.org/officeDocument/2006/relationships" ref="J290" r:id="rId294"/>
    <hyperlink xmlns:r="http://schemas.openxmlformats.org/officeDocument/2006/relationships" ref="J291" r:id="rId295"/>
    <hyperlink xmlns:r="http://schemas.openxmlformats.org/officeDocument/2006/relationships" ref="J292" r:id="rId296"/>
    <hyperlink xmlns:r="http://schemas.openxmlformats.org/officeDocument/2006/relationships" ref="J293" r:id="rId297"/>
    <hyperlink xmlns:r="http://schemas.openxmlformats.org/officeDocument/2006/relationships" ref="J294" r:id="rId298"/>
    <hyperlink xmlns:r="http://schemas.openxmlformats.org/officeDocument/2006/relationships" ref="J295" r:id="rId299"/>
    <hyperlink xmlns:r="http://schemas.openxmlformats.org/officeDocument/2006/relationships" ref="J296" r:id="rId300"/>
    <hyperlink xmlns:r="http://schemas.openxmlformats.org/officeDocument/2006/relationships" ref="J297" r:id="rId301"/>
    <hyperlink xmlns:r="http://schemas.openxmlformats.org/officeDocument/2006/relationships" ref="J298" r:id="rId302"/>
    <hyperlink xmlns:r="http://schemas.openxmlformats.org/officeDocument/2006/relationships" ref="J299" r:id="rId303"/>
    <hyperlink xmlns:r="http://schemas.openxmlformats.org/officeDocument/2006/relationships" ref="J300" r:id="rId304"/>
    <hyperlink xmlns:r="http://schemas.openxmlformats.org/officeDocument/2006/relationships" ref="J301" r:id="rId305"/>
    <hyperlink xmlns:r="http://schemas.openxmlformats.org/officeDocument/2006/relationships" ref="J302" r:id="rId306"/>
    <hyperlink xmlns:r="http://schemas.openxmlformats.org/officeDocument/2006/relationships" ref="J303" r:id="rId307"/>
    <hyperlink xmlns:r="http://schemas.openxmlformats.org/officeDocument/2006/relationships" ref="J304" r:id="rId308"/>
    <hyperlink xmlns:r="http://schemas.openxmlformats.org/officeDocument/2006/relationships" ref="J305" r:id="rId309"/>
    <hyperlink xmlns:r="http://schemas.openxmlformats.org/officeDocument/2006/relationships" ref="J306" r:id="rId310"/>
    <hyperlink xmlns:r="http://schemas.openxmlformats.org/officeDocument/2006/relationships" ref="J307" r:id="rId311"/>
    <hyperlink xmlns:r="http://schemas.openxmlformats.org/officeDocument/2006/relationships" ref="J308" r:id="rId312"/>
    <hyperlink xmlns:r="http://schemas.openxmlformats.org/officeDocument/2006/relationships" ref="J309" r:id="rId313"/>
    <hyperlink xmlns:r="http://schemas.openxmlformats.org/officeDocument/2006/relationships" ref="J310" r:id="rId314"/>
    <hyperlink xmlns:r="http://schemas.openxmlformats.org/officeDocument/2006/relationships" ref="J311" r:id="rId315"/>
    <hyperlink xmlns:r="http://schemas.openxmlformats.org/officeDocument/2006/relationships" ref="J312" r:id="rId316"/>
    <hyperlink xmlns:r="http://schemas.openxmlformats.org/officeDocument/2006/relationships" ref="J313" r:id="rId317"/>
    <hyperlink xmlns:r="http://schemas.openxmlformats.org/officeDocument/2006/relationships" ref="J314" r:id="rId318"/>
    <hyperlink xmlns:r="http://schemas.openxmlformats.org/officeDocument/2006/relationships" ref="J315" r:id="rId319"/>
    <hyperlink xmlns:r="http://schemas.openxmlformats.org/officeDocument/2006/relationships" ref="J316" r:id="rId320"/>
    <hyperlink xmlns:r="http://schemas.openxmlformats.org/officeDocument/2006/relationships" ref="J317" r:id="rId321"/>
    <hyperlink xmlns:r="http://schemas.openxmlformats.org/officeDocument/2006/relationships" ref="J318" r:id="rId322"/>
    <hyperlink xmlns:r="http://schemas.openxmlformats.org/officeDocument/2006/relationships" ref="J319" r:id="rId323"/>
    <hyperlink xmlns:r="http://schemas.openxmlformats.org/officeDocument/2006/relationships" ref="J320" r:id="rId324"/>
    <hyperlink xmlns:r="http://schemas.openxmlformats.org/officeDocument/2006/relationships" ref="J321" r:id="rId325"/>
    <hyperlink xmlns:r="http://schemas.openxmlformats.org/officeDocument/2006/relationships" ref="J322" r:id="rId326"/>
    <hyperlink xmlns:r="http://schemas.openxmlformats.org/officeDocument/2006/relationships" ref="J323" r:id="rId327"/>
    <hyperlink xmlns:r="http://schemas.openxmlformats.org/officeDocument/2006/relationships" ref="J324" r:id="rId328"/>
    <hyperlink xmlns:r="http://schemas.openxmlformats.org/officeDocument/2006/relationships" ref="J325" r:id="rId329"/>
    <hyperlink xmlns:r="http://schemas.openxmlformats.org/officeDocument/2006/relationships" ref="J326" r:id="rId330"/>
    <hyperlink xmlns:r="http://schemas.openxmlformats.org/officeDocument/2006/relationships" ref="J327" r:id="rId331"/>
    <hyperlink xmlns:r="http://schemas.openxmlformats.org/officeDocument/2006/relationships" ref="J328" r:id="rId332"/>
    <hyperlink xmlns:r="http://schemas.openxmlformats.org/officeDocument/2006/relationships" ref="J329" r:id="rId333"/>
    <hyperlink xmlns:r="http://schemas.openxmlformats.org/officeDocument/2006/relationships" ref="J330" r:id="rId334"/>
    <hyperlink xmlns:r="http://schemas.openxmlformats.org/officeDocument/2006/relationships" ref="J331" r:id="rId335"/>
    <hyperlink xmlns:r="http://schemas.openxmlformats.org/officeDocument/2006/relationships" ref="J332" r:id="rId336"/>
    <hyperlink xmlns:r="http://schemas.openxmlformats.org/officeDocument/2006/relationships" ref="J333" r:id="rId337"/>
    <hyperlink xmlns:r="http://schemas.openxmlformats.org/officeDocument/2006/relationships" ref="J334" r:id="rId338"/>
    <hyperlink xmlns:r="http://schemas.openxmlformats.org/officeDocument/2006/relationships" ref="J335" r:id="rId339"/>
    <hyperlink xmlns:r="http://schemas.openxmlformats.org/officeDocument/2006/relationships" ref="J336" r:id="rId340"/>
    <hyperlink xmlns:r="http://schemas.openxmlformats.org/officeDocument/2006/relationships" ref="J337" r:id="rId341"/>
    <hyperlink xmlns:r="http://schemas.openxmlformats.org/officeDocument/2006/relationships" ref="J338" r:id="rId342"/>
    <hyperlink xmlns:r="http://schemas.openxmlformats.org/officeDocument/2006/relationships" ref="J339" r:id="rId343"/>
    <hyperlink xmlns:r="http://schemas.openxmlformats.org/officeDocument/2006/relationships" ref="J340" r:id="rId344"/>
    <hyperlink xmlns:r="http://schemas.openxmlformats.org/officeDocument/2006/relationships" ref="J341" r:id="rId345"/>
    <hyperlink xmlns:r="http://schemas.openxmlformats.org/officeDocument/2006/relationships" ref="J342" r:id="rId346"/>
    <hyperlink xmlns:r="http://schemas.openxmlformats.org/officeDocument/2006/relationships" ref="J343" r:id="rId347"/>
    <hyperlink xmlns:r="http://schemas.openxmlformats.org/officeDocument/2006/relationships" ref="J344" r:id="rId348"/>
    <hyperlink xmlns:r="http://schemas.openxmlformats.org/officeDocument/2006/relationships" ref="J345" r:id="rId349"/>
    <hyperlink xmlns:r="http://schemas.openxmlformats.org/officeDocument/2006/relationships" ref="J346" r:id="rId350"/>
    <hyperlink xmlns:r="http://schemas.openxmlformats.org/officeDocument/2006/relationships" ref="J347" r:id="rId351"/>
    <hyperlink xmlns:r="http://schemas.openxmlformats.org/officeDocument/2006/relationships" ref="J348" r:id="rId352"/>
    <hyperlink xmlns:r="http://schemas.openxmlformats.org/officeDocument/2006/relationships" ref="J349" r:id="rId353"/>
    <hyperlink xmlns:r="http://schemas.openxmlformats.org/officeDocument/2006/relationships" ref="J350" r:id="rId354"/>
    <hyperlink xmlns:r="http://schemas.openxmlformats.org/officeDocument/2006/relationships" ref="J351" r:id="rId355"/>
    <hyperlink xmlns:r="http://schemas.openxmlformats.org/officeDocument/2006/relationships" ref="J352" r:id="rId356"/>
    <hyperlink xmlns:r="http://schemas.openxmlformats.org/officeDocument/2006/relationships" ref="J353" r:id="rId357"/>
    <hyperlink xmlns:r="http://schemas.openxmlformats.org/officeDocument/2006/relationships" ref="J354" r:id="rId358"/>
    <hyperlink xmlns:r="http://schemas.openxmlformats.org/officeDocument/2006/relationships" ref="J355" r:id="rId359"/>
    <hyperlink xmlns:r="http://schemas.openxmlformats.org/officeDocument/2006/relationships" ref="J356" r:id="rId360"/>
    <hyperlink xmlns:r="http://schemas.openxmlformats.org/officeDocument/2006/relationships" ref="J357" r:id="rId361"/>
    <hyperlink xmlns:r="http://schemas.openxmlformats.org/officeDocument/2006/relationships" ref="J358" r:id="rId362"/>
    <hyperlink xmlns:r="http://schemas.openxmlformats.org/officeDocument/2006/relationships" ref="J359" r:id="rId363"/>
    <hyperlink xmlns:r="http://schemas.openxmlformats.org/officeDocument/2006/relationships" ref="J360" r:id="rId364"/>
    <hyperlink xmlns:r="http://schemas.openxmlformats.org/officeDocument/2006/relationships" ref="J361" r:id="rId365"/>
    <hyperlink xmlns:r="http://schemas.openxmlformats.org/officeDocument/2006/relationships" ref="J362" r:id="rId366"/>
    <hyperlink xmlns:r="http://schemas.openxmlformats.org/officeDocument/2006/relationships" ref="J363" r:id="rId367"/>
    <hyperlink xmlns:r="http://schemas.openxmlformats.org/officeDocument/2006/relationships" ref="J364" r:id="rId368"/>
    <hyperlink xmlns:r="http://schemas.openxmlformats.org/officeDocument/2006/relationships" ref="J365" r:id="rId369"/>
    <hyperlink xmlns:r="http://schemas.openxmlformats.org/officeDocument/2006/relationships" ref="J366" r:id="rId370"/>
    <hyperlink xmlns:r="http://schemas.openxmlformats.org/officeDocument/2006/relationships" ref="J367" r:id="rId371"/>
    <hyperlink xmlns:r="http://schemas.openxmlformats.org/officeDocument/2006/relationships" ref="J368" r:id="rId372"/>
    <hyperlink xmlns:r="http://schemas.openxmlformats.org/officeDocument/2006/relationships" ref="J369" r:id="rId373"/>
    <hyperlink xmlns:r="http://schemas.openxmlformats.org/officeDocument/2006/relationships" ref="J370" r:id="rId374"/>
    <hyperlink xmlns:r="http://schemas.openxmlformats.org/officeDocument/2006/relationships" ref="J371" r:id="rId375"/>
    <hyperlink xmlns:r="http://schemas.openxmlformats.org/officeDocument/2006/relationships" ref="J372" r:id="rId376"/>
    <hyperlink xmlns:r="http://schemas.openxmlformats.org/officeDocument/2006/relationships" ref="J373" r:id="rId377"/>
    <hyperlink xmlns:r="http://schemas.openxmlformats.org/officeDocument/2006/relationships" ref="J374" r:id="rId378"/>
    <hyperlink xmlns:r="http://schemas.openxmlformats.org/officeDocument/2006/relationships" ref="J375" r:id="rId379"/>
    <hyperlink xmlns:r="http://schemas.openxmlformats.org/officeDocument/2006/relationships" ref="J376" r:id="rId380"/>
    <hyperlink xmlns:r="http://schemas.openxmlformats.org/officeDocument/2006/relationships" ref="J377" r:id="rId381"/>
    <hyperlink xmlns:r="http://schemas.openxmlformats.org/officeDocument/2006/relationships" ref="J378" r:id="rId382"/>
    <hyperlink xmlns:r="http://schemas.openxmlformats.org/officeDocument/2006/relationships" ref="J379" r:id="rId383"/>
    <hyperlink xmlns:r="http://schemas.openxmlformats.org/officeDocument/2006/relationships" ref="J380" r:id="rId384"/>
    <hyperlink xmlns:r="http://schemas.openxmlformats.org/officeDocument/2006/relationships" ref="J381" r:id="rId385"/>
    <hyperlink xmlns:r="http://schemas.openxmlformats.org/officeDocument/2006/relationships" ref="J382" r:id="rId386"/>
    <hyperlink xmlns:r="http://schemas.openxmlformats.org/officeDocument/2006/relationships" ref="J383" r:id="rId387"/>
    <hyperlink xmlns:r="http://schemas.openxmlformats.org/officeDocument/2006/relationships" ref="J384" r:id="rId388"/>
    <hyperlink xmlns:r="http://schemas.openxmlformats.org/officeDocument/2006/relationships" ref="J385" r:id="rId389"/>
    <hyperlink xmlns:r="http://schemas.openxmlformats.org/officeDocument/2006/relationships" ref="J386" r:id="rId390"/>
    <hyperlink xmlns:r="http://schemas.openxmlformats.org/officeDocument/2006/relationships" ref="J387" r:id="rId391"/>
    <hyperlink xmlns:r="http://schemas.openxmlformats.org/officeDocument/2006/relationships" ref="J388" r:id="rId392"/>
    <hyperlink xmlns:r="http://schemas.openxmlformats.org/officeDocument/2006/relationships" ref="J389" r:id="rId393"/>
    <hyperlink xmlns:r="http://schemas.openxmlformats.org/officeDocument/2006/relationships" ref="J390" r:id="rId394"/>
    <hyperlink xmlns:r="http://schemas.openxmlformats.org/officeDocument/2006/relationships" ref="J391" r:id="rId395"/>
    <hyperlink xmlns:r="http://schemas.openxmlformats.org/officeDocument/2006/relationships" ref="J392" r:id="rId396"/>
    <hyperlink xmlns:r="http://schemas.openxmlformats.org/officeDocument/2006/relationships" ref="J393" r:id="rId397"/>
    <hyperlink xmlns:r="http://schemas.openxmlformats.org/officeDocument/2006/relationships" ref="J394" r:id="rId398"/>
    <hyperlink xmlns:r="http://schemas.openxmlformats.org/officeDocument/2006/relationships" ref="J395" r:id="rId399"/>
    <hyperlink xmlns:r="http://schemas.openxmlformats.org/officeDocument/2006/relationships" ref="J396" r:id="rId400"/>
    <hyperlink xmlns:r="http://schemas.openxmlformats.org/officeDocument/2006/relationships" ref="J397" r:id="rId401"/>
    <hyperlink xmlns:r="http://schemas.openxmlformats.org/officeDocument/2006/relationships" ref="J398" r:id="rId402"/>
    <hyperlink xmlns:r="http://schemas.openxmlformats.org/officeDocument/2006/relationships" ref="J399" r:id="rId403"/>
    <hyperlink xmlns:r="http://schemas.openxmlformats.org/officeDocument/2006/relationships" ref="J400" r:id="rId404"/>
    <hyperlink xmlns:r="http://schemas.openxmlformats.org/officeDocument/2006/relationships" ref="J401" r:id="rId405"/>
    <hyperlink xmlns:r="http://schemas.openxmlformats.org/officeDocument/2006/relationships" ref="J402" r:id="rId406"/>
    <hyperlink xmlns:r="http://schemas.openxmlformats.org/officeDocument/2006/relationships" ref="J403" r:id="rId407"/>
    <hyperlink xmlns:r="http://schemas.openxmlformats.org/officeDocument/2006/relationships" ref="J404" r:id="rId408"/>
    <hyperlink xmlns:r="http://schemas.openxmlformats.org/officeDocument/2006/relationships" ref="J405" r:id="rId409"/>
    <hyperlink xmlns:r="http://schemas.openxmlformats.org/officeDocument/2006/relationships" ref="J406" r:id="rId410"/>
    <hyperlink xmlns:r="http://schemas.openxmlformats.org/officeDocument/2006/relationships" ref="J407" r:id="rId411"/>
    <hyperlink xmlns:r="http://schemas.openxmlformats.org/officeDocument/2006/relationships" ref="J408" r:id="rId412"/>
    <hyperlink xmlns:r="http://schemas.openxmlformats.org/officeDocument/2006/relationships" ref="J409" r:id="rId413"/>
    <hyperlink xmlns:r="http://schemas.openxmlformats.org/officeDocument/2006/relationships" ref="J410" r:id="rId414"/>
    <hyperlink xmlns:r="http://schemas.openxmlformats.org/officeDocument/2006/relationships" ref="J411" r:id="rId415"/>
    <hyperlink xmlns:r="http://schemas.openxmlformats.org/officeDocument/2006/relationships" ref="J412" r:id="rId416"/>
    <hyperlink xmlns:r="http://schemas.openxmlformats.org/officeDocument/2006/relationships" ref="J413" r:id="rId417"/>
    <hyperlink xmlns:r="http://schemas.openxmlformats.org/officeDocument/2006/relationships" ref="J414" r:id="rId418"/>
    <hyperlink xmlns:r="http://schemas.openxmlformats.org/officeDocument/2006/relationships" ref="J415" r:id="rId419"/>
    <hyperlink xmlns:r="http://schemas.openxmlformats.org/officeDocument/2006/relationships" ref="J416" r:id="rId420"/>
    <hyperlink xmlns:r="http://schemas.openxmlformats.org/officeDocument/2006/relationships" ref="J417" r:id="rId421"/>
    <hyperlink xmlns:r="http://schemas.openxmlformats.org/officeDocument/2006/relationships" ref="J418" r:id="rId422"/>
    <hyperlink xmlns:r="http://schemas.openxmlformats.org/officeDocument/2006/relationships" ref="J419" r:id="rId423"/>
    <hyperlink xmlns:r="http://schemas.openxmlformats.org/officeDocument/2006/relationships" ref="J420" r:id="rId424"/>
    <hyperlink xmlns:r="http://schemas.openxmlformats.org/officeDocument/2006/relationships" ref="J421" r:id="rId425"/>
    <hyperlink xmlns:r="http://schemas.openxmlformats.org/officeDocument/2006/relationships" ref="J422" r:id="rId426"/>
    <hyperlink xmlns:r="http://schemas.openxmlformats.org/officeDocument/2006/relationships" ref="J423" r:id="rId427"/>
    <hyperlink xmlns:r="http://schemas.openxmlformats.org/officeDocument/2006/relationships" ref="J424" r:id="rId428"/>
    <hyperlink xmlns:r="http://schemas.openxmlformats.org/officeDocument/2006/relationships" ref="J425" r:id="rId429"/>
    <hyperlink xmlns:r="http://schemas.openxmlformats.org/officeDocument/2006/relationships" ref="J426" r:id="rId430"/>
    <hyperlink xmlns:r="http://schemas.openxmlformats.org/officeDocument/2006/relationships" ref="J427" r:id="rId431"/>
    <hyperlink xmlns:r="http://schemas.openxmlformats.org/officeDocument/2006/relationships" ref="J428" r:id="rId432"/>
    <hyperlink xmlns:r="http://schemas.openxmlformats.org/officeDocument/2006/relationships" ref="J429" r:id="rId433"/>
    <hyperlink xmlns:r="http://schemas.openxmlformats.org/officeDocument/2006/relationships" ref="J430" r:id="rId434"/>
    <hyperlink xmlns:r="http://schemas.openxmlformats.org/officeDocument/2006/relationships" ref="J431" r:id="rId435"/>
    <hyperlink xmlns:r="http://schemas.openxmlformats.org/officeDocument/2006/relationships" ref="J432" r:id="rId436"/>
    <hyperlink xmlns:r="http://schemas.openxmlformats.org/officeDocument/2006/relationships" ref="J433" r:id="rId437"/>
    <hyperlink xmlns:r="http://schemas.openxmlformats.org/officeDocument/2006/relationships" ref="J434" r:id="rId438"/>
    <hyperlink xmlns:r="http://schemas.openxmlformats.org/officeDocument/2006/relationships" ref="J435" r:id="rId439"/>
    <hyperlink xmlns:r="http://schemas.openxmlformats.org/officeDocument/2006/relationships" ref="J436" r:id="rId440"/>
    <hyperlink xmlns:r="http://schemas.openxmlformats.org/officeDocument/2006/relationships" ref="J437" r:id="rId441"/>
    <hyperlink xmlns:r="http://schemas.openxmlformats.org/officeDocument/2006/relationships" ref="J438" r:id="rId442"/>
    <hyperlink xmlns:r="http://schemas.openxmlformats.org/officeDocument/2006/relationships" ref="J439" r:id="rId443"/>
    <hyperlink xmlns:r="http://schemas.openxmlformats.org/officeDocument/2006/relationships" ref="J440" r:id="rId444"/>
    <hyperlink xmlns:r="http://schemas.openxmlformats.org/officeDocument/2006/relationships" ref="J441" r:id="rId445"/>
    <hyperlink xmlns:r="http://schemas.openxmlformats.org/officeDocument/2006/relationships" ref="J442" r:id="rId446"/>
    <hyperlink xmlns:r="http://schemas.openxmlformats.org/officeDocument/2006/relationships" ref="J443" r:id="rId447"/>
    <hyperlink xmlns:r="http://schemas.openxmlformats.org/officeDocument/2006/relationships" ref="J444" r:id="rId448"/>
    <hyperlink xmlns:r="http://schemas.openxmlformats.org/officeDocument/2006/relationships" ref="J445" r:id="rId449"/>
    <hyperlink xmlns:r="http://schemas.openxmlformats.org/officeDocument/2006/relationships" ref="J446" r:id="rId450"/>
    <hyperlink xmlns:r="http://schemas.openxmlformats.org/officeDocument/2006/relationships" ref="J447" r:id="rId451"/>
    <hyperlink xmlns:r="http://schemas.openxmlformats.org/officeDocument/2006/relationships" ref="J448" r:id="rId452"/>
    <hyperlink xmlns:r="http://schemas.openxmlformats.org/officeDocument/2006/relationships" ref="J449" r:id="rId453"/>
    <hyperlink xmlns:r="http://schemas.openxmlformats.org/officeDocument/2006/relationships" ref="J450" r:id="rId454"/>
    <hyperlink xmlns:r="http://schemas.openxmlformats.org/officeDocument/2006/relationships" ref="J451" r:id="rId455"/>
    <hyperlink xmlns:r="http://schemas.openxmlformats.org/officeDocument/2006/relationships" ref="J452" r:id="rId456"/>
    <hyperlink xmlns:r="http://schemas.openxmlformats.org/officeDocument/2006/relationships" ref="J453" r:id="rId457"/>
    <hyperlink xmlns:r="http://schemas.openxmlformats.org/officeDocument/2006/relationships" ref="J454" r:id="rId458"/>
    <hyperlink xmlns:r="http://schemas.openxmlformats.org/officeDocument/2006/relationships" ref="J455" r:id="rId459"/>
    <hyperlink xmlns:r="http://schemas.openxmlformats.org/officeDocument/2006/relationships" ref="J456" r:id="rId460"/>
    <hyperlink xmlns:r="http://schemas.openxmlformats.org/officeDocument/2006/relationships" ref="J457" r:id="rId461"/>
    <hyperlink xmlns:r="http://schemas.openxmlformats.org/officeDocument/2006/relationships" ref="J458" r:id="rId462"/>
    <hyperlink xmlns:r="http://schemas.openxmlformats.org/officeDocument/2006/relationships" ref="J459" r:id="rId463"/>
    <hyperlink xmlns:r="http://schemas.openxmlformats.org/officeDocument/2006/relationships" ref="J460" r:id="rId464"/>
    <hyperlink xmlns:r="http://schemas.openxmlformats.org/officeDocument/2006/relationships" ref="J461" r:id="rId465"/>
    <hyperlink xmlns:r="http://schemas.openxmlformats.org/officeDocument/2006/relationships" ref="J462" r:id="rId466"/>
    <hyperlink xmlns:r="http://schemas.openxmlformats.org/officeDocument/2006/relationships" ref="J463" r:id="rId467"/>
    <hyperlink xmlns:r="http://schemas.openxmlformats.org/officeDocument/2006/relationships" ref="J464" r:id="rId468"/>
    <hyperlink xmlns:r="http://schemas.openxmlformats.org/officeDocument/2006/relationships" ref="J465" r:id="rId469"/>
    <hyperlink xmlns:r="http://schemas.openxmlformats.org/officeDocument/2006/relationships" ref="J466" r:id="rId470"/>
    <hyperlink xmlns:r="http://schemas.openxmlformats.org/officeDocument/2006/relationships" ref="J467" r:id="rId471"/>
    <hyperlink xmlns:r="http://schemas.openxmlformats.org/officeDocument/2006/relationships" ref="J468" r:id="rId472"/>
    <hyperlink xmlns:r="http://schemas.openxmlformats.org/officeDocument/2006/relationships" ref="J469" r:id="rId473"/>
    <hyperlink xmlns:r="http://schemas.openxmlformats.org/officeDocument/2006/relationships" ref="J470" r:id="rId474"/>
    <hyperlink xmlns:r="http://schemas.openxmlformats.org/officeDocument/2006/relationships" ref="J471" r:id="rId475"/>
    <hyperlink xmlns:r="http://schemas.openxmlformats.org/officeDocument/2006/relationships" ref="J472" r:id="rId476"/>
    <hyperlink xmlns:r="http://schemas.openxmlformats.org/officeDocument/2006/relationships" ref="J473" r:id="rId477"/>
    <hyperlink xmlns:r="http://schemas.openxmlformats.org/officeDocument/2006/relationships" ref="J474" r:id="rId478"/>
    <hyperlink xmlns:r="http://schemas.openxmlformats.org/officeDocument/2006/relationships" ref="J475" r:id="rId479"/>
    <hyperlink xmlns:r="http://schemas.openxmlformats.org/officeDocument/2006/relationships" ref="J476" r:id="rId480"/>
    <hyperlink xmlns:r="http://schemas.openxmlformats.org/officeDocument/2006/relationships" ref="J477" r:id="rId481"/>
    <hyperlink xmlns:r="http://schemas.openxmlformats.org/officeDocument/2006/relationships" ref="J478" r:id="rId482"/>
    <hyperlink xmlns:r="http://schemas.openxmlformats.org/officeDocument/2006/relationships" ref="J479" r:id="rId483"/>
    <hyperlink xmlns:r="http://schemas.openxmlformats.org/officeDocument/2006/relationships" ref="J480" r:id="rId484"/>
    <hyperlink xmlns:r="http://schemas.openxmlformats.org/officeDocument/2006/relationships" ref="J481" r:id="rId485"/>
    <hyperlink xmlns:r="http://schemas.openxmlformats.org/officeDocument/2006/relationships" ref="J482" r:id="rId486"/>
    <hyperlink xmlns:r="http://schemas.openxmlformats.org/officeDocument/2006/relationships" ref="J483" r:id="rId487"/>
    <hyperlink xmlns:r="http://schemas.openxmlformats.org/officeDocument/2006/relationships" ref="J484" r:id="rId488"/>
    <hyperlink xmlns:r="http://schemas.openxmlformats.org/officeDocument/2006/relationships" ref="J485" r:id="rId489"/>
    <hyperlink xmlns:r="http://schemas.openxmlformats.org/officeDocument/2006/relationships" ref="J486" r:id="rId490"/>
    <hyperlink xmlns:r="http://schemas.openxmlformats.org/officeDocument/2006/relationships" ref="J487" r:id="rId491"/>
    <hyperlink xmlns:r="http://schemas.openxmlformats.org/officeDocument/2006/relationships" ref="J488" r:id="rId492"/>
    <hyperlink xmlns:r="http://schemas.openxmlformats.org/officeDocument/2006/relationships" ref="J489" r:id="rId493"/>
    <hyperlink xmlns:r="http://schemas.openxmlformats.org/officeDocument/2006/relationships" ref="J490" r:id="rId494"/>
    <hyperlink xmlns:r="http://schemas.openxmlformats.org/officeDocument/2006/relationships" ref="J491" r:id="rId495"/>
    <hyperlink xmlns:r="http://schemas.openxmlformats.org/officeDocument/2006/relationships" ref="J492" r:id="rId496"/>
    <hyperlink xmlns:r="http://schemas.openxmlformats.org/officeDocument/2006/relationships" ref="J493" r:id="rId497"/>
    <hyperlink xmlns:r="http://schemas.openxmlformats.org/officeDocument/2006/relationships" ref="J494" r:id="rId498"/>
    <hyperlink xmlns:r="http://schemas.openxmlformats.org/officeDocument/2006/relationships" ref="J495" r:id="rId499"/>
    <hyperlink xmlns:r="http://schemas.openxmlformats.org/officeDocument/2006/relationships" ref="J496" r:id="rId500"/>
    <hyperlink xmlns:r="http://schemas.openxmlformats.org/officeDocument/2006/relationships" ref="J497" r:id="rId501"/>
    <hyperlink xmlns:r="http://schemas.openxmlformats.org/officeDocument/2006/relationships" ref="J498" r:id="rId502"/>
    <hyperlink xmlns:r="http://schemas.openxmlformats.org/officeDocument/2006/relationships" ref="J499" r:id="rId503"/>
    <hyperlink xmlns:r="http://schemas.openxmlformats.org/officeDocument/2006/relationships" ref="J500" r:id="rId504"/>
    <hyperlink xmlns:r="http://schemas.openxmlformats.org/officeDocument/2006/relationships" ref="J501" r:id="rId505"/>
    <hyperlink xmlns:r="http://schemas.openxmlformats.org/officeDocument/2006/relationships" ref="J502" r:id="rId506"/>
    <hyperlink xmlns:r="http://schemas.openxmlformats.org/officeDocument/2006/relationships" ref="J503" r:id="rId507"/>
    <hyperlink xmlns:r="http://schemas.openxmlformats.org/officeDocument/2006/relationships" ref="J504" r:id="rId508"/>
    <hyperlink xmlns:r="http://schemas.openxmlformats.org/officeDocument/2006/relationships" ref="J505" r:id="rId509"/>
    <hyperlink xmlns:r="http://schemas.openxmlformats.org/officeDocument/2006/relationships" ref="J506" r:id="rId510"/>
    <hyperlink xmlns:r="http://schemas.openxmlformats.org/officeDocument/2006/relationships" ref="J507" r:id="rId511"/>
    <hyperlink xmlns:r="http://schemas.openxmlformats.org/officeDocument/2006/relationships" ref="J508" r:id="rId512"/>
    <hyperlink xmlns:r="http://schemas.openxmlformats.org/officeDocument/2006/relationships" ref="J509" r:id="rId513"/>
    <hyperlink xmlns:r="http://schemas.openxmlformats.org/officeDocument/2006/relationships" ref="J510" r:id="rId514"/>
    <hyperlink xmlns:r="http://schemas.openxmlformats.org/officeDocument/2006/relationships" ref="J511" r:id="rId515"/>
    <hyperlink xmlns:r="http://schemas.openxmlformats.org/officeDocument/2006/relationships" ref="J512" r:id="rId516"/>
    <hyperlink xmlns:r="http://schemas.openxmlformats.org/officeDocument/2006/relationships" ref="J513" r:id="rId517"/>
    <hyperlink xmlns:r="http://schemas.openxmlformats.org/officeDocument/2006/relationships" ref="J514" r:id="rId518"/>
    <hyperlink xmlns:r="http://schemas.openxmlformats.org/officeDocument/2006/relationships" ref="J515" r:id="rId519"/>
    <hyperlink xmlns:r="http://schemas.openxmlformats.org/officeDocument/2006/relationships" ref="J516" r:id="rId520"/>
    <hyperlink xmlns:r="http://schemas.openxmlformats.org/officeDocument/2006/relationships" ref="J517" r:id="rId521"/>
    <hyperlink xmlns:r="http://schemas.openxmlformats.org/officeDocument/2006/relationships" ref="J518" r:id="rId522"/>
    <hyperlink xmlns:r="http://schemas.openxmlformats.org/officeDocument/2006/relationships" ref="J519" r:id="rId523"/>
    <hyperlink xmlns:r="http://schemas.openxmlformats.org/officeDocument/2006/relationships" ref="J520" r:id="rId524"/>
    <hyperlink xmlns:r="http://schemas.openxmlformats.org/officeDocument/2006/relationships" ref="J521" r:id="rId525"/>
    <hyperlink xmlns:r="http://schemas.openxmlformats.org/officeDocument/2006/relationships" ref="J522" r:id="rId526"/>
    <hyperlink xmlns:r="http://schemas.openxmlformats.org/officeDocument/2006/relationships" ref="J523" r:id="rId527"/>
    <hyperlink xmlns:r="http://schemas.openxmlformats.org/officeDocument/2006/relationships" ref="J524" r:id="rId528"/>
    <hyperlink xmlns:r="http://schemas.openxmlformats.org/officeDocument/2006/relationships" ref="J525" r:id="rId529"/>
    <hyperlink xmlns:r="http://schemas.openxmlformats.org/officeDocument/2006/relationships" ref="J526" r:id="rId530"/>
    <hyperlink xmlns:r="http://schemas.openxmlformats.org/officeDocument/2006/relationships" ref="J527" r:id="rId531"/>
    <hyperlink xmlns:r="http://schemas.openxmlformats.org/officeDocument/2006/relationships" ref="J528" r:id="rId532"/>
    <hyperlink xmlns:r="http://schemas.openxmlformats.org/officeDocument/2006/relationships" ref="J529" r:id="rId533"/>
    <hyperlink xmlns:r="http://schemas.openxmlformats.org/officeDocument/2006/relationships" ref="J530" r:id="rId534"/>
    <hyperlink xmlns:r="http://schemas.openxmlformats.org/officeDocument/2006/relationships" ref="J531" r:id="rId535"/>
    <hyperlink xmlns:r="http://schemas.openxmlformats.org/officeDocument/2006/relationships" ref="J532" r:id="rId536"/>
    <hyperlink xmlns:r="http://schemas.openxmlformats.org/officeDocument/2006/relationships" ref="J533" r:id="rId537"/>
    <hyperlink xmlns:r="http://schemas.openxmlformats.org/officeDocument/2006/relationships" ref="J534" r:id="rId538"/>
    <hyperlink xmlns:r="http://schemas.openxmlformats.org/officeDocument/2006/relationships" ref="J535" r:id="rId539"/>
    <hyperlink xmlns:r="http://schemas.openxmlformats.org/officeDocument/2006/relationships" ref="J536" r:id="rId540"/>
    <hyperlink xmlns:r="http://schemas.openxmlformats.org/officeDocument/2006/relationships" ref="J537" r:id="rId541"/>
    <hyperlink xmlns:r="http://schemas.openxmlformats.org/officeDocument/2006/relationships" ref="J538" r:id="rId542"/>
    <hyperlink xmlns:r="http://schemas.openxmlformats.org/officeDocument/2006/relationships" ref="J539" r:id="rId543"/>
    <hyperlink xmlns:r="http://schemas.openxmlformats.org/officeDocument/2006/relationships" ref="J540" r:id="rId544"/>
    <hyperlink xmlns:r="http://schemas.openxmlformats.org/officeDocument/2006/relationships" ref="J541" r:id="rId545"/>
    <hyperlink xmlns:r="http://schemas.openxmlformats.org/officeDocument/2006/relationships" ref="J542" r:id="rId546"/>
    <hyperlink xmlns:r="http://schemas.openxmlformats.org/officeDocument/2006/relationships" ref="J543" r:id="rId547"/>
    <hyperlink xmlns:r="http://schemas.openxmlformats.org/officeDocument/2006/relationships" ref="J544" r:id="rId548"/>
    <hyperlink xmlns:r="http://schemas.openxmlformats.org/officeDocument/2006/relationships" ref="J545" r:id="rId549"/>
    <hyperlink xmlns:r="http://schemas.openxmlformats.org/officeDocument/2006/relationships" ref="J546" r:id="rId550"/>
    <hyperlink xmlns:r="http://schemas.openxmlformats.org/officeDocument/2006/relationships" ref="J547" r:id="rId551"/>
    <hyperlink xmlns:r="http://schemas.openxmlformats.org/officeDocument/2006/relationships" ref="J548" r:id="rId552"/>
    <hyperlink xmlns:r="http://schemas.openxmlformats.org/officeDocument/2006/relationships" ref="J549" r:id="rId553"/>
    <hyperlink xmlns:r="http://schemas.openxmlformats.org/officeDocument/2006/relationships" ref="J550" r:id="rId554"/>
    <hyperlink xmlns:r="http://schemas.openxmlformats.org/officeDocument/2006/relationships" ref="J551" r:id="rId555"/>
    <hyperlink xmlns:r="http://schemas.openxmlformats.org/officeDocument/2006/relationships" ref="J552" r:id="rId556"/>
    <hyperlink xmlns:r="http://schemas.openxmlformats.org/officeDocument/2006/relationships" ref="J553" r:id="rId557"/>
    <hyperlink xmlns:r="http://schemas.openxmlformats.org/officeDocument/2006/relationships" ref="J554" r:id="rId558"/>
    <hyperlink xmlns:r="http://schemas.openxmlformats.org/officeDocument/2006/relationships" ref="J555" r:id="rId559"/>
    <hyperlink xmlns:r="http://schemas.openxmlformats.org/officeDocument/2006/relationships" ref="J556" r:id="rId560"/>
    <hyperlink xmlns:r="http://schemas.openxmlformats.org/officeDocument/2006/relationships" ref="J557" r:id="rId561"/>
    <hyperlink xmlns:r="http://schemas.openxmlformats.org/officeDocument/2006/relationships" ref="J558" r:id="rId562"/>
    <hyperlink xmlns:r="http://schemas.openxmlformats.org/officeDocument/2006/relationships" ref="J559" r:id="rId563"/>
    <hyperlink xmlns:r="http://schemas.openxmlformats.org/officeDocument/2006/relationships" ref="J560" r:id="rId564"/>
    <hyperlink xmlns:r="http://schemas.openxmlformats.org/officeDocument/2006/relationships" ref="J561" r:id="rId565"/>
    <hyperlink xmlns:r="http://schemas.openxmlformats.org/officeDocument/2006/relationships" ref="J562" r:id="rId566"/>
    <hyperlink xmlns:r="http://schemas.openxmlformats.org/officeDocument/2006/relationships" ref="J563" r:id="rId567"/>
    <hyperlink xmlns:r="http://schemas.openxmlformats.org/officeDocument/2006/relationships" ref="J564" r:id="rId568"/>
    <hyperlink xmlns:r="http://schemas.openxmlformats.org/officeDocument/2006/relationships" ref="J565" r:id="rId569"/>
    <hyperlink xmlns:r="http://schemas.openxmlformats.org/officeDocument/2006/relationships" ref="J566" r:id="rId570"/>
    <hyperlink xmlns:r="http://schemas.openxmlformats.org/officeDocument/2006/relationships" ref="J567" r:id="rId571"/>
    <hyperlink xmlns:r="http://schemas.openxmlformats.org/officeDocument/2006/relationships" ref="J568" r:id="rId572"/>
    <hyperlink xmlns:r="http://schemas.openxmlformats.org/officeDocument/2006/relationships" ref="J569" r:id="rId573"/>
    <hyperlink xmlns:r="http://schemas.openxmlformats.org/officeDocument/2006/relationships" ref="J570" r:id="rId574"/>
    <hyperlink xmlns:r="http://schemas.openxmlformats.org/officeDocument/2006/relationships" ref="J571" r:id="rId575"/>
    <hyperlink xmlns:r="http://schemas.openxmlformats.org/officeDocument/2006/relationships" ref="J572" r:id="rId576"/>
    <hyperlink xmlns:r="http://schemas.openxmlformats.org/officeDocument/2006/relationships" ref="J573" r:id="rId577"/>
    <hyperlink xmlns:r="http://schemas.openxmlformats.org/officeDocument/2006/relationships" ref="J574" r:id="rId578"/>
    <hyperlink xmlns:r="http://schemas.openxmlformats.org/officeDocument/2006/relationships" ref="J575" r:id="rId579"/>
    <hyperlink xmlns:r="http://schemas.openxmlformats.org/officeDocument/2006/relationships" ref="J576" r:id="rId580"/>
    <hyperlink xmlns:r="http://schemas.openxmlformats.org/officeDocument/2006/relationships" ref="J577" r:id="rId581"/>
    <hyperlink xmlns:r="http://schemas.openxmlformats.org/officeDocument/2006/relationships" ref="J578" r:id="rId582"/>
    <hyperlink xmlns:r="http://schemas.openxmlformats.org/officeDocument/2006/relationships" ref="J579" r:id="rId583"/>
    <hyperlink xmlns:r="http://schemas.openxmlformats.org/officeDocument/2006/relationships" ref="J580" r:id="rId584"/>
    <hyperlink xmlns:r="http://schemas.openxmlformats.org/officeDocument/2006/relationships" ref="J581" r:id="rId585"/>
    <hyperlink xmlns:r="http://schemas.openxmlformats.org/officeDocument/2006/relationships" ref="J582" r:id="rId586"/>
    <hyperlink xmlns:r="http://schemas.openxmlformats.org/officeDocument/2006/relationships" ref="J583" r:id="rId587"/>
    <hyperlink xmlns:r="http://schemas.openxmlformats.org/officeDocument/2006/relationships" ref="J584" r:id="rId588"/>
    <hyperlink xmlns:r="http://schemas.openxmlformats.org/officeDocument/2006/relationships" ref="J585" r:id="rId589"/>
    <hyperlink xmlns:r="http://schemas.openxmlformats.org/officeDocument/2006/relationships" ref="J586" r:id="rId590"/>
    <hyperlink xmlns:r="http://schemas.openxmlformats.org/officeDocument/2006/relationships" ref="J587" r:id="rId591"/>
    <hyperlink xmlns:r="http://schemas.openxmlformats.org/officeDocument/2006/relationships" ref="J588" r:id="rId592"/>
    <hyperlink xmlns:r="http://schemas.openxmlformats.org/officeDocument/2006/relationships" ref="J589" r:id="rId593"/>
    <hyperlink xmlns:r="http://schemas.openxmlformats.org/officeDocument/2006/relationships" ref="J590" r:id="rId594"/>
    <hyperlink xmlns:r="http://schemas.openxmlformats.org/officeDocument/2006/relationships" ref="J591" r:id="rId595"/>
    <hyperlink xmlns:r="http://schemas.openxmlformats.org/officeDocument/2006/relationships" ref="J592" r:id="rId596"/>
    <hyperlink xmlns:r="http://schemas.openxmlformats.org/officeDocument/2006/relationships" ref="J593" r:id="rId597"/>
    <hyperlink xmlns:r="http://schemas.openxmlformats.org/officeDocument/2006/relationships" ref="J594" r:id="rId598"/>
    <hyperlink xmlns:r="http://schemas.openxmlformats.org/officeDocument/2006/relationships" ref="J595" r:id="rId599"/>
    <hyperlink xmlns:r="http://schemas.openxmlformats.org/officeDocument/2006/relationships" ref="J596" r:id="rId600"/>
    <hyperlink xmlns:r="http://schemas.openxmlformats.org/officeDocument/2006/relationships" ref="J597" r:id="rId601"/>
    <hyperlink xmlns:r="http://schemas.openxmlformats.org/officeDocument/2006/relationships" ref="J598" r:id="rId602"/>
    <hyperlink xmlns:r="http://schemas.openxmlformats.org/officeDocument/2006/relationships" ref="J599" r:id="rId603"/>
    <hyperlink xmlns:r="http://schemas.openxmlformats.org/officeDocument/2006/relationships" ref="J600" r:id="rId604"/>
    <hyperlink xmlns:r="http://schemas.openxmlformats.org/officeDocument/2006/relationships" ref="J601" r:id="rId605"/>
    <hyperlink xmlns:r="http://schemas.openxmlformats.org/officeDocument/2006/relationships" ref="J602" r:id="rId606"/>
    <hyperlink xmlns:r="http://schemas.openxmlformats.org/officeDocument/2006/relationships" ref="J603" r:id="rId607"/>
    <hyperlink xmlns:r="http://schemas.openxmlformats.org/officeDocument/2006/relationships" ref="J604" r:id="rId608"/>
    <hyperlink xmlns:r="http://schemas.openxmlformats.org/officeDocument/2006/relationships" ref="J605" r:id="rId609"/>
    <hyperlink xmlns:r="http://schemas.openxmlformats.org/officeDocument/2006/relationships" ref="J606" r:id="rId610"/>
    <hyperlink xmlns:r="http://schemas.openxmlformats.org/officeDocument/2006/relationships" ref="J607" r:id="rId611"/>
    <hyperlink xmlns:r="http://schemas.openxmlformats.org/officeDocument/2006/relationships" ref="J608" r:id="rId612"/>
    <hyperlink xmlns:r="http://schemas.openxmlformats.org/officeDocument/2006/relationships" ref="J609" r:id="rId613"/>
    <hyperlink xmlns:r="http://schemas.openxmlformats.org/officeDocument/2006/relationships" ref="J610" r:id="rId614"/>
    <hyperlink xmlns:r="http://schemas.openxmlformats.org/officeDocument/2006/relationships" ref="J611" r:id="rId615"/>
    <hyperlink xmlns:r="http://schemas.openxmlformats.org/officeDocument/2006/relationships" ref="J612" r:id="rId616"/>
    <hyperlink xmlns:r="http://schemas.openxmlformats.org/officeDocument/2006/relationships" ref="J613" r:id="rId617"/>
    <hyperlink xmlns:r="http://schemas.openxmlformats.org/officeDocument/2006/relationships" ref="J614" r:id="rId618"/>
    <hyperlink xmlns:r="http://schemas.openxmlformats.org/officeDocument/2006/relationships" ref="J615" r:id="rId619"/>
    <hyperlink xmlns:r="http://schemas.openxmlformats.org/officeDocument/2006/relationships" ref="J616" r:id="rId620"/>
    <hyperlink xmlns:r="http://schemas.openxmlformats.org/officeDocument/2006/relationships" ref="J617" r:id="rId621"/>
    <hyperlink xmlns:r="http://schemas.openxmlformats.org/officeDocument/2006/relationships" ref="J618" r:id="rId622"/>
    <hyperlink xmlns:r="http://schemas.openxmlformats.org/officeDocument/2006/relationships" ref="J619" r:id="rId623"/>
    <hyperlink xmlns:r="http://schemas.openxmlformats.org/officeDocument/2006/relationships" ref="J620" r:id="rId624"/>
    <hyperlink xmlns:r="http://schemas.openxmlformats.org/officeDocument/2006/relationships" ref="J621" r:id="rId625"/>
    <hyperlink xmlns:r="http://schemas.openxmlformats.org/officeDocument/2006/relationships" ref="J622" r:id="rId626"/>
    <hyperlink xmlns:r="http://schemas.openxmlformats.org/officeDocument/2006/relationships" ref="J623" r:id="rId627"/>
    <hyperlink xmlns:r="http://schemas.openxmlformats.org/officeDocument/2006/relationships" ref="J624" r:id="rId628"/>
    <hyperlink xmlns:r="http://schemas.openxmlformats.org/officeDocument/2006/relationships" ref="J625" r:id="rId629"/>
    <hyperlink xmlns:r="http://schemas.openxmlformats.org/officeDocument/2006/relationships" ref="J626" r:id="rId630"/>
    <hyperlink xmlns:r="http://schemas.openxmlformats.org/officeDocument/2006/relationships" ref="J627" r:id="rId631"/>
    <hyperlink xmlns:r="http://schemas.openxmlformats.org/officeDocument/2006/relationships" ref="J628" r:id="rId632"/>
    <hyperlink xmlns:r="http://schemas.openxmlformats.org/officeDocument/2006/relationships" ref="J629" r:id="rId633"/>
    <hyperlink xmlns:r="http://schemas.openxmlformats.org/officeDocument/2006/relationships" ref="J630" r:id="rId634"/>
    <hyperlink xmlns:r="http://schemas.openxmlformats.org/officeDocument/2006/relationships" ref="J631" r:id="rId635"/>
    <hyperlink xmlns:r="http://schemas.openxmlformats.org/officeDocument/2006/relationships" ref="J632" r:id="rId636"/>
    <hyperlink xmlns:r="http://schemas.openxmlformats.org/officeDocument/2006/relationships" ref="J633" r:id="rId637"/>
    <hyperlink xmlns:r="http://schemas.openxmlformats.org/officeDocument/2006/relationships" ref="J634" r:id="rId638"/>
    <hyperlink xmlns:r="http://schemas.openxmlformats.org/officeDocument/2006/relationships" ref="J635" r:id="rId639"/>
    <hyperlink xmlns:r="http://schemas.openxmlformats.org/officeDocument/2006/relationships" ref="J636" r:id="rId640"/>
    <hyperlink xmlns:r="http://schemas.openxmlformats.org/officeDocument/2006/relationships" ref="J637" r:id="rId641"/>
    <hyperlink xmlns:r="http://schemas.openxmlformats.org/officeDocument/2006/relationships" ref="J638" r:id="rId642"/>
    <hyperlink xmlns:r="http://schemas.openxmlformats.org/officeDocument/2006/relationships" ref="J639" r:id="rId643"/>
    <hyperlink xmlns:r="http://schemas.openxmlformats.org/officeDocument/2006/relationships" ref="J640" r:id="rId644"/>
    <hyperlink xmlns:r="http://schemas.openxmlformats.org/officeDocument/2006/relationships" ref="J641" r:id="rId645"/>
    <hyperlink xmlns:r="http://schemas.openxmlformats.org/officeDocument/2006/relationships" ref="J642" r:id="rId646"/>
    <hyperlink xmlns:r="http://schemas.openxmlformats.org/officeDocument/2006/relationships" ref="J643" r:id="rId647"/>
    <hyperlink xmlns:r="http://schemas.openxmlformats.org/officeDocument/2006/relationships" ref="J644" r:id="rId648"/>
    <hyperlink xmlns:r="http://schemas.openxmlformats.org/officeDocument/2006/relationships" ref="J645" r:id="rId649"/>
    <hyperlink xmlns:r="http://schemas.openxmlformats.org/officeDocument/2006/relationships" ref="J646" r:id="rId650"/>
    <hyperlink xmlns:r="http://schemas.openxmlformats.org/officeDocument/2006/relationships" ref="J647" r:id="rId651"/>
    <hyperlink xmlns:r="http://schemas.openxmlformats.org/officeDocument/2006/relationships" ref="J648" r:id="rId652"/>
    <hyperlink xmlns:r="http://schemas.openxmlformats.org/officeDocument/2006/relationships" ref="J649" r:id="rId653"/>
    <hyperlink xmlns:r="http://schemas.openxmlformats.org/officeDocument/2006/relationships" ref="J650" r:id="rId654"/>
    <hyperlink xmlns:r="http://schemas.openxmlformats.org/officeDocument/2006/relationships" ref="J651" r:id="rId655"/>
    <hyperlink xmlns:r="http://schemas.openxmlformats.org/officeDocument/2006/relationships" ref="J652" r:id="rId656"/>
    <hyperlink xmlns:r="http://schemas.openxmlformats.org/officeDocument/2006/relationships" ref="J653" r:id="rId657"/>
    <hyperlink xmlns:r="http://schemas.openxmlformats.org/officeDocument/2006/relationships" ref="J654" r:id="rId658"/>
    <hyperlink xmlns:r="http://schemas.openxmlformats.org/officeDocument/2006/relationships" ref="J655" r:id="rId659"/>
    <hyperlink xmlns:r="http://schemas.openxmlformats.org/officeDocument/2006/relationships" ref="J656" r:id="rId660"/>
    <hyperlink xmlns:r="http://schemas.openxmlformats.org/officeDocument/2006/relationships" ref="J657" r:id="rId661"/>
    <hyperlink xmlns:r="http://schemas.openxmlformats.org/officeDocument/2006/relationships" ref="J658" r:id="rId662"/>
    <hyperlink xmlns:r="http://schemas.openxmlformats.org/officeDocument/2006/relationships" ref="J659" r:id="rId663"/>
    <hyperlink xmlns:r="http://schemas.openxmlformats.org/officeDocument/2006/relationships" ref="J660" r:id="rId664"/>
    <hyperlink xmlns:r="http://schemas.openxmlformats.org/officeDocument/2006/relationships" ref="J661" r:id="rId665"/>
    <hyperlink xmlns:r="http://schemas.openxmlformats.org/officeDocument/2006/relationships" ref="J662" r:id="rId666"/>
    <hyperlink xmlns:r="http://schemas.openxmlformats.org/officeDocument/2006/relationships" ref="J663" r:id="rId667"/>
    <hyperlink xmlns:r="http://schemas.openxmlformats.org/officeDocument/2006/relationships" ref="J664" r:id="rId668"/>
    <hyperlink xmlns:r="http://schemas.openxmlformats.org/officeDocument/2006/relationships" ref="J665" r:id="rId669"/>
    <hyperlink xmlns:r="http://schemas.openxmlformats.org/officeDocument/2006/relationships" ref="J666" r:id="rId670"/>
    <hyperlink xmlns:r="http://schemas.openxmlformats.org/officeDocument/2006/relationships" ref="J667" r:id="rId671"/>
    <hyperlink xmlns:r="http://schemas.openxmlformats.org/officeDocument/2006/relationships" ref="J668" r:id="rId672"/>
    <hyperlink xmlns:r="http://schemas.openxmlformats.org/officeDocument/2006/relationships" ref="J669" r:id="rId673"/>
    <hyperlink xmlns:r="http://schemas.openxmlformats.org/officeDocument/2006/relationships" ref="J670" r:id="rId674"/>
    <hyperlink xmlns:r="http://schemas.openxmlformats.org/officeDocument/2006/relationships" ref="J671" r:id="rId675"/>
    <hyperlink xmlns:r="http://schemas.openxmlformats.org/officeDocument/2006/relationships" ref="J672" r:id="rId676"/>
    <hyperlink xmlns:r="http://schemas.openxmlformats.org/officeDocument/2006/relationships" ref="J673" r:id="rId677"/>
    <hyperlink xmlns:r="http://schemas.openxmlformats.org/officeDocument/2006/relationships" ref="J674" r:id="rId678"/>
    <hyperlink xmlns:r="http://schemas.openxmlformats.org/officeDocument/2006/relationships" ref="J675" r:id="rId679"/>
    <hyperlink xmlns:r="http://schemas.openxmlformats.org/officeDocument/2006/relationships" ref="J676" r:id="rId680"/>
    <hyperlink xmlns:r="http://schemas.openxmlformats.org/officeDocument/2006/relationships" ref="J677" r:id="rId681"/>
    <hyperlink xmlns:r="http://schemas.openxmlformats.org/officeDocument/2006/relationships" ref="J678" r:id="rId682"/>
    <hyperlink xmlns:r="http://schemas.openxmlformats.org/officeDocument/2006/relationships" ref="J679" r:id="rId683"/>
    <hyperlink xmlns:r="http://schemas.openxmlformats.org/officeDocument/2006/relationships" ref="J680" r:id="rId684"/>
    <hyperlink xmlns:r="http://schemas.openxmlformats.org/officeDocument/2006/relationships" ref="J681" r:id="rId685"/>
    <hyperlink xmlns:r="http://schemas.openxmlformats.org/officeDocument/2006/relationships" ref="J682" r:id="rId686"/>
    <hyperlink xmlns:r="http://schemas.openxmlformats.org/officeDocument/2006/relationships" ref="J683" r:id="rId687"/>
    <hyperlink xmlns:r="http://schemas.openxmlformats.org/officeDocument/2006/relationships" ref="J684" r:id="rId688"/>
    <hyperlink xmlns:r="http://schemas.openxmlformats.org/officeDocument/2006/relationships" ref="J685" r:id="rId689"/>
    <hyperlink xmlns:r="http://schemas.openxmlformats.org/officeDocument/2006/relationships" ref="J686" r:id="rId690"/>
    <hyperlink xmlns:r="http://schemas.openxmlformats.org/officeDocument/2006/relationships" ref="J687" r:id="rId691"/>
    <hyperlink xmlns:r="http://schemas.openxmlformats.org/officeDocument/2006/relationships" ref="J688" r:id="rId692"/>
    <hyperlink xmlns:r="http://schemas.openxmlformats.org/officeDocument/2006/relationships" ref="J689" r:id="rId693"/>
    <hyperlink xmlns:r="http://schemas.openxmlformats.org/officeDocument/2006/relationships" ref="J690" r:id="rId694"/>
    <hyperlink xmlns:r="http://schemas.openxmlformats.org/officeDocument/2006/relationships" ref="J691" r:id="rId695"/>
    <hyperlink xmlns:r="http://schemas.openxmlformats.org/officeDocument/2006/relationships" ref="J692" r:id="rId696"/>
    <hyperlink xmlns:r="http://schemas.openxmlformats.org/officeDocument/2006/relationships" ref="J693" r:id="rId697"/>
    <hyperlink xmlns:r="http://schemas.openxmlformats.org/officeDocument/2006/relationships" ref="J694" r:id="rId698"/>
    <hyperlink xmlns:r="http://schemas.openxmlformats.org/officeDocument/2006/relationships" ref="J695" r:id="rId699"/>
    <hyperlink xmlns:r="http://schemas.openxmlformats.org/officeDocument/2006/relationships" ref="J696" r:id="rId700"/>
    <hyperlink xmlns:r="http://schemas.openxmlformats.org/officeDocument/2006/relationships" ref="J697" r:id="rId701"/>
    <hyperlink xmlns:r="http://schemas.openxmlformats.org/officeDocument/2006/relationships" ref="J698" r:id="rId702"/>
    <hyperlink xmlns:r="http://schemas.openxmlformats.org/officeDocument/2006/relationships" ref="J699" r:id="rId703"/>
    <hyperlink xmlns:r="http://schemas.openxmlformats.org/officeDocument/2006/relationships" ref="J700" r:id="rId704"/>
    <hyperlink xmlns:r="http://schemas.openxmlformats.org/officeDocument/2006/relationships" ref="J701" r:id="rId705"/>
    <hyperlink xmlns:r="http://schemas.openxmlformats.org/officeDocument/2006/relationships" ref="J702" r:id="rId706"/>
    <hyperlink xmlns:r="http://schemas.openxmlformats.org/officeDocument/2006/relationships" ref="J703" r:id="rId707"/>
    <hyperlink xmlns:r="http://schemas.openxmlformats.org/officeDocument/2006/relationships" ref="J704" r:id="rId708"/>
    <hyperlink xmlns:r="http://schemas.openxmlformats.org/officeDocument/2006/relationships" ref="J705" r:id="rId709"/>
    <hyperlink xmlns:r="http://schemas.openxmlformats.org/officeDocument/2006/relationships" ref="J706" r:id="rId710"/>
    <hyperlink xmlns:r="http://schemas.openxmlformats.org/officeDocument/2006/relationships" ref="J707" r:id="rId711"/>
    <hyperlink xmlns:r="http://schemas.openxmlformats.org/officeDocument/2006/relationships" ref="J708" r:id="rId712"/>
    <hyperlink xmlns:r="http://schemas.openxmlformats.org/officeDocument/2006/relationships" ref="J709" r:id="rId713"/>
    <hyperlink xmlns:r="http://schemas.openxmlformats.org/officeDocument/2006/relationships" ref="J710" r:id="rId714"/>
    <hyperlink xmlns:r="http://schemas.openxmlformats.org/officeDocument/2006/relationships" ref="J711" r:id="rId715"/>
    <hyperlink xmlns:r="http://schemas.openxmlformats.org/officeDocument/2006/relationships" ref="J712" r:id="rId716"/>
    <hyperlink xmlns:r="http://schemas.openxmlformats.org/officeDocument/2006/relationships" ref="J713" r:id="rId717"/>
    <hyperlink xmlns:r="http://schemas.openxmlformats.org/officeDocument/2006/relationships" ref="J714" r:id="rId718"/>
    <hyperlink xmlns:r="http://schemas.openxmlformats.org/officeDocument/2006/relationships" ref="J715" r:id="rId719"/>
    <hyperlink xmlns:r="http://schemas.openxmlformats.org/officeDocument/2006/relationships" ref="J716" r:id="rId720"/>
    <hyperlink xmlns:r="http://schemas.openxmlformats.org/officeDocument/2006/relationships" ref="J717" r:id="rId721"/>
    <hyperlink xmlns:r="http://schemas.openxmlformats.org/officeDocument/2006/relationships" ref="J718" r:id="rId722"/>
    <hyperlink xmlns:r="http://schemas.openxmlformats.org/officeDocument/2006/relationships" ref="J719" r:id="rId723"/>
    <hyperlink xmlns:r="http://schemas.openxmlformats.org/officeDocument/2006/relationships" ref="J720" r:id="rId724"/>
    <hyperlink xmlns:r="http://schemas.openxmlformats.org/officeDocument/2006/relationships" ref="J721" r:id="rId725"/>
    <hyperlink xmlns:r="http://schemas.openxmlformats.org/officeDocument/2006/relationships" ref="J722" r:id="rId726"/>
    <hyperlink xmlns:r="http://schemas.openxmlformats.org/officeDocument/2006/relationships" ref="J723" r:id="rId727"/>
    <hyperlink xmlns:r="http://schemas.openxmlformats.org/officeDocument/2006/relationships" ref="J724" r:id="rId728"/>
    <hyperlink xmlns:r="http://schemas.openxmlformats.org/officeDocument/2006/relationships" ref="J725" r:id="rId729"/>
    <hyperlink xmlns:r="http://schemas.openxmlformats.org/officeDocument/2006/relationships" ref="J726" r:id="rId730"/>
    <hyperlink xmlns:r="http://schemas.openxmlformats.org/officeDocument/2006/relationships" ref="J727" r:id="rId731"/>
    <hyperlink xmlns:r="http://schemas.openxmlformats.org/officeDocument/2006/relationships" ref="J728" r:id="rId732"/>
    <hyperlink xmlns:r="http://schemas.openxmlformats.org/officeDocument/2006/relationships" ref="J729" r:id="rId733"/>
    <hyperlink xmlns:r="http://schemas.openxmlformats.org/officeDocument/2006/relationships" ref="J730" r:id="rId734"/>
    <hyperlink xmlns:r="http://schemas.openxmlformats.org/officeDocument/2006/relationships" ref="J731" r:id="rId735"/>
    <hyperlink xmlns:r="http://schemas.openxmlformats.org/officeDocument/2006/relationships" ref="J732" r:id="rId736"/>
    <hyperlink xmlns:r="http://schemas.openxmlformats.org/officeDocument/2006/relationships" ref="J733" r:id="rId737"/>
    <hyperlink xmlns:r="http://schemas.openxmlformats.org/officeDocument/2006/relationships" ref="J734" r:id="rId738"/>
    <hyperlink xmlns:r="http://schemas.openxmlformats.org/officeDocument/2006/relationships" ref="J735" r:id="rId739"/>
    <hyperlink xmlns:r="http://schemas.openxmlformats.org/officeDocument/2006/relationships" ref="J736" r:id="rId740"/>
    <hyperlink xmlns:r="http://schemas.openxmlformats.org/officeDocument/2006/relationships" ref="J737" r:id="rId741"/>
    <hyperlink xmlns:r="http://schemas.openxmlformats.org/officeDocument/2006/relationships" ref="J738" r:id="rId742"/>
    <hyperlink xmlns:r="http://schemas.openxmlformats.org/officeDocument/2006/relationships" ref="J739" r:id="rId743"/>
    <hyperlink xmlns:r="http://schemas.openxmlformats.org/officeDocument/2006/relationships" ref="J740" r:id="rId744"/>
    <hyperlink xmlns:r="http://schemas.openxmlformats.org/officeDocument/2006/relationships" ref="J741" r:id="rId745"/>
    <hyperlink xmlns:r="http://schemas.openxmlformats.org/officeDocument/2006/relationships" ref="J742" r:id="rId746"/>
    <hyperlink xmlns:r="http://schemas.openxmlformats.org/officeDocument/2006/relationships" ref="J743" r:id="rId747"/>
    <hyperlink xmlns:r="http://schemas.openxmlformats.org/officeDocument/2006/relationships" ref="J744" r:id="rId748"/>
    <hyperlink xmlns:r="http://schemas.openxmlformats.org/officeDocument/2006/relationships" ref="J745" r:id="rId749"/>
    <hyperlink xmlns:r="http://schemas.openxmlformats.org/officeDocument/2006/relationships" ref="J746" r:id="rId750"/>
    <hyperlink xmlns:r="http://schemas.openxmlformats.org/officeDocument/2006/relationships" ref="J747" r:id="rId751"/>
    <hyperlink xmlns:r="http://schemas.openxmlformats.org/officeDocument/2006/relationships" ref="J748" r:id="rId752"/>
    <hyperlink xmlns:r="http://schemas.openxmlformats.org/officeDocument/2006/relationships" ref="J749" r:id="rId753"/>
    <hyperlink xmlns:r="http://schemas.openxmlformats.org/officeDocument/2006/relationships" ref="J750" r:id="rId754"/>
    <hyperlink xmlns:r="http://schemas.openxmlformats.org/officeDocument/2006/relationships" ref="J751" r:id="rId755"/>
    <hyperlink xmlns:r="http://schemas.openxmlformats.org/officeDocument/2006/relationships" ref="J752" r:id="rId756"/>
    <hyperlink xmlns:r="http://schemas.openxmlformats.org/officeDocument/2006/relationships" ref="J753" r:id="rId757"/>
    <hyperlink xmlns:r="http://schemas.openxmlformats.org/officeDocument/2006/relationships" ref="J754" r:id="rId758"/>
    <hyperlink xmlns:r="http://schemas.openxmlformats.org/officeDocument/2006/relationships" ref="J755" r:id="rId759"/>
    <hyperlink xmlns:r="http://schemas.openxmlformats.org/officeDocument/2006/relationships" ref="J756" r:id="rId760"/>
    <hyperlink xmlns:r="http://schemas.openxmlformats.org/officeDocument/2006/relationships" ref="J757" r:id="rId761"/>
    <hyperlink xmlns:r="http://schemas.openxmlformats.org/officeDocument/2006/relationships" ref="J758" r:id="rId762"/>
    <hyperlink xmlns:r="http://schemas.openxmlformats.org/officeDocument/2006/relationships" ref="J759" r:id="rId763"/>
    <hyperlink xmlns:r="http://schemas.openxmlformats.org/officeDocument/2006/relationships" ref="J760" r:id="rId764"/>
    <hyperlink xmlns:r="http://schemas.openxmlformats.org/officeDocument/2006/relationships" ref="J761" r:id="rId765"/>
    <hyperlink xmlns:r="http://schemas.openxmlformats.org/officeDocument/2006/relationships" ref="J762" r:id="rId766"/>
    <hyperlink xmlns:r="http://schemas.openxmlformats.org/officeDocument/2006/relationships" ref="J763" r:id="rId767"/>
    <hyperlink xmlns:r="http://schemas.openxmlformats.org/officeDocument/2006/relationships" ref="J764" r:id="rId768"/>
    <hyperlink xmlns:r="http://schemas.openxmlformats.org/officeDocument/2006/relationships" ref="J765" r:id="rId769"/>
    <hyperlink xmlns:r="http://schemas.openxmlformats.org/officeDocument/2006/relationships" ref="J766" r:id="rId770"/>
    <hyperlink xmlns:r="http://schemas.openxmlformats.org/officeDocument/2006/relationships" ref="J767" r:id="rId771"/>
    <hyperlink xmlns:r="http://schemas.openxmlformats.org/officeDocument/2006/relationships" ref="J768" r:id="rId772"/>
    <hyperlink xmlns:r="http://schemas.openxmlformats.org/officeDocument/2006/relationships" ref="J769" r:id="rId773"/>
    <hyperlink xmlns:r="http://schemas.openxmlformats.org/officeDocument/2006/relationships" ref="J770" r:id="rId774"/>
    <hyperlink xmlns:r="http://schemas.openxmlformats.org/officeDocument/2006/relationships" ref="J771" r:id="rId775"/>
    <hyperlink xmlns:r="http://schemas.openxmlformats.org/officeDocument/2006/relationships" ref="J772" r:id="rId776"/>
    <hyperlink xmlns:r="http://schemas.openxmlformats.org/officeDocument/2006/relationships" ref="J773" r:id="rId777"/>
    <hyperlink xmlns:r="http://schemas.openxmlformats.org/officeDocument/2006/relationships" ref="J774" r:id="rId778"/>
    <hyperlink xmlns:r="http://schemas.openxmlformats.org/officeDocument/2006/relationships" ref="J775" r:id="rId779"/>
    <hyperlink xmlns:r="http://schemas.openxmlformats.org/officeDocument/2006/relationships" ref="J776" r:id="rId780"/>
    <hyperlink xmlns:r="http://schemas.openxmlformats.org/officeDocument/2006/relationships" ref="J777" r:id="rId781"/>
    <hyperlink xmlns:r="http://schemas.openxmlformats.org/officeDocument/2006/relationships" ref="J778" r:id="rId782"/>
    <hyperlink xmlns:r="http://schemas.openxmlformats.org/officeDocument/2006/relationships" ref="J779" r:id="rId783"/>
    <hyperlink xmlns:r="http://schemas.openxmlformats.org/officeDocument/2006/relationships" ref="J780" r:id="rId784"/>
    <hyperlink xmlns:r="http://schemas.openxmlformats.org/officeDocument/2006/relationships" ref="J781" r:id="rId785"/>
    <hyperlink xmlns:r="http://schemas.openxmlformats.org/officeDocument/2006/relationships" ref="J782" r:id="rId786"/>
    <hyperlink xmlns:r="http://schemas.openxmlformats.org/officeDocument/2006/relationships" ref="J783" r:id="rId787"/>
    <hyperlink xmlns:r="http://schemas.openxmlformats.org/officeDocument/2006/relationships" ref="J784" r:id="rId788"/>
    <hyperlink xmlns:r="http://schemas.openxmlformats.org/officeDocument/2006/relationships" ref="J785" r:id="rId789"/>
    <hyperlink xmlns:r="http://schemas.openxmlformats.org/officeDocument/2006/relationships" ref="J786" r:id="rId790"/>
    <hyperlink xmlns:r="http://schemas.openxmlformats.org/officeDocument/2006/relationships" ref="J787" r:id="rId791"/>
    <hyperlink xmlns:r="http://schemas.openxmlformats.org/officeDocument/2006/relationships" ref="J788" r:id="rId792"/>
    <hyperlink xmlns:r="http://schemas.openxmlformats.org/officeDocument/2006/relationships" ref="J789" r:id="rId793"/>
    <hyperlink xmlns:r="http://schemas.openxmlformats.org/officeDocument/2006/relationships" ref="J790" r:id="rId794"/>
    <hyperlink xmlns:r="http://schemas.openxmlformats.org/officeDocument/2006/relationships" ref="J791" r:id="rId795"/>
    <hyperlink xmlns:r="http://schemas.openxmlformats.org/officeDocument/2006/relationships" ref="J792" r:id="rId796"/>
    <hyperlink xmlns:r="http://schemas.openxmlformats.org/officeDocument/2006/relationships" ref="J793" r:id="rId797"/>
    <hyperlink xmlns:r="http://schemas.openxmlformats.org/officeDocument/2006/relationships" ref="J794" r:id="rId798"/>
    <hyperlink xmlns:r="http://schemas.openxmlformats.org/officeDocument/2006/relationships" ref="J795" r:id="rId799"/>
    <hyperlink xmlns:r="http://schemas.openxmlformats.org/officeDocument/2006/relationships" ref="J796" r:id="rId800"/>
    <hyperlink xmlns:r="http://schemas.openxmlformats.org/officeDocument/2006/relationships" ref="J797" r:id="rId801"/>
    <hyperlink xmlns:r="http://schemas.openxmlformats.org/officeDocument/2006/relationships" ref="J798" r:id="rId802"/>
    <hyperlink xmlns:r="http://schemas.openxmlformats.org/officeDocument/2006/relationships" ref="J799" r:id="rId803"/>
    <hyperlink xmlns:r="http://schemas.openxmlformats.org/officeDocument/2006/relationships" ref="J800" r:id="rId804"/>
    <hyperlink xmlns:r="http://schemas.openxmlformats.org/officeDocument/2006/relationships" ref="J801" r:id="rId805"/>
    <hyperlink xmlns:r="http://schemas.openxmlformats.org/officeDocument/2006/relationships" ref="J802" r:id="rId806"/>
    <hyperlink xmlns:r="http://schemas.openxmlformats.org/officeDocument/2006/relationships" ref="J803" r:id="rId807"/>
    <hyperlink xmlns:r="http://schemas.openxmlformats.org/officeDocument/2006/relationships" ref="J804" r:id="rId808"/>
    <hyperlink xmlns:r="http://schemas.openxmlformats.org/officeDocument/2006/relationships" ref="J805" r:id="rId809"/>
    <hyperlink xmlns:r="http://schemas.openxmlformats.org/officeDocument/2006/relationships" ref="J806" r:id="rId810"/>
    <hyperlink xmlns:r="http://schemas.openxmlformats.org/officeDocument/2006/relationships" ref="J807" r:id="rId811"/>
    <hyperlink xmlns:r="http://schemas.openxmlformats.org/officeDocument/2006/relationships" ref="J808" r:id="rId812"/>
    <hyperlink xmlns:r="http://schemas.openxmlformats.org/officeDocument/2006/relationships" ref="J809" r:id="rId813"/>
    <hyperlink xmlns:r="http://schemas.openxmlformats.org/officeDocument/2006/relationships" ref="J810" r:id="rId814"/>
    <hyperlink xmlns:r="http://schemas.openxmlformats.org/officeDocument/2006/relationships" ref="J811" r:id="rId815"/>
    <hyperlink xmlns:r="http://schemas.openxmlformats.org/officeDocument/2006/relationships" ref="J812" r:id="rId816"/>
    <hyperlink xmlns:r="http://schemas.openxmlformats.org/officeDocument/2006/relationships" ref="J813" r:id="rId817"/>
    <hyperlink xmlns:r="http://schemas.openxmlformats.org/officeDocument/2006/relationships" ref="J814" r:id="rId818"/>
    <hyperlink xmlns:r="http://schemas.openxmlformats.org/officeDocument/2006/relationships" ref="J815" r:id="rId819"/>
    <hyperlink xmlns:r="http://schemas.openxmlformats.org/officeDocument/2006/relationships" ref="J816" r:id="rId820"/>
    <hyperlink xmlns:r="http://schemas.openxmlformats.org/officeDocument/2006/relationships" ref="J817" r:id="rId821"/>
    <hyperlink xmlns:r="http://schemas.openxmlformats.org/officeDocument/2006/relationships" ref="J818" r:id="rId822"/>
    <hyperlink xmlns:r="http://schemas.openxmlformats.org/officeDocument/2006/relationships" ref="J819" r:id="rId823"/>
    <hyperlink xmlns:r="http://schemas.openxmlformats.org/officeDocument/2006/relationships" ref="J820" r:id="rId824"/>
    <hyperlink xmlns:r="http://schemas.openxmlformats.org/officeDocument/2006/relationships" ref="J821" r:id="rId825"/>
    <hyperlink xmlns:r="http://schemas.openxmlformats.org/officeDocument/2006/relationships" ref="J822" r:id="rId826"/>
    <hyperlink xmlns:r="http://schemas.openxmlformats.org/officeDocument/2006/relationships" ref="J823" r:id="rId827"/>
    <hyperlink xmlns:r="http://schemas.openxmlformats.org/officeDocument/2006/relationships" ref="J824" r:id="rId828"/>
    <hyperlink xmlns:r="http://schemas.openxmlformats.org/officeDocument/2006/relationships" ref="J825" r:id="rId829"/>
    <hyperlink xmlns:r="http://schemas.openxmlformats.org/officeDocument/2006/relationships" ref="J826" r:id="rId830"/>
    <hyperlink xmlns:r="http://schemas.openxmlformats.org/officeDocument/2006/relationships" ref="J827" r:id="rId831"/>
    <hyperlink xmlns:r="http://schemas.openxmlformats.org/officeDocument/2006/relationships" ref="J828" r:id="rId832"/>
    <hyperlink xmlns:r="http://schemas.openxmlformats.org/officeDocument/2006/relationships" ref="J829" r:id="rId833"/>
    <hyperlink xmlns:r="http://schemas.openxmlformats.org/officeDocument/2006/relationships" ref="J830" r:id="rId834"/>
    <hyperlink xmlns:r="http://schemas.openxmlformats.org/officeDocument/2006/relationships" ref="J831" r:id="rId835"/>
    <hyperlink xmlns:r="http://schemas.openxmlformats.org/officeDocument/2006/relationships" ref="J832" r:id="rId836"/>
    <hyperlink xmlns:r="http://schemas.openxmlformats.org/officeDocument/2006/relationships" ref="J833" r:id="rId837"/>
    <hyperlink xmlns:r="http://schemas.openxmlformats.org/officeDocument/2006/relationships" ref="J834" r:id="rId838"/>
    <hyperlink xmlns:r="http://schemas.openxmlformats.org/officeDocument/2006/relationships" ref="J835" r:id="rId839"/>
    <hyperlink xmlns:r="http://schemas.openxmlformats.org/officeDocument/2006/relationships" ref="J836" r:id="rId840"/>
    <hyperlink xmlns:r="http://schemas.openxmlformats.org/officeDocument/2006/relationships" ref="J837" r:id="rId841"/>
    <hyperlink xmlns:r="http://schemas.openxmlformats.org/officeDocument/2006/relationships" ref="J838" r:id="rId842"/>
    <hyperlink xmlns:r="http://schemas.openxmlformats.org/officeDocument/2006/relationships" ref="J839" r:id="rId843"/>
    <hyperlink xmlns:r="http://schemas.openxmlformats.org/officeDocument/2006/relationships" ref="J840" r:id="rId844"/>
    <hyperlink xmlns:r="http://schemas.openxmlformats.org/officeDocument/2006/relationships" ref="J841" r:id="rId845"/>
    <hyperlink xmlns:r="http://schemas.openxmlformats.org/officeDocument/2006/relationships" ref="J842" r:id="rId846"/>
    <hyperlink xmlns:r="http://schemas.openxmlformats.org/officeDocument/2006/relationships" ref="J843" r:id="rId847"/>
    <hyperlink xmlns:r="http://schemas.openxmlformats.org/officeDocument/2006/relationships" ref="J844" r:id="rId848"/>
    <hyperlink xmlns:r="http://schemas.openxmlformats.org/officeDocument/2006/relationships" ref="J845" r:id="rId849"/>
    <hyperlink xmlns:r="http://schemas.openxmlformats.org/officeDocument/2006/relationships" ref="J846" r:id="rId850"/>
    <hyperlink xmlns:r="http://schemas.openxmlformats.org/officeDocument/2006/relationships" ref="J847" r:id="rId851"/>
    <hyperlink xmlns:r="http://schemas.openxmlformats.org/officeDocument/2006/relationships" ref="J848" r:id="rId852"/>
    <hyperlink xmlns:r="http://schemas.openxmlformats.org/officeDocument/2006/relationships" ref="J849" r:id="rId853"/>
    <hyperlink xmlns:r="http://schemas.openxmlformats.org/officeDocument/2006/relationships" ref="J850" r:id="rId854"/>
    <hyperlink xmlns:r="http://schemas.openxmlformats.org/officeDocument/2006/relationships" ref="J851" r:id="rId855"/>
    <hyperlink xmlns:r="http://schemas.openxmlformats.org/officeDocument/2006/relationships" ref="J852" r:id="rId856"/>
    <hyperlink xmlns:r="http://schemas.openxmlformats.org/officeDocument/2006/relationships" ref="J853" r:id="rId857"/>
    <hyperlink xmlns:r="http://schemas.openxmlformats.org/officeDocument/2006/relationships" ref="J854" r:id="rId858"/>
    <hyperlink xmlns:r="http://schemas.openxmlformats.org/officeDocument/2006/relationships" ref="J855" r:id="rId859"/>
    <hyperlink xmlns:r="http://schemas.openxmlformats.org/officeDocument/2006/relationships" ref="J856" r:id="rId860"/>
    <hyperlink xmlns:r="http://schemas.openxmlformats.org/officeDocument/2006/relationships" ref="J857" r:id="rId861"/>
    <hyperlink xmlns:r="http://schemas.openxmlformats.org/officeDocument/2006/relationships" ref="J858" r:id="rId862"/>
    <hyperlink xmlns:r="http://schemas.openxmlformats.org/officeDocument/2006/relationships" ref="J859" r:id="rId863"/>
    <hyperlink xmlns:r="http://schemas.openxmlformats.org/officeDocument/2006/relationships" ref="J860" r:id="rId864"/>
    <hyperlink xmlns:r="http://schemas.openxmlformats.org/officeDocument/2006/relationships" ref="J861" r:id="rId865"/>
    <hyperlink xmlns:r="http://schemas.openxmlformats.org/officeDocument/2006/relationships" ref="J862" r:id="rId866"/>
    <hyperlink xmlns:r="http://schemas.openxmlformats.org/officeDocument/2006/relationships" ref="J863" r:id="rId867"/>
    <hyperlink xmlns:r="http://schemas.openxmlformats.org/officeDocument/2006/relationships" ref="J864" r:id="rId868"/>
    <hyperlink xmlns:r="http://schemas.openxmlformats.org/officeDocument/2006/relationships" ref="J865" r:id="rId869"/>
    <hyperlink xmlns:r="http://schemas.openxmlformats.org/officeDocument/2006/relationships" ref="J866" r:id="rId870"/>
    <hyperlink xmlns:r="http://schemas.openxmlformats.org/officeDocument/2006/relationships" ref="J867" r:id="rId871"/>
    <hyperlink xmlns:r="http://schemas.openxmlformats.org/officeDocument/2006/relationships" ref="J868" r:id="rId872"/>
    <hyperlink xmlns:r="http://schemas.openxmlformats.org/officeDocument/2006/relationships" ref="J869" r:id="rId873"/>
    <hyperlink xmlns:r="http://schemas.openxmlformats.org/officeDocument/2006/relationships" ref="J870" r:id="rId874"/>
    <hyperlink xmlns:r="http://schemas.openxmlformats.org/officeDocument/2006/relationships" ref="J871" r:id="rId875"/>
    <hyperlink xmlns:r="http://schemas.openxmlformats.org/officeDocument/2006/relationships" ref="J872" r:id="rId876"/>
    <hyperlink xmlns:r="http://schemas.openxmlformats.org/officeDocument/2006/relationships" ref="J873" r:id="rId877"/>
    <hyperlink xmlns:r="http://schemas.openxmlformats.org/officeDocument/2006/relationships" ref="J874" r:id="rId878"/>
    <hyperlink xmlns:r="http://schemas.openxmlformats.org/officeDocument/2006/relationships" ref="J875" r:id="rId879"/>
    <hyperlink xmlns:r="http://schemas.openxmlformats.org/officeDocument/2006/relationships" ref="J876" r:id="rId880"/>
    <hyperlink xmlns:r="http://schemas.openxmlformats.org/officeDocument/2006/relationships" ref="J877" r:id="rId881"/>
    <hyperlink xmlns:r="http://schemas.openxmlformats.org/officeDocument/2006/relationships" ref="J878" r:id="rId882"/>
    <hyperlink xmlns:r="http://schemas.openxmlformats.org/officeDocument/2006/relationships" ref="J879" r:id="rId883"/>
    <hyperlink xmlns:r="http://schemas.openxmlformats.org/officeDocument/2006/relationships" ref="J880" r:id="rId884"/>
    <hyperlink xmlns:r="http://schemas.openxmlformats.org/officeDocument/2006/relationships" ref="J881" r:id="rId885"/>
    <hyperlink xmlns:r="http://schemas.openxmlformats.org/officeDocument/2006/relationships" ref="J882" r:id="rId886"/>
    <hyperlink xmlns:r="http://schemas.openxmlformats.org/officeDocument/2006/relationships" ref="J883" r:id="rId887"/>
    <hyperlink xmlns:r="http://schemas.openxmlformats.org/officeDocument/2006/relationships" ref="J884" r:id="rId888"/>
    <hyperlink xmlns:r="http://schemas.openxmlformats.org/officeDocument/2006/relationships" ref="J885" r:id="rId889"/>
    <hyperlink xmlns:r="http://schemas.openxmlformats.org/officeDocument/2006/relationships" ref="J886" r:id="rId890"/>
    <hyperlink xmlns:r="http://schemas.openxmlformats.org/officeDocument/2006/relationships" ref="J887" r:id="rId891"/>
    <hyperlink xmlns:r="http://schemas.openxmlformats.org/officeDocument/2006/relationships" ref="J888" r:id="rId892"/>
    <hyperlink xmlns:r="http://schemas.openxmlformats.org/officeDocument/2006/relationships" ref="J889" r:id="rId893"/>
    <hyperlink xmlns:r="http://schemas.openxmlformats.org/officeDocument/2006/relationships" ref="J890" r:id="rId894"/>
    <hyperlink xmlns:r="http://schemas.openxmlformats.org/officeDocument/2006/relationships" ref="J891" r:id="rId895"/>
    <hyperlink xmlns:r="http://schemas.openxmlformats.org/officeDocument/2006/relationships" ref="J892" r:id="rId896"/>
    <hyperlink xmlns:r="http://schemas.openxmlformats.org/officeDocument/2006/relationships" ref="J893" r:id="rId897"/>
    <hyperlink xmlns:r="http://schemas.openxmlformats.org/officeDocument/2006/relationships" ref="J894" r:id="rId898"/>
    <hyperlink xmlns:r="http://schemas.openxmlformats.org/officeDocument/2006/relationships" ref="J895" r:id="rId899"/>
    <hyperlink xmlns:r="http://schemas.openxmlformats.org/officeDocument/2006/relationships" ref="J896" r:id="rId900"/>
    <hyperlink xmlns:r="http://schemas.openxmlformats.org/officeDocument/2006/relationships" ref="J897" r:id="rId901"/>
    <hyperlink xmlns:r="http://schemas.openxmlformats.org/officeDocument/2006/relationships" ref="J898" r:id="rId902"/>
    <hyperlink xmlns:r="http://schemas.openxmlformats.org/officeDocument/2006/relationships" ref="J899" r:id="rId903"/>
    <hyperlink xmlns:r="http://schemas.openxmlformats.org/officeDocument/2006/relationships" ref="J900" r:id="rId904"/>
    <hyperlink xmlns:r="http://schemas.openxmlformats.org/officeDocument/2006/relationships" ref="J901" r:id="rId905"/>
    <hyperlink xmlns:r="http://schemas.openxmlformats.org/officeDocument/2006/relationships" ref="J902" r:id="rId906"/>
    <hyperlink xmlns:r="http://schemas.openxmlformats.org/officeDocument/2006/relationships" ref="J903" r:id="rId907"/>
    <hyperlink xmlns:r="http://schemas.openxmlformats.org/officeDocument/2006/relationships" ref="J904" r:id="rId908"/>
    <hyperlink xmlns:r="http://schemas.openxmlformats.org/officeDocument/2006/relationships" ref="J905" r:id="rId909"/>
    <hyperlink xmlns:r="http://schemas.openxmlformats.org/officeDocument/2006/relationships" ref="J906" r:id="rId910"/>
    <hyperlink xmlns:r="http://schemas.openxmlformats.org/officeDocument/2006/relationships" ref="J907" r:id="rId911"/>
    <hyperlink xmlns:r="http://schemas.openxmlformats.org/officeDocument/2006/relationships" ref="J908" r:id="rId912"/>
    <hyperlink xmlns:r="http://schemas.openxmlformats.org/officeDocument/2006/relationships" ref="J909" r:id="rId913"/>
    <hyperlink xmlns:r="http://schemas.openxmlformats.org/officeDocument/2006/relationships" ref="J910" r:id="rId914"/>
    <hyperlink xmlns:r="http://schemas.openxmlformats.org/officeDocument/2006/relationships" ref="J911" r:id="rId915"/>
    <hyperlink xmlns:r="http://schemas.openxmlformats.org/officeDocument/2006/relationships" ref="J912" r:id="rId916"/>
    <hyperlink xmlns:r="http://schemas.openxmlformats.org/officeDocument/2006/relationships" ref="J913" r:id="rId917"/>
    <hyperlink xmlns:r="http://schemas.openxmlformats.org/officeDocument/2006/relationships" ref="J914" r:id="rId918"/>
    <hyperlink xmlns:r="http://schemas.openxmlformats.org/officeDocument/2006/relationships" ref="J915" r:id="rId919"/>
    <hyperlink xmlns:r="http://schemas.openxmlformats.org/officeDocument/2006/relationships" ref="J916" r:id="rId920"/>
    <hyperlink xmlns:r="http://schemas.openxmlformats.org/officeDocument/2006/relationships" ref="J917" r:id="rId921"/>
    <hyperlink xmlns:r="http://schemas.openxmlformats.org/officeDocument/2006/relationships" ref="J918" r:id="rId922"/>
    <hyperlink xmlns:r="http://schemas.openxmlformats.org/officeDocument/2006/relationships" ref="J919" r:id="rId923"/>
    <hyperlink xmlns:r="http://schemas.openxmlformats.org/officeDocument/2006/relationships" ref="J920" r:id="rId924"/>
    <hyperlink xmlns:r="http://schemas.openxmlformats.org/officeDocument/2006/relationships" ref="J921" r:id="rId925"/>
    <hyperlink xmlns:r="http://schemas.openxmlformats.org/officeDocument/2006/relationships" ref="J922" r:id="rId926"/>
    <hyperlink xmlns:r="http://schemas.openxmlformats.org/officeDocument/2006/relationships" ref="J923" r:id="rId927"/>
    <hyperlink xmlns:r="http://schemas.openxmlformats.org/officeDocument/2006/relationships" ref="J924" r:id="rId928"/>
    <hyperlink xmlns:r="http://schemas.openxmlformats.org/officeDocument/2006/relationships" ref="J925" r:id="rId929"/>
    <hyperlink xmlns:r="http://schemas.openxmlformats.org/officeDocument/2006/relationships" ref="J926" r:id="rId930"/>
    <hyperlink xmlns:r="http://schemas.openxmlformats.org/officeDocument/2006/relationships" ref="J927" r:id="rId931"/>
    <hyperlink xmlns:r="http://schemas.openxmlformats.org/officeDocument/2006/relationships" ref="J928" r:id="rId932"/>
    <hyperlink xmlns:r="http://schemas.openxmlformats.org/officeDocument/2006/relationships" ref="J929" r:id="rId933"/>
    <hyperlink xmlns:r="http://schemas.openxmlformats.org/officeDocument/2006/relationships" ref="J930" r:id="rId934"/>
    <hyperlink xmlns:r="http://schemas.openxmlformats.org/officeDocument/2006/relationships" ref="J931" r:id="rId935"/>
    <hyperlink xmlns:r="http://schemas.openxmlformats.org/officeDocument/2006/relationships" ref="J932" r:id="rId936"/>
    <hyperlink xmlns:r="http://schemas.openxmlformats.org/officeDocument/2006/relationships" ref="J933" r:id="rId937"/>
    <hyperlink xmlns:r="http://schemas.openxmlformats.org/officeDocument/2006/relationships" ref="J934" r:id="rId938"/>
    <hyperlink xmlns:r="http://schemas.openxmlformats.org/officeDocument/2006/relationships" ref="J935" r:id="rId939"/>
    <hyperlink xmlns:r="http://schemas.openxmlformats.org/officeDocument/2006/relationships" ref="J936" r:id="rId940"/>
    <hyperlink xmlns:r="http://schemas.openxmlformats.org/officeDocument/2006/relationships" ref="J937" r:id="rId941"/>
    <hyperlink xmlns:r="http://schemas.openxmlformats.org/officeDocument/2006/relationships" ref="J938" r:id="rId942"/>
    <hyperlink xmlns:r="http://schemas.openxmlformats.org/officeDocument/2006/relationships" ref="J939" r:id="rId943"/>
    <hyperlink xmlns:r="http://schemas.openxmlformats.org/officeDocument/2006/relationships" ref="J940" r:id="rId944"/>
    <hyperlink xmlns:r="http://schemas.openxmlformats.org/officeDocument/2006/relationships" ref="J941" r:id="rId945"/>
    <hyperlink xmlns:r="http://schemas.openxmlformats.org/officeDocument/2006/relationships" ref="J942" r:id="rId946"/>
    <hyperlink xmlns:r="http://schemas.openxmlformats.org/officeDocument/2006/relationships" ref="J943" r:id="rId947"/>
    <hyperlink xmlns:r="http://schemas.openxmlformats.org/officeDocument/2006/relationships" ref="J944" r:id="rId948"/>
    <hyperlink xmlns:r="http://schemas.openxmlformats.org/officeDocument/2006/relationships" ref="J945" r:id="rId949"/>
    <hyperlink xmlns:r="http://schemas.openxmlformats.org/officeDocument/2006/relationships" ref="J946" r:id="rId950"/>
    <hyperlink xmlns:r="http://schemas.openxmlformats.org/officeDocument/2006/relationships" ref="J947" r:id="rId951"/>
    <hyperlink xmlns:r="http://schemas.openxmlformats.org/officeDocument/2006/relationships" ref="J948" r:id="rId952"/>
    <hyperlink xmlns:r="http://schemas.openxmlformats.org/officeDocument/2006/relationships" ref="J949" r:id="rId953"/>
    <hyperlink xmlns:r="http://schemas.openxmlformats.org/officeDocument/2006/relationships" ref="J950" r:id="rId954"/>
    <hyperlink xmlns:r="http://schemas.openxmlformats.org/officeDocument/2006/relationships" ref="J951" r:id="rId955"/>
    <hyperlink xmlns:r="http://schemas.openxmlformats.org/officeDocument/2006/relationships" ref="J952" r:id="rId956"/>
    <hyperlink xmlns:r="http://schemas.openxmlformats.org/officeDocument/2006/relationships" ref="J953" r:id="rId957"/>
    <hyperlink xmlns:r="http://schemas.openxmlformats.org/officeDocument/2006/relationships" ref="J954" r:id="rId958"/>
    <hyperlink xmlns:r="http://schemas.openxmlformats.org/officeDocument/2006/relationships" ref="J955" r:id="rId959"/>
    <hyperlink xmlns:r="http://schemas.openxmlformats.org/officeDocument/2006/relationships" ref="J956" r:id="rId960"/>
    <hyperlink xmlns:r="http://schemas.openxmlformats.org/officeDocument/2006/relationships" ref="J957" r:id="rId961"/>
    <hyperlink xmlns:r="http://schemas.openxmlformats.org/officeDocument/2006/relationships" ref="J958" r:id="rId962"/>
    <hyperlink xmlns:r="http://schemas.openxmlformats.org/officeDocument/2006/relationships" ref="J959" r:id="rId963"/>
    <hyperlink xmlns:r="http://schemas.openxmlformats.org/officeDocument/2006/relationships" ref="J960" r:id="rId964"/>
    <hyperlink xmlns:r="http://schemas.openxmlformats.org/officeDocument/2006/relationships" ref="J961" r:id="rId965"/>
    <hyperlink xmlns:r="http://schemas.openxmlformats.org/officeDocument/2006/relationships" ref="J962" r:id="rId966"/>
    <hyperlink xmlns:r="http://schemas.openxmlformats.org/officeDocument/2006/relationships" ref="J963" r:id="rId967"/>
    <hyperlink xmlns:r="http://schemas.openxmlformats.org/officeDocument/2006/relationships" ref="J964" r:id="rId968"/>
    <hyperlink xmlns:r="http://schemas.openxmlformats.org/officeDocument/2006/relationships" ref="J965" r:id="rId969"/>
    <hyperlink xmlns:r="http://schemas.openxmlformats.org/officeDocument/2006/relationships" ref="J966" r:id="rId970"/>
    <hyperlink xmlns:r="http://schemas.openxmlformats.org/officeDocument/2006/relationships" ref="J967" r:id="rId971"/>
    <hyperlink xmlns:r="http://schemas.openxmlformats.org/officeDocument/2006/relationships" ref="J968" r:id="rId972"/>
    <hyperlink xmlns:r="http://schemas.openxmlformats.org/officeDocument/2006/relationships" ref="J969" r:id="rId973"/>
    <hyperlink xmlns:r="http://schemas.openxmlformats.org/officeDocument/2006/relationships" ref="J970" r:id="rId974"/>
    <hyperlink xmlns:r="http://schemas.openxmlformats.org/officeDocument/2006/relationships" ref="J971" r:id="rId975"/>
    <hyperlink xmlns:r="http://schemas.openxmlformats.org/officeDocument/2006/relationships" ref="J972" r:id="rId976"/>
    <hyperlink xmlns:r="http://schemas.openxmlformats.org/officeDocument/2006/relationships" ref="J973" r:id="rId977"/>
    <hyperlink xmlns:r="http://schemas.openxmlformats.org/officeDocument/2006/relationships" ref="J974" r:id="rId978"/>
    <hyperlink xmlns:r="http://schemas.openxmlformats.org/officeDocument/2006/relationships" ref="J975" r:id="rId979"/>
    <hyperlink xmlns:r="http://schemas.openxmlformats.org/officeDocument/2006/relationships" ref="J976" r:id="rId980"/>
    <hyperlink xmlns:r="http://schemas.openxmlformats.org/officeDocument/2006/relationships" ref="J977" r:id="rId981"/>
    <hyperlink xmlns:r="http://schemas.openxmlformats.org/officeDocument/2006/relationships" ref="J978" r:id="rId982"/>
    <hyperlink xmlns:r="http://schemas.openxmlformats.org/officeDocument/2006/relationships" ref="J979" r:id="rId983"/>
    <hyperlink xmlns:r="http://schemas.openxmlformats.org/officeDocument/2006/relationships" ref="J980" r:id="rId984"/>
    <hyperlink xmlns:r="http://schemas.openxmlformats.org/officeDocument/2006/relationships" ref="J981" r:id="rId985"/>
    <hyperlink xmlns:r="http://schemas.openxmlformats.org/officeDocument/2006/relationships" ref="J982" r:id="rId986"/>
    <hyperlink xmlns:r="http://schemas.openxmlformats.org/officeDocument/2006/relationships" ref="J983" r:id="rId987"/>
    <hyperlink xmlns:r="http://schemas.openxmlformats.org/officeDocument/2006/relationships" ref="J984" r:id="rId988"/>
    <hyperlink xmlns:r="http://schemas.openxmlformats.org/officeDocument/2006/relationships" ref="J985" r:id="rId989"/>
    <hyperlink xmlns:r="http://schemas.openxmlformats.org/officeDocument/2006/relationships" ref="J986" r:id="rId990"/>
    <hyperlink xmlns:r="http://schemas.openxmlformats.org/officeDocument/2006/relationships" ref="J987" r:id="rId991"/>
    <hyperlink xmlns:r="http://schemas.openxmlformats.org/officeDocument/2006/relationships" ref="J988" r:id="rId992"/>
    <hyperlink xmlns:r="http://schemas.openxmlformats.org/officeDocument/2006/relationships" ref="J989" r:id="rId993"/>
    <hyperlink xmlns:r="http://schemas.openxmlformats.org/officeDocument/2006/relationships" ref="J990" r:id="rId994"/>
    <hyperlink xmlns:r="http://schemas.openxmlformats.org/officeDocument/2006/relationships" ref="J991" r:id="rId995"/>
    <hyperlink xmlns:r="http://schemas.openxmlformats.org/officeDocument/2006/relationships" ref="J992" r:id="rId996"/>
    <hyperlink xmlns:r="http://schemas.openxmlformats.org/officeDocument/2006/relationships" ref="J993" r:id="rId997"/>
    <hyperlink xmlns:r="http://schemas.openxmlformats.org/officeDocument/2006/relationships" ref="J994" r:id="rId998"/>
    <hyperlink xmlns:r="http://schemas.openxmlformats.org/officeDocument/2006/relationships" ref="J995" r:id="rId999"/>
    <hyperlink xmlns:r="http://schemas.openxmlformats.org/officeDocument/2006/relationships" ref="J996" r:id="rId1000"/>
    <hyperlink xmlns:r="http://schemas.openxmlformats.org/officeDocument/2006/relationships" ref="J997" r:id="rId1001"/>
    <hyperlink xmlns:r="http://schemas.openxmlformats.org/officeDocument/2006/relationships" ref="J998" r:id="rId1002"/>
    <hyperlink xmlns:r="http://schemas.openxmlformats.org/officeDocument/2006/relationships" ref="J999" r:id="rId1003"/>
    <hyperlink xmlns:r="http://schemas.openxmlformats.org/officeDocument/2006/relationships" ref="J1000" r:id="rId1004"/>
    <hyperlink xmlns:r="http://schemas.openxmlformats.org/officeDocument/2006/relationships" ref="J1001" r:id="rId1005"/>
    <hyperlink xmlns:r="http://schemas.openxmlformats.org/officeDocument/2006/relationships" ref="J1002" r:id="rId1006"/>
    <hyperlink xmlns:r="http://schemas.openxmlformats.org/officeDocument/2006/relationships" ref="J1003" r:id="rId1007"/>
    <hyperlink xmlns:r="http://schemas.openxmlformats.org/officeDocument/2006/relationships" ref="J1004" r:id="rId1008"/>
    <hyperlink xmlns:r="http://schemas.openxmlformats.org/officeDocument/2006/relationships" ref="J1005" r:id="rId1009"/>
    <hyperlink xmlns:r="http://schemas.openxmlformats.org/officeDocument/2006/relationships" ref="J1006" r:id="rId1010"/>
    <hyperlink xmlns:r="http://schemas.openxmlformats.org/officeDocument/2006/relationships" ref="J1007" r:id="rId1011"/>
    <hyperlink xmlns:r="http://schemas.openxmlformats.org/officeDocument/2006/relationships" ref="J1008" r:id="rId1012"/>
    <hyperlink xmlns:r="http://schemas.openxmlformats.org/officeDocument/2006/relationships" ref="J1009" r:id="rId1013"/>
    <hyperlink xmlns:r="http://schemas.openxmlformats.org/officeDocument/2006/relationships" ref="J1010" r:id="rId1014"/>
    <hyperlink xmlns:r="http://schemas.openxmlformats.org/officeDocument/2006/relationships" ref="J1011" r:id="rId1015"/>
    <hyperlink xmlns:r="http://schemas.openxmlformats.org/officeDocument/2006/relationships" ref="J1012" r:id="rId1016"/>
    <hyperlink xmlns:r="http://schemas.openxmlformats.org/officeDocument/2006/relationships" ref="J1013" r:id="rId1017"/>
    <hyperlink xmlns:r="http://schemas.openxmlformats.org/officeDocument/2006/relationships" ref="J1014" r:id="rId1018"/>
    <hyperlink xmlns:r="http://schemas.openxmlformats.org/officeDocument/2006/relationships" ref="J1015" r:id="rId1019"/>
    <hyperlink xmlns:r="http://schemas.openxmlformats.org/officeDocument/2006/relationships" ref="J1016" r:id="rId1020"/>
    <hyperlink xmlns:r="http://schemas.openxmlformats.org/officeDocument/2006/relationships" ref="J1017" r:id="rId1021"/>
    <hyperlink xmlns:r="http://schemas.openxmlformats.org/officeDocument/2006/relationships" ref="J1018" r:id="rId1022"/>
    <hyperlink xmlns:r="http://schemas.openxmlformats.org/officeDocument/2006/relationships" ref="J1019" r:id="rId1023"/>
    <hyperlink xmlns:r="http://schemas.openxmlformats.org/officeDocument/2006/relationships" ref="J1020" r:id="rId1024"/>
    <hyperlink xmlns:r="http://schemas.openxmlformats.org/officeDocument/2006/relationships" ref="J1021" r:id="rId1025"/>
    <hyperlink xmlns:r="http://schemas.openxmlformats.org/officeDocument/2006/relationships" ref="J1022" r:id="rId1026"/>
    <hyperlink xmlns:r="http://schemas.openxmlformats.org/officeDocument/2006/relationships" ref="J1023" r:id="rId1027"/>
    <hyperlink xmlns:r="http://schemas.openxmlformats.org/officeDocument/2006/relationships" ref="J1024" r:id="rId1028"/>
    <hyperlink xmlns:r="http://schemas.openxmlformats.org/officeDocument/2006/relationships" ref="J1025" r:id="rId1029"/>
    <hyperlink xmlns:r="http://schemas.openxmlformats.org/officeDocument/2006/relationships" ref="J1026" r:id="rId1030"/>
    <hyperlink xmlns:r="http://schemas.openxmlformats.org/officeDocument/2006/relationships" ref="J1027" r:id="rId1031"/>
    <hyperlink xmlns:r="http://schemas.openxmlformats.org/officeDocument/2006/relationships" ref="J1028" r:id="rId1032"/>
    <hyperlink xmlns:r="http://schemas.openxmlformats.org/officeDocument/2006/relationships" ref="J1029" r:id="rId1033"/>
    <hyperlink xmlns:r="http://schemas.openxmlformats.org/officeDocument/2006/relationships" ref="J1030" r:id="rId1034"/>
    <hyperlink xmlns:r="http://schemas.openxmlformats.org/officeDocument/2006/relationships" ref="J1031" r:id="rId1035"/>
    <hyperlink xmlns:r="http://schemas.openxmlformats.org/officeDocument/2006/relationships" ref="J1032" r:id="rId1036"/>
    <hyperlink xmlns:r="http://schemas.openxmlformats.org/officeDocument/2006/relationships" ref="J1033" r:id="rId1037"/>
    <hyperlink xmlns:r="http://schemas.openxmlformats.org/officeDocument/2006/relationships" ref="J1034" r:id="rId1038"/>
    <hyperlink xmlns:r="http://schemas.openxmlformats.org/officeDocument/2006/relationships" ref="J1035" r:id="rId1039"/>
    <hyperlink xmlns:r="http://schemas.openxmlformats.org/officeDocument/2006/relationships" ref="J1036" r:id="rId1040"/>
    <hyperlink xmlns:r="http://schemas.openxmlformats.org/officeDocument/2006/relationships" ref="J1037" r:id="rId1041"/>
    <hyperlink xmlns:r="http://schemas.openxmlformats.org/officeDocument/2006/relationships" ref="J1038" r:id="rId1042"/>
    <hyperlink xmlns:r="http://schemas.openxmlformats.org/officeDocument/2006/relationships" ref="J1039" r:id="rId1043"/>
    <hyperlink xmlns:r="http://schemas.openxmlformats.org/officeDocument/2006/relationships" ref="J1040" r:id="rId1044"/>
    <hyperlink xmlns:r="http://schemas.openxmlformats.org/officeDocument/2006/relationships" ref="J1041" r:id="rId1045"/>
    <hyperlink xmlns:r="http://schemas.openxmlformats.org/officeDocument/2006/relationships" ref="J1042" r:id="rId1046"/>
    <hyperlink xmlns:r="http://schemas.openxmlformats.org/officeDocument/2006/relationships" ref="J1043" r:id="rId1047"/>
    <hyperlink xmlns:r="http://schemas.openxmlformats.org/officeDocument/2006/relationships" ref="J1044" r:id="rId1048"/>
    <hyperlink xmlns:r="http://schemas.openxmlformats.org/officeDocument/2006/relationships" ref="J1045" r:id="rId1049"/>
    <hyperlink xmlns:r="http://schemas.openxmlformats.org/officeDocument/2006/relationships" ref="J1046" r:id="rId1050"/>
    <hyperlink xmlns:r="http://schemas.openxmlformats.org/officeDocument/2006/relationships" ref="J1047" r:id="rId1051"/>
    <hyperlink xmlns:r="http://schemas.openxmlformats.org/officeDocument/2006/relationships" ref="J1048" r:id="rId1052"/>
    <hyperlink xmlns:r="http://schemas.openxmlformats.org/officeDocument/2006/relationships" ref="J1049" r:id="rId1053"/>
    <hyperlink xmlns:r="http://schemas.openxmlformats.org/officeDocument/2006/relationships" ref="J1050" r:id="rId1054"/>
    <hyperlink xmlns:r="http://schemas.openxmlformats.org/officeDocument/2006/relationships" ref="J1051" r:id="rId1055"/>
    <hyperlink xmlns:r="http://schemas.openxmlformats.org/officeDocument/2006/relationships" ref="J1052" r:id="rId1056"/>
    <hyperlink xmlns:r="http://schemas.openxmlformats.org/officeDocument/2006/relationships" ref="J1053" r:id="rId1057"/>
    <hyperlink xmlns:r="http://schemas.openxmlformats.org/officeDocument/2006/relationships" ref="J1054" r:id="rId1058"/>
    <hyperlink xmlns:r="http://schemas.openxmlformats.org/officeDocument/2006/relationships" ref="J1055" r:id="rId1059"/>
    <hyperlink xmlns:r="http://schemas.openxmlformats.org/officeDocument/2006/relationships" ref="J1056" r:id="rId1060"/>
    <hyperlink xmlns:r="http://schemas.openxmlformats.org/officeDocument/2006/relationships" ref="J1057" r:id="rId1061"/>
    <hyperlink xmlns:r="http://schemas.openxmlformats.org/officeDocument/2006/relationships" ref="J1058" r:id="rId1062"/>
    <hyperlink xmlns:r="http://schemas.openxmlformats.org/officeDocument/2006/relationships" ref="J1059" r:id="rId1063"/>
    <hyperlink xmlns:r="http://schemas.openxmlformats.org/officeDocument/2006/relationships" ref="J1060" r:id="rId1064"/>
    <hyperlink xmlns:r="http://schemas.openxmlformats.org/officeDocument/2006/relationships" ref="J1061" r:id="rId1065"/>
    <hyperlink xmlns:r="http://schemas.openxmlformats.org/officeDocument/2006/relationships" ref="J1062" r:id="rId1066"/>
    <hyperlink xmlns:r="http://schemas.openxmlformats.org/officeDocument/2006/relationships" ref="J1063" r:id="rId1067"/>
    <hyperlink xmlns:r="http://schemas.openxmlformats.org/officeDocument/2006/relationships" ref="J1064" r:id="rId1068"/>
    <hyperlink xmlns:r="http://schemas.openxmlformats.org/officeDocument/2006/relationships" ref="J1065" r:id="rId1069"/>
    <hyperlink xmlns:r="http://schemas.openxmlformats.org/officeDocument/2006/relationships" ref="J1066" r:id="rId1070"/>
    <hyperlink xmlns:r="http://schemas.openxmlformats.org/officeDocument/2006/relationships" ref="J1067" r:id="rId1071"/>
    <hyperlink xmlns:r="http://schemas.openxmlformats.org/officeDocument/2006/relationships" ref="J1068" r:id="rId1072"/>
    <hyperlink xmlns:r="http://schemas.openxmlformats.org/officeDocument/2006/relationships" ref="J1069" r:id="rId1073"/>
    <hyperlink xmlns:r="http://schemas.openxmlformats.org/officeDocument/2006/relationships" ref="J1070" r:id="rId1074"/>
    <hyperlink xmlns:r="http://schemas.openxmlformats.org/officeDocument/2006/relationships" ref="J1071" r:id="rId1075"/>
    <hyperlink xmlns:r="http://schemas.openxmlformats.org/officeDocument/2006/relationships" ref="J1072" r:id="rId1076"/>
    <hyperlink xmlns:r="http://schemas.openxmlformats.org/officeDocument/2006/relationships" ref="J1073" r:id="rId1077"/>
    <hyperlink xmlns:r="http://schemas.openxmlformats.org/officeDocument/2006/relationships" ref="J1074" r:id="rId1078"/>
    <hyperlink xmlns:r="http://schemas.openxmlformats.org/officeDocument/2006/relationships" ref="J1075" r:id="rId1079"/>
    <hyperlink xmlns:r="http://schemas.openxmlformats.org/officeDocument/2006/relationships" ref="J1076" r:id="rId1080"/>
    <hyperlink xmlns:r="http://schemas.openxmlformats.org/officeDocument/2006/relationships" ref="J1077" r:id="rId1081"/>
    <hyperlink xmlns:r="http://schemas.openxmlformats.org/officeDocument/2006/relationships" ref="J1078" r:id="rId1082"/>
    <hyperlink xmlns:r="http://schemas.openxmlformats.org/officeDocument/2006/relationships" ref="J1079" r:id="rId1083"/>
    <hyperlink xmlns:r="http://schemas.openxmlformats.org/officeDocument/2006/relationships" ref="J1080" r:id="rId1084"/>
    <hyperlink xmlns:r="http://schemas.openxmlformats.org/officeDocument/2006/relationships" ref="J1081" r:id="rId1085"/>
    <hyperlink xmlns:r="http://schemas.openxmlformats.org/officeDocument/2006/relationships" ref="J1082" r:id="rId1086"/>
    <hyperlink xmlns:r="http://schemas.openxmlformats.org/officeDocument/2006/relationships" ref="J1083" r:id="rId1087"/>
    <hyperlink xmlns:r="http://schemas.openxmlformats.org/officeDocument/2006/relationships" ref="J1084" r:id="rId1088"/>
    <hyperlink xmlns:r="http://schemas.openxmlformats.org/officeDocument/2006/relationships" ref="J1085" r:id="rId1089"/>
    <hyperlink xmlns:r="http://schemas.openxmlformats.org/officeDocument/2006/relationships" ref="J1086" r:id="rId1090"/>
    <hyperlink xmlns:r="http://schemas.openxmlformats.org/officeDocument/2006/relationships" ref="J1087" r:id="rId1091"/>
    <hyperlink xmlns:r="http://schemas.openxmlformats.org/officeDocument/2006/relationships" ref="J1088" r:id="rId1092"/>
    <hyperlink xmlns:r="http://schemas.openxmlformats.org/officeDocument/2006/relationships" ref="J1089" r:id="rId1093"/>
    <hyperlink xmlns:r="http://schemas.openxmlformats.org/officeDocument/2006/relationships" ref="J1090" r:id="rId1094"/>
    <hyperlink xmlns:r="http://schemas.openxmlformats.org/officeDocument/2006/relationships" ref="J1091" r:id="rId1095"/>
    <hyperlink xmlns:r="http://schemas.openxmlformats.org/officeDocument/2006/relationships" ref="J1092" r:id="rId1096"/>
    <hyperlink xmlns:r="http://schemas.openxmlformats.org/officeDocument/2006/relationships" ref="J1093" r:id="rId1097"/>
    <hyperlink xmlns:r="http://schemas.openxmlformats.org/officeDocument/2006/relationships" ref="J1094" r:id="rId1098"/>
    <hyperlink xmlns:r="http://schemas.openxmlformats.org/officeDocument/2006/relationships" ref="J1095" r:id="rId1099"/>
    <hyperlink xmlns:r="http://schemas.openxmlformats.org/officeDocument/2006/relationships" ref="J1096" r:id="rId1100"/>
    <hyperlink xmlns:r="http://schemas.openxmlformats.org/officeDocument/2006/relationships" ref="J1097" r:id="rId1101"/>
    <hyperlink xmlns:r="http://schemas.openxmlformats.org/officeDocument/2006/relationships" ref="J1098" r:id="rId1102"/>
    <hyperlink xmlns:r="http://schemas.openxmlformats.org/officeDocument/2006/relationships" ref="J1099" r:id="rId1103"/>
    <hyperlink xmlns:r="http://schemas.openxmlformats.org/officeDocument/2006/relationships" ref="J1100" r:id="rId1104"/>
    <hyperlink xmlns:r="http://schemas.openxmlformats.org/officeDocument/2006/relationships" ref="J1101" r:id="rId1105"/>
    <hyperlink xmlns:r="http://schemas.openxmlformats.org/officeDocument/2006/relationships" ref="J1102" r:id="rId1106"/>
    <hyperlink xmlns:r="http://schemas.openxmlformats.org/officeDocument/2006/relationships" ref="J1103" r:id="rId1107"/>
    <hyperlink xmlns:r="http://schemas.openxmlformats.org/officeDocument/2006/relationships" ref="J1104" r:id="rId1108"/>
    <hyperlink xmlns:r="http://schemas.openxmlformats.org/officeDocument/2006/relationships" ref="J1105" r:id="rId1109"/>
    <hyperlink xmlns:r="http://schemas.openxmlformats.org/officeDocument/2006/relationships" ref="J1106" r:id="rId1110"/>
    <hyperlink xmlns:r="http://schemas.openxmlformats.org/officeDocument/2006/relationships" ref="J1107" r:id="rId1111"/>
    <hyperlink xmlns:r="http://schemas.openxmlformats.org/officeDocument/2006/relationships" ref="J1108" r:id="rId1112"/>
    <hyperlink xmlns:r="http://schemas.openxmlformats.org/officeDocument/2006/relationships" ref="J1109" r:id="rId1113"/>
    <hyperlink xmlns:r="http://schemas.openxmlformats.org/officeDocument/2006/relationships" ref="J1110" r:id="rId1114"/>
    <hyperlink xmlns:r="http://schemas.openxmlformats.org/officeDocument/2006/relationships" ref="J1111" r:id="rId1115"/>
    <hyperlink xmlns:r="http://schemas.openxmlformats.org/officeDocument/2006/relationships" ref="J1112" r:id="rId1116"/>
    <hyperlink xmlns:r="http://schemas.openxmlformats.org/officeDocument/2006/relationships" ref="J1113" r:id="rId1117"/>
    <hyperlink xmlns:r="http://schemas.openxmlformats.org/officeDocument/2006/relationships" ref="J1114" r:id="rId1118"/>
    <hyperlink xmlns:r="http://schemas.openxmlformats.org/officeDocument/2006/relationships" ref="J1115" r:id="rId1119"/>
    <hyperlink xmlns:r="http://schemas.openxmlformats.org/officeDocument/2006/relationships" ref="J1116" r:id="rId1120"/>
    <hyperlink xmlns:r="http://schemas.openxmlformats.org/officeDocument/2006/relationships" ref="J1117" r:id="rId1121"/>
    <hyperlink xmlns:r="http://schemas.openxmlformats.org/officeDocument/2006/relationships" ref="J1118" r:id="rId1122"/>
    <hyperlink xmlns:r="http://schemas.openxmlformats.org/officeDocument/2006/relationships" ref="J1119" r:id="rId1123"/>
    <hyperlink xmlns:r="http://schemas.openxmlformats.org/officeDocument/2006/relationships" ref="J1120" r:id="rId1124"/>
    <hyperlink xmlns:r="http://schemas.openxmlformats.org/officeDocument/2006/relationships" ref="J1121" r:id="rId1125"/>
    <hyperlink xmlns:r="http://schemas.openxmlformats.org/officeDocument/2006/relationships" ref="J1122" r:id="rId1126"/>
    <hyperlink xmlns:r="http://schemas.openxmlformats.org/officeDocument/2006/relationships" ref="J1123" r:id="rId1127"/>
    <hyperlink xmlns:r="http://schemas.openxmlformats.org/officeDocument/2006/relationships" ref="J1124" r:id="rId1128"/>
    <hyperlink xmlns:r="http://schemas.openxmlformats.org/officeDocument/2006/relationships" ref="J1125" r:id="rId1129"/>
    <hyperlink xmlns:r="http://schemas.openxmlformats.org/officeDocument/2006/relationships" ref="J1126" r:id="rId1130"/>
    <hyperlink xmlns:r="http://schemas.openxmlformats.org/officeDocument/2006/relationships" ref="J1127" r:id="rId1131"/>
    <hyperlink xmlns:r="http://schemas.openxmlformats.org/officeDocument/2006/relationships" ref="J1128" r:id="rId1132"/>
    <hyperlink xmlns:r="http://schemas.openxmlformats.org/officeDocument/2006/relationships" ref="J1129" r:id="rId1133"/>
    <hyperlink xmlns:r="http://schemas.openxmlformats.org/officeDocument/2006/relationships" ref="J1130" r:id="rId1134"/>
    <hyperlink xmlns:r="http://schemas.openxmlformats.org/officeDocument/2006/relationships" ref="J1131" r:id="rId1135"/>
    <hyperlink xmlns:r="http://schemas.openxmlformats.org/officeDocument/2006/relationships" ref="J1132" r:id="rId1136"/>
    <hyperlink xmlns:r="http://schemas.openxmlformats.org/officeDocument/2006/relationships" ref="J1133" r:id="rId1137"/>
    <hyperlink xmlns:r="http://schemas.openxmlformats.org/officeDocument/2006/relationships" ref="J1134" r:id="rId1138"/>
    <hyperlink xmlns:r="http://schemas.openxmlformats.org/officeDocument/2006/relationships" ref="J1135" r:id="rId1139"/>
    <hyperlink xmlns:r="http://schemas.openxmlformats.org/officeDocument/2006/relationships" ref="J1136" r:id="rId1140"/>
    <hyperlink xmlns:r="http://schemas.openxmlformats.org/officeDocument/2006/relationships" ref="J1137" r:id="rId1141"/>
    <hyperlink xmlns:r="http://schemas.openxmlformats.org/officeDocument/2006/relationships" ref="J1138" r:id="rId1142"/>
    <hyperlink xmlns:r="http://schemas.openxmlformats.org/officeDocument/2006/relationships" ref="J1139" r:id="rId1143"/>
    <hyperlink xmlns:r="http://schemas.openxmlformats.org/officeDocument/2006/relationships" ref="J1140" r:id="rId1144"/>
    <hyperlink xmlns:r="http://schemas.openxmlformats.org/officeDocument/2006/relationships" ref="J1141" r:id="rId1145"/>
    <hyperlink xmlns:r="http://schemas.openxmlformats.org/officeDocument/2006/relationships" ref="J1142" r:id="rId1146"/>
    <hyperlink xmlns:r="http://schemas.openxmlformats.org/officeDocument/2006/relationships" ref="J1143" r:id="rId1147"/>
    <hyperlink xmlns:r="http://schemas.openxmlformats.org/officeDocument/2006/relationships" ref="J1144" r:id="rId1148"/>
    <hyperlink xmlns:r="http://schemas.openxmlformats.org/officeDocument/2006/relationships" ref="J1145" r:id="rId1149"/>
    <hyperlink xmlns:r="http://schemas.openxmlformats.org/officeDocument/2006/relationships" ref="J1146" r:id="rId1150"/>
    <hyperlink xmlns:r="http://schemas.openxmlformats.org/officeDocument/2006/relationships" ref="J1147" r:id="rId1151"/>
    <hyperlink xmlns:r="http://schemas.openxmlformats.org/officeDocument/2006/relationships" ref="J1148" r:id="rId1152"/>
    <hyperlink xmlns:r="http://schemas.openxmlformats.org/officeDocument/2006/relationships" ref="J1149" r:id="rId1153"/>
    <hyperlink xmlns:r="http://schemas.openxmlformats.org/officeDocument/2006/relationships" ref="J1150" r:id="rId1154"/>
    <hyperlink xmlns:r="http://schemas.openxmlformats.org/officeDocument/2006/relationships" ref="J1151" r:id="rId1155"/>
    <hyperlink xmlns:r="http://schemas.openxmlformats.org/officeDocument/2006/relationships" ref="J1152" r:id="rId1156"/>
    <hyperlink xmlns:r="http://schemas.openxmlformats.org/officeDocument/2006/relationships" ref="J1153" r:id="rId1157"/>
    <hyperlink xmlns:r="http://schemas.openxmlformats.org/officeDocument/2006/relationships" ref="J1154" r:id="rId1158"/>
    <hyperlink xmlns:r="http://schemas.openxmlformats.org/officeDocument/2006/relationships" ref="J1155" r:id="rId1159"/>
    <hyperlink xmlns:r="http://schemas.openxmlformats.org/officeDocument/2006/relationships" ref="J1156" r:id="rId1160"/>
    <hyperlink xmlns:r="http://schemas.openxmlformats.org/officeDocument/2006/relationships" ref="J1157" r:id="rId1161"/>
    <hyperlink xmlns:r="http://schemas.openxmlformats.org/officeDocument/2006/relationships" ref="J1158" r:id="rId1162"/>
    <hyperlink xmlns:r="http://schemas.openxmlformats.org/officeDocument/2006/relationships" ref="J1159" r:id="rId1163"/>
    <hyperlink xmlns:r="http://schemas.openxmlformats.org/officeDocument/2006/relationships" ref="J1160" r:id="rId1164"/>
    <hyperlink xmlns:r="http://schemas.openxmlformats.org/officeDocument/2006/relationships" ref="J1161" r:id="rId1165"/>
    <hyperlink xmlns:r="http://schemas.openxmlformats.org/officeDocument/2006/relationships" ref="J1162" r:id="rId1166"/>
    <hyperlink xmlns:r="http://schemas.openxmlformats.org/officeDocument/2006/relationships" ref="J1163" r:id="rId1167"/>
    <hyperlink xmlns:r="http://schemas.openxmlformats.org/officeDocument/2006/relationships" ref="J1164" r:id="rId1168"/>
    <hyperlink xmlns:r="http://schemas.openxmlformats.org/officeDocument/2006/relationships" ref="J1165" r:id="rId1169"/>
    <hyperlink xmlns:r="http://schemas.openxmlformats.org/officeDocument/2006/relationships" ref="J1166" r:id="rId1170"/>
    <hyperlink xmlns:r="http://schemas.openxmlformats.org/officeDocument/2006/relationships" ref="J1167" r:id="rId1171"/>
    <hyperlink xmlns:r="http://schemas.openxmlformats.org/officeDocument/2006/relationships" ref="J1168" r:id="rId1172"/>
    <hyperlink xmlns:r="http://schemas.openxmlformats.org/officeDocument/2006/relationships" ref="J1169" r:id="rId1173"/>
    <hyperlink xmlns:r="http://schemas.openxmlformats.org/officeDocument/2006/relationships" ref="J1170" r:id="rId1174"/>
    <hyperlink xmlns:r="http://schemas.openxmlformats.org/officeDocument/2006/relationships" ref="J1171" r:id="rId1175"/>
    <hyperlink xmlns:r="http://schemas.openxmlformats.org/officeDocument/2006/relationships" ref="J1172" r:id="rId1176"/>
    <hyperlink xmlns:r="http://schemas.openxmlformats.org/officeDocument/2006/relationships" ref="J1173" r:id="rId1177"/>
    <hyperlink xmlns:r="http://schemas.openxmlformats.org/officeDocument/2006/relationships" ref="J1174" r:id="rId1178"/>
    <hyperlink xmlns:r="http://schemas.openxmlformats.org/officeDocument/2006/relationships" ref="J1175" r:id="rId1179"/>
    <hyperlink xmlns:r="http://schemas.openxmlformats.org/officeDocument/2006/relationships" ref="J1176" r:id="rId1180"/>
    <hyperlink xmlns:r="http://schemas.openxmlformats.org/officeDocument/2006/relationships" ref="J1177" r:id="rId1181"/>
    <hyperlink xmlns:r="http://schemas.openxmlformats.org/officeDocument/2006/relationships" ref="J1178" r:id="rId1182"/>
    <hyperlink xmlns:r="http://schemas.openxmlformats.org/officeDocument/2006/relationships" ref="J1179" r:id="rId1183"/>
    <hyperlink xmlns:r="http://schemas.openxmlformats.org/officeDocument/2006/relationships" ref="J1180" r:id="rId1184"/>
    <hyperlink xmlns:r="http://schemas.openxmlformats.org/officeDocument/2006/relationships" ref="J1181" r:id="rId1185"/>
    <hyperlink xmlns:r="http://schemas.openxmlformats.org/officeDocument/2006/relationships" ref="J1182" r:id="rId1186"/>
    <hyperlink xmlns:r="http://schemas.openxmlformats.org/officeDocument/2006/relationships" ref="J1183" r:id="rId1187"/>
    <hyperlink xmlns:r="http://schemas.openxmlformats.org/officeDocument/2006/relationships" ref="J1184" r:id="rId1188"/>
    <hyperlink xmlns:r="http://schemas.openxmlformats.org/officeDocument/2006/relationships" ref="J1185" r:id="rId1189"/>
    <hyperlink xmlns:r="http://schemas.openxmlformats.org/officeDocument/2006/relationships" ref="J1186" r:id="rId1190"/>
    <hyperlink xmlns:r="http://schemas.openxmlformats.org/officeDocument/2006/relationships" ref="J1187" r:id="rId1191"/>
    <hyperlink xmlns:r="http://schemas.openxmlformats.org/officeDocument/2006/relationships" ref="J1188" r:id="rId1192"/>
    <hyperlink xmlns:r="http://schemas.openxmlformats.org/officeDocument/2006/relationships" ref="J1189" r:id="rId1193"/>
    <hyperlink xmlns:r="http://schemas.openxmlformats.org/officeDocument/2006/relationships" ref="J1190" r:id="rId1194"/>
    <hyperlink xmlns:r="http://schemas.openxmlformats.org/officeDocument/2006/relationships" ref="J1191" r:id="rId1195"/>
    <hyperlink xmlns:r="http://schemas.openxmlformats.org/officeDocument/2006/relationships" ref="J1192" r:id="rId1196"/>
    <hyperlink xmlns:r="http://schemas.openxmlformats.org/officeDocument/2006/relationships" ref="J1193" r:id="rId1197"/>
    <hyperlink xmlns:r="http://schemas.openxmlformats.org/officeDocument/2006/relationships" ref="J1194" r:id="rId1198"/>
    <hyperlink xmlns:r="http://schemas.openxmlformats.org/officeDocument/2006/relationships" ref="J1195" r:id="rId1199"/>
    <hyperlink xmlns:r="http://schemas.openxmlformats.org/officeDocument/2006/relationships" ref="J1196" r:id="rId1200"/>
    <hyperlink xmlns:r="http://schemas.openxmlformats.org/officeDocument/2006/relationships" ref="J1197" r:id="rId1201"/>
    <hyperlink xmlns:r="http://schemas.openxmlformats.org/officeDocument/2006/relationships" ref="J1198" r:id="rId1202"/>
    <hyperlink xmlns:r="http://schemas.openxmlformats.org/officeDocument/2006/relationships" ref="J1199" r:id="rId1203"/>
    <hyperlink xmlns:r="http://schemas.openxmlformats.org/officeDocument/2006/relationships" ref="J1200" r:id="rId1204"/>
    <hyperlink xmlns:r="http://schemas.openxmlformats.org/officeDocument/2006/relationships" ref="J1201" r:id="rId1205"/>
    <hyperlink xmlns:r="http://schemas.openxmlformats.org/officeDocument/2006/relationships" ref="J1202" r:id="rId1206"/>
    <hyperlink xmlns:r="http://schemas.openxmlformats.org/officeDocument/2006/relationships" ref="J1203" r:id="rId1207"/>
    <hyperlink xmlns:r="http://schemas.openxmlformats.org/officeDocument/2006/relationships" ref="J1204" r:id="rId1208"/>
    <hyperlink xmlns:r="http://schemas.openxmlformats.org/officeDocument/2006/relationships" ref="J1205" r:id="rId1209"/>
    <hyperlink xmlns:r="http://schemas.openxmlformats.org/officeDocument/2006/relationships" ref="J1206" r:id="rId1210"/>
    <hyperlink xmlns:r="http://schemas.openxmlformats.org/officeDocument/2006/relationships" ref="J1207" r:id="rId1211"/>
    <hyperlink xmlns:r="http://schemas.openxmlformats.org/officeDocument/2006/relationships" ref="J1208" r:id="rId1212"/>
    <hyperlink xmlns:r="http://schemas.openxmlformats.org/officeDocument/2006/relationships" ref="J1209" r:id="rId1213"/>
    <hyperlink xmlns:r="http://schemas.openxmlformats.org/officeDocument/2006/relationships" ref="J1210" r:id="rId1214"/>
    <hyperlink xmlns:r="http://schemas.openxmlformats.org/officeDocument/2006/relationships" ref="J1211" r:id="rId1215"/>
    <hyperlink xmlns:r="http://schemas.openxmlformats.org/officeDocument/2006/relationships" ref="J1212" r:id="rId1216"/>
    <hyperlink xmlns:r="http://schemas.openxmlformats.org/officeDocument/2006/relationships" ref="J1213" r:id="rId1217"/>
    <hyperlink xmlns:r="http://schemas.openxmlformats.org/officeDocument/2006/relationships" ref="J1214" r:id="rId1218"/>
    <hyperlink xmlns:r="http://schemas.openxmlformats.org/officeDocument/2006/relationships" ref="J1215" r:id="rId1219"/>
    <hyperlink xmlns:r="http://schemas.openxmlformats.org/officeDocument/2006/relationships" ref="J1216" r:id="rId1220"/>
    <hyperlink xmlns:r="http://schemas.openxmlformats.org/officeDocument/2006/relationships" ref="J1217" r:id="rId1221"/>
    <hyperlink xmlns:r="http://schemas.openxmlformats.org/officeDocument/2006/relationships" ref="J1218" r:id="rId1222"/>
    <hyperlink xmlns:r="http://schemas.openxmlformats.org/officeDocument/2006/relationships" ref="J1219" r:id="rId1223"/>
    <hyperlink xmlns:r="http://schemas.openxmlformats.org/officeDocument/2006/relationships" ref="J1220" r:id="rId1224"/>
    <hyperlink xmlns:r="http://schemas.openxmlformats.org/officeDocument/2006/relationships" ref="J1221" r:id="rId1225"/>
    <hyperlink xmlns:r="http://schemas.openxmlformats.org/officeDocument/2006/relationships" ref="J1222" r:id="rId1226"/>
    <hyperlink xmlns:r="http://schemas.openxmlformats.org/officeDocument/2006/relationships" ref="J1223" r:id="rId1227"/>
    <hyperlink xmlns:r="http://schemas.openxmlformats.org/officeDocument/2006/relationships" ref="J1224" r:id="rId1228"/>
    <hyperlink xmlns:r="http://schemas.openxmlformats.org/officeDocument/2006/relationships" ref="J1225" r:id="rId1229"/>
    <hyperlink xmlns:r="http://schemas.openxmlformats.org/officeDocument/2006/relationships" ref="J1226" r:id="rId1230"/>
    <hyperlink xmlns:r="http://schemas.openxmlformats.org/officeDocument/2006/relationships" ref="J1227" r:id="rId1231"/>
    <hyperlink xmlns:r="http://schemas.openxmlformats.org/officeDocument/2006/relationships" ref="J1228" r:id="rId1232"/>
    <hyperlink xmlns:r="http://schemas.openxmlformats.org/officeDocument/2006/relationships" ref="J1229" r:id="rId1233"/>
    <hyperlink xmlns:r="http://schemas.openxmlformats.org/officeDocument/2006/relationships" ref="J1230" r:id="rId1234"/>
    <hyperlink xmlns:r="http://schemas.openxmlformats.org/officeDocument/2006/relationships" ref="J1231" r:id="rId1235"/>
    <hyperlink xmlns:r="http://schemas.openxmlformats.org/officeDocument/2006/relationships" ref="J1232" r:id="rId1236"/>
    <hyperlink xmlns:r="http://schemas.openxmlformats.org/officeDocument/2006/relationships" ref="J1233" r:id="rId1237"/>
    <hyperlink xmlns:r="http://schemas.openxmlformats.org/officeDocument/2006/relationships" ref="J1234" r:id="rId1238"/>
    <hyperlink xmlns:r="http://schemas.openxmlformats.org/officeDocument/2006/relationships" ref="J1235" r:id="rId1239"/>
    <hyperlink xmlns:r="http://schemas.openxmlformats.org/officeDocument/2006/relationships" ref="J1236" r:id="rId1240"/>
    <hyperlink xmlns:r="http://schemas.openxmlformats.org/officeDocument/2006/relationships" ref="J1237" r:id="rId1241"/>
    <hyperlink xmlns:r="http://schemas.openxmlformats.org/officeDocument/2006/relationships" ref="J1238" r:id="rId1242"/>
    <hyperlink xmlns:r="http://schemas.openxmlformats.org/officeDocument/2006/relationships" ref="J1239" r:id="rId1243"/>
    <hyperlink xmlns:r="http://schemas.openxmlformats.org/officeDocument/2006/relationships" ref="J1240" r:id="rId1244"/>
    <hyperlink xmlns:r="http://schemas.openxmlformats.org/officeDocument/2006/relationships" ref="J1241" r:id="rId1245"/>
    <hyperlink xmlns:r="http://schemas.openxmlformats.org/officeDocument/2006/relationships" ref="J1242" r:id="rId1246"/>
    <hyperlink xmlns:r="http://schemas.openxmlformats.org/officeDocument/2006/relationships" ref="J1243" r:id="rId1247"/>
    <hyperlink xmlns:r="http://schemas.openxmlformats.org/officeDocument/2006/relationships" ref="J1244" r:id="rId1248"/>
    <hyperlink xmlns:r="http://schemas.openxmlformats.org/officeDocument/2006/relationships" ref="J1245" r:id="rId1249"/>
    <hyperlink xmlns:r="http://schemas.openxmlformats.org/officeDocument/2006/relationships" ref="J1246" r:id="rId1250"/>
    <hyperlink xmlns:r="http://schemas.openxmlformats.org/officeDocument/2006/relationships" ref="J1247" r:id="rId1251"/>
    <hyperlink xmlns:r="http://schemas.openxmlformats.org/officeDocument/2006/relationships" ref="J1248" r:id="rId1252"/>
    <hyperlink xmlns:r="http://schemas.openxmlformats.org/officeDocument/2006/relationships" ref="J1249" r:id="rId1253"/>
    <hyperlink xmlns:r="http://schemas.openxmlformats.org/officeDocument/2006/relationships" ref="J1250" r:id="rId1254"/>
    <hyperlink xmlns:r="http://schemas.openxmlformats.org/officeDocument/2006/relationships" ref="J1251" r:id="rId1255"/>
    <hyperlink xmlns:r="http://schemas.openxmlformats.org/officeDocument/2006/relationships" ref="J1252" r:id="rId1256"/>
    <hyperlink xmlns:r="http://schemas.openxmlformats.org/officeDocument/2006/relationships" ref="J1253" r:id="rId1257"/>
    <hyperlink xmlns:r="http://schemas.openxmlformats.org/officeDocument/2006/relationships" ref="J1254" r:id="rId1258"/>
    <hyperlink xmlns:r="http://schemas.openxmlformats.org/officeDocument/2006/relationships" ref="J1255" r:id="rId1259"/>
    <hyperlink xmlns:r="http://schemas.openxmlformats.org/officeDocument/2006/relationships" ref="J1256" r:id="rId1260"/>
    <hyperlink xmlns:r="http://schemas.openxmlformats.org/officeDocument/2006/relationships" ref="J1257" r:id="rId1261"/>
    <hyperlink xmlns:r="http://schemas.openxmlformats.org/officeDocument/2006/relationships" ref="J1258" r:id="rId1262"/>
    <hyperlink xmlns:r="http://schemas.openxmlformats.org/officeDocument/2006/relationships" ref="J1259" r:id="rId1263"/>
    <hyperlink xmlns:r="http://schemas.openxmlformats.org/officeDocument/2006/relationships" ref="J1260" r:id="rId1264"/>
    <hyperlink xmlns:r="http://schemas.openxmlformats.org/officeDocument/2006/relationships" ref="J1261" r:id="rId1265"/>
    <hyperlink xmlns:r="http://schemas.openxmlformats.org/officeDocument/2006/relationships" ref="J1262" r:id="rId1266"/>
    <hyperlink xmlns:r="http://schemas.openxmlformats.org/officeDocument/2006/relationships" ref="J1263" r:id="rId1267"/>
    <hyperlink xmlns:r="http://schemas.openxmlformats.org/officeDocument/2006/relationships" ref="J1264" r:id="rId1268"/>
    <hyperlink xmlns:r="http://schemas.openxmlformats.org/officeDocument/2006/relationships" ref="J1265" r:id="rId1269"/>
    <hyperlink xmlns:r="http://schemas.openxmlformats.org/officeDocument/2006/relationships" ref="J1266" r:id="rId1270"/>
    <hyperlink xmlns:r="http://schemas.openxmlformats.org/officeDocument/2006/relationships" ref="J1267" r:id="rId1271"/>
    <hyperlink xmlns:r="http://schemas.openxmlformats.org/officeDocument/2006/relationships" ref="J1268" r:id="rId1272"/>
    <hyperlink xmlns:r="http://schemas.openxmlformats.org/officeDocument/2006/relationships" ref="J1269" r:id="rId1273"/>
    <hyperlink xmlns:r="http://schemas.openxmlformats.org/officeDocument/2006/relationships" ref="J1270" r:id="rId1274"/>
    <hyperlink xmlns:r="http://schemas.openxmlformats.org/officeDocument/2006/relationships" ref="J1271" r:id="rId1275"/>
    <hyperlink xmlns:r="http://schemas.openxmlformats.org/officeDocument/2006/relationships" ref="J1272" r:id="rId1276"/>
    <hyperlink xmlns:r="http://schemas.openxmlformats.org/officeDocument/2006/relationships" ref="J1273" r:id="rId1277"/>
    <hyperlink xmlns:r="http://schemas.openxmlformats.org/officeDocument/2006/relationships" ref="J1274" r:id="rId1278"/>
    <hyperlink xmlns:r="http://schemas.openxmlformats.org/officeDocument/2006/relationships" ref="J1275" r:id="rId1279"/>
    <hyperlink xmlns:r="http://schemas.openxmlformats.org/officeDocument/2006/relationships" ref="J1276" r:id="rId1280"/>
    <hyperlink xmlns:r="http://schemas.openxmlformats.org/officeDocument/2006/relationships" ref="J1277" r:id="rId1281"/>
    <hyperlink xmlns:r="http://schemas.openxmlformats.org/officeDocument/2006/relationships" ref="J1278" r:id="rId1282"/>
    <hyperlink xmlns:r="http://schemas.openxmlformats.org/officeDocument/2006/relationships" ref="J1279" r:id="rId1283"/>
    <hyperlink xmlns:r="http://schemas.openxmlformats.org/officeDocument/2006/relationships" ref="J1280" r:id="rId1284"/>
    <hyperlink xmlns:r="http://schemas.openxmlformats.org/officeDocument/2006/relationships" ref="J1281" r:id="rId1285"/>
    <hyperlink xmlns:r="http://schemas.openxmlformats.org/officeDocument/2006/relationships" ref="J1282" r:id="rId1286"/>
    <hyperlink xmlns:r="http://schemas.openxmlformats.org/officeDocument/2006/relationships" ref="J1283" r:id="rId1287"/>
    <hyperlink xmlns:r="http://schemas.openxmlformats.org/officeDocument/2006/relationships" ref="J1284" r:id="rId1288"/>
    <hyperlink xmlns:r="http://schemas.openxmlformats.org/officeDocument/2006/relationships" ref="J1285" r:id="rId1289"/>
    <hyperlink xmlns:r="http://schemas.openxmlformats.org/officeDocument/2006/relationships" ref="J1286" r:id="rId1290"/>
    <hyperlink xmlns:r="http://schemas.openxmlformats.org/officeDocument/2006/relationships" ref="J1287" r:id="rId1291"/>
    <hyperlink xmlns:r="http://schemas.openxmlformats.org/officeDocument/2006/relationships" ref="J1288" r:id="rId1292"/>
    <hyperlink xmlns:r="http://schemas.openxmlformats.org/officeDocument/2006/relationships" ref="J1289" r:id="rId1293"/>
    <hyperlink xmlns:r="http://schemas.openxmlformats.org/officeDocument/2006/relationships" ref="J1290" r:id="rId1294"/>
    <hyperlink xmlns:r="http://schemas.openxmlformats.org/officeDocument/2006/relationships" ref="J1291" r:id="rId1295"/>
    <hyperlink xmlns:r="http://schemas.openxmlformats.org/officeDocument/2006/relationships" ref="J1292" r:id="rId1296"/>
    <hyperlink xmlns:r="http://schemas.openxmlformats.org/officeDocument/2006/relationships" ref="J1293" r:id="rId1297"/>
    <hyperlink xmlns:r="http://schemas.openxmlformats.org/officeDocument/2006/relationships" ref="J1294" r:id="rId1298"/>
    <hyperlink xmlns:r="http://schemas.openxmlformats.org/officeDocument/2006/relationships" ref="J1295" r:id="rId1299"/>
    <hyperlink xmlns:r="http://schemas.openxmlformats.org/officeDocument/2006/relationships" ref="J1296" r:id="rId1300"/>
    <hyperlink xmlns:r="http://schemas.openxmlformats.org/officeDocument/2006/relationships" ref="J1297" r:id="rId1301"/>
    <hyperlink xmlns:r="http://schemas.openxmlformats.org/officeDocument/2006/relationships" ref="J1298" r:id="rId1302"/>
    <hyperlink xmlns:r="http://schemas.openxmlformats.org/officeDocument/2006/relationships" ref="J1299" r:id="rId1303"/>
    <hyperlink xmlns:r="http://schemas.openxmlformats.org/officeDocument/2006/relationships" ref="J1300" r:id="rId1304"/>
    <hyperlink xmlns:r="http://schemas.openxmlformats.org/officeDocument/2006/relationships" ref="J1301" r:id="rId1305"/>
    <hyperlink xmlns:r="http://schemas.openxmlformats.org/officeDocument/2006/relationships" ref="J1302" r:id="rId1306"/>
    <hyperlink xmlns:r="http://schemas.openxmlformats.org/officeDocument/2006/relationships" ref="J1303" r:id="rId1307"/>
    <hyperlink xmlns:r="http://schemas.openxmlformats.org/officeDocument/2006/relationships" ref="J1304" r:id="rId1308"/>
    <hyperlink xmlns:r="http://schemas.openxmlformats.org/officeDocument/2006/relationships" ref="J1305" r:id="rId1309"/>
    <hyperlink xmlns:r="http://schemas.openxmlformats.org/officeDocument/2006/relationships" ref="J1306" r:id="rId1310"/>
    <hyperlink xmlns:r="http://schemas.openxmlformats.org/officeDocument/2006/relationships" ref="J1307" r:id="rId1311"/>
    <hyperlink xmlns:r="http://schemas.openxmlformats.org/officeDocument/2006/relationships" ref="J1308" r:id="rId1312"/>
    <hyperlink xmlns:r="http://schemas.openxmlformats.org/officeDocument/2006/relationships" ref="J1309" r:id="rId1313"/>
    <hyperlink xmlns:r="http://schemas.openxmlformats.org/officeDocument/2006/relationships" ref="J1310" r:id="rId1314"/>
    <hyperlink xmlns:r="http://schemas.openxmlformats.org/officeDocument/2006/relationships" ref="J1311" r:id="rId1315"/>
    <hyperlink xmlns:r="http://schemas.openxmlformats.org/officeDocument/2006/relationships" ref="J1312" r:id="rId1316"/>
    <hyperlink xmlns:r="http://schemas.openxmlformats.org/officeDocument/2006/relationships" ref="J1313" r:id="rId1317"/>
    <hyperlink xmlns:r="http://schemas.openxmlformats.org/officeDocument/2006/relationships" ref="J1314" r:id="rId1318"/>
    <hyperlink xmlns:r="http://schemas.openxmlformats.org/officeDocument/2006/relationships" ref="J1315" r:id="rId1319"/>
    <hyperlink xmlns:r="http://schemas.openxmlformats.org/officeDocument/2006/relationships" ref="J1316" r:id="rId1320"/>
    <hyperlink xmlns:r="http://schemas.openxmlformats.org/officeDocument/2006/relationships" ref="J1317" r:id="rId1321"/>
    <hyperlink xmlns:r="http://schemas.openxmlformats.org/officeDocument/2006/relationships" ref="J1318" r:id="rId1322"/>
    <hyperlink xmlns:r="http://schemas.openxmlformats.org/officeDocument/2006/relationships" ref="J1319" r:id="rId1323"/>
    <hyperlink xmlns:r="http://schemas.openxmlformats.org/officeDocument/2006/relationships" ref="J1320" r:id="rId1324"/>
    <hyperlink xmlns:r="http://schemas.openxmlformats.org/officeDocument/2006/relationships" ref="J1321" r:id="rId1325"/>
    <hyperlink xmlns:r="http://schemas.openxmlformats.org/officeDocument/2006/relationships" ref="J1322" r:id="rId1326"/>
    <hyperlink xmlns:r="http://schemas.openxmlformats.org/officeDocument/2006/relationships" ref="J1323" r:id="rId1327"/>
    <hyperlink xmlns:r="http://schemas.openxmlformats.org/officeDocument/2006/relationships" ref="J1324" r:id="rId1328"/>
    <hyperlink xmlns:r="http://schemas.openxmlformats.org/officeDocument/2006/relationships" ref="J1325" r:id="rId1329"/>
    <hyperlink xmlns:r="http://schemas.openxmlformats.org/officeDocument/2006/relationships" ref="J1326" r:id="rId1330"/>
    <hyperlink xmlns:r="http://schemas.openxmlformats.org/officeDocument/2006/relationships" ref="J1327" r:id="rId1331"/>
    <hyperlink xmlns:r="http://schemas.openxmlformats.org/officeDocument/2006/relationships" ref="J1328" r:id="rId1332"/>
    <hyperlink xmlns:r="http://schemas.openxmlformats.org/officeDocument/2006/relationships" ref="J1329" r:id="rId1333"/>
    <hyperlink xmlns:r="http://schemas.openxmlformats.org/officeDocument/2006/relationships" ref="J1330" r:id="rId1334"/>
    <hyperlink xmlns:r="http://schemas.openxmlformats.org/officeDocument/2006/relationships" ref="J1331" r:id="rId1335"/>
    <hyperlink xmlns:r="http://schemas.openxmlformats.org/officeDocument/2006/relationships" ref="J1332" r:id="rId1336"/>
    <hyperlink xmlns:r="http://schemas.openxmlformats.org/officeDocument/2006/relationships" ref="J1333" r:id="rId1337"/>
    <hyperlink xmlns:r="http://schemas.openxmlformats.org/officeDocument/2006/relationships" ref="J1334" r:id="rId1338"/>
    <hyperlink xmlns:r="http://schemas.openxmlformats.org/officeDocument/2006/relationships" ref="J1335" r:id="rId1339"/>
    <hyperlink xmlns:r="http://schemas.openxmlformats.org/officeDocument/2006/relationships" ref="J1336" r:id="rId1340"/>
    <hyperlink xmlns:r="http://schemas.openxmlformats.org/officeDocument/2006/relationships" ref="J1337" r:id="rId1341"/>
    <hyperlink xmlns:r="http://schemas.openxmlformats.org/officeDocument/2006/relationships" ref="J1338" r:id="rId1342"/>
    <hyperlink xmlns:r="http://schemas.openxmlformats.org/officeDocument/2006/relationships" ref="J1339" r:id="rId1343"/>
    <hyperlink xmlns:r="http://schemas.openxmlformats.org/officeDocument/2006/relationships" ref="J1340" r:id="rId1344"/>
    <hyperlink xmlns:r="http://schemas.openxmlformats.org/officeDocument/2006/relationships" ref="J1341" r:id="rId1345"/>
    <hyperlink xmlns:r="http://schemas.openxmlformats.org/officeDocument/2006/relationships" ref="J1342" r:id="rId1346"/>
    <hyperlink xmlns:r="http://schemas.openxmlformats.org/officeDocument/2006/relationships" ref="J1343" r:id="rId1347"/>
    <hyperlink xmlns:r="http://schemas.openxmlformats.org/officeDocument/2006/relationships" ref="J1344" r:id="rId1348"/>
    <hyperlink xmlns:r="http://schemas.openxmlformats.org/officeDocument/2006/relationships" ref="J1345" r:id="rId1349"/>
    <hyperlink xmlns:r="http://schemas.openxmlformats.org/officeDocument/2006/relationships" ref="J1346" r:id="rId1350"/>
    <hyperlink xmlns:r="http://schemas.openxmlformats.org/officeDocument/2006/relationships" ref="J1347" r:id="rId1351"/>
    <hyperlink xmlns:r="http://schemas.openxmlformats.org/officeDocument/2006/relationships" ref="J1348" r:id="rId1352"/>
    <hyperlink xmlns:r="http://schemas.openxmlformats.org/officeDocument/2006/relationships" ref="J1349" r:id="rId1353"/>
    <hyperlink xmlns:r="http://schemas.openxmlformats.org/officeDocument/2006/relationships" ref="J1350" r:id="rId1354"/>
    <hyperlink xmlns:r="http://schemas.openxmlformats.org/officeDocument/2006/relationships" ref="J1351" r:id="rId1355"/>
    <hyperlink xmlns:r="http://schemas.openxmlformats.org/officeDocument/2006/relationships" ref="J1352" r:id="rId1356"/>
    <hyperlink xmlns:r="http://schemas.openxmlformats.org/officeDocument/2006/relationships" ref="J1353" r:id="rId1357"/>
    <hyperlink xmlns:r="http://schemas.openxmlformats.org/officeDocument/2006/relationships" ref="J1354" r:id="rId1358"/>
    <hyperlink xmlns:r="http://schemas.openxmlformats.org/officeDocument/2006/relationships" ref="J1355" r:id="rId1359"/>
    <hyperlink xmlns:r="http://schemas.openxmlformats.org/officeDocument/2006/relationships" ref="J1356" r:id="rId1360"/>
    <hyperlink xmlns:r="http://schemas.openxmlformats.org/officeDocument/2006/relationships" ref="J1357" r:id="rId1361"/>
    <hyperlink xmlns:r="http://schemas.openxmlformats.org/officeDocument/2006/relationships" ref="J1358" r:id="rId1362"/>
    <hyperlink xmlns:r="http://schemas.openxmlformats.org/officeDocument/2006/relationships" ref="J1359" r:id="rId1363"/>
    <hyperlink xmlns:r="http://schemas.openxmlformats.org/officeDocument/2006/relationships" ref="J1360" r:id="rId1364"/>
    <hyperlink xmlns:r="http://schemas.openxmlformats.org/officeDocument/2006/relationships" ref="J1361" r:id="rId1365"/>
    <hyperlink xmlns:r="http://schemas.openxmlformats.org/officeDocument/2006/relationships" ref="J1362" r:id="rId1366"/>
    <hyperlink xmlns:r="http://schemas.openxmlformats.org/officeDocument/2006/relationships" ref="J1363" r:id="rId1367"/>
    <hyperlink xmlns:r="http://schemas.openxmlformats.org/officeDocument/2006/relationships" ref="J1364" r:id="rId1368"/>
    <hyperlink xmlns:r="http://schemas.openxmlformats.org/officeDocument/2006/relationships" ref="J1365" r:id="rId1369"/>
    <hyperlink xmlns:r="http://schemas.openxmlformats.org/officeDocument/2006/relationships" ref="J1366" r:id="rId1370"/>
    <hyperlink xmlns:r="http://schemas.openxmlformats.org/officeDocument/2006/relationships" ref="J1367" r:id="rId1371"/>
    <hyperlink xmlns:r="http://schemas.openxmlformats.org/officeDocument/2006/relationships" ref="J1368" r:id="rId1372"/>
    <hyperlink xmlns:r="http://schemas.openxmlformats.org/officeDocument/2006/relationships" ref="J1369" r:id="rId1373"/>
    <hyperlink xmlns:r="http://schemas.openxmlformats.org/officeDocument/2006/relationships" ref="J1370" r:id="rId1374"/>
    <hyperlink xmlns:r="http://schemas.openxmlformats.org/officeDocument/2006/relationships" ref="J1371" r:id="rId1375"/>
    <hyperlink xmlns:r="http://schemas.openxmlformats.org/officeDocument/2006/relationships" ref="J1372" r:id="rId1376"/>
    <hyperlink xmlns:r="http://schemas.openxmlformats.org/officeDocument/2006/relationships" ref="J1373" r:id="rId1377"/>
    <hyperlink xmlns:r="http://schemas.openxmlformats.org/officeDocument/2006/relationships" ref="J1374" r:id="rId1378"/>
    <hyperlink xmlns:r="http://schemas.openxmlformats.org/officeDocument/2006/relationships" ref="J1375" r:id="rId1379"/>
    <hyperlink xmlns:r="http://schemas.openxmlformats.org/officeDocument/2006/relationships" ref="J1376" r:id="rId1380"/>
    <hyperlink xmlns:r="http://schemas.openxmlformats.org/officeDocument/2006/relationships" ref="J1377" r:id="rId1381"/>
    <hyperlink xmlns:r="http://schemas.openxmlformats.org/officeDocument/2006/relationships" ref="J1378" r:id="rId1382"/>
    <hyperlink xmlns:r="http://schemas.openxmlformats.org/officeDocument/2006/relationships" ref="J1379" r:id="rId1383"/>
    <hyperlink xmlns:r="http://schemas.openxmlformats.org/officeDocument/2006/relationships" ref="J1380" r:id="rId1384"/>
    <hyperlink xmlns:r="http://schemas.openxmlformats.org/officeDocument/2006/relationships" ref="J1381" r:id="rId1385"/>
    <hyperlink xmlns:r="http://schemas.openxmlformats.org/officeDocument/2006/relationships" ref="J1382" r:id="rId1386"/>
    <hyperlink xmlns:r="http://schemas.openxmlformats.org/officeDocument/2006/relationships" ref="J1383" r:id="rId1387"/>
    <hyperlink xmlns:r="http://schemas.openxmlformats.org/officeDocument/2006/relationships" ref="J1384" r:id="rId1388"/>
    <hyperlink xmlns:r="http://schemas.openxmlformats.org/officeDocument/2006/relationships" ref="J1385" r:id="rId1389"/>
    <hyperlink xmlns:r="http://schemas.openxmlformats.org/officeDocument/2006/relationships" ref="J1386" r:id="rId1390"/>
    <hyperlink xmlns:r="http://schemas.openxmlformats.org/officeDocument/2006/relationships" ref="J1387" r:id="rId1391"/>
    <hyperlink xmlns:r="http://schemas.openxmlformats.org/officeDocument/2006/relationships" ref="J1388" r:id="rId1392"/>
    <hyperlink xmlns:r="http://schemas.openxmlformats.org/officeDocument/2006/relationships" ref="J1389" r:id="rId1393"/>
    <hyperlink xmlns:r="http://schemas.openxmlformats.org/officeDocument/2006/relationships" ref="J1390" r:id="rId1394"/>
    <hyperlink xmlns:r="http://schemas.openxmlformats.org/officeDocument/2006/relationships" ref="J1391" r:id="rId1395"/>
    <hyperlink xmlns:r="http://schemas.openxmlformats.org/officeDocument/2006/relationships" ref="J1392" r:id="rId1396"/>
    <hyperlink xmlns:r="http://schemas.openxmlformats.org/officeDocument/2006/relationships" ref="J1393" r:id="rId1397"/>
    <hyperlink xmlns:r="http://schemas.openxmlformats.org/officeDocument/2006/relationships" ref="J1394" r:id="rId1398"/>
    <hyperlink xmlns:r="http://schemas.openxmlformats.org/officeDocument/2006/relationships" ref="J1395" r:id="rId1399"/>
    <hyperlink xmlns:r="http://schemas.openxmlformats.org/officeDocument/2006/relationships" ref="J1396" r:id="rId1400"/>
    <hyperlink xmlns:r="http://schemas.openxmlformats.org/officeDocument/2006/relationships" ref="J1397" r:id="rId1401"/>
    <hyperlink xmlns:r="http://schemas.openxmlformats.org/officeDocument/2006/relationships" ref="J1398" r:id="rId1402"/>
    <hyperlink xmlns:r="http://schemas.openxmlformats.org/officeDocument/2006/relationships" ref="J1399" r:id="rId1403"/>
    <hyperlink xmlns:r="http://schemas.openxmlformats.org/officeDocument/2006/relationships" ref="J1400" r:id="rId1404"/>
    <hyperlink xmlns:r="http://schemas.openxmlformats.org/officeDocument/2006/relationships" ref="J1401" r:id="rId1405"/>
    <hyperlink xmlns:r="http://schemas.openxmlformats.org/officeDocument/2006/relationships" ref="J1402" r:id="rId1406"/>
    <hyperlink xmlns:r="http://schemas.openxmlformats.org/officeDocument/2006/relationships" ref="J1403" r:id="rId1407"/>
    <hyperlink xmlns:r="http://schemas.openxmlformats.org/officeDocument/2006/relationships" ref="J1404" r:id="rId1408"/>
    <hyperlink xmlns:r="http://schemas.openxmlformats.org/officeDocument/2006/relationships" ref="J1405" r:id="rId1409"/>
    <hyperlink xmlns:r="http://schemas.openxmlformats.org/officeDocument/2006/relationships" ref="J1406" r:id="rId1410"/>
    <hyperlink xmlns:r="http://schemas.openxmlformats.org/officeDocument/2006/relationships" ref="J1407" r:id="rId1411"/>
    <hyperlink xmlns:r="http://schemas.openxmlformats.org/officeDocument/2006/relationships" ref="J1408" r:id="rId1412"/>
    <hyperlink xmlns:r="http://schemas.openxmlformats.org/officeDocument/2006/relationships" ref="J1409" r:id="rId1413"/>
    <hyperlink xmlns:r="http://schemas.openxmlformats.org/officeDocument/2006/relationships" ref="J1410" r:id="rId1414"/>
    <hyperlink xmlns:r="http://schemas.openxmlformats.org/officeDocument/2006/relationships" ref="J1411" r:id="rId1415"/>
    <hyperlink xmlns:r="http://schemas.openxmlformats.org/officeDocument/2006/relationships" ref="J1412" r:id="rId1416"/>
    <hyperlink xmlns:r="http://schemas.openxmlformats.org/officeDocument/2006/relationships" ref="J1413" r:id="rId1417"/>
    <hyperlink xmlns:r="http://schemas.openxmlformats.org/officeDocument/2006/relationships" ref="J1414" r:id="rId1418"/>
    <hyperlink xmlns:r="http://schemas.openxmlformats.org/officeDocument/2006/relationships" ref="J1415" r:id="rId1419"/>
    <hyperlink xmlns:r="http://schemas.openxmlformats.org/officeDocument/2006/relationships" ref="J1416" r:id="rId1420"/>
    <hyperlink xmlns:r="http://schemas.openxmlformats.org/officeDocument/2006/relationships" ref="J1417" r:id="rId1421"/>
    <hyperlink xmlns:r="http://schemas.openxmlformats.org/officeDocument/2006/relationships" ref="J1418" r:id="rId1422"/>
    <hyperlink xmlns:r="http://schemas.openxmlformats.org/officeDocument/2006/relationships" ref="J1419" r:id="rId1423"/>
    <hyperlink xmlns:r="http://schemas.openxmlformats.org/officeDocument/2006/relationships" ref="J1420" r:id="rId1424"/>
    <hyperlink xmlns:r="http://schemas.openxmlformats.org/officeDocument/2006/relationships" ref="J1421" r:id="rId1425"/>
    <hyperlink xmlns:r="http://schemas.openxmlformats.org/officeDocument/2006/relationships" ref="J1422" r:id="rId1426"/>
    <hyperlink xmlns:r="http://schemas.openxmlformats.org/officeDocument/2006/relationships" ref="J1423" r:id="rId1427"/>
    <hyperlink xmlns:r="http://schemas.openxmlformats.org/officeDocument/2006/relationships" ref="J1424" r:id="rId1428"/>
    <hyperlink xmlns:r="http://schemas.openxmlformats.org/officeDocument/2006/relationships" ref="J1425" r:id="rId1429"/>
    <hyperlink xmlns:r="http://schemas.openxmlformats.org/officeDocument/2006/relationships" ref="J1426" r:id="rId1430"/>
    <hyperlink xmlns:r="http://schemas.openxmlformats.org/officeDocument/2006/relationships" ref="J1427" r:id="rId1431"/>
    <hyperlink xmlns:r="http://schemas.openxmlformats.org/officeDocument/2006/relationships" ref="J1428" r:id="rId1432"/>
    <hyperlink xmlns:r="http://schemas.openxmlformats.org/officeDocument/2006/relationships" ref="J1429" r:id="rId1433"/>
    <hyperlink xmlns:r="http://schemas.openxmlformats.org/officeDocument/2006/relationships" ref="J1430" r:id="rId1434"/>
    <hyperlink xmlns:r="http://schemas.openxmlformats.org/officeDocument/2006/relationships" ref="J1431" r:id="rId1435"/>
    <hyperlink xmlns:r="http://schemas.openxmlformats.org/officeDocument/2006/relationships" ref="J1432" r:id="rId1436"/>
    <hyperlink xmlns:r="http://schemas.openxmlformats.org/officeDocument/2006/relationships" ref="J1433" r:id="rId1437"/>
    <hyperlink xmlns:r="http://schemas.openxmlformats.org/officeDocument/2006/relationships" ref="J1434" r:id="rId1438"/>
    <hyperlink xmlns:r="http://schemas.openxmlformats.org/officeDocument/2006/relationships" ref="J1435" r:id="rId1439"/>
    <hyperlink xmlns:r="http://schemas.openxmlformats.org/officeDocument/2006/relationships" ref="J1436" r:id="rId1440"/>
    <hyperlink xmlns:r="http://schemas.openxmlformats.org/officeDocument/2006/relationships" ref="J1437" r:id="rId1441"/>
    <hyperlink xmlns:r="http://schemas.openxmlformats.org/officeDocument/2006/relationships" ref="J1438" r:id="rId1442"/>
    <hyperlink xmlns:r="http://schemas.openxmlformats.org/officeDocument/2006/relationships" ref="J1439" r:id="rId1443"/>
    <hyperlink xmlns:r="http://schemas.openxmlformats.org/officeDocument/2006/relationships" ref="J1440" r:id="rId1444"/>
    <hyperlink xmlns:r="http://schemas.openxmlformats.org/officeDocument/2006/relationships" ref="J1441" r:id="rId1445"/>
    <hyperlink xmlns:r="http://schemas.openxmlformats.org/officeDocument/2006/relationships" ref="J1442" r:id="rId1446"/>
    <hyperlink xmlns:r="http://schemas.openxmlformats.org/officeDocument/2006/relationships" ref="J1443" r:id="rId1447"/>
    <hyperlink xmlns:r="http://schemas.openxmlformats.org/officeDocument/2006/relationships" ref="J1444" r:id="rId1448"/>
    <hyperlink xmlns:r="http://schemas.openxmlformats.org/officeDocument/2006/relationships" ref="J1445" r:id="rId1449"/>
    <hyperlink xmlns:r="http://schemas.openxmlformats.org/officeDocument/2006/relationships" ref="J1446" r:id="rId1450"/>
    <hyperlink xmlns:r="http://schemas.openxmlformats.org/officeDocument/2006/relationships" ref="J1447" r:id="rId1451"/>
    <hyperlink xmlns:r="http://schemas.openxmlformats.org/officeDocument/2006/relationships" ref="J1448" r:id="rId1452"/>
    <hyperlink xmlns:r="http://schemas.openxmlformats.org/officeDocument/2006/relationships" ref="J1449" r:id="rId1453"/>
    <hyperlink xmlns:r="http://schemas.openxmlformats.org/officeDocument/2006/relationships" ref="J1450" r:id="rId1454"/>
    <hyperlink xmlns:r="http://schemas.openxmlformats.org/officeDocument/2006/relationships" ref="J1451" r:id="rId1455"/>
    <hyperlink xmlns:r="http://schemas.openxmlformats.org/officeDocument/2006/relationships" ref="J1452" r:id="rId1456"/>
    <hyperlink xmlns:r="http://schemas.openxmlformats.org/officeDocument/2006/relationships" ref="J1453" r:id="rId1457"/>
    <hyperlink xmlns:r="http://schemas.openxmlformats.org/officeDocument/2006/relationships" ref="J1454" r:id="rId1458"/>
    <hyperlink xmlns:r="http://schemas.openxmlformats.org/officeDocument/2006/relationships" ref="J1455" r:id="rId1459"/>
    <hyperlink xmlns:r="http://schemas.openxmlformats.org/officeDocument/2006/relationships" ref="J1456" r:id="rId1460"/>
    <hyperlink xmlns:r="http://schemas.openxmlformats.org/officeDocument/2006/relationships" ref="J1457" r:id="rId1461"/>
    <hyperlink xmlns:r="http://schemas.openxmlformats.org/officeDocument/2006/relationships" ref="J1458" r:id="rId1462"/>
    <hyperlink xmlns:r="http://schemas.openxmlformats.org/officeDocument/2006/relationships" ref="J1459" r:id="rId1463"/>
    <hyperlink xmlns:r="http://schemas.openxmlformats.org/officeDocument/2006/relationships" ref="J1460" r:id="rId1464"/>
    <hyperlink xmlns:r="http://schemas.openxmlformats.org/officeDocument/2006/relationships" ref="J1461" r:id="rId1465"/>
    <hyperlink xmlns:r="http://schemas.openxmlformats.org/officeDocument/2006/relationships" ref="J1462" r:id="rId1466"/>
    <hyperlink xmlns:r="http://schemas.openxmlformats.org/officeDocument/2006/relationships" ref="J1463" r:id="rId1467"/>
    <hyperlink xmlns:r="http://schemas.openxmlformats.org/officeDocument/2006/relationships" ref="J1464" r:id="rId1468"/>
    <hyperlink xmlns:r="http://schemas.openxmlformats.org/officeDocument/2006/relationships" ref="J1465" r:id="rId1469"/>
    <hyperlink xmlns:r="http://schemas.openxmlformats.org/officeDocument/2006/relationships" ref="J1466" r:id="rId1470"/>
    <hyperlink xmlns:r="http://schemas.openxmlformats.org/officeDocument/2006/relationships" ref="J1467" r:id="rId1471"/>
    <hyperlink xmlns:r="http://schemas.openxmlformats.org/officeDocument/2006/relationships" ref="J1468" r:id="rId1472"/>
    <hyperlink xmlns:r="http://schemas.openxmlformats.org/officeDocument/2006/relationships" ref="J1469" r:id="rId1473"/>
    <hyperlink xmlns:r="http://schemas.openxmlformats.org/officeDocument/2006/relationships" ref="J1470" r:id="rId1474"/>
    <hyperlink xmlns:r="http://schemas.openxmlformats.org/officeDocument/2006/relationships" ref="J1471" r:id="rId1475"/>
    <hyperlink xmlns:r="http://schemas.openxmlformats.org/officeDocument/2006/relationships" ref="J1472" r:id="rId1476"/>
    <hyperlink xmlns:r="http://schemas.openxmlformats.org/officeDocument/2006/relationships" ref="J1473" r:id="rId1477"/>
    <hyperlink xmlns:r="http://schemas.openxmlformats.org/officeDocument/2006/relationships" ref="J1474" r:id="rId1478"/>
    <hyperlink xmlns:r="http://schemas.openxmlformats.org/officeDocument/2006/relationships" ref="J1475" r:id="rId1479"/>
    <hyperlink xmlns:r="http://schemas.openxmlformats.org/officeDocument/2006/relationships" ref="J1476" r:id="rId1480"/>
    <hyperlink xmlns:r="http://schemas.openxmlformats.org/officeDocument/2006/relationships" ref="J1477" r:id="rId1481"/>
    <hyperlink xmlns:r="http://schemas.openxmlformats.org/officeDocument/2006/relationships" ref="J1478" r:id="rId1482"/>
    <hyperlink xmlns:r="http://schemas.openxmlformats.org/officeDocument/2006/relationships" ref="J1479" r:id="rId1483"/>
    <hyperlink xmlns:r="http://schemas.openxmlformats.org/officeDocument/2006/relationships" ref="J1480" r:id="rId1484"/>
    <hyperlink xmlns:r="http://schemas.openxmlformats.org/officeDocument/2006/relationships" ref="J1481" r:id="rId1485"/>
    <hyperlink xmlns:r="http://schemas.openxmlformats.org/officeDocument/2006/relationships" ref="J1482" r:id="rId1486"/>
    <hyperlink xmlns:r="http://schemas.openxmlformats.org/officeDocument/2006/relationships" ref="J1483" r:id="rId1487"/>
    <hyperlink xmlns:r="http://schemas.openxmlformats.org/officeDocument/2006/relationships" ref="J1484" r:id="rId1488"/>
    <hyperlink xmlns:r="http://schemas.openxmlformats.org/officeDocument/2006/relationships" ref="J1485" r:id="rId1489"/>
    <hyperlink xmlns:r="http://schemas.openxmlformats.org/officeDocument/2006/relationships" ref="J1486" r:id="rId1490"/>
    <hyperlink xmlns:r="http://schemas.openxmlformats.org/officeDocument/2006/relationships" ref="J1487" r:id="rId1491"/>
    <hyperlink xmlns:r="http://schemas.openxmlformats.org/officeDocument/2006/relationships" ref="J1488" r:id="rId1492"/>
    <hyperlink xmlns:r="http://schemas.openxmlformats.org/officeDocument/2006/relationships" ref="J1489" r:id="rId1493"/>
    <hyperlink xmlns:r="http://schemas.openxmlformats.org/officeDocument/2006/relationships" ref="J1490" r:id="rId1494"/>
    <hyperlink xmlns:r="http://schemas.openxmlformats.org/officeDocument/2006/relationships" ref="J1491" r:id="rId1495"/>
    <hyperlink xmlns:r="http://schemas.openxmlformats.org/officeDocument/2006/relationships" ref="J1492" r:id="rId1496"/>
    <hyperlink xmlns:r="http://schemas.openxmlformats.org/officeDocument/2006/relationships" ref="J1493" r:id="rId1497"/>
    <hyperlink xmlns:r="http://schemas.openxmlformats.org/officeDocument/2006/relationships" ref="J1494" r:id="rId1498"/>
    <hyperlink xmlns:r="http://schemas.openxmlformats.org/officeDocument/2006/relationships" ref="J1495" r:id="rId1499"/>
    <hyperlink xmlns:r="http://schemas.openxmlformats.org/officeDocument/2006/relationships" ref="J1496" r:id="rId1500"/>
    <hyperlink xmlns:r="http://schemas.openxmlformats.org/officeDocument/2006/relationships" ref="J1497" r:id="rId1501"/>
    <hyperlink xmlns:r="http://schemas.openxmlformats.org/officeDocument/2006/relationships" ref="J1498" r:id="rId1502"/>
    <hyperlink xmlns:r="http://schemas.openxmlformats.org/officeDocument/2006/relationships" ref="J1499" r:id="rId1503"/>
    <hyperlink xmlns:r="http://schemas.openxmlformats.org/officeDocument/2006/relationships" ref="J1500" r:id="rId1504"/>
    <hyperlink xmlns:r="http://schemas.openxmlformats.org/officeDocument/2006/relationships" ref="J1501" r:id="rId1505"/>
    <hyperlink xmlns:r="http://schemas.openxmlformats.org/officeDocument/2006/relationships" ref="J1502" r:id="rId1506"/>
    <hyperlink xmlns:r="http://schemas.openxmlformats.org/officeDocument/2006/relationships" ref="J1503" r:id="rId1507"/>
    <hyperlink xmlns:r="http://schemas.openxmlformats.org/officeDocument/2006/relationships" ref="J1504" r:id="rId1508"/>
    <hyperlink xmlns:r="http://schemas.openxmlformats.org/officeDocument/2006/relationships" ref="J1505" r:id="rId1509"/>
    <hyperlink xmlns:r="http://schemas.openxmlformats.org/officeDocument/2006/relationships" ref="J1506" r:id="rId1510"/>
    <hyperlink xmlns:r="http://schemas.openxmlformats.org/officeDocument/2006/relationships" ref="J1507" r:id="rId1511"/>
    <hyperlink xmlns:r="http://schemas.openxmlformats.org/officeDocument/2006/relationships" ref="J1508" r:id="rId1512"/>
    <hyperlink xmlns:r="http://schemas.openxmlformats.org/officeDocument/2006/relationships" ref="J1509" r:id="rId1513"/>
    <hyperlink xmlns:r="http://schemas.openxmlformats.org/officeDocument/2006/relationships" ref="J1510" r:id="rId1514"/>
    <hyperlink xmlns:r="http://schemas.openxmlformats.org/officeDocument/2006/relationships" ref="J1511" r:id="rId1515"/>
    <hyperlink xmlns:r="http://schemas.openxmlformats.org/officeDocument/2006/relationships" ref="J1512" r:id="rId1516"/>
    <hyperlink xmlns:r="http://schemas.openxmlformats.org/officeDocument/2006/relationships" ref="J1513" r:id="rId1517"/>
    <hyperlink xmlns:r="http://schemas.openxmlformats.org/officeDocument/2006/relationships" ref="J1514" r:id="rId1518"/>
    <hyperlink xmlns:r="http://schemas.openxmlformats.org/officeDocument/2006/relationships" ref="J1515" r:id="rId1519"/>
    <hyperlink xmlns:r="http://schemas.openxmlformats.org/officeDocument/2006/relationships" ref="J1516" r:id="rId1520"/>
    <hyperlink xmlns:r="http://schemas.openxmlformats.org/officeDocument/2006/relationships" ref="J1517" r:id="rId1521"/>
    <hyperlink xmlns:r="http://schemas.openxmlformats.org/officeDocument/2006/relationships" ref="J1518" r:id="rId1522"/>
    <hyperlink xmlns:r="http://schemas.openxmlformats.org/officeDocument/2006/relationships" ref="J1519" r:id="rId1523"/>
    <hyperlink xmlns:r="http://schemas.openxmlformats.org/officeDocument/2006/relationships" ref="J1520" r:id="rId1524"/>
    <hyperlink xmlns:r="http://schemas.openxmlformats.org/officeDocument/2006/relationships" ref="J1521" r:id="rId1525"/>
    <hyperlink xmlns:r="http://schemas.openxmlformats.org/officeDocument/2006/relationships" ref="J1522" r:id="rId1526"/>
    <hyperlink xmlns:r="http://schemas.openxmlformats.org/officeDocument/2006/relationships" ref="J1523" r:id="rId1527"/>
    <hyperlink xmlns:r="http://schemas.openxmlformats.org/officeDocument/2006/relationships" ref="J1524" r:id="rId1528"/>
    <hyperlink xmlns:r="http://schemas.openxmlformats.org/officeDocument/2006/relationships" ref="J1525" r:id="rId1529"/>
    <hyperlink xmlns:r="http://schemas.openxmlformats.org/officeDocument/2006/relationships" ref="J1526" r:id="rId1530"/>
    <hyperlink xmlns:r="http://schemas.openxmlformats.org/officeDocument/2006/relationships" ref="J1527" r:id="rId1531"/>
    <hyperlink xmlns:r="http://schemas.openxmlformats.org/officeDocument/2006/relationships" ref="J1528" r:id="rId1532"/>
    <hyperlink xmlns:r="http://schemas.openxmlformats.org/officeDocument/2006/relationships" ref="J1529" r:id="rId1533"/>
    <hyperlink xmlns:r="http://schemas.openxmlformats.org/officeDocument/2006/relationships" ref="J1530" r:id="rId1534"/>
    <hyperlink xmlns:r="http://schemas.openxmlformats.org/officeDocument/2006/relationships" ref="J1531" r:id="rId1535"/>
    <hyperlink xmlns:r="http://schemas.openxmlformats.org/officeDocument/2006/relationships" ref="J1532" r:id="rId1536"/>
    <hyperlink xmlns:r="http://schemas.openxmlformats.org/officeDocument/2006/relationships" ref="J1533" r:id="rId1537"/>
    <hyperlink xmlns:r="http://schemas.openxmlformats.org/officeDocument/2006/relationships" ref="J1534" r:id="rId1538"/>
    <hyperlink xmlns:r="http://schemas.openxmlformats.org/officeDocument/2006/relationships" ref="J1535" r:id="rId1539"/>
    <hyperlink xmlns:r="http://schemas.openxmlformats.org/officeDocument/2006/relationships" ref="J1536" r:id="rId1540"/>
    <hyperlink xmlns:r="http://schemas.openxmlformats.org/officeDocument/2006/relationships" ref="J1537" r:id="rId1541"/>
    <hyperlink xmlns:r="http://schemas.openxmlformats.org/officeDocument/2006/relationships" ref="J1538" r:id="rId1542"/>
    <hyperlink xmlns:r="http://schemas.openxmlformats.org/officeDocument/2006/relationships" ref="J1539" r:id="rId1543"/>
    <hyperlink xmlns:r="http://schemas.openxmlformats.org/officeDocument/2006/relationships" ref="J1540" r:id="rId1544"/>
    <hyperlink xmlns:r="http://schemas.openxmlformats.org/officeDocument/2006/relationships" ref="J1541" r:id="rId1545"/>
    <hyperlink xmlns:r="http://schemas.openxmlformats.org/officeDocument/2006/relationships" ref="J1542" r:id="rId1546"/>
    <hyperlink xmlns:r="http://schemas.openxmlformats.org/officeDocument/2006/relationships" ref="J1543" r:id="rId1547"/>
    <hyperlink xmlns:r="http://schemas.openxmlformats.org/officeDocument/2006/relationships" ref="J1544" r:id="rId1548"/>
    <hyperlink xmlns:r="http://schemas.openxmlformats.org/officeDocument/2006/relationships" ref="J1545" r:id="rId1549"/>
    <hyperlink xmlns:r="http://schemas.openxmlformats.org/officeDocument/2006/relationships" ref="J1546" r:id="rId1550"/>
    <hyperlink xmlns:r="http://schemas.openxmlformats.org/officeDocument/2006/relationships" ref="J1547" r:id="rId1551"/>
    <hyperlink xmlns:r="http://schemas.openxmlformats.org/officeDocument/2006/relationships" ref="J1548" r:id="rId1552"/>
    <hyperlink xmlns:r="http://schemas.openxmlformats.org/officeDocument/2006/relationships" ref="J1549" r:id="rId1553"/>
    <hyperlink xmlns:r="http://schemas.openxmlformats.org/officeDocument/2006/relationships" ref="J1550" r:id="rId1554"/>
    <hyperlink xmlns:r="http://schemas.openxmlformats.org/officeDocument/2006/relationships" ref="J1551" r:id="rId1555"/>
    <hyperlink xmlns:r="http://schemas.openxmlformats.org/officeDocument/2006/relationships" ref="J1552" r:id="rId1556"/>
    <hyperlink xmlns:r="http://schemas.openxmlformats.org/officeDocument/2006/relationships" ref="J1553" r:id="rId1557"/>
    <hyperlink xmlns:r="http://schemas.openxmlformats.org/officeDocument/2006/relationships" ref="J1554" r:id="rId1558"/>
    <hyperlink xmlns:r="http://schemas.openxmlformats.org/officeDocument/2006/relationships" ref="J1555" r:id="rId1559"/>
    <hyperlink xmlns:r="http://schemas.openxmlformats.org/officeDocument/2006/relationships" ref="J1556" r:id="rId1560"/>
    <hyperlink xmlns:r="http://schemas.openxmlformats.org/officeDocument/2006/relationships" ref="J1557" r:id="rId1561"/>
    <hyperlink xmlns:r="http://schemas.openxmlformats.org/officeDocument/2006/relationships" ref="J1558" r:id="rId1562"/>
    <hyperlink xmlns:r="http://schemas.openxmlformats.org/officeDocument/2006/relationships" ref="J1559" r:id="rId1563"/>
    <hyperlink xmlns:r="http://schemas.openxmlformats.org/officeDocument/2006/relationships" ref="J1560" r:id="rId1564"/>
    <hyperlink xmlns:r="http://schemas.openxmlformats.org/officeDocument/2006/relationships" ref="J1561" r:id="rId1565"/>
    <hyperlink xmlns:r="http://schemas.openxmlformats.org/officeDocument/2006/relationships" ref="J1562" r:id="rId1566"/>
    <hyperlink xmlns:r="http://schemas.openxmlformats.org/officeDocument/2006/relationships" ref="J1563" r:id="rId1567"/>
    <hyperlink xmlns:r="http://schemas.openxmlformats.org/officeDocument/2006/relationships" ref="J1564" r:id="rId1568"/>
    <hyperlink xmlns:r="http://schemas.openxmlformats.org/officeDocument/2006/relationships" ref="J1565" r:id="rId1569"/>
    <hyperlink xmlns:r="http://schemas.openxmlformats.org/officeDocument/2006/relationships" ref="J1566" r:id="rId1570"/>
    <hyperlink xmlns:r="http://schemas.openxmlformats.org/officeDocument/2006/relationships" ref="J1567" r:id="rId1571"/>
    <hyperlink xmlns:r="http://schemas.openxmlformats.org/officeDocument/2006/relationships" ref="J1568" r:id="rId1572"/>
    <hyperlink xmlns:r="http://schemas.openxmlformats.org/officeDocument/2006/relationships" ref="J1569" r:id="rId1573"/>
    <hyperlink xmlns:r="http://schemas.openxmlformats.org/officeDocument/2006/relationships" ref="J1570" r:id="rId1574"/>
    <hyperlink xmlns:r="http://schemas.openxmlformats.org/officeDocument/2006/relationships" ref="J1571" r:id="rId1575"/>
    <hyperlink xmlns:r="http://schemas.openxmlformats.org/officeDocument/2006/relationships" ref="J1572" r:id="rId1576"/>
    <hyperlink xmlns:r="http://schemas.openxmlformats.org/officeDocument/2006/relationships" ref="J1573" r:id="rId1577"/>
    <hyperlink xmlns:r="http://schemas.openxmlformats.org/officeDocument/2006/relationships" ref="J1574" r:id="rId1578"/>
    <hyperlink xmlns:r="http://schemas.openxmlformats.org/officeDocument/2006/relationships" ref="J1575" r:id="rId1579"/>
    <hyperlink xmlns:r="http://schemas.openxmlformats.org/officeDocument/2006/relationships" ref="J1576" r:id="rId1580"/>
    <hyperlink xmlns:r="http://schemas.openxmlformats.org/officeDocument/2006/relationships" ref="J1577" r:id="rId1581"/>
    <hyperlink xmlns:r="http://schemas.openxmlformats.org/officeDocument/2006/relationships" ref="J1578" r:id="rId1582"/>
    <hyperlink xmlns:r="http://schemas.openxmlformats.org/officeDocument/2006/relationships" ref="J1579" r:id="rId1583"/>
    <hyperlink xmlns:r="http://schemas.openxmlformats.org/officeDocument/2006/relationships" ref="J1580" r:id="rId1584"/>
    <hyperlink xmlns:r="http://schemas.openxmlformats.org/officeDocument/2006/relationships" ref="J1581" r:id="rId1585"/>
    <hyperlink xmlns:r="http://schemas.openxmlformats.org/officeDocument/2006/relationships" ref="J1582" r:id="rId1586"/>
    <hyperlink xmlns:r="http://schemas.openxmlformats.org/officeDocument/2006/relationships" ref="J1583" r:id="rId1587"/>
    <hyperlink xmlns:r="http://schemas.openxmlformats.org/officeDocument/2006/relationships" ref="J1584" r:id="rId1588"/>
    <hyperlink xmlns:r="http://schemas.openxmlformats.org/officeDocument/2006/relationships" ref="J1585" r:id="rId1589"/>
    <hyperlink xmlns:r="http://schemas.openxmlformats.org/officeDocument/2006/relationships" ref="J1586" r:id="rId1590"/>
    <hyperlink xmlns:r="http://schemas.openxmlformats.org/officeDocument/2006/relationships" ref="J1587" r:id="rId1591"/>
    <hyperlink xmlns:r="http://schemas.openxmlformats.org/officeDocument/2006/relationships" ref="J1588" r:id="rId1592"/>
    <hyperlink xmlns:r="http://schemas.openxmlformats.org/officeDocument/2006/relationships" ref="J1589" r:id="rId1593"/>
    <hyperlink xmlns:r="http://schemas.openxmlformats.org/officeDocument/2006/relationships" ref="J1590" r:id="rId1594"/>
    <hyperlink xmlns:r="http://schemas.openxmlformats.org/officeDocument/2006/relationships" ref="J1591" r:id="rId1595"/>
    <hyperlink xmlns:r="http://schemas.openxmlformats.org/officeDocument/2006/relationships" ref="J1592" r:id="rId1596"/>
    <hyperlink xmlns:r="http://schemas.openxmlformats.org/officeDocument/2006/relationships" ref="J1593" r:id="rId1597"/>
    <hyperlink xmlns:r="http://schemas.openxmlformats.org/officeDocument/2006/relationships" ref="J1594" r:id="rId1598"/>
    <hyperlink xmlns:r="http://schemas.openxmlformats.org/officeDocument/2006/relationships" ref="J1595" r:id="rId1599"/>
    <hyperlink xmlns:r="http://schemas.openxmlformats.org/officeDocument/2006/relationships" ref="J1596" r:id="rId1600"/>
    <hyperlink xmlns:r="http://schemas.openxmlformats.org/officeDocument/2006/relationships" ref="J1597" r:id="rId1601"/>
    <hyperlink xmlns:r="http://schemas.openxmlformats.org/officeDocument/2006/relationships" ref="J1598" r:id="rId1602"/>
    <hyperlink xmlns:r="http://schemas.openxmlformats.org/officeDocument/2006/relationships" ref="J1599" r:id="rId1603"/>
    <hyperlink xmlns:r="http://schemas.openxmlformats.org/officeDocument/2006/relationships" ref="J1600" r:id="rId1604"/>
    <hyperlink xmlns:r="http://schemas.openxmlformats.org/officeDocument/2006/relationships" ref="J1601" r:id="rId1605"/>
    <hyperlink xmlns:r="http://schemas.openxmlformats.org/officeDocument/2006/relationships" ref="J1602" r:id="rId1606"/>
    <hyperlink xmlns:r="http://schemas.openxmlformats.org/officeDocument/2006/relationships" ref="J1603" r:id="rId1607"/>
    <hyperlink xmlns:r="http://schemas.openxmlformats.org/officeDocument/2006/relationships" ref="J1604" r:id="rId1608"/>
    <hyperlink xmlns:r="http://schemas.openxmlformats.org/officeDocument/2006/relationships" ref="J1605" r:id="rId1609"/>
    <hyperlink xmlns:r="http://schemas.openxmlformats.org/officeDocument/2006/relationships" ref="J1606" r:id="rId1610"/>
    <hyperlink xmlns:r="http://schemas.openxmlformats.org/officeDocument/2006/relationships" ref="J1607" r:id="rId1611"/>
    <hyperlink xmlns:r="http://schemas.openxmlformats.org/officeDocument/2006/relationships" ref="J1608" r:id="rId1612"/>
    <hyperlink xmlns:r="http://schemas.openxmlformats.org/officeDocument/2006/relationships" ref="J1609" r:id="rId1613"/>
    <hyperlink xmlns:r="http://schemas.openxmlformats.org/officeDocument/2006/relationships" ref="J1610" r:id="rId1614"/>
    <hyperlink xmlns:r="http://schemas.openxmlformats.org/officeDocument/2006/relationships" ref="J1611" r:id="rId1615"/>
    <hyperlink xmlns:r="http://schemas.openxmlformats.org/officeDocument/2006/relationships" ref="J1612" r:id="rId1616"/>
    <hyperlink xmlns:r="http://schemas.openxmlformats.org/officeDocument/2006/relationships" ref="J1613" r:id="rId1617"/>
    <hyperlink xmlns:r="http://schemas.openxmlformats.org/officeDocument/2006/relationships" ref="J1614" r:id="rId1618"/>
    <hyperlink xmlns:r="http://schemas.openxmlformats.org/officeDocument/2006/relationships" ref="J1615" r:id="rId1619"/>
    <hyperlink xmlns:r="http://schemas.openxmlformats.org/officeDocument/2006/relationships" ref="J1616" r:id="rId1620"/>
    <hyperlink xmlns:r="http://schemas.openxmlformats.org/officeDocument/2006/relationships" ref="J1617" r:id="rId1621"/>
    <hyperlink xmlns:r="http://schemas.openxmlformats.org/officeDocument/2006/relationships" ref="J1618" r:id="rId1622"/>
    <hyperlink xmlns:r="http://schemas.openxmlformats.org/officeDocument/2006/relationships" ref="J1619" r:id="rId1623"/>
    <hyperlink xmlns:r="http://schemas.openxmlformats.org/officeDocument/2006/relationships" ref="J1620" r:id="rId1624"/>
    <hyperlink xmlns:r="http://schemas.openxmlformats.org/officeDocument/2006/relationships" ref="J1621" r:id="rId1625"/>
    <hyperlink xmlns:r="http://schemas.openxmlformats.org/officeDocument/2006/relationships" ref="J1622" r:id="rId1626"/>
    <hyperlink xmlns:r="http://schemas.openxmlformats.org/officeDocument/2006/relationships" ref="J1623" r:id="rId1627"/>
    <hyperlink xmlns:r="http://schemas.openxmlformats.org/officeDocument/2006/relationships" ref="J1624" r:id="rId1628"/>
    <hyperlink xmlns:r="http://schemas.openxmlformats.org/officeDocument/2006/relationships" ref="J1625" r:id="rId1629"/>
    <hyperlink xmlns:r="http://schemas.openxmlformats.org/officeDocument/2006/relationships" ref="J1626" r:id="rId1630"/>
    <hyperlink xmlns:r="http://schemas.openxmlformats.org/officeDocument/2006/relationships" ref="J1627" r:id="rId1631"/>
    <hyperlink xmlns:r="http://schemas.openxmlformats.org/officeDocument/2006/relationships" ref="J1628" r:id="rId1632"/>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565B64"/>
    <outlinePr summaryBelow="0" summaryRight="0"/>
    <pageSetUpPr fitToPage="1"/>
  </sheetPr>
  <dimension ref="A1:P14"/>
  <sheetViews>
    <sheetView showGridLines="0" tabSelected="0" topLeftCell="A1" zoomScale="100" zoomScaleNormal="100" workbookViewId="0">
      <pane ySplit="7" topLeftCell="A8" activePane="bottomLeft" state="frozen"/>
      <selection pane="bottomLeft" activeCell="A1" sqref="A1"/>
    </sheetView>
  </sheetViews>
  <sheetFormatPr baseColWidth="8" defaultRowHeight="15"/>
  <cols>
    <col width="28" customWidth="1" min="1" max="1"/>
    <col width="20" customWidth="1" min="2" max="2"/>
    <col width="16" customWidth="1" min="3" max="3"/>
    <col width="18" customWidth="1" min="4" max="4"/>
    <col width="10" customWidth="1" min="5" max="5"/>
    <col width="32" customWidth="1" min="6" max="6"/>
    <col width="22" customWidth="1" min="7" max="7"/>
    <col width="20" customWidth="1" min="8" max="8"/>
    <col width="20" customWidth="1" min="9" max="9"/>
    <col width="34" customWidth="1" min="10" max="10"/>
    <col width="14" customWidth="1" min="11" max="11"/>
    <col width="28" customWidth="1" min="12" max="12"/>
    <col width="13" customWidth="1" min="13" max="13"/>
    <col width="13" customWidth="1" min="14" max="14"/>
    <col width="18" customWidth="1" min="15" max="15"/>
    <col width="45" customWidth="1" min="16" max="16"/>
  </cols>
  <sheetData>
    <row r="1" ht="33.2" customHeight="1">
      <c r="A1" s="97" t="inlineStr">
        <is>
          <t>SOURCES &amp; PROVENANCE</t>
        </is>
      </c>
      <c r="O1" t="inlineStr">
        <is>
          <t>Advanced original field values</t>
        </is>
      </c>
    </row>
    <row r="2" ht="35.92" customHeight="1">
      <c r="A2" s="46" t="inlineStr">
        <is>
          <t>The information boundary of this workbook. Supplied evidence is not the same as established interpretation.</t>
        </is>
      </c>
    </row>
    <row r="3" ht="19"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c r="O3" s="62" t="inlineStr">
        <is>
          <t>B8</t>
        </is>
      </c>
      <c r="P3" s="62" t="inlineStr">
        <is>
          <t>WORK_PACKAGE_LIST</t>
        </is>
      </c>
    </row>
    <row r="4">
      <c r="O4" s="62" t="inlineStr">
        <is>
          <t>I8</t>
        </is>
      </c>
      <c r="P4" s="62" t="inlineStr">
        <is>
          <t>TABLE</t>
        </is>
      </c>
    </row>
    <row r="5" ht="49" customHeight="1">
      <c r="A5" s="4" t="inlineStr">
        <is>
          <t>Project source-representation integrity</t>
        </is>
      </c>
      <c r="B5" s="63" t="inlineStr">
        <is>
          <t>Established</t>
        </is>
      </c>
      <c r="O5" s="62" t="inlineStr">
        <is>
          <t>L8</t>
        </is>
      </c>
      <c r="P5" s="62" t="inlineStr">
        <is>
          <t>SOURCE_REPRESENTATION_ESTABLISHED</t>
        </is>
      </c>
    </row>
    <row r="6">
      <c r="O6" s="62" t="inlineStr">
        <is>
          <t>I9</t>
        </is>
      </c>
      <c r="P6" s="62" t="inlineStr">
        <is>
          <t>TABLE</t>
        </is>
      </c>
    </row>
    <row r="7" ht="34" customHeight="1">
      <c r="A7" s="11" t="inlineStr">
        <is>
          <t>Source</t>
        </is>
      </c>
      <c r="B7" s="11" t="inlineStr">
        <is>
          <t>Governed role</t>
        </is>
      </c>
      <c r="C7" s="11" t="inlineStr">
        <is>
          <t>Revision</t>
        </is>
      </c>
      <c r="D7" s="11" t="inlineStr">
        <is>
          <t>Reporting period</t>
        </is>
      </c>
      <c r="E7" s="11" t="inlineStr">
        <is>
          <t>Rows</t>
        </is>
      </c>
      <c r="F7" s="11" t="inlineStr">
        <is>
          <t>Role basis</t>
        </is>
      </c>
      <c r="G7" s="11" t="inlineStr">
        <is>
          <t>Role validity</t>
        </is>
      </c>
      <c r="H7" s="11" t="inlineStr">
        <is>
          <t>Table boundary</t>
        </is>
      </c>
      <c r="I7" s="11" t="inlineStr">
        <is>
          <t>Interpretation</t>
        </is>
      </c>
      <c r="J7" s="11" t="inlineStr">
        <is>
          <t>Interpretation basis</t>
        </is>
      </c>
      <c r="K7" s="11" t="inlineStr">
        <is>
          <t>Format</t>
        </is>
      </c>
      <c r="L7" s="11" t="inlineStr">
        <is>
          <t>File integrity</t>
        </is>
      </c>
      <c r="O7" s="62" t="inlineStr">
        <is>
          <t>J9</t>
        </is>
      </c>
      <c r="P7" s="62" t="inlineStr">
        <is>
          <t>DETERMINISTIC_SEMANTIC_RELATION</t>
        </is>
      </c>
    </row>
    <row r="8" ht="34" customHeight="1">
      <c r="A8" s="12" t="inlineStr">
        <is>
          <t>Commercial Package Register</t>
        </is>
      </c>
      <c r="B8" s="12" t="inlineStr">
        <is>
          <t>Work package register</t>
        </is>
      </c>
      <c r="C8" s="12" t="inlineStr">
        <is>
          <t>Rev 0</t>
        </is>
      </c>
      <c r="D8" s="12" t="inlineStr">
        <is>
          <t>Initial</t>
        </is>
      </c>
      <c r="E8" s="32" t="n">
        <v>60</v>
      </c>
      <c r="F8" s="12" t="inlineStr">
        <is>
          <t>declared at upload</t>
        </is>
      </c>
      <c r="G8" s="12" t="inlineStr">
        <is>
          <t>AS_SUPPLIED</t>
        </is>
      </c>
      <c r="H8" s="12" t="inlineStr">
        <is>
          <t>ESTABLISHED</t>
        </is>
      </c>
      <c r="I8" s="12" t="inlineStr">
        <is>
          <t>Source table</t>
        </is>
      </c>
      <c r="J8" s="12" t="inlineStr">
        <is>
          <t>SOURCE_NATIVE_SCHEMA</t>
        </is>
      </c>
      <c r="K8" s="12" t="inlineStr">
        <is>
          <t>xlsx</t>
        </is>
      </c>
      <c r="L8" s="13" t="inlineStr">
        <is>
          <t>Source interpretation recorded</t>
        </is>
      </c>
      <c r="M8" s="14" t="n"/>
      <c r="O8" s="62" t="inlineStr">
        <is>
          <t>L9</t>
        </is>
      </c>
      <c r="P8" s="62" t="inlineStr">
        <is>
          <t>SOURCE_REPRESENTATION_ESTABLISHED</t>
        </is>
      </c>
    </row>
    <row r="9" ht="34" customHeight="1">
      <c r="A9" s="12" t="inlineStr">
        <is>
          <t>Contractor Programme</t>
        </is>
      </c>
      <c r="B9" s="12" t="inlineStr">
        <is>
          <t>SCHEDULE</t>
        </is>
      </c>
      <c r="C9" s="12" t="inlineStr">
        <is>
          <t>Rev 0</t>
        </is>
      </c>
      <c r="D9" s="12" t="inlineStr">
        <is>
          <t>Initial</t>
        </is>
      </c>
      <c r="E9" s="32" t="n">
        <v>1082</v>
      </c>
      <c r="F9" s="12" t="inlineStr">
        <is>
          <t>declared at upload</t>
        </is>
      </c>
      <c r="G9" s="12" t="inlineStr">
        <is>
          <t>AS_SUPPLIED</t>
        </is>
      </c>
      <c r="H9" s="12" t="inlineStr">
        <is>
          <t>ESTABLISHED</t>
        </is>
      </c>
      <c r="I9" s="12" t="inlineStr">
        <is>
          <t>Source table</t>
        </is>
      </c>
      <c r="J9" s="12" t="inlineStr">
        <is>
          <t>Evidence-based relationship interpretation</t>
        </is>
      </c>
      <c r="K9" s="12" t="inlineStr">
        <is>
          <t>csv</t>
        </is>
      </c>
      <c r="L9" s="13" t="inlineStr">
        <is>
          <t>Source interpretation recorded</t>
        </is>
      </c>
      <c r="M9" s="14" t="n"/>
      <c r="O9" s="62" t="inlineStr">
        <is>
          <t>I10</t>
        </is>
      </c>
      <c r="P9" s="62" t="inlineStr">
        <is>
          <t>TABLE</t>
        </is>
      </c>
    </row>
    <row r="10" ht="34" customHeight="1">
      <c r="A10" s="12" t="inlineStr">
        <is>
          <t>Cost &amp; Forecast Control Accounts</t>
        </is>
      </c>
      <c r="B10" s="12" t="inlineStr">
        <is>
          <t>COST_ESTIMATE</t>
        </is>
      </c>
      <c r="C10" s="12" t="inlineStr">
        <is>
          <t>Rev 0</t>
        </is>
      </c>
      <c r="D10" s="12" t="inlineStr">
        <is>
          <t>Initial</t>
        </is>
      </c>
      <c r="E10" s="32" t="n">
        <v>480</v>
      </c>
      <c r="F10" s="12" t="inlineStr">
        <is>
          <t>declared at upload</t>
        </is>
      </c>
      <c r="G10" s="12" t="inlineStr">
        <is>
          <t>AS_SUPPLIED</t>
        </is>
      </c>
      <c r="H10" s="12" t="inlineStr">
        <is>
          <t>ESTABLISHED</t>
        </is>
      </c>
      <c r="I10" s="12" t="inlineStr">
        <is>
          <t>Source table</t>
        </is>
      </c>
      <c r="J10" s="12" t="inlineStr">
        <is>
          <t>Evidence-based relationship interpretation</t>
        </is>
      </c>
      <c r="K10" s="12" t="inlineStr">
        <is>
          <t>xlsx</t>
        </is>
      </c>
      <c r="L10" s="13" t="inlineStr">
        <is>
          <t>Source interpretation recorded</t>
        </is>
      </c>
      <c r="M10" s="14" t="n"/>
      <c r="O10" s="62" t="inlineStr">
        <is>
          <t>J10</t>
        </is>
      </c>
      <c r="P10" s="62" t="inlineStr">
        <is>
          <t>DETERMINISTIC_SEMANTIC_RELATION</t>
        </is>
      </c>
    </row>
    <row r="11" ht="34" customHeight="1">
      <c r="A11" s="12" t="inlineStr">
        <is>
          <t>Owner WBS</t>
        </is>
      </c>
      <c r="B11" s="12" t="inlineStr">
        <is>
          <t>WBS_DICTIONARY</t>
        </is>
      </c>
      <c r="C11" s="12" t="inlineStr">
        <is>
          <t>Rev 0</t>
        </is>
      </c>
      <c r="D11" s="12" t="inlineStr">
        <is>
          <t>Initial</t>
        </is>
      </c>
      <c r="E11" s="32" t="n">
        <v>79</v>
      </c>
      <c r="F11" s="12" t="inlineStr">
        <is>
          <t>declared at upload</t>
        </is>
      </c>
      <c r="G11" s="12" t="inlineStr">
        <is>
          <t>AS_SUPPLIED</t>
        </is>
      </c>
      <c r="H11" s="12" t="inlineStr">
        <is>
          <t>ESTABLISHED</t>
        </is>
      </c>
      <c r="I11" s="12" t="inlineStr">
        <is>
          <t>Source table</t>
        </is>
      </c>
      <c r="J11" s="12" t="inlineStr">
        <is>
          <t>Evidence-based relationship interpretation</t>
        </is>
      </c>
      <c r="K11" s="12" t="inlineStr">
        <is>
          <t>xlsx</t>
        </is>
      </c>
      <c r="L11" s="13" t="inlineStr">
        <is>
          <t>Source interpretation recorded</t>
        </is>
      </c>
      <c r="M11" s="14" t="n"/>
      <c r="O11" s="62" t="inlineStr">
        <is>
          <t>L10</t>
        </is>
      </c>
      <c r="P11" s="62" t="inlineStr">
        <is>
          <t>SOURCE_REPRESENTATION_ESTABLISHED</t>
        </is>
      </c>
    </row>
    <row r="12">
      <c r="O12" s="62" t="inlineStr">
        <is>
          <t>I11</t>
        </is>
      </c>
      <c r="P12" s="62" t="inlineStr">
        <is>
          <t>TABLE</t>
        </is>
      </c>
    </row>
    <row r="13">
      <c r="O13" s="62" t="inlineStr">
        <is>
          <t>J11</t>
        </is>
      </c>
      <c r="P13" s="62" t="inlineStr">
        <is>
          <t>DETERMINISTIC_SEMANTIC_RELATION</t>
        </is>
      </c>
    </row>
    <row r="14">
      <c r="O14" s="62" t="inlineStr">
        <is>
          <t>L11</t>
        </is>
      </c>
      <c r="P14" s="62" t="inlineStr">
        <is>
          <t>SOURCE_REPRESENTATION_ESTABLISHED</t>
        </is>
      </c>
    </row>
  </sheetData>
  <mergeCells count="6">
    <mergeCell ref="A1:D1"/>
    <mergeCell ref="L10:M10"/>
    <mergeCell ref="L11:M11"/>
    <mergeCell ref="A2:D2"/>
    <mergeCell ref="L8:M8"/>
    <mergeCell ref="L9:M9"/>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tabColor rgb="00565B64"/>
    <outlinePr summaryBelow="0" summaryRight="0"/>
    <pageSetUpPr fitToPage="1"/>
  </sheetPr>
  <dimension ref="A1:P32"/>
  <sheetViews>
    <sheetView showGridLines="0" tabSelected="0" topLeftCell="A1" zoomScale="100" zoomScaleNormal="100" workbookViewId="0">
      <pane ySplit="3" topLeftCell="A4" activePane="bottomLeft" state="frozen"/>
      <selection pane="bottomLeft" activeCell="A1" sqref="A1"/>
    </sheetView>
  </sheetViews>
  <sheetFormatPr baseColWidth="8" defaultRowHeight="15"/>
  <cols>
    <col width="30" customWidth="1" min="1" max="1"/>
    <col width="32" customWidth="1" min="2" max="2"/>
    <col width="46" customWidth="1" min="3" max="3"/>
    <col width="46" customWidth="1" min="4" max="4"/>
    <col width="45" customWidth="1" min="5" max="5"/>
    <col width="46" customWidth="1" min="6" max="6"/>
    <col width="45" customWidth="1" min="7" max="7"/>
    <col width="12" customWidth="1" min="8" max="8"/>
    <col width="14" customWidth="1" min="9" max="9"/>
    <col width="18" customWidth="1" min="15" max="15"/>
    <col width="45" customWidth="1" min="16" max="16"/>
  </cols>
  <sheetData>
    <row r="1" ht="33.2" customHeight="1">
      <c r="A1" s="97" t="inlineStr">
        <is>
          <t>ASSURANCE</t>
        </is>
      </c>
      <c r="O1" t="inlineStr">
        <is>
          <t>Advanced original field values</t>
        </is>
      </c>
    </row>
    <row r="2" ht="26" customHeight="1">
      <c r="A2" s="46" t="inlineStr">
        <is>
          <t>Exact governance detail and output boundaries. This sheet supports review; it does not create authority.</t>
        </is>
      </c>
    </row>
    <row r="3" ht="19"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c r="O3" s="62" t="inlineStr">
        <is>
          <t>B12</t>
        </is>
      </c>
      <c r="P3" s="62" t="inlineStr">
        <is>
          <t>SOURCE_REPRESENTATION_ESTABLISHED</t>
        </is>
      </c>
    </row>
    <row r="4"/>
    <row r="5" ht="26" customHeight="1">
      <c r="A5" s="11" t="inlineStr">
        <is>
          <t>Assurance item</t>
        </is>
      </c>
      <c r="B5" s="11" t="inlineStr">
        <is>
          <t>Recorded value</t>
        </is>
      </c>
    </row>
    <row r="6" ht="26" customHeight="1">
      <c r="A6" s="12" t="inlineStr">
        <is>
          <t>Workbook template edition</t>
        </is>
      </c>
      <c r="B6" s="12" t="inlineStr">
        <is>
          <t>Premium Workbook Rev 2</t>
        </is>
      </c>
    </row>
    <row r="7" ht="35.92" customHeight="1">
      <c r="A7" s="12" t="inlineStr">
        <is>
          <t>Project</t>
        </is>
      </c>
      <c r="B7" s="12" t="inlineStr">
        <is>
          <t>HarbourLink Urban Transit Expansion</t>
        </is>
      </c>
    </row>
    <row r="8" ht="50.88" customHeight="1">
      <c r="A8" s="12" t="inlineStr">
        <is>
          <t>Approved output identity</t>
        </is>
      </c>
      <c r="B8" s="12" t="inlineStr">
        <is>
          <t>Approved version 1 · stable mapping reference MV-1 · APPROVED</t>
        </is>
      </c>
    </row>
    <row r="9" ht="35.92" customHeight="1">
      <c r="A9" s="12" t="inlineStr">
        <is>
          <t>Approved by</t>
        </is>
      </c>
      <c r="B9" s="12" t="inlineStr">
        <is>
          <t>Maya Chen, Owner Project Controls</t>
        </is>
      </c>
    </row>
    <row r="10" ht="26" customHeight="1">
      <c r="A10" s="12" t="inlineStr">
        <is>
          <t>Approved timestamp</t>
        </is>
      </c>
      <c r="B10" s="12" t="inlineStr">
        <is>
          <t>2026-10-16 14:11 UTC</t>
        </is>
      </c>
    </row>
    <row r="11" ht="26" customHeight="1">
      <c r="A11" s="12" t="inlineStr">
        <is>
          <t>WBS version</t>
        </is>
      </c>
      <c r="B11" s="12" t="inlineStr">
        <is>
          <t>1</t>
        </is>
      </c>
    </row>
    <row r="12" ht="35.92" customHeight="1">
      <c r="A12" s="12" t="inlineStr">
        <is>
          <t>Source-representation integrity</t>
        </is>
      </c>
      <c r="B12" s="12" t="inlineStr">
        <is>
          <t>Source interpretation recorded</t>
        </is>
      </c>
    </row>
    <row r="13" ht="35.92" customHeight="1">
      <c r="A13" s="12" t="inlineStr">
        <is>
          <t>Source-integrity unresolved count</t>
        </is>
      </c>
      <c r="B13" s="12" t="n">
        <v>0</v>
      </c>
    </row>
    <row r="14" ht="26" customHeight="1">
      <c r="A14" s="12" t="inlineStr">
        <is>
          <t>Relationship rows</t>
        </is>
      </c>
      <c r="B14" s="12" t="n">
        <v>1623</v>
      </c>
    </row>
    <row r="15" ht="53" customHeight="1">
      <c r="A15" s="12" t="inlineStr">
        <is>
          <t>Generation timestamp</t>
        </is>
      </c>
      <c r="B15" s="12" t="inlineStr">
        <is>
          <t>2026-10-17 18:35 UTC</t>
        </is>
      </c>
    </row>
    <row r="16"/>
    <row r="17" ht="19" customHeight="1">
      <c r="A17" s="25" t="inlineStr">
        <is>
          <t>Interpretation boundary</t>
        </is>
      </c>
    </row>
    <row r="18" ht="45" customHeight="1">
      <c r="A18" s="46" t="inlineStr">
        <is>
          <t>Workbook/App/JSON/PDF agreement can prove that outputs consume one governed state. It cannot prove that an upstream source interpretation is true. Source representation integrity is a separate prerequisite for substantive management claims.</t>
        </is>
      </c>
    </row>
    <row r="19" ht="45" customHeight="1"/>
    <row r="20"/>
    <row r="21" ht="19" customHeight="1">
      <c r="A21" s="25" t="inlineStr">
        <is>
          <t>Known output limitations</t>
        </is>
      </c>
    </row>
    <row r="22" ht="49" customHeight="1">
      <c r="A22" s="46" t="inlineStr">
        <is>
          <t>• Management amount/date/duration measures are withheld unless field semantics are explicitly governed for that use.</t>
        </is>
      </c>
    </row>
    <row r="23" ht="53" customHeight="1">
      <c r="A23" s="46" t="inlineStr">
        <is>
          <t>• The workbook projects independent source structures through governed WBS relationships; it does not create direct source-to-source truth.</t>
        </is>
      </c>
    </row>
    <row r="24" ht="53" customHeight="1">
      <c r="A24" s="46" t="inlineStr">
        <is>
          <t>• Sheet 04 (issues for review) is not a ranked list and does not claim objective materiality without a governed ranking basis.</t>
        </is>
      </c>
    </row>
    <row r="25" ht="53" customHeight="1">
      <c r="A25" s="46" t="inlineStr">
        <is>
          <t>• Fictional evaluation case. No real-client provenance, privacy/security/compliance or hosting-residency claim is made by this workbook.</t>
        </is>
      </c>
    </row>
    <row r="26"/>
    <row r="27" ht="19" customHeight="1">
      <c r="A27" s="25" t="inlineStr">
        <is>
          <t>Visual / metric ledger</t>
        </is>
      </c>
    </row>
    <row r="28" ht="30" customHeight="1">
      <c r="A28" s="11" t="inlineStr">
        <is>
          <t>ID</t>
        </is>
      </c>
      <c r="B28" s="11" t="inlineStr">
        <is>
          <t>Title</t>
        </is>
      </c>
      <c r="C28" s="11" t="inlineStr">
        <is>
          <t>Management question</t>
        </is>
      </c>
      <c r="D28" s="11" t="inlineStr">
        <is>
          <t>Basis / population</t>
        </is>
      </c>
      <c r="E28" s="11" t="inlineStr">
        <is>
          <t>Unresolved treatment</t>
        </is>
      </c>
      <c r="F28" s="11" t="inlineStr">
        <is>
          <t>Transformation</t>
        </is>
      </c>
      <c r="G28" s="11" t="inlineStr">
        <is>
          <t>Drill path</t>
        </is>
      </c>
      <c r="H28" s="11" t="inlineStr">
        <is>
          <t>Records</t>
        </is>
      </c>
      <c r="I28" s="11" t="inlineStr">
        <is>
          <t>Status</t>
        </is>
      </c>
    </row>
    <row r="29" ht="64" customHeight="1">
      <c r="A29" s="12" t="inlineStr">
        <is>
          <t>V1</t>
        </is>
      </c>
      <c r="B29" s="12" t="inlineStr">
        <is>
          <t>WBS × control-view integration matrix</t>
        </is>
      </c>
      <c r="C29" s="12" t="inlineStr">
        <is>
          <t>Which supplied project-control views have governed relationships through each major Owner-WBS branch?</t>
        </is>
      </c>
      <c r="D29" s="12" t="inlineStr">
        <is>
          <t>Latest approved MappingVersion and its approved source-role basis. | Non-retired governed/open relationship population scoped through each displayed WBS branch.</t>
        </is>
      </c>
      <c r="E29" s="12" t="inlineStr">
        <is>
          <t>Unresolved is distinct from assessed zero coverage and source-not-supplied.</t>
        </is>
      </c>
      <c r="F29" s="12" t="inlineStr">
        <is>
          <t>Categorical state from supplied source role plus branch-scoped governed/open relationships; no health percentage.</t>
        </is>
      </c>
      <c r="G29" s="12" t="inlineStr">
        <is>
          <t>visual → WBS branch → integrated project → Crosswalk → evidence/professional decision</t>
        </is>
      </c>
      <c r="H29" s="32" t="n">
        <v>1357</v>
      </c>
      <c r="I29" s="12" t="inlineStr">
        <is>
          <t>AVAILABLE</t>
        </is>
      </c>
    </row>
    <row r="30" ht="79" customHeight="1">
      <c r="A30" s="12" t="inlineStr">
        <is>
          <t>V2</t>
        </is>
      </c>
      <c r="B30" s="12" t="inlineStr">
        <is>
          <t>Management-attention concentration by WBS branch</t>
        </is>
      </c>
      <c r="C30" s="12" t="inlineStr">
        <is>
          <t>Where are governed reopened, unresolved or contradictory relationship populations concentrated?</t>
        </is>
      </c>
      <c r="D30" s="12" t="inlineStr">
        <is>
          <t>Latest approved relationship state and retained relationship evidence. | Branch-scoped relationships with reopened/unresolved/contradictory evidence.</t>
        </is>
      </c>
      <c r="E30" s="12" t="inlineStr">
        <is>
          <t>Counts remain explicit; no record-count-to-materiality inference.</t>
        </is>
      </c>
      <c r="F30" s="12" t="inlineStr">
        <is>
          <t>Count qualifying relationship records by approved WBS branch; overlapping categories remain separately labelled.</t>
        </is>
      </c>
      <c r="G30" s="12" t="inlineStr">
        <is>
          <t>visual → WBS branch → Changes/What Matters Now → Crosswalk → evidence</t>
        </is>
      </c>
      <c r="H30" s="32" t="n">
        <v>2</v>
      </c>
      <c r="I30" s="12" t="inlineStr">
        <is>
          <t>AVAILABLE</t>
        </is>
      </c>
    </row>
    <row r="31" ht="79" customHeight="1">
      <c r="A31" s="12" t="inlineStr">
        <is>
          <t>V3</t>
        </is>
      </c>
      <c r="B31" s="12" t="inlineStr">
        <is>
          <t>Cycle governed-state composition</t>
        </is>
      </c>
      <c r="C31" s="12" t="inlineStr">
        <is>
          <t>How much relationship state carried forward versus required revalidation/redecision/new/retired treatment?</t>
        </is>
      </c>
      <c r="D31" s="12" t="inlineStr">
        <is>
          <t>Current approved MappingVersion change labels relative to prior approved state. | One current/historical change label per governed relationship version represented in output.</t>
        </is>
      </c>
      <c r="E31" s="12" t="inlineStr">
        <is>
          <t>Unresolved relationship outcome remains separate from change-state composition.</t>
        </is>
      </c>
      <c r="F31" s="12" t="inlineStr">
        <is>
          <t>Count governed relationships by the existing change labels; no speed/value claim inferred.</t>
        </is>
      </c>
      <c r="G31" s="12" t="inlineStr">
        <is>
          <t>visual → change class → Changes &amp; Revalidation → relationship → evidence</t>
        </is>
      </c>
      <c r="H31" s="32" t="n">
        <v>1622</v>
      </c>
      <c r="I31" s="12" t="inlineStr">
        <is>
          <t>AVAILABLE</t>
        </is>
      </c>
    </row>
    <row r="32" ht="34" customHeight="1">
      <c r="A32" s="12" t="inlineStr">
        <is>
          <t>V4</t>
        </is>
      </c>
      <c r="B32" s="12" t="inlineStr">
        <is>
          <t>Governed cost / forecast view</t>
        </is>
      </c>
      <c r="C32" s="12" t="inlineStr">
        <is>
          <t>What governed cost/forecast amount can be shown by WBS scope?</t>
        </is>
      </c>
      <c r="D32" s="12" t="inlineStr">
        <is>
          <t>No sufficient quantitative contract supplied. | None admitted.</t>
        </is>
      </c>
      <c r="E32" s="12" t="inlineStr">
        <is>
          <t>All amount claims withheld.</t>
        </is>
      </c>
      <c r="F32" s="12" t="inlineStr">
        <is>
          <t>No aggregation performed.</t>
        </is>
      </c>
      <c r="G32" s="12" t="inlineStr">
        <is>
          <t>See Sources &amp; Provenance / Assurance for withholding reason.</t>
        </is>
      </c>
      <c r="H32" s="32" t="n">
        <v>0</v>
      </c>
      <c r="I32" s="12" t="inlineStr">
        <is>
          <t>WITHHELD</t>
        </is>
      </c>
    </row>
  </sheetData>
  <mergeCells count="10">
    <mergeCell ref="A1:D1"/>
    <mergeCell ref="A21:B21"/>
    <mergeCell ref="A24:B24"/>
    <mergeCell ref="A25:B25"/>
    <mergeCell ref="A18:B19"/>
    <mergeCell ref="A2:D2"/>
    <mergeCell ref="A23:B23"/>
    <mergeCell ref="A17:B17"/>
    <mergeCell ref="A27:B27"/>
    <mergeCell ref="A22:B22"/>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tabColor rgb="008B8F97"/>
    <outlinePr summaryBelow="0" summaryRight="0"/>
    <pageSetUpPr fitToPage="1"/>
  </sheetPr>
  <dimension ref="A1:P1657"/>
  <sheetViews>
    <sheetView showGridLines="0" tabSelected="0" topLeftCell="A1" zoomScale="100" zoomScaleNormal="100" workbookViewId="0">
      <pane ySplit="3" topLeftCell="A4" activePane="bottomLeft" state="frozen"/>
      <selection pane="bottomLeft" activeCell="A1" sqref="A1"/>
    </sheetView>
  </sheetViews>
  <sheetFormatPr baseColWidth="8" defaultRowHeight="15"/>
  <cols>
    <col width="34" customWidth="1" min="1" max="1"/>
    <col width="18" customWidth="1" min="2" max="2"/>
    <col width="12" customWidth="1" min="3" max="3"/>
    <col width="12" customWidth="1" min="4" max="4"/>
    <col width="30" customWidth="1" min="5" max="5"/>
    <col width="20" customWidth="1" min="6" max="6"/>
    <col width="19" customWidth="1" min="7" max="7"/>
    <col width="19" customWidth="1" min="8" max="8"/>
    <col width="12" customWidth="1" min="9" max="9"/>
    <col width="11" customWidth="1" min="10" max="10"/>
    <col width="9" customWidth="1" min="11" max="11"/>
    <col width="9" customWidth="1" min="12" max="12"/>
    <col width="9" customWidth="1" min="13" max="13"/>
    <col width="10" customWidth="1" min="14" max="14"/>
    <col width="15" customWidth="1" min="15" max="15"/>
    <col width="26" customWidth="1" min="16" max="16"/>
  </cols>
  <sheetData>
    <row r="1" ht="33.2" customHeight="1">
      <c r="A1" s="97" t="inlineStr">
        <is>
          <t>REVISIONS &amp; PERIODS</t>
        </is>
      </c>
    </row>
    <row r="2" ht="35.92" customHeight="1">
      <c r="A2" s="46" t="inlineStr">
        <is>
          <t>Which reporting revision this workbook is built on, what superseded what, and why only part of the governed relationship state reopened.</t>
        </is>
      </c>
    </row>
    <row r="3" ht="34"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row>
    <row r="4"/>
    <row r="5" ht="44" customHeight="1">
      <c r="A5" s="4" t="inlineStr">
        <is>
          <t>State of record</t>
        </is>
      </c>
      <c r="B5" s="25" t="inlineStr">
        <is>
          <t>MV-1 approved by Maya Chen, Owner Project Controls · 2026-10-16 14:11 UTC</t>
        </is>
      </c>
    </row>
    <row r="6" ht="79" customHeight="1">
      <c r="A6" s="4" t="inlineStr">
        <is>
          <t>Built on these revisions</t>
        </is>
      </c>
      <c r="B6" s="10" t="inlineStr">
        <is>
          <t>Owner WBS (Initial Rev 0); Contractor Programme (Initial Rev 0); Cost &amp; Forecast Control Accounts (Initial Rev 0); Commercial Package Register (Initial Rev 0)</t>
        </is>
      </c>
    </row>
    <row r="7"/>
    <row r="8" ht="34" customHeight="1">
      <c r="A8" s="25" t="inlineStr">
        <is>
          <t>Selective revalidation in this version</t>
        </is>
      </c>
    </row>
    <row r="9" ht="94" customHeight="1">
      <c r="A9" s="27" t="inlineStr">
        <is>
          <t>Relationships (unique) by change since the previous approved version -- the same composition as 07 CHANGES &amp; REVALIDATION. Carried forward work was not rebuilt.</t>
        </is>
      </c>
    </row>
    <row r="10" ht="34" customHeight="1">
      <c r="A10" s="64" t="inlineStr">
        <is>
          <t>Relationships in this version</t>
        </is>
      </c>
      <c r="B10" s="56" t="n">
        <v>1622</v>
      </c>
    </row>
    <row r="11" ht="34" customHeight="1">
      <c r="A11" s="64" t="inlineStr">
        <is>
          <t>Carried forward without rework</t>
        </is>
      </c>
      <c r="B11" s="56" t="n">
        <v>0</v>
      </c>
    </row>
    <row r="12" ht="34" customHeight="1">
      <c r="A12" s="64" t="inlineStr">
        <is>
          <t>Came back and were decided again (changed)</t>
        </is>
      </c>
      <c r="B12" s="56" t="n">
        <v>0</v>
      </c>
    </row>
    <row r="13" ht="19" customHeight="1">
      <c r="A13" s="64" t="inlineStr">
        <is>
          <t>New in this version</t>
        </is>
      </c>
      <c r="B13" s="56" t="n">
        <v>1622</v>
      </c>
    </row>
    <row r="14" ht="34" customHeight="1">
      <c r="A14" s="64" t="inlineStr">
        <is>
          <t>Retired (no longer reported)</t>
        </is>
      </c>
      <c r="B14" s="56" t="n">
        <v>0</v>
      </c>
    </row>
    <row r="15"/>
    <row r="16" ht="19" customHeight="1">
      <c r="A16" s="25" t="inlineStr">
        <is>
          <t>Source revision history</t>
        </is>
      </c>
    </row>
    <row r="17" ht="214" customHeight="1">
      <c r="A17" s="27" t="inlineStr">
        <is>
          <t>Every revision supplied up to this approval, oldest first per source. CURRENT = the revision this version was approved against; SUPERSEDED = replaced within the same reporting period; HISTORICAL = the last revision of an earlier period. Added / Removed / Changed compare each revision's records with the previous revision of the same source (source content, not a relationship decision).</t>
        </is>
      </c>
    </row>
    <row r="18" ht="49" customHeight="1">
      <c r="A18" s="11" t="inlineStr">
        <is>
          <t>Source</t>
        </is>
      </c>
      <c r="B18" s="11" t="inlineStr">
        <is>
          <t>Reporting period</t>
        </is>
      </c>
      <c r="C18" s="11" t="inlineStr">
        <is>
          <t>Revision</t>
        </is>
      </c>
      <c r="D18" s="11" t="inlineStr">
        <is>
          <t>Revision in period</t>
        </is>
      </c>
      <c r="E18" s="11" t="inlineStr">
        <is>
          <t>State</t>
        </is>
      </c>
      <c r="F18" s="11" t="inlineStr">
        <is>
          <t>Superseded by</t>
        </is>
      </c>
      <c r="G18" s="11" t="inlineStr">
        <is>
          <t>Effective from (UTC)</t>
        </is>
      </c>
      <c r="H18" s="11" t="inlineStr">
        <is>
          <t>Effective to (UTC)</t>
        </is>
      </c>
      <c r="I18" s="11" t="inlineStr">
        <is>
          <t>Data date</t>
        </is>
      </c>
      <c r="J18" s="11" t="inlineStr">
        <is>
          <t>Records</t>
        </is>
      </c>
      <c r="K18" s="11" t="inlineStr">
        <is>
          <t>Added</t>
        </is>
      </c>
      <c r="L18" s="11" t="inlineStr">
        <is>
          <t>Removed</t>
        </is>
      </c>
      <c r="M18" s="11" t="inlineStr">
        <is>
          <t>Changed</t>
        </is>
      </c>
      <c r="N18" s="11" t="inlineStr">
        <is>
          <t>Unchanged</t>
        </is>
      </c>
      <c r="O18" s="11" t="inlineStr">
        <is>
          <t>Approval basis</t>
        </is>
      </c>
      <c r="P18" s="11" t="inlineStr">
        <is>
          <t>File (SHA-256, first 12)</t>
        </is>
      </c>
    </row>
    <row r="19" ht="34" customHeight="1">
      <c r="A19" s="55" t="inlineStr">
        <is>
          <t>Owner WBS</t>
        </is>
      </c>
      <c r="B19" s="55" t="inlineStr">
        <is>
          <t>Initial</t>
        </is>
      </c>
      <c r="C19" s="55" t="inlineStr">
        <is>
          <t>Rev 0</t>
        </is>
      </c>
      <c r="D19" s="56" t="n">
        <v>0</v>
      </c>
      <c r="E19" s="55" t="inlineStr">
        <is>
          <t>CURRENT</t>
        </is>
      </c>
      <c r="F19" s="55" t="inlineStr"/>
      <c r="G19" s="55" t="inlineStr">
        <is>
          <t>2026-10-16 14:10:28</t>
        </is>
      </c>
      <c r="H19" s="55" t="inlineStr"/>
      <c r="I19" s="55" t="inlineStr">
        <is>
          <t>2026-06-30</t>
        </is>
      </c>
      <c r="J19" s="56" t="n">
        <v>79</v>
      </c>
      <c r="K19" s="55" t="inlineStr"/>
      <c r="L19" s="55" t="inlineStr"/>
      <c r="M19" s="55" t="inlineStr"/>
      <c r="N19" s="55" t="inlineStr"/>
      <c r="O19" s="55" t="inlineStr">
        <is>
          <t>Approved basis</t>
        </is>
      </c>
      <c r="P19" s="55" t="inlineStr">
        <is>
          <t>37a40d25ac86</t>
        </is>
      </c>
    </row>
    <row r="20" ht="34" customHeight="1">
      <c r="A20" s="55" t="inlineStr">
        <is>
          <t>Contractor Programme</t>
        </is>
      </c>
      <c r="B20" s="55" t="inlineStr">
        <is>
          <t>Initial</t>
        </is>
      </c>
      <c r="C20" s="55" t="inlineStr">
        <is>
          <t>Rev 0</t>
        </is>
      </c>
      <c r="D20" s="56" t="n">
        <v>0</v>
      </c>
      <c r="E20" s="55" t="inlineStr">
        <is>
          <t>CURRENT</t>
        </is>
      </c>
      <c r="F20" s="55" t="inlineStr"/>
      <c r="G20" s="55" t="inlineStr">
        <is>
          <t>2026-10-16 14:10:29</t>
        </is>
      </c>
      <c r="H20" s="55" t="inlineStr"/>
      <c r="I20" s="55" t="inlineStr">
        <is>
          <t>2026-06-30</t>
        </is>
      </c>
      <c r="J20" s="56" t="n">
        <v>1082</v>
      </c>
      <c r="K20" s="55" t="inlineStr"/>
      <c r="L20" s="55" t="inlineStr"/>
      <c r="M20" s="55" t="inlineStr"/>
      <c r="N20" s="55" t="inlineStr"/>
      <c r="O20" s="55" t="inlineStr">
        <is>
          <t>Approved basis</t>
        </is>
      </c>
      <c r="P20" s="55" t="inlineStr">
        <is>
          <t>3fd2ce3d07c0</t>
        </is>
      </c>
    </row>
    <row r="21" ht="34" customHeight="1">
      <c r="A21" s="55" t="inlineStr">
        <is>
          <t>Cost &amp; Forecast Control Accounts</t>
        </is>
      </c>
      <c r="B21" s="55" t="inlineStr">
        <is>
          <t>Initial</t>
        </is>
      </c>
      <c r="C21" s="55" t="inlineStr">
        <is>
          <t>Rev 0</t>
        </is>
      </c>
      <c r="D21" s="56" t="n">
        <v>0</v>
      </c>
      <c r="E21" s="55" t="inlineStr">
        <is>
          <t>CURRENT</t>
        </is>
      </c>
      <c r="F21" s="55" t="inlineStr"/>
      <c r="G21" s="55" t="inlineStr">
        <is>
          <t>2026-10-16 14:10:30</t>
        </is>
      </c>
      <c r="H21" s="55" t="inlineStr"/>
      <c r="I21" s="55" t="inlineStr">
        <is>
          <t>2026-06-30</t>
        </is>
      </c>
      <c r="J21" s="56" t="n">
        <v>480</v>
      </c>
      <c r="K21" s="55" t="inlineStr"/>
      <c r="L21" s="55" t="inlineStr"/>
      <c r="M21" s="55" t="inlineStr"/>
      <c r="N21" s="55" t="inlineStr"/>
      <c r="O21" s="55" t="inlineStr">
        <is>
          <t>Approved basis</t>
        </is>
      </c>
      <c r="P21" s="55" t="inlineStr">
        <is>
          <t>729f36ae0e36</t>
        </is>
      </c>
    </row>
    <row r="22" ht="34" customHeight="1">
      <c r="A22" s="55" t="inlineStr">
        <is>
          <t>Commercial Package Register</t>
        </is>
      </c>
      <c r="B22" s="55" t="inlineStr">
        <is>
          <t>Initial</t>
        </is>
      </c>
      <c r="C22" s="55" t="inlineStr">
        <is>
          <t>Rev 0</t>
        </is>
      </c>
      <c r="D22" s="56" t="n">
        <v>0</v>
      </c>
      <c r="E22" s="55" t="inlineStr">
        <is>
          <t>CURRENT</t>
        </is>
      </c>
      <c r="F22" s="55" t="inlineStr"/>
      <c r="G22" s="55" t="inlineStr">
        <is>
          <t>2026-10-16 14:10:30</t>
        </is>
      </c>
      <c r="H22" s="55" t="inlineStr"/>
      <c r="I22" s="55" t="inlineStr">
        <is>
          <t>2026-06-30</t>
        </is>
      </c>
      <c r="J22" s="56" t="n">
        <v>60</v>
      </c>
      <c r="K22" s="55" t="inlineStr"/>
      <c r="L22" s="55" t="inlineStr"/>
      <c r="M22" s="55" t="inlineStr"/>
      <c r="N22" s="55" t="inlineStr"/>
      <c r="O22" s="55" t="inlineStr">
        <is>
          <t>Approved basis</t>
        </is>
      </c>
      <c r="P22" s="55" t="inlineStr">
        <is>
          <t>69e50b85c924</t>
        </is>
      </c>
    </row>
    <row r="23"/>
    <row r="24" ht="19" customHeight="1">
      <c r="A24" s="25" t="inlineStr">
        <is>
          <t>Approval history</t>
        </is>
      </c>
    </row>
    <row r="25" ht="94" customHeight="1">
      <c r="A25" s="27" t="inlineStr">
        <is>
          <t>Each approved mapping version, the source revisions it was approved against, and how much of its relationship state was carried forward versus decided again.</t>
        </is>
      </c>
    </row>
    <row r="26" ht="34" customHeight="1">
      <c r="A26" s="11" t="inlineStr">
        <is>
          <t>Stable mapping reference</t>
        </is>
      </c>
      <c r="B26" s="11" t="inlineStr">
        <is>
          <t>Status</t>
        </is>
      </c>
      <c r="C26" s="11" t="inlineStr">
        <is>
          <t>Approved by</t>
        </is>
      </c>
      <c r="D26" s="11" t="inlineStr">
        <is>
          <t>Approved at (UTC)</t>
        </is>
      </c>
      <c r="E26" s="11" t="inlineStr">
        <is>
          <t>Approved against</t>
        </is>
      </c>
      <c r="F26" s="11" t="inlineStr">
        <is>
          <t>Relationships</t>
        </is>
      </c>
      <c r="G26" s="11" t="inlineStr">
        <is>
          <t>Carried forward</t>
        </is>
      </c>
      <c r="H26" s="11" t="inlineStr">
        <is>
          <t>Changed, re-decided</t>
        </is>
      </c>
      <c r="I26" s="11" t="inlineStr">
        <is>
          <t>New</t>
        </is>
      </c>
      <c r="J26" s="11" t="inlineStr">
        <is>
          <t>Retired</t>
        </is>
      </c>
    </row>
    <row r="27" ht="139" customHeight="1">
      <c r="A27" s="55" t="inlineStr">
        <is>
          <t>MV-1</t>
        </is>
      </c>
      <c r="B27" s="55" t="inlineStr">
        <is>
          <t>State of record</t>
        </is>
      </c>
      <c r="C27" s="55" t="inlineStr">
        <is>
          <t>Maya Chen, Owner Project Controls</t>
        </is>
      </c>
      <c r="D27" s="55" t="inlineStr">
        <is>
          <t>2026-10-16 14:11:18</t>
        </is>
      </c>
      <c r="E27" s="55" t="inlineStr">
        <is>
          <t>Owner WBS (Initial Rev 0); Contractor Programme (Initial Rev 0); Cost &amp; Forecast Control Accounts (Initial Rev 0); Commercial Package Register (Initial Rev 0)</t>
        </is>
      </c>
      <c r="F27" s="56" t="n">
        <v>1622</v>
      </c>
      <c r="G27" s="56" t="n">
        <v>0</v>
      </c>
      <c r="H27" s="56" t="n">
        <v>0</v>
      </c>
      <c r="I27" s="56" t="n">
        <v>1622</v>
      </c>
      <c r="J27" s="56" t="n">
        <v>0</v>
      </c>
    </row>
    <row r="28"/>
    <row r="29" ht="34" customHeight="1">
      <c r="A29" s="25" t="inlineStr">
        <is>
          <t>Came back for a decision in this version</t>
        </is>
      </c>
    </row>
    <row r="30" ht="79" customHeight="1">
      <c r="A30" s="27" t="inlineStr">
        <is>
          <t>Only these relationships were reopened, new or retired; every other relationship was carried forward with its original basis and approver.</t>
        </is>
      </c>
    </row>
    <row r="31" ht="30" customHeight="1">
      <c r="A31" s="11" t="inlineStr">
        <is>
          <t>Relationship</t>
        </is>
      </c>
      <c r="B31" s="11" t="inlineStr">
        <is>
          <t>Record</t>
        </is>
      </c>
      <c r="C31" s="11" t="inlineStr">
        <is>
          <t>Change</t>
        </is>
      </c>
      <c r="D31" s="11" t="inlineStr">
        <is>
          <t>Reason</t>
        </is>
      </c>
      <c r="E31" s="11" t="inlineStr">
        <is>
          <t>Decided by</t>
        </is>
      </c>
      <c r="F31" s="11" t="inlineStr">
        <is>
          <t>Evidence</t>
        </is>
      </c>
    </row>
    <row r="32" ht="79" customHeight="1">
      <c r="A32" s="12" t="inlineStr">
        <is>
          <t>R1083-v1</t>
        </is>
      </c>
      <c r="B32" s="12" t="inlineStr">
        <is>
          <t>CST-01-001</t>
        </is>
      </c>
      <c r="C32" s="12" t="inlineStr">
        <is>
          <t>New</t>
        </is>
      </c>
      <c r="D32" s="12" t="inlineStr">
        <is>
          <t>Record first supplied in this revision</t>
        </is>
      </c>
      <c r="E32" s="12" t="inlineStr"/>
      <c r="F32" s="65" t="inlineStr">
        <is>
          <t>10 EVIDENCE &amp; DECISIONS</t>
        </is>
      </c>
      <c r="G32" s="14" t="n"/>
    </row>
    <row r="33" ht="79" customHeight="1">
      <c r="A33" s="12" t="inlineStr">
        <is>
          <t>R1084-v1</t>
        </is>
      </c>
      <c r="B33" s="12" t="inlineStr">
        <is>
          <t>CST-01-002</t>
        </is>
      </c>
      <c r="C33" s="12" t="inlineStr">
        <is>
          <t>New</t>
        </is>
      </c>
      <c r="D33" s="12" t="inlineStr">
        <is>
          <t>Record first supplied in this revision</t>
        </is>
      </c>
      <c r="E33" s="12" t="inlineStr"/>
      <c r="F33" s="65" t="inlineStr">
        <is>
          <t>10 EVIDENCE &amp; DECISIONS</t>
        </is>
      </c>
      <c r="G33" s="14" t="n"/>
    </row>
    <row r="34" ht="79" customHeight="1">
      <c r="A34" s="12" t="inlineStr">
        <is>
          <t>R1085-v1</t>
        </is>
      </c>
      <c r="B34" s="12" t="inlineStr">
        <is>
          <t>CST-01-003</t>
        </is>
      </c>
      <c r="C34" s="12" t="inlineStr">
        <is>
          <t>New</t>
        </is>
      </c>
      <c r="D34" s="12" t="inlineStr">
        <is>
          <t>Record first supplied in this revision</t>
        </is>
      </c>
      <c r="E34" s="12" t="inlineStr"/>
      <c r="F34" s="65" t="inlineStr">
        <is>
          <t>10 EVIDENCE &amp; DECISIONS</t>
        </is>
      </c>
      <c r="G34" s="14" t="n"/>
    </row>
    <row r="35" ht="79" customHeight="1">
      <c r="A35" s="12" t="inlineStr">
        <is>
          <t>R1086-v1</t>
        </is>
      </c>
      <c r="B35" s="12" t="inlineStr">
        <is>
          <t>CST-01-004</t>
        </is>
      </c>
      <c r="C35" s="12" t="inlineStr">
        <is>
          <t>New</t>
        </is>
      </c>
      <c r="D35" s="12" t="inlineStr">
        <is>
          <t>Record first supplied in this revision</t>
        </is>
      </c>
      <c r="E35" s="12" t="inlineStr"/>
      <c r="F35" s="65" t="inlineStr">
        <is>
          <t>10 EVIDENCE &amp; DECISIONS</t>
        </is>
      </c>
      <c r="G35" s="14" t="n"/>
    </row>
    <row r="36" ht="79" customHeight="1">
      <c r="A36" s="12" t="inlineStr">
        <is>
          <t>R1087-v1</t>
        </is>
      </c>
      <c r="B36" s="12" t="inlineStr">
        <is>
          <t>CST-01-005</t>
        </is>
      </c>
      <c r="C36" s="12" t="inlineStr">
        <is>
          <t>New</t>
        </is>
      </c>
      <c r="D36" s="12" t="inlineStr">
        <is>
          <t>Record first supplied in this revision</t>
        </is>
      </c>
      <c r="E36" s="12" t="inlineStr"/>
      <c r="F36" s="65" t="inlineStr">
        <is>
          <t>10 EVIDENCE &amp; DECISIONS</t>
        </is>
      </c>
      <c r="G36" s="14" t="n"/>
    </row>
    <row r="37" ht="79" customHeight="1">
      <c r="A37" s="12" t="inlineStr">
        <is>
          <t>R1088-v1</t>
        </is>
      </c>
      <c r="B37" s="12" t="inlineStr">
        <is>
          <t>CST-01-006</t>
        </is>
      </c>
      <c r="C37" s="12" t="inlineStr">
        <is>
          <t>New</t>
        </is>
      </c>
      <c r="D37" s="12" t="inlineStr">
        <is>
          <t>Record first supplied in this revision</t>
        </is>
      </c>
      <c r="E37" s="12" t="inlineStr"/>
      <c r="F37" s="65" t="inlineStr">
        <is>
          <t>10 EVIDENCE &amp; DECISIONS</t>
        </is>
      </c>
      <c r="G37" s="14" t="n"/>
    </row>
    <row r="38" ht="79" customHeight="1">
      <c r="A38" s="12" t="inlineStr">
        <is>
          <t>R1089-v1</t>
        </is>
      </c>
      <c r="B38" s="12" t="inlineStr">
        <is>
          <t>CST-01-007</t>
        </is>
      </c>
      <c r="C38" s="12" t="inlineStr">
        <is>
          <t>New</t>
        </is>
      </c>
      <c r="D38" s="12" t="inlineStr">
        <is>
          <t>Record first supplied in this revision</t>
        </is>
      </c>
      <c r="E38" s="12" t="inlineStr"/>
      <c r="F38" s="65" t="inlineStr">
        <is>
          <t>10 EVIDENCE &amp; DECISIONS</t>
        </is>
      </c>
      <c r="G38" s="14" t="n"/>
    </row>
    <row r="39" ht="79" customHeight="1">
      <c r="A39" s="12" t="inlineStr">
        <is>
          <t>R1090-v1</t>
        </is>
      </c>
      <c r="B39" s="12" t="inlineStr">
        <is>
          <t>CST-01-008</t>
        </is>
      </c>
      <c r="C39" s="12" t="inlineStr">
        <is>
          <t>New</t>
        </is>
      </c>
      <c r="D39" s="12" t="inlineStr">
        <is>
          <t>Record first supplied in this revision</t>
        </is>
      </c>
      <c r="E39" s="12" t="inlineStr"/>
      <c r="F39" s="65" t="inlineStr">
        <is>
          <t>10 EVIDENCE &amp; DECISIONS</t>
        </is>
      </c>
      <c r="G39" s="14" t="n"/>
    </row>
    <row r="40" ht="79" customHeight="1">
      <c r="A40" s="12" t="inlineStr">
        <is>
          <t>R1091-v1</t>
        </is>
      </c>
      <c r="B40" s="12" t="inlineStr">
        <is>
          <t>CST-01-009</t>
        </is>
      </c>
      <c r="C40" s="12" t="inlineStr">
        <is>
          <t>New</t>
        </is>
      </c>
      <c r="D40" s="12" t="inlineStr">
        <is>
          <t>Record first supplied in this revision</t>
        </is>
      </c>
      <c r="E40" s="12" t="inlineStr"/>
      <c r="F40" s="65" t="inlineStr">
        <is>
          <t>10 EVIDENCE &amp; DECISIONS</t>
        </is>
      </c>
      <c r="G40" s="14" t="n"/>
    </row>
    <row r="41" ht="79" customHeight="1">
      <c r="A41" s="12" t="inlineStr">
        <is>
          <t>R1092-v1</t>
        </is>
      </c>
      <c r="B41" s="12" t="inlineStr">
        <is>
          <t>CST-01-010</t>
        </is>
      </c>
      <c r="C41" s="12" t="inlineStr">
        <is>
          <t>New</t>
        </is>
      </c>
      <c r="D41" s="12" t="inlineStr">
        <is>
          <t>Record first supplied in this revision</t>
        </is>
      </c>
      <c r="E41" s="12" t="inlineStr"/>
      <c r="F41" s="65" t="inlineStr">
        <is>
          <t>10 EVIDENCE &amp; DECISIONS</t>
        </is>
      </c>
      <c r="G41" s="14" t="n"/>
    </row>
    <row r="42" ht="79" customHeight="1">
      <c r="A42" s="12" t="inlineStr">
        <is>
          <t>R1093-v1</t>
        </is>
      </c>
      <c r="B42" s="12" t="inlineStr">
        <is>
          <t>CST-01-011</t>
        </is>
      </c>
      <c r="C42" s="12" t="inlineStr">
        <is>
          <t>New</t>
        </is>
      </c>
      <c r="D42" s="12" t="inlineStr">
        <is>
          <t>Record first supplied in this revision</t>
        </is>
      </c>
      <c r="E42" s="12" t="inlineStr"/>
      <c r="F42" s="65" t="inlineStr">
        <is>
          <t>10 EVIDENCE &amp; DECISIONS</t>
        </is>
      </c>
      <c r="G42" s="14" t="n"/>
    </row>
    <row r="43" ht="79" customHeight="1">
      <c r="A43" s="12" t="inlineStr">
        <is>
          <t>R1094-v1</t>
        </is>
      </c>
      <c r="B43" s="12" t="inlineStr">
        <is>
          <t>CST-01-012</t>
        </is>
      </c>
      <c r="C43" s="12" t="inlineStr">
        <is>
          <t>New</t>
        </is>
      </c>
      <c r="D43" s="12" t="inlineStr">
        <is>
          <t>Record first supplied in this revision</t>
        </is>
      </c>
      <c r="E43" s="12" t="inlineStr"/>
      <c r="F43" s="65" t="inlineStr">
        <is>
          <t>10 EVIDENCE &amp; DECISIONS</t>
        </is>
      </c>
      <c r="G43" s="14" t="n"/>
    </row>
    <row r="44" ht="79" customHeight="1">
      <c r="A44" s="12" t="inlineStr">
        <is>
          <t>R1095-v1</t>
        </is>
      </c>
      <c r="B44" s="12" t="inlineStr">
        <is>
          <t>CST-01-013</t>
        </is>
      </c>
      <c r="C44" s="12" t="inlineStr">
        <is>
          <t>New</t>
        </is>
      </c>
      <c r="D44" s="12" t="inlineStr">
        <is>
          <t>Record first supplied in this revision</t>
        </is>
      </c>
      <c r="E44" s="12" t="inlineStr"/>
      <c r="F44" s="65" t="inlineStr">
        <is>
          <t>10 EVIDENCE &amp; DECISIONS</t>
        </is>
      </c>
      <c r="G44" s="14" t="n"/>
    </row>
    <row r="45" ht="79" customHeight="1">
      <c r="A45" s="12" t="inlineStr">
        <is>
          <t>R1096-v1</t>
        </is>
      </c>
      <c r="B45" s="12" t="inlineStr">
        <is>
          <t>CST-01-014</t>
        </is>
      </c>
      <c r="C45" s="12" t="inlineStr">
        <is>
          <t>New</t>
        </is>
      </c>
      <c r="D45" s="12" t="inlineStr">
        <is>
          <t>Record first supplied in this revision</t>
        </is>
      </c>
      <c r="E45" s="12" t="inlineStr"/>
      <c r="F45" s="65" t="inlineStr">
        <is>
          <t>10 EVIDENCE &amp; DECISIONS</t>
        </is>
      </c>
      <c r="G45" s="14" t="n"/>
    </row>
    <row r="46" ht="79" customHeight="1">
      <c r="A46" s="12" t="inlineStr">
        <is>
          <t>R1097-v1</t>
        </is>
      </c>
      <c r="B46" s="12" t="inlineStr">
        <is>
          <t>CST-01-015</t>
        </is>
      </c>
      <c r="C46" s="12" t="inlineStr">
        <is>
          <t>New</t>
        </is>
      </c>
      <c r="D46" s="12" t="inlineStr">
        <is>
          <t>Record first supplied in this revision</t>
        </is>
      </c>
      <c r="E46" s="12" t="inlineStr"/>
      <c r="F46" s="65" t="inlineStr">
        <is>
          <t>10 EVIDENCE &amp; DECISIONS</t>
        </is>
      </c>
      <c r="G46" s="14" t="n"/>
    </row>
    <row r="47" ht="79" customHeight="1">
      <c r="A47" s="12" t="inlineStr">
        <is>
          <t>R1098-v1</t>
        </is>
      </c>
      <c r="B47" s="12" t="inlineStr">
        <is>
          <t>CST-01-016</t>
        </is>
      </c>
      <c r="C47" s="12" t="inlineStr">
        <is>
          <t>New</t>
        </is>
      </c>
      <c r="D47" s="12" t="inlineStr">
        <is>
          <t>Record first supplied in this revision</t>
        </is>
      </c>
      <c r="E47" s="12" t="inlineStr"/>
      <c r="F47" s="65" t="inlineStr">
        <is>
          <t>10 EVIDENCE &amp; DECISIONS</t>
        </is>
      </c>
      <c r="G47" s="14" t="n"/>
    </row>
    <row r="48" ht="79" customHeight="1">
      <c r="A48" s="12" t="inlineStr">
        <is>
          <t>R1099-v1</t>
        </is>
      </c>
      <c r="B48" s="12" t="inlineStr">
        <is>
          <t>CST-01-017</t>
        </is>
      </c>
      <c r="C48" s="12" t="inlineStr">
        <is>
          <t>New</t>
        </is>
      </c>
      <c r="D48" s="12" t="inlineStr">
        <is>
          <t>Record first supplied in this revision</t>
        </is>
      </c>
      <c r="E48" s="12" t="inlineStr"/>
      <c r="F48" s="65" t="inlineStr">
        <is>
          <t>10 EVIDENCE &amp; DECISIONS</t>
        </is>
      </c>
      <c r="G48" s="14" t="n"/>
    </row>
    <row r="49" ht="79" customHeight="1">
      <c r="A49" s="12" t="inlineStr">
        <is>
          <t>R1100-v1</t>
        </is>
      </c>
      <c r="B49" s="12" t="inlineStr">
        <is>
          <t>CST-01-018</t>
        </is>
      </c>
      <c r="C49" s="12" t="inlineStr">
        <is>
          <t>New</t>
        </is>
      </c>
      <c r="D49" s="12" t="inlineStr">
        <is>
          <t>Record first supplied in this revision</t>
        </is>
      </c>
      <c r="E49" s="12" t="inlineStr"/>
      <c r="F49" s="65" t="inlineStr">
        <is>
          <t>10 EVIDENCE &amp; DECISIONS</t>
        </is>
      </c>
      <c r="G49" s="14" t="n"/>
    </row>
    <row r="50" ht="79" customHeight="1">
      <c r="A50" s="12" t="inlineStr">
        <is>
          <t>R1101-v1</t>
        </is>
      </c>
      <c r="B50" s="12" t="inlineStr">
        <is>
          <t>CST-01-019</t>
        </is>
      </c>
      <c r="C50" s="12" t="inlineStr">
        <is>
          <t>New</t>
        </is>
      </c>
      <c r="D50" s="12" t="inlineStr">
        <is>
          <t>Record first supplied in this revision</t>
        </is>
      </c>
      <c r="E50" s="12" t="inlineStr"/>
      <c r="F50" s="65" t="inlineStr">
        <is>
          <t>10 EVIDENCE &amp; DECISIONS</t>
        </is>
      </c>
      <c r="G50" s="14" t="n"/>
    </row>
    <row r="51" ht="79" customHeight="1">
      <c r="A51" s="12" t="inlineStr">
        <is>
          <t>R1102-v1</t>
        </is>
      </c>
      <c r="B51" s="12" t="inlineStr">
        <is>
          <t>CST-01-020</t>
        </is>
      </c>
      <c r="C51" s="12" t="inlineStr">
        <is>
          <t>New</t>
        </is>
      </c>
      <c r="D51" s="12" t="inlineStr">
        <is>
          <t>Record first supplied in this revision</t>
        </is>
      </c>
      <c r="E51" s="12" t="inlineStr"/>
      <c r="F51" s="65" t="inlineStr">
        <is>
          <t>10 EVIDENCE &amp; DECISIONS</t>
        </is>
      </c>
      <c r="G51" s="14" t="n"/>
    </row>
    <row r="52" ht="79" customHeight="1">
      <c r="A52" s="12" t="inlineStr">
        <is>
          <t>R1103-v1</t>
        </is>
      </c>
      <c r="B52" s="12" t="inlineStr">
        <is>
          <t>CST-01-021</t>
        </is>
      </c>
      <c r="C52" s="12" t="inlineStr">
        <is>
          <t>New</t>
        </is>
      </c>
      <c r="D52" s="12" t="inlineStr">
        <is>
          <t>Record first supplied in this revision</t>
        </is>
      </c>
      <c r="E52" s="12" t="inlineStr"/>
      <c r="F52" s="65" t="inlineStr">
        <is>
          <t>10 EVIDENCE &amp; DECISIONS</t>
        </is>
      </c>
      <c r="G52" s="14" t="n"/>
    </row>
    <row r="53" ht="79" customHeight="1">
      <c r="A53" s="12" t="inlineStr">
        <is>
          <t>R1104-v1</t>
        </is>
      </c>
      <c r="B53" s="12" t="inlineStr">
        <is>
          <t>CST-01-022</t>
        </is>
      </c>
      <c r="C53" s="12" t="inlineStr">
        <is>
          <t>New</t>
        </is>
      </c>
      <c r="D53" s="12" t="inlineStr">
        <is>
          <t>Record first supplied in this revision</t>
        </is>
      </c>
      <c r="E53" s="12" t="inlineStr"/>
      <c r="F53" s="65" t="inlineStr">
        <is>
          <t>10 EVIDENCE &amp; DECISIONS</t>
        </is>
      </c>
      <c r="G53" s="14" t="n"/>
    </row>
    <row r="54" ht="79" customHeight="1">
      <c r="A54" s="12" t="inlineStr">
        <is>
          <t>R1105-v1</t>
        </is>
      </c>
      <c r="B54" s="12" t="inlineStr">
        <is>
          <t>CST-01-023</t>
        </is>
      </c>
      <c r="C54" s="12" t="inlineStr">
        <is>
          <t>New</t>
        </is>
      </c>
      <c r="D54" s="12" t="inlineStr">
        <is>
          <t>Record first supplied in this revision</t>
        </is>
      </c>
      <c r="E54" s="12" t="inlineStr"/>
      <c r="F54" s="65" t="inlineStr">
        <is>
          <t>10 EVIDENCE &amp; DECISIONS</t>
        </is>
      </c>
      <c r="G54" s="14" t="n"/>
    </row>
    <row r="55" ht="79" customHeight="1">
      <c r="A55" s="12" t="inlineStr">
        <is>
          <t>R1106-v1</t>
        </is>
      </c>
      <c r="B55" s="12" t="inlineStr">
        <is>
          <t>CST-01-024</t>
        </is>
      </c>
      <c r="C55" s="12" t="inlineStr">
        <is>
          <t>New</t>
        </is>
      </c>
      <c r="D55" s="12" t="inlineStr">
        <is>
          <t>Record first supplied in this revision</t>
        </is>
      </c>
      <c r="E55" s="12" t="inlineStr"/>
      <c r="F55" s="65" t="inlineStr">
        <is>
          <t>10 EVIDENCE &amp; DECISIONS</t>
        </is>
      </c>
      <c r="G55" s="14" t="n"/>
    </row>
    <row r="56" ht="79" customHeight="1">
      <c r="A56" s="12" t="inlineStr">
        <is>
          <t>R1107-v1</t>
        </is>
      </c>
      <c r="B56" s="12" t="inlineStr">
        <is>
          <t>CST-01-025</t>
        </is>
      </c>
      <c r="C56" s="12" t="inlineStr">
        <is>
          <t>New</t>
        </is>
      </c>
      <c r="D56" s="12" t="inlineStr">
        <is>
          <t>Record first supplied in this revision</t>
        </is>
      </c>
      <c r="E56" s="12" t="inlineStr"/>
      <c r="F56" s="65" t="inlineStr">
        <is>
          <t>10 EVIDENCE &amp; DECISIONS</t>
        </is>
      </c>
      <c r="G56" s="14" t="n"/>
    </row>
    <row r="57" ht="79" customHeight="1">
      <c r="A57" s="12" t="inlineStr">
        <is>
          <t>R1108-v1</t>
        </is>
      </c>
      <c r="B57" s="12" t="inlineStr">
        <is>
          <t>CST-01-026</t>
        </is>
      </c>
      <c r="C57" s="12" t="inlineStr">
        <is>
          <t>New</t>
        </is>
      </c>
      <c r="D57" s="12" t="inlineStr">
        <is>
          <t>Record first supplied in this revision</t>
        </is>
      </c>
      <c r="E57" s="12" t="inlineStr"/>
      <c r="F57" s="65" t="inlineStr">
        <is>
          <t>10 EVIDENCE &amp; DECISIONS</t>
        </is>
      </c>
      <c r="G57" s="14" t="n"/>
    </row>
    <row r="58" ht="79" customHeight="1">
      <c r="A58" s="12" t="inlineStr">
        <is>
          <t>R1109-v1</t>
        </is>
      </c>
      <c r="B58" s="12" t="inlineStr">
        <is>
          <t>CST-01-027</t>
        </is>
      </c>
      <c r="C58" s="12" t="inlineStr">
        <is>
          <t>New</t>
        </is>
      </c>
      <c r="D58" s="12" t="inlineStr">
        <is>
          <t>Record first supplied in this revision</t>
        </is>
      </c>
      <c r="E58" s="12" t="inlineStr"/>
      <c r="F58" s="65" t="inlineStr">
        <is>
          <t>10 EVIDENCE &amp; DECISIONS</t>
        </is>
      </c>
      <c r="G58" s="14" t="n"/>
    </row>
    <row r="59" ht="79" customHeight="1">
      <c r="A59" s="12" t="inlineStr">
        <is>
          <t>R1110-v1</t>
        </is>
      </c>
      <c r="B59" s="12" t="inlineStr">
        <is>
          <t>CST-01-028</t>
        </is>
      </c>
      <c r="C59" s="12" t="inlineStr">
        <is>
          <t>New</t>
        </is>
      </c>
      <c r="D59" s="12" t="inlineStr">
        <is>
          <t>Record first supplied in this revision</t>
        </is>
      </c>
      <c r="E59" s="12" t="inlineStr"/>
      <c r="F59" s="65" t="inlineStr">
        <is>
          <t>10 EVIDENCE &amp; DECISIONS</t>
        </is>
      </c>
      <c r="G59" s="14" t="n"/>
    </row>
    <row r="60" ht="79" customHeight="1">
      <c r="A60" s="12" t="inlineStr">
        <is>
          <t>R1111-v1</t>
        </is>
      </c>
      <c r="B60" s="12" t="inlineStr">
        <is>
          <t>CST-01-029</t>
        </is>
      </c>
      <c r="C60" s="12" t="inlineStr">
        <is>
          <t>New</t>
        </is>
      </c>
      <c r="D60" s="12" t="inlineStr">
        <is>
          <t>Record first supplied in this revision</t>
        </is>
      </c>
      <c r="E60" s="12" t="inlineStr"/>
      <c r="F60" s="65" t="inlineStr">
        <is>
          <t>10 EVIDENCE &amp; DECISIONS</t>
        </is>
      </c>
      <c r="G60" s="14" t="n"/>
    </row>
    <row r="61" ht="79" customHeight="1">
      <c r="A61" s="12" t="inlineStr">
        <is>
          <t>R1112-v1</t>
        </is>
      </c>
      <c r="B61" s="12" t="inlineStr">
        <is>
          <t>CST-01-030</t>
        </is>
      </c>
      <c r="C61" s="12" t="inlineStr">
        <is>
          <t>New</t>
        </is>
      </c>
      <c r="D61" s="12" t="inlineStr">
        <is>
          <t>Record first supplied in this revision</t>
        </is>
      </c>
      <c r="E61" s="12" t="inlineStr"/>
      <c r="F61" s="65" t="inlineStr">
        <is>
          <t>10 EVIDENCE &amp; DECISIONS</t>
        </is>
      </c>
      <c r="G61" s="14" t="n"/>
    </row>
    <row r="62" ht="79" customHeight="1">
      <c r="A62" s="12" t="inlineStr">
        <is>
          <t>R1113-v1</t>
        </is>
      </c>
      <c r="B62" s="12" t="inlineStr">
        <is>
          <t>CST-01-031</t>
        </is>
      </c>
      <c r="C62" s="12" t="inlineStr">
        <is>
          <t>New</t>
        </is>
      </c>
      <c r="D62" s="12" t="inlineStr">
        <is>
          <t>Record first supplied in this revision</t>
        </is>
      </c>
      <c r="E62" s="12" t="inlineStr"/>
      <c r="F62" s="65" t="inlineStr">
        <is>
          <t>10 EVIDENCE &amp; DECISIONS</t>
        </is>
      </c>
      <c r="G62" s="14" t="n"/>
    </row>
    <row r="63" ht="79" customHeight="1">
      <c r="A63" s="12" t="inlineStr">
        <is>
          <t>R1114-v1</t>
        </is>
      </c>
      <c r="B63" s="12" t="inlineStr">
        <is>
          <t>CST-01-032</t>
        </is>
      </c>
      <c r="C63" s="12" t="inlineStr">
        <is>
          <t>New</t>
        </is>
      </c>
      <c r="D63" s="12" t="inlineStr">
        <is>
          <t>Record first supplied in this revision</t>
        </is>
      </c>
      <c r="E63" s="12" t="inlineStr"/>
      <c r="F63" s="65" t="inlineStr">
        <is>
          <t>10 EVIDENCE &amp; DECISIONS</t>
        </is>
      </c>
      <c r="G63" s="14" t="n"/>
    </row>
    <row r="64" ht="79" customHeight="1">
      <c r="A64" s="12" t="inlineStr">
        <is>
          <t>R1115-v1</t>
        </is>
      </c>
      <c r="B64" s="12" t="inlineStr">
        <is>
          <t>CST-01-033</t>
        </is>
      </c>
      <c r="C64" s="12" t="inlineStr">
        <is>
          <t>New</t>
        </is>
      </c>
      <c r="D64" s="12" t="inlineStr">
        <is>
          <t>Record first supplied in this revision</t>
        </is>
      </c>
      <c r="E64" s="12" t="inlineStr"/>
      <c r="F64" s="65" t="inlineStr">
        <is>
          <t>10 EVIDENCE &amp; DECISIONS</t>
        </is>
      </c>
      <c r="G64" s="14" t="n"/>
    </row>
    <row r="65" ht="79" customHeight="1">
      <c r="A65" s="12" t="inlineStr">
        <is>
          <t>R1116-v1</t>
        </is>
      </c>
      <c r="B65" s="12" t="inlineStr">
        <is>
          <t>CST-01-034</t>
        </is>
      </c>
      <c r="C65" s="12" t="inlineStr">
        <is>
          <t>New</t>
        </is>
      </c>
      <c r="D65" s="12" t="inlineStr">
        <is>
          <t>Record first supplied in this revision</t>
        </is>
      </c>
      <c r="E65" s="12" t="inlineStr"/>
      <c r="F65" s="65" t="inlineStr">
        <is>
          <t>10 EVIDENCE &amp; DECISIONS</t>
        </is>
      </c>
      <c r="G65" s="14" t="n"/>
    </row>
    <row r="66" ht="79" customHeight="1">
      <c r="A66" s="12" t="inlineStr">
        <is>
          <t>R1117-v1</t>
        </is>
      </c>
      <c r="B66" s="12" t="inlineStr">
        <is>
          <t>CST-01-035</t>
        </is>
      </c>
      <c r="C66" s="12" t="inlineStr">
        <is>
          <t>New</t>
        </is>
      </c>
      <c r="D66" s="12" t="inlineStr">
        <is>
          <t>Record first supplied in this revision</t>
        </is>
      </c>
      <c r="E66" s="12" t="inlineStr"/>
      <c r="F66" s="65" t="inlineStr">
        <is>
          <t>10 EVIDENCE &amp; DECISIONS</t>
        </is>
      </c>
      <c r="G66" s="14" t="n"/>
    </row>
    <row r="67" ht="79" customHeight="1">
      <c r="A67" s="12" t="inlineStr">
        <is>
          <t>R1118-v1</t>
        </is>
      </c>
      <c r="B67" s="12" t="inlineStr">
        <is>
          <t>CST-01-036</t>
        </is>
      </c>
      <c r="C67" s="12" t="inlineStr">
        <is>
          <t>New</t>
        </is>
      </c>
      <c r="D67" s="12" t="inlineStr">
        <is>
          <t>Record first supplied in this revision</t>
        </is>
      </c>
      <c r="E67" s="12" t="inlineStr"/>
      <c r="F67" s="65" t="inlineStr">
        <is>
          <t>10 EVIDENCE &amp; DECISIONS</t>
        </is>
      </c>
      <c r="G67" s="14" t="n"/>
    </row>
    <row r="68" ht="79" customHeight="1">
      <c r="A68" s="12" t="inlineStr">
        <is>
          <t>R1119-v1</t>
        </is>
      </c>
      <c r="B68" s="12" t="inlineStr">
        <is>
          <t>CST-01-037</t>
        </is>
      </c>
      <c r="C68" s="12" t="inlineStr">
        <is>
          <t>New</t>
        </is>
      </c>
      <c r="D68" s="12" t="inlineStr">
        <is>
          <t>Record first supplied in this revision</t>
        </is>
      </c>
      <c r="E68" s="12" t="inlineStr"/>
      <c r="F68" s="65" t="inlineStr">
        <is>
          <t>10 EVIDENCE &amp; DECISIONS</t>
        </is>
      </c>
      <c r="G68" s="14" t="n"/>
    </row>
    <row r="69" ht="79" customHeight="1">
      <c r="A69" s="12" t="inlineStr">
        <is>
          <t>R1120-v1</t>
        </is>
      </c>
      <c r="B69" s="12" t="inlineStr">
        <is>
          <t>CST-01-038</t>
        </is>
      </c>
      <c r="C69" s="12" t="inlineStr">
        <is>
          <t>New</t>
        </is>
      </c>
      <c r="D69" s="12" t="inlineStr">
        <is>
          <t>Record first supplied in this revision</t>
        </is>
      </c>
      <c r="E69" s="12" t="inlineStr"/>
      <c r="F69" s="65" t="inlineStr">
        <is>
          <t>10 EVIDENCE &amp; DECISIONS</t>
        </is>
      </c>
      <c r="G69" s="14" t="n"/>
    </row>
    <row r="70" ht="79" customHeight="1">
      <c r="A70" s="12" t="inlineStr">
        <is>
          <t>R1121-v1</t>
        </is>
      </c>
      <c r="B70" s="12" t="inlineStr">
        <is>
          <t>CST-01-039</t>
        </is>
      </c>
      <c r="C70" s="12" t="inlineStr">
        <is>
          <t>New</t>
        </is>
      </c>
      <c r="D70" s="12" t="inlineStr">
        <is>
          <t>Record first supplied in this revision</t>
        </is>
      </c>
      <c r="E70" s="12" t="inlineStr"/>
      <c r="F70" s="65" t="inlineStr">
        <is>
          <t>10 EVIDENCE &amp; DECISIONS</t>
        </is>
      </c>
      <c r="G70" s="14" t="n"/>
    </row>
    <row r="71" ht="79" customHeight="1">
      <c r="A71" s="12" t="inlineStr">
        <is>
          <t>R1122-v1</t>
        </is>
      </c>
      <c r="B71" s="12" t="inlineStr">
        <is>
          <t>CST-01-040</t>
        </is>
      </c>
      <c r="C71" s="12" t="inlineStr">
        <is>
          <t>New</t>
        </is>
      </c>
      <c r="D71" s="12" t="inlineStr">
        <is>
          <t>Record first supplied in this revision</t>
        </is>
      </c>
      <c r="E71" s="12" t="inlineStr"/>
      <c r="F71" s="65" t="inlineStr">
        <is>
          <t>10 EVIDENCE &amp; DECISIONS</t>
        </is>
      </c>
      <c r="G71" s="14" t="n"/>
    </row>
    <row r="72" ht="79" customHeight="1">
      <c r="A72" s="12" t="inlineStr">
        <is>
          <t>R1123-v1</t>
        </is>
      </c>
      <c r="B72" s="12" t="inlineStr">
        <is>
          <t>CST-01-041</t>
        </is>
      </c>
      <c r="C72" s="12" t="inlineStr">
        <is>
          <t>New</t>
        </is>
      </c>
      <c r="D72" s="12" t="inlineStr">
        <is>
          <t>Record first supplied in this revision</t>
        </is>
      </c>
      <c r="E72" s="12" t="inlineStr"/>
      <c r="F72" s="65" t="inlineStr">
        <is>
          <t>10 EVIDENCE &amp; DECISIONS</t>
        </is>
      </c>
      <c r="G72" s="14" t="n"/>
    </row>
    <row r="73" ht="79" customHeight="1">
      <c r="A73" s="12" t="inlineStr">
        <is>
          <t>R1124-v1</t>
        </is>
      </c>
      <c r="B73" s="12" t="inlineStr">
        <is>
          <t>CST-01-042</t>
        </is>
      </c>
      <c r="C73" s="12" t="inlineStr">
        <is>
          <t>New</t>
        </is>
      </c>
      <c r="D73" s="12" t="inlineStr">
        <is>
          <t>Record first supplied in this revision</t>
        </is>
      </c>
      <c r="E73" s="12" t="inlineStr"/>
      <c r="F73" s="65" t="inlineStr">
        <is>
          <t>10 EVIDENCE &amp; DECISIONS</t>
        </is>
      </c>
      <c r="G73" s="14" t="n"/>
    </row>
    <row r="74" ht="79" customHeight="1">
      <c r="A74" s="12" t="inlineStr">
        <is>
          <t>R1125-v1</t>
        </is>
      </c>
      <c r="B74" s="12" t="inlineStr">
        <is>
          <t>CST-01-043</t>
        </is>
      </c>
      <c r="C74" s="12" t="inlineStr">
        <is>
          <t>New</t>
        </is>
      </c>
      <c r="D74" s="12" t="inlineStr">
        <is>
          <t>Record first supplied in this revision</t>
        </is>
      </c>
      <c r="E74" s="12" t="inlineStr"/>
      <c r="F74" s="65" t="inlineStr">
        <is>
          <t>10 EVIDENCE &amp; DECISIONS</t>
        </is>
      </c>
      <c r="G74" s="14" t="n"/>
    </row>
    <row r="75" ht="79" customHeight="1">
      <c r="A75" s="12" t="inlineStr">
        <is>
          <t>R1126-v1</t>
        </is>
      </c>
      <c r="B75" s="12" t="inlineStr">
        <is>
          <t>CST-01-044</t>
        </is>
      </c>
      <c r="C75" s="12" t="inlineStr">
        <is>
          <t>New</t>
        </is>
      </c>
      <c r="D75" s="12" t="inlineStr">
        <is>
          <t>Record first supplied in this revision</t>
        </is>
      </c>
      <c r="E75" s="12" t="inlineStr"/>
      <c r="F75" s="65" t="inlineStr">
        <is>
          <t>10 EVIDENCE &amp; DECISIONS</t>
        </is>
      </c>
      <c r="G75" s="14" t="n"/>
    </row>
    <row r="76" ht="79" customHeight="1">
      <c r="A76" s="12" t="inlineStr">
        <is>
          <t>R1127-v1</t>
        </is>
      </c>
      <c r="B76" s="12" t="inlineStr">
        <is>
          <t>CST-01-045</t>
        </is>
      </c>
      <c r="C76" s="12" t="inlineStr">
        <is>
          <t>New</t>
        </is>
      </c>
      <c r="D76" s="12" t="inlineStr">
        <is>
          <t>Record first supplied in this revision</t>
        </is>
      </c>
      <c r="E76" s="12" t="inlineStr"/>
      <c r="F76" s="65" t="inlineStr">
        <is>
          <t>10 EVIDENCE &amp; DECISIONS</t>
        </is>
      </c>
      <c r="G76" s="14" t="n"/>
    </row>
    <row r="77" ht="79" customHeight="1">
      <c r="A77" s="12" t="inlineStr">
        <is>
          <t>R1128-v1</t>
        </is>
      </c>
      <c r="B77" s="12" t="inlineStr">
        <is>
          <t>CST-01-046</t>
        </is>
      </c>
      <c r="C77" s="12" t="inlineStr">
        <is>
          <t>New</t>
        </is>
      </c>
      <c r="D77" s="12" t="inlineStr">
        <is>
          <t>Record first supplied in this revision</t>
        </is>
      </c>
      <c r="E77" s="12" t="inlineStr"/>
      <c r="F77" s="65" t="inlineStr">
        <is>
          <t>10 EVIDENCE &amp; DECISIONS</t>
        </is>
      </c>
      <c r="G77" s="14" t="n"/>
    </row>
    <row r="78" ht="79" customHeight="1">
      <c r="A78" s="12" t="inlineStr">
        <is>
          <t>R1129-v1</t>
        </is>
      </c>
      <c r="B78" s="12" t="inlineStr">
        <is>
          <t>CST-01-047</t>
        </is>
      </c>
      <c r="C78" s="12" t="inlineStr">
        <is>
          <t>New</t>
        </is>
      </c>
      <c r="D78" s="12" t="inlineStr">
        <is>
          <t>Record first supplied in this revision</t>
        </is>
      </c>
      <c r="E78" s="12" t="inlineStr"/>
      <c r="F78" s="65" t="inlineStr">
        <is>
          <t>10 EVIDENCE &amp; DECISIONS</t>
        </is>
      </c>
      <c r="G78" s="14" t="n"/>
    </row>
    <row r="79" ht="79" customHeight="1">
      <c r="A79" s="12" t="inlineStr">
        <is>
          <t>R1130-v1</t>
        </is>
      </c>
      <c r="B79" s="12" t="inlineStr">
        <is>
          <t>CST-01-048</t>
        </is>
      </c>
      <c r="C79" s="12" t="inlineStr">
        <is>
          <t>New</t>
        </is>
      </c>
      <c r="D79" s="12" t="inlineStr">
        <is>
          <t>Record first supplied in this revision</t>
        </is>
      </c>
      <c r="E79" s="12" t="inlineStr"/>
      <c r="F79" s="65" t="inlineStr">
        <is>
          <t>10 EVIDENCE &amp; DECISIONS</t>
        </is>
      </c>
      <c r="G79" s="14" t="n"/>
    </row>
    <row r="80" ht="79" customHeight="1">
      <c r="A80" s="12" t="inlineStr">
        <is>
          <t>R1131-v1</t>
        </is>
      </c>
      <c r="B80" s="12" t="inlineStr">
        <is>
          <t>CST-01-049</t>
        </is>
      </c>
      <c r="C80" s="12" t="inlineStr">
        <is>
          <t>New</t>
        </is>
      </c>
      <c r="D80" s="12" t="inlineStr">
        <is>
          <t>Record first supplied in this revision</t>
        </is>
      </c>
      <c r="E80" s="12" t="inlineStr"/>
      <c r="F80" s="65" t="inlineStr">
        <is>
          <t>10 EVIDENCE &amp; DECISIONS</t>
        </is>
      </c>
      <c r="G80" s="14" t="n"/>
    </row>
    <row r="81" ht="79" customHeight="1">
      <c r="A81" s="12" t="inlineStr">
        <is>
          <t>R1132-v1</t>
        </is>
      </c>
      <c r="B81" s="12" t="inlineStr">
        <is>
          <t>CST-01-050</t>
        </is>
      </c>
      <c r="C81" s="12" t="inlineStr">
        <is>
          <t>New</t>
        </is>
      </c>
      <c r="D81" s="12" t="inlineStr">
        <is>
          <t>Record first supplied in this revision</t>
        </is>
      </c>
      <c r="E81" s="12" t="inlineStr"/>
      <c r="F81" s="65" t="inlineStr">
        <is>
          <t>10 EVIDENCE &amp; DECISIONS</t>
        </is>
      </c>
      <c r="G81" s="14" t="n"/>
    </row>
    <row r="82" ht="79" customHeight="1">
      <c r="A82" s="12" t="inlineStr">
        <is>
          <t>R1133-v1</t>
        </is>
      </c>
      <c r="B82" s="12" t="inlineStr">
        <is>
          <t>CST-01-051</t>
        </is>
      </c>
      <c r="C82" s="12" t="inlineStr">
        <is>
          <t>New</t>
        </is>
      </c>
      <c r="D82" s="12" t="inlineStr">
        <is>
          <t>Record first supplied in this revision</t>
        </is>
      </c>
      <c r="E82" s="12" t="inlineStr"/>
      <c r="F82" s="65" t="inlineStr">
        <is>
          <t>10 EVIDENCE &amp; DECISIONS</t>
        </is>
      </c>
      <c r="G82" s="14" t="n"/>
    </row>
    <row r="83" ht="79" customHeight="1">
      <c r="A83" s="12" t="inlineStr">
        <is>
          <t>R1134-v1</t>
        </is>
      </c>
      <c r="B83" s="12" t="inlineStr">
        <is>
          <t>CST-01-052</t>
        </is>
      </c>
      <c r="C83" s="12" t="inlineStr">
        <is>
          <t>New</t>
        </is>
      </c>
      <c r="D83" s="12" t="inlineStr">
        <is>
          <t>Record first supplied in this revision</t>
        </is>
      </c>
      <c r="E83" s="12" t="inlineStr"/>
      <c r="F83" s="65" t="inlineStr">
        <is>
          <t>10 EVIDENCE &amp; DECISIONS</t>
        </is>
      </c>
      <c r="G83" s="14" t="n"/>
    </row>
    <row r="84" ht="79" customHeight="1">
      <c r="A84" s="12" t="inlineStr">
        <is>
          <t>R1135-v1</t>
        </is>
      </c>
      <c r="B84" s="12" t="inlineStr">
        <is>
          <t>CST-01-053</t>
        </is>
      </c>
      <c r="C84" s="12" t="inlineStr">
        <is>
          <t>New</t>
        </is>
      </c>
      <c r="D84" s="12" t="inlineStr">
        <is>
          <t>Record first supplied in this revision</t>
        </is>
      </c>
      <c r="E84" s="12" t="inlineStr"/>
      <c r="F84" s="65" t="inlineStr">
        <is>
          <t>10 EVIDENCE &amp; DECISIONS</t>
        </is>
      </c>
      <c r="G84" s="14" t="n"/>
    </row>
    <row r="85" ht="79" customHeight="1">
      <c r="A85" s="12" t="inlineStr">
        <is>
          <t>R1136-v1</t>
        </is>
      </c>
      <c r="B85" s="12" t="inlineStr">
        <is>
          <t>CST-01-054</t>
        </is>
      </c>
      <c r="C85" s="12" t="inlineStr">
        <is>
          <t>New</t>
        </is>
      </c>
      <c r="D85" s="12" t="inlineStr">
        <is>
          <t>Record first supplied in this revision</t>
        </is>
      </c>
      <c r="E85" s="12" t="inlineStr"/>
      <c r="F85" s="65" t="inlineStr">
        <is>
          <t>10 EVIDENCE &amp; DECISIONS</t>
        </is>
      </c>
      <c r="G85" s="14" t="n"/>
    </row>
    <row r="86" ht="79" customHeight="1">
      <c r="A86" s="12" t="inlineStr">
        <is>
          <t>R1137-v1</t>
        </is>
      </c>
      <c r="B86" s="12" t="inlineStr">
        <is>
          <t>CST-01-055</t>
        </is>
      </c>
      <c r="C86" s="12" t="inlineStr">
        <is>
          <t>New</t>
        </is>
      </c>
      <c r="D86" s="12" t="inlineStr">
        <is>
          <t>Record first supplied in this revision</t>
        </is>
      </c>
      <c r="E86" s="12" t="inlineStr"/>
      <c r="F86" s="65" t="inlineStr">
        <is>
          <t>10 EVIDENCE &amp; DECISIONS</t>
        </is>
      </c>
      <c r="G86" s="14" t="n"/>
    </row>
    <row r="87" ht="79" customHeight="1">
      <c r="A87" s="12" t="inlineStr">
        <is>
          <t>R1138-v1</t>
        </is>
      </c>
      <c r="B87" s="12" t="inlineStr">
        <is>
          <t>CST-01-056</t>
        </is>
      </c>
      <c r="C87" s="12" t="inlineStr">
        <is>
          <t>New</t>
        </is>
      </c>
      <c r="D87" s="12" t="inlineStr">
        <is>
          <t>Record first supplied in this revision</t>
        </is>
      </c>
      <c r="E87" s="12" t="inlineStr"/>
      <c r="F87" s="65" t="inlineStr">
        <is>
          <t>10 EVIDENCE &amp; DECISIONS</t>
        </is>
      </c>
      <c r="G87" s="14" t="n"/>
    </row>
    <row r="88" ht="79" customHeight="1">
      <c r="A88" s="12" t="inlineStr">
        <is>
          <t>R1139-v1</t>
        </is>
      </c>
      <c r="B88" s="12" t="inlineStr">
        <is>
          <t>CST-01-057</t>
        </is>
      </c>
      <c r="C88" s="12" t="inlineStr">
        <is>
          <t>New</t>
        </is>
      </c>
      <c r="D88" s="12" t="inlineStr">
        <is>
          <t>Record first supplied in this revision</t>
        </is>
      </c>
      <c r="E88" s="12" t="inlineStr"/>
      <c r="F88" s="65" t="inlineStr">
        <is>
          <t>10 EVIDENCE &amp; DECISIONS</t>
        </is>
      </c>
      <c r="G88" s="14" t="n"/>
    </row>
    <row r="89" ht="79" customHeight="1">
      <c r="A89" s="12" t="inlineStr">
        <is>
          <t>R1140-v1</t>
        </is>
      </c>
      <c r="B89" s="12" t="inlineStr">
        <is>
          <t>CST-01-058</t>
        </is>
      </c>
      <c r="C89" s="12" t="inlineStr">
        <is>
          <t>New</t>
        </is>
      </c>
      <c r="D89" s="12" t="inlineStr">
        <is>
          <t>Record first supplied in this revision</t>
        </is>
      </c>
      <c r="E89" s="12" t="inlineStr"/>
      <c r="F89" s="65" t="inlineStr">
        <is>
          <t>10 EVIDENCE &amp; DECISIONS</t>
        </is>
      </c>
      <c r="G89" s="14" t="n"/>
    </row>
    <row r="90" ht="79" customHeight="1">
      <c r="A90" s="12" t="inlineStr">
        <is>
          <t>R1141-v1</t>
        </is>
      </c>
      <c r="B90" s="12" t="inlineStr">
        <is>
          <t>CST-01-059</t>
        </is>
      </c>
      <c r="C90" s="12" t="inlineStr">
        <is>
          <t>New</t>
        </is>
      </c>
      <c r="D90" s="12" t="inlineStr">
        <is>
          <t>Record first supplied in this revision</t>
        </is>
      </c>
      <c r="E90" s="12" t="inlineStr"/>
      <c r="F90" s="65" t="inlineStr">
        <is>
          <t>10 EVIDENCE &amp; DECISIONS</t>
        </is>
      </c>
      <c r="G90" s="14" t="n"/>
    </row>
    <row r="91" ht="79" customHeight="1">
      <c r="A91" s="12" t="inlineStr">
        <is>
          <t>R1142-v1</t>
        </is>
      </c>
      <c r="B91" s="12" t="inlineStr">
        <is>
          <t>CST-01-060</t>
        </is>
      </c>
      <c r="C91" s="12" t="inlineStr">
        <is>
          <t>New</t>
        </is>
      </c>
      <c r="D91" s="12" t="inlineStr">
        <is>
          <t>Record first supplied in this revision</t>
        </is>
      </c>
      <c r="E91" s="12" t="inlineStr"/>
      <c r="F91" s="65" t="inlineStr">
        <is>
          <t>10 EVIDENCE &amp; DECISIONS</t>
        </is>
      </c>
      <c r="G91" s="14" t="n"/>
    </row>
    <row r="92" ht="79" customHeight="1">
      <c r="A92" s="12" t="inlineStr">
        <is>
          <t>R1143-v1</t>
        </is>
      </c>
      <c r="B92" s="12" t="inlineStr">
        <is>
          <t>CST-01-061</t>
        </is>
      </c>
      <c r="C92" s="12" t="inlineStr">
        <is>
          <t>New</t>
        </is>
      </c>
      <c r="D92" s="12" t="inlineStr">
        <is>
          <t>Record first supplied in this revision</t>
        </is>
      </c>
      <c r="E92" s="12" t="inlineStr"/>
      <c r="F92" s="65" t="inlineStr">
        <is>
          <t>10 EVIDENCE &amp; DECISIONS</t>
        </is>
      </c>
      <c r="G92" s="14" t="n"/>
    </row>
    <row r="93" ht="79" customHeight="1">
      <c r="A93" s="12" t="inlineStr">
        <is>
          <t>R1144-v1</t>
        </is>
      </c>
      <c r="B93" s="12" t="inlineStr">
        <is>
          <t>CST-01-062</t>
        </is>
      </c>
      <c r="C93" s="12" t="inlineStr">
        <is>
          <t>New</t>
        </is>
      </c>
      <c r="D93" s="12" t="inlineStr">
        <is>
          <t>Record first supplied in this revision</t>
        </is>
      </c>
      <c r="E93" s="12" t="inlineStr"/>
      <c r="F93" s="65" t="inlineStr">
        <is>
          <t>10 EVIDENCE &amp; DECISIONS</t>
        </is>
      </c>
      <c r="G93" s="14" t="n"/>
    </row>
    <row r="94" ht="79" customHeight="1">
      <c r="A94" s="12" t="inlineStr">
        <is>
          <t>R1145-v1</t>
        </is>
      </c>
      <c r="B94" s="12" t="inlineStr">
        <is>
          <t>CST-01-063</t>
        </is>
      </c>
      <c r="C94" s="12" t="inlineStr">
        <is>
          <t>New</t>
        </is>
      </c>
      <c r="D94" s="12" t="inlineStr">
        <is>
          <t>Record first supplied in this revision</t>
        </is>
      </c>
      <c r="E94" s="12" t="inlineStr"/>
      <c r="F94" s="65" t="inlineStr">
        <is>
          <t>10 EVIDENCE &amp; DECISIONS</t>
        </is>
      </c>
      <c r="G94" s="14" t="n"/>
    </row>
    <row r="95" ht="79" customHeight="1">
      <c r="A95" s="12" t="inlineStr">
        <is>
          <t>R1146-v1</t>
        </is>
      </c>
      <c r="B95" s="12" t="inlineStr">
        <is>
          <t>CST-01-064</t>
        </is>
      </c>
      <c r="C95" s="12" t="inlineStr">
        <is>
          <t>New</t>
        </is>
      </c>
      <c r="D95" s="12" t="inlineStr">
        <is>
          <t>Record first supplied in this revision</t>
        </is>
      </c>
      <c r="E95" s="12" t="inlineStr"/>
      <c r="F95" s="65" t="inlineStr">
        <is>
          <t>10 EVIDENCE &amp; DECISIONS</t>
        </is>
      </c>
      <c r="G95" s="14" t="n"/>
    </row>
    <row r="96" ht="79" customHeight="1">
      <c r="A96" s="12" t="inlineStr">
        <is>
          <t>R1147-v1</t>
        </is>
      </c>
      <c r="B96" s="12" t="inlineStr">
        <is>
          <t>CST-01-065</t>
        </is>
      </c>
      <c r="C96" s="12" t="inlineStr">
        <is>
          <t>New</t>
        </is>
      </c>
      <c r="D96" s="12" t="inlineStr">
        <is>
          <t>Record first supplied in this revision</t>
        </is>
      </c>
      <c r="E96" s="12" t="inlineStr"/>
      <c r="F96" s="65" t="inlineStr">
        <is>
          <t>10 EVIDENCE &amp; DECISIONS</t>
        </is>
      </c>
      <c r="G96" s="14" t="n"/>
    </row>
    <row r="97" ht="79" customHeight="1">
      <c r="A97" s="12" t="inlineStr">
        <is>
          <t>R1148-v1</t>
        </is>
      </c>
      <c r="B97" s="12" t="inlineStr">
        <is>
          <t>CST-01-066</t>
        </is>
      </c>
      <c r="C97" s="12" t="inlineStr">
        <is>
          <t>New</t>
        </is>
      </c>
      <c r="D97" s="12" t="inlineStr">
        <is>
          <t>Record first supplied in this revision</t>
        </is>
      </c>
      <c r="E97" s="12" t="inlineStr"/>
      <c r="F97" s="65" t="inlineStr">
        <is>
          <t>10 EVIDENCE &amp; DECISIONS</t>
        </is>
      </c>
      <c r="G97" s="14" t="n"/>
    </row>
    <row r="98" ht="79" customHeight="1">
      <c r="A98" s="12" t="inlineStr">
        <is>
          <t>R1149-v1</t>
        </is>
      </c>
      <c r="B98" s="12" t="inlineStr">
        <is>
          <t>CST-01-067</t>
        </is>
      </c>
      <c r="C98" s="12" t="inlineStr">
        <is>
          <t>New</t>
        </is>
      </c>
      <c r="D98" s="12" t="inlineStr">
        <is>
          <t>Record first supplied in this revision</t>
        </is>
      </c>
      <c r="E98" s="12" t="inlineStr"/>
      <c r="F98" s="65" t="inlineStr">
        <is>
          <t>10 EVIDENCE &amp; DECISIONS</t>
        </is>
      </c>
      <c r="G98" s="14" t="n"/>
    </row>
    <row r="99" ht="79" customHeight="1">
      <c r="A99" s="12" t="inlineStr">
        <is>
          <t>R1150-v1</t>
        </is>
      </c>
      <c r="B99" s="12" t="inlineStr">
        <is>
          <t>CST-01-068</t>
        </is>
      </c>
      <c r="C99" s="12" t="inlineStr">
        <is>
          <t>New</t>
        </is>
      </c>
      <c r="D99" s="12" t="inlineStr">
        <is>
          <t>Record first supplied in this revision</t>
        </is>
      </c>
      <c r="E99" s="12" t="inlineStr"/>
      <c r="F99" s="65" t="inlineStr">
        <is>
          <t>10 EVIDENCE &amp; DECISIONS</t>
        </is>
      </c>
      <c r="G99" s="14" t="n"/>
    </row>
    <row r="100" ht="79" customHeight="1">
      <c r="A100" s="12" t="inlineStr">
        <is>
          <t>R1151-v1</t>
        </is>
      </c>
      <c r="B100" s="12" t="inlineStr">
        <is>
          <t>CST-01-069</t>
        </is>
      </c>
      <c r="C100" s="12" t="inlineStr">
        <is>
          <t>New</t>
        </is>
      </c>
      <c r="D100" s="12" t="inlineStr">
        <is>
          <t>Record first supplied in this revision</t>
        </is>
      </c>
      <c r="E100" s="12" t="inlineStr"/>
      <c r="F100" s="65" t="inlineStr">
        <is>
          <t>10 EVIDENCE &amp; DECISIONS</t>
        </is>
      </c>
      <c r="G100" s="14" t="n"/>
    </row>
    <row r="101" ht="79" customHeight="1">
      <c r="A101" s="12" t="inlineStr">
        <is>
          <t>R1152-v1</t>
        </is>
      </c>
      <c r="B101" s="12" t="inlineStr">
        <is>
          <t>CST-01-070</t>
        </is>
      </c>
      <c r="C101" s="12" t="inlineStr">
        <is>
          <t>New</t>
        </is>
      </c>
      <c r="D101" s="12" t="inlineStr">
        <is>
          <t>Record first supplied in this revision</t>
        </is>
      </c>
      <c r="E101" s="12" t="inlineStr"/>
      <c r="F101" s="65" t="inlineStr">
        <is>
          <t>10 EVIDENCE &amp; DECISIONS</t>
        </is>
      </c>
      <c r="G101" s="14" t="n"/>
    </row>
    <row r="102" ht="79" customHeight="1">
      <c r="A102" s="12" t="inlineStr">
        <is>
          <t>R1153-v1</t>
        </is>
      </c>
      <c r="B102" s="12" t="inlineStr">
        <is>
          <t>CST-01-071</t>
        </is>
      </c>
      <c r="C102" s="12" t="inlineStr">
        <is>
          <t>New</t>
        </is>
      </c>
      <c r="D102" s="12" t="inlineStr">
        <is>
          <t>Record first supplied in this revision</t>
        </is>
      </c>
      <c r="E102" s="12" t="inlineStr"/>
      <c r="F102" s="65" t="inlineStr">
        <is>
          <t>10 EVIDENCE &amp; DECISIONS</t>
        </is>
      </c>
      <c r="G102" s="14" t="n"/>
    </row>
    <row r="103" ht="79" customHeight="1">
      <c r="A103" s="12" t="inlineStr">
        <is>
          <t>R1154-v1</t>
        </is>
      </c>
      <c r="B103" s="12" t="inlineStr">
        <is>
          <t>CST-01-072</t>
        </is>
      </c>
      <c r="C103" s="12" t="inlineStr">
        <is>
          <t>New</t>
        </is>
      </c>
      <c r="D103" s="12" t="inlineStr">
        <is>
          <t>Record first supplied in this revision</t>
        </is>
      </c>
      <c r="E103" s="12" t="inlineStr"/>
      <c r="F103" s="65" t="inlineStr">
        <is>
          <t>10 EVIDENCE &amp; DECISIONS</t>
        </is>
      </c>
      <c r="G103" s="14" t="n"/>
    </row>
    <row r="104" ht="79" customHeight="1">
      <c r="A104" s="12" t="inlineStr">
        <is>
          <t>R1155-v1</t>
        </is>
      </c>
      <c r="B104" s="12" t="inlineStr">
        <is>
          <t>CST-01-073</t>
        </is>
      </c>
      <c r="C104" s="12" t="inlineStr">
        <is>
          <t>New</t>
        </is>
      </c>
      <c r="D104" s="12" t="inlineStr">
        <is>
          <t>Record first supplied in this revision</t>
        </is>
      </c>
      <c r="E104" s="12" t="inlineStr"/>
      <c r="F104" s="65" t="inlineStr">
        <is>
          <t>10 EVIDENCE &amp; DECISIONS</t>
        </is>
      </c>
      <c r="G104" s="14" t="n"/>
    </row>
    <row r="105" ht="79" customHeight="1">
      <c r="A105" s="12" t="inlineStr">
        <is>
          <t>R1156-v1</t>
        </is>
      </c>
      <c r="B105" s="12" t="inlineStr">
        <is>
          <t>CST-01-074</t>
        </is>
      </c>
      <c r="C105" s="12" t="inlineStr">
        <is>
          <t>New</t>
        </is>
      </c>
      <c r="D105" s="12" t="inlineStr">
        <is>
          <t>Record first supplied in this revision</t>
        </is>
      </c>
      <c r="E105" s="12" t="inlineStr"/>
      <c r="F105" s="65" t="inlineStr">
        <is>
          <t>10 EVIDENCE &amp; DECISIONS</t>
        </is>
      </c>
      <c r="G105" s="14" t="n"/>
    </row>
    <row r="106" ht="79" customHeight="1">
      <c r="A106" s="12" t="inlineStr">
        <is>
          <t>R1157-v1</t>
        </is>
      </c>
      <c r="B106" s="12" t="inlineStr">
        <is>
          <t>CST-01-075</t>
        </is>
      </c>
      <c r="C106" s="12" t="inlineStr">
        <is>
          <t>New</t>
        </is>
      </c>
      <c r="D106" s="12" t="inlineStr">
        <is>
          <t>Record first supplied in this revision</t>
        </is>
      </c>
      <c r="E106" s="12" t="inlineStr"/>
      <c r="F106" s="65" t="inlineStr">
        <is>
          <t>10 EVIDENCE &amp; DECISIONS</t>
        </is>
      </c>
      <c r="G106" s="14" t="n"/>
    </row>
    <row r="107" ht="79" customHeight="1">
      <c r="A107" s="12" t="inlineStr">
        <is>
          <t>R1158-v1</t>
        </is>
      </c>
      <c r="B107" s="12" t="inlineStr">
        <is>
          <t>CST-01-076</t>
        </is>
      </c>
      <c r="C107" s="12" t="inlineStr">
        <is>
          <t>New</t>
        </is>
      </c>
      <c r="D107" s="12" t="inlineStr">
        <is>
          <t>Record first supplied in this revision</t>
        </is>
      </c>
      <c r="E107" s="12" t="inlineStr"/>
      <c r="F107" s="65" t="inlineStr">
        <is>
          <t>10 EVIDENCE &amp; DECISIONS</t>
        </is>
      </c>
      <c r="G107" s="14" t="n"/>
    </row>
    <row r="108" ht="79" customHeight="1">
      <c r="A108" s="12" t="inlineStr">
        <is>
          <t>R1159-v1</t>
        </is>
      </c>
      <c r="B108" s="12" t="inlineStr">
        <is>
          <t>CST-01-077</t>
        </is>
      </c>
      <c r="C108" s="12" t="inlineStr">
        <is>
          <t>New</t>
        </is>
      </c>
      <c r="D108" s="12" t="inlineStr">
        <is>
          <t>Record first supplied in this revision</t>
        </is>
      </c>
      <c r="E108" s="12" t="inlineStr"/>
      <c r="F108" s="65" t="inlineStr">
        <is>
          <t>10 EVIDENCE &amp; DECISIONS</t>
        </is>
      </c>
      <c r="G108" s="14" t="n"/>
    </row>
    <row r="109" ht="79" customHeight="1">
      <c r="A109" s="12" t="inlineStr">
        <is>
          <t>R1160-v1</t>
        </is>
      </c>
      <c r="B109" s="12" t="inlineStr">
        <is>
          <t>CST-01-078</t>
        </is>
      </c>
      <c r="C109" s="12" t="inlineStr">
        <is>
          <t>New</t>
        </is>
      </c>
      <c r="D109" s="12" t="inlineStr">
        <is>
          <t>Record first supplied in this revision</t>
        </is>
      </c>
      <c r="E109" s="12" t="inlineStr"/>
      <c r="F109" s="65" t="inlineStr">
        <is>
          <t>10 EVIDENCE &amp; DECISIONS</t>
        </is>
      </c>
      <c r="G109" s="14" t="n"/>
    </row>
    <row r="110" ht="79" customHeight="1">
      <c r="A110" s="12" t="inlineStr">
        <is>
          <t>R1161-v1</t>
        </is>
      </c>
      <c r="B110" s="12" t="inlineStr">
        <is>
          <t>CST-01-079</t>
        </is>
      </c>
      <c r="C110" s="12" t="inlineStr">
        <is>
          <t>New</t>
        </is>
      </c>
      <c r="D110" s="12" t="inlineStr">
        <is>
          <t>Record first supplied in this revision</t>
        </is>
      </c>
      <c r="E110" s="12" t="inlineStr"/>
      <c r="F110" s="65" t="inlineStr">
        <is>
          <t>10 EVIDENCE &amp; DECISIONS</t>
        </is>
      </c>
      <c r="G110" s="14" t="n"/>
    </row>
    <row r="111" ht="79" customHeight="1">
      <c r="A111" s="12" t="inlineStr">
        <is>
          <t>R1162-v1</t>
        </is>
      </c>
      <c r="B111" s="12" t="inlineStr">
        <is>
          <t>CST-01-080</t>
        </is>
      </c>
      <c r="C111" s="12" t="inlineStr">
        <is>
          <t>New</t>
        </is>
      </c>
      <c r="D111" s="12" t="inlineStr">
        <is>
          <t>Record first supplied in this revision</t>
        </is>
      </c>
      <c r="E111" s="12" t="inlineStr"/>
      <c r="F111" s="65" t="inlineStr">
        <is>
          <t>10 EVIDENCE &amp; DECISIONS</t>
        </is>
      </c>
      <c r="G111" s="14" t="n"/>
    </row>
    <row r="112" ht="79" customHeight="1">
      <c r="A112" s="12" t="inlineStr">
        <is>
          <t>R1163-v1</t>
        </is>
      </c>
      <c r="B112" s="12" t="inlineStr">
        <is>
          <t>CST-02-001</t>
        </is>
      </c>
      <c r="C112" s="12" t="inlineStr">
        <is>
          <t>New</t>
        </is>
      </c>
      <c r="D112" s="12" t="inlineStr">
        <is>
          <t>Record first supplied in this revision</t>
        </is>
      </c>
      <c r="E112" s="12" t="inlineStr"/>
      <c r="F112" s="65" t="inlineStr">
        <is>
          <t>10 EVIDENCE &amp; DECISIONS</t>
        </is>
      </c>
      <c r="G112" s="14" t="n"/>
    </row>
    <row r="113" ht="79" customHeight="1">
      <c r="A113" s="12" t="inlineStr">
        <is>
          <t>R1164-v1</t>
        </is>
      </c>
      <c r="B113" s="12" t="inlineStr">
        <is>
          <t>CST-02-002</t>
        </is>
      </c>
      <c r="C113" s="12" t="inlineStr">
        <is>
          <t>New</t>
        </is>
      </c>
      <c r="D113" s="12" t="inlineStr">
        <is>
          <t>Record first supplied in this revision</t>
        </is>
      </c>
      <c r="E113" s="12" t="inlineStr"/>
      <c r="F113" s="65" t="inlineStr">
        <is>
          <t>10 EVIDENCE &amp; DECISIONS</t>
        </is>
      </c>
      <c r="G113" s="14" t="n"/>
    </row>
    <row r="114" ht="79" customHeight="1">
      <c r="A114" s="12" t="inlineStr">
        <is>
          <t>R1165-v1</t>
        </is>
      </c>
      <c r="B114" s="12" t="inlineStr">
        <is>
          <t>CST-02-003</t>
        </is>
      </c>
      <c r="C114" s="12" t="inlineStr">
        <is>
          <t>New</t>
        </is>
      </c>
      <c r="D114" s="12" t="inlineStr">
        <is>
          <t>Record first supplied in this revision</t>
        </is>
      </c>
      <c r="E114" s="12" t="inlineStr"/>
      <c r="F114" s="65" t="inlineStr">
        <is>
          <t>10 EVIDENCE &amp; DECISIONS</t>
        </is>
      </c>
      <c r="G114" s="14" t="n"/>
    </row>
    <row r="115" ht="79" customHeight="1">
      <c r="A115" s="12" t="inlineStr">
        <is>
          <t>R1166-v1</t>
        </is>
      </c>
      <c r="B115" s="12" t="inlineStr">
        <is>
          <t>CST-02-004</t>
        </is>
      </c>
      <c r="C115" s="12" t="inlineStr">
        <is>
          <t>New</t>
        </is>
      </c>
      <c r="D115" s="12" t="inlineStr">
        <is>
          <t>Record first supplied in this revision</t>
        </is>
      </c>
      <c r="E115" s="12" t="inlineStr"/>
      <c r="F115" s="65" t="inlineStr">
        <is>
          <t>10 EVIDENCE &amp; DECISIONS</t>
        </is>
      </c>
      <c r="G115" s="14" t="n"/>
    </row>
    <row r="116" ht="79" customHeight="1">
      <c r="A116" s="12" t="inlineStr">
        <is>
          <t>R1167-v1</t>
        </is>
      </c>
      <c r="B116" s="12" t="inlineStr">
        <is>
          <t>CST-02-005</t>
        </is>
      </c>
      <c r="C116" s="12" t="inlineStr">
        <is>
          <t>New</t>
        </is>
      </c>
      <c r="D116" s="12" t="inlineStr">
        <is>
          <t>Record first supplied in this revision</t>
        </is>
      </c>
      <c r="E116" s="12" t="inlineStr"/>
      <c r="F116" s="65" t="inlineStr">
        <is>
          <t>10 EVIDENCE &amp; DECISIONS</t>
        </is>
      </c>
      <c r="G116" s="14" t="n"/>
    </row>
    <row r="117" ht="79" customHeight="1">
      <c r="A117" s="12" t="inlineStr">
        <is>
          <t>R1168-v1</t>
        </is>
      </c>
      <c r="B117" s="12" t="inlineStr">
        <is>
          <t>CST-02-006</t>
        </is>
      </c>
      <c r="C117" s="12" t="inlineStr">
        <is>
          <t>New</t>
        </is>
      </c>
      <c r="D117" s="12" t="inlineStr">
        <is>
          <t>Record first supplied in this revision</t>
        </is>
      </c>
      <c r="E117" s="12" t="inlineStr"/>
      <c r="F117" s="65" t="inlineStr">
        <is>
          <t>10 EVIDENCE &amp; DECISIONS</t>
        </is>
      </c>
      <c r="G117" s="14" t="n"/>
    </row>
    <row r="118" ht="79" customHeight="1">
      <c r="A118" s="12" t="inlineStr">
        <is>
          <t>R1169-v1</t>
        </is>
      </c>
      <c r="B118" s="12" t="inlineStr">
        <is>
          <t>CST-02-007</t>
        </is>
      </c>
      <c r="C118" s="12" t="inlineStr">
        <is>
          <t>New</t>
        </is>
      </c>
      <c r="D118" s="12" t="inlineStr">
        <is>
          <t>Record first supplied in this revision</t>
        </is>
      </c>
      <c r="E118" s="12" t="inlineStr"/>
      <c r="F118" s="65" t="inlineStr">
        <is>
          <t>10 EVIDENCE &amp; DECISIONS</t>
        </is>
      </c>
      <c r="G118" s="14" t="n"/>
    </row>
    <row r="119" ht="79" customHeight="1">
      <c r="A119" s="12" t="inlineStr">
        <is>
          <t>R1170-v1</t>
        </is>
      </c>
      <c r="B119" s="12" t="inlineStr">
        <is>
          <t>CST-02-008</t>
        </is>
      </c>
      <c r="C119" s="12" t="inlineStr">
        <is>
          <t>New</t>
        </is>
      </c>
      <c r="D119" s="12" t="inlineStr">
        <is>
          <t>Record first supplied in this revision</t>
        </is>
      </c>
      <c r="E119" s="12" t="inlineStr"/>
      <c r="F119" s="65" t="inlineStr">
        <is>
          <t>10 EVIDENCE &amp; DECISIONS</t>
        </is>
      </c>
      <c r="G119" s="14" t="n"/>
    </row>
    <row r="120" ht="79" customHeight="1">
      <c r="A120" s="12" t="inlineStr">
        <is>
          <t>R1171-v1</t>
        </is>
      </c>
      <c r="B120" s="12" t="inlineStr">
        <is>
          <t>CST-02-009</t>
        </is>
      </c>
      <c r="C120" s="12" t="inlineStr">
        <is>
          <t>New</t>
        </is>
      </c>
      <c r="D120" s="12" t="inlineStr">
        <is>
          <t>Record first supplied in this revision</t>
        </is>
      </c>
      <c r="E120" s="12" t="inlineStr"/>
      <c r="F120" s="65" t="inlineStr">
        <is>
          <t>10 EVIDENCE &amp; DECISIONS</t>
        </is>
      </c>
      <c r="G120" s="14" t="n"/>
    </row>
    <row r="121" ht="79" customHeight="1">
      <c r="A121" s="12" t="inlineStr">
        <is>
          <t>R1172-v1</t>
        </is>
      </c>
      <c r="B121" s="12" t="inlineStr">
        <is>
          <t>CST-02-010</t>
        </is>
      </c>
      <c r="C121" s="12" t="inlineStr">
        <is>
          <t>New</t>
        </is>
      </c>
      <c r="D121" s="12" t="inlineStr">
        <is>
          <t>Record first supplied in this revision</t>
        </is>
      </c>
      <c r="E121" s="12" t="inlineStr"/>
      <c r="F121" s="65" t="inlineStr">
        <is>
          <t>10 EVIDENCE &amp; DECISIONS</t>
        </is>
      </c>
      <c r="G121" s="14" t="n"/>
    </row>
    <row r="122" ht="79" customHeight="1">
      <c r="A122" s="12" t="inlineStr">
        <is>
          <t>R1173-v1</t>
        </is>
      </c>
      <c r="B122" s="12" t="inlineStr">
        <is>
          <t>CST-02-011</t>
        </is>
      </c>
      <c r="C122" s="12" t="inlineStr">
        <is>
          <t>New</t>
        </is>
      </c>
      <c r="D122" s="12" t="inlineStr">
        <is>
          <t>Record first supplied in this revision</t>
        </is>
      </c>
      <c r="E122" s="12" t="inlineStr"/>
      <c r="F122" s="65" t="inlineStr">
        <is>
          <t>10 EVIDENCE &amp; DECISIONS</t>
        </is>
      </c>
      <c r="G122" s="14" t="n"/>
    </row>
    <row r="123" ht="79" customHeight="1">
      <c r="A123" s="12" t="inlineStr">
        <is>
          <t>R1174-v1</t>
        </is>
      </c>
      <c r="B123" s="12" t="inlineStr">
        <is>
          <t>CST-02-012</t>
        </is>
      </c>
      <c r="C123" s="12" t="inlineStr">
        <is>
          <t>New</t>
        </is>
      </c>
      <c r="D123" s="12" t="inlineStr">
        <is>
          <t>Record first supplied in this revision</t>
        </is>
      </c>
      <c r="E123" s="12" t="inlineStr"/>
      <c r="F123" s="65" t="inlineStr">
        <is>
          <t>10 EVIDENCE &amp; DECISIONS</t>
        </is>
      </c>
      <c r="G123" s="14" t="n"/>
    </row>
    <row r="124" ht="79" customHeight="1">
      <c r="A124" s="12" t="inlineStr">
        <is>
          <t>R1175-v1</t>
        </is>
      </c>
      <c r="B124" s="12" t="inlineStr">
        <is>
          <t>CST-02-013</t>
        </is>
      </c>
      <c r="C124" s="12" t="inlineStr">
        <is>
          <t>New</t>
        </is>
      </c>
      <c r="D124" s="12" t="inlineStr">
        <is>
          <t>Record first supplied in this revision</t>
        </is>
      </c>
      <c r="E124" s="12" t="inlineStr"/>
      <c r="F124" s="65" t="inlineStr">
        <is>
          <t>10 EVIDENCE &amp; DECISIONS</t>
        </is>
      </c>
      <c r="G124" s="14" t="n"/>
    </row>
    <row r="125" ht="79" customHeight="1">
      <c r="A125" s="12" t="inlineStr">
        <is>
          <t>R1176-v1</t>
        </is>
      </c>
      <c r="B125" s="12" t="inlineStr">
        <is>
          <t>CST-02-014</t>
        </is>
      </c>
      <c r="C125" s="12" t="inlineStr">
        <is>
          <t>New</t>
        </is>
      </c>
      <c r="D125" s="12" t="inlineStr">
        <is>
          <t>Record first supplied in this revision</t>
        </is>
      </c>
      <c r="E125" s="12" t="inlineStr"/>
      <c r="F125" s="65" t="inlineStr">
        <is>
          <t>10 EVIDENCE &amp; DECISIONS</t>
        </is>
      </c>
      <c r="G125" s="14" t="n"/>
    </row>
    <row r="126" ht="79" customHeight="1">
      <c r="A126" s="12" t="inlineStr">
        <is>
          <t>R1177-v1</t>
        </is>
      </c>
      <c r="B126" s="12" t="inlineStr">
        <is>
          <t>CST-02-015</t>
        </is>
      </c>
      <c r="C126" s="12" t="inlineStr">
        <is>
          <t>New</t>
        </is>
      </c>
      <c r="D126" s="12" t="inlineStr">
        <is>
          <t>Record first supplied in this revision</t>
        </is>
      </c>
      <c r="E126" s="12" t="inlineStr"/>
      <c r="F126" s="65" t="inlineStr">
        <is>
          <t>10 EVIDENCE &amp; DECISIONS</t>
        </is>
      </c>
      <c r="G126" s="14" t="n"/>
    </row>
    <row r="127" ht="79" customHeight="1">
      <c r="A127" s="12" t="inlineStr">
        <is>
          <t>R1178-v1</t>
        </is>
      </c>
      <c r="B127" s="12" t="inlineStr">
        <is>
          <t>CST-02-016</t>
        </is>
      </c>
      <c r="C127" s="12" t="inlineStr">
        <is>
          <t>New</t>
        </is>
      </c>
      <c r="D127" s="12" t="inlineStr">
        <is>
          <t>Record first supplied in this revision</t>
        </is>
      </c>
      <c r="E127" s="12" t="inlineStr"/>
      <c r="F127" s="65" t="inlineStr">
        <is>
          <t>10 EVIDENCE &amp; DECISIONS</t>
        </is>
      </c>
      <c r="G127" s="14" t="n"/>
    </row>
    <row r="128" ht="79" customHeight="1">
      <c r="A128" s="12" t="inlineStr">
        <is>
          <t>R1179-v1</t>
        </is>
      </c>
      <c r="B128" s="12" t="inlineStr">
        <is>
          <t>CST-02-017</t>
        </is>
      </c>
      <c r="C128" s="12" t="inlineStr">
        <is>
          <t>New</t>
        </is>
      </c>
      <c r="D128" s="12" t="inlineStr">
        <is>
          <t>Record first supplied in this revision</t>
        </is>
      </c>
      <c r="E128" s="12" t="inlineStr"/>
      <c r="F128" s="65" t="inlineStr">
        <is>
          <t>10 EVIDENCE &amp; DECISIONS</t>
        </is>
      </c>
      <c r="G128" s="14" t="n"/>
    </row>
    <row r="129" ht="79" customHeight="1">
      <c r="A129" s="12" t="inlineStr">
        <is>
          <t>R1180-v1</t>
        </is>
      </c>
      <c r="B129" s="12" t="inlineStr">
        <is>
          <t>CST-02-018</t>
        </is>
      </c>
      <c r="C129" s="12" t="inlineStr">
        <is>
          <t>New</t>
        </is>
      </c>
      <c r="D129" s="12" t="inlineStr">
        <is>
          <t>Record first supplied in this revision</t>
        </is>
      </c>
      <c r="E129" s="12" t="inlineStr"/>
      <c r="F129" s="65" t="inlineStr">
        <is>
          <t>10 EVIDENCE &amp; DECISIONS</t>
        </is>
      </c>
      <c r="G129" s="14" t="n"/>
    </row>
    <row r="130" ht="79" customHeight="1">
      <c r="A130" s="12" t="inlineStr">
        <is>
          <t>R1181-v1</t>
        </is>
      </c>
      <c r="B130" s="12" t="inlineStr">
        <is>
          <t>CST-02-019</t>
        </is>
      </c>
      <c r="C130" s="12" t="inlineStr">
        <is>
          <t>New</t>
        </is>
      </c>
      <c r="D130" s="12" t="inlineStr">
        <is>
          <t>Record first supplied in this revision</t>
        </is>
      </c>
      <c r="E130" s="12" t="inlineStr"/>
      <c r="F130" s="65" t="inlineStr">
        <is>
          <t>10 EVIDENCE &amp; DECISIONS</t>
        </is>
      </c>
      <c r="G130" s="14" t="n"/>
    </row>
    <row r="131" ht="79" customHeight="1">
      <c r="A131" s="12" t="inlineStr">
        <is>
          <t>R1182-v1</t>
        </is>
      </c>
      <c r="B131" s="12" t="inlineStr">
        <is>
          <t>CST-02-020</t>
        </is>
      </c>
      <c r="C131" s="12" t="inlineStr">
        <is>
          <t>New</t>
        </is>
      </c>
      <c r="D131" s="12" t="inlineStr">
        <is>
          <t>Record first supplied in this revision</t>
        </is>
      </c>
      <c r="E131" s="12" t="inlineStr"/>
      <c r="F131" s="65" t="inlineStr">
        <is>
          <t>10 EVIDENCE &amp; DECISIONS</t>
        </is>
      </c>
      <c r="G131" s="14" t="n"/>
    </row>
    <row r="132" ht="79" customHeight="1">
      <c r="A132" s="12" t="inlineStr">
        <is>
          <t>R1183-v1</t>
        </is>
      </c>
      <c r="B132" s="12" t="inlineStr">
        <is>
          <t>CST-02-021</t>
        </is>
      </c>
      <c r="C132" s="12" t="inlineStr">
        <is>
          <t>New</t>
        </is>
      </c>
      <c r="D132" s="12" t="inlineStr">
        <is>
          <t>Record first supplied in this revision</t>
        </is>
      </c>
      <c r="E132" s="12" t="inlineStr"/>
      <c r="F132" s="65" t="inlineStr">
        <is>
          <t>10 EVIDENCE &amp; DECISIONS</t>
        </is>
      </c>
      <c r="G132" s="14" t="n"/>
    </row>
    <row r="133" ht="79" customHeight="1">
      <c r="A133" s="12" t="inlineStr">
        <is>
          <t>R1184-v1</t>
        </is>
      </c>
      <c r="B133" s="12" t="inlineStr">
        <is>
          <t>CST-02-022</t>
        </is>
      </c>
      <c r="C133" s="12" t="inlineStr">
        <is>
          <t>New</t>
        </is>
      </c>
      <c r="D133" s="12" t="inlineStr">
        <is>
          <t>Record first supplied in this revision</t>
        </is>
      </c>
      <c r="E133" s="12" t="inlineStr"/>
      <c r="F133" s="65" t="inlineStr">
        <is>
          <t>10 EVIDENCE &amp; DECISIONS</t>
        </is>
      </c>
      <c r="G133" s="14" t="n"/>
    </row>
    <row r="134" ht="79" customHeight="1">
      <c r="A134" s="12" t="inlineStr">
        <is>
          <t>R1185-v1</t>
        </is>
      </c>
      <c r="B134" s="12" t="inlineStr">
        <is>
          <t>CST-02-023</t>
        </is>
      </c>
      <c r="C134" s="12" t="inlineStr">
        <is>
          <t>New</t>
        </is>
      </c>
      <c r="D134" s="12" t="inlineStr">
        <is>
          <t>Record first supplied in this revision</t>
        </is>
      </c>
      <c r="E134" s="12" t="inlineStr"/>
      <c r="F134" s="65" t="inlineStr">
        <is>
          <t>10 EVIDENCE &amp; DECISIONS</t>
        </is>
      </c>
      <c r="G134" s="14" t="n"/>
    </row>
    <row r="135" ht="79" customHeight="1">
      <c r="A135" s="12" t="inlineStr">
        <is>
          <t>R1186-v1</t>
        </is>
      </c>
      <c r="B135" s="12" t="inlineStr">
        <is>
          <t>CST-02-024</t>
        </is>
      </c>
      <c r="C135" s="12" t="inlineStr">
        <is>
          <t>New</t>
        </is>
      </c>
      <c r="D135" s="12" t="inlineStr">
        <is>
          <t>Record first supplied in this revision</t>
        </is>
      </c>
      <c r="E135" s="12" t="inlineStr"/>
      <c r="F135" s="65" t="inlineStr">
        <is>
          <t>10 EVIDENCE &amp; DECISIONS</t>
        </is>
      </c>
      <c r="G135" s="14" t="n"/>
    </row>
    <row r="136" ht="79" customHeight="1">
      <c r="A136" s="12" t="inlineStr">
        <is>
          <t>R1187-v1</t>
        </is>
      </c>
      <c r="B136" s="12" t="inlineStr">
        <is>
          <t>CST-02-025</t>
        </is>
      </c>
      <c r="C136" s="12" t="inlineStr">
        <is>
          <t>New</t>
        </is>
      </c>
      <c r="D136" s="12" t="inlineStr">
        <is>
          <t>Record first supplied in this revision</t>
        </is>
      </c>
      <c r="E136" s="12" t="inlineStr"/>
      <c r="F136" s="65" t="inlineStr">
        <is>
          <t>10 EVIDENCE &amp; DECISIONS</t>
        </is>
      </c>
      <c r="G136" s="14" t="n"/>
    </row>
    <row r="137" ht="79" customHeight="1">
      <c r="A137" s="12" t="inlineStr">
        <is>
          <t>R1188-v1</t>
        </is>
      </c>
      <c r="B137" s="12" t="inlineStr">
        <is>
          <t>CST-02-026</t>
        </is>
      </c>
      <c r="C137" s="12" t="inlineStr">
        <is>
          <t>New</t>
        </is>
      </c>
      <c r="D137" s="12" t="inlineStr">
        <is>
          <t>Record first supplied in this revision</t>
        </is>
      </c>
      <c r="E137" s="12" t="inlineStr"/>
      <c r="F137" s="65" t="inlineStr">
        <is>
          <t>10 EVIDENCE &amp; DECISIONS</t>
        </is>
      </c>
      <c r="G137" s="14" t="n"/>
    </row>
    <row r="138" ht="79" customHeight="1">
      <c r="A138" s="12" t="inlineStr">
        <is>
          <t>R1189-v1</t>
        </is>
      </c>
      <c r="B138" s="12" t="inlineStr">
        <is>
          <t>CST-02-027</t>
        </is>
      </c>
      <c r="C138" s="12" t="inlineStr">
        <is>
          <t>New</t>
        </is>
      </c>
      <c r="D138" s="12" t="inlineStr">
        <is>
          <t>Record first supplied in this revision</t>
        </is>
      </c>
      <c r="E138" s="12" t="inlineStr"/>
      <c r="F138" s="65" t="inlineStr">
        <is>
          <t>10 EVIDENCE &amp; DECISIONS</t>
        </is>
      </c>
      <c r="G138" s="14" t="n"/>
    </row>
    <row r="139" ht="79" customHeight="1">
      <c r="A139" s="12" t="inlineStr">
        <is>
          <t>R1190-v1</t>
        </is>
      </c>
      <c r="B139" s="12" t="inlineStr">
        <is>
          <t>CST-02-028</t>
        </is>
      </c>
      <c r="C139" s="12" t="inlineStr">
        <is>
          <t>New</t>
        </is>
      </c>
      <c r="D139" s="12" t="inlineStr">
        <is>
          <t>Record first supplied in this revision</t>
        </is>
      </c>
      <c r="E139" s="12" t="inlineStr"/>
      <c r="F139" s="65" t="inlineStr">
        <is>
          <t>10 EVIDENCE &amp; DECISIONS</t>
        </is>
      </c>
      <c r="G139" s="14" t="n"/>
    </row>
    <row r="140" ht="79" customHeight="1">
      <c r="A140" s="12" t="inlineStr">
        <is>
          <t>R1191-v1</t>
        </is>
      </c>
      <c r="B140" s="12" t="inlineStr">
        <is>
          <t>CST-02-029</t>
        </is>
      </c>
      <c r="C140" s="12" t="inlineStr">
        <is>
          <t>New</t>
        </is>
      </c>
      <c r="D140" s="12" t="inlineStr">
        <is>
          <t>Record first supplied in this revision</t>
        </is>
      </c>
      <c r="E140" s="12" t="inlineStr"/>
      <c r="F140" s="65" t="inlineStr">
        <is>
          <t>10 EVIDENCE &amp; DECISIONS</t>
        </is>
      </c>
      <c r="G140" s="14" t="n"/>
    </row>
    <row r="141" ht="79" customHeight="1">
      <c r="A141" s="12" t="inlineStr">
        <is>
          <t>R1192-v1</t>
        </is>
      </c>
      <c r="B141" s="12" t="inlineStr">
        <is>
          <t>CST-02-030</t>
        </is>
      </c>
      <c r="C141" s="12" t="inlineStr">
        <is>
          <t>New</t>
        </is>
      </c>
      <c r="D141" s="12" t="inlineStr">
        <is>
          <t>Record first supplied in this revision</t>
        </is>
      </c>
      <c r="E141" s="12" t="inlineStr"/>
      <c r="F141" s="65" t="inlineStr">
        <is>
          <t>10 EVIDENCE &amp; DECISIONS</t>
        </is>
      </c>
      <c r="G141" s="14" t="n"/>
    </row>
    <row r="142" ht="79" customHeight="1">
      <c r="A142" s="12" t="inlineStr">
        <is>
          <t>R1193-v1</t>
        </is>
      </c>
      <c r="B142" s="12" t="inlineStr">
        <is>
          <t>CST-02-031</t>
        </is>
      </c>
      <c r="C142" s="12" t="inlineStr">
        <is>
          <t>New</t>
        </is>
      </c>
      <c r="D142" s="12" t="inlineStr">
        <is>
          <t>Record first supplied in this revision</t>
        </is>
      </c>
      <c r="E142" s="12" t="inlineStr"/>
      <c r="F142" s="65" t="inlineStr">
        <is>
          <t>10 EVIDENCE &amp; DECISIONS</t>
        </is>
      </c>
      <c r="G142" s="14" t="n"/>
    </row>
    <row r="143" ht="79" customHeight="1">
      <c r="A143" s="12" t="inlineStr">
        <is>
          <t>R1194-v1</t>
        </is>
      </c>
      <c r="B143" s="12" t="inlineStr">
        <is>
          <t>CST-02-032</t>
        </is>
      </c>
      <c r="C143" s="12" t="inlineStr">
        <is>
          <t>New</t>
        </is>
      </c>
      <c r="D143" s="12" t="inlineStr">
        <is>
          <t>Record first supplied in this revision</t>
        </is>
      </c>
      <c r="E143" s="12" t="inlineStr"/>
      <c r="F143" s="65" t="inlineStr">
        <is>
          <t>10 EVIDENCE &amp; DECISIONS</t>
        </is>
      </c>
      <c r="G143" s="14" t="n"/>
    </row>
    <row r="144" ht="79" customHeight="1">
      <c r="A144" s="12" t="inlineStr">
        <is>
          <t>R1195-v1</t>
        </is>
      </c>
      <c r="B144" s="12" t="inlineStr">
        <is>
          <t>CST-02-033</t>
        </is>
      </c>
      <c r="C144" s="12" t="inlineStr">
        <is>
          <t>New</t>
        </is>
      </c>
      <c r="D144" s="12" t="inlineStr">
        <is>
          <t>Record first supplied in this revision</t>
        </is>
      </c>
      <c r="E144" s="12" t="inlineStr"/>
      <c r="F144" s="65" t="inlineStr">
        <is>
          <t>10 EVIDENCE &amp; DECISIONS</t>
        </is>
      </c>
      <c r="G144" s="14" t="n"/>
    </row>
    <row r="145" ht="79" customHeight="1">
      <c r="A145" s="12" t="inlineStr">
        <is>
          <t>R1196-v1</t>
        </is>
      </c>
      <c r="B145" s="12" t="inlineStr">
        <is>
          <t>CST-02-034</t>
        </is>
      </c>
      <c r="C145" s="12" t="inlineStr">
        <is>
          <t>New</t>
        </is>
      </c>
      <c r="D145" s="12" t="inlineStr">
        <is>
          <t>Record first supplied in this revision</t>
        </is>
      </c>
      <c r="E145" s="12" t="inlineStr"/>
      <c r="F145" s="65" t="inlineStr">
        <is>
          <t>10 EVIDENCE &amp; DECISIONS</t>
        </is>
      </c>
      <c r="G145" s="14" t="n"/>
    </row>
    <row r="146" ht="79" customHeight="1">
      <c r="A146" s="12" t="inlineStr">
        <is>
          <t>R1197-v1</t>
        </is>
      </c>
      <c r="B146" s="12" t="inlineStr">
        <is>
          <t>CST-02-035</t>
        </is>
      </c>
      <c r="C146" s="12" t="inlineStr">
        <is>
          <t>New</t>
        </is>
      </c>
      <c r="D146" s="12" t="inlineStr">
        <is>
          <t>Record first supplied in this revision</t>
        </is>
      </c>
      <c r="E146" s="12" t="inlineStr"/>
      <c r="F146" s="65" t="inlineStr">
        <is>
          <t>10 EVIDENCE &amp; DECISIONS</t>
        </is>
      </c>
      <c r="G146" s="14" t="n"/>
    </row>
    <row r="147" ht="79" customHeight="1">
      <c r="A147" s="12" t="inlineStr">
        <is>
          <t>R1198-v1</t>
        </is>
      </c>
      <c r="B147" s="12" t="inlineStr">
        <is>
          <t>CST-02-036</t>
        </is>
      </c>
      <c r="C147" s="12" t="inlineStr">
        <is>
          <t>New</t>
        </is>
      </c>
      <c r="D147" s="12" t="inlineStr">
        <is>
          <t>Record first supplied in this revision</t>
        </is>
      </c>
      <c r="E147" s="12" t="inlineStr"/>
      <c r="F147" s="65" t="inlineStr">
        <is>
          <t>10 EVIDENCE &amp; DECISIONS</t>
        </is>
      </c>
      <c r="G147" s="14" t="n"/>
    </row>
    <row r="148" ht="79" customHeight="1">
      <c r="A148" s="12" t="inlineStr">
        <is>
          <t>R1199-v1</t>
        </is>
      </c>
      <c r="B148" s="12" t="inlineStr">
        <is>
          <t>CST-02-037</t>
        </is>
      </c>
      <c r="C148" s="12" t="inlineStr">
        <is>
          <t>New</t>
        </is>
      </c>
      <c r="D148" s="12" t="inlineStr">
        <is>
          <t>Record first supplied in this revision</t>
        </is>
      </c>
      <c r="E148" s="12" t="inlineStr"/>
      <c r="F148" s="65" t="inlineStr">
        <is>
          <t>10 EVIDENCE &amp; DECISIONS</t>
        </is>
      </c>
      <c r="G148" s="14" t="n"/>
    </row>
    <row r="149" ht="79" customHeight="1">
      <c r="A149" s="12" t="inlineStr">
        <is>
          <t>R1200-v1</t>
        </is>
      </c>
      <c r="B149" s="12" t="inlineStr">
        <is>
          <t>CST-02-038</t>
        </is>
      </c>
      <c r="C149" s="12" t="inlineStr">
        <is>
          <t>New</t>
        </is>
      </c>
      <c r="D149" s="12" t="inlineStr">
        <is>
          <t>Record first supplied in this revision</t>
        </is>
      </c>
      <c r="E149" s="12" t="inlineStr"/>
      <c r="F149" s="65" t="inlineStr">
        <is>
          <t>10 EVIDENCE &amp; DECISIONS</t>
        </is>
      </c>
      <c r="G149" s="14" t="n"/>
    </row>
    <row r="150" ht="79" customHeight="1">
      <c r="A150" s="12" t="inlineStr">
        <is>
          <t>R1201-v1</t>
        </is>
      </c>
      <c r="B150" s="12" t="inlineStr">
        <is>
          <t>CST-02-039</t>
        </is>
      </c>
      <c r="C150" s="12" t="inlineStr">
        <is>
          <t>New</t>
        </is>
      </c>
      <c r="D150" s="12" t="inlineStr">
        <is>
          <t>Record first supplied in this revision</t>
        </is>
      </c>
      <c r="E150" s="12" t="inlineStr"/>
      <c r="F150" s="65" t="inlineStr">
        <is>
          <t>10 EVIDENCE &amp; DECISIONS</t>
        </is>
      </c>
      <c r="G150" s="14" t="n"/>
    </row>
    <row r="151" ht="79" customHeight="1">
      <c r="A151" s="12" t="inlineStr">
        <is>
          <t>R1202-v1</t>
        </is>
      </c>
      <c r="B151" s="12" t="inlineStr">
        <is>
          <t>CST-02-040</t>
        </is>
      </c>
      <c r="C151" s="12" t="inlineStr">
        <is>
          <t>New</t>
        </is>
      </c>
      <c r="D151" s="12" t="inlineStr">
        <is>
          <t>Record first supplied in this revision</t>
        </is>
      </c>
      <c r="E151" s="12" t="inlineStr"/>
      <c r="F151" s="65" t="inlineStr">
        <is>
          <t>10 EVIDENCE &amp; DECISIONS</t>
        </is>
      </c>
      <c r="G151" s="14" t="n"/>
    </row>
    <row r="152" ht="79" customHeight="1">
      <c r="A152" s="12" t="inlineStr">
        <is>
          <t>R1203-v1</t>
        </is>
      </c>
      <c r="B152" s="12" t="inlineStr">
        <is>
          <t>CST-02-041</t>
        </is>
      </c>
      <c r="C152" s="12" t="inlineStr">
        <is>
          <t>New</t>
        </is>
      </c>
      <c r="D152" s="12" t="inlineStr">
        <is>
          <t>Record first supplied in this revision</t>
        </is>
      </c>
      <c r="E152" s="12" t="inlineStr"/>
      <c r="F152" s="65" t="inlineStr">
        <is>
          <t>10 EVIDENCE &amp; DECISIONS</t>
        </is>
      </c>
      <c r="G152" s="14" t="n"/>
    </row>
    <row r="153" ht="79" customHeight="1">
      <c r="A153" s="12" t="inlineStr">
        <is>
          <t>R1204-v1</t>
        </is>
      </c>
      <c r="B153" s="12" t="inlineStr">
        <is>
          <t>CST-02-042</t>
        </is>
      </c>
      <c r="C153" s="12" t="inlineStr">
        <is>
          <t>New</t>
        </is>
      </c>
      <c r="D153" s="12" t="inlineStr">
        <is>
          <t>Record first supplied in this revision</t>
        </is>
      </c>
      <c r="E153" s="12" t="inlineStr"/>
      <c r="F153" s="65" t="inlineStr">
        <is>
          <t>10 EVIDENCE &amp; DECISIONS</t>
        </is>
      </c>
      <c r="G153" s="14" t="n"/>
    </row>
    <row r="154" ht="79" customHeight="1">
      <c r="A154" s="12" t="inlineStr">
        <is>
          <t>R1205-v1</t>
        </is>
      </c>
      <c r="B154" s="12" t="inlineStr">
        <is>
          <t>CST-02-043</t>
        </is>
      </c>
      <c r="C154" s="12" t="inlineStr">
        <is>
          <t>New</t>
        </is>
      </c>
      <c r="D154" s="12" t="inlineStr">
        <is>
          <t>Record first supplied in this revision</t>
        </is>
      </c>
      <c r="E154" s="12" t="inlineStr"/>
      <c r="F154" s="65" t="inlineStr">
        <is>
          <t>10 EVIDENCE &amp; DECISIONS</t>
        </is>
      </c>
      <c r="G154" s="14" t="n"/>
    </row>
    <row r="155" ht="79" customHeight="1">
      <c r="A155" s="12" t="inlineStr">
        <is>
          <t>R1206-v1</t>
        </is>
      </c>
      <c r="B155" s="12" t="inlineStr">
        <is>
          <t>CST-02-044</t>
        </is>
      </c>
      <c r="C155" s="12" t="inlineStr">
        <is>
          <t>New</t>
        </is>
      </c>
      <c r="D155" s="12" t="inlineStr">
        <is>
          <t>Record first supplied in this revision</t>
        </is>
      </c>
      <c r="E155" s="12" t="inlineStr"/>
      <c r="F155" s="65" t="inlineStr">
        <is>
          <t>10 EVIDENCE &amp; DECISIONS</t>
        </is>
      </c>
      <c r="G155" s="14" t="n"/>
    </row>
    <row r="156" ht="79" customHeight="1">
      <c r="A156" s="12" t="inlineStr">
        <is>
          <t>R1207-v1</t>
        </is>
      </c>
      <c r="B156" s="12" t="inlineStr">
        <is>
          <t>CST-02-045</t>
        </is>
      </c>
      <c r="C156" s="12" t="inlineStr">
        <is>
          <t>New</t>
        </is>
      </c>
      <c r="D156" s="12" t="inlineStr">
        <is>
          <t>Record first supplied in this revision</t>
        </is>
      </c>
      <c r="E156" s="12" t="inlineStr"/>
      <c r="F156" s="65" t="inlineStr">
        <is>
          <t>10 EVIDENCE &amp; DECISIONS</t>
        </is>
      </c>
      <c r="G156" s="14" t="n"/>
    </row>
    <row r="157" ht="79" customHeight="1">
      <c r="A157" s="12" t="inlineStr">
        <is>
          <t>R1208-v1</t>
        </is>
      </c>
      <c r="B157" s="12" t="inlineStr">
        <is>
          <t>CST-02-046</t>
        </is>
      </c>
      <c r="C157" s="12" t="inlineStr">
        <is>
          <t>New</t>
        </is>
      </c>
      <c r="D157" s="12" t="inlineStr">
        <is>
          <t>Record first supplied in this revision</t>
        </is>
      </c>
      <c r="E157" s="12" t="inlineStr"/>
      <c r="F157" s="65" t="inlineStr">
        <is>
          <t>10 EVIDENCE &amp; DECISIONS</t>
        </is>
      </c>
      <c r="G157" s="14" t="n"/>
    </row>
    <row r="158" ht="79" customHeight="1">
      <c r="A158" s="12" t="inlineStr">
        <is>
          <t>R1209-v1</t>
        </is>
      </c>
      <c r="B158" s="12" t="inlineStr">
        <is>
          <t>CST-02-047</t>
        </is>
      </c>
      <c r="C158" s="12" t="inlineStr">
        <is>
          <t>New</t>
        </is>
      </c>
      <c r="D158" s="12" t="inlineStr">
        <is>
          <t>Record first supplied in this revision</t>
        </is>
      </c>
      <c r="E158" s="12" t="inlineStr"/>
      <c r="F158" s="65" t="inlineStr">
        <is>
          <t>10 EVIDENCE &amp; DECISIONS</t>
        </is>
      </c>
      <c r="G158" s="14" t="n"/>
    </row>
    <row r="159" ht="79" customHeight="1">
      <c r="A159" s="12" t="inlineStr">
        <is>
          <t>R1210-v1</t>
        </is>
      </c>
      <c r="B159" s="12" t="inlineStr">
        <is>
          <t>CST-02-048</t>
        </is>
      </c>
      <c r="C159" s="12" t="inlineStr">
        <is>
          <t>New</t>
        </is>
      </c>
      <c r="D159" s="12" t="inlineStr">
        <is>
          <t>Record first supplied in this revision</t>
        </is>
      </c>
      <c r="E159" s="12" t="inlineStr"/>
      <c r="F159" s="65" t="inlineStr">
        <is>
          <t>10 EVIDENCE &amp; DECISIONS</t>
        </is>
      </c>
      <c r="G159" s="14" t="n"/>
    </row>
    <row r="160" ht="79" customHeight="1">
      <c r="A160" s="12" t="inlineStr">
        <is>
          <t>R1211-v1</t>
        </is>
      </c>
      <c r="B160" s="12" t="inlineStr">
        <is>
          <t>CST-02-049</t>
        </is>
      </c>
      <c r="C160" s="12" t="inlineStr">
        <is>
          <t>New</t>
        </is>
      </c>
      <c r="D160" s="12" t="inlineStr">
        <is>
          <t>Record first supplied in this revision</t>
        </is>
      </c>
      <c r="E160" s="12" t="inlineStr"/>
      <c r="F160" s="65" t="inlineStr">
        <is>
          <t>10 EVIDENCE &amp; DECISIONS</t>
        </is>
      </c>
      <c r="G160" s="14" t="n"/>
    </row>
    <row r="161" ht="79" customHeight="1">
      <c r="A161" s="12" t="inlineStr">
        <is>
          <t>R1212-v1</t>
        </is>
      </c>
      <c r="B161" s="12" t="inlineStr">
        <is>
          <t>CST-02-050</t>
        </is>
      </c>
      <c r="C161" s="12" t="inlineStr">
        <is>
          <t>New</t>
        </is>
      </c>
      <c r="D161" s="12" t="inlineStr">
        <is>
          <t>Record first supplied in this revision</t>
        </is>
      </c>
      <c r="E161" s="12" t="inlineStr"/>
      <c r="F161" s="65" t="inlineStr">
        <is>
          <t>10 EVIDENCE &amp; DECISIONS</t>
        </is>
      </c>
      <c r="G161" s="14" t="n"/>
    </row>
    <row r="162" ht="79" customHeight="1">
      <c r="A162" s="12" t="inlineStr">
        <is>
          <t>R1213-v1</t>
        </is>
      </c>
      <c r="B162" s="12" t="inlineStr">
        <is>
          <t>CST-02-051</t>
        </is>
      </c>
      <c r="C162" s="12" t="inlineStr">
        <is>
          <t>New</t>
        </is>
      </c>
      <c r="D162" s="12" t="inlineStr">
        <is>
          <t>Record first supplied in this revision</t>
        </is>
      </c>
      <c r="E162" s="12" t="inlineStr"/>
      <c r="F162" s="65" t="inlineStr">
        <is>
          <t>10 EVIDENCE &amp; DECISIONS</t>
        </is>
      </c>
      <c r="G162" s="14" t="n"/>
    </row>
    <row r="163" ht="79" customHeight="1">
      <c r="A163" s="12" t="inlineStr">
        <is>
          <t>R1214-v1</t>
        </is>
      </c>
      <c r="B163" s="12" t="inlineStr">
        <is>
          <t>CST-02-052</t>
        </is>
      </c>
      <c r="C163" s="12" t="inlineStr">
        <is>
          <t>New</t>
        </is>
      </c>
      <c r="D163" s="12" t="inlineStr">
        <is>
          <t>Record first supplied in this revision</t>
        </is>
      </c>
      <c r="E163" s="12" t="inlineStr"/>
      <c r="F163" s="65" t="inlineStr">
        <is>
          <t>10 EVIDENCE &amp; DECISIONS</t>
        </is>
      </c>
      <c r="G163" s="14" t="n"/>
    </row>
    <row r="164" ht="79" customHeight="1">
      <c r="A164" s="12" t="inlineStr">
        <is>
          <t>R1215-v1</t>
        </is>
      </c>
      <c r="B164" s="12" t="inlineStr">
        <is>
          <t>CST-02-053</t>
        </is>
      </c>
      <c r="C164" s="12" t="inlineStr">
        <is>
          <t>New</t>
        </is>
      </c>
      <c r="D164" s="12" t="inlineStr">
        <is>
          <t>Record first supplied in this revision</t>
        </is>
      </c>
      <c r="E164" s="12" t="inlineStr"/>
      <c r="F164" s="65" t="inlineStr">
        <is>
          <t>10 EVIDENCE &amp; DECISIONS</t>
        </is>
      </c>
      <c r="G164" s="14" t="n"/>
    </row>
    <row r="165" ht="79" customHeight="1">
      <c r="A165" s="12" t="inlineStr">
        <is>
          <t>R1216-v1</t>
        </is>
      </c>
      <c r="B165" s="12" t="inlineStr">
        <is>
          <t>CST-02-054</t>
        </is>
      </c>
      <c r="C165" s="12" t="inlineStr">
        <is>
          <t>New</t>
        </is>
      </c>
      <c r="D165" s="12" t="inlineStr">
        <is>
          <t>Record first supplied in this revision</t>
        </is>
      </c>
      <c r="E165" s="12" t="inlineStr"/>
      <c r="F165" s="65" t="inlineStr">
        <is>
          <t>10 EVIDENCE &amp; DECISIONS</t>
        </is>
      </c>
      <c r="G165" s="14" t="n"/>
    </row>
    <row r="166" ht="79" customHeight="1">
      <c r="A166" s="12" t="inlineStr">
        <is>
          <t>R1217-v1</t>
        </is>
      </c>
      <c r="B166" s="12" t="inlineStr">
        <is>
          <t>CST-02-055</t>
        </is>
      </c>
      <c r="C166" s="12" t="inlineStr">
        <is>
          <t>New</t>
        </is>
      </c>
      <c r="D166" s="12" t="inlineStr">
        <is>
          <t>Record first supplied in this revision</t>
        </is>
      </c>
      <c r="E166" s="12" t="inlineStr"/>
      <c r="F166" s="65" t="inlineStr">
        <is>
          <t>10 EVIDENCE &amp; DECISIONS</t>
        </is>
      </c>
      <c r="G166" s="14" t="n"/>
    </row>
    <row r="167" ht="79" customHeight="1">
      <c r="A167" s="12" t="inlineStr">
        <is>
          <t>R1218-v1</t>
        </is>
      </c>
      <c r="B167" s="12" t="inlineStr">
        <is>
          <t>CST-02-056</t>
        </is>
      </c>
      <c r="C167" s="12" t="inlineStr">
        <is>
          <t>New</t>
        </is>
      </c>
      <c r="D167" s="12" t="inlineStr">
        <is>
          <t>Record first supplied in this revision</t>
        </is>
      </c>
      <c r="E167" s="12" t="inlineStr"/>
      <c r="F167" s="65" t="inlineStr">
        <is>
          <t>10 EVIDENCE &amp; DECISIONS</t>
        </is>
      </c>
      <c r="G167" s="14" t="n"/>
    </row>
    <row r="168" ht="79" customHeight="1">
      <c r="A168" s="12" t="inlineStr">
        <is>
          <t>R1219-v1</t>
        </is>
      </c>
      <c r="B168" s="12" t="inlineStr">
        <is>
          <t>CST-02-057</t>
        </is>
      </c>
      <c r="C168" s="12" t="inlineStr">
        <is>
          <t>New</t>
        </is>
      </c>
      <c r="D168" s="12" t="inlineStr">
        <is>
          <t>Record first supplied in this revision</t>
        </is>
      </c>
      <c r="E168" s="12" t="inlineStr"/>
      <c r="F168" s="65" t="inlineStr">
        <is>
          <t>10 EVIDENCE &amp; DECISIONS</t>
        </is>
      </c>
      <c r="G168" s="14" t="n"/>
    </row>
    <row r="169" ht="79" customHeight="1">
      <c r="A169" s="12" t="inlineStr">
        <is>
          <t>R1220-v1</t>
        </is>
      </c>
      <c r="B169" s="12" t="inlineStr">
        <is>
          <t>CST-02-058</t>
        </is>
      </c>
      <c r="C169" s="12" t="inlineStr">
        <is>
          <t>New</t>
        </is>
      </c>
      <c r="D169" s="12" t="inlineStr">
        <is>
          <t>Record first supplied in this revision</t>
        </is>
      </c>
      <c r="E169" s="12" t="inlineStr"/>
      <c r="F169" s="65" t="inlineStr">
        <is>
          <t>10 EVIDENCE &amp; DECISIONS</t>
        </is>
      </c>
      <c r="G169" s="14" t="n"/>
    </row>
    <row r="170" ht="79" customHeight="1">
      <c r="A170" s="12" t="inlineStr">
        <is>
          <t>R1221-v1</t>
        </is>
      </c>
      <c r="B170" s="12" t="inlineStr">
        <is>
          <t>CST-02-059</t>
        </is>
      </c>
      <c r="C170" s="12" t="inlineStr">
        <is>
          <t>New</t>
        </is>
      </c>
      <c r="D170" s="12" t="inlineStr">
        <is>
          <t>Record first supplied in this revision</t>
        </is>
      </c>
      <c r="E170" s="12" t="inlineStr"/>
      <c r="F170" s="65" t="inlineStr">
        <is>
          <t>10 EVIDENCE &amp; DECISIONS</t>
        </is>
      </c>
      <c r="G170" s="14" t="n"/>
    </row>
    <row r="171" ht="79" customHeight="1">
      <c r="A171" s="12" t="inlineStr">
        <is>
          <t>R1222-v1</t>
        </is>
      </c>
      <c r="B171" s="12" t="inlineStr">
        <is>
          <t>CST-02-060</t>
        </is>
      </c>
      <c r="C171" s="12" t="inlineStr">
        <is>
          <t>New</t>
        </is>
      </c>
      <c r="D171" s="12" t="inlineStr">
        <is>
          <t>Record first supplied in this revision</t>
        </is>
      </c>
      <c r="E171" s="12" t="inlineStr"/>
      <c r="F171" s="65" t="inlineStr">
        <is>
          <t>10 EVIDENCE &amp; DECISIONS</t>
        </is>
      </c>
      <c r="G171" s="14" t="n"/>
    </row>
    <row r="172" ht="79" customHeight="1">
      <c r="A172" s="12" t="inlineStr">
        <is>
          <t>R1223-v1</t>
        </is>
      </c>
      <c r="B172" s="12" t="inlineStr">
        <is>
          <t>CST-02-061</t>
        </is>
      </c>
      <c r="C172" s="12" t="inlineStr">
        <is>
          <t>New</t>
        </is>
      </c>
      <c r="D172" s="12" t="inlineStr">
        <is>
          <t>Record first supplied in this revision</t>
        </is>
      </c>
      <c r="E172" s="12" t="inlineStr"/>
      <c r="F172" s="65" t="inlineStr">
        <is>
          <t>10 EVIDENCE &amp; DECISIONS</t>
        </is>
      </c>
      <c r="G172" s="14" t="n"/>
    </row>
    <row r="173" ht="79" customHeight="1">
      <c r="A173" s="12" t="inlineStr">
        <is>
          <t>R1224-v1</t>
        </is>
      </c>
      <c r="B173" s="12" t="inlineStr">
        <is>
          <t>CST-02-062</t>
        </is>
      </c>
      <c r="C173" s="12" t="inlineStr">
        <is>
          <t>New</t>
        </is>
      </c>
      <c r="D173" s="12" t="inlineStr">
        <is>
          <t>Record first supplied in this revision</t>
        </is>
      </c>
      <c r="E173" s="12" t="inlineStr"/>
      <c r="F173" s="65" t="inlineStr">
        <is>
          <t>10 EVIDENCE &amp; DECISIONS</t>
        </is>
      </c>
      <c r="G173" s="14" t="n"/>
    </row>
    <row r="174" ht="79" customHeight="1">
      <c r="A174" s="12" t="inlineStr">
        <is>
          <t>R1225-v1</t>
        </is>
      </c>
      <c r="B174" s="12" t="inlineStr">
        <is>
          <t>CST-02-063</t>
        </is>
      </c>
      <c r="C174" s="12" t="inlineStr">
        <is>
          <t>New</t>
        </is>
      </c>
      <c r="D174" s="12" t="inlineStr">
        <is>
          <t>Record first supplied in this revision</t>
        </is>
      </c>
      <c r="E174" s="12" t="inlineStr"/>
      <c r="F174" s="65" t="inlineStr">
        <is>
          <t>10 EVIDENCE &amp; DECISIONS</t>
        </is>
      </c>
      <c r="G174" s="14" t="n"/>
    </row>
    <row r="175" ht="79" customHeight="1">
      <c r="A175" s="12" t="inlineStr">
        <is>
          <t>R1226-v1</t>
        </is>
      </c>
      <c r="B175" s="12" t="inlineStr">
        <is>
          <t>CST-02-064</t>
        </is>
      </c>
      <c r="C175" s="12" t="inlineStr">
        <is>
          <t>New</t>
        </is>
      </c>
      <c r="D175" s="12" t="inlineStr">
        <is>
          <t>Record first supplied in this revision</t>
        </is>
      </c>
      <c r="E175" s="12" t="inlineStr"/>
      <c r="F175" s="65" t="inlineStr">
        <is>
          <t>10 EVIDENCE &amp; DECISIONS</t>
        </is>
      </c>
      <c r="G175" s="14" t="n"/>
    </row>
    <row r="176" ht="79" customHeight="1">
      <c r="A176" s="12" t="inlineStr">
        <is>
          <t>R1227-v1</t>
        </is>
      </c>
      <c r="B176" s="12" t="inlineStr">
        <is>
          <t>CST-02-065</t>
        </is>
      </c>
      <c r="C176" s="12" t="inlineStr">
        <is>
          <t>New</t>
        </is>
      </c>
      <c r="D176" s="12" t="inlineStr">
        <is>
          <t>Record first supplied in this revision</t>
        </is>
      </c>
      <c r="E176" s="12" t="inlineStr"/>
      <c r="F176" s="65" t="inlineStr">
        <is>
          <t>10 EVIDENCE &amp; DECISIONS</t>
        </is>
      </c>
      <c r="G176" s="14" t="n"/>
    </row>
    <row r="177" ht="79" customHeight="1">
      <c r="A177" s="12" t="inlineStr">
        <is>
          <t>R1228-v1</t>
        </is>
      </c>
      <c r="B177" s="12" t="inlineStr">
        <is>
          <t>CST-02-066</t>
        </is>
      </c>
      <c r="C177" s="12" t="inlineStr">
        <is>
          <t>New</t>
        </is>
      </c>
      <c r="D177" s="12" t="inlineStr">
        <is>
          <t>Record first supplied in this revision</t>
        </is>
      </c>
      <c r="E177" s="12" t="inlineStr"/>
      <c r="F177" s="65" t="inlineStr">
        <is>
          <t>10 EVIDENCE &amp; DECISIONS</t>
        </is>
      </c>
      <c r="G177" s="14" t="n"/>
    </row>
    <row r="178" ht="79" customHeight="1">
      <c r="A178" s="12" t="inlineStr">
        <is>
          <t>R1229-v1</t>
        </is>
      </c>
      <c r="B178" s="12" t="inlineStr">
        <is>
          <t>CST-02-067</t>
        </is>
      </c>
      <c r="C178" s="12" t="inlineStr">
        <is>
          <t>New</t>
        </is>
      </c>
      <c r="D178" s="12" t="inlineStr">
        <is>
          <t>Record first supplied in this revision</t>
        </is>
      </c>
      <c r="E178" s="12" t="inlineStr"/>
      <c r="F178" s="65" t="inlineStr">
        <is>
          <t>10 EVIDENCE &amp; DECISIONS</t>
        </is>
      </c>
      <c r="G178" s="14" t="n"/>
    </row>
    <row r="179" ht="79" customHeight="1">
      <c r="A179" s="12" t="inlineStr">
        <is>
          <t>R1230-v1</t>
        </is>
      </c>
      <c r="B179" s="12" t="inlineStr">
        <is>
          <t>CST-02-068</t>
        </is>
      </c>
      <c r="C179" s="12" t="inlineStr">
        <is>
          <t>New</t>
        </is>
      </c>
      <c r="D179" s="12" t="inlineStr">
        <is>
          <t>Record first supplied in this revision</t>
        </is>
      </c>
      <c r="E179" s="12" t="inlineStr"/>
      <c r="F179" s="65" t="inlineStr">
        <is>
          <t>10 EVIDENCE &amp; DECISIONS</t>
        </is>
      </c>
      <c r="G179" s="14" t="n"/>
    </row>
    <row r="180" ht="79" customHeight="1">
      <c r="A180" s="12" t="inlineStr">
        <is>
          <t>R1231-v1</t>
        </is>
      </c>
      <c r="B180" s="12" t="inlineStr">
        <is>
          <t>CST-02-069</t>
        </is>
      </c>
      <c r="C180" s="12" t="inlineStr">
        <is>
          <t>New</t>
        </is>
      </c>
      <c r="D180" s="12" t="inlineStr">
        <is>
          <t>Record first supplied in this revision</t>
        </is>
      </c>
      <c r="E180" s="12" t="inlineStr"/>
      <c r="F180" s="65" t="inlineStr">
        <is>
          <t>10 EVIDENCE &amp; DECISIONS</t>
        </is>
      </c>
      <c r="G180" s="14" t="n"/>
    </row>
    <row r="181" ht="79" customHeight="1">
      <c r="A181" s="12" t="inlineStr">
        <is>
          <t>R1232-v1</t>
        </is>
      </c>
      <c r="B181" s="12" t="inlineStr">
        <is>
          <t>CST-02-070</t>
        </is>
      </c>
      <c r="C181" s="12" t="inlineStr">
        <is>
          <t>New</t>
        </is>
      </c>
      <c r="D181" s="12" t="inlineStr">
        <is>
          <t>Record first supplied in this revision</t>
        </is>
      </c>
      <c r="E181" s="12" t="inlineStr"/>
      <c r="F181" s="65" t="inlineStr">
        <is>
          <t>10 EVIDENCE &amp; DECISIONS</t>
        </is>
      </c>
      <c r="G181" s="14" t="n"/>
    </row>
    <row r="182" ht="79" customHeight="1">
      <c r="A182" s="12" t="inlineStr">
        <is>
          <t>R1233-v1</t>
        </is>
      </c>
      <c r="B182" s="12" t="inlineStr">
        <is>
          <t>CST-02-071</t>
        </is>
      </c>
      <c r="C182" s="12" t="inlineStr">
        <is>
          <t>New</t>
        </is>
      </c>
      <c r="D182" s="12" t="inlineStr">
        <is>
          <t>Record first supplied in this revision</t>
        </is>
      </c>
      <c r="E182" s="12" t="inlineStr"/>
      <c r="F182" s="65" t="inlineStr">
        <is>
          <t>10 EVIDENCE &amp; DECISIONS</t>
        </is>
      </c>
      <c r="G182" s="14" t="n"/>
    </row>
    <row r="183" ht="79" customHeight="1">
      <c r="A183" s="12" t="inlineStr">
        <is>
          <t>R1234-v1</t>
        </is>
      </c>
      <c r="B183" s="12" t="inlineStr">
        <is>
          <t>CST-02-072</t>
        </is>
      </c>
      <c r="C183" s="12" t="inlineStr">
        <is>
          <t>New</t>
        </is>
      </c>
      <c r="D183" s="12" t="inlineStr">
        <is>
          <t>Record first supplied in this revision</t>
        </is>
      </c>
      <c r="E183" s="12" t="inlineStr"/>
      <c r="F183" s="65" t="inlineStr">
        <is>
          <t>10 EVIDENCE &amp; DECISIONS</t>
        </is>
      </c>
      <c r="G183" s="14" t="n"/>
    </row>
    <row r="184" ht="79" customHeight="1">
      <c r="A184" s="12" t="inlineStr">
        <is>
          <t>R1235-v1</t>
        </is>
      </c>
      <c r="B184" s="12" t="inlineStr">
        <is>
          <t>CST-02-073</t>
        </is>
      </c>
      <c r="C184" s="12" t="inlineStr">
        <is>
          <t>New</t>
        </is>
      </c>
      <c r="D184" s="12" t="inlineStr">
        <is>
          <t>Record first supplied in this revision</t>
        </is>
      </c>
      <c r="E184" s="12" t="inlineStr"/>
      <c r="F184" s="65" t="inlineStr">
        <is>
          <t>10 EVIDENCE &amp; DECISIONS</t>
        </is>
      </c>
      <c r="G184" s="14" t="n"/>
    </row>
    <row r="185" ht="79" customHeight="1">
      <c r="A185" s="12" t="inlineStr">
        <is>
          <t>R1236-v1</t>
        </is>
      </c>
      <c r="B185" s="12" t="inlineStr">
        <is>
          <t>CST-02-074</t>
        </is>
      </c>
      <c r="C185" s="12" t="inlineStr">
        <is>
          <t>New</t>
        </is>
      </c>
      <c r="D185" s="12" t="inlineStr">
        <is>
          <t>Record first supplied in this revision</t>
        </is>
      </c>
      <c r="E185" s="12" t="inlineStr"/>
      <c r="F185" s="65" t="inlineStr">
        <is>
          <t>10 EVIDENCE &amp; DECISIONS</t>
        </is>
      </c>
      <c r="G185" s="14" t="n"/>
    </row>
    <row r="186" ht="79" customHeight="1">
      <c r="A186" s="12" t="inlineStr">
        <is>
          <t>R1237-v1</t>
        </is>
      </c>
      <c r="B186" s="12" t="inlineStr">
        <is>
          <t>CST-02-075</t>
        </is>
      </c>
      <c r="C186" s="12" t="inlineStr">
        <is>
          <t>New</t>
        </is>
      </c>
      <c r="D186" s="12" t="inlineStr">
        <is>
          <t>Record first supplied in this revision</t>
        </is>
      </c>
      <c r="E186" s="12" t="inlineStr"/>
      <c r="F186" s="65" t="inlineStr">
        <is>
          <t>10 EVIDENCE &amp; DECISIONS</t>
        </is>
      </c>
      <c r="G186" s="14" t="n"/>
    </row>
    <row r="187" ht="79" customHeight="1">
      <c r="A187" s="12" t="inlineStr">
        <is>
          <t>R1238-v1</t>
        </is>
      </c>
      <c r="B187" s="12" t="inlineStr">
        <is>
          <t>CST-02-076</t>
        </is>
      </c>
      <c r="C187" s="12" t="inlineStr">
        <is>
          <t>New</t>
        </is>
      </c>
      <c r="D187" s="12" t="inlineStr">
        <is>
          <t>Record first supplied in this revision</t>
        </is>
      </c>
      <c r="E187" s="12" t="inlineStr"/>
      <c r="F187" s="65" t="inlineStr">
        <is>
          <t>10 EVIDENCE &amp; DECISIONS</t>
        </is>
      </c>
      <c r="G187" s="14" t="n"/>
    </row>
    <row r="188" ht="79" customHeight="1">
      <c r="A188" s="12" t="inlineStr">
        <is>
          <t>R1239-v1</t>
        </is>
      </c>
      <c r="B188" s="12" t="inlineStr">
        <is>
          <t>CST-02-077</t>
        </is>
      </c>
      <c r="C188" s="12" t="inlineStr">
        <is>
          <t>New</t>
        </is>
      </c>
      <c r="D188" s="12" t="inlineStr">
        <is>
          <t>Record first supplied in this revision</t>
        </is>
      </c>
      <c r="E188" s="12" t="inlineStr"/>
      <c r="F188" s="65" t="inlineStr">
        <is>
          <t>10 EVIDENCE &amp; DECISIONS</t>
        </is>
      </c>
      <c r="G188" s="14" t="n"/>
    </row>
    <row r="189" ht="79" customHeight="1">
      <c r="A189" s="12" t="inlineStr">
        <is>
          <t>R1240-v1</t>
        </is>
      </c>
      <c r="B189" s="12" t="inlineStr">
        <is>
          <t>CST-02-078</t>
        </is>
      </c>
      <c r="C189" s="12" t="inlineStr">
        <is>
          <t>New</t>
        </is>
      </c>
      <c r="D189" s="12" t="inlineStr">
        <is>
          <t>Record first supplied in this revision</t>
        </is>
      </c>
      <c r="E189" s="12" t="inlineStr"/>
      <c r="F189" s="65" t="inlineStr">
        <is>
          <t>10 EVIDENCE &amp; DECISIONS</t>
        </is>
      </c>
      <c r="G189" s="14" t="n"/>
    </row>
    <row r="190" ht="79" customHeight="1">
      <c r="A190" s="12" t="inlineStr">
        <is>
          <t>R1241-v1</t>
        </is>
      </c>
      <c r="B190" s="12" t="inlineStr">
        <is>
          <t>CST-02-079</t>
        </is>
      </c>
      <c r="C190" s="12" t="inlineStr">
        <is>
          <t>New</t>
        </is>
      </c>
      <c r="D190" s="12" t="inlineStr">
        <is>
          <t>Record first supplied in this revision</t>
        </is>
      </c>
      <c r="E190" s="12" t="inlineStr"/>
      <c r="F190" s="65" t="inlineStr">
        <is>
          <t>10 EVIDENCE &amp; DECISIONS</t>
        </is>
      </c>
      <c r="G190" s="14" t="n"/>
    </row>
    <row r="191" ht="79" customHeight="1">
      <c r="A191" s="12" t="inlineStr">
        <is>
          <t>R1242-v1</t>
        </is>
      </c>
      <c r="B191" s="12" t="inlineStr">
        <is>
          <t>CST-02-080</t>
        </is>
      </c>
      <c r="C191" s="12" t="inlineStr">
        <is>
          <t>New</t>
        </is>
      </c>
      <c r="D191" s="12" t="inlineStr">
        <is>
          <t>Record first supplied in this revision</t>
        </is>
      </c>
      <c r="E191" s="12" t="inlineStr"/>
      <c r="F191" s="65" t="inlineStr">
        <is>
          <t>10 EVIDENCE &amp; DECISIONS</t>
        </is>
      </c>
      <c r="G191" s="14" t="n"/>
    </row>
    <row r="192" ht="79" customHeight="1">
      <c r="A192" s="12" t="inlineStr">
        <is>
          <t>R1243-v1</t>
        </is>
      </c>
      <c r="B192" s="12" t="inlineStr">
        <is>
          <t>CST-03-001</t>
        </is>
      </c>
      <c r="C192" s="12" t="inlineStr">
        <is>
          <t>New</t>
        </is>
      </c>
      <c r="D192" s="12" t="inlineStr">
        <is>
          <t>Record first supplied in this revision</t>
        </is>
      </c>
      <c r="E192" s="12" t="inlineStr"/>
      <c r="F192" s="65" t="inlineStr">
        <is>
          <t>10 EVIDENCE &amp; DECISIONS</t>
        </is>
      </c>
      <c r="G192" s="14" t="n"/>
    </row>
    <row r="193" ht="79" customHeight="1">
      <c r="A193" s="12" t="inlineStr">
        <is>
          <t>R1244-v1</t>
        </is>
      </c>
      <c r="B193" s="12" t="inlineStr">
        <is>
          <t>CST-03-002</t>
        </is>
      </c>
      <c r="C193" s="12" t="inlineStr">
        <is>
          <t>New</t>
        </is>
      </c>
      <c r="D193" s="12" t="inlineStr">
        <is>
          <t>Record first supplied in this revision</t>
        </is>
      </c>
      <c r="E193" s="12" t="inlineStr"/>
      <c r="F193" s="65" t="inlineStr">
        <is>
          <t>10 EVIDENCE &amp; DECISIONS</t>
        </is>
      </c>
      <c r="G193" s="14" t="n"/>
    </row>
    <row r="194" ht="79" customHeight="1">
      <c r="A194" s="12" t="inlineStr">
        <is>
          <t>R1245-v1</t>
        </is>
      </c>
      <c r="B194" s="12" t="inlineStr">
        <is>
          <t>CST-03-003</t>
        </is>
      </c>
      <c r="C194" s="12" t="inlineStr">
        <is>
          <t>New</t>
        </is>
      </c>
      <c r="D194" s="12" t="inlineStr">
        <is>
          <t>Record first supplied in this revision</t>
        </is>
      </c>
      <c r="E194" s="12" t="inlineStr"/>
      <c r="F194" s="65" t="inlineStr">
        <is>
          <t>10 EVIDENCE &amp; DECISIONS</t>
        </is>
      </c>
      <c r="G194" s="14" t="n"/>
    </row>
    <row r="195" ht="79" customHeight="1">
      <c r="A195" s="12" t="inlineStr">
        <is>
          <t>R1246-v2</t>
        </is>
      </c>
      <c r="B195" s="12" t="inlineStr">
        <is>
          <t>CST-03-004</t>
        </is>
      </c>
      <c r="C195" s="12" t="inlineStr">
        <is>
          <t>New</t>
        </is>
      </c>
      <c r="D195" s="12" t="inlineStr">
        <is>
          <t>Record first supplied in this revision</t>
        </is>
      </c>
      <c r="E195" s="12" t="inlineStr">
        <is>
          <t>Maya Chen, Owner Project Controls</t>
        </is>
      </c>
      <c r="F195" s="65" t="inlineStr">
        <is>
          <t>10 EVIDENCE &amp; DECISIONS</t>
        </is>
      </c>
      <c r="G195" s="14" t="n"/>
    </row>
    <row r="196" ht="79" customHeight="1">
      <c r="A196" s="12" t="inlineStr">
        <is>
          <t>R1247-v1</t>
        </is>
      </c>
      <c r="B196" s="12" t="inlineStr">
        <is>
          <t>CST-03-005</t>
        </is>
      </c>
      <c r="C196" s="12" t="inlineStr">
        <is>
          <t>New</t>
        </is>
      </c>
      <c r="D196" s="12" t="inlineStr">
        <is>
          <t>Record first supplied in this revision</t>
        </is>
      </c>
      <c r="E196" s="12" t="inlineStr"/>
      <c r="F196" s="65" t="inlineStr">
        <is>
          <t>10 EVIDENCE &amp; DECISIONS</t>
        </is>
      </c>
      <c r="G196" s="14" t="n"/>
    </row>
    <row r="197" ht="79" customHeight="1">
      <c r="A197" s="12" t="inlineStr">
        <is>
          <t>R1248-v1</t>
        </is>
      </c>
      <c r="B197" s="12" t="inlineStr">
        <is>
          <t>CST-03-006</t>
        </is>
      </c>
      <c r="C197" s="12" t="inlineStr">
        <is>
          <t>New</t>
        </is>
      </c>
      <c r="D197" s="12" t="inlineStr">
        <is>
          <t>Record first supplied in this revision</t>
        </is>
      </c>
      <c r="E197" s="12" t="inlineStr"/>
      <c r="F197" s="65" t="inlineStr">
        <is>
          <t>10 EVIDENCE &amp; DECISIONS</t>
        </is>
      </c>
      <c r="G197" s="14" t="n"/>
    </row>
    <row r="198" ht="79" customHeight="1">
      <c r="A198" s="12" t="inlineStr">
        <is>
          <t>R1249-v1</t>
        </is>
      </c>
      <c r="B198" s="12" t="inlineStr">
        <is>
          <t>CST-03-007</t>
        </is>
      </c>
      <c r="C198" s="12" t="inlineStr">
        <is>
          <t>New</t>
        </is>
      </c>
      <c r="D198" s="12" t="inlineStr">
        <is>
          <t>Record first supplied in this revision</t>
        </is>
      </c>
      <c r="E198" s="12" t="inlineStr"/>
      <c r="F198" s="65" t="inlineStr">
        <is>
          <t>10 EVIDENCE &amp; DECISIONS</t>
        </is>
      </c>
      <c r="G198" s="14" t="n"/>
    </row>
    <row r="199" ht="79" customHeight="1">
      <c r="A199" s="12" t="inlineStr">
        <is>
          <t>R1250-v1</t>
        </is>
      </c>
      <c r="B199" s="12" t="inlineStr">
        <is>
          <t>CST-03-008</t>
        </is>
      </c>
      <c r="C199" s="12" t="inlineStr">
        <is>
          <t>New</t>
        </is>
      </c>
      <c r="D199" s="12" t="inlineStr">
        <is>
          <t>Record first supplied in this revision</t>
        </is>
      </c>
      <c r="E199" s="12" t="inlineStr"/>
      <c r="F199" s="65" t="inlineStr">
        <is>
          <t>10 EVIDENCE &amp; DECISIONS</t>
        </is>
      </c>
      <c r="G199" s="14" t="n"/>
    </row>
    <row r="200" ht="79" customHeight="1">
      <c r="A200" s="12" t="inlineStr">
        <is>
          <t>R1251-v1</t>
        </is>
      </c>
      <c r="B200" s="12" t="inlineStr">
        <is>
          <t>CST-03-009</t>
        </is>
      </c>
      <c r="C200" s="12" t="inlineStr">
        <is>
          <t>New</t>
        </is>
      </c>
      <c r="D200" s="12" t="inlineStr">
        <is>
          <t>Record first supplied in this revision</t>
        </is>
      </c>
      <c r="E200" s="12" t="inlineStr"/>
      <c r="F200" s="65" t="inlineStr">
        <is>
          <t>10 EVIDENCE &amp; DECISIONS</t>
        </is>
      </c>
      <c r="G200" s="14" t="n"/>
    </row>
    <row r="201" ht="79" customHeight="1">
      <c r="A201" s="12" t="inlineStr">
        <is>
          <t>R1252-v1</t>
        </is>
      </c>
      <c r="B201" s="12" t="inlineStr">
        <is>
          <t>CST-03-010</t>
        </is>
      </c>
      <c r="C201" s="12" t="inlineStr">
        <is>
          <t>New</t>
        </is>
      </c>
      <c r="D201" s="12" t="inlineStr">
        <is>
          <t>Record first supplied in this revision</t>
        </is>
      </c>
      <c r="E201" s="12" t="inlineStr"/>
      <c r="F201" s="65" t="inlineStr">
        <is>
          <t>10 EVIDENCE &amp; DECISIONS</t>
        </is>
      </c>
      <c r="G201" s="14" t="n"/>
    </row>
    <row r="202" ht="79" customHeight="1">
      <c r="A202" s="12" t="inlineStr">
        <is>
          <t>R1253-v1</t>
        </is>
      </c>
      <c r="B202" s="12" t="inlineStr">
        <is>
          <t>CST-03-011</t>
        </is>
      </c>
      <c r="C202" s="12" t="inlineStr">
        <is>
          <t>New</t>
        </is>
      </c>
      <c r="D202" s="12" t="inlineStr">
        <is>
          <t>Record first supplied in this revision</t>
        </is>
      </c>
      <c r="E202" s="12" t="inlineStr"/>
      <c r="F202" s="65" t="inlineStr">
        <is>
          <t>10 EVIDENCE &amp; DECISIONS</t>
        </is>
      </c>
      <c r="G202" s="14" t="n"/>
    </row>
    <row r="203" ht="79" customHeight="1">
      <c r="A203" s="12" t="inlineStr">
        <is>
          <t>R1254-v1</t>
        </is>
      </c>
      <c r="B203" s="12" t="inlineStr">
        <is>
          <t>CST-03-012</t>
        </is>
      </c>
      <c r="C203" s="12" t="inlineStr">
        <is>
          <t>New</t>
        </is>
      </c>
      <c r="D203" s="12" t="inlineStr">
        <is>
          <t>Record first supplied in this revision</t>
        </is>
      </c>
      <c r="E203" s="12" t="inlineStr"/>
      <c r="F203" s="65" t="inlineStr">
        <is>
          <t>10 EVIDENCE &amp; DECISIONS</t>
        </is>
      </c>
      <c r="G203" s="14" t="n"/>
    </row>
    <row r="204" ht="79" customHeight="1">
      <c r="A204" s="12" t="inlineStr">
        <is>
          <t>R1255-v1</t>
        </is>
      </c>
      <c r="B204" s="12" t="inlineStr">
        <is>
          <t>CST-03-013</t>
        </is>
      </c>
      <c r="C204" s="12" t="inlineStr">
        <is>
          <t>New</t>
        </is>
      </c>
      <c r="D204" s="12" t="inlineStr">
        <is>
          <t>Record first supplied in this revision</t>
        </is>
      </c>
      <c r="E204" s="12" t="inlineStr"/>
      <c r="F204" s="65" t="inlineStr">
        <is>
          <t>10 EVIDENCE &amp; DECISIONS</t>
        </is>
      </c>
      <c r="G204" s="14" t="n"/>
    </row>
    <row r="205" ht="79" customHeight="1">
      <c r="A205" s="12" t="inlineStr">
        <is>
          <t>R1256-v1</t>
        </is>
      </c>
      <c r="B205" s="12" t="inlineStr">
        <is>
          <t>CST-03-014</t>
        </is>
      </c>
      <c r="C205" s="12" t="inlineStr">
        <is>
          <t>New</t>
        </is>
      </c>
      <c r="D205" s="12" t="inlineStr">
        <is>
          <t>Record first supplied in this revision</t>
        </is>
      </c>
      <c r="E205" s="12" t="inlineStr"/>
      <c r="F205" s="65" t="inlineStr">
        <is>
          <t>10 EVIDENCE &amp; DECISIONS</t>
        </is>
      </c>
      <c r="G205" s="14" t="n"/>
    </row>
    <row r="206" ht="79" customHeight="1">
      <c r="A206" s="12" t="inlineStr">
        <is>
          <t>R1257-v1</t>
        </is>
      </c>
      <c r="B206" s="12" t="inlineStr">
        <is>
          <t>CST-03-015</t>
        </is>
      </c>
      <c r="C206" s="12" t="inlineStr">
        <is>
          <t>New</t>
        </is>
      </c>
      <c r="D206" s="12" t="inlineStr">
        <is>
          <t>Record first supplied in this revision</t>
        </is>
      </c>
      <c r="E206" s="12" t="inlineStr"/>
      <c r="F206" s="65" t="inlineStr">
        <is>
          <t>10 EVIDENCE &amp; DECISIONS</t>
        </is>
      </c>
      <c r="G206" s="14" t="n"/>
    </row>
    <row r="207" ht="79" customHeight="1">
      <c r="A207" s="12" t="inlineStr">
        <is>
          <t>R1258-v1</t>
        </is>
      </c>
      <c r="B207" s="12" t="inlineStr">
        <is>
          <t>CST-03-016</t>
        </is>
      </c>
      <c r="C207" s="12" t="inlineStr">
        <is>
          <t>New</t>
        </is>
      </c>
      <c r="D207" s="12" t="inlineStr">
        <is>
          <t>Record first supplied in this revision</t>
        </is>
      </c>
      <c r="E207" s="12" t="inlineStr"/>
      <c r="F207" s="65" t="inlineStr">
        <is>
          <t>10 EVIDENCE &amp; DECISIONS</t>
        </is>
      </c>
      <c r="G207" s="14" t="n"/>
    </row>
    <row r="208" ht="79" customHeight="1">
      <c r="A208" s="12" t="inlineStr">
        <is>
          <t>R1259-v1</t>
        </is>
      </c>
      <c r="B208" s="12" t="inlineStr">
        <is>
          <t>CST-03-017</t>
        </is>
      </c>
      <c r="C208" s="12" t="inlineStr">
        <is>
          <t>New</t>
        </is>
      </c>
      <c r="D208" s="12" t="inlineStr">
        <is>
          <t>Record first supplied in this revision</t>
        </is>
      </c>
      <c r="E208" s="12" t="inlineStr"/>
      <c r="F208" s="65" t="inlineStr">
        <is>
          <t>10 EVIDENCE &amp; DECISIONS</t>
        </is>
      </c>
      <c r="G208" s="14" t="n"/>
    </row>
    <row r="209" ht="79" customHeight="1">
      <c r="A209" s="12" t="inlineStr">
        <is>
          <t>R1260-v1</t>
        </is>
      </c>
      <c r="B209" s="12" t="inlineStr">
        <is>
          <t>CST-03-018</t>
        </is>
      </c>
      <c r="C209" s="12" t="inlineStr">
        <is>
          <t>New</t>
        </is>
      </c>
      <c r="D209" s="12" t="inlineStr">
        <is>
          <t>Record first supplied in this revision</t>
        </is>
      </c>
      <c r="E209" s="12" t="inlineStr"/>
      <c r="F209" s="65" t="inlineStr">
        <is>
          <t>10 EVIDENCE &amp; DECISIONS</t>
        </is>
      </c>
      <c r="G209" s="14" t="n"/>
    </row>
    <row r="210" ht="79" customHeight="1">
      <c r="A210" s="12" t="inlineStr">
        <is>
          <t>R1261-v1</t>
        </is>
      </c>
      <c r="B210" s="12" t="inlineStr">
        <is>
          <t>CST-03-019</t>
        </is>
      </c>
      <c r="C210" s="12" t="inlineStr">
        <is>
          <t>New</t>
        </is>
      </c>
      <c r="D210" s="12" t="inlineStr">
        <is>
          <t>Record first supplied in this revision</t>
        </is>
      </c>
      <c r="E210" s="12" t="inlineStr"/>
      <c r="F210" s="65" t="inlineStr">
        <is>
          <t>10 EVIDENCE &amp; DECISIONS</t>
        </is>
      </c>
      <c r="G210" s="14" t="n"/>
    </row>
    <row r="211" ht="79" customHeight="1">
      <c r="A211" s="12" t="inlineStr">
        <is>
          <t>R1262-v1</t>
        </is>
      </c>
      <c r="B211" s="12" t="inlineStr">
        <is>
          <t>CST-03-020</t>
        </is>
      </c>
      <c r="C211" s="12" t="inlineStr">
        <is>
          <t>New</t>
        </is>
      </c>
      <c r="D211" s="12" t="inlineStr">
        <is>
          <t>Record first supplied in this revision</t>
        </is>
      </c>
      <c r="E211" s="12" t="inlineStr"/>
      <c r="F211" s="65" t="inlineStr">
        <is>
          <t>10 EVIDENCE &amp; DECISIONS</t>
        </is>
      </c>
      <c r="G211" s="14" t="n"/>
    </row>
    <row r="212" ht="79" customHeight="1">
      <c r="A212" s="12" t="inlineStr">
        <is>
          <t>R1263-v1</t>
        </is>
      </c>
      <c r="B212" s="12" t="inlineStr">
        <is>
          <t>CST-03-021</t>
        </is>
      </c>
      <c r="C212" s="12" t="inlineStr">
        <is>
          <t>New</t>
        </is>
      </c>
      <c r="D212" s="12" t="inlineStr">
        <is>
          <t>Record first supplied in this revision</t>
        </is>
      </c>
      <c r="E212" s="12" t="inlineStr"/>
      <c r="F212" s="65" t="inlineStr">
        <is>
          <t>10 EVIDENCE &amp; DECISIONS</t>
        </is>
      </c>
      <c r="G212" s="14" t="n"/>
    </row>
    <row r="213" ht="79" customHeight="1">
      <c r="A213" s="12" t="inlineStr">
        <is>
          <t>R1264-v1</t>
        </is>
      </c>
      <c r="B213" s="12" t="inlineStr">
        <is>
          <t>CST-03-022</t>
        </is>
      </c>
      <c r="C213" s="12" t="inlineStr">
        <is>
          <t>New</t>
        </is>
      </c>
      <c r="D213" s="12" t="inlineStr">
        <is>
          <t>Record first supplied in this revision</t>
        </is>
      </c>
      <c r="E213" s="12" t="inlineStr"/>
      <c r="F213" s="65" t="inlineStr">
        <is>
          <t>10 EVIDENCE &amp; DECISIONS</t>
        </is>
      </c>
      <c r="G213" s="14" t="n"/>
    </row>
    <row r="214" ht="79" customHeight="1">
      <c r="A214" s="12" t="inlineStr">
        <is>
          <t>R1265-v1</t>
        </is>
      </c>
      <c r="B214" s="12" t="inlineStr">
        <is>
          <t>CST-03-023</t>
        </is>
      </c>
      <c r="C214" s="12" t="inlineStr">
        <is>
          <t>New</t>
        </is>
      </c>
      <c r="D214" s="12" t="inlineStr">
        <is>
          <t>Record first supplied in this revision</t>
        </is>
      </c>
      <c r="E214" s="12" t="inlineStr"/>
      <c r="F214" s="65" t="inlineStr">
        <is>
          <t>10 EVIDENCE &amp; DECISIONS</t>
        </is>
      </c>
      <c r="G214" s="14" t="n"/>
    </row>
    <row r="215" ht="79" customHeight="1">
      <c r="A215" s="12" t="inlineStr">
        <is>
          <t>R1266-v1</t>
        </is>
      </c>
      <c r="B215" s="12" t="inlineStr">
        <is>
          <t>CST-03-024</t>
        </is>
      </c>
      <c r="C215" s="12" t="inlineStr">
        <is>
          <t>New</t>
        </is>
      </c>
      <c r="D215" s="12" t="inlineStr">
        <is>
          <t>Record first supplied in this revision</t>
        </is>
      </c>
      <c r="E215" s="12" t="inlineStr"/>
      <c r="F215" s="65" t="inlineStr">
        <is>
          <t>10 EVIDENCE &amp; DECISIONS</t>
        </is>
      </c>
      <c r="G215" s="14" t="n"/>
    </row>
    <row r="216" ht="79" customHeight="1">
      <c r="A216" s="12" t="inlineStr">
        <is>
          <t>R1267-v1</t>
        </is>
      </c>
      <c r="B216" s="12" t="inlineStr">
        <is>
          <t>CST-03-025</t>
        </is>
      </c>
      <c r="C216" s="12" t="inlineStr">
        <is>
          <t>New</t>
        </is>
      </c>
      <c r="D216" s="12" t="inlineStr">
        <is>
          <t>Record first supplied in this revision</t>
        </is>
      </c>
      <c r="E216" s="12" t="inlineStr"/>
      <c r="F216" s="65" t="inlineStr">
        <is>
          <t>10 EVIDENCE &amp; DECISIONS</t>
        </is>
      </c>
      <c r="G216" s="14" t="n"/>
    </row>
    <row r="217" ht="79" customHeight="1">
      <c r="A217" s="12" t="inlineStr">
        <is>
          <t>R1268-v1</t>
        </is>
      </c>
      <c r="B217" s="12" t="inlineStr">
        <is>
          <t>CST-03-026</t>
        </is>
      </c>
      <c r="C217" s="12" t="inlineStr">
        <is>
          <t>New</t>
        </is>
      </c>
      <c r="D217" s="12" t="inlineStr">
        <is>
          <t>Record first supplied in this revision</t>
        </is>
      </c>
      <c r="E217" s="12" t="inlineStr"/>
      <c r="F217" s="65" t="inlineStr">
        <is>
          <t>10 EVIDENCE &amp; DECISIONS</t>
        </is>
      </c>
      <c r="G217" s="14" t="n"/>
    </row>
    <row r="218" ht="79" customHeight="1">
      <c r="A218" s="12" t="inlineStr">
        <is>
          <t>R1269-v1</t>
        </is>
      </c>
      <c r="B218" s="12" t="inlineStr">
        <is>
          <t>CST-03-027</t>
        </is>
      </c>
      <c r="C218" s="12" t="inlineStr">
        <is>
          <t>New</t>
        </is>
      </c>
      <c r="D218" s="12" t="inlineStr">
        <is>
          <t>Record first supplied in this revision</t>
        </is>
      </c>
      <c r="E218" s="12" t="inlineStr"/>
      <c r="F218" s="65" t="inlineStr">
        <is>
          <t>10 EVIDENCE &amp; DECISIONS</t>
        </is>
      </c>
      <c r="G218" s="14" t="n"/>
    </row>
    <row r="219" ht="79" customHeight="1">
      <c r="A219" s="12" t="inlineStr">
        <is>
          <t>R1270-v1</t>
        </is>
      </c>
      <c r="B219" s="12" t="inlineStr">
        <is>
          <t>CST-03-028</t>
        </is>
      </c>
      <c r="C219" s="12" t="inlineStr">
        <is>
          <t>New</t>
        </is>
      </c>
      <c r="D219" s="12" t="inlineStr">
        <is>
          <t>Record first supplied in this revision</t>
        </is>
      </c>
      <c r="E219" s="12" t="inlineStr"/>
      <c r="F219" s="65" t="inlineStr">
        <is>
          <t>10 EVIDENCE &amp; DECISIONS</t>
        </is>
      </c>
      <c r="G219" s="14" t="n"/>
    </row>
    <row r="220" ht="79" customHeight="1">
      <c r="A220" s="12" t="inlineStr">
        <is>
          <t>R1271-v1</t>
        </is>
      </c>
      <c r="B220" s="12" t="inlineStr">
        <is>
          <t>CST-03-029</t>
        </is>
      </c>
      <c r="C220" s="12" t="inlineStr">
        <is>
          <t>New</t>
        </is>
      </c>
      <c r="D220" s="12" t="inlineStr">
        <is>
          <t>Record first supplied in this revision</t>
        </is>
      </c>
      <c r="E220" s="12" t="inlineStr"/>
      <c r="F220" s="65" t="inlineStr">
        <is>
          <t>10 EVIDENCE &amp; DECISIONS</t>
        </is>
      </c>
      <c r="G220" s="14" t="n"/>
    </row>
    <row r="221" ht="79" customHeight="1">
      <c r="A221" s="12" t="inlineStr">
        <is>
          <t>R1272-v1</t>
        </is>
      </c>
      <c r="B221" s="12" t="inlineStr">
        <is>
          <t>CST-03-030</t>
        </is>
      </c>
      <c r="C221" s="12" t="inlineStr">
        <is>
          <t>New</t>
        </is>
      </c>
      <c r="D221" s="12" t="inlineStr">
        <is>
          <t>Record first supplied in this revision</t>
        </is>
      </c>
      <c r="E221" s="12" t="inlineStr"/>
      <c r="F221" s="65" t="inlineStr">
        <is>
          <t>10 EVIDENCE &amp; DECISIONS</t>
        </is>
      </c>
      <c r="G221" s="14" t="n"/>
    </row>
    <row r="222" ht="79" customHeight="1">
      <c r="A222" s="12" t="inlineStr">
        <is>
          <t>R1273-v1</t>
        </is>
      </c>
      <c r="B222" s="12" t="inlineStr">
        <is>
          <t>CST-03-031</t>
        </is>
      </c>
      <c r="C222" s="12" t="inlineStr">
        <is>
          <t>New</t>
        </is>
      </c>
      <c r="D222" s="12" t="inlineStr">
        <is>
          <t>Record first supplied in this revision</t>
        </is>
      </c>
      <c r="E222" s="12" t="inlineStr"/>
      <c r="F222" s="65" t="inlineStr">
        <is>
          <t>10 EVIDENCE &amp; DECISIONS</t>
        </is>
      </c>
      <c r="G222" s="14" t="n"/>
    </row>
    <row r="223" ht="79" customHeight="1">
      <c r="A223" s="12" t="inlineStr">
        <is>
          <t>R1274-v1</t>
        </is>
      </c>
      <c r="B223" s="12" t="inlineStr">
        <is>
          <t>CST-03-032</t>
        </is>
      </c>
      <c r="C223" s="12" t="inlineStr">
        <is>
          <t>New</t>
        </is>
      </c>
      <c r="D223" s="12" t="inlineStr">
        <is>
          <t>Record first supplied in this revision</t>
        </is>
      </c>
      <c r="E223" s="12" t="inlineStr"/>
      <c r="F223" s="65" t="inlineStr">
        <is>
          <t>10 EVIDENCE &amp; DECISIONS</t>
        </is>
      </c>
      <c r="G223" s="14" t="n"/>
    </row>
    <row r="224" ht="79" customHeight="1">
      <c r="A224" s="12" t="inlineStr">
        <is>
          <t>R1275-v1</t>
        </is>
      </c>
      <c r="B224" s="12" t="inlineStr">
        <is>
          <t>CST-03-033</t>
        </is>
      </c>
      <c r="C224" s="12" t="inlineStr">
        <is>
          <t>New</t>
        </is>
      </c>
      <c r="D224" s="12" t="inlineStr">
        <is>
          <t>Record first supplied in this revision</t>
        </is>
      </c>
      <c r="E224" s="12" t="inlineStr"/>
      <c r="F224" s="65" t="inlineStr">
        <is>
          <t>10 EVIDENCE &amp; DECISIONS</t>
        </is>
      </c>
      <c r="G224" s="14" t="n"/>
    </row>
    <row r="225" ht="79" customHeight="1">
      <c r="A225" s="12" t="inlineStr">
        <is>
          <t>R1276-v1</t>
        </is>
      </c>
      <c r="B225" s="12" t="inlineStr">
        <is>
          <t>CST-03-034</t>
        </is>
      </c>
      <c r="C225" s="12" t="inlineStr">
        <is>
          <t>New</t>
        </is>
      </c>
      <c r="D225" s="12" t="inlineStr">
        <is>
          <t>Record first supplied in this revision</t>
        </is>
      </c>
      <c r="E225" s="12" t="inlineStr"/>
      <c r="F225" s="65" t="inlineStr">
        <is>
          <t>10 EVIDENCE &amp; DECISIONS</t>
        </is>
      </c>
      <c r="G225" s="14" t="n"/>
    </row>
    <row r="226" ht="79" customHeight="1">
      <c r="A226" s="12" t="inlineStr">
        <is>
          <t>R1277-v1</t>
        </is>
      </c>
      <c r="B226" s="12" t="inlineStr">
        <is>
          <t>CST-03-035</t>
        </is>
      </c>
      <c r="C226" s="12" t="inlineStr">
        <is>
          <t>New</t>
        </is>
      </c>
      <c r="D226" s="12" t="inlineStr">
        <is>
          <t>Record first supplied in this revision</t>
        </is>
      </c>
      <c r="E226" s="12" t="inlineStr"/>
      <c r="F226" s="65" t="inlineStr">
        <is>
          <t>10 EVIDENCE &amp; DECISIONS</t>
        </is>
      </c>
      <c r="G226" s="14" t="n"/>
    </row>
    <row r="227" ht="79" customHeight="1">
      <c r="A227" s="12" t="inlineStr">
        <is>
          <t>R1278-v1</t>
        </is>
      </c>
      <c r="B227" s="12" t="inlineStr">
        <is>
          <t>CST-03-036</t>
        </is>
      </c>
      <c r="C227" s="12" t="inlineStr">
        <is>
          <t>New</t>
        </is>
      </c>
      <c r="D227" s="12" t="inlineStr">
        <is>
          <t>Record first supplied in this revision</t>
        </is>
      </c>
      <c r="E227" s="12" t="inlineStr"/>
      <c r="F227" s="65" t="inlineStr">
        <is>
          <t>10 EVIDENCE &amp; DECISIONS</t>
        </is>
      </c>
      <c r="G227" s="14" t="n"/>
    </row>
    <row r="228" ht="79" customHeight="1">
      <c r="A228" s="12" t="inlineStr">
        <is>
          <t>R1279-v1</t>
        </is>
      </c>
      <c r="B228" s="12" t="inlineStr">
        <is>
          <t>CST-03-037</t>
        </is>
      </c>
      <c r="C228" s="12" t="inlineStr">
        <is>
          <t>New</t>
        </is>
      </c>
      <c r="D228" s="12" t="inlineStr">
        <is>
          <t>Record first supplied in this revision</t>
        </is>
      </c>
      <c r="E228" s="12" t="inlineStr"/>
      <c r="F228" s="65" t="inlineStr">
        <is>
          <t>10 EVIDENCE &amp; DECISIONS</t>
        </is>
      </c>
      <c r="G228" s="14" t="n"/>
    </row>
    <row r="229" ht="79" customHeight="1">
      <c r="A229" s="12" t="inlineStr">
        <is>
          <t>R1280-v1</t>
        </is>
      </c>
      <c r="B229" s="12" t="inlineStr">
        <is>
          <t>CST-03-038</t>
        </is>
      </c>
      <c r="C229" s="12" t="inlineStr">
        <is>
          <t>New</t>
        </is>
      </c>
      <c r="D229" s="12" t="inlineStr">
        <is>
          <t>Record first supplied in this revision</t>
        </is>
      </c>
      <c r="E229" s="12" t="inlineStr"/>
      <c r="F229" s="65" t="inlineStr">
        <is>
          <t>10 EVIDENCE &amp; DECISIONS</t>
        </is>
      </c>
      <c r="G229" s="14" t="n"/>
    </row>
    <row r="230" ht="79" customHeight="1">
      <c r="A230" s="12" t="inlineStr">
        <is>
          <t>R1281-v1</t>
        </is>
      </c>
      <c r="B230" s="12" t="inlineStr">
        <is>
          <t>CST-03-039</t>
        </is>
      </c>
      <c r="C230" s="12" t="inlineStr">
        <is>
          <t>New</t>
        </is>
      </c>
      <c r="D230" s="12" t="inlineStr">
        <is>
          <t>Record first supplied in this revision</t>
        </is>
      </c>
      <c r="E230" s="12" t="inlineStr"/>
      <c r="F230" s="65" t="inlineStr">
        <is>
          <t>10 EVIDENCE &amp; DECISIONS</t>
        </is>
      </c>
      <c r="G230" s="14" t="n"/>
    </row>
    <row r="231" ht="79" customHeight="1">
      <c r="A231" s="12" t="inlineStr">
        <is>
          <t>R1282-v1</t>
        </is>
      </c>
      <c r="B231" s="12" t="inlineStr">
        <is>
          <t>CST-03-040</t>
        </is>
      </c>
      <c r="C231" s="12" t="inlineStr">
        <is>
          <t>New</t>
        </is>
      </c>
      <c r="D231" s="12" t="inlineStr">
        <is>
          <t>Record first supplied in this revision</t>
        </is>
      </c>
      <c r="E231" s="12" t="inlineStr"/>
      <c r="F231" s="65" t="inlineStr">
        <is>
          <t>10 EVIDENCE &amp; DECISIONS</t>
        </is>
      </c>
      <c r="G231" s="14" t="n"/>
    </row>
    <row r="232" ht="79" customHeight="1">
      <c r="A232" s="12" t="inlineStr">
        <is>
          <t>R1283-v1</t>
        </is>
      </c>
      <c r="B232" s="12" t="inlineStr">
        <is>
          <t>CST-03-041</t>
        </is>
      </c>
      <c r="C232" s="12" t="inlineStr">
        <is>
          <t>New</t>
        </is>
      </c>
      <c r="D232" s="12" t="inlineStr">
        <is>
          <t>Record first supplied in this revision</t>
        </is>
      </c>
      <c r="E232" s="12" t="inlineStr"/>
      <c r="F232" s="65" t="inlineStr">
        <is>
          <t>10 EVIDENCE &amp; DECISIONS</t>
        </is>
      </c>
      <c r="G232" s="14" t="n"/>
    </row>
    <row r="233" ht="79" customHeight="1">
      <c r="A233" s="12" t="inlineStr">
        <is>
          <t>R1284-v1</t>
        </is>
      </c>
      <c r="B233" s="12" t="inlineStr">
        <is>
          <t>CST-03-042</t>
        </is>
      </c>
      <c r="C233" s="12" t="inlineStr">
        <is>
          <t>New</t>
        </is>
      </c>
      <c r="D233" s="12" t="inlineStr">
        <is>
          <t>Record first supplied in this revision</t>
        </is>
      </c>
      <c r="E233" s="12" t="inlineStr"/>
      <c r="F233" s="65" t="inlineStr">
        <is>
          <t>10 EVIDENCE &amp; DECISIONS</t>
        </is>
      </c>
      <c r="G233" s="14" t="n"/>
    </row>
    <row r="234" ht="79" customHeight="1">
      <c r="A234" s="12" t="inlineStr">
        <is>
          <t>R1285-v1</t>
        </is>
      </c>
      <c r="B234" s="12" t="inlineStr">
        <is>
          <t>CST-03-043</t>
        </is>
      </c>
      <c r="C234" s="12" t="inlineStr">
        <is>
          <t>New</t>
        </is>
      </c>
      <c r="D234" s="12" t="inlineStr">
        <is>
          <t>Record first supplied in this revision</t>
        </is>
      </c>
      <c r="E234" s="12" t="inlineStr"/>
      <c r="F234" s="65" t="inlineStr">
        <is>
          <t>10 EVIDENCE &amp; DECISIONS</t>
        </is>
      </c>
      <c r="G234" s="14" t="n"/>
    </row>
    <row r="235" ht="79" customHeight="1">
      <c r="A235" s="12" t="inlineStr">
        <is>
          <t>R1286-v1</t>
        </is>
      </c>
      <c r="B235" s="12" t="inlineStr">
        <is>
          <t>CST-03-044</t>
        </is>
      </c>
      <c r="C235" s="12" t="inlineStr">
        <is>
          <t>New</t>
        </is>
      </c>
      <c r="D235" s="12" t="inlineStr">
        <is>
          <t>Record first supplied in this revision</t>
        </is>
      </c>
      <c r="E235" s="12" t="inlineStr"/>
      <c r="F235" s="65" t="inlineStr">
        <is>
          <t>10 EVIDENCE &amp; DECISIONS</t>
        </is>
      </c>
      <c r="G235" s="14" t="n"/>
    </row>
    <row r="236" ht="79" customHeight="1">
      <c r="A236" s="12" t="inlineStr">
        <is>
          <t>R1287-v1</t>
        </is>
      </c>
      <c r="B236" s="12" t="inlineStr">
        <is>
          <t>CST-03-045</t>
        </is>
      </c>
      <c r="C236" s="12" t="inlineStr">
        <is>
          <t>New</t>
        </is>
      </c>
      <c r="D236" s="12" t="inlineStr">
        <is>
          <t>Record first supplied in this revision</t>
        </is>
      </c>
      <c r="E236" s="12" t="inlineStr"/>
      <c r="F236" s="65" t="inlineStr">
        <is>
          <t>10 EVIDENCE &amp; DECISIONS</t>
        </is>
      </c>
      <c r="G236" s="14" t="n"/>
    </row>
    <row r="237" ht="79" customHeight="1">
      <c r="A237" s="12" t="inlineStr">
        <is>
          <t>R1288-v1</t>
        </is>
      </c>
      <c r="B237" s="12" t="inlineStr">
        <is>
          <t>CST-03-046</t>
        </is>
      </c>
      <c r="C237" s="12" t="inlineStr">
        <is>
          <t>New</t>
        </is>
      </c>
      <c r="D237" s="12" t="inlineStr">
        <is>
          <t>Record first supplied in this revision</t>
        </is>
      </c>
      <c r="E237" s="12" t="inlineStr"/>
      <c r="F237" s="65" t="inlineStr">
        <is>
          <t>10 EVIDENCE &amp; DECISIONS</t>
        </is>
      </c>
      <c r="G237" s="14" t="n"/>
    </row>
    <row r="238" ht="79" customHeight="1">
      <c r="A238" s="12" t="inlineStr">
        <is>
          <t>R1289-v1</t>
        </is>
      </c>
      <c r="B238" s="12" t="inlineStr">
        <is>
          <t>CST-03-047</t>
        </is>
      </c>
      <c r="C238" s="12" t="inlineStr">
        <is>
          <t>New</t>
        </is>
      </c>
      <c r="D238" s="12" t="inlineStr">
        <is>
          <t>Record first supplied in this revision</t>
        </is>
      </c>
      <c r="E238" s="12" t="inlineStr"/>
      <c r="F238" s="65" t="inlineStr">
        <is>
          <t>10 EVIDENCE &amp; DECISIONS</t>
        </is>
      </c>
      <c r="G238" s="14" t="n"/>
    </row>
    <row r="239" ht="79" customHeight="1">
      <c r="A239" s="12" t="inlineStr">
        <is>
          <t>R1290-v1</t>
        </is>
      </c>
      <c r="B239" s="12" t="inlineStr">
        <is>
          <t>CST-03-048</t>
        </is>
      </c>
      <c r="C239" s="12" t="inlineStr">
        <is>
          <t>New</t>
        </is>
      </c>
      <c r="D239" s="12" t="inlineStr">
        <is>
          <t>Record first supplied in this revision</t>
        </is>
      </c>
      <c r="E239" s="12" t="inlineStr"/>
      <c r="F239" s="65" t="inlineStr">
        <is>
          <t>10 EVIDENCE &amp; DECISIONS</t>
        </is>
      </c>
      <c r="G239" s="14" t="n"/>
    </row>
    <row r="240" ht="79" customHeight="1">
      <c r="A240" s="12" t="inlineStr">
        <is>
          <t>R1291-v1</t>
        </is>
      </c>
      <c r="B240" s="12" t="inlineStr">
        <is>
          <t>CST-03-049</t>
        </is>
      </c>
      <c r="C240" s="12" t="inlineStr">
        <is>
          <t>New</t>
        </is>
      </c>
      <c r="D240" s="12" t="inlineStr">
        <is>
          <t>Record first supplied in this revision</t>
        </is>
      </c>
      <c r="E240" s="12" t="inlineStr"/>
      <c r="F240" s="65" t="inlineStr">
        <is>
          <t>10 EVIDENCE &amp; DECISIONS</t>
        </is>
      </c>
      <c r="G240" s="14" t="n"/>
    </row>
    <row r="241" ht="79" customHeight="1">
      <c r="A241" s="12" t="inlineStr">
        <is>
          <t>R1292-v1</t>
        </is>
      </c>
      <c r="B241" s="12" t="inlineStr">
        <is>
          <t>CST-03-050</t>
        </is>
      </c>
      <c r="C241" s="12" t="inlineStr">
        <is>
          <t>New</t>
        </is>
      </c>
      <c r="D241" s="12" t="inlineStr">
        <is>
          <t>Record first supplied in this revision</t>
        </is>
      </c>
      <c r="E241" s="12" t="inlineStr"/>
      <c r="F241" s="65" t="inlineStr">
        <is>
          <t>10 EVIDENCE &amp; DECISIONS</t>
        </is>
      </c>
      <c r="G241" s="14" t="n"/>
    </row>
    <row r="242" ht="79" customHeight="1">
      <c r="A242" s="12" t="inlineStr">
        <is>
          <t>R1293-v1</t>
        </is>
      </c>
      <c r="B242" s="12" t="inlineStr">
        <is>
          <t>CST-03-051</t>
        </is>
      </c>
      <c r="C242" s="12" t="inlineStr">
        <is>
          <t>New</t>
        </is>
      </c>
      <c r="D242" s="12" t="inlineStr">
        <is>
          <t>Record first supplied in this revision</t>
        </is>
      </c>
      <c r="E242" s="12" t="inlineStr"/>
      <c r="F242" s="65" t="inlineStr">
        <is>
          <t>10 EVIDENCE &amp; DECISIONS</t>
        </is>
      </c>
      <c r="G242" s="14" t="n"/>
    </row>
    <row r="243" ht="79" customHeight="1">
      <c r="A243" s="12" t="inlineStr">
        <is>
          <t>R1294-v1</t>
        </is>
      </c>
      <c r="B243" s="12" t="inlineStr">
        <is>
          <t>CST-03-052</t>
        </is>
      </c>
      <c r="C243" s="12" t="inlineStr">
        <is>
          <t>New</t>
        </is>
      </c>
      <c r="D243" s="12" t="inlineStr">
        <is>
          <t>Record first supplied in this revision</t>
        </is>
      </c>
      <c r="E243" s="12" t="inlineStr"/>
      <c r="F243" s="65" t="inlineStr">
        <is>
          <t>10 EVIDENCE &amp; DECISIONS</t>
        </is>
      </c>
      <c r="G243" s="14" t="n"/>
    </row>
    <row r="244" ht="79" customHeight="1">
      <c r="A244" s="12" t="inlineStr">
        <is>
          <t>R1295-v1</t>
        </is>
      </c>
      <c r="B244" s="12" t="inlineStr">
        <is>
          <t>CST-03-053</t>
        </is>
      </c>
      <c r="C244" s="12" t="inlineStr">
        <is>
          <t>New</t>
        </is>
      </c>
      <c r="D244" s="12" t="inlineStr">
        <is>
          <t>Record first supplied in this revision</t>
        </is>
      </c>
      <c r="E244" s="12" t="inlineStr"/>
      <c r="F244" s="65" t="inlineStr">
        <is>
          <t>10 EVIDENCE &amp; DECISIONS</t>
        </is>
      </c>
      <c r="G244" s="14" t="n"/>
    </row>
    <row r="245" ht="79" customHeight="1">
      <c r="A245" s="12" t="inlineStr">
        <is>
          <t>R1296-v1</t>
        </is>
      </c>
      <c r="B245" s="12" t="inlineStr">
        <is>
          <t>CST-03-054</t>
        </is>
      </c>
      <c r="C245" s="12" t="inlineStr">
        <is>
          <t>New</t>
        </is>
      </c>
      <c r="D245" s="12" t="inlineStr">
        <is>
          <t>Record first supplied in this revision</t>
        </is>
      </c>
      <c r="E245" s="12" t="inlineStr"/>
      <c r="F245" s="65" t="inlineStr">
        <is>
          <t>10 EVIDENCE &amp; DECISIONS</t>
        </is>
      </c>
      <c r="G245" s="14" t="n"/>
    </row>
    <row r="246" ht="79" customHeight="1">
      <c r="A246" s="12" t="inlineStr">
        <is>
          <t>R1297-v1</t>
        </is>
      </c>
      <c r="B246" s="12" t="inlineStr">
        <is>
          <t>CST-03-055</t>
        </is>
      </c>
      <c r="C246" s="12" t="inlineStr">
        <is>
          <t>New</t>
        </is>
      </c>
      <c r="D246" s="12" t="inlineStr">
        <is>
          <t>Record first supplied in this revision</t>
        </is>
      </c>
      <c r="E246" s="12" t="inlineStr"/>
      <c r="F246" s="65" t="inlineStr">
        <is>
          <t>10 EVIDENCE &amp; DECISIONS</t>
        </is>
      </c>
      <c r="G246" s="14" t="n"/>
    </row>
    <row r="247" ht="79" customHeight="1">
      <c r="A247" s="12" t="inlineStr">
        <is>
          <t>R1298-v1</t>
        </is>
      </c>
      <c r="B247" s="12" t="inlineStr">
        <is>
          <t>CST-03-056</t>
        </is>
      </c>
      <c r="C247" s="12" t="inlineStr">
        <is>
          <t>New</t>
        </is>
      </c>
      <c r="D247" s="12" t="inlineStr">
        <is>
          <t>Record first supplied in this revision</t>
        </is>
      </c>
      <c r="E247" s="12" t="inlineStr"/>
      <c r="F247" s="65" t="inlineStr">
        <is>
          <t>10 EVIDENCE &amp; DECISIONS</t>
        </is>
      </c>
      <c r="G247" s="14" t="n"/>
    </row>
    <row r="248" ht="79" customHeight="1">
      <c r="A248" s="12" t="inlineStr">
        <is>
          <t>R1299-v1</t>
        </is>
      </c>
      <c r="B248" s="12" t="inlineStr">
        <is>
          <t>CST-03-057</t>
        </is>
      </c>
      <c r="C248" s="12" t="inlineStr">
        <is>
          <t>New</t>
        </is>
      </c>
      <c r="D248" s="12" t="inlineStr">
        <is>
          <t>Record first supplied in this revision</t>
        </is>
      </c>
      <c r="E248" s="12" t="inlineStr"/>
      <c r="F248" s="65" t="inlineStr">
        <is>
          <t>10 EVIDENCE &amp; DECISIONS</t>
        </is>
      </c>
      <c r="G248" s="14" t="n"/>
    </row>
    <row r="249" ht="79" customHeight="1">
      <c r="A249" s="12" t="inlineStr">
        <is>
          <t>R1300-v1</t>
        </is>
      </c>
      <c r="B249" s="12" t="inlineStr">
        <is>
          <t>CST-03-058</t>
        </is>
      </c>
      <c r="C249" s="12" t="inlineStr">
        <is>
          <t>New</t>
        </is>
      </c>
      <c r="D249" s="12" t="inlineStr">
        <is>
          <t>Record first supplied in this revision</t>
        </is>
      </c>
      <c r="E249" s="12" t="inlineStr"/>
      <c r="F249" s="65" t="inlineStr">
        <is>
          <t>10 EVIDENCE &amp; DECISIONS</t>
        </is>
      </c>
      <c r="G249" s="14" t="n"/>
    </row>
    <row r="250" ht="79" customHeight="1">
      <c r="A250" s="12" t="inlineStr">
        <is>
          <t>R1301-v1</t>
        </is>
      </c>
      <c r="B250" s="12" t="inlineStr">
        <is>
          <t>CST-03-059</t>
        </is>
      </c>
      <c r="C250" s="12" t="inlineStr">
        <is>
          <t>New</t>
        </is>
      </c>
      <c r="D250" s="12" t="inlineStr">
        <is>
          <t>Record first supplied in this revision</t>
        </is>
      </c>
      <c r="E250" s="12" t="inlineStr"/>
      <c r="F250" s="65" t="inlineStr">
        <is>
          <t>10 EVIDENCE &amp; DECISIONS</t>
        </is>
      </c>
      <c r="G250" s="14" t="n"/>
    </row>
    <row r="251" ht="79" customHeight="1">
      <c r="A251" s="12" t="inlineStr">
        <is>
          <t>R1302-v1</t>
        </is>
      </c>
      <c r="B251" s="12" t="inlineStr">
        <is>
          <t>CST-03-060</t>
        </is>
      </c>
      <c r="C251" s="12" t="inlineStr">
        <is>
          <t>New</t>
        </is>
      </c>
      <c r="D251" s="12" t="inlineStr">
        <is>
          <t>Record first supplied in this revision</t>
        </is>
      </c>
      <c r="E251" s="12" t="inlineStr"/>
      <c r="F251" s="65" t="inlineStr">
        <is>
          <t>10 EVIDENCE &amp; DECISIONS</t>
        </is>
      </c>
      <c r="G251" s="14" t="n"/>
    </row>
    <row r="252" ht="79" customHeight="1">
      <c r="A252" s="12" t="inlineStr">
        <is>
          <t>R1303-v1</t>
        </is>
      </c>
      <c r="B252" s="12" t="inlineStr">
        <is>
          <t>CST-03-061</t>
        </is>
      </c>
      <c r="C252" s="12" t="inlineStr">
        <is>
          <t>New</t>
        </is>
      </c>
      <c r="D252" s="12" t="inlineStr">
        <is>
          <t>Record first supplied in this revision</t>
        </is>
      </c>
      <c r="E252" s="12" t="inlineStr"/>
      <c r="F252" s="65" t="inlineStr">
        <is>
          <t>10 EVIDENCE &amp; DECISIONS</t>
        </is>
      </c>
      <c r="G252" s="14" t="n"/>
    </row>
    <row r="253" ht="79" customHeight="1">
      <c r="A253" s="12" t="inlineStr">
        <is>
          <t>R1304-v1</t>
        </is>
      </c>
      <c r="B253" s="12" t="inlineStr">
        <is>
          <t>CST-03-062</t>
        </is>
      </c>
      <c r="C253" s="12" t="inlineStr">
        <is>
          <t>New</t>
        </is>
      </c>
      <c r="D253" s="12" t="inlineStr">
        <is>
          <t>Record first supplied in this revision</t>
        </is>
      </c>
      <c r="E253" s="12" t="inlineStr"/>
      <c r="F253" s="65" t="inlineStr">
        <is>
          <t>10 EVIDENCE &amp; DECISIONS</t>
        </is>
      </c>
      <c r="G253" s="14" t="n"/>
    </row>
    <row r="254" ht="79" customHeight="1">
      <c r="A254" s="12" t="inlineStr">
        <is>
          <t>R1305-v1</t>
        </is>
      </c>
      <c r="B254" s="12" t="inlineStr">
        <is>
          <t>CST-03-063</t>
        </is>
      </c>
      <c r="C254" s="12" t="inlineStr">
        <is>
          <t>New</t>
        </is>
      </c>
      <c r="D254" s="12" t="inlineStr">
        <is>
          <t>Record first supplied in this revision</t>
        </is>
      </c>
      <c r="E254" s="12" t="inlineStr"/>
      <c r="F254" s="65" t="inlineStr">
        <is>
          <t>10 EVIDENCE &amp; DECISIONS</t>
        </is>
      </c>
      <c r="G254" s="14" t="n"/>
    </row>
    <row r="255" ht="79" customHeight="1">
      <c r="A255" s="12" t="inlineStr">
        <is>
          <t>R1306-v1</t>
        </is>
      </c>
      <c r="B255" s="12" t="inlineStr">
        <is>
          <t>CST-03-064</t>
        </is>
      </c>
      <c r="C255" s="12" t="inlineStr">
        <is>
          <t>New</t>
        </is>
      </c>
      <c r="D255" s="12" t="inlineStr">
        <is>
          <t>Record first supplied in this revision</t>
        </is>
      </c>
      <c r="E255" s="12" t="inlineStr"/>
      <c r="F255" s="65" t="inlineStr">
        <is>
          <t>10 EVIDENCE &amp; DECISIONS</t>
        </is>
      </c>
      <c r="G255" s="14" t="n"/>
    </row>
    <row r="256" ht="79" customHeight="1">
      <c r="A256" s="12" t="inlineStr">
        <is>
          <t>R1307-v1</t>
        </is>
      </c>
      <c r="B256" s="12" t="inlineStr">
        <is>
          <t>CST-03-065</t>
        </is>
      </c>
      <c r="C256" s="12" t="inlineStr">
        <is>
          <t>New</t>
        </is>
      </c>
      <c r="D256" s="12" t="inlineStr">
        <is>
          <t>Record first supplied in this revision</t>
        </is>
      </c>
      <c r="E256" s="12" t="inlineStr"/>
      <c r="F256" s="65" t="inlineStr">
        <is>
          <t>10 EVIDENCE &amp; DECISIONS</t>
        </is>
      </c>
      <c r="G256" s="14" t="n"/>
    </row>
    <row r="257" ht="79" customHeight="1">
      <c r="A257" s="12" t="inlineStr">
        <is>
          <t>R1308-v1</t>
        </is>
      </c>
      <c r="B257" s="12" t="inlineStr">
        <is>
          <t>CST-03-066</t>
        </is>
      </c>
      <c r="C257" s="12" t="inlineStr">
        <is>
          <t>New</t>
        </is>
      </c>
      <c r="D257" s="12" t="inlineStr">
        <is>
          <t>Record first supplied in this revision</t>
        </is>
      </c>
      <c r="E257" s="12" t="inlineStr"/>
      <c r="F257" s="65" t="inlineStr">
        <is>
          <t>10 EVIDENCE &amp; DECISIONS</t>
        </is>
      </c>
      <c r="G257" s="14" t="n"/>
    </row>
    <row r="258" ht="79" customHeight="1">
      <c r="A258" s="12" t="inlineStr">
        <is>
          <t>R1309-v1</t>
        </is>
      </c>
      <c r="B258" s="12" t="inlineStr">
        <is>
          <t>CST-03-067</t>
        </is>
      </c>
      <c r="C258" s="12" t="inlineStr">
        <is>
          <t>New</t>
        </is>
      </c>
      <c r="D258" s="12" t="inlineStr">
        <is>
          <t>Record first supplied in this revision</t>
        </is>
      </c>
      <c r="E258" s="12" t="inlineStr"/>
      <c r="F258" s="65" t="inlineStr">
        <is>
          <t>10 EVIDENCE &amp; DECISIONS</t>
        </is>
      </c>
      <c r="G258" s="14" t="n"/>
    </row>
    <row r="259" ht="79" customHeight="1">
      <c r="A259" s="12" t="inlineStr">
        <is>
          <t>R1310-v1</t>
        </is>
      </c>
      <c r="B259" s="12" t="inlineStr">
        <is>
          <t>CST-03-068</t>
        </is>
      </c>
      <c r="C259" s="12" t="inlineStr">
        <is>
          <t>New</t>
        </is>
      </c>
      <c r="D259" s="12" t="inlineStr">
        <is>
          <t>Record first supplied in this revision</t>
        </is>
      </c>
      <c r="E259" s="12" t="inlineStr"/>
      <c r="F259" s="65" t="inlineStr">
        <is>
          <t>10 EVIDENCE &amp; DECISIONS</t>
        </is>
      </c>
      <c r="G259" s="14" t="n"/>
    </row>
    <row r="260" ht="79" customHeight="1">
      <c r="A260" s="12" t="inlineStr">
        <is>
          <t>R1311-v1</t>
        </is>
      </c>
      <c r="B260" s="12" t="inlineStr">
        <is>
          <t>CST-03-069</t>
        </is>
      </c>
      <c r="C260" s="12" t="inlineStr">
        <is>
          <t>New</t>
        </is>
      </c>
      <c r="D260" s="12" t="inlineStr">
        <is>
          <t>Record first supplied in this revision</t>
        </is>
      </c>
      <c r="E260" s="12" t="inlineStr"/>
      <c r="F260" s="65" t="inlineStr">
        <is>
          <t>10 EVIDENCE &amp; DECISIONS</t>
        </is>
      </c>
      <c r="G260" s="14" t="n"/>
    </row>
    <row r="261" ht="79" customHeight="1">
      <c r="A261" s="12" t="inlineStr">
        <is>
          <t>R1312-v1</t>
        </is>
      </c>
      <c r="B261" s="12" t="inlineStr">
        <is>
          <t>CST-03-070</t>
        </is>
      </c>
      <c r="C261" s="12" t="inlineStr">
        <is>
          <t>New</t>
        </is>
      </c>
      <c r="D261" s="12" t="inlineStr">
        <is>
          <t>Record first supplied in this revision</t>
        </is>
      </c>
      <c r="E261" s="12" t="inlineStr"/>
      <c r="F261" s="65" t="inlineStr">
        <is>
          <t>10 EVIDENCE &amp; DECISIONS</t>
        </is>
      </c>
      <c r="G261" s="14" t="n"/>
    </row>
    <row r="262" ht="79" customHeight="1">
      <c r="A262" s="12" t="inlineStr">
        <is>
          <t>R1313-v1</t>
        </is>
      </c>
      <c r="B262" s="12" t="inlineStr">
        <is>
          <t>CST-03-071</t>
        </is>
      </c>
      <c r="C262" s="12" t="inlineStr">
        <is>
          <t>New</t>
        </is>
      </c>
      <c r="D262" s="12" t="inlineStr">
        <is>
          <t>Record first supplied in this revision</t>
        </is>
      </c>
      <c r="E262" s="12" t="inlineStr"/>
      <c r="F262" s="65" t="inlineStr">
        <is>
          <t>10 EVIDENCE &amp; DECISIONS</t>
        </is>
      </c>
      <c r="G262" s="14" t="n"/>
    </row>
    <row r="263" ht="79" customHeight="1">
      <c r="A263" s="12" t="inlineStr">
        <is>
          <t>R1314-v1</t>
        </is>
      </c>
      <c r="B263" s="12" t="inlineStr">
        <is>
          <t>CST-03-072</t>
        </is>
      </c>
      <c r="C263" s="12" t="inlineStr">
        <is>
          <t>New</t>
        </is>
      </c>
      <c r="D263" s="12" t="inlineStr">
        <is>
          <t>Record first supplied in this revision</t>
        </is>
      </c>
      <c r="E263" s="12" t="inlineStr"/>
      <c r="F263" s="65" t="inlineStr">
        <is>
          <t>10 EVIDENCE &amp; DECISIONS</t>
        </is>
      </c>
      <c r="G263" s="14" t="n"/>
    </row>
    <row r="264" ht="79" customHeight="1">
      <c r="A264" s="12" t="inlineStr">
        <is>
          <t>R1315-v1</t>
        </is>
      </c>
      <c r="B264" s="12" t="inlineStr">
        <is>
          <t>CST-03-073</t>
        </is>
      </c>
      <c r="C264" s="12" t="inlineStr">
        <is>
          <t>New</t>
        </is>
      </c>
      <c r="D264" s="12" t="inlineStr">
        <is>
          <t>Record first supplied in this revision</t>
        </is>
      </c>
      <c r="E264" s="12" t="inlineStr"/>
      <c r="F264" s="65" t="inlineStr">
        <is>
          <t>10 EVIDENCE &amp; DECISIONS</t>
        </is>
      </c>
      <c r="G264" s="14" t="n"/>
    </row>
    <row r="265" ht="79" customHeight="1">
      <c r="A265" s="12" t="inlineStr">
        <is>
          <t>R1316-v1</t>
        </is>
      </c>
      <c r="B265" s="12" t="inlineStr">
        <is>
          <t>CST-03-074</t>
        </is>
      </c>
      <c r="C265" s="12" t="inlineStr">
        <is>
          <t>New</t>
        </is>
      </c>
      <c r="D265" s="12" t="inlineStr">
        <is>
          <t>Record first supplied in this revision</t>
        </is>
      </c>
      <c r="E265" s="12" t="inlineStr"/>
      <c r="F265" s="65" t="inlineStr">
        <is>
          <t>10 EVIDENCE &amp; DECISIONS</t>
        </is>
      </c>
      <c r="G265" s="14" t="n"/>
    </row>
    <row r="266" ht="79" customHeight="1">
      <c r="A266" s="12" t="inlineStr">
        <is>
          <t>R1317-v1</t>
        </is>
      </c>
      <c r="B266" s="12" t="inlineStr">
        <is>
          <t>CST-03-075</t>
        </is>
      </c>
      <c r="C266" s="12" t="inlineStr">
        <is>
          <t>New</t>
        </is>
      </c>
      <c r="D266" s="12" t="inlineStr">
        <is>
          <t>Record first supplied in this revision</t>
        </is>
      </c>
      <c r="E266" s="12" t="inlineStr"/>
      <c r="F266" s="65" t="inlineStr">
        <is>
          <t>10 EVIDENCE &amp; DECISIONS</t>
        </is>
      </c>
      <c r="G266" s="14" t="n"/>
    </row>
    <row r="267" ht="79" customHeight="1">
      <c r="A267" s="12" t="inlineStr">
        <is>
          <t>R1318-v1</t>
        </is>
      </c>
      <c r="B267" s="12" t="inlineStr">
        <is>
          <t>CST-03-076</t>
        </is>
      </c>
      <c r="C267" s="12" t="inlineStr">
        <is>
          <t>New</t>
        </is>
      </c>
      <c r="D267" s="12" t="inlineStr">
        <is>
          <t>Record first supplied in this revision</t>
        </is>
      </c>
      <c r="E267" s="12" t="inlineStr"/>
      <c r="F267" s="65" t="inlineStr">
        <is>
          <t>10 EVIDENCE &amp; DECISIONS</t>
        </is>
      </c>
      <c r="G267" s="14" t="n"/>
    </row>
    <row r="268" ht="79" customHeight="1">
      <c r="A268" s="12" t="inlineStr">
        <is>
          <t>R1319-v1</t>
        </is>
      </c>
      <c r="B268" s="12" t="inlineStr">
        <is>
          <t>CST-03-077</t>
        </is>
      </c>
      <c r="C268" s="12" t="inlineStr">
        <is>
          <t>New</t>
        </is>
      </c>
      <c r="D268" s="12" t="inlineStr">
        <is>
          <t>Record first supplied in this revision</t>
        </is>
      </c>
      <c r="E268" s="12" t="inlineStr"/>
      <c r="F268" s="65" t="inlineStr">
        <is>
          <t>10 EVIDENCE &amp; DECISIONS</t>
        </is>
      </c>
      <c r="G268" s="14" t="n"/>
    </row>
    <row r="269" ht="79" customHeight="1">
      <c r="A269" s="12" t="inlineStr">
        <is>
          <t>R1320-v1</t>
        </is>
      </c>
      <c r="B269" s="12" t="inlineStr">
        <is>
          <t>CST-03-078</t>
        </is>
      </c>
      <c r="C269" s="12" t="inlineStr">
        <is>
          <t>New</t>
        </is>
      </c>
      <c r="D269" s="12" t="inlineStr">
        <is>
          <t>Record first supplied in this revision</t>
        </is>
      </c>
      <c r="E269" s="12" t="inlineStr"/>
      <c r="F269" s="65" t="inlineStr">
        <is>
          <t>10 EVIDENCE &amp; DECISIONS</t>
        </is>
      </c>
      <c r="G269" s="14" t="n"/>
    </row>
    <row r="270" ht="79" customHeight="1">
      <c r="A270" s="12" t="inlineStr">
        <is>
          <t>R1321-v1</t>
        </is>
      </c>
      <c r="B270" s="12" t="inlineStr">
        <is>
          <t>CST-03-079</t>
        </is>
      </c>
      <c r="C270" s="12" t="inlineStr">
        <is>
          <t>New</t>
        </is>
      </c>
      <c r="D270" s="12" t="inlineStr">
        <is>
          <t>Record first supplied in this revision</t>
        </is>
      </c>
      <c r="E270" s="12" t="inlineStr"/>
      <c r="F270" s="65" t="inlineStr">
        <is>
          <t>10 EVIDENCE &amp; DECISIONS</t>
        </is>
      </c>
      <c r="G270" s="14" t="n"/>
    </row>
    <row r="271" ht="79" customHeight="1">
      <c r="A271" s="12" t="inlineStr">
        <is>
          <t>R1322-v1</t>
        </is>
      </c>
      <c r="B271" s="12" t="inlineStr">
        <is>
          <t>CST-03-080</t>
        </is>
      </c>
      <c r="C271" s="12" t="inlineStr">
        <is>
          <t>New</t>
        </is>
      </c>
      <c r="D271" s="12" t="inlineStr">
        <is>
          <t>Record first supplied in this revision</t>
        </is>
      </c>
      <c r="E271" s="12" t="inlineStr"/>
      <c r="F271" s="65" t="inlineStr">
        <is>
          <t>10 EVIDENCE &amp; DECISIONS</t>
        </is>
      </c>
      <c r="G271" s="14" t="n"/>
    </row>
    <row r="272" ht="79" customHeight="1">
      <c r="A272" s="12" t="inlineStr">
        <is>
          <t>R1323-v1</t>
        </is>
      </c>
      <c r="B272" s="12" t="inlineStr">
        <is>
          <t>CST-04-001</t>
        </is>
      </c>
      <c r="C272" s="12" t="inlineStr">
        <is>
          <t>New</t>
        </is>
      </c>
      <c r="D272" s="12" t="inlineStr">
        <is>
          <t>Record first supplied in this revision</t>
        </is>
      </c>
      <c r="E272" s="12" t="inlineStr"/>
      <c r="F272" s="65" t="inlineStr">
        <is>
          <t>10 EVIDENCE &amp; DECISIONS</t>
        </is>
      </c>
      <c r="G272" s="14" t="n"/>
    </row>
    <row r="273" ht="79" customHeight="1">
      <c r="A273" s="12" t="inlineStr">
        <is>
          <t>R1324-v1</t>
        </is>
      </c>
      <c r="B273" s="12" t="inlineStr">
        <is>
          <t>CST-04-002</t>
        </is>
      </c>
      <c r="C273" s="12" t="inlineStr">
        <is>
          <t>New</t>
        </is>
      </c>
      <c r="D273" s="12" t="inlineStr">
        <is>
          <t>Record first supplied in this revision</t>
        </is>
      </c>
      <c r="E273" s="12" t="inlineStr"/>
      <c r="F273" s="65" t="inlineStr">
        <is>
          <t>10 EVIDENCE &amp; DECISIONS</t>
        </is>
      </c>
      <c r="G273" s="14" t="n"/>
    </row>
    <row r="274" ht="79" customHeight="1">
      <c r="A274" s="12" t="inlineStr">
        <is>
          <t>R1325-v1</t>
        </is>
      </c>
      <c r="B274" s="12" t="inlineStr">
        <is>
          <t>CST-04-003</t>
        </is>
      </c>
      <c r="C274" s="12" t="inlineStr">
        <is>
          <t>New</t>
        </is>
      </c>
      <c r="D274" s="12" t="inlineStr">
        <is>
          <t>Record first supplied in this revision</t>
        </is>
      </c>
      <c r="E274" s="12" t="inlineStr"/>
      <c r="F274" s="65" t="inlineStr">
        <is>
          <t>10 EVIDENCE &amp; DECISIONS</t>
        </is>
      </c>
      <c r="G274" s="14" t="n"/>
    </row>
    <row r="275" ht="79" customHeight="1">
      <c r="A275" s="12" t="inlineStr">
        <is>
          <t>R1326-v1</t>
        </is>
      </c>
      <c r="B275" s="12" t="inlineStr">
        <is>
          <t>CST-04-004</t>
        </is>
      </c>
      <c r="C275" s="12" t="inlineStr">
        <is>
          <t>New</t>
        </is>
      </c>
      <c r="D275" s="12" t="inlineStr">
        <is>
          <t>Record first supplied in this revision</t>
        </is>
      </c>
      <c r="E275" s="12" t="inlineStr"/>
      <c r="F275" s="65" t="inlineStr">
        <is>
          <t>10 EVIDENCE &amp; DECISIONS</t>
        </is>
      </c>
      <c r="G275" s="14" t="n"/>
    </row>
    <row r="276" ht="79" customHeight="1">
      <c r="A276" s="12" t="inlineStr">
        <is>
          <t>R1327-v1</t>
        </is>
      </c>
      <c r="B276" s="12" t="inlineStr">
        <is>
          <t>CST-04-005</t>
        </is>
      </c>
      <c r="C276" s="12" t="inlineStr">
        <is>
          <t>New</t>
        </is>
      </c>
      <c r="D276" s="12" t="inlineStr">
        <is>
          <t>Record first supplied in this revision</t>
        </is>
      </c>
      <c r="E276" s="12" t="inlineStr"/>
      <c r="F276" s="65" t="inlineStr">
        <is>
          <t>10 EVIDENCE &amp; DECISIONS</t>
        </is>
      </c>
      <c r="G276" s="14" t="n"/>
    </row>
    <row r="277" ht="79" customHeight="1">
      <c r="A277" s="12" t="inlineStr">
        <is>
          <t>R1328-v1</t>
        </is>
      </c>
      <c r="B277" s="12" t="inlineStr">
        <is>
          <t>CST-04-006</t>
        </is>
      </c>
      <c r="C277" s="12" t="inlineStr">
        <is>
          <t>New</t>
        </is>
      </c>
      <c r="D277" s="12" t="inlineStr">
        <is>
          <t>Record first supplied in this revision</t>
        </is>
      </c>
      <c r="E277" s="12" t="inlineStr"/>
      <c r="F277" s="65" t="inlineStr">
        <is>
          <t>10 EVIDENCE &amp; DECISIONS</t>
        </is>
      </c>
      <c r="G277" s="14" t="n"/>
    </row>
    <row r="278" ht="79" customHeight="1">
      <c r="A278" s="12" t="inlineStr">
        <is>
          <t>R1329-v1</t>
        </is>
      </c>
      <c r="B278" s="12" t="inlineStr">
        <is>
          <t>CST-04-007</t>
        </is>
      </c>
      <c r="C278" s="12" t="inlineStr">
        <is>
          <t>New</t>
        </is>
      </c>
      <c r="D278" s="12" t="inlineStr">
        <is>
          <t>Record first supplied in this revision</t>
        </is>
      </c>
      <c r="E278" s="12" t="inlineStr"/>
      <c r="F278" s="65" t="inlineStr">
        <is>
          <t>10 EVIDENCE &amp; DECISIONS</t>
        </is>
      </c>
      <c r="G278" s="14" t="n"/>
    </row>
    <row r="279" ht="79" customHeight="1">
      <c r="A279" s="12" t="inlineStr">
        <is>
          <t>R1330-v1</t>
        </is>
      </c>
      <c r="B279" s="12" t="inlineStr">
        <is>
          <t>CST-04-008</t>
        </is>
      </c>
      <c r="C279" s="12" t="inlineStr">
        <is>
          <t>New</t>
        </is>
      </c>
      <c r="D279" s="12" t="inlineStr">
        <is>
          <t>Record first supplied in this revision</t>
        </is>
      </c>
      <c r="E279" s="12" t="inlineStr"/>
      <c r="F279" s="65" t="inlineStr">
        <is>
          <t>10 EVIDENCE &amp; DECISIONS</t>
        </is>
      </c>
      <c r="G279" s="14" t="n"/>
    </row>
    <row r="280" ht="79" customHeight="1">
      <c r="A280" s="12" t="inlineStr">
        <is>
          <t>R1331-v1</t>
        </is>
      </c>
      <c r="B280" s="12" t="inlineStr">
        <is>
          <t>CST-04-009</t>
        </is>
      </c>
      <c r="C280" s="12" t="inlineStr">
        <is>
          <t>New</t>
        </is>
      </c>
      <c r="D280" s="12" t="inlineStr">
        <is>
          <t>Record first supplied in this revision</t>
        </is>
      </c>
      <c r="E280" s="12" t="inlineStr"/>
      <c r="F280" s="65" t="inlineStr">
        <is>
          <t>10 EVIDENCE &amp; DECISIONS</t>
        </is>
      </c>
      <c r="G280" s="14" t="n"/>
    </row>
    <row r="281" ht="79" customHeight="1">
      <c r="A281" s="12" t="inlineStr">
        <is>
          <t>R1332-v1</t>
        </is>
      </c>
      <c r="B281" s="12" t="inlineStr">
        <is>
          <t>CST-04-010</t>
        </is>
      </c>
      <c r="C281" s="12" t="inlineStr">
        <is>
          <t>New</t>
        </is>
      </c>
      <c r="D281" s="12" t="inlineStr">
        <is>
          <t>Record first supplied in this revision</t>
        </is>
      </c>
      <c r="E281" s="12" t="inlineStr"/>
      <c r="F281" s="65" t="inlineStr">
        <is>
          <t>10 EVIDENCE &amp; DECISIONS</t>
        </is>
      </c>
      <c r="G281" s="14" t="n"/>
    </row>
    <row r="282" ht="79" customHeight="1">
      <c r="A282" s="12" t="inlineStr">
        <is>
          <t>R1333-v1</t>
        </is>
      </c>
      <c r="B282" s="12" t="inlineStr">
        <is>
          <t>CST-04-011</t>
        </is>
      </c>
      <c r="C282" s="12" t="inlineStr">
        <is>
          <t>New</t>
        </is>
      </c>
      <c r="D282" s="12" t="inlineStr">
        <is>
          <t>Record first supplied in this revision</t>
        </is>
      </c>
      <c r="E282" s="12" t="inlineStr"/>
      <c r="F282" s="65" t="inlineStr">
        <is>
          <t>10 EVIDENCE &amp; DECISIONS</t>
        </is>
      </c>
      <c r="G282" s="14" t="n"/>
    </row>
    <row r="283" ht="79" customHeight="1">
      <c r="A283" s="12" t="inlineStr">
        <is>
          <t>R1334-v1</t>
        </is>
      </c>
      <c r="B283" s="12" t="inlineStr">
        <is>
          <t>CST-04-012</t>
        </is>
      </c>
      <c r="C283" s="12" t="inlineStr">
        <is>
          <t>New</t>
        </is>
      </c>
      <c r="D283" s="12" t="inlineStr">
        <is>
          <t>Record first supplied in this revision</t>
        </is>
      </c>
      <c r="E283" s="12" t="inlineStr"/>
      <c r="F283" s="65" t="inlineStr">
        <is>
          <t>10 EVIDENCE &amp; DECISIONS</t>
        </is>
      </c>
      <c r="G283" s="14" t="n"/>
    </row>
    <row r="284" ht="79" customHeight="1">
      <c r="A284" s="12" t="inlineStr">
        <is>
          <t>R1335-v1</t>
        </is>
      </c>
      <c r="B284" s="12" t="inlineStr">
        <is>
          <t>CST-04-013</t>
        </is>
      </c>
      <c r="C284" s="12" t="inlineStr">
        <is>
          <t>New</t>
        </is>
      </c>
      <c r="D284" s="12" t="inlineStr">
        <is>
          <t>Record first supplied in this revision</t>
        </is>
      </c>
      <c r="E284" s="12" t="inlineStr"/>
      <c r="F284" s="65" t="inlineStr">
        <is>
          <t>10 EVIDENCE &amp; DECISIONS</t>
        </is>
      </c>
      <c r="G284" s="14" t="n"/>
    </row>
    <row r="285" ht="79" customHeight="1">
      <c r="A285" s="12" t="inlineStr">
        <is>
          <t>R1336-v1</t>
        </is>
      </c>
      <c r="B285" s="12" t="inlineStr">
        <is>
          <t>CST-04-014</t>
        </is>
      </c>
      <c r="C285" s="12" t="inlineStr">
        <is>
          <t>New</t>
        </is>
      </c>
      <c r="D285" s="12" t="inlineStr">
        <is>
          <t>Record first supplied in this revision</t>
        </is>
      </c>
      <c r="E285" s="12" t="inlineStr"/>
      <c r="F285" s="65" t="inlineStr">
        <is>
          <t>10 EVIDENCE &amp; DECISIONS</t>
        </is>
      </c>
      <c r="G285" s="14" t="n"/>
    </row>
    <row r="286" ht="79" customHeight="1">
      <c r="A286" s="12" t="inlineStr">
        <is>
          <t>R1337-v1</t>
        </is>
      </c>
      <c r="B286" s="12" t="inlineStr">
        <is>
          <t>CST-04-015</t>
        </is>
      </c>
      <c r="C286" s="12" t="inlineStr">
        <is>
          <t>New</t>
        </is>
      </c>
      <c r="D286" s="12" t="inlineStr">
        <is>
          <t>Record first supplied in this revision</t>
        </is>
      </c>
      <c r="E286" s="12" t="inlineStr"/>
      <c r="F286" s="65" t="inlineStr">
        <is>
          <t>10 EVIDENCE &amp; DECISIONS</t>
        </is>
      </c>
      <c r="G286" s="14" t="n"/>
    </row>
    <row r="287" ht="79" customHeight="1">
      <c r="A287" s="12" t="inlineStr">
        <is>
          <t>R1338-v1</t>
        </is>
      </c>
      <c r="B287" s="12" t="inlineStr">
        <is>
          <t>CST-04-016</t>
        </is>
      </c>
      <c r="C287" s="12" t="inlineStr">
        <is>
          <t>New</t>
        </is>
      </c>
      <c r="D287" s="12" t="inlineStr">
        <is>
          <t>Record first supplied in this revision</t>
        </is>
      </c>
      <c r="E287" s="12" t="inlineStr"/>
      <c r="F287" s="65" t="inlineStr">
        <is>
          <t>10 EVIDENCE &amp; DECISIONS</t>
        </is>
      </c>
      <c r="G287" s="14" t="n"/>
    </row>
    <row r="288" ht="79" customHeight="1">
      <c r="A288" s="12" t="inlineStr">
        <is>
          <t>R1339-v1</t>
        </is>
      </c>
      <c r="B288" s="12" t="inlineStr">
        <is>
          <t>CST-04-017</t>
        </is>
      </c>
      <c r="C288" s="12" t="inlineStr">
        <is>
          <t>New</t>
        </is>
      </c>
      <c r="D288" s="12" t="inlineStr">
        <is>
          <t>Record first supplied in this revision</t>
        </is>
      </c>
      <c r="E288" s="12" t="inlineStr"/>
      <c r="F288" s="65" t="inlineStr">
        <is>
          <t>10 EVIDENCE &amp; DECISIONS</t>
        </is>
      </c>
      <c r="G288" s="14" t="n"/>
    </row>
    <row r="289" ht="79" customHeight="1">
      <c r="A289" s="12" t="inlineStr">
        <is>
          <t>R1340-v1</t>
        </is>
      </c>
      <c r="B289" s="12" t="inlineStr">
        <is>
          <t>CST-04-018</t>
        </is>
      </c>
      <c r="C289" s="12" t="inlineStr">
        <is>
          <t>New</t>
        </is>
      </c>
      <c r="D289" s="12" t="inlineStr">
        <is>
          <t>Record first supplied in this revision</t>
        </is>
      </c>
      <c r="E289" s="12" t="inlineStr"/>
      <c r="F289" s="65" t="inlineStr">
        <is>
          <t>10 EVIDENCE &amp; DECISIONS</t>
        </is>
      </c>
      <c r="G289" s="14" t="n"/>
    </row>
    <row r="290" ht="79" customHeight="1">
      <c r="A290" s="12" t="inlineStr">
        <is>
          <t>R1341-v1</t>
        </is>
      </c>
      <c r="B290" s="12" t="inlineStr">
        <is>
          <t>CST-04-019</t>
        </is>
      </c>
      <c r="C290" s="12" t="inlineStr">
        <is>
          <t>New</t>
        </is>
      </c>
      <c r="D290" s="12" t="inlineStr">
        <is>
          <t>Record first supplied in this revision</t>
        </is>
      </c>
      <c r="E290" s="12" t="inlineStr"/>
      <c r="F290" s="65" t="inlineStr">
        <is>
          <t>10 EVIDENCE &amp; DECISIONS</t>
        </is>
      </c>
      <c r="G290" s="14" t="n"/>
    </row>
    <row r="291" ht="79" customHeight="1">
      <c r="A291" s="12" t="inlineStr">
        <is>
          <t>R1342-v1</t>
        </is>
      </c>
      <c r="B291" s="12" t="inlineStr">
        <is>
          <t>CST-04-020</t>
        </is>
      </c>
      <c r="C291" s="12" t="inlineStr">
        <is>
          <t>New</t>
        </is>
      </c>
      <c r="D291" s="12" t="inlineStr">
        <is>
          <t>Record first supplied in this revision</t>
        </is>
      </c>
      <c r="E291" s="12" t="inlineStr"/>
      <c r="F291" s="65" t="inlineStr">
        <is>
          <t>10 EVIDENCE &amp; DECISIONS</t>
        </is>
      </c>
      <c r="G291" s="14" t="n"/>
    </row>
    <row r="292" ht="79" customHeight="1">
      <c r="A292" s="12" t="inlineStr">
        <is>
          <t>R1343-v1</t>
        </is>
      </c>
      <c r="B292" s="12" t="inlineStr">
        <is>
          <t>CST-04-021</t>
        </is>
      </c>
      <c r="C292" s="12" t="inlineStr">
        <is>
          <t>New</t>
        </is>
      </c>
      <c r="D292" s="12" t="inlineStr">
        <is>
          <t>Record first supplied in this revision</t>
        </is>
      </c>
      <c r="E292" s="12" t="inlineStr"/>
      <c r="F292" s="65" t="inlineStr">
        <is>
          <t>10 EVIDENCE &amp; DECISIONS</t>
        </is>
      </c>
      <c r="G292" s="14" t="n"/>
    </row>
    <row r="293" ht="79" customHeight="1">
      <c r="A293" s="12" t="inlineStr">
        <is>
          <t>R1344-v1</t>
        </is>
      </c>
      <c r="B293" s="12" t="inlineStr">
        <is>
          <t>CST-04-022</t>
        </is>
      </c>
      <c r="C293" s="12" t="inlineStr">
        <is>
          <t>New</t>
        </is>
      </c>
      <c r="D293" s="12" t="inlineStr">
        <is>
          <t>Record first supplied in this revision</t>
        </is>
      </c>
      <c r="E293" s="12" t="inlineStr"/>
      <c r="F293" s="65" t="inlineStr">
        <is>
          <t>10 EVIDENCE &amp; DECISIONS</t>
        </is>
      </c>
      <c r="G293" s="14" t="n"/>
    </row>
    <row r="294" ht="79" customHeight="1">
      <c r="A294" s="12" t="inlineStr">
        <is>
          <t>R1345-v1</t>
        </is>
      </c>
      <c r="B294" s="12" t="inlineStr">
        <is>
          <t>CST-04-023</t>
        </is>
      </c>
      <c r="C294" s="12" t="inlineStr">
        <is>
          <t>New</t>
        </is>
      </c>
      <c r="D294" s="12" t="inlineStr">
        <is>
          <t>Record first supplied in this revision</t>
        </is>
      </c>
      <c r="E294" s="12" t="inlineStr"/>
      <c r="F294" s="65" t="inlineStr">
        <is>
          <t>10 EVIDENCE &amp; DECISIONS</t>
        </is>
      </c>
      <c r="G294" s="14" t="n"/>
    </row>
    <row r="295" ht="79" customHeight="1">
      <c r="A295" s="12" t="inlineStr">
        <is>
          <t>R1346-v1</t>
        </is>
      </c>
      <c r="B295" s="12" t="inlineStr">
        <is>
          <t>CST-04-024</t>
        </is>
      </c>
      <c r="C295" s="12" t="inlineStr">
        <is>
          <t>New</t>
        </is>
      </c>
      <c r="D295" s="12" t="inlineStr">
        <is>
          <t>Record first supplied in this revision</t>
        </is>
      </c>
      <c r="E295" s="12" t="inlineStr"/>
      <c r="F295" s="65" t="inlineStr">
        <is>
          <t>10 EVIDENCE &amp; DECISIONS</t>
        </is>
      </c>
      <c r="G295" s="14" t="n"/>
    </row>
    <row r="296" ht="79" customHeight="1">
      <c r="A296" s="12" t="inlineStr">
        <is>
          <t>R1347-v1</t>
        </is>
      </c>
      <c r="B296" s="12" t="inlineStr">
        <is>
          <t>CST-04-025</t>
        </is>
      </c>
      <c r="C296" s="12" t="inlineStr">
        <is>
          <t>New</t>
        </is>
      </c>
      <c r="D296" s="12" t="inlineStr">
        <is>
          <t>Record first supplied in this revision</t>
        </is>
      </c>
      <c r="E296" s="12" t="inlineStr"/>
      <c r="F296" s="65" t="inlineStr">
        <is>
          <t>10 EVIDENCE &amp; DECISIONS</t>
        </is>
      </c>
      <c r="G296" s="14" t="n"/>
    </row>
    <row r="297" ht="79" customHeight="1">
      <c r="A297" s="12" t="inlineStr">
        <is>
          <t>R1348-v1</t>
        </is>
      </c>
      <c r="B297" s="12" t="inlineStr">
        <is>
          <t>CST-04-026</t>
        </is>
      </c>
      <c r="C297" s="12" t="inlineStr">
        <is>
          <t>New</t>
        </is>
      </c>
      <c r="D297" s="12" t="inlineStr">
        <is>
          <t>Record first supplied in this revision</t>
        </is>
      </c>
      <c r="E297" s="12" t="inlineStr"/>
      <c r="F297" s="65" t="inlineStr">
        <is>
          <t>10 EVIDENCE &amp; DECISIONS</t>
        </is>
      </c>
      <c r="G297" s="14" t="n"/>
    </row>
    <row r="298" ht="79" customHeight="1">
      <c r="A298" s="12" t="inlineStr">
        <is>
          <t>R1349-v1</t>
        </is>
      </c>
      <c r="B298" s="12" t="inlineStr">
        <is>
          <t>CST-04-027</t>
        </is>
      </c>
      <c r="C298" s="12" t="inlineStr">
        <is>
          <t>New</t>
        </is>
      </c>
      <c r="D298" s="12" t="inlineStr">
        <is>
          <t>Record first supplied in this revision</t>
        </is>
      </c>
      <c r="E298" s="12" t="inlineStr"/>
      <c r="F298" s="65" t="inlineStr">
        <is>
          <t>10 EVIDENCE &amp; DECISIONS</t>
        </is>
      </c>
      <c r="G298" s="14" t="n"/>
    </row>
    <row r="299" ht="79" customHeight="1">
      <c r="A299" s="12" t="inlineStr">
        <is>
          <t>R1350-v1</t>
        </is>
      </c>
      <c r="B299" s="12" t="inlineStr">
        <is>
          <t>CST-04-028</t>
        </is>
      </c>
      <c r="C299" s="12" t="inlineStr">
        <is>
          <t>New</t>
        </is>
      </c>
      <c r="D299" s="12" t="inlineStr">
        <is>
          <t>Record first supplied in this revision</t>
        </is>
      </c>
      <c r="E299" s="12" t="inlineStr"/>
      <c r="F299" s="65" t="inlineStr">
        <is>
          <t>10 EVIDENCE &amp; DECISIONS</t>
        </is>
      </c>
      <c r="G299" s="14" t="n"/>
    </row>
    <row r="300" ht="79" customHeight="1">
      <c r="A300" s="12" t="inlineStr">
        <is>
          <t>R1351-v1</t>
        </is>
      </c>
      <c r="B300" s="12" t="inlineStr">
        <is>
          <t>CST-04-029</t>
        </is>
      </c>
      <c r="C300" s="12" t="inlineStr">
        <is>
          <t>New</t>
        </is>
      </c>
      <c r="D300" s="12" t="inlineStr">
        <is>
          <t>Record first supplied in this revision</t>
        </is>
      </c>
      <c r="E300" s="12" t="inlineStr"/>
      <c r="F300" s="65" t="inlineStr">
        <is>
          <t>10 EVIDENCE &amp; DECISIONS</t>
        </is>
      </c>
      <c r="G300" s="14" t="n"/>
    </row>
    <row r="301" ht="79" customHeight="1">
      <c r="A301" s="12" t="inlineStr">
        <is>
          <t>R1352-v1</t>
        </is>
      </c>
      <c r="B301" s="12" t="inlineStr">
        <is>
          <t>CST-04-030</t>
        </is>
      </c>
      <c r="C301" s="12" t="inlineStr">
        <is>
          <t>New</t>
        </is>
      </c>
      <c r="D301" s="12" t="inlineStr">
        <is>
          <t>Record first supplied in this revision</t>
        </is>
      </c>
      <c r="E301" s="12" t="inlineStr"/>
      <c r="F301" s="65" t="inlineStr">
        <is>
          <t>10 EVIDENCE &amp; DECISIONS</t>
        </is>
      </c>
      <c r="G301" s="14" t="n"/>
    </row>
    <row r="302" ht="79" customHeight="1">
      <c r="A302" s="12" t="inlineStr">
        <is>
          <t>R1353-v1</t>
        </is>
      </c>
      <c r="B302" s="12" t="inlineStr">
        <is>
          <t>CST-04-031</t>
        </is>
      </c>
      <c r="C302" s="12" t="inlineStr">
        <is>
          <t>New</t>
        </is>
      </c>
      <c r="D302" s="12" t="inlineStr">
        <is>
          <t>Record first supplied in this revision</t>
        </is>
      </c>
      <c r="E302" s="12" t="inlineStr"/>
      <c r="F302" s="65" t="inlineStr">
        <is>
          <t>10 EVIDENCE &amp; DECISIONS</t>
        </is>
      </c>
      <c r="G302" s="14" t="n"/>
    </row>
    <row r="303" ht="79" customHeight="1">
      <c r="A303" s="12" t="inlineStr">
        <is>
          <t>R1354-v1</t>
        </is>
      </c>
      <c r="B303" s="12" t="inlineStr">
        <is>
          <t>CST-04-032</t>
        </is>
      </c>
      <c r="C303" s="12" t="inlineStr">
        <is>
          <t>New</t>
        </is>
      </c>
      <c r="D303" s="12" t="inlineStr">
        <is>
          <t>Record first supplied in this revision</t>
        </is>
      </c>
      <c r="E303" s="12" t="inlineStr"/>
      <c r="F303" s="65" t="inlineStr">
        <is>
          <t>10 EVIDENCE &amp; DECISIONS</t>
        </is>
      </c>
      <c r="G303" s="14" t="n"/>
    </row>
    <row r="304" ht="79" customHeight="1">
      <c r="A304" s="12" t="inlineStr">
        <is>
          <t>R1355-v1</t>
        </is>
      </c>
      <c r="B304" s="12" t="inlineStr">
        <is>
          <t>CST-04-033</t>
        </is>
      </c>
      <c r="C304" s="12" t="inlineStr">
        <is>
          <t>New</t>
        </is>
      </c>
      <c r="D304" s="12" t="inlineStr">
        <is>
          <t>Record first supplied in this revision</t>
        </is>
      </c>
      <c r="E304" s="12" t="inlineStr"/>
      <c r="F304" s="65" t="inlineStr">
        <is>
          <t>10 EVIDENCE &amp; DECISIONS</t>
        </is>
      </c>
      <c r="G304" s="14" t="n"/>
    </row>
    <row r="305" ht="79" customHeight="1">
      <c r="A305" s="12" t="inlineStr">
        <is>
          <t>R1356-v1</t>
        </is>
      </c>
      <c r="B305" s="12" t="inlineStr">
        <is>
          <t>CST-04-034</t>
        </is>
      </c>
      <c r="C305" s="12" t="inlineStr">
        <is>
          <t>New</t>
        </is>
      </c>
      <c r="D305" s="12" t="inlineStr">
        <is>
          <t>Record first supplied in this revision</t>
        </is>
      </c>
      <c r="E305" s="12" t="inlineStr"/>
      <c r="F305" s="65" t="inlineStr">
        <is>
          <t>10 EVIDENCE &amp; DECISIONS</t>
        </is>
      </c>
      <c r="G305" s="14" t="n"/>
    </row>
    <row r="306" ht="79" customHeight="1">
      <c r="A306" s="12" t="inlineStr">
        <is>
          <t>R1357-v1</t>
        </is>
      </c>
      <c r="B306" s="12" t="inlineStr">
        <is>
          <t>CST-04-035</t>
        </is>
      </c>
      <c r="C306" s="12" t="inlineStr">
        <is>
          <t>New</t>
        </is>
      </c>
      <c r="D306" s="12" t="inlineStr">
        <is>
          <t>Record first supplied in this revision</t>
        </is>
      </c>
      <c r="E306" s="12" t="inlineStr"/>
      <c r="F306" s="65" t="inlineStr">
        <is>
          <t>10 EVIDENCE &amp; DECISIONS</t>
        </is>
      </c>
      <c r="G306" s="14" t="n"/>
    </row>
    <row r="307" ht="79" customHeight="1">
      <c r="A307" s="12" t="inlineStr">
        <is>
          <t>R1358-v1</t>
        </is>
      </c>
      <c r="B307" s="12" t="inlineStr">
        <is>
          <t>CST-04-036</t>
        </is>
      </c>
      <c r="C307" s="12" t="inlineStr">
        <is>
          <t>New</t>
        </is>
      </c>
      <c r="D307" s="12" t="inlineStr">
        <is>
          <t>Record first supplied in this revision</t>
        </is>
      </c>
      <c r="E307" s="12" t="inlineStr"/>
      <c r="F307" s="65" t="inlineStr">
        <is>
          <t>10 EVIDENCE &amp; DECISIONS</t>
        </is>
      </c>
      <c r="G307" s="14" t="n"/>
    </row>
    <row r="308" ht="79" customHeight="1">
      <c r="A308" s="12" t="inlineStr">
        <is>
          <t>R1359-v1</t>
        </is>
      </c>
      <c r="B308" s="12" t="inlineStr">
        <is>
          <t>CST-04-037</t>
        </is>
      </c>
      <c r="C308" s="12" t="inlineStr">
        <is>
          <t>New</t>
        </is>
      </c>
      <c r="D308" s="12" t="inlineStr">
        <is>
          <t>Record first supplied in this revision</t>
        </is>
      </c>
      <c r="E308" s="12" t="inlineStr"/>
      <c r="F308" s="65" t="inlineStr">
        <is>
          <t>10 EVIDENCE &amp; DECISIONS</t>
        </is>
      </c>
      <c r="G308" s="14" t="n"/>
    </row>
    <row r="309" ht="79" customHeight="1">
      <c r="A309" s="12" t="inlineStr">
        <is>
          <t>R1360-v1</t>
        </is>
      </c>
      <c r="B309" s="12" t="inlineStr">
        <is>
          <t>CST-04-038</t>
        </is>
      </c>
      <c r="C309" s="12" t="inlineStr">
        <is>
          <t>New</t>
        </is>
      </c>
      <c r="D309" s="12" t="inlineStr">
        <is>
          <t>Record first supplied in this revision</t>
        </is>
      </c>
      <c r="E309" s="12" t="inlineStr"/>
      <c r="F309" s="65" t="inlineStr">
        <is>
          <t>10 EVIDENCE &amp; DECISIONS</t>
        </is>
      </c>
      <c r="G309" s="14" t="n"/>
    </row>
    <row r="310" ht="79" customHeight="1">
      <c r="A310" s="12" t="inlineStr">
        <is>
          <t>R1361-v1</t>
        </is>
      </c>
      <c r="B310" s="12" t="inlineStr">
        <is>
          <t>CST-04-039</t>
        </is>
      </c>
      <c r="C310" s="12" t="inlineStr">
        <is>
          <t>New</t>
        </is>
      </c>
      <c r="D310" s="12" t="inlineStr">
        <is>
          <t>Record first supplied in this revision</t>
        </is>
      </c>
      <c r="E310" s="12" t="inlineStr"/>
      <c r="F310" s="65" t="inlineStr">
        <is>
          <t>10 EVIDENCE &amp; DECISIONS</t>
        </is>
      </c>
      <c r="G310" s="14" t="n"/>
    </row>
    <row r="311" ht="79" customHeight="1">
      <c r="A311" s="12" t="inlineStr">
        <is>
          <t>R1362-v1</t>
        </is>
      </c>
      <c r="B311" s="12" t="inlineStr">
        <is>
          <t>CST-04-040</t>
        </is>
      </c>
      <c r="C311" s="12" t="inlineStr">
        <is>
          <t>New</t>
        </is>
      </c>
      <c r="D311" s="12" t="inlineStr">
        <is>
          <t>Record first supplied in this revision</t>
        </is>
      </c>
      <c r="E311" s="12" t="inlineStr"/>
      <c r="F311" s="65" t="inlineStr">
        <is>
          <t>10 EVIDENCE &amp; DECISIONS</t>
        </is>
      </c>
      <c r="G311" s="14" t="n"/>
    </row>
    <row r="312" ht="79" customHeight="1">
      <c r="A312" s="12" t="inlineStr">
        <is>
          <t>R1363-v1</t>
        </is>
      </c>
      <c r="B312" s="12" t="inlineStr">
        <is>
          <t>CST-04-041</t>
        </is>
      </c>
      <c r="C312" s="12" t="inlineStr">
        <is>
          <t>New</t>
        </is>
      </c>
      <c r="D312" s="12" t="inlineStr">
        <is>
          <t>Record first supplied in this revision</t>
        </is>
      </c>
      <c r="E312" s="12" t="inlineStr"/>
      <c r="F312" s="65" t="inlineStr">
        <is>
          <t>10 EVIDENCE &amp; DECISIONS</t>
        </is>
      </c>
      <c r="G312" s="14" t="n"/>
    </row>
    <row r="313" ht="79" customHeight="1">
      <c r="A313" s="12" t="inlineStr">
        <is>
          <t>R1364-v1</t>
        </is>
      </c>
      <c r="B313" s="12" t="inlineStr">
        <is>
          <t>CST-04-042</t>
        </is>
      </c>
      <c r="C313" s="12" t="inlineStr">
        <is>
          <t>New</t>
        </is>
      </c>
      <c r="D313" s="12" t="inlineStr">
        <is>
          <t>Record first supplied in this revision</t>
        </is>
      </c>
      <c r="E313" s="12" t="inlineStr"/>
      <c r="F313" s="65" t="inlineStr">
        <is>
          <t>10 EVIDENCE &amp; DECISIONS</t>
        </is>
      </c>
      <c r="G313" s="14" t="n"/>
    </row>
    <row r="314" ht="79" customHeight="1">
      <c r="A314" s="12" t="inlineStr">
        <is>
          <t>R1365-v1</t>
        </is>
      </c>
      <c r="B314" s="12" t="inlineStr">
        <is>
          <t>CST-04-043</t>
        </is>
      </c>
      <c r="C314" s="12" t="inlineStr">
        <is>
          <t>New</t>
        </is>
      </c>
      <c r="D314" s="12" t="inlineStr">
        <is>
          <t>Record first supplied in this revision</t>
        </is>
      </c>
      <c r="E314" s="12" t="inlineStr"/>
      <c r="F314" s="65" t="inlineStr">
        <is>
          <t>10 EVIDENCE &amp; DECISIONS</t>
        </is>
      </c>
      <c r="G314" s="14" t="n"/>
    </row>
    <row r="315" ht="79" customHeight="1">
      <c r="A315" s="12" t="inlineStr">
        <is>
          <t>R1366-v1</t>
        </is>
      </c>
      <c r="B315" s="12" t="inlineStr">
        <is>
          <t>CST-04-044</t>
        </is>
      </c>
      <c r="C315" s="12" t="inlineStr">
        <is>
          <t>New</t>
        </is>
      </c>
      <c r="D315" s="12" t="inlineStr">
        <is>
          <t>Record first supplied in this revision</t>
        </is>
      </c>
      <c r="E315" s="12" t="inlineStr"/>
      <c r="F315" s="65" t="inlineStr">
        <is>
          <t>10 EVIDENCE &amp; DECISIONS</t>
        </is>
      </c>
      <c r="G315" s="14" t="n"/>
    </row>
    <row r="316" ht="79" customHeight="1">
      <c r="A316" s="12" t="inlineStr">
        <is>
          <t>R1367-v1</t>
        </is>
      </c>
      <c r="B316" s="12" t="inlineStr">
        <is>
          <t>CST-04-045</t>
        </is>
      </c>
      <c r="C316" s="12" t="inlineStr">
        <is>
          <t>New</t>
        </is>
      </c>
      <c r="D316" s="12" t="inlineStr">
        <is>
          <t>Record first supplied in this revision</t>
        </is>
      </c>
      <c r="E316" s="12" t="inlineStr"/>
      <c r="F316" s="65" t="inlineStr">
        <is>
          <t>10 EVIDENCE &amp; DECISIONS</t>
        </is>
      </c>
      <c r="G316" s="14" t="n"/>
    </row>
    <row r="317" ht="79" customHeight="1">
      <c r="A317" s="12" t="inlineStr">
        <is>
          <t>R1368-v1</t>
        </is>
      </c>
      <c r="B317" s="12" t="inlineStr">
        <is>
          <t>CST-04-046</t>
        </is>
      </c>
      <c r="C317" s="12" t="inlineStr">
        <is>
          <t>New</t>
        </is>
      </c>
      <c r="D317" s="12" t="inlineStr">
        <is>
          <t>Record first supplied in this revision</t>
        </is>
      </c>
      <c r="E317" s="12" t="inlineStr"/>
      <c r="F317" s="65" t="inlineStr">
        <is>
          <t>10 EVIDENCE &amp; DECISIONS</t>
        </is>
      </c>
      <c r="G317" s="14" t="n"/>
    </row>
    <row r="318" ht="79" customHeight="1">
      <c r="A318" s="12" t="inlineStr">
        <is>
          <t>R1369-v1</t>
        </is>
      </c>
      <c r="B318" s="12" t="inlineStr">
        <is>
          <t>CST-04-047</t>
        </is>
      </c>
      <c r="C318" s="12" t="inlineStr">
        <is>
          <t>New</t>
        </is>
      </c>
      <c r="D318" s="12" t="inlineStr">
        <is>
          <t>Record first supplied in this revision</t>
        </is>
      </c>
      <c r="E318" s="12" t="inlineStr"/>
      <c r="F318" s="65" t="inlineStr">
        <is>
          <t>10 EVIDENCE &amp; DECISIONS</t>
        </is>
      </c>
      <c r="G318" s="14" t="n"/>
    </row>
    <row r="319" ht="79" customHeight="1">
      <c r="A319" s="12" t="inlineStr">
        <is>
          <t>R1370-v1</t>
        </is>
      </c>
      <c r="B319" s="12" t="inlineStr">
        <is>
          <t>CST-04-048</t>
        </is>
      </c>
      <c r="C319" s="12" t="inlineStr">
        <is>
          <t>New</t>
        </is>
      </c>
      <c r="D319" s="12" t="inlineStr">
        <is>
          <t>Record first supplied in this revision</t>
        </is>
      </c>
      <c r="E319" s="12" t="inlineStr"/>
      <c r="F319" s="65" t="inlineStr">
        <is>
          <t>10 EVIDENCE &amp; DECISIONS</t>
        </is>
      </c>
      <c r="G319" s="14" t="n"/>
    </row>
    <row r="320" ht="79" customHeight="1">
      <c r="A320" s="12" t="inlineStr">
        <is>
          <t>R1371-v1</t>
        </is>
      </c>
      <c r="B320" s="12" t="inlineStr">
        <is>
          <t>CST-04-049</t>
        </is>
      </c>
      <c r="C320" s="12" t="inlineStr">
        <is>
          <t>New</t>
        </is>
      </c>
      <c r="D320" s="12" t="inlineStr">
        <is>
          <t>Record first supplied in this revision</t>
        </is>
      </c>
      <c r="E320" s="12" t="inlineStr"/>
      <c r="F320" s="65" t="inlineStr">
        <is>
          <t>10 EVIDENCE &amp; DECISIONS</t>
        </is>
      </c>
      <c r="G320" s="14" t="n"/>
    </row>
    <row r="321" ht="79" customHeight="1">
      <c r="A321" s="12" t="inlineStr">
        <is>
          <t>R1372-v1</t>
        </is>
      </c>
      <c r="B321" s="12" t="inlineStr">
        <is>
          <t>CST-04-050</t>
        </is>
      </c>
      <c r="C321" s="12" t="inlineStr">
        <is>
          <t>New</t>
        </is>
      </c>
      <c r="D321" s="12" t="inlineStr">
        <is>
          <t>Record first supplied in this revision</t>
        </is>
      </c>
      <c r="E321" s="12" t="inlineStr"/>
      <c r="F321" s="65" t="inlineStr">
        <is>
          <t>10 EVIDENCE &amp; DECISIONS</t>
        </is>
      </c>
      <c r="G321" s="14" t="n"/>
    </row>
    <row r="322" ht="79" customHeight="1">
      <c r="A322" s="12" t="inlineStr">
        <is>
          <t>R1373-v1</t>
        </is>
      </c>
      <c r="B322" s="12" t="inlineStr">
        <is>
          <t>CST-04-051</t>
        </is>
      </c>
      <c r="C322" s="12" t="inlineStr">
        <is>
          <t>New</t>
        </is>
      </c>
      <c r="D322" s="12" t="inlineStr">
        <is>
          <t>Record first supplied in this revision</t>
        </is>
      </c>
      <c r="E322" s="12" t="inlineStr"/>
      <c r="F322" s="65" t="inlineStr">
        <is>
          <t>10 EVIDENCE &amp; DECISIONS</t>
        </is>
      </c>
      <c r="G322" s="14" t="n"/>
    </row>
    <row r="323" ht="79" customHeight="1">
      <c r="A323" s="12" t="inlineStr">
        <is>
          <t>R1374-v1</t>
        </is>
      </c>
      <c r="B323" s="12" t="inlineStr">
        <is>
          <t>CST-04-052</t>
        </is>
      </c>
      <c r="C323" s="12" t="inlineStr">
        <is>
          <t>New</t>
        </is>
      </c>
      <c r="D323" s="12" t="inlineStr">
        <is>
          <t>Record first supplied in this revision</t>
        </is>
      </c>
      <c r="E323" s="12" t="inlineStr"/>
      <c r="F323" s="65" t="inlineStr">
        <is>
          <t>10 EVIDENCE &amp; DECISIONS</t>
        </is>
      </c>
      <c r="G323" s="14" t="n"/>
    </row>
    <row r="324" ht="79" customHeight="1">
      <c r="A324" s="12" t="inlineStr">
        <is>
          <t>R1375-v1</t>
        </is>
      </c>
      <c r="B324" s="12" t="inlineStr">
        <is>
          <t>CST-04-053</t>
        </is>
      </c>
      <c r="C324" s="12" t="inlineStr">
        <is>
          <t>New</t>
        </is>
      </c>
      <c r="D324" s="12" t="inlineStr">
        <is>
          <t>Record first supplied in this revision</t>
        </is>
      </c>
      <c r="E324" s="12" t="inlineStr"/>
      <c r="F324" s="65" t="inlineStr">
        <is>
          <t>10 EVIDENCE &amp; DECISIONS</t>
        </is>
      </c>
      <c r="G324" s="14" t="n"/>
    </row>
    <row r="325" ht="79" customHeight="1">
      <c r="A325" s="12" t="inlineStr">
        <is>
          <t>R1376-v1</t>
        </is>
      </c>
      <c r="B325" s="12" t="inlineStr">
        <is>
          <t>CST-04-054</t>
        </is>
      </c>
      <c r="C325" s="12" t="inlineStr">
        <is>
          <t>New</t>
        </is>
      </c>
      <c r="D325" s="12" t="inlineStr">
        <is>
          <t>Record first supplied in this revision</t>
        </is>
      </c>
      <c r="E325" s="12" t="inlineStr"/>
      <c r="F325" s="65" t="inlineStr">
        <is>
          <t>10 EVIDENCE &amp; DECISIONS</t>
        </is>
      </c>
      <c r="G325" s="14" t="n"/>
    </row>
    <row r="326" ht="79" customHeight="1">
      <c r="A326" s="12" t="inlineStr">
        <is>
          <t>R1377-v1</t>
        </is>
      </c>
      <c r="B326" s="12" t="inlineStr">
        <is>
          <t>CST-04-055</t>
        </is>
      </c>
      <c r="C326" s="12" t="inlineStr">
        <is>
          <t>New</t>
        </is>
      </c>
      <c r="D326" s="12" t="inlineStr">
        <is>
          <t>Record first supplied in this revision</t>
        </is>
      </c>
      <c r="E326" s="12" t="inlineStr"/>
      <c r="F326" s="65" t="inlineStr">
        <is>
          <t>10 EVIDENCE &amp; DECISIONS</t>
        </is>
      </c>
      <c r="G326" s="14" t="n"/>
    </row>
    <row r="327" ht="79" customHeight="1">
      <c r="A327" s="12" t="inlineStr">
        <is>
          <t>R1378-v1</t>
        </is>
      </c>
      <c r="B327" s="12" t="inlineStr">
        <is>
          <t>CST-04-056</t>
        </is>
      </c>
      <c r="C327" s="12" t="inlineStr">
        <is>
          <t>New</t>
        </is>
      </c>
      <c r="D327" s="12" t="inlineStr">
        <is>
          <t>Record first supplied in this revision</t>
        </is>
      </c>
      <c r="E327" s="12" t="inlineStr"/>
      <c r="F327" s="65" t="inlineStr">
        <is>
          <t>10 EVIDENCE &amp; DECISIONS</t>
        </is>
      </c>
      <c r="G327" s="14" t="n"/>
    </row>
    <row r="328" ht="79" customHeight="1">
      <c r="A328" s="12" t="inlineStr">
        <is>
          <t>R1379-v1</t>
        </is>
      </c>
      <c r="B328" s="12" t="inlineStr">
        <is>
          <t>CST-04-057</t>
        </is>
      </c>
      <c r="C328" s="12" t="inlineStr">
        <is>
          <t>New</t>
        </is>
      </c>
      <c r="D328" s="12" t="inlineStr">
        <is>
          <t>Record first supplied in this revision</t>
        </is>
      </c>
      <c r="E328" s="12" t="inlineStr"/>
      <c r="F328" s="65" t="inlineStr">
        <is>
          <t>10 EVIDENCE &amp; DECISIONS</t>
        </is>
      </c>
      <c r="G328" s="14" t="n"/>
    </row>
    <row r="329" ht="79" customHeight="1">
      <c r="A329" s="12" t="inlineStr">
        <is>
          <t>R1380-v1</t>
        </is>
      </c>
      <c r="B329" s="12" t="inlineStr">
        <is>
          <t>CST-04-058</t>
        </is>
      </c>
      <c r="C329" s="12" t="inlineStr">
        <is>
          <t>New</t>
        </is>
      </c>
      <c r="D329" s="12" t="inlineStr">
        <is>
          <t>Record first supplied in this revision</t>
        </is>
      </c>
      <c r="E329" s="12" t="inlineStr"/>
      <c r="F329" s="65" t="inlineStr">
        <is>
          <t>10 EVIDENCE &amp; DECISIONS</t>
        </is>
      </c>
      <c r="G329" s="14" t="n"/>
    </row>
    <row r="330" ht="79" customHeight="1">
      <c r="A330" s="12" t="inlineStr">
        <is>
          <t>R1381-v1</t>
        </is>
      </c>
      <c r="B330" s="12" t="inlineStr">
        <is>
          <t>CST-04-059</t>
        </is>
      </c>
      <c r="C330" s="12" t="inlineStr">
        <is>
          <t>New</t>
        </is>
      </c>
      <c r="D330" s="12" t="inlineStr">
        <is>
          <t>Record first supplied in this revision</t>
        </is>
      </c>
      <c r="E330" s="12" t="inlineStr"/>
      <c r="F330" s="65" t="inlineStr">
        <is>
          <t>10 EVIDENCE &amp; DECISIONS</t>
        </is>
      </c>
      <c r="G330" s="14" t="n"/>
    </row>
    <row r="331" ht="79" customHeight="1">
      <c r="A331" s="12" t="inlineStr">
        <is>
          <t>R1382-v1</t>
        </is>
      </c>
      <c r="B331" s="12" t="inlineStr">
        <is>
          <t>CST-04-060</t>
        </is>
      </c>
      <c r="C331" s="12" t="inlineStr">
        <is>
          <t>New</t>
        </is>
      </c>
      <c r="D331" s="12" t="inlineStr">
        <is>
          <t>Record first supplied in this revision</t>
        </is>
      </c>
      <c r="E331" s="12" t="inlineStr"/>
      <c r="F331" s="65" t="inlineStr">
        <is>
          <t>10 EVIDENCE &amp; DECISIONS</t>
        </is>
      </c>
      <c r="G331" s="14" t="n"/>
    </row>
    <row r="332" ht="79" customHeight="1">
      <c r="A332" s="12" t="inlineStr">
        <is>
          <t>R1383-v1</t>
        </is>
      </c>
      <c r="B332" s="12" t="inlineStr">
        <is>
          <t>CST-04-061</t>
        </is>
      </c>
      <c r="C332" s="12" t="inlineStr">
        <is>
          <t>New</t>
        </is>
      </c>
      <c r="D332" s="12" t="inlineStr">
        <is>
          <t>Record first supplied in this revision</t>
        </is>
      </c>
      <c r="E332" s="12" t="inlineStr"/>
      <c r="F332" s="65" t="inlineStr">
        <is>
          <t>10 EVIDENCE &amp; DECISIONS</t>
        </is>
      </c>
      <c r="G332" s="14" t="n"/>
    </row>
    <row r="333" ht="79" customHeight="1">
      <c r="A333" s="12" t="inlineStr">
        <is>
          <t>R1384-v1</t>
        </is>
      </c>
      <c r="B333" s="12" t="inlineStr">
        <is>
          <t>CST-04-062</t>
        </is>
      </c>
      <c r="C333" s="12" t="inlineStr">
        <is>
          <t>New</t>
        </is>
      </c>
      <c r="D333" s="12" t="inlineStr">
        <is>
          <t>Record first supplied in this revision</t>
        </is>
      </c>
      <c r="E333" s="12" t="inlineStr"/>
      <c r="F333" s="65" t="inlineStr">
        <is>
          <t>10 EVIDENCE &amp; DECISIONS</t>
        </is>
      </c>
      <c r="G333" s="14" t="n"/>
    </row>
    <row r="334" ht="79" customHeight="1">
      <c r="A334" s="12" t="inlineStr">
        <is>
          <t>R1385-v1</t>
        </is>
      </c>
      <c r="B334" s="12" t="inlineStr">
        <is>
          <t>CST-04-063</t>
        </is>
      </c>
      <c r="C334" s="12" t="inlineStr">
        <is>
          <t>New</t>
        </is>
      </c>
      <c r="D334" s="12" t="inlineStr">
        <is>
          <t>Record first supplied in this revision</t>
        </is>
      </c>
      <c r="E334" s="12" t="inlineStr"/>
      <c r="F334" s="65" t="inlineStr">
        <is>
          <t>10 EVIDENCE &amp; DECISIONS</t>
        </is>
      </c>
      <c r="G334" s="14" t="n"/>
    </row>
    <row r="335" ht="79" customHeight="1">
      <c r="A335" s="12" t="inlineStr">
        <is>
          <t>R1386-v1</t>
        </is>
      </c>
      <c r="B335" s="12" t="inlineStr">
        <is>
          <t>CST-04-064</t>
        </is>
      </c>
      <c r="C335" s="12" t="inlineStr">
        <is>
          <t>New</t>
        </is>
      </c>
      <c r="D335" s="12" t="inlineStr">
        <is>
          <t>Record first supplied in this revision</t>
        </is>
      </c>
      <c r="E335" s="12" t="inlineStr"/>
      <c r="F335" s="65" t="inlineStr">
        <is>
          <t>10 EVIDENCE &amp; DECISIONS</t>
        </is>
      </c>
      <c r="G335" s="14" t="n"/>
    </row>
    <row r="336" ht="79" customHeight="1">
      <c r="A336" s="12" t="inlineStr">
        <is>
          <t>R1387-v1</t>
        </is>
      </c>
      <c r="B336" s="12" t="inlineStr">
        <is>
          <t>CST-04-065</t>
        </is>
      </c>
      <c r="C336" s="12" t="inlineStr">
        <is>
          <t>New</t>
        </is>
      </c>
      <c r="D336" s="12" t="inlineStr">
        <is>
          <t>Record first supplied in this revision</t>
        </is>
      </c>
      <c r="E336" s="12" t="inlineStr"/>
      <c r="F336" s="65" t="inlineStr">
        <is>
          <t>10 EVIDENCE &amp; DECISIONS</t>
        </is>
      </c>
      <c r="G336" s="14" t="n"/>
    </row>
    <row r="337" ht="79" customHeight="1">
      <c r="A337" s="12" t="inlineStr">
        <is>
          <t>R1388-v1</t>
        </is>
      </c>
      <c r="B337" s="12" t="inlineStr">
        <is>
          <t>CST-04-066</t>
        </is>
      </c>
      <c r="C337" s="12" t="inlineStr">
        <is>
          <t>New</t>
        </is>
      </c>
      <c r="D337" s="12" t="inlineStr">
        <is>
          <t>Record first supplied in this revision</t>
        </is>
      </c>
      <c r="E337" s="12" t="inlineStr"/>
      <c r="F337" s="65" t="inlineStr">
        <is>
          <t>10 EVIDENCE &amp; DECISIONS</t>
        </is>
      </c>
      <c r="G337" s="14" t="n"/>
    </row>
    <row r="338" ht="79" customHeight="1">
      <c r="A338" s="12" t="inlineStr">
        <is>
          <t>R1389-v1</t>
        </is>
      </c>
      <c r="B338" s="12" t="inlineStr">
        <is>
          <t>CST-04-067</t>
        </is>
      </c>
      <c r="C338" s="12" t="inlineStr">
        <is>
          <t>New</t>
        </is>
      </c>
      <c r="D338" s="12" t="inlineStr">
        <is>
          <t>Record first supplied in this revision</t>
        </is>
      </c>
      <c r="E338" s="12" t="inlineStr"/>
      <c r="F338" s="65" t="inlineStr">
        <is>
          <t>10 EVIDENCE &amp; DECISIONS</t>
        </is>
      </c>
      <c r="G338" s="14" t="n"/>
    </row>
    <row r="339" ht="79" customHeight="1">
      <c r="A339" s="12" t="inlineStr">
        <is>
          <t>R1390-v1</t>
        </is>
      </c>
      <c r="B339" s="12" t="inlineStr">
        <is>
          <t>CST-04-068</t>
        </is>
      </c>
      <c r="C339" s="12" t="inlineStr">
        <is>
          <t>New</t>
        </is>
      </c>
      <c r="D339" s="12" t="inlineStr">
        <is>
          <t>Record first supplied in this revision</t>
        </is>
      </c>
      <c r="E339" s="12" t="inlineStr"/>
      <c r="F339" s="65" t="inlineStr">
        <is>
          <t>10 EVIDENCE &amp; DECISIONS</t>
        </is>
      </c>
      <c r="G339" s="14" t="n"/>
    </row>
    <row r="340" ht="79" customHeight="1">
      <c r="A340" s="12" t="inlineStr">
        <is>
          <t>R1391-v1</t>
        </is>
      </c>
      <c r="B340" s="12" t="inlineStr">
        <is>
          <t>CST-04-069</t>
        </is>
      </c>
      <c r="C340" s="12" t="inlineStr">
        <is>
          <t>New</t>
        </is>
      </c>
      <c r="D340" s="12" t="inlineStr">
        <is>
          <t>Record first supplied in this revision</t>
        </is>
      </c>
      <c r="E340" s="12" t="inlineStr"/>
      <c r="F340" s="65" t="inlineStr">
        <is>
          <t>10 EVIDENCE &amp; DECISIONS</t>
        </is>
      </c>
      <c r="G340" s="14" t="n"/>
    </row>
    <row r="341" ht="79" customHeight="1">
      <c r="A341" s="12" t="inlineStr">
        <is>
          <t>R1392-v1</t>
        </is>
      </c>
      <c r="B341" s="12" t="inlineStr">
        <is>
          <t>CST-04-070</t>
        </is>
      </c>
      <c r="C341" s="12" t="inlineStr">
        <is>
          <t>New</t>
        </is>
      </c>
      <c r="D341" s="12" t="inlineStr">
        <is>
          <t>Record first supplied in this revision</t>
        </is>
      </c>
      <c r="E341" s="12" t="inlineStr"/>
      <c r="F341" s="65" t="inlineStr">
        <is>
          <t>10 EVIDENCE &amp; DECISIONS</t>
        </is>
      </c>
      <c r="G341" s="14" t="n"/>
    </row>
    <row r="342" ht="79" customHeight="1">
      <c r="A342" s="12" t="inlineStr">
        <is>
          <t>R1393-v1</t>
        </is>
      </c>
      <c r="B342" s="12" t="inlineStr">
        <is>
          <t>CST-04-071</t>
        </is>
      </c>
      <c r="C342" s="12" t="inlineStr">
        <is>
          <t>New</t>
        </is>
      </c>
      <c r="D342" s="12" t="inlineStr">
        <is>
          <t>Record first supplied in this revision</t>
        </is>
      </c>
      <c r="E342" s="12" t="inlineStr"/>
      <c r="F342" s="65" t="inlineStr">
        <is>
          <t>10 EVIDENCE &amp; DECISIONS</t>
        </is>
      </c>
      <c r="G342" s="14" t="n"/>
    </row>
    <row r="343" ht="79" customHeight="1">
      <c r="A343" s="12" t="inlineStr">
        <is>
          <t>R1394-v1</t>
        </is>
      </c>
      <c r="B343" s="12" t="inlineStr">
        <is>
          <t>CST-04-072</t>
        </is>
      </c>
      <c r="C343" s="12" t="inlineStr">
        <is>
          <t>New</t>
        </is>
      </c>
      <c r="D343" s="12" t="inlineStr">
        <is>
          <t>Record first supplied in this revision</t>
        </is>
      </c>
      <c r="E343" s="12" t="inlineStr"/>
      <c r="F343" s="65" t="inlineStr">
        <is>
          <t>10 EVIDENCE &amp; DECISIONS</t>
        </is>
      </c>
      <c r="G343" s="14" t="n"/>
    </row>
    <row r="344" ht="79" customHeight="1">
      <c r="A344" s="12" t="inlineStr">
        <is>
          <t>R1395-v1</t>
        </is>
      </c>
      <c r="B344" s="12" t="inlineStr">
        <is>
          <t>CST-04-073</t>
        </is>
      </c>
      <c r="C344" s="12" t="inlineStr">
        <is>
          <t>New</t>
        </is>
      </c>
      <c r="D344" s="12" t="inlineStr">
        <is>
          <t>Record first supplied in this revision</t>
        </is>
      </c>
      <c r="E344" s="12" t="inlineStr"/>
      <c r="F344" s="65" t="inlineStr">
        <is>
          <t>10 EVIDENCE &amp; DECISIONS</t>
        </is>
      </c>
      <c r="G344" s="14" t="n"/>
    </row>
    <row r="345" ht="79" customHeight="1">
      <c r="A345" s="12" t="inlineStr">
        <is>
          <t>R1396-v1</t>
        </is>
      </c>
      <c r="B345" s="12" t="inlineStr">
        <is>
          <t>CST-04-074</t>
        </is>
      </c>
      <c r="C345" s="12" t="inlineStr">
        <is>
          <t>New</t>
        </is>
      </c>
      <c r="D345" s="12" t="inlineStr">
        <is>
          <t>Record first supplied in this revision</t>
        </is>
      </c>
      <c r="E345" s="12" t="inlineStr"/>
      <c r="F345" s="65" t="inlineStr">
        <is>
          <t>10 EVIDENCE &amp; DECISIONS</t>
        </is>
      </c>
      <c r="G345" s="14" t="n"/>
    </row>
    <row r="346" ht="79" customHeight="1">
      <c r="A346" s="12" t="inlineStr">
        <is>
          <t>R1397-v1</t>
        </is>
      </c>
      <c r="B346" s="12" t="inlineStr">
        <is>
          <t>CST-04-075</t>
        </is>
      </c>
      <c r="C346" s="12" t="inlineStr">
        <is>
          <t>New</t>
        </is>
      </c>
      <c r="D346" s="12" t="inlineStr">
        <is>
          <t>Record first supplied in this revision</t>
        </is>
      </c>
      <c r="E346" s="12" t="inlineStr"/>
      <c r="F346" s="65" t="inlineStr">
        <is>
          <t>10 EVIDENCE &amp; DECISIONS</t>
        </is>
      </c>
      <c r="G346" s="14" t="n"/>
    </row>
    <row r="347" ht="79" customHeight="1">
      <c r="A347" s="12" t="inlineStr">
        <is>
          <t>R1398-v1</t>
        </is>
      </c>
      <c r="B347" s="12" t="inlineStr">
        <is>
          <t>CST-04-076</t>
        </is>
      </c>
      <c r="C347" s="12" t="inlineStr">
        <is>
          <t>New</t>
        </is>
      </c>
      <c r="D347" s="12" t="inlineStr">
        <is>
          <t>Record first supplied in this revision</t>
        </is>
      </c>
      <c r="E347" s="12" t="inlineStr"/>
      <c r="F347" s="65" t="inlineStr">
        <is>
          <t>10 EVIDENCE &amp; DECISIONS</t>
        </is>
      </c>
      <c r="G347" s="14" t="n"/>
    </row>
    <row r="348" ht="79" customHeight="1">
      <c r="A348" s="12" t="inlineStr">
        <is>
          <t>R1399-v1</t>
        </is>
      </c>
      <c r="B348" s="12" t="inlineStr">
        <is>
          <t>CST-04-077</t>
        </is>
      </c>
      <c r="C348" s="12" t="inlineStr">
        <is>
          <t>New</t>
        </is>
      </c>
      <c r="D348" s="12" t="inlineStr">
        <is>
          <t>Record first supplied in this revision</t>
        </is>
      </c>
      <c r="E348" s="12" t="inlineStr"/>
      <c r="F348" s="65" t="inlineStr">
        <is>
          <t>10 EVIDENCE &amp; DECISIONS</t>
        </is>
      </c>
      <c r="G348" s="14" t="n"/>
    </row>
    <row r="349" ht="79" customHeight="1">
      <c r="A349" s="12" t="inlineStr">
        <is>
          <t>R1400-v1</t>
        </is>
      </c>
      <c r="B349" s="12" t="inlineStr">
        <is>
          <t>CST-04-078</t>
        </is>
      </c>
      <c r="C349" s="12" t="inlineStr">
        <is>
          <t>New</t>
        </is>
      </c>
      <c r="D349" s="12" t="inlineStr">
        <is>
          <t>Record first supplied in this revision</t>
        </is>
      </c>
      <c r="E349" s="12" t="inlineStr"/>
      <c r="F349" s="65" t="inlineStr">
        <is>
          <t>10 EVIDENCE &amp; DECISIONS</t>
        </is>
      </c>
      <c r="G349" s="14" t="n"/>
    </row>
    <row r="350" ht="79" customHeight="1">
      <c r="A350" s="12" t="inlineStr">
        <is>
          <t>R1401-v1</t>
        </is>
      </c>
      <c r="B350" s="12" t="inlineStr">
        <is>
          <t>CST-04-079</t>
        </is>
      </c>
      <c r="C350" s="12" t="inlineStr">
        <is>
          <t>New</t>
        </is>
      </c>
      <c r="D350" s="12" t="inlineStr">
        <is>
          <t>Record first supplied in this revision</t>
        </is>
      </c>
      <c r="E350" s="12" t="inlineStr"/>
      <c r="F350" s="65" t="inlineStr">
        <is>
          <t>10 EVIDENCE &amp; DECISIONS</t>
        </is>
      </c>
      <c r="G350" s="14" t="n"/>
    </row>
    <row r="351" ht="79" customHeight="1">
      <c r="A351" s="12" t="inlineStr">
        <is>
          <t>R1402-v1</t>
        </is>
      </c>
      <c r="B351" s="12" t="inlineStr">
        <is>
          <t>CST-04-080</t>
        </is>
      </c>
      <c r="C351" s="12" t="inlineStr">
        <is>
          <t>New</t>
        </is>
      </c>
      <c r="D351" s="12" t="inlineStr">
        <is>
          <t>Record first supplied in this revision</t>
        </is>
      </c>
      <c r="E351" s="12" t="inlineStr"/>
      <c r="F351" s="65" t="inlineStr">
        <is>
          <t>10 EVIDENCE &amp; DECISIONS</t>
        </is>
      </c>
      <c r="G351" s="14" t="n"/>
    </row>
    <row r="352" ht="79" customHeight="1">
      <c r="A352" s="12" t="inlineStr">
        <is>
          <t>R1403-v2</t>
        </is>
      </c>
      <c r="B352" s="12" t="inlineStr">
        <is>
          <t>CST-05-001</t>
        </is>
      </c>
      <c r="C352" s="12" t="inlineStr">
        <is>
          <t>New</t>
        </is>
      </c>
      <c r="D352" s="12" t="inlineStr">
        <is>
          <t>Record first supplied in this revision</t>
        </is>
      </c>
      <c r="E352" s="12" t="inlineStr">
        <is>
          <t>Maya Chen, Owner Project Controls</t>
        </is>
      </c>
      <c r="F352" s="65" t="inlineStr">
        <is>
          <t>10 EVIDENCE &amp; DECISIONS</t>
        </is>
      </c>
      <c r="G352" s="14" t="n"/>
    </row>
    <row r="353" ht="79" customHeight="1">
      <c r="A353" s="12" t="inlineStr">
        <is>
          <t>R1404-v2</t>
        </is>
      </c>
      <c r="B353" s="12" t="inlineStr">
        <is>
          <t>CST-05-002</t>
        </is>
      </c>
      <c r="C353" s="12" t="inlineStr">
        <is>
          <t>New</t>
        </is>
      </c>
      <c r="D353" s="12" t="inlineStr">
        <is>
          <t>Record first supplied in this revision</t>
        </is>
      </c>
      <c r="E353" s="12" t="inlineStr">
        <is>
          <t>Maya Chen, Owner Project Controls</t>
        </is>
      </c>
      <c r="F353" s="65" t="inlineStr">
        <is>
          <t>10 EVIDENCE &amp; DECISIONS</t>
        </is>
      </c>
      <c r="G353" s="14" t="n"/>
    </row>
    <row r="354" ht="79" customHeight="1">
      <c r="A354" s="12" t="inlineStr">
        <is>
          <t>R1405-v2</t>
        </is>
      </c>
      <c r="B354" s="12" t="inlineStr">
        <is>
          <t>CST-05-003</t>
        </is>
      </c>
      <c r="C354" s="12" t="inlineStr">
        <is>
          <t>New</t>
        </is>
      </c>
      <c r="D354" s="12" t="inlineStr">
        <is>
          <t>Record first supplied in this revision</t>
        </is>
      </c>
      <c r="E354" s="12" t="inlineStr">
        <is>
          <t>Maya Chen, Owner Project Controls</t>
        </is>
      </c>
      <c r="F354" s="65" t="inlineStr">
        <is>
          <t>10 EVIDENCE &amp; DECISIONS</t>
        </is>
      </c>
      <c r="G354" s="14" t="n"/>
    </row>
    <row r="355" ht="79" customHeight="1">
      <c r="A355" s="12" t="inlineStr">
        <is>
          <t>R1406-v2</t>
        </is>
      </c>
      <c r="B355" s="12" t="inlineStr">
        <is>
          <t>CST-05-004</t>
        </is>
      </c>
      <c r="C355" s="12" t="inlineStr">
        <is>
          <t>New</t>
        </is>
      </c>
      <c r="D355" s="12" t="inlineStr">
        <is>
          <t>Record first supplied in this revision</t>
        </is>
      </c>
      <c r="E355" s="12" t="inlineStr">
        <is>
          <t>Maya Chen, Owner Project Controls</t>
        </is>
      </c>
      <c r="F355" s="65" t="inlineStr">
        <is>
          <t>10 EVIDENCE &amp; DECISIONS</t>
        </is>
      </c>
      <c r="G355" s="14" t="n"/>
    </row>
    <row r="356" ht="79" customHeight="1">
      <c r="A356" s="12" t="inlineStr">
        <is>
          <t>R1407-v2</t>
        </is>
      </c>
      <c r="B356" s="12" t="inlineStr">
        <is>
          <t>CST-05-005</t>
        </is>
      </c>
      <c r="C356" s="12" t="inlineStr">
        <is>
          <t>New</t>
        </is>
      </c>
      <c r="D356" s="12" t="inlineStr">
        <is>
          <t>Record first supplied in this revision</t>
        </is>
      </c>
      <c r="E356" s="12" t="inlineStr">
        <is>
          <t>Maya Chen, Owner Project Controls</t>
        </is>
      </c>
      <c r="F356" s="65" t="inlineStr">
        <is>
          <t>10 EVIDENCE &amp; DECISIONS</t>
        </is>
      </c>
      <c r="G356" s="14" t="n"/>
    </row>
    <row r="357" ht="79" customHeight="1">
      <c r="A357" s="12" t="inlineStr">
        <is>
          <t>R1408-v2</t>
        </is>
      </c>
      <c r="B357" s="12" t="inlineStr">
        <is>
          <t>CST-05-006</t>
        </is>
      </c>
      <c r="C357" s="12" t="inlineStr">
        <is>
          <t>New</t>
        </is>
      </c>
      <c r="D357" s="12" t="inlineStr">
        <is>
          <t>Record first supplied in this revision</t>
        </is>
      </c>
      <c r="E357" s="12" t="inlineStr">
        <is>
          <t>Maya Chen, Owner Project Controls</t>
        </is>
      </c>
      <c r="F357" s="65" t="inlineStr">
        <is>
          <t>10 EVIDENCE &amp; DECISIONS</t>
        </is>
      </c>
      <c r="G357" s="14" t="n"/>
    </row>
    <row r="358" ht="79" customHeight="1">
      <c r="A358" s="12" t="inlineStr">
        <is>
          <t>R1409-v2</t>
        </is>
      </c>
      <c r="B358" s="12" t="inlineStr">
        <is>
          <t>CST-05-007</t>
        </is>
      </c>
      <c r="C358" s="12" t="inlineStr">
        <is>
          <t>New</t>
        </is>
      </c>
      <c r="D358" s="12" t="inlineStr">
        <is>
          <t>Record first supplied in this revision</t>
        </is>
      </c>
      <c r="E358" s="12" t="inlineStr">
        <is>
          <t>Maya Chen, Owner Project Controls</t>
        </is>
      </c>
      <c r="F358" s="65" t="inlineStr">
        <is>
          <t>10 EVIDENCE &amp; DECISIONS</t>
        </is>
      </c>
      <c r="G358" s="14" t="n"/>
    </row>
    <row r="359" ht="79" customHeight="1">
      <c r="A359" s="12" t="inlineStr">
        <is>
          <t>R1410-v2</t>
        </is>
      </c>
      <c r="B359" s="12" t="inlineStr">
        <is>
          <t>CST-05-008</t>
        </is>
      </c>
      <c r="C359" s="12" t="inlineStr">
        <is>
          <t>New</t>
        </is>
      </c>
      <c r="D359" s="12" t="inlineStr">
        <is>
          <t>Record first supplied in this revision</t>
        </is>
      </c>
      <c r="E359" s="12" t="inlineStr">
        <is>
          <t>Maya Chen, Owner Project Controls</t>
        </is>
      </c>
      <c r="F359" s="65" t="inlineStr">
        <is>
          <t>10 EVIDENCE &amp; DECISIONS</t>
        </is>
      </c>
      <c r="G359" s="14" t="n"/>
    </row>
    <row r="360" ht="79" customHeight="1">
      <c r="A360" s="12" t="inlineStr">
        <is>
          <t>R1411-v2</t>
        </is>
      </c>
      <c r="B360" s="12" t="inlineStr">
        <is>
          <t>CST-05-009</t>
        </is>
      </c>
      <c r="C360" s="12" t="inlineStr">
        <is>
          <t>New</t>
        </is>
      </c>
      <c r="D360" s="12" t="inlineStr">
        <is>
          <t>Record first supplied in this revision</t>
        </is>
      </c>
      <c r="E360" s="12" t="inlineStr">
        <is>
          <t>Maya Chen, Owner Project Controls</t>
        </is>
      </c>
      <c r="F360" s="65" t="inlineStr">
        <is>
          <t>10 EVIDENCE &amp; DECISIONS</t>
        </is>
      </c>
      <c r="G360" s="14" t="n"/>
    </row>
    <row r="361" ht="79" customHeight="1">
      <c r="A361" s="12" t="inlineStr">
        <is>
          <t>R1412-v2</t>
        </is>
      </c>
      <c r="B361" s="12" t="inlineStr">
        <is>
          <t>CST-05-010</t>
        </is>
      </c>
      <c r="C361" s="12" t="inlineStr">
        <is>
          <t>New</t>
        </is>
      </c>
      <c r="D361" s="12" t="inlineStr">
        <is>
          <t>Record first supplied in this revision</t>
        </is>
      </c>
      <c r="E361" s="12" t="inlineStr">
        <is>
          <t>Maya Chen, Owner Project Controls</t>
        </is>
      </c>
      <c r="F361" s="65" t="inlineStr">
        <is>
          <t>10 EVIDENCE &amp; DECISIONS</t>
        </is>
      </c>
      <c r="G361" s="14" t="n"/>
    </row>
    <row r="362" ht="79" customHeight="1">
      <c r="A362" s="12" t="inlineStr">
        <is>
          <t>R1413-v2</t>
        </is>
      </c>
      <c r="B362" s="12" t="inlineStr">
        <is>
          <t>CST-05-011</t>
        </is>
      </c>
      <c r="C362" s="12" t="inlineStr">
        <is>
          <t>New</t>
        </is>
      </c>
      <c r="D362" s="12" t="inlineStr">
        <is>
          <t>Record first supplied in this revision</t>
        </is>
      </c>
      <c r="E362" s="12" t="inlineStr">
        <is>
          <t>Maya Chen, Owner Project Controls</t>
        </is>
      </c>
      <c r="F362" s="65" t="inlineStr">
        <is>
          <t>10 EVIDENCE &amp; DECISIONS</t>
        </is>
      </c>
      <c r="G362" s="14" t="n"/>
    </row>
    <row r="363" ht="79" customHeight="1">
      <c r="A363" s="12" t="inlineStr">
        <is>
          <t>R1414-v2</t>
        </is>
      </c>
      <c r="B363" s="12" t="inlineStr">
        <is>
          <t>CST-05-012</t>
        </is>
      </c>
      <c r="C363" s="12" t="inlineStr">
        <is>
          <t>New</t>
        </is>
      </c>
      <c r="D363" s="12" t="inlineStr">
        <is>
          <t>Record first supplied in this revision</t>
        </is>
      </c>
      <c r="E363" s="12" t="inlineStr">
        <is>
          <t>Maya Chen, Owner Project Controls</t>
        </is>
      </c>
      <c r="F363" s="65" t="inlineStr">
        <is>
          <t>10 EVIDENCE &amp; DECISIONS</t>
        </is>
      </c>
      <c r="G363" s="14" t="n"/>
    </row>
    <row r="364" ht="79" customHeight="1">
      <c r="A364" s="12" t="inlineStr">
        <is>
          <t>R1415-v2</t>
        </is>
      </c>
      <c r="B364" s="12" t="inlineStr">
        <is>
          <t>CST-05-013</t>
        </is>
      </c>
      <c r="C364" s="12" t="inlineStr">
        <is>
          <t>New</t>
        </is>
      </c>
      <c r="D364" s="12" t="inlineStr">
        <is>
          <t>Record first supplied in this revision</t>
        </is>
      </c>
      <c r="E364" s="12" t="inlineStr">
        <is>
          <t>Maya Chen, Owner Project Controls</t>
        </is>
      </c>
      <c r="F364" s="65" t="inlineStr">
        <is>
          <t>10 EVIDENCE &amp; DECISIONS</t>
        </is>
      </c>
      <c r="G364" s="14" t="n"/>
    </row>
    <row r="365" ht="79" customHeight="1">
      <c r="A365" s="12" t="inlineStr">
        <is>
          <t>R1416-v2</t>
        </is>
      </c>
      <c r="B365" s="12" t="inlineStr">
        <is>
          <t>CST-05-014</t>
        </is>
      </c>
      <c r="C365" s="12" t="inlineStr">
        <is>
          <t>New</t>
        </is>
      </c>
      <c r="D365" s="12" t="inlineStr">
        <is>
          <t>Record first supplied in this revision</t>
        </is>
      </c>
      <c r="E365" s="12" t="inlineStr">
        <is>
          <t>Maya Chen, Owner Project Controls</t>
        </is>
      </c>
      <c r="F365" s="65" t="inlineStr">
        <is>
          <t>10 EVIDENCE &amp; DECISIONS</t>
        </is>
      </c>
      <c r="G365" s="14" t="n"/>
    </row>
    <row r="366" ht="79" customHeight="1">
      <c r="A366" s="12" t="inlineStr">
        <is>
          <t>R1417-v2</t>
        </is>
      </c>
      <c r="B366" s="12" t="inlineStr">
        <is>
          <t>CST-05-015</t>
        </is>
      </c>
      <c r="C366" s="12" t="inlineStr">
        <is>
          <t>New</t>
        </is>
      </c>
      <c r="D366" s="12" t="inlineStr">
        <is>
          <t>Record first supplied in this revision</t>
        </is>
      </c>
      <c r="E366" s="12" t="inlineStr">
        <is>
          <t>Maya Chen, Owner Project Controls</t>
        </is>
      </c>
      <c r="F366" s="65" t="inlineStr">
        <is>
          <t>10 EVIDENCE &amp; DECISIONS</t>
        </is>
      </c>
      <c r="G366" s="14" t="n"/>
    </row>
    <row r="367" ht="79" customHeight="1">
      <c r="A367" s="12" t="inlineStr">
        <is>
          <t>R1418-v2</t>
        </is>
      </c>
      <c r="B367" s="12" t="inlineStr">
        <is>
          <t>CST-05-016</t>
        </is>
      </c>
      <c r="C367" s="12" t="inlineStr">
        <is>
          <t>New</t>
        </is>
      </c>
      <c r="D367" s="12" t="inlineStr">
        <is>
          <t>Record first supplied in this revision</t>
        </is>
      </c>
      <c r="E367" s="12" t="inlineStr">
        <is>
          <t>Maya Chen, Owner Project Controls</t>
        </is>
      </c>
      <c r="F367" s="65" t="inlineStr">
        <is>
          <t>10 EVIDENCE &amp; DECISIONS</t>
        </is>
      </c>
      <c r="G367" s="14" t="n"/>
    </row>
    <row r="368" ht="79" customHeight="1">
      <c r="A368" s="12" t="inlineStr">
        <is>
          <t>R1419-v2</t>
        </is>
      </c>
      <c r="B368" s="12" t="inlineStr">
        <is>
          <t>CST-05-017</t>
        </is>
      </c>
      <c r="C368" s="12" t="inlineStr">
        <is>
          <t>New</t>
        </is>
      </c>
      <c r="D368" s="12" t="inlineStr">
        <is>
          <t>Record first supplied in this revision</t>
        </is>
      </c>
      <c r="E368" s="12" t="inlineStr">
        <is>
          <t>Maya Chen, Owner Project Controls</t>
        </is>
      </c>
      <c r="F368" s="65" t="inlineStr">
        <is>
          <t>10 EVIDENCE &amp; DECISIONS</t>
        </is>
      </c>
      <c r="G368" s="14" t="n"/>
    </row>
    <row r="369" ht="79" customHeight="1">
      <c r="A369" s="12" t="inlineStr">
        <is>
          <t>R1420-v2</t>
        </is>
      </c>
      <c r="B369" s="12" t="inlineStr">
        <is>
          <t>CST-05-018</t>
        </is>
      </c>
      <c r="C369" s="12" t="inlineStr">
        <is>
          <t>New</t>
        </is>
      </c>
      <c r="D369" s="12" t="inlineStr">
        <is>
          <t>Record first supplied in this revision</t>
        </is>
      </c>
      <c r="E369" s="12" t="inlineStr">
        <is>
          <t>Maya Chen, Owner Project Controls</t>
        </is>
      </c>
      <c r="F369" s="65" t="inlineStr">
        <is>
          <t>10 EVIDENCE &amp; DECISIONS</t>
        </is>
      </c>
      <c r="G369" s="14" t="n"/>
    </row>
    <row r="370" ht="79" customHeight="1">
      <c r="A370" s="12" t="inlineStr">
        <is>
          <t>R1421-v2</t>
        </is>
      </c>
      <c r="B370" s="12" t="inlineStr">
        <is>
          <t>CST-05-019</t>
        </is>
      </c>
      <c r="C370" s="12" t="inlineStr">
        <is>
          <t>New</t>
        </is>
      </c>
      <c r="D370" s="12" t="inlineStr">
        <is>
          <t>Record first supplied in this revision</t>
        </is>
      </c>
      <c r="E370" s="12" t="inlineStr">
        <is>
          <t>Maya Chen, Owner Project Controls</t>
        </is>
      </c>
      <c r="F370" s="65" t="inlineStr">
        <is>
          <t>10 EVIDENCE &amp; DECISIONS</t>
        </is>
      </c>
      <c r="G370" s="14" t="n"/>
    </row>
    <row r="371" ht="79" customHeight="1">
      <c r="A371" s="12" t="inlineStr">
        <is>
          <t>R1422-v2</t>
        </is>
      </c>
      <c r="B371" s="12" t="inlineStr">
        <is>
          <t>CST-05-020</t>
        </is>
      </c>
      <c r="C371" s="12" t="inlineStr">
        <is>
          <t>New</t>
        </is>
      </c>
      <c r="D371" s="12" t="inlineStr">
        <is>
          <t>Record first supplied in this revision</t>
        </is>
      </c>
      <c r="E371" s="12" t="inlineStr">
        <is>
          <t>Maya Chen, Owner Project Controls</t>
        </is>
      </c>
      <c r="F371" s="65" t="inlineStr">
        <is>
          <t>10 EVIDENCE &amp; DECISIONS</t>
        </is>
      </c>
      <c r="G371" s="14" t="n"/>
    </row>
    <row r="372" ht="79" customHeight="1">
      <c r="A372" s="12" t="inlineStr">
        <is>
          <t>R1423-v2</t>
        </is>
      </c>
      <c r="B372" s="12" t="inlineStr">
        <is>
          <t>CST-05-021</t>
        </is>
      </c>
      <c r="C372" s="12" t="inlineStr">
        <is>
          <t>New</t>
        </is>
      </c>
      <c r="D372" s="12" t="inlineStr">
        <is>
          <t>Record first supplied in this revision</t>
        </is>
      </c>
      <c r="E372" s="12" t="inlineStr">
        <is>
          <t>Maya Chen, Owner Project Controls</t>
        </is>
      </c>
      <c r="F372" s="65" t="inlineStr">
        <is>
          <t>10 EVIDENCE &amp; DECISIONS</t>
        </is>
      </c>
      <c r="G372" s="14" t="n"/>
    </row>
    <row r="373" ht="79" customHeight="1">
      <c r="A373" s="12" t="inlineStr">
        <is>
          <t>R1424-v2</t>
        </is>
      </c>
      <c r="B373" s="12" t="inlineStr">
        <is>
          <t>CST-05-022</t>
        </is>
      </c>
      <c r="C373" s="12" t="inlineStr">
        <is>
          <t>New</t>
        </is>
      </c>
      <c r="D373" s="12" t="inlineStr">
        <is>
          <t>Record first supplied in this revision</t>
        </is>
      </c>
      <c r="E373" s="12" t="inlineStr">
        <is>
          <t>Maya Chen, Owner Project Controls</t>
        </is>
      </c>
      <c r="F373" s="65" t="inlineStr">
        <is>
          <t>10 EVIDENCE &amp; DECISIONS</t>
        </is>
      </c>
      <c r="G373" s="14" t="n"/>
    </row>
    <row r="374" ht="79" customHeight="1">
      <c r="A374" s="12" t="inlineStr">
        <is>
          <t>R1425-v2</t>
        </is>
      </c>
      <c r="B374" s="12" t="inlineStr">
        <is>
          <t>CST-05-023</t>
        </is>
      </c>
      <c r="C374" s="12" t="inlineStr">
        <is>
          <t>New</t>
        </is>
      </c>
      <c r="D374" s="12" t="inlineStr">
        <is>
          <t>Record first supplied in this revision</t>
        </is>
      </c>
      <c r="E374" s="12" t="inlineStr">
        <is>
          <t>Maya Chen, Owner Project Controls</t>
        </is>
      </c>
      <c r="F374" s="65" t="inlineStr">
        <is>
          <t>10 EVIDENCE &amp; DECISIONS</t>
        </is>
      </c>
      <c r="G374" s="14" t="n"/>
    </row>
    <row r="375" ht="79" customHeight="1">
      <c r="A375" s="12" t="inlineStr">
        <is>
          <t>R1426-v2</t>
        </is>
      </c>
      <c r="B375" s="12" t="inlineStr">
        <is>
          <t>CST-05-024</t>
        </is>
      </c>
      <c r="C375" s="12" t="inlineStr">
        <is>
          <t>New</t>
        </is>
      </c>
      <c r="D375" s="12" t="inlineStr">
        <is>
          <t>Record first supplied in this revision</t>
        </is>
      </c>
      <c r="E375" s="12" t="inlineStr">
        <is>
          <t>Maya Chen, Owner Project Controls</t>
        </is>
      </c>
      <c r="F375" s="65" t="inlineStr">
        <is>
          <t>10 EVIDENCE &amp; DECISIONS</t>
        </is>
      </c>
      <c r="G375" s="14" t="n"/>
    </row>
    <row r="376" ht="79" customHeight="1">
      <c r="A376" s="12" t="inlineStr">
        <is>
          <t>R1427-v2</t>
        </is>
      </c>
      <c r="B376" s="12" t="inlineStr">
        <is>
          <t>CST-05-025</t>
        </is>
      </c>
      <c r="C376" s="12" t="inlineStr">
        <is>
          <t>New</t>
        </is>
      </c>
      <c r="D376" s="12" t="inlineStr">
        <is>
          <t>Record first supplied in this revision</t>
        </is>
      </c>
      <c r="E376" s="12" t="inlineStr">
        <is>
          <t>Maya Chen, Owner Project Controls</t>
        </is>
      </c>
      <c r="F376" s="65" t="inlineStr">
        <is>
          <t>10 EVIDENCE &amp; DECISIONS</t>
        </is>
      </c>
      <c r="G376" s="14" t="n"/>
    </row>
    <row r="377" ht="79" customHeight="1">
      <c r="A377" s="12" t="inlineStr">
        <is>
          <t>R1428-v2</t>
        </is>
      </c>
      <c r="B377" s="12" t="inlineStr">
        <is>
          <t>CST-05-026</t>
        </is>
      </c>
      <c r="C377" s="12" t="inlineStr">
        <is>
          <t>New</t>
        </is>
      </c>
      <c r="D377" s="12" t="inlineStr">
        <is>
          <t>Record first supplied in this revision</t>
        </is>
      </c>
      <c r="E377" s="12" t="inlineStr">
        <is>
          <t>Maya Chen, Owner Project Controls</t>
        </is>
      </c>
      <c r="F377" s="65" t="inlineStr">
        <is>
          <t>10 EVIDENCE &amp; DECISIONS</t>
        </is>
      </c>
      <c r="G377" s="14" t="n"/>
    </row>
    <row r="378" ht="79" customHeight="1">
      <c r="A378" s="12" t="inlineStr">
        <is>
          <t>R1429-v2</t>
        </is>
      </c>
      <c r="B378" s="12" t="inlineStr">
        <is>
          <t>CST-05-027</t>
        </is>
      </c>
      <c r="C378" s="12" t="inlineStr">
        <is>
          <t>New</t>
        </is>
      </c>
      <c r="D378" s="12" t="inlineStr">
        <is>
          <t>Record first supplied in this revision</t>
        </is>
      </c>
      <c r="E378" s="12" t="inlineStr">
        <is>
          <t>Maya Chen, Owner Project Controls</t>
        </is>
      </c>
      <c r="F378" s="65" t="inlineStr">
        <is>
          <t>10 EVIDENCE &amp; DECISIONS</t>
        </is>
      </c>
      <c r="G378" s="14" t="n"/>
    </row>
    <row r="379" ht="79" customHeight="1">
      <c r="A379" s="12" t="inlineStr">
        <is>
          <t>R1430-v2</t>
        </is>
      </c>
      <c r="B379" s="12" t="inlineStr">
        <is>
          <t>CST-05-028</t>
        </is>
      </c>
      <c r="C379" s="12" t="inlineStr">
        <is>
          <t>New</t>
        </is>
      </c>
      <c r="D379" s="12" t="inlineStr">
        <is>
          <t>Record first supplied in this revision</t>
        </is>
      </c>
      <c r="E379" s="12" t="inlineStr">
        <is>
          <t>Maya Chen, Owner Project Controls</t>
        </is>
      </c>
      <c r="F379" s="65" t="inlineStr">
        <is>
          <t>10 EVIDENCE &amp; DECISIONS</t>
        </is>
      </c>
      <c r="G379" s="14" t="n"/>
    </row>
    <row r="380" ht="79" customHeight="1">
      <c r="A380" s="12" t="inlineStr">
        <is>
          <t>R1431-v2</t>
        </is>
      </c>
      <c r="B380" s="12" t="inlineStr">
        <is>
          <t>CST-05-029</t>
        </is>
      </c>
      <c r="C380" s="12" t="inlineStr">
        <is>
          <t>New</t>
        </is>
      </c>
      <c r="D380" s="12" t="inlineStr">
        <is>
          <t>Record first supplied in this revision</t>
        </is>
      </c>
      <c r="E380" s="12" t="inlineStr">
        <is>
          <t>Maya Chen, Owner Project Controls</t>
        </is>
      </c>
      <c r="F380" s="65" t="inlineStr">
        <is>
          <t>10 EVIDENCE &amp; DECISIONS</t>
        </is>
      </c>
      <c r="G380" s="14" t="n"/>
    </row>
    <row r="381" ht="79" customHeight="1">
      <c r="A381" s="12" t="inlineStr">
        <is>
          <t>R1432-v2</t>
        </is>
      </c>
      <c r="B381" s="12" t="inlineStr">
        <is>
          <t>CST-05-030</t>
        </is>
      </c>
      <c r="C381" s="12" t="inlineStr">
        <is>
          <t>New</t>
        </is>
      </c>
      <c r="D381" s="12" t="inlineStr">
        <is>
          <t>Record first supplied in this revision</t>
        </is>
      </c>
      <c r="E381" s="12" t="inlineStr">
        <is>
          <t>Maya Chen, Owner Project Controls</t>
        </is>
      </c>
      <c r="F381" s="65" t="inlineStr">
        <is>
          <t>10 EVIDENCE &amp; DECISIONS</t>
        </is>
      </c>
      <c r="G381" s="14" t="n"/>
    </row>
    <row r="382" ht="79" customHeight="1">
      <c r="A382" s="12" t="inlineStr">
        <is>
          <t>R1433-v2</t>
        </is>
      </c>
      <c r="B382" s="12" t="inlineStr">
        <is>
          <t>CST-05-031</t>
        </is>
      </c>
      <c r="C382" s="12" t="inlineStr">
        <is>
          <t>New</t>
        </is>
      </c>
      <c r="D382" s="12" t="inlineStr">
        <is>
          <t>Record first supplied in this revision</t>
        </is>
      </c>
      <c r="E382" s="12" t="inlineStr">
        <is>
          <t>Maya Chen, Owner Project Controls</t>
        </is>
      </c>
      <c r="F382" s="65" t="inlineStr">
        <is>
          <t>10 EVIDENCE &amp; DECISIONS</t>
        </is>
      </c>
      <c r="G382" s="14" t="n"/>
    </row>
    <row r="383" ht="79" customHeight="1">
      <c r="A383" s="12" t="inlineStr">
        <is>
          <t>R1434-v2</t>
        </is>
      </c>
      <c r="B383" s="12" t="inlineStr">
        <is>
          <t>CST-05-032</t>
        </is>
      </c>
      <c r="C383" s="12" t="inlineStr">
        <is>
          <t>New</t>
        </is>
      </c>
      <c r="D383" s="12" t="inlineStr">
        <is>
          <t>Record first supplied in this revision</t>
        </is>
      </c>
      <c r="E383" s="12" t="inlineStr">
        <is>
          <t>Maya Chen, Owner Project Controls</t>
        </is>
      </c>
      <c r="F383" s="65" t="inlineStr">
        <is>
          <t>10 EVIDENCE &amp; DECISIONS</t>
        </is>
      </c>
      <c r="G383" s="14" t="n"/>
    </row>
    <row r="384" ht="79" customHeight="1">
      <c r="A384" s="12" t="inlineStr">
        <is>
          <t>R1435-v2</t>
        </is>
      </c>
      <c r="B384" s="12" t="inlineStr">
        <is>
          <t>CST-05-033</t>
        </is>
      </c>
      <c r="C384" s="12" t="inlineStr">
        <is>
          <t>New</t>
        </is>
      </c>
      <c r="D384" s="12" t="inlineStr">
        <is>
          <t>Record first supplied in this revision</t>
        </is>
      </c>
      <c r="E384" s="12" t="inlineStr">
        <is>
          <t>Maya Chen, Owner Project Controls</t>
        </is>
      </c>
      <c r="F384" s="65" t="inlineStr">
        <is>
          <t>10 EVIDENCE &amp; DECISIONS</t>
        </is>
      </c>
      <c r="G384" s="14" t="n"/>
    </row>
    <row r="385" ht="79" customHeight="1">
      <c r="A385" s="12" t="inlineStr">
        <is>
          <t>R1436-v2</t>
        </is>
      </c>
      <c r="B385" s="12" t="inlineStr">
        <is>
          <t>CST-05-034</t>
        </is>
      </c>
      <c r="C385" s="12" t="inlineStr">
        <is>
          <t>New</t>
        </is>
      </c>
      <c r="D385" s="12" t="inlineStr">
        <is>
          <t>Record first supplied in this revision</t>
        </is>
      </c>
      <c r="E385" s="12" t="inlineStr">
        <is>
          <t>Maya Chen, Owner Project Controls</t>
        </is>
      </c>
      <c r="F385" s="65" t="inlineStr">
        <is>
          <t>10 EVIDENCE &amp; DECISIONS</t>
        </is>
      </c>
      <c r="G385" s="14" t="n"/>
    </row>
    <row r="386" ht="79" customHeight="1">
      <c r="A386" s="12" t="inlineStr">
        <is>
          <t>R1437-v2</t>
        </is>
      </c>
      <c r="B386" s="12" t="inlineStr">
        <is>
          <t>CST-05-035</t>
        </is>
      </c>
      <c r="C386" s="12" t="inlineStr">
        <is>
          <t>New</t>
        </is>
      </c>
      <c r="D386" s="12" t="inlineStr">
        <is>
          <t>Record first supplied in this revision</t>
        </is>
      </c>
      <c r="E386" s="12" t="inlineStr">
        <is>
          <t>Maya Chen, Owner Project Controls</t>
        </is>
      </c>
      <c r="F386" s="65" t="inlineStr">
        <is>
          <t>10 EVIDENCE &amp; DECISIONS</t>
        </is>
      </c>
      <c r="G386" s="14" t="n"/>
    </row>
    <row r="387" ht="79" customHeight="1">
      <c r="A387" s="12" t="inlineStr">
        <is>
          <t>R1438-v2</t>
        </is>
      </c>
      <c r="B387" s="12" t="inlineStr">
        <is>
          <t>CST-05-036</t>
        </is>
      </c>
      <c r="C387" s="12" t="inlineStr">
        <is>
          <t>New</t>
        </is>
      </c>
      <c r="D387" s="12" t="inlineStr">
        <is>
          <t>Record first supplied in this revision</t>
        </is>
      </c>
      <c r="E387" s="12" t="inlineStr">
        <is>
          <t>Maya Chen, Owner Project Controls</t>
        </is>
      </c>
      <c r="F387" s="65" t="inlineStr">
        <is>
          <t>10 EVIDENCE &amp; DECISIONS</t>
        </is>
      </c>
      <c r="G387" s="14" t="n"/>
    </row>
    <row r="388" ht="79" customHeight="1">
      <c r="A388" s="12" t="inlineStr">
        <is>
          <t>R1439-v2</t>
        </is>
      </c>
      <c r="B388" s="12" t="inlineStr">
        <is>
          <t>CST-05-037</t>
        </is>
      </c>
      <c r="C388" s="12" t="inlineStr">
        <is>
          <t>New</t>
        </is>
      </c>
      <c r="D388" s="12" t="inlineStr">
        <is>
          <t>Record first supplied in this revision</t>
        </is>
      </c>
      <c r="E388" s="12" t="inlineStr">
        <is>
          <t>Maya Chen, Owner Project Controls</t>
        </is>
      </c>
      <c r="F388" s="65" t="inlineStr">
        <is>
          <t>10 EVIDENCE &amp; DECISIONS</t>
        </is>
      </c>
      <c r="G388" s="14" t="n"/>
    </row>
    <row r="389" ht="79" customHeight="1">
      <c r="A389" s="12" t="inlineStr">
        <is>
          <t>R1440-v2</t>
        </is>
      </c>
      <c r="B389" s="12" t="inlineStr">
        <is>
          <t>CST-05-038</t>
        </is>
      </c>
      <c r="C389" s="12" t="inlineStr">
        <is>
          <t>New</t>
        </is>
      </c>
      <c r="D389" s="12" t="inlineStr">
        <is>
          <t>Record first supplied in this revision</t>
        </is>
      </c>
      <c r="E389" s="12" t="inlineStr">
        <is>
          <t>Maya Chen, Owner Project Controls</t>
        </is>
      </c>
      <c r="F389" s="65" t="inlineStr">
        <is>
          <t>10 EVIDENCE &amp; DECISIONS</t>
        </is>
      </c>
      <c r="G389" s="14" t="n"/>
    </row>
    <row r="390" ht="79" customHeight="1">
      <c r="A390" s="12" t="inlineStr">
        <is>
          <t>R1441-v2</t>
        </is>
      </c>
      <c r="B390" s="12" t="inlineStr">
        <is>
          <t>CST-05-039</t>
        </is>
      </c>
      <c r="C390" s="12" t="inlineStr">
        <is>
          <t>New</t>
        </is>
      </c>
      <c r="D390" s="12" t="inlineStr">
        <is>
          <t>Record first supplied in this revision</t>
        </is>
      </c>
      <c r="E390" s="12" t="inlineStr">
        <is>
          <t>Maya Chen, Owner Project Controls</t>
        </is>
      </c>
      <c r="F390" s="65" t="inlineStr">
        <is>
          <t>10 EVIDENCE &amp; DECISIONS</t>
        </is>
      </c>
      <c r="G390" s="14" t="n"/>
    </row>
    <row r="391" ht="79" customHeight="1">
      <c r="A391" s="12" t="inlineStr">
        <is>
          <t>R1442-v2</t>
        </is>
      </c>
      <c r="B391" s="12" t="inlineStr">
        <is>
          <t>CST-05-040</t>
        </is>
      </c>
      <c r="C391" s="12" t="inlineStr">
        <is>
          <t>New</t>
        </is>
      </c>
      <c r="D391" s="12" t="inlineStr">
        <is>
          <t>Record first supplied in this revision</t>
        </is>
      </c>
      <c r="E391" s="12" t="inlineStr">
        <is>
          <t>Maya Chen, Owner Project Controls</t>
        </is>
      </c>
      <c r="F391" s="65" t="inlineStr">
        <is>
          <t>10 EVIDENCE &amp; DECISIONS</t>
        </is>
      </c>
      <c r="G391" s="14" t="n"/>
    </row>
    <row r="392" ht="79" customHeight="1">
      <c r="A392" s="12" t="inlineStr">
        <is>
          <t>R1443-v2</t>
        </is>
      </c>
      <c r="B392" s="12" t="inlineStr">
        <is>
          <t>CST-05-041</t>
        </is>
      </c>
      <c r="C392" s="12" t="inlineStr">
        <is>
          <t>New</t>
        </is>
      </c>
      <c r="D392" s="12" t="inlineStr">
        <is>
          <t>Record first supplied in this revision</t>
        </is>
      </c>
      <c r="E392" s="12" t="inlineStr">
        <is>
          <t>Maya Chen, Owner Project Controls</t>
        </is>
      </c>
      <c r="F392" s="65" t="inlineStr">
        <is>
          <t>10 EVIDENCE &amp; DECISIONS</t>
        </is>
      </c>
      <c r="G392" s="14" t="n"/>
    </row>
    <row r="393" ht="79" customHeight="1">
      <c r="A393" s="12" t="inlineStr">
        <is>
          <t>R1444-v2</t>
        </is>
      </c>
      <c r="B393" s="12" t="inlineStr">
        <is>
          <t>CST-05-042</t>
        </is>
      </c>
      <c r="C393" s="12" t="inlineStr">
        <is>
          <t>New</t>
        </is>
      </c>
      <c r="D393" s="12" t="inlineStr">
        <is>
          <t>Record first supplied in this revision</t>
        </is>
      </c>
      <c r="E393" s="12" t="inlineStr">
        <is>
          <t>Maya Chen, Owner Project Controls</t>
        </is>
      </c>
      <c r="F393" s="65" t="inlineStr">
        <is>
          <t>10 EVIDENCE &amp; DECISIONS</t>
        </is>
      </c>
      <c r="G393" s="14" t="n"/>
    </row>
    <row r="394" ht="79" customHeight="1">
      <c r="A394" s="12" t="inlineStr">
        <is>
          <t>R1445-v2</t>
        </is>
      </c>
      <c r="B394" s="12" t="inlineStr">
        <is>
          <t>CST-05-043</t>
        </is>
      </c>
      <c r="C394" s="12" t="inlineStr">
        <is>
          <t>New</t>
        </is>
      </c>
      <c r="D394" s="12" t="inlineStr">
        <is>
          <t>Record first supplied in this revision</t>
        </is>
      </c>
      <c r="E394" s="12" t="inlineStr">
        <is>
          <t>Maya Chen, Owner Project Controls</t>
        </is>
      </c>
      <c r="F394" s="65" t="inlineStr">
        <is>
          <t>10 EVIDENCE &amp; DECISIONS</t>
        </is>
      </c>
      <c r="G394" s="14" t="n"/>
    </row>
    <row r="395" ht="79" customHeight="1">
      <c r="A395" s="12" t="inlineStr">
        <is>
          <t>R1446-v2</t>
        </is>
      </c>
      <c r="B395" s="12" t="inlineStr">
        <is>
          <t>CST-05-044</t>
        </is>
      </c>
      <c r="C395" s="12" t="inlineStr">
        <is>
          <t>New</t>
        </is>
      </c>
      <c r="D395" s="12" t="inlineStr">
        <is>
          <t>Record first supplied in this revision</t>
        </is>
      </c>
      <c r="E395" s="12" t="inlineStr">
        <is>
          <t>Maya Chen, Owner Project Controls</t>
        </is>
      </c>
      <c r="F395" s="65" t="inlineStr">
        <is>
          <t>10 EVIDENCE &amp; DECISIONS</t>
        </is>
      </c>
      <c r="G395" s="14" t="n"/>
    </row>
    <row r="396" ht="79" customHeight="1">
      <c r="A396" s="12" t="inlineStr">
        <is>
          <t>R1447-v2</t>
        </is>
      </c>
      <c r="B396" s="12" t="inlineStr">
        <is>
          <t>CST-05-045</t>
        </is>
      </c>
      <c r="C396" s="12" t="inlineStr">
        <is>
          <t>New</t>
        </is>
      </c>
      <c r="D396" s="12" t="inlineStr">
        <is>
          <t>Record first supplied in this revision</t>
        </is>
      </c>
      <c r="E396" s="12" t="inlineStr">
        <is>
          <t>Maya Chen, Owner Project Controls</t>
        </is>
      </c>
      <c r="F396" s="65" t="inlineStr">
        <is>
          <t>10 EVIDENCE &amp; DECISIONS</t>
        </is>
      </c>
      <c r="G396" s="14" t="n"/>
    </row>
    <row r="397" ht="79" customHeight="1">
      <c r="A397" s="12" t="inlineStr">
        <is>
          <t>R1448-v2</t>
        </is>
      </c>
      <c r="B397" s="12" t="inlineStr">
        <is>
          <t>CST-05-046</t>
        </is>
      </c>
      <c r="C397" s="12" t="inlineStr">
        <is>
          <t>New</t>
        </is>
      </c>
      <c r="D397" s="12" t="inlineStr">
        <is>
          <t>Record first supplied in this revision</t>
        </is>
      </c>
      <c r="E397" s="12" t="inlineStr">
        <is>
          <t>Maya Chen, Owner Project Controls</t>
        </is>
      </c>
      <c r="F397" s="65" t="inlineStr">
        <is>
          <t>10 EVIDENCE &amp; DECISIONS</t>
        </is>
      </c>
      <c r="G397" s="14" t="n"/>
    </row>
    <row r="398" ht="79" customHeight="1">
      <c r="A398" s="12" t="inlineStr">
        <is>
          <t>R1449-v2</t>
        </is>
      </c>
      <c r="B398" s="12" t="inlineStr">
        <is>
          <t>CST-05-047</t>
        </is>
      </c>
      <c r="C398" s="12" t="inlineStr">
        <is>
          <t>New</t>
        </is>
      </c>
      <c r="D398" s="12" t="inlineStr">
        <is>
          <t>Record first supplied in this revision</t>
        </is>
      </c>
      <c r="E398" s="12" t="inlineStr">
        <is>
          <t>Maya Chen, Owner Project Controls</t>
        </is>
      </c>
      <c r="F398" s="65" t="inlineStr">
        <is>
          <t>10 EVIDENCE &amp; DECISIONS</t>
        </is>
      </c>
      <c r="G398" s="14" t="n"/>
    </row>
    <row r="399" ht="79" customHeight="1">
      <c r="A399" s="12" t="inlineStr">
        <is>
          <t>R1450-v2</t>
        </is>
      </c>
      <c r="B399" s="12" t="inlineStr">
        <is>
          <t>CST-05-048</t>
        </is>
      </c>
      <c r="C399" s="12" t="inlineStr">
        <is>
          <t>New</t>
        </is>
      </c>
      <c r="D399" s="12" t="inlineStr">
        <is>
          <t>Record first supplied in this revision</t>
        </is>
      </c>
      <c r="E399" s="12" t="inlineStr">
        <is>
          <t>Maya Chen, Owner Project Controls</t>
        </is>
      </c>
      <c r="F399" s="65" t="inlineStr">
        <is>
          <t>10 EVIDENCE &amp; DECISIONS</t>
        </is>
      </c>
      <c r="G399" s="14" t="n"/>
    </row>
    <row r="400" ht="79" customHeight="1">
      <c r="A400" s="12" t="inlineStr">
        <is>
          <t>R1451-v2</t>
        </is>
      </c>
      <c r="B400" s="12" t="inlineStr">
        <is>
          <t>CST-05-049</t>
        </is>
      </c>
      <c r="C400" s="12" t="inlineStr">
        <is>
          <t>New</t>
        </is>
      </c>
      <c r="D400" s="12" t="inlineStr">
        <is>
          <t>Record first supplied in this revision</t>
        </is>
      </c>
      <c r="E400" s="12" t="inlineStr">
        <is>
          <t>Maya Chen, Owner Project Controls</t>
        </is>
      </c>
      <c r="F400" s="65" t="inlineStr">
        <is>
          <t>10 EVIDENCE &amp; DECISIONS</t>
        </is>
      </c>
      <c r="G400" s="14" t="n"/>
    </row>
    <row r="401" ht="79" customHeight="1">
      <c r="A401" s="12" t="inlineStr">
        <is>
          <t>R1452-v2</t>
        </is>
      </c>
      <c r="B401" s="12" t="inlineStr">
        <is>
          <t>CST-05-050</t>
        </is>
      </c>
      <c r="C401" s="12" t="inlineStr">
        <is>
          <t>New</t>
        </is>
      </c>
      <c r="D401" s="12" t="inlineStr">
        <is>
          <t>Record first supplied in this revision</t>
        </is>
      </c>
      <c r="E401" s="12" t="inlineStr">
        <is>
          <t>Maya Chen, Owner Project Controls</t>
        </is>
      </c>
      <c r="F401" s="65" t="inlineStr">
        <is>
          <t>10 EVIDENCE &amp; DECISIONS</t>
        </is>
      </c>
      <c r="G401" s="14" t="n"/>
    </row>
    <row r="402" ht="79" customHeight="1">
      <c r="A402" s="12" t="inlineStr">
        <is>
          <t>R1453-v2</t>
        </is>
      </c>
      <c r="B402" s="12" t="inlineStr">
        <is>
          <t>CST-05-051</t>
        </is>
      </c>
      <c r="C402" s="12" t="inlineStr">
        <is>
          <t>New</t>
        </is>
      </c>
      <c r="D402" s="12" t="inlineStr">
        <is>
          <t>Record first supplied in this revision</t>
        </is>
      </c>
      <c r="E402" s="12" t="inlineStr">
        <is>
          <t>Maya Chen, Owner Project Controls</t>
        </is>
      </c>
      <c r="F402" s="65" t="inlineStr">
        <is>
          <t>10 EVIDENCE &amp; DECISIONS</t>
        </is>
      </c>
      <c r="G402" s="14" t="n"/>
    </row>
    <row r="403" ht="79" customHeight="1">
      <c r="A403" s="12" t="inlineStr">
        <is>
          <t>R1454-v2</t>
        </is>
      </c>
      <c r="B403" s="12" t="inlineStr">
        <is>
          <t>CST-05-052</t>
        </is>
      </c>
      <c r="C403" s="12" t="inlineStr">
        <is>
          <t>New</t>
        </is>
      </c>
      <c r="D403" s="12" t="inlineStr">
        <is>
          <t>Record first supplied in this revision</t>
        </is>
      </c>
      <c r="E403" s="12" t="inlineStr">
        <is>
          <t>Maya Chen, Owner Project Controls</t>
        </is>
      </c>
      <c r="F403" s="65" t="inlineStr">
        <is>
          <t>10 EVIDENCE &amp; DECISIONS</t>
        </is>
      </c>
      <c r="G403" s="14" t="n"/>
    </row>
    <row r="404" ht="79" customHeight="1">
      <c r="A404" s="12" t="inlineStr">
        <is>
          <t>R1455-v2</t>
        </is>
      </c>
      <c r="B404" s="12" t="inlineStr">
        <is>
          <t>CST-05-053</t>
        </is>
      </c>
      <c r="C404" s="12" t="inlineStr">
        <is>
          <t>New</t>
        </is>
      </c>
      <c r="D404" s="12" t="inlineStr">
        <is>
          <t>Record first supplied in this revision</t>
        </is>
      </c>
      <c r="E404" s="12" t="inlineStr">
        <is>
          <t>Maya Chen, Owner Project Controls</t>
        </is>
      </c>
      <c r="F404" s="65" t="inlineStr">
        <is>
          <t>10 EVIDENCE &amp; DECISIONS</t>
        </is>
      </c>
      <c r="G404" s="14" t="n"/>
    </row>
    <row r="405" ht="79" customHeight="1">
      <c r="A405" s="12" t="inlineStr">
        <is>
          <t>R1456-v2</t>
        </is>
      </c>
      <c r="B405" s="12" t="inlineStr">
        <is>
          <t>CST-05-054</t>
        </is>
      </c>
      <c r="C405" s="12" t="inlineStr">
        <is>
          <t>New</t>
        </is>
      </c>
      <c r="D405" s="12" t="inlineStr">
        <is>
          <t>Record first supplied in this revision</t>
        </is>
      </c>
      <c r="E405" s="12" t="inlineStr">
        <is>
          <t>Maya Chen, Owner Project Controls</t>
        </is>
      </c>
      <c r="F405" s="65" t="inlineStr">
        <is>
          <t>10 EVIDENCE &amp; DECISIONS</t>
        </is>
      </c>
      <c r="G405" s="14" t="n"/>
    </row>
    <row r="406" ht="79" customHeight="1">
      <c r="A406" s="12" t="inlineStr">
        <is>
          <t>R1457-v2</t>
        </is>
      </c>
      <c r="B406" s="12" t="inlineStr">
        <is>
          <t>CST-05-055</t>
        </is>
      </c>
      <c r="C406" s="12" t="inlineStr">
        <is>
          <t>New</t>
        </is>
      </c>
      <c r="D406" s="12" t="inlineStr">
        <is>
          <t>Record first supplied in this revision</t>
        </is>
      </c>
      <c r="E406" s="12" t="inlineStr">
        <is>
          <t>Maya Chen, Owner Project Controls</t>
        </is>
      </c>
      <c r="F406" s="65" t="inlineStr">
        <is>
          <t>10 EVIDENCE &amp; DECISIONS</t>
        </is>
      </c>
      <c r="G406" s="14" t="n"/>
    </row>
    <row r="407" ht="79" customHeight="1">
      <c r="A407" s="12" t="inlineStr">
        <is>
          <t>R1458-v2</t>
        </is>
      </c>
      <c r="B407" s="12" t="inlineStr">
        <is>
          <t>CST-05-056</t>
        </is>
      </c>
      <c r="C407" s="12" t="inlineStr">
        <is>
          <t>New</t>
        </is>
      </c>
      <c r="D407" s="12" t="inlineStr">
        <is>
          <t>Record first supplied in this revision</t>
        </is>
      </c>
      <c r="E407" s="12" t="inlineStr">
        <is>
          <t>Maya Chen, Owner Project Controls</t>
        </is>
      </c>
      <c r="F407" s="65" t="inlineStr">
        <is>
          <t>10 EVIDENCE &amp; DECISIONS</t>
        </is>
      </c>
      <c r="G407" s="14" t="n"/>
    </row>
    <row r="408" ht="79" customHeight="1">
      <c r="A408" s="12" t="inlineStr">
        <is>
          <t>R1459-v2</t>
        </is>
      </c>
      <c r="B408" s="12" t="inlineStr">
        <is>
          <t>CST-05-057</t>
        </is>
      </c>
      <c r="C408" s="12" t="inlineStr">
        <is>
          <t>New</t>
        </is>
      </c>
      <c r="D408" s="12" t="inlineStr">
        <is>
          <t>Record first supplied in this revision</t>
        </is>
      </c>
      <c r="E408" s="12" t="inlineStr">
        <is>
          <t>Maya Chen, Owner Project Controls</t>
        </is>
      </c>
      <c r="F408" s="65" t="inlineStr">
        <is>
          <t>10 EVIDENCE &amp; DECISIONS</t>
        </is>
      </c>
      <c r="G408" s="14" t="n"/>
    </row>
    <row r="409" ht="79" customHeight="1">
      <c r="A409" s="12" t="inlineStr">
        <is>
          <t>R1460-v2</t>
        </is>
      </c>
      <c r="B409" s="12" t="inlineStr">
        <is>
          <t>CST-05-058</t>
        </is>
      </c>
      <c r="C409" s="12" t="inlineStr">
        <is>
          <t>New</t>
        </is>
      </c>
      <c r="D409" s="12" t="inlineStr">
        <is>
          <t>Record first supplied in this revision</t>
        </is>
      </c>
      <c r="E409" s="12" t="inlineStr">
        <is>
          <t>Maya Chen, Owner Project Controls</t>
        </is>
      </c>
      <c r="F409" s="65" t="inlineStr">
        <is>
          <t>10 EVIDENCE &amp; DECISIONS</t>
        </is>
      </c>
      <c r="G409" s="14" t="n"/>
    </row>
    <row r="410" ht="79" customHeight="1">
      <c r="A410" s="12" t="inlineStr">
        <is>
          <t>R1461-v2</t>
        </is>
      </c>
      <c r="B410" s="12" t="inlineStr">
        <is>
          <t>CST-05-059</t>
        </is>
      </c>
      <c r="C410" s="12" t="inlineStr">
        <is>
          <t>New</t>
        </is>
      </c>
      <c r="D410" s="12" t="inlineStr">
        <is>
          <t>Record first supplied in this revision</t>
        </is>
      </c>
      <c r="E410" s="12" t="inlineStr">
        <is>
          <t>Maya Chen, Owner Project Controls</t>
        </is>
      </c>
      <c r="F410" s="65" t="inlineStr">
        <is>
          <t>10 EVIDENCE &amp; DECISIONS</t>
        </is>
      </c>
      <c r="G410" s="14" t="n"/>
    </row>
    <row r="411" ht="79" customHeight="1">
      <c r="A411" s="12" t="inlineStr">
        <is>
          <t>R1462-v2</t>
        </is>
      </c>
      <c r="B411" s="12" t="inlineStr">
        <is>
          <t>CST-05-060</t>
        </is>
      </c>
      <c r="C411" s="12" t="inlineStr">
        <is>
          <t>New</t>
        </is>
      </c>
      <c r="D411" s="12" t="inlineStr">
        <is>
          <t>Record first supplied in this revision</t>
        </is>
      </c>
      <c r="E411" s="12" t="inlineStr">
        <is>
          <t>Maya Chen, Owner Project Controls</t>
        </is>
      </c>
      <c r="F411" s="65" t="inlineStr">
        <is>
          <t>10 EVIDENCE &amp; DECISIONS</t>
        </is>
      </c>
      <c r="G411" s="14" t="n"/>
    </row>
    <row r="412" ht="79" customHeight="1">
      <c r="A412" s="12" t="inlineStr">
        <is>
          <t>R1463-v2</t>
        </is>
      </c>
      <c r="B412" s="12" t="inlineStr">
        <is>
          <t>CST-05-061</t>
        </is>
      </c>
      <c r="C412" s="12" t="inlineStr">
        <is>
          <t>New</t>
        </is>
      </c>
      <c r="D412" s="12" t="inlineStr">
        <is>
          <t>Record first supplied in this revision</t>
        </is>
      </c>
      <c r="E412" s="12" t="inlineStr">
        <is>
          <t>Maya Chen, Owner Project Controls</t>
        </is>
      </c>
      <c r="F412" s="65" t="inlineStr">
        <is>
          <t>10 EVIDENCE &amp; DECISIONS</t>
        </is>
      </c>
      <c r="G412" s="14" t="n"/>
    </row>
    <row r="413" ht="79" customHeight="1">
      <c r="A413" s="12" t="inlineStr">
        <is>
          <t>R1464-v2</t>
        </is>
      </c>
      <c r="B413" s="12" t="inlineStr">
        <is>
          <t>CST-05-062</t>
        </is>
      </c>
      <c r="C413" s="12" t="inlineStr">
        <is>
          <t>New</t>
        </is>
      </c>
      <c r="D413" s="12" t="inlineStr">
        <is>
          <t>Record first supplied in this revision</t>
        </is>
      </c>
      <c r="E413" s="12" t="inlineStr">
        <is>
          <t>Maya Chen, Owner Project Controls</t>
        </is>
      </c>
      <c r="F413" s="65" t="inlineStr">
        <is>
          <t>10 EVIDENCE &amp; DECISIONS</t>
        </is>
      </c>
      <c r="G413" s="14" t="n"/>
    </row>
    <row r="414" ht="79" customHeight="1">
      <c r="A414" s="12" t="inlineStr">
        <is>
          <t>R1465-v2</t>
        </is>
      </c>
      <c r="B414" s="12" t="inlineStr">
        <is>
          <t>CST-05-063</t>
        </is>
      </c>
      <c r="C414" s="12" t="inlineStr">
        <is>
          <t>New</t>
        </is>
      </c>
      <c r="D414" s="12" t="inlineStr">
        <is>
          <t>Record first supplied in this revision</t>
        </is>
      </c>
      <c r="E414" s="12" t="inlineStr">
        <is>
          <t>Maya Chen, Owner Project Controls</t>
        </is>
      </c>
      <c r="F414" s="65" t="inlineStr">
        <is>
          <t>10 EVIDENCE &amp; DECISIONS</t>
        </is>
      </c>
      <c r="G414" s="14" t="n"/>
    </row>
    <row r="415" ht="79" customHeight="1">
      <c r="A415" s="12" t="inlineStr">
        <is>
          <t>R1466-v2</t>
        </is>
      </c>
      <c r="B415" s="12" t="inlineStr">
        <is>
          <t>CST-05-064</t>
        </is>
      </c>
      <c r="C415" s="12" t="inlineStr">
        <is>
          <t>New</t>
        </is>
      </c>
      <c r="D415" s="12" t="inlineStr">
        <is>
          <t>Record first supplied in this revision</t>
        </is>
      </c>
      <c r="E415" s="12" t="inlineStr">
        <is>
          <t>Maya Chen, Owner Project Controls</t>
        </is>
      </c>
      <c r="F415" s="65" t="inlineStr">
        <is>
          <t>10 EVIDENCE &amp; DECISIONS</t>
        </is>
      </c>
      <c r="G415" s="14" t="n"/>
    </row>
    <row r="416" ht="79" customHeight="1">
      <c r="A416" s="12" t="inlineStr">
        <is>
          <t>R1467-v2</t>
        </is>
      </c>
      <c r="B416" s="12" t="inlineStr">
        <is>
          <t>CST-05-065</t>
        </is>
      </c>
      <c r="C416" s="12" t="inlineStr">
        <is>
          <t>New</t>
        </is>
      </c>
      <c r="D416" s="12" t="inlineStr">
        <is>
          <t>Record first supplied in this revision</t>
        </is>
      </c>
      <c r="E416" s="12" t="inlineStr">
        <is>
          <t>Maya Chen, Owner Project Controls</t>
        </is>
      </c>
      <c r="F416" s="65" t="inlineStr">
        <is>
          <t>10 EVIDENCE &amp; DECISIONS</t>
        </is>
      </c>
      <c r="G416" s="14" t="n"/>
    </row>
    <row r="417" ht="79" customHeight="1">
      <c r="A417" s="12" t="inlineStr">
        <is>
          <t>R1468-v2</t>
        </is>
      </c>
      <c r="B417" s="12" t="inlineStr">
        <is>
          <t>CST-05-066</t>
        </is>
      </c>
      <c r="C417" s="12" t="inlineStr">
        <is>
          <t>New</t>
        </is>
      </c>
      <c r="D417" s="12" t="inlineStr">
        <is>
          <t>Record first supplied in this revision</t>
        </is>
      </c>
      <c r="E417" s="12" t="inlineStr">
        <is>
          <t>Maya Chen, Owner Project Controls</t>
        </is>
      </c>
      <c r="F417" s="65" t="inlineStr">
        <is>
          <t>10 EVIDENCE &amp; DECISIONS</t>
        </is>
      </c>
      <c r="G417" s="14" t="n"/>
    </row>
    <row r="418" ht="79" customHeight="1">
      <c r="A418" s="12" t="inlineStr">
        <is>
          <t>R1469-v2</t>
        </is>
      </c>
      <c r="B418" s="12" t="inlineStr">
        <is>
          <t>CST-05-067</t>
        </is>
      </c>
      <c r="C418" s="12" t="inlineStr">
        <is>
          <t>New</t>
        </is>
      </c>
      <c r="D418" s="12" t="inlineStr">
        <is>
          <t>Record first supplied in this revision</t>
        </is>
      </c>
      <c r="E418" s="12" t="inlineStr">
        <is>
          <t>Maya Chen, Owner Project Controls</t>
        </is>
      </c>
      <c r="F418" s="65" t="inlineStr">
        <is>
          <t>10 EVIDENCE &amp; DECISIONS</t>
        </is>
      </c>
      <c r="G418" s="14" t="n"/>
    </row>
    <row r="419" ht="79" customHeight="1">
      <c r="A419" s="12" t="inlineStr">
        <is>
          <t>R1470-v2</t>
        </is>
      </c>
      <c r="B419" s="12" t="inlineStr">
        <is>
          <t>CST-05-068</t>
        </is>
      </c>
      <c r="C419" s="12" t="inlineStr">
        <is>
          <t>New</t>
        </is>
      </c>
      <c r="D419" s="12" t="inlineStr">
        <is>
          <t>Record first supplied in this revision</t>
        </is>
      </c>
      <c r="E419" s="12" t="inlineStr">
        <is>
          <t>Maya Chen, Owner Project Controls</t>
        </is>
      </c>
      <c r="F419" s="65" t="inlineStr">
        <is>
          <t>10 EVIDENCE &amp; DECISIONS</t>
        </is>
      </c>
      <c r="G419" s="14" t="n"/>
    </row>
    <row r="420" ht="79" customHeight="1">
      <c r="A420" s="12" t="inlineStr">
        <is>
          <t>R1471-v2</t>
        </is>
      </c>
      <c r="B420" s="12" t="inlineStr">
        <is>
          <t>CST-05-069</t>
        </is>
      </c>
      <c r="C420" s="12" t="inlineStr">
        <is>
          <t>New</t>
        </is>
      </c>
      <c r="D420" s="12" t="inlineStr">
        <is>
          <t>Record first supplied in this revision</t>
        </is>
      </c>
      <c r="E420" s="12" t="inlineStr">
        <is>
          <t>Maya Chen, Owner Project Controls</t>
        </is>
      </c>
      <c r="F420" s="65" t="inlineStr">
        <is>
          <t>10 EVIDENCE &amp; DECISIONS</t>
        </is>
      </c>
      <c r="G420" s="14" t="n"/>
    </row>
    <row r="421" ht="79" customHeight="1">
      <c r="A421" s="12" t="inlineStr">
        <is>
          <t>R1472-v2</t>
        </is>
      </c>
      <c r="B421" s="12" t="inlineStr">
        <is>
          <t>CST-05-070</t>
        </is>
      </c>
      <c r="C421" s="12" t="inlineStr">
        <is>
          <t>New</t>
        </is>
      </c>
      <c r="D421" s="12" t="inlineStr">
        <is>
          <t>Record first supplied in this revision</t>
        </is>
      </c>
      <c r="E421" s="12" t="inlineStr">
        <is>
          <t>Maya Chen, Owner Project Controls</t>
        </is>
      </c>
      <c r="F421" s="65" t="inlineStr">
        <is>
          <t>10 EVIDENCE &amp; DECISIONS</t>
        </is>
      </c>
      <c r="G421" s="14" t="n"/>
    </row>
    <row r="422" ht="79" customHeight="1">
      <c r="A422" s="12" t="inlineStr">
        <is>
          <t>R1473-v2</t>
        </is>
      </c>
      <c r="B422" s="12" t="inlineStr">
        <is>
          <t>CST-05-071</t>
        </is>
      </c>
      <c r="C422" s="12" t="inlineStr">
        <is>
          <t>New</t>
        </is>
      </c>
      <c r="D422" s="12" t="inlineStr">
        <is>
          <t>Record first supplied in this revision</t>
        </is>
      </c>
      <c r="E422" s="12" t="inlineStr">
        <is>
          <t>Maya Chen, Owner Project Controls</t>
        </is>
      </c>
      <c r="F422" s="65" t="inlineStr">
        <is>
          <t>10 EVIDENCE &amp; DECISIONS</t>
        </is>
      </c>
      <c r="G422" s="14" t="n"/>
    </row>
    <row r="423" ht="79" customHeight="1">
      <c r="A423" s="12" t="inlineStr">
        <is>
          <t>R1474-v2</t>
        </is>
      </c>
      <c r="B423" s="12" t="inlineStr">
        <is>
          <t>CST-05-072</t>
        </is>
      </c>
      <c r="C423" s="12" t="inlineStr">
        <is>
          <t>New</t>
        </is>
      </c>
      <c r="D423" s="12" t="inlineStr">
        <is>
          <t>Record first supplied in this revision</t>
        </is>
      </c>
      <c r="E423" s="12" t="inlineStr">
        <is>
          <t>Maya Chen, Owner Project Controls</t>
        </is>
      </c>
      <c r="F423" s="65" t="inlineStr">
        <is>
          <t>10 EVIDENCE &amp; DECISIONS</t>
        </is>
      </c>
      <c r="G423" s="14" t="n"/>
    </row>
    <row r="424" ht="79" customHeight="1">
      <c r="A424" s="12" t="inlineStr">
        <is>
          <t>R1475-v2</t>
        </is>
      </c>
      <c r="B424" s="12" t="inlineStr">
        <is>
          <t>CST-05-073</t>
        </is>
      </c>
      <c r="C424" s="12" t="inlineStr">
        <is>
          <t>New</t>
        </is>
      </c>
      <c r="D424" s="12" t="inlineStr">
        <is>
          <t>Record first supplied in this revision</t>
        </is>
      </c>
      <c r="E424" s="12" t="inlineStr">
        <is>
          <t>Maya Chen, Owner Project Controls</t>
        </is>
      </c>
      <c r="F424" s="65" t="inlineStr">
        <is>
          <t>10 EVIDENCE &amp; DECISIONS</t>
        </is>
      </c>
      <c r="G424" s="14" t="n"/>
    </row>
    <row r="425" ht="79" customHeight="1">
      <c r="A425" s="12" t="inlineStr">
        <is>
          <t>R1476-v2</t>
        </is>
      </c>
      <c r="B425" s="12" t="inlineStr">
        <is>
          <t>CST-05-074</t>
        </is>
      </c>
      <c r="C425" s="12" t="inlineStr">
        <is>
          <t>New</t>
        </is>
      </c>
      <c r="D425" s="12" t="inlineStr">
        <is>
          <t>Record first supplied in this revision</t>
        </is>
      </c>
      <c r="E425" s="12" t="inlineStr">
        <is>
          <t>Maya Chen, Owner Project Controls</t>
        </is>
      </c>
      <c r="F425" s="65" t="inlineStr">
        <is>
          <t>10 EVIDENCE &amp; DECISIONS</t>
        </is>
      </c>
      <c r="G425" s="14" t="n"/>
    </row>
    <row r="426" ht="79" customHeight="1">
      <c r="A426" s="12" t="inlineStr">
        <is>
          <t>R1477-v2</t>
        </is>
      </c>
      <c r="B426" s="12" t="inlineStr">
        <is>
          <t>CST-05-075</t>
        </is>
      </c>
      <c r="C426" s="12" t="inlineStr">
        <is>
          <t>New</t>
        </is>
      </c>
      <c r="D426" s="12" t="inlineStr">
        <is>
          <t>Record first supplied in this revision</t>
        </is>
      </c>
      <c r="E426" s="12" t="inlineStr">
        <is>
          <t>Maya Chen, Owner Project Controls</t>
        </is>
      </c>
      <c r="F426" s="65" t="inlineStr">
        <is>
          <t>10 EVIDENCE &amp; DECISIONS</t>
        </is>
      </c>
      <c r="G426" s="14" t="n"/>
    </row>
    <row r="427" ht="79" customHeight="1">
      <c r="A427" s="12" t="inlineStr">
        <is>
          <t>R1478-v2</t>
        </is>
      </c>
      <c r="B427" s="12" t="inlineStr">
        <is>
          <t>CST-05-076</t>
        </is>
      </c>
      <c r="C427" s="12" t="inlineStr">
        <is>
          <t>New</t>
        </is>
      </c>
      <c r="D427" s="12" t="inlineStr">
        <is>
          <t>Record first supplied in this revision</t>
        </is>
      </c>
      <c r="E427" s="12" t="inlineStr">
        <is>
          <t>Maya Chen, Owner Project Controls</t>
        </is>
      </c>
      <c r="F427" s="65" t="inlineStr">
        <is>
          <t>10 EVIDENCE &amp; DECISIONS</t>
        </is>
      </c>
      <c r="G427" s="14" t="n"/>
    </row>
    <row r="428" ht="79" customHeight="1">
      <c r="A428" s="12" t="inlineStr">
        <is>
          <t>R1479-v2</t>
        </is>
      </c>
      <c r="B428" s="12" t="inlineStr">
        <is>
          <t>CST-05-077</t>
        </is>
      </c>
      <c r="C428" s="12" t="inlineStr">
        <is>
          <t>New</t>
        </is>
      </c>
      <c r="D428" s="12" t="inlineStr">
        <is>
          <t>Record first supplied in this revision</t>
        </is>
      </c>
      <c r="E428" s="12" t="inlineStr">
        <is>
          <t>Maya Chen, Owner Project Controls</t>
        </is>
      </c>
      <c r="F428" s="65" t="inlineStr">
        <is>
          <t>10 EVIDENCE &amp; DECISIONS</t>
        </is>
      </c>
      <c r="G428" s="14" t="n"/>
    </row>
    <row r="429" ht="79" customHeight="1">
      <c r="A429" s="12" t="inlineStr">
        <is>
          <t>R1480-v2</t>
        </is>
      </c>
      <c r="B429" s="12" t="inlineStr">
        <is>
          <t>CST-05-078</t>
        </is>
      </c>
      <c r="C429" s="12" t="inlineStr">
        <is>
          <t>New</t>
        </is>
      </c>
      <c r="D429" s="12" t="inlineStr">
        <is>
          <t>Record first supplied in this revision</t>
        </is>
      </c>
      <c r="E429" s="12" t="inlineStr">
        <is>
          <t>Maya Chen, Owner Project Controls</t>
        </is>
      </c>
      <c r="F429" s="65" t="inlineStr">
        <is>
          <t>10 EVIDENCE &amp; DECISIONS</t>
        </is>
      </c>
      <c r="G429" s="14" t="n"/>
    </row>
    <row r="430" ht="79" customHeight="1">
      <c r="A430" s="12" t="inlineStr">
        <is>
          <t>R1481-v2</t>
        </is>
      </c>
      <c r="B430" s="12" t="inlineStr">
        <is>
          <t>CST-05-079</t>
        </is>
      </c>
      <c r="C430" s="12" t="inlineStr">
        <is>
          <t>New</t>
        </is>
      </c>
      <c r="D430" s="12" t="inlineStr">
        <is>
          <t>Record first supplied in this revision</t>
        </is>
      </c>
      <c r="E430" s="12" t="inlineStr">
        <is>
          <t>Maya Chen, Owner Project Controls</t>
        </is>
      </c>
      <c r="F430" s="65" t="inlineStr">
        <is>
          <t>10 EVIDENCE &amp; DECISIONS</t>
        </is>
      </c>
      <c r="G430" s="14" t="n"/>
    </row>
    <row r="431" ht="79" customHeight="1">
      <c r="A431" s="12" t="inlineStr">
        <is>
          <t>R1482-v2</t>
        </is>
      </c>
      <c r="B431" s="12" t="inlineStr">
        <is>
          <t>CST-05-080</t>
        </is>
      </c>
      <c r="C431" s="12" t="inlineStr">
        <is>
          <t>New</t>
        </is>
      </c>
      <c r="D431" s="12" t="inlineStr">
        <is>
          <t>Record first supplied in this revision</t>
        </is>
      </c>
      <c r="E431" s="12" t="inlineStr">
        <is>
          <t>Maya Chen, Owner Project Controls</t>
        </is>
      </c>
      <c r="F431" s="65" t="inlineStr">
        <is>
          <t>10 EVIDENCE &amp; DECISIONS</t>
        </is>
      </c>
      <c r="G431" s="14" t="n"/>
    </row>
    <row r="432" ht="79" customHeight="1">
      <c r="A432" s="12" t="inlineStr">
        <is>
          <t>R1483-v1</t>
        </is>
      </c>
      <c r="B432" s="12" t="inlineStr">
        <is>
          <t>CST-06-001</t>
        </is>
      </c>
      <c r="C432" s="12" t="inlineStr">
        <is>
          <t>New</t>
        </is>
      </c>
      <c r="D432" s="12" t="inlineStr">
        <is>
          <t>Record first supplied in this revision</t>
        </is>
      </c>
      <c r="E432" s="12" t="inlineStr"/>
      <c r="F432" s="65" t="inlineStr">
        <is>
          <t>10 EVIDENCE &amp; DECISIONS</t>
        </is>
      </c>
      <c r="G432" s="14" t="n"/>
    </row>
    <row r="433" ht="79" customHeight="1">
      <c r="A433" s="12" t="inlineStr">
        <is>
          <t>R1484-v1</t>
        </is>
      </c>
      <c r="B433" s="12" t="inlineStr">
        <is>
          <t>CST-06-002</t>
        </is>
      </c>
      <c r="C433" s="12" t="inlineStr">
        <is>
          <t>New</t>
        </is>
      </c>
      <c r="D433" s="12" t="inlineStr">
        <is>
          <t>Record first supplied in this revision</t>
        </is>
      </c>
      <c r="E433" s="12" t="inlineStr"/>
      <c r="F433" s="65" t="inlineStr">
        <is>
          <t>10 EVIDENCE &amp; DECISIONS</t>
        </is>
      </c>
      <c r="G433" s="14" t="n"/>
    </row>
    <row r="434" ht="79" customHeight="1">
      <c r="A434" s="12" t="inlineStr">
        <is>
          <t>R1485-v1</t>
        </is>
      </c>
      <c r="B434" s="12" t="inlineStr">
        <is>
          <t>CST-06-003</t>
        </is>
      </c>
      <c r="C434" s="12" t="inlineStr">
        <is>
          <t>New</t>
        </is>
      </c>
      <c r="D434" s="12" t="inlineStr">
        <is>
          <t>Record first supplied in this revision</t>
        </is>
      </c>
      <c r="E434" s="12" t="inlineStr"/>
      <c r="F434" s="65" t="inlineStr">
        <is>
          <t>10 EVIDENCE &amp; DECISIONS</t>
        </is>
      </c>
      <c r="G434" s="14" t="n"/>
    </row>
    <row r="435" ht="79" customHeight="1">
      <c r="A435" s="12" t="inlineStr">
        <is>
          <t>R1486-v1</t>
        </is>
      </c>
      <c r="B435" s="12" t="inlineStr">
        <is>
          <t>CST-06-004</t>
        </is>
      </c>
      <c r="C435" s="12" t="inlineStr">
        <is>
          <t>New</t>
        </is>
      </c>
      <c r="D435" s="12" t="inlineStr">
        <is>
          <t>Record first supplied in this revision</t>
        </is>
      </c>
      <c r="E435" s="12" t="inlineStr"/>
      <c r="F435" s="65" t="inlineStr">
        <is>
          <t>10 EVIDENCE &amp; DECISIONS</t>
        </is>
      </c>
      <c r="G435" s="14" t="n"/>
    </row>
    <row r="436" ht="79" customHeight="1">
      <c r="A436" s="12" t="inlineStr">
        <is>
          <t>R1487-v1</t>
        </is>
      </c>
      <c r="B436" s="12" t="inlineStr">
        <is>
          <t>CST-06-005</t>
        </is>
      </c>
      <c r="C436" s="12" t="inlineStr">
        <is>
          <t>New</t>
        </is>
      </c>
      <c r="D436" s="12" t="inlineStr">
        <is>
          <t>Record first supplied in this revision</t>
        </is>
      </c>
      <c r="E436" s="12" t="inlineStr"/>
      <c r="F436" s="65" t="inlineStr">
        <is>
          <t>10 EVIDENCE &amp; DECISIONS</t>
        </is>
      </c>
      <c r="G436" s="14" t="n"/>
    </row>
    <row r="437" ht="79" customHeight="1">
      <c r="A437" s="12" t="inlineStr">
        <is>
          <t>R1488-v1</t>
        </is>
      </c>
      <c r="B437" s="12" t="inlineStr">
        <is>
          <t>CST-06-006</t>
        </is>
      </c>
      <c r="C437" s="12" t="inlineStr">
        <is>
          <t>New</t>
        </is>
      </c>
      <c r="D437" s="12" t="inlineStr">
        <is>
          <t>Record first supplied in this revision</t>
        </is>
      </c>
      <c r="E437" s="12" t="inlineStr"/>
      <c r="F437" s="65" t="inlineStr">
        <is>
          <t>10 EVIDENCE &amp; DECISIONS</t>
        </is>
      </c>
      <c r="G437" s="14" t="n"/>
    </row>
    <row r="438" ht="79" customHeight="1">
      <c r="A438" s="12" t="inlineStr">
        <is>
          <t>R1489-v1</t>
        </is>
      </c>
      <c r="B438" s="12" t="inlineStr">
        <is>
          <t>CST-06-007</t>
        </is>
      </c>
      <c r="C438" s="12" t="inlineStr">
        <is>
          <t>New</t>
        </is>
      </c>
      <c r="D438" s="12" t="inlineStr">
        <is>
          <t>Record first supplied in this revision</t>
        </is>
      </c>
      <c r="E438" s="12" t="inlineStr"/>
      <c r="F438" s="65" t="inlineStr">
        <is>
          <t>10 EVIDENCE &amp; DECISIONS</t>
        </is>
      </c>
      <c r="G438" s="14" t="n"/>
    </row>
    <row r="439" ht="79" customHeight="1">
      <c r="A439" s="12" t="inlineStr">
        <is>
          <t>R1490-v1</t>
        </is>
      </c>
      <c r="B439" s="12" t="inlineStr">
        <is>
          <t>CST-06-008</t>
        </is>
      </c>
      <c r="C439" s="12" t="inlineStr">
        <is>
          <t>New</t>
        </is>
      </c>
      <c r="D439" s="12" t="inlineStr">
        <is>
          <t>Record first supplied in this revision</t>
        </is>
      </c>
      <c r="E439" s="12" t="inlineStr"/>
      <c r="F439" s="65" t="inlineStr">
        <is>
          <t>10 EVIDENCE &amp; DECISIONS</t>
        </is>
      </c>
      <c r="G439" s="14" t="n"/>
    </row>
    <row r="440" ht="79" customHeight="1">
      <c r="A440" s="12" t="inlineStr">
        <is>
          <t>R1491-v1</t>
        </is>
      </c>
      <c r="B440" s="12" t="inlineStr">
        <is>
          <t>CST-06-009</t>
        </is>
      </c>
      <c r="C440" s="12" t="inlineStr">
        <is>
          <t>New</t>
        </is>
      </c>
      <c r="D440" s="12" t="inlineStr">
        <is>
          <t>Record first supplied in this revision</t>
        </is>
      </c>
      <c r="E440" s="12" t="inlineStr"/>
      <c r="F440" s="65" t="inlineStr">
        <is>
          <t>10 EVIDENCE &amp; DECISIONS</t>
        </is>
      </c>
      <c r="G440" s="14" t="n"/>
    </row>
    <row r="441" ht="79" customHeight="1">
      <c r="A441" s="12" t="inlineStr">
        <is>
          <t>R1492-v1</t>
        </is>
      </c>
      <c r="B441" s="12" t="inlineStr">
        <is>
          <t>CST-06-010</t>
        </is>
      </c>
      <c r="C441" s="12" t="inlineStr">
        <is>
          <t>New</t>
        </is>
      </c>
      <c r="D441" s="12" t="inlineStr">
        <is>
          <t>Record first supplied in this revision</t>
        </is>
      </c>
      <c r="E441" s="12" t="inlineStr"/>
      <c r="F441" s="65" t="inlineStr">
        <is>
          <t>10 EVIDENCE &amp; DECISIONS</t>
        </is>
      </c>
      <c r="G441" s="14" t="n"/>
    </row>
    <row r="442" ht="79" customHeight="1">
      <c r="A442" s="12" t="inlineStr">
        <is>
          <t>R1493-v1</t>
        </is>
      </c>
      <c r="B442" s="12" t="inlineStr">
        <is>
          <t>CST-06-011</t>
        </is>
      </c>
      <c r="C442" s="12" t="inlineStr">
        <is>
          <t>New</t>
        </is>
      </c>
      <c r="D442" s="12" t="inlineStr">
        <is>
          <t>Record first supplied in this revision</t>
        </is>
      </c>
      <c r="E442" s="12" t="inlineStr"/>
      <c r="F442" s="65" t="inlineStr">
        <is>
          <t>10 EVIDENCE &amp; DECISIONS</t>
        </is>
      </c>
      <c r="G442" s="14" t="n"/>
    </row>
    <row r="443" ht="79" customHeight="1">
      <c r="A443" s="12" t="inlineStr">
        <is>
          <t>R1494-v1</t>
        </is>
      </c>
      <c r="B443" s="12" t="inlineStr">
        <is>
          <t>CST-06-012</t>
        </is>
      </c>
      <c r="C443" s="12" t="inlineStr">
        <is>
          <t>New</t>
        </is>
      </c>
      <c r="D443" s="12" t="inlineStr">
        <is>
          <t>Record first supplied in this revision</t>
        </is>
      </c>
      <c r="E443" s="12" t="inlineStr"/>
      <c r="F443" s="65" t="inlineStr">
        <is>
          <t>10 EVIDENCE &amp; DECISIONS</t>
        </is>
      </c>
      <c r="G443" s="14" t="n"/>
    </row>
    <row r="444" ht="79" customHeight="1">
      <c r="A444" s="12" t="inlineStr">
        <is>
          <t>R1495-v1</t>
        </is>
      </c>
      <c r="B444" s="12" t="inlineStr">
        <is>
          <t>CST-06-013</t>
        </is>
      </c>
      <c r="C444" s="12" t="inlineStr">
        <is>
          <t>New</t>
        </is>
      </c>
      <c r="D444" s="12" t="inlineStr">
        <is>
          <t>Record first supplied in this revision</t>
        </is>
      </c>
      <c r="E444" s="12" t="inlineStr"/>
      <c r="F444" s="65" t="inlineStr">
        <is>
          <t>10 EVIDENCE &amp; DECISIONS</t>
        </is>
      </c>
      <c r="G444" s="14" t="n"/>
    </row>
    <row r="445" ht="79" customHeight="1">
      <c r="A445" s="12" t="inlineStr">
        <is>
          <t>R1496-v1</t>
        </is>
      </c>
      <c r="B445" s="12" t="inlineStr">
        <is>
          <t>CST-06-014</t>
        </is>
      </c>
      <c r="C445" s="12" t="inlineStr">
        <is>
          <t>New</t>
        </is>
      </c>
      <c r="D445" s="12" t="inlineStr">
        <is>
          <t>Record first supplied in this revision</t>
        </is>
      </c>
      <c r="E445" s="12" t="inlineStr"/>
      <c r="F445" s="65" t="inlineStr">
        <is>
          <t>10 EVIDENCE &amp; DECISIONS</t>
        </is>
      </c>
      <c r="G445" s="14" t="n"/>
    </row>
    <row r="446" ht="79" customHeight="1">
      <c r="A446" s="12" t="inlineStr">
        <is>
          <t>R1497-v1</t>
        </is>
      </c>
      <c r="B446" s="12" t="inlineStr">
        <is>
          <t>CST-06-015</t>
        </is>
      </c>
      <c r="C446" s="12" t="inlineStr">
        <is>
          <t>New</t>
        </is>
      </c>
      <c r="D446" s="12" t="inlineStr">
        <is>
          <t>Record first supplied in this revision</t>
        </is>
      </c>
      <c r="E446" s="12" t="inlineStr"/>
      <c r="F446" s="65" t="inlineStr">
        <is>
          <t>10 EVIDENCE &amp; DECISIONS</t>
        </is>
      </c>
      <c r="G446" s="14" t="n"/>
    </row>
    <row r="447" ht="79" customHeight="1">
      <c r="A447" s="12" t="inlineStr">
        <is>
          <t>R1498-v1</t>
        </is>
      </c>
      <c r="B447" s="12" t="inlineStr">
        <is>
          <t>CST-06-016</t>
        </is>
      </c>
      <c r="C447" s="12" t="inlineStr">
        <is>
          <t>New</t>
        </is>
      </c>
      <c r="D447" s="12" t="inlineStr">
        <is>
          <t>Record first supplied in this revision</t>
        </is>
      </c>
      <c r="E447" s="12" t="inlineStr"/>
      <c r="F447" s="65" t="inlineStr">
        <is>
          <t>10 EVIDENCE &amp; DECISIONS</t>
        </is>
      </c>
      <c r="G447" s="14" t="n"/>
    </row>
    <row r="448" ht="79" customHeight="1">
      <c r="A448" s="12" t="inlineStr">
        <is>
          <t>R1499-v1</t>
        </is>
      </c>
      <c r="B448" s="12" t="inlineStr">
        <is>
          <t>CST-06-017</t>
        </is>
      </c>
      <c r="C448" s="12" t="inlineStr">
        <is>
          <t>New</t>
        </is>
      </c>
      <c r="D448" s="12" t="inlineStr">
        <is>
          <t>Record first supplied in this revision</t>
        </is>
      </c>
      <c r="E448" s="12" t="inlineStr"/>
      <c r="F448" s="65" t="inlineStr">
        <is>
          <t>10 EVIDENCE &amp; DECISIONS</t>
        </is>
      </c>
      <c r="G448" s="14" t="n"/>
    </row>
    <row r="449" ht="79" customHeight="1">
      <c r="A449" s="12" t="inlineStr">
        <is>
          <t>R1500-v1</t>
        </is>
      </c>
      <c r="B449" s="12" t="inlineStr">
        <is>
          <t>CST-06-018</t>
        </is>
      </c>
      <c r="C449" s="12" t="inlineStr">
        <is>
          <t>New</t>
        </is>
      </c>
      <c r="D449" s="12" t="inlineStr">
        <is>
          <t>Record first supplied in this revision</t>
        </is>
      </c>
      <c r="E449" s="12" t="inlineStr"/>
      <c r="F449" s="65" t="inlineStr">
        <is>
          <t>10 EVIDENCE &amp; DECISIONS</t>
        </is>
      </c>
      <c r="G449" s="14" t="n"/>
    </row>
    <row r="450" ht="79" customHeight="1">
      <c r="A450" s="12" t="inlineStr">
        <is>
          <t>R1501-v1</t>
        </is>
      </c>
      <c r="B450" s="12" t="inlineStr">
        <is>
          <t>CST-06-019</t>
        </is>
      </c>
      <c r="C450" s="12" t="inlineStr">
        <is>
          <t>New</t>
        </is>
      </c>
      <c r="D450" s="12" t="inlineStr">
        <is>
          <t>Record first supplied in this revision</t>
        </is>
      </c>
      <c r="E450" s="12" t="inlineStr"/>
      <c r="F450" s="65" t="inlineStr">
        <is>
          <t>10 EVIDENCE &amp; DECISIONS</t>
        </is>
      </c>
      <c r="G450" s="14" t="n"/>
    </row>
    <row r="451" ht="79" customHeight="1">
      <c r="A451" s="12" t="inlineStr">
        <is>
          <t>R1502-v1</t>
        </is>
      </c>
      <c r="B451" s="12" t="inlineStr">
        <is>
          <t>CST-06-020</t>
        </is>
      </c>
      <c r="C451" s="12" t="inlineStr">
        <is>
          <t>New</t>
        </is>
      </c>
      <c r="D451" s="12" t="inlineStr">
        <is>
          <t>Record first supplied in this revision</t>
        </is>
      </c>
      <c r="E451" s="12" t="inlineStr"/>
      <c r="F451" s="65" t="inlineStr">
        <is>
          <t>10 EVIDENCE &amp; DECISIONS</t>
        </is>
      </c>
      <c r="G451" s="14" t="n"/>
    </row>
    <row r="452" ht="79" customHeight="1">
      <c r="A452" s="12" t="inlineStr">
        <is>
          <t>R1503-v1</t>
        </is>
      </c>
      <c r="B452" s="12" t="inlineStr">
        <is>
          <t>CST-06-021</t>
        </is>
      </c>
      <c r="C452" s="12" t="inlineStr">
        <is>
          <t>New</t>
        </is>
      </c>
      <c r="D452" s="12" t="inlineStr">
        <is>
          <t>Record first supplied in this revision</t>
        </is>
      </c>
      <c r="E452" s="12" t="inlineStr"/>
      <c r="F452" s="65" t="inlineStr">
        <is>
          <t>10 EVIDENCE &amp; DECISIONS</t>
        </is>
      </c>
      <c r="G452" s="14" t="n"/>
    </row>
    <row r="453" ht="79" customHeight="1">
      <c r="A453" s="12" t="inlineStr">
        <is>
          <t>R1504-v1</t>
        </is>
      </c>
      <c r="B453" s="12" t="inlineStr">
        <is>
          <t>CST-06-022</t>
        </is>
      </c>
      <c r="C453" s="12" t="inlineStr">
        <is>
          <t>New</t>
        </is>
      </c>
      <c r="D453" s="12" t="inlineStr">
        <is>
          <t>Record first supplied in this revision</t>
        </is>
      </c>
      <c r="E453" s="12" t="inlineStr"/>
      <c r="F453" s="65" t="inlineStr">
        <is>
          <t>10 EVIDENCE &amp; DECISIONS</t>
        </is>
      </c>
      <c r="G453" s="14" t="n"/>
    </row>
    <row r="454" ht="79" customHeight="1">
      <c r="A454" s="12" t="inlineStr">
        <is>
          <t>R1505-v1</t>
        </is>
      </c>
      <c r="B454" s="12" t="inlineStr">
        <is>
          <t>CST-06-023</t>
        </is>
      </c>
      <c r="C454" s="12" t="inlineStr">
        <is>
          <t>New</t>
        </is>
      </c>
      <c r="D454" s="12" t="inlineStr">
        <is>
          <t>Record first supplied in this revision</t>
        </is>
      </c>
      <c r="E454" s="12" t="inlineStr"/>
      <c r="F454" s="65" t="inlineStr">
        <is>
          <t>10 EVIDENCE &amp; DECISIONS</t>
        </is>
      </c>
      <c r="G454" s="14" t="n"/>
    </row>
    <row r="455" ht="79" customHeight="1">
      <c r="A455" s="12" t="inlineStr">
        <is>
          <t>R1506-v1</t>
        </is>
      </c>
      <c r="B455" s="12" t="inlineStr">
        <is>
          <t>CST-06-024</t>
        </is>
      </c>
      <c r="C455" s="12" t="inlineStr">
        <is>
          <t>New</t>
        </is>
      </c>
      <c r="D455" s="12" t="inlineStr">
        <is>
          <t>Record first supplied in this revision</t>
        </is>
      </c>
      <c r="E455" s="12" t="inlineStr"/>
      <c r="F455" s="65" t="inlineStr">
        <is>
          <t>10 EVIDENCE &amp; DECISIONS</t>
        </is>
      </c>
      <c r="G455" s="14" t="n"/>
    </row>
    <row r="456" ht="79" customHeight="1">
      <c r="A456" s="12" t="inlineStr">
        <is>
          <t>R1507-v1</t>
        </is>
      </c>
      <c r="B456" s="12" t="inlineStr">
        <is>
          <t>CST-06-025</t>
        </is>
      </c>
      <c r="C456" s="12" t="inlineStr">
        <is>
          <t>New</t>
        </is>
      </c>
      <c r="D456" s="12" t="inlineStr">
        <is>
          <t>Record first supplied in this revision</t>
        </is>
      </c>
      <c r="E456" s="12" t="inlineStr"/>
      <c r="F456" s="65" t="inlineStr">
        <is>
          <t>10 EVIDENCE &amp; DECISIONS</t>
        </is>
      </c>
      <c r="G456" s="14" t="n"/>
    </row>
    <row r="457" ht="79" customHeight="1">
      <c r="A457" s="12" t="inlineStr">
        <is>
          <t>R1508-v1</t>
        </is>
      </c>
      <c r="B457" s="12" t="inlineStr">
        <is>
          <t>CST-06-026</t>
        </is>
      </c>
      <c r="C457" s="12" t="inlineStr">
        <is>
          <t>New</t>
        </is>
      </c>
      <c r="D457" s="12" t="inlineStr">
        <is>
          <t>Record first supplied in this revision</t>
        </is>
      </c>
      <c r="E457" s="12" t="inlineStr"/>
      <c r="F457" s="65" t="inlineStr">
        <is>
          <t>10 EVIDENCE &amp; DECISIONS</t>
        </is>
      </c>
      <c r="G457" s="14" t="n"/>
    </row>
    <row r="458" ht="79" customHeight="1">
      <c r="A458" s="12" t="inlineStr">
        <is>
          <t>R1509-v1</t>
        </is>
      </c>
      <c r="B458" s="12" t="inlineStr">
        <is>
          <t>CST-06-027</t>
        </is>
      </c>
      <c r="C458" s="12" t="inlineStr">
        <is>
          <t>New</t>
        </is>
      </c>
      <c r="D458" s="12" t="inlineStr">
        <is>
          <t>Record first supplied in this revision</t>
        </is>
      </c>
      <c r="E458" s="12" t="inlineStr"/>
      <c r="F458" s="65" t="inlineStr">
        <is>
          <t>10 EVIDENCE &amp; DECISIONS</t>
        </is>
      </c>
      <c r="G458" s="14" t="n"/>
    </row>
    <row r="459" ht="79" customHeight="1">
      <c r="A459" s="12" t="inlineStr">
        <is>
          <t>R1510-v1</t>
        </is>
      </c>
      <c r="B459" s="12" t="inlineStr">
        <is>
          <t>CST-06-028</t>
        </is>
      </c>
      <c r="C459" s="12" t="inlineStr">
        <is>
          <t>New</t>
        </is>
      </c>
      <c r="D459" s="12" t="inlineStr">
        <is>
          <t>Record first supplied in this revision</t>
        </is>
      </c>
      <c r="E459" s="12" t="inlineStr"/>
      <c r="F459" s="65" t="inlineStr">
        <is>
          <t>10 EVIDENCE &amp; DECISIONS</t>
        </is>
      </c>
      <c r="G459" s="14" t="n"/>
    </row>
    <row r="460" ht="79" customHeight="1">
      <c r="A460" s="12" t="inlineStr">
        <is>
          <t>R1511-v1</t>
        </is>
      </c>
      <c r="B460" s="12" t="inlineStr">
        <is>
          <t>CST-06-029</t>
        </is>
      </c>
      <c r="C460" s="12" t="inlineStr">
        <is>
          <t>New</t>
        </is>
      </c>
      <c r="D460" s="12" t="inlineStr">
        <is>
          <t>Record first supplied in this revision</t>
        </is>
      </c>
      <c r="E460" s="12" t="inlineStr"/>
      <c r="F460" s="65" t="inlineStr">
        <is>
          <t>10 EVIDENCE &amp; DECISIONS</t>
        </is>
      </c>
      <c r="G460" s="14" t="n"/>
    </row>
    <row r="461" ht="79" customHeight="1">
      <c r="A461" s="12" t="inlineStr">
        <is>
          <t>R1512-v1</t>
        </is>
      </c>
      <c r="B461" s="12" t="inlineStr">
        <is>
          <t>CST-06-030</t>
        </is>
      </c>
      <c r="C461" s="12" t="inlineStr">
        <is>
          <t>New</t>
        </is>
      </c>
      <c r="D461" s="12" t="inlineStr">
        <is>
          <t>Record first supplied in this revision</t>
        </is>
      </c>
      <c r="E461" s="12" t="inlineStr"/>
      <c r="F461" s="65" t="inlineStr">
        <is>
          <t>10 EVIDENCE &amp; DECISIONS</t>
        </is>
      </c>
      <c r="G461" s="14" t="n"/>
    </row>
    <row r="462" ht="79" customHeight="1">
      <c r="A462" s="12" t="inlineStr">
        <is>
          <t>R1513-v1</t>
        </is>
      </c>
      <c r="B462" s="12" t="inlineStr">
        <is>
          <t>CST-06-031</t>
        </is>
      </c>
      <c r="C462" s="12" t="inlineStr">
        <is>
          <t>New</t>
        </is>
      </c>
      <c r="D462" s="12" t="inlineStr">
        <is>
          <t>Record first supplied in this revision</t>
        </is>
      </c>
      <c r="E462" s="12" t="inlineStr"/>
      <c r="F462" s="65" t="inlineStr">
        <is>
          <t>10 EVIDENCE &amp; DECISIONS</t>
        </is>
      </c>
      <c r="G462" s="14" t="n"/>
    </row>
    <row r="463" ht="79" customHeight="1">
      <c r="A463" s="12" t="inlineStr">
        <is>
          <t>R1514-v1</t>
        </is>
      </c>
      <c r="B463" s="12" t="inlineStr">
        <is>
          <t>CST-06-032</t>
        </is>
      </c>
      <c r="C463" s="12" t="inlineStr">
        <is>
          <t>New</t>
        </is>
      </c>
      <c r="D463" s="12" t="inlineStr">
        <is>
          <t>Record first supplied in this revision</t>
        </is>
      </c>
      <c r="E463" s="12" t="inlineStr"/>
      <c r="F463" s="65" t="inlineStr">
        <is>
          <t>10 EVIDENCE &amp; DECISIONS</t>
        </is>
      </c>
      <c r="G463" s="14" t="n"/>
    </row>
    <row r="464" ht="79" customHeight="1">
      <c r="A464" s="12" t="inlineStr">
        <is>
          <t>R1515-v1</t>
        </is>
      </c>
      <c r="B464" s="12" t="inlineStr">
        <is>
          <t>CST-06-033</t>
        </is>
      </c>
      <c r="C464" s="12" t="inlineStr">
        <is>
          <t>New</t>
        </is>
      </c>
      <c r="D464" s="12" t="inlineStr">
        <is>
          <t>Record first supplied in this revision</t>
        </is>
      </c>
      <c r="E464" s="12" t="inlineStr"/>
      <c r="F464" s="65" t="inlineStr">
        <is>
          <t>10 EVIDENCE &amp; DECISIONS</t>
        </is>
      </c>
      <c r="G464" s="14" t="n"/>
    </row>
    <row r="465" ht="79" customHeight="1">
      <c r="A465" s="12" t="inlineStr">
        <is>
          <t>R1516-v1</t>
        </is>
      </c>
      <c r="B465" s="12" t="inlineStr">
        <is>
          <t>CST-06-034</t>
        </is>
      </c>
      <c r="C465" s="12" t="inlineStr">
        <is>
          <t>New</t>
        </is>
      </c>
      <c r="D465" s="12" t="inlineStr">
        <is>
          <t>Record first supplied in this revision</t>
        </is>
      </c>
      <c r="E465" s="12" t="inlineStr"/>
      <c r="F465" s="65" t="inlineStr">
        <is>
          <t>10 EVIDENCE &amp; DECISIONS</t>
        </is>
      </c>
      <c r="G465" s="14" t="n"/>
    </row>
    <row r="466" ht="79" customHeight="1">
      <c r="A466" s="12" t="inlineStr">
        <is>
          <t>R1517-v1</t>
        </is>
      </c>
      <c r="B466" s="12" t="inlineStr">
        <is>
          <t>CST-06-035</t>
        </is>
      </c>
      <c r="C466" s="12" t="inlineStr">
        <is>
          <t>New</t>
        </is>
      </c>
      <c r="D466" s="12" t="inlineStr">
        <is>
          <t>Record first supplied in this revision</t>
        </is>
      </c>
      <c r="E466" s="12" t="inlineStr"/>
      <c r="F466" s="65" t="inlineStr">
        <is>
          <t>10 EVIDENCE &amp; DECISIONS</t>
        </is>
      </c>
      <c r="G466" s="14" t="n"/>
    </row>
    <row r="467" ht="79" customHeight="1">
      <c r="A467" s="12" t="inlineStr">
        <is>
          <t>R1518-v1</t>
        </is>
      </c>
      <c r="B467" s="12" t="inlineStr">
        <is>
          <t>CST-06-036</t>
        </is>
      </c>
      <c r="C467" s="12" t="inlineStr">
        <is>
          <t>New</t>
        </is>
      </c>
      <c r="D467" s="12" t="inlineStr">
        <is>
          <t>Record first supplied in this revision</t>
        </is>
      </c>
      <c r="E467" s="12" t="inlineStr"/>
      <c r="F467" s="65" t="inlineStr">
        <is>
          <t>10 EVIDENCE &amp; DECISIONS</t>
        </is>
      </c>
      <c r="G467" s="14" t="n"/>
    </row>
    <row r="468" ht="79" customHeight="1">
      <c r="A468" s="12" t="inlineStr">
        <is>
          <t>R1519-v1</t>
        </is>
      </c>
      <c r="B468" s="12" t="inlineStr">
        <is>
          <t>CST-06-037</t>
        </is>
      </c>
      <c r="C468" s="12" t="inlineStr">
        <is>
          <t>New</t>
        </is>
      </c>
      <c r="D468" s="12" t="inlineStr">
        <is>
          <t>Record first supplied in this revision</t>
        </is>
      </c>
      <c r="E468" s="12" t="inlineStr"/>
      <c r="F468" s="65" t="inlineStr">
        <is>
          <t>10 EVIDENCE &amp; DECISIONS</t>
        </is>
      </c>
      <c r="G468" s="14" t="n"/>
    </row>
    <row r="469" ht="79" customHeight="1">
      <c r="A469" s="12" t="inlineStr">
        <is>
          <t>R1520-v1</t>
        </is>
      </c>
      <c r="B469" s="12" t="inlineStr">
        <is>
          <t>CST-06-038</t>
        </is>
      </c>
      <c r="C469" s="12" t="inlineStr">
        <is>
          <t>New</t>
        </is>
      </c>
      <c r="D469" s="12" t="inlineStr">
        <is>
          <t>Record first supplied in this revision</t>
        </is>
      </c>
      <c r="E469" s="12" t="inlineStr"/>
      <c r="F469" s="65" t="inlineStr">
        <is>
          <t>10 EVIDENCE &amp; DECISIONS</t>
        </is>
      </c>
      <c r="G469" s="14" t="n"/>
    </row>
    <row r="470" ht="79" customHeight="1">
      <c r="A470" s="12" t="inlineStr">
        <is>
          <t>R1521-v1</t>
        </is>
      </c>
      <c r="B470" s="12" t="inlineStr">
        <is>
          <t>CST-06-039</t>
        </is>
      </c>
      <c r="C470" s="12" t="inlineStr">
        <is>
          <t>New</t>
        </is>
      </c>
      <c r="D470" s="12" t="inlineStr">
        <is>
          <t>Record first supplied in this revision</t>
        </is>
      </c>
      <c r="E470" s="12" t="inlineStr"/>
      <c r="F470" s="65" t="inlineStr">
        <is>
          <t>10 EVIDENCE &amp; DECISIONS</t>
        </is>
      </c>
      <c r="G470" s="14" t="n"/>
    </row>
    <row r="471" ht="79" customHeight="1">
      <c r="A471" s="12" t="inlineStr">
        <is>
          <t>R1522-v1</t>
        </is>
      </c>
      <c r="B471" s="12" t="inlineStr">
        <is>
          <t>CST-06-040</t>
        </is>
      </c>
      <c r="C471" s="12" t="inlineStr">
        <is>
          <t>New</t>
        </is>
      </c>
      <c r="D471" s="12" t="inlineStr">
        <is>
          <t>Record first supplied in this revision</t>
        </is>
      </c>
      <c r="E471" s="12" t="inlineStr"/>
      <c r="F471" s="65" t="inlineStr">
        <is>
          <t>10 EVIDENCE &amp; DECISIONS</t>
        </is>
      </c>
      <c r="G471" s="14" t="n"/>
    </row>
    <row r="472" ht="79" customHeight="1">
      <c r="A472" s="12" t="inlineStr">
        <is>
          <t>R1523-v1</t>
        </is>
      </c>
      <c r="B472" s="12" t="inlineStr">
        <is>
          <t>CST-06-041</t>
        </is>
      </c>
      <c r="C472" s="12" t="inlineStr">
        <is>
          <t>New</t>
        </is>
      </c>
      <c r="D472" s="12" t="inlineStr">
        <is>
          <t>Record first supplied in this revision</t>
        </is>
      </c>
      <c r="E472" s="12" t="inlineStr"/>
      <c r="F472" s="65" t="inlineStr">
        <is>
          <t>10 EVIDENCE &amp; DECISIONS</t>
        </is>
      </c>
      <c r="G472" s="14" t="n"/>
    </row>
    <row r="473" ht="79" customHeight="1">
      <c r="A473" s="12" t="inlineStr">
        <is>
          <t>R1524-v1</t>
        </is>
      </c>
      <c r="B473" s="12" t="inlineStr">
        <is>
          <t>CST-06-042</t>
        </is>
      </c>
      <c r="C473" s="12" t="inlineStr">
        <is>
          <t>New</t>
        </is>
      </c>
      <c r="D473" s="12" t="inlineStr">
        <is>
          <t>Record first supplied in this revision</t>
        </is>
      </c>
      <c r="E473" s="12" t="inlineStr"/>
      <c r="F473" s="65" t="inlineStr">
        <is>
          <t>10 EVIDENCE &amp; DECISIONS</t>
        </is>
      </c>
      <c r="G473" s="14" t="n"/>
    </row>
    <row r="474" ht="79" customHeight="1">
      <c r="A474" s="12" t="inlineStr">
        <is>
          <t>R1525-v1</t>
        </is>
      </c>
      <c r="B474" s="12" t="inlineStr">
        <is>
          <t>CST-06-043</t>
        </is>
      </c>
      <c r="C474" s="12" t="inlineStr">
        <is>
          <t>New</t>
        </is>
      </c>
      <c r="D474" s="12" t="inlineStr">
        <is>
          <t>Record first supplied in this revision</t>
        </is>
      </c>
      <c r="E474" s="12" t="inlineStr"/>
      <c r="F474" s="65" t="inlineStr">
        <is>
          <t>10 EVIDENCE &amp; DECISIONS</t>
        </is>
      </c>
      <c r="G474" s="14" t="n"/>
    </row>
    <row r="475" ht="79" customHeight="1">
      <c r="A475" s="12" t="inlineStr">
        <is>
          <t>R1526-v1</t>
        </is>
      </c>
      <c r="B475" s="12" t="inlineStr">
        <is>
          <t>CST-06-044</t>
        </is>
      </c>
      <c r="C475" s="12" t="inlineStr">
        <is>
          <t>New</t>
        </is>
      </c>
      <c r="D475" s="12" t="inlineStr">
        <is>
          <t>Record first supplied in this revision</t>
        </is>
      </c>
      <c r="E475" s="12" t="inlineStr"/>
      <c r="F475" s="65" t="inlineStr">
        <is>
          <t>10 EVIDENCE &amp; DECISIONS</t>
        </is>
      </c>
      <c r="G475" s="14" t="n"/>
    </row>
    <row r="476" ht="79" customHeight="1">
      <c r="A476" s="12" t="inlineStr">
        <is>
          <t>R1527-v1</t>
        </is>
      </c>
      <c r="B476" s="12" t="inlineStr">
        <is>
          <t>CST-06-045</t>
        </is>
      </c>
      <c r="C476" s="12" t="inlineStr">
        <is>
          <t>New</t>
        </is>
      </c>
      <c r="D476" s="12" t="inlineStr">
        <is>
          <t>Record first supplied in this revision</t>
        </is>
      </c>
      <c r="E476" s="12" t="inlineStr"/>
      <c r="F476" s="65" t="inlineStr">
        <is>
          <t>10 EVIDENCE &amp; DECISIONS</t>
        </is>
      </c>
      <c r="G476" s="14" t="n"/>
    </row>
    <row r="477" ht="79" customHeight="1">
      <c r="A477" s="12" t="inlineStr">
        <is>
          <t>R1528-v1</t>
        </is>
      </c>
      <c r="B477" s="12" t="inlineStr">
        <is>
          <t>CST-06-046</t>
        </is>
      </c>
      <c r="C477" s="12" t="inlineStr">
        <is>
          <t>New</t>
        </is>
      </c>
      <c r="D477" s="12" t="inlineStr">
        <is>
          <t>Record first supplied in this revision</t>
        </is>
      </c>
      <c r="E477" s="12" t="inlineStr"/>
      <c r="F477" s="65" t="inlineStr">
        <is>
          <t>10 EVIDENCE &amp; DECISIONS</t>
        </is>
      </c>
      <c r="G477" s="14" t="n"/>
    </row>
    <row r="478" ht="79" customHeight="1">
      <c r="A478" s="12" t="inlineStr">
        <is>
          <t>R1529-v1</t>
        </is>
      </c>
      <c r="B478" s="12" t="inlineStr">
        <is>
          <t>CST-06-047</t>
        </is>
      </c>
      <c r="C478" s="12" t="inlineStr">
        <is>
          <t>New</t>
        </is>
      </c>
      <c r="D478" s="12" t="inlineStr">
        <is>
          <t>Record first supplied in this revision</t>
        </is>
      </c>
      <c r="E478" s="12" t="inlineStr"/>
      <c r="F478" s="65" t="inlineStr">
        <is>
          <t>10 EVIDENCE &amp; DECISIONS</t>
        </is>
      </c>
      <c r="G478" s="14" t="n"/>
    </row>
    <row r="479" ht="79" customHeight="1">
      <c r="A479" s="12" t="inlineStr">
        <is>
          <t>R1530-v1</t>
        </is>
      </c>
      <c r="B479" s="12" t="inlineStr">
        <is>
          <t>CST-06-048</t>
        </is>
      </c>
      <c r="C479" s="12" t="inlineStr">
        <is>
          <t>New</t>
        </is>
      </c>
      <c r="D479" s="12" t="inlineStr">
        <is>
          <t>Record first supplied in this revision</t>
        </is>
      </c>
      <c r="E479" s="12" t="inlineStr"/>
      <c r="F479" s="65" t="inlineStr">
        <is>
          <t>10 EVIDENCE &amp; DECISIONS</t>
        </is>
      </c>
      <c r="G479" s="14" t="n"/>
    </row>
    <row r="480" ht="79" customHeight="1">
      <c r="A480" s="12" t="inlineStr">
        <is>
          <t>R1531-v1</t>
        </is>
      </c>
      <c r="B480" s="12" t="inlineStr">
        <is>
          <t>CST-06-049</t>
        </is>
      </c>
      <c r="C480" s="12" t="inlineStr">
        <is>
          <t>New</t>
        </is>
      </c>
      <c r="D480" s="12" t="inlineStr">
        <is>
          <t>Record first supplied in this revision</t>
        </is>
      </c>
      <c r="E480" s="12" t="inlineStr"/>
      <c r="F480" s="65" t="inlineStr">
        <is>
          <t>10 EVIDENCE &amp; DECISIONS</t>
        </is>
      </c>
      <c r="G480" s="14" t="n"/>
    </row>
    <row r="481" ht="79" customHeight="1">
      <c r="A481" s="12" t="inlineStr">
        <is>
          <t>R1532-v1</t>
        </is>
      </c>
      <c r="B481" s="12" t="inlineStr">
        <is>
          <t>CST-06-050</t>
        </is>
      </c>
      <c r="C481" s="12" t="inlineStr">
        <is>
          <t>New</t>
        </is>
      </c>
      <c r="D481" s="12" t="inlineStr">
        <is>
          <t>Record first supplied in this revision</t>
        </is>
      </c>
      <c r="E481" s="12" t="inlineStr"/>
      <c r="F481" s="65" t="inlineStr">
        <is>
          <t>10 EVIDENCE &amp; DECISIONS</t>
        </is>
      </c>
      <c r="G481" s="14" t="n"/>
    </row>
    <row r="482" ht="79" customHeight="1">
      <c r="A482" s="12" t="inlineStr">
        <is>
          <t>R1533-v1</t>
        </is>
      </c>
      <c r="B482" s="12" t="inlineStr">
        <is>
          <t>CST-06-051</t>
        </is>
      </c>
      <c r="C482" s="12" t="inlineStr">
        <is>
          <t>New</t>
        </is>
      </c>
      <c r="D482" s="12" t="inlineStr">
        <is>
          <t>Record first supplied in this revision</t>
        </is>
      </c>
      <c r="E482" s="12" t="inlineStr"/>
      <c r="F482" s="65" t="inlineStr">
        <is>
          <t>10 EVIDENCE &amp; DECISIONS</t>
        </is>
      </c>
      <c r="G482" s="14" t="n"/>
    </row>
    <row r="483" ht="79" customHeight="1">
      <c r="A483" s="12" t="inlineStr">
        <is>
          <t>R1534-v1</t>
        </is>
      </c>
      <c r="B483" s="12" t="inlineStr">
        <is>
          <t>CST-06-052</t>
        </is>
      </c>
      <c r="C483" s="12" t="inlineStr">
        <is>
          <t>New</t>
        </is>
      </c>
      <c r="D483" s="12" t="inlineStr">
        <is>
          <t>Record first supplied in this revision</t>
        </is>
      </c>
      <c r="E483" s="12" t="inlineStr"/>
      <c r="F483" s="65" t="inlineStr">
        <is>
          <t>10 EVIDENCE &amp; DECISIONS</t>
        </is>
      </c>
      <c r="G483" s="14" t="n"/>
    </row>
    <row r="484" ht="79" customHeight="1">
      <c r="A484" s="12" t="inlineStr">
        <is>
          <t>R1535-v1</t>
        </is>
      </c>
      <c r="B484" s="12" t="inlineStr">
        <is>
          <t>CST-06-053</t>
        </is>
      </c>
      <c r="C484" s="12" t="inlineStr">
        <is>
          <t>New</t>
        </is>
      </c>
      <c r="D484" s="12" t="inlineStr">
        <is>
          <t>Record first supplied in this revision</t>
        </is>
      </c>
      <c r="E484" s="12" t="inlineStr"/>
      <c r="F484" s="65" t="inlineStr">
        <is>
          <t>10 EVIDENCE &amp; DECISIONS</t>
        </is>
      </c>
      <c r="G484" s="14" t="n"/>
    </row>
    <row r="485" ht="79" customHeight="1">
      <c r="A485" s="12" t="inlineStr">
        <is>
          <t>R1536-v1</t>
        </is>
      </c>
      <c r="B485" s="12" t="inlineStr">
        <is>
          <t>CST-06-054</t>
        </is>
      </c>
      <c r="C485" s="12" t="inlineStr">
        <is>
          <t>New</t>
        </is>
      </c>
      <c r="D485" s="12" t="inlineStr">
        <is>
          <t>Record first supplied in this revision</t>
        </is>
      </c>
      <c r="E485" s="12" t="inlineStr"/>
      <c r="F485" s="65" t="inlineStr">
        <is>
          <t>10 EVIDENCE &amp; DECISIONS</t>
        </is>
      </c>
      <c r="G485" s="14" t="n"/>
    </row>
    <row r="486" ht="79" customHeight="1">
      <c r="A486" s="12" t="inlineStr">
        <is>
          <t>R1537-v1</t>
        </is>
      </c>
      <c r="B486" s="12" t="inlineStr">
        <is>
          <t>CST-06-055</t>
        </is>
      </c>
      <c r="C486" s="12" t="inlineStr">
        <is>
          <t>New</t>
        </is>
      </c>
      <c r="D486" s="12" t="inlineStr">
        <is>
          <t>Record first supplied in this revision</t>
        </is>
      </c>
      <c r="E486" s="12" t="inlineStr"/>
      <c r="F486" s="65" t="inlineStr">
        <is>
          <t>10 EVIDENCE &amp; DECISIONS</t>
        </is>
      </c>
      <c r="G486" s="14" t="n"/>
    </row>
    <row r="487" ht="79" customHeight="1">
      <c r="A487" s="12" t="inlineStr">
        <is>
          <t>R1538-v1</t>
        </is>
      </c>
      <c r="B487" s="12" t="inlineStr">
        <is>
          <t>CST-06-056</t>
        </is>
      </c>
      <c r="C487" s="12" t="inlineStr">
        <is>
          <t>New</t>
        </is>
      </c>
      <c r="D487" s="12" t="inlineStr">
        <is>
          <t>Record first supplied in this revision</t>
        </is>
      </c>
      <c r="E487" s="12" t="inlineStr"/>
      <c r="F487" s="65" t="inlineStr">
        <is>
          <t>10 EVIDENCE &amp; DECISIONS</t>
        </is>
      </c>
      <c r="G487" s="14" t="n"/>
    </row>
    <row r="488" ht="79" customHeight="1">
      <c r="A488" s="12" t="inlineStr">
        <is>
          <t>R1539-v1</t>
        </is>
      </c>
      <c r="B488" s="12" t="inlineStr">
        <is>
          <t>CST-06-057</t>
        </is>
      </c>
      <c r="C488" s="12" t="inlineStr">
        <is>
          <t>New</t>
        </is>
      </c>
      <c r="D488" s="12" t="inlineStr">
        <is>
          <t>Record first supplied in this revision</t>
        </is>
      </c>
      <c r="E488" s="12" t="inlineStr"/>
      <c r="F488" s="65" t="inlineStr">
        <is>
          <t>10 EVIDENCE &amp; DECISIONS</t>
        </is>
      </c>
      <c r="G488" s="14" t="n"/>
    </row>
    <row r="489" ht="79" customHeight="1">
      <c r="A489" s="12" t="inlineStr">
        <is>
          <t>R1540-v1</t>
        </is>
      </c>
      <c r="B489" s="12" t="inlineStr">
        <is>
          <t>CST-06-058</t>
        </is>
      </c>
      <c r="C489" s="12" t="inlineStr">
        <is>
          <t>New</t>
        </is>
      </c>
      <c r="D489" s="12" t="inlineStr">
        <is>
          <t>Record first supplied in this revision</t>
        </is>
      </c>
      <c r="E489" s="12" t="inlineStr"/>
      <c r="F489" s="65" t="inlineStr">
        <is>
          <t>10 EVIDENCE &amp; DECISIONS</t>
        </is>
      </c>
      <c r="G489" s="14" t="n"/>
    </row>
    <row r="490" ht="79" customHeight="1">
      <c r="A490" s="12" t="inlineStr">
        <is>
          <t>R1541-v1</t>
        </is>
      </c>
      <c r="B490" s="12" t="inlineStr">
        <is>
          <t>CST-06-059</t>
        </is>
      </c>
      <c r="C490" s="12" t="inlineStr">
        <is>
          <t>New</t>
        </is>
      </c>
      <c r="D490" s="12" t="inlineStr">
        <is>
          <t>Record first supplied in this revision</t>
        </is>
      </c>
      <c r="E490" s="12" t="inlineStr"/>
      <c r="F490" s="65" t="inlineStr">
        <is>
          <t>10 EVIDENCE &amp; DECISIONS</t>
        </is>
      </c>
      <c r="G490" s="14" t="n"/>
    </row>
    <row r="491" ht="79" customHeight="1">
      <c r="A491" s="12" t="inlineStr">
        <is>
          <t>R1542-v1</t>
        </is>
      </c>
      <c r="B491" s="12" t="inlineStr">
        <is>
          <t>CST-06-060</t>
        </is>
      </c>
      <c r="C491" s="12" t="inlineStr">
        <is>
          <t>New</t>
        </is>
      </c>
      <c r="D491" s="12" t="inlineStr">
        <is>
          <t>Record first supplied in this revision</t>
        </is>
      </c>
      <c r="E491" s="12" t="inlineStr"/>
      <c r="F491" s="65" t="inlineStr">
        <is>
          <t>10 EVIDENCE &amp; DECISIONS</t>
        </is>
      </c>
      <c r="G491" s="14" t="n"/>
    </row>
    <row r="492" ht="79" customHeight="1">
      <c r="A492" s="12" t="inlineStr">
        <is>
          <t>R1543-v1</t>
        </is>
      </c>
      <c r="B492" s="12" t="inlineStr">
        <is>
          <t>CST-06-061</t>
        </is>
      </c>
      <c r="C492" s="12" t="inlineStr">
        <is>
          <t>New</t>
        </is>
      </c>
      <c r="D492" s="12" t="inlineStr">
        <is>
          <t>Record first supplied in this revision</t>
        </is>
      </c>
      <c r="E492" s="12" t="inlineStr"/>
      <c r="F492" s="65" t="inlineStr">
        <is>
          <t>10 EVIDENCE &amp; DECISIONS</t>
        </is>
      </c>
      <c r="G492" s="14" t="n"/>
    </row>
    <row r="493" ht="79" customHeight="1">
      <c r="A493" s="12" t="inlineStr">
        <is>
          <t>R1544-v1</t>
        </is>
      </c>
      <c r="B493" s="12" t="inlineStr">
        <is>
          <t>CST-06-062</t>
        </is>
      </c>
      <c r="C493" s="12" t="inlineStr">
        <is>
          <t>New</t>
        </is>
      </c>
      <c r="D493" s="12" t="inlineStr">
        <is>
          <t>Record first supplied in this revision</t>
        </is>
      </c>
      <c r="E493" s="12" t="inlineStr"/>
      <c r="F493" s="65" t="inlineStr">
        <is>
          <t>10 EVIDENCE &amp; DECISIONS</t>
        </is>
      </c>
      <c r="G493" s="14" t="n"/>
    </row>
    <row r="494" ht="79" customHeight="1">
      <c r="A494" s="12" t="inlineStr">
        <is>
          <t>R1545-v1</t>
        </is>
      </c>
      <c r="B494" s="12" t="inlineStr">
        <is>
          <t>CST-06-063</t>
        </is>
      </c>
      <c r="C494" s="12" t="inlineStr">
        <is>
          <t>New</t>
        </is>
      </c>
      <c r="D494" s="12" t="inlineStr">
        <is>
          <t>Record first supplied in this revision</t>
        </is>
      </c>
      <c r="E494" s="12" t="inlineStr"/>
      <c r="F494" s="65" t="inlineStr">
        <is>
          <t>10 EVIDENCE &amp; DECISIONS</t>
        </is>
      </c>
      <c r="G494" s="14" t="n"/>
    </row>
    <row r="495" ht="79" customHeight="1">
      <c r="A495" s="12" t="inlineStr">
        <is>
          <t>R1546-v1</t>
        </is>
      </c>
      <c r="B495" s="12" t="inlineStr">
        <is>
          <t>CST-06-064</t>
        </is>
      </c>
      <c r="C495" s="12" t="inlineStr">
        <is>
          <t>New</t>
        </is>
      </c>
      <c r="D495" s="12" t="inlineStr">
        <is>
          <t>Record first supplied in this revision</t>
        </is>
      </c>
      <c r="E495" s="12" t="inlineStr"/>
      <c r="F495" s="65" t="inlineStr">
        <is>
          <t>10 EVIDENCE &amp; DECISIONS</t>
        </is>
      </c>
      <c r="G495" s="14" t="n"/>
    </row>
    <row r="496" ht="79" customHeight="1">
      <c r="A496" s="12" t="inlineStr">
        <is>
          <t>R1547-v1</t>
        </is>
      </c>
      <c r="B496" s="12" t="inlineStr">
        <is>
          <t>CST-06-065</t>
        </is>
      </c>
      <c r="C496" s="12" t="inlineStr">
        <is>
          <t>New</t>
        </is>
      </c>
      <c r="D496" s="12" t="inlineStr">
        <is>
          <t>Record first supplied in this revision</t>
        </is>
      </c>
      <c r="E496" s="12" t="inlineStr"/>
      <c r="F496" s="65" t="inlineStr">
        <is>
          <t>10 EVIDENCE &amp; DECISIONS</t>
        </is>
      </c>
      <c r="G496" s="14" t="n"/>
    </row>
    <row r="497" ht="79" customHeight="1">
      <c r="A497" s="12" t="inlineStr">
        <is>
          <t>R1548-v1</t>
        </is>
      </c>
      <c r="B497" s="12" t="inlineStr">
        <is>
          <t>CST-06-066</t>
        </is>
      </c>
      <c r="C497" s="12" t="inlineStr">
        <is>
          <t>New</t>
        </is>
      </c>
      <c r="D497" s="12" t="inlineStr">
        <is>
          <t>Record first supplied in this revision</t>
        </is>
      </c>
      <c r="E497" s="12" t="inlineStr"/>
      <c r="F497" s="65" t="inlineStr">
        <is>
          <t>10 EVIDENCE &amp; DECISIONS</t>
        </is>
      </c>
      <c r="G497" s="14" t="n"/>
    </row>
    <row r="498" ht="79" customHeight="1">
      <c r="A498" s="12" t="inlineStr">
        <is>
          <t>R1549-v1</t>
        </is>
      </c>
      <c r="B498" s="12" t="inlineStr">
        <is>
          <t>CST-06-067</t>
        </is>
      </c>
      <c r="C498" s="12" t="inlineStr">
        <is>
          <t>New</t>
        </is>
      </c>
      <c r="D498" s="12" t="inlineStr">
        <is>
          <t>Record first supplied in this revision</t>
        </is>
      </c>
      <c r="E498" s="12" t="inlineStr"/>
      <c r="F498" s="65" t="inlineStr">
        <is>
          <t>10 EVIDENCE &amp; DECISIONS</t>
        </is>
      </c>
      <c r="G498" s="14" t="n"/>
    </row>
    <row r="499" ht="79" customHeight="1">
      <c r="A499" s="12" t="inlineStr">
        <is>
          <t>R1550-v1</t>
        </is>
      </c>
      <c r="B499" s="12" t="inlineStr">
        <is>
          <t>CST-06-068</t>
        </is>
      </c>
      <c r="C499" s="12" t="inlineStr">
        <is>
          <t>New</t>
        </is>
      </c>
      <c r="D499" s="12" t="inlineStr">
        <is>
          <t>Record first supplied in this revision</t>
        </is>
      </c>
      <c r="E499" s="12" t="inlineStr"/>
      <c r="F499" s="65" t="inlineStr">
        <is>
          <t>10 EVIDENCE &amp; DECISIONS</t>
        </is>
      </c>
      <c r="G499" s="14" t="n"/>
    </row>
    <row r="500" ht="79" customHeight="1">
      <c r="A500" s="12" t="inlineStr">
        <is>
          <t>R1551-v1</t>
        </is>
      </c>
      <c r="B500" s="12" t="inlineStr">
        <is>
          <t>CST-06-069</t>
        </is>
      </c>
      <c r="C500" s="12" t="inlineStr">
        <is>
          <t>New</t>
        </is>
      </c>
      <c r="D500" s="12" t="inlineStr">
        <is>
          <t>Record first supplied in this revision</t>
        </is>
      </c>
      <c r="E500" s="12" t="inlineStr"/>
      <c r="F500" s="65" t="inlineStr">
        <is>
          <t>10 EVIDENCE &amp; DECISIONS</t>
        </is>
      </c>
      <c r="G500" s="14" t="n"/>
    </row>
    <row r="501" ht="79" customHeight="1">
      <c r="A501" s="12" t="inlineStr">
        <is>
          <t>R1552-v1</t>
        </is>
      </c>
      <c r="B501" s="12" t="inlineStr">
        <is>
          <t>CST-06-070</t>
        </is>
      </c>
      <c r="C501" s="12" t="inlineStr">
        <is>
          <t>New</t>
        </is>
      </c>
      <c r="D501" s="12" t="inlineStr">
        <is>
          <t>Record first supplied in this revision</t>
        </is>
      </c>
      <c r="E501" s="12" t="inlineStr"/>
      <c r="F501" s="65" t="inlineStr">
        <is>
          <t>10 EVIDENCE &amp; DECISIONS</t>
        </is>
      </c>
      <c r="G501" s="14" t="n"/>
    </row>
    <row r="502" ht="79" customHeight="1">
      <c r="A502" s="12" t="inlineStr">
        <is>
          <t>R1553-v1</t>
        </is>
      </c>
      <c r="B502" s="12" t="inlineStr">
        <is>
          <t>CST-06-071</t>
        </is>
      </c>
      <c r="C502" s="12" t="inlineStr">
        <is>
          <t>New</t>
        </is>
      </c>
      <c r="D502" s="12" t="inlineStr">
        <is>
          <t>Record first supplied in this revision</t>
        </is>
      </c>
      <c r="E502" s="12" t="inlineStr"/>
      <c r="F502" s="65" t="inlineStr">
        <is>
          <t>10 EVIDENCE &amp; DECISIONS</t>
        </is>
      </c>
      <c r="G502" s="14" t="n"/>
    </row>
    <row r="503" ht="79" customHeight="1">
      <c r="A503" s="12" t="inlineStr">
        <is>
          <t>R1554-v1</t>
        </is>
      </c>
      <c r="B503" s="12" t="inlineStr">
        <is>
          <t>CST-06-072</t>
        </is>
      </c>
      <c r="C503" s="12" t="inlineStr">
        <is>
          <t>New</t>
        </is>
      </c>
      <c r="D503" s="12" t="inlineStr">
        <is>
          <t>Record first supplied in this revision</t>
        </is>
      </c>
      <c r="E503" s="12" t="inlineStr"/>
      <c r="F503" s="65" t="inlineStr">
        <is>
          <t>10 EVIDENCE &amp; DECISIONS</t>
        </is>
      </c>
      <c r="G503" s="14" t="n"/>
    </row>
    <row r="504" ht="79" customHeight="1">
      <c r="A504" s="12" t="inlineStr">
        <is>
          <t>R1555-v1</t>
        </is>
      </c>
      <c r="B504" s="12" t="inlineStr">
        <is>
          <t>CST-06-073</t>
        </is>
      </c>
      <c r="C504" s="12" t="inlineStr">
        <is>
          <t>New</t>
        </is>
      </c>
      <c r="D504" s="12" t="inlineStr">
        <is>
          <t>Record first supplied in this revision</t>
        </is>
      </c>
      <c r="E504" s="12" t="inlineStr"/>
      <c r="F504" s="65" t="inlineStr">
        <is>
          <t>10 EVIDENCE &amp; DECISIONS</t>
        </is>
      </c>
      <c r="G504" s="14" t="n"/>
    </row>
    <row r="505" ht="79" customHeight="1">
      <c r="A505" s="12" t="inlineStr">
        <is>
          <t>R1556-v1</t>
        </is>
      </c>
      <c r="B505" s="12" t="inlineStr">
        <is>
          <t>CST-06-074</t>
        </is>
      </c>
      <c r="C505" s="12" t="inlineStr">
        <is>
          <t>New</t>
        </is>
      </c>
      <c r="D505" s="12" t="inlineStr">
        <is>
          <t>Record first supplied in this revision</t>
        </is>
      </c>
      <c r="E505" s="12" t="inlineStr"/>
      <c r="F505" s="65" t="inlineStr">
        <is>
          <t>10 EVIDENCE &amp; DECISIONS</t>
        </is>
      </c>
      <c r="G505" s="14" t="n"/>
    </row>
    <row r="506" ht="79" customHeight="1">
      <c r="A506" s="12" t="inlineStr">
        <is>
          <t>R1557-v1</t>
        </is>
      </c>
      <c r="B506" s="12" t="inlineStr">
        <is>
          <t>CST-06-075</t>
        </is>
      </c>
      <c r="C506" s="12" t="inlineStr">
        <is>
          <t>New</t>
        </is>
      </c>
      <c r="D506" s="12" t="inlineStr">
        <is>
          <t>Record first supplied in this revision</t>
        </is>
      </c>
      <c r="E506" s="12" t="inlineStr"/>
      <c r="F506" s="65" t="inlineStr">
        <is>
          <t>10 EVIDENCE &amp; DECISIONS</t>
        </is>
      </c>
      <c r="G506" s="14" t="n"/>
    </row>
    <row r="507" ht="79" customHeight="1">
      <c r="A507" s="12" t="inlineStr">
        <is>
          <t>R1558-v1</t>
        </is>
      </c>
      <c r="B507" s="12" t="inlineStr">
        <is>
          <t>CST-06-076</t>
        </is>
      </c>
      <c r="C507" s="12" t="inlineStr">
        <is>
          <t>New</t>
        </is>
      </c>
      <c r="D507" s="12" t="inlineStr">
        <is>
          <t>Record first supplied in this revision</t>
        </is>
      </c>
      <c r="E507" s="12" t="inlineStr"/>
      <c r="F507" s="65" t="inlineStr">
        <is>
          <t>10 EVIDENCE &amp; DECISIONS</t>
        </is>
      </c>
      <c r="G507" s="14" t="n"/>
    </row>
    <row r="508" ht="79" customHeight="1">
      <c r="A508" s="12" t="inlineStr">
        <is>
          <t>R1559-v1</t>
        </is>
      </c>
      <c r="B508" s="12" t="inlineStr">
        <is>
          <t>CST-06-077</t>
        </is>
      </c>
      <c r="C508" s="12" t="inlineStr">
        <is>
          <t>New</t>
        </is>
      </c>
      <c r="D508" s="12" t="inlineStr">
        <is>
          <t>Record first supplied in this revision</t>
        </is>
      </c>
      <c r="E508" s="12" t="inlineStr"/>
      <c r="F508" s="65" t="inlineStr">
        <is>
          <t>10 EVIDENCE &amp; DECISIONS</t>
        </is>
      </c>
      <c r="G508" s="14" t="n"/>
    </row>
    <row r="509" ht="79" customHeight="1">
      <c r="A509" s="12" t="inlineStr">
        <is>
          <t>R1560-v1</t>
        </is>
      </c>
      <c r="B509" s="12" t="inlineStr">
        <is>
          <t>CST-06-078</t>
        </is>
      </c>
      <c r="C509" s="12" t="inlineStr">
        <is>
          <t>New</t>
        </is>
      </c>
      <c r="D509" s="12" t="inlineStr">
        <is>
          <t>Record first supplied in this revision</t>
        </is>
      </c>
      <c r="E509" s="12" t="inlineStr"/>
      <c r="F509" s="65" t="inlineStr">
        <is>
          <t>10 EVIDENCE &amp; DECISIONS</t>
        </is>
      </c>
      <c r="G509" s="14" t="n"/>
    </row>
    <row r="510" ht="79" customHeight="1">
      <c r="A510" s="12" t="inlineStr">
        <is>
          <t>R1561-v1</t>
        </is>
      </c>
      <c r="B510" s="12" t="inlineStr">
        <is>
          <t>CST-06-079</t>
        </is>
      </c>
      <c r="C510" s="12" t="inlineStr">
        <is>
          <t>New</t>
        </is>
      </c>
      <c r="D510" s="12" t="inlineStr">
        <is>
          <t>Record first supplied in this revision</t>
        </is>
      </c>
      <c r="E510" s="12" t="inlineStr"/>
      <c r="F510" s="65" t="inlineStr">
        <is>
          <t>10 EVIDENCE &amp; DECISIONS</t>
        </is>
      </c>
      <c r="G510" s="14" t="n"/>
    </row>
    <row r="511" ht="79" customHeight="1">
      <c r="A511" s="12" t="inlineStr">
        <is>
          <t>R1562-v1</t>
        </is>
      </c>
      <c r="B511" s="12" t="inlineStr">
        <is>
          <t>CST-06-080</t>
        </is>
      </c>
      <c r="C511" s="12" t="inlineStr">
        <is>
          <t>New</t>
        </is>
      </c>
      <c r="D511" s="12" t="inlineStr">
        <is>
          <t>Record first supplied in this revision</t>
        </is>
      </c>
      <c r="E511" s="12" t="inlineStr"/>
      <c r="F511" s="65" t="inlineStr">
        <is>
          <t>10 EVIDENCE &amp; DECISIONS</t>
        </is>
      </c>
      <c r="G511" s="14" t="n"/>
    </row>
    <row r="512" ht="79" customHeight="1">
      <c r="A512" s="12" t="inlineStr">
        <is>
          <t>R1563-v2</t>
        </is>
      </c>
      <c r="B512" s="12" t="inlineStr">
        <is>
          <t>PKG-001</t>
        </is>
      </c>
      <c r="C512" s="12" t="inlineStr">
        <is>
          <t>New</t>
        </is>
      </c>
      <c r="D512" s="12" t="inlineStr">
        <is>
          <t>Record first supplied in this revision</t>
        </is>
      </c>
      <c r="E512" s="12" t="inlineStr">
        <is>
          <t>Maya Chen, Owner Project Controls</t>
        </is>
      </c>
      <c r="F512" s="65" t="inlineStr">
        <is>
          <t>10 EVIDENCE &amp; DECISIONS</t>
        </is>
      </c>
      <c r="G512" s="14" t="n"/>
    </row>
    <row r="513" ht="79" customHeight="1">
      <c r="A513" s="12" t="inlineStr">
        <is>
          <t>R1564-v1</t>
        </is>
      </c>
      <c r="B513" s="12" t="inlineStr">
        <is>
          <t>PKG-002</t>
        </is>
      </c>
      <c r="C513" s="12" t="inlineStr">
        <is>
          <t>New</t>
        </is>
      </c>
      <c r="D513" s="12" t="inlineStr">
        <is>
          <t>Record first supplied in this revision</t>
        </is>
      </c>
      <c r="E513" s="12" t="inlineStr"/>
      <c r="F513" s="65" t="inlineStr">
        <is>
          <t>10 EVIDENCE &amp; DECISIONS</t>
        </is>
      </c>
      <c r="G513" s="14" t="n"/>
    </row>
    <row r="514" ht="79" customHeight="1">
      <c r="A514" s="12" t="inlineStr">
        <is>
          <t>R1565-v1</t>
        </is>
      </c>
      <c r="B514" s="12" t="inlineStr">
        <is>
          <t>PKG-003</t>
        </is>
      </c>
      <c r="C514" s="12" t="inlineStr">
        <is>
          <t>New</t>
        </is>
      </c>
      <c r="D514" s="12" t="inlineStr">
        <is>
          <t>Record first supplied in this revision</t>
        </is>
      </c>
      <c r="E514" s="12" t="inlineStr"/>
      <c r="F514" s="65" t="inlineStr">
        <is>
          <t>10 EVIDENCE &amp; DECISIONS</t>
        </is>
      </c>
      <c r="G514" s="14" t="n"/>
    </row>
    <row r="515" ht="79" customHeight="1">
      <c r="A515" s="12" t="inlineStr">
        <is>
          <t>R1566-v1</t>
        </is>
      </c>
      <c r="B515" s="12" t="inlineStr">
        <is>
          <t>PKG-004</t>
        </is>
      </c>
      <c r="C515" s="12" t="inlineStr">
        <is>
          <t>New</t>
        </is>
      </c>
      <c r="D515" s="12" t="inlineStr">
        <is>
          <t>Record first supplied in this revision</t>
        </is>
      </c>
      <c r="E515" s="12" t="inlineStr"/>
      <c r="F515" s="65" t="inlineStr">
        <is>
          <t>10 EVIDENCE &amp; DECISIONS</t>
        </is>
      </c>
      <c r="G515" s="14" t="n"/>
    </row>
    <row r="516" ht="79" customHeight="1">
      <c r="A516" s="12" t="inlineStr">
        <is>
          <t>R1567-v1</t>
        </is>
      </c>
      <c r="B516" s="12" t="inlineStr">
        <is>
          <t>PKG-005</t>
        </is>
      </c>
      <c r="C516" s="12" t="inlineStr">
        <is>
          <t>New</t>
        </is>
      </c>
      <c r="D516" s="12" t="inlineStr">
        <is>
          <t>Record first supplied in this revision</t>
        </is>
      </c>
      <c r="E516" s="12" t="inlineStr"/>
      <c r="F516" s="65" t="inlineStr">
        <is>
          <t>10 EVIDENCE &amp; DECISIONS</t>
        </is>
      </c>
      <c r="G516" s="14" t="n"/>
    </row>
    <row r="517" ht="79" customHeight="1">
      <c r="A517" s="12" t="inlineStr">
        <is>
          <t>R1568-v1</t>
        </is>
      </c>
      <c r="B517" s="12" t="inlineStr">
        <is>
          <t>PKG-006</t>
        </is>
      </c>
      <c r="C517" s="12" t="inlineStr">
        <is>
          <t>New</t>
        </is>
      </c>
      <c r="D517" s="12" t="inlineStr">
        <is>
          <t>Record first supplied in this revision</t>
        </is>
      </c>
      <c r="E517" s="12" t="inlineStr"/>
      <c r="F517" s="65" t="inlineStr">
        <is>
          <t>10 EVIDENCE &amp; DECISIONS</t>
        </is>
      </c>
      <c r="G517" s="14" t="n"/>
    </row>
    <row r="518" ht="79" customHeight="1">
      <c r="A518" s="12" t="inlineStr">
        <is>
          <t>R1569-v1</t>
        </is>
      </c>
      <c r="B518" s="12" t="inlineStr">
        <is>
          <t>PKG-007</t>
        </is>
      </c>
      <c r="C518" s="12" t="inlineStr">
        <is>
          <t>New</t>
        </is>
      </c>
      <c r="D518" s="12" t="inlineStr">
        <is>
          <t>Record first supplied in this revision</t>
        </is>
      </c>
      <c r="E518" s="12" t="inlineStr"/>
      <c r="F518" s="65" t="inlineStr">
        <is>
          <t>10 EVIDENCE &amp; DECISIONS</t>
        </is>
      </c>
      <c r="G518" s="14" t="n"/>
    </row>
    <row r="519" ht="79" customHeight="1">
      <c r="A519" s="12" t="inlineStr">
        <is>
          <t>R1570-v1</t>
        </is>
      </c>
      <c r="B519" s="12" t="inlineStr">
        <is>
          <t>PKG-008</t>
        </is>
      </c>
      <c r="C519" s="12" t="inlineStr">
        <is>
          <t>New</t>
        </is>
      </c>
      <c r="D519" s="12" t="inlineStr">
        <is>
          <t>Record first supplied in this revision</t>
        </is>
      </c>
      <c r="E519" s="12" t="inlineStr"/>
      <c r="F519" s="65" t="inlineStr">
        <is>
          <t>10 EVIDENCE &amp; DECISIONS</t>
        </is>
      </c>
      <c r="G519" s="14" t="n"/>
    </row>
    <row r="520" ht="79" customHeight="1">
      <c r="A520" s="12" t="inlineStr">
        <is>
          <t>R1571-v1</t>
        </is>
      </c>
      <c r="B520" s="12" t="inlineStr">
        <is>
          <t>PKG-009</t>
        </is>
      </c>
      <c r="C520" s="12" t="inlineStr">
        <is>
          <t>New</t>
        </is>
      </c>
      <c r="D520" s="12" t="inlineStr">
        <is>
          <t>Record first supplied in this revision</t>
        </is>
      </c>
      <c r="E520" s="12" t="inlineStr"/>
      <c r="F520" s="65" t="inlineStr">
        <is>
          <t>10 EVIDENCE &amp; DECISIONS</t>
        </is>
      </c>
      <c r="G520" s="14" t="n"/>
    </row>
    <row r="521" ht="79" customHeight="1">
      <c r="A521" s="12" t="inlineStr">
        <is>
          <t>R1572-v1</t>
        </is>
      </c>
      <c r="B521" s="12" t="inlineStr">
        <is>
          <t>PKG-010</t>
        </is>
      </c>
      <c r="C521" s="12" t="inlineStr">
        <is>
          <t>New</t>
        </is>
      </c>
      <c r="D521" s="12" t="inlineStr">
        <is>
          <t>Record first supplied in this revision</t>
        </is>
      </c>
      <c r="E521" s="12" t="inlineStr"/>
      <c r="F521" s="65" t="inlineStr">
        <is>
          <t>10 EVIDENCE &amp; DECISIONS</t>
        </is>
      </c>
      <c r="G521" s="14" t="n"/>
    </row>
    <row r="522" ht="79" customHeight="1">
      <c r="A522" s="12" t="inlineStr">
        <is>
          <t>R1573-v1</t>
        </is>
      </c>
      <c r="B522" s="12" t="inlineStr">
        <is>
          <t>PKG-011</t>
        </is>
      </c>
      <c r="C522" s="12" t="inlineStr">
        <is>
          <t>New</t>
        </is>
      </c>
      <c r="D522" s="12" t="inlineStr">
        <is>
          <t>Record first supplied in this revision</t>
        </is>
      </c>
      <c r="E522" s="12" t="inlineStr"/>
      <c r="F522" s="65" t="inlineStr">
        <is>
          <t>10 EVIDENCE &amp; DECISIONS</t>
        </is>
      </c>
      <c r="G522" s="14" t="n"/>
    </row>
    <row r="523" ht="79" customHeight="1">
      <c r="A523" s="12" t="inlineStr">
        <is>
          <t>R1574-v1</t>
        </is>
      </c>
      <c r="B523" s="12" t="inlineStr">
        <is>
          <t>PKG-012</t>
        </is>
      </c>
      <c r="C523" s="12" t="inlineStr">
        <is>
          <t>New</t>
        </is>
      </c>
      <c r="D523" s="12" t="inlineStr">
        <is>
          <t>Record first supplied in this revision</t>
        </is>
      </c>
      <c r="E523" s="12" t="inlineStr"/>
      <c r="F523" s="65" t="inlineStr">
        <is>
          <t>10 EVIDENCE &amp; DECISIONS</t>
        </is>
      </c>
      <c r="G523" s="14" t="n"/>
    </row>
    <row r="524" ht="79" customHeight="1">
      <c r="A524" s="12" t="inlineStr">
        <is>
          <t>R1575-v1</t>
        </is>
      </c>
      <c r="B524" s="12" t="inlineStr">
        <is>
          <t>PKG-013</t>
        </is>
      </c>
      <c r="C524" s="12" t="inlineStr">
        <is>
          <t>New</t>
        </is>
      </c>
      <c r="D524" s="12" t="inlineStr">
        <is>
          <t>Record first supplied in this revision</t>
        </is>
      </c>
      <c r="E524" s="12" t="inlineStr"/>
      <c r="F524" s="65" t="inlineStr">
        <is>
          <t>10 EVIDENCE &amp; DECISIONS</t>
        </is>
      </c>
      <c r="G524" s="14" t="n"/>
    </row>
    <row r="525" ht="79" customHeight="1">
      <c r="A525" s="12" t="inlineStr">
        <is>
          <t>R1576-v1</t>
        </is>
      </c>
      <c r="B525" s="12" t="inlineStr">
        <is>
          <t>PKG-014</t>
        </is>
      </c>
      <c r="C525" s="12" t="inlineStr">
        <is>
          <t>New</t>
        </is>
      </c>
      <c r="D525" s="12" t="inlineStr">
        <is>
          <t>Record first supplied in this revision</t>
        </is>
      </c>
      <c r="E525" s="12" t="inlineStr"/>
      <c r="F525" s="65" t="inlineStr">
        <is>
          <t>10 EVIDENCE &amp; DECISIONS</t>
        </is>
      </c>
      <c r="G525" s="14" t="n"/>
    </row>
    <row r="526" ht="79" customHeight="1">
      <c r="A526" s="12" t="inlineStr">
        <is>
          <t>R1577-v1</t>
        </is>
      </c>
      <c r="B526" s="12" t="inlineStr">
        <is>
          <t>PKG-015</t>
        </is>
      </c>
      <c r="C526" s="12" t="inlineStr">
        <is>
          <t>New</t>
        </is>
      </c>
      <c r="D526" s="12" t="inlineStr">
        <is>
          <t>Record first supplied in this revision</t>
        </is>
      </c>
      <c r="E526" s="12" t="inlineStr"/>
      <c r="F526" s="65" t="inlineStr">
        <is>
          <t>10 EVIDENCE &amp; DECISIONS</t>
        </is>
      </c>
      <c r="G526" s="14" t="n"/>
    </row>
    <row r="527" ht="79" customHeight="1">
      <c r="A527" s="12" t="inlineStr">
        <is>
          <t>R1578-v1</t>
        </is>
      </c>
      <c r="B527" s="12" t="inlineStr">
        <is>
          <t>PKG-016</t>
        </is>
      </c>
      <c r="C527" s="12" t="inlineStr">
        <is>
          <t>New</t>
        </is>
      </c>
      <c r="D527" s="12" t="inlineStr">
        <is>
          <t>Record first supplied in this revision</t>
        </is>
      </c>
      <c r="E527" s="12" t="inlineStr"/>
      <c r="F527" s="65" t="inlineStr">
        <is>
          <t>10 EVIDENCE &amp; DECISIONS</t>
        </is>
      </c>
      <c r="G527" s="14" t="n"/>
    </row>
    <row r="528" ht="79" customHeight="1">
      <c r="A528" s="12" t="inlineStr">
        <is>
          <t>R1579-v1</t>
        </is>
      </c>
      <c r="B528" s="12" t="inlineStr">
        <is>
          <t>PKG-017</t>
        </is>
      </c>
      <c r="C528" s="12" t="inlineStr">
        <is>
          <t>New</t>
        </is>
      </c>
      <c r="D528" s="12" t="inlineStr">
        <is>
          <t>Record first supplied in this revision</t>
        </is>
      </c>
      <c r="E528" s="12" t="inlineStr"/>
      <c r="F528" s="65" t="inlineStr">
        <is>
          <t>10 EVIDENCE &amp; DECISIONS</t>
        </is>
      </c>
      <c r="G528" s="14" t="n"/>
    </row>
    <row r="529" ht="79" customHeight="1">
      <c r="A529" s="12" t="inlineStr">
        <is>
          <t>R1580-v1</t>
        </is>
      </c>
      <c r="B529" s="12" t="inlineStr">
        <is>
          <t>PKG-018</t>
        </is>
      </c>
      <c r="C529" s="12" t="inlineStr">
        <is>
          <t>New</t>
        </is>
      </c>
      <c r="D529" s="12" t="inlineStr">
        <is>
          <t>Record first supplied in this revision</t>
        </is>
      </c>
      <c r="E529" s="12" t="inlineStr"/>
      <c r="F529" s="65" t="inlineStr">
        <is>
          <t>10 EVIDENCE &amp; DECISIONS</t>
        </is>
      </c>
      <c r="G529" s="14" t="n"/>
    </row>
    <row r="530" ht="79" customHeight="1">
      <c r="A530" s="12" t="inlineStr">
        <is>
          <t>R1581-v1</t>
        </is>
      </c>
      <c r="B530" s="12" t="inlineStr">
        <is>
          <t>PKG-019</t>
        </is>
      </c>
      <c r="C530" s="12" t="inlineStr">
        <is>
          <t>New</t>
        </is>
      </c>
      <c r="D530" s="12" t="inlineStr">
        <is>
          <t>Record first supplied in this revision</t>
        </is>
      </c>
      <c r="E530" s="12" t="inlineStr"/>
      <c r="F530" s="65" t="inlineStr">
        <is>
          <t>10 EVIDENCE &amp; DECISIONS</t>
        </is>
      </c>
      <c r="G530" s="14" t="n"/>
    </row>
    <row r="531" ht="79" customHeight="1">
      <c r="A531" s="12" t="inlineStr">
        <is>
          <t>R1582-v1</t>
        </is>
      </c>
      <c r="B531" s="12" t="inlineStr">
        <is>
          <t>PKG-020</t>
        </is>
      </c>
      <c r="C531" s="12" t="inlineStr">
        <is>
          <t>New</t>
        </is>
      </c>
      <c r="D531" s="12" t="inlineStr">
        <is>
          <t>Record first supplied in this revision</t>
        </is>
      </c>
      <c r="E531" s="12" t="inlineStr"/>
      <c r="F531" s="65" t="inlineStr">
        <is>
          <t>10 EVIDENCE &amp; DECISIONS</t>
        </is>
      </c>
      <c r="G531" s="14" t="n"/>
    </row>
    <row r="532" ht="79" customHeight="1">
      <c r="A532" s="12" t="inlineStr">
        <is>
          <t>R1583-v1</t>
        </is>
      </c>
      <c r="B532" s="12" t="inlineStr">
        <is>
          <t>PKG-021</t>
        </is>
      </c>
      <c r="C532" s="12" t="inlineStr">
        <is>
          <t>New</t>
        </is>
      </c>
      <c r="D532" s="12" t="inlineStr">
        <is>
          <t>Record first supplied in this revision</t>
        </is>
      </c>
      <c r="E532" s="12" t="inlineStr"/>
      <c r="F532" s="65" t="inlineStr">
        <is>
          <t>10 EVIDENCE &amp; DECISIONS</t>
        </is>
      </c>
      <c r="G532" s="14" t="n"/>
    </row>
    <row r="533" ht="79" customHeight="1">
      <c r="A533" s="12" t="inlineStr">
        <is>
          <t>R1584-v1</t>
        </is>
      </c>
      <c r="B533" s="12" t="inlineStr">
        <is>
          <t>PKG-022</t>
        </is>
      </c>
      <c r="C533" s="12" t="inlineStr">
        <is>
          <t>New</t>
        </is>
      </c>
      <c r="D533" s="12" t="inlineStr">
        <is>
          <t>Record first supplied in this revision</t>
        </is>
      </c>
      <c r="E533" s="12" t="inlineStr"/>
      <c r="F533" s="65" t="inlineStr">
        <is>
          <t>10 EVIDENCE &amp; DECISIONS</t>
        </is>
      </c>
      <c r="G533" s="14" t="n"/>
    </row>
    <row r="534" ht="79" customHeight="1">
      <c r="A534" s="12" t="inlineStr">
        <is>
          <t>R1585-v1</t>
        </is>
      </c>
      <c r="B534" s="12" t="inlineStr">
        <is>
          <t>PKG-023</t>
        </is>
      </c>
      <c r="C534" s="12" t="inlineStr">
        <is>
          <t>New</t>
        </is>
      </c>
      <c r="D534" s="12" t="inlineStr">
        <is>
          <t>Record first supplied in this revision</t>
        </is>
      </c>
      <c r="E534" s="12" t="inlineStr"/>
      <c r="F534" s="65" t="inlineStr">
        <is>
          <t>10 EVIDENCE &amp; DECISIONS</t>
        </is>
      </c>
      <c r="G534" s="14" t="n"/>
    </row>
    <row r="535" ht="79" customHeight="1">
      <c r="A535" s="12" t="inlineStr">
        <is>
          <t>R1586-v1</t>
        </is>
      </c>
      <c r="B535" s="12" t="inlineStr">
        <is>
          <t>PKG-024</t>
        </is>
      </c>
      <c r="C535" s="12" t="inlineStr">
        <is>
          <t>New</t>
        </is>
      </c>
      <c r="D535" s="12" t="inlineStr">
        <is>
          <t>Record first supplied in this revision</t>
        </is>
      </c>
      <c r="E535" s="12" t="inlineStr"/>
      <c r="F535" s="65" t="inlineStr">
        <is>
          <t>10 EVIDENCE &amp; DECISIONS</t>
        </is>
      </c>
      <c r="G535" s="14" t="n"/>
    </row>
    <row r="536" ht="79" customHeight="1">
      <c r="A536" s="12" t="inlineStr">
        <is>
          <t>R1587-v1</t>
        </is>
      </c>
      <c r="B536" s="12" t="inlineStr">
        <is>
          <t>PKG-025</t>
        </is>
      </c>
      <c r="C536" s="12" t="inlineStr">
        <is>
          <t>New</t>
        </is>
      </c>
      <c r="D536" s="12" t="inlineStr">
        <is>
          <t>Record first supplied in this revision</t>
        </is>
      </c>
      <c r="E536" s="12" t="inlineStr"/>
      <c r="F536" s="65" t="inlineStr">
        <is>
          <t>10 EVIDENCE &amp; DECISIONS</t>
        </is>
      </c>
      <c r="G536" s="14" t="n"/>
    </row>
    <row r="537" ht="79" customHeight="1">
      <c r="A537" s="12" t="inlineStr">
        <is>
          <t>R1588-v1</t>
        </is>
      </c>
      <c r="B537" s="12" t="inlineStr">
        <is>
          <t>PKG-026</t>
        </is>
      </c>
      <c r="C537" s="12" t="inlineStr">
        <is>
          <t>New</t>
        </is>
      </c>
      <c r="D537" s="12" t="inlineStr">
        <is>
          <t>Record first supplied in this revision</t>
        </is>
      </c>
      <c r="E537" s="12" t="inlineStr"/>
      <c r="F537" s="65" t="inlineStr">
        <is>
          <t>10 EVIDENCE &amp; DECISIONS</t>
        </is>
      </c>
      <c r="G537" s="14" t="n"/>
    </row>
    <row r="538" ht="79" customHeight="1">
      <c r="A538" s="12" t="inlineStr">
        <is>
          <t>R1589-v1</t>
        </is>
      </c>
      <c r="B538" s="12" t="inlineStr">
        <is>
          <t>PKG-027</t>
        </is>
      </c>
      <c r="C538" s="12" t="inlineStr">
        <is>
          <t>New</t>
        </is>
      </c>
      <c r="D538" s="12" t="inlineStr">
        <is>
          <t>Record first supplied in this revision</t>
        </is>
      </c>
      <c r="E538" s="12" t="inlineStr"/>
      <c r="F538" s="65" t="inlineStr">
        <is>
          <t>10 EVIDENCE &amp; DECISIONS</t>
        </is>
      </c>
      <c r="G538" s="14" t="n"/>
    </row>
    <row r="539" ht="79" customHeight="1">
      <c r="A539" s="12" t="inlineStr">
        <is>
          <t>R1590-v1</t>
        </is>
      </c>
      <c r="B539" s="12" t="inlineStr">
        <is>
          <t>PKG-028</t>
        </is>
      </c>
      <c r="C539" s="12" t="inlineStr">
        <is>
          <t>New</t>
        </is>
      </c>
      <c r="D539" s="12" t="inlineStr">
        <is>
          <t>Record first supplied in this revision</t>
        </is>
      </c>
      <c r="E539" s="12" t="inlineStr"/>
      <c r="F539" s="65" t="inlineStr">
        <is>
          <t>10 EVIDENCE &amp; DECISIONS</t>
        </is>
      </c>
      <c r="G539" s="14" t="n"/>
    </row>
    <row r="540" ht="79" customHeight="1">
      <c r="A540" s="12" t="inlineStr">
        <is>
          <t>R1591-v1</t>
        </is>
      </c>
      <c r="B540" s="12" t="inlineStr">
        <is>
          <t>PKG-029</t>
        </is>
      </c>
      <c r="C540" s="12" t="inlineStr">
        <is>
          <t>New</t>
        </is>
      </c>
      <c r="D540" s="12" t="inlineStr">
        <is>
          <t>Record first supplied in this revision</t>
        </is>
      </c>
      <c r="E540" s="12" t="inlineStr"/>
      <c r="F540" s="65" t="inlineStr">
        <is>
          <t>10 EVIDENCE &amp; DECISIONS</t>
        </is>
      </c>
      <c r="G540" s="14" t="n"/>
    </row>
    <row r="541" ht="79" customHeight="1">
      <c r="A541" s="12" t="inlineStr">
        <is>
          <t>R1592-v1</t>
        </is>
      </c>
      <c r="B541" s="12" t="inlineStr">
        <is>
          <t>PKG-030</t>
        </is>
      </c>
      <c r="C541" s="12" t="inlineStr">
        <is>
          <t>New</t>
        </is>
      </c>
      <c r="D541" s="12" t="inlineStr">
        <is>
          <t>Record first supplied in this revision</t>
        </is>
      </c>
      <c r="E541" s="12" t="inlineStr"/>
      <c r="F541" s="65" t="inlineStr">
        <is>
          <t>10 EVIDENCE &amp; DECISIONS</t>
        </is>
      </c>
      <c r="G541" s="14" t="n"/>
    </row>
    <row r="542" ht="79" customHeight="1">
      <c r="A542" s="12" t="inlineStr">
        <is>
          <t>R1593-v1</t>
        </is>
      </c>
      <c r="B542" s="12" t="inlineStr">
        <is>
          <t>PKG-031</t>
        </is>
      </c>
      <c r="C542" s="12" t="inlineStr">
        <is>
          <t>New</t>
        </is>
      </c>
      <c r="D542" s="12" t="inlineStr">
        <is>
          <t>Record first supplied in this revision</t>
        </is>
      </c>
      <c r="E542" s="12" t="inlineStr"/>
      <c r="F542" s="65" t="inlineStr">
        <is>
          <t>10 EVIDENCE &amp; DECISIONS</t>
        </is>
      </c>
      <c r="G542" s="14" t="n"/>
    </row>
    <row r="543" ht="79" customHeight="1">
      <c r="A543" s="12" t="inlineStr">
        <is>
          <t>R1594-v1</t>
        </is>
      </c>
      <c r="B543" s="12" t="inlineStr">
        <is>
          <t>PKG-032</t>
        </is>
      </c>
      <c r="C543" s="12" t="inlineStr">
        <is>
          <t>New</t>
        </is>
      </c>
      <c r="D543" s="12" t="inlineStr">
        <is>
          <t>Record first supplied in this revision</t>
        </is>
      </c>
      <c r="E543" s="12" t="inlineStr"/>
      <c r="F543" s="65" t="inlineStr">
        <is>
          <t>10 EVIDENCE &amp; DECISIONS</t>
        </is>
      </c>
      <c r="G543" s="14" t="n"/>
    </row>
    <row r="544" ht="79" customHeight="1">
      <c r="A544" s="12" t="inlineStr">
        <is>
          <t>R1595-v1</t>
        </is>
      </c>
      <c r="B544" s="12" t="inlineStr">
        <is>
          <t>PKG-033</t>
        </is>
      </c>
      <c r="C544" s="12" t="inlineStr">
        <is>
          <t>New</t>
        </is>
      </c>
      <c r="D544" s="12" t="inlineStr">
        <is>
          <t>Record first supplied in this revision</t>
        </is>
      </c>
      <c r="E544" s="12" t="inlineStr"/>
      <c r="F544" s="65" t="inlineStr">
        <is>
          <t>10 EVIDENCE &amp; DECISIONS</t>
        </is>
      </c>
      <c r="G544" s="14" t="n"/>
    </row>
    <row r="545" ht="79" customHeight="1">
      <c r="A545" s="12" t="inlineStr">
        <is>
          <t>R1596-v1</t>
        </is>
      </c>
      <c r="B545" s="12" t="inlineStr">
        <is>
          <t>PKG-034</t>
        </is>
      </c>
      <c r="C545" s="12" t="inlineStr">
        <is>
          <t>New</t>
        </is>
      </c>
      <c r="D545" s="12" t="inlineStr">
        <is>
          <t>Record first supplied in this revision</t>
        </is>
      </c>
      <c r="E545" s="12" t="inlineStr"/>
      <c r="F545" s="65" t="inlineStr">
        <is>
          <t>10 EVIDENCE &amp; DECISIONS</t>
        </is>
      </c>
      <c r="G545" s="14" t="n"/>
    </row>
    <row r="546" ht="79" customHeight="1">
      <c r="A546" s="12" t="inlineStr">
        <is>
          <t>R1597-v1</t>
        </is>
      </c>
      <c r="B546" s="12" t="inlineStr">
        <is>
          <t>PKG-035</t>
        </is>
      </c>
      <c r="C546" s="12" t="inlineStr">
        <is>
          <t>New</t>
        </is>
      </c>
      <c r="D546" s="12" t="inlineStr">
        <is>
          <t>Record first supplied in this revision</t>
        </is>
      </c>
      <c r="E546" s="12" t="inlineStr"/>
      <c r="F546" s="65" t="inlineStr">
        <is>
          <t>10 EVIDENCE &amp; DECISIONS</t>
        </is>
      </c>
      <c r="G546" s="14" t="n"/>
    </row>
    <row r="547" ht="79" customHeight="1">
      <c r="A547" s="12" t="inlineStr">
        <is>
          <t>R1598-v1</t>
        </is>
      </c>
      <c r="B547" s="12" t="inlineStr">
        <is>
          <t>PKG-036</t>
        </is>
      </c>
      <c r="C547" s="12" t="inlineStr">
        <is>
          <t>New</t>
        </is>
      </c>
      <c r="D547" s="12" t="inlineStr">
        <is>
          <t>Record first supplied in this revision</t>
        </is>
      </c>
      <c r="E547" s="12" t="inlineStr"/>
      <c r="F547" s="65" t="inlineStr">
        <is>
          <t>10 EVIDENCE &amp; DECISIONS</t>
        </is>
      </c>
      <c r="G547" s="14" t="n"/>
    </row>
    <row r="548" ht="79" customHeight="1">
      <c r="A548" s="12" t="inlineStr">
        <is>
          <t>R1599-v1</t>
        </is>
      </c>
      <c r="B548" s="12" t="inlineStr">
        <is>
          <t>PKG-037</t>
        </is>
      </c>
      <c r="C548" s="12" t="inlineStr">
        <is>
          <t>New</t>
        </is>
      </c>
      <c r="D548" s="12" t="inlineStr">
        <is>
          <t>Record first supplied in this revision</t>
        </is>
      </c>
      <c r="E548" s="12" t="inlineStr"/>
      <c r="F548" s="65" t="inlineStr">
        <is>
          <t>10 EVIDENCE &amp; DECISIONS</t>
        </is>
      </c>
      <c r="G548" s="14" t="n"/>
    </row>
    <row r="549" ht="79" customHeight="1">
      <c r="A549" s="12" t="inlineStr">
        <is>
          <t>R1600-v1</t>
        </is>
      </c>
      <c r="B549" s="12" t="inlineStr">
        <is>
          <t>PKG-038</t>
        </is>
      </c>
      <c r="C549" s="12" t="inlineStr">
        <is>
          <t>New</t>
        </is>
      </c>
      <c r="D549" s="12" t="inlineStr">
        <is>
          <t>Record first supplied in this revision</t>
        </is>
      </c>
      <c r="E549" s="12" t="inlineStr"/>
      <c r="F549" s="65" t="inlineStr">
        <is>
          <t>10 EVIDENCE &amp; DECISIONS</t>
        </is>
      </c>
      <c r="G549" s="14" t="n"/>
    </row>
    <row r="550" ht="79" customHeight="1">
      <c r="A550" s="12" t="inlineStr">
        <is>
          <t>R1601-v1</t>
        </is>
      </c>
      <c r="B550" s="12" t="inlineStr">
        <is>
          <t>PKG-039</t>
        </is>
      </c>
      <c r="C550" s="12" t="inlineStr">
        <is>
          <t>New</t>
        </is>
      </c>
      <c r="D550" s="12" t="inlineStr">
        <is>
          <t>Record first supplied in this revision</t>
        </is>
      </c>
      <c r="E550" s="12" t="inlineStr"/>
      <c r="F550" s="65" t="inlineStr">
        <is>
          <t>10 EVIDENCE &amp; DECISIONS</t>
        </is>
      </c>
      <c r="G550" s="14" t="n"/>
    </row>
    <row r="551" ht="79" customHeight="1">
      <c r="A551" s="12" t="inlineStr">
        <is>
          <t>R1602-v1</t>
        </is>
      </c>
      <c r="B551" s="12" t="inlineStr">
        <is>
          <t>PKG-040</t>
        </is>
      </c>
      <c r="C551" s="12" t="inlineStr">
        <is>
          <t>New</t>
        </is>
      </c>
      <c r="D551" s="12" t="inlineStr">
        <is>
          <t>Record first supplied in this revision</t>
        </is>
      </c>
      <c r="E551" s="12" t="inlineStr"/>
      <c r="F551" s="65" t="inlineStr">
        <is>
          <t>10 EVIDENCE &amp; DECISIONS</t>
        </is>
      </c>
      <c r="G551" s="14" t="n"/>
    </row>
    <row r="552" ht="79" customHeight="1">
      <c r="A552" s="12" t="inlineStr">
        <is>
          <t>R1603-v1</t>
        </is>
      </c>
      <c r="B552" s="12" t="inlineStr">
        <is>
          <t>PKG-041</t>
        </is>
      </c>
      <c r="C552" s="12" t="inlineStr">
        <is>
          <t>New</t>
        </is>
      </c>
      <c r="D552" s="12" t="inlineStr">
        <is>
          <t>Record first supplied in this revision</t>
        </is>
      </c>
      <c r="E552" s="12" t="inlineStr"/>
      <c r="F552" s="65" t="inlineStr">
        <is>
          <t>10 EVIDENCE &amp; DECISIONS</t>
        </is>
      </c>
      <c r="G552" s="14" t="n"/>
    </row>
    <row r="553" ht="79" customHeight="1">
      <c r="A553" s="12" t="inlineStr">
        <is>
          <t>R1604-v1</t>
        </is>
      </c>
      <c r="B553" s="12" t="inlineStr">
        <is>
          <t>PKG-042</t>
        </is>
      </c>
      <c r="C553" s="12" t="inlineStr">
        <is>
          <t>New</t>
        </is>
      </c>
      <c r="D553" s="12" t="inlineStr">
        <is>
          <t>Record first supplied in this revision</t>
        </is>
      </c>
      <c r="E553" s="12" t="inlineStr"/>
      <c r="F553" s="65" t="inlineStr">
        <is>
          <t>10 EVIDENCE &amp; DECISIONS</t>
        </is>
      </c>
      <c r="G553" s="14" t="n"/>
    </row>
    <row r="554" ht="79" customHeight="1">
      <c r="A554" s="12" t="inlineStr">
        <is>
          <t>R1605-v1</t>
        </is>
      </c>
      <c r="B554" s="12" t="inlineStr">
        <is>
          <t>PKG-043</t>
        </is>
      </c>
      <c r="C554" s="12" t="inlineStr">
        <is>
          <t>New</t>
        </is>
      </c>
      <c r="D554" s="12" t="inlineStr">
        <is>
          <t>Record first supplied in this revision</t>
        </is>
      </c>
      <c r="E554" s="12" t="inlineStr"/>
      <c r="F554" s="65" t="inlineStr">
        <is>
          <t>10 EVIDENCE &amp; DECISIONS</t>
        </is>
      </c>
      <c r="G554" s="14" t="n"/>
    </row>
    <row r="555" ht="79" customHeight="1">
      <c r="A555" s="12" t="inlineStr">
        <is>
          <t>R1606-v1</t>
        </is>
      </c>
      <c r="B555" s="12" t="inlineStr">
        <is>
          <t>PKG-044</t>
        </is>
      </c>
      <c r="C555" s="12" t="inlineStr">
        <is>
          <t>New</t>
        </is>
      </c>
      <c r="D555" s="12" t="inlineStr">
        <is>
          <t>Record first supplied in this revision</t>
        </is>
      </c>
      <c r="E555" s="12" t="inlineStr"/>
      <c r="F555" s="65" t="inlineStr">
        <is>
          <t>10 EVIDENCE &amp; DECISIONS</t>
        </is>
      </c>
      <c r="G555" s="14" t="n"/>
    </row>
    <row r="556" ht="79" customHeight="1">
      <c r="A556" s="12" t="inlineStr">
        <is>
          <t>R1607-v1</t>
        </is>
      </c>
      <c r="B556" s="12" t="inlineStr">
        <is>
          <t>PKG-045</t>
        </is>
      </c>
      <c r="C556" s="12" t="inlineStr">
        <is>
          <t>New</t>
        </is>
      </c>
      <c r="D556" s="12" t="inlineStr">
        <is>
          <t>Record first supplied in this revision</t>
        </is>
      </c>
      <c r="E556" s="12" t="inlineStr"/>
      <c r="F556" s="65" t="inlineStr">
        <is>
          <t>10 EVIDENCE &amp; DECISIONS</t>
        </is>
      </c>
      <c r="G556" s="14" t="n"/>
    </row>
    <row r="557" ht="79" customHeight="1">
      <c r="A557" s="12" t="inlineStr">
        <is>
          <t>R1608-v1</t>
        </is>
      </c>
      <c r="B557" s="12" t="inlineStr">
        <is>
          <t>PKG-046</t>
        </is>
      </c>
      <c r="C557" s="12" t="inlineStr">
        <is>
          <t>New</t>
        </is>
      </c>
      <c r="D557" s="12" t="inlineStr">
        <is>
          <t>Record first supplied in this revision</t>
        </is>
      </c>
      <c r="E557" s="12" t="inlineStr"/>
      <c r="F557" s="65" t="inlineStr">
        <is>
          <t>10 EVIDENCE &amp; DECISIONS</t>
        </is>
      </c>
      <c r="G557" s="14" t="n"/>
    </row>
    <row r="558" ht="79" customHeight="1">
      <c r="A558" s="12" t="inlineStr">
        <is>
          <t>R1609-v1</t>
        </is>
      </c>
      <c r="B558" s="12" t="inlineStr">
        <is>
          <t>PKG-047</t>
        </is>
      </c>
      <c r="C558" s="12" t="inlineStr">
        <is>
          <t>New</t>
        </is>
      </c>
      <c r="D558" s="12" t="inlineStr">
        <is>
          <t>Record first supplied in this revision</t>
        </is>
      </c>
      <c r="E558" s="12" t="inlineStr"/>
      <c r="F558" s="65" t="inlineStr">
        <is>
          <t>10 EVIDENCE &amp; DECISIONS</t>
        </is>
      </c>
      <c r="G558" s="14" t="n"/>
    </row>
    <row r="559" ht="79" customHeight="1">
      <c r="A559" s="12" t="inlineStr">
        <is>
          <t>R1610-v1</t>
        </is>
      </c>
      <c r="B559" s="12" t="inlineStr">
        <is>
          <t>PKG-048</t>
        </is>
      </c>
      <c r="C559" s="12" t="inlineStr">
        <is>
          <t>New</t>
        </is>
      </c>
      <c r="D559" s="12" t="inlineStr">
        <is>
          <t>Record first supplied in this revision</t>
        </is>
      </c>
      <c r="E559" s="12" t="inlineStr"/>
      <c r="F559" s="65" t="inlineStr">
        <is>
          <t>10 EVIDENCE &amp; DECISIONS</t>
        </is>
      </c>
      <c r="G559" s="14" t="n"/>
    </row>
    <row r="560" ht="79" customHeight="1">
      <c r="A560" s="12" t="inlineStr">
        <is>
          <t>R1611-v1</t>
        </is>
      </c>
      <c r="B560" s="12" t="inlineStr">
        <is>
          <t>PKG-049</t>
        </is>
      </c>
      <c r="C560" s="12" t="inlineStr">
        <is>
          <t>New</t>
        </is>
      </c>
      <c r="D560" s="12" t="inlineStr">
        <is>
          <t>Record first supplied in this revision</t>
        </is>
      </c>
      <c r="E560" s="12" t="inlineStr"/>
      <c r="F560" s="65" t="inlineStr">
        <is>
          <t>10 EVIDENCE &amp; DECISIONS</t>
        </is>
      </c>
      <c r="G560" s="14" t="n"/>
    </row>
    <row r="561" ht="79" customHeight="1">
      <c r="A561" s="12" t="inlineStr">
        <is>
          <t>R1612-v1</t>
        </is>
      </c>
      <c r="B561" s="12" t="inlineStr">
        <is>
          <t>PKG-050</t>
        </is>
      </c>
      <c r="C561" s="12" t="inlineStr">
        <is>
          <t>New</t>
        </is>
      </c>
      <c r="D561" s="12" t="inlineStr">
        <is>
          <t>Record first supplied in this revision</t>
        </is>
      </c>
      <c r="E561" s="12" t="inlineStr"/>
      <c r="F561" s="65" t="inlineStr">
        <is>
          <t>10 EVIDENCE &amp; DECISIONS</t>
        </is>
      </c>
      <c r="G561" s="14" t="n"/>
    </row>
    <row r="562" ht="79" customHeight="1">
      <c r="A562" s="12" t="inlineStr">
        <is>
          <t>R1613-v1</t>
        </is>
      </c>
      <c r="B562" s="12" t="inlineStr">
        <is>
          <t>PKG-051</t>
        </is>
      </c>
      <c r="C562" s="12" t="inlineStr">
        <is>
          <t>New</t>
        </is>
      </c>
      <c r="D562" s="12" t="inlineStr">
        <is>
          <t>Record first supplied in this revision</t>
        </is>
      </c>
      <c r="E562" s="12" t="inlineStr"/>
      <c r="F562" s="65" t="inlineStr">
        <is>
          <t>10 EVIDENCE &amp; DECISIONS</t>
        </is>
      </c>
      <c r="G562" s="14" t="n"/>
    </row>
    <row r="563" ht="79" customHeight="1">
      <c r="A563" s="12" t="inlineStr">
        <is>
          <t>R1614-v1</t>
        </is>
      </c>
      <c r="B563" s="12" t="inlineStr">
        <is>
          <t>PKG-052</t>
        </is>
      </c>
      <c r="C563" s="12" t="inlineStr">
        <is>
          <t>New</t>
        </is>
      </c>
      <c r="D563" s="12" t="inlineStr">
        <is>
          <t>Record first supplied in this revision</t>
        </is>
      </c>
      <c r="E563" s="12" t="inlineStr"/>
      <c r="F563" s="65" t="inlineStr">
        <is>
          <t>10 EVIDENCE &amp; DECISIONS</t>
        </is>
      </c>
      <c r="G563" s="14" t="n"/>
    </row>
    <row r="564" ht="79" customHeight="1">
      <c r="A564" s="12" t="inlineStr">
        <is>
          <t>R1615-v1</t>
        </is>
      </c>
      <c r="B564" s="12" t="inlineStr">
        <is>
          <t>PKG-053</t>
        </is>
      </c>
      <c r="C564" s="12" t="inlineStr">
        <is>
          <t>New</t>
        </is>
      </c>
      <c r="D564" s="12" t="inlineStr">
        <is>
          <t>Record first supplied in this revision</t>
        </is>
      </c>
      <c r="E564" s="12" t="inlineStr"/>
      <c r="F564" s="65" t="inlineStr">
        <is>
          <t>10 EVIDENCE &amp; DECISIONS</t>
        </is>
      </c>
      <c r="G564" s="14" t="n"/>
    </row>
    <row r="565" ht="79" customHeight="1">
      <c r="A565" s="12" t="inlineStr">
        <is>
          <t>R1616-v1</t>
        </is>
      </c>
      <c r="B565" s="12" t="inlineStr">
        <is>
          <t>PKG-054</t>
        </is>
      </c>
      <c r="C565" s="12" t="inlineStr">
        <is>
          <t>New</t>
        </is>
      </c>
      <c r="D565" s="12" t="inlineStr">
        <is>
          <t>Record first supplied in this revision</t>
        </is>
      </c>
      <c r="E565" s="12" t="inlineStr"/>
      <c r="F565" s="65" t="inlineStr">
        <is>
          <t>10 EVIDENCE &amp; DECISIONS</t>
        </is>
      </c>
      <c r="G565" s="14" t="n"/>
    </row>
    <row r="566" ht="79" customHeight="1">
      <c r="A566" s="12" t="inlineStr">
        <is>
          <t>R1617-v1</t>
        </is>
      </c>
      <c r="B566" s="12" t="inlineStr">
        <is>
          <t>PKG-055</t>
        </is>
      </c>
      <c r="C566" s="12" t="inlineStr">
        <is>
          <t>New</t>
        </is>
      </c>
      <c r="D566" s="12" t="inlineStr">
        <is>
          <t>Record first supplied in this revision</t>
        </is>
      </c>
      <c r="E566" s="12" t="inlineStr"/>
      <c r="F566" s="65" t="inlineStr">
        <is>
          <t>10 EVIDENCE &amp; DECISIONS</t>
        </is>
      </c>
      <c r="G566" s="14" t="n"/>
    </row>
    <row r="567" ht="79" customHeight="1">
      <c r="A567" s="12" t="inlineStr">
        <is>
          <t>R1618-v1</t>
        </is>
      </c>
      <c r="B567" s="12" t="inlineStr">
        <is>
          <t>PKG-056</t>
        </is>
      </c>
      <c r="C567" s="12" t="inlineStr">
        <is>
          <t>New</t>
        </is>
      </c>
      <c r="D567" s="12" t="inlineStr">
        <is>
          <t>Record first supplied in this revision</t>
        </is>
      </c>
      <c r="E567" s="12" t="inlineStr"/>
      <c r="F567" s="65" t="inlineStr">
        <is>
          <t>10 EVIDENCE &amp; DECISIONS</t>
        </is>
      </c>
      <c r="G567" s="14" t="n"/>
    </row>
    <row r="568" ht="79" customHeight="1">
      <c r="A568" s="12" t="inlineStr">
        <is>
          <t>R1619-v1</t>
        </is>
      </c>
      <c r="B568" s="12" t="inlineStr">
        <is>
          <t>PKG-057</t>
        </is>
      </c>
      <c r="C568" s="12" t="inlineStr">
        <is>
          <t>New</t>
        </is>
      </c>
      <c r="D568" s="12" t="inlineStr">
        <is>
          <t>Record first supplied in this revision</t>
        </is>
      </c>
      <c r="E568" s="12" t="inlineStr"/>
      <c r="F568" s="65" t="inlineStr">
        <is>
          <t>10 EVIDENCE &amp; DECISIONS</t>
        </is>
      </c>
      <c r="G568" s="14" t="n"/>
    </row>
    <row r="569" ht="79" customHeight="1">
      <c r="A569" s="12" t="inlineStr">
        <is>
          <t>R1620-v1</t>
        </is>
      </c>
      <c r="B569" s="12" t="inlineStr">
        <is>
          <t>PKG-058</t>
        </is>
      </c>
      <c r="C569" s="12" t="inlineStr">
        <is>
          <t>New</t>
        </is>
      </c>
      <c r="D569" s="12" t="inlineStr">
        <is>
          <t>Record first supplied in this revision</t>
        </is>
      </c>
      <c r="E569" s="12" t="inlineStr"/>
      <c r="F569" s="65" t="inlineStr">
        <is>
          <t>10 EVIDENCE &amp; DECISIONS</t>
        </is>
      </c>
      <c r="G569" s="14" t="n"/>
    </row>
    <row r="570" ht="79" customHeight="1">
      <c r="A570" s="12" t="inlineStr">
        <is>
          <t>R1621-v1</t>
        </is>
      </c>
      <c r="B570" s="12" t="inlineStr">
        <is>
          <t>PKG-059</t>
        </is>
      </c>
      <c r="C570" s="12" t="inlineStr">
        <is>
          <t>New</t>
        </is>
      </c>
      <c r="D570" s="12" t="inlineStr">
        <is>
          <t>Record first supplied in this revision</t>
        </is>
      </c>
      <c r="E570" s="12" t="inlineStr"/>
      <c r="F570" s="65" t="inlineStr">
        <is>
          <t>10 EVIDENCE &amp; DECISIONS</t>
        </is>
      </c>
      <c r="G570" s="14" t="n"/>
    </row>
    <row r="571" ht="79" customHeight="1">
      <c r="A571" s="12" t="inlineStr">
        <is>
          <t>R1622-v1</t>
        </is>
      </c>
      <c r="B571" s="12" t="inlineStr">
        <is>
          <t>PKG-060</t>
        </is>
      </c>
      <c r="C571" s="12" t="inlineStr">
        <is>
          <t>New</t>
        </is>
      </c>
      <c r="D571" s="12" t="inlineStr">
        <is>
          <t>Record first supplied in this revision</t>
        </is>
      </c>
      <c r="E571" s="12" t="inlineStr"/>
      <c r="F571" s="65" t="inlineStr">
        <is>
          <t>10 EVIDENCE &amp; DECISIONS</t>
        </is>
      </c>
      <c r="G571" s="14" t="n"/>
    </row>
    <row r="572" ht="79" customHeight="1">
      <c r="A572" s="12" t="inlineStr">
        <is>
          <t>R1-v1</t>
        </is>
      </c>
      <c r="B572" s="12" t="inlineStr">
        <is>
          <t>SCH-01-001</t>
        </is>
      </c>
      <c r="C572" s="12" t="inlineStr">
        <is>
          <t>New</t>
        </is>
      </c>
      <c r="D572" s="12" t="inlineStr">
        <is>
          <t>Record first supplied in this revision</t>
        </is>
      </c>
      <c r="E572" s="12" t="inlineStr"/>
      <c r="F572" s="65" t="inlineStr">
        <is>
          <t>10 EVIDENCE &amp; DECISIONS</t>
        </is>
      </c>
      <c r="G572" s="14" t="n"/>
    </row>
    <row r="573" ht="79" customHeight="1">
      <c r="A573" s="12" t="inlineStr">
        <is>
          <t>R2-v1</t>
        </is>
      </c>
      <c r="B573" s="12" t="inlineStr">
        <is>
          <t>SCH-01-002</t>
        </is>
      </c>
      <c r="C573" s="12" t="inlineStr">
        <is>
          <t>New</t>
        </is>
      </c>
      <c r="D573" s="12" t="inlineStr">
        <is>
          <t>Record first supplied in this revision</t>
        </is>
      </c>
      <c r="E573" s="12" t="inlineStr"/>
      <c r="F573" s="65" t="inlineStr">
        <is>
          <t>10 EVIDENCE &amp; DECISIONS</t>
        </is>
      </c>
      <c r="G573" s="14" t="n"/>
    </row>
    <row r="574" ht="79" customHeight="1">
      <c r="A574" s="12" t="inlineStr">
        <is>
          <t>R3-v1</t>
        </is>
      </c>
      <c r="B574" s="12" t="inlineStr">
        <is>
          <t>SCH-01-003</t>
        </is>
      </c>
      <c r="C574" s="12" t="inlineStr">
        <is>
          <t>New</t>
        </is>
      </c>
      <c r="D574" s="12" t="inlineStr">
        <is>
          <t>Record first supplied in this revision</t>
        </is>
      </c>
      <c r="E574" s="12" t="inlineStr"/>
      <c r="F574" s="65" t="inlineStr">
        <is>
          <t>10 EVIDENCE &amp; DECISIONS</t>
        </is>
      </c>
      <c r="G574" s="14" t="n"/>
    </row>
    <row r="575" ht="79" customHeight="1">
      <c r="A575" s="12" t="inlineStr">
        <is>
          <t>R4-v1</t>
        </is>
      </c>
      <c r="B575" s="12" t="inlineStr">
        <is>
          <t>SCH-01-004</t>
        </is>
      </c>
      <c r="C575" s="12" t="inlineStr">
        <is>
          <t>New</t>
        </is>
      </c>
      <c r="D575" s="12" t="inlineStr">
        <is>
          <t>Record first supplied in this revision</t>
        </is>
      </c>
      <c r="E575" s="12" t="inlineStr"/>
      <c r="F575" s="65" t="inlineStr">
        <is>
          <t>10 EVIDENCE &amp; DECISIONS</t>
        </is>
      </c>
      <c r="G575" s="14" t="n"/>
    </row>
    <row r="576" ht="79" customHeight="1">
      <c r="A576" s="12" t="inlineStr">
        <is>
          <t>R5-v1</t>
        </is>
      </c>
      <c r="B576" s="12" t="inlineStr">
        <is>
          <t>SCH-01-005</t>
        </is>
      </c>
      <c r="C576" s="12" t="inlineStr">
        <is>
          <t>New</t>
        </is>
      </c>
      <c r="D576" s="12" t="inlineStr">
        <is>
          <t>Record first supplied in this revision</t>
        </is>
      </c>
      <c r="E576" s="12" t="inlineStr"/>
      <c r="F576" s="65" t="inlineStr">
        <is>
          <t>10 EVIDENCE &amp; DECISIONS</t>
        </is>
      </c>
      <c r="G576" s="14" t="n"/>
    </row>
    <row r="577" ht="79" customHeight="1">
      <c r="A577" s="12" t="inlineStr">
        <is>
          <t>R6-v1</t>
        </is>
      </c>
      <c r="B577" s="12" t="inlineStr">
        <is>
          <t>SCH-01-006</t>
        </is>
      </c>
      <c r="C577" s="12" t="inlineStr">
        <is>
          <t>New</t>
        </is>
      </c>
      <c r="D577" s="12" t="inlineStr">
        <is>
          <t>Record first supplied in this revision</t>
        </is>
      </c>
      <c r="E577" s="12" t="inlineStr"/>
      <c r="F577" s="65" t="inlineStr">
        <is>
          <t>10 EVIDENCE &amp; DECISIONS</t>
        </is>
      </c>
      <c r="G577" s="14" t="n"/>
    </row>
    <row r="578" ht="79" customHeight="1">
      <c r="A578" s="12" t="inlineStr">
        <is>
          <t>R7-v1</t>
        </is>
      </c>
      <c r="B578" s="12" t="inlineStr">
        <is>
          <t>SCH-01-007</t>
        </is>
      </c>
      <c r="C578" s="12" t="inlineStr">
        <is>
          <t>New</t>
        </is>
      </c>
      <c r="D578" s="12" t="inlineStr">
        <is>
          <t>Record first supplied in this revision</t>
        </is>
      </c>
      <c r="E578" s="12" t="inlineStr"/>
      <c r="F578" s="65" t="inlineStr">
        <is>
          <t>10 EVIDENCE &amp; DECISIONS</t>
        </is>
      </c>
      <c r="G578" s="14" t="n"/>
    </row>
    <row r="579" ht="79" customHeight="1">
      <c r="A579" s="12" t="inlineStr">
        <is>
          <t>R8-v1</t>
        </is>
      </c>
      <c r="B579" s="12" t="inlineStr">
        <is>
          <t>SCH-01-008</t>
        </is>
      </c>
      <c r="C579" s="12" t="inlineStr">
        <is>
          <t>New</t>
        </is>
      </c>
      <c r="D579" s="12" t="inlineStr">
        <is>
          <t>Record first supplied in this revision</t>
        </is>
      </c>
      <c r="E579" s="12" t="inlineStr"/>
      <c r="F579" s="65" t="inlineStr">
        <is>
          <t>10 EVIDENCE &amp; DECISIONS</t>
        </is>
      </c>
      <c r="G579" s="14" t="n"/>
    </row>
    <row r="580" ht="79" customHeight="1">
      <c r="A580" s="12" t="inlineStr">
        <is>
          <t>R9-v1</t>
        </is>
      </c>
      <c r="B580" s="12" t="inlineStr">
        <is>
          <t>SCH-01-009</t>
        </is>
      </c>
      <c r="C580" s="12" t="inlineStr">
        <is>
          <t>New</t>
        </is>
      </c>
      <c r="D580" s="12" t="inlineStr">
        <is>
          <t>Record first supplied in this revision</t>
        </is>
      </c>
      <c r="E580" s="12" t="inlineStr"/>
      <c r="F580" s="65" t="inlineStr">
        <is>
          <t>10 EVIDENCE &amp; DECISIONS</t>
        </is>
      </c>
      <c r="G580" s="14" t="n"/>
    </row>
    <row r="581" ht="79" customHeight="1">
      <c r="A581" s="12" t="inlineStr">
        <is>
          <t>R10-v1</t>
        </is>
      </c>
      <c r="B581" s="12" t="inlineStr">
        <is>
          <t>SCH-01-010</t>
        </is>
      </c>
      <c r="C581" s="12" t="inlineStr">
        <is>
          <t>New</t>
        </is>
      </c>
      <c r="D581" s="12" t="inlineStr">
        <is>
          <t>Record first supplied in this revision</t>
        </is>
      </c>
      <c r="E581" s="12" t="inlineStr"/>
      <c r="F581" s="65" t="inlineStr">
        <is>
          <t>10 EVIDENCE &amp; DECISIONS</t>
        </is>
      </c>
      <c r="G581" s="14" t="n"/>
    </row>
    <row r="582" ht="79" customHeight="1">
      <c r="A582" s="12" t="inlineStr">
        <is>
          <t>R11-v1</t>
        </is>
      </c>
      <c r="B582" s="12" t="inlineStr">
        <is>
          <t>SCH-01-011</t>
        </is>
      </c>
      <c r="C582" s="12" t="inlineStr">
        <is>
          <t>New</t>
        </is>
      </c>
      <c r="D582" s="12" t="inlineStr">
        <is>
          <t>Record first supplied in this revision</t>
        </is>
      </c>
      <c r="E582" s="12" t="inlineStr"/>
      <c r="F582" s="65" t="inlineStr">
        <is>
          <t>10 EVIDENCE &amp; DECISIONS</t>
        </is>
      </c>
      <c r="G582" s="14" t="n"/>
    </row>
    <row r="583" ht="79" customHeight="1">
      <c r="A583" s="12" t="inlineStr">
        <is>
          <t>R12-v1</t>
        </is>
      </c>
      <c r="B583" s="12" t="inlineStr">
        <is>
          <t>SCH-01-012</t>
        </is>
      </c>
      <c r="C583" s="12" t="inlineStr">
        <is>
          <t>New</t>
        </is>
      </c>
      <c r="D583" s="12" t="inlineStr">
        <is>
          <t>Record first supplied in this revision</t>
        </is>
      </c>
      <c r="E583" s="12" t="inlineStr"/>
      <c r="F583" s="65" t="inlineStr">
        <is>
          <t>10 EVIDENCE &amp; DECISIONS</t>
        </is>
      </c>
      <c r="G583" s="14" t="n"/>
    </row>
    <row r="584" ht="79" customHeight="1">
      <c r="A584" s="12" t="inlineStr">
        <is>
          <t>R13-v1</t>
        </is>
      </c>
      <c r="B584" s="12" t="inlineStr">
        <is>
          <t>SCH-01-013</t>
        </is>
      </c>
      <c r="C584" s="12" t="inlineStr">
        <is>
          <t>New</t>
        </is>
      </c>
      <c r="D584" s="12" t="inlineStr">
        <is>
          <t>Record first supplied in this revision</t>
        </is>
      </c>
      <c r="E584" s="12" t="inlineStr"/>
      <c r="F584" s="65" t="inlineStr">
        <is>
          <t>10 EVIDENCE &amp; DECISIONS</t>
        </is>
      </c>
      <c r="G584" s="14" t="n"/>
    </row>
    <row r="585" ht="79" customHeight="1">
      <c r="A585" s="12" t="inlineStr">
        <is>
          <t>R14-v1</t>
        </is>
      </c>
      <c r="B585" s="12" t="inlineStr">
        <is>
          <t>SCH-01-014</t>
        </is>
      </c>
      <c r="C585" s="12" t="inlineStr">
        <is>
          <t>New</t>
        </is>
      </c>
      <c r="D585" s="12" t="inlineStr">
        <is>
          <t>Record first supplied in this revision</t>
        </is>
      </c>
      <c r="E585" s="12" t="inlineStr"/>
      <c r="F585" s="65" t="inlineStr">
        <is>
          <t>10 EVIDENCE &amp; DECISIONS</t>
        </is>
      </c>
      <c r="G585" s="14" t="n"/>
    </row>
    <row r="586" ht="79" customHeight="1">
      <c r="A586" s="12" t="inlineStr">
        <is>
          <t>R15-v1</t>
        </is>
      </c>
      <c r="B586" s="12" t="inlineStr">
        <is>
          <t>SCH-01-015</t>
        </is>
      </c>
      <c r="C586" s="12" t="inlineStr">
        <is>
          <t>New</t>
        </is>
      </c>
      <c r="D586" s="12" t="inlineStr">
        <is>
          <t>Record first supplied in this revision</t>
        </is>
      </c>
      <c r="E586" s="12" t="inlineStr"/>
      <c r="F586" s="65" t="inlineStr">
        <is>
          <t>10 EVIDENCE &amp; DECISIONS</t>
        </is>
      </c>
      <c r="G586" s="14" t="n"/>
    </row>
    <row r="587" ht="79" customHeight="1">
      <c r="A587" s="12" t="inlineStr">
        <is>
          <t>R16-v1</t>
        </is>
      </c>
      <c r="B587" s="12" t="inlineStr">
        <is>
          <t>SCH-01-016</t>
        </is>
      </c>
      <c r="C587" s="12" t="inlineStr">
        <is>
          <t>New</t>
        </is>
      </c>
      <c r="D587" s="12" t="inlineStr">
        <is>
          <t>Record first supplied in this revision</t>
        </is>
      </c>
      <c r="E587" s="12" t="inlineStr"/>
      <c r="F587" s="65" t="inlineStr">
        <is>
          <t>10 EVIDENCE &amp; DECISIONS</t>
        </is>
      </c>
      <c r="G587" s="14" t="n"/>
    </row>
    <row r="588" ht="79" customHeight="1">
      <c r="A588" s="12" t="inlineStr">
        <is>
          <t>R17-v1</t>
        </is>
      </c>
      <c r="B588" s="12" t="inlineStr">
        <is>
          <t>SCH-01-017</t>
        </is>
      </c>
      <c r="C588" s="12" t="inlineStr">
        <is>
          <t>New</t>
        </is>
      </c>
      <c r="D588" s="12" t="inlineStr">
        <is>
          <t>Record first supplied in this revision</t>
        </is>
      </c>
      <c r="E588" s="12" t="inlineStr"/>
      <c r="F588" s="65" t="inlineStr">
        <is>
          <t>10 EVIDENCE &amp; DECISIONS</t>
        </is>
      </c>
      <c r="G588" s="14" t="n"/>
    </row>
    <row r="589" ht="79" customHeight="1">
      <c r="A589" s="12" t="inlineStr">
        <is>
          <t>R18-v1</t>
        </is>
      </c>
      <c r="B589" s="12" t="inlineStr">
        <is>
          <t>SCH-01-018</t>
        </is>
      </c>
      <c r="C589" s="12" t="inlineStr">
        <is>
          <t>New</t>
        </is>
      </c>
      <c r="D589" s="12" t="inlineStr">
        <is>
          <t>Record first supplied in this revision</t>
        </is>
      </c>
      <c r="E589" s="12" t="inlineStr"/>
      <c r="F589" s="65" t="inlineStr">
        <is>
          <t>10 EVIDENCE &amp; DECISIONS</t>
        </is>
      </c>
      <c r="G589" s="14" t="n"/>
    </row>
    <row r="590" ht="79" customHeight="1">
      <c r="A590" s="12" t="inlineStr">
        <is>
          <t>R19-v1</t>
        </is>
      </c>
      <c r="B590" s="12" t="inlineStr">
        <is>
          <t>SCH-01-019</t>
        </is>
      </c>
      <c r="C590" s="12" t="inlineStr">
        <is>
          <t>New</t>
        </is>
      </c>
      <c r="D590" s="12" t="inlineStr">
        <is>
          <t>Record first supplied in this revision</t>
        </is>
      </c>
      <c r="E590" s="12" t="inlineStr"/>
      <c r="F590" s="65" t="inlineStr">
        <is>
          <t>10 EVIDENCE &amp; DECISIONS</t>
        </is>
      </c>
      <c r="G590" s="14" t="n"/>
    </row>
    <row r="591" ht="79" customHeight="1">
      <c r="A591" s="12" t="inlineStr">
        <is>
          <t>R20-v1</t>
        </is>
      </c>
      <c r="B591" s="12" t="inlineStr">
        <is>
          <t>SCH-01-020</t>
        </is>
      </c>
      <c r="C591" s="12" t="inlineStr">
        <is>
          <t>New</t>
        </is>
      </c>
      <c r="D591" s="12" t="inlineStr">
        <is>
          <t>Record first supplied in this revision</t>
        </is>
      </c>
      <c r="E591" s="12" t="inlineStr"/>
      <c r="F591" s="65" t="inlineStr">
        <is>
          <t>10 EVIDENCE &amp; DECISIONS</t>
        </is>
      </c>
      <c r="G591" s="14" t="n"/>
    </row>
    <row r="592" ht="79" customHeight="1">
      <c r="A592" s="12" t="inlineStr">
        <is>
          <t>R21-v1</t>
        </is>
      </c>
      <c r="B592" s="12" t="inlineStr">
        <is>
          <t>SCH-01-021</t>
        </is>
      </c>
      <c r="C592" s="12" t="inlineStr">
        <is>
          <t>New</t>
        </is>
      </c>
      <c r="D592" s="12" t="inlineStr">
        <is>
          <t>Record first supplied in this revision</t>
        </is>
      </c>
      <c r="E592" s="12" t="inlineStr"/>
      <c r="F592" s="65" t="inlineStr">
        <is>
          <t>10 EVIDENCE &amp; DECISIONS</t>
        </is>
      </c>
      <c r="G592" s="14" t="n"/>
    </row>
    <row r="593" ht="79" customHeight="1">
      <c r="A593" s="12" t="inlineStr">
        <is>
          <t>R22-v1</t>
        </is>
      </c>
      <c r="B593" s="12" t="inlineStr">
        <is>
          <t>SCH-01-022</t>
        </is>
      </c>
      <c r="C593" s="12" t="inlineStr">
        <is>
          <t>New</t>
        </is>
      </c>
      <c r="D593" s="12" t="inlineStr">
        <is>
          <t>Record first supplied in this revision</t>
        </is>
      </c>
      <c r="E593" s="12" t="inlineStr"/>
      <c r="F593" s="65" t="inlineStr">
        <is>
          <t>10 EVIDENCE &amp; DECISIONS</t>
        </is>
      </c>
      <c r="G593" s="14" t="n"/>
    </row>
    <row r="594" ht="79" customHeight="1">
      <c r="A594" s="12" t="inlineStr">
        <is>
          <t>R23-v1</t>
        </is>
      </c>
      <c r="B594" s="12" t="inlineStr">
        <is>
          <t>SCH-01-023</t>
        </is>
      </c>
      <c r="C594" s="12" t="inlineStr">
        <is>
          <t>New</t>
        </is>
      </c>
      <c r="D594" s="12" t="inlineStr">
        <is>
          <t>Record first supplied in this revision</t>
        </is>
      </c>
      <c r="E594" s="12" t="inlineStr"/>
      <c r="F594" s="65" t="inlineStr">
        <is>
          <t>10 EVIDENCE &amp; DECISIONS</t>
        </is>
      </c>
      <c r="G594" s="14" t="n"/>
    </row>
    <row r="595" ht="79" customHeight="1">
      <c r="A595" s="12" t="inlineStr">
        <is>
          <t>R24-v1</t>
        </is>
      </c>
      <c r="B595" s="12" t="inlineStr">
        <is>
          <t>SCH-01-024</t>
        </is>
      </c>
      <c r="C595" s="12" t="inlineStr">
        <is>
          <t>New</t>
        </is>
      </c>
      <c r="D595" s="12" t="inlineStr">
        <is>
          <t>Record first supplied in this revision</t>
        </is>
      </c>
      <c r="E595" s="12" t="inlineStr"/>
      <c r="F595" s="65" t="inlineStr">
        <is>
          <t>10 EVIDENCE &amp; DECISIONS</t>
        </is>
      </c>
      <c r="G595" s="14" t="n"/>
    </row>
    <row r="596" ht="79" customHeight="1">
      <c r="A596" s="12" t="inlineStr">
        <is>
          <t>R25-v1</t>
        </is>
      </c>
      <c r="B596" s="12" t="inlineStr">
        <is>
          <t>SCH-01-025</t>
        </is>
      </c>
      <c r="C596" s="12" t="inlineStr">
        <is>
          <t>New</t>
        </is>
      </c>
      <c r="D596" s="12" t="inlineStr">
        <is>
          <t>Record first supplied in this revision</t>
        </is>
      </c>
      <c r="E596" s="12" t="inlineStr"/>
      <c r="F596" s="65" t="inlineStr">
        <is>
          <t>10 EVIDENCE &amp; DECISIONS</t>
        </is>
      </c>
      <c r="G596" s="14" t="n"/>
    </row>
    <row r="597" ht="79" customHeight="1">
      <c r="A597" s="12" t="inlineStr">
        <is>
          <t>R26-v1</t>
        </is>
      </c>
      <c r="B597" s="12" t="inlineStr">
        <is>
          <t>SCH-01-026</t>
        </is>
      </c>
      <c r="C597" s="12" t="inlineStr">
        <is>
          <t>New</t>
        </is>
      </c>
      <c r="D597" s="12" t="inlineStr">
        <is>
          <t>Record first supplied in this revision</t>
        </is>
      </c>
      <c r="E597" s="12" t="inlineStr"/>
      <c r="F597" s="65" t="inlineStr">
        <is>
          <t>10 EVIDENCE &amp; DECISIONS</t>
        </is>
      </c>
      <c r="G597" s="14" t="n"/>
    </row>
    <row r="598" ht="79" customHeight="1">
      <c r="A598" s="12" t="inlineStr">
        <is>
          <t>R27-v1</t>
        </is>
      </c>
      <c r="B598" s="12" t="inlineStr">
        <is>
          <t>SCH-01-027</t>
        </is>
      </c>
      <c r="C598" s="12" t="inlineStr">
        <is>
          <t>New</t>
        </is>
      </c>
      <c r="D598" s="12" t="inlineStr">
        <is>
          <t>Record first supplied in this revision</t>
        </is>
      </c>
      <c r="E598" s="12" t="inlineStr"/>
      <c r="F598" s="65" t="inlineStr">
        <is>
          <t>10 EVIDENCE &amp; DECISIONS</t>
        </is>
      </c>
      <c r="G598" s="14" t="n"/>
    </row>
    <row r="599" ht="79" customHeight="1">
      <c r="A599" s="12" t="inlineStr">
        <is>
          <t>R28-v1</t>
        </is>
      </c>
      <c r="B599" s="12" t="inlineStr">
        <is>
          <t>SCH-01-028</t>
        </is>
      </c>
      <c r="C599" s="12" t="inlineStr">
        <is>
          <t>New</t>
        </is>
      </c>
      <c r="D599" s="12" t="inlineStr">
        <is>
          <t>Record first supplied in this revision</t>
        </is>
      </c>
      <c r="E599" s="12" t="inlineStr"/>
      <c r="F599" s="65" t="inlineStr">
        <is>
          <t>10 EVIDENCE &amp; DECISIONS</t>
        </is>
      </c>
      <c r="G599" s="14" t="n"/>
    </row>
    <row r="600" ht="79" customHeight="1">
      <c r="A600" s="12" t="inlineStr">
        <is>
          <t>R29-v1</t>
        </is>
      </c>
      <c r="B600" s="12" t="inlineStr">
        <is>
          <t>SCH-01-029</t>
        </is>
      </c>
      <c r="C600" s="12" t="inlineStr">
        <is>
          <t>New</t>
        </is>
      </c>
      <c r="D600" s="12" t="inlineStr">
        <is>
          <t>Record first supplied in this revision</t>
        </is>
      </c>
      <c r="E600" s="12" t="inlineStr"/>
      <c r="F600" s="65" t="inlineStr">
        <is>
          <t>10 EVIDENCE &amp; DECISIONS</t>
        </is>
      </c>
      <c r="G600" s="14" t="n"/>
    </row>
    <row r="601" ht="79" customHeight="1">
      <c r="A601" s="12" t="inlineStr">
        <is>
          <t>R30-v1</t>
        </is>
      </c>
      <c r="B601" s="12" t="inlineStr">
        <is>
          <t>SCH-01-030</t>
        </is>
      </c>
      <c r="C601" s="12" t="inlineStr">
        <is>
          <t>New</t>
        </is>
      </c>
      <c r="D601" s="12" t="inlineStr">
        <is>
          <t>Record first supplied in this revision</t>
        </is>
      </c>
      <c r="E601" s="12" t="inlineStr"/>
      <c r="F601" s="65" t="inlineStr">
        <is>
          <t>10 EVIDENCE &amp; DECISIONS</t>
        </is>
      </c>
      <c r="G601" s="14" t="n"/>
    </row>
    <row r="602" ht="79" customHeight="1">
      <c r="A602" s="12" t="inlineStr">
        <is>
          <t>R31-v1</t>
        </is>
      </c>
      <c r="B602" s="12" t="inlineStr">
        <is>
          <t>SCH-01-031</t>
        </is>
      </c>
      <c r="C602" s="12" t="inlineStr">
        <is>
          <t>New</t>
        </is>
      </c>
      <c r="D602" s="12" t="inlineStr">
        <is>
          <t>Record first supplied in this revision</t>
        </is>
      </c>
      <c r="E602" s="12" t="inlineStr"/>
      <c r="F602" s="65" t="inlineStr">
        <is>
          <t>10 EVIDENCE &amp; DECISIONS</t>
        </is>
      </c>
      <c r="G602" s="14" t="n"/>
    </row>
    <row r="603" ht="79" customHeight="1">
      <c r="A603" s="12" t="inlineStr">
        <is>
          <t>R32-v1</t>
        </is>
      </c>
      <c r="B603" s="12" t="inlineStr">
        <is>
          <t>SCH-01-032</t>
        </is>
      </c>
      <c r="C603" s="12" t="inlineStr">
        <is>
          <t>New</t>
        </is>
      </c>
      <c r="D603" s="12" t="inlineStr">
        <is>
          <t>Record first supplied in this revision</t>
        </is>
      </c>
      <c r="E603" s="12" t="inlineStr"/>
      <c r="F603" s="65" t="inlineStr">
        <is>
          <t>10 EVIDENCE &amp; DECISIONS</t>
        </is>
      </c>
      <c r="G603" s="14" t="n"/>
    </row>
    <row r="604" ht="79" customHeight="1">
      <c r="A604" s="12" t="inlineStr">
        <is>
          <t>R33-v1</t>
        </is>
      </c>
      <c r="B604" s="12" t="inlineStr">
        <is>
          <t>SCH-01-033</t>
        </is>
      </c>
      <c r="C604" s="12" t="inlineStr">
        <is>
          <t>New</t>
        </is>
      </c>
      <c r="D604" s="12" t="inlineStr">
        <is>
          <t>Record first supplied in this revision</t>
        </is>
      </c>
      <c r="E604" s="12" t="inlineStr"/>
      <c r="F604" s="65" t="inlineStr">
        <is>
          <t>10 EVIDENCE &amp; DECISIONS</t>
        </is>
      </c>
      <c r="G604" s="14" t="n"/>
    </row>
    <row r="605" ht="79" customHeight="1">
      <c r="A605" s="12" t="inlineStr">
        <is>
          <t>R34-v1</t>
        </is>
      </c>
      <c r="B605" s="12" t="inlineStr">
        <is>
          <t>SCH-01-034</t>
        </is>
      </c>
      <c r="C605" s="12" t="inlineStr">
        <is>
          <t>New</t>
        </is>
      </c>
      <c r="D605" s="12" t="inlineStr">
        <is>
          <t>Record first supplied in this revision</t>
        </is>
      </c>
      <c r="E605" s="12" t="inlineStr"/>
      <c r="F605" s="65" t="inlineStr">
        <is>
          <t>10 EVIDENCE &amp; DECISIONS</t>
        </is>
      </c>
      <c r="G605" s="14" t="n"/>
    </row>
    <row r="606" ht="79" customHeight="1">
      <c r="A606" s="12" t="inlineStr">
        <is>
          <t>R35-v1</t>
        </is>
      </c>
      <c r="B606" s="12" t="inlineStr">
        <is>
          <t>SCH-01-035</t>
        </is>
      </c>
      <c r="C606" s="12" t="inlineStr">
        <is>
          <t>New</t>
        </is>
      </c>
      <c r="D606" s="12" t="inlineStr">
        <is>
          <t>Record first supplied in this revision</t>
        </is>
      </c>
      <c r="E606" s="12" t="inlineStr"/>
      <c r="F606" s="65" t="inlineStr">
        <is>
          <t>10 EVIDENCE &amp; DECISIONS</t>
        </is>
      </c>
      <c r="G606" s="14" t="n"/>
    </row>
    <row r="607" ht="79" customHeight="1">
      <c r="A607" s="12" t="inlineStr">
        <is>
          <t>R36-v1</t>
        </is>
      </c>
      <c r="B607" s="12" t="inlineStr">
        <is>
          <t>SCH-01-036</t>
        </is>
      </c>
      <c r="C607" s="12" t="inlineStr">
        <is>
          <t>New</t>
        </is>
      </c>
      <c r="D607" s="12" t="inlineStr">
        <is>
          <t>Record first supplied in this revision</t>
        </is>
      </c>
      <c r="E607" s="12" t="inlineStr"/>
      <c r="F607" s="65" t="inlineStr">
        <is>
          <t>10 EVIDENCE &amp; DECISIONS</t>
        </is>
      </c>
      <c r="G607" s="14" t="n"/>
    </row>
    <row r="608" ht="79" customHeight="1">
      <c r="A608" s="12" t="inlineStr">
        <is>
          <t>R37-v1</t>
        </is>
      </c>
      <c r="B608" s="12" t="inlineStr">
        <is>
          <t>SCH-01-037</t>
        </is>
      </c>
      <c r="C608" s="12" t="inlineStr">
        <is>
          <t>New</t>
        </is>
      </c>
      <c r="D608" s="12" t="inlineStr">
        <is>
          <t>Record first supplied in this revision</t>
        </is>
      </c>
      <c r="E608" s="12" t="inlineStr"/>
      <c r="F608" s="65" t="inlineStr">
        <is>
          <t>10 EVIDENCE &amp; DECISIONS</t>
        </is>
      </c>
      <c r="G608" s="14" t="n"/>
    </row>
    <row r="609" ht="79" customHeight="1">
      <c r="A609" s="12" t="inlineStr">
        <is>
          <t>R38-v1</t>
        </is>
      </c>
      <c r="B609" s="12" t="inlineStr">
        <is>
          <t>SCH-01-038</t>
        </is>
      </c>
      <c r="C609" s="12" t="inlineStr">
        <is>
          <t>New</t>
        </is>
      </c>
      <c r="D609" s="12" t="inlineStr">
        <is>
          <t>Record first supplied in this revision</t>
        </is>
      </c>
      <c r="E609" s="12" t="inlineStr"/>
      <c r="F609" s="65" t="inlineStr">
        <is>
          <t>10 EVIDENCE &amp; DECISIONS</t>
        </is>
      </c>
      <c r="G609" s="14" t="n"/>
    </row>
    <row r="610" ht="79" customHeight="1">
      <c r="A610" s="12" t="inlineStr">
        <is>
          <t>R39-v1</t>
        </is>
      </c>
      <c r="B610" s="12" t="inlineStr">
        <is>
          <t>SCH-01-039</t>
        </is>
      </c>
      <c r="C610" s="12" t="inlineStr">
        <is>
          <t>New</t>
        </is>
      </c>
      <c r="D610" s="12" t="inlineStr">
        <is>
          <t>Record first supplied in this revision</t>
        </is>
      </c>
      <c r="E610" s="12" t="inlineStr"/>
      <c r="F610" s="65" t="inlineStr">
        <is>
          <t>10 EVIDENCE &amp; DECISIONS</t>
        </is>
      </c>
      <c r="G610" s="14" t="n"/>
    </row>
    <row r="611" ht="79" customHeight="1">
      <c r="A611" s="12" t="inlineStr">
        <is>
          <t>R40-v1</t>
        </is>
      </c>
      <c r="B611" s="12" t="inlineStr">
        <is>
          <t>SCH-01-040</t>
        </is>
      </c>
      <c r="C611" s="12" t="inlineStr">
        <is>
          <t>New</t>
        </is>
      </c>
      <c r="D611" s="12" t="inlineStr">
        <is>
          <t>Record first supplied in this revision</t>
        </is>
      </c>
      <c r="E611" s="12" t="inlineStr"/>
      <c r="F611" s="65" t="inlineStr">
        <is>
          <t>10 EVIDENCE &amp; DECISIONS</t>
        </is>
      </c>
      <c r="G611" s="14" t="n"/>
    </row>
    <row r="612" ht="79" customHeight="1">
      <c r="A612" s="12" t="inlineStr">
        <is>
          <t>R41-v1</t>
        </is>
      </c>
      <c r="B612" s="12" t="inlineStr">
        <is>
          <t>SCH-01-041</t>
        </is>
      </c>
      <c r="C612" s="12" t="inlineStr">
        <is>
          <t>New</t>
        </is>
      </c>
      <c r="D612" s="12" t="inlineStr">
        <is>
          <t>Record first supplied in this revision</t>
        </is>
      </c>
      <c r="E612" s="12" t="inlineStr"/>
      <c r="F612" s="65" t="inlineStr">
        <is>
          <t>10 EVIDENCE &amp; DECISIONS</t>
        </is>
      </c>
      <c r="G612" s="14" t="n"/>
    </row>
    <row r="613" ht="79" customHeight="1">
      <c r="A613" s="12" t="inlineStr">
        <is>
          <t>R42-v1</t>
        </is>
      </c>
      <c r="B613" s="12" t="inlineStr">
        <is>
          <t>SCH-01-042</t>
        </is>
      </c>
      <c r="C613" s="12" t="inlineStr">
        <is>
          <t>New</t>
        </is>
      </c>
      <c r="D613" s="12" t="inlineStr">
        <is>
          <t>Record first supplied in this revision</t>
        </is>
      </c>
      <c r="E613" s="12" t="inlineStr"/>
      <c r="F613" s="65" t="inlineStr">
        <is>
          <t>10 EVIDENCE &amp; DECISIONS</t>
        </is>
      </c>
      <c r="G613" s="14" t="n"/>
    </row>
    <row r="614" ht="79" customHeight="1">
      <c r="A614" s="12" t="inlineStr">
        <is>
          <t>R43-v1</t>
        </is>
      </c>
      <c r="B614" s="12" t="inlineStr">
        <is>
          <t>SCH-01-043</t>
        </is>
      </c>
      <c r="C614" s="12" t="inlineStr">
        <is>
          <t>New</t>
        </is>
      </c>
      <c r="D614" s="12" t="inlineStr">
        <is>
          <t>Record first supplied in this revision</t>
        </is>
      </c>
      <c r="E614" s="12" t="inlineStr"/>
      <c r="F614" s="65" t="inlineStr">
        <is>
          <t>10 EVIDENCE &amp; DECISIONS</t>
        </is>
      </c>
      <c r="G614" s="14" t="n"/>
    </row>
    <row r="615" ht="79" customHeight="1">
      <c r="A615" s="12" t="inlineStr">
        <is>
          <t>R44-v1</t>
        </is>
      </c>
      <c r="B615" s="12" t="inlineStr">
        <is>
          <t>SCH-01-044</t>
        </is>
      </c>
      <c r="C615" s="12" t="inlineStr">
        <is>
          <t>New</t>
        </is>
      </c>
      <c r="D615" s="12" t="inlineStr">
        <is>
          <t>Record first supplied in this revision</t>
        </is>
      </c>
      <c r="E615" s="12" t="inlineStr"/>
      <c r="F615" s="65" t="inlineStr">
        <is>
          <t>10 EVIDENCE &amp; DECISIONS</t>
        </is>
      </c>
      <c r="G615" s="14" t="n"/>
    </row>
    <row r="616" ht="79" customHeight="1">
      <c r="A616" s="12" t="inlineStr">
        <is>
          <t>R45-v1</t>
        </is>
      </c>
      <c r="B616" s="12" t="inlineStr">
        <is>
          <t>SCH-01-045</t>
        </is>
      </c>
      <c r="C616" s="12" t="inlineStr">
        <is>
          <t>New</t>
        </is>
      </c>
      <c r="D616" s="12" t="inlineStr">
        <is>
          <t>Record first supplied in this revision</t>
        </is>
      </c>
      <c r="E616" s="12" t="inlineStr"/>
      <c r="F616" s="65" t="inlineStr">
        <is>
          <t>10 EVIDENCE &amp; DECISIONS</t>
        </is>
      </c>
      <c r="G616" s="14" t="n"/>
    </row>
    <row r="617" ht="79" customHeight="1">
      <c r="A617" s="12" t="inlineStr">
        <is>
          <t>R46-v1</t>
        </is>
      </c>
      <c r="B617" s="12" t="inlineStr">
        <is>
          <t>SCH-01-046</t>
        </is>
      </c>
      <c r="C617" s="12" t="inlineStr">
        <is>
          <t>New</t>
        </is>
      </c>
      <c r="D617" s="12" t="inlineStr">
        <is>
          <t>Record first supplied in this revision</t>
        </is>
      </c>
      <c r="E617" s="12" t="inlineStr"/>
      <c r="F617" s="65" t="inlineStr">
        <is>
          <t>10 EVIDENCE &amp; DECISIONS</t>
        </is>
      </c>
      <c r="G617" s="14" t="n"/>
    </row>
    <row r="618" ht="79" customHeight="1">
      <c r="A618" s="12" t="inlineStr">
        <is>
          <t>R47-v1</t>
        </is>
      </c>
      <c r="B618" s="12" t="inlineStr">
        <is>
          <t>SCH-01-047</t>
        </is>
      </c>
      <c r="C618" s="12" t="inlineStr">
        <is>
          <t>New</t>
        </is>
      </c>
      <c r="D618" s="12" t="inlineStr">
        <is>
          <t>Record first supplied in this revision</t>
        </is>
      </c>
      <c r="E618" s="12" t="inlineStr"/>
      <c r="F618" s="65" t="inlineStr">
        <is>
          <t>10 EVIDENCE &amp; DECISIONS</t>
        </is>
      </c>
      <c r="G618" s="14" t="n"/>
    </row>
    <row r="619" ht="79" customHeight="1">
      <c r="A619" s="12" t="inlineStr">
        <is>
          <t>R48-v1</t>
        </is>
      </c>
      <c r="B619" s="12" t="inlineStr">
        <is>
          <t>SCH-01-048</t>
        </is>
      </c>
      <c r="C619" s="12" t="inlineStr">
        <is>
          <t>New</t>
        </is>
      </c>
      <c r="D619" s="12" t="inlineStr">
        <is>
          <t>Record first supplied in this revision</t>
        </is>
      </c>
      <c r="E619" s="12" t="inlineStr"/>
      <c r="F619" s="65" t="inlineStr">
        <is>
          <t>10 EVIDENCE &amp; DECISIONS</t>
        </is>
      </c>
      <c r="G619" s="14" t="n"/>
    </row>
    <row r="620" ht="79" customHeight="1">
      <c r="A620" s="12" t="inlineStr">
        <is>
          <t>R49-v1</t>
        </is>
      </c>
      <c r="B620" s="12" t="inlineStr">
        <is>
          <t>SCH-01-049</t>
        </is>
      </c>
      <c r="C620" s="12" t="inlineStr">
        <is>
          <t>New</t>
        </is>
      </c>
      <c r="D620" s="12" t="inlineStr">
        <is>
          <t>Record first supplied in this revision</t>
        </is>
      </c>
      <c r="E620" s="12" t="inlineStr"/>
      <c r="F620" s="65" t="inlineStr">
        <is>
          <t>10 EVIDENCE &amp; DECISIONS</t>
        </is>
      </c>
      <c r="G620" s="14" t="n"/>
    </row>
    <row r="621" ht="79" customHeight="1">
      <c r="A621" s="12" t="inlineStr">
        <is>
          <t>R50-v1</t>
        </is>
      </c>
      <c r="B621" s="12" t="inlineStr">
        <is>
          <t>SCH-01-050</t>
        </is>
      </c>
      <c r="C621" s="12" t="inlineStr">
        <is>
          <t>New</t>
        </is>
      </c>
      <c r="D621" s="12" t="inlineStr">
        <is>
          <t>Record first supplied in this revision</t>
        </is>
      </c>
      <c r="E621" s="12" t="inlineStr"/>
      <c r="F621" s="65" t="inlineStr">
        <is>
          <t>10 EVIDENCE &amp; DECISIONS</t>
        </is>
      </c>
      <c r="G621" s="14" t="n"/>
    </row>
    <row r="622" ht="79" customHeight="1">
      <c r="A622" s="12" t="inlineStr">
        <is>
          <t>R51-v1</t>
        </is>
      </c>
      <c r="B622" s="12" t="inlineStr">
        <is>
          <t>SCH-01-051</t>
        </is>
      </c>
      <c r="C622" s="12" t="inlineStr">
        <is>
          <t>New</t>
        </is>
      </c>
      <c r="D622" s="12" t="inlineStr">
        <is>
          <t>Record first supplied in this revision</t>
        </is>
      </c>
      <c r="E622" s="12" t="inlineStr"/>
      <c r="F622" s="65" t="inlineStr">
        <is>
          <t>10 EVIDENCE &amp; DECISIONS</t>
        </is>
      </c>
      <c r="G622" s="14" t="n"/>
    </row>
    <row r="623" ht="79" customHeight="1">
      <c r="A623" s="12" t="inlineStr">
        <is>
          <t>R52-v1</t>
        </is>
      </c>
      <c r="B623" s="12" t="inlineStr">
        <is>
          <t>SCH-01-052</t>
        </is>
      </c>
      <c r="C623" s="12" t="inlineStr">
        <is>
          <t>New</t>
        </is>
      </c>
      <c r="D623" s="12" t="inlineStr">
        <is>
          <t>Record first supplied in this revision</t>
        </is>
      </c>
      <c r="E623" s="12" t="inlineStr"/>
      <c r="F623" s="65" t="inlineStr">
        <is>
          <t>10 EVIDENCE &amp; DECISIONS</t>
        </is>
      </c>
      <c r="G623" s="14" t="n"/>
    </row>
    <row r="624" ht="79" customHeight="1">
      <c r="A624" s="12" t="inlineStr">
        <is>
          <t>R53-v1</t>
        </is>
      </c>
      <c r="B624" s="12" t="inlineStr">
        <is>
          <t>SCH-01-053</t>
        </is>
      </c>
      <c r="C624" s="12" t="inlineStr">
        <is>
          <t>New</t>
        </is>
      </c>
      <c r="D624" s="12" t="inlineStr">
        <is>
          <t>Record first supplied in this revision</t>
        </is>
      </c>
      <c r="E624" s="12" t="inlineStr"/>
      <c r="F624" s="65" t="inlineStr">
        <is>
          <t>10 EVIDENCE &amp; DECISIONS</t>
        </is>
      </c>
      <c r="G624" s="14" t="n"/>
    </row>
    <row r="625" ht="79" customHeight="1">
      <c r="A625" s="12" t="inlineStr">
        <is>
          <t>R54-v1</t>
        </is>
      </c>
      <c r="B625" s="12" t="inlineStr">
        <is>
          <t>SCH-01-054</t>
        </is>
      </c>
      <c r="C625" s="12" t="inlineStr">
        <is>
          <t>New</t>
        </is>
      </c>
      <c r="D625" s="12" t="inlineStr">
        <is>
          <t>Record first supplied in this revision</t>
        </is>
      </c>
      <c r="E625" s="12" t="inlineStr"/>
      <c r="F625" s="65" t="inlineStr">
        <is>
          <t>10 EVIDENCE &amp; DECISIONS</t>
        </is>
      </c>
      <c r="G625" s="14" t="n"/>
    </row>
    <row r="626" ht="79" customHeight="1">
      <c r="A626" s="12" t="inlineStr">
        <is>
          <t>R55-v1</t>
        </is>
      </c>
      <c r="B626" s="12" t="inlineStr">
        <is>
          <t>SCH-01-055</t>
        </is>
      </c>
      <c r="C626" s="12" t="inlineStr">
        <is>
          <t>New</t>
        </is>
      </c>
      <c r="D626" s="12" t="inlineStr">
        <is>
          <t>Record first supplied in this revision</t>
        </is>
      </c>
      <c r="E626" s="12" t="inlineStr"/>
      <c r="F626" s="65" t="inlineStr">
        <is>
          <t>10 EVIDENCE &amp; DECISIONS</t>
        </is>
      </c>
      <c r="G626" s="14" t="n"/>
    </row>
    <row r="627" ht="79" customHeight="1">
      <c r="A627" s="12" t="inlineStr">
        <is>
          <t>R56-v1</t>
        </is>
      </c>
      <c r="B627" s="12" t="inlineStr">
        <is>
          <t>SCH-01-056</t>
        </is>
      </c>
      <c r="C627" s="12" t="inlineStr">
        <is>
          <t>New</t>
        </is>
      </c>
      <c r="D627" s="12" t="inlineStr">
        <is>
          <t>Record first supplied in this revision</t>
        </is>
      </c>
      <c r="E627" s="12" t="inlineStr"/>
      <c r="F627" s="65" t="inlineStr">
        <is>
          <t>10 EVIDENCE &amp; DECISIONS</t>
        </is>
      </c>
      <c r="G627" s="14" t="n"/>
    </row>
    <row r="628" ht="79" customHeight="1">
      <c r="A628" s="12" t="inlineStr">
        <is>
          <t>R57-v1</t>
        </is>
      </c>
      <c r="B628" s="12" t="inlineStr">
        <is>
          <t>SCH-01-057</t>
        </is>
      </c>
      <c r="C628" s="12" t="inlineStr">
        <is>
          <t>New</t>
        </is>
      </c>
      <c r="D628" s="12" t="inlineStr">
        <is>
          <t>Record first supplied in this revision</t>
        </is>
      </c>
      <c r="E628" s="12" t="inlineStr"/>
      <c r="F628" s="65" t="inlineStr">
        <is>
          <t>10 EVIDENCE &amp; DECISIONS</t>
        </is>
      </c>
      <c r="G628" s="14" t="n"/>
    </row>
    <row r="629" ht="79" customHeight="1">
      <c r="A629" s="12" t="inlineStr">
        <is>
          <t>R58-v1</t>
        </is>
      </c>
      <c r="B629" s="12" t="inlineStr">
        <is>
          <t>SCH-01-058</t>
        </is>
      </c>
      <c r="C629" s="12" t="inlineStr">
        <is>
          <t>New</t>
        </is>
      </c>
      <c r="D629" s="12" t="inlineStr">
        <is>
          <t>Record first supplied in this revision</t>
        </is>
      </c>
      <c r="E629" s="12" t="inlineStr"/>
      <c r="F629" s="65" t="inlineStr">
        <is>
          <t>10 EVIDENCE &amp; DECISIONS</t>
        </is>
      </c>
      <c r="G629" s="14" t="n"/>
    </row>
    <row r="630" ht="79" customHeight="1">
      <c r="A630" s="12" t="inlineStr">
        <is>
          <t>R59-v1</t>
        </is>
      </c>
      <c r="B630" s="12" t="inlineStr">
        <is>
          <t>SCH-01-059</t>
        </is>
      </c>
      <c r="C630" s="12" t="inlineStr">
        <is>
          <t>New</t>
        </is>
      </c>
      <c r="D630" s="12" t="inlineStr">
        <is>
          <t>Record first supplied in this revision</t>
        </is>
      </c>
      <c r="E630" s="12" t="inlineStr"/>
      <c r="F630" s="65" t="inlineStr">
        <is>
          <t>10 EVIDENCE &amp; DECISIONS</t>
        </is>
      </c>
      <c r="G630" s="14" t="n"/>
    </row>
    <row r="631" ht="79" customHeight="1">
      <c r="A631" s="12" t="inlineStr">
        <is>
          <t>R60-v1</t>
        </is>
      </c>
      <c r="B631" s="12" t="inlineStr">
        <is>
          <t>SCH-01-060</t>
        </is>
      </c>
      <c r="C631" s="12" t="inlineStr">
        <is>
          <t>New</t>
        </is>
      </c>
      <c r="D631" s="12" t="inlineStr">
        <is>
          <t>Record first supplied in this revision</t>
        </is>
      </c>
      <c r="E631" s="12" t="inlineStr"/>
      <c r="F631" s="65" t="inlineStr">
        <is>
          <t>10 EVIDENCE &amp; DECISIONS</t>
        </is>
      </c>
      <c r="G631" s="14" t="n"/>
    </row>
    <row r="632" ht="79" customHeight="1">
      <c r="A632" s="12" t="inlineStr">
        <is>
          <t>R61-v1</t>
        </is>
      </c>
      <c r="B632" s="12" t="inlineStr">
        <is>
          <t>SCH-01-061</t>
        </is>
      </c>
      <c r="C632" s="12" t="inlineStr">
        <is>
          <t>New</t>
        </is>
      </c>
      <c r="D632" s="12" t="inlineStr">
        <is>
          <t>Record first supplied in this revision</t>
        </is>
      </c>
      <c r="E632" s="12" t="inlineStr"/>
      <c r="F632" s="65" t="inlineStr">
        <is>
          <t>10 EVIDENCE &amp; DECISIONS</t>
        </is>
      </c>
      <c r="G632" s="14" t="n"/>
    </row>
    <row r="633" ht="79" customHeight="1">
      <c r="A633" s="12" t="inlineStr">
        <is>
          <t>R62-v1</t>
        </is>
      </c>
      <c r="B633" s="12" t="inlineStr">
        <is>
          <t>SCH-01-062</t>
        </is>
      </c>
      <c r="C633" s="12" t="inlineStr">
        <is>
          <t>New</t>
        </is>
      </c>
      <c r="D633" s="12" t="inlineStr">
        <is>
          <t>Record first supplied in this revision</t>
        </is>
      </c>
      <c r="E633" s="12" t="inlineStr"/>
      <c r="F633" s="65" t="inlineStr">
        <is>
          <t>10 EVIDENCE &amp; DECISIONS</t>
        </is>
      </c>
      <c r="G633" s="14" t="n"/>
    </row>
    <row r="634" ht="79" customHeight="1">
      <c r="A634" s="12" t="inlineStr">
        <is>
          <t>R63-v1</t>
        </is>
      </c>
      <c r="B634" s="12" t="inlineStr">
        <is>
          <t>SCH-01-063</t>
        </is>
      </c>
      <c r="C634" s="12" t="inlineStr">
        <is>
          <t>New</t>
        </is>
      </c>
      <c r="D634" s="12" t="inlineStr">
        <is>
          <t>Record first supplied in this revision</t>
        </is>
      </c>
      <c r="E634" s="12" t="inlineStr"/>
      <c r="F634" s="65" t="inlineStr">
        <is>
          <t>10 EVIDENCE &amp; DECISIONS</t>
        </is>
      </c>
      <c r="G634" s="14" t="n"/>
    </row>
    <row r="635" ht="79" customHeight="1">
      <c r="A635" s="12" t="inlineStr">
        <is>
          <t>R64-v1</t>
        </is>
      </c>
      <c r="B635" s="12" t="inlineStr">
        <is>
          <t>SCH-01-064</t>
        </is>
      </c>
      <c r="C635" s="12" t="inlineStr">
        <is>
          <t>New</t>
        </is>
      </c>
      <c r="D635" s="12" t="inlineStr">
        <is>
          <t>Record first supplied in this revision</t>
        </is>
      </c>
      <c r="E635" s="12" t="inlineStr"/>
      <c r="F635" s="65" t="inlineStr">
        <is>
          <t>10 EVIDENCE &amp; DECISIONS</t>
        </is>
      </c>
      <c r="G635" s="14" t="n"/>
    </row>
    <row r="636" ht="79" customHeight="1">
      <c r="A636" s="12" t="inlineStr">
        <is>
          <t>R65-v1</t>
        </is>
      </c>
      <c r="B636" s="12" t="inlineStr">
        <is>
          <t>SCH-01-065</t>
        </is>
      </c>
      <c r="C636" s="12" t="inlineStr">
        <is>
          <t>New</t>
        </is>
      </c>
      <c r="D636" s="12" t="inlineStr">
        <is>
          <t>Record first supplied in this revision</t>
        </is>
      </c>
      <c r="E636" s="12" t="inlineStr"/>
      <c r="F636" s="65" t="inlineStr">
        <is>
          <t>10 EVIDENCE &amp; DECISIONS</t>
        </is>
      </c>
      <c r="G636" s="14" t="n"/>
    </row>
    <row r="637" ht="79" customHeight="1">
      <c r="A637" s="12" t="inlineStr">
        <is>
          <t>R66-v1</t>
        </is>
      </c>
      <c r="B637" s="12" t="inlineStr">
        <is>
          <t>SCH-01-066</t>
        </is>
      </c>
      <c r="C637" s="12" t="inlineStr">
        <is>
          <t>New</t>
        </is>
      </c>
      <c r="D637" s="12" t="inlineStr">
        <is>
          <t>Record first supplied in this revision</t>
        </is>
      </c>
      <c r="E637" s="12" t="inlineStr"/>
      <c r="F637" s="65" t="inlineStr">
        <is>
          <t>10 EVIDENCE &amp; DECISIONS</t>
        </is>
      </c>
      <c r="G637" s="14" t="n"/>
    </row>
    <row r="638" ht="79" customHeight="1">
      <c r="A638" s="12" t="inlineStr">
        <is>
          <t>R67-v1</t>
        </is>
      </c>
      <c r="B638" s="12" t="inlineStr">
        <is>
          <t>SCH-01-067</t>
        </is>
      </c>
      <c r="C638" s="12" t="inlineStr">
        <is>
          <t>New</t>
        </is>
      </c>
      <c r="D638" s="12" t="inlineStr">
        <is>
          <t>Record first supplied in this revision</t>
        </is>
      </c>
      <c r="E638" s="12" t="inlineStr"/>
      <c r="F638" s="65" t="inlineStr">
        <is>
          <t>10 EVIDENCE &amp; DECISIONS</t>
        </is>
      </c>
      <c r="G638" s="14" t="n"/>
    </row>
    <row r="639" ht="79" customHeight="1">
      <c r="A639" s="12" t="inlineStr">
        <is>
          <t>R68-v1</t>
        </is>
      </c>
      <c r="B639" s="12" t="inlineStr">
        <is>
          <t>SCH-01-068</t>
        </is>
      </c>
      <c r="C639" s="12" t="inlineStr">
        <is>
          <t>New</t>
        </is>
      </c>
      <c r="D639" s="12" t="inlineStr">
        <is>
          <t>Record first supplied in this revision</t>
        </is>
      </c>
      <c r="E639" s="12" t="inlineStr"/>
      <c r="F639" s="65" t="inlineStr">
        <is>
          <t>10 EVIDENCE &amp; DECISIONS</t>
        </is>
      </c>
      <c r="G639" s="14" t="n"/>
    </row>
    <row r="640" ht="79" customHeight="1">
      <c r="A640" s="12" t="inlineStr">
        <is>
          <t>R69-v1</t>
        </is>
      </c>
      <c r="B640" s="12" t="inlineStr">
        <is>
          <t>SCH-01-069</t>
        </is>
      </c>
      <c r="C640" s="12" t="inlineStr">
        <is>
          <t>New</t>
        </is>
      </c>
      <c r="D640" s="12" t="inlineStr">
        <is>
          <t>Record first supplied in this revision</t>
        </is>
      </c>
      <c r="E640" s="12" t="inlineStr"/>
      <c r="F640" s="65" t="inlineStr">
        <is>
          <t>10 EVIDENCE &amp; DECISIONS</t>
        </is>
      </c>
      <c r="G640" s="14" t="n"/>
    </row>
    <row r="641" ht="79" customHeight="1">
      <c r="A641" s="12" t="inlineStr">
        <is>
          <t>R70-v1</t>
        </is>
      </c>
      <c r="B641" s="12" t="inlineStr">
        <is>
          <t>SCH-01-070</t>
        </is>
      </c>
      <c r="C641" s="12" t="inlineStr">
        <is>
          <t>New</t>
        </is>
      </c>
      <c r="D641" s="12" t="inlineStr">
        <is>
          <t>Record first supplied in this revision</t>
        </is>
      </c>
      <c r="E641" s="12" t="inlineStr"/>
      <c r="F641" s="65" t="inlineStr">
        <is>
          <t>10 EVIDENCE &amp; DECISIONS</t>
        </is>
      </c>
      <c r="G641" s="14" t="n"/>
    </row>
    <row r="642" ht="79" customHeight="1">
      <c r="A642" s="12" t="inlineStr">
        <is>
          <t>R71-v1</t>
        </is>
      </c>
      <c r="B642" s="12" t="inlineStr">
        <is>
          <t>SCH-01-071</t>
        </is>
      </c>
      <c r="C642" s="12" t="inlineStr">
        <is>
          <t>New</t>
        </is>
      </c>
      <c r="D642" s="12" t="inlineStr">
        <is>
          <t>Record first supplied in this revision</t>
        </is>
      </c>
      <c r="E642" s="12" t="inlineStr"/>
      <c r="F642" s="65" t="inlineStr">
        <is>
          <t>10 EVIDENCE &amp; DECISIONS</t>
        </is>
      </c>
      <c r="G642" s="14" t="n"/>
    </row>
    <row r="643" ht="79" customHeight="1">
      <c r="A643" s="12" t="inlineStr">
        <is>
          <t>R72-v1</t>
        </is>
      </c>
      <c r="B643" s="12" t="inlineStr">
        <is>
          <t>SCH-01-072</t>
        </is>
      </c>
      <c r="C643" s="12" t="inlineStr">
        <is>
          <t>New</t>
        </is>
      </c>
      <c r="D643" s="12" t="inlineStr">
        <is>
          <t>Record first supplied in this revision</t>
        </is>
      </c>
      <c r="E643" s="12" t="inlineStr"/>
      <c r="F643" s="65" t="inlineStr">
        <is>
          <t>10 EVIDENCE &amp; DECISIONS</t>
        </is>
      </c>
      <c r="G643" s="14" t="n"/>
    </row>
    <row r="644" ht="79" customHeight="1">
      <c r="A644" s="12" t="inlineStr">
        <is>
          <t>R73-v1</t>
        </is>
      </c>
      <c r="B644" s="12" t="inlineStr">
        <is>
          <t>SCH-01-073</t>
        </is>
      </c>
      <c r="C644" s="12" t="inlineStr">
        <is>
          <t>New</t>
        </is>
      </c>
      <c r="D644" s="12" t="inlineStr">
        <is>
          <t>Record first supplied in this revision</t>
        </is>
      </c>
      <c r="E644" s="12" t="inlineStr"/>
      <c r="F644" s="65" t="inlineStr">
        <is>
          <t>10 EVIDENCE &amp; DECISIONS</t>
        </is>
      </c>
      <c r="G644" s="14" t="n"/>
    </row>
    <row r="645" ht="79" customHeight="1">
      <c r="A645" s="12" t="inlineStr">
        <is>
          <t>R74-v1</t>
        </is>
      </c>
      <c r="B645" s="12" t="inlineStr">
        <is>
          <t>SCH-01-074</t>
        </is>
      </c>
      <c r="C645" s="12" t="inlineStr">
        <is>
          <t>New</t>
        </is>
      </c>
      <c r="D645" s="12" t="inlineStr">
        <is>
          <t>Record first supplied in this revision</t>
        </is>
      </c>
      <c r="E645" s="12" t="inlineStr"/>
      <c r="F645" s="65" t="inlineStr">
        <is>
          <t>10 EVIDENCE &amp; DECISIONS</t>
        </is>
      </c>
      <c r="G645" s="14" t="n"/>
    </row>
    <row r="646" ht="79" customHeight="1">
      <c r="A646" s="12" t="inlineStr">
        <is>
          <t>R75-v1</t>
        </is>
      </c>
      <c r="B646" s="12" t="inlineStr">
        <is>
          <t>SCH-01-075</t>
        </is>
      </c>
      <c r="C646" s="12" t="inlineStr">
        <is>
          <t>New</t>
        </is>
      </c>
      <c r="D646" s="12" t="inlineStr">
        <is>
          <t>Record first supplied in this revision</t>
        </is>
      </c>
      <c r="E646" s="12" t="inlineStr"/>
      <c r="F646" s="65" t="inlineStr">
        <is>
          <t>10 EVIDENCE &amp; DECISIONS</t>
        </is>
      </c>
      <c r="G646" s="14" t="n"/>
    </row>
    <row r="647" ht="79" customHeight="1">
      <c r="A647" s="12" t="inlineStr">
        <is>
          <t>R76-v1</t>
        </is>
      </c>
      <c r="B647" s="12" t="inlineStr">
        <is>
          <t>SCH-01-076</t>
        </is>
      </c>
      <c r="C647" s="12" t="inlineStr">
        <is>
          <t>New</t>
        </is>
      </c>
      <c r="D647" s="12" t="inlineStr">
        <is>
          <t>Record first supplied in this revision</t>
        </is>
      </c>
      <c r="E647" s="12" t="inlineStr"/>
      <c r="F647" s="65" t="inlineStr">
        <is>
          <t>10 EVIDENCE &amp; DECISIONS</t>
        </is>
      </c>
      <c r="G647" s="14" t="n"/>
    </row>
    <row r="648" ht="79" customHeight="1">
      <c r="A648" s="12" t="inlineStr">
        <is>
          <t>R77-v1</t>
        </is>
      </c>
      <c r="B648" s="12" t="inlineStr">
        <is>
          <t>SCH-01-077</t>
        </is>
      </c>
      <c r="C648" s="12" t="inlineStr">
        <is>
          <t>New</t>
        </is>
      </c>
      <c r="D648" s="12" t="inlineStr">
        <is>
          <t>Record first supplied in this revision</t>
        </is>
      </c>
      <c r="E648" s="12" t="inlineStr"/>
      <c r="F648" s="65" t="inlineStr">
        <is>
          <t>10 EVIDENCE &amp; DECISIONS</t>
        </is>
      </c>
      <c r="G648" s="14" t="n"/>
    </row>
    <row r="649" ht="79" customHeight="1">
      <c r="A649" s="12" t="inlineStr">
        <is>
          <t>R78-v1</t>
        </is>
      </c>
      <c r="B649" s="12" t="inlineStr">
        <is>
          <t>SCH-01-078</t>
        </is>
      </c>
      <c r="C649" s="12" t="inlineStr">
        <is>
          <t>New</t>
        </is>
      </c>
      <c r="D649" s="12" t="inlineStr">
        <is>
          <t>Record first supplied in this revision</t>
        </is>
      </c>
      <c r="E649" s="12" t="inlineStr"/>
      <c r="F649" s="65" t="inlineStr">
        <is>
          <t>10 EVIDENCE &amp; DECISIONS</t>
        </is>
      </c>
      <c r="G649" s="14" t="n"/>
    </row>
    <row r="650" ht="79" customHeight="1">
      <c r="A650" s="12" t="inlineStr">
        <is>
          <t>R79-v1</t>
        </is>
      </c>
      <c r="B650" s="12" t="inlineStr">
        <is>
          <t>SCH-01-079</t>
        </is>
      </c>
      <c r="C650" s="12" t="inlineStr">
        <is>
          <t>New</t>
        </is>
      </c>
      <c r="D650" s="12" t="inlineStr">
        <is>
          <t>Record first supplied in this revision</t>
        </is>
      </c>
      <c r="E650" s="12" t="inlineStr"/>
      <c r="F650" s="65" t="inlineStr">
        <is>
          <t>10 EVIDENCE &amp; DECISIONS</t>
        </is>
      </c>
      <c r="G650" s="14" t="n"/>
    </row>
    <row r="651" ht="79" customHeight="1">
      <c r="A651" s="12" t="inlineStr">
        <is>
          <t>R80-v1</t>
        </is>
      </c>
      <c r="B651" s="12" t="inlineStr">
        <is>
          <t>SCH-01-080</t>
        </is>
      </c>
      <c r="C651" s="12" t="inlineStr">
        <is>
          <t>New</t>
        </is>
      </c>
      <c r="D651" s="12" t="inlineStr">
        <is>
          <t>Record first supplied in this revision</t>
        </is>
      </c>
      <c r="E651" s="12" t="inlineStr"/>
      <c r="F651" s="65" t="inlineStr">
        <is>
          <t>10 EVIDENCE &amp; DECISIONS</t>
        </is>
      </c>
      <c r="G651" s="14" t="n"/>
    </row>
    <row r="652" ht="79" customHeight="1">
      <c r="A652" s="12" t="inlineStr">
        <is>
          <t>R81-v1</t>
        </is>
      </c>
      <c r="B652" s="12" t="inlineStr">
        <is>
          <t>SCH-01-081</t>
        </is>
      </c>
      <c r="C652" s="12" t="inlineStr">
        <is>
          <t>New</t>
        </is>
      </c>
      <c r="D652" s="12" t="inlineStr">
        <is>
          <t>Record first supplied in this revision</t>
        </is>
      </c>
      <c r="E652" s="12" t="inlineStr"/>
      <c r="F652" s="65" t="inlineStr">
        <is>
          <t>10 EVIDENCE &amp; DECISIONS</t>
        </is>
      </c>
      <c r="G652" s="14" t="n"/>
    </row>
    <row r="653" ht="79" customHeight="1">
      <c r="A653" s="12" t="inlineStr">
        <is>
          <t>R82-v1</t>
        </is>
      </c>
      <c r="B653" s="12" t="inlineStr">
        <is>
          <t>SCH-01-082</t>
        </is>
      </c>
      <c r="C653" s="12" t="inlineStr">
        <is>
          <t>New</t>
        </is>
      </c>
      <c r="D653" s="12" t="inlineStr">
        <is>
          <t>Record first supplied in this revision</t>
        </is>
      </c>
      <c r="E653" s="12" t="inlineStr"/>
      <c r="F653" s="65" t="inlineStr">
        <is>
          <t>10 EVIDENCE &amp; DECISIONS</t>
        </is>
      </c>
      <c r="G653" s="14" t="n"/>
    </row>
    <row r="654" ht="79" customHeight="1">
      <c r="A654" s="12" t="inlineStr">
        <is>
          <t>R83-v1</t>
        </is>
      </c>
      <c r="B654" s="12" t="inlineStr">
        <is>
          <t>SCH-01-083</t>
        </is>
      </c>
      <c r="C654" s="12" t="inlineStr">
        <is>
          <t>New</t>
        </is>
      </c>
      <c r="D654" s="12" t="inlineStr">
        <is>
          <t>Record first supplied in this revision</t>
        </is>
      </c>
      <c r="E654" s="12" t="inlineStr"/>
      <c r="F654" s="65" t="inlineStr">
        <is>
          <t>10 EVIDENCE &amp; DECISIONS</t>
        </is>
      </c>
      <c r="G654" s="14" t="n"/>
    </row>
    <row r="655" ht="79" customHeight="1">
      <c r="A655" s="12" t="inlineStr">
        <is>
          <t>R84-v1</t>
        </is>
      </c>
      <c r="B655" s="12" t="inlineStr">
        <is>
          <t>SCH-01-084</t>
        </is>
      </c>
      <c r="C655" s="12" t="inlineStr">
        <is>
          <t>New</t>
        </is>
      </c>
      <c r="D655" s="12" t="inlineStr">
        <is>
          <t>Record first supplied in this revision</t>
        </is>
      </c>
      <c r="E655" s="12" t="inlineStr"/>
      <c r="F655" s="65" t="inlineStr">
        <is>
          <t>10 EVIDENCE &amp; DECISIONS</t>
        </is>
      </c>
      <c r="G655" s="14" t="n"/>
    </row>
    <row r="656" ht="79" customHeight="1">
      <c r="A656" s="12" t="inlineStr">
        <is>
          <t>R85-v1</t>
        </is>
      </c>
      <c r="B656" s="12" t="inlineStr">
        <is>
          <t>SCH-01-085</t>
        </is>
      </c>
      <c r="C656" s="12" t="inlineStr">
        <is>
          <t>New</t>
        </is>
      </c>
      <c r="D656" s="12" t="inlineStr">
        <is>
          <t>Record first supplied in this revision</t>
        </is>
      </c>
      <c r="E656" s="12" t="inlineStr"/>
      <c r="F656" s="65" t="inlineStr">
        <is>
          <t>10 EVIDENCE &amp; DECISIONS</t>
        </is>
      </c>
      <c r="G656" s="14" t="n"/>
    </row>
    <row r="657" ht="79" customHeight="1">
      <c r="A657" s="12" t="inlineStr">
        <is>
          <t>R86-v1</t>
        </is>
      </c>
      <c r="B657" s="12" t="inlineStr">
        <is>
          <t>SCH-01-086</t>
        </is>
      </c>
      <c r="C657" s="12" t="inlineStr">
        <is>
          <t>New</t>
        </is>
      </c>
      <c r="D657" s="12" t="inlineStr">
        <is>
          <t>Record first supplied in this revision</t>
        </is>
      </c>
      <c r="E657" s="12" t="inlineStr"/>
      <c r="F657" s="65" t="inlineStr">
        <is>
          <t>10 EVIDENCE &amp; DECISIONS</t>
        </is>
      </c>
      <c r="G657" s="14" t="n"/>
    </row>
    <row r="658" ht="79" customHeight="1">
      <c r="A658" s="12" t="inlineStr">
        <is>
          <t>R87-v1</t>
        </is>
      </c>
      <c r="B658" s="12" t="inlineStr">
        <is>
          <t>SCH-01-087</t>
        </is>
      </c>
      <c r="C658" s="12" t="inlineStr">
        <is>
          <t>New</t>
        </is>
      </c>
      <c r="D658" s="12" t="inlineStr">
        <is>
          <t>Record first supplied in this revision</t>
        </is>
      </c>
      <c r="E658" s="12" t="inlineStr"/>
      <c r="F658" s="65" t="inlineStr">
        <is>
          <t>10 EVIDENCE &amp; DECISIONS</t>
        </is>
      </c>
      <c r="G658" s="14" t="n"/>
    </row>
    <row r="659" ht="79" customHeight="1">
      <c r="A659" s="12" t="inlineStr">
        <is>
          <t>R88-v1</t>
        </is>
      </c>
      <c r="B659" s="12" t="inlineStr">
        <is>
          <t>SCH-01-088</t>
        </is>
      </c>
      <c r="C659" s="12" t="inlineStr">
        <is>
          <t>New</t>
        </is>
      </c>
      <c r="D659" s="12" t="inlineStr">
        <is>
          <t>Record first supplied in this revision</t>
        </is>
      </c>
      <c r="E659" s="12" t="inlineStr"/>
      <c r="F659" s="65" t="inlineStr">
        <is>
          <t>10 EVIDENCE &amp; DECISIONS</t>
        </is>
      </c>
      <c r="G659" s="14" t="n"/>
    </row>
    <row r="660" ht="79" customHeight="1">
      <c r="A660" s="12" t="inlineStr">
        <is>
          <t>R89-v1</t>
        </is>
      </c>
      <c r="B660" s="12" t="inlineStr">
        <is>
          <t>SCH-01-089</t>
        </is>
      </c>
      <c r="C660" s="12" t="inlineStr">
        <is>
          <t>New</t>
        </is>
      </c>
      <c r="D660" s="12" t="inlineStr">
        <is>
          <t>Record first supplied in this revision</t>
        </is>
      </c>
      <c r="E660" s="12" t="inlineStr"/>
      <c r="F660" s="65" t="inlineStr">
        <is>
          <t>10 EVIDENCE &amp; DECISIONS</t>
        </is>
      </c>
      <c r="G660" s="14" t="n"/>
    </row>
    <row r="661" ht="79" customHeight="1">
      <c r="A661" s="12" t="inlineStr">
        <is>
          <t>R90-v1</t>
        </is>
      </c>
      <c r="B661" s="12" t="inlineStr">
        <is>
          <t>SCH-01-090</t>
        </is>
      </c>
      <c r="C661" s="12" t="inlineStr">
        <is>
          <t>New</t>
        </is>
      </c>
      <c r="D661" s="12" t="inlineStr">
        <is>
          <t>Record first supplied in this revision</t>
        </is>
      </c>
      <c r="E661" s="12" t="inlineStr"/>
      <c r="F661" s="65" t="inlineStr">
        <is>
          <t>10 EVIDENCE &amp; DECISIONS</t>
        </is>
      </c>
      <c r="G661" s="14" t="n"/>
    </row>
    <row r="662" ht="79" customHeight="1">
      <c r="A662" s="12" t="inlineStr">
        <is>
          <t>R91-v1</t>
        </is>
      </c>
      <c r="B662" s="12" t="inlineStr">
        <is>
          <t>SCH-01-091</t>
        </is>
      </c>
      <c r="C662" s="12" t="inlineStr">
        <is>
          <t>New</t>
        </is>
      </c>
      <c r="D662" s="12" t="inlineStr">
        <is>
          <t>Record first supplied in this revision</t>
        </is>
      </c>
      <c r="E662" s="12" t="inlineStr"/>
      <c r="F662" s="65" t="inlineStr">
        <is>
          <t>10 EVIDENCE &amp; DECISIONS</t>
        </is>
      </c>
      <c r="G662" s="14" t="n"/>
    </row>
    <row r="663" ht="79" customHeight="1">
      <c r="A663" s="12" t="inlineStr">
        <is>
          <t>R92-v1</t>
        </is>
      </c>
      <c r="B663" s="12" t="inlineStr">
        <is>
          <t>SCH-01-092</t>
        </is>
      </c>
      <c r="C663" s="12" t="inlineStr">
        <is>
          <t>New</t>
        </is>
      </c>
      <c r="D663" s="12" t="inlineStr">
        <is>
          <t>Record first supplied in this revision</t>
        </is>
      </c>
      <c r="E663" s="12" t="inlineStr"/>
      <c r="F663" s="65" t="inlineStr">
        <is>
          <t>10 EVIDENCE &amp; DECISIONS</t>
        </is>
      </c>
      <c r="G663" s="14" t="n"/>
    </row>
    <row r="664" ht="79" customHeight="1">
      <c r="A664" s="12" t="inlineStr">
        <is>
          <t>R93-v1</t>
        </is>
      </c>
      <c r="B664" s="12" t="inlineStr">
        <is>
          <t>SCH-01-093</t>
        </is>
      </c>
      <c r="C664" s="12" t="inlineStr">
        <is>
          <t>New</t>
        </is>
      </c>
      <c r="D664" s="12" t="inlineStr">
        <is>
          <t>Record first supplied in this revision</t>
        </is>
      </c>
      <c r="E664" s="12" t="inlineStr"/>
      <c r="F664" s="65" t="inlineStr">
        <is>
          <t>10 EVIDENCE &amp; DECISIONS</t>
        </is>
      </c>
      <c r="G664" s="14" t="n"/>
    </row>
    <row r="665" ht="79" customHeight="1">
      <c r="A665" s="12" t="inlineStr">
        <is>
          <t>R94-v1</t>
        </is>
      </c>
      <c r="B665" s="12" t="inlineStr">
        <is>
          <t>SCH-01-094</t>
        </is>
      </c>
      <c r="C665" s="12" t="inlineStr">
        <is>
          <t>New</t>
        </is>
      </c>
      <c r="D665" s="12" t="inlineStr">
        <is>
          <t>Record first supplied in this revision</t>
        </is>
      </c>
      <c r="E665" s="12" t="inlineStr"/>
      <c r="F665" s="65" t="inlineStr">
        <is>
          <t>10 EVIDENCE &amp; DECISIONS</t>
        </is>
      </c>
      <c r="G665" s="14" t="n"/>
    </row>
    <row r="666" ht="79" customHeight="1">
      <c r="A666" s="12" t="inlineStr">
        <is>
          <t>R95-v1</t>
        </is>
      </c>
      <c r="B666" s="12" t="inlineStr">
        <is>
          <t>SCH-01-095</t>
        </is>
      </c>
      <c r="C666" s="12" t="inlineStr">
        <is>
          <t>New</t>
        </is>
      </c>
      <c r="D666" s="12" t="inlineStr">
        <is>
          <t>Record first supplied in this revision</t>
        </is>
      </c>
      <c r="E666" s="12" t="inlineStr"/>
      <c r="F666" s="65" t="inlineStr">
        <is>
          <t>10 EVIDENCE &amp; DECISIONS</t>
        </is>
      </c>
      <c r="G666" s="14" t="n"/>
    </row>
    <row r="667" ht="79" customHeight="1">
      <c r="A667" s="12" t="inlineStr">
        <is>
          <t>R96-v1</t>
        </is>
      </c>
      <c r="B667" s="12" t="inlineStr">
        <is>
          <t>SCH-01-096</t>
        </is>
      </c>
      <c r="C667" s="12" t="inlineStr">
        <is>
          <t>New</t>
        </is>
      </c>
      <c r="D667" s="12" t="inlineStr">
        <is>
          <t>Record first supplied in this revision</t>
        </is>
      </c>
      <c r="E667" s="12" t="inlineStr"/>
      <c r="F667" s="65" t="inlineStr">
        <is>
          <t>10 EVIDENCE &amp; DECISIONS</t>
        </is>
      </c>
      <c r="G667" s="14" t="n"/>
    </row>
    <row r="668" ht="79" customHeight="1">
      <c r="A668" s="12" t="inlineStr">
        <is>
          <t>R97-v1</t>
        </is>
      </c>
      <c r="B668" s="12" t="inlineStr">
        <is>
          <t>SCH-01-097</t>
        </is>
      </c>
      <c r="C668" s="12" t="inlineStr">
        <is>
          <t>New</t>
        </is>
      </c>
      <c r="D668" s="12" t="inlineStr">
        <is>
          <t>Record first supplied in this revision</t>
        </is>
      </c>
      <c r="E668" s="12" t="inlineStr"/>
      <c r="F668" s="65" t="inlineStr">
        <is>
          <t>10 EVIDENCE &amp; DECISIONS</t>
        </is>
      </c>
      <c r="G668" s="14" t="n"/>
    </row>
    <row r="669" ht="79" customHeight="1">
      <c r="A669" s="12" t="inlineStr">
        <is>
          <t>R98-v1</t>
        </is>
      </c>
      <c r="B669" s="12" t="inlineStr">
        <is>
          <t>SCH-01-098</t>
        </is>
      </c>
      <c r="C669" s="12" t="inlineStr">
        <is>
          <t>New</t>
        </is>
      </c>
      <c r="D669" s="12" t="inlineStr">
        <is>
          <t>Record first supplied in this revision</t>
        </is>
      </c>
      <c r="E669" s="12" t="inlineStr"/>
      <c r="F669" s="65" t="inlineStr">
        <is>
          <t>10 EVIDENCE &amp; DECISIONS</t>
        </is>
      </c>
      <c r="G669" s="14" t="n"/>
    </row>
    <row r="670" ht="79" customHeight="1">
      <c r="A670" s="12" t="inlineStr">
        <is>
          <t>R99-v1</t>
        </is>
      </c>
      <c r="B670" s="12" t="inlineStr">
        <is>
          <t>SCH-01-099</t>
        </is>
      </c>
      <c r="C670" s="12" t="inlineStr">
        <is>
          <t>New</t>
        </is>
      </c>
      <c r="D670" s="12" t="inlineStr">
        <is>
          <t>Record first supplied in this revision</t>
        </is>
      </c>
      <c r="E670" s="12" t="inlineStr"/>
      <c r="F670" s="65" t="inlineStr">
        <is>
          <t>10 EVIDENCE &amp; DECISIONS</t>
        </is>
      </c>
      <c r="G670" s="14" t="n"/>
    </row>
    <row r="671" ht="79" customHeight="1">
      <c r="A671" s="12" t="inlineStr">
        <is>
          <t>R100-v1</t>
        </is>
      </c>
      <c r="B671" s="12" t="inlineStr">
        <is>
          <t>SCH-01-100</t>
        </is>
      </c>
      <c r="C671" s="12" t="inlineStr">
        <is>
          <t>New</t>
        </is>
      </c>
      <c r="D671" s="12" t="inlineStr">
        <is>
          <t>Record first supplied in this revision</t>
        </is>
      </c>
      <c r="E671" s="12" t="inlineStr"/>
      <c r="F671" s="65" t="inlineStr">
        <is>
          <t>10 EVIDENCE &amp; DECISIONS</t>
        </is>
      </c>
      <c r="G671" s="14" t="n"/>
    </row>
    <row r="672" ht="79" customHeight="1">
      <c r="A672" s="12" t="inlineStr">
        <is>
          <t>R101-v1</t>
        </is>
      </c>
      <c r="B672" s="12" t="inlineStr">
        <is>
          <t>SCH-01-101</t>
        </is>
      </c>
      <c r="C672" s="12" t="inlineStr">
        <is>
          <t>New</t>
        </is>
      </c>
      <c r="D672" s="12" t="inlineStr">
        <is>
          <t>Record first supplied in this revision</t>
        </is>
      </c>
      <c r="E672" s="12" t="inlineStr"/>
      <c r="F672" s="65" t="inlineStr">
        <is>
          <t>10 EVIDENCE &amp; DECISIONS</t>
        </is>
      </c>
      <c r="G672" s="14" t="n"/>
    </row>
    <row r="673" ht="79" customHeight="1">
      <c r="A673" s="12" t="inlineStr">
        <is>
          <t>R102-v1</t>
        </is>
      </c>
      <c r="B673" s="12" t="inlineStr">
        <is>
          <t>SCH-01-102</t>
        </is>
      </c>
      <c r="C673" s="12" t="inlineStr">
        <is>
          <t>New</t>
        </is>
      </c>
      <c r="D673" s="12" t="inlineStr">
        <is>
          <t>Record first supplied in this revision</t>
        </is>
      </c>
      <c r="E673" s="12" t="inlineStr"/>
      <c r="F673" s="65" t="inlineStr">
        <is>
          <t>10 EVIDENCE &amp; DECISIONS</t>
        </is>
      </c>
      <c r="G673" s="14" t="n"/>
    </row>
    <row r="674" ht="79" customHeight="1">
      <c r="A674" s="12" t="inlineStr">
        <is>
          <t>R103-v1</t>
        </is>
      </c>
      <c r="B674" s="12" t="inlineStr">
        <is>
          <t>SCH-01-103</t>
        </is>
      </c>
      <c r="C674" s="12" t="inlineStr">
        <is>
          <t>New</t>
        </is>
      </c>
      <c r="D674" s="12" t="inlineStr">
        <is>
          <t>Record first supplied in this revision</t>
        </is>
      </c>
      <c r="E674" s="12" t="inlineStr"/>
      <c r="F674" s="65" t="inlineStr">
        <is>
          <t>10 EVIDENCE &amp; DECISIONS</t>
        </is>
      </c>
      <c r="G674" s="14" t="n"/>
    </row>
    <row r="675" ht="79" customHeight="1">
      <c r="A675" s="12" t="inlineStr">
        <is>
          <t>R104-v1</t>
        </is>
      </c>
      <c r="B675" s="12" t="inlineStr">
        <is>
          <t>SCH-01-104</t>
        </is>
      </c>
      <c r="C675" s="12" t="inlineStr">
        <is>
          <t>New</t>
        </is>
      </c>
      <c r="D675" s="12" t="inlineStr">
        <is>
          <t>Record first supplied in this revision</t>
        </is>
      </c>
      <c r="E675" s="12" t="inlineStr"/>
      <c r="F675" s="65" t="inlineStr">
        <is>
          <t>10 EVIDENCE &amp; DECISIONS</t>
        </is>
      </c>
      <c r="G675" s="14" t="n"/>
    </row>
    <row r="676" ht="79" customHeight="1">
      <c r="A676" s="12" t="inlineStr">
        <is>
          <t>R105-v1</t>
        </is>
      </c>
      <c r="B676" s="12" t="inlineStr">
        <is>
          <t>SCH-01-105</t>
        </is>
      </c>
      <c r="C676" s="12" t="inlineStr">
        <is>
          <t>New</t>
        </is>
      </c>
      <c r="D676" s="12" t="inlineStr">
        <is>
          <t>Record first supplied in this revision</t>
        </is>
      </c>
      <c r="E676" s="12" t="inlineStr"/>
      <c r="F676" s="65" t="inlineStr">
        <is>
          <t>10 EVIDENCE &amp; DECISIONS</t>
        </is>
      </c>
      <c r="G676" s="14" t="n"/>
    </row>
    <row r="677" ht="79" customHeight="1">
      <c r="A677" s="12" t="inlineStr">
        <is>
          <t>R106-v1</t>
        </is>
      </c>
      <c r="B677" s="12" t="inlineStr">
        <is>
          <t>SCH-01-106</t>
        </is>
      </c>
      <c r="C677" s="12" t="inlineStr">
        <is>
          <t>New</t>
        </is>
      </c>
      <c r="D677" s="12" t="inlineStr">
        <is>
          <t>Record first supplied in this revision</t>
        </is>
      </c>
      <c r="E677" s="12" t="inlineStr"/>
      <c r="F677" s="65" t="inlineStr">
        <is>
          <t>10 EVIDENCE &amp; DECISIONS</t>
        </is>
      </c>
      <c r="G677" s="14" t="n"/>
    </row>
    <row r="678" ht="79" customHeight="1">
      <c r="A678" s="12" t="inlineStr">
        <is>
          <t>R107-v1</t>
        </is>
      </c>
      <c r="B678" s="12" t="inlineStr">
        <is>
          <t>SCH-01-107</t>
        </is>
      </c>
      <c r="C678" s="12" t="inlineStr">
        <is>
          <t>New</t>
        </is>
      </c>
      <c r="D678" s="12" t="inlineStr">
        <is>
          <t>Record first supplied in this revision</t>
        </is>
      </c>
      <c r="E678" s="12" t="inlineStr"/>
      <c r="F678" s="65" t="inlineStr">
        <is>
          <t>10 EVIDENCE &amp; DECISIONS</t>
        </is>
      </c>
      <c r="G678" s="14" t="n"/>
    </row>
    <row r="679" ht="79" customHeight="1">
      <c r="A679" s="12" t="inlineStr">
        <is>
          <t>R108-v1</t>
        </is>
      </c>
      <c r="B679" s="12" t="inlineStr">
        <is>
          <t>SCH-01-108</t>
        </is>
      </c>
      <c r="C679" s="12" t="inlineStr">
        <is>
          <t>New</t>
        </is>
      </c>
      <c r="D679" s="12" t="inlineStr">
        <is>
          <t>Record first supplied in this revision</t>
        </is>
      </c>
      <c r="E679" s="12" t="inlineStr"/>
      <c r="F679" s="65" t="inlineStr">
        <is>
          <t>10 EVIDENCE &amp; DECISIONS</t>
        </is>
      </c>
      <c r="G679" s="14" t="n"/>
    </row>
    <row r="680" ht="79" customHeight="1">
      <c r="A680" s="12" t="inlineStr">
        <is>
          <t>R109-v1</t>
        </is>
      </c>
      <c r="B680" s="12" t="inlineStr">
        <is>
          <t>SCH-01-109</t>
        </is>
      </c>
      <c r="C680" s="12" t="inlineStr">
        <is>
          <t>New</t>
        </is>
      </c>
      <c r="D680" s="12" t="inlineStr">
        <is>
          <t>Record first supplied in this revision</t>
        </is>
      </c>
      <c r="E680" s="12" t="inlineStr"/>
      <c r="F680" s="65" t="inlineStr">
        <is>
          <t>10 EVIDENCE &amp; DECISIONS</t>
        </is>
      </c>
      <c r="G680" s="14" t="n"/>
    </row>
    <row r="681" ht="79" customHeight="1">
      <c r="A681" s="12" t="inlineStr">
        <is>
          <t>R110-v1</t>
        </is>
      </c>
      <c r="B681" s="12" t="inlineStr">
        <is>
          <t>SCH-01-110</t>
        </is>
      </c>
      <c r="C681" s="12" t="inlineStr">
        <is>
          <t>New</t>
        </is>
      </c>
      <c r="D681" s="12" t="inlineStr">
        <is>
          <t>Record first supplied in this revision</t>
        </is>
      </c>
      <c r="E681" s="12" t="inlineStr"/>
      <c r="F681" s="65" t="inlineStr">
        <is>
          <t>10 EVIDENCE &amp; DECISIONS</t>
        </is>
      </c>
      <c r="G681" s="14" t="n"/>
    </row>
    <row r="682" ht="79" customHeight="1">
      <c r="A682" s="12" t="inlineStr">
        <is>
          <t>R111-v1</t>
        </is>
      </c>
      <c r="B682" s="12" t="inlineStr">
        <is>
          <t>SCH-01-111</t>
        </is>
      </c>
      <c r="C682" s="12" t="inlineStr">
        <is>
          <t>New</t>
        </is>
      </c>
      <c r="D682" s="12" t="inlineStr">
        <is>
          <t>Record first supplied in this revision</t>
        </is>
      </c>
      <c r="E682" s="12" t="inlineStr"/>
      <c r="F682" s="65" t="inlineStr">
        <is>
          <t>10 EVIDENCE &amp; DECISIONS</t>
        </is>
      </c>
      <c r="G682" s="14" t="n"/>
    </row>
    <row r="683" ht="79" customHeight="1">
      <c r="A683" s="12" t="inlineStr">
        <is>
          <t>R112-v1</t>
        </is>
      </c>
      <c r="B683" s="12" t="inlineStr">
        <is>
          <t>SCH-01-112</t>
        </is>
      </c>
      <c r="C683" s="12" t="inlineStr">
        <is>
          <t>New</t>
        </is>
      </c>
      <c r="D683" s="12" t="inlineStr">
        <is>
          <t>Record first supplied in this revision</t>
        </is>
      </c>
      <c r="E683" s="12" t="inlineStr"/>
      <c r="F683" s="65" t="inlineStr">
        <is>
          <t>10 EVIDENCE &amp; DECISIONS</t>
        </is>
      </c>
      <c r="G683" s="14" t="n"/>
    </row>
    <row r="684" ht="79" customHeight="1">
      <c r="A684" s="12" t="inlineStr">
        <is>
          <t>R113-v1</t>
        </is>
      </c>
      <c r="B684" s="12" t="inlineStr">
        <is>
          <t>SCH-01-113</t>
        </is>
      </c>
      <c r="C684" s="12" t="inlineStr">
        <is>
          <t>New</t>
        </is>
      </c>
      <c r="D684" s="12" t="inlineStr">
        <is>
          <t>Record first supplied in this revision</t>
        </is>
      </c>
      <c r="E684" s="12" t="inlineStr"/>
      <c r="F684" s="65" t="inlineStr">
        <is>
          <t>10 EVIDENCE &amp; DECISIONS</t>
        </is>
      </c>
      <c r="G684" s="14" t="n"/>
    </row>
    <row r="685" ht="79" customHeight="1">
      <c r="A685" s="12" t="inlineStr">
        <is>
          <t>R114-v1</t>
        </is>
      </c>
      <c r="B685" s="12" t="inlineStr">
        <is>
          <t>SCH-01-114</t>
        </is>
      </c>
      <c r="C685" s="12" t="inlineStr">
        <is>
          <t>New</t>
        </is>
      </c>
      <c r="D685" s="12" t="inlineStr">
        <is>
          <t>Record first supplied in this revision</t>
        </is>
      </c>
      <c r="E685" s="12" t="inlineStr"/>
      <c r="F685" s="65" t="inlineStr">
        <is>
          <t>10 EVIDENCE &amp; DECISIONS</t>
        </is>
      </c>
      <c r="G685" s="14" t="n"/>
    </row>
    <row r="686" ht="79" customHeight="1">
      <c r="A686" s="12" t="inlineStr">
        <is>
          <t>R115-v1</t>
        </is>
      </c>
      <c r="B686" s="12" t="inlineStr">
        <is>
          <t>SCH-01-115</t>
        </is>
      </c>
      <c r="C686" s="12" t="inlineStr">
        <is>
          <t>New</t>
        </is>
      </c>
      <c r="D686" s="12" t="inlineStr">
        <is>
          <t>Record first supplied in this revision</t>
        </is>
      </c>
      <c r="E686" s="12" t="inlineStr"/>
      <c r="F686" s="65" t="inlineStr">
        <is>
          <t>10 EVIDENCE &amp; DECISIONS</t>
        </is>
      </c>
      <c r="G686" s="14" t="n"/>
    </row>
    <row r="687" ht="79" customHeight="1">
      <c r="A687" s="12" t="inlineStr">
        <is>
          <t>R116-v1</t>
        </is>
      </c>
      <c r="B687" s="12" t="inlineStr">
        <is>
          <t>SCH-01-116</t>
        </is>
      </c>
      <c r="C687" s="12" t="inlineStr">
        <is>
          <t>New</t>
        </is>
      </c>
      <c r="D687" s="12" t="inlineStr">
        <is>
          <t>Record first supplied in this revision</t>
        </is>
      </c>
      <c r="E687" s="12" t="inlineStr"/>
      <c r="F687" s="65" t="inlineStr">
        <is>
          <t>10 EVIDENCE &amp; DECISIONS</t>
        </is>
      </c>
      <c r="G687" s="14" t="n"/>
    </row>
    <row r="688" ht="79" customHeight="1">
      <c r="A688" s="12" t="inlineStr">
        <is>
          <t>R117-v1</t>
        </is>
      </c>
      <c r="B688" s="12" t="inlineStr">
        <is>
          <t>SCH-01-117</t>
        </is>
      </c>
      <c r="C688" s="12" t="inlineStr">
        <is>
          <t>New</t>
        </is>
      </c>
      <c r="D688" s="12" t="inlineStr">
        <is>
          <t>Record first supplied in this revision</t>
        </is>
      </c>
      <c r="E688" s="12" t="inlineStr"/>
      <c r="F688" s="65" t="inlineStr">
        <is>
          <t>10 EVIDENCE &amp; DECISIONS</t>
        </is>
      </c>
      <c r="G688" s="14" t="n"/>
    </row>
    <row r="689" ht="79" customHeight="1">
      <c r="A689" s="12" t="inlineStr">
        <is>
          <t>R118-v1</t>
        </is>
      </c>
      <c r="B689" s="12" t="inlineStr">
        <is>
          <t>SCH-01-118</t>
        </is>
      </c>
      <c r="C689" s="12" t="inlineStr">
        <is>
          <t>New</t>
        </is>
      </c>
      <c r="D689" s="12" t="inlineStr">
        <is>
          <t>Record first supplied in this revision</t>
        </is>
      </c>
      <c r="E689" s="12" t="inlineStr"/>
      <c r="F689" s="65" t="inlineStr">
        <is>
          <t>10 EVIDENCE &amp; DECISIONS</t>
        </is>
      </c>
      <c r="G689" s="14" t="n"/>
    </row>
    <row r="690" ht="79" customHeight="1">
      <c r="A690" s="12" t="inlineStr">
        <is>
          <t>R119-v1</t>
        </is>
      </c>
      <c r="B690" s="12" t="inlineStr">
        <is>
          <t>SCH-01-119</t>
        </is>
      </c>
      <c r="C690" s="12" t="inlineStr">
        <is>
          <t>New</t>
        </is>
      </c>
      <c r="D690" s="12" t="inlineStr">
        <is>
          <t>Record first supplied in this revision</t>
        </is>
      </c>
      <c r="E690" s="12" t="inlineStr"/>
      <c r="F690" s="65" t="inlineStr">
        <is>
          <t>10 EVIDENCE &amp; DECISIONS</t>
        </is>
      </c>
      <c r="G690" s="14" t="n"/>
    </row>
    <row r="691" ht="79" customHeight="1">
      <c r="A691" s="12" t="inlineStr">
        <is>
          <t>R120-v1</t>
        </is>
      </c>
      <c r="B691" s="12" t="inlineStr">
        <is>
          <t>SCH-01-120</t>
        </is>
      </c>
      <c r="C691" s="12" t="inlineStr">
        <is>
          <t>New</t>
        </is>
      </c>
      <c r="D691" s="12" t="inlineStr">
        <is>
          <t>Record first supplied in this revision</t>
        </is>
      </c>
      <c r="E691" s="12" t="inlineStr"/>
      <c r="F691" s="65" t="inlineStr">
        <is>
          <t>10 EVIDENCE &amp; DECISIONS</t>
        </is>
      </c>
      <c r="G691" s="14" t="n"/>
    </row>
    <row r="692" ht="79" customHeight="1">
      <c r="A692" s="12" t="inlineStr">
        <is>
          <t>R121-v1</t>
        </is>
      </c>
      <c r="B692" s="12" t="inlineStr">
        <is>
          <t>SCH-01-121</t>
        </is>
      </c>
      <c r="C692" s="12" t="inlineStr">
        <is>
          <t>New</t>
        </is>
      </c>
      <c r="D692" s="12" t="inlineStr">
        <is>
          <t>Record first supplied in this revision</t>
        </is>
      </c>
      <c r="E692" s="12" t="inlineStr"/>
      <c r="F692" s="65" t="inlineStr">
        <is>
          <t>10 EVIDENCE &amp; DECISIONS</t>
        </is>
      </c>
      <c r="G692" s="14" t="n"/>
    </row>
    <row r="693" ht="79" customHeight="1">
      <c r="A693" s="12" t="inlineStr">
        <is>
          <t>R122-v1</t>
        </is>
      </c>
      <c r="B693" s="12" t="inlineStr">
        <is>
          <t>SCH-01-122</t>
        </is>
      </c>
      <c r="C693" s="12" t="inlineStr">
        <is>
          <t>New</t>
        </is>
      </c>
      <c r="D693" s="12" t="inlineStr">
        <is>
          <t>Record first supplied in this revision</t>
        </is>
      </c>
      <c r="E693" s="12" t="inlineStr"/>
      <c r="F693" s="65" t="inlineStr">
        <is>
          <t>10 EVIDENCE &amp; DECISIONS</t>
        </is>
      </c>
      <c r="G693" s="14" t="n"/>
    </row>
    <row r="694" ht="79" customHeight="1">
      <c r="A694" s="12" t="inlineStr">
        <is>
          <t>R123-v1</t>
        </is>
      </c>
      <c r="B694" s="12" t="inlineStr">
        <is>
          <t>SCH-01-123</t>
        </is>
      </c>
      <c r="C694" s="12" t="inlineStr">
        <is>
          <t>New</t>
        </is>
      </c>
      <c r="D694" s="12" t="inlineStr">
        <is>
          <t>Record first supplied in this revision</t>
        </is>
      </c>
      <c r="E694" s="12" t="inlineStr"/>
      <c r="F694" s="65" t="inlineStr">
        <is>
          <t>10 EVIDENCE &amp; DECISIONS</t>
        </is>
      </c>
      <c r="G694" s="14" t="n"/>
    </row>
    <row r="695" ht="79" customHeight="1">
      <c r="A695" s="12" t="inlineStr">
        <is>
          <t>R124-v1</t>
        </is>
      </c>
      <c r="B695" s="12" t="inlineStr">
        <is>
          <t>SCH-01-124</t>
        </is>
      </c>
      <c r="C695" s="12" t="inlineStr">
        <is>
          <t>New</t>
        </is>
      </c>
      <c r="D695" s="12" t="inlineStr">
        <is>
          <t>Record first supplied in this revision</t>
        </is>
      </c>
      <c r="E695" s="12" t="inlineStr"/>
      <c r="F695" s="65" t="inlineStr">
        <is>
          <t>10 EVIDENCE &amp; DECISIONS</t>
        </is>
      </c>
      <c r="G695" s="14" t="n"/>
    </row>
    <row r="696" ht="79" customHeight="1">
      <c r="A696" s="12" t="inlineStr">
        <is>
          <t>R125-v1</t>
        </is>
      </c>
      <c r="B696" s="12" t="inlineStr">
        <is>
          <t>SCH-01-125</t>
        </is>
      </c>
      <c r="C696" s="12" t="inlineStr">
        <is>
          <t>New</t>
        </is>
      </c>
      <c r="D696" s="12" t="inlineStr">
        <is>
          <t>Record first supplied in this revision</t>
        </is>
      </c>
      <c r="E696" s="12" t="inlineStr"/>
      <c r="F696" s="65" t="inlineStr">
        <is>
          <t>10 EVIDENCE &amp; DECISIONS</t>
        </is>
      </c>
      <c r="G696" s="14" t="n"/>
    </row>
    <row r="697" ht="79" customHeight="1">
      <c r="A697" s="12" t="inlineStr">
        <is>
          <t>R126-v1</t>
        </is>
      </c>
      <c r="B697" s="12" t="inlineStr">
        <is>
          <t>SCH-01-126</t>
        </is>
      </c>
      <c r="C697" s="12" t="inlineStr">
        <is>
          <t>New</t>
        </is>
      </c>
      <c r="D697" s="12" t="inlineStr">
        <is>
          <t>Record first supplied in this revision</t>
        </is>
      </c>
      <c r="E697" s="12" t="inlineStr"/>
      <c r="F697" s="65" t="inlineStr">
        <is>
          <t>10 EVIDENCE &amp; DECISIONS</t>
        </is>
      </c>
      <c r="G697" s="14" t="n"/>
    </row>
    <row r="698" ht="79" customHeight="1">
      <c r="A698" s="12" t="inlineStr">
        <is>
          <t>R127-v1</t>
        </is>
      </c>
      <c r="B698" s="12" t="inlineStr">
        <is>
          <t>SCH-01-127</t>
        </is>
      </c>
      <c r="C698" s="12" t="inlineStr">
        <is>
          <t>New</t>
        </is>
      </c>
      <c r="D698" s="12" t="inlineStr">
        <is>
          <t>Record first supplied in this revision</t>
        </is>
      </c>
      <c r="E698" s="12" t="inlineStr"/>
      <c r="F698" s="65" t="inlineStr">
        <is>
          <t>10 EVIDENCE &amp; DECISIONS</t>
        </is>
      </c>
      <c r="G698" s="14" t="n"/>
    </row>
    <row r="699" ht="79" customHeight="1">
      <c r="A699" s="12" t="inlineStr">
        <is>
          <t>R128-v1</t>
        </is>
      </c>
      <c r="B699" s="12" t="inlineStr">
        <is>
          <t>SCH-01-128</t>
        </is>
      </c>
      <c r="C699" s="12" t="inlineStr">
        <is>
          <t>New</t>
        </is>
      </c>
      <c r="D699" s="12" t="inlineStr">
        <is>
          <t>Record first supplied in this revision</t>
        </is>
      </c>
      <c r="E699" s="12" t="inlineStr"/>
      <c r="F699" s="65" t="inlineStr">
        <is>
          <t>10 EVIDENCE &amp; DECISIONS</t>
        </is>
      </c>
      <c r="G699" s="14" t="n"/>
    </row>
    <row r="700" ht="79" customHeight="1">
      <c r="A700" s="12" t="inlineStr">
        <is>
          <t>R129-v1</t>
        </is>
      </c>
      <c r="B700" s="12" t="inlineStr">
        <is>
          <t>SCH-01-129</t>
        </is>
      </c>
      <c r="C700" s="12" t="inlineStr">
        <is>
          <t>New</t>
        </is>
      </c>
      <c r="D700" s="12" t="inlineStr">
        <is>
          <t>Record first supplied in this revision</t>
        </is>
      </c>
      <c r="E700" s="12" t="inlineStr"/>
      <c r="F700" s="65" t="inlineStr">
        <is>
          <t>10 EVIDENCE &amp; DECISIONS</t>
        </is>
      </c>
      <c r="G700" s="14" t="n"/>
    </row>
    <row r="701" ht="79" customHeight="1">
      <c r="A701" s="12" t="inlineStr">
        <is>
          <t>R130-v1</t>
        </is>
      </c>
      <c r="B701" s="12" t="inlineStr">
        <is>
          <t>SCH-01-130</t>
        </is>
      </c>
      <c r="C701" s="12" t="inlineStr">
        <is>
          <t>New</t>
        </is>
      </c>
      <c r="D701" s="12" t="inlineStr">
        <is>
          <t>Record first supplied in this revision</t>
        </is>
      </c>
      <c r="E701" s="12" t="inlineStr"/>
      <c r="F701" s="65" t="inlineStr">
        <is>
          <t>10 EVIDENCE &amp; DECISIONS</t>
        </is>
      </c>
      <c r="G701" s="14" t="n"/>
    </row>
    <row r="702" ht="79" customHeight="1">
      <c r="A702" s="12" t="inlineStr">
        <is>
          <t>R131-v1</t>
        </is>
      </c>
      <c r="B702" s="12" t="inlineStr">
        <is>
          <t>SCH-01-131</t>
        </is>
      </c>
      <c r="C702" s="12" t="inlineStr">
        <is>
          <t>New</t>
        </is>
      </c>
      <c r="D702" s="12" t="inlineStr">
        <is>
          <t>Record first supplied in this revision</t>
        </is>
      </c>
      <c r="E702" s="12" t="inlineStr"/>
      <c r="F702" s="65" t="inlineStr">
        <is>
          <t>10 EVIDENCE &amp; DECISIONS</t>
        </is>
      </c>
      <c r="G702" s="14" t="n"/>
    </row>
    <row r="703" ht="79" customHeight="1">
      <c r="A703" s="12" t="inlineStr">
        <is>
          <t>R132-v1</t>
        </is>
      </c>
      <c r="B703" s="12" t="inlineStr">
        <is>
          <t>SCH-01-132</t>
        </is>
      </c>
      <c r="C703" s="12" t="inlineStr">
        <is>
          <t>New</t>
        </is>
      </c>
      <c r="D703" s="12" t="inlineStr">
        <is>
          <t>Record first supplied in this revision</t>
        </is>
      </c>
      <c r="E703" s="12" t="inlineStr"/>
      <c r="F703" s="65" t="inlineStr">
        <is>
          <t>10 EVIDENCE &amp; DECISIONS</t>
        </is>
      </c>
      <c r="G703" s="14" t="n"/>
    </row>
    <row r="704" ht="79" customHeight="1">
      <c r="A704" s="12" t="inlineStr">
        <is>
          <t>R133-v1</t>
        </is>
      </c>
      <c r="B704" s="12" t="inlineStr">
        <is>
          <t>SCH-01-133</t>
        </is>
      </c>
      <c r="C704" s="12" t="inlineStr">
        <is>
          <t>New</t>
        </is>
      </c>
      <c r="D704" s="12" t="inlineStr">
        <is>
          <t>Record first supplied in this revision</t>
        </is>
      </c>
      <c r="E704" s="12" t="inlineStr"/>
      <c r="F704" s="65" t="inlineStr">
        <is>
          <t>10 EVIDENCE &amp; DECISIONS</t>
        </is>
      </c>
      <c r="G704" s="14" t="n"/>
    </row>
    <row r="705" ht="79" customHeight="1">
      <c r="A705" s="12" t="inlineStr">
        <is>
          <t>R134-v1</t>
        </is>
      </c>
      <c r="B705" s="12" t="inlineStr">
        <is>
          <t>SCH-01-134</t>
        </is>
      </c>
      <c r="C705" s="12" t="inlineStr">
        <is>
          <t>New</t>
        </is>
      </c>
      <c r="D705" s="12" t="inlineStr">
        <is>
          <t>Record first supplied in this revision</t>
        </is>
      </c>
      <c r="E705" s="12" t="inlineStr"/>
      <c r="F705" s="65" t="inlineStr">
        <is>
          <t>10 EVIDENCE &amp; DECISIONS</t>
        </is>
      </c>
      <c r="G705" s="14" t="n"/>
    </row>
    <row r="706" ht="79" customHeight="1">
      <c r="A706" s="12" t="inlineStr">
        <is>
          <t>R135-v1</t>
        </is>
      </c>
      <c r="B706" s="12" t="inlineStr">
        <is>
          <t>SCH-01-135</t>
        </is>
      </c>
      <c r="C706" s="12" t="inlineStr">
        <is>
          <t>New</t>
        </is>
      </c>
      <c r="D706" s="12" t="inlineStr">
        <is>
          <t>Record first supplied in this revision</t>
        </is>
      </c>
      <c r="E706" s="12" t="inlineStr"/>
      <c r="F706" s="65" t="inlineStr">
        <is>
          <t>10 EVIDENCE &amp; DECISIONS</t>
        </is>
      </c>
      <c r="G706" s="14" t="n"/>
    </row>
    <row r="707" ht="79" customHeight="1">
      <c r="A707" s="12" t="inlineStr">
        <is>
          <t>R136-v1</t>
        </is>
      </c>
      <c r="B707" s="12" t="inlineStr">
        <is>
          <t>SCH-01-136</t>
        </is>
      </c>
      <c r="C707" s="12" t="inlineStr">
        <is>
          <t>New</t>
        </is>
      </c>
      <c r="D707" s="12" t="inlineStr">
        <is>
          <t>Record first supplied in this revision</t>
        </is>
      </c>
      <c r="E707" s="12" t="inlineStr"/>
      <c r="F707" s="65" t="inlineStr">
        <is>
          <t>10 EVIDENCE &amp; DECISIONS</t>
        </is>
      </c>
      <c r="G707" s="14" t="n"/>
    </row>
    <row r="708" ht="79" customHeight="1">
      <c r="A708" s="12" t="inlineStr">
        <is>
          <t>R137-v1</t>
        </is>
      </c>
      <c r="B708" s="12" t="inlineStr">
        <is>
          <t>SCH-01-137</t>
        </is>
      </c>
      <c r="C708" s="12" t="inlineStr">
        <is>
          <t>New</t>
        </is>
      </c>
      <c r="D708" s="12" t="inlineStr">
        <is>
          <t>Record first supplied in this revision</t>
        </is>
      </c>
      <c r="E708" s="12" t="inlineStr"/>
      <c r="F708" s="65" t="inlineStr">
        <is>
          <t>10 EVIDENCE &amp; DECISIONS</t>
        </is>
      </c>
      <c r="G708" s="14" t="n"/>
    </row>
    <row r="709" ht="79" customHeight="1">
      <c r="A709" s="12" t="inlineStr">
        <is>
          <t>R138-v1</t>
        </is>
      </c>
      <c r="B709" s="12" t="inlineStr">
        <is>
          <t>SCH-01-138</t>
        </is>
      </c>
      <c r="C709" s="12" t="inlineStr">
        <is>
          <t>New</t>
        </is>
      </c>
      <c r="D709" s="12" t="inlineStr">
        <is>
          <t>Record first supplied in this revision</t>
        </is>
      </c>
      <c r="E709" s="12" t="inlineStr"/>
      <c r="F709" s="65" t="inlineStr">
        <is>
          <t>10 EVIDENCE &amp; DECISIONS</t>
        </is>
      </c>
      <c r="G709" s="14" t="n"/>
    </row>
    <row r="710" ht="79" customHeight="1">
      <c r="A710" s="12" t="inlineStr">
        <is>
          <t>R139-v1</t>
        </is>
      </c>
      <c r="B710" s="12" t="inlineStr">
        <is>
          <t>SCH-01-139</t>
        </is>
      </c>
      <c r="C710" s="12" t="inlineStr">
        <is>
          <t>New</t>
        </is>
      </c>
      <c r="D710" s="12" t="inlineStr">
        <is>
          <t>Record first supplied in this revision</t>
        </is>
      </c>
      <c r="E710" s="12" t="inlineStr"/>
      <c r="F710" s="65" t="inlineStr">
        <is>
          <t>10 EVIDENCE &amp; DECISIONS</t>
        </is>
      </c>
      <c r="G710" s="14" t="n"/>
    </row>
    <row r="711" ht="79" customHeight="1">
      <c r="A711" s="12" t="inlineStr">
        <is>
          <t>R140-v1</t>
        </is>
      </c>
      <c r="B711" s="12" t="inlineStr">
        <is>
          <t>SCH-01-140</t>
        </is>
      </c>
      <c r="C711" s="12" t="inlineStr">
        <is>
          <t>New</t>
        </is>
      </c>
      <c r="D711" s="12" t="inlineStr">
        <is>
          <t>Record first supplied in this revision</t>
        </is>
      </c>
      <c r="E711" s="12" t="inlineStr"/>
      <c r="F711" s="65" t="inlineStr">
        <is>
          <t>10 EVIDENCE &amp; DECISIONS</t>
        </is>
      </c>
      <c r="G711" s="14" t="n"/>
    </row>
    <row r="712" ht="79" customHeight="1">
      <c r="A712" s="12" t="inlineStr">
        <is>
          <t>R141-v1</t>
        </is>
      </c>
      <c r="B712" s="12" t="inlineStr">
        <is>
          <t>SCH-01-141</t>
        </is>
      </c>
      <c r="C712" s="12" t="inlineStr">
        <is>
          <t>New</t>
        </is>
      </c>
      <c r="D712" s="12" t="inlineStr">
        <is>
          <t>Record first supplied in this revision</t>
        </is>
      </c>
      <c r="E712" s="12" t="inlineStr"/>
      <c r="F712" s="65" t="inlineStr">
        <is>
          <t>10 EVIDENCE &amp; DECISIONS</t>
        </is>
      </c>
      <c r="G712" s="14" t="n"/>
    </row>
    <row r="713" ht="79" customHeight="1">
      <c r="A713" s="12" t="inlineStr">
        <is>
          <t>R142-v1</t>
        </is>
      </c>
      <c r="B713" s="12" t="inlineStr">
        <is>
          <t>SCH-01-142</t>
        </is>
      </c>
      <c r="C713" s="12" t="inlineStr">
        <is>
          <t>New</t>
        </is>
      </c>
      <c r="D713" s="12" t="inlineStr">
        <is>
          <t>Record first supplied in this revision</t>
        </is>
      </c>
      <c r="E713" s="12" t="inlineStr"/>
      <c r="F713" s="65" t="inlineStr">
        <is>
          <t>10 EVIDENCE &amp; DECISIONS</t>
        </is>
      </c>
      <c r="G713" s="14" t="n"/>
    </row>
    <row r="714" ht="79" customHeight="1">
      <c r="A714" s="12" t="inlineStr">
        <is>
          <t>R143-v1</t>
        </is>
      </c>
      <c r="B714" s="12" t="inlineStr">
        <is>
          <t>SCH-01-143</t>
        </is>
      </c>
      <c r="C714" s="12" t="inlineStr">
        <is>
          <t>New</t>
        </is>
      </c>
      <c r="D714" s="12" t="inlineStr">
        <is>
          <t>Record first supplied in this revision</t>
        </is>
      </c>
      <c r="E714" s="12" t="inlineStr"/>
      <c r="F714" s="65" t="inlineStr">
        <is>
          <t>10 EVIDENCE &amp; DECISIONS</t>
        </is>
      </c>
      <c r="G714" s="14" t="n"/>
    </row>
    <row r="715" ht="79" customHeight="1">
      <c r="A715" s="12" t="inlineStr">
        <is>
          <t>R144-v1</t>
        </is>
      </c>
      <c r="B715" s="12" t="inlineStr">
        <is>
          <t>SCH-01-144</t>
        </is>
      </c>
      <c r="C715" s="12" t="inlineStr">
        <is>
          <t>New</t>
        </is>
      </c>
      <c r="D715" s="12" t="inlineStr">
        <is>
          <t>Record first supplied in this revision</t>
        </is>
      </c>
      <c r="E715" s="12" t="inlineStr"/>
      <c r="F715" s="65" t="inlineStr">
        <is>
          <t>10 EVIDENCE &amp; DECISIONS</t>
        </is>
      </c>
      <c r="G715" s="14" t="n"/>
    </row>
    <row r="716" ht="79" customHeight="1">
      <c r="A716" s="12" t="inlineStr">
        <is>
          <t>R145-v1</t>
        </is>
      </c>
      <c r="B716" s="12" t="inlineStr">
        <is>
          <t>SCH-01-145</t>
        </is>
      </c>
      <c r="C716" s="12" t="inlineStr">
        <is>
          <t>New</t>
        </is>
      </c>
      <c r="D716" s="12" t="inlineStr">
        <is>
          <t>Record first supplied in this revision</t>
        </is>
      </c>
      <c r="E716" s="12" t="inlineStr"/>
      <c r="F716" s="65" t="inlineStr">
        <is>
          <t>10 EVIDENCE &amp; DECISIONS</t>
        </is>
      </c>
      <c r="G716" s="14" t="n"/>
    </row>
    <row r="717" ht="79" customHeight="1">
      <c r="A717" s="12" t="inlineStr">
        <is>
          <t>R146-v1</t>
        </is>
      </c>
      <c r="B717" s="12" t="inlineStr">
        <is>
          <t>SCH-01-146</t>
        </is>
      </c>
      <c r="C717" s="12" t="inlineStr">
        <is>
          <t>New</t>
        </is>
      </c>
      <c r="D717" s="12" t="inlineStr">
        <is>
          <t>Record first supplied in this revision</t>
        </is>
      </c>
      <c r="E717" s="12" t="inlineStr"/>
      <c r="F717" s="65" t="inlineStr">
        <is>
          <t>10 EVIDENCE &amp; DECISIONS</t>
        </is>
      </c>
      <c r="G717" s="14" t="n"/>
    </row>
    <row r="718" ht="79" customHeight="1">
      <c r="A718" s="12" t="inlineStr">
        <is>
          <t>R147-v1</t>
        </is>
      </c>
      <c r="B718" s="12" t="inlineStr">
        <is>
          <t>SCH-01-147</t>
        </is>
      </c>
      <c r="C718" s="12" t="inlineStr">
        <is>
          <t>New</t>
        </is>
      </c>
      <c r="D718" s="12" t="inlineStr">
        <is>
          <t>Record first supplied in this revision</t>
        </is>
      </c>
      <c r="E718" s="12" t="inlineStr"/>
      <c r="F718" s="65" t="inlineStr">
        <is>
          <t>10 EVIDENCE &amp; DECISIONS</t>
        </is>
      </c>
      <c r="G718" s="14" t="n"/>
    </row>
    <row r="719" ht="79" customHeight="1">
      <c r="A719" s="12" t="inlineStr">
        <is>
          <t>R148-v1</t>
        </is>
      </c>
      <c r="B719" s="12" t="inlineStr">
        <is>
          <t>SCH-01-148</t>
        </is>
      </c>
      <c r="C719" s="12" t="inlineStr">
        <is>
          <t>New</t>
        </is>
      </c>
      <c r="D719" s="12" t="inlineStr">
        <is>
          <t>Record first supplied in this revision</t>
        </is>
      </c>
      <c r="E719" s="12" t="inlineStr"/>
      <c r="F719" s="65" t="inlineStr">
        <is>
          <t>10 EVIDENCE &amp; DECISIONS</t>
        </is>
      </c>
      <c r="G719" s="14" t="n"/>
    </row>
    <row r="720" ht="79" customHeight="1">
      <c r="A720" s="12" t="inlineStr">
        <is>
          <t>R149-v1</t>
        </is>
      </c>
      <c r="B720" s="12" t="inlineStr">
        <is>
          <t>SCH-01-149</t>
        </is>
      </c>
      <c r="C720" s="12" t="inlineStr">
        <is>
          <t>New</t>
        </is>
      </c>
      <c r="D720" s="12" t="inlineStr">
        <is>
          <t>Record first supplied in this revision</t>
        </is>
      </c>
      <c r="E720" s="12" t="inlineStr"/>
      <c r="F720" s="65" t="inlineStr">
        <is>
          <t>10 EVIDENCE &amp; DECISIONS</t>
        </is>
      </c>
      <c r="G720" s="14" t="n"/>
    </row>
    <row r="721" ht="79" customHeight="1">
      <c r="A721" s="12" t="inlineStr">
        <is>
          <t>R150-v1</t>
        </is>
      </c>
      <c r="B721" s="12" t="inlineStr">
        <is>
          <t>SCH-01-150</t>
        </is>
      </c>
      <c r="C721" s="12" t="inlineStr">
        <is>
          <t>New</t>
        </is>
      </c>
      <c r="D721" s="12" t="inlineStr">
        <is>
          <t>Record first supplied in this revision</t>
        </is>
      </c>
      <c r="E721" s="12" t="inlineStr"/>
      <c r="F721" s="65" t="inlineStr">
        <is>
          <t>10 EVIDENCE &amp; DECISIONS</t>
        </is>
      </c>
      <c r="G721" s="14" t="n"/>
    </row>
    <row r="722" ht="79" customHeight="1">
      <c r="A722" s="12" t="inlineStr">
        <is>
          <t>R151-v1</t>
        </is>
      </c>
      <c r="B722" s="12" t="inlineStr">
        <is>
          <t>SCH-01-151</t>
        </is>
      </c>
      <c r="C722" s="12" t="inlineStr">
        <is>
          <t>New</t>
        </is>
      </c>
      <c r="D722" s="12" t="inlineStr">
        <is>
          <t>Record first supplied in this revision</t>
        </is>
      </c>
      <c r="E722" s="12" t="inlineStr"/>
      <c r="F722" s="65" t="inlineStr">
        <is>
          <t>10 EVIDENCE &amp; DECISIONS</t>
        </is>
      </c>
      <c r="G722" s="14" t="n"/>
    </row>
    <row r="723" ht="79" customHeight="1">
      <c r="A723" s="12" t="inlineStr">
        <is>
          <t>R152-v1</t>
        </is>
      </c>
      <c r="B723" s="12" t="inlineStr">
        <is>
          <t>SCH-01-152</t>
        </is>
      </c>
      <c r="C723" s="12" t="inlineStr">
        <is>
          <t>New</t>
        </is>
      </c>
      <c r="D723" s="12" t="inlineStr">
        <is>
          <t>Record first supplied in this revision</t>
        </is>
      </c>
      <c r="E723" s="12" t="inlineStr"/>
      <c r="F723" s="65" t="inlineStr">
        <is>
          <t>10 EVIDENCE &amp; DECISIONS</t>
        </is>
      </c>
      <c r="G723" s="14" t="n"/>
    </row>
    <row r="724" ht="79" customHeight="1">
      <c r="A724" s="12" t="inlineStr">
        <is>
          <t>R153-v1</t>
        </is>
      </c>
      <c r="B724" s="12" t="inlineStr">
        <is>
          <t>SCH-01-153</t>
        </is>
      </c>
      <c r="C724" s="12" t="inlineStr">
        <is>
          <t>New</t>
        </is>
      </c>
      <c r="D724" s="12" t="inlineStr">
        <is>
          <t>Record first supplied in this revision</t>
        </is>
      </c>
      <c r="E724" s="12" t="inlineStr"/>
      <c r="F724" s="65" t="inlineStr">
        <is>
          <t>10 EVIDENCE &amp; DECISIONS</t>
        </is>
      </c>
      <c r="G724" s="14" t="n"/>
    </row>
    <row r="725" ht="79" customHeight="1">
      <c r="A725" s="12" t="inlineStr">
        <is>
          <t>R154-v1</t>
        </is>
      </c>
      <c r="B725" s="12" t="inlineStr">
        <is>
          <t>SCH-01-154</t>
        </is>
      </c>
      <c r="C725" s="12" t="inlineStr">
        <is>
          <t>New</t>
        </is>
      </c>
      <c r="D725" s="12" t="inlineStr">
        <is>
          <t>Record first supplied in this revision</t>
        </is>
      </c>
      <c r="E725" s="12" t="inlineStr"/>
      <c r="F725" s="65" t="inlineStr">
        <is>
          <t>10 EVIDENCE &amp; DECISIONS</t>
        </is>
      </c>
      <c r="G725" s="14" t="n"/>
    </row>
    <row r="726" ht="79" customHeight="1">
      <c r="A726" s="12" t="inlineStr">
        <is>
          <t>R155-v1</t>
        </is>
      </c>
      <c r="B726" s="12" t="inlineStr">
        <is>
          <t>SCH-01-155</t>
        </is>
      </c>
      <c r="C726" s="12" t="inlineStr">
        <is>
          <t>New</t>
        </is>
      </c>
      <c r="D726" s="12" t="inlineStr">
        <is>
          <t>Record first supplied in this revision</t>
        </is>
      </c>
      <c r="E726" s="12" t="inlineStr"/>
      <c r="F726" s="65" t="inlineStr">
        <is>
          <t>10 EVIDENCE &amp; DECISIONS</t>
        </is>
      </c>
      <c r="G726" s="14" t="n"/>
    </row>
    <row r="727" ht="79" customHeight="1">
      <c r="A727" s="12" t="inlineStr">
        <is>
          <t>R156-v1</t>
        </is>
      </c>
      <c r="B727" s="12" t="inlineStr">
        <is>
          <t>SCH-01-156</t>
        </is>
      </c>
      <c r="C727" s="12" t="inlineStr">
        <is>
          <t>New</t>
        </is>
      </c>
      <c r="D727" s="12" t="inlineStr">
        <is>
          <t>Record first supplied in this revision</t>
        </is>
      </c>
      <c r="E727" s="12" t="inlineStr"/>
      <c r="F727" s="65" t="inlineStr">
        <is>
          <t>10 EVIDENCE &amp; DECISIONS</t>
        </is>
      </c>
      <c r="G727" s="14" t="n"/>
    </row>
    <row r="728" ht="79" customHeight="1">
      <c r="A728" s="12" t="inlineStr">
        <is>
          <t>R157-v1</t>
        </is>
      </c>
      <c r="B728" s="12" t="inlineStr">
        <is>
          <t>SCH-01-157</t>
        </is>
      </c>
      <c r="C728" s="12" t="inlineStr">
        <is>
          <t>New</t>
        </is>
      </c>
      <c r="D728" s="12" t="inlineStr">
        <is>
          <t>Record first supplied in this revision</t>
        </is>
      </c>
      <c r="E728" s="12" t="inlineStr"/>
      <c r="F728" s="65" t="inlineStr">
        <is>
          <t>10 EVIDENCE &amp; DECISIONS</t>
        </is>
      </c>
      <c r="G728" s="14" t="n"/>
    </row>
    <row r="729" ht="79" customHeight="1">
      <c r="A729" s="12" t="inlineStr">
        <is>
          <t>R158-v1</t>
        </is>
      </c>
      <c r="B729" s="12" t="inlineStr">
        <is>
          <t>SCH-01-158</t>
        </is>
      </c>
      <c r="C729" s="12" t="inlineStr">
        <is>
          <t>New</t>
        </is>
      </c>
      <c r="D729" s="12" t="inlineStr">
        <is>
          <t>Record first supplied in this revision</t>
        </is>
      </c>
      <c r="E729" s="12" t="inlineStr"/>
      <c r="F729" s="65" t="inlineStr">
        <is>
          <t>10 EVIDENCE &amp; DECISIONS</t>
        </is>
      </c>
      <c r="G729" s="14" t="n"/>
    </row>
    <row r="730" ht="79" customHeight="1">
      <c r="A730" s="12" t="inlineStr">
        <is>
          <t>R159-v1</t>
        </is>
      </c>
      <c r="B730" s="12" t="inlineStr">
        <is>
          <t>SCH-01-159</t>
        </is>
      </c>
      <c r="C730" s="12" t="inlineStr">
        <is>
          <t>New</t>
        </is>
      </c>
      <c r="D730" s="12" t="inlineStr">
        <is>
          <t>Record first supplied in this revision</t>
        </is>
      </c>
      <c r="E730" s="12" t="inlineStr"/>
      <c r="F730" s="65" t="inlineStr">
        <is>
          <t>10 EVIDENCE &amp; DECISIONS</t>
        </is>
      </c>
      <c r="G730" s="14" t="n"/>
    </row>
    <row r="731" ht="79" customHeight="1">
      <c r="A731" s="12" t="inlineStr">
        <is>
          <t>R160-v1</t>
        </is>
      </c>
      <c r="B731" s="12" t="inlineStr">
        <is>
          <t>SCH-01-160</t>
        </is>
      </c>
      <c r="C731" s="12" t="inlineStr">
        <is>
          <t>New</t>
        </is>
      </c>
      <c r="D731" s="12" t="inlineStr">
        <is>
          <t>Record first supplied in this revision</t>
        </is>
      </c>
      <c r="E731" s="12" t="inlineStr"/>
      <c r="F731" s="65" t="inlineStr">
        <is>
          <t>10 EVIDENCE &amp; DECISIONS</t>
        </is>
      </c>
      <c r="G731" s="14" t="n"/>
    </row>
    <row r="732" ht="79" customHeight="1">
      <c r="A732" s="12" t="inlineStr">
        <is>
          <t>R161-v1</t>
        </is>
      </c>
      <c r="B732" s="12" t="inlineStr">
        <is>
          <t>SCH-01-161</t>
        </is>
      </c>
      <c r="C732" s="12" t="inlineStr">
        <is>
          <t>New</t>
        </is>
      </c>
      <c r="D732" s="12" t="inlineStr">
        <is>
          <t>Record first supplied in this revision</t>
        </is>
      </c>
      <c r="E732" s="12" t="inlineStr"/>
      <c r="F732" s="65" t="inlineStr">
        <is>
          <t>10 EVIDENCE &amp; DECISIONS</t>
        </is>
      </c>
      <c r="G732" s="14" t="n"/>
    </row>
    <row r="733" ht="79" customHeight="1">
      <c r="A733" s="12" t="inlineStr">
        <is>
          <t>R162-v1</t>
        </is>
      </c>
      <c r="B733" s="12" t="inlineStr">
        <is>
          <t>SCH-01-162</t>
        </is>
      </c>
      <c r="C733" s="12" t="inlineStr">
        <is>
          <t>New</t>
        </is>
      </c>
      <c r="D733" s="12" t="inlineStr">
        <is>
          <t>Record first supplied in this revision</t>
        </is>
      </c>
      <c r="E733" s="12" t="inlineStr"/>
      <c r="F733" s="65" t="inlineStr">
        <is>
          <t>10 EVIDENCE &amp; DECISIONS</t>
        </is>
      </c>
      <c r="G733" s="14" t="n"/>
    </row>
    <row r="734" ht="79" customHeight="1">
      <c r="A734" s="12" t="inlineStr">
        <is>
          <t>R163-v1</t>
        </is>
      </c>
      <c r="B734" s="12" t="inlineStr">
        <is>
          <t>SCH-01-163</t>
        </is>
      </c>
      <c r="C734" s="12" t="inlineStr">
        <is>
          <t>New</t>
        </is>
      </c>
      <c r="D734" s="12" t="inlineStr">
        <is>
          <t>Record first supplied in this revision</t>
        </is>
      </c>
      <c r="E734" s="12" t="inlineStr"/>
      <c r="F734" s="65" t="inlineStr">
        <is>
          <t>10 EVIDENCE &amp; DECISIONS</t>
        </is>
      </c>
      <c r="G734" s="14" t="n"/>
    </row>
    <row r="735" ht="79" customHeight="1">
      <c r="A735" s="12" t="inlineStr">
        <is>
          <t>R164-v1</t>
        </is>
      </c>
      <c r="B735" s="12" t="inlineStr">
        <is>
          <t>SCH-01-164</t>
        </is>
      </c>
      <c r="C735" s="12" t="inlineStr">
        <is>
          <t>New</t>
        </is>
      </c>
      <c r="D735" s="12" t="inlineStr">
        <is>
          <t>Record first supplied in this revision</t>
        </is>
      </c>
      <c r="E735" s="12" t="inlineStr"/>
      <c r="F735" s="65" t="inlineStr">
        <is>
          <t>10 EVIDENCE &amp; DECISIONS</t>
        </is>
      </c>
      <c r="G735" s="14" t="n"/>
    </row>
    <row r="736" ht="79" customHeight="1">
      <c r="A736" s="12" t="inlineStr">
        <is>
          <t>R165-v1</t>
        </is>
      </c>
      <c r="B736" s="12" t="inlineStr">
        <is>
          <t>SCH-01-165</t>
        </is>
      </c>
      <c r="C736" s="12" t="inlineStr">
        <is>
          <t>New</t>
        </is>
      </c>
      <c r="D736" s="12" t="inlineStr">
        <is>
          <t>Record first supplied in this revision</t>
        </is>
      </c>
      <c r="E736" s="12" t="inlineStr"/>
      <c r="F736" s="65" t="inlineStr">
        <is>
          <t>10 EVIDENCE &amp; DECISIONS</t>
        </is>
      </c>
      <c r="G736" s="14" t="n"/>
    </row>
    <row r="737" ht="79" customHeight="1">
      <c r="A737" s="12" t="inlineStr">
        <is>
          <t>R166-v1</t>
        </is>
      </c>
      <c r="B737" s="12" t="inlineStr">
        <is>
          <t>SCH-01-166</t>
        </is>
      </c>
      <c r="C737" s="12" t="inlineStr">
        <is>
          <t>New</t>
        </is>
      </c>
      <c r="D737" s="12" t="inlineStr">
        <is>
          <t>Record first supplied in this revision</t>
        </is>
      </c>
      <c r="E737" s="12" t="inlineStr"/>
      <c r="F737" s="65" t="inlineStr">
        <is>
          <t>10 EVIDENCE &amp; DECISIONS</t>
        </is>
      </c>
      <c r="G737" s="14" t="n"/>
    </row>
    <row r="738" ht="79" customHeight="1">
      <c r="A738" s="12" t="inlineStr">
        <is>
          <t>R167-v1</t>
        </is>
      </c>
      <c r="B738" s="12" t="inlineStr">
        <is>
          <t>SCH-01-167</t>
        </is>
      </c>
      <c r="C738" s="12" t="inlineStr">
        <is>
          <t>New</t>
        </is>
      </c>
      <c r="D738" s="12" t="inlineStr">
        <is>
          <t>Record first supplied in this revision</t>
        </is>
      </c>
      <c r="E738" s="12" t="inlineStr"/>
      <c r="F738" s="65" t="inlineStr">
        <is>
          <t>10 EVIDENCE &amp; DECISIONS</t>
        </is>
      </c>
      <c r="G738" s="14" t="n"/>
    </row>
    <row r="739" ht="79" customHeight="1">
      <c r="A739" s="12" t="inlineStr">
        <is>
          <t>R168-v1</t>
        </is>
      </c>
      <c r="B739" s="12" t="inlineStr">
        <is>
          <t>SCH-01-168</t>
        </is>
      </c>
      <c r="C739" s="12" t="inlineStr">
        <is>
          <t>New</t>
        </is>
      </c>
      <c r="D739" s="12" t="inlineStr">
        <is>
          <t>Record first supplied in this revision</t>
        </is>
      </c>
      <c r="E739" s="12" t="inlineStr"/>
      <c r="F739" s="65" t="inlineStr">
        <is>
          <t>10 EVIDENCE &amp; DECISIONS</t>
        </is>
      </c>
      <c r="G739" s="14" t="n"/>
    </row>
    <row r="740" ht="79" customHeight="1">
      <c r="A740" s="12" t="inlineStr">
        <is>
          <t>R169-v1</t>
        </is>
      </c>
      <c r="B740" s="12" t="inlineStr">
        <is>
          <t>SCH-01-169</t>
        </is>
      </c>
      <c r="C740" s="12" t="inlineStr">
        <is>
          <t>New</t>
        </is>
      </c>
      <c r="D740" s="12" t="inlineStr">
        <is>
          <t>Record first supplied in this revision</t>
        </is>
      </c>
      <c r="E740" s="12" t="inlineStr"/>
      <c r="F740" s="65" t="inlineStr">
        <is>
          <t>10 EVIDENCE &amp; DECISIONS</t>
        </is>
      </c>
      <c r="G740" s="14" t="n"/>
    </row>
    <row r="741" ht="79" customHeight="1">
      <c r="A741" s="12" t="inlineStr">
        <is>
          <t>R170-v1</t>
        </is>
      </c>
      <c r="B741" s="12" t="inlineStr">
        <is>
          <t>SCH-01-170</t>
        </is>
      </c>
      <c r="C741" s="12" t="inlineStr">
        <is>
          <t>New</t>
        </is>
      </c>
      <c r="D741" s="12" t="inlineStr">
        <is>
          <t>Record first supplied in this revision</t>
        </is>
      </c>
      <c r="E741" s="12" t="inlineStr"/>
      <c r="F741" s="65" t="inlineStr">
        <is>
          <t>10 EVIDENCE &amp; DECISIONS</t>
        </is>
      </c>
      <c r="G741" s="14" t="n"/>
    </row>
    <row r="742" ht="79" customHeight="1">
      <c r="A742" s="12" t="inlineStr">
        <is>
          <t>R171-v1</t>
        </is>
      </c>
      <c r="B742" s="12" t="inlineStr">
        <is>
          <t>SCH-01-171</t>
        </is>
      </c>
      <c r="C742" s="12" t="inlineStr">
        <is>
          <t>New</t>
        </is>
      </c>
      <c r="D742" s="12" t="inlineStr">
        <is>
          <t>Record first supplied in this revision</t>
        </is>
      </c>
      <c r="E742" s="12" t="inlineStr"/>
      <c r="F742" s="65" t="inlineStr">
        <is>
          <t>10 EVIDENCE &amp; DECISIONS</t>
        </is>
      </c>
      <c r="G742" s="14" t="n"/>
    </row>
    <row r="743" ht="79" customHeight="1">
      <c r="A743" s="12" t="inlineStr">
        <is>
          <t>R172-v1</t>
        </is>
      </c>
      <c r="B743" s="12" t="inlineStr">
        <is>
          <t>SCH-01-172</t>
        </is>
      </c>
      <c r="C743" s="12" t="inlineStr">
        <is>
          <t>New</t>
        </is>
      </c>
      <c r="D743" s="12" t="inlineStr">
        <is>
          <t>Record first supplied in this revision</t>
        </is>
      </c>
      <c r="E743" s="12" t="inlineStr"/>
      <c r="F743" s="65" t="inlineStr">
        <is>
          <t>10 EVIDENCE &amp; DECISIONS</t>
        </is>
      </c>
      <c r="G743" s="14" t="n"/>
    </row>
    <row r="744" ht="79" customHeight="1">
      <c r="A744" s="12" t="inlineStr">
        <is>
          <t>R173-v1</t>
        </is>
      </c>
      <c r="B744" s="12" t="inlineStr">
        <is>
          <t>SCH-01-173</t>
        </is>
      </c>
      <c r="C744" s="12" t="inlineStr">
        <is>
          <t>New</t>
        </is>
      </c>
      <c r="D744" s="12" t="inlineStr">
        <is>
          <t>Record first supplied in this revision</t>
        </is>
      </c>
      <c r="E744" s="12" t="inlineStr"/>
      <c r="F744" s="65" t="inlineStr">
        <is>
          <t>10 EVIDENCE &amp; DECISIONS</t>
        </is>
      </c>
      <c r="G744" s="14" t="n"/>
    </row>
    <row r="745" ht="79" customHeight="1">
      <c r="A745" s="12" t="inlineStr">
        <is>
          <t>R174-v1</t>
        </is>
      </c>
      <c r="B745" s="12" t="inlineStr">
        <is>
          <t>SCH-01-174</t>
        </is>
      </c>
      <c r="C745" s="12" t="inlineStr">
        <is>
          <t>New</t>
        </is>
      </c>
      <c r="D745" s="12" t="inlineStr">
        <is>
          <t>Record first supplied in this revision</t>
        </is>
      </c>
      <c r="E745" s="12" t="inlineStr"/>
      <c r="F745" s="65" t="inlineStr">
        <is>
          <t>10 EVIDENCE &amp; DECISIONS</t>
        </is>
      </c>
      <c r="G745" s="14" t="n"/>
    </row>
    <row r="746" ht="79" customHeight="1">
      <c r="A746" s="12" t="inlineStr">
        <is>
          <t>R175-v1</t>
        </is>
      </c>
      <c r="B746" s="12" t="inlineStr">
        <is>
          <t>SCH-01-175</t>
        </is>
      </c>
      <c r="C746" s="12" t="inlineStr">
        <is>
          <t>New</t>
        </is>
      </c>
      <c r="D746" s="12" t="inlineStr">
        <is>
          <t>Record first supplied in this revision</t>
        </is>
      </c>
      <c r="E746" s="12" t="inlineStr"/>
      <c r="F746" s="65" t="inlineStr">
        <is>
          <t>10 EVIDENCE &amp; DECISIONS</t>
        </is>
      </c>
      <c r="G746" s="14" t="n"/>
    </row>
    <row r="747" ht="79" customHeight="1">
      <c r="A747" s="12" t="inlineStr">
        <is>
          <t>R176-v1</t>
        </is>
      </c>
      <c r="B747" s="12" t="inlineStr">
        <is>
          <t>SCH-01-176</t>
        </is>
      </c>
      <c r="C747" s="12" t="inlineStr">
        <is>
          <t>New</t>
        </is>
      </c>
      <c r="D747" s="12" t="inlineStr">
        <is>
          <t>Record first supplied in this revision</t>
        </is>
      </c>
      <c r="E747" s="12" t="inlineStr"/>
      <c r="F747" s="65" t="inlineStr">
        <is>
          <t>10 EVIDENCE &amp; DECISIONS</t>
        </is>
      </c>
      <c r="G747" s="14" t="n"/>
    </row>
    <row r="748" ht="79" customHeight="1">
      <c r="A748" s="12" t="inlineStr">
        <is>
          <t>R177-v1</t>
        </is>
      </c>
      <c r="B748" s="12" t="inlineStr">
        <is>
          <t>SCH-01-177</t>
        </is>
      </c>
      <c r="C748" s="12" t="inlineStr">
        <is>
          <t>New</t>
        </is>
      </c>
      <c r="D748" s="12" t="inlineStr">
        <is>
          <t>Record first supplied in this revision</t>
        </is>
      </c>
      <c r="E748" s="12" t="inlineStr"/>
      <c r="F748" s="65" t="inlineStr">
        <is>
          <t>10 EVIDENCE &amp; DECISIONS</t>
        </is>
      </c>
      <c r="G748" s="14" t="n"/>
    </row>
    <row r="749" ht="79" customHeight="1">
      <c r="A749" s="12" t="inlineStr">
        <is>
          <t>R178-v1</t>
        </is>
      </c>
      <c r="B749" s="12" t="inlineStr">
        <is>
          <t>SCH-01-178</t>
        </is>
      </c>
      <c r="C749" s="12" t="inlineStr">
        <is>
          <t>New</t>
        </is>
      </c>
      <c r="D749" s="12" t="inlineStr">
        <is>
          <t>Record first supplied in this revision</t>
        </is>
      </c>
      <c r="E749" s="12" t="inlineStr"/>
      <c r="F749" s="65" t="inlineStr">
        <is>
          <t>10 EVIDENCE &amp; DECISIONS</t>
        </is>
      </c>
      <c r="G749" s="14" t="n"/>
    </row>
    <row r="750" ht="79" customHeight="1">
      <c r="A750" s="12" t="inlineStr">
        <is>
          <t>R179-v1</t>
        </is>
      </c>
      <c r="B750" s="12" t="inlineStr">
        <is>
          <t>SCH-01-179</t>
        </is>
      </c>
      <c r="C750" s="12" t="inlineStr">
        <is>
          <t>New</t>
        </is>
      </c>
      <c r="D750" s="12" t="inlineStr">
        <is>
          <t>Record first supplied in this revision</t>
        </is>
      </c>
      <c r="E750" s="12" t="inlineStr"/>
      <c r="F750" s="65" t="inlineStr">
        <is>
          <t>10 EVIDENCE &amp; DECISIONS</t>
        </is>
      </c>
      <c r="G750" s="14" t="n"/>
    </row>
    <row r="751" ht="79" customHeight="1">
      <c r="A751" s="12" t="inlineStr">
        <is>
          <t>R180-v1</t>
        </is>
      </c>
      <c r="B751" s="12" t="inlineStr">
        <is>
          <t>SCH-01-180</t>
        </is>
      </c>
      <c r="C751" s="12" t="inlineStr">
        <is>
          <t>New</t>
        </is>
      </c>
      <c r="D751" s="12" t="inlineStr">
        <is>
          <t>Record first supplied in this revision</t>
        </is>
      </c>
      <c r="E751" s="12" t="inlineStr"/>
      <c r="F751" s="65" t="inlineStr">
        <is>
          <t>10 EVIDENCE &amp; DECISIONS</t>
        </is>
      </c>
      <c r="G751" s="14" t="n"/>
    </row>
    <row r="752" ht="79" customHeight="1">
      <c r="A752" s="12" t="inlineStr">
        <is>
          <t>R181-v1</t>
        </is>
      </c>
      <c r="B752" s="12" t="inlineStr">
        <is>
          <t>SCH-02-001</t>
        </is>
      </c>
      <c r="C752" s="12" t="inlineStr">
        <is>
          <t>New</t>
        </is>
      </c>
      <c r="D752" s="12" t="inlineStr">
        <is>
          <t>Record first supplied in this revision</t>
        </is>
      </c>
      <c r="E752" s="12" t="inlineStr"/>
      <c r="F752" s="65" t="inlineStr">
        <is>
          <t>10 EVIDENCE &amp; DECISIONS</t>
        </is>
      </c>
      <c r="G752" s="14" t="n"/>
    </row>
    <row r="753" ht="79" customHeight="1">
      <c r="A753" s="12" t="inlineStr">
        <is>
          <t>R182-v1</t>
        </is>
      </c>
      <c r="B753" s="12" t="inlineStr">
        <is>
          <t>SCH-02-002</t>
        </is>
      </c>
      <c r="C753" s="12" t="inlineStr">
        <is>
          <t>New</t>
        </is>
      </c>
      <c r="D753" s="12" t="inlineStr">
        <is>
          <t>Record first supplied in this revision</t>
        </is>
      </c>
      <c r="E753" s="12" t="inlineStr"/>
      <c r="F753" s="65" t="inlineStr">
        <is>
          <t>10 EVIDENCE &amp; DECISIONS</t>
        </is>
      </c>
      <c r="G753" s="14" t="n"/>
    </row>
    <row r="754" ht="79" customHeight="1">
      <c r="A754" s="12" t="inlineStr">
        <is>
          <t>R183-v2</t>
        </is>
      </c>
      <c r="B754" s="12" t="inlineStr">
        <is>
          <t>SCH-02-003</t>
        </is>
      </c>
      <c r="C754" s="12" t="inlineStr">
        <is>
          <t>New</t>
        </is>
      </c>
      <c r="D754" s="12" t="inlineStr">
        <is>
          <t>Record first supplied in this revision</t>
        </is>
      </c>
      <c r="E754" s="12" t="inlineStr">
        <is>
          <t>Maya Chen, Owner Project Controls</t>
        </is>
      </c>
      <c r="F754" s="65" t="inlineStr">
        <is>
          <t>10 EVIDENCE &amp; DECISIONS</t>
        </is>
      </c>
      <c r="G754" s="14" t="n"/>
    </row>
    <row r="755" ht="79" customHeight="1">
      <c r="A755" s="12" t="inlineStr">
        <is>
          <t>R184-v1</t>
        </is>
      </c>
      <c r="B755" s="12" t="inlineStr">
        <is>
          <t>SCH-02-004</t>
        </is>
      </c>
      <c r="C755" s="12" t="inlineStr">
        <is>
          <t>New</t>
        </is>
      </c>
      <c r="D755" s="12" t="inlineStr">
        <is>
          <t>Record first supplied in this revision</t>
        </is>
      </c>
      <c r="E755" s="12" t="inlineStr"/>
      <c r="F755" s="65" t="inlineStr">
        <is>
          <t>10 EVIDENCE &amp; DECISIONS</t>
        </is>
      </c>
      <c r="G755" s="14" t="n"/>
    </row>
    <row r="756" ht="79" customHeight="1">
      <c r="A756" s="12" t="inlineStr">
        <is>
          <t>R185-v1</t>
        </is>
      </c>
      <c r="B756" s="12" t="inlineStr">
        <is>
          <t>SCH-02-005</t>
        </is>
      </c>
      <c r="C756" s="12" t="inlineStr">
        <is>
          <t>New</t>
        </is>
      </c>
      <c r="D756" s="12" t="inlineStr">
        <is>
          <t>Record first supplied in this revision</t>
        </is>
      </c>
      <c r="E756" s="12" t="inlineStr"/>
      <c r="F756" s="65" t="inlineStr">
        <is>
          <t>10 EVIDENCE &amp; DECISIONS</t>
        </is>
      </c>
      <c r="G756" s="14" t="n"/>
    </row>
    <row r="757" ht="79" customHeight="1">
      <c r="A757" s="12" t="inlineStr">
        <is>
          <t>R186-v1</t>
        </is>
      </c>
      <c r="B757" s="12" t="inlineStr">
        <is>
          <t>SCH-02-006</t>
        </is>
      </c>
      <c r="C757" s="12" t="inlineStr">
        <is>
          <t>New</t>
        </is>
      </c>
      <c r="D757" s="12" t="inlineStr">
        <is>
          <t>Record first supplied in this revision</t>
        </is>
      </c>
      <c r="E757" s="12" t="inlineStr"/>
      <c r="F757" s="65" t="inlineStr">
        <is>
          <t>10 EVIDENCE &amp; DECISIONS</t>
        </is>
      </c>
      <c r="G757" s="14" t="n"/>
    </row>
    <row r="758" ht="79" customHeight="1">
      <c r="A758" s="12" t="inlineStr">
        <is>
          <t>R187-v1</t>
        </is>
      </c>
      <c r="B758" s="12" t="inlineStr">
        <is>
          <t>SCH-02-007</t>
        </is>
      </c>
      <c r="C758" s="12" t="inlineStr">
        <is>
          <t>New</t>
        </is>
      </c>
      <c r="D758" s="12" t="inlineStr">
        <is>
          <t>Record first supplied in this revision</t>
        </is>
      </c>
      <c r="E758" s="12" t="inlineStr"/>
      <c r="F758" s="65" t="inlineStr">
        <is>
          <t>10 EVIDENCE &amp; DECISIONS</t>
        </is>
      </c>
      <c r="G758" s="14" t="n"/>
    </row>
    <row r="759" ht="79" customHeight="1">
      <c r="A759" s="12" t="inlineStr">
        <is>
          <t>R188-v1</t>
        </is>
      </c>
      <c r="B759" s="12" t="inlineStr">
        <is>
          <t>SCH-02-008</t>
        </is>
      </c>
      <c r="C759" s="12" t="inlineStr">
        <is>
          <t>New</t>
        </is>
      </c>
      <c r="D759" s="12" t="inlineStr">
        <is>
          <t>Record first supplied in this revision</t>
        </is>
      </c>
      <c r="E759" s="12" t="inlineStr"/>
      <c r="F759" s="65" t="inlineStr">
        <is>
          <t>10 EVIDENCE &amp; DECISIONS</t>
        </is>
      </c>
      <c r="G759" s="14" t="n"/>
    </row>
    <row r="760" ht="79" customHeight="1">
      <c r="A760" s="12" t="inlineStr">
        <is>
          <t>R189-v1</t>
        </is>
      </c>
      <c r="B760" s="12" t="inlineStr">
        <is>
          <t>SCH-02-009</t>
        </is>
      </c>
      <c r="C760" s="12" t="inlineStr">
        <is>
          <t>New</t>
        </is>
      </c>
      <c r="D760" s="12" t="inlineStr">
        <is>
          <t>Record first supplied in this revision</t>
        </is>
      </c>
      <c r="E760" s="12" t="inlineStr"/>
      <c r="F760" s="65" t="inlineStr">
        <is>
          <t>10 EVIDENCE &amp; DECISIONS</t>
        </is>
      </c>
      <c r="G760" s="14" t="n"/>
    </row>
    <row r="761" ht="79" customHeight="1">
      <c r="A761" s="12" t="inlineStr">
        <is>
          <t>R190-v1</t>
        </is>
      </c>
      <c r="B761" s="12" t="inlineStr">
        <is>
          <t>SCH-02-010</t>
        </is>
      </c>
      <c r="C761" s="12" t="inlineStr">
        <is>
          <t>New</t>
        </is>
      </c>
      <c r="D761" s="12" t="inlineStr">
        <is>
          <t>Record first supplied in this revision</t>
        </is>
      </c>
      <c r="E761" s="12" t="inlineStr"/>
      <c r="F761" s="65" t="inlineStr">
        <is>
          <t>10 EVIDENCE &amp; DECISIONS</t>
        </is>
      </c>
      <c r="G761" s="14" t="n"/>
    </row>
    <row r="762" ht="79" customHeight="1">
      <c r="A762" s="12" t="inlineStr">
        <is>
          <t>R191-v1</t>
        </is>
      </c>
      <c r="B762" s="12" t="inlineStr">
        <is>
          <t>SCH-02-011</t>
        </is>
      </c>
      <c r="C762" s="12" t="inlineStr">
        <is>
          <t>New</t>
        </is>
      </c>
      <c r="D762" s="12" t="inlineStr">
        <is>
          <t>Record first supplied in this revision</t>
        </is>
      </c>
      <c r="E762" s="12" t="inlineStr"/>
      <c r="F762" s="65" t="inlineStr">
        <is>
          <t>10 EVIDENCE &amp; DECISIONS</t>
        </is>
      </c>
      <c r="G762" s="14" t="n"/>
    </row>
    <row r="763" ht="79" customHeight="1">
      <c r="A763" s="12" t="inlineStr">
        <is>
          <t>R192-v1</t>
        </is>
      </c>
      <c r="B763" s="12" t="inlineStr">
        <is>
          <t>SCH-02-012</t>
        </is>
      </c>
      <c r="C763" s="12" t="inlineStr">
        <is>
          <t>New</t>
        </is>
      </c>
      <c r="D763" s="12" t="inlineStr">
        <is>
          <t>Record first supplied in this revision</t>
        </is>
      </c>
      <c r="E763" s="12" t="inlineStr"/>
      <c r="F763" s="65" t="inlineStr">
        <is>
          <t>10 EVIDENCE &amp; DECISIONS</t>
        </is>
      </c>
      <c r="G763" s="14" t="n"/>
    </row>
    <row r="764" ht="79" customHeight="1">
      <c r="A764" s="12" t="inlineStr">
        <is>
          <t>R193-v1</t>
        </is>
      </c>
      <c r="B764" s="12" t="inlineStr">
        <is>
          <t>SCH-02-013</t>
        </is>
      </c>
      <c r="C764" s="12" t="inlineStr">
        <is>
          <t>New</t>
        </is>
      </c>
      <c r="D764" s="12" t="inlineStr">
        <is>
          <t>Record first supplied in this revision</t>
        </is>
      </c>
      <c r="E764" s="12" t="inlineStr"/>
      <c r="F764" s="65" t="inlineStr">
        <is>
          <t>10 EVIDENCE &amp; DECISIONS</t>
        </is>
      </c>
      <c r="G764" s="14" t="n"/>
    </row>
    <row r="765" ht="79" customHeight="1">
      <c r="A765" s="12" t="inlineStr">
        <is>
          <t>R194-v1</t>
        </is>
      </c>
      <c r="B765" s="12" t="inlineStr">
        <is>
          <t>SCH-02-014</t>
        </is>
      </c>
      <c r="C765" s="12" t="inlineStr">
        <is>
          <t>New</t>
        </is>
      </c>
      <c r="D765" s="12" t="inlineStr">
        <is>
          <t>Record first supplied in this revision</t>
        </is>
      </c>
      <c r="E765" s="12" t="inlineStr"/>
      <c r="F765" s="65" t="inlineStr">
        <is>
          <t>10 EVIDENCE &amp; DECISIONS</t>
        </is>
      </c>
      <c r="G765" s="14" t="n"/>
    </row>
    <row r="766" ht="79" customHeight="1">
      <c r="A766" s="12" t="inlineStr">
        <is>
          <t>R195-v1</t>
        </is>
      </c>
      <c r="B766" s="12" t="inlineStr">
        <is>
          <t>SCH-02-015</t>
        </is>
      </c>
      <c r="C766" s="12" t="inlineStr">
        <is>
          <t>New</t>
        </is>
      </c>
      <c r="D766" s="12" t="inlineStr">
        <is>
          <t>Record first supplied in this revision</t>
        </is>
      </c>
      <c r="E766" s="12" t="inlineStr"/>
      <c r="F766" s="65" t="inlineStr">
        <is>
          <t>10 EVIDENCE &amp; DECISIONS</t>
        </is>
      </c>
      <c r="G766" s="14" t="n"/>
    </row>
    <row r="767" ht="79" customHeight="1">
      <c r="A767" s="12" t="inlineStr">
        <is>
          <t>R196-v1</t>
        </is>
      </c>
      <c r="B767" s="12" t="inlineStr">
        <is>
          <t>SCH-02-016</t>
        </is>
      </c>
      <c r="C767" s="12" t="inlineStr">
        <is>
          <t>New</t>
        </is>
      </c>
      <c r="D767" s="12" t="inlineStr">
        <is>
          <t>Record first supplied in this revision</t>
        </is>
      </c>
      <c r="E767" s="12" t="inlineStr"/>
      <c r="F767" s="65" t="inlineStr">
        <is>
          <t>10 EVIDENCE &amp; DECISIONS</t>
        </is>
      </c>
      <c r="G767" s="14" t="n"/>
    </row>
    <row r="768" ht="79" customHeight="1">
      <c r="A768" s="12" t="inlineStr">
        <is>
          <t>R197-v1</t>
        </is>
      </c>
      <c r="B768" s="12" t="inlineStr">
        <is>
          <t>SCH-02-017</t>
        </is>
      </c>
      <c r="C768" s="12" t="inlineStr">
        <is>
          <t>New</t>
        </is>
      </c>
      <c r="D768" s="12" t="inlineStr">
        <is>
          <t>Record first supplied in this revision</t>
        </is>
      </c>
      <c r="E768" s="12" t="inlineStr"/>
      <c r="F768" s="65" t="inlineStr">
        <is>
          <t>10 EVIDENCE &amp; DECISIONS</t>
        </is>
      </c>
      <c r="G768" s="14" t="n"/>
    </row>
    <row r="769" ht="79" customHeight="1">
      <c r="A769" s="12" t="inlineStr">
        <is>
          <t>R198-v1</t>
        </is>
      </c>
      <c r="B769" s="12" t="inlineStr">
        <is>
          <t>SCH-02-018</t>
        </is>
      </c>
      <c r="C769" s="12" t="inlineStr">
        <is>
          <t>New</t>
        </is>
      </c>
      <c r="D769" s="12" t="inlineStr">
        <is>
          <t>Record first supplied in this revision</t>
        </is>
      </c>
      <c r="E769" s="12" t="inlineStr"/>
      <c r="F769" s="65" t="inlineStr">
        <is>
          <t>10 EVIDENCE &amp; DECISIONS</t>
        </is>
      </c>
      <c r="G769" s="14" t="n"/>
    </row>
    <row r="770" ht="79" customHeight="1">
      <c r="A770" s="12" t="inlineStr">
        <is>
          <t>R199-v1</t>
        </is>
      </c>
      <c r="B770" s="12" t="inlineStr">
        <is>
          <t>SCH-02-019</t>
        </is>
      </c>
      <c r="C770" s="12" t="inlineStr">
        <is>
          <t>New</t>
        </is>
      </c>
      <c r="D770" s="12" t="inlineStr">
        <is>
          <t>Record first supplied in this revision</t>
        </is>
      </c>
      <c r="E770" s="12" t="inlineStr"/>
      <c r="F770" s="65" t="inlineStr">
        <is>
          <t>10 EVIDENCE &amp; DECISIONS</t>
        </is>
      </c>
      <c r="G770" s="14" t="n"/>
    </row>
    <row r="771" ht="79" customHeight="1">
      <c r="A771" s="12" t="inlineStr">
        <is>
          <t>R200-v1</t>
        </is>
      </c>
      <c r="B771" s="12" t="inlineStr">
        <is>
          <t>SCH-02-020</t>
        </is>
      </c>
      <c r="C771" s="12" t="inlineStr">
        <is>
          <t>New</t>
        </is>
      </c>
      <c r="D771" s="12" t="inlineStr">
        <is>
          <t>Record first supplied in this revision</t>
        </is>
      </c>
      <c r="E771" s="12" t="inlineStr"/>
      <c r="F771" s="65" t="inlineStr">
        <is>
          <t>10 EVIDENCE &amp; DECISIONS</t>
        </is>
      </c>
      <c r="G771" s="14" t="n"/>
    </row>
    <row r="772" ht="79" customHeight="1">
      <c r="A772" s="12" t="inlineStr">
        <is>
          <t>R201-v1</t>
        </is>
      </c>
      <c r="B772" s="12" t="inlineStr">
        <is>
          <t>SCH-02-021</t>
        </is>
      </c>
      <c r="C772" s="12" t="inlineStr">
        <is>
          <t>New</t>
        </is>
      </c>
      <c r="D772" s="12" t="inlineStr">
        <is>
          <t>Record first supplied in this revision</t>
        </is>
      </c>
      <c r="E772" s="12" t="inlineStr"/>
      <c r="F772" s="65" t="inlineStr">
        <is>
          <t>10 EVIDENCE &amp; DECISIONS</t>
        </is>
      </c>
      <c r="G772" s="14" t="n"/>
    </row>
    <row r="773" ht="79" customHeight="1">
      <c r="A773" s="12" t="inlineStr">
        <is>
          <t>R202-v1</t>
        </is>
      </c>
      <c r="B773" s="12" t="inlineStr">
        <is>
          <t>SCH-02-022</t>
        </is>
      </c>
      <c r="C773" s="12" t="inlineStr">
        <is>
          <t>New</t>
        </is>
      </c>
      <c r="D773" s="12" t="inlineStr">
        <is>
          <t>Record first supplied in this revision</t>
        </is>
      </c>
      <c r="E773" s="12" t="inlineStr"/>
      <c r="F773" s="65" t="inlineStr">
        <is>
          <t>10 EVIDENCE &amp; DECISIONS</t>
        </is>
      </c>
      <c r="G773" s="14" t="n"/>
    </row>
    <row r="774" ht="79" customHeight="1">
      <c r="A774" s="12" t="inlineStr">
        <is>
          <t>R203-v1</t>
        </is>
      </c>
      <c r="B774" s="12" t="inlineStr">
        <is>
          <t>SCH-02-023</t>
        </is>
      </c>
      <c r="C774" s="12" t="inlineStr">
        <is>
          <t>New</t>
        </is>
      </c>
      <c r="D774" s="12" t="inlineStr">
        <is>
          <t>Record first supplied in this revision</t>
        </is>
      </c>
      <c r="E774" s="12" t="inlineStr"/>
      <c r="F774" s="65" t="inlineStr">
        <is>
          <t>10 EVIDENCE &amp; DECISIONS</t>
        </is>
      </c>
      <c r="G774" s="14" t="n"/>
    </row>
    <row r="775" ht="79" customHeight="1">
      <c r="A775" s="12" t="inlineStr">
        <is>
          <t>R204-v1</t>
        </is>
      </c>
      <c r="B775" s="12" t="inlineStr">
        <is>
          <t>SCH-02-024</t>
        </is>
      </c>
      <c r="C775" s="12" t="inlineStr">
        <is>
          <t>New</t>
        </is>
      </c>
      <c r="D775" s="12" t="inlineStr">
        <is>
          <t>Record first supplied in this revision</t>
        </is>
      </c>
      <c r="E775" s="12" t="inlineStr"/>
      <c r="F775" s="65" t="inlineStr">
        <is>
          <t>10 EVIDENCE &amp; DECISIONS</t>
        </is>
      </c>
      <c r="G775" s="14" t="n"/>
    </row>
    <row r="776" ht="79" customHeight="1">
      <c r="A776" s="12" t="inlineStr">
        <is>
          <t>R205-v1</t>
        </is>
      </c>
      <c r="B776" s="12" t="inlineStr">
        <is>
          <t>SCH-02-025</t>
        </is>
      </c>
      <c r="C776" s="12" t="inlineStr">
        <is>
          <t>New</t>
        </is>
      </c>
      <c r="D776" s="12" t="inlineStr">
        <is>
          <t>Record first supplied in this revision</t>
        </is>
      </c>
      <c r="E776" s="12" t="inlineStr"/>
      <c r="F776" s="65" t="inlineStr">
        <is>
          <t>10 EVIDENCE &amp; DECISIONS</t>
        </is>
      </c>
      <c r="G776" s="14" t="n"/>
    </row>
    <row r="777" ht="79" customHeight="1">
      <c r="A777" s="12" t="inlineStr">
        <is>
          <t>R206-v1</t>
        </is>
      </c>
      <c r="B777" s="12" t="inlineStr">
        <is>
          <t>SCH-02-026</t>
        </is>
      </c>
      <c r="C777" s="12" t="inlineStr">
        <is>
          <t>New</t>
        </is>
      </c>
      <c r="D777" s="12" t="inlineStr">
        <is>
          <t>Record first supplied in this revision</t>
        </is>
      </c>
      <c r="E777" s="12" t="inlineStr"/>
      <c r="F777" s="65" t="inlineStr">
        <is>
          <t>10 EVIDENCE &amp; DECISIONS</t>
        </is>
      </c>
      <c r="G777" s="14" t="n"/>
    </row>
    <row r="778" ht="79" customHeight="1">
      <c r="A778" s="12" t="inlineStr">
        <is>
          <t>R207-v1</t>
        </is>
      </c>
      <c r="B778" s="12" t="inlineStr">
        <is>
          <t>SCH-02-027</t>
        </is>
      </c>
      <c r="C778" s="12" t="inlineStr">
        <is>
          <t>New</t>
        </is>
      </c>
      <c r="D778" s="12" t="inlineStr">
        <is>
          <t>Record first supplied in this revision</t>
        </is>
      </c>
      <c r="E778" s="12" t="inlineStr"/>
      <c r="F778" s="65" t="inlineStr">
        <is>
          <t>10 EVIDENCE &amp; DECISIONS</t>
        </is>
      </c>
      <c r="G778" s="14" t="n"/>
    </row>
    <row r="779" ht="79" customHeight="1">
      <c r="A779" s="12" t="inlineStr">
        <is>
          <t>R208-v1</t>
        </is>
      </c>
      <c r="B779" s="12" t="inlineStr">
        <is>
          <t>SCH-02-028</t>
        </is>
      </c>
      <c r="C779" s="12" t="inlineStr">
        <is>
          <t>New</t>
        </is>
      </c>
      <c r="D779" s="12" t="inlineStr">
        <is>
          <t>Record first supplied in this revision</t>
        </is>
      </c>
      <c r="E779" s="12" t="inlineStr"/>
      <c r="F779" s="65" t="inlineStr">
        <is>
          <t>10 EVIDENCE &amp; DECISIONS</t>
        </is>
      </c>
      <c r="G779" s="14" t="n"/>
    </row>
    <row r="780" ht="79" customHeight="1">
      <c r="A780" s="12" t="inlineStr">
        <is>
          <t>R209-v1</t>
        </is>
      </c>
      <c r="B780" s="12" t="inlineStr">
        <is>
          <t>SCH-02-029</t>
        </is>
      </c>
      <c r="C780" s="12" t="inlineStr">
        <is>
          <t>New</t>
        </is>
      </c>
      <c r="D780" s="12" t="inlineStr">
        <is>
          <t>Record first supplied in this revision</t>
        </is>
      </c>
      <c r="E780" s="12" t="inlineStr"/>
      <c r="F780" s="65" t="inlineStr">
        <is>
          <t>10 EVIDENCE &amp; DECISIONS</t>
        </is>
      </c>
      <c r="G780" s="14" t="n"/>
    </row>
    <row r="781" ht="79" customHeight="1">
      <c r="A781" s="12" t="inlineStr">
        <is>
          <t>R210-v1</t>
        </is>
      </c>
      <c r="B781" s="12" t="inlineStr">
        <is>
          <t>SCH-02-030</t>
        </is>
      </c>
      <c r="C781" s="12" t="inlineStr">
        <is>
          <t>New</t>
        </is>
      </c>
      <c r="D781" s="12" t="inlineStr">
        <is>
          <t>Record first supplied in this revision</t>
        </is>
      </c>
      <c r="E781" s="12" t="inlineStr"/>
      <c r="F781" s="65" t="inlineStr">
        <is>
          <t>10 EVIDENCE &amp; DECISIONS</t>
        </is>
      </c>
      <c r="G781" s="14" t="n"/>
    </row>
    <row r="782" ht="79" customHeight="1">
      <c r="A782" s="12" t="inlineStr">
        <is>
          <t>R211-v1</t>
        </is>
      </c>
      <c r="B782" s="12" t="inlineStr">
        <is>
          <t>SCH-02-031</t>
        </is>
      </c>
      <c r="C782" s="12" t="inlineStr">
        <is>
          <t>New</t>
        </is>
      </c>
      <c r="D782" s="12" t="inlineStr">
        <is>
          <t>Record first supplied in this revision</t>
        </is>
      </c>
      <c r="E782" s="12" t="inlineStr"/>
      <c r="F782" s="65" t="inlineStr">
        <is>
          <t>10 EVIDENCE &amp; DECISIONS</t>
        </is>
      </c>
      <c r="G782" s="14" t="n"/>
    </row>
    <row r="783" ht="79" customHeight="1">
      <c r="A783" s="12" t="inlineStr">
        <is>
          <t>R212-v1</t>
        </is>
      </c>
      <c r="B783" s="12" t="inlineStr">
        <is>
          <t>SCH-02-032</t>
        </is>
      </c>
      <c r="C783" s="12" t="inlineStr">
        <is>
          <t>New</t>
        </is>
      </c>
      <c r="D783" s="12" t="inlineStr">
        <is>
          <t>Record first supplied in this revision</t>
        </is>
      </c>
      <c r="E783" s="12" t="inlineStr"/>
      <c r="F783" s="65" t="inlineStr">
        <is>
          <t>10 EVIDENCE &amp; DECISIONS</t>
        </is>
      </c>
      <c r="G783" s="14" t="n"/>
    </row>
    <row r="784" ht="79" customHeight="1">
      <c r="A784" s="12" t="inlineStr">
        <is>
          <t>R213-v1</t>
        </is>
      </c>
      <c r="B784" s="12" t="inlineStr">
        <is>
          <t>SCH-02-033</t>
        </is>
      </c>
      <c r="C784" s="12" t="inlineStr">
        <is>
          <t>New</t>
        </is>
      </c>
      <c r="D784" s="12" t="inlineStr">
        <is>
          <t>Record first supplied in this revision</t>
        </is>
      </c>
      <c r="E784" s="12" t="inlineStr"/>
      <c r="F784" s="65" t="inlineStr">
        <is>
          <t>10 EVIDENCE &amp; DECISIONS</t>
        </is>
      </c>
      <c r="G784" s="14" t="n"/>
    </row>
    <row r="785" ht="79" customHeight="1">
      <c r="A785" s="12" t="inlineStr">
        <is>
          <t>R214-v1</t>
        </is>
      </c>
      <c r="B785" s="12" t="inlineStr">
        <is>
          <t>SCH-02-034</t>
        </is>
      </c>
      <c r="C785" s="12" t="inlineStr">
        <is>
          <t>New</t>
        </is>
      </c>
      <c r="D785" s="12" t="inlineStr">
        <is>
          <t>Record first supplied in this revision</t>
        </is>
      </c>
      <c r="E785" s="12" t="inlineStr"/>
      <c r="F785" s="65" t="inlineStr">
        <is>
          <t>10 EVIDENCE &amp; DECISIONS</t>
        </is>
      </c>
      <c r="G785" s="14" t="n"/>
    </row>
    <row r="786" ht="79" customHeight="1">
      <c r="A786" s="12" t="inlineStr">
        <is>
          <t>R215-v1</t>
        </is>
      </c>
      <c r="B786" s="12" t="inlineStr">
        <is>
          <t>SCH-02-035</t>
        </is>
      </c>
      <c r="C786" s="12" t="inlineStr">
        <is>
          <t>New</t>
        </is>
      </c>
      <c r="D786" s="12" t="inlineStr">
        <is>
          <t>Record first supplied in this revision</t>
        </is>
      </c>
      <c r="E786" s="12" t="inlineStr"/>
      <c r="F786" s="65" t="inlineStr">
        <is>
          <t>10 EVIDENCE &amp; DECISIONS</t>
        </is>
      </c>
      <c r="G786" s="14" t="n"/>
    </row>
    <row r="787" ht="79" customHeight="1">
      <c r="A787" s="12" t="inlineStr">
        <is>
          <t>R216-v1</t>
        </is>
      </c>
      <c r="B787" s="12" t="inlineStr">
        <is>
          <t>SCH-02-036</t>
        </is>
      </c>
      <c r="C787" s="12" t="inlineStr">
        <is>
          <t>New</t>
        </is>
      </c>
      <c r="D787" s="12" t="inlineStr">
        <is>
          <t>Record first supplied in this revision</t>
        </is>
      </c>
      <c r="E787" s="12" t="inlineStr"/>
      <c r="F787" s="65" t="inlineStr">
        <is>
          <t>10 EVIDENCE &amp; DECISIONS</t>
        </is>
      </c>
      <c r="G787" s="14" t="n"/>
    </row>
    <row r="788" ht="79" customHeight="1">
      <c r="A788" s="12" t="inlineStr">
        <is>
          <t>R217-v1</t>
        </is>
      </c>
      <c r="B788" s="12" t="inlineStr">
        <is>
          <t>SCH-02-037</t>
        </is>
      </c>
      <c r="C788" s="12" t="inlineStr">
        <is>
          <t>New</t>
        </is>
      </c>
      <c r="D788" s="12" t="inlineStr">
        <is>
          <t>Record first supplied in this revision</t>
        </is>
      </c>
      <c r="E788" s="12" t="inlineStr"/>
      <c r="F788" s="65" t="inlineStr">
        <is>
          <t>10 EVIDENCE &amp; DECISIONS</t>
        </is>
      </c>
      <c r="G788" s="14" t="n"/>
    </row>
    <row r="789" ht="79" customHeight="1">
      <c r="A789" s="12" t="inlineStr">
        <is>
          <t>R218-v1</t>
        </is>
      </c>
      <c r="B789" s="12" t="inlineStr">
        <is>
          <t>SCH-02-038</t>
        </is>
      </c>
      <c r="C789" s="12" t="inlineStr">
        <is>
          <t>New</t>
        </is>
      </c>
      <c r="D789" s="12" t="inlineStr">
        <is>
          <t>Record first supplied in this revision</t>
        </is>
      </c>
      <c r="E789" s="12" t="inlineStr"/>
      <c r="F789" s="65" t="inlineStr">
        <is>
          <t>10 EVIDENCE &amp; DECISIONS</t>
        </is>
      </c>
      <c r="G789" s="14" t="n"/>
    </row>
    <row r="790" ht="79" customHeight="1">
      <c r="A790" s="12" t="inlineStr">
        <is>
          <t>R219-v1</t>
        </is>
      </c>
      <c r="B790" s="12" t="inlineStr">
        <is>
          <t>SCH-02-039</t>
        </is>
      </c>
      <c r="C790" s="12" t="inlineStr">
        <is>
          <t>New</t>
        </is>
      </c>
      <c r="D790" s="12" t="inlineStr">
        <is>
          <t>Record first supplied in this revision</t>
        </is>
      </c>
      <c r="E790" s="12" t="inlineStr"/>
      <c r="F790" s="65" t="inlineStr">
        <is>
          <t>10 EVIDENCE &amp; DECISIONS</t>
        </is>
      </c>
      <c r="G790" s="14" t="n"/>
    </row>
    <row r="791" ht="79" customHeight="1">
      <c r="A791" s="12" t="inlineStr">
        <is>
          <t>R220-v1</t>
        </is>
      </c>
      <c r="B791" s="12" t="inlineStr">
        <is>
          <t>SCH-02-040</t>
        </is>
      </c>
      <c r="C791" s="12" t="inlineStr">
        <is>
          <t>New</t>
        </is>
      </c>
      <c r="D791" s="12" t="inlineStr">
        <is>
          <t>Record first supplied in this revision</t>
        </is>
      </c>
      <c r="E791" s="12" t="inlineStr"/>
      <c r="F791" s="65" t="inlineStr">
        <is>
          <t>10 EVIDENCE &amp; DECISIONS</t>
        </is>
      </c>
      <c r="G791" s="14" t="n"/>
    </row>
    <row r="792" ht="79" customHeight="1">
      <c r="A792" s="12" t="inlineStr">
        <is>
          <t>R221-v1</t>
        </is>
      </c>
      <c r="B792" s="12" t="inlineStr">
        <is>
          <t>SCH-02-041</t>
        </is>
      </c>
      <c r="C792" s="12" t="inlineStr">
        <is>
          <t>New</t>
        </is>
      </c>
      <c r="D792" s="12" t="inlineStr">
        <is>
          <t>Record first supplied in this revision</t>
        </is>
      </c>
      <c r="E792" s="12" t="inlineStr"/>
      <c r="F792" s="65" t="inlineStr">
        <is>
          <t>10 EVIDENCE &amp; DECISIONS</t>
        </is>
      </c>
      <c r="G792" s="14" t="n"/>
    </row>
    <row r="793" ht="79" customHeight="1">
      <c r="A793" s="12" t="inlineStr">
        <is>
          <t>R222-v1</t>
        </is>
      </c>
      <c r="B793" s="12" t="inlineStr">
        <is>
          <t>SCH-02-042</t>
        </is>
      </c>
      <c r="C793" s="12" t="inlineStr">
        <is>
          <t>New</t>
        </is>
      </c>
      <c r="D793" s="12" t="inlineStr">
        <is>
          <t>Record first supplied in this revision</t>
        </is>
      </c>
      <c r="E793" s="12" t="inlineStr"/>
      <c r="F793" s="65" t="inlineStr">
        <is>
          <t>10 EVIDENCE &amp; DECISIONS</t>
        </is>
      </c>
      <c r="G793" s="14" t="n"/>
    </row>
    <row r="794" ht="79" customHeight="1">
      <c r="A794" s="12" t="inlineStr">
        <is>
          <t>R223-v1</t>
        </is>
      </c>
      <c r="B794" s="12" t="inlineStr">
        <is>
          <t>SCH-02-043</t>
        </is>
      </c>
      <c r="C794" s="12" t="inlineStr">
        <is>
          <t>New</t>
        </is>
      </c>
      <c r="D794" s="12" t="inlineStr">
        <is>
          <t>Record first supplied in this revision</t>
        </is>
      </c>
      <c r="E794" s="12" t="inlineStr"/>
      <c r="F794" s="65" t="inlineStr">
        <is>
          <t>10 EVIDENCE &amp; DECISIONS</t>
        </is>
      </c>
      <c r="G794" s="14" t="n"/>
    </row>
    <row r="795" ht="79" customHeight="1">
      <c r="A795" s="12" t="inlineStr">
        <is>
          <t>R224-v1</t>
        </is>
      </c>
      <c r="B795" s="12" t="inlineStr">
        <is>
          <t>SCH-02-044</t>
        </is>
      </c>
      <c r="C795" s="12" t="inlineStr">
        <is>
          <t>New</t>
        </is>
      </c>
      <c r="D795" s="12" t="inlineStr">
        <is>
          <t>Record first supplied in this revision</t>
        </is>
      </c>
      <c r="E795" s="12" t="inlineStr"/>
      <c r="F795" s="65" t="inlineStr">
        <is>
          <t>10 EVIDENCE &amp; DECISIONS</t>
        </is>
      </c>
      <c r="G795" s="14" t="n"/>
    </row>
    <row r="796" ht="79" customHeight="1">
      <c r="A796" s="12" t="inlineStr">
        <is>
          <t>R225-v1</t>
        </is>
      </c>
      <c r="B796" s="12" t="inlineStr">
        <is>
          <t>SCH-02-045</t>
        </is>
      </c>
      <c r="C796" s="12" t="inlineStr">
        <is>
          <t>New</t>
        </is>
      </c>
      <c r="D796" s="12" t="inlineStr">
        <is>
          <t>Record first supplied in this revision</t>
        </is>
      </c>
      <c r="E796" s="12" t="inlineStr"/>
      <c r="F796" s="65" t="inlineStr">
        <is>
          <t>10 EVIDENCE &amp; DECISIONS</t>
        </is>
      </c>
      <c r="G796" s="14" t="n"/>
    </row>
    <row r="797" ht="79" customHeight="1">
      <c r="A797" s="12" t="inlineStr">
        <is>
          <t>R226-v1</t>
        </is>
      </c>
      <c r="B797" s="12" t="inlineStr">
        <is>
          <t>SCH-02-046</t>
        </is>
      </c>
      <c r="C797" s="12" t="inlineStr">
        <is>
          <t>New</t>
        </is>
      </c>
      <c r="D797" s="12" t="inlineStr">
        <is>
          <t>Record first supplied in this revision</t>
        </is>
      </c>
      <c r="E797" s="12" t="inlineStr"/>
      <c r="F797" s="65" t="inlineStr">
        <is>
          <t>10 EVIDENCE &amp; DECISIONS</t>
        </is>
      </c>
      <c r="G797" s="14" t="n"/>
    </row>
    <row r="798" ht="79" customHeight="1">
      <c r="A798" s="12" t="inlineStr">
        <is>
          <t>R227-v1</t>
        </is>
      </c>
      <c r="B798" s="12" t="inlineStr">
        <is>
          <t>SCH-02-047</t>
        </is>
      </c>
      <c r="C798" s="12" t="inlineStr">
        <is>
          <t>New</t>
        </is>
      </c>
      <c r="D798" s="12" t="inlineStr">
        <is>
          <t>Record first supplied in this revision</t>
        </is>
      </c>
      <c r="E798" s="12" t="inlineStr"/>
      <c r="F798" s="65" t="inlineStr">
        <is>
          <t>10 EVIDENCE &amp; DECISIONS</t>
        </is>
      </c>
      <c r="G798" s="14" t="n"/>
    </row>
    <row r="799" ht="79" customHeight="1">
      <c r="A799" s="12" t="inlineStr">
        <is>
          <t>R228-v1</t>
        </is>
      </c>
      <c r="B799" s="12" t="inlineStr">
        <is>
          <t>SCH-02-048</t>
        </is>
      </c>
      <c r="C799" s="12" t="inlineStr">
        <is>
          <t>New</t>
        </is>
      </c>
      <c r="D799" s="12" t="inlineStr">
        <is>
          <t>Record first supplied in this revision</t>
        </is>
      </c>
      <c r="E799" s="12" t="inlineStr"/>
      <c r="F799" s="65" t="inlineStr">
        <is>
          <t>10 EVIDENCE &amp; DECISIONS</t>
        </is>
      </c>
      <c r="G799" s="14" t="n"/>
    </row>
    <row r="800" ht="79" customHeight="1">
      <c r="A800" s="12" t="inlineStr">
        <is>
          <t>R229-v1</t>
        </is>
      </c>
      <c r="B800" s="12" t="inlineStr">
        <is>
          <t>SCH-02-049</t>
        </is>
      </c>
      <c r="C800" s="12" t="inlineStr">
        <is>
          <t>New</t>
        </is>
      </c>
      <c r="D800" s="12" t="inlineStr">
        <is>
          <t>Record first supplied in this revision</t>
        </is>
      </c>
      <c r="E800" s="12" t="inlineStr"/>
      <c r="F800" s="65" t="inlineStr">
        <is>
          <t>10 EVIDENCE &amp; DECISIONS</t>
        </is>
      </c>
      <c r="G800" s="14" t="n"/>
    </row>
    <row r="801" ht="79" customHeight="1">
      <c r="A801" s="12" t="inlineStr">
        <is>
          <t>R230-v1</t>
        </is>
      </c>
      <c r="B801" s="12" t="inlineStr">
        <is>
          <t>SCH-02-050</t>
        </is>
      </c>
      <c r="C801" s="12" t="inlineStr">
        <is>
          <t>New</t>
        </is>
      </c>
      <c r="D801" s="12" t="inlineStr">
        <is>
          <t>Record first supplied in this revision</t>
        </is>
      </c>
      <c r="E801" s="12" t="inlineStr"/>
      <c r="F801" s="65" t="inlineStr">
        <is>
          <t>10 EVIDENCE &amp; DECISIONS</t>
        </is>
      </c>
      <c r="G801" s="14" t="n"/>
    </row>
    <row r="802" ht="79" customHeight="1">
      <c r="A802" s="12" t="inlineStr">
        <is>
          <t>R231-v1</t>
        </is>
      </c>
      <c r="B802" s="12" t="inlineStr">
        <is>
          <t>SCH-02-051</t>
        </is>
      </c>
      <c r="C802" s="12" t="inlineStr">
        <is>
          <t>New</t>
        </is>
      </c>
      <c r="D802" s="12" t="inlineStr">
        <is>
          <t>Record first supplied in this revision</t>
        </is>
      </c>
      <c r="E802" s="12" t="inlineStr"/>
      <c r="F802" s="65" t="inlineStr">
        <is>
          <t>10 EVIDENCE &amp; DECISIONS</t>
        </is>
      </c>
      <c r="G802" s="14" t="n"/>
    </row>
    <row r="803" ht="79" customHeight="1">
      <c r="A803" s="12" t="inlineStr">
        <is>
          <t>R232-v1</t>
        </is>
      </c>
      <c r="B803" s="12" t="inlineStr">
        <is>
          <t>SCH-02-052</t>
        </is>
      </c>
      <c r="C803" s="12" t="inlineStr">
        <is>
          <t>New</t>
        </is>
      </c>
      <c r="D803" s="12" t="inlineStr">
        <is>
          <t>Record first supplied in this revision</t>
        </is>
      </c>
      <c r="E803" s="12" t="inlineStr"/>
      <c r="F803" s="65" t="inlineStr">
        <is>
          <t>10 EVIDENCE &amp; DECISIONS</t>
        </is>
      </c>
      <c r="G803" s="14" t="n"/>
    </row>
    <row r="804" ht="79" customHeight="1">
      <c r="A804" s="12" t="inlineStr">
        <is>
          <t>R233-v1</t>
        </is>
      </c>
      <c r="B804" s="12" t="inlineStr">
        <is>
          <t>SCH-02-053</t>
        </is>
      </c>
      <c r="C804" s="12" t="inlineStr">
        <is>
          <t>New</t>
        </is>
      </c>
      <c r="D804" s="12" t="inlineStr">
        <is>
          <t>Record first supplied in this revision</t>
        </is>
      </c>
      <c r="E804" s="12" t="inlineStr"/>
      <c r="F804" s="65" t="inlineStr">
        <is>
          <t>10 EVIDENCE &amp; DECISIONS</t>
        </is>
      </c>
      <c r="G804" s="14" t="n"/>
    </row>
    <row r="805" ht="79" customHeight="1">
      <c r="A805" s="12" t="inlineStr">
        <is>
          <t>R234-v1</t>
        </is>
      </c>
      <c r="B805" s="12" t="inlineStr">
        <is>
          <t>SCH-02-054</t>
        </is>
      </c>
      <c r="C805" s="12" t="inlineStr">
        <is>
          <t>New</t>
        </is>
      </c>
      <c r="D805" s="12" t="inlineStr">
        <is>
          <t>Record first supplied in this revision</t>
        </is>
      </c>
      <c r="E805" s="12" t="inlineStr"/>
      <c r="F805" s="65" t="inlineStr">
        <is>
          <t>10 EVIDENCE &amp; DECISIONS</t>
        </is>
      </c>
      <c r="G805" s="14" t="n"/>
    </row>
    <row r="806" ht="79" customHeight="1">
      <c r="A806" s="12" t="inlineStr">
        <is>
          <t>R235-v1</t>
        </is>
      </c>
      <c r="B806" s="12" t="inlineStr">
        <is>
          <t>SCH-02-055</t>
        </is>
      </c>
      <c r="C806" s="12" t="inlineStr">
        <is>
          <t>New</t>
        </is>
      </c>
      <c r="D806" s="12" t="inlineStr">
        <is>
          <t>Record first supplied in this revision</t>
        </is>
      </c>
      <c r="E806" s="12" t="inlineStr"/>
      <c r="F806" s="65" t="inlineStr">
        <is>
          <t>10 EVIDENCE &amp; DECISIONS</t>
        </is>
      </c>
      <c r="G806" s="14" t="n"/>
    </row>
    <row r="807" ht="79" customHeight="1">
      <c r="A807" s="12" t="inlineStr">
        <is>
          <t>R236-v1</t>
        </is>
      </c>
      <c r="B807" s="12" t="inlineStr">
        <is>
          <t>SCH-02-056</t>
        </is>
      </c>
      <c r="C807" s="12" t="inlineStr">
        <is>
          <t>New</t>
        </is>
      </c>
      <c r="D807" s="12" t="inlineStr">
        <is>
          <t>Record first supplied in this revision</t>
        </is>
      </c>
      <c r="E807" s="12" t="inlineStr"/>
      <c r="F807" s="65" t="inlineStr">
        <is>
          <t>10 EVIDENCE &amp; DECISIONS</t>
        </is>
      </c>
      <c r="G807" s="14" t="n"/>
    </row>
    <row r="808" ht="79" customHeight="1">
      <c r="A808" s="12" t="inlineStr">
        <is>
          <t>R237-v1</t>
        </is>
      </c>
      <c r="B808" s="12" t="inlineStr">
        <is>
          <t>SCH-02-057</t>
        </is>
      </c>
      <c r="C808" s="12" t="inlineStr">
        <is>
          <t>New</t>
        </is>
      </c>
      <c r="D808" s="12" t="inlineStr">
        <is>
          <t>Record first supplied in this revision</t>
        </is>
      </c>
      <c r="E808" s="12" t="inlineStr"/>
      <c r="F808" s="65" t="inlineStr">
        <is>
          <t>10 EVIDENCE &amp; DECISIONS</t>
        </is>
      </c>
      <c r="G808" s="14" t="n"/>
    </row>
    <row r="809" ht="79" customHeight="1">
      <c r="A809" s="12" t="inlineStr">
        <is>
          <t>R238-v1</t>
        </is>
      </c>
      <c r="B809" s="12" t="inlineStr">
        <is>
          <t>SCH-02-058</t>
        </is>
      </c>
      <c r="C809" s="12" t="inlineStr">
        <is>
          <t>New</t>
        </is>
      </c>
      <c r="D809" s="12" t="inlineStr">
        <is>
          <t>Record first supplied in this revision</t>
        </is>
      </c>
      <c r="E809" s="12" t="inlineStr"/>
      <c r="F809" s="65" t="inlineStr">
        <is>
          <t>10 EVIDENCE &amp; DECISIONS</t>
        </is>
      </c>
      <c r="G809" s="14" t="n"/>
    </row>
    <row r="810" ht="79" customHeight="1">
      <c r="A810" s="12" t="inlineStr">
        <is>
          <t>R239-v1</t>
        </is>
      </c>
      <c r="B810" s="12" t="inlineStr">
        <is>
          <t>SCH-02-059</t>
        </is>
      </c>
      <c r="C810" s="12" t="inlineStr">
        <is>
          <t>New</t>
        </is>
      </c>
      <c r="D810" s="12" t="inlineStr">
        <is>
          <t>Record first supplied in this revision</t>
        </is>
      </c>
      <c r="E810" s="12" t="inlineStr"/>
      <c r="F810" s="65" t="inlineStr">
        <is>
          <t>10 EVIDENCE &amp; DECISIONS</t>
        </is>
      </c>
      <c r="G810" s="14" t="n"/>
    </row>
    <row r="811" ht="79" customHeight="1">
      <c r="A811" s="12" t="inlineStr">
        <is>
          <t>R240-v1</t>
        </is>
      </c>
      <c r="B811" s="12" t="inlineStr">
        <is>
          <t>SCH-02-060</t>
        </is>
      </c>
      <c r="C811" s="12" t="inlineStr">
        <is>
          <t>New</t>
        </is>
      </c>
      <c r="D811" s="12" t="inlineStr">
        <is>
          <t>Record first supplied in this revision</t>
        </is>
      </c>
      <c r="E811" s="12" t="inlineStr"/>
      <c r="F811" s="65" t="inlineStr">
        <is>
          <t>10 EVIDENCE &amp; DECISIONS</t>
        </is>
      </c>
      <c r="G811" s="14" t="n"/>
    </row>
    <row r="812" ht="79" customHeight="1">
      <c r="A812" s="12" t="inlineStr">
        <is>
          <t>R241-v1</t>
        </is>
      </c>
      <c r="B812" s="12" t="inlineStr">
        <is>
          <t>SCH-02-061</t>
        </is>
      </c>
      <c r="C812" s="12" t="inlineStr">
        <is>
          <t>New</t>
        </is>
      </c>
      <c r="D812" s="12" t="inlineStr">
        <is>
          <t>Record first supplied in this revision</t>
        </is>
      </c>
      <c r="E812" s="12" t="inlineStr"/>
      <c r="F812" s="65" t="inlineStr">
        <is>
          <t>10 EVIDENCE &amp; DECISIONS</t>
        </is>
      </c>
      <c r="G812" s="14" t="n"/>
    </row>
    <row r="813" ht="79" customHeight="1">
      <c r="A813" s="12" t="inlineStr">
        <is>
          <t>R242-v1</t>
        </is>
      </c>
      <c r="B813" s="12" t="inlineStr">
        <is>
          <t>SCH-02-062</t>
        </is>
      </c>
      <c r="C813" s="12" t="inlineStr">
        <is>
          <t>New</t>
        </is>
      </c>
      <c r="D813" s="12" t="inlineStr">
        <is>
          <t>Record first supplied in this revision</t>
        </is>
      </c>
      <c r="E813" s="12" t="inlineStr"/>
      <c r="F813" s="65" t="inlineStr">
        <is>
          <t>10 EVIDENCE &amp; DECISIONS</t>
        </is>
      </c>
      <c r="G813" s="14" t="n"/>
    </row>
    <row r="814" ht="79" customHeight="1">
      <c r="A814" s="12" t="inlineStr">
        <is>
          <t>R243-v1</t>
        </is>
      </c>
      <c r="B814" s="12" t="inlineStr">
        <is>
          <t>SCH-02-063</t>
        </is>
      </c>
      <c r="C814" s="12" t="inlineStr">
        <is>
          <t>New</t>
        </is>
      </c>
      <c r="D814" s="12" t="inlineStr">
        <is>
          <t>Record first supplied in this revision</t>
        </is>
      </c>
      <c r="E814" s="12" t="inlineStr"/>
      <c r="F814" s="65" t="inlineStr">
        <is>
          <t>10 EVIDENCE &amp; DECISIONS</t>
        </is>
      </c>
      <c r="G814" s="14" t="n"/>
    </row>
    <row r="815" ht="79" customHeight="1">
      <c r="A815" s="12" t="inlineStr">
        <is>
          <t>R244-v1</t>
        </is>
      </c>
      <c r="B815" s="12" t="inlineStr">
        <is>
          <t>SCH-02-064</t>
        </is>
      </c>
      <c r="C815" s="12" t="inlineStr">
        <is>
          <t>New</t>
        </is>
      </c>
      <c r="D815" s="12" t="inlineStr">
        <is>
          <t>Record first supplied in this revision</t>
        </is>
      </c>
      <c r="E815" s="12" t="inlineStr"/>
      <c r="F815" s="65" t="inlineStr">
        <is>
          <t>10 EVIDENCE &amp; DECISIONS</t>
        </is>
      </c>
      <c r="G815" s="14" t="n"/>
    </row>
    <row r="816" ht="79" customHeight="1">
      <c r="A816" s="12" t="inlineStr">
        <is>
          <t>R245-v1</t>
        </is>
      </c>
      <c r="B816" s="12" t="inlineStr">
        <is>
          <t>SCH-02-065</t>
        </is>
      </c>
      <c r="C816" s="12" t="inlineStr">
        <is>
          <t>New</t>
        </is>
      </c>
      <c r="D816" s="12" t="inlineStr">
        <is>
          <t>Record first supplied in this revision</t>
        </is>
      </c>
      <c r="E816" s="12" t="inlineStr"/>
      <c r="F816" s="65" t="inlineStr">
        <is>
          <t>10 EVIDENCE &amp; DECISIONS</t>
        </is>
      </c>
      <c r="G816" s="14" t="n"/>
    </row>
    <row r="817" ht="79" customHeight="1">
      <c r="A817" s="12" t="inlineStr">
        <is>
          <t>R246-v1</t>
        </is>
      </c>
      <c r="B817" s="12" t="inlineStr">
        <is>
          <t>SCH-02-066</t>
        </is>
      </c>
      <c r="C817" s="12" t="inlineStr">
        <is>
          <t>New</t>
        </is>
      </c>
      <c r="D817" s="12" t="inlineStr">
        <is>
          <t>Record first supplied in this revision</t>
        </is>
      </c>
      <c r="E817" s="12" t="inlineStr"/>
      <c r="F817" s="65" t="inlineStr">
        <is>
          <t>10 EVIDENCE &amp; DECISIONS</t>
        </is>
      </c>
      <c r="G817" s="14" t="n"/>
    </row>
    <row r="818" ht="79" customHeight="1">
      <c r="A818" s="12" t="inlineStr">
        <is>
          <t>R247-v1</t>
        </is>
      </c>
      <c r="B818" s="12" t="inlineStr">
        <is>
          <t>SCH-02-067</t>
        </is>
      </c>
      <c r="C818" s="12" t="inlineStr">
        <is>
          <t>New</t>
        </is>
      </c>
      <c r="D818" s="12" t="inlineStr">
        <is>
          <t>Record first supplied in this revision</t>
        </is>
      </c>
      <c r="E818" s="12" t="inlineStr"/>
      <c r="F818" s="65" t="inlineStr">
        <is>
          <t>10 EVIDENCE &amp; DECISIONS</t>
        </is>
      </c>
      <c r="G818" s="14" t="n"/>
    </row>
    <row r="819" ht="79" customHeight="1">
      <c r="A819" s="12" t="inlineStr">
        <is>
          <t>R248-v1</t>
        </is>
      </c>
      <c r="B819" s="12" t="inlineStr">
        <is>
          <t>SCH-02-068</t>
        </is>
      </c>
      <c r="C819" s="12" t="inlineStr">
        <is>
          <t>New</t>
        </is>
      </c>
      <c r="D819" s="12" t="inlineStr">
        <is>
          <t>Record first supplied in this revision</t>
        </is>
      </c>
      <c r="E819" s="12" t="inlineStr"/>
      <c r="F819" s="65" t="inlineStr">
        <is>
          <t>10 EVIDENCE &amp; DECISIONS</t>
        </is>
      </c>
      <c r="G819" s="14" t="n"/>
    </row>
    <row r="820" ht="79" customHeight="1">
      <c r="A820" s="12" t="inlineStr">
        <is>
          <t>R249-v1</t>
        </is>
      </c>
      <c r="B820" s="12" t="inlineStr">
        <is>
          <t>SCH-02-069</t>
        </is>
      </c>
      <c r="C820" s="12" t="inlineStr">
        <is>
          <t>New</t>
        </is>
      </c>
      <c r="D820" s="12" t="inlineStr">
        <is>
          <t>Record first supplied in this revision</t>
        </is>
      </c>
      <c r="E820" s="12" t="inlineStr"/>
      <c r="F820" s="65" t="inlineStr">
        <is>
          <t>10 EVIDENCE &amp; DECISIONS</t>
        </is>
      </c>
      <c r="G820" s="14" t="n"/>
    </row>
    <row r="821" ht="79" customHeight="1">
      <c r="A821" s="12" t="inlineStr">
        <is>
          <t>R250-v1</t>
        </is>
      </c>
      <c r="B821" s="12" t="inlineStr">
        <is>
          <t>SCH-02-070</t>
        </is>
      </c>
      <c r="C821" s="12" t="inlineStr">
        <is>
          <t>New</t>
        </is>
      </c>
      <c r="D821" s="12" t="inlineStr">
        <is>
          <t>Record first supplied in this revision</t>
        </is>
      </c>
      <c r="E821" s="12" t="inlineStr"/>
      <c r="F821" s="65" t="inlineStr">
        <is>
          <t>10 EVIDENCE &amp; DECISIONS</t>
        </is>
      </c>
      <c r="G821" s="14" t="n"/>
    </row>
    <row r="822" ht="79" customHeight="1">
      <c r="A822" s="12" t="inlineStr">
        <is>
          <t>R251-v1</t>
        </is>
      </c>
      <c r="B822" s="12" t="inlineStr">
        <is>
          <t>SCH-02-071</t>
        </is>
      </c>
      <c r="C822" s="12" t="inlineStr">
        <is>
          <t>New</t>
        </is>
      </c>
      <c r="D822" s="12" t="inlineStr">
        <is>
          <t>Record first supplied in this revision</t>
        </is>
      </c>
      <c r="E822" s="12" t="inlineStr"/>
      <c r="F822" s="65" t="inlineStr">
        <is>
          <t>10 EVIDENCE &amp; DECISIONS</t>
        </is>
      </c>
      <c r="G822" s="14" t="n"/>
    </row>
    <row r="823" ht="79" customHeight="1">
      <c r="A823" s="12" t="inlineStr">
        <is>
          <t>R252-v1</t>
        </is>
      </c>
      <c r="B823" s="12" t="inlineStr">
        <is>
          <t>SCH-02-072</t>
        </is>
      </c>
      <c r="C823" s="12" t="inlineStr">
        <is>
          <t>New</t>
        </is>
      </c>
      <c r="D823" s="12" t="inlineStr">
        <is>
          <t>Record first supplied in this revision</t>
        </is>
      </c>
      <c r="E823" s="12" t="inlineStr"/>
      <c r="F823" s="65" t="inlineStr">
        <is>
          <t>10 EVIDENCE &amp; DECISIONS</t>
        </is>
      </c>
      <c r="G823" s="14" t="n"/>
    </row>
    <row r="824" ht="79" customHeight="1">
      <c r="A824" s="12" t="inlineStr">
        <is>
          <t>R253-v1</t>
        </is>
      </c>
      <c r="B824" s="12" t="inlineStr">
        <is>
          <t>SCH-02-073</t>
        </is>
      </c>
      <c r="C824" s="12" t="inlineStr">
        <is>
          <t>New</t>
        </is>
      </c>
      <c r="D824" s="12" t="inlineStr">
        <is>
          <t>Record first supplied in this revision</t>
        </is>
      </c>
      <c r="E824" s="12" t="inlineStr"/>
      <c r="F824" s="65" t="inlineStr">
        <is>
          <t>10 EVIDENCE &amp; DECISIONS</t>
        </is>
      </c>
      <c r="G824" s="14" t="n"/>
    </row>
    <row r="825" ht="79" customHeight="1">
      <c r="A825" s="12" t="inlineStr">
        <is>
          <t>R254-v1</t>
        </is>
      </c>
      <c r="B825" s="12" t="inlineStr">
        <is>
          <t>SCH-02-074</t>
        </is>
      </c>
      <c r="C825" s="12" t="inlineStr">
        <is>
          <t>New</t>
        </is>
      </c>
      <c r="D825" s="12" t="inlineStr">
        <is>
          <t>Record first supplied in this revision</t>
        </is>
      </c>
      <c r="E825" s="12" t="inlineStr"/>
      <c r="F825" s="65" t="inlineStr">
        <is>
          <t>10 EVIDENCE &amp; DECISIONS</t>
        </is>
      </c>
      <c r="G825" s="14" t="n"/>
    </row>
    <row r="826" ht="79" customHeight="1">
      <c r="A826" s="12" t="inlineStr">
        <is>
          <t>R255-v1</t>
        </is>
      </c>
      <c r="B826" s="12" t="inlineStr">
        <is>
          <t>SCH-02-075</t>
        </is>
      </c>
      <c r="C826" s="12" t="inlineStr">
        <is>
          <t>New</t>
        </is>
      </c>
      <c r="D826" s="12" t="inlineStr">
        <is>
          <t>Record first supplied in this revision</t>
        </is>
      </c>
      <c r="E826" s="12" t="inlineStr"/>
      <c r="F826" s="65" t="inlineStr">
        <is>
          <t>10 EVIDENCE &amp; DECISIONS</t>
        </is>
      </c>
      <c r="G826" s="14" t="n"/>
    </row>
    <row r="827" ht="79" customHeight="1">
      <c r="A827" s="12" t="inlineStr">
        <is>
          <t>R256-v1</t>
        </is>
      </c>
      <c r="B827" s="12" t="inlineStr">
        <is>
          <t>SCH-02-076</t>
        </is>
      </c>
      <c r="C827" s="12" t="inlineStr">
        <is>
          <t>New</t>
        </is>
      </c>
      <c r="D827" s="12" t="inlineStr">
        <is>
          <t>Record first supplied in this revision</t>
        </is>
      </c>
      <c r="E827" s="12" t="inlineStr"/>
      <c r="F827" s="65" t="inlineStr">
        <is>
          <t>10 EVIDENCE &amp; DECISIONS</t>
        </is>
      </c>
      <c r="G827" s="14" t="n"/>
    </row>
    <row r="828" ht="79" customHeight="1">
      <c r="A828" s="12" t="inlineStr">
        <is>
          <t>R257-v1</t>
        </is>
      </c>
      <c r="B828" s="12" t="inlineStr">
        <is>
          <t>SCH-02-077</t>
        </is>
      </c>
      <c r="C828" s="12" t="inlineStr">
        <is>
          <t>New</t>
        </is>
      </c>
      <c r="D828" s="12" t="inlineStr">
        <is>
          <t>Record first supplied in this revision</t>
        </is>
      </c>
      <c r="E828" s="12" t="inlineStr"/>
      <c r="F828" s="65" t="inlineStr">
        <is>
          <t>10 EVIDENCE &amp; DECISIONS</t>
        </is>
      </c>
      <c r="G828" s="14" t="n"/>
    </row>
    <row r="829" ht="79" customHeight="1">
      <c r="A829" s="12" t="inlineStr">
        <is>
          <t>R258-v1</t>
        </is>
      </c>
      <c r="B829" s="12" t="inlineStr">
        <is>
          <t>SCH-02-078</t>
        </is>
      </c>
      <c r="C829" s="12" t="inlineStr">
        <is>
          <t>New</t>
        </is>
      </c>
      <c r="D829" s="12" t="inlineStr">
        <is>
          <t>Record first supplied in this revision</t>
        </is>
      </c>
      <c r="E829" s="12" t="inlineStr"/>
      <c r="F829" s="65" t="inlineStr">
        <is>
          <t>10 EVIDENCE &amp; DECISIONS</t>
        </is>
      </c>
      <c r="G829" s="14" t="n"/>
    </row>
    <row r="830" ht="79" customHeight="1">
      <c r="A830" s="12" t="inlineStr">
        <is>
          <t>R259-v1</t>
        </is>
      </c>
      <c r="B830" s="12" t="inlineStr">
        <is>
          <t>SCH-02-079</t>
        </is>
      </c>
      <c r="C830" s="12" t="inlineStr">
        <is>
          <t>New</t>
        </is>
      </c>
      <c r="D830" s="12" t="inlineStr">
        <is>
          <t>Record first supplied in this revision</t>
        </is>
      </c>
      <c r="E830" s="12" t="inlineStr"/>
      <c r="F830" s="65" t="inlineStr">
        <is>
          <t>10 EVIDENCE &amp; DECISIONS</t>
        </is>
      </c>
      <c r="G830" s="14" t="n"/>
    </row>
    <row r="831" ht="79" customHeight="1">
      <c r="A831" s="12" t="inlineStr">
        <is>
          <t>R260-v1</t>
        </is>
      </c>
      <c r="B831" s="12" t="inlineStr">
        <is>
          <t>SCH-02-080</t>
        </is>
      </c>
      <c r="C831" s="12" t="inlineStr">
        <is>
          <t>New</t>
        </is>
      </c>
      <c r="D831" s="12" t="inlineStr">
        <is>
          <t>Record first supplied in this revision</t>
        </is>
      </c>
      <c r="E831" s="12" t="inlineStr"/>
      <c r="F831" s="65" t="inlineStr">
        <is>
          <t>10 EVIDENCE &amp; DECISIONS</t>
        </is>
      </c>
      <c r="G831" s="14" t="n"/>
    </row>
    <row r="832" ht="79" customHeight="1">
      <c r="A832" s="12" t="inlineStr">
        <is>
          <t>R261-v1</t>
        </is>
      </c>
      <c r="B832" s="12" t="inlineStr">
        <is>
          <t>SCH-02-081</t>
        </is>
      </c>
      <c r="C832" s="12" t="inlineStr">
        <is>
          <t>New</t>
        </is>
      </c>
      <c r="D832" s="12" t="inlineStr">
        <is>
          <t>Record first supplied in this revision</t>
        </is>
      </c>
      <c r="E832" s="12" t="inlineStr"/>
      <c r="F832" s="65" t="inlineStr">
        <is>
          <t>10 EVIDENCE &amp; DECISIONS</t>
        </is>
      </c>
      <c r="G832" s="14" t="n"/>
    </row>
    <row r="833" ht="79" customHeight="1">
      <c r="A833" s="12" t="inlineStr">
        <is>
          <t>R262-v1</t>
        </is>
      </c>
      <c r="B833" s="12" t="inlineStr">
        <is>
          <t>SCH-02-082</t>
        </is>
      </c>
      <c r="C833" s="12" t="inlineStr">
        <is>
          <t>New</t>
        </is>
      </c>
      <c r="D833" s="12" t="inlineStr">
        <is>
          <t>Record first supplied in this revision</t>
        </is>
      </c>
      <c r="E833" s="12" t="inlineStr"/>
      <c r="F833" s="65" t="inlineStr">
        <is>
          <t>10 EVIDENCE &amp; DECISIONS</t>
        </is>
      </c>
      <c r="G833" s="14" t="n"/>
    </row>
    <row r="834" ht="79" customHeight="1">
      <c r="A834" s="12" t="inlineStr">
        <is>
          <t>R263-v1</t>
        </is>
      </c>
      <c r="B834" s="12" t="inlineStr">
        <is>
          <t>SCH-02-083</t>
        </is>
      </c>
      <c r="C834" s="12" t="inlineStr">
        <is>
          <t>New</t>
        </is>
      </c>
      <c r="D834" s="12" t="inlineStr">
        <is>
          <t>Record first supplied in this revision</t>
        </is>
      </c>
      <c r="E834" s="12" t="inlineStr"/>
      <c r="F834" s="65" t="inlineStr">
        <is>
          <t>10 EVIDENCE &amp; DECISIONS</t>
        </is>
      </c>
      <c r="G834" s="14" t="n"/>
    </row>
    <row r="835" ht="79" customHeight="1">
      <c r="A835" s="12" t="inlineStr">
        <is>
          <t>R264-v1</t>
        </is>
      </c>
      <c r="B835" s="12" t="inlineStr">
        <is>
          <t>SCH-02-084</t>
        </is>
      </c>
      <c r="C835" s="12" t="inlineStr">
        <is>
          <t>New</t>
        </is>
      </c>
      <c r="D835" s="12" t="inlineStr">
        <is>
          <t>Record first supplied in this revision</t>
        </is>
      </c>
      <c r="E835" s="12" t="inlineStr"/>
      <c r="F835" s="65" t="inlineStr">
        <is>
          <t>10 EVIDENCE &amp; DECISIONS</t>
        </is>
      </c>
      <c r="G835" s="14" t="n"/>
    </row>
    <row r="836" ht="79" customHeight="1">
      <c r="A836" s="12" t="inlineStr">
        <is>
          <t>R265-v1</t>
        </is>
      </c>
      <c r="B836" s="12" t="inlineStr">
        <is>
          <t>SCH-02-085</t>
        </is>
      </c>
      <c r="C836" s="12" t="inlineStr">
        <is>
          <t>New</t>
        </is>
      </c>
      <c r="D836" s="12" t="inlineStr">
        <is>
          <t>Record first supplied in this revision</t>
        </is>
      </c>
      <c r="E836" s="12" t="inlineStr"/>
      <c r="F836" s="65" t="inlineStr">
        <is>
          <t>10 EVIDENCE &amp; DECISIONS</t>
        </is>
      </c>
      <c r="G836" s="14" t="n"/>
    </row>
    <row r="837" ht="79" customHeight="1">
      <c r="A837" s="12" t="inlineStr">
        <is>
          <t>R266-v1</t>
        </is>
      </c>
      <c r="B837" s="12" t="inlineStr">
        <is>
          <t>SCH-02-086</t>
        </is>
      </c>
      <c r="C837" s="12" t="inlineStr">
        <is>
          <t>New</t>
        </is>
      </c>
      <c r="D837" s="12" t="inlineStr">
        <is>
          <t>Record first supplied in this revision</t>
        </is>
      </c>
      <c r="E837" s="12" t="inlineStr"/>
      <c r="F837" s="65" t="inlineStr">
        <is>
          <t>10 EVIDENCE &amp; DECISIONS</t>
        </is>
      </c>
      <c r="G837" s="14" t="n"/>
    </row>
    <row r="838" ht="79" customHeight="1">
      <c r="A838" s="12" t="inlineStr">
        <is>
          <t>R267-v1</t>
        </is>
      </c>
      <c r="B838" s="12" t="inlineStr">
        <is>
          <t>SCH-02-087</t>
        </is>
      </c>
      <c r="C838" s="12" t="inlineStr">
        <is>
          <t>New</t>
        </is>
      </c>
      <c r="D838" s="12" t="inlineStr">
        <is>
          <t>Record first supplied in this revision</t>
        </is>
      </c>
      <c r="E838" s="12" t="inlineStr"/>
      <c r="F838" s="65" t="inlineStr">
        <is>
          <t>10 EVIDENCE &amp; DECISIONS</t>
        </is>
      </c>
      <c r="G838" s="14" t="n"/>
    </row>
    <row r="839" ht="79" customHeight="1">
      <c r="A839" s="12" t="inlineStr">
        <is>
          <t>R268-v1</t>
        </is>
      </c>
      <c r="B839" s="12" t="inlineStr">
        <is>
          <t>SCH-02-088</t>
        </is>
      </c>
      <c r="C839" s="12" t="inlineStr">
        <is>
          <t>New</t>
        </is>
      </c>
      <c r="D839" s="12" t="inlineStr">
        <is>
          <t>Record first supplied in this revision</t>
        </is>
      </c>
      <c r="E839" s="12" t="inlineStr"/>
      <c r="F839" s="65" t="inlineStr">
        <is>
          <t>10 EVIDENCE &amp; DECISIONS</t>
        </is>
      </c>
      <c r="G839" s="14" t="n"/>
    </row>
    <row r="840" ht="79" customHeight="1">
      <c r="A840" s="12" t="inlineStr">
        <is>
          <t>R269-v1</t>
        </is>
      </c>
      <c r="B840" s="12" t="inlineStr">
        <is>
          <t>SCH-02-089</t>
        </is>
      </c>
      <c r="C840" s="12" t="inlineStr">
        <is>
          <t>New</t>
        </is>
      </c>
      <c r="D840" s="12" t="inlineStr">
        <is>
          <t>Record first supplied in this revision</t>
        </is>
      </c>
      <c r="E840" s="12" t="inlineStr"/>
      <c r="F840" s="65" t="inlineStr">
        <is>
          <t>10 EVIDENCE &amp; DECISIONS</t>
        </is>
      </c>
      <c r="G840" s="14" t="n"/>
    </row>
    <row r="841" ht="79" customHeight="1">
      <c r="A841" s="12" t="inlineStr">
        <is>
          <t>R270-v1</t>
        </is>
      </c>
      <c r="B841" s="12" t="inlineStr">
        <is>
          <t>SCH-02-090</t>
        </is>
      </c>
      <c r="C841" s="12" t="inlineStr">
        <is>
          <t>New</t>
        </is>
      </c>
      <c r="D841" s="12" t="inlineStr">
        <is>
          <t>Record first supplied in this revision</t>
        </is>
      </c>
      <c r="E841" s="12" t="inlineStr"/>
      <c r="F841" s="65" t="inlineStr">
        <is>
          <t>10 EVIDENCE &amp; DECISIONS</t>
        </is>
      </c>
      <c r="G841" s="14" t="n"/>
    </row>
    <row r="842" ht="79" customHeight="1">
      <c r="A842" s="12" t="inlineStr">
        <is>
          <t>R271-v1</t>
        </is>
      </c>
      <c r="B842" s="12" t="inlineStr">
        <is>
          <t>SCH-02-091</t>
        </is>
      </c>
      <c r="C842" s="12" t="inlineStr">
        <is>
          <t>New</t>
        </is>
      </c>
      <c r="D842" s="12" t="inlineStr">
        <is>
          <t>Record first supplied in this revision</t>
        </is>
      </c>
      <c r="E842" s="12" t="inlineStr"/>
      <c r="F842" s="65" t="inlineStr">
        <is>
          <t>10 EVIDENCE &amp; DECISIONS</t>
        </is>
      </c>
      <c r="G842" s="14" t="n"/>
    </row>
    <row r="843" ht="79" customHeight="1">
      <c r="A843" s="12" t="inlineStr">
        <is>
          <t>R272-v1</t>
        </is>
      </c>
      <c r="B843" s="12" t="inlineStr">
        <is>
          <t>SCH-02-092</t>
        </is>
      </c>
      <c r="C843" s="12" t="inlineStr">
        <is>
          <t>New</t>
        </is>
      </c>
      <c r="D843" s="12" t="inlineStr">
        <is>
          <t>Record first supplied in this revision</t>
        </is>
      </c>
      <c r="E843" s="12" t="inlineStr"/>
      <c r="F843" s="65" t="inlineStr">
        <is>
          <t>10 EVIDENCE &amp; DECISIONS</t>
        </is>
      </c>
      <c r="G843" s="14" t="n"/>
    </row>
    <row r="844" ht="79" customHeight="1">
      <c r="A844" s="12" t="inlineStr">
        <is>
          <t>R273-v1</t>
        </is>
      </c>
      <c r="B844" s="12" t="inlineStr">
        <is>
          <t>SCH-02-093</t>
        </is>
      </c>
      <c r="C844" s="12" t="inlineStr">
        <is>
          <t>New</t>
        </is>
      </c>
      <c r="D844" s="12" t="inlineStr">
        <is>
          <t>Record first supplied in this revision</t>
        </is>
      </c>
      <c r="E844" s="12" t="inlineStr"/>
      <c r="F844" s="65" t="inlineStr">
        <is>
          <t>10 EVIDENCE &amp; DECISIONS</t>
        </is>
      </c>
      <c r="G844" s="14" t="n"/>
    </row>
    <row r="845" ht="79" customHeight="1">
      <c r="A845" s="12" t="inlineStr">
        <is>
          <t>R274-v1</t>
        </is>
      </c>
      <c r="B845" s="12" t="inlineStr">
        <is>
          <t>SCH-02-094</t>
        </is>
      </c>
      <c r="C845" s="12" t="inlineStr">
        <is>
          <t>New</t>
        </is>
      </c>
      <c r="D845" s="12" t="inlineStr">
        <is>
          <t>Record first supplied in this revision</t>
        </is>
      </c>
      <c r="E845" s="12" t="inlineStr"/>
      <c r="F845" s="65" t="inlineStr">
        <is>
          <t>10 EVIDENCE &amp; DECISIONS</t>
        </is>
      </c>
      <c r="G845" s="14" t="n"/>
    </row>
    <row r="846" ht="79" customHeight="1">
      <c r="A846" s="12" t="inlineStr">
        <is>
          <t>R275-v1</t>
        </is>
      </c>
      <c r="B846" s="12" t="inlineStr">
        <is>
          <t>SCH-02-095</t>
        </is>
      </c>
      <c r="C846" s="12" t="inlineStr">
        <is>
          <t>New</t>
        </is>
      </c>
      <c r="D846" s="12" t="inlineStr">
        <is>
          <t>Record first supplied in this revision</t>
        </is>
      </c>
      <c r="E846" s="12" t="inlineStr"/>
      <c r="F846" s="65" t="inlineStr">
        <is>
          <t>10 EVIDENCE &amp; DECISIONS</t>
        </is>
      </c>
      <c r="G846" s="14" t="n"/>
    </row>
    <row r="847" ht="79" customHeight="1">
      <c r="A847" s="12" t="inlineStr">
        <is>
          <t>R276-v1</t>
        </is>
      </c>
      <c r="B847" s="12" t="inlineStr">
        <is>
          <t>SCH-02-096</t>
        </is>
      </c>
      <c r="C847" s="12" t="inlineStr">
        <is>
          <t>New</t>
        </is>
      </c>
      <c r="D847" s="12" t="inlineStr">
        <is>
          <t>Record first supplied in this revision</t>
        </is>
      </c>
      <c r="E847" s="12" t="inlineStr"/>
      <c r="F847" s="65" t="inlineStr">
        <is>
          <t>10 EVIDENCE &amp; DECISIONS</t>
        </is>
      </c>
      <c r="G847" s="14" t="n"/>
    </row>
    <row r="848" ht="79" customHeight="1">
      <c r="A848" s="12" t="inlineStr">
        <is>
          <t>R277-v1</t>
        </is>
      </c>
      <c r="B848" s="12" t="inlineStr">
        <is>
          <t>SCH-02-097</t>
        </is>
      </c>
      <c r="C848" s="12" t="inlineStr">
        <is>
          <t>New</t>
        </is>
      </c>
      <c r="D848" s="12" t="inlineStr">
        <is>
          <t>Record first supplied in this revision</t>
        </is>
      </c>
      <c r="E848" s="12" t="inlineStr"/>
      <c r="F848" s="65" t="inlineStr">
        <is>
          <t>10 EVIDENCE &amp; DECISIONS</t>
        </is>
      </c>
      <c r="G848" s="14" t="n"/>
    </row>
    <row r="849" ht="79" customHeight="1">
      <c r="A849" s="12" t="inlineStr">
        <is>
          <t>R278-v1</t>
        </is>
      </c>
      <c r="B849" s="12" t="inlineStr">
        <is>
          <t>SCH-02-098</t>
        </is>
      </c>
      <c r="C849" s="12" t="inlineStr">
        <is>
          <t>New</t>
        </is>
      </c>
      <c r="D849" s="12" t="inlineStr">
        <is>
          <t>Record first supplied in this revision</t>
        </is>
      </c>
      <c r="E849" s="12" t="inlineStr"/>
      <c r="F849" s="65" t="inlineStr">
        <is>
          <t>10 EVIDENCE &amp; DECISIONS</t>
        </is>
      </c>
      <c r="G849" s="14" t="n"/>
    </row>
    <row r="850" ht="79" customHeight="1">
      <c r="A850" s="12" t="inlineStr">
        <is>
          <t>R279-v1</t>
        </is>
      </c>
      <c r="B850" s="12" t="inlineStr">
        <is>
          <t>SCH-02-099</t>
        </is>
      </c>
      <c r="C850" s="12" t="inlineStr">
        <is>
          <t>New</t>
        </is>
      </c>
      <c r="D850" s="12" t="inlineStr">
        <is>
          <t>Record first supplied in this revision</t>
        </is>
      </c>
      <c r="E850" s="12" t="inlineStr"/>
      <c r="F850" s="65" t="inlineStr">
        <is>
          <t>10 EVIDENCE &amp; DECISIONS</t>
        </is>
      </c>
      <c r="G850" s="14" t="n"/>
    </row>
    <row r="851" ht="79" customHeight="1">
      <c r="A851" s="12" t="inlineStr">
        <is>
          <t>R280-v1</t>
        </is>
      </c>
      <c r="B851" s="12" t="inlineStr">
        <is>
          <t>SCH-02-100</t>
        </is>
      </c>
      <c r="C851" s="12" t="inlineStr">
        <is>
          <t>New</t>
        </is>
      </c>
      <c r="D851" s="12" t="inlineStr">
        <is>
          <t>Record first supplied in this revision</t>
        </is>
      </c>
      <c r="E851" s="12" t="inlineStr"/>
      <c r="F851" s="65" t="inlineStr">
        <is>
          <t>10 EVIDENCE &amp; DECISIONS</t>
        </is>
      </c>
      <c r="G851" s="14" t="n"/>
    </row>
    <row r="852" ht="79" customHeight="1">
      <c r="A852" s="12" t="inlineStr">
        <is>
          <t>R281-v1</t>
        </is>
      </c>
      <c r="B852" s="12" t="inlineStr">
        <is>
          <t>SCH-02-101</t>
        </is>
      </c>
      <c r="C852" s="12" t="inlineStr">
        <is>
          <t>New</t>
        </is>
      </c>
      <c r="D852" s="12" t="inlineStr">
        <is>
          <t>Record first supplied in this revision</t>
        </is>
      </c>
      <c r="E852" s="12" t="inlineStr"/>
      <c r="F852" s="65" t="inlineStr">
        <is>
          <t>10 EVIDENCE &amp; DECISIONS</t>
        </is>
      </c>
      <c r="G852" s="14" t="n"/>
    </row>
    <row r="853" ht="79" customHeight="1">
      <c r="A853" s="12" t="inlineStr">
        <is>
          <t>R282-v1</t>
        </is>
      </c>
      <c r="B853" s="12" t="inlineStr">
        <is>
          <t>SCH-02-102</t>
        </is>
      </c>
      <c r="C853" s="12" t="inlineStr">
        <is>
          <t>New</t>
        </is>
      </c>
      <c r="D853" s="12" t="inlineStr">
        <is>
          <t>Record first supplied in this revision</t>
        </is>
      </c>
      <c r="E853" s="12" t="inlineStr"/>
      <c r="F853" s="65" t="inlineStr">
        <is>
          <t>10 EVIDENCE &amp; DECISIONS</t>
        </is>
      </c>
      <c r="G853" s="14" t="n"/>
    </row>
    <row r="854" ht="79" customHeight="1">
      <c r="A854" s="12" t="inlineStr">
        <is>
          <t>R283-v1</t>
        </is>
      </c>
      <c r="B854" s="12" t="inlineStr">
        <is>
          <t>SCH-02-103</t>
        </is>
      </c>
      <c r="C854" s="12" t="inlineStr">
        <is>
          <t>New</t>
        </is>
      </c>
      <c r="D854" s="12" t="inlineStr">
        <is>
          <t>Record first supplied in this revision</t>
        </is>
      </c>
      <c r="E854" s="12" t="inlineStr"/>
      <c r="F854" s="65" t="inlineStr">
        <is>
          <t>10 EVIDENCE &amp; DECISIONS</t>
        </is>
      </c>
      <c r="G854" s="14" t="n"/>
    </row>
    <row r="855" ht="79" customHeight="1">
      <c r="A855" s="12" t="inlineStr">
        <is>
          <t>R284-v1</t>
        </is>
      </c>
      <c r="B855" s="12" t="inlineStr">
        <is>
          <t>SCH-02-104</t>
        </is>
      </c>
      <c r="C855" s="12" t="inlineStr">
        <is>
          <t>New</t>
        </is>
      </c>
      <c r="D855" s="12" t="inlineStr">
        <is>
          <t>Record first supplied in this revision</t>
        </is>
      </c>
      <c r="E855" s="12" t="inlineStr"/>
      <c r="F855" s="65" t="inlineStr">
        <is>
          <t>10 EVIDENCE &amp; DECISIONS</t>
        </is>
      </c>
      <c r="G855" s="14" t="n"/>
    </row>
    <row r="856" ht="79" customHeight="1">
      <c r="A856" s="12" t="inlineStr">
        <is>
          <t>R285-v1</t>
        </is>
      </c>
      <c r="B856" s="12" t="inlineStr">
        <is>
          <t>SCH-02-105</t>
        </is>
      </c>
      <c r="C856" s="12" t="inlineStr">
        <is>
          <t>New</t>
        </is>
      </c>
      <c r="D856" s="12" t="inlineStr">
        <is>
          <t>Record first supplied in this revision</t>
        </is>
      </c>
      <c r="E856" s="12" t="inlineStr"/>
      <c r="F856" s="65" t="inlineStr">
        <is>
          <t>10 EVIDENCE &amp; DECISIONS</t>
        </is>
      </c>
      <c r="G856" s="14" t="n"/>
    </row>
    <row r="857" ht="79" customHeight="1">
      <c r="A857" s="12" t="inlineStr">
        <is>
          <t>R286-v1</t>
        </is>
      </c>
      <c r="B857" s="12" t="inlineStr">
        <is>
          <t>SCH-02-106</t>
        </is>
      </c>
      <c r="C857" s="12" t="inlineStr">
        <is>
          <t>New</t>
        </is>
      </c>
      <c r="D857" s="12" t="inlineStr">
        <is>
          <t>Record first supplied in this revision</t>
        </is>
      </c>
      <c r="E857" s="12" t="inlineStr"/>
      <c r="F857" s="65" t="inlineStr">
        <is>
          <t>10 EVIDENCE &amp; DECISIONS</t>
        </is>
      </c>
      <c r="G857" s="14" t="n"/>
    </row>
    <row r="858" ht="79" customHeight="1">
      <c r="A858" s="12" t="inlineStr">
        <is>
          <t>R287-v1</t>
        </is>
      </c>
      <c r="B858" s="12" t="inlineStr">
        <is>
          <t>SCH-02-107</t>
        </is>
      </c>
      <c r="C858" s="12" t="inlineStr">
        <is>
          <t>New</t>
        </is>
      </c>
      <c r="D858" s="12" t="inlineStr">
        <is>
          <t>Record first supplied in this revision</t>
        </is>
      </c>
      <c r="E858" s="12" t="inlineStr"/>
      <c r="F858" s="65" t="inlineStr">
        <is>
          <t>10 EVIDENCE &amp; DECISIONS</t>
        </is>
      </c>
      <c r="G858" s="14" t="n"/>
    </row>
    <row r="859" ht="79" customHeight="1">
      <c r="A859" s="12" t="inlineStr">
        <is>
          <t>R288-v1</t>
        </is>
      </c>
      <c r="B859" s="12" t="inlineStr">
        <is>
          <t>SCH-02-108</t>
        </is>
      </c>
      <c r="C859" s="12" t="inlineStr">
        <is>
          <t>New</t>
        </is>
      </c>
      <c r="D859" s="12" t="inlineStr">
        <is>
          <t>Record first supplied in this revision</t>
        </is>
      </c>
      <c r="E859" s="12" t="inlineStr"/>
      <c r="F859" s="65" t="inlineStr">
        <is>
          <t>10 EVIDENCE &amp; DECISIONS</t>
        </is>
      </c>
      <c r="G859" s="14" t="n"/>
    </row>
    <row r="860" ht="79" customHeight="1">
      <c r="A860" s="12" t="inlineStr">
        <is>
          <t>R289-v1</t>
        </is>
      </c>
      <c r="B860" s="12" t="inlineStr">
        <is>
          <t>SCH-02-109</t>
        </is>
      </c>
      <c r="C860" s="12" t="inlineStr">
        <is>
          <t>New</t>
        </is>
      </c>
      <c r="D860" s="12" t="inlineStr">
        <is>
          <t>Record first supplied in this revision</t>
        </is>
      </c>
      <c r="E860" s="12" t="inlineStr"/>
      <c r="F860" s="65" t="inlineStr">
        <is>
          <t>10 EVIDENCE &amp; DECISIONS</t>
        </is>
      </c>
      <c r="G860" s="14" t="n"/>
    </row>
    <row r="861" ht="79" customHeight="1">
      <c r="A861" s="12" t="inlineStr">
        <is>
          <t>R290-v1</t>
        </is>
      </c>
      <c r="B861" s="12" t="inlineStr">
        <is>
          <t>SCH-02-110</t>
        </is>
      </c>
      <c r="C861" s="12" t="inlineStr">
        <is>
          <t>New</t>
        </is>
      </c>
      <c r="D861" s="12" t="inlineStr">
        <is>
          <t>Record first supplied in this revision</t>
        </is>
      </c>
      <c r="E861" s="12" t="inlineStr"/>
      <c r="F861" s="65" t="inlineStr">
        <is>
          <t>10 EVIDENCE &amp; DECISIONS</t>
        </is>
      </c>
      <c r="G861" s="14" t="n"/>
    </row>
    <row r="862" ht="79" customHeight="1">
      <c r="A862" s="12" t="inlineStr">
        <is>
          <t>R291-v1</t>
        </is>
      </c>
      <c r="B862" s="12" t="inlineStr">
        <is>
          <t>SCH-02-111</t>
        </is>
      </c>
      <c r="C862" s="12" t="inlineStr">
        <is>
          <t>New</t>
        </is>
      </c>
      <c r="D862" s="12" t="inlineStr">
        <is>
          <t>Record first supplied in this revision</t>
        </is>
      </c>
      <c r="E862" s="12" t="inlineStr"/>
      <c r="F862" s="65" t="inlineStr">
        <is>
          <t>10 EVIDENCE &amp; DECISIONS</t>
        </is>
      </c>
      <c r="G862" s="14" t="n"/>
    </row>
    <row r="863" ht="79" customHeight="1">
      <c r="A863" s="12" t="inlineStr">
        <is>
          <t>R292-v1</t>
        </is>
      </c>
      <c r="B863" s="12" t="inlineStr">
        <is>
          <t>SCH-02-112</t>
        </is>
      </c>
      <c r="C863" s="12" t="inlineStr">
        <is>
          <t>New</t>
        </is>
      </c>
      <c r="D863" s="12" t="inlineStr">
        <is>
          <t>Record first supplied in this revision</t>
        </is>
      </c>
      <c r="E863" s="12" t="inlineStr"/>
      <c r="F863" s="65" t="inlineStr">
        <is>
          <t>10 EVIDENCE &amp; DECISIONS</t>
        </is>
      </c>
      <c r="G863" s="14" t="n"/>
    </row>
    <row r="864" ht="79" customHeight="1">
      <c r="A864" s="12" t="inlineStr">
        <is>
          <t>R293-v1</t>
        </is>
      </c>
      <c r="B864" s="12" t="inlineStr">
        <is>
          <t>SCH-02-113</t>
        </is>
      </c>
      <c r="C864" s="12" t="inlineStr">
        <is>
          <t>New</t>
        </is>
      </c>
      <c r="D864" s="12" t="inlineStr">
        <is>
          <t>Record first supplied in this revision</t>
        </is>
      </c>
      <c r="E864" s="12" t="inlineStr"/>
      <c r="F864" s="65" t="inlineStr">
        <is>
          <t>10 EVIDENCE &amp; DECISIONS</t>
        </is>
      </c>
      <c r="G864" s="14" t="n"/>
    </row>
    <row r="865" ht="79" customHeight="1">
      <c r="A865" s="12" t="inlineStr">
        <is>
          <t>R294-v1</t>
        </is>
      </c>
      <c r="B865" s="12" t="inlineStr">
        <is>
          <t>SCH-02-114</t>
        </is>
      </c>
      <c r="C865" s="12" t="inlineStr">
        <is>
          <t>New</t>
        </is>
      </c>
      <c r="D865" s="12" t="inlineStr">
        <is>
          <t>Record first supplied in this revision</t>
        </is>
      </c>
      <c r="E865" s="12" t="inlineStr"/>
      <c r="F865" s="65" t="inlineStr">
        <is>
          <t>10 EVIDENCE &amp; DECISIONS</t>
        </is>
      </c>
      <c r="G865" s="14" t="n"/>
    </row>
    <row r="866" ht="79" customHeight="1">
      <c r="A866" s="12" t="inlineStr">
        <is>
          <t>R295-v1</t>
        </is>
      </c>
      <c r="B866" s="12" t="inlineStr">
        <is>
          <t>SCH-02-115</t>
        </is>
      </c>
      <c r="C866" s="12" t="inlineStr">
        <is>
          <t>New</t>
        </is>
      </c>
      <c r="D866" s="12" t="inlineStr">
        <is>
          <t>Record first supplied in this revision</t>
        </is>
      </c>
      <c r="E866" s="12" t="inlineStr"/>
      <c r="F866" s="65" t="inlineStr">
        <is>
          <t>10 EVIDENCE &amp; DECISIONS</t>
        </is>
      </c>
      <c r="G866" s="14" t="n"/>
    </row>
    <row r="867" ht="79" customHeight="1">
      <c r="A867" s="12" t="inlineStr">
        <is>
          <t>R296-v1</t>
        </is>
      </c>
      <c r="B867" s="12" t="inlineStr">
        <is>
          <t>SCH-02-116</t>
        </is>
      </c>
      <c r="C867" s="12" t="inlineStr">
        <is>
          <t>New</t>
        </is>
      </c>
      <c r="D867" s="12" t="inlineStr">
        <is>
          <t>Record first supplied in this revision</t>
        </is>
      </c>
      <c r="E867" s="12" t="inlineStr"/>
      <c r="F867" s="65" t="inlineStr">
        <is>
          <t>10 EVIDENCE &amp; DECISIONS</t>
        </is>
      </c>
      <c r="G867" s="14" t="n"/>
    </row>
    <row r="868" ht="79" customHeight="1">
      <c r="A868" s="12" t="inlineStr">
        <is>
          <t>R297-v1</t>
        </is>
      </c>
      <c r="B868" s="12" t="inlineStr">
        <is>
          <t>SCH-02-117</t>
        </is>
      </c>
      <c r="C868" s="12" t="inlineStr">
        <is>
          <t>New</t>
        </is>
      </c>
      <c r="D868" s="12" t="inlineStr">
        <is>
          <t>Record first supplied in this revision</t>
        </is>
      </c>
      <c r="E868" s="12" t="inlineStr"/>
      <c r="F868" s="65" t="inlineStr">
        <is>
          <t>10 EVIDENCE &amp; DECISIONS</t>
        </is>
      </c>
      <c r="G868" s="14" t="n"/>
    </row>
    <row r="869" ht="79" customHeight="1">
      <c r="A869" s="12" t="inlineStr">
        <is>
          <t>R298-v1</t>
        </is>
      </c>
      <c r="B869" s="12" t="inlineStr">
        <is>
          <t>SCH-02-118</t>
        </is>
      </c>
      <c r="C869" s="12" t="inlineStr">
        <is>
          <t>New</t>
        </is>
      </c>
      <c r="D869" s="12" t="inlineStr">
        <is>
          <t>Record first supplied in this revision</t>
        </is>
      </c>
      <c r="E869" s="12" t="inlineStr"/>
      <c r="F869" s="65" t="inlineStr">
        <is>
          <t>10 EVIDENCE &amp; DECISIONS</t>
        </is>
      </c>
      <c r="G869" s="14" t="n"/>
    </row>
    <row r="870" ht="79" customHeight="1">
      <c r="A870" s="12" t="inlineStr">
        <is>
          <t>R299-v1</t>
        </is>
      </c>
      <c r="B870" s="12" t="inlineStr">
        <is>
          <t>SCH-02-119</t>
        </is>
      </c>
      <c r="C870" s="12" t="inlineStr">
        <is>
          <t>New</t>
        </is>
      </c>
      <c r="D870" s="12" t="inlineStr">
        <is>
          <t>Record first supplied in this revision</t>
        </is>
      </c>
      <c r="E870" s="12" t="inlineStr"/>
      <c r="F870" s="65" t="inlineStr">
        <is>
          <t>10 EVIDENCE &amp; DECISIONS</t>
        </is>
      </c>
      <c r="G870" s="14" t="n"/>
    </row>
    <row r="871" ht="79" customHeight="1">
      <c r="A871" s="12" t="inlineStr">
        <is>
          <t>R300-v1</t>
        </is>
      </c>
      <c r="B871" s="12" t="inlineStr">
        <is>
          <t>SCH-02-120</t>
        </is>
      </c>
      <c r="C871" s="12" t="inlineStr">
        <is>
          <t>New</t>
        </is>
      </c>
      <c r="D871" s="12" t="inlineStr">
        <is>
          <t>Record first supplied in this revision</t>
        </is>
      </c>
      <c r="E871" s="12" t="inlineStr"/>
      <c r="F871" s="65" t="inlineStr">
        <is>
          <t>10 EVIDENCE &amp; DECISIONS</t>
        </is>
      </c>
      <c r="G871" s="14" t="n"/>
    </row>
    <row r="872" ht="79" customHeight="1">
      <c r="A872" s="12" t="inlineStr">
        <is>
          <t>R301-v1</t>
        </is>
      </c>
      <c r="B872" s="12" t="inlineStr">
        <is>
          <t>SCH-02-121</t>
        </is>
      </c>
      <c r="C872" s="12" t="inlineStr">
        <is>
          <t>New</t>
        </is>
      </c>
      <c r="D872" s="12" t="inlineStr">
        <is>
          <t>Record first supplied in this revision</t>
        </is>
      </c>
      <c r="E872" s="12" t="inlineStr"/>
      <c r="F872" s="65" t="inlineStr">
        <is>
          <t>10 EVIDENCE &amp; DECISIONS</t>
        </is>
      </c>
      <c r="G872" s="14" t="n"/>
    </row>
    <row r="873" ht="79" customHeight="1">
      <c r="A873" s="12" t="inlineStr">
        <is>
          <t>R302-v1</t>
        </is>
      </c>
      <c r="B873" s="12" t="inlineStr">
        <is>
          <t>SCH-02-122</t>
        </is>
      </c>
      <c r="C873" s="12" t="inlineStr">
        <is>
          <t>New</t>
        </is>
      </c>
      <c r="D873" s="12" t="inlineStr">
        <is>
          <t>Record first supplied in this revision</t>
        </is>
      </c>
      <c r="E873" s="12" t="inlineStr"/>
      <c r="F873" s="65" t="inlineStr">
        <is>
          <t>10 EVIDENCE &amp; DECISIONS</t>
        </is>
      </c>
      <c r="G873" s="14" t="n"/>
    </row>
    <row r="874" ht="79" customHeight="1">
      <c r="A874" s="12" t="inlineStr">
        <is>
          <t>R303-v1</t>
        </is>
      </c>
      <c r="B874" s="12" t="inlineStr">
        <is>
          <t>SCH-02-123</t>
        </is>
      </c>
      <c r="C874" s="12" t="inlineStr">
        <is>
          <t>New</t>
        </is>
      </c>
      <c r="D874" s="12" t="inlineStr">
        <is>
          <t>Record first supplied in this revision</t>
        </is>
      </c>
      <c r="E874" s="12" t="inlineStr"/>
      <c r="F874" s="65" t="inlineStr">
        <is>
          <t>10 EVIDENCE &amp; DECISIONS</t>
        </is>
      </c>
      <c r="G874" s="14" t="n"/>
    </row>
    <row r="875" ht="79" customHeight="1">
      <c r="A875" s="12" t="inlineStr">
        <is>
          <t>R304-v1</t>
        </is>
      </c>
      <c r="B875" s="12" t="inlineStr">
        <is>
          <t>SCH-02-124</t>
        </is>
      </c>
      <c r="C875" s="12" t="inlineStr">
        <is>
          <t>New</t>
        </is>
      </c>
      <c r="D875" s="12" t="inlineStr">
        <is>
          <t>Record first supplied in this revision</t>
        </is>
      </c>
      <c r="E875" s="12" t="inlineStr"/>
      <c r="F875" s="65" t="inlineStr">
        <is>
          <t>10 EVIDENCE &amp; DECISIONS</t>
        </is>
      </c>
      <c r="G875" s="14" t="n"/>
    </row>
    <row r="876" ht="79" customHeight="1">
      <c r="A876" s="12" t="inlineStr">
        <is>
          <t>R305-v1</t>
        </is>
      </c>
      <c r="B876" s="12" t="inlineStr">
        <is>
          <t>SCH-02-125</t>
        </is>
      </c>
      <c r="C876" s="12" t="inlineStr">
        <is>
          <t>New</t>
        </is>
      </c>
      <c r="D876" s="12" t="inlineStr">
        <is>
          <t>Record first supplied in this revision</t>
        </is>
      </c>
      <c r="E876" s="12" t="inlineStr"/>
      <c r="F876" s="65" t="inlineStr">
        <is>
          <t>10 EVIDENCE &amp; DECISIONS</t>
        </is>
      </c>
      <c r="G876" s="14" t="n"/>
    </row>
    <row r="877" ht="79" customHeight="1">
      <c r="A877" s="12" t="inlineStr">
        <is>
          <t>R306-v1</t>
        </is>
      </c>
      <c r="B877" s="12" t="inlineStr">
        <is>
          <t>SCH-02-126</t>
        </is>
      </c>
      <c r="C877" s="12" t="inlineStr">
        <is>
          <t>New</t>
        </is>
      </c>
      <c r="D877" s="12" t="inlineStr">
        <is>
          <t>Record first supplied in this revision</t>
        </is>
      </c>
      <c r="E877" s="12" t="inlineStr"/>
      <c r="F877" s="65" t="inlineStr">
        <is>
          <t>10 EVIDENCE &amp; DECISIONS</t>
        </is>
      </c>
      <c r="G877" s="14" t="n"/>
    </row>
    <row r="878" ht="79" customHeight="1">
      <c r="A878" s="12" t="inlineStr">
        <is>
          <t>R307-v1</t>
        </is>
      </c>
      <c r="B878" s="12" t="inlineStr">
        <is>
          <t>SCH-02-127</t>
        </is>
      </c>
      <c r="C878" s="12" t="inlineStr">
        <is>
          <t>New</t>
        </is>
      </c>
      <c r="D878" s="12" t="inlineStr">
        <is>
          <t>Record first supplied in this revision</t>
        </is>
      </c>
      <c r="E878" s="12" t="inlineStr"/>
      <c r="F878" s="65" t="inlineStr">
        <is>
          <t>10 EVIDENCE &amp; DECISIONS</t>
        </is>
      </c>
      <c r="G878" s="14" t="n"/>
    </row>
    <row r="879" ht="79" customHeight="1">
      <c r="A879" s="12" t="inlineStr">
        <is>
          <t>R308-v1</t>
        </is>
      </c>
      <c r="B879" s="12" t="inlineStr">
        <is>
          <t>SCH-02-128</t>
        </is>
      </c>
      <c r="C879" s="12" t="inlineStr">
        <is>
          <t>New</t>
        </is>
      </c>
      <c r="D879" s="12" t="inlineStr">
        <is>
          <t>Record first supplied in this revision</t>
        </is>
      </c>
      <c r="E879" s="12" t="inlineStr"/>
      <c r="F879" s="65" t="inlineStr">
        <is>
          <t>10 EVIDENCE &amp; DECISIONS</t>
        </is>
      </c>
      <c r="G879" s="14" t="n"/>
    </row>
    <row r="880" ht="79" customHeight="1">
      <c r="A880" s="12" t="inlineStr">
        <is>
          <t>R309-v1</t>
        </is>
      </c>
      <c r="B880" s="12" t="inlineStr">
        <is>
          <t>SCH-02-129</t>
        </is>
      </c>
      <c r="C880" s="12" t="inlineStr">
        <is>
          <t>New</t>
        </is>
      </c>
      <c r="D880" s="12" t="inlineStr">
        <is>
          <t>Record first supplied in this revision</t>
        </is>
      </c>
      <c r="E880" s="12" t="inlineStr"/>
      <c r="F880" s="65" t="inlineStr">
        <is>
          <t>10 EVIDENCE &amp; DECISIONS</t>
        </is>
      </c>
      <c r="G880" s="14" t="n"/>
    </row>
    <row r="881" ht="79" customHeight="1">
      <c r="A881" s="12" t="inlineStr">
        <is>
          <t>R310-v1</t>
        </is>
      </c>
      <c r="B881" s="12" t="inlineStr">
        <is>
          <t>SCH-02-130</t>
        </is>
      </c>
      <c r="C881" s="12" t="inlineStr">
        <is>
          <t>New</t>
        </is>
      </c>
      <c r="D881" s="12" t="inlineStr">
        <is>
          <t>Record first supplied in this revision</t>
        </is>
      </c>
      <c r="E881" s="12" t="inlineStr"/>
      <c r="F881" s="65" t="inlineStr">
        <is>
          <t>10 EVIDENCE &amp; DECISIONS</t>
        </is>
      </c>
      <c r="G881" s="14" t="n"/>
    </row>
    <row r="882" ht="79" customHeight="1">
      <c r="A882" s="12" t="inlineStr">
        <is>
          <t>R311-v1</t>
        </is>
      </c>
      <c r="B882" s="12" t="inlineStr">
        <is>
          <t>SCH-02-131</t>
        </is>
      </c>
      <c r="C882" s="12" t="inlineStr">
        <is>
          <t>New</t>
        </is>
      </c>
      <c r="D882" s="12" t="inlineStr">
        <is>
          <t>Record first supplied in this revision</t>
        </is>
      </c>
      <c r="E882" s="12" t="inlineStr"/>
      <c r="F882" s="65" t="inlineStr">
        <is>
          <t>10 EVIDENCE &amp; DECISIONS</t>
        </is>
      </c>
      <c r="G882" s="14" t="n"/>
    </row>
    <row r="883" ht="79" customHeight="1">
      <c r="A883" s="12" t="inlineStr">
        <is>
          <t>R312-v1</t>
        </is>
      </c>
      <c r="B883" s="12" t="inlineStr">
        <is>
          <t>SCH-02-132</t>
        </is>
      </c>
      <c r="C883" s="12" t="inlineStr">
        <is>
          <t>New</t>
        </is>
      </c>
      <c r="D883" s="12" t="inlineStr">
        <is>
          <t>Record first supplied in this revision</t>
        </is>
      </c>
      <c r="E883" s="12" t="inlineStr"/>
      <c r="F883" s="65" t="inlineStr">
        <is>
          <t>10 EVIDENCE &amp; DECISIONS</t>
        </is>
      </c>
      <c r="G883" s="14" t="n"/>
    </row>
    <row r="884" ht="79" customHeight="1">
      <c r="A884" s="12" t="inlineStr">
        <is>
          <t>R313-v1</t>
        </is>
      </c>
      <c r="B884" s="12" t="inlineStr">
        <is>
          <t>SCH-02-133</t>
        </is>
      </c>
      <c r="C884" s="12" t="inlineStr">
        <is>
          <t>New</t>
        </is>
      </c>
      <c r="D884" s="12" t="inlineStr">
        <is>
          <t>Record first supplied in this revision</t>
        </is>
      </c>
      <c r="E884" s="12" t="inlineStr"/>
      <c r="F884" s="65" t="inlineStr">
        <is>
          <t>10 EVIDENCE &amp; DECISIONS</t>
        </is>
      </c>
      <c r="G884" s="14" t="n"/>
    </row>
    <row r="885" ht="79" customHeight="1">
      <c r="A885" s="12" t="inlineStr">
        <is>
          <t>R314-v1</t>
        </is>
      </c>
      <c r="B885" s="12" t="inlineStr">
        <is>
          <t>SCH-02-134</t>
        </is>
      </c>
      <c r="C885" s="12" t="inlineStr">
        <is>
          <t>New</t>
        </is>
      </c>
      <c r="D885" s="12" t="inlineStr">
        <is>
          <t>Record first supplied in this revision</t>
        </is>
      </c>
      <c r="E885" s="12" t="inlineStr"/>
      <c r="F885" s="65" t="inlineStr">
        <is>
          <t>10 EVIDENCE &amp; DECISIONS</t>
        </is>
      </c>
      <c r="G885" s="14" t="n"/>
    </row>
    <row r="886" ht="79" customHeight="1">
      <c r="A886" s="12" t="inlineStr">
        <is>
          <t>R315-v1</t>
        </is>
      </c>
      <c r="B886" s="12" t="inlineStr">
        <is>
          <t>SCH-02-135</t>
        </is>
      </c>
      <c r="C886" s="12" t="inlineStr">
        <is>
          <t>New</t>
        </is>
      </c>
      <c r="D886" s="12" t="inlineStr">
        <is>
          <t>Record first supplied in this revision</t>
        </is>
      </c>
      <c r="E886" s="12" t="inlineStr"/>
      <c r="F886" s="65" t="inlineStr">
        <is>
          <t>10 EVIDENCE &amp; DECISIONS</t>
        </is>
      </c>
      <c r="G886" s="14" t="n"/>
    </row>
    <row r="887" ht="79" customHeight="1">
      <c r="A887" s="12" t="inlineStr">
        <is>
          <t>R316-v1</t>
        </is>
      </c>
      <c r="B887" s="12" t="inlineStr">
        <is>
          <t>SCH-02-136</t>
        </is>
      </c>
      <c r="C887" s="12" t="inlineStr">
        <is>
          <t>New</t>
        </is>
      </c>
      <c r="D887" s="12" t="inlineStr">
        <is>
          <t>Record first supplied in this revision</t>
        </is>
      </c>
      <c r="E887" s="12" t="inlineStr"/>
      <c r="F887" s="65" t="inlineStr">
        <is>
          <t>10 EVIDENCE &amp; DECISIONS</t>
        </is>
      </c>
      <c r="G887" s="14" t="n"/>
    </row>
    <row r="888" ht="79" customHeight="1">
      <c r="A888" s="12" t="inlineStr">
        <is>
          <t>R317-v1</t>
        </is>
      </c>
      <c r="B888" s="12" t="inlineStr">
        <is>
          <t>SCH-02-137</t>
        </is>
      </c>
      <c r="C888" s="12" t="inlineStr">
        <is>
          <t>New</t>
        </is>
      </c>
      <c r="D888" s="12" t="inlineStr">
        <is>
          <t>Record first supplied in this revision</t>
        </is>
      </c>
      <c r="E888" s="12" t="inlineStr"/>
      <c r="F888" s="65" t="inlineStr">
        <is>
          <t>10 EVIDENCE &amp; DECISIONS</t>
        </is>
      </c>
      <c r="G888" s="14" t="n"/>
    </row>
    <row r="889" ht="79" customHeight="1">
      <c r="A889" s="12" t="inlineStr">
        <is>
          <t>R318-v1</t>
        </is>
      </c>
      <c r="B889" s="12" t="inlineStr">
        <is>
          <t>SCH-02-138</t>
        </is>
      </c>
      <c r="C889" s="12" t="inlineStr">
        <is>
          <t>New</t>
        </is>
      </c>
      <c r="D889" s="12" t="inlineStr">
        <is>
          <t>Record first supplied in this revision</t>
        </is>
      </c>
      <c r="E889" s="12" t="inlineStr"/>
      <c r="F889" s="65" t="inlineStr">
        <is>
          <t>10 EVIDENCE &amp; DECISIONS</t>
        </is>
      </c>
      <c r="G889" s="14" t="n"/>
    </row>
    <row r="890" ht="79" customHeight="1">
      <c r="A890" s="12" t="inlineStr">
        <is>
          <t>R319-v1</t>
        </is>
      </c>
      <c r="B890" s="12" t="inlineStr">
        <is>
          <t>SCH-02-139</t>
        </is>
      </c>
      <c r="C890" s="12" t="inlineStr">
        <is>
          <t>New</t>
        </is>
      </c>
      <c r="D890" s="12" t="inlineStr">
        <is>
          <t>Record first supplied in this revision</t>
        </is>
      </c>
      <c r="E890" s="12" t="inlineStr"/>
      <c r="F890" s="65" t="inlineStr">
        <is>
          <t>10 EVIDENCE &amp; DECISIONS</t>
        </is>
      </c>
      <c r="G890" s="14" t="n"/>
    </row>
    <row r="891" ht="79" customHeight="1">
      <c r="A891" s="12" t="inlineStr">
        <is>
          <t>R320-v1</t>
        </is>
      </c>
      <c r="B891" s="12" t="inlineStr">
        <is>
          <t>SCH-02-140</t>
        </is>
      </c>
      <c r="C891" s="12" t="inlineStr">
        <is>
          <t>New</t>
        </is>
      </c>
      <c r="D891" s="12" t="inlineStr">
        <is>
          <t>Record first supplied in this revision</t>
        </is>
      </c>
      <c r="E891" s="12" t="inlineStr"/>
      <c r="F891" s="65" t="inlineStr">
        <is>
          <t>10 EVIDENCE &amp; DECISIONS</t>
        </is>
      </c>
      <c r="G891" s="14" t="n"/>
    </row>
    <row r="892" ht="79" customHeight="1">
      <c r="A892" s="12" t="inlineStr">
        <is>
          <t>R321-v1</t>
        </is>
      </c>
      <c r="B892" s="12" t="inlineStr">
        <is>
          <t>SCH-02-141</t>
        </is>
      </c>
      <c r="C892" s="12" t="inlineStr">
        <is>
          <t>New</t>
        </is>
      </c>
      <c r="D892" s="12" t="inlineStr">
        <is>
          <t>Record first supplied in this revision</t>
        </is>
      </c>
      <c r="E892" s="12" t="inlineStr"/>
      <c r="F892" s="65" t="inlineStr">
        <is>
          <t>10 EVIDENCE &amp; DECISIONS</t>
        </is>
      </c>
      <c r="G892" s="14" t="n"/>
    </row>
    <row r="893" ht="79" customHeight="1">
      <c r="A893" s="12" t="inlineStr">
        <is>
          <t>R322-v1</t>
        </is>
      </c>
      <c r="B893" s="12" t="inlineStr">
        <is>
          <t>SCH-02-142</t>
        </is>
      </c>
      <c r="C893" s="12" t="inlineStr">
        <is>
          <t>New</t>
        </is>
      </c>
      <c r="D893" s="12" t="inlineStr">
        <is>
          <t>Record first supplied in this revision</t>
        </is>
      </c>
      <c r="E893" s="12" t="inlineStr"/>
      <c r="F893" s="65" t="inlineStr">
        <is>
          <t>10 EVIDENCE &amp; DECISIONS</t>
        </is>
      </c>
      <c r="G893" s="14" t="n"/>
    </row>
    <row r="894" ht="79" customHeight="1">
      <c r="A894" s="12" t="inlineStr">
        <is>
          <t>R323-v1</t>
        </is>
      </c>
      <c r="B894" s="12" t="inlineStr">
        <is>
          <t>SCH-02-143</t>
        </is>
      </c>
      <c r="C894" s="12" t="inlineStr">
        <is>
          <t>New</t>
        </is>
      </c>
      <c r="D894" s="12" t="inlineStr">
        <is>
          <t>Record first supplied in this revision</t>
        </is>
      </c>
      <c r="E894" s="12" t="inlineStr"/>
      <c r="F894" s="65" t="inlineStr">
        <is>
          <t>10 EVIDENCE &amp; DECISIONS</t>
        </is>
      </c>
      <c r="G894" s="14" t="n"/>
    </row>
    <row r="895" ht="79" customHeight="1">
      <c r="A895" s="12" t="inlineStr">
        <is>
          <t>R324-v1</t>
        </is>
      </c>
      <c r="B895" s="12" t="inlineStr">
        <is>
          <t>SCH-02-144</t>
        </is>
      </c>
      <c r="C895" s="12" t="inlineStr">
        <is>
          <t>New</t>
        </is>
      </c>
      <c r="D895" s="12" t="inlineStr">
        <is>
          <t>Record first supplied in this revision</t>
        </is>
      </c>
      <c r="E895" s="12" t="inlineStr"/>
      <c r="F895" s="65" t="inlineStr">
        <is>
          <t>10 EVIDENCE &amp; DECISIONS</t>
        </is>
      </c>
      <c r="G895" s="14" t="n"/>
    </row>
    <row r="896" ht="79" customHeight="1">
      <c r="A896" s="12" t="inlineStr">
        <is>
          <t>R325-v1</t>
        </is>
      </c>
      <c r="B896" s="12" t="inlineStr">
        <is>
          <t>SCH-02-145</t>
        </is>
      </c>
      <c r="C896" s="12" t="inlineStr">
        <is>
          <t>New</t>
        </is>
      </c>
      <c r="D896" s="12" t="inlineStr">
        <is>
          <t>Record first supplied in this revision</t>
        </is>
      </c>
      <c r="E896" s="12" t="inlineStr"/>
      <c r="F896" s="65" t="inlineStr">
        <is>
          <t>10 EVIDENCE &amp; DECISIONS</t>
        </is>
      </c>
      <c r="G896" s="14" t="n"/>
    </row>
    <row r="897" ht="79" customHeight="1">
      <c r="A897" s="12" t="inlineStr">
        <is>
          <t>R326-v1</t>
        </is>
      </c>
      <c r="B897" s="12" t="inlineStr">
        <is>
          <t>SCH-02-146</t>
        </is>
      </c>
      <c r="C897" s="12" t="inlineStr">
        <is>
          <t>New</t>
        </is>
      </c>
      <c r="D897" s="12" t="inlineStr">
        <is>
          <t>Record first supplied in this revision</t>
        </is>
      </c>
      <c r="E897" s="12" t="inlineStr"/>
      <c r="F897" s="65" t="inlineStr">
        <is>
          <t>10 EVIDENCE &amp; DECISIONS</t>
        </is>
      </c>
      <c r="G897" s="14" t="n"/>
    </row>
    <row r="898" ht="79" customHeight="1">
      <c r="A898" s="12" t="inlineStr">
        <is>
          <t>R327-v1</t>
        </is>
      </c>
      <c r="B898" s="12" t="inlineStr">
        <is>
          <t>SCH-02-147</t>
        </is>
      </c>
      <c r="C898" s="12" t="inlineStr">
        <is>
          <t>New</t>
        </is>
      </c>
      <c r="D898" s="12" t="inlineStr">
        <is>
          <t>Record first supplied in this revision</t>
        </is>
      </c>
      <c r="E898" s="12" t="inlineStr"/>
      <c r="F898" s="65" t="inlineStr">
        <is>
          <t>10 EVIDENCE &amp; DECISIONS</t>
        </is>
      </c>
      <c r="G898" s="14" t="n"/>
    </row>
    <row r="899" ht="79" customHeight="1">
      <c r="A899" s="12" t="inlineStr">
        <is>
          <t>R328-v1</t>
        </is>
      </c>
      <c r="B899" s="12" t="inlineStr">
        <is>
          <t>SCH-02-148</t>
        </is>
      </c>
      <c r="C899" s="12" t="inlineStr">
        <is>
          <t>New</t>
        </is>
      </c>
      <c r="D899" s="12" t="inlineStr">
        <is>
          <t>Record first supplied in this revision</t>
        </is>
      </c>
      <c r="E899" s="12" t="inlineStr"/>
      <c r="F899" s="65" t="inlineStr">
        <is>
          <t>10 EVIDENCE &amp; DECISIONS</t>
        </is>
      </c>
      <c r="G899" s="14" t="n"/>
    </row>
    <row r="900" ht="79" customHeight="1">
      <c r="A900" s="12" t="inlineStr">
        <is>
          <t>R329-v1</t>
        </is>
      </c>
      <c r="B900" s="12" t="inlineStr">
        <is>
          <t>SCH-02-149</t>
        </is>
      </c>
      <c r="C900" s="12" t="inlineStr">
        <is>
          <t>New</t>
        </is>
      </c>
      <c r="D900" s="12" t="inlineStr">
        <is>
          <t>Record first supplied in this revision</t>
        </is>
      </c>
      <c r="E900" s="12" t="inlineStr"/>
      <c r="F900" s="65" t="inlineStr">
        <is>
          <t>10 EVIDENCE &amp; DECISIONS</t>
        </is>
      </c>
      <c r="G900" s="14" t="n"/>
    </row>
    <row r="901" ht="79" customHeight="1">
      <c r="A901" s="12" t="inlineStr">
        <is>
          <t>R330-v1</t>
        </is>
      </c>
      <c r="B901" s="12" t="inlineStr">
        <is>
          <t>SCH-02-150</t>
        </is>
      </c>
      <c r="C901" s="12" t="inlineStr">
        <is>
          <t>New</t>
        </is>
      </c>
      <c r="D901" s="12" t="inlineStr">
        <is>
          <t>Record first supplied in this revision</t>
        </is>
      </c>
      <c r="E901" s="12" t="inlineStr"/>
      <c r="F901" s="65" t="inlineStr">
        <is>
          <t>10 EVIDENCE &amp; DECISIONS</t>
        </is>
      </c>
      <c r="G901" s="14" t="n"/>
    </row>
    <row r="902" ht="79" customHeight="1">
      <c r="A902" s="12" t="inlineStr">
        <is>
          <t>R331-v1</t>
        </is>
      </c>
      <c r="B902" s="12" t="inlineStr">
        <is>
          <t>SCH-02-151</t>
        </is>
      </c>
      <c r="C902" s="12" t="inlineStr">
        <is>
          <t>New</t>
        </is>
      </c>
      <c r="D902" s="12" t="inlineStr">
        <is>
          <t>Record first supplied in this revision</t>
        </is>
      </c>
      <c r="E902" s="12" t="inlineStr"/>
      <c r="F902" s="65" t="inlineStr">
        <is>
          <t>10 EVIDENCE &amp; DECISIONS</t>
        </is>
      </c>
      <c r="G902" s="14" t="n"/>
    </row>
    <row r="903" ht="79" customHeight="1">
      <c r="A903" s="12" t="inlineStr">
        <is>
          <t>R332-v1</t>
        </is>
      </c>
      <c r="B903" s="12" t="inlineStr">
        <is>
          <t>SCH-02-152</t>
        </is>
      </c>
      <c r="C903" s="12" t="inlineStr">
        <is>
          <t>New</t>
        </is>
      </c>
      <c r="D903" s="12" t="inlineStr">
        <is>
          <t>Record first supplied in this revision</t>
        </is>
      </c>
      <c r="E903" s="12" t="inlineStr"/>
      <c r="F903" s="65" t="inlineStr">
        <is>
          <t>10 EVIDENCE &amp; DECISIONS</t>
        </is>
      </c>
      <c r="G903" s="14" t="n"/>
    </row>
    <row r="904" ht="79" customHeight="1">
      <c r="A904" s="12" t="inlineStr">
        <is>
          <t>R333-v1</t>
        </is>
      </c>
      <c r="B904" s="12" t="inlineStr">
        <is>
          <t>SCH-02-153</t>
        </is>
      </c>
      <c r="C904" s="12" t="inlineStr">
        <is>
          <t>New</t>
        </is>
      </c>
      <c r="D904" s="12" t="inlineStr">
        <is>
          <t>Record first supplied in this revision</t>
        </is>
      </c>
      <c r="E904" s="12" t="inlineStr"/>
      <c r="F904" s="65" t="inlineStr">
        <is>
          <t>10 EVIDENCE &amp; DECISIONS</t>
        </is>
      </c>
      <c r="G904" s="14" t="n"/>
    </row>
    <row r="905" ht="79" customHeight="1">
      <c r="A905" s="12" t="inlineStr">
        <is>
          <t>R334-v1</t>
        </is>
      </c>
      <c r="B905" s="12" t="inlineStr">
        <is>
          <t>SCH-02-154</t>
        </is>
      </c>
      <c r="C905" s="12" t="inlineStr">
        <is>
          <t>New</t>
        </is>
      </c>
      <c r="D905" s="12" t="inlineStr">
        <is>
          <t>Record first supplied in this revision</t>
        </is>
      </c>
      <c r="E905" s="12" t="inlineStr"/>
      <c r="F905" s="65" t="inlineStr">
        <is>
          <t>10 EVIDENCE &amp; DECISIONS</t>
        </is>
      </c>
      <c r="G905" s="14" t="n"/>
    </row>
    <row r="906" ht="79" customHeight="1">
      <c r="A906" s="12" t="inlineStr">
        <is>
          <t>R335-v1</t>
        </is>
      </c>
      <c r="B906" s="12" t="inlineStr">
        <is>
          <t>SCH-02-155</t>
        </is>
      </c>
      <c r="C906" s="12" t="inlineStr">
        <is>
          <t>New</t>
        </is>
      </c>
      <c r="D906" s="12" t="inlineStr">
        <is>
          <t>Record first supplied in this revision</t>
        </is>
      </c>
      <c r="E906" s="12" t="inlineStr"/>
      <c r="F906" s="65" t="inlineStr">
        <is>
          <t>10 EVIDENCE &amp; DECISIONS</t>
        </is>
      </c>
      <c r="G906" s="14" t="n"/>
    </row>
    <row r="907" ht="79" customHeight="1">
      <c r="A907" s="12" t="inlineStr">
        <is>
          <t>R336-v1</t>
        </is>
      </c>
      <c r="B907" s="12" t="inlineStr">
        <is>
          <t>SCH-02-156</t>
        </is>
      </c>
      <c r="C907" s="12" t="inlineStr">
        <is>
          <t>New</t>
        </is>
      </c>
      <c r="D907" s="12" t="inlineStr">
        <is>
          <t>Record first supplied in this revision</t>
        </is>
      </c>
      <c r="E907" s="12" t="inlineStr"/>
      <c r="F907" s="65" t="inlineStr">
        <is>
          <t>10 EVIDENCE &amp; DECISIONS</t>
        </is>
      </c>
      <c r="G907" s="14" t="n"/>
    </row>
    <row r="908" ht="79" customHeight="1">
      <c r="A908" s="12" t="inlineStr">
        <is>
          <t>R337-v1</t>
        </is>
      </c>
      <c r="B908" s="12" t="inlineStr">
        <is>
          <t>SCH-02-157</t>
        </is>
      </c>
      <c r="C908" s="12" t="inlineStr">
        <is>
          <t>New</t>
        </is>
      </c>
      <c r="D908" s="12" t="inlineStr">
        <is>
          <t>Record first supplied in this revision</t>
        </is>
      </c>
      <c r="E908" s="12" t="inlineStr"/>
      <c r="F908" s="65" t="inlineStr">
        <is>
          <t>10 EVIDENCE &amp; DECISIONS</t>
        </is>
      </c>
      <c r="G908" s="14" t="n"/>
    </row>
    <row r="909" ht="79" customHeight="1">
      <c r="A909" s="12" t="inlineStr">
        <is>
          <t>R338-v1</t>
        </is>
      </c>
      <c r="B909" s="12" t="inlineStr">
        <is>
          <t>SCH-02-158</t>
        </is>
      </c>
      <c r="C909" s="12" t="inlineStr">
        <is>
          <t>New</t>
        </is>
      </c>
      <c r="D909" s="12" t="inlineStr">
        <is>
          <t>Record first supplied in this revision</t>
        </is>
      </c>
      <c r="E909" s="12" t="inlineStr"/>
      <c r="F909" s="65" t="inlineStr">
        <is>
          <t>10 EVIDENCE &amp; DECISIONS</t>
        </is>
      </c>
      <c r="G909" s="14" t="n"/>
    </row>
    <row r="910" ht="79" customHeight="1">
      <c r="A910" s="12" t="inlineStr">
        <is>
          <t>R339-v1</t>
        </is>
      </c>
      <c r="B910" s="12" t="inlineStr">
        <is>
          <t>SCH-02-159</t>
        </is>
      </c>
      <c r="C910" s="12" t="inlineStr">
        <is>
          <t>New</t>
        </is>
      </c>
      <c r="D910" s="12" t="inlineStr">
        <is>
          <t>Record first supplied in this revision</t>
        </is>
      </c>
      <c r="E910" s="12" t="inlineStr"/>
      <c r="F910" s="65" t="inlineStr">
        <is>
          <t>10 EVIDENCE &amp; DECISIONS</t>
        </is>
      </c>
      <c r="G910" s="14" t="n"/>
    </row>
    <row r="911" ht="79" customHeight="1">
      <c r="A911" s="12" t="inlineStr">
        <is>
          <t>R340-v1</t>
        </is>
      </c>
      <c r="B911" s="12" t="inlineStr">
        <is>
          <t>SCH-02-160</t>
        </is>
      </c>
      <c r="C911" s="12" t="inlineStr">
        <is>
          <t>New</t>
        </is>
      </c>
      <c r="D911" s="12" t="inlineStr">
        <is>
          <t>Record first supplied in this revision</t>
        </is>
      </c>
      <c r="E911" s="12" t="inlineStr"/>
      <c r="F911" s="65" t="inlineStr">
        <is>
          <t>10 EVIDENCE &amp; DECISIONS</t>
        </is>
      </c>
      <c r="G911" s="14" t="n"/>
    </row>
    <row r="912" ht="79" customHeight="1">
      <c r="A912" s="12" t="inlineStr">
        <is>
          <t>R341-v1</t>
        </is>
      </c>
      <c r="B912" s="12" t="inlineStr">
        <is>
          <t>SCH-02-161</t>
        </is>
      </c>
      <c r="C912" s="12" t="inlineStr">
        <is>
          <t>New</t>
        </is>
      </c>
      <c r="D912" s="12" t="inlineStr">
        <is>
          <t>Record first supplied in this revision</t>
        </is>
      </c>
      <c r="E912" s="12" t="inlineStr"/>
      <c r="F912" s="65" t="inlineStr">
        <is>
          <t>10 EVIDENCE &amp; DECISIONS</t>
        </is>
      </c>
      <c r="G912" s="14" t="n"/>
    </row>
    <row r="913" ht="79" customHeight="1">
      <c r="A913" s="12" t="inlineStr">
        <is>
          <t>R342-v1</t>
        </is>
      </c>
      <c r="B913" s="12" t="inlineStr">
        <is>
          <t>SCH-02-162</t>
        </is>
      </c>
      <c r="C913" s="12" t="inlineStr">
        <is>
          <t>New</t>
        </is>
      </c>
      <c r="D913" s="12" t="inlineStr">
        <is>
          <t>Record first supplied in this revision</t>
        </is>
      </c>
      <c r="E913" s="12" t="inlineStr"/>
      <c r="F913" s="65" t="inlineStr">
        <is>
          <t>10 EVIDENCE &amp; DECISIONS</t>
        </is>
      </c>
      <c r="G913" s="14" t="n"/>
    </row>
    <row r="914" ht="79" customHeight="1">
      <c r="A914" s="12" t="inlineStr">
        <is>
          <t>R343-v1</t>
        </is>
      </c>
      <c r="B914" s="12" t="inlineStr">
        <is>
          <t>SCH-02-163</t>
        </is>
      </c>
      <c r="C914" s="12" t="inlineStr">
        <is>
          <t>New</t>
        </is>
      </c>
      <c r="D914" s="12" t="inlineStr">
        <is>
          <t>Record first supplied in this revision</t>
        </is>
      </c>
      <c r="E914" s="12" t="inlineStr"/>
      <c r="F914" s="65" t="inlineStr">
        <is>
          <t>10 EVIDENCE &amp; DECISIONS</t>
        </is>
      </c>
      <c r="G914" s="14" t="n"/>
    </row>
    <row r="915" ht="79" customHeight="1">
      <c r="A915" s="12" t="inlineStr">
        <is>
          <t>R344-v1</t>
        </is>
      </c>
      <c r="B915" s="12" t="inlineStr">
        <is>
          <t>SCH-02-164</t>
        </is>
      </c>
      <c r="C915" s="12" t="inlineStr">
        <is>
          <t>New</t>
        </is>
      </c>
      <c r="D915" s="12" t="inlineStr">
        <is>
          <t>Record first supplied in this revision</t>
        </is>
      </c>
      <c r="E915" s="12" t="inlineStr"/>
      <c r="F915" s="65" t="inlineStr">
        <is>
          <t>10 EVIDENCE &amp; DECISIONS</t>
        </is>
      </c>
      <c r="G915" s="14" t="n"/>
    </row>
    <row r="916" ht="79" customHeight="1">
      <c r="A916" s="12" t="inlineStr">
        <is>
          <t>R345-v1</t>
        </is>
      </c>
      <c r="B916" s="12" t="inlineStr">
        <is>
          <t>SCH-02-165</t>
        </is>
      </c>
      <c r="C916" s="12" t="inlineStr">
        <is>
          <t>New</t>
        </is>
      </c>
      <c r="D916" s="12" t="inlineStr">
        <is>
          <t>Record first supplied in this revision</t>
        </is>
      </c>
      <c r="E916" s="12" t="inlineStr"/>
      <c r="F916" s="65" t="inlineStr">
        <is>
          <t>10 EVIDENCE &amp; DECISIONS</t>
        </is>
      </c>
      <c r="G916" s="14" t="n"/>
    </row>
    <row r="917" ht="79" customHeight="1">
      <c r="A917" s="12" t="inlineStr">
        <is>
          <t>R346-v1</t>
        </is>
      </c>
      <c r="B917" s="12" t="inlineStr">
        <is>
          <t>SCH-02-166</t>
        </is>
      </c>
      <c r="C917" s="12" t="inlineStr">
        <is>
          <t>New</t>
        </is>
      </c>
      <c r="D917" s="12" t="inlineStr">
        <is>
          <t>Record first supplied in this revision</t>
        </is>
      </c>
      <c r="E917" s="12" t="inlineStr"/>
      <c r="F917" s="65" t="inlineStr">
        <is>
          <t>10 EVIDENCE &amp; DECISIONS</t>
        </is>
      </c>
      <c r="G917" s="14" t="n"/>
    </row>
    <row r="918" ht="79" customHeight="1">
      <c r="A918" s="12" t="inlineStr">
        <is>
          <t>R347-v1</t>
        </is>
      </c>
      <c r="B918" s="12" t="inlineStr">
        <is>
          <t>SCH-02-167</t>
        </is>
      </c>
      <c r="C918" s="12" t="inlineStr">
        <is>
          <t>New</t>
        </is>
      </c>
      <c r="D918" s="12" t="inlineStr">
        <is>
          <t>Record first supplied in this revision</t>
        </is>
      </c>
      <c r="E918" s="12" t="inlineStr"/>
      <c r="F918" s="65" t="inlineStr">
        <is>
          <t>10 EVIDENCE &amp; DECISIONS</t>
        </is>
      </c>
      <c r="G918" s="14" t="n"/>
    </row>
    <row r="919" ht="79" customHeight="1">
      <c r="A919" s="12" t="inlineStr">
        <is>
          <t>R348-v1</t>
        </is>
      </c>
      <c r="B919" s="12" t="inlineStr">
        <is>
          <t>SCH-02-168</t>
        </is>
      </c>
      <c r="C919" s="12" t="inlineStr">
        <is>
          <t>New</t>
        </is>
      </c>
      <c r="D919" s="12" t="inlineStr">
        <is>
          <t>Record first supplied in this revision</t>
        </is>
      </c>
      <c r="E919" s="12" t="inlineStr"/>
      <c r="F919" s="65" t="inlineStr">
        <is>
          <t>10 EVIDENCE &amp; DECISIONS</t>
        </is>
      </c>
      <c r="G919" s="14" t="n"/>
    </row>
    <row r="920" ht="79" customHeight="1">
      <c r="A920" s="12" t="inlineStr">
        <is>
          <t>R349-v1</t>
        </is>
      </c>
      <c r="B920" s="12" t="inlineStr">
        <is>
          <t>SCH-02-169</t>
        </is>
      </c>
      <c r="C920" s="12" t="inlineStr">
        <is>
          <t>New</t>
        </is>
      </c>
      <c r="D920" s="12" t="inlineStr">
        <is>
          <t>Record first supplied in this revision</t>
        </is>
      </c>
      <c r="E920" s="12" t="inlineStr"/>
      <c r="F920" s="65" t="inlineStr">
        <is>
          <t>10 EVIDENCE &amp; DECISIONS</t>
        </is>
      </c>
      <c r="G920" s="14" t="n"/>
    </row>
    <row r="921" ht="79" customHeight="1">
      <c r="A921" s="12" t="inlineStr">
        <is>
          <t>R350-v1</t>
        </is>
      </c>
      <c r="B921" s="12" t="inlineStr">
        <is>
          <t>SCH-02-170</t>
        </is>
      </c>
      <c r="C921" s="12" t="inlineStr">
        <is>
          <t>New</t>
        </is>
      </c>
      <c r="D921" s="12" t="inlineStr">
        <is>
          <t>Record first supplied in this revision</t>
        </is>
      </c>
      <c r="E921" s="12" t="inlineStr"/>
      <c r="F921" s="65" t="inlineStr">
        <is>
          <t>10 EVIDENCE &amp; DECISIONS</t>
        </is>
      </c>
      <c r="G921" s="14" t="n"/>
    </row>
    <row r="922" ht="79" customHeight="1">
      <c r="A922" s="12" t="inlineStr">
        <is>
          <t>R351-v1</t>
        </is>
      </c>
      <c r="B922" s="12" t="inlineStr">
        <is>
          <t>SCH-02-171</t>
        </is>
      </c>
      <c r="C922" s="12" t="inlineStr">
        <is>
          <t>New</t>
        </is>
      </c>
      <c r="D922" s="12" t="inlineStr">
        <is>
          <t>Record first supplied in this revision</t>
        </is>
      </c>
      <c r="E922" s="12" t="inlineStr"/>
      <c r="F922" s="65" t="inlineStr">
        <is>
          <t>10 EVIDENCE &amp; DECISIONS</t>
        </is>
      </c>
      <c r="G922" s="14" t="n"/>
    </row>
    <row r="923" ht="79" customHeight="1">
      <c r="A923" s="12" t="inlineStr">
        <is>
          <t>R352-v1</t>
        </is>
      </c>
      <c r="B923" s="12" t="inlineStr">
        <is>
          <t>SCH-02-172</t>
        </is>
      </c>
      <c r="C923" s="12" t="inlineStr">
        <is>
          <t>New</t>
        </is>
      </c>
      <c r="D923" s="12" t="inlineStr">
        <is>
          <t>Record first supplied in this revision</t>
        </is>
      </c>
      <c r="E923" s="12" t="inlineStr"/>
      <c r="F923" s="65" t="inlineStr">
        <is>
          <t>10 EVIDENCE &amp; DECISIONS</t>
        </is>
      </c>
      <c r="G923" s="14" t="n"/>
    </row>
    <row r="924" ht="79" customHeight="1">
      <c r="A924" s="12" t="inlineStr">
        <is>
          <t>R353-v1</t>
        </is>
      </c>
      <c r="B924" s="12" t="inlineStr">
        <is>
          <t>SCH-02-173</t>
        </is>
      </c>
      <c r="C924" s="12" t="inlineStr">
        <is>
          <t>New</t>
        </is>
      </c>
      <c r="D924" s="12" t="inlineStr">
        <is>
          <t>Record first supplied in this revision</t>
        </is>
      </c>
      <c r="E924" s="12" t="inlineStr"/>
      <c r="F924" s="65" t="inlineStr">
        <is>
          <t>10 EVIDENCE &amp; DECISIONS</t>
        </is>
      </c>
      <c r="G924" s="14" t="n"/>
    </row>
    <row r="925" ht="79" customHeight="1">
      <c r="A925" s="12" t="inlineStr">
        <is>
          <t>R354-v1</t>
        </is>
      </c>
      <c r="B925" s="12" t="inlineStr">
        <is>
          <t>SCH-02-174</t>
        </is>
      </c>
      <c r="C925" s="12" t="inlineStr">
        <is>
          <t>New</t>
        </is>
      </c>
      <c r="D925" s="12" t="inlineStr">
        <is>
          <t>Record first supplied in this revision</t>
        </is>
      </c>
      <c r="E925" s="12" t="inlineStr"/>
      <c r="F925" s="65" t="inlineStr">
        <is>
          <t>10 EVIDENCE &amp; DECISIONS</t>
        </is>
      </c>
      <c r="G925" s="14" t="n"/>
    </row>
    <row r="926" ht="79" customHeight="1">
      <c r="A926" s="12" t="inlineStr">
        <is>
          <t>R355-v1</t>
        </is>
      </c>
      <c r="B926" s="12" t="inlineStr">
        <is>
          <t>SCH-02-175</t>
        </is>
      </c>
      <c r="C926" s="12" t="inlineStr">
        <is>
          <t>New</t>
        </is>
      </c>
      <c r="D926" s="12" t="inlineStr">
        <is>
          <t>Record first supplied in this revision</t>
        </is>
      </c>
      <c r="E926" s="12" t="inlineStr"/>
      <c r="F926" s="65" t="inlineStr">
        <is>
          <t>10 EVIDENCE &amp; DECISIONS</t>
        </is>
      </c>
      <c r="G926" s="14" t="n"/>
    </row>
    <row r="927" ht="79" customHeight="1">
      <c r="A927" s="12" t="inlineStr">
        <is>
          <t>R356-v1</t>
        </is>
      </c>
      <c r="B927" s="12" t="inlineStr">
        <is>
          <t>SCH-02-176</t>
        </is>
      </c>
      <c r="C927" s="12" t="inlineStr">
        <is>
          <t>New</t>
        </is>
      </c>
      <c r="D927" s="12" t="inlineStr">
        <is>
          <t>Record first supplied in this revision</t>
        </is>
      </c>
      <c r="E927" s="12" t="inlineStr"/>
      <c r="F927" s="65" t="inlineStr">
        <is>
          <t>10 EVIDENCE &amp; DECISIONS</t>
        </is>
      </c>
      <c r="G927" s="14" t="n"/>
    </row>
    <row r="928" ht="79" customHeight="1">
      <c r="A928" s="12" t="inlineStr">
        <is>
          <t>R357-v1</t>
        </is>
      </c>
      <c r="B928" s="12" t="inlineStr">
        <is>
          <t>SCH-02-177</t>
        </is>
      </c>
      <c r="C928" s="12" t="inlineStr">
        <is>
          <t>New</t>
        </is>
      </c>
      <c r="D928" s="12" t="inlineStr">
        <is>
          <t>Record first supplied in this revision</t>
        </is>
      </c>
      <c r="E928" s="12" t="inlineStr"/>
      <c r="F928" s="65" t="inlineStr">
        <is>
          <t>10 EVIDENCE &amp; DECISIONS</t>
        </is>
      </c>
      <c r="G928" s="14" t="n"/>
    </row>
    <row r="929" ht="79" customHeight="1">
      <c r="A929" s="12" t="inlineStr">
        <is>
          <t>R358-v1</t>
        </is>
      </c>
      <c r="B929" s="12" t="inlineStr">
        <is>
          <t>SCH-02-178</t>
        </is>
      </c>
      <c r="C929" s="12" t="inlineStr">
        <is>
          <t>New</t>
        </is>
      </c>
      <c r="D929" s="12" t="inlineStr">
        <is>
          <t>Record first supplied in this revision</t>
        </is>
      </c>
      <c r="E929" s="12" t="inlineStr"/>
      <c r="F929" s="65" t="inlineStr">
        <is>
          <t>10 EVIDENCE &amp; DECISIONS</t>
        </is>
      </c>
      <c r="G929" s="14" t="n"/>
    </row>
    <row r="930" ht="79" customHeight="1">
      <c r="A930" s="12" t="inlineStr">
        <is>
          <t>R359-v1</t>
        </is>
      </c>
      <c r="B930" s="12" t="inlineStr">
        <is>
          <t>SCH-02-179</t>
        </is>
      </c>
      <c r="C930" s="12" t="inlineStr">
        <is>
          <t>New</t>
        </is>
      </c>
      <c r="D930" s="12" t="inlineStr">
        <is>
          <t>Record first supplied in this revision</t>
        </is>
      </c>
      <c r="E930" s="12" t="inlineStr"/>
      <c r="F930" s="65" t="inlineStr">
        <is>
          <t>10 EVIDENCE &amp; DECISIONS</t>
        </is>
      </c>
      <c r="G930" s="14" t="n"/>
    </row>
    <row r="931" ht="79" customHeight="1">
      <c r="A931" s="12" t="inlineStr">
        <is>
          <t>R360-v1</t>
        </is>
      </c>
      <c r="B931" s="12" t="inlineStr">
        <is>
          <t>SCH-02-180</t>
        </is>
      </c>
      <c r="C931" s="12" t="inlineStr">
        <is>
          <t>New</t>
        </is>
      </c>
      <c r="D931" s="12" t="inlineStr">
        <is>
          <t>Record first supplied in this revision</t>
        </is>
      </c>
      <c r="E931" s="12" t="inlineStr"/>
      <c r="F931" s="65" t="inlineStr">
        <is>
          <t>10 EVIDENCE &amp; DECISIONS</t>
        </is>
      </c>
      <c r="G931" s="14" t="n"/>
    </row>
    <row r="932" ht="79" customHeight="1">
      <c r="A932" s="12" t="inlineStr">
        <is>
          <t>R361-v1</t>
        </is>
      </c>
      <c r="B932" s="12" t="inlineStr">
        <is>
          <t>SCH-03-001</t>
        </is>
      </c>
      <c r="C932" s="12" t="inlineStr">
        <is>
          <t>New</t>
        </is>
      </c>
      <c r="D932" s="12" t="inlineStr">
        <is>
          <t>Record first supplied in this revision</t>
        </is>
      </c>
      <c r="E932" s="12" t="inlineStr"/>
      <c r="F932" s="65" t="inlineStr">
        <is>
          <t>10 EVIDENCE &amp; DECISIONS</t>
        </is>
      </c>
      <c r="G932" s="14" t="n"/>
    </row>
    <row r="933" ht="79" customHeight="1">
      <c r="A933" s="12" t="inlineStr">
        <is>
          <t>R362-v1</t>
        </is>
      </c>
      <c r="B933" s="12" t="inlineStr">
        <is>
          <t>SCH-03-002</t>
        </is>
      </c>
      <c r="C933" s="12" t="inlineStr">
        <is>
          <t>New</t>
        </is>
      </c>
      <c r="D933" s="12" t="inlineStr">
        <is>
          <t>Record first supplied in this revision</t>
        </is>
      </c>
      <c r="E933" s="12" t="inlineStr"/>
      <c r="F933" s="65" t="inlineStr">
        <is>
          <t>10 EVIDENCE &amp; DECISIONS</t>
        </is>
      </c>
      <c r="G933" s="14" t="n"/>
    </row>
    <row r="934" ht="79" customHeight="1">
      <c r="A934" s="12" t="inlineStr">
        <is>
          <t>R363-v1</t>
        </is>
      </c>
      <c r="B934" s="12" t="inlineStr">
        <is>
          <t>SCH-03-003</t>
        </is>
      </c>
      <c r="C934" s="12" t="inlineStr">
        <is>
          <t>New</t>
        </is>
      </c>
      <c r="D934" s="12" t="inlineStr">
        <is>
          <t>Record first supplied in this revision</t>
        </is>
      </c>
      <c r="E934" s="12" t="inlineStr"/>
      <c r="F934" s="65" t="inlineStr">
        <is>
          <t>10 EVIDENCE &amp; DECISIONS</t>
        </is>
      </c>
      <c r="G934" s="14" t="n"/>
    </row>
    <row r="935" ht="79" customHeight="1">
      <c r="A935" s="12" t="inlineStr">
        <is>
          <t>R364-v1</t>
        </is>
      </c>
      <c r="B935" s="12" t="inlineStr">
        <is>
          <t>SCH-03-004</t>
        </is>
      </c>
      <c r="C935" s="12" t="inlineStr">
        <is>
          <t>New</t>
        </is>
      </c>
      <c r="D935" s="12" t="inlineStr">
        <is>
          <t>Record first supplied in this revision</t>
        </is>
      </c>
      <c r="E935" s="12" t="inlineStr"/>
      <c r="F935" s="65" t="inlineStr">
        <is>
          <t>10 EVIDENCE &amp; DECISIONS</t>
        </is>
      </c>
      <c r="G935" s="14" t="n"/>
    </row>
    <row r="936" ht="79" customHeight="1">
      <c r="A936" s="12" t="inlineStr">
        <is>
          <t>R365-v1</t>
        </is>
      </c>
      <c r="B936" s="12" t="inlineStr">
        <is>
          <t>SCH-03-005</t>
        </is>
      </c>
      <c r="C936" s="12" t="inlineStr">
        <is>
          <t>New</t>
        </is>
      </c>
      <c r="D936" s="12" t="inlineStr">
        <is>
          <t>Record first supplied in this revision</t>
        </is>
      </c>
      <c r="E936" s="12" t="inlineStr"/>
      <c r="F936" s="65" t="inlineStr">
        <is>
          <t>10 EVIDENCE &amp; DECISIONS</t>
        </is>
      </c>
      <c r="G936" s="14" t="n"/>
    </row>
    <row r="937" ht="79" customHeight="1">
      <c r="A937" s="12" t="inlineStr">
        <is>
          <t>R366-v1</t>
        </is>
      </c>
      <c r="B937" s="12" t="inlineStr">
        <is>
          <t>SCH-03-006</t>
        </is>
      </c>
      <c r="C937" s="12" t="inlineStr">
        <is>
          <t>New</t>
        </is>
      </c>
      <c r="D937" s="12" t="inlineStr">
        <is>
          <t>Record first supplied in this revision</t>
        </is>
      </c>
      <c r="E937" s="12" t="inlineStr"/>
      <c r="F937" s="65" t="inlineStr">
        <is>
          <t>10 EVIDENCE &amp; DECISIONS</t>
        </is>
      </c>
      <c r="G937" s="14" t="n"/>
    </row>
    <row r="938" ht="79" customHeight="1">
      <c r="A938" s="12" t="inlineStr">
        <is>
          <t>R367-v1</t>
        </is>
      </c>
      <c r="B938" s="12" t="inlineStr">
        <is>
          <t>SCH-03-007</t>
        </is>
      </c>
      <c r="C938" s="12" t="inlineStr">
        <is>
          <t>New</t>
        </is>
      </c>
      <c r="D938" s="12" t="inlineStr">
        <is>
          <t>Record first supplied in this revision</t>
        </is>
      </c>
      <c r="E938" s="12" t="inlineStr"/>
      <c r="F938" s="65" t="inlineStr">
        <is>
          <t>10 EVIDENCE &amp; DECISIONS</t>
        </is>
      </c>
      <c r="G938" s="14" t="n"/>
    </row>
    <row r="939" ht="79" customHeight="1">
      <c r="A939" s="12" t="inlineStr">
        <is>
          <t>R368-v1</t>
        </is>
      </c>
      <c r="B939" s="12" t="inlineStr">
        <is>
          <t>SCH-03-008</t>
        </is>
      </c>
      <c r="C939" s="12" t="inlineStr">
        <is>
          <t>New</t>
        </is>
      </c>
      <c r="D939" s="12" t="inlineStr">
        <is>
          <t>Record first supplied in this revision</t>
        </is>
      </c>
      <c r="E939" s="12" t="inlineStr"/>
      <c r="F939" s="65" t="inlineStr">
        <is>
          <t>10 EVIDENCE &amp; DECISIONS</t>
        </is>
      </c>
      <c r="G939" s="14" t="n"/>
    </row>
    <row r="940" ht="79" customHeight="1">
      <c r="A940" s="12" t="inlineStr">
        <is>
          <t>R369-v1</t>
        </is>
      </c>
      <c r="B940" s="12" t="inlineStr">
        <is>
          <t>SCH-03-009</t>
        </is>
      </c>
      <c r="C940" s="12" t="inlineStr">
        <is>
          <t>New</t>
        </is>
      </c>
      <c r="D940" s="12" t="inlineStr">
        <is>
          <t>Record first supplied in this revision</t>
        </is>
      </c>
      <c r="E940" s="12" t="inlineStr"/>
      <c r="F940" s="65" t="inlineStr">
        <is>
          <t>10 EVIDENCE &amp; DECISIONS</t>
        </is>
      </c>
      <c r="G940" s="14" t="n"/>
    </row>
    <row r="941" ht="79" customHeight="1">
      <c r="A941" s="12" t="inlineStr">
        <is>
          <t>R370-v1</t>
        </is>
      </c>
      <c r="B941" s="12" t="inlineStr">
        <is>
          <t>SCH-03-010</t>
        </is>
      </c>
      <c r="C941" s="12" t="inlineStr">
        <is>
          <t>New</t>
        </is>
      </c>
      <c r="D941" s="12" t="inlineStr">
        <is>
          <t>Record first supplied in this revision</t>
        </is>
      </c>
      <c r="E941" s="12" t="inlineStr"/>
      <c r="F941" s="65" t="inlineStr">
        <is>
          <t>10 EVIDENCE &amp; DECISIONS</t>
        </is>
      </c>
      <c r="G941" s="14" t="n"/>
    </row>
    <row r="942" ht="79" customHeight="1">
      <c r="A942" s="12" t="inlineStr">
        <is>
          <t>R371-v1</t>
        </is>
      </c>
      <c r="B942" s="12" t="inlineStr">
        <is>
          <t>SCH-03-011</t>
        </is>
      </c>
      <c r="C942" s="12" t="inlineStr">
        <is>
          <t>New</t>
        </is>
      </c>
      <c r="D942" s="12" t="inlineStr">
        <is>
          <t>Record first supplied in this revision</t>
        </is>
      </c>
      <c r="E942" s="12" t="inlineStr"/>
      <c r="F942" s="65" t="inlineStr">
        <is>
          <t>10 EVIDENCE &amp; DECISIONS</t>
        </is>
      </c>
      <c r="G942" s="14" t="n"/>
    </row>
    <row r="943" ht="79" customHeight="1">
      <c r="A943" s="12" t="inlineStr">
        <is>
          <t>R372-v1</t>
        </is>
      </c>
      <c r="B943" s="12" t="inlineStr">
        <is>
          <t>SCH-03-012</t>
        </is>
      </c>
      <c r="C943" s="12" t="inlineStr">
        <is>
          <t>New</t>
        </is>
      </c>
      <c r="D943" s="12" t="inlineStr">
        <is>
          <t>Record first supplied in this revision</t>
        </is>
      </c>
      <c r="E943" s="12" t="inlineStr"/>
      <c r="F943" s="65" t="inlineStr">
        <is>
          <t>10 EVIDENCE &amp; DECISIONS</t>
        </is>
      </c>
      <c r="G943" s="14" t="n"/>
    </row>
    <row r="944" ht="79" customHeight="1">
      <c r="A944" s="12" t="inlineStr">
        <is>
          <t>R373-v1</t>
        </is>
      </c>
      <c r="B944" s="12" t="inlineStr">
        <is>
          <t>SCH-03-013</t>
        </is>
      </c>
      <c r="C944" s="12" t="inlineStr">
        <is>
          <t>New</t>
        </is>
      </c>
      <c r="D944" s="12" t="inlineStr">
        <is>
          <t>Record first supplied in this revision</t>
        </is>
      </c>
      <c r="E944" s="12" t="inlineStr"/>
      <c r="F944" s="65" t="inlineStr">
        <is>
          <t>10 EVIDENCE &amp; DECISIONS</t>
        </is>
      </c>
      <c r="G944" s="14" t="n"/>
    </row>
    <row r="945" ht="79" customHeight="1">
      <c r="A945" s="12" t="inlineStr">
        <is>
          <t>R374-v1</t>
        </is>
      </c>
      <c r="B945" s="12" t="inlineStr">
        <is>
          <t>SCH-03-014</t>
        </is>
      </c>
      <c r="C945" s="12" t="inlineStr">
        <is>
          <t>New</t>
        </is>
      </c>
      <c r="D945" s="12" t="inlineStr">
        <is>
          <t>Record first supplied in this revision</t>
        </is>
      </c>
      <c r="E945" s="12" t="inlineStr"/>
      <c r="F945" s="65" t="inlineStr">
        <is>
          <t>10 EVIDENCE &amp; DECISIONS</t>
        </is>
      </c>
      <c r="G945" s="14" t="n"/>
    </row>
    <row r="946" ht="79" customHeight="1">
      <c r="A946" s="12" t="inlineStr">
        <is>
          <t>R375-v1</t>
        </is>
      </c>
      <c r="B946" s="12" t="inlineStr">
        <is>
          <t>SCH-03-015</t>
        </is>
      </c>
      <c r="C946" s="12" t="inlineStr">
        <is>
          <t>New</t>
        </is>
      </c>
      <c r="D946" s="12" t="inlineStr">
        <is>
          <t>Record first supplied in this revision</t>
        </is>
      </c>
      <c r="E946" s="12" t="inlineStr"/>
      <c r="F946" s="65" t="inlineStr">
        <is>
          <t>10 EVIDENCE &amp; DECISIONS</t>
        </is>
      </c>
      <c r="G946" s="14" t="n"/>
    </row>
    <row r="947" ht="79" customHeight="1">
      <c r="A947" s="12" t="inlineStr">
        <is>
          <t>R376-v1</t>
        </is>
      </c>
      <c r="B947" s="12" t="inlineStr">
        <is>
          <t>SCH-03-016</t>
        </is>
      </c>
      <c r="C947" s="12" t="inlineStr">
        <is>
          <t>New</t>
        </is>
      </c>
      <c r="D947" s="12" t="inlineStr">
        <is>
          <t>Record first supplied in this revision</t>
        </is>
      </c>
      <c r="E947" s="12" t="inlineStr"/>
      <c r="F947" s="65" t="inlineStr">
        <is>
          <t>10 EVIDENCE &amp; DECISIONS</t>
        </is>
      </c>
      <c r="G947" s="14" t="n"/>
    </row>
    <row r="948" ht="79" customHeight="1">
      <c r="A948" s="12" t="inlineStr">
        <is>
          <t>R377-v1</t>
        </is>
      </c>
      <c r="B948" s="12" t="inlineStr">
        <is>
          <t>SCH-03-017</t>
        </is>
      </c>
      <c r="C948" s="12" t="inlineStr">
        <is>
          <t>New</t>
        </is>
      </c>
      <c r="D948" s="12" t="inlineStr">
        <is>
          <t>Record first supplied in this revision</t>
        </is>
      </c>
      <c r="E948" s="12" t="inlineStr"/>
      <c r="F948" s="65" t="inlineStr">
        <is>
          <t>10 EVIDENCE &amp; DECISIONS</t>
        </is>
      </c>
      <c r="G948" s="14" t="n"/>
    </row>
    <row r="949" ht="79" customHeight="1">
      <c r="A949" s="12" t="inlineStr">
        <is>
          <t>R378-v1</t>
        </is>
      </c>
      <c r="B949" s="12" t="inlineStr">
        <is>
          <t>SCH-03-018</t>
        </is>
      </c>
      <c r="C949" s="12" t="inlineStr">
        <is>
          <t>New</t>
        </is>
      </c>
      <c r="D949" s="12" t="inlineStr">
        <is>
          <t>Record first supplied in this revision</t>
        </is>
      </c>
      <c r="E949" s="12" t="inlineStr"/>
      <c r="F949" s="65" t="inlineStr">
        <is>
          <t>10 EVIDENCE &amp; DECISIONS</t>
        </is>
      </c>
      <c r="G949" s="14" t="n"/>
    </row>
    <row r="950" ht="79" customHeight="1">
      <c r="A950" s="12" t="inlineStr">
        <is>
          <t>R379-v1</t>
        </is>
      </c>
      <c r="B950" s="12" t="inlineStr">
        <is>
          <t>SCH-03-019</t>
        </is>
      </c>
      <c r="C950" s="12" t="inlineStr">
        <is>
          <t>New</t>
        </is>
      </c>
      <c r="D950" s="12" t="inlineStr">
        <is>
          <t>Record first supplied in this revision</t>
        </is>
      </c>
      <c r="E950" s="12" t="inlineStr"/>
      <c r="F950" s="65" t="inlineStr">
        <is>
          <t>10 EVIDENCE &amp; DECISIONS</t>
        </is>
      </c>
      <c r="G950" s="14" t="n"/>
    </row>
    <row r="951" ht="79" customHeight="1">
      <c r="A951" s="12" t="inlineStr">
        <is>
          <t>R380-v1</t>
        </is>
      </c>
      <c r="B951" s="12" t="inlineStr">
        <is>
          <t>SCH-03-020</t>
        </is>
      </c>
      <c r="C951" s="12" t="inlineStr">
        <is>
          <t>New</t>
        </is>
      </c>
      <c r="D951" s="12" t="inlineStr">
        <is>
          <t>Record first supplied in this revision</t>
        </is>
      </c>
      <c r="E951" s="12" t="inlineStr"/>
      <c r="F951" s="65" t="inlineStr">
        <is>
          <t>10 EVIDENCE &amp; DECISIONS</t>
        </is>
      </c>
      <c r="G951" s="14" t="n"/>
    </row>
    <row r="952" ht="79" customHeight="1">
      <c r="A952" s="12" t="inlineStr">
        <is>
          <t>R381-v1</t>
        </is>
      </c>
      <c r="B952" s="12" t="inlineStr">
        <is>
          <t>SCH-03-021</t>
        </is>
      </c>
      <c r="C952" s="12" t="inlineStr">
        <is>
          <t>New</t>
        </is>
      </c>
      <c r="D952" s="12" t="inlineStr">
        <is>
          <t>Record first supplied in this revision</t>
        </is>
      </c>
      <c r="E952" s="12" t="inlineStr"/>
      <c r="F952" s="65" t="inlineStr">
        <is>
          <t>10 EVIDENCE &amp; DECISIONS</t>
        </is>
      </c>
      <c r="G952" s="14" t="n"/>
    </row>
    <row r="953" ht="79" customHeight="1">
      <c r="A953" s="12" t="inlineStr">
        <is>
          <t>R382-v1</t>
        </is>
      </c>
      <c r="B953" s="12" t="inlineStr">
        <is>
          <t>SCH-03-022</t>
        </is>
      </c>
      <c r="C953" s="12" t="inlineStr">
        <is>
          <t>New</t>
        </is>
      </c>
      <c r="D953" s="12" t="inlineStr">
        <is>
          <t>Record first supplied in this revision</t>
        </is>
      </c>
      <c r="E953" s="12" t="inlineStr"/>
      <c r="F953" s="65" t="inlineStr">
        <is>
          <t>10 EVIDENCE &amp; DECISIONS</t>
        </is>
      </c>
      <c r="G953" s="14" t="n"/>
    </row>
    <row r="954" ht="79" customHeight="1">
      <c r="A954" s="12" t="inlineStr">
        <is>
          <t>R383-v1</t>
        </is>
      </c>
      <c r="B954" s="12" t="inlineStr">
        <is>
          <t>SCH-03-023</t>
        </is>
      </c>
      <c r="C954" s="12" t="inlineStr">
        <is>
          <t>New</t>
        </is>
      </c>
      <c r="D954" s="12" t="inlineStr">
        <is>
          <t>Record first supplied in this revision</t>
        </is>
      </c>
      <c r="E954" s="12" t="inlineStr"/>
      <c r="F954" s="65" t="inlineStr">
        <is>
          <t>10 EVIDENCE &amp; DECISIONS</t>
        </is>
      </c>
      <c r="G954" s="14" t="n"/>
    </row>
    <row r="955" ht="79" customHeight="1">
      <c r="A955" s="12" t="inlineStr">
        <is>
          <t>R384-v1</t>
        </is>
      </c>
      <c r="B955" s="12" t="inlineStr">
        <is>
          <t>SCH-03-024</t>
        </is>
      </c>
      <c r="C955" s="12" t="inlineStr">
        <is>
          <t>New</t>
        </is>
      </c>
      <c r="D955" s="12" t="inlineStr">
        <is>
          <t>Record first supplied in this revision</t>
        </is>
      </c>
      <c r="E955" s="12" t="inlineStr"/>
      <c r="F955" s="65" t="inlineStr">
        <is>
          <t>10 EVIDENCE &amp; DECISIONS</t>
        </is>
      </c>
      <c r="G955" s="14" t="n"/>
    </row>
    <row r="956" ht="79" customHeight="1">
      <c r="A956" s="12" t="inlineStr">
        <is>
          <t>R385-v1</t>
        </is>
      </c>
      <c r="B956" s="12" t="inlineStr">
        <is>
          <t>SCH-03-025</t>
        </is>
      </c>
      <c r="C956" s="12" t="inlineStr">
        <is>
          <t>New</t>
        </is>
      </c>
      <c r="D956" s="12" t="inlineStr">
        <is>
          <t>Record first supplied in this revision</t>
        </is>
      </c>
      <c r="E956" s="12" t="inlineStr"/>
      <c r="F956" s="65" t="inlineStr">
        <is>
          <t>10 EVIDENCE &amp; DECISIONS</t>
        </is>
      </c>
      <c r="G956" s="14" t="n"/>
    </row>
    <row r="957" ht="79" customHeight="1">
      <c r="A957" s="12" t="inlineStr">
        <is>
          <t>R386-v1</t>
        </is>
      </c>
      <c r="B957" s="12" t="inlineStr">
        <is>
          <t>SCH-03-026</t>
        </is>
      </c>
      <c r="C957" s="12" t="inlineStr">
        <is>
          <t>New</t>
        </is>
      </c>
      <c r="D957" s="12" t="inlineStr">
        <is>
          <t>Record first supplied in this revision</t>
        </is>
      </c>
      <c r="E957" s="12" t="inlineStr"/>
      <c r="F957" s="65" t="inlineStr">
        <is>
          <t>10 EVIDENCE &amp; DECISIONS</t>
        </is>
      </c>
      <c r="G957" s="14" t="n"/>
    </row>
    <row r="958" ht="79" customHeight="1">
      <c r="A958" s="12" t="inlineStr">
        <is>
          <t>R387-v1</t>
        </is>
      </c>
      <c r="B958" s="12" t="inlineStr">
        <is>
          <t>SCH-03-027</t>
        </is>
      </c>
      <c r="C958" s="12" t="inlineStr">
        <is>
          <t>New</t>
        </is>
      </c>
      <c r="D958" s="12" t="inlineStr">
        <is>
          <t>Record first supplied in this revision</t>
        </is>
      </c>
      <c r="E958" s="12" t="inlineStr"/>
      <c r="F958" s="65" t="inlineStr">
        <is>
          <t>10 EVIDENCE &amp; DECISIONS</t>
        </is>
      </c>
      <c r="G958" s="14" t="n"/>
    </row>
    <row r="959" ht="79" customHeight="1">
      <c r="A959" s="12" t="inlineStr">
        <is>
          <t>R388-v1</t>
        </is>
      </c>
      <c r="B959" s="12" t="inlineStr">
        <is>
          <t>SCH-03-028</t>
        </is>
      </c>
      <c r="C959" s="12" t="inlineStr">
        <is>
          <t>New</t>
        </is>
      </c>
      <c r="D959" s="12" t="inlineStr">
        <is>
          <t>Record first supplied in this revision</t>
        </is>
      </c>
      <c r="E959" s="12" t="inlineStr"/>
      <c r="F959" s="65" t="inlineStr">
        <is>
          <t>10 EVIDENCE &amp; DECISIONS</t>
        </is>
      </c>
      <c r="G959" s="14" t="n"/>
    </row>
    <row r="960" ht="79" customHeight="1">
      <c r="A960" s="12" t="inlineStr">
        <is>
          <t>R389-v1</t>
        </is>
      </c>
      <c r="B960" s="12" t="inlineStr">
        <is>
          <t>SCH-03-029</t>
        </is>
      </c>
      <c r="C960" s="12" t="inlineStr">
        <is>
          <t>New</t>
        </is>
      </c>
      <c r="D960" s="12" t="inlineStr">
        <is>
          <t>Record first supplied in this revision</t>
        </is>
      </c>
      <c r="E960" s="12" t="inlineStr"/>
      <c r="F960" s="65" t="inlineStr">
        <is>
          <t>10 EVIDENCE &amp; DECISIONS</t>
        </is>
      </c>
      <c r="G960" s="14" t="n"/>
    </row>
    <row r="961" ht="79" customHeight="1">
      <c r="A961" s="12" t="inlineStr">
        <is>
          <t>R390-v1</t>
        </is>
      </c>
      <c r="B961" s="12" t="inlineStr">
        <is>
          <t>SCH-03-030</t>
        </is>
      </c>
      <c r="C961" s="12" t="inlineStr">
        <is>
          <t>New</t>
        </is>
      </c>
      <c r="D961" s="12" t="inlineStr">
        <is>
          <t>Record first supplied in this revision</t>
        </is>
      </c>
      <c r="E961" s="12" t="inlineStr"/>
      <c r="F961" s="65" t="inlineStr">
        <is>
          <t>10 EVIDENCE &amp; DECISIONS</t>
        </is>
      </c>
      <c r="G961" s="14" t="n"/>
    </row>
    <row r="962" ht="79" customHeight="1">
      <c r="A962" s="12" t="inlineStr">
        <is>
          <t>R391-v1</t>
        </is>
      </c>
      <c r="B962" s="12" t="inlineStr">
        <is>
          <t>SCH-03-031</t>
        </is>
      </c>
      <c r="C962" s="12" t="inlineStr">
        <is>
          <t>New</t>
        </is>
      </c>
      <c r="D962" s="12" t="inlineStr">
        <is>
          <t>Record first supplied in this revision</t>
        </is>
      </c>
      <c r="E962" s="12" t="inlineStr"/>
      <c r="F962" s="65" t="inlineStr">
        <is>
          <t>10 EVIDENCE &amp; DECISIONS</t>
        </is>
      </c>
      <c r="G962" s="14" t="n"/>
    </row>
    <row r="963" ht="79" customHeight="1">
      <c r="A963" s="12" t="inlineStr">
        <is>
          <t>R392-v1</t>
        </is>
      </c>
      <c r="B963" s="12" t="inlineStr">
        <is>
          <t>SCH-03-032</t>
        </is>
      </c>
      <c r="C963" s="12" t="inlineStr">
        <is>
          <t>New</t>
        </is>
      </c>
      <c r="D963" s="12" t="inlineStr">
        <is>
          <t>Record first supplied in this revision</t>
        </is>
      </c>
      <c r="E963" s="12" t="inlineStr"/>
      <c r="F963" s="65" t="inlineStr">
        <is>
          <t>10 EVIDENCE &amp; DECISIONS</t>
        </is>
      </c>
      <c r="G963" s="14" t="n"/>
    </row>
    <row r="964" ht="79" customHeight="1">
      <c r="A964" s="12" t="inlineStr">
        <is>
          <t>R393-v1</t>
        </is>
      </c>
      <c r="B964" s="12" t="inlineStr">
        <is>
          <t>SCH-03-033</t>
        </is>
      </c>
      <c r="C964" s="12" t="inlineStr">
        <is>
          <t>New</t>
        </is>
      </c>
      <c r="D964" s="12" t="inlineStr">
        <is>
          <t>Record first supplied in this revision</t>
        </is>
      </c>
      <c r="E964" s="12" t="inlineStr"/>
      <c r="F964" s="65" t="inlineStr">
        <is>
          <t>10 EVIDENCE &amp; DECISIONS</t>
        </is>
      </c>
      <c r="G964" s="14" t="n"/>
    </row>
    <row r="965" ht="79" customHeight="1">
      <c r="A965" s="12" t="inlineStr">
        <is>
          <t>R394-v1</t>
        </is>
      </c>
      <c r="B965" s="12" t="inlineStr">
        <is>
          <t>SCH-03-034</t>
        </is>
      </c>
      <c r="C965" s="12" t="inlineStr">
        <is>
          <t>New</t>
        </is>
      </c>
      <c r="D965" s="12" t="inlineStr">
        <is>
          <t>Record first supplied in this revision</t>
        </is>
      </c>
      <c r="E965" s="12" t="inlineStr"/>
      <c r="F965" s="65" t="inlineStr">
        <is>
          <t>10 EVIDENCE &amp; DECISIONS</t>
        </is>
      </c>
      <c r="G965" s="14" t="n"/>
    </row>
    <row r="966" ht="79" customHeight="1">
      <c r="A966" s="12" t="inlineStr">
        <is>
          <t>R395-v1</t>
        </is>
      </c>
      <c r="B966" s="12" t="inlineStr">
        <is>
          <t>SCH-03-035</t>
        </is>
      </c>
      <c r="C966" s="12" t="inlineStr">
        <is>
          <t>New</t>
        </is>
      </c>
      <c r="D966" s="12" t="inlineStr">
        <is>
          <t>Record first supplied in this revision</t>
        </is>
      </c>
      <c r="E966" s="12" t="inlineStr"/>
      <c r="F966" s="65" t="inlineStr">
        <is>
          <t>10 EVIDENCE &amp; DECISIONS</t>
        </is>
      </c>
      <c r="G966" s="14" t="n"/>
    </row>
    <row r="967" ht="79" customHeight="1">
      <c r="A967" s="12" t="inlineStr">
        <is>
          <t>R396-v1</t>
        </is>
      </c>
      <c r="B967" s="12" t="inlineStr">
        <is>
          <t>SCH-03-036</t>
        </is>
      </c>
      <c r="C967" s="12" t="inlineStr">
        <is>
          <t>New</t>
        </is>
      </c>
      <c r="D967" s="12" t="inlineStr">
        <is>
          <t>Record first supplied in this revision</t>
        </is>
      </c>
      <c r="E967" s="12" t="inlineStr"/>
      <c r="F967" s="65" t="inlineStr">
        <is>
          <t>10 EVIDENCE &amp; DECISIONS</t>
        </is>
      </c>
      <c r="G967" s="14" t="n"/>
    </row>
    <row r="968" ht="79" customHeight="1">
      <c r="A968" s="12" t="inlineStr">
        <is>
          <t>R397-v1</t>
        </is>
      </c>
      <c r="B968" s="12" t="inlineStr">
        <is>
          <t>SCH-03-037</t>
        </is>
      </c>
      <c r="C968" s="12" t="inlineStr">
        <is>
          <t>New</t>
        </is>
      </c>
      <c r="D968" s="12" t="inlineStr">
        <is>
          <t>Record first supplied in this revision</t>
        </is>
      </c>
      <c r="E968" s="12" t="inlineStr"/>
      <c r="F968" s="65" t="inlineStr">
        <is>
          <t>10 EVIDENCE &amp; DECISIONS</t>
        </is>
      </c>
      <c r="G968" s="14" t="n"/>
    </row>
    <row r="969" ht="79" customHeight="1">
      <c r="A969" s="12" t="inlineStr">
        <is>
          <t>R398-v1</t>
        </is>
      </c>
      <c r="B969" s="12" t="inlineStr">
        <is>
          <t>SCH-03-038</t>
        </is>
      </c>
      <c r="C969" s="12" t="inlineStr">
        <is>
          <t>New</t>
        </is>
      </c>
      <c r="D969" s="12" t="inlineStr">
        <is>
          <t>Record first supplied in this revision</t>
        </is>
      </c>
      <c r="E969" s="12" t="inlineStr"/>
      <c r="F969" s="65" t="inlineStr">
        <is>
          <t>10 EVIDENCE &amp; DECISIONS</t>
        </is>
      </c>
      <c r="G969" s="14" t="n"/>
    </row>
    <row r="970" ht="79" customHeight="1">
      <c r="A970" s="12" t="inlineStr">
        <is>
          <t>R399-v1</t>
        </is>
      </c>
      <c r="B970" s="12" t="inlineStr">
        <is>
          <t>SCH-03-039</t>
        </is>
      </c>
      <c r="C970" s="12" t="inlineStr">
        <is>
          <t>New</t>
        </is>
      </c>
      <c r="D970" s="12" t="inlineStr">
        <is>
          <t>Record first supplied in this revision</t>
        </is>
      </c>
      <c r="E970" s="12" t="inlineStr"/>
      <c r="F970" s="65" t="inlineStr">
        <is>
          <t>10 EVIDENCE &amp; DECISIONS</t>
        </is>
      </c>
      <c r="G970" s="14" t="n"/>
    </row>
    <row r="971" ht="79" customHeight="1">
      <c r="A971" s="12" t="inlineStr">
        <is>
          <t>R400-v1</t>
        </is>
      </c>
      <c r="B971" s="12" t="inlineStr">
        <is>
          <t>SCH-03-040</t>
        </is>
      </c>
      <c r="C971" s="12" t="inlineStr">
        <is>
          <t>New</t>
        </is>
      </c>
      <c r="D971" s="12" t="inlineStr">
        <is>
          <t>Record first supplied in this revision</t>
        </is>
      </c>
      <c r="E971" s="12" t="inlineStr"/>
      <c r="F971" s="65" t="inlineStr">
        <is>
          <t>10 EVIDENCE &amp; DECISIONS</t>
        </is>
      </c>
      <c r="G971" s="14" t="n"/>
    </row>
    <row r="972" ht="79" customHeight="1">
      <c r="A972" s="12" t="inlineStr">
        <is>
          <t>R401-v1</t>
        </is>
      </c>
      <c r="B972" s="12" t="inlineStr">
        <is>
          <t>SCH-03-041</t>
        </is>
      </c>
      <c r="C972" s="12" t="inlineStr">
        <is>
          <t>New</t>
        </is>
      </c>
      <c r="D972" s="12" t="inlineStr">
        <is>
          <t>Record first supplied in this revision</t>
        </is>
      </c>
      <c r="E972" s="12" t="inlineStr"/>
      <c r="F972" s="65" t="inlineStr">
        <is>
          <t>10 EVIDENCE &amp; DECISIONS</t>
        </is>
      </c>
      <c r="G972" s="14" t="n"/>
    </row>
    <row r="973" ht="79" customHeight="1">
      <c r="A973" s="12" t="inlineStr">
        <is>
          <t>R402-v1</t>
        </is>
      </c>
      <c r="B973" s="12" t="inlineStr">
        <is>
          <t>SCH-03-042</t>
        </is>
      </c>
      <c r="C973" s="12" t="inlineStr">
        <is>
          <t>New</t>
        </is>
      </c>
      <c r="D973" s="12" t="inlineStr">
        <is>
          <t>Record first supplied in this revision</t>
        </is>
      </c>
      <c r="E973" s="12" t="inlineStr"/>
      <c r="F973" s="65" t="inlineStr">
        <is>
          <t>10 EVIDENCE &amp; DECISIONS</t>
        </is>
      </c>
      <c r="G973" s="14" t="n"/>
    </row>
    <row r="974" ht="79" customHeight="1">
      <c r="A974" s="12" t="inlineStr">
        <is>
          <t>R403-v1</t>
        </is>
      </c>
      <c r="B974" s="12" t="inlineStr">
        <is>
          <t>SCH-03-043</t>
        </is>
      </c>
      <c r="C974" s="12" t="inlineStr">
        <is>
          <t>New</t>
        </is>
      </c>
      <c r="D974" s="12" t="inlineStr">
        <is>
          <t>Record first supplied in this revision</t>
        </is>
      </c>
      <c r="E974" s="12" t="inlineStr"/>
      <c r="F974" s="65" t="inlineStr">
        <is>
          <t>10 EVIDENCE &amp; DECISIONS</t>
        </is>
      </c>
      <c r="G974" s="14" t="n"/>
    </row>
    <row r="975" ht="79" customHeight="1">
      <c r="A975" s="12" t="inlineStr">
        <is>
          <t>R404-v1</t>
        </is>
      </c>
      <c r="B975" s="12" t="inlineStr">
        <is>
          <t>SCH-03-044</t>
        </is>
      </c>
      <c r="C975" s="12" t="inlineStr">
        <is>
          <t>New</t>
        </is>
      </c>
      <c r="D975" s="12" t="inlineStr">
        <is>
          <t>Record first supplied in this revision</t>
        </is>
      </c>
      <c r="E975" s="12" t="inlineStr"/>
      <c r="F975" s="65" t="inlineStr">
        <is>
          <t>10 EVIDENCE &amp; DECISIONS</t>
        </is>
      </c>
      <c r="G975" s="14" t="n"/>
    </row>
    <row r="976" ht="79" customHeight="1">
      <c r="A976" s="12" t="inlineStr">
        <is>
          <t>R405-v1</t>
        </is>
      </c>
      <c r="B976" s="12" t="inlineStr">
        <is>
          <t>SCH-03-045</t>
        </is>
      </c>
      <c r="C976" s="12" t="inlineStr">
        <is>
          <t>New</t>
        </is>
      </c>
      <c r="D976" s="12" t="inlineStr">
        <is>
          <t>Record first supplied in this revision</t>
        </is>
      </c>
      <c r="E976" s="12" t="inlineStr"/>
      <c r="F976" s="65" t="inlineStr">
        <is>
          <t>10 EVIDENCE &amp; DECISIONS</t>
        </is>
      </c>
      <c r="G976" s="14" t="n"/>
    </row>
    <row r="977" ht="79" customHeight="1">
      <c r="A977" s="12" t="inlineStr">
        <is>
          <t>R406-v1</t>
        </is>
      </c>
      <c r="B977" s="12" t="inlineStr">
        <is>
          <t>SCH-03-046</t>
        </is>
      </c>
      <c r="C977" s="12" t="inlineStr">
        <is>
          <t>New</t>
        </is>
      </c>
      <c r="D977" s="12" t="inlineStr">
        <is>
          <t>Record first supplied in this revision</t>
        </is>
      </c>
      <c r="E977" s="12" t="inlineStr"/>
      <c r="F977" s="65" t="inlineStr">
        <is>
          <t>10 EVIDENCE &amp; DECISIONS</t>
        </is>
      </c>
      <c r="G977" s="14" t="n"/>
    </row>
    <row r="978" ht="79" customHeight="1">
      <c r="A978" s="12" t="inlineStr">
        <is>
          <t>R407-v1</t>
        </is>
      </c>
      <c r="B978" s="12" t="inlineStr">
        <is>
          <t>SCH-03-047</t>
        </is>
      </c>
      <c r="C978" s="12" t="inlineStr">
        <is>
          <t>New</t>
        </is>
      </c>
      <c r="D978" s="12" t="inlineStr">
        <is>
          <t>Record first supplied in this revision</t>
        </is>
      </c>
      <c r="E978" s="12" t="inlineStr"/>
      <c r="F978" s="65" t="inlineStr">
        <is>
          <t>10 EVIDENCE &amp; DECISIONS</t>
        </is>
      </c>
      <c r="G978" s="14" t="n"/>
    </row>
    <row r="979" ht="79" customHeight="1">
      <c r="A979" s="12" t="inlineStr">
        <is>
          <t>R408-v1</t>
        </is>
      </c>
      <c r="B979" s="12" t="inlineStr">
        <is>
          <t>SCH-03-048</t>
        </is>
      </c>
      <c r="C979" s="12" t="inlineStr">
        <is>
          <t>New</t>
        </is>
      </c>
      <c r="D979" s="12" t="inlineStr">
        <is>
          <t>Record first supplied in this revision</t>
        </is>
      </c>
      <c r="E979" s="12" t="inlineStr"/>
      <c r="F979" s="65" t="inlineStr">
        <is>
          <t>10 EVIDENCE &amp; DECISIONS</t>
        </is>
      </c>
      <c r="G979" s="14" t="n"/>
    </row>
    <row r="980" ht="79" customHeight="1">
      <c r="A980" s="12" t="inlineStr">
        <is>
          <t>R409-v1</t>
        </is>
      </c>
      <c r="B980" s="12" t="inlineStr">
        <is>
          <t>SCH-03-049</t>
        </is>
      </c>
      <c r="C980" s="12" t="inlineStr">
        <is>
          <t>New</t>
        </is>
      </c>
      <c r="D980" s="12" t="inlineStr">
        <is>
          <t>Record first supplied in this revision</t>
        </is>
      </c>
      <c r="E980" s="12" t="inlineStr"/>
      <c r="F980" s="65" t="inlineStr">
        <is>
          <t>10 EVIDENCE &amp; DECISIONS</t>
        </is>
      </c>
      <c r="G980" s="14" t="n"/>
    </row>
    <row r="981" ht="79" customHeight="1">
      <c r="A981" s="12" t="inlineStr">
        <is>
          <t>R410-v1</t>
        </is>
      </c>
      <c r="B981" s="12" t="inlineStr">
        <is>
          <t>SCH-03-050</t>
        </is>
      </c>
      <c r="C981" s="12" t="inlineStr">
        <is>
          <t>New</t>
        </is>
      </c>
      <c r="D981" s="12" t="inlineStr">
        <is>
          <t>Record first supplied in this revision</t>
        </is>
      </c>
      <c r="E981" s="12" t="inlineStr"/>
      <c r="F981" s="65" t="inlineStr">
        <is>
          <t>10 EVIDENCE &amp; DECISIONS</t>
        </is>
      </c>
      <c r="G981" s="14" t="n"/>
    </row>
    <row r="982" ht="79" customHeight="1">
      <c r="A982" s="12" t="inlineStr">
        <is>
          <t>R411-v1</t>
        </is>
      </c>
      <c r="B982" s="12" t="inlineStr">
        <is>
          <t>SCH-03-051</t>
        </is>
      </c>
      <c r="C982" s="12" t="inlineStr">
        <is>
          <t>New</t>
        </is>
      </c>
      <c r="D982" s="12" t="inlineStr">
        <is>
          <t>Record first supplied in this revision</t>
        </is>
      </c>
      <c r="E982" s="12" t="inlineStr"/>
      <c r="F982" s="65" t="inlineStr">
        <is>
          <t>10 EVIDENCE &amp; DECISIONS</t>
        </is>
      </c>
      <c r="G982" s="14" t="n"/>
    </row>
    <row r="983" ht="79" customHeight="1">
      <c r="A983" s="12" t="inlineStr">
        <is>
          <t>R412-v1</t>
        </is>
      </c>
      <c r="B983" s="12" t="inlineStr">
        <is>
          <t>SCH-03-052</t>
        </is>
      </c>
      <c r="C983" s="12" t="inlineStr">
        <is>
          <t>New</t>
        </is>
      </c>
      <c r="D983" s="12" t="inlineStr">
        <is>
          <t>Record first supplied in this revision</t>
        </is>
      </c>
      <c r="E983" s="12" t="inlineStr"/>
      <c r="F983" s="65" t="inlineStr">
        <is>
          <t>10 EVIDENCE &amp; DECISIONS</t>
        </is>
      </c>
      <c r="G983" s="14" t="n"/>
    </row>
    <row r="984" ht="79" customHeight="1">
      <c r="A984" s="12" t="inlineStr">
        <is>
          <t>R413-v1</t>
        </is>
      </c>
      <c r="B984" s="12" t="inlineStr">
        <is>
          <t>SCH-03-053</t>
        </is>
      </c>
      <c r="C984" s="12" t="inlineStr">
        <is>
          <t>New</t>
        </is>
      </c>
      <c r="D984" s="12" t="inlineStr">
        <is>
          <t>Record first supplied in this revision</t>
        </is>
      </c>
      <c r="E984" s="12" t="inlineStr"/>
      <c r="F984" s="65" t="inlineStr">
        <is>
          <t>10 EVIDENCE &amp; DECISIONS</t>
        </is>
      </c>
      <c r="G984" s="14" t="n"/>
    </row>
    <row r="985" ht="79" customHeight="1">
      <c r="A985" s="12" t="inlineStr">
        <is>
          <t>R414-v1</t>
        </is>
      </c>
      <c r="B985" s="12" t="inlineStr">
        <is>
          <t>SCH-03-054</t>
        </is>
      </c>
      <c r="C985" s="12" t="inlineStr">
        <is>
          <t>New</t>
        </is>
      </c>
      <c r="D985" s="12" t="inlineStr">
        <is>
          <t>Record first supplied in this revision</t>
        </is>
      </c>
      <c r="E985" s="12" t="inlineStr"/>
      <c r="F985" s="65" t="inlineStr">
        <is>
          <t>10 EVIDENCE &amp; DECISIONS</t>
        </is>
      </c>
      <c r="G985" s="14" t="n"/>
    </row>
    <row r="986" ht="79" customHeight="1">
      <c r="A986" s="12" t="inlineStr">
        <is>
          <t>R415-v1</t>
        </is>
      </c>
      <c r="B986" s="12" t="inlineStr">
        <is>
          <t>SCH-03-055</t>
        </is>
      </c>
      <c r="C986" s="12" t="inlineStr">
        <is>
          <t>New</t>
        </is>
      </c>
      <c r="D986" s="12" t="inlineStr">
        <is>
          <t>Record first supplied in this revision</t>
        </is>
      </c>
      <c r="E986" s="12" t="inlineStr"/>
      <c r="F986" s="65" t="inlineStr">
        <is>
          <t>10 EVIDENCE &amp; DECISIONS</t>
        </is>
      </c>
      <c r="G986" s="14" t="n"/>
    </row>
    <row r="987" ht="79" customHeight="1">
      <c r="A987" s="12" t="inlineStr">
        <is>
          <t>R416-v1</t>
        </is>
      </c>
      <c r="B987" s="12" t="inlineStr">
        <is>
          <t>SCH-03-056</t>
        </is>
      </c>
      <c r="C987" s="12" t="inlineStr">
        <is>
          <t>New</t>
        </is>
      </c>
      <c r="D987" s="12" t="inlineStr">
        <is>
          <t>Record first supplied in this revision</t>
        </is>
      </c>
      <c r="E987" s="12" t="inlineStr"/>
      <c r="F987" s="65" t="inlineStr">
        <is>
          <t>10 EVIDENCE &amp; DECISIONS</t>
        </is>
      </c>
      <c r="G987" s="14" t="n"/>
    </row>
    <row r="988" ht="79" customHeight="1">
      <c r="A988" s="12" t="inlineStr">
        <is>
          <t>R417-v1</t>
        </is>
      </c>
      <c r="B988" s="12" t="inlineStr">
        <is>
          <t>SCH-03-057</t>
        </is>
      </c>
      <c r="C988" s="12" t="inlineStr">
        <is>
          <t>New</t>
        </is>
      </c>
      <c r="D988" s="12" t="inlineStr">
        <is>
          <t>Record first supplied in this revision</t>
        </is>
      </c>
      <c r="E988" s="12" t="inlineStr"/>
      <c r="F988" s="65" t="inlineStr">
        <is>
          <t>10 EVIDENCE &amp; DECISIONS</t>
        </is>
      </c>
      <c r="G988" s="14" t="n"/>
    </row>
    <row r="989" ht="79" customHeight="1">
      <c r="A989" s="12" t="inlineStr">
        <is>
          <t>R418-v1</t>
        </is>
      </c>
      <c r="B989" s="12" t="inlineStr">
        <is>
          <t>SCH-03-058</t>
        </is>
      </c>
      <c r="C989" s="12" t="inlineStr">
        <is>
          <t>New</t>
        </is>
      </c>
      <c r="D989" s="12" t="inlineStr">
        <is>
          <t>Record first supplied in this revision</t>
        </is>
      </c>
      <c r="E989" s="12" t="inlineStr"/>
      <c r="F989" s="65" t="inlineStr">
        <is>
          <t>10 EVIDENCE &amp; DECISIONS</t>
        </is>
      </c>
      <c r="G989" s="14" t="n"/>
    </row>
    <row r="990" ht="79" customHeight="1">
      <c r="A990" s="12" t="inlineStr">
        <is>
          <t>R419-v1</t>
        </is>
      </c>
      <c r="B990" s="12" t="inlineStr">
        <is>
          <t>SCH-03-059</t>
        </is>
      </c>
      <c r="C990" s="12" t="inlineStr">
        <is>
          <t>New</t>
        </is>
      </c>
      <c r="D990" s="12" t="inlineStr">
        <is>
          <t>Record first supplied in this revision</t>
        </is>
      </c>
      <c r="E990" s="12" t="inlineStr"/>
      <c r="F990" s="65" t="inlineStr">
        <is>
          <t>10 EVIDENCE &amp; DECISIONS</t>
        </is>
      </c>
      <c r="G990" s="14" t="n"/>
    </row>
    <row r="991" ht="79" customHeight="1">
      <c r="A991" s="12" t="inlineStr">
        <is>
          <t>R420-v1</t>
        </is>
      </c>
      <c r="B991" s="12" t="inlineStr">
        <is>
          <t>SCH-03-060</t>
        </is>
      </c>
      <c r="C991" s="12" t="inlineStr">
        <is>
          <t>New</t>
        </is>
      </c>
      <c r="D991" s="12" t="inlineStr">
        <is>
          <t>Record first supplied in this revision</t>
        </is>
      </c>
      <c r="E991" s="12" t="inlineStr"/>
      <c r="F991" s="65" t="inlineStr">
        <is>
          <t>10 EVIDENCE &amp; DECISIONS</t>
        </is>
      </c>
      <c r="G991" s="14" t="n"/>
    </row>
    <row r="992" ht="79" customHeight="1">
      <c r="A992" s="12" t="inlineStr">
        <is>
          <t>R421-v1</t>
        </is>
      </c>
      <c r="B992" s="12" t="inlineStr">
        <is>
          <t>SCH-03-061</t>
        </is>
      </c>
      <c r="C992" s="12" t="inlineStr">
        <is>
          <t>New</t>
        </is>
      </c>
      <c r="D992" s="12" t="inlineStr">
        <is>
          <t>Record first supplied in this revision</t>
        </is>
      </c>
      <c r="E992" s="12" t="inlineStr"/>
      <c r="F992" s="65" t="inlineStr">
        <is>
          <t>10 EVIDENCE &amp; DECISIONS</t>
        </is>
      </c>
      <c r="G992" s="14" t="n"/>
    </row>
    <row r="993" ht="79" customHeight="1">
      <c r="A993" s="12" t="inlineStr">
        <is>
          <t>R422-v1</t>
        </is>
      </c>
      <c r="B993" s="12" t="inlineStr">
        <is>
          <t>SCH-03-062</t>
        </is>
      </c>
      <c r="C993" s="12" t="inlineStr">
        <is>
          <t>New</t>
        </is>
      </c>
      <c r="D993" s="12" t="inlineStr">
        <is>
          <t>Record first supplied in this revision</t>
        </is>
      </c>
      <c r="E993" s="12" t="inlineStr"/>
      <c r="F993" s="65" t="inlineStr">
        <is>
          <t>10 EVIDENCE &amp; DECISIONS</t>
        </is>
      </c>
      <c r="G993" s="14" t="n"/>
    </row>
    <row r="994" ht="79" customHeight="1">
      <c r="A994" s="12" t="inlineStr">
        <is>
          <t>R423-v1</t>
        </is>
      </c>
      <c r="B994" s="12" t="inlineStr">
        <is>
          <t>SCH-03-063</t>
        </is>
      </c>
      <c r="C994" s="12" t="inlineStr">
        <is>
          <t>New</t>
        </is>
      </c>
      <c r="D994" s="12" t="inlineStr">
        <is>
          <t>Record first supplied in this revision</t>
        </is>
      </c>
      <c r="E994" s="12" t="inlineStr"/>
      <c r="F994" s="65" t="inlineStr">
        <is>
          <t>10 EVIDENCE &amp; DECISIONS</t>
        </is>
      </c>
      <c r="G994" s="14" t="n"/>
    </row>
    <row r="995" ht="79" customHeight="1">
      <c r="A995" s="12" t="inlineStr">
        <is>
          <t>R424-v1</t>
        </is>
      </c>
      <c r="B995" s="12" t="inlineStr">
        <is>
          <t>SCH-03-064</t>
        </is>
      </c>
      <c r="C995" s="12" t="inlineStr">
        <is>
          <t>New</t>
        </is>
      </c>
      <c r="D995" s="12" t="inlineStr">
        <is>
          <t>Record first supplied in this revision</t>
        </is>
      </c>
      <c r="E995" s="12" t="inlineStr"/>
      <c r="F995" s="65" t="inlineStr">
        <is>
          <t>10 EVIDENCE &amp; DECISIONS</t>
        </is>
      </c>
      <c r="G995" s="14" t="n"/>
    </row>
    <row r="996" ht="79" customHeight="1">
      <c r="A996" s="12" t="inlineStr">
        <is>
          <t>R425-v1</t>
        </is>
      </c>
      <c r="B996" s="12" t="inlineStr">
        <is>
          <t>SCH-03-065</t>
        </is>
      </c>
      <c r="C996" s="12" t="inlineStr">
        <is>
          <t>New</t>
        </is>
      </c>
      <c r="D996" s="12" t="inlineStr">
        <is>
          <t>Record first supplied in this revision</t>
        </is>
      </c>
      <c r="E996" s="12" t="inlineStr"/>
      <c r="F996" s="65" t="inlineStr">
        <is>
          <t>10 EVIDENCE &amp; DECISIONS</t>
        </is>
      </c>
      <c r="G996" s="14" t="n"/>
    </row>
    <row r="997" ht="79" customHeight="1">
      <c r="A997" s="12" t="inlineStr">
        <is>
          <t>R426-v1</t>
        </is>
      </c>
      <c r="B997" s="12" t="inlineStr">
        <is>
          <t>SCH-03-066</t>
        </is>
      </c>
      <c r="C997" s="12" t="inlineStr">
        <is>
          <t>New</t>
        </is>
      </c>
      <c r="D997" s="12" t="inlineStr">
        <is>
          <t>Record first supplied in this revision</t>
        </is>
      </c>
      <c r="E997" s="12" t="inlineStr"/>
      <c r="F997" s="65" t="inlineStr">
        <is>
          <t>10 EVIDENCE &amp; DECISIONS</t>
        </is>
      </c>
      <c r="G997" s="14" t="n"/>
    </row>
    <row r="998" ht="79" customHeight="1">
      <c r="A998" s="12" t="inlineStr">
        <is>
          <t>R427-v1</t>
        </is>
      </c>
      <c r="B998" s="12" t="inlineStr">
        <is>
          <t>SCH-03-067</t>
        </is>
      </c>
      <c r="C998" s="12" t="inlineStr">
        <is>
          <t>New</t>
        </is>
      </c>
      <c r="D998" s="12" t="inlineStr">
        <is>
          <t>Record first supplied in this revision</t>
        </is>
      </c>
      <c r="E998" s="12" t="inlineStr"/>
      <c r="F998" s="65" t="inlineStr">
        <is>
          <t>10 EVIDENCE &amp; DECISIONS</t>
        </is>
      </c>
      <c r="G998" s="14" t="n"/>
    </row>
    <row r="999" ht="79" customHeight="1">
      <c r="A999" s="12" t="inlineStr">
        <is>
          <t>R428-v1</t>
        </is>
      </c>
      <c r="B999" s="12" t="inlineStr">
        <is>
          <t>SCH-03-068</t>
        </is>
      </c>
      <c r="C999" s="12" t="inlineStr">
        <is>
          <t>New</t>
        </is>
      </c>
      <c r="D999" s="12" t="inlineStr">
        <is>
          <t>Record first supplied in this revision</t>
        </is>
      </c>
      <c r="E999" s="12" t="inlineStr"/>
      <c r="F999" s="65" t="inlineStr">
        <is>
          <t>10 EVIDENCE &amp; DECISIONS</t>
        </is>
      </c>
      <c r="G999" s="14" t="n"/>
    </row>
    <row r="1000" ht="79" customHeight="1">
      <c r="A1000" s="12" t="inlineStr">
        <is>
          <t>R429-v1</t>
        </is>
      </c>
      <c r="B1000" s="12" t="inlineStr">
        <is>
          <t>SCH-03-069</t>
        </is>
      </c>
      <c r="C1000" s="12" t="inlineStr">
        <is>
          <t>New</t>
        </is>
      </c>
      <c r="D1000" s="12" t="inlineStr">
        <is>
          <t>Record first supplied in this revision</t>
        </is>
      </c>
      <c r="E1000" s="12" t="inlineStr"/>
      <c r="F1000" s="65" t="inlineStr">
        <is>
          <t>10 EVIDENCE &amp; DECISIONS</t>
        </is>
      </c>
      <c r="G1000" s="14" t="n"/>
    </row>
    <row r="1001" ht="79" customHeight="1">
      <c r="A1001" s="12" t="inlineStr">
        <is>
          <t>R430-v1</t>
        </is>
      </c>
      <c r="B1001" s="12" t="inlineStr">
        <is>
          <t>SCH-03-070</t>
        </is>
      </c>
      <c r="C1001" s="12" t="inlineStr">
        <is>
          <t>New</t>
        </is>
      </c>
      <c r="D1001" s="12" t="inlineStr">
        <is>
          <t>Record first supplied in this revision</t>
        </is>
      </c>
      <c r="E1001" s="12" t="inlineStr"/>
      <c r="F1001" s="65" t="inlineStr">
        <is>
          <t>10 EVIDENCE &amp; DECISIONS</t>
        </is>
      </c>
      <c r="G1001" s="14" t="n"/>
    </row>
    <row r="1002" ht="79" customHeight="1">
      <c r="A1002" s="12" t="inlineStr">
        <is>
          <t>R431-v1</t>
        </is>
      </c>
      <c r="B1002" s="12" t="inlineStr">
        <is>
          <t>SCH-03-071</t>
        </is>
      </c>
      <c r="C1002" s="12" t="inlineStr">
        <is>
          <t>New</t>
        </is>
      </c>
      <c r="D1002" s="12" t="inlineStr">
        <is>
          <t>Record first supplied in this revision</t>
        </is>
      </c>
      <c r="E1002" s="12" t="inlineStr"/>
      <c r="F1002" s="65" t="inlineStr">
        <is>
          <t>10 EVIDENCE &amp; DECISIONS</t>
        </is>
      </c>
      <c r="G1002" s="14" t="n"/>
    </row>
    <row r="1003" ht="79" customHeight="1">
      <c r="A1003" s="12" t="inlineStr">
        <is>
          <t>R432-v1</t>
        </is>
      </c>
      <c r="B1003" s="12" t="inlineStr">
        <is>
          <t>SCH-03-072</t>
        </is>
      </c>
      <c r="C1003" s="12" t="inlineStr">
        <is>
          <t>New</t>
        </is>
      </c>
      <c r="D1003" s="12" t="inlineStr">
        <is>
          <t>Record first supplied in this revision</t>
        </is>
      </c>
      <c r="E1003" s="12" t="inlineStr"/>
      <c r="F1003" s="65" t="inlineStr">
        <is>
          <t>10 EVIDENCE &amp; DECISIONS</t>
        </is>
      </c>
      <c r="G1003" s="14" t="n"/>
    </row>
    <row r="1004" ht="79" customHeight="1">
      <c r="A1004" s="12" t="inlineStr">
        <is>
          <t>R433-v1</t>
        </is>
      </c>
      <c r="B1004" s="12" t="inlineStr">
        <is>
          <t>SCH-03-073</t>
        </is>
      </c>
      <c r="C1004" s="12" t="inlineStr">
        <is>
          <t>New</t>
        </is>
      </c>
      <c r="D1004" s="12" t="inlineStr">
        <is>
          <t>Record first supplied in this revision</t>
        </is>
      </c>
      <c r="E1004" s="12" t="inlineStr"/>
      <c r="F1004" s="65" t="inlineStr">
        <is>
          <t>10 EVIDENCE &amp; DECISIONS</t>
        </is>
      </c>
      <c r="G1004" s="14" t="n"/>
    </row>
    <row r="1005" ht="79" customHeight="1">
      <c r="A1005" s="12" t="inlineStr">
        <is>
          <t>R434-v1</t>
        </is>
      </c>
      <c r="B1005" s="12" t="inlineStr">
        <is>
          <t>SCH-03-074</t>
        </is>
      </c>
      <c r="C1005" s="12" t="inlineStr">
        <is>
          <t>New</t>
        </is>
      </c>
      <c r="D1005" s="12" t="inlineStr">
        <is>
          <t>Record first supplied in this revision</t>
        </is>
      </c>
      <c r="E1005" s="12" t="inlineStr"/>
      <c r="F1005" s="65" t="inlineStr">
        <is>
          <t>10 EVIDENCE &amp; DECISIONS</t>
        </is>
      </c>
      <c r="G1005" s="14" t="n"/>
    </row>
    <row r="1006" ht="79" customHeight="1">
      <c r="A1006" s="12" t="inlineStr">
        <is>
          <t>R435-v1</t>
        </is>
      </c>
      <c r="B1006" s="12" t="inlineStr">
        <is>
          <t>SCH-03-075</t>
        </is>
      </c>
      <c r="C1006" s="12" t="inlineStr">
        <is>
          <t>New</t>
        </is>
      </c>
      <c r="D1006" s="12" t="inlineStr">
        <is>
          <t>Record first supplied in this revision</t>
        </is>
      </c>
      <c r="E1006" s="12" t="inlineStr"/>
      <c r="F1006" s="65" t="inlineStr">
        <is>
          <t>10 EVIDENCE &amp; DECISIONS</t>
        </is>
      </c>
      <c r="G1006" s="14" t="n"/>
    </row>
    <row r="1007" ht="79" customHeight="1">
      <c r="A1007" s="12" t="inlineStr">
        <is>
          <t>R436-v1</t>
        </is>
      </c>
      <c r="B1007" s="12" t="inlineStr">
        <is>
          <t>SCH-03-076</t>
        </is>
      </c>
      <c r="C1007" s="12" t="inlineStr">
        <is>
          <t>New</t>
        </is>
      </c>
      <c r="D1007" s="12" t="inlineStr">
        <is>
          <t>Record first supplied in this revision</t>
        </is>
      </c>
      <c r="E1007" s="12" t="inlineStr"/>
      <c r="F1007" s="65" t="inlineStr">
        <is>
          <t>10 EVIDENCE &amp; DECISIONS</t>
        </is>
      </c>
      <c r="G1007" s="14" t="n"/>
    </row>
    <row r="1008" ht="79" customHeight="1">
      <c r="A1008" s="12" t="inlineStr">
        <is>
          <t>R437-v1</t>
        </is>
      </c>
      <c r="B1008" s="12" t="inlineStr">
        <is>
          <t>SCH-03-077</t>
        </is>
      </c>
      <c r="C1008" s="12" t="inlineStr">
        <is>
          <t>New</t>
        </is>
      </c>
      <c r="D1008" s="12" t="inlineStr">
        <is>
          <t>Record first supplied in this revision</t>
        </is>
      </c>
      <c r="E1008" s="12" t="inlineStr"/>
      <c r="F1008" s="65" t="inlineStr">
        <is>
          <t>10 EVIDENCE &amp; DECISIONS</t>
        </is>
      </c>
      <c r="G1008" s="14" t="n"/>
    </row>
    <row r="1009" ht="79" customHeight="1">
      <c r="A1009" s="12" t="inlineStr">
        <is>
          <t>R438-v1</t>
        </is>
      </c>
      <c r="B1009" s="12" t="inlineStr">
        <is>
          <t>SCH-03-078</t>
        </is>
      </c>
      <c r="C1009" s="12" t="inlineStr">
        <is>
          <t>New</t>
        </is>
      </c>
      <c r="D1009" s="12" t="inlineStr">
        <is>
          <t>Record first supplied in this revision</t>
        </is>
      </c>
      <c r="E1009" s="12" t="inlineStr"/>
      <c r="F1009" s="65" t="inlineStr">
        <is>
          <t>10 EVIDENCE &amp; DECISIONS</t>
        </is>
      </c>
      <c r="G1009" s="14" t="n"/>
    </row>
    <row r="1010" ht="79" customHeight="1">
      <c r="A1010" s="12" t="inlineStr">
        <is>
          <t>R439-v1</t>
        </is>
      </c>
      <c r="B1010" s="12" t="inlineStr">
        <is>
          <t>SCH-03-079</t>
        </is>
      </c>
      <c r="C1010" s="12" t="inlineStr">
        <is>
          <t>New</t>
        </is>
      </c>
      <c r="D1010" s="12" t="inlineStr">
        <is>
          <t>Record first supplied in this revision</t>
        </is>
      </c>
      <c r="E1010" s="12" t="inlineStr"/>
      <c r="F1010" s="65" t="inlineStr">
        <is>
          <t>10 EVIDENCE &amp; DECISIONS</t>
        </is>
      </c>
      <c r="G1010" s="14" t="n"/>
    </row>
    <row r="1011" ht="79" customHeight="1">
      <c r="A1011" s="12" t="inlineStr">
        <is>
          <t>R440-v1</t>
        </is>
      </c>
      <c r="B1011" s="12" t="inlineStr">
        <is>
          <t>SCH-03-080</t>
        </is>
      </c>
      <c r="C1011" s="12" t="inlineStr">
        <is>
          <t>New</t>
        </is>
      </c>
      <c r="D1011" s="12" t="inlineStr">
        <is>
          <t>Record first supplied in this revision</t>
        </is>
      </c>
      <c r="E1011" s="12" t="inlineStr"/>
      <c r="F1011" s="65" t="inlineStr">
        <is>
          <t>10 EVIDENCE &amp; DECISIONS</t>
        </is>
      </c>
      <c r="G1011" s="14" t="n"/>
    </row>
    <row r="1012" ht="79" customHeight="1">
      <c r="A1012" s="12" t="inlineStr">
        <is>
          <t>R441-v1</t>
        </is>
      </c>
      <c r="B1012" s="12" t="inlineStr">
        <is>
          <t>SCH-03-081</t>
        </is>
      </c>
      <c r="C1012" s="12" t="inlineStr">
        <is>
          <t>New</t>
        </is>
      </c>
      <c r="D1012" s="12" t="inlineStr">
        <is>
          <t>Record first supplied in this revision</t>
        </is>
      </c>
      <c r="E1012" s="12" t="inlineStr"/>
      <c r="F1012" s="65" t="inlineStr">
        <is>
          <t>10 EVIDENCE &amp; DECISIONS</t>
        </is>
      </c>
      <c r="G1012" s="14" t="n"/>
    </row>
    <row r="1013" ht="79" customHeight="1">
      <c r="A1013" s="12" t="inlineStr">
        <is>
          <t>R442-v1</t>
        </is>
      </c>
      <c r="B1013" s="12" t="inlineStr">
        <is>
          <t>SCH-03-082</t>
        </is>
      </c>
      <c r="C1013" s="12" t="inlineStr">
        <is>
          <t>New</t>
        </is>
      </c>
      <c r="D1013" s="12" t="inlineStr">
        <is>
          <t>Record first supplied in this revision</t>
        </is>
      </c>
      <c r="E1013" s="12" t="inlineStr"/>
      <c r="F1013" s="65" t="inlineStr">
        <is>
          <t>10 EVIDENCE &amp; DECISIONS</t>
        </is>
      </c>
      <c r="G1013" s="14" t="n"/>
    </row>
    <row r="1014" ht="79" customHeight="1">
      <c r="A1014" s="12" t="inlineStr">
        <is>
          <t>R443-v1</t>
        </is>
      </c>
      <c r="B1014" s="12" t="inlineStr">
        <is>
          <t>SCH-03-083</t>
        </is>
      </c>
      <c r="C1014" s="12" t="inlineStr">
        <is>
          <t>New</t>
        </is>
      </c>
      <c r="D1014" s="12" t="inlineStr">
        <is>
          <t>Record first supplied in this revision</t>
        </is>
      </c>
      <c r="E1014" s="12" t="inlineStr"/>
      <c r="F1014" s="65" t="inlineStr">
        <is>
          <t>10 EVIDENCE &amp; DECISIONS</t>
        </is>
      </c>
      <c r="G1014" s="14" t="n"/>
    </row>
    <row r="1015" ht="79" customHeight="1">
      <c r="A1015" s="12" t="inlineStr">
        <is>
          <t>R444-v1</t>
        </is>
      </c>
      <c r="B1015" s="12" t="inlineStr">
        <is>
          <t>SCH-03-084</t>
        </is>
      </c>
      <c r="C1015" s="12" t="inlineStr">
        <is>
          <t>New</t>
        </is>
      </c>
      <c r="D1015" s="12" t="inlineStr">
        <is>
          <t>Record first supplied in this revision</t>
        </is>
      </c>
      <c r="E1015" s="12" t="inlineStr"/>
      <c r="F1015" s="65" t="inlineStr">
        <is>
          <t>10 EVIDENCE &amp; DECISIONS</t>
        </is>
      </c>
      <c r="G1015" s="14" t="n"/>
    </row>
    <row r="1016" ht="79" customHeight="1">
      <c r="A1016" s="12" t="inlineStr">
        <is>
          <t>R445-v1</t>
        </is>
      </c>
      <c r="B1016" s="12" t="inlineStr">
        <is>
          <t>SCH-03-085</t>
        </is>
      </c>
      <c r="C1016" s="12" t="inlineStr">
        <is>
          <t>New</t>
        </is>
      </c>
      <c r="D1016" s="12" t="inlineStr">
        <is>
          <t>Record first supplied in this revision</t>
        </is>
      </c>
      <c r="E1016" s="12" t="inlineStr"/>
      <c r="F1016" s="65" t="inlineStr">
        <is>
          <t>10 EVIDENCE &amp; DECISIONS</t>
        </is>
      </c>
      <c r="G1016" s="14" t="n"/>
    </row>
    <row r="1017" ht="79" customHeight="1">
      <c r="A1017" s="12" t="inlineStr">
        <is>
          <t>R446-v1</t>
        </is>
      </c>
      <c r="B1017" s="12" t="inlineStr">
        <is>
          <t>SCH-03-086</t>
        </is>
      </c>
      <c r="C1017" s="12" t="inlineStr">
        <is>
          <t>New</t>
        </is>
      </c>
      <c r="D1017" s="12" t="inlineStr">
        <is>
          <t>Record first supplied in this revision</t>
        </is>
      </c>
      <c r="E1017" s="12" t="inlineStr"/>
      <c r="F1017" s="65" t="inlineStr">
        <is>
          <t>10 EVIDENCE &amp; DECISIONS</t>
        </is>
      </c>
      <c r="G1017" s="14" t="n"/>
    </row>
    <row r="1018" ht="79" customHeight="1">
      <c r="A1018" s="12" t="inlineStr">
        <is>
          <t>R447-v1</t>
        </is>
      </c>
      <c r="B1018" s="12" t="inlineStr">
        <is>
          <t>SCH-03-087</t>
        </is>
      </c>
      <c r="C1018" s="12" t="inlineStr">
        <is>
          <t>New</t>
        </is>
      </c>
      <c r="D1018" s="12" t="inlineStr">
        <is>
          <t>Record first supplied in this revision</t>
        </is>
      </c>
      <c r="E1018" s="12" t="inlineStr"/>
      <c r="F1018" s="65" t="inlineStr">
        <is>
          <t>10 EVIDENCE &amp; DECISIONS</t>
        </is>
      </c>
      <c r="G1018" s="14" t="n"/>
    </row>
    <row r="1019" ht="79" customHeight="1">
      <c r="A1019" s="12" t="inlineStr">
        <is>
          <t>R448-v1</t>
        </is>
      </c>
      <c r="B1019" s="12" t="inlineStr">
        <is>
          <t>SCH-03-088</t>
        </is>
      </c>
      <c r="C1019" s="12" t="inlineStr">
        <is>
          <t>New</t>
        </is>
      </c>
      <c r="D1019" s="12" t="inlineStr">
        <is>
          <t>Record first supplied in this revision</t>
        </is>
      </c>
      <c r="E1019" s="12" t="inlineStr"/>
      <c r="F1019" s="65" t="inlineStr">
        <is>
          <t>10 EVIDENCE &amp; DECISIONS</t>
        </is>
      </c>
      <c r="G1019" s="14" t="n"/>
    </row>
    <row r="1020" ht="79" customHeight="1">
      <c r="A1020" s="12" t="inlineStr">
        <is>
          <t>R449-v1</t>
        </is>
      </c>
      <c r="B1020" s="12" t="inlineStr">
        <is>
          <t>SCH-03-089</t>
        </is>
      </c>
      <c r="C1020" s="12" t="inlineStr">
        <is>
          <t>New</t>
        </is>
      </c>
      <c r="D1020" s="12" t="inlineStr">
        <is>
          <t>Record first supplied in this revision</t>
        </is>
      </c>
      <c r="E1020" s="12" t="inlineStr"/>
      <c r="F1020" s="65" t="inlineStr">
        <is>
          <t>10 EVIDENCE &amp; DECISIONS</t>
        </is>
      </c>
      <c r="G1020" s="14" t="n"/>
    </row>
    <row r="1021" ht="79" customHeight="1">
      <c r="A1021" s="12" t="inlineStr">
        <is>
          <t>R450-v1</t>
        </is>
      </c>
      <c r="B1021" s="12" t="inlineStr">
        <is>
          <t>SCH-03-090</t>
        </is>
      </c>
      <c r="C1021" s="12" t="inlineStr">
        <is>
          <t>New</t>
        </is>
      </c>
      <c r="D1021" s="12" t="inlineStr">
        <is>
          <t>Record first supplied in this revision</t>
        </is>
      </c>
      <c r="E1021" s="12" t="inlineStr"/>
      <c r="F1021" s="65" t="inlineStr">
        <is>
          <t>10 EVIDENCE &amp; DECISIONS</t>
        </is>
      </c>
      <c r="G1021" s="14" t="n"/>
    </row>
    <row r="1022" ht="79" customHeight="1">
      <c r="A1022" s="12" t="inlineStr">
        <is>
          <t>R451-v1</t>
        </is>
      </c>
      <c r="B1022" s="12" t="inlineStr">
        <is>
          <t>SCH-03-091</t>
        </is>
      </c>
      <c r="C1022" s="12" t="inlineStr">
        <is>
          <t>New</t>
        </is>
      </c>
      <c r="D1022" s="12" t="inlineStr">
        <is>
          <t>Record first supplied in this revision</t>
        </is>
      </c>
      <c r="E1022" s="12" t="inlineStr"/>
      <c r="F1022" s="65" t="inlineStr">
        <is>
          <t>10 EVIDENCE &amp; DECISIONS</t>
        </is>
      </c>
      <c r="G1022" s="14" t="n"/>
    </row>
    <row r="1023" ht="79" customHeight="1">
      <c r="A1023" s="12" t="inlineStr">
        <is>
          <t>R452-v1</t>
        </is>
      </c>
      <c r="B1023" s="12" t="inlineStr">
        <is>
          <t>SCH-03-092</t>
        </is>
      </c>
      <c r="C1023" s="12" t="inlineStr">
        <is>
          <t>New</t>
        </is>
      </c>
      <c r="D1023" s="12" t="inlineStr">
        <is>
          <t>Record first supplied in this revision</t>
        </is>
      </c>
      <c r="E1023" s="12" t="inlineStr"/>
      <c r="F1023" s="65" t="inlineStr">
        <is>
          <t>10 EVIDENCE &amp; DECISIONS</t>
        </is>
      </c>
      <c r="G1023" s="14" t="n"/>
    </row>
    <row r="1024" ht="79" customHeight="1">
      <c r="A1024" s="12" t="inlineStr">
        <is>
          <t>R453-v1</t>
        </is>
      </c>
      <c r="B1024" s="12" t="inlineStr">
        <is>
          <t>SCH-03-093</t>
        </is>
      </c>
      <c r="C1024" s="12" t="inlineStr">
        <is>
          <t>New</t>
        </is>
      </c>
      <c r="D1024" s="12" t="inlineStr">
        <is>
          <t>Record first supplied in this revision</t>
        </is>
      </c>
      <c r="E1024" s="12" t="inlineStr"/>
      <c r="F1024" s="65" t="inlineStr">
        <is>
          <t>10 EVIDENCE &amp; DECISIONS</t>
        </is>
      </c>
      <c r="G1024" s="14" t="n"/>
    </row>
    <row r="1025" ht="79" customHeight="1">
      <c r="A1025" s="12" t="inlineStr">
        <is>
          <t>R454-v1</t>
        </is>
      </c>
      <c r="B1025" s="12" t="inlineStr">
        <is>
          <t>SCH-03-094</t>
        </is>
      </c>
      <c r="C1025" s="12" t="inlineStr">
        <is>
          <t>New</t>
        </is>
      </c>
      <c r="D1025" s="12" t="inlineStr">
        <is>
          <t>Record first supplied in this revision</t>
        </is>
      </c>
      <c r="E1025" s="12" t="inlineStr"/>
      <c r="F1025" s="65" t="inlineStr">
        <is>
          <t>10 EVIDENCE &amp; DECISIONS</t>
        </is>
      </c>
      <c r="G1025" s="14" t="n"/>
    </row>
    <row r="1026" ht="79" customHeight="1">
      <c r="A1026" s="12" t="inlineStr">
        <is>
          <t>R455-v1</t>
        </is>
      </c>
      <c r="B1026" s="12" t="inlineStr">
        <is>
          <t>SCH-03-095</t>
        </is>
      </c>
      <c r="C1026" s="12" t="inlineStr">
        <is>
          <t>New</t>
        </is>
      </c>
      <c r="D1026" s="12" t="inlineStr">
        <is>
          <t>Record first supplied in this revision</t>
        </is>
      </c>
      <c r="E1026" s="12" t="inlineStr"/>
      <c r="F1026" s="65" t="inlineStr">
        <is>
          <t>10 EVIDENCE &amp; DECISIONS</t>
        </is>
      </c>
      <c r="G1026" s="14" t="n"/>
    </row>
    <row r="1027" ht="79" customHeight="1">
      <c r="A1027" s="12" t="inlineStr">
        <is>
          <t>R456-v1</t>
        </is>
      </c>
      <c r="B1027" s="12" t="inlineStr">
        <is>
          <t>SCH-03-096</t>
        </is>
      </c>
      <c r="C1027" s="12" t="inlineStr">
        <is>
          <t>New</t>
        </is>
      </c>
      <c r="D1027" s="12" t="inlineStr">
        <is>
          <t>Record first supplied in this revision</t>
        </is>
      </c>
      <c r="E1027" s="12" t="inlineStr"/>
      <c r="F1027" s="65" t="inlineStr">
        <is>
          <t>10 EVIDENCE &amp; DECISIONS</t>
        </is>
      </c>
      <c r="G1027" s="14" t="n"/>
    </row>
    <row r="1028" ht="79" customHeight="1">
      <c r="A1028" s="12" t="inlineStr">
        <is>
          <t>R457-v1</t>
        </is>
      </c>
      <c r="B1028" s="12" t="inlineStr">
        <is>
          <t>SCH-03-097</t>
        </is>
      </c>
      <c r="C1028" s="12" t="inlineStr">
        <is>
          <t>New</t>
        </is>
      </c>
      <c r="D1028" s="12" t="inlineStr">
        <is>
          <t>Record first supplied in this revision</t>
        </is>
      </c>
      <c r="E1028" s="12" t="inlineStr"/>
      <c r="F1028" s="65" t="inlineStr">
        <is>
          <t>10 EVIDENCE &amp; DECISIONS</t>
        </is>
      </c>
      <c r="G1028" s="14" t="n"/>
    </row>
    <row r="1029" ht="79" customHeight="1">
      <c r="A1029" s="12" t="inlineStr">
        <is>
          <t>R458-v1</t>
        </is>
      </c>
      <c r="B1029" s="12" t="inlineStr">
        <is>
          <t>SCH-03-098</t>
        </is>
      </c>
      <c r="C1029" s="12" t="inlineStr">
        <is>
          <t>New</t>
        </is>
      </c>
      <c r="D1029" s="12" t="inlineStr">
        <is>
          <t>Record first supplied in this revision</t>
        </is>
      </c>
      <c r="E1029" s="12" t="inlineStr"/>
      <c r="F1029" s="65" t="inlineStr">
        <is>
          <t>10 EVIDENCE &amp; DECISIONS</t>
        </is>
      </c>
      <c r="G1029" s="14" t="n"/>
    </row>
    <row r="1030" ht="79" customHeight="1">
      <c r="A1030" s="12" t="inlineStr">
        <is>
          <t>R459-v1</t>
        </is>
      </c>
      <c r="B1030" s="12" t="inlineStr">
        <is>
          <t>SCH-03-099</t>
        </is>
      </c>
      <c r="C1030" s="12" t="inlineStr">
        <is>
          <t>New</t>
        </is>
      </c>
      <c r="D1030" s="12" t="inlineStr">
        <is>
          <t>Record first supplied in this revision</t>
        </is>
      </c>
      <c r="E1030" s="12" t="inlineStr"/>
      <c r="F1030" s="65" t="inlineStr">
        <is>
          <t>10 EVIDENCE &amp; DECISIONS</t>
        </is>
      </c>
      <c r="G1030" s="14" t="n"/>
    </row>
    <row r="1031" ht="79" customHeight="1">
      <c r="A1031" s="12" t="inlineStr">
        <is>
          <t>R460-v1</t>
        </is>
      </c>
      <c r="B1031" s="12" t="inlineStr">
        <is>
          <t>SCH-03-100</t>
        </is>
      </c>
      <c r="C1031" s="12" t="inlineStr">
        <is>
          <t>New</t>
        </is>
      </c>
      <c r="D1031" s="12" t="inlineStr">
        <is>
          <t>Record first supplied in this revision</t>
        </is>
      </c>
      <c r="E1031" s="12" t="inlineStr"/>
      <c r="F1031" s="65" t="inlineStr">
        <is>
          <t>10 EVIDENCE &amp; DECISIONS</t>
        </is>
      </c>
      <c r="G1031" s="14" t="n"/>
    </row>
    <row r="1032" ht="79" customHeight="1">
      <c r="A1032" s="12" t="inlineStr">
        <is>
          <t>R461-v1</t>
        </is>
      </c>
      <c r="B1032" s="12" t="inlineStr">
        <is>
          <t>SCH-03-101</t>
        </is>
      </c>
      <c r="C1032" s="12" t="inlineStr">
        <is>
          <t>New</t>
        </is>
      </c>
      <c r="D1032" s="12" t="inlineStr">
        <is>
          <t>Record first supplied in this revision</t>
        </is>
      </c>
      <c r="E1032" s="12" t="inlineStr"/>
      <c r="F1032" s="65" t="inlineStr">
        <is>
          <t>10 EVIDENCE &amp; DECISIONS</t>
        </is>
      </c>
      <c r="G1032" s="14" t="n"/>
    </row>
    <row r="1033" ht="79" customHeight="1">
      <c r="A1033" s="12" t="inlineStr">
        <is>
          <t>R462-v1</t>
        </is>
      </c>
      <c r="B1033" s="12" t="inlineStr">
        <is>
          <t>SCH-03-102</t>
        </is>
      </c>
      <c r="C1033" s="12" t="inlineStr">
        <is>
          <t>New</t>
        </is>
      </c>
      <c r="D1033" s="12" t="inlineStr">
        <is>
          <t>Record first supplied in this revision</t>
        </is>
      </c>
      <c r="E1033" s="12" t="inlineStr"/>
      <c r="F1033" s="65" t="inlineStr">
        <is>
          <t>10 EVIDENCE &amp; DECISIONS</t>
        </is>
      </c>
      <c r="G1033" s="14" t="n"/>
    </row>
    <row r="1034" ht="79" customHeight="1">
      <c r="A1034" s="12" t="inlineStr">
        <is>
          <t>R463-v1</t>
        </is>
      </c>
      <c r="B1034" s="12" t="inlineStr">
        <is>
          <t>SCH-03-103</t>
        </is>
      </c>
      <c r="C1034" s="12" t="inlineStr">
        <is>
          <t>New</t>
        </is>
      </c>
      <c r="D1034" s="12" t="inlineStr">
        <is>
          <t>Record first supplied in this revision</t>
        </is>
      </c>
      <c r="E1034" s="12" t="inlineStr"/>
      <c r="F1034" s="65" t="inlineStr">
        <is>
          <t>10 EVIDENCE &amp; DECISIONS</t>
        </is>
      </c>
      <c r="G1034" s="14" t="n"/>
    </row>
    <row r="1035" ht="79" customHeight="1">
      <c r="A1035" s="12" t="inlineStr">
        <is>
          <t>R464-v1</t>
        </is>
      </c>
      <c r="B1035" s="12" t="inlineStr">
        <is>
          <t>SCH-03-104</t>
        </is>
      </c>
      <c r="C1035" s="12" t="inlineStr">
        <is>
          <t>New</t>
        </is>
      </c>
      <c r="D1035" s="12" t="inlineStr">
        <is>
          <t>Record first supplied in this revision</t>
        </is>
      </c>
      <c r="E1035" s="12" t="inlineStr"/>
      <c r="F1035" s="65" t="inlineStr">
        <is>
          <t>10 EVIDENCE &amp; DECISIONS</t>
        </is>
      </c>
      <c r="G1035" s="14" t="n"/>
    </row>
    <row r="1036" ht="79" customHeight="1">
      <c r="A1036" s="12" t="inlineStr">
        <is>
          <t>R465-v1</t>
        </is>
      </c>
      <c r="B1036" s="12" t="inlineStr">
        <is>
          <t>SCH-03-105</t>
        </is>
      </c>
      <c r="C1036" s="12" t="inlineStr">
        <is>
          <t>New</t>
        </is>
      </c>
      <c r="D1036" s="12" t="inlineStr">
        <is>
          <t>Record first supplied in this revision</t>
        </is>
      </c>
      <c r="E1036" s="12" t="inlineStr"/>
      <c r="F1036" s="65" t="inlineStr">
        <is>
          <t>10 EVIDENCE &amp; DECISIONS</t>
        </is>
      </c>
      <c r="G1036" s="14" t="n"/>
    </row>
    <row r="1037" ht="79" customHeight="1">
      <c r="A1037" s="12" t="inlineStr">
        <is>
          <t>R466-v1</t>
        </is>
      </c>
      <c r="B1037" s="12" t="inlineStr">
        <is>
          <t>SCH-03-106</t>
        </is>
      </c>
      <c r="C1037" s="12" t="inlineStr">
        <is>
          <t>New</t>
        </is>
      </c>
      <c r="D1037" s="12" t="inlineStr">
        <is>
          <t>Record first supplied in this revision</t>
        </is>
      </c>
      <c r="E1037" s="12" t="inlineStr"/>
      <c r="F1037" s="65" t="inlineStr">
        <is>
          <t>10 EVIDENCE &amp; DECISIONS</t>
        </is>
      </c>
      <c r="G1037" s="14" t="n"/>
    </row>
    <row r="1038" ht="79" customHeight="1">
      <c r="A1038" s="12" t="inlineStr">
        <is>
          <t>R467-v1</t>
        </is>
      </c>
      <c r="B1038" s="12" t="inlineStr">
        <is>
          <t>SCH-03-107</t>
        </is>
      </c>
      <c r="C1038" s="12" t="inlineStr">
        <is>
          <t>New</t>
        </is>
      </c>
      <c r="D1038" s="12" t="inlineStr">
        <is>
          <t>Record first supplied in this revision</t>
        </is>
      </c>
      <c r="E1038" s="12" t="inlineStr"/>
      <c r="F1038" s="65" t="inlineStr">
        <is>
          <t>10 EVIDENCE &amp; DECISIONS</t>
        </is>
      </c>
      <c r="G1038" s="14" t="n"/>
    </row>
    <row r="1039" ht="79" customHeight="1">
      <c r="A1039" s="12" t="inlineStr">
        <is>
          <t>R468-v1</t>
        </is>
      </c>
      <c r="B1039" s="12" t="inlineStr">
        <is>
          <t>SCH-03-108</t>
        </is>
      </c>
      <c r="C1039" s="12" t="inlineStr">
        <is>
          <t>New</t>
        </is>
      </c>
      <c r="D1039" s="12" t="inlineStr">
        <is>
          <t>Record first supplied in this revision</t>
        </is>
      </c>
      <c r="E1039" s="12" t="inlineStr"/>
      <c r="F1039" s="65" t="inlineStr">
        <is>
          <t>10 EVIDENCE &amp; DECISIONS</t>
        </is>
      </c>
      <c r="G1039" s="14" t="n"/>
    </row>
    <row r="1040" ht="79" customHeight="1">
      <c r="A1040" s="12" t="inlineStr">
        <is>
          <t>R469-v1</t>
        </is>
      </c>
      <c r="B1040" s="12" t="inlineStr">
        <is>
          <t>SCH-03-109</t>
        </is>
      </c>
      <c r="C1040" s="12" t="inlineStr">
        <is>
          <t>New</t>
        </is>
      </c>
      <c r="D1040" s="12" t="inlineStr">
        <is>
          <t>Record first supplied in this revision</t>
        </is>
      </c>
      <c r="E1040" s="12" t="inlineStr"/>
      <c r="F1040" s="65" t="inlineStr">
        <is>
          <t>10 EVIDENCE &amp; DECISIONS</t>
        </is>
      </c>
      <c r="G1040" s="14" t="n"/>
    </row>
    <row r="1041" ht="79" customHeight="1">
      <c r="A1041" s="12" t="inlineStr">
        <is>
          <t>R470-v1</t>
        </is>
      </c>
      <c r="B1041" s="12" t="inlineStr">
        <is>
          <t>SCH-03-110</t>
        </is>
      </c>
      <c r="C1041" s="12" t="inlineStr">
        <is>
          <t>New</t>
        </is>
      </c>
      <c r="D1041" s="12" t="inlineStr">
        <is>
          <t>Record first supplied in this revision</t>
        </is>
      </c>
      <c r="E1041" s="12" t="inlineStr"/>
      <c r="F1041" s="65" t="inlineStr">
        <is>
          <t>10 EVIDENCE &amp; DECISIONS</t>
        </is>
      </c>
      <c r="G1041" s="14" t="n"/>
    </row>
    <row r="1042" ht="79" customHeight="1">
      <c r="A1042" s="12" t="inlineStr">
        <is>
          <t>R471-v1</t>
        </is>
      </c>
      <c r="B1042" s="12" t="inlineStr">
        <is>
          <t>SCH-03-111</t>
        </is>
      </c>
      <c r="C1042" s="12" t="inlineStr">
        <is>
          <t>New</t>
        </is>
      </c>
      <c r="D1042" s="12" t="inlineStr">
        <is>
          <t>Record first supplied in this revision</t>
        </is>
      </c>
      <c r="E1042" s="12" t="inlineStr"/>
      <c r="F1042" s="65" t="inlineStr">
        <is>
          <t>10 EVIDENCE &amp; DECISIONS</t>
        </is>
      </c>
      <c r="G1042" s="14" t="n"/>
    </row>
    <row r="1043" ht="79" customHeight="1">
      <c r="A1043" s="12" t="inlineStr">
        <is>
          <t>R472-v1</t>
        </is>
      </c>
      <c r="B1043" s="12" t="inlineStr">
        <is>
          <t>SCH-03-112</t>
        </is>
      </c>
      <c r="C1043" s="12" t="inlineStr">
        <is>
          <t>New</t>
        </is>
      </c>
      <c r="D1043" s="12" t="inlineStr">
        <is>
          <t>Record first supplied in this revision</t>
        </is>
      </c>
      <c r="E1043" s="12" t="inlineStr"/>
      <c r="F1043" s="65" t="inlineStr">
        <is>
          <t>10 EVIDENCE &amp; DECISIONS</t>
        </is>
      </c>
      <c r="G1043" s="14" t="n"/>
    </row>
    <row r="1044" ht="79" customHeight="1">
      <c r="A1044" s="12" t="inlineStr">
        <is>
          <t>R473-v1</t>
        </is>
      </c>
      <c r="B1044" s="12" t="inlineStr">
        <is>
          <t>SCH-03-113</t>
        </is>
      </c>
      <c r="C1044" s="12" t="inlineStr">
        <is>
          <t>New</t>
        </is>
      </c>
      <c r="D1044" s="12" t="inlineStr">
        <is>
          <t>Record first supplied in this revision</t>
        </is>
      </c>
      <c r="E1044" s="12" t="inlineStr"/>
      <c r="F1044" s="65" t="inlineStr">
        <is>
          <t>10 EVIDENCE &amp; DECISIONS</t>
        </is>
      </c>
      <c r="G1044" s="14" t="n"/>
    </row>
    <row r="1045" ht="79" customHeight="1">
      <c r="A1045" s="12" t="inlineStr">
        <is>
          <t>R474-v1</t>
        </is>
      </c>
      <c r="B1045" s="12" t="inlineStr">
        <is>
          <t>SCH-03-114</t>
        </is>
      </c>
      <c r="C1045" s="12" t="inlineStr">
        <is>
          <t>New</t>
        </is>
      </c>
      <c r="D1045" s="12" t="inlineStr">
        <is>
          <t>Record first supplied in this revision</t>
        </is>
      </c>
      <c r="E1045" s="12" t="inlineStr"/>
      <c r="F1045" s="65" t="inlineStr">
        <is>
          <t>10 EVIDENCE &amp; DECISIONS</t>
        </is>
      </c>
      <c r="G1045" s="14" t="n"/>
    </row>
    <row r="1046" ht="79" customHeight="1">
      <c r="A1046" s="12" t="inlineStr">
        <is>
          <t>R475-v1</t>
        </is>
      </c>
      <c r="B1046" s="12" t="inlineStr">
        <is>
          <t>SCH-03-115</t>
        </is>
      </c>
      <c r="C1046" s="12" t="inlineStr">
        <is>
          <t>New</t>
        </is>
      </c>
      <c r="D1046" s="12" t="inlineStr">
        <is>
          <t>Record first supplied in this revision</t>
        </is>
      </c>
      <c r="E1046" s="12" t="inlineStr"/>
      <c r="F1046" s="65" t="inlineStr">
        <is>
          <t>10 EVIDENCE &amp; DECISIONS</t>
        </is>
      </c>
      <c r="G1046" s="14" t="n"/>
    </row>
    <row r="1047" ht="79" customHeight="1">
      <c r="A1047" s="12" t="inlineStr">
        <is>
          <t>R476-v1</t>
        </is>
      </c>
      <c r="B1047" s="12" t="inlineStr">
        <is>
          <t>SCH-03-116</t>
        </is>
      </c>
      <c r="C1047" s="12" t="inlineStr">
        <is>
          <t>New</t>
        </is>
      </c>
      <c r="D1047" s="12" t="inlineStr">
        <is>
          <t>Record first supplied in this revision</t>
        </is>
      </c>
      <c r="E1047" s="12" t="inlineStr"/>
      <c r="F1047" s="65" t="inlineStr">
        <is>
          <t>10 EVIDENCE &amp; DECISIONS</t>
        </is>
      </c>
      <c r="G1047" s="14" t="n"/>
    </row>
    <row r="1048" ht="79" customHeight="1">
      <c r="A1048" s="12" t="inlineStr">
        <is>
          <t>R477-v1</t>
        </is>
      </c>
      <c r="B1048" s="12" t="inlineStr">
        <is>
          <t>SCH-03-117</t>
        </is>
      </c>
      <c r="C1048" s="12" t="inlineStr">
        <is>
          <t>New</t>
        </is>
      </c>
      <c r="D1048" s="12" t="inlineStr">
        <is>
          <t>Record first supplied in this revision</t>
        </is>
      </c>
      <c r="E1048" s="12" t="inlineStr"/>
      <c r="F1048" s="65" t="inlineStr">
        <is>
          <t>10 EVIDENCE &amp; DECISIONS</t>
        </is>
      </c>
      <c r="G1048" s="14" t="n"/>
    </row>
    <row r="1049" ht="79" customHeight="1">
      <c r="A1049" s="12" t="inlineStr">
        <is>
          <t>R478-v1</t>
        </is>
      </c>
      <c r="B1049" s="12" t="inlineStr">
        <is>
          <t>SCH-03-118</t>
        </is>
      </c>
      <c r="C1049" s="12" t="inlineStr">
        <is>
          <t>New</t>
        </is>
      </c>
      <c r="D1049" s="12" t="inlineStr">
        <is>
          <t>Record first supplied in this revision</t>
        </is>
      </c>
      <c r="E1049" s="12" t="inlineStr"/>
      <c r="F1049" s="65" t="inlineStr">
        <is>
          <t>10 EVIDENCE &amp; DECISIONS</t>
        </is>
      </c>
      <c r="G1049" s="14" t="n"/>
    </row>
    <row r="1050" ht="79" customHeight="1">
      <c r="A1050" s="12" t="inlineStr">
        <is>
          <t>R479-v1</t>
        </is>
      </c>
      <c r="B1050" s="12" t="inlineStr">
        <is>
          <t>SCH-03-119</t>
        </is>
      </c>
      <c r="C1050" s="12" t="inlineStr">
        <is>
          <t>New</t>
        </is>
      </c>
      <c r="D1050" s="12" t="inlineStr">
        <is>
          <t>Record first supplied in this revision</t>
        </is>
      </c>
      <c r="E1050" s="12" t="inlineStr"/>
      <c r="F1050" s="65" t="inlineStr">
        <is>
          <t>10 EVIDENCE &amp; DECISIONS</t>
        </is>
      </c>
      <c r="G1050" s="14" t="n"/>
    </row>
    <row r="1051" ht="79" customHeight="1">
      <c r="A1051" s="12" t="inlineStr">
        <is>
          <t>R480-v1</t>
        </is>
      </c>
      <c r="B1051" s="12" t="inlineStr">
        <is>
          <t>SCH-03-120</t>
        </is>
      </c>
      <c r="C1051" s="12" t="inlineStr">
        <is>
          <t>New</t>
        </is>
      </c>
      <c r="D1051" s="12" t="inlineStr">
        <is>
          <t>Record first supplied in this revision</t>
        </is>
      </c>
      <c r="E1051" s="12" t="inlineStr"/>
      <c r="F1051" s="65" t="inlineStr">
        <is>
          <t>10 EVIDENCE &amp; DECISIONS</t>
        </is>
      </c>
      <c r="G1051" s="14" t="n"/>
    </row>
    <row r="1052" ht="79" customHeight="1">
      <c r="A1052" s="12" t="inlineStr">
        <is>
          <t>R481-v1</t>
        </is>
      </c>
      <c r="B1052" s="12" t="inlineStr">
        <is>
          <t>SCH-03-121</t>
        </is>
      </c>
      <c r="C1052" s="12" t="inlineStr">
        <is>
          <t>New</t>
        </is>
      </c>
      <c r="D1052" s="12" t="inlineStr">
        <is>
          <t>Record first supplied in this revision</t>
        </is>
      </c>
      <c r="E1052" s="12" t="inlineStr"/>
      <c r="F1052" s="65" t="inlineStr">
        <is>
          <t>10 EVIDENCE &amp; DECISIONS</t>
        </is>
      </c>
      <c r="G1052" s="14" t="n"/>
    </row>
    <row r="1053" ht="79" customHeight="1">
      <c r="A1053" s="12" t="inlineStr">
        <is>
          <t>R482-v1</t>
        </is>
      </c>
      <c r="B1053" s="12" t="inlineStr">
        <is>
          <t>SCH-03-122</t>
        </is>
      </c>
      <c r="C1053" s="12" t="inlineStr">
        <is>
          <t>New</t>
        </is>
      </c>
      <c r="D1053" s="12" t="inlineStr">
        <is>
          <t>Record first supplied in this revision</t>
        </is>
      </c>
      <c r="E1053" s="12" t="inlineStr"/>
      <c r="F1053" s="65" t="inlineStr">
        <is>
          <t>10 EVIDENCE &amp; DECISIONS</t>
        </is>
      </c>
      <c r="G1053" s="14" t="n"/>
    </row>
    <row r="1054" ht="79" customHeight="1">
      <c r="A1054" s="12" t="inlineStr">
        <is>
          <t>R483-v1</t>
        </is>
      </c>
      <c r="B1054" s="12" t="inlineStr">
        <is>
          <t>SCH-03-123</t>
        </is>
      </c>
      <c r="C1054" s="12" t="inlineStr">
        <is>
          <t>New</t>
        </is>
      </c>
      <c r="D1054" s="12" t="inlineStr">
        <is>
          <t>Record first supplied in this revision</t>
        </is>
      </c>
      <c r="E1054" s="12" t="inlineStr"/>
      <c r="F1054" s="65" t="inlineStr">
        <is>
          <t>10 EVIDENCE &amp; DECISIONS</t>
        </is>
      </c>
      <c r="G1054" s="14" t="n"/>
    </row>
    <row r="1055" ht="79" customHeight="1">
      <c r="A1055" s="12" t="inlineStr">
        <is>
          <t>R484-v1</t>
        </is>
      </c>
      <c r="B1055" s="12" t="inlineStr">
        <is>
          <t>SCH-03-124</t>
        </is>
      </c>
      <c r="C1055" s="12" t="inlineStr">
        <is>
          <t>New</t>
        </is>
      </c>
      <c r="D1055" s="12" t="inlineStr">
        <is>
          <t>Record first supplied in this revision</t>
        </is>
      </c>
      <c r="E1055" s="12" t="inlineStr"/>
      <c r="F1055" s="65" t="inlineStr">
        <is>
          <t>10 EVIDENCE &amp; DECISIONS</t>
        </is>
      </c>
      <c r="G1055" s="14" t="n"/>
    </row>
    <row r="1056" ht="79" customHeight="1">
      <c r="A1056" s="12" t="inlineStr">
        <is>
          <t>R485-v1</t>
        </is>
      </c>
      <c r="B1056" s="12" t="inlineStr">
        <is>
          <t>SCH-03-125</t>
        </is>
      </c>
      <c r="C1056" s="12" t="inlineStr">
        <is>
          <t>New</t>
        </is>
      </c>
      <c r="D1056" s="12" t="inlineStr">
        <is>
          <t>Record first supplied in this revision</t>
        </is>
      </c>
      <c r="E1056" s="12" t="inlineStr"/>
      <c r="F1056" s="65" t="inlineStr">
        <is>
          <t>10 EVIDENCE &amp; DECISIONS</t>
        </is>
      </c>
      <c r="G1056" s="14" t="n"/>
    </row>
    <row r="1057" ht="79" customHeight="1">
      <c r="A1057" s="12" t="inlineStr">
        <is>
          <t>R486-v1</t>
        </is>
      </c>
      <c r="B1057" s="12" t="inlineStr">
        <is>
          <t>SCH-03-126</t>
        </is>
      </c>
      <c r="C1057" s="12" t="inlineStr">
        <is>
          <t>New</t>
        </is>
      </c>
      <c r="D1057" s="12" t="inlineStr">
        <is>
          <t>Record first supplied in this revision</t>
        </is>
      </c>
      <c r="E1057" s="12" t="inlineStr"/>
      <c r="F1057" s="65" t="inlineStr">
        <is>
          <t>10 EVIDENCE &amp; DECISIONS</t>
        </is>
      </c>
      <c r="G1057" s="14" t="n"/>
    </row>
    <row r="1058" ht="79" customHeight="1">
      <c r="A1058" s="12" t="inlineStr">
        <is>
          <t>R487-v1</t>
        </is>
      </c>
      <c r="B1058" s="12" t="inlineStr">
        <is>
          <t>SCH-03-127</t>
        </is>
      </c>
      <c r="C1058" s="12" t="inlineStr">
        <is>
          <t>New</t>
        </is>
      </c>
      <c r="D1058" s="12" t="inlineStr">
        <is>
          <t>Record first supplied in this revision</t>
        </is>
      </c>
      <c r="E1058" s="12" t="inlineStr"/>
      <c r="F1058" s="65" t="inlineStr">
        <is>
          <t>10 EVIDENCE &amp; DECISIONS</t>
        </is>
      </c>
      <c r="G1058" s="14" t="n"/>
    </row>
    <row r="1059" ht="79" customHeight="1">
      <c r="A1059" s="12" t="inlineStr">
        <is>
          <t>R488-v1</t>
        </is>
      </c>
      <c r="B1059" s="12" t="inlineStr">
        <is>
          <t>SCH-03-128</t>
        </is>
      </c>
      <c r="C1059" s="12" t="inlineStr">
        <is>
          <t>New</t>
        </is>
      </c>
      <c r="D1059" s="12" t="inlineStr">
        <is>
          <t>Record first supplied in this revision</t>
        </is>
      </c>
      <c r="E1059" s="12" t="inlineStr"/>
      <c r="F1059" s="65" t="inlineStr">
        <is>
          <t>10 EVIDENCE &amp; DECISIONS</t>
        </is>
      </c>
      <c r="G1059" s="14" t="n"/>
    </row>
    <row r="1060" ht="79" customHeight="1">
      <c r="A1060" s="12" t="inlineStr">
        <is>
          <t>R489-v1</t>
        </is>
      </c>
      <c r="B1060" s="12" t="inlineStr">
        <is>
          <t>SCH-03-129</t>
        </is>
      </c>
      <c r="C1060" s="12" t="inlineStr">
        <is>
          <t>New</t>
        </is>
      </c>
      <c r="D1060" s="12" t="inlineStr">
        <is>
          <t>Record first supplied in this revision</t>
        </is>
      </c>
      <c r="E1060" s="12" t="inlineStr"/>
      <c r="F1060" s="65" t="inlineStr">
        <is>
          <t>10 EVIDENCE &amp; DECISIONS</t>
        </is>
      </c>
      <c r="G1060" s="14" t="n"/>
    </row>
    <row r="1061" ht="79" customHeight="1">
      <c r="A1061" s="12" t="inlineStr">
        <is>
          <t>R490-v1</t>
        </is>
      </c>
      <c r="B1061" s="12" t="inlineStr">
        <is>
          <t>SCH-03-130</t>
        </is>
      </c>
      <c r="C1061" s="12" t="inlineStr">
        <is>
          <t>New</t>
        </is>
      </c>
      <c r="D1061" s="12" t="inlineStr">
        <is>
          <t>Record first supplied in this revision</t>
        </is>
      </c>
      <c r="E1061" s="12" t="inlineStr"/>
      <c r="F1061" s="65" t="inlineStr">
        <is>
          <t>10 EVIDENCE &amp; DECISIONS</t>
        </is>
      </c>
      <c r="G1061" s="14" t="n"/>
    </row>
    <row r="1062" ht="79" customHeight="1">
      <c r="A1062" s="12" t="inlineStr">
        <is>
          <t>R491-v1</t>
        </is>
      </c>
      <c r="B1062" s="12" t="inlineStr">
        <is>
          <t>SCH-03-131</t>
        </is>
      </c>
      <c r="C1062" s="12" t="inlineStr">
        <is>
          <t>New</t>
        </is>
      </c>
      <c r="D1062" s="12" t="inlineStr">
        <is>
          <t>Record first supplied in this revision</t>
        </is>
      </c>
      <c r="E1062" s="12" t="inlineStr"/>
      <c r="F1062" s="65" t="inlineStr">
        <is>
          <t>10 EVIDENCE &amp; DECISIONS</t>
        </is>
      </c>
      <c r="G1062" s="14" t="n"/>
    </row>
    <row r="1063" ht="79" customHeight="1">
      <c r="A1063" s="12" t="inlineStr">
        <is>
          <t>R492-v1</t>
        </is>
      </c>
      <c r="B1063" s="12" t="inlineStr">
        <is>
          <t>SCH-03-132</t>
        </is>
      </c>
      <c r="C1063" s="12" t="inlineStr">
        <is>
          <t>New</t>
        </is>
      </c>
      <c r="D1063" s="12" t="inlineStr">
        <is>
          <t>Record first supplied in this revision</t>
        </is>
      </c>
      <c r="E1063" s="12" t="inlineStr"/>
      <c r="F1063" s="65" t="inlineStr">
        <is>
          <t>10 EVIDENCE &amp; DECISIONS</t>
        </is>
      </c>
      <c r="G1063" s="14" t="n"/>
    </row>
    <row r="1064" ht="79" customHeight="1">
      <c r="A1064" s="12" t="inlineStr">
        <is>
          <t>R493-v1</t>
        </is>
      </c>
      <c r="B1064" s="12" t="inlineStr">
        <is>
          <t>SCH-03-133</t>
        </is>
      </c>
      <c r="C1064" s="12" t="inlineStr">
        <is>
          <t>New</t>
        </is>
      </c>
      <c r="D1064" s="12" t="inlineStr">
        <is>
          <t>Record first supplied in this revision</t>
        </is>
      </c>
      <c r="E1064" s="12" t="inlineStr"/>
      <c r="F1064" s="65" t="inlineStr">
        <is>
          <t>10 EVIDENCE &amp; DECISIONS</t>
        </is>
      </c>
      <c r="G1064" s="14" t="n"/>
    </row>
    <row r="1065" ht="79" customHeight="1">
      <c r="A1065" s="12" t="inlineStr">
        <is>
          <t>R494-v1</t>
        </is>
      </c>
      <c r="B1065" s="12" t="inlineStr">
        <is>
          <t>SCH-03-134</t>
        </is>
      </c>
      <c r="C1065" s="12" t="inlineStr">
        <is>
          <t>New</t>
        </is>
      </c>
      <c r="D1065" s="12" t="inlineStr">
        <is>
          <t>Record first supplied in this revision</t>
        </is>
      </c>
      <c r="E1065" s="12" t="inlineStr"/>
      <c r="F1065" s="65" t="inlineStr">
        <is>
          <t>10 EVIDENCE &amp; DECISIONS</t>
        </is>
      </c>
      <c r="G1065" s="14" t="n"/>
    </row>
    <row r="1066" ht="79" customHeight="1">
      <c r="A1066" s="12" t="inlineStr">
        <is>
          <t>R495-v1</t>
        </is>
      </c>
      <c r="B1066" s="12" t="inlineStr">
        <is>
          <t>SCH-03-135</t>
        </is>
      </c>
      <c r="C1066" s="12" t="inlineStr">
        <is>
          <t>New</t>
        </is>
      </c>
      <c r="D1066" s="12" t="inlineStr">
        <is>
          <t>Record first supplied in this revision</t>
        </is>
      </c>
      <c r="E1066" s="12" t="inlineStr"/>
      <c r="F1066" s="65" t="inlineStr">
        <is>
          <t>10 EVIDENCE &amp; DECISIONS</t>
        </is>
      </c>
      <c r="G1066" s="14" t="n"/>
    </row>
    <row r="1067" ht="79" customHeight="1">
      <c r="A1067" s="12" t="inlineStr">
        <is>
          <t>R496-v1</t>
        </is>
      </c>
      <c r="B1067" s="12" t="inlineStr">
        <is>
          <t>SCH-03-136</t>
        </is>
      </c>
      <c r="C1067" s="12" t="inlineStr">
        <is>
          <t>New</t>
        </is>
      </c>
      <c r="D1067" s="12" t="inlineStr">
        <is>
          <t>Record first supplied in this revision</t>
        </is>
      </c>
      <c r="E1067" s="12" t="inlineStr"/>
      <c r="F1067" s="65" t="inlineStr">
        <is>
          <t>10 EVIDENCE &amp; DECISIONS</t>
        </is>
      </c>
      <c r="G1067" s="14" t="n"/>
    </row>
    <row r="1068" ht="79" customHeight="1">
      <c r="A1068" s="12" t="inlineStr">
        <is>
          <t>R497-v1</t>
        </is>
      </c>
      <c r="B1068" s="12" t="inlineStr">
        <is>
          <t>SCH-03-137</t>
        </is>
      </c>
      <c r="C1068" s="12" t="inlineStr">
        <is>
          <t>New</t>
        </is>
      </c>
      <c r="D1068" s="12" t="inlineStr">
        <is>
          <t>Record first supplied in this revision</t>
        </is>
      </c>
      <c r="E1068" s="12" t="inlineStr"/>
      <c r="F1068" s="65" t="inlineStr">
        <is>
          <t>10 EVIDENCE &amp; DECISIONS</t>
        </is>
      </c>
      <c r="G1068" s="14" t="n"/>
    </row>
    <row r="1069" ht="79" customHeight="1">
      <c r="A1069" s="12" t="inlineStr">
        <is>
          <t>R498-v1</t>
        </is>
      </c>
      <c r="B1069" s="12" t="inlineStr">
        <is>
          <t>SCH-03-138</t>
        </is>
      </c>
      <c r="C1069" s="12" t="inlineStr">
        <is>
          <t>New</t>
        </is>
      </c>
      <c r="D1069" s="12" t="inlineStr">
        <is>
          <t>Record first supplied in this revision</t>
        </is>
      </c>
      <c r="E1069" s="12" t="inlineStr"/>
      <c r="F1069" s="65" t="inlineStr">
        <is>
          <t>10 EVIDENCE &amp; DECISIONS</t>
        </is>
      </c>
      <c r="G1069" s="14" t="n"/>
    </row>
    <row r="1070" ht="79" customHeight="1">
      <c r="A1070" s="12" t="inlineStr">
        <is>
          <t>R499-v1</t>
        </is>
      </c>
      <c r="B1070" s="12" t="inlineStr">
        <is>
          <t>SCH-03-139</t>
        </is>
      </c>
      <c r="C1070" s="12" t="inlineStr">
        <is>
          <t>New</t>
        </is>
      </c>
      <c r="D1070" s="12" t="inlineStr">
        <is>
          <t>Record first supplied in this revision</t>
        </is>
      </c>
      <c r="E1070" s="12" t="inlineStr"/>
      <c r="F1070" s="65" t="inlineStr">
        <is>
          <t>10 EVIDENCE &amp; DECISIONS</t>
        </is>
      </c>
      <c r="G1070" s="14" t="n"/>
    </row>
    <row r="1071" ht="79" customHeight="1">
      <c r="A1071" s="12" t="inlineStr">
        <is>
          <t>R500-v1</t>
        </is>
      </c>
      <c r="B1071" s="12" t="inlineStr">
        <is>
          <t>SCH-03-140</t>
        </is>
      </c>
      <c r="C1071" s="12" t="inlineStr">
        <is>
          <t>New</t>
        </is>
      </c>
      <c r="D1071" s="12" t="inlineStr">
        <is>
          <t>Record first supplied in this revision</t>
        </is>
      </c>
      <c r="E1071" s="12" t="inlineStr"/>
      <c r="F1071" s="65" t="inlineStr">
        <is>
          <t>10 EVIDENCE &amp; DECISIONS</t>
        </is>
      </c>
      <c r="G1071" s="14" t="n"/>
    </row>
    <row r="1072" ht="79" customHeight="1">
      <c r="A1072" s="12" t="inlineStr">
        <is>
          <t>R501-v1</t>
        </is>
      </c>
      <c r="B1072" s="12" t="inlineStr">
        <is>
          <t>SCH-03-141</t>
        </is>
      </c>
      <c r="C1072" s="12" t="inlineStr">
        <is>
          <t>New</t>
        </is>
      </c>
      <c r="D1072" s="12" t="inlineStr">
        <is>
          <t>Record first supplied in this revision</t>
        </is>
      </c>
      <c r="E1072" s="12" t="inlineStr"/>
      <c r="F1072" s="65" t="inlineStr">
        <is>
          <t>10 EVIDENCE &amp; DECISIONS</t>
        </is>
      </c>
      <c r="G1072" s="14" t="n"/>
    </row>
    <row r="1073" ht="79" customHeight="1">
      <c r="A1073" s="12" t="inlineStr">
        <is>
          <t>R502-v1</t>
        </is>
      </c>
      <c r="B1073" s="12" t="inlineStr">
        <is>
          <t>SCH-03-142</t>
        </is>
      </c>
      <c r="C1073" s="12" t="inlineStr">
        <is>
          <t>New</t>
        </is>
      </c>
      <c r="D1073" s="12" t="inlineStr">
        <is>
          <t>Record first supplied in this revision</t>
        </is>
      </c>
      <c r="E1073" s="12" t="inlineStr"/>
      <c r="F1073" s="65" t="inlineStr">
        <is>
          <t>10 EVIDENCE &amp; DECISIONS</t>
        </is>
      </c>
      <c r="G1073" s="14" t="n"/>
    </row>
    <row r="1074" ht="79" customHeight="1">
      <c r="A1074" s="12" t="inlineStr">
        <is>
          <t>R503-v1</t>
        </is>
      </c>
      <c r="B1074" s="12" t="inlineStr">
        <is>
          <t>SCH-03-143</t>
        </is>
      </c>
      <c r="C1074" s="12" t="inlineStr">
        <is>
          <t>New</t>
        </is>
      </c>
      <c r="D1074" s="12" t="inlineStr">
        <is>
          <t>Record first supplied in this revision</t>
        </is>
      </c>
      <c r="E1074" s="12" t="inlineStr"/>
      <c r="F1074" s="65" t="inlineStr">
        <is>
          <t>10 EVIDENCE &amp; DECISIONS</t>
        </is>
      </c>
      <c r="G1074" s="14" t="n"/>
    </row>
    <row r="1075" ht="79" customHeight="1">
      <c r="A1075" s="12" t="inlineStr">
        <is>
          <t>R504-v1</t>
        </is>
      </c>
      <c r="B1075" s="12" t="inlineStr">
        <is>
          <t>SCH-03-144</t>
        </is>
      </c>
      <c r="C1075" s="12" t="inlineStr">
        <is>
          <t>New</t>
        </is>
      </c>
      <c r="D1075" s="12" t="inlineStr">
        <is>
          <t>Record first supplied in this revision</t>
        </is>
      </c>
      <c r="E1075" s="12" t="inlineStr"/>
      <c r="F1075" s="65" t="inlineStr">
        <is>
          <t>10 EVIDENCE &amp; DECISIONS</t>
        </is>
      </c>
      <c r="G1075" s="14" t="n"/>
    </row>
    <row r="1076" ht="79" customHeight="1">
      <c r="A1076" s="12" t="inlineStr">
        <is>
          <t>R505-v1</t>
        </is>
      </c>
      <c r="B1076" s="12" t="inlineStr">
        <is>
          <t>SCH-03-145</t>
        </is>
      </c>
      <c r="C1076" s="12" t="inlineStr">
        <is>
          <t>New</t>
        </is>
      </c>
      <c r="D1076" s="12" t="inlineStr">
        <is>
          <t>Record first supplied in this revision</t>
        </is>
      </c>
      <c r="E1076" s="12" t="inlineStr"/>
      <c r="F1076" s="65" t="inlineStr">
        <is>
          <t>10 EVIDENCE &amp; DECISIONS</t>
        </is>
      </c>
      <c r="G1076" s="14" t="n"/>
    </row>
    <row r="1077" ht="79" customHeight="1">
      <c r="A1077" s="12" t="inlineStr">
        <is>
          <t>R506-v1</t>
        </is>
      </c>
      <c r="B1077" s="12" t="inlineStr">
        <is>
          <t>SCH-03-146</t>
        </is>
      </c>
      <c r="C1077" s="12" t="inlineStr">
        <is>
          <t>New</t>
        </is>
      </c>
      <c r="D1077" s="12" t="inlineStr">
        <is>
          <t>Record first supplied in this revision</t>
        </is>
      </c>
      <c r="E1077" s="12" t="inlineStr"/>
      <c r="F1077" s="65" t="inlineStr">
        <is>
          <t>10 EVIDENCE &amp; DECISIONS</t>
        </is>
      </c>
      <c r="G1077" s="14" t="n"/>
    </row>
    <row r="1078" ht="79" customHeight="1">
      <c r="A1078" s="12" t="inlineStr">
        <is>
          <t>R507-v1</t>
        </is>
      </c>
      <c r="B1078" s="12" t="inlineStr">
        <is>
          <t>SCH-03-147</t>
        </is>
      </c>
      <c r="C1078" s="12" t="inlineStr">
        <is>
          <t>New</t>
        </is>
      </c>
      <c r="D1078" s="12" t="inlineStr">
        <is>
          <t>Record first supplied in this revision</t>
        </is>
      </c>
      <c r="E1078" s="12" t="inlineStr"/>
      <c r="F1078" s="65" t="inlineStr">
        <is>
          <t>10 EVIDENCE &amp; DECISIONS</t>
        </is>
      </c>
      <c r="G1078" s="14" t="n"/>
    </row>
    <row r="1079" ht="79" customHeight="1">
      <c r="A1079" s="12" t="inlineStr">
        <is>
          <t>R508-v1</t>
        </is>
      </c>
      <c r="B1079" s="12" t="inlineStr">
        <is>
          <t>SCH-03-148</t>
        </is>
      </c>
      <c r="C1079" s="12" t="inlineStr">
        <is>
          <t>New</t>
        </is>
      </c>
      <c r="D1079" s="12" t="inlineStr">
        <is>
          <t>Record first supplied in this revision</t>
        </is>
      </c>
      <c r="E1079" s="12" t="inlineStr"/>
      <c r="F1079" s="65" t="inlineStr">
        <is>
          <t>10 EVIDENCE &amp; DECISIONS</t>
        </is>
      </c>
      <c r="G1079" s="14" t="n"/>
    </row>
    <row r="1080" ht="79" customHeight="1">
      <c r="A1080" s="12" t="inlineStr">
        <is>
          <t>R509-v1</t>
        </is>
      </c>
      <c r="B1080" s="12" t="inlineStr">
        <is>
          <t>SCH-03-149</t>
        </is>
      </c>
      <c r="C1080" s="12" t="inlineStr">
        <is>
          <t>New</t>
        </is>
      </c>
      <c r="D1080" s="12" t="inlineStr">
        <is>
          <t>Record first supplied in this revision</t>
        </is>
      </c>
      <c r="E1080" s="12" t="inlineStr"/>
      <c r="F1080" s="65" t="inlineStr">
        <is>
          <t>10 EVIDENCE &amp; DECISIONS</t>
        </is>
      </c>
      <c r="G1080" s="14" t="n"/>
    </row>
    <row r="1081" ht="79" customHeight="1">
      <c r="A1081" s="12" t="inlineStr">
        <is>
          <t>R510-v1</t>
        </is>
      </c>
      <c r="B1081" s="12" t="inlineStr">
        <is>
          <t>SCH-03-150</t>
        </is>
      </c>
      <c r="C1081" s="12" t="inlineStr">
        <is>
          <t>New</t>
        </is>
      </c>
      <c r="D1081" s="12" t="inlineStr">
        <is>
          <t>Record first supplied in this revision</t>
        </is>
      </c>
      <c r="E1081" s="12" t="inlineStr"/>
      <c r="F1081" s="65" t="inlineStr">
        <is>
          <t>10 EVIDENCE &amp; DECISIONS</t>
        </is>
      </c>
      <c r="G1081" s="14" t="n"/>
    </row>
    <row r="1082" ht="79" customHeight="1">
      <c r="A1082" s="12" t="inlineStr">
        <is>
          <t>R511-v1</t>
        </is>
      </c>
      <c r="B1082" s="12" t="inlineStr">
        <is>
          <t>SCH-03-151</t>
        </is>
      </c>
      <c r="C1082" s="12" t="inlineStr">
        <is>
          <t>New</t>
        </is>
      </c>
      <c r="D1082" s="12" t="inlineStr">
        <is>
          <t>Record first supplied in this revision</t>
        </is>
      </c>
      <c r="E1082" s="12" t="inlineStr"/>
      <c r="F1082" s="65" t="inlineStr">
        <is>
          <t>10 EVIDENCE &amp; DECISIONS</t>
        </is>
      </c>
      <c r="G1082" s="14" t="n"/>
    </row>
    <row r="1083" ht="79" customHeight="1">
      <c r="A1083" s="12" t="inlineStr">
        <is>
          <t>R512-v1</t>
        </is>
      </c>
      <c r="B1083" s="12" t="inlineStr">
        <is>
          <t>SCH-03-152</t>
        </is>
      </c>
      <c r="C1083" s="12" t="inlineStr">
        <is>
          <t>New</t>
        </is>
      </c>
      <c r="D1083" s="12" t="inlineStr">
        <is>
          <t>Record first supplied in this revision</t>
        </is>
      </c>
      <c r="E1083" s="12" t="inlineStr"/>
      <c r="F1083" s="65" t="inlineStr">
        <is>
          <t>10 EVIDENCE &amp; DECISIONS</t>
        </is>
      </c>
      <c r="G1083" s="14" t="n"/>
    </row>
    <row r="1084" ht="79" customHeight="1">
      <c r="A1084" s="12" t="inlineStr">
        <is>
          <t>R513-v1</t>
        </is>
      </c>
      <c r="B1084" s="12" t="inlineStr">
        <is>
          <t>SCH-03-153</t>
        </is>
      </c>
      <c r="C1084" s="12" t="inlineStr">
        <is>
          <t>New</t>
        </is>
      </c>
      <c r="D1084" s="12" t="inlineStr">
        <is>
          <t>Record first supplied in this revision</t>
        </is>
      </c>
      <c r="E1084" s="12" t="inlineStr"/>
      <c r="F1084" s="65" t="inlineStr">
        <is>
          <t>10 EVIDENCE &amp; DECISIONS</t>
        </is>
      </c>
      <c r="G1084" s="14" t="n"/>
    </row>
    <row r="1085" ht="79" customHeight="1">
      <c r="A1085" s="12" t="inlineStr">
        <is>
          <t>R514-v1</t>
        </is>
      </c>
      <c r="B1085" s="12" t="inlineStr">
        <is>
          <t>SCH-03-154</t>
        </is>
      </c>
      <c r="C1085" s="12" t="inlineStr">
        <is>
          <t>New</t>
        </is>
      </c>
      <c r="D1085" s="12" t="inlineStr">
        <is>
          <t>Record first supplied in this revision</t>
        </is>
      </c>
      <c r="E1085" s="12" t="inlineStr"/>
      <c r="F1085" s="65" t="inlineStr">
        <is>
          <t>10 EVIDENCE &amp; DECISIONS</t>
        </is>
      </c>
      <c r="G1085" s="14" t="n"/>
    </row>
    <row r="1086" ht="79" customHeight="1">
      <c r="A1086" s="12" t="inlineStr">
        <is>
          <t>R515-v1</t>
        </is>
      </c>
      <c r="B1086" s="12" t="inlineStr">
        <is>
          <t>SCH-03-155</t>
        </is>
      </c>
      <c r="C1086" s="12" t="inlineStr">
        <is>
          <t>New</t>
        </is>
      </c>
      <c r="D1086" s="12" t="inlineStr">
        <is>
          <t>Record first supplied in this revision</t>
        </is>
      </c>
      <c r="E1086" s="12" t="inlineStr"/>
      <c r="F1086" s="65" t="inlineStr">
        <is>
          <t>10 EVIDENCE &amp; DECISIONS</t>
        </is>
      </c>
      <c r="G1086" s="14" t="n"/>
    </row>
    <row r="1087" ht="79" customHeight="1">
      <c r="A1087" s="12" t="inlineStr">
        <is>
          <t>R516-v1</t>
        </is>
      </c>
      <c r="B1087" s="12" t="inlineStr">
        <is>
          <t>SCH-03-156</t>
        </is>
      </c>
      <c r="C1087" s="12" t="inlineStr">
        <is>
          <t>New</t>
        </is>
      </c>
      <c r="D1087" s="12" t="inlineStr">
        <is>
          <t>Record first supplied in this revision</t>
        </is>
      </c>
      <c r="E1087" s="12" t="inlineStr"/>
      <c r="F1087" s="65" t="inlineStr">
        <is>
          <t>10 EVIDENCE &amp; DECISIONS</t>
        </is>
      </c>
      <c r="G1087" s="14" t="n"/>
    </row>
    <row r="1088" ht="79" customHeight="1">
      <c r="A1088" s="12" t="inlineStr">
        <is>
          <t>R517-v1</t>
        </is>
      </c>
      <c r="B1088" s="12" t="inlineStr">
        <is>
          <t>SCH-03-157</t>
        </is>
      </c>
      <c r="C1088" s="12" t="inlineStr">
        <is>
          <t>New</t>
        </is>
      </c>
      <c r="D1088" s="12" t="inlineStr">
        <is>
          <t>Record first supplied in this revision</t>
        </is>
      </c>
      <c r="E1088" s="12" t="inlineStr"/>
      <c r="F1088" s="65" t="inlineStr">
        <is>
          <t>10 EVIDENCE &amp; DECISIONS</t>
        </is>
      </c>
      <c r="G1088" s="14" t="n"/>
    </row>
    <row r="1089" ht="79" customHeight="1">
      <c r="A1089" s="12" t="inlineStr">
        <is>
          <t>R518-v1</t>
        </is>
      </c>
      <c r="B1089" s="12" t="inlineStr">
        <is>
          <t>SCH-03-158</t>
        </is>
      </c>
      <c r="C1089" s="12" t="inlineStr">
        <is>
          <t>New</t>
        </is>
      </c>
      <c r="D1089" s="12" t="inlineStr">
        <is>
          <t>Record first supplied in this revision</t>
        </is>
      </c>
      <c r="E1089" s="12" t="inlineStr"/>
      <c r="F1089" s="65" t="inlineStr">
        <is>
          <t>10 EVIDENCE &amp; DECISIONS</t>
        </is>
      </c>
      <c r="G1089" s="14" t="n"/>
    </row>
    <row r="1090" ht="79" customHeight="1">
      <c r="A1090" s="12" t="inlineStr">
        <is>
          <t>R519-v1</t>
        </is>
      </c>
      <c r="B1090" s="12" t="inlineStr">
        <is>
          <t>SCH-03-159</t>
        </is>
      </c>
      <c r="C1090" s="12" t="inlineStr">
        <is>
          <t>New</t>
        </is>
      </c>
      <c r="D1090" s="12" t="inlineStr">
        <is>
          <t>Record first supplied in this revision</t>
        </is>
      </c>
      <c r="E1090" s="12" t="inlineStr"/>
      <c r="F1090" s="65" t="inlineStr">
        <is>
          <t>10 EVIDENCE &amp; DECISIONS</t>
        </is>
      </c>
      <c r="G1090" s="14" t="n"/>
    </row>
    <row r="1091" ht="79" customHeight="1">
      <c r="A1091" s="12" t="inlineStr">
        <is>
          <t>R520-v1</t>
        </is>
      </c>
      <c r="B1091" s="12" t="inlineStr">
        <is>
          <t>SCH-03-160</t>
        </is>
      </c>
      <c r="C1091" s="12" t="inlineStr">
        <is>
          <t>New</t>
        </is>
      </c>
      <c r="D1091" s="12" t="inlineStr">
        <is>
          <t>Record first supplied in this revision</t>
        </is>
      </c>
      <c r="E1091" s="12" t="inlineStr"/>
      <c r="F1091" s="65" t="inlineStr">
        <is>
          <t>10 EVIDENCE &amp; DECISIONS</t>
        </is>
      </c>
      <c r="G1091" s="14" t="n"/>
    </row>
    <row r="1092" ht="79" customHeight="1">
      <c r="A1092" s="12" t="inlineStr">
        <is>
          <t>R521-v1</t>
        </is>
      </c>
      <c r="B1092" s="12" t="inlineStr">
        <is>
          <t>SCH-03-161</t>
        </is>
      </c>
      <c r="C1092" s="12" t="inlineStr">
        <is>
          <t>New</t>
        </is>
      </c>
      <c r="D1092" s="12" t="inlineStr">
        <is>
          <t>Record first supplied in this revision</t>
        </is>
      </c>
      <c r="E1092" s="12" t="inlineStr"/>
      <c r="F1092" s="65" t="inlineStr">
        <is>
          <t>10 EVIDENCE &amp; DECISIONS</t>
        </is>
      </c>
      <c r="G1092" s="14" t="n"/>
    </row>
    <row r="1093" ht="79" customHeight="1">
      <c r="A1093" s="12" t="inlineStr">
        <is>
          <t>R522-v1</t>
        </is>
      </c>
      <c r="B1093" s="12" t="inlineStr">
        <is>
          <t>SCH-03-162</t>
        </is>
      </c>
      <c r="C1093" s="12" t="inlineStr">
        <is>
          <t>New</t>
        </is>
      </c>
      <c r="D1093" s="12" t="inlineStr">
        <is>
          <t>Record first supplied in this revision</t>
        </is>
      </c>
      <c r="E1093" s="12" t="inlineStr"/>
      <c r="F1093" s="65" t="inlineStr">
        <is>
          <t>10 EVIDENCE &amp; DECISIONS</t>
        </is>
      </c>
      <c r="G1093" s="14" t="n"/>
    </row>
    <row r="1094" ht="79" customHeight="1">
      <c r="A1094" s="12" t="inlineStr">
        <is>
          <t>R523-v1</t>
        </is>
      </c>
      <c r="B1094" s="12" t="inlineStr">
        <is>
          <t>SCH-03-163</t>
        </is>
      </c>
      <c r="C1094" s="12" t="inlineStr">
        <is>
          <t>New</t>
        </is>
      </c>
      <c r="D1094" s="12" t="inlineStr">
        <is>
          <t>Record first supplied in this revision</t>
        </is>
      </c>
      <c r="E1094" s="12" t="inlineStr"/>
      <c r="F1094" s="65" t="inlineStr">
        <is>
          <t>10 EVIDENCE &amp; DECISIONS</t>
        </is>
      </c>
      <c r="G1094" s="14" t="n"/>
    </row>
    <row r="1095" ht="79" customHeight="1">
      <c r="A1095" s="12" t="inlineStr">
        <is>
          <t>R524-v1</t>
        </is>
      </c>
      <c r="B1095" s="12" t="inlineStr">
        <is>
          <t>SCH-03-164</t>
        </is>
      </c>
      <c r="C1095" s="12" t="inlineStr">
        <is>
          <t>New</t>
        </is>
      </c>
      <c r="D1095" s="12" t="inlineStr">
        <is>
          <t>Record first supplied in this revision</t>
        </is>
      </c>
      <c r="E1095" s="12" t="inlineStr"/>
      <c r="F1095" s="65" t="inlineStr">
        <is>
          <t>10 EVIDENCE &amp; DECISIONS</t>
        </is>
      </c>
      <c r="G1095" s="14" t="n"/>
    </row>
    <row r="1096" ht="79" customHeight="1">
      <c r="A1096" s="12" t="inlineStr">
        <is>
          <t>R525-v1</t>
        </is>
      </c>
      <c r="B1096" s="12" t="inlineStr">
        <is>
          <t>SCH-03-165</t>
        </is>
      </c>
      <c r="C1096" s="12" t="inlineStr">
        <is>
          <t>New</t>
        </is>
      </c>
      <c r="D1096" s="12" t="inlineStr">
        <is>
          <t>Record first supplied in this revision</t>
        </is>
      </c>
      <c r="E1096" s="12" t="inlineStr"/>
      <c r="F1096" s="65" t="inlineStr">
        <is>
          <t>10 EVIDENCE &amp; DECISIONS</t>
        </is>
      </c>
      <c r="G1096" s="14" t="n"/>
    </row>
    <row r="1097" ht="79" customHeight="1">
      <c r="A1097" s="12" t="inlineStr">
        <is>
          <t>R526-v1</t>
        </is>
      </c>
      <c r="B1097" s="12" t="inlineStr">
        <is>
          <t>SCH-03-166</t>
        </is>
      </c>
      <c r="C1097" s="12" t="inlineStr">
        <is>
          <t>New</t>
        </is>
      </c>
      <c r="D1097" s="12" t="inlineStr">
        <is>
          <t>Record first supplied in this revision</t>
        </is>
      </c>
      <c r="E1097" s="12" t="inlineStr"/>
      <c r="F1097" s="65" t="inlineStr">
        <is>
          <t>10 EVIDENCE &amp; DECISIONS</t>
        </is>
      </c>
      <c r="G1097" s="14" t="n"/>
    </row>
    <row r="1098" ht="79" customHeight="1">
      <c r="A1098" s="12" t="inlineStr">
        <is>
          <t>R527-v1</t>
        </is>
      </c>
      <c r="B1098" s="12" t="inlineStr">
        <is>
          <t>SCH-03-167</t>
        </is>
      </c>
      <c r="C1098" s="12" t="inlineStr">
        <is>
          <t>New</t>
        </is>
      </c>
      <c r="D1098" s="12" t="inlineStr">
        <is>
          <t>Record first supplied in this revision</t>
        </is>
      </c>
      <c r="E1098" s="12" t="inlineStr"/>
      <c r="F1098" s="65" t="inlineStr">
        <is>
          <t>10 EVIDENCE &amp; DECISIONS</t>
        </is>
      </c>
      <c r="G1098" s="14" t="n"/>
    </row>
    <row r="1099" ht="79" customHeight="1">
      <c r="A1099" s="12" t="inlineStr">
        <is>
          <t>R528-v1</t>
        </is>
      </c>
      <c r="B1099" s="12" t="inlineStr">
        <is>
          <t>SCH-03-168</t>
        </is>
      </c>
      <c r="C1099" s="12" t="inlineStr">
        <is>
          <t>New</t>
        </is>
      </c>
      <c r="D1099" s="12" t="inlineStr">
        <is>
          <t>Record first supplied in this revision</t>
        </is>
      </c>
      <c r="E1099" s="12" t="inlineStr"/>
      <c r="F1099" s="65" t="inlineStr">
        <is>
          <t>10 EVIDENCE &amp; DECISIONS</t>
        </is>
      </c>
      <c r="G1099" s="14" t="n"/>
    </row>
    <row r="1100" ht="79" customHeight="1">
      <c r="A1100" s="12" t="inlineStr">
        <is>
          <t>R529-v1</t>
        </is>
      </c>
      <c r="B1100" s="12" t="inlineStr">
        <is>
          <t>SCH-03-169</t>
        </is>
      </c>
      <c r="C1100" s="12" t="inlineStr">
        <is>
          <t>New</t>
        </is>
      </c>
      <c r="D1100" s="12" t="inlineStr">
        <is>
          <t>Record first supplied in this revision</t>
        </is>
      </c>
      <c r="E1100" s="12" t="inlineStr"/>
      <c r="F1100" s="65" t="inlineStr">
        <is>
          <t>10 EVIDENCE &amp; DECISIONS</t>
        </is>
      </c>
      <c r="G1100" s="14" t="n"/>
    </row>
    <row r="1101" ht="79" customHeight="1">
      <c r="A1101" s="12" t="inlineStr">
        <is>
          <t>R530-v1</t>
        </is>
      </c>
      <c r="B1101" s="12" t="inlineStr">
        <is>
          <t>SCH-03-170</t>
        </is>
      </c>
      <c r="C1101" s="12" t="inlineStr">
        <is>
          <t>New</t>
        </is>
      </c>
      <c r="D1101" s="12" t="inlineStr">
        <is>
          <t>Record first supplied in this revision</t>
        </is>
      </c>
      <c r="E1101" s="12" t="inlineStr"/>
      <c r="F1101" s="65" t="inlineStr">
        <is>
          <t>10 EVIDENCE &amp; DECISIONS</t>
        </is>
      </c>
      <c r="G1101" s="14" t="n"/>
    </row>
    <row r="1102" ht="79" customHeight="1">
      <c r="A1102" s="12" t="inlineStr">
        <is>
          <t>R531-v1</t>
        </is>
      </c>
      <c r="B1102" s="12" t="inlineStr">
        <is>
          <t>SCH-03-171</t>
        </is>
      </c>
      <c r="C1102" s="12" t="inlineStr">
        <is>
          <t>New</t>
        </is>
      </c>
      <c r="D1102" s="12" t="inlineStr">
        <is>
          <t>Record first supplied in this revision</t>
        </is>
      </c>
      <c r="E1102" s="12" t="inlineStr"/>
      <c r="F1102" s="65" t="inlineStr">
        <is>
          <t>10 EVIDENCE &amp; DECISIONS</t>
        </is>
      </c>
      <c r="G1102" s="14" t="n"/>
    </row>
    <row r="1103" ht="79" customHeight="1">
      <c r="A1103" s="12" t="inlineStr">
        <is>
          <t>R532-v1</t>
        </is>
      </c>
      <c r="B1103" s="12" t="inlineStr">
        <is>
          <t>SCH-03-172</t>
        </is>
      </c>
      <c r="C1103" s="12" t="inlineStr">
        <is>
          <t>New</t>
        </is>
      </c>
      <c r="D1103" s="12" t="inlineStr">
        <is>
          <t>Record first supplied in this revision</t>
        </is>
      </c>
      <c r="E1103" s="12" t="inlineStr"/>
      <c r="F1103" s="65" t="inlineStr">
        <is>
          <t>10 EVIDENCE &amp; DECISIONS</t>
        </is>
      </c>
      <c r="G1103" s="14" t="n"/>
    </row>
    <row r="1104" ht="79" customHeight="1">
      <c r="A1104" s="12" t="inlineStr">
        <is>
          <t>R533-v1</t>
        </is>
      </c>
      <c r="B1104" s="12" t="inlineStr">
        <is>
          <t>SCH-03-173</t>
        </is>
      </c>
      <c r="C1104" s="12" t="inlineStr">
        <is>
          <t>New</t>
        </is>
      </c>
      <c r="D1104" s="12" t="inlineStr">
        <is>
          <t>Record first supplied in this revision</t>
        </is>
      </c>
      <c r="E1104" s="12" t="inlineStr"/>
      <c r="F1104" s="65" t="inlineStr">
        <is>
          <t>10 EVIDENCE &amp; DECISIONS</t>
        </is>
      </c>
      <c r="G1104" s="14" t="n"/>
    </row>
    <row r="1105" ht="79" customHeight="1">
      <c r="A1105" s="12" t="inlineStr">
        <is>
          <t>R534-v1</t>
        </is>
      </c>
      <c r="B1105" s="12" t="inlineStr">
        <is>
          <t>SCH-03-174</t>
        </is>
      </c>
      <c r="C1105" s="12" t="inlineStr">
        <is>
          <t>New</t>
        </is>
      </c>
      <c r="D1105" s="12" t="inlineStr">
        <is>
          <t>Record first supplied in this revision</t>
        </is>
      </c>
      <c r="E1105" s="12" t="inlineStr"/>
      <c r="F1105" s="65" t="inlineStr">
        <is>
          <t>10 EVIDENCE &amp; DECISIONS</t>
        </is>
      </c>
      <c r="G1105" s="14" t="n"/>
    </row>
    <row r="1106" ht="79" customHeight="1">
      <c r="A1106" s="12" t="inlineStr">
        <is>
          <t>R535-v1</t>
        </is>
      </c>
      <c r="B1106" s="12" t="inlineStr">
        <is>
          <t>SCH-03-175</t>
        </is>
      </c>
      <c r="C1106" s="12" t="inlineStr">
        <is>
          <t>New</t>
        </is>
      </c>
      <c r="D1106" s="12" t="inlineStr">
        <is>
          <t>Record first supplied in this revision</t>
        </is>
      </c>
      <c r="E1106" s="12" t="inlineStr"/>
      <c r="F1106" s="65" t="inlineStr">
        <is>
          <t>10 EVIDENCE &amp; DECISIONS</t>
        </is>
      </c>
      <c r="G1106" s="14" t="n"/>
    </row>
    <row r="1107" ht="79" customHeight="1">
      <c r="A1107" s="12" t="inlineStr">
        <is>
          <t>R536-v1</t>
        </is>
      </c>
      <c r="B1107" s="12" t="inlineStr">
        <is>
          <t>SCH-03-176</t>
        </is>
      </c>
      <c r="C1107" s="12" t="inlineStr">
        <is>
          <t>New</t>
        </is>
      </c>
      <c r="D1107" s="12" t="inlineStr">
        <is>
          <t>Record first supplied in this revision</t>
        </is>
      </c>
      <c r="E1107" s="12" t="inlineStr"/>
      <c r="F1107" s="65" t="inlineStr">
        <is>
          <t>10 EVIDENCE &amp; DECISIONS</t>
        </is>
      </c>
      <c r="G1107" s="14" t="n"/>
    </row>
    <row r="1108" ht="79" customHeight="1">
      <c r="A1108" s="12" t="inlineStr">
        <is>
          <t>R537-v1</t>
        </is>
      </c>
      <c r="B1108" s="12" t="inlineStr">
        <is>
          <t>SCH-03-177</t>
        </is>
      </c>
      <c r="C1108" s="12" t="inlineStr">
        <is>
          <t>New</t>
        </is>
      </c>
      <c r="D1108" s="12" t="inlineStr">
        <is>
          <t>Record first supplied in this revision</t>
        </is>
      </c>
      <c r="E1108" s="12" t="inlineStr"/>
      <c r="F1108" s="65" t="inlineStr">
        <is>
          <t>10 EVIDENCE &amp; DECISIONS</t>
        </is>
      </c>
      <c r="G1108" s="14" t="n"/>
    </row>
    <row r="1109" ht="79" customHeight="1">
      <c r="A1109" s="12" t="inlineStr">
        <is>
          <t>R538-v1</t>
        </is>
      </c>
      <c r="B1109" s="12" t="inlineStr">
        <is>
          <t>SCH-03-178</t>
        </is>
      </c>
      <c r="C1109" s="12" t="inlineStr">
        <is>
          <t>New</t>
        </is>
      </c>
      <c r="D1109" s="12" t="inlineStr">
        <is>
          <t>Record first supplied in this revision</t>
        </is>
      </c>
      <c r="E1109" s="12" t="inlineStr"/>
      <c r="F1109" s="65" t="inlineStr">
        <is>
          <t>10 EVIDENCE &amp; DECISIONS</t>
        </is>
      </c>
      <c r="G1109" s="14" t="n"/>
    </row>
    <row r="1110" ht="79" customHeight="1">
      <c r="A1110" s="12" t="inlineStr">
        <is>
          <t>R539-v1</t>
        </is>
      </c>
      <c r="B1110" s="12" t="inlineStr">
        <is>
          <t>SCH-03-179</t>
        </is>
      </c>
      <c r="C1110" s="12" t="inlineStr">
        <is>
          <t>New</t>
        </is>
      </c>
      <c r="D1110" s="12" t="inlineStr">
        <is>
          <t>Record first supplied in this revision</t>
        </is>
      </c>
      <c r="E1110" s="12" t="inlineStr"/>
      <c r="F1110" s="65" t="inlineStr">
        <is>
          <t>10 EVIDENCE &amp; DECISIONS</t>
        </is>
      </c>
      <c r="G1110" s="14" t="n"/>
    </row>
    <row r="1111" ht="79" customHeight="1">
      <c r="A1111" s="12" t="inlineStr">
        <is>
          <t>R540-v1</t>
        </is>
      </c>
      <c r="B1111" s="12" t="inlineStr">
        <is>
          <t>SCH-03-180</t>
        </is>
      </c>
      <c r="C1111" s="12" t="inlineStr">
        <is>
          <t>New</t>
        </is>
      </c>
      <c r="D1111" s="12" t="inlineStr">
        <is>
          <t>Record first supplied in this revision</t>
        </is>
      </c>
      <c r="E1111" s="12" t="inlineStr"/>
      <c r="F1111" s="65" t="inlineStr">
        <is>
          <t>10 EVIDENCE &amp; DECISIONS</t>
        </is>
      </c>
      <c r="G1111" s="14" t="n"/>
    </row>
    <row r="1112" ht="79" customHeight="1">
      <c r="A1112" s="12" t="inlineStr">
        <is>
          <t>R541-v1</t>
        </is>
      </c>
      <c r="B1112" s="12" t="inlineStr">
        <is>
          <t>SCH-04-001</t>
        </is>
      </c>
      <c r="C1112" s="12" t="inlineStr">
        <is>
          <t>New</t>
        </is>
      </c>
      <c r="D1112" s="12" t="inlineStr">
        <is>
          <t>Record first supplied in this revision</t>
        </is>
      </c>
      <c r="E1112" s="12" t="inlineStr"/>
      <c r="F1112" s="65" t="inlineStr">
        <is>
          <t>10 EVIDENCE &amp; DECISIONS</t>
        </is>
      </c>
      <c r="G1112" s="14" t="n"/>
    </row>
    <row r="1113" ht="79" customHeight="1">
      <c r="A1113" s="12" t="inlineStr">
        <is>
          <t>R542-v1</t>
        </is>
      </c>
      <c r="B1113" s="12" t="inlineStr">
        <is>
          <t>SCH-04-002</t>
        </is>
      </c>
      <c r="C1113" s="12" t="inlineStr">
        <is>
          <t>New</t>
        </is>
      </c>
      <c r="D1113" s="12" t="inlineStr">
        <is>
          <t>Record first supplied in this revision</t>
        </is>
      </c>
      <c r="E1113" s="12" t="inlineStr"/>
      <c r="F1113" s="65" t="inlineStr">
        <is>
          <t>10 EVIDENCE &amp; DECISIONS</t>
        </is>
      </c>
      <c r="G1113" s="14" t="n"/>
    </row>
    <row r="1114" ht="79" customHeight="1">
      <c r="A1114" s="12" t="inlineStr">
        <is>
          <t>R543-v2</t>
        </is>
      </c>
      <c r="B1114" s="12" t="inlineStr">
        <is>
          <t>SCH-04-003</t>
        </is>
      </c>
      <c r="C1114" s="12" t="inlineStr">
        <is>
          <t>New</t>
        </is>
      </c>
      <c r="D1114" s="12" t="inlineStr">
        <is>
          <t>Record first supplied in this revision</t>
        </is>
      </c>
      <c r="E1114" s="12" t="inlineStr">
        <is>
          <t>Maya Chen, Owner Project Controls</t>
        </is>
      </c>
      <c r="F1114" s="65" t="inlineStr">
        <is>
          <t>10 EVIDENCE &amp; DECISIONS</t>
        </is>
      </c>
      <c r="G1114" s="14" t="n"/>
    </row>
    <row r="1115" ht="79" customHeight="1">
      <c r="A1115" s="12" t="inlineStr">
        <is>
          <t>R544-v1</t>
        </is>
      </c>
      <c r="B1115" s="12" t="inlineStr">
        <is>
          <t>SCH-04-004</t>
        </is>
      </c>
      <c r="C1115" s="12" t="inlineStr">
        <is>
          <t>New</t>
        </is>
      </c>
      <c r="D1115" s="12" t="inlineStr">
        <is>
          <t>Record first supplied in this revision</t>
        </is>
      </c>
      <c r="E1115" s="12" t="inlineStr"/>
      <c r="F1115" s="65" t="inlineStr">
        <is>
          <t>10 EVIDENCE &amp; DECISIONS</t>
        </is>
      </c>
      <c r="G1115" s="14" t="n"/>
    </row>
    <row r="1116" ht="79" customHeight="1">
      <c r="A1116" s="12" t="inlineStr">
        <is>
          <t>R545-v1</t>
        </is>
      </c>
      <c r="B1116" s="12" t="inlineStr">
        <is>
          <t>SCH-04-005</t>
        </is>
      </c>
      <c r="C1116" s="12" t="inlineStr">
        <is>
          <t>New</t>
        </is>
      </c>
      <c r="D1116" s="12" t="inlineStr">
        <is>
          <t>Record first supplied in this revision</t>
        </is>
      </c>
      <c r="E1116" s="12" t="inlineStr"/>
      <c r="F1116" s="65" t="inlineStr">
        <is>
          <t>10 EVIDENCE &amp; DECISIONS</t>
        </is>
      </c>
      <c r="G1116" s="14" t="n"/>
    </row>
    <row r="1117" ht="79" customHeight="1">
      <c r="A1117" s="12" t="inlineStr">
        <is>
          <t>R546-v1</t>
        </is>
      </c>
      <c r="B1117" s="12" t="inlineStr">
        <is>
          <t>SCH-04-006</t>
        </is>
      </c>
      <c r="C1117" s="12" t="inlineStr">
        <is>
          <t>New</t>
        </is>
      </c>
      <c r="D1117" s="12" t="inlineStr">
        <is>
          <t>Record first supplied in this revision</t>
        </is>
      </c>
      <c r="E1117" s="12" t="inlineStr"/>
      <c r="F1117" s="65" t="inlineStr">
        <is>
          <t>10 EVIDENCE &amp; DECISIONS</t>
        </is>
      </c>
      <c r="G1117" s="14" t="n"/>
    </row>
    <row r="1118" ht="79" customHeight="1">
      <c r="A1118" s="12" t="inlineStr">
        <is>
          <t>R547-v1</t>
        </is>
      </c>
      <c r="B1118" s="12" t="inlineStr">
        <is>
          <t>SCH-04-007</t>
        </is>
      </c>
      <c r="C1118" s="12" t="inlineStr">
        <is>
          <t>New</t>
        </is>
      </c>
      <c r="D1118" s="12" t="inlineStr">
        <is>
          <t>Record first supplied in this revision</t>
        </is>
      </c>
      <c r="E1118" s="12" t="inlineStr"/>
      <c r="F1118" s="65" t="inlineStr">
        <is>
          <t>10 EVIDENCE &amp; DECISIONS</t>
        </is>
      </c>
      <c r="G1118" s="14" t="n"/>
    </row>
    <row r="1119" ht="79" customHeight="1">
      <c r="A1119" s="12" t="inlineStr">
        <is>
          <t>R548-v1</t>
        </is>
      </c>
      <c r="B1119" s="12" t="inlineStr">
        <is>
          <t>SCH-04-008</t>
        </is>
      </c>
      <c r="C1119" s="12" t="inlineStr">
        <is>
          <t>New</t>
        </is>
      </c>
      <c r="D1119" s="12" t="inlineStr">
        <is>
          <t>Record first supplied in this revision</t>
        </is>
      </c>
      <c r="E1119" s="12" t="inlineStr"/>
      <c r="F1119" s="65" t="inlineStr">
        <is>
          <t>10 EVIDENCE &amp; DECISIONS</t>
        </is>
      </c>
      <c r="G1119" s="14" t="n"/>
    </row>
    <row r="1120" ht="79" customHeight="1">
      <c r="A1120" s="12" t="inlineStr">
        <is>
          <t>R549-v1</t>
        </is>
      </c>
      <c r="B1120" s="12" t="inlineStr">
        <is>
          <t>SCH-04-009</t>
        </is>
      </c>
      <c r="C1120" s="12" t="inlineStr">
        <is>
          <t>New</t>
        </is>
      </c>
      <c r="D1120" s="12" t="inlineStr">
        <is>
          <t>Record first supplied in this revision</t>
        </is>
      </c>
      <c r="E1120" s="12" t="inlineStr"/>
      <c r="F1120" s="65" t="inlineStr">
        <is>
          <t>10 EVIDENCE &amp; DECISIONS</t>
        </is>
      </c>
      <c r="G1120" s="14" t="n"/>
    </row>
    <row r="1121" ht="79" customHeight="1">
      <c r="A1121" s="12" t="inlineStr">
        <is>
          <t>R550-v1</t>
        </is>
      </c>
      <c r="B1121" s="12" t="inlineStr">
        <is>
          <t>SCH-04-010</t>
        </is>
      </c>
      <c r="C1121" s="12" t="inlineStr">
        <is>
          <t>New</t>
        </is>
      </c>
      <c r="D1121" s="12" t="inlineStr">
        <is>
          <t>Record first supplied in this revision</t>
        </is>
      </c>
      <c r="E1121" s="12" t="inlineStr"/>
      <c r="F1121" s="65" t="inlineStr">
        <is>
          <t>10 EVIDENCE &amp; DECISIONS</t>
        </is>
      </c>
      <c r="G1121" s="14" t="n"/>
    </row>
    <row r="1122" ht="79" customHeight="1">
      <c r="A1122" s="12" t="inlineStr">
        <is>
          <t>R551-v1</t>
        </is>
      </c>
      <c r="B1122" s="12" t="inlineStr">
        <is>
          <t>SCH-04-011</t>
        </is>
      </c>
      <c r="C1122" s="12" t="inlineStr">
        <is>
          <t>New</t>
        </is>
      </c>
      <c r="D1122" s="12" t="inlineStr">
        <is>
          <t>Record first supplied in this revision</t>
        </is>
      </c>
      <c r="E1122" s="12" t="inlineStr"/>
      <c r="F1122" s="65" t="inlineStr">
        <is>
          <t>10 EVIDENCE &amp; DECISIONS</t>
        </is>
      </c>
      <c r="G1122" s="14" t="n"/>
    </row>
    <row r="1123" ht="79" customHeight="1">
      <c r="A1123" s="12" t="inlineStr">
        <is>
          <t>R552-v1</t>
        </is>
      </c>
      <c r="B1123" s="12" t="inlineStr">
        <is>
          <t>SCH-04-012</t>
        </is>
      </c>
      <c r="C1123" s="12" t="inlineStr">
        <is>
          <t>New</t>
        </is>
      </c>
      <c r="D1123" s="12" t="inlineStr">
        <is>
          <t>Record first supplied in this revision</t>
        </is>
      </c>
      <c r="E1123" s="12" t="inlineStr"/>
      <c r="F1123" s="65" t="inlineStr">
        <is>
          <t>10 EVIDENCE &amp; DECISIONS</t>
        </is>
      </c>
      <c r="G1123" s="14" t="n"/>
    </row>
    <row r="1124" ht="79" customHeight="1">
      <c r="A1124" s="12" t="inlineStr">
        <is>
          <t>R553-v1</t>
        </is>
      </c>
      <c r="B1124" s="12" t="inlineStr">
        <is>
          <t>SCH-04-013</t>
        </is>
      </c>
      <c r="C1124" s="12" t="inlineStr">
        <is>
          <t>New</t>
        </is>
      </c>
      <c r="D1124" s="12" t="inlineStr">
        <is>
          <t>Record first supplied in this revision</t>
        </is>
      </c>
      <c r="E1124" s="12" t="inlineStr"/>
      <c r="F1124" s="65" t="inlineStr">
        <is>
          <t>10 EVIDENCE &amp; DECISIONS</t>
        </is>
      </c>
      <c r="G1124" s="14" t="n"/>
    </row>
    <row r="1125" ht="79" customHeight="1">
      <c r="A1125" s="12" t="inlineStr">
        <is>
          <t>R554-v1</t>
        </is>
      </c>
      <c r="B1125" s="12" t="inlineStr">
        <is>
          <t>SCH-04-014</t>
        </is>
      </c>
      <c r="C1125" s="12" t="inlineStr">
        <is>
          <t>New</t>
        </is>
      </c>
      <c r="D1125" s="12" t="inlineStr">
        <is>
          <t>Record first supplied in this revision</t>
        </is>
      </c>
      <c r="E1125" s="12" t="inlineStr"/>
      <c r="F1125" s="65" t="inlineStr">
        <is>
          <t>10 EVIDENCE &amp; DECISIONS</t>
        </is>
      </c>
      <c r="G1125" s="14" t="n"/>
    </row>
    <row r="1126" ht="79" customHeight="1">
      <c r="A1126" s="12" t="inlineStr">
        <is>
          <t>R555-v1</t>
        </is>
      </c>
      <c r="B1126" s="12" t="inlineStr">
        <is>
          <t>SCH-04-015</t>
        </is>
      </c>
      <c r="C1126" s="12" t="inlineStr">
        <is>
          <t>New</t>
        </is>
      </c>
      <c r="D1126" s="12" t="inlineStr">
        <is>
          <t>Record first supplied in this revision</t>
        </is>
      </c>
      <c r="E1126" s="12" t="inlineStr"/>
      <c r="F1126" s="65" t="inlineStr">
        <is>
          <t>10 EVIDENCE &amp; DECISIONS</t>
        </is>
      </c>
      <c r="G1126" s="14" t="n"/>
    </row>
    <row r="1127" ht="79" customHeight="1">
      <c r="A1127" s="12" t="inlineStr">
        <is>
          <t>R556-v1</t>
        </is>
      </c>
      <c r="B1127" s="12" t="inlineStr">
        <is>
          <t>SCH-04-016</t>
        </is>
      </c>
      <c r="C1127" s="12" t="inlineStr">
        <is>
          <t>New</t>
        </is>
      </c>
      <c r="D1127" s="12" t="inlineStr">
        <is>
          <t>Record first supplied in this revision</t>
        </is>
      </c>
      <c r="E1127" s="12" t="inlineStr"/>
      <c r="F1127" s="65" t="inlineStr">
        <is>
          <t>10 EVIDENCE &amp; DECISIONS</t>
        </is>
      </c>
      <c r="G1127" s="14" t="n"/>
    </row>
    <row r="1128" ht="79" customHeight="1">
      <c r="A1128" s="12" t="inlineStr">
        <is>
          <t>R557-v1</t>
        </is>
      </c>
      <c r="B1128" s="12" t="inlineStr">
        <is>
          <t>SCH-04-017</t>
        </is>
      </c>
      <c r="C1128" s="12" t="inlineStr">
        <is>
          <t>New</t>
        </is>
      </c>
      <c r="D1128" s="12" t="inlineStr">
        <is>
          <t>Record first supplied in this revision</t>
        </is>
      </c>
      <c r="E1128" s="12" t="inlineStr"/>
      <c r="F1128" s="65" t="inlineStr">
        <is>
          <t>10 EVIDENCE &amp; DECISIONS</t>
        </is>
      </c>
      <c r="G1128" s="14" t="n"/>
    </row>
    <row r="1129" ht="79" customHeight="1">
      <c r="A1129" s="12" t="inlineStr">
        <is>
          <t>R558-v1</t>
        </is>
      </c>
      <c r="B1129" s="12" t="inlineStr">
        <is>
          <t>SCH-04-018</t>
        </is>
      </c>
      <c r="C1129" s="12" t="inlineStr">
        <is>
          <t>New</t>
        </is>
      </c>
      <c r="D1129" s="12" t="inlineStr">
        <is>
          <t>Record first supplied in this revision</t>
        </is>
      </c>
      <c r="E1129" s="12" t="inlineStr"/>
      <c r="F1129" s="65" t="inlineStr">
        <is>
          <t>10 EVIDENCE &amp; DECISIONS</t>
        </is>
      </c>
      <c r="G1129" s="14" t="n"/>
    </row>
    <row r="1130" ht="79" customHeight="1">
      <c r="A1130" s="12" t="inlineStr">
        <is>
          <t>R559-v1</t>
        </is>
      </c>
      <c r="B1130" s="12" t="inlineStr">
        <is>
          <t>SCH-04-019</t>
        </is>
      </c>
      <c r="C1130" s="12" t="inlineStr">
        <is>
          <t>New</t>
        </is>
      </c>
      <c r="D1130" s="12" t="inlineStr">
        <is>
          <t>Record first supplied in this revision</t>
        </is>
      </c>
      <c r="E1130" s="12" t="inlineStr"/>
      <c r="F1130" s="65" t="inlineStr">
        <is>
          <t>10 EVIDENCE &amp; DECISIONS</t>
        </is>
      </c>
      <c r="G1130" s="14" t="n"/>
    </row>
    <row r="1131" ht="79" customHeight="1">
      <c r="A1131" s="12" t="inlineStr">
        <is>
          <t>R560-v1</t>
        </is>
      </c>
      <c r="B1131" s="12" t="inlineStr">
        <is>
          <t>SCH-04-020</t>
        </is>
      </c>
      <c r="C1131" s="12" t="inlineStr">
        <is>
          <t>New</t>
        </is>
      </c>
      <c r="D1131" s="12" t="inlineStr">
        <is>
          <t>Record first supplied in this revision</t>
        </is>
      </c>
      <c r="E1131" s="12" t="inlineStr"/>
      <c r="F1131" s="65" t="inlineStr">
        <is>
          <t>10 EVIDENCE &amp; DECISIONS</t>
        </is>
      </c>
      <c r="G1131" s="14" t="n"/>
    </row>
    <row r="1132" ht="79" customHeight="1">
      <c r="A1132" s="12" t="inlineStr">
        <is>
          <t>R561-v1</t>
        </is>
      </c>
      <c r="B1132" s="12" t="inlineStr">
        <is>
          <t>SCH-04-021</t>
        </is>
      </c>
      <c r="C1132" s="12" t="inlineStr">
        <is>
          <t>New</t>
        </is>
      </c>
      <c r="D1132" s="12" t="inlineStr">
        <is>
          <t>Record first supplied in this revision</t>
        </is>
      </c>
      <c r="E1132" s="12" t="inlineStr"/>
      <c r="F1132" s="65" t="inlineStr">
        <is>
          <t>10 EVIDENCE &amp; DECISIONS</t>
        </is>
      </c>
      <c r="G1132" s="14" t="n"/>
    </row>
    <row r="1133" ht="79" customHeight="1">
      <c r="A1133" s="12" t="inlineStr">
        <is>
          <t>R562-v1</t>
        </is>
      </c>
      <c r="B1133" s="12" t="inlineStr">
        <is>
          <t>SCH-04-022</t>
        </is>
      </c>
      <c r="C1133" s="12" t="inlineStr">
        <is>
          <t>New</t>
        </is>
      </c>
      <c r="D1133" s="12" t="inlineStr">
        <is>
          <t>Record first supplied in this revision</t>
        </is>
      </c>
      <c r="E1133" s="12" t="inlineStr"/>
      <c r="F1133" s="65" t="inlineStr">
        <is>
          <t>10 EVIDENCE &amp; DECISIONS</t>
        </is>
      </c>
      <c r="G1133" s="14" t="n"/>
    </row>
    <row r="1134" ht="79" customHeight="1">
      <c r="A1134" s="12" t="inlineStr">
        <is>
          <t>R563-v1</t>
        </is>
      </c>
      <c r="B1134" s="12" t="inlineStr">
        <is>
          <t>SCH-04-023</t>
        </is>
      </c>
      <c r="C1134" s="12" t="inlineStr">
        <is>
          <t>New</t>
        </is>
      </c>
      <c r="D1134" s="12" t="inlineStr">
        <is>
          <t>Record first supplied in this revision</t>
        </is>
      </c>
      <c r="E1134" s="12" t="inlineStr"/>
      <c r="F1134" s="65" t="inlineStr">
        <is>
          <t>10 EVIDENCE &amp; DECISIONS</t>
        </is>
      </c>
      <c r="G1134" s="14" t="n"/>
    </row>
    <row r="1135" ht="79" customHeight="1">
      <c r="A1135" s="12" t="inlineStr">
        <is>
          <t>R564-v1</t>
        </is>
      </c>
      <c r="B1135" s="12" t="inlineStr">
        <is>
          <t>SCH-04-024</t>
        </is>
      </c>
      <c r="C1135" s="12" t="inlineStr">
        <is>
          <t>New</t>
        </is>
      </c>
      <c r="D1135" s="12" t="inlineStr">
        <is>
          <t>Record first supplied in this revision</t>
        </is>
      </c>
      <c r="E1135" s="12" t="inlineStr"/>
      <c r="F1135" s="65" t="inlineStr">
        <is>
          <t>10 EVIDENCE &amp; DECISIONS</t>
        </is>
      </c>
      <c r="G1135" s="14" t="n"/>
    </row>
    <row r="1136" ht="79" customHeight="1">
      <c r="A1136" s="12" t="inlineStr">
        <is>
          <t>R565-v1</t>
        </is>
      </c>
      <c r="B1136" s="12" t="inlineStr">
        <is>
          <t>SCH-04-025</t>
        </is>
      </c>
      <c r="C1136" s="12" t="inlineStr">
        <is>
          <t>New</t>
        </is>
      </c>
      <c r="D1136" s="12" t="inlineStr">
        <is>
          <t>Record first supplied in this revision</t>
        </is>
      </c>
      <c r="E1136" s="12" t="inlineStr"/>
      <c r="F1136" s="65" t="inlineStr">
        <is>
          <t>10 EVIDENCE &amp; DECISIONS</t>
        </is>
      </c>
      <c r="G1136" s="14" t="n"/>
    </row>
    <row r="1137" ht="79" customHeight="1">
      <c r="A1137" s="12" t="inlineStr">
        <is>
          <t>R566-v1</t>
        </is>
      </c>
      <c r="B1137" s="12" t="inlineStr">
        <is>
          <t>SCH-04-026</t>
        </is>
      </c>
      <c r="C1137" s="12" t="inlineStr">
        <is>
          <t>New</t>
        </is>
      </c>
      <c r="D1137" s="12" t="inlineStr">
        <is>
          <t>Record first supplied in this revision</t>
        </is>
      </c>
      <c r="E1137" s="12" t="inlineStr"/>
      <c r="F1137" s="65" t="inlineStr">
        <is>
          <t>10 EVIDENCE &amp; DECISIONS</t>
        </is>
      </c>
      <c r="G1137" s="14" t="n"/>
    </row>
    <row r="1138" ht="79" customHeight="1">
      <c r="A1138" s="12" t="inlineStr">
        <is>
          <t>R567-v1</t>
        </is>
      </c>
      <c r="B1138" s="12" t="inlineStr">
        <is>
          <t>SCH-04-027</t>
        </is>
      </c>
      <c r="C1138" s="12" t="inlineStr">
        <is>
          <t>New</t>
        </is>
      </c>
      <c r="D1138" s="12" t="inlineStr">
        <is>
          <t>Record first supplied in this revision</t>
        </is>
      </c>
      <c r="E1138" s="12" t="inlineStr"/>
      <c r="F1138" s="65" t="inlineStr">
        <is>
          <t>10 EVIDENCE &amp; DECISIONS</t>
        </is>
      </c>
      <c r="G1138" s="14" t="n"/>
    </row>
    <row r="1139" ht="79" customHeight="1">
      <c r="A1139" s="12" t="inlineStr">
        <is>
          <t>R568-v1</t>
        </is>
      </c>
      <c r="B1139" s="12" t="inlineStr">
        <is>
          <t>SCH-04-028</t>
        </is>
      </c>
      <c r="C1139" s="12" t="inlineStr">
        <is>
          <t>New</t>
        </is>
      </c>
      <c r="D1139" s="12" t="inlineStr">
        <is>
          <t>Record first supplied in this revision</t>
        </is>
      </c>
      <c r="E1139" s="12" t="inlineStr"/>
      <c r="F1139" s="65" t="inlineStr">
        <is>
          <t>10 EVIDENCE &amp; DECISIONS</t>
        </is>
      </c>
      <c r="G1139" s="14" t="n"/>
    </row>
    <row r="1140" ht="79" customHeight="1">
      <c r="A1140" s="12" t="inlineStr">
        <is>
          <t>R569-v1</t>
        </is>
      </c>
      <c r="B1140" s="12" t="inlineStr">
        <is>
          <t>SCH-04-029</t>
        </is>
      </c>
      <c r="C1140" s="12" t="inlineStr">
        <is>
          <t>New</t>
        </is>
      </c>
      <c r="D1140" s="12" t="inlineStr">
        <is>
          <t>Record first supplied in this revision</t>
        </is>
      </c>
      <c r="E1140" s="12" t="inlineStr"/>
      <c r="F1140" s="65" t="inlineStr">
        <is>
          <t>10 EVIDENCE &amp; DECISIONS</t>
        </is>
      </c>
      <c r="G1140" s="14" t="n"/>
    </row>
    <row r="1141" ht="79" customHeight="1">
      <c r="A1141" s="12" t="inlineStr">
        <is>
          <t>R570-v1</t>
        </is>
      </c>
      <c r="B1141" s="12" t="inlineStr">
        <is>
          <t>SCH-04-030</t>
        </is>
      </c>
      <c r="C1141" s="12" t="inlineStr">
        <is>
          <t>New</t>
        </is>
      </c>
      <c r="D1141" s="12" t="inlineStr">
        <is>
          <t>Record first supplied in this revision</t>
        </is>
      </c>
      <c r="E1141" s="12" t="inlineStr"/>
      <c r="F1141" s="65" t="inlineStr">
        <is>
          <t>10 EVIDENCE &amp; DECISIONS</t>
        </is>
      </c>
      <c r="G1141" s="14" t="n"/>
    </row>
    <row r="1142" ht="79" customHeight="1">
      <c r="A1142" s="12" t="inlineStr">
        <is>
          <t>R571-v1</t>
        </is>
      </c>
      <c r="B1142" s="12" t="inlineStr">
        <is>
          <t>SCH-04-031</t>
        </is>
      </c>
      <c r="C1142" s="12" t="inlineStr">
        <is>
          <t>New</t>
        </is>
      </c>
      <c r="D1142" s="12" t="inlineStr">
        <is>
          <t>Record first supplied in this revision</t>
        </is>
      </c>
      <c r="E1142" s="12" t="inlineStr"/>
      <c r="F1142" s="65" t="inlineStr">
        <is>
          <t>10 EVIDENCE &amp; DECISIONS</t>
        </is>
      </c>
      <c r="G1142" s="14" t="n"/>
    </row>
    <row r="1143" ht="79" customHeight="1">
      <c r="A1143" s="12" t="inlineStr">
        <is>
          <t>R572-v1</t>
        </is>
      </c>
      <c r="B1143" s="12" t="inlineStr">
        <is>
          <t>SCH-04-032</t>
        </is>
      </c>
      <c r="C1143" s="12" t="inlineStr">
        <is>
          <t>New</t>
        </is>
      </c>
      <c r="D1143" s="12" t="inlineStr">
        <is>
          <t>Record first supplied in this revision</t>
        </is>
      </c>
      <c r="E1143" s="12" t="inlineStr"/>
      <c r="F1143" s="65" t="inlineStr">
        <is>
          <t>10 EVIDENCE &amp; DECISIONS</t>
        </is>
      </c>
      <c r="G1143" s="14" t="n"/>
    </row>
    <row r="1144" ht="79" customHeight="1">
      <c r="A1144" s="12" t="inlineStr">
        <is>
          <t>R573-v1</t>
        </is>
      </c>
      <c r="B1144" s="12" t="inlineStr">
        <is>
          <t>SCH-04-033</t>
        </is>
      </c>
      <c r="C1144" s="12" t="inlineStr">
        <is>
          <t>New</t>
        </is>
      </c>
      <c r="D1144" s="12" t="inlineStr">
        <is>
          <t>Record first supplied in this revision</t>
        </is>
      </c>
      <c r="E1144" s="12" t="inlineStr"/>
      <c r="F1144" s="65" t="inlineStr">
        <is>
          <t>10 EVIDENCE &amp; DECISIONS</t>
        </is>
      </c>
      <c r="G1144" s="14" t="n"/>
    </row>
    <row r="1145" ht="79" customHeight="1">
      <c r="A1145" s="12" t="inlineStr">
        <is>
          <t>R574-v1</t>
        </is>
      </c>
      <c r="B1145" s="12" t="inlineStr">
        <is>
          <t>SCH-04-034</t>
        </is>
      </c>
      <c r="C1145" s="12" t="inlineStr">
        <is>
          <t>New</t>
        </is>
      </c>
      <c r="D1145" s="12" t="inlineStr">
        <is>
          <t>Record first supplied in this revision</t>
        </is>
      </c>
      <c r="E1145" s="12" t="inlineStr"/>
      <c r="F1145" s="65" t="inlineStr">
        <is>
          <t>10 EVIDENCE &amp; DECISIONS</t>
        </is>
      </c>
      <c r="G1145" s="14" t="n"/>
    </row>
    <row r="1146" ht="79" customHeight="1">
      <c r="A1146" s="12" t="inlineStr">
        <is>
          <t>R575-v1</t>
        </is>
      </c>
      <c r="B1146" s="12" t="inlineStr">
        <is>
          <t>SCH-04-035</t>
        </is>
      </c>
      <c r="C1146" s="12" t="inlineStr">
        <is>
          <t>New</t>
        </is>
      </c>
      <c r="D1146" s="12" t="inlineStr">
        <is>
          <t>Record first supplied in this revision</t>
        </is>
      </c>
      <c r="E1146" s="12" t="inlineStr"/>
      <c r="F1146" s="65" t="inlineStr">
        <is>
          <t>10 EVIDENCE &amp; DECISIONS</t>
        </is>
      </c>
      <c r="G1146" s="14" t="n"/>
    </row>
    <row r="1147" ht="79" customHeight="1">
      <c r="A1147" s="12" t="inlineStr">
        <is>
          <t>R576-v1</t>
        </is>
      </c>
      <c r="B1147" s="12" t="inlineStr">
        <is>
          <t>SCH-04-036</t>
        </is>
      </c>
      <c r="C1147" s="12" t="inlineStr">
        <is>
          <t>New</t>
        </is>
      </c>
      <c r="D1147" s="12" t="inlineStr">
        <is>
          <t>Record first supplied in this revision</t>
        </is>
      </c>
      <c r="E1147" s="12" t="inlineStr"/>
      <c r="F1147" s="65" t="inlineStr">
        <is>
          <t>10 EVIDENCE &amp; DECISIONS</t>
        </is>
      </c>
      <c r="G1147" s="14" t="n"/>
    </row>
    <row r="1148" ht="79" customHeight="1">
      <c r="A1148" s="12" t="inlineStr">
        <is>
          <t>R577-v1</t>
        </is>
      </c>
      <c r="B1148" s="12" t="inlineStr">
        <is>
          <t>SCH-04-037</t>
        </is>
      </c>
      <c r="C1148" s="12" t="inlineStr">
        <is>
          <t>New</t>
        </is>
      </c>
      <c r="D1148" s="12" t="inlineStr">
        <is>
          <t>Record first supplied in this revision</t>
        </is>
      </c>
      <c r="E1148" s="12" t="inlineStr"/>
      <c r="F1148" s="65" t="inlineStr">
        <is>
          <t>10 EVIDENCE &amp; DECISIONS</t>
        </is>
      </c>
      <c r="G1148" s="14" t="n"/>
    </row>
    <row r="1149" ht="79" customHeight="1">
      <c r="A1149" s="12" t="inlineStr">
        <is>
          <t>R578-v1</t>
        </is>
      </c>
      <c r="B1149" s="12" t="inlineStr">
        <is>
          <t>SCH-04-038</t>
        </is>
      </c>
      <c r="C1149" s="12" t="inlineStr">
        <is>
          <t>New</t>
        </is>
      </c>
      <c r="D1149" s="12" t="inlineStr">
        <is>
          <t>Record first supplied in this revision</t>
        </is>
      </c>
      <c r="E1149" s="12" t="inlineStr"/>
      <c r="F1149" s="65" t="inlineStr">
        <is>
          <t>10 EVIDENCE &amp; DECISIONS</t>
        </is>
      </c>
      <c r="G1149" s="14" t="n"/>
    </row>
    <row r="1150" ht="79" customHeight="1">
      <c r="A1150" s="12" t="inlineStr">
        <is>
          <t>R579-v1</t>
        </is>
      </c>
      <c r="B1150" s="12" t="inlineStr">
        <is>
          <t>SCH-04-039</t>
        </is>
      </c>
      <c r="C1150" s="12" t="inlineStr">
        <is>
          <t>New</t>
        </is>
      </c>
      <c r="D1150" s="12" t="inlineStr">
        <is>
          <t>Record first supplied in this revision</t>
        </is>
      </c>
      <c r="E1150" s="12" t="inlineStr"/>
      <c r="F1150" s="65" t="inlineStr">
        <is>
          <t>10 EVIDENCE &amp; DECISIONS</t>
        </is>
      </c>
      <c r="G1150" s="14" t="n"/>
    </row>
    <row r="1151" ht="79" customHeight="1">
      <c r="A1151" s="12" t="inlineStr">
        <is>
          <t>R580-v1</t>
        </is>
      </c>
      <c r="B1151" s="12" t="inlineStr">
        <is>
          <t>SCH-04-040</t>
        </is>
      </c>
      <c r="C1151" s="12" t="inlineStr">
        <is>
          <t>New</t>
        </is>
      </c>
      <c r="D1151" s="12" t="inlineStr">
        <is>
          <t>Record first supplied in this revision</t>
        </is>
      </c>
      <c r="E1151" s="12" t="inlineStr"/>
      <c r="F1151" s="65" t="inlineStr">
        <is>
          <t>10 EVIDENCE &amp; DECISIONS</t>
        </is>
      </c>
      <c r="G1151" s="14" t="n"/>
    </row>
    <row r="1152" ht="79" customHeight="1">
      <c r="A1152" s="12" t="inlineStr">
        <is>
          <t>R581-v1</t>
        </is>
      </c>
      <c r="B1152" s="12" t="inlineStr">
        <is>
          <t>SCH-04-041</t>
        </is>
      </c>
      <c r="C1152" s="12" t="inlineStr">
        <is>
          <t>New</t>
        </is>
      </c>
      <c r="D1152" s="12" t="inlineStr">
        <is>
          <t>Record first supplied in this revision</t>
        </is>
      </c>
      <c r="E1152" s="12" t="inlineStr"/>
      <c r="F1152" s="65" t="inlineStr">
        <is>
          <t>10 EVIDENCE &amp; DECISIONS</t>
        </is>
      </c>
      <c r="G1152" s="14" t="n"/>
    </row>
    <row r="1153" ht="79" customHeight="1">
      <c r="A1153" s="12" t="inlineStr">
        <is>
          <t>R582-v1</t>
        </is>
      </c>
      <c r="B1153" s="12" t="inlineStr">
        <is>
          <t>SCH-04-042</t>
        </is>
      </c>
      <c r="C1153" s="12" t="inlineStr">
        <is>
          <t>New</t>
        </is>
      </c>
      <c r="D1153" s="12" t="inlineStr">
        <is>
          <t>Record first supplied in this revision</t>
        </is>
      </c>
      <c r="E1153" s="12" t="inlineStr"/>
      <c r="F1153" s="65" t="inlineStr">
        <is>
          <t>10 EVIDENCE &amp; DECISIONS</t>
        </is>
      </c>
      <c r="G1153" s="14" t="n"/>
    </row>
    <row r="1154" ht="79" customHeight="1">
      <c r="A1154" s="12" t="inlineStr">
        <is>
          <t>R583-v1</t>
        </is>
      </c>
      <c r="B1154" s="12" t="inlineStr">
        <is>
          <t>SCH-04-043</t>
        </is>
      </c>
      <c r="C1154" s="12" t="inlineStr">
        <is>
          <t>New</t>
        </is>
      </c>
      <c r="D1154" s="12" t="inlineStr">
        <is>
          <t>Record first supplied in this revision</t>
        </is>
      </c>
      <c r="E1154" s="12" t="inlineStr"/>
      <c r="F1154" s="65" t="inlineStr">
        <is>
          <t>10 EVIDENCE &amp; DECISIONS</t>
        </is>
      </c>
      <c r="G1154" s="14" t="n"/>
    </row>
    <row r="1155" ht="79" customHeight="1">
      <c r="A1155" s="12" t="inlineStr">
        <is>
          <t>R584-v1</t>
        </is>
      </c>
      <c r="B1155" s="12" t="inlineStr">
        <is>
          <t>SCH-04-044</t>
        </is>
      </c>
      <c r="C1155" s="12" t="inlineStr">
        <is>
          <t>New</t>
        </is>
      </c>
      <c r="D1155" s="12" t="inlineStr">
        <is>
          <t>Record first supplied in this revision</t>
        </is>
      </c>
      <c r="E1155" s="12" t="inlineStr"/>
      <c r="F1155" s="65" t="inlineStr">
        <is>
          <t>10 EVIDENCE &amp; DECISIONS</t>
        </is>
      </c>
      <c r="G1155" s="14" t="n"/>
    </row>
    <row r="1156" ht="79" customHeight="1">
      <c r="A1156" s="12" t="inlineStr">
        <is>
          <t>R585-v1</t>
        </is>
      </c>
      <c r="B1156" s="12" t="inlineStr">
        <is>
          <t>SCH-04-045</t>
        </is>
      </c>
      <c r="C1156" s="12" t="inlineStr">
        <is>
          <t>New</t>
        </is>
      </c>
      <c r="D1156" s="12" t="inlineStr">
        <is>
          <t>Record first supplied in this revision</t>
        </is>
      </c>
      <c r="E1156" s="12" t="inlineStr"/>
      <c r="F1156" s="65" t="inlineStr">
        <is>
          <t>10 EVIDENCE &amp; DECISIONS</t>
        </is>
      </c>
      <c r="G1156" s="14" t="n"/>
    </row>
    <row r="1157" ht="79" customHeight="1">
      <c r="A1157" s="12" t="inlineStr">
        <is>
          <t>R586-v1</t>
        </is>
      </c>
      <c r="B1157" s="12" t="inlineStr">
        <is>
          <t>SCH-04-046</t>
        </is>
      </c>
      <c r="C1157" s="12" t="inlineStr">
        <is>
          <t>New</t>
        </is>
      </c>
      <c r="D1157" s="12" t="inlineStr">
        <is>
          <t>Record first supplied in this revision</t>
        </is>
      </c>
      <c r="E1157" s="12" t="inlineStr"/>
      <c r="F1157" s="65" t="inlineStr">
        <is>
          <t>10 EVIDENCE &amp; DECISIONS</t>
        </is>
      </c>
      <c r="G1157" s="14" t="n"/>
    </row>
    <row r="1158" ht="79" customHeight="1">
      <c r="A1158" s="12" t="inlineStr">
        <is>
          <t>R587-v1</t>
        </is>
      </c>
      <c r="B1158" s="12" t="inlineStr">
        <is>
          <t>SCH-04-047</t>
        </is>
      </c>
      <c r="C1158" s="12" t="inlineStr">
        <is>
          <t>New</t>
        </is>
      </c>
      <c r="D1158" s="12" t="inlineStr">
        <is>
          <t>Record first supplied in this revision</t>
        </is>
      </c>
      <c r="E1158" s="12" t="inlineStr"/>
      <c r="F1158" s="65" t="inlineStr">
        <is>
          <t>10 EVIDENCE &amp; DECISIONS</t>
        </is>
      </c>
      <c r="G1158" s="14" t="n"/>
    </row>
    <row r="1159" ht="79" customHeight="1">
      <c r="A1159" s="12" t="inlineStr">
        <is>
          <t>R588-v1</t>
        </is>
      </c>
      <c r="B1159" s="12" t="inlineStr">
        <is>
          <t>SCH-04-048</t>
        </is>
      </c>
      <c r="C1159" s="12" t="inlineStr">
        <is>
          <t>New</t>
        </is>
      </c>
      <c r="D1159" s="12" t="inlineStr">
        <is>
          <t>Record first supplied in this revision</t>
        </is>
      </c>
      <c r="E1159" s="12" t="inlineStr"/>
      <c r="F1159" s="65" t="inlineStr">
        <is>
          <t>10 EVIDENCE &amp; DECISIONS</t>
        </is>
      </c>
      <c r="G1159" s="14" t="n"/>
    </row>
    <row r="1160" ht="79" customHeight="1">
      <c r="A1160" s="12" t="inlineStr">
        <is>
          <t>R589-v1</t>
        </is>
      </c>
      <c r="B1160" s="12" t="inlineStr">
        <is>
          <t>SCH-04-049</t>
        </is>
      </c>
      <c r="C1160" s="12" t="inlineStr">
        <is>
          <t>New</t>
        </is>
      </c>
      <c r="D1160" s="12" t="inlineStr">
        <is>
          <t>Record first supplied in this revision</t>
        </is>
      </c>
      <c r="E1160" s="12" t="inlineStr"/>
      <c r="F1160" s="65" t="inlineStr">
        <is>
          <t>10 EVIDENCE &amp; DECISIONS</t>
        </is>
      </c>
      <c r="G1160" s="14" t="n"/>
    </row>
    <row r="1161" ht="79" customHeight="1">
      <c r="A1161" s="12" t="inlineStr">
        <is>
          <t>R590-v1</t>
        </is>
      </c>
      <c r="B1161" s="12" t="inlineStr">
        <is>
          <t>SCH-04-050</t>
        </is>
      </c>
      <c r="C1161" s="12" t="inlineStr">
        <is>
          <t>New</t>
        </is>
      </c>
      <c r="D1161" s="12" t="inlineStr">
        <is>
          <t>Record first supplied in this revision</t>
        </is>
      </c>
      <c r="E1161" s="12" t="inlineStr"/>
      <c r="F1161" s="65" t="inlineStr">
        <is>
          <t>10 EVIDENCE &amp; DECISIONS</t>
        </is>
      </c>
      <c r="G1161" s="14" t="n"/>
    </row>
    <row r="1162" ht="79" customHeight="1">
      <c r="A1162" s="12" t="inlineStr">
        <is>
          <t>R591-v1</t>
        </is>
      </c>
      <c r="B1162" s="12" t="inlineStr">
        <is>
          <t>SCH-04-051</t>
        </is>
      </c>
      <c r="C1162" s="12" t="inlineStr">
        <is>
          <t>New</t>
        </is>
      </c>
      <c r="D1162" s="12" t="inlineStr">
        <is>
          <t>Record first supplied in this revision</t>
        </is>
      </c>
      <c r="E1162" s="12" t="inlineStr"/>
      <c r="F1162" s="65" t="inlineStr">
        <is>
          <t>10 EVIDENCE &amp; DECISIONS</t>
        </is>
      </c>
      <c r="G1162" s="14" t="n"/>
    </row>
    <row r="1163" ht="79" customHeight="1">
      <c r="A1163" s="12" t="inlineStr">
        <is>
          <t>R592-v1</t>
        </is>
      </c>
      <c r="B1163" s="12" t="inlineStr">
        <is>
          <t>SCH-04-052</t>
        </is>
      </c>
      <c r="C1163" s="12" t="inlineStr">
        <is>
          <t>New</t>
        </is>
      </c>
      <c r="D1163" s="12" t="inlineStr">
        <is>
          <t>Record first supplied in this revision</t>
        </is>
      </c>
      <c r="E1163" s="12" t="inlineStr"/>
      <c r="F1163" s="65" t="inlineStr">
        <is>
          <t>10 EVIDENCE &amp; DECISIONS</t>
        </is>
      </c>
      <c r="G1163" s="14" t="n"/>
    </row>
    <row r="1164" ht="79" customHeight="1">
      <c r="A1164" s="12" t="inlineStr">
        <is>
          <t>R593-v1</t>
        </is>
      </c>
      <c r="B1164" s="12" t="inlineStr">
        <is>
          <t>SCH-04-053</t>
        </is>
      </c>
      <c r="C1164" s="12" t="inlineStr">
        <is>
          <t>New</t>
        </is>
      </c>
      <c r="D1164" s="12" t="inlineStr">
        <is>
          <t>Record first supplied in this revision</t>
        </is>
      </c>
      <c r="E1164" s="12" t="inlineStr"/>
      <c r="F1164" s="65" t="inlineStr">
        <is>
          <t>10 EVIDENCE &amp; DECISIONS</t>
        </is>
      </c>
      <c r="G1164" s="14" t="n"/>
    </row>
    <row r="1165" ht="79" customHeight="1">
      <c r="A1165" s="12" t="inlineStr">
        <is>
          <t>R594-v1</t>
        </is>
      </c>
      <c r="B1165" s="12" t="inlineStr">
        <is>
          <t>SCH-04-054</t>
        </is>
      </c>
      <c r="C1165" s="12" t="inlineStr">
        <is>
          <t>New</t>
        </is>
      </c>
      <c r="D1165" s="12" t="inlineStr">
        <is>
          <t>Record first supplied in this revision</t>
        </is>
      </c>
      <c r="E1165" s="12" t="inlineStr"/>
      <c r="F1165" s="65" t="inlineStr">
        <is>
          <t>10 EVIDENCE &amp; DECISIONS</t>
        </is>
      </c>
      <c r="G1165" s="14" t="n"/>
    </row>
    <row r="1166" ht="79" customHeight="1">
      <c r="A1166" s="12" t="inlineStr">
        <is>
          <t>R595-v1</t>
        </is>
      </c>
      <c r="B1166" s="12" t="inlineStr">
        <is>
          <t>SCH-04-055</t>
        </is>
      </c>
      <c r="C1166" s="12" t="inlineStr">
        <is>
          <t>New</t>
        </is>
      </c>
      <c r="D1166" s="12" t="inlineStr">
        <is>
          <t>Record first supplied in this revision</t>
        </is>
      </c>
      <c r="E1166" s="12" t="inlineStr"/>
      <c r="F1166" s="65" t="inlineStr">
        <is>
          <t>10 EVIDENCE &amp; DECISIONS</t>
        </is>
      </c>
      <c r="G1166" s="14" t="n"/>
    </row>
    <row r="1167" ht="79" customHeight="1">
      <c r="A1167" s="12" t="inlineStr">
        <is>
          <t>R596-v1</t>
        </is>
      </c>
      <c r="B1167" s="12" t="inlineStr">
        <is>
          <t>SCH-04-056</t>
        </is>
      </c>
      <c r="C1167" s="12" t="inlineStr">
        <is>
          <t>New</t>
        </is>
      </c>
      <c r="D1167" s="12" t="inlineStr">
        <is>
          <t>Record first supplied in this revision</t>
        </is>
      </c>
      <c r="E1167" s="12" t="inlineStr"/>
      <c r="F1167" s="65" t="inlineStr">
        <is>
          <t>10 EVIDENCE &amp; DECISIONS</t>
        </is>
      </c>
      <c r="G1167" s="14" t="n"/>
    </row>
    <row r="1168" ht="79" customHeight="1">
      <c r="A1168" s="12" t="inlineStr">
        <is>
          <t>R597-v1</t>
        </is>
      </c>
      <c r="B1168" s="12" t="inlineStr">
        <is>
          <t>SCH-04-057</t>
        </is>
      </c>
      <c r="C1168" s="12" t="inlineStr">
        <is>
          <t>New</t>
        </is>
      </c>
      <c r="D1168" s="12" t="inlineStr">
        <is>
          <t>Record first supplied in this revision</t>
        </is>
      </c>
      <c r="E1168" s="12" t="inlineStr"/>
      <c r="F1168" s="65" t="inlineStr">
        <is>
          <t>10 EVIDENCE &amp; DECISIONS</t>
        </is>
      </c>
      <c r="G1168" s="14" t="n"/>
    </row>
    <row r="1169" ht="79" customHeight="1">
      <c r="A1169" s="12" t="inlineStr">
        <is>
          <t>R598-v1</t>
        </is>
      </c>
      <c r="B1169" s="12" t="inlineStr">
        <is>
          <t>SCH-04-058</t>
        </is>
      </c>
      <c r="C1169" s="12" t="inlineStr">
        <is>
          <t>New</t>
        </is>
      </c>
      <c r="D1169" s="12" t="inlineStr">
        <is>
          <t>Record first supplied in this revision</t>
        </is>
      </c>
      <c r="E1169" s="12" t="inlineStr"/>
      <c r="F1169" s="65" t="inlineStr">
        <is>
          <t>10 EVIDENCE &amp; DECISIONS</t>
        </is>
      </c>
      <c r="G1169" s="14" t="n"/>
    </row>
    <row r="1170" ht="79" customHeight="1">
      <c r="A1170" s="12" t="inlineStr">
        <is>
          <t>R599-v1</t>
        </is>
      </c>
      <c r="B1170" s="12" t="inlineStr">
        <is>
          <t>SCH-04-059</t>
        </is>
      </c>
      <c r="C1170" s="12" t="inlineStr">
        <is>
          <t>New</t>
        </is>
      </c>
      <c r="D1170" s="12" t="inlineStr">
        <is>
          <t>Record first supplied in this revision</t>
        </is>
      </c>
      <c r="E1170" s="12" t="inlineStr"/>
      <c r="F1170" s="65" t="inlineStr">
        <is>
          <t>10 EVIDENCE &amp; DECISIONS</t>
        </is>
      </c>
      <c r="G1170" s="14" t="n"/>
    </row>
    <row r="1171" ht="79" customHeight="1">
      <c r="A1171" s="12" t="inlineStr">
        <is>
          <t>R600-v1</t>
        </is>
      </c>
      <c r="B1171" s="12" t="inlineStr">
        <is>
          <t>SCH-04-060</t>
        </is>
      </c>
      <c r="C1171" s="12" t="inlineStr">
        <is>
          <t>New</t>
        </is>
      </c>
      <c r="D1171" s="12" t="inlineStr">
        <is>
          <t>Record first supplied in this revision</t>
        </is>
      </c>
      <c r="E1171" s="12" t="inlineStr"/>
      <c r="F1171" s="65" t="inlineStr">
        <is>
          <t>10 EVIDENCE &amp; DECISIONS</t>
        </is>
      </c>
      <c r="G1171" s="14" t="n"/>
    </row>
    <row r="1172" ht="79" customHeight="1">
      <c r="A1172" s="12" t="inlineStr">
        <is>
          <t>R601-v1</t>
        </is>
      </c>
      <c r="B1172" s="12" t="inlineStr">
        <is>
          <t>SCH-04-061</t>
        </is>
      </c>
      <c r="C1172" s="12" t="inlineStr">
        <is>
          <t>New</t>
        </is>
      </c>
      <c r="D1172" s="12" t="inlineStr">
        <is>
          <t>Record first supplied in this revision</t>
        </is>
      </c>
      <c r="E1172" s="12" t="inlineStr"/>
      <c r="F1172" s="65" t="inlineStr">
        <is>
          <t>10 EVIDENCE &amp; DECISIONS</t>
        </is>
      </c>
      <c r="G1172" s="14" t="n"/>
    </row>
    <row r="1173" ht="79" customHeight="1">
      <c r="A1173" s="12" t="inlineStr">
        <is>
          <t>R602-v1</t>
        </is>
      </c>
      <c r="B1173" s="12" t="inlineStr">
        <is>
          <t>SCH-04-062</t>
        </is>
      </c>
      <c r="C1173" s="12" t="inlineStr">
        <is>
          <t>New</t>
        </is>
      </c>
      <c r="D1173" s="12" t="inlineStr">
        <is>
          <t>Record first supplied in this revision</t>
        </is>
      </c>
      <c r="E1173" s="12" t="inlineStr"/>
      <c r="F1173" s="65" t="inlineStr">
        <is>
          <t>10 EVIDENCE &amp; DECISIONS</t>
        </is>
      </c>
      <c r="G1173" s="14" t="n"/>
    </row>
    <row r="1174" ht="79" customHeight="1">
      <c r="A1174" s="12" t="inlineStr">
        <is>
          <t>R603-v1</t>
        </is>
      </c>
      <c r="B1174" s="12" t="inlineStr">
        <is>
          <t>SCH-04-063</t>
        </is>
      </c>
      <c r="C1174" s="12" t="inlineStr">
        <is>
          <t>New</t>
        </is>
      </c>
      <c r="D1174" s="12" t="inlineStr">
        <is>
          <t>Record first supplied in this revision</t>
        </is>
      </c>
      <c r="E1174" s="12" t="inlineStr"/>
      <c r="F1174" s="65" t="inlineStr">
        <is>
          <t>10 EVIDENCE &amp; DECISIONS</t>
        </is>
      </c>
      <c r="G1174" s="14" t="n"/>
    </row>
    <row r="1175" ht="79" customHeight="1">
      <c r="A1175" s="12" t="inlineStr">
        <is>
          <t>R604-v1</t>
        </is>
      </c>
      <c r="B1175" s="12" t="inlineStr">
        <is>
          <t>SCH-04-064</t>
        </is>
      </c>
      <c r="C1175" s="12" t="inlineStr">
        <is>
          <t>New</t>
        </is>
      </c>
      <c r="D1175" s="12" t="inlineStr">
        <is>
          <t>Record first supplied in this revision</t>
        </is>
      </c>
      <c r="E1175" s="12" t="inlineStr"/>
      <c r="F1175" s="65" t="inlineStr">
        <is>
          <t>10 EVIDENCE &amp; DECISIONS</t>
        </is>
      </c>
      <c r="G1175" s="14" t="n"/>
    </row>
    <row r="1176" ht="79" customHeight="1">
      <c r="A1176" s="12" t="inlineStr">
        <is>
          <t>R605-v1</t>
        </is>
      </c>
      <c r="B1176" s="12" t="inlineStr">
        <is>
          <t>SCH-04-065</t>
        </is>
      </c>
      <c r="C1176" s="12" t="inlineStr">
        <is>
          <t>New</t>
        </is>
      </c>
      <c r="D1176" s="12" t="inlineStr">
        <is>
          <t>Record first supplied in this revision</t>
        </is>
      </c>
      <c r="E1176" s="12" t="inlineStr"/>
      <c r="F1176" s="65" t="inlineStr">
        <is>
          <t>10 EVIDENCE &amp; DECISIONS</t>
        </is>
      </c>
      <c r="G1176" s="14" t="n"/>
    </row>
    <row r="1177" ht="79" customHeight="1">
      <c r="A1177" s="12" t="inlineStr">
        <is>
          <t>R606-v1</t>
        </is>
      </c>
      <c r="B1177" s="12" t="inlineStr">
        <is>
          <t>SCH-04-066</t>
        </is>
      </c>
      <c r="C1177" s="12" t="inlineStr">
        <is>
          <t>New</t>
        </is>
      </c>
      <c r="D1177" s="12" t="inlineStr">
        <is>
          <t>Record first supplied in this revision</t>
        </is>
      </c>
      <c r="E1177" s="12" t="inlineStr"/>
      <c r="F1177" s="65" t="inlineStr">
        <is>
          <t>10 EVIDENCE &amp; DECISIONS</t>
        </is>
      </c>
      <c r="G1177" s="14" t="n"/>
    </row>
    <row r="1178" ht="79" customHeight="1">
      <c r="A1178" s="12" t="inlineStr">
        <is>
          <t>R607-v1</t>
        </is>
      </c>
      <c r="B1178" s="12" t="inlineStr">
        <is>
          <t>SCH-04-067</t>
        </is>
      </c>
      <c r="C1178" s="12" t="inlineStr">
        <is>
          <t>New</t>
        </is>
      </c>
      <c r="D1178" s="12" t="inlineStr">
        <is>
          <t>Record first supplied in this revision</t>
        </is>
      </c>
      <c r="E1178" s="12" t="inlineStr"/>
      <c r="F1178" s="65" t="inlineStr">
        <is>
          <t>10 EVIDENCE &amp; DECISIONS</t>
        </is>
      </c>
      <c r="G1178" s="14" t="n"/>
    </row>
    <row r="1179" ht="79" customHeight="1">
      <c r="A1179" s="12" t="inlineStr">
        <is>
          <t>R608-v1</t>
        </is>
      </c>
      <c r="B1179" s="12" t="inlineStr">
        <is>
          <t>SCH-04-068</t>
        </is>
      </c>
      <c r="C1179" s="12" t="inlineStr">
        <is>
          <t>New</t>
        </is>
      </c>
      <c r="D1179" s="12" t="inlineStr">
        <is>
          <t>Record first supplied in this revision</t>
        </is>
      </c>
      <c r="E1179" s="12" t="inlineStr"/>
      <c r="F1179" s="65" t="inlineStr">
        <is>
          <t>10 EVIDENCE &amp; DECISIONS</t>
        </is>
      </c>
      <c r="G1179" s="14" t="n"/>
    </row>
    <row r="1180" ht="79" customHeight="1">
      <c r="A1180" s="12" t="inlineStr">
        <is>
          <t>R609-v1</t>
        </is>
      </c>
      <c r="B1180" s="12" t="inlineStr">
        <is>
          <t>SCH-04-069</t>
        </is>
      </c>
      <c r="C1180" s="12" t="inlineStr">
        <is>
          <t>New</t>
        </is>
      </c>
      <c r="D1180" s="12" t="inlineStr">
        <is>
          <t>Record first supplied in this revision</t>
        </is>
      </c>
      <c r="E1180" s="12" t="inlineStr"/>
      <c r="F1180" s="65" t="inlineStr">
        <is>
          <t>10 EVIDENCE &amp; DECISIONS</t>
        </is>
      </c>
      <c r="G1180" s="14" t="n"/>
    </row>
    <row r="1181" ht="79" customHeight="1">
      <c r="A1181" s="12" t="inlineStr">
        <is>
          <t>R610-v1</t>
        </is>
      </c>
      <c r="B1181" s="12" t="inlineStr">
        <is>
          <t>SCH-04-070</t>
        </is>
      </c>
      <c r="C1181" s="12" t="inlineStr">
        <is>
          <t>New</t>
        </is>
      </c>
      <c r="D1181" s="12" t="inlineStr">
        <is>
          <t>Record first supplied in this revision</t>
        </is>
      </c>
      <c r="E1181" s="12" t="inlineStr"/>
      <c r="F1181" s="65" t="inlineStr">
        <is>
          <t>10 EVIDENCE &amp; DECISIONS</t>
        </is>
      </c>
      <c r="G1181" s="14" t="n"/>
    </row>
    <row r="1182" ht="79" customHeight="1">
      <c r="A1182" s="12" t="inlineStr">
        <is>
          <t>R611-v1</t>
        </is>
      </c>
      <c r="B1182" s="12" t="inlineStr">
        <is>
          <t>SCH-04-071</t>
        </is>
      </c>
      <c r="C1182" s="12" t="inlineStr">
        <is>
          <t>New</t>
        </is>
      </c>
      <c r="D1182" s="12" t="inlineStr">
        <is>
          <t>Record first supplied in this revision</t>
        </is>
      </c>
      <c r="E1182" s="12" t="inlineStr"/>
      <c r="F1182" s="65" t="inlineStr">
        <is>
          <t>10 EVIDENCE &amp; DECISIONS</t>
        </is>
      </c>
      <c r="G1182" s="14" t="n"/>
    </row>
    <row r="1183" ht="79" customHeight="1">
      <c r="A1183" s="12" t="inlineStr">
        <is>
          <t>R612-v1</t>
        </is>
      </c>
      <c r="B1183" s="12" t="inlineStr">
        <is>
          <t>SCH-04-072</t>
        </is>
      </c>
      <c r="C1183" s="12" t="inlineStr">
        <is>
          <t>New</t>
        </is>
      </c>
      <c r="D1183" s="12" t="inlineStr">
        <is>
          <t>Record first supplied in this revision</t>
        </is>
      </c>
      <c r="E1183" s="12" t="inlineStr"/>
      <c r="F1183" s="65" t="inlineStr">
        <is>
          <t>10 EVIDENCE &amp; DECISIONS</t>
        </is>
      </c>
      <c r="G1183" s="14" t="n"/>
    </row>
    <row r="1184" ht="79" customHeight="1">
      <c r="A1184" s="12" t="inlineStr">
        <is>
          <t>R613-v1</t>
        </is>
      </c>
      <c r="B1184" s="12" t="inlineStr">
        <is>
          <t>SCH-04-073</t>
        </is>
      </c>
      <c r="C1184" s="12" t="inlineStr">
        <is>
          <t>New</t>
        </is>
      </c>
      <c r="D1184" s="12" t="inlineStr">
        <is>
          <t>Record first supplied in this revision</t>
        </is>
      </c>
      <c r="E1184" s="12" t="inlineStr"/>
      <c r="F1184" s="65" t="inlineStr">
        <is>
          <t>10 EVIDENCE &amp; DECISIONS</t>
        </is>
      </c>
      <c r="G1184" s="14" t="n"/>
    </row>
    <row r="1185" ht="79" customHeight="1">
      <c r="A1185" s="12" t="inlineStr">
        <is>
          <t>R614-v1</t>
        </is>
      </c>
      <c r="B1185" s="12" t="inlineStr">
        <is>
          <t>SCH-04-074</t>
        </is>
      </c>
      <c r="C1185" s="12" t="inlineStr">
        <is>
          <t>New</t>
        </is>
      </c>
      <c r="D1185" s="12" t="inlineStr">
        <is>
          <t>Record first supplied in this revision</t>
        </is>
      </c>
      <c r="E1185" s="12" t="inlineStr"/>
      <c r="F1185" s="65" t="inlineStr">
        <is>
          <t>10 EVIDENCE &amp; DECISIONS</t>
        </is>
      </c>
      <c r="G1185" s="14" t="n"/>
    </row>
    <row r="1186" ht="79" customHeight="1">
      <c r="A1186" s="12" t="inlineStr">
        <is>
          <t>R615-v1</t>
        </is>
      </c>
      <c r="B1186" s="12" t="inlineStr">
        <is>
          <t>SCH-04-075</t>
        </is>
      </c>
      <c r="C1186" s="12" t="inlineStr">
        <is>
          <t>New</t>
        </is>
      </c>
      <c r="D1186" s="12" t="inlineStr">
        <is>
          <t>Record first supplied in this revision</t>
        </is>
      </c>
      <c r="E1186" s="12" t="inlineStr"/>
      <c r="F1186" s="65" t="inlineStr">
        <is>
          <t>10 EVIDENCE &amp; DECISIONS</t>
        </is>
      </c>
      <c r="G1186" s="14" t="n"/>
    </row>
    <row r="1187" ht="79" customHeight="1">
      <c r="A1187" s="12" t="inlineStr">
        <is>
          <t>R616-v1</t>
        </is>
      </c>
      <c r="B1187" s="12" t="inlineStr">
        <is>
          <t>SCH-04-076</t>
        </is>
      </c>
      <c r="C1187" s="12" t="inlineStr">
        <is>
          <t>New</t>
        </is>
      </c>
      <c r="D1187" s="12" t="inlineStr">
        <is>
          <t>Record first supplied in this revision</t>
        </is>
      </c>
      <c r="E1187" s="12" t="inlineStr"/>
      <c r="F1187" s="65" t="inlineStr">
        <is>
          <t>10 EVIDENCE &amp; DECISIONS</t>
        </is>
      </c>
      <c r="G1187" s="14" t="n"/>
    </row>
    <row r="1188" ht="79" customHeight="1">
      <c r="A1188" s="12" t="inlineStr">
        <is>
          <t>R617-v1</t>
        </is>
      </c>
      <c r="B1188" s="12" t="inlineStr">
        <is>
          <t>SCH-04-077</t>
        </is>
      </c>
      <c r="C1188" s="12" t="inlineStr">
        <is>
          <t>New</t>
        </is>
      </c>
      <c r="D1188" s="12" t="inlineStr">
        <is>
          <t>Record first supplied in this revision</t>
        </is>
      </c>
      <c r="E1188" s="12" t="inlineStr"/>
      <c r="F1188" s="65" t="inlineStr">
        <is>
          <t>10 EVIDENCE &amp; DECISIONS</t>
        </is>
      </c>
      <c r="G1188" s="14" t="n"/>
    </row>
    <row r="1189" ht="79" customHeight="1">
      <c r="A1189" s="12" t="inlineStr">
        <is>
          <t>R618-v1</t>
        </is>
      </c>
      <c r="B1189" s="12" t="inlineStr">
        <is>
          <t>SCH-04-078</t>
        </is>
      </c>
      <c r="C1189" s="12" t="inlineStr">
        <is>
          <t>New</t>
        </is>
      </c>
      <c r="D1189" s="12" t="inlineStr">
        <is>
          <t>Record first supplied in this revision</t>
        </is>
      </c>
      <c r="E1189" s="12" t="inlineStr"/>
      <c r="F1189" s="65" t="inlineStr">
        <is>
          <t>10 EVIDENCE &amp; DECISIONS</t>
        </is>
      </c>
      <c r="G1189" s="14" t="n"/>
    </row>
    <row r="1190" ht="79" customHeight="1">
      <c r="A1190" s="12" t="inlineStr">
        <is>
          <t>R619-v1</t>
        </is>
      </c>
      <c r="B1190" s="12" t="inlineStr">
        <is>
          <t>SCH-04-079</t>
        </is>
      </c>
      <c r="C1190" s="12" t="inlineStr">
        <is>
          <t>New</t>
        </is>
      </c>
      <c r="D1190" s="12" t="inlineStr">
        <is>
          <t>Record first supplied in this revision</t>
        </is>
      </c>
      <c r="E1190" s="12" t="inlineStr"/>
      <c r="F1190" s="65" t="inlineStr">
        <is>
          <t>10 EVIDENCE &amp; DECISIONS</t>
        </is>
      </c>
      <c r="G1190" s="14" t="n"/>
    </row>
    <row r="1191" ht="79" customHeight="1">
      <c r="A1191" s="12" t="inlineStr">
        <is>
          <t>R620-v1</t>
        </is>
      </c>
      <c r="B1191" s="12" t="inlineStr">
        <is>
          <t>SCH-04-080</t>
        </is>
      </c>
      <c r="C1191" s="12" t="inlineStr">
        <is>
          <t>New</t>
        </is>
      </c>
      <c r="D1191" s="12" t="inlineStr">
        <is>
          <t>Record first supplied in this revision</t>
        </is>
      </c>
      <c r="E1191" s="12" t="inlineStr"/>
      <c r="F1191" s="65" t="inlineStr">
        <is>
          <t>10 EVIDENCE &amp; DECISIONS</t>
        </is>
      </c>
      <c r="G1191" s="14" t="n"/>
    </row>
    <row r="1192" ht="79" customHeight="1">
      <c r="A1192" s="12" t="inlineStr">
        <is>
          <t>R621-v1</t>
        </is>
      </c>
      <c r="B1192" s="12" t="inlineStr">
        <is>
          <t>SCH-04-081</t>
        </is>
      </c>
      <c r="C1192" s="12" t="inlineStr">
        <is>
          <t>New</t>
        </is>
      </c>
      <c r="D1192" s="12" t="inlineStr">
        <is>
          <t>Record first supplied in this revision</t>
        </is>
      </c>
      <c r="E1192" s="12" t="inlineStr"/>
      <c r="F1192" s="65" t="inlineStr">
        <is>
          <t>10 EVIDENCE &amp; DECISIONS</t>
        </is>
      </c>
      <c r="G1192" s="14" t="n"/>
    </row>
    <row r="1193" ht="79" customHeight="1">
      <c r="A1193" s="12" t="inlineStr">
        <is>
          <t>R622-v1</t>
        </is>
      </c>
      <c r="B1193" s="12" t="inlineStr">
        <is>
          <t>SCH-04-082</t>
        </is>
      </c>
      <c r="C1193" s="12" t="inlineStr">
        <is>
          <t>New</t>
        </is>
      </c>
      <c r="D1193" s="12" t="inlineStr">
        <is>
          <t>Record first supplied in this revision</t>
        </is>
      </c>
      <c r="E1193" s="12" t="inlineStr"/>
      <c r="F1193" s="65" t="inlineStr">
        <is>
          <t>10 EVIDENCE &amp; DECISIONS</t>
        </is>
      </c>
      <c r="G1193" s="14" t="n"/>
    </row>
    <row r="1194" ht="79" customHeight="1">
      <c r="A1194" s="12" t="inlineStr">
        <is>
          <t>R623-v1</t>
        </is>
      </c>
      <c r="B1194" s="12" t="inlineStr">
        <is>
          <t>SCH-04-083</t>
        </is>
      </c>
      <c r="C1194" s="12" t="inlineStr">
        <is>
          <t>New</t>
        </is>
      </c>
      <c r="D1194" s="12" t="inlineStr">
        <is>
          <t>Record first supplied in this revision</t>
        </is>
      </c>
      <c r="E1194" s="12" t="inlineStr"/>
      <c r="F1194" s="65" t="inlineStr">
        <is>
          <t>10 EVIDENCE &amp; DECISIONS</t>
        </is>
      </c>
      <c r="G1194" s="14" t="n"/>
    </row>
    <row r="1195" ht="79" customHeight="1">
      <c r="A1195" s="12" t="inlineStr">
        <is>
          <t>R624-v1</t>
        </is>
      </c>
      <c r="B1195" s="12" t="inlineStr">
        <is>
          <t>SCH-04-084</t>
        </is>
      </c>
      <c r="C1195" s="12" t="inlineStr">
        <is>
          <t>New</t>
        </is>
      </c>
      <c r="D1195" s="12" t="inlineStr">
        <is>
          <t>Record first supplied in this revision</t>
        </is>
      </c>
      <c r="E1195" s="12" t="inlineStr"/>
      <c r="F1195" s="65" t="inlineStr">
        <is>
          <t>10 EVIDENCE &amp; DECISIONS</t>
        </is>
      </c>
      <c r="G1195" s="14" t="n"/>
    </row>
    <row r="1196" ht="79" customHeight="1">
      <c r="A1196" s="12" t="inlineStr">
        <is>
          <t>R625-v1</t>
        </is>
      </c>
      <c r="B1196" s="12" t="inlineStr">
        <is>
          <t>SCH-04-085</t>
        </is>
      </c>
      <c r="C1196" s="12" t="inlineStr">
        <is>
          <t>New</t>
        </is>
      </c>
      <c r="D1196" s="12" t="inlineStr">
        <is>
          <t>Record first supplied in this revision</t>
        </is>
      </c>
      <c r="E1196" s="12" t="inlineStr"/>
      <c r="F1196" s="65" t="inlineStr">
        <is>
          <t>10 EVIDENCE &amp; DECISIONS</t>
        </is>
      </c>
      <c r="G1196" s="14" t="n"/>
    </row>
    <row r="1197" ht="79" customHeight="1">
      <c r="A1197" s="12" t="inlineStr">
        <is>
          <t>R626-v1</t>
        </is>
      </c>
      <c r="B1197" s="12" t="inlineStr">
        <is>
          <t>SCH-04-086</t>
        </is>
      </c>
      <c r="C1197" s="12" t="inlineStr">
        <is>
          <t>New</t>
        </is>
      </c>
      <c r="D1197" s="12" t="inlineStr">
        <is>
          <t>Record first supplied in this revision</t>
        </is>
      </c>
      <c r="E1197" s="12" t="inlineStr"/>
      <c r="F1197" s="65" t="inlineStr">
        <is>
          <t>10 EVIDENCE &amp; DECISIONS</t>
        </is>
      </c>
      <c r="G1197" s="14" t="n"/>
    </row>
    <row r="1198" ht="79" customHeight="1">
      <c r="A1198" s="12" t="inlineStr">
        <is>
          <t>R627-v1</t>
        </is>
      </c>
      <c r="B1198" s="12" t="inlineStr">
        <is>
          <t>SCH-04-087</t>
        </is>
      </c>
      <c r="C1198" s="12" t="inlineStr">
        <is>
          <t>New</t>
        </is>
      </c>
      <c r="D1198" s="12" t="inlineStr">
        <is>
          <t>Record first supplied in this revision</t>
        </is>
      </c>
      <c r="E1198" s="12" t="inlineStr"/>
      <c r="F1198" s="65" t="inlineStr">
        <is>
          <t>10 EVIDENCE &amp; DECISIONS</t>
        </is>
      </c>
      <c r="G1198" s="14" t="n"/>
    </row>
    <row r="1199" ht="79" customHeight="1">
      <c r="A1199" s="12" t="inlineStr">
        <is>
          <t>R628-v1</t>
        </is>
      </c>
      <c r="B1199" s="12" t="inlineStr">
        <is>
          <t>SCH-04-088</t>
        </is>
      </c>
      <c r="C1199" s="12" t="inlineStr">
        <is>
          <t>New</t>
        </is>
      </c>
      <c r="D1199" s="12" t="inlineStr">
        <is>
          <t>Record first supplied in this revision</t>
        </is>
      </c>
      <c r="E1199" s="12" t="inlineStr"/>
      <c r="F1199" s="65" t="inlineStr">
        <is>
          <t>10 EVIDENCE &amp; DECISIONS</t>
        </is>
      </c>
      <c r="G1199" s="14" t="n"/>
    </row>
    <row r="1200" ht="79" customHeight="1">
      <c r="A1200" s="12" t="inlineStr">
        <is>
          <t>R629-v1</t>
        </is>
      </c>
      <c r="B1200" s="12" t="inlineStr">
        <is>
          <t>SCH-04-089</t>
        </is>
      </c>
      <c r="C1200" s="12" t="inlineStr">
        <is>
          <t>New</t>
        </is>
      </c>
      <c r="D1200" s="12" t="inlineStr">
        <is>
          <t>Record first supplied in this revision</t>
        </is>
      </c>
      <c r="E1200" s="12" t="inlineStr"/>
      <c r="F1200" s="65" t="inlineStr">
        <is>
          <t>10 EVIDENCE &amp; DECISIONS</t>
        </is>
      </c>
      <c r="G1200" s="14" t="n"/>
    </row>
    <row r="1201" ht="79" customHeight="1">
      <c r="A1201" s="12" t="inlineStr">
        <is>
          <t>R630-v1</t>
        </is>
      </c>
      <c r="B1201" s="12" t="inlineStr">
        <is>
          <t>SCH-04-090</t>
        </is>
      </c>
      <c r="C1201" s="12" t="inlineStr">
        <is>
          <t>New</t>
        </is>
      </c>
      <c r="D1201" s="12" t="inlineStr">
        <is>
          <t>Record first supplied in this revision</t>
        </is>
      </c>
      <c r="E1201" s="12" t="inlineStr"/>
      <c r="F1201" s="65" t="inlineStr">
        <is>
          <t>10 EVIDENCE &amp; DECISIONS</t>
        </is>
      </c>
      <c r="G1201" s="14" t="n"/>
    </row>
    <row r="1202" ht="79" customHeight="1">
      <c r="A1202" s="12" t="inlineStr">
        <is>
          <t>R631-v1</t>
        </is>
      </c>
      <c r="B1202" s="12" t="inlineStr">
        <is>
          <t>SCH-04-091</t>
        </is>
      </c>
      <c r="C1202" s="12" t="inlineStr">
        <is>
          <t>New</t>
        </is>
      </c>
      <c r="D1202" s="12" t="inlineStr">
        <is>
          <t>Record first supplied in this revision</t>
        </is>
      </c>
      <c r="E1202" s="12" t="inlineStr"/>
      <c r="F1202" s="65" t="inlineStr">
        <is>
          <t>10 EVIDENCE &amp; DECISIONS</t>
        </is>
      </c>
      <c r="G1202" s="14" t="n"/>
    </row>
    <row r="1203" ht="79" customHeight="1">
      <c r="A1203" s="12" t="inlineStr">
        <is>
          <t>R632-v1</t>
        </is>
      </c>
      <c r="B1203" s="12" t="inlineStr">
        <is>
          <t>SCH-04-092</t>
        </is>
      </c>
      <c r="C1203" s="12" t="inlineStr">
        <is>
          <t>New</t>
        </is>
      </c>
      <c r="D1203" s="12" t="inlineStr">
        <is>
          <t>Record first supplied in this revision</t>
        </is>
      </c>
      <c r="E1203" s="12" t="inlineStr"/>
      <c r="F1203" s="65" t="inlineStr">
        <is>
          <t>10 EVIDENCE &amp; DECISIONS</t>
        </is>
      </c>
      <c r="G1203" s="14" t="n"/>
    </row>
    <row r="1204" ht="79" customHeight="1">
      <c r="A1204" s="12" t="inlineStr">
        <is>
          <t>R633-v1</t>
        </is>
      </c>
      <c r="B1204" s="12" t="inlineStr">
        <is>
          <t>SCH-04-093</t>
        </is>
      </c>
      <c r="C1204" s="12" t="inlineStr">
        <is>
          <t>New</t>
        </is>
      </c>
      <c r="D1204" s="12" t="inlineStr">
        <is>
          <t>Record first supplied in this revision</t>
        </is>
      </c>
      <c r="E1204" s="12" t="inlineStr"/>
      <c r="F1204" s="65" t="inlineStr">
        <is>
          <t>10 EVIDENCE &amp; DECISIONS</t>
        </is>
      </c>
      <c r="G1204" s="14" t="n"/>
    </row>
    <row r="1205" ht="79" customHeight="1">
      <c r="A1205" s="12" t="inlineStr">
        <is>
          <t>R634-v1</t>
        </is>
      </c>
      <c r="B1205" s="12" t="inlineStr">
        <is>
          <t>SCH-04-094</t>
        </is>
      </c>
      <c r="C1205" s="12" t="inlineStr">
        <is>
          <t>New</t>
        </is>
      </c>
      <c r="D1205" s="12" t="inlineStr">
        <is>
          <t>Record first supplied in this revision</t>
        </is>
      </c>
      <c r="E1205" s="12" t="inlineStr"/>
      <c r="F1205" s="65" t="inlineStr">
        <is>
          <t>10 EVIDENCE &amp; DECISIONS</t>
        </is>
      </c>
      <c r="G1205" s="14" t="n"/>
    </row>
    <row r="1206" ht="79" customHeight="1">
      <c r="A1206" s="12" t="inlineStr">
        <is>
          <t>R635-v1</t>
        </is>
      </c>
      <c r="B1206" s="12" t="inlineStr">
        <is>
          <t>SCH-04-095</t>
        </is>
      </c>
      <c r="C1206" s="12" t="inlineStr">
        <is>
          <t>New</t>
        </is>
      </c>
      <c r="D1206" s="12" t="inlineStr">
        <is>
          <t>Record first supplied in this revision</t>
        </is>
      </c>
      <c r="E1206" s="12" t="inlineStr"/>
      <c r="F1206" s="65" t="inlineStr">
        <is>
          <t>10 EVIDENCE &amp; DECISIONS</t>
        </is>
      </c>
      <c r="G1206" s="14" t="n"/>
    </row>
    <row r="1207" ht="79" customHeight="1">
      <c r="A1207" s="12" t="inlineStr">
        <is>
          <t>R636-v1</t>
        </is>
      </c>
      <c r="B1207" s="12" t="inlineStr">
        <is>
          <t>SCH-04-096</t>
        </is>
      </c>
      <c r="C1207" s="12" t="inlineStr">
        <is>
          <t>New</t>
        </is>
      </c>
      <c r="D1207" s="12" t="inlineStr">
        <is>
          <t>Record first supplied in this revision</t>
        </is>
      </c>
      <c r="E1207" s="12" t="inlineStr"/>
      <c r="F1207" s="65" t="inlineStr">
        <is>
          <t>10 EVIDENCE &amp; DECISIONS</t>
        </is>
      </c>
      <c r="G1207" s="14" t="n"/>
    </row>
    <row r="1208" ht="79" customHeight="1">
      <c r="A1208" s="12" t="inlineStr">
        <is>
          <t>R637-v1</t>
        </is>
      </c>
      <c r="B1208" s="12" t="inlineStr">
        <is>
          <t>SCH-04-097</t>
        </is>
      </c>
      <c r="C1208" s="12" t="inlineStr">
        <is>
          <t>New</t>
        </is>
      </c>
      <c r="D1208" s="12" t="inlineStr">
        <is>
          <t>Record first supplied in this revision</t>
        </is>
      </c>
      <c r="E1208" s="12" t="inlineStr"/>
      <c r="F1208" s="65" t="inlineStr">
        <is>
          <t>10 EVIDENCE &amp; DECISIONS</t>
        </is>
      </c>
      <c r="G1208" s="14" t="n"/>
    </row>
    <row r="1209" ht="79" customHeight="1">
      <c r="A1209" s="12" t="inlineStr">
        <is>
          <t>R638-v1</t>
        </is>
      </c>
      <c r="B1209" s="12" t="inlineStr">
        <is>
          <t>SCH-04-098</t>
        </is>
      </c>
      <c r="C1209" s="12" t="inlineStr">
        <is>
          <t>New</t>
        </is>
      </c>
      <c r="D1209" s="12" t="inlineStr">
        <is>
          <t>Record first supplied in this revision</t>
        </is>
      </c>
      <c r="E1209" s="12" t="inlineStr"/>
      <c r="F1209" s="65" t="inlineStr">
        <is>
          <t>10 EVIDENCE &amp; DECISIONS</t>
        </is>
      </c>
      <c r="G1209" s="14" t="n"/>
    </row>
    <row r="1210" ht="79" customHeight="1">
      <c r="A1210" s="12" t="inlineStr">
        <is>
          <t>R639-v1</t>
        </is>
      </c>
      <c r="B1210" s="12" t="inlineStr">
        <is>
          <t>SCH-04-099</t>
        </is>
      </c>
      <c r="C1210" s="12" t="inlineStr">
        <is>
          <t>New</t>
        </is>
      </c>
      <c r="D1210" s="12" t="inlineStr">
        <is>
          <t>Record first supplied in this revision</t>
        </is>
      </c>
      <c r="E1210" s="12" t="inlineStr"/>
      <c r="F1210" s="65" t="inlineStr">
        <is>
          <t>10 EVIDENCE &amp; DECISIONS</t>
        </is>
      </c>
      <c r="G1210" s="14" t="n"/>
    </row>
    <row r="1211" ht="79" customHeight="1">
      <c r="A1211" s="12" t="inlineStr">
        <is>
          <t>R640-v1</t>
        </is>
      </c>
      <c r="B1211" s="12" t="inlineStr">
        <is>
          <t>SCH-04-100</t>
        </is>
      </c>
      <c r="C1211" s="12" t="inlineStr">
        <is>
          <t>New</t>
        </is>
      </c>
      <c r="D1211" s="12" t="inlineStr">
        <is>
          <t>Record first supplied in this revision</t>
        </is>
      </c>
      <c r="E1211" s="12" t="inlineStr"/>
      <c r="F1211" s="65" t="inlineStr">
        <is>
          <t>10 EVIDENCE &amp; DECISIONS</t>
        </is>
      </c>
      <c r="G1211" s="14" t="n"/>
    </row>
    <row r="1212" ht="79" customHeight="1">
      <c r="A1212" s="12" t="inlineStr">
        <is>
          <t>R641-v1</t>
        </is>
      </c>
      <c r="B1212" s="12" t="inlineStr">
        <is>
          <t>SCH-04-101</t>
        </is>
      </c>
      <c r="C1212" s="12" t="inlineStr">
        <is>
          <t>New</t>
        </is>
      </c>
      <c r="D1212" s="12" t="inlineStr">
        <is>
          <t>Record first supplied in this revision</t>
        </is>
      </c>
      <c r="E1212" s="12" t="inlineStr"/>
      <c r="F1212" s="65" t="inlineStr">
        <is>
          <t>10 EVIDENCE &amp; DECISIONS</t>
        </is>
      </c>
      <c r="G1212" s="14" t="n"/>
    </row>
    <row r="1213" ht="79" customHeight="1">
      <c r="A1213" s="12" t="inlineStr">
        <is>
          <t>R642-v1</t>
        </is>
      </c>
      <c r="B1213" s="12" t="inlineStr">
        <is>
          <t>SCH-04-102</t>
        </is>
      </c>
      <c r="C1213" s="12" t="inlineStr">
        <is>
          <t>New</t>
        </is>
      </c>
      <c r="D1213" s="12" t="inlineStr">
        <is>
          <t>Record first supplied in this revision</t>
        </is>
      </c>
      <c r="E1213" s="12" t="inlineStr"/>
      <c r="F1213" s="65" t="inlineStr">
        <is>
          <t>10 EVIDENCE &amp; DECISIONS</t>
        </is>
      </c>
      <c r="G1213" s="14" t="n"/>
    </row>
    <row r="1214" ht="79" customHeight="1">
      <c r="A1214" s="12" t="inlineStr">
        <is>
          <t>R643-v1</t>
        </is>
      </c>
      <c r="B1214" s="12" t="inlineStr">
        <is>
          <t>SCH-04-103</t>
        </is>
      </c>
      <c r="C1214" s="12" t="inlineStr">
        <is>
          <t>New</t>
        </is>
      </c>
      <c r="D1214" s="12" t="inlineStr">
        <is>
          <t>Record first supplied in this revision</t>
        </is>
      </c>
      <c r="E1214" s="12" t="inlineStr"/>
      <c r="F1214" s="65" t="inlineStr">
        <is>
          <t>10 EVIDENCE &amp; DECISIONS</t>
        </is>
      </c>
      <c r="G1214" s="14" t="n"/>
    </row>
    <row r="1215" ht="79" customHeight="1">
      <c r="A1215" s="12" t="inlineStr">
        <is>
          <t>R644-v1</t>
        </is>
      </c>
      <c r="B1215" s="12" t="inlineStr">
        <is>
          <t>SCH-04-104</t>
        </is>
      </c>
      <c r="C1215" s="12" t="inlineStr">
        <is>
          <t>New</t>
        </is>
      </c>
      <c r="D1215" s="12" t="inlineStr">
        <is>
          <t>Record first supplied in this revision</t>
        </is>
      </c>
      <c r="E1215" s="12" t="inlineStr"/>
      <c r="F1215" s="65" t="inlineStr">
        <is>
          <t>10 EVIDENCE &amp; DECISIONS</t>
        </is>
      </c>
      <c r="G1215" s="14" t="n"/>
    </row>
    <row r="1216" ht="79" customHeight="1">
      <c r="A1216" s="12" t="inlineStr">
        <is>
          <t>R645-v1</t>
        </is>
      </c>
      <c r="B1216" s="12" t="inlineStr">
        <is>
          <t>SCH-04-105</t>
        </is>
      </c>
      <c r="C1216" s="12" t="inlineStr">
        <is>
          <t>New</t>
        </is>
      </c>
      <c r="D1216" s="12" t="inlineStr">
        <is>
          <t>Record first supplied in this revision</t>
        </is>
      </c>
      <c r="E1216" s="12" t="inlineStr"/>
      <c r="F1216" s="65" t="inlineStr">
        <is>
          <t>10 EVIDENCE &amp; DECISIONS</t>
        </is>
      </c>
      <c r="G1216" s="14" t="n"/>
    </row>
    <row r="1217" ht="79" customHeight="1">
      <c r="A1217" s="12" t="inlineStr">
        <is>
          <t>R646-v1</t>
        </is>
      </c>
      <c r="B1217" s="12" t="inlineStr">
        <is>
          <t>SCH-04-106</t>
        </is>
      </c>
      <c r="C1217" s="12" t="inlineStr">
        <is>
          <t>New</t>
        </is>
      </c>
      <c r="D1217" s="12" t="inlineStr">
        <is>
          <t>Record first supplied in this revision</t>
        </is>
      </c>
      <c r="E1217" s="12" t="inlineStr"/>
      <c r="F1217" s="65" t="inlineStr">
        <is>
          <t>10 EVIDENCE &amp; DECISIONS</t>
        </is>
      </c>
      <c r="G1217" s="14" t="n"/>
    </row>
    <row r="1218" ht="79" customHeight="1">
      <c r="A1218" s="12" t="inlineStr">
        <is>
          <t>R647-v1</t>
        </is>
      </c>
      <c r="B1218" s="12" t="inlineStr">
        <is>
          <t>SCH-04-107</t>
        </is>
      </c>
      <c r="C1218" s="12" t="inlineStr">
        <is>
          <t>New</t>
        </is>
      </c>
      <c r="D1218" s="12" t="inlineStr">
        <is>
          <t>Record first supplied in this revision</t>
        </is>
      </c>
      <c r="E1218" s="12" t="inlineStr"/>
      <c r="F1218" s="65" t="inlineStr">
        <is>
          <t>10 EVIDENCE &amp; DECISIONS</t>
        </is>
      </c>
      <c r="G1218" s="14" t="n"/>
    </row>
    <row r="1219" ht="79" customHeight="1">
      <c r="A1219" s="12" t="inlineStr">
        <is>
          <t>R648-v1</t>
        </is>
      </c>
      <c r="B1219" s="12" t="inlineStr">
        <is>
          <t>SCH-04-108</t>
        </is>
      </c>
      <c r="C1219" s="12" t="inlineStr">
        <is>
          <t>New</t>
        </is>
      </c>
      <c r="D1219" s="12" t="inlineStr">
        <is>
          <t>Record first supplied in this revision</t>
        </is>
      </c>
      <c r="E1219" s="12" t="inlineStr"/>
      <c r="F1219" s="65" t="inlineStr">
        <is>
          <t>10 EVIDENCE &amp; DECISIONS</t>
        </is>
      </c>
      <c r="G1219" s="14" t="n"/>
    </row>
    <row r="1220" ht="79" customHeight="1">
      <c r="A1220" s="12" t="inlineStr">
        <is>
          <t>R649-v1</t>
        </is>
      </c>
      <c r="B1220" s="12" t="inlineStr">
        <is>
          <t>SCH-04-109</t>
        </is>
      </c>
      <c r="C1220" s="12" t="inlineStr">
        <is>
          <t>New</t>
        </is>
      </c>
      <c r="D1220" s="12" t="inlineStr">
        <is>
          <t>Record first supplied in this revision</t>
        </is>
      </c>
      <c r="E1220" s="12" t="inlineStr"/>
      <c r="F1220" s="65" t="inlineStr">
        <is>
          <t>10 EVIDENCE &amp; DECISIONS</t>
        </is>
      </c>
      <c r="G1220" s="14" t="n"/>
    </row>
    <row r="1221" ht="79" customHeight="1">
      <c r="A1221" s="12" t="inlineStr">
        <is>
          <t>R650-v1</t>
        </is>
      </c>
      <c r="B1221" s="12" t="inlineStr">
        <is>
          <t>SCH-04-110</t>
        </is>
      </c>
      <c r="C1221" s="12" t="inlineStr">
        <is>
          <t>New</t>
        </is>
      </c>
      <c r="D1221" s="12" t="inlineStr">
        <is>
          <t>Record first supplied in this revision</t>
        </is>
      </c>
      <c r="E1221" s="12" t="inlineStr"/>
      <c r="F1221" s="65" t="inlineStr">
        <is>
          <t>10 EVIDENCE &amp; DECISIONS</t>
        </is>
      </c>
      <c r="G1221" s="14" t="n"/>
    </row>
    <row r="1222" ht="79" customHeight="1">
      <c r="A1222" s="12" t="inlineStr">
        <is>
          <t>R651-v1</t>
        </is>
      </c>
      <c r="B1222" s="12" t="inlineStr">
        <is>
          <t>SCH-04-111</t>
        </is>
      </c>
      <c r="C1222" s="12" t="inlineStr">
        <is>
          <t>New</t>
        </is>
      </c>
      <c r="D1222" s="12" t="inlineStr">
        <is>
          <t>Record first supplied in this revision</t>
        </is>
      </c>
      <c r="E1222" s="12" t="inlineStr"/>
      <c r="F1222" s="65" t="inlineStr">
        <is>
          <t>10 EVIDENCE &amp; DECISIONS</t>
        </is>
      </c>
      <c r="G1222" s="14" t="n"/>
    </row>
    <row r="1223" ht="79" customHeight="1">
      <c r="A1223" s="12" t="inlineStr">
        <is>
          <t>R652-v1</t>
        </is>
      </c>
      <c r="B1223" s="12" t="inlineStr">
        <is>
          <t>SCH-04-112</t>
        </is>
      </c>
      <c r="C1223" s="12" t="inlineStr">
        <is>
          <t>New</t>
        </is>
      </c>
      <c r="D1223" s="12" t="inlineStr">
        <is>
          <t>Record first supplied in this revision</t>
        </is>
      </c>
      <c r="E1223" s="12" t="inlineStr"/>
      <c r="F1223" s="65" t="inlineStr">
        <is>
          <t>10 EVIDENCE &amp; DECISIONS</t>
        </is>
      </c>
      <c r="G1223" s="14" t="n"/>
    </row>
    <row r="1224" ht="79" customHeight="1">
      <c r="A1224" s="12" t="inlineStr">
        <is>
          <t>R653-v1</t>
        </is>
      </c>
      <c r="B1224" s="12" t="inlineStr">
        <is>
          <t>SCH-04-113</t>
        </is>
      </c>
      <c r="C1224" s="12" t="inlineStr">
        <is>
          <t>New</t>
        </is>
      </c>
      <c r="D1224" s="12" t="inlineStr">
        <is>
          <t>Record first supplied in this revision</t>
        </is>
      </c>
      <c r="E1224" s="12" t="inlineStr"/>
      <c r="F1224" s="65" t="inlineStr">
        <is>
          <t>10 EVIDENCE &amp; DECISIONS</t>
        </is>
      </c>
      <c r="G1224" s="14" t="n"/>
    </row>
    <row r="1225" ht="79" customHeight="1">
      <c r="A1225" s="12" t="inlineStr">
        <is>
          <t>R654-v1</t>
        </is>
      </c>
      <c r="B1225" s="12" t="inlineStr">
        <is>
          <t>SCH-04-114</t>
        </is>
      </c>
      <c r="C1225" s="12" t="inlineStr">
        <is>
          <t>New</t>
        </is>
      </c>
      <c r="D1225" s="12" t="inlineStr">
        <is>
          <t>Record first supplied in this revision</t>
        </is>
      </c>
      <c r="E1225" s="12" t="inlineStr"/>
      <c r="F1225" s="65" t="inlineStr">
        <is>
          <t>10 EVIDENCE &amp; DECISIONS</t>
        </is>
      </c>
      <c r="G1225" s="14" t="n"/>
    </row>
    <row r="1226" ht="79" customHeight="1">
      <c r="A1226" s="12" t="inlineStr">
        <is>
          <t>R655-v1</t>
        </is>
      </c>
      <c r="B1226" s="12" t="inlineStr">
        <is>
          <t>SCH-04-115</t>
        </is>
      </c>
      <c r="C1226" s="12" t="inlineStr">
        <is>
          <t>New</t>
        </is>
      </c>
      <c r="D1226" s="12" t="inlineStr">
        <is>
          <t>Record first supplied in this revision</t>
        </is>
      </c>
      <c r="E1226" s="12" t="inlineStr"/>
      <c r="F1226" s="65" t="inlineStr">
        <is>
          <t>10 EVIDENCE &amp; DECISIONS</t>
        </is>
      </c>
      <c r="G1226" s="14" t="n"/>
    </row>
    <row r="1227" ht="79" customHeight="1">
      <c r="A1227" s="12" t="inlineStr">
        <is>
          <t>R656-v1</t>
        </is>
      </c>
      <c r="B1227" s="12" t="inlineStr">
        <is>
          <t>SCH-04-116</t>
        </is>
      </c>
      <c r="C1227" s="12" t="inlineStr">
        <is>
          <t>New</t>
        </is>
      </c>
      <c r="D1227" s="12" t="inlineStr">
        <is>
          <t>Record first supplied in this revision</t>
        </is>
      </c>
      <c r="E1227" s="12" t="inlineStr"/>
      <c r="F1227" s="65" t="inlineStr">
        <is>
          <t>10 EVIDENCE &amp; DECISIONS</t>
        </is>
      </c>
      <c r="G1227" s="14" t="n"/>
    </row>
    <row r="1228" ht="79" customHeight="1">
      <c r="A1228" s="12" t="inlineStr">
        <is>
          <t>R657-v1</t>
        </is>
      </c>
      <c r="B1228" s="12" t="inlineStr">
        <is>
          <t>SCH-04-117</t>
        </is>
      </c>
      <c r="C1228" s="12" t="inlineStr">
        <is>
          <t>New</t>
        </is>
      </c>
      <c r="D1228" s="12" t="inlineStr">
        <is>
          <t>Record first supplied in this revision</t>
        </is>
      </c>
      <c r="E1228" s="12" t="inlineStr"/>
      <c r="F1228" s="65" t="inlineStr">
        <is>
          <t>10 EVIDENCE &amp; DECISIONS</t>
        </is>
      </c>
      <c r="G1228" s="14" t="n"/>
    </row>
    <row r="1229" ht="79" customHeight="1">
      <c r="A1229" s="12" t="inlineStr">
        <is>
          <t>R658-v1</t>
        </is>
      </c>
      <c r="B1229" s="12" t="inlineStr">
        <is>
          <t>SCH-04-118</t>
        </is>
      </c>
      <c r="C1229" s="12" t="inlineStr">
        <is>
          <t>New</t>
        </is>
      </c>
      <c r="D1229" s="12" t="inlineStr">
        <is>
          <t>Record first supplied in this revision</t>
        </is>
      </c>
      <c r="E1229" s="12" t="inlineStr"/>
      <c r="F1229" s="65" t="inlineStr">
        <is>
          <t>10 EVIDENCE &amp; DECISIONS</t>
        </is>
      </c>
      <c r="G1229" s="14" t="n"/>
    </row>
    <row r="1230" ht="79" customHeight="1">
      <c r="A1230" s="12" t="inlineStr">
        <is>
          <t>R659-v1</t>
        </is>
      </c>
      <c r="B1230" s="12" t="inlineStr">
        <is>
          <t>SCH-04-119</t>
        </is>
      </c>
      <c r="C1230" s="12" t="inlineStr">
        <is>
          <t>New</t>
        </is>
      </c>
      <c r="D1230" s="12" t="inlineStr">
        <is>
          <t>Record first supplied in this revision</t>
        </is>
      </c>
      <c r="E1230" s="12" t="inlineStr"/>
      <c r="F1230" s="65" t="inlineStr">
        <is>
          <t>10 EVIDENCE &amp; DECISIONS</t>
        </is>
      </c>
      <c r="G1230" s="14" t="n"/>
    </row>
    <row r="1231" ht="79" customHeight="1">
      <c r="A1231" s="12" t="inlineStr">
        <is>
          <t>R660-v1</t>
        </is>
      </c>
      <c r="B1231" s="12" t="inlineStr">
        <is>
          <t>SCH-04-120</t>
        </is>
      </c>
      <c r="C1231" s="12" t="inlineStr">
        <is>
          <t>New</t>
        </is>
      </c>
      <c r="D1231" s="12" t="inlineStr">
        <is>
          <t>Record first supplied in this revision</t>
        </is>
      </c>
      <c r="E1231" s="12" t="inlineStr"/>
      <c r="F1231" s="65" t="inlineStr">
        <is>
          <t>10 EVIDENCE &amp; DECISIONS</t>
        </is>
      </c>
      <c r="G1231" s="14" t="n"/>
    </row>
    <row r="1232" ht="79" customHeight="1">
      <c r="A1232" s="12" t="inlineStr">
        <is>
          <t>R661-v1</t>
        </is>
      </c>
      <c r="B1232" s="12" t="inlineStr">
        <is>
          <t>SCH-04-121</t>
        </is>
      </c>
      <c r="C1232" s="12" t="inlineStr">
        <is>
          <t>New</t>
        </is>
      </c>
      <c r="D1232" s="12" t="inlineStr">
        <is>
          <t>Record first supplied in this revision</t>
        </is>
      </c>
      <c r="E1232" s="12" t="inlineStr"/>
      <c r="F1232" s="65" t="inlineStr">
        <is>
          <t>10 EVIDENCE &amp; DECISIONS</t>
        </is>
      </c>
      <c r="G1232" s="14" t="n"/>
    </row>
    <row r="1233" ht="79" customHeight="1">
      <c r="A1233" s="12" t="inlineStr">
        <is>
          <t>R662-v1</t>
        </is>
      </c>
      <c r="B1233" s="12" t="inlineStr">
        <is>
          <t>SCH-04-122</t>
        </is>
      </c>
      <c r="C1233" s="12" t="inlineStr">
        <is>
          <t>New</t>
        </is>
      </c>
      <c r="D1233" s="12" t="inlineStr">
        <is>
          <t>Record first supplied in this revision</t>
        </is>
      </c>
      <c r="E1233" s="12" t="inlineStr"/>
      <c r="F1233" s="65" t="inlineStr">
        <is>
          <t>10 EVIDENCE &amp; DECISIONS</t>
        </is>
      </c>
      <c r="G1233" s="14" t="n"/>
    </row>
    <row r="1234" ht="79" customHeight="1">
      <c r="A1234" s="12" t="inlineStr">
        <is>
          <t>R663-v1</t>
        </is>
      </c>
      <c r="B1234" s="12" t="inlineStr">
        <is>
          <t>SCH-04-123</t>
        </is>
      </c>
      <c r="C1234" s="12" t="inlineStr">
        <is>
          <t>New</t>
        </is>
      </c>
      <c r="D1234" s="12" t="inlineStr">
        <is>
          <t>Record first supplied in this revision</t>
        </is>
      </c>
      <c r="E1234" s="12" t="inlineStr"/>
      <c r="F1234" s="65" t="inlineStr">
        <is>
          <t>10 EVIDENCE &amp; DECISIONS</t>
        </is>
      </c>
      <c r="G1234" s="14" t="n"/>
    </row>
    <row r="1235" ht="79" customHeight="1">
      <c r="A1235" s="12" t="inlineStr">
        <is>
          <t>R664-v1</t>
        </is>
      </c>
      <c r="B1235" s="12" t="inlineStr">
        <is>
          <t>SCH-04-124</t>
        </is>
      </c>
      <c r="C1235" s="12" t="inlineStr">
        <is>
          <t>New</t>
        </is>
      </c>
      <c r="D1235" s="12" t="inlineStr">
        <is>
          <t>Record first supplied in this revision</t>
        </is>
      </c>
      <c r="E1235" s="12" t="inlineStr"/>
      <c r="F1235" s="65" t="inlineStr">
        <is>
          <t>10 EVIDENCE &amp; DECISIONS</t>
        </is>
      </c>
      <c r="G1235" s="14" t="n"/>
    </row>
    <row r="1236" ht="79" customHeight="1">
      <c r="A1236" s="12" t="inlineStr">
        <is>
          <t>R665-v1</t>
        </is>
      </c>
      <c r="B1236" s="12" t="inlineStr">
        <is>
          <t>SCH-04-125</t>
        </is>
      </c>
      <c r="C1236" s="12" t="inlineStr">
        <is>
          <t>New</t>
        </is>
      </c>
      <c r="D1236" s="12" t="inlineStr">
        <is>
          <t>Record first supplied in this revision</t>
        </is>
      </c>
      <c r="E1236" s="12" t="inlineStr"/>
      <c r="F1236" s="65" t="inlineStr">
        <is>
          <t>10 EVIDENCE &amp; DECISIONS</t>
        </is>
      </c>
      <c r="G1236" s="14" t="n"/>
    </row>
    <row r="1237" ht="79" customHeight="1">
      <c r="A1237" s="12" t="inlineStr">
        <is>
          <t>R666-v1</t>
        </is>
      </c>
      <c r="B1237" s="12" t="inlineStr">
        <is>
          <t>SCH-04-126</t>
        </is>
      </c>
      <c r="C1237" s="12" t="inlineStr">
        <is>
          <t>New</t>
        </is>
      </c>
      <c r="D1237" s="12" t="inlineStr">
        <is>
          <t>Record first supplied in this revision</t>
        </is>
      </c>
      <c r="E1237" s="12" t="inlineStr"/>
      <c r="F1237" s="65" t="inlineStr">
        <is>
          <t>10 EVIDENCE &amp; DECISIONS</t>
        </is>
      </c>
      <c r="G1237" s="14" t="n"/>
    </row>
    <row r="1238" ht="79" customHeight="1">
      <c r="A1238" s="12" t="inlineStr">
        <is>
          <t>R667-v1</t>
        </is>
      </c>
      <c r="B1238" s="12" t="inlineStr">
        <is>
          <t>SCH-04-127</t>
        </is>
      </c>
      <c r="C1238" s="12" t="inlineStr">
        <is>
          <t>New</t>
        </is>
      </c>
      <c r="D1238" s="12" t="inlineStr">
        <is>
          <t>Record first supplied in this revision</t>
        </is>
      </c>
      <c r="E1238" s="12" t="inlineStr"/>
      <c r="F1238" s="65" t="inlineStr">
        <is>
          <t>10 EVIDENCE &amp; DECISIONS</t>
        </is>
      </c>
      <c r="G1238" s="14" t="n"/>
    </row>
    <row r="1239" ht="79" customHeight="1">
      <c r="A1239" s="12" t="inlineStr">
        <is>
          <t>R668-v1</t>
        </is>
      </c>
      <c r="B1239" s="12" t="inlineStr">
        <is>
          <t>SCH-04-128</t>
        </is>
      </c>
      <c r="C1239" s="12" t="inlineStr">
        <is>
          <t>New</t>
        </is>
      </c>
      <c r="D1239" s="12" t="inlineStr">
        <is>
          <t>Record first supplied in this revision</t>
        </is>
      </c>
      <c r="E1239" s="12" t="inlineStr"/>
      <c r="F1239" s="65" t="inlineStr">
        <is>
          <t>10 EVIDENCE &amp; DECISIONS</t>
        </is>
      </c>
      <c r="G1239" s="14" t="n"/>
    </row>
    <row r="1240" ht="79" customHeight="1">
      <c r="A1240" s="12" t="inlineStr">
        <is>
          <t>R669-v1</t>
        </is>
      </c>
      <c r="B1240" s="12" t="inlineStr">
        <is>
          <t>SCH-04-129</t>
        </is>
      </c>
      <c r="C1240" s="12" t="inlineStr">
        <is>
          <t>New</t>
        </is>
      </c>
      <c r="D1240" s="12" t="inlineStr">
        <is>
          <t>Record first supplied in this revision</t>
        </is>
      </c>
      <c r="E1240" s="12" t="inlineStr"/>
      <c r="F1240" s="65" t="inlineStr">
        <is>
          <t>10 EVIDENCE &amp; DECISIONS</t>
        </is>
      </c>
      <c r="G1240" s="14" t="n"/>
    </row>
    <row r="1241" ht="79" customHeight="1">
      <c r="A1241" s="12" t="inlineStr">
        <is>
          <t>R670-v1</t>
        </is>
      </c>
      <c r="B1241" s="12" t="inlineStr">
        <is>
          <t>SCH-04-130</t>
        </is>
      </c>
      <c r="C1241" s="12" t="inlineStr">
        <is>
          <t>New</t>
        </is>
      </c>
      <c r="D1241" s="12" t="inlineStr">
        <is>
          <t>Record first supplied in this revision</t>
        </is>
      </c>
      <c r="E1241" s="12" t="inlineStr"/>
      <c r="F1241" s="65" t="inlineStr">
        <is>
          <t>10 EVIDENCE &amp; DECISIONS</t>
        </is>
      </c>
      <c r="G1241" s="14" t="n"/>
    </row>
    <row r="1242" ht="79" customHeight="1">
      <c r="A1242" s="12" t="inlineStr">
        <is>
          <t>R671-v1</t>
        </is>
      </c>
      <c r="B1242" s="12" t="inlineStr">
        <is>
          <t>SCH-04-131</t>
        </is>
      </c>
      <c r="C1242" s="12" t="inlineStr">
        <is>
          <t>New</t>
        </is>
      </c>
      <c r="D1242" s="12" t="inlineStr">
        <is>
          <t>Record first supplied in this revision</t>
        </is>
      </c>
      <c r="E1242" s="12" t="inlineStr"/>
      <c r="F1242" s="65" t="inlineStr">
        <is>
          <t>10 EVIDENCE &amp; DECISIONS</t>
        </is>
      </c>
      <c r="G1242" s="14" t="n"/>
    </row>
    <row r="1243" ht="79" customHeight="1">
      <c r="A1243" s="12" t="inlineStr">
        <is>
          <t>R672-v1</t>
        </is>
      </c>
      <c r="B1243" s="12" t="inlineStr">
        <is>
          <t>SCH-04-132</t>
        </is>
      </c>
      <c r="C1243" s="12" t="inlineStr">
        <is>
          <t>New</t>
        </is>
      </c>
      <c r="D1243" s="12" t="inlineStr">
        <is>
          <t>Record first supplied in this revision</t>
        </is>
      </c>
      <c r="E1243" s="12" t="inlineStr"/>
      <c r="F1243" s="65" t="inlineStr">
        <is>
          <t>10 EVIDENCE &amp; DECISIONS</t>
        </is>
      </c>
      <c r="G1243" s="14" t="n"/>
    </row>
    <row r="1244" ht="79" customHeight="1">
      <c r="A1244" s="12" t="inlineStr">
        <is>
          <t>R673-v1</t>
        </is>
      </c>
      <c r="B1244" s="12" t="inlineStr">
        <is>
          <t>SCH-04-133</t>
        </is>
      </c>
      <c r="C1244" s="12" t="inlineStr">
        <is>
          <t>New</t>
        </is>
      </c>
      <c r="D1244" s="12" t="inlineStr">
        <is>
          <t>Record first supplied in this revision</t>
        </is>
      </c>
      <c r="E1244" s="12" t="inlineStr"/>
      <c r="F1244" s="65" t="inlineStr">
        <is>
          <t>10 EVIDENCE &amp; DECISIONS</t>
        </is>
      </c>
      <c r="G1244" s="14" t="n"/>
    </row>
    <row r="1245" ht="79" customHeight="1">
      <c r="A1245" s="12" t="inlineStr">
        <is>
          <t>R674-v1</t>
        </is>
      </c>
      <c r="B1245" s="12" t="inlineStr">
        <is>
          <t>SCH-04-134</t>
        </is>
      </c>
      <c r="C1245" s="12" t="inlineStr">
        <is>
          <t>New</t>
        </is>
      </c>
      <c r="D1245" s="12" t="inlineStr">
        <is>
          <t>Record first supplied in this revision</t>
        </is>
      </c>
      <c r="E1245" s="12" t="inlineStr"/>
      <c r="F1245" s="65" t="inlineStr">
        <is>
          <t>10 EVIDENCE &amp; DECISIONS</t>
        </is>
      </c>
      <c r="G1245" s="14" t="n"/>
    </row>
    <row r="1246" ht="79" customHeight="1">
      <c r="A1246" s="12" t="inlineStr">
        <is>
          <t>R675-v1</t>
        </is>
      </c>
      <c r="B1246" s="12" t="inlineStr">
        <is>
          <t>SCH-04-135</t>
        </is>
      </c>
      <c r="C1246" s="12" t="inlineStr">
        <is>
          <t>New</t>
        </is>
      </c>
      <c r="D1246" s="12" t="inlineStr">
        <is>
          <t>Record first supplied in this revision</t>
        </is>
      </c>
      <c r="E1246" s="12" t="inlineStr"/>
      <c r="F1246" s="65" t="inlineStr">
        <is>
          <t>10 EVIDENCE &amp; DECISIONS</t>
        </is>
      </c>
      <c r="G1246" s="14" t="n"/>
    </row>
    <row r="1247" ht="79" customHeight="1">
      <c r="A1247" s="12" t="inlineStr">
        <is>
          <t>R676-v1</t>
        </is>
      </c>
      <c r="B1247" s="12" t="inlineStr">
        <is>
          <t>SCH-04-136</t>
        </is>
      </c>
      <c r="C1247" s="12" t="inlineStr">
        <is>
          <t>New</t>
        </is>
      </c>
      <c r="D1247" s="12" t="inlineStr">
        <is>
          <t>Record first supplied in this revision</t>
        </is>
      </c>
      <c r="E1247" s="12" t="inlineStr"/>
      <c r="F1247" s="65" t="inlineStr">
        <is>
          <t>10 EVIDENCE &amp; DECISIONS</t>
        </is>
      </c>
      <c r="G1247" s="14" t="n"/>
    </row>
    <row r="1248" ht="79" customHeight="1">
      <c r="A1248" s="12" t="inlineStr">
        <is>
          <t>R677-v1</t>
        </is>
      </c>
      <c r="B1248" s="12" t="inlineStr">
        <is>
          <t>SCH-04-137</t>
        </is>
      </c>
      <c r="C1248" s="12" t="inlineStr">
        <is>
          <t>New</t>
        </is>
      </c>
      <c r="D1248" s="12" t="inlineStr">
        <is>
          <t>Record first supplied in this revision</t>
        </is>
      </c>
      <c r="E1248" s="12" t="inlineStr"/>
      <c r="F1248" s="65" t="inlineStr">
        <is>
          <t>10 EVIDENCE &amp; DECISIONS</t>
        </is>
      </c>
      <c r="G1248" s="14" t="n"/>
    </row>
    <row r="1249" ht="79" customHeight="1">
      <c r="A1249" s="12" t="inlineStr">
        <is>
          <t>R678-v1</t>
        </is>
      </c>
      <c r="B1249" s="12" t="inlineStr">
        <is>
          <t>SCH-04-138</t>
        </is>
      </c>
      <c r="C1249" s="12" t="inlineStr">
        <is>
          <t>New</t>
        </is>
      </c>
      <c r="D1249" s="12" t="inlineStr">
        <is>
          <t>Record first supplied in this revision</t>
        </is>
      </c>
      <c r="E1249" s="12" t="inlineStr"/>
      <c r="F1249" s="65" t="inlineStr">
        <is>
          <t>10 EVIDENCE &amp; DECISIONS</t>
        </is>
      </c>
      <c r="G1249" s="14" t="n"/>
    </row>
    <row r="1250" ht="79" customHeight="1">
      <c r="A1250" s="12" t="inlineStr">
        <is>
          <t>R679-v1</t>
        </is>
      </c>
      <c r="B1250" s="12" t="inlineStr">
        <is>
          <t>SCH-04-139</t>
        </is>
      </c>
      <c r="C1250" s="12" t="inlineStr">
        <is>
          <t>New</t>
        </is>
      </c>
      <c r="D1250" s="12" t="inlineStr">
        <is>
          <t>Record first supplied in this revision</t>
        </is>
      </c>
      <c r="E1250" s="12" t="inlineStr"/>
      <c r="F1250" s="65" t="inlineStr">
        <is>
          <t>10 EVIDENCE &amp; DECISIONS</t>
        </is>
      </c>
      <c r="G1250" s="14" t="n"/>
    </row>
    <row r="1251" ht="79" customHeight="1">
      <c r="A1251" s="12" t="inlineStr">
        <is>
          <t>R680-v1</t>
        </is>
      </c>
      <c r="B1251" s="12" t="inlineStr">
        <is>
          <t>SCH-04-140</t>
        </is>
      </c>
      <c r="C1251" s="12" t="inlineStr">
        <is>
          <t>New</t>
        </is>
      </c>
      <c r="D1251" s="12" t="inlineStr">
        <is>
          <t>Record first supplied in this revision</t>
        </is>
      </c>
      <c r="E1251" s="12" t="inlineStr"/>
      <c r="F1251" s="65" t="inlineStr">
        <is>
          <t>10 EVIDENCE &amp; DECISIONS</t>
        </is>
      </c>
      <c r="G1251" s="14" t="n"/>
    </row>
    <row r="1252" ht="79" customHeight="1">
      <c r="A1252" s="12" t="inlineStr">
        <is>
          <t>R681-v1</t>
        </is>
      </c>
      <c r="B1252" s="12" t="inlineStr">
        <is>
          <t>SCH-04-141</t>
        </is>
      </c>
      <c r="C1252" s="12" t="inlineStr">
        <is>
          <t>New</t>
        </is>
      </c>
      <c r="D1252" s="12" t="inlineStr">
        <is>
          <t>Record first supplied in this revision</t>
        </is>
      </c>
      <c r="E1252" s="12" t="inlineStr"/>
      <c r="F1252" s="65" t="inlineStr">
        <is>
          <t>10 EVIDENCE &amp; DECISIONS</t>
        </is>
      </c>
      <c r="G1252" s="14" t="n"/>
    </row>
    <row r="1253" ht="79" customHeight="1">
      <c r="A1253" s="12" t="inlineStr">
        <is>
          <t>R682-v1</t>
        </is>
      </c>
      <c r="B1253" s="12" t="inlineStr">
        <is>
          <t>SCH-04-142</t>
        </is>
      </c>
      <c r="C1253" s="12" t="inlineStr">
        <is>
          <t>New</t>
        </is>
      </c>
      <c r="D1253" s="12" t="inlineStr">
        <is>
          <t>Record first supplied in this revision</t>
        </is>
      </c>
      <c r="E1253" s="12" t="inlineStr"/>
      <c r="F1253" s="65" t="inlineStr">
        <is>
          <t>10 EVIDENCE &amp; DECISIONS</t>
        </is>
      </c>
      <c r="G1253" s="14" t="n"/>
    </row>
    <row r="1254" ht="79" customHeight="1">
      <c r="A1254" s="12" t="inlineStr">
        <is>
          <t>R683-v1</t>
        </is>
      </c>
      <c r="B1254" s="12" t="inlineStr">
        <is>
          <t>SCH-04-143</t>
        </is>
      </c>
      <c r="C1254" s="12" t="inlineStr">
        <is>
          <t>New</t>
        </is>
      </c>
      <c r="D1254" s="12" t="inlineStr">
        <is>
          <t>Record first supplied in this revision</t>
        </is>
      </c>
      <c r="E1254" s="12" t="inlineStr"/>
      <c r="F1254" s="65" t="inlineStr">
        <is>
          <t>10 EVIDENCE &amp; DECISIONS</t>
        </is>
      </c>
      <c r="G1254" s="14" t="n"/>
    </row>
    <row r="1255" ht="79" customHeight="1">
      <c r="A1255" s="12" t="inlineStr">
        <is>
          <t>R684-v1</t>
        </is>
      </c>
      <c r="B1255" s="12" t="inlineStr">
        <is>
          <t>SCH-04-144</t>
        </is>
      </c>
      <c r="C1255" s="12" t="inlineStr">
        <is>
          <t>New</t>
        </is>
      </c>
      <c r="D1255" s="12" t="inlineStr">
        <is>
          <t>Record first supplied in this revision</t>
        </is>
      </c>
      <c r="E1255" s="12" t="inlineStr"/>
      <c r="F1255" s="65" t="inlineStr">
        <is>
          <t>10 EVIDENCE &amp; DECISIONS</t>
        </is>
      </c>
      <c r="G1255" s="14" t="n"/>
    </row>
    <row r="1256" ht="79" customHeight="1">
      <c r="A1256" s="12" t="inlineStr">
        <is>
          <t>R685-v1</t>
        </is>
      </c>
      <c r="B1256" s="12" t="inlineStr">
        <is>
          <t>SCH-04-145</t>
        </is>
      </c>
      <c r="C1256" s="12" t="inlineStr">
        <is>
          <t>New</t>
        </is>
      </c>
      <c r="D1256" s="12" t="inlineStr">
        <is>
          <t>Record first supplied in this revision</t>
        </is>
      </c>
      <c r="E1256" s="12" t="inlineStr"/>
      <c r="F1256" s="65" t="inlineStr">
        <is>
          <t>10 EVIDENCE &amp; DECISIONS</t>
        </is>
      </c>
      <c r="G1256" s="14" t="n"/>
    </row>
    <row r="1257" ht="79" customHeight="1">
      <c r="A1257" s="12" t="inlineStr">
        <is>
          <t>R686-v1</t>
        </is>
      </c>
      <c r="B1257" s="12" t="inlineStr">
        <is>
          <t>SCH-04-146</t>
        </is>
      </c>
      <c r="C1257" s="12" t="inlineStr">
        <is>
          <t>New</t>
        </is>
      </c>
      <c r="D1257" s="12" t="inlineStr">
        <is>
          <t>Record first supplied in this revision</t>
        </is>
      </c>
      <c r="E1257" s="12" t="inlineStr"/>
      <c r="F1257" s="65" t="inlineStr">
        <is>
          <t>10 EVIDENCE &amp; DECISIONS</t>
        </is>
      </c>
      <c r="G1257" s="14" t="n"/>
    </row>
    <row r="1258" ht="79" customHeight="1">
      <c r="A1258" s="12" t="inlineStr">
        <is>
          <t>R687-v1</t>
        </is>
      </c>
      <c r="B1258" s="12" t="inlineStr">
        <is>
          <t>SCH-04-147</t>
        </is>
      </c>
      <c r="C1258" s="12" t="inlineStr">
        <is>
          <t>New</t>
        </is>
      </c>
      <c r="D1258" s="12" t="inlineStr">
        <is>
          <t>Record first supplied in this revision</t>
        </is>
      </c>
      <c r="E1258" s="12" t="inlineStr"/>
      <c r="F1258" s="65" t="inlineStr">
        <is>
          <t>10 EVIDENCE &amp; DECISIONS</t>
        </is>
      </c>
      <c r="G1258" s="14" t="n"/>
    </row>
    <row r="1259" ht="79" customHeight="1">
      <c r="A1259" s="12" t="inlineStr">
        <is>
          <t>R688-v1</t>
        </is>
      </c>
      <c r="B1259" s="12" t="inlineStr">
        <is>
          <t>SCH-04-148</t>
        </is>
      </c>
      <c r="C1259" s="12" t="inlineStr">
        <is>
          <t>New</t>
        </is>
      </c>
      <c r="D1259" s="12" t="inlineStr">
        <is>
          <t>Record first supplied in this revision</t>
        </is>
      </c>
      <c r="E1259" s="12" t="inlineStr"/>
      <c r="F1259" s="65" t="inlineStr">
        <is>
          <t>10 EVIDENCE &amp; DECISIONS</t>
        </is>
      </c>
      <c r="G1259" s="14" t="n"/>
    </row>
    <row r="1260" ht="79" customHeight="1">
      <c r="A1260" s="12" t="inlineStr">
        <is>
          <t>R689-v1</t>
        </is>
      </c>
      <c r="B1260" s="12" t="inlineStr">
        <is>
          <t>SCH-04-149</t>
        </is>
      </c>
      <c r="C1260" s="12" t="inlineStr">
        <is>
          <t>New</t>
        </is>
      </c>
      <c r="D1260" s="12" t="inlineStr">
        <is>
          <t>Record first supplied in this revision</t>
        </is>
      </c>
      <c r="E1260" s="12" t="inlineStr"/>
      <c r="F1260" s="65" t="inlineStr">
        <is>
          <t>10 EVIDENCE &amp; DECISIONS</t>
        </is>
      </c>
      <c r="G1260" s="14" t="n"/>
    </row>
    <row r="1261" ht="79" customHeight="1">
      <c r="A1261" s="12" t="inlineStr">
        <is>
          <t>R690-v1</t>
        </is>
      </c>
      <c r="B1261" s="12" t="inlineStr">
        <is>
          <t>SCH-04-150</t>
        </is>
      </c>
      <c r="C1261" s="12" t="inlineStr">
        <is>
          <t>New</t>
        </is>
      </c>
      <c r="D1261" s="12" t="inlineStr">
        <is>
          <t>Record first supplied in this revision</t>
        </is>
      </c>
      <c r="E1261" s="12" t="inlineStr"/>
      <c r="F1261" s="65" t="inlineStr">
        <is>
          <t>10 EVIDENCE &amp; DECISIONS</t>
        </is>
      </c>
      <c r="G1261" s="14" t="n"/>
    </row>
    <row r="1262" ht="79" customHeight="1">
      <c r="A1262" s="12" t="inlineStr">
        <is>
          <t>R691-v1</t>
        </is>
      </c>
      <c r="B1262" s="12" t="inlineStr">
        <is>
          <t>SCH-04-151</t>
        </is>
      </c>
      <c r="C1262" s="12" t="inlineStr">
        <is>
          <t>New</t>
        </is>
      </c>
      <c r="D1262" s="12" t="inlineStr">
        <is>
          <t>Record first supplied in this revision</t>
        </is>
      </c>
      <c r="E1262" s="12" t="inlineStr"/>
      <c r="F1262" s="65" t="inlineStr">
        <is>
          <t>10 EVIDENCE &amp; DECISIONS</t>
        </is>
      </c>
      <c r="G1262" s="14" t="n"/>
    </row>
    <row r="1263" ht="79" customHeight="1">
      <c r="A1263" s="12" t="inlineStr">
        <is>
          <t>R692-v1</t>
        </is>
      </c>
      <c r="B1263" s="12" t="inlineStr">
        <is>
          <t>SCH-04-152</t>
        </is>
      </c>
      <c r="C1263" s="12" t="inlineStr">
        <is>
          <t>New</t>
        </is>
      </c>
      <c r="D1263" s="12" t="inlineStr">
        <is>
          <t>Record first supplied in this revision</t>
        </is>
      </c>
      <c r="E1263" s="12" t="inlineStr"/>
      <c r="F1263" s="65" t="inlineStr">
        <is>
          <t>10 EVIDENCE &amp; DECISIONS</t>
        </is>
      </c>
      <c r="G1263" s="14" t="n"/>
    </row>
    <row r="1264" ht="79" customHeight="1">
      <c r="A1264" s="12" t="inlineStr">
        <is>
          <t>R693-v1</t>
        </is>
      </c>
      <c r="B1264" s="12" t="inlineStr">
        <is>
          <t>SCH-04-153</t>
        </is>
      </c>
      <c r="C1264" s="12" t="inlineStr">
        <is>
          <t>New</t>
        </is>
      </c>
      <c r="D1264" s="12" t="inlineStr">
        <is>
          <t>Record first supplied in this revision</t>
        </is>
      </c>
      <c r="E1264" s="12" t="inlineStr"/>
      <c r="F1264" s="65" t="inlineStr">
        <is>
          <t>10 EVIDENCE &amp; DECISIONS</t>
        </is>
      </c>
      <c r="G1264" s="14" t="n"/>
    </row>
    <row r="1265" ht="79" customHeight="1">
      <c r="A1265" s="12" t="inlineStr">
        <is>
          <t>R694-v1</t>
        </is>
      </c>
      <c r="B1265" s="12" t="inlineStr">
        <is>
          <t>SCH-04-154</t>
        </is>
      </c>
      <c r="C1265" s="12" t="inlineStr">
        <is>
          <t>New</t>
        </is>
      </c>
      <c r="D1265" s="12" t="inlineStr">
        <is>
          <t>Record first supplied in this revision</t>
        </is>
      </c>
      <c r="E1265" s="12" t="inlineStr"/>
      <c r="F1265" s="65" t="inlineStr">
        <is>
          <t>10 EVIDENCE &amp; DECISIONS</t>
        </is>
      </c>
      <c r="G1265" s="14" t="n"/>
    </row>
    <row r="1266" ht="79" customHeight="1">
      <c r="A1266" s="12" t="inlineStr">
        <is>
          <t>R695-v1</t>
        </is>
      </c>
      <c r="B1266" s="12" t="inlineStr">
        <is>
          <t>SCH-04-155</t>
        </is>
      </c>
      <c r="C1266" s="12" t="inlineStr">
        <is>
          <t>New</t>
        </is>
      </c>
      <c r="D1266" s="12" t="inlineStr">
        <is>
          <t>Record first supplied in this revision</t>
        </is>
      </c>
      <c r="E1266" s="12" t="inlineStr"/>
      <c r="F1266" s="65" t="inlineStr">
        <is>
          <t>10 EVIDENCE &amp; DECISIONS</t>
        </is>
      </c>
      <c r="G1266" s="14" t="n"/>
    </row>
    <row r="1267" ht="79" customHeight="1">
      <c r="A1267" s="12" t="inlineStr">
        <is>
          <t>R696-v1</t>
        </is>
      </c>
      <c r="B1267" s="12" t="inlineStr">
        <is>
          <t>SCH-04-156</t>
        </is>
      </c>
      <c r="C1267" s="12" t="inlineStr">
        <is>
          <t>New</t>
        </is>
      </c>
      <c r="D1267" s="12" t="inlineStr">
        <is>
          <t>Record first supplied in this revision</t>
        </is>
      </c>
      <c r="E1267" s="12" t="inlineStr"/>
      <c r="F1267" s="65" t="inlineStr">
        <is>
          <t>10 EVIDENCE &amp; DECISIONS</t>
        </is>
      </c>
      <c r="G1267" s="14" t="n"/>
    </row>
    <row r="1268" ht="79" customHeight="1">
      <c r="A1268" s="12" t="inlineStr">
        <is>
          <t>R697-v1</t>
        </is>
      </c>
      <c r="B1268" s="12" t="inlineStr">
        <is>
          <t>SCH-04-157</t>
        </is>
      </c>
      <c r="C1268" s="12" t="inlineStr">
        <is>
          <t>New</t>
        </is>
      </c>
      <c r="D1268" s="12" t="inlineStr">
        <is>
          <t>Record first supplied in this revision</t>
        </is>
      </c>
      <c r="E1268" s="12" t="inlineStr"/>
      <c r="F1268" s="65" t="inlineStr">
        <is>
          <t>10 EVIDENCE &amp; DECISIONS</t>
        </is>
      </c>
      <c r="G1268" s="14" t="n"/>
    </row>
    <row r="1269" ht="79" customHeight="1">
      <c r="A1269" s="12" t="inlineStr">
        <is>
          <t>R698-v1</t>
        </is>
      </c>
      <c r="B1269" s="12" t="inlineStr">
        <is>
          <t>SCH-04-158</t>
        </is>
      </c>
      <c r="C1269" s="12" t="inlineStr">
        <is>
          <t>New</t>
        </is>
      </c>
      <c r="D1269" s="12" t="inlineStr">
        <is>
          <t>Record first supplied in this revision</t>
        </is>
      </c>
      <c r="E1269" s="12" t="inlineStr"/>
      <c r="F1269" s="65" t="inlineStr">
        <is>
          <t>10 EVIDENCE &amp; DECISIONS</t>
        </is>
      </c>
      <c r="G1269" s="14" t="n"/>
    </row>
    <row r="1270" ht="79" customHeight="1">
      <c r="A1270" s="12" t="inlineStr">
        <is>
          <t>R699-v1</t>
        </is>
      </c>
      <c r="B1270" s="12" t="inlineStr">
        <is>
          <t>SCH-04-159</t>
        </is>
      </c>
      <c r="C1270" s="12" t="inlineStr">
        <is>
          <t>New</t>
        </is>
      </c>
      <c r="D1270" s="12" t="inlineStr">
        <is>
          <t>Record first supplied in this revision</t>
        </is>
      </c>
      <c r="E1270" s="12" t="inlineStr"/>
      <c r="F1270" s="65" t="inlineStr">
        <is>
          <t>10 EVIDENCE &amp; DECISIONS</t>
        </is>
      </c>
      <c r="G1270" s="14" t="n"/>
    </row>
    <row r="1271" ht="79" customHeight="1">
      <c r="A1271" s="12" t="inlineStr">
        <is>
          <t>R700-v1</t>
        </is>
      </c>
      <c r="B1271" s="12" t="inlineStr">
        <is>
          <t>SCH-04-160</t>
        </is>
      </c>
      <c r="C1271" s="12" t="inlineStr">
        <is>
          <t>New</t>
        </is>
      </c>
      <c r="D1271" s="12" t="inlineStr">
        <is>
          <t>Record first supplied in this revision</t>
        </is>
      </c>
      <c r="E1271" s="12" t="inlineStr"/>
      <c r="F1271" s="65" t="inlineStr">
        <is>
          <t>10 EVIDENCE &amp; DECISIONS</t>
        </is>
      </c>
      <c r="G1271" s="14" t="n"/>
    </row>
    <row r="1272" ht="79" customHeight="1">
      <c r="A1272" s="12" t="inlineStr">
        <is>
          <t>R701-v1</t>
        </is>
      </c>
      <c r="B1272" s="12" t="inlineStr">
        <is>
          <t>SCH-04-161</t>
        </is>
      </c>
      <c r="C1272" s="12" t="inlineStr">
        <is>
          <t>New</t>
        </is>
      </c>
      <c r="D1272" s="12" t="inlineStr">
        <is>
          <t>Record first supplied in this revision</t>
        </is>
      </c>
      <c r="E1272" s="12" t="inlineStr"/>
      <c r="F1272" s="65" t="inlineStr">
        <is>
          <t>10 EVIDENCE &amp; DECISIONS</t>
        </is>
      </c>
      <c r="G1272" s="14" t="n"/>
    </row>
    <row r="1273" ht="79" customHeight="1">
      <c r="A1273" s="12" t="inlineStr">
        <is>
          <t>R702-v1</t>
        </is>
      </c>
      <c r="B1273" s="12" t="inlineStr">
        <is>
          <t>SCH-04-162</t>
        </is>
      </c>
      <c r="C1273" s="12" t="inlineStr">
        <is>
          <t>New</t>
        </is>
      </c>
      <c r="D1273" s="12" t="inlineStr">
        <is>
          <t>Record first supplied in this revision</t>
        </is>
      </c>
      <c r="E1273" s="12" t="inlineStr"/>
      <c r="F1273" s="65" t="inlineStr">
        <is>
          <t>10 EVIDENCE &amp; DECISIONS</t>
        </is>
      </c>
      <c r="G1273" s="14" t="n"/>
    </row>
    <row r="1274" ht="79" customHeight="1">
      <c r="A1274" s="12" t="inlineStr">
        <is>
          <t>R703-v1</t>
        </is>
      </c>
      <c r="B1274" s="12" t="inlineStr">
        <is>
          <t>SCH-04-163</t>
        </is>
      </c>
      <c r="C1274" s="12" t="inlineStr">
        <is>
          <t>New</t>
        </is>
      </c>
      <c r="D1274" s="12" t="inlineStr">
        <is>
          <t>Record first supplied in this revision</t>
        </is>
      </c>
      <c r="E1274" s="12" t="inlineStr"/>
      <c r="F1274" s="65" t="inlineStr">
        <is>
          <t>10 EVIDENCE &amp; DECISIONS</t>
        </is>
      </c>
      <c r="G1274" s="14" t="n"/>
    </row>
    <row r="1275" ht="79" customHeight="1">
      <c r="A1275" s="12" t="inlineStr">
        <is>
          <t>R704-v1</t>
        </is>
      </c>
      <c r="B1275" s="12" t="inlineStr">
        <is>
          <t>SCH-04-164</t>
        </is>
      </c>
      <c r="C1275" s="12" t="inlineStr">
        <is>
          <t>New</t>
        </is>
      </c>
      <c r="D1275" s="12" t="inlineStr">
        <is>
          <t>Record first supplied in this revision</t>
        </is>
      </c>
      <c r="E1275" s="12" t="inlineStr"/>
      <c r="F1275" s="65" t="inlineStr">
        <is>
          <t>10 EVIDENCE &amp; DECISIONS</t>
        </is>
      </c>
      <c r="G1275" s="14" t="n"/>
    </row>
    <row r="1276" ht="79" customHeight="1">
      <c r="A1276" s="12" t="inlineStr">
        <is>
          <t>R705-v1</t>
        </is>
      </c>
      <c r="B1276" s="12" t="inlineStr">
        <is>
          <t>SCH-04-165</t>
        </is>
      </c>
      <c r="C1276" s="12" t="inlineStr">
        <is>
          <t>New</t>
        </is>
      </c>
      <c r="D1276" s="12" t="inlineStr">
        <is>
          <t>Record first supplied in this revision</t>
        </is>
      </c>
      <c r="E1276" s="12" t="inlineStr"/>
      <c r="F1276" s="65" t="inlineStr">
        <is>
          <t>10 EVIDENCE &amp; DECISIONS</t>
        </is>
      </c>
      <c r="G1276" s="14" t="n"/>
    </row>
    <row r="1277" ht="79" customHeight="1">
      <c r="A1277" s="12" t="inlineStr">
        <is>
          <t>R706-v1</t>
        </is>
      </c>
      <c r="B1277" s="12" t="inlineStr">
        <is>
          <t>SCH-04-166</t>
        </is>
      </c>
      <c r="C1277" s="12" t="inlineStr">
        <is>
          <t>New</t>
        </is>
      </c>
      <c r="D1277" s="12" t="inlineStr">
        <is>
          <t>Record first supplied in this revision</t>
        </is>
      </c>
      <c r="E1277" s="12" t="inlineStr"/>
      <c r="F1277" s="65" t="inlineStr">
        <is>
          <t>10 EVIDENCE &amp; DECISIONS</t>
        </is>
      </c>
      <c r="G1277" s="14" t="n"/>
    </row>
    <row r="1278" ht="79" customHeight="1">
      <c r="A1278" s="12" t="inlineStr">
        <is>
          <t>R707-v1</t>
        </is>
      </c>
      <c r="B1278" s="12" t="inlineStr">
        <is>
          <t>SCH-04-167</t>
        </is>
      </c>
      <c r="C1278" s="12" t="inlineStr">
        <is>
          <t>New</t>
        </is>
      </c>
      <c r="D1278" s="12" t="inlineStr">
        <is>
          <t>Record first supplied in this revision</t>
        </is>
      </c>
      <c r="E1278" s="12" t="inlineStr"/>
      <c r="F1278" s="65" t="inlineStr">
        <is>
          <t>10 EVIDENCE &amp; DECISIONS</t>
        </is>
      </c>
      <c r="G1278" s="14" t="n"/>
    </row>
    <row r="1279" ht="79" customHeight="1">
      <c r="A1279" s="12" t="inlineStr">
        <is>
          <t>R708-v1</t>
        </is>
      </c>
      <c r="B1279" s="12" t="inlineStr">
        <is>
          <t>SCH-04-168</t>
        </is>
      </c>
      <c r="C1279" s="12" t="inlineStr">
        <is>
          <t>New</t>
        </is>
      </c>
      <c r="D1279" s="12" t="inlineStr">
        <is>
          <t>Record first supplied in this revision</t>
        </is>
      </c>
      <c r="E1279" s="12" t="inlineStr"/>
      <c r="F1279" s="65" t="inlineStr">
        <is>
          <t>10 EVIDENCE &amp; DECISIONS</t>
        </is>
      </c>
      <c r="G1279" s="14" t="n"/>
    </row>
    <row r="1280" ht="79" customHeight="1">
      <c r="A1280" s="12" t="inlineStr">
        <is>
          <t>R709-v1</t>
        </is>
      </c>
      <c r="B1280" s="12" t="inlineStr">
        <is>
          <t>SCH-04-169</t>
        </is>
      </c>
      <c r="C1280" s="12" t="inlineStr">
        <is>
          <t>New</t>
        </is>
      </c>
      <c r="D1280" s="12" t="inlineStr">
        <is>
          <t>Record first supplied in this revision</t>
        </is>
      </c>
      <c r="E1280" s="12" t="inlineStr"/>
      <c r="F1280" s="65" t="inlineStr">
        <is>
          <t>10 EVIDENCE &amp; DECISIONS</t>
        </is>
      </c>
      <c r="G1280" s="14" t="n"/>
    </row>
    <row r="1281" ht="79" customHeight="1">
      <c r="A1281" s="12" t="inlineStr">
        <is>
          <t>R710-v1</t>
        </is>
      </c>
      <c r="B1281" s="12" t="inlineStr">
        <is>
          <t>SCH-04-170</t>
        </is>
      </c>
      <c r="C1281" s="12" t="inlineStr">
        <is>
          <t>New</t>
        </is>
      </c>
      <c r="D1281" s="12" t="inlineStr">
        <is>
          <t>Record first supplied in this revision</t>
        </is>
      </c>
      <c r="E1281" s="12" t="inlineStr"/>
      <c r="F1281" s="65" t="inlineStr">
        <is>
          <t>10 EVIDENCE &amp; DECISIONS</t>
        </is>
      </c>
      <c r="G1281" s="14" t="n"/>
    </row>
    <row r="1282" ht="79" customHeight="1">
      <c r="A1282" s="12" t="inlineStr">
        <is>
          <t>R711-v1</t>
        </is>
      </c>
      <c r="B1282" s="12" t="inlineStr">
        <is>
          <t>SCH-04-171</t>
        </is>
      </c>
      <c r="C1282" s="12" t="inlineStr">
        <is>
          <t>New</t>
        </is>
      </c>
      <c r="D1282" s="12" t="inlineStr">
        <is>
          <t>Record first supplied in this revision</t>
        </is>
      </c>
      <c r="E1282" s="12" t="inlineStr"/>
      <c r="F1282" s="65" t="inlineStr">
        <is>
          <t>10 EVIDENCE &amp; DECISIONS</t>
        </is>
      </c>
      <c r="G1282" s="14" t="n"/>
    </row>
    <row r="1283" ht="79" customHeight="1">
      <c r="A1283" s="12" t="inlineStr">
        <is>
          <t>R712-v1</t>
        </is>
      </c>
      <c r="B1283" s="12" t="inlineStr">
        <is>
          <t>SCH-04-172</t>
        </is>
      </c>
      <c r="C1283" s="12" t="inlineStr">
        <is>
          <t>New</t>
        </is>
      </c>
      <c r="D1283" s="12" t="inlineStr">
        <is>
          <t>Record first supplied in this revision</t>
        </is>
      </c>
      <c r="E1283" s="12" t="inlineStr"/>
      <c r="F1283" s="65" t="inlineStr">
        <is>
          <t>10 EVIDENCE &amp; DECISIONS</t>
        </is>
      </c>
      <c r="G1283" s="14" t="n"/>
    </row>
    <row r="1284" ht="79" customHeight="1">
      <c r="A1284" s="12" t="inlineStr">
        <is>
          <t>R713-v1</t>
        </is>
      </c>
      <c r="B1284" s="12" t="inlineStr">
        <is>
          <t>SCH-04-173</t>
        </is>
      </c>
      <c r="C1284" s="12" t="inlineStr">
        <is>
          <t>New</t>
        </is>
      </c>
      <c r="D1284" s="12" t="inlineStr">
        <is>
          <t>Record first supplied in this revision</t>
        </is>
      </c>
      <c r="E1284" s="12" t="inlineStr"/>
      <c r="F1284" s="65" t="inlineStr">
        <is>
          <t>10 EVIDENCE &amp; DECISIONS</t>
        </is>
      </c>
      <c r="G1284" s="14" t="n"/>
    </row>
    <row r="1285" ht="79" customHeight="1">
      <c r="A1285" s="12" t="inlineStr">
        <is>
          <t>R714-v1</t>
        </is>
      </c>
      <c r="B1285" s="12" t="inlineStr">
        <is>
          <t>SCH-04-174</t>
        </is>
      </c>
      <c r="C1285" s="12" t="inlineStr">
        <is>
          <t>New</t>
        </is>
      </c>
      <c r="D1285" s="12" t="inlineStr">
        <is>
          <t>Record first supplied in this revision</t>
        </is>
      </c>
      <c r="E1285" s="12" t="inlineStr"/>
      <c r="F1285" s="65" t="inlineStr">
        <is>
          <t>10 EVIDENCE &amp; DECISIONS</t>
        </is>
      </c>
      <c r="G1285" s="14" t="n"/>
    </row>
    <row r="1286" ht="79" customHeight="1">
      <c r="A1286" s="12" t="inlineStr">
        <is>
          <t>R715-v1</t>
        </is>
      </c>
      <c r="B1286" s="12" t="inlineStr">
        <is>
          <t>SCH-04-175</t>
        </is>
      </c>
      <c r="C1286" s="12" t="inlineStr">
        <is>
          <t>New</t>
        </is>
      </c>
      <c r="D1286" s="12" t="inlineStr">
        <is>
          <t>Record first supplied in this revision</t>
        </is>
      </c>
      <c r="E1286" s="12" t="inlineStr"/>
      <c r="F1286" s="65" t="inlineStr">
        <is>
          <t>10 EVIDENCE &amp; DECISIONS</t>
        </is>
      </c>
      <c r="G1286" s="14" t="n"/>
    </row>
    <row r="1287" ht="79" customHeight="1">
      <c r="A1287" s="12" t="inlineStr">
        <is>
          <t>R716-v1</t>
        </is>
      </c>
      <c r="B1287" s="12" t="inlineStr">
        <is>
          <t>SCH-04-176</t>
        </is>
      </c>
      <c r="C1287" s="12" t="inlineStr">
        <is>
          <t>New</t>
        </is>
      </c>
      <c r="D1287" s="12" t="inlineStr">
        <is>
          <t>Record first supplied in this revision</t>
        </is>
      </c>
      <c r="E1287" s="12" t="inlineStr"/>
      <c r="F1287" s="65" t="inlineStr">
        <is>
          <t>10 EVIDENCE &amp; DECISIONS</t>
        </is>
      </c>
      <c r="G1287" s="14" t="n"/>
    </row>
    <row r="1288" ht="79" customHeight="1">
      <c r="A1288" s="12" t="inlineStr">
        <is>
          <t>R717-v1</t>
        </is>
      </c>
      <c r="B1288" s="12" t="inlineStr">
        <is>
          <t>SCH-04-177</t>
        </is>
      </c>
      <c r="C1288" s="12" t="inlineStr">
        <is>
          <t>New</t>
        </is>
      </c>
      <c r="D1288" s="12" t="inlineStr">
        <is>
          <t>Record first supplied in this revision</t>
        </is>
      </c>
      <c r="E1288" s="12" t="inlineStr"/>
      <c r="F1288" s="65" t="inlineStr">
        <is>
          <t>10 EVIDENCE &amp; DECISIONS</t>
        </is>
      </c>
      <c r="G1288" s="14" t="n"/>
    </row>
    <row r="1289" ht="79" customHeight="1">
      <c r="A1289" s="12" t="inlineStr">
        <is>
          <t>R718-v1</t>
        </is>
      </c>
      <c r="B1289" s="12" t="inlineStr">
        <is>
          <t>SCH-04-178</t>
        </is>
      </c>
      <c r="C1289" s="12" t="inlineStr">
        <is>
          <t>New</t>
        </is>
      </c>
      <c r="D1289" s="12" t="inlineStr">
        <is>
          <t>Record first supplied in this revision</t>
        </is>
      </c>
      <c r="E1289" s="12" t="inlineStr"/>
      <c r="F1289" s="65" t="inlineStr">
        <is>
          <t>10 EVIDENCE &amp; DECISIONS</t>
        </is>
      </c>
      <c r="G1289" s="14" t="n"/>
    </row>
    <row r="1290" ht="79" customHeight="1">
      <c r="A1290" s="12" t="inlineStr">
        <is>
          <t>R719-v1</t>
        </is>
      </c>
      <c r="B1290" s="12" t="inlineStr">
        <is>
          <t>SCH-04-179</t>
        </is>
      </c>
      <c r="C1290" s="12" t="inlineStr">
        <is>
          <t>New</t>
        </is>
      </c>
      <c r="D1290" s="12" t="inlineStr">
        <is>
          <t>Record first supplied in this revision</t>
        </is>
      </c>
      <c r="E1290" s="12" t="inlineStr"/>
      <c r="F1290" s="65" t="inlineStr">
        <is>
          <t>10 EVIDENCE &amp; DECISIONS</t>
        </is>
      </c>
      <c r="G1290" s="14" t="n"/>
    </row>
    <row r="1291" ht="79" customHeight="1">
      <c r="A1291" s="12" t="inlineStr">
        <is>
          <t>R720-v1</t>
        </is>
      </c>
      <c r="B1291" s="12" t="inlineStr">
        <is>
          <t>SCH-04-180</t>
        </is>
      </c>
      <c r="C1291" s="12" t="inlineStr">
        <is>
          <t>New</t>
        </is>
      </c>
      <c r="D1291" s="12" t="inlineStr">
        <is>
          <t>Record first supplied in this revision</t>
        </is>
      </c>
      <c r="E1291" s="12" t="inlineStr"/>
      <c r="F1291" s="65" t="inlineStr">
        <is>
          <t>10 EVIDENCE &amp; DECISIONS</t>
        </is>
      </c>
      <c r="G1291" s="14" t="n"/>
    </row>
    <row r="1292" ht="79" customHeight="1">
      <c r="A1292" s="12" t="inlineStr">
        <is>
          <t>R721-v1</t>
        </is>
      </c>
      <c r="B1292" s="12" t="inlineStr">
        <is>
          <t>SCH-05-001</t>
        </is>
      </c>
      <c r="C1292" s="12" t="inlineStr">
        <is>
          <t>New</t>
        </is>
      </c>
      <c r="D1292" s="12" t="inlineStr">
        <is>
          <t>Record first supplied in this revision</t>
        </is>
      </c>
      <c r="E1292" s="12" t="inlineStr"/>
      <c r="F1292" s="65" t="inlineStr">
        <is>
          <t>10 EVIDENCE &amp; DECISIONS</t>
        </is>
      </c>
      <c r="G1292" s="14" t="n"/>
    </row>
    <row r="1293" ht="79" customHeight="1">
      <c r="A1293" s="12" t="inlineStr">
        <is>
          <t>R722-v1</t>
        </is>
      </c>
      <c r="B1293" s="12" t="inlineStr">
        <is>
          <t>SCH-05-002</t>
        </is>
      </c>
      <c r="C1293" s="12" t="inlineStr">
        <is>
          <t>New</t>
        </is>
      </c>
      <c r="D1293" s="12" t="inlineStr">
        <is>
          <t>Record first supplied in this revision</t>
        </is>
      </c>
      <c r="E1293" s="12" t="inlineStr"/>
      <c r="F1293" s="65" t="inlineStr">
        <is>
          <t>10 EVIDENCE &amp; DECISIONS</t>
        </is>
      </c>
      <c r="G1293" s="14" t="n"/>
    </row>
    <row r="1294" ht="79" customHeight="1">
      <c r="A1294" s="12" t="inlineStr">
        <is>
          <t>R723-v1</t>
        </is>
      </c>
      <c r="B1294" s="12" t="inlineStr">
        <is>
          <t>SCH-05-003</t>
        </is>
      </c>
      <c r="C1294" s="12" t="inlineStr">
        <is>
          <t>New</t>
        </is>
      </c>
      <c r="D1294" s="12" t="inlineStr">
        <is>
          <t>Record first supplied in this revision</t>
        </is>
      </c>
      <c r="E1294" s="12" t="inlineStr"/>
      <c r="F1294" s="65" t="inlineStr">
        <is>
          <t>10 EVIDENCE &amp; DECISIONS</t>
        </is>
      </c>
      <c r="G1294" s="14" t="n"/>
    </row>
    <row r="1295" ht="79" customHeight="1">
      <c r="A1295" s="12" t="inlineStr">
        <is>
          <t>R724-v1</t>
        </is>
      </c>
      <c r="B1295" s="12" t="inlineStr">
        <is>
          <t>SCH-05-004</t>
        </is>
      </c>
      <c r="C1295" s="12" t="inlineStr">
        <is>
          <t>New</t>
        </is>
      </c>
      <c r="D1295" s="12" t="inlineStr">
        <is>
          <t>Record first supplied in this revision</t>
        </is>
      </c>
      <c r="E1295" s="12" t="inlineStr"/>
      <c r="F1295" s="65" t="inlineStr">
        <is>
          <t>10 EVIDENCE &amp; DECISIONS</t>
        </is>
      </c>
      <c r="G1295" s="14" t="n"/>
    </row>
    <row r="1296" ht="79" customHeight="1">
      <c r="A1296" s="12" t="inlineStr">
        <is>
          <t>R725-v1</t>
        </is>
      </c>
      <c r="B1296" s="12" t="inlineStr">
        <is>
          <t>SCH-05-005</t>
        </is>
      </c>
      <c r="C1296" s="12" t="inlineStr">
        <is>
          <t>New</t>
        </is>
      </c>
      <c r="D1296" s="12" t="inlineStr">
        <is>
          <t>Record first supplied in this revision</t>
        </is>
      </c>
      <c r="E1296" s="12" t="inlineStr"/>
      <c r="F1296" s="65" t="inlineStr">
        <is>
          <t>10 EVIDENCE &amp; DECISIONS</t>
        </is>
      </c>
      <c r="G1296" s="14" t="n"/>
    </row>
    <row r="1297" ht="79" customHeight="1">
      <c r="A1297" s="12" t="inlineStr">
        <is>
          <t>R726-v1</t>
        </is>
      </c>
      <c r="B1297" s="12" t="inlineStr">
        <is>
          <t>SCH-05-006</t>
        </is>
      </c>
      <c r="C1297" s="12" t="inlineStr">
        <is>
          <t>New</t>
        </is>
      </c>
      <c r="D1297" s="12" t="inlineStr">
        <is>
          <t>Record first supplied in this revision</t>
        </is>
      </c>
      <c r="E1297" s="12" t="inlineStr"/>
      <c r="F1297" s="65" t="inlineStr">
        <is>
          <t>10 EVIDENCE &amp; DECISIONS</t>
        </is>
      </c>
      <c r="G1297" s="14" t="n"/>
    </row>
    <row r="1298" ht="79" customHeight="1">
      <c r="A1298" s="12" t="inlineStr">
        <is>
          <t>R727-v1</t>
        </is>
      </c>
      <c r="B1298" s="12" t="inlineStr">
        <is>
          <t>SCH-05-007</t>
        </is>
      </c>
      <c r="C1298" s="12" t="inlineStr">
        <is>
          <t>New</t>
        </is>
      </c>
      <c r="D1298" s="12" t="inlineStr">
        <is>
          <t>Record first supplied in this revision</t>
        </is>
      </c>
      <c r="E1298" s="12" t="inlineStr"/>
      <c r="F1298" s="65" t="inlineStr">
        <is>
          <t>10 EVIDENCE &amp; DECISIONS</t>
        </is>
      </c>
      <c r="G1298" s="14" t="n"/>
    </row>
    <row r="1299" ht="79" customHeight="1">
      <c r="A1299" s="12" t="inlineStr">
        <is>
          <t>R728-v1</t>
        </is>
      </c>
      <c r="B1299" s="12" t="inlineStr">
        <is>
          <t>SCH-05-008</t>
        </is>
      </c>
      <c r="C1299" s="12" t="inlineStr">
        <is>
          <t>New</t>
        </is>
      </c>
      <c r="D1299" s="12" t="inlineStr">
        <is>
          <t>Record first supplied in this revision</t>
        </is>
      </c>
      <c r="E1299" s="12" t="inlineStr"/>
      <c r="F1299" s="65" t="inlineStr">
        <is>
          <t>10 EVIDENCE &amp; DECISIONS</t>
        </is>
      </c>
      <c r="G1299" s="14" t="n"/>
    </row>
    <row r="1300" ht="79" customHeight="1">
      <c r="A1300" s="12" t="inlineStr">
        <is>
          <t>R729-v1</t>
        </is>
      </c>
      <c r="B1300" s="12" t="inlineStr">
        <is>
          <t>SCH-05-009</t>
        </is>
      </c>
      <c r="C1300" s="12" t="inlineStr">
        <is>
          <t>New</t>
        </is>
      </c>
      <c r="D1300" s="12" t="inlineStr">
        <is>
          <t>Record first supplied in this revision</t>
        </is>
      </c>
      <c r="E1300" s="12" t="inlineStr"/>
      <c r="F1300" s="65" t="inlineStr">
        <is>
          <t>10 EVIDENCE &amp; DECISIONS</t>
        </is>
      </c>
      <c r="G1300" s="14" t="n"/>
    </row>
    <row r="1301" ht="79" customHeight="1">
      <c r="A1301" s="12" t="inlineStr">
        <is>
          <t>R730-v1</t>
        </is>
      </c>
      <c r="B1301" s="12" t="inlineStr">
        <is>
          <t>SCH-05-010</t>
        </is>
      </c>
      <c r="C1301" s="12" t="inlineStr">
        <is>
          <t>New</t>
        </is>
      </c>
      <c r="D1301" s="12" t="inlineStr">
        <is>
          <t>Record first supplied in this revision</t>
        </is>
      </c>
      <c r="E1301" s="12" t="inlineStr"/>
      <c r="F1301" s="65" t="inlineStr">
        <is>
          <t>10 EVIDENCE &amp; DECISIONS</t>
        </is>
      </c>
      <c r="G1301" s="14" t="n"/>
    </row>
    <row r="1302" ht="79" customHeight="1">
      <c r="A1302" s="12" t="inlineStr">
        <is>
          <t>R731-v1</t>
        </is>
      </c>
      <c r="B1302" s="12" t="inlineStr">
        <is>
          <t>SCH-05-011</t>
        </is>
      </c>
      <c r="C1302" s="12" t="inlineStr">
        <is>
          <t>New</t>
        </is>
      </c>
      <c r="D1302" s="12" t="inlineStr">
        <is>
          <t>Record first supplied in this revision</t>
        </is>
      </c>
      <c r="E1302" s="12" t="inlineStr"/>
      <c r="F1302" s="65" t="inlineStr">
        <is>
          <t>10 EVIDENCE &amp; DECISIONS</t>
        </is>
      </c>
      <c r="G1302" s="14" t="n"/>
    </row>
    <row r="1303" ht="79" customHeight="1">
      <c r="A1303" s="12" t="inlineStr">
        <is>
          <t>R732-v1</t>
        </is>
      </c>
      <c r="B1303" s="12" t="inlineStr">
        <is>
          <t>SCH-05-012</t>
        </is>
      </c>
      <c r="C1303" s="12" t="inlineStr">
        <is>
          <t>New</t>
        </is>
      </c>
      <c r="D1303" s="12" t="inlineStr">
        <is>
          <t>Record first supplied in this revision</t>
        </is>
      </c>
      <c r="E1303" s="12" t="inlineStr"/>
      <c r="F1303" s="65" t="inlineStr">
        <is>
          <t>10 EVIDENCE &amp; DECISIONS</t>
        </is>
      </c>
      <c r="G1303" s="14" t="n"/>
    </row>
    <row r="1304" ht="79" customHeight="1">
      <c r="A1304" s="12" t="inlineStr">
        <is>
          <t>R733-v1</t>
        </is>
      </c>
      <c r="B1304" s="12" t="inlineStr">
        <is>
          <t>SCH-05-013</t>
        </is>
      </c>
      <c r="C1304" s="12" t="inlineStr">
        <is>
          <t>New</t>
        </is>
      </c>
      <c r="D1304" s="12" t="inlineStr">
        <is>
          <t>Record first supplied in this revision</t>
        </is>
      </c>
      <c r="E1304" s="12" t="inlineStr"/>
      <c r="F1304" s="65" t="inlineStr">
        <is>
          <t>10 EVIDENCE &amp; DECISIONS</t>
        </is>
      </c>
      <c r="G1304" s="14" t="n"/>
    </row>
    <row r="1305" ht="79" customHeight="1">
      <c r="A1305" s="12" t="inlineStr">
        <is>
          <t>R734-v1</t>
        </is>
      </c>
      <c r="B1305" s="12" t="inlineStr">
        <is>
          <t>SCH-05-014</t>
        </is>
      </c>
      <c r="C1305" s="12" t="inlineStr">
        <is>
          <t>New</t>
        </is>
      </c>
      <c r="D1305" s="12" t="inlineStr">
        <is>
          <t>Record first supplied in this revision</t>
        </is>
      </c>
      <c r="E1305" s="12" t="inlineStr"/>
      <c r="F1305" s="65" t="inlineStr">
        <is>
          <t>10 EVIDENCE &amp; DECISIONS</t>
        </is>
      </c>
      <c r="G1305" s="14" t="n"/>
    </row>
    <row r="1306" ht="79" customHeight="1">
      <c r="A1306" s="12" t="inlineStr">
        <is>
          <t>R735-v1</t>
        </is>
      </c>
      <c r="B1306" s="12" t="inlineStr">
        <is>
          <t>SCH-05-015</t>
        </is>
      </c>
      <c r="C1306" s="12" t="inlineStr">
        <is>
          <t>New</t>
        </is>
      </c>
      <c r="D1306" s="12" t="inlineStr">
        <is>
          <t>Record first supplied in this revision</t>
        </is>
      </c>
      <c r="E1306" s="12" t="inlineStr"/>
      <c r="F1306" s="65" t="inlineStr">
        <is>
          <t>10 EVIDENCE &amp; DECISIONS</t>
        </is>
      </c>
      <c r="G1306" s="14" t="n"/>
    </row>
    <row r="1307" ht="79" customHeight="1">
      <c r="A1307" s="12" t="inlineStr">
        <is>
          <t>R736-v1</t>
        </is>
      </c>
      <c r="B1307" s="12" t="inlineStr">
        <is>
          <t>SCH-05-016</t>
        </is>
      </c>
      <c r="C1307" s="12" t="inlineStr">
        <is>
          <t>New</t>
        </is>
      </c>
      <c r="D1307" s="12" t="inlineStr">
        <is>
          <t>Record first supplied in this revision</t>
        </is>
      </c>
      <c r="E1307" s="12" t="inlineStr"/>
      <c r="F1307" s="65" t="inlineStr">
        <is>
          <t>10 EVIDENCE &amp; DECISIONS</t>
        </is>
      </c>
      <c r="G1307" s="14" t="n"/>
    </row>
    <row r="1308" ht="79" customHeight="1">
      <c r="A1308" s="12" t="inlineStr">
        <is>
          <t>R737-v1</t>
        </is>
      </c>
      <c r="B1308" s="12" t="inlineStr">
        <is>
          <t>SCH-05-017</t>
        </is>
      </c>
      <c r="C1308" s="12" t="inlineStr">
        <is>
          <t>New</t>
        </is>
      </c>
      <c r="D1308" s="12" t="inlineStr">
        <is>
          <t>Record first supplied in this revision</t>
        </is>
      </c>
      <c r="E1308" s="12" t="inlineStr"/>
      <c r="F1308" s="65" t="inlineStr">
        <is>
          <t>10 EVIDENCE &amp; DECISIONS</t>
        </is>
      </c>
      <c r="G1308" s="14" t="n"/>
    </row>
    <row r="1309" ht="79" customHeight="1">
      <c r="A1309" s="12" t="inlineStr">
        <is>
          <t>R738-v1</t>
        </is>
      </c>
      <c r="B1309" s="12" t="inlineStr">
        <is>
          <t>SCH-05-018</t>
        </is>
      </c>
      <c r="C1309" s="12" t="inlineStr">
        <is>
          <t>New</t>
        </is>
      </c>
      <c r="D1309" s="12" t="inlineStr">
        <is>
          <t>Record first supplied in this revision</t>
        </is>
      </c>
      <c r="E1309" s="12" t="inlineStr"/>
      <c r="F1309" s="65" t="inlineStr">
        <is>
          <t>10 EVIDENCE &amp; DECISIONS</t>
        </is>
      </c>
      <c r="G1309" s="14" t="n"/>
    </row>
    <row r="1310" ht="79" customHeight="1">
      <c r="A1310" s="12" t="inlineStr">
        <is>
          <t>R739-v1</t>
        </is>
      </c>
      <c r="B1310" s="12" t="inlineStr">
        <is>
          <t>SCH-05-019</t>
        </is>
      </c>
      <c r="C1310" s="12" t="inlineStr">
        <is>
          <t>New</t>
        </is>
      </c>
      <c r="D1310" s="12" t="inlineStr">
        <is>
          <t>Record first supplied in this revision</t>
        </is>
      </c>
      <c r="E1310" s="12" t="inlineStr"/>
      <c r="F1310" s="65" t="inlineStr">
        <is>
          <t>10 EVIDENCE &amp; DECISIONS</t>
        </is>
      </c>
      <c r="G1310" s="14" t="n"/>
    </row>
    <row r="1311" ht="79" customHeight="1">
      <c r="A1311" s="12" t="inlineStr">
        <is>
          <t>R740-v1</t>
        </is>
      </c>
      <c r="B1311" s="12" t="inlineStr">
        <is>
          <t>SCH-05-020</t>
        </is>
      </c>
      <c r="C1311" s="12" t="inlineStr">
        <is>
          <t>New</t>
        </is>
      </c>
      <c r="D1311" s="12" t="inlineStr">
        <is>
          <t>Record first supplied in this revision</t>
        </is>
      </c>
      <c r="E1311" s="12" t="inlineStr"/>
      <c r="F1311" s="65" t="inlineStr">
        <is>
          <t>10 EVIDENCE &amp; DECISIONS</t>
        </is>
      </c>
      <c r="G1311" s="14" t="n"/>
    </row>
    <row r="1312" ht="79" customHeight="1">
      <c r="A1312" s="12" t="inlineStr">
        <is>
          <t>R741-v1</t>
        </is>
      </c>
      <c r="B1312" s="12" t="inlineStr">
        <is>
          <t>SCH-05-021</t>
        </is>
      </c>
      <c r="C1312" s="12" t="inlineStr">
        <is>
          <t>New</t>
        </is>
      </c>
      <c r="D1312" s="12" t="inlineStr">
        <is>
          <t>Record first supplied in this revision</t>
        </is>
      </c>
      <c r="E1312" s="12" t="inlineStr"/>
      <c r="F1312" s="65" t="inlineStr">
        <is>
          <t>10 EVIDENCE &amp; DECISIONS</t>
        </is>
      </c>
      <c r="G1312" s="14" t="n"/>
    </row>
    <row r="1313" ht="79" customHeight="1">
      <c r="A1313" s="12" t="inlineStr">
        <is>
          <t>R742-v1</t>
        </is>
      </c>
      <c r="B1313" s="12" t="inlineStr">
        <is>
          <t>SCH-05-022</t>
        </is>
      </c>
      <c r="C1313" s="12" t="inlineStr">
        <is>
          <t>New</t>
        </is>
      </c>
      <c r="D1313" s="12" t="inlineStr">
        <is>
          <t>Record first supplied in this revision</t>
        </is>
      </c>
      <c r="E1313" s="12" t="inlineStr"/>
      <c r="F1313" s="65" t="inlineStr">
        <is>
          <t>10 EVIDENCE &amp; DECISIONS</t>
        </is>
      </c>
      <c r="G1313" s="14" t="n"/>
    </row>
    <row r="1314" ht="79" customHeight="1">
      <c r="A1314" s="12" t="inlineStr">
        <is>
          <t>R743-v1</t>
        </is>
      </c>
      <c r="B1314" s="12" t="inlineStr">
        <is>
          <t>SCH-05-023</t>
        </is>
      </c>
      <c r="C1314" s="12" t="inlineStr">
        <is>
          <t>New</t>
        </is>
      </c>
      <c r="D1314" s="12" t="inlineStr">
        <is>
          <t>Record first supplied in this revision</t>
        </is>
      </c>
      <c r="E1314" s="12" t="inlineStr"/>
      <c r="F1314" s="65" t="inlineStr">
        <is>
          <t>10 EVIDENCE &amp; DECISIONS</t>
        </is>
      </c>
      <c r="G1314" s="14" t="n"/>
    </row>
    <row r="1315" ht="79" customHeight="1">
      <c r="A1315" s="12" t="inlineStr">
        <is>
          <t>R744-v1</t>
        </is>
      </c>
      <c r="B1315" s="12" t="inlineStr">
        <is>
          <t>SCH-05-024</t>
        </is>
      </c>
      <c r="C1315" s="12" t="inlineStr">
        <is>
          <t>New</t>
        </is>
      </c>
      <c r="D1315" s="12" t="inlineStr">
        <is>
          <t>Record first supplied in this revision</t>
        </is>
      </c>
      <c r="E1315" s="12" t="inlineStr"/>
      <c r="F1315" s="65" t="inlineStr">
        <is>
          <t>10 EVIDENCE &amp; DECISIONS</t>
        </is>
      </c>
      <c r="G1315" s="14" t="n"/>
    </row>
    <row r="1316" ht="79" customHeight="1">
      <c r="A1316" s="12" t="inlineStr">
        <is>
          <t>R745-v1</t>
        </is>
      </c>
      <c r="B1316" s="12" t="inlineStr">
        <is>
          <t>SCH-05-025</t>
        </is>
      </c>
      <c r="C1316" s="12" t="inlineStr">
        <is>
          <t>New</t>
        </is>
      </c>
      <c r="D1316" s="12" t="inlineStr">
        <is>
          <t>Record first supplied in this revision</t>
        </is>
      </c>
      <c r="E1316" s="12" t="inlineStr"/>
      <c r="F1316" s="65" t="inlineStr">
        <is>
          <t>10 EVIDENCE &amp; DECISIONS</t>
        </is>
      </c>
      <c r="G1316" s="14" t="n"/>
    </row>
    <row r="1317" ht="79" customHeight="1">
      <c r="A1317" s="12" t="inlineStr">
        <is>
          <t>R746-v1</t>
        </is>
      </c>
      <c r="B1317" s="12" t="inlineStr">
        <is>
          <t>SCH-05-026</t>
        </is>
      </c>
      <c r="C1317" s="12" t="inlineStr">
        <is>
          <t>New</t>
        </is>
      </c>
      <c r="D1317" s="12" t="inlineStr">
        <is>
          <t>Record first supplied in this revision</t>
        </is>
      </c>
      <c r="E1317" s="12" t="inlineStr"/>
      <c r="F1317" s="65" t="inlineStr">
        <is>
          <t>10 EVIDENCE &amp; DECISIONS</t>
        </is>
      </c>
      <c r="G1317" s="14" t="n"/>
    </row>
    <row r="1318" ht="79" customHeight="1">
      <c r="A1318" s="12" t="inlineStr">
        <is>
          <t>R747-v1</t>
        </is>
      </c>
      <c r="B1318" s="12" t="inlineStr">
        <is>
          <t>SCH-05-027</t>
        </is>
      </c>
      <c r="C1318" s="12" t="inlineStr">
        <is>
          <t>New</t>
        </is>
      </c>
      <c r="D1318" s="12" t="inlineStr">
        <is>
          <t>Record first supplied in this revision</t>
        </is>
      </c>
      <c r="E1318" s="12" t="inlineStr"/>
      <c r="F1318" s="65" t="inlineStr">
        <is>
          <t>10 EVIDENCE &amp; DECISIONS</t>
        </is>
      </c>
      <c r="G1318" s="14" t="n"/>
    </row>
    <row r="1319" ht="79" customHeight="1">
      <c r="A1319" s="12" t="inlineStr">
        <is>
          <t>R748-v1</t>
        </is>
      </c>
      <c r="B1319" s="12" t="inlineStr">
        <is>
          <t>SCH-05-028</t>
        </is>
      </c>
      <c r="C1319" s="12" t="inlineStr">
        <is>
          <t>New</t>
        </is>
      </c>
      <c r="D1319" s="12" t="inlineStr">
        <is>
          <t>Record first supplied in this revision</t>
        </is>
      </c>
      <c r="E1319" s="12" t="inlineStr"/>
      <c r="F1319" s="65" t="inlineStr">
        <is>
          <t>10 EVIDENCE &amp; DECISIONS</t>
        </is>
      </c>
      <c r="G1319" s="14" t="n"/>
    </row>
    <row r="1320" ht="79" customHeight="1">
      <c r="A1320" s="12" t="inlineStr">
        <is>
          <t>R749-v1</t>
        </is>
      </c>
      <c r="B1320" s="12" t="inlineStr">
        <is>
          <t>SCH-05-029</t>
        </is>
      </c>
      <c r="C1320" s="12" t="inlineStr">
        <is>
          <t>New</t>
        </is>
      </c>
      <c r="D1320" s="12" t="inlineStr">
        <is>
          <t>Record first supplied in this revision</t>
        </is>
      </c>
      <c r="E1320" s="12" t="inlineStr"/>
      <c r="F1320" s="65" t="inlineStr">
        <is>
          <t>10 EVIDENCE &amp; DECISIONS</t>
        </is>
      </c>
      <c r="G1320" s="14" t="n"/>
    </row>
    <row r="1321" ht="79" customHeight="1">
      <c r="A1321" s="12" t="inlineStr">
        <is>
          <t>R750-v1</t>
        </is>
      </c>
      <c r="B1321" s="12" t="inlineStr">
        <is>
          <t>SCH-05-030</t>
        </is>
      </c>
      <c r="C1321" s="12" t="inlineStr">
        <is>
          <t>New</t>
        </is>
      </c>
      <c r="D1321" s="12" t="inlineStr">
        <is>
          <t>Record first supplied in this revision</t>
        </is>
      </c>
      <c r="E1321" s="12" t="inlineStr"/>
      <c r="F1321" s="65" t="inlineStr">
        <is>
          <t>10 EVIDENCE &amp; DECISIONS</t>
        </is>
      </c>
      <c r="G1321" s="14" t="n"/>
    </row>
    <row r="1322" ht="79" customHeight="1">
      <c r="A1322" s="12" t="inlineStr">
        <is>
          <t>R751-v1</t>
        </is>
      </c>
      <c r="B1322" s="12" t="inlineStr">
        <is>
          <t>SCH-05-031</t>
        </is>
      </c>
      <c r="C1322" s="12" t="inlineStr">
        <is>
          <t>New</t>
        </is>
      </c>
      <c r="D1322" s="12" t="inlineStr">
        <is>
          <t>Record first supplied in this revision</t>
        </is>
      </c>
      <c r="E1322" s="12" t="inlineStr"/>
      <c r="F1322" s="65" t="inlineStr">
        <is>
          <t>10 EVIDENCE &amp; DECISIONS</t>
        </is>
      </c>
      <c r="G1322" s="14" t="n"/>
    </row>
    <row r="1323" ht="79" customHeight="1">
      <c r="A1323" s="12" t="inlineStr">
        <is>
          <t>R752-v1</t>
        </is>
      </c>
      <c r="B1323" s="12" t="inlineStr">
        <is>
          <t>SCH-05-032</t>
        </is>
      </c>
      <c r="C1323" s="12" t="inlineStr">
        <is>
          <t>New</t>
        </is>
      </c>
      <c r="D1323" s="12" t="inlineStr">
        <is>
          <t>Record first supplied in this revision</t>
        </is>
      </c>
      <c r="E1323" s="12" t="inlineStr"/>
      <c r="F1323" s="65" t="inlineStr">
        <is>
          <t>10 EVIDENCE &amp; DECISIONS</t>
        </is>
      </c>
      <c r="G1323" s="14" t="n"/>
    </row>
    <row r="1324" ht="79" customHeight="1">
      <c r="A1324" s="12" t="inlineStr">
        <is>
          <t>R753-v1</t>
        </is>
      </c>
      <c r="B1324" s="12" t="inlineStr">
        <is>
          <t>SCH-05-033</t>
        </is>
      </c>
      <c r="C1324" s="12" t="inlineStr">
        <is>
          <t>New</t>
        </is>
      </c>
      <c r="D1324" s="12" t="inlineStr">
        <is>
          <t>Record first supplied in this revision</t>
        </is>
      </c>
      <c r="E1324" s="12" t="inlineStr"/>
      <c r="F1324" s="65" t="inlineStr">
        <is>
          <t>10 EVIDENCE &amp; DECISIONS</t>
        </is>
      </c>
      <c r="G1324" s="14" t="n"/>
    </row>
    <row r="1325" ht="79" customHeight="1">
      <c r="A1325" s="12" t="inlineStr">
        <is>
          <t>R754-v1</t>
        </is>
      </c>
      <c r="B1325" s="12" t="inlineStr">
        <is>
          <t>SCH-05-034</t>
        </is>
      </c>
      <c r="C1325" s="12" t="inlineStr">
        <is>
          <t>New</t>
        </is>
      </c>
      <c r="D1325" s="12" t="inlineStr">
        <is>
          <t>Record first supplied in this revision</t>
        </is>
      </c>
      <c r="E1325" s="12" t="inlineStr"/>
      <c r="F1325" s="65" t="inlineStr">
        <is>
          <t>10 EVIDENCE &amp; DECISIONS</t>
        </is>
      </c>
      <c r="G1325" s="14" t="n"/>
    </row>
    <row r="1326" ht="79" customHeight="1">
      <c r="A1326" s="12" t="inlineStr">
        <is>
          <t>R755-v1</t>
        </is>
      </c>
      <c r="B1326" s="12" t="inlineStr">
        <is>
          <t>SCH-05-035</t>
        </is>
      </c>
      <c r="C1326" s="12" t="inlineStr">
        <is>
          <t>New</t>
        </is>
      </c>
      <c r="D1326" s="12" t="inlineStr">
        <is>
          <t>Record first supplied in this revision</t>
        </is>
      </c>
      <c r="E1326" s="12" t="inlineStr"/>
      <c r="F1326" s="65" t="inlineStr">
        <is>
          <t>10 EVIDENCE &amp; DECISIONS</t>
        </is>
      </c>
      <c r="G1326" s="14" t="n"/>
    </row>
    <row r="1327" ht="79" customHeight="1">
      <c r="A1327" s="12" t="inlineStr">
        <is>
          <t>R756-v1</t>
        </is>
      </c>
      <c r="B1327" s="12" t="inlineStr">
        <is>
          <t>SCH-05-036</t>
        </is>
      </c>
      <c r="C1327" s="12" t="inlineStr">
        <is>
          <t>New</t>
        </is>
      </c>
      <c r="D1327" s="12" t="inlineStr">
        <is>
          <t>Record first supplied in this revision</t>
        </is>
      </c>
      <c r="E1327" s="12" t="inlineStr"/>
      <c r="F1327" s="65" t="inlineStr">
        <is>
          <t>10 EVIDENCE &amp; DECISIONS</t>
        </is>
      </c>
      <c r="G1327" s="14" t="n"/>
    </row>
    <row r="1328" ht="79" customHeight="1">
      <c r="A1328" s="12" t="inlineStr">
        <is>
          <t>R757-v1</t>
        </is>
      </c>
      <c r="B1328" s="12" t="inlineStr">
        <is>
          <t>SCH-05-037</t>
        </is>
      </c>
      <c r="C1328" s="12" t="inlineStr">
        <is>
          <t>New</t>
        </is>
      </c>
      <c r="D1328" s="12" t="inlineStr">
        <is>
          <t>Record first supplied in this revision</t>
        </is>
      </c>
      <c r="E1328" s="12" t="inlineStr"/>
      <c r="F1328" s="65" t="inlineStr">
        <is>
          <t>10 EVIDENCE &amp; DECISIONS</t>
        </is>
      </c>
      <c r="G1328" s="14" t="n"/>
    </row>
    <row r="1329" ht="79" customHeight="1">
      <c r="A1329" s="12" t="inlineStr">
        <is>
          <t>R758-v1</t>
        </is>
      </c>
      <c r="B1329" s="12" t="inlineStr">
        <is>
          <t>SCH-05-038</t>
        </is>
      </c>
      <c r="C1329" s="12" t="inlineStr">
        <is>
          <t>New</t>
        </is>
      </c>
      <c r="D1329" s="12" t="inlineStr">
        <is>
          <t>Record first supplied in this revision</t>
        </is>
      </c>
      <c r="E1329" s="12" t="inlineStr"/>
      <c r="F1329" s="65" t="inlineStr">
        <is>
          <t>10 EVIDENCE &amp; DECISIONS</t>
        </is>
      </c>
      <c r="G1329" s="14" t="n"/>
    </row>
    <row r="1330" ht="79" customHeight="1">
      <c r="A1330" s="12" t="inlineStr">
        <is>
          <t>R759-v1</t>
        </is>
      </c>
      <c r="B1330" s="12" t="inlineStr">
        <is>
          <t>SCH-05-039</t>
        </is>
      </c>
      <c r="C1330" s="12" t="inlineStr">
        <is>
          <t>New</t>
        </is>
      </c>
      <c r="D1330" s="12" t="inlineStr">
        <is>
          <t>Record first supplied in this revision</t>
        </is>
      </c>
      <c r="E1330" s="12" t="inlineStr"/>
      <c r="F1330" s="65" t="inlineStr">
        <is>
          <t>10 EVIDENCE &amp; DECISIONS</t>
        </is>
      </c>
      <c r="G1330" s="14" t="n"/>
    </row>
    <row r="1331" ht="79" customHeight="1">
      <c r="A1331" s="12" t="inlineStr">
        <is>
          <t>R760-v1</t>
        </is>
      </c>
      <c r="B1331" s="12" t="inlineStr">
        <is>
          <t>SCH-05-040</t>
        </is>
      </c>
      <c r="C1331" s="12" t="inlineStr">
        <is>
          <t>New</t>
        </is>
      </c>
      <c r="D1331" s="12" t="inlineStr">
        <is>
          <t>Record first supplied in this revision</t>
        </is>
      </c>
      <c r="E1331" s="12" t="inlineStr"/>
      <c r="F1331" s="65" t="inlineStr">
        <is>
          <t>10 EVIDENCE &amp; DECISIONS</t>
        </is>
      </c>
      <c r="G1331" s="14" t="n"/>
    </row>
    <row r="1332" ht="79" customHeight="1">
      <c r="A1332" s="12" t="inlineStr">
        <is>
          <t>R761-v1</t>
        </is>
      </c>
      <c r="B1332" s="12" t="inlineStr">
        <is>
          <t>SCH-05-041</t>
        </is>
      </c>
      <c r="C1332" s="12" t="inlineStr">
        <is>
          <t>New</t>
        </is>
      </c>
      <c r="D1332" s="12" t="inlineStr">
        <is>
          <t>Record first supplied in this revision</t>
        </is>
      </c>
      <c r="E1332" s="12" t="inlineStr"/>
      <c r="F1332" s="65" t="inlineStr">
        <is>
          <t>10 EVIDENCE &amp; DECISIONS</t>
        </is>
      </c>
      <c r="G1332" s="14" t="n"/>
    </row>
    <row r="1333" ht="79" customHeight="1">
      <c r="A1333" s="12" t="inlineStr">
        <is>
          <t>R762-v1</t>
        </is>
      </c>
      <c r="B1333" s="12" t="inlineStr">
        <is>
          <t>SCH-05-042</t>
        </is>
      </c>
      <c r="C1333" s="12" t="inlineStr">
        <is>
          <t>New</t>
        </is>
      </c>
      <c r="D1333" s="12" t="inlineStr">
        <is>
          <t>Record first supplied in this revision</t>
        </is>
      </c>
      <c r="E1333" s="12" t="inlineStr"/>
      <c r="F1333" s="65" t="inlineStr">
        <is>
          <t>10 EVIDENCE &amp; DECISIONS</t>
        </is>
      </c>
      <c r="G1333" s="14" t="n"/>
    </row>
    <row r="1334" ht="79" customHeight="1">
      <c r="A1334" s="12" t="inlineStr">
        <is>
          <t>R763-v1</t>
        </is>
      </c>
      <c r="B1334" s="12" t="inlineStr">
        <is>
          <t>SCH-05-043</t>
        </is>
      </c>
      <c r="C1334" s="12" t="inlineStr">
        <is>
          <t>New</t>
        </is>
      </c>
      <c r="D1334" s="12" t="inlineStr">
        <is>
          <t>Record first supplied in this revision</t>
        </is>
      </c>
      <c r="E1334" s="12" t="inlineStr"/>
      <c r="F1334" s="65" t="inlineStr">
        <is>
          <t>10 EVIDENCE &amp; DECISIONS</t>
        </is>
      </c>
      <c r="G1334" s="14" t="n"/>
    </row>
    <row r="1335" ht="79" customHeight="1">
      <c r="A1335" s="12" t="inlineStr">
        <is>
          <t>R764-v1</t>
        </is>
      </c>
      <c r="B1335" s="12" t="inlineStr">
        <is>
          <t>SCH-05-044</t>
        </is>
      </c>
      <c r="C1335" s="12" t="inlineStr">
        <is>
          <t>New</t>
        </is>
      </c>
      <c r="D1335" s="12" t="inlineStr">
        <is>
          <t>Record first supplied in this revision</t>
        </is>
      </c>
      <c r="E1335" s="12" t="inlineStr"/>
      <c r="F1335" s="65" t="inlineStr">
        <is>
          <t>10 EVIDENCE &amp; DECISIONS</t>
        </is>
      </c>
      <c r="G1335" s="14" t="n"/>
    </row>
    <row r="1336" ht="79" customHeight="1">
      <c r="A1336" s="12" t="inlineStr">
        <is>
          <t>R765-v1</t>
        </is>
      </c>
      <c r="B1336" s="12" t="inlineStr">
        <is>
          <t>SCH-05-045</t>
        </is>
      </c>
      <c r="C1336" s="12" t="inlineStr">
        <is>
          <t>New</t>
        </is>
      </c>
      <c r="D1336" s="12" t="inlineStr">
        <is>
          <t>Record first supplied in this revision</t>
        </is>
      </c>
      <c r="E1336" s="12" t="inlineStr"/>
      <c r="F1336" s="65" t="inlineStr">
        <is>
          <t>10 EVIDENCE &amp; DECISIONS</t>
        </is>
      </c>
      <c r="G1336" s="14" t="n"/>
    </row>
    <row r="1337" ht="79" customHeight="1">
      <c r="A1337" s="12" t="inlineStr">
        <is>
          <t>R766-v1</t>
        </is>
      </c>
      <c r="B1337" s="12" t="inlineStr">
        <is>
          <t>SCH-05-046</t>
        </is>
      </c>
      <c r="C1337" s="12" t="inlineStr">
        <is>
          <t>New</t>
        </is>
      </c>
      <c r="D1337" s="12" t="inlineStr">
        <is>
          <t>Record first supplied in this revision</t>
        </is>
      </c>
      <c r="E1337" s="12" t="inlineStr"/>
      <c r="F1337" s="65" t="inlineStr">
        <is>
          <t>10 EVIDENCE &amp; DECISIONS</t>
        </is>
      </c>
      <c r="G1337" s="14" t="n"/>
    </row>
    <row r="1338" ht="79" customHeight="1">
      <c r="A1338" s="12" t="inlineStr">
        <is>
          <t>R767-v1</t>
        </is>
      </c>
      <c r="B1338" s="12" t="inlineStr">
        <is>
          <t>SCH-05-047</t>
        </is>
      </c>
      <c r="C1338" s="12" t="inlineStr">
        <is>
          <t>New</t>
        </is>
      </c>
      <c r="D1338" s="12" t="inlineStr">
        <is>
          <t>Record first supplied in this revision</t>
        </is>
      </c>
      <c r="E1338" s="12" t="inlineStr"/>
      <c r="F1338" s="65" t="inlineStr">
        <is>
          <t>10 EVIDENCE &amp; DECISIONS</t>
        </is>
      </c>
      <c r="G1338" s="14" t="n"/>
    </row>
    <row r="1339" ht="79" customHeight="1">
      <c r="A1339" s="12" t="inlineStr">
        <is>
          <t>R768-v1</t>
        </is>
      </c>
      <c r="B1339" s="12" t="inlineStr">
        <is>
          <t>SCH-05-048</t>
        </is>
      </c>
      <c r="C1339" s="12" t="inlineStr">
        <is>
          <t>New</t>
        </is>
      </c>
      <c r="D1339" s="12" t="inlineStr">
        <is>
          <t>Record first supplied in this revision</t>
        </is>
      </c>
      <c r="E1339" s="12" t="inlineStr"/>
      <c r="F1339" s="65" t="inlineStr">
        <is>
          <t>10 EVIDENCE &amp; DECISIONS</t>
        </is>
      </c>
      <c r="G1339" s="14" t="n"/>
    </row>
    <row r="1340" ht="79" customHeight="1">
      <c r="A1340" s="12" t="inlineStr">
        <is>
          <t>R769-v1</t>
        </is>
      </c>
      <c r="B1340" s="12" t="inlineStr">
        <is>
          <t>SCH-05-049</t>
        </is>
      </c>
      <c r="C1340" s="12" t="inlineStr">
        <is>
          <t>New</t>
        </is>
      </c>
      <c r="D1340" s="12" t="inlineStr">
        <is>
          <t>Record first supplied in this revision</t>
        </is>
      </c>
      <c r="E1340" s="12" t="inlineStr"/>
      <c r="F1340" s="65" t="inlineStr">
        <is>
          <t>10 EVIDENCE &amp; DECISIONS</t>
        </is>
      </c>
      <c r="G1340" s="14" t="n"/>
    </row>
    <row r="1341" ht="79" customHeight="1">
      <c r="A1341" s="12" t="inlineStr">
        <is>
          <t>R770-v1</t>
        </is>
      </c>
      <c r="B1341" s="12" t="inlineStr">
        <is>
          <t>SCH-05-050</t>
        </is>
      </c>
      <c r="C1341" s="12" t="inlineStr">
        <is>
          <t>New</t>
        </is>
      </c>
      <c r="D1341" s="12" t="inlineStr">
        <is>
          <t>Record first supplied in this revision</t>
        </is>
      </c>
      <c r="E1341" s="12" t="inlineStr"/>
      <c r="F1341" s="65" t="inlineStr">
        <is>
          <t>10 EVIDENCE &amp; DECISIONS</t>
        </is>
      </c>
      <c r="G1341" s="14" t="n"/>
    </row>
    <row r="1342" ht="79" customHeight="1">
      <c r="A1342" s="12" t="inlineStr">
        <is>
          <t>R771-v1</t>
        </is>
      </c>
      <c r="B1342" s="12" t="inlineStr">
        <is>
          <t>SCH-05-051</t>
        </is>
      </c>
      <c r="C1342" s="12" t="inlineStr">
        <is>
          <t>New</t>
        </is>
      </c>
      <c r="D1342" s="12" t="inlineStr">
        <is>
          <t>Record first supplied in this revision</t>
        </is>
      </c>
      <c r="E1342" s="12" t="inlineStr"/>
      <c r="F1342" s="65" t="inlineStr">
        <is>
          <t>10 EVIDENCE &amp; DECISIONS</t>
        </is>
      </c>
      <c r="G1342" s="14" t="n"/>
    </row>
    <row r="1343" ht="79" customHeight="1">
      <c r="A1343" s="12" t="inlineStr">
        <is>
          <t>R772-v1</t>
        </is>
      </c>
      <c r="B1343" s="12" t="inlineStr">
        <is>
          <t>SCH-05-052</t>
        </is>
      </c>
      <c r="C1343" s="12" t="inlineStr">
        <is>
          <t>New</t>
        </is>
      </c>
      <c r="D1343" s="12" t="inlineStr">
        <is>
          <t>Record first supplied in this revision</t>
        </is>
      </c>
      <c r="E1343" s="12" t="inlineStr"/>
      <c r="F1343" s="65" t="inlineStr">
        <is>
          <t>10 EVIDENCE &amp; DECISIONS</t>
        </is>
      </c>
      <c r="G1343" s="14" t="n"/>
    </row>
    <row r="1344" ht="79" customHeight="1">
      <c r="A1344" s="12" t="inlineStr">
        <is>
          <t>R773-v1</t>
        </is>
      </c>
      <c r="B1344" s="12" t="inlineStr">
        <is>
          <t>SCH-05-053</t>
        </is>
      </c>
      <c r="C1344" s="12" t="inlineStr">
        <is>
          <t>New</t>
        </is>
      </c>
      <c r="D1344" s="12" t="inlineStr">
        <is>
          <t>Record first supplied in this revision</t>
        </is>
      </c>
      <c r="E1344" s="12" t="inlineStr"/>
      <c r="F1344" s="65" t="inlineStr">
        <is>
          <t>10 EVIDENCE &amp; DECISIONS</t>
        </is>
      </c>
      <c r="G1344" s="14" t="n"/>
    </row>
    <row r="1345" ht="79" customHeight="1">
      <c r="A1345" s="12" t="inlineStr">
        <is>
          <t>R774-v1</t>
        </is>
      </c>
      <c r="B1345" s="12" t="inlineStr">
        <is>
          <t>SCH-05-054</t>
        </is>
      </c>
      <c r="C1345" s="12" t="inlineStr">
        <is>
          <t>New</t>
        </is>
      </c>
      <c r="D1345" s="12" t="inlineStr">
        <is>
          <t>Record first supplied in this revision</t>
        </is>
      </c>
      <c r="E1345" s="12" t="inlineStr"/>
      <c r="F1345" s="65" t="inlineStr">
        <is>
          <t>10 EVIDENCE &amp; DECISIONS</t>
        </is>
      </c>
      <c r="G1345" s="14" t="n"/>
    </row>
    <row r="1346" ht="79" customHeight="1">
      <c r="A1346" s="12" t="inlineStr">
        <is>
          <t>R775-v1</t>
        </is>
      </c>
      <c r="B1346" s="12" t="inlineStr">
        <is>
          <t>SCH-05-055</t>
        </is>
      </c>
      <c r="C1346" s="12" t="inlineStr">
        <is>
          <t>New</t>
        </is>
      </c>
      <c r="D1346" s="12" t="inlineStr">
        <is>
          <t>Record first supplied in this revision</t>
        </is>
      </c>
      <c r="E1346" s="12" t="inlineStr"/>
      <c r="F1346" s="65" t="inlineStr">
        <is>
          <t>10 EVIDENCE &amp; DECISIONS</t>
        </is>
      </c>
      <c r="G1346" s="14" t="n"/>
    </row>
    <row r="1347" ht="79" customHeight="1">
      <c r="A1347" s="12" t="inlineStr">
        <is>
          <t>R776-v1</t>
        </is>
      </c>
      <c r="B1347" s="12" t="inlineStr">
        <is>
          <t>SCH-05-056</t>
        </is>
      </c>
      <c r="C1347" s="12" t="inlineStr">
        <is>
          <t>New</t>
        </is>
      </c>
      <c r="D1347" s="12" t="inlineStr">
        <is>
          <t>Record first supplied in this revision</t>
        </is>
      </c>
      <c r="E1347" s="12" t="inlineStr"/>
      <c r="F1347" s="65" t="inlineStr">
        <is>
          <t>10 EVIDENCE &amp; DECISIONS</t>
        </is>
      </c>
      <c r="G1347" s="14" t="n"/>
    </row>
    <row r="1348" ht="79" customHeight="1">
      <c r="A1348" s="12" t="inlineStr">
        <is>
          <t>R777-v1</t>
        </is>
      </c>
      <c r="B1348" s="12" t="inlineStr">
        <is>
          <t>SCH-05-057</t>
        </is>
      </c>
      <c r="C1348" s="12" t="inlineStr">
        <is>
          <t>New</t>
        </is>
      </c>
      <c r="D1348" s="12" t="inlineStr">
        <is>
          <t>Record first supplied in this revision</t>
        </is>
      </c>
      <c r="E1348" s="12" t="inlineStr"/>
      <c r="F1348" s="65" t="inlineStr">
        <is>
          <t>10 EVIDENCE &amp; DECISIONS</t>
        </is>
      </c>
      <c r="G1348" s="14" t="n"/>
    </row>
    <row r="1349" ht="79" customHeight="1">
      <c r="A1349" s="12" t="inlineStr">
        <is>
          <t>R778-v1</t>
        </is>
      </c>
      <c r="B1349" s="12" t="inlineStr">
        <is>
          <t>SCH-05-058</t>
        </is>
      </c>
      <c r="C1349" s="12" t="inlineStr">
        <is>
          <t>New</t>
        </is>
      </c>
      <c r="D1349" s="12" t="inlineStr">
        <is>
          <t>Record first supplied in this revision</t>
        </is>
      </c>
      <c r="E1349" s="12" t="inlineStr"/>
      <c r="F1349" s="65" t="inlineStr">
        <is>
          <t>10 EVIDENCE &amp; DECISIONS</t>
        </is>
      </c>
      <c r="G1349" s="14" t="n"/>
    </row>
    <row r="1350" ht="79" customHeight="1">
      <c r="A1350" s="12" t="inlineStr">
        <is>
          <t>R779-v1</t>
        </is>
      </c>
      <c r="B1350" s="12" t="inlineStr">
        <is>
          <t>SCH-05-059</t>
        </is>
      </c>
      <c r="C1350" s="12" t="inlineStr">
        <is>
          <t>New</t>
        </is>
      </c>
      <c r="D1350" s="12" t="inlineStr">
        <is>
          <t>Record first supplied in this revision</t>
        </is>
      </c>
      <c r="E1350" s="12" t="inlineStr"/>
      <c r="F1350" s="65" t="inlineStr">
        <is>
          <t>10 EVIDENCE &amp; DECISIONS</t>
        </is>
      </c>
      <c r="G1350" s="14" t="n"/>
    </row>
    <row r="1351" ht="79" customHeight="1">
      <c r="A1351" s="12" t="inlineStr">
        <is>
          <t>R780-v1</t>
        </is>
      </c>
      <c r="B1351" s="12" t="inlineStr">
        <is>
          <t>SCH-05-060</t>
        </is>
      </c>
      <c r="C1351" s="12" t="inlineStr">
        <is>
          <t>New</t>
        </is>
      </c>
      <c r="D1351" s="12" t="inlineStr">
        <is>
          <t>Record first supplied in this revision</t>
        </is>
      </c>
      <c r="E1351" s="12" t="inlineStr"/>
      <c r="F1351" s="65" t="inlineStr">
        <is>
          <t>10 EVIDENCE &amp; DECISIONS</t>
        </is>
      </c>
      <c r="G1351" s="14" t="n"/>
    </row>
    <row r="1352" ht="79" customHeight="1">
      <c r="A1352" s="12" t="inlineStr">
        <is>
          <t>R781-v1</t>
        </is>
      </c>
      <c r="B1352" s="12" t="inlineStr">
        <is>
          <t>SCH-05-061</t>
        </is>
      </c>
      <c r="C1352" s="12" t="inlineStr">
        <is>
          <t>New</t>
        </is>
      </c>
      <c r="D1352" s="12" t="inlineStr">
        <is>
          <t>Record first supplied in this revision</t>
        </is>
      </c>
      <c r="E1352" s="12" t="inlineStr"/>
      <c r="F1352" s="65" t="inlineStr">
        <is>
          <t>10 EVIDENCE &amp; DECISIONS</t>
        </is>
      </c>
      <c r="G1352" s="14" t="n"/>
    </row>
    <row r="1353" ht="79" customHeight="1">
      <c r="A1353" s="12" t="inlineStr">
        <is>
          <t>R782-v1</t>
        </is>
      </c>
      <c r="B1353" s="12" t="inlineStr">
        <is>
          <t>SCH-05-062</t>
        </is>
      </c>
      <c r="C1353" s="12" t="inlineStr">
        <is>
          <t>New</t>
        </is>
      </c>
      <c r="D1353" s="12" t="inlineStr">
        <is>
          <t>Record first supplied in this revision</t>
        </is>
      </c>
      <c r="E1353" s="12" t="inlineStr"/>
      <c r="F1353" s="65" t="inlineStr">
        <is>
          <t>10 EVIDENCE &amp; DECISIONS</t>
        </is>
      </c>
      <c r="G1353" s="14" t="n"/>
    </row>
    <row r="1354" ht="79" customHeight="1">
      <c r="A1354" s="12" t="inlineStr">
        <is>
          <t>R783-v1</t>
        </is>
      </c>
      <c r="B1354" s="12" t="inlineStr">
        <is>
          <t>SCH-05-063</t>
        </is>
      </c>
      <c r="C1354" s="12" t="inlineStr">
        <is>
          <t>New</t>
        </is>
      </c>
      <c r="D1354" s="12" t="inlineStr">
        <is>
          <t>Record first supplied in this revision</t>
        </is>
      </c>
      <c r="E1354" s="12" t="inlineStr"/>
      <c r="F1354" s="65" t="inlineStr">
        <is>
          <t>10 EVIDENCE &amp; DECISIONS</t>
        </is>
      </c>
      <c r="G1354" s="14" t="n"/>
    </row>
    <row r="1355" ht="79" customHeight="1">
      <c r="A1355" s="12" t="inlineStr">
        <is>
          <t>R784-v1</t>
        </is>
      </c>
      <c r="B1355" s="12" t="inlineStr">
        <is>
          <t>SCH-05-064</t>
        </is>
      </c>
      <c r="C1355" s="12" t="inlineStr">
        <is>
          <t>New</t>
        </is>
      </c>
      <c r="D1355" s="12" t="inlineStr">
        <is>
          <t>Record first supplied in this revision</t>
        </is>
      </c>
      <c r="E1355" s="12" t="inlineStr"/>
      <c r="F1355" s="65" t="inlineStr">
        <is>
          <t>10 EVIDENCE &amp; DECISIONS</t>
        </is>
      </c>
      <c r="G1355" s="14" t="n"/>
    </row>
    <row r="1356" ht="79" customHeight="1">
      <c r="A1356" s="12" t="inlineStr">
        <is>
          <t>R785-v1</t>
        </is>
      </c>
      <c r="B1356" s="12" t="inlineStr">
        <is>
          <t>SCH-05-065</t>
        </is>
      </c>
      <c r="C1356" s="12" t="inlineStr">
        <is>
          <t>New</t>
        </is>
      </c>
      <c r="D1356" s="12" t="inlineStr">
        <is>
          <t>Record first supplied in this revision</t>
        </is>
      </c>
      <c r="E1356" s="12" t="inlineStr"/>
      <c r="F1356" s="65" t="inlineStr">
        <is>
          <t>10 EVIDENCE &amp; DECISIONS</t>
        </is>
      </c>
      <c r="G1356" s="14" t="n"/>
    </row>
    <row r="1357" ht="79" customHeight="1">
      <c r="A1357" s="12" t="inlineStr">
        <is>
          <t>R786-v1</t>
        </is>
      </c>
      <c r="B1357" s="12" t="inlineStr">
        <is>
          <t>SCH-05-066</t>
        </is>
      </c>
      <c r="C1357" s="12" t="inlineStr">
        <is>
          <t>New</t>
        </is>
      </c>
      <c r="D1357" s="12" t="inlineStr">
        <is>
          <t>Record first supplied in this revision</t>
        </is>
      </c>
      <c r="E1357" s="12" t="inlineStr"/>
      <c r="F1357" s="65" t="inlineStr">
        <is>
          <t>10 EVIDENCE &amp; DECISIONS</t>
        </is>
      </c>
      <c r="G1357" s="14" t="n"/>
    </row>
    <row r="1358" ht="79" customHeight="1">
      <c r="A1358" s="12" t="inlineStr">
        <is>
          <t>R787-v1</t>
        </is>
      </c>
      <c r="B1358" s="12" t="inlineStr">
        <is>
          <t>SCH-05-067</t>
        </is>
      </c>
      <c r="C1358" s="12" t="inlineStr">
        <is>
          <t>New</t>
        </is>
      </c>
      <c r="D1358" s="12" t="inlineStr">
        <is>
          <t>Record first supplied in this revision</t>
        </is>
      </c>
      <c r="E1358" s="12" t="inlineStr"/>
      <c r="F1358" s="65" t="inlineStr">
        <is>
          <t>10 EVIDENCE &amp; DECISIONS</t>
        </is>
      </c>
      <c r="G1358" s="14" t="n"/>
    </row>
    <row r="1359" ht="79" customHeight="1">
      <c r="A1359" s="12" t="inlineStr">
        <is>
          <t>R788-v1</t>
        </is>
      </c>
      <c r="B1359" s="12" t="inlineStr">
        <is>
          <t>SCH-05-068</t>
        </is>
      </c>
      <c r="C1359" s="12" t="inlineStr">
        <is>
          <t>New</t>
        </is>
      </c>
      <c r="D1359" s="12" t="inlineStr">
        <is>
          <t>Record first supplied in this revision</t>
        </is>
      </c>
      <c r="E1359" s="12" t="inlineStr"/>
      <c r="F1359" s="65" t="inlineStr">
        <is>
          <t>10 EVIDENCE &amp; DECISIONS</t>
        </is>
      </c>
      <c r="G1359" s="14" t="n"/>
    </row>
    <row r="1360" ht="79" customHeight="1">
      <c r="A1360" s="12" t="inlineStr">
        <is>
          <t>R789-v1</t>
        </is>
      </c>
      <c r="B1360" s="12" t="inlineStr">
        <is>
          <t>SCH-05-069</t>
        </is>
      </c>
      <c r="C1360" s="12" t="inlineStr">
        <is>
          <t>New</t>
        </is>
      </c>
      <c r="D1360" s="12" t="inlineStr">
        <is>
          <t>Record first supplied in this revision</t>
        </is>
      </c>
      <c r="E1360" s="12" t="inlineStr"/>
      <c r="F1360" s="65" t="inlineStr">
        <is>
          <t>10 EVIDENCE &amp; DECISIONS</t>
        </is>
      </c>
      <c r="G1360" s="14" t="n"/>
    </row>
    <row r="1361" ht="79" customHeight="1">
      <c r="A1361" s="12" t="inlineStr">
        <is>
          <t>R790-v1</t>
        </is>
      </c>
      <c r="B1361" s="12" t="inlineStr">
        <is>
          <t>SCH-05-070</t>
        </is>
      </c>
      <c r="C1361" s="12" t="inlineStr">
        <is>
          <t>New</t>
        </is>
      </c>
      <c r="D1361" s="12" t="inlineStr">
        <is>
          <t>Record first supplied in this revision</t>
        </is>
      </c>
      <c r="E1361" s="12" t="inlineStr"/>
      <c r="F1361" s="65" t="inlineStr">
        <is>
          <t>10 EVIDENCE &amp; DECISIONS</t>
        </is>
      </c>
      <c r="G1361" s="14" t="n"/>
    </row>
    <row r="1362" ht="79" customHeight="1">
      <c r="A1362" s="12" t="inlineStr">
        <is>
          <t>R791-v1</t>
        </is>
      </c>
      <c r="B1362" s="12" t="inlineStr">
        <is>
          <t>SCH-05-071</t>
        </is>
      </c>
      <c r="C1362" s="12" t="inlineStr">
        <is>
          <t>New</t>
        </is>
      </c>
      <c r="D1362" s="12" t="inlineStr">
        <is>
          <t>Record first supplied in this revision</t>
        </is>
      </c>
      <c r="E1362" s="12" t="inlineStr"/>
      <c r="F1362" s="65" t="inlineStr">
        <is>
          <t>10 EVIDENCE &amp; DECISIONS</t>
        </is>
      </c>
      <c r="G1362" s="14" t="n"/>
    </row>
    <row r="1363" ht="79" customHeight="1">
      <c r="A1363" s="12" t="inlineStr">
        <is>
          <t>R792-v1</t>
        </is>
      </c>
      <c r="B1363" s="12" t="inlineStr">
        <is>
          <t>SCH-05-072</t>
        </is>
      </c>
      <c r="C1363" s="12" t="inlineStr">
        <is>
          <t>New</t>
        </is>
      </c>
      <c r="D1363" s="12" t="inlineStr">
        <is>
          <t>Record first supplied in this revision</t>
        </is>
      </c>
      <c r="E1363" s="12" t="inlineStr"/>
      <c r="F1363" s="65" t="inlineStr">
        <is>
          <t>10 EVIDENCE &amp; DECISIONS</t>
        </is>
      </c>
      <c r="G1363" s="14" t="n"/>
    </row>
    <row r="1364" ht="79" customHeight="1">
      <c r="A1364" s="12" t="inlineStr">
        <is>
          <t>R793-v1</t>
        </is>
      </c>
      <c r="B1364" s="12" t="inlineStr">
        <is>
          <t>SCH-05-073</t>
        </is>
      </c>
      <c r="C1364" s="12" t="inlineStr">
        <is>
          <t>New</t>
        </is>
      </c>
      <c r="D1364" s="12" t="inlineStr">
        <is>
          <t>Record first supplied in this revision</t>
        </is>
      </c>
      <c r="E1364" s="12" t="inlineStr"/>
      <c r="F1364" s="65" t="inlineStr">
        <is>
          <t>10 EVIDENCE &amp; DECISIONS</t>
        </is>
      </c>
      <c r="G1364" s="14" t="n"/>
    </row>
    <row r="1365" ht="79" customHeight="1">
      <c r="A1365" s="12" t="inlineStr">
        <is>
          <t>R794-v1</t>
        </is>
      </c>
      <c r="B1365" s="12" t="inlineStr">
        <is>
          <t>SCH-05-074</t>
        </is>
      </c>
      <c r="C1365" s="12" t="inlineStr">
        <is>
          <t>New</t>
        </is>
      </c>
      <c r="D1365" s="12" t="inlineStr">
        <is>
          <t>Record first supplied in this revision</t>
        </is>
      </c>
      <c r="E1365" s="12" t="inlineStr"/>
      <c r="F1365" s="65" t="inlineStr">
        <is>
          <t>10 EVIDENCE &amp; DECISIONS</t>
        </is>
      </c>
      <c r="G1365" s="14" t="n"/>
    </row>
    <row r="1366" ht="79" customHeight="1">
      <c r="A1366" s="12" t="inlineStr">
        <is>
          <t>R795-v1</t>
        </is>
      </c>
      <c r="B1366" s="12" t="inlineStr">
        <is>
          <t>SCH-05-075</t>
        </is>
      </c>
      <c r="C1366" s="12" t="inlineStr">
        <is>
          <t>New</t>
        </is>
      </c>
      <c r="D1366" s="12" t="inlineStr">
        <is>
          <t>Record first supplied in this revision</t>
        </is>
      </c>
      <c r="E1366" s="12" t="inlineStr"/>
      <c r="F1366" s="65" t="inlineStr">
        <is>
          <t>10 EVIDENCE &amp; DECISIONS</t>
        </is>
      </c>
      <c r="G1366" s="14" t="n"/>
    </row>
    <row r="1367" ht="79" customHeight="1">
      <c r="A1367" s="12" t="inlineStr">
        <is>
          <t>R796-v1</t>
        </is>
      </c>
      <c r="B1367" s="12" t="inlineStr">
        <is>
          <t>SCH-05-076</t>
        </is>
      </c>
      <c r="C1367" s="12" t="inlineStr">
        <is>
          <t>New</t>
        </is>
      </c>
      <c r="D1367" s="12" t="inlineStr">
        <is>
          <t>Record first supplied in this revision</t>
        </is>
      </c>
      <c r="E1367" s="12" t="inlineStr"/>
      <c r="F1367" s="65" t="inlineStr">
        <is>
          <t>10 EVIDENCE &amp; DECISIONS</t>
        </is>
      </c>
      <c r="G1367" s="14" t="n"/>
    </row>
    <row r="1368" ht="79" customHeight="1">
      <c r="A1368" s="12" t="inlineStr">
        <is>
          <t>R797-v1</t>
        </is>
      </c>
      <c r="B1368" s="12" t="inlineStr">
        <is>
          <t>SCH-05-077</t>
        </is>
      </c>
      <c r="C1368" s="12" t="inlineStr">
        <is>
          <t>New</t>
        </is>
      </c>
      <c r="D1368" s="12" t="inlineStr">
        <is>
          <t>Record first supplied in this revision</t>
        </is>
      </c>
      <c r="E1368" s="12" t="inlineStr"/>
      <c r="F1368" s="65" t="inlineStr">
        <is>
          <t>10 EVIDENCE &amp; DECISIONS</t>
        </is>
      </c>
      <c r="G1368" s="14" t="n"/>
    </row>
    <row r="1369" ht="79" customHeight="1">
      <c r="A1369" s="12" t="inlineStr">
        <is>
          <t>R798-v1</t>
        </is>
      </c>
      <c r="B1369" s="12" t="inlineStr">
        <is>
          <t>SCH-05-078</t>
        </is>
      </c>
      <c r="C1369" s="12" t="inlineStr">
        <is>
          <t>New</t>
        </is>
      </c>
      <c r="D1369" s="12" t="inlineStr">
        <is>
          <t>Record first supplied in this revision</t>
        </is>
      </c>
      <c r="E1369" s="12" t="inlineStr"/>
      <c r="F1369" s="65" t="inlineStr">
        <is>
          <t>10 EVIDENCE &amp; DECISIONS</t>
        </is>
      </c>
      <c r="G1369" s="14" t="n"/>
    </row>
    <row r="1370" ht="79" customHeight="1">
      <c r="A1370" s="12" t="inlineStr">
        <is>
          <t>R799-v1</t>
        </is>
      </c>
      <c r="B1370" s="12" t="inlineStr">
        <is>
          <t>SCH-05-079</t>
        </is>
      </c>
      <c r="C1370" s="12" t="inlineStr">
        <is>
          <t>New</t>
        </is>
      </c>
      <c r="D1370" s="12" t="inlineStr">
        <is>
          <t>Record first supplied in this revision</t>
        </is>
      </c>
      <c r="E1370" s="12" t="inlineStr"/>
      <c r="F1370" s="65" t="inlineStr">
        <is>
          <t>10 EVIDENCE &amp; DECISIONS</t>
        </is>
      </c>
      <c r="G1370" s="14" t="n"/>
    </row>
    <row r="1371" ht="79" customHeight="1">
      <c r="A1371" s="12" t="inlineStr">
        <is>
          <t>R800-v1</t>
        </is>
      </c>
      <c r="B1371" s="12" t="inlineStr">
        <is>
          <t>SCH-05-080</t>
        </is>
      </c>
      <c r="C1371" s="12" t="inlineStr">
        <is>
          <t>New</t>
        </is>
      </c>
      <c r="D1371" s="12" t="inlineStr">
        <is>
          <t>Record first supplied in this revision</t>
        </is>
      </c>
      <c r="E1371" s="12" t="inlineStr"/>
      <c r="F1371" s="65" t="inlineStr">
        <is>
          <t>10 EVIDENCE &amp; DECISIONS</t>
        </is>
      </c>
      <c r="G1371" s="14" t="n"/>
    </row>
    <row r="1372" ht="79" customHeight="1">
      <c r="A1372" s="12" t="inlineStr">
        <is>
          <t>R801-v1</t>
        </is>
      </c>
      <c r="B1372" s="12" t="inlineStr">
        <is>
          <t>SCH-05-081</t>
        </is>
      </c>
      <c r="C1372" s="12" t="inlineStr">
        <is>
          <t>New</t>
        </is>
      </c>
      <c r="D1372" s="12" t="inlineStr">
        <is>
          <t>Record first supplied in this revision</t>
        </is>
      </c>
      <c r="E1372" s="12" t="inlineStr"/>
      <c r="F1372" s="65" t="inlineStr">
        <is>
          <t>10 EVIDENCE &amp; DECISIONS</t>
        </is>
      </c>
      <c r="G1372" s="14" t="n"/>
    </row>
    <row r="1373" ht="79" customHeight="1">
      <c r="A1373" s="12" t="inlineStr">
        <is>
          <t>R802-v1</t>
        </is>
      </c>
      <c r="B1373" s="12" t="inlineStr">
        <is>
          <t>SCH-05-082</t>
        </is>
      </c>
      <c r="C1373" s="12" t="inlineStr">
        <is>
          <t>New</t>
        </is>
      </c>
      <c r="D1373" s="12" t="inlineStr">
        <is>
          <t>Record first supplied in this revision</t>
        </is>
      </c>
      <c r="E1373" s="12" t="inlineStr"/>
      <c r="F1373" s="65" t="inlineStr">
        <is>
          <t>10 EVIDENCE &amp; DECISIONS</t>
        </is>
      </c>
      <c r="G1373" s="14" t="n"/>
    </row>
    <row r="1374" ht="79" customHeight="1">
      <c r="A1374" s="12" t="inlineStr">
        <is>
          <t>R803-v1</t>
        </is>
      </c>
      <c r="B1374" s="12" t="inlineStr">
        <is>
          <t>SCH-05-083</t>
        </is>
      </c>
      <c r="C1374" s="12" t="inlineStr">
        <is>
          <t>New</t>
        </is>
      </c>
      <c r="D1374" s="12" t="inlineStr">
        <is>
          <t>Record first supplied in this revision</t>
        </is>
      </c>
      <c r="E1374" s="12" t="inlineStr"/>
      <c r="F1374" s="65" t="inlineStr">
        <is>
          <t>10 EVIDENCE &amp; DECISIONS</t>
        </is>
      </c>
      <c r="G1374" s="14" t="n"/>
    </row>
    <row r="1375" ht="79" customHeight="1">
      <c r="A1375" s="12" t="inlineStr">
        <is>
          <t>R804-v1</t>
        </is>
      </c>
      <c r="B1375" s="12" t="inlineStr">
        <is>
          <t>SCH-05-084</t>
        </is>
      </c>
      <c r="C1375" s="12" t="inlineStr">
        <is>
          <t>New</t>
        </is>
      </c>
      <c r="D1375" s="12" t="inlineStr">
        <is>
          <t>Record first supplied in this revision</t>
        </is>
      </c>
      <c r="E1375" s="12" t="inlineStr"/>
      <c r="F1375" s="65" t="inlineStr">
        <is>
          <t>10 EVIDENCE &amp; DECISIONS</t>
        </is>
      </c>
      <c r="G1375" s="14" t="n"/>
    </row>
    <row r="1376" ht="79" customHeight="1">
      <c r="A1376" s="12" t="inlineStr">
        <is>
          <t>R805-v1</t>
        </is>
      </c>
      <c r="B1376" s="12" t="inlineStr">
        <is>
          <t>SCH-05-085</t>
        </is>
      </c>
      <c r="C1376" s="12" t="inlineStr">
        <is>
          <t>New</t>
        </is>
      </c>
      <c r="D1376" s="12" t="inlineStr">
        <is>
          <t>Record first supplied in this revision</t>
        </is>
      </c>
      <c r="E1376" s="12" t="inlineStr"/>
      <c r="F1376" s="65" t="inlineStr">
        <is>
          <t>10 EVIDENCE &amp; DECISIONS</t>
        </is>
      </c>
      <c r="G1376" s="14" t="n"/>
    </row>
    <row r="1377" ht="79" customHeight="1">
      <c r="A1377" s="12" t="inlineStr">
        <is>
          <t>R806-v1</t>
        </is>
      </c>
      <c r="B1377" s="12" t="inlineStr">
        <is>
          <t>SCH-05-086</t>
        </is>
      </c>
      <c r="C1377" s="12" t="inlineStr">
        <is>
          <t>New</t>
        </is>
      </c>
      <c r="D1377" s="12" t="inlineStr">
        <is>
          <t>Record first supplied in this revision</t>
        </is>
      </c>
      <c r="E1377" s="12" t="inlineStr"/>
      <c r="F1377" s="65" t="inlineStr">
        <is>
          <t>10 EVIDENCE &amp; DECISIONS</t>
        </is>
      </c>
      <c r="G1377" s="14" t="n"/>
    </row>
    <row r="1378" ht="79" customHeight="1">
      <c r="A1378" s="12" t="inlineStr">
        <is>
          <t>R807-v1</t>
        </is>
      </c>
      <c r="B1378" s="12" t="inlineStr">
        <is>
          <t>SCH-05-087</t>
        </is>
      </c>
      <c r="C1378" s="12" t="inlineStr">
        <is>
          <t>New</t>
        </is>
      </c>
      <c r="D1378" s="12" t="inlineStr">
        <is>
          <t>Record first supplied in this revision</t>
        </is>
      </c>
      <c r="E1378" s="12" t="inlineStr"/>
      <c r="F1378" s="65" t="inlineStr">
        <is>
          <t>10 EVIDENCE &amp; DECISIONS</t>
        </is>
      </c>
      <c r="G1378" s="14" t="n"/>
    </row>
    <row r="1379" ht="79" customHeight="1">
      <c r="A1379" s="12" t="inlineStr">
        <is>
          <t>R808-v1</t>
        </is>
      </c>
      <c r="B1379" s="12" t="inlineStr">
        <is>
          <t>SCH-05-088</t>
        </is>
      </c>
      <c r="C1379" s="12" t="inlineStr">
        <is>
          <t>New</t>
        </is>
      </c>
      <c r="D1379" s="12" t="inlineStr">
        <is>
          <t>Record first supplied in this revision</t>
        </is>
      </c>
      <c r="E1379" s="12" t="inlineStr"/>
      <c r="F1379" s="65" t="inlineStr">
        <is>
          <t>10 EVIDENCE &amp; DECISIONS</t>
        </is>
      </c>
      <c r="G1379" s="14" t="n"/>
    </row>
    <row r="1380" ht="79" customHeight="1">
      <c r="A1380" s="12" t="inlineStr">
        <is>
          <t>R809-v1</t>
        </is>
      </c>
      <c r="B1380" s="12" t="inlineStr">
        <is>
          <t>SCH-05-089</t>
        </is>
      </c>
      <c r="C1380" s="12" t="inlineStr">
        <is>
          <t>New</t>
        </is>
      </c>
      <c r="D1380" s="12" t="inlineStr">
        <is>
          <t>Record first supplied in this revision</t>
        </is>
      </c>
      <c r="E1380" s="12" t="inlineStr"/>
      <c r="F1380" s="65" t="inlineStr">
        <is>
          <t>10 EVIDENCE &amp; DECISIONS</t>
        </is>
      </c>
      <c r="G1380" s="14" t="n"/>
    </row>
    <row r="1381" ht="79" customHeight="1">
      <c r="A1381" s="12" t="inlineStr">
        <is>
          <t>R810-v1</t>
        </is>
      </c>
      <c r="B1381" s="12" t="inlineStr">
        <is>
          <t>SCH-05-090</t>
        </is>
      </c>
      <c r="C1381" s="12" t="inlineStr">
        <is>
          <t>New</t>
        </is>
      </c>
      <c r="D1381" s="12" t="inlineStr">
        <is>
          <t>Record first supplied in this revision</t>
        </is>
      </c>
      <c r="E1381" s="12" t="inlineStr"/>
      <c r="F1381" s="65" t="inlineStr">
        <is>
          <t>10 EVIDENCE &amp; DECISIONS</t>
        </is>
      </c>
      <c r="G1381" s="14" t="n"/>
    </row>
    <row r="1382" ht="79" customHeight="1">
      <c r="A1382" s="12" t="inlineStr">
        <is>
          <t>R811-v1</t>
        </is>
      </c>
      <c r="B1382" s="12" t="inlineStr">
        <is>
          <t>SCH-05-091</t>
        </is>
      </c>
      <c r="C1382" s="12" t="inlineStr">
        <is>
          <t>New</t>
        </is>
      </c>
      <c r="D1382" s="12" t="inlineStr">
        <is>
          <t>Record first supplied in this revision</t>
        </is>
      </c>
      <c r="E1382" s="12" t="inlineStr"/>
      <c r="F1382" s="65" t="inlineStr">
        <is>
          <t>10 EVIDENCE &amp; DECISIONS</t>
        </is>
      </c>
      <c r="G1382" s="14" t="n"/>
    </row>
    <row r="1383" ht="79" customHeight="1">
      <c r="A1383" s="12" t="inlineStr">
        <is>
          <t>R812-v1</t>
        </is>
      </c>
      <c r="B1383" s="12" t="inlineStr">
        <is>
          <t>SCH-05-092</t>
        </is>
      </c>
      <c r="C1383" s="12" t="inlineStr">
        <is>
          <t>New</t>
        </is>
      </c>
      <c r="D1383" s="12" t="inlineStr">
        <is>
          <t>Record first supplied in this revision</t>
        </is>
      </c>
      <c r="E1383" s="12" t="inlineStr"/>
      <c r="F1383" s="65" t="inlineStr">
        <is>
          <t>10 EVIDENCE &amp; DECISIONS</t>
        </is>
      </c>
      <c r="G1383" s="14" t="n"/>
    </row>
    <row r="1384" ht="79" customHeight="1">
      <c r="A1384" s="12" t="inlineStr">
        <is>
          <t>R813-v1</t>
        </is>
      </c>
      <c r="B1384" s="12" t="inlineStr">
        <is>
          <t>SCH-05-093</t>
        </is>
      </c>
      <c r="C1384" s="12" t="inlineStr">
        <is>
          <t>New</t>
        </is>
      </c>
      <c r="D1384" s="12" t="inlineStr">
        <is>
          <t>Record first supplied in this revision</t>
        </is>
      </c>
      <c r="E1384" s="12" t="inlineStr"/>
      <c r="F1384" s="65" t="inlineStr">
        <is>
          <t>10 EVIDENCE &amp; DECISIONS</t>
        </is>
      </c>
      <c r="G1384" s="14" t="n"/>
    </row>
    <row r="1385" ht="79" customHeight="1">
      <c r="A1385" s="12" t="inlineStr">
        <is>
          <t>R814-v1</t>
        </is>
      </c>
      <c r="B1385" s="12" t="inlineStr">
        <is>
          <t>SCH-05-094</t>
        </is>
      </c>
      <c r="C1385" s="12" t="inlineStr">
        <is>
          <t>New</t>
        </is>
      </c>
      <c r="D1385" s="12" t="inlineStr">
        <is>
          <t>Record first supplied in this revision</t>
        </is>
      </c>
      <c r="E1385" s="12" t="inlineStr"/>
      <c r="F1385" s="65" t="inlineStr">
        <is>
          <t>10 EVIDENCE &amp; DECISIONS</t>
        </is>
      </c>
      <c r="G1385" s="14" t="n"/>
    </row>
    <row r="1386" ht="79" customHeight="1">
      <c r="A1386" s="12" t="inlineStr">
        <is>
          <t>R815-v1</t>
        </is>
      </c>
      <c r="B1386" s="12" t="inlineStr">
        <is>
          <t>SCH-05-095</t>
        </is>
      </c>
      <c r="C1386" s="12" t="inlineStr">
        <is>
          <t>New</t>
        </is>
      </c>
      <c r="D1386" s="12" t="inlineStr">
        <is>
          <t>Record first supplied in this revision</t>
        </is>
      </c>
      <c r="E1386" s="12" t="inlineStr"/>
      <c r="F1386" s="65" t="inlineStr">
        <is>
          <t>10 EVIDENCE &amp; DECISIONS</t>
        </is>
      </c>
      <c r="G1386" s="14" t="n"/>
    </row>
    <row r="1387" ht="79" customHeight="1">
      <c r="A1387" s="12" t="inlineStr">
        <is>
          <t>R816-v1</t>
        </is>
      </c>
      <c r="B1387" s="12" t="inlineStr">
        <is>
          <t>SCH-05-096</t>
        </is>
      </c>
      <c r="C1387" s="12" t="inlineStr">
        <is>
          <t>New</t>
        </is>
      </c>
      <c r="D1387" s="12" t="inlineStr">
        <is>
          <t>Record first supplied in this revision</t>
        </is>
      </c>
      <c r="E1387" s="12" t="inlineStr"/>
      <c r="F1387" s="65" t="inlineStr">
        <is>
          <t>10 EVIDENCE &amp; DECISIONS</t>
        </is>
      </c>
      <c r="G1387" s="14" t="n"/>
    </row>
    <row r="1388" ht="79" customHeight="1">
      <c r="A1388" s="12" t="inlineStr">
        <is>
          <t>R817-v1</t>
        </is>
      </c>
      <c r="B1388" s="12" t="inlineStr">
        <is>
          <t>SCH-05-097</t>
        </is>
      </c>
      <c r="C1388" s="12" t="inlineStr">
        <is>
          <t>New</t>
        </is>
      </c>
      <c r="D1388" s="12" t="inlineStr">
        <is>
          <t>Record first supplied in this revision</t>
        </is>
      </c>
      <c r="E1388" s="12" t="inlineStr"/>
      <c r="F1388" s="65" t="inlineStr">
        <is>
          <t>10 EVIDENCE &amp; DECISIONS</t>
        </is>
      </c>
      <c r="G1388" s="14" t="n"/>
    </row>
    <row r="1389" ht="79" customHeight="1">
      <c r="A1389" s="12" t="inlineStr">
        <is>
          <t>R818-v1</t>
        </is>
      </c>
      <c r="B1389" s="12" t="inlineStr">
        <is>
          <t>SCH-05-098</t>
        </is>
      </c>
      <c r="C1389" s="12" t="inlineStr">
        <is>
          <t>New</t>
        </is>
      </c>
      <c r="D1389" s="12" t="inlineStr">
        <is>
          <t>Record first supplied in this revision</t>
        </is>
      </c>
      <c r="E1389" s="12" t="inlineStr"/>
      <c r="F1389" s="65" t="inlineStr">
        <is>
          <t>10 EVIDENCE &amp; DECISIONS</t>
        </is>
      </c>
      <c r="G1389" s="14" t="n"/>
    </row>
    <row r="1390" ht="79" customHeight="1">
      <c r="A1390" s="12" t="inlineStr">
        <is>
          <t>R819-v1</t>
        </is>
      </c>
      <c r="B1390" s="12" t="inlineStr">
        <is>
          <t>SCH-05-099</t>
        </is>
      </c>
      <c r="C1390" s="12" t="inlineStr">
        <is>
          <t>New</t>
        </is>
      </c>
      <c r="D1390" s="12" t="inlineStr">
        <is>
          <t>Record first supplied in this revision</t>
        </is>
      </c>
      <c r="E1390" s="12" t="inlineStr"/>
      <c r="F1390" s="65" t="inlineStr">
        <is>
          <t>10 EVIDENCE &amp; DECISIONS</t>
        </is>
      </c>
      <c r="G1390" s="14" t="n"/>
    </row>
    <row r="1391" ht="79" customHeight="1">
      <c r="A1391" s="12" t="inlineStr">
        <is>
          <t>R820-v1</t>
        </is>
      </c>
      <c r="B1391" s="12" t="inlineStr">
        <is>
          <t>SCH-05-100</t>
        </is>
      </c>
      <c r="C1391" s="12" t="inlineStr">
        <is>
          <t>New</t>
        </is>
      </c>
      <c r="D1391" s="12" t="inlineStr">
        <is>
          <t>Record first supplied in this revision</t>
        </is>
      </c>
      <c r="E1391" s="12" t="inlineStr"/>
      <c r="F1391" s="65" t="inlineStr">
        <is>
          <t>10 EVIDENCE &amp; DECISIONS</t>
        </is>
      </c>
      <c r="G1391" s="14" t="n"/>
    </row>
    <row r="1392" ht="79" customHeight="1">
      <c r="A1392" s="12" t="inlineStr">
        <is>
          <t>R821-v1</t>
        </is>
      </c>
      <c r="B1392" s="12" t="inlineStr">
        <is>
          <t>SCH-05-101</t>
        </is>
      </c>
      <c r="C1392" s="12" t="inlineStr">
        <is>
          <t>New</t>
        </is>
      </c>
      <c r="D1392" s="12" t="inlineStr">
        <is>
          <t>Record first supplied in this revision</t>
        </is>
      </c>
      <c r="E1392" s="12" t="inlineStr"/>
      <c r="F1392" s="65" t="inlineStr">
        <is>
          <t>10 EVIDENCE &amp; DECISIONS</t>
        </is>
      </c>
      <c r="G1392" s="14" t="n"/>
    </row>
    <row r="1393" ht="79" customHeight="1">
      <c r="A1393" s="12" t="inlineStr">
        <is>
          <t>R822-v1</t>
        </is>
      </c>
      <c r="B1393" s="12" t="inlineStr">
        <is>
          <t>SCH-05-102</t>
        </is>
      </c>
      <c r="C1393" s="12" t="inlineStr">
        <is>
          <t>New</t>
        </is>
      </c>
      <c r="D1393" s="12" t="inlineStr">
        <is>
          <t>Record first supplied in this revision</t>
        </is>
      </c>
      <c r="E1393" s="12" t="inlineStr"/>
      <c r="F1393" s="65" t="inlineStr">
        <is>
          <t>10 EVIDENCE &amp; DECISIONS</t>
        </is>
      </c>
      <c r="G1393" s="14" t="n"/>
    </row>
    <row r="1394" ht="79" customHeight="1">
      <c r="A1394" s="12" t="inlineStr">
        <is>
          <t>R823-v1</t>
        </is>
      </c>
      <c r="B1394" s="12" t="inlineStr">
        <is>
          <t>SCH-05-103</t>
        </is>
      </c>
      <c r="C1394" s="12" t="inlineStr">
        <is>
          <t>New</t>
        </is>
      </c>
      <c r="D1394" s="12" t="inlineStr">
        <is>
          <t>Record first supplied in this revision</t>
        </is>
      </c>
      <c r="E1394" s="12" t="inlineStr"/>
      <c r="F1394" s="65" t="inlineStr">
        <is>
          <t>10 EVIDENCE &amp; DECISIONS</t>
        </is>
      </c>
      <c r="G1394" s="14" t="n"/>
    </row>
    <row r="1395" ht="79" customHeight="1">
      <c r="A1395" s="12" t="inlineStr">
        <is>
          <t>R824-v1</t>
        </is>
      </c>
      <c r="B1395" s="12" t="inlineStr">
        <is>
          <t>SCH-05-104</t>
        </is>
      </c>
      <c r="C1395" s="12" t="inlineStr">
        <is>
          <t>New</t>
        </is>
      </c>
      <c r="D1395" s="12" t="inlineStr">
        <is>
          <t>Record first supplied in this revision</t>
        </is>
      </c>
      <c r="E1395" s="12" t="inlineStr"/>
      <c r="F1395" s="65" t="inlineStr">
        <is>
          <t>10 EVIDENCE &amp; DECISIONS</t>
        </is>
      </c>
      <c r="G1395" s="14" t="n"/>
    </row>
    <row r="1396" ht="79" customHeight="1">
      <c r="A1396" s="12" t="inlineStr">
        <is>
          <t>R825-v1</t>
        </is>
      </c>
      <c r="B1396" s="12" t="inlineStr">
        <is>
          <t>SCH-05-105</t>
        </is>
      </c>
      <c r="C1396" s="12" t="inlineStr">
        <is>
          <t>New</t>
        </is>
      </c>
      <c r="D1396" s="12" t="inlineStr">
        <is>
          <t>Record first supplied in this revision</t>
        </is>
      </c>
      <c r="E1396" s="12" t="inlineStr"/>
      <c r="F1396" s="65" t="inlineStr">
        <is>
          <t>10 EVIDENCE &amp; DECISIONS</t>
        </is>
      </c>
      <c r="G1396" s="14" t="n"/>
    </row>
    <row r="1397" ht="79" customHeight="1">
      <c r="A1397" s="12" t="inlineStr">
        <is>
          <t>R826-v1</t>
        </is>
      </c>
      <c r="B1397" s="12" t="inlineStr">
        <is>
          <t>SCH-05-106</t>
        </is>
      </c>
      <c r="C1397" s="12" t="inlineStr">
        <is>
          <t>New</t>
        </is>
      </c>
      <c r="D1397" s="12" t="inlineStr">
        <is>
          <t>Record first supplied in this revision</t>
        </is>
      </c>
      <c r="E1397" s="12" t="inlineStr"/>
      <c r="F1397" s="65" t="inlineStr">
        <is>
          <t>10 EVIDENCE &amp; DECISIONS</t>
        </is>
      </c>
      <c r="G1397" s="14" t="n"/>
    </row>
    <row r="1398" ht="79" customHeight="1">
      <c r="A1398" s="12" t="inlineStr">
        <is>
          <t>R827-v1</t>
        </is>
      </c>
      <c r="B1398" s="12" t="inlineStr">
        <is>
          <t>SCH-05-107</t>
        </is>
      </c>
      <c r="C1398" s="12" t="inlineStr">
        <is>
          <t>New</t>
        </is>
      </c>
      <c r="D1398" s="12" t="inlineStr">
        <is>
          <t>Record first supplied in this revision</t>
        </is>
      </c>
      <c r="E1398" s="12" t="inlineStr"/>
      <c r="F1398" s="65" t="inlineStr">
        <is>
          <t>10 EVIDENCE &amp; DECISIONS</t>
        </is>
      </c>
      <c r="G1398" s="14" t="n"/>
    </row>
    <row r="1399" ht="79" customHeight="1">
      <c r="A1399" s="12" t="inlineStr">
        <is>
          <t>R828-v1</t>
        </is>
      </c>
      <c r="B1399" s="12" t="inlineStr">
        <is>
          <t>SCH-05-108</t>
        </is>
      </c>
      <c r="C1399" s="12" t="inlineStr">
        <is>
          <t>New</t>
        </is>
      </c>
      <c r="D1399" s="12" t="inlineStr">
        <is>
          <t>Record first supplied in this revision</t>
        </is>
      </c>
      <c r="E1399" s="12" t="inlineStr"/>
      <c r="F1399" s="65" t="inlineStr">
        <is>
          <t>10 EVIDENCE &amp; DECISIONS</t>
        </is>
      </c>
      <c r="G1399" s="14" t="n"/>
    </row>
    <row r="1400" ht="79" customHeight="1">
      <c r="A1400" s="12" t="inlineStr">
        <is>
          <t>R829-v1</t>
        </is>
      </c>
      <c r="B1400" s="12" t="inlineStr">
        <is>
          <t>SCH-05-109</t>
        </is>
      </c>
      <c r="C1400" s="12" t="inlineStr">
        <is>
          <t>New</t>
        </is>
      </c>
      <c r="D1400" s="12" t="inlineStr">
        <is>
          <t>Record first supplied in this revision</t>
        </is>
      </c>
      <c r="E1400" s="12" t="inlineStr"/>
      <c r="F1400" s="65" t="inlineStr">
        <is>
          <t>10 EVIDENCE &amp; DECISIONS</t>
        </is>
      </c>
      <c r="G1400" s="14" t="n"/>
    </row>
    <row r="1401" ht="79" customHeight="1">
      <c r="A1401" s="12" t="inlineStr">
        <is>
          <t>R830-v1</t>
        </is>
      </c>
      <c r="B1401" s="12" t="inlineStr">
        <is>
          <t>SCH-05-110</t>
        </is>
      </c>
      <c r="C1401" s="12" t="inlineStr">
        <is>
          <t>New</t>
        </is>
      </c>
      <c r="D1401" s="12" t="inlineStr">
        <is>
          <t>Record first supplied in this revision</t>
        </is>
      </c>
      <c r="E1401" s="12" t="inlineStr"/>
      <c r="F1401" s="65" t="inlineStr">
        <is>
          <t>10 EVIDENCE &amp; DECISIONS</t>
        </is>
      </c>
      <c r="G1401" s="14" t="n"/>
    </row>
    <row r="1402" ht="79" customHeight="1">
      <c r="A1402" s="12" t="inlineStr">
        <is>
          <t>R831-v1</t>
        </is>
      </c>
      <c r="B1402" s="12" t="inlineStr">
        <is>
          <t>SCH-05-111</t>
        </is>
      </c>
      <c r="C1402" s="12" t="inlineStr">
        <is>
          <t>New</t>
        </is>
      </c>
      <c r="D1402" s="12" t="inlineStr">
        <is>
          <t>Record first supplied in this revision</t>
        </is>
      </c>
      <c r="E1402" s="12" t="inlineStr"/>
      <c r="F1402" s="65" t="inlineStr">
        <is>
          <t>10 EVIDENCE &amp; DECISIONS</t>
        </is>
      </c>
      <c r="G1402" s="14" t="n"/>
    </row>
    <row r="1403" ht="79" customHeight="1">
      <c r="A1403" s="12" t="inlineStr">
        <is>
          <t>R832-v1</t>
        </is>
      </c>
      <c r="B1403" s="12" t="inlineStr">
        <is>
          <t>SCH-05-112</t>
        </is>
      </c>
      <c r="C1403" s="12" t="inlineStr">
        <is>
          <t>New</t>
        </is>
      </c>
      <c r="D1403" s="12" t="inlineStr">
        <is>
          <t>Record first supplied in this revision</t>
        </is>
      </c>
      <c r="E1403" s="12" t="inlineStr"/>
      <c r="F1403" s="65" t="inlineStr">
        <is>
          <t>10 EVIDENCE &amp; DECISIONS</t>
        </is>
      </c>
      <c r="G1403" s="14" t="n"/>
    </row>
    <row r="1404" ht="79" customHeight="1">
      <c r="A1404" s="12" t="inlineStr">
        <is>
          <t>R833-v1</t>
        </is>
      </c>
      <c r="B1404" s="12" t="inlineStr">
        <is>
          <t>SCH-05-113</t>
        </is>
      </c>
      <c r="C1404" s="12" t="inlineStr">
        <is>
          <t>New</t>
        </is>
      </c>
      <c r="D1404" s="12" t="inlineStr">
        <is>
          <t>Record first supplied in this revision</t>
        </is>
      </c>
      <c r="E1404" s="12" t="inlineStr"/>
      <c r="F1404" s="65" t="inlineStr">
        <is>
          <t>10 EVIDENCE &amp; DECISIONS</t>
        </is>
      </c>
      <c r="G1404" s="14" t="n"/>
    </row>
    <row r="1405" ht="79" customHeight="1">
      <c r="A1405" s="12" t="inlineStr">
        <is>
          <t>R834-v1</t>
        </is>
      </c>
      <c r="B1405" s="12" t="inlineStr">
        <is>
          <t>SCH-05-114</t>
        </is>
      </c>
      <c r="C1405" s="12" t="inlineStr">
        <is>
          <t>New</t>
        </is>
      </c>
      <c r="D1405" s="12" t="inlineStr">
        <is>
          <t>Record first supplied in this revision</t>
        </is>
      </c>
      <c r="E1405" s="12" t="inlineStr"/>
      <c r="F1405" s="65" t="inlineStr">
        <is>
          <t>10 EVIDENCE &amp; DECISIONS</t>
        </is>
      </c>
      <c r="G1405" s="14" t="n"/>
    </row>
    <row r="1406" ht="79" customHeight="1">
      <c r="A1406" s="12" t="inlineStr">
        <is>
          <t>R835-v1</t>
        </is>
      </c>
      <c r="B1406" s="12" t="inlineStr">
        <is>
          <t>SCH-05-115</t>
        </is>
      </c>
      <c r="C1406" s="12" t="inlineStr">
        <is>
          <t>New</t>
        </is>
      </c>
      <c r="D1406" s="12" t="inlineStr">
        <is>
          <t>Record first supplied in this revision</t>
        </is>
      </c>
      <c r="E1406" s="12" t="inlineStr"/>
      <c r="F1406" s="65" t="inlineStr">
        <is>
          <t>10 EVIDENCE &amp; DECISIONS</t>
        </is>
      </c>
      <c r="G1406" s="14" t="n"/>
    </row>
    <row r="1407" ht="79" customHeight="1">
      <c r="A1407" s="12" t="inlineStr">
        <is>
          <t>R836-v1</t>
        </is>
      </c>
      <c r="B1407" s="12" t="inlineStr">
        <is>
          <t>SCH-05-116</t>
        </is>
      </c>
      <c r="C1407" s="12" t="inlineStr">
        <is>
          <t>New</t>
        </is>
      </c>
      <c r="D1407" s="12" t="inlineStr">
        <is>
          <t>Record first supplied in this revision</t>
        </is>
      </c>
      <c r="E1407" s="12" t="inlineStr"/>
      <c r="F1407" s="65" t="inlineStr">
        <is>
          <t>10 EVIDENCE &amp; DECISIONS</t>
        </is>
      </c>
      <c r="G1407" s="14" t="n"/>
    </row>
    <row r="1408" ht="79" customHeight="1">
      <c r="A1408" s="12" t="inlineStr">
        <is>
          <t>R837-v1</t>
        </is>
      </c>
      <c r="B1408" s="12" t="inlineStr">
        <is>
          <t>SCH-05-117</t>
        </is>
      </c>
      <c r="C1408" s="12" t="inlineStr">
        <is>
          <t>New</t>
        </is>
      </c>
      <c r="D1408" s="12" t="inlineStr">
        <is>
          <t>Record first supplied in this revision</t>
        </is>
      </c>
      <c r="E1408" s="12" t="inlineStr"/>
      <c r="F1408" s="65" t="inlineStr">
        <is>
          <t>10 EVIDENCE &amp; DECISIONS</t>
        </is>
      </c>
      <c r="G1408" s="14" t="n"/>
    </row>
    <row r="1409" ht="79" customHeight="1">
      <c r="A1409" s="12" t="inlineStr">
        <is>
          <t>R838-v1</t>
        </is>
      </c>
      <c r="B1409" s="12" t="inlineStr">
        <is>
          <t>SCH-05-118</t>
        </is>
      </c>
      <c r="C1409" s="12" t="inlineStr">
        <is>
          <t>New</t>
        </is>
      </c>
      <c r="D1409" s="12" t="inlineStr">
        <is>
          <t>Record first supplied in this revision</t>
        </is>
      </c>
      <c r="E1409" s="12" t="inlineStr"/>
      <c r="F1409" s="65" t="inlineStr">
        <is>
          <t>10 EVIDENCE &amp; DECISIONS</t>
        </is>
      </c>
      <c r="G1409" s="14" t="n"/>
    </row>
    <row r="1410" ht="79" customHeight="1">
      <c r="A1410" s="12" t="inlineStr">
        <is>
          <t>R839-v1</t>
        </is>
      </c>
      <c r="B1410" s="12" t="inlineStr">
        <is>
          <t>SCH-05-119</t>
        </is>
      </c>
      <c r="C1410" s="12" t="inlineStr">
        <is>
          <t>New</t>
        </is>
      </c>
      <c r="D1410" s="12" t="inlineStr">
        <is>
          <t>Record first supplied in this revision</t>
        </is>
      </c>
      <c r="E1410" s="12" t="inlineStr"/>
      <c r="F1410" s="65" t="inlineStr">
        <is>
          <t>10 EVIDENCE &amp; DECISIONS</t>
        </is>
      </c>
      <c r="G1410" s="14" t="n"/>
    </row>
    <row r="1411" ht="79" customHeight="1">
      <c r="A1411" s="12" t="inlineStr">
        <is>
          <t>R840-v1</t>
        </is>
      </c>
      <c r="B1411" s="12" t="inlineStr">
        <is>
          <t>SCH-05-120</t>
        </is>
      </c>
      <c r="C1411" s="12" t="inlineStr">
        <is>
          <t>New</t>
        </is>
      </c>
      <c r="D1411" s="12" t="inlineStr">
        <is>
          <t>Record first supplied in this revision</t>
        </is>
      </c>
      <c r="E1411" s="12" t="inlineStr"/>
      <c r="F1411" s="65" t="inlineStr">
        <is>
          <t>10 EVIDENCE &amp; DECISIONS</t>
        </is>
      </c>
      <c r="G1411" s="14" t="n"/>
    </row>
    <row r="1412" ht="79" customHeight="1">
      <c r="A1412" s="12" t="inlineStr">
        <is>
          <t>R841-v1</t>
        </is>
      </c>
      <c r="B1412" s="12" t="inlineStr">
        <is>
          <t>SCH-05-121</t>
        </is>
      </c>
      <c r="C1412" s="12" t="inlineStr">
        <is>
          <t>New</t>
        </is>
      </c>
      <c r="D1412" s="12" t="inlineStr">
        <is>
          <t>Record first supplied in this revision</t>
        </is>
      </c>
      <c r="E1412" s="12" t="inlineStr"/>
      <c r="F1412" s="65" t="inlineStr">
        <is>
          <t>10 EVIDENCE &amp; DECISIONS</t>
        </is>
      </c>
      <c r="G1412" s="14" t="n"/>
    </row>
    <row r="1413" ht="79" customHeight="1">
      <c r="A1413" s="12" t="inlineStr">
        <is>
          <t>R842-v1</t>
        </is>
      </c>
      <c r="B1413" s="12" t="inlineStr">
        <is>
          <t>SCH-05-122</t>
        </is>
      </c>
      <c r="C1413" s="12" t="inlineStr">
        <is>
          <t>New</t>
        </is>
      </c>
      <c r="D1413" s="12" t="inlineStr">
        <is>
          <t>Record first supplied in this revision</t>
        </is>
      </c>
      <c r="E1413" s="12" t="inlineStr"/>
      <c r="F1413" s="65" t="inlineStr">
        <is>
          <t>10 EVIDENCE &amp; DECISIONS</t>
        </is>
      </c>
      <c r="G1413" s="14" t="n"/>
    </row>
    <row r="1414" ht="79" customHeight="1">
      <c r="A1414" s="12" t="inlineStr">
        <is>
          <t>R843-v1</t>
        </is>
      </c>
      <c r="B1414" s="12" t="inlineStr">
        <is>
          <t>SCH-05-123</t>
        </is>
      </c>
      <c r="C1414" s="12" t="inlineStr">
        <is>
          <t>New</t>
        </is>
      </c>
      <c r="D1414" s="12" t="inlineStr">
        <is>
          <t>Record first supplied in this revision</t>
        </is>
      </c>
      <c r="E1414" s="12" t="inlineStr"/>
      <c r="F1414" s="65" t="inlineStr">
        <is>
          <t>10 EVIDENCE &amp; DECISIONS</t>
        </is>
      </c>
      <c r="G1414" s="14" t="n"/>
    </row>
    <row r="1415" ht="79" customHeight="1">
      <c r="A1415" s="12" t="inlineStr">
        <is>
          <t>R844-v1</t>
        </is>
      </c>
      <c r="B1415" s="12" t="inlineStr">
        <is>
          <t>SCH-05-124</t>
        </is>
      </c>
      <c r="C1415" s="12" t="inlineStr">
        <is>
          <t>New</t>
        </is>
      </c>
      <c r="D1415" s="12" t="inlineStr">
        <is>
          <t>Record first supplied in this revision</t>
        </is>
      </c>
      <c r="E1415" s="12" t="inlineStr"/>
      <c r="F1415" s="65" t="inlineStr">
        <is>
          <t>10 EVIDENCE &amp; DECISIONS</t>
        </is>
      </c>
      <c r="G1415" s="14" t="n"/>
    </row>
    <row r="1416" ht="79" customHeight="1">
      <c r="A1416" s="12" t="inlineStr">
        <is>
          <t>R845-v1</t>
        </is>
      </c>
      <c r="B1416" s="12" t="inlineStr">
        <is>
          <t>SCH-05-125</t>
        </is>
      </c>
      <c r="C1416" s="12" t="inlineStr">
        <is>
          <t>New</t>
        </is>
      </c>
      <c r="D1416" s="12" t="inlineStr">
        <is>
          <t>Record first supplied in this revision</t>
        </is>
      </c>
      <c r="E1416" s="12" t="inlineStr"/>
      <c r="F1416" s="65" t="inlineStr">
        <is>
          <t>10 EVIDENCE &amp; DECISIONS</t>
        </is>
      </c>
      <c r="G1416" s="14" t="n"/>
    </row>
    <row r="1417" ht="79" customHeight="1">
      <c r="A1417" s="12" t="inlineStr">
        <is>
          <t>R846-v1</t>
        </is>
      </c>
      <c r="B1417" s="12" t="inlineStr">
        <is>
          <t>SCH-05-126</t>
        </is>
      </c>
      <c r="C1417" s="12" t="inlineStr">
        <is>
          <t>New</t>
        </is>
      </c>
      <c r="D1417" s="12" t="inlineStr">
        <is>
          <t>Record first supplied in this revision</t>
        </is>
      </c>
      <c r="E1417" s="12" t="inlineStr"/>
      <c r="F1417" s="65" t="inlineStr">
        <is>
          <t>10 EVIDENCE &amp; DECISIONS</t>
        </is>
      </c>
      <c r="G1417" s="14" t="n"/>
    </row>
    <row r="1418" ht="79" customHeight="1">
      <c r="A1418" s="12" t="inlineStr">
        <is>
          <t>R847-v1</t>
        </is>
      </c>
      <c r="B1418" s="12" t="inlineStr">
        <is>
          <t>SCH-05-127</t>
        </is>
      </c>
      <c r="C1418" s="12" t="inlineStr">
        <is>
          <t>New</t>
        </is>
      </c>
      <c r="D1418" s="12" t="inlineStr">
        <is>
          <t>Record first supplied in this revision</t>
        </is>
      </c>
      <c r="E1418" s="12" t="inlineStr"/>
      <c r="F1418" s="65" t="inlineStr">
        <is>
          <t>10 EVIDENCE &amp; DECISIONS</t>
        </is>
      </c>
      <c r="G1418" s="14" t="n"/>
    </row>
    <row r="1419" ht="79" customHeight="1">
      <c r="A1419" s="12" t="inlineStr">
        <is>
          <t>R848-v1</t>
        </is>
      </c>
      <c r="B1419" s="12" t="inlineStr">
        <is>
          <t>SCH-05-128</t>
        </is>
      </c>
      <c r="C1419" s="12" t="inlineStr">
        <is>
          <t>New</t>
        </is>
      </c>
      <c r="D1419" s="12" t="inlineStr">
        <is>
          <t>Record first supplied in this revision</t>
        </is>
      </c>
      <c r="E1419" s="12" t="inlineStr"/>
      <c r="F1419" s="65" t="inlineStr">
        <is>
          <t>10 EVIDENCE &amp; DECISIONS</t>
        </is>
      </c>
      <c r="G1419" s="14" t="n"/>
    </row>
    <row r="1420" ht="79" customHeight="1">
      <c r="A1420" s="12" t="inlineStr">
        <is>
          <t>R849-v1</t>
        </is>
      </c>
      <c r="B1420" s="12" t="inlineStr">
        <is>
          <t>SCH-05-129</t>
        </is>
      </c>
      <c r="C1420" s="12" t="inlineStr">
        <is>
          <t>New</t>
        </is>
      </c>
      <c r="D1420" s="12" t="inlineStr">
        <is>
          <t>Record first supplied in this revision</t>
        </is>
      </c>
      <c r="E1420" s="12" t="inlineStr"/>
      <c r="F1420" s="65" t="inlineStr">
        <is>
          <t>10 EVIDENCE &amp; DECISIONS</t>
        </is>
      </c>
      <c r="G1420" s="14" t="n"/>
    </row>
    <row r="1421" ht="79" customHeight="1">
      <c r="A1421" s="12" t="inlineStr">
        <is>
          <t>R850-v1</t>
        </is>
      </c>
      <c r="B1421" s="12" t="inlineStr">
        <is>
          <t>SCH-05-130</t>
        </is>
      </c>
      <c r="C1421" s="12" t="inlineStr">
        <is>
          <t>New</t>
        </is>
      </c>
      <c r="D1421" s="12" t="inlineStr">
        <is>
          <t>Record first supplied in this revision</t>
        </is>
      </c>
      <c r="E1421" s="12" t="inlineStr"/>
      <c r="F1421" s="65" t="inlineStr">
        <is>
          <t>10 EVIDENCE &amp; DECISIONS</t>
        </is>
      </c>
      <c r="G1421" s="14" t="n"/>
    </row>
    <row r="1422" ht="79" customHeight="1">
      <c r="A1422" s="12" t="inlineStr">
        <is>
          <t>R851-v1</t>
        </is>
      </c>
      <c r="B1422" s="12" t="inlineStr">
        <is>
          <t>SCH-05-131</t>
        </is>
      </c>
      <c r="C1422" s="12" t="inlineStr">
        <is>
          <t>New</t>
        </is>
      </c>
      <c r="D1422" s="12" t="inlineStr">
        <is>
          <t>Record first supplied in this revision</t>
        </is>
      </c>
      <c r="E1422" s="12" t="inlineStr"/>
      <c r="F1422" s="65" t="inlineStr">
        <is>
          <t>10 EVIDENCE &amp; DECISIONS</t>
        </is>
      </c>
      <c r="G1422" s="14" t="n"/>
    </row>
    <row r="1423" ht="79" customHeight="1">
      <c r="A1423" s="12" t="inlineStr">
        <is>
          <t>R852-v1</t>
        </is>
      </c>
      <c r="B1423" s="12" t="inlineStr">
        <is>
          <t>SCH-05-132</t>
        </is>
      </c>
      <c r="C1423" s="12" t="inlineStr">
        <is>
          <t>New</t>
        </is>
      </c>
      <c r="D1423" s="12" t="inlineStr">
        <is>
          <t>Record first supplied in this revision</t>
        </is>
      </c>
      <c r="E1423" s="12" t="inlineStr"/>
      <c r="F1423" s="65" t="inlineStr">
        <is>
          <t>10 EVIDENCE &amp; DECISIONS</t>
        </is>
      </c>
      <c r="G1423" s="14" t="n"/>
    </row>
    <row r="1424" ht="79" customHeight="1">
      <c r="A1424" s="12" t="inlineStr">
        <is>
          <t>R853-v1</t>
        </is>
      </c>
      <c r="B1424" s="12" t="inlineStr">
        <is>
          <t>SCH-05-133</t>
        </is>
      </c>
      <c r="C1424" s="12" t="inlineStr">
        <is>
          <t>New</t>
        </is>
      </c>
      <c r="D1424" s="12" t="inlineStr">
        <is>
          <t>Record first supplied in this revision</t>
        </is>
      </c>
      <c r="E1424" s="12" t="inlineStr"/>
      <c r="F1424" s="65" t="inlineStr">
        <is>
          <t>10 EVIDENCE &amp; DECISIONS</t>
        </is>
      </c>
      <c r="G1424" s="14" t="n"/>
    </row>
    <row r="1425" ht="79" customHeight="1">
      <c r="A1425" s="12" t="inlineStr">
        <is>
          <t>R854-v1</t>
        </is>
      </c>
      <c r="B1425" s="12" t="inlineStr">
        <is>
          <t>SCH-05-134</t>
        </is>
      </c>
      <c r="C1425" s="12" t="inlineStr">
        <is>
          <t>New</t>
        </is>
      </c>
      <c r="D1425" s="12" t="inlineStr">
        <is>
          <t>Record first supplied in this revision</t>
        </is>
      </c>
      <c r="E1425" s="12" t="inlineStr"/>
      <c r="F1425" s="65" t="inlineStr">
        <is>
          <t>10 EVIDENCE &amp; DECISIONS</t>
        </is>
      </c>
      <c r="G1425" s="14" t="n"/>
    </row>
    <row r="1426" ht="79" customHeight="1">
      <c r="A1426" s="12" t="inlineStr">
        <is>
          <t>R855-v1</t>
        </is>
      </c>
      <c r="B1426" s="12" t="inlineStr">
        <is>
          <t>SCH-05-135</t>
        </is>
      </c>
      <c r="C1426" s="12" t="inlineStr">
        <is>
          <t>New</t>
        </is>
      </c>
      <c r="D1426" s="12" t="inlineStr">
        <is>
          <t>Record first supplied in this revision</t>
        </is>
      </c>
      <c r="E1426" s="12" t="inlineStr"/>
      <c r="F1426" s="65" t="inlineStr">
        <is>
          <t>10 EVIDENCE &amp; DECISIONS</t>
        </is>
      </c>
      <c r="G1426" s="14" t="n"/>
    </row>
    <row r="1427" ht="79" customHeight="1">
      <c r="A1427" s="12" t="inlineStr">
        <is>
          <t>R856-v1</t>
        </is>
      </c>
      <c r="B1427" s="12" t="inlineStr">
        <is>
          <t>SCH-05-136</t>
        </is>
      </c>
      <c r="C1427" s="12" t="inlineStr">
        <is>
          <t>New</t>
        </is>
      </c>
      <c r="D1427" s="12" t="inlineStr">
        <is>
          <t>Record first supplied in this revision</t>
        </is>
      </c>
      <c r="E1427" s="12" t="inlineStr"/>
      <c r="F1427" s="65" t="inlineStr">
        <is>
          <t>10 EVIDENCE &amp; DECISIONS</t>
        </is>
      </c>
      <c r="G1427" s="14" t="n"/>
    </row>
    <row r="1428" ht="79" customHeight="1">
      <c r="A1428" s="12" t="inlineStr">
        <is>
          <t>R857-v1</t>
        </is>
      </c>
      <c r="B1428" s="12" t="inlineStr">
        <is>
          <t>SCH-05-137</t>
        </is>
      </c>
      <c r="C1428" s="12" t="inlineStr">
        <is>
          <t>New</t>
        </is>
      </c>
      <c r="D1428" s="12" t="inlineStr">
        <is>
          <t>Record first supplied in this revision</t>
        </is>
      </c>
      <c r="E1428" s="12" t="inlineStr"/>
      <c r="F1428" s="65" t="inlineStr">
        <is>
          <t>10 EVIDENCE &amp; DECISIONS</t>
        </is>
      </c>
      <c r="G1428" s="14" t="n"/>
    </row>
    <row r="1429" ht="79" customHeight="1">
      <c r="A1429" s="12" t="inlineStr">
        <is>
          <t>R858-v1</t>
        </is>
      </c>
      <c r="B1429" s="12" t="inlineStr">
        <is>
          <t>SCH-05-138</t>
        </is>
      </c>
      <c r="C1429" s="12" t="inlineStr">
        <is>
          <t>New</t>
        </is>
      </c>
      <c r="D1429" s="12" t="inlineStr">
        <is>
          <t>Record first supplied in this revision</t>
        </is>
      </c>
      <c r="E1429" s="12" t="inlineStr"/>
      <c r="F1429" s="65" t="inlineStr">
        <is>
          <t>10 EVIDENCE &amp; DECISIONS</t>
        </is>
      </c>
      <c r="G1429" s="14" t="n"/>
    </row>
    <row r="1430" ht="79" customHeight="1">
      <c r="A1430" s="12" t="inlineStr">
        <is>
          <t>R859-v1</t>
        </is>
      </c>
      <c r="B1430" s="12" t="inlineStr">
        <is>
          <t>SCH-05-139</t>
        </is>
      </c>
      <c r="C1430" s="12" t="inlineStr">
        <is>
          <t>New</t>
        </is>
      </c>
      <c r="D1430" s="12" t="inlineStr">
        <is>
          <t>Record first supplied in this revision</t>
        </is>
      </c>
      <c r="E1430" s="12" t="inlineStr"/>
      <c r="F1430" s="65" t="inlineStr">
        <is>
          <t>10 EVIDENCE &amp; DECISIONS</t>
        </is>
      </c>
      <c r="G1430" s="14" t="n"/>
    </row>
    <row r="1431" ht="79" customHeight="1">
      <c r="A1431" s="12" t="inlineStr">
        <is>
          <t>R860-v1</t>
        </is>
      </c>
      <c r="B1431" s="12" t="inlineStr">
        <is>
          <t>SCH-05-140</t>
        </is>
      </c>
      <c r="C1431" s="12" t="inlineStr">
        <is>
          <t>New</t>
        </is>
      </c>
      <c r="D1431" s="12" t="inlineStr">
        <is>
          <t>Record first supplied in this revision</t>
        </is>
      </c>
      <c r="E1431" s="12" t="inlineStr"/>
      <c r="F1431" s="65" t="inlineStr">
        <is>
          <t>10 EVIDENCE &amp; DECISIONS</t>
        </is>
      </c>
      <c r="G1431" s="14" t="n"/>
    </row>
    <row r="1432" ht="79" customHeight="1">
      <c r="A1432" s="12" t="inlineStr">
        <is>
          <t>R861-v1</t>
        </is>
      </c>
      <c r="B1432" s="12" t="inlineStr">
        <is>
          <t>SCH-05-141</t>
        </is>
      </c>
      <c r="C1432" s="12" t="inlineStr">
        <is>
          <t>New</t>
        </is>
      </c>
      <c r="D1432" s="12" t="inlineStr">
        <is>
          <t>Record first supplied in this revision</t>
        </is>
      </c>
      <c r="E1432" s="12" t="inlineStr"/>
      <c r="F1432" s="65" t="inlineStr">
        <is>
          <t>10 EVIDENCE &amp; DECISIONS</t>
        </is>
      </c>
      <c r="G1432" s="14" t="n"/>
    </row>
    <row r="1433" ht="79" customHeight="1">
      <c r="A1433" s="12" t="inlineStr">
        <is>
          <t>R862-v1</t>
        </is>
      </c>
      <c r="B1433" s="12" t="inlineStr">
        <is>
          <t>SCH-05-142</t>
        </is>
      </c>
      <c r="C1433" s="12" t="inlineStr">
        <is>
          <t>New</t>
        </is>
      </c>
      <c r="D1433" s="12" t="inlineStr">
        <is>
          <t>Record first supplied in this revision</t>
        </is>
      </c>
      <c r="E1433" s="12" t="inlineStr"/>
      <c r="F1433" s="65" t="inlineStr">
        <is>
          <t>10 EVIDENCE &amp; DECISIONS</t>
        </is>
      </c>
      <c r="G1433" s="14" t="n"/>
    </row>
    <row r="1434" ht="79" customHeight="1">
      <c r="A1434" s="12" t="inlineStr">
        <is>
          <t>R863-v1</t>
        </is>
      </c>
      <c r="B1434" s="12" t="inlineStr">
        <is>
          <t>SCH-05-143</t>
        </is>
      </c>
      <c r="C1434" s="12" t="inlineStr">
        <is>
          <t>New</t>
        </is>
      </c>
      <c r="D1434" s="12" t="inlineStr">
        <is>
          <t>Record first supplied in this revision</t>
        </is>
      </c>
      <c r="E1434" s="12" t="inlineStr"/>
      <c r="F1434" s="65" t="inlineStr">
        <is>
          <t>10 EVIDENCE &amp; DECISIONS</t>
        </is>
      </c>
      <c r="G1434" s="14" t="n"/>
    </row>
    <row r="1435" ht="79" customHeight="1">
      <c r="A1435" s="12" t="inlineStr">
        <is>
          <t>R864-v1</t>
        </is>
      </c>
      <c r="B1435" s="12" t="inlineStr">
        <is>
          <t>SCH-05-144</t>
        </is>
      </c>
      <c r="C1435" s="12" t="inlineStr">
        <is>
          <t>New</t>
        </is>
      </c>
      <c r="D1435" s="12" t="inlineStr">
        <is>
          <t>Record first supplied in this revision</t>
        </is>
      </c>
      <c r="E1435" s="12" t="inlineStr"/>
      <c r="F1435" s="65" t="inlineStr">
        <is>
          <t>10 EVIDENCE &amp; DECISIONS</t>
        </is>
      </c>
      <c r="G1435" s="14" t="n"/>
    </row>
    <row r="1436" ht="79" customHeight="1">
      <c r="A1436" s="12" t="inlineStr">
        <is>
          <t>R865-v1</t>
        </is>
      </c>
      <c r="B1436" s="12" t="inlineStr">
        <is>
          <t>SCH-05-145</t>
        </is>
      </c>
      <c r="C1436" s="12" t="inlineStr">
        <is>
          <t>New</t>
        </is>
      </c>
      <c r="D1436" s="12" t="inlineStr">
        <is>
          <t>Record first supplied in this revision</t>
        </is>
      </c>
      <c r="E1436" s="12" t="inlineStr"/>
      <c r="F1436" s="65" t="inlineStr">
        <is>
          <t>10 EVIDENCE &amp; DECISIONS</t>
        </is>
      </c>
      <c r="G1436" s="14" t="n"/>
    </row>
    <row r="1437" ht="79" customHeight="1">
      <c r="A1437" s="12" t="inlineStr">
        <is>
          <t>R866-v1</t>
        </is>
      </c>
      <c r="B1437" s="12" t="inlineStr">
        <is>
          <t>SCH-05-146</t>
        </is>
      </c>
      <c r="C1437" s="12" t="inlineStr">
        <is>
          <t>New</t>
        </is>
      </c>
      <c r="D1437" s="12" t="inlineStr">
        <is>
          <t>Record first supplied in this revision</t>
        </is>
      </c>
      <c r="E1437" s="12" t="inlineStr"/>
      <c r="F1437" s="65" t="inlineStr">
        <is>
          <t>10 EVIDENCE &amp; DECISIONS</t>
        </is>
      </c>
      <c r="G1437" s="14" t="n"/>
    </row>
    <row r="1438" ht="79" customHeight="1">
      <c r="A1438" s="12" t="inlineStr">
        <is>
          <t>R867-v1</t>
        </is>
      </c>
      <c r="B1438" s="12" t="inlineStr">
        <is>
          <t>SCH-05-147</t>
        </is>
      </c>
      <c r="C1438" s="12" t="inlineStr">
        <is>
          <t>New</t>
        </is>
      </c>
      <c r="D1438" s="12" t="inlineStr">
        <is>
          <t>Record first supplied in this revision</t>
        </is>
      </c>
      <c r="E1438" s="12" t="inlineStr"/>
      <c r="F1438" s="65" t="inlineStr">
        <is>
          <t>10 EVIDENCE &amp; DECISIONS</t>
        </is>
      </c>
      <c r="G1438" s="14" t="n"/>
    </row>
    <row r="1439" ht="79" customHeight="1">
      <c r="A1439" s="12" t="inlineStr">
        <is>
          <t>R868-v1</t>
        </is>
      </c>
      <c r="B1439" s="12" t="inlineStr">
        <is>
          <t>SCH-05-148</t>
        </is>
      </c>
      <c r="C1439" s="12" t="inlineStr">
        <is>
          <t>New</t>
        </is>
      </c>
      <c r="D1439" s="12" t="inlineStr">
        <is>
          <t>Record first supplied in this revision</t>
        </is>
      </c>
      <c r="E1439" s="12" t="inlineStr"/>
      <c r="F1439" s="65" t="inlineStr">
        <is>
          <t>10 EVIDENCE &amp; DECISIONS</t>
        </is>
      </c>
      <c r="G1439" s="14" t="n"/>
    </row>
    <row r="1440" ht="79" customHeight="1">
      <c r="A1440" s="12" t="inlineStr">
        <is>
          <t>R869-v1</t>
        </is>
      </c>
      <c r="B1440" s="12" t="inlineStr">
        <is>
          <t>SCH-05-149</t>
        </is>
      </c>
      <c r="C1440" s="12" t="inlineStr">
        <is>
          <t>New</t>
        </is>
      </c>
      <c r="D1440" s="12" t="inlineStr">
        <is>
          <t>Record first supplied in this revision</t>
        </is>
      </c>
      <c r="E1440" s="12" t="inlineStr"/>
      <c r="F1440" s="65" t="inlineStr">
        <is>
          <t>10 EVIDENCE &amp; DECISIONS</t>
        </is>
      </c>
      <c r="G1440" s="14" t="n"/>
    </row>
    <row r="1441" ht="79" customHeight="1">
      <c r="A1441" s="12" t="inlineStr">
        <is>
          <t>R870-v1</t>
        </is>
      </c>
      <c r="B1441" s="12" t="inlineStr">
        <is>
          <t>SCH-05-150</t>
        </is>
      </c>
      <c r="C1441" s="12" t="inlineStr">
        <is>
          <t>New</t>
        </is>
      </c>
      <c r="D1441" s="12" t="inlineStr">
        <is>
          <t>Record first supplied in this revision</t>
        </is>
      </c>
      <c r="E1441" s="12" t="inlineStr"/>
      <c r="F1441" s="65" t="inlineStr">
        <is>
          <t>10 EVIDENCE &amp; DECISIONS</t>
        </is>
      </c>
      <c r="G1441" s="14" t="n"/>
    </row>
    <row r="1442" ht="79" customHeight="1">
      <c r="A1442" s="12" t="inlineStr">
        <is>
          <t>R871-v1</t>
        </is>
      </c>
      <c r="B1442" s="12" t="inlineStr">
        <is>
          <t>SCH-05-151</t>
        </is>
      </c>
      <c r="C1442" s="12" t="inlineStr">
        <is>
          <t>New</t>
        </is>
      </c>
      <c r="D1442" s="12" t="inlineStr">
        <is>
          <t>Record first supplied in this revision</t>
        </is>
      </c>
      <c r="E1442" s="12" t="inlineStr"/>
      <c r="F1442" s="65" t="inlineStr">
        <is>
          <t>10 EVIDENCE &amp; DECISIONS</t>
        </is>
      </c>
      <c r="G1442" s="14" t="n"/>
    </row>
    <row r="1443" ht="79" customHeight="1">
      <c r="A1443" s="12" t="inlineStr">
        <is>
          <t>R872-v1</t>
        </is>
      </c>
      <c r="B1443" s="12" t="inlineStr">
        <is>
          <t>SCH-05-152</t>
        </is>
      </c>
      <c r="C1443" s="12" t="inlineStr">
        <is>
          <t>New</t>
        </is>
      </c>
      <c r="D1443" s="12" t="inlineStr">
        <is>
          <t>Record first supplied in this revision</t>
        </is>
      </c>
      <c r="E1443" s="12" t="inlineStr"/>
      <c r="F1443" s="65" t="inlineStr">
        <is>
          <t>10 EVIDENCE &amp; DECISIONS</t>
        </is>
      </c>
      <c r="G1443" s="14" t="n"/>
    </row>
    <row r="1444" ht="79" customHeight="1">
      <c r="A1444" s="12" t="inlineStr">
        <is>
          <t>R873-v1</t>
        </is>
      </c>
      <c r="B1444" s="12" t="inlineStr">
        <is>
          <t>SCH-05-153</t>
        </is>
      </c>
      <c r="C1444" s="12" t="inlineStr">
        <is>
          <t>New</t>
        </is>
      </c>
      <c r="D1444" s="12" t="inlineStr">
        <is>
          <t>Record first supplied in this revision</t>
        </is>
      </c>
      <c r="E1444" s="12" t="inlineStr"/>
      <c r="F1444" s="65" t="inlineStr">
        <is>
          <t>10 EVIDENCE &amp; DECISIONS</t>
        </is>
      </c>
      <c r="G1444" s="14" t="n"/>
    </row>
    <row r="1445" ht="79" customHeight="1">
      <c r="A1445" s="12" t="inlineStr">
        <is>
          <t>R874-v1</t>
        </is>
      </c>
      <c r="B1445" s="12" t="inlineStr">
        <is>
          <t>SCH-05-154</t>
        </is>
      </c>
      <c r="C1445" s="12" t="inlineStr">
        <is>
          <t>New</t>
        </is>
      </c>
      <c r="D1445" s="12" t="inlineStr">
        <is>
          <t>Record first supplied in this revision</t>
        </is>
      </c>
      <c r="E1445" s="12" t="inlineStr"/>
      <c r="F1445" s="65" t="inlineStr">
        <is>
          <t>10 EVIDENCE &amp; DECISIONS</t>
        </is>
      </c>
      <c r="G1445" s="14" t="n"/>
    </row>
    <row r="1446" ht="79" customHeight="1">
      <c r="A1446" s="12" t="inlineStr">
        <is>
          <t>R875-v1</t>
        </is>
      </c>
      <c r="B1446" s="12" t="inlineStr">
        <is>
          <t>SCH-05-155</t>
        </is>
      </c>
      <c r="C1446" s="12" t="inlineStr">
        <is>
          <t>New</t>
        </is>
      </c>
      <c r="D1446" s="12" t="inlineStr">
        <is>
          <t>Record first supplied in this revision</t>
        </is>
      </c>
      <c r="E1446" s="12" t="inlineStr"/>
      <c r="F1446" s="65" t="inlineStr">
        <is>
          <t>10 EVIDENCE &amp; DECISIONS</t>
        </is>
      </c>
      <c r="G1446" s="14" t="n"/>
    </row>
    <row r="1447" ht="79" customHeight="1">
      <c r="A1447" s="12" t="inlineStr">
        <is>
          <t>R876-v1</t>
        </is>
      </c>
      <c r="B1447" s="12" t="inlineStr">
        <is>
          <t>SCH-05-156</t>
        </is>
      </c>
      <c r="C1447" s="12" t="inlineStr">
        <is>
          <t>New</t>
        </is>
      </c>
      <c r="D1447" s="12" t="inlineStr">
        <is>
          <t>Record first supplied in this revision</t>
        </is>
      </c>
      <c r="E1447" s="12" t="inlineStr"/>
      <c r="F1447" s="65" t="inlineStr">
        <is>
          <t>10 EVIDENCE &amp; DECISIONS</t>
        </is>
      </c>
      <c r="G1447" s="14" t="n"/>
    </row>
    <row r="1448" ht="79" customHeight="1">
      <c r="A1448" s="12" t="inlineStr">
        <is>
          <t>R877-v1</t>
        </is>
      </c>
      <c r="B1448" s="12" t="inlineStr">
        <is>
          <t>SCH-05-157</t>
        </is>
      </c>
      <c r="C1448" s="12" t="inlineStr">
        <is>
          <t>New</t>
        </is>
      </c>
      <c r="D1448" s="12" t="inlineStr">
        <is>
          <t>Record first supplied in this revision</t>
        </is>
      </c>
      <c r="E1448" s="12" t="inlineStr"/>
      <c r="F1448" s="65" t="inlineStr">
        <is>
          <t>10 EVIDENCE &amp; DECISIONS</t>
        </is>
      </c>
      <c r="G1448" s="14" t="n"/>
    </row>
    <row r="1449" ht="79" customHeight="1">
      <c r="A1449" s="12" t="inlineStr">
        <is>
          <t>R878-v1</t>
        </is>
      </c>
      <c r="B1449" s="12" t="inlineStr">
        <is>
          <t>SCH-05-158</t>
        </is>
      </c>
      <c r="C1449" s="12" t="inlineStr">
        <is>
          <t>New</t>
        </is>
      </c>
      <c r="D1449" s="12" t="inlineStr">
        <is>
          <t>Record first supplied in this revision</t>
        </is>
      </c>
      <c r="E1449" s="12" t="inlineStr"/>
      <c r="F1449" s="65" t="inlineStr">
        <is>
          <t>10 EVIDENCE &amp; DECISIONS</t>
        </is>
      </c>
      <c r="G1449" s="14" t="n"/>
    </row>
    <row r="1450" ht="79" customHeight="1">
      <c r="A1450" s="12" t="inlineStr">
        <is>
          <t>R879-v1</t>
        </is>
      </c>
      <c r="B1450" s="12" t="inlineStr">
        <is>
          <t>SCH-05-159</t>
        </is>
      </c>
      <c r="C1450" s="12" t="inlineStr">
        <is>
          <t>New</t>
        </is>
      </c>
      <c r="D1450" s="12" t="inlineStr">
        <is>
          <t>Record first supplied in this revision</t>
        </is>
      </c>
      <c r="E1450" s="12" t="inlineStr"/>
      <c r="F1450" s="65" t="inlineStr">
        <is>
          <t>10 EVIDENCE &amp; DECISIONS</t>
        </is>
      </c>
      <c r="G1450" s="14" t="n"/>
    </row>
    <row r="1451" ht="79" customHeight="1">
      <c r="A1451" s="12" t="inlineStr">
        <is>
          <t>R880-v1</t>
        </is>
      </c>
      <c r="B1451" s="12" t="inlineStr">
        <is>
          <t>SCH-05-160</t>
        </is>
      </c>
      <c r="C1451" s="12" t="inlineStr">
        <is>
          <t>New</t>
        </is>
      </c>
      <c r="D1451" s="12" t="inlineStr">
        <is>
          <t>Record first supplied in this revision</t>
        </is>
      </c>
      <c r="E1451" s="12" t="inlineStr"/>
      <c r="F1451" s="65" t="inlineStr">
        <is>
          <t>10 EVIDENCE &amp; DECISIONS</t>
        </is>
      </c>
      <c r="G1451" s="14" t="n"/>
    </row>
    <row r="1452" ht="79" customHeight="1">
      <c r="A1452" s="12" t="inlineStr">
        <is>
          <t>R881-v1</t>
        </is>
      </c>
      <c r="B1452" s="12" t="inlineStr">
        <is>
          <t>SCH-05-161</t>
        </is>
      </c>
      <c r="C1452" s="12" t="inlineStr">
        <is>
          <t>New</t>
        </is>
      </c>
      <c r="D1452" s="12" t="inlineStr">
        <is>
          <t>Record first supplied in this revision</t>
        </is>
      </c>
      <c r="E1452" s="12" t="inlineStr"/>
      <c r="F1452" s="65" t="inlineStr">
        <is>
          <t>10 EVIDENCE &amp; DECISIONS</t>
        </is>
      </c>
      <c r="G1452" s="14" t="n"/>
    </row>
    <row r="1453" ht="79" customHeight="1">
      <c r="A1453" s="12" t="inlineStr">
        <is>
          <t>R882-v1</t>
        </is>
      </c>
      <c r="B1453" s="12" t="inlineStr">
        <is>
          <t>SCH-05-162</t>
        </is>
      </c>
      <c r="C1453" s="12" t="inlineStr">
        <is>
          <t>New</t>
        </is>
      </c>
      <c r="D1453" s="12" t="inlineStr">
        <is>
          <t>Record first supplied in this revision</t>
        </is>
      </c>
      <c r="E1453" s="12" t="inlineStr"/>
      <c r="F1453" s="65" t="inlineStr">
        <is>
          <t>10 EVIDENCE &amp; DECISIONS</t>
        </is>
      </c>
      <c r="G1453" s="14" t="n"/>
    </row>
    <row r="1454" ht="79" customHeight="1">
      <c r="A1454" s="12" t="inlineStr">
        <is>
          <t>R883-v1</t>
        </is>
      </c>
      <c r="B1454" s="12" t="inlineStr">
        <is>
          <t>SCH-05-163</t>
        </is>
      </c>
      <c r="C1454" s="12" t="inlineStr">
        <is>
          <t>New</t>
        </is>
      </c>
      <c r="D1454" s="12" t="inlineStr">
        <is>
          <t>Record first supplied in this revision</t>
        </is>
      </c>
      <c r="E1454" s="12" t="inlineStr"/>
      <c r="F1454" s="65" t="inlineStr">
        <is>
          <t>10 EVIDENCE &amp; DECISIONS</t>
        </is>
      </c>
      <c r="G1454" s="14" t="n"/>
    </row>
    <row r="1455" ht="79" customHeight="1">
      <c r="A1455" s="12" t="inlineStr">
        <is>
          <t>R884-v1</t>
        </is>
      </c>
      <c r="B1455" s="12" t="inlineStr">
        <is>
          <t>SCH-05-164</t>
        </is>
      </c>
      <c r="C1455" s="12" t="inlineStr">
        <is>
          <t>New</t>
        </is>
      </c>
      <c r="D1455" s="12" t="inlineStr">
        <is>
          <t>Record first supplied in this revision</t>
        </is>
      </c>
      <c r="E1455" s="12" t="inlineStr"/>
      <c r="F1455" s="65" t="inlineStr">
        <is>
          <t>10 EVIDENCE &amp; DECISIONS</t>
        </is>
      </c>
      <c r="G1455" s="14" t="n"/>
    </row>
    <row r="1456" ht="79" customHeight="1">
      <c r="A1456" s="12" t="inlineStr">
        <is>
          <t>R885-v1</t>
        </is>
      </c>
      <c r="B1456" s="12" t="inlineStr">
        <is>
          <t>SCH-05-165</t>
        </is>
      </c>
      <c r="C1456" s="12" t="inlineStr">
        <is>
          <t>New</t>
        </is>
      </c>
      <c r="D1456" s="12" t="inlineStr">
        <is>
          <t>Record first supplied in this revision</t>
        </is>
      </c>
      <c r="E1456" s="12" t="inlineStr"/>
      <c r="F1456" s="65" t="inlineStr">
        <is>
          <t>10 EVIDENCE &amp; DECISIONS</t>
        </is>
      </c>
      <c r="G1456" s="14" t="n"/>
    </row>
    <row r="1457" ht="79" customHeight="1">
      <c r="A1457" s="12" t="inlineStr">
        <is>
          <t>R886-v1</t>
        </is>
      </c>
      <c r="B1457" s="12" t="inlineStr">
        <is>
          <t>SCH-05-166</t>
        </is>
      </c>
      <c r="C1457" s="12" t="inlineStr">
        <is>
          <t>New</t>
        </is>
      </c>
      <c r="D1457" s="12" t="inlineStr">
        <is>
          <t>Record first supplied in this revision</t>
        </is>
      </c>
      <c r="E1457" s="12" t="inlineStr"/>
      <c r="F1457" s="65" t="inlineStr">
        <is>
          <t>10 EVIDENCE &amp; DECISIONS</t>
        </is>
      </c>
      <c r="G1457" s="14" t="n"/>
    </row>
    <row r="1458" ht="79" customHeight="1">
      <c r="A1458" s="12" t="inlineStr">
        <is>
          <t>R887-v1</t>
        </is>
      </c>
      <c r="B1458" s="12" t="inlineStr">
        <is>
          <t>SCH-05-167</t>
        </is>
      </c>
      <c r="C1458" s="12" t="inlineStr">
        <is>
          <t>New</t>
        </is>
      </c>
      <c r="D1458" s="12" t="inlineStr">
        <is>
          <t>Record first supplied in this revision</t>
        </is>
      </c>
      <c r="E1458" s="12" t="inlineStr"/>
      <c r="F1458" s="65" t="inlineStr">
        <is>
          <t>10 EVIDENCE &amp; DECISIONS</t>
        </is>
      </c>
      <c r="G1458" s="14" t="n"/>
    </row>
    <row r="1459" ht="79" customHeight="1">
      <c r="A1459" s="12" t="inlineStr">
        <is>
          <t>R888-v1</t>
        </is>
      </c>
      <c r="B1459" s="12" t="inlineStr">
        <is>
          <t>SCH-05-168</t>
        </is>
      </c>
      <c r="C1459" s="12" t="inlineStr">
        <is>
          <t>New</t>
        </is>
      </c>
      <c r="D1459" s="12" t="inlineStr">
        <is>
          <t>Record first supplied in this revision</t>
        </is>
      </c>
      <c r="E1459" s="12" t="inlineStr"/>
      <c r="F1459" s="65" t="inlineStr">
        <is>
          <t>10 EVIDENCE &amp; DECISIONS</t>
        </is>
      </c>
      <c r="G1459" s="14" t="n"/>
    </row>
    <row r="1460" ht="79" customHeight="1">
      <c r="A1460" s="12" t="inlineStr">
        <is>
          <t>R889-v1</t>
        </is>
      </c>
      <c r="B1460" s="12" t="inlineStr">
        <is>
          <t>SCH-05-169</t>
        </is>
      </c>
      <c r="C1460" s="12" t="inlineStr">
        <is>
          <t>New</t>
        </is>
      </c>
      <c r="D1460" s="12" t="inlineStr">
        <is>
          <t>Record first supplied in this revision</t>
        </is>
      </c>
      <c r="E1460" s="12" t="inlineStr"/>
      <c r="F1460" s="65" t="inlineStr">
        <is>
          <t>10 EVIDENCE &amp; DECISIONS</t>
        </is>
      </c>
      <c r="G1460" s="14" t="n"/>
    </row>
    <row r="1461" ht="79" customHeight="1">
      <c r="A1461" s="12" t="inlineStr">
        <is>
          <t>R890-v1</t>
        </is>
      </c>
      <c r="B1461" s="12" t="inlineStr">
        <is>
          <t>SCH-05-170</t>
        </is>
      </c>
      <c r="C1461" s="12" t="inlineStr">
        <is>
          <t>New</t>
        </is>
      </c>
      <c r="D1461" s="12" t="inlineStr">
        <is>
          <t>Record first supplied in this revision</t>
        </is>
      </c>
      <c r="E1461" s="12" t="inlineStr"/>
      <c r="F1461" s="65" t="inlineStr">
        <is>
          <t>10 EVIDENCE &amp; DECISIONS</t>
        </is>
      </c>
      <c r="G1461" s="14" t="n"/>
    </row>
    <row r="1462" ht="79" customHeight="1">
      <c r="A1462" s="12" t="inlineStr">
        <is>
          <t>R891-v1</t>
        </is>
      </c>
      <c r="B1462" s="12" t="inlineStr">
        <is>
          <t>SCH-05-171</t>
        </is>
      </c>
      <c r="C1462" s="12" t="inlineStr">
        <is>
          <t>New</t>
        </is>
      </c>
      <c r="D1462" s="12" t="inlineStr">
        <is>
          <t>Record first supplied in this revision</t>
        </is>
      </c>
      <c r="E1462" s="12" t="inlineStr"/>
      <c r="F1462" s="65" t="inlineStr">
        <is>
          <t>10 EVIDENCE &amp; DECISIONS</t>
        </is>
      </c>
      <c r="G1462" s="14" t="n"/>
    </row>
    <row r="1463" ht="79" customHeight="1">
      <c r="A1463" s="12" t="inlineStr">
        <is>
          <t>R892-v1</t>
        </is>
      </c>
      <c r="B1463" s="12" t="inlineStr">
        <is>
          <t>SCH-05-172</t>
        </is>
      </c>
      <c r="C1463" s="12" t="inlineStr">
        <is>
          <t>New</t>
        </is>
      </c>
      <c r="D1463" s="12" t="inlineStr">
        <is>
          <t>Record first supplied in this revision</t>
        </is>
      </c>
      <c r="E1463" s="12" t="inlineStr"/>
      <c r="F1463" s="65" t="inlineStr">
        <is>
          <t>10 EVIDENCE &amp; DECISIONS</t>
        </is>
      </c>
      <c r="G1463" s="14" t="n"/>
    </row>
    <row r="1464" ht="79" customHeight="1">
      <c r="A1464" s="12" t="inlineStr">
        <is>
          <t>R893-v1</t>
        </is>
      </c>
      <c r="B1464" s="12" t="inlineStr">
        <is>
          <t>SCH-05-173</t>
        </is>
      </c>
      <c r="C1464" s="12" t="inlineStr">
        <is>
          <t>New</t>
        </is>
      </c>
      <c r="D1464" s="12" t="inlineStr">
        <is>
          <t>Record first supplied in this revision</t>
        </is>
      </c>
      <c r="E1464" s="12" t="inlineStr"/>
      <c r="F1464" s="65" t="inlineStr">
        <is>
          <t>10 EVIDENCE &amp; DECISIONS</t>
        </is>
      </c>
      <c r="G1464" s="14" t="n"/>
    </row>
    <row r="1465" ht="79" customHeight="1">
      <c r="A1465" s="12" t="inlineStr">
        <is>
          <t>R894-v1</t>
        </is>
      </c>
      <c r="B1465" s="12" t="inlineStr">
        <is>
          <t>SCH-05-174</t>
        </is>
      </c>
      <c r="C1465" s="12" t="inlineStr">
        <is>
          <t>New</t>
        </is>
      </c>
      <c r="D1465" s="12" t="inlineStr">
        <is>
          <t>Record first supplied in this revision</t>
        </is>
      </c>
      <c r="E1465" s="12" t="inlineStr"/>
      <c r="F1465" s="65" t="inlineStr">
        <is>
          <t>10 EVIDENCE &amp; DECISIONS</t>
        </is>
      </c>
      <c r="G1465" s="14" t="n"/>
    </row>
    <row r="1466" ht="79" customHeight="1">
      <c r="A1466" s="12" t="inlineStr">
        <is>
          <t>R895-v1</t>
        </is>
      </c>
      <c r="B1466" s="12" t="inlineStr">
        <is>
          <t>SCH-05-175</t>
        </is>
      </c>
      <c r="C1466" s="12" t="inlineStr">
        <is>
          <t>New</t>
        </is>
      </c>
      <c r="D1466" s="12" t="inlineStr">
        <is>
          <t>Record first supplied in this revision</t>
        </is>
      </c>
      <c r="E1466" s="12" t="inlineStr"/>
      <c r="F1466" s="65" t="inlineStr">
        <is>
          <t>10 EVIDENCE &amp; DECISIONS</t>
        </is>
      </c>
      <c r="G1466" s="14" t="n"/>
    </row>
    <row r="1467" ht="79" customHeight="1">
      <c r="A1467" s="12" t="inlineStr">
        <is>
          <t>R896-v1</t>
        </is>
      </c>
      <c r="B1467" s="12" t="inlineStr">
        <is>
          <t>SCH-05-176</t>
        </is>
      </c>
      <c r="C1467" s="12" t="inlineStr">
        <is>
          <t>New</t>
        </is>
      </c>
      <c r="D1467" s="12" t="inlineStr">
        <is>
          <t>Record first supplied in this revision</t>
        </is>
      </c>
      <c r="E1467" s="12" t="inlineStr"/>
      <c r="F1467" s="65" t="inlineStr">
        <is>
          <t>10 EVIDENCE &amp; DECISIONS</t>
        </is>
      </c>
      <c r="G1467" s="14" t="n"/>
    </row>
    <row r="1468" ht="79" customHeight="1">
      <c r="A1468" s="12" t="inlineStr">
        <is>
          <t>R897-v1</t>
        </is>
      </c>
      <c r="B1468" s="12" t="inlineStr">
        <is>
          <t>SCH-05-177</t>
        </is>
      </c>
      <c r="C1468" s="12" t="inlineStr">
        <is>
          <t>New</t>
        </is>
      </c>
      <c r="D1468" s="12" t="inlineStr">
        <is>
          <t>Record first supplied in this revision</t>
        </is>
      </c>
      <c r="E1468" s="12" t="inlineStr"/>
      <c r="F1468" s="65" t="inlineStr">
        <is>
          <t>10 EVIDENCE &amp; DECISIONS</t>
        </is>
      </c>
      <c r="G1468" s="14" t="n"/>
    </row>
    <row r="1469" ht="79" customHeight="1">
      <c r="A1469" s="12" t="inlineStr">
        <is>
          <t>R898-v1</t>
        </is>
      </c>
      <c r="B1469" s="12" t="inlineStr">
        <is>
          <t>SCH-05-178</t>
        </is>
      </c>
      <c r="C1469" s="12" t="inlineStr">
        <is>
          <t>New</t>
        </is>
      </c>
      <c r="D1469" s="12" t="inlineStr">
        <is>
          <t>Record first supplied in this revision</t>
        </is>
      </c>
      <c r="E1469" s="12" t="inlineStr"/>
      <c r="F1469" s="65" t="inlineStr">
        <is>
          <t>10 EVIDENCE &amp; DECISIONS</t>
        </is>
      </c>
      <c r="G1469" s="14" t="n"/>
    </row>
    <row r="1470" ht="79" customHeight="1">
      <c r="A1470" s="12" t="inlineStr">
        <is>
          <t>R899-v1</t>
        </is>
      </c>
      <c r="B1470" s="12" t="inlineStr">
        <is>
          <t>SCH-05-179</t>
        </is>
      </c>
      <c r="C1470" s="12" t="inlineStr">
        <is>
          <t>New</t>
        </is>
      </c>
      <c r="D1470" s="12" t="inlineStr">
        <is>
          <t>Record first supplied in this revision</t>
        </is>
      </c>
      <c r="E1470" s="12" t="inlineStr"/>
      <c r="F1470" s="65" t="inlineStr">
        <is>
          <t>10 EVIDENCE &amp; DECISIONS</t>
        </is>
      </c>
      <c r="G1470" s="14" t="n"/>
    </row>
    <row r="1471" ht="79" customHeight="1">
      <c r="A1471" s="12" t="inlineStr">
        <is>
          <t>R900-v1</t>
        </is>
      </c>
      <c r="B1471" s="12" t="inlineStr">
        <is>
          <t>SCH-05-180</t>
        </is>
      </c>
      <c r="C1471" s="12" t="inlineStr">
        <is>
          <t>New</t>
        </is>
      </c>
      <c r="D1471" s="12" t="inlineStr">
        <is>
          <t>Record first supplied in this revision</t>
        </is>
      </c>
      <c r="E1471" s="12" t="inlineStr"/>
      <c r="F1471" s="65" t="inlineStr">
        <is>
          <t>10 EVIDENCE &amp; DECISIONS</t>
        </is>
      </c>
      <c r="G1471" s="14" t="n"/>
    </row>
    <row r="1472" ht="79" customHeight="1">
      <c r="A1472" s="12" t="inlineStr">
        <is>
          <t>R901-v2</t>
        </is>
      </c>
      <c r="B1472" s="12" t="inlineStr">
        <is>
          <t>SCH-06-001</t>
        </is>
      </c>
      <c r="C1472" s="12" t="inlineStr">
        <is>
          <t>New</t>
        </is>
      </c>
      <c r="D1472" s="12" t="inlineStr">
        <is>
          <t>Record first supplied in this revision</t>
        </is>
      </c>
      <c r="E1472" s="12" t="inlineStr">
        <is>
          <t>Maya Chen, Owner Project Controls</t>
        </is>
      </c>
      <c r="F1472" s="65" t="inlineStr">
        <is>
          <t>10 EVIDENCE &amp; DECISIONS</t>
        </is>
      </c>
      <c r="G1472" s="14" t="n"/>
    </row>
    <row r="1473" ht="79" customHeight="1">
      <c r="A1473" s="12" t="inlineStr">
        <is>
          <t>R902-v2</t>
        </is>
      </c>
      <c r="B1473" s="12" t="inlineStr">
        <is>
          <t>SCH-06-002</t>
        </is>
      </c>
      <c r="C1473" s="12" t="inlineStr">
        <is>
          <t>New</t>
        </is>
      </c>
      <c r="D1473" s="12" t="inlineStr">
        <is>
          <t>Record first supplied in this revision</t>
        </is>
      </c>
      <c r="E1473" s="12" t="inlineStr">
        <is>
          <t>Maya Chen, Owner Project Controls</t>
        </is>
      </c>
      <c r="F1473" s="65" t="inlineStr">
        <is>
          <t>10 EVIDENCE &amp; DECISIONS</t>
        </is>
      </c>
      <c r="G1473" s="14" t="n"/>
    </row>
    <row r="1474" ht="79" customHeight="1">
      <c r="A1474" s="12" t="inlineStr">
        <is>
          <t>R903-v2</t>
        </is>
      </c>
      <c r="B1474" s="12" t="inlineStr">
        <is>
          <t>SCH-06-003</t>
        </is>
      </c>
      <c r="C1474" s="12" t="inlineStr">
        <is>
          <t>New</t>
        </is>
      </c>
      <c r="D1474" s="12" t="inlineStr">
        <is>
          <t>Record first supplied in this revision</t>
        </is>
      </c>
      <c r="E1474" s="12" t="inlineStr">
        <is>
          <t>Maya Chen, Owner Project Controls</t>
        </is>
      </c>
      <c r="F1474" s="65" t="inlineStr">
        <is>
          <t>10 EVIDENCE &amp; DECISIONS</t>
        </is>
      </c>
      <c r="G1474" s="14" t="n"/>
    </row>
    <row r="1475" ht="79" customHeight="1">
      <c r="A1475" s="12" t="inlineStr">
        <is>
          <t>R904-v2</t>
        </is>
      </c>
      <c r="B1475" s="12" t="inlineStr">
        <is>
          <t>SCH-06-004</t>
        </is>
      </c>
      <c r="C1475" s="12" t="inlineStr">
        <is>
          <t>New</t>
        </is>
      </c>
      <c r="D1475" s="12" t="inlineStr">
        <is>
          <t>Record first supplied in this revision</t>
        </is>
      </c>
      <c r="E1475" s="12" t="inlineStr">
        <is>
          <t>Maya Chen, Owner Project Controls</t>
        </is>
      </c>
      <c r="F1475" s="65" t="inlineStr">
        <is>
          <t>10 EVIDENCE &amp; DECISIONS</t>
        </is>
      </c>
      <c r="G1475" s="14" t="n"/>
    </row>
    <row r="1476" ht="79" customHeight="1">
      <c r="A1476" s="12" t="inlineStr">
        <is>
          <t>R905-v2</t>
        </is>
      </c>
      <c r="B1476" s="12" t="inlineStr">
        <is>
          <t>SCH-06-005</t>
        </is>
      </c>
      <c r="C1476" s="12" t="inlineStr">
        <is>
          <t>New</t>
        </is>
      </c>
      <c r="D1476" s="12" t="inlineStr">
        <is>
          <t>Record first supplied in this revision</t>
        </is>
      </c>
      <c r="E1476" s="12" t="inlineStr">
        <is>
          <t>Maya Chen, Owner Project Controls</t>
        </is>
      </c>
      <c r="F1476" s="65" t="inlineStr">
        <is>
          <t>10 EVIDENCE &amp; DECISIONS</t>
        </is>
      </c>
      <c r="G1476" s="14" t="n"/>
    </row>
    <row r="1477" ht="79" customHeight="1">
      <c r="A1477" s="12" t="inlineStr">
        <is>
          <t>R906-v2</t>
        </is>
      </c>
      <c r="B1477" s="12" t="inlineStr">
        <is>
          <t>SCH-06-006</t>
        </is>
      </c>
      <c r="C1477" s="12" t="inlineStr">
        <is>
          <t>New</t>
        </is>
      </c>
      <c r="D1477" s="12" t="inlineStr">
        <is>
          <t>Record first supplied in this revision</t>
        </is>
      </c>
      <c r="E1477" s="12" t="inlineStr">
        <is>
          <t>Maya Chen, Owner Project Controls</t>
        </is>
      </c>
      <c r="F1477" s="65" t="inlineStr">
        <is>
          <t>10 EVIDENCE &amp; DECISIONS</t>
        </is>
      </c>
      <c r="G1477" s="14" t="n"/>
    </row>
    <row r="1478" ht="79" customHeight="1">
      <c r="A1478" s="12" t="inlineStr">
        <is>
          <t>R907-v2</t>
        </is>
      </c>
      <c r="B1478" s="12" t="inlineStr">
        <is>
          <t>SCH-06-007</t>
        </is>
      </c>
      <c r="C1478" s="12" t="inlineStr">
        <is>
          <t>New</t>
        </is>
      </c>
      <c r="D1478" s="12" t="inlineStr">
        <is>
          <t>Record first supplied in this revision</t>
        </is>
      </c>
      <c r="E1478" s="12" t="inlineStr">
        <is>
          <t>Maya Chen, Owner Project Controls</t>
        </is>
      </c>
      <c r="F1478" s="65" t="inlineStr">
        <is>
          <t>10 EVIDENCE &amp; DECISIONS</t>
        </is>
      </c>
      <c r="G1478" s="14" t="n"/>
    </row>
    <row r="1479" ht="79" customHeight="1">
      <c r="A1479" s="12" t="inlineStr">
        <is>
          <t>R908-v2</t>
        </is>
      </c>
      <c r="B1479" s="12" t="inlineStr">
        <is>
          <t>SCH-06-008</t>
        </is>
      </c>
      <c r="C1479" s="12" t="inlineStr">
        <is>
          <t>New</t>
        </is>
      </c>
      <c r="D1479" s="12" t="inlineStr">
        <is>
          <t>Record first supplied in this revision</t>
        </is>
      </c>
      <c r="E1479" s="12" t="inlineStr">
        <is>
          <t>Maya Chen, Owner Project Controls</t>
        </is>
      </c>
      <c r="F1479" s="65" t="inlineStr">
        <is>
          <t>10 EVIDENCE &amp; DECISIONS</t>
        </is>
      </c>
      <c r="G1479" s="14" t="n"/>
    </row>
    <row r="1480" ht="79" customHeight="1">
      <c r="A1480" s="12" t="inlineStr">
        <is>
          <t>R909-v2</t>
        </is>
      </c>
      <c r="B1480" s="12" t="inlineStr">
        <is>
          <t>SCH-06-009</t>
        </is>
      </c>
      <c r="C1480" s="12" t="inlineStr">
        <is>
          <t>New</t>
        </is>
      </c>
      <c r="D1480" s="12" t="inlineStr">
        <is>
          <t>Record first supplied in this revision</t>
        </is>
      </c>
      <c r="E1480" s="12" t="inlineStr">
        <is>
          <t>Maya Chen, Owner Project Controls</t>
        </is>
      </c>
      <c r="F1480" s="65" t="inlineStr">
        <is>
          <t>10 EVIDENCE &amp; DECISIONS</t>
        </is>
      </c>
      <c r="G1480" s="14" t="n"/>
    </row>
    <row r="1481" ht="79" customHeight="1">
      <c r="A1481" s="12" t="inlineStr">
        <is>
          <t>R910-v2</t>
        </is>
      </c>
      <c r="B1481" s="12" t="inlineStr">
        <is>
          <t>SCH-06-010</t>
        </is>
      </c>
      <c r="C1481" s="12" t="inlineStr">
        <is>
          <t>New</t>
        </is>
      </c>
      <c r="D1481" s="12" t="inlineStr">
        <is>
          <t>Record first supplied in this revision</t>
        </is>
      </c>
      <c r="E1481" s="12" t="inlineStr">
        <is>
          <t>Maya Chen, Owner Project Controls</t>
        </is>
      </c>
      <c r="F1481" s="65" t="inlineStr">
        <is>
          <t>10 EVIDENCE &amp; DECISIONS</t>
        </is>
      </c>
      <c r="G1481" s="14" t="n"/>
    </row>
    <row r="1482" ht="79" customHeight="1">
      <c r="A1482" s="12" t="inlineStr">
        <is>
          <t>R911-v2</t>
        </is>
      </c>
      <c r="B1482" s="12" t="inlineStr">
        <is>
          <t>SCH-06-011</t>
        </is>
      </c>
      <c r="C1482" s="12" t="inlineStr">
        <is>
          <t>New</t>
        </is>
      </c>
      <c r="D1482" s="12" t="inlineStr">
        <is>
          <t>Record first supplied in this revision</t>
        </is>
      </c>
      <c r="E1482" s="12" t="inlineStr">
        <is>
          <t>Maya Chen, Owner Project Controls</t>
        </is>
      </c>
      <c r="F1482" s="65" t="inlineStr">
        <is>
          <t>10 EVIDENCE &amp; DECISIONS</t>
        </is>
      </c>
      <c r="G1482" s="14" t="n"/>
    </row>
    <row r="1483" ht="79" customHeight="1">
      <c r="A1483" s="12" t="inlineStr">
        <is>
          <t>R912-v2</t>
        </is>
      </c>
      <c r="B1483" s="12" t="inlineStr">
        <is>
          <t>SCH-06-012</t>
        </is>
      </c>
      <c r="C1483" s="12" t="inlineStr">
        <is>
          <t>New</t>
        </is>
      </c>
      <c r="D1483" s="12" t="inlineStr">
        <is>
          <t>Record first supplied in this revision</t>
        </is>
      </c>
      <c r="E1483" s="12" t="inlineStr">
        <is>
          <t>Maya Chen, Owner Project Controls</t>
        </is>
      </c>
      <c r="F1483" s="65" t="inlineStr">
        <is>
          <t>10 EVIDENCE &amp; DECISIONS</t>
        </is>
      </c>
      <c r="G1483" s="14" t="n"/>
    </row>
    <row r="1484" ht="79" customHeight="1">
      <c r="A1484" s="12" t="inlineStr">
        <is>
          <t>R913-v2</t>
        </is>
      </c>
      <c r="B1484" s="12" t="inlineStr">
        <is>
          <t>SCH-06-013</t>
        </is>
      </c>
      <c r="C1484" s="12" t="inlineStr">
        <is>
          <t>New</t>
        </is>
      </c>
      <c r="D1484" s="12" t="inlineStr">
        <is>
          <t>Record first supplied in this revision</t>
        </is>
      </c>
      <c r="E1484" s="12" t="inlineStr">
        <is>
          <t>Maya Chen, Owner Project Controls</t>
        </is>
      </c>
      <c r="F1484" s="65" t="inlineStr">
        <is>
          <t>10 EVIDENCE &amp; DECISIONS</t>
        </is>
      </c>
      <c r="G1484" s="14" t="n"/>
    </row>
    <row r="1485" ht="79" customHeight="1">
      <c r="A1485" s="12" t="inlineStr">
        <is>
          <t>R914-v2</t>
        </is>
      </c>
      <c r="B1485" s="12" t="inlineStr">
        <is>
          <t>SCH-06-014</t>
        </is>
      </c>
      <c r="C1485" s="12" t="inlineStr">
        <is>
          <t>New</t>
        </is>
      </c>
      <c r="D1485" s="12" t="inlineStr">
        <is>
          <t>Record first supplied in this revision</t>
        </is>
      </c>
      <c r="E1485" s="12" t="inlineStr">
        <is>
          <t>Maya Chen, Owner Project Controls</t>
        </is>
      </c>
      <c r="F1485" s="65" t="inlineStr">
        <is>
          <t>10 EVIDENCE &amp; DECISIONS</t>
        </is>
      </c>
      <c r="G1485" s="14" t="n"/>
    </row>
    <row r="1486" ht="79" customHeight="1">
      <c r="A1486" s="12" t="inlineStr">
        <is>
          <t>R915-v2</t>
        </is>
      </c>
      <c r="B1486" s="12" t="inlineStr">
        <is>
          <t>SCH-06-015</t>
        </is>
      </c>
      <c r="C1486" s="12" t="inlineStr">
        <is>
          <t>New</t>
        </is>
      </c>
      <c r="D1486" s="12" t="inlineStr">
        <is>
          <t>Record first supplied in this revision</t>
        </is>
      </c>
      <c r="E1486" s="12" t="inlineStr">
        <is>
          <t>Maya Chen, Owner Project Controls</t>
        </is>
      </c>
      <c r="F1486" s="65" t="inlineStr">
        <is>
          <t>10 EVIDENCE &amp; DECISIONS</t>
        </is>
      </c>
      <c r="G1486" s="14" t="n"/>
    </row>
    <row r="1487" ht="79" customHeight="1">
      <c r="A1487" s="12" t="inlineStr">
        <is>
          <t>R916-v2</t>
        </is>
      </c>
      <c r="B1487" s="12" t="inlineStr">
        <is>
          <t>SCH-06-016</t>
        </is>
      </c>
      <c r="C1487" s="12" t="inlineStr">
        <is>
          <t>New</t>
        </is>
      </c>
      <c r="D1487" s="12" t="inlineStr">
        <is>
          <t>Record first supplied in this revision</t>
        </is>
      </c>
      <c r="E1487" s="12" t="inlineStr">
        <is>
          <t>Maya Chen, Owner Project Controls</t>
        </is>
      </c>
      <c r="F1487" s="65" t="inlineStr">
        <is>
          <t>10 EVIDENCE &amp; DECISIONS</t>
        </is>
      </c>
      <c r="G1487" s="14" t="n"/>
    </row>
    <row r="1488" ht="79" customHeight="1">
      <c r="A1488" s="12" t="inlineStr">
        <is>
          <t>R917-v2</t>
        </is>
      </c>
      <c r="B1488" s="12" t="inlineStr">
        <is>
          <t>SCH-06-017</t>
        </is>
      </c>
      <c r="C1488" s="12" t="inlineStr">
        <is>
          <t>New</t>
        </is>
      </c>
      <c r="D1488" s="12" t="inlineStr">
        <is>
          <t>Record first supplied in this revision</t>
        </is>
      </c>
      <c r="E1488" s="12" t="inlineStr">
        <is>
          <t>Maya Chen, Owner Project Controls</t>
        </is>
      </c>
      <c r="F1488" s="65" t="inlineStr">
        <is>
          <t>10 EVIDENCE &amp; DECISIONS</t>
        </is>
      </c>
      <c r="G1488" s="14" t="n"/>
    </row>
    <row r="1489" ht="79" customHeight="1">
      <c r="A1489" s="12" t="inlineStr">
        <is>
          <t>R918-v2</t>
        </is>
      </c>
      <c r="B1489" s="12" t="inlineStr">
        <is>
          <t>SCH-06-018</t>
        </is>
      </c>
      <c r="C1489" s="12" t="inlineStr">
        <is>
          <t>New</t>
        </is>
      </c>
      <c r="D1489" s="12" t="inlineStr">
        <is>
          <t>Record first supplied in this revision</t>
        </is>
      </c>
      <c r="E1489" s="12" t="inlineStr">
        <is>
          <t>Maya Chen, Owner Project Controls</t>
        </is>
      </c>
      <c r="F1489" s="65" t="inlineStr">
        <is>
          <t>10 EVIDENCE &amp; DECISIONS</t>
        </is>
      </c>
      <c r="G1489" s="14" t="n"/>
    </row>
    <row r="1490" ht="79" customHeight="1">
      <c r="A1490" s="12" t="inlineStr">
        <is>
          <t>R919-v2</t>
        </is>
      </c>
      <c r="B1490" s="12" t="inlineStr">
        <is>
          <t>SCH-06-019</t>
        </is>
      </c>
      <c r="C1490" s="12" t="inlineStr">
        <is>
          <t>New</t>
        </is>
      </c>
      <c r="D1490" s="12" t="inlineStr">
        <is>
          <t>Record first supplied in this revision</t>
        </is>
      </c>
      <c r="E1490" s="12" t="inlineStr">
        <is>
          <t>Maya Chen, Owner Project Controls</t>
        </is>
      </c>
      <c r="F1490" s="65" t="inlineStr">
        <is>
          <t>10 EVIDENCE &amp; DECISIONS</t>
        </is>
      </c>
      <c r="G1490" s="14" t="n"/>
    </row>
    <row r="1491" ht="79" customHeight="1">
      <c r="A1491" s="12" t="inlineStr">
        <is>
          <t>R920-v2</t>
        </is>
      </c>
      <c r="B1491" s="12" t="inlineStr">
        <is>
          <t>SCH-06-020</t>
        </is>
      </c>
      <c r="C1491" s="12" t="inlineStr">
        <is>
          <t>New</t>
        </is>
      </c>
      <c r="D1491" s="12" t="inlineStr">
        <is>
          <t>Record first supplied in this revision</t>
        </is>
      </c>
      <c r="E1491" s="12" t="inlineStr">
        <is>
          <t>Maya Chen, Owner Project Controls</t>
        </is>
      </c>
      <c r="F1491" s="65" t="inlineStr">
        <is>
          <t>10 EVIDENCE &amp; DECISIONS</t>
        </is>
      </c>
      <c r="G1491" s="14" t="n"/>
    </row>
    <row r="1492" ht="79" customHeight="1">
      <c r="A1492" s="12" t="inlineStr">
        <is>
          <t>R921-v2</t>
        </is>
      </c>
      <c r="B1492" s="12" t="inlineStr">
        <is>
          <t>SCH-06-021</t>
        </is>
      </c>
      <c r="C1492" s="12" t="inlineStr">
        <is>
          <t>New</t>
        </is>
      </c>
      <c r="D1492" s="12" t="inlineStr">
        <is>
          <t>Record first supplied in this revision</t>
        </is>
      </c>
      <c r="E1492" s="12" t="inlineStr">
        <is>
          <t>Maya Chen, Owner Project Controls</t>
        </is>
      </c>
      <c r="F1492" s="65" t="inlineStr">
        <is>
          <t>10 EVIDENCE &amp; DECISIONS</t>
        </is>
      </c>
      <c r="G1492" s="14" t="n"/>
    </row>
    <row r="1493" ht="79" customHeight="1">
      <c r="A1493" s="12" t="inlineStr">
        <is>
          <t>R922-v2</t>
        </is>
      </c>
      <c r="B1493" s="12" t="inlineStr">
        <is>
          <t>SCH-06-022</t>
        </is>
      </c>
      <c r="C1493" s="12" t="inlineStr">
        <is>
          <t>New</t>
        </is>
      </c>
      <c r="D1493" s="12" t="inlineStr">
        <is>
          <t>Record first supplied in this revision</t>
        </is>
      </c>
      <c r="E1493" s="12" t="inlineStr">
        <is>
          <t>Maya Chen, Owner Project Controls</t>
        </is>
      </c>
      <c r="F1493" s="65" t="inlineStr">
        <is>
          <t>10 EVIDENCE &amp; DECISIONS</t>
        </is>
      </c>
      <c r="G1493" s="14" t="n"/>
    </row>
    <row r="1494" ht="79" customHeight="1">
      <c r="A1494" s="12" t="inlineStr">
        <is>
          <t>R923-v2</t>
        </is>
      </c>
      <c r="B1494" s="12" t="inlineStr">
        <is>
          <t>SCH-06-023</t>
        </is>
      </c>
      <c r="C1494" s="12" t="inlineStr">
        <is>
          <t>New</t>
        </is>
      </c>
      <c r="D1494" s="12" t="inlineStr">
        <is>
          <t>Record first supplied in this revision</t>
        </is>
      </c>
      <c r="E1494" s="12" t="inlineStr">
        <is>
          <t>Maya Chen, Owner Project Controls</t>
        </is>
      </c>
      <c r="F1494" s="65" t="inlineStr">
        <is>
          <t>10 EVIDENCE &amp; DECISIONS</t>
        </is>
      </c>
      <c r="G1494" s="14" t="n"/>
    </row>
    <row r="1495" ht="79" customHeight="1">
      <c r="A1495" s="12" t="inlineStr">
        <is>
          <t>R924-v2</t>
        </is>
      </c>
      <c r="B1495" s="12" t="inlineStr">
        <is>
          <t>SCH-06-024</t>
        </is>
      </c>
      <c r="C1495" s="12" t="inlineStr">
        <is>
          <t>New</t>
        </is>
      </c>
      <c r="D1495" s="12" t="inlineStr">
        <is>
          <t>Record first supplied in this revision</t>
        </is>
      </c>
      <c r="E1495" s="12" t="inlineStr">
        <is>
          <t>Maya Chen, Owner Project Controls</t>
        </is>
      </c>
      <c r="F1495" s="65" t="inlineStr">
        <is>
          <t>10 EVIDENCE &amp; DECISIONS</t>
        </is>
      </c>
      <c r="G1495" s="14" t="n"/>
    </row>
    <row r="1496" ht="79" customHeight="1">
      <c r="A1496" s="12" t="inlineStr">
        <is>
          <t>R925-v2</t>
        </is>
      </c>
      <c r="B1496" s="12" t="inlineStr">
        <is>
          <t>SCH-06-025</t>
        </is>
      </c>
      <c r="C1496" s="12" t="inlineStr">
        <is>
          <t>New</t>
        </is>
      </c>
      <c r="D1496" s="12" t="inlineStr">
        <is>
          <t>Record first supplied in this revision</t>
        </is>
      </c>
      <c r="E1496" s="12" t="inlineStr">
        <is>
          <t>Maya Chen, Owner Project Controls</t>
        </is>
      </c>
      <c r="F1496" s="65" t="inlineStr">
        <is>
          <t>10 EVIDENCE &amp; DECISIONS</t>
        </is>
      </c>
      <c r="G1496" s="14" t="n"/>
    </row>
    <row r="1497" ht="79" customHeight="1">
      <c r="A1497" s="12" t="inlineStr">
        <is>
          <t>R926-v2</t>
        </is>
      </c>
      <c r="B1497" s="12" t="inlineStr">
        <is>
          <t>SCH-06-026</t>
        </is>
      </c>
      <c r="C1497" s="12" t="inlineStr">
        <is>
          <t>New</t>
        </is>
      </c>
      <c r="D1497" s="12" t="inlineStr">
        <is>
          <t>Record first supplied in this revision</t>
        </is>
      </c>
      <c r="E1497" s="12" t="inlineStr">
        <is>
          <t>Maya Chen, Owner Project Controls</t>
        </is>
      </c>
      <c r="F1497" s="65" t="inlineStr">
        <is>
          <t>10 EVIDENCE &amp; DECISIONS</t>
        </is>
      </c>
      <c r="G1497" s="14" t="n"/>
    </row>
    <row r="1498" ht="79" customHeight="1">
      <c r="A1498" s="12" t="inlineStr">
        <is>
          <t>R927-v2</t>
        </is>
      </c>
      <c r="B1498" s="12" t="inlineStr">
        <is>
          <t>SCH-06-027</t>
        </is>
      </c>
      <c r="C1498" s="12" t="inlineStr">
        <is>
          <t>New</t>
        </is>
      </c>
      <c r="D1498" s="12" t="inlineStr">
        <is>
          <t>Record first supplied in this revision</t>
        </is>
      </c>
      <c r="E1498" s="12" t="inlineStr">
        <is>
          <t>Maya Chen, Owner Project Controls</t>
        </is>
      </c>
      <c r="F1498" s="65" t="inlineStr">
        <is>
          <t>10 EVIDENCE &amp; DECISIONS</t>
        </is>
      </c>
      <c r="G1498" s="14" t="n"/>
    </row>
    <row r="1499" ht="79" customHeight="1">
      <c r="A1499" s="12" t="inlineStr">
        <is>
          <t>R928-v2</t>
        </is>
      </c>
      <c r="B1499" s="12" t="inlineStr">
        <is>
          <t>SCH-06-028</t>
        </is>
      </c>
      <c r="C1499" s="12" t="inlineStr">
        <is>
          <t>New</t>
        </is>
      </c>
      <c r="D1499" s="12" t="inlineStr">
        <is>
          <t>Record first supplied in this revision</t>
        </is>
      </c>
      <c r="E1499" s="12" t="inlineStr">
        <is>
          <t>Maya Chen, Owner Project Controls</t>
        </is>
      </c>
      <c r="F1499" s="65" t="inlineStr">
        <is>
          <t>10 EVIDENCE &amp; DECISIONS</t>
        </is>
      </c>
      <c r="G1499" s="14" t="n"/>
    </row>
    <row r="1500" ht="79" customHeight="1">
      <c r="A1500" s="12" t="inlineStr">
        <is>
          <t>R929-v2</t>
        </is>
      </c>
      <c r="B1500" s="12" t="inlineStr">
        <is>
          <t>SCH-06-029</t>
        </is>
      </c>
      <c r="C1500" s="12" t="inlineStr">
        <is>
          <t>New</t>
        </is>
      </c>
      <c r="D1500" s="12" t="inlineStr">
        <is>
          <t>Record first supplied in this revision</t>
        </is>
      </c>
      <c r="E1500" s="12" t="inlineStr">
        <is>
          <t>Maya Chen, Owner Project Controls</t>
        </is>
      </c>
      <c r="F1500" s="65" t="inlineStr">
        <is>
          <t>10 EVIDENCE &amp; DECISIONS</t>
        </is>
      </c>
      <c r="G1500" s="14" t="n"/>
    </row>
    <row r="1501" ht="79" customHeight="1">
      <c r="A1501" s="12" t="inlineStr">
        <is>
          <t>R930-v2</t>
        </is>
      </c>
      <c r="B1501" s="12" t="inlineStr">
        <is>
          <t>SCH-06-030</t>
        </is>
      </c>
      <c r="C1501" s="12" t="inlineStr">
        <is>
          <t>New</t>
        </is>
      </c>
      <c r="D1501" s="12" t="inlineStr">
        <is>
          <t>Record first supplied in this revision</t>
        </is>
      </c>
      <c r="E1501" s="12" t="inlineStr">
        <is>
          <t>Maya Chen, Owner Project Controls</t>
        </is>
      </c>
      <c r="F1501" s="65" t="inlineStr">
        <is>
          <t>10 EVIDENCE &amp; DECISIONS</t>
        </is>
      </c>
      <c r="G1501" s="14" t="n"/>
    </row>
    <row r="1502" ht="79" customHeight="1">
      <c r="A1502" s="12" t="inlineStr">
        <is>
          <t>R931-v2</t>
        </is>
      </c>
      <c r="B1502" s="12" t="inlineStr">
        <is>
          <t>SCH-06-031</t>
        </is>
      </c>
      <c r="C1502" s="12" t="inlineStr">
        <is>
          <t>New</t>
        </is>
      </c>
      <c r="D1502" s="12" t="inlineStr">
        <is>
          <t>Record first supplied in this revision</t>
        </is>
      </c>
      <c r="E1502" s="12" t="inlineStr">
        <is>
          <t>Maya Chen, Owner Project Controls</t>
        </is>
      </c>
      <c r="F1502" s="65" t="inlineStr">
        <is>
          <t>10 EVIDENCE &amp; DECISIONS</t>
        </is>
      </c>
      <c r="G1502" s="14" t="n"/>
    </row>
    <row r="1503" ht="79" customHeight="1">
      <c r="A1503" s="12" t="inlineStr">
        <is>
          <t>R932-v2</t>
        </is>
      </c>
      <c r="B1503" s="12" t="inlineStr">
        <is>
          <t>SCH-06-032</t>
        </is>
      </c>
      <c r="C1503" s="12" t="inlineStr">
        <is>
          <t>New</t>
        </is>
      </c>
      <c r="D1503" s="12" t="inlineStr">
        <is>
          <t>Record first supplied in this revision</t>
        </is>
      </c>
      <c r="E1503" s="12" t="inlineStr">
        <is>
          <t>Maya Chen, Owner Project Controls</t>
        </is>
      </c>
      <c r="F1503" s="65" t="inlineStr">
        <is>
          <t>10 EVIDENCE &amp; DECISIONS</t>
        </is>
      </c>
      <c r="G1503" s="14" t="n"/>
    </row>
    <row r="1504" ht="79" customHeight="1">
      <c r="A1504" s="12" t="inlineStr">
        <is>
          <t>R933-v2</t>
        </is>
      </c>
      <c r="B1504" s="12" t="inlineStr">
        <is>
          <t>SCH-06-033</t>
        </is>
      </c>
      <c r="C1504" s="12" t="inlineStr">
        <is>
          <t>New</t>
        </is>
      </c>
      <c r="D1504" s="12" t="inlineStr">
        <is>
          <t>Record first supplied in this revision</t>
        </is>
      </c>
      <c r="E1504" s="12" t="inlineStr">
        <is>
          <t>Maya Chen, Owner Project Controls</t>
        </is>
      </c>
      <c r="F1504" s="65" t="inlineStr">
        <is>
          <t>10 EVIDENCE &amp; DECISIONS</t>
        </is>
      </c>
      <c r="G1504" s="14" t="n"/>
    </row>
    <row r="1505" ht="79" customHeight="1">
      <c r="A1505" s="12" t="inlineStr">
        <is>
          <t>R934-v2</t>
        </is>
      </c>
      <c r="B1505" s="12" t="inlineStr">
        <is>
          <t>SCH-06-034</t>
        </is>
      </c>
      <c r="C1505" s="12" t="inlineStr">
        <is>
          <t>New</t>
        </is>
      </c>
      <c r="D1505" s="12" t="inlineStr">
        <is>
          <t>Record first supplied in this revision</t>
        </is>
      </c>
      <c r="E1505" s="12" t="inlineStr">
        <is>
          <t>Maya Chen, Owner Project Controls</t>
        </is>
      </c>
      <c r="F1505" s="65" t="inlineStr">
        <is>
          <t>10 EVIDENCE &amp; DECISIONS</t>
        </is>
      </c>
      <c r="G1505" s="14" t="n"/>
    </row>
    <row r="1506" ht="79" customHeight="1">
      <c r="A1506" s="12" t="inlineStr">
        <is>
          <t>R935-v2</t>
        </is>
      </c>
      <c r="B1506" s="12" t="inlineStr">
        <is>
          <t>SCH-06-035</t>
        </is>
      </c>
      <c r="C1506" s="12" t="inlineStr">
        <is>
          <t>New</t>
        </is>
      </c>
      <c r="D1506" s="12" t="inlineStr">
        <is>
          <t>Record first supplied in this revision</t>
        </is>
      </c>
      <c r="E1506" s="12" t="inlineStr">
        <is>
          <t>Maya Chen, Owner Project Controls</t>
        </is>
      </c>
      <c r="F1506" s="65" t="inlineStr">
        <is>
          <t>10 EVIDENCE &amp; DECISIONS</t>
        </is>
      </c>
      <c r="G1506" s="14" t="n"/>
    </row>
    <row r="1507" ht="79" customHeight="1">
      <c r="A1507" s="12" t="inlineStr">
        <is>
          <t>R936-v2</t>
        </is>
      </c>
      <c r="B1507" s="12" t="inlineStr">
        <is>
          <t>SCH-06-036</t>
        </is>
      </c>
      <c r="C1507" s="12" t="inlineStr">
        <is>
          <t>New</t>
        </is>
      </c>
      <c r="D1507" s="12" t="inlineStr">
        <is>
          <t>Record first supplied in this revision</t>
        </is>
      </c>
      <c r="E1507" s="12" t="inlineStr">
        <is>
          <t>Maya Chen, Owner Project Controls</t>
        </is>
      </c>
      <c r="F1507" s="65" t="inlineStr">
        <is>
          <t>10 EVIDENCE &amp; DECISIONS</t>
        </is>
      </c>
      <c r="G1507" s="14" t="n"/>
    </row>
    <row r="1508" ht="79" customHeight="1">
      <c r="A1508" s="12" t="inlineStr">
        <is>
          <t>R937-v2</t>
        </is>
      </c>
      <c r="B1508" s="12" t="inlineStr">
        <is>
          <t>SCH-06-037</t>
        </is>
      </c>
      <c r="C1508" s="12" t="inlineStr">
        <is>
          <t>New</t>
        </is>
      </c>
      <c r="D1508" s="12" t="inlineStr">
        <is>
          <t>Record first supplied in this revision</t>
        </is>
      </c>
      <c r="E1508" s="12" t="inlineStr">
        <is>
          <t>Maya Chen, Owner Project Controls</t>
        </is>
      </c>
      <c r="F1508" s="65" t="inlineStr">
        <is>
          <t>10 EVIDENCE &amp; DECISIONS</t>
        </is>
      </c>
      <c r="G1508" s="14" t="n"/>
    </row>
    <row r="1509" ht="79" customHeight="1">
      <c r="A1509" s="12" t="inlineStr">
        <is>
          <t>R938-v2</t>
        </is>
      </c>
      <c r="B1509" s="12" t="inlineStr">
        <is>
          <t>SCH-06-038</t>
        </is>
      </c>
      <c r="C1509" s="12" t="inlineStr">
        <is>
          <t>New</t>
        </is>
      </c>
      <c r="D1509" s="12" t="inlineStr">
        <is>
          <t>Record first supplied in this revision</t>
        </is>
      </c>
      <c r="E1509" s="12" t="inlineStr">
        <is>
          <t>Maya Chen, Owner Project Controls</t>
        </is>
      </c>
      <c r="F1509" s="65" t="inlineStr">
        <is>
          <t>10 EVIDENCE &amp; DECISIONS</t>
        </is>
      </c>
      <c r="G1509" s="14" t="n"/>
    </row>
    <row r="1510" ht="79" customHeight="1">
      <c r="A1510" s="12" t="inlineStr">
        <is>
          <t>R939-v2</t>
        </is>
      </c>
      <c r="B1510" s="12" t="inlineStr">
        <is>
          <t>SCH-06-039</t>
        </is>
      </c>
      <c r="C1510" s="12" t="inlineStr">
        <is>
          <t>New</t>
        </is>
      </c>
      <c r="D1510" s="12" t="inlineStr">
        <is>
          <t>Record first supplied in this revision</t>
        </is>
      </c>
      <c r="E1510" s="12" t="inlineStr">
        <is>
          <t>Maya Chen, Owner Project Controls</t>
        </is>
      </c>
      <c r="F1510" s="65" t="inlineStr">
        <is>
          <t>10 EVIDENCE &amp; DECISIONS</t>
        </is>
      </c>
      <c r="G1510" s="14" t="n"/>
    </row>
    <row r="1511" ht="79" customHeight="1">
      <c r="A1511" s="12" t="inlineStr">
        <is>
          <t>R940-v2</t>
        </is>
      </c>
      <c r="B1511" s="12" t="inlineStr">
        <is>
          <t>SCH-06-040</t>
        </is>
      </c>
      <c r="C1511" s="12" t="inlineStr">
        <is>
          <t>New</t>
        </is>
      </c>
      <c r="D1511" s="12" t="inlineStr">
        <is>
          <t>Record first supplied in this revision</t>
        </is>
      </c>
      <c r="E1511" s="12" t="inlineStr">
        <is>
          <t>Maya Chen, Owner Project Controls</t>
        </is>
      </c>
      <c r="F1511" s="65" t="inlineStr">
        <is>
          <t>10 EVIDENCE &amp; DECISIONS</t>
        </is>
      </c>
      <c r="G1511" s="14" t="n"/>
    </row>
    <row r="1512" ht="79" customHeight="1">
      <c r="A1512" s="12" t="inlineStr">
        <is>
          <t>R941-v2</t>
        </is>
      </c>
      <c r="B1512" s="12" t="inlineStr">
        <is>
          <t>SCH-06-041</t>
        </is>
      </c>
      <c r="C1512" s="12" t="inlineStr">
        <is>
          <t>New</t>
        </is>
      </c>
      <c r="D1512" s="12" t="inlineStr">
        <is>
          <t>Record first supplied in this revision</t>
        </is>
      </c>
      <c r="E1512" s="12" t="inlineStr">
        <is>
          <t>Maya Chen, Owner Project Controls</t>
        </is>
      </c>
      <c r="F1512" s="65" t="inlineStr">
        <is>
          <t>10 EVIDENCE &amp; DECISIONS</t>
        </is>
      </c>
      <c r="G1512" s="14" t="n"/>
    </row>
    <row r="1513" ht="79" customHeight="1">
      <c r="A1513" s="12" t="inlineStr">
        <is>
          <t>R942-v2</t>
        </is>
      </c>
      <c r="B1513" s="12" t="inlineStr">
        <is>
          <t>SCH-06-042</t>
        </is>
      </c>
      <c r="C1513" s="12" t="inlineStr">
        <is>
          <t>New</t>
        </is>
      </c>
      <c r="D1513" s="12" t="inlineStr">
        <is>
          <t>Record first supplied in this revision</t>
        </is>
      </c>
      <c r="E1513" s="12" t="inlineStr">
        <is>
          <t>Maya Chen, Owner Project Controls</t>
        </is>
      </c>
      <c r="F1513" s="65" t="inlineStr">
        <is>
          <t>10 EVIDENCE &amp; DECISIONS</t>
        </is>
      </c>
      <c r="G1513" s="14" t="n"/>
    </row>
    <row r="1514" ht="79" customHeight="1">
      <c r="A1514" s="12" t="inlineStr">
        <is>
          <t>R943-v2</t>
        </is>
      </c>
      <c r="B1514" s="12" t="inlineStr">
        <is>
          <t>SCH-06-043</t>
        </is>
      </c>
      <c r="C1514" s="12" t="inlineStr">
        <is>
          <t>New</t>
        </is>
      </c>
      <c r="D1514" s="12" t="inlineStr">
        <is>
          <t>Record first supplied in this revision</t>
        </is>
      </c>
      <c r="E1514" s="12" t="inlineStr">
        <is>
          <t>Maya Chen, Owner Project Controls</t>
        </is>
      </c>
      <c r="F1514" s="65" t="inlineStr">
        <is>
          <t>10 EVIDENCE &amp; DECISIONS</t>
        </is>
      </c>
      <c r="G1514" s="14" t="n"/>
    </row>
    <row r="1515" ht="79" customHeight="1">
      <c r="A1515" s="12" t="inlineStr">
        <is>
          <t>R944-v2</t>
        </is>
      </c>
      <c r="B1515" s="12" t="inlineStr">
        <is>
          <t>SCH-06-044</t>
        </is>
      </c>
      <c r="C1515" s="12" t="inlineStr">
        <is>
          <t>New</t>
        </is>
      </c>
      <c r="D1515" s="12" t="inlineStr">
        <is>
          <t>Record first supplied in this revision</t>
        </is>
      </c>
      <c r="E1515" s="12" t="inlineStr">
        <is>
          <t>Maya Chen, Owner Project Controls</t>
        </is>
      </c>
      <c r="F1515" s="65" t="inlineStr">
        <is>
          <t>10 EVIDENCE &amp; DECISIONS</t>
        </is>
      </c>
      <c r="G1515" s="14" t="n"/>
    </row>
    <row r="1516" ht="79" customHeight="1">
      <c r="A1516" s="12" t="inlineStr">
        <is>
          <t>R945-v2</t>
        </is>
      </c>
      <c r="B1516" s="12" t="inlineStr">
        <is>
          <t>SCH-06-045</t>
        </is>
      </c>
      <c r="C1516" s="12" t="inlineStr">
        <is>
          <t>New</t>
        </is>
      </c>
      <c r="D1516" s="12" t="inlineStr">
        <is>
          <t>Record first supplied in this revision</t>
        </is>
      </c>
      <c r="E1516" s="12" t="inlineStr">
        <is>
          <t>Maya Chen, Owner Project Controls</t>
        </is>
      </c>
      <c r="F1516" s="65" t="inlineStr">
        <is>
          <t>10 EVIDENCE &amp; DECISIONS</t>
        </is>
      </c>
      <c r="G1516" s="14" t="n"/>
    </row>
    <row r="1517" ht="79" customHeight="1">
      <c r="A1517" s="12" t="inlineStr">
        <is>
          <t>R946-v2</t>
        </is>
      </c>
      <c r="B1517" s="12" t="inlineStr">
        <is>
          <t>SCH-06-046</t>
        </is>
      </c>
      <c r="C1517" s="12" t="inlineStr">
        <is>
          <t>New</t>
        </is>
      </c>
      <c r="D1517" s="12" t="inlineStr">
        <is>
          <t>Record first supplied in this revision</t>
        </is>
      </c>
      <c r="E1517" s="12" t="inlineStr">
        <is>
          <t>Maya Chen, Owner Project Controls</t>
        </is>
      </c>
      <c r="F1517" s="65" t="inlineStr">
        <is>
          <t>10 EVIDENCE &amp; DECISIONS</t>
        </is>
      </c>
      <c r="G1517" s="14" t="n"/>
    </row>
    <row r="1518" ht="79" customHeight="1">
      <c r="A1518" s="12" t="inlineStr">
        <is>
          <t>R947-v2</t>
        </is>
      </c>
      <c r="B1518" s="12" t="inlineStr">
        <is>
          <t>SCH-06-047</t>
        </is>
      </c>
      <c r="C1518" s="12" t="inlineStr">
        <is>
          <t>New</t>
        </is>
      </c>
      <c r="D1518" s="12" t="inlineStr">
        <is>
          <t>Record first supplied in this revision</t>
        </is>
      </c>
      <c r="E1518" s="12" t="inlineStr">
        <is>
          <t>Maya Chen, Owner Project Controls</t>
        </is>
      </c>
      <c r="F1518" s="65" t="inlineStr">
        <is>
          <t>10 EVIDENCE &amp; DECISIONS</t>
        </is>
      </c>
      <c r="G1518" s="14" t="n"/>
    </row>
    <row r="1519" ht="79" customHeight="1">
      <c r="A1519" s="12" t="inlineStr">
        <is>
          <t>R948-v2</t>
        </is>
      </c>
      <c r="B1519" s="12" t="inlineStr">
        <is>
          <t>SCH-06-048</t>
        </is>
      </c>
      <c r="C1519" s="12" t="inlineStr">
        <is>
          <t>New</t>
        </is>
      </c>
      <c r="D1519" s="12" t="inlineStr">
        <is>
          <t>Record first supplied in this revision</t>
        </is>
      </c>
      <c r="E1519" s="12" t="inlineStr">
        <is>
          <t>Maya Chen, Owner Project Controls</t>
        </is>
      </c>
      <c r="F1519" s="65" t="inlineStr">
        <is>
          <t>10 EVIDENCE &amp; DECISIONS</t>
        </is>
      </c>
      <c r="G1519" s="14" t="n"/>
    </row>
    <row r="1520" ht="79" customHeight="1">
      <c r="A1520" s="12" t="inlineStr">
        <is>
          <t>R949-v2</t>
        </is>
      </c>
      <c r="B1520" s="12" t="inlineStr">
        <is>
          <t>SCH-06-049</t>
        </is>
      </c>
      <c r="C1520" s="12" t="inlineStr">
        <is>
          <t>New</t>
        </is>
      </c>
      <c r="D1520" s="12" t="inlineStr">
        <is>
          <t>Record first supplied in this revision</t>
        </is>
      </c>
      <c r="E1520" s="12" t="inlineStr">
        <is>
          <t>Maya Chen, Owner Project Controls</t>
        </is>
      </c>
      <c r="F1520" s="65" t="inlineStr">
        <is>
          <t>10 EVIDENCE &amp; DECISIONS</t>
        </is>
      </c>
      <c r="G1520" s="14" t="n"/>
    </row>
    <row r="1521" ht="79" customHeight="1">
      <c r="A1521" s="12" t="inlineStr">
        <is>
          <t>R950-v2</t>
        </is>
      </c>
      <c r="B1521" s="12" t="inlineStr">
        <is>
          <t>SCH-06-050</t>
        </is>
      </c>
      <c r="C1521" s="12" t="inlineStr">
        <is>
          <t>New</t>
        </is>
      </c>
      <c r="D1521" s="12" t="inlineStr">
        <is>
          <t>Record first supplied in this revision</t>
        </is>
      </c>
      <c r="E1521" s="12" t="inlineStr">
        <is>
          <t>Maya Chen, Owner Project Controls</t>
        </is>
      </c>
      <c r="F1521" s="65" t="inlineStr">
        <is>
          <t>10 EVIDENCE &amp; DECISIONS</t>
        </is>
      </c>
      <c r="G1521" s="14" t="n"/>
    </row>
    <row r="1522" ht="79" customHeight="1">
      <c r="A1522" s="12" t="inlineStr">
        <is>
          <t>R951-v2</t>
        </is>
      </c>
      <c r="B1522" s="12" t="inlineStr">
        <is>
          <t>SCH-06-051</t>
        </is>
      </c>
      <c r="C1522" s="12" t="inlineStr">
        <is>
          <t>New</t>
        </is>
      </c>
      <c r="D1522" s="12" t="inlineStr">
        <is>
          <t>Record first supplied in this revision</t>
        </is>
      </c>
      <c r="E1522" s="12" t="inlineStr">
        <is>
          <t>Maya Chen, Owner Project Controls</t>
        </is>
      </c>
      <c r="F1522" s="65" t="inlineStr">
        <is>
          <t>10 EVIDENCE &amp; DECISIONS</t>
        </is>
      </c>
      <c r="G1522" s="14" t="n"/>
    </row>
    <row r="1523" ht="79" customHeight="1">
      <c r="A1523" s="12" t="inlineStr">
        <is>
          <t>R952-v2</t>
        </is>
      </c>
      <c r="B1523" s="12" t="inlineStr">
        <is>
          <t>SCH-06-052</t>
        </is>
      </c>
      <c r="C1523" s="12" t="inlineStr">
        <is>
          <t>New</t>
        </is>
      </c>
      <c r="D1523" s="12" t="inlineStr">
        <is>
          <t>Record first supplied in this revision</t>
        </is>
      </c>
      <c r="E1523" s="12" t="inlineStr">
        <is>
          <t>Maya Chen, Owner Project Controls</t>
        </is>
      </c>
      <c r="F1523" s="65" t="inlineStr">
        <is>
          <t>10 EVIDENCE &amp; DECISIONS</t>
        </is>
      </c>
      <c r="G1523" s="14" t="n"/>
    </row>
    <row r="1524" ht="79" customHeight="1">
      <c r="A1524" s="12" t="inlineStr">
        <is>
          <t>R953-v2</t>
        </is>
      </c>
      <c r="B1524" s="12" t="inlineStr">
        <is>
          <t>SCH-06-053</t>
        </is>
      </c>
      <c r="C1524" s="12" t="inlineStr">
        <is>
          <t>New</t>
        </is>
      </c>
      <c r="D1524" s="12" t="inlineStr">
        <is>
          <t>Record first supplied in this revision</t>
        </is>
      </c>
      <c r="E1524" s="12" t="inlineStr">
        <is>
          <t>Maya Chen, Owner Project Controls</t>
        </is>
      </c>
      <c r="F1524" s="65" t="inlineStr">
        <is>
          <t>10 EVIDENCE &amp; DECISIONS</t>
        </is>
      </c>
      <c r="G1524" s="14" t="n"/>
    </row>
    <row r="1525" ht="79" customHeight="1">
      <c r="A1525" s="12" t="inlineStr">
        <is>
          <t>R954-v2</t>
        </is>
      </c>
      <c r="B1525" s="12" t="inlineStr">
        <is>
          <t>SCH-06-054</t>
        </is>
      </c>
      <c r="C1525" s="12" t="inlineStr">
        <is>
          <t>New</t>
        </is>
      </c>
      <c r="D1525" s="12" t="inlineStr">
        <is>
          <t>Record first supplied in this revision</t>
        </is>
      </c>
      <c r="E1525" s="12" t="inlineStr">
        <is>
          <t>Maya Chen, Owner Project Controls</t>
        </is>
      </c>
      <c r="F1525" s="65" t="inlineStr">
        <is>
          <t>10 EVIDENCE &amp; DECISIONS</t>
        </is>
      </c>
      <c r="G1525" s="14" t="n"/>
    </row>
    <row r="1526" ht="79" customHeight="1">
      <c r="A1526" s="12" t="inlineStr">
        <is>
          <t>R955-v2</t>
        </is>
      </c>
      <c r="B1526" s="12" t="inlineStr">
        <is>
          <t>SCH-06-055</t>
        </is>
      </c>
      <c r="C1526" s="12" t="inlineStr">
        <is>
          <t>New</t>
        </is>
      </c>
      <c r="D1526" s="12" t="inlineStr">
        <is>
          <t>Record first supplied in this revision</t>
        </is>
      </c>
      <c r="E1526" s="12" t="inlineStr">
        <is>
          <t>Maya Chen, Owner Project Controls</t>
        </is>
      </c>
      <c r="F1526" s="65" t="inlineStr">
        <is>
          <t>10 EVIDENCE &amp; DECISIONS</t>
        </is>
      </c>
      <c r="G1526" s="14" t="n"/>
    </row>
    <row r="1527" ht="79" customHeight="1">
      <c r="A1527" s="12" t="inlineStr">
        <is>
          <t>R956-v2</t>
        </is>
      </c>
      <c r="B1527" s="12" t="inlineStr">
        <is>
          <t>SCH-06-056</t>
        </is>
      </c>
      <c r="C1527" s="12" t="inlineStr">
        <is>
          <t>New</t>
        </is>
      </c>
      <c r="D1527" s="12" t="inlineStr">
        <is>
          <t>Record first supplied in this revision</t>
        </is>
      </c>
      <c r="E1527" s="12" t="inlineStr">
        <is>
          <t>Maya Chen, Owner Project Controls</t>
        </is>
      </c>
      <c r="F1527" s="65" t="inlineStr">
        <is>
          <t>10 EVIDENCE &amp; DECISIONS</t>
        </is>
      </c>
      <c r="G1527" s="14" t="n"/>
    </row>
    <row r="1528" ht="79" customHeight="1">
      <c r="A1528" s="12" t="inlineStr">
        <is>
          <t>R957-v2</t>
        </is>
      </c>
      <c r="B1528" s="12" t="inlineStr">
        <is>
          <t>SCH-06-057</t>
        </is>
      </c>
      <c r="C1528" s="12" t="inlineStr">
        <is>
          <t>New</t>
        </is>
      </c>
      <c r="D1528" s="12" t="inlineStr">
        <is>
          <t>Record first supplied in this revision</t>
        </is>
      </c>
      <c r="E1528" s="12" t="inlineStr">
        <is>
          <t>Maya Chen, Owner Project Controls</t>
        </is>
      </c>
      <c r="F1528" s="65" t="inlineStr">
        <is>
          <t>10 EVIDENCE &amp; DECISIONS</t>
        </is>
      </c>
      <c r="G1528" s="14" t="n"/>
    </row>
    <row r="1529" ht="79" customHeight="1">
      <c r="A1529" s="12" t="inlineStr">
        <is>
          <t>R958-v2</t>
        </is>
      </c>
      <c r="B1529" s="12" t="inlineStr">
        <is>
          <t>SCH-06-058</t>
        </is>
      </c>
      <c r="C1529" s="12" t="inlineStr">
        <is>
          <t>New</t>
        </is>
      </c>
      <c r="D1529" s="12" t="inlineStr">
        <is>
          <t>Record first supplied in this revision</t>
        </is>
      </c>
      <c r="E1529" s="12" t="inlineStr">
        <is>
          <t>Maya Chen, Owner Project Controls</t>
        </is>
      </c>
      <c r="F1529" s="65" t="inlineStr">
        <is>
          <t>10 EVIDENCE &amp; DECISIONS</t>
        </is>
      </c>
      <c r="G1529" s="14" t="n"/>
    </row>
    <row r="1530" ht="79" customHeight="1">
      <c r="A1530" s="12" t="inlineStr">
        <is>
          <t>R959-v2</t>
        </is>
      </c>
      <c r="B1530" s="12" t="inlineStr">
        <is>
          <t>SCH-06-059</t>
        </is>
      </c>
      <c r="C1530" s="12" t="inlineStr">
        <is>
          <t>New</t>
        </is>
      </c>
      <c r="D1530" s="12" t="inlineStr">
        <is>
          <t>Record first supplied in this revision</t>
        </is>
      </c>
      <c r="E1530" s="12" t="inlineStr">
        <is>
          <t>Maya Chen, Owner Project Controls</t>
        </is>
      </c>
      <c r="F1530" s="65" t="inlineStr">
        <is>
          <t>10 EVIDENCE &amp; DECISIONS</t>
        </is>
      </c>
      <c r="G1530" s="14" t="n"/>
    </row>
    <row r="1531" ht="79" customHeight="1">
      <c r="A1531" s="12" t="inlineStr">
        <is>
          <t>R960-v2</t>
        </is>
      </c>
      <c r="B1531" s="12" t="inlineStr">
        <is>
          <t>SCH-06-060</t>
        </is>
      </c>
      <c r="C1531" s="12" t="inlineStr">
        <is>
          <t>New</t>
        </is>
      </c>
      <c r="D1531" s="12" t="inlineStr">
        <is>
          <t>Record first supplied in this revision</t>
        </is>
      </c>
      <c r="E1531" s="12" t="inlineStr">
        <is>
          <t>Maya Chen, Owner Project Controls</t>
        </is>
      </c>
      <c r="F1531" s="65" t="inlineStr">
        <is>
          <t>10 EVIDENCE &amp; DECISIONS</t>
        </is>
      </c>
      <c r="G1531" s="14" t="n"/>
    </row>
    <row r="1532" ht="79" customHeight="1">
      <c r="A1532" s="12" t="inlineStr">
        <is>
          <t>R961-v2</t>
        </is>
      </c>
      <c r="B1532" s="12" t="inlineStr">
        <is>
          <t>SCH-06-061</t>
        </is>
      </c>
      <c r="C1532" s="12" t="inlineStr">
        <is>
          <t>New</t>
        </is>
      </c>
      <c r="D1532" s="12" t="inlineStr">
        <is>
          <t>Record first supplied in this revision</t>
        </is>
      </c>
      <c r="E1532" s="12" t="inlineStr">
        <is>
          <t>Maya Chen, Owner Project Controls</t>
        </is>
      </c>
      <c r="F1532" s="65" t="inlineStr">
        <is>
          <t>10 EVIDENCE &amp; DECISIONS</t>
        </is>
      </c>
      <c r="G1532" s="14" t="n"/>
    </row>
    <row r="1533" ht="79" customHeight="1">
      <c r="A1533" s="12" t="inlineStr">
        <is>
          <t>R962-v2</t>
        </is>
      </c>
      <c r="B1533" s="12" t="inlineStr">
        <is>
          <t>SCH-06-062</t>
        </is>
      </c>
      <c r="C1533" s="12" t="inlineStr">
        <is>
          <t>New</t>
        </is>
      </c>
      <c r="D1533" s="12" t="inlineStr">
        <is>
          <t>Record first supplied in this revision</t>
        </is>
      </c>
      <c r="E1533" s="12" t="inlineStr">
        <is>
          <t>Maya Chen, Owner Project Controls</t>
        </is>
      </c>
      <c r="F1533" s="65" t="inlineStr">
        <is>
          <t>10 EVIDENCE &amp; DECISIONS</t>
        </is>
      </c>
      <c r="G1533" s="14" t="n"/>
    </row>
    <row r="1534" ht="79" customHeight="1">
      <c r="A1534" s="12" t="inlineStr">
        <is>
          <t>R963-v2</t>
        </is>
      </c>
      <c r="B1534" s="12" t="inlineStr">
        <is>
          <t>SCH-06-063</t>
        </is>
      </c>
      <c r="C1534" s="12" t="inlineStr">
        <is>
          <t>New</t>
        </is>
      </c>
      <c r="D1534" s="12" t="inlineStr">
        <is>
          <t>Record first supplied in this revision</t>
        </is>
      </c>
      <c r="E1534" s="12" t="inlineStr">
        <is>
          <t>Maya Chen, Owner Project Controls</t>
        </is>
      </c>
      <c r="F1534" s="65" t="inlineStr">
        <is>
          <t>10 EVIDENCE &amp; DECISIONS</t>
        </is>
      </c>
      <c r="G1534" s="14" t="n"/>
    </row>
    <row r="1535" ht="79" customHeight="1">
      <c r="A1535" s="12" t="inlineStr">
        <is>
          <t>R964-v2</t>
        </is>
      </c>
      <c r="B1535" s="12" t="inlineStr">
        <is>
          <t>SCH-06-064</t>
        </is>
      </c>
      <c r="C1535" s="12" t="inlineStr">
        <is>
          <t>New</t>
        </is>
      </c>
      <c r="D1535" s="12" t="inlineStr">
        <is>
          <t>Record first supplied in this revision</t>
        </is>
      </c>
      <c r="E1535" s="12" t="inlineStr">
        <is>
          <t>Maya Chen, Owner Project Controls</t>
        </is>
      </c>
      <c r="F1535" s="65" t="inlineStr">
        <is>
          <t>10 EVIDENCE &amp; DECISIONS</t>
        </is>
      </c>
      <c r="G1535" s="14" t="n"/>
    </row>
    <row r="1536" ht="79" customHeight="1">
      <c r="A1536" s="12" t="inlineStr">
        <is>
          <t>R965-v2</t>
        </is>
      </c>
      <c r="B1536" s="12" t="inlineStr">
        <is>
          <t>SCH-06-065</t>
        </is>
      </c>
      <c r="C1536" s="12" t="inlineStr">
        <is>
          <t>New</t>
        </is>
      </c>
      <c r="D1536" s="12" t="inlineStr">
        <is>
          <t>Record first supplied in this revision</t>
        </is>
      </c>
      <c r="E1536" s="12" t="inlineStr">
        <is>
          <t>Maya Chen, Owner Project Controls</t>
        </is>
      </c>
      <c r="F1536" s="65" t="inlineStr">
        <is>
          <t>10 EVIDENCE &amp; DECISIONS</t>
        </is>
      </c>
      <c r="G1536" s="14" t="n"/>
    </row>
    <row r="1537" ht="79" customHeight="1">
      <c r="A1537" s="12" t="inlineStr">
        <is>
          <t>R966-v2</t>
        </is>
      </c>
      <c r="B1537" s="12" t="inlineStr">
        <is>
          <t>SCH-06-066</t>
        </is>
      </c>
      <c r="C1537" s="12" t="inlineStr">
        <is>
          <t>New</t>
        </is>
      </c>
      <c r="D1537" s="12" t="inlineStr">
        <is>
          <t>Record first supplied in this revision</t>
        </is>
      </c>
      <c r="E1537" s="12" t="inlineStr">
        <is>
          <t>Maya Chen, Owner Project Controls</t>
        </is>
      </c>
      <c r="F1537" s="65" t="inlineStr">
        <is>
          <t>10 EVIDENCE &amp; DECISIONS</t>
        </is>
      </c>
      <c r="G1537" s="14" t="n"/>
    </row>
    <row r="1538" ht="79" customHeight="1">
      <c r="A1538" s="12" t="inlineStr">
        <is>
          <t>R967-v2</t>
        </is>
      </c>
      <c r="B1538" s="12" t="inlineStr">
        <is>
          <t>SCH-06-067</t>
        </is>
      </c>
      <c r="C1538" s="12" t="inlineStr">
        <is>
          <t>New</t>
        </is>
      </c>
      <c r="D1538" s="12" t="inlineStr">
        <is>
          <t>Record first supplied in this revision</t>
        </is>
      </c>
      <c r="E1538" s="12" t="inlineStr">
        <is>
          <t>Maya Chen, Owner Project Controls</t>
        </is>
      </c>
      <c r="F1538" s="65" t="inlineStr">
        <is>
          <t>10 EVIDENCE &amp; DECISIONS</t>
        </is>
      </c>
      <c r="G1538" s="14" t="n"/>
    </row>
    <row r="1539" ht="79" customHeight="1">
      <c r="A1539" s="12" t="inlineStr">
        <is>
          <t>R968-v2</t>
        </is>
      </c>
      <c r="B1539" s="12" t="inlineStr">
        <is>
          <t>SCH-06-068</t>
        </is>
      </c>
      <c r="C1539" s="12" t="inlineStr">
        <is>
          <t>New</t>
        </is>
      </c>
      <c r="D1539" s="12" t="inlineStr">
        <is>
          <t>Record first supplied in this revision</t>
        </is>
      </c>
      <c r="E1539" s="12" t="inlineStr">
        <is>
          <t>Maya Chen, Owner Project Controls</t>
        </is>
      </c>
      <c r="F1539" s="65" t="inlineStr">
        <is>
          <t>10 EVIDENCE &amp; DECISIONS</t>
        </is>
      </c>
      <c r="G1539" s="14" t="n"/>
    </row>
    <row r="1540" ht="79" customHeight="1">
      <c r="A1540" s="12" t="inlineStr">
        <is>
          <t>R969-v2</t>
        </is>
      </c>
      <c r="B1540" s="12" t="inlineStr">
        <is>
          <t>SCH-06-069</t>
        </is>
      </c>
      <c r="C1540" s="12" t="inlineStr">
        <is>
          <t>New</t>
        </is>
      </c>
      <c r="D1540" s="12" t="inlineStr">
        <is>
          <t>Record first supplied in this revision</t>
        </is>
      </c>
      <c r="E1540" s="12" t="inlineStr">
        <is>
          <t>Maya Chen, Owner Project Controls</t>
        </is>
      </c>
      <c r="F1540" s="65" t="inlineStr">
        <is>
          <t>10 EVIDENCE &amp; DECISIONS</t>
        </is>
      </c>
      <c r="G1540" s="14" t="n"/>
    </row>
    <row r="1541" ht="79" customHeight="1">
      <c r="A1541" s="12" t="inlineStr">
        <is>
          <t>R970-v2</t>
        </is>
      </c>
      <c r="B1541" s="12" t="inlineStr">
        <is>
          <t>SCH-06-070</t>
        </is>
      </c>
      <c r="C1541" s="12" t="inlineStr">
        <is>
          <t>New</t>
        </is>
      </c>
      <c r="D1541" s="12" t="inlineStr">
        <is>
          <t>Record first supplied in this revision</t>
        </is>
      </c>
      <c r="E1541" s="12" t="inlineStr">
        <is>
          <t>Maya Chen, Owner Project Controls</t>
        </is>
      </c>
      <c r="F1541" s="65" t="inlineStr">
        <is>
          <t>10 EVIDENCE &amp; DECISIONS</t>
        </is>
      </c>
      <c r="G1541" s="14" t="n"/>
    </row>
    <row r="1542" ht="79" customHeight="1">
      <c r="A1542" s="12" t="inlineStr">
        <is>
          <t>R971-v2</t>
        </is>
      </c>
      <c r="B1542" s="12" t="inlineStr">
        <is>
          <t>SCH-06-071</t>
        </is>
      </c>
      <c r="C1542" s="12" t="inlineStr">
        <is>
          <t>New</t>
        </is>
      </c>
      <c r="D1542" s="12" t="inlineStr">
        <is>
          <t>Record first supplied in this revision</t>
        </is>
      </c>
      <c r="E1542" s="12" t="inlineStr">
        <is>
          <t>Maya Chen, Owner Project Controls</t>
        </is>
      </c>
      <c r="F1542" s="65" t="inlineStr">
        <is>
          <t>10 EVIDENCE &amp; DECISIONS</t>
        </is>
      </c>
      <c r="G1542" s="14" t="n"/>
    </row>
    <row r="1543" ht="79" customHeight="1">
      <c r="A1543" s="12" t="inlineStr">
        <is>
          <t>R972-v2</t>
        </is>
      </c>
      <c r="B1543" s="12" t="inlineStr">
        <is>
          <t>SCH-06-072</t>
        </is>
      </c>
      <c r="C1543" s="12" t="inlineStr">
        <is>
          <t>New</t>
        </is>
      </c>
      <c r="D1543" s="12" t="inlineStr">
        <is>
          <t>Record first supplied in this revision</t>
        </is>
      </c>
      <c r="E1543" s="12" t="inlineStr">
        <is>
          <t>Maya Chen, Owner Project Controls</t>
        </is>
      </c>
      <c r="F1543" s="65" t="inlineStr">
        <is>
          <t>10 EVIDENCE &amp; DECISIONS</t>
        </is>
      </c>
      <c r="G1543" s="14" t="n"/>
    </row>
    <row r="1544" ht="79" customHeight="1">
      <c r="A1544" s="12" t="inlineStr">
        <is>
          <t>R973-v2</t>
        </is>
      </c>
      <c r="B1544" s="12" t="inlineStr">
        <is>
          <t>SCH-06-073</t>
        </is>
      </c>
      <c r="C1544" s="12" t="inlineStr">
        <is>
          <t>New</t>
        </is>
      </c>
      <c r="D1544" s="12" t="inlineStr">
        <is>
          <t>Record first supplied in this revision</t>
        </is>
      </c>
      <c r="E1544" s="12" t="inlineStr">
        <is>
          <t>Maya Chen, Owner Project Controls</t>
        </is>
      </c>
      <c r="F1544" s="65" t="inlineStr">
        <is>
          <t>10 EVIDENCE &amp; DECISIONS</t>
        </is>
      </c>
      <c r="G1544" s="14" t="n"/>
    </row>
    <row r="1545" ht="79" customHeight="1">
      <c r="A1545" s="12" t="inlineStr">
        <is>
          <t>R974-v2</t>
        </is>
      </c>
      <c r="B1545" s="12" t="inlineStr">
        <is>
          <t>SCH-06-074</t>
        </is>
      </c>
      <c r="C1545" s="12" t="inlineStr">
        <is>
          <t>New</t>
        </is>
      </c>
      <c r="D1545" s="12" t="inlineStr">
        <is>
          <t>Record first supplied in this revision</t>
        </is>
      </c>
      <c r="E1545" s="12" t="inlineStr">
        <is>
          <t>Maya Chen, Owner Project Controls</t>
        </is>
      </c>
      <c r="F1545" s="65" t="inlineStr">
        <is>
          <t>10 EVIDENCE &amp; DECISIONS</t>
        </is>
      </c>
      <c r="G1545" s="14" t="n"/>
    </row>
    <row r="1546" ht="79" customHeight="1">
      <c r="A1546" s="12" t="inlineStr">
        <is>
          <t>R975-v2</t>
        </is>
      </c>
      <c r="B1546" s="12" t="inlineStr">
        <is>
          <t>SCH-06-075</t>
        </is>
      </c>
      <c r="C1546" s="12" t="inlineStr">
        <is>
          <t>New</t>
        </is>
      </c>
      <c r="D1546" s="12" t="inlineStr">
        <is>
          <t>Record first supplied in this revision</t>
        </is>
      </c>
      <c r="E1546" s="12" t="inlineStr">
        <is>
          <t>Maya Chen, Owner Project Controls</t>
        </is>
      </c>
      <c r="F1546" s="65" t="inlineStr">
        <is>
          <t>10 EVIDENCE &amp; DECISIONS</t>
        </is>
      </c>
      <c r="G1546" s="14" t="n"/>
    </row>
    <row r="1547" ht="79" customHeight="1">
      <c r="A1547" s="12" t="inlineStr">
        <is>
          <t>R976-v2</t>
        </is>
      </c>
      <c r="B1547" s="12" t="inlineStr">
        <is>
          <t>SCH-06-076</t>
        </is>
      </c>
      <c r="C1547" s="12" t="inlineStr">
        <is>
          <t>New</t>
        </is>
      </c>
      <c r="D1547" s="12" t="inlineStr">
        <is>
          <t>Record first supplied in this revision</t>
        </is>
      </c>
      <c r="E1547" s="12" t="inlineStr">
        <is>
          <t>Maya Chen, Owner Project Controls</t>
        </is>
      </c>
      <c r="F1547" s="65" t="inlineStr">
        <is>
          <t>10 EVIDENCE &amp; DECISIONS</t>
        </is>
      </c>
      <c r="G1547" s="14" t="n"/>
    </row>
    <row r="1548" ht="79" customHeight="1">
      <c r="A1548" s="12" t="inlineStr">
        <is>
          <t>R977-v2</t>
        </is>
      </c>
      <c r="B1548" s="12" t="inlineStr">
        <is>
          <t>SCH-06-077</t>
        </is>
      </c>
      <c r="C1548" s="12" t="inlineStr">
        <is>
          <t>New</t>
        </is>
      </c>
      <c r="D1548" s="12" t="inlineStr">
        <is>
          <t>Record first supplied in this revision</t>
        </is>
      </c>
      <c r="E1548" s="12" t="inlineStr">
        <is>
          <t>Maya Chen, Owner Project Controls</t>
        </is>
      </c>
      <c r="F1548" s="65" t="inlineStr">
        <is>
          <t>10 EVIDENCE &amp; DECISIONS</t>
        </is>
      </c>
      <c r="G1548" s="14" t="n"/>
    </row>
    <row r="1549" ht="79" customHeight="1">
      <c r="A1549" s="12" t="inlineStr">
        <is>
          <t>R978-v2</t>
        </is>
      </c>
      <c r="B1549" s="12" t="inlineStr">
        <is>
          <t>SCH-06-078</t>
        </is>
      </c>
      <c r="C1549" s="12" t="inlineStr">
        <is>
          <t>New</t>
        </is>
      </c>
      <c r="D1549" s="12" t="inlineStr">
        <is>
          <t>Record first supplied in this revision</t>
        </is>
      </c>
      <c r="E1549" s="12" t="inlineStr">
        <is>
          <t>Maya Chen, Owner Project Controls</t>
        </is>
      </c>
      <c r="F1549" s="65" t="inlineStr">
        <is>
          <t>10 EVIDENCE &amp; DECISIONS</t>
        </is>
      </c>
      <c r="G1549" s="14" t="n"/>
    </row>
    <row r="1550" ht="79" customHeight="1">
      <c r="A1550" s="12" t="inlineStr">
        <is>
          <t>R979-v2</t>
        </is>
      </c>
      <c r="B1550" s="12" t="inlineStr">
        <is>
          <t>SCH-06-079</t>
        </is>
      </c>
      <c r="C1550" s="12" t="inlineStr">
        <is>
          <t>New</t>
        </is>
      </c>
      <c r="D1550" s="12" t="inlineStr">
        <is>
          <t>Record first supplied in this revision</t>
        </is>
      </c>
      <c r="E1550" s="12" t="inlineStr">
        <is>
          <t>Maya Chen, Owner Project Controls</t>
        </is>
      </c>
      <c r="F1550" s="65" t="inlineStr">
        <is>
          <t>10 EVIDENCE &amp; DECISIONS</t>
        </is>
      </c>
      <c r="G1550" s="14" t="n"/>
    </row>
    <row r="1551" ht="79" customHeight="1">
      <c r="A1551" s="12" t="inlineStr">
        <is>
          <t>R980-v2</t>
        </is>
      </c>
      <c r="B1551" s="12" t="inlineStr">
        <is>
          <t>SCH-06-080</t>
        </is>
      </c>
      <c r="C1551" s="12" t="inlineStr">
        <is>
          <t>New</t>
        </is>
      </c>
      <c r="D1551" s="12" t="inlineStr">
        <is>
          <t>Record first supplied in this revision</t>
        </is>
      </c>
      <c r="E1551" s="12" t="inlineStr">
        <is>
          <t>Maya Chen, Owner Project Controls</t>
        </is>
      </c>
      <c r="F1551" s="65" t="inlineStr">
        <is>
          <t>10 EVIDENCE &amp; DECISIONS</t>
        </is>
      </c>
      <c r="G1551" s="14" t="n"/>
    </row>
    <row r="1552" ht="79" customHeight="1">
      <c r="A1552" s="12" t="inlineStr">
        <is>
          <t>R981-v2</t>
        </is>
      </c>
      <c r="B1552" s="12" t="inlineStr">
        <is>
          <t>SCH-06-081</t>
        </is>
      </c>
      <c r="C1552" s="12" t="inlineStr">
        <is>
          <t>New</t>
        </is>
      </c>
      <c r="D1552" s="12" t="inlineStr">
        <is>
          <t>Record first supplied in this revision</t>
        </is>
      </c>
      <c r="E1552" s="12" t="inlineStr">
        <is>
          <t>Maya Chen, Owner Project Controls</t>
        </is>
      </c>
      <c r="F1552" s="65" t="inlineStr">
        <is>
          <t>10 EVIDENCE &amp; DECISIONS</t>
        </is>
      </c>
      <c r="G1552" s="14" t="n"/>
    </row>
    <row r="1553" ht="79" customHeight="1">
      <c r="A1553" s="12" t="inlineStr">
        <is>
          <t>R982-v2</t>
        </is>
      </c>
      <c r="B1553" s="12" t="inlineStr">
        <is>
          <t>SCH-06-082</t>
        </is>
      </c>
      <c r="C1553" s="12" t="inlineStr">
        <is>
          <t>New</t>
        </is>
      </c>
      <c r="D1553" s="12" t="inlineStr">
        <is>
          <t>Record first supplied in this revision</t>
        </is>
      </c>
      <c r="E1553" s="12" t="inlineStr">
        <is>
          <t>Maya Chen, Owner Project Controls</t>
        </is>
      </c>
      <c r="F1553" s="65" t="inlineStr">
        <is>
          <t>10 EVIDENCE &amp; DECISIONS</t>
        </is>
      </c>
      <c r="G1553" s="14" t="n"/>
    </row>
    <row r="1554" ht="79" customHeight="1">
      <c r="A1554" s="12" t="inlineStr">
        <is>
          <t>R983-v2</t>
        </is>
      </c>
      <c r="B1554" s="12" t="inlineStr">
        <is>
          <t>SCH-06-083</t>
        </is>
      </c>
      <c r="C1554" s="12" t="inlineStr">
        <is>
          <t>New</t>
        </is>
      </c>
      <c r="D1554" s="12" t="inlineStr">
        <is>
          <t>Record first supplied in this revision</t>
        </is>
      </c>
      <c r="E1554" s="12" t="inlineStr">
        <is>
          <t>Maya Chen, Owner Project Controls</t>
        </is>
      </c>
      <c r="F1554" s="65" t="inlineStr">
        <is>
          <t>10 EVIDENCE &amp; DECISIONS</t>
        </is>
      </c>
      <c r="G1554" s="14" t="n"/>
    </row>
    <row r="1555" ht="79" customHeight="1">
      <c r="A1555" s="12" t="inlineStr">
        <is>
          <t>R984-v2</t>
        </is>
      </c>
      <c r="B1555" s="12" t="inlineStr">
        <is>
          <t>SCH-06-084</t>
        </is>
      </c>
      <c r="C1555" s="12" t="inlineStr">
        <is>
          <t>New</t>
        </is>
      </c>
      <c r="D1555" s="12" t="inlineStr">
        <is>
          <t>Record first supplied in this revision</t>
        </is>
      </c>
      <c r="E1555" s="12" t="inlineStr">
        <is>
          <t>Maya Chen, Owner Project Controls</t>
        </is>
      </c>
      <c r="F1555" s="65" t="inlineStr">
        <is>
          <t>10 EVIDENCE &amp; DECISIONS</t>
        </is>
      </c>
      <c r="G1555" s="14" t="n"/>
    </row>
    <row r="1556" ht="79" customHeight="1">
      <c r="A1556" s="12" t="inlineStr">
        <is>
          <t>R985-v2</t>
        </is>
      </c>
      <c r="B1556" s="12" t="inlineStr">
        <is>
          <t>SCH-06-085</t>
        </is>
      </c>
      <c r="C1556" s="12" t="inlineStr">
        <is>
          <t>New</t>
        </is>
      </c>
      <c r="D1556" s="12" t="inlineStr">
        <is>
          <t>Record first supplied in this revision</t>
        </is>
      </c>
      <c r="E1556" s="12" t="inlineStr">
        <is>
          <t>Maya Chen, Owner Project Controls</t>
        </is>
      </c>
      <c r="F1556" s="65" t="inlineStr">
        <is>
          <t>10 EVIDENCE &amp; DECISIONS</t>
        </is>
      </c>
      <c r="G1556" s="14" t="n"/>
    </row>
    <row r="1557" ht="79" customHeight="1">
      <c r="A1557" s="12" t="inlineStr">
        <is>
          <t>R986-v2</t>
        </is>
      </c>
      <c r="B1557" s="12" t="inlineStr">
        <is>
          <t>SCH-06-086</t>
        </is>
      </c>
      <c r="C1557" s="12" t="inlineStr">
        <is>
          <t>New</t>
        </is>
      </c>
      <c r="D1557" s="12" t="inlineStr">
        <is>
          <t>Record first supplied in this revision</t>
        </is>
      </c>
      <c r="E1557" s="12" t="inlineStr">
        <is>
          <t>Maya Chen, Owner Project Controls</t>
        </is>
      </c>
      <c r="F1557" s="65" t="inlineStr">
        <is>
          <t>10 EVIDENCE &amp; DECISIONS</t>
        </is>
      </c>
      <c r="G1557" s="14" t="n"/>
    </row>
    <row r="1558" ht="79" customHeight="1">
      <c r="A1558" s="12" t="inlineStr">
        <is>
          <t>R987-v2</t>
        </is>
      </c>
      <c r="B1558" s="12" t="inlineStr">
        <is>
          <t>SCH-06-087</t>
        </is>
      </c>
      <c r="C1558" s="12" t="inlineStr">
        <is>
          <t>New</t>
        </is>
      </c>
      <c r="D1558" s="12" t="inlineStr">
        <is>
          <t>Record first supplied in this revision</t>
        </is>
      </c>
      <c r="E1558" s="12" t="inlineStr">
        <is>
          <t>Maya Chen, Owner Project Controls</t>
        </is>
      </c>
      <c r="F1558" s="65" t="inlineStr">
        <is>
          <t>10 EVIDENCE &amp; DECISIONS</t>
        </is>
      </c>
      <c r="G1558" s="14" t="n"/>
    </row>
    <row r="1559" ht="79" customHeight="1">
      <c r="A1559" s="12" t="inlineStr">
        <is>
          <t>R988-v2</t>
        </is>
      </c>
      <c r="B1559" s="12" t="inlineStr">
        <is>
          <t>SCH-06-088</t>
        </is>
      </c>
      <c r="C1559" s="12" t="inlineStr">
        <is>
          <t>New</t>
        </is>
      </c>
      <c r="D1559" s="12" t="inlineStr">
        <is>
          <t>Record first supplied in this revision</t>
        </is>
      </c>
      <c r="E1559" s="12" t="inlineStr">
        <is>
          <t>Maya Chen, Owner Project Controls</t>
        </is>
      </c>
      <c r="F1559" s="65" t="inlineStr">
        <is>
          <t>10 EVIDENCE &amp; DECISIONS</t>
        </is>
      </c>
      <c r="G1559" s="14" t="n"/>
    </row>
    <row r="1560" ht="79" customHeight="1">
      <c r="A1560" s="12" t="inlineStr">
        <is>
          <t>R989-v2</t>
        </is>
      </c>
      <c r="B1560" s="12" t="inlineStr">
        <is>
          <t>SCH-06-089</t>
        </is>
      </c>
      <c r="C1560" s="12" t="inlineStr">
        <is>
          <t>New</t>
        </is>
      </c>
      <c r="D1560" s="12" t="inlineStr">
        <is>
          <t>Record first supplied in this revision</t>
        </is>
      </c>
      <c r="E1560" s="12" t="inlineStr">
        <is>
          <t>Maya Chen, Owner Project Controls</t>
        </is>
      </c>
      <c r="F1560" s="65" t="inlineStr">
        <is>
          <t>10 EVIDENCE &amp; DECISIONS</t>
        </is>
      </c>
      <c r="G1560" s="14" t="n"/>
    </row>
    <row r="1561" ht="79" customHeight="1">
      <c r="A1561" s="12" t="inlineStr">
        <is>
          <t>R990-v2</t>
        </is>
      </c>
      <c r="B1561" s="12" t="inlineStr">
        <is>
          <t>SCH-06-090</t>
        </is>
      </c>
      <c r="C1561" s="12" t="inlineStr">
        <is>
          <t>New</t>
        </is>
      </c>
      <c r="D1561" s="12" t="inlineStr">
        <is>
          <t>Record first supplied in this revision</t>
        </is>
      </c>
      <c r="E1561" s="12" t="inlineStr">
        <is>
          <t>Maya Chen, Owner Project Controls</t>
        </is>
      </c>
      <c r="F1561" s="65" t="inlineStr">
        <is>
          <t>10 EVIDENCE &amp; DECISIONS</t>
        </is>
      </c>
      <c r="G1561" s="14" t="n"/>
    </row>
    <row r="1562" ht="79" customHeight="1">
      <c r="A1562" s="12" t="inlineStr">
        <is>
          <t>R991-v2</t>
        </is>
      </c>
      <c r="B1562" s="12" t="inlineStr">
        <is>
          <t>SCH-06-091</t>
        </is>
      </c>
      <c r="C1562" s="12" t="inlineStr">
        <is>
          <t>New</t>
        </is>
      </c>
      <c r="D1562" s="12" t="inlineStr">
        <is>
          <t>Record first supplied in this revision</t>
        </is>
      </c>
      <c r="E1562" s="12" t="inlineStr">
        <is>
          <t>Maya Chen, Owner Project Controls</t>
        </is>
      </c>
      <c r="F1562" s="65" t="inlineStr">
        <is>
          <t>10 EVIDENCE &amp; DECISIONS</t>
        </is>
      </c>
      <c r="G1562" s="14" t="n"/>
    </row>
    <row r="1563" ht="79" customHeight="1">
      <c r="A1563" s="12" t="inlineStr">
        <is>
          <t>R992-v2</t>
        </is>
      </c>
      <c r="B1563" s="12" t="inlineStr">
        <is>
          <t>SCH-06-092</t>
        </is>
      </c>
      <c r="C1563" s="12" t="inlineStr">
        <is>
          <t>New</t>
        </is>
      </c>
      <c r="D1563" s="12" t="inlineStr">
        <is>
          <t>Record first supplied in this revision</t>
        </is>
      </c>
      <c r="E1563" s="12" t="inlineStr">
        <is>
          <t>Maya Chen, Owner Project Controls</t>
        </is>
      </c>
      <c r="F1563" s="65" t="inlineStr">
        <is>
          <t>10 EVIDENCE &amp; DECISIONS</t>
        </is>
      </c>
      <c r="G1563" s="14" t="n"/>
    </row>
    <row r="1564" ht="79" customHeight="1">
      <c r="A1564" s="12" t="inlineStr">
        <is>
          <t>R993-v2</t>
        </is>
      </c>
      <c r="B1564" s="12" t="inlineStr">
        <is>
          <t>SCH-06-093</t>
        </is>
      </c>
      <c r="C1564" s="12" t="inlineStr">
        <is>
          <t>New</t>
        </is>
      </c>
      <c r="D1564" s="12" t="inlineStr">
        <is>
          <t>Record first supplied in this revision</t>
        </is>
      </c>
      <c r="E1564" s="12" t="inlineStr">
        <is>
          <t>Maya Chen, Owner Project Controls</t>
        </is>
      </c>
      <c r="F1564" s="65" t="inlineStr">
        <is>
          <t>10 EVIDENCE &amp; DECISIONS</t>
        </is>
      </c>
      <c r="G1564" s="14" t="n"/>
    </row>
    <row r="1565" ht="79" customHeight="1">
      <c r="A1565" s="12" t="inlineStr">
        <is>
          <t>R994-v2</t>
        </is>
      </c>
      <c r="B1565" s="12" t="inlineStr">
        <is>
          <t>SCH-06-094</t>
        </is>
      </c>
      <c r="C1565" s="12" t="inlineStr">
        <is>
          <t>New</t>
        </is>
      </c>
      <c r="D1565" s="12" t="inlineStr">
        <is>
          <t>Record first supplied in this revision</t>
        </is>
      </c>
      <c r="E1565" s="12" t="inlineStr">
        <is>
          <t>Maya Chen, Owner Project Controls</t>
        </is>
      </c>
      <c r="F1565" s="65" t="inlineStr">
        <is>
          <t>10 EVIDENCE &amp; DECISIONS</t>
        </is>
      </c>
      <c r="G1565" s="14" t="n"/>
    </row>
    <row r="1566" ht="79" customHeight="1">
      <c r="A1566" s="12" t="inlineStr">
        <is>
          <t>R995-v2</t>
        </is>
      </c>
      <c r="B1566" s="12" t="inlineStr">
        <is>
          <t>SCH-06-095</t>
        </is>
      </c>
      <c r="C1566" s="12" t="inlineStr">
        <is>
          <t>New</t>
        </is>
      </c>
      <c r="D1566" s="12" t="inlineStr">
        <is>
          <t>Record first supplied in this revision</t>
        </is>
      </c>
      <c r="E1566" s="12" t="inlineStr">
        <is>
          <t>Maya Chen, Owner Project Controls</t>
        </is>
      </c>
      <c r="F1566" s="65" t="inlineStr">
        <is>
          <t>10 EVIDENCE &amp; DECISIONS</t>
        </is>
      </c>
      <c r="G1566" s="14" t="n"/>
    </row>
    <row r="1567" ht="79" customHeight="1">
      <c r="A1567" s="12" t="inlineStr">
        <is>
          <t>R996-v2</t>
        </is>
      </c>
      <c r="B1567" s="12" t="inlineStr">
        <is>
          <t>SCH-06-096</t>
        </is>
      </c>
      <c r="C1567" s="12" t="inlineStr">
        <is>
          <t>New</t>
        </is>
      </c>
      <c r="D1567" s="12" t="inlineStr">
        <is>
          <t>Record first supplied in this revision</t>
        </is>
      </c>
      <c r="E1567" s="12" t="inlineStr">
        <is>
          <t>Maya Chen, Owner Project Controls</t>
        </is>
      </c>
      <c r="F1567" s="65" t="inlineStr">
        <is>
          <t>10 EVIDENCE &amp; DECISIONS</t>
        </is>
      </c>
      <c r="G1567" s="14" t="n"/>
    </row>
    <row r="1568" ht="79" customHeight="1">
      <c r="A1568" s="12" t="inlineStr">
        <is>
          <t>R997-v2</t>
        </is>
      </c>
      <c r="B1568" s="12" t="inlineStr">
        <is>
          <t>SCH-06-097</t>
        </is>
      </c>
      <c r="C1568" s="12" t="inlineStr">
        <is>
          <t>New</t>
        </is>
      </c>
      <c r="D1568" s="12" t="inlineStr">
        <is>
          <t>Record first supplied in this revision</t>
        </is>
      </c>
      <c r="E1568" s="12" t="inlineStr">
        <is>
          <t>Maya Chen, Owner Project Controls</t>
        </is>
      </c>
      <c r="F1568" s="65" t="inlineStr">
        <is>
          <t>10 EVIDENCE &amp; DECISIONS</t>
        </is>
      </c>
      <c r="G1568" s="14" t="n"/>
    </row>
    <row r="1569" ht="79" customHeight="1">
      <c r="A1569" s="12" t="inlineStr">
        <is>
          <t>R998-v2</t>
        </is>
      </c>
      <c r="B1569" s="12" t="inlineStr">
        <is>
          <t>SCH-06-098</t>
        </is>
      </c>
      <c r="C1569" s="12" t="inlineStr">
        <is>
          <t>New</t>
        </is>
      </c>
      <c r="D1569" s="12" t="inlineStr">
        <is>
          <t>Record first supplied in this revision</t>
        </is>
      </c>
      <c r="E1569" s="12" t="inlineStr">
        <is>
          <t>Maya Chen, Owner Project Controls</t>
        </is>
      </c>
      <c r="F1569" s="65" t="inlineStr">
        <is>
          <t>10 EVIDENCE &amp; DECISIONS</t>
        </is>
      </c>
      <c r="G1569" s="14" t="n"/>
    </row>
    <row r="1570" ht="79" customHeight="1">
      <c r="A1570" s="12" t="inlineStr">
        <is>
          <t>R999-v2</t>
        </is>
      </c>
      <c r="B1570" s="12" t="inlineStr">
        <is>
          <t>SCH-06-099</t>
        </is>
      </c>
      <c r="C1570" s="12" t="inlineStr">
        <is>
          <t>New</t>
        </is>
      </c>
      <c r="D1570" s="12" t="inlineStr">
        <is>
          <t>Record first supplied in this revision</t>
        </is>
      </c>
      <c r="E1570" s="12" t="inlineStr">
        <is>
          <t>Maya Chen, Owner Project Controls</t>
        </is>
      </c>
      <c r="F1570" s="65" t="inlineStr">
        <is>
          <t>10 EVIDENCE &amp; DECISIONS</t>
        </is>
      </c>
      <c r="G1570" s="14" t="n"/>
    </row>
    <row r="1571" ht="79" customHeight="1">
      <c r="A1571" s="12" t="inlineStr">
        <is>
          <t>R1000-v2</t>
        </is>
      </c>
      <c r="B1571" s="12" t="inlineStr">
        <is>
          <t>SCH-06-100</t>
        </is>
      </c>
      <c r="C1571" s="12" t="inlineStr">
        <is>
          <t>New</t>
        </is>
      </c>
      <c r="D1571" s="12" t="inlineStr">
        <is>
          <t>Record first supplied in this revision</t>
        </is>
      </c>
      <c r="E1571" s="12" t="inlineStr">
        <is>
          <t>Maya Chen, Owner Project Controls</t>
        </is>
      </c>
      <c r="F1571" s="65" t="inlineStr">
        <is>
          <t>10 EVIDENCE &amp; DECISIONS</t>
        </is>
      </c>
      <c r="G1571" s="14" t="n"/>
    </row>
    <row r="1572" ht="79" customHeight="1">
      <c r="A1572" s="12" t="inlineStr">
        <is>
          <t>R1001-v2</t>
        </is>
      </c>
      <c r="B1572" s="12" t="inlineStr">
        <is>
          <t>SCH-06-101</t>
        </is>
      </c>
      <c r="C1572" s="12" t="inlineStr">
        <is>
          <t>New</t>
        </is>
      </c>
      <c r="D1572" s="12" t="inlineStr">
        <is>
          <t>Record first supplied in this revision</t>
        </is>
      </c>
      <c r="E1572" s="12" t="inlineStr">
        <is>
          <t>Maya Chen, Owner Project Controls</t>
        </is>
      </c>
      <c r="F1572" s="65" t="inlineStr">
        <is>
          <t>10 EVIDENCE &amp; DECISIONS</t>
        </is>
      </c>
      <c r="G1572" s="14" t="n"/>
    </row>
    <row r="1573" ht="79" customHeight="1">
      <c r="A1573" s="12" t="inlineStr">
        <is>
          <t>R1002-v2</t>
        </is>
      </c>
      <c r="B1573" s="12" t="inlineStr">
        <is>
          <t>SCH-06-102</t>
        </is>
      </c>
      <c r="C1573" s="12" t="inlineStr">
        <is>
          <t>New</t>
        </is>
      </c>
      <c r="D1573" s="12" t="inlineStr">
        <is>
          <t>Record first supplied in this revision</t>
        </is>
      </c>
      <c r="E1573" s="12" t="inlineStr">
        <is>
          <t>Maya Chen, Owner Project Controls</t>
        </is>
      </c>
      <c r="F1573" s="65" t="inlineStr">
        <is>
          <t>10 EVIDENCE &amp; DECISIONS</t>
        </is>
      </c>
      <c r="G1573" s="14" t="n"/>
    </row>
    <row r="1574" ht="79" customHeight="1">
      <c r="A1574" s="12" t="inlineStr">
        <is>
          <t>R1003-v2</t>
        </is>
      </c>
      <c r="B1574" s="12" t="inlineStr">
        <is>
          <t>SCH-06-103</t>
        </is>
      </c>
      <c r="C1574" s="12" t="inlineStr">
        <is>
          <t>New</t>
        </is>
      </c>
      <c r="D1574" s="12" t="inlineStr">
        <is>
          <t>Record first supplied in this revision</t>
        </is>
      </c>
      <c r="E1574" s="12" t="inlineStr">
        <is>
          <t>Maya Chen, Owner Project Controls</t>
        </is>
      </c>
      <c r="F1574" s="65" t="inlineStr">
        <is>
          <t>10 EVIDENCE &amp; DECISIONS</t>
        </is>
      </c>
      <c r="G1574" s="14" t="n"/>
    </row>
    <row r="1575" ht="79" customHeight="1">
      <c r="A1575" s="12" t="inlineStr">
        <is>
          <t>R1004-v2</t>
        </is>
      </c>
      <c r="B1575" s="12" t="inlineStr">
        <is>
          <t>SCH-06-104</t>
        </is>
      </c>
      <c r="C1575" s="12" t="inlineStr">
        <is>
          <t>New</t>
        </is>
      </c>
      <c r="D1575" s="12" t="inlineStr">
        <is>
          <t>Record first supplied in this revision</t>
        </is>
      </c>
      <c r="E1575" s="12" t="inlineStr">
        <is>
          <t>Maya Chen, Owner Project Controls</t>
        </is>
      </c>
      <c r="F1575" s="65" t="inlineStr">
        <is>
          <t>10 EVIDENCE &amp; DECISIONS</t>
        </is>
      </c>
      <c r="G1575" s="14" t="n"/>
    </row>
    <row r="1576" ht="79" customHeight="1">
      <c r="A1576" s="12" t="inlineStr">
        <is>
          <t>R1005-v2</t>
        </is>
      </c>
      <c r="B1576" s="12" t="inlineStr">
        <is>
          <t>SCH-06-105</t>
        </is>
      </c>
      <c r="C1576" s="12" t="inlineStr">
        <is>
          <t>New</t>
        </is>
      </c>
      <c r="D1576" s="12" t="inlineStr">
        <is>
          <t>Record first supplied in this revision</t>
        </is>
      </c>
      <c r="E1576" s="12" t="inlineStr">
        <is>
          <t>Maya Chen, Owner Project Controls</t>
        </is>
      </c>
      <c r="F1576" s="65" t="inlineStr">
        <is>
          <t>10 EVIDENCE &amp; DECISIONS</t>
        </is>
      </c>
      <c r="G1576" s="14" t="n"/>
    </row>
    <row r="1577" ht="79" customHeight="1">
      <c r="A1577" s="12" t="inlineStr">
        <is>
          <t>R1006-v2</t>
        </is>
      </c>
      <c r="B1577" s="12" t="inlineStr">
        <is>
          <t>SCH-06-106</t>
        </is>
      </c>
      <c r="C1577" s="12" t="inlineStr">
        <is>
          <t>New</t>
        </is>
      </c>
      <c r="D1577" s="12" t="inlineStr">
        <is>
          <t>Record first supplied in this revision</t>
        </is>
      </c>
      <c r="E1577" s="12" t="inlineStr">
        <is>
          <t>Maya Chen, Owner Project Controls</t>
        </is>
      </c>
      <c r="F1577" s="65" t="inlineStr">
        <is>
          <t>10 EVIDENCE &amp; DECISIONS</t>
        </is>
      </c>
      <c r="G1577" s="14" t="n"/>
    </row>
    <row r="1578" ht="79" customHeight="1">
      <c r="A1578" s="12" t="inlineStr">
        <is>
          <t>R1007-v2</t>
        </is>
      </c>
      <c r="B1578" s="12" t="inlineStr">
        <is>
          <t>SCH-06-107</t>
        </is>
      </c>
      <c r="C1578" s="12" t="inlineStr">
        <is>
          <t>New</t>
        </is>
      </c>
      <c r="D1578" s="12" t="inlineStr">
        <is>
          <t>Record first supplied in this revision</t>
        </is>
      </c>
      <c r="E1578" s="12" t="inlineStr">
        <is>
          <t>Maya Chen, Owner Project Controls</t>
        </is>
      </c>
      <c r="F1578" s="65" t="inlineStr">
        <is>
          <t>10 EVIDENCE &amp; DECISIONS</t>
        </is>
      </c>
      <c r="G1578" s="14" t="n"/>
    </row>
    <row r="1579" ht="79" customHeight="1">
      <c r="A1579" s="12" t="inlineStr">
        <is>
          <t>R1008-v2</t>
        </is>
      </c>
      <c r="B1579" s="12" t="inlineStr">
        <is>
          <t>SCH-06-108</t>
        </is>
      </c>
      <c r="C1579" s="12" t="inlineStr">
        <is>
          <t>New</t>
        </is>
      </c>
      <c r="D1579" s="12" t="inlineStr">
        <is>
          <t>Record first supplied in this revision</t>
        </is>
      </c>
      <c r="E1579" s="12" t="inlineStr">
        <is>
          <t>Maya Chen, Owner Project Controls</t>
        </is>
      </c>
      <c r="F1579" s="65" t="inlineStr">
        <is>
          <t>10 EVIDENCE &amp; DECISIONS</t>
        </is>
      </c>
      <c r="G1579" s="14" t="n"/>
    </row>
    <row r="1580" ht="79" customHeight="1">
      <c r="A1580" s="12" t="inlineStr">
        <is>
          <t>R1009-v2</t>
        </is>
      </c>
      <c r="B1580" s="12" t="inlineStr">
        <is>
          <t>SCH-06-109</t>
        </is>
      </c>
      <c r="C1580" s="12" t="inlineStr">
        <is>
          <t>New</t>
        </is>
      </c>
      <c r="D1580" s="12" t="inlineStr">
        <is>
          <t>Record first supplied in this revision</t>
        </is>
      </c>
      <c r="E1580" s="12" t="inlineStr">
        <is>
          <t>Maya Chen, Owner Project Controls</t>
        </is>
      </c>
      <c r="F1580" s="65" t="inlineStr">
        <is>
          <t>10 EVIDENCE &amp; DECISIONS</t>
        </is>
      </c>
      <c r="G1580" s="14" t="n"/>
    </row>
    <row r="1581" ht="79" customHeight="1">
      <c r="A1581" s="12" t="inlineStr">
        <is>
          <t>R1010-v2</t>
        </is>
      </c>
      <c r="B1581" s="12" t="inlineStr">
        <is>
          <t>SCH-06-110</t>
        </is>
      </c>
      <c r="C1581" s="12" t="inlineStr">
        <is>
          <t>New</t>
        </is>
      </c>
      <c r="D1581" s="12" t="inlineStr">
        <is>
          <t>Record first supplied in this revision</t>
        </is>
      </c>
      <c r="E1581" s="12" t="inlineStr">
        <is>
          <t>Maya Chen, Owner Project Controls</t>
        </is>
      </c>
      <c r="F1581" s="65" t="inlineStr">
        <is>
          <t>10 EVIDENCE &amp; DECISIONS</t>
        </is>
      </c>
      <c r="G1581" s="14" t="n"/>
    </row>
    <row r="1582" ht="79" customHeight="1">
      <c r="A1582" s="12" t="inlineStr">
        <is>
          <t>R1011-v2</t>
        </is>
      </c>
      <c r="B1582" s="12" t="inlineStr">
        <is>
          <t>SCH-06-111</t>
        </is>
      </c>
      <c r="C1582" s="12" t="inlineStr">
        <is>
          <t>New</t>
        </is>
      </c>
      <c r="D1582" s="12" t="inlineStr">
        <is>
          <t>Record first supplied in this revision</t>
        </is>
      </c>
      <c r="E1582" s="12" t="inlineStr">
        <is>
          <t>Maya Chen, Owner Project Controls</t>
        </is>
      </c>
      <c r="F1582" s="65" t="inlineStr">
        <is>
          <t>10 EVIDENCE &amp; DECISIONS</t>
        </is>
      </c>
      <c r="G1582" s="14" t="n"/>
    </row>
    <row r="1583" ht="79" customHeight="1">
      <c r="A1583" s="12" t="inlineStr">
        <is>
          <t>R1012-v2</t>
        </is>
      </c>
      <c r="B1583" s="12" t="inlineStr">
        <is>
          <t>SCH-06-112</t>
        </is>
      </c>
      <c r="C1583" s="12" t="inlineStr">
        <is>
          <t>New</t>
        </is>
      </c>
      <c r="D1583" s="12" t="inlineStr">
        <is>
          <t>Record first supplied in this revision</t>
        </is>
      </c>
      <c r="E1583" s="12" t="inlineStr">
        <is>
          <t>Maya Chen, Owner Project Controls</t>
        </is>
      </c>
      <c r="F1583" s="65" t="inlineStr">
        <is>
          <t>10 EVIDENCE &amp; DECISIONS</t>
        </is>
      </c>
      <c r="G1583" s="14" t="n"/>
    </row>
    <row r="1584" ht="79" customHeight="1">
      <c r="A1584" s="12" t="inlineStr">
        <is>
          <t>R1013-v2</t>
        </is>
      </c>
      <c r="B1584" s="12" t="inlineStr">
        <is>
          <t>SCH-06-113</t>
        </is>
      </c>
      <c r="C1584" s="12" t="inlineStr">
        <is>
          <t>New</t>
        </is>
      </c>
      <c r="D1584" s="12" t="inlineStr">
        <is>
          <t>Record first supplied in this revision</t>
        </is>
      </c>
      <c r="E1584" s="12" t="inlineStr">
        <is>
          <t>Maya Chen, Owner Project Controls</t>
        </is>
      </c>
      <c r="F1584" s="65" t="inlineStr">
        <is>
          <t>10 EVIDENCE &amp; DECISIONS</t>
        </is>
      </c>
      <c r="G1584" s="14" t="n"/>
    </row>
    <row r="1585" ht="79" customHeight="1">
      <c r="A1585" s="12" t="inlineStr">
        <is>
          <t>R1014-v2</t>
        </is>
      </c>
      <c r="B1585" s="12" t="inlineStr">
        <is>
          <t>SCH-06-114</t>
        </is>
      </c>
      <c r="C1585" s="12" t="inlineStr">
        <is>
          <t>New</t>
        </is>
      </c>
      <c r="D1585" s="12" t="inlineStr">
        <is>
          <t>Record first supplied in this revision</t>
        </is>
      </c>
      <c r="E1585" s="12" t="inlineStr">
        <is>
          <t>Maya Chen, Owner Project Controls</t>
        </is>
      </c>
      <c r="F1585" s="65" t="inlineStr">
        <is>
          <t>10 EVIDENCE &amp; DECISIONS</t>
        </is>
      </c>
      <c r="G1585" s="14" t="n"/>
    </row>
    <row r="1586" ht="79" customHeight="1">
      <c r="A1586" s="12" t="inlineStr">
        <is>
          <t>R1015-v2</t>
        </is>
      </c>
      <c r="B1586" s="12" t="inlineStr">
        <is>
          <t>SCH-06-115</t>
        </is>
      </c>
      <c r="C1586" s="12" t="inlineStr">
        <is>
          <t>New</t>
        </is>
      </c>
      <c r="D1586" s="12" t="inlineStr">
        <is>
          <t>Record first supplied in this revision</t>
        </is>
      </c>
      <c r="E1586" s="12" t="inlineStr">
        <is>
          <t>Maya Chen, Owner Project Controls</t>
        </is>
      </c>
      <c r="F1586" s="65" t="inlineStr">
        <is>
          <t>10 EVIDENCE &amp; DECISIONS</t>
        </is>
      </c>
      <c r="G1586" s="14" t="n"/>
    </row>
    <row r="1587" ht="79" customHeight="1">
      <c r="A1587" s="12" t="inlineStr">
        <is>
          <t>R1016-v2</t>
        </is>
      </c>
      <c r="B1587" s="12" t="inlineStr">
        <is>
          <t>SCH-06-116</t>
        </is>
      </c>
      <c r="C1587" s="12" t="inlineStr">
        <is>
          <t>New</t>
        </is>
      </c>
      <c r="D1587" s="12" t="inlineStr">
        <is>
          <t>Record first supplied in this revision</t>
        </is>
      </c>
      <c r="E1587" s="12" t="inlineStr">
        <is>
          <t>Maya Chen, Owner Project Controls</t>
        </is>
      </c>
      <c r="F1587" s="65" t="inlineStr">
        <is>
          <t>10 EVIDENCE &amp; DECISIONS</t>
        </is>
      </c>
      <c r="G1587" s="14" t="n"/>
    </row>
    <row r="1588" ht="79" customHeight="1">
      <c r="A1588" s="12" t="inlineStr">
        <is>
          <t>R1017-v2</t>
        </is>
      </c>
      <c r="B1588" s="12" t="inlineStr">
        <is>
          <t>SCH-06-117</t>
        </is>
      </c>
      <c r="C1588" s="12" t="inlineStr">
        <is>
          <t>New</t>
        </is>
      </c>
      <c r="D1588" s="12" t="inlineStr">
        <is>
          <t>Record first supplied in this revision</t>
        </is>
      </c>
      <c r="E1588" s="12" t="inlineStr">
        <is>
          <t>Maya Chen, Owner Project Controls</t>
        </is>
      </c>
      <c r="F1588" s="65" t="inlineStr">
        <is>
          <t>10 EVIDENCE &amp; DECISIONS</t>
        </is>
      </c>
      <c r="G1588" s="14" t="n"/>
    </row>
    <row r="1589" ht="79" customHeight="1">
      <c r="A1589" s="12" t="inlineStr">
        <is>
          <t>R1018-v2</t>
        </is>
      </c>
      <c r="B1589" s="12" t="inlineStr">
        <is>
          <t>SCH-06-118</t>
        </is>
      </c>
      <c r="C1589" s="12" t="inlineStr">
        <is>
          <t>New</t>
        </is>
      </c>
      <c r="D1589" s="12" t="inlineStr">
        <is>
          <t>Record first supplied in this revision</t>
        </is>
      </c>
      <c r="E1589" s="12" t="inlineStr">
        <is>
          <t>Maya Chen, Owner Project Controls</t>
        </is>
      </c>
      <c r="F1589" s="65" t="inlineStr">
        <is>
          <t>10 EVIDENCE &amp; DECISIONS</t>
        </is>
      </c>
      <c r="G1589" s="14" t="n"/>
    </row>
    <row r="1590" ht="79" customHeight="1">
      <c r="A1590" s="12" t="inlineStr">
        <is>
          <t>R1019-v2</t>
        </is>
      </c>
      <c r="B1590" s="12" t="inlineStr">
        <is>
          <t>SCH-06-119</t>
        </is>
      </c>
      <c r="C1590" s="12" t="inlineStr">
        <is>
          <t>New</t>
        </is>
      </c>
      <c r="D1590" s="12" t="inlineStr">
        <is>
          <t>Record first supplied in this revision</t>
        </is>
      </c>
      <c r="E1590" s="12" t="inlineStr">
        <is>
          <t>Maya Chen, Owner Project Controls</t>
        </is>
      </c>
      <c r="F1590" s="65" t="inlineStr">
        <is>
          <t>10 EVIDENCE &amp; DECISIONS</t>
        </is>
      </c>
      <c r="G1590" s="14" t="n"/>
    </row>
    <row r="1591" ht="79" customHeight="1">
      <c r="A1591" s="12" t="inlineStr">
        <is>
          <t>R1020-v2</t>
        </is>
      </c>
      <c r="B1591" s="12" t="inlineStr">
        <is>
          <t>SCH-06-120</t>
        </is>
      </c>
      <c r="C1591" s="12" t="inlineStr">
        <is>
          <t>New</t>
        </is>
      </c>
      <c r="D1591" s="12" t="inlineStr">
        <is>
          <t>Record first supplied in this revision</t>
        </is>
      </c>
      <c r="E1591" s="12" t="inlineStr">
        <is>
          <t>Maya Chen, Owner Project Controls</t>
        </is>
      </c>
      <c r="F1591" s="65" t="inlineStr">
        <is>
          <t>10 EVIDENCE &amp; DECISIONS</t>
        </is>
      </c>
      <c r="G1591" s="14" t="n"/>
    </row>
    <row r="1592" ht="79" customHeight="1">
      <c r="A1592" s="12" t="inlineStr">
        <is>
          <t>R1021-v2</t>
        </is>
      </c>
      <c r="B1592" s="12" t="inlineStr">
        <is>
          <t>SCH-06-121</t>
        </is>
      </c>
      <c r="C1592" s="12" t="inlineStr">
        <is>
          <t>New</t>
        </is>
      </c>
      <c r="D1592" s="12" t="inlineStr">
        <is>
          <t>Record first supplied in this revision</t>
        </is>
      </c>
      <c r="E1592" s="12" t="inlineStr">
        <is>
          <t>Maya Chen, Owner Project Controls</t>
        </is>
      </c>
      <c r="F1592" s="65" t="inlineStr">
        <is>
          <t>10 EVIDENCE &amp; DECISIONS</t>
        </is>
      </c>
      <c r="G1592" s="14" t="n"/>
    </row>
    <row r="1593" ht="79" customHeight="1">
      <c r="A1593" s="12" t="inlineStr">
        <is>
          <t>R1022-v2</t>
        </is>
      </c>
      <c r="B1593" s="12" t="inlineStr">
        <is>
          <t>SCH-06-122</t>
        </is>
      </c>
      <c r="C1593" s="12" t="inlineStr">
        <is>
          <t>New</t>
        </is>
      </c>
      <c r="D1593" s="12" t="inlineStr">
        <is>
          <t>Record first supplied in this revision</t>
        </is>
      </c>
      <c r="E1593" s="12" t="inlineStr">
        <is>
          <t>Maya Chen, Owner Project Controls</t>
        </is>
      </c>
      <c r="F1593" s="65" t="inlineStr">
        <is>
          <t>10 EVIDENCE &amp; DECISIONS</t>
        </is>
      </c>
      <c r="G1593" s="14" t="n"/>
    </row>
    <row r="1594" ht="79" customHeight="1">
      <c r="A1594" s="12" t="inlineStr">
        <is>
          <t>R1023-v2</t>
        </is>
      </c>
      <c r="B1594" s="12" t="inlineStr">
        <is>
          <t>SCH-06-123</t>
        </is>
      </c>
      <c r="C1594" s="12" t="inlineStr">
        <is>
          <t>New</t>
        </is>
      </c>
      <c r="D1594" s="12" t="inlineStr">
        <is>
          <t>Record first supplied in this revision</t>
        </is>
      </c>
      <c r="E1594" s="12" t="inlineStr">
        <is>
          <t>Maya Chen, Owner Project Controls</t>
        </is>
      </c>
      <c r="F1594" s="65" t="inlineStr">
        <is>
          <t>10 EVIDENCE &amp; DECISIONS</t>
        </is>
      </c>
      <c r="G1594" s="14" t="n"/>
    </row>
    <row r="1595" ht="79" customHeight="1">
      <c r="A1595" s="12" t="inlineStr">
        <is>
          <t>R1024-v2</t>
        </is>
      </c>
      <c r="B1595" s="12" t="inlineStr">
        <is>
          <t>SCH-06-124</t>
        </is>
      </c>
      <c r="C1595" s="12" t="inlineStr">
        <is>
          <t>New</t>
        </is>
      </c>
      <c r="D1595" s="12" t="inlineStr">
        <is>
          <t>Record first supplied in this revision</t>
        </is>
      </c>
      <c r="E1595" s="12" t="inlineStr">
        <is>
          <t>Maya Chen, Owner Project Controls</t>
        </is>
      </c>
      <c r="F1595" s="65" t="inlineStr">
        <is>
          <t>10 EVIDENCE &amp; DECISIONS</t>
        </is>
      </c>
      <c r="G1595" s="14" t="n"/>
    </row>
    <row r="1596" ht="79" customHeight="1">
      <c r="A1596" s="12" t="inlineStr">
        <is>
          <t>R1025-v2</t>
        </is>
      </c>
      <c r="B1596" s="12" t="inlineStr">
        <is>
          <t>SCH-06-125</t>
        </is>
      </c>
      <c r="C1596" s="12" t="inlineStr">
        <is>
          <t>New</t>
        </is>
      </c>
      <c r="D1596" s="12" t="inlineStr">
        <is>
          <t>Record first supplied in this revision</t>
        </is>
      </c>
      <c r="E1596" s="12" t="inlineStr">
        <is>
          <t>Maya Chen, Owner Project Controls</t>
        </is>
      </c>
      <c r="F1596" s="65" t="inlineStr">
        <is>
          <t>10 EVIDENCE &amp; DECISIONS</t>
        </is>
      </c>
      <c r="G1596" s="14" t="n"/>
    </row>
    <row r="1597" ht="79" customHeight="1">
      <c r="A1597" s="12" t="inlineStr">
        <is>
          <t>R1026-v2</t>
        </is>
      </c>
      <c r="B1597" s="12" t="inlineStr">
        <is>
          <t>SCH-06-126</t>
        </is>
      </c>
      <c r="C1597" s="12" t="inlineStr">
        <is>
          <t>New</t>
        </is>
      </c>
      <c r="D1597" s="12" t="inlineStr">
        <is>
          <t>Record first supplied in this revision</t>
        </is>
      </c>
      <c r="E1597" s="12" t="inlineStr">
        <is>
          <t>Maya Chen, Owner Project Controls</t>
        </is>
      </c>
      <c r="F1597" s="65" t="inlineStr">
        <is>
          <t>10 EVIDENCE &amp; DECISIONS</t>
        </is>
      </c>
      <c r="G1597" s="14" t="n"/>
    </row>
    <row r="1598" ht="79" customHeight="1">
      <c r="A1598" s="12" t="inlineStr">
        <is>
          <t>R1027-v2</t>
        </is>
      </c>
      <c r="B1598" s="12" t="inlineStr">
        <is>
          <t>SCH-06-127</t>
        </is>
      </c>
      <c r="C1598" s="12" t="inlineStr">
        <is>
          <t>New</t>
        </is>
      </c>
      <c r="D1598" s="12" t="inlineStr">
        <is>
          <t>Record first supplied in this revision</t>
        </is>
      </c>
      <c r="E1598" s="12" t="inlineStr">
        <is>
          <t>Maya Chen, Owner Project Controls</t>
        </is>
      </c>
      <c r="F1598" s="65" t="inlineStr">
        <is>
          <t>10 EVIDENCE &amp; DECISIONS</t>
        </is>
      </c>
      <c r="G1598" s="14" t="n"/>
    </row>
    <row r="1599" ht="79" customHeight="1">
      <c r="A1599" s="12" t="inlineStr">
        <is>
          <t>R1028-v2</t>
        </is>
      </c>
      <c r="B1599" s="12" t="inlineStr">
        <is>
          <t>SCH-06-128</t>
        </is>
      </c>
      <c r="C1599" s="12" t="inlineStr">
        <is>
          <t>New</t>
        </is>
      </c>
      <c r="D1599" s="12" t="inlineStr">
        <is>
          <t>Record first supplied in this revision</t>
        </is>
      </c>
      <c r="E1599" s="12" t="inlineStr">
        <is>
          <t>Maya Chen, Owner Project Controls</t>
        </is>
      </c>
      <c r="F1599" s="65" t="inlineStr">
        <is>
          <t>10 EVIDENCE &amp; DECISIONS</t>
        </is>
      </c>
      <c r="G1599" s="14" t="n"/>
    </row>
    <row r="1600" ht="79" customHeight="1">
      <c r="A1600" s="12" t="inlineStr">
        <is>
          <t>R1029-v2</t>
        </is>
      </c>
      <c r="B1600" s="12" t="inlineStr">
        <is>
          <t>SCH-06-129</t>
        </is>
      </c>
      <c r="C1600" s="12" t="inlineStr">
        <is>
          <t>New</t>
        </is>
      </c>
      <c r="D1600" s="12" t="inlineStr">
        <is>
          <t>Record first supplied in this revision</t>
        </is>
      </c>
      <c r="E1600" s="12" t="inlineStr">
        <is>
          <t>Maya Chen, Owner Project Controls</t>
        </is>
      </c>
      <c r="F1600" s="65" t="inlineStr">
        <is>
          <t>10 EVIDENCE &amp; DECISIONS</t>
        </is>
      </c>
      <c r="G1600" s="14" t="n"/>
    </row>
    <row r="1601" ht="79" customHeight="1">
      <c r="A1601" s="12" t="inlineStr">
        <is>
          <t>R1030-v2</t>
        </is>
      </c>
      <c r="B1601" s="12" t="inlineStr">
        <is>
          <t>SCH-06-130</t>
        </is>
      </c>
      <c r="C1601" s="12" t="inlineStr">
        <is>
          <t>New</t>
        </is>
      </c>
      <c r="D1601" s="12" t="inlineStr">
        <is>
          <t>Record first supplied in this revision</t>
        </is>
      </c>
      <c r="E1601" s="12" t="inlineStr">
        <is>
          <t>Maya Chen, Owner Project Controls</t>
        </is>
      </c>
      <c r="F1601" s="65" t="inlineStr">
        <is>
          <t>10 EVIDENCE &amp; DECISIONS</t>
        </is>
      </c>
      <c r="G1601" s="14" t="n"/>
    </row>
    <row r="1602" ht="79" customHeight="1">
      <c r="A1602" s="12" t="inlineStr">
        <is>
          <t>R1031-v2</t>
        </is>
      </c>
      <c r="B1602" s="12" t="inlineStr">
        <is>
          <t>SCH-06-131</t>
        </is>
      </c>
      <c r="C1602" s="12" t="inlineStr">
        <is>
          <t>New</t>
        </is>
      </c>
      <c r="D1602" s="12" t="inlineStr">
        <is>
          <t>Record first supplied in this revision</t>
        </is>
      </c>
      <c r="E1602" s="12" t="inlineStr">
        <is>
          <t>Maya Chen, Owner Project Controls</t>
        </is>
      </c>
      <c r="F1602" s="65" t="inlineStr">
        <is>
          <t>10 EVIDENCE &amp; DECISIONS</t>
        </is>
      </c>
      <c r="G1602" s="14" t="n"/>
    </row>
    <row r="1603" ht="79" customHeight="1">
      <c r="A1603" s="12" t="inlineStr">
        <is>
          <t>R1032-v2</t>
        </is>
      </c>
      <c r="B1603" s="12" t="inlineStr">
        <is>
          <t>SCH-06-132</t>
        </is>
      </c>
      <c r="C1603" s="12" t="inlineStr">
        <is>
          <t>New</t>
        </is>
      </c>
      <c r="D1603" s="12" t="inlineStr">
        <is>
          <t>Record first supplied in this revision</t>
        </is>
      </c>
      <c r="E1603" s="12" t="inlineStr">
        <is>
          <t>Maya Chen, Owner Project Controls</t>
        </is>
      </c>
      <c r="F1603" s="65" t="inlineStr">
        <is>
          <t>10 EVIDENCE &amp; DECISIONS</t>
        </is>
      </c>
      <c r="G1603" s="14" t="n"/>
    </row>
    <row r="1604" ht="79" customHeight="1">
      <c r="A1604" s="12" t="inlineStr">
        <is>
          <t>R1033-v2</t>
        </is>
      </c>
      <c r="B1604" s="12" t="inlineStr">
        <is>
          <t>SCH-06-133</t>
        </is>
      </c>
      <c r="C1604" s="12" t="inlineStr">
        <is>
          <t>New</t>
        </is>
      </c>
      <c r="D1604" s="12" t="inlineStr">
        <is>
          <t>Record first supplied in this revision</t>
        </is>
      </c>
      <c r="E1604" s="12" t="inlineStr">
        <is>
          <t>Maya Chen, Owner Project Controls</t>
        </is>
      </c>
      <c r="F1604" s="65" t="inlineStr">
        <is>
          <t>10 EVIDENCE &amp; DECISIONS</t>
        </is>
      </c>
      <c r="G1604" s="14" t="n"/>
    </row>
    <row r="1605" ht="79" customHeight="1">
      <c r="A1605" s="12" t="inlineStr">
        <is>
          <t>R1034-v2</t>
        </is>
      </c>
      <c r="B1605" s="12" t="inlineStr">
        <is>
          <t>SCH-06-134</t>
        </is>
      </c>
      <c r="C1605" s="12" t="inlineStr">
        <is>
          <t>New</t>
        </is>
      </c>
      <c r="D1605" s="12" t="inlineStr">
        <is>
          <t>Record first supplied in this revision</t>
        </is>
      </c>
      <c r="E1605" s="12" t="inlineStr">
        <is>
          <t>Maya Chen, Owner Project Controls</t>
        </is>
      </c>
      <c r="F1605" s="65" t="inlineStr">
        <is>
          <t>10 EVIDENCE &amp; DECISIONS</t>
        </is>
      </c>
      <c r="G1605" s="14" t="n"/>
    </row>
    <row r="1606" ht="79" customHeight="1">
      <c r="A1606" s="12" t="inlineStr">
        <is>
          <t>R1035-v2</t>
        </is>
      </c>
      <c r="B1606" s="12" t="inlineStr">
        <is>
          <t>SCH-06-135</t>
        </is>
      </c>
      <c r="C1606" s="12" t="inlineStr">
        <is>
          <t>New</t>
        </is>
      </c>
      <c r="D1606" s="12" t="inlineStr">
        <is>
          <t>Record first supplied in this revision</t>
        </is>
      </c>
      <c r="E1606" s="12" t="inlineStr">
        <is>
          <t>Maya Chen, Owner Project Controls</t>
        </is>
      </c>
      <c r="F1606" s="65" t="inlineStr">
        <is>
          <t>10 EVIDENCE &amp; DECISIONS</t>
        </is>
      </c>
      <c r="G1606" s="14" t="n"/>
    </row>
    <row r="1607" ht="79" customHeight="1">
      <c r="A1607" s="12" t="inlineStr">
        <is>
          <t>R1036-v2</t>
        </is>
      </c>
      <c r="B1607" s="12" t="inlineStr">
        <is>
          <t>SCH-06-136</t>
        </is>
      </c>
      <c r="C1607" s="12" t="inlineStr">
        <is>
          <t>New</t>
        </is>
      </c>
      <c r="D1607" s="12" t="inlineStr">
        <is>
          <t>Record first supplied in this revision</t>
        </is>
      </c>
      <c r="E1607" s="12" t="inlineStr">
        <is>
          <t>Maya Chen, Owner Project Controls</t>
        </is>
      </c>
      <c r="F1607" s="65" t="inlineStr">
        <is>
          <t>10 EVIDENCE &amp; DECISIONS</t>
        </is>
      </c>
      <c r="G1607" s="14" t="n"/>
    </row>
    <row r="1608" ht="79" customHeight="1">
      <c r="A1608" s="12" t="inlineStr">
        <is>
          <t>R1037-v2</t>
        </is>
      </c>
      <c r="B1608" s="12" t="inlineStr">
        <is>
          <t>SCH-06-137</t>
        </is>
      </c>
      <c r="C1608" s="12" t="inlineStr">
        <is>
          <t>New</t>
        </is>
      </c>
      <c r="D1608" s="12" t="inlineStr">
        <is>
          <t>Record first supplied in this revision</t>
        </is>
      </c>
      <c r="E1608" s="12" t="inlineStr">
        <is>
          <t>Maya Chen, Owner Project Controls</t>
        </is>
      </c>
      <c r="F1608" s="65" t="inlineStr">
        <is>
          <t>10 EVIDENCE &amp; DECISIONS</t>
        </is>
      </c>
      <c r="G1608" s="14" t="n"/>
    </row>
    <row r="1609" ht="79" customHeight="1">
      <c r="A1609" s="12" t="inlineStr">
        <is>
          <t>R1038-v2</t>
        </is>
      </c>
      <c r="B1609" s="12" t="inlineStr">
        <is>
          <t>SCH-06-138</t>
        </is>
      </c>
      <c r="C1609" s="12" t="inlineStr">
        <is>
          <t>New</t>
        </is>
      </c>
      <c r="D1609" s="12" t="inlineStr">
        <is>
          <t>Record first supplied in this revision</t>
        </is>
      </c>
      <c r="E1609" s="12" t="inlineStr">
        <is>
          <t>Maya Chen, Owner Project Controls</t>
        </is>
      </c>
      <c r="F1609" s="65" t="inlineStr">
        <is>
          <t>10 EVIDENCE &amp; DECISIONS</t>
        </is>
      </c>
      <c r="G1609" s="14" t="n"/>
    </row>
    <row r="1610" ht="79" customHeight="1">
      <c r="A1610" s="12" t="inlineStr">
        <is>
          <t>R1039-v2</t>
        </is>
      </c>
      <c r="B1610" s="12" t="inlineStr">
        <is>
          <t>SCH-06-139</t>
        </is>
      </c>
      <c r="C1610" s="12" t="inlineStr">
        <is>
          <t>New</t>
        </is>
      </c>
      <c r="D1610" s="12" t="inlineStr">
        <is>
          <t>Record first supplied in this revision</t>
        </is>
      </c>
      <c r="E1610" s="12" t="inlineStr">
        <is>
          <t>Maya Chen, Owner Project Controls</t>
        </is>
      </c>
      <c r="F1610" s="65" t="inlineStr">
        <is>
          <t>10 EVIDENCE &amp; DECISIONS</t>
        </is>
      </c>
      <c r="G1610" s="14" t="n"/>
    </row>
    <row r="1611" ht="79" customHeight="1">
      <c r="A1611" s="12" t="inlineStr">
        <is>
          <t>R1040-v2</t>
        </is>
      </c>
      <c r="B1611" s="12" t="inlineStr">
        <is>
          <t>SCH-06-140</t>
        </is>
      </c>
      <c r="C1611" s="12" t="inlineStr">
        <is>
          <t>New</t>
        </is>
      </c>
      <c r="D1611" s="12" t="inlineStr">
        <is>
          <t>Record first supplied in this revision</t>
        </is>
      </c>
      <c r="E1611" s="12" t="inlineStr">
        <is>
          <t>Maya Chen, Owner Project Controls</t>
        </is>
      </c>
      <c r="F1611" s="65" t="inlineStr">
        <is>
          <t>10 EVIDENCE &amp; DECISIONS</t>
        </is>
      </c>
      <c r="G1611" s="14" t="n"/>
    </row>
    <row r="1612" ht="79" customHeight="1">
      <c r="A1612" s="12" t="inlineStr">
        <is>
          <t>R1041-v2</t>
        </is>
      </c>
      <c r="B1612" s="12" t="inlineStr">
        <is>
          <t>SCH-06-141</t>
        </is>
      </c>
      <c r="C1612" s="12" t="inlineStr">
        <is>
          <t>New</t>
        </is>
      </c>
      <c r="D1612" s="12" t="inlineStr">
        <is>
          <t>Record first supplied in this revision</t>
        </is>
      </c>
      <c r="E1612" s="12" t="inlineStr">
        <is>
          <t>Maya Chen, Owner Project Controls</t>
        </is>
      </c>
      <c r="F1612" s="65" t="inlineStr">
        <is>
          <t>10 EVIDENCE &amp; DECISIONS</t>
        </is>
      </c>
      <c r="G1612" s="14" t="n"/>
    </row>
    <row r="1613" ht="79" customHeight="1">
      <c r="A1613" s="12" t="inlineStr">
        <is>
          <t>R1042-v2</t>
        </is>
      </c>
      <c r="B1613" s="12" t="inlineStr">
        <is>
          <t>SCH-06-142</t>
        </is>
      </c>
      <c r="C1613" s="12" t="inlineStr">
        <is>
          <t>New</t>
        </is>
      </c>
      <c r="D1613" s="12" t="inlineStr">
        <is>
          <t>Record first supplied in this revision</t>
        </is>
      </c>
      <c r="E1613" s="12" t="inlineStr">
        <is>
          <t>Maya Chen, Owner Project Controls</t>
        </is>
      </c>
      <c r="F1613" s="65" t="inlineStr">
        <is>
          <t>10 EVIDENCE &amp; DECISIONS</t>
        </is>
      </c>
      <c r="G1613" s="14" t="n"/>
    </row>
    <row r="1614" ht="79" customHeight="1">
      <c r="A1614" s="12" t="inlineStr">
        <is>
          <t>R1043-v2</t>
        </is>
      </c>
      <c r="B1614" s="12" t="inlineStr">
        <is>
          <t>SCH-06-143</t>
        </is>
      </c>
      <c r="C1614" s="12" t="inlineStr">
        <is>
          <t>New</t>
        </is>
      </c>
      <c r="D1614" s="12" t="inlineStr">
        <is>
          <t>Record first supplied in this revision</t>
        </is>
      </c>
      <c r="E1614" s="12" t="inlineStr">
        <is>
          <t>Maya Chen, Owner Project Controls</t>
        </is>
      </c>
      <c r="F1614" s="65" t="inlineStr">
        <is>
          <t>10 EVIDENCE &amp; DECISIONS</t>
        </is>
      </c>
      <c r="G1614" s="14" t="n"/>
    </row>
    <row r="1615" ht="79" customHeight="1">
      <c r="A1615" s="12" t="inlineStr">
        <is>
          <t>R1044-v2</t>
        </is>
      </c>
      <c r="B1615" s="12" t="inlineStr">
        <is>
          <t>SCH-06-144</t>
        </is>
      </c>
      <c r="C1615" s="12" t="inlineStr">
        <is>
          <t>New</t>
        </is>
      </c>
      <c r="D1615" s="12" t="inlineStr">
        <is>
          <t>Record first supplied in this revision</t>
        </is>
      </c>
      <c r="E1615" s="12" t="inlineStr">
        <is>
          <t>Maya Chen, Owner Project Controls</t>
        </is>
      </c>
      <c r="F1615" s="65" t="inlineStr">
        <is>
          <t>10 EVIDENCE &amp; DECISIONS</t>
        </is>
      </c>
      <c r="G1615" s="14" t="n"/>
    </row>
    <row r="1616" ht="79" customHeight="1">
      <c r="A1616" s="12" t="inlineStr">
        <is>
          <t>R1045-v2</t>
        </is>
      </c>
      <c r="B1616" s="12" t="inlineStr">
        <is>
          <t>SCH-06-145</t>
        </is>
      </c>
      <c r="C1616" s="12" t="inlineStr">
        <is>
          <t>New</t>
        </is>
      </c>
      <c r="D1616" s="12" t="inlineStr">
        <is>
          <t>Record first supplied in this revision</t>
        </is>
      </c>
      <c r="E1616" s="12" t="inlineStr">
        <is>
          <t>Maya Chen, Owner Project Controls</t>
        </is>
      </c>
      <c r="F1616" s="65" t="inlineStr">
        <is>
          <t>10 EVIDENCE &amp; DECISIONS</t>
        </is>
      </c>
      <c r="G1616" s="14" t="n"/>
    </row>
    <row r="1617" ht="79" customHeight="1">
      <c r="A1617" s="12" t="inlineStr">
        <is>
          <t>R1046-v2</t>
        </is>
      </c>
      <c r="B1617" s="12" t="inlineStr">
        <is>
          <t>SCH-06-146</t>
        </is>
      </c>
      <c r="C1617" s="12" t="inlineStr">
        <is>
          <t>New</t>
        </is>
      </c>
      <c r="D1617" s="12" t="inlineStr">
        <is>
          <t>Record first supplied in this revision</t>
        </is>
      </c>
      <c r="E1617" s="12" t="inlineStr">
        <is>
          <t>Maya Chen, Owner Project Controls</t>
        </is>
      </c>
      <c r="F1617" s="65" t="inlineStr">
        <is>
          <t>10 EVIDENCE &amp; DECISIONS</t>
        </is>
      </c>
      <c r="G1617" s="14" t="n"/>
    </row>
    <row r="1618" ht="79" customHeight="1">
      <c r="A1618" s="12" t="inlineStr">
        <is>
          <t>R1047-v2</t>
        </is>
      </c>
      <c r="B1618" s="12" t="inlineStr">
        <is>
          <t>SCH-06-147</t>
        </is>
      </c>
      <c r="C1618" s="12" t="inlineStr">
        <is>
          <t>New</t>
        </is>
      </c>
      <c r="D1618" s="12" t="inlineStr">
        <is>
          <t>Record first supplied in this revision</t>
        </is>
      </c>
      <c r="E1618" s="12" t="inlineStr">
        <is>
          <t>Maya Chen, Owner Project Controls</t>
        </is>
      </c>
      <c r="F1618" s="65" t="inlineStr">
        <is>
          <t>10 EVIDENCE &amp; DECISIONS</t>
        </is>
      </c>
      <c r="G1618" s="14" t="n"/>
    </row>
    <row r="1619" ht="79" customHeight="1">
      <c r="A1619" s="12" t="inlineStr">
        <is>
          <t>R1048-v2</t>
        </is>
      </c>
      <c r="B1619" s="12" t="inlineStr">
        <is>
          <t>SCH-06-148</t>
        </is>
      </c>
      <c r="C1619" s="12" t="inlineStr">
        <is>
          <t>New</t>
        </is>
      </c>
      <c r="D1619" s="12" t="inlineStr">
        <is>
          <t>Record first supplied in this revision</t>
        </is>
      </c>
      <c r="E1619" s="12" t="inlineStr">
        <is>
          <t>Maya Chen, Owner Project Controls</t>
        </is>
      </c>
      <c r="F1619" s="65" t="inlineStr">
        <is>
          <t>10 EVIDENCE &amp; DECISIONS</t>
        </is>
      </c>
      <c r="G1619" s="14" t="n"/>
    </row>
    <row r="1620" ht="79" customHeight="1">
      <c r="A1620" s="12" t="inlineStr">
        <is>
          <t>R1049-v2</t>
        </is>
      </c>
      <c r="B1620" s="12" t="inlineStr">
        <is>
          <t>SCH-06-149</t>
        </is>
      </c>
      <c r="C1620" s="12" t="inlineStr">
        <is>
          <t>New</t>
        </is>
      </c>
      <c r="D1620" s="12" t="inlineStr">
        <is>
          <t>Record first supplied in this revision</t>
        </is>
      </c>
      <c r="E1620" s="12" t="inlineStr">
        <is>
          <t>Maya Chen, Owner Project Controls</t>
        </is>
      </c>
      <c r="F1620" s="65" t="inlineStr">
        <is>
          <t>10 EVIDENCE &amp; DECISIONS</t>
        </is>
      </c>
      <c r="G1620" s="14" t="n"/>
    </row>
    <row r="1621" ht="79" customHeight="1">
      <c r="A1621" s="12" t="inlineStr">
        <is>
          <t>R1050-v2</t>
        </is>
      </c>
      <c r="B1621" s="12" t="inlineStr">
        <is>
          <t>SCH-06-150</t>
        </is>
      </c>
      <c r="C1621" s="12" t="inlineStr">
        <is>
          <t>New</t>
        </is>
      </c>
      <c r="D1621" s="12" t="inlineStr">
        <is>
          <t>Record first supplied in this revision</t>
        </is>
      </c>
      <c r="E1621" s="12" t="inlineStr">
        <is>
          <t>Maya Chen, Owner Project Controls</t>
        </is>
      </c>
      <c r="F1621" s="65" t="inlineStr">
        <is>
          <t>10 EVIDENCE &amp; DECISIONS</t>
        </is>
      </c>
      <c r="G1621" s="14" t="n"/>
    </row>
    <row r="1622" ht="79" customHeight="1">
      <c r="A1622" s="12" t="inlineStr">
        <is>
          <t>R1051-v2</t>
        </is>
      </c>
      <c r="B1622" s="12" t="inlineStr">
        <is>
          <t>SCH-06-151</t>
        </is>
      </c>
      <c r="C1622" s="12" t="inlineStr">
        <is>
          <t>New</t>
        </is>
      </c>
      <c r="D1622" s="12" t="inlineStr">
        <is>
          <t>Record first supplied in this revision</t>
        </is>
      </c>
      <c r="E1622" s="12" t="inlineStr">
        <is>
          <t>Maya Chen, Owner Project Controls</t>
        </is>
      </c>
      <c r="F1622" s="65" t="inlineStr">
        <is>
          <t>10 EVIDENCE &amp; DECISIONS</t>
        </is>
      </c>
      <c r="G1622" s="14" t="n"/>
    </row>
    <row r="1623" ht="79" customHeight="1">
      <c r="A1623" s="12" t="inlineStr">
        <is>
          <t>R1052-v2</t>
        </is>
      </c>
      <c r="B1623" s="12" t="inlineStr">
        <is>
          <t>SCH-06-152</t>
        </is>
      </c>
      <c r="C1623" s="12" t="inlineStr">
        <is>
          <t>New</t>
        </is>
      </c>
      <c r="D1623" s="12" t="inlineStr">
        <is>
          <t>Record first supplied in this revision</t>
        </is>
      </c>
      <c r="E1623" s="12" t="inlineStr">
        <is>
          <t>Maya Chen, Owner Project Controls</t>
        </is>
      </c>
      <c r="F1623" s="65" t="inlineStr">
        <is>
          <t>10 EVIDENCE &amp; DECISIONS</t>
        </is>
      </c>
      <c r="G1623" s="14" t="n"/>
    </row>
    <row r="1624" ht="79" customHeight="1">
      <c r="A1624" s="12" t="inlineStr">
        <is>
          <t>R1053-v2</t>
        </is>
      </c>
      <c r="B1624" s="12" t="inlineStr">
        <is>
          <t>SCH-06-153</t>
        </is>
      </c>
      <c r="C1624" s="12" t="inlineStr">
        <is>
          <t>New</t>
        </is>
      </c>
      <c r="D1624" s="12" t="inlineStr">
        <is>
          <t>Record first supplied in this revision</t>
        </is>
      </c>
      <c r="E1624" s="12" t="inlineStr">
        <is>
          <t>Maya Chen, Owner Project Controls</t>
        </is>
      </c>
      <c r="F1624" s="65" t="inlineStr">
        <is>
          <t>10 EVIDENCE &amp; DECISIONS</t>
        </is>
      </c>
      <c r="G1624" s="14" t="n"/>
    </row>
    <row r="1625" ht="79" customHeight="1">
      <c r="A1625" s="12" t="inlineStr">
        <is>
          <t>R1054-v2</t>
        </is>
      </c>
      <c r="B1625" s="12" t="inlineStr">
        <is>
          <t>SCH-06-154</t>
        </is>
      </c>
      <c r="C1625" s="12" t="inlineStr">
        <is>
          <t>New</t>
        </is>
      </c>
      <c r="D1625" s="12" t="inlineStr">
        <is>
          <t>Record first supplied in this revision</t>
        </is>
      </c>
      <c r="E1625" s="12" t="inlineStr">
        <is>
          <t>Maya Chen, Owner Project Controls</t>
        </is>
      </c>
      <c r="F1625" s="65" t="inlineStr">
        <is>
          <t>10 EVIDENCE &amp; DECISIONS</t>
        </is>
      </c>
      <c r="G1625" s="14" t="n"/>
    </row>
    <row r="1626" ht="79" customHeight="1">
      <c r="A1626" s="12" t="inlineStr">
        <is>
          <t>R1055-v2</t>
        </is>
      </c>
      <c r="B1626" s="12" t="inlineStr">
        <is>
          <t>SCH-06-155</t>
        </is>
      </c>
      <c r="C1626" s="12" t="inlineStr">
        <is>
          <t>New</t>
        </is>
      </c>
      <c r="D1626" s="12" t="inlineStr">
        <is>
          <t>Record first supplied in this revision</t>
        </is>
      </c>
      <c r="E1626" s="12" t="inlineStr">
        <is>
          <t>Maya Chen, Owner Project Controls</t>
        </is>
      </c>
      <c r="F1626" s="65" t="inlineStr">
        <is>
          <t>10 EVIDENCE &amp; DECISIONS</t>
        </is>
      </c>
      <c r="G1626" s="14" t="n"/>
    </row>
    <row r="1627" ht="79" customHeight="1">
      <c r="A1627" s="12" t="inlineStr">
        <is>
          <t>R1056-v2</t>
        </is>
      </c>
      <c r="B1627" s="12" t="inlineStr">
        <is>
          <t>SCH-06-156</t>
        </is>
      </c>
      <c r="C1627" s="12" t="inlineStr">
        <is>
          <t>New</t>
        </is>
      </c>
      <c r="D1627" s="12" t="inlineStr">
        <is>
          <t>Record first supplied in this revision</t>
        </is>
      </c>
      <c r="E1627" s="12" t="inlineStr">
        <is>
          <t>Maya Chen, Owner Project Controls</t>
        </is>
      </c>
      <c r="F1627" s="65" t="inlineStr">
        <is>
          <t>10 EVIDENCE &amp; DECISIONS</t>
        </is>
      </c>
      <c r="G1627" s="14" t="n"/>
    </row>
    <row r="1628" ht="79" customHeight="1">
      <c r="A1628" s="12" t="inlineStr">
        <is>
          <t>R1057-v2</t>
        </is>
      </c>
      <c r="B1628" s="12" t="inlineStr">
        <is>
          <t>SCH-06-157</t>
        </is>
      </c>
      <c r="C1628" s="12" t="inlineStr">
        <is>
          <t>New</t>
        </is>
      </c>
      <c r="D1628" s="12" t="inlineStr">
        <is>
          <t>Record first supplied in this revision</t>
        </is>
      </c>
      <c r="E1628" s="12" t="inlineStr">
        <is>
          <t>Maya Chen, Owner Project Controls</t>
        </is>
      </c>
      <c r="F1628" s="65" t="inlineStr">
        <is>
          <t>10 EVIDENCE &amp; DECISIONS</t>
        </is>
      </c>
      <c r="G1628" s="14" t="n"/>
    </row>
    <row r="1629" ht="79" customHeight="1">
      <c r="A1629" s="12" t="inlineStr">
        <is>
          <t>R1058-v2</t>
        </is>
      </c>
      <c r="B1629" s="12" t="inlineStr">
        <is>
          <t>SCH-06-158</t>
        </is>
      </c>
      <c r="C1629" s="12" t="inlineStr">
        <is>
          <t>New</t>
        </is>
      </c>
      <c r="D1629" s="12" t="inlineStr">
        <is>
          <t>Record first supplied in this revision</t>
        </is>
      </c>
      <c r="E1629" s="12" t="inlineStr">
        <is>
          <t>Maya Chen, Owner Project Controls</t>
        </is>
      </c>
      <c r="F1629" s="65" t="inlineStr">
        <is>
          <t>10 EVIDENCE &amp; DECISIONS</t>
        </is>
      </c>
      <c r="G1629" s="14" t="n"/>
    </row>
    <row r="1630" ht="79" customHeight="1">
      <c r="A1630" s="12" t="inlineStr">
        <is>
          <t>R1059-v2</t>
        </is>
      </c>
      <c r="B1630" s="12" t="inlineStr">
        <is>
          <t>SCH-06-159</t>
        </is>
      </c>
      <c r="C1630" s="12" t="inlineStr">
        <is>
          <t>New</t>
        </is>
      </c>
      <c r="D1630" s="12" t="inlineStr">
        <is>
          <t>Record first supplied in this revision</t>
        </is>
      </c>
      <c r="E1630" s="12" t="inlineStr">
        <is>
          <t>Maya Chen, Owner Project Controls</t>
        </is>
      </c>
      <c r="F1630" s="65" t="inlineStr">
        <is>
          <t>10 EVIDENCE &amp; DECISIONS</t>
        </is>
      </c>
      <c r="G1630" s="14" t="n"/>
    </row>
    <row r="1631" ht="79" customHeight="1">
      <c r="A1631" s="12" t="inlineStr">
        <is>
          <t>R1060-v2</t>
        </is>
      </c>
      <c r="B1631" s="12" t="inlineStr">
        <is>
          <t>SCH-06-160</t>
        </is>
      </c>
      <c r="C1631" s="12" t="inlineStr">
        <is>
          <t>New</t>
        </is>
      </c>
      <c r="D1631" s="12" t="inlineStr">
        <is>
          <t>Record first supplied in this revision</t>
        </is>
      </c>
      <c r="E1631" s="12" t="inlineStr">
        <is>
          <t>Maya Chen, Owner Project Controls</t>
        </is>
      </c>
      <c r="F1631" s="65" t="inlineStr">
        <is>
          <t>10 EVIDENCE &amp; DECISIONS</t>
        </is>
      </c>
      <c r="G1631" s="14" t="n"/>
    </row>
    <row r="1632" ht="79" customHeight="1">
      <c r="A1632" s="12" t="inlineStr">
        <is>
          <t>R1061-v2</t>
        </is>
      </c>
      <c r="B1632" s="12" t="inlineStr">
        <is>
          <t>SCH-06-161</t>
        </is>
      </c>
      <c r="C1632" s="12" t="inlineStr">
        <is>
          <t>New</t>
        </is>
      </c>
      <c r="D1632" s="12" t="inlineStr">
        <is>
          <t>Record first supplied in this revision</t>
        </is>
      </c>
      <c r="E1632" s="12" t="inlineStr">
        <is>
          <t>Maya Chen, Owner Project Controls</t>
        </is>
      </c>
      <c r="F1632" s="65" t="inlineStr">
        <is>
          <t>10 EVIDENCE &amp; DECISIONS</t>
        </is>
      </c>
      <c r="G1632" s="14" t="n"/>
    </row>
    <row r="1633" ht="79" customHeight="1">
      <c r="A1633" s="12" t="inlineStr">
        <is>
          <t>R1062-v2</t>
        </is>
      </c>
      <c r="B1633" s="12" t="inlineStr">
        <is>
          <t>SCH-06-162</t>
        </is>
      </c>
      <c r="C1633" s="12" t="inlineStr">
        <is>
          <t>New</t>
        </is>
      </c>
      <c r="D1633" s="12" t="inlineStr">
        <is>
          <t>Record first supplied in this revision</t>
        </is>
      </c>
      <c r="E1633" s="12" t="inlineStr">
        <is>
          <t>Maya Chen, Owner Project Controls</t>
        </is>
      </c>
      <c r="F1633" s="65" t="inlineStr">
        <is>
          <t>10 EVIDENCE &amp; DECISIONS</t>
        </is>
      </c>
      <c r="G1633" s="14" t="n"/>
    </row>
    <row r="1634" ht="79" customHeight="1">
      <c r="A1634" s="12" t="inlineStr">
        <is>
          <t>R1063-v2</t>
        </is>
      </c>
      <c r="B1634" s="12" t="inlineStr">
        <is>
          <t>SCH-06-163</t>
        </is>
      </c>
      <c r="C1634" s="12" t="inlineStr">
        <is>
          <t>New</t>
        </is>
      </c>
      <c r="D1634" s="12" t="inlineStr">
        <is>
          <t>Record first supplied in this revision</t>
        </is>
      </c>
      <c r="E1634" s="12" t="inlineStr">
        <is>
          <t>Maya Chen, Owner Project Controls</t>
        </is>
      </c>
      <c r="F1634" s="65" t="inlineStr">
        <is>
          <t>10 EVIDENCE &amp; DECISIONS</t>
        </is>
      </c>
      <c r="G1634" s="14" t="n"/>
    </row>
    <row r="1635" ht="79" customHeight="1">
      <c r="A1635" s="12" t="inlineStr">
        <is>
          <t>R1064-v2</t>
        </is>
      </c>
      <c r="B1635" s="12" t="inlineStr">
        <is>
          <t>SCH-06-164</t>
        </is>
      </c>
      <c r="C1635" s="12" t="inlineStr">
        <is>
          <t>New</t>
        </is>
      </c>
      <c r="D1635" s="12" t="inlineStr">
        <is>
          <t>Record first supplied in this revision</t>
        </is>
      </c>
      <c r="E1635" s="12" t="inlineStr">
        <is>
          <t>Maya Chen, Owner Project Controls</t>
        </is>
      </c>
      <c r="F1635" s="65" t="inlineStr">
        <is>
          <t>10 EVIDENCE &amp; DECISIONS</t>
        </is>
      </c>
      <c r="G1635" s="14" t="n"/>
    </row>
    <row r="1636" ht="79" customHeight="1">
      <c r="A1636" s="12" t="inlineStr">
        <is>
          <t>R1065-v2</t>
        </is>
      </c>
      <c r="B1636" s="12" t="inlineStr">
        <is>
          <t>SCH-06-165</t>
        </is>
      </c>
      <c r="C1636" s="12" t="inlineStr">
        <is>
          <t>New</t>
        </is>
      </c>
      <c r="D1636" s="12" t="inlineStr">
        <is>
          <t>Record first supplied in this revision</t>
        </is>
      </c>
      <c r="E1636" s="12" t="inlineStr">
        <is>
          <t>Maya Chen, Owner Project Controls</t>
        </is>
      </c>
      <c r="F1636" s="65" t="inlineStr">
        <is>
          <t>10 EVIDENCE &amp; DECISIONS</t>
        </is>
      </c>
      <c r="G1636" s="14" t="n"/>
    </row>
    <row r="1637" ht="79" customHeight="1">
      <c r="A1637" s="12" t="inlineStr">
        <is>
          <t>R1066-v2</t>
        </is>
      </c>
      <c r="B1637" s="12" t="inlineStr">
        <is>
          <t>SCH-06-166</t>
        </is>
      </c>
      <c r="C1637" s="12" t="inlineStr">
        <is>
          <t>New</t>
        </is>
      </c>
      <c r="D1637" s="12" t="inlineStr">
        <is>
          <t>Record first supplied in this revision</t>
        </is>
      </c>
      <c r="E1637" s="12" t="inlineStr">
        <is>
          <t>Maya Chen, Owner Project Controls</t>
        </is>
      </c>
      <c r="F1637" s="65" t="inlineStr">
        <is>
          <t>10 EVIDENCE &amp; DECISIONS</t>
        </is>
      </c>
      <c r="G1637" s="14" t="n"/>
    </row>
    <row r="1638" ht="79" customHeight="1">
      <c r="A1638" s="12" t="inlineStr">
        <is>
          <t>R1067-v2</t>
        </is>
      </c>
      <c r="B1638" s="12" t="inlineStr">
        <is>
          <t>SCH-06-167</t>
        </is>
      </c>
      <c r="C1638" s="12" t="inlineStr">
        <is>
          <t>New</t>
        </is>
      </c>
      <c r="D1638" s="12" t="inlineStr">
        <is>
          <t>Record first supplied in this revision</t>
        </is>
      </c>
      <c r="E1638" s="12" t="inlineStr">
        <is>
          <t>Maya Chen, Owner Project Controls</t>
        </is>
      </c>
      <c r="F1638" s="65" t="inlineStr">
        <is>
          <t>10 EVIDENCE &amp; DECISIONS</t>
        </is>
      </c>
      <c r="G1638" s="14" t="n"/>
    </row>
    <row r="1639" ht="79" customHeight="1">
      <c r="A1639" s="12" t="inlineStr">
        <is>
          <t>R1068-v2</t>
        </is>
      </c>
      <c r="B1639" s="12" t="inlineStr">
        <is>
          <t>SCH-06-168</t>
        </is>
      </c>
      <c r="C1639" s="12" t="inlineStr">
        <is>
          <t>New</t>
        </is>
      </c>
      <c r="D1639" s="12" t="inlineStr">
        <is>
          <t>Record first supplied in this revision</t>
        </is>
      </c>
      <c r="E1639" s="12" t="inlineStr">
        <is>
          <t>Maya Chen, Owner Project Controls</t>
        </is>
      </c>
      <c r="F1639" s="65" t="inlineStr">
        <is>
          <t>10 EVIDENCE &amp; DECISIONS</t>
        </is>
      </c>
      <c r="G1639" s="14" t="n"/>
    </row>
    <row r="1640" ht="79" customHeight="1">
      <c r="A1640" s="12" t="inlineStr">
        <is>
          <t>R1069-v2</t>
        </is>
      </c>
      <c r="B1640" s="12" t="inlineStr">
        <is>
          <t>SCH-06-169</t>
        </is>
      </c>
      <c r="C1640" s="12" t="inlineStr">
        <is>
          <t>New</t>
        </is>
      </c>
      <c r="D1640" s="12" t="inlineStr">
        <is>
          <t>Record first supplied in this revision</t>
        </is>
      </c>
      <c r="E1640" s="12" t="inlineStr">
        <is>
          <t>Maya Chen, Owner Project Controls</t>
        </is>
      </c>
      <c r="F1640" s="65" t="inlineStr">
        <is>
          <t>10 EVIDENCE &amp; DECISIONS</t>
        </is>
      </c>
      <c r="G1640" s="14" t="n"/>
    </row>
    <row r="1641" ht="79" customHeight="1">
      <c r="A1641" s="12" t="inlineStr">
        <is>
          <t>R1070-v2</t>
        </is>
      </c>
      <c r="B1641" s="12" t="inlineStr">
        <is>
          <t>SCH-06-170</t>
        </is>
      </c>
      <c r="C1641" s="12" t="inlineStr">
        <is>
          <t>New</t>
        </is>
      </c>
      <c r="D1641" s="12" t="inlineStr">
        <is>
          <t>Record first supplied in this revision</t>
        </is>
      </c>
      <c r="E1641" s="12" t="inlineStr">
        <is>
          <t>Maya Chen, Owner Project Controls</t>
        </is>
      </c>
      <c r="F1641" s="65" t="inlineStr">
        <is>
          <t>10 EVIDENCE &amp; DECISIONS</t>
        </is>
      </c>
      <c r="G1641" s="14" t="n"/>
    </row>
    <row r="1642" ht="79" customHeight="1">
      <c r="A1642" s="12" t="inlineStr">
        <is>
          <t>R1071-v2</t>
        </is>
      </c>
      <c r="B1642" s="12" t="inlineStr">
        <is>
          <t>SCH-06-171</t>
        </is>
      </c>
      <c r="C1642" s="12" t="inlineStr">
        <is>
          <t>New</t>
        </is>
      </c>
      <c r="D1642" s="12" t="inlineStr">
        <is>
          <t>Record first supplied in this revision</t>
        </is>
      </c>
      <c r="E1642" s="12" t="inlineStr">
        <is>
          <t>Maya Chen, Owner Project Controls</t>
        </is>
      </c>
      <c r="F1642" s="65" t="inlineStr">
        <is>
          <t>10 EVIDENCE &amp; DECISIONS</t>
        </is>
      </c>
      <c r="G1642" s="14" t="n"/>
    </row>
    <row r="1643" ht="79" customHeight="1">
      <c r="A1643" s="12" t="inlineStr">
        <is>
          <t>R1072-v2</t>
        </is>
      </c>
      <c r="B1643" s="12" t="inlineStr">
        <is>
          <t>SCH-06-172</t>
        </is>
      </c>
      <c r="C1643" s="12" t="inlineStr">
        <is>
          <t>New</t>
        </is>
      </c>
      <c r="D1643" s="12" t="inlineStr">
        <is>
          <t>Record first supplied in this revision</t>
        </is>
      </c>
      <c r="E1643" s="12" t="inlineStr">
        <is>
          <t>Maya Chen, Owner Project Controls</t>
        </is>
      </c>
      <c r="F1643" s="65" t="inlineStr">
        <is>
          <t>10 EVIDENCE &amp; DECISIONS</t>
        </is>
      </c>
      <c r="G1643" s="14" t="n"/>
    </row>
    <row r="1644" ht="79" customHeight="1">
      <c r="A1644" s="12" t="inlineStr">
        <is>
          <t>R1073-v2</t>
        </is>
      </c>
      <c r="B1644" s="12" t="inlineStr">
        <is>
          <t>SCH-06-173</t>
        </is>
      </c>
      <c r="C1644" s="12" t="inlineStr">
        <is>
          <t>New</t>
        </is>
      </c>
      <c r="D1644" s="12" t="inlineStr">
        <is>
          <t>Record first supplied in this revision</t>
        </is>
      </c>
      <c r="E1644" s="12" t="inlineStr">
        <is>
          <t>Maya Chen, Owner Project Controls</t>
        </is>
      </c>
      <c r="F1644" s="65" t="inlineStr">
        <is>
          <t>10 EVIDENCE &amp; DECISIONS</t>
        </is>
      </c>
      <c r="G1644" s="14" t="n"/>
    </row>
    <row r="1645" ht="79" customHeight="1">
      <c r="A1645" s="12" t="inlineStr">
        <is>
          <t>R1074-v2</t>
        </is>
      </c>
      <c r="B1645" s="12" t="inlineStr">
        <is>
          <t>SCH-06-174</t>
        </is>
      </c>
      <c r="C1645" s="12" t="inlineStr">
        <is>
          <t>New</t>
        </is>
      </c>
      <c r="D1645" s="12" t="inlineStr">
        <is>
          <t>Record first supplied in this revision</t>
        </is>
      </c>
      <c r="E1645" s="12" t="inlineStr">
        <is>
          <t>Maya Chen, Owner Project Controls</t>
        </is>
      </c>
      <c r="F1645" s="65" t="inlineStr">
        <is>
          <t>10 EVIDENCE &amp; DECISIONS</t>
        </is>
      </c>
      <c r="G1645" s="14" t="n"/>
    </row>
    <row r="1646" ht="79" customHeight="1">
      <c r="A1646" s="12" t="inlineStr">
        <is>
          <t>R1075-v2</t>
        </is>
      </c>
      <c r="B1646" s="12" t="inlineStr">
        <is>
          <t>SCH-06-175</t>
        </is>
      </c>
      <c r="C1646" s="12" t="inlineStr">
        <is>
          <t>New</t>
        </is>
      </c>
      <c r="D1646" s="12" t="inlineStr">
        <is>
          <t>Record first supplied in this revision</t>
        </is>
      </c>
      <c r="E1646" s="12" t="inlineStr">
        <is>
          <t>Maya Chen, Owner Project Controls</t>
        </is>
      </c>
      <c r="F1646" s="65" t="inlineStr">
        <is>
          <t>10 EVIDENCE &amp; DECISIONS</t>
        </is>
      </c>
      <c r="G1646" s="14" t="n"/>
    </row>
    <row r="1647" ht="79" customHeight="1">
      <c r="A1647" s="12" t="inlineStr">
        <is>
          <t>R1076-v2</t>
        </is>
      </c>
      <c r="B1647" s="12" t="inlineStr">
        <is>
          <t>SCH-06-176</t>
        </is>
      </c>
      <c r="C1647" s="12" t="inlineStr">
        <is>
          <t>New</t>
        </is>
      </c>
      <c r="D1647" s="12" t="inlineStr">
        <is>
          <t>Record first supplied in this revision</t>
        </is>
      </c>
      <c r="E1647" s="12" t="inlineStr">
        <is>
          <t>Maya Chen, Owner Project Controls</t>
        </is>
      </c>
      <c r="F1647" s="65" t="inlineStr">
        <is>
          <t>10 EVIDENCE &amp; DECISIONS</t>
        </is>
      </c>
      <c r="G1647" s="14" t="n"/>
    </row>
    <row r="1648" ht="79" customHeight="1">
      <c r="A1648" s="12" t="inlineStr">
        <is>
          <t>R1077-v2</t>
        </is>
      </c>
      <c r="B1648" s="12" t="inlineStr">
        <is>
          <t>SCH-06-177</t>
        </is>
      </c>
      <c r="C1648" s="12" t="inlineStr">
        <is>
          <t>New</t>
        </is>
      </c>
      <c r="D1648" s="12" t="inlineStr">
        <is>
          <t>Record first supplied in this revision</t>
        </is>
      </c>
      <c r="E1648" s="12" t="inlineStr">
        <is>
          <t>Maya Chen, Owner Project Controls</t>
        </is>
      </c>
      <c r="F1648" s="65" t="inlineStr">
        <is>
          <t>10 EVIDENCE &amp; DECISIONS</t>
        </is>
      </c>
      <c r="G1648" s="14" t="n"/>
    </row>
    <row r="1649" ht="79" customHeight="1">
      <c r="A1649" s="12" t="inlineStr">
        <is>
          <t>R1078-v2</t>
        </is>
      </c>
      <c r="B1649" s="12" t="inlineStr">
        <is>
          <t>SCH-06-178</t>
        </is>
      </c>
      <c r="C1649" s="12" t="inlineStr">
        <is>
          <t>New</t>
        </is>
      </c>
      <c r="D1649" s="12" t="inlineStr">
        <is>
          <t>Record first supplied in this revision</t>
        </is>
      </c>
      <c r="E1649" s="12" t="inlineStr">
        <is>
          <t>Maya Chen, Owner Project Controls</t>
        </is>
      </c>
      <c r="F1649" s="65" t="inlineStr">
        <is>
          <t>10 EVIDENCE &amp; DECISIONS</t>
        </is>
      </c>
      <c r="G1649" s="14" t="n"/>
    </row>
    <row r="1650" ht="79" customHeight="1">
      <c r="A1650" s="12" t="inlineStr">
        <is>
          <t>R1079-v2</t>
        </is>
      </c>
      <c r="B1650" s="12" t="inlineStr">
        <is>
          <t>SCH-06-179</t>
        </is>
      </c>
      <c r="C1650" s="12" t="inlineStr">
        <is>
          <t>New</t>
        </is>
      </c>
      <c r="D1650" s="12" t="inlineStr">
        <is>
          <t>Record first supplied in this revision</t>
        </is>
      </c>
      <c r="E1650" s="12" t="inlineStr">
        <is>
          <t>Maya Chen, Owner Project Controls</t>
        </is>
      </c>
      <c r="F1650" s="65" t="inlineStr">
        <is>
          <t>10 EVIDENCE &amp; DECISIONS</t>
        </is>
      </c>
      <c r="G1650" s="14" t="n"/>
    </row>
    <row r="1651" ht="79" customHeight="1">
      <c r="A1651" s="12" t="inlineStr">
        <is>
          <t>R1080-v2</t>
        </is>
      </c>
      <c r="B1651" s="12" t="inlineStr">
        <is>
          <t>SCH-06-180</t>
        </is>
      </c>
      <c r="C1651" s="12" t="inlineStr">
        <is>
          <t>New</t>
        </is>
      </c>
      <c r="D1651" s="12" t="inlineStr">
        <is>
          <t>Record first supplied in this revision</t>
        </is>
      </c>
      <c r="E1651" s="12" t="inlineStr">
        <is>
          <t>Maya Chen, Owner Project Controls</t>
        </is>
      </c>
      <c r="F1651" s="65" t="inlineStr">
        <is>
          <t>10 EVIDENCE &amp; DECISIONS</t>
        </is>
      </c>
      <c r="G1651" s="14" t="n"/>
    </row>
    <row r="1652" ht="79" customHeight="1">
      <c r="A1652" s="12" t="inlineStr">
        <is>
          <t>R1081-v2</t>
        </is>
      </c>
      <c r="B1652" s="12" t="inlineStr">
        <is>
          <t>SCH-90-901</t>
        </is>
      </c>
      <c r="C1652" s="12" t="inlineStr">
        <is>
          <t>New</t>
        </is>
      </c>
      <c r="D1652" s="12" t="inlineStr">
        <is>
          <t>Record first supplied in this revision</t>
        </is>
      </c>
      <c r="E1652" s="12" t="inlineStr">
        <is>
          <t>Maya Chen, Owner Project Controls</t>
        </is>
      </c>
      <c r="F1652" s="65" t="inlineStr">
        <is>
          <t>10 EVIDENCE &amp; DECISIONS</t>
        </is>
      </c>
      <c r="G1652" s="14" t="n"/>
    </row>
    <row r="1653" ht="79" customHeight="1">
      <c r="A1653" s="12" t="inlineStr">
        <is>
          <t>R1082-v2</t>
        </is>
      </c>
      <c r="B1653" s="12" t="inlineStr">
        <is>
          <t>SCH-90-902</t>
        </is>
      </c>
      <c r="C1653" s="12" t="inlineStr">
        <is>
          <t>New</t>
        </is>
      </c>
      <c r="D1653" s="12" t="inlineStr">
        <is>
          <t>Record first supplied in this revision</t>
        </is>
      </c>
      <c r="E1653" s="12" t="inlineStr">
        <is>
          <t>Maya Chen, Owner Project Controls</t>
        </is>
      </c>
      <c r="F1653" s="65" t="inlineStr">
        <is>
          <t>10 EVIDENCE &amp; DECISIONS</t>
        </is>
      </c>
      <c r="G1653" s="14" t="n"/>
    </row>
    <row r="1654"/>
    <row r="1655" ht="82" customHeight="1">
      <c r="A1655" s="27" t="inlineStr">
        <is>
          <t>Each source keeps every revision it was supplied with. A revision is CURRENT while it is in force, SUPERSEDED once a later revision of the same reporting period replaces it, and HISTORICAL once a later reporting period closes its period. A new revision never remaps the project: relationships whose evidence did not change are carried forward with their original basis and approver; only those whose evidence changed come back for a decision.</t>
        </is>
      </c>
    </row>
    <row r="1656" ht="82" customHeight="1"/>
    <row r="1657" ht="82" customHeight="1"/>
  </sheetData>
  <autoFilter ref="A18:P22"/>
  <mergeCells count="1627">
    <mergeCell ref="F1532:G1532"/>
    <mergeCell ref="F473:G473"/>
    <mergeCell ref="F681:G681"/>
    <mergeCell ref="F929:G929"/>
    <mergeCell ref="F174:G174"/>
    <mergeCell ref="F1227:G1227"/>
    <mergeCell ref="F168:G168"/>
    <mergeCell ref="F472:G472"/>
    <mergeCell ref="F466:G466"/>
    <mergeCell ref="F1438:G1438"/>
    <mergeCell ref="F683:G683"/>
    <mergeCell ref="F1527:G1527"/>
    <mergeCell ref="F497:G497"/>
    <mergeCell ref="F983:G983"/>
    <mergeCell ref="F70:G70"/>
    <mergeCell ref="F1585:G1585"/>
    <mergeCell ref="F1128:G1128"/>
    <mergeCell ref="F96:G96"/>
    <mergeCell ref="F71:G71"/>
    <mergeCell ref="F1122:G1122"/>
    <mergeCell ref="F823:G823"/>
    <mergeCell ref="F1130:G1130"/>
    <mergeCell ref="F98:G98"/>
    <mergeCell ref="F1428:G1428"/>
    <mergeCell ref="F396:G396"/>
    <mergeCell ref="F1580:G1580"/>
    <mergeCell ref="F825:G825"/>
    <mergeCell ref="F1159:G1159"/>
    <mergeCell ref="F1457:G1457"/>
    <mergeCell ref="F398:G398"/>
    <mergeCell ref="F696:G696"/>
    <mergeCell ref="F1125:G1125"/>
    <mergeCell ref="F238:G238"/>
    <mergeCell ref="F1484:G1484"/>
    <mergeCell ref="F1598:G1598"/>
    <mergeCell ref="F843:G843"/>
    <mergeCell ref="F126:G126"/>
    <mergeCell ref="F1185:G1185"/>
    <mergeCell ref="F1179:G1179"/>
    <mergeCell ref="F109:G109"/>
    <mergeCell ref="F1299:G1299"/>
    <mergeCell ref="F240:G240"/>
    <mergeCell ref="F538:G538"/>
    <mergeCell ref="F1187:G1187"/>
    <mergeCell ref="F1510:G1510"/>
    <mergeCell ref="F1143:G1143"/>
    <mergeCell ref="F1485:G1485"/>
    <mergeCell ref="F111:G111"/>
    <mergeCell ref="F724:G724"/>
    <mergeCell ref="F409:G409"/>
    <mergeCell ref="F1599:G1599"/>
    <mergeCell ref="F838:G838"/>
    <mergeCell ref="F1624:G1624"/>
    <mergeCell ref="F869:G869"/>
    <mergeCell ref="F266:G266"/>
    <mergeCell ref="F442:G442"/>
    <mergeCell ref="F564:G564"/>
    <mergeCell ref="F898:G898"/>
    <mergeCell ref="F1169:G1169"/>
    <mergeCell ref="F137:G137"/>
    <mergeCell ref="F864:G864"/>
    <mergeCell ref="F925:G925"/>
    <mergeCell ref="F900:G900"/>
    <mergeCell ref="F1223:G1223"/>
    <mergeCell ref="F164:G164"/>
    <mergeCell ref="F139:G139"/>
    <mergeCell ref="F1198:G1198"/>
    <mergeCell ref="F1652:G1652"/>
    <mergeCell ref="F1225:G1225"/>
    <mergeCell ref="F470:G470"/>
    <mergeCell ref="F1523:G1523"/>
    <mergeCell ref="F768:G768"/>
    <mergeCell ref="F920:G920"/>
    <mergeCell ref="F1525:G1525"/>
    <mergeCell ref="F1554:G1554"/>
    <mergeCell ref="F495:G495"/>
    <mergeCell ref="F1249:G1249"/>
    <mergeCell ref="F795:G795"/>
    <mergeCell ref="F953:G953"/>
    <mergeCell ref="F1251:G1251"/>
    <mergeCell ref="F496:G496"/>
    <mergeCell ref="F1549:G1549"/>
    <mergeCell ref="F490:G490"/>
    <mergeCell ref="F69:G69"/>
    <mergeCell ref="F367:G367"/>
    <mergeCell ref="F498:G498"/>
    <mergeCell ref="F183:G183"/>
    <mergeCell ref="F796:G796"/>
    <mergeCell ref="F1551:G1551"/>
    <mergeCell ref="F193:G193"/>
    <mergeCell ref="F527:G527"/>
    <mergeCell ref="F666:G666"/>
    <mergeCell ref="F964:G964"/>
    <mergeCell ref="F209:G209"/>
    <mergeCell ref="F1393:G1393"/>
    <mergeCell ref="F1270:G1270"/>
    <mergeCell ref="F966:G966"/>
    <mergeCell ref="F211:G211"/>
    <mergeCell ref="F1264:G1264"/>
    <mergeCell ref="F509:G509"/>
    <mergeCell ref="F1183:G1183"/>
    <mergeCell ref="F1475:G1475"/>
    <mergeCell ref="F82:G82"/>
    <mergeCell ref="F1595:G1595"/>
    <mergeCell ref="F206:G206"/>
    <mergeCell ref="F1597:G1597"/>
    <mergeCell ref="F865:G865"/>
    <mergeCell ref="F560:G560"/>
    <mergeCell ref="F1622:G1622"/>
    <mergeCell ref="F894:G894"/>
    <mergeCell ref="F1165:G1165"/>
    <mergeCell ref="F133:G133"/>
    <mergeCell ref="F562:G562"/>
    <mergeCell ref="F860:G860"/>
    <mergeCell ref="F896:G896"/>
    <mergeCell ref="F1167:G1167"/>
    <mergeCell ref="F1194:G1194"/>
    <mergeCell ref="F135:G135"/>
    <mergeCell ref="F433:G433"/>
    <mergeCell ref="F1325:G1325"/>
    <mergeCell ref="F1623:G1623"/>
    <mergeCell ref="F591:G591"/>
    <mergeCell ref="F224:G224"/>
    <mergeCell ref="F862:G862"/>
    <mergeCell ref="F1617:G1617"/>
    <mergeCell ref="F1196:G1196"/>
    <mergeCell ref="F1318:G1318"/>
    <mergeCell ref="F1494:G1494"/>
    <mergeCell ref="F435:G435"/>
    <mergeCell ref="F891:G891"/>
    <mergeCell ref="F1162:G1162"/>
    <mergeCell ref="F1036:G1036"/>
    <mergeCell ref="F275:G275"/>
    <mergeCell ref="F609:G609"/>
    <mergeCell ref="F1247:G1247"/>
    <mergeCell ref="F146:G146"/>
    <mergeCell ref="F1038:G1038"/>
    <mergeCell ref="F1336:G1336"/>
    <mergeCell ref="F277:G277"/>
    <mergeCell ref="F304:G304"/>
    <mergeCell ref="F575:G575"/>
    <mergeCell ref="F733:G733"/>
    <mergeCell ref="F909:G909"/>
    <mergeCell ref="F276:G276"/>
    <mergeCell ref="F1031:G1031"/>
    <mergeCell ref="F1547:G1547"/>
    <mergeCell ref="F1338:G1338"/>
    <mergeCell ref="F306:G306"/>
    <mergeCell ref="F577:G577"/>
    <mergeCell ref="F1636:G1636"/>
    <mergeCell ref="F604:G604"/>
    <mergeCell ref="F1033:G1033"/>
    <mergeCell ref="F635:G635"/>
    <mergeCell ref="F1333:G1333"/>
    <mergeCell ref="F303:G303"/>
    <mergeCell ref="F601:G601"/>
    <mergeCell ref="F935:G935"/>
    <mergeCell ref="F1389:G1389"/>
    <mergeCell ref="F288:G288"/>
    <mergeCell ref="F962:G962"/>
    <mergeCell ref="F207:G207"/>
    <mergeCell ref="F937:G937"/>
    <mergeCell ref="F1260:G1260"/>
    <mergeCell ref="F1558:G1558"/>
    <mergeCell ref="F1262:G1262"/>
    <mergeCell ref="F507:G507"/>
    <mergeCell ref="F1560:G1560"/>
    <mergeCell ref="F1261:G1261"/>
    <mergeCell ref="F202:G202"/>
    <mergeCell ref="F675:G675"/>
    <mergeCell ref="F1288:G1288"/>
    <mergeCell ref="F973:G973"/>
    <mergeCell ref="F1402:G1402"/>
    <mergeCell ref="F981:G981"/>
    <mergeCell ref="F264:G264"/>
    <mergeCell ref="F975:G975"/>
    <mergeCell ref="F220:G220"/>
    <mergeCell ref="F518:G518"/>
    <mergeCell ref="F991:G991"/>
    <mergeCell ref="F676:G676"/>
    <mergeCell ref="F1105:G1105"/>
    <mergeCell ref="F1403:G1403"/>
    <mergeCell ref="F222:G222"/>
    <mergeCell ref="F520:G520"/>
    <mergeCell ref="F976:G976"/>
    <mergeCell ref="F703:G703"/>
    <mergeCell ref="F1007:G1007"/>
    <mergeCell ref="F1001:G1001"/>
    <mergeCell ref="F246:G246"/>
    <mergeCell ref="F1430:G1430"/>
    <mergeCell ref="F1307:G1307"/>
    <mergeCell ref="F248:G248"/>
    <mergeCell ref="F302:G302"/>
    <mergeCell ref="F600:G600"/>
    <mergeCell ref="F1029:G1029"/>
    <mergeCell ref="F243:G243"/>
    <mergeCell ref="F1634:G1634"/>
    <mergeCell ref="F1329:G1329"/>
    <mergeCell ref="F1060:G1060"/>
    <mergeCell ref="F931:G931"/>
    <mergeCell ref="F747:G747"/>
    <mergeCell ref="F1360:G1360"/>
    <mergeCell ref="F328:G328"/>
    <mergeCell ref="F626:G626"/>
    <mergeCell ref="F933:G933"/>
    <mergeCell ref="F1055:G1055"/>
    <mergeCell ref="F1231:G1231"/>
    <mergeCell ref="F172:G172"/>
    <mergeCell ref="F1345:G1345"/>
    <mergeCell ref="F628:G628"/>
    <mergeCell ref="F1233:G1233"/>
    <mergeCell ref="F1355:G1355"/>
    <mergeCell ref="F928:G928"/>
    <mergeCell ref="F173:G173"/>
    <mergeCell ref="F287:G287"/>
    <mergeCell ref="F773:G773"/>
    <mergeCell ref="F1073:G1073"/>
    <mergeCell ref="F318:G318"/>
    <mergeCell ref="F312:G312"/>
    <mergeCell ref="F610:G610"/>
    <mergeCell ref="F646:G646"/>
    <mergeCell ref="F944:G944"/>
    <mergeCell ref="F1075:G1075"/>
    <mergeCell ref="F43:G43"/>
    <mergeCell ref="F347:G347"/>
    <mergeCell ref="F618:G618"/>
    <mergeCell ref="F341:G341"/>
    <mergeCell ref="F1373:G1373"/>
    <mergeCell ref="F770:G770"/>
    <mergeCell ref="F1068:G1068"/>
    <mergeCell ref="F313:G313"/>
    <mergeCell ref="F349:G349"/>
    <mergeCell ref="F641:G641"/>
    <mergeCell ref="F1070:G1070"/>
    <mergeCell ref="F1401:G1401"/>
    <mergeCell ref="F788:G788"/>
    <mergeCell ref="F33:G33"/>
    <mergeCell ref="F489:G489"/>
    <mergeCell ref="F999:G999"/>
    <mergeCell ref="F1303:G1303"/>
    <mergeCell ref="F781:G781"/>
    <mergeCell ref="F1297:G1297"/>
    <mergeCell ref="F62:G62"/>
    <mergeCell ref="F700:G700"/>
    <mergeCell ref="F998:G998"/>
    <mergeCell ref="F789:G789"/>
    <mergeCell ref="F273:G273"/>
    <mergeCell ref="F1000:G1000"/>
    <mergeCell ref="F239:G239"/>
    <mergeCell ref="F573:G573"/>
    <mergeCell ref="F1300:G1300"/>
    <mergeCell ref="F1141:G1141"/>
    <mergeCell ref="F1445:G1445"/>
    <mergeCell ref="F413:G413"/>
    <mergeCell ref="F1439:G1439"/>
    <mergeCell ref="F842:G842"/>
    <mergeCell ref="F1018:G1018"/>
    <mergeCell ref="F1140:G1140"/>
    <mergeCell ref="F1316:G1316"/>
    <mergeCell ref="F1176:G1176"/>
    <mergeCell ref="F1474:G1474"/>
    <mergeCell ref="F1170:G1170"/>
    <mergeCell ref="F415:G415"/>
    <mergeCell ref="F1468:G1468"/>
    <mergeCell ref="F713:G713"/>
    <mergeCell ref="F1011:G1011"/>
    <mergeCell ref="F110:G110"/>
    <mergeCell ref="F1440:G1440"/>
    <mergeCell ref="F1476:G1476"/>
    <mergeCell ref="F715:G715"/>
    <mergeCell ref="F1013:G1013"/>
    <mergeCell ref="F1171:G1171"/>
    <mergeCell ref="F141:G141"/>
    <mergeCell ref="F439:G439"/>
    <mergeCell ref="F1471:G1471"/>
    <mergeCell ref="F441:G441"/>
    <mergeCell ref="F739:G739"/>
    <mergeCell ref="F731:G731"/>
    <mergeCell ref="F1160:G1160"/>
    <mergeCell ref="F766:G766"/>
    <mergeCell ref="F741:G741"/>
    <mergeCell ref="F1458:G1458"/>
    <mergeCell ref="F1064:G1064"/>
    <mergeCell ref="F1039:G1039"/>
    <mergeCell ref="F643:G643"/>
    <mergeCell ref="F314:G314"/>
    <mergeCell ref="F1153:G1153"/>
    <mergeCell ref="F1066:G1066"/>
    <mergeCell ref="F1370:G1370"/>
    <mergeCell ref="F1555:G1555"/>
    <mergeCell ref="F1240:G1240"/>
    <mergeCell ref="F58:G58"/>
    <mergeCell ref="F52:G52"/>
    <mergeCell ref="F665:G665"/>
    <mergeCell ref="F350:G350"/>
    <mergeCell ref="F1540:G1540"/>
    <mergeCell ref="F481:G481"/>
    <mergeCell ref="F785:G785"/>
    <mergeCell ref="F779:G779"/>
    <mergeCell ref="F60:G60"/>
    <mergeCell ref="F358:G358"/>
    <mergeCell ref="F352:G352"/>
    <mergeCell ref="F656:G656"/>
    <mergeCell ref="F1427:G1427"/>
    <mergeCell ref="F53:G53"/>
    <mergeCell ref="F482:G482"/>
    <mergeCell ref="F84:G84"/>
    <mergeCell ref="F1110:G1110"/>
    <mergeCell ref="F1268:G1268"/>
    <mergeCell ref="F1566:G1566"/>
    <mergeCell ref="F86:G86"/>
    <mergeCell ref="F80:G80"/>
    <mergeCell ref="F384:G384"/>
    <mergeCell ref="F378:G378"/>
    <mergeCell ref="F1568:G1568"/>
    <mergeCell ref="F813:G813"/>
    <mergeCell ref="F807:G807"/>
    <mergeCell ref="F1111:G1111"/>
    <mergeCell ref="F79:G79"/>
    <mergeCell ref="F386:G386"/>
    <mergeCell ref="F684:G684"/>
    <mergeCell ref="F982:G982"/>
    <mergeCell ref="F1436:G1436"/>
    <mergeCell ref="F81:G81"/>
    <mergeCell ref="F1472:G1472"/>
    <mergeCell ref="F381:G381"/>
    <mergeCell ref="F226:G226"/>
    <mergeCell ref="A2:D2"/>
    <mergeCell ref="F1467:G1467"/>
    <mergeCell ref="F437:G437"/>
    <mergeCell ref="F526:G526"/>
    <mergeCell ref="F1579:G1579"/>
    <mergeCell ref="F63:G63"/>
    <mergeCell ref="F1498:G1498"/>
    <mergeCell ref="F99:G99"/>
    <mergeCell ref="F737:G737"/>
    <mergeCell ref="F397:G397"/>
    <mergeCell ref="F528:G528"/>
    <mergeCell ref="F851:G851"/>
    <mergeCell ref="F826:G826"/>
    <mergeCell ref="F1149:G1149"/>
    <mergeCell ref="F310:G310"/>
    <mergeCell ref="F1124:G1124"/>
    <mergeCell ref="F1500:G1500"/>
    <mergeCell ref="F1483:G1483"/>
    <mergeCell ref="F1037:G1037"/>
    <mergeCell ref="F1195:G1195"/>
    <mergeCell ref="F1151:G1151"/>
    <mergeCell ref="F1493:G1493"/>
    <mergeCell ref="F94:G94"/>
    <mergeCell ref="F1451:G1451"/>
    <mergeCell ref="F1182:G1182"/>
    <mergeCell ref="F150:G150"/>
    <mergeCell ref="F877:G877"/>
    <mergeCell ref="F1053:G1053"/>
    <mergeCell ref="F1211:G1211"/>
    <mergeCell ref="F152:G152"/>
    <mergeCell ref="F1482:G1482"/>
    <mergeCell ref="F450:G450"/>
    <mergeCell ref="F748:G748"/>
    <mergeCell ref="F1640:G1640"/>
    <mergeCell ref="F906:G906"/>
    <mergeCell ref="F539:G539"/>
    <mergeCell ref="F1177:G1177"/>
    <mergeCell ref="F1213:G1213"/>
    <mergeCell ref="F1511:G1511"/>
    <mergeCell ref="F452:G452"/>
    <mergeCell ref="F750:G750"/>
    <mergeCell ref="F908:G908"/>
    <mergeCell ref="F1206:G1206"/>
    <mergeCell ref="F147:G147"/>
    <mergeCell ref="F451:G451"/>
    <mergeCell ref="F1477:G1477"/>
    <mergeCell ref="F1513:G1513"/>
    <mergeCell ref="F1208:G1208"/>
    <mergeCell ref="F163:G163"/>
    <mergeCell ref="F1353:G1353"/>
    <mergeCell ref="F837:G837"/>
    <mergeCell ref="F592:G592"/>
    <mergeCell ref="F890:G890"/>
    <mergeCell ref="F1266:G1266"/>
    <mergeCell ref="F926:G926"/>
    <mergeCell ref="F1564:G1564"/>
    <mergeCell ref="F1224:G1224"/>
    <mergeCell ref="F165:G165"/>
    <mergeCell ref="F1653:G1653"/>
    <mergeCell ref="F1137:G1137"/>
    <mergeCell ref="F892:G892"/>
    <mergeCell ref="F919:G919"/>
    <mergeCell ref="F811:G811"/>
    <mergeCell ref="F1226:G1226"/>
    <mergeCell ref="F1109:G1109"/>
    <mergeCell ref="F832:G832"/>
    <mergeCell ref="F77:G77"/>
    <mergeCell ref="F1407:G1407"/>
    <mergeCell ref="F166:G166"/>
    <mergeCell ref="F1138:G1138"/>
    <mergeCell ref="F377:G377"/>
    <mergeCell ref="F191:G191"/>
    <mergeCell ref="F1277:G1277"/>
    <mergeCell ref="F522:G522"/>
    <mergeCell ref="F1575:G1575"/>
    <mergeCell ref="F59:G59"/>
    <mergeCell ref="F95:G95"/>
    <mergeCell ref="F393:G393"/>
    <mergeCell ref="F1279:G1279"/>
    <mergeCell ref="F524:G524"/>
    <mergeCell ref="F1583:G1583"/>
    <mergeCell ref="F1577:G1577"/>
    <mergeCell ref="F822:G822"/>
    <mergeCell ref="F97:G97"/>
    <mergeCell ref="F219:G219"/>
    <mergeCell ref="F395:G395"/>
    <mergeCell ref="F693:G693"/>
    <mergeCell ref="F553:G553"/>
    <mergeCell ref="F824:G824"/>
    <mergeCell ref="F90:G90"/>
    <mergeCell ref="F1280:G1280"/>
    <mergeCell ref="F1578:G1578"/>
    <mergeCell ref="F519:G519"/>
    <mergeCell ref="F853:G853"/>
    <mergeCell ref="F1305:G1305"/>
    <mergeCell ref="F1603:G1603"/>
    <mergeCell ref="F878:G878"/>
    <mergeCell ref="F123:G123"/>
    <mergeCell ref="F237:G237"/>
    <mergeCell ref="F579:G579"/>
    <mergeCell ref="F1605:G1605"/>
    <mergeCell ref="F535:G535"/>
    <mergeCell ref="F116:G116"/>
    <mergeCell ref="F423:G423"/>
    <mergeCell ref="F108:G108"/>
    <mergeCell ref="F1298:G1298"/>
    <mergeCell ref="F537:G537"/>
    <mergeCell ref="F1202:G1202"/>
    <mergeCell ref="F143:G143"/>
    <mergeCell ref="F118:G118"/>
    <mergeCell ref="F1204:G1204"/>
    <mergeCell ref="F263:G263"/>
    <mergeCell ref="F134:G134"/>
    <mergeCell ref="F563:G563"/>
    <mergeCell ref="F1351:G1351"/>
    <mergeCell ref="F1649:G1649"/>
    <mergeCell ref="F932:G932"/>
    <mergeCell ref="F565:G565"/>
    <mergeCell ref="F617:G617"/>
    <mergeCell ref="F915:G915"/>
    <mergeCell ref="F1186:G1186"/>
    <mergeCell ref="F1222:G1222"/>
    <mergeCell ref="F1344:G1344"/>
    <mergeCell ref="F1651:G1651"/>
    <mergeCell ref="F917:G917"/>
    <mergeCell ref="F162:G162"/>
    <mergeCell ref="F1346:G1346"/>
    <mergeCell ref="F1522:G1522"/>
    <mergeCell ref="F1217:G1217"/>
    <mergeCell ref="F948:G948"/>
    <mergeCell ref="F1248:G1248"/>
    <mergeCell ref="F189:G189"/>
    <mergeCell ref="F487:G487"/>
    <mergeCell ref="F645:G645"/>
    <mergeCell ref="F943:G943"/>
    <mergeCell ref="F66:G66"/>
    <mergeCell ref="F188:G188"/>
    <mergeCell ref="F1250:G1250"/>
    <mergeCell ref="F1548:G1548"/>
    <mergeCell ref="F951:G951"/>
    <mergeCell ref="F945:G945"/>
    <mergeCell ref="F190:G190"/>
    <mergeCell ref="F1243:G1243"/>
    <mergeCell ref="F488:G488"/>
    <mergeCell ref="F602:G602"/>
    <mergeCell ref="F61:G61"/>
    <mergeCell ref="F1576:G1576"/>
    <mergeCell ref="F961:G961"/>
    <mergeCell ref="F1390:G1390"/>
    <mergeCell ref="F963:G963"/>
    <mergeCell ref="F208:G208"/>
    <mergeCell ref="F1601:G1601"/>
    <mergeCell ref="F664:G664"/>
    <mergeCell ref="F360:G360"/>
    <mergeCell ref="F658:G658"/>
    <mergeCell ref="F956:G956"/>
    <mergeCell ref="F201:G201"/>
    <mergeCell ref="F875:G875"/>
    <mergeCell ref="F114:G114"/>
    <mergeCell ref="F1602:G1602"/>
    <mergeCell ref="F228:G228"/>
    <mergeCell ref="F203:G203"/>
    <mergeCell ref="F1175:G1175"/>
    <mergeCell ref="F1289:G1289"/>
    <mergeCell ref="F259:G259"/>
    <mergeCell ref="F1103:G1103"/>
    <mergeCell ref="F1320:G1320"/>
    <mergeCell ref="F261:G261"/>
    <mergeCell ref="F559:G559"/>
    <mergeCell ref="F1015:G1015"/>
    <mergeCell ref="F254:G254"/>
    <mergeCell ref="F290:G290"/>
    <mergeCell ref="F561:G561"/>
    <mergeCell ref="F1620:G1620"/>
    <mergeCell ref="F588:G588"/>
    <mergeCell ref="F859:G859"/>
    <mergeCell ref="F1017:G1017"/>
    <mergeCell ref="F1193:G1193"/>
    <mergeCell ref="F256:G256"/>
    <mergeCell ref="F1315:G1315"/>
    <mergeCell ref="F590:G590"/>
    <mergeCell ref="F888:G888"/>
    <mergeCell ref="F127:G127"/>
    <mergeCell ref="F1317:G1317"/>
    <mergeCell ref="F285:G285"/>
    <mergeCell ref="F1615:G1615"/>
    <mergeCell ref="F1188:G1188"/>
    <mergeCell ref="F272:G272"/>
    <mergeCell ref="F1157:G1157"/>
    <mergeCell ref="F274:G274"/>
    <mergeCell ref="F1491:G1491"/>
    <mergeCell ref="F432:G432"/>
    <mergeCell ref="F730:G730"/>
    <mergeCell ref="F1335:G1335"/>
    <mergeCell ref="F941:G941"/>
    <mergeCell ref="F186:G186"/>
    <mergeCell ref="F1239:G1239"/>
    <mergeCell ref="F732:G732"/>
    <mergeCell ref="F1030:G1030"/>
    <mergeCell ref="F1328:G1328"/>
    <mergeCell ref="F269:G269"/>
    <mergeCell ref="F603:G603"/>
    <mergeCell ref="F486:G486"/>
    <mergeCell ref="F1241:G1241"/>
    <mergeCell ref="F300:G300"/>
    <mergeCell ref="F1386:G1386"/>
    <mergeCell ref="F329:G329"/>
    <mergeCell ref="F1388:G1388"/>
    <mergeCell ref="F356:G356"/>
    <mergeCell ref="F654:G654"/>
    <mergeCell ref="F952:G952"/>
    <mergeCell ref="F1083:G1083"/>
    <mergeCell ref="F1381:G1381"/>
    <mergeCell ref="F1417:G1417"/>
    <mergeCell ref="F662:G662"/>
    <mergeCell ref="F960:G960"/>
    <mergeCell ref="F954:G954"/>
    <mergeCell ref="F199:G199"/>
    <mergeCell ref="F1112:G1112"/>
    <mergeCell ref="F1383:G1383"/>
    <mergeCell ref="F655:G655"/>
    <mergeCell ref="F657:G657"/>
    <mergeCell ref="F1101:G1101"/>
    <mergeCell ref="F1443:G1443"/>
    <mergeCell ref="F1399:G1399"/>
    <mergeCell ref="F682:G682"/>
    <mergeCell ref="F980:G980"/>
    <mergeCell ref="F1409:G1409"/>
    <mergeCell ref="F1094:G1094"/>
    <mergeCell ref="F375:G375"/>
    <mergeCell ref="F1311:G1311"/>
    <mergeCell ref="F804:G804"/>
    <mergeCell ref="F1102:G1102"/>
    <mergeCell ref="F368:G368"/>
    <mergeCell ref="F1313:G1313"/>
    <mergeCell ref="F1611:G1611"/>
    <mergeCell ref="F1613:G1613"/>
    <mergeCell ref="F401:G401"/>
    <mergeCell ref="F726:G726"/>
    <mergeCell ref="F701:G701"/>
    <mergeCell ref="F728:G728"/>
    <mergeCell ref="F1026:G1026"/>
    <mergeCell ref="F271:G271"/>
    <mergeCell ref="F1324:G1324"/>
    <mergeCell ref="F1028:G1028"/>
    <mergeCell ref="F1326:G1326"/>
    <mergeCell ref="F752:G752"/>
    <mergeCell ref="F298:G298"/>
    <mergeCell ref="F325:G325"/>
    <mergeCell ref="F754:G754"/>
    <mergeCell ref="F1052:G1052"/>
    <mergeCell ref="F414:G414"/>
    <mergeCell ref="F291:G291"/>
    <mergeCell ref="F327:G327"/>
    <mergeCell ref="F625:G625"/>
    <mergeCell ref="F416:G416"/>
    <mergeCell ref="F1054:G1054"/>
    <mergeCell ref="F1352:G1352"/>
    <mergeCell ref="F749:G749"/>
    <mergeCell ref="F1354:G1354"/>
    <mergeCell ref="F1408:G1408"/>
    <mergeCell ref="F467:G467"/>
    <mergeCell ref="F40:G40"/>
    <mergeCell ref="F1528:G1528"/>
    <mergeCell ref="F469:G469"/>
    <mergeCell ref="F767:G767"/>
    <mergeCell ref="F1065:G1065"/>
    <mergeCell ref="F340:G340"/>
    <mergeCell ref="F462:G462"/>
    <mergeCell ref="F978:G978"/>
    <mergeCell ref="F1434:G1434"/>
    <mergeCell ref="F41:G41"/>
    <mergeCell ref="F35:G35"/>
    <mergeCell ref="F1100:G1100"/>
    <mergeCell ref="F1398:G1398"/>
    <mergeCell ref="F366:G366"/>
    <mergeCell ref="F1423:G1423"/>
    <mergeCell ref="F480:G480"/>
    <mergeCell ref="F1154:G1154"/>
    <mergeCell ref="F1425:G1425"/>
    <mergeCell ref="F1452:G1452"/>
    <mergeCell ref="F1207:G1207"/>
    <mergeCell ref="F697:G697"/>
    <mergeCell ref="F234:G234"/>
    <mergeCell ref="F1126:G1126"/>
    <mergeCell ref="F1541:G1541"/>
    <mergeCell ref="F1120:G1120"/>
    <mergeCell ref="F1424:G1424"/>
    <mergeCell ref="F1418:G1418"/>
    <mergeCell ref="F392:G392"/>
    <mergeCell ref="F1454:G1454"/>
    <mergeCell ref="F699:G699"/>
    <mergeCell ref="F997:G997"/>
    <mergeCell ref="F1295:G1295"/>
    <mergeCell ref="F236:G236"/>
    <mergeCell ref="F1426:G1426"/>
    <mergeCell ref="F1453:G1453"/>
    <mergeCell ref="F394:G394"/>
    <mergeCell ref="F1121:G1121"/>
    <mergeCell ref="F1455:G1455"/>
    <mergeCell ref="F694:G694"/>
    <mergeCell ref="F1594:G1594"/>
    <mergeCell ref="F839:G839"/>
    <mergeCell ref="F105:G105"/>
    <mergeCell ref="F412:G412"/>
    <mergeCell ref="F534:G534"/>
    <mergeCell ref="F710:G710"/>
    <mergeCell ref="F1596:G1596"/>
    <mergeCell ref="F841:G841"/>
    <mergeCell ref="F868:G868"/>
    <mergeCell ref="F1139:G1139"/>
    <mergeCell ref="F107:G107"/>
    <mergeCell ref="F1437:G1437"/>
    <mergeCell ref="F405:G405"/>
    <mergeCell ref="F536:G536"/>
    <mergeCell ref="F1589:G1589"/>
    <mergeCell ref="F712:G712"/>
    <mergeCell ref="F834:G834"/>
    <mergeCell ref="F870:G870"/>
    <mergeCell ref="F1168:G1168"/>
    <mergeCell ref="F407:G407"/>
    <mergeCell ref="F836:G836"/>
    <mergeCell ref="F438:G438"/>
    <mergeCell ref="F1524:G1524"/>
    <mergeCell ref="F465:G465"/>
    <mergeCell ref="F763:G763"/>
    <mergeCell ref="F738:G738"/>
    <mergeCell ref="F1061:G1061"/>
    <mergeCell ref="F852:G852"/>
    <mergeCell ref="F765:G765"/>
    <mergeCell ref="F1063:G1063"/>
    <mergeCell ref="F1361:G1361"/>
    <mergeCell ref="F1221:G1221"/>
    <mergeCell ref="F1519:G1519"/>
    <mergeCell ref="F39:G39"/>
    <mergeCell ref="F337:G337"/>
    <mergeCell ref="F1521:G1521"/>
    <mergeCell ref="F64:G64"/>
    <mergeCell ref="F178:G178"/>
    <mergeCell ref="F476:G476"/>
    <mergeCell ref="F1545:G1545"/>
    <mergeCell ref="F364:G364"/>
    <mergeCell ref="F1537:G1537"/>
    <mergeCell ref="F478:G478"/>
    <mergeCell ref="F776:G776"/>
    <mergeCell ref="F1232:G1232"/>
    <mergeCell ref="F786:G786"/>
    <mergeCell ref="F1539:G1539"/>
    <mergeCell ref="F50:G50"/>
    <mergeCell ref="F181:G181"/>
    <mergeCell ref="F479:G479"/>
    <mergeCell ref="F777:G777"/>
    <mergeCell ref="F504:G504"/>
    <mergeCell ref="F802:G802"/>
    <mergeCell ref="F1565:G1565"/>
    <mergeCell ref="F506:G506"/>
    <mergeCell ref="F810:G810"/>
    <mergeCell ref="F49:G49"/>
    <mergeCell ref="F505:G505"/>
    <mergeCell ref="F499:G499"/>
    <mergeCell ref="F1592:G1592"/>
    <mergeCell ref="F78:G78"/>
    <mergeCell ref="F376:G376"/>
    <mergeCell ref="F830:G830"/>
    <mergeCell ref="F805:G805"/>
    <mergeCell ref="F1164:G1164"/>
    <mergeCell ref="F1158:G1158"/>
    <mergeCell ref="F1166:G1166"/>
    <mergeCell ref="F1464:G1464"/>
    <mergeCell ref="F861:G861"/>
    <mergeCell ref="F1278:G1278"/>
    <mergeCell ref="F129:G129"/>
    <mergeCell ref="F1191:G1191"/>
    <mergeCell ref="F1489:G1489"/>
    <mergeCell ref="F856:G856"/>
    <mergeCell ref="F550:G550"/>
    <mergeCell ref="F1190:G1190"/>
    <mergeCell ref="F131:G131"/>
    <mergeCell ref="F429:G429"/>
    <mergeCell ref="F736:G736"/>
    <mergeCell ref="F543:G543"/>
    <mergeCell ref="F850:G850"/>
    <mergeCell ref="F1192:G1192"/>
    <mergeCell ref="F1148:G1148"/>
    <mergeCell ref="F431:G431"/>
    <mergeCell ref="F1490:G1490"/>
    <mergeCell ref="F1621:G1621"/>
    <mergeCell ref="F887:G887"/>
    <mergeCell ref="F1492:G1492"/>
    <mergeCell ref="F576:G576"/>
    <mergeCell ref="F447:G447"/>
    <mergeCell ref="F605:G605"/>
    <mergeCell ref="F876:G876"/>
    <mergeCell ref="F1631:G1631"/>
    <mergeCell ref="F1174:G1174"/>
    <mergeCell ref="F142:G142"/>
    <mergeCell ref="F1332:G1332"/>
    <mergeCell ref="F1508:G1508"/>
    <mergeCell ref="F449:G449"/>
    <mergeCell ref="F571:G571"/>
    <mergeCell ref="F607:G607"/>
    <mergeCell ref="F1543:G1543"/>
    <mergeCell ref="F905:G905"/>
    <mergeCell ref="F1203:G1203"/>
    <mergeCell ref="F144:G144"/>
    <mergeCell ref="F1334:G1334"/>
    <mergeCell ref="F1632:G1632"/>
    <mergeCell ref="F871:G871"/>
    <mergeCell ref="F907:G907"/>
    <mergeCell ref="F1205:G1205"/>
    <mergeCell ref="F1503:G1503"/>
    <mergeCell ref="F589:G589"/>
    <mergeCell ref="F1561:G1561"/>
    <mergeCell ref="F806:G806"/>
    <mergeCell ref="F284:G284"/>
    <mergeCell ref="F958:G958"/>
    <mergeCell ref="F1650:G1650"/>
    <mergeCell ref="F1256:G1256"/>
    <mergeCell ref="F501:G501"/>
    <mergeCell ref="F1563:G1563"/>
    <mergeCell ref="F292:G292"/>
    <mergeCell ref="F286:G286"/>
    <mergeCell ref="F74:G74"/>
    <mergeCell ref="F584:G584"/>
    <mergeCell ref="F372:G372"/>
    <mergeCell ref="F1258:G1258"/>
    <mergeCell ref="F503:G503"/>
    <mergeCell ref="F1562:G1562"/>
    <mergeCell ref="F1556:G1556"/>
    <mergeCell ref="F801:G801"/>
    <mergeCell ref="F76:G76"/>
    <mergeCell ref="F374:G374"/>
    <mergeCell ref="F803:G803"/>
    <mergeCell ref="F1274:G1274"/>
    <mergeCell ref="F1574:G1574"/>
    <mergeCell ref="F819:G819"/>
    <mergeCell ref="F673:G673"/>
    <mergeCell ref="F977:G977"/>
    <mergeCell ref="F971:G971"/>
    <mergeCell ref="F216:G216"/>
    <mergeCell ref="F1269:G1269"/>
    <mergeCell ref="F514:G514"/>
    <mergeCell ref="F1400:G1400"/>
    <mergeCell ref="F87:G87"/>
    <mergeCell ref="F979:G979"/>
    <mergeCell ref="F218:G218"/>
    <mergeCell ref="F1271:G1271"/>
    <mergeCell ref="F516:G516"/>
    <mergeCell ref="F814:G814"/>
    <mergeCell ref="F972:G972"/>
    <mergeCell ref="F1488:G1488"/>
    <mergeCell ref="F89:G89"/>
    <mergeCell ref="F974:G974"/>
    <mergeCell ref="F1416:G1416"/>
    <mergeCell ref="F242:G242"/>
    <mergeCell ref="F244:G244"/>
    <mergeCell ref="F567:G567"/>
    <mergeCell ref="F542:G542"/>
    <mergeCell ref="F901:G901"/>
    <mergeCell ref="F1199:G1199"/>
    <mergeCell ref="F115:G115"/>
    <mergeCell ref="F1330:G1330"/>
    <mergeCell ref="F1628:G1628"/>
    <mergeCell ref="F544:G544"/>
    <mergeCell ref="F229:G229"/>
    <mergeCell ref="F867:G867"/>
    <mergeCell ref="F903:G903"/>
    <mergeCell ref="F1201:G1201"/>
    <mergeCell ref="F1499:G1499"/>
    <mergeCell ref="F1630:G1630"/>
    <mergeCell ref="F598:G598"/>
    <mergeCell ref="F1501:G1501"/>
    <mergeCell ref="F255:G255"/>
    <mergeCell ref="F316:G316"/>
    <mergeCell ref="F1646:G1646"/>
    <mergeCell ref="F614:G614"/>
    <mergeCell ref="F745:G745"/>
    <mergeCell ref="F1358:G1358"/>
    <mergeCell ref="F1043:G1043"/>
    <mergeCell ref="F1341:G1341"/>
    <mergeCell ref="F624:G624"/>
    <mergeCell ref="F282:G282"/>
    <mergeCell ref="F580:G580"/>
    <mergeCell ref="F616:G616"/>
    <mergeCell ref="F1229:G1229"/>
    <mergeCell ref="F914:G914"/>
    <mergeCell ref="F159:G159"/>
    <mergeCell ref="F1045:G1045"/>
    <mergeCell ref="F1343:G1343"/>
    <mergeCell ref="F1641:G1641"/>
    <mergeCell ref="F582:G582"/>
    <mergeCell ref="F924:G924"/>
    <mergeCell ref="F916:G916"/>
    <mergeCell ref="F1214:G1214"/>
    <mergeCell ref="F184:G184"/>
    <mergeCell ref="F1643:G1643"/>
    <mergeCell ref="F613:G613"/>
    <mergeCell ref="F911:G911"/>
    <mergeCell ref="F1069:G1069"/>
    <mergeCell ref="F1245:G1245"/>
    <mergeCell ref="F642:G642"/>
    <mergeCell ref="F940:G940"/>
    <mergeCell ref="F179:G179"/>
    <mergeCell ref="F1071:G1071"/>
    <mergeCell ref="F1369:G1369"/>
    <mergeCell ref="F608:G608"/>
    <mergeCell ref="F644:G644"/>
    <mergeCell ref="F942:G942"/>
    <mergeCell ref="F187:G187"/>
    <mergeCell ref="F485:G485"/>
    <mergeCell ref="F1371:G1371"/>
    <mergeCell ref="F339:G339"/>
    <mergeCell ref="F637:G637"/>
    <mergeCell ref="F326:G326"/>
    <mergeCell ref="F970:G970"/>
    <mergeCell ref="F355:G355"/>
    <mergeCell ref="F784:G784"/>
    <mergeCell ref="F1082:G1082"/>
    <mergeCell ref="F357:G357"/>
    <mergeCell ref="F1084:G1084"/>
    <mergeCell ref="F627:G627"/>
    <mergeCell ref="F688:G688"/>
    <mergeCell ref="F1301:G1301"/>
    <mergeCell ref="F986:G986"/>
    <mergeCell ref="F540:G540"/>
    <mergeCell ref="F1593:G1593"/>
    <mergeCell ref="F1415:G1415"/>
    <mergeCell ref="F874:G874"/>
    <mergeCell ref="F996:G996"/>
    <mergeCell ref="F988:G988"/>
    <mergeCell ref="F1286:G1286"/>
    <mergeCell ref="F569:G569"/>
    <mergeCell ref="F1296:G1296"/>
    <mergeCell ref="F556:G556"/>
    <mergeCell ref="F714:G714"/>
    <mergeCell ref="F251:G251"/>
    <mergeCell ref="F1441:G1441"/>
    <mergeCell ref="F42:G42"/>
    <mergeCell ref="F1014:G1014"/>
    <mergeCell ref="F1008:G1008"/>
    <mergeCell ref="F253:G253"/>
    <mergeCell ref="B5:D5"/>
    <mergeCell ref="F551:G551"/>
    <mergeCell ref="F411:G411"/>
    <mergeCell ref="F709:G709"/>
    <mergeCell ref="F1016:G1016"/>
    <mergeCell ref="F1314:G1314"/>
    <mergeCell ref="F1612:G1612"/>
    <mergeCell ref="F711:G711"/>
    <mergeCell ref="F1009:G1009"/>
    <mergeCell ref="F1067:G1067"/>
    <mergeCell ref="F727:G727"/>
    <mergeCell ref="F1365:G1365"/>
    <mergeCell ref="F1156:G1156"/>
    <mergeCell ref="F124:G124"/>
    <mergeCell ref="F640:G640"/>
    <mergeCell ref="F422:G422"/>
    <mergeCell ref="F938:G938"/>
    <mergeCell ref="F729:G729"/>
    <mergeCell ref="F1367:G1367"/>
    <mergeCell ref="F335:G335"/>
    <mergeCell ref="F1027:G1027"/>
    <mergeCell ref="F633:G633"/>
    <mergeCell ref="F1456:G1456"/>
    <mergeCell ref="F424:G424"/>
    <mergeCell ref="F1062:G1062"/>
    <mergeCell ref="F722:G722"/>
    <mergeCell ref="F1238:G1238"/>
    <mergeCell ref="F1396:G1396"/>
    <mergeCell ref="F939:G939"/>
    <mergeCell ref="F780:G780"/>
    <mergeCell ref="F1078:G1078"/>
    <mergeCell ref="F353:G353"/>
    <mergeCell ref="F651:G651"/>
    <mergeCell ref="F782:G782"/>
    <mergeCell ref="F1080:G1080"/>
    <mergeCell ref="F1378:G1378"/>
    <mergeCell ref="F1536:G1536"/>
    <mergeCell ref="F653:G653"/>
    <mergeCell ref="F354:G354"/>
    <mergeCell ref="F1380:G1380"/>
    <mergeCell ref="F348:G348"/>
    <mergeCell ref="F652:G652"/>
    <mergeCell ref="F1538:G1538"/>
    <mergeCell ref="F1081:G1081"/>
    <mergeCell ref="F1292:G1292"/>
    <mergeCell ref="F648:G648"/>
    <mergeCell ref="F51:G51"/>
    <mergeCell ref="F1106:G1106"/>
    <mergeCell ref="F679:G679"/>
    <mergeCell ref="F1108:G1108"/>
    <mergeCell ref="F793:G793"/>
    <mergeCell ref="F38:G38"/>
    <mergeCell ref="F380:G380"/>
    <mergeCell ref="F1406:G1406"/>
    <mergeCell ref="F382:G382"/>
    <mergeCell ref="F67:G67"/>
    <mergeCell ref="F338:G338"/>
    <mergeCell ref="F680:G680"/>
    <mergeCell ref="F674:G674"/>
    <mergeCell ref="F794:G794"/>
    <mergeCell ref="F707:G707"/>
    <mergeCell ref="F1005:G1005"/>
    <mergeCell ref="F821:G821"/>
    <mergeCell ref="F698:G698"/>
    <mergeCell ref="F1152:G1152"/>
    <mergeCell ref="F418:G418"/>
    <mergeCell ref="F1480:G1480"/>
    <mergeCell ref="F122:G122"/>
    <mergeCell ref="F420:G420"/>
    <mergeCell ref="F718:G718"/>
    <mergeCell ref="F1481:G1481"/>
    <mergeCell ref="F720:G720"/>
    <mergeCell ref="F293:G293"/>
    <mergeCell ref="F1020:G1020"/>
    <mergeCell ref="F751:G751"/>
    <mergeCell ref="F148:G148"/>
    <mergeCell ref="F446:G446"/>
    <mergeCell ref="F1051:G1051"/>
    <mergeCell ref="F1349:G1349"/>
    <mergeCell ref="F1209:G1209"/>
    <mergeCell ref="F1507:G1507"/>
    <mergeCell ref="F448:G448"/>
    <mergeCell ref="F746:G746"/>
    <mergeCell ref="F319:G319"/>
    <mergeCell ref="F1509:G1509"/>
    <mergeCell ref="F1046:G1046"/>
    <mergeCell ref="F464:G464"/>
    <mergeCell ref="F1104:G1104"/>
    <mergeCell ref="F764:G764"/>
    <mergeCell ref="F922:G922"/>
    <mergeCell ref="F167:G167"/>
    <mergeCell ref="F1220:G1220"/>
    <mergeCell ref="F161:G161"/>
    <mergeCell ref="F459:G459"/>
    <mergeCell ref="F1133:G1133"/>
    <mergeCell ref="F1404:G1404"/>
    <mergeCell ref="F1520:G1520"/>
    <mergeCell ref="F461:G461"/>
    <mergeCell ref="F1099:G1099"/>
    <mergeCell ref="F678:G678"/>
    <mergeCell ref="F792:G792"/>
    <mergeCell ref="F1090:G1090"/>
    <mergeCell ref="F390:G390"/>
    <mergeCell ref="F1123:G1123"/>
    <mergeCell ref="F91:G91"/>
    <mergeCell ref="F1117:G1117"/>
    <mergeCell ref="F389:G389"/>
    <mergeCell ref="F1275:G1275"/>
    <mergeCell ref="F1573:G1573"/>
    <mergeCell ref="F180:G180"/>
    <mergeCell ref="F818:G818"/>
    <mergeCell ref="F93:G93"/>
    <mergeCell ref="F391:G391"/>
    <mergeCell ref="F385:G385"/>
    <mergeCell ref="F689:G689"/>
    <mergeCell ref="F1581:G1581"/>
    <mergeCell ref="F820:G820"/>
    <mergeCell ref="F1118:G1118"/>
    <mergeCell ref="F515:G515"/>
    <mergeCell ref="F691:G691"/>
    <mergeCell ref="F989:G989"/>
    <mergeCell ref="F849:G849"/>
    <mergeCell ref="F1147:G1147"/>
    <mergeCell ref="F1591:G1591"/>
    <mergeCell ref="F532:G532"/>
    <mergeCell ref="F233:G233"/>
    <mergeCell ref="F531:G531"/>
    <mergeCell ref="F444:G444"/>
    <mergeCell ref="F1136:G1136"/>
    <mergeCell ref="F104:G104"/>
    <mergeCell ref="F742:G742"/>
    <mergeCell ref="F1294:G1294"/>
    <mergeCell ref="F235:G235"/>
    <mergeCell ref="F533:G533"/>
    <mergeCell ref="F1586:G1586"/>
    <mergeCell ref="F831:G831"/>
    <mergeCell ref="F1505:G1505"/>
    <mergeCell ref="F106:G106"/>
    <mergeCell ref="F744:G744"/>
    <mergeCell ref="F404:G404"/>
    <mergeCell ref="F1042:G1042"/>
    <mergeCell ref="F833:G833"/>
    <mergeCell ref="F130:G130"/>
    <mergeCell ref="F157:G157"/>
    <mergeCell ref="F132:G132"/>
    <mergeCell ref="F1487:G1487"/>
    <mergeCell ref="F455:G455"/>
    <mergeCell ref="F430:G430"/>
    <mergeCell ref="F1645:G1645"/>
    <mergeCell ref="F1218:G1218"/>
    <mergeCell ref="F463:G463"/>
    <mergeCell ref="F1516:G1516"/>
    <mergeCell ref="F457:G457"/>
    <mergeCell ref="F755:G755"/>
    <mergeCell ref="F1647:G1647"/>
    <mergeCell ref="F913:G913"/>
    <mergeCell ref="F1518:G1518"/>
    <mergeCell ref="F757:G757"/>
    <mergeCell ref="F458:G458"/>
    <mergeCell ref="F1642:G1642"/>
    <mergeCell ref="F631:G631"/>
    <mergeCell ref="F902:G902"/>
    <mergeCell ref="F185:G185"/>
    <mergeCell ref="F1244:G1244"/>
    <mergeCell ref="F483:G483"/>
    <mergeCell ref="F597:G597"/>
    <mergeCell ref="F56:G56"/>
    <mergeCell ref="F1246:G1246"/>
    <mergeCell ref="F176:G176"/>
    <mergeCell ref="F1544:G1544"/>
    <mergeCell ref="F170:G170"/>
    <mergeCell ref="F783:G783"/>
    <mergeCell ref="F468:G468"/>
    <mergeCell ref="F897:G897"/>
    <mergeCell ref="F1571:G1571"/>
    <mergeCell ref="F816:G816"/>
    <mergeCell ref="F1546:G1546"/>
    <mergeCell ref="F1114:G1114"/>
    <mergeCell ref="F1529:G1529"/>
    <mergeCell ref="F57:G57"/>
    <mergeCell ref="F171:G171"/>
    <mergeCell ref="F1116:G1116"/>
    <mergeCell ref="F1414:G1414"/>
    <mergeCell ref="F1145:G1145"/>
    <mergeCell ref="F923:G923"/>
    <mergeCell ref="F959:G959"/>
    <mergeCell ref="F204:G204"/>
    <mergeCell ref="F1257:G1257"/>
    <mergeCell ref="F198:G198"/>
    <mergeCell ref="F75:G75"/>
    <mergeCell ref="F231:G231"/>
    <mergeCell ref="F1284:G1284"/>
    <mergeCell ref="F529:G529"/>
    <mergeCell ref="F1259:G1259"/>
    <mergeCell ref="F1582:G1582"/>
    <mergeCell ref="F827:G827"/>
    <mergeCell ref="F863:G863"/>
    <mergeCell ref="F1590:G1590"/>
    <mergeCell ref="F1584:G1584"/>
    <mergeCell ref="F829:G829"/>
    <mergeCell ref="F1127:G1127"/>
    <mergeCell ref="F1285:G1285"/>
    <mergeCell ref="F858:G858"/>
    <mergeCell ref="F1287:G1287"/>
    <mergeCell ref="F257:G257"/>
    <mergeCell ref="F672:G672"/>
    <mergeCell ref="F555:G555"/>
    <mergeCell ref="F889:G889"/>
    <mergeCell ref="F128:G128"/>
    <mergeCell ref="F426:G426"/>
    <mergeCell ref="F1312:G1312"/>
    <mergeCell ref="F557:G557"/>
    <mergeCell ref="F1616:G1616"/>
    <mergeCell ref="F1610:G1610"/>
    <mergeCell ref="F217:G217"/>
    <mergeCell ref="F855:G855"/>
    <mergeCell ref="F1189:G1189"/>
    <mergeCell ref="F252:G252"/>
    <mergeCell ref="F428:G428"/>
    <mergeCell ref="F1618:G1618"/>
    <mergeCell ref="F586:G586"/>
    <mergeCell ref="F857:G857"/>
    <mergeCell ref="F884:G884"/>
    <mergeCell ref="F1155:G1155"/>
    <mergeCell ref="F840:G840"/>
    <mergeCell ref="F552:G552"/>
    <mergeCell ref="F886:G886"/>
    <mergeCell ref="F1184:G1184"/>
    <mergeCell ref="F873:G873"/>
    <mergeCell ref="F270:G270"/>
    <mergeCell ref="F568:G568"/>
    <mergeCell ref="F1242:G1242"/>
    <mergeCell ref="F1356:G1356"/>
    <mergeCell ref="F1331:G1331"/>
    <mergeCell ref="F1629:G1629"/>
    <mergeCell ref="F299:G299"/>
    <mergeCell ref="F570:G570"/>
    <mergeCell ref="F904:G904"/>
    <mergeCell ref="F1542:G1542"/>
    <mergeCell ref="F265:G265"/>
    <mergeCell ref="F599:G599"/>
    <mergeCell ref="F1237:G1237"/>
    <mergeCell ref="F55:G55"/>
    <mergeCell ref="F169:G169"/>
    <mergeCell ref="F899:G899"/>
    <mergeCell ref="F1382:G1382"/>
    <mergeCell ref="F955:G955"/>
    <mergeCell ref="F200:G200"/>
    <mergeCell ref="F1253:G1253"/>
    <mergeCell ref="F1384:G1384"/>
    <mergeCell ref="F1044:G1044"/>
    <mergeCell ref="F957:G957"/>
    <mergeCell ref="F1377:G1377"/>
    <mergeCell ref="F500:G500"/>
    <mergeCell ref="F1255:G1255"/>
    <mergeCell ref="F1553:G1553"/>
    <mergeCell ref="F494:G494"/>
    <mergeCell ref="F798:G798"/>
    <mergeCell ref="F37:G37"/>
    <mergeCell ref="F950:G950"/>
    <mergeCell ref="F195:G195"/>
    <mergeCell ref="F1379:G1379"/>
    <mergeCell ref="F197:G197"/>
    <mergeCell ref="F68:G68"/>
    <mergeCell ref="F1097:G1097"/>
    <mergeCell ref="F1395:G1395"/>
    <mergeCell ref="F670:G670"/>
    <mergeCell ref="F968:G968"/>
    <mergeCell ref="F213:G213"/>
    <mergeCell ref="F1397:G1397"/>
    <mergeCell ref="F1614:G1614"/>
    <mergeCell ref="F1092:G1092"/>
    <mergeCell ref="F215:G215"/>
    <mergeCell ref="F880:G880"/>
    <mergeCell ref="F513:G513"/>
    <mergeCell ref="F373:G373"/>
    <mergeCell ref="F671:G671"/>
    <mergeCell ref="F969:G969"/>
    <mergeCell ref="F882:G882"/>
    <mergeCell ref="F1392:G1392"/>
    <mergeCell ref="F1180:G1180"/>
    <mergeCell ref="F1609:G1609"/>
    <mergeCell ref="F210:G210"/>
    <mergeCell ref="F994:G994"/>
    <mergeCell ref="F241:G241"/>
    <mergeCell ref="F1327:G1327"/>
    <mergeCell ref="F1625:G1625"/>
    <mergeCell ref="F566:G566"/>
    <mergeCell ref="F1022:G1022"/>
    <mergeCell ref="F1627:G1627"/>
    <mergeCell ref="F595:G595"/>
    <mergeCell ref="F866:G866"/>
    <mergeCell ref="F893:G893"/>
    <mergeCell ref="F138:G138"/>
    <mergeCell ref="F1024:G1024"/>
    <mergeCell ref="F1322:G1322"/>
    <mergeCell ref="F895:G895"/>
    <mergeCell ref="F1040:G1040"/>
    <mergeCell ref="F323:G323"/>
    <mergeCell ref="F279:G279"/>
    <mergeCell ref="F621:G621"/>
    <mergeCell ref="F1050:G1050"/>
    <mergeCell ref="F735:G735"/>
    <mergeCell ref="F1340:G1340"/>
    <mergeCell ref="F281:G281"/>
    <mergeCell ref="F623:G623"/>
    <mergeCell ref="F1462:G1462"/>
    <mergeCell ref="F921:G921"/>
    <mergeCell ref="F1375:G1375"/>
    <mergeCell ref="F1350:G1350"/>
    <mergeCell ref="F1035:G1035"/>
    <mergeCell ref="F1648:G1648"/>
    <mergeCell ref="F280:G280"/>
    <mergeCell ref="F1342:G1342"/>
    <mergeCell ref="F309:G309"/>
    <mergeCell ref="F305:G305"/>
    <mergeCell ref="F639:G639"/>
    <mergeCell ref="F36:G36"/>
    <mergeCell ref="F307:G307"/>
    <mergeCell ref="F1366:G1366"/>
    <mergeCell ref="F334:G334"/>
    <mergeCell ref="F342:G342"/>
    <mergeCell ref="F1368:G1368"/>
    <mergeCell ref="F336:G336"/>
    <mergeCell ref="F634:G634"/>
    <mergeCell ref="F308:G308"/>
    <mergeCell ref="F606:G606"/>
    <mergeCell ref="F1422:G1422"/>
    <mergeCell ref="F661:G661"/>
    <mergeCell ref="F965:G965"/>
    <mergeCell ref="F669:G669"/>
    <mergeCell ref="F967:G967"/>
    <mergeCell ref="F1265:G1265"/>
    <mergeCell ref="F992:G992"/>
    <mergeCell ref="F1290:G1290"/>
    <mergeCell ref="F1421:G1421"/>
    <mergeCell ref="F1420:G1420"/>
    <mergeCell ref="F1450:G1450"/>
    <mergeCell ref="F1412:G1412"/>
    <mergeCell ref="F695:G695"/>
    <mergeCell ref="F993:G993"/>
    <mergeCell ref="F1291:G1291"/>
    <mergeCell ref="F232:G232"/>
    <mergeCell ref="F987:G987"/>
    <mergeCell ref="F1107:G1107"/>
    <mergeCell ref="F268:G268"/>
    <mergeCell ref="F995:G995"/>
    <mergeCell ref="F1293:G1293"/>
    <mergeCell ref="F690:G690"/>
    <mergeCell ref="F1134:G1134"/>
    <mergeCell ref="F1432:G1432"/>
    <mergeCell ref="F835:G835"/>
    <mergeCell ref="F250:G250"/>
    <mergeCell ref="F1163:G1163"/>
    <mergeCell ref="F408:G408"/>
    <mergeCell ref="F706:G706"/>
    <mergeCell ref="F1135:G1135"/>
    <mergeCell ref="F1433:G1433"/>
    <mergeCell ref="F103:G103"/>
    <mergeCell ref="F619:G619"/>
    <mergeCell ref="F1129:G1129"/>
    <mergeCell ref="F1469:G1469"/>
    <mergeCell ref="F410:G410"/>
    <mergeCell ref="F1463:G1463"/>
    <mergeCell ref="F708:G708"/>
    <mergeCell ref="F1006:G1006"/>
    <mergeCell ref="F1435:G1435"/>
    <mergeCell ref="F403:G403"/>
    <mergeCell ref="F1362:G1362"/>
    <mergeCell ref="F121:G121"/>
    <mergeCell ref="F759:G759"/>
    <mergeCell ref="F1057:G1057"/>
    <mergeCell ref="F848:G848"/>
    <mergeCell ref="F1364:G1364"/>
    <mergeCell ref="F332:G332"/>
    <mergeCell ref="F630:G630"/>
    <mergeCell ref="F761:G761"/>
    <mergeCell ref="F421:G421"/>
    <mergeCell ref="F1059:G1059"/>
    <mergeCell ref="F632:G632"/>
    <mergeCell ref="F930:G930"/>
    <mergeCell ref="F175:G175"/>
    <mergeCell ref="F1359:G1359"/>
    <mergeCell ref="F1517:G1517"/>
    <mergeCell ref="F1077:G1077"/>
    <mergeCell ref="F322:G322"/>
    <mergeCell ref="F45:G45"/>
    <mergeCell ref="F1235:G1235"/>
    <mergeCell ref="F1533:G1533"/>
    <mergeCell ref="F474:G474"/>
    <mergeCell ref="F772:G772"/>
    <mergeCell ref="F1446:G1446"/>
    <mergeCell ref="F1079:G1079"/>
    <mergeCell ref="F1228:G1228"/>
    <mergeCell ref="F47:G47"/>
    <mergeCell ref="F351:G351"/>
    <mergeCell ref="F345:G345"/>
    <mergeCell ref="F1535:G1535"/>
    <mergeCell ref="F774:G774"/>
    <mergeCell ref="F46:G46"/>
    <mergeCell ref="F317:G317"/>
    <mergeCell ref="F1072:G1072"/>
    <mergeCell ref="F1230:G1230"/>
    <mergeCell ref="F48:G48"/>
    <mergeCell ref="F346:G346"/>
    <mergeCell ref="F477:G477"/>
    <mergeCell ref="F1530:G1530"/>
    <mergeCell ref="F775:G775"/>
    <mergeCell ref="F73:G73"/>
    <mergeCell ref="F371:G371"/>
    <mergeCell ref="F502:G502"/>
    <mergeCell ref="F800:G800"/>
    <mergeCell ref="F1098:G1098"/>
    <mergeCell ref="F379:G379"/>
    <mergeCell ref="F702:G702"/>
    <mergeCell ref="F1588:G1588"/>
    <mergeCell ref="F493:G493"/>
    <mergeCell ref="F1131:G1131"/>
    <mergeCell ref="F1465:G1465"/>
    <mergeCell ref="F406:G406"/>
    <mergeCell ref="F1459:G1459"/>
    <mergeCell ref="F704:G704"/>
    <mergeCell ref="F1002:G1002"/>
    <mergeCell ref="F1431:G1431"/>
    <mergeCell ref="F399:G399"/>
    <mergeCell ref="F1004:G1004"/>
    <mergeCell ref="F1302:G1302"/>
    <mergeCell ref="F1460:G1460"/>
    <mergeCell ref="F117:G117"/>
    <mergeCell ref="F92:G92"/>
    <mergeCell ref="F546:G546"/>
    <mergeCell ref="F844:G844"/>
    <mergeCell ref="F1178:G1178"/>
    <mergeCell ref="F119:G119"/>
    <mergeCell ref="F1449:G1449"/>
    <mergeCell ref="F417:G417"/>
    <mergeCell ref="F1607:G1607"/>
    <mergeCell ref="F846:G846"/>
    <mergeCell ref="F1144:G1144"/>
    <mergeCell ref="F427:G427"/>
    <mergeCell ref="F1486:G1486"/>
    <mergeCell ref="F112:G112"/>
    <mergeCell ref="F1600:G1600"/>
    <mergeCell ref="F1478:G1478"/>
    <mergeCell ref="F419:G419"/>
    <mergeCell ref="F541:G541"/>
    <mergeCell ref="F717:G717"/>
    <mergeCell ref="F1146:G1146"/>
    <mergeCell ref="F1173:G1173"/>
    <mergeCell ref="F1444:G1444"/>
    <mergeCell ref="F719:G719"/>
    <mergeCell ref="F572:G572"/>
    <mergeCell ref="F1473:G1473"/>
    <mergeCell ref="F145:G145"/>
    <mergeCell ref="F443:G443"/>
    <mergeCell ref="A1655:A1657"/>
    <mergeCell ref="F872:G872"/>
    <mergeCell ref="F1200:G1200"/>
    <mergeCell ref="F445:G445"/>
    <mergeCell ref="F1504:G1504"/>
    <mergeCell ref="F743:G743"/>
    <mergeCell ref="F1172:G1172"/>
    <mergeCell ref="F140:G140"/>
    <mergeCell ref="F1470:G1470"/>
    <mergeCell ref="F1531:G1531"/>
    <mergeCell ref="F1506:G1506"/>
    <mergeCell ref="F440:G440"/>
    <mergeCell ref="F1526:G1526"/>
    <mergeCell ref="F771:G771"/>
    <mergeCell ref="F344:G344"/>
    <mergeCell ref="F585:G585"/>
    <mergeCell ref="F1557:G1557"/>
    <mergeCell ref="F158:G158"/>
    <mergeCell ref="F587:G587"/>
    <mergeCell ref="F885:G885"/>
    <mergeCell ref="F369:G369"/>
    <mergeCell ref="F667:G667"/>
    <mergeCell ref="F1559:G1559"/>
    <mergeCell ref="F1219:G1219"/>
    <mergeCell ref="F160:G160"/>
    <mergeCell ref="F1096:G1096"/>
    <mergeCell ref="F1254:G1254"/>
    <mergeCell ref="F1552:G1552"/>
    <mergeCell ref="F797:G797"/>
    <mergeCell ref="F153:G153"/>
    <mergeCell ref="F491:G491"/>
    <mergeCell ref="F72:G72"/>
    <mergeCell ref="F370:G370"/>
    <mergeCell ref="F799:G799"/>
    <mergeCell ref="F484:G484"/>
    <mergeCell ref="F88:G88"/>
    <mergeCell ref="F359:G359"/>
    <mergeCell ref="F1272:G1272"/>
    <mergeCell ref="F517:G517"/>
    <mergeCell ref="F1570:G1570"/>
    <mergeCell ref="F511:G511"/>
    <mergeCell ref="F809:G809"/>
    <mergeCell ref="F54:G54"/>
    <mergeCell ref="F212:G212"/>
    <mergeCell ref="F388:G388"/>
    <mergeCell ref="F510:G510"/>
    <mergeCell ref="F1572:G1572"/>
    <mergeCell ref="F817:G817"/>
    <mergeCell ref="F1115:G1115"/>
    <mergeCell ref="F83:G83"/>
    <mergeCell ref="F1273:G1273"/>
    <mergeCell ref="F214:G214"/>
    <mergeCell ref="F1267:G1267"/>
    <mergeCell ref="F512:G512"/>
    <mergeCell ref="F548:G548"/>
    <mergeCell ref="F85:G85"/>
    <mergeCell ref="F383:G383"/>
    <mergeCell ref="F1567:G1567"/>
    <mergeCell ref="F812:G812"/>
    <mergeCell ref="F985:G985"/>
    <mergeCell ref="F230:G230"/>
    <mergeCell ref="F530:G530"/>
    <mergeCell ref="F136:G136"/>
    <mergeCell ref="F1466:G1466"/>
    <mergeCell ref="F1502:G1502"/>
    <mergeCell ref="F1496:G1496"/>
    <mergeCell ref="F225:G225"/>
    <mergeCell ref="F1197:G1197"/>
    <mergeCell ref="F1495:G1495"/>
    <mergeCell ref="F436:G436"/>
    <mergeCell ref="F1626:G1626"/>
    <mergeCell ref="F227:G227"/>
    <mergeCell ref="F525:G525"/>
    <mergeCell ref="F1497:G1497"/>
    <mergeCell ref="F283:G283"/>
    <mergeCell ref="F581:G581"/>
    <mergeCell ref="F154:G154"/>
    <mergeCell ref="F881:G881"/>
    <mergeCell ref="F1215:G1215"/>
    <mergeCell ref="F156:G156"/>
    <mergeCell ref="F454:G454"/>
    <mergeCell ref="F1644:G1644"/>
    <mergeCell ref="F612:G612"/>
    <mergeCell ref="F1638:G1638"/>
    <mergeCell ref="F910:G910"/>
    <mergeCell ref="F1181:G1181"/>
    <mergeCell ref="F155:G155"/>
    <mergeCell ref="F1041:G1041"/>
    <mergeCell ref="F149:G149"/>
    <mergeCell ref="F1339:G1339"/>
    <mergeCell ref="F1515:G1515"/>
    <mergeCell ref="F1637:G1637"/>
    <mergeCell ref="F912:G912"/>
    <mergeCell ref="F1550:G1550"/>
    <mergeCell ref="F1210:G1210"/>
    <mergeCell ref="F151:G151"/>
    <mergeCell ref="F1639:G1639"/>
    <mergeCell ref="F1212:G1212"/>
    <mergeCell ref="F1095:G1095"/>
    <mergeCell ref="F182:G182"/>
    <mergeCell ref="F296:G296"/>
    <mergeCell ref="F638:G638"/>
    <mergeCell ref="F936:G936"/>
    <mergeCell ref="F1357:G1357"/>
    <mergeCell ref="F596:G596"/>
    <mergeCell ref="F1236:G1236"/>
    <mergeCell ref="F177:G177"/>
    <mergeCell ref="F297:G297"/>
    <mergeCell ref="F1263:G1263"/>
    <mergeCell ref="F508:G508"/>
    <mergeCell ref="F1569:G1569"/>
    <mergeCell ref="F808:G808"/>
    <mergeCell ref="F622:G622"/>
    <mergeCell ref="F1410:G1410"/>
    <mergeCell ref="F1281:G1281"/>
    <mergeCell ref="F221:G221"/>
    <mergeCell ref="F196:G196"/>
    <mergeCell ref="F1283:G1283"/>
    <mergeCell ref="F1405:G1405"/>
    <mergeCell ref="F984:G984"/>
    <mergeCell ref="F1282:G1282"/>
    <mergeCell ref="F223:G223"/>
    <mergeCell ref="F1276:G1276"/>
    <mergeCell ref="F521:G521"/>
    <mergeCell ref="F523:G523"/>
    <mergeCell ref="B6:D6"/>
    <mergeCell ref="F125:G125"/>
    <mergeCell ref="F247:G247"/>
    <mergeCell ref="F1309:G1309"/>
    <mergeCell ref="F554:G554"/>
    <mergeCell ref="F1010:G1010"/>
    <mergeCell ref="F249:G249"/>
    <mergeCell ref="F547:G547"/>
    <mergeCell ref="F583:G583"/>
    <mergeCell ref="F854:G854"/>
    <mergeCell ref="F120:G120"/>
    <mergeCell ref="F1012:G1012"/>
    <mergeCell ref="F1310:G1310"/>
    <mergeCell ref="F1633:G1633"/>
    <mergeCell ref="F278:G278"/>
    <mergeCell ref="F549:G549"/>
    <mergeCell ref="F1304:G1304"/>
    <mergeCell ref="F1608:G1608"/>
    <mergeCell ref="F883:G883"/>
    <mergeCell ref="F1337:G1337"/>
    <mergeCell ref="F1635:G1635"/>
    <mergeCell ref="F578:G578"/>
    <mergeCell ref="F267:G267"/>
    <mergeCell ref="F723:G723"/>
    <mergeCell ref="F636:G636"/>
    <mergeCell ref="F934:G934"/>
    <mergeCell ref="F725:G725"/>
    <mergeCell ref="F1363:G1363"/>
    <mergeCell ref="F1048:G1048"/>
    <mergeCell ref="F1023:G1023"/>
    <mergeCell ref="F262:G262"/>
    <mergeCell ref="F1234:G1234"/>
    <mergeCell ref="F1025:G1025"/>
    <mergeCell ref="F1348:G1348"/>
    <mergeCell ref="F593:G593"/>
    <mergeCell ref="F1323:G1323"/>
    <mergeCell ref="F1534:G1534"/>
    <mergeCell ref="F647:G647"/>
    <mergeCell ref="F918:G918"/>
    <mergeCell ref="F778:G778"/>
    <mergeCell ref="F1076:G1076"/>
    <mergeCell ref="F1252:G1252"/>
    <mergeCell ref="F1374:G1374"/>
    <mergeCell ref="F649:G649"/>
    <mergeCell ref="F947:G947"/>
    <mergeCell ref="F192:G192"/>
    <mergeCell ref="F1376:G1376"/>
    <mergeCell ref="F949:G949"/>
    <mergeCell ref="F194:G194"/>
    <mergeCell ref="F492:G492"/>
    <mergeCell ref="F650:G650"/>
    <mergeCell ref="A1:D1"/>
    <mergeCell ref="F333:G333"/>
    <mergeCell ref="F1394:G1394"/>
    <mergeCell ref="F362:G362"/>
    <mergeCell ref="F245:G245"/>
    <mergeCell ref="F660:G660"/>
    <mergeCell ref="F791:G791"/>
    <mergeCell ref="F1089:G1089"/>
    <mergeCell ref="F1387:G1387"/>
    <mergeCell ref="F668:G668"/>
    <mergeCell ref="F1306:G1306"/>
    <mergeCell ref="F1604:G1604"/>
    <mergeCell ref="F545:G545"/>
    <mergeCell ref="F205:G205"/>
    <mergeCell ref="F65:G65"/>
    <mergeCell ref="F1091:G1091"/>
    <mergeCell ref="F363:G363"/>
    <mergeCell ref="F879:G879"/>
    <mergeCell ref="F1308:G1308"/>
    <mergeCell ref="F1606:G1606"/>
    <mergeCell ref="F574:G574"/>
    <mergeCell ref="F845:G845"/>
    <mergeCell ref="F365:G365"/>
    <mergeCell ref="F1003:G1003"/>
    <mergeCell ref="F663:G663"/>
    <mergeCell ref="F721:G721"/>
    <mergeCell ref="F1019:G1019"/>
    <mergeCell ref="F258:G258"/>
    <mergeCell ref="F294:G294"/>
    <mergeCell ref="F1021:G1021"/>
    <mergeCell ref="F1319:G1319"/>
    <mergeCell ref="F260:G260"/>
    <mergeCell ref="F558:G558"/>
    <mergeCell ref="F594:G594"/>
    <mergeCell ref="F716:G716"/>
    <mergeCell ref="F1321:G1321"/>
    <mergeCell ref="F289:G289"/>
    <mergeCell ref="F1619:G1619"/>
    <mergeCell ref="F1479:G1479"/>
    <mergeCell ref="F320:G320"/>
    <mergeCell ref="F434:G434"/>
    <mergeCell ref="F1047:G1047"/>
    <mergeCell ref="F1161:G1161"/>
    <mergeCell ref="F620:G620"/>
    <mergeCell ref="F1074:G1074"/>
    <mergeCell ref="F1049:G1049"/>
    <mergeCell ref="F734:G734"/>
    <mergeCell ref="F321:G321"/>
    <mergeCell ref="F1347:G1347"/>
    <mergeCell ref="F1032:G1032"/>
    <mergeCell ref="F315:G315"/>
    <mergeCell ref="F1372:G1372"/>
    <mergeCell ref="F1461:G1461"/>
    <mergeCell ref="F1034:G1034"/>
    <mergeCell ref="F615:G615"/>
    <mergeCell ref="F460:G460"/>
    <mergeCell ref="F946:G946"/>
    <mergeCell ref="F760:G760"/>
    <mergeCell ref="F787:G787"/>
    <mergeCell ref="F762:G762"/>
    <mergeCell ref="F1085:G1085"/>
    <mergeCell ref="F34:G34"/>
    <mergeCell ref="F1093:G1093"/>
    <mergeCell ref="F1087:G1087"/>
    <mergeCell ref="F1391:G1391"/>
    <mergeCell ref="F1429:G1429"/>
    <mergeCell ref="F1385:G1385"/>
    <mergeCell ref="F1086:G1086"/>
    <mergeCell ref="F361:G361"/>
    <mergeCell ref="F659:G659"/>
    <mergeCell ref="F790:G790"/>
    <mergeCell ref="F1088:G1088"/>
    <mergeCell ref="F815:G815"/>
    <mergeCell ref="F1119:G1119"/>
    <mergeCell ref="F475:G475"/>
    <mergeCell ref="F1113:G1113"/>
    <mergeCell ref="F1411:G1411"/>
    <mergeCell ref="F1447:G1447"/>
    <mergeCell ref="F692:G692"/>
    <mergeCell ref="F686:G686"/>
    <mergeCell ref="F990:G990"/>
    <mergeCell ref="F1419:G1419"/>
    <mergeCell ref="F1142:G1142"/>
    <mergeCell ref="F387:G387"/>
    <mergeCell ref="F1413:G1413"/>
    <mergeCell ref="F343:G343"/>
    <mergeCell ref="F685:G685"/>
    <mergeCell ref="F677:G677"/>
    <mergeCell ref="F1150:G1150"/>
    <mergeCell ref="F1448:G1448"/>
    <mergeCell ref="F1442:G1442"/>
    <mergeCell ref="F687:G687"/>
    <mergeCell ref="F1587:G1587"/>
    <mergeCell ref="F101:G101"/>
    <mergeCell ref="F828:G828"/>
    <mergeCell ref="F1132:G1132"/>
    <mergeCell ref="F100:G100"/>
    <mergeCell ref="F705:G705"/>
    <mergeCell ref="F311:G311"/>
    <mergeCell ref="F102:G102"/>
    <mergeCell ref="F740:G740"/>
    <mergeCell ref="F425:G425"/>
    <mergeCell ref="F400:G400"/>
    <mergeCell ref="F611:G611"/>
    <mergeCell ref="F402:G402"/>
    <mergeCell ref="F756:G756"/>
    <mergeCell ref="F758:G758"/>
    <mergeCell ref="F1056:G1056"/>
    <mergeCell ref="F301:G301"/>
    <mergeCell ref="F295:G295"/>
    <mergeCell ref="F847:G847"/>
    <mergeCell ref="F1512:G1512"/>
    <mergeCell ref="F331:G331"/>
    <mergeCell ref="F453:G453"/>
    <mergeCell ref="F629:G629"/>
    <mergeCell ref="F113:G113"/>
    <mergeCell ref="F32:G32"/>
    <mergeCell ref="F1058:G1058"/>
    <mergeCell ref="F330:G330"/>
    <mergeCell ref="F324:G324"/>
    <mergeCell ref="F1216:G1216"/>
    <mergeCell ref="F1514:G1514"/>
    <mergeCell ref="F753:G753"/>
    <mergeCell ref="F456:G456"/>
    <mergeCell ref="F471:G471"/>
    <mergeCell ref="F769:G769"/>
    <mergeCell ref="F927:G927"/>
    <mergeCell ref="F44:G44"/>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F32" r:id="rId10"/>
    <hyperlink xmlns:r="http://schemas.openxmlformats.org/officeDocument/2006/relationships" ref="F33" r:id="rId11"/>
    <hyperlink xmlns:r="http://schemas.openxmlformats.org/officeDocument/2006/relationships" ref="F34" r:id="rId12"/>
    <hyperlink xmlns:r="http://schemas.openxmlformats.org/officeDocument/2006/relationships" ref="F35" r:id="rId13"/>
    <hyperlink xmlns:r="http://schemas.openxmlformats.org/officeDocument/2006/relationships" ref="F36" r:id="rId14"/>
    <hyperlink xmlns:r="http://schemas.openxmlformats.org/officeDocument/2006/relationships" ref="F37" r:id="rId15"/>
    <hyperlink xmlns:r="http://schemas.openxmlformats.org/officeDocument/2006/relationships" ref="F38" r:id="rId16"/>
    <hyperlink xmlns:r="http://schemas.openxmlformats.org/officeDocument/2006/relationships" ref="F39" r:id="rId17"/>
    <hyperlink xmlns:r="http://schemas.openxmlformats.org/officeDocument/2006/relationships" ref="F40" r:id="rId18"/>
    <hyperlink xmlns:r="http://schemas.openxmlformats.org/officeDocument/2006/relationships" ref="F41" r:id="rId19"/>
    <hyperlink xmlns:r="http://schemas.openxmlformats.org/officeDocument/2006/relationships" ref="F42" r:id="rId20"/>
    <hyperlink xmlns:r="http://schemas.openxmlformats.org/officeDocument/2006/relationships" ref="F43" r:id="rId21"/>
    <hyperlink xmlns:r="http://schemas.openxmlformats.org/officeDocument/2006/relationships" ref="F44" r:id="rId22"/>
    <hyperlink xmlns:r="http://schemas.openxmlformats.org/officeDocument/2006/relationships" ref="F45" r:id="rId23"/>
    <hyperlink xmlns:r="http://schemas.openxmlformats.org/officeDocument/2006/relationships" ref="F46" r:id="rId24"/>
    <hyperlink xmlns:r="http://schemas.openxmlformats.org/officeDocument/2006/relationships" ref="F47" r:id="rId25"/>
    <hyperlink xmlns:r="http://schemas.openxmlformats.org/officeDocument/2006/relationships" ref="F48" r:id="rId26"/>
    <hyperlink xmlns:r="http://schemas.openxmlformats.org/officeDocument/2006/relationships" ref="F49" r:id="rId27"/>
    <hyperlink xmlns:r="http://schemas.openxmlformats.org/officeDocument/2006/relationships" ref="F50" r:id="rId28"/>
    <hyperlink xmlns:r="http://schemas.openxmlformats.org/officeDocument/2006/relationships" ref="F51" r:id="rId29"/>
    <hyperlink xmlns:r="http://schemas.openxmlformats.org/officeDocument/2006/relationships" ref="F52" r:id="rId30"/>
    <hyperlink xmlns:r="http://schemas.openxmlformats.org/officeDocument/2006/relationships" ref="F53" r:id="rId31"/>
    <hyperlink xmlns:r="http://schemas.openxmlformats.org/officeDocument/2006/relationships" ref="F54" r:id="rId32"/>
    <hyperlink xmlns:r="http://schemas.openxmlformats.org/officeDocument/2006/relationships" ref="F55" r:id="rId33"/>
    <hyperlink xmlns:r="http://schemas.openxmlformats.org/officeDocument/2006/relationships" ref="F56" r:id="rId34"/>
    <hyperlink xmlns:r="http://schemas.openxmlformats.org/officeDocument/2006/relationships" ref="F57" r:id="rId35"/>
    <hyperlink xmlns:r="http://schemas.openxmlformats.org/officeDocument/2006/relationships" ref="F58" r:id="rId36"/>
    <hyperlink xmlns:r="http://schemas.openxmlformats.org/officeDocument/2006/relationships" ref="F59" r:id="rId37"/>
    <hyperlink xmlns:r="http://schemas.openxmlformats.org/officeDocument/2006/relationships" ref="F60" r:id="rId38"/>
    <hyperlink xmlns:r="http://schemas.openxmlformats.org/officeDocument/2006/relationships" ref="F61" r:id="rId39"/>
    <hyperlink xmlns:r="http://schemas.openxmlformats.org/officeDocument/2006/relationships" ref="F62" r:id="rId40"/>
    <hyperlink xmlns:r="http://schemas.openxmlformats.org/officeDocument/2006/relationships" ref="F63" r:id="rId41"/>
    <hyperlink xmlns:r="http://schemas.openxmlformats.org/officeDocument/2006/relationships" ref="F64" r:id="rId42"/>
    <hyperlink xmlns:r="http://schemas.openxmlformats.org/officeDocument/2006/relationships" ref="F65" r:id="rId43"/>
    <hyperlink xmlns:r="http://schemas.openxmlformats.org/officeDocument/2006/relationships" ref="F66" r:id="rId44"/>
    <hyperlink xmlns:r="http://schemas.openxmlformats.org/officeDocument/2006/relationships" ref="F67" r:id="rId45"/>
    <hyperlink xmlns:r="http://schemas.openxmlformats.org/officeDocument/2006/relationships" ref="F68" r:id="rId46"/>
    <hyperlink xmlns:r="http://schemas.openxmlformats.org/officeDocument/2006/relationships" ref="F69" r:id="rId47"/>
    <hyperlink xmlns:r="http://schemas.openxmlformats.org/officeDocument/2006/relationships" ref="F70" r:id="rId48"/>
    <hyperlink xmlns:r="http://schemas.openxmlformats.org/officeDocument/2006/relationships" ref="F71" r:id="rId49"/>
    <hyperlink xmlns:r="http://schemas.openxmlformats.org/officeDocument/2006/relationships" ref="F72" r:id="rId50"/>
    <hyperlink xmlns:r="http://schemas.openxmlformats.org/officeDocument/2006/relationships" ref="F73" r:id="rId51"/>
    <hyperlink xmlns:r="http://schemas.openxmlformats.org/officeDocument/2006/relationships" ref="F74" r:id="rId52"/>
    <hyperlink xmlns:r="http://schemas.openxmlformats.org/officeDocument/2006/relationships" ref="F75" r:id="rId53"/>
    <hyperlink xmlns:r="http://schemas.openxmlformats.org/officeDocument/2006/relationships" ref="F76" r:id="rId54"/>
    <hyperlink xmlns:r="http://schemas.openxmlformats.org/officeDocument/2006/relationships" ref="F77" r:id="rId55"/>
    <hyperlink xmlns:r="http://schemas.openxmlformats.org/officeDocument/2006/relationships" ref="F78" r:id="rId56"/>
    <hyperlink xmlns:r="http://schemas.openxmlformats.org/officeDocument/2006/relationships" ref="F79" r:id="rId57"/>
    <hyperlink xmlns:r="http://schemas.openxmlformats.org/officeDocument/2006/relationships" ref="F80" r:id="rId58"/>
    <hyperlink xmlns:r="http://schemas.openxmlformats.org/officeDocument/2006/relationships" ref="F81" r:id="rId59"/>
    <hyperlink xmlns:r="http://schemas.openxmlformats.org/officeDocument/2006/relationships" ref="F82" r:id="rId60"/>
    <hyperlink xmlns:r="http://schemas.openxmlformats.org/officeDocument/2006/relationships" ref="F83" r:id="rId61"/>
    <hyperlink xmlns:r="http://schemas.openxmlformats.org/officeDocument/2006/relationships" ref="F84" r:id="rId62"/>
    <hyperlink xmlns:r="http://schemas.openxmlformats.org/officeDocument/2006/relationships" ref="F85" r:id="rId63"/>
    <hyperlink xmlns:r="http://schemas.openxmlformats.org/officeDocument/2006/relationships" ref="F86" r:id="rId64"/>
    <hyperlink xmlns:r="http://schemas.openxmlformats.org/officeDocument/2006/relationships" ref="F87" r:id="rId65"/>
    <hyperlink xmlns:r="http://schemas.openxmlformats.org/officeDocument/2006/relationships" ref="F88" r:id="rId66"/>
    <hyperlink xmlns:r="http://schemas.openxmlformats.org/officeDocument/2006/relationships" ref="F89" r:id="rId67"/>
    <hyperlink xmlns:r="http://schemas.openxmlformats.org/officeDocument/2006/relationships" ref="F90" r:id="rId68"/>
    <hyperlink xmlns:r="http://schemas.openxmlformats.org/officeDocument/2006/relationships" ref="F91" r:id="rId69"/>
    <hyperlink xmlns:r="http://schemas.openxmlformats.org/officeDocument/2006/relationships" ref="F92" r:id="rId70"/>
    <hyperlink xmlns:r="http://schemas.openxmlformats.org/officeDocument/2006/relationships" ref="F93" r:id="rId71"/>
    <hyperlink xmlns:r="http://schemas.openxmlformats.org/officeDocument/2006/relationships" ref="F94" r:id="rId72"/>
    <hyperlink xmlns:r="http://schemas.openxmlformats.org/officeDocument/2006/relationships" ref="F95" r:id="rId73"/>
    <hyperlink xmlns:r="http://schemas.openxmlformats.org/officeDocument/2006/relationships" ref="F96" r:id="rId74"/>
    <hyperlink xmlns:r="http://schemas.openxmlformats.org/officeDocument/2006/relationships" ref="F97" r:id="rId75"/>
    <hyperlink xmlns:r="http://schemas.openxmlformats.org/officeDocument/2006/relationships" ref="F98" r:id="rId76"/>
    <hyperlink xmlns:r="http://schemas.openxmlformats.org/officeDocument/2006/relationships" ref="F99" r:id="rId77"/>
    <hyperlink xmlns:r="http://schemas.openxmlformats.org/officeDocument/2006/relationships" ref="F100" r:id="rId78"/>
    <hyperlink xmlns:r="http://schemas.openxmlformats.org/officeDocument/2006/relationships" ref="F101" r:id="rId79"/>
    <hyperlink xmlns:r="http://schemas.openxmlformats.org/officeDocument/2006/relationships" ref="F102" r:id="rId80"/>
    <hyperlink xmlns:r="http://schemas.openxmlformats.org/officeDocument/2006/relationships" ref="F103" r:id="rId81"/>
    <hyperlink xmlns:r="http://schemas.openxmlformats.org/officeDocument/2006/relationships" ref="F104" r:id="rId82"/>
    <hyperlink xmlns:r="http://schemas.openxmlformats.org/officeDocument/2006/relationships" ref="F105" r:id="rId83"/>
    <hyperlink xmlns:r="http://schemas.openxmlformats.org/officeDocument/2006/relationships" ref="F106" r:id="rId84"/>
    <hyperlink xmlns:r="http://schemas.openxmlformats.org/officeDocument/2006/relationships" ref="F107" r:id="rId85"/>
    <hyperlink xmlns:r="http://schemas.openxmlformats.org/officeDocument/2006/relationships" ref="F108" r:id="rId86"/>
    <hyperlink xmlns:r="http://schemas.openxmlformats.org/officeDocument/2006/relationships" ref="F109" r:id="rId87"/>
    <hyperlink xmlns:r="http://schemas.openxmlformats.org/officeDocument/2006/relationships" ref="F110" r:id="rId88"/>
    <hyperlink xmlns:r="http://schemas.openxmlformats.org/officeDocument/2006/relationships" ref="F111" r:id="rId89"/>
    <hyperlink xmlns:r="http://schemas.openxmlformats.org/officeDocument/2006/relationships" ref="F112" r:id="rId90"/>
    <hyperlink xmlns:r="http://schemas.openxmlformats.org/officeDocument/2006/relationships" ref="F113" r:id="rId91"/>
    <hyperlink xmlns:r="http://schemas.openxmlformats.org/officeDocument/2006/relationships" ref="F114" r:id="rId92"/>
    <hyperlink xmlns:r="http://schemas.openxmlformats.org/officeDocument/2006/relationships" ref="F115" r:id="rId93"/>
    <hyperlink xmlns:r="http://schemas.openxmlformats.org/officeDocument/2006/relationships" ref="F116" r:id="rId94"/>
    <hyperlink xmlns:r="http://schemas.openxmlformats.org/officeDocument/2006/relationships" ref="F117" r:id="rId95"/>
    <hyperlink xmlns:r="http://schemas.openxmlformats.org/officeDocument/2006/relationships" ref="F118" r:id="rId96"/>
    <hyperlink xmlns:r="http://schemas.openxmlformats.org/officeDocument/2006/relationships" ref="F119" r:id="rId97"/>
    <hyperlink xmlns:r="http://schemas.openxmlformats.org/officeDocument/2006/relationships" ref="F120" r:id="rId98"/>
    <hyperlink xmlns:r="http://schemas.openxmlformats.org/officeDocument/2006/relationships" ref="F121" r:id="rId99"/>
    <hyperlink xmlns:r="http://schemas.openxmlformats.org/officeDocument/2006/relationships" ref="F122" r:id="rId100"/>
    <hyperlink xmlns:r="http://schemas.openxmlformats.org/officeDocument/2006/relationships" ref="F123" r:id="rId101"/>
    <hyperlink xmlns:r="http://schemas.openxmlformats.org/officeDocument/2006/relationships" ref="F124" r:id="rId102"/>
    <hyperlink xmlns:r="http://schemas.openxmlformats.org/officeDocument/2006/relationships" ref="F125" r:id="rId103"/>
    <hyperlink xmlns:r="http://schemas.openxmlformats.org/officeDocument/2006/relationships" ref="F126" r:id="rId104"/>
    <hyperlink xmlns:r="http://schemas.openxmlformats.org/officeDocument/2006/relationships" ref="F127" r:id="rId105"/>
    <hyperlink xmlns:r="http://schemas.openxmlformats.org/officeDocument/2006/relationships" ref="F128" r:id="rId106"/>
    <hyperlink xmlns:r="http://schemas.openxmlformats.org/officeDocument/2006/relationships" ref="F129" r:id="rId107"/>
    <hyperlink xmlns:r="http://schemas.openxmlformats.org/officeDocument/2006/relationships" ref="F130" r:id="rId108"/>
    <hyperlink xmlns:r="http://schemas.openxmlformats.org/officeDocument/2006/relationships" ref="F131" r:id="rId109"/>
    <hyperlink xmlns:r="http://schemas.openxmlformats.org/officeDocument/2006/relationships" ref="F132" r:id="rId110"/>
    <hyperlink xmlns:r="http://schemas.openxmlformats.org/officeDocument/2006/relationships" ref="F133" r:id="rId111"/>
    <hyperlink xmlns:r="http://schemas.openxmlformats.org/officeDocument/2006/relationships" ref="F134" r:id="rId112"/>
    <hyperlink xmlns:r="http://schemas.openxmlformats.org/officeDocument/2006/relationships" ref="F135" r:id="rId113"/>
    <hyperlink xmlns:r="http://schemas.openxmlformats.org/officeDocument/2006/relationships" ref="F136" r:id="rId114"/>
    <hyperlink xmlns:r="http://schemas.openxmlformats.org/officeDocument/2006/relationships" ref="F137" r:id="rId115"/>
    <hyperlink xmlns:r="http://schemas.openxmlformats.org/officeDocument/2006/relationships" ref="F138" r:id="rId116"/>
    <hyperlink xmlns:r="http://schemas.openxmlformats.org/officeDocument/2006/relationships" ref="F139" r:id="rId117"/>
    <hyperlink xmlns:r="http://schemas.openxmlformats.org/officeDocument/2006/relationships" ref="F140" r:id="rId118"/>
    <hyperlink xmlns:r="http://schemas.openxmlformats.org/officeDocument/2006/relationships" ref="F141" r:id="rId119"/>
    <hyperlink xmlns:r="http://schemas.openxmlformats.org/officeDocument/2006/relationships" ref="F142" r:id="rId120"/>
    <hyperlink xmlns:r="http://schemas.openxmlformats.org/officeDocument/2006/relationships" ref="F143" r:id="rId121"/>
    <hyperlink xmlns:r="http://schemas.openxmlformats.org/officeDocument/2006/relationships" ref="F144" r:id="rId122"/>
    <hyperlink xmlns:r="http://schemas.openxmlformats.org/officeDocument/2006/relationships" ref="F145" r:id="rId123"/>
    <hyperlink xmlns:r="http://schemas.openxmlformats.org/officeDocument/2006/relationships" ref="F146" r:id="rId124"/>
    <hyperlink xmlns:r="http://schemas.openxmlformats.org/officeDocument/2006/relationships" ref="F147" r:id="rId125"/>
    <hyperlink xmlns:r="http://schemas.openxmlformats.org/officeDocument/2006/relationships" ref="F148" r:id="rId126"/>
    <hyperlink xmlns:r="http://schemas.openxmlformats.org/officeDocument/2006/relationships" ref="F149" r:id="rId127"/>
    <hyperlink xmlns:r="http://schemas.openxmlformats.org/officeDocument/2006/relationships" ref="F150" r:id="rId128"/>
    <hyperlink xmlns:r="http://schemas.openxmlformats.org/officeDocument/2006/relationships" ref="F151" r:id="rId129"/>
    <hyperlink xmlns:r="http://schemas.openxmlformats.org/officeDocument/2006/relationships" ref="F152" r:id="rId130"/>
    <hyperlink xmlns:r="http://schemas.openxmlformats.org/officeDocument/2006/relationships" ref="F153" r:id="rId131"/>
    <hyperlink xmlns:r="http://schemas.openxmlformats.org/officeDocument/2006/relationships" ref="F154" r:id="rId132"/>
    <hyperlink xmlns:r="http://schemas.openxmlformats.org/officeDocument/2006/relationships" ref="F155" r:id="rId133"/>
    <hyperlink xmlns:r="http://schemas.openxmlformats.org/officeDocument/2006/relationships" ref="F156" r:id="rId134"/>
    <hyperlink xmlns:r="http://schemas.openxmlformats.org/officeDocument/2006/relationships" ref="F157" r:id="rId135"/>
    <hyperlink xmlns:r="http://schemas.openxmlformats.org/officeDocument/2006/relationships" ref="F158" r:id="rId136"/>
    <hyperlink xmlns:r="http://schemas.openxmlformats.org/officeDocument/2006/relationships" ref="F159" r:id="rId137"/>
    <hyperlink xmlns:r="http://schemas.openxmlformats.org/officeDocument/2006/relationships" ref="F160" r:id="rId138"/>
    <hyperlink xmlns:r="http://schemas.openxmlformats.org/officeDocument/2006/relationships" ref="F161" r:id="rId139"/>
    <hyperlink xmlns:r="http://schemas.openxmlformats.org/officeDocument/2006/relationships" ref="F162" r:id="rId140"/>
    <hyperlink xmlns:r="http://schemas.openxmlformats.org/officeDocument/2006/relationships" ref="F163" r:id="rId141"/>
    <hyperlink xmlns:r="http://schemas.openxmlformats.org/officeDocument/2006/relationships" ref="F164" r:id="rId142"/>
    <hyperlink xmlns:r="http://schemas.openxmlformats.org/officeDocument/2006/relationships" ref="F165" r:id="rId143"/>
    <hyperlink xmlns:r="http://schemas.openxmlformats.org/officeDocument/2006/relationships" ref="F166" r:id="rId144"/>
    <hyperlink xmlns:r="http://schemas.openxmlformats.org/officeDocument/2006/relationships" ref="F167" r:id="rId145"/>
    <hyperlink xmlns:r="http://schemas.openxmlformats.org/officeDocument/2006/relationships" ref="F168" r:id="rId146"/>
    <hyperlink xmlns:r="http://schemas.openxmlformats.org/officeDocument/2006/relationships" ref="F169" r:id="rId147"/>
    <hyperlink xmlns:r="http://schemas.openxmlformats.org/officeDocument/2006/relationships" ref="F170" r:id="rId148"/>
    <hyperlink xmlns:r="http://schemas.openxmlformats.org/officeDocument/2006/relationships" ref="F171" r:id="rId149"/>
    <hyperlink xmlns:r="http://schemas.openxmlformats.org/officeDocument/2006/relationships" ref="F172" r:id="rId150"/>
    <hyperlink xmlns:r="http://schemas.openxmlformats.org/officeDocument/2006/relationships" ref="F173" r:id="rId151"/>
    <hyperlink xmlns:r="http://schemas.openxmlformats.org/officeDocument/2006/relationships" ref="F174" r:id="rId152"/>
    <hyperlink xmlns:r="http://schemas.openxmlformats.org/officeDocument/2006/relationships" ref="F175" r:id="rId153"/>
    <hyperlink xmlns:r="http://schemas.openxmlformats.org/officeDocument/2006/relationships" ref="F176" r:id="rId154"/>
    <hyperlink xmlns:r="http://schemas.openxmlformats.org/officeDocument/2006/relationships" ref="F177" r:id="rId155"/>
    <hyperlink xmlns:r="http://schemas.openxmlformats.org/officeDocument/2006/relationships" ref="F178" r:id="rId156"/>
    <hyperlink xmlns:r="http://schemas.openxmlformats.org/officeDocument/2006/relationships" ref="F179" r:id="rId157"/>
    <hyperlink xmlns:r="http://schemas.openxmlformats.org/officeDocument/2006/relationships" ref="F180" r:id="rId158"/>
    <hyperlink xmlns:r="http://schemas.openxmlformats.org/officeDocument/2006/relationships" ref="F181" r:id="rId159"/>
    <hyperlink xmlns:r="http://schemas.openxmlformats.org/officeDocument/2006/relationships" ref="F182" r:id="rId160"/>
    <hyperlink xmlns:r="http://schemas.openxmlformats.org/officeDocument/2006/relationships" ref="F183" r:id="rId161"/>
    <hyperlink xmlns:r="http://schemas.openxmlformats.org/officeDocument/2006/relationships" ref="F184" r:id="rId162"/>
    <hyperlink xmlns:r="http://schemas.openxmlformats.org/officeDocument/2006/relationships" ref="F185" r:id="rId163"/>
    <hyperlink xmlns:r="http://schemas.openxmlformats.org/officeDocument/2006/relationships" ref="F186" r:id="rId164"/>
    <hyperlink xmlns:r="http://schemas.openxmlformats.org/officeDocument/2006/relationships" ref="F187" r:id="rId165"/>
    <hyperlink xmlns:r="http://schemas.openxmlformats.org/officeDocument/2006/relationships" ref="F188" r:id="rId166"/>
    <hyperlink xmlns:r="http://schemas.openxmlformats.org/officeDocument/2006/relationships" ref="F189" r:id="rId167"/>
    <hyperlink xmlns:r="http://schemas.openxmlformats.org/officeDocument/2006/relationships" ref="F190" r:id="rId168"/>
    <hyperlink xmlns:r="http://schemas.openxmlformats.org/officeDocument/2006/relationships" ref="F191" r:id="rId169"/>
    <hyperlink xmlns:r="http://schemas.openxmlformats.org/officeDocument/2006/relationships" ref="F192" r:id="rId170"/>
    <hyperlink xmlns:r="http://schemas.openxmlformats.org/officeDocument/2006/relationships" ref="F193" r:id="rId171"/>
    <hyperlink xmlns:r="http://schemas.openxmlformats.org/officeDocument/2006/relationships" ref="F194" r:id="rId172"/>
    <hyperlink xmlns:r="http://schemas.openxmlformats.org/officeDocument/2006/relationships" ref="F195" r:id="rId173"/>
    <hyperlink xmlns:r="http://schemas.openxmlformats.org/officeDocument/2006/relationships" ref="F196" r:id="rId174"/>
    <hyperlink xmlns:r="http://schemas.openxmlformats.org/officeDocument/2006/relationships" ref="F197" r:id="rId175"/>
    <hyperlink xmlns:r="http://schemas.openxmlformats.org/officeDocument/2006/relationships" ref="F198" r:id="rId176"/>
    <hyperlink xmlns:r="http://schemas.openxmlformats.org/officeDocument/2006/relationships" ref="F199" r:id="rId177"/>
    <hyperlink xmlns:r="http://schemas.openxmlformats.org/officeDocument/2006/relationships" ref="F200" r:id="rId178"/>
    <hyperlink xmlns:r="http://schemas.openxmlformats.org/officeDocument/2006/relationships" ref="F201" r:id="rId179"/>
    <hyperlink xmlns:r="http://schemas.openxmlformats.org/officeDocument/2006/relationships" ref="F202" r:id="rId180"/>
    <hyperlink xmlns:r="http://schemas.openxmlformats.org/officeDocument/2006/relationships" ref="F203" r:id="rId181"/>
    <hyperlink xmlns:r="http://schemas.openxmlformats.org/officeDocument/2006/relationships" ref="F204" r:id="rId182"/>
    <hyperlink xmlns:r="http://schemas.openxmlformats.org/officeDocument/2006/relationships" ref="F205" r:id="rId183"/>
    <hyperlink xmlns:r="http://schemas.openxmlformats.org/officeDocument/2006/relationships" ref="F206" r:id="rId184"/>
    <hyperlink xmlns:r="http://schemas.openxmlformats.org/officeDocument/2006/relationships" ref="F207" r:id="rId185"/>
    <hyperlink xmlns:r="http://schemas.openxmlformats.org/officeDocument/2006/relationships" ref="F208" r:id="rId186"/>
    <hyperlink xmlns:r="http://schemas.openxmlformats.org/officeDocument/2006/relationships" ref="F209" r:id="rId187"/>
    <hyperlink xmlns:r="http://schemas.openxmlformats.org/officeDocument/2006/relationships" ref="F210" r:id="rId188"/>
    <hyperlink xmlns:r="http://schemas.openxmlformats.org/officeDocument/2006/relationships" ref="F211" r:id="rId189"/>
    <hyperlink xmlns:r="http://schemas.openxmlformats.org/officeDocument/2006/relationships" ref="F212" r:id="rId190"/>
    <hyperlink xmlns:r="http://schemas.openxmlformats.org/officeDocument/2006/relationships" ref="F213" r:id="rId191"/>
    <hyperlink xmlns:r="http://schemas.openxmlformats.org/officeDocument/2006/relationships" ref="F214" r:id="rId192"/>
    <hyperlink xmlns:r="http://schemas.openxmlformats.org/officeDocument/2006/relationships" ref="F215" r:id="rId193"/>
    <hyperlink xmlns:r="http://schemas.openxmlformats.org/officeDocument/2006/relationships" ref="F216" r:id="rId194"/>
    <hyperlink xmlns:r="http://schemas.openxmlformats.org/officeDocument/2006/relationships" ref="F217" r:id="rId195"/>
    <hyperlink xmlns:r="http://schemas.openxmlformats.org/officeDocument/2006/relationships" ref="F218" r:id="rId196"/>
    <hyperlink xmlns:r="http://schemas.openxmlformats.org/officeDocument/2006/relationships" ref="F219" r:id="rId197"/>
    <hyperlink xmlns:r="http://schemas.openxmlformats.org/officeDocument/2006/relationships" ref="F220" r:id="rId198"/>
    <hyperlink xmlns:r="http://schemas.openxmlformats.org/officeDocument/2006/relationships" ref="F221" r:id="rId199"/>
    <hyperlink xmlns:r="http://schemas.openxmlformats.org/officeDocument/2006/relationships" ref="F222" r:id="rId200"/>
    <hyperlink xmlns:r="http://schemas.openxmlformats.org/officeDocument/2006/relationships" ref="F223" r:id="rId201"/>
    <hyperlink xmlns:r="http://schemas.openxmlformats.org/officeDocument/2006/relationships" ref="F224" r:id="rId202"/>
    <hyperlink xmlns:r="http://schemas.openxmlformats.org/officeDocument/2006/relationships" ref="F225" r:id="rId203"/>
    <hyperlink xmlns:r="http://schemas.openxmlformats.org/officeDocument/2006/relationships" ref="F226" r:id="rId204"/>
    <hyperlink xmlns:r="http://schemas.openxmlformats.org/officeDocument/2006/relationships" ref="F227" r:id="rId205"/>
    <hyperlink xmlns:r="http://schemas.openxmlformats.org/officeDocument/2006/relationships" ref="F228" r:id="rId206"/>
    <hyperlink xmlns:r="http://schemas.openxmlformats.org/officeDocument/2006/relationships" ref="F229" r:id="rId207"/>
    <hyperlink xmlns:r="http://schemas.openxmlformats.org/officeDocument/2006/relationships" ref="F230" r:id="rId208"/>
    <hyperlink xmlns:r="http://schemas.openxmlformats.org/officeDocument/2006/relationships" ref="F231" r:id="rId209"/>
    <hyperlink xmlns:r="http://schemas.openxmlformats.org/officeDocument/2006/relationships" ref="F232" r:id="rId210"/>
    <hyperlink xmlns:r="http://schemas.openxmlformats.org/officeDocument/2006/relationships" ref="F233" r:id="rId211"/>
    <hyperlink xmlns:r="http://schemas.openxmlformats.org/officeDocument/2006/relationships" ref="F234" r:id="rId212"/>
    <hyperlink xmlns:r="http://schemas.openxmlformats.org/officeDocument/2006/relationships" ref="F235" r:id="rId213"/>
    <hyperlink xmlns:r="http://schemas.openxmlformats.org/officeDocument/2006/relationships" ref="F236" r:id="rId214"/>
    <hyperlink xmlns:r="http://schemas.openxmlformats.org/officeDocument/2006/relationships" ref="F237" r:id="rId215"/>
    <hyperlink xmlns:r="http://schemas.openxmlformats.org/officeDocument/2006/relationships" ref="F238" r:id="rId216"/>
    <hyperlink xmlns:r="http://schemas.openxmlformats.org/officeDocument/2006/relationships" ref="F239" r:id="rId217"/>
    <hyperlink xmlns:r="http://schemas.openxmlformats.org/officeDocument/2006/relationships" ref="F240" r:id="rId218"/>
    <hyperlink xmlns:r="http://schemas.openxmlformats.org/officeDocument/2006/relationships" ref="F241" r:id="rId219"/>
    <hyperlink xmlns:r="http://schemas.openxmlformats.org/officeDocument/2006/relationships" ref="F242" r:id="rId220"/>
    <hyperlink xmlns:r="http://schemas.openxmlformats.org/officeDocument/2006/relationships" ref="F243" r:id="rId221"/>
    <hyperlink xmlns:r="http://schemas.openxmlformats.org/officeDocument/2006/relationships" ref="F244" r:id="rId222"/>
    <hyperlink xmlns:r="http://schemas.openxmlformats.org/officeDocument/2006/relationships" ref="F245" r:id="rId223"/>
    <hyperlink xmlns:r="http://schemas.openxmlformats.org/officeDocument/2006/relationships" ref="F246" r:id="rId224"/>
    <hyperlink xmlns:r="http://schemas.openxmlformats.org/officeDocument/2006/relationships" ref="F247" r:id="rId225"/>
    <hyperlink xmlns:r="http://schemas.openxmlformats.org/officeDocument/2006/relationships" ref="F248" r:id="rId226"/>
    <hyperlink xmlns:r="http://schemas.openxmlformats.org/officeDocument/2006/relationships" ref="F249" r:id="rId227"/>
    <hyperlink xmlns:r="http://schemas.openxmlformats.org/officeDocument/2006/relationships" ref="F250" r:id="rId228"/>
    <hyperlink xmlns:r="http://schemas.openxmlformats.org/officeDocument/2006/relationships" ref="F251" r:id="rId229"/>
    <hyperlink xmlns:r="http://schemas.openxmlformats.org/officeDocument/2006/relationships" ref="F252" r:id="rId230"/>
    <hyperlink xmlns:r="http://schemas.openxmlformats.org/officeDocument/2006/relationships" ref="F253" r:id="rId231"/>
    <hyperlink xmlns:r="http://schemas.openxmlformats.org/officeDocument/2006/relationships" ref="F254" r:id="rId232"/>
    <hyperlink xmlns:r="http://schemas.openxmlformats.org/officeDocument/2006/relationships" ref="F255" r:id="rId233"/>
    <hyperlink xmlns:r="http://schemas.openxmlformats.org/officeDocument/2006/relationships" ref="F256" r:id="rId234"/>
    <hyperlink xmlns:r="http://schemas.openxmlformats.org/officeDocument/2006/relationships" ref="F257" r:id="rId235"/>
    <hyperlink xmlns:r="http://schemas.openxmlformats.org/officeDocument/2006/relationships" ref="F258" r:id="rId236"/>
    <hyperlink xmlns:r="http://schemas.openxmlformats.org/officeDocument/2006/relationships" ref="F259" r:id="rId237"/>
    <hyperlink xmlns:r="http://schemas.openxmlformats.org/officeDocument/2006/relationships" ref="F260" r:id="rId238"/>
    <hyperlink xmlns:r="http://schemas.openxmlformats.org/officeDocument/2006/relationships" ref="F261" r:id="rId239"/>
    <hyperlink xmlns:r="http://schemas.openxmlformats.org/officeDocument/2006/relationships" ref="F262" r:id="rId240"/>
    <hyperlink xmlns:r="http://schemas.openxmlformats.org/officeDocument/2006/relationships" ref="F263" r:id="rId241"/>
    <hyperlink xmlns:r="http://schemas.openxmlformats.org/officeDocument/2006/relationships" ref="F264" r:id="rId242"/>
    <hyperlink xmlns:r="http://schemas.openxmlformats.org/officeDocument/2006/relationships" ref="F265" r:id="rId243"/>
    <hyperlink xmlns:r="http://schemas.openxmlformats.org/officeDocument/2006/relationships" ref="F266" r:id="rId244"/>
    <hyperlink xmlns:r="http://schemas.openxmlformats.org/officeDocument/2006/relationships" ref="F267" r:id="rId245"/>
    <hyperlink xmlns:r="http://schemas.openxmlformats.org/officeDocument/2006/relationships" ref="F268" r:id="rId246"/>
    <hyperlink xmlns:r="http://schemas.openxmlformats.org/officeDocument/2006/relationships" ref="F269" r:id="rId247"/>
    <hyperlink xmlns:r="http://schemas.openxmlformats.org/officeDocument/2006/relationships" ref="F270" r:id="rId248"/>
    <hyperlink xmlns:r="http://schemas.openxmlformats.org/officeDocument/2006/relationships" ref="F271" r:id="rId249"/>
    <hyperlink xmlns:r="http://schemas.openxmlformats.org/officeDocument/2006/relationships" ref="F272" r:id="rId250"/>
    <hyperlink xmlns:r="http://schemas.openxmlformats.org/officeDocument/2006/relationships" ref="F273" r:id="rId251"/>
    <hyperlink xmlns:r="http://schemas.openxmlformats.org/officeDocument/2006/relationships" ref="F274" r:id="rId252"/>
    <hyperlink xmlns:r="http://schemas.openxmlformats.org/officeDocument/2006/relationships" ref="F275" r:id="rId253"/>
    <hyperlink xmlns:r="http://schemas.openxmlformats.org/officeDocument/2006/relationships" ref="F276" r:id="rId254"/>
    <hyperlink xmlns:r="http://schemas.openxmlformats.org/officeDocument/2006/relationships" ref="F277" r:id="rId255"/>
    <hyperlink xmlns:r="http://schemas.openxmlformats.org/officeDocument/2006/relationships" ref="F278" r:id="rId256"/>
    <hyperlink xmlns:r="http://schemas.openxmlformats.org/officeDocument/2006/relationships" ref="F279" r:id="rId257"/>
    <hyperlink xmlns:r="http://schemas.openxmlformats.org/officeDocument/2006/relationships" ref="F280" r:id="rId258"/>
    <hyperlink xmlns:r="http://schemas.openxmlformats.org/officeDocument/2006/relationships" ref="F281" r:id="rId259"/>
    <hyperlink xmlns:r="http://schemas.openxmlformats.org/officeDocument/2006/relationships" ref="F282" r:id="rId260"/>
    <hyperlink xmlns:r="http://schemas.openxmlformats.org/officeDocument/2006/relationships" ref="F283" r:id="rId261"/>
    <hyperlink xmlns:r="http://schemas.openxmlformats.org/officeDocument/2006/relationships" ref="F284" r:id="rId262"/>
    <hyperlink xmlns:r="http://schemas.openxmlformats.org/officeDocument/2006/relationships" ref="F285" r:id="rId263"/>
    <hyperlink xmlns:r="http://schemas.openxmlformats.org/officeDocument/2006/relationships" ref="F286" r:id="rId264"/>
    <hyperlink xmlns:r="http://schemas.openxmlformats.org/officeDocument/2006/relationships" ref="F287" r:id="rId265"/>
    <hyperlink xmlns:r="http://schemas.openxmlformats.org/officeDocument/2006/relationships" ref="F288" r:id="rId266"/>
    <hyperlink xmlns:r="http://schemas.openxmlformats.org/officeDocument/2006/relationships" ref="F289" r:id="rId267"/>
    <hyperlink xmlns:r="http://schemas.openxmlformats.org/officeDocument/2006/relationships" ref="F290" r:id="rId268"/>
    <hyperlink xmlns:r="http://schemas.openxmlformats.org/officeDocument/2006/relationships" ref="F291" r:id="rId269"/>
    <hyperlink xmlns:r="http://schemas.openxmlformats.org/officeDocument/2006/relationships" ref="F292" r:id="rId270"/>
    <hyperlink xmlns:r="http://schemas.openxmlformats.org/officeDocument/2006/relationships" ref="F293" r:id="rId271"/>
    <hyperlink xmlns:r="http://schemas.openxmlformats.org/officeDocument/2006/relationships" ref="F294" r:id="rId272"/>
    <hyperlink xmlns:r="http://schemas.openxmlformats.org/officeDocument/2006/relationships" ref="F295" r:id="rId273"/>
    <hyperlink xmlns:r="http://schemas.openxmlformats.org/officeDocument/2006/relationships" ref="F296" r:id="rId274"/>
    <hyperlink xmlns:r="http://schemas.openxmlformats.org/officeDocument/2006/relationships" ref="F297" r:id="rId275"/>
    <hyperlink xmlns:r="http://schemas.openxmlformats.org/officeDocument/2006/relationships" ref="F298" r:id="rId276"/>
    <hyperlink xmlns:r="http://schemas.openxmlformats.org/officeDocument/2006/relationships" ref="F299" r:id="rId277"/>
    <hyperlink xmlns:r="http://schemas.openxmlformats.org/officeDocument/2006/relationships" ref="F300" r:id="rId278"/>
    <hyperlink xmlns:r="http://schemas.openxmlformats.org/officeDocument/2006/relationships" ref="F301" r:id="rId279"/>
    <hyperlink xmlns:r="http://schemas.openxmlformats.org/officeDocument/2006/relationships" ref="F302" r:id="rId280"/>
    <hyperlink xmlns:r="http://schemas.openxmlformats.org/officeDocument/2006/relationships" ref="F303" r:id="rId281"/>
    <hyperlink xmlns:r="http://schemas.openxmlformats.org/officeDocument/2006/relationships" ref="F304" r:id="rId282"/>
    <hyperlink xmlns:r="http://schemas.openxmlformats.org/officeDocument/2006/relationships" ref="F305" r:id="rId283"/>
    <hyperlink xmlns:r="http://schemas.openxmlformats.org/officeDocument/2006/relationships" ref="F306" r:id="rId284"/>
    <hyperlink xmlns:r="http://schemas.openxmlformats.org/officeDocument/2006/relationships" ref="F307" r:id="rId285"/>
    <hyperlink xmlns:r="http://schemas.openxmlformats.org/officeDocument/2006/relationships" ref="F308" r:id="rId286"/>
    <hyperlink xmlns:r="http://schemas.openxmlformats.org/officeDocument/2006/relationships" ref="F309" r:id="rId287"/>
    <hyperlink xmlns:r="http://schemas.openxmlformats.org/officeDocument/2006/relationships" ref="F310" r:id="rId288"/>
    <hyperlink xmlns:r="http://schemas.openxmlformats.org/officeDocument/2006/relationships" ref="F311" r:id="rId289"/>
    <hyperlink xmlns:r="http://schemas.openxmlformats.org/officeDocument/2006/relationships" ref="F312" r:id="rId290"/>
    <hyperlink xmlns:r="http://schemas.openxmlformats.org/officeDocument/2006/relationships" ref="F313" r:id="rId291"/>
    <hyperlink xmlns:r="http://schemas.openxmlformats.org/officeDocument/2006/relationships" ref="F314" r:id="rId292"/>
    <hyperlink xmlns:r="http://schemas.openxmlformats.org/officeDocument/2006/relationships" ref="F315" r:id="rId293"/>
    <hyperlink xmlns:r="http://schemas.openxmlformats.org/officeDocument/2006/relationships" ref="F316" r:id="rId294"/>
    <hyperlink xmlns:r="http://schemas.openxmlformats.org/officeDocument/2006/relationships" ref="F317" r:id="rId295"/>
    <hyperlink xmlns:r="http://schemas.openxmlformats.org/officeDocument/2006/relationships" ref="F318" r:id="rId296"/>
    <hyperlink xmlns:r="http://schemas.openxmlformats.org/officeDocument/2006/relationships" ref="F319" r:id="rId297"/>
    <hyperlink xmlns:r="http://schemas.openxmlformats.org/officeDocument/2006/relationships" ref="F320" r:id="rId298"/>
    <hyperlink xmlns:r="http://schemas.openxmlformats.org/officeDocument/2006/relationships" ref="F321" r:id="rId299"/>
    <hyperlink xmlns:r="http://schemas.openxmlformats.org/officeDocument/2006/relationships" ref="F322" r:id="rId300"/>
    <hyperlink xmlns:r="http://schemas.openxmlformats.org/officeDocument/2006/relationships" ref="F323" r:id="rId301"/>
    <hyperlink xmlns:r="http://schemas.openxmlformats.org/officeDocument/2006/relationships" ref="F324" r:id="rId302"/>
    <hyperlink xmlns:r="http://schemas.openxmlformats.org/officeDocument/2006/relationships" ref="F325" r:id="rId303"/>
    <hyperlink xmlns:r="http://schemas.openxmlformats.org/officeDocument/2006/relationships" ref="F326" r:id="rId304"/>
    <hyperlink xmlns:r="http://schemas.openxmlformats.org/officeDocument/2006/relationships" ref="F327" r:id="rId305"/>
    <hyperlink xmlns:r="http://schemas.openxmlformats.org/officeDocument/2006/relationships" ref="F328" r:id="rId306"/>
    <hyperlink xmlns:r="http://schemas.openxmlformats.org/officeDocument/2006/relationships" ref="F329" r:id="rId307"/>
    <hyperlink xmlns:r="http://schemas.openxmlformats.org/officeDocument/2006/relationships" ref="F330" r:id="rId308"/>
    <hyperlink xmlns:r="http://schemas.openxmlformats.org/officeDocument/2006/relationships" ref="F331" r:id="rId309"/>
    <hyperlink xmlns:r="http://schemas.openxmlformats.org/officeDocument/2006/relationships" ref="F332" r:id="rId310"/>
    <hyperlink xmlns:r="http://schemas.openxmlformats.org/officeDocument/2006/relationships" ref="F333" r:id="rId311"/>
    <hyperlink xmlns:r="http://schemas.openxmlformats.org/officeDocument/2006/relationships" ref="F334" r:id="rId312"/>
    <hyperlink xmlns:r="http://schemas.openxmlformats.org/officeDocument/2006/relationships" ref="F335" r:id="rId313"/>
    <hyperlink xmlns:r="http://schemas.openxmlformats.org/officeDocument/2006/relationships" ref="F336" r:id="rId314"/>
    <hyperlink xmlns:r="http://schemas.openxmlformats.org/officeDocument/2006/relationships" ref="F337" r:id="rId315"/>
    <hyperlink xmlns:r="http://schemas.openxmlformats.org/officeDocument/2006/relationships" ref="F338" r:id="rId316"/>
    <hyperlink xmlns:r="http://schemas.openxmlformats.org/officeDocument/2006/relationships" ref="F339" r:id="rId317"/>
    <hyperlink xmlns:r="http://schemas.openxmlformats.org/officeDocument/2006/relationships" ref="F340" r:id="rId318"/>
    <hyperlink xmlns:r="http://schemas.openxmlformats.org/officeDocument/2006/relationships" ref="F341" r:id="rId319"/>
    <hyperlink xmlns:r="http://schemas.openxmlformats.org/officeDocument/2006/relationships" ref="F342" r:id="rId320"/>
    <hyperlink xmlns:r="http://schemas.openxmlformats.org/officeDocument/2006/relationships" ref="F343" r:id="rId321"/>
    <hyperlink xmlns:r="http://schemas.openxmlformats.org/officeDocument/2006/relationships" ref="F344" r:id="rId322"/>
    <hyperlink xmlns:r="http://schemas.openxmlformats.org/officeDocument/2006/relationships" ref="F345" r:id="rId323"/>
    <hyperlink xmlns:r="http://schemas.openxmlformats.org/officeDocument/2006/relationships" ref="F346" r:id="rId324"/>
    <hyperlink xmlns:r="http://schemas.openxmlformats.org/officeDocument/2006/relationships" ref="F347" r:id="rId325"/>
    <hyperlink xmlns:r="http://schemas.openxmlformats.org/officeDocument/2006/relationships" ref="F348" r:id="rId326"/>
    <hyperlink xmlns:r="http://schemas.openxmlformats.org/officeDocument/2006/relationships" ref="F349" r:id="rId327"/>
    <hyperlink xmlns:r="http://schemas.openxmlformats.org/officeDocument/2006/relationships" ref="F350" r:id="rId328"/>
    <hyperlink xmlns:r="http://schemas.openxmlformats.org/officeDocument/2006/relationships" ref="F351" r:id="rId329"/>
    <hyperlink xmlns:r="http://schemas.openxmlformats.org/officeDocument/2006/relationships" ref="F352" r:id="rId330"/>
    <hyperlink xmlns:r="http://schemas.openxmlformats.org/officeDocument/2006/relationships" ref="F353" r:id="rId331"/>
    <hyperlink xmlns:r="http://schemas.openxmlformats.org/officeDocument/2006/relationships" ref="F354" r:id="rId332"/>
    <hyperlink xmlns:r="http://schemas.openxmlformats.org/officeDocument/2006/relationships" ref="F355" r:id="rId333"/>
    <hyperlink xmlns:r="http://schemas.openxmlformats.org/officeDocument/2006/relationships" ref="F356" r:id="rId334"/>
    <hyperlink xmlns:r="http://schemas.openxmlformats.org/officeDocument/2006/relationships" ref="F357" r:id="rId335"/>
    <hyperlink xmlns:r="http://schemas.openxmlformats.org/officeDocument/2006/relationships" ref="F358" r:id="rId336"/>
    <hyperlink xmlns:r="http://schemas.openxmlformats.org/officeDocument/2006/relationships" ref="F359" r:id="rId337"/>
    <hyperlink xmlns:r="http://schemas.openxmlformats.org/officeDocument/2006/relationships" ref="F360" r:id="rId338"/>
    <hyperlink xmlns:r="http://schemas.openxmlformats.org/officeDocument/2006/relationships" ref="F361" r:id="rId339"/>
    <hyperlink xmlns:r="http://schemas.openxmlformats.org/officeDocument/2006/relationships" ref="F362" r:id="rId340"/>
    <hyperlink xmlns:r="http://schemas.openxmlformats.org/officeDocument/2006/relationships" ref="F363" r:id="rId341"/>
    <hyperlink xmlns:r="http://schemas.openxmlformats.org/officeDocument/2006/relationships" ref="F364" r:id="rId342"/>
    <hyperlink xmlns:r="http://schemas.openxmlformats.org/officeDocument/2006/relationships" ref="F365" r:id="rId343"/>
    <hyperlink xmlns:r="http://schemas.openxmlformats.org/officeDocument/2006/relationships" ref="F366" r:id="rId344"/>
    <hyperlink xmlns:r="http://schemas.openxmlformats.org/officeDocument/2006/relationships" ref="F367" r:id="rId345"/>
    <hyperlink xmlns:r="http://schemas.openxmlformats.org/officeDocument/2006/relationships" ref="F368" r:id="rId346"/>
    <hyperlink xmlns:r="http://schemas.openxmlformats.org/officeDocument/2006/relationships" ref="F369" r:id="rId347"/>
    <hyperlink xmlns:r="http://schemas.openxmlformats.org/officeDocument/2006/relationships" ref="F370" r:id="rId348"/>
    <hyperlink xmlns:r="http://schemas.openxmlformats.org/officeDocument/2006/relationships" ref="F371" r:id="rId349"/>
    <hyperlink xmlns:r="http://schemas.openxmlformats.org/officeDocument/2006/relationships" ref="F372" r:id="rId350"/>
    <hyperlink xmlns:r="http://schemas.openxmlformats.org/officeDocument/2006/relationships" ref="F373" r:id="rId351"/>
    <hyperlink xmlns:r="http://schemas.openxmlformats.org/officeDocument/2006/relationships" ref="F374" r:id="rId352"/>
    <hyperlink xmlns:r="http://schemas.openxmlformats.org/officeDocument/2006/relationships" ref="F375" r:id="rId353"/>
    <hyperlink xmlns:r="http://schemas.openxmlformats.org/officeDocument/2006/relationships" ref="F376" r:id="rId354"/>
    <hyperlink xmlns:r="http://schemas.openxmlformats.org/officeDocument/2006/relationships" ref="F377" r:id="rId355"/>
    <hyperlink xmlns:r="http://schemas.openxmlformats.org/officeDocument/2006/relationships" ref="F378" r:id="rId356"/>
    <hyperlink xmlns:r="http://schemas.openxmlformats.org/officeDocument/2006/relationships" ref="F379" r:id="rId357"/>
    <hyperlink xmlns:r="http://schemas.openxmlformats.org/officeDocument/2006/relationships" ref="F380" r:id="rId358"/>
    <hyperlink xmlns:r="http://schemas.openxmlformats.org/officeDocument/2006/relationships" ref="F381" r:id="rId359"/>
    <hyperlink xmlns:r="http://schemas.openxmlformats.org/officeDocument/2006/relationships" ref="F382" r:id="rId360"/>
    <hyperlink xmlns:r="http://schemas.openxmlformats.org/officeDocument/2006/relationships" ref="F383" r:id="rId361"/>
    <hyperlink xmlns:r="http://schemas.openxmlformats.org/officeDocument/2006/relationships" ref="F384" r:id="rId362"/>
    <hyperlink xmlns:r="http://schemas.openxmlformats.org/officeDocument/2006/relationships" ref="F385" r:id="rId363"/>
    <hyperlink xmlns:r="http://schemas.openxmlformats.org/officeDocument/2006/relationships" ref="F386" r:id="rId364"/>
    <hyperlink xmlns:r="http://schemas.openxmlformats.org/officeDocument/2006/relationships" ref="F387" r:id="rId365"/>
    <hyperlink xmlns:r="http://schemas.openxmlformats.org/officeDocument/2006/relationships" ref="F388" r:id="rId366"/>
    <hyperlink xmlns:r="http://schemas.openxmlformats.org/officeDocument/2006/relationships" ref="F389" r:id="rId367"/>
    <hyperlink xmlns:r="http://schemas.openxmlformats.org/officeDocument/2006/relationships" ref="F390" r:id="rId368"/>
    <hyperlink xmlns:r="http://schemas.openxmlformats.org/officeDocument/2006/relationships" ref="F391" r:id="rId369"/>
    <hyperlink xmlns:r="http://schemas.openxmlformats.org/officeDocument/2006/relationships" ref="F392" r:id="rId370"/>
    <hyperlink xmlns:r="http://schemas.openxmlformats.org/officeDocument/2006/relationships" ref="F393" r:id="rId371"/>
    <hyperlink xmlns:r="http://schemas.openxmlformats.org/officeDocument/2006/relationships" ref="F394" r:id="rId372"/>
    <hyperlink xmlns:r="http://schemas.openxmlformats.org/officeDocument/2006/relationships" ref="F395" r:id="rId373"/>
    <hyperlink xmlns:r="http://schemas.openxmlformats.org/officeDocument/2006/relationships" ref="F396" r:id="rId374"/>
    <hyperlink xmlns:r="http://schemas.openxmlformats.org/officeDocument/2006/relationships" ref="F397" r:id="rId375"/>
    <hyperlink xmlns:r="http://schemas.openxmlformats.org/officeDocument/2006/relationships" ref="F398" r:id="rId376"/>
    <hyperlink xmlns:r="http://schemas.openxmlformats.org/officeDocument/2006/relationships" ref="F399" r:id="rId377"/>
    <hyperlink xmlns:r="http://schemas.openxmlformats.org/officeDocument/2006/relationships" ref="F400" r:id="rId378"/>
    <hyperlink xmlns:r="http://schemas.openxmlformats.org/officeDocument/2006/relationships" ref="F401" r:id="rId379"/>
    <hyperlink xmlns:r="http://schemas.openxmlformats.org/officeDocument/2006/relationships" ref="F402" r:id="rId380"/>
    <hyperlink xmlns:r="http://schemas.openxmlformats.org/officeDocument/2006/relationships" ref="F403" r:id="rId381"/>
    <hyperlink xmlns:r="http://schemas.openxmlformats.org/officeDocument/2006/relationships" ref="F404" r:id="rId382"/>
    <hyperlink xmlns:r="http://schemas.openxmlformats.org/officeDocument/2006/relationships" ref="F405" r:id="rId383"/>
    <hyperlink xmlns:r="http://schemas.openxmlformats.org/officeDocument/2006/relationships" ref="F406" r:id="rId384"/>
    <hyperlink xmlns:r="http://schemas.openxmlformats.org/officeDocument/2006/relationships" ref="F407" r:id="rId385"/>
    <hyperlink xmlns:r="http://schemas.openxmlformats.org/officeDocument/2006/relationships" ref="F408" r:id="rId386"/>
    <hyperlink xmlns:r="http://schemas.openxmlformats.org/officeDocument/2006/relationships" ref="F409" r:id="rId387"/>
    <hyperlink xmlns:r="http://schemas.openxmlformats.org/officeDocument/2006/relationships" ref="F410" r:id="rId388"/>
    <hyperlink xmlns:r="http://schemas.openxmlformats.org/officeDocument/2006/relationships" ref="F411" r:id="rId389"/>
    <hyperlink xmlns:r="http://schemas.openxmlformats.org/officeDocument/2006/relationships" ref="F412" r:id="rId390"/>
    <hyperlink xmlns:r="http://schemas.openxmlformats.org/officeDocument/2006/relationships" ref="F413" r:id="rId391"/>
    <hyperlink xmlns:r="http://schemas.openxmlformats.org/officeDocument/2006/relationships" ref="F414" r:id="rId392"/>
    <hyperlink xmlns:r="http://schemas.openxmlformats.org/officeDocument/2006/relationships" ref="F415" r:id="rId393"/>
    <hyperlink xmlns:r="http://schemas.openxmlformats.org/officeDocument/2006/relationships" ref="F416" r:id="rId394"/>
    <hyperlink xmlns:r="http://schemas.openxmlformats.org/officeDocument/2006/relationships" ref="F417" r:id="rId395"/>
    <hyperlink xmlns:r="http://schemas.openxmlformats.org/officeDocument/2006/relationships" ref="F418" r:id="rId396"/>
    <hyperlink xmlns:r="http://schemas.openxmlformats.org/officeDocument/2006/relationships" ref="F419" r:id="rId397"/>
    <hyperlink xmlns:r="http://schemas.openxmlformats.org/officeDocument/2006/relationships" ref="F420" r:id="rId398"/>
    <hyperlink xmlns:r="http://schemas.openxmlformats.org/officeDocument/2006/relationships" ref="F421" r:id="rId399"/>
    <hyperlink xmlns:r="http://schemas.openxmlformats.org/officeDocument/2006/relationships" ref="F422" r:id="rId400"/>
    <hyperlink xmlns:r="http://schemas.openxmlformats.org/officeDocument/2006/relationships" ref="F423" r:id="rId401"/>
    <hyperlink xmlns:r="http://schemas.openxmlformats.org/officeDocument/2006/relationships" ref="F424" r:id="rId402"/>
    <hyperlink xmlns:r="http://schemas.openxmlformats.org/officeDocument/2006/relationships" ref="F425" r:id="rId403"/>
    <hyperlink xmlns:r="http://schemas.openxmlformats.org/officeDocument/2006/relationships" ref="F426" r:id="rId404"/>
    <hyperlink xmlns:r="http://schemas.openxmlformats.org/officeDocument/2006/relationships" ref="F427" r:id="rId405"/>
    <hyperlink xmlns:r="http://schemas.openxmlformats.org/officeDocument/2006/relationships" ref="F428" r:id="rId406"/>
    <hyperlink xmlns:r="http://schemas.openxmlformats.org/officeDocument/2006/relationships" ref="F429" r:id="rId407"/>
    <hyperlink xmlns:r="http://schemas.openxmlformats.org/officeDocument/2006/relationships" ref="F430" r:id="rId408"/>
    <hyperlink xmlns:r="http://schemas.openxmlformats.org/officeDocument/2006/relationships" ref="F431" r:id="rId409"/>
    <hyperlink xmlns:r="http://schemas.openxmlformats.org/officeDocument/2006/relationships" ref="F432" r:id="rId410"/>
    <hyperlink xmlns:r="http://schemas.openxmlformats.org/officeDocument/2006/relationships" ref="F433" r:id="rId411"/>
    <hyperlink xmlns:r="http://schemas.openxmlformats.org/officeDocument/2006/relationships" ref="F434" r:id="rId412"/>
    <hyperlink xmlns:r="http://schemas.openxmlformats.org/officeDocument/2006/relationships" ref="F435" r:id="rId413"/>
    <hyperlink xmlns:r="http://schemas.openxmlformats.org/officeDocument/2006/relationships" ref="F436" r:id="rId414"/>
    <hyperlink xmlns:r="http://schemas.openxmlformats.org/officeDocument/2006/relationships" ref="F437" r:id="rId415"/>
    <hyperlink xmlns:r="http://schemas.openxmlformats.org/officeDocument/2006/relationships" ref="F438" r:id="rId416"/>
    <hyperlink xmlns:r="http://schemas.openxmlformats.org/officeDocument/2006/relationships" ref="F439" r:id="rId417"/>
    <hyperlink xmlns:r="http://schemas.openxmlformats.org/officeDocument/2006/relationships" ref="F440" r:id="rId418"/>
    <hyperlink xmlns:r="http://schemas.openxmlformats.org/officeDocument/2006/relationships" ref="F441" r:id="rId419"/>
    <hyperlink xmlns:r="http://schemas.openxmlformats.org/officeDocument/2006/relationships" ref="F442" r:id="rId420"/>
    <hyperlink xmlns:r="http://schemas.openxmlformats.org/officeDocument/2006/relationships" ref="F443" r:id="rId421"/>
    <hyperlink xmlns:r="http://schemas.openxmlformats.org/officeDocument/2006/relationships" ref="F444" r:id="rId422"/>
    <hyperlink xmlns:r="http://schemas.openxmlformats.org/officeDocument/2006/relationships" ref="F445" r:id="rId423"/>
    <hyperlink xmlns:r="http://schemas.openxmlformats.org/officeDocument/2006/relationships" ref="F446" r:id="rId424"/>
    <hyperlink xmlns:r="http://schemas.openxmlformats.org/officeDocument/2006/relationships" ref="F447" r:id="rId425"/>
    <hyperlink xmlns:r="http://schemas.openxmlformats.org/officeDocument/2006/relationships" ref="F448" r:id="rId426"/>
    <hyperlink xmlns:r="http://schemas.openxmlformats.org/officeDocument/2006/relationships" ref="F449" r:id="rId427"/>
    <hyperlink xmlns:r="http://schemas.openxmlformats.org/officeDocument/2006/relationships" ref="F450" r:id="rId428"/>
    <hyperlink xmlns:r="http://schemas.openxmlformats.org/officeDocument/2006/relationships" ref="F451" r:id="rId429"/>
    <hyperlink xmlns:r="http://schemas.openxmlformats.org/officeDocument/2006/relationships" ref="F452" r:id="rId430"/>
    <hyperlink xmlns:r="http://schemas.openxmlformats.org/officeDocument/2006/relationships" ref="F453" r:id="rId431"/>
    <hyperlink xmlns:r="http://schemas.openxmlformats.org/officeDocument/2006/relationships" ref="F454" r:id="rId432"/>
    <hyperlink xmlns:r="http://schemas.openxmlformats.org/officeDocument/2006/relationships" ref="F455" r:id="rId433"/>
    <hyperlink xmlns:r="http://schemas.openxmlformats.org/officeDocument/2006/relationships" ref="F456" r:id="rId434"/>
    <hyperlink xmlns:r="http://schemas.openxmlformats.org/officeDocument/2006/relationships" ref="F457" r:id="rId435"/>
    <hyperlink xmlns:r="http://schemas.openxmlformats.org/officeDocument/2006/relationships" ref="F458" r:id="rId436"/>
    <hyperlink xmlns:r="http://schemas.openxmlformats.org/officeDocument/2006/relationships" ref="F459" r:id="rId437"/>
    <hyperlink xmlns:r="http://schemas.openxmlformats.org/officeDocument/2006/relationships" ref="F460" r:id="rId438"/>
    <hyperlink xmlns:r="http://schemas.openxmlformats.org/officeDocument/2006/relationships" ref="F461" r:id="rId439"/>
    <hyperlink xmlns:r="http://schemas.openxmlformats.org/officeDocument/2006/relationships" ref="F462" r:id="rId440"/>
    <hyperlink xmlns:r="http://schemas.openxmlformats.org/officeDocument/2006/relationships" ref="F463" r:id="rId441"/>
    <hyperlink xmlns:r="http://schemas.openxmlformats.org/officeDocument/2006/relationships" ref="F464" r:id="rId442"/>
    <hyperlink xmlns:r="http://schemas.openxmlformats.org/officeDocument/2006/relationships" ref="F465" r:id="rId443"/>
    <hyperlink xmlns:r="http://schemas.openxmlformats.org/officeDocument/2006/relationships" ref="F466" r:id="rId444"/>
    <hyperlink xmlns:r="http://schemas.openxmlformats.org/officeDocument/2006/relationships" ref="F467" r:id="rId445"/>
    <hyperlink xmlns:r="http://schemas.openxmlformats.org/officeDocument/2006/relationships" ref="F468" r:id="rId446"/>
    <hyperlink xmlns:r="http://schemas.openxmlformats.org/officeDocument/2006/relationships" ref="F469" r:id="rId447"/>
    <hyperlink xmlns:r="http://schemas.openxmlformats.org/officeDocument/2006/relationships" ref="F470" r:id="rId448"/>
    <hyperlink xmlns:r="http://schemas.openxmlformats.org/officeDocument/2006/relationships" ref="F471" r:id="rId449"/>
    <hyperlink xmlns:r="http://schemas.openxmlformats.org/officeDocument/2006/relationships" ref="F472" r:id="rId450"/>
    <hyperlink xmlns:r="http://schemas.openxmlformats.org/officeDocument/2006/relationships" ref="F473" r:id="rId451"/>
    <hyperlink xmlns:r="http://schemas.openxmlformats.org/officeDocument/2006/relationships" ref="F474" r:id="rId452"/>
    <hyperlink xmlns:r="http://schemas.openxmlformats.org/officeDocument/2006/relationships" ref="F475" r:id="rId453"/>
    <hyperlink xmlns:r="http://schemas.openxmlformats.org/officeDocument/2006/relationships" ref="F476" r:id="rId454"/>
    <hyperlink xmlns:r="http://schemas.openxmlformats.org/officeDocument/2006/relationships" ref="F477" r:id="rId455"/>
    <hyperlink xmlns:r="http://schemas.openxmlformats.org/officeDocument/2006/relationships" ref="F478" r:id="rId456"/>
    <hyperlink xmlns:r="http://schemas.openxmlformats.org/officeDocument/2006/relationships" ref="F479" r:id="rId457"/>
    <hyperlink xmlns:r="http://schemas.openxmlformats.org/officeDocument/2006/relationships" ref="F480" r:id="rId458"/>
    <hyperlink xmlns:r="http://schemas.openxmlformats.org/officeDocument/2006/relationships" ref="F481" r:id="rId459"/>
    <hyperlink xmlns:r="http://schemas.openxmlformats.org/officeDocument/2006/relationships" ref="F482" r:id="rId460"/>
    <hyperlink xmlns:r="http://schemas.openxmlformats.org/officeDocument/2006/relationships" ref="F483" r:id="rId461"/>
    <hyperlink xmlns:r="http://schemas.openxmlformats.org/officeDocument/2006/relationships" ref="F484" r:id="rId462"/>
    <hyperlink xmlns:r="http://schemas.openxmlformats.org/officeDocument/2006/relationships" ref="F485" r:id="rId463"/>
    <hyperlink xmlns:r="http://schemas.openxmlformats.org/officeDocument/2006/relationships" ref="F486" r:id="rId464"/>
    <hyperlink xmlns:r="http://schemas.openxmlformats.org/officeDocument/2006/relationships" ref="F487" r:id="rId465"/>
    <hyperlink xmlns:r="http://schemas.openxmlformats.org/officeDocument/2006/relationships" ref="F488" r:id="rId466"/>
    <hyperlink xmlns:r="http://schemas.openxmlformats.org/officeDocument/2006/relationships" ref="F489" r:id="rId467"/>
    <hyperlink xmlns:r="http://schemas.openxmlformats.org/officeDocument/2006/relationships" ref="F490" r:id="rId468"/>
    <hyperlink xmlns:r="http://schemas.openxmlformats.org/officeDocument/2006/relationships" ref="F491" r:id="rId469"/>
    <hyperlink xmlns:r="http://schemas.openxmlformats.org/officeDocument/2006/relationships" ref="F492" r:id="rId470"/>
    <hyperlink xmlns:r="http://schemas.openxmlformats.org/officeDocument/2006/relationships" ref="F493" r:id="rId471"/>
    <hyperlink xmlns:r="http://schemas.openxmlformats.org/officeDocument/2006/relationships" ref="F494" r:id="rId472"/>
    <hyperlink xmlns:r="http://schemas.openxmlformats.org/officeDocument/2006/relationships" ref="F495" r:id="rId473"/>
    <hyperlink xmlns:r="http://schemas.openxmlformats.org/officeDocument/2006/relationships" ref="F496" r:id="rId474"/>
    <hyperlink xmlns:r="http://schemas.openxmlformats.org/officeDocument/2006/relationships" ref="F497" r:id="rId475"/>
    <hyperlink xmlns:r="http://schemas.openxmlformats.org/officeDocument/2006/relationships" ref="F498" r:id="rId476"/>
    <hyperlink xmlns:r="http://schemas.openxmlformats.org/officeDocument/2006/relationships" ref="F499" r:id="rId477"/>
    <hyperlink xmlns:r="http://schemas.openxmlformats.org/officeDocument/2006/relationships" ref="F500" r:id="rId478"/>
    <hyperlink xmlns:r="http://schemas.openxmlformats.org/officeDocument/2006/relationships" ref="F501" r:id="rId479"/>
    <hyperlink xmlns:r="http://schemas.openxmlformats.org/officeDocument/2006/relationships" ref="F502" r:id="rId480"/>
    <hyperlink xmlns:r="http://schemas.openxmlformats.org/officeDocument/2006/relationships" ref="F503" r:id="rId481"/>
    <hyperlink xmlns:r="http://schemas.openxmlformats.org/officeDocument/2006/relationships" ref="F504" r:id="rId482"/>
    <hyperlink xmlns:r="http://schemas.openxmlformats.org/officeDocument/2006/relationships" ref="F505" r:id="rId483"/>
    <hyperlink xmlns:r="http://schemas.openxmlformats.org/officeDocument/2006/relationships" ref="F506" r:id="rId484"/>
    <hyperlink xmlns:r="http://schemas.openxmlformats.org/officeDocument/2006/relationships" ref="F507" r:id="rId485"/>
    <hyperlink xmlns:r="http://schemas.openxmlformats.org/officeDocument/2006/relationships" ref="F508" r:id="rId486"/>
    <hyperlink xmlns:r="http://schemas.openxmlformats.org/officeDocument/2006/relationships" ref="F509" r:id="rId487"/>
    <hyperlink xmlns:r="http://schemas.openxmlformats.org/officeDocument/2006/relationships" ref="F510" r:id="rId488"/>
    <hyperlink xmlns:r="http://schemas.openxmlformats.org/officeDocument/2006/relationships" ref="F511" r:id="rId489"/>
    <hyperlink xmlns:r="http://schemas.openxmlformats.org/officeDocument/2006/relationships" ref="F512" r:id="rId490"/>
    <hyperlink xmlns:r="http://schemas.openxmlformats.org/officeDocument/2006/relationships" ref="F513" r:id="rId491"/>
    <hyperlink xmlns:r="http://schemas.openxmlformats.org/officeDocument/2006/relationships" ref="F514" r:id="rId492"/>
    <hyperlink xmlns:r="http://schemas.openxmlformats.org/officeDocument/2006/relationships" ref="F515" r:id="rId493"/>
    <hyperlink xmlns:r="http://schemas.openxmlformats.org/officeDocument/2006/relationships" ref="F516" r:id="rId494"/>
    <hyperlink xmlns:r="http://schemas.openxmlformats.org/officeDocument/2006/relationships" ref="F517" r:id="rId495"/>
    <hyperlink xmlns:r="http://schemas.openxmlformats.org/officeDocument/2006/relationships" ref="F518" r:id="rId496"/>
    <hyperlink xmlns:r="http://schemas.openxmlformats.org/officeDocument/2006/relationships" ref="F519" r:id="rId497"/>
    <hyperlink xmlns:r="http://schemas.openxmlformats.org/officeDocument/2006/relationships" ref="F520" r:id="rId498"/>
    <hyperlink xmlns:r="http://schemas.openxmlformats.org/officeDocument/2006/relationships" ref="F521" r:id="rId499"/>
    <hyperlink xmlns:r="http://schemas.openxmlformats.org/officeDocument/2006/relationships" ref="F522" r:id="rId500"/>
    <hyperlink xmlns:r="http://schemas.openxmlformats.org/officeDocument/2006/relationships" ref="F523" r:id="rId501"/>
    <hyperlink xmlns:r="http://schemas.openxmlformats.org/officeDocument/2006/relationships" ref="F524" r:id="rId502"/>
    <hyperlink xmlns:r="http://schemas.openxmlformats.org/officeDocument/2006/relationships" ref="F525" r:id="rId503"/>
    <hyperlink xmlns:r="http://schemas.openxmlformats.org/officeDocument/2006/relationships" ref="F526" r:id="rId504"/>
    <hyperlink xmlns:r="http://schemas.openxmlformats.org/officeDocument/2006/relationships" ref="F527" r:id="rId505"/>
    <hyperlink xmlns:r="http://schemas.openxmlformats.org/officeDocument/2006/relationships" ref="F528" r:id="rId506"/>
    <hyperlink xmlns:r="http://schemas.openxmlformats.org/officeDocument/2006/relationships" ref="F529" r:id="rId507"/>
    <hyperlink xmlns:r="http://schemas.openxmlformats.org/officeDocument/2006/relationships" ref="F530" r:id="rId508"/>
    <hyperlink xmlns:r="http://schemas.openxmlformats.org/officeDocument/2006/relationships" ref="F531" r:id="rId509"/>
    <hyperlink xmlns:r="http://schemas.openxmlformats.org/officeDocument/2006/relationships" ref="F532" r:id="rId510"/>
    <hyperlink xmlns:r="http://schemas.openxmlformats.org/officeDocument/2006/relationships" ref="F533" r:id="rId511"/>
    <hyperlink xmlns:r="http://schemas.openxmlformats.org/officeDocument/2006/relationships" ref="F534" r:id="rId512"/>
    <hyperlink xmlns:r="http://schemas.openxmlformats.org/officeDocument/2006/relationships" ref="F535" r:id="rId513"/>
    <hyperlink xmlns:r="http://schemas.openxmlformats.org/officeDocument/2006/relationships" ref="F536" r:id="rId514"/>
    <hyperlink xmlns:r="http://schemas.openxmlformats.org/officeDocument/2006/relationships" ref="F537" r:id="rId515"/>
    <hyperlink xmlns:r="http://schemas.openxmlformats.org/officeDocument/2006/relationships" ref="F538" r:id="rId516"/>
    <hyperlink xmlns:r="http://schemas.openxmlformats.org/officeDocument/2006/relationships" ref="F539" r:id="rId517"/>
    <hyperlink xmlns:r="http://schemas.openxmlformats.org/officeDocument/2006/relationships" ref="F540" r:id="rId518"/>
    <hyperlink xmlns:r="http://schemas.openxmlformats.org/officeDocument/2006/relationships" ref="F541" r:id="rId519"/>
    <hyperlink xmlns:r="http://schemas.openxmlformats.org/officeDocument/2006/relationships" ref="F542" r:id="rId520"/>
    <hyperlink xmlns:r="http://schemas.openxmlformats.org/officeDocument/2006/relationships" ref="F543" r:id="rId521"/>
    <hyperlink xmlns:r="http://schemas.openxmlformats.org/officeDocument/2006/relationships" ref="F544" r:id="rId522"/>
    <hyperlink xmlns:r="http://schemas.openxmlformats.org/officeDocument/2006/relationships" ref="F545" r:id="rId523"/>
    <hyperlink xmlns:r="http://schemas.openxmlformats.org/officeDocument/2006/relationships" ref="F546" r:id="rId524"/>
    <hyperlink xmlns:r="http://schemas.openxmlformats.org/officeDocument/2006/relationships" ref="F547" r:id="rId525"/>
    <hyperlink xmlns:r="http://schemas.openxmlformats.org/officeDocument/2006/relationships" ref="F548" r:id="rId526"/>
    <hyperlink xmlns:r="http://schemas.openxmlformats.org/officeDocument/2006/relationships" ref="F549" r:id="rId527"/>
    <hyperlink xmlns:r="http://schemas.openxmlformats.org/officeDocument/2006/relationships" ref="F550" r:id="rId528"/>
    <hyperlink xmlns:r="http://schemas.openxmlformats.org/officeDocument/2006/relationships" ref="F551" r:id="rId529"/>
    <hyperlink xmlns:r="http://schemas.openxmlformats.org/officeDocument/2006/relationships" ref="F552" r:id="rId530"/>
    <hyperlink xmlns:r="http://schemas.openxmlformats.org/officeDocument/2006/relationships" ref="F553" r:id="rId531"/>
    <hyperlink xmlns:r="http://schemas.openxmlformats.org/officeDocument/2006/relationships" ref="F554" r:id="rId532"/>
    <hyperlink xmlns:r="http://schemas.openxmlformats.org/officeDocument/2006/relationships" ref="F555" r:id="rId533"/>
    <hyperlink xmlns:r="http://schemas.openxmlformats.org/officeDocument/2006/relationships" ref="F556" r:id="rId534"/>
    <hyperlink xmlns:r="http://schemas.openxmlformats.org/officeDocument/2006/relationships" ref="F557" r:id="rId535"/>
    <hyperlink xmlns:r="http://schemas.openxmlformats.org/officeDocument/2006/relationships" ref="F558" r:id="rId536"/>
    <hyperlink xmlns:r="http://schemas.openxmlformats.org/officeDocument/2006/relationships" ref="F559" r:id="rId537"/>
    <hyperlink xmlns:r="http://schemas.openxmlformats.org/officeDocument/2006/relationships" ref="F560" r:id="rId538"/>
    <hyperlink xmlns:r="http://schemas.openxmlformats.org/officeDocument/2006/relationships" ref="F561" r:id="rId539"/>
    <hyperlink xmlns:r="http://schemas.openxmlformats.org/officeDocument/2006/relationships" ref="F562" r:id="rId540"/>
    <hyperlink xmlns:r="http://schemas.openxmlformats.org/officeDocument/2006/relationships" ref="F563" r:id="rId541"/>
    <hyperlink xmlns:r="http://schemas.openxmlformats.org/officeDocument/2006/relationships" ref="F564" r:id="rId542"/>
    <hyperlink xmlns:r="http://schemas.openxmlformats.org/officeDocument/2006/relationships" ref="F565" r:id="rId543"/>
    <hyperlink xmlns:r="http://schemas.openxmlformats.org/officeDocument/2006/relationships" ref="F566" r:id="rId544"/>
    <hyperlink xmlns:r="http://schemas.openxmlformats.org/officeDocument/2006/relationships" ref="F567" r:id="rId545"/>
    <hyperlink xmlns:r="http://schemas.openxmlformats.org/officeDocument/2006/relationships" ref="F568" r:id="rId546"/>
    <hyperlink xmlns:r="http://schemas.openxmlformats.org/officeDocument/2006/relationships" ref="F569" r:id="rId547"/>
    <hyperlink xmlns:r="http://schemas.openxmlformats.org/officeDocument/2006/relationships" ref="F570" r:id="rId548"/>
    <hyperlink xmlns:r="http://schemas.openxmlformats.org/officeDocument/2006/relationships" ref="F571" r:id="rId549"/>
    <hyperlink xmlns:r="http://schemas.openxmlformats.org/officeDocument/2006/relationships" ref="F572" r:id="rId550"/>
    <hyperlink xmlns:r="http://schemas.openxmlformats.org/officeDocument/2006/relationships" ref="F573" r:id="rId551"/>
    <hyperlink xmlns:r="http://schemas.openxmlformats.org/officeDocument/2006/relationships" ref="F574" r:id="rId552"/>
    <hyperlink xmlns:r="http://schemas.openxmlformats.org/officeDocument/2006/relationships" ref="F575" r:id="rId553"/>
    <hyperlink xmlns:r="http://schemas.openxmlformats.org/officeDocument/2006/relationships" ref="F576" r:id="rId554"/>
    <hyperlink xmlns:r="http://schemas.openxmlformats.org/officeDocument/2006/relationships" ref="F577" r:id="rId555"/>
    <hyperlink xmlns:r="http://schemas.openxmlformats.org/officeDocument/2006/relationships" ref="F578" r:id="rId556"/>
    <hyperlink xmlns:r="http://schemas.openxmlformats.org/officeDocument/2006/relationships" ref="F579" r:id="rId557"/>
    <hyperlink xmlns:r="http://schemas.openxmlformats.org/officeDocument/2006/relationships" ref="F580" r:id="rId558"/>
    <hyperlink xmlns:r="http://schemas.openxmlformats.org/officeDocument/2006/relationships" ref="F581" r:id="rId559"/>
    <hyperlink xmlns:r="http://schemas.openxmlformats.org/officeDocument/2006/relationships" ref="F582" r:id="rId560"/>
    <hyperlink xmlns:r="http://schemas.openxmlformats.org/officeDocument/2006/relationships" ref="F583" r:id="rId561"/>
    <hyperlink xmlns:r="http://schemas.openxmlformats.org/officeDocument/2006/relationships" ref="F584" r:id="rId562"/>
    <hyperlink xmlns:r="http://schemas.openxmlformats.org/officeDocument/2006/relationships" ref="F585" r:id="rId563"/>
    <hyperlink xmlns:r="http://schemas.openxmlformats.org/officeDocument/2006/relationships" ref="F586" r:id="rId564"/>
    <hyperlink xmlns:r="http://schemas.openxmlformats.org/officeDocument/2006/relationships" ref="F587" r:id="rId565"/>
    <hyperlink xmlns:r="http://schemas.openxmlformats.org/officeDocument/2006/relationships" ref="F588" r:id="rId566"/>
    <hyperlink xmlns:r="http://schemas.openxmlformats.org/officeDocument/2006/relationships" ref="F589" r:id="rId567"/>
    <hyperlink xmlns:r="http://schemas.openxmlformats.org/officeDocument/2006/relationships" ref="F590" r:id="rId568"/>
    <hyperlink xmlns:r="http://schemas.openxmlformats.org/officeDocument/2006/relationships" ref="F591" r:id="rId569"/>
    <hyperlink xmlns:r="http://schemas.openxmlformats.org/officeDocument/2006/relationships" ref="F592" r:id="rId570"/>
    <hyperlink xmlns:r="http://schemas.openxmlformats.org/officeDocument/2006/relationships" ref="F593" r:id="rId571"/>
    <hyperlink xmlns:r="http://schemas.openxmlformats.org/officeDocument/2006/relationships" ref="F594" r:id="rId572"/>
    <hyperlink xmlns:r="http://schemas.openxmlformats.org/officeDocument/2006/relationships" ref="F595" r:id="rId573"/>
    <hyperlink xmlns:r="http://schemas.openxmlformats.org/officeDocument/2006/relationships" ref="F596" r:id="rId574"/>
    <hyperlink xmlns:r="http://schemas.openxmlformats.org/officeDocument/2006/relationships" ref="F597" r:id="rId575"/>
    <hyperlink xmlns:r="http://schemas.openxmlformats.org/officeDocument/2006/relationships" ref="F598" r:id="rId576"/>
    <hyperlink xmlns:r="http://schemas.openxmlformats.org/officeDocument/2006/relationships" ref="F599" r:id="rId577"/>
    <hyperlink xmlns:r="http://schemas.openxmlformats.org/officeDocument/2006/relationships" ref="F600" r:id="rId578"/>
    <hyperlink xmlns:r="http://schemas.openxmlformats.org/officeDocument/2006/relationships" ref="F601" r:id="rId579"/>
    <hyperlink xmlns:r="http://schemas.openxmlformats.org/officeDocument/2006/relationships" ref="F602" r:id="rId580"/>
    <hyperlink xmlns:r="http://schemas.openxmlformats.org/officeDocument/2006/relationships" ref="F603" r:id="rId581"/>
    <hyperlink xmlns:r="http://schemas.openxmlformats.org/officeDocument/2006/relationships" ref="F604" r:id="rId582"/>
    <hyperlink xmlns:r="http://schemas.openxmlformats.org/officeDocument/2006/relationships" ref="F605" r:id="rId583"/>
    <hyperlink xmlns:r="http://schemas.openxmlformats.org/officeDocument/2006/relationships" ref="F606" r:id="rId584"/>
    <hyperlink xmlns:r="http://schemas.openxmlformats.org/officeDocument/2006/relationships" ref="F607" r:id="rId585"/>
    <hyperlink xmlns:r="http://schemas.openxmlformats.org/officeDocument/2006/relationships" ref="F608" r:id="rId586"/>
    <hyperlink xmlns:r="http://schemas.openxmlformats.org/officeDocument/2006/relationships" ref="F609" r:id="rId587"/>
    <hyperlink xmlns:r="http://schemas.openxmlformats.org/officeDocument/2006/relationships" ref="F610" r:id="rId588"/>
    <hyperlink xmlns:r="http://schemas.openxmlformats.org/officeDocument/2006/relationships" ref="F611" r:id="rId589"/>
    <hyperlink xmlns:r="http://schemas.openxmlformats.org/officeDocument/2006/relationships" ref="F612" r:id="rId590"/>
    <hyperlink xmlns:r="http://schemas.openxmlformats.org/officeDocument/2006/relationships" ref="F613" r:id="rId591"/>
    <hyperlink xmlns:r="http://schemas.openxmlformats.org/officeDocument/2006/relationships" ref="F614" r:id="rId592"/>
    <hyperlink xmlns:r="http://schemas.openxmlformats.org/officeDocument/2006/relationships" ref="F615" r:id="rId593"/>
    <hyperlink xmlns:r="http://schemas.openxmlformats.org/officeDocument/2006/relationships" ref="F616" r:id="rId594"/>
    <hyperlink xmlns:r="http://schemas.openxmlformats.org/officeDocument/2006/relationships" ref="F617" r:id="rId595"/>
    <hyperlink xmlns:r="http://schemas.openxmlformats.org/officeDocument/2006/relationships" ref="F618" r:id="rId596"/>
    <hyperlink xmlns:r="http://schemas.openxmlformats.org/officeDocument/2006/relationships" ref="F619" r:id="rId597"/>
    <hyperlink xmlns:r="http://schemas.openxmlformats.org/officeDocument/2006/relationships" ref="F620" r:id="rId598"/>
    <hyperlink xmlns:r="http://schemas.openxmlformats.org/officeDocument/2006/relationships" ref="F621" r:id="rId599"/>
    <hyperlink xmlns:r="http://schemas.openxmlformats.org/officeDocument/2006/relationships" ref="F622" r:id="rId600"/>
    <hyperlink xmlns:r="http://schemas.openxmlformats.org/officeDocument/2006/relationships" ref="F623" r:id="rId601"/>
    <hyperlink xmlns:r="http://schemas.openxmlformats.org/officeDocument/2006/relationships" ref="F624" r:id="rId602"/>
    <hyperlink xmlns:r="http://schemas.openxmlformats.org/officeDocument/2006/relationships" ref="F625" r:id="rId603"/>
    <hyperlink xmlns:r="http://schemas.openxmlformats.org/officeDocument/2006/relationships" ref="F626" r:id="rId604"/>
    <hyperlink xmlns:r="http://schemas.openxmlformats.org/officeDocument/2006/relationships" ref="F627" r:id="rId605"/>
    <hyperlink xmlns:r="http://schemas.openxmlformats.org/officeDocument/2006/relationships" ref="F628" r:id="rId606"/>
    <hyperlink xmlns:r="http://schemas.openxmlformats.org/officeDocument/2006/relationships" ref="F629" r:id="rId607"/>
    <hyperlink xmlns:r="http://schemas.openxmlformats.org/officeDocument/2006/relationships" ref="F630" r:id="rId608"/>
    <hyperlink xmlns:r="http://schemas.openxmlformats.org/officeDocument/2006/relationships" ref="F631" r:id="rId609"/>
    <hyperlink xmlns:r="http://schemas.openxmlformats.org/officeDocument/2006/relationships" ref="F632" r:id="rId610"/>
    <hyperlink xmlns:r="http://schemas.openxmlformats.org/officeDocument/2006/relationships" ref="F633" r:id="rId611"/>
    <hyperlink xmlns:r="http://schemas.openxmlformats.org/officeDocument/2006/relationships" ref="F634" r:id="rId612"/>
    <hyperlink xmlns:r="http://schemas.openxmlformats.org/officeDocument/2006/relationships" ref="F635" r:id="rId613"/>
    <hyperlink xmlns:r="http://schemas.openxmlformats.org/officeDocument/2006/relationships" ref="F636" r:id="rId614"/>
    <hyperlink xmlns:r="http://schemas.openxmlformats.org/officeDocument/2006/relationships" ref="F637" r:id="rId615"/>
    <hyperlink xmlns:r="http://schemas.openxmlformats.org/officeDocument/2006/relationships" ref="F638" r:id="rId616"/>
    <hyperlink xmlns:r="http://schemas.openxmlformats.org/officeDocument/2006/relationships" ref="F639" r:id="rId617"/>
    <hyperlink xmlns:r="http://schemas.openxmlformats.org/officeDocument/2006/relationships" ref="F640" r:id="rId618"/>
    <hyperlink xmlns:r="http://schemas.openxmlformats.org/officeDocument/2006/relationships" ref="F641" r:id="rId619"/>
    <hyperlink xmlns:r="http://schemas.openxmlformats.org/officeDocument/2006/relationships" ref="F642" r:id="rId620"/>
    <hyperlink xmlns:r="http://schemas.openxmlformats.org/officeDocument/2006/relationships" ref="F643" r:id="rId621"/>
    <hyperlink xmlns:r="http://schemas.openxmlformats.org/officeDocument/2006/relationships" ref="F644" r:id="rId622"/>
    <hyperlink xmlns:r="http://schemas.openxmlformats.org/officeDocument/2006/relationships" ref="F645" r:id="rId623"/>
    <hyperlink xmlns:r="http://schemas.openxmlformats.org/officeDocument/2006/relationships" ref="F646" r:id="rId624"/>
    <hyperlink xmlns:r="http://schemas.openxmlformats.org/officeDocument/2006/relationships" ref="F647" r:id="rId625"/>
    <hyperlink xmlns:r="http://schemas.openxmlformats.org/officeDocument/2006/relationships" ref="F648" r:id="rId626"/>
    <hyperlink xmlns:r="http://schemas.openxmlformats.org/officeDocument/2006/relationships" ref="F649" r:id="rId627"/>
    <hyperlink xmlns:r="http://schemas.openxmlformats.org/officeDocument/2006/relationships" ref="F650" r:id="rId628"/>
    <hyperlink xmlns:r="http://schemas.openxmlformats.org/officeDocument/2006/relationships" ref="F651" r:id="rId629"/>
    <hyperlink xmlns:r="http://schemas.openxmlformats.org/officeDocument/2006/relationships" ref="F652" r:id="rId630"/>
    <hyperlink xmlns:r="http://schemas.openxmlformats.org/officeDocument/2006/relationships" ref="F653" r:id="rId631"/>
    <hyperlink xmlns:r="http://schemas.openxmlformats.org/officeDocument/2006/relationships" ref="F654" r:id="rId632"/>
    <hyperlink xmlns:r="http://schemas.openxmlformats.org/officeDocument/2006/relationships" ref="F655" r:id="rId633"/>
    <hyperlink xmlns:r="http://schemas.openxmlformats.org/officeDocument/2006/relationships" ref="F656" r:id="rId634"/>
    <hyperlink xmlns:r="http://schemas.openxmlformats.org/officeDocument/2006/relationships" ref="F657" r:id="rId635"/>
    <hyperlink xmlns:r="http://schemas.openxmlformats.org/officeDocument/2006/relationships" ref="F658" r:id="rId636"/>
    <hyperlink xmlns:r="http://schemas.openxmlformats.org/officeDocument/2006/relationships" ref="F659" r:id="rId637"/>
    <hyperlink xmlns:r="http://schemas.openxmlformats.org/officeDocument/2006/relationships" ref="F660" r:id="rId638"/>
    <hyperlink xmlns:r="http://schemas.openxmlformats.org/officeDocument/2006/relationships" ref="F661" r:id="rId639"/>
    <hyperlink xmlns:r="http://schemas.openxmlformats.org/officeDocument/2006/relationships" ref="F662" r:id="rId640"/>
    <hyperlink xmlns:r="http://schemas.openxmlformats.org/officeDocument/2006/relationships" ref="F663" r:id="rId641"/>
    <hyperlink xmlns:r="http://schemas.openxmlformats.org/officeDocument/2006/relationships" ref="F664" r:id="rId642"/>
    <hyperlink xmlns:r="http://schemas.openxmlformats.org/officeDocument/2006/relationships" ref="F665" r:id="rId643"/>
    <hyperlink xmlns:r="http://schemas.openxmlformats.org/officeDocument/2006/relationships" ref="F666" r:id="rId644"/>
    <hyperlink xmlns:r="http://schemas.openxmlformats.org/officeDocument/2006/relationships" ref="F667" r:id="rId645"/>
    <hyperlink xmlns:r="http://schemas.openxmlformats.org/officeDocument/2006/relationships" ref="F668" r:id="rId646"/>
    <hyperlink xmlns:r="http://schemas.openxmlformats.org/officeDocument/2006/relationships" ref="F669" r:id="rId647"/>
    <hyperlink xmlns:r="http://schemas.openxmlformats.org/officeDocument/2006/relationships" ref="F670" r:id="rId648"/>
    <hyperlink xmlns:r="http://schemas.openxmlformats.org/officeDocument/2006/relationships" ref="F671" r:id="rId649"/>
    <hyperlink xmlns:r="http://schemas.openxmlformats.org/officeDocument/2006/relationships" ref="F672" r:id="rId650"/>
    <hyperlink xmlns:r="http://schemas.openxmlformats.org/officeDocument/2006/relationships" ref="F673" r:id="rId651"/>
    <hyperlink xmlns:r="http://schemas.openxmlformats.org/officeDocument/2006/relationships" ref="F674" r:id="rId652"/>
    <hyperlink xmlns:r="http://schemas.openxmlformats.org/officeDocument/2006/relationships" ref="F675" r:id="rId653"/>
    <hyperlink xmlns:r="http://schemas.openxmlformats.org/officeDocument/2006/relationships" ref="F676" r:id="rId654"/>
    <hyperlink xmlns:r="http://schemas.openxmlformats.org/officeDocument/2006/relationships" ref="F677" r:id="rId655"/>
    <hyperlink xmlns:r="http://schemas.openxmlformats.org/officeDocument/2006/relationships" ref="F678" r:id="rId656"/>
    <hyperlink xmlns:r="http://schemas.openxmlformats.org/officeDocument/2006/relationships" ref="F679" r:id="rId657"/>
    <hyperlink xmlns:r="http://schemas.openxmlformats.org/officeDocument/2006/relationships" ref="F680" r:id="rId658"/>
    <hyperlink xmlns:r="http://schemas.openxmlformats.org/officeDocument/2006/relationships" ref="F681" r:id="rId659"/>
    <hyperlink xmlns:r="http://schemas.openxmlformats.org/officeDocument/2006/relationships" ref="F682" r:id="rId660"/>
    <hyperlink xmlns:r="http://schemas.openxmlformats.org/officeDocument/2006/relationships" ref="F683" r:id="rId661"/>
    <hyperlink xmlns:r="http://schemas.openxmlformats.org/officeDocument/2006/relationships" ref="F684" r:id="rId662"/>
    <hyperlink xmlns:r="http://schemas.openxmlformats.org/officeDocument/2006/relationships" ref="F685" r:id="rId663"/>
    <hyperlink xmlns:r="http://schemas.openxmlformats.org/officeDocument/2006/relationships" ref="F686" r:id="rId664"/>
    <hyperlink xmlns:r="http://schemas.openxmlformats.org/officeDocument/2006/relationships" ref="F687" r:id="rId665"/>
    <hyperlink xmlns:r="http://schemas.openxmlformats.org/officeDocument/2006/relationships" ref="F688" r:id="rId666"/>
    <hyperlink xmlns:r="http://schemas.openxmlformats.org/officeDocument/2006/relationships" ref="F689" r:id="rId667"/>
    <hyperlink xmlns:r="http://schemas.openxmlformats.org/officeDocument/2006/relationships" ref="F690" r:id="rId668"/>
    <hyperlink xmlns:r="http://schemas.openxmlformats.org/officeDocument/2006/relationships" ref="F691" r:id="rId669"/>
    <hyperlink xmlns:r="http://schemas.openxmlformats.org/officeDocument/2006/relationships" ref="F692" r:id="rId670"/>
    <hyperlink xmlns:r="http://schemas.openxmlformats.org/officeDocument/2006/relationships" ref="F693" r:id="rId671"/>
    <hyperlink xmlns:r="http://schemas.openxmlformats.org/officeDocument/2006/relationships" ref="F694" r:id="rId672"/>
    <hyperlink xmlns:r="http://schemas.openxmlformats.org/officeDocument/2006/relationships" ref="F695" r:id="rId673"/>
    <hyperlink xmlns:r="http://schemas.openxmlformats.org/officeDocument/2006/relationships" ref="F696" r:id="rId674"/>
    <hyperlink xmlns:r="http://schemas.openxmlformats.org/officeDocument/2006/relationships" ref="F697" r:id="rId675"/>
    <hyperlink xmlns:r="http://schemas.openxmlformats.org/officeDocument/2006/relationships" ref="F698" r:id="rId676"/>
    <hyperlink xmlns:r="http://schemas.openxmlformats.org/officeDocument/2006/relationships" ref="F699" r:id="rId677"/>
    <hyperlink xmlns:r="http://schemas.openxmlformats.org/officeDocument/2006/relationships" ref="F700" r:id="rId678"/>
    <hyperlink xmlns:r="http://schemas.openxmlformats.org/officeDocument/2006/relationships" ref="F701" r:id="rId679"/>
    <hyperlink xmlns:r="http://schemas.openxmlformats.org/officeDocument/2006/relationships" ref="F702" r:id="rId680"/>
    <hyperlink xmlns:r="http://schemas.openxmlformats.org/officeDocument/2006/relationships" ref="F703" r:id="rId681"/>
    <hyperlink xmlns:r="http://schemas.openxmlformats.org/officeDocument/2006/relationships" ref="F704" r:id="rId682"/>
    <hyperlink xmlns:r="http://schemas.openxmlformats.org/officeDocument/2006/relationships" ref="F705" r:id="rId683"/>
    <hyperlink xmlns:r="http://schemas.openxmlformats.org/officeDocument/2006/relationships" ref="F706" r:id="rId684"/>
    <hyperlink xmlns:r="http://schemas.openxmlformats.org/officeDocument/2006/relationships" ref="F707" r:id="rId685"/>
    <hyperlink xmlns:r="http://schemas.openxmlformats.org/officeDocument/2006/relationships" ref="F708" r:id="rId686"/>
    <hyperlink xmlns:r="http://schemas.openxmlformats.org/officeDocument/2006/relationships" ref="F709" r:id="rId687"/>
    <hyperlink xmlns:r="http://schemas.openxmlformats.org/officeDocument/2006/relationships" ref="F710" r:id="rId688"/>
    <hyperlink xmlns:r="http://schemas.openxmlformats.org/officeDocument/2006/relationships" ref="F711" r:id="rId689"/>
    <hyperlink xmlns:r="http://schemas.openxmlformats.org/officeDocument/2006/relationships" ref="F712" r:id="rId690"/>
    <hyperlink xmlns:r="http://schemas.openxmlformats.org/officeDocument/2006/relationships" ref="F713" r:id="rId691"/>
    <hyperlink xmlns:r="http://schemas.openxmlformats.org/officeDocument/2006/relationships" ref="F714" r:id="rId692"/>
    <hyperlink xmlns:r="http://schemas.openxmlformats.org/officeDocument/2006/relationships" ref="F715" r:id="rId693"/>
    <hyperlink xmlns:r="http://schemas.openxmlformats.org/officeDocument/2006/relationships" ref="F716" r:id="rId694"/>
    <hyperlink xmlns:r="http://schemas.openxmlformats.org/officeDocument/2006/relationships" ref="F717" r:id="rId695"/>
    <hyperlink xmlns:r="http://schemas.openxmlformats.org/officeDocument/2006/relationships" ref="F718" r:id="rId696"/>
    <hyperlink xmlns:r="http://schemas.openxmlformats.org/officeDocument/2006/relationships" ref="F719" r:id="rId697"/>
    <hyperlink xmlns:r="http://schemas.openxmlformats.org/officeDocument/2006/relationships" ref="F720" r:id="rId698"/>
    <hyperlink xmlns:r="http://schemas.openxmlformats.org/officeDocument/2006/relationships" ref="F721" r:id="rId699"/>
    <hyperlink xmlns:r="http://schemas.openxmlformats.org/officeDocument/2006/relationships" ref="F722" r:id="rId700"/>
    <hyperlink xmlns:r="http://schemas.openxmlformats.org/officeDocument/2006/relationships" ref="F723" r:id="rId701"/>
    <hyperlink xmlns:r="http://schemas.openxmlformats.org/officeDocument/2006/relationships" ref="F724" r:id="rId702"/>
    <hyperlink xmlns:r="http://schemas.openxmlformats.org/officeDocument/2006/relationships" ref="F725" r:id="rId703"/>
    <hyperlink xmlns:r="http://schemas.openxmlformats.org/officeDocument/2006/relationships" ref="F726" r:id="rId704"/>
    <hyperlink xmlns:r="http://schemas.openxmlformats.org/officeDocument/2006/relationships" ref="F727" r:id="rId705"/>
    <hyperlink xmlns:r="http://schemas.openxmlformats.org/officeDocument/2006/relationships" ref="F728" r:id="rId706"/>
    <hyperlink xmlns:r="http://schemas.openxmlformats.org/officeDocument/2006/relationships" ref="F729" r:id="rId707"/>
    <hyperlink xmlns:r="http://schemas.openxmlformats.org/officeDocument/2006/relationships" ref="F730" r:id="rId708"/>
    <hyperlink xmlns:r="http://schemas.openxmlformats.org/officeDocument/2006/relationships" ref="F731" r:id="rId709"/>
    <hyperlink xmlns:r="http://schemas.openxmlformats.org/officeDocument/2006/relationships" ref="F732" r:id="rId710"/>
    <hyperlink xmlns:r="http://schemas.openxmlformats.org/officeDocument/2006/relationships" ref="F733" r:id="rId711"/>
    <hyperlink xmlns:r="http://schemas.openxmlformats.org/officeDocument/2006/relationships" ref="F734" r:id="rId712"/>
    <hyperlink xmlns:r="http://schemas.openxmlformats.org/officeDocument/2006/relationships" ref="F735" r:id="rId713"/>
    <hyperlink xmlns:r="http://schemas.openxmlformats.org/officeDocument/2006/relationships" ref="F736" r:id="rId714"/>
    <hyperlink xmlns:r="http://schemas.openxmlformats.org/officeDocument/2006/relationships" ref="F737" r:id="rId715"/>
    <hyperlink xmlns:r="http://schemas.openxmlformats.org/officeDocument/2006/relationships" ref="F738" r:id="rId716"/>
    <hyperlink xmlns:r="http://schemas.openxmlformats.org/officeDocument/2006/relationships" ref="F739" r:id="rId717"/>
    <hyperlink xmlns:r="http://schemas.openxmlformats.org/officeDocument/2006/relationships" ref="F740" r:id="rId718"/>
    <hyperlink xmlns:r="http://schemas.openxmlformats.org/officeDocument/2006/relationships" ref="F741" r:id="rId719"/>
    <hyperlink xmlns:r="http://schemas.openxmlformats.org/officeDocument/2006/relationships" ref="F742" r:id="rId720"/>
    <hyperlink xmlns:r="http://schemas.openxmlformats.org/officeDocument/2006/relationships" ref="F743" r:id="rId721"/>
    <hyperlink xmlns:r="http://schemas.openxmlformats.org/officeDocument/2006/relationships" ref="F744" r:id="rId722"/>
    <hyperlink xmlns:r="http://schemas.openxmlformats.org/officeDocument/2006/relationships" ref="F745" r:id="rId723"/>
    <hyperlink xmlns:r="http://schemas.openxmlformats.org/officeDocument/2006/relationships" ref="F746" r:id="rId724"/>
    <hyperlink xmlns:r="http://schemas.openxmlformats.org/officeDocument/2006/relationships" ref="F747" r:id="rId725"/>
    <hyperlink xmlns:r="http://schemas.openxmlformats.org/officeDocument/2006/relationships" ref="F748" r:id="rId726"/>
    <hyperlink xmlns:r="http://schemas.openxmlformats.org/officeDocument/2006/relationships" ref="F749" r:id="rId727"/>
    <hyperlink xmlns:r="http://schemas.openxmlformats.org/officeDocument/2006/relationships" ref="F750" r:id="rId728"/>
    <hyperlink xmlns:r="http://schemas.openxmlformats.org/officeDocument/2006/relationships" ref="F751" r:id="rId729"/>
    <hyperlink xmlns:r="http://schemas.openxmlformats.org/officeDocument/2006/relationships" ref="F752" r:id="rId730"/>
    <hyperlink xmlns:r="http://schemas.openxmlformats.org/officeDocument/2006/relationships" ref="F753" r:id="rId731"/>
    <hyperlink xmlns:r="http://schemas.openxmlformats.org/officeDocument/2006/relationships" ref="F754" r:id="rId732"/>
    <hyperlink xmlns:r="http://schemas.openxmlformats.org/officeDocument/2006/relationships" ref="F755" r:id="rId733"/>
    <hyperlink xmlns:r="http://schemas.openxmlformats.org/officeDocument/2006/relationships" ref="F756" r:id="rId734"/>
    <hyperlink xmlns:r="http://schemas.openxmlformats.org/officeDocument/2006/relationships" ref="F757" r:id="rId735"/>
    <hyperlink xmlns:r="http://schemas.openxmlformats.org/officeDocument/2006/relationships" ref="F758" r:id="rId736"/>
    <hyperlink xmlns:r="http://schemas.openxmlformats.org/officeDocument/2006/relationships" ref="F759" r:id="rId737"/>
    <hyperlink xmlns:r="http://schemas.openxmlformats.org/officeDocument/2006/relationships" ref="F760" r:id="rId738"/>
    <hyperlink xmlns:r="http://schemas.openxmlformats.org/officeDocument/2006/relationships" ref="F761" r:id="rId739"/>
    <hyperlink xmlns:r="http://schemas.openxmlformats.org/officeDocument/2006/relationships" ref="F762" r:id="rId740"/>
    <hyperlink xmlns:r="http://schemas.openxmlformats.org/officeDocument/2006/relationships" ref="F763" r:id="rId741"/>
    <hyperlink xmlns:r="http://schemas.openxmlformats.org/officeDocument/2006/relationships" ref="F764" r:id="rId742"/>
    <hyperlink xmlns:r="http://schemas.openxmlformats.org/officeDocument/2006/relationships" ref="F765" r:id="rId743"/>
    <hyperlink xmlns:r="http://schemas.openxmlformats.org/officeDocument/2006/relationships" ref="F766" r:id="rId744"/>
    <hyperlink xmlns:r="http://schemas.openxmlformats.org/officeDocument/2006/relationships" ref="F767" r:id="rId745"/>
    <hyperlink xmlns:r="http://schemas.openxmlformats.org/officeDocument/2006/relationships" ref="F768" r:id="rId746"/>
    <hyperlink xmlns:r="http://schemas.openxmlformats.org/officeDocument/2006/relationships" ref="F769" r:id="rId747"/>
    <hyperlink xmlns:r="http://schemas.openxmlformats.org/officeDocument/2006/relationships" ref="F770" r:id="rId748"/>
    <hyperlink xmlns:r="http://schemas.openxmlformats.org/officeDocument/2006/relationships" ref="F771" r:id="rId749"/>
    <hyperlink xmlns:r="http://schemas.openxmlformats.org/officeDocument/2006/relationships" ref="F772" r:id="rId750"/>
    <hyperlink xmlns:r="http://schemas.openxmlformats.org/officeDocument/2006/relationships" ref="F773" r:id="rId751"/>
    <hyperlink xmlns:r="http://schemas.openxmlformats.org/officeDocument/2006/relationships" ref="F774" r:id="rId752"/>
    <hyperlink xmlns:r="http://schemas.openxmlformats.org/officeDocument/2006/relationships" ref="F775" r:id="rId753"/>
    <hyperlink xmlns:r="http://schemas.openxmlformats.org/officeDocument/2006/relationships" ref="F776" r:id="rId754"/>
    <hyperlink xmlns:r="http://schemas.openxmlformats.org/officeDocument/2006/relationships" ref="F777" r:id="rId755"/>
    <hyperlink xmlns:r="http://schemas.openxmlformats.org/officeDocument/2006/relationships" ref="F778" r:id="rId756"/>
    <hyperlink xmlns:r="http://schemas.openxmlformats.org/officeDocument/2006/relationships" ref="F779" r:id="rId757"/>
    <hyperlink xmlns:r="http://schemas.openxmlformats.org/officeDocument/2006/relationships" ref="F780" r:id="rId758"/>
    <hyperlink xmlns:r="http://schemas.openxmlformats.org/officeDocument/2006/relationships" ref="F781" r:id="rId759"/>
    <hyperlink xmlns:r="http://schemas.openxmlformats.org/officeDocument/2006/relationships" ref="F782" r:id="rId760"/>
    <hyperlink xmlns:r="http://schemas.openxmlformats.org/officeDocument/2006/relationships" ref="F783" r:id="rId761"/>
    <hyperlink xmlns:r="http://schemas.openxmlformats.org/officeDocument/2006/relationships" ref="F784" r:id="rId762"/>
    <hyperlink xmlns:r="http://schemas.openxmlformats.org/officeDocument/2006/relationships" ref="F785" r:id="rId763"/>
    <hyperlink xmlns:r="http://schemas.openxmlformats.org/officeDocument/2006/relationships" ref="F786" r:id="rId764"/>
    <hyperlink xmlns:r="http://schemas.openxmlformats.org/officeDocument/2006/relationships" ref="F787" r:id="rId765"/>
    <hyperlink xmlns:r="http://schemas.openxmlformats.org/officeDocument/2006/relationships" ref="F788" r:id="rId766"/>
    <hyperlink xmlns:r="http://schemas.openxmlformats.org/officeDocument/2006/relationships" ref="F789" r:id="rId767"/>
    <hyperlink xmlns:r="http://schemas.openxmlformats.org/officeDocument/2006/relationships" ref="F790" r:id="rId768"/>
    <hyperlink xmlns:r="http://schemas.openxmlformats.org/officeDocument/2006/relationships" ref="F791" r:id="rId769"/>
    <hyperlink xmlns:r="http://schemas.openxmlformats.org/officeDocument/2006/relationships" ref="F792" r:id="rId770"/>
    <hyperlink xmlns:r="http://schemas.openxmlformats.org/officeDocument/2006/relationships" ref="F793" r:id="rId771"/>
    <hyperlink xmlns:r="http://schemas.openxmlformats.org/officeDocument/2006/relationships" ref="F794" r:id="rId772"/>
    <hyperlink xmlns:r="http://schemas.openxmlformats.org/officeDocument/2006/relationships" ref="F795" r:id="rId773"/>
    <hyperlink xmlns:r="http://schemas.openxmlformats.org/officeDocument/2006/relationships" ref="F796" r:id="rId774"/>
    <hyperlink xmlns:r="http://schemas.openxmlformats.org/officeDocument/2006/relationships" ref="F797" r:id="rId775"/>
    <hyperlink xmlns:r="http://schemas.openxmlformats.org/officeDocument/2006/relationships" ref="F798" r:id="rId776"/>
    <hyperlink xmlns:r="http://schemas.openxmlformats.org/officeDocument/2006/relationships" ref="F799" r:id="rId777"/>
    <hyperlink xmlns:r="http://schemas.openxmlformats.org/officeDocument/2006/relationships" ref="F800" r:id="rId778"/>
    <hyperlink xmlns:r="http://schemas.openxmlformats.org/officeDocument/2006/relationships" ref="F801" r:id="rId779"/>
    <hyperlink xmlns:r="http://schemas.openxmlformats.org/officeDocument/2006/relationships" ref="F802" r:id="rId780"/>
    <hyperlink xmlns:r="http://schemas.openxmlformats.org/officeDocument/2006/relationships" ref="F803" r:id="rId781"/>
    <hyperlink xmlns:r="http://schemas.openxmlformats.org/officeDocument/2006/relationships" ref="F804" r:id="rId782"/>
    <hyperlink xmlns:r="http://schemas.openxmlformats.org/officeDocument/2006/relationships" ref="F805" r:id="rId783"/>
    <hyperlink xmlns:r="http://schemas.openxmlformats.org/officeDocument/2006/relationships" ref="F806" r:id="rId784"/>
    <hyperlink xmlns:r="http://schemas.openxmlformats.org/officeDocument/2006/relationships" ref="F807" r:id="rId785"/>
    <hyperlink xmlns:r="http://schemas.openxmlformats.org/officeDocument/2006/relationships" ref="F808" r:id="rId786"/>
    <hyperlink xmlns:r="http://schemas.openxmlformats.org/officeDocument/2006/relationships" ref="F809" r:id="rId787"/>
    <hyperlink xmlns:r="http://schemas.openxmlformats.org/officeDocument/2006/relationships" ref="F810" r:id="rId788"/>
    <hyperlink xmlns:r="http://schemas.openxmlformats.org/officeDocument/2006/relationships" ref="F811" r:id="rId789"/>
    <hyperlink xmlns:r="http://schemas.openxmlformats.org/officeDocument/2006/relationships" ref="F812" r:id="rId790"/>
    <hyperlink xmlns:r="http://schemas.openxmlformats.org/officeDocument/2006/relationships" ref="F813" r:id="rId791"/>
    <hyperlink xmlns:r="http://schemas.openxmlformats.org/officeDocument/2006/relationships" ref="F814" r:id="rId792"/>
    <hyperlink xmlns:r="http://schemas.openxmlformats.org/officeDocument/2006/relationships" ref="F815" r:id="rId793"/>
    <hyperlink xmlns:r="http://schemas.openxmlformats.org/officeDocument/2006/relationships" ref="F816" r:id="rId794"/>
    <hyperlink xmlns:r="http://schemas.openxmlformats.org/officeDocument/2006/relationships" ref="F817" r:id="rId795"/>
    <hyperlink xmlns:r="http://schemas.openxmlformats.org/officeDocument/2006/relationships" ref="F818" r:id="rId796"/>
    <hyperlink xmlns:r="http://schemas.openxmlformats.org/officeDocument/2006/relationships" ref="F819" r:id="rId797"/>
    <hyperlink xmlns:r="http://schemas.openxmlformats.org/officeDocument/2006/relationships" ref="F820" r:id="rId798"/>
    <hyperlink xmlns:r="http://schemas.openxmlformats.org/officeDocument/2006/relationships" ref="F821" r:id="rId799"/>
    <hyperlink xmlns:r="http://schemas.openxmlformats.org/officeDocument/2006/relationships" ref="F822" r:id="rId800"/>
    <hyperlink xmlns:r="http://schemas.openxmlformats.org/officeDocument/2006/relationships" ref="F823" r:id="rId801"/>
    <hyperlink xmlns:r="http://schemas.openxmlformats.org/officeDocument/2006/relationships" ref="F824" r:id="rId802"/>
    <hyperlink xmlns:r="http://schemas.openxmlformats.org/officeDocument/2006/relationships" ref="F825" r:id="rId803"/>
    <hyperlink xmlns:r="http://schemas.openxmlformats.org/officeDocument/2006/relationships" ref="F826" r:id="rId804"/>
    <hyperlink xmlns:r="http://schemas.openxmlformats.org/officeDocument/2006/relationships" ref="F827" r:id="rId805"/>
    <hyperlink xmlns:r="http://schemas.openxmlformats.org/officeDocument/2006/relationships" ref="F828" r:id="rId806"/>
    <hyperlink xmlns:r="http://schemas.openxmlformats.org/officeDocument/2006/relationships" ref="F829" r:id="rId807"/>
    <hyperlink xmlns:r="http://schemas.openxmlformats.org/officeDocument/2006/relationships" ref="F830" r:id="rId808"/>
    <hyperlink xmlns:r="http://schemas.openxmlformats.org/officeDocument/2006/relationships" ref="F831" r:id="rId809"/>
    <hyperlink xmlns:r="http://schemas.openxmlformats.org/officeDocument/2006/relationships" ref="F832" r:id="rId810"/>
    <hyperlink xmlns:r="http://schemas.openxmlformats.org/officeDocument/2006/relationships" ref="F833" r:id="rId811"/>
    <hyperlink xmlns:r="http://schemas.openxmlformats.org/officeDocument/2006/relationships" ref="F834" r:id="rId812"/>
    <hyperlink xmlns:r="http://schemas.openxmlformats.org/officeDocument/2006/relationships" ref="F835" r:id="rId813"/>
    <hyperlink xmlns:r="http://schemas.openxmlformats.org/officeDocument/2006/relationships" ref="F836" r:id="rId814"/>
    <hyperlink xmlns:r="http://schemas.openxmlformats.org/officeDocument/2006/relationships" ref="F837" r:id="rId815"/>
    <hyperlink xmlns:r="http://schemas.openxmlformats.org/officeDocument/2006/relationships" ref="F838" r:id="rId816"/>
    <hyperlink xmlns:r="http://schemas.openxmlformats.org/officeDocument/2006/relationships" ref="F839" r:id="rId817"/>
    <hyperlink xmlns:r="http://schemas.openxmlformats.org/officeDocument/2006/relationships" ref="F840" r:id="rId818"/>
    <hyperlink xmlns:r="http://schemas.openxmlformats.org/officeDocument/2006/relationships" ref="F841" r:id="rId819"/>
    <hyperlink xmlns:r="http://schemas.openxmlformats.org/officeDocument/2006/relationships" ref="F842" r:id="rId820"/>
    <hyperlink xmlns:r="http://schemas.openxmlformats.org/officeDocument/2006/relationships" ref="F843" r:id="rId821"/>
    <hyperlink xmlns:r="http://schemas.openxmlformats.org/officeDocument/2006/relationships" ref="F844" r:id="rId822"/>
    <hyperlink xmlns:r="http://schemas.openxmlformats.org/officeDocument/2006/relationships" ref="F845" r:id="rId823"/>
    <hyperlink xmlns:r="http://schemas.openxmlformats.org/officeDocument/2006/relationships" ref="F846" r:id="rId824"/>
    <hyperlink xmlns:r="http://schemas.openxmlformats.org/officeDocument/2006/relationships" ref="F847" r:id="rId825"/>
    <hyperlink xmlns:r="http://schemas.openxmlformats.org/officeDocument/2006/relationships" ref="F848" r:id="rId826"/>
    <hyperlink xmlns:r="http://schemas.openxmlformats.org/officeDocument/2006/relationships" ref="F849" r:id="rId827"/>
    <hyperlink xmlns:r="http://schemas.openxmlformats.org/officeDocument/2006/relationships" ref="F850" r:id="rId828"/>
    <hyperlink xmlns:r="http://schemas.openxmlformats.org/officeDocument/2006/relationships" ref="F851" r:id="rId829"/>
    <hyperlink xmlns:r="http://schemas.openxmlformats.org/officeDocument/2006/relationships" ref="F852" r:id="rId830"/>
    <hyperlink xmlns:r="http://schemas.openxmlformats.org/officeDocument/2006/relationships" ref="F853" r:id="rId831"/>
    <hyperlink xmlns:r="http://schemas.openxmlformats.org/officeDocument/2006/relationships" ref="F854" r:id="rId832"/>
    <hyperlink xmlns:r="http://schemas.openxmlformats.org/officeDocument/2006/relationships" ref="F855" r:id="rId833"/>
    <hyperlink xmlns:r="http://schemas.openxmlformats.org/officeDocument/2006/relationships" ref="F856" r:id="rId834"/>
    <hyperlink xmlns:r="http://schemas.openxmlformats.org/officeDocument/2006/relationships" ref="F857" r:id="rId835"/>
    <hyperlink xmlns:r="http://schemas.openxmlformats.org/officeDocument/2006/relationships" ref="F858" r:id="rId836"/>
    <hyperlink xmlns:r="http://schemas.openxmlformats.org/officeDocument/2006/relationships" ref="F859" r:id="rId837"/>
    <hyperlink xmlns:r="http://schemas.openxmlformats.org/officeDocument/2006/relationships" ref="F860" r:id="rId838"/>
    <hyperlink xmlns:r="http://schemas.openxmlformats.org/officeDocument/2006/relationships" ref="F861" r:id="rId839"/>
    <hyperlink xmlns:r="http://schemas.openxmlformats.org/officeDocument/2006/relationships" ref="F862" r:id="rId840"/>
    <hyperlink xmlns:r="http://schemas.openxmlformats.org/officeDocument/2006/relationships" ref="F863" r:id="rId841"/>
    <hyperlink xmlns:r="http://schemas.openxmlformats.org/officeDocument/2006/relationships" ref="F864" r:id="rId842"/>
    <hyperlink xmlns:r="http://schemas.openxmlformats.org/officeDocument/2006/relationships" ref="F865" r:id="rId843"/>
    <hyperlink xmlns:r="http://schemas.openxmlformats.org/officeDocument/2006/relationships" ref="F866" r:id="rId844"/>
    <hyperlink xmlns:r="http://schemas.openxmlformats.org/officeDocument/2006/relationships" ref="F867" r:id="rId845"/>
    <hyperlink xmlns:r="http://schemas.openxmlformats.org/officeDocument/2006/relationships" ref="F868" r:id="rId846"/>
    <hyperlink xmlns:r="http://schemas.openxmlformats.org/officeDocument/2006/relationships" ref="F869" r:id="rId847"/>
    <hyperlink xmlns:r="http://schemas.openxmlformats.org/officeDocument/2006/relationships" ref="F870" r:id="rId848"/>
    <hyperlink xmlns:r="http://schemas.openxmlformats.org/officeDocument/2006/relationships" ref="F871" r:id="rId849"/>
    <hyperlink xmlns:r="http://schemas.openxmlformats.org/officeDocument/2006/relationships" ref="F872" r:id="rId850"/>
    <hyperlink xmlns:r="http://schemas.openxmlformats.org/officeDocument/2006/relationships" ref="F873" r:id="rId851"/>
    <hyperlink xmlns:r="http://schemas.openxmlformats.org/officeDocument/2006/relationships" ref="F874" r:id="rId852"/>
    <hyperlink xmlns:r="http://schemas.openxmlformats.org/officeDocument/2006/relationships" ref="F875" r:id="rId853"/>
    <hyperlink xmlns:r="http://schemas.openxmlformats.org/officeDocument/2006/relationships" ref="F876" r:id="rId854"/>
    <hyperlink xmlns:r="http://schemas.openxmlformats.org/officeDocument/2006/relationships" ref="F877" r:id="rId855"/>
    <hyperlink xmlns:r="http://schemas.openxmlformats.org/officeDocument/2006/relationships" ref="F878" r:id="rId856"/>
    <hyperlink xmlns:r="http://schemas.openxmlformats.org/officeDocument/2006/relationships" ref="F879" r:id="rId857"/>
    <hyperlink xmlns:r="http://schemas.openxmlformats.org/officeDocument/2006/relationships" ref="F880" r:id="rId858"/>
    <hyperlink xmlns:r="http://schemas.openxmlformats.org/officeDocument/2006/relationships" ref="F881" r:id="rId859"/>
    <hyperlink xmlns:r="http://schemas.openxmlformats.org/officeDocument/2006/relationships" ref="F882" r:id="rId860"/>
    <hyperlink xmlns:r="http://schemas.openxmlformats.org/officeDocument/2006/relationships" ref="F883" r:id="rId861"/>
    <hyperlink xmlns:r="http://schemas.openxmlformats.org/officeDocument/2006/relationships" ref="F884" r:id="rId862"/>
    <hyperlink xmlns:r="http://schemas.openxmlformats.org/officeDocument/2006/relationships" ref="F885" r:id="rId863"/>
    <hyperlink xmlns:r="http://schemas.openxmlformats.org/officeDocument/2006/relationships" ref="F886" r:id="rId864"/>
    <hyperlink xmlns:r="http://schemas.openxmlformats.org/officeDocument/2006/relationships" ref="F887" r:id="rId865"/>
    <hyperlink xmlns:r="http://schemas.openxmlformats.org/officeDocument/2006/relationships" ref="F888" r:id="rId866"/>
    <hyperlink xmlns:r="http://schemas.openxmlformats.org/officeDocument/2006/relationships" ref="F889" r:id="rId867"/>
    <hyperlink xmlns:r="http://schemas.openxmlformats.org/officeDocument/2006/relationships" ref="F890" r:id="rId868"/>
    <hyperlink xmlns:r="http://schemas.openxmlformats.org/officeDocument/2006/relationships" ref="F891" r:id="rId869"/>
    <hyperlink xmlns:r="http://schemas.openxmlformats.org/officeDocument/2006/relationships" ref="F892" r:id="rId870"/>
    <hyperlink xmlns:r="http://schemas.openxmlformats.org/officeDocument/2006/relationships" ref="F893" r:id="rId871"/>
    <hyperlink xmlns:r="http://schemas.openxmlformats.org/officeDocument/2006/relationships" ref="F894" r:id="rId872"/>
    <hyperlink xmlns:r="http://schemas.openxmlformats.org/officeDocument/2006/relationships" ref="F895" r:id="rId873"/>
    <hyperlink xmlns:r="http://schemas.openxmlformats.org/officeDocument/2006/relationships" ref="F896" r:id="rId874"/>
    <hyperlink xmlns:r="http://schemas.openxmlformats.org/officeDocument/2006/relationships" ref="F897" r:id="rId875"/>
    <hyperlink xmlns:r="http://schemas.openxmlformats.org/officeDocument/2006/relationships" ref="F898" r:id="rId876"/>
    <hyperlink xmlns:r="http://schemas.openxmlformats.org/officeDocument/2006/relationships" ref="F899" r:id="rId877"/>
    <hyperlink xmlns:r="http://schemas.openxmlformats.org/officeDocument/2006/relationships" ref="F900" r:id="rId878"/>
    <hyperlink xmlns:r="http://schemas.openxmlformats.org/officeDocument/2006/relationships" ref="F901" r:id="rId879"/>
    <hyperlink xmlns:r="http://schemas.openxmlformats.org/officeDocument/2006/relationships" ref="F902" r:id="rId880"/>
    <hyperlink xmlns:r="http://schemas.openxmlformats.org/officeDocument/2006/relationships" ref="F903" r:id="rId881"/>
    <hyperlink xmlns:r="http://schemas.openxmlformats.org/officeDocument/2006/relationships" ref="F904" r:id="rId882"/>
    <hyperlink xmlns:r="http://schemas.openxmlformats.org/officeDocument/2006/relationships" ref="F905" r:id="rId883"/>
    <hyperlink xmlns:r="http://schemas.openxmlformats.org/officeDocument/2006/relationships" ref="F906" r:id="rId884"/>
    <hyperlink xmlns:r="http://schemas.openxmlformats.org/officeDocument/2006/relationships" ref="F907" r:id="rId885"/>
    <hyperlink xmlns:r="http://schemas.openxmlformats.org/officeDocument/2006/relationships" ref="F908" r:id="rId886"/>
    <hyperlink xmlns:r="http://schemas.openxmlformats.org/officeDocument/2006/relationships" ref="F909" r:id="rId887"/>
    <hyperlink xmlns:r="http://schemas.openxmlformats.org/officeDocument/2006/relationships" ref="F910" r:id="rId888"/>
    <hyperlink xmlns:r="http://schemas.openxmlformats.org/officeDocument/2006/relationships" ref="F911" r:id="rId889"/>
    <hyperlink xmlns:r="http://schemas.openxmlformats.org/officeDocument/2006/relationships" ref="F912" r:id="rId890"/>
    <hyperlink xmlns:r="http://schemas.openxmlformats.org/officeDocument/2006/relationships" ref="F913" r:id="rId891"/>
    <hyperlink xmlns:r="http://schemas.openxmlformats.org/officeDocument/2006/relationships" ref="F914" r:id="rId892"/>
    <hyperlink xmlns:r="http://schemas.openxmlformats.org/officeDocument/2006/relationships" ref="F915" r:id="rId893"/>
    <hyperlink xmlns:r="http://schemas.openxmlformats.org/officeDocument/2006/relationships" ref="F916" r:id="rId894"/>
    <hyperlink xmlns:r="http://schemas.openxmlformats.org/officeDocument/2006/relationships" ref="F917" r:id="rId895"/>
    <hyperlink xmlns:r="http://schemas.openxmlformats.org/officeDocument/2006/relationships" ref="F918" r:id="rId896"/>
    <hyperlink xmlns:r="http://schemas.openxmlformats.org/officeDocument/2006/relationships" ref="F919" r:id="rId897"/>
    <hyperlink xmlns:r="http://schemas.openxmlformats.org/officeDocument/2006/relationships" ref="F920" r:id="rId898"/>
    <hyperlink xmlns:r="http://schemas.openxmlformats.org/officeDocument/2006/relationships" ref="F921" r:id="rId899"/>
    <hyperlink xmlns:r="http://schemas.openxmlformats.org/officeDocument/2006/relationships" ref="F922" r:id="rId900"/>
    <hyperlink xmlns:r="http://schemas.openxmlformats.org/officeDocument/2006/relationships" ref="F923" r:id="rId901"/>
    <hyperlink xmlns:r="http://schemas.openxmlformats.org/officeDocument/2006/relationships" ref="F924" r:id="rId902"/>
    <hyperlink xmlns:r="http://schemas.openxmlformats.org/officeDocument/2006/relationships" ref="F925" r:id="rId903"/>
    <hyperlink xmlns:r="http://schemas.openxmlformats.org/officeDocument/2006/relationships" ref="F926" r:id="rId904"/>
    <hyperlink xmlns:r="http://schemas.openxmlformats.org/officeDocument/2006/relationships" ref="F927" r:id="rId905"/>
    <hyperlink xmlns:r="http://schemas.openxmlformats.org/officeDocument/2006/relationships" ref="F928" r:id="rId906"/>
    <hyperlink xmlns:r="http://schemas.openxmlformats.org/officeDocument/2006/relationships" ref="F929" r:id="rId907"/>
    <hyperlink xmlns:r="http://schemas.openxmlformats.org/officeDocument/2006/relationships" ref="F930" r:id="rId908"/>
    <hyperlink xmlns:r="http://schemas.openxmlformats.org/officeDocument/2006/relationships" ref="F931" r:id="rId909"/>
    <hyperlink xmlns:r="http://schemas.openxmlformats.org/officeDocument/2006/relationships" ref="F932" r:id="rId910"/>
    <hyperlink xmlns:r="http://schemas.openxmlformats.org/officeDocument/2006/relationships" ref="F933" r:id="rId911"/>
    <hyperlink xmlns:r="http://schemas.openxmlformats.org/officeDocument/2006/relationships" ref="F934" r:id="rId912"/>
    <hyperlink xmlns:r="http://schemas.openxmlformats.org/officeDocument/2006/relationships" ref="F935" r:id="rId913"/>
    <hyperlink xmlns:r="http://schemas.openxmlformats.org/officeDocument/2006/relationships" ref="F936" r:id="rId914"/>
    <hyperlink xmlns:r="http://schemas.openxmlformats.org/officeDocument/2006/relationships" ref="F937" r:id="rId915"/>
    <hyperlink xmlns:r="http://schemas.openxmlformats.org/officeDocument/2006/relationships" ref="F938" r:id="rId916"/>
    <hyperlink xmlns:r="http://schemas.openxmlformats.org/officeDocument/2006/relationships" ref="F939" r:id="rId917"/>
    <hyperlink xmlns:r="http://schemas.openxmlformats.org/officeDocument/2006/relationships" ref="F940" r:id="rId918"/>
    <hyperlink xmlns:r="http://schemas.openxmlformats.org/officeDocument/2006/relationships" ref="F941" r:id="rId919"/>
    <hyperlink xmlns:r="http://schemas.openxmlformats.org/officeDocument/2006/relationships" ref="F942" r:id="rId920"/>
    <hyperlink xmlns:r="http://schemas.openxmlformats.org/officeDocument/2006/relationships" ref="F943" r:id="rId921"/>
    <hyperlink xmlns:r="http://schemas.openxmlformats.org/officeDocument/2006/relationships" ref="F944" r:id="rId922"/>
    <hyperlink xmlns:r="http://schemas.openxmlformats.org/officeDocument/2006/relationships" ref="F945" r:id="rId923"/>
    <hyperlink xmlns:r="http://schemas.openxmlformats.org/officeDocument/2006/relationships" ref="F946" r:id="rId924"/>
    <hyperlink xmlns:r="http://schemas.openxmlformats.org/officeDocument/2006/relationships" ref="F947" r:id="rId925"/>
    <hyperlink xmlns:r="http://schemas.openxmlformats.org/officeDocument/2006/relationships" ref="F948" r:id="rId926"/>
    <hyperlink xmlns:r="http://schemas.openxmlformats.org/officeDocument/2006/relationships" ref="F949" r:id="rId927"/>
    <hyperlink xmlns:r="http://schemas.openxmlformats.org/officeDocument/2006/relationships" ref="F950" r:id="rId928"/>
    <hyperlink xmlns:r="http://schemas.openxmlformats.org/officeDocument/2006/relationships" ref="F951" r:id="rId929"/>
    <hyperlink xmlns:r="http://schemas.openxmlformats.org/officeDocument/2006/relationships" ref="F952" r:id="rId930"/>
    <hyperlink xmlns:r="http://schemas.openxmlformats.org/officeDocument/2006/relationships" ref="F953" r:id="rId931"/>
    <hyperlink xmlns:r="http://schemas.openxmlformats.org/officeDocument/2006/relationships" ref="F954" r:id="rId932"/>
    <hyperlink xmlns:r="http://schemas.openxmlformats.org/officeDocument/2006/relationships" ref="F955" r:id="rId933"/>
    <hyperlink xmlns:r="http://schemas.openxmlformats.org/officeDocument/2006/relationships" ref="F956" r:id="rId934"/>
    <hyperlink xmlns:r="http://schemas.openxmlformats.org/officeDocument/2006/relationships" ref="F957" r:id="rId935"/>
    <hyperlink xmlns:r="http://schemas.openxmlformats.org/officeDocument/2006/relationships" ref="F958" r:id="rId936"/>
    <hyperlink xmlns:r="http://schemas.openxmlformats.org/officeDocument/2006/relationships" ref="F959" r:id="rId937"/>
    <hyperlink xmlns:r="http://schemas.openxmlformats.org/officeDocument/2006/relationships" ref="F960" r:id="rId938"/>
    <hyperlink xmlns:r="http://schemas.openxmlformats.org/officeDocument/2006/relationships" ref="F961" r:id="rId939"/>
    <hyperlink xmlns:r="http://schemas.openxmlformats.org/officeDocument/2006/relationships" ref="F962" r:id="rId940"/>
    <hyperlink xmlns:r="http://schemas.openxmlformats.org/officeDocument/2006/relationships" ref="F963" r:id="rId941"/>
    <hyperlink xmlns:r="http://schemas.openxmlformats.org/officeDocument/2006/relationships" ref="F964" r:id="rId942"/>
    <hyperlink xmlns:r="http://schemas.openxmlformats.org/officeDocument/2006/relationships" ref="F965" r:id="rId943"/>
    <hyperlink xmlns:r="http://schemas.openxmlformats.org/officeDocument/2006/relationships" ref="F966" r:id="rId944"/>
    <hyperlink xmlns:r="http://schemas.openxmlformats.org/officeDocument/2006/relationships" ref="F967" r:id="rId945"/>
    <hyperlink xmlns:r="http://schemas.openxmlformats.org/officeDocument/2006/relationships" ref="F968" r:id="rId946"/>
    <hyperlink xmlns:r="http://schemas.openxmlformats.org/officeDocument/2006/relationships" ref="F969" r:id="rId947"/>
    <hyperlink xmlns:r="http://schemas.openxmlformats.org/officeDocument/2006/relationships" ref="F970" r:id="rId948"/>
    <hyperlink xmlns:r="http://schemas.openxmlformats.org/officeDocument/2006/relationships" ref="F971" r:id="rId949"/>
    <hyperlink xmlns:r="http://schemas.openxmlformats.org/officeDocument/2006/relationships" ref="F972" r:id="rId950"/>
    <hyperlink xmlns:r="http://schemas.openxmlformats.org/officeDocument/2006/relationships" ref="F973" r:id="rId951"/>
    <hyperlink xmlns:r="http://schemas.openxmlformats.org/officeDocument/2006/relationships" ref="F974" r:id="rId952"/>
    <hyperlink xmlns:r="http://schemas.openxmlformats.org/officeDocument/2006/relationships" ref="F975" r:id="rId953"/>
    <hyperlink xmlns:r="http://schemas.openxmlformats.org/officeDocument/2006/relationships" ref="F976" r:id="rId954"/>
    <hyperlink xmlns:r="http://schemas.openxmlformats.org/officeDocument/2006/relationships" ref="F977" r:id="rId955"/>
    <hyperlink xmlns:r="http://schemas.openxmlformats.org/officeDocument/2006/relationships" ref="F978" r:id="rId956"/>
    <hyperlink xmlns:r="http://schemas.openxmlformats.org/officeDocument/2006/relationships" ref="F979" r:id="rId957"/>
    <hyperlink xmlns:r="http://schemas.openxmlformats.org/officeDocument/2006/relationships" ref="F980" r:id="rId958"/>
    <hyperlink xmlns:r="http://schemas.openxmlformats.org/officeDocument/2006/relationships" ref="F981" r:id="rId959"/>
    <hyperlink xmlns:r="http://schemas.openxmlformats.org/officeDocument/2006/relationships" ref="F982" r:id="rId960"/>
    <hyperlink xmlns:r="http://schemas.openxmlformats.org/officeDocument/2006/relationships" ref="F983" r:id="rId961"/>
    <hyperlink xmlns:r="http://schemas.openxmlformats.org/officeDocument/2006/relationships" ref="F984" r:id="rId962"/>
    <hyperlink xmlns:r="http://schemas.openxmlformats.org/officeDocument/2006/relationships" ref="F985" r:id="rId963"/>
    <hyperlink xmlns:r="http://schemas.openxmlformats.org/officeDocument/2006/relationships" ref="F986" r:id="rId964"/>
    <hyperlink xmlns:r="http://schemas.openxmlformats.org/officeDocument/2006/relationships" ref="F987" r:id="rId965"/>
    <hyperlink xmlns:r="http://schemas.openxmlformats.org/officeDocument/2006/relationships" ref="F988" r:id="rId966"/>
    <hyperlink xmlns:r="http://schemas.openxmlformats.org/officeDocument/2006/relationships" ref="F989" r:id="rId967"/>
    <hyperlink xmlns:r="http://schemas.openxmlformats.org/officeDocument/2006/relationships" ref="F990" r:id="rId968"/>
    <hyperlink xmlns:r="http://schemas.openxmlformats.org/officeDocument/2006/relationships" ref="F991" r:id="rId969"/>
    <hyperlink xmlns:r="http://schemas.openxmlformats.org/officeDocument/2006/relationships" ref="F992" r:id="rId970"/>
    <hyperlink xmlns:r="http://schemas.openxmlformats.org/officeDocument/2006/relationships" ref="F993" r:id="rId971"/>
    <hyperlink xmlns:r="http://schemas.openxmlformats.org/officeDocument/2006/relationships" ref="F994" r:id="rId972"/>
    <hyperlink xmlns:r="http://schemas.openxmlformats.org/officeDocument/2006/relationships" ref="F995" r:id="rId973"/>
    <hyperlink xmlns:r="http://schemas.openxmlformats.org/officeDocument/2006/relationships" ref="F996" r:id="rId974"/>
    <hyperlink xmlns:r="http://schemas.openxmlformats.org/officeDocument/2006/relationships" ref="F997" r:id="rId975"/>
    <hyperlink xmlns:r="http://schemas.openxmlformats.org/officeDocument/2006/relationships" ref="F998" r:id="rId976"/>
    <hyperlink xmlns:r="http://schemas.openxmlformats.org/officeDocument/2006/relationships" ref="F999" r:id="rId977"/>
    <hyperlink xmlns:r="http://schemas.openxmlformats.org/officeDocument/2006/relationships" ref="F1000" r:id="rId978"/>
    <hyperlink xmlns:r="http://schemas.openxmlformats.org/officeDocument/2006/relationships" ref="F1001" r:id="rId979"/>
    <hyperlink xmlns:r="http://schemas.openxmlformats.org/officeDocument/2006/relationships" ref="F1002" r:id="rId980"/>
    <hyperlink xmlns:r="http://schemas.openxmlformats.org/officeDocument/2006/relationships" ref="F1003" r:id="rId981"/>
    <hyperlink xmlns:r="http://schemas.openxmlformats.org/officeDocument/2006/relationships" ref="F1004" r:id="rId982"/>
    <hyperlink xmlns:r="http://schemas.openxmlformats.org/officeDocument/2006/relationships" ref="F1005" r:id="rId983"/>
    <hyperlink xmlns:r="http://schemas.openxmlformats.org/officeDocument/2006/relationships" ref="F1006" r:id="rId984"/>
    <hyperlink xmlns:r="http://schemas.openxmlformats.org/officeDocument/2006/relationships" ref="F1007" r:id="rId985"/>
    <hyperlink xmlns:r="http://schemas.openxmlformats.org/officeDocument/2006/relationships" ref="F1008" r:id="rId986"/>
    <hyperlink xmlns:r="http://schemas.openxmlformats.org/officeDocument/2006/relationships" ref="F1009" r:id="rId987"/>
    <hyperlink xmlns:r="http://schemas.openxmlformats.org/officeDocument/2006/relationships" ref="F1010" r:id="rId988"/>
    <hyperlink xmlns:r="http://schemas.openxmlformats.org/officeDocument/2006/relationships" ref="F1011" r:id="rId989"/>
    <hyperlink xmlns:r="http://schemas.openxmlformats.org/officeDocument/2006/relationships" ref="F1012" r:id="rId990"/>
    <hyperlink xmlns:r="http://schemas.openxmlformats.org/officeDocument/2006/relationships" ref="F1013" r:id="rId991"/>
    <hyperlink xmlns:r="http://schemas.openxmlformats.org/officeDocument/2006/relationships" ref="F1014" r:id="rId992"/>
    <hyperlink xmlns:r="http://schemas.openxmlformats.org/officeDocument/2006/relationships" ref="F1015" r:id="rId993"/>
    <hyperlink xmlns:r="http://schemas.openxmlformats.org/officeDocument/2006/relationships" ref="F1016" r:id="rId994"/>
    <hyperlink xmlns:r="http://schemas.openxmlformats.org/officeDocument/2006/relationships" ref="F1017" r:id="rId995"/>
    <hyperlink xmlns:r="http://schemas.openxmlformats.org/officeDocument/2006/relationships" ref="F1018" r:id="rId996"/>
    <hyperlink xmlns:r="http://schemas.openxmlformats.org/officeDocument/2006/relationships" ref="F1019" r:id="rId997"/>
    <hyperlink xmlns:r="http://schemas.openxmlformats.org/officeDocument/2006/relationships" ref="F1020" r:id="rId998"/>
    <hyperlink xmlns:r="http://schemas.openxmlformats.org/officeDocument/2006/relationships" ref="F1021" r:id="rId999"/>
    <hyperlink xmlns:r="http://schemas.openxmlformats.org/officeDocument/2006/relationships" ref="F1022" r:id="rId1000"/>
    <hyperlink xmlns:r="http://schemas.openxmlformats.org/officeDocument/2006/relationships" ref="F1023" r:id="rId1001"/>
    <hyperlink xmlns:r="http://schemas.openxmlformats.org/officeDocument/2006/relationships" ref="F1024" r:id="rId1002"/>
    <hyperlink xmlns:r="http://schemas.openxmlformats.org/officeDocument/2006/relationships" ref="F1025" r:id="rId1003"/>
    <hyperlink xmlns:r="http://schemas.openxmlformats.org/officeDocument/2006/relationships" ref="F1026" r:id="rId1004"/>
    <hyperlink xmlns:r="http://schemas.openxmlformats.org/officeDocument/2006/relationships" ref="F1027" r:id="rId1005"/>
    <hyperlink xmlns:r="http://schemas.openxmlformats.org/officeDocument/2006/relationships" ref="F1028" r:id="rId1006"/>
    <hyperlink xmlns:r="http://schemas.openxmlformats.org/officeDocument/2006/relationships" ref="F1029" r:id="rId1007"/>
    <hyperlink xmlns:r="http://schemas.openxmlformats.org/officeDocument/2006/relationships" ref="F1030" r:id="rId1008"/>
    <hyperlink xmlns:r="http://schemas.openxmlformats.org/officeDocument/2006/relationships" ref="F1031" r:id="rId1009"/>
    <hyperlink xmlns:r="http://schemas.openxmlformats.org/officeDocument/2006/relationships" ref="F1032" r:id="rId1010"/>
    <hyperlink xmlns:r="http://schemas.openxmlformats.org/officeDocument/2006/relationships" ref="F1033" r:id="rId1011"/>
    <hyperlink xmlns:r="http://schemas.openxmlformats.org/officeDocument/2006/relationships" ref="F1034" r:id="rId1012"/>
    <hyperlink xmlns:r="http://schemas.openxmlformats.org/officeDocument/2006/relationships" ref="F1035" r:id="rId1013"/>
    <hyperlink xmlns:r="http://schemas.openxmlformats.org/officeDocument/2006/relationships" ref="F1036" r:id="rId1014"/>
    <hyperlink xmlns:r="http://schemas.openxmlformats.org/officeDocument/2006/relationships" ref="F1037" r:id="rId1015"/>
    <hyperlink xmlns:r="http://schemas.openxmlformats.org/officeDocument/2006/relationships" ref="F1038" r:id="rId1016"/>
    <hyperlink xmlns:r="http://schemas.openxmlformats.org/officeDocument/2006/relationships" ref="F1039" r:id="rId1017"/>
    <hyperlink xmlns:r="http://schemas.openxmlformats.org/officeDocument/2006/relationships" ref="F1040" r:id="rId1018"/>
    <hyperlink xmlns:r="http://schemas.openxmlformats.org/officeDocument/2006/relationships" ref="F1041" r:id="rId1019"/>
    <hyperlink xmlns:r="http://schemas.openxmlformats.org/officeDocument/2006/relationships" ref="F1042" r:id="rId1020"/>
    <hyperlink xmlns:r="http://schemas.openxmlformats.org/officeDocument/2006/relationships" ref="F1043" r:id="rId1021"/>
    <hyperlink xmlns:r="http://schemas.openxmlformats.org/officeDocument/2006/relationships" ref="F1044" r:id="rId1022"/>
    <hyperlink xmlns:r="http://schemas.openxmlformats.org/officeDocument/2006/relationships" ref="F1045" r:id="rId1023"/>
    <hyperlink xmlns:r="http://schemas.openxmlformats.org/officeDocument/2006/relationships" ref="F1046" r:id="rId1024"/>
    <hyperlink xmlns:r="http://schemas.openxmlformats.org/officeDocument/2006/relationships" ref="F1047" r:id="rId1025"/>
    <hyperlink xmlns:r="http://schemas.openxmlformats.org/officeDocument/2006/relationships" ref="F1048" r:id="rId1026"/>
    <hyperlink xmlns:r="http://schemas.openxmlformats.org/officeDocument/2006/relationships" ref="F1049" r:id="rId1027"/>
    <hyperlink xmlns:r="http://schemas.openxmlformats.org/officeDocument/2006/relationships" ref="F1050" r:id="rId1028"/>
    <hyperlink xmlns:r="http://schemas.openxmlformats.org/officeDocument/2006/relationships" ref="F1051" r:id="rId1029"/>
    <hyperlink xmlns:r="http://schemas.openxmlformats.org/officeDocument/2006/relationships" ref="F1052" r:id="rId1030"/>
    <hyperlink xmlns:r="http://schemas.openxmlformats.org/officeDocument/2006/relationships" ref="F1053" r:id="rId1031"/>
    <hyperlink xmlns:r="http://schemas.openxmlformats.org/officeDocument/2006/relationships" ref="F1054" r:id="rId1032"/>
    <hyperlink xmlns:r="http://schemas.openxmlformats.org/officeDocument/2006/relationships" ref="F1055" r:id="rId1033"/>
    <hyperlink xmlns:r="http://schemas.openxmlformats.org/officeDocument/2006/relationships" ref="F1056" r:id="rId1034"/>
    <hyperlink xmlns:r="http://schemas.openxmlformats.org/officeDocument/2006/relationships" ref="F1057" r:id="rId1035"/>
    <hyperlink xmlns:r="http://schemas.openxmlformats.org/officeDocument/2006/relationships" ref="F1058" r:id="rId1036"/>
    <hyperlink xmlns:r="http://schemas.openxmlformats.org/officeDocument/2006/relationships" ref="F1059" r:id="rId1037"/>
    <hyperlink xmlns:r="http://schemas.openxmlformats.org/officeDocument/2006/relationships" ref="F1060" r:id="rId1038"/>
    <hyperlink xmlns:r="http://schemas.openxmlformats.org/officeDocument/2006/relationships" ref="F1061" r:id="rId1039"/>
    <hyperlink xmlns:r="http://schemas.openxmlformats.org/officeDocument/2006/relationships" ref="F1062" r:id="rId1040"/>
    <hyperlink xmlns:r="http://schemas.openxmlformats.org/officeDocument/2006/relationships" ref="F1063" r:id="rId1041"/>
    <hyperlink xmlns:r="http://schemas.openxmlformats.org/officeDocument/2006/relationships" ref="F1064" r:id="rId1042"/>
    <hyperlink xmlns:r="http://schemas.openxmlformats.org/officeDocument/2006/relationships" ref="F1065" r:id="rId1043"/>
    <hyperlink xmlns:r="http://schemas.openxmlformats.org/officeDocument/2006/relationships" ref="F1066" r:id="rId1044"/>
    <hyperlink xmlns:r="http://schemas.openxmlformats.org/officeDocument/2006/relationships" ref="F1067" r:id="rId1045"/>
    <hyperlink xmlns:r="http://schemas.openxmlformats.org/officeDocument/2006/relationships" ref="F1068" r:id="rId1046"/>
    <hyperlink xmlns:r="http://schemas.openxmlformats.org/officeDocument/2006/relationships" ref="F1069" r:id="rId1047"/>
    <hyperlink xmlns:r="http://schemas.openxmlformats.org/officeDocument/2006/relationships" ref="F1070" r:id="rId1048"/>
    <hyperlink xmlns:r="http://schemas.openxmlformats.org/officeDocument/2006/relationships" ref="F1071" r:id="rId1049"/>
    <hyperlink xmlns:r="http://schemas.openxmlformats.org/officeDocument/2006/relationships" ref="F1072" r:id="rId1050"/>
    <hyperlink xmlns:r="http://schemas.openxmlformats.org/officeDocument/2006/relationships" ref="F1073" r:id="rId1051"/>
    <hyperlink xmlns:r="http://schemas.openxmlformats.org/officeDocument/2006/relationships" ref="F1074" r:id="rId1052"/>
    <hyperlink xmlns:r="http://schemas.openxmlformats.org/officeDocument/2006/relationships" ref="F1075" r:id="rId1053"/>
    <hyperlink xmlns:r="http://schemas.openxmlformats.org/officeDocument/2006/relationships" ref="F1076" r:id="rId1054"/>
    <hyperlink xmlns:r="http://schemas.openxmlformats.org/officeDocument/2006/relationships" ref="F1077" r:id="rId1055"/>
    <hyperlink xmlns:r="http://schemas.openxmlformats.org/officeDocument/2006/relationships" ref="F1078" r:id="rId1056"/>
    <hyperlink xmlns:r="http://schemas.openxmlformats.org/officeDocument/2006/relationships" ref="F1079" r:id="rId1057"/>
    <hyperlink xmlns:r="http://schemas.openxmlformats.org/officeDocument/2006/relationships" ref="F1080" r:id="rId1058"/>
    <hyperlink xmlns:r="http://schemas.openxmlformats.org/officeDocument/2006/relationships" ref="F1081" r:id="rId1059"/>
    <hyperlink xmlns:r="http://schemas.openxmlformats.org/officeDocument/2006/relationships" ref="F1082" r:id="rId1060"/>
    <hyperlink xmlns:r="http://schemas.openxmlformats.org/officeDocument/2006/relationships" ref="F1083" r:id="rId1061"/>
    <hyperlink xmlns:r="http://schemas.openxmlformats.org/officeDocument/2006/relationships" ref="F1084" r:id="rId1062"/>
    <hyperlink xmlns:r="http://schemas.openxmlformats.org/officeDocument/2006/relationships" ref="F1085" r:id="rId1063"/>
    <hyperlink xmlns:r="http://schemas.openxmlformats.org/officeDocument/2006/relationships" ref="F1086" r:id="rId1064"/>
    <hyperlink xmlns:r="http://schemas.openxmlformats.org/officeDocument/2006/relationships" ref="F1087" r:id="rId1065"/>
    <hyperlink xmlns:r="http://schemas.openxmlformats.org/officeDocument/2006/relationships" ref="F1088" r:id="rId1066"/>
    <hyperlink xmlns:r="http://schemas.openxmlformats.org/officeDocument/2006/relationships" ref="F1089" r:id="rId1067"/>
    <hyperlink xmlns:r="http://schemas.openxmlformats.org/officeDocument/2006/relationships" ref="F1090" r:id="rId1068"/>
    <hyperlink xmlns:r="http://schemas.openxmlformats.org/officeDocument/2006/relationships" ref="F1091" r:id="rId1069"/>
    <hyperlink xmlns:r="http://schemas.openxmlformats.org/officeDocument/2006/relationships" ref="F1092" r:id="rId1070"/>
    <hyperlink xmlns:r="http://schemas.openxmlformats.org/officeDocument/2006/relationships" ref="F1093" r:id="rId1071"/>
    <hyperlink xmlns:r="http://schemas.openxmlformats.org/officeDocument/2006/relationships" ref="F1094" r:id="rId1072"/>
    <hyperlink xmlns:r="http://schemas.openxmlformats.org/officeDocument/2006/relationships" ref="F1095" r:id="rId1073"/>
    <hyperlink xmlns:r="http://schemas.openxmlformats.org/officeDocument/2006/relationships" ref="F1096" r:id="rId1074"/>
    <hyperlink xmlns:r="http://schemas.openxmlformats.org/officeDocument/2006/relationships" ref="F1097" r:id="rId1075"/>
    <hyperlink xmlns:r="http://schemas.openxmlformats.org/officeDocument/2006/relationships" ref="F1098" r:id="rId1076"/>
    <hyperlink xmlns:r="http://schemas.openxmlformats.org/officeDocument/2006/relationships" ref="F1099" r:id="rId1077"/>
    <hyperlink xmlns:r="http://schemas.openxmlformats.org/officeDocument/2006/relationships" ref="F1100" r:id="rId1078"/>
    <hyperlink xmlns:r="http://schemas.openxmlformats.org/officeDocument/2006/relationships" ref="F1101" r:id="rId1079"/>
    <hyperlink xmlns:r="http://schemas.openxmlformats.org/officeDocument/2006/relationships" ref="F1102" r:id="rId1080"/>
    <hyperlink xmlns:r="http://schemas.openxmlformats.org/officeDocument/2006/relationships" ref="F1103" r:id="rId1081"/>
    <hyperlink xmlns:r="http://schemas.openxmlformats.org/officeDocument/2006/relationships" ref="F1104" r:id="rId1082"/>
    <hyperlink xmlns:r="http://schemas.openxmlformats.org/officeDocument/2006/relationships" ref="F1105" r:id="rId1083"/>
    <hyperlink xmlns:r="http://schemas.openxmlformats.org/officeDocument/2006/relationships" ref="F1106" r:id="rId1084"/>
    <hyperlink xmlns:r="http://schemas.openxmlformats.org/officeDocument/2006/relationships" ref="F1107" r:id="rId1085"/>
    <hyperlink xmlns:r="http://schemas.openxmlformats.org/officeDocument/2006/relationships" ref="F1108" r:id="rId1086"/>
    <hyperlink xmlns:r="http://schemas.openxmlformats.org/officeDocument/2006/relationships" ref="F1109" r:id="rId1087"/>
    <hyperlink xmlns:r="http://schemas.openxmlformats.org/officeDocument/2006/relationships" ref="F1110" r:id="rId1088"/>
    <hyperlink xmlns:r="http://schemas.openxmlformats.org/officeDocument/2006/relationships" ref="F1111" r:id="rId1089"/>
    <hyperlink xmlns:r="http://schemas.openxmlformats.org/officeDocument/2006/relationships" ref="F1112" r:id="rId1090"/>
    <hyperlink xmlns:r="http://schemas.openxmlformats.org/officeDocument/2006/relationships" ref="F1113" r:id="rId1091"/>
    <hyperlink xmlns:r="http://schemas.openxmlformats.org/officeDocument/2006/relationships" ref="F1114" r:id="rId1092"/>
    <hyperlink xmlns:r="http://schemas.openxmlformats.org/officeDocument/2006/relationships" ref="F1115" r:id="rId1093"/>
    <hyperlink xmlns:r="http://schemas.openxmlformats.org/officeDocument/2006/relationships" ref="F1116" r:id="rId1094"/>
    <hyperlink xmlns:r="http://schemas.openxmlformats.org/officeDocument/2006/relationships" ref="F1117" r:id="rId1095"/>
    <hyperlink xmlns:r="http://schemas.openxmlformats.org/officeDocument/2006/relationships" ref="F1118" r:id="rId1096"/>
    <hyperlink xmlns:r="http://schemas.openxmlformats.org/officeDocument/2006/relationships" ref="F1119" r:id="rId1097"/>
    <hyperlink xmlns:r="http://schemas.openxmlformats.org/officeDocument/2006/relationships" ref="F1120" r:id="rId1098"/>
    <hyperlink xmlns:r="http://schemas.openxmlformats.org/officeDocument/2006/relationships" ref="F1121" r:id="rId1099"/>
    <hyperlink xmlns:r="http://schemas.openxmlformats.org/officeDocument/2006/relationships" ref="F1122" r:id="rId1100"/>
    <hyperlink xmlns:r="http://schemas.openxmlformats.org/officeDocument/2006/relationships" ref="F1123" r:id="rId1101"/>
    <hyperlink xmlns:r="http://schemas.openxmlformats.org/officeDocument/2006/relationships" ref="F1124" r:id="rId1102"/>
    <hyperlink xmlns:r="http://schemas.openxmlformats.org/officeDocument/2006/relationships" ref="F1125" r:id="rId1103"/>
    <hyperlink xmlns:r="http://schemas.openxmlformats.org/officeDocument/2006/relationships" ref="F1126" r:id="rId1104"/>
    <hyperlink xmlns:r="http://schemas.openxmlformats.org/officeDocument/2006/relationships" ref="F1127" r:id="rId1105"/>
    <hyperlink xmlns:r="http://schemas.openxmlformats.org/officeDocument/2006/relationships" ref="F1128" r:id="rId1106"/>
    <hyperlink xmlns:r="http://schemas.openxmlformats.org/officeDocument/2006/relationships" ref="F1129" r:id="rId1107"/>
    <hyperlink xmlns:r="http://schemas.openxmlformats.org/officeDocument/2006/relationships" ref="F1130" r:id="rId1108"/>
    <hyperlink xmlns:r="http://schemas.openxmlformats.org/officeDocument/2006/relationships" ref="F1131" r:id="rId1109"/>
    <hyperlink xmlns:r="http://schemas.openxmlformats.org/officeDocument/2006/relationships" ref="F1132" r:id="rId1110"/>
    <hyperlink xmlns:r="http://schemas.openxmlformats.org/officeDocument/2006/relationships" ref="F1133" r:id="rId1111"/>
    <hyperlink xmlns:r="http://schemas.openxmlformats.org/officeDocument/2006/relationships" ref="F1134" r:id="rId1112"/>
    <hyperlink xmlns:r="http://schemas.openxmlformats.org/officeDocument/2006/relationships" ref="F1135" r:id="rId1113"/>
    <hyperlink xmlns:r="http://schemas.openxmlformats.org/officeDocument/2006/relationships" ref="F1136" r:id="rId1114"/>
    <hyperlink xmlns:r="http://schemas.openxmlformats.org/officeDocument/2006/relationships" ref="F1137" r:id="rId1115"/>
    <hyperlink xmlns:r="http://schemas.openxmlformats.org/officeDocument/2006/relationships" ref="F1138" r:id="rId1116"/>
    <hyperlink xmlns:r="http://schemas.openxmlformats.org/officeDocument/2006/relationships" ref="F1139" r:id="rId1117"/>
    <hyperlink xmlns:r="http://schemas.openxmlformats.org/officeDocument/2006/relationships" ref="F1140" r:id="rId1118"/>
    <hyperlink xmlns:r="http://schemas.openxmlformats.org/officeDocument/2006/relationships" ref="F1141" r:id="rId1119"/>
    <hyperlink xmlns:r="http://schemas.openxmlformats.org/officeDocument/2006/relationships" ref="F1142" r:id="rId1120"/>
    <hyperlink xmlns:r="http://schemas.openxmlformats.org/officeDocument/2006/relationships" ref="F1143" r:id="rId1121"/>
    <hyperlink xmlns:r="http://schemas.openxmlformats.org/officeDocument/2006/relationships" ref="F1144" r:id="rId1122"/>
    <hyperlink xmlns:r="http://schemas.openxmlformats.org/officeDocument/2006/relationships" ref="F1145" r:id="rId1123"/>
    <hyperlink xmlns:r="http://schemas.openxmlformats.org/officeDocument/2006/relationships" ref="F1146" r:id="rId1124"/>
    <hyperlink xmlns:r="http://schemas.openxmlformats.org/officeDocument/2006/relationships" ref="F1147" r:id="rId1125"/>
    <hyperlink xmlns:r="http://schemas.openxmlformats.org/officeDocument/2006/relationships" ref="F1148" r:id="rId1126"/>
    <hyperlink xmlns:r="http://schemas.openxmlformats.org/officeDocument/2006/relationships" ref="F1149" r:id="rId1127"/>
    <hyperlink xmlns:r="http://schemas.openxmlformats.org/officeDocument/2006/relationships" ref="F1150" r:id="rId1128"/>
    <hyperlink xmlns:r="http://schemas.openxmlformats.org/officeDocument/2006/relationships" ref="F1151" r:id="rId1129"/>
    <hyperlink xmlns:r="http://schemas.openxmlformats.org/officeDocument/2006/relationships" ref="F1152" r:id="rId1130"/>
    <hyperlink xmlns:r="http://schemas.openxmlformats.org/officeDocument/2006/relationships" ref="F1153" r:id="rId1131"/>
    <hyperlink xmlns:r="http://schemas.openxmlformats.org/officeDocument/2006/relationships" ref="F1154" r:id="rId1132"/>
    <hyperlink xmlns:r="http://schemas.openxmlformats.org/officeDocument/2006/relationships" ref="F1155" r:id="rId1133"/>
    <hyperlink xmlns:r="http://schemas.openxmlformats.org/officeDocument/2006/relationships" ref="F1156" r:id="rId1134"/>
    <hyperlink xmlns:r="http://schemas.openxmlformats.org/officeDocument/2006/relationships" ref="F1157" r:id="rId1135"/>
    <hyperlink xmlns:r="http://schemas.openxmlformats.org/officeDocument/2006/relationships" ref="F1158" r:id="rId1136"/>
    <hyperlink xmlns:r="http://schemas.openxmlformats.org/officeDocument/2006/relationships" ref="F1159" r:id="rId1137"/>
    <hyperlink xmlns:r="http://schemas.openxmlformats.org/officeDocument/2006/relationships" ref="F1160" r:id="rId1138"/>
    <hyperlink xmlns:r="http://schemas.openxmlformats.org/officeDocument/2006/relationships" ref="F1161" r:id="rId1139"/>
    <hyperlink xmlns:r="http://schemas.openxmlformats.org/officeDocument/2006/relationships" ref="F1162" r:id="rId1140"/>
    <hyperlink xmlns:r="http://schemas.openxmlformats.org/officeDocument/2006/relationships" ref="F1163" r:id="rId1141"/>
    <hyperlink xmlns:r="http://schemas.openxmlformats.org/officeDocument/2006/relationships" ref="F1164" r:id="rId1142"/>
    <hyperlink xmlns:r="http://schemas.openxmlformats.org/officeDocument/2006/relationships" ref="F1165" r:id="rId1143"/>
    <hyperlink xmlns:r="http://schemas.openxmlformats.org/officeDocument/2006/relationships" ref="F1166" r:id="rId1144"/>
    <hyperlink xmlns:r="http://schemas.openxmlformats.org/officeDocument/2006/relationships" ref="F1167" r:id="rId1145"/>
    <hyperlink xmlns:r="http://schemas.openxmlformats.org/officeDocument/2006/relationships" ref="F1168" r:id="rId1146"/>
    <hyperlink xmlns:r="http://schemas.openxmlformats.org/officeDocument/2006/relationships" ref="F1169" r:id="rId1147"/>
    <hyperlink xmlns:r="http://schemas.openxmlformats.org/officeDocument/2006/relationships" ref="F1170" r:id="rId1148"/>
    <hyperlink xmlns:r="http://schemas.openxmlformats.org/officeDocument/2006/relationships" ref="F1171" r:id="rId1149"/>
    <hyperlink xmlns:r="http://schemas.openxmlformats.org/officeDocument/2006/relationships" ref="F1172" r:id="rId1150"/>
    <hyperlink xmlns:r="http://schemas.openxmlformats.org/officeDocument/2006/relationships" ref="F1173" r:id="rId1151"/>
    <hyperlink xmlns:r="http://schemas.openxmlformats.org/officeDocument/2006/relationships" ref="F1174" r:id="rId1152"/>
    <hyperlink xmlns:r="http://schemas.openxmlformats.org/officeDocument/2006/relationships" ref="F1175" r:id="rId1153"/>
    <hyperlink xmlns:r="http://schemas.openxmlformats.org/officeDocument/2006/relationships" ref="F1176" r:id="rId1154"/>
    <hyperlink xmlns:r="http://schemas.openxmlformats.org/officeDocument/2006/relationships" ref="F1177" r:id="rId1155"/>
    <hyperlink xmlns:r="http://schemas.openxmlformats.org/officeDocument/2006/relationships" ref="F1178" r:id="rId1156"/>
    <hyperlink xmlns:r="http://schemas.openxmlformats.org/officeDocument/2006/relationships" ref="F1179" r:id="rId1157"/>
    <hyperlink xmlns:r="http://schemas.openxmlformats.org/officeDocument/2006/relationships" ref="F1180" r:id="rId1158"/>
    <hyperlink xmlns:r="http://schemas.openxmlformats.org/officeDocument/2006/relationships" ref="F1181" r:id="rId1159"/>
    <hyperlink xmlns:r="http://schemas.openxmlformats.org/officeDocument/2006/relationships" ref="F1182" r:id="rId1160"/>
    <hyperlink xmlns:r="http://schemas.openxmlformats.org/officeDocument/2006/relationships" ref="F1183" r:id="rId1161"/>
    <hyperlink xmlns:r="http://schemas.openxmlformats.org/officeDocument/2006/relationships" ref="F1184" r:id="rId1162"/>
    <hyperlink xmlns:r="http://schemas.openxmlformats.org/officeDocument/2006/relationships" ref="F1185" r:id="rId1163"/>
    <hyperlink xmlns:r="http://schemas.openxmlformats.org/officeDocument/2006/relationships" ref="F1186" r:id="rId1164"/>
    <hyperlink xmlns:r="http://schemas.openxmlformats.org/officeDocument/2006/relationships" ref="F1187" r:id="rId1165"/>
    <hyperlink xmlns:r="http://schemas.openxmlformats.org/officeDocument/2006/relationships" ref="F1188" r:id="rId1166"/>
    <hyperlink xmlns:r="http://schemas.openxmlformats.org/officeDocument/2006/relationships" ref="F1189" r:id="rId1167"/>
    <hyperlink xmlns:r="http://schemas.openxmlformats.org/officeDocument/2006/relationships" ref="F1190" r:id="rId1168"/>
    <hyperlink xmlns:r="http://schemas.openxmlformats.org/officeDocument/2006/relationships" ref="F1191" r:id="rId1169"/>
    <hyperlink xmlns:r="http://schemas.openxmlformats.org/officeDocument/2006/relationships" ref="F1192" r:id="rId1170"/>
    <hyperlink xmlns:r="http://schemas.openxmlformats.org/officeDocument/2006/relationships" ref="F1193" r:id="rId1171"/>
    <hyperlink xmlns:r="http://schemas.openxmlformats.org/officeDocument/2006/relationships" ref="F1194" r:id="rId1172"/>
    <hyperlink xmlns:r="http://schemas.openxmlformats.org/officeDocument/2006/relationships" ref="F1195" r:id="rId1173"/>
    <hyperlink xmlns:r="http://schemas.openxmlformats.org/officeDocument/2006/relationships" ref="F1196" r:id="rId1174"/>
    <hyperlink xmlns:r="http://schemas.openxmlformats.org/officeDocument/2006/relationships" ref="F1197" r:id="rId1175"/>
    <hyperlink xmlns:r="http://schemas.openxmlformats.org/officeDocument/2006/relationships" ref="F1198" r:id="rId1176"/>
    <hyperlink xmlns:r="http://schemas.openxmlformats.org/officeDocument/2006/relationships" ref="F1199" r:id="rId1177"/>
    <hyperlink xmlns:r="http://schemas.openxmlformats.org/officeDocument/2006/relationships" ref="F1200" r:id="rId1178"/>
    <hyperlink xmlns:r="http://schemas.openxmlformats.org/officeDocument/2006/relationships" ref="F1201" r:id="rId1179"/>
    <hyperlink xmlns:r="http://schemas.openxmlformats.org/officeDocument/2006/relationships" ref="F1202" r:id="rId1180"/>
    <hyperlink xmlns:r="http://schemas.openxmlformats.org/officeDocument/2006/relationships" ref="F1203" r:id="rId1181"/>
    <hyperlink xmlns:r="http://schemas.openxmlformats.org/officeDocument/2006/relationships" ref="F1204" r:id="rId1182"/>
    <hyperlink xmlns:r="http://schemas.openxmlformats.org/officeDocument/2006/relationships" ref="F1205" r:id="rId1183"/>
    <hyperlink xmlns:r="http://schemas.openxmlformats.org/officeDocument/2006/relationships" ref="F1206" r:id="rId1184"/>
    <hyperlink xmlns:r="http://schemas.openxmlformats.org/officeDocument/2006/relationships" ref="F1207" r:id="rId1185"/>
    <hyperlink xmlns:r="http://schemas.openxmlformats.org/officeDocument/2006/relationships" ref="F1208" r:id="rId1186"/>
    <hyperlink xmlns:r="http://schemas.openxmlformats.org/officeDocument/2006/relationships" ref="F1209" r:id="rId1187"/>
    <hyperlink xmlns:r="http://schemas.openxmlformats.org/officeDocument/2006/relationships" ref="F1210" r:id="rId1188"/>
    <hyperlink xmlns:r="http://schemas.openxmlformats.org/officeDocument/2006/relationships" ref="F1211" r:id="rId1189"/>
    <hyperlink xmlns:r="http://schemas.openxmlformats.org/officeDocument/2006/relationships" ref="F1212" r:id="rId1190"/>
    <hyperlink xmlns:r="http://schemas.openxmlformats.org/officeDocument/2006/relationships" ref="F1213" r:id="rId1191"/>
    <hyperlink xmlns:r="http://schemas.openxmlformats.org/officeDocument/2006/relationships" ref="F1214" r:id="rId1192"/>
    <hyperlink xmlns:r="http://schemas.openxmlformats.org/officeDocument/2006/relationships" ref="F1215" r:id="rId1193"/>
    <hyperlink xmlns:r="http://schemas.openxmlformats.org/officeDocument/2006/relationships" ref="F1216" r:id="rId1194"/>
    <hyperlink xmlns:r="http://schemas.openxmlformats.org/officeDocument/2006/relationships" ref="F1217" r:id="rId1195"/>
    <hyperlink xmlns:r="http://schemas.openxmlformats.org/officeDocument/2006/relationships" ref="F1218" r:id="rId1196"/>
    <hyperlink xmlns:r="http://schemas.openxmlformats.org/officeDocument/2006/relationships" ref="F1219" r:id="rId1197"/>
    <hyperlink xmlns:r="http://schemas.openxmlformats.org/officeDocument/2006/relationships" ref="F1220" r:id="rId1198"/>
    <hyperlink xmlns:r="http://schemas.openxmlformats.org/officeDocument/2006/relationships" ref="F1221" r:id="rId1199"/>
    <hyperlink xmlns:r="http://schemas.openxmlformats.org/officeDocument/2006/relationships" ref="F1222" r:id="rId1200"/>
    <hyperlink xmlns:r="http://schemas.openxmlformats.org/officeDocument/2006/relationships" ref="F1223" r:id="rId1201"/>
    <hyperlink xmlns:r="http://schemas.openxmlformats.org/officeDocument/2006/relationships" ref="F1224" r:id="rId1202"/>
    <hyperlink xmlns:r="http://schemas.openxmlformats.org/officeDocument/2006/relationships" ref="F1225" r:id="rId1203"/>
    <hyperlink xmlns:r="http://schemas.openxmlformats.org/officeDocument/2006/relationships" ref="F1226" r:id="rId1204"/>
    <hyperlink xmlns:r="http://schemas.openxmlformats.org/officeDocument/2006/relationships" ref="F1227" r:id="rId1205"/>
    <hyperlink xmlns:r="http://schemas.openxmlformats.org/officeDocument/2006/relationships" ref="F1228" r:id="rId1206"/>
    <hyperlink xmlns:r="http://schemas.openxmlformats.org/officeDocument/2006/relationships" ref="F1229" r:id="rId1207"/>
    <hyperlink xmlns:r="http://schemas.openxmlformats.org/officeDocument/2006/relationships" ref="F1230" r:id="rId1208"/>
    <hyperlink xmlns:r="http://schemas.openxmlformats.org/officeDocument/2006/relationships" ref="F1231" r:id="rId1209"/>
    <hyperlink xmlns:r="http://schemas.openxmlformats.org/officeDocument/2006/relationships" ref="F1232" r:id="rId1210"/>
    <hyperlink xmlns:r="http://schemas.openxmlformats.org/officeDocument/2006/relationships" ref="F1233" r:id="rId1211"/>
    <hyperlink xmlns:r="http://schemas.openxmlformats.org/officeDocument/2006/relationships" ref="F1234" r:id="rId1212"/>
    <hyperlink xmlns:r="http://schemas.openxmlformats.org/officeDocument/2006/relationships" ref="F1235" r:id="rId1213"/>
    <hyperlink xmlns:r="http://schemas.openxmlformats.org/officeDocument/2006/relationships" ref="F1236" r:id="rId1214"/>
    <hyperlink xmlns:r="http://schemas.openxmlformats.org/officeDocument/2006/relationships" ref="F1237" r:id="rId1215"/>
    <hyperlink xmlns:r="http://schemas.openxmlformats.org/officeDocument/2006/relationships" ref="F1238" r:id="rId1216"/>
    <hyperlink xmlns:r="http://schemas.openxmlformats.org/officeDocument/2006/relationships" ref="F1239" r:id="rId1217"/>
    <hyperlink xmlns:r="http://schemas.openxmlformats.org/officeDocument/2006/relationships" ref="F1240" r:id="rId1218"/>
    <hyperlink xmlns:r="http://schemas.openxmlformats.org/officeDocument/2006/relationships" ref="F1241" r:id="rId1219"/>
    <hyperlink xmlns:r="http://schemas.openxmlformats.org/officeDocument/2006/relationships" ref="F1242" r:id="rId1220"/>
    <hyperlink xmlns:r="http://schemas.openxmlformats.org/officeDocument/2006/relationships" ref="F1243" r:id="rId1221"/>
    <hyperlink xmlns:r="http://schemas.openxmlformats.org/officeDocument/2006/relationships" ref="F1244" r:id="rId1222"/>
    <hyperlink xmlns:r="http://schemas.openxmlformats.org/officeDocument/2006/relationships" ref="F1245" r:id="rId1223"/>
    <hyperlink xmlns:r="http://schemas.openxmlformats.org/officeDocument/2006/relationships" ref="F1246" r:id="rId1224"/>
    <hyperlink xmlns:r="http://schemas.openxmlformats.org/officeDocument/2006/relationships" ref="F1247" r:id="rId1225"/>
    <hyperlink xmlns:r="http://schemas.openxmlformats.org/officeDocument/2006/relationships" ref="F1248" r:id="rId1226"/>
    <hyperlink xmlns:r="http://schemas.openxmlformats.org/officeDocument/2006/relationships" ref="F1249" r:id="rId1227"/>
    <hyperlink xmlns:r="http://schemas.openxmlformats.org/officeDocument/2006/relationships" ref="F1250" r:id="rId1228"/>
    <hyperlink xmlns:r="http://schemas.openxmlformats.org/officeDocument/2006/relationships" ref="F1251" r:id="rId1229"/>
    <hyperlink xmlns:r="http://schemas.openxmlformats.org/officeDocument/2006/relationships" ref="F1252" r:id="rId1230"/>
    <hyperlink xmlns:r="http://schemas.openxmlformats.org/officeDocument/2006/relationships" ref="F1253" r:id="rId1231"/>
    <hyperlink xmlns:r="http://schemas.openxmlformats.org/officeDocument/2006/relationships" ref="F1254" r:id="rId1232"/>
    <hyperlink xmlns:r="http://schemas.openxmlformats.org/officeDocument/2006/relationships" ref="F1255" r:id="rId1233"/>
    <hyperlink xmlns:r="http://schemas.openxmlformats.org/officeDocument/2006/relationships" ref="F1256" r:id="rId1234"/>
    <hyperlink xmlns:r="http://schemas.openxmlformats.org/officeDocument/2006/relationships" ref="F1257" r:id="rId1235"/>
    <hyperlink xmlns:r="http://schemas.openxmlformats.org/officeDocument/2006/relationships" ref="F1258" r:id="rId1236"/>
    <hyperlink xmlns:r="http://schemas.openxmlformats.org/officeDocument/2006/relationships" ref="F1259" r:id="rId1237"/>
    <hyperlink xmlns:r="http://schemas.openxmlformats.org/officeDocument/2006/relationships" ref="F1260" r:id="rId1238"/>
    <hyperlink xmlns:r="http://schemas.openxmlformats.org/officeDocument/2006/relationships" ref="F1261" r:id="rId1239"/>
    <hyperlink xmlns:r="http://schemas.openxmlformats.org/officeDocument/2006/relationships" ref="F1262" r:id="rId1240"/>
    <hyperlink xmlns:r="http://schemas.openxmlformats.org/officeDocument/2006/relationships" ref="F1263" r:id="rId1241"/>
    <hyperlink xmlns:r="http://schemas.openxmlformats.org/officeDocument/2006/relationships" ref="F1264" r:id="rId1242"/>
    <hyperlink xmlns:r="http://schemas.openxmlformats.org/officeDocument/2006/relationships" ref="F1265" r:id="rId1243"/>
    <hyperlink xmlns:r="http://schemas.openxmlformats.org/officeDocument/2006/relationships" ref="F1266" r:id="rId1244"/>
    <hyperlink xmlns:r="http://schemas.openxmlformats.org/officeDocument/2006/relationships" ref="F1267" r:id="rId1245"/>
    <hyperlink xmlns:r="http://schemas.openxmlformats.org/officeDocument/2006/relationships" ref="F1268" r:id="rId1246"/>
    <hyperlink xmlns:r="http://schemas.openxmlformats.org/officeDocument/2006/relationships" ref="F1269" r:id="rId1247"/>
    <hyperlink xmlns:r="http://schemas.openxmlformats.org/officeDocument/2006/relationships" ref="F1270" r:id="rId1248"/>
    <hyperlink xmlns:r="http://schemas.openxmlformats.org/officeDocument/2006/relationships" ref="F1271" r:id="rId1249"/>
    <hyperlink xmlns:r="http://schemas.openxmlformats.org/officeDocument/2006/relationships" ref="F1272" r:id="rId1250"/>
    <hyperlink xmlns:r="http://schemas.openxmlformats.org/officeDocument/2006/relationships" ref="F1273" r:id="rId1251"/>
    <hyperlink xmlns:r="http://schemas.openxmlformats.org/officeDocument/2006/relationships" ref="F1274" r:id="rId1252"/>
    <hyperlink xmlns:r="http://schemas.openxmlformats.org/officeDocument/2006/relationships" ref="F1275" r:id="rId1253"/>
    <hyperlink xmlns:r="http://schemas.openxmlformats.org/officeDocument/2006/relationships" ref="F1276" r:id="rId1254"/>
    <hyperlink xmlns:r="http://schemas.openxmlformats.org/officeDocument/2006/relationships" ref="F1277" r:id="rId1255"/>
    <hyperlink xmlns:r="http://schemas.openxmlformats.org/officeDocument/2006/relationships" ref="F1278" r:id="rId1256"/>
    <hyperlink xmlns:r="http://schemas.openxmlformats.org/officeDocument/2006/relationships" ref="F1279" r:id="rId1257"/>
    <hyperlink xmlns:r="http://schemas.openxmlformats.org/officeDocument/2006/relationships" ref="F1280" r:id="rId1258"/>
    <hyperlink xmlns:r="http://schemas.openxmlformats.org/officeDocument/2006/relationships" ref="F1281" r:id="rId1259"/>
    <hyperlink xmlns:r="http://schemas.openxmlformats.org/officeDocument/2006/relationships" ref="F1282" r:id="rId1260"/>
    <hyperlink xmlns:r="http://schemas.openxmlformats.org/officeDocument/2006/relationships" ref="F1283" r:id="rId1261"/>
    <hyperlink xmlns:r="http://schemas.openxmlformats.org/officeDocument/2006/relationships" ref="F1284" r:id="rId1262"/>
    <hyperlink xmlns:r="http://schemas.openxmlformats.org/officeDocument/2006/relationships" ref="F1285" r:id="rId1263"/>
    <hyperlink xmlns:r="http://schemas.openxmlformats.org/officeDocument/2006/relationships" ref="F1286" r:id="rId1264"/>
    <hyperlink xmlns:r="http://schemas.openxmlformats.org/officeDocument/2006/relationships" ref="F1287" r:id="rId1265"/>
    <hyperlink xmlns:r="http://schemas.openxmlformats.org/officeDocument/2006/relationships" ref="F1288" r:id="rId1266"/>
    <hyperlink xmlns:r="http://schemas.openxmlformats.org/officeDocument/2006/relationships" ref="F1289" r:id="rId1267"/>
    <hyperlink xmlns:r="http://schemas.openxmlformats.org/officeDocument/2006/relationships" ref="F1290" r:id="rId1268"/>
    <hyperlink xmlns:r="http://schemas.openxmlformats.org/officeDocument/2006/relationships" ref="F1291" r:id="rId1269"/>
    <hyperlink xmlns:r="http://schemas.openxmlformats.org/officeDocument/2006/relationships" ref="F1292" r:id="rId1270"/>
    <hyperlink xmlns:r="http://schemas.openxmlformats.org/officeDocument/2006/relationships" ref="F1293" r:id="rId1271"/>
    <hyperlink xmlns:r="http://schemas.openxmlformats.org/officeDocument/2006/relationships" ref="F1294" r:id="rId1272"/>
    <hyperlink xmlns:r="http://schemas.openxmlformats.org/officeDocument/2006/relationships" ref="F1295" r:id="rId1273"/>
    <hyperlink xmlns:r="http://schemas.openxmlformats.org/officeDocument/2006/relationships" ref="F1296" r:id="rId1274"/>
    <hyperlink xmlns:r="http://schemas.openxmlformats.org/officeDocument/2006/relationships" ref="F1297" r:id="rId1275"/>
    <hyperlink xmlns:r="http://schemas.openxmlformats.org/officeDocument/2006/relationships" ref="F1298" r:id="rId1276"/>
    <hyperlink xmlns:r="http://schemas.openxmlformats.org/officeDocument/2006/relationships" ref="F1299" r:id="rId1277"/>
    <hyperlink xmlns:r="http://schemas.openxmlformats.org/officeDocument/2006/relationships" ref="F1300" r:id="rId1278"/>
    <hyperlink xmlns:r="http://schemas.openxmlformats.org/officeDocument/2006/relationships" ref="F1301" r:id="rId1279"/>
    <hyperlink xmlns:r="http://schemas.openxmlformats.org/officeDocument/2006/relationships" ref="F1302" r:id="rId1280"/>
    <hyperlink xmlns:r="http://schemas.openxmlformats.org/officeDocument/2006/relationships" ref="F1303" r:id="rId1281"/>
    <hyperlink xmlns:r="http://schemas.openxmlformats.org/officeDocument/2006/relationships" ref="F1304" r:id="rId1282"/>
    <hyperlink xmlns:r="http://schemas.openxmlformats.org/officeDocument/2006/relationships" ref="F1305" r:id="rId1283"/>
    <hyperlink xmlns:r="http://schemas.openxmlformats.org/officeDocument/2006/relationships" ref="F1306" r:id="rId1284"/>
    <hyperlink xmlns:r="http://schemas.openxmlformats.org/officeDocument/2006/relationships" ref="F1307" r:id="rId1285"/>
    <hyperlink xmlns:r="http://schemas.openxmlformats.org/officeDocument/2006/relationships" ref="F1308" r:id="rId1286"/>
    <hyperlink xmlns:r="http://schemas.openxmlformats.org/officeDocument/2006/relationships" ref="F1309" r:id="rId1287"/>
    <hyperlink xmlns:r="http://schemas.openxmlformats.org/officeDocument/2006/relationships" ref="F1310" r:id="rId1288"/>
    <hyperlink xmlns:r="http://schemas.openxmlformats.org/officeDocument/2006/relationships" ref="F1311" r:id="rId1289"/>
    <hyperlink xmlns:r="http://schemas.openxmlformats.org/officeDocument/2006/relationships" ref="F1312" r:id="rId1290"/>
    <hyperlink xmlns:r="http://schemas.openxmlformats.org/officeDocument/2006/relationships" ref="F1313" r:id="rId1291"/>
    <hyperlink xmlns:r="http://schemas.openxmlformats.org/officeDocument/2006/relationships" ref="F1314" r:id="rId1292"/>
    <hyperlink xmlns:r="http://schemas.openxmlformats.org/officeDocument/2006/relationships" ref="F1315" r:id="rId1293"/>
    <hyperlink xmlns:r="http://schemas.openxmlformats.org/officeDocument/2006/relationships" ref="F1316" r:id="rId1294"/>
    <hyperlink xmlns:r="http://schemas.openxmlformats.org/officeDocument/2006/relationships" ref="F1317" r:id="rId1295"/>
    <hyperlink xmlns:r="http://schemas.openxmlformats.org/officeDocument/2006/relationships" ref="F1318" r:id="rId1296"/>
    <hyperlink xmlns:r="http://schemas.openxmlformats.org/officeDocument/2006/relationships" ref="F1319" r:id="rId1297"/>
    <hyperlink xmlns:r="http://schemas.openxmlformats.org/officeDocument/2006/relationships" ref="F1320" r:id="rId1298"/>
    <hyperlink xmlns:r="http://schemas.openxmlformats.org/officeDocument/2006/relationships" ref="F1321" r:id="rId1299"/>
    <hyperlink xmlns:r="http://schemas.openxmlformats.org/officeDocument/2006/relationships" ref="F1322" r:id="rId1300"/>
    <hyperlink xmlns:r="http://schemas.openxmlformats.org/officeDocument/2006/relationships" ref="F1323" r:id="rId1301"/>
    <hyperlink xmlns:r="http://schemas.openxmlformats.org/officeDocument/2006/relationships" ref="F1324" r:id="rId1302"/>
    <hyperlink xmlns:r="http://schemas.openxmlformats.org/officeDocument/2006/relationships" ref="F1325" r:id="rId1303"/>
    <hyperlink xmlns:r="http://schemas.openxmlformats.org/officeDocument/2006/relationships" ref="F1326" r:id="rId1304"/>
    <hyperlink xmlns:r="http://schemas.openxmlformats.org/officeDocument/2006/relationships" ref="F1327" r:id="rId1305"/>
    <hyperlink xmlns:r="http://schemas.openxmlformats.org/officeDocument/2006/relationships" ref="F1328" r:id="rId1306"/>
    <hyperlink xmlns:r="http://schemas.openxmlformats.org/officeDocument/2006/relationships" ref="F1329" r:id="rId1307"/>
    <hyperlink xmlns:r="http://schemas.openxmlformats.org/officeDocument/2006/relationships" ref="F1330" r:id="rId1308"/>
    <hyperlink xmlns:r="http://schemas.openxmlformats.org/officeDocument/2006/relationships" ref="F1331" r:id="rId1309"/>
    <hyperlink xmlns:r="http://schemas.openxmlformats.org/officeDocument/2006/relationships" ref="F1332" r:id="rId1310"/>
    <hyperlink xmlns:r="http://schemas.openxmlformats.org/officeDocument/2006/relationships" ref="F1333" r:id="rId1311"/>
    <hyperlink xmlns:r="http://schemas.openxmlformats.org/officeDocument/2006/relationships" ref="F1334" r:id="rId1312"/>
    <hyperlink xmlns:r="http://schemas.openxmlformats.org/officeDocument/2006/relationships" ref="F1335" r:id="rId1313"/>
    <hyperlink xmlns:r="http://schemas.openxmlformats.org/officeDocument/2006/relationships" ref="F1336" r:id="rId1314"/>
    <hyperlink xmlns:r="http://schemas.openxmlformats.org/officeDocument/2006/relationships" ref="F1337" r:id="rId1315"/>
    <hyperlink xmlns:r="http://schemas.openxmlformats.org/officeDocument/2006/relationships" ref="F1338" r:id="rId1316"/>
    <hyperlink xmlns:r="http://schemas.openxmlformats.org/officeDocument/2006/relationships" ref="F1339" r:id="rId1317"/>
    <hyperlink xmlns:r="http://schemas.openxmlformats.org/officeDocument/2006/relationships" ref="F1340" r:id="rId1318"/>
    <hyperlink xmlns:r="http://schemas.openxmlformats.org/officeDocument/2006/relationships" ref="F1341" r:id="rId1319"/>
    <hyperlink xmlns:r="http://schemas.openxmlformats.org/officeDocument/2006/relationships" ref="F1342" r:id="rId1320"/>
    <hyperlink xmlns:r="http://schemas.openxmlformats.org/officeDocument/2006/relationships" ref="F1343" r:id="rId1321"/>
    <hyperlink xmlns:r="http://schemas.openxmlformats.org/officeDocument/2006/relationships" ref="F1344" r:id="rId1322"/>
    <hyperlink xmlns:r="http://schemas.openxmlformats.org/officeDocument/2006/relationships" ref="F1345" r:id="rId1323"/>
    <hyperlink xmlns:r="http://schemas.openxmlformats.org/officeDocument/2006/relationships" ref="F1346" r:id="rId1324"/>
    <hyperlink xmlns:r="http://schemas.openxmlformats.org/officeDocument/2006/relationships" ref="F1347" r:id="rId1325"/>
    <hyperlink xmlns:r="http://schemas.openxmlformats.org/officeDocument/2006/relationships" ref="F1348" r:id="rId1326"/>
    <hyperlink xmlns:r="http://schemas.openxmlformats.org/officeDocument/2006/relationships" ref="F1349" r:id="rId1327"/>
    <hyperlink xmlns:r="http://schemas.openxmlformats.org/officeDocument/2006/relationships" ref="F1350" r:id="rId1328"/>
    <hyperlink xmlns:r="http://schemas.openxmlformats.org/officeDocument/2006/relationships" ref="F1351" r:id="rId1329"/>
    <hyperlink xmlns:r="http://schemas.openxmlformats.org/officeDocument/2006/relationships" ref="F1352" r:id="rId1330"/>
    <hyperlink xmlns:r="http://schemas.openxmlformats.org/officeDocument/2006/relationships" ref="F1353" r:id="rId1331"/>
    <hyperlink xmlns:r="http://schemas.openxmlformats.org/officeDocument/2006/relationships" ref="F1354" r:id="rId1332"/>
    <hyperlink xmlns:r="http://schemas.openxmlformats.org/officeDocument/2006/relationships" ref="F1355" r:id="rId1333"/>
    <hyperlink xmlns:r="http://schemas.openxmlformats.org/officeDocument/2006/relationships" ref="F1356" r:id="rId1334"/>
    <hyperlink xmlns:r="http://schemas.openxmlformats.org/officeDocument/2006/relationships" ref="F1357" r:id="rId1335"/>
    <hyperlink xmlns:r="http://schemas.openxmlformats.org/officeDocument/2006/relationships" ref="F1358" r:id="rId1336"/>
    <hyperlink xmlns:r="http://schemas.openxmlformats.org/officeDocument/2006/relationships" ref="F1359" r:id="rId1337"/>
    <hyperlink xmlns:r="http://schemas.openxmlformats.org/officeDocument/2006/relationships" ref="F1360" r:id="rId1338"/>
    <hyperlink xmlns:r="http://schemas.openxmlformats.org/officeDocument/2006/relationships" ref="F1361" r:id="rId1339"/>
    <hyperlink xmlns:r="http://schemas.openxmlformats.org/officeDocument/2006/relationships" ref="F1362" r:id="rId1340"/>
    <hyperlink xmlns:r="http://schemas.openxmlformats.org/officeDocument/2006/relationships" ref="F1363" r:id="rId1341"/>
    <hyperlink xmlns:r="http://schemas.openxmlformats.org/officeDocument/2006/relationships" ref="F1364" r:id="rId1342"/>
    <hyperlink xmlns:r="http://schemas.openxmlformats.org/officeDocument/2006/relationships" ref="F1365" r:id="rId1343"/>
    <hyperlink xmlns:r="http://schemas.openxmlformats.org/officeDocument/2006/relationships" ref="F1366" r:id="rId1344"/>
    <hyperlink xmlns:r="http://schemas.openxmlformats.org/officeDocument/2006/relationships" ref="F1367" r:id="rId1345"/>
    <hyperlink xmlns:r="http://schemas.openxmlformats.org/officeDocument/2006/relationships" ref="F1368" r:id="rId1346"/>
    <hyperlink xmlns:r="http://schemas.openxmlformats.org/officeDocument/2006/relationships" ref="F1369" r:id="rId1347"/>
    <hyperlink xmlns:r="http://schemas.openxmlformats.org/officeDocument/2006/relationships" ref="F1370" r:id="rId1348"/>
    <hyperlink xmlns:r="http://schemas.openxmlformats.org/officeDocument/2006/relationships" ref="F1371" r:id="rId1349"/>
    <hyperlink xmlns:r="http://schemas.openxmlformats.org/officeDocument/2006/relationships" ref="F1372" r:id="rId1350"/>
    <hyperlink xmlns:r="http://schemas.openxmlformats.org/officeDocument/2006/relationships" ref="F1373" r:id="rId1351"/>
    <hyperlink xmlns:r="http://schemas.openxmlformats.org/officeDocument/2006/relationships" ref="F1374" r:id="rId1352"/>
    <hyperlink xmlns:r="http://schemas.openxmlformats.org/officeDocument/2006/relationships" ref="F1375" r:id="rId1353"/>
    <hyperlink xmlns:r="http://schemas.openxmlformats.org/officeDocument/2006/relationships" ref="F1376" r:id="rId1354"/>
    <hyperlink xmlns:r="http://schemas.openxmlformats.org/officeDocument/2006/relationships" ref="F1377" r:id="rId1355"/>
    <hyperlink xmlns:r="http://schemas.openxmlformats.org/officeDocument/2006/relationships" ref="F1378" r:id="rId1356"/>
    <hyperlink xmlns:r="http://schemas.openxmlformats.org/officeDocument/2006/relationships" ref="F1379" r:id="rId1357"/>
    <hyperlink xmlns:r="http://schemas.openxmlformats.org/officeDocument/2006/relationships" ref="F1380" r:id="rId1358"/>
    <hyperlink xmlns:r="http://schemas.openxmlformats.org/officeDocument/2006/relationships" ref="F1381" r:id="rId1359"/>
    <hyperlink xmlns:r="http://schemas.openxmlformats.org/officeDocument/2006/relationships" ref="F1382" r:id="rId1360"/>
    <hyperlink xmlns:r="http://schemas.openxmlformats.org/officeDocument/2006/relationships" ref="F1383" r:id="rId1361"/>
    <hyperlink xmlns:r="http://schemas.openxmlformats.org/officeDocument/2006/relationships" ref="F1384" r:id="rId1362"/>
    <hyperlink xmlns:r="http://schemas.openxmlformats.org/officeDocument/2006/relationships" ref="F1385" r:id="rId1363"/>
    <hyperlink xmlns:r="http://schemas.openxmlformats.org/officeDocument/2006/relationships" ref="F1386" r:id="rId1364"/>
    <hyperlink xmlns:r="http://schemas.openxmlformats.org/officeDocument/2006/relationships" ref="F1387" r:id="rId1365"/>
    <hyperlink xmlns:r="http://schemas.openxmlformats.org/officeDocument/2006/relationships" ref="F1388" r:id="rId1366"/>
    <hyperlink xmlns:r="http://schemas.openxmlformats.org/officeDocument/2006/relationships" ref="F1389" r:id="rId1367"/>
    <hyperlink xmlns:r="http://schemas.openxmlformats.org/officeDocument/2006/relationships" ref="F1390" r:id="rId1368"/>
    <hyperlink xmlns:r="http://schemas.openxmlformats.org/officeDocument/2006/relationships" ref="F1391" r:id="rId1369"/>
    <hyperlink xmlns:r="http://schemas.openxmlformats.org/officeDocument/2006/relationships" ref="F1392" r:id="rId1370"/>
    <hyperlink xmlns:r="http://schemas.openxmlformats.org/officeDocument/2006/relationships" ref="F1393" r:id="rId1371"/>
    <hyperlink xmlns:r="http://schemas.openxmlformats.org/officeDocument/2006/relationships" ref="F1394" r:id="rId1372"/>
    <hyperlink xmlns:r="http://schemas.openxmlformats.org/officeDocument/2006/relationships" ref="F1395" r:id="rId1373"/>
    <hyperlink xmlns:r="http://schemas.openxmlformats.org/officeDocument/2006/relationships" ref="F1396" r:id="rId1374"/>
    <hyperlink xmlns:r="http://schemas.openxmlformats.org/officeDocument/2006/relationships" ref="F1397" r:id="rId1375"/>
    <hyperlink xmlns:r="http://schemas.openxmlformats.org/officeDocument/2006/relationships" ref="F1398" r:id="rId1376"/>
    <hyperlink xmlns:r="http://schemas.openxmlformats.org/officeDocument/2006/relationships" ref="F1399" r:id="rId1377"/>
    <hyperlink xmlns:r="http://schemas.openxmlformats.org/officeDocument/2006/relationships" ref="F1400" r:id="rId1378"/>
    <hyperlink xmlns:r="http://schemas.openxmlformats.org/officeDocument/2006/relationships" ref="F1401" r:id="rId1379"/>
    <hyperlink xmlns:r="http://schemas.openxmlformats.org/officeDocument/2006/relationships" ref="F1402" r:id="rId1380"/>
    <hyperlink xmlns:r="http://schemas.openxmlformats.org/officeDocument/2006/relationships" ref="F1403" r:id="rId1381"/>
    <hyperlink xmlns:r="http://schemas.openxmlformats.org/officeDocument/2006/relationships" ref="F1404" r:id="rId1382"/>
    <hyperlink xmlns:r="http://schemas.openxmlformats.org/officeDocument/2006/relationships" ref="F1405" r:id="rId1383"/>
    <hyperlink xmlns:r="http://schemas.openxmlformats.org/officeDocument/2006/relationships" ref="F1406" r:id="rId1384"/>
    <hyperlink xmlns:r="http://schemas.openxmlformats.org/officeDocument/2006/relationships" ref="F1407" r:id="rId1385"/>
    <hyperlink xmlns:r="http://schemas.openxmlformats.org/officeDocument/2006/relationships" ref="F1408" r:id="rId1386"/>
    <hyperlink xmlns:r="http://schemas.openxmlformats.org/officeDocument/2006/relationships" ref="F1409" r:id="rId1387"/>
    <hyperlink xmlns:r="http://schemas.openxmlformats.org/officeDocument/2006/relationships" ref="F1410" r:id="rId1388"/>
    <hyperlink xmlns:r="http://schemas.openxmlformats.org/officeDocument/2006/relationships" ref="F1411" r:id="rId1389"/>
    <hyperlink xmlns:r="http://schemas.openxmlformats.org/officeDocument/2006/relationships" ref="F1412" r:id="rId1390"/>
    <hyperlink xmlns:r="http://schemas.openxmlformats.org/officeDocument/2006/relationships" ref="F1413" r:id="rId1391"/>
    <hyperlink xmlns:r="http://schemas.openxmlformats.org/officeDocument/2006/relationships" ref="F1414" r:id="rId1392"/>
    <hyperlink xmlns:r="http://schemas.openxmlformats.org/officeDocument/2006/relationships" ref="F1415" r:id="rId1393"/>
    <hyperlink xmlns:r="http://schemas.openxmlformats.org/officeDocument/2006/relationships" ref="F1416" r:id="rId1394"/>
    <hyperlink xmlns:r="http://schemas.openxmlformats.org/officeDocument/2006/relationships" ref="F1417" r:id="rId1395"/>
    <hyperlink xmlns:r="http://schemas.openxmlformats.org/officeDocument/2006/relationships" ref="F1418" r:id="rId1396"/>
    <hyperlink xmlns:r="http://schemas.openxmlformats.org/officeDocument/2006/relationships" ref="F1419" r:id="rId1397"/>
    <hyperlink xmlns:r="http://schemas.openxmlformats.org/officeDocument/2006/relationships" ref="F1420" r:id="rId1398"/>
    <hyperlink xmlns:r="http://schemas.openxmlformats.org/officeDocument/2006/relationships" ref="F1421" r:id="rId1399"/>
    <hyperlink xmlns:r="http://schemas.openxmlformats.org/officeDocument/2006/relationships" ref="F1422" r:id="rId1400"/>
    <hyperlink xmlns:r="http://schemas.openxmlformats.org/officeDocument/2006/relationships" ref="F1423" r:id="rId1401"/>
    <hyperlink xmlns:r="http://schemas.openxmlformats.org/officeDocument/2006/relationships" ref="F1424" r:id="rId1402"/>
    <hyperlink xmlns:r="http://schemas.openxmlformats.org/officeDocument/2006/relationships" ref="F1425" r:id="rId1403"/>
    <hyperlink xmlns:r="http://schemas.openxmlformats.org/officeDocument/2006/relationships" ref="F1426" r:id="rId1404"/>
    <hyperlink xmlns:r="http://schemas.openxmlformats.org/officeDocument/2006/relationships" ref="F1427" r:id="rId1405"/>
    <hyperlink xmlns:r="http://schemas.openxmlformats.org/officeDocument/2006/relationships" ref="F1428" r:id="rId1406"/>
    <hyperlink xmlns:r="http://schemas.openxmlformats.org/officeDocument/2006/relationships" ref="F1429" r:id="rId1407"/>
    <hyperlink xmlns:r="http://schemas.openxmlformats.org/officeDocument/2006/relationships" ref="F1430" r:id="rId1408"/>
    <hyperlink xmlns:r="http://schemas.openxmlformats.org/officeDocument/2006/relationships" ref="F1431" r:id="rId1409"/>
    <hyperlink xmlns:r="http://schemas.openxmlformats.org/officeDocument/2006/relationships" ref="F1432" r:id="rId1410"/>
    <hyperlink xmlns:r="http://schemas.openxmlformats.org/officeDocument/2006/relationships" ref="F1433" r:id="rId1411"/>
    <hyperlink xmlns:r="http://schemas.openxmlformats.org/officeDocument/2006/relationships" ref="F1434" r:id="rId1412"/>
    <hyperlink xmlns:r="http://schemas.openxmlformats.org/officeDocument/2006/relationships" ref="F1435" r:id="rId1413"/>
    <hyperlink xmlns:r="http://schemas.openxmlformats.org/officeDocument/2006/relationships" ref="F1436" r:id="rId1414"/>
    <hyperlink xmlns:r="http://schemas.openxmlformats.org/officeDocument/2006/relationships" ref="F1437" r:id="rId1415"/>
    <hyperlink xmlns:r="http://schemas.openxmlformats.org/officeDocument/2006/relationships" ref="F1438" r:id="rId1416"/>
    <hyperlink xmlns:r="http://schemas.openxmlformats.org/officeDocument/2006/relationships" ref="F1439" r:id="rId1417"/>
    <hyperlink xmlns:r="http://schemas.openxmlformats.org/officeDocument/2006/relationships" ref="F1440" r:id="rId1418"/>
    <hyperlink xmlns:r="http://schemas.openxmlformats.org/officeDocument/2006/relationships" ref="F1441" r:id="rId1419"/>
    <hyperlink xmlns:r="http://schemas.openxmlformats.org/officeDocument/2006/relationships" ref="F1442" r:id="rId1420"/>
    <hyperlink xmlns:r="http://schemas.openxmlformats.org/officeDocument/2006/relationships" ref="F1443" r:id="rId1421"/>
    <hyperlink xmlns:r="http://schemas.openxmlformats.org/officeDocument/2006/relationships" ref="F1444" r:id="rId1422"/>
    <hyperlink xmlns:r="http://schemas.openxmlformats.org/officeDocument/2006/relationships" ref="F1445" r:id="rId1423"/>
    <hyperlink xmlns:r="http://schemas.openxmlformats.org/officeDocument/2006/relationships" ref="F1446" r:id="rId1424"/>
    <hyperlink xmlns:r="http://schemas.openxmlformats.org/officeDocument/2006/relationships" ref="F1447" r:id="rId1425"/>
    <hyperlink xmlns:r="http://schemas.openxmlformats.org/officeDocument/2006/relationships" ref="F1448" r:id="rId1426"/>
    <hyperlink xmlns:r="http://schemas.openxmlformats.org/officeDocument/2006/relationships" ref="F1449" r:id="rId1427"/>
    <hyperlink xmlns:r="http://schemas.openxmlformats.org/officeDocument/2006/relationships" ref="F1450" r:id="rId1428"/>
    <hyperlink xmlns:r="http://schemas.openxmlformats.org/officeDocument/2006/relationships" ref="F1451" r:id="rId1429"/>
    <hyperlink xmlns:r="http://schemas.openxmlformats.org/officeDocument/2006/relationships" ref="F1452" r:id="rId1430"/>
    <hyperlink xmlns:r="http://schemas.openxmlformats.org/officeDocument/2006/relationships" ref="F1453" r:id="rId1431"/>
    <hyperlink xmlns:r="http://schemas.openxmlformats.org/officeDocument/2006/relationships" ref="F1454" r:id="rId1432"/>
    <hyperlink xmlns:r="http://schemas.openxmlformats.org/officeDocument/2006/relationships" ref="F1455" r:id="rId1433"/>
    <hyperlink xmlns:r="http://schemas.openxmlformats.org/officeDocument/2006/relationships" ref="F1456" r:id="rId1434"/>
    <hyperlink xmlns:r="http://schemas.openxmlformats.org/officeDocument/2006/relationships" ref="F1457" r:id="rId1435"/>
    <hyperlink xmlns:r="http://schemas.openxmlformats.org/officeDocument/2006/relationships" ref="F1458" r:id="rId1436"/>
    <hyperlink xmlns:r="http://schemas.openxmlformats.org/officeDocument/2006/relationships" ref="F1459" r:id="rId1437"/>
    <hyperlink xmlns:r="http://schemas.openxmlformats.org/officeDocument/2006/relationships" ref="F1460" r:id="rId1438"/>
    <hyperlink xmlns:r="http://schemas.openxmlformats.org/officeDocument/2006/relationships" ref="F1461" r:id="rId1439"/>
    <hyperlink xmlns:r="http://schemas.openxmlformats.org/officeDocument/2006/relationships" ref="F1462" r:id="rId1440"/>
    <hyperlink xmlns:r="http://schemas.openxmlformats.org/officeDocument/2006/relationships" ref="F1463" r:id="rId1441"/>
    <hyperlink xmlns:r="http://schemas.openxmlformats.org/officeDocument/2006/relationships" ref="F1464" r:id="rId1442"/>
    <hyperlink xmlns:r="http://schemas.openxmlformats.org/officeDocument/2006/relationships" ref="F1465" r:id="rId1443"/>
    <hyperlink xmlns:r="http://schemas.openxmlformats.org/officeDocument/2006/relationships" ref="F1466" r:id="rId1444"/>
    <hyperlink xmlns:r="http://schemas.openxmlformats.org/officeDocument/2006/relationships" ref="F1467" r:id="rId1445"/>
    <hyperlink xmlns:r="http://schemas.openxmlformats.org/officeDocument/2006/relationships" ref="F1468" r:id="rId1446"/>
    <hyperlink xmlns:r="http://schemas.openxmlformats.org/officeDocument/2006/relationships" ref="F1469" r:id="rId1447"/>
    <hyperlink xmlns:r="http://schemas.openxmlformats.org/officeDocument/2006/relationships" ref="F1470" r:id="rId1448"/>
    <hyperlink xmlns:r="http://schemas.openxmlformats.org/officeDocument/2006/relationships" ref="F1471" r:id="rId1449"/>
    <hyperlink xmlns:r="http://schemas.openxmlformats.org/officeDocument/2006/relationships" ref="F1472" r:id="rId1450"/>
    <hyperlink xmlns:r="http://schemas.openxmlformats.org/officeDocument/2006/relationships" ref="F1473" r:id="rId1451"/>
    <hyperlink xmlns:r="http://schemas.openxmlformats.org/officeDocument/2006/relationships" ref="F1474" r:id="rId1452"/>
    <hyperlink xmlns:r="http://schemas.openxmlformats.org/officeDocument/2006/relationships" ref="F1475" r:id="rId1453"/>
    <hyperlink xmlns:r="http://schemas.openxmlformats.org/officeDocument/2006/relationships" ref="F1476" r:id="rId1454"/>
    <hyperlink xmlns:r="http://schemas.openxmlformats.org/officeDocument/2006/relationships" ref="F1477" r:id="rId1455"/>
    <hyperlink xmlns:r="http://schemas.openxmlformats.org/officeDocument/2006/relationships" ref="F1478" r:id="rId1456"/>
    <hyperlink xmlns:r="http://schemas.openxmlformats.org/officeDocument/2006/relationships" ref="F1479" r:id="rId1457"/>
    <hyperlink xmlns:r="http://schemas.openxmlformats.org/officeDocument/2006/relationships" ref="F1480" r:id="rId1458"/>
    <hyperlink xmlns:r="http://schemas.openxmlformats.org/officeDocument/2006/relationships" ref="F1481" r:id="rId1459"/>
    <hyperlink xmlns:r="http://schemas.openxmlformats.org/officeDocument/2006/relationships" ref="F1482" r:id="rId1460"/>
    <hyperlink xmlns:r="http://schemas.openxmlformats.org/officeDocument/2006/relationships" ref="F1483" r:id="rId1461"/>
    <hyperlink xmlns:r="http://schemas.openxmlformats.org/officeDocument/2006/relationships" ref="F1484" r:id="rId1462"/>
    <hyperlink xmlns:r="http://schemas.openxmlformats.org/officeDocument/2006/relationships" ref="F1485" r:id="rId1463"/>
    <hyperlink xmlns:r="http://schemas.openxmlformats.org/officeDocument/2006/relationships" ref="F1486" r:id="rId1464"/>
    <hyperlink xmlns:r="http://schemas.openxmlformats.org/officeDocument/2006/relationships" ref="F1487" r:id="rId1465"/>
    <hyperlink xmlns:r="http://schemas.openxmlformats.org/officeDocument/2006/relationships" ref="F1488" r:id="rId1466"/>
    <hyperlink xmlns:r="http://schemas.openxmlformats.org/officeDocument/2006/relationships" ref="F1489" r:id="rId1467"/>
    <hyperlink xmlns:r="http://schemas.openxmlformats.org/officeDocument/2006/relationships" ref="F1490" r:id="rId1468"/>
    <hyperlink xmlns:r="http://schemas.openxmlformats.org/officeDocument/2006/relationships" ref="F1491" r:id="rId1469"/>
    <hyperlink xmlns:r="http://schemas.openxmlformats.org/officeDocument/2006/relationships" ref="F1492" r:id="rId1470"/>
    <hyperlink xmlns:r="http://schemas.openxmlformats.org/officeDocument/2006/relationships" ref="F1493" r:id="rId1471"/>
    <hyperlink xmlns:r="http://schemas.openxmlformats.org/officeDocument/2006/relationships" ref="F1494" r:id="rId1472"/>
    <hyperlink xmlns:r="http://schemas.openxmlformats.org/officeDocument/2006/relationships" ref="F1495" r:id="rId1473"/>
    <hyperlink xmlns:r="http://schemas.openxmlformats.org/officeDocument/2006/relationships" ref="F1496" r:id="rId1474"/>
    <hyperlink xmlns:r="http://schemas.openxmlformats.org/officeDocument/2006/relationships" ref="F1497" r:id="rId1475"/>
    <hyperlink xmlns:r="http://schemas.openxmlformats.org/officeDocument/2006/relationships" ref="F1498" r:id="rId1476"/>
    <hyperlink xmlns:r="http://schemas.openxmlformats.org/officeDocument/2006/relationships" ref="F1499" r:id="rId1477"/>
    <hyperlink xmlns:r="http://schemas.openxmlformats.org/officeDocument/2006/relationships" ref="F1500" r:id="rId1478"/>
    <hyperlink xmlns:r="http://schemas.openxmlformats.org/officeDocument/2006/relationships" ref="F1501" r:id="rId1479"/>
    <hyperlink xmlns:r="http://schemas.openxmlformats.org/officeDocument/2006/relationships" ref="F1502" r:id="rId1480"/>
    <hyperlink xmlns:r="http://schemas.openxmlformats.org/officeDocument/2006/relationships" ref="F1503" r:id="rId1481"/>
    <hyperlink xmlns:r="http://schemas.openxmlformats.org/officeDocument/2006/relationships" ref="F1504" r:id="rId1482"/>
    <hyperlink xmlns:r="http://schemas.openxmlformats.org/officeDocument/2006/relationships" ref="F1505" r:id="rId1483"/>
    <hyperlink xmlns:r="http://schemas.openxmlformats.org/officeDocument/2006/relationships" ref="F1506" r:id="rId1484"/>
    <hyperlink xmlns:r="http://schemas.openxmlformats.org/officeDocument/2006/relationships" ref="F1507" r:id="rId1485"/>
    <hyperlink xmlns:r="http://schemas.openxmlformats.org/officeDocument/2006/relationships" ref="F1508" r:id="rId1486"/>
    <hyperlink xmlns:r="http://schemas.openxmlformats.org/officeDocument/2006/relationships" ref="F1509" r:id="rId1487"/>
    <hyperlink xmlns:r="http://schemas.openxmlformats.org/officeDocument/2006/relationships" ref="F1510" r:id="rId1488"/>
    <hyperlink xmlns:r="http://schemas.openxmlformats.org/officeDocument/2006/relationships" ref="F1511" r:id="rId1489"/>
    <hyperlink xmlns:r="http://schemas.openxmlformats.org/officeDocument/2006/relationships" ref="F1512" r:id="rId1490"/>
    <hyperlink xmlns:r="http://schemas.openxmlformats.org/officeDocument/2006/relationships" ref="F1513" r:id="rId1491"/>
    <hyperlink xmlns:r="http://schemas.openxmlformats.org/officeDocument/2006/relationships" ref="F1514" r:id="rId1492"/>
    <hyperlink xmlns:r="http://schemas.openxmlformats.org/officeDocument/2006/relationships" ref="F1515" r:id="rId1493"/>
    <hyperlink xmlns:r="http://schemas.openxmlformats.org/officeDocument/2006/relationships" ref="F1516" r:id="rId1494"/>
    <hyperlink xmlns:r="http://schemas.openxmlformats.org/officeDocument/2006/relationships" ref="F1517" r:id="rId1495"/>
    <hyperlink xmlns:r="http://schemas.openxmlformats.org/officeDocument/2006/relationships" ref="F1518" r:id="rId1496"/>
    <hyperlink xmlns:r="http://schemas.openxmlformats.org/officeDocument/2006/relationships" ref="F1519" r:id="rId1497"/>
    <hyperlink xmlns:r="http://schemas.openxmlformats.org/officeDocument/2006/relationships" ref="F1520" r:id="rId1498"/>
    <hyperlink xmlns:r="http://schemas.openxmlformats.org/officeDocument/2006/relationships" ref="F1521" r:id="rId1499"/>
    <hyperlink xmlns:r="http://schemas.openxmlformats.org/officeDocument/2006/relationships" ref="F1522" r:id="rId1500"/>
    <hyperlink xmlns:r="http://schemas.openxmlformats.org/officeDocument/2006/relationships" ref="F1523" r:id="rId1501"/>
    <hyperlink xmlns:r="http://schemas.openxmlformats.org/officeDocument/2006/relationships" ref="F1524" r:id="rId1502"/>
    <hyperlink xmlns:r="http://schemas.openxmlformats.org/officeDocument/2006/relationships" ref="F1525" r:id="rId1503"/>
    <hyperlink xmlns:r="http://schemas.openxmlformats.org/officeDocument/2006/relationships" ref="F1526" r:id="rId1504"/>
    <hyperlink xmlns:r="http://schemas.openxmlformats.org/officeDocument/2006/relationships" ref="F1527" r:id="rId1505"/>
    <hyperlink xmlns:r="http://schemas.openxmlformats.org/officeDocument/2006/relationships" ref="F1528" r:id="rId1506"/>
    <hyperlink xmlns:r="http://schemas.openxmlformats.org/officeDocument/2006/relationships" ref="F1529" r:id="rId1507"/>
    <hyperlink xmlns:r="http://schemas.openxmlformats.org/officeDocument/2006/relationships" ref="F1530" r:id="rId1508"/>
    <hyperlink xmlns:r="http://schemas.openxmlformats.org/officeDocument/2006/relationships" ref="F1531" r:id="rId1509"/>
    <hyperlink xmlns:r="http://schemas.openxmlformats.org/officeDocument/2006/relationships" ref="F1532" r:id="rId1510"/>
    <hyperlink xmlns:r="http://schemas.openxmlformats.org/officeDocument/2006/relationships" ref="F1533" r:id="rId1511"/>
    <hyperlink xmlns:r="http://schemas.openxmlformats.org/officeDocument/2006/relationships" ref="F1534" r:id="rId1512"/>
    <hyperlink xmlns:r="http://schemas.openxmlformats.org/officeDocument/2006/relationships" ref="F1535" r:id="rId1513"/>
    <hyperlink xmlns:r="http://schemas.openxmlformats.org/officeDocument/2006/relationships" ref="F1536" r:id="rId1514"/>
    <hyperlink xmlns:r="http://schemas.openxmlformats.org/officeDocument/2006/relationships" ref="F1537" r:id="rId1515"/>
    <hyperlink xmlns:r="http://schemas.openxmlformats.org/officeDocument/2006/relationships" ref="F1538" r:id="rId1516"/>
    <hyperlink xmlns:r="http://schemas.openxmlformats.org/officeDocument/2006/relationships" ref="F1539" r:id="rId1517"/>
    <hyperlink xmlns:r="http://schemas.openxmlformats.org/officeDocument/2006/relationships" ref="F1540" r:id="rId1518"/>
    <hyperlink xmlns:r="http://schemas.openxmlformats.org/officeDocument/2006/relationships" ref="F1541" r:id="rId1519"/>
    <hyperlink xmlns:r="http://schemas.openxmlformats.org/officeDocument/2006/relationships" ref="F1542" r:id="rId1520"/>
    <hyperlink xmlns:r="http://schemas.openxmlformats.org/officeDocument/2006/relationships" ref="F1543" r:id="rId1521"/>
    <hyperlink xmlns:r="http://schemas.openxmlformats.org/officeDocument/2006/relationships" ref="F1544" r:id="rId1522"/>
    <hyperlink xmlns:r="http://schemas.openxmlformats.org/officeDocument/2006/relationships" ref="F1545" r:id="rId1523"/>
    <hyperlink xmlns:r="http://schemas.openxmlformats.org/officeDocument/2006/relationships" ref="F1546" r:id="rId1524"/>
    <hyperlink xmlns:r="http://schemas.openxmlformats.org/officeDocument/2006/relationships" ref="F1547" r:id="rId1525"/>
    <hyperlink xmlns:r="http://schemas.openxmlformats.org/officeDocument/2006/relationships" ref="F1548" r:id="rId1526"/>
    <hyperlink xmlns:r="http://schemas.openxmlformats.org/officeDocument/2006/relationships" ref="F1549" r:id="rId1527"/>
    <hyperlink xmlns:r="http://schemas.openxmlformats.org/officeDocument/2006/relationships" ref="F1550" r:id="rId1528"/>
    <hyperlink xmlns:r="http://schemas.openxmlformats.org/officeDocument/2006/relationships" ref="F1551" r:id="rId1529"/>
    <hyperlink xmlns:r="http://schemas.openxmlformats.org/officeDocument/2006/relationships" ref="F1552" r:id="rId1530"/>
    <hyperlink xmlns:r="http://schemas.openxmlformats.org/officeDocument/2006/relationships" ref="F1553" r:id="rId1531"/>
    <hyperlink xmlns:r="http://schemas.openxmlformats.org/officeDocument/2006/relationships" ref="F1554" r:id="rId1532"/>
    <hyperlink xmlns:r="http://schemas.openxmlformats.org/officeDocument/2006/relationships" ref="F1555" r:id="rId1533"/>
    <hyperlink xmlns:r="http://schemas.openxmlformats.org/officeDocument/2006/relationships" ref="F1556" r:id="rId1534"/>
    <hyperlink xmlns:r="http://schemas.openxmlformats.org/officeDocument/2006/relationships" ref="F1557" r:id="rId1535"/>
    <hyperlink xmlns:r="http://schemas.openxmlformats.org/officeDocument/2006/relationships" ref="F1558" r:id="rId1536"/>
    <hyperlink xmlns:r="http://schemas.openxmlformats.org/officeDocument/2006/relationships" ref="F1559" r:id="rId1537"/>
    <hyperlink xmlns:r="http://schemas.openxmlformats.org/officeDocument/2006/relationships" ref="F1560" r:id="rId1538"/>
    <hyperlink xmlns:r="http://schemas.openxmlformats.org/officeDocument/2006/relationships" ref="F1561" r:id="rId1539"/>
    <hyperlink xmlns:r="http://schemas.openxmlformats.org/officeDocument/2006/relationships" ref="F1562" r:id="rId1540"/>
    <hyperlink xmlns:r="http://schemas.openxmlformats.org/officeDocument/2006/relationships" ref="F1563" r:id="rId1541"/>
    <hyperlink xmlns:r="http://schemas.openxmlformats.org/officeDocument/2006/relationships" ref="F1564" r:id="rId1542"/>
    <hyperlink xmlns:r="http://schemas.openxmlformats.org/officeDocument/2006/relationships" ref="F1565" r:id="rId1543"/>
    <hyperlink xmlns:r="http://schemas.openxmlformats.org/officeDocument/2006/relationships" ref="F1566" r:id="rId1544"/>
    <hyperlink xmlns:r="http://schemas.openxmlformats.org/officeDocument/2006/relationships" ref="F1567" r:id="rId1545"/>
    <hyperlink xmlns:r="http://schemas.openxmlformats.org/officeDocument/2006/relationships" ref="F1568" r:id="rId1546"/>
    <hyperlink xmlns:r="http://schemas.openxmlformats.org/officeDocument/2006/relationships" ref="F1569" r:id="rId1547"/>
    <hyperlink xmlns:r="http://schemas.openxmlformats.org/officeDocument/2006/relationships" ref="F1570" r:id="rId1548"/>
    <hyperlink xmlns:r="http://schemas.openxmlformats.org/officeDocument/2006/relationships" ref="F1571" r:id="rId1549"/>
    <hyperlink xmlns:r="http://schemas.openxmlformats.org/officeDocument/2006/relationships" ref="F1572" r:id="rId1550"/>
    <hyperlink xmlns:r="http://schemas.openxmlformats.org/officeDocument/2006/relationships" ref="F1573" r:id="rId1551"/>
    <hyperlink xmlns:r="http://schemas.openxmlformats.org/officeDocument/2006/relationships" ref="F1574" r:id="rId1552"/>
    <hyperlink xmlns:r="http://schemas.openxmlformats.org/officeDocument/2006/relationships" ref="F1575" r:id="rId1553"/>
    <hyperlink xmlns:r="http://schemas.openxmlformats.org/officeDocument/2006/relationships" ref="F1576" r:id="rId1554"/>
    <hyperlink xmlns:r="http://schemas.openxmlformats.org/officeDocument/2006/relationships" ref="F1577" r:id="rId1555"/>
    <hyperlink xmlns:r="http://schemas.openxmlformats.org/officeDocument/2006/relationships" ref="F1578" r:id="rId1556"/>
    <hyperlink xmlns:r="http://schemas.openxmlformats.org/officeDocument/2006/relationships" ref="F1579" r:id="rId1557"/>
    <hyperlink xmlns:r="http://schemas.openxmlformats.org/officeDocument/2006/relationships" ref="F1580" r:id="rId1558"/>
    <hyperlink xmlns:r="http://schemas.openxmlformats.org/officeDocument/2006/relationships" ref="F1581" r:id="rId1559"/>
    <hyperlink xmlns:r="http://schemas.openxmlformats.org/officeDocument/2006/relationships" ref="F1582" r:id="rId1560"/>
    <hyperlink xmlns:r="http://schemas.openxmlformats.org/officeDocument/2006/relationships" ref="F1583" r:id="rId1561"/>
    <hyperlink xmlns:r="http://schemas.openxmlformats.org/officeDocument/2006/relationships" ref="F1584" r:id="rId1562"/>
    <hyperlink xmlns:r="http://schemas.openxmlformats.org/officeDocument/2006/relationships" ref="F1585" r:id="rId1563"/>
    <hyperlink xmlns:r="http://schemas.openxmlformats.org/officeDocument/2006/relationships" ref="F1586" r:id="rId1564"/>
    <hyperlink xmlns:r="http://schemas.openxmlformats.org/officeDocument/2006/relationships" ref="F1587" r:id="rId1565"/>
    <hyperlink xmlns:r="http://schemas.openxmlformats.org/officeDocument/2006/relationships" ref="F1588" r:id="rId1566"/>
    <hyperlink xmlns:r="http://schemas.openxmlformats.org/officeDocument/2006/relationships" ref="F1589" r:id="rId1567"/>
    <hyperlink xmlns:r="http://schemas.openxmlformats.org/officeDocument/2006/relationships" ref="F1590" r:id="rId1568"/>
    <hyperlink xmlns:r="http://schemas.openxmlformats.org/officeDocument/2006/relationships" ref="F1591" r:id="rId1569"/>
    <hyperlink xmlns:r="http://schemas.openxmlformats.org/officeDocument/2006/relationships" ref="F1592" r:id="rId1570"/>
    <hyperlink xmlns:r="http://schemas.openxmlformats.org/officeDocument/2006/relationships" ref="F1593" r:id="rId1571"/>
    <hyperlink xmlns:r="http://schemas.openxmlformats.org/officeDocument/2006/relationships" ref="F1594" r:id="rId1572"/>
    <hyperlink xmlns:r="http://schemas.openxmlformats.org/officeDocument/2006/relationships" ref="F1595" r:id="rId1573"/>
    <hyperlink xmlns:r="http://schemas.openxmlformats.org/officeDocument/2006/relationships" ref="F1596" r:id="rId1574"/>
    <hyperlink xmlns:r="http://schemas.openxmlformats.org/officeDocument/2006/relationships" ref="F1597" r:id="rId1575"/>
    <hyperlink xmlns:r="http://schemas.openxmlformats.org/officeDocument/2006/relationships" ref="F1598" r:id="rId1576"/>
    <hyperlink xmlns:r="http://schemas.openxmlformats.org/officeDocument/2006/relationships" ref="F1599" r:id="rId1577"/>
    <hyperlink xmlns:r="http://schemas.openxmlformats.org/officeDocument/2006/relationships" ref="F1600" r:id="rId1578"/>
    <hyperlink xmlns:r="http://schemas.openxmlformats.org/officeDocument/2006/relationships" ref="F1601" r:id="rId1579"/>
    <hyperlink xmlns:r="http://schemas.openxmlformats.org/officeDocument/2006/relationships" ref="F1602" r:id="rId1580"/>
    <hyperlink xmlns:r="http://schemas.openxmlformats.org/officeDocument/2006/relationships" ref="F1603" r:id="rId1581"/>
    <hyperlink xmlns:r="http://schemas.openxmlformats.org/officeDocument/2006/relationships" ref="F1604" r:id="rId1582"/>
    <hyperlink xmlns:r="http://schemas.openxmlformats.org/officeDocument/2006/relationships" ref="F1605" r:id="rId1583"/>
    <hyperlink xmlns:r="http://schemas.openxmlformats.org/officeDocument/2006/relationships" ref="F1606" r:id="rId1584"/>
    <hyperlink xmlns:r="http://schemas.openxmlformats.org/officeDocument/2006/relationships" ref="F1607" r:id="rId1585"/>
    <hyperlink xmlns:r="http://schemas.openxmlformats.org/officeDocument/2006/relationships" ref="F1608" r:id="rId1586"/>
    <hyperlink xmlns:r="http://schemas.openxmlformats.org/officeDocument/2006/relationships" ref="F1609" r:id="rId1587"/>
    <hyperlink xmlns:r="http://schemas.openxmlformats.org/officeDocument/2006/relationships" ref="F1610" r:id="rId1588"/>
    <hyperlink xmlns:r="http://schemas.openxmlformats.org/officeDocument/2006/relationships" ref="F1611" r:id="rId1589"/>
    <hyperlink xmlns:r="http://schemas.openxmlformats.org/officeDocument/2006/relationships" ref="F1612" r:id="rId1590"/>
    <hyperlink xmlns:r="http://schemas.openxmlformats.org/officeDocument/2006/relationships" ref="F1613" r:id="rId1591"/>
    <hyperlink xmlns:r="http://schemas.openxmlformats.org/officeDocument/2006/relationships" ref="F1614" r:id="rId1592"/>
    <hyperlink xmlns:r="http://schemas.openxmlformats.org/officeDocument/2006/relationships" ref="F1615" r:id="rId1593"/>
    <hyperlink xmlns:r="http://schemas.openxmlformats.org/officeDocument/2006/relationships" ref="F1616" r:id="rId1594"/>
    <hyperlink xmlns:r="http://schemas.openxmlformats.org/officeDocument/2006/relationships" ref="F1617" r:id="rId1595"/>
    <hyperlink xmlns:r="http://schemas.openxmlformats.org/officeDocument/2006/relationships" ref="F1618" r:id="rId1596"/>
    <hyperlink xmlns:r="http://schemas.openxmlformats.org/officeDocument/2006/relationships" ref="F1619" r:id="rId1597"/>
    <hyperlink xmlns:r="http://schemas.openxmlformats.org/officeDocument/2006/relationships" ref="F1620" r:id="rId1598"/>
    <hyperlink xmlns:r="http://schemas.openxmlformats.org/officeDocument/2006/relationships" ref="F1621" r:id="rId1599"/>
    <hyperlink xmlns:r="http://schemas.openxmlformats.org/officeDocument/2006/relationships" ref="F1622" r:id="rId1600"/>
    <hyperlink xmlns:r="http://schemas.openxmlformats.org/officeDocument/2006/relationships" ref="F1623" r:id="rId1601"/>
    <hyperlink xmlns:r="http://schemas.openxmlformats.org/officeDocument/2006/relationships" ref="F1624" r:id="rId1602"/>
    <hyperlink xmlns:r="http://schemas.openxmlformats.org/officeDocument/2006/relationships" ref="F1625" r:id="rId1603"/>
    <hyperlink xmlns:r="http://schemas.openxmlformats.org/officeDocument/2006/relationships" ref="F1626" r:id="rId1604"/>
    <hyperlink xmlns:r="http://schemas.openxmlformats.org/officeDocument/2006/relationships" ref="F1627" r:id="rId1605"/>
    <hyperlink xmlns:r="http://schemas.openxmlformats.org/officeDocument/2006/relationships" ref="F1628" r:id="rId1606"/>
    <hyperlink xmlns:r="http://schemas.openxmlformats.org/officeDocument/2006/relationships" ref="F1629" r:id="rId1607"/>
    <hyperlink xmlns:r="http://schemas.openxmlformats.org/officeDocument/2006/relationships" ref="F1630" r:id="rId1608"/>
    <hyperlink xmlns:r="http://schemas.openxmlformats.org/officeDocument/2006/relationships" ref="F1631" r:id="rId1609"/>
    <hyperlink xmlns:r="http://schemas.openxmlformats.org/officeDocument/2006/relationships" ref="F1632" r:id="rId1610"/>
    <hyperlink xmlns:r="http://schemas.openxmlformats.org/officeDocument/2006/relationships" ref="F1633" r:id="rId1611"/>
    <hyperlink xmlns:r="http://schemas.openxmlformats.org/officeDocument/2006/relationships" ref="F1634" r:id="rId1612"/>
    <hyperlink xmlns:r="http://schemas.openxmlformats.org/officeDocument/2006/relationships" ref="F1635" r:id="rId1613"/>
    <hyperlink xmlns:r="http://schemas.openxmlformats.org/officeDocument/2006/relationships" ref="F1636" r:id="rId1614"/>
    <hyperlink xmlns:r="http://schemas.openxmlformats.org/officeDocument/2006/relationships" ref="F1637" r:id="rId1615"/>
    <hyperlink xmlns:r="http://schemas.openxmlformats.org/officeDocument/2006/relationships" ref="F1638" r:id="rId1616"/>
    <hyperlink xmlns:r="http://schemas.openxmlformats.org/officeDocument/2006/relationships" ref="F1639" r:id="rId1617"/>
    <hyperlink xmlns:r="http://schemas.openxmlformats.org/officeDocument/2006/relationships" ref="F1640" r:id="rId1618"/>
    <hyperlink xmlns:r="http://schemas.openxmlformats.org/officeDocument/2006/relationships" ref="F1641" r:id="rId1619"/>
    <hyperlink xmlns:r="http://schemas.openxmlformats.org/officeDocument/2006/relationships" ref="F1642" r:id="rId1620"/>
    <hyperlink xmlns:r="http://schemas.openxmlformats.org/officeDocument/2006/relationships" ref="F1643" r:id="rId1621"/>
    <hyperlink xmlns:r="http://schemas.openxmlformats.org/officeDocument/2006/relationships" ref="F1644" r:id="rId1622"/>
    <hyperlink xmlns:r="http://schemas.openxmlformats.org/officeDocument/2006/relationships" ref="F1645" r:id="rId1623"/>
    <hyperlink xmlns:r="http://schemas.openxmlformats.org/officeDocument/2006/relationships" ref="F1646" r:id="rId1624"/>
    <hyperlink xmlns:r="http://schemas.openxmlformats.org/officeDocument/2006/relationships" ref="F1647" r:id="rId1625"/>
    <hyperlink xmlns:r="http://schemas.openxmlformats.org/officeDocument/2006/relationships" ref="F1648" r:id="rId1626"/>
    <hyperlink xmlns:r="http://schemas.openxmlformats.org/officeDocument/2006/relationships" ref="F1649" r:id="rId1627"/>
    <hyperlink xmlns:r="http://schemas.openxmlformats.org/officeDocument/2006/relationships" ref="F1650" r:id="rId1628"/>
    <hyperlink xmlns:r="http://schemas.openxmlformats.org/officeDocument/2006/relationships" ref="F1651" r:id="rId1629"/>
    <hyperlink xmlns:r="http://schemas.openxmlformats.org/officeDocument/2006/relationships" ref="F1652" r:id="rId1630"/>
    <hyperlink xmlns:r="http://schemas.openxmlformats.org/officeDocument/2006/relationships" ref="F1653" r:id="rId1631"/>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tabColor rgb="008B8F97"/>
    <outlinePr summaryBelow="0" summaryRight="0"/>
    <pageSetUpPr fitToPage="1"/>
  </sheetPr>
  <dimension ref="A1:J93"/>
  <sheetViews>
    <sheetView showGridLines="0" tabSelected="0" topLeftCell="A1" zoomScale="100" zoomScaleNormal="10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2" customWidth="1" min="2" max="2"/>
    <col width="46" customWidth="1" min="3" max="3"/>
    <col width="22" customWidth="1" min="4" max="4"/>
    <col width="22" customWidth="1" min="5" max="5"/>
    <col width="22" customWidth="1" min="6" max="6"/>
    <col width="22" customWidth="1" min="7" max="7"/>
    <col width="14" customWidth="1" min="8" max="8"/>
    <col width="14" customWidth="1" min="9" max="9"/>
    <col width="16" customWidth="1" min="10" max="10"/>
  </cols>
  <sheetData>
    <row r="1" ht="33.2" customHeight="1">
      <c r="A1" s="97" t="inlineStr">
        <is>
          <t>WBS HIERARCHY</t>
        </is>
      </c>
    </row>
    <row r="2" ht="35.92" customHeight="1">
      <c r="A2" s="46" t="inlineStr">
        <is>
          <t>The approved WBS as a scope hierarchy. Use the outline buttons (1, 2, 3 ...) at the left to collapse or expand levels; counts recalculate from MASTER DATA.</t>
        </is>
      </c>
    </row>
    <row r="3" ht="19"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row>
    <row r="4" ht="35.92" customHeight="1">
      <c r="A4" s="53" t="inlineStr">
        <is>
          <t>Advanced scope tree / relationship ROW counts → primary relationship coverage/status view</t>
        </is>
      </c>
    </row>
    <row r="5" ht="80.80000000000001" customHeight="1">
      <c r="A5" s="27" t="inlineStr">
        <is>
          <t>Counts are relationship ROWS in MASTER DATA: one row per record-to-WBS target. A relationship split across several WBS targets has one row per target; NO_WBS / NEW_SCOPE / UNSURE rows carry the outcome in the WBS Code column; retired rows (Relationship State RETIRED) are included, as in MASTER DATA -- filter Relationship State to exclude them. Branch = this element and every element beneath it.</t>
        </is>
      </c>
    </row>
    <row r="6" ht="49" customHeight="1">
      <c r="A6" s="11" t="inlineStr">
        <is>
          <t>Level</t>
        </is>
      </c>
      <c r="B6" s="11" t="inlineStr">
        <is>
          <t>WBS</t>
        </is>
      </c>
      <c r="C6" s="11" t="inlineStr">
        <is>
          <t>Hierarchy</t>
        </is>
      </c>
      <c r="D6" s="11" t="inlineStr">
        <is>
          <t>L1</t>
        </is>
      </c>
      <c r="E6" s="11" t="inlineStr">
        <is>
          <t>L2</t>
        </is>
      </c>
      <c r="F6" s="11" t="inlineStr">
        <is>
          <t>L3</t>
        </is>
      </c>
      <c r="G6" s="11" t="inlineStr">
        <is>
          <t>L4</t>
        </is>
      </c>
      <c r="H6" s="11" t="inlineStr">
        <is>
          <t>Direct relationship rows</t>
        </is>
      </c>
      <c r="I6" s="11" t="inlineStr">
        <is>
          <t>Branch relationship rows</t>
        </is>
      </c>
      <c r="J6" s="11" t="inlineStr">
        <is>
          <t>Crosswalk</t>
        </is>
      </c>
    </row>
    <row r="7" ht="79" customHeight="1">
      <c r="A7" s="56" t="n">
        <v>1</v>
      </c>
      <c r="B7" s="55" t="inlineStr">
        <is>
          <t>1</t>
        </is>
      </c>
      <c r="C7" s="55" t="inlineStr">
        <is>
          <t>1 HarbourLink Urban Transit Expansion</t>
        </is>
      </c>
      <c r="D7" s="55" t="inlineStr">
        <is>
          <t>1 HarbourLink Urban Transit Expansion</t>
        </is>
      </c>
      <c r="H7" s="10">
        <f>COUNTIF('MASTER DATA'!$A$2:$A$1624,"=1")</f>
        <v/>
      </c>
      <c r="I7" s="25">
        <f>SUM(H7:H85)</f>
        <v/>
      </c>
      <c r="J7" s="53" t="inlineStr">
        <is>
          <t>08 CROSSWALK</t>
        </is>
      </c>
    </row>
    <row r="8" outlineLevel="1" ht="79" customHeight="1">
      <c r="A8" s="32" t="n">
        <v>2</v>
      </c>
      <c r="B8" s="12" t="inlineStr">
        <is>
          <t>1.1</t>
        </is>
      </c>
      <c r="C8" s="12" t="inlineStr">
        <is>
          <t>├─ 1.1 Guideway and Civil</t>
        </is>
      </c>
      <c r="E8" s="12" t="inlineStr">
        <is>
          <t>1.1 Guideway and Civil</t>
        </is>
      </c>
      <c r="H8" s="10">
        <f>COUNTIF('MASTER DATA'!$A$2:$A$1624,"=1.1")</f>
        <v/>
      </c>
      <c r="I8" s="10">
        <f>SUM(H8:H20)</f>
        <v/>
      </c>
      <c r="J8" s="53" t="inlineStr">
        <is>
          <t>08 CROSSWALK</t>
        </is>
      </c>
    </row>
    <row r="9" outlineLevel="2" ht="79" customHeight="1">
      <c r="A9" s="32" t="n">
        <v>3</v>
      </c>
      <c r="B9" s="12" t="inlineStr">
        <is>
          <t>1.1.1</t>
        </is>
      </c>
      <c r="C9" s="12" t="inlineStr">
        <is>
          <t>│  ├─ 1.1.1 Guideway and Civil - Guideway Structures</t>
        </is>
      </c>
      <c r="F9" s="12" t="inlineStr">
        <is>
          <t>1.1.1 Guideway and Civil - Guideway Structures</t>
        </is>
      </c>
      <c r="H9" s="10">
        <f>COUNTIF('MASTER DATA'!$A$2:$A$1624,"=1.1.1")</f>
        <v/>
      </c>
      <c r="I9" s="10">
        <f>SUM(H9:H11)</f>
        <v/>
      </c>
      <c r="J9" s="53" t="inlineStr">
        <is>
          <t>08 CROSSWALK</t>
        </is>
      </c>
    </row>
    <row r="10" outlineLevel="3" ht="79" customHeight="1">
      <c r="A10" s="32" t="n">
        <v>4</v>
      </c>
      <c r="B10" s="12" t="inlineStr">
        <is>
          <t>1.1.1.1</t>
        </is>
      </c>
      <c r="C10" s="12" t="inlineStr">
        <is>
          <t>│  │  ├─ 1.1.1.1 Guideway Structures - East Segment</t>
        </is>
      </c>
      <c r="G10" s="12" t="inlineStr">
        <is>
          <t>1.1.1.1 Guideway Structures - East Segment</t>
        </is>
      </c>
      <c r="H10" s="10">
        <f>COUNTIF('MASTER DATA'!$A$2:$A$1624,"=1.1.1.1")</f>
        <v/>
      </c>
      <c r="I10" s="10">
        <f>SUM(H10:H10)</f>
        <v/>
      </c>
      <c r="J10" s="46" t="inlineStr">
        <is>
          <t>No relationships</t>
        </is>
      </c>
    </row>
    <row r="11" outlineLevel="3" ht="79" customHeight="1">
      <c r="A11" s="32" t="n">
        <v>4</v>
      </c>
      <c r="B11" s="12" t="inlineStr">
        <is>
          <t>1.1.1.2</t>
        </is>
      </c>
      <c r="C11" s="12" t="inlineStr">
        <is>
          <t>│  │  └─ 1.1.1.2 Guideway Structures - West Segment</t>
        </is>
      </c>
      <c r="G11" s="12" t="inlineStr">
        <is>
          <t>1.1.1.2 Guideway Structures - West Segment</t>
        </is>
      </c>
      <c r="H11" s="10">
        <f>COUNTIF('MASTER DATA'!$A$2:$A$1624,"=1.1.1.2")</f>
        <v/>
      </c>
      <c r="I11" s="10">
        <f>SUM(H11:H11)</f>
        <v/>
      </c>
      <c r="J11" s="46" t="inlineStr">
        <is>
          <t>No relationships</t>
        </is>
      </c>
    </row>
    <row r="12" outlineLevel="2" ht="79" customHeight="1">
      <c r="A12" s="32" t="n">
        <v>3</v>
      </c>
      <c r="B12" s="12" t="inlineStr">
        <is>
          <t>1.1.2</t>
        </is>
      </c>
      <c r="C12" s="12" t="inlineStr">
        <is>
          <t>│  ├─ 1.1.2 Guideway and Civil - Utility &amp; Roadworks</t>
        </is>
      </c>
      <c r="F12" s="12" t="inlineStr">
        <is>
          <t>1.1.2 Guideway and Civil - Utility &amp; Roadworks</t>
        </is>
      </c>
      <c r="H12" s="10">
        <f>COUNTIF('MASTER DATA'!$A$2:$A$1624,"=1.1.2")</f>
        <v/>
      </c>
      <c r="I12" s="10">
        <f>SUM(H12:H14)</f>
        <v/>
      </c>
      <c r="J12" s="53" t="inlineStr">
        <is>
          <t>08 CROSSWALK</t>
        </is>
      </c>
    </row>
    <row r="13" outlineLevel="3" ht="79" customHeight="1">
      <c r="A13" s="32" t="n">
        <v>4</v>
      </c>
      <c r="B13" s="12" t="inlineStr">
        <is>
          <t>1.1.2.1</t>
        </is>
      </c>
      <c r="C13" s="12" t="inlineStr">
        <is>
          <t>│  │  ├─ 1.1.2.1 Utility &amp; Roadworks - East Segment</t>
        </is>
      </c>
      <c r="G13" s="12" t="inlineStr">
        <is>
          <t>1.1.2.1 Utility &amp; Roadworks - East Segment</t>
        </is>
      </c>
      <c r="H13" s="10">
        <f>COUNTIF('MASTER DATA'!$A$2:$A$1624,"=1.1.2.1")</f>
        <v/>
      </c>
      <c r="I13" s="10">
        <f>SUM(H13:H13)</f>
        <v/>
      </c>
      <c r="J13" s="46" t="inlineStr">
        <is>
          <t>No relationships</t>
        </is>
      </c>
    </row>
    <row r="14" outlineLevel="3" ht="79" customHeight="1">
      <c r="A14" s="32" t="n">
        <v>4</v>
      </c>
      <c r="B14" s="12" t="inlineStr">
        <is>
          <t>1.1.2.2</t>
        </is>
      </c>
      <c r="C14" s="12" t="inlineStr">
        <is>
          <t>│  │  └─ 1.1.2.2 Utility &amp; Roadworks - West Segment</t>
        </is>
      </c>
      <c r="G14" s="12" t="inlineStr">
        <is>
          <t>1.1.2.2 Utility &amp; Roadworks - West Segment</t>
        </is>
      </c>
      <c r="H14" s="10">
        <f>COUNTIF('MASTER DATA'!$A$2:$A$1624,"=1.1.2.2")</f>
        <v/>
      </c>
      <c r="I14" s="10">
        <f>SUM(H14:H14)</f>
        <v/>
      </c>
      <c r="J14" s="46" t="inlineStr">
        <is>
          <t>No relationships</t>
        </is>
      </c>
    </row>
    <row r="15" outlineLevel="2" ht="79" customHeight="1">
      <c r="A15" s="32" t="n">
        <v>3</v>
      </c>
      <c r="B15" s="12" t="inlineStr">
        <is>
          <t>1.1.3</t>
        </is>
      </c>
      <c r="C15" s="12" t="inlineStr">
        <is>
          <t>│  ├─ 1.1.3 Guideway and Civil - Track Support Works</t>
        </is>
      </c>
      <c r="F15" s="12" t="inlineStr">
        <is>
          <t>1.1.3 Guideway and Civil - Track Support Works</t>
        </is>
      </c>
      <c r="H15" s="10">
        <f>COUNTIF('MASTER DATA'!$A$2:$A$1624,"=1.1.3")</f>
        <v/>
      </c>
      <c r="I15" s="10">
        <f>SUM(H15:H17)</f>
        <v/>
      </c>
      <c r="J15" s="46" t="inlineStr">
        <is>
          <t>No relationships</t>
        </is>
      </c>
    </row>
    <row r="16" outlineLevel="3" ht="79" customHeight="1">
      <c r="A16" s="32" t="n">
        <v>4</v>
      </c>
      <c r="B16" s="12" t="inlineStr">
        <is>
          <t>1.1.3.1</t>
        </is>
      </c>
      <c r="C16" s="12" t="inlineStr">
        <is>
          <t>│  │  ├─ 1.1.3.1 Track Support Works - East Segment</t>
        </is>
      </c>
      <c r="G16" s="12" t="inlineStr">
        <is>
          <t>1.1.3.1 Track Support Works - East Segment</t>
        </is>
      </c>
      <c r="H16" s="10">
        <f>COUNTIF('MASTER DATA'!$A$2:$A$1624,"=1.1.3.1")</f>
        <v/>
      </c>
      <c r="I16" s="10">
        <f>SUM(H16:H16)</f>
        <v/>
      </c>
      <c r="J16" s="46" t="inlineStr">
        <is>
          <t>No relationships</t>
        </is>
      </c>
    </row>
    <row r="17" outlineLevel="3" ht="79" customHeight="1">
      <c r="A17" s="32" t="n">
        <v>4</v>
      </c>
      <c r="B17" s="12" t="inlineStr">
        <is>
          <t>1.1.3.2</t>
        </is>
      </c>
      <c r="C17" s="12" t="inlineStr">
        <is>
          <t>│  │  └─ 1.1.3.2 Track Support Works - West Segment</t>
        </is>
      </c>
      <c r="G17" s="12" t="inlineStr">
        <is>
          <t>1.1.3.2 Track Support Works - West Segment</t>
        </is>
      </c>
      <c r="H17" s="10">
        <f>COUNTIF('MASTER DATA'!$A$2:$A$1624,"=1.1.3.2")</f>
        <v/>
      </c>
      <c r="I17" s="10">
        <f>SUM(H17:H17)</f>
        <v/>
      </c>
      <c r="J17" s="46" t="inlineStr">
        <is>
          <t>No relationships</t>
        </is>
      </c>
    </row>
    <row r="18" outlineLevel="2" ht="79" customHeight="1">
      <c r="A18" s="32" t="n">
        <v>3</v>
      </c>
      <c r="B18" s="12" t="inlineStr">
        <is>
          <t>1.1.4</t>
        </is>
      </c>
      <c r="C18" s="12" t="inlineStr">
        <is>
          <t>│  └─ 1.1.4 Guideway and Civil - Civil Interfaces</t>
        </is>
      </c>
      <c r="F18" s="12" t="inlineStr">
        <is>
          <t>1.1.4 Guideway and Civil - Civil Interfaces</t>
        </is>
      </c>
      <c r="H18" s="10">
        <f>COUNTIF('MASTER DATA'!$A$2:$A$1624,"=1.1.4")</f>
        <v/>
      </c>
      <c r="I18" s="10">
        <f>SUM(H18:H20)</f>
        <v/>
      </c>
      <c r="J18" s="46" t="inlineStr">
        <is>
          <t>No relationships</t>
        </is>
      </c>
    </row>
    <row r="19" outlineLevel="3" ht="79" customHeight="1">
      <c r="A19" s="32" t="n">
        <v>4</v>
      </c>
      <c r="B19" s="12" t="inlineStr">
        <is>
          <t>1.1.4.1</t>
        </is>
      </c>
      <c r="C19" s="12" t="inlineStr">
        <is>
          <t>│     ├─ 1.1.4.1 Civil Interfaces - East Segment</t>
        </is>
      </c>
      <c r="G19" s="12" t="inlineStr">
        <is>
          <t>1.1.4.1 Civil Interfaces - East Segment</t>
        </is>
      </c>
      <c r="H19" s="10">
        <f>COUNTIF('MASTER DATA'!$A$2:$A$1624,"=1.1.4.1")</f>
        <v/>
      </c>
      <c r="I19" s="10">
        <f>SUM(H19:H19)</f>
        <v/>
      </c>
      <c r="J19" s="46" t="inlineStr">
        <is>
          <t>No relationships</t>
        </is>
      </c>
    </row>
    <row r="20" outlineLevel="3" ht="79" customHeight="1">
      <c r="A20" s="32" t="n">
        <v>4</v>
      </c>
      <c r="B20" s="12" t="inlineStr">
        <is>
          <t>1.1.4.2</t>
        </is>
      </c>
      <c r="C20" s="12" t="inlineStr">
        <is>
          <t>│     └─ 1.1.4.2 Civil Interfaces - West Segment</t>
        </is>
      </c>
      <c r="G20" s="12" t="inlineStr">
        <is>
          <t>1.1.4.2 Civil Interfaces - West Segment</t>
        </is>
      </c>
      <c r="H20" s="10">
        <f>COUNTIF('MASTER DATA'!$A$2:$A$1624,"=1.1.4.2")</f>
        <v/>
      </c>
      <c r="I20" s="10">
        <f>SUM(H20:H20)</f>
        <v/>
      </c>
      <c r="J20" s="46" t="inlineStr">
        <is>
          <t>No relationships</t>
        </is>
      </c>
    </row>
    <row r="21" outlineLevel="1" ht="79" customHeight="1">
      <c r="A21" s="32" t="n">
        <v>2</v>
      </c>
      <c r="B21" s="12" t="inlineStr">
        <is>
          <t>1.2</t>
        </is>
      </c>
      <c r="C21" s="12" t="inlineStr">
        <is>
          <t>├─ 1.2 Stations</t>
        </is>
      </c>
      <c r="E21" s="12" t="inlineStr">
        <is>
          <t>1.2 Stations</t>
        </is>
      </c>
      <c r="H21" s="10">
        <f>COUNTIF('MASTER DATA'!$A$2:$A$1624,"=1.2")</f>
        <v/>
      </c>
      <c r="I21" s="10">
        <f>SUM(H21:H33)</f>
        <v/>
      </c>
      <c r="J21" s="53" t="inlineStr">
        <is>
          <t>08 CROSSWALK</t>
        </is>
      </c>
    </row>
    <row r="22" outlineLevel="2" ht="79" customHeight="1">
      <c r="A22" s="32" t="n">
        <v>3</v>
      </c>
      <c r="B22" s="12" t="inlineStr">
        <is>
          <t>1.2.1</t>
        </is>
      </c>
      <c r="C22" s="12" t="inlineStr">
        <is>
          <t>│  ├─ 1.2.1 Stations - Station Structures</t>
        </is>
      </c>
      <c r="F22" s="12" t="inlineStr">
        <is>
          <t>1.2.1 Stations - Station Structures</t>
        </is>
      </c>
      <c r="H22" s="10">
        <f>COUNTIF('MASTER DATA'!$A$2:$A$1624,"=1.2.1")</f>
        <v/>
      </c>
      <c r="I22" s="10">
        <f>SUM(H22:H24)</f>
        <v/>
      </c>
      <c r="J22" s="53" t="inlineStr">
        <is>
          <t>08 CROSSWALK</t>
        </is>
      </c>
    </row>
    <row r="23" outlineLevel="3" ht="79" customHeight="1">
      <c r="A23" s="32" t="n">
        <v>4</v>
      </c>
      <c r="B23" s="12" t="inlineStr">
        <is>
          <t>1.2.1.1</t>
        </is>
      </c>
      <c r="C23" s="12" t="inlineStr">
        <is>
          <t>│  │  ├─ 1.2.1.1 Station Structures - Concourse &amp; Entries</t>
        </is>
      </c>
      <c r="G23" s="12" t="inlineStr">
        <is>
          <t>1.2.1.1 Station Structures - Concourse &amp; Entries</t>
        </is>
      </c>
      <c r="H23" s="10">
        <f>COUNTIF('MASTER DATA'!$A$2:$A$1624,"=1.2.1.1")</f>
        <v/>
      </c>
      <c r="I23" s="10">
        <f>SUM(H23:H23)</f>
        <v/>
      </c>
      <c r="J23" s="46" t="inlineStr">
        <is>
          <t>No relationships</t>
        </is>
      </c>
    </row>
    <row r="24" outlineLevel="3" ht="79" customHeight="1">
      <c r="A24" s="32" t="n">
        <v>4</v>
      </c>
      <c r="B24" s="12" t="inlineStr">
        <is>
          <t>1.2.1.2</t>
        </is>
      </c>
      <c r="C24" s="12" t="inlineStr">
        <is>
          <t>│  │  └─ 1.2.1.2 Station Structures - Platforms &amp; Back-of-House</t>
        </is>
      </c>
      <c r="G24" s="12" t="inlineStr">
        <is>
          <t>1.2.1.2 Station Structures - Platforms &amp; Back-of-House</t>
        </is>
      </c>
      <c r="H24" s="10">
        <f>COUNTIF('MASTER DATA'!$A$2:$A$1624,"=1.2.1.2")</f>
        <v/>
      </c>
      <c r="I24" s="10">
        <f>SUM(H24:H24)</f>
        <v/>
      </c>
      <c r="J24" s="46" t="inlineStr">
        <is>
          <t>No relationships</t>
        </is>
      </c>
    </row>
    <row r="25" outlineLevel="2" ht="79" customHeight="1">
      <c r="A25" s="32" t="n">
        <v>3</v>
      </c>
      <c r="B25" s="12" t="inlineStr">
        <is>
          <t>1.2.2</t>
        </is>
      </c>
      <c r="C25" s="12" t="inlineStr">
        <is>
          <t>│  ├─ 1.2.2 Stations - Architectural Fit-Out</t>
        </is>
      </c>
      <c r="F25" s="12" t="inlineStr">
        <is>
          <t>1.2.2 Stations - Architectural Fit-Out</t>
        </is>
      </c>
      <c r="H25" s="10">
        <f>COUNTIF('MASTER DATA'!$A$2:$A$1624,"=1.2.2")</f>
        <v/>
      </c>
      <c r="I25" s="10">
        <f>SUM(H25:H27)</f>
        <v/>
      </c>
      <c r="J25" s="53" t="inlineStr">
        <is>
          <t>08 CROSSWALK</t>
        </is>
      </c>
    </row>
    <row r="26" outlineLevel="3" ht="79" customHeight="1">
      <c r="A26" s="32" t="n">
        <v>4</v>
      </c>
      <c r="B26" s="12" t="inlineStr">
        <is>
          <t>1.2.2.1</t>
        </is>
      </c>
      <c r="C26" s="12" t="inlineStr">
        <is>
          <t>│  │  ├─ 1.2.2.1 Architectural Fit-Out - Concourse &amp; Entries</t>
        </is>
      </c>
      <c r="G26" s="12" t="inlineStr">
        <is>
          <t>1.2.2.1 Architectural Fit-Out - Concourse &amp; Entries</t>
        </is>
      </c>
      <c r="H26" s="10">
        <f>COUNTIF('MASTER DATA'!$A$2:$A$1624,"=1.2.2.1")</f>
        <v/>
      </c>
      <c r="I26" s="10">
        <f>SUM(H26:H26)</f>
        <v/>
      </c>
      <c r="J26" s="46" t="inlineStr">
        <is>
          <t>No relationships</t>
        </is>
      </c>
    </row>
    <row r="27" outlineLevel="3" ht="79" customHeight="1">
      <c r="A27" s="32" t="n">
        <v>4</v>
      </c>
      <c r="B27" s="12" t="inlineStr">
        <is>
          <t>1.2.2.2</t>
        </is>
      </c>
      <c r="C27" s="12" t="inlineStr">
        <is>
          <t>│  │  └─ 1.2.2.2 Architectural Fit-Out - Platforms &amp; Back-of-House</t>
        </is>
      </c>
      <c r="G27" s="12" t="inlineStr">
        <is>
          <t>1.2.2.2 Architectural Fit-Out - Platforms &amp; Back-of-House</t>
        </is>
      </c>
      <c r="H27" s="10">
        <f>COUNTIF('MASTER DATA'!$A$2:$A$1624,"=1.2.2.2")</f>
        <v/>
      </c>
      <c r="I27" s="10">
        <f>SUM(H27:H27)</f>
        <v/>
      </c>
      <c r="J27" s="46" t="inlineStr">
        <is>
          <t>No relationships</t>
        </is>
      </c>
    </row>
    <row r="28" outlineLevel="2" ht="79" customHeight="1">
      <c r="A28" s="32" t="n">
        <v>3</v>
      </c>
      <c r="B28" s="12" t="inlineStr">
        <is>
          <t>1.2.3</t>
        </is>
      </c>
      <c r="C28" s="12" t="inlineStr">
        <is>
          <t>│  ├─ 1.2.3 Stations - Station Building Services</t>
        </is>
      </c>
      <c r="F28" s="12" t="inlineStr">
        <is>
          <t>1.2.3 Stations - Station Building Services</t>
        </is>
      </c>
      <c r="H28" s="10">
        <f>COUNTIF('MASTER DATA'!$A$2:$A$1624,"=1.2.3")</f>
        <v/>
      </c>
      <c r="I28" s="10">
        <f>SUM(H28:H30)</f>
        <v/>
      </c>
      <c r="J28" s="46" t="inlineStr">
        <is>
          <t>No relationships</t>
        </is>
      </c>
    </row>
    <row r="29" outlineLevel="3" ht="79" customHeight="1">
      <c r="A29" s="32" t="n">
        <v>4</v>
      </c>
      <c r="B29" s="12" t="inlineStr">
        <is>
          <t>1.2.3.1</t>
        </is>
      </c>
      <c r="C29" s="12" t="inlineStr">
        <is>
          <t>│  │  ├─ 1.2.3.1 Station Building Services - Concourse &amp; Entries</t>
        </is>
      </c>
      <c r="G29" s="12" t="inlineStr">
        <is>
          <t>1.2.3.1 Station Building Services - Concourse &amp; Entries</t>
        </is>
      </c>
      <c r="H29" s="10">
        <f>COUNTIF('MASTER DATA'!$A$2:$A$1624,"=1.2.3.1")</f>
        <v/>
      </c>
      <c r="I29" s="10">
        <f>SUM(H29:H29)</f>
        <v/>
      </c>
      <c r="J29" s="46" t="inlineStr">
        <is>
          <t>No relationships</t>
        </is>
      </c>
    </row>
    <row r="30" outlineLevel="3" ht="79" customHeight="1">
      <c r="A30" s="32" t="n">
        <v>4</v>
      </c>
      <c r="B30" s="12" t="inlineStr">
        <is>
          <t>1.2.3.2</t>
        </is>
      </c>
      <c r="C30" s="12" t="inlineStr">
        <is>
          <t>│  │  └─ 1.2.3.2 Station Building Services - Platforms &amp; Back-of-House</t>
        </is>
      </c>
      <c r="G30" s="12" t="inlineStr">
        <is>
          <t>1.2.3.2 Station Building Services - Platforms &amp; Back-of-House</t>
        </is>
      </c>
      <c r="H30" s="10">
        <f>COUNTIF('MASTER DATA'!$A$2:$A$1624,"=1.2.3.2")</f>
        <v/>
      </c>
      <c r="I30" s="10">
        <f>SUM(H30:H30)</f>
        <v/>
      </c>
      <c r="J30" s="46" t="inlineStr">
        <is>
          <t>No relationships</t>
        </is>
      </c>
    </row>
    <row r="31" outlineLevel="2" ht="79" customHeight="1">
      <c r="A31" s="32" t="n">
        <v>3</v>
      </c>
      <c r="B31" s="12" t="inlineStr">
        <is>
          <t>1.2.4</t>
        </is>
      </c>
      <c r="C31" s="12" t="inlineStr">
        <is>
          <t>│  └─ 1.2.4 Stations - Public Realm</t>
        </is>
      </c>
      <c r="F31" s="12" t="inlineStr">
        <is>
          <t>1.2.4 Stations - Public Realm</t>
        </is>
      </c>
      <c r="H31" s="10">
        <f>COUNTIF('MASTER DATA'!$A$2:$A$1624,"=1.2.4")</f>
        <v/>
      </c>
      <c r="I31" s="10">
        <f>SUM(H31:H33)</f>
        <v/>
      </c>
      <c r="J31" s="46" t="inlineStr">
        <is>
          <t>No relationships</t>
        </is>
      </c>
    </row>
    <row r="32" outlineLevel="3" ht="79" customHeight="1">
      <c r="A32" s="32" t="n">
        <v>4</v>
      </c>
      <c r="B32" s="12" t="inlineStr">
        <is>
          <t>1.2.4.1</t>
        </is>
      </c>
      <c r="C32" s="12" t="inlineStr">
        <is>
          <t>│     ├─ 1.2.4.1 Public Realm - Concourse &amp; Entries</t>
        </is>
      </c>
      <c r="G32" s="12" t="inlineStr">
        <is>
          <t>1.2.4.1 Public Realm - Concourse &amp; Entries</t>
        </is>
      </c>
      <c r="H32" s="10">
        <f>COUNTIF('MASTER DATA'!$A$2:$A$1624,"=1.2.4.1")</f>
        <v/>
      </c>
      <c r="I32" s="10">
        <f>SUM(H32:H32)</f>
        <v/>
      </c>
      <c r="J32" s="46" t="inlineStr">
        <is>
          <t>No relationships</t>
        </is>
      </c>
    </row>
    <row r="33" outlineLevel="3" ht="79" customHeight="1">
      <c r="A33" s="32" t="n">
        <v>4</v>
      </c>
      <c r="B33" s="12" t="inlineStr">
        <is>
          <t>1.2.4.2</t>
        </is>
      </c>
      <c r="C33" s="12" t="inlineStr">
        <is>
          <t>│     └─ 1.2.4.2 Public Realm - Platforms &amp; Back-of-House</t>
        </is>
      </c>
      <c r="G33" s="12" t="inlineStr">
        <is>
          <t>1.2.4.2 Public Realm - Platforms &amp; Back-of-House</t>
        </is>
      </c>
      <c r="H33" s="10">
        <f>COUNTIF('MASTER DATA'!$A$2:$A$1624,"=1.2.4.2")</f>
        <v/>
      </c>
      <c r="I33" s="10">
        <f>SUM(H33:H33)</f>
        <v/>
      </c>
      <c r="J33" s="46" t="inlineStr">
        <is>
          <t>No relationships</t>
        </is>
      </c>
    </row>
    <row r="34" outlineLevel="1" ht="79" customHeight="1">
      <c r="A34" s="32" t="n">
        <v>2</v>
      </c>
      <c r="B34" s="12" t="inlineStr">
        <is>
          <t>1.3</t>
        </is>
      </c>
      <c r="C34" s="12" t="inlineStr">
        <is>
          <t>├─ 1.3 Systems</t>
        </is>
      </c>
      <c r="E34" s="12" t="inlineStr">
        <is>
          <t>1.3 Systems</t>
        </is>
      </c>
      <c r="H34" s="10">
        <f>COUNTIF('MASTER DATA'!$A$2:$A$1624,"=1.3")</f>
        <v/>
      </c>
      <c r="I34" s="10">
        <f>SUM(H34:H46)</f>
        <v/>
      </c>
      <c r="J34" s="53" t="inlineStr">
        <is>
          <t>08 CROSSWALK</t>
        </is>
      </c>
    </row>
    <row r="35" outlineLevel="2" ht="79" customHeight="1">
      <c r="A35" s="32" t="n">
        <v>3</v>
      </c>
      <c r="B35" s="12" t="inlineStr">
        <is>
          <t>1.3.1</t>
        </is>
      </c>
      <c r="C35" s="12" t="inlineStr">
        <is>
          <t>│  ├─ 1.3.1 Systems - Traction Power</t>
        </is>
      </c>
      <c r="F35" s="12" t="inlineStr">
        <is>
          <t>1.3.1 Systems - Traction Power</t>
        </is>
      </c>
      <c r="H35" s="10">
        <f>COUNTIF('MASTER DATA'!$A$2:$A$1624,"=1.3.1")</f>
        <v/>
      </c>
      <c r="I35" s="10">
        <f>SUM(H35:H37)</f>
        <v/>
      </c>
      <c r="J35" s="53" t="inlineStr">
        <is>
          <t>08 CROSSWALK</t>
        </is>
      </c>
    </row>
    <row r="36" outlineLevel="3" ht="79" customHeight="1">
      <c r="A36" s="32" t="n">
        <v>4</v>
      </c>
      <c r="B36" s="12" t="inlineStr">
        <is>
          <t>1.3.1.1</t>
        </is>
      </c>
      <c r="C36" s="12" t="inlineStr">
        <is>
          <t>│  │  ├─ 1.3.1.1 Traction Power - Wayside</t>
        </is>
      </c>
      <c r="G36" s="12" t="inlineStr">
        <is>
          <t>1.3.1.1 Traction Power - Wayside</t>
        </is>
      </c>
      <c r="H36" s="10">
        <f>COUNTIF('MASTER DATA'!$A$2:$A$1624,"=1.3.1.1")</f>
        <v/>
      </c>
      <c r="I36" s="10">
        <f>SUM(H36:H36)</f>
        <v/>
      </c>
      <c r="J36" s="46" t="inlineStr">
        <is>
          <t>No relationships</t>
        </is>
      </c>
    </row>
    <row r="37" outlineLevel="3" ht="79" customHeight="1">
      <c r="A37" s="32" t="n">
        <v>4</v>
      </c>
      <c r="B37" s="12" t="inlineStr">
        <is>
          <t>1.3.1.2</t>
        </is>
      </c>
      <c r="C37" s="12" t="inlineStr">
        <is>
          <t>│  │  └─ 1.3.1.2 Traction Power - Control Centre &amp; Stations</t>
        </is>
      </c>
      <c r="G37" s="12" t="inlineStr">
        <is>
          <t>1.3.1.2 Traction Power - Control Centre &amp; Stations</t>
        </is>
      </c>
      <c r="H37" s="10">
        <f>COUNTIF('MASTER DATA'!$A$2:$A$1624,"=1.3.1.2")</f>
        <v/>
      </c>
      <c r="I37" s="10">
        <f>SUM(H37:H37)</f>
        <v/>
      </c>
      <c r="J37" s="46" t="inlineStr">
        <is>
          <t>No relationships</t>
        </is>
      </c>
    </row>
    <row r="38" outlineLevel="2" ht="79" customHeight="1">
      <c r="A38" s="32" t="n">
        <v>3</v>
      </c>
      <c r="B38" s="12" t="inlineStr">
        <is>
          <t>1.3.2</t>
        </is>
      </c>
      <c r="C38" s="12" t="inlineStr">
        <is>
          <t>│  ├─ 1.3.2 Systems - Signalling &amp; Train Control</t>
        </is>
      </c>
      <c r="F38" s="12" t="inlineStr">
        <is>
          <t>1.3.2 Systems - Signalling &amp; Train Control</t>
        </is>
      </c>
      <c r="H38" s="10">
        <f>COUNTIF('MASTER DATA'!$A$2:$A$1624,"=1.3.2")</f>
        <v/>
      </c>
      <c r="I38" s="10">
        <f>SUM(H38:H40)</f>
        <v/>
      </c>
      <c r="J38" s="53" t="inlineStr">
        <is>
          <t>08 CROSSWALK</t>
        </is>
      </c>
    </row>
    <row r="39" outlineLevel="3" ht="79" customHeight="1">
      <c r="A39" s="32" t="n">
        <v>4</v>
      </c>
      <c r="B39" s="12" t="inlineStr">
        <is>
          <t>1.3.2.1</t>
        </is>
      </c>
      <c r="C39" s="12" t="inlineStr">
        <is>
          <t>│  │  ├─ 1.3.2.1 Signalling &amp; Train Control - Wayside</t>
        </is>
      </c>
      <c r="G39" s="12" t="inlineStr">
        <is>
          <t>1.3.2.1 Signalling &amp; Train Control - Wayside</t>
        </is>
      </c>
      <c r="H39" s="10">
        <f>COUNTIF('MASTER DATA'!$A$2:$A$1624,"=1.3.2.1")</f>
        <v/>
      </c>
      <c r="I39" s="10">
        <f>SUM(H39:H39)</f>
        <v/>
      </c>
      <c r="J39" s="46" t="inlineStr">
        <is>
          <t>No relationships</t>
        </is>
      </c>
    </row>
    <row r="40" outlineLevel="3" ht="79" customHeight="1">
      <c r="A40" s="32" t="n">
        <v>4</v>
      </c>
      <c r="B40" s="12" t="inlineStr">
        <is>
          <t>1.3.2.2</t>
        </is>
      </c>
      <c r="C40" s="12" t="inlineStr">
        <is>
          <t>│  │  └─ 1.3.2.2 Signalling &amp; Train Control - Control Centre &amp; Stations</t>
        </is>
      </c>
      <c r="G40" s="12" t="inlineStr">
        <is>
          <t>1.3.2.2 Signalling &amp; Train Control - Control Centre &amp; Stations</t>
        </is>
      </c>
      <c r="H40" s="10">
        <f>COUNTIF('MASTER DATA'!$A$2:$A$1624,"=1.3.2.2")</f>
        <v/>
      </c>
      <c r="I40" s="10">
        <f>SUM(H40:H40)</f>
        <v/>
      </c>
      <c r="J40" s="46" t="inlineStr">
        <is>
          <t>No relationships</t>
        </is>
      </c>
    </row>
    <row r="41" outlineLevel="2" ht="79" customHeight="1">
      <c r="A41" s="32" t="n">
        <v>3</v>
      </c>
      <c r="B41" s="12" t="inlineStr">
        <is>
          <t>1.3.3</t>
        </is>
      </c>
      <c r="C41" s="12" t="inlineStr">
        <is>
          <t>│  ├─ 1.3.3 Systems - Communications</t>
        </is>
      </c>
      <c r="F41" s="12" t="inlineStr">
        <is>
          <t>1.3.3 Systems - Communications</t>
        </is>
      </c>
      <c r="H41" s="10">
        <f>COUNTIF('MASTER DATA'!$A$2:$A$1624,"=1.3.3")</f>
        <v/>
      </c>
      <c r="I41" s="10">
        <f>SUM(H41:H43)</f>
        <v/>
      </c>
      <c r="J41" s="46" t="inlineStr">
        <is>
          <t>No relationships</t>
        </is>
      </c>
    </row>
    <row r="42" outlineLevel="3" ht="79" customHeight="1">
      <c r="A42" s="32" t="n">
        <v>4</v>
      </c>
      <c r="B42" s="12" t="inlineStr">
        <is>
          <t>1.3.3.1</t>
        </is>
      </c>
      <c r="C42" s="12" t="inlineStr">
        <is>
          <t>│  │  ├─ 1.3.3.1 Communications - Wayside</t>
        </is>
      </c>
      <c r="G42" s="12" t="inlineStr">
        <is>
          <t>1.3.3.1 Communications - Wayside</t>
        </is>
      </c>
      <c r="H42" s="10">
        <f>COUNTIF('MASTER DATA'!$A$2:$A$1624,"=1.3.3.1")</f>
        <v/>
      </c>
      <c r="I42" s="10">
        <f>SUM(H42:H42)</f>
        <v/>
      </c>
      <c r="J42" s="46" t="inlineStr">
        <is>
          <t>No relationships</t>
        </is>
      </c>
    </row>
    <row r="43" outlineLevel="3" ht="79" customHeight="1">
      <c r="A43" s="32" t="n">
        <v>4</v>
      </c>
      <c r="B43" s="12" t="inlineStr">
        <is>
          <t>1.3.3.2</t>
        </is>
      </c>
      <c r="C43" s="12" t="inlineStr">
        <is>
          <t>│  │  └─ 1.3.3.2 Communications - Control Centre &amp; Stations</t>
        </is>
      </c>
      <c r="G43" s="12" t="inlineStr">
        <is>
          <t>1.3.3.2 Communications - Control Centre &amp; Stations</t>
        </is>
      </c>
      <c r="H43" s="10">
        <f>COUNTIF('MASTER DATA'!$A$2:$A$1624,"=1.3.3.2")</f>
        <v/>
      </c>
      <c r="I43" s="10">
        <f>SUM(H43:H43)</f>
        <v/>
      </c>
      <c r="J43" s="46" t="inlineStr">
        <is>
          <t>No relationships</t>
        </is>
      </c>
    </row>
    <row r="44" outlineLevel="2" ht="79" customHeight="1">
      <c r="A44" s="32" t="n">
        <v>3</v>
      </c>
      <c r="B44" s="12" t="inlineStr">
        <is>
          <t>1.3.4</t>
        </is>
      </c>
      <c r="C44" s="12" t="inlineStr">
        <is>
          <t>│  └─ 1.3.4 Systems - Systems Integration</t>
        </is>
      </c>
      <c r="F44" s="12" t="inlineStr">
        <is>
          <t>1.3.4 Systems - Systems Integration</t>
        </is>
      </c>
      <c r="H44" s="10">
        <f>COUNTIF('MASTER DATA'!$A$2:$A$1624,"=1.3.4")</f>
        <v/>
      </c>
      <c r="I44" s="10">
        <f>SUM(H44:H46)</f>
        <v/>
      </c>
      <c r="J44" s="46" t="inlineStr">
        <is>
          <t>No relationships</t>
        </is>
      </c>
    </row>
    <row r="45" outlineLevel="3" ht="79" customHeight="1">
      <c r="A45" s="32" t="n">
        <v>4</v>
      </c>
      <c r="B45" s="12" t="inlineStr">
        <is>
          <t>1.3.4.1</t>
        </is>
      </c>
      <c r="C45" s="12" t="inlineStr">
        <is>
          <t>│     ├─ 1.3.4.1 Systems Integration - Wayside</t>
        </is>
      </c>
      <c r="G45" s="12" t="inlineStr">
        <is>
          <t>1.3.4.1 Systems Integration - Wayside</t>
        </is>
      </c>
      <c r="H45" s="10">
        <f>COUNTIF('MASTER DATA'!$A$2:$A$1624,"=1.3.4.1")</f>
        <v/>
      </c>
      <c r="I45" s="10">
        <f>SUM(H45:H45)</f>
        <v/>
      </c>
      <c r="J45" s="46" t="inlineStr">
        <is>
          <t>No relationships</t>
        </is>
      </c>
    </row>
    <row r="46" outlineLevel="3" ht="79" customHeight="1">
      <c r="A46" s="32" t="n">
        <v>4</v>
      </c>
      <c r="B46" s="12" t="inlineStr">
        <is>
          <t>1.3.4.2</t>
        </is>
      </c>
      <c r="C46" s="12" t="inlineStr">
        <is>
          <t>│     └─ 1.3.4.2 Systems Integration - Control Centre &amp; Stations</t>
        </is>
      </c>
      <c r="G46" s="12" t="inlineStr">
        <is>
          <t>1.3.4.2 Systems Integration - Control Centre &amp; Stations</t>
        </is>
      </c>
      <c r="H46" s="10">
        <f>COUNTIF('MASTER DATA'!$A$2:$A$1624,"=1.3.4.2")</f>
        <v/>
      </c>
      <c r="I46" s="10">
        <f>SUM(H46:H46)</f>
        <v/>
      </c>
      <c r="J46" s="46" t="inlineStr">
        <is>
          <t>No relationships</t>
        </is>
      </c>
    </row>
    <row r="47" outlineLevel="1" ht="79" customHeight="1">
      <c r="A47" s="32" t="n">
        <v>2</v>
      </c>
      <c r="B47" s="12" t="inlineStr">
        <is>
          <t>1.4</t>
        </is>
      </c>
      <c r="C47" s="12" t="inlineStr">
        <is>
          <t>├─ 1.4 Vehicles and Depot</t>
        </is>
      </c>
      <c r="E47" s="12" t="inlineStr">
        <is>
          <t>1.4 Vehicles and Depot</t>
        </is>
      </c>
      <c r="H47" s="10">
        <f>COUNTIF('MASTER DATA'!$A$2:$A$1624,"=1.4")</f>
        <v/>
      </c>
      <c r="I47" s="10">
        <f>SUM(H47:H59)</f>
        <v/>
      </c>
      <c r="J47" s="53" t="inlineStr">
        <is>
          <t>08 CROSSWALK</t>
        </is>
      </c>
    </row>
    <row r="48" outlineLevel="2" ht="79" customHeight="1">
      <c r="A48" s="32" t="n">
        <v>3</v>
      </c>
      <c r="B48" s="12" t="inlineStr">
        <is>
          <t>1.4.1</t>
        </is>
      </c>
      <c r="C48" s="12" t="inlineStr">
        <is>
          <t>│  ├─ 1.4.1 Vehicles and Depot - Fleet Supply</t>
        </is>
      </c>
      <c r="F48" s="12" t="inlineStr">
        <is>
          <t>1.4.1 Vehicles and Depot - Fleet Supply</t>
        </is>
      </c>
      <c r="H48" s="10">
        <f>COUNTIF('MASTER DATA'!$A$2:$A$1624,"=1.4.1")</f>
        <v/>
      </c>
      <c r="I48" s="10">
        <f>SUM(H48:H50)</f>
        <v/>
      </c>
      <c r="J48" s="53" t="inlineStr">
        <is>
          <t>08 CROSSWALK</t>
        </is>
      </c>
    </row>
    <row r="49" outlineLevel="3" ht="79" customHeight="1">
      <c r="A49" s="32" t="n">
        <v>4</v>
      </c>
      <c r="B49" s="12" t="inlineStr">
        <is>
          <t>1.4.1.1</t>
        </is>
      </c>
      <c r="C49" s="12" t="inlineStr">
        <is>
          <t>│  │  ├─ 1.4.1.1 Fleet Supply - Maintenance Facility</t>
        </is>
      </c>
      <c r="G49" s="12" t="inlineStr">
        <is>
          <t>1.4.1.1 Fleet Supply - Maintenance Facility</t>
        </is>
      </c>
      <c r="H49" s="10">
        <f>COUNTIF('MASTER DATA'!$A$2:$A$1624,"=1.4.1.1")</f>
        <v/>
      </c>
      <c r="I49" s="10">
        <f>SUM(H49:H49)</f>
        <v/>
      </c>
      <c r="J49" s="46" t="inlineStr">
        <is>
          <t>No relationships</t>
        </is>
      </c>
    </row>
    <row r="50" outlineLevel="3" ht="79" customHeight="1">
      <c r="A50" s="32" t="n">
        <v>4</v>
      </c>
      <c r="B50" s="12" t="inlineStr">
        <is>
          <t>1.4.1.2</t>
        </is>
      </c>
      <c r="C50" s="12" t="inlineStr">
        <is>
          <t>│  │  └─ 1.4.1.2 Fleet Supply - Storage &amp; Commissioning Yard</t>
        </is>
      </c>
      <c r="G50" s="12" t="inlineStr">
        <is>
          <t>1.4.1.2 Fleet Supply - Storage &amp; Commissioning Yard</t>
        </is>
      </c>
      <c r="H50" s="10">
        <f>COUNTIF('MASTER DATA'!$A$2:$A$1624,"=1.4.1.2")</f>
        <v/>
      </c>
      <c r="I50" s="10">
        <f>SUM(H50:H50)</f>
        <v/>
      </c>
      <c r="J50" s="46" t="inlineStr">
        <is>
          <t>No relationships</t>
        </is>
      </c>
    </row>
    <row r="51" outlineLevel="2" ht="79" customHeight="1">
      <c r="A51" s="32" t="n">
        <v>3</v>
      </c>
      <c r="B51" s="12" t="inlineStr">
        <is>
          <t>1.4.2</t>
        </is>
      </c>
      <c r="C51" s="12" t="inlineStr">
        <is>
          <t>│  ├─ 1.4.2 Vehicles and Depot - Depot Buildings</t>
        </is>
      </c>
      <c r="F51" s="12" t="inlineStr">
        <is>
          <t>1.4.2 Vehicles and Depot - Depot Buildings</t>
        </is>
      </c>
      <c r="H51" s="10">
        <f>COUNTIF('MASTER DATA'!$A$2:$A$1624,"=1.4.2")</f>
        <v/>
      </c>
      <c r="I51" s="10">
        <f>SUM(H51:H53)</f>
        <v/>
      </c>
      <c r="J51" s="53" t="inlineStr">
        <is>
          <t>08 CROSSWALK</t>
        </is>
      </c>
    </row>
    <row r="52" outlineLevel="3" ht="79" customHeight="1">
      <c r="A52" s="32" t="n">
        <v>4</v>
      </c>
      <c r="B52" s="12" t="inlineStr">
        <is>
          <t>1.4.2.1</t>
        </is>
      </c>
      <c r="C52" s="12" t="inlineStr">
        <is>
          <t>│  │  ├─ 1.4.2.1 Depot Buildings - Maintenance Facility</t>
        </is>
      </c>
      <c r="G52" s="12" t="inlineStr">
        <is>
          <t>1.4.2.1 Depot Buildings - Maintenance Facility</t>
        </is>
      </c>
      <c r="H52" s="10">
        <f>COUNTIF('MASTER DATA'!$A$2:$A$1624,"=1.4.2.1")</f>
        <v/>
      </c>
      <c r="I52" s="10">
        <f>SUM(H52:H52)</f>
        <v/>
      </c>
      <c r="J52" s="46" t="inlineStr">
        <is>
          <t>No relationships</t>
        </is>
      </c>
    </row>
    <row r="53" outlineLevel="3" ht="79" customHeight="1">
      <c r="A53" s="32" t="n">
        <v>4</v>
      </c>
      <c r="B53" s="12" t="inlineStr">
        <is>
          <t>1.4.2.2</t>
        </is>
      </c>
      <c r="C53" s="12" t="inlineStr">
        <is>
          <t>│  │  └─ 1.4.2.2 Depot Buildings - Storage &amp; Commissioning Yard</t>
        </is>
      </c>
      <c r="G53" s="12" t="inlineStr">
        <is>
          <t>1.4.2.2 Depot Buildings - Storage &amp; Commissioning Yard</t>
        </is>
      </c>
      <c r="H53" s="10">
        <f>COUNTIF('MASTER DATA'!$A$2:$A$1624,"=1.4.2.2")</f>
        <v/>
      </c>
      <c r="I53" s="10">
        <f>SUM(H53:H53)</f>
        <v/>
      </c>
      <c r="J53" s="46" t="inlineStr">
        <is>
          <t>No relationships</t>
        </is>
      </c>
    </row>
    <row r="54" outlineLevel="2" ht="79" customHeight="1">
      <c r="A54" s="32" t="n">
        <v>3</v>
      </c>
      <c r="B54" s="12" t="inlineStr">
        <is>
          <t>1.4.3</t>
        </is>
      </c>
      <c r="C54" s="12" t="inlineStr">
        <is>
          <t>│  ├─ 1.4.3 Vehicles and Depot - Workshop Equipment</t>
        </is>
      </c>
      <c r="F54" s="12" t="inlineStr">
        <is>
          <t>1.4.3 Vehicles and Depot - Workshop Equipment</t>
        </is>
      </c>
      <c r="H54" s="10">
        <f>COUNTIF('MASTER DATA'!$A$2:$A$1624,"=1.4.3")</f>
        <v/>
      </c>
      <c r="I54" s="10">
        <f>SUM(H54:H56)</f>
        <v/>
      </c>
      <c r="J54" s="46" t="inlineStr">
        <is>
          <t>No relationships</t>
        </is>
      </c>
    </row>
    <row r="55" outlineLevel="3" ht="79" customHeight="1">
      <c r="A55" s="32" t="n">
        <v>4</v>
      </c>
      <c r="B55" s="12" t="inlineStr">
        <is>
          <t>1.4.3.1</t>
        </is>
      </c>
      <c r="C55" s="12" t="inlineStr">
        <is>
          <t>│  │  ├─ 1.4.3.1 Workshop Equipment - Maintenance Facility</t>
        </is>
      </c>
      <c r="G55" s="12" t="inlineStr">
        <is>
          <t>1.4.3.1 Workshop Equipment - Maintenance Facility</t>
        </is>
      </c>
      <c r="H55" s="10">
        <f>COUNTIF('MASTER DATA'!$A$2:$A$1624,"=1.4.3.1")</f>
        <v/>
      </c>
      <c r="I55" s="10">
        <f>SUM(H55:H55)</f>
        <v/>
      </c>
      <c r="J55" s="46" t="inlineStr">
        <is>
          <t>No relationships</t>
        </is>
      </c>
    </row>
    <row r="56" outlineLevel="3" ht="79" customHeight="1">
      <c r="A56" s="32" t="n">
        <v>4</v>
      </c>
      <c r="B56" s="12" t="inlineStr">
        <is>
          <t>1.4.3.2</t>
        </is>
      </c>
      <c r="C56" s="12" t="inlineStr">
        <is>
          <t>│  │  └─ 1.4.3.2 Workshop Equipment - Storage &amp; Commissioning Yard</t>
        </is>
      </c>
      <c r="G56" s="12" t="inlineStr">
        <is>
          <t>1.4.3.2 Workshop Equipment - Storage &amp; Commissioning Yard</t>
        </is>
      </c>
      <c r="H56" s="10">
        <f>COUNTIF('MASTER DATA'!$A$2:$A$1624,"=1.4.3.2")</f>
        <v/>
      </c>
      <c r="I56" s="10">
        <f>SUM(H56:H56)</f>
        <v/>
      </c>
      <c r="J56" s="46" t="inlineStr">
        <is>
          <t>No relationships</t>
        </is>
      </c>
    </row>
    <row r="57" outlineLevel="2" ht="79" customHeight="1">
      <c r="A57" s="32" t="n">
        <v>3</v>
      </c>
      <c r="B57" s="12" t="inlineStr">
        <is>
          <t>1.4.4</t>
        </is>
      </c>
      <c r="C57" s="12" t="inlineStr">
        <is>
          <t>│  └─ 1.4.4 Vehicles and Depot - Vehicle Integration</t>
        </is>
      </c>
      <c r="F57" s="12" t="inlineStr">
        <is>
          <t>1.4.4 Vehicles and Depot - Vehicle Integration</t>
        </is>
      </c>
      <c r="H57" s="10">
        <f>COUNTIF('MASTER DATA'!$A$2:$A$1624,"=1.4.4")</f>
        <v/>
      </c>
      <c r="I57" s="10">
        <f>SUM(H57:H59)</f>
        <v/>
      </c>
      <c r="J57" s="46" t="inlineStr">
        <is>
          <t>No relationships</t>
        </is>
      </c>
    </row>
    <row r="58" outlineLevel="3" ht="79" customHeight="1">
      <c r="A58" s="32" t="n">
        <v>4</v>
      </c>
      <c r="B58" s="12" t="inlineStr">
        <is>
          <t>1.4.4.1</t>
        </is>
      </c>
      <c r="C58" s="12" t="inlineStr">
        <is>
          <t>│     ├─ 1.4.4.1 Vehicle Integration - Maintenance Facility</t>
        </is>
      </c>
      <c r="G58" s="12" t="inlineStr">
        <is>
          <t>1.4.4.1 Vehicle Integration - Maintenance Facility</t>
        </is>
      </c>
      <c r="H58" s="10">
        <f>COUNTIF('MASTER DATA'!$A$2:$A$1624,"=1.4.4.1")</f>
        <v/>
      </c>
      <c r="I58" s="10">
        <f>SUM(H58:H58)</f>
        <v/>
      </c>
      <c r="J58" s="46" t="inlineStr">
        <is>
          <t>No relationships</t>
        </is>
      </c>
    </row>
    <row r="59" outlineLevel="3" ht="79" customHeight="1">
      <c r="A59" s="32" t="n">
        <v>4</v>
      </c>
      <c r="B59" s="12" t="inlineStr">
        <is>
          <t>1.4.4.2</t>
        </is>
      </c>
      <c r="C59" s="12" t="inlineStr">
        <is>
          <t>│     └─ 1.4.4.2 Vehicle Integration - Storage &amp; Commissioning Yard</t>
        </is>
      </c>
      <c r="G59" s="12" t="inlineStr">
        <is>
          <t>1.4.4.2 Vehicle Integration - Storage &amp; Commissioning Yard</t>
        </is>
      </c>
      <c r="H59" s="10">
        <f>COUNTIF('MASTER DATA'!$A$2:$A$1624,"=1.4.4.2")</f>
        <v/>
      </c>
      <c r="I59" s="10">
        <f>SUM(H59:H59)</f>
        <v/>
      </c>
      <c r="J59" s="46" t="inlineStr">
        <is>
          <t>No relationships</t>
        </is>
      </c>
    </row>
    <row r="60" outlineLevel="1" ht="79" customHeight="1">
      <c r="A60" s="32" t="n">
        <v>2</v>
      </c>
      <c r="B60" s="12" t="inlineStr">
        <is>
          <t>1.5</t>
        </is>
      </c>
      <c r="C60" s="12" t="inlineStr">
        <is>
          <t>├─ 1.5 Testing and Commissioning</t>
        </is>
      </c>
      <c r="E60" s="12" t="inlineStr">
        <is>
          <t>1.5 Testing and Commissioning</t>
        </is>
      </c>
      <c r="H60" s="10">
        <f>COUNTIF('MASTER DATA'!$A$2:$A$1624,"=1.5")</f>
        <v/>
      </c>
      <c r="I60" s="10">
        <f>SUM(H60:H72)</f>
        <v/>
      </c>
      <c r="J60" s="53" t="inlineStr">
        <is>
          <t>08 CROSSWALK</t>
        </is>
      </c>
    </row>
    <row r="61" outlineLevel="2" ht="79" customHeight="1">
      <c r="A61" s="32" t="n">
        <v>3</v>
      </c>
      <c r="B61" s="12" t="inlineStr">
        <is>
          <t>1.5.1</t>
        </is>
      </c>
      <c r="C61" s="12" t="inlineStr">
        <is>
          <t>│  ├─ 1.5.1 Testing and Commissioning - Test Readiness</t>
        </is>
      </c>
      <c r="F61" s="12" t="inlineStr">
        <is>
          <t>1.5.1 Testing and Commissioning - Test Readiness</t>
        </is>
      </c>
      <c r="H61" s="10">
        <f>COUNTIF('MASTER DATA'!$A$2:$A$1624,"=1.5.1")</f>
        <v/>
      </c>
      <c r="I61" s="10">
        <f>SUM(H61:H63)</f>
        <v/>
      </c>
      <c r="J61" s="53" t="inlineStr">
        <is>
          <t>08 CROSSWALK</t>
        </is>
      </c>
    </row>
    <row r="62" outlineLevel="3" ht="79" customHeight="1">
      <c r="A62" s="32" t="n">
        <v>4</v>
      </c>
      <c r="B62" s="12" t="inlineStr">
        <is>
          <t>1.5.1.1</t>
        </is>
      </c>
      <c r="C62" s="12" t="inlineStr">
        <is>
          <t>│  │  ├─ 1.5.1.1 Test Readiness - Mainline</t>
        </is>
      </c>
      <c r="G62" s="12" t="inlineStr">
        <is>
          <t>1.5.1.1 Test Readiness - Mainline</t>
        </is>
      </c>
      <c r="H62" s="10">
        <f>COUNTIF('MASTER DATA'!$A$2:$A$1624,"=1.5.1.1")</f>
        <v/>
      </c>
      <c r="I62" s="10">
        <f>SUM(H62:H62)</f>
        <v/>
      </c>
      <c r="J62" s="46" t="inlineStr">
        <is>
          <t>No relationships</t>
        </is>
      </c>
    </row>
    <row r="63" outlineLevel="3" ht="79" customHeight="1">
      <c r="A63" s="32" t="n">
        <v>4</v>
      </c>
      <c r="B63" s="12" t="inlineStr">
        <is>
          <t>1.5.1.2</t>
        </is>
      </c>
      <c r="C63" s="12" t="inlineStr">
        <is>
          <t>│  │  └─ 1.5.1.2 Test Readiness - Depot &amp; Stations</t>
        </is>
      </c>
      <c r="G63" s="12" t="inlineStr">
        <is>
          <t>1.5.1.2 Test Readiness - Depot &amp; Stations</t>
        </is>
      </c>
      <c r="H63" s="10">
        <f>COUNTIF('MASTER DATA'!$A$2:$A$1624,"=1.5.1.2")</f>
        <v/>
      </c>
      <c r="I63" s="10">
        <f>SUM(H63:H63)</f>
        <v/>
      </c>
      <c r="J63" s="46" t="inlineStr">
        <is>
          <t>No relationships</t>
        </is>
      </c>
    </row>
    <row r="64" outlineLevel="2" ht="79" customHeight="1">
      <c r="A64" s="32" t="n">
        <v>3</v>
      </c>
      <c r="B64" s="12" t="inlineStr">
        <is>
          <t>1.5.2</t>
        </is>
      </c>
      <c r="C64" s="12" t="inlineStr">
        <is>
          <t>│  ├─ 1.5.2 Testing and Commissioning - Dynamic Testing</t>
        </is>
      </c>
      <c r="F64" s="12" t="inlineStr">
        <is>
          <t>1.5.2 Testing and Commissioning - Dynamic Testing</t>
        </is>
      </c>
      <c r="H64" s="10">
        <f>COUNTIF('MASTER DATA'!$A$2:$A$1624,"=1.5.2")</f>
        <v/>
      </c>
      <c r="I64" s="10">
        <f>SUM(H64:H66)</f>
        <v/>
      </c>
      <c r="J64" s="53" t="inlineStr">
        <is>
          <t>08 CROSSWALK</t>
        </is>
      </c>
    </row>
    <row r="65" outlineLevel="3" ht="79" customHeight="1">
      <c r="A65" s="32" t="n">
        <v>4</v>
      </c>
      <c r="B65" s="12" t="inlineStr">
        <is>
          <t>1.5.2.1</t>
        </is>
      </c>
      <c r="C65" s="12" t="inlineStr">
        <is>
          <t>│  │  ├─ 1.5.2.1 Dynamic Testing - Mainline</t>
        </is>
      </c>
      <c r="G65" s="12" t="inlineStr">
        <is>
          <t>1.5.2.1 Dynamic Testing - Mainline</t>
        </is>
      </c>
      <c r="H65" s="10">
        <f>COUNTIF('MASTER DATA'!$A$2:$A$1624,"=1.5.2.1")</f>
        <v/>
      </c>
      <c r="I65" s="10">
        <f>SUM(H65:H65)</f>
        <v/>
      </c>
      <c r="J65" s="46" t="inlineStr">
        <is>
          <t>No relationships</t>
        </is>
      </c>
    </row>
    <row r="66" outlineLevel="3" ht="79" customHeight="1">
      <c r="A66" s="32" t="n">
        <v>4</v>
      </c>
      <c r="B66" s="12" t="inlineStr">
        <is>
          <t>1.5.2.2</t>
        </is>
      </c>
      <c r="C66" s="12" t="inlineStr">
        <is>
          <t>│  │  └─ 1.5.2.2 Dynamic Testing - Depot &amp; Stations</t>
        </is>
      </c>
      <c r="G66" s="12" t="inlineStr">
        <is>
          <t>1.5.2.2 Dynamic Testing - Depot &amp; Stations</t>
        </is>
      </c>
      <c r="H66" s="10">
        <f>COUNTIF('MASTER DATA'!$A$2:$A$1624,"=1.5.2.2")</f>
        <v/>
      </c>
      <c r="I66" s="10">
        <f>SUM(H66:H66)</f>
        <v/>
      </c>
      <c r="J66" s="46" t="inlineStr">
        <is>
          <t>No relationships</t>
        </is>
      </c>
    </row>
    <row r="67" outlineLevel="2" ht="79" customHeight="1">
      <c r="A67" s="32" t="n">
        <v>3</v>
      </c>
      <c r="B67" s="12" t="inlineStr">
        <is>
          <t>1.5.3</t>
        </is>
      </c>
      <c r="C67" s="12" t="inlineStr">
        <is>
          <t>│  ├─ 1.5.3 Testing and Commissioning - Safety Certification</t>
        </is>
      </c>
      <c r="F67" s="12" t="inlineStr">
        <is>
          <t>1.5.3 Testing and Commissioning - Safety Certification</t>
        </is>
      </c>
      <c r="H67" s="10">
        <f>COUNTIF('MASTER DATA'!$A$2:$A$1624,"=1.5.3")</f>
        <v/>
      </c>
      <c r="I67" s="10">
        <f>SUM(H67:H69)</f>
        <v/>
      </c>
      <c r="J67" s="46" t="inlineStr">
        <is>
          <t>No relationships</t>
        </is>
      </c>
    </row>
    <row r="68" outlineLevel="3" ht="79" customHeight="1">
      <c r="A68" s="32" t="n">
        <v>4</v>
      </c>
      <c r="B68" s="12" t="inlineStr">
        <is>
          <t>1.5.3.1</t>
        </is>
      </c>
      <c r="C68" s="12" t="inlineStr">
        <is>
          <t>│  │  ├─ 1.5.3.1 Safety Certification - Mainline</t>
        </is>
      </c>
      <c r="G68" s="12" t="inlineStr">
        <is>
          <t>1.5.3.1 Safety Certification - Mainline</t>
        </is>
      </c>
      <c r="H68" s="10">
        <f>COUNTIF('MASTER DATA'!$A$2:$A$1624,"=1.5.3.1")</f>
        <v/>
      </c>
      <c r="I68" s="10">
        <f>SUM(H68:H68)</f>
        <v/>
      </c>
      <c r="J68" s="46" t="inlineStr">
        <is>
          <t>No relationships</t>
        </is>
      </c>
    </row>
    <row r="69" outlineLevel="3" ht="79" customHeight="1">
      <c r="A69" s="32" t="n">
        <v>4</v>
      </c>
      <c r="B69" s="12" t="inlineStr">
        <is>
          <t>1.5.3.2</t>
        </is>
      </c>
      <c r="C69" s="12" t="inlineStr">
        <is>
          <t>│  │  └─ 1.5.3.2 Safety Certification - Depot &amp; Stations</t>
        </is>
      </c>
      <c r="G69" s="12" t="inlineStr">
        <is>
          <t>1.5.3.2 Safety Certification - Depot &amp; Stations</t>
        </is>
      </c>
      <c r="H69" s="10">
        <f>COUNTIF('MASTER DATA'!$A$2:$A$1624,"=1.5.3.2")</f>
        <v/>
      </c>
      <c r="I69" s="10">
        <f>SUM(H69:H69)</f>
        <v/>
      </c>
      <c r="J69" s="46" t="inlineStr">
        <is>
          <t>No relationships</t>
        </is>
      </c>
    </row>
    <row r="70" outlineLevel="2" ht="79" customHeight="1">
      <c r="A70" s="32" t="n">
        <v>3</v>
      </c>
      <c r="B70" s="12" t="inlineStr">
        <is>
          <t>1.5.4</t>
        </is>
      </c>
      <c r="C70" s="12" t="inlineStr">
        <is>
          <t>│  └─ 1.5.4 Testing and Commissioning - Service Readiness</t>
        </is>
      </c>
      <c r="F70" s="12" t="inlineStr">
        <is>
          <t>1.5.4 Testing and Commissioning - Service Readiness</t>
        </is>
      </c>
      <c r="H70" s="10">
        <f>COUNTIF('MASTER DATA'!$A$2:$A$1624,"=1.5.4")</f>
        <v/>
      </c>
      <c r="I70" s="10">
        <f>SUM(H70:H72)</f>
        <v/>
      </c>
      <c r="J70" s="46" t="inlineStr">
        <is>
          <t>No relationships</t>
        </is>
      </c>
    </row>
    <row r="71" outlineLevel="3" ht="79" customHeight="1">
      <c r="A71" s="32" t="n">
        <v>4</v>
      </c>
      <c r="B71" s="12" t="inlineStr">
        <is>
          <t>1.5.4.1</t>
        </is>
      </c>
      <c r="C71" s="12" t="inlineStr">
        <is>
          <t>│     ├─ 1.5.4.1 Service Readiness - Mainline</t>
        </is>
      </c>
      <c r="G71" s="12" t="inlineStr">
        <is>
          <t>1.5.4.1 Service Readiness - Mainline</t>
        </is>
      </c>
      <c r="H71" s="10">
        <f>COUNTIF('MASTER DATA'!$A$2:$A$1624,"=1.5.4.1")</f>
        <v/>
      </c>
      <c r="I71" s="10">
        <f>SUM(H71:H71)</f>
        <v/>
      </c>
      <c r="J71" s="46" t="inlineStr">
        <is>
          <t>No relationships</t>
        </is>
      </c>
    </row>
    <row r="72" outlineLevel="3" ht="79" customHeight="1">
      <c r="A72" s="32" t="n">
        <v>4</v>
      </c>
      <c r="B72" s="12" t="inlineStr">
        <is>
          <t>1.5.4.2</t>
        </is>
      </c>
      <c r="C72" s="12" t="inlineStr">
        <is>
          <t>│     └─ 1.5.4.2 Service Readiness - Depot &amp; Stations</t>
        </is>
      </c>
      <c r="G72" s="12" t="inlineStr">
        <is>
          <t>1.5.4.2 Service Readiness - Depot &amp; Stations</t>
        </is>
      </c>
      <c r="H72" s="10">
        <f>COUNTIF('MASTER DATA'!$A$2:$A$1624,"=1.5.4.2")</f>
        <v/>
      </c>
      <c r="I72" s="10">
        <f>SUM(H72:H72)</f>
        <v/>
      </c>
      <c r="J72" s="46" t="inlineStr">
        <is>
          <t>No relationships</t>
        </is>
      </c>
    </row>
    <row r="73" outlineLevel="1" ht="79" customHeight="1">
      <c r="A73" s="32" t="n">
        <v>2</v>
      </c>
      <c r="B73" s="12" t="inlineStr">
        <is>
          <t>1.6</t>
        </is>
      </c>
      <c r="C73" s="12" t="inlineStr">
        <is>
          <t>└─ 1.6 Program Management</t>
        </is>
      </c>
      <c r="E73" s="12" t="inlineStr">
        <is>
          <t>1.6 Program Management</t>
        </is>
      </c>
      <c r="H73" s="10">
        <f>COUNTIF('MASTER DATA'!$A$2:$A$1624,"=1.6")</f>
        <v/>
      </c>
      <c r="I73" s="10">
        <f>SUM(H73:H85)</f>
        <v/>
      </c>
      <c r="J73" s="53" t="inlineStr">
        <is>
          <t>08 CROSSWALK</t>
        </is>
      </c>
    </row>
    <row r="74" outlineLevel="2" ht="79" customHeight="1">
      <c r="A74" s="32" t="n">
        <v>3</v>
      </c>
      <c r="B74" s="12" t="inlineStr">
        <is>
          <t>1.6.1</t>
        </is>
      </c>
      <c r="C74" s="12" t="inlineStr">
        <is>
          <t xml:space="preserve">   ├─ 1.6.1 Program Management - Program Controls</t>
        </is>
      </c>
      <c r="F74" s="12" t="inlineStr">
        <is>
          <t>1.6.1 Program Management - Program Controls</t>
        </is>
      </c>
      <c r="H74" s="10">
        <f>COUNTIF('MASTER DATA'!$A$2:$A$1624,"=1.6.1")</f>
        <v/>
      </c>
      <c r="I74" s="10">
        <f>SUM(H74:H76)</f>
        <v/>
      </c>
      <c r="J74" s="53" t="inlineStr">
        <is>
          <t>08 CROSSWALK</t>
        </is>
      </c>
    </row>
    <row r="75" outlineLevel="3" ht="79" customHeight="1">
      <c r="A75" s="32" t="n">
        <v>4</v>
      </c>
      <c r="B75" s="12" t="inlineStr">
        <is>
          <t>1.6.1.1</t>
        </is>
      </c>
      <c r="C75" s="12" t="inlineStr">
        <is>
          <t xml:space="preserve">   │  ├─ 1.6.1.1 Program Controls - Owner Team</t>
        </is>
      </c>
      <c r="G75" s="12" t="inlineStr">
        <is>
          <t>1.6.1.1 Program Controls - Owner Team</t>
        </is>
      </c>
      <c r="H75" s="10">
        <f>COUNTIF('MASTER DATA'!$A$2:$A$1624,"=1.6.1.1")</f>
        <v/>
      </c>
      <c r="I75" s="10">
        <f>SUM(H75:H75)</f>
        <v/>
      </c>
      <c r="J75" s="46" t="inlineStr">
        <is>
          <t>No relationships</t>
        </is>
      </c>
    </row>
    <row r="76" outlineLevel="3" ht="79" customHeight="1">
      <c r="A76" s="32" t="n">
        <v>4</v>
      </c>
      <c r="B76" s="12" t="inlineStr">
        <is>
          <t>1.6.1.2</t>
        </is>
      </c>
      <c r="C76" s="12" t="inlineStr">
        <is>
          <t xml:space="preserve">   │  └─ 1.6.1.2 Program Controls - Delivery Partners</t>
        </is>
      </c>
      <c r="G76" s="12" t="inlineStr">
        <is>
          <t>1.6.1.2 Program Controls - Delivery Partners</t>
        </is>
      </c>
      <c r="H76" s="10">
        <f>COUNTIF('MASTER DATA'!$A$2:$A$1624,"=1.6.1.2")</f>
        <v/>
      </c>
      <c r="I76" s="10">
        <f>SUM(H76:H76)</f>
        <v/>
      </c>
      <c r="J76" s="46" t="inlineStr">
        <is>
          <t>No relationships</t>
        </is>
      </c>
    </row>
    <row r="77" outlineLevel="2" ht="79" customHeight="1">
      <c r="A77" s="32" t="n">
        <v>3</v>
      </c>
      <c r="B77" s="12" t="inlineStr">
        <is>
          <t>1.6.2</t>
        </is>
      </c>
      <c r="C77" s="12" t="inlineStr">
        <is>
          <t xml:space="preserve">   ├─ 1.6.2 Program Management - Commercial &amp; Procurement</t>
        </is>
      </c>
      <c r="F77" s="12" t="inlineStr">
        <is>
          <t>1.6.2 Program Management - Commercial &amp; Procurement</t>
        </is>
      </c>
      <c r="H77" s="10">
        <f>COUNTIF('MASTER DATA'!$A$2:$A$1624,"=1.6.2")</f>
        <v/>
      </c>
      <c r="I77" s="10">
        <f>SUM(H77:H79)</f>
        <v/>
      </c>
      <c r="J77" s="53" t="inlineStr">
        <is>
          <t>08 CROSSWALK</t>
        </is>
      </c>
    </row>
    <row r="78" outlineLevel="3" ht="79" customHeight="1">
      <c r="A78" s="32" t="n">
        <v>4</v>
      </c>
      <c r="B78" s="12" t="inlineStr">
        <is>
          <t>1.6.2.1</t>
        </is>
      </c>
      <c r="C78" s="12" t="inlineStr">
        <is>
          <t xml:space="preserve">   │  ├─ 1.6.2.1 Commercial &amp; Procurement - Owner Team</t>
        </is>
      </c>
      <c r="G78" s="12" t="inlineStr">
        <is>
          <t>1.6.2.1 Commercial &amp; Procurement - Owner Team</t>
        </is>
      </c>
      <c r="H78" s="10">
        <f>COUNTIF('MASTER DATA'!$A$2:$A$1624,"=1.6.2.1")</f>
        <v/>
      </c>
      <c r="I78" s="10">
        <f>SUM(H78:H78)</f>
        <v/>
      </c>
      <c r="J78" s="46" t="inlineStr">
        <is>
          <t>No relationships</t>
        </is>
      </c>
    </row>
    <row r="79" outlineLevel="3" ht="79" customHeight="1">
      <c r="A79" s="32" t="n">
        <v>4</v>
      </c>
      <c r="B79" s="12" t="inlineStr">
        <is>
          <t>1.6.2.2</t>
        </is>
      </c>
      <c r="C79" s="12" t="inlineStr">
        <is>
          <t xml:space="preserve">   │  └─ 1.6.2.2 Commercial &amp; Procurement - Delivery Partners</t>
        </is>
      </c>
      <c r="G79" s="12" t="inlineStr">
        <is>
          <t>1.6.2.2 Commercial &amp; Procurement - Delivery Partners</t>
        </is>
      </c>
      <c r="H79" s="10">
        <f>COUNTIF('MASTER DATA'!$A$2:$A$1624,"=1.6.2.2")</f>
        <v/>
      </c>
      <c r="I79" s="10">
        <f>SUM(H79:H79)</f>
        <v/>
      </c>
      <c r="J79" s="46" t="inlineStr">
        <is>
          <t>No relationships</t>
        </is>
      </c>
    </row>
    <row r="80" outlineLevel="2" ht="79" customHeight="1">
      <c r="A80" s="32" t="n">
        <v>3</v>
      </c>
      <c r="B80" s="12" t="inlineStr">
        <is>
          <t>1.6.3</t>
        </is>
      </c>
      <c r="C80" s="12" t="inlineStr">
        <is>
          <t xml:space="preserve">   ├─ 1.6.3 Program Management - Stakeholder &amp; Permits</t>
        </is>
      </c>
      <c r="F80" s="12" t="inlineStr">
        <is>
          <t>1.6.3 Program Management - Stakeholder &amp; Permits</t>
        </is>
      </c>
      <c r="H80" s="10">
        <f>COUNTIF('MASTER DATA'!$A$2:$A$1624,"=1.6.3")</f>
        <v/>
      </c>
      <c r="I80" s="10">
        <f>SUM(H80:H82)</f>
        <v/>
      </c>
      <c r="J80" s="46" t="inlineStr">
        <is>
          <t>No relationships</t>
        </is>
      </c>
    </row>
    <row r="81" outlineLevel="3" ht="79" customHeight="1">
      <c r="A81" s="32" t="n">
        <v>4</v>
      </c>
      <c r="B81" s="12" t="inlineStr">
        <is>
          <t>1.6.3.1</t>
        </is>
      </c>
      <c r="C81" s="12" t="inlineStr">
        <is>
          <t xml:space="preserve">   │  ├─ 1.6.3.1 Stakeholder &amp; Permits - Owner Team</t>
        </is>
      </c>
      <c r="G81" s="12" t="inlineStr">
        <is>
          <t>1.6.3.1 Stakeholder &amp; Permits - Owner Team</t>
        </is>
      </c>
      <c r="H81" s="10">
        <f>COUNTIF('MASTER DATA'!$A$2:$A$1624,"=1.6.3.1")</f>
        <v/>
      </c>
      <c r="I81" s="10">
        <f>SUM(H81:H81)</f>
        <v/>
      </c>
      <c r="J81" s="46" t="inlineStr">
        <is>
          <t>No relationships</t>
        </is>
      </c>
    </row>
    <row r="82" outlineLevel="3" ht="79" customHeight="1">
      <c r="A82" s="32" t="n">
        <v>4</v>
      </c>
      <c r="B82" s="12" t="inlineStr">
        <is>
          <t>1.6.3.2</t>
        </is>
      </c>
      <c r="C82" s="12" t="inlineStr">
        <is>
          <t xml:space="preserve">   │  └─ 1.6.3.2 Stakeholder &amp; Permits - Delivery Partners</t>
        </is>
      </c>
      <c r="G82" s="12" t="inlineStr">
        <is>
          <t>1.6.3.2 Stakeholder &amp; Permits - Delivery Partners</t>
        </is>
      </c>
      <c r="H82" s="10">
        <f>COUNTIF('MASTER DATA'!$A$2:$A$1624,"=1.6.3.2")</f>
        <v/>
      </c>
      <c r="I82" s="10">
        <f>SUM(H82:H82)</f>
        <v/>
      </c>
      <c r="J82" s="46" t="inlineStr">
        <is>
          <t>No relationships</t>
        </is>
      </c>
    </row>
    <row r="83" outlineLevel="2" ht="79" customHeight="1">
      <c r="A83" s="32" t="n">
        <v>3</v>
      </c>
      <c r="B83" s="12" t="inlineStr">
        <is>
          <t>1.6.4</t>
        </is>
      </c>
      <c r="C83" s="12" t="inlineStr">
        <is>
          <t xml:space="preserve">   └─ 1.6.4 Program Management - Delivery Integration</t>
        </is>
      </c>
      <c r="F83" s="12" t="inlineStr">
        <is>
          <t>1.6.4 Program Management - Delivery Integration</t>
        </is>
      </c>
      <c r="H83" s="10">
        <f>COUNTIF('MASTER DATA'!$A$2:$A$1624,"=1.6.4")</f>
        <v/>
      </c>
      <c r="I83" s="10">
        <f>SUM(H83:H85)</f>
        <v/>
      </c>
      <c r="J83" s="46" t="inlineStr">
        <is>
          <t>No relationships</t>
        </is>
      </c>
    </row>
    <row r="84" outlineLevel="3" ht="79" customHeight="1">
      <c r="A84" s="32" t="n">
        <v>4</v>
      </c>
      <c r="B84" s="12" t="inlineStr">
        <is>
          <t>1.6.4.1</t>
        </is>
      </c>
      <c r="C84" s="12" t="inlineStr">
        <is>
          <t xml:space="preserve">      ├─ 1.6.4.1 Delivery Integration - Owner Team</t>
        </is>
      </c>
      <c r="G84" s="12" t="inlineStr">
        <is>
          <t>1.6.4.1 Delivery Integration - Owner Team</t>
        </is>
      </c>
      <c r="H84" s="10">
        <f>COUNTIF('MASTER DATA'!$A$2:$A$1624,"=1.6.4.1")</f>
        <v/>
      </c>
      <c r="I84" s="10">
        <f>SUM(H84:H84)</f>
        <v/>
      </c>
      <c r="J84" s="46" t="inlineStr">
        <is>
          <t>No relationships</t>
        </is>
      </c>
    </row>
    <row r="85" outlineLevel="3" ht="79" customHeight="1">
      <c r="A85" s="32" t="n">
        <v>4</v>
      </c>
      <c r="B85" s="12" t="inlineStr">
        <is>
          <t>1.6.4.2</t>
        </is>
      </c>
      <c r="C85" s="12" t="inlineStr">
        <is>
          <t xml:space="preserve">      └─ 1.6.4.2 Delivery Integration - Delivery Partners</t>
        </is>
      </c>
      <c r="G85" s="12" t="inlineStr">
        <is>
          <t>1.6.4.2 Delivery Integration - Delivery Partners</t>
        </is>
      </c>
      <c r="H85" s="10">
        <f>COUNTIF('MASTER DATA'!$A$2:$A$1624,"=1.6.4.2")</f>
        <v/>
      </c>
      <c r="I85" s="10">
        <f>SUM(H85:H85)</f>
        <v/>
      </c>
      <c r="J85" s="46" t="inlineStr">
        <is>
          <t>No relationships</t>
        </is>
      </c>
    </row>
    <row r="86"/>
    <row r="87" ht="66" customHeight="1">
      <c r="A87" s="66" t="inlineStr">
        <is>
          <t>Not attached to an element of this WBS (unresolved outcome or retired)</t>
        </is>
      </c>
      <c r="B87" s="14" t="n"/>
    </row>
    <row r="88" ht="79" customHeight="1">
      <c r="B88" s="12" t="inlineStr">
        <is>
          <t>NEW_SCOPE</t>
        </is>
      </c>
      <c r="H88" s="10">
        <f>COUNTIF('MASTER DATA'!$A$2:$A$1624,"=NEW_SCOPE")</f>
        <v/>
      </c>
    </row>
    <row r="89" ht="79" customHeight="1">
      <c r="B89" s="12" t="inlineStr">
        <is>
          <t>NO_WBS</t>
        </is>
      </c>
      <c r="H89" s="10">
        <f>COUNTIF('MASTER DATA'!$A$2:$A$1624,"=NO_WBS")</f>
        <v/>
      </c>
    </row>
    <row r="90" ht="79" customHeight="1">
      <c r="B90" s="12" t="inlineStr">
        <is>
          <t>UNSURE</t>
        </is>
      </c>
      <c r="H90" s="10">
        <f>COUNTIF('MASTER DATA'!$A$2:$A$1624,"=UNSURE")</f>
        <v/>
      </c>
    </row>
    <row r="91"/>
    <row r="92" ht="90" customHeight="1">
      <c r="A92" s="55" t="inlineStr">
        <is>
          <t>Total relationship rows (MASTER DATA)</t>
        </is>
      </c>
      <c r="H92" s="25">
        <f>COUNTA('MASTER DATA'!$O$2:$O$1624)</f>
        <v/>
      </c>
    </row>
    <row r="93" ht="139" customHeight="1">
      <c r="A93" s="67" t="inlineStr">
        <is>
          <t>Check: elements + not attached = total</t>
        </is>
      </c>
      <c r="H93" s="46">
        <f>IF(SUM(H7:H85)+SUM(H88:H90)=COUNTA('MASTER DATA'!$O$2:$O$1624),"reconciled","DOES NOT RECONCILE")</f>
        <v/>
      </c>
    </row>
  </sheetData>
  <autoFilter ref="A6:J85"/>
  <mergeCells count="5">
    <mergeCell ref="A1:D1"/>
    <mergeCell ref="A5:D5"/>
    <mergeCell ref="A4:D4"/>
    <mergeCell ref="A2:D2"/>
    <mergeCell ref="A87:B87"/>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A4" r:id="rId10"/>
    <hyperlink xmlns:r="http://schemas.openxmlformats.org/officeDocument/2006/relationships" ref="J7" r:id="rId11"/>
    <hyperlink xmlns:r="http://schemas.openxmlformats.org/officeDocument/2006/relationships" ref="J8" r:id="rId12"/>
    <hyperlink xmlns:r="http://schemas.openxmlformats.org/officeDocument/2006/relationships" ref="J9" r:id="rId13"/>
    <hyperlink xmlns:r="http://schemas.openxmlformats.org/officeDocument/2006/relationships" ref="J12" r:id="rId14"/>
    <hyperlink xmlns:r="http://schemas.openxmlformats.org/officeDocument/2006/relationships" ref="J21" r:id="rId15"/>
    <hyperlink xmlns:r="http://schemas.openxmlformats.org/officeDocument/2006/relationships" ref="J22" r:id="rId16"/>
    <hyperlink xmlns:r="http://schemas.openxmlformats.org/officeDocument/2006/relationships" ref="J25" r:id="rId17"/>
    <hyperlink xmlns:r="http://schemas.openxmlformats.org/officeDocument/2006/relationships" ref="J34" r:id="rId18"/>
    <hyperlink xmlns:r="http://schemas.openxmlformats.org/officeDocument/2006/relationships" ref="J35" r:id="rId19"/>
    <hyperlink xmlns:r="http://schemas.openxmlformats.org/officeDocument/2006/relationships" ref="J38" r:id="rId20"/>
    <hyperlink xmlns:r="http://schemas.openxmlformats.org/officeDocument/2006/relationships" ref="J47" r:id="rId21"/>
    <hyperlink xmlns:r="http://schemas.openxmlformats.org/officeDocument/2006/relationships" ref="J48" r:id="rId22"/>
    <hyperlink xmlns:r="http://schemas.openxmlformats.org/officeDocument/2006/relationships" ref="J51" r:id="rId23"/>
    <hyperlink xmlns:r="http://schemas.openxmlformats.org/officeDocument/2006/relationships" ref="J60" r:id="rId24"/>
    <hyperlink xmlns:r="http://schemas.openxmlformats.org/officeDocument/2006/relationships" ref="J61" r:id="rId25"/>
    <hyperlink xmlns:r="http://schemas.openxmlformats.org/officeDocument/2006/relationships" ref="J64" r:id="rId26"/>
    <hyperlink xmlns:r="http://schemas.openxmlformats.org/officeDocument/2006/relationships" ref="J73" r:id="rId27"/>
    <hyperlink xmlns:r="http://schemas.openxmlformats.org/officeDocument/2006/relationships" ref="J74" r:id="rId28"/>
    <hyperlink xmlns:r="http://schemas.openxmlformats.org/officeDocument/2006/relationships" ref="J77" r:id="rId29"/>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tabColor rgb="008B8F97"/>
    <outlinePr summaryBelow="0" summaryRight="0"/>
    <pageSetUpPr fitToPage="1"/>
  </sheetPr>
  <dimension ref="A1:H37"/>
  <sheetViews>
    <sheetView showGridLines="0" tabSelected="0" topLeftCell="A1" zoomScale="100" zoomScaleNormal="100" workbookViewId="0">
      <pane ySplit="3" topLeftCell="A4"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ht="33.2" customHeight="1">
      <c r="A1" s="97" t="inlineStr">
        <is>
          <t>ANALYSIS</t>
        </is>
      </c>
    </row>
    <row r="2" ht="35.92" customHeight="1">
      <c r="A2" s="46" t="inlineStr">
        <is>
          <t>Governed dimensions cross-tabulated from MASTER DATA. Native Excel formulas: they recalculate from the record-level rows and check themselves against the total.</t>
        </is>
      </c>
    </row>
    <row r="3" ht="19"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row>
    <row r="4"/>
    <row r="5" ht="139" customHeight="1">
      <c r="A5" s="27" t="inlineStr">
        <is>
          <t>Counts are relationship ROWS in MASTER DATA: one row per record-to-WBS target. A relationship split across several WBS targets has one row per target; NO_WBS / NEW_SCOPE / UNSURE rows carry the outcome in the WBS Code column; retired rows (Relationship State RETIRED) are included, as in MASTER DATA -- filter Relationship State to exclude them.</t>
        </is>
      </c>
    </row>
    <row r="6"/>
    <row r="7" ht="34" customHeight="1">
      <c r="A7" s="25" t="inlineStr">
        <is>
          <t>Relationship state × basis of authority</t>
        </is>
      </c>
    </row>
    <row r="8" ht="79" customHeight="1">
      <c r="A8" s="27" t="inlineStr">
        <is>
          <t>Who or what established each relationship row: professional decision, carried-forward decision, source assignment, approved project rule, or WBS↔LINK (not individually reviewed).</t>
        </is>
      </c>
    </row>
    <row r="9" ht="79" customHeight="1">
      <c r="A9" s="11" t="inlineStr">
        <is>
          <t>Relationship State</t>
        </is>
      </c>
      <c r="B9" s="11" t="inlineStr">
        <is>
          <t>Professional decision</t>
        </is>
      </c>
      <c r="C9" s="11" t="inlineStr">
        <is>
          <t>Source assignment -- not individually reviewed</t>
        </is>
      </c>
      <c r="D9" s="11" t="inlineStr">
        <is>
          <t>Total</t>
        </is>
      </c>
      <c r="E9" s="11" t="inlineStr">
        <is>
          <t>Inspect</t>
        </is>
      </c>
    </row>
    <row r="10" ht="169" customHeight="1">
      <c r="A10" s="55" t="inlineStr">
        <is>
          <t>APPROVED</t>
        </is>
      </c>
      <c r="B10" s="10">
        <f>COUNTIFS('MASTER DATA'!$G$2:$G$1624,"=APPROVED",'MASTER DATA'!$I$2:$I$1624,"=Professional decision")</f>
        <v/>
      </c>
      <c r="C10" s="10">
        <f>COUNTIFS('MASTER DATA'!$G$2:$G$1624,"=APPROVED",'MASTER DATA'!$I$2:$I$1624,"=Source assignment -- not individually reviewed")</f>
        <v/>
      </c>
      <c r="D10" s="25">
        <f>SUM(B10:C10)</f>
        <v/>
      </c>
      <c r="E10" s="53" t="inlineStr">
        <is>
          <t>08 CROSSWALK</t>
        </is>
      </c>
    </row>
    <row r="11" ht="34" customHeight="1">
      <c r="A11" s="55" t="inlineStr">
        <is>
          <t>Total</t>
        </is>
      </c>
      <c r="B11" s="25">
        <f>SUM(B10:B10)</f>
        <v/>
      </c>
      <c r="C11" s="25">
        <f>SUM(C10:C10)</f>
        <v/>
      </c>
      <c r="D11" s="25">
        <f>SUM(D10:D10)</f>
        <v/>
      </c>
    </row>
    <row r="12" ht="109" customHeight="1">
      <c r="A12" s="67" t="inlineStr">
        <is>
          <t>Check: total equals MASTER DATA rows</t>
        </is>
      </c>
      <c r="B12" s="46">
        <f>IF(D11=COUNTA('MASTER DATA'!$O$2:$O$1624),"reconciled","DOES NOT RECONCILE")</f>
        <v/>
      </c>
    </row>
    <row r="13"/>
    <row r="14" ht="34" customHeight="1">
      <c r="A14" s="25" t="inlineStr">
        <is>
          <t>Reporting period · revision × change since the previous approved version</t>
        </is>
      </c>
    </row>
    <row r="15" ht="64" customHeight="1">
      <c r="A15" s="27" t="inlineStr">
        <is>
          <t>Which source revision each relationship row rests on, and whether it was carried forward, revalidated, decided again, new or retired.</t>
        </is>
      </c>
    </row>
    <row r="16" ht="42" customHeight="1">
      <c r="A16" s="11" t="inlineStr">
        <is>
          <t>Source Document · Reporting Period · Revision</t>
        </is>
      </c>
      <c r="B16" s="11" t="inlineStr">
        <is>
          <t>New</t>
        </is>
      </c>
      <c r="C16" s="11" t="inlineStr">
        <is>
          <t>Total</t>
        </is>
      </c>
      <c r="D16" s="11" t="inlineStr">
        <is>
          <t>Inspect</t>
        </is>
      </c>
    </row>
    <row r="17" ht="229" customHeight="1">
      <c r="A17" s="55" t="inlineStr">
        <is>
          <t>Commercial Package Register · Initial · Rev 0</t>
        </is>
      </c>
      <c r="B17" s="10">
        <f>COUNTIFS('MASTER DATA'!$C$2:$C$1624,"=Commercial Package Register",'MASTER DATA'!$M$2:$M$1624,"=Initial",'MASTER DATA'!$N$2:$N$1624,"=Rev 0",'MASTER DATA'!$H$2:$H$1624,"=New")</f>
        <v/>
      </c>
      <c r="C17" s="25">
        <f>SUM(B17:B17)</f>
        <v/>
      </c>
      <c r="D17" s="53" t="inlineStr">
        <is>
          <t>08 CROSSWALK</t>
        </is>
      </c>
    </row>
    <row r="18" ht="229" customHeight="1">
      <c r="A18" s="55" t="inlineStr">
        <is>
          <t>Contractor Programme · Initial · Rev 0</t>
        </is>
      </c>
      <c r="B18" s="10">
        <f>COUNTIFS('MASTER DATA'!$C$2:$C$1624,"=Contractor Programme",'MASTER DATA'!$M$2:$M$1624,"=Initial",'MASTER DATA'!$N$2:$N$1624,"=Rev 0",'MASTER DATA'!$H$2:$H$1624,"=New")</f>
        <v/>
      </c>
      <c r="C18" s="25">
        <f>SUM(B18:B18)</f>
        <v/>
      </c>
      <c r="D18" s="53" t="inlineStr">
        <is>
          <t>08 CROSSWALK</t>
        </is>
      </c>
    </row>
    <row r="19" ht="244" customHeight="1">
      <c r="A19" s="55" t="inlineStr">
        <is>
          <t>Cost &amp; Forecast Control Accounts · Initial · Rev 0</t>
        </is>
      </c>
      <c r="B19" s="10">
        <f>COUNTIFS('MASTER DATA'!$C$2:$C$1624,"=Cost &amp; Forecast Control Accounts",'MASTER DATA'!$M$2:$M$1624,"=Initial",'MASTER DATA'!$N$2:$N$1624,"=Rev 0",'MASTER DATA'!$H$2:$H$1624,"=New")</f>
        <v/>
      </c>
      <c r="C19" s="25">
        <f>SUM(B19:B19)</f>
        <v/>
      </c>
      <c r="D19" s="53" t="inlineStr">
        <is>
          <t>08 CROSSWALK</t>
        </is>
      </c>
    </row>
    <row r="20" ht="34" customHeight="1">
      <c r="A20" s="55" t="inlineStr">
        <is>
          <t>Total</t>
        </is>
      </c>
      <c r="B20" s="25">
        <f>SUM(B17:B19)</f>
        <v/>
      </c>
      <c r="C20" s="25">
        <f>SUM(C17:C19)</f>
        <v/>
      </c>
    </row>
    <row r="21" ht="109" customHeight="1">
      <c r="A21" s="67" t="inlineStr">
        <is>
          <t>Check: total equals MASTER DATA rows</t>
        </is>
      </c>
      <c r="B21" s="46">
        <f>IF(C20=COUNTA('MASTER DATA'!$O$2:$O$1624),"reconciled","DOES NOT RECONCILE")</f>
        <v/>
      </c>
    </row>
    <row r="22"/>
    <row r="23" ht="34" customHeight="1">
      <c r="A23" s="25" t="inlineStr">
        <is>
          <t>Relationship type × relationship state</t>
        </is>
      </c>
    </row>
    <row r="24" ht="49" customHeight="1">
      <c r="A24" s="27" t="inlineStr">
        <is>
          <t>Includes unresolved outcomes (NO_WBS, NEW_SCOPE, UNSURE) as their own types: uncertainty is counted, never hidden.</t>
        </is>
      </c>
    </row>
    <row r="25" ht="42" customHeight="1">
      <c r="A25" s="11" t="inlineStr">
        <is>
          <t>Relationship Type</t>
        </is>
      </c>
      <c r="B25" s="11" t="inlineStr">
        <is>
          <t>APPROVED</t>
        </is>
      </c>
      <c r="C25" s="11" t="inlineStr">
        <is>
          <t>Total</t>
        </is>
      </c>
      <c r="D25" s="11" t="inlineStr">
        <is>
          <t>Inspect</t>
        </is>
      </c>
    </row>
    <row r="26" ht="124" customHeight="1">
      <c r="A26" s="55" t="inlineStr">
        <is>
          <t>NEW_SCOPE</t>
        </is>
      </c>
      <c r="B26" s="10">
        <f>COUNTIFS('MASTER DATA'!$F$2:$F$1624,"=NEW_SCOPE",'MASTER DATA'!$G$2:$G$1624,"=APPROVED")</f>
        <v/>
      </c>
      <c r="C26" s="25">
        <f>SUM(B26:B26)</f>
        <v/>
      </c>
      <c r="D26" s="53" t="inlineStr">
        <is>
          <t>08 CROSSWALK</t>
        </is>
      </c>
    </row>
    <row r="27" ht="124" customHeight="1">
      <c r="A27" s="55" t="inlineStr">
        <is>
          <t>NO_WBS</t>
        </is>
      </c>
      <c r="B27" s="10">
        <f>COUNTIFS('MASTER DATA'!$F$2:$F$1624,"=NO_WBS",'MASTER DATA'!$G$2:$G$1624,"=APPROVED")</f>
        <v/>
      </c>
      <c r="C27" s="25">
        <f>SUM(B27:B27)</f>
        <v/>
      </c>
      <c r="D27" s="53" t="inlineStr">
        <is>
          <t>08 CROSSWALK</t>
        </is>
      </c>
    </row>
    <row r="28" ht="124" customHeight="1">
      <c r="A28" s="55" t="inlineStr">
        <is>
          <t>ONE_TO_MANY</t>
        </is>
      </c>
      <c r="B28" s="10">
        <f>COUNTIFS('MASTER DATA'!$F$2:$F$1624,"=ONE_TO_MANY",'MASTER DATA'!$G$2:$G$1624,"=APPROVED")</f>
        <v/>
      </c>
      <c r="C28" s="25">
        <f>SUM(B28:B28)</f>
        <v/>
      </c>
      <c r="D28" s="53" t="inlineStr">
        <is>
          <t>08 CROSSWALK</t>
        </is>
      </c>
    </row>
    <row r="29" ht="124" customHeight="1">
      <c r="A29" s="55" t="inlineStr">
        <is>
          <t>ONE_TO_ONE</t>
        </is>
      </c>
      <c r="B29" s="10">
        <f>COUNTIFS('MASTER DATA'!$F$2:$F$1624,"=ONE_TO_ONE",'MASTER DATA'!$G$2:$G$1624,"=APPROVED")</f>
        <v/>
      </c>
      <c r="C29" s="25">
        <f>SUM(B29:B29)</f>
        <v/>
      </c>
      <c r="D29" s="53" t="inlineStr">
        <is>
          <t>08 CROSSWALK</t>
        </is>
      </c>
    </row>
    <row r="30" ht="124" customHeight="1">
      <c r="A30" s="55" t="inlineStr">
        <is>
          <t>UNSURE</t>
        </is>
      </c>
      <c r="B30" s="10">
        <f>COUNTIFS('MASTER DATA'!$F$2:$F$1624,"=UNSURE",'MASTER DATA'!$G$2:$G$1624,"=APPROVED")</f>
        <v/>
      </c>
      <c r="C30" s="25">
        <f>SUM(B30:B30)</f>
        <v/>
      </c>
      <c r="D30" s="53" t="inlineStr">
        <is>
          <t>08 CROSSWALK</t>
        </is>
      </c>
    </row>
    <row r="31" ht="34" customHeight="1">
      <c r="A31" s="55" t="inlineStr">
        <is>
          <t>Total</t>
        </is>
      </c>
      <c r="B31" s="25">
        <f>SUM(B26:B30)</f>
        <v/>
      </c>
      <c r="C31" s="25">
        <f>SUM(C26:C30)</f>
        <v/>
      </c>
    </row>
    <row r="32" ht="109" customHeight="1">
      <c r="A32" s="67" t="inlineStr">
        <is>
          <t>Check: total equals MASTER DATA rows</t>
        </is>
      </c>
      <c r="B32" s="46">
        <f>IF(C31=COUNTA('MASTER DATA'!$O$2:$O$1624),"reconciled","DOES NOT RECONCILE")</f>
        <v/>
      </c>
    </row>
    <row r="33"/>
    <row r="34" ht="54" customHeight="1">
      <c r="A34" s="27" t="inlineStr">
        <is>
          <t>Use the formula tables to analyse approved records. This workbook does not contain generated PivotTables or slicers. To create your own PivotTable, select the named range WBSLINK_GOVERNED_RECORDS.</t>
        </is>
      </c>
    </row>
    <row r="35" ht="54" customHeight="1"/>
    <row r="36" ht="54" customHeight="1"/>
    <row r="37" ht="54" customHeight="1"/>
  </sheetData>
  <mergeCells count="3">
    <mergeCell ref="A1:D1"/>
    <mergeCell ref="A34:A37"/>
    <mergeCell ref="A2:D2"/>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E10" r:id="rId10"/>
    <hyperlink xmlns:r="http://schemas.openxmlformats.org/officeDocument/2006/relationships" ref="D17" r:id="rId11"/>
    <hyperlink xmlns:r="http://schemas.openxmlformats.org/officeDocument/2006/relationships" ref="D18" r:id="rId12"/>
    <hyperlink xmlns:r="http://schemas.openxmlformats.org/officeDocument/2006/relationships" ref="D19" r:id="rId13"/>
    <hyperlink xmlns:r="http://schemas.openxmlformats.org/officeDocument/2006/relationships" ref="D26" r:id="rId14"/>
    <hyperlink xmlns:r="http://schemas.openxmlformats.org/officeDocument/2006/relationships" ref="D27" r:id="rId15"/>
    <hyperlink xmlns:r="http://schemas.openxmlformats.org/officeDocument/2006/relationships" ref="D28" r:id="rId16"/>
    <hyperlink xmlns:r="http://schemas.openxmlformats.org/officeDocument/2006/relationships" ref="D29" r:id="rId17"/>
    <hyperlink xmlns:r="http://schemas.openxmlformats.org/officeDocument/2006/relationships" ref="D30" r:id="rId18"/>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tabColor rgb="008B8F97"/>
    <outlinePr summaryBelow="0" summaryRight="0"/>
    <pageSetUpPr fitToPage="1"/>
  </sheetPr>
  <dimension ref="A1:W1624"/>
  <sheetViews>
    <sheetView showGridLines="0" tabSelected="0" zoomScale="100" zoomScaleNormal="10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8" customWidth="1" min="3" max="3"/>
    <col width="18" customWidth="1" min="4" max="4"/>
    <col width="48" customWidth="1" min="5" max="5"/>
    <col width="18" customWidth="1" min="6" max="6"/>
    <col width="18" customWidth="1" min="7" max="7"/>
    <col width="18" customWidth="1" min="8" max="8"/>
    <col width="34"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8" customWidth="1" min="17" max="17"/>
    <col width="18" customWidth="1" min="18" max="18"/>
    <col width="18" customWidth="1" min="19" max="19"/>
    <col width="18" customWidth="1" min="20" max="20"/>
    <col width="18" customWidth="1" min="21" max="21"/>
    <col width="34" customWidth="1" min="22" max="22"/>
    <col width="48" customWidth="1" min="23" max="23"/>
  </cols>
  <sheetData>
    <row r="1" ht="49" customHeight="1">
      <c r="A1" s="98" t="inlineStr">
        <is>
          <t>WBS Code</t>
        </is>
      </c>
      <c r="B1" s="11" t="inlineStr">
        <is>
          <t>WBS Name</t>
        </is>
      </c>
      <c r="C1" s="11" t="inlineStr">
        <is>
          <t>Source Document</t>
        </is>
      </c>
      <c r="D1" s="11" t="inlineStr">
        <is>
          <t>Source Record ID</t>
        </is>
      </c>
      <c r="E1" s="11" t="inlineStr">
        <is>
          <t>Description</t>
        </is>
      </c>
      <c r="F1" s="11" t="inlineStr">
        <is>
          <t>Relationship Type</t>
        </is>
      </c>
      <c r="G1" s="11" t="inlineStr">
        <is>
          <t>Relationship State</t>
        </is>
      </c>
      <c r="H1" s="11" t="inlineStr">
        <is>
          <t>Change vs Previous Version</t>
        </is>
      </c>
      <c r="I1" s="11" t="inlineStr">
        <is>
          <t>Basis</t>
        </is>
      </c>
      <c r="J1" s="11" t="inlineStr">
        <is>
          <t>Decided By</t>
        </is>
      </c>
      <c r="K1" s="11" t="inlineStr">
        <is>
          <t>Proposed By</t>
        </is>
      </c>
      <c r="L1" s="11" t="inlineStr">
        <is>
          <t>Allocation</t>
        </is>
      </c>
      <c r="M1" s="11" t="inlineStr">
        <is>
          <t>Reporting Period</t>
        </is>
      </c>
      <c r="N1" s="11" t="inlineStr">
        <is>
          <t>Revision</t>
        </is>
      </c>
      <c r="O1" s="11" t="inlineStr">
        <is>
          <t>Relationship ID</t>
        </is>
      </c>
      <c r="P1" s="11" t="inlineStr">
        <is>
          <t>Target Status</t>
        </is>
      </c>
      <c r="Q1" s="11" t="inlineStr">
        <is>
          <t>Evidence Note</t>
        </is>
      </c>
      <c r="R1" s="11" t="inlineStr">
        <is>
          <t>Recommended WBS (not approved)</t>
        </is>
      </c>
      <c r="S1" s="11" t="inlineStr">
        <is>
          <t>Ancestor Status</t>
        </is>
      </c>
      <c r="T1" s="11" t="inlineStr">
        <is>
          <t>Decision Scope</t>
        </is>
      </c>
      <c r="U1" s="11" t="inlineStr">
        <is>
          <t>Reopen Reason</t>
        </is>
      </c>
      <c r="V1" s="11" t="inlineStr">
        <is>
          <t>Source Assertion</t>
        </is>
      </c>
      <c r="W1" s="11" t="inlineStr">
        <is>
          <t>Contrary Source Evidence</t>
        </is>
      </c>
    </row>
    <row r="2" ht="79" customHeight="1">
      <c r="A2" s="12" t="inlineStr">
        <is>
          <t>1.1</t>
        </is>
      </c>
      <c r="B2" s="12" t="inlineStr">
        <is>
          <t>Guideway and Civil</t>
        </is>
      </c>
      <c r="C2" s="12" t="inlineStr">
        <is>
          <t>Commercial Package Register</t>
        </is>
      </c>
      <c r="D2" s="12" t="inlineStr">
        <is>
          <t>PKG-001</t>
        </is>
      </c>
      <c r="E2" s="12" t="inlineStr">
        <is>
          <t>Guideway Civil Works</t>
        </is>
      </c>
      <c r="F2" s="12" t="inlineStr">
        <is>
          <t>ONE_TO_MANY</t>
        </is>
      </c>
      <c r="G2" s="12" t="inlineStr">
        <is>
          <t>APPROVED</t>
        </is>
      </c>
      <c r="H2" s="12" t="inlineStr">
        <is>
          <t>New</t>
        </is>
      </c>
      <c r="I2" s="12" t="inlineStr">
        <is>
          <t>Professional decision</t>
        </is>
      </c>
      <c r="J2" s="12" t="inlineStr">
        <is>
          <t>Maya Chen, Owner Project Controls</t>
        </is>
      </c>
      <c r="K2" s="12" t="inlineStr">
        <is>
          <t>Professional</t>
        </is>
      </c>
      <c r="L2" s="12" t="inlineStr">
        <is>
          <t>Split -- basis to be confirmed</t>
        </is>
      </c>
      <c r="M2" s="12" t="inlineStr">
        <is>
          <t>Initial</t>
        </is>
      </c>
      <c r="N2" s="12" t="inlineStr">
        <is>
          <t>Rev 0</t>
        </is>
      </c>
      <c r="O2" s="12" t="inlineStr">
        <is>
          <t>R1563-v2</t>
        </is>
      </c>
      <c r="P2" s="12" t="inlineStr"/>
      <c r="Q2" s="12" t="inlineStr"/>
      <c r="R2" s="12" t="inlineStr"/>
      <c r="S2" s="12" t="inlineStr"/>
      <c r="T2" s="12" t="inlineStr">
        <is>
          <t>Individual</t>
        </is>
      </c>
      <c r="U2" s="12" t="inlineStr"/>
      <c r="V2" s="12" t="inlineStr">
        <is>
          <t>Package Code = PK-101; WBS Code = 1.1;1.2</t>
        </is>
      </c>
      <c r="W2" s="12" t="inlineStr">
        <is>
          <t>Source states 'WBS Code' = '1.1;1.2' -- names no element of this WBS -- professional reason (Maya Chen, Owner Project Controls): Source package register explicitly states both Owner-WBS branches.</t>
        </is>
      </c>
    </row>
    <row r="3" ht="49" customHeight="1">
      <c r="A3" s="12" t="inlineStr">
        <is>
          <t>1.1</t>
        </is>
      </c>
      <c r="B3" s="12" t="inlineStr">
        <is>
          <t>Guideway and Civil</t>
        </is>
      </c>
      <c r="C3" s="12" t="inlineStr">
        <is>
          <t>Commercial Package Register</t>
        </is>
      </c>
      <c r="D3" s="12" t="inlineStr">
        <is>
          <t>PKG-002</t>
        </is>
      </c>
      <c r="E3" s="12" t="inlineStr">
        <is>
          <t>Utility Relocations</t>
        </is>
      </c>
      <c r="F3" s="12" t="inlineStr">
        <is>
          <t>ONE_TO_ONE</t>
        </is>
      </c>
      <c r="G3" s="12" t="inlineStr">
        <is>
          <t>APPROVED</t>
        </is>
      </c>
      <c r="H3" s="12" t="inlineStr">
        <is>
          <t>New</t>
        </is>
      </c>
      <c r="I3" s="12" t="inlineStr">
        <is>
          <t>Source assignment -- not individually reviewed</t>
        </is>
      </c>
      <c r="J3" s="12" t="inlineStr"/>
      <c r="K3" s="12" t="inlineStr">
        <is>
          <t>Source assignment</t>
        </is>
      </c>
      <c r="L3" s="12" t="inlineStr"/>
      <c r="M3" s="12" t="inlineStr">
        <is>
          <t>Initial</t>
        </is>
      </c>
      <c r="N3" s="12" t="inlineStr">
        <is>
          <t>Rev 0</t>
        </is>
      </c>
      <c r="O3" s="12" t="inlineStr">
        <is>
          <t>R1564-v1</t>
        </is>
      </c>
      <c r="P3" s="12" t="inlineStr"/>
      <c r="Q3" s="12" t="inlineStr"/>
      <c r="R3" s="12" t="inlineStr"/>
      <c r="S3" s="12" t="inlineStr"/>
      <c r="T3" s="12" t="inlineStr"/>
      <c r="U3" s="12" t="inlineStr"/>
      <c r="V3" s="12" t="inlineStr">
        <is>
          <t>Package Code = PK-102; WBS Code = 1.1</t>
        </is>
      </c>
      <c r="W3" s="12" t="inlineStr"/>
    </row>
    <row r="4" ht="49" customHeight="1">
      <c r="A4" s="12" t="inlineStr">
        <is>
          <t>1.1</t>
        </is>
      </c>
      <c r="B4" s="12" t="inlineStr">
        <is>
          <t>Guideway and Civil</t>
        </is>
      </c>
      <c r="C4" s="12" t="inlineStr">
        <is>
          <t>Commercial Package Register</t>
        </is>
      </c>
      <c r="D4" s="12" t="inlineStr">
        <is>
          <t>PKG-003</t>
        </is>
      </c>
      <c r="E4" s="12" t="inlineStr">
        <is>
          <t>Road &amp; Drainage</t>
        </is>
      </c>
      <c r="F4" s="12" t="inlineStr">
        <is>
          <t>ONE_TO_ONE</t>
        </is>
      </c>
      <c r="G4" s="12" t="inlineStr">
        <is>
          <t>APPROVED</t>
        </is>
      </c>
      <c r="H4" s="12" t="inlineStr">
        <is>
          <t>New</t>
        </is>
      </c>
      <c r="I4" s="12" t="inlineStr">
        <is>
          <t>Source assignment -- not individually reviewed</t>
        </is>
      </c>
      <c r="J4" s="12" t="inlineStr"/>
      <c r="K4" s="12" t="inlineStr">
        <is>
          <t>Source assignment</t>
        </is>
      </c>
      <c r="L4" s="12" t="inlineStr"/>
      <c r="M4" s="12" t="inlineStr">
        <is>
          <t>Initial</t>
        </is>
      </c>
      <c r="N4" s="12" t="inlineStr">
        <is>
          <t>Rev 0</t>
        </is>
      </c>
      <c r="O4" s="12" t="inlineStr">
        <is>
          <t>R1565-v1</t>
        </is>
      </c>
      <c r="P4" s="12" t="inlineStr"/>
      <c r="Q4" s="12" t="inlineStr"/>
      <c r="R4" s="12" t="inlineStr"/>
      <c r="S4" s="12" t="inlineStr"/>
      <c r="T4" s="12" t="inlineStr"/>
      <c r="U4" s="12" t="inlineStr"/>
      <c r="V4" s="12" t="inlineStr">
        <is>
          <t>Package Code = PK-103; WBS Code = 1.1</t>
        </is>
      </c>
      <c r="W4" s="12" t="inlineStr"/>
    </row>
    <row r="5" ht="49" customHeight="1">
      <c r="A5" s="12" t="inlineStr">
        <is>
          <t>1.1</t>
        </is>
      </c>
      <c r="B5" s="12" t="inlineStr">
        <is>
          <t>Guideway and Civil</t>
        </is>
      </c>
      <c r="C5" s="12" t="inlineStr">
        <is>
          <t>Commercial Package Register</t>
        </is>
      </c>
      <c r="D5" s="12" t="inlineStr">
        <is>
          <t>PKG-004</t>
        </is>
      </c>
      <c r="E5" s="12" t="inlineStr">
        <is>
          <t>Track Support Works</t>
        </is>
      </c>
      <c r="F5" s="12" t="inlineStr">
        <is>
          <t>ONE_TO_ONE</t>
        </is>
      </c>
      <c r="G5" s="12" t="inlineStr">
        <is>
          <t>APPROVED</t>
        </is>
      </c>
      <c r="H5" s="12" t="inlineStr">
        <is>
          <t>New</t>
        </is>
      </c>
      <c r="I5" s="12" t="inlineStr">
        <is>
          <t>Source assignment -- not individually reviewed</t>
        </is>
      </c>
      <c r="J5" s="12" t="inlineStr"/>
      <c r="K5" s="12" t="inlineStr">
        <is>
          <t>Source assignment</t>
        </is>
      </c>
      <c r="L5" s="12" t="inlineStr"/>
      <c r="M5" s="12" t="inlineStr">
        <is>
          <t>Initial</t>
        </is>
      </c>
      <c r="N5" s="12" t="inlineStr">
        <is>
          <t>Rev 0</t>
        </is>
      </c>
      <c r="O5" s="12" t="inlineStr">
        <is>
          <t>R1566-v1</t>
        </is>
      </c>
      <c r="P5" s="12" t="inlineStr"/>
      <c r="Q5" s="12" t="inlineStr"/>
      <c r="R5" s="12" t="inlineStr"/>
      <c r="S5" s="12" t="inlineStr"/>
      <c r="T5" s="12" t="inlineStr"/>
      <c r="U5" s="12" t="inlineStr"/>
      <c r="V5" s="12" t="inlineStr">
        <is>
          <t>Package Code = PK-104; WBS Code = 1.1</t>
        </is>
      </c>
      <c r="W5" s="12" t="inlineStr"/>
    </row>
    <row r="6" ht="49" customHeight="1">
      <c r="A6" s="12" t="inlineStr">
        <is>
          <t>1.1</t>
        </is>
      </c>
      <c r="B6" s="12" t="inlineStr">
        <is>
          <t>Guideway and Civil</t>
        </is>
      </c>
      <c r="C6" s="12" t="inlineStr">
        <is>
          <t>Commercial Package Register</t>
        </is>
      </c>
      <c r="D6" s="12" t="inlineStr">
        <is>
          <t>PKG-005</t>
        </is>
      </c>
      <c r="E6" s="12" t="inlineStr">
        <is>
          <t>Guideway Civil Works - Lot 2</t>
        </is>
      </c>
      <c r="F6" s="12" t="inlineStr">
        <is>
          <t>ONE_TO_ONE</t>
        </is>
      </c>
      <c r="G6" s="12" t="inlineStr">
        <is>
          <t>APPROVED</t>
        </is>
      </c>
      <c r="H6" s="12" t="inlineStr">
        <is>
          <t>New</t>
        </is>
      </c>
      <c r="I6" s="12" t="inlineStr">
        <is>
          <t>Source assignment -- not individually reviewed</t>
        </is>
      </c>
      <c r="J6" s="12" t="inlineStr"/>
      <c r="K6" s="12" t="inlineStr">
        <is>
          <t>Source assignment</t>
        </is>
      </c>
      <c r="L6" s="12" t="inlineStr"/>
      <c r="M6" s="12" t="inlineStr">
        <is>
          <t>Initial</t>
        </is>
      </c>
      <c r="N6" s="12" t="inlineStr">
        <is>
          <t>Rev 0</t>
        </is>
      </c>
      <c r="O6" s="12" t="inlineStr">
        <is>
          <t>R1567-v1</t>
        </is>
      </c>
      <c r="P6" s="12" t="inlineStr"/>
      <c r="Q6" s="12" t="inlineStr"/>
      <c r="R6" s="12" t="inlineStr"/>
      <c r="S6" s="12" t="inlineStr"/>
      <c r="T6" s="12" t="inlineStr"/>
      <c r="U6" s="12" t="inlineStr"/>
      <c r="V6" s="12" t="inlineStr">
        <is>
          <t>Package Code = PK-105; WBS Code = 1.1</t>
        </is>
      </c>
      <c r="W6" s="12" t="inlineStr"/>
    </row>
    <row r="7" ht="49" customHeight="1">
      <c r="A7" s="12" t="inlineStr">
        <is>
          <t>1.1</t>
        </is>
      </c>
      <c r="B7" s="12" t="inlineStr">
        <is>
          <t>Guideway and Civil</t>
        </is>
      </c>
      <c r="C7" s="12" t="inlineStr">
        <is>
          <t>Commercial Package Register</t>
        </is>
      </c>
      <c r="D7" s="12" t="inlineStr">
        <is>
          <t>PKG-006</t>
        </is>
      </c>
      <c r="E7" s="12" t="inlineStr">
        <is>
          <t>Utility Relocations - Lot 2</t>
        </is>
      </c>
      <c r="F7" s="12" t="inlineStr">
        <is>
          <t>ONE_TO_ONE</t>
        </is>
      </c>
      <c r="G7" s="12" t="inlineStr">
        <is>
          <t>APPROVED</t>
        </is>
      </c>
      <c r="H7" s="12" t="inlineStr">
        <is>
          <t>New</t>
        </is>
      </c>
      <c r="I7" s="12" t="inlineStr">
        <is>
          <t>Source assignment -- not individually reviewed</t>
        </is>
      </c>
      <c r="J7" s="12" t="inlineStr"/>
      <c r="K7" s="12" t="inlineStr">
        <is>
          <t>Source assignment</t>
        </is>
      </c>
      <c r="L7" s="12" t="inlineStr"/>
      <c r="M7" s="12" t="inlineStr">
        <is>
          <t>Initial</t>
        </is>
      </c>
      <c r="N7" s="12" t="inlineStr">
        <is>
          <t>Rev 0</t>
        </is>
      </c>
      <c r="O7" s="12" t="inlineStr">
        <is>
          <t>R1568-v1</t>
        </is>
      </c>
      <c r="P7" s="12" t="inlineStr"/>
      <c r="Q7" s="12" t="inlineStr"/>
      <c r="R7" s="12" t="inlineStr"/>
      <c r="S7" s="12" t="inlineStr"/>
      <c r="T7" s="12" t="inlineStr"/>
      <c r="U7" s="12" t="inlineStr"/>
      <c r="V7" s="12" t="inlineStr">
        <is>
          <t>Package Code = PK-106; WBS Code = 1.1</t>
        </is>
      </c>
      <c r="W7" s="12" t="inlineStr"/>
    </row>
    <row r="8" ht="49" customHeight="1">
      <c r="A8" s="12" t="inlineStr">
        <is>
          <t>1.1</t>
        </is>
      </c>
      <c r="B8" s="12" t="inlineStr">
        <is>
          <t>Guideway and Civil</t>
        </is>
      </c>
      <c r="C8" s="12" t="inlineStr">
        <is>
          <t>Commercial Package Register</t>
        </is>
      </c>
      <c r="D8" s="12" t="inlineStr">
        <is>
          <t>PKG-007</t>
        </is>
      </c>
      <c r="E8" s="12" t="inlineStr">
        <is>
          <t>Road &amp; Drainage - Lot 2</t>
        </is>
      </c>
      <c r="F8" s="12" t="inlineStr">
        <is>
          <t>ONE_TO_ONE</t>
        </is>
      </c>
      <c r="G8" s="12" t="inlineStr">
        <is>
          <t>APPROVED</t>
        </is>
      </c>
      <c r="H8" s="12" t="inlineStr">
        <is>
          <t>New</t>
        </is>
      </c>
      <c r="I8" s="12" t="inlineStr">
        <is>
          <t>Source assignment -- not individually reviewed</t>
        </is>
      </c>
      <c r="J8" s="12" t="inlineStr"/>
      <c r="K8" s="12" t="inlineStr">
        <is>
          <t>Source assignment</t>
        </is>
      </c>
      <c r="L8" s="12" t="inlineStr"/>
      <c r="M8" s="12" t="inlineStr">
        <is>
          <t>Initial</t>
        </is>
      </c>
      <c r="N8" s="12" t="inlineStr">
        <is>
          <t>Rev 0</t>
        </is>
      </c>
      <c r="O8" s="12" t="inlineStr">
        <is>
          <t>R1569-v1</t>
        </is>
      </c>
      <c r="P8" s="12" t="inlineStr"/>
      <c r="Q8" s="12" t="inlineStr"/>
      <c r="R8" s="12" t="inlineStr"/>
      <c r="S8" s="12" t="inlineStr"/>
      <c r="T8" s="12" t="inlineStr"/>
      <c r="U8" s="12" t="inlineStr"/>
      <c r="V8" s="12" t="inlineStr">
        <is>
          <t>Package Code = PK-107; WBS Code = 1.1</t>
        </is>
      </c>
      <c r="W8" s="12" t="inlineStr"/>
    </row>
    <row r="9" ht="49" customHeight="1">
      <c r="A9" s="12" t="inlineStr">
        <is>
          <t>1.1</t>
        </is>
      </c>
      <c r="B9" s="12" t="inlineStr">
        <is>
          <t>Guideway and Civil</t>
        </is>
      </c>
      <c r="C9" s="12" t="inlineStr">
        <is>
          <t>Commercial Package Register</t>
        </is>
      </c>
      <c r="D9" s="12" t="inlineStr">
        <is>
          <t>PKG-008</t>
        </is>
      </c>
      <c r="E9" s="12" t="inlineStr">
        <is>
          <t>Track Support Works - Lot 2</t>
        </is>
      </c>
      <c r="F9" s="12" t="inlineStr">
        <is>
          <t>ONE_TO_ONE</t>
        </is>
      </c>
      <c r="G9" s="12" t="inlineStr">
        <is>
          <t>APPROVED</t>
        </is>
      </c>
      <c r="H9" s="12" t="inlineStr">
        <is>
          <t>New</t>
        </is>
      </c>
      <c r="I9" s="12" t="inlineStr">
        <is>
          <t>Source assignment -- not individually reviewed</t>
        </is>
      </c>
      <c r="J9" s="12" t="inlineStr"/>
      <c r="K9" s="12" t="inlineStr">
        <is>
          <t>Source assignment</t>
        </is>
      </c>
      <c r="L9" s="12" t="inlineStr"/>
      <c r="M9" s="12" t="inlineStr">
        <is>
          <t>Initial</t>
        </is>
      </c>
      <c r="N9" s="12" t="inlineStr">
        <is>
          <t>Rev 0</t>
        </is>
      </c>
      <c r="O9" s="12" t="inlineStr">
        <is>
          <t>R1570-v1</t>
        </is>
      </c>
      <c r="P9" s="12" t="inlineStr"/>
      <c r="Q9" s="12" t="inlineStr"/>
      <c r="R9" s="12" t="inlineStr"/>
      <c r="S9" s="12" t="inlineStr"/>
      <c r="T9" s="12" t="inlineStr"/>
      <c r="U9" s="12" t="inlineStr"/>
      <c r="V9" s="12" t="inlineStr">
        <is>
          <t>Package Code = PK-108; WBS Code = 1.1</t>
        </is>
      </c>
      <c r="W9" s="12" t="inlineStr"/>
    </row>
    <row r="10" ht="49" customHeight="1">
      <c r="A10" s="12" t="inlineStr">
        <is>
          <t>1.1</t>
        </is>
      </c>
      <c r="B10" s="12" t="inlineStr">
        <is>
          <t>Guideway and Civil</t>
        </is>
      </c>
      <c r="C10" s="12" t="inlineStr">
        <is>
          <t>Commercial Package Register</t>
        </is>
      </c>
      <c r="D10" s="12" t="inlineStr">
        <is>
          <t>PKG-009</t>
        </is>
      </c>
      <c r="E10" s="12" t="inlineStr">
        <is>
          <t>Guideway Civil Works - Lot 3</t>
        </is>
      </c>
      <c r="F10" s="12" t="inlineStr">
        <is>
          <t>ONE_TO_ONE</t>
        </is>
      </c>
      <c r="G10" s="12" t="inlineStr">
        <is>
          <t>APPROVED</t>
        </is>
      </c>
      <c r="H10" s="12" t="inlineStr">
        <is>
          <t>New</t>
        </is>
      </c>
      <c r="I10" s="12" t="inlineStr">
        <is>
          <t>Source assignment -- not individually reviewed</t>
        </is>
      </c>
      <c r="J10" s="12" t="inlineStr"/>
      <c r="K10" s="12" t="inlineStr">
        <is>
          <t>Source assignment</t>
        </is>
      </c>
      <c r="L10" s="12" t="inlineStr"/>
      <c r="M10" s="12" t="inlineStr">
        <is>
          <t>Initial</t>
        </is>
      </c>
      <c r="N10" s="12" t="inlineStr">
        <is>
          <t>Rev 0</t>
        </is>
      </c>
      <c r="O10" s="12" t="inlineStr">
        <is>
          <t>R1571-v1</t>
        </is>
      </c>
      <c r="P10" s="12" t="inlineStr"/>
      <c r="Q10" s="12" t="inlineStr"/>
      <c r="R10" s="12" t="inlineStr"/>
      <c r="S10" s="12" t="inlineStr"/>
      <c r="T10" s="12" t="inlineStr"/>
      <c r="U10" s="12" t="inlineStr"/>
      <c r="V10" s="12" t="inlineStr">
        <is>
          <t>Package Code = PK-109; WBS Code = 1.1</t>
        </is>
      </c>
      <c r="W10" s="12" t="inlineStr"/>
    </row>
    <row r="11" ht="49" customHeight="1">
      <c r="A11" s="12" t="inlineStr">
        <is>
          <t>1.1</t>
        </is>
      </c>
      <c r="B11" s="12" t="inlineStr">
        <is>
          <t>Guideway and Civil</t>
        </is>
      </c>
      <c r="C11" s="12" t="inlineStr">
        <is>
          <t>Commercial Package Register</t>
        </is>
      </c>
      <c r="D11" s="12" t="inlineStr">
        <is>
          <t>PKG-010</t>
        </is>
      </c>
      <c r="E11" s="12" t="inlineStr">
        <is>
          <t>Utility Relocations - Lot 3</t>
        </is>
      </c>
      <c r="F11" s="12" t="inlineStr">
        <is>
          <t>ONE_TO_ONE</t>
        </is>
      </c>
      <c r="G11" s="12" t="inlineStr">
        <is>
          <t>APPROVED</t>
        </is>
      </c>
      <c r="H11" s="12" t="inlineStr">
        <is>
          <t>New</t>
        </is>
      </c>
      <c r="I11" s="12" t="inlineStr">
        <is>
          <t>Source assignment -- not individually reviewed</t>
        </is>
      </c>
      <c r="J11" s="12" t="inlineStr"/>
      <c r="K11" s="12" t="inlineStr">
        <is>
          <t>Source assignment</t>
        </is>
      </c>
      <c r="L11" s="12" t="inlineStr"/>
      <c r="M11" s="12" t="inlineStr">
        <is>
          <t>Initial</t>
        </is>
      </c>
      <c r="N11" s="12" t="inlineStr">
        <is>
          <t>Rev 0</t>
        </is>
      </c>
      <c r="O11" s="12" t="inlineStr">
        <is>
          <t>R1572-v1</t>
        </is>
      </c>
      <c r="P11" s="12" t="inlineStr"/>
      <c r="Q11" s="12" t="inlineStr"/>
      <c r="R11" s="12" t="inlineStr"/>
      <c r="S11" s="12" t="inlineStr"/>
      <c r="T11" s="12" t="inlineStr"/>
      <c r="U11" s="12" t="inlineStr"/>
      <c r="V11" s="12" t="inlineStr">
        <is>
          <t>Package Code = PK-110; WBS Code = 1.1</t>
        </is>
      </c>
      <c r="W11" s="12" t="inlineStr"/>
    </row>
    <row r="12" ht="64" customHeight="1">
      <c r="A12" s="12" t="inlineStr">
        <is>
          <t>1.1.1</t>
        </is>
      </c>
      <c r="B12" s="12" t="inlineStr">
        <is>
          <t>Guideway and Civil - Guideway Structures</t>
        </is>
      </c>
      <c r="C12" s="12" t="inlineStr">
        <is>
          <t>Contractor Programme</t>
        </is>
      </c>
      <c r="D12" s="12" t="inlineStr">
        <is>
          <t>SCH-01-001</t>
        </is>
      </c>
      <c r="E12" s="12" t="inlineStr">
        <is>
          <t>West approach: track-slab survey - installation</t>
        </is>
      </c>
      <c r="F12" s="12" t="inlineStr">
        <is>
          <t>ONE_TO_ONE</t>
        </is>
      </c>
      <c r="G12" s="12" t="inlineStr">
        <is>
          <t>APPROVED</t>
        </is>
      </c>
      <c r="H12" s="12" t="inlineStr">
        <is>
          <t>New</t>
        </is>
      </c>
      <c r="I12" s="12" t="inlineStr">
        <is>
          <t>Source assignment -- not individually reviewed</t>
        </is>
      </c>
      <c r="J12" s="12" t="inlineStr"/>
      <c r="K12" s="12" t="inlineStr">
        <is>
          <t>Source assignment</t>
        </is>
      </c>
      <c r="L12" s="12" t="inlineStr"/>
      <c r="M12" s="12" t="inlineStr">
        <is>
          <t>Initial</t>
        </is>
      </c>
      <c r="N12" s="12" t="inlineStr">
        <is>
          <t>Rev 0</t>
        </is>
      </c>
      <c r="O12" s="12" t="inlineStr">
        <is>
          <t>R1-v1</t>
        </is>
      </c>
      <c r="P12" s="12" t="inlineStr"/>
      <c r="Q12" s="12" t="inlineStr"/>
      <c r="R12" s="12" t="inlineStr"/>
      <c r="S12" s="12" t="inlineStr"/>
      <c r="T12" s="12" t="inlineStr"/>
      <c r="U12" s="12" t="inlineStr"/>
      <c r="V12" s="12" t="inlineStr">
        <is>
          <t>WBS Code = 1.1.1</t>
        </is>
      </c>
      <c r="W12" s="12" t="inlineStr"/>
    </row>
    <row r="13" ht="64" customHeight="1">
      <c r="A13" s="12" t="inlineStr">
        <is>
          <t>1.1.1</t>
        </is>
      </c>
      <c r="B13" s="12" t="inlineStr">
        <is>
          <t>Guideway and Civil - Guideway Structures</t>
        </is>
      </c>
      <c r="C13" s="12" t="inlineStr">
        <is>
          <t>Contractor Programme</t>
        </is>
      </c>
      <c r="D13" s="12" t="inlineStr">
        <is>
          <t>SCH-01-002</t>
        </is>
      </c>
      <c r="E13" s="12" t="inlineStr">
        <is>
          <t>Depot lead: temporary traffic staging - inspection</t>
        </is>
      </c>
      <c r="F13" s="12" t="inlineStr">
        <is>
          <t>ONE_TO_ONE</t>
        </is>
      </c>
      <c r="G13" s="12" t="inlineStr">
        <is>
          <t>APPROVED</t>
        </is>
      </c>
      <c r="H13" s="12" t="inlineStr">
        <is>
          <t>New</t>
        </is>
      </c>
      <c r="I13" s="12" t="inlineStr">
        <is>
          <t>Source assignment -- not individually reviewed</t>
        </is>
      </c>
      <c r="J13" s="12" t="inlineStr"/>
      <c r="K13" s="12" t="inlineStr">
        <is>
          <t>Source assignment</t>
        </is>
      </c>
      <c r="L13" s="12" t="inlineStr"/>
      <c r="M13" s="12" t="inlineStr">
        <is>
          <t>Initial</t>
        </is>
      </c>
      <c r="N13" s="12" t="inlineStr">
        <is>
          <t>Rev 0</t>
        </is>
      </c>
      <c r="O13" s="12" t="inlineStr">
        <is>
          <t>R2-v1</t>
        </is>
      </c>
      <c r="P13" s="12" t="inlineStr"/>
      <c r="Q13" s="12" t="inlineStr"/>
      <c r="R13" s="12" t="inlineStr"/>
      <c r="S13" s="12" t="inlineStr"/>
      <c r="T13" s="12" t="inlineStr"/>
      <c r="U13" s="12" t="inlineStr"/>
      <c r="V13" s="12" t="inlineStr">
        <is>
          <t>WBS Code = 1.1.1</t>
        </is>
      </c>
      <c r="W13" s="12" t="inlineStr"/>
    </row>
    <row r="14" ht="64" customHeight="1">
      <c r="A14" s="12" t="inlineStr">
        <is>
          <t>1.1.1</t>
        </is>
      </c>
      <c r="B14" s="12" t="inlineStr">
        <is>
          <t>Guideway and Civil - Guideway Structures</t>
        </is>
      </c>
      <c r="C14" s="12" t="inlineStr">
        <is>
          <t>Contractor Programme</t>
        </is>
      </c>
      <c r="D14" s="12" t="inlineStr">
        <is>
          <t>SCH-01-004</t>
        </is>
      </c>
      <c r="E14" s="12" t="inlineStr">
        <is>
          <t>River crossing: road restoration - release</t>
        </is>
      </c>
      <c r="F14" s="12" t="inlineStr">
        <is>
          <t>ONE_TO_ONE</t>
        </is>
      </c>
      <c r="G14" s="12" t="inlineStr">
        <is>
          <t>APPROVED</t>
        </is>
      </c>
      <c r="H14" s="12" t="inlineStr">
        <is>
          <t>New</t>
        </is>
      </c>
      <c r="I14" s="12" t="inlineStr">
        <is>
          <t>Source assignment -- not individually reviewed</t>
        </is>
      </c>
      <c r="J14" s="12" t="inlineStr"/>
      <c r="K14" s="12" t="inlineStr">
        <is>
          <t>Source assignment</t>
        </is>
      </c>
      <c r="L14" s="12" t="inlineStr"/>
      <c r="M14" s="12" t="inlineStr">
        <is>
          <t>Initial</t>
        </is>
      </c>
      <c r="N14" s="12" t="inlineStr">
        <is>
          <t>Rev 0</t>
        </is>
      </c>
      <c r="O14" s="12" t="inlineStr">
        <is>
          <t>R4-v1</t>
        </is>
      </c>
      <c r="P14" s="12" t="inlineStr"/>
      <c r="Q14" s="12" t="inlineStr"/>
      <c r="R14" s="12" t="inlineStr"/>
      <c r="S14" s="12" t="inlineStr"/>
      <c r="T14" s="12" t="inlineStr"/>
      <c r="U14" s="12" t="inlineStr"/>
      <c r="V14" s="12" t="inlineStr">
        <is>
          <t>WBS Code = 1.1.1</t>
        </is>
      </c>
      <c r="W14" s="12" t="inlineStr"/>
    </row>
    <row r="15" ht="64" customHeight="1">
      <c r="A15" s="12" t="inlineStr">
        <is>
          <t>1.1.1</t>
        </is>
      </c>
      <c r="B15" s="12" t="inlineStr">
        <is>
          <t>Guideway and Civil - Guideway Structures</t>
        </is>
      </c>
      <c r="C15" s="12" t="inlineStr">
        <is>
          <t>Contractor Programme</t>
        </is>
      </c>
      <c r="D15" s="12" t="inlineStr">
        <is>
          <t>SCH-01-005</t>
        </is>
      </c>
      <c r="E15" s="12" t="inlineStr">
        <is>
          <t>Central guideway: drilled-shaft installation - field start</t>
        </is>
      </c>
      <c r="F15" s="12" t="inlineStr">
        <is>
          <t>ONE_TO_ONE</t>
        </is>
      </c>
      <c r="G15" s="12" t="inlineStr">
        <is>
          <t>APPROVED</t>
        </is>
      </c>
      <c r="H15" s="12" t="inlineStr">
        <is>
          <t>New</t>
        </is>
      </c>
      <c r="I15" s="12" t="inlineStr">
        <is>
          <t>Source assignment -- not individually reviewed</t>
        </is>
      </c>
      <c r="J15" s="12" t="inlineStr"/>
      <c r="K15" s="12" t="inlineStr">
        <is>
          <t>Source assignment</t>
        </is>
      </c>
      <c r="L15" s="12" t="inlineStr"/>
      <c r="M15" s="12" t="inlineStr">
        <is>
          <t>Initial</t>
        </is>
      </c>
      <c r="N15" s="12" t="inlineStr">
        <is>
          <t>Rev 0</t>
        </is>
      </c>
      <c r="O15" s="12" t="inlineStr">
        <is>
          <t>R5-v1</t>
        </is>
      </c>
      <c r="P15" s="12" t="inlineStr"/>
      <c r="Q15" s="12" t="inlineStr"/>
      <c r="R15" s="12" t="inlineStr"/>
      <c r="S15" s="12" t="inlineStr"/>
      <c r="T15" s="12" t="inlineStr"/>
      <c r="U15" s="12" t="inlineStr"/>
      <c r="V15" s="12" t="inlineStr">
        <is>
          <t>WBS Code = 1.1.1</t>
        </is>
      </c>
      <c r="W15" s="12" t="inlineStr"/>
    </row>
    <row r="16" ht="64" customHeight="1">
      <c r="A16" s="12" t="inlineStr">
        <is>
          <t>1.1.1</t>
        </is>
      </c>
      <c r="B16" s="12" t="inlineStr">
        <is>
          <t>Guideway and Civil - Guideway Structures</t>
        </is>
      </c>
      <c r="C16" s="12" t="inlineStr">
        <is>
          <t>Contractor Programme</t>
        </is>
      </c>
      <c r="D16" s="12" t="inlineStr">
        <is>
          <t>SCH-01-007</t>
        </is>
      </c>
      <c r="E16" s="12" t="inlineStr">
        <is>
          <t>Depot lead: drainage tie-in - inspection</t>
        </is>
      </c>
      <c r="F16" s="12" t="inlineStr">
        <is>
          <t>ONE_TO_ONE</t>
        </is>
      </c>
      <c r="G16" s="12" t="inlineStr">
        <is>
          <t>APPROVED</t>
        </is>
      </c>
      <c r="H16" s="12" t="inlineStr">
        <is>
          <t>New</t>
        </is>
      </c>
      <c r="I16" s="12" t="inlineStr">
        <is>
          <t>Source assignment -- not individually reviewed</t>
        </is>
      </c>
      <c r="J16" s="12" t="inlineStr"/>
      <c r="K16" s="12" t="inlineStr">
        <is>
          <t>Source assignment</t>
        </is>
      </c>
      <c r="L16" s="12" t="inlineStr"/>
      <c r="M16" s="12" t="inlineStr">
        <is>
          <t>Initial</t>
        </is>
      </c>
      <c r="N16" s="12" t="inlineStr">
        <is>
          <t>Rev 0</t>
        </is>
      </c>
      <c r="O16" s="12" t="inlineStr">
        <is>
          <t>R7-v1</t>
        </is>
      </c>
      <c r="P16" s="12" t="inlineStr"/>
      <c r="Q16" s="12" t="inlineStr"/>
      <c r="R16" s="12" t="inlineStr"/>
      <c r="S16" s="12" t="inlineStr"/>
      <c r="T16" s="12" t="inlineStr"/>
      <c r="U16" s="12" t="inlineStr"/>
      <c r="V16" s="12" t="inlineStr">
        <is>
          <t>WBS Code = 1.1.1</t>
        </is>
      </c>
      <c r="W16" s="12" t="inlineStr"/>
    </row>
    <row r="17" ht="64" customHeight="1">
      <c r="A17" s="12" t="inlineStr">
        <is>
          <t>1.1.1</t>
        </is>
      </c>
      <c r="B17" s="12" t="inlineStr">
        <is>
          <t>Guideway and Civil - Guideway Structures</t>
        </is>
      </c>
      <c r="C17" s="12" t="inlineStr">
        <is>
          <t>Contractor Programme</t>
        </is>
      </c>
      <c r="D17" s="12" t="inlineStr">
        <is>
          <t>SCH-01-008</t>
        </is>
      </c>
      <c r="E17" s="12" t="inlineStr">
        <is>
          <t>East portal: utility relocation - turnover</t>
        </is>
      </c>
      <c r="F17" s="12" t="inlineStr">
        <is>
          <t>ONE_TO_ONE</t>
        </is>
      </c>
      <c r="G17" s="12" t="inlineStr">
        <is>
          <t>APPROVED</t>
        </is>
      </c>
      <c r="H17" s="12" t="inlineStr">
        <is>
          <t>New</t>
        </is>
      </c>
      <c r="I17" s="12" t="inlineStr">
        <is>
          <t>Source assignment -- not individually reviewed</t>
        </is>
      </c>
      <c r="J17" s="12" t="inlineStr"/>
      <c r="K17" s="12" t="inlineStr">
        <is>
          <t>Source assignment</t>
        </is>
      </c>
      <c r="L17" s="12" t="inlineStr"/>
      <c r="M17" s="12" t="inlineStr">
        <is>
          <t>Initial</t>
        </is>
      </c>
      <c r="N17" s="12" t="inlineStr">
        <is>
          <t>Rev 0</t>
        </is>
      </c>
      <c r="O17" s="12" t="inlineStr">
        <is>
          <t>R8-v1</t>
        </is>
      </c>
      <c r="P17" s="12" t="inlineStr"/>
      <c r="Q17" s="12" t="inlineStr"/>
      <c r="R17" s="12" t="inlineStr"/>
      <c r="S17" s="12" t="inlineStr"/>
      <c r="T17" s="12" t="inlineStr"/>
      <c r="U17" s="12" t="inlineStr"/>
      <c r="V17" s="12" t="inlineStr">
        <is>
          <t>WBS Code = 1.1.1</t>
        </is>
      </c>
      <c r="W17" s="12" t="inlineStr"/>
    </row>
    <row r="18" ht="64" customHeight="1">
      <c r="A18" s="12" t="inlineStr">
        <is>
          <t>1.1.1</t>
        </is>
      </c>
      <c r="B18" s="12" t="inlineStr">
        <is>
          <t>Guideway and Civil - Guideway Structures</t>
        </is>
      </c>
      <c r="C18" s="12" t="inlineStr">
        <is>
          <t>Contractor Programme</t>
        </is>
      </c>
      <c r="D18" s="12" t="inlineStr">
        <is>
          <t>SCH-01-010</t>
        </is>
      </c>
      <c r="E18" s="12" t="inlineStr">
        <is>
          <t>Central guideway: temporary traffic staging - field start</t>
        </is>
      </c>
      <c r="F18" s="12" t="inlineStr">
        <is>
          <t>ONE_TO_ONE</t>
        </is>
      </c>
      <c r="G18" s="12" t="inlineStr">
        <is>
          <t>APPROVED</t>
        </is>
      </c>
      <c r="H18" s="12" t="inlineStr">
        <is>
          <t>New</t>
        </is>
      </c>
      <c r="I18" s="12" t="inlineStr">
        <is>
          <t>Source assignment -- not individually reviewed</t>
        </is>
      </c>
      <c r="J18" s="12" t="inlineStr"/>
      <c r="K18" s="12" t="inlineStr">
        <is>
          <t>Source assignment</t>
        </is>
      </c>
      <c r="L18" s="12" t="inlineStr"/>
      <c r="M18" s="12" t="inlineStr">
        <is>
          <t>Initial</t>
        </is>
      </c>
      <c r="N18" s="12" t="inlineStr">
        <is>
          <t>Rev 0</t>
        </is>
      </c>
      <c r="O18" s="12" t="inlineStr">
        <is>
          <t>R10-v1</t>
        </is>
      </c>
      <c r="P18" s="12" t="inlineStr"/>
      <c r="Q18" s="12" t="inlineStr"/>
      <c r="R18" s="12" t="inlineStr"/>
      <c r="S18" s="12" t="inlineStr"/>
      <c r="T18" s="12" t="inlineStr"/>
      <c r="U18" s="12" t="inlineStr"/>
      <c r="V18" s="12" t="inlineStr">
        <is>
          <t>WBS Code = 1.1.1</t>
        </is>
      </c>
      <c r="W18" s="12" t="inlineStr"/>
    </row>
    <row r="19" ht="64" customHeight="1">
      <c r="A19" s="12" t="inlineStr">
        <is>
          <t>1.1.1</t>
        </is>
      </c>
      <c r="B19" s="12" t="inlineStr">
        <is>
          <t>Guideway and Civil - Guideway Structures</t>
        </is>
      </c>
      <c r="C19" s="12" t="inlineStr">
        <is>
          <t>Contractor Programme</t>
        </is>
      </c>
      <c r="D19" s="12" t="inlineStr">
        <is>
          <t>SCH-01-011</t>
        </is>
      </c>
      <c r="E19" s="12" t="inlineStr">
        <is>
          <t>West approach: guideway pier reinforcement - installation</t>
        </is>
      </c>
      <c r="F19" s="12" t="inlineStr">
        <is>
          <t>ONE_TO_ONE</t>
        </is>
      </c>
      <c r="G19" s="12" t="inlineStr">
        <is>
          <t>APPROVED</t>
        </is>
      </c>
      <c r="H19" s="12" t="inlineStr">
        <is>
          <t>New</t>
        </is>
      </c>
      <c r="I19" s="12" t="inlineStr">
        <is>
          <t>Source assignment -- not individually reviewed</t>
        </is>
      </c>
      <c r="J19" s="12" t="inlineStr"/>
      <c r="K19" s="12" t="inlineStr">
        <is>
          <t>Source assignment</t>
        </is>
      </c>
      <c r="L19" s="12" t="inlineStr"/>
      <c r="M19" s="12" t="inlineStr">
        <is>
          <t>Initial</t>
        </is>
      </c>
      <c r="N19" s="12" t="inlineStr">
        <is>
          <t>Rev 0</t>
        </is>
      </c>
      <c r="O19" s="12" t="inlineStr">
        <is>
          <t>R11-v1</t>
        </is>
      </c>
      <c r="P19" s="12" t="inlineStr"/>
      <c r="Q19" s="12" t="inlineStr"/>
      <c r="R19" s="12" t="inlineStr"/>
      <c r="S19" s="12" t="inlineStr"/>
      <c r="T19" s="12" t="inlineStr"/>
      <c r="U19" s="12" t="inlineStr"/>
      <c r="V19" s="12" t="inlineStr">
        <is>
          <t>WBS Code = 1.1.1</t>
        </is>
      </c>
      <c r="W19" s="12" t="inlineStr"/>
    </row>
    <row r="20" ht="64" customHeight="1">
      <c r="A20" s="12" t="inlineStr">
        <is>
          <t>1.1.1</t>
        </is>
      </c>
      <c r="B20" s="12" t="inlineStr">
        <is>
          <t>Guideway and Civil - Guideway Structures</t>
        </is>
      </c>
      <c r="C20" s="12" t="inlineStr">
        <is>
          <t>Contractor Programme</t>
        </is>
      </c>
      <c r="D20" s="12" t="inlineStr">
        <is>
          <t>SCH-01-013</t>
        </is>
      </c>
      <c r="E20" s="12" t="inlineStr">
        <is>
          <t>East portal: drilled-shaft installation - turnover</t>
        </is>
      </c>
      <c r="F20" s="12" t="inlineStr">
        <is>
          <t>ONE_TO_ONE</t>
        </is>
      </c>
      <c r="G20" s="12" t="inlineStr">
        <is>
          <t>APPROVED</t>
        </is>
      </c>
      <c r="H20" s="12" t="inlineStr">
        <is>
          <t>New</t>
        </is>
      </c>
      <c r="I20" s="12" t="inlineStr">
        <is>
          <t>Source assignment -- not individually reviewed</t>
        </is>
      </c>
      <c r="J20" s="12" t="inlineStr"/>
      <c r="K20" s="12" t="inlineStr">
        <is>
          <t>Source assignment</t>
        </is>
      </c>
      <c r="L20" s="12" t="inlineStr"/>
      <c r="M20" s="12" t="inlineStr">
        <is>
          <t>Initial</t>
        </is>
      </c>
      <c r="N20" s="12" t="inlineStr">
        <is>
          <t>Rev 0</t>
        </is>
      </c>
      <c r="O20" s="12" t="inlineStr">
        <is>
          <t>R13-v1</t>
        </is>
      </c>
      <c r="P20" s="12" t="inlineStr"/>
      <c r="Q20" s="12" t="inlineStr"/>
      <c r="R20" s="12" t="inlineStr"/>
      <c r="S20" s="12" t="inlineStr"/>
      <c r="T20" s="12" t="inlineStr"/>
      <c r="U20" s="12" t="inlineStr"/>
      <c r="V20" s="12" t="inlineStr">
        <is>
          <t>WBS Code = 1.1.1</t>
        </is>
      </c>
      <c r="W20" s="12" t="inlineStr"/>
    </row>
    <row r="21" ht="64" customHeight="1">
      <c r="A21" s="12" t="inlineStr">
        <is>
          <t>1.1.1</t>
        </is>
      </c>
      <c r="B21" s="12" t="inlineStr">
        <is>
          <t>Guideway and Civil - Guideway Structures</t>
        </is>
      </c>
      <c r="C21" s="12" t="inlineStr">
        <is>
          <t>Contractor Programme</t>
        </is>
      </c>
      <c r="D21" s="12" t="inlineStr">
        <is>
          <t>SCH-01-014</t>
        </is>
      </c>
      <c r="E21" s="12" t="inlineStr">
        <is>
          <t>River crossing: retaining-wall excavation - release</t>
        </is>
      </c>
      <c r="F21" s="12" t="inlineStr">
        <is>
          <t>ONE_TO_ONE</t>
        </is>
      </c>
      <c r="G21" s="12" t="inlineStr">
        <is>
          <t>APPROVED</t>
        </is>
      </c>
      <c r="H21" s="12" t="inlineStr">
        <is>
          <t>New</t>
        </is>
      </c>
      <c r="I21" s="12" t="inlineStr">
        <is>
          <t>Source assignment -- not individually reviewed</t>
        </is>
      </c>
      <c r="J21" s="12" t="inlineStr"/>
      <c r="K21" s="12" t="inlineStr">
        <is>
          <t>Source assignment</t>
        </is>
      </c>
      <c r="L21" s="12" t="inlineStr"/>
      <c r="M21" s="12" t="inlineStr">
        <is>
          <t>Initial</t>
        </is>
      </c>
      <c r="N21" s="12" t="inlineStr">
        <is>
          <t>Rev 0</t>
        </is>
      </c>
      <c r="O21" s="12" t="inlineStr">
        <is>
          <t>R14-v1</t>
        </is>
      </c>
      <c r="P21" s="12" t="inlineStr"/>
      <c r="Q21" s="12" t="inlineStr"/>
      <c r="R21" s="12" t="inlineStr"/>
      <c r="S21" s="12" t="inlineStr"/>
      <c r="T21" s="12" t="inlineStr"/>
      <c r="U21" s="12" t="inlineStr"/>
      <c r="V21" s="12" t="inlineStr">
        <is>
          <t>WBS Code = 1.1.1</t>
        </is>
      </c>
      <c r="W21" s="12" t="inlineStr"/>
    </row>
    <row r="22" ht="64" customHeight="1">
      <c r="A22" s="12" t="inlineStr">
        <is>
          <t>1.1.1</t>
        </is>
      </c>
      <c r="B22" s="12" t="inlineStr">
        <is>
          <t>Guideway and Civil - Guideway Structures</t>
        </is>
      </c>
      <c r="C22" s="12" t="inlineStr">
        <is>
          <t>Contractor Programme</t>
        </is>
      </c>
      <c r="D22" s="12" t="inlineStr">
        <is>
          <t>SCH-01-016</t>
        </is>
      </c>
      <c r="E22" s="12" t="inlineStr">
        <is>
          <t>West approach: utility relocation - installation</t>
        </is>
      </c>
      <c r="F22" s="12" t="inlineStr">
        <is>
          <t>ONE_TO_ONE</t>
        </is>
      </c>
      <c r="G22" s="12" t="inlineStr">
        <is>
          <t>APPROVED</t>
        </is>
      </c>
      <c r="H22" s="12" t="inlineStr">
        <is>
          <t>New</t>
        </is>
      </c>
      <c r="I22" s="12" t="inlineStr">
        <is>
          <t>Source assignment -- not individually reviewed</t>
        </is>
      </c>
      <c r="J22" s="12" t="inlineStr"/>
      <c r="K22" s="12" t="inlineStr">
        <is>
          <t>Source assignment</t>
        </is>
      </c>
      <c r="L22" s="12" t="inlineStr"/>
      <c r="M22" s="12" t="inlineStr">
        <is>
          <t>Initial</t>
        </is>
      </c>
      <c r="N22" s="12" t="inlineStr">
        <is>
          <t>Rev 0</t>
        </is>
      </c>
      <c r="O22" s="12" t="inlineStr">
        <is>
          <t>R16-v1</t>
        </is>
      </c>
      <c r="P22" s="12" t="inlineStr"/>
      <c r="Q22" s="12" t="inlineStr"/>
      <c r="R22" s="12" t="inlineStr"/>
      <c r="S22" s="12" t="inlineStr"/>
      <c r="T22" s="12" t="inlineStr"/>
      <c r="U22" s="12" t="inlineStr"/>
      <c r="V22" s="12" t="inlineStr">
        <is>
          <t>WBS Code = 1.1.1</t>
        </is>
      </c>
      <c r="W22" s="12" t="inlineStr"/>
    </row>
    <row r="23" ht="64" customHeight="1">
      <c r="A23" s="12" t="inlineStr">
        <is>
          <t>1.1.1</t>
        </is>
      </c>
      <c r="B23" s="12" t="inlineStr">
        <is>
          <t>Guideway and Civil - Guideway Structures</t>
        </is>
      </c>
      <c r="C23" s="12" t="inlineStr">
        <is>
          <t>Contractor Programme</t>
        </is>
      </c>
      <c r="D23" s="12" t="inlineStr">
        <is>
          <t>SCH-01-017</t>
        </is>
      </c>
      <c r="E23" s="12" t="inlineStr">
        <is>
          <t>Depot lead: track-slab survey - inspection</t>
        </is>
      </c>
      <c r="F23" s="12" t="inlineStr">
        <is>
          <t>ONE_TO_ONE</t>
        </is>
      </c>
      <c r="G23" s="12" t="inlineStr">
        <is>
          <t>APPROVED</t>
        </is>
      </c>
      <c r="H23" s="12" t="inlineStr">
        <is>
          <t>New</t>
        </is>
      </c>
      <c r="I23" s="12" t="inlineStr">
        <is>
          <t>Source assignment -- not individually reviewed</t>
        </is>
      </c>
      <c r="J23" s="12" t="inlineStr"/>
      <c r="K23" s="12" t="inlineStr">
        <is>
          <t>Source assignment</t>
        </is>
      </c>
      <c r="L23" s="12" t="inlineStr"/>
      <c r="M23" s="12" t="inlineStr">
        <is>
          <t>Initial</t>
        </is>
      </c>
      <c r="N23" s="12" t="inlineStr">
        <is>
          <t>Rev 0</t>
        </is>
      </c>
      <c r="O23" s="12" t="inlineStr">
        <is>
          <t>R17-v1</t>
        </is>
      </c>
      <c r="P23" s="12" t="inlineStr"/>
      <c r="Q23" s="12" t="inlineStr"/>
      <c r="R23" s="12" t="inlineStr"/>
      <c r="S23" s="12" t="inlineStr"/>
      <c r="T23" s="12" t="inlineStr"/>
      <c r="U23" s="12" t="inlineStr"/>
      <c r="V23" s="12" t="inlineStr">
        <is>
          <t>WBS Code = 1.1.1</t>
        </is>
      </c>
      <c r="W23" s="12" t="inlineStr"/>
    </row>
    <row r="24" ht="64" customHeight="1">
      <c r="A24" s="12" t="inlineStr">
        <is>
          <t>1.1.1</t>
        </is>
      </c>
      <c r="B24" s="12" t="inlineStr">
        <is>
          <t>Guideway and Civil - Guideway Structures</t>
        </is>
      </c>
      <c r="C24" s="12" t="inlineStr">
        <is>
          <t>Contractor Programme</t>
        </is>
      </c>
      <c r="D24" s="12" t="inlineStr">
        <is>
          <t>SCH-01-019</t>
        </is>
      </c>
      <c r="E24" s="12" t="inlineStr">
        <is>
          <t>River crossing: guideway pier reinforcement - release</t>
        </is>
      </c>
      <c r="F24" s="12" t="inlineStr">
        <is>
          <t>ONE_TO_ONE</t>
        </is>
      </c>
      <c r="G24" s="12" t="inlineStr">
        <is>
          <t>APPROVED</t>
        </is>
      </c>
      <c r="H24" s="12" t="inlineStr">
        <is>
          <t>New</t>
        </is>
      </c>
      <c r="I24" s="12" t="inlineStr">
        <is>
          <t>Source assignment -- not individually reviewed</t>
        </is>
      </c>
      <c r="J24" s="12" t="inlineStr"/>
      <c r="K24" s="12" t="inlineStr">
        <is>
          <t>Source assignment</t>
        </is>
      </c>
      <c r="L24" s="12" t="inlineStr"/>
      <c r="M24" s="12" t="inlineStr">
        <is>
          <t>Initial</t>
        </is>
      </c>
      <c r="N24" s="12" t="inlineStr">
        <is>
          <t>Rev 0</t>
        </is>
      </c>
      <c r="O24" s="12" t="inlineStr">
        <is>
          <t>R19-v1</t>
        </is>
      </c>
      <c r="P24" s="12" t="inlineStr"/>
      <c r="Q24" s="12" t="inlineStr"/>
      <c r="R24" s="12" t="inlineStr"/>
      <c r="S24" s="12" t="inlineStr"/>
      <c r="T24" s="12" t="inlineStr"/>
      <c r="U24" s="12" t="inlineStr"/>
      <c r="V24" s="12" t="inlineStr">
        <is>
          <t>WBS Code = 1.1.1</t>
        </is>
      </c>
      <c r="W24" s="12" t="inlineStr"/>
    </row>
    <row r="25" ht="64" customHeight="1">
      <c r="A25" s="12" t="inlineStr">
        <is>
          <t>1.1.1</t>
        </is>
      </c>
      <c r="B25" s="12" t="inlineStr">
        <is>
          <t>Guideway and Civil - Guideway Structures</t>
        </is>
      </c>
      <c r="C25" s="12" t="inlineStr">
        <is>
          <t>Contractor Programme</t>
        </is>
      </c>
      <c r="D25" s="12" t="inlineStr">
        <is>
          <t>SCH-01-020</t>
        </is>
      </c>
      <c r="E25" s="12" t="inlineStr">
        <is>
          <t>Central guideway: road restoration - field start</t>
        </is>
      </c>
      <c r="F25" s="12" t="inlineStr">
        <is>
          <t>ONE_TO_ONE</t>
        </is>
      </c>
      <c r="G25" s="12" t="inlineStr">
        <is>
          <t>APPROVED</t>
        </is>
      </c>
      <c r="H25" s="12" t="inlineStr">
        <is>
          <t>New</t>
        </is>
      </c>
      <c r="I25" s="12" t="inlineStr">
        <is>
          <t>Source assignment -- not individually reviewed</t>
        </is>
      </c>
      <c r="J25" s="12" t="inlineStr"/>
      <c r="K25" s="12" t="inlineStr">
        <is>
          <t>Source assignment</t>
        </is>
      </c>
      <c r="L25" s="12" t="inlineStr"/>
      <c r="M25" s="12" t="inlineStr">
        <is>
          <t>Initial</t>
        </is>
      </c>
      <c r="N25" s="12" t="inlineStr">
        <is>
          <t>Rev 0</t>
        </is>
      </c>
      <c r="O25" s="12" t="inlineStr">
        <is>
          <t>R20-v1</t>
        </is>
      </c>
      <c r="P25" s="12" t="inlineStr"/>
      <c r="Q25" s="12" t="inlineStr"/>
      <c r="R25" s="12" t="inlineStr"/>
      <c r="S25" s="12" t="inlineStr"/>
      <c r="T25" s="12" t="inlineStr"/>
      <c r="U25" s="12" t="inlineStr"/>
      <c r="V25" s="12" t="inlineStr">
        <is>
          <t>WBS Code = 1.1.1</t>
        </is>
      </c>
      <c r="W25" s="12" t="inlineStr"/>
    </row>
    <row r="26" ht="64" customHeight="1">
      <c r="A26" s="12" t="inlineStr">
        <is>
          <t>1.1.1</t>
        </is>
      </c>
      <c r="B26" s="12" t="inlineStr">
        <is>
          <t>Guideway and Civil - Guideway Structures</t>
        </is>
      </c>
      <c r="C26" s="12" t="inlineStr">
        <is>
          <t>Contractor Programme</t>
        </is>
      </c>
      <c r="D26" s="12" t="inlineStr">
        <is>
          <t>SCH-01-022</t>
        </is>
      </c>
      <c r="E26" s="12" t="inlineStr">
        <is>
          <t>Depot lead: retaining-wall excavation - inspection</t>
        </is>
      </c>
      <c r="F26" s="12" t="inlineStr">
        <is>
          <t>ONE_TO_ONE</t>
        </is>
      </c>
      <c r="G26" s="12" t="inlineStr">
        <is>
          <t>APPROVED</t>
        </is>
      </c>
      <c r="H26" s="12" t="inlineStr">
        <is>
          <t>New</t>
        </is>
      </c>
      <c r="I26" s="12" t="inlineStr">
        <is>
          <t>Source assignment -- not individually reviewed</t>
        </is>
      </c>
      <c r="J26" s="12" t="inlineStr"/>
      <c r="K26" s="12" t="inlineStr">
        <is>
          <t>Source assignment</t>
        </is>
      </c>
      <c r="L26" s="12" t="inlineStr"/>
      <c r="M26" s="12" t="inlineStr">
        <is>
          <t>Initial</t>
        </is>
      </c>
      <c r="N26" s="12" t="inlineStr">
        <is>
          <t>Rev 0</t>
        </is>
      </c>
      <c r="O26" s="12" t="inlineStr">
        <is>
          <t>R22-v1</t>
        </is>
      </c>
      <c r="P26" s="12" t="inlineStr"/>
      <c r="Q26" s="12" t="inlineStr"/>
      <c r="R26" s="12" t="inlineStr"/>
      <c r="S26" s="12" t="inlineStr"/>
      <c r="T26" s="12" t="inlineStr"/>
      <c r="U26" s="12" t="inlineStr"/>
      <c r="V26" s="12" t="inlineStr">
        <is>
          <t>WBS Code = 1.1.1</t>
        </is>
      </c>
      <c r="W26" s="12" t="inlineStr"/>
    </row>
    <row r="27" ht="64" customHeight="1">
      <c r="A27" s="12" t="inlineStr">
        <is>
          <t>1.1.1</t>
        </is>
      </c>
      <c r="B27" s="12" t="inlineStr">
        <is>
          <t>Guideway and Civil - Guideway Structures</t>
        </is>
      </c>
      <c r="C27" s="12" t="inlineStr">
        <is>
          <t>Contractor Programme</t>
        </is>
      </c>
      <c r="D27" s="12" t="inlineStr">
        <is>
          <t>SCH-01-023</t>
        </is>
      </c>
      <c r="E27" s="12" t="inlineStr">
        <is>
          <t>East portal: drainage tie-in - turnover</t>
        </is>
      </c>
      <c r="F27" s="12" t="inlineStr">
        <is>
          <t>ONE_TO_ONE</t>
        </is>
      </c>
      <c r="G27" s="12" t="inlineStr">
        <is>
          <t>APPROVED</t>
        </is>
      </c>
      <c r="H27" s="12" t="inlineStr">
        <is>
          <t>New</t>
        </is>
      </c>
      <c r="I27" s="12" t="inlineStr">
        <is>
          <t>Source assignment -- not individually reviewed</t>
        </is>
      </c>
      <c r="J27" s="12" t="inlineStr"/>
      <c r="K27" s="12" t="inlineStr">
        <is>
          <t>Source assignment</t>
        </is>
      </c>
      <c r="L27" s="12" t="inlineStr"/>
      <c r="M27" s="12" t="inlineStr">
        <is>
          <t>Initial</t>
        </is>
      </c>
      <c r="N27" s="12" t="inlineStr">
        <is>
          <t>Rev 0</t>
        </is>
      </c>
      <c r="O27" s="12" t="inlineStr">
        <is>
          <t>R23-v1</t>
        </is>
      </c>
      <c r="P27" s="12" t="inlineStr"/>
      <c r="Q27" s="12" t="inlineStr"/>
      <c r="R27" s="12" t="inlineStr"/>
      <c r="S27" s="12" t="inlineStr"/>
      <c r="T27" s="12" t="inlineStr"/>
      <c r="U27" s="12" t="inlineStr"/>
      <c r="V27" s="12" t="inlineStr">
        <is>
          <t>WBS Code = 1.1.1</t>
        </is>
      </c>
      <c r="W27" s="12" t="inlineStr"/>
    </row>
    <row r="28" ht="64" customHeight="1">
      <c r="A28" s="12" t="inlineStr">
        <is>
          <t>1.1.1</t>
        </is>
      </c>
      <c r="B28" s="12" t="inlineStr">
        <is>
          <t>Guideway and Civil - Guideway Structures</t>
        </is>
      </c>
      <c r="C28" s="12" t="inlineStr">
        <is>
          <t>Contractor Programme</t>
        </is>
      </c>
      <c r="D28" s="12" t="inlineStr">
        <is>
          <t>SCH-01-025</t>
        </is>
      </c>
      <c r="E28" s="12" t="inlineStr">
        <is>
          <t>Central guideway: track-slab survey - field start</t>
        </is>
      </c>
      <c r="F28" s="12" t="inlineStr">
        <is>
          <t>ONE_TO_ONE</t>
        </is>
      </c>
      <c r="G28" s="12" t="inlineStr">
        <is>
          <t>APPROVED</t>
        </is>
      </c>
      <c r="H28" s="12" t="inlineStr">
        <is>
          <t>New</t>
        </is>
      </c>
      <c r="I28" s="12" t="inlineStr">
        <is>
          <t>Source assignment -- not individually reviewed</t>
        </is>
      </c>
      <c r="J28" s="12" t="inlineStr"/>
      <c r="K28" s="12" t="inlineStr">
        <is>
          <t>Source assignment</t>
        </is>
      </c>
      <c r="L28" s="12" t="inlineStr"/>
      <c r="M28" s="12" t="inlineStr">
        <is>
          <t>Initial</t>
        </is>
      </c>
      <c r="N28" s="12" t="inlineStr">
        <is>
          <t>Rev 0</t>
        </is>
      </c>
      <c r="O28" s="12" t="inlineStr">
        <is>
          <t>R25-v1</t>
        </is>
      </c>
      <c r="P28" s="12" t="inlineStr"/>
      <c r="Q28" s="12" t="inlineStr"/>
      <c r="R28" s="12" t="inlineStr"/>
      <c r="S28" s="12" t="inlineStr"/>
      <c r="T28" s="12" t="inlineStr"/>
      <c r="U28" s="12" t="inlineStr"/>
      <c r="V28" s="12" t="inlineStr">
        <is>
          <t>WBS Code = 1.1.1</t>
        </is>
      </c>
      <c r="W28" s="12" t="inlineStr"/>
    </row>
    <row r="29" ht="64" customHeight="1">
      <c r="A29" s="12" t="inlineStr">
        <is>
          <t>1.1.1</t>
        </is>
      </c>
      <c r="B29" s="12" t="inlineStr">
        <is>
          <t>Guideway and Civil - Guideway Structures</t>
        </is>
      </c>
      <c r="C29" s="12" t="inlineStr">
        <is>
          <t>Contractor Programme</t>
        </is>
      </c>
      <c r="D29" s="12" t="inlineStr">
        <is>
          <t>SCH-01-026</t>
        </is>
      </c>
      <c r="E29" s="12" t="inlineStr">
        <is>
          <t>West approach: temporary traffic staging - installation</t>
        </is>
      </c>
      <c r="F29" s="12" t="inlineStr">
        <is>
          <t>ONE_TO_ONE</t>
        </is>
      </c>
      <c r="G29" s="12" t="inlineStr">
        <is>
          <t>APPROVED</t>
        </is>
      </c>
      <c r="H29" s="12" t="inlineStr">
        <is>
          <t>New</t>
        </is>
      </c>
      <c r="I29" s="12" t="inlineStr">
        <is>
          <t>Source assignment -- not individually reviewed</t>
        </is>
      </c>
      <c r="J29" s="12" t="inlineStr"/>
      <c r="K29" s="12" t="inlineStr">
        <is>
          <t>Source assignment</t>
        </is>
      </c>
      <c r="L29" s="12" t="inlineStr"/>
      <c r="M29" s="12" t="inlineStr">
        <is>
          <t>Initial</t>
        </is>
      </c>
      <c r="N29" s="12" t="inlineStr">
        <is>
          <t>Rev 0</t>
        </is>
      </c>
      <c r="O29" s="12" t="inlineStr">
        <is>
          <t>R26-v1</t>
        </is>
      </c>
      <c r="P29" s="12" t="inlineStr"/>
      <c r="Q29" s="12" t="inlineStr"/>
      <c r="R29" s="12" t="inlineStr"/>
      <c r="S29" s="12" t="inlineStr"/>
      <c r="T29" s="12" t="inlineStr"/>
      <c r="U29" s="12" t="inlineStr"/>
      <c r="V29" s="12" t="inlineStr">
        <is>
          <t>WBS Code = 1.1.1</t>
        </is>
      </c>
      <c r="W29" s="12" t="inlineStr"/>
    </row>
    <row r="30" ht="64" customHeight="1">
      <c r="A30" s="12" t="inlineStr">
        <is>
          <t>1.1.1</t>
        </is>
      </c>
      <c r="B30" s="12" t="inlineStr">
        <is>
          <t>Guideway and Civil - Guideway Structures</t>
        </is>
      </c>
      <c r="C30" s="12" t="inlineStr">
        <is>
          <t>Contractor Programme</t>
        </is>
      </c>
      <c r="D30" s="12" t="inlineStr">
        <is>
          <t>SCH-01-028</t>
        </is>
      </c>
      <c r="E30" s="12" t="inlineStr">
        <is>
          <t>East portal: road restoration - turnover</t>
        </is>
      </c>
      <c r="F30" s="12" t="inlineStr">
        <is>
          <t>ONE_TO_ONE</t>
        </is>
      </c>
      <c r="G30" s="12" t="inlineStr">
        <is>
          <t>APPROVED</t>
        </is>
      </c>
      <c r="H30" s="12" t="inlineStr">
        <is>
          <t>New</t>
        </is>
      </c>
      <c r="I30" s="12" t="inlineStr">
        <is>
          <t>Source assignment -- not individually reviewed</t>
        </is>
      </c>
      <c r="J30" s="12" t="inlineStr"/>
      <c r="K30" s="12" t="inlineStr">
        <is>
          <t>Source assignment</t>
        </is>
      </c>
      <c r="L30" s="12" t="inlineStr"/>
      <c r="M30" s="12" t="inlineStr">
        <is>
          <t>Initial</t>
        </is>
      </c>
      <c r="N30" s="12" t="inlineStr">
        <is>
          <t>Rev 0</t>
        </is>
      </c>
      <c r="O30" s="12" t="inlineStr">
        <is>
          <t>R28-v1</t>
        </is>
      </c>
      <c r="P30" s="12" t="inlineStr"/>
      <c r="Q30" s="12" t="inlineStr"/>
      <c r="R30" s="12" t="inlineStr"/>
      <c r="S30" s="12" t="inlineStr"/>
      <c r="T30" s="12" t="inlineStr"/>
      <c r="U30" s="12" t="inlineStr"/>
      <c r="V30" s="12" t="inlineStr">
        <is>
          <t>WBS Code = 1.1.1</t>
        </is>
      </c>
      <c r="W30" s="12" t="inlineStr"/>
    </row>
    <row r="31" ht="64" customHeight="1">
      <c r="A31" s="12" t="inlineStr">
        <is>
          <t>1.1.1</t>
        </is>
      </c>
      <c r="B31" s="12" t="inlineStr">
        <is>
          <t>Guideway and Civil - Guideway Structures</t>
        </is>
      </c>
      <c r="C31" s="12" t="inlineStr">
        <is>
          <t>Contractor Programme</t>
        </is>
      </c>
      <c r="D31" s="12" t="inlineStr">
        <is>
          <t>SCH-01-029</t>
        </is>
      </c>
      <c r="E31" s="12" t="inlineStr">
        <is>
          <t>River crossing: drilled-shaft installation - release</t>
        </is>
      </c>
      <c r="F31" s="12" t="inlineStr">
        <is>
          <t>ONE_TO_ONE</t>
        </is>
      </c>
      <c r="G31" s="12" t="inlineStr">
        <is>
          <t>APPROVED</t>
        </is>
      </c>
      <c r="H31" s="12" t="inlineStr">
        <is>
          <t>New</t>
        </is>
      </c>
      <c r="I31" s="12" t="inlineStr">
        <is>
          <t>Source assignment -- not individually reviewed</t>
        </is>
      </c>
      <c r="J31" s="12" t="inlineStr"/>
      <c r="K31" s="12" t="inlineStr">
        <is>
          <t>Source assignment</t>
        </is>
      </c>
      <c r="L31" s="12" t="inlineStr"/>
      <c r="M31" s="12" t="inlineStr">
        <is>
          <t>Initial</t>
        </is>
      </c>
      <c r="N31" s="12" t="inlineStr">
        <is>
          <t>Rev 0</t>
        </is>
      </c>
      <c r="O31" s="12" t="inlineStr">
        <is>
          <t>R29-v1</t>
        </is>
      </c>
      <c r="P31" s="12" t="inlineStr"/>
      <c r="Q31" s="12" t="inlineStr"/>
      <c r="R31" s="12" t="inlineStr"/>
      <c r="S31" s="12" t="inlineStr"/>
      <c r="T31" s="12" t="inlineStr"/>
      <c r="U31" s="12" t="inlineStr"/>
      <c r="V31" s="12" t="inlineStr">
        <is>
          <t>WBS Code = 1.1.1</t>
        </is>
      </c>
      <c r="W31" s="12" t="inlineStr"/>
    </row>
    <row r="32" ht="64" customHeight="1">
      <c r="A32" s="12" t="inlineStr">
        <is>
          <t>1.1.1</t>
        </is>
      </c>
      <c r="B32" s="12" t="inlineStr">
        <is>
          <t>Guideway and Civil - Guideway Structures</t>
        </is>
      </c>
      <c r="C32" s="12" t="inlineStr">
        <is>
          <t>Contractor Programme</t>
        </is>
      </c>
      <c r="D32" s="12" t="inlineStr">
        <is>
          <t>SCH-01-031</t>
        </is>
      </c>
      <c r="E32" s="12" t="inlineStr">
        <is>
          <t>West approach: drainage tie-in - installation</t>
        </is>
      </c>
      <c r="F32" s="12" t="inlineStr">
        <is>
          <t>ONE_TO_ONE</t>
        </is>
      </c>
      <c r="G32" s="12" t="inlineStr">
        <is>
          <t>APPROVED</t>
        </is>
      </c>
      <c r="H32" s="12" t="inlineStr">
        <is>
          <t>New</t>
        </is>
      </c>
      <c r="I32" s="12" t="inlineStr">
        <is>
          <t>Source assignment -- not individually reviewed</t>
        </is>
      </c>
      <c r="J32" s="12" t="inlineStr"/>
      <c r="K32" s="12" t="inlineStr">
        <is>
          <t>Source assignment</t>
        </is>
      </c>
      <c r="L32" s="12" t="inlineStr"/>
      <c r="M32" s="12" t="inlineStr">
        <is>
          <t>Initial</t>
        </is>
      </c>
      <c r="N32" s="12" t="inlineStr">
        <is>
          <t>Rev 0</t>
        </is>
      </c>
      <c r="O32" s="12" t="inlineStr">
        <is>
          <t>R31-v1</t>
        </is>
      </c>
      <c r="P32" s="12" t="inlineStr"/>
      <c r="Q32" s="12" t="inlineStr"/>
      <c r="R32" s="12" t="inlineStr"/>
      <c r="S32" s="12" t="inlineStr"/>
      <c r="T32" s="12" t="inlineStr"/>
      <c r="U32" s="12" t="inlineStr"/>
      <c r="V32" s="12" t="inlineStr">
        <is>
          <t>WBS Code = 1.1.1</t>
        </is>
      </c>
      <c r="W32" s="12" t="inlineStr"/>
    </row>
    <row r="33" ht="64" customHeight="1">
      <c r="A33" s="12" t="inlineStr">
        <is>
          <t>1.1.1</t>
        </is>
      </c>
      <c r="B33" s="12" t="inlineStr">
        <is>
          <t>Guideway and Civil - Guideway Structures</t>
        </is>
      </c>
      <c r="C33" s="12" t="inlineStr">
        <is>
          <t>Contractor Programme</t>
        </is>
      </c>
      <c r="D33" s="12" t="inlineStr">
        <is>
          <t>SCH-01-032</t>
        </is>
      </c>
      <c r="E33" s="12" t="inlineStr">
        <is>
          <t>Depot lead: utility relocation - inspection</t>
        </is>
      </c>
      <c r="F33" s="12" t="inlineStr">
        <is>
          <t>ONE_TO_ONE</t>
        </is>
      </c>
      <c r="G33" s="12" t="inlineStr">
        <is>
          <t>APPROVED</t>
        </is>
      </c>
      <c r="H33" s="12" t="inlineStr">
        <is>
          <t>New</t>
        </is>
      </c>
      <c r="I33" s="12" t="inlineStr">
        <is>
          <t>Source assignment -- not individually reviewed</t>
        </is>
      </c>
      <c r="J33" s="12" t="inlineStr"/>
      <c r="K33" s="12" t="inlineStr">
        <is>
          <t>Source assignment</t>
        </is>
      </c>
      <c r="L33" s="12" t="inlineStr"/>
      <c r="M33" s="12" t="inlineStr">
        <is>
          <t>Initial</t>
        </is>
      </c>
      <c r="N33" s="12" t="inlineStr">
        <is>
          <t>Rev 0</t>
        </is>
      </c>
      <c r="O33" s="12" t="inlineStr">
        <is>
          <t>R32-v1</t>
        </is>
      </c>
      <c r="P33" s="12" t="inlineStr"/>
      <c r="Q33" s="12" t="inlineStr"/>
      <c r="R33" s="12" t="inlineStr"/>
      <c r="S33" s="12" t="inlineStr"/>
      <c r="T33" s="12" t="inlineStr"/>
      <c r="U33" s="12" t="inlineStr"/>
      <c r="V33" s="12" t="inlineStr">
        <is>
          <t>WBS Code = 1.1.1</t>
        </is>
      </c>
      <c r="W33" s="12" t="inlineStr"/>
    </row>
    <row r="34" ht="64" customHeight="1">
      <c r="A34" s="12" t="inlineStr">
        <is>
          <t>1.1.1</t>
        </is>
      </c>
      <c r="B34" s="12" t="inlineStr">
        <is>
          <t>Guideway and Civil - Guideway Structures</t>
        </is>
      </c>
      <c r="C34" s="12" t="inlineStr">
        <is>
          <t>Contractor Programme</t>
        </is>
      </c>
      <c r="D34" s="12" t="inlineStr">
        <is>
          <t>SCH-01-034</t>
        </is>
      </c>
      <c r="E34" s="12" t="inlineStr">
        <is>
          <t>River crossing: temporary traffic staging - release</t>
        </is>
      </c>
      <c r="F34" s="12" t="inlineStr">
        <is>
          <t>ONE_TO_ONE</t>
        </is>
      </c>
      <c r="G34" s="12" t="inlineStr">
        <is>
          <t>APPROVED</t>
        </is>
      </c>
      <c r="H34" s="12" t="inlineStr">
        <is>
          <t>New</t>
        </is>
      </c>
      <c r="I34" s="12" t="inlineStr">
        <is>
          <t>Source assignment -- not individually reviewed</t>
        </is>
      </c>
      <c r="J34" s="12" t="inlineStr"/>
      <c r="K34" s="12" t="inlineStr">
        <is>
          <t>Source assignment</t>
        </is>
      </c>
      <c r="L34" s="12" t="inlineStr"/>
      <c r="M34" s="12" t="inlineStr">
        <is>
          <t>Initial</t>
        </is>
      </c>
      <c r="N34" s="12" t="inlineStr">
        <is>
          <t>Rev 0</t>
        </is>
      </c>
      <c r="O34" s="12" t="inlineStr">
        <is>
          <t>R34-v1</t>
        </is>
      </c>
      <c r="P34" s="12" t="inlineStr"/>
      <c r="Q34" s="12" t="inlineStr"/>
      <c r="R34" s="12" t="inlineStr"/>
      <c r="S34" s="12" t="inlineStr"/>
      <c r="T34" s="12" t="inlineStr"/>
      <c r="U34" s="12" t="inlineStr"/>
      <c r="V34" s="12" t="inlineStr">
        <is>
          <t>WBS Code = 1.1.1</t>
        </is>
      </c>
      <c r="W34" s="12" t="inlineStr"/>
    </row>
    <row r="35" ht="64" customHeight="1">
      <c r="A35" s="12" t="inlineStr">
        <is>
          <t>1.1.1</t>
        </is>
      </c>
      <c r="B35" s="12" t="inlineStr">
        <is>
          <t>Guideway and Civil - Guideway Structures</t>
        </is>
      </c>
      <c r="C35" s="12" t="inlineStr">
        <is>
          <t>Contractor Programme</t>
        </is>
      </c>
      <c r="D35" s="12" t="inlineStr">
        <is>
          <t>SCH-01-035</t>
        </is>
      </c>
      <c r="E35" s="12" t="inlineStr">
        <is>
          <t>Central guideway: guideway pier reinforcement - field start</t>
        </is>
      </c>
      <c r="F35" s="12" t="inlineStr">
        <is>
          <t>ONE_TO_ONE</t>
        </is>
      </c>
      <c r="G35" s="12" t="inlineStr">
        <is>
          <t>APPROVED</t>
        </is>
      </c>
      <c r="H35" s="12" t="inlineStr">
        <is>
          <t>New</t>
        </is>
      </c>
      <c r="I35" s="12" t="inlineStr">
        <is>
          <t>Source assignment -- not individually reviewed</t>
        </is>
      </c>
      <c r="J35" s="12" t="inlineStr"/>
      <c r="K35" s="12" t="inlineStr">
        <is>
          <t>Source assignment</t>
        </is>
      </c>
      <c r="L35" s="12" t="inlineStr"/>
      <c r="M35" s="12" t="inlineStr">
        <is>
          <t>Initial</t>
        </is>
      </c>
      <c r="N35" s="12" t="inlineStr">
        <is>
          <t>Rev 0</t>
        </is>
      </c>
      <c r="O35" s="12" t="inlineStr">
        <is>
          <t>R35-v1</t>
        </is>
      </c>
      <c r="P35" s="12" t="inlineStr"/>
      <c r="Q35" s="12" t="inlineStr"/>
      <c r="R35" s="12" t="inlineStr"/>
      <c r="S35" s="12" t="inlineStr"/>
      <c r="T35" s="12" t="inlineStr"/>
      <c r="U35" s="12" t="inlineStr"/>
      <c r="V35" s="12" t="inlineStr">
        <is>
          <t>WBS Code = 1.1.1</t>
        </is>
      </c>
      <c r="W35" s="12" t="inlineStr"/>
    </row>
    <row r="36" ht="64" customHeight="1">
      <c r="A36" s="12" t="inlineStr">
        <is>
          <t>1.1.1</t>
        </is>
      </c>
      <c r="B36" s="12" t="inlineStr">
        <is>
          <t>Guideway and Civil - Guideway Structures</t>
        </is>
      </c>
      <c r="C36" s="12" t="inlineStr">
        <is>
          <t>Contractor Programme</t>
        </is>
      </c>
      <c r="D36" s="12" t="inlineStr">
        <is>
          <t>SCH-01-037</t>
        </is>
      </c>
      <c r="E36" s="12" t="inlineStr">
        <is>
          <t>Depot lead: drilled-shaft installation - inspection</t>
        </is>
      </c>
      <c r="F36" s="12" t="inlineStr">
        <is>
          <t>ONE_TO_ONE</t>
        </is>
      </c>
      <c r="G36" s="12" t="inlineStr">
        <is>
          <t>APPROVED</t>
        </is>
      </c>
      <c r="H36" s="12" t="inlineStr">
        <is>
          <t>New</t>
        </is>
      </c>
      <c r="I36" s="12" t="inlineStr">
        <is>
          <t>Source assignment -- not individually reviewed</t>
        </is>
      </c>
      <c r="J36" s="12" t="inlineStr"/>
      <c r="K36" s="12" t="inlineStr">
        <is>
          <t>Source assignment</t>
        </is>
      </c>
      <c r="L36" s="12" t="inlineStr"/>
      <c r="M36" s="12" t="inlineStr">
        <is>
          <t>Initial</t>
        </is>
      </c>
      <c r="N36" s="12" t="inlineStr">
        <is>
          <t>Rev 0</t>
        </is>
      </c>
      <c r="O36" s="12" t="inlineStr">
        <is>
          <t>R37-v1</t>
        </is>
      </c>
      <c r="P36" s="12" t="inlineStr"/>
      <c r="Q36" s="12" t="inlineStr"/>
      <c r="R36" s="12" t="inlineStr"/>
      <c r="S36" s="12" t="inlineStr"/>
      <c r="T36" s="12" t="inlineStr"/>
      <c r="U36" s="12" t="inlineStr"/>
      <c r="V36" s="12" t="inlineStr">
        <is>
          <t>WBS Code = 1.1.1</t>
        </is>
      </c>
      <c r="W36" s="12" t="inlineStr"/>
    </row>
    <row r="37" ht="64" customHeight="1">
      <c r="A37" s="12" t="inlineStr">
        <is>
          <t>1.1.1</t>
        </is>
      </c>
      <c r="B37" s="12" t="inlineStr">
        <is>
          <t>Guideway and Civil - Guideway Structures</t>
        </is>
      </c>
      <c r="C37" s="12" t="inlineStr">
        <is>
          <t>Contractor Programme</t>
        </is>
      </c>
      <c r="D37" s="12" t="inlineStr">
        <is>
          <t>SCH-01-038</t>
        </is>
      </c>
      <c r="E37" s="12" t="inlineStr">
        <is>
          <t>East portal: retaining-wall excavation - turnover</t>
        </is>
      </c>
      <c r="F37" s="12" t="inlineStr">
        <is>
          <t>ONE_TO_ONE</t>
        </is>
      </c>
      <c r="G37" s="12" t="inlineStr">
        <is>
          <t>APPROVED</t>
        </is>
      </c>
      <c r="H37" s="12" t="inlineStr">
        <is>
          <t>New</t>
        </is>
      </c>
      <c r="I37" s="12" t="inlineStr">
        <is>
          <t>Source assignment -- not individually reviewed</t>
        </is>
      </c>
      <c r="J37" s="12" t="inlineStr"/>
      <c r="K37" s="12" t="inlineStr">
        <is>
          <t>Source assignment</t>
        </is>
      </c>
      <c r="L37" s="12" t="inlineStr"/>
      <c r="M37" s="12" t="inlineStr">
        <is>
          <t>Initial</t>
        </is>
      </c>
      <c r="N37" s="12" t="inlineStr">
        <is>
          <t>Rev 0</t>
        </is>
      </c>
      <c r="O37" s="12" t="inlineStr">
        <is>
          <t>R38-v1</t>
        </is>
      </c>
      <c r="P37" s="12" t="inlineStr"/>
      <c r="Q37" s="12" t="inlineStr"/>
      <c r="R37" s="12" t="inlineStr"/>
      <c r="S37" s="12" t="inlineStr"/>
      <c r="T37" s="12" t="inlineStr"/>
      <c r="U37" s="12" t="inlineStr"/>
      <c r="V37" s="12" t="inlineStr">
        <is>
          <t>WBS Code = 1.1.1</t>
        </is>
      </c>
      <c r="W37" s="12" t="inlineStr"/>
    </row>
    <row r="38" ht="64" customHeight="1">
      <c r="A38" s="12" t="inlineStr">
        <is>
          <t>1.1.1</t>
        </is>
      </c>
      <c r="B38" s="12" t="inlineStr">
        <is>
          <t>Guideway and Civil - Guideway Structures</t>
        </is>
      </c>
      <c r="C38" s="12" t="inlineStr">
        <is>
          <t>Contractor Programme</t>
        </is>
      </c>
      <c r="D38" s="12" t="inlineStr">
        <is>
          <t>SCH-01-040</t>
        </is>
      </c>
      <c r="E38" s="12" t="inlineStr">
        <is>
          <t>Central guideway: utility relocation - field start</t>
        </is>
      </c>
      <c r="F38" s="12" t="inlineStr">
        <is>
          <t>ONE_TO_ONE</t>
        </is>
      </c>
      <c r="G38" s="12" t="inlineStr">
        <is>
          <t>APPROVED</t>
        </is>
      </c>
      <c r="H38" s="12" t="inlineStr">
        <is>
          <t>New</t>
        </is>
      </c>
      <c r="I38" s="12" t="inlineStr">
        <is>
          <t>Source assignment -- not individually reviewed</t>
        </is>
      </c>
      <c r="J38" s="12" t="inlineStr"/>
      <c r="K38" s="12" t="inlineStr">
        <is>
          <t>Source assignment</t>
        </is>
      </c>
      <c r="L38" s="12" t="inlineStr"/>
      <c r="M38" s="12" t="inlineStr">
        <is>
          <t>Initial</t>
        </is>
      </c>
      <c r="N38" s="12" t="inlineStr">
        <is>
          <t>Rev 0</t>
        </is>
      </c>
      <c r="O38" s="12" t="inlineStr">
        <is>
          <t>R40-v1</t>
        </is>
      </c>
      <c r="P38" s="12" t="inlineStr"/>
      <c r="Q38" s="12" t="inlineStr"/>
      <c r="R38" s="12" t="inlineStr"/>
      <c r="S38" s="12" t="inlineStr"/>
      <c r="T38" s="12" t="inlineStr"/>
      <c r="U38" s="12" t="inlineStr"/>
      <c r="V38" s="12" t="inlineStr">
        <is>
          <t>WBS Code = 1.1.1</t>
        </is>
      </c>
      <c r="W38" s="12" t="inlineStr"/>
    </row>
    <row r="39" ht="64" customHeight="1">
      <c r="A39" s="12" t="inlineStr">
        <is>
          <t>1.1.1</t>
        </is>
      </c>
      <c r="B39" s="12" t="inlineStr">
        <is>
          <t>Guideway and Civil - Guideway Structures</t>
        </is>
      </c>
      <c r="C39" s="12" t="inlineStr">
        <is>
          <t>Contractor Programme</t>
        </is>
      </c>
      <c r="D39" s="12" t="inlineStr">
        <is>
          <t>SCH-01-041</t>
        </is>
      </c>
      <c r="E39" s="12" t="inlineStr">
        <is>
          <t>West approach: track-slab survey - installation</t>
        </is>
      </c>
      <c r="F39" s="12" t="inlineStr">
        <is>
          <t>ONE_TO_ONE</t>
        </is>
      </c>
      <c r="G39" s="12" t="inlineStr">
        <is>
          <t>APPROVED</t>
        </is>
      </c>
      <c r="H39" s="12" t="inlineStr">
        <is>
          <t>New</t>
        </is>
      </c>
      <c r="I39" s="12" t="inlineStr">
        <is>
          <t>Source assignment -- not individually reviewed</t>
        </is>
      </c>
      <c r="J39" s="12" t="inlineStr"/>
      <c r="K39" s="12" t="inlineStr">
        <is>
          <t>Source assignment</t>
        </is>
      </c>
      <c r="L39" s="12" t="inlineStr"/>
      <c r="M39" s="12" t="inlineStr">
        <is>
          <t>Initial</t>
        </is>
      </c>
      <c r="N39" s="12" t="inlineStr">
        <is>
          <t>Rev 0</t>
        </is>
      </c>
      <c r="O39" s="12" t="inlineStr">
        <is>
          <t>R41-v1</t>
        </is>
      </c>
      <c r="P39" s="12" t="inlineStr"/>
      <c r="Q39" s="12" t="inlineStr"/>
      <c r="R39" s="12" t="inlineStr"/>
      <c r="S39" s="12" t="inlineStr"/>
      <c r="T39" s="12" t="inlineStr"/>
      <c r="U39" s="12" t="inlineStr"/>
      <c r="V39" s="12" t="inlineStr">
        <is>
          <t>WBS Code = 1.1.1</t>
        </is>
      </c>
      <c r="W39" s="12" t="inlineStr"/>
    </row>
    <row r="40" ht="64" customHeight="1">
      <c r="A40" s="12" t="inlineStr">
        <is>
          <t>1.1.1</t>
        </is>
      </c>
      <c r="B40" s="12" t="inlineStr">
        <is>
          <t>Guideway and Civil - Guideway Structures</t>
        </is>
      </c>
      <c r="C40" s="12" t="inlineStr">
        <is>
          <t>Contractor Programme</t>
        </is>
      </c>
      <c r="D40" s="12" t="inlineStr">
        <is>
          <t>SCH-01-043</t>
        </is>
      </c>
      <c r="E40" s="12" t="inlineStr">
        <is>
          <t>East portal: guideway pier reinforcement - turnover</t>
        </is>
      </c>
      <c r="F40" s="12" t="inlineStr">
        <is>
          <t>ONE_TO_ONE</t>
        </is>
      </c>
      <c r="G40" s="12" t="inlineStr">
        <is>
          <t>APPROVED</t>
        </is>
      </c>
      <c r="H40" s="12" t="inlineStr">
        <is>
          <t>New</t>
        </is>
      </c>
      <c r="I40" s="12" t="inlineStr">
        <is>
          <t>Source assignment -- not individually reviewed</t>
        </is>
      </c>
      <c r="J40" s="12" t="inlineStr"/>
      <c r="K40" s="12" t="inlineStr">
        <is>
          <t>Source assignment</t>
        </is>
      </c>
      <c r="L40" s="12" t="inlineStr"/>
      <c r="M40" s="12" t="inlineStr">
        <is>
          <t>Initial</t>
        </is>
      </c>
      <c r="N40" s="12" t="inlineStr">
        <is>
          <t>Rev 0</t>
        </is>
      </c>
      <c r="O40" s="12" t="inlineStr">
        <is>
          <t>R43-v1</t>
        </is>
      </c>
      <c r="P40" s="12" t="inlineStr"/>
      <c r="Q40" s="12" t="inlineStr"/>
      <c r="R40" s="12" t="inlineStr"/>
      <c r="S40" s="12" t="inlineStr"/>
      <c r="T40" s="12" t="inlineStr"/>
      <c r="U40" s="12" t="inlineStr"/>
      <c r="V40" s="12" t="inlineStr">
        <is>
          <t>WBS Code = 1.1.1</t>
        </is>
      </c>
      <c r="W40" s="12" t="inlineStr"/>
    </row>
    <row r="41" ht="64" customHeight="1">
      <c r="A41" s="12" t="inlineStr">
        <is>
          <t>1.1.1</t>
        </is>
      </c>
      <c r="B41" s="12" t="inlineStr">
        <is>
          <t>Guideway and Civil - Guideway Structures</t>
        </is>
      </c>
      <c r="C41" s="12" t="inlineStr">
        <is>
          <t>Contractor Programme</t>
        </is>
      </c>
      <c r="D41" s="12" t="inlineStr">
        <is>
          <t>SCH-01-044</t>
        </is>
      </c>
      <c r="E41" s="12" t="inlineStr">
        <is>
          <t>River crossing: road restoration - release</t>
        </is>
      </c>
      <c r="F41" s="12" t="inlineStr">
        <is>
          <t>ONE_TO_ONE</t>
        </is>
      </c>
      <c r="G41" s="12" t="inlineStr">
        <is>
          <t>APPROVED</t>
        </is>
      </c>
      <c r="H41" s="12" t="inlineStr">
        <is>
          <t>New</t>
        </is>
      </c>
      <c r="I41" s="12" t="inlineStr">
        <is>
          <t>Source assignment -- not individually reviewed</t>
        </is>
      </c>
      <c r="J41" s="12" t="inlineStr"/>
      <c r="K41" s="12" t="inlineStr">
        <is>
          <t>Source assignment</t>
        </is>
      </c>
      <c r="L41" s="12" t="inlineStr"/>
      <c r="M41" s="12" t="inlineStr">
        <is>
          <t>Initial</t>
        </is>
      </c>
      <c r="N41" s="12" t="inlineStr">
        <is>
          <t>Rev 0</t>
        </is>
      </c>
      <c r="O41" s="12" t="inlineStr">
        <is>
          <t>R44-v1</t>
        </is>
      </c>
      <c r="P41" s="12" t="inlineStr"/>
      <c r="Q41" s="12" t="inlineStr"/>
      <c r="R41" s="12" t="inlineStr"/>
      <c r="S41" s="12" t="inlineStr"/>
      <c r="T41" s="12" t="inlineStr"/>
      <c r="U41" s="12" t="inlineStr"/>
      <c r="V41" s="12" t="inlineStr">
        <is>
          <t>WBS Code = 1.1.1</t>
        </is>
      </c>
      <c r="W41" s="12" t="inlineStr"/>
    </row>
    <row r="42" ht="64" customHeight="1">
      <c r="A42" s="12" t="inlineStr">
        <is>
          <t>1.1.1</t>
        </is>
      </c>
      <c r="B42" s="12" t="inlineStr">
        <is>
          <t>Guideway and Civil - Guideway Structures</t>
        </is>
      </c>
      <c r="C42" s="12" t="inlineStr">
        <is>
          <t>Contractor Programme</t>
        </is>
      </c>
      <c r="D42" s="12" t="inlineStr">
        <is>
          <t>SCH-01-046</t>
        </is>
      </c>
      <c r="E42" s="12" t="inlineStr">
        <is>
          <t>West approach: retaining-wall excavation - installation</t>
        </is>
      </c>
      <c r="F42" s="12" t="inlineStr">
        <is>
          <t>ONE_TO_ONE</t>
        </is>
      </c>
      <c r="G42" s="12" t="inlineStr">
        <is>
          <t>APPROVED</t>
        </is>
      </c>
      <c r="H42" s="12" t="inlineStr">
        <is>
          <t>New</t>
        </is>
      </c>
      <c r="I42" s="12" t="inlineStr">
        <is>
          <t>Source assignment -- not individually reviewed</t>
        </is>
      </c>
      <c r="J42" s="12" t="inlineStr"/>
      <c r="K42" s="12" t="inlineStr">
        <is>
          <t>Source assignment</t>
        </is>
      </c>
      <c r="L42" s="12" t="inlineStr"/>
      <c r="M42" s="12" t="inlineStr">
        <is>
          <t>Initial</t>
        </is>
      </c>
      <c r="N42" s="12" t="inlineStr">
        <is>
          <t>Rev 0</t>
        </is>
      </c>
      <c r="O42" s="12" t="inlineStr">
        <is>
          <t>R46-v1</t>
        </is>
      </c>
      <c r="P42" s="12" t="inlineStr"/>
      <c r="Q42" s="12" t="inlineStr"/>
      <c r="R42" s="12" t="inlineStr"/>
      <c r="S42" s="12" t="inlineStr"/>
      <c r="T42" s="12" t="inlineStr"/>
      <c r="U42" s="12" t="inlineStr"/>
      <c r="V42" s="12" t="inlineStr">
        <is>
          <t>WBS Code = 1.1.1</t>
        </is>
      </c>
      <c r="W42" s="12" t="inlineStr"/>
    </row>
    <row r="43" ht="64" customHeight="1">
      <c r="A43" s="12" t="inlineStr">
        <is>
          <t>1.1.1</t>
        </is>
      </c>
      <c r="B43" s="12" t="inlineStr">
        <is>
          <t>Guideway and Civil - Guideway Structures</t>
        </is>
      </c>
      <c r="C43" s="12" t="inlineStr">
        <is>
          <t>Contractor Programme</t>
        </is>
      </c>
      <c r="D43" s="12" t="inlineStr">
        <is>
          <t>SCH-01-047</t>
        </is>
      </c>
      <c r="E43" s="12" t="inlineStr">
        <is>
          <t>Depot lead: drainage tie-in - inspection</t>
        </is>
      </c>
      <c r="F43" s="12" t="inlineStr">
        <is>
          <t>ONE_TO_ONE</t>
        </is>
      </c>
      <c r="G43" s="12" t="inlineStr">
        <is>
          <t>APPROVED</t>
        </is>
      </c>
      <c r="H43" s="12" t="inlineStr">
        <is>
          <t>New</t>
        </is>
      </c>
      <c r="I43" s="12" t="inlineStr">
        <is>
          <t>Source assignment -- not individually reviewed</t>
        </is>
      </c>
      <c r="J43" s="12" t="inlineStr"/>
      <c r="K43" s="12" t="inlineStr">
        <is>
          <t>Source assignment</t>
        </is>
      </c>
      <c r="L43" s="12" t="inlineStr"/>
      <c r="M43" s="12" t="inlineStr">
        <is>
          <t>Initial</t>
        </is>
      </c>
      <c r="N43" s="12" t="inlineStr">
        <is>
          <t>Rev 0</t>
        </is>
      </c>
      <c r="O43" s="12" t="inlineStr">
        <is>
          <t>R47-v1</t>
        </is>
      </c>
      <c r="P43" s="12" t="inlineStr"/>
      <c r="Q43" s="12" t="inlineStr"/>
      <c r="R43" s="12" t="inlineStr"/>
      <c r="S43" s="12" t="inlineStr"/>
      <c r="T43" s="12" t="inlineStr"/>
      <c r="U43" s="12" t="inlineStr"/>
      <c r="V43" s="12" t="inlineStr">
        <is>
          <t>WBS Code = 1.1.1</t>
        </is>
      </c>
      <c r="W43" s="12" t="inlineStr"/>
    </row>
    <row r="44" ht="64" customHeight="1">
      <c r="A44" s="12" t="inlineStr">
        <is>
          <t>1.1.1</t>
        </is>
      </c>
      <c r="B44" s="12" t="inlineStr">
        <is>
          <t>Guideway and Civil - Guideway Structures</t>
        </is>
      </c>
      <c r="C44" s="12" t="inlineStr">
        <is>
          <t>Contractor Programme</t>
        </is>
      </c>
      <c r="D44" s="12" t="inlineStr">
        <is>
          <t>SCH-01-049</t>
        </is>
      </c>
      <c r="E44" s="12" t="inlineStr">
        <is>
          <t>River crossing: track-slab survey - release</t>
        </is>
      </c>
      <c r="F44" s="12" t="inlineStr">
        <is>
          <t>ONE_TO_ONE</t>
        </is>
      </c>
      <c r="G44" s="12" t="inlineStr">
        <is>
          <t>APPROVED</t>
        </is>
      </c>
      <c r="H44" s="12" t="inlineStr">
        <is>
          <t>New</t>
        </is>
      </c>
      <c r="I44" s="12" t="inlineStr">
        <is>
          <t>Source assignment -- not individually reviewed</t>
        </is>
      </c>
      <c r="J44" s="12" t="inlineStr"/>
      <c r="K44" s="12" t="inlineStr">
        <is>
          <t>Source assignment</t>
        </is>
      </c>
      <c r="L44" s="12" t="inlineStr"/>
      <c r="M44" s="12" t="inlineStr">
        <is>
          <t>Initial</t>
        </is>
      </c>
      <c r="N44" s="12" t="inlineStr">
        <is>
          <t>Rev 0</t>
        </is>
      </c>
      <c r="O44" s="12" t="inlineStr">
        <is>
          <t>R49-v1</t>
        </is>
      </c>
      <c r="P44" s="12" t="inlineStr"/>
      <c r="Q44" s="12" t="inlineStr"/>
      <c r="R44" s="12" t="inlineStr"/>
      <c r="S44" s="12" t="inlineStr"/>
      <c r="T44" s="12" t="inlineStr"/>
      <c r="U44" s="12" t="inlineStr"/>
      <c r="V44" s="12" t="inlineStr">
        <is>
          <t>WBS Code = 1.1.1</t>
        </is>
      </c>
      <c r="W44" s="12" t="inlineStr"/>
    </row>
    <row r="45" ht="64" customHeight="1">
      <c r="A45" s="12" t="inlineStr">
        <is>
          <t>1.1.1</t>
        </is>
      </c>
      <c r="B45" s="12" t="inlineStr">
        <is>
          <t>Guideway and Civil - Guideway Structures</t>
        </is>
      </c>
      <c r="C45" s="12" t="inlineStr">
        <is>
          <t>Contractor Programme</t>
        </is>
      </c>
      <c r="D45" s="12" t="inlineStr">
        <is>
          <t>SCH-01-050</t>
        </is>
      </c>
      <c r="E45" s="12" t="inlineStr">
        <is>
          <t>Central guideway: temporary traffic staging - field start</t>
        </is>
      </c>
      <c r="F45" s="12" t="inlineStr">
        <is>
          <t>ONE_TO_ONE</t>
        </is>
      </c>
      <c r="G45" s="12" t="inlineStr">
        <is>
          <t>APPROVED</t>
        </is>
      </c>
      <c r="H45" s="12" t="inlineStr">
        <is>
          <t>New</t>
        </is>
      </c>
      <c r="I45" s="12" t="inlineStr">
        <is>
          <t>Source assignment -- not individually reviewed</t>
        </is>
      </c>
      <c r="J45" s="12" t="inlineStr"/>
      <c r="K45" s="12" t="inlineStr">
        <is>
          <t>Source assignment</t>
        </is>
      </c>
      <c r="L45" s="12" t="inlineStr"/>
      <c r="M45" s="12" t="inlineStr">
        <is>
          <t>Initial</t>
        </is>
      </c>
      <c r="N45" s="12" t="inlineStr">
        <is>
          <t>Rev 0</t>
        </is>
      </c>
      <c r="O45" s="12" t="inlineStr">
        <is>
          <t>R50-v1</t>
        </is>
      </c>
      <c r="P45" s="12" t="inlineStr"/>
      <c r="Q45" s="12" t="inlineStr"/>
      <c r="R45" s="12" t="inlineStr"/>
      <c r="S45" s="12" t="inlineStr"/>
      <c r="T45" s="12" t="inlineStr"/>
      <c r="U45" s="12" t="inlineStr"/>
      <c r="V45" s="12" t="inlineStr">
        <is>
          <t>WBS Code = 1.1.1</t>
        </is>
      </c>
      <c r="W45" s="12" t="inlineStr"/>
    </row>
    <row r="46" ht="64" customHeight="1">
      <c r="A46" s="12" t="inlineStr">
        <is>
          <t>1.1.1</t>
        </is>
      </c>
      <c r="B46" s="12" t="inlineStr">
        <is>
          <t>Guideway and Civil - Guideway Structures</t>
        </is>
      </c>
      <c r="C46" s="12" t="inlineStr">
        <is>
          <t>Contractor Programme</t>
        </is>
      </c>
      <c r="D46" s="12" t="inlineStr">
        <is>
          <t>SCH-01-052</t>
        </is>
      </c>
      <c r="E46" s="12" t="inlineStr">
        <is>
          <t>Depot lead: road restoration - inspection</t>
        </is>
      </c>
      <c r="F46" s="12" t="inlineStr">
        <is>
          <t>ONE_TO_ONE</t>
        </is>
      </c>
      <c r="G46" s="12" t="inlineStr">
        <is>
          <t>APPROVED</t>
        </is>
      </c>
      <c r="H46" s="12" t="inlineStr">
        <is>
          <t>New</t>
        </is>
      </c>
      <c r="I46" s="12" t="inlineStr">
        <is>
          <t>Source assignment -- not individually reviewed</t>
        </is>
      </c>
      <c r="J46" s="12" t="inlineStr"/>
      <c r="K46" s="12" t="inlineStr">
        <is>
          <t>Source assignment</t>
        </is>
      </c>
      <c r="L46" s="12" t="inlineStr"/>
      <c r="M46" s="12" t="inlineStr">
        <is>
          <t>Initial</t>
        </is>
      </c>
      <c r="N46" s="12" t="inlineStr">
        <is>
          <t>Rev 0</t>
        </is>
      </c>
      <c r="O46" s="12" t="inlineStr">
        <is>
          <t>R52-v1</t>
        </is>
      </c>
      <c r="P46" s="12" t="inlineStr"/>
      <c r="Q46" s="12" t="inlineStr"/>
      <c r="R46" s="12" t="inlineStr"/>
      <c r="S46" s="12" t="inlineStr"/>
      <c r="T46" s="12" t="inlineStr"/>
      <c r="U46" s="12" t="inlineStr"/>
      <c r="V46" s="12" t="inlineStr">
        <is>
          <t>WBS Code = 1.1.1</t>
        </is>
      </c>
      <c r="W46" s="12" t="inlineStr"/>
    </row>
    <row r="47" ht="64" customHeight="1">
      <c r="A47" s="12" t="inlineStr">
        <is>
          <t>1.1.1</t>
        </is>
      </c>
      <c r="B47" s="12" t="inlineStr">
        <is>
          <t>Guideway and Civil - Guideway Structures</t>
        </is>
      </c>
      <c r="C47" s="12" t="inlineStr">
        <is>
          <t>Contractor Programme</t>
        </is>
      </c>
      <c r="D47" s="12" t="inlineStr">
        <is>
          <t>SCH-01-053</t>
        </is>
      </c>
      <c r="E47" s="12" t="inlineStr">
        <is>
          <t>East portal: drilled-shaft installation - turnover</t>
        </is>
      </c>
      <c r="F47" s="12" t="inlineStr">
        <is>
          <t>ONE_TO_ONE</t>
        </is>
      </c>
      <c r="G47" s="12" t="inlineStr">
        <is>
          <t>APPROVED</t>
        </is>
      </c>
      <c r="H47" s="12" t="inlineStr">
        <is>
          <t>New</t>
        </is>
      </c>
      <c r="I47" s="12" t="inlineStr">
        <is>
          <t>Source assignment -- not individually reviewed</t>
        </is>
      </c>
      <c r="J47" s="12" t="inlineStr"/>
      <c r="K47" s="12" t="inlineStr">
        <is>
          <t>Source assignment</t>
        </is>
      </c>
      <c r="L47" s="12" t="inlineStr"/>
      <c r="M47" s="12" t="inlineStr">
        <is>
          <t>Initial</t>
        </is>
      </c>
      <c r="N47" s="12" t="inlineStr">
        <is>
          <t>Rev 0</t>
        </is>
      </c>
      <c r="O47" s="12" t="inlineStr">
        <is>
          <t>R53-v1</t>
        </is>
      </c>
      <c r="P47" s="12" t="inlineStr"/>
      <c r="Q47" s="12" t="inlineStr"/>
      <c r="R47" s="12" t="inlineStr"/>
      <c r="S47" s="12" t="inlineStr"/>
      <c r="T47" s="12" t="inlineStr"/>
      <c r="U47" s="12" t="inlineStr"/>
      <c r="V47" s="12" t="inlineStr">
        <is>
          <t>WBS Code = 1.1.1</t>
        </is>
      </c>
      <c r="W47" s="12" t="inlineStr"/>
    </row>
    <row r="48" ht="64" customHeight="1">
      <c r="A48" s="12" t="inlineStr">
        <is>
          <t>1.1.1</t>
        </is>
      </c>
      <c r="B48" s="12" t="inlineStr">
        <is>
          <t>Guideway and Civil - Guideway Structures</t>
        </is>
      </c>
      <c r="C48" s="12" t="inlineStr">
        <is>
          <t>Contractor Programme</t>
        </is>
      </c>
      <c r="D48" s="12" t="inlineStr">
        <is>
          <t>SCH-01-055</t>
        </is>
      </c>
      <c r="E48" s="12" t="inlineStr">
        <is>
          <t>Central guideway: drainage tie-in - field start</t>
        </is>
      </c>
      <c r="F48" s="12" t="inlineStr">
        <is>
          <t>ONE_TO_ONE</t>
        </is>
      </c>
      <c r="G48" s="12" t="inlineStr">
        <is>
          <t>APPROVED</t>
        </is>
      </c>
      <c r="H48" s="12" t="inlineStr">
        <is>
          <t>New</t>
        </is>
      </c>
      <c r="I48" s="12" t="inlineStr">
        <is>
          <t>Source assignment -- not individually reviewed</t>
        </is>
      </c>
      <c r="J48" s="12" t="inlineStr"/>
      <c r="K48" s="12" t="inlineStr">
        <is>
          <t>Source assignment</t>
        </is>
      </c>
      <c r="L48" s="12" t="inlineStr"/>
      <c r="M48" s="12" t="inlineStr">
        <is>
          <t>Initial</t>
        </is>
      </c>
      <c r="N48" s="12" t="inlineStr">
        <is>
          <t>Rev 0</t>
        </is>
      </c>
      <c r="O48" s="12" t="inlineStr">
        <is>
          <t>R55-v1</t>
        </is>
      </c>
      <c r="P48" s="12" t="inlineStr"/>
      <c r="Q48" s="12" t="inlineStr"/>
      <c r="R48" s="12" t="inlineStr"/>
      <c r="S48" s="12" t="inlineStr"/>
      <c r="T48" s="12" t="inlineStr"/>
      <c r="U48" s="12" t="inlineStr"/>
      <c r="V48" s="12" t="inlineStr">
        <is>
          <t>WBS Code = 1.1.1</t>
        </is>
      </c>
      <c r="W48" s="12" t="inlineStr"/>
    </row>
    <row r="49" ht="64" customHeight="1">
      <c r="A49" s="12" t="inlineStr">
        <is>
          <t>1.1.1</t>
        </is>
      </c>
      <c r="B49" s="12" t="inlineStr">
        <is>
          <t>Guideway and Civil - Guideway Structures</t>
        </is>
      </c>
      <c r="C49" s="12" t="inlineStr">
        <is>
          <t>Contractor Programme</t>
        </is>
      </c>
      <c r="D49" s="12" t="inlineStr">
        <is>
          <t>SCH-01-056</t>
        </is>
      </c>
      <c r="E49" s="12" t="inlineStr">
        <is>
          <t>West approach: utility relocation - installation</t>
        </is>
      </c>
      <c r="F49" s="12" t="inlineStr">
        <is>
          <t>ONE_TO_ONE</t>
        </is>
      </c>
      <c r="G49" s="12" t="inlineStr">
        <is>
          <t>APPROVED</t>
        </is>
      </c>
      <c r="H49" s="12" t="inlineStr">
        <is>
          <t>New</t>
        </is>
      </c>
      <c r="I49" s="12" t="inlineStr">
        <is>
          <t>Source assignment -- not individually reviewed</t>
        </is>
      </c>
      <c r="J49" s="12" t="inlineStr"/>
      <c r="K49" s="12" t="inlineStr">
        <is>
          <t>Source assignment</t>
        </is>
      </c>
      <c r="L49" s="12" t="inlineStr"/>
      <c r="M49" s="12" t="inlineStr">
        <is>
          <t>Initial</t>
        </is>
      </c>
      <c r="N49" s="12" t="inlineStr">
        <is>
          <t>Rev 0</t>
        </is>
      </c>
      <c r="O49" s="12" t="inlineStr">
        <is>
          <t>R56-v1</t>
        </is>
      </c>
      <c r="P49" s="12" t="inlineStr"/>
      <c r="Q49" s="12" t="inlineStr"/>
      <c r="R49" s="12" t="inlineStr"/>
      <c r="S49" s="12" t="inlineStr"/>
      <c r="T49" s="12" t="inlineStr"/>
      <c r="U49" s="12" t="inlineStr"/>
      <c r="V49" s="12" t="inlineStr">
        <is>
          <t>WBS Code = 1.1.1</t>
        </is>
      </c>
      <c r="W49" s="12" t="inlineStr"/>
    </row>
    <row r="50" ht="64" customHeight="1">
      <c r="A50" s="12" t="inlineStr">
        <is>
          <t>1.1.1</t>
        </is>
      </c>
      <c r="B50" s="12" t="inlineStr">
        <is>
          <t>Guideway and Civil - Guideway Structures</t>
        </is>
      </c>
      <c r="C50" s="12" t="inlineStr">
        <is>
          <t>Contractor Programme</t>
        </is>
      </c>
      <c r="D50" s="12" t="inlineStr">
        <is>
          <t>SCH-01-058</t>
        </is>
      </c>
      <c r="E50" s="12" t="inlineStr">
        <is>
          <t>East portal: temporary traffic staging - turnover</t>
        </is>
      </c>
      <c r="F50" s="12" t="inlineStr">
        <is>
          <t>ONE_TO_ONE</t>
        </is>
      </c>
      <c r="G50" s="12" t="inlineStr">
        <is>
          <t>APPROVED</t>
        </is>
      </c>
      <c r="H50" s="12" t="inlineStr">
        <is>
          <t>New</t>
        </is>
      </c>
      <c r="I50" s="12" t="inlineStr">
        <is>
          <t>Source assignment -- not individually reviewed</t>
        </is>
      </c>
      <c r="J50" s="12" t="inlineStr"/>
      <c r="K50" s="12" t="inlineStr">
        <is>
          <t>Source assignment</t>
        </is>
      </c>
      <c r="L50" s="12" t="inlineStr"/>
      <c r="M50" s="12" t="inlineStr">
        <is>
          <t>Initial</t>
        </is>
      </c>
      <c r="N50" s="12" t="inlineStr">
        <is>
          <t>Rev 0</t>
        </is>
      </c>
      <c r="O50" s="12" t="inlineStr">
        <is>
          <t>R58-v1</t>
        </is>
      </c>
      <c r="P50" s="12" t="inlineStr"/>
      <c r="Q50" s="12" t="inlineStr"/>
      <c r="R50" s="12" t="inlineStr"/>
      <c r="S50" s="12" t="inlineStr"/>
      <c r="T50" s="12" t="inlineStr"/>
      <c r="U50" s="12" t="inlineStr"/>
      <c r="V50" s="12" t="inlineStr">
        <is>
          <t>WBS Code = 1.1.1</t>
        </is>
      </c>
      <c r="W50" s="12" t="inlineStr"/>
    </row>
    <row r="51" ht="64" customHeight="1">
      <c r="A51" s="12" t="inlineStr">
        <is>
          <t>1.1.1</t>
        </is>
      </c>
      <c r="B51" s="12" t="inlineStr">
        <is>
          <t>Guideway and Civil - Guideway Structures</t>
        </is>
      </c>
      <c r="C51" s="12" t="inlineStr">
        <is>
          <t>Contractor Programme</t>
        </is>
      </c>
      <c r="D51" s="12" t="inlineStr">
        <is>
          <t>SCH-01-059</t>
        </is>
      </c>
      <c r="E51" s="12" t="inlineStr">
        <is>
          <t>River crossing: guideway pier reinforcement - release</t>
        </is>
      </c>
      <c r="F51" s="12" t="inlineStr">
        <is>
          <t>ONE_TO_ONE</t>
        </is>
      </c>
      <c r="G51" s="12" t="inlineStr">
        <is>
          <t>APPROVED</t>
        </is>
      </c>
      <c r="H51" s="12" t="inlineStr">
        <is>
          <t>New</t>
        </is>
      </c>
      <c r="I51" s="12" t="inlineStr">
        <is>
          <t>Source assignment -- not individually reviewed</t>
        </is>
      </c>
      <c r="J51" s="12" t="inlineStr"/>
      <c r="K51" s="12" t="inlineStr">
        <is>
          <t>Source assignment</t>
        </is>
      </c>
      <c r="L51" s="12" t="inlineStr"/>
      <c r="M51" s="12" t="inlineStr">
        <is>
          <t>Initial</t>
        </is>
      </c>
      <c r="N51" s="12" t="inlineStr">
        <is>
          <t>Rev 0</t>
        </is>
      </c>
      <c r="O51" s="12" t="inlineStr">
        <is>
          <t>R59-v1</t>
        </is>
      </c>
      <c r="P51" s="12" t="inlineStr"/>
      <c r="Q51" s="12" t="inlineStr"/>
      <c r="R51" s="12" t="inlineStr"/>
      <c r="S51" s="12" t="inlineStr"/>
      <c r="T51" s="12" t="inlineStr"/>
      <c r="U51" s="12" t="inlineStr"/>
      <c r="V51" s="12" t="inlineStr">
        <is>
          <t>WBS Code = 1.1.1</t>
        </is>
      </c>
      <c r="W51" s="12" t="inlineStr"/>
    </row>
    <row r="52" ht="64" customHeight="1">
      <c r="A52" s="12" t="inlineStr">
        <is>
          <t>1.1.1</t>
        </is>
      </c>
      <c r="B52" s="12" t="inlineStr">
        <is>
          <t>Guideway and Civil - Guideway Structures</t>
        </is>
      </c>
      <c r="C52" s="12" t="inlineStr">
        <is>
          <t>Contractor Programme</t>
        </is>
      </c>
      <c r="D52" s="12" t="inlineStr">
        <is>
          <t>SCH-01-061</t>
        </is>
      </c>
      <c r="E52" s="12" t="inlineStr">
        <is>
          <t>West approach: drilled-shaft installation - installation</t>
        </is>
      </c>
      <c r="F52" s="12" t="inlineStr">
        <is>
          <t>ONE_TO_ONE</t>
        </is>
      </c>
      <c r="G52" s="12" t="inlineStr">
        <is>
          <t>APPROVED</t>
        </is>
      </c>
      <c r="H52" s="12" t="inlineStr">
        <is>
          <t>New</t>
        </is>
      </c>
      <c r="I52" s="12" t="inlineStr">
        <is>
          <t>Source assignment -- not individually reviewed</t>
        </is>
      </c>
      <c r="J52" s="12" t="inlineStr"/>
      <c r="K52" s="12" t="inlineStr">
        <is>
          <t>Source assignment</t>
        </is>
      </c>
      <c r="L52" s="12" t="inlineStr"/>
      <c r="M52" s="12" t="inlineStr">
        <is>
          <t>Initial</t>
        </is>
      </c>
      <c r="N52" s="12" t="inlineStr">
        <is>
          <t>Rev 0</t>
        </is>
      </c>
      <c r="O52" s="12" t="inlineStr">
        <is>
          <t>R61-v1</t>
        </is>
      </c>
      <c r="P52" s="12" t="inlineStr"/>
      <c r="Q52" s="12" t="inlineStr"/>
      <c r="R52" s="12" t="inlineStr"/>
      <c r="S52" s="12" t="inlineStr"/>
      <c r="T52" s="12" t="inlineStr"/>
      <c r="U52" s="12" t="inlineStr"/>
      <c r="V52" s="12" t="inlineStr">
        <is>
          <t>WBS Code = 1.1.1</t>
        </is>
      </c>
      <c r="W52" s="12" t="inlineStr"/>
    </row>
    <row r="53" ht="64" customHeight="1">
      <c r="A53" s="12" t="inlineStr">
        <is>
          <t>1.1.1</t>
        </is>
      </c>
      <c r="B53" s="12" t="inlineStr">
        <is>
          <t>Guideway and Civil - Guideway Structures</t>
        </is>
      </c>
      <c r="C53" s="12" t="inlineStr">
        <is>
          <t>Contractor Programme</t>
        </is>
      </c>
      <c r="D53" s="12" t="inlineStr">
        <is>
          <t>SCH-01-062</t>
        </is>
      </c>
      <c r="E53" s="12" t="inlineStr">
        <is>
          <t>Depot lead: retaining-wall excavation - inspection</t>
        </is>
      </c>
      <c r="F53" s="12" t="inlineStr">
        <is>
          <t>ONE_TO_ONE</t>
        </is>
      </c>
      <c r="G53" s="12" t="inlineStr">
        <is>
          <t>APPROVED</t>
        </is>
      </c>
      <c r="H53" s="12" t="inlineStr">
        <is>
          <t>New</t>
        </is>
      </c>
      <c r="I53" s="12" t="inlineStr">
        <is>
          <t>Source assignment -- not individually reviewed</t>
        </is>
      </c>
      <c r="J53" s="12" t="inlineStr"/>
      <c r="K53" s="12" t="inlineStr">
        <is>
          <t>Source assignment</t>
        </is>
      </c>
      <c r="L53" s="12" t="inlineStr"/>
      <c r="M53" s="12" t="inlineStr">
        <is>
          <t>Initial</t>
        </is>
      </c>
      <c r="N53" s="12" t="inlineStr">
        <is>
          <t>Rev 0</t>
        </is>
      </c>
      <c r="O53" s="12" t="inlineStr">
        <is>
          <t>R62-v1</t>
        </is>
      </c>
      <c r="P53" s="12" t="inlineStr"/>
      <c r="Q53" s="12" t="inlineStr"/>
      <c r="R53" s="12" t="inlineStr"/>
      <c r="S53" s="12" t="inlineStr"/>
      <c r="T53" s="12" t="inlineStr"/>
      <c r="U53" s="12" t="inlineStr"/>
      <c r="V53" s="12" t="inlineStr">
        <is>
          <t>WBS Code = 1.1.1</t>
        </is>
      </c>
      <c r="W53" s="12" t="inlineStr"/>
    </row>
    <row r="54" ht="64" customHeight="1">
      <c r="A54" s="12" t="inlineStr">
        <is>
          <t>1.1.1</t>
        </is>
      </c>
      <c r="B54" s="12" t="inlineStr">
        <is>
          <t>Guideway and Civil - Guideway Structures</t>
        </is>
      </c>
      <c r="C54" s="12" t="inlineStr">
        <is>
          <t>Contractor Programme</t>
        </is>
      </c>
      <c r="D54" s="12" t="inlineStr">
        <is>
          <t>SCH-01-064</t>
        </is>
      </c>
      <c r="E54" s="12" t="inlineStr">
        <is>
          <t>River crossing: utility relocation - release</t>
        </is>
      </c>
      <c r="F54" s="12" t="inlineStr">
        <is>
          <t>ONE_TO_ONE</t>
        </is>
      </c>
      <c r="G54" s="12" t="inlineStr">
        <is>
          <t>APPROVED</t>
        </is>
      </c>
      <c r="H54" s="12" t="inlineStr">
        <is>
          <t>New</t>
        </is>
      </c>
      <c r="I54" s="12" t="inlineStr">
        <is>
          <t>Source assignment -- not individually reviewed</t>
        </is>
      </c>
      <c r="J54" s="12" t="inlineStr"/>
      <c r="K54" s="12" t="inlineStr">
        <is>
          <t>Source assignment</t>
        </is>
      </c>
      <c r="L54" s="12" t="inlineStr"/>
      <c r="M54" s="12" t="inlineStr">
        <is>
          <t>Initial</t>
        </is>
      </c>
      <c r="N54" s="12" t="inlineStr">
        <is>
          <t>Rev 0</t>
        </is>
      </c>
      <c r="O54" s="12" t="inlineStr">
        <is>
          <t>R64-v1</t>
        </is>
      </c>
      <c r="P54" s="12" t="inlineStr"/>
      <c r="Q54" s="12" t="inlineStr"/>
      <c r="R54" s="12" t="inlineStr"/>
      <c r="S54" s="12" t="inlineStr"/>
      <c r="T54" s="12" t="inlineStr"/>
      <c r="U54" s="12" t="inlineStr"/>
      <c r="V54" s="12" t="inlineStr">
        <is>
          <t>WBS Code = 1.1.1</t>
        </is>
      </c>
      <c r="W54" s="12" t="inlineStr"/>
    </row>
    <row r="55" ht="64" customHeight="1">
      <c r="A55" s="12" t="inlineStr">
        <is>
          <t>1.1.1</t>
        </is>
      </c>
      <c r="B55" s="12" t="inlineStr">
        <is>
          <t>Guideway and Civil - Guideway Structures</t>
        </is>
      </c>
      <c r="C55" s="12" t="inlineStr">
        <is>
          <t>Contractor Programme</t>
        </is>
      </c>
      <c r="D55" s="12" t="inlineStr">
        <is>
          <t>SCH-01-065</t>
        </is>
      </c>
      <c r="E55" s="12" t="inlineStr">
        <is>
          <t>Central guideway: track-slab survey - field start</t>
        </is>
      </c>
      <c r="F55" s="12" t="inlineStr">
        <is>
          <t>ONE_TO_ONE</t>
        </is>
      </c>
      <c r="G55" s="12" t="inlineStr">
        <is>
          <t>APPROVED</t>
        </is>
      </c>
      <c r="H55" s="12" t="inlineStr">
        <is>
          <t>New</t>
        </is>
      </c>
      <c r="I55" s="12" t="inlineStr">
        <is>
          <t>Source assignment -- not individually reviewed</t>
        </is>
      </c>
      <c r="J55" s="12" t="inlineStr"/>
      <c r="K55" s="12" t="inlineStr">
        <is>
          <t>Source assignment</t>
        </is>
      </c>
      <c r="L55" s="12" t="inlineStr"/>
      <c r="M55" s="12" t="inlineStr">
        <is>
          <t>Initial</t>
        </is>
      </c>
      <c r="N55" s="12" t="inlineStr">
        <is>
          <t>Rev 0</t>
        </is>
      </c>
      <c r="O55" s="12" t="inlineStr">
        <is>
          <t>R65-v1</t>
        </is>
      </c>
      <c r="P55" s="12" t="inlineStr"/>
      <c r="Q55" s="12" t="inlineStr"/>
      <c r="R55" s="12" t="inlineStr"/>
      <c r="S55" s="12" t="inlineStr"/>
      <c r="T55" s="12" t="inlineStr"/>
      <c r="U55" s="12" t="inlineStr"/>
      <c r="V55" s="12" t="inlineStr">
        <is>
          <t>WBS Code = 1.1.1</t>
        </is>
      </c>
      <c r="W55" s="12" t="inlineStr"/>
    </row>
    <row r="56" ht="64" customHeight="1">
      <c r="A56" s="12" t="inlineStr">
        <is>
          <t>1.1.1</t>
        </is>
      </c>
      <c r="B56" s="12" t="inlineStr">
        <is>
          <t>Guideway and Civil - Guideway Structures</t>
        </is>
      </c>
      <c r="C56" s="12" t="inlineStr">
        <is>
          <t>Contractor Programme</t>
        </is>
      </c>
      <c r="D56" s="12" t="inlineStr">
        <is>
          <t>SCH-01-067</t>
        </is>
      </c>
      <c r="E56" s="12" t="inlineStr">
        <is>
          <t>Depot lead: guideway pier reinforcement - inspection</t>
        </is>
      </c>
      <c r="F56" s="12" t="inlineStr">
        <is>
          <t>ONE_TO_ONE</t>
        </is>
      </c>
      <c r="G56" s="12" t="inlineStr">
        <is>
          <t>APPROVED</t>
        </is>
      </c>
      <c r="H56" s="12" t="inlineStr">
        <is>
          <t>New</t>
        </is>
      </c>
      <c r="I56" s="12" t="inlineStr">
        <is>
          <t>Source assignment -- not individually reviewed</t>
        </is>
      </c>
      <c r="J56" s="12" t="inlineStr"/>
      <c r="K56" s="12" t="inlineStr">
        <is>
          <t>Source assignment</t>
        </is>
      </c>
      <c r="L56" s="12" t="inlineStr"/>
      <c r="M56" s="12" t="inlineStr">
        <is>
          <t>Initial</t>
        </is>
      </c>
      <c r="N56" s="12" t="inlineStr">
        <is>
          <t>Rev 0</t>
        </is>
      </c>
      <c r="O56" s="12" t="inlineStr">
        <is>
          <t>R67-v1</t>
        </is>
      </c>
      <c r="P56" s="12" t="inlineStr"/>
      <c r="Q56" s="12" t="inlineStr"/>
      <c r="R56" s="12" t="inlineStr"/>
      <c r="S56" s="12" t="inlineStr"/>
      <c r="T56" s="12" t="inlineStr"/>
      <c r="U56" s="12" t="inlineStr"/>
      <c r="V56" s="12" t="inlineStr">
        <is>
          <t>WBS Code = 1.1.1</t>
        </is>
      </c>
      <c r="W56" s="12" t="inlineStr"/>
    </row>
    <row r="57" ht="64" customHeight="1">
      <c r="A57" s="12" t="inlineStr">
        <is>
          <t>1.1.1</t>
        </is>
      </c>
      <c r="B57" s="12" t="inlineStr">
        <is>
          <t>Guideway and Civil - Guideway Structures</t>
        </is>
      </c>
      <c r="C57" s="12" t="inlineStr">
        <is>
          <t>Contractor Programme</t>
        </is>
      </c>
      <c r="D57" s="12" t="inlineStr">
        <is>
          <t>SCH-01-068</t>
        </is>
      </c>
      <c r="E57" s="12" t="inlineStr">
        <is>
          <t>East portal: road restoration - turnover</t>
        </is>
      </c>
      <c r="F57" s="12" t="inlineStr">
        <is>
          <t>ONE_TO_ONE</t>
        </is>
      </c>
      <c r="G57" s="12" t="inlineStr">
        <is>
          <t>APPROVED</t>
        </is>
      </c>
      <c r="H57" s="12" t="inlineStr">
        <is>
          <t>New</t>
        </is>
      </c>
      <c r="I57" s="12" t="inlineStr">
        <is>
          <t>Source assignment -- not individually reviewed</t>
        </is>
      </c>
      <c r="J57" s="12" t="inlineStr"/>
      <c r="K57" s="12" t="inlineStr">
        <is>
          <t>Source assignment</t>
        </is>
      </c>
      <c r="L57" s="12" t="inlineStr"/>
      <c r="M57" s="12" t="inlineStr">
        <is>
          <t>Initial</t>
        </is>
      </c>
      <c r="N57" s="12" t="inlineStr">
        <is>
          <t>Rev 0</t>
        </is>
      </c>
      <c r="O57" s="12" t="inlineStr">
        <is>
          <t>R68-v1</t>
        </is>
      </c>
      <c r="P57" s="12" t="inlineStr"/>
      <c r="Q57" s="12" t="inlineStr"/>
      <c r="R57" s="12" t="inlineStr"/>
      <c r="S57" s="12" t="inlineStr"/>
      <c r="T57" s="12" t="inlineStr"/>
      <c r="U57" s="12" t="inlineStr"/>
      <c r="V57" s="12" t="inlineStr">
        <is>
          <t>WBS Code = 1.1.1</t>
        </is>
      </c>
      <c r="W57" s="12" t="inlineStr"/>
    </row>
    <row r="58" ht="64" customHeight="1">
      <c r="A58" s="12" t="inlineStr">
        <is>
          <t>1.1.1</t>
        </is>
      </c>
      <c r="B58" s="12" t="inlineStr">
        <is>
          <t>Guideway and Civil - Guideway Structures</t>
        </is>
      </c>
      <c r="C58" s="12" t="inlineStr">
        <is>
          <t>Contractor Programme</t>
        </is>
      </c>
      <c r="D58" s="12" t="inlineStr">
        <is>
          <t>SCH-01-070</t>
        </is>
      </c>
      <c r="E58" s="12" t="inlineStr">
        <is>
          <t>Central guideway: retaining-wall excavation - field start</t>
        </is>
      </c>
      <c r="F58" s="12" t="inlineStr">
        <is>
          <t>ONE_TO_ONE</t>
        </is>
      </c>
      <c r="G58" s="12" t="inlineStr">
        <is>
          <t>APPROVED</t>
        </is>
      </c>
      <c r="H58" s="12" t="inlineStr">
        <is>
          <t>New</t>
        </is>
      </c>
      <c r="I58" s="12" t="inlineStr">
        <is>
          <t>Source assignment -- not individually reviewed</t>
        </is>
      </c>
      <c r="J58" s="12" t="inlineStr"/>
      <c r="K58" s="12" t="inlineStr">
        <is>
          <t>Source assignment</t>
        </is>
      </c>
      <c r="L58" s="12" t="inlineStr"/>
      <c r="M58" s="12" t="inlineStr">
        <is>
          <t>Initial</t>
        </is>
      </c>
      <c r="N58" s="12" t="inlineStr">
        <is>
          <t>Rev 0</t>
        </is>
      </c>
      <c r="O58" s="12" t="inlineStr">
        <is>
          <t>R70-v1</t>
        </is>
      </c>
      <c r="P58" s="12" t="inlineStr"/>
      <c r="Q58" s="12" t="inlineStr"/>
      <c r="R58" s="12" t="inlineStr"/>
      <c r="S58" s="12" t="inlineStr"/>
      <c r="T58" s="12" t="inlineStr"/>
      <c r="U58" s="12" t="inlineStr"/>
      <c r="V58" s="12" t="inlineStr">
        <is>
          <t>WBS Code = 1.1.1</t>
        </is>
      </c>
      <c r="W58" s="12" t="inlineStr"/>
    </row>
    <row r="59" ht="64" customHeight="1">
      <c r="A59" s="12" t="inlineStr">
        <is>
          <t>1.1.1</t>
        </is>
      </c>
      <c r="B59" s="12" t="inlineStr">
        <is>
          <t>Guideway and Civil - Guideway Structures</t>
        </is>
      </c>
      <c r="C59" s="12" t="inlineStr">
        <is>
          <t>Contractor Programme</t>
        </is>
      </c>
      <c r="D59" s="12" t="inlineStr">
        <is>
          <t>SCH-01-071</t>
        </is>
      </c>
      <c r="E59" s="12" t="inlineStr">
        <is>
          <t>West approach: drainage tie-in - installation</t>
        </is>
      </c>
      <c r="F59" s="12" t="inlineStr">
        <is>
          <t>ONE_TO_ONE</t>
        </is>
      </c>
      <c r="G59" s="12" t="inlineStr">
        <is>
          <t>APPROVED</t>
        </is>
      </c>
      <c r="H59" s="12" t="inlineStr">
        <is>
          <t>New</t>
        </is>
      </c>
      <c r="I59" s="12" t="inlineStr">
        <is>
          <t>Source assignment -- not individually reviewed</t>
        </is>
      </c>
      <c r="J59" s="12" t="inlineStr"/>
      <c r="K59" s="12" t="inlineStr">
        <is>
          <t>Source assignment</t>
        </is>
      </c>
      <c r="L59" s="12" t="inlineStr"/>
      <c r="M59" s="12" t="inlineStr">
        <is>
          <t>Initial</t>
        </is>
      </c>
      <c r="N59" s="12" t="inlineStr">
        <is>
          <t>Rev 0</t>
        </is>
      </c>
      <c r="O59" s="12" t="inlineStr">
        <is>
          <t>R71-v1</t>
        </is>
      </c>
      <c r="P59" s="12" t="inlineStr"/>
      <c r="Q59" s="12" t="inlineStr"/>
      <c r="R59" s="12" t="inlineStr"/>
      <c r="S59" s="12" t="inlineStr"/>
      <c r="T59" s="12" t="inlineStr"/>
      <c r="U59" s="12" t="inlineStr"/>
      <c r="V59" s="12" t="inlineStr">
        <is>
          <t>WBS Code = 1.1.1</t>
        </is>
      </c>
      <c r="W59" s="12" t="inlineStr"/>
    </row>
    <row r="60" ht="64" customHeight="1">
      <c r="A60" s="12" t="inlineStr">
        <is>
          <t>1.1.1</t>
        </is>
      </c>
      <c r="B60" s="12" t="inlineStr">
        <is>
          <t>Guideway and Civil - Guideway Structures</t>
        </is>
      </c>
      <c r="C60" s="12" t="inlineStr">
        <is>
          <t>Contractor Programme</t>
        </is>
      </c>
      <c r="D60" s="12" t="inlineStr">
        <is>
          <t>SCH-01-073</t>
        </is>
      </c>
      <c r="E60" s="12" t="inlineStr">
        <is>
          <t>East portal: track-slab survey - turnover</t>
        </is>
      </c>
      <c r="F60" s="12" t="inlineStr">
        <is>
          <t>ONE_TO_ONE</t>
        </is>
      </c>
      <c r="G60" s="12" t="inlineStr">
        <is>
          <t>APPROVED</t>
        </is>
      </c>
      <c r="H60" s="12" t="inlineStr">
        <is>
          <t>New</t>
        </is>
      </c>
      <c r="I60" s="12" t="inlineStr">
        <is>
          <t>Source assignment -- not individually reviewed</t>
        </is>
      </c>
      <c r="J60" s="12" t="inlineStr"/>
      <c r="K60" s="12" t="inlineStr">
        <is>
          <t>Source assignment</t>
        </is>
      </c>
      <c r="L60" s="12" t="inlineStr"/>
      <c r="M60" s="12" t="inlineStr">
        <is>
          <t>Initial</t>
        </is>
      </c>
      <c r="N60" s="12" t="inlineStr">
        <is>
          <t>Rev 0</t>
        </is>
      </c>
      <c r="O60" s="12" t="inlineStr">
        <is>
          <t>R73-v1</t>
        </is>
      </c>
      <c r="P60" s="12" t="inlineStr"/>
      <c r="Q60" s="12" t="inlineStr"/>
      <c r="R60" s="12" t="inlineStr"/>
      <c r="S60" s="12" t="inlineStr"/>
      <c r="T60" s="12" t="inlineStr"/>
      <c r="U60" s="12" t="inlineStr"/>
      <c r="V60" s="12" t="inlineStr">
        <is>
          <t>WBS Code = 1.1.1</t>
        </is>
      </c>
      <c r="W60" s="12" t="inlineStr"/>
    </row>
    <row r="61" ht="64" customHeight="1">
      <c r="A61" s="12" t="inlineStr">
        <is>
          <t>1.1.1</t>
        </is>
      </c>
      <c r="B61" s="12" t="inlineStr">
        <is>
          <t>Guideway and Civil - Guideway Structures</t>
        </is>
      </c>
      <c r="C61" s="12" t="inlineStr">
        <is>
          <t>Contractor Programme</t>
        </is>
      </c>
      <c r="D61" s="12" t="inlineStr">
        <is>
          <t>SCH-01-074</t>
        </is>
      </c>
      <c r="E61" s="12" t="inlineStr">
        <is>
          <t>River crossing: temporary traffic staging - release</t>
        </is>
      </c>
      <c r="F61" s="12" t="inlineStr">
        <is>
          <t>ONE_TO_ONE</t>
        </is>
      </c>
      <c r="G61" s="12" t="inlineStr">
        <is>
          <t>APPROVED</t>
        </is>
      </c>
      <c r="H61" s="12" t="inlineStr">
        <is>
          <t>New</t>
        </is>
      </c>
      <c r="I61" s="12" t="inlineStr">
        <is>
          <t>Source assignment -- not individually reviewed</t>
        </is>
      </c>
      <c r="J61" s="12" t="inlineStr"/>
      <c r="K61" s="12" t="inlineStr">
        <is>
          <t>Source assignment</t>
        </is>
      </c>
      <c r="L61" s="12" t="inlineStr"/>
      <c r="M61" s="12" t="inlineStr">
        <is>
          <t>Initial</t>
        </is>
      </c>
      <c r="N61" s="12" t="inlineStr">
        <is>
          <t>Rev 0</t>
        </is>
      </c>
      <c r="O61" s="12" t="inlineStr">
        <is>
          <t>R74-v1</t>
        </is>
      </c>
      <c r="P61" s="12" t="inlineStr"/>
      <c r="Q61" s="12" t="inlineStr"/>
      <c r="R61" s="12" t="inlineStr"/>
      <c r="S61" s="12" t="inlineStr"/>
      <c r="T61" s="12" t="inlineStr"/>
      <c r="U61" s="12" t="inlineStr"/>
      <c r="V61" s="12" t="inlineStr">
        <is>
          <t>WBS Code = 1.1.1</t>
        </is>
      </c>
      <c r="W61" s="12" t="inlineStr"/>
    </row>
    <row r="62" ht="64" customHeight="1">
      <c r="A62" s="12" t="inlineStr">
        <is>
          <t>1.1.1</t>
        </is>
      </c>
      <c r="B62" s="12" t="inlineStr">
        <is>
          <t>Guideway and Civil - Guideway Structures</t>
        </is>
      </c>
      <c r="C62" s="12" t="inlineStr">
        <is>
          <t>Contractor Programme</t>
        </is>
      </c>
      <c r="D62" s="12" t="inlineStr">
        <is>
          <t>SCH-01-076</t>
        </is>
      </c>
      <c r="E62" s="12" t="inlineStr">
        <is>
          <t>West approach: road restoration - installation</t>
        </is>
      </c>
      <c r="F62" s="12" t="inlineStr">
        <is>
          <t>ONE_TO_ONE</t>
        </is>
      </c>
      <c r="G62" s="12" t="inlineStr">
        <is>
          <t>APPROVED</t>
        </is>
      </c>
      <c r="H62" s="12" t="inlineStr">
        <is>
          <t>New</t>
        </is>
      </c>
      <c r="I62" s="12" t="inlineStr">
        <is>
          <t>Source assignment -- not individually reviewed</t>
        </is>
      </c>
      <c r="J62" s="12" t="inlineStr"/>
      <c r="K62" s="12" t="inlineStr">
        <is>
          <t>Source assignment</t>
        </is>
      </c>
      <c r="L62" s="12" t="inlineStr"/>
      <c r="M62" s="12" t="inlineStr">
        <is>
          <t>Initial</t>
        </is>
      </c>
      <c r="N62" s="12" t="inlineStr">
        <is>
          <t>Rev 0</t>
        </is>
      </c>
      <c r="O62" s="12" t="inlineStr">
        <is>
          <t>R76-v1</t>
        </is>
      </c>
      <c r="P62" s="12" t="inlineStr"/>
      <c r="Q62" s="12" t="inlineStr"/>
      <c r="R62" s="12" t="inlineStr"/>
      <c r="S62" s="12" t="inlineStr"/>
      <c r="T62" s="12" t="inlineStr"/>
      <c r="U62" s="12" t="inlineStr"/>
      <c r="V62" s="12" t="inlineStr">
        <is>
          <t>WBS Code = 1.1.1</t>
        </is>
      </c>
      <c r="W62" s="12" t="inlineStr"/>
    </row>
    <row r="63" ht="64" customHeight="1">
      <c r="A63" s="12" t="inlineStr">
        <is>
          <t>1.1.1</t>
        </is>
      </c>
      <c r="B63" s="12" t="inlineStr">
        <is>
          <t>Guideway and Civil - Guideway Structures</t>
        </is>
      </c>
      <c r="C63" s="12" t="inlineStr">
        <is>
          <t>Contractor Programme</t>
        </is>
      </c>
      <c r="D63" s="12" t="inlineStr">
        <is>
          <t>SCH-01-077</t>
        </is>
      </c>
      <c r="E63" s="12" t="inlineStr">
        <is>
          <t>Depot lead: drilled-shaft installation - inspection</t>
        </is>
      </c>
      <c r="F63" s="12" t="inlineStr">
        <is>
          <t>ONE_TO_ONE</t>
        </is>
      </c>
      <c r="G63" s="12" t="inlineStr">
        <is>
          <t>APPROVED</t>
        </is>
      </c>
      <c r="H63" s="12" t="inlineStr">
        <is>
          <t>New</t>
        </is>
      </c>
      <c r="I63" s="12" t="inlineStr">
        <is>
          <t>Source assignment -- not individually reviewed</t>
        </is>
      </c>
      <c r="J63" s="12" t="inlineStr"/>
      <c r="K63" s="12" t="inlineStr">
        <is>
          <t>Source assignment</t>
        </is>
      </c>
      <c r="L63" s="12" t="inlineStr"/>
      <c r="M63" s="12" t="inlineStr">
        <is>
          <t>Initial</t>
        </is>
      </c>
      <c r="N63" s="12" t="inlineStr">
        <is>
          <t>Rev 0</t>
        </is>
      </c>
      <c r="O63" s="12" t="inlineStr">
        <is>
          <t>R77-v1</t>
        </is>
      </c>
      <c r="P63" s="12" t="inlineStr"/>
      <c r="Q63" s="12" t="inlineStr"/>
      <c r="R63" s="12" t="inlineStr"/>
      <c r="S63" s="12" t="inlineStr"/>
      <c r="T63" s="12" t="inlineStr"/>
      <c r="U63" s="12" t="inlineStr"/>
      <c r="V63" s="12" t="inlineStr">
        <is>
          <t>WBS Code = 1.1.1</t>
        </is>
      </c>
      <c r="W63" s="12" t="inlineStr"/>
    </row>
    <row r="64" ht="64" customHeight="1">
      <c r="A64" s="12" t="inlineStr">
        <is>
          <t>1.1.1</t>
        </is>
      </c>
      <c r="B64" s="12" t="inlineStr">
        <is>
          <t>Guideway and Civil - Guideway Structures</t>
        </is>
      </c>
      <c r="C64" s="12" t="inlineStr">
        <is>
          <t>Contractor Programme</t>
        </is>
      </c>
      <c r="D64" s="12" t="inlineStr">
        <is>
          <t>SCH-01-079</t>
        </is>
      </c>
      <c r="E64" s="12" t="inlineStr">
        <is>
          <t>River crossing: drainage tie-in - release</t>
        </is>
      </c>
      <c r="F64" s="12" t="inlineStr">
        <is>
          <t>ONE_TO_ONE</t>
        </is>
      </c>
      <c r="G64" s="12" t="inlineStr">
        <is>
          <t>APPROVED</t>
        </is>
      </c>
      <c r="H64" s="12" t="inlineStr">
        <is>
          <t>New</t>
        </is>
      </c>
      <c r="I64" s="12" t="inlineStr">
        <is>
          <t>Source assignment -- not individually reviewed</t>
        </is>
      </c>
      <c r="J64" s="12" t="inlineStr"/>
      <c r="K64" s="12" t="inlineStr">
        <is>
          <t>Source assignment</t>
        </is>
      </c>
      <c r="L64" s="12" t="inlineStr"/>
      <c r="M64" s="12" t="inlineStr">
        <is>
          <t>Initial</t>
        </is>
      </c>
      <c r="N64" s="12" t="inlineStr">
        <is>
          <t>Rev 0</t>
        </is>
      </c>
      <c r="O64" s="12" t="inlineStr">
        <is>
          <t>R79-v1</t>
        </is>
      </c>
      <c r="P64" s="12" t="inlineStr"/>
      <c r="Q64" s="12" t="inlineStr"/>
      <c r="R64" s="12" t="inlineStr"/>
      <c r="S64" s="12" t="inlineStr"/>
      <c r="T64" s="12" t="inlineStr"/>
      <c r="U64" s="12" t="inlineStr"/>
      <c r="V64" s="12" t="inlineStr">
        <is>
          <t>WBS Code = 1.1.1</t>
        </is>
      </c>
      <c r="W64" s="12" t="inlineStr"/>
    </row>
    <row r="65" ht="64" customHeight="1">
      <c r="A65" s="12" t="inlineStr">
        <is>
          <t>1.1.1</t>
        </is>
      </c>
      <c r="B65" s="12" t="inlineStr">
        <is>
          <t>Guideway and Civil - Guideway Structures</t>
        </is>
      </c>
      <c r="C65" s="12" t="inlineStr">
        <is>
          <t>Contractor Programme</t>
        </is>
      </c>
      <c r="D65" s="12" t="inlineStr">
        <is>
          <t>SCH-01-080</t>
        </is>
      </c>
      <c r="E65" s="12" t="inlineStr">
        <is>
          <t>Central guideway: utility relocation - field start</t>
        </is>
      </c>
      <c r="F65" s="12" t="inlineStr">
        <is>
          <t>ONE_TO_ONE</t>
        </is>
      </c>
      <c r="G65" s="12" t="inlineStr">
        <is>
          <t>APPROVED</t>
        </is>
      </c>
      <c r="H65" s="12" t="inlineStr">
        <is>
          <t>New</t>
        </is>
      </c>
      <c r="I65" s="12" t="inlineStr">
        <is>
          <t>Source assignment -- not individually reviewed</t>
        </is>
      </c>
      <c r="J65" s="12" t="inlineStr"/>
      <c r="K65" s="12" t="inlineStr">
        <is>
          <t>Source assignment</t>
        </is>
      </c>
      <c r="L65" s="12" t="inlineStr"/>
      <c r="M65" s="12" t="inlineStr">
        <is>
          <t>Initial</t>
        </is>
      </c>
      <c r="N65" s="12" t="inlineStr">
        <is>
          <t>Rev 0</t>
        </is>
      </c>
      <c r="O65" s="12" t="inlineStr">
        <is>
          <t>R80-v1</t>
        </is>
      </c>
      <c r="P65" s="12" t="inlineStr"/>
      <c r="Q65" s="12" t="inlineStr"/>
      <c r="R65" s="12" t="inlineStr"/>
      <c r="S65" s="12" t="inlineStr"/>
      <c r="T65" s="12" t="inlineStr"/>
      <c r="U65" s="12" t="inlineStr"/>
      <c r="V65" s="12" t="inlineStr">
        <is>
          <t>WBS Code = 1.1.1</t>
        </is>
      </c>
      <c r="W65" s="12" t="inlineStr"/>
    </row>
    <row r="66" ht="64" customHeight="1">
      <c r="A66" s="12" t="inlineStr">
        <is>
          <t>1.1.1</t>
        </is>
      </c>
      <c r="B66" s="12" t="inlineStr">
        <is>
          <t>Guideway and Civil - Guideway Structures</t>
        </is>
      </c>
      <c r="C66" s="12" t="inlineStr">
        <is>
          <t>Contractor Programme</t>
        </is>
      </c>
      <c r="D66" s="12" t="inlineStr">
        <is>
          <t>SCH-01-082</t>
        </is>
      </c>
      <c r="E66" s="12" t="inlineStr">
        <is>
          <t>Depot lead: temporary traffic staging - inspection</t>
        </is>
      </c>
      <c r="F66" s="12" t="inlineStr">
        <is>
          <t>ONE_TO_ONE</t>
        </is>
      </c>
      <c r="G66" s="12" t="inlineStr">
        <is>
          <t>APPROVED</t>
        </is>
      </c>
      <c r="H66" s="12" t="inlineStr">
        <is>
          <t>New</t>
        </is>
      </c>
      <c r="I66" s="12" t="inlineStr">
        <is>
          <t>Source assignment -- not individually reviewed</t>
        </is>
      </c>
      <c r="J66" s="12" t="inlineStr"/>
      <c r="K66" s="12" t="inlineStr">
        <is>
          <t>Source assignment</t>
        </is>
      </c>
      <c r="L66" s="12" t="inlineStr"/>
      <c r="M66" s="12" t="inlineStr">
        <is>
          <t>Initial</t>
        </is>
      </c>
      <c r="N66" s="12" t="inlineStr">
        <is>
          <t>Rev 0</t>
        </is>
      </c>
      <c r="O66" s="12" t="inlineStr">
        <is>
          <t>R82-v1</t>
        </is>
      </c>
      <c r="P66" s="12" t="inlineStr"/>
      <c r="Q66" s="12" t="inlineStr"/>
      <c r="R66" s="12" t="inlineStr"/>
      <c r="S66" s="12" t="inlineStr"/>
      <c r="T66" s="12" t="inlineStr"/>
      <c r="U66" s="12" t="inlineStr"/>
      <c r="V66" s="12" t="inlineStr">
        <is>
          <t>WBS Code = 1.1.1</t>
        </is>
      </c>
      <c r="W66" s="12" t="inlineStr"/>
    </row>
    <row r="67" ht="64" customHeight="1">
      <c r="A67" s="12" t="inlineStr">
        <is>
          <t>1.1.1</t>
        </is>
      </c>
      <c r="B67" s="12" t="inlineStr">
        <is>
          <t>Guideway and Civil - Guideway Structures</t>
        </is>
      </c>
      <c r="C67" s="12" t="inlineStr">
        <is>
          <t>Contractor Programme</t>
        </is>
      </c>
      <c r="D67" s="12" t="inlineStr">
        <is>
          <t>SCH-01-083</t>
        </is>
      </c>
      <c r="E67" s="12" t="inlineStr">
        <is>
          <t>East portal: guideway pier reinforcement - turnover</t>
        </is>
      </c>
      <c r="F67" s="12" t="inlineStr">
        <is>
          <t>ONE_TO_ONE</t>
        </is>
      </c>
      <c r="G67" s="12" t="inlineStr">
        <is>
          <t>APPROVED</t>
        </is>
      </c>
      <c r="H67" s="12" t="inlineStr">
        <is>
          <t>New</t>
        </is>
      </c>
      <c r="I67" s="12" t="inlineStr">
        <is>
          <t>Source assignment -- not individually reviewed</t>
        </is>
      </c>
      <c r="J67" s="12" t="inlineStr"/>
      <c r="K67" s="12" t="inlineStr">
        <is>
          <t>Source assignment</t>
        </is>
      </c>
      <c r="L67" s="12" t="inlineStr"/>
      <c r="M67" s="12" t="inlineStr">
        <is>
          <t>Initial</t>
        </is>
      </c>
      <c r="N67" s="12" t="inlineStr">
        <is>
          <t>Rev 0</t>
        </is>
      </c>
      <c r="O67" s="12" t="inlineStr">
        <is>
          <t>R83-v1</t>
        </is>
      </c>
      <c r="P67" s="12" t="inlineStr"/>
      <c r="Q67" s="12" t="inlineStr"/>
      <c r="R67" s="12" t="inlineStr"/>
      <c r="S67" s="12" t="inlineStr"/>
      <c r="T67" s="12" t="inlineStr"/>
      <c r="U67" s="12" t="inlineStr"/>
      <c r="V67" s="12" t="inlineStr">
        <is>
          <t>WBS Code = 1.1.1</t>
        </is>
      </c>
      <c r="W67" s="12" t="inlineStr"/>
    </row>
    <row r="68" ht="64" customHeight="1">
      <c r="A68" s="12" t="inlineStr">
        <is>
          <t>1.1.1</t>
        </is>
      </c>
      <c r="B68" s="12" t="inlineStr">
        <is>
          <t>Guideway and Civil - Guideway Structures</t>
        </is>
      </c>
      <c r="C68" s="12" t="inlineStr">
        <is>
          <t>Contractor Programme</t>
        </is>
      </c>
      <c r="D68" s="12" t="inlineStr">
        <is>
          <t>SCH-01-085</t>
        </is>
      </c>
      <c r="E68" s="12" t="inlineStr">
        <is>
          <t>Central guideway: drilled-shaft installation - field start</t>
        </is>
      </c>
      <c r="F68" s="12" t="inlineStr">
        <is>
          <t>ONE_TO_ONE</t>
        </is>
      </c>
      <c r="G68" s="12" t="inlineStr">
        <is>
          <t>APPROVED</t>
        </is>
      </c>
      <c r="H68" s="12" t="inlineStr">
        <is>
          <t>New</t>
        </is>
      </c>
      <c r="I68" s="12" t="inlineStr">
        <is>
          <t>Source assignment -- not individually reviewed</t>
        </is>
      </c>
      <c r="J68" s="12" t="inlineStr"/>
      <c r="K68" s="12" t="inlineStr">
        <is>
          <t>Source assignment</t>
        </is>
      </c>
      <c r="L68" s="12" t="inlineStr"/>
      <c r="M68" s="12" t="inlineStr">
        <is>
          <t>Initial</t>
        </is>
      </c>
      <c r="N68" s="12" t="inlineStr">
        <is>
          <t>Rev 0</t>
        </is>
      </c>
      <c r="O68" s="12" t="inlineStr">
        <is>
          <t>R85-v1</t>
        </is>
      </c>
      <c r="P68" s="12" t="inlineStr"/>
      <c r="Q68" s="12" t="inlineStr"/>
      <c r="R68" s="12" t="inlineStr"/>
      <c r="S68" s="12" t="inlineStr"/>
      <c r="T68" s="12" t="inlineStr"/>
      <c r="U68" s="12" t="inlineStr"/>
      <c r="V68" s="12" t="inlineStr">
        <is>
          <t>WBS Code = 1.1.1</t>
        </is>
      </c>
      <c r="W68" s="12" t="inlineStr"/>
    </row>
    <row r="69" ht="64" customHeight="1">
      <c r="A69" s="12" t="inlineStr">
        <is>
          <t>1.1.1</t>
        </is>
      </c>
      <c r="B69" s="12" t="inlineStr">
        <is>
          <t>Guideway and Civil - Guideway Structures</t>
        </is>
      </c>
      <c r="C69" s="12" t="inlineStr">
        <is>
          <t>Contractor Programme</t>
        </is>
      </c>
      <c r="D69" s="12" t="inlineStr">
        <is>
          <t>SCH-01-086</t>
        </is>
      </c>
      <c r="E69" s="12" t="inlineStr">
        <is>
          <t>West approach: retaining-wall excavation - installation</t>
        </is>
      </c>
      <c r="F69" s="12" t="inlineStr">
        <is>
          <t>ONE_TO_ONE</t>
        </is>
      </c>
      <c r="G69" s="12" t="inlineStr">
        <is>
          <t>APPROVED</t>
        </is>
      </c>
      <c r="H69" s="12" t="inlineStr">
        <is>
          <t>New</t>
        </is>
      </c>
      <c r="I69" s="12" t="inlineStr">
        <is>
          <t>Source assignment -- not individually reviewed</t>
        </is>
      </c>
      <c r="J69" s="12" t="inlineStr"/>
      <c r="K69" s="12" t="inlineStr">
        <is>
          <t>Source assignment</t>
        </is>
      </c>
      <c r="L69" s="12" t="inlineStr"/>
      <c r="M69" s="12" t="inlineStr">
        <is>
          <t>Initial</t>
        </is>
      </c>
      <c r="N69" s="12" t="inlineStr">
        <is>
          <t>Rev 0</t>
        </is>
      </c>
      <c r="O69" s="12" t="inlineStr">
        <is>
          <t>R86-v1</t>
        </is>
      </c>
      <c r="P69" s="12" t="inlineStr"/>
      <c r="Q69" s="12" t="inlineStr"/>
      <c r="R69" s="12" t="inlineStr"/>
      <c r="S69" s="12" t="inlineStr"/>
      <c r="T69" s="12" t="inlineStr"/>
      <c r="U69" s="12" t="inlineStr"/>
      <c r="V69" s="12" t="inlineStr">
        <is>
          <t>WBS Code = 1.1.1</t>
        </is>
      </c>
      <c r="W69" s="12" t="inlineStr"/>
    </row>
    <row r="70" ht="64" customHeight="1">
      <c r="A70" s="12" t="inlineStr">
        <is>
          <t>1.1.1</t>
        </is>
      </c>
      <c r="B70" s="12" t="inlineStr">
        <is>
          <t>Guideway and Civil - Guideway Structures</t>
        </is>
      </c>
      <c r="C70" s="12" t="inlineStr">
        <is>
          <t>Contractor Programme</t>
        </is>
      </c>
      <c r="D70" s="12" t="inlineStr">
        <is>
          <t>SCH-01-088</t>
        </is>
      </c>
      <c r="E70" s="12" t="inlineStr">
        <is>
          <t>East portal: utility relocation - turnover</t>
        </is>
      </c>
      <c r="F70" s="12" t="inlineStr">
        <is>
          <t>ONE_TO_ONE</t>
        </is>
      </c>
      <c r="G70" s="12" t="inlineStr">
        <is>
          <t>APPROVED</t>
        </is>
      </c>
      <c r="H70" s="12" t="inlineStr">
        <is>
          <t>New</t>
        </is>
      </c>
      <c r="I70" s="12" t="inlineStr">
        <is>
          <t>Source assignment -- not individually reviewed</t>
        </is>
      </c>
      <c r="J70" s="12" t="inlineStr"/>
      <c r="K70" s="12" t="inlineStr">
        <is>
          <t>Source assignment</t>
        </is>
      </c>
      <c r="L70" s="12" t="inlineStr"/>
      <c r="M70" s="12" t="inlineStr">
        <is>
          <t>Initial</t>
        </is>
      </c>
      <c r="N70" s="12" t="inlineStr">
        <is>
          <t>Rev 0</t>
        </is>
      </c>
      <c r="O70" s="12" t="inlineStr">
        <is>
          <t>R88-v1</t>
        </is>
      </c>
      <c r="P70" s="12" t="inlineStr"/>
      <c r="Q70" s="12" t="inlineStr"/>
      <c r="R70" s="12" t="inlineStr"/>
      <c r="S70" s="12" t="inlineStr"/>
      <c r="T70" s="12" t="inlineStr"/>
      <c r="U70" s="12" t="inlineStr"/>
      <c r="V70" s="12" t="inlineStr">
        <is>
          <t>WBS Code = 1.1.1</t>
        </is>
      </c>
      <c r="W70" s="12" t="inlineStr"/>
    </row>
    <row r="71" ht="64" customHeight="1">
      <c r="A71" s="12" t="inlineStr">
        <is>
          <t>1.1.1</t>
        </is>
      </c>
      <c r="B71" s="12" t="inlineStr">
        <is>
          <t>Guideway and Civil - Guideway Structures</t>
        </is>
      </c>
      <c r="C71" s="12" t="inlineStr">
        <is>
          <t>Contractor Programme</t>
        </is>
      </c>
      <c r="D71" s="12" t="inlineStr">
        <is>
          <t>SCH-01-089</t>
        </is>
      </c>
      <c r="E71" s="12" t="inlineStr">
        <is>
          <t>River crossing: track-slab survey - release</t>
        </is>
      </c>
      <c r="F71" s="12" t="inlineStr">
        <is>
          <t>ONE_TO_ONE</t>
        </is>
      </c>
      <c r="G71" s="12" t="inlineStr">
        <is>
          <t>APPROVED</t>
        </is>
      </c>
      <c r="H71" s="12" t="inlineStr">
        <is>
          <t>New</t>
        </is>
      </c>
      <c r="I71" s="12" t="inlineStr">
        <is>
          <t>Source assignment -- not individually reviewed</t>
        </is>
      </c>
      <c r="J71" s="12" t="inlineStr"/>
      <c r="K71" s="12" t="inlineStr">
        <is>
          <t>Source assignment</t>
        </is>
      </c>
      <c r="L71" s="12" t="inlineStr"/>
      <c r="M71" s="12" t="inlineStr">
        <is>
          <t>Initial</t>
        </is>
      </c>
      <c r="N71" s="12" t="inlineStr">
        <is>
          <t>Rev 0</t>
        </is>
      </c>
      <c r="O71" s="12" t="inlineStr">
        <is>
          <t>R89-v1</t>
        </is>
      </c>
      <c r="P71" s="12" t="inlineStr"/>
      <c r="Q71" s="12" t="inlineStr"/>
      <c r="R71" s="12" t="inlineStr"/>
      <c r="S71" s="12" t="inlineStr"/>
      <c r="T71" s="12" t="inlineStr"/>
      <c r="U71" s="12" t="inlineStr"/>
      <c r="V71" s="12" t="inlineStr">
        <is>
          <t>WBS Code = 1.1.1</t>
        </is>
      </c>
      <c r="W71" s="12" t="inlineStr"/>
    </row>
    <row r="72" ht="64" customHeight="1">
      <c r="A72" s="12" t="inlineStr">
        <is>
          <t>1.1.1</t>
        </is>
      </c>
      <c r="B72" s="12" t="inlineStr">
        <is>
          <t>Guideway and Civil - Guideway Structures</t>
        </is>
      </c>
      <c r="C72" s="12" t="inlineStr">
        <is>
          <t>Contractor Programme</t>
        </is>
      </c>
      <c r="D72" s="12" t="inlineStr">
        <is>
          <t>SCH-01-091</t>
        </is>
      </c>
      <c r="E72" s="12" t="inlineStr">
        <is>
          <t>West approach: guideway pier reinforcement - installation</t>
        </is>
      </c>
      <c r="F72" s="12" t="inlineStr">
        <is>
          <t>ONE_TO_ONE</t>
        </is>
      </c>
      <c r="G72" s="12" t="inlineStr">
        <is>
          <t>APPROVED</t>
        </is>
      </c>
      <c r="H72" s="12" t="inlineStr">
        <is>
          <t>New</t>
        </is>
      </c>
      <c r="I72" s="12" t="inlineStr">
        <is>
          <t>Source assignment -- not individually reviewed</t>
        </is>
      </c>
      <c r="J72" s="12" t="inlineStr"/>
      <c r="K72" s="12" t="inlineStr">
        <is>
          <t>Source assignment</t>
        </is>
      </c>
      <c r="L72" s="12" t="inlineStr"/>
      <c r="M72" s="12" t="inlineStr">
        <is>
          <t>Initial</t>
        </is>
      </c>
      <c r="N72" s="12" t="inlineStr">
        <is>
          <t>Rev 0</t>
        </is>
      </c>
      <c r="O72" s="12" t="inlineStr">
        <is>
          <t>R91-v1</t>
        </is>
      </c>
      <c r="P72" s="12" t="inlineStr"/>
      <c r="Q72" s="12" t="inlineStr"/>
      <c r="R72" s="12" t="inlineStr"/>
      <c r="S72" s="12" t="inlineStr"/>
      <c r="T72" s="12" t="inlineStr"/>
      <c r="U72" s="12" t="inlineStr"/>
      <c r="V72" s="12" t="inlineStr">
        <is>
          <t>WBS Code = 1.1.1</t>
        </is>
      </c>
      <c r="W72" s="12" t="inlineStr"/>
    </row>
    <row r="73" ht="64" customHeight="1">
      <c r="A73" s="12" t="inlineStr">
        <is>
          <t>1.1.1</t>
        </is>
      </c>
      <c r="B73" s="12" t="inlineStr">
        <is>
          <t>Guideway and Civil - Guideway Structures</t>
        </is>
      </c>
      <c r="C73" s="12" t="inlineStr">
        <is>
          <t>Contractor Programme</t>
        </is>
      </c>
      <c r="D73" s="12" t="inlineStr">
        <is>
          <t>SCH-01-092</t>
        </is>
      </c>
      <c r="E73" s="12" t="inlineStr">
        <is>
          <t>Depot lead: road restoration - inspection</t>
        </is>
      </c>
      <c r="F73" s="12" t="inlineStr">
        <is>
          <t>ONE_TO_ONE</t>
        </is>
      </c>
      <c r="G73" s="12" t="inlineStr">
        <is>
          <t>APPROVED</t>
        </is>
      </c>
      <c r="H73" s="12" t="inlineStr">
        <is>
          <t>New</t>
        </is>
      </c>
      <c r="I73" s="12" t="inlineStr">
        <is>
          <t>Source assignment -- not individually reviewed</t>
        </is>
      </c>
      <c r="J73" s="12" t="inlineStr"/>
      <c r="K73" s="12" t="inlineStr">
        <is>
          <t>Source assignment</t>
        </is>
      </c>
      <c r="L73" s="12" t="inlineStr"/>
      <c r="M73" s="12" t="inlineStr">
        <is>
          <t>Initial</t>
        </is>
      </c>
      <c r="N73" s="12" t="inlineStr">
        <is>
          <t>Rev 0</t>
        </is>
      </c>
      <c r="O73" s="12" t="inlineStr">
        <is>
          <t>R92-v1</t>
        </is>
      </c>
      <c r="P73" s="12" t="inlineStr"/>
      <c r="Q73" s="12" t="inlineStr"/>
      <c r="R73" s="12" t="inlineStr"/>
      <c r="S73" s="12" t="inlineStr"/>
      <c r="T73" s="12" t="inlineStr"/>
      <c r="U73" s="12" t="inlineStr"/>
      <c r="V73" s="12" t="inlineStr">
        <is>
          <t>WBS Code = 1.1.1</t>
        </is>
      </c>
      <c r="W73" s="12" t="inlineStr"/>
    </row>
    <row r="74" ht="64" customHeight="1">
      <c r="A74" s="12" t="inlineStr">
        <is>
          <t>1.1.1</t>
        </is>
      </c>
      <c r="B74" s="12" t="inlineStr">
        <is>
          <t>Guideway and Civil - Guideway Structures</t>
        </is>
      </c>
      <c r="C74" s="12" t="inlineStr">
        <is>
          <t>Contractor Programme</t>
        </is>
      </c>
      <c r="D74" s="12" t="inlineStr">
        <is>
          <t>SCH-01-094</t>
        </is>
      </c>
      <c r="E74" s="12" t="inlineStr">
        <is>
          <t>River crossing: retaining-wall excavation - release</t>
        </is>
      </c>
      <c r="F74" s="12" t="inlineStr">
        <is>
          <t>ONE_TO_ONE</t>
        </is>
      </c>
      <c r="G74" s="12" t="inlineStr">
        <is>
          <t>APPROVED</t>
        </is>
      </c>
      <c r="H74" s="12" t="inlineStr">
        <is>
          <t>New</t>
        </is>
      </c>
      <c r="I74" s="12" t="inlineStr">
        <is>
          <t>Source assignment -- not individually reviewed</t>
        </is>
      </c>
      <c r="J74" s="12" t="inlineStr"/>
      <c r="K74" s="12" t="inlineStr">
        <is>
          <t>Source assignment</t>
        </is>
      </c>
      <c r="L74" s="12" t="inlineStr"/>
      <c r="M74" s="12" t="inlineStr">
        <is>
          <t>Initial</t>
        </is>
      </c>
      <c r="N74" s="12" t="inlineStr">
        <is>
          <t>Rev 0</t>
        </is>
      </c>
      <c r="O74" s="12" t="inlineStr">
        <is>
          <t>R94-v1</t>
        </is>
      </c>
      <c r="P74" s="12" t="inlineStr"/>
      <c r="Q74" s="12" t="inlineStr"/>
      <c r="R74" s="12" t="inlineStr"/>
      <c r="S74" s="12" t="inlineStr"/>
      <c r="T74" s="12" t="inlineStr"/>
      <c r="U74" s="12" t="inlineStr"/>
      <c r="V74" s="12" t="inlineStr">
        <is>
          <t>WBS Code = 1.1.1</t>
        </is>
      </c>
      <c r="W74" s="12" t="inlineStr"/>
    </row>
    <row r="75" ht="64" customHeight="1">
      <c r="A75" s="12" t="inlineStr">
        <is>
          <t>1.1.1</t>
        </is>
      </c>
      <c r="B75" s="12" t="inlineStr">
        <is>
          <t>Guideway and Civil - Guideway Structures</t>
        </is>
      </c>
      <c r="C75" s="12" t="inlineStr">
        <is>
          <t>Contractor Programme</t>
        </is>
      </c>
      <c r="D75" s="12" t="inlineStr">
        <is>
          <t>SCH-01-095</t>
        </is>
      </c>
      <c r="E75" s="12" t="inlineStr">
        <is>
          <t>Central guideway: drainage tie-in - field start</t>
        </is>
      </c>
      <c r="F75" s="12" t="inlineStr">
        <is>
          <t>ONE_TO_ONE</t>
        </is>
      </c>
      <c r="G75" s="12" t="inlineStr">
        <is>
          <t>APPROVED</t>
        </is>
      </c>
      <c r="H75" s="12" t="inlineStr">
        <is>
          <t>New</t>
        </is>
      </c>
      <c r="I75" s="12" t="inlineStr">
        <is>
          <t>Source assignment -- not individually reviewed</t>
        </is>
      </c>
      <c r="J75" s="12" t="inlineStr"/>
      <c r="K75" s="12" t="inlineStr">
        <is>
          <t>Source assignment</t>
        </is>
      </c>
      <c r="L75" s="12" t="inlineStr"/>
      <c r="M75" s="12" t="inlineStr">
        <is>
          <t>Initial</t>
        </is>
      </c>
      <c r="N75" s="12" t="inlineStr">
        <is>
          <t>Rev 0</t>
        </is>
      </c>
      <c r="O75" s="12" t="inlineStr">
        <is>
          <t>R95-v1</t>
        </is>
      </c>
      <c r="P75" s="12" t="inlineStr"/>
      <c r="Q75" s="12" t="inlineStr"/>
      <c r="R75" s="12" t="inlineStr"/>
      <c r="S75" s="12" t="inlineStr"/>
      <c r="T75" s="12" t="inlineStr"/>
      <c r="U75" s="12" t="inlineStr"/>
      <c r="V75" s="12" t="inlineStr">
        <is>
          <t>WBS Code = 1.1.1</t>
        </is>
      </c>
      <c r="W75" s="12" t="inlineStr"/>
    </row>
    <row r="76" ht="64" customHeight="1">
      <c r="A76" s="12" t="inlineStr">
        <is>
          <t>1.1.1</t>
        </is>
      </c>
      <c r="B76" s="12" t="inlineStr">
        <is>
          <t>Guideway and Civil - Guideway Structures</t>
        </is>
      </c>
      <c r="C76" s="12" t="inlineStr">
        <is>
          <t>Contractor Programme</t>
        </is>
      </c>
      <c r="D76" s="12" t="inlineStr">
        <is>
          <t>SCH-01-097</t>
        </is>
      </c>
      <c r="E76" s="12" t="inlineStr">
        <is>
          <t>Depot lead: track-slab survey - inspection</t>
        </is>
      </c>
      <c r="F76" s="12" t="inlineStr">
        <is>
          <t>ONE_TO_ONE</t>
        </is>
      </c>
      <c r="G76" s="12" t="inlineStr">
        <is>
          <t>APPROVED</t>
        </is>
      </c>
      <c r="H76" s="12" t="inlineStr">
        <is>
          <t>New</t>
        </is>
      </c>
      <c r="I76" s="12" t="inlineStr">
        <is>
          <t>Source assignment -- not individually reviewed</t>
        </is>
      </c>
      <c r="J76" s="12" t="inlineStr"/>
      <c r="K76" s="12" t="inlineStr">
        <is>
          <t>Source assignment</t>
        </is>
      </c>
      <c r="L76" s="12" t="inlineStr"/>
      <c r="M76" s="12" t="inlineStr">
        <is>
          <t>Initial</t>
        </is>
      </c>
      <c r="N76" s="12" t="inlineStr">
        <is>
          <t>Rev 0</t>
        </is>
      </c>
      <c r="O76" s="12" t="inlineStr">
        <is>
          <t>R97-v1</t>
        </is>
      </c>
      <c r="P76" s="12" t="inlineStr"/>
      <c r="Q76" s="12" t="inlineStr"/>
      <c r="R76" s="12" t="inlineStr"/>
      <c r="S76" s="12" t="inlineStr"/>
      <c r="T76" s="12" t="inlineStr"/>
      <c r="U76" s="12" t="inlineStr"/>
      <c r="V76" s="12" t="inlineStr">
        <is>
          <t>WBS Code = 1.1.1</t>
        </is>
      </c>
      <c r="W76" s="12" t="inlineStr"/>
    </row>
    <row r="77" ht="64" customHeight="1">
      <c r="A77" s="12" t="inlineStr">
        <is>
          <t>1.1.1</t>
        </is>
      </c>
      <c r="B77" s="12" t="inlineStr">
        <is>
          <t>Guideway and Civil - Guideway Structures</t>
        </is>
      </c>
      <c r="C77" s="12" t="inlineStr">
        <is>
          <t>Contractor Programme</t>
        </is>
      </c>
      <c r="D77" s="12" t="inlineStr">
        <is>
          <t>SCH-01-098</t>
        </is>
      </c>
      <c r="E77" s="12" t="inlineStr">
        <is>
          <t>East portal: temporary traffic staging - turnover</t>
        </is>
      </c>
      <c r="F77" s="12" t="inlineStr">
        <is>
          <t>ONE_TO_ONE</t>
        </is>
      </c>
      <c r="G77" s="12" t="inlineStr">
        <is>
          <t>APPROVED</t>
        </is>
      </c>
      <c r="H77" s="12" t="inlineStr">
        <is>
          <t>New</t>
        </is>
      </c>
      <c r="I77" s="12" t="inlineStr">
        <is>
          <t>Source assignment -- not individually reviewed</t>
        </is>
      </c>
      <c r="J77" s="12" t="inlineStr"/>
      <c r="K77" s="12" t="inlineStr">
        <is>
          <t>Source assignment</t>
        </is>
      </c>
      <c r="L77" s="12" t="inlineStr"/>
      <c r="M77" s="12" t="inlineStr">
        <is>
          <t>Initial</t>
        </is>
      </c>
      <c r="N77" s="12" t="inlineStr">
        <is>
          <t>Rev 0</t>
        </is>
      </c>
      <c r="O77" s="12" t="inlineStr">
        <is>
          <t>R98-v1</t>
        </is>
      </c>
      <c r="P77" s="12" t="inlineStr"/>
      <c r="Q77" s="12" t="inlineStr"/>
      <c r="R77" s="12" t="inlineStr"/>
      <c r="S77" s="12" t="inlineStr"/>
      <c r="T77" s="12" t="inlineStr"/>
      <c r="U77" s="12" t="inlineStr"/>
      <c r="V77" s="12" t="inlineStr">
        <is>
          <t>WBS Code = 1.1.1</t>
        </is>
      </c>
      <c r="W77" s="12" t="inlineStr"/>
    </row>
    <row r="78" ht="64" customHeight="1">
      <c r="A78" s="12" t="inlineStr">
        <is>
          <t>1.1.1</t>
        </is>
      </c>
      <c r="B78" s="12" t="inlineStr">
        <is>
          <t>Guideway and Civil - Guideway Structures</t>
        </is>
      </c>
      <c r="C78" s="12" t="inlineStr">
        <is>
          <t>Contractor Programme</t>
        </is>
      </c>
      <c r="D78" s="12" t="inlineStr">
        <is>
          <t>SCH-01-100</t>
        </is>
      </c>
      <c r="E78" s="12" t="inlineStr">
        <is>
          <t>Central guideway: road restoration - field start</t>
        </is>
      </c>
      <c r="F78" s="12" t="inlineStr">
        <is>
          <t>ONE_TO_ONE</t>
        </is>
      </c>
      <c r="G78" s="12" t="inlineStr">
        <is>
          <t>APPROVED</t>
        </is>
      </c>
      <c r="H78" s="12" t="inlineStr">
        <is>
          <t>New</t>
        </is>
      </c>
      <c r="I78" s="12" t="inlineStr">
        <is>
          <t>Source assignment -- not individually reviewed</t>
        </is>
      </c>
      <c r="J78" s="12" t="inlineStr"/>
      <c r="K78" s="12" t="inlineStr">
        <is>
          <t>Source assignment</t>
        </is>
      </c>
      <c r="L78" s="12" t="inlineStr"/>
      <c r="M78" s="12" t="inlineStr">
        <is>
          <t>Initial</t>
        </is>
      </c>
      <c r="N78" s="12" t="inlineStr">
        <is>
          <t>Rev 0</t>
        </is>
      </c>
      <c r="O78" s="12" t="inlineStr">
        <is>
          <t>R100-v1</t>
        </is>
      </c>
      <c r="P78" s="12" t="inlineStr"/>
      <c r="Q78" s="12" t="inlineStr"/>
      <c r="R78" s="12" t="inlineStr"/>
      <c r="S78" s="12" t="inlineStr"/>
      <c r="T78" s="12" t="inlineStr"/>
      <c r="U78" s="12" t="inlineStr"/>
      <c r="V78" s="12" t="inlineStr">
        <is>
          <t>WBS Code = 1.1.1</t>
        </is>
      </c>
      <c r="W78" s="12" t="inlineStr"/>
    </row>
    <row r="79" ht="64" customHeight="1">
      <c r="A79" s="12" t="inlineStr">
        <is>
          <t>1.1.1</t>
        </is>
      </c>
      <c r="B79" s="12" t="inlineStr">
        <is>
          <t>Guideway and Civil - Guideway Structures</t>
        </is>
      </c>
      <c r="C79" s="12" t="inlineStr">
        <is>
          <t>Contractor Programme</t>
        </is>
      </c>
      <c r="D79" s="12" t="inlineStr">
        <is>
          <t>SCH-01-101</t>
        </is>
      </c>
      <c r="E79" s="12" t="inlineStr">
        <is>
          <t>West approach: drilled-shaft installation - installation</t>
        </is>
      </c>
      <c r="F79" s="12" t="inlineStr">
        <is>
          <t>ONE_TO_ONE</t>
        </is>
      </c>
      <c r="G79" s="12" t="inlineStr">
        <is>
          <t>APPROVED</t>
        </is>
      </c>
      <c r="H79" s="12" t="inlineStr">
        <is>
          <t>New</t>
        </is>
      </c>
      <c r="I79" s="12" t="inlineStr">
        <is>
          <t>Source assignment -- not individually reviewed</t>
        </is>
      </c>
      <c r="J79" s="12" t="inlineStr"/>
      <c r="K79" s="12" t="inlineStr">
        <is>
          <t>Source assignment</t>
        </is>
      </c>
      <c r="L79" s="12" t="inlineStr"/>
      <c r="M79" s="12" t="inlineStr">
        <is>
          <t>Initial</t>
        </is>
      </c>
      <c r="N79" s="12" t="inlineStr">
        <is>
          <t>Rev 0</t>
        </is>
      </c>
      <c r="O79" s="12" t="inlineStr">
        <is>
          <t>R101-v1</t>
        </is>
      </c>
      <c r="P79" s="12" t="inlineStr"/>
      <c r="Q79" s="12" t="inlineStr"/>
      <c r="R79" s="12" t="inlineStr"/>
      <c r="S79" s="12" t="inlineStr"/>
      <c r="T79" s="12" t="inlineStr"/>
      <c r="U79" s="12" t="inlineStr"/>
      <c r="V79" s="12" t="inlineStr">
        <is>
          <t>WBS Code = 1.1.1</t>
        </is>
      </c>
      <c r="W79" s="12" t="inlineStr"/>
    </row>
    <row r="80" ht="64" customHeight="1">
      <c r="A80" s="12" t="inlineStr">
        <is>
          <t>1.1.1</t>
        </is>
      </c>
      <c r="B80" s="12" t="inlineStr">
        <is>
          <t>Guideway and Civil - Guideway Structures</t>
        </is>
      </c>
      <c r="C80" s="12" t="inlineStr">
        <is>
          <t>Contractor Programme</t>
        </is>
      </c>
      <c r="D80" s="12" t="inlineStr">
        <is>
          <t>SCH-01-103</t>
        </is>
      </c>
      <c r="E80" s="12" t="inlineStr">
        <is>
          <t>East portal: drainage tie-in - turnover</t>
        </is>
      </c>
      <c r="F80" s="12" t="inlineStr">
        <is>
          <t>ONE_TO_ONE</t>
        </is>
      </c>
      <c r="G80" s="12" t="inlineStr">
        <is>
          <t>APPROVED</t>
        </is>
      </c>
      <c r="H80" s="12" t="inlineStr">
        <is>
          <t>New</t>
        </is>
      </c>
      <c r="I80" s="12" t="inlineStr">
        <is>
          <t>Source assignment -- not individually reviewed</t>
        </is>
      </c>
      <c r="J80" s="12" t="inlineStr"/>
      <c r="K80" s="12" t="inlineStr">
        <is>
          <t>Source assignment</t>
        </is>
      </c>
      <c r="L80" s="12" t="inlineStr"/>
      <c r="M80" s="12" t="inlineStr">
        <is>
          <t>Initial</t>
        </is>
      </c>
      <c r="N80" s="12" t="inlineStr">
        <is>
          <t>Rev 0</t>
        </is>
      </c>
      <c r="O80" s="12" t="inlineStr">
        <is>
          <t>R103-v1</t>
        </is>
      </c>
      <c r="P80" s="12" t="inlineStr"/>
      <c r="Q80" s="12" t="inlineStr"/>
      <c r="R80" s="12" t="inlineStr"/>
      <c r="S80" s="12" t="inlineStr"/>
      <c r="T80" s="12" t="inlineStr"/>
      <c r="U80" s="12" t="inlineStr"/>
      <c r="V80" s="12" t="inlineStr">
        <is>
          <t>WBS Code = 1.1.1</t>
        </is>
      </c>
      <c r="W80" s="12" t="inlineStr"/>
    </row>
    <row r="81" ht="64" customHeight="1">
      <c r="A81" s="12" t="inlineStr">
        <is>
          <t>1.1.1</t>
        </is>
      </c>
      <c r="B81" s="12" t="inlineStr">
        <is>
          <t>Guideway and Civil - Guideway Structures</t>
        </is>
      </c>
      <c r="C81" s="12" t="inlineStr">
        <is>
          <t>Contractor Programme</t>
        </is>
      </c>
      <c r="D81" s="12" t="inlineStr">
        <is>
          <t>SCH-01-104</t>
        </is>
      </c>
      <c r="E81" s="12" t="inlineStr">
        <is>
          <t>River crossing: utility relocation - release</t>
        </is>
      </c>
      <c r="F81" s="12" t="inlineStr">
        <is>
          <t>ONE_TO_ONE</t>
        </is>
      </c>
      <c r="G81" s="12" t="inlineStr">
        <is>
          <t>APPROVED</t>
        </is>
      </c>
      <c r="H81" s="12" t="inlineStr">
        <is>
          <t>New</t>
        </is>
      </c>
      <c r="I81" s="12" t="inlineStr">
        <is>
          <t>Source assignment -- not individually reviewed</t>
        </is>
      </c>
      <c r="J81" s="12" t="inlineStr"/>
      <c r="K81" s="12" t="inlineStr">
        <is>
          <t>Source assignment</t>
        </is>
      </c>
      <c r="L81" s="12" t="inlineStr"/>
      <c r="M81" s="12" t="inlineStr">
        <is>
          <t>Initial</t>
        </is>
      </c>
      <c r="N81" s="12" t="inlineStr">
        <is>
          <t>Rev 0</t>
        </is>
      </c>
      <c r="O81" s="12" t="inlineStr">
        <is>
          <t>R104-v1</t>
        </is>
      </c>
      <c r="P81" s="12" t="inlineStr"/>
      <c r="Q81" s="12" t="inlineStr"/>
      <c r="R81" s="12" t="inlineStr"/>
      <c r="S81" s="12" t="inlineStr"/>
      <c r="T81" s="12" t="inlineStr"/>
      <c r="U81" s="12" t="inlineStr"/>
      <c r="V81" s="12" t="inlineStr">
        <is>
          <t>WBS Code = 1.1.1</t>
        </is>
      </c>
      <c r="W81" s="12" t="inlineStr"/>
    </row>
    <row r="82" ht="64" customHeight="1">
      <c r="A82" s="12" t="inlineStr">
        <is>
          <t>1.1.1</t>
        </is>
      </c>
      <c r="B82" s="12" t="inlineStr">
        <is>
          <t>Guideway and Civil - Guideway Structures</t>
        </is>
      </c>
      <c r="C82" s="12" t="inlineStr">
        <is>
          <t>Contractor Programme</t>
        </is>
      </c>
      <c r="D82" s="12" t="inlineStr">
        <is>
          <t>SCH-01-106</t>
        </is>
      </c>
      <c r="E82" s="12" t="inlineStr">
        <is>
          <t>West approach: temporary traffic staging - installation</t>
        </is>
      </c>
      <c r="F82" s="12" t="inlineStr">
        <is>
          <t>ONE_TO_ONE</t>
        </is>
      </c>
      <c r="G82" s="12" t="inlineStr">
        <is>
          <t>APPROVED</t>
        </is>
      </c>
      <c r="H82" s="12" t="inlineStr">
        <is>
          <t>New</t>
        </is>
      </c>
      <c r="I82" s="12" t="inlineStr">
        <is>
          <t>Source assignment -- not individually reviewed</t>
        </is>
      </c>
      <c r="J82" s="12" t="inlineStr"/>
      <c r="K82" s="12" t="inlineStr">
        <is>
          <t>Source assignment</t>
        </is>
      </c>
      <c r="L82" s="12" t="inlineStr"/>
      <c r="M82" s="12" t="inlineStr">
        <is>
          <t>Initial</t>
        </is>
      </c>
      <c r="N82" s="12" t="inlineStr">
        <is>
          <t>Rev 0</t>
        </is>
      </c>
      <c r="O82" s="12" t="inlineStr">
        <is>
          <t>R106-v1</t>
        </is>
      </c>
      <c r="P82" s="12" t="inlineStr"/>
      <c r="Q82" s="12" t="inlineStr"/>
      <c r="R82" s="12" t="inlineStr"/>
      <c r="S82" s="12" t="inlineStr"/>
      <c r="T82" s="12" t="inlineStr"/>
      <c r="U82" s="12" t="inlineStr"/>
      <c r="V82" s="12" t="inlineStr">
        <is>
          <t>WBS Code = 1.1.1</t>
        </is>
      </c>
      <c r="W82" s="12" t="inlineStr"/>
    </row>
    <row r="83" ht="64" customHeight="1">
      <c r="A83" s="12" t="inlineStr">
        <is>
          <t>1.1.1</t>
        </is>
      </c>
      <c r="B83" s="12" t="inlineStr">
        <is>
          <t>Guideway and Civil - Guideway Structures</t>
        </is>
      </c>
      <c r="C83" s="12" t="inlineStr">
        <is>
          <t>Contractor Programme</t>
        </is>
      </c>
      <c r="D83" s="12" t="inlineStr">
        <is>
          <t>SCH-01-107</t>
        </is>
      </c>
      <c r="E83" s="12" t="inlineStr">
        <is>
          <t>Depot lead: guideway pier reinforcement - inspection</t>
        </is>
      </c>
      <c r="F83" s="12" t="inlineStr">
        <is>
          <t>ONE_TO_ONE</t>
        </is>
      </c>
      <c r="G83" s="12" t="inlineStr">
        <is>
          <t>APPROVED</t>
        </is>
      </c>
      <c r="H83" s="12" t="inlineStr">
        <is>
          <t>New</t>
        </is>
      </c>
      <c r="I83" s="12" t="inlineStr">
        <is>
          <t>Source assignment -- not individually reviewed</t>
        </is>
      </c>
      <c r="J83" s="12" t="inlineStr"/>
      <c r="K83" s="12" t="inlineStr">
        <is>
          <t>Source assignment</t>
        </is>
      </c>
      <c r="L83" s="12" t="inlineStr"/>
      <c r="M83" s="12" t="inlineStr">
        <is>
          <t>Initial</t>
        </is>
      </c>
      <c r="N83" s="12" t="inlineStr">
        <is>
          <t>Rev 0</t>
        </is>
      </c>
      <c r="O83" s="12" t="inlineStr">
        <is>
          <t>R107-v1</t>
        </is>
      </c>
      <c r="P83" s="12" t="inlineStr"/>
      <c r="Q83" s="12" t="inlineStr"/>
      <c r="R83" s="12" t="inlineStr"/>
      <c r="S83" s="12" t="inlineStr"/>
      <c r="T83" s="12" t="inlineStr"/>
      <c r="U83" s="12" t="inlineStr"/>
      <c r="V83" s="12" t="inlineStr">
        <is>
          <t>WBS Code = 1.1.1</t>
        </is>
      </c>
      <c r="W83" s="12" t="inlineStr"/>
    </row>
    <row r="84" ht="64" customHeight="1">
      <c r="A84" s="12" t="inlineStr">
        <is>
          <t>1.1.1</t>
        </is>
      </c>
      <c r="B84" s="12" t="inlineStr">
        <is>
          <t>Guideway and Civil - Guideway Structures</t>
        </is>
      </c>
      <c r="C84" s="12" t="inlineStr">
        <is>
          <t>Contractor Programme</t>
        </is>
      </c>
      <c r="D84" s="12" t="inlineStr">
        <is>
          <t>SCH-01-109</t>
        </is>
      </c>
      <c r="E84" s="12" t="inlineStr">
        <is>
          <t>River crossing: drilled-shaft installation - release</t>
        </is>
      </c>
      <c r="F84" s="12" t="inlineStr">
        <is>
          <t>ONE_TO_ONE</t>
        </is>
      </c>
      <c r="G84" s="12" t="inlineStr">
        <is>
          <t>APPROVED</t>
        </is>
      </c>
      <c r="H84" s="12" t="inlineStr">
        <is>
          <t>New</t>
        </is>
      </c>
      <c r="I84" s="12" t="inlineStr">
        <is>
          <t>Source assignment -- not individually reviewed</t>
        </is>
      </c>
      <c r="J84" s="12" t="inlineStr"/>
      <c r="K84" s="12" t="inlineStr">
        <is>
          <t>Source assignment</t>
        </is>
      </c>
      <c r="L84" s="12" t="inlineStr"/>
      <c r="M84" s="12" t="inlineStr">
        <is>
          <t>Initial</t>
        </is>
      </c>
      <c r="N84" s="12" t="inlineStr">
        <is>
          <t>Rev 0</t>
        </is>
      </c>
      <c r="O84" s="12" t="inlineStr">
        <is>
          <t>R109-v1</t>
        </is>
      </c>
      <c r="P84" s="12" t="inlineStr"/>
      <c r="Q84" s="12" t="inlineStr"/>
      <c r="R84" s="12" t="inlineStr"/>
      <c r="S84" s="12" t="inlineStr"/>
      <c r="T84" s="12" t="inlineStr"/>
      <c r="U84" s="12" t="inlineStr"/>
      <c r="V84" s="12" t="inlineStr">
        <is>
          <t>WBS Code = 1.1.1</t>
        </is>
      </c>
      <c r="W84" s="12" t="inlineStr"/>
    </row>
    <row r="85" ht="64" customHeight="1">
      <c r="A85" s="12" t="inlineStr">
        <is>
          <t>1.1.1</t>
        </is>
      </c>
      <c r="B85" s="12" t="inlineStr">
        <is>
          <t>Guideway and Civil - Guideway Structures</t>
        </is>
      </c>
      <c r="C85" s="12" t="inlineStr">
        <is>
          <t>Contractor Programme</t>
        </is>
      </c>
      <c r="D85" s="12" t="inlineStr">
        <is>
          <t>SCH-01-110</t>
        </is>
      </c>
      <c r="E85" s="12" t="inlineStr">
        <is>
          <t>Central guideway: retaining-wall excavation - field start</t>
        </is>
      </c>
      <c r="F85" s="12" t="inlineStr">
        <is>
          <t>ONE_TO_ONE</t>
        </is>
      </c>
      <c r="G85" s="12" t="inlineStr">
        <is>
          <t>APPROVED</t>
        </is>
      </c>
      <c r="H85" s="12" t="inlineStr">
        <is>
          <t>New</t>
        </is>
      </c>
      <c r="I85" s="12" t="inlineStr">
        <is>
          <t>Source assignment -- not individually reviewed</t>
        </is>
      </c>
      <c r="J85" s="12" t="inlineStr"/>
      <c r="K85" s="12" t="inlineStr">
        <is>
          <t>Source assignment</t>
        </is>
      </c>
      <c r="L85" s="12" t="inlineStr"/>
      <c r="M85" s="12" t="inlineStr">
        <is>
          <t>Initial</t>
        </is>
      </c>
      <c r="N85" s="12" t="inlineStr">
        <is>
          <t>Rev 0</t>
        </is>
      </c>
      <c r="O85" s="12" t="inlineStr">
        <is>
          <t>R110-v1</t>
        </is>
      </c>
      <c r="P85" s="12" t="inlineStr"/>
      <c r="Q85" s="12" t="inlineStr"/>
      <c r="R85" s="12" t="inlineStr"/>
      <c r="S85" s="12" t="inlineStr"/>
      <c r="T85" s="12" t="inlineStr"/>
      <c r="U85" s="12" t="inlineStr"/>
      <c r="V85" s="12" t="inlineStr">
        <is>
          <t>WBS Code = 1.1.1</t>
        </is>
      </c>
      <c r="W85" s="12" t="inlineStr"/>
    </row>
    <row r="86" ht="64" customHeight="1">
      <c r="A86" s="12" t="inlineStr">
        <is>
          <t>1.1.1</t>
        </is>
      </c>
      <c r="B86" s="12" t="inlineStr">
        <is>
          <t>Guideway and Civil - Guideway Structures</t>
        </is>
      </c>
      <c r="C86" s="12" t="inlineStr">
        <is>
          <t>Contractor Programme</t>
        </is>
      </c>
      <c r="D86" s="12" t="inlineStr">
        <is>
          <t>SCH-01-112</t>
        </is>
      </c>
      <c r="E86" s="12" t="inlineStr">
        <is>
          <t>Depot lead: utility relocation - inspection</t>
        </is>
      </c>
      <c r="F86" s="12" t="inlineStr">
        <is>
          <t>ONE_TO_ONE</t>
        </is>
      </c>
      <c r="G86" s="12" t="inlineStr">
        <is>
          <t>APPROVED</t>
        </is>
      </c>
      <c r="H86" s="12" t="inlineStr">
        <is>
          <t>New</t>
        </is>
      </c>
      <c r="I86" s="12" t="inlineStr">
        <is>
          <t>Source assignment -- not individually reviewed</t>
        </is>
      </c>
      <c r="J86" s="12" t="inlineStr"/>
      <c r="K86" s="12" t="inlineStr">
        <is>
          <t>Source assignment</t>
        </is>
      </c>
      <c r="L86" s="12" t="inlineStr"/>
      <c r="M86" s="12" t="inlineStr">
        <is>
          <t>Initial</t>
        </is>
      </c>
      <c r="N86" s="12" t="inlineStr">
        <is>
          <t>Rev 0</t>
        </is>
      </c>
      <c r="O86" s="12" t="inlineStr">
        <is>
          <t>R112-v1</t>
        </is>
      </c>
      <c r="P86" s="12" t="inlineStr"/>
      <c r="Q86" s="12" t="inlineStr"/>
      <c r="R86" s="12" t="inlineStr"/>
      <c r="S86" s="12" t="inlineStr"/>
      <c r="T86" s="12" t="inlineStr"/>
      <c r="U86" s="12" t="inlineStr"/>
      <c r="V86" s="12" t="inlineStr">
        <is>
          <t>WBS Code = 1.1.1</t>
        </is>
      </c>
      <c r="W86" s="12" t="inlineStr"/>
    </row>
    <row r="87" ht="64" customHeight="1">
      <c r="A87" s="12" t="inlineStr">
        <is>
          <t>1.1.1</t>
        </is>
      </c>
      <c r="B87" s="12" t="inlineStr">
        <is>
          <t>Guideway and Civil - Guideway Structures</t>
        </is>
      </c>
      <c r="C87" s="12" t="inlineStr">
        <is>
          <t>Contractor Programme</t>
        </is>
      </c>
      <c r="D87" s="12" t="inlineStr">
        <is>
          <t>SCH-01-113</t>
        </is>
      </c>
      <c r="E87" s="12" t="inlineStr">
        <is>
          <t>East portal: track-slab survey - turnover</t>
        </is>
      </c>
      <c r="F87" s="12" t="inlineStr">
        <is>
          <t>ONE_TO_ONE</t>
        </is>
      </c>
      <c r="G87" s="12" t="inlineStr">
        <is>
          <t>APPROVED</t>
        </is>
      </c>
      <c r="H87" s="12" t="inlineStr">
        <is>
          <t>New</t>
        </is>
      </c>
      <c r="I87" s="12" t="inlineStr">
        <is>
          <t>Source assignment -- not individually reviewed</t>
        </is>
      </c>
      <c r="J87" s="12" t="inlineStr"/>
      <c r="K87" s="12" t="inlineStr">
        <is>
          <t>Source assignment</t>
        </is>
      </c>
      <c r="L87" s="12" t="inlineStr"/>
      <c r="M87" s="12" t="inlineStr">
        <is>
          <t>Initial</t>
        </is>
      </c>
      <c r="N87" s="12" t="inlineStr">
        <is>
          <t>Rev 0</t>
        </is>
      </c>
      <c r="O87" s="12" t="inlineStr">
        <is>
          <t>R113-v1</t>
        </is>
      </c>
      <c r="P87" s="12" t="inlineStr"/>
      <c r="Q87" s="12" t="inlineStr"/>
      <c r="R87" s="12" t="inlineStr"/>
      <c r="S87" s="12" t="inlineStr"/>
      <c r="T87" s="12" t="inlineStr"/>
      <c r="U87" s="12" t="inlineStr"/>
      <c r="V87" s="12" t="inlineStr">
        <is>
          <t>WBS Code = 1.1.1</t>
        </is>
      </c>
      <c r="W87" s="12" t="inlineStr"/>
    </row>
    <row r="88" ht="64" customHeight="1">
      <c r="A88" s="12" t="inlineStr">
        <is>
          <t>1.1.1</t>
        </is>
      </c>
      <c r="B88" s="12" t="inlineStr">
        <is>
          <t>Guideway and Civil - Guideway Structures</t>
        </is>
      </c>
      <c r="C88" s="12" t="inlineStr">
        <is>
          <t>Contractor Programme</t>
        </is>
      </c>
      <c r="D88" s="12" t="inlineStr">
        <is>
          <t>SCH-01-115</t>
        </is>
      </c>
      <c r="E88" s="12" t="inlineStr">
        <is>
          <t>Central guideway: guideway pier reinforcement - field start</t>
        </is>
      </c>
      <c r="F88" s="12" t="inlineStr">
        <is>
          <t>ONE_TO_ONE</t>
        </is>
      </c>
      <c r="G88" s="12" t="inlineStr">
        <is>
          <t>APPROVED</t>
        </is>
      </c>
      <c r="H88" s="12" t="inlineStr">
        <is>
          <t>New</t>
        </is>
      </c>
      <c r="I88" s="12" t="inlineStr">
        <is>
          <t>Source assignment -- not individually reviewed</t>
        </is>
      </c>
      <c r="J88" s="12" t="inlineStr"/>
      <c r="K88" s="12" t="inlineStr">
        <is>
          <t>Source assignment</t>
        </is>
      </c>
      <c r="L88" s="12" t="inlineStr"/>
      <c r="M88" s="12" t="inlineStr">
        <is>
          <t>Initial</t>
        </is>
      </c>
      <c r="N88" s="12" t="inlineStr">
        <is>
          <t>Rev 0</t>
        </is>
      </c>
      <c r="O88" s="12" t="inlineStr">
        <is>
          <t>R115-v1</t>
        </is>
      </c>
      <c r="P88" s="12" t="inlineStr"/>
      <c r="Q88" s="12" t="inlineStr"/>
      <c r="R88" s="12" t="inlineStr"/>
      <c r="S88" s="12" t="inlineStr"/>
      <c r="T88" s="12" t="inlineStr"/>
      <c r="U88" s="12" t="inlineStr"/>
      <c r="V88" s="12" t="inlineStr">
        <is>
          <t>WBS Code = 1.1.1</t>
        </is>
      </c>
      <c r="W88" s="12" t="inlineStr"/>
    </row>
    <row r="89" ht="64" customHeight="1">
      <c r="A89" s="12" t="inlineStr">
        <is>
          <t>1.1.1</t>
        </is>
      </c>
      <c r="B89" s="12" t="inlineStr">
        <is>
          <t>Guideway and Civil - Guideway Structures</t>
        </is>
      </c>
      <c r="C89" s="12" t="inlineStr">
        <is>
          <t>Contractor Programme</t>
        </is>
      </c>
      <c r="D89" s="12" t="inlineStr">
        <is>
          <t>SCH-01-116</t>
        </is>
      </c>
      <c r="E89" s="12" t="inlineStr">
        <is>
          <t>West approach: road restoration - installation</t>
        </is>
      </c>
      <c r="F89" s="12" t="inlineStr">
        <is>
          <t>ONE_TO_ONE</t>
        </is>
      </c>
      <c r="G89" s="12" t="inlineStr">
        <is>
          <t>APPROVED</t>
        </is>
      </c>
      <c r="H89" s="12" t="inlineStr">
        <is>
          <t>New</t>
        </is>
      </c>
      <c r="I89" s="12" t="inlineStr">
        <is>
          <t>Source assignment -- not individually reviewed</t>
        </is>
      </c>
      <c r="J89" s="12" t="inlineStr"/>
      <c r="K89" s="12" t="inlineStr">
        <is>
          <t>Source assignment</t>
        </is>
      </c>
      <c r="L89" s="12" t="inlineStr"/>
      <c r="M89" s="12" t="inlineStr">
        <is>
          <t>Initial</t>
        </is>
      </c>
      <c r="N89" s="12" t="inlineStr">
        <is>
          <t>Rev 0</t>
        </is>
      </c>
      <c r="O89" s="12" t="inlineStr">
        <is>
          <t>R116-v1</t>
        </is>
      </c>
      <c r="P89" s="12" t="inlineStr"/>
      <c r="Q89" s="12" t="inlineStr"/>
      <c r="R89" s="12" t="inlineStr"/>
      <c r="S89" s="12" t="inlineStr"/>
      <c r="T89" s="12" t="inlineStr"/>
      <c r="U89" s="12" t="inlineStr"/>
      <c r="V89" s="12" t="inlineStr">
        <is>
          <t>WBS Code = 1.1.1</t>
        </is>
      </c>
      <c r="W89" s="12" t="inlineStr"/>
    </row>
    <row r="90" ht="64" customHeight="1">
      <c r="A90" s="12" t="inlineStr">
        <is>
          <t>1.1.1</t>
        </is>
      </c>
      <c r="B90" s="12" t="inlineStr">
        <is>
          <t>Guideway and Civil - Guideway Structures</t>
        </is>
      </c>
      <c r="C90" s="12" t="inlineStr">
        <is>
          <t>Contractor Programme</t>
        </is>
      </c>
      <c r="D90" s="12" t="inlineStr">
        <is>
          <t>SCH-01-118</t>
        </is>
      </c>
      <c r="E90" s="12" t="inlineStr">
        <is>
          <t>East portal: retaining-wall excavation - turnover</t>
        </is>
      </c>
      <c r="F90" s="12" t="inlineStr">
        <is>
          <t>ONE_TO_ONE</t>
        </is>
      </c>
      <c r="G90" s="12" t="inlineStr">
        <is>
          <t>APPROVED</t>
        </is>
      </c>
      <c r="H90" s="12" t="inlineStr">
        <is>
          <t>New</t>
        </is>
      </c>
      <c r="I90" s="12" t="inlineStr">
        <is>
          <t>Source assignment -- not individually reviewed</t>
        </is>
      </c>
      <c r="J90" s="12" t="inlineStr"/>
      <c r="K90" s="12" t="inlineStr">
        <is>
          <t>Source assignment</t>
        </is>
      </c>
      <c r="L90" s="12" t="inlineStr"/>
      <c r="M90" s="12" t="inlineStr">
        <is>
          <t>Initial</t>
        </is>
      </c>
      <c r="N90" s="12" t="inlineStr">
        <is>
          <t>Rev 0</t>
        </is>
      </c>
      <c r="O90" s="12" t="inlineStr">
        <is>
          <t>R118-v1</t>
        </is>
      </c>
      <c r="P90" s="12" t="inlineStr"/>
      <c r="Q90" s="12" t="inlineStr"/>
      <c r="R90" s="12" t="inlineStr"/>
      <c r="S90" s="12" t="inlineStr"/>
      <c r="T90" s="12" t="inlineStr"/>
      <c r="U90" s="12" t="inlineStr"/>
      <c r="V90" s="12" t="inlineStr">
        <is>
          <t>WBS Code = 1.1.1</t>
        </is>
      </c>
      <c r="W90" s="12" t="inlineStr"/>
    </row>
    <row r="91" ht="64" customHeight="1">
      <c r="A91" s="12" t="inlineStr">
        <is>
          <t>1.1.1</t>
        </is>
      </c>
      <c r="B91" s="12" t="inlineStr">
        <is>
          <t>Guideway and Civil - Guideway Structures</t>
        </is>
      </c>
      <c r="C91" s="12" t="inlineStr">
        <is>
          <t>Contractor Programme</t>
        </is>
      </c>
      <c r="D91" s="12" t="inlineStr">
        <is>
          <t>SCH-01-119</t>
        </is>
      </c>
      <c r="E91" s="12" t="inlineStr">
        <is>
          <t>River crossing: drainage tie-in - release</t>
        </is>
      </c>
      <c r="F91" s="12" t="inlineStr">
        <is>
          <t>ONE_TO_ONE</t>
        </is>
      </c>
      <c r="G91" s="12" t="inlineStr">
        <is>
          <t>APPROVED</t>
        </is>
      </c>
      <c r="H91" s="12" t="inlineStr">
        <is>
          <t>New</t>
        </is>
      </c>
      <c r="I91" s="12" t="inlineStr">
        <is>
          <t>Source assignment -- not individually reviewed</t>
        </is>
      </c>
      <c r="J91" s="12" t="inlineStr"/>
      <c r="K91" s="12" t="inlineStr">
        <is>
          <t>Source assignment</t>
        </is>
      </c>
      <c r="L91" s="12" t="inlineStr"/>
      <c r="M91" s="12" t="inlineStr">
        <is>
          <t>Initial</t>
        </is>
      </c>
      <c r="N91" s="12" t="inlineStr">
        <is>
          <t>Rev 0</t>
        </is>
      </c>
      <c r="O91" s="12" t="inlineStr">
        <is>
          <t>R119-v1</t>
        </is>
      </c>
      <c r="P91" s="12" t="inlineStr"/>
      <c r="Q91" s="12" t="inlineStr"/>
      <c r="R91" s="12" t="inlineStr"/>
      <c r="S91" s="12" t="inlineStr"/>
      <c r="T91" s="12" t="inlineStr"/>
      <c r="U91" s="12" t="inlineStr"/>
      <c r="V91" s="12" t="inlineStr">
        <is>
          <t>WBS Code = 1.1.1</t>
        </is>
      </c>
      <c r="W91" s="12" t="inlineStr"/>
    </row>
    <row r="92" ht="64" customHeight="1">
      <c r="A92" s="12" t="inlineStr">
        <is>
          <t>1.1.1</t>
        </is>
      </c>
      <c r="B92" s="12" t="inlineStr">
        <is>
          <t>Guideway and Civil - Guideway Structures</t>
        </is>
      </c>
      <c r="C92" s="12" t="inlineStr">
        <is>
          <t>Contractor Programme</t>
        </is>
      </c>
      <c r="D92" s="12" t="inlineStr">
        <is>
          <t>SCH-01-121</t>
        </is>
      </c>
      <c r="E92" s="12" t="inlineStr">
        <is>
          <t>West approach: track-slab survey - installation</t>
        </is>
      </c>
      <c r="F92" s="12" t="inlineStr">
        <is>
          <t>ONE_TO_ONE</t>
        </is>
      </c>
      <c r="G92" s="12" t="inlineStr">
        <is>
          <t>APPROVED</t>
        </is>
      </c>
      <c r="H92" s="12" t="inlineStr">
        <is>
          <t>New</t>
        </is>
      </c>
      <c r="I92" s="12" t="inlineStr">
        <is>
          <t>Source assignment -- not individually reviewed</t>
        </is>
      </c>
      <c r="J92" s="12" t="inlineStr"/>
      <c r="K92" s="12" t="inlineStr">
        <is>
          <t>Source assignment</t>
        </is>
      </c>
      <c r="L92" s="12" t="inlineStr"/>
      <c r="M92" s="12" t="inlineStr">
        <is>
          <t>Initial</t>
        </is>
      </c>
      <c r="N92" s="12" t="inlineStr">
        <is>
          <t>Rev 0</t>
        </is>
      </c>
      <c r="O92" s="12" t="inlineStr">
        <is>
          <t>R121-v1</t>
        </is>
      </c>
      <c r="P92" s="12" t="inlineStr"/>
      <c r="Q92" s="12" t="inlineStr"/>
      <c r="R92" s="12" t="inlineStr"/>
      <c r="S92" s="12" t="inlineStr"/>
      <c r="T92" s="12" t="inlineStr"/>
      <c r="U92" s="12" t="inlineStr"/>
      <c r="V92" s="12" t="inlineStr">
        <is>
          <t>WBS Code = 1.1.1</t>
        </is>
      </c>
      <c r="W92" s="12" t="inlineStr"/>
    </row>
    <row r="93" ht="64" customHeight="1">
      <c r="A93" s="12" t="inlineStr">
        <is>
          <t>1.1.1</t>
        </is>
      </c>
      <c r="B93" s="12" t="inlineStr">
        <is>
          <t>Guideway and Civil - Guideway Structures</t>
        </is>
      </c>
      <c r="C93" s="12" t="inlineStr">
        <is>
          <t>Contractor Programme</t>
        </is>
      </c>
      <c r="D93" s="12" t="inlineStr">
        <is>
          <t>SCH-01-122</t>
        </is>
      </c>
      <c r="E93" s="12" t="inlineStr">
        <is>
          <t>Depot lead: temporary traffic staging - inspection</t>
        </is>
      </c>
      <c r="F93" s="12" t="inlineStr">
        <is>
          <t>ONE_TO_ONE</t>
        </is>
      </c>
      <c r="G93" s="12" t="inlineStr">
        <is>
          <t>APPROVED</t>
        </is>
      </c>
      <c r="H93" s="12" t="inlineStr">
        <is>
          <t>New</t>
        </is>
      </c>
      <c r="I93" s="12" t="inlineStr">
        <is>
          <t>Source assignment -- not individually reviewed</t>
        </is>
      </c>
      <c r="J93" s="12" t="inlineStr"/>
      <c r="K93" s="12" t="inlineStr">
        <is>
          <t>Source assignment</t>
        </is>
      </c>
      <c r="L93" s="12" t="inlineStr"/>
      <c r="M93" s="12" t="inlineStr">
        <is>
          <t>Initial</t>
        </is>
      </c>
      <c r="N93" s="12" t="inlineStr">
        <is>
          <t>Rev 0</t>
        </is>
      </c>
      <c r="O93" s="12" t="inlineStr">
        <is>
          <t>R122-v1</t>
        </is>
      </c>
      <c r="P93" s="12" t="inlineStr"/>
      <c r="Q93" s="12" t="inlineStr"/>
      <c r="R93" s="12" t="inlineStr"/>
      <c r="S93" s="12" t="inlineStr"/>
      <c r="T93" s="12" t="inlineStr"/>
      <c r="U93" s="12" t="inlineStr"/>
      <c r="V93" s="12" t="inlineStr">
        <is>
          <t>WBS Code = 1.1.1</t>
        </is>
      </c>
      <c r="W93" s="12" t="inlineStr"/>
    </row>
    <row r="94" ht="64" customHeight="1">
      <c r="A94" s="12" t="inlineStr">
        <is>
          <t>1.1.1</t>
        </is>
      </c>
      <c r="B94" s="12" t="inlineStr">
        <is>
          <t>Guideway and Civil - Guideway Structures</t>
        </is>
      </c>
      <c r="C94" s="12" t="inlineStr">
        <is>
          <t>Contractor Programme</t>
        </is>
      </c>
      <c r="D94" s="12" t="inlineStr">
        <is>
          <t>SCH-01-124</t>
        </is>
      </c>
      <c r="E94" s="12" t="inlineStr">
        <is>
          <t>River crossing: road restoration - release</t>
        </is>
      </c>
      <c r="F94" s="12" t="inlineStr">
        <is>
          <t>ONE_TO_ONE</t>
        </is>
      </c>
      <c r="G94" s="12" t="inlineStr">
        <is>
          <t>APPROVED</t>
        </is>
      </c>
      <c r="H94" s="12" t="inlineStr">
        <is>
          <t>New</t>
        </is>
      </c>
      <c r="I94" s="12" t="inlineStr">
        <is>
          <t>Source assignment -- not individually reviewed</t>
        </is>
      </c>
      <c r="J94" s="12" t="inlineStr"/>
      <c r="K94" s="12" t="inlineStr">
        <is>
          <t>Source assignment</t>
        </is>
      </c>
      <c r="L94" s="12" t="inlineStr"/>
      <c r="M94" s="12" t="inlineStr">
        <is>
          <t>Initial</t>
        </is>
      </c>
      <c r="N94" s="12" t="inlineStr">
        <is>
          <t>Rev 0</t>
        </is>
      </c>
      <c r="O94" s="12" t="inlineStr">
        <is>
          <t>R124-v1</t>
        </is>
      </c>
      <c r="P94" s="12" t="inlineStr"/>
      <c r="Q94" s="12" t="inlineStr"/>
      <c r="R94" s="12" t="inlineStr"/>
      <c r="S94" s="12" t="inlineStr"/>
      <c r="T94" s="12" t="inlineStr"/>
      <c r="U94" s="12" t="inlineStr"/>
      <c r="V94" s="12" t="inlineStr">
        <is>
          <t>WBS Code = 1.1.1</t>
        </is>
      </c>
      <c r="W94" s="12" t="inlineStr"/>
    </row>
    <row r="95" ht="64" customHeight="1">
      <c r="A95" s="12" t="inlineStr">
        <is>
          <t>1.1.1</t>
        </is>
      </c>
      <c r="B95" s="12" t="inlineStr">
        <is>
          <t>Guideway and Civil - Guideway Structures</t>
        </is>
      </c>
      <c r="C95" s="12" t="inlineStr">
        <is>
          <t>Contractor Programme</t>
        </is>
      </c>
      <c r="D95" s="12" t="inlineStr">
        <is>
          <t>SCH-01-125</t>
        </is>
      </c>
      <c r="E95" s="12" t="inlineStr">
        <is>
          <t>Central guideway: drilled-shaft installation - field start</t>
        </is>
      </c>
      <c r="F95" s="12" t="inlineStr">
        <is>
          <t>ONE_TO_ONE</t>
        </is>
      </c>
      <c r="G95" s="12" t="inlineStr">
        <is>
          <t>APPROVED</t>
        </is>
      </c>
      <c r="H95" s="12" t="inlineStr">
        <is>
          <t>New</t>
        </is>
      </c>
      <c r="I95" s="12" t="inlineStr">
        <is>
          <t>Source assignment -- not individually reviewed</t>
        </is>
      </c>
      <c r="J95" s="12" t="inlineStr"/>
      <c r="K95" s="12" t="inlineStr">
        <is>
          <t>Source assignment</t>
        </is>
      </c>
      <c r="L95" s="12" t="inlineStr"/>
      <c r="M95" s="12" t="inlineStr">
        <is>
          <t>Initial</t>
        </is>
      </c>
      <c r="N95" s="12" t="inlineStr">
        <is>
          <t>Rev 0</t>
        </is>
      </c>
      <c r="O95" s="12" t="inlineStr">
        <is>
          <t>R125-v1</t>
        </is>
      </c>
      <c r="P95" s="12" t="inlineStr"/>
      <c r="Q95" s="12" t="inlineStr"/>
      <c r="R95" s="12" t="inlineStr"/>
      <c r="S95" s="12" t="inlineStr"/>
      <c r="T95" s="12" t="inlineStr"/>
      <c r="U95" s="12" t="inlineStr"/>
      <c r="V95" s="12" t="inlineStr">
        <is>
          <t>WBS Code = 1.1.1</t>
        </is>
      </c>
      <c r="W95" s="12" t="inlineStr"/>
    </row>
    <row r="96" ht="64" customHeight="1">
      <c r="A96" s="12" t="inlineStr">
        <is>
          <t>1.1.1</t>
        </is>
      </c>
      <c r="B96" s="12" t="inlineStr">
        <is>
          <t>Guideway and Civil - Guideway Structures</t>
        </is>
      </c>
      <c r="C96" s="12" t="inlineStr">
        <is>
          <t>Contractor Programme</t>
        </is>
      </c>
      <c r="D96" s="12" t="inlineStr">
        <is>
          <t>SCH-01-127</t>
        </is>
      </c>
      <c r="E96" s="12" t="inlineStr">
        <is>
          <t>Depot lead: drainage tie-in - inspection</t>
        </is>
      </c>
      <c r="F96" s="12" t="inlineStr">
        <is>
          <t>ONE_TO_ONE</t>
        </is>
      </c>
      <c r="G96" s="12" t="inlineStr">
        <is>
          <t>APPROVED</t>
        </is>
      </c>
      <c r="H96" s="12" t="inlineStr">
        <is>
          <t>New</t>
        </is>
      </c>
      <c r="I96" s="12" t="inlineStr">
        <is>
          <t>Source assignment -- not individually reviewed</t>
        </is>
      </c>
      <c r="J96" s="12" t="inlineStr"/>
      <c r="K96" s="12" t="inlineStr">
        <is>
          <t>Source assignment</t>
        </is>
      </c>
      <c r="L96" s="12" t="inlineStr"/>
      <c r="M96" s="12" t="inlineStr">
        <is>
          <t>Initial</t>
        </is>
      </c>
      <c r="N96" s="12" t="inlineStr">
        <is>
          <t>Rev 0</t>
        </is>
      </c>
      <c r="O96" s="12" t="inlineStr">
        <is>
          <t>R127-v1</t>
        </is>
      </c>
      <c r="P96" s="12" t="inlineStr"/>
      <c r="Q96" s="12" t="inlineStr"/>
      <c r="R96" s="12" t="inlineStr"/>
      <c r="S96" s="12" t="inlineStr"/>
      <c r="T96" s="12" t="inlineStr"/>
      <c r="U96" s="12" t="inlineStr"/>
      <c r="V96" s="12" t="inlineStr">
        <is>
          <t>WBS Code = 1.1.1</t>
        </is>
      </c>
      <c r="W96" s="12" t="inlineStr"/>
    </row>
    <row r="97" ht="64" customHeight="1">
      <c r="A97" s="12" t="inlineStr">
        <is>
          <t>1.1.1</t>
        </is>
      </c>
      <c r="B97" s="12" t="inlineStr">
        <is>
          <t>Guideway and Civil - Guideway Structures</t>
        </is>
      </c>
      <c r="C97" s="12" t="inlineStr">
        <is>
          <t>Contractor Programme</t>
        </is>
      </c>
      <c r="D97" s="12" t="inlineStr">
        <is>
          <t>SCH-01-128</t>
        </is>
      </c>
      <c r="E97" s="12" t="inlineStr">
        <is>
          <t>East portal: utility relocation - turnover</t>
        </is>
      </c>
      <c r="F97" s="12" t="inlineStr">
        <is>
          <t>ONE_TO_ONE</t>
        </is>
      </c>
      <c r="G97" s="12" t="inlineStr">
        <is>
          <t>APPROVED</t>
        </is>
      </c>
      <c r="H97" s="12" t="inlineStr">
        <is>
          <t>New</t>
        </is>
      </c>
      <c r="I97" s="12" t="inlineStr">
        <is>
          <t>Source assignment -- not individually reviewed</t>
        </is>
      </c>
      <c r="J97" s="12" t="inlineStr"/>
      <c r="K97" s="12" t="inlineStr">
        <is>
          <t>Source assignment</t>
        </is>
      </c>
      <c r="L97" s="12" t="inlineStr"/>
      <c r="M97" s="12" t="inlineStr">
        <is>
          <t>Initial</t>
        </is>
      </c>
      <c r="N97" s="12" t="inlineStr">
        <is>
          <t>Rev 0</t>
        </is>
      </c>
      <c r="O97" s="12" t="inlineStr">
        <is>
          <t>R128-v1</t>
        </is>
      </c>
      <c r="P97" s="12" t="inlineStr"/>
      <c r="Q97" s="12" t="inlineStr"/>
      <c r="R97" s="12" t="inlineStr"/>
      <c r="S97" s="12" t="inlineStr"/>
      <c r="T97" s="12" t="inlineStr"/>
      <c r="U97" s="12" t="inlineStr"/>
      <c r="V97" s="12" t="inlineStr">
        <is>
          <t>WBS Code = 1.1.1</t>
        </is>
      </c>
      <c r="W97" s="12" t="inlineStr"/>
    </row>
    <row r="98" ht="64" customHeight="1">
      <c r="A98" s="12" t="inlineStr">
        <is>
          <t>1.1.1</t>
        </is>
      </c>
      <c r="B98" s="12" t="inlineStr">
        <is>
          <t>Guideway and Civil - Guideway Structures</t>
        </is>
      </c>
      <c r="C98" s="12" t="inlineStr">
        <is>
          <t>Contractor Programme</t>
        </is>
      </c>
      <c r="D98" s="12" t="inlineStr">
        <is>
          <t>SCH-01-130</t>
        </is>
      </c>
      <c r="E98" s="12" t="inlineStr">
        <is>
          <t>Central guideway: temporary traffic staging - field start</t>
        </is>
      </c>
      <c r="F98" s="12" t="inlineStr">
        <is>
          <t>ONE_TO_ONE</t>
        </is>
      </c>
      <c r="G98" s="12" t="inlineStr">
        <is>
          <t>APPROVED</t>
        </is>
      </c>
      <c r="H98" s="12" t="inlineStr">
        <is>
          <t>New</t>
        </is>
      </c>
      <c r="I98" s="12" t="inlineStr">
        <is>
          <t>Source assignment -- not individually reviewed</t>
        </is>
      </c>
      <c r="J98" s="12" t="inlineStr"/>
      <c r="K98" s="12" t="inlineStr">
        <is>
          <t>Source assignment</t>
        </is>
      </c>
      <c r="L98" s="12" t="inlineStr"/>
      <c r="M98" s="12" t="inlineStr">
        <is>
          <t>Initial</t>
        </is>
      </c>
      <c r="N98" s="12" t="inlineStr">
        <is>
          <t>Rev 0</t>
        </is>
      </c>
      <c r="O98" s="12" t="inlineStr">
        <is>
          <t>R130-v1</t>
        </is>
      </c>
      <c r="P98" s="12" t="inlineStr"/>
      <c r="Q98" s="12" t="inlineStr"/>
      <c r="R98" s="12" t="inlineStr"/>
      <c r="S98" s="12" t="inlineStr"/>
      <c r="T98" s="12" t="inlineStr"/>
      <c r="U98" s="12" t="inlineStr"/>
      <c r="V98" s="12" t="inlineStr">
        <is>
          <t>WBS Code = 1.1.1</t>
        </is>
      </c>
      <c r="W98" s="12" t="inlineStr"/>
    </row>
    <row r="99" ht="64" customHeight="1">
      <c r="A99" s="12" t="inlineStr">
        <is>
          <t>1.1.1</t>
        </is>
      </c>
      <c r="B99" s="12" t="inlineStr">
        <is>
          <t>Guideway and Civil - Guideway Structures</t>
        </is>
      </c>
      <c r="C99" s="12" t="inlineStr">
        <is>
          <t>Contractor Programme</t>
        </is>
      </c>
      <c r="D99" s="12" t="inlineStr">
        <is>
          <t>SCH-01-131</t>
        </is>
      </c>
      <c r="E99" s="12" t="inlineStr">
        <is>
          <t>West approach: guideway pier reinforcement - installation</t>
        </is>
      </c>
      <c r="F99" s="12" t="inlineStr">
        <is>
          <t>ONE_TO_ONE</t>
        </is>
      </c>
      <c r="G99" s="12" t="inlineStr">
        <is>
          <t>APPROVED</t>
        </is>
      </c>
      <c r="H99" s="12" t="inlineStr">
        <is>
          <t>New</t>
        </is>
      </c>
      <c r="I99" s="12" t="inlineStr">
        <is>
          <t>Source assignment -- not individually reviewed</t>
        </is>
      </c>
      <c r="J99" s="12" t="inlineStr"/>
      <c r="K99" s="12" t="inlineStr">
        <is>
          <t>Source assignment</t>
        </is>
      </c>
      <c r="L99" s="12" t="inlineStr"/>
      <c r="M99" s="12" t="inlineStr">
        <is>
          <t>Initial</t>
        </is>
      </c>
      <c r="N99" s="12" t="inlineStr">
        <is>
          <t>Rev 0</t>
        </is>
      </c>
      <c r="O99" s="12" t="inlineStr">
        <is>
          <t>R131-v1</t>
        </is>
      </c>
      <c r="P99" s="12" t="inlineStr"/>
      <c r="Q99" s="12" t="inlineStr"/>
      <c r="R99" s="12" t="inlineStr"/>
      <c r="S99" s="12" t="inlineStr"/>
      <c r="T99" s="12" t="inlineStr"/>
      <c r="U99" s="12" t="inlineStr"/>
      <c r="V99" s="12" t="inlineStr">
        <is>
          <t>WBS Code = 1.1.1</t>
        </is>
      </c>
      <c r="W99" s="12" t="inlineStr"/>
    </row>
    <row r="100" ht="64" customHeight="1">
      <c r="A100" s="12" t="inlineStr">
        <is>
          <t>1.1.1</t>
        </is>
      </c>
      <c r="B100" s="12" t="inlineStr">
        <is>
          <t>Guideway and Civil - Guideway Structures</t>
        </is>
      </c>
      <c r="C100" s="12" t="inlineStr">
        <is>
          <t>Contractor Programme</t>
        </is>
      </c>
      <c r="D100" s="12" t="inlineStr">
        <is>
          <t>SCH-01-133</t>
        </is>
      </c>
      <c r="E100" s="12" t="inlineStr">
        <is>
          <t>East portal: drilled-shaft installation - turnover</t>
        </is>
      </c>
      <c r="F100" s="12" t="inlineStr">
        <is>
          <t>ONE_TO_ONE</t>
        </is>
      </c>
      <c r="G100" s="12" t="inlineStr">
        <is>
          <t>APPROVED</t>
        </is>
      </c>
      <c r="H100" s="12" t="inlineStr">
        <is>
          <t>New</t>
        </is>
      </c>
      <c r="I100" s="12" t="inlineStr">
        <is>
          <t>Source assignment -- not individually reviewed</t>
        </is>
      </c>
      <c r="J100" s="12" t="inlineStr"/>
      <c r="K100" s="12" t="inlineStr">
        <is>
          <t>Source assignment</t>
        </is>
      </c>
      <c r="L100" s="12" t="inlineStr"/>
      <c r="M100" s="12" t="inlineStr">
        <is>
          <t>Initial</t>
        </is>
      </c>
      <c r="N100" s="12" t="inlineStr">
        <is>
          <t>Rev 0</t>
        </is>
      </c>
      <c r="O100" s="12" t="inlineStr">
        <is>
          <t>R133-v1</t>
        </is>
      </c>
      <c r="P100" s="12" t="inlineStr"/>
      <c r="Q100" s="12" t="inlineStr"/>
      <c r="R100" s="12" t="inlineStr"/>
      <c r="S100" s="12" t="inlineStr"/>
      <c r="T100" s="12" t="inlineStr"/>
      <c r="U100" s="12" t="inlineStr"/>
      <c r="V100" s="12" t="inlineStr">
        <is>
          <t>WBS Code = 1.1.1</t>
        </is>
      </c>
      <c r="W100" s="12" t="inlineStr"/>
    </row>
    <row r="101" ht="64" customHeight="1">
      <c r="A101" s="12" t="inlineStr">
        <is>
          <t>1.1.1</t>
        </is>
      </c>
      <c r="B101" s="12" t="inlineStr">
        <is>
          <t>Guideway and Civil - Guideway Structures</t>
        </is>
      </c>
      <c r="C101" s="12" t="inlineStr">
        <is>
          <t>Contractor Programme</t>
        </is>
      </c>
      <c r="D101" s="12" t="inlineStr">
        <is>
          <t>SCH-01-134</t>
        </is>
      </c>
      <c r="E101" s="12" t="inlineStr">
        <is>
          <t>River crossing: retaining-wall excavation - release</t>
        </is>
      </c>
      <c r="F101" s="12" t="inlineStr">
        <is>
          <t>ONE_TO_ONE</t>
        </is>
      </c>
      <c r="G101" s="12" t="inlineStr">
        <is>
          <t>APPROVED</t>
        </is>
      </c>
      <c r="H101" s="12" t="inlineStr">
        <is>
          <t>New</t>
        </is>
      </c>
      <c r="I101" s="12" t="inlineStr">
        <is>
          <t>Source assignment -- not individually reviewed</t>
        </is>
      </c>
      <c r="J101" s="12" t="inlineStr"/>
      <c r="K101" s="12" t="inlineStr">
        <is>
          <t>Source assignment</t>
        </is>
      </c>
      <c r="L101" s="12" t="inlineStr"/>
      <c r="M101" s="12" t="inlineStr">
        <is>
          <t>Initial</t>
        </is>
      </c>
      <c r="N101" s="12" t="inlineStr">
        <is>
          <t>Rev 0</t>
        </is>
      </c>
      <c r="O101" s="12" t="inlineStr">
        <is>
          <t>R134-v1</t>
        </is>
      </c>
      <c r="P101" s="12" t="inlineStr"/>
      <c r="Q101" s="12" t="inlineStr"/>
      <c r="R101" s="12" t="inlineStr"/>
      <c r="S101" s="12" t="inlineStr"/>
      <c r="T101" s="12" t="inlineStr"/>
      <c r="U101" s="12" t="inlineStr"/>
      <c r="V101" s="12" t="inlineStr">
        <is>
          <t>WBS Code = 1.1.1</t>
        </is>
      </c>
      <c r="W101" s="12" t="inlineStr"/>
    </row>
    <row r="102" ht="64" customHeight="1">
      <c r="A102" s="12" t="inlineStr">
        <is>
          <t>1.1.1</t>
        </is>
      </c>
      <c r="B102" s="12" t="inlineStr">
        <is>
          <t>Guideway and Civil - Guideway Structures</t>
        </is>
      </c>
      <c r="C102" s="12" t="inlineStr">
        <is>
          <t>Contractor Programme</t>
        </is>
      </c>
      <c r="D102" s="12" t="inlineStr">
        <is>
          <t>SCH-01-136</t>
        </is>
      </c>
      <c r="E102" s="12" t="inlineStr">
        <is>
          <t>West approach: utility relocation - installation</t>
        </is>
      </c>
      <c r="F102" s="12" t="inlineStr">
        <is>
          <t>ONE_TO_ONE</t>
        </is>
      </c>
      <c r="G102" s="12" t="inlineStr">
        <is>
          <t>APPROVED</t>
        </is>
      </c>
      <c r="H102" s="12" t="inlineStr">
        <is>
          <t>New</t>
        </is>
      </c>
      <c r="I102" s="12" t="inlineStr">
        <is>
          <t>Source assignment -- not individually reviewed</t>
        </is>
      </c>
      <c r="J102" s="12" t="inlineStr"/>
      <c r="K102" s="12" t="inlineStr">
        <is>
          <t>Source assignment</t>
        </is>
      </c>
      <c r="L102" s="12" t="inlineStr"/>
      <c r="M102" s="12" t="inlineStr">
        <is>
          <t>Initial</t>
        </is>
      </c>
      <c r="N102" s="12" t="inlineStr">
        <is>
          <t>Rev 0</t>
        </is>
      </c>
      <c r="O102" s="12" t="inlineStr">
        <is>
          <t>R136-v1</t>
        </is>
      </c>
      <c r="P102" s="12" t="inlineStr"/>
      <c r="Q102" s="12" t="inlineStr"/>
      <c r="R102" s="12" t="inlineStr"/>
      <c r="S102" s="12" t="inlineStr"/>
      <c r="T102" s="12" t="inlineStr"/>
      <c r="U102" s="12" t="inlineStr"/>
      <c r="V102" s="12" t="inlineStr">
        <is>
          <t>WBS Code = 1.1.1</t>
        </is>
      </c>
      <c r="W102" s="12" t="inlineStr"/>
    </row>
    <row r="103" ht="64" customHeight="1">
      <c r="A103" s="12" t="inlineStr">
        <is>
          <t>1.1.1</t>
        </is>
      </c>
      <c r="B103" s="12" t="inlineStr">
        <is>
          <t>Guideway and Civil - Guideway Structures</t>
        </is>
      </c>
      <c r="C103" s="12" t="inlineStr">
        <is>
          <t>Contractor Programme</t>
        </is>
      </c>
      <c r="D103" s="12" t="inlineStr">
        <is>
          <t>SCH-01-137</t>
        </is>
      </c>
      <c r="E103" s="12" t="inlineStr">
        <is>
          <t>Depot lead: track-slab survey - inspection</t>
        </is>
      </c>
      <c r="F103" s="12" t="inlineStr">
        <is>
          <t>ONE_TO_ONE</t>
        </is>
      </c>
      <c r="G103" s="12" t="inlineStr">
        <is>
          <t>APPROVED</t>
        </is>
      </c>
      <c r="H103" s="12" t="inlineStr">
        <is>
          <t>New</t>
        </is>
      </c>
      <c r="I103" s="12" t="inlineStr">
        <is>
          <t>Source assignment -- not individually reviewed</t>
        </is>
      </c>
      <c r="J103" s="12" t="inlineStr"/>
      <c r="K103" s="12" t="inlineStr">
        <is>
          <t>Source assignment</t>
        </is>
      </c>
      <c r="L103" s="12" t="inlineStr"/>
      <c r="M103" s="12" t="inlineStr">
        <is>
          <t>Initial</t>
        </is>
      </c>
      <c r="N103" s="12" t="inlineStr">
        <is>
          <t>Rev 0</t>
        </is>
      </c>
      <c r="O103" s="12" t="inlineStr">
        <is>
          <t>R137-v1</t>
        </is>
      </c>
      <c r="P103" s="12" t="inlineStr"/>
      <c r="Q103" s="12" t="inlineStr"/>
      <c r="R103" s="12" t="inlineStr"/>
      <c r="S103" s="12" t="inlineStr"/>
      <c r="T103" s="12" t="inlineStr"/>
      <c r="U103" s="12" t="inlineStr"/>
      <c r="V103" s="12" t="inlineStr">
        <is>
          <t>WBS Code = 1.1.1</t>
        </is>
      </c>
      <c r="W103" s="12" t="inlineStr"/>
    </row>
    <row r="104" ht="64" customHeight="1">
      <c r="A104" s="12" t="inlineStr">
        <is>
          <t>1.1.1</t>
        </is>
      </c>
      <c r="B104" s="12" t="inlineStr">
        <is>
          <t>Guideway and Civil - Guideway Structures</t>
        </is>
      </c>
      <c r="C104" s="12" t="inlineStr">
        <is>
          <t>Contractor Programme</t>
        </is>
      </c>
      <c r="D104" s="12" t="inlineStr">
        <is>
          <t>SCH-01-139</t>
        </is>
      </c>
      <c r="E104" s="12" t="inlineStr">
        <is>
          <t>River crossing: guideway pier reinforcement - release</t>
        </is>
      </c>
      <c r="F104" s="12" t="inlineStr">
        <is>
          <t>ONE_TO_ONE</t>
        </is>
      </c>
      <c r="G104" s="12" t="inlineStr">
        <is>
          <t>APPROVED</t>
        </is>
      </c>
      <c r="H104" s="12" t="inlineStr">
        <is>
          <t>New</t>
        </is>
      </c>
      <c r="I104" s="12" t="inlineStr">
        <is>
          <t>Source assignment -- not individually reviewed</t>
        </is>
      </c>
      <c r="J104" s="12" t="inlineStr"/>
      <c r="K104" s="12" t="inlineStr">
        <is>
          <t>Source assignment</t>
        </is>
      </c>
      <c r="L104" s="12" t="inlineStr"/>
      <c r="M104" s="12" t="inlineStr">
        <is>
          <t>Initial</t>
        </is>
      </c>
      <c r="N104" s="12" t="inlineStr">
        <is>
          <t>Rev 0</t>
        </is>
      </c>
      <c r="O104" s="12" t="inlineStr">
        <is>
          <t>R139-v1</t>
        </is>
      </c>
      <c r="P104" s="12" t="inlineStr"/>
      <c r="Q104" s="12" t="inlineStr"/>
      <c r="R104" s="12" t="inlineStr"/>
      <c r="S104" s="12" t="inlineStr"/>
      <c r="T104" s="12" t="inlineStr"/>
      <c r="U104" s="12" t="inlineStr"/>
      <c r="V104" s="12" t="inlineStr">
        <is>
          <t>WBS Code = 1.1.1</t>
        </is>
      </c>
      <c r="W104" s="12" t="inlineStr"/>
    </row>
    <row r="105" ht="64" customHeight="1">
      <c r="A105" s="12" t="inlineStr">
        <is>
          <t>1.1.1</t>
        </is>
      </c>
      <c r="B105" s="12" t="inlineStr">
        <is>
          <t>Guideway and Civil - Guideway Structures</t>
        </is>
      </c>
      <c r="C105" s="12" t="inlineStr">
        <is>
          <t>Contractor Programme</t>
        </is>
      </c>
      <c r="D105" s="12" t="inlineStr">
        <is>
          <t>SCH-01-140</t>
        </is>
      </c>
      <c r="E105" s="12" t="inlineStr">
        <is>
          <t>Central guideway: road restoration - field start</t>
        </is>
      </c>
      <c r="F105" s="12" t="inlineStr">
        <is>
          <t>ONE_TO_ONE</t>
        </is>
      </c>
      <c r="G105" s="12" t="inlineStr">
        <is>
          <t>APPROVED</t>
        </is>
      </c>
      <c r="H105" s="12" t="inlineStr">
        <is>
          <t>New</t>
        </is>
      </c>
      <c r="I105" s="12" t="inlineStr">
        <is>
          <t>Source assignment -- not individually reviewed</t>
        </is>
      </c>
      <c r="J105" s="12" t="inlineStr"/>
      <c r="K105" s="12" t="inlineStr">
        <is>
          <t>Source assignment</t>
        </is>
      </c>
      <c r="L105" s="12" t="inlineStr"/>
      <c r="M105" s="12" t="inlineStr">
        <is>
          <t>Initial</t>
        </is>
      </c>
      <c r="N105" s="12" t="inlineStr">
        <is>
          <t>Rev 0</t>
        </is>
      </c>
      <c r="O105" s="12" t="inlineStr">
        <is>
          <t>R140-v1</t>
        </is>
      </c>
      <c r="P105" s="12" t="inlineStr"/>
      <c r="Q105" s="12" t="inlineStr"/>
      <c r="R105" s="12" t="inlineStr"/>
      <c r="S105" s="12" t="inlineStr"/>
      <c r="T105" s="12" t="inlineStr"/>
      <c r="U105" s="12" t="inlineStr"/>
      <c r="V105" s="12" t="inlineStr">
        <is>
          <t>WBS Code = 1.1.1</t>
        </is>
      </c>
      <c r="W105" s="12" t="inlineStr"/>
    </row>
    <row r="106" ht="64" customHeight="1">
      <c r="A106" s="12" t="inlineStr">
        <is>
          <t>1.1.1</t>
        </is>
      </c>
      <c r="B106" s="12" t="inlineStr">
        <is>
          <t>Guideway and Civil - Guideway Structures</t>
        </is>
      </c>
      <c r="C106" s="12" t="inlineStr">
        <is>
          <t>Contractor Programme</t>
        </is>
      </c>
      <c r="D106" s="12" t="inlineStr">
        <is>
          <t>SCH-01-142</t>
        </is>
      </c>
      <c r="E106" s="12" t="inlineStr">
        <is>
          <t>Depot lead: retaining-wall excavation - inspection</t>
        </is>
      </c>
      <c r="F106" s="12" t="inlineStr">
        <is>
          <t>ONE_TO_ONE</t>
        </is>
      </c>
      <c r="G106" s="12" t="inlineStr">
        <is>
          <t>APPROVED</t>
        </is>
      </c>
      <c r="H106" s="12" t="inlineStr">
        <is>
          <t>New</t>
        </is>
      </c>
      <c r="I106" s="12" t="inlineStr">
        <is>
          <t>Source assignment -- not individually reviewed</t>
        </is>
      </c>
      <c r="J106" s="12" t="inlineStr"/>
      <c r="K106" s="12" t="inlineStr">
        <is>
          <t>Source assignment</t>
        </is>
      </c>
      <c r="L106" s="12" t="inlineStr"/>
      <c r="M106" s="12" t="inlineStr">
        <is>
          <t>Initial</t>
        </is>
      </c>
      <c r="N106" s="12" t="inlineStr">
        <is>
          <t>Rev 0</t>
        </is>
      </c>
      <c r="O106" s="12" t="inlineStr">
        <is>
          <t>R142-v1</t>
        </is>
      </c>
      <c r="P106" s="12" t="inlineStr"/>
      <c r="Q106" s="12" t="inlineStr"/>
      <c r="R106" s="12" t="inlineStr"/>
      <c r="S106" s="12" t="inlineStr"/>
      <c r="T106" s="12" t="inlineStr"/>
      <c r="U106" s="12" t="inlineStr"/>
      <c r="V106" s="12" t="inlineStr">
        <is>
          <t>WBS Code = 1.1.1</t>
        </is>
      </c>
      <c r="W106" s="12" t="inlineStr"/>
    </row>
    <row r="107" ht="64" customHeight="1">
      <c r="A107" s="12" t="inlineStr">
        <is>
          <t>1.1.1</t>
        </is>
      </c>
      <c r="B107" s="12" t="inlineStr">
        <is>
          <t>Guideway and Civil - Guideway Structures</t>
        </is>
      </c>
      <c r="C107" s="12" t="inlineStr">
        <is>
          <t>Contractor Programme</t>
        </is>
      </c>
      <c r="D107" s="12" t="inlineStr">
        <is>
          <t>SCH-01-143</t>
        </is>
      </c>
      <c r="E107" s="12" t="inlineStr">
        <is>
          <t>East portal: drainage tie-in - turnover</t>
        </is>
      </c>
      <c r="F107" s="12" t="inlineStr">
        <is>
          <t>ONE_TO_ONE</t>
        </is>
      </c>
      <c r="G107" s="12" t="inlineStr">
        <is>
          <t>APPROVED</t>
        </is>
      </c>
      <c r="H107" s="12" t="inlineStr">
        <is>
          <t>New</t>
        </is>
      </c>
      <c r="I107" s="12" t="inlineStr">
        <is>
          <t>Source assignment -- not individually reviewed</t>
        </is>
      </c>
      <c r="J107" s="12" t="inlineStr"/>
      <c r="K107" s="12" t="inlineStr">
        <is>
          <t>Source assignment</t>
        </is>
      </c>
      <c r="L107" s="12" t="inlineStr"/>
      <c r="M107" s="12" t="inlineStr">
        <is>
          <t>Initial</t>
        </is>
      </c>
      <c r="N107" s="12" t="inlineStr">
        <is>
          <t>Rev 0</t>
        </is>
      </c>
      <c r="O107" s="12" t="inlineStr">
        <is>
          <t>R143-v1</t>
        </is>
      </c>
      <c r="P107" s="12" t="inlineStr"/>
      <c r="Q107" s="12" t="inlineStr"/>
      <c r="R107" s="12" t="inlineStr"/>
      <c r="S107" s="12" t="inlineStr"/>
      <c r="T107" s="12" t="inlineStr"/>
      <c r="U107" s="12" t="inlineStr"/>
      <c r="V107" s="12" t="inlineStr">
        <is>
          <t>WBS Code = 1.1.1</t>
        </is>
      </c>
      <c r="W107" s="12" t="inlineStr"/>
    </row>
    <row r="108" ht="64" customHeight="1">
      <c r="A108" s="12" t="inlineStr">
        <is>
          <t>1.1.1</t>
        </is>
      </c>
      <c r="B108" s="12" t="inlineStr">
        <is>
          <t>Guideway and Civil - Guideway Structures</t>
        </is>
      </c>
      <c r="C108" s="12" t="inlineStr">
        <is>
          <t>Contractor Programme</t>
        </is>
      </c>
      <c r="D108" s="12" t="inlineStr">
        <is>
          <t>SCH-01-145</t>
        </is>
      </c>
      <c r="E108" s="12" t="inlineStr">
        <is>
          <t>Central guideway: track-slab survey - field start</t>
        </is>
      </c>
      <c r="F108" s="12" t="inlineStr">
        <is>
          <t>ONE_TO_ONE</t>
        </is>
      </c>
      <c r="G108" s="12" t="inlineStr">
        <is>
          <t>APPROVED</t>
        </is>
      </c>
      <c r="H108" s="12" t="inlineStr">
        <is>
          <t>New</t>
        </is>
      </c>
      <c r="I108" s="12" t="inlineStr">
        <is>
          <t>Source assignment -- not individually reviewed</t>
        </is>
      </c>
      <c r="J108" s="12" t="inlineStr"/>
      <c r="K108" s="12" t="inlineStr">
        <is>
          <t>Source assignment</t>
        </is>
      </c>
      <c r="L108" s="12" t="inlineStr"/>
      <c r="M108" s="12" t="inlineStr">
        <is>
          <t>Initial</t>
        </is>
      </c>
      <c r="N108" s="12" t="inlineStr">
        <is>
          <t>Rev 0</t>
        </is>
      </c>
      <c r="O108" s="12" t="inlineStr">
        <is>
          <t>R145-v1</t>
        </is>
      </c>
      <c r="P108" s="12" t="inlineStr"/>
      <c r="Q108" s="12" t="inlineStr"/>
      <c r="R108" s="12" t="inlineStr"/>
      <c r="S108" s="12" t="inlineStr"/>
      <c r="T108" s="12" t="inlineStr"/>
      <c r="U108" s="12" t="inlineStr"/>
      <c r="V108" s="12" t="inlineStr">
        <is>
          <t>WBS Code = 1.1.1</t>
        </is>
      </c>
      <c r="W108" s="12" t="inlineStr"/>
    </row>
    <row r="109" ht="64" customHeight="1">
      <c r="A109" s="12" t="inlineStr">
        <is>
          <t>1.1.1</t>
        </is>
      </c>
      <c r="B109" s="12" t="inlineStr">
        <is>
          <t>Guideway and Civil - Guideway Structures</t>
        </is>
      </c>
      <c r="C109" s="12" t="inlineStr">
        <is>
          <t>Contractor Programme</t>
        </is>
      </c>
      <c r="D109" s="12" t="inlineStr">
        <is>
          <t>SCH-01-146</t>
        </is>
      </c>
      <c r="E109" s="12" t="inlineStr">
        <is>
          <t>West approach: temporary traffic staging - installation</t>
        </is>
      </c>
      <c r="F109" s="12" t="inlineStr">
        <is>
          <t>ONE_TO_ONE</t>
        </is>
      </c>
      <c r="G109" s="12" t="inlineStr">
        <is>
          <t>APPROVED</t>
        </is>
      </c>
      <c r="H109" s="12" t="inlineStr">
        <is>
          <t>New</t>
        </is>
      </c>
      <c r="I109" s="12" t="inlineStr">
        <is>
          <t>Source assignment -- not individually reviewed</t>
        </is>
      </c>
      <c r="J109" s="12" t="inlineStr"/>
      <c r="K109" s="12" t="inlineStr">
        <is>
          <t>Source assignment</t>
        </is>
      </c>
      <c r="L109" s="12" t="inlineStr"/>
      <c r="M109" s="12" t="inlineStr">
        <is>
          <t>Initial</t>
        </is>
      </c>
      <c r="N109" s="12" t="inlineStr">
        <is>
          <t>Rev 0</t>
        </is>
      </c>
      <c r="O109" s="12" t="inlineStr">
        <is>
          <t>R146-v1</t>
        </is>
      </c>
      <c r="P109" s="12" t="inlineStr"/>
      <c r="Q109" s="12" t="inlineStr"/>
      <c r="R109" s="12" t="inlineStr"/>
      <c r="S109" s="12" t="inlineStr"/>
      <c r="T109" s="12" t="inlineStr"/>
      <c r="U109" s="12" t="inlineStr"/>
      <c r="V109" s="12" t="inlineStr">
        <is>
          <t>WBS Code = 1.1.1</t>
        </is>
      </c>
      <c r="W109" s="12" t="inlineStr"/>
    </row>
    <row r="110" ht="64" customHeight="1">
      <c r="A110" s="12" t="inlineStr">
        <is>
          <t>1.1.1</t>
        </is>
      </c>
      <c r="B110" s="12" t="inlineStr">
        <is>
          <t>Guideway and Civil - Guideway Structures</t>
        </is>
      </c>
      <c r="C110" s="12" t="inlineStr">
        <is>
          <t>Contractor Programme</t>
        </is>
      </c>
      <c r="D110" s="12" t="inlineStr">
        <is>
          <t>SCH-01-148</t>
        </is>
      </c>
      <c r="E110" s="12" t="inlineStr">
        <is>
          <t>East portal: road restoration - turnover</t>
        </is>
      </c>
      <c r="F110" s="12" t="inlineStr">
        <is>
          <t>ONE_TO_ONE</t>
        </is>
      </c>
      <c r="G110" s="12" t="inlineStr">
        <is>
          <t>APPROVED</t>
        </is>
      </c>
      <c r="H110" s="12" t="inlineStr">
        <is>
          <t>New</t>
        </is>
      </c>
      <c r="I110" s="12" t="inlineStr">
        <is>
          <t>Source assignment -- not individually reviewed</t>
        </is>
      </c>
      <c r="J110" s="12" t="inlineStr"/>
      <c r="K110" s="12" t="inlineStr">
        <is>
          <t>Source assignment</t>
        </is>
      </c>
      <c r="L110" s="12" t="inlineStr"/>
      <c r="M110" s="12" t="inlineStr">
        <is>
          <t>Initial</t>
        </is>
      </c>
      <c r="N110" s="12" t="inlineStr">
        <is>
          <t>Rev 0</t>
        </is>
      </c>
      <c r="O110" s="12" t="inlineStr">
        <is>
          <t>R148-v1</t>
        </is>
      </c>
      <c r="P110" s="12" t="inlineStr"/>
      <c r="Q110" s="12" t="inlineStr"/>
      <c r="R110" s="12" t="inlineStr"/>
      <c r="S110" s="12" t="inlineStr"/>
      <c r="T110" s="12" t="inlineStr"/>
      <c r="U110" s="12" t="inlineStr"/>
      <c r="V110" s="12" t="inlineStr">
        <is>
          <t>WBS Code = 1.1.1</t>
        </is>
      </c>
      <c r="W110" s="12" t="inlineStr"/>
    </row>
    <row r="111" ht="64" customHeight="1">
      <c r="A111" s="12" t="inlineStr">
        <is>
          <t>1.1.1</t>
        </is>
      </c>
      <c r="B111" s="12" t="inlineStr">
        <is>
          <t>Guideway and Civil - Guideway Structures</t>
        </is>
      </c>
      <c r="C111" s="12" t="inlineStr">
        <is>
          <t>Contractor Programme</t>
        </is>
      </c>
      <c r="D111" s="12" t="inlineStr">
        <is>
          <t>SCH-01-149</t>
        </is>
      </c>
      <c r="E111" s="12" t="inlineStr">
        <is>
          <t>River crossing: drilled-shaft installation - release</t>
        </is>
      </c>
      <c r="F111" s="12" t="inlineStr">
        <is>
          <t>ONE_TO_ONE</t>
        </is>
      </c>
      <c r="G111" s="12" t="inlineStr">
        <is>
          <t>APPROVED</t>
        </is>
      </c>
      <c r="H111" s="12" t="inlineStr">
        <is>
          <t>New</t>
        </is>
      </c>
      <c r="I111" s="12" t="inlineStr">
        <is>
          <t>Source assignment -- not individually reviewed</t>
        </is>
      </c>
      <c r="J111" s="12" t="inlineStr"/>
      <c r="K111" s="12" t="inlineStr">
        <is>
          <t>Source assignment</t>
        </is>
      </c>
      <c r="L111" s="12" t="inlineStr"/>
      <c r="M111" s="12" t="inlineStr">
        <is>
          <t>Initial</t>
        </is>
      </c>
      <c r="N111" s="12" t="inlineStr">
        <is>
          <t>Rev 0</t>
        </is>
      </c>
      <c r="O111" s="12" t="inlineStr">
        <is>
          <t>R149-v1</t>
        </is>
      </c>
      <c r="P111" s="12" t="inlineStr"/>
      <c r="Q111" s="12" t="inlineStr"/>
      <c r="R111" s="12" t="inlineStr"/>
      <c r="S111" s="12" t="inlineStr"/>
      <c r="T111" s="12" t="inlineStr"/>
      <c r="U111" s="12" t="inlineStr"/>
      <c r="V111" s="12" t="inlineStr">
        <is>
          <t>WBS Code = 1.1.1</t>
        </is>
      </c>
      <c r="W111" s="12" t="inlineStr"/>
    </row>
    <row r="112" ht="64" customHeight="1">
      <c r="A112" s="12" t="inlineStr">
        <is>
          <t>1.1.1</t>
        </is>
      </c>
      <c r="B112" s="12" t="inlineStr">
        <is>
          <t>Guideway and Civil - Guideway Structures</t>
        </is>
      </c>
      <c r="C112" s="12" t="inlineStr">
        <is>
          <t>Contractor Programme</t>
        </is>
      </c>
      <c r="D112" s="12" t="inlineStr">
        <is>
          <t>SCH-01-151</t>
        </is>
      </c>
      <c r="E112" s="12" t="inlineStr">
        <is>
          <t>West approach: drainage tie-in - installation</t>
        </is>
      </c>
      <c r="F112" s="12" t="inlineStr">
        <is>
          <t>ONE_TO_ONE</t>
        </is>
      </c>
      <c r="G112" s="12" t="inlineStr">
        <is>
          <t>APPROVED</t>
        </is>
      </c>
      <c r="H112" s="12" t="inlineStr">
        <is>
          <t>New</t>
        </is>
      </c>
      <c r="I112" s="12" t="inlineStr">
        <is>
          <t>Source assignment -- not individually reviewed</t>
        </is>
      </c>
      <c r="J112" s="12" t="inlineStr"/>
      <c r="K112" s="12" t="inlineStr">
        <is>
          <t>Source assignment</t>
        </is>
      </c>
      <c r="L112" s="12" t="inlineStr"/>
      <c r="M112" s="12" t="inlineStr">
        <is>
          <t>Initial</t>
        </is>
      </c>
      <c r="N112" s="12" t="inlineStr">
        <is>
          <t>Rev 0</t>
        </is>
      </c>
      <c r="O112" s="12" t="inlineStr">
        <is>
          <t>R151-v1</t>
        </is>
      </c>
      <c r="P112" s="12" t="inlineStr"/>
      <c r="Q112" s="12" t="inlineStr"/>
      <c r="R112" s="12" t="inlineStr"/>
      <c r="S112" s="12" t="inlineStr"/>
      <c r="T112" s="12" t="inlineStr"/>
      <c r="U112" s="12" t="inlineStr"/>
      <c r="V112" s="12" t="inlineStr">
        <is>
          <t>WBS Code = 1.1.1</t>
        </is>
      </c>
      <c r="W112" s="12" t="inlineStr"/>
    </row>
    <row r="113" ht="64" customHeight="1">
      <c r="A113" s="12" t="inlineStr">
        <is>
          <t>1.1.1</t>
        </is>
      </c>
      <c r="B113" s="12" t="inlineStr">
        <is>
          <t>Guideway and Civil - Guideway Structures</t>
        </is>
      </c>
      <c r="C113" s="12" t="inlineStr">
        <is>
          <t>Contractor Programme</t>
        </is>
      </c>
      <c r="D113" s="12" t="inlineStr">
        <is>
          <t>SCH-01-152</t>
        </is>
      </c>
      <c r="E113" s="12" t="inlineStr">
        <is>
          <t>Depot lead: utility relocation - inspection</t>
        </is>
      </c>
      <c r="F113" s="12" t="inlineStr">
        <is>
          <t>ONE_TO_ONE</t>
        </is>
      </c>
      <c r="G113" s="12" t="inlineStr">
        <is>
          <t>APPROVED</t>
        </is>
      </c>
      <c r="H113" s="12" t="inlineStr">
        <is>
          <t>New</t>
        </is>
      </c>
      <c r="I113" s="12" t="inlineStr">
        <is>
          <t>Source assignment -- not individually reviewed</t>
        </is>
      </c>
      <c r="J113" s="12" t="inlineStr"/>
      <c r="K113" s="12" t="inlineStr">
        <is>
          <t>Source assignment</t>
        </is>
      </c>
      <c r="L113" s="12" t="inlineStr"/>
      <c r="M113" s="12" t="inlineStr">
        <is>
          <t>Initial</t>
        </is>
      </c>
      <c r="N113" s="12" t="inlineStr">
        <is>
          <t>Rev 0</t>
        </is>
      </c>
      <c r="O113" s="12" t="inlineStr">
        <is>
          <t>R152-v1</t>
        </is>
      </c>
      <c r="P113" s="12" t="inlineStr"/>
      <c r="Q113" s="12" t="inlineStr"/>
      <c r="R113" s="12" t="inlineStr"/>
      <c r="S113" s="12" t="inlineStr"/>
      <c r="T113" s="12" t="inlineStr"/>
      <c r="U113" s="12" t="inlineStr"/>
      <c r="V113" s="12" t="inlineStr">
        <is>
          <t>WBS Code = 1.1.1</t>
        </is>
      </c>
      <c r="W113" s="12" t="inlineStr"/>
    </row>
    <row r="114" ht="64" customHeight="1">
      <c r="A114" s="12" t="inlineStr">
        <is>
          <t>1.1.1</t>
        </is>
      </c>
      <c r="B114" s="12" t="inlineStr">
        <is>
          <t>Guideway and Civil - Guideway Structures</t>
        </is>
      </c>
      <c r="C114" s="12" t="inlineStr">
        <is>
          <t>Contractor Programme</t>
        </is>
      </c>
      <c r="D114" s="12" t="inlineStr">
        <is>
          <t>SCH-01-154</t>
        </is>
      </c>
      <c r="E114" s="12" t="inlineStr">
        <is>
          <t>River crossing: temporary traffic staging - release</t>
        </is>
      </c>
      <c r="F114" s="12" t="inlineStr">
        <is>
          <t>ONE_TO_ONE</t>
        </is>
      </c>
      <c r="G114" s="12" t="inlineStr">
        <is>
          <t>APPROVED</t>
        </is>
      </c>
      <c r="H114" s="12" t="inlineStr">
        <is>
          <t>New</t>
        </is>
      </c>
      <c r="I114" s="12" t="inlineStr">
        <is>
          <t>Source assignment -- not individually reviewed</t>
        </is>
      </c>
      <c r="J114" s="12" t="inlineStr"/>
      <c r="K114" s="12" t="inlineStr">
        <is>
          <t>Source assignment</t>
        </is>
      </c>
      <c r="L114" s="12" t="inlineStr"/>
      <c r="M114" s="12" t="inlineStr">
        <is>
          <t>Initial</t>
        </is>
      </c>
      <c r="N114" s="12" t="inlineStr">
        <is>
          <t>Rev 0</t>
        </is>
      </c>
      <c r="O114" s="12" t="inlineStr">
        <is>
          <t>R154-v1</t>
        </is>
      </c>
      <c r="P114" s="12" t="inlineStr"/>
      <c r="Q114" s="12" t="inlineStr"/>
      <c r="R114" s="12" t="inlineStr"/>
      <c r="S114" s="12" t="inlineStr"/>
      <c r="T114" s="12" t="inlineStr"/>
      <c r="U114" s="12" t="inlineStr"/>
      <c r="V114" s="12" t="inlineStr">
        <is>
          <t>WBS Code = 1.1.1</t>
        </is>
      </c>
      <c r="W114" s="12" t="inlineStr"/>
    </row>
    <row r="115" ht="64" customHeight="1">
      <c r="A115" s="12" t="inlineStr">
        <is>
          <t>1.1.1</t>
        </is>
      </c>
      <c r="B115" s="12" t="inlineStr">
        <is>
          <t>Guideway and Civil - Guideway Structures</t>
        </is>
      </c>
      <c r="C115" s="12" t="inlineStr">
        <is>
          <t>Contractor Programme</t>
        </is>
      </c>
      <c r="D115" s="12" t="inlineStr">
        <is>
          <t>SCH-01-155</t>
        </is>
      </c>
      <c r="E115" s="12" t="inlineStr">
        <is>
          <t>Central guideway: guideway pier reinforcement - field start</t>
        </is>
      </c>
      <c r="F115" s="12" t="inlineStr">
        <is>
          <t>ONE_TO_ONE</t>
        </is>
      </c>
      <c r="G115" s="12" t="inlineStr">
        <is>
          <t>APPROVED</t>
        </is>
      </c>
      <c r="H115" s="12" t="inlineStr">
        <is>
          <t>New</t>
        </is>
      </c>
      <c r="I115" s="12" t="inlineStr">
        <is>
          <t>Source assignment -- not individually reviewed</t>
        </is>
      </c>
      <c r="J115" s="12" t="inlineStr"/>
      <c r="K115" s="12" t="inlineStr">
        <is>
          <t>Source assignment</t>
        </is>
      </c>
      <c r="L115" s="12" t="inlineStr"/>
      <c r="M115" s="12" t="inlineStr">
        <is>
          <t>Initial</t>
        </is>
      </c>
      <c r="N115" s="12" t="inlineStr">
        <is>
          <t>Rev 0</t>
        </is>
      </c>
      <c r="O115" s="12" t="inlineStr">
        <is>
          <t>R155-v1</t>
        </is>
      </c>
      <c r="P115" s="12" t="inlineStr"/>
      <c r="Q115" s="12" t="inlineStr"/>
      <c r="R115" s="12" t="inlineStr"/>
      <c r="S115" s="12" t="inlineStr"/>
      <c r="T115" s="12" t="inlineStr"/>
      <c r="U115" s="12" t="inlineStr"/>
      <c r="V115" s="12" t="inlineStr">
        <is>
          <t>WBS Code = 1.1.1</t>
        </is>
      </c>
      <c r="W115" s="12" t="inlineStr"/>
    </row>
    <row r="116" ht="64" customHeight="1">
      <c r="A116" s="12" t="inlineStr">
        <is>
          <t>1.1.1</t>
        </is>
      </c>
      <c r="B116" s="12" t="inlineStr">
        <is>
          <t>Guideway and Civil - Guideway Structures</t>
        </is>
      </c>
      <c r="C116" s="12" t="inlineStr">
        <is>
          <t>Contractor Programme</t>
        </is>
      </c>
      <c r="D116" s="12" t="inlineStr">
        <is>
          <t>SCH-01-157</t>
        </is>
      </c>
      <c r="E116" s="12" t="inlineStr">
        <is>
          <t>Depot lead: drilled-shaft installation - inspection</t>
        </is>
      </c>
      <c r="F116" s="12" t="inlineStr">
        <is>
          <t>ONE_TO_ONE</t>
        </is>
      </c>
      <c r="G116" s="12" t="inlineStr">
        <is>
          <t>APPROVED</t>
        </is>
      </c>
      <c r="H116" s="12" t="inlineStr">
        <is>
          <t>New</t>
        </is>
      </c>
      <c r="I116" s="12" t="inlineStr">
        <is>
          <t>Source assignment -- not individually reviewed</t>
        </is>
      </c>
      <c r="J116" s="12" t="inlineStr"/>
      <c r="K116" s="12" t="inlineStr">
        <is>
          <t>Source assignment</t>
        </is>
      </c>
      <c r="L116" s="12" t="inlineStr"/>
      <c r="M116" s="12" t="inlineStr">
        <is>
          <t>Initial</t>
        </is>
      </c>
      <c r="N116" s="12" t="inlineStr">
        <is>
          <t>Rev 0</t>
        </is>
      </c>
      <c r="O116" s="12" t="inlineStr">
        <is>
          <t>R157-v1</t>
        </is>
      </c>
      <c r="P116" s="12" t="inlineStr"/>
      <c r="Q116" s="12" t="inlineStr"/>
      <c r="R116" s="12" t="inlineStr"/>
      <c r="S116" s="12" t="inlineStr"/>
      <c r="T116" s="12" t="inlineStr"/>
      <c r="U116" s="12" t="inlineStr"/>
      <c r="V116" s="12" t="inlineStr">
        <is>
          <t>WBS Code = 1.1.1</t>
        </is>
      </c>
      <c r="W116" s="12" t="inlineStr"/>
    </row>
    <row r="117" ht="64" customHeight="1">
      <c r="A117" s="12" t="inlineStr">
        <is>
          <t>1.1.1</t>
        </is>
      </c>
      <c r="B117" s="12" t="inlineStr">
        <is>
          <t>Guideway and Civil - Guideway Structures</t>
        </is>
      </c>
      <c r="C117" s="12" t="inlineStr">
        <is>
          <t>Contractor Programme</t>
        </is>
      </c>
      <c r="D117" s="12" t="inlineStr">
        <is>
          <t>SCH-01-158</t>
        </is>
      </c>
      <c r="E117" s="12" t="inlineStr">
        <is>
          <t>East portal: retaining-wall excavation - turnover</t>
        </is>
      </c>
      <c r="F117" s="12" t="inlineStr">
        <is>
          <t>ONE_TO_ONE</t>
        </is>
      </c>
      <c r="G117" s="12" t="inlineStr">
        <is>
          <t>APPROVED</t>
        </is>
      </c>
      <c r="H117" s="12" t="inlineStr">
        <is>
          <t>New</t>
        </is>
      </c>
      <c r="I117" s="12" t="inlineStr">
        <is>
          <t>Source assignment -- not individually reviewed</t>
        </is>
      </c>
      <c r="J117" s="12" t="inlineStr"/>
      <c r="K117" s="12" t="inlineStr">
        <is>
          <t>Source assignment</t>
        </is>
      </c>
      <c r="L117" s="12" t="inlineStr"/>
      <c r="M117" s="12" t="inlineStr">
        <is>
          <t>Initial</t>
        </is>
      </c>
      <c r="N117" s="12" t="inlineStr">
        <is>
          <t>Rev 0</t>
        </is>
      </c>
      <c r="O117" s="12" t="inlineStr">
        <is>
          <t>R158-v1</t>
        </is>
      </c>
      <c r="P117" s="12" t="inlineStr"/>
      <c r="Q117" s="12" t="inlineStr"/>
      <c r="R117" s="12" t="inlineStr"/>
      <c r="S117" s="12" t="inlineStr"/>
      <c r="T117" s="12" t="inlineStr"/>
      <c r="U117" s="12" t="inlineStr"/>
      <c r="V117" s="12" t="inlineStr">
        <is>
          <t>WBS Code = 1.1.1</t>
        </is>
      </c>
      <c r="W117" s="12" t="inlineStr"/>
    </row>
    <row r="118" ht="64" customHeight="1">
      <c r="A118" s="12" t="inlineStr">
        <is>
          <t>1.1.1</t>
        </is>
      </c>
      <c r="B118" s="12" t="inlineStr">
        <is>
          <t>Guideway and Civil - Guideway Structures</t>
        </is>
      </c>
      <c r="C118" s="12" t="inlineStr">
        <is>
          <t>Contractor Programme</t>
        </is>
      </c>
      <c r="D118" s="12" t="inlineStr">
        <is>
          <t>SCH-01-160</t>
        </is>
      </c>
      <c r="E118" s="12" t="inlineStr">
        <is>
          <t>Central guideway: utility relocation - field start</t>
        </is>
      </c>
      <c r="F118" s="12" t="inlineStr">
        <is>
          <t>ONE_TO_ONE</t>
        </is>
      </c>
      <c r="G118" s="12" t="inlineStr">
        <is>
          <t>APPROVED</t>
        </is>
      </c>
      <c r="H118" s="12" t="inlineStr">
        <is>
          <t>New</t>
        </is>
      </c>
      <c r="I118" s="12" t="inlineStr">
        <is>
          <t>Source assignment -- not individually reviewed</t>
        </is>
      </c>
      <c r="J118" s="12" t="inlineStr"/>
      <c r="K118" s="12" t="inlineStr">
        <is>
          <t>Source assignment</t>
        </is>
      </c>
      <c r="L118" s="12" t="inlineStr"/>
      <c r="M118" s="12" t="inlineStr">
        <is>
          <t>Initial</t>
        </is>
      </c>
      <c r="N118" s="12" t="inlineStr">
        <is>
          <t>Rev 0</t>
        </is>
      </c>
      <c r="O118" s="12" t="inlineStr">
        <is>
          <t>R160-v1</t>
        </is>
      </c>
      <c r="P118" s="12" t="inlineStr"/>
      <c r="Q118" s="12" t="inlineStr"/>
      <c r="R118" s="12" t="inlineStr"/>
      <c r="S118" s="12" t="inlineStr"/>
      <c r="T118" s="12" t="inlineStr"/>
      <c r="U118" s="12" t="inlineStr"/>
      <c r="V118" s="12" t="inlineStr">
        <is>
          <t>WBS Code = 1.1.1</t>
        </is>
      </c>
      <c r="W118" s="12" t="inlineStr"/>
    </row>
    <row r="119" ht="64" customHeight="1">
      <c r="A119" s="12" t="inlineStr">
        <is>
          <t>1.1.1</t>
        </is>
      </c>
      <c r="B119" s="12" t="inlineStr">
        <is>
          <t>Guideway and Civil - Guideway Structures</t>
        </is>
      </c>
      <c r="C119" s="12" t="inlineStr">
        <is>
          <t>Contractor Programme</t>
        </is>
      </c>
      <c r="D119" s="12" t="inlineStr">
        <is>
          <t>SCH-01-161</t>
        </is>
      </c>
      <c r="E119" s="12" t="inlineStr">
        <is>
          <t>West approach: track-slab survey - installation</t>
        </is>
      </c>
      <c r="F119" s="12" t="inlineStr">
        <is>
          <t>ONE_TO_ONE</t>
        </is>
      </c>
      <c r="G119" s="12" t="inlineStr">
        <is>
          <t>APPROVED</t>
        </is>
      </c>
      <c r="H119" s="12" t="inlineStr">
        <is>
          <t>New</t>
        </is>
      </c>
      <c r="I119" s="12" t="inlineStr">
        <is>
          <t>Source assignment -- not individually reviewed</t>
        </is>
      </c>
      <c r="J119" s="12" t="inlineStr"/>
      <c r="K119" s="12" t="inlineStr">
        <is>
          <t>Source assignment</t>
        </is>
      </c>
      <c r="L119" s="12" t="inlineStr"/>
      <c r="M119" s="12" t="inlineStr">
        <is>
          <t>Initial</t>
        </is>
      </c>
      <c r="N119" s="12" t="inlineStr">
        <is>
          <t>Rev 0</t>
        </is>
      </c>
      <c r="O119" s="12" t="inlineStr">
        <is>
          <t>R161-v1</t>
        </is>
      </c>
      <c r="P119" s="12" t="inlineStr"/>
      <c r="Q119" s="12" t="inlineStr"/>
      <c r="R119" s="12" t="inlineStr"/>
      <c r="S119" s="12" t="inlineStr"/>
      <c r="T119" s="12" t="inlineStr"/>
      <c r="U119" s="12" t="inlineStr"/>
      <c r="V119" s="12" t="inlineStr">
        <is>
          <t>WBS Code = 1.1.1</t>
        </is>
      </c>
      <c r="W119" s="12" t="inlineStr"/>
    </row>
    <row r="120" ht="64" customHeight="1">
      <c r="A120" s="12" t="inlineStr">
        <is>
          <t>1.1.1</t>
        </is>
      </c>
      <c r="B120" s="12" t="inlineStr">
        <is>
          <t>Guideway and Civil - Guideway Structures</t>
        </is>
      </c>
      <c r="C120" s="12" t="inlineStr">
        <is>
          <t>Contractor Programme</t>
        </is>
      </c>
      <c r="D120" s="12" t="inlineStr">
        <is>
          <t>SCH-01-163</t>
        </is>
      </c>
      <c r="E120" s="12" t="inlineStr">
        <is>
          <t>East portal: guideway pier reinforcement - turnover</t>
        </is>
      </c>
      <c r="F120" s="12" t="inlineStr">
        <is>
          <t>ONE_TO_ONE</t>
        </is>
      </c>
      <c r="G120" s="12" t="inlineStr">
        <is>
          <t>APPROVED</t>
        </is>
      </c>
      <c r="H120" s="12" t="inlineStr">
        <is>
          <t>New</t>
        </is>
      </c>
      <c r="I120" s="12" t="inlineStr">
        <is>
          <t>Source assignment -- not individually reviewed</t>
        </is>
      </c>
      <c r="J120" s="12" t="inlineStr"/>
      <c r="K120" s="12" t="inlineStr">
        <is>
          <t>Source assignment</t>
        </is>
      </c>
      <c r="L120" s="12" t="inlineStr"/>
      <c r="M120" s="12" t="inlineStr">
        <is>
          <t>Initial</t>
        </is>
      </c>
      <c r="N120" s="12" t="inlineStr">
        <is>
          <t>Rev 0</t>
        </is>
      </c>
      <c r="O120" s="12" t="inlineStr">
        <is>
          <t>R163-v1</t>
        </is>
      </c>
      <c r="P120" s="12" t="inlineStr"/>
      <c r="Q120" s="12" t="inlineStr"/>
      <c r="R120" s="12" t="inlineStr"/>
      <c r="S120" s="12" t="inlineStr"/>
      <c r="T120" s="12" t="inlineStr"/>
      <c r="U120" s="12" t="inlineStr"/>
      <c r="V120" s="12" t="inlineStr">
        <is>
          <t>WBS Code = 1.1.1</t>
        </is>
      </c>
      <c r="W120" s="12" t="inlineStr"/>
    </row>
    <row r="121" ht="64" customHeight="1">
      <c r="A121" s="12" t="inlineStr">
        <is>
          <t>1.1.1</t>
        </is>
      </c>
      <c r="B121" s="12" t="inlineStr">
        <is>
          <t>Guideway and Civil - Guideway Structures</t>
        </is>
      </c>
      <c r="C121" s="12" t="inlineStr">
        <is>
          <t>Contractor Programme</t>
        </is>
      </c>
      <c r="D121" s="12" t="inlineStr">
        <is>
          <t>SCH-01-164</t>
        </is>
      </c>
      <c r="E121" s="12" t="inlineStr">
        <is>
          <t>River crossing: road restoration - release</t>
        </is>
      </c>
      <c r="F121" s="12" t="inlineStr">
        <is>
          <t>ONE_TO_ONE</t>
        </is>
      </c>
      <c r="G121" s="12" t="inlineStr">
        <is>
          <t>APPROVED</t>
        </is>
      </c>
      <c r="H121" s="12" t="inlineStr">
        <is>
          <t>New</t>
        </is>
      </c>
      <c r="I121" s="12" t="inlineStr">
        <is>
          <t>Source assignment -- not individually reviewed</t>
        </is>
      </c>
      <c r="J121" s="12" t="inlineStr"/>
      <c r="K121" s="12" t="inlineStr">
        <is>
          <t>Source assignment</t>
        </is>
      </c>
      <c r="L121" s="12" t="inlineStr"/>
      <c r="M121" s="12" t="inlineStr">
        <is>
          <t>Initial</t>
        </is>
      </c>
      <c r="N121" s="12" t="inlineStr">
        <is>
          <t>Rev 0</t>
        </is>
      </c>
      <c r="O121" s="12" t="inlineStr">
        <is>
          <t>R164-v1</t>
        </is>
      </c>
      <c r="P121" s="12" t="inlineStr"/>
      <c r="Q121" s="12" t="inlineStr"/>
      <c r="R121" s="12" t="inlineStr"/>
      <c r="S121" s="12" t="inlineStr"/>
      <c r="T121" s="12" t="inlineStr"/>
      <c r="U121" s="12" t="inlineStr"/>
      <c r="V121" s="12" t="inlineStr">
        <is>
          <t>WBS Code = 1.1.1</t>
        </is>
      </c>
      <c r="W121" s="12" t="inlineStr"/>
    </row>
    <row r="122" ht="64" customHeight="1">
      <c r="A122" s="12" t="inlineStr">
        <is>
          <t>1.1.1</t>
        </is>
      </c>
      <c r="B122" s="12" t="inlineStr">
        <is>
          <t>Guideway and Civil - Guideway Structures</t>
        </is>
      </c>
      <c r="C122" s="12" t="inlineStr">
        <is>
          <t>Contractor Programme</t>
        </is>
      </c>
      <c r="D122" s="12" t="inlineStr">
        <is>
          <t>SCH-01-166</t>
        </is>
      </c>
      <c r="E122" s="12" t="inlineStr">
        <is>
          <t>West approach: retaining-wall excavation - installation</t>
        </is>
      </c>
      <c r="F122" s="12" t="inlineStr">
        <is>
          <t>ONE_TO_ONE</t>
        </is>
      </c>
      <c r="G122" s="12" t="inlineStr">
        <is>
          <t>APPROVED</t>
        </is>
      </c>
      <c r="H122" s="12" t="inlineStr">
        <is>
          <t>New</t>
        </is>
      </c>
      <c r="I122" s="12" t="inlineStr">
        <is>
          <t>Source assignment -- not individually reviewed</t>
        </is>
      </c>
      <c r="J122" s="12" t="inlineStr"/>
      <c r="K122" s="12" t="inlineStr">
        <is>
          <t>Source assignment</t>
        </is>
      </c>
      <c r="L122" s="12" t="inlineStr"/>
      <c r="M122" s="12" t="inlineStr">
        <is>
          <t>Initial</t>
        </is>
      </c>
      <c r="N122" s="12" t="inlineStr">
        <is>
          <t>Rev 0</t>
        </is>
      </c>
      <c r="O122" s="12" t="inlineStr">
        <is>
          <t>R166-v1</t>
        </is>
      </c>
      <c r="P122" s="12" t="inlineStr"/>
      <c r="Q122" s="12" t="inlineStr"/>
      <c r="R122" s="12" t="inlineStr"/>
      <c r="S122" s="12" t="inlineStr"/>
      <c r="T122" s="12" t="inlineStr"/>
      <c r="U122" s="12" t="inlineStr"/>
      <c r="V122" s="12" t="inlineStr">
        <is>
          <t>WBS Code = 1.1.1</t>
        </is>
      </c>
      <c r="W122" s="12" t="inlineStr"/>
    </row>
    <row r="123" ht="64" customHeight="1">
      <c r="A123" s="12" t="inlineStr">
        <is>
          <t>1.1.1</t>
        </is>
      </c>
      <c r="B123" s="12" t="inlineStr">
        <is>
          <t>Guideway and Civil - Guideway Structures</t>
        </is>
      </c>
      <c r="C123" s="12" t="inlineStr">
        <is>
          <t>Contractor Programme</t>
        </is>
      </c>
      <c r="D123" s="12" t="inlineStr">
        <is>
          <t>SCH-01-167</t>
        </is>
      </c>
      <c r="E123" s="12" t="inlineStr">
        <is>
          <t>Depot lead: drainage tie-in - inspection</t>
        </is>
      </c>
      <c r="F123" s="12" t="inlineStr">
        <is>
          <t>ONE_TO_ONE</t>
        </is>
      </c>
      <c r="G123" s="12" t="inlineStr">
        <is>
          <t>APPROVED</t>
        </is>
      </c>
      <c r="H123" s="12" t="inlineStr">
        <is>
          <t>New</t>
        </is>
      </c>
      <c r="I123" s="12" t="inlineStr">
        <is>
          <t>Source assignment -- not individually reviewed</t>
        </is>
      </c>
      <c r="J123" s="12" t="inlineStr"/>
      <c r="K123" s="12" t="inlineStr">
        <is>
          <t>Source assignment</t>
        </is>
      </c>
      <c r="L123" s="12" t="inlineStr"/>
      <c r="M123" s="12" t="inlineStr">
        <is>
          <t>Initial</t>
        </is>
      </c>
      <c r="N123" s="12" t="inlineStr">
        <is>
          <t>Rev 0</t>
        </is>
      </c>
      <c r="O123" s="12" t="inlineStr">
        <is>
          <t>R167-v1</t>
        </is>
      </c>
      <c r="P123" s="12" t="inlineStr"/>
      <c r="Q123" s="12" t="inlineStr"/>
      <c r="R123" s="12" t="inlineStr"/>
      <c r="S123" s="12" t="inlineStr"/>
      <c r="T123" s="12" t="inlineStr"/>
      <c r="U123" s="12" t="inlineStr"/>
      <c r="V123" s="12" t="inlineStr">
        <is>
          <t>WBS Code = 1.1.1</t>
        </is>
      </c>
      <c r="W123" s="12" t="inlineStr"/>
    </row>
    <row r="124" ht="64" customHeight="1">
      <c r="A124" s="12" t="inlineStr">
        <is>
          <t>1.1.1</t>
        </is>
      </c>
      <c r="B124" s="12" t="inlineStr">
        <is>
          <t>Guideway and Civil - Guideway Structures</t>
        </is>
      </c>
      <c r="C124" s="12" t="inlineStr">
        <is>
          <t>Contractor Programme</t>
        </is>
      </c>
      <c r="D124" s="12" t="inlineStr">
        <is>
          <t>SCH-01-169</t>
        </is>
      </c>
      <c r="E124" s="12" t="inlineStr">
        <is>
          <t>River crossing: track-slab survey - release</t>
        </is>
      </c>
      <c r="F124" s="12" t="inlineStr">
        <is>
          <t>ONE_TO_ONE</t>
        </is>
      </c>
      <c r="G124" s="12" t="inlineStr">
        <is>
          <t>APPROVED</t>
        </is>
      </c>
      <c r="H124" s="12" t="inlineStr">
        <is>
          <t>New</t>
        </is>
      </c>
      <c r="I124" s="12" t="inlineStr">
        <is>
          <t>Source assignment -- not individually reviewed</t>
        </is>
      </c>
      <c r="J124" s="12" t="inlineStr"/>
      <c r="K124" s="12" t="inlineStr">
        <is>
          <t>Source assignment</t>
        </is>
      </c>
      <c r="L124" s="12" t="inlineStr"/>
      <c r="M124" s="12" t="inlineStr">
        <is>
          <t>Initial</t>
        </is>
      </c>
      <c r="N124" s="12" t="inlineStr">
        <is>
          <t>Rev 0</t>
        </is>
      </c>
      <c r="O124" s="12" t="inlineStr">
        <is>
          <t>R169-v1</t>
        </is>
      </c>
      <c r="P124" s="12" t="inlineStr"/>
      <c r="Q124" s="12" t="inlineStr"/>
      <c r="R124" s="12" t="inlineStr"/>
      <c r="S124" s="12" t="inlineStr"/>
      <c r="T124" s="12" t="inlineStr"/>
      <c r="U124" s="12" t="inlineStr"/>
      <c r="V124" s="12" t="inlineStr">
        <is>
          <t>WBS Code = 1.1.1</t>
        </is>
      </c>
      <c r="W124" s="12" t="inlineStr"/>
    </row>
    <row r="125" ht="64" customHeight="1">
      <c r="A125" s="12" t="inlineStr">
        <is>
          <t>1.1.1</t>
        </is>
      </c>
      <c r="B125" s="12" t="inlineStr">
        <is>
          <t>Guideway and Civil - Guideway Structures</t>
        </is>
      </c>
      <c r="C125" s="12" t="inlineStr">
        <is>
          <t>Contractor Programme</t>
        </is>
      </c>
      <c r="D125" s="12" t="inlineStr">
        <is>
          <t>SCH-01-170</t>
        </is>
      </c>
      <c r="E125" s="12" t="inlineStr">
        <is>
          <t>Central guideway: temporary traffic staging - field start</t>
        </is>
      </c>
      <c r="F125" s="12" t="inlineStr">
        <is>
          <t>ONE_TO_ONE</t>
        </is>
      </c>
      <c r="G125" s="12" t="inlineStr">
        <is>
          <t>APPROVED</t>
        </is>
      </c>
      <c r="H125" s="12" t="inlineStr">
        <is>
          <t>New</t>
        </is>
      </c>
      <c r="I125" s="12" t="inlineStr">
        <is>
          <t>Source assignment -- not individually reviewed</t>
        </is>
      </c>
      <c r="J125" s="12" t="inlineStr"/>
      <c r="K125" s="12" t="inlineStr">
        <is>
          <t>Source assignment</t>
        </is>
      </c>
      <c r="L125" s="12" t="inlineStr"/>
      <c r="M125" s="12" t="inlineStr">
        <is>
          <t>Initial</t>
        </is>
      </c>
      <c r="N125" s="12" t="inlineStr">
        <is>
          <t>Rev 0</t>
        </is>
      </c>
      <c r="O125" s="12" t="inlineStr">
        <is>
          <t>R170-v1</t>
        </is>
      </c>
      <c r="P125" s="12" t="inlineStr"/>
      <c r="Q125" s="12" t="inlineStr"/>
      <c r="R125" s="12" t="inlineStr"/>
      <c r="S125" s="12" t="inlineStr"/>
      <c r="T125" s="12" t="inlineStr"/>
      <c r="U125" s="12" t="inlineStr"/>
      <c r="V125" s="12" t="inlineStr">
        <is>
          <t>WBS Code = 1.1.1</t>
        </is>
      </c>
      <c r="W125" s="12" t="inlineStr"/>
    </row>
    <row r="126" ht="64" customHeight="1">
      <c r="A126" s="12" t="inlineStr">
        <is>
          <t>1.1.1</t>
        </is>
      </c>
      <c r="B126" s="12" t="inlineStr">
        <is>
          <t>Guideway and Civil - Guideway Structures</t>
        </is>
      </c>
      <c r="C126" s="12" t="inlineStr">
        <is>
          <t>Contractor Programme</t>
        </is>
      </c>
      <c r="D126" s="12" t="inlineStr">
        <is>
          <t>SCH-01-172</t>
        </is>
      </c>
      <c r="E126" s="12" t="inlineStr">
        <is>
          <t>Depot lead: road restoration - inspection</t>
        </is>
      </c>
      <c r="F126" s="12" t="inlineStr">
        <is>
          <t>ONE_TO_ONE</t>
        </is>
      </c>
      <c r="G126" s="12" t="inlineStr">
        <is>
          <t>APPROVED</t>
        </is>
      </c>
      <c r="H126" s="12" t="inlineStr">
        <is>
          <t>New</t>
        </is>
      </c>
      <c r="I126" s="12" t="inlineStr">
        <is>
          <t>Source assignment -- not individually reviewed</t>
        </is>
      </c>
      <c r="J126" s="12" t="inlineStr"/>
      <c r="K126" s="12" t="inlineStr">
        <is>
          <t>Source assignment</t>
        </is>
      </c>
      <c r="L126" s="12" t="inlineStr"/>
      <c r="M126" s="12" t="inlineStr">
        <is>
          <t>Initial</t>
        </is>
      </c>
      <c r="N126" s="12" t="inlineStr">
        <is>
          <t>Rev 0</t>
        </is>
      </c>
      <c r="O126" s="12" t="inlineStr">
        <is>
          <t>R172-v1</t>
        </is>
      </c>
      <c r="P126" s="12" t="inlineStr"/>
      <c r="Q126" s="12" t="inlineStr"/>
      <c r="R126" s="12" t="inlineStr"/>
      <c r="S126" s="12" t="inlineStr"/>
      <c r="T126" s="12" t="inlineStr"/>
      <c r="U126" s="12" t="inlineStr"/>
      <c r="V126" s="12" t="inlineStr">
        <is>
          <t>WBS Code = 1.1.1</t>
        </is>
      </c>
      <c r="W126" s="12" t="inlineStr"/>
    </row>
    <row r="127" ht="64" customHeight="1">
      <c r="A127" s="12" t="inlineStr">
        <is>
          <t>1.1.1</t>
        </is>
      </c>
      <c r="B127" s="12" t="inlineStr">
        <is>
          <t>Guideway and Civil - Guideway Structures</t>
        </is>
      </c>
      <c r="C127" s="12" t="inlineStr">
        <is>
          <t>Contractor Programme</t>
        </is>
      </c>
      <c r="D127" s="12" t="inlineStr">
        <is>
          <t>SCH-01-173</t>
        </is>
      </c>
      <c r="E127" s="12" t="inlineStr">
        <is>
          <t>East portal: drilled-shaft installation - turnover</t>
        </is>
      </c>
      <c r="F127" s="12" t="inlineStr">
        <is>
          <t>ONE_TO_ONE</t>
        </is>
      </c>
      <c r="G127" s="12" t="inlineStr">
        <is>
          <t>APPROVED</t>
        </is>
      </c>
      <c r="H127" s="12" t="inlineStr">
        <is>
          <t>New</t>
        </is>
      </c>
      <c r="I127" s="12" t="inlineStr">
        <is>
          <t>Source assignment -- not individually reviewed</t>
        </is>
      </c>
      <c r="J127" s="12" t="inlineStr"/>
      <c r="K127" s="12" t="inlineStr">
        <is>
          <t>Source assignment</t>
        </is>
      </c>
      <c r="L127" s="12" t="inlineStr"/>
      <c r="M127" s="12" t="inlineStr">
        <is>
          <t>Initial</t>
        </is>
      </c>
      <c r="N127" s="12" t="inlineStr">
        <is>
          <t>Rev 0</t>
        </is>
      </c>
      <c r="O127" s="12" t="inlineStr">
        <is>
          <t>R173-v1</t>
        </is>
      </c>
      <c r="P127" s="12" t="inlineStr"/>
      <c r="Q127" s="12" t="inlineStr"/>
      <c r="R127" s="12" t="inlineStr"/>
      <c r="S127" s="12" t="inlineStr"/>
      <c r="T127" s="12" t="inlineStr"/>
      <c r="U127" s="12" t="inlineStr"/>
      <c r="V127" s="12" t="inlineStr">
        <is>
          <t>WBS Code = 1.1.1</t>
        </is>
      </c>
      <c r="W127" s="12" t="inlineStr"/>
    </row>
    <row r="128" ht="64" customHeight="1">
      <c r="A128" s="12" t="inlineStr">
        <is>
          <t>1.1.1</t>
        </is>
      </c>
      <c r="B128" s="12" t="inlineStr">
        <is>
          <t>Guideway and Civil - Guideway Structures</t>
        </is>
      </c>
      <c r="C128" s="12" t="inlineStr">
        <is>
          <t>Contractor Programme</t>
        </is>
      </c>
      <c r="D128" s="12" t="inlineStr">
        <is>
          <t>SCH-01-175</t>
        </is>
      </c>
      <c r="E128" s="12" t="inlineStr">
        <is>
          <t>Central guideway: drainage tie-in - field start</t>
        </is>
      </c>
      <c r="F128" s="12" t="inlineStr">
        <is>
          <t>ONE_TO_ONE</t>
        </is>
      </c>
      <c r="G128" s="12" t="inlineStr">
        <is>
          <t>APPROVED</t>
        </is>
      </c>
      <c r="H128" s="12" t="inlineStr">
        <is>
          <t>New</t>
        </is>
      </c>
      <c r="I128" s="12" t="inlineStr">
        <is>
          <t>Source assignment -- not individually reviewed</t>
        </is>
      </c>
      <c r="J128" s="12" t="inlineStr"/>
      <c r="K128" s="12" t="inlineStr">
        <is>
          <t>Source assignment</t>
        </is>
      </c>
      <c r="L128" s="12" t="inlineStr"/>
      <c r="M128" s="12" t="inlineStr">
        <is>
          <t>Initial</t>
        </is>
      </c>
      <c r="N128" s="12" t="inlineStr">
        <is>
          <t>Rev 0</t>
        </is>
      </c>
      <c r="O128" s="12" t="inlineStr">
        <is>
          <t>R175-v1</t>
        </is>
      </c>
      <c r="P128" s="12" t="inlineStr"/>
      <c r="Q128" s="12" t="inlineStr"/>
      <c r="R128" s="12" t="inlineStr"/>
      <c r="S128" s="12" t="inlineStr"/>
      <c r="T128" s="12" t="inlineStr"/>
      <c r="U128" s="12" t="inlineStr"/>
      <c r="V128" s="12" t="inlineStr">
        <is>
          <t>WBS Code = 1.1.1</t>
        </is>
      </c>
      <c r="W128" s="12" t="inlineStr"/>
    </row>
    <row r="129" ht="64" customHeight="1">
      <c r="A129" s="12" t="inlineStr">
        <is>
          <t>1.1.1</t>
        </is>
      </c>
      <c r="B129" s="12" t="inlineStr">
        <is>
          <t>Guideway and Civil - Guideway Structures</t>
        </is>
      </c>
      <c r="C129" s="12" t="inlineStr">
        <is>
          <t>Contractor Programme</t>
        </is>
      </c>
      <c r="D129" s="12" t="inlineStr">
        <is>
          <t>SCH-01-176</t>
        </is>
      </c>
      <c r="E129" s="12" t="inlineStr">
        <is>
          <t>West approach: utility relocation - installation</t>
        </is>
      </c>
      <c r="F129" s="12" t="inlineStr">
        <is>
          <t>ONE_TO_ONE</t>
        </is>
      </c>
      <c r="G129" s="12" t="inlineStr">
        <is>
          <t>APPROVED</t>
        </is>
      </c>
      <c r="H129" s="12" t="inlineStr">
        <is>
          <t>New</t>
        </is>
      </c>
      <c r="I129" s="12" t="inlineStr">
        <is>
          <t>Source assignment -- not individually reviewed</t>
        </is>
      </c>
      <c r="J129" s="12" t="inlineStr"/>
      <c r="K129" s="12" t="inlineStr">
        <is>
          <t>Source assignment</t>
        </is>
      </c>
      <c r="L129" s="12" t="inlineStr"/>
      <c r="M129" s="12" t="inlineStr">
        <is>
          <t>Initial</t>
        </is>
      </c>
      <c r="N129" s="12" t="inlineStr">
        <is>
          <t>Rev 0</t>
        </is>
      </c>
      <c r="O129" s="12" t="inlineStr">
        <is>
          <t>R176-v1</t>
        </is>
      </c>
      <c r="P129" s="12" t="inlineStr"/>
      <c r="Q129" s="12" t="inlineStr"/>
      <c r="R129" s="12" t="inlineStr"/>
      <c r="S129" s="12" t="inlineStr"/>
      <c r="T129" s="12" t="inlineStr"/>
      <c r="U129" s="12" t="inlineStr"/>
      <c r="V129" s="12" t="inlineStr">
        <is>
          <t>WBS Code = 1.1.1</t>
        </is>
      </c>
      <c r="W129" s="12" t="inlineStr"/>
    </row>
    <row r="130" ht="64" customHeight="1">
      <c r="A130" s="12" t="inlineStr">
        <is>
          <t>1.1.1</t>
        </is>
      </c>
      <c r="B130" s="12" t="inlineStr">
        <is>
          <t>Guideway and Civil - Guideway Structures</t>
        </is>
      </c>
      <c r="C130" s="12" t="inlineStr">
        <is>
          <t>Contractor Programme</t>
        </is>
      </c>
      <c r="D130" s="12" t="inlineStr">
        <is>
          <t>SCH-01-178</t>
        </is>
      </c>
      <c r="E130" s="12" t="inlineStr">
        <is>
          <t>East portal: temporary traffic staging - turnover</t>
        </is>
      </c>
      <c r="F130" s="12" t="inlineStr">
        <is>
          <t>ONE_TO_ONE</t>
        </is>
      </c>
      <c r="G130" s="12" t="inlineStr">
        <is>
          <t>APPROVED</t>
        </is>
      </c>
      <c r="H130" s="12" t="inlineStr">
        <is>
          <t>New</t>
        </is>
      </c>
      <c r="I130" s="12" t="inlineStr">
        <is>
          <t>Source assignment -- not individually reviewed</t>
        </is>
      </c>
      <c r="J130" s="12" t="inlineStr"/>
      <c r="K130" s="12" t="inlineStr">
        <is>
          <t>Source assignment</t>
        </is>
      </c>
      <c r="L130" s="12" t="inlineStr"/>
      <c r="M130" s="12" t="inlineStr">
        <is>
          <t>Initial</t>
        </is>
      </c>
      <c r="N130" s="12" t="inlineStr">
        <is>
          <t>Rev 0</t>
        </is>
      </c>
      <c r="O130" s="12" t="inlineStr">
        <is>
          <t>R178-v1</t>
        </is>
      </c>
      <c r="P130" s="12" t="inlineStr"/>
      <c r="Q130" s="12" t="inlineStr"/>
      <c r="R130" s="12" t="inlineStr"/>
      <c r="S130" s="12" t="inlineStr"/>
      <c r="T130" s="12" t="inlineStr"/>
      <c r="U130" s="12" t="inlineStr"/>
      <c r="V130" s="12" t="inlineStr">
        <is>
          <t>WBS Code = 1.1.1</t>
        </is>
      </c>
      <c r="W130" s="12" t="inlineStr"/>
    </row>
    <row r="131" ht="64" customHeight="1">
      <c r="A131" s="12" t="inlineStr">
        <is>
          <t>1.1.1</t>
        </is>
      </c>
      <c r="B131" s="12" t="inlineStr">
        <is>
          <t>Guideway and Civil - Guideway Structures</t>
        </is>
      </c>
      <c r="C131" s="12" t="inlineStr">
        <is>
          <t>Contractor Programme</t>
        </is>
      </c>
      <c r="D131" s="12" t="inlineStr">
        <is>
          <t>SCH-01-179</t>
        </is>
      </c>
      <c r="E131" s="12" t="inlineStr">
        <is>
          <t>River crossing: guideway pier reinforcement - release</t>
        </is>
      </c>
      <c r="F131" s="12" t="inlineStr">
        <is>
          <t>ONE_TO_ONE</t>
        </is>
      </c>
      <c r="G131" s="12" t="inlineStr">
        <is>
          <t>APPROVED</t>
        </is>
      </c>
      <c r="H131" s="12" t="inlineStr">
        <is>
          <t>New</t>
        </is>
      </c>
      <c r="I131" s="12" t="inlineStr">
        <is>
          <t>Source assignment -- not individually reviewed</t>
        </is>
      </c>
      <c r="J131" s="12" t="inlineStr"/>
      <c r="K131" s="12" t="inlineStr">
        <is>
          <t>Source assignment</t>
        </is>
      </c>
      <c r="L131" s="12" t="inlineStr"/>
      <c r="M131" s="12" t="inlineStr">
        <is>
          <t>Initial</t>
        </is>
      </c>
      <c r="N131" s="12" t="inlineStr">
        <is>
          <t>Rev 0</t>
        </is>
      </c>
      <c r="O131" s="12" t="inlineStr">
        <is>
          <t>R179-v1</t>
        </is>
      </c>
      <c r="P131" s="12" t="inlineStr"/>
      <c r="Q131" s="12" t="inlineStr"/>
      <c r="R131" s="12" t="inlineStr"/>
      <c r="S131" s="12" t="inlineStr"/>
      <c r="T131" s="12" t="inlineStr"/>
      <c r="U131" s="12" t="inlineStr"/>
      <c r="V131" s="12" t="inlineStr">
        <is>
          <t>WBS Code = 1.1.1</t>
        </is>
      </c>
      <c r="W131" s="12" t="inlineStr"/>
    </row>
    <row r="132" ht="64" customHeight="1">
      <c r="A132" s="12" t="inlineStr">
        <is>
          <t>1.1.1</t>
        </is>
      </c>
      <c r="B132" s="12" t="inlineStr">
        <is>
          <t>Guideway and Civil - Guideway Structures</t>
        </is>
      </c>
      <c r="C132" s="12" t="inlineStr">
        <is>
          <t>Cost &amp; Forecast Control Accounts</t>
        </is>
      </c>
      <c r="D132" s="12" t="inlineStr">
        <is>
          <t>CST-01-001</t>
        </is>
      </c>
      <c r="E132" s="12" t="inlineStr">
        <is>
          <t>Guideway and Civil - roadworks - professional services</t>
        </is>
      </c>
      <c r="F132" s="12" t="inlineStr">
        <is>
          <t>ONE_TO_ONE</t>
        </is>
      </c>
      <c r="G132" s="12" t="inlineStr">
        <is>
          <t>APPROVED</t>
        </is>
      </c>
      <c r="H132" s="12" t="inlineStr">
        <is>
          <t>New</t>
        </is>
      </c>
      <c r="I132" s="12" t="inlineStr">
        <is>
          <t>Source assignment -- not individually reviewed</t>
        </is>
      </c>
      <c r="J132" s="12" t="inlineStr"/>
      <c r="K132" s="12" t="inlineStr">
        <is>
          <t>Source assignment</t>
        </is>
      </c>
      <c r="L132" s="12" t="inlineStr"/>
      <c r="M132" s="12" t="inlineStr">
        <is>
          <t>Initial</t>
        </is>
      </c>
      <c r="N132" s="12" t="inlineStr">
        <is>
          <t>Rev 0</t>
        </is>
      </c>
      <c r="O132" s="12" t="inlineStr">
        <is>
          <t>R1083-v1</t>
        </is>
      </c>
      <c r="P132" s="12" t="inlineStr"/>
      <c r="Q132" s="12" t="inlineStr"/>
      <c r="R132" s="12" t="inlineStr"/>
      <c r="S132" s="12" t="inlineStr"/>
      <c r="T132" s="12" t="inlineStr"/>
      <c r="U132" s="12" t="inlineStr"/>
      <c r="V132" s="12" t="inlineStr">
        <is>
          <t>Cost Account = CA-1001; WBS Code = 1.1.1</t>
        </is>
      </c>
      <c r="W132" s="12" t="inlineStr"/>
    </row>
    <row r="133" ht="64" customHeight="1">
      <c r="A133" s="12" t="inlineStr">
        <is>
          <t>1.1.1</t>
        </is>
      </c>
      <c r="B133" s="12" t="inlineStr">
        <is>
          <t>Guideway and Civil - Guideway Structures</t>
        </is>
      </c>
      <c r="C133" s="12" t="inlineStr">
        <is>
          <t>Cost &amp; Forecast Control Accounts</t>
        </is>
      </c>
      <c r="D133" s="12" t="inlineStr">
        <is>
          <t>CST-01-003</t>
        </is>
      </c>
      <c r="E133" s="12" t="inlineStr">
        <is>
          <t>Guideway and Civil - concrete structures - closeout</t>
        </is>
      </c>
      <c r="F133" s="12" t="inlineStr">
        <is>
          <t>ONE_TO_ONE</t>
        </is>
      </c>
      <c r="G133" s="12" t="inlineStr">
        <is>
          <t>APPROVED</t>
        </is>
      </c>
      <c r="H133" s="12" t="inlineStr">
        <is>
          <t>New</t>
        </is>
      </c>
      <c r="I133" s="12" t="inlineStr">
        <is>
          <t>Source assignment -- not individually reviewed</t>
        </is>
      </c>
      <c r="J133" s="12" t="inlineStr"/>
      <c r="K133" s="12" t="inlineStr">
        <is>
          <t>Source assignment</t>
        </is>
      </c>
      <c r="L133" s="12" t="inlineStr"/>
      <c r="M133" s="12" t="inlineStr">
        <is>
          <t>Initial</t>
        </is>
      </c>
      <c r="N133" s="12" t="inlineStr">
        <is>
          <t>Rev 0</t>
        </is>
      </c>
      <c r="O133" s="12" t="inlineStr">
        <is>
          <t>R1085-v1</t>
        </is>
      </c>
      <c r="P133" s="12" t="inlineStr"/>
      <c r="Q133" s="12" t="inlineStr"/>
      <c r="R133" s="12" t="inlineStr"/>
      <c r="S133" s="12" t="inlineStr"/>
      <c r="T133" s="12" t="inlineStr"/>
      <c r="U133" s="12" t="inlineStr"/>
      <c r="V133" s="12" t="inlineStr">
        <is>
          <t>Cost Account = CA-1003; WBS Code = 1.1.1</t>
        </is>
      </c>
      <c r="W133" s="12" t="inlineStr"/>
    </row>
    <row r="134" ht="64" customHeight="1">
      <c r="A134" s="12" t="inlineStr">
        <is>
          <t>1.1.1</t>
        </is>
      </c>
      <c r="B134" s="12" t="inlineStr">
        <is>
          <t>Guideway and Civil - Guideway Structures</t>
        </is>
      </c>
      <c r="C134" s="12" t="inlineStr">
        <is>
          <t>Cost &amp; Forecast Control Accounts</t>
        </is>
      </c>
      <c r="D134" s="12" t="inlineStr">
        <is>
          <t>CST-01-005</t>
        </is>
      </c>
      <c r="E134" s="12" t="inlineStr">
        <is>
          <t>Guideway and Civil - temporary works - supply and install</t>
        </is>
      </c>
      <c r="F134" s="12" t="inlineStr">
        <is>
          <t>ONE_TO_ONE</t>
        </is>
      </c>
      <c r="G134" s="12" t="inlineStr">
        <is>
          <t>APPROVED</t>
        </is>
      </c>
      <c r="H134" s="12" t="inlineStr">
        <is>
          <t>New</t>
        </is>
      </c>
      <c r="I134" s="12" t="inlineStr">
        <is>
          <t>Source assignment -- not individually reviewed</t>
        </is>
      </c>
      <c r="J134" s="12" t="inlineStr"/>
      <c r="K134" s="12" t="inlineStr">
        <is>
          <t>Source assignment</t>
        </is>
      </c>
      <c r="L134" s="12" t="inlineStr"/>
      <c r="M134" s="12" t="inlineStr">
        <is>
          <t>Initial</t>
        </is>
      </c>
      <c r="N134" s="12" t="inlineStr">
        <is>
          <t>Rev 0</t>
        </is>
      </c>
      <c r="O134" s="12" t="inlineStr">
        <is>
          <t>R1087-v1</t>
        </is>
      </c>
      <c r="P134" s="12" t="inlineStr"/>
      <c r="Q134" s="12" t="inlineStr"/>
      <c r="R134" s="12" t="inlineStr"/>
      <c r="S134" s="12" t="inlineStr"/>
      <c r="T134" s="12" t="inlineStr"/>
      <c r="U134" s="12" t="inlineStr"/>
      <c r="V134" s="12" t="inlineStr">
        <is>
          <t>Cost Account = CA-1005; WBS Code = 1.1.1</t>
        </is>
      </c>
      <c r="W134" s="12" t="inlineStr"/>
    </row>
    <row r="135" ht="64" customHeight="1">
      <c r="A135" s="12" t="inlineStr">
        <is>
          <t>1.1.1</t>
        </is>
      </c>
      <c r="B135" s="12" t="inlineStr">
        <is>
          <t>Guideway and Civil - Guideway Structures</t>
        </is>
      </c>
      <c r="C135" s="12" t="inlineStr">
        <is>
          <t>Cost &amp; Forecast Control Accounts</t>
        </is>
      </c>
      <c r="D135" s="12" t="inlineStr">
        <is>
          <t>CST-01-007</t>
        </is>
      </c>
      <c r="E135" s="12" t="inlineStr">
        <is>
          <t>Guideway and Civil - roadworks - allowance</t>
        </is>
      </c>
      <c r="F135" s="12" t="inlineStr">
        <is>
          <t>ONE_TO_ONE</t>
        </is>
      </c>
      <c r="G135" s="12" t="inlineStr">
        <is>
          <t>APPROVED</t>
        </is>
      </c>
      <c r="H135" s="12" t="inlineStr">
        <is>
          <t>New</t>
        </is>
      </c>
      <c r="I135" s="12" t="inlineStr">
        <is>
          <t>Source assignment -- not individually reviewed</t>
        </is>
      </c>
      <c r="J135" s="12" t="inlineStr"/>
      <c r="K135" s="12" t="inlineStr">
        <is>
          <t>Source assignment</t>
        </is>
      </c>
      <c r="L135" s="12" t="inlineStr"/>
      <c r="M135" s="12" t="inlineStr">
        <is>
          <t>Initial</t>
        </is>
      </c>
      <c r="N135" s="12" t="inlineStr">
        <is>
          <t>Rev 0</t>
        </is>
      </c>
      <c r="O135" s="12" t="inlineStr">
        <is>
          <t>R1089-v1</t>
        </is>
      </c>
      <c r="P135" s="12" t="inlineStr"/>
      <c r="Q135" s="12" t="inlineStr"/>
      <c r="R135" s="12" t="inlineStr"/>
      <c r="S135" s="12" t="inlineStr"/>
      <c r="T135" s="12" t="inlineStr"/>
      <c r="U135" s="12" t="inlineStr"/>
      <c r="V135" s="12" t="inlineStr">
        <is>
          <t>Cost Account = CA-1007; WBS Code = 1.1.1</t>
        </is>
      </c>
      <c r="W135" s="12" t="inlineStr"/>
    </row>
    <row r="136" ht="64" customHeight="1">
      <c r="A136" s="12" t="inlineStr">
        <is>
          <t>1.1.1</t>
        </is>
      </c>
      <c r="B136" s="12" t="inlineStr">
        <is>
          <t>Guideway and Civil - Guideway Structures</t>
        </is>
      </c>
      <c r="C136" s="12" t="inlineStr">
        <is>
          <t>Cost &amp; Forecast Control Accounts</t>
        </is>
      </c>
      <c r="D136" s="12" t="inlineStr">
        <is>
          <t>CST-01-009</t>
        </is>
      </c>
      <c r="E136" s="12" t="inlineStr">
        <is>
          <t>Guideway and Civil - concrete structures - field package</t>
        </is>
      </c>
      <c r="F136" s="12" t="inlineStr">
        <is>
          <t>ONE_TO_ONE</t>
        </is>
      </c>
      <c r="G136" s="12" t="inlineStr">
        <is>
          <t>APPROVED</t>
        </is>
      </c>
      <c r="H136" s="12" t="inlineStr">
        <is>
          <t>New</t>
        </is>
      </c>
      <c r="I136" s="12" t="inlineStr">
        <is>
          <t>Source assignment -- not individually reviewed</t>
        </is>
      </c>
      <c r="J136" s="12" t="inlineStr"/>
      <c r="K136" s="12" t="inlineStr">
        <is>
          <t>Source assignment</t>
        </is>
      </c>
      <c r="L136" s="12" t="inlineStr"/>
      <c r="M136" s="12" t="inlineStr">
        <is>
          <t>Initial</t>
        </is>
      </c>
      <c r="N136" s="12" t="inlineStr">
        <is>
          <t>Rev 0</t>
        </is>
      </c>
      <c r="O136" s="12" t="inlineStr">
        <is>
          <t>R1091-v1</t>
        </is>
      </c>
      <c r="P136" s="12" t="inlineStr"/>
      <c r="Q136" s="12" t="inlineStr"/>
      <c r="R136" s="12" t="inlineStr"/>
      <c r="S136" s="12" t="inlineStr"/>
      <c r="T136" s="12" t="inlineStr"/>
      <c r="U136" s="12" t="inlineStr"/>
      <c r="V136" s="12" t="inlineStr">
        <is>
          <t>Cost Account = CA-1009; WBS Code = 1.1.1</t>
        </is>
      </c>
      <c r="W136" s="12" t="inlineStr"/>
    </row>
    <row r="137" ht="64" customHeight="1">
      <c r="A137" s="12" t="inlineStr">
        <is>
          <t>1.1.1</t>
        </is>
      </c>
      <c r="B137" s="12" t="inlineStr">
        <is>
          <t>Guideway and Civil - Guideway Structures</t>
        </is>
      </c>
      <c r="C137" s="12" t="inlineStr">
        <is>
          <t>Cost &amp; Forecast Control Accounts</t>
        </is>
      </c>
      <c r="D137" s="12" t="inlineStr">
        <is>
          <t>CST-01-011</t>
        </is>
      </c>
      <c r="E137" s="12" t="inlineStr">
        <is>
          <t>Guideway and Civil - temporary works - professional services</t>
        </is>
      </c>
      <c r="F137" s="12" t="inlineStr">
        <is>
          <t>ONE_TO_ONE</t>
        </is>
      </c>
      <c r="G137" s="12" t="inlineStr">
        <is>
          <t>APPROVED</t>
        </is>
      </c>
      <c r="H137" s="12" t="inlineStr">
        <is>
          <t>New</t>
        </is>
      </c>
      <c r="I137" s="12" t="inlineStr">
        <is>
          <t>Source assignment -- not individually reviewed</t>
        </is>
      </c>
      <c r="J137" s="12" t="inlineStr"/>
      <c r="K137" s="12" t="inlineStr">
        <is>
          <t>Source assignment</t>
        </is>
      </c>
      <c r="L137" s="12" t="inlineStr"/>
      <c r="M137" s="12" t="inlineStr">
        <is>
          <t>Initial</t>
        </is>
      </c>
      <c r="N137" s="12" t="inlineStr">
        <is>
          <t>Rev 0</t>
        </is>
      </c>
      <c r="O137" s="12" t="inlineStr">
        <is>
          <t>R1093-v1</t>
        </is>
      </c>
      <c r="P137" s="12" t="inlineStr"/>
      <c r="Q137" s="12" t="inlineStr"/>
      <c r="R137" s="12" t="inlineStr"/>
      <c r="S137" s="12" t="inlineStr"/>
      <c r="T137" s="12" t="inlineStr"/>
      <c r="U137" s="12" t="inlineStr"/>
      <c r="V137" s="12" t="inlineStr">
        <is>
          <t>Cost Account = CA-1011; WBS Code = 1.1.1</t>
        </is>
      </c>
      <c r="W137" s="12" t="inlineStr"/>
    </row>
    <row r="138" ht="64" customHeight="1">
      <c r="A138" s="12" t="inlineStr">
        <is>
          <t>1.1.1</t>
        </is>
      </c>
      <c r="B138" s="12" t="inlineStr">
        <is>
          <t>Guideway and Civil - Guideway Structures</t>
        </is>
      </c>
      <c r="C138" s="12" t="inlineStr">
        <is>
          <t>Cost &amp; Forecast Control Accounts</t>
        </is>
      </c>
      <c r="D138" s="12" t="inlineStr">
        <is>
          <t>CST-01-013</t>
        </is>
      </c>
      <c r="E138" s="12" t="inlineStr">
        <is>
          <t>Guideway and Civil - roadworks - closeout</t>
        </is>
      </c>
      <c r="F138" s="12" t="inlineStr">
        <is>
          <t>ONE_TO_ONE</t>
        </is>
      </c>
      <c r="G138" s="12" t="inlineStr">
        <is>
          <t>APPROVED</t>
        </is>
      </c>
      <c r="H138" s="12" t="inlineStr">
        <is>
          <t>New</t>
        </is>
      </c>
      <c r="I138" s="12" t="inlineStr">
        <is>
          <t>Source assignment -- not individually reviewed</t>
        </is>
      </c>
      <c r="J138" s="12" t="inlineStr"/>
      <c r="K138" s="12" t="inlineStr">
        <is>
          <t>Source assignment</t>
        </is>
      </c>
      <c r="L138" s="12" t="inlineStr"/>
      <c r="M138" s="12" t="inlineStr">
        <is>
          <t>Initial</t>
        </is>
      </c>
      <c r="N138" s="12" t="inlineStr">
        <is>
          <t>Rev 0</t>
        </is>
      </c>
      <c r="O138" s="12" t="inlineStr">
        <is>
          <t>R1095-v1</t>
        </is>
      </c>
      <c r="P138" s="12" t="inlineStr"/>
      <c r="Q138" s="12" t="inlineStr"/>
      <c r="R138" s="12" t="inlineStr"/>
      <c r="S138" s="12" t="inlineStr"/>
      <c r="T138" s="12" t="inlineStr"/>
      <c r="U138" s="12" t="inlineStr"/>
      <c r="V138" s="12" t="inlineStr">
        <is>
          <t>Cost Account = CA-1013; WBS Code = 1.1.1</t>
        </is>
      </c>
      <c r="W138" s="12" t="inlineStr"/>
    </row>
    <row r="139" ht="64" customHeight="1">
      <c r="A139" s="12" t="inlineStr">
        <is>
          <t>1.1.1</t>
        </is>
      </c>
      <c r="B139" s="12" t="inlineStr">
        <is>
          <t>Guideway and Civil - Guideway Structures</t>
        </is>
      </c>
      <c r="C139" s="12" t="inlineStr">
        <is>
          <t>Cost &amp; Forecast Control Accounts</t>
        </is>
      </c>
      <c r="D139" s="12" t="inlineStr">
        <is>
          <t>CST-01-015</t>
        </is>
      </c>
      <c r="E139" s="12" t="inlineStr">
        <is>
          <t>Guideway and Civil - concrete structures - supply and install</t>
        </is>
      </c>
      <c r="F139" s="12" t="inlineStr">
        <is>
          <t>ONE_TO_ONE</t>
        </is>
      </c>
      <c r="G139" s="12" t="inlineStr">
        <is>
          <t>APPROVED</t>
        </is>
      </c>
      <c r="H139" s="12" t="inlineStr">
        <is>
          <t>New</t>
        </is>
      </c>
      <c r="I139" s="12" t="inlineStr">
        <is>
          <t>Source assignment -- not individually reviewed</t>
        </is>
      </c>
      <c r="J139" s="12" t="inlineStr"/>
      <c r="K139" s="12" t="inlineStr">
        <is>
          <t>Source assignment</t>
        </is>
      </c>
      <c r="L139" s="12" t="inlineStr"/>
      <c r="M139" s="12" t="inlineStr">
        <is>
          <t>Initial</t>
        </is>
      </c>
      <c r="N139" s="12" t="inlineStr">
        <is>
          <t>Rev 0</t>
        </is>
      </c>
      <c r="O139" s="12" t="inlineStr">
        <is>
          <t>R1097-v1</t>
        </is>
      </c>
      <c r="P139" s="12" t="inlineStr"/>
      <c r="Q139" s="12" t="inlineStr"/>
      <c r="R139" s="12" t="inlineStr"/>
      <c r="S139" s="12" t="inlineStr"/>
      <c r="T139" s="12" t="inlineStr"/>
      <c r="U139" s="12" t="inlineStr"/>
      <c r="V139" s="12" t="inlineStr">
        <is>
          <t>Cost Account = CA-1015; WBS Code = 1.1.1</t>
        </is>
      </c>
      <c r="W139" s="12" t="inlineStr"/>
    </row>
    <row r="140" ht="64" customHeight="1">
      <c r="A140" s="12" t="inlineStr">
        <is>
          <t>1.1.1</t>
        </is>
      </c>
      <c r="B140" s="12" t="inlineStr">
        <is>
          <t>Guideway and Civil - Guideway Structures</t>
        </is>
      </c>
      <c r="C140" s="12" t="inlineStr">
        <is>
          <t>Cost &amp; Forecast Control Accounts</t>
        </is>
      </c>
      <c r="D140" s="12" t="inlineStr">
        <is>
          <t>CST-01-017</t>
        </is>
      </c>
      <c r="E140" s="12" t="inlineStr">
        <is>
          <t>Guideway and Civil - temporary works - allowance</t>
        </is>
      </c>
      <c r="F140" s="12" t="inlineStr">
        <is>
          <t>ONE_TO_ONE</t>
        </is>
      </c>
      <c r="G140" s="12" t="inlineStr">
        <is>
          <t>APPROVED</t>
        </is>
      </c>
      <c r="H140" s="12" t="inlineStr">
        <is>
          <t>New</t>
        </is>
      </c>
      <c r="I140" s="12" t="inlineStr">
        <is>
          <t>Source assignment -- not individually reviewed</t>
        </is>
      </c>
      <c r="J140" s="12" t="inlineStr"/>
      <c r="K140" s="12" t="inlineStr">
        <is>
          <t>Source assignment</t>
        </is>
      </c>
      <c r="L140" s="12" t="inlineStr"/>
      <c r="M140" s="12" t="inlineStr">
        <is>
          <t>Initial</t>
        </is>
      </c>
      <c r="N140" s="12" t="inlineStr">
        <is>
          <t>Rev 0</t>
        </is>
      </c>
      <c r="O140" s="12" t="inlineStr">
        <is>
          <t>R1099-v1</t>
        </is>
      </c>
      <c r="P140" s="12" t="inlineStr"/>
      <c r="Q140" s="12" t="inlineStr"/>
      <c r="R140" s="12" t="inlineStr"/>
      <c r="S140" s="12" t="inlineStr"/>
      <c r="T140" s="12" t="inlineStr"/>
      <c r="U140" s="12" t="inlineStr"/>
      <c r="V140" s="12" t="inlineStr">
        <is>
          <t>Cost Account = CA-1017; WBS Code = 1.1.1</t>
        </is>
      </c>
      <c r="W140" s="12" t="inlineStr"/>
    </row>
    <row r="141" ht="64" customHeight="1">
      <c r="A141" s="12" t="inlineStr">
        <is>
          <t>1.1.1</t>
        </is>
      </c>
      <c r="B141" s="12" t="inlineStr">
        <is>
          <t>Guideway and Civil - Guideway Structures</t>
        </is>
      </c>
      <c r="C141" s="12" t="inlineStr">
        <is>
          <t>Cost &amp; Forecast Control Accounts</t>
        </is>
      </c>
      <c r="D141" s="12" t="inlineStr">
        <is>
          <t>CST-01-019</t>
        </is>
      </c>
      <c r="E141" s="12" t="inlineStr">
        <is>
          <t>Guideway and Civil - roadworks - field package</t>
        </is>
      </c>
      <c r="F141" s="12" t="inlineStr">
        <is>
          <t>ONE_TO_ONE</t>
        </is>
      </c>
      <c r="G141" s="12" t="inlineStr">
        <is>
          <t>APPROVED</t>
        </is>
      </c>
      <c r="H141" s="12" t="inlineStr">
        <is>
          <t>New</t>
        </is>
      </c>
      <c r="I141" s="12" t="inlineStr">
        <is>
          <t>Source assignment -- not individually reviewed</t>
        </is>
      </c>
      <c r="J141" s="12" t="inlineStr"/>
      <c r="K141" s="12" t="inlineStr">
        <is>
          <t>Source assignment</t>
        </is>
      </c>
      <c r="L141" s="12" t="inlineStr"/>
      <c r="M141" s="12" t="inlineStr">
        <is>
          <t>Initial</t>
        </is>
      </c>
      <c r="N141" s="12" t="inlineStr">
        <is>
          <t>Rev 0</t>
        </is>
      </c>
      <c r="O141" s="12" t="inlineStr">
        <is>
          <t>R1101-v1</t>
        </is>
      </c>
      <c r="P141" s="12" t="inlineStr"/>
      <c r="Q141" s="12" t="inlineStr"/>
      <c r="R141" s="12" t="inlineStr"/>
      <c r="S141" s="12" t="inlineStr"/>
      <c r="T141" s="12" t="inlineStr"/>
      <c r="U141" s="12" t="inlineStr"/>
      <c r="V141" s="12" t="inlineStr">
        <is>
          <t>Cost Account = CA-1019; WBS Code = 1.1.1</t>
        </is>
      </c>
      <c r="W141" s="12" t="inlineStr"/>
    </row>
    <row r="142" ht="64" customHeight="1">
      <c r="A142" s="12" t="inlineStr">
        <is>
          <t>1.1.1</t>
        </is>
      </c>
      <c r="B142" s="12" t="inlineStr">
        <is>
          <t>Guideway and Civil - Guideway Structures</t>
        </is>
      </c>
      <c r="C142" s="12" t="inlineStr">
        <is>
          <t>Cost &amp; Forecast Control Accounts</t>
        </is>
      </c>
      <c r="D142" s="12" t="inlineStr">
        <is>
          <t>CST-01-021</t>
        </is>
      </c>
      <c r="E142" s="12" t="inlineStr">
        <is>
          <t>Guideway and Civil - concrete structures - professional services</t>
        </is>
      </c>
      <c r="F142" s="12" t="inlineStr">
        <is>
          <t>ONE_TO_ONE</t>
        </is>
      </c>
      <c r="G142" s="12" t="inlineStr">
        <is>
          <t>APPROVED</t>
        </is>
      </c>
      <c r="H142" s="12" t="inlineStr">
        <is>
          <t>New</t>
        </is>
      </c>
      <c r="I142" s="12" t="inlineStr">
        <is>
          <t>Source assignment -- not individually reviewed</t>
        </is>
      </c>
      <c r="J142" s="12" t="inlineStr"/>
      <c r="K142" s="12" t="inlineStr">
        <is>
          <t>Source assignment</t>
        </is>
      </c>
      <c r="L142" s="12" t="inlineStr"/>
      <c r="M142" s="12" t="inlineStr">
        <is>
          <t>Initial</t>
        </is>
      </c>
      <c r="N142" s="12" t="inlineStr">
        <is>
          <t>Rev 0</t>
        </is>
      </c>
      <c r="O142" s="12" t="inlineStr">
        <is>
          <t>R1103-v1</t>
        </is>
      </c>
      <c r="P142" s="12" t="inlineStr"/>
      <c r="Q142" s="12" t="inlineStr"/>
      <c r="R142" s="12" t="inlineStr"/>
      <c r="S142" s="12" t="inlineStr"/>
      <c r="T142" s="12" t="inlineStr"/>
      <c r="U142" s="12" t="inlineStr"/>
      <c r="V142" s="12" t="inlineStr">
        <is>
          <t>Cost Account = CA-1021; WBS Code = 1.1.1</t>
        </is>
      </c>
      <c r="W142" s="12" t="inlineStr"/>
    </row>
    <row r="143" ht="64" customHeight="1">
      <c r="A143" s="12" t="inlineStr">
        <is>
          <t>1.1.1</t>
        </is>
      </c>
      <c r="B143" s="12" t="inlineStr">
        <is>
          <t>Guideway and Civil - Guideway Structures</t>
        </is>
      </c>
      <c r="C143" s="12" t="inlineStr">
        <is>
          <t>Cost &amp; Forecast Control Accounts</t>
        </is>
      </c>
      <c r="D143" s="12" t="inlineStr">
        <is>
          <t>CST-01-023</t>
        </is>
      </c>
      <c r="E143" s="12" t="inlineStr">
        <is>
          <t>Guideway and Civil - temporary works - closeout</t>
        </is>
      </c>
      <c r="F143" s="12" t="inlineStr">
        <is>
          <t>ONE_TO_ONE</t>
        </is>
      </c>
      <c r="G143" s="12" t="inlineStr">
        <is>
          <t>APPROVED</t>
        </is>
      </c>
      <c r="H143" s="12" t="inlineStr">
        <is>
          <t>New</t>
        </is>
      </c>
      <c r="I143" s="12" t="inlineStr">
        <is>
          <t>Source assignment -- not individually reviewed</t>
        </is>
      </c>
      <c r="J143" s="12" t="inlineStr"/>
      <c r="K143" s="12" t="inlineStr">
        <is>
          <t>Source assignment</t>
        </is>
      </c>
      <c r="L143" s="12" t="inlineStr"/>
      <c r="M143" s="12" t="inlineStr">
        <is>
          <t>Initial</t>
        </is>
      </c>
      <c r="N143" s="12" t="inlineStr">
        <is>
          <t>Rev 0</t>
        </is>
      </c>
      <c r="O143" s="12" t="inlineStr">
        <is>
          <t>R1105-v1</t>
        </is>
      </c>
      <c r="P143" s="12" t="inlineStr"/>
      <c r="Q143" s="12" t="inlineStr"/>
      <c r="R143" s="12" t="inlineStr"/>
      <c r="S143" s="12" t="inlineStr"/>
      <c r="T143" s="12" t="inlineStr"/>
      <c r="U143" s="12" t="inlineStr"/>
      <c r="V143" s="12" t="inlineStr">
        <is>
          <t>Cost Account = CA-1023; WBS Code = 1.1.1</t>
        </is>
      </c>
      <c r="W143" s="12" t="inlineStr"/>
    </row>
    <row r="144" ht="64" customHeight="1">
      <c r="A144" s="12" t="inlineStr">
        <is>
          <t>1.1.1</t>
        </is>
      </c>
      <c r="B144" s="12" t="inlineStr">
        <is>
          <t>Guideway and Civil - Guideway Structures</t>
        </is>
      </c>
      <c r="C144" s="12" t="inlineStr">
        <is>
          <t>Cost &amp; Forecast Control Accounts</t>
        </is>
      </c>
      <c r="D144" s="12" t="inlineStr">
        <is>
          <t>CST-01-025</t>
        </is>
      </c>
      <c r="E144" s="12" t="inlineStr">
        <is>
          <t>Guideway and Civil - roadworks - supply and install</t>
        </is>
      </c>
      <c r="F144" s="12" t="inlineStr">
        <is>
          <t>ONE_TO_ONE</t>
        </is>
      </c>
      <c r="G144" s="12" t="inlineStr">
        <is>
          <t>APPROVED</t>
        </is>
      </c>
      <c r="H144" s="12" t="inlineStr">
        <is>
          <t>New</t>
        </is>
      </c>
      <c r="I144" s="12" t="inlineStr">
        <is>
          <t>Source assignment -- not individually reviewed</t>
        </is>
      </c>
      <c r="J144" s="12" t="inlineStr"/>
      <c r="K144" s="12" t="inlineStr">
        <is>
          <t>Source assignment</t>
        </is>
      </c>
      <c r="L144" s="12" t="inlineStr"/>
      <c r="M144" s="12" t="inlineStr">
        <is>
          <t>Initial</t>
        </is>
      </c>
      <c r="N144" s="12" t="inlineStr">
        <is>
          <t>Rev 0</t>
        </is>
      </c>
      <c r="O144" s="12" t="inlineStr">
        <is>
          <t>R1107-v1</t>
        </is>
      </c>
      <c r="P144" s="12" t="inlineStr"/>
      <c r="Q144" s="12" t="inlineStr"/>
      <c r="R144" s="12" t="inlineStr"/>
      <c r="S144" s="12" t="inlineStr"/>
      <c r="T144" s="12" t="inlineStr"/>
      <c r="U144" s="12" t="inlineStr"/>
      <c r="V144" s="12" t="inlineStr">
        <is>
          <t>Cost Account = CA-1025; WBS Code = 1.1.1</t>
        </is>
      </c>
      <c r="W144" s="12" t="inlineStr"/>
    </row>
    <row r="145" ht="64" customHeight="1">
      <c r="A145" s="12" t="inlineStr">
        <is>
          <t>1.1.1</t>
        </is>
      </c>
      <c r="B145" s="12" t="inlineStr">
        <is>
          <t>Guideway and Civil - Guideway Structures</t>
        </is>
      </c>
      <c r="C145" s="12" t="inlineStr">
        <is>
          <t>Cost &amp; Forecast Control Accounts</t>
        </is>
      </c>
      <c r="D145" s="12" t="inlineStr">
        <is>
          <t>CST-01-027</t>
        </is>
      </c>
      <c r="E145" s="12" t="inlineStr">
        <is>
          <t>Guideway and Civil - concrete structures - allowance</t>
        </is>
      </c>
      <c r="F145" s="12" t="inlineStr">
        <is>
          <t>ONE_TO_ONE</t>
        </is>
      </c>
      <c r="G145" s="12" t="inlineStr">
        <is>
          <t>APPROVED</t>
        </is>
      </c>
      <c r="H145" s="12" t="inlineStr">
        <is>
          <t>New</t>
        </is>
      </c>
      <c r="I145" s="12" t="inlineStr">
        <is>
          <t>Source assignment -- not individually reviewed</t>
        </is>
      </c>
      <c r="J145" s="12" t="inlineStr"/>
      <c r="K145" s="12" t="inlineStr">
        <is>
          <t>Source assignment</t>
        </is>
      </c>
      <c r="L145" s="12" t="inlineStr"/>
      <c r="M145" s="12" t="inlineStr">
        <is>
          <t>Initial</t>
        </is>
      </c>
      <c r="N145" s="12" t="inlineStr">
        <is>
          <t>Rev 0</t>
        </is>
      </c>
      <c r="O145" s="12" t="inlineStr">
        <is>
          <t>R1109-v1</t>
        </is>
      </c>
      <c r="P145" s="12" t="inlineStr"/>
      <c r="Q145" s="12" t="inlineStr"/>
      <c r="R145" s="12" t="inlineStr"/>
      <c r="S145" s="12" t="inlineStr"/>
      <c r="T145" s="12" t="inlineStr"/>
      <c r="U145" s="12" t="inlineStr"/>
      <c r="V145" s="12" t="inlineStr">
        <is>
          <t>Cost Account = CA-1027; WBS Code = 1.1.1</t>
        </is>
      </c>
      <c r="W145" s="12" t="inlineStr"/>
    </row>
    <row r="146" ht="64" customHeight="1">
      <c r="A146" s="12" t="inlineStr">
        <is>
          <t>1.1.1</t>
        </is>
      </c>
      <c r="B146" s="12" t="inlineStr">
        <is>
          <t>Guideway and Civil - Guideway Structures</t>
        </is>
      </c>
      <c r="C146" s="12" t="inlineStr">
        <is>
          <t>Cost &amp; Forecast Control Accounts</t>
        </is>
      </c>
      <c r="D146" s="12" t="inlineStr">
        <is>
          <t>CST-01-029</t>
        </is>
      </c>
      <c r="E146" s="12" t="inlineStr">
        <is>
          <t>Guideway and Civil - temporary works - field package</t>
        </is>
      </c>
      <c r="F146" s="12" t="inlineStr">
        <is>
          <t>ONE_TO_ONE</t>
        </is>
      </c>
      <c r="G146" s="12" t="inlineStr">
        <is>
          <t>APPROVED</t>
        </is>
      </c>
      <c r="H146" s="12" t="inlineStr">
        <is>
          <t>New</t>
        </is>
      </c>
      <c r="I146" s="12" t="inlineStr">
        <is>
          <t>Source assignment -- not individually reviewed</t>
        </is>
      </c>
      <c r="J146" s="12" t="inlineStr"/>
      <c r="K146" s="12" t="inlineStr">
        <is>
          <t>Source assignment</t>
        </is>
      </c>
      <c r="L146" s="12" t="inlineStr"/>
      <c r="M146" s="12" t="inlineStr">
        <is>
          <t>Initial</t>
        </is>
      </c>
      <c r="N146" s="12" t="inlineStr">
        <is>
          <t>Rev 0</t>
        </is>
      </c>
      <c r="O146" s="12" t="inlineStr">
        <is>
          <t>R1111-v1</t>
        </is>
      </c>
      <c r="P146" s="12" t="inlineStr"/>
      <c r="Q146" s="12" t="inlineStr"/>
      <c r="R146" s="12" t="inlineStr"/>
      <c r="S146" s="12" t="inlineStr"/>
      <c r="T146" s="12" t="inlineStr"/>
      <c r="U146" s="12" t="inlineStr"/>
      <c r="V146" s="12" t="inlineStr">
        <is>
          <t>Cost Account = CA-1029; WBS Code = 1.1.1</t>
        </is>
      </c>
      <c r="W146" s="12" t="inlineStr"/>
    </row>
    <row r="147" ht="64" customHeight="1">
      <c r="A147" s="12" t="inlineStr">
        <is>
          <t>1.1.1</t>
        </is>
      </c>
      <c r="B147" s="12" t="inlineStr">
        <is>
          <t>Guideway and Civil - Guideway Structures</t>
        </is>
      </c>
      <c r="C147" s="12" t="inlineStr">
        <is>
          <t>Cost &amp; Forecast Control Accounts</t>
        </is>
      </c>
      <c r="D147" s="12" t="inlineStr">
        <is>
          <t>CST-01-031</t>
        </is>
      </c>
      <c r="E147" s="12" t="inlineStr">
        <is>
          <t>Guideway and Civil - roadworks - professional services</t>
        </is>
      </c>
      <c r="F147" s="12" t="inlineStr">
        <is>
          <t>ONE_TO_ONE</t>
        </is>
      </c>
      <c r="G147" s="12" t="inlineStr">
        <is>
          <t>APPROVED</t>
        </is>
      </c>
      <c r="H147" s="12" t="inlineStr">
        <is>
          <t>New</t>
        </is>
      </c>
      <c r="I147" s="12" t="inlineStr">
        <is>
          <t>Source assignment -- not individually reviewed</t>
        </is>
      </c>
      <c r="J147" s="12" t="inlineStr"/>
      <c r="K147" s="12" t="inlineStr">
        <is>
          <t>Source assignment</t>
        </is>
      </c>
      <c r="L147" s="12" t="inlineStr"/>
      <c r="M147" s="12" t="inlineStr">
        <is>
          <t>Initial</t>
        </is>
      </c>
      <c r="N147" s="12" t="inlineStr">
        <is>
          <t>Rev 0</t>
        </is>
      </c>
      <c r="O147" s="12" t="inlineStr">
        <is>
          <t>R1113-v1</t>
        </is>
      </c>
      <c r="P147" s="12" t="inlineStr"/>
      <c r="Q147" s="12" t="inlineStr"/>
      <c r="R147" s="12" t="inlineStr"/>
      <c r="S147" s="12" t="inlineStr"/>
      <c r="T147" s="12" t="inlineStr"/>
      <c r="U147" s="12" t="inlineStr"/>
      <c r="V147" s="12" t="inlineStr">
        <is>
          <t>Cost Account = CA-1031; WBS Code = 1.1.1</t>
        </is>
      </c>
      <c r="W147" s="12" t="inlineStr"/>
    </row>
    <row r="148" ht="64" customHeight="1">
      <c r="A148" s="12" t="inlineStr">
        <is>
          <t>1.1.1</t>
        </is>
      </c>
      <c r="B148" s="12" t="inlineStr">
        <is>
          <t>Guideway and Civil - Guideway Structures</t>
        </is>
      </c>
      <c r="C148" s="12" t="inlineStr">
        <is>
          <t>Cost &amp; Forecast Control Accounts</t>
        </is>
      </c>
      <c r="D148" s="12" t="inlineStr">
        <is>
          <t>CST-01-033</t>
        </is>
      </c>
      <c r="E148" s="12" t="inlineStr">
        <is>
          <t>Guideway and Civil - concrete structures - closeout</t>
        </is>
      </c>
      <c r="F148" s="12" t="inlineStr">
        <is>
          <t>ONE_TO_ONE</t>
        </is>
      </c>
      <c r="G148" s="12" t="inlineStr">
        <is>
          <t>APPROVED</t>
        </is>
      </c>
      <c r="H148" s="12" t="inlineStr">
        <is>
          <t>New</t>
        </is>
      </c>
      <c r="I148" s="12" t="inlineStr">
        <is>
          <t>Source assignment -- not individually reviewed</t>
        </is>
      </c>
      <c r="J148" s="12" t="inlineStr"/>
      <c r="K148" s="12" t="inlineStr">
        <is>
          <t>Source assignment</t>
        </is>
      </c>
      <c r="L148" s="12" t="inlineStr"/>
      <c r="M148" s="12" t="inlineStr">
        <is>
          <t>Initial</t>
        </is>
      </c>
      <c r="N148" s="12" t="inlineStr">
        <is>
          <t>Rev 0</t>
        </is>
      </c>
      <c r="O148" s="12" t="inlineStr">
        <is>
          <t>R1115-v1</t>
        </is>
      </c>
      <c r="P148" s="12" t="inlineStr"/>
      <c r="Q148" s="12" t="inlineStr"/>
      <c r="R148" s="12" t="inlineStr"/>
      <c r="S148" s="12" t="inlineStr"/>
      <c r="T148" s="12" t="inlineStr"/>
      <c r="U148" s="12" t="inlineStr"/>
      <c r="V148" s="12" t="inlineStr">
        <is>
          <t>Cost Account = CA-1033; WBS Code = 1.1.1</t>
        </is>
      </c>
      <c r="W148" s="12" t="inlineStr"/>
    </row>
    <row r="149" ht="64" customHeight="1">
      <c r="A149" s="12" t="inlineStr">
        <is>
          <t>1.1.1</t>
        </is>
      </c>
      <c r="B149" s="12" t="inlineStr">
        <is>
          <t>Guideway and Civil - Guideway Structures</t>
        </is>
      </c>
      <c r="C149" s="12" t="inlineStr">
        <is>
          <t>Cost &amp; Forecast Control Accounts</t>
        </is>
      </c>
      <c r="D149" s="12" t="inlineStr">
        <is>
          <t>CST-01-035</t>
        </is>
      </c>
      <c r="E149" s="12" t="inlineStr">
        <is>
          <t>Guideway and Civil - temporary works - supply and install</t>
        </is>
      </c>
      <c r="F149" s="12" t="inlineStr">
        <is>
          <t>ONE_TO_ONE</t>
        </is>
      </c>
      <c r="G149" s="12" t="inlineStr">
        <is>
          <t>APPROVED</t>
        </is>
      </c>
      <c r="H149" s="12" t="inlineStr">
        <is>
          <t>New</t>
        </is>
      </c>
      <c r="I149" s="12" t="inlineStr">
        <is>
          <t>Source assignment -- not individually reviewed</t>
        </is>
      </c>
      <c r="J149" s="12" t="inlineStr"/>
      <c r="K149" s="12" t="inlineStr">
        <is>
          <t>Source assignment</t>
        </is>
      </c>
      <c r="L149" s="12" t="inlineStr"/>
      <c r="M149" s="12" t="inlineStr">
        <is>
          <t>Initial</t>
        </is>
      </c>
      <c r="N149" s="12" t="inlineStr">
        <is>
          <t>Rev 0</t>
        </is>
      </c>
      <c r="O149" s="12" t="inlineStr">
        <is>
          <t>R1117-v1</t>
        </is>
      </c>
      <c r="P149" s="12" t="inlineStr"/>
      <c r="Q149" s="12" t="inlineStr"/>
      <c r="R149" s="12" t="inlineStr"/>
      <c r="S149" s="12" t="inlineStr"/>
      <c r="T149" s="12" t="inlineStr"/>
      <c r="U149" s="12" t="inlineStr"/>
      <c r="V149" s="12" t="inlineStr">
        <is>
          <t>Cost Account = CA-1035; WBS Code = 1.1.1</t>
        </is>
      </c>
      <c r="W149" s="12" t="inlineStr"/>
    </row>
    <row r="150" ht="64" customHeight="1">
      <c r="A150" s="12" t="inlineStr">
        <is>
          <t>1.1.1</t>
        </is>
      </c>
      <c r="B150" s="12" t="inlineStr">
        <is>
          <t>Guideway and Civil - Guideway Structures</t>
        </is>
      </c>
      <c r="C150" s="12" t="inlineStr">
        <is>
          <t>Cost &amp; Forecast Control Accounts</t>
        </is>
      </c>
      <c r="D150" s="12" t="inlineStr">
        <is>
          <t>CST-01-037</t>
        </is>
      </c>
      <c r="E150" s="12" t="inlineStr">
        <is>
          <t>Guideway and Civil - roadworks - allowance</t>
        </is>
      </c>
      <c r="F150" s="12" t="inlineStr">
        <is>
          <t>ONE_TO_ONE</t>
        </is>
      </c>
      <c r="G150" s="12" t="inlineStr">
        <is>
          <t>APPROVED</t>
        </is>
      </c>
      <c r="H150" s="12" t="inlineStr">
        <is>
          <t>New</t>
        </is>
      </c>
      <c r="I150" s="12" t="inlineStr">
        <is>
          <t>Source assignment -- not individually reviewed</t>
        </is>
      </c>
      <c r="J150" s="12" t="inlineStr"/>
      <c r="K150" s="12" t="inlineStr">
        <is>
          <t>Source assignment</t>
        </is>
      </c>
      <c r="L150" s="12" t="inlineStr"/>
      <c r="M150" s="12" t="inlineStr">
        <is>
          <t>Initial</t>
        </is>
      </c>
      <c r="N150" s="12" t="inlineStr">
        <is>
          <t>Rev 0</t>
        </is>
      </c>
      <c r="O150" s="12" t="inlineStr">
        <is>
          <t>R1119-v1</t>
        </is>
      </c>
      <c r="P150" s="12" t="inlineStr"/>
      <c r="Q150" s="12" t="inlineStr"/>
      <c r="R150" s="12" t="inlineStr"/>
      <c r="S150" s="12" t="inlineStr"/>
      <c r="T150" s="12" t="inlineStr"/>
      <c r="U150" s="12" t="inlineStr"/>
      <c r="V150" s="12" t="inlineStr">
        <is>
          <t>Cost Account = CA-1037; WBS Code = 1.1.1</t>
        </is>
      </c>
      <c r="W150" s="12" t="inlineStr"/>
    </row>
    <row r="151" ht="64" customHeight="1">
      <c r="A151" s="12" t="inlineStr">
        <is>
          <t>1.1.1</t>
        </is>
      </c>
      <c r="B151" s="12" t="inlineStr">
        <is>
          <t>Guideway and Civil - Guideway Structures</t>
        </is>
      </c>
      <c r="C151" s="12" t="inlineStr">
        <is>
          <t>Cost &amp; Forecast Control Accounts</t>
        </is>
      </c>
      <c r="D151" s="12" t="inlineStr">
        <is>
          <t>CST-01-039</t>
        </is>
      </c>
      <c r="E151" s="12" t="inlineStr">
        <is>
          <t>Guideway and Civil - concrete structures - field package</t>
        </is>
      </c>
      <c r="F151" s="12" t="inlineStr">
        <is>
          <t>ONE_TO_ONE</t>
        </is>
      </c>
      <c r="G151" s="12" t="inlineStr">
        <is>
          <t>APPROVED</t>
        </is>
      </c>
      <c r="H151" s="12" t="inlineStr">
        <is>
          <t>New</t>
        </is>
      </c>
      <c r="I151" s="12" t="inlineStr">
        <is>
          <t>Source assignment -- not individually reviewed</t>
        </is>
      </c>
      <c r="J151" s="12" t="inlineStr"/>
      <c r="K151" s="12" t="inlineStr">
        <is>
          <t>Source assignment</t>
        </is>
      </c>
      <c r="L151" s="12" t="inlineStr"/>
      <c r="M151" s="12" t="inlineStr">
        <is>
          <t>Initial</t>
        </is>
      </c>
      <c r="N151" s="12" t="inlineStr">
        <is>
          <t>Rev 0</t>
        </is>
      </c>
      <c r="O151" s="12" t="inlineStr">
        <is>
          <t>R1121-v1</t>
        </is>
      </c>
      <c r="P151" s="12" t="inlineStr"/>
      <c r="Q151" s="12" t="inlineStr"/>
      <c r="R151" s="12" t="inlineStr"/>
      <c r="S151" s="12" t="inlineStr"/>
      <c r="T151" s="12" t="inlineStr"/>
      <c r="U151" s="12" t="inlineStr"/>
      <c r="V151" s="12" t="inlineStr">
        <is>
          <t>Cost Account = CA-1039; WBS Code = 1.1.1</t>
        </is>
      </c>
      <c r="W151" s="12" t="inlineStr"/>
    </row>
    <row r="152" ht="64" customHeight="1">
      <c r="A152" s="12" t="inlineStr">
        <is>
          <t>1.1.1</t>
        </is>
      </c>
      <c r="B152" s="12" t="inlineStr">
        <is>
          <t>Guideway and Civil - Guideway Structures</t>
        </is>
      </c>
      <c r="C152" s="12" t="inlineStr">
        <is>
          <t>Cost &amp; Forecast Control Accounts</t>
        </is>
      </c>
      <c r="D152" s="12" t="inlineStr">
        <is>
          <t>CST-01-041</t>
        </is>
      </c>
      <c r="E152" s="12" t="inlineStr">
        <is>
          <t>Guideway and Civil - temporary works - professional services</t>
        </is>
      </c>
      <c r="F152" s="12" t="inlineStr">
        <is>
          <t>ONE_TO_ONE</t>
        </is>
      </c>
      <c r="G152" s="12" t="inlineStr">
        <is>
          <t>APPROVED</t>
        </is>
      </c>
      <c r="H152" s="12" t="inlineStr">
        <is>
          <t>New</t>
        </is>
      </c>
      <c r="I152" s="12" t="inlineStr">
        <is>
          <t>Source assignment -- not individually reviewed</t>
        </is>
      </c>
      <c r="J152" s="12" t="inlineStr"/>
      <c r="K152" s="12" t="inlineStr">
        <is>
          <t>Source assignment</t>
        </is>
      </c>
      <c r="L152" s="12" t="inlineStr"/>
      <c r="M152" s="12" t="inlineStr">
        <is>
          <t>Initial</t>
        </is>
      </c>
      <c r="N152" s="12" t="inlineStr">
        <is>
          <t>Rev 0</t>
        </is>
      </c>
      <c r="O152" s="12" t="inlineStr">
        <is>
          <t>R1123-v1</t>
        </is>
      </c>
      <c r="P152" s="12" t="inlineStr"/>
      <c r="Q152" s="12" t="inlineStr"/>
      <c r="R152" s="12" t="inlineStr"/>
      <c r="S152" s="12" t="inlineStr"/>
      <c r="T152" s="12" t="inlineStr"/>
      <c r="U152" s="12" t="inlineStr"/>
      <c r="V152" s="12" t="inlineStr">
        <is>
          <t>Cost Account = CA-1041; WBS Code = 1.1.1</t>
        </is>
      </c>
      <c r="W152" s="12" t="inlineStr"/>
    </row>
    <row r="153" ht="64" customHeight="1">
      <c r="A153" s="12" t="inlineStr">
        <is>
          <t>1.1.1</t>
        </is>
      </c>
      <c r="B153" s="12" t="inlineStr">
        <is>
          <t>Guideway and Civil - Guideway Structures</t>
        </is>
      </c>
      <c r="C153" s="12" t="inlineStr">
        <is>
          <t>Cost &amp; Forecast Control Accounts</t>
        </is>
      </c>
      <c r="D153" s="12" t="inlineStr">
        <is>
          <t>CST-01-043</t>
        </is>
      </c>
      <c r="E153" s="12" t="inlineStr">
        <is>
          <t>Guideway and Civil - roadworks - closeout</t>
        </is>
      </c>
      <c r="F153" s="12" t="inlineStr">
        <is>
          <t>ONE_TO_ONE</t>
        </is>
      </c>
      <c r="G153" s="12" t="inlineStr">
        <is>
          <t>APPROVED</t>
        </is>
      </c>
      <c r="H153" s="12" t="inlineStr">
        <is>
          <t>New</t>
        </is>
      </c>
      <c r="I153" s="12" t="inlineStr">
        <is>
          <t>Source assignment -- not individually reviewed</t>
        </is>
      </c>
      <c r="J153" s="12" t="inlineStr"/>
      <c r="K153" s="12" t="inlineStr">
        <is>
          <t>Source assignment</t>
        </is>
      </c>
      <c r="L153" s="12" t="inlineStr"/>
      <c r="M153" s="12" t="inlineStr">
        <is>
          <t>Initial</t>
        </is>
      </c>
      <c r="N153" s="12" t="inlineStr">
        <is>
          <t>Rev 0</t>
        </is>
      </c>
      <c r="O153" s="12" t="inlineStr">
        <is>
          <t>R1125-v1</t>
        </is>
      </c>
      <c r="P153" s="12" t="inlineStr"/>
      <c r="Q153" s="12" t="inlineStr"/>
      <c r="R153" s="12" t="inlineStr"/>
      <c r="S153" s="12" t="inlineStr"/>
      <c r="T153" s="12" t="inlineStr"/>
      <c r="U153" s="12" t="inlineStr"/>
      <c r="V153" s="12" t="inlineStr">
        <is>
          <t>Cost Account = CA-1043; WBS Code = 1.1.1</t>
        </is>
      </c>
      <c r="W153" s="12" t="inlineStr"/>
    </row>
    <row r="154" ht="64" customHeight="1">
      <c r="A154" s="12" t="inlineStr">
        <is>
          <t>1.1.1</t>
        </is>
      </c>
      <c r="B154" s="12" t="inlineStr">
        <is>
          <t>Guideway and Civil - Guideway Structures</t>
        </is>
      </c>
      <c r="C154" s="12" t="inlineStr">
        <is>
          <t>Cost &amp; Forecast Control Accounts</t>
        </is>
      </c>
      <c r="D154" s="12" t="inlineStr">
        <is>
          <t>CST-01-045</t>
        </is>
      </c>
      <c r="E154" s="12" t="inlineStr">
        <is>
          <t>Guideway and Civil - concrete structures - supply and install</t>
        </is>
      </c>
      <c r="F154" s="12" t="inlineStr">
        <is>
          <t>ONE_TO_ONE</t>
        </is>
      </c>
      <c r="G154" s="12" t="inlineStr">
        <is>
          <t>APPROVED</t>
        </is>
      </c>
      <c r="H154" s="12" t="inlineStr">
        <is>
          <t>New</t>
        </is>
      </c>
      <c r="I154" s="12" t="inlineStr">
        <is>
          <t>Source assignment -- not individually reviewed</t>
        </is>
      </c>
      <c r="J154" s="12" t="inlineStr"/>
      <c r="K154" s="12" t="inlineStr">
        <is>
          <t>Source assignment</t>
        </is>
      </c>
      <c r="L154" s="12" t="inlineStr"/>
      <c r="M154" s="12" t="inlineStr">
        <is>
          <t>Initial</t>
        </is>
      </c>
      <c r="N154" s="12" t="inlineStr">
        <is>
          <t>Rev 0</t>
        </is>
      </c>
      <c r="O154" s="12" t="inlineStr">
        <is>
          <t>R1127-v1</t>
        </is>
      </c>
      <c r="P154" s="12" t="inlineStr"/>
      <c r="Q154" s="12" t="inlineStr"/>
      <c r="R154" s="12" t="inlineStr"/>
      <c r="S154" s="12" t="inlineStr"/>
      <c r="T154" s="12" t="inlineStr"/>
      <c r="U154" s="12" t="inlineStr"/>
      <c r="V154" s="12" t="inlineStr">
        <is>
          <t>Cost Account = CA-1045; WBS Code = 1.1.1</t>
        </is>
      </c>
      <c r="W154" s="12" t="inlineStr"/>
    </row>
    <row r="155" ht="64" customHeight="1">
      <c r="A155" s="12" t="inlineStr">
        <is>
          <t>1.1.1</t>
        </is>
      </c>
      <c r="B155" s="12" t="inlineStr">
        <is>
          <t>Guideway and Civil - Guideway Structures</t>
        </is>
      </c>
      <c r="C155" s="12" t="inlineStr">
        <is>
          <t>Cost &amp; Forecast Control Accounts</t>
        </is>
      </c>
      <c r="D155" s="12" t="inlineStr">
        <is>
          <t>CST-01-047</t>
        </is>
      </c>
      <c r="E155" s="12" t="inlineStr">
        <is>
          <t>Guideway and Civil - temporary works - allowance</t>
        </is>
      </c>
      <c r="F155" s="12" t="inlineStr">
        <is>
          <t>ONE_TO_ONE</t>
        </is>
      </c>
      <c r="G155" s="12" t="inlineStr">
        <is>
          <t>APPROVED</t>
        </is>
      </c>
      <c r="H155" s="12" t="inlineStr">
        <is>
          <t>New</t>
        </is>
      </c>
      <c r="I155" s="12" t="inlineStr">
        <is>
          <t>Source assignment -- not individually reviewed</t>
        </is>
      </c>
      <c r="J155" s="12" t="inlineStr"/>
      <c r="K155" s="12" t="inlineStr">
        <is>
          <t>Source assignment</t>
        </is>
      </c>
      <c r="L155" s="12" t="inlineStr"/>
      <c r="M155" s="12" t="inlineStr">
        <is>
          <t>Initial</t>
        </is>
      </c>
      <c r="N155" s="12" t="inlineStr">
        <is>
          <t>Rev 0</t>
        </is>
      </c>
      <c r="O155" s="12" t="inlineStr">
        <is>
          <t>R1129-v1</t>
        </is>
      </c>
      <c r="P155" s="12" t="inlineStr"/>
      <c r="Q155" s="12" t="inlineStr"/>
      <c r="R155" s="12" t="inlineStr"/>
      <c r="S155" s="12" t="inlineStr"/>
      <c r="T155" s="12" t="inlineStr"/>
      <c r="U155" s="12" t="inlineStr"/>
      <c r="V155" s="12" t="inlineStr">
        <is>
          <t>Cost Account = CA-1047; WBS Code = 1.1.1</t>
        </is>
      </c>
      <c r="W155" s="12" t="inlineStr"/>
    </row>
    <row r="156" ht="64" customHeight="1">
      <c r="A156" s="12" t="inlineStr">
        <is>
          <t>1.1.1</t>
        </is>
      </c>
      <c r="B156" s="12" t="inlineStr">
        <is>
          <t>Guideway and Civil - Guideway Structures</t>
        </is>
      </c>
      <c r="C156" s="12" t="inlineStr">
        <is>
          <t>Cost &amp; Forecast Control Accounts</t>
        </is>
      </c>
      <c r="D156" s="12" t="inlineStr">
        <is>
          <t>CST-01-049</t>
        </is>
      </c>
      <c r="E156" s="12" t="inlineStr">
        <is>
          <t>Guideway and Civil - roadworks - field package</t>
        </is>
      </c>
      <c r="F156" s="12" t="inlineStr">
        <is>
          <t>ONE_TO_ONE</t>
        </is>
      </c>
      <c r="G156" s="12" t="inlineStr">
        <is>
          <t>APPROVED</t>
        </is>
      </c>
      <c r="H156" s="12" t="inlineStr">
        <is>
          <t>New</t>
        </is>
      </c>
      <c r="I156" s="12" t="inlineStr">
        <is>
          <t>Source assignment -- not individually reviewed</t>
        </is>
      </c>
      <c r="J156" s="12" t="inlineStr"/>
      <c r="K156" s="12" t="inlineStr">
        <is>
          <t>Source assignment</t>
        </is>
      </c>
      <c r="L156" s="12" t="inlineStr"/>
      <c r="M156" s="12" t="inlineStr">
        <is>
          <t>Initial</t>
        </is>
      </c>
      <c r="N156" s="12" t="inlineStr">
        <is>
          <t>Rev 0</t>
        </is>
      </c>
      <c r="O156" s="12" t="inlineStr">
        <is>
          <t>R1131-v1</t>
        </is>
      </c>
      <c r="P156" s="12" t="inlineStr"/>
      <c r="Q156" s="12" t="inlineStr"/>
      <c r="R156" s="12" t="inlineStr"/>
      <c r="S156" s="12" t="inlineStr"/>
      <c r="T156" s="12" t="inlineStr"/>
      <c r="U156" s="12" t="inlineStr"/>
      <c r="V156" s="12" t="inlineStr">
        <is>
          <t>Cost Account = CA-1049; WBS Code = 1.1.1</t>
        </is>
      </c>
      <c r="W156" s="12" t="inlineStr"/>
    </row>
    <row r="157" ht="64" customHeight="1">
      <c r="A157" s="12" t="inlineStr">
        <is>
          <t>1.1.1</t>
        </is>
      </c>
      <c r="B157" s="12" t="inlineStr">
        <is>
          <t>Guideway and Civil - Guideway Structures</t>
        </is>
      </c>
      <c r="C157" s="12" t="inlineStr">
        <is>
          <t>Cost &amp; Forecast Control Accounts</t>
        </is>
      </c>
      <c r="D157" s="12" t="inlineStr">
        <is>
          <t>CST-01-051</t>
        </is>
      </c>
      <c r="E157" s="12" t="inlineStr">
        <is>
          <t>Guideway and Civil - concrete structures - professional services</t>
        </is>
      </c>
      <c r="F157" s="12" t="inlineStr">
        <is>
          <t>ONE_TO_ONE</t>
        </is>
      </c>
      <c r="G157" s="12" t="inlineStr">
        <is>
          <t>APPROVED</t>
        </is>
      </c>
      <c r="H157" s="12" t="inlineStr">
        <is>
          <t>New</t>
        </is>
      </c>
      <c r="I157" s="12" t="inlineStr">
        <is>
          <t>Source assignment -- not individually reviewed</t>
        </is>
      </c>
      <c r="J157" s="12" t="inlineStr"/>
      <c r="K157" s="12" t="inlineStr">
        <is>
          <t>Source assignment</t>
        </is>
      </c>
      <c r="L157" s="12" t="inlineStr"/>
      <c r="M157" s="12" t="inlineStr">
        <is>
          <t>Initial</t>
        </is>
      </c>
      <c r="N157" s="12" t="inlineStr">
        <is>
          <t>Rev 0</t>
        </is>
      </c>
      <c r="O157" s="12" t="inlineStr">
        <is>
          <t>R1133-v1</t>
        </is>
      </c>
      <c r="P157" s="12" t="inlineStr"/>
      <c r="Q157" s="12" t="inlineStr"/>
      <c r="R157" s="12" t="inlineStr"/>
      <c r="S157" s="12" t="inlineStr"/>
      <c r="T157" s="12" t="inlineStr"/>
      <c r="U157" s="12" t="inlineStr"/>
      <c r="V157" s="12" t="inlineStr">
        <is>
          <t>Cost Account = CA-1051; WBS Code = 1.1.1</t>
        </is>
      </c>
      <c r="W157" s="12" t="inlineStr"/>
    </row>
    <row r="158" ht="64" customHeight="1">
      <c r="A158" s="12" t="inlineStr">
        <is>
          <t>1.1.1</t>
        </is>
      </c>
      <c r="B158" s="12" t="inlineStr">
        <is>
          <t>Guideway and Civil - Guideway Structures</t>
        </is>
      </c>
      <c r="C158" s="12" t="inlineStr">
        <is>
          <t>Cost &amp; Forecast Control Accounts</t>
        </is>
      </c>
      <c r="D158" s="12" t="inlineStr">
        <is>
          <t>CST-01-053</t>
        </is>
      </c>
      <c r="E158" s="12" t="inlineStr">
        <is>
          <t>Guideway and Civil - temporary works - closeout</t>
        </is>
      </c>
      <c r="F158" s="12" t="inlineStr">
        <is>
          <t>ONE_TO_ONE</t>
        </is>
      </c>
      <c r="G158" s="12" t="inlineStr">
        <is>
          <t>APPROVED</t>
        </is>
      </c>
      <c r="H158" s="12" t="inlineStr">
        <is>
          <t>New</t>
        </is>
      </c>
      <c r="I158" s="12" t="inlineStr">
        <is>
          <t>Source assignment -- not individually reviewed</t>
        </is>
      </c>
      <c r="J158" s="12" t="inlineStr"/>
      <c r="K158" s="12" t="inlineStr">
        <is>
          <t>Source assignment</t>
        </is>
      </c>
      <c r="L158" s="12" t="inlineStr"/>
      <c r="M158" s="12" t="inlineStr">
        <is>
          <t>Initial</t>
        </is>
      </c>
      <c r="N158" s="12" t="inlineStr">
        <is>
          <t>Rev 0</t>
        </is>
      </c>
      <c r="O158" s="12" t="inlineStr">
        <is>
          <t>R1135-v1</t>
        </is>
      </c>
      <c r="P158" s="12" t="inlineStr"/>
      <c r="Q158" s="12" t="inlineStr"/>
      <c r="R158" s="12" t="inlineStr"/>
      <c r="S158" s="12" t="inlineStr"/>
      <c r="T158" s="12" t="inlineStr"/>
      <c r="U158" s="12" t="inlineStr"/>
      <c r="V158" s="12" t="inlineStr">
        <is>
          <t>Cost Account = CA-1053; WBS Code = 1.1.1</t>
        </is>
      </c>
      <c r="W158" s="12" t="inlineStr"/>
    </row>
    <row r="159" ht="64" customHeight="1">
      <c r="A159" s="12" t="inlineStr">
        <is>
          <t>1.1.1</t>
        </is>
      </c>
      <c r="B159" s="12" t="inlineStr">
        <is>
          <t>Guideway and Civil - Guideway Structures</t>
        </is>
      </c>
      <c r="C159" s="12" t="inlineStr">
        <is>
          <t>Cost &amp; Forecast Control Accounts</t>
        </is>
      </c>
      <c r="D159" s="12" t="inlineStr">
        <is>
          <t>CST-01-055</t>
        </is>
      </c>
      <c r="E159" s="12" t="inlineStr">
        <is>
          <t>Guideway and Civil - roadworks - supply and install</t>
        </is>
      </c>
      <c r="F159" s="12" t="inlineStr">
        <is>
          <t>ONE_TO_ONE</t>
        </is>
      </c>
      <c r="G159" s="12" t="inlineStr">
        <is>
          <t>APPROVED</t>
        </is>
      </c>
      <c r="H159" s="12" t="inlineStr">
        <is>
          <t>New</t>
        </is>
      </c>
      <c r="I159" s="12" t="inlineStr">
        <is>
          <t>Source assignment -- not individually reviewed</t>
        </is>
      </c>
      <c r="J159" s="12" t="inlineStr"/>
      <c r="K159" s="12" t="inlineStr">
        <is>
          <t>Source assignment</t>
        </is>
      </c>
      <c r="L159" s="12" t="inlineStr"/>
      <c r="M159" s="12" t="inlineStr">
        <is>
          <t>Initial</t>
        </is>
      </c>
      <c r="N159" s="12" t="inlineStr">
        <is>
          <t>Rev 0</t>
        </is>
      </c>
      <c r="O159" s="12" t="inlineStr">
        <is>
          <t>R1137-v1</t>
        </is>
      </c>
      <c r="P159" s="12" t="inlineStr"/>
      <c r="Q159" s="12" t="inlineStr"/>
      <c r="R159" s="12" t="inlineStr"/>
      <c r="S159" s="12" t="inlineStr"/>
      <c r="T159" s="12" t="inlineStr"/>
      <c r="U159" s="12" t="inlineStr"/>
      <c r="V159" s="12" t="inlineStr">
        <is>
          <t>Cost Account = CA-1055; WBS Code = 1.1.1</t>
        </is>
      </c>
      <c r="W159" s="12" t="inlineStr"/>
    </row>
    <row r="160" ht="64" customHeight="1">
      <c r="A160" s="12" t="inlineStr">
        <is>
          <t>1.1.1</t>
        </is>
      </c>
      <c r="B160" s="12" t="inlineStr">
        <is>
          <t>Guideway and Civil - Guideway Structures</t>
        </is>
      </c>
      <c r="C160" s="12" t="inlineStr">
        <is>
          <t>Cost &amp; Forecast Control Accounts</t>
        </is>
      </c>
      <c r="D160" s="12" t="inlineStr">
        <is>
          <t>CST-01-057</t>
        </is>
      </c>
      <c r="E160" s="12" t="inlineStr">
        <is>
          <t>Guideway and Civil - concrete structures - allowance</t>
        </is>
      </c>
      <c r="F160" s="12" t="inlineStr">
        <is>
          <t>ONE_TO_ONE</t>
        </is>
      </c>
      <c r="G160" s="12" t="inlineStr">
        <is>
          <t>APPROVED</t>
        </is>
      </c>
      <c r="H160" s="12" t="inlineStr">
        <is>
          <t>New</t>
        </is>
      </c>
      <c r="I160" s="12" t="inlineStr">
        <is>
          <t>Source assignment -- not individually reviewed</t>
        </is>
      </c>
      <c r="J160" s="12" t="inlineStr"/>
      <c r="K160" s="12" t="inlineStr">
        <is>
          <t>Source assignment</t>
        </is>
      </c>
      <c r="L160" s="12" t="inlineStr"/>
      <c r="M160" s="12" t="inlineStr">
        <is>
          <t>Initial</t>
        </is>
      </c>
      <c r="N160" s="12" t="inlineStr">
        <is>
          <t>Rev 0</t>
        </is>
      </c>
      <c r="O160" s="12" t="inlineStr">
        <is>
          <t>R1139-v1</t>
        </is>
      </c>
      <c r="P160" s="12" t="inlineStr"/>
      <c r="Q160" s="12" t="inlineStr"/>
      <c r="R160" s="12" t="inlineStr"/>
      <c r="S160" s="12" t="inlineStr"/>
      <c r="T160" s="12" t="inlineStr"/>
      <c r="U160" s="12" t="inlineStr"/>
      <c r="V160" s="12" t="inlineStr">
        <is>
          <t>Cost Account = CA-1057; WBS Code = 1.1.1</t>
        </is>
      </c>
      <c r="W160" s="12" t="inlineStr"/>
    </row>
    <row r="161" ht="64" customHeight="1">
      <c r="A161" s="12" t="inlineStr">
        <is>
          <t>1.1.1</t>
        </is>
      </c>
      <c r="B161" s="12" t="inlineStr">
        <is>
          <t>Guideway and Civil - Guideway Structures</t>
        </is>
      </c>
      <c r="C161" s="12" t="inlineStr">
        <is>
          <t>Cost &amp; Forecast Control Accounts</t>
        </is>
      </c>
      <c r="D161" s="12" t="inlineStr">
        <is>
          <t>CST-01-059</t>
        </is>
      </c>
      <c r="E161" s="12" t="inlineStr">
        <is>
          <t>Guideway and Civil - temporary works - field package</t>
        </is>
      </c>
      <c r="F161" s="12" t="inlineStr">
        <is>
          <t>ONE_TO_ONE</t>
        </is>
      </c>
      <c r="G161" s="12" t="inlineStr">
        <is>
          <t>APPROVED</t>
        </is>
      </c>
      <c r="H161" s="12" t="inlineStr">
        <is>
          <t>New</t>
        </is>
      </c>
      <c r="I161" s="12" t="inlineStr">
        <is>
          <t>Source assignment -- not individually reviewed</t>
        </is>
      </c>
      <c r="J161" s="12" t="inlineStr"/>
      <c r="K161" s="12" t="inlineStr">
        <is>
          <t>Source assignment</t>
        </is>
      </c>
      <c r="L161" s="12" t="inlineStr"/>
      <c r="M161" s="12" t="inlineStr">
        <is>
          <t>Initial</t>
        </is>
      </c>
      <c r="N161" s="12" t="inlineStr">
        <is>
          <t>Rev 0</t>
        </is>
      </c>
      <c r="O161" s="12" t="inlineStr">
        <is>
          <t>R1141-v1</t>
        </is>
      </c>
      <c r="P161" s="12" t="inlineStr"/>
      <c r="Q161" s="12" t="inlineStr"/>
      <c r="R161" s="12" t="inlineStr"/>
      <c r="S161" s="12" t="inlineStr"/>
      <c r="T161" s="12" t="inlineStr"/>
      <c r="U161" s="12" t="inlineStr"/>
      <c r="V161" s="12" t="inlineStr">
        <is>
          <t>Cost Account = CA-1059; WBS Code = 1.1.1</t>
        </is>
      </c>
      <c r="W161" s="12" t="inlineStr"/>
    </row>
    <row r="162" ht="64" customHeight="1">
      <c r="A162" s="12" t="inlineStr">
        <is>
          <t>1.1.1</t>
        </is>
      </c>
      <c r="B162" s="12" t="inlineStr">
        <is>
          <t>Guideway and Civil - Guideway Structures</t>
        </is>
      </c>
      <c r="C162" s="12" t="inlineStr">
        <is>
          <t>Cost &amp; Forecast Control Accounts</t>
        </is>
      </c>
      <c r="D162" s="12" t="inlineStr">
        <is>
          <t>CST-01-061</t>
        </is>
      </c>
      <c r="E162" s="12" t="inlineStr">
        <is>
          <t>Guideway and Civil - roadworks - professional services</t>
        </is>
      </c>
      <c r="F162" s="12" t="inlineStr">
        <is>
          <t>ONE_TO_ONE</t>
        </is>
      </c>
      <c r="G162" s="12" t="inlineStr">
        <is>
          <t>APPROVED</t>
        </is>
      </c>
      <c r="H162" s="12" t="inlineStr">
        <is>
          <t>New</t>
        </is>
      </c>
      <c r="I162" s="12" t="inlineStr">
        <is>
          <t>Source assignment -- not individually reviewed</t>
        </is>
      </c>
      <c r="J162" s="12" t="inlineStr"/>
      <c r="K162" s="12" t="inlineStr">
        <is>
          <t>Source assignment</t>
        </is>
      </c>
      <c r="L162" s="12" t="inlineStr"/>
      <c r="M162" s="12" t="inlineStr">
        <is>
          <t>Initial</t>
        </is>
      </c>
      <c r="N162" s="12" t="inlineStr">
        <is>
          <t>Rev 0</t>
        </is>
      </c>
      <c r="O162" s="12" t="inlineStr">
        <is>
          <t>R1143-v1</t>
        </is>
      </c>
      <c r="P162" s="12" t="inlineStr"/>
      <c r="Q162" s="12" t="inlineStr"/>
      <c r="R162" s="12" t="inlineStr"/>
      <c r="S162" s="12" t="inlineStr"/>
      <c r="T162" s="12" t="inlineStr"/>
      <c r="U162" s="12" t="inlineStr"/>
      <c r="V162" s="12" t="inlineStr">
        <is>
          <t>Cost Account = CA-1061; WBS Code = 1.1.1</t>
        </is>
      </c>
      <c r="W162" s="12" t="inlineStr"/>
    </row>
    <row r="163" ht="64" customHeight="1">
      <c r="A163" s="12" t="inlineStr">
        <is>
          <t>1.1.1</t>
        </is>
      </c>
      <c r="B163" s="12" t="inlineStr">
        <is>
          <t>Guideway and Civil - Guideway Structures</t>
        </is>
      </c>
      <c r="C163" s="12" t="inlineStr">
        <is>
          <t>Cost &amp; Forecast Control Accounts</t>
        </is>
      </c>
      <c r="D163" s="12" t="inlineStr">
        <is>
          <t>CST-01-063</t>
        </is>
      </c>
      <c r="E163" s="12" t="inlineStr">
        <is>
          <t>Guideway and Civil - concrete structures - closeout</t>
        </is>
      </c>
      <c r="F163" s="12" t="inlineStr">
        <is>
          <t>ONE_TO_ONE</t>
        </is>
      </c>
      <c r="G163" s="12" t="inlineStr">
        <is>
          <t>APPROVED</t>
        </is>
      </c>
      <c r="H163" s="12" t="inlineStr">
        <is>
          <t>New</t>
        </is>
      </c>
      <c r="I163" s="12" t="inlineStr">
        <is>
          <t>Source assignment -- not individually reviewed</t>
        </is>
      </c>
      <c r="J163" s="12" t="inlineStr"/>
      <c r="K163" s="12" t="inlineStr">
        <is>
          <t>Source assignment</t>
        </is>
      </c>
      <c r="L163" s="12" t="inlineStr"/>
      <c r="M163" s="12" t="inlineStr">
        <is>
          <t>Initial</t>
        </is>
      </c>
      <c r="N163" s="12" t="inlineStr">
        <is>
          <t>Rev 0</t>
        </is>
      </c>
      <c r="O163" s="12" t="inlineStr">
        <is>
          <t>R1145-v1</t>
        </is>
      </c>
      <c r="P163" s="12" t="inlineStr"/>
      <c r="Q163" s="12" t="inlineStr"/>
      <c r="R163" s="12" t="inlineStr"/>
      <c r="S163" s="12" t="inlineStr"/>
      <c r="T163" s="12" t="inlineStr"/>
      <c r="U163" s="12" t="inlineStr"/>
      <c r="V163" s="12" t="inlineStr">
        <is>
          <t>Cost Account = CA-1063; WBS Code = 1.1.1</t>
        </is>
      </c>
      <c r="W163" s="12" t="inlineStr"/>
    </row>
    <row r="164" ht="64" customHeight="1">
      <c r="A164" s="12" t="inlineStr">
        <is>
          <t>1.1.1</t>
        </is>
      </c>
      <c r="B164" s="12" t="inlineStr">
        <is>
          <t>Guideway and Civil - Guideway Structures</t>
        </is>
      </c>
      <c r="C164" s="12" t="inlineStr">
        <is>
          <t>Cost &amp; Forecast Control Accounts</t>
        </is>
      </c>
      <c r="D164" s="12" t="inlineStr">
        <is>
          <t>CST-01-065</t>
        </is>
      </c>
      <c r="E164" s="12" t="inlineStr">
        <is>
          <t>Guideway and Civil - temporary works - supply and install</t>
        </is>
      </c>
      <c r="F164" s="12" t="inlineStr">
        <is>
          <t>ONE_TO_ONE</t>
        </is>
      </c>
      <c r="G164" s="12" t="inlineStr">
        <is>
          <t>APPROVED</t>
        </is>
      </c>
      <c r="H164" s="12" t="inlineStr">
        <is>
          <t>New</t>
        </is>
      </c>
      <c r="I164" s="12" t="inlineStr">
        <is>
          <t>Source assignment -- not individually reviewed</t>
        </is>
      </c>
      <c r="J164" s="12" t="inlineStr"/>
      <c r="K164" s="12" t="inlineStr">
        <is>
          <t>Source assignment</t>
        </is>
      </c>
      <c r="L164" s="12" t="inlineStr"/>
      <c r="M164" s="12" t="inlineStr">
        <is>
          <t>Initial</t>
        </is>
      </c>
      <c r="N164" s="12" t="inlineStr">
        <is>
          <t>Rev 0</t>
        </is>
      </c>
      <c r="O164" s="12" t="inlineStr">
        <is>
          <t>R1147-v1</t>
        </is>
      </c>
      <c r="P164" s="12" t="inlineStr"/>
      <c r="Q164" s="12" t="inlineStr"/>
      <c r="R164" s="12" t="inlineStr"/>
      <c r="S164" s="12" t="inlineStr"/>
      <c r="T164" s="12" t="inlineStr"/>
      <c r="U164" s="12" t="inlineStr"/>
      <c r="V164" s="12" t="inlineStr">
        <is>
          <t>Cost Account = CA-1065; WBS Code = 1.1.1</t>
        </is>
      </c>
      <c r="W164" s="12" t="inlineStr"/>
    </row>
    <row r="165" ht="64" customHeight="1">
      <c r="A165" s="12" t="inlineStr">
        <is>
          <t>1.1.1</t>
        </is>
      </c>
      <c r="B165" s="12" t="inlineStr">
        <is>
          <t>Guideway and Civil - Guideway Structures</t>
        </is>
      </c>
      <c r="C165" s="12" t="inlineStr">
        <is>
          <t>Cost &amp; Forecast Control Accounts</t>
        </is>
      </c>
      <c r="D165" s="12" t="inlineStr">
        <is>
          <t>CST-01-067</t>
        </is>
      </c>
      <c r="E165" s="12" t="inlineStr">
        <is>
          <t>Guideway and Civil - roadworks - allowance</t>
        </is>
      </c>
      <c r="F165" s="12" t="inlineStr">
        <is>
          <t>ONE_TO_ONE</t>
        </is>
      </c>
      <c r="G165" s="12" t="inlineStr">
        <is>
          <t>APPROVED</t>
        </is>
      </c>
      <c r="H165" s="12" t="inlineStr">
        <is>
          <t>New</t>
        </is>
      </c>
      <c r="I165" s="12" t="inlineStr">
        <is>
          <t>Source assignment -- not individually reviewed</t>
        </is>
      </c>
      <c r="J165" s="12" t="inlineStr"/>
      <c r="K165" s="12" t="inlineStr">
        <is>
          <t>Source assignment</t>
        </is>
      </c>
      <c r="L165" s="12" t="inlineStr"/>
      <c r="M165" s="12" t="inlineStr">
        <is>
          <t>Initial</t>
        </is>
      </c>
      <c r="N165" s="12" t="inlineStr">
        <is>
          <t>Rev 0</t>
        </is>
      </c>
      <c r="O165" s="12" t="inlineStr">
        <is>
          <t>R1149-v1</t>
        </is>
      </c>
      <c r="P165" s="12" t="inlineStr"/>
      <c r="Q165" s="12" t="inlineStr"/>
      <c r="R165" s="12" t="inlineStr"/>
      <c r="S165" s="12" t="inlineStr"/>
      <c r="T165" s="12" t="inlineStr"/>
      <c r="U165" s="12" t="inlineStr"/>
      <c r="V165" s="12" t="inlineStr">
        <is>
          <t>Cost Account = CA-1067; WBS Code = 1.1.1</t>
        </is>
      </c>
      <c r="W165" s="12" t="inlineStr"/>
    </row>
    <row r="166" ht="64" customHeight="1">
      <c r="A166" s="12" t="inlineStr">
        <is>
          <t>1.1.1</t>
        </is>
      </c>
      <c r="B166" s="12" t="inlineStr">
        <is>
          <t>Guideway and Civil - Guideway Structures</t>
        </is>
      </c>
      <c r="C166" s="12" t="inlineStr">
        <is>
          <t>Cost &amp; Forecast Control Accounts</t>
        </is>
      </c>
      <c r="D166" s="12" t="inlineStr">
        <is>
          <t>CST-01-069</t>
        </is>
      </c>
      <c r="E166" s="12" t="inlineStr">
        <is>
          <t>Guideway and Civil - concrete structures - field package</t>
        </is>
      </c>
      <c r="F166" s="12" t="inlineStr">
        <is>
          <t>ONE_TO_ONE</t>
        </is>
      </c>
      <c r="G166" s="12" t="inlineStr">
        <is>
          <t>APPROVED</t>
        </is>
      </c>
      <c r="H166" s="12" t="inlineStr">
        <is>
          <t>New</t>
        </is>
      </c>
      <c r="I166" s="12" t="inlineStr">
        <is>
          <t>Source assignment -- not individually reviewed</t>
        </is>
      </c>
      <c r="J166" s="12" t="inlineStr"/>
      <c r="K166" s="12" t="inlineStr">
        <is>
          <t>Source assignment</t>
        </is>
      </c>
      <c r="L166" s="12" t="inlineStr"/>
      <c r="M166" s="12" t="inlineStr">
        <is>
          <t>Initial</t>
        </is>
      </c>
      <c r="N166" s="12" t="inlineStr">
        <is>
          <t>Rev 0</t>
        </is>
      </c>
      <c r="O166" s="12" t="inlineStr">
        <is>
          <t>R1151-v1</t>
        </is>
      </c>
      <c r="P166" s="12" t="inlineStr"/>
      <c r="Q166" s="12" t="inlineStr"/>
      <c r="R166" s="12" t="inlineStr"/>
      <c r="S166" s="12" t="inlineStr"/>
      <c r="T166" s="12" t="inlineStr"/>
      <c r="U166" s="12" t="inlineStr"/>
      <c r="V166" s="12" t="inlineStr">
        <is>
          <t>Cost Account = CA-1069; WBS Code = 1.1.1</t>
        </is>
      </c>
      <c r="W166" s="12" t="inlineStr"/>
    </row>
    <row r="167" ht="64" customHeight="1">
      <c r="A167" s="12" t="inlineStr">
        <is>
          <t>1.1.1</t>
        </is>
      </c>
      <c r="B167" s="12" t="inlineStr">
        <is>
          <t>Guideway and Civil - Guideway Structures</t>
        </is>
      </c>
      <c r="C167" s="12" t="inlineStr">
        <is>
          <t>Cost &amp; Forecast Control Accounts</t>
        </is>
      </c>
      <c r="D167" s="12" t="inlineStr">
        <is>
          <t>CST-01-071</t>
        </is>
      </c>
      <c r="E167" s="12" t="inlineStr">
        <is>
          <t>Guideway and Civil - temporary works - professional services</t>
        </is>
      </c>
      <c r="F167" s="12" t="inlineStr">
        <is>
          <t>ONE_TO_ONE</t>
        </is>
      </c>
      <c r="G167" s="12" t="inlineStr">
        <is>
          <t>APPROVED</t>
        </is>
      </c>
      <c r="H167" s="12" t="inlineStr">
        <is>
          <t>New</t>
        </is>
      </c>
      <c r="I167" s="12" t="inlineStr">
        <is>
          <t>Source assignment -- not individually reviewed</t>
        </is>
      </c>
      <c r="J167" s="12" t="inlineStr"/>
      <c r="K167" s="12" t="inlineStr">
        <is>
          <t>Source assignment</t>
        </is>
      </c>
      <c r="L167" s="12" t="inlineStr"/>
      <c r="M167" s="12" t="inlineStr">
        <is>
          <t>Initial</t>
        </is>
      </c>
      <c r="N167" s="12" t="inlineStr">
        <is>
          <t>Rev 0</t>
        </is>
      </c>
      <c r="O167" s="12" t="inlineStr">
        <is>
          <t>R1153-v1</t>
        </is>
      </c>
      <c r="P167" s="12" t="inlineStr"/>
      <c r="Q167" s="12" t="inlineStr"/>
      <c r="R167" s="12" t="inlineStr"/>
      <c r="S167" s="12" t="inlineStr"/>
      <c r="T167" s="12" t="inlineStr"/>
      <c r="U167" s="12" t="inlineStr"/>
      <c r="V167" s="12" t="inlineStr">
        <is>
          <t>Cost Account = CA-1071; WBS Code = 1.1.1</t>
        </is>
      </c>
      <c r="W167" s="12" t="inlineStr"/>
    </row>
    <row r="168" ht="64" customHeight="1">
      <c r="A168" s="12" t="inlineStr">
        <is>
          <t>1.1.1</t>
        </is>
      </c>
      <c r="B168" s="12" t="inlineStr">
        <is>
          <t>Guideway and Civil - Guideway Structures</t>
        </is>
      </c>
      <c r="C168" s="12" t="inlineStr">
        <is>
          <t>Cost &amp; Forecast Control Accounts</t>
        </is>
      </c>
      <c r="D168" s="12" t="inlineStr">
        <is>
          <t>CST-01-073</t>
        </is>
      </c>
      <c r="E168" s="12" t="inlineStr">
        <is>
          <t>Guideway and Civil - roadworks - closeout</t>
        </is>
      </c>
      <c r="F168" s="12" t="inlineStr">
        <is>
          <t>ONE_TO_ONE</t>
        </is>
      </c>
      <c r="G168" s="12" t="inlineStr">
        <is>
          <t>APPROVED</t>
        </is>
      </c>
      <c r="H168" s="12" t="inlineStr">
        <is>
          <t>New</t>
        </is>
      </c>
      <c r="I168" s="12" t="inlineStr">
        <is>
          <t>Source assignment -- not individually reviewed</t>
        </is>
      </c>
      <c r="J168" s="12" t="inlineStr"/>
      <c r="K168" s="12" t="inlineStr">
        <is>
          <t>Source assignment</t>
        </is>
      </c>
      <c r="L168" s="12" t="inlineStr"/>
      <c r="M168" s="12" t="inlineStr">
        <is>
          <t>Initial</t>
        </is>
      </c>
      <c r="N168" s="12" t="inlineStr">
        <is>
          <t>Rev 0</t>
        </is>
      </c>
      <c r="O168" s="12" t="inlineStr">
        <is>
          <t>R1155-v1</t>
        </is>
      </c>
      <c r="P168" s="12" t="inlineStr"/>
      <c r="Q168" s="12" t="inlineStr"/>
      <c r="R168" s="12" t="inlineStr"/>
      <c r="S168" s="12" t="inlineStr"/>
      <c r="T168" s="12" t="inlineStr"/>
      <c r="U168" s="12" t="inlineStr"/>
      <c r="V168" s="12" t="inlineStr">
        <is>
          <t>Cost Account = CA-1073; WBS Code = 1.1.1</t>
        </is>
      </c>
      <c r="W168" s="12" t="inlineStr"/>
    </row>
    <row r="169" ht="64" customHeight="1">
      <c r="A169" s="12" t="inlineStr">
        <is>
          <t>1.1.1</t>
        </is>
      </c>
      <c r="B169" s="12" t="inlineStr">
        <is>
          <t>Guideway and Civil - Guideway Structures</t>
        </is>
      </c>
      <c r="C169" s="12" t="inlineStr">
        <is>
          <t>Cost &amp; Forecast Control Accounts</t>
        </is>
      </c>
      <c r="D169" s="12" t="inlineStr">
        <is>
          <t>CST-01-075</t>
        </is>
      </c>
      <c r="E169" s="12" t="inlineStr">
        <is>
          <t>Guideway and Civil - concrete structures - supply and install</t>
        </is>
      </c>
      <c r="F169" s="12" t="inlineStr">
        <is>
          <t>ONE_TO_ONE</t>
        </is>
      </c>
      <c r="G169" s="12" t="inlineStr">
        <is>
          <t>APPROVED</t>
        </is>
      </c>
      <c r="H169" s="12" t="inlineStr">
        <is>
          <t>New</t>
        </is>
      </c>
      <c r="I169" s="12" t="inlineStr">
        <is>
          <t>Source assignment -- not individually reviewed</t>
        </is>
      </c>
      <c r="J169" s="12" t="inlineStr"/>
      <c r="K169" s="12" t="inlineStr">
        <is>
          <t>Source assignment</t>
        </is>
      </c>
      <c r="L169" s="12" t="inlineStr"/>
      <c r="M169" s="12" t="inlineStr">
        <is>
          <t>Initial</t>
        </is>
      </c>
      <c r="N169" s="12" t="inlineStr">
        <is>
          <t>Rev 0</t>
        </is>
      </c>
      <c r="O169" s="12" t="inlineStr">
        <is>
          <t>R1157-v1</t>
        </is>
      </c>
      <c r="P169" s="12" t="inlineStr"/>
      <c r="Q169" s="12" t="inlineStr"/>
      <c r="R169" s="12" t="inlineStr"/>
      <c r="S169" s="12" t="inlineStr"/>
      <c r="T169" s="12" t="inlineStr"/>
      <c r="U169" s="12" t="inlineStr"/>
      <c r="V169" s="12" t="inlineStr">
        <is>
          <t>Cost Account = CA-1075; WBS Code = 1.1.1</t>
        </is>
      </c>
      <c r="W169" s="12" t="inlineStr"/>
    </row>
    <row r="170" ht="64" customHeight="1">
      <c r="A170" s="12" t="inlineStr">
        <is>
          <t>1.1.1</t>
        </is>
      </c>
      <c r="B170" s="12" t="inlineStr">
        <is>
          <t>Guideway and Civil - Guideway Structures</t>
        </is>
      </c>
      <c r="C170" s="12" t="inlineStr">
        <is>
          <t>Cost &amp; Forecast Control Accounts</t>
        </is>
      </c>
      <c r="D170" s="12" t="inlineStr">
        <is>
          <t>CST-01-077</t>
        </is>
      </c>
      <c r="E170" s="12" t="inlineStr">
        <is>
          <t>Guideway and Civil - temporary works - allowance</t>
        </is>
      </c>
      <c r="F170" s="12" t="inlineStr">
        <is>
          <t>ONE_TO_ONE</t>
        </is>
      </c>
      <c r="G170" s="12" t="inlineStr">
        <is>
          <t>APPROVED</t>
        </is>
      </c>
      <c r="H170" s="12" t="inlineStr">
        <is>
          <t>New</t>
        </is>
      </c>
      <c r="I170" s="12" t="inlineStr">
        <is>
          <t>Source assignment -- not individually reviewed</t>
        </is>
      </c>
      <c r="J170" s="12" t="inlineStr"/>
      <c r="K170" s="12" t="inlineStr">
        <is>
          <t>Source assignment</t>
        </is>
      </c>
      <c r="L170" s="12" t="inlineStr"/>
      <c r="M170" s="12" t="inlineStr">
        <is>
          <t>Initial</t>
        </is>
      </c>
      <c r="N170" s="12" t="inlineStr">
        <is>
          <t>Rev 0</t>
        </is>
      </c>
      <c r="O170" s="12" t="inlineStr">
        <is>
          <t>R1159-v1</t>
        </is>
      </c>
      <c r="P170" s="12" t="inlineStr"/>
      <c r="Q170" s="12" t="inlineStr"/>
      <c r="R170" s="12" t="inlineStr"/>
      <c r="S170" s="12" t="inlineStr"/>
      <c r="T170" s="12" t="inlineStr"/>
      <c r="U170" s="12" t="inlineStr"/>
      <c r="V170" s="12" t="inlineStr">
        <is>
          <t>Cost Account = CA-1077; WBS Code = 1.1.1</t>
        </is>
      </c>
      <c r="W170" s="12" t="inlineStr"/>
    </row>
    <row r="171" ht="64" customHeight="1">
      <c r="A171" s="12" t="inlineStr">
        <is>
          <t>1.1.1</t>
        </is>
      </c>
      <c r="B171" s="12" t="inlineStr">
        <is>
          <t>Guideway and Civil - Guideway Structures</t>
        </is>
      </c>
      <c r="C171" s="12" t="inlineStr">
        <is>
          <t>Cost &amp; Forecast Control Accounts</t>
        </is>
      </c>
      <c r="D171" s="12" t="inlineStr">
        <is>
          <t>CST-01-079</t>
        </is>
      </c>
      <c r="E171" s="12" t="inlineStr">
        <is>
          <t>Guideway and Civil - roadworks - field package</t>
        </is>
      </c>
      <c r="F171" s="12" t="inlineStr">
        <is>
          <t>ONE_TO_ONE</t>
        </is>
      </c>
      <c r="G171" s="12" t="inlineStr">
        <is>
          <t>APPROVED</t>
        </is>
      </c>
      <c r="H171" s="12" t="inlineStr">
        <is>
          <t>New</t>
        </is>
      </c>
      <c r="I171" s="12" t="inlineStr">
        <is>
          <t>Source assignment -- not individually reviewed</t>
        </is>
      </c>
      <c r="J171" s="12" t="inlineStr"/>
      <c r="K171" s="12" t="inlineStr">
        <is>
          <t>Source assignment</t>
        </is>
      </c>
      <c r="L171" s="12" t="inlineStr"/>
      <c r="M171" s="12" t="inlineStr">
        <is>
          <t>Initial</t>
        </is>
      </c>
      <c r="N171" s="12" t="inlineStr">
        <is>
          <t>Rev 0</t>
        </is>
      </c>
      <c r="O171" s="12" t="inlineStr">
        <is>
          <t>R1161-v1</t>
        </is>
      </c>
      <c r="P171" s="12" t="inlineStr"/>
      <c r="Q171" s="12" t="inlineStr"/>
      <c r="R171" s="12" t="inlineStr"/>
      <c r="S171" s="12" t="inlineStr"/>
      <c r="T171" s="12" t="inlineStr"/>
      <c r="U171" s="12" t="inlineStr"/>
      <c r="V171" s="12" t="inlineStr">
        <is>
          <t>Cost Account = CA-1079; WBS Code = 1.1.1</t>
        </is>
      </c>
      <c r="W171" s="12" t="inlineStr"/>
    </row>
    <row r="172" ht="49" customHeight="1">
      <c r="A172" s="12" t="inlineStr">
        <is>
          <t>1.1.2</t>
        </is>
      </c>
      <c r="B172" s="12" t="inlineStr">
        <is>
          <t>Guideway and Civil - Utility &amp; Roadworks</t>
        </is>
      </c>
      <c r="C172" s="12" t="inlineStr">
        <is>
          <t>Contractor Programme</t>
        </is>
      </c>
      <c r="D172" s="12" t="inlineStr">
        <is>
          <t>SCH-01-003</t>
        </is>
      </c>
      <c r="E172" s="12" t="inlineStr">
        <is>
          <t>Interface works near guideway and civil boundary</t>
        </is>
      </c>
      <c r="F172" s="12" t="inlineStr">
        <is>
          <t>ONE_TO_ONE</t>
        </is>
      </c>
      <c r="G172" s="12" t="inlineStr">
        <is>
          <t>APPROVED</t>
        </is>
      </c>
      <c r="H172" s="12" t="inlineStr">
        <is>
          <t>New</t>
        </is>
      </c>
      <c r="I172" s="12" t="inlineStr">
        <is>
          <t>Source assignment -- not individually reviewed</t>
        </is>
      </c>
      <c r="J172" s="12" t="inlineStr"/>
      <c r="K172" s="12" t="inlineStr">
        <is>
          <t>Source assignment</t>
        </is>
      </c>
      <c r="L172" s="12" t="inlineStr"/>
      <c r="M172" s="12" t="inlineStr">
        <is>
          <t>Initial</t>
        </is>
      </c>
      <c r="N172" s="12" t="inlineStr">
        <is>
          <t>Rev 0</t>
        </is>
      </c>
      <c r="O172" s="12" t="inlineStr">
        <is>
          <t>R3-v1</t>
        </is>
      </c>
      <c r="P172" s="12" t="inlineStr"/>
      <c r="Q172" s="12" t="inlineStr"/>
      <c r="R172" s="12" t="inlineStr"/>
      <c r="S172" s="12" t="inlineStr"/>
      <c r="T172" s="12" t="inlineStr"/>
      <c r="U172" s="12" t="inlineStr"/>
      <c r="V172" s="12" t="inlineStr">
        <is>
          <t>WBS Code = 1.1.2</t>
        </is>
      </c>
      <c r="W172" s="12" t="inlineStr"/>
    </row>
    <row r="173" ht="49" customHeight="1">
      <c r="A173" s="12" t="inlineStr">
        <is>
          <t>1.1.2</t>
        </is>
      </c>
      <c r="B173" s="12" t="inlineStr">
        <is>
          <t>Guideway and Civil - Utility &amp; Roadworks</t>
        </is>
      </c>
      <c r="C173" s="12" t="inlineStr">
        <is>
          <t>Contractor Programme</t>
        </is>
      </c>
      <c r="D173" s="12" t="inlineStr">
        <is>
          <t>SCH-01-006</t>
        </is>
      </c>
      <c r="E173" s="12" t="inlineStr">
        <is>
          <t>West approach: retaining-wall excavation - installation</t>
        </is>
      </c>
      <c r="F173" s="12" t="inlineStr">
        <is>
          <t>ONE_TO_ONE</t>
        </is>
      </c>
      <c r="G173" s="12" t="inlineStr">
        <is>
          <t>APPROVED</t>
        </is>
      </c>
      <c r="H173" s="12" t="inlineStr">
        <is>
          <t>New</t>
        </is>
      </c>
      <c r="I173" s="12" t="inlineStr">
        <is>
          <t>Source assignment -- not individually reviewed</t>
        </is>
      </c>
      <c r="J173" s="12" t="inlineStr"/>
      <c r="K173" s="12" t="inlineStr">
        <is>
          <t>Source assignment</t>
        </is>
      </c>
      <c r="L173" s="12" t="inlineStr"/>
      <c r="M173" s="12" t="inlineStr">
        <is>
          <t>Initial</t>
        </is>
      </c>
      <c r="N173" s="12" t="inlineStr">
        <is>
          <t>Rev 0</t>
        </is>
      </c>
      <c r="O173" s="12" t="inlineStr">
        <is>
          <t>R6-v1</t>
        </is>
      </c>
      <c r="P173" s="12" t="inlineStr"/>
      <c r="Q173" s="12" t="inlineStr"/>
      <c r="R173" s="12" t="inlineStr"/>
      <c r="S173" s="12" t="inlineStr"/>
      <c r="T173" s="12" t="inlineStr"/>
      <c r="U173" s="12" t="inlineStr"/>
      <c r="V173" s="12" t="inlineStr">
        <is>
          <t>WBS Code = 1.1.2</t>
        </is>
      </c>
      <c r="W173" s="12" t="inlineStr"/>
    </row>
    <row r="174" ht="49" customHeight="1">
      <c r="A174" s="12" t="inlineStr">
        <is>
          <t>1.1.2</t>
        </is>
      </c>
      <c r="B174" s="12" t="inlineStr">
        <is>
          <t>Guideway and Civil - Utility &amp; Roadworks</t>
        </is>
      </c>
      <c r="C174" s="12" t="inlineStr">
        <is>
          <t>Contractor Programme</t>
        </is>
      </c>
      <c r="D174" s="12" t="inlineStr">
        <is>
          <t>SCH-01-009</t>
        </is>
      </c>
      <c r="E174" s="12" t="inlineStr">
        <is>
          <t>River crossing: track-slab survey - release</t>
        </is>
      </c>
      <c r="F174" s="12" t="inlineStr">
        <is>
          <t>ONE_TO_ONE</t>
        </is>
      </c>
      <c r="G174" s="12" t="inlineStr">
        <is>
          <t>APPROVED</t>
        </is>
      </c>
      <c r="H174" s="12" t="inlineStr">
        <is>
          <t>New</t>
        </is>
      </c>
      <c r="I174" s="12" t="inlineStr">
        <is>
          <t>Source assignment -- not individually reviewed</t>
        </is>
      </c>
      <c r="J174" s="12" t="inlineStr"/>
      <c r="K174" s="12" t="inlineStr">
        <is>
          <t>Source assignment</t>
        </is>
      </c>
      <c r="L174" s="12" t="inlineStr"/>
      <c r="M174" s="12" t="inlineStr">
        <is>
          <t>Initial</t>
        </is>
      </c>
      <c r="N174" s="12" t="inlineStr">
        <is>
          <t>Rev 0</t>
        </is>
      </c>
      <c r="O174" s="12" t="inlineStr">
        <is>
          <t>R9-v1</t>
        </is>
      </c>
      <c r="P174" s="12" t="inlineStr"/>
      <c r="Q174" s="12" t="inlineStr"/>
      <c r="R174" s="12" t="inlineStr"/>
      <c r="S174" s="12" t="inlineStr"/>
      <c r="T174" s="12" t="inlineStr"/>
      <c r="U174" s="12" t="inlineStr"/>
      <c r="V174" s="12" t="inlineStr">
        <is>
          <t>WBS Code = 1.1.2</t>
        </is>
      </c>
      <c r="W174" s="12" t="inlineStr"/>
    </row>
    <row r="175" ht="49" customHeight="1">
      <c r="A175" s="12" t="inlineStr">
        <is>
          <t>1.1.2</t>
        </is>
      </c>
      <c r="B175" s="12" t="inlineStr">
        <is>
          <t>Guideway and Civil - Utility &amp; Roadworks</t>
        </is>
      </c>
      <c r="C175" s="12" t="inlineStr">
        <is>
          <t>Contractor Programme</t>
        </is>
      </c>
      <c r="D175" s="12" t="inlineStr">
        <is>
          <t>SCH-01-012</t>
        </is>
      </c>
      <c r="E175" s="12" t="inlineStr">
        <is>
          <t>Depot lead: road restoration - inspection</t>
        </is>
      </c>
      <c r="F175" s="12" t="inlineStr">
        <is>
          <t>ONE_TO_ONE</t>
        </is>
      </c>
      <c r="G175" s="12" t="inlineStr">
        <is>
          <t>APPROVED</t>
        </is>
      </c>
      <c r="H175" s="12" t="inlineStr">
        <is>
          <t>New</t>
        </is>
      </c>
      <c r="I175" s="12" t="inlineStr">
        <is>
          <t>Source assignment -- not individually reviewed</t>
        </is>
      </c>
      <c r="J175" s="12" t="inlineStr"/>
      <c r="K175" s="12" t="inlineStr">
        <is>
          <t>Source assignment</t>
        </is>
      </c>
      <c r="L175" s="12" t="inlineStr"/>
      <c r="M175" s="12" t="inlineStr">
        <is>
          <t>Initial</t>
        </is>
      </c>
      <c r="N175" s="12" t="inlineStr">
        <is>
          <t>Rev 0</t>
        </is>
      </c>
      <c r="O175" s="12" t="inlineStr">
        <is>
          <t>R12-v1</t>
        </is>
      </c>
      <c r="P175" s="12" t="inlineStr"/>
      <c r="Q175" s="12" t="inlineStr"/>
      <c r="R175" s="12" t="inlineStr"/>
      <c r="S175" s="12" t="inlineStr"/>
      <c r="T175" s="12" t="inlineStr"/>
      <c r="U175" s="12" t="inlineStr"/>
      <c r="V175" s="12" t="inlineStr">
        <is>
          <t>WBS Code = 1.1.2</t>
        </is>
      </c>
      <c r="W175" s="12" t="inlineStr"/>
    </row>
    <row r="176" ht="49" customHeight="1">
      <c r="A176" s="12" t="inlineStr">
        <is>
          <t>1.1.2</t>
        </is>
      </c>
      <c r="B176" s="12" t="inlineStr">
        <is>
          <t>Guideway and Civil - Utility &amp; Roadworks</t>
        </is>
      </c>
      <c r="C176" s="12" t="inlineStr">
        <is>
          <t>Contractor Programme</t>
        </is>
      </c>
      <c r="D176" s="12" t="inlineStr">
        <is>
          <t>SCH-01-015</t>
        </is>
      </c>
      <c r="E176" s="12" t="inlineStr">
        <is>
          <t>Central guideway: drainage tie-in - field start</t>
        </is>
      </c>
      <c r="F176" s="12" t="inlineStr">
        <is>
          <t>ONE_TO_ONE</t>
        </is>
      </c>
      <c r="G176" s="12" t="inlineStr">
        <is>
          <t>APPROVED</t>
        </is>
      </c>
      <c r="H176" s="12" t="inlineStr">
        <is>
          <t>New</t>
        </is>
      </c>
      <c r="I176" s="12" t="inlineStr">
        <is>
          <t>Source assignment -- not individually reviewed</t>
        </is>
      </c>
      <c r="J176" s="12" t="inlineStr"/>
      <c r="K176" s="12" t="inlineStr">
        <is>
          <t>Source assignment</t>
        </is>
      </c>
      <c r="L176" s="12" t="inlineStr"/>
      <c r="M176" s="12" t="inlineStr">
        <is>
          <t>Initial</t>
        </is>
      </c>
      <c r="N176" s="12" t="inlineStr">
        <is>
          <t>Rev 0</t>
        </is>
      </c>
      <c r="O176" s="12" t="inlineStr">
        <is>
          <t>R15-v1</t>
        </is>
      </c>
      <c r="P176" s="12" t="inlineStr"/>
      <c r="Q176" s="12" t="inlineStr"/>
      <c r="R176" s="12" t="inlineStr"/>
      <c r="S176" s="12" t="inlineStr"/>
      <c r="T176" s="12" t="inlineStr"/>
      <c r="U176" s="12" t="inlineStr"/>
      <c r="V176" s="12" t="inlineStr">
        <is>
          <t>WBS Code = 1.1.2</t>
        </is>
      </c>
      <c r="W176" s="12" t="inlineStr"/>
    </row>
    <row r="177" ht="49" customHeight="1">
      <c r="A177" s="12" t="inlineStr">
        <is>
          <t>1.1.2</t>
        </is>
      </c>
      <c r="B177" s="12" t="inlineStr">
        <is>
          <t>Guideway and Civil - Utility &amp; Roadworks</t>
        </is>
      </c>
      <c r="C177" s="12" t="inlineStr">
        <is>
          <t>Contractor Programme</t>
        </is>
      </c>
      <c r="D177" s="12" t="inlineStr">
        <is>
          <t>SCH-01-018</t>
        </is>
      </c>
      <c r="E177" s="12" t="inlineStr">
        <is>
          <t>East portal: temporary traffic staging - turnover</t>
        </is>
      </c>
      <c r="F177" s="12" t="inlineStr">
        <is>
          <t>ONE_TO_ONE</t>
        </is>
      </c>
      <c r="G177" s="12" t="inlineStr">
        <is>
          <t>APPROVED</t>
        </is>
      </c>
      <c r="H177" s="12" t="inlineStr">
        <is>
          <t>New</t>
        </is>
      </c>
      <c r="I177" s="12" t="inlineStr">
        <is>
          <t>Source assignment -- not individually reviewed</t>
        </is>
      </c>
      <c r="J177" s="12" t="inlineStr"/>
      <c r="K177" s="12" t="inlineStr">
        <is>
          <t>Source assignment</t>
        </is>
      </c>
      <c r="L177" s="12" t="inlineStr"/>
      <c r="M177" s="12" t="inlineStr">
        <is>
          <t>Initial</t>
        </is>
      </c>
      <c r="N177" s="12" t="inlineStr">
        <is>
          <t>Rev 0</t>
        </is>
      </c>
      <c r="O177" s="12" t="inlineStr">
        <is>
          <t>R18-v1</t>
        </is>
      </c>
      <c r="P177" s="12" t="inlineStr"/>
      <c r="Q177" s="12" t="inlineStr"/>
      <c r="R177" s="12" t="inlineStr"/>
      <c r="S177" s="12" t="inlineStr"/>
      <c r="T177" s="12" t="inlineStr"/>
      <c r="U177" s="12" t="inlineStr"/>
      <c r="V177" s="12" t="inlineStr">
        <is>
          <t>WBS Code = 1.1.2</t>
        </is>
      </c>
      <c r="W177" s="12" t="inlineStr"/>
    </row>
    <row r="178" ht="49" customHeight="1">
      <c r="A178" s="12" t="inlineStr">
        <is>
          <t>1.1.2</t>
        </is>
      </c>
      <c r="B178" s="12" t="inlineStr">
        <is>
          <t>Guideway and Civil - Utility &amp; Roadworks</t>
        </is>
      </c>
      <c r="C178" s="12" t="inlineStr">
        <is>
          <t>Contractor Programme</t>
        </is>
      </c>
      <c r="D178" s="12" t="inlineStr">
        <is>
          <t>SCH-01-021</t>
        </is>
      </c>
      <c r="E178" s="12" t="inlineStr">
        <is>
          <t>West approach: drilled-shaft installation - installation</t>
        </is>
      </c>
      <c r="F178" s="12" t="inlineStr">
        <is>
          <t>ONE_TO_ONE</t>
        </is>
      </c>
      <c r="G178" s="12" t="inlineStr">
        <is>
          <t>APPROVED</t>
        </is>
      </c>
      <c r="H178" s="12" t="inlineStr">
        <is>
          <t>New</t>
        </is>
      </c>
      <c r="I178" s="12" t="inlineStr">
        <is>
          <t>Source assignment -- not individually reviewed</t>
        </is>
      </c>
      <c r="J178" s="12" t="inlineStr"/>
      <c r="K178" s="12" t="inlineStr">
        <is>
          <t>Source assignment</t>
        </is>
      </c>
      <c r="L178" s="12" t="inlineStr"/>
      <c r="M178" s="12" t="inlineStr">
        <is>
          <t>Initial</t>
        </is>
      </c>
      <c r="N178" s="12" t="inlineStr">
        <is>
          <t>Rev 0</t>
        </is>
      </c>
      <c r="O178" s="12" t="inlineStr">
        <is>
          <t>R21-v1</t>
        </is>
      </c>
      <c r="P178" s="12" t="inlineStr"/>
      <c r="Q178" s="12" t="inlineStr"/>
      <c r="R178" s="12" t="inlineStr"/>
      <c r="S178" s="12" t="inlineStr"/>
      <c r="T178" s="12" t="inlineStr"/>
      <c r="U178" s="12" t="inlineStr"/>
      <c r="V178" s="12" t="inlineStr">
        <is>
          <t>WBS Code = 1.1.2</t>
        </is>
      </c>
      <c r="W178" s="12" t="inlineStr"/>
    </row>
    <row r="179" ht="49" customHeight="1">
      <c r="A179" s="12" t="inlineStr">
        <is>
          <t>1.1.2</t>
        </is>
      </c>
      <c r="B179" s="12" t="inlineStr">
        <is>
          <t>Guideway and Civil - Utility &amp; Roadworks</t>
        </is>
      </c>
      <c r="C179" s="12" t="inlineStr">
        <is>
          <t>Contractor Programme</t>
        </is>
      </c>
      <c r="D179" s="12" t="inlineStr">
        <is>
          <t>SCH-01-024</t>
        </is>
      </c>
      <c r="E179" s="12" t="inlineStr">
        <is>
          <t>River crossing: utility relocation - release</t>
        </is>
      </c>
      <c r="F179" s="12" t="inlineStr">
        <is>
          <t>ONE_TO_ONE</t>
        </is>
      </c>
      <c r="G179" s="12" t="inlineStr">
        <is>
          <t>APPROVED</t>
        </is>
      </c>
      <c r="H179" s="12" t="inlineStr">
        <is>
          <t>New</t>
        </is>
      </c>
      <c r="I179" s="12" t="inlineStr">
        <is>
          <t>Source assignment -- not individually reviewed</t>
        </is>
      </c>
      <c r="J179" s="12" t="inlineStr"/>
      <c r="K179" s="12" t="inlineStr">
        <is>
          <t>Source assignment</t>
        </is>
      </c>
      <c r="L179" s="12" t="inlineStr"/>
      <c r="M179" s="12" t="inlineStr">
        <is>
          <t>Initial</t>
        </is>
      </c>
      <c r="N179" s="12" t="inlineStr">
        <is>
          <t>Rev 0</t>
        </is>
      </c>
      <c r="O179" s="12" t="inlineStr">
        <is>
          <t>R24-v1</t>
        </is>
      </c>
      <c r="P179" s="12" t="inlineStr"/>
      <c r="Q179" s="12" t="inlineStr"/>
      <c r="R179" s="12" t="inlineStr"/>
      <c r="S179" s="12" t="inlineStr"/>
      <c r="T179" s="12" t="inlineStr"/>
      <c r="U179" s="12" t="inlineStr"/>
      <c r="V179" s="12" t="inlineStr">
        <is>
          <t>WBS Code = 1.1.2</t>
        </is>
      </c>
      <c r="W179" s="12" t="inlineStr"/>
    </row>
    <row r="180" ht="49" customHeight="1">
      <c r="A180" s="12" t="inlineStr">
        <is>
          <t>1.1.2</t>
        </is>
      </c>
      <c r="B180" s="12" t="inlineStr">
        <is>
          <t>Guideway and Civil - Utility &amp; Roadworks</t>
        </is>
      </c>
      <c r="C180" s="12" t="inlineStr">
        <is>
          <t>Contractor Programme</t>
        </is>
      </c>
      <c r="D180" s="12" t="inlineStr">
        <is>
          <t>SCH-01-027</t>
        </is>
      </c>
      <c r="E180" s="12" t="inlineStr">
        <is>
          <t>Depot lead: guideway pier reinforcement - inspection</t>
        </is>
      </c>
      <c r="F180" s="12" t="inlineStr">
        <is>
          <t>ONE_TO_ONE</t>
        </is>
      </c>
      <c r="G180" s="12" t="inlineStr">
        <is>
          <t>APPROVED</t>
        </is>
      </c>
      <c r="H180" s="12" t="inlineStr">
        <is>
          <t>New</t>
        </is>
      </c>
      <c r="I180" s="12" t="inlineStr">
        <is>
          <t>Source assignment -- not individually reviewed</t>
        </is>
      </c>
      <c r="J180" s="12" t="inlineStr"/>
      <c r="K180" s="12" t="inlineStr">
        <is>
          <t>Source assignment</t>
        </is>
      </c>
      <c r="L180" s="12" t="inlineStr"/>
      <c r="M180" s="12" t="inlineStr">
        <is>
          <t>Initial</t>
        </is>
      </c>
      <c r="N180" s="12" t="inlineStr">
        <is>
          <t>Rev 0</t>
        </is>
      </c>
      <c r="O180" s="12" t="inlineStr">
        <is>
          <t>R27-v1</t>
        </is>
      </c>
      <c r="P180" s="12" t="inlineStr"/>
      <c r="Q180" s="12" t="inlineStr"/>
      <c r="R180" s="12" t="inlineStr"/>
      <c r="S180" s="12" t="inlineStr"/>
      <c r="T180" s="12" t="inlineStr"/>
      <c r="U180" s="12" t="inlineStr"/>
      <c r="V180" s="12" t="inlineStr">
        <is>
          <t>WBS Code = 1.1.2</t>
        </is>
      </c>
      <c r="W180" s="12" t="inlineStr"/>
    </row>
    <row r="181" ht="49" customHeight="1">
      <c r="A181" s="12" t="inlineStr">
        <is>
          <t>1.1.2</t>
        </is>
      </c>
      <c r="B181" s="12" t="inlineStr">
        <is>
          <t>Guideway and Civil - Utility &amp; Roadworks</t>
        </is>
      </c>
      <c r="C181" s="12" t="inlineStr">
        <is>
          <t>Contractor Programme</t>
        </is>
      </c>
      <c r="D181" s="12" t="inlineStr">
        <is>
          <t>SCH-01-030</t>
        </is>
      </c>
      <c r="E181" s="12" t="inlineStr">
        <is>
          <t>Central guideway: retaining-wall excavation - field start</t>
        </is>
      </c>
      <c r="F181" s="12" t="inlineStr">
        <is>
          <t>ONE_TO_ONE</t>
        </is>
      </c>
      <c r="G181" s="12" t="inlineStr">
        <is>
          <t>APPROVED</t>
        </is>
      </c>
      <c r="H181" s="12" t="inlineStr">
        <is>
          <t>New</t>
        </is>
      </c>
      <c r="I181" s="12" t="inlineStr">
        <is>
          <t>Source assignment -- not individually reviewed</t>
        </is>
      </c>
      <c r="J181" s="12" t="inlineStr"/>
      <c r="K181" s="12" t="inlineStr">
        <is>
          <t>Source assignment</t>
        </is>
      </c>
      <c r="L181" s="12" t="inlineStr"/>
      <c r="M181" s="12" t="inlineStr">
        <is>
          <t>Initial</t>
        </is>
      </c>
      <c r="N181" s="12" t="inlineStr">
        <is>
          <t>Rev 0</t>
        </is>
      </c>
      <c r="O181" s="12" t="inlineStr">
        <is>
          <t>R30-v1</t>
        </is>
      </c>
      <c r="P181" s="12" t="inlineStr"/>
      <c r="Q181" s="12" t="inlineStr"/>
      <c r="R181" s="12" t="inlineStr"/>
      <c r="S181" s="12" t="inlineStr"/>
      <c r="T181" s="12" t="inlineStr"/>
      <c r="U181" s="12" t="inlineStr"/>
      <c r="V181" s="12" t="inlineStr">
        <is>
          <t>WBS Code = 1.1.2</t>
        </is>
      </c>
      <c r="W181" s="12" t="inlineStr"/>
    </row>
    <row r="182" ht="49" customHeight="1">
      <c r="A182" s="12" t="inlineStr">
        <is>
          <t>1.1.2</t>
        </is>
      </c>
      <c r="B182" s="12" t="inlineStr">
        <is>
          <t>Guideway and Civil - Utility &amp; Roadworks</t>
        </is>
      </c>
      <c r="C182" s="12" t="inlineStr">
        <is>
          <t>Contractor Programme</t>
        </is>
      </c>
      <c r="D182" s="12" t="inlineStr">
        <is>
          <t>SCH-01-033</t>
        </is>
      </c>
      <c r="E182" s="12" t="inlineStr">
        <is>
          <t>East portal: track-slab survey - turnover</t>
        </is>
      </c>
      <c r="F182" s="12" t="inlineStr">
        <is>
          <t>ONE_TO_ONE</t>
        </is>
      </c>
      <c r="G182" s="12" t="inlineStr">
        <is>
          <t>APPROVED</t>
        </is>
      </c>
      <c r="H182" s="12" t="inlineStr">
        <is>
          <t>New</t>
        </is>
      </c>
      <c r="I182" s="12" t="inlineStr">
        <is>
          <t>Source assignment -- not individually reviewed</t>
        </is>
      </c>
      <c r="J182" s="12" t="inlineStr"/>
      <c r="K182" s="12" t="inlineStr">
        <is>
          <t>Source assignment</t>
        </is>
      </c>
      <c r="L182" s="12" t="inlineStr"/>
      <c r="M182" s="12" t="inlineStr">
        <is>
          <t>Initial</t>
        </is>
      </c>
      <c r="N182" s="12" t="inlineStr">
        <is>
          <t>Rev 0</t>
        </is>
      </c>
      <c r="O182" s="12" t="inlineStr">
        <is>
          <t>R33-v1</t>
        </is>
      </c>
      <c r="P182" s="12" t="inlineStr"/>
      <c r="Q182" s="12" t="inlineStr"/>
      <c r="R182" s="12" t="inlineStr"/>
      <c r="S182" s="12" t="inlineStr"/>
      <c r="T182" s="12" t="inlineStr"/>
      <c r="U182" s="12" t="inlineStr"/>
      <c r="V182" s="12" t="inlineStr">
        <is>
          <t>WBS Code = 1.1.2</t>
        </is>
      </c>
      <c r="W182" s="12" t="inlineStr"/>
    </row>
    <row r="183" ht="49" customHeight="1">
      <c r="A183" s="12" t="inlineStr">
        <is>
          <t>1.1.2</t>
        </is>
      </c>
      <c r="B183" s="12" t="inlineStr">
        <is>
          <t>Guideway and Civil - Utility &amp; Roadworks</t>
        </is>
      </c>
      <c r="C183" s="12" t="inlineStr">
        <is>
          <t>Contractor Programme</t>
        </is>
      </c>
      <c r="D183" s="12" t="inlineStr">
        <is>
          <t>SCH-01-036</t>
        </is>
      </c>
      <c r="E183" s="12" t="inlineStr">
        <is>
          <t>West approach: road restoration - installation</t>
        </is>
      </c>
      <c r="F183" s="12" t="inlineStr">
        <is>
          <t>ONE_TO_ONE</t>
        </is>
      </c>
      <c r="G183" s="12" t="inlineStr">
        <is>
          <t>APPROVED</t>
        </is>
      </c>
      <c r="H183" s="12" t="inlineStr">
        <is>
          <t>New</t>
        </is>
      </c>
      <c r="I183" s="12" t="inlineStr">
        <is>
          <t>Source assignment -- not individually reviewed</t>
        </is>
      </c>
      <c r="J183" s="12" t="inlineStr"/>
      <c r="K183" s="12" t="inlineStr">
        <is>
          <t>Source assignment</t>
        </is>
      </c>
      <c r="L183" s="12" t="inlineStr"/>
      <c r="M183" s="12" t="inlineStr">
        <is>
          <t>Initial</t>
        </is>
      </c>
      <c r="N183" s="12" t="inlineStr">
        <is>
          <t>Rev 0</t>
        </is>
      </c>
      <c r="O183" s="12" t="inlineStr">
        <is>
          <t>R36-v1</t>
        </is>
      </c>
      <c r="P183" s="12" t="inlineStr"/>
      <c r="Q183" s="12" t="inlineStr"/>
      <c r="R183" s="12" t="inlineStr"/>
      <c r="S183" s="12" t="inlineStr"/>
      <c r="T183" s="12" t="inlineStr"/>
      <c r="U183" s="12" t="inlineStr"/>
      <c r="V183" s="12" t="inlineStr">
        <is>
          <t>WBS Code = 1.1.2</t>
        </is>
      </c>
      <c r="W183" s="12" t="inlineStr"/>
    </row>
    <row r="184" ht="49" customHeight="1">
      <c r="A184" s="12" t="inlineStr">
        <is>
          <t>1.1.2</t>
        </is>
      </c>
      <c r="B184" s="12" t="inlineStr">
        <is>
          <t>Guideway and Civil - Utility &amp; Roadworks</t>
        </is>
      </c>
      <c r="C184" s="12" t="inlineStr">
        <is>
          <t>Contractor Programme</t>
        </is>
      </c>
      <c r="D184" s="12" t="inlineStr">
        <is>
          <t>SCH-01-039</t>
        </is>
      </c>
      <c r="E184" s="12" t="inlineStr">
        <is>
          <t>River crossing: drainage tie-in - release</t>
        </is>
      </c>
      <c r="F184" s="12" t="inlineStr">
        <is>
          <t>ONE_TO_ONE</t>
        </is>
      </c>
      <c r="G184" s="12" t="inlineStr">
        <is>
          <t>APPROVED</t>
        </is>
      </c>
      <c r="H184" s="12" t="inlineStr">
        <is>
          <t>New</t>
        </is>
      </c>
      <c r="I184" s="12" t="inlineStr">
        <is>
          <t>Source assignment -- not individually reviewed</t>
        </is>
      </c>
      <c r="J184" s="12" t="inlineStr"/>
      <c r="K184" s="12" t="inlineStr">
        <is>
          <t>Source assignment</t>
        </is>
      </c>
      <c r="L184" s="12" t="inlineStr"/>
      <c r="M184" s="12" t="inlineStr">
        <is>
          <t>Initial</t>
        </is>
      </c>
      <c r="N184" s="12" t="inlineStr">
        <is>
          <t>Rev 0</t>
        </is>
      </c>
      <c r="O184" s="12" t="inlineStr">
        <is>
          <t>R39-v1</t>
        </is>
      </c>
      <c r="P184" s="12" t="inlineStr"/>
      <c r="Q184" s="12" t="inlineStr"/>
      <c r="R184" s="12" t="inlineStr"/>
      <c r="S184" s="12" t="inlineStr"/>
      <c r="T184" s="12" t="inlineStr"/>
      <c r="U184" s="12" t="inlineStr"/>
      <c r="V184" s="12" t="inlineStr">
        <is>
          <t>WBS Code = 1.1.2</t>
        </is>
      </c>
      <c r="W184" s="12" t="inlineStr"/>
    </row>
    <row r="185" ht="49" customHeight="1">
      <c r="A185" s="12" t="inlineStr">
        <is>
          <t>1.1.2</t>
        </is>
      </c>
      <c r="B185" s="12" t="inlineStr">
        <is>
          <t>Guideway and Civil - Utility &amp; Roadworks</t>
        </is>
      </c>
      <c r="C185" s="12" t="inlineStr">
        <is>
          <t>Contractor Programme</t>
        </is>
      </c>
      <c r="D185" s="12" t="inlineStr">
        <is>
          <t>SCH-01-042</t>
        </is>
      </c>
      <c r="E185" s="12" t="inlineStr">
        <is>
          <t>Depot lead: temporary traffic staging - inspection</t>
        </is>
      </c>
      <c r="F185" s="12" t="inlineStr">
        <is>
          <t>ONE_TO_ONE</t>
        </is>
      </c>
      <c r="G185" s="12" t="inlineStr">
        <is>
          <t>APPROVED</t>
        </is>
      </c>
      <c r="H185" s="12" t="inlineStr">
        <is>
          <t>New</t>
        </is>
      </c>
      <c r="I185" s="12" t="inlineStr">
        <is>
          <t>Source assignment -- not individually reviewed</t>
        </is>
      </c>
      <c r="J185" s="12" t="inlineStr"/>
      <c r="K185" s="12" t="inlineStr">
        <is>
          <t>Source assignment</t>
        </is>
      </c>
      <c r="L185" s="12" t="inlineStr"/>
      <c r="M185" s="12" t="inlineStr">
        <is>
          <t>Initial</t>
        </is>
      </c>
      <c r="N185" s="12" t="inlineStr">
        <is>
          <t>Rev 0</t>
        </is>
      </c>
      <c r="O185" s="12" t="inlineStr">
        <is>
          <t>R42-v1</t>
        </is>
      </c>
      <c r="P185" s="12" t="inlineStr"/>
      <c r="Q185" s="12" t="inlineStr"/>
      <c r="R185" s="12" t="inlineStr"/>
      <c r="S185" s="12" t="inlineStr"/>
      <c r="T185" s="12" t="inlineStr"/>
      <c r="U185" s="12" t="inlineStr"/>
      <c r="V185" s="12" t="inlineStr">
        <is>
          <t>WBS Code = 1.1.2</t>
        </is>
      </c>
      <c r="W185" s="12" t="inlineStr"/>
    </row>
    <row r="186" ht="49" customHeight="1">
      <c r="A186" s="12" t="inlineStr">
        <is>
          <t>1.1.2</t>
        </is>
      </c>
      <c r="B186" s="12" t="inlineStr">
        <is>
          <t>Guideway and Civil - Utility &amp; Roadworks</t>
        </is>
      </c>
      <c r="C186" s="12" t="inlineStr">
        <is>
          <t>Contractor Programme</t>
        </is>
      </c>
      <c r="D186" s="12" t="inlineStr">
        <is>
          <t>SCH-01-045</t>
        </is>
      </c>
      <c r="E186" s="12" t="inlineStr">
        <is>
          <t>Central guideway: drilled-shaft installation - field start</t>
        </is>
      </c>
      <c r="F186" s="12" t="inlineStr">
        <is>
          <t>ONE_TO_ONE</t>
        </is>
      </c>
      <c r="G186" s="12" t="inlineStr">
        <is>
          <t>APPROVED</t>
        </is>
      </c>
      <c r="H186" s="12" t="inlineStr">
        <is>
          <t>New</t>
        </is>
      </c>
      <c r="I186" s="12" t="inlineStr">
        <is>
          <t>Source assignment -- not individually reviewed</t>
        </is>
      </c>
      <c r="J186" s="12" t="inlineStr"/>
      <c r="K186" s="12" t="inlineStr">
        <is>
          <t>Source assignment</t>
        </is>
      </c>
      <c r="L186" s="12" t="inlineStr"/>
      <c r="M186" s="12" t="inlineStr">
        <is>
          <t>Initial</t>
        </is>
      </c>
      <c r="N186" s="12" t="inlineStr">
        <is>
          <t>Rev 0</t>
        </is>
      </c>
      <c r="O186" s="12" t="inlineStr">
        <is>
          <t>R45-v1</t>
        </is>
      </c>
      <c r="P186" s="12" t="inlineStr"/>
      <c r="Q186" s="12" t="inlineStr"/>
      <c r="R186" s="12" t="inlineStr"/>
      <c r="S186" s="12" t="inlineStr"/>
      <c r="T186" s="12" t="inlineStr"/>
      <c r="U186" s="12" t="inlineStr"/>
      <c r="V186" s="12" t="inlineStr">
        <is>
          <t>WBS Code = 1.1.2</t>
        </is>
      </c>
      <c r="W186" s="12" t="inlineStr"/>
    </row>
    <row r="187" ht="49" customHeight="1">
      <c r="A187" s="12" t="inlineStr">
        <is>
          <t>1.1.2</t>
        </is>
      </c>
      <c r="B187" s="12" t="inlineStr">
        <is>
          <t>Guideway and Civil - Utility &amp; Roadworks</t>
        </is>
      </c>
      <c r="C187" s="12" t="inlineStr">
        <is>
          <t>Contractor Programme</t>
        </is>
      </c>
      <c r="D187" s="12" t="inlineStr">
        <is>
          <t>SCH-01-048</t>
        </is>
      </c>
      <c r="E187" s="12" t="inlineStr">
        <is>
          <t>East portal: utility relocation - turnover</t>
        </is>
      </c>
      <c r="F187" s="12" t="inlineStr">
        <is>
          <t>ONE_TO_ONE</t>
        </is>
      </c>
      <c r="G187" s="12" t="inlineStr">
        <is>
          <t>APPROVED</t>
        </is>
      </c>
      <c r="H187" s="12" t="inlineStr">
        <is>
          <t>New</t>
        </is>
      </c>
      <c r="I187" s="12" t="inlineStr">
        <is>
          <t>Source assignment -- not individually reviewed</t>
        </is>
      </c>
      <c r="J187" s="12" t="inlineStr"/>
      <c r="K187" s="12" t="inlineStr">
        <is>
          <t>Source assignment</t>
        </is>
      </c>
      <c r="L187" s="12" t="inlineStr"/>
      <c r="M187" s="12" t="inlineStr">
        <is>
          <t>Initial</t>
        </is>
      </c>
      <c r="N187" s="12" t="inlineStr">
        <is>
          <t>Rev 0</t>
        </is>
      </c>
      <c r="O187" s="12" t="inlineStr">
        <is>
          <t>R48-v1</t>
        </is>
      </c>
      <c r="P187" s="12" t="inlineStr"/>
      <c r="Q187" s="12" t="inlineStr"/>
      <c r="R187" s="12" t="inlineStr"/>
      <c r="S187" s="12" t="inlineStr"/>
      <c r="T187" s="12" t="inlineStr"/>
      <c r="U187" s="12" t="inlineStr"/>
      <c r="V187" s="12" t="inlineStr">
        <is>
          <t>WBS Code = 1.1.2</t>
        </is>
      </c>
      <c r="W187" s="12" t="inlineStr"/>
    </row>
    <row r="188" ht="49" customHeight="1">
      <c r="A188" s="12" t="inlineStr">
        <is>
          <t>1.1.2</t>
        </is>
      </c>
      <c r="B188" s="12" t="inlineStr">
        <is>
          <t>Guideway and Civil - Utility &amp; Roadworks</t>
        </is>
      </c>
      <c r="C188" s="12" t="inlineStr">
        <is>
          <t>Contractor Programme</t>
        </is>
      </c>
      <c r="D188" s="12" t="inlineStr">
        <is>
          <t>SCH-01-051</t>
        </is>
      </c>
      <c r="E188" s="12" t="inlineStr">
        <is>
          <t>West approach: guideway pier reinforcement - installation</t>
        </is>
      </c>
      <c r="F188" s="12" t="inlineStr">
        <is>
          <t>ONE_TO_ONE</t>
        </is>
      </c>
      <c r="G188" s="12" t="inlineStr">
        <is>
          <t>APPROVED</t>
        </is>
      </c>
      <c r="H188" s="12" t="inlineStr">
        <is>
          <t>New</t>
        </is>
      </c>
      <c r="I188" s="12" t="inlineStr">
        <is>
          <t>Source assignment -- not individually reviewed</t>
        </is>
      </c>
      <c r="J188" s="12" t="inlineStr"/>
      <c r="K188" s="12" t="inlineStr">
        <is>
          <t>Source assignment</t>
        </is>
      </c>
      <c r="L188" s="12" t="inlineStr"/>
      <c r="M188" s="12" t="inlineStr">
        <is>
          <t>Initial</t>
        </is>
      </c>
      <c r="N188" s="12" t="inlineStr">
        <is>
          <t>Rev 0</t>
        </is>
      </c>
      <c r="O188" s="12" t="inlineStr">
        <is>
          <t>R51-v1</t>
        </is>
      </c>
      <c r="P188" s="12" t="inlineStr"/>
      <c r="Q188" s="12" t="inlineStr"/>
      <c r="R188" s="12" t="inlineStr"/>
      <c r="S188" s="12" t="inlineStr"/>
      <c r="T188" s="12" t="inlineStr"/>
      <c r="U188" s="12" t="inlineStr"/>
      <c r="V188" s="12" t="inlineStr">
        <is>
          <t>WBS Code = 1.1.2</t>
        </is>
      </c>
      <c r="W188" s="12" t="inlineStr"/>
    </row>
    <row r="189" ht="49" customHeight="1">
      <c r="A189" s="12" t="inlineStr">
        <is>
          <t>1.1.2</t>
        </is>
      </c>
      <c r="B189" s="12" t="inlineStr">
        <is>
          <t>Guideway and Civil - Utility &amp; Roadworks</t>
        </is>
      </c>
      <c r="C189" s="12" t="inlineStr">
        <is>
          <t>Contractor Programme</t>
        </is>
      </c>
      <c r="D189" s="12" t="inlineStr">
        <is>
          <t>SCH-01-054</t>
        </is>
      </c>
      <c r="E189" s="12" t="inlineStr">
        <is>
          <t>River crossing: retaining-wall excavation - release</t>
        </is>
      </c>
      <c r="F189" s="12" t="inlineStr">
        <is>
          <t>ONE_TO_ONE</t>
        </is>
      </c>
      <c r="G189" s="12" t="inlineStr">
        <is>
          <t>APPROVED</t>
        </is>
      </c>
      <c r="H189" s="12" t="inlineStr">
        <is>
          <t>New</t>
        </is>
      </c>
      <c r="I189" s="12" t="inlineStr">
        <is>
          <t>Source assignment -- not individually reviewed</t>
        </is>
      </c>
      <c r="J189" s="12" t="inlineStr"/>
      <c r="K189" s="12" t="inlineStr">
        <is>
          <t>Source assignment</t>
        </is>
      </c>
      <c r="L189" s="12" t="inlineStr"/>
      <c r="M189" s="12" t="inlineStr">
        <is>
          <t>Initial</t>
        </is>
      </c>
      <c r="N189" s="12" t="inlineStr">
        <is>
          <t>Rev 0</t>
        </is>
      </c>
      <c r="O189" s="12" t="inlineStr">
        <is>
          <t>R54-v1</t>
        </is>
      </c>
      <c r="P189" s="12" t="inlineStr"/>
      <c r="Q189" s="12" t="inlineStr"/>
      <c r="R189" s="12" t="inlineStr"/>
      <c r="S189" s="12" t="inlineStr"/>
      <c r="T189" s="12" t="inlineStr"/>
      <c r="U189" s="12" t="inlineStr"/>
      <c r="V189" s="12" t="inlineStr">
        <is>
          <t>WBS Code = 1.1.2</t>
        </is>
      </c>
      <c r="W189" s="12" t="inlineStr"/>
    </row>
    <row r="190" ht="49" customHeight="1">
      <c r="A190" s="12" t="inlineStr">
        <is>
          <t>1.1.2</t>
        </is>
      </c>
      <c r="B190" s="12" t="inlineStr">
        <is>
          <t>Guideway and Civil - Utility &amp; Roadworks</t>
        </is>
      </c>
      <c r="C190" s="12" t="inlineStr">
        <is>
          <t>Contractor Programme</t>
        </is>
      </c>
      <c r="D190" s="12" t="inlineStr">
        <is>
          <t>SCH-01-057</t>
        </is>
      </c>
      <c r="E190" s="12" t="inlineStr">
        <is>
          <t>Depot lead: track-slab survey - inspection</t>
        </is>
      </c>
      <c r="F190" s="12" t="inlineStr">
        <is>
          <t>ONE_TO_ONE</t>
        </is>
      </c>
      <c r="G190" s="12" t="inlineStr">
        <is>
          <t>APPROVED</t>
        </is>
      </c>
      <c r="H190" s="12" t="inlineStr">
        <is>
          <t>New</t>
        </is>
      </c>
      <c r="I190" s="12" t="inlineStr">
        <is>
          <t>Source assignment -- not individually reviewed</t>
        </is>
      </c>
      <c r="J190" s="12" t="inlineStr"/>
      <c r="K190" s="12" t="inlineStr">
        <is>
          <t>Source assignment</t>
        </is>
      </c>
      <c r="L190" s="12" t="inlineStr"/>
      <c r="M190" s="12" t="inlineStr">
        <is>
          <t>Initial</t>
        </is>
      </c>
      <c r="N190" s="12" t="inlineStr">
        <is>
          <t>Rev 0</t>
        </is>
      </c>
      <c r="O190" s="12" t="inlineStr">
        <is>
          <t>R57-v1</t>
        </is>
      </c>
      <c r="P190" s="12" t="inlineStr"/>
      <c r="Q190" s="12" t="inlineStr"/>
      <c r="R190" s="12" t="inlineStr"/>
      <c r="S190" s="12" t="inlineStr"/>
      <c r="T190" s="12" t="inlineStr"/>
      <c r="U190" s="12" t="inlineStr"/>
      <c r="V190" s="12" t="inlineStr">
        <is>
          <t>WBS Code = 1.1.2</t>
        </is>
      </c>
      <c r="W190" s="12" t="inlineStr"/>
    </row>
    <row r="191" ht="49" customHeight="1">
      <c r="A191" s="12" t="inlineStr">
        <is>
          <t>1.1.2</t>
        </is>
      </c>
      <c r="B191" s="12" t="inlineStr">
        <is>
          <t>Guideway and Civil - Utility &amp; Roadworks</t>
        </is>
      </c>
      <c r="C191" s="12" t="inlineStr">
        <is>
          <t>Contractor Programme</t>
        </is>
      </c>
      <c r="D191" s="12" t="inlineStr">
        <is>
          <t>SCH-01-060</t>
        </is>
      </c>
      <c r="E191" s="12" t="inlineStr">
        <is>
          <t>Central guideway: road restoration - field start</t>
        </is>
      </c>
      <c r="F191" s="12" t="inlineStr">
        <is>
          <t>ONE_TO_ONE</t>
        </is>
      </c>
      <c r="G191" s="12" t="inlineStr">
        <is>
          <t>APPROVED</t>
        </is>
      </c>
      <c r="H191" s="12" t="inlineStr">
        <is>
          <t>New</t>
        </is>
      </c>
      <c r="I191" s="12" t="inlineStr">
        <is>
          <t>Source assignment -- not individually reviewed</t>
        </is>
      </c>
      <c r="J191" s="12" t="inlineStr"/>
      <c r="K191" s="12" t="inlineStr">
        <is>
          <t>Source assignment</t>
        </is>
      </c>
      <c r="L191" s="12" t="inlineStr"/>
      <c r="M191" s="12" t="inlineStr">
        <is>
          <t>Initial</t>
        </is>
      </c>
      <c r="N191" s="12" t="inlineStr">
        <is>
          <t>Rev 0</t>
        </is>
      </c>
      <c r="O191" s="12" t="inlineStr">
        <is>
          <t>R60-v1</t>
        </is>
      </c>
      <c r="P191" s="12" t="inlineStr"/>
      <c r="Q191" s="12" t="inlineStr"/>
      <c r="R191" s="12" t="inlineStr"/>
      <c r="S191" s="12" t="inlineStr"/>
      <c r="T191" s="12" t="inlineStr"/>
      <c r="U191" s="12" t="inlineStr"/>
      <c r="V191" s="12" t="inlineStr">
        <is>
          <t>WBS Code = 1.1.2</t>
        </is>
      </c>
      <c r="W191" s="12" t="inlineStr"/>
    </row>
    <row r="192" ht="49" customHeight="1">
      <c r="A192" s="12" t="inlineStr">
        <is>
          <t>1.1.2</t>
        </is>
      </c>
      <c r="B192" s="12" t="inlineStr">
        <is>
          <t>Guideway and Civil - Utility &amp; Roadworks</t>
        </is>
      </c>
      <c r="C192" s="12" t="inlineStr">
        <is>
          <t>Contractor Programme</t>
        </is>
      </c>
      <c r="D192" s="12" t="inlineStr">
        <is>
          <t>SCH-01-063</t>
        </is>
      </c>
      <c r="E192" s="12" t="inlineStr">
        <is>
          <t>East portal: drainage tie-in - turnover</t>
        </is>
      </c>
      <c r="F192" s="12" t="inlineStr">
        <is>
          <t>ONE_TO_ONE</t>
        </is>
      </c>
      <c r="G192" s="12" t="inlineStr">
        <is>
          <t>APPROVED</t>
        </is>
      </c>
      <c r="H192" s="12" t="inlineStr">
        <is>
          <t>New</t>
        </is>
      </c>
      <c r="I192" s="12" t="inlineStr">
        <is>
          <t>Source assignment -- not individually reviewed</t>
        </is>
      </c>
      <c r="J192" s="12" t="inlineStr"/>
      <c r="K192" s="12" t="inlineStr">
        <is>
          <t>Source assignment</t>
        </is>
      </c>
      <c r="L192" s="12" t="inlineStr"/>
      <c r="M192" s="12" t="inlineStr">
        <is>
          <t>Initial</t>
        </is>
      </c>
      <c r="N192" s="12" t="inlineStr">
        <is>
          <t>Rev 0</t>
        </is>
      </c>
      <c r="O192" s="12" t="inlineStr">
        <is>
          <t>R63-v1</t>
        </is>
      </c>
      <c r="P192" s="12" t="inlineStr"/>
      <c r="Q192" s="12" t="inlineStr"/>
      <c r="R192" s="12" t="inlineStr"/>
      <c r="S192" s="12" t="inlineStr"/>
      <c r="T192" s="12" t="inlineStr"/>
      <c r="U192" s="12" t="inlineStr"/>
      <c r="V192" s="12" t="inlineStr">
        <is>
          <t>WBS Code = 1.1.2</t>
        </is>
      </c>
      <c r="W192" s="12" t="inlineStr"/>
    </row>
    <row r="193" ht="49" customHeight="1">
      <c r="A193" s="12" t="inlineStr">
        <is>
          <t>1.1.2</t>
        </is>
      </c>
      <c r="B193" s="12" t="inlineStr">
        <is>
          <t>Guideway and Civil - Utility &amp; Roadworks</t>
        </is>
      </c>
      <c r="C193" s="12" t="inlineStr">
        <is>
          <t>Contractor Programme</t>
        </is>
      </c>
      <c r="D193" s="12" t="inlineStr">
        <is>
          <t>SCH-01-066</t>
        </is>
      </c>
      <c r="E193" s="12" t="inlineStr">
        <is>
          <t>West approach: temporary traffic staging - installation</t>
        </is>
      </c>
      <c r="F193" s="12" t="inlineStr">
        <is>
          <t>ONE_TO_ONE</t>
        </is>
      </c>
      <c r="G193" s="12" t="inlineStr">
        <is>
          <t>APPROVED</t>
        </is>
      </c>
      <c r="H193" s="12" t="inlineStr">
        <is>
          <t>New</t>
        </is>
      </c>
      <c r="I193" s="12" t="inlineStr">
        <is>
          <t>Source assignment -- not individually reviewed</t>
        </is>
      </c>
      <c r="J193" s="12" t="inlineStr"/>
      <c r="K193" s="12" t="inlineStr">
        <is>
          <t>Source assignment</t>
        </is>
      </c>
      <c r="L193" s="12" t="inlineStr"/>
      <c r="M193" s="12" t="inlineStr">
        <is>
          <t>Initial</t>
        </is>
      </c>
      <c r="N193" s="12" t="inlineStr">
        <is>
          <t>Rev 0</t>
        </is>
      </c>
      <c r="O193" s="12" t="inlineStr">
        <is>
          <t>R66-v1</t>
        </is>
      </c>
      <c r="P193" s="12" t="inlineStr"/>
      <c r="Q193" s="12" t="inlineStr"/>
      <c r="R193" s="12" t="inlineStr"/>
      <c r="S193" s="12" t="inlineStr"/>
      <c r="T193" s="12" t="inlineStr"/>
      <c r="U193" s="12" t="inlineStr"/>
      <c r="V193" s="12" t="inlineStr">
        <is>
          <t>WBS Code = 1.1.2</t>
        </is>
      </c>
      <c r="W193" s="12" t="inlineStr"/>
    </row>
    <row r="194" ht="49" customHeight="1">
      <c r="A194" s="12" t="inlineStr">
        <is>
          <t>1.1.2</t>
        </is>
      </c>
      <c r="B194" s="12" t="inlineStr">
        <is>
          <t>Guideway and Civil - Utility &amp; Roadworks</t>
        </is>
      </c>
      <c r="C194" s="12" t="inlineStr">
        <is>
          <t>Contractor Programme</t>
        </is>
      </c>
      <c r="D194" s="12" t="inlineStr">
        <is>
          <t>SCH-01-069</t>
        </is>
      </c>
      <c r="E194" s="12" t="inlineStr">
        <is>
          <t>River crossing: drilled-shaft installation - release</t>
        </is>
      </c>
      <c r="F194" s="12" t="inlineStr">
        <is>
          <t>ONE_TO_ONE</t>
        </is>
      </c>
      <c r="G194" s="12" t="inlineStr">
        <is>
          <t>APPROVED</t>
        </is>
      </c>
      <c r="H194" s="12" t="inlineStr">
        <is>
          <t>New</t>
        </is>
      </c>
      <c r="I194" s="12" t="inlineStr">
        <is>
          <t>Source assignment -- not individually reviewed</t>
        </is>
      </c>
      <c r="J194" s="12" t="inlineStr"/>
      <c r="K194" s="12" t="inlineStr">
        <is>
          <t>Source assignment</t>
        </is>
      </c>
      <c r="L194" s="12" t="inlineStr"/>
      <c r="M194" s="12" t="inlineStr">
        <is>
          <t>Initial</t>
        </is>
      </c>
      <c r="N194" s="12" t="inlineStr">
        <is>
          <t>Rev 0</t>
        </is>
      </c>
      <c r="O194" s="12" t="inlineStr">
        <is>
          <t>R69-v1</t>
        </is>
      </c>
      <c r="P194" s="12" t="inlineStr"/>
      <c r="Q194" s="12" t="inlineStr"/>
      <c r="R194" s="12" t="inlineStr"/>
      <c r="S194" s="12" t="inlineStr"/>
      <c r="T194" s="12" t="inlineStr"/>
      <c r="U194" s="12" t="inlineStr"/>
      <c r="V194" s="12" t="inlineStr">
        <is>
          <t>WBS Code = 1.1.2</t>
        </is>
      </c>
      <c r="W194" s="12" t="inlineStr"/>
    </row>
    <row r="195" ht="49" customHeight="1">
      <c r="A195" s="12" t="inlineStr">
        <is>
          <t>1.1.2</t>
        </is>
      </c>
      <c r="B195" s="12" t="inlineStr">
        <is>
          <t>Guideway and Civil - Utility &amp; Roadworks</t>
        </is>
      </c>
      <c r="C195" s="12" t="inlineStr">
        <is>
          <t>Contractor Programme</t>
        </is>
      </c>
      <c r="D195" s="12" t="inlineStr">
        <is>
          <t>SCH-01-072</t>
        </is>
      </c>
      <c r="E195" s="12" t="inlineStr">
        <is>
          <t>Depot lead: utility relocation - inspection</t>
        </is>
      </c>
      <c r="F195" s="12" t="inlineStr">
        <is>
          <t>ONE_TO_ONE</t>
        </is>
      </c>
      <c r="G195" s="12" t="inlineStr">
        <is>
          <t>APPROVED</t>
        </is>
      </c>
      <c r="H195" s="12" t="inlineStr">
        <is>
          <t>New</t>
        </is>
      </c>
      <c r="I195" s="12" t="inlineStr">
        <is>
          <t>Source assignment -- not individually reviewed</t>
        </is>
      </c>
      <c r="J195" s="12" t="inlineStr"/>
      <c r="K195" s="12" t="inlineStr">
        <is>
          <t>Source assignment</t>
        </is>
      </c>
      <c r="L195" s="12" t="inlineStr"/>
      <c r="M195" s="12" t="inlineStr">
        <is>
          <t>Initial</t>
        </is>
      </c>
      <c r="N195" s="12" t="inlineStr">
        <is>
          <t>Rev 0</t>
        </is>
      </c>
      <c r="O195" s="12" t="inlineStr">
        <is>
          <t>R72-v1</t>
        </is>
      </c>
      <c r="P195" s="12" t="inlineStr"/>
      <c r="Q195" s="12" t="inlineStr"/>
      <c r="R195" s="12" t="inlineStr"/>
      <c r="S195" s="12" t="inlineStr"/>
      <c r="T195" s="12" t="inlineStr"/>
      <c r="U195" s="12" t="inlineStr"/>
      <c r="V195" s="12" t="inlineStr">
        <is>
          <t>WBS Code = 1.1.2</t>
        </is>
      </c>
      <c r="W195" s="12" t="inlineStr"/>
    </row>
    <row r="196" ht="49" customHeight="1">
      <c r="A196" s="12" t="inlineStr">
        <is>
          <t>1.1.2</t>
        </is>
      </c>
      <c r="B196" s="12" t="inlineStr">
        <is>
          <t>Guideway and Civil - Utility &amp; Roadworks</t>
        </is>
      </c>
      <c r="C196" s="12" t="inlineStr">
        <is>
          <t>Contractor Programme</t>
        </is>
      </c>
      <c r="D196" s="12" t="inlineStr">
        <is>
          <t>SCH-01-075</t>
        </is>
      </c>
      <c r="E196" s="12" t="inlineStr">
        <is>
          <t>Central guideway: guideway pier reinforcement - field start</t>
        </is>
      </c>
      <c r="F196" s="12" t="inlineStr">
        <is>
          <t>ONE_TO_ONE</t>
        </is>
      </c>
      <c r="G196" s="12" t="inlineStr">
        <is>
          <t>APPROVED</t>
        </is>
      </c>
      <c r="H196" s="12" t="inlineStr">
        <is>
          <t>New</t>
        </is>
      </c>
      <c r="I196" s="12" t="inlineStr">
        <is>
          <t>Source assignment -- not individually reviewed</t>
        </is>
      </c>
      <c r="J196" s="12" t="inlineStr"/>
      <c r="K196" s="12" t="inlineStr">
        <is>
          <t>Source assignment</t>
        </is>
      </c>
      <c r="L196" s="12" t="inlineStr"/>
      <c r="M196" s="12" t="inlineStr">
        <is>
          <t>Initial</t>
        </is>
      </c>
      <c r="N196" s="12" t="inlineStr">
        <is>
          <t>Rev 0</t>
        </is>
      </c>
      <c r="O196" s="12" t="inlineStr">
        <is>
          <t>R75-v1</t>
        </is>
      </c>
      <c r="P196" s="12" t="inlineStr"/>
      <c r="Q196" s="12" t="inlineStr"/>
      <c r="R196" s="12" t="inlineStr"/>
      <c r="S196" s="12" t="inlineStr"/>
      <c r="T196" s="12" t="inlineStr"/>
      <c r="U196" s="12" t="inlineStr"/>
      <c r="V196" s="12" t="inlineStr">
        <is>
          <t>WBS Code = 1.1.2</t>
        </is>
      </c>
      <c r="W196" s="12" t="inlineStr"/>
    </row>
    <row r="197" ht="49" customHeight="1">
      <c r="A197" s="12" t="inlineStr">
        <is>
          <t>1.1.2</t>
        </is>
      </c>
      <c r="B197" s="12" t="inlineStr">
        <is>
          <t>Guideway and Civil - Utility &amp; Roadworks</t>
        </is>
      </c>
      <c r="C197" s="12" t="inlineStr">
        <is>
          <t>Contractor Programme</t>
        </is>
      </c>
      <c r="D197" s="12" t="inlineStr">
        <is>
          <t>SCH-01-078</t>
        </is>
      </c>
      <c r="E197" s="12" t="inlineStr">
        <is>
          <t>East portal: retaining-wall excavation - turnover</t>
        </is>
      </c>
      <c r="F197" s="12" t="inlineStr">
        <is>
          <t>ONE_TO_ONE</t>
        </is>
      </c>
      <c r="G197" s="12" t="inlineStr">
        <is>
          <t>APPROVED</t>
        </is>
      </c>
      <c r="H197" s="12" t="inlineStr">
        <is>
          <t>New</t>
        </is>
      </c>
      <c r="I197" s="12" t="inlineStr">
        <is>
          <t>Source assignment -- not individually reviewed</t>
        </is>
      </c>
      <c r="J197" s="12" t="inlineStr"/>
      <c r="K197" s="12" t="inlineStr">
        <is>
          <t>Source assignment</t>
        </is>
      </c>
      <c r="L197" s="12" t="inlineStr"/>
      <c r="M197" s="12" t="inlineStr">
        <is>
          <t>Initial</t>
        </is>
      </c>
      <c r="N197" s="12" t="inlineStr">
        <is>
          <t>Rev 0</t>
        </is>
      </c>
      <c r="O197" s="12" t="inlineStr">
        <is>
          <t>R78-v1</t>
        </is>
      </c>
      <c r="P197" s="12" t="inlineStr"/>
      <c r="Q197" s="12" t="inlineStr"/>
      <c r="R197" s="12" t="inlineStr"/>
      <c r="S197" s="12" t="inlineStr"/>
      <c r="T197" s="12" t="inlineStr"/>
      <c r="U197" s="12" t="inlineStr"/>
      <c r="V197" s="12" t="inlineStr">
        <is>
          <t>WBS Code = 1.1.2</t>
        </is>
      </c>
      <c r="W197" s="12" t="inlineStr"/>
    </row>
    <row r="198" ht="49" customHeight="1">
      <c r="A198" s="12" t="inlineStr">
        <is>
          <t>1.1.2</t>
        </is>
      </c>
      <c r="B198" s="12" t="inlineStr">
        <is>
          <t>Guideway and Civil - Utility &amp; Roadworks</t>
        </is>
      </c>
      <c r="C198" s="12" t="inlineStr">
        <is>
          <t>Contractor Programme</t>
        </is>
      </c>
      <c r="D198" s="12" t="inlineStr">
        <is>
          <t>SCH-01-081</t>
        </is>
      </c>
      <c r="E198" s="12" t="inlineStr">
        <is>
          <t>West approach: track-slab survey - installation</t>
        </is>
      </c>
      <c r="F198" s="12" t="inlineStr">
        <is>
          <t>ONE_TO_ONE</t>
        </is>
      </c>
      <c r="G198" s="12" t="inlineStr">
        <is>
          <t>APPROVED</t>
        </is>
      </c>
      <c r="H198" s="12" t="inlineStr">
        <is>
          <t>New</t>
        </is>
      </c>
      <c r="I198" s="12" t="inlineStr">
        <is>
          <t>Source assignment -- not individually reviewed</t>
        </is>
      </c>
      <c r="J198" s="12" t="inlineStr"/>
      <c r="K198" s="12" t="inlineStr">
        <is>
          <t>Source assignment</t>
        </is>
      </c>
      <c r="L198" s="12" t="inlineStr"/>
      <c r="M198" s="12" t="inlineStr">
        <is>
          <t>Initial</t>
        </is>
      </c>
      <c r="N198" s="12" t="inlineStr">
        <is>
          <t>Rev 0</t>
        </is>
      </c>
      <c r="O198" s="12" t="inlineStr">
        <is>
          <t>R81-v1</t>
        </is>
      </c>
      <c r="P198" s="12" t="inlineStr"/>
      <c r="Q198" s="12" t="inlineStr"/>
      <c r="R198" s="12" t="inlineStr"/>
      <c r="S198" s="12" t="inlineStr"/>
      <c r="T198" s="12" t="inlineStr"/>
      <c r="U198" s="12" t="inlineStr"/>
      <c r="V198" s="12" t="inlineStr">
        <is>
          <t>WBS Code = 1.1.2</t>
        </is>
      </c>
      <c r="W198" s="12" t="inlineStr"/>
    </row>
    <row r="199" ht="49" customHeight="1">
      <c r="A199" s="12" t="inlineStr">
        <is>
          <t>1.1.2</t>
        </is>
      </c>
      <c r="B199" s="12" t="inlineStr">
        <is>
          <t>Guideway and Civil - Utility &amp; Roadworks</t>
        </is>
      </c>
      <c r="C199" s="12" t="inlineStr">
        <is>
          <t>Contractor Programme</t>
        </is>
      </c>
      <c r="D199" s="12" t="inlineStr">
        <is>
          <t>SCH-01-084</t>
        </is>
      </c>
      <c r="E199" s="12" t="inlineStr">
        <is>
          <t>River crossing: road restoration - release</t>
        </is>
      </c>
      <c r="F199" s="12" t="inlineStr">
        <is>
          <t>ONE_TO_ONE</t>
        </is>
      </c>
      <c r="G199" s="12" t="inlineStr">
        <is>
          <t>APPROVED</t>
        </is>
      </c>
      <c r="H199" s="12" t="inlineStr">
        <is>
          <t>New</t>
        </is>
      </c>
      <c r="I199" s="12" t="inlineStr">
        <is>
          <t>Source assignment -- not individually reviewed</t>
        </is>
      </c>
      <c r="J199" s="12" t="inlineStr"/>
      <c r="K199" s="12" t="inlineStr">
        <is>
          <t>Source assignment</t>
        </is>
      </c>
      <c r="L199" s="12" t="inlineStr"/>
      <c r="M199" s="12" t="inlineStr">
        <is>
          <t>Initial</t>
        </is>
      </c>
      <c r="N199" s="12" t="inlineStr">
        <is>
          <t>Rev 0</t>
        </is>
      </c>
      <c r="O199" s="12" t="inlineStr">
        <is>
          <t>R84-v1</t>
        </is>
      </c>
      <c r="P199" s="12" t="inlineStr"/>
      <c r="Q199" s="12" t="inlineStr"/>
      <c r="R199" s="12" t="inlineStr"/>
      <c r="S199" s="12" t="inlineStr"/>
      <c r="T199" s="12" t="inlineStr"/>
      <c r="U199" s="12" t="inlineStr"/>
      <c r="V199" s="12" t="inlineStr">
        <is>
          <t>WBS Code = 1.1.2</t>
        </is>
      </c>
      <c r="W199" s="12" t="inlineStr"/>
    </row>
    <row r="200" ht="49" customHeight="1">
      <c r="A200" s="12" t="inlineStr">
        <is>
          <t>1.1.2</t>
        </is>
      </c>
      <c r="B200" s="12" t="inlineStr">
        <is>
          <t>Guideway and Civil - Utility &amp; Roadworks</t>
        </is>
      </c>
      <c r="C200" s="12" t="inlineStr">
        <is>
          <t>Contractor Programme</t>
        </is>
      </c>
      <c r="D200" s="12" t="inlineStr">
        <is>
          <t>SCH-01-087</t>
        </is>
      </c>
      <c r="E200" s="12" t="inlineStr">
        <is>
          <t>Depot lead: drainage tie-in - inspection</t>
        </is>
      </c>
      <c r="F200" s="12" t="inlineStr">
        <is>
          <t>ONE_TO_ONE</t>
        </is>
      </c>
      <c r="G200" s="12" t="inlineStr">
        <is>
          <t>APPROVED</t>
        </is>
      </c>
      <c r="H200" s="12" t="inlineStr">
        <is>
          <t>New</t>
        </is>
      </c>
      <c r="I200" s="12" t="inlineStr">
        <is>
          <t>Source assignment -- not individually reviewed</t>
        </is>
      </c>
      <c r="J200" s="12" t="inlineStr"/>
      <c r="K200" s="12" t="inlineStr">
        <is>
          <t>Source assignment</t>
        </is>
      </c>
      <c r="L200" s="12" t="inlineStr"/>
      <c r="M200" s="12" t="inlineStr">
        <is>
          <t>Initial</t>
        </is>
      </c>
      <c r="N200" s="12" t="inlineStr">
        <is>
          <t>Rev 0</t>
        </is>
      </c>
      <c r="O200" s="12" t="inlineStr">
        <is>
          <t>R87-v1</t>
        </is>
      </c>
      <c r="P200" s="12" t="inlineStr"/>
      <c r="Q200" s="12" t="inlineStr"/>
      <c r="R200" s="12" t="inlineStr"/>
      <c r="S200" s="12" t="inlineStr"/>
      <c r="T200" s="12" t="inlineStr"/>
      <c r="U200" s="12" t="inlineStr"/>
      <c r="V200" s="12" t="inlineStr">
        <is>
          <t>WBS Code = 1.1.2</t>
        </is>
      </c>
      <c r="W200" s="12" t="inlineStr"/>
    </row>
    <row r="201" ht="49" customHeight="1">
      <c r="A201" s="12" t="inlineStr">
        <is>
          <t>1.1.2</t>
        </is>
      </c>
      <c r="B201" s="12" t="inlineStr">
        <is>
          <t>Guideway and Civil - Utility &amp; Roadworks</t>
        </is>
      </c>
      <c r="C201" s="12" t="inlineStr">
        <is>
          <t>Contractor Programme</t>
        </is>
      </c>
      <c r="D201" s="12" t="inlineStr">
        <is>
          <t>SCH-01-090</t>
        </is>
      </c>
      <c r="E201" s="12" t="inlineStr">
        <is>
          <t>Central guideway: temporary traffic staging - field start</t>
        </is>
      </c>
      <c r="F201" s="12" t="inlineStr">
        <is>
          <t>ONE_TO_ONE</t>
        </is>
      </c>
      <c r="G201" s="12" t="inlineStr">
        <is>
          <t>APPROVED</t>
        </is>
      </c>
      <c r="H201" s="12" t="inlineStr">
        <is>
          <t>New</t>
        </is>
      </c>
      <c r="I201" s="12" t="inlineStr">
        <is>
          <t>Source assignment -- not individually reviewed</t>
        </is>
      </c>
      <c r="J201" s="12" t="inlineStr"/>
      <c r="K201" s="12" t="inlineStr">
        <is>
          <t>Source assignment</t>
        </is>
      </c>
      <c r="L201" s="12" t="inlineStr"/>
      <c r="M201" s="12" t="inlineStr">
        <is>
          <t>Initial</t>
        </is>
      </c>
      <c r="N201" s="12" t="inlineStr">
        <is>
          <t>Rev 0</t>
        </is>
      </c>
      <c r="O201" s="12" t="inlineStr">
        <is>
          <t>R90-v1</t>
        </is>
      </c>
      <c r="P201" s="12" t="inlineStr"/>
      <c r="Q201" s="12" t="inlineStr"/>
      <c r="R201" s="12" t="inlineStr"/>
      <c r="S201" s="12" t="inlineStr"/>
      <c r="T201" s="12" t="inlineStr"/>
      <c r="U201" s="12" t="inlineStr"/>
      <c r="V201" s="12" t="inlineStr">
        <is>
          <t>WBS Code = 1.1.2</t>
        </is>
      </c>
      <c r="W201" s="12" t="inlineStr"/>
    </row>
    <row r="202" ht="49" customHeight="1">
      <c r="A202" s="12" t="inlineStr">
        <is>
          <t>1.1.2</t>
        </is>
      </c>
      <c r="B202" s="12" t="inlineStr">
        <is>
          <t>Guideway and Civil - Utility &amp; Roadworks</t>
        </is>
      </c>
      <c r="C202" s="12" t="inlineStr">
        <is>
          <t>Contractor Programme</t>
        </is>
      </c>
      <c r="D202" s="12" t="inlineStr">
        <is>
          <t>SCH-01-093</t>
        </is>
      </c>
      <c r="E202" s="12" t="inlineStr">
        <is>
          <t>East portal: drilled-shaft installation - turnover</t>
        </is>
      </c>
      <c r="F202" s="12" t="inlineStr">
        <is>
          <t>ONE_TO_ONE</t>
        </is>
      </c>
      <c r="G202" s="12" t="inlineStr">
        <is>
          <t>APPROVED</t>
        </is>
      </c>
      <c r="H202" s="12" t="inlineStr">
        <is>
          <t>New</t>
        </is>
      </c>
      <c r="I202" s="12" t="inlineStr">
        <is>
          <t>Source assignment -- not individually reviewed</t>
        </is>
      </c>
      <c r="J202" s="12" t="inlineStr"/>
      <c r="K202" s="12" t="inlineStr">
        <is>
          <t>Source assignment</t>
        </is>
      </c>
      <c r="L202" s="12" t="inlineStr"/>
      <c r="M202" s="12" t="inlineStr">
        <is>
          <t>Initial</t>
        </is>
      </c>
      <c r="N202" s="12" t="inlineStr">
        <is>
          <t>Rev 0</t>
        </is>
      </c>
      <c r="O202" s="12" t="inlineStr">
        <is>
          <t>R93-v1</t>
        </is>
      </c>
      <c r="P202" s="12" t="inlineStr"/>
      <c r="Q202" s="12" t="inlineStr"/>
      <c r="R202" s="12" t="inlineStr"/>
      <c r="S202" s="12" t="inlineStr"/>
      <c r="T202" s="12" t="inlineStr"/>
      <c r="U202" s="12" t="inlineStr"/>
      <c r="V202" s="12" t="inlineStr">
        <is>
          <t>WBS Code = 1.1.2</t>
        </is>
      </c>
      <c r="W202" s="12" t="inlineStr"/>
    </row>
    <row r="203" ht="49" customHeight="1">
      <c r="A203" s="12" t="inlineStr">
        <is>
          <t>1.1.2</t>
        </is>
      </c>
      <c r="B203" s="12" t="inlineStr">
        <is>
          <t>Guideway and Civil - Utility &amp; Roadworks</t>
        </is>
      </c>
      <c r="C203" s="12" t="inlineStr">
        <is>
          <t>Contractor Programme</t>
        </is>
      </c>
      <c r="D203" s="12" t="inlineStr">
        <is>
          <t>SCH-01-096</t>
        </is>
      </c>
      <c r="E203" s="12" t="inlineStr">
        <is>
          <t>West approach: utility relocation - installation</t>
        </is>
      </c>
      <c r="F203" s="12" t="inlineStr">
        <is>
          <t>ONE_TO_ONE</t>
        </is>
      </c>
      <c r="G203" s="12" t="inlineStr">
        <is>
          <t>APPROVED</t>
        </is>
      </c>
      <c r="H203" s="12" t="inlineStr">
        <is>
          <t>New</t>
        </is>
      </c>
      <c r="I203" s="12" t="inlineStr">
        <is>
          <t>Source assignment -- not individually reviewed</t>
        </is>
      </c>
      <c r="J203" s="12" t="inlineStr"/>
      <c r="K203" s="12" t="inlineStr">
        <is>
          <t>Source assignment</t>
        </is>
      </c>
      <c r="L203" s="12" t="inlineStr"/>
      <c r="M203" s="12" t="inlineStr">
        <is>
          <t>Initial</t>
        </is>
      </c>
      <c r="N203" s="12" t="inlineStr">
        <is>
          <t>Rev 0</t>
        </is>
      </c>
      <c r="O203" s="12" t="inlineStr">
        <is>
          <t>R96-v1</t>
        </is>
      </c>
      <c r="P203" s="12" t="inlineStr"/>
      <c r="Q203" s="12" t="inlineStr"/>
      <c r="R203" s="12" t="inlineStr"/>
      <c r="S203" s="12" t="inlineStr"/>
      <c r="T203" s="12" t="inlineStr"/>
      <c r="U203" s="12" t="inlineStr"/>
      <c r="V203" s="12" t="inlineStr">
        <is>
          <t>WBS Code = 1.1.2</t>
        </is>
      </c>
      <c r="W203" s="12" t="inlineStr"/>
    </row>
    <row r="204" ht="49" customHeight="1">
      <c r="A204" s="12" t="inlineStr">
        <is>
          <t>1.1.2</t>
        </is>
      </c>
      <c r="B204" s="12" t="inlineStr">
        <is>
          <t>Guideway and Civil - Utility &amp; Roadworks</t>
        </is>
      </c>
      <c r="C204" s="12" t="inlineStr">
        <is>
          <t>Contractor Programme</t>
        </is>
      </c>
      <c r="D204" s="12" t="inlineStr">
        <is>
          <t>SCH-01-099</t>
        </is>
      </c>
      <c r="E204" s="12" t="inlineStr">
        <is>
          <t>River crossing: guideway pier reinforcement - release</t>
        </is>
      </c>
      <c r="F204" s="12" t="inlineStr">
        <is>
          <t>ONE_TO_ONE</t>
        </is>
      </c>
      <c r="G204" s="12" t="inlineStr">
        <is>
          <t>APPROVED</t>
        </is>
      </c>
      <c r="H204" s="12" t="inlineStr">
        <is>
          <t>New</t>
        </is>
      </c>
      <c r="I204" s="12" t="inlineStr">
        <is>
          <t>Source assignment -- not individually reviewed</t>
        </is>
      </c>
      <c r="J204" s="12" t="inlineStr"/>
      <c r="K204" s="12" t="inlineStr">
        <is>
          <t>Source assignment</t>
        </is>
      </c>
      <c r="L204" s="12" t="inlineStr"/>
      <c r="M204" s="12" t="inlineStr">
        <is>
          <t>Initial</t>
        </is>
      </c>
      <c r="N204" s="12" t="inlineStr">
        <is>
          <t>Rev 0</t>
        </is>
      </c>
      <c r="O204" s="12" t="inlineStr">
        <is>
          <t>R99-v1</t>
        </is>
      </c>
      <c r="P204" s="12" t="inlineStr"/>
      <c r="Q204" s="12" t="inlineStr"/>
      <c r="R204" s="12" t="inlineStr"/>
      <c r="S204" s="12" t="inlineStr"/>
      <c r="T204" s="12" t="inlineStr"/>
      <c r="U204" s="12" t="inlineStr"/>
      <c r="V204" s="12" t="inlineStr">
        <is>
          <t>WBS Code = 1.1.2</t>
        </is>
      </c>
      <c r="W204" s="12" t="inlineStr"/>
    </row>
    <row r="205" ht="49" customHeight="1">
      <c r="A205" s="12" t="inlineStr">
        <is>
          <t>1.1.2</t>
        </is>
      </c>
      <c r="B205" s="12" t="inlineStr">
        <is>
          <t>Guideway and Civil - Utility &amp; Roadworks</t>
        </is>
      </c>
      <c r="C205" s="12" t="inlineStr">
        <is>
          <t>Contractor Programme</t>
        </is>
      </c>
      <c r="D205" s="12" t="inlineStr">
        <is>
          <t>SCH-01-102</t>
        </is>
      </c>
      <c r="E205" s="12" t="inlineStr">
        <is>
          <t>Depot lead: retaining-wall excavation - inspection</t>
        </is>
      </c>
      <c r="F205" s="12" t="inlineStr">
        <is>
          <t>ONE_TO_ONE</t>
        </is>
      </c>
      <c r="G205" s="12" t="inlineStr">
        <is>
          <t>APPROVED</t>
        </is>
      </c>
      <c r="H205" s="12" t="inlineStr">
        <is>
          <t>New</t>
        </is>
      </c>
      <c r="I205" s="12" t="inlineStr">
        <is>
          <t>Source assignment -- not individually reviewed</t>
        </is>
      </c>
      <c r="J205" s="12" t="inlineStr"/>
      <c r="K205" s="12" t="inlineStr">
        <is>
          <t>Source assignment</t>
        </is>
      </c>
      <c r="L205" s="12" t="inlineStr"/>
      <c r="M205" s="12" t="inlineStr">
        <is>
          <t>Initial</t>
        </is>
      </c>
      <c r="N205" s="12" t="inlineStr">
        <is>
          <t>Rev 0</t>
        </is>
      </c>
      <c r="O205" s="12" t="inlineStr">
        <is>
          <t>R102-v1</t>
        </is>
      </c>
      <c r="P205" s="12" t="inlineStr"/>
      <c r="Q205" s="12" t="inlineStr"/>
      <c r="R205" s="12" t="inlineStr"/>
      <c r="S205" s="12" t="inlineStr"/>
      <c r="T205" s="12" t="inlineStr"/>
      <c r="U205" s="12" t="inlineStr"/>
      <c r="V205" s="12" t="inlineStr">
        <is>
          <t>WBS Code = 1.1.2</t>
        </is>
      </c>
      <c r="W205" s="12" t="inlineStr"/>
    </row>
    <row r="206" ht="49" customHeight="1">
      <c r="A206" s="12" t="inlineStr">
        <is>
          <t>1.1.2</t>
        </is>
      </c>
      <c r="B206" s="12" t="inlineStr">
        <is>
          <t>Guideway and Civil - Utility &amp; Roadworks</t>
        </is>
      </c>
      <c r="C206" s="12" t="inlineStr">
        <is>
          <t>Contractor Programme</t>
        </is>
      </c>
      <c r="D206" s="12" t="inlineStr">
        <is>
          <t>SCH-01-105</t>
        </is>
      </c>
      <c r="E206" s="12" t="inlineStr">
        <is>
          <t>Central guideway: track-slab survey - field start</t>
        </is>
      </c>
      <c r="F206" s="12" t="inlineStr">
        <is>
          <t>ONE_TO_ONE</t>
        </is>
      </c>
      <c r="G206" s="12" t="inlineStr">
        <is>
          <t>APPROVED</t>
        </is>
      </c>
      <c r="H206" s="12" t="inlineStr">
        <is>
          <t>New</t>
        </is>
      </c>
      <c r="I206" s="12" t="inlineStr">
        <is>
          <t>Source assignment -- not individually reviewed</t>
        </is>
      </c>
      <c r="J206" s="12" t="inlineStr"/>
      <c r="K206" s="12" t="inlineStr">
        <is>
          <t>Source assignment</t>
        </is>
      </c>
      <c r="L206" s="12" t="inlineStr"/>
      <c r="M206" s="12" t="inlineStr">
        <is>
          <t>Initial</t>
        </is>
      </c>
      <c r="N206" s="12" t="inlineStr">
        <is>
          <t>Rev 0</t>
        </is>
      </c>
      <c r="O206" s="12" t="inlineStr">
        <is>
          <t>R105-v1</t>
        </is>
      </c>
      <c r="P206" s="12" t="inlineStr"/>
      <c r="Q206" s="12" t="inlineStr"/>
      <c r="R206" s="12" t="inlineStr"/>
      <c r="S206" s="12" t="inlineStr"/>
      <c r="T206" s="12" t="inlineStr"/>
      <c r="U206" s="12" t="inlineStr"/>
      <c r="V206" s="12" t="inlineStr">
        <is>
          <t>WBS Code = 1.1.2</t>
        </is>
      </c>
      <c r="W206" s="12" t="inlineStr"/>
    </row>
    <row r="207" ht="49" customHeight="1">
      <c r="A207" s="12" t="inlineStr">
        <is>
          <t>1.1.2</t>
        </is>
      </c>
      <c r="B207" s="12" t="inlineStr">
        <is>
          <t>Guideway and Civil - Utility &amp; Roadworks</t>
        </is>
      </c>
      <c r="C207" s="12" t="inlineStr">
        <is>
          <t>Contractor Programme</t>
        </is>
      </c>
      <c r="D207" s="12" t="inlineStr">
        <is>
          <t>SCH-01-108</t>
        </is>
      </c>
      <c r="E207" s="12" t="inlineStr">
        <is>
          <t>East portal: road restoration - turnover</t>
        </is>
      </c>
      <c r="F207" s="12" t="inlineStr">
        <is>
          <t>ONE_TO_ONE</t>
        </is>
      </c>
      <c r="G207" s="12" t="inlineStr">
        <is>
          <t>APPROVED</t>
        </is>
      </c>
      <c r="H207" s="12" t="inlineStr">
        <is>
          <t>New</t>
        </is>
      </c>
      <c r="I207" s="12" t="inlineStr">
        <is>
          <t>Source assignment -- not individually reviewed</t>
        </is>
      </c>
      <c r="J207" s="12" t="inlineStr"/>
      <c r="K207" s="12" t="inlineStr">
        <is>
          <t>Source assignment</t>
        </is>
      </c>
      <c r="L207" s="12" t="inlineStr"/>
      <c r="M207" s="12" t="inlineStr">
        <is>
          <t>Initial</t>
        </is>
      </c>
      <c r="N207" s="12" t="inlineStr">
        <is>
          <t>Rev 0</t>
        </is>
      </c>
      <c r="O207" s="12" t="inlineStr">
        <is>
          <t>R108-v1</t>
        </is>
      </c>
      <c r="P207" s="12" t="inlineStr"/>
      <c r="Q207" s="12" t="inlineStr"/>
      <c r="R207" s="12" t="inlineStr"/>
      <c r="S207" s="12" t="inlineStr"/>
      <c r="T207" s="12" t="inlineStr"/>
      <c r="U207" s="12" t="inlineStr"/>
      <c r="V207" s="12" t="inlineStr">
        <is>
          <t>WBS Code = 1.1.2</t>
        </is>
      </c>
      <c r="W207" s="12" t="inlineStr"/>
    </row>
    <row r="208" ht="49" customHeight="1">
      <c r="A208" s="12" t="inlineStr">
        <is>
          <t>1.1.2</t>
        </is>
      </c>
      <c r="B208" s="12" t="inlineStr">
        <is>
          <t>Guideway and Civil - Utility &amp; Roadworks</t>
        </is>
      </c>
      <c r="C208" s="12" t="inlineStr">
        <is>
          <t>Contractor Programme</t>
        </is>
      </c>
      <c r="D208" s="12" t="inlineStr">
        <is>
          <t>SCH-01-111</t>
        </is>
      </c>
      <c r="E208" s="12" t="inlineStr">
        <is>
          <t>West approach: drainage tie-in - installation</t>
        </is>
      </c>
      <c r="F208" s="12" t="inlineStr">
        <is>
          <t>ONE_TO_ONE</t>
        </is>
      </c>
      <c r="G208" s="12" t="inlineStr">
        <is>
          <t>APPROVED</t>
        </is>
      </c>
      <c r="H208" s="12" t="inlineStr">
        <is>
          <t>New</t>
        </is>
      </c>
      <c r="I208" s="12" t="inlineStr">
        <is>
          <t>Source assignment -- not individually reviewed</t>
        </is>
      </c>
      <c r="J208" s="12" t="inlineStr"/>
      <c r="K208" s="12" t="inlineStr">
        <is>
          <t>Source assignment</t>
        </is>
      </c>
      <c r="L208" s="12" t="inlineStr"/>
      <c r="M208" s="12" t="inlineStr">
        <is>
          <t>Initial</t>
        </is>
      </c>
      <c r="N208" s="12" t="inlineStr">
        <is>
          <t>Rev 0</t>
        </is>
      </c>
      <c r="O208" s="12" t="inlineStr">
        <is>
          <t>R111-v1</t>
        </is>
      </c>
      <c r="P208" s="12" t="inlineStr"/>
      <c r="Q208" s="12" t="inlineStr"/>
      <c r="R208" s="12" t="inlineStr"/>
      <c r="S208" s="12" t="inlineStr"/>
      <c r="T208" s="12" t="inlineStr"/>
      <c r="U208" s="12" t="inlineStr"/>
      <c r="V208" s="12" t="inlineStr">
        <is>
          <t>WBS Code = 1.1.2</t>
        </is>
      </c>
      <c r="W208" s="12" t="inlineStr"/>
    </row>
    <row r="209" ht="49" customHeight="1">
      <c r="A209" s="12" t="inlineStr">
        <is>
          <t>1.1.2</t>
        </is>
      </c>
      <c r="B209" s="12" t="inlineStr">
        <is>
          <t>Guideway and Civil - Utility &amp; Roadworks</t>
        </is>
      </c>
      <c r="C209" s="12" t="inlineStr">
        <is>
          <t>Contractor Programme</t>
        </is>
      </c>
      <c r="D209" s="12" t="inlineStr">
        <is>
          <t>SCH-01-114</t>
        </is>
      </c>
      <c r="E209" s="12" t="inlineStr">
        <is>
          <t>River crossing: temporary traffic staging - release</t>
        </is>
      </c>
      <c r="F209" s="12" t="inlineStr">
        <is>
          <t>ONE_TO_ONE</t>
        </is>
      </c>
      <c r="G209" s="12" t="inlineStr">
        <is>
          <t>APPROVED</t>
        </is>
      </c>
      <c r="H209" s="12" t="inlineStr">
        <is>
          <t>New</t>
        </is>
      </c>
      <c r="I209" s="12" t="inlineStr">
        <is>
          <t>Source assignment -- not individually reviewed</t>
        </is>
      </c>
      <c r="J209" s="12" t="inlineStr"/>
      <c r="K209" s="12" t="inlineStr">
        <is>
          <t>Source assignment</t>
        </is>
      </c>
      <c r="L209" s="12" t="inlineStr"/>
      <c r="M209" s="12" t="inlineStr">
        <is>
          <t>Initial</t>
        </is>
      </c>
      <c r="N209" s="12" t="inlineStr">
        <is>
          <t>Rev 0</t>
        </is>
      </c>
      <c r="O209" s="12" t="inlineStr">
        <is>
          <t>R114-v1</t>
        </is>
      </c>
      <c r="P209" s="12" t="inlineStr"/>
      <c r="Q209" s="12" t="inlineStr"/>
      <c r="R209" s="12" t="inlineStr"/>
      <c r="S209" s="12" t="inlineStr"/>
      <c r="T209" s="12" t="inlineStr"/>
      <c r="U209" s="12" t="inlineStr"/>
      <c r="V209" s="12" t="inlineStr">
        <is>
          <t>WBS Code = 1.1.2</t>
        </is>
      </c>
      <c r="W209" s="12" t="inlineStr"/>
    </row>
    <row r="210" ht="49" customHeight="1">
      <c r="A210" s="12" t="inlineStr">
        <is>
          <t>1.1.2</t>
        </is>
      </c>
      <c r="B210" s="12" t="inlineStr">
        <is>
          <t>Guideway and Civil - Utility &amp; Roadworks</t>
        </is>
      </c>
      <c r="C210" s="12" t="inlineStr">
        <is>
          <t>Contractor Programme</t>
        </is>
      </c>
      <c r="D210" s="12" t="inlineStr">
        <is>
          <t>SCH-01-117</t>
        </is>
      </c>
      <c r="E210" s="12" t="inlineStr">
        <is>
          <t>Depot lead: drilled-shaft installation - inspection</t>
        </is>
      </c>
      <c r="F210" s="12" t="inlineStr">
        <is>
          <t>ONE_TO_ONE</t>
        </is>
      </c>
      <c r="G210" s="12" t="inlineStr">
        <is>
          <t>APPROVED</t>
        </is>
      </c>
      <c r="H210" s="12" t="inlineStr">
        <is>
          <t>New</t>
        </is>
      </c>
      <c r="I210" s="12" t="inlineStr">
        <is>
          <t>Source assignment -- not individually reviewed</t>
        </is>
      </c>
      <c r="J210" s="12" t="inlineStr"/>
      <c r="K210" s="12" t="inlineStr">
        <is>
          <t>Source assignment</t>
        </is>
      </c>
      <c r="L210" s="12" t="inlineStr"/>
      <c r="M210" s="12" t="inlineStr">
        <is>
          <t>Initial</t>
        </is>
      </c>
      <c r="N210" s="12" t="inlineStr">
        <is>
          <t>Rev 0</t>
        </is>
      </c>
      <c r="O210" s="12" t="inlineStr">
        <is>
          <t>R117-v1</t>
        </is>
      </c>
      <c r="P210" s="12" t="inlineStr"/>
      <c r="Q210" s="12" t="inlineStr"/>
      <c r="R210" s="12" t="inlineStr"/>
      <c r="S210" s="12" t="inlineStr"/>
      <c r="T210" s="12" t="inlineStr"/>
      <c r="U210" s="12" t="inlineStr"/>
      <c r="V210" s="12" t="inlineStr">
        <is>
          <t>WBS Code = 1.1.2</t>
        </is>
      </c>
      <c r="W210" s="12" t="inlineStr"/>
    </row>
    <row r="211" ht="49" customHeight="1">
      <c r="A211" s="12" t="inlineStr">
        <is>
          <t>1.1.2</t>
        </is>
      </c>
      <c r="B211" s="12" t="inlineStr">
        <is>
          <t>Guideway and Civil - Utility &amp; Roadworks</t>
        </is>
      </c>
      <c r="C211" s="12" t="inlineStr">
        <is>
          <t>Contractor Programme</t>
        </is>
      </c>
      <c r="D211" s="12" t="inlineStr">
        <is>
          <t>SCH-01-120</t>
        </is>
      </c>
      <c r="E211" s="12" t="inlineStr">
        <is>
          <t>Central guideway: utility relocation - field start</t>
        </is>
      </c>
      <c r="F211" s="12" t="inlineStr">
        <is>
          <t>ONE_TO_ONE</t>
        </is>
      </c>
      <c r="G211" s="12" t="inlineStr">
        <is>
          <t>APPROVED</t>
        </is>
      </c>
      <c r="H211" s="12" t="inlineStr">
        <is>
          <t>New</t>
        </is>
      </c>
      <c r="I211" s="12" t="inlineStr">
        <is>
          <t>Source assignment -- not individually reviewed</t>
        </is>
      </c>
      <c r="J211" s="12" t="inlineStr"/>
      <c r="K211" s="12" t="inlineStr">
        <is>
          <t>Source assignment</t>
        </is>
      </c>
      <c r="L211" s="12" t="inlineStr"/>
      <c r="M211" s="12" t="inlineStr">
        <is>
          <t>Initial</t>
        </is>
      </c>
      <c r="N211" s="12" t="inlineStr">
        <is>
          <t>Rev 0</t>
        </is>
      </c>
      <c r="O211" s="12" t="inlineStr">
        <is>
          <t>R120-v1</t>
        </is>
      </c>
      <c r="P211" s="12" t="inlineStr"/>
      <c r="Q211" s="12" t="inlineStr"/>
      <c r="R211" s="12" t="inlineStr"/>
      <c r="S211" s="12" t="inlineStr"/>
      <c r="T211" s="12" t="inlineStr"/>
      <c r="U211" s="12" t="inlineStr"/>
      <c r="V211" s="12" t="inlineStr">
        <is>
          <t>WBS Code = 1.1.2</t>
        </is>
      </c>
      <c r="W211" s="12" t="inlineStr"/>
    </row>
    <row r="212" ht="49" customHeight="1">
      <c r="A212" s="12" t="inlineStr">
        <is>
          <t>1.1.2</t>
        </is>
      </c>
      <c r="B212" s="12" t="inlineStr">
        <is>
          <t>Guideway and Civil - Utility &amp; Roadworks</t>
        </is>
      </c>
      <c r="C212" s="12" t="inlineStr">
        <is>
          <t>Contractor Programme</t>
        </is>
      </c>
      <c r="D212" s="12" t="inlineStr">
        <is>
          <t>SCH-01-123</t>
        </is>
      </c>
      <c r="E212" s="12" t="inlineStr">
        <is>
          <t>East portal: guideway pier reinforcement - turnover</t>
        </is>
      </c>
      <c r="F212" s="12" t="inlineStr">
        <is>
          <t>ONE_TO_ONE</t>
        </is>
      </c>
      <c r="G212" s="12" t="inlineStr">
        <is>
          <t>APPROVED</t>
        </is>
      </c>
      <c r="H212" s="12" t="inlineStr">
        <is>
          <t>New</t>
        </is>
      </c>
      <c r="I212" s="12" t="inlineStr">
        <is>
          <t>Source assignment -- not individually reviewed</t>
        </is>
      </c>
      <c r="J212" s="12" t="inlineStr"/>
      <c r="K212" s="12" t="inlineStr">
        <is>
          <t>Source assignment</t>
        </is>
      </c>
      <c r="L212" s="12" t="inlineStr"/>
      <c r="M212" s="12" t="inlineStr">
        <is>
          <t>Initial</t>
        </is>
      </c>
      <c r="N212" s="12" t="inlineStr">
        <is>
          <t>Rev 0</t>
        </is>
      </c>
      <c r="O212" s="12" t="inlineStr">
        <is>
          <t>R123-v1</t>
        </is>
      </c>
      <c r="P212" s="12" t="inlineStr"/>
      <c r="Q212" s="12" t="inlineStr"/>
      <c r="R212" s="12" t="inlineStr"/>
      <c r="S212" s="12" t="inlineStr"/>
      <c r="T212" s="12" t="inlineStr"/>
      <c r="U212" s="12" t="inlineStr"/>
      <c r="V212" s="12" t="inlineStr">
        <is>
          <t>WBS Code = 1.1.2</t>
        </is>
      </c>
      <c r="W212" s="12" t="inlineStr"/>
    </row>
    <row r="213" ht="49" customHeight="1">
      <c r="A213" s="12" t="inlineStr">
        <is>
          <t>1.1.2</t>
        </is>
      </c>
      <c r="B213" s="12" t="inlineStr">
        <is>
          <t>Guideway and Civil - Utility &amp; Roadworks</t>
        </is>
      </c>
      <c r="C213" s="12" t="inlineStr">
        <is>
          <t>Contractor Programme</t>
        </is>
      </c>
      <c r="D213" s="12" t="inlineStr">
        <is>
          <t>SCH-01-126</t>
        </is>
      </c>
      <c r="E213" s="12" t="inlineStr">
        <is>
          <t>West approach: retaining-wall excavation - installation</t>
        </is>
      </c>
      <c r="F213" s="12" t="inlineStr">
        <is>
          <t>ONE_TO_ONE</t>
        </is>
      </c>
      <c r="G213" s="12" t="inlineStr">
        <is>
          <t>APPROVED</t>
        </is>
      </c>
      <c r="H213" s="12" t="inlineStr">
        <is>
          <t>New</t>
        </is>
      </c>
      <c r="I213" s="12" t="inlineStr">
        <is>
          <t>Source assignment -- not individually reviewed</t>
        </is>
      </c>
      <c r="J213" s="12" t="inlineStr"/>
      <c r="K213" s="12" t="inlineStr">
        <is>
          <t>Source assignment</t>
        </is>
      </c>
      <c r="L213" s="12" t="inlineStr"/>
      <c r="M213" s="12" t="inlineStr">
        <is>
          <t>Initial</t>
        </is>
      </c>
      <c r="N213" s="12" t="inlineStr">
        <is>
          <t>Rev 0</t>
        </is>
      </c>
      <c r="O213" s="12" t="inlineStr">
        <is>
          <t>R126-v1</t>
        </is>
      </c>
      <c r="P213" s="12" t="inlineStr"/>
      <c r="Q213" s="12" t="inlineStr"/>
      <c r="R213" s="12" t="inlineStr"/>
      <c r="S213" s="12" t="inlineStr"/>
      <c r="T213" s="12" t="inlineStr"/>
      <c r="U213" s="12" t="inlineStr"/>
      <c r="V213" s="12" t="inlineStr">
        <is>
          <t>WBS Code = 1.1.2</t>
        </is>
      </c>
      <c r="W213" s="12" t="inlineStr"/>
    </row>
    <row r="214" ht="49" customHeight="1">
      <c r="A214" s="12" t="inlineStr">
        <is>
          <t>1.1.2</t>
        </is>
      </c>
      <c r="B214" s="12" t="inlineStr">
        <is>
          <t>Guideway and Civil - Utility &amp; Roadworks</t>
        </is>
      </c>
      <c r="C214" s="12" t="inlineStr">
        <is>
          <t>Contractor Programme</t>
        </is>
      </c>
      <c r="D214" s="12" t="inlineStr">
        <is>
          <t>SCH-01-129</t>
        </is>
      </c>
      <c r="E214" s="12" t="inlineStr">
        <is>
          <t>River crossing: track-slab survey - release</t>
        </is>
      </c>
      <c r="F214" s="12" t="inlineStr">
        <is>
          <t>ONE_TO_ONE</t>
        </is>
      </c>
      <c r="G214" s="12" t="inlineStr">
        <is>
          <t>APPROVED</t>
        </is>
      </c>
      <c r="H214" s="12" t="inlineStr">
        <is>
          <t>New</t>
        </is>
      </c>
      <c r="I214" s="12" t="inlineStr">
        <is>
          <t>Source assignment -- not individually reviewed</t>
        </is>
      </c>
      <c r="J214" s="12" t="inlineStr"/>
      <c r="K214" s="12" t="inlineStr">
        <is>
          <t>Source assignment</t>
        </is>
      </c>
      <c r="L214" s="12" t="inlineStr"/>
      <c r="M214" s="12" t="inlineStr">
        <is>
          <t>Initial</t>
        </is>
      </c>
      <c r="N214" s="12" t="inlineStr">
        <is>
          <t>Rev 0</t>
        </is>
      </c>
      <c r="O214" s="12" t="inlineStr">
        <is>
          <t>R129-v1</t>
        </is>
      </c>
      <c r="P214" s="12" t="inlineStr"/>
      <c r="Q214" s="12" t="inlineStr"/>
      <c r="R214" s="12" t="inlineStr"/>
      <c r="S214" s="12" t="inlineStr"/>
      <c r="T214" s="12" t="inlineStr"/>
      <c r="U214" s="12" t="inlineStr"/>
      <c r="V214" s="12" t="inlineStr">
        <is>
          <t>WBS Code = 1.1.2</t>
        </is>
      </c>
      <c r="W214" s="12" t="inlineStr"/>
    </row>
    <row r="215" ht="49" customHeight="1">
      <c r="A215" s="12" t="inlineStr">
        <is>
          <t>1.1.2</t>
        </is>
      </c>
      <c r="B215" s="12" t="inlineStr">
        <is>
          <t>Guideway and Civil - Utility &amp; Roadworks</t>
        </is>
      </c>
      <c r="C215" s="12" t="inlineStr">
        <is>
          <t>Contractor Programme</t>
        </is>
      </c>
      <c r="D215" s="12" t="inlineStr">
        <is>
          <t>SCH-01-132</t>
        </is>
      </c>
      <c r="E215" s="12" t="inlineStr">
        <is>
          <t>Depot lead: road restoration - inspection</t>
        </is>
      </c>
      <c r="F215" s="12" t="inlineStr">
        <is>
          <t>ONE_TO_ONE</t>
        </is>
      </c>
      <c r="G215" s="12" t="inlineStr">
        <is>
          <t>APPROVED</t>
        </is>
      </c>
      <c r="H215" s="12" t="inlineStr">
        <is>
          <t>New</t>
        </is>
      </c>
      <c r="I215" s="12" t="inlineStr">
        <is>
          <t>Source assignment -- not individually reviewed</t>
        </is>
      </c>
      <c r="J215" s="12" t="inlineStr"/>
      <c r="K215" s="12" t="inlineStr">
        <is>
          <t>Source assignment</t>
        </is>
      </c>
      <c r="L215" s="12" t="inlineStr"/>
      <c r="M215" s="12" t="inlineStr">
        <is>
          <t>Initial</t>
        </is>
      </c>
      <c r="N215" s="12" t="inlineStr">
        <is>
          <t>Rev 0</t>
        </is>
      </c>
      <c r="O215" s="12" t="inlineStr">
        <is>
          <t>R132-v1</t>
        </is>
      </c>
      <c r="P215" s="12" t="inlineStr"/>
      <c r="Q215" s="12" t="inlineStr"/>
      <c r="R215" s="12" t="inlineStr"/>
      <c r="S215" s="12" t="inlineStr"/>
      <c r="T215" s="12" t="inlineStr"/>
      <c r="U215" s="12" t="inlineStr"/>
      <c r="V215" s="12" t="inlineStr">
        <is>
          <t>WBS Code = 1.1.2</t>
        </is>
      </c>
      <c r="W215" s="12" t="inlineStr"/>
    </row>
    <row r="216" ht="49" customHeight="1">
      <c r="A216" s="12" t="inlineStr">
        <is>
          <t>1.1.2</t>
        </is>
      </c>
      <c r="B216" s="12" t="inlineStr">
        <is>
          <t>Guideway and Civil - Utility &amp; Roadworks</t>
        </is>
      </c>
      <c r="C216" s="12" t="inlineStr">
        <is>
          <t>Contractor Programme</t>
        </is>
      </c>
      <c r="D216" s="12" t="inlineStr">
        <is>
          <t>SCH-01-135</t>
        </is>
      </c>
      <c r="E216" s="12" t="inlineStr">
        <is>
          <t>Central guideway: drainage tie-in - field start</t>
        </is>
      </c>
      <c r="F216" s="12" t="inlineStr">
        <is>
          <t>ONE_TO_ONE</t>
        </is>
      </c>
      <c r="G216" s="12" t="inlineStr">
        <is>
          <t>APPROVED</t>
        </is>
      </c>
      <c r="H216" s="12" t="inlineStr">
        <is>
          <t>New</t>
        </is>
      </c>
      <c r="I216" s="12" t="inlineStr">
        <is>
          <t>Source assignment -- not individually reviewed</t>
        </is>
      </c>
      <c r="J216" s="12" t="inlineStr"/>
      <c r="K216" s="12" t="inlineStr">
        <is>
          <t>Source assignment</t>
        </is>
      </c>
      <c r="L216" s="12" t="inlineStr"/>
      <c r="M216" s="12" t="inlineStr">
        <is>
          <t>Initial</t>
        </is>
      </c>
      <c r="N216" s="12" t="inlineStr">
        <is>
          <t>Rev 0</t>
        </is>
      </c>
      <c r="O216" s="12" t="inlineStr">
        <is>
          <t>R135-v1</t>
        </is>
      </c>
      <c r="P216" s="12" t="inlineStr"/>
      <c r="Q216" s="12" t="inlineStr"/>
      <c r="R216" s="12" t="inlineStr"/>
      <c r="S216" s="12" t="inlineStr"/>
      <c r="T216" s="12" t="inlineStr"/>
      <c r="U216" s="12" t="inlineStr"/>
      <c r="V216" s="12" t="inlineStr">
        <is>
          <t>WBS Code = 1.1.2</t>
        </is>
      </c>
      <c r="W216" s="12" t="inlineStr"/>
    </row>
    <row r="217" ht="49" customHeight="1">
      <c r="A217" s="12" t="inlineStr">
        <is>
          <t>1.1.2</t>
        </is>
      </c>
      <c r="B217" s="12" t="inlineStr">
        <is>
          <t>Guideway and Civil - Utility &amp; Roadworks</t>
        </is>
      </c>
      <c r="C217" s="12" t="inlineStr">
        <is>
          <t>Contractor Programme</t>
        </is>
      </c>
      <c r="D217" s="12" t="inlineStr">
        <is>
          <t>SCH-01-138</t>
        </is>
      </c>
      <c r="E217" s="12" t="inlineStr">
        <is>
          <t>East portal: temporary traffic staging - turnover</t>
        </is>
      </c>
      <c r="F217" s="12" t="inlineStr">
        <is>
          <t>ONE_TO_ONE</t>
        </is>
      </c>
      <c r="G217" s="12" t="inlineStr">
        <is>
          <t>APPROVED</t>
        </is>
      </c>
      <c r="H217" s="12" t="inlineStr">
        <is>
          <t>New</t>
        </is>
      </c>
      <c r="I217" s="12" t="inlineStr">
        <is>
          <t>Source assignment -- not individually reviewed</t>
        </is>
      </c>
      <c r="J217" s="12" t="inlineStr"/>
      <c r="K217" s="12" t="inlineStr">
        <is>
          <t>Source assignment</t>
        </is>
      </c>
      <c r="L217" s="12" t="inlineStr"/>
      <c r="M217" s="12" t="inlineStr">
        <is>
          <t>Initial</t>
        </is>
      </c>
      <c r="N217" s="12" t="inlineStr">
        <is>
          <t>Rev 0</t>
        </is>
      </c>
      <c r="O217" s="12" t="inlineStr">
        <is>
          <t>R138-v1</t>
        </is>
      </c>
      <c r="P217" s="12" t="inlineStr"/>
      <c r="Q217" s="12" t="inlineStr"/>
      <c r="R217" s="12" t="inlineStr"/>
      <c r="S217" s="12" t="inlineStr"/>
      <c r="T217" s="12" t="inlineStr"/>
      <c r="U217" s="12" t="inlineStr"/>
      <c r="V217" s="12" t="inlineStr">
        <is>
          <t>WBS Code = 1.1.2</t>
        </is>
      </c>
      <c r="W217" s="12" t="inlineStr"/>
    </row>
    <row r="218" ht="49" customHeight="1">
      <c r="A218" s="12" t="inlineStr">
        <is>
          <t>1.1.2</t>
        </is>
      </c>
      <c r="B218" s="12" t="inlineStr">
        <is>
          <t>Guideway and Civil - Utility &amp; Roadworks</t>
        </is>
      </c>
      <c r="C218" s="12" t="inlineStr">
        <is>
          <t>Contractor Programme</t>
        </is>
      </c>
      <c r="D218" s="12" t="inlineStr">
        <is>
          <t>SCH-01-141</t>
        </is>
      </c>
      <c r="E218" s="12" t="inlineStr">
        <is>
          <t>West approach: drilled-shaft installation - installation</t>
        </is>
      </c>
      <c r="F218" s="12" t="inlineStr">
        <is>
          <t>ONE_TO_ONE</t>
        </is>
      </c>
      <c r="G218" s="12" t="inlineStr">
        <is>
          <t>APPROVED</t>
        </is>
      </c>
      <c r="H218" s="12" t="inlineStr">
        <is>
          <t>New</t>
        </is>
      </c>
      <c r="I218" s="12" t="inlineStr">
        <is>
          <t>Source assignment -- not individually reviewed</t>
        </is>
      </c>
      <c r="J218" s="12" t="inlineStr"/>
      <c r="K218" s="12" t="inlineStr">
        <is>
          <t>Source assignment</t>
        </is>
      </c>
      <c r="L218" s="12" t="inlineStr"/>
      <c r="M218" s="12" t="inlineStr">
        <is>
          <t>Initial</t>
        </is>
      </c>
      <c r="N218" s="12" t="inlineStr">
        <is>
          <t>Rev 0</t>
        </is>
      </c>
      <c r="O218" s="12" t="inlineStr">
        <is>
          <t>R141-v1</t>
        </is>
      </c>
      <c r="P218" s="12" t="inlineStr"/>
      <c r="Q218" s="12" t="inlineStr"/>
      <c r="R218" s="12" t="inlineStr"/>
      <c r="S218" s="12" t="inlineStr"/>
      <c r="T218" s="12" t="inlineStr"/>
      <c r="U218" s="12" t="inlineStr"/>
      <c r="V218" s="12" t="inlineStr">
        <is>
          <t>WBS Code = 1.1.2</t>
        </is>
      </c>
      <c r="W218" s="12" t="inlineStr"/>
    </row>
    <row r="219" ht="49" customHeight="1">
      <c r="A219" s="12" t="inlineStr">
        <is>
          <t>1.1.2</t>
        </is>
      </c>
      <c r="B219" s="12" t="inlineStr">
        <is>
          <t>Guideway and Civil - Utility &amp; Roadworks</t>
        </is>
      </c>
      <c r="C219" s="12" t="inlineStr">
        <is>
          <t>Contractor Programme</t>
        </is>
      </c>
      <c r="D219" s="12" t="inlineStr">
        <is>
          <t>SCH-01-144</t>
        </is>
      </c>
      <c r="E219" s="12" t="inlineStr">
        <is>
          <t>River crossing: utility relocation - release</t>
        </is>
      </c>
      <c r="F219" s="12" t="inlineStr">
        <is>
          <t>ONE_TO_ONE</t>
        </is>
      </c>
      <c r="G219" s="12" t="inlineStr">
        <is>
          <t>APPROVED</t>
        </is>
      </c>
      <c r="H219" s="12" t="inlineStr">
        <is>
          <t>New</t>
        </is>
      </c>
      <c r="I219" s="12" t="inlineStr">
        <is>
          <t>Source assignment -- not individually reviewed</t>
        </is>
      </c>
      <c r="J219" s="12" t="inlineStr"/>
      <c r="K219" s="12" t="inlineStr">
        <is>
          <t>Source assignment</t>
        </is>
      </c>
      <c r="L219" s="12" t="inlineStr"/>
      <c r="M219" s="12" t="inlineStr">
        <is>
          <t>Initial</t>
        </is>
      </c>
      <c r="N219" s="12" t="inlineStr">
        <is>
          <t>Rev 0</t>
        </is>
      </c>
      <c r="O219" s="12" t="inlineStr">
        <is>
          <t>R144-v1</t>
        </is>
      </c>
      <c r="P219" s="12" t="inlineStr"/>
      <c r="Q219" s="12" t="inlineStr"/>
      <c r="R219" s="12" t="inlineStr"/>
      <c r="S219" s="12" t="inlineStr"/>
      <c r="T219" s="12" t="inlineStr"/>
      <c r="U219" s="12" t="inlineStr"/>
      <c r="V219" s="12" t="inlineStr">
        <is>
          <t>WBS Code = 1.1.2</t>
        </is>
      </c>
      <c r="W219" s="12" t="inlineStr"/>
    </row>
    <row r="220" ht="49" customHeight="1">
      <c r="A220" s="12" t="inlineStr">
        <is>
          <t>1.1.2</t>
        </is>
      </c>
      <c r="B220" s="12" t="inlineStr">
        <is>
          <t>Guideway and Civil - Utility &amp; Roadworks</t>
        </is>
      </c>
      <c r="C220" s="12" t="inlineStr">
        <is>
          <t>Contractor Programme</t>
        </is>
      </c>
      <c r="D220" s="12" t="inlineStr">
        <is>
          <t>SCH-01-147</t>
        </is>
      </c>
      <c r="E220" s="12" t="inlineStr">
        <is>
          <t>Depot lead: guideway pier reinforcement - inspection</t>
        </is>
      </c>
      <c r="F220" s="12" t="inlineStr">
        <is>
          <t>ONE_TO_ONE</t>
        </is>
      </c>
      <c r="G220" s="12" t="inlineStr">
        <is>
          <t>APPROVED</t>
        </is>
      </c>
      <c r="H220" s="12" t="inlineStr">
        <is>
          <t>New</t>
        </is>
      </c>
      <c r="I220" s="12" t="inlineStr">
        <is>
          <t>Source assignment -- not individually reviewed</t>
        </is>
      </c>
      <c r="J220" s="12" t="inlineStr"/>
      <c r="K220" s="12" t="inlineStr">
        <is>
          <t>Source assignment</t>
        </is>
      </c>
      <c r="L220" s="12" t="inlineStr"/>
      <c r="M220" s="12" t="inlineStr">
        <is>
          <t>Initial</t>
        </is>
      </c>
      <c r="N220" s="12" t="inlineStr">
        <is>
          <t>Rev 0</t>
        </is>
      </c>
      <c r="O220" s="12" t="inlineStr">
        <is>
          <t>R147-v1</t>
        </is>
      </c>
      <c r="P220" s="12" t="inlineStr"/>
      <c r="Q220" s="12" t="inlineStr"/>
      <c r="R220" s="12" t="inlineStr"/>
      <c r="S220" s="12" t="inlineStr"/>
      <c r="T220" s="12" t="inlineStr"/>
      <c r="U220" s="12" t="inlineStr"/>
      <c r="V220" s="12" t="inlineStr">
        <is>
          <t>WBS Code = 1.1.2</t>
        </is>
      </c>
      <c r="W220" s="12" t="inlineStr"/>
    </row>
    <row r="221" ht="49" customHeight="1">
      <c r="A221" s="12" t="inlineStr">
        <is>
          <t>1.1.2</t>
        </is>
      </c>
      <c r="B221" s="12" t="inlineStr">
        <is>
          <t>Guideway and Civil - Utility &amp; Roadworks</t>
        </is>
      </c>
      <c r="C221" s="12" t="inlineStr">
        <is>
          <t>Contractor Programme</t>
        </is>
      </c>
      <c r="D221" s="12" t="inlineStr">
        <is>
          <t>SCH-01-150</t>
        </is>
      </c>
      <c r="E221" s="12" t="inlineStr">
        <is>
          <t>Central guideway: retaining-wall excavation - field start</t>
        </is>
      </c>
      <c r="F221" s="12" t="inlineStr">
        <is>
          <t>ONE_TO_ONE</t>
        </is>
      </c>
      <c r="G221" s="12" t="inlineStr">
        <is>
          <t>APPROVED</t>
        </is>
      </c>
      <c r="H221" s="12" t="inlineStr">
        <is>
          <t>New</t>
        </is>
      </c>
      <c r="I221" s="12" t="inlineStr">
        <is>
          <t>Source assignment -- not individually reviewed</t>
        </is>
      </c>
      <c r="J221" s="12" t="inlineStr"/>
      <c r="K221" s="12" t="inlineStr">
        <is>
          <t>Source assignment</t>
        </is>
      </c>
      <c r="L221" s="12" t="inlineStr"/>
      <c r="M221" s="12" t="inlineStr">
        <is>
          <t>Initial</t>
        </is>
      </c>
      <c r="N221" s="12" t="inlineStr">
        <is>
          <t>Rev 0</t>
        </is>
      </c>
      <c r="O221" s="12" t="inlineStr">
        <is>
          <t>R150-v1</t>
        </is>
      </c>
      <c r="P221" s="12" t="inlineStr"/>
      <c r="Q221" s="12" t="inlineStr"/>
      <c r="R221" s="12" t="inlineStr"/>
      <c r="S221" s="12" t="inlineStr"/>
      <c r="T221" s="12" t="inlineStr"/>
      <c r="U221" s="12" t="inlineStr"/>
      <c r="V221" s="12" t="inlineStr">
        <is>
          <t>WBS Code = 1.1.2</t>
        </is>
      </c>
      <c r="W221" s="12" t="inlineStr"/>
    </row>
    <row r="222" ht="49" customHeight="1">
      <c r="A222" s="12" t="inlineStr">
        <is>
          <t>1.1.2</t>
        </is>
      </c>
      <c r="B222" s="12" t="inlineStr">
        <is>
          <t>Guideway and Civil - Utility &amp; Roadworks</t>
        </is>
      </c>
      <c r="C222" s="12" t="inlineStr">
        <is>
          <t>Contractor Programme</t>
        </is>
      </c>
      <c r="D222" s="12" t="inlineStr">
        <is>
          <t>SCH-01-153</t>
        </is>
      </c>
      <c r="E222" s="12" t="inlineStr">
        <is>
          <t>East portal: track-slab survey - turnover</t>
        </is>
      </c>
      <c r="F222" s="12" t="inlineStr">
        <is>
          <t>ONE_TO_ONE</t>
        </is>
      </c>
      <c r="G222" s="12" t="inlineStr">
        <is>
          <t>APPROVED</t>
        </is>
      </c>
      <c r="H222" s="12" t="inlineStr">
        <is>
          <t>New</t>
        </is>
      </c>
      <c r="I222" s="12" t="inlineStr">
        <is>
          <t>Source assignment -- not individually reviewed</t>
        </is>
      </c>
      <c r="J222" s="12" t="inlineStr"/>
      <c r="K222" s="12" t="inlineStr">
        <is>
          <t>Source assignment</t>
        </is>
      </c>
      <c r="L222" s="12" t="inlineStr"/>
      <c r="M222" s="12" t="inlineStr">
        <is>
          <t>Initial</t>
        </is>
      </c>
      <c r="N222" s="12" t="inlineStr">
        <is>
          <t>Rev 0</t>
        </is>
      </c>
      <c r="O222" s="12" t="inlineStr">
        <is>
          <t>R153-v1</t>
        </is>
      </c>
      <c r="P222" s="12" t="inlineStr"/>
      <c r="Q222" s="12" t="inlineStr"/>
      <c r="R222" s="12" t="inlineStr"/>
      <c r="S222" s="12" t="inlineStr"/>
      <c r="T222" s="12" t="inlineStr"/>
      <c r="U222" s="12" t="inlineStr"/>
      <c r="V222" s="12" t="inlineStr">
        <is>
          <t>WBS Code = 1.1.2</t>
        </is>
      </c>
      <c r="W222" s="12" t="inlineStr"/>
    </row>
    <row r="223" ht="49" customHeight="1">
      <c r="A223" s="12" t="inlineStr">
        <is>
          <t>1.1.2</t>
        </is>
      </c>
      <c r="B223" s="12" t="inlineStr">
        <is>
          <t>Guideway and Civil - Utility &amp; Roadworks</t>
        </is>
      </c>
      <c r="C223" s="12" t="inlineStr">
        <is>
          <t>Contractor Programme</t>
        </is>
      </c>
      <c r="D223" s="12" t="inlineStr">
        <is>
          <t>SCH-01-156</t>
        </is>
      </c>
      <c r="E223" s="12" t="inlineStr">
        <is>
          <t>West approach: road restoration - installation</t>
        </is>
      </c>
      <c r="F223" s="12" t="inlineStr">
        <is>
          <t>ONE_TO_ONE</t>
        </is>
      </c>
      <c r="G223" s="12" t="inlineStr">
        <is>
          <t>APPROVED</t>
        </is>
      </c>
      <c r="H223" s="12" t="inlineStr">
        <is>
          <t>New</t>
        </is>
      </c>
      <c r="I223" s="12" t="inlineStr">
        <is>
          <t>Source assignment -- not individually reviewed</t>
        </is>
      </c>
      <c r="J223" s="12" t="inlineStr"/>
      <c r="K223" s="12" t="inlineStr">
        <is>
          <t>Source assignment</t>
        </is>
      </c>
      <c r="L223" s="12" t="inlineStr"/>
      <c r="M223" s="12" t="inlineStr">
        <is>
          <t>Initial</t>
        </is>
      </c>
      <c r="N223" s="12" t="inlineStr">
        <is>
          <t>Rev 0</t>
        </is>
      </c>
      <c r="O223" s="12" t="inlineStr">
        <is>
          <t>R156-v1</t>
        </is>
      </c>
      <c r="P223" s="12" t="inlineStr"/>
      <c r="Q223" s="12" t="inlineStr"/>
      <c r="R223" s="12" t="inlineStr"/>
      <c r="S223" s="12" t="inlineStr"/>
      <c r="T223" s="12" t="inlineStr"/>
      <c r="U223" s="12" t="inlineStr"/>
      <c r="V223" s="12" t="inlineStr">
        <is>
          <t>WBS Code = 1.1.2</t>
        </is>
      </c>
      <c r="W223" s="12" t="inlineStr"/>
    </row>
    <row r="224" ht="49" customHeight="1">
      <c r="A224" s="12" t="inlineStr">
        <is>
          <t>1.1.2</t>
        </is>
      </c>
      <c r="B224" s="12" t="inlineStr">
        <is>
          <t>Guideway and Civil - Utility &amp; Roadworks</t>
        </is>
      </c>
      <c r="C224" s="12" t="inlineStr">
        <is>
          <t>Contractor Programme</t>
        </is>
      </c>
      <c r="D224" s="12" t="inlineStr">
        <is>
          <t>SCH-01-159</t>
        </is>
      </c>
      <c r="E224" s="12" t="inlineStr">
        <is>
          <t>River crossing: drainage tie-in - release</t>
        </is>
      </c>
      <c r="F224" s="12" t="inlineStr">
        <is>
          <t>ONE_TO_ONE</t>
        </is>
      </c>
      <c r="G224" s="12" t="inlineStr">
        <is>
          <t>APPROVED</t>
        </is>
      </c>
      <c r="H224" s="12" t="inlineStr">
        <is>
          <t>New</t>
        </is>
      </c>
      <c r="I224" s="12" t="inlineStr">
        <is>
          <t>Source assignment -- not individually reviewed</t>
        </is>
      </c>
      <c r="J224" s="12" t="inlineStr"/>
      <c r="K224" s="12" t="inlineStr">
        <is>
          <t>Source assignment</t>
        </is>
      </c>
      <c r="L224" s="12" t="inlineStr"/>
      <c r="M224" s="12" t="inlineStr">
        <is>
          <t>Initial</t>
        </is>
      </c>
      <c r="N224" s="12" t="inlineStr">
        <is>
          <t>Rev 0</t>
        </is>
      </c>
      <c r="O224" s="12" t="inlineStr">
        <is>
          <t>R159-v1</t>
        </is>
      </c>
      <c r="P224" s="12" t="inlineStr"/>
      <c r="Q224" s="12" t="inlineStr"/>
      <c r="R224" s="12" t="inlineStr"/>
      <c r="S224" s="12" t="inlineStr"/>
      <c r="T224" s="12" t="inlineStr"/>
      <c r="U224" s="12" t="inlineStr"/>
      <c r="V224" s="12" t="inlineStr">
        <is>
          <t>WBS Code = 1.1.2</t>
        </is>
      </c>
      <c r="W224" s="12" t="inlineStr"/>
    </row>
    <row r="225" ht="49" customHeight="1">
      <c r="A225" s="12" t="inlineStr">
        <is>
          <t>1.1.2</t>
        </is>
      </c>
      <c r="B225" s="12" t="inlineStr">
        <is>
          <t>Guideway and Civil - Utility &amp; Roadworks</t>
        </is>
      </c>
      <c r="C225" s="12" t="inlineStr">
        <is>
          <t>Contractor Programme</t>
        </is>
      </c>
      <c r="D225" s="12" t="inlineStr">
        <is>
          <t>SCH-01-162</t>
        </is>
      </c>
      <c r="E225" s="12" t="inlineStr">
        <is>
          <t>Depot lead: temporary traffic staging - inspection</t>
        </is>
      </c>
      <c r="F225" s="12" t="inlineStr">
        <is>
          <t>ONE_TO_ONE</t>
        </is>
      </c>
      <c r="G225" s="12" t="inlineStr">
        <is>
          <t>APPROVED</t>
        </is>
      </c>
      <c r="H225" s="12" t="inlineStr">
        <is>
          <t>New</t>
        </is>
      </c>
      <c r="I225" s="12" t="inlineStr">
        <is>
          <t>Source assignment -- not individually reviewed</t>
        </is>
      </c>
      <c r="J225" s="12" t="inlineStr"/>
      <c r="K225" s="12" t="inlineStr">
        <is>
          <t>Source assignment</t>
        </is>
      </c>
      <c r="L225" s="12" t="inlineStr"/>
      <c r="M225" s="12" t="inlineStr">
        <is>
          <t>Initial</t>
        </is>
      </c>
      <c r="N225" s="12" t="inlineStr">
        <is>
          <t>Rev 0</t>
        </is>
      </c>
      <c r="O225" s="12" t="inlineStr">
        <is>
          <t>R162-v1</t>
        </is>
      </c>
      <c r="P225" s="12" t="inlineStr"/>
      <c r="Q225" s="12" t="inlineStr"/>
      <c r="R225" s="12" t="inlineStr"/>
      <c r="S225" s="12" t="inlineStr"/>
      <c r="T225" s="12" t="inlineStr"/>
      <c r="U225" s="12" t="inlineStr"/>
      <c r="V225" s="12" t="inlineStr">
        <is>
          <t>WBS Code = 1.1.2</t>
        </is>
      </c>
      <c r="W225" s="12" t="inlineStr"/>
    </row>
    <row r="226" ht="49" customHeight="1">
      <c r="A226" s="12" t="inlineStr">
        <is>
          <t>1.1.2</t>
        </is>
      </c>
      <c r="B226" s="12" t="inlineStr">
        <is>
          <t>Guideway and Civil - Utility &amp; Roadworks</t>
        </is>
      </c>
      <c r="C226" s="12" t="inlineStr">
        <is>
          <t>Contractor Programme</t>
        </is>
      </c>
      <c r="D226" s="12" t="inlineStr">
        <is>
          <t>SCH-01-165</t>
        </is>
      </c>
      <c r="E226" s="12" t="inlineStr">
        <is>
          <t>Central guideway: drilled-shaft installation - field start</t>
        </is>
      </c>
      <c r="F226" s="12" t="inlineStr">
        <is>
          <t>ONE_TO_ONE</t>
        </is>
      </c>
      <c r="G226" s="12" t="inlineStr">
        <is>
          <t>APPROVED</t>
        </is>
      </c>
      <c r="H226" s="12" t="inlineStr">
        <is>
          <t>New</t>
        </is>
      </c>
      <c r="I226" s="12" t="inlineStr">
        <is>
          <t>Source assignment -- not individually reviewed</t>
        </is>
      </c>
      <c r="J226" s="12" t="inlineStr"/>
      <c r="K226" s="12" t="inlineStr">
        <is>
          <t>Source assignment</t>
        </is>
      </c>
      <c r="L226" s="12" t="inlineStr"/>
      <c r="M226" s="12" t="inlineStr">
        <is>
          <t>Initial</t>
        </is>
      </c>
      <c r="N226" s="12" t="inlineStr">
        <is>
          <t>Rev 0</t>
        </is>
      </c>
      <c r="O226" s="12" t="inlineStr">
        <is>
          <t>R165-v1</t>
        </is>
      </c>
      <c r="P226" s="12" t="inlineStr"/>
      <c r="Q226" s="12" t="inlineStr"/>
      <c r="R226" s="12" t="inlineStr"/>
      <c r="S226" s="12" t="inlineStr"/>
      <c r="T226" s="12" t="inlineStr"/>
      <c r="U226" s="12" t="inlineStr"/>
      <c r="V226" s="12" t="inlineStr">
        <is>
          <t>WBS Code = 1.1.2</t>
        </is>
      </c>
      <c r="W226" s="12" t="inlineStr"/>
    </row>
    <row r="227" ht="49" customHeight="1">
      <c r="A227" s="12" t="inlineStr">
        <is>
          <t>1.1.2</t>
        </is>
      </c>
      <c r="B227" s="12" t="inlineStr">
        <is>
          <t>Guideway and Civil - Utility &amp; Roadworks</t>
        </is>
      </c>
      <c r="C227" s="12" t="inlineStr">
        <is>
          <t>Contractor Programme</t>
        </is>
      </c>
      <c r="D227" s="12" t="inlineStr">
        <is>
          <t>SCH-01-168</t>
        </is>
      </c>
      <c r="E227" s="12" t="inlineStr">
        <is>
          <t>East portal: utility relocation - turnover</t>
        </is>
      </c>
      <c r="F227" s="12" t="inlineStr">
        <is>
          <t>ONE_TO_ONE</t>
        </is>
      </c>
      <c r="G227" s="12" t="inlineStr">
        <is>
          <t>APPROVED</t>
        </is>
      </c>
      <c r="H227" s="12" t="inlineStr">
        <is>
          <t>New</t>
        </is>
      </c>
      <c r="I227" s="12" t="inlineStr">
        <is>
          <t>Source assignment -- not individually reviewed</t>
        </is>
      </c>
      <c r="J227" s="12" t="inlineStr"/>
      <c r="K227" s="12" t="inlineStr">
        <is>
          <t>Source assignment</t>
        </is>
      </c>
      <c r="L227" s="12" t="inlineStr"/>
      <c r="M227" s="12" t="inlineStr">
        <is>
          <t>Initial</t>
        </is>
      </c>
      <c r="N227" s="12" t="inlineStr">
        <is>
          <t>Rev 0</t>
        </is>
      </c>
      <c r="O227" s="12" t="inlineStr">
        <is>
          <t>R168-v1</t>
        </is>
      </c>
      <c r="P227" s="12" t="inlineStr"/>
      <c r="Q227" s="12" t="inlineStr"/>
      <c r="R227" s="12" t="inlineStr"/>
      <c r="S227" s="12" t="inlineStr"/>
      <c r="T227" s="12" t="inlineStr"/>
      <c r="U227" s="12" t="inlineStr"/>
      <c r="V227" s="12" t="inlineStr">
        <is>
          <t>WBS Code = 1.1.2</t>
        </is>
      </c>
      <c r="W227" s="12" t="inlineStr"/>
    </row>
    <row r="228" ht="49" customHeight="1">
      <c r="A228" s="12" t="inlineStr">
        <is>
          <t>1.1.2</t>
        </is>
      </c>
      <c r="B228" s="12" t="inlineStr">
        <is>
          <t>Guideway and Civil - Utility &amp; Roadworks</t>
        </is>
      </c>
      <c r="C228" s="12" t="inlineStr">
        <is>
          <t>Contractor Programme</t>
        </is>
      </c>
      <c r="D228" s="12" t="inlineStr">
        <is>
          <t>SCH-01-171</t>
        </is>
      </c>
      <c r="E228" s="12" t="inlineStr">
        <is>
          <t>West approach: guideway pier reinforcement - installation</t>
        </is>
      </c>
      <c r="F228" s="12" t="inlineStr">
        <is>
          <t>ONE_TO_ONE</t>
        </is>
      </c>
      <c r="G228" s="12" t="inlineStr">
        <is>
          <t>APPROVED</t>
        </is>
      </c>
      <c r="H228" s="12" t="inlineStr">
        <is>
          <t>New</t>
        </is>
      </c>
      <c r="I228" s="12" t="inlineStr">
        <is>
          <t>Source assignment -- not individually reviewed</t>
        </is>
      </c>
      <c r="J228" s="12" t="inlineStr"/>
      <c r="K228" s="12" t="inlineStr">
        <is>
          <t>Source assignment</t>
        </is>
      </c>
      <c r="L228" s="12" t="inlineStr"/>
      <c r="M228" s="12" t="inlineStr">
        <is>
          <t>Initial</t>
        </is>
      </c>
      <c r="N228" s="12" t="inlineStr">
        <is>
          <t>Rev 0</t>
        </is>
      </c>
      <c r="O228" s="12" t="inlineStr">
        <is>
          <t>R171-v1</t>
        </is>
      </c>
      <c r="P228" s="12" t="inlineStr"/>
      <c r="Q228" s="12" t="inlineStr"/>
      <c r="R228" s="12" t="inlineStr"/>
      <c r="S228" s="12" t="inlineStr"/>
      <c r="T228" s="12" t="inlineStr"/>
      <c r="U228" s="12" t="inlineStr"/>
      <c r="V228" s="12" t="inlineStr">
        <is>
          <t>WBS Code = 1.1.2</t>
        </is>
      </c>
      <c r="W228" s="12" t="inlineStr"/>
    </row>
    <row r="229" ht="49" customHeight="1">
      <c r="A229" s="12" t="inlineStr">
        <is>
          <t>1.1.2</t>
        </is>
      </c>
      <c r="B229" s="12" t="inlineStr">
        <is>
          <t>Guideway and Civil - Utility &amp; Roadworks</t>
        </is>
      </c>
      <c r="C229" s="12" t="inlineStr">
        <is>
          <t>Contractor Programme</t>
        </is>
      </c>
      <c r="D229" s="12" t="inlineStr">
        <is>
          <t>SCH-01-174</t>
        </is>
      </c>
      <c r="E229" s="12" t="inlineStr">
        <is>
          <t>River crossing: retaining-wall excavation - release</t>
        </is>
      </c>
      <c r="F229" s="12" t="inlineStr">
        <is>
          <t>ONE_TO_ONE</t>
        </is>
      </c>
      <c r="G229" s="12" t="inlineStr">
        <is>
          <t>APPROVED</t>
        </is>
      </c>
      <c r="H229" s="12" t="inlineStr">
        <is>
          <t>New</t>
        </is>
      </c>
      <c r="I229" s="12" t="inlineStr">
        <is>
          <t>Source assignment -- not individually reviewed</t>
        </is>
      </c>
      <c r="J229" s="12" t="inlineStr"/>
      <c r="K229" s="12" t="inlineStr">
        <is>
          <t>Source assignment</t>
        </is>
      </c>
      <c r="L229" s="12" t="inlineStr"/>
      <c r="M229" s="12" t="inlineStr">
        <is>
          <t>Initial</t>
        </is>
      </c>
      <c r="N229" s="12" t="inlineStr">
        <is>
          <t>Rev 0</t>
        </is>
      </c>
      <c r="O229" s="12" t="inlineStr">
        <is>
          <t>R174-v1</t>
        </is>
      </c>
      <c r="P229" s="12" t="inlineStr"/>
      <c r="Q229" s="12" t="inlineStr"/>
      <c r="R229" s="12" t="inlineStr"/>
      <c r="S229" s="12" t="inlineStr"/>
      <c r="T229" s="12" t="inlineStr"/>
      <c r="U229" s="12" t="inlineStr"/>
      <c r="V229" s="12" t="inlineStr">
        <is>
          <t>WBS Code = 1.1.2</t>
        </is>
      </c>
      <c r="W229" s="12" t="inlineStr"/>
    </row>
    <row r="230" ht="49" customHeight="1">
      <c r="A230" s="12" t="inlineStr">
        <is>
          <t>1.1.2</t>
        </is>
      </c>
      <c r="B230" s="12" t="inlineStr">
        <is>
          <t>Guideway and Civil - Utility &amp; Roadworks</t>
        </is>
      </c>
      <c r="C230" s="12" t="inlineStr">
        <is>
          <t>Contractor Programme</t>
        </is>
      </c>
      <c r="D230" s="12" t="inlineStr">
        <is>
          <t>SCH-01-177</t>
        </is>
      </c>
      <c r="E230" s="12" t="inlineStr">
        <is>
          <t>Depot lead: track-slab survey - inspection</t>
        </is>
      </c>
      <c r="F230" s="12" t="inlineStr">
        <is>
          <t>ONE_TO_ONE</t>
        </is>
      </c>
      <c r="G230" s="12" t="inlineStr">
        <is>
          <t>APPROVED</t>
        </is>
      </c>
      <c r="H230" s="12" t="inlineStr">
        <is>
          <t>New</t>
        </is>
      </c>
      <c r="I230" s="12" t="inlineStr">
        <is>
          <t>Source assignment -- not individually reviewed</t>
        </is>
      </c>
      <c r="J230" s="12" t="inlineStr"/>
      <c r="K230" s="12" t="inlineStr">
        <is>
          <t>Source assignment</t>
        </is>
      </c>
      <c r="L230" s="12" t="inlineStr"/>
      <c r="M230" s="12" t="inlineStr">
        <is>
          <t>Initial</t>
        </is>
      </c>
      <c r="N230" s="12" t="inlineStr">
        <is>
          <t>Rev 0</t>
        </is>
      </c>
      <c r="O230" s="12" t="inlineStr">
        <is>
          <t>R177-v1</t>
        </is>
      </c>
      <c r="P230" s="12" t="inlineStr"/>
      <c r="Q230" s="12" t="inlineStr"/>
      <c r="R230" s="12" t="inlineStr"/>
      <c r="S230" s="12" t="inlineStr"/>
      <c r="T230" s="12" t="inlineStr"/>
      <c r="U230" s="12" t="inlineStr"/>
      <c r="V230" s="12" t="inlineStr">
        <is>
          <t>WBS Code = 1.1.2</t>
        </is>
      </c>
      <c r="W230" s="12" t="inlineStr"/>
    </row>
    <row r="231" ht="49" customHeight="1">
      <c r="A231" s="12" t="inlineStr">
        <is>
          <t>1.1.2</t>
        </is>
      </c>
      <c r="B231" s="12" t="inlineStr">
        <is>
          <t>Guideway and Civil - Utility &amp; Roadworks</t>
        </is>
      </c>
      <c r="C231" s="12" t="inlineStr">
        <is>
          <t>Contractor Programme</t>
        </is>
      </c>
      <c r="D231" s="12" t="inlineStr">
        <is>
          <t>SCH-01-180</t>
        </is>
      </c>
      <c r="E231" s="12" t="inlineStr">
        <is>
          <t>Central guideway: road restoration - field start</t>
        </is>
      </c>
      <c r="F231" s="12" t="inlineStr">
        <is>
          <t>ONE_TO_ONE</t>
        </is>
      </c>
      <c r="G231" s="12" t="inlineStr">
        <is>
          <t>APPROVED</t>
        </is>
      </c>
      <c r="H231" s="12" t="inlineStr">
        <is>
          <t>New</t>
        </is>
      </c>
      <c r="I231" s="12" t="inlineStr">
        <is>
          <t>Source assignment -- not individually reviewed</t>
        </is>
      </c>
      <c r="J231" s="12" t="inlineStr"/>
      <c r="K231" s="12" t="inlineStr">
        <is>
          <t>Source assignment</t>
        </is>
      </c>
      <c r="L231" s="12" t="inlineStr"/>
      <c r="M231" s="12" t="inlineStr">
        <is>
          <t>Initial</t>
        </is>
      </c>
      <c r="N231" s="12" t="inlineStr">
        <is>
          <t>Rev 0</t>
        </is>
      </c>
      <c r="O231" s="12" t="inlineStr">
        <is>
          <t>R180-v1</t>
        </is>
      </c>
      <c r="P231" s="12" t="inlineStr"/>
      <c r="Q231" s="12" t="inlineStr"/>
      <c r="R231" s="12" t="inlineStr"/>
      <c r="S231" s="12" t="inlineStr"/>
      <c r="T231" s="12" t="inlineStr"/>
      <c r="U231" s="12" t="inlineStr"/>
      <c r="V231" s="12" t="inlineStr">
        <is>
          <t>WBS Code = 1.1.2</t>
        </is>
      </c>
      <c r="W231" s="12" t="inlineStr"/>
    </row>
    <row r="232" ht="49" customHeight="1">
      <c r="A232" s="12" t="inlineStr">
        <is>
          <t>1.1.2</t>
        </is>
      </c>
      <c r="B232" s="12" t="inlineStr">
        <is>
          <t>Guideway and Civil - Utility &amp; Roadworks</t>
        </is>
      </c>
      <c r="C232" s="12" t="inlineStr">
        <is>
          <t>Cost &amp; Forecast Control Accounts</t>
        </is>
      </c>
      <c r="D232" s="12" t="inlineStr">
        <is>
          <t>CST-01-002</t>
        </is>
      </c>
      <c r="E232" s="12" t="inlineStr">
        <is>
          <t>Guideway and Civil - temporary works - allowance</t>
        </is>
      </c>
      <c r="F232" s="12" t="inlineStr">
        <is>
          <t>ONE_TO_ONE</t>
        </is>
      </c>
      <c r="G232" s="12" t="inlineStr">
        <is>
          <t>APPROVED</t>
        </is>
      </c>
      <c r="H232" s="12" t="inlineStr">
        <is>
          <t>New</t>
        </is>
      </c>
      <c r="I232" s="12" t="inlineStr">
        <is>
          <t>Source assignment -- not individually reviewed</t>
        </is>
      </c>
      <c r="J232" s="12" t="inlineStr"/>
      <c r="K232" s="12" t="inlineStr">
        <is>
          <t>Source assignment</t>
        </is>
      </c>
      <c r="L232" s="12" t="inlineStr"/>
      <c r="M232" s="12" t="inlineStr">
        <is>
          <t>Initial</t>
        </is>
      </c>
      <c r="N232" s="12" t="inlineStr">
        <is>
          <t>Rev 0</t>
        </is>
      </c>
      <c r="O232" s="12" t="inlineStr">
        <is>
          <t>R1084-v1</t>
        </is>
      </c>
      <c r="P232" s="12" t="inlineStr"/>
      <c r="Q232" s="12" t="inlineStr"/>
      <c r="R232" s="12" t="inlineStr"/>
      <c r="S232" s="12" t="inlineStr"/>
      <c r="T232" s="12" t="inlineStr"/>
      <c r="U232" s="12" t="inlineStr"/>
      <c r="V232" s="12" t="inlineStr">
        <is>
          <t>Cost Account = CA-1002; WBS Code = 1.1.2</t>
        </is>
      </c>
      <c r="W232" s="12" t="inlineStr"/>
    </row>
    <row r="233" ht="49" customHeight="1">
      <c r="A233" s="12" t="inlineStr">
        <is>
          <t>1.1.2</t>
        </is>
      </c>
      <c r="B233" s="12" t="inlineStr">
        <is>
          <t>Guideway and Civil - Utility &amp; Roadworks</t>
        </is>
      </c>
      <c r="C233" s="12" t="inlineStr">
        <is>
          <t>Cost &amp; Forecast Control Accounts</t>
        </is>
      </c>
      <c r="D233" s="12" t="inlineStr">
        <is>
          <t>CST-01-004</t>
        </is>
      </c>
      <c r="E233" s="12" t="inlineStr">
        <is>
          <t>Guideway and Civil - roadworks - field package</t>
        </is>
      </c>
      <c r="F233" s="12" t="inlineStr">
        <is>
          <t>ONE_TO_ONE</t>
        </is>
      </c>
      <c r="G233" s="12" t="inlineStr">
        <is>
          <t>APPROVED</t>
        </is>
      </c>
      <c r="H233" s="12" t="inlineStr">
        <is>
          <t>New</t>
        </is>
      </c>
      <c r="I233" s="12" t="inlineStr">
        <is>
          <t>Source assignment -- not individually reviewed</t>
        </is>
      </c>
      <c r="J233" s="12" t="inlineStr"/>
      <c r="K233" s="12" t="inlineStr">
        <is>
          <t>Source assignment</t>
        </is>
      </c>
      <c r="L233" s="12" t="inlineStr"/>
      <c r="M233" s="12" t="inlineStr">
        <is>
          <t>Initial</t>
        </is>
      </c>
      <c r="N233" s="12" t="inlineStr">
        <is>
          <t>Rev 0</t>
        </is>
      </c>
      <c r="O233" s="12" t="inlineStr">
        <is>
          <t>R1086-v1</t>
        </is>
      </c>
      <c r="P233" s="12" t="inlineStr"/>
      <c r="Q233" s="12" t="inlineStr"/>
      <c r="R233" s="12" t="inlineStr"/>
      <c r="S233" s="12" t="inlineStr"/>
      <c r="T233" s="12" t="inlineStr"/>
      <c r="U233" s="12" t="inlineStr"/>
      <c r="V233" s="12" t="inlineStr">
        <is>
          <t>Cost Account = CA-1004; WBS Code = 1.1.2</t>
        </is>
      </c>
      <c r="W233" s="12" t="inlineStr"/>
    </row>
    <row r="234" ht="49" customHeight="1">
      <c r="A234" s="12" t="inlineStr">
        <is>
          <t>1.1.2</t>
        </is>
      </c>
      <c r="B234" s="12" t="inlineStr">
        <is>
          <t>Guideway and Civil - Utility &amp; Roadworks</t>
        </is>
      </c>
      <c r="C234" s="12" t="inlineStr">
        <is>
          <t>Cost &amp; Forecast Control Accounts</t>
        </is>
      </c>
      <c r="D234" s="12" t="inlineStr">
        <is>
          <t>CST-01-006</t>
        </is>
      </c>
      <c r="E234" s="12" t="inlineStr">
        <is>
          <t>Guideway and Civil - concrete structures - professional services</t>
        </is>
      </c>
      <c r="F234" s="12" t="inlineStr">
        <is>
          <t>ONE_TO_ONE</t>
        </is>
      </c>
      <c r="G234" s="12" t="inlineStr">
        <is>
          <t>APPROVED</t>
        </is>
      </c>
      <c r="H234" s="12" t="inlineStr">
        <is>
          <t>New</t>
        </is>
      </c>
      <c r="I234" s="12" t="inlineStr">
        <is>
          <t>Source assignment -- not individually reviewed</t>
        </is>
      </c>
      <c r="J234" s="12" t="inlineStr"/>
      <c r="K234" s="12" t="inlineStr">
        <is>
          <t>Source assignment</t>
        </is>
      </c>
      <c r="L234" s="12" t="inlineStr"/>
      <c r="M234" s="12" t="inlineStr">
        <is>
          <t>Initial</t>
        </is>
      </c>
      <c r="N234" s="12" t="inlineStr">
        <is>
          <t>Rev 0</t>
        </is>
      </c>
      <c r="O234" s="12" t="inlineStr">
        <is>
          <t>R1088-v1</t>
        </is>
      </c>
      <c r="P234" s="12" t="inlineStr"/>
      <c r="Q234" s="12" t="inlineStr"/>
      <c r="R234" s="12" t="inlineStr"/>
      <c r="S234" s="12" t="inlineStr"/>
      <c r="T234" s="12" t="inlineStr"/>
      <c r="U234" s="12" t="inlineStr"/>
      <c r="V234" s="12" t="inlineStr">
        <is>
          <t>Cost Account = CA-1006; WBS Code = 1.1.2</t>
        </is>
      </c>
      <c r="W234" s="12" t="inlineStr"/>
    </row>
    <row r="235" ht="49" customHeight="1">
      <c r="A235" s="12" t="inlineStr">
        <is>
          <t>1.1.2</t>
        </is>
      </c>
      <c r="B235" s="12" t="inlineStr">
        <is>
          <t>Guideway and Civil - Utility &amp; Roadworks</t>
        </is>
      </c>
      <c r="C235" s="12" t="inlineStr">
        <is>
          <t>Cost &amp; Forecast Control Accounts</t>
        </is>
      </c>
      <c r="D235" s="12" t="inlineStr">
        <is>
          <t>CST-01-008</t>
        </is>
      </c>
      <c r="E235" s="12" t="inlineStr">
        <is>
          <t>Guideway and Civil - temporary works - closeout</t>
        </is>
      </c>
      <c r="F235" s="12" t="inlineStr">
        <is>
          <t>ONE_TO_ONE</t>
        </is>
      </c>
      <c r="G235" s="12" t="inlineStr">
        <is>
          <t>APPROVED</t>
        </is>
      </c>
      <c r="H235" s="12" t="inlineStr">
        <is>
          <t>New</t>
        </is>
      </c>
      <c r="I235" s="12" t="inlineStr">
        <is>
          <t>Source assignment -- not individually reviewed</t>
        </is>
      </c>
      <c r="J235" s="12" t="inlineStr"/>
      <c r="K235" s="12" t="inlineStr">
        <is>
          <t>Source assignment</t>
        </is>
      </c>
      <c r="L235" s="12" t="inlineStr"/>
      <c r="M235" s="12" t="inlineStr">
        <is>
          <t>Initial</t>
        </is>
      </c>
      <c r="N235" s="12" t="inlineStr">
        <is>
          <t>Rev 0</t>
        </is>
      </c>
      <c r="O235" s="12" t="inlineStr">
        <is>
          <t>R1090-v1</t>
        </is>
      </c>
      <c r="P235" s="12" t="inlineStr"/>
      <c r="Q235" s="12" t="inlineStr"/>
      <c r="R235" s="12" t="inlineStr"/>
      <c r="S235" s="12" t="inlineStr"/>
      <c r="T235" s="12" t="inlineStr"/>
      <c r="U235" s="12" t="inlineStr"/>
      <c r="V235" s="12" t="inlineStr">
        <is>
          <t>Cost Account = CA-1008; WBS Code = 1.1.2</t>
        </is>
      </c>
      <c r="W235" s="12" t="inlineStr"/>
    </row>
    <row r="236" ht="49" customHeight="1">
      <c r="A236" s="12" t="inlineStr">
        <is>
          <t>1.1.2</t>
        </is>
      </c>
      <c r="B236" s="12" t="inlineStr">
        <is>
          <t>Guideway and Civil - Utility &amp; Roadworks</t>
        </is>
      </c>
      <c r="C236" s="12" t="inlineStr">
        <is>
          <t>Cost &amp; Forecast Control Accounts</t>
        </is>
      </c>
      <c r="D236" s="12" t="inlineStr">
        <is>
          <t>CST-01-010</t>
        </is>
      </c>
      <c r="E236" s="12" t="inlineStr">
        <is>
          <t>Guideway and Civil - roadworks - supply and install</t>
        </is>
      </c>
      <c r="F236" s="12" t="inlineStr">
        <is>
          <t>ONE_TO_ONE</t>
        </is>
      </c>
      <c r="G236" s="12" t="inlineStr">
        <is>
          <t>APPROVED</t>
        </is>
      </c>
      <c r="H236" s="12" t="inlineStr">
        <is>
          <t>New</t>
        </is>
      </c>
      <c r="I236" s="12" t="inlineStr">
        <is>
          <t>Source assignment -- not individually reviewed</t>
        </is>
      </c>
      <c r="J236" s="12" t="inlineStr"/>
      <c r="K236" s="12" t="inlineStr">
        <is>
          <t>Source assignment</t>
        </is>
      </c>
      <c r="L236" s="12" t="inlineStr"/>
      <c r="M236" s="12" t="inlineStr">
        <is>
          <t>Initial</t>
        </is>
      </c>
      <c r="N236" s="12" t="inlineStr">
        <is>
          <t>Rev 0</t>
        </is>
      </c>
      <c r="O236" s="12" t="inlineStr">
        <is>
          <t>R1092-v1</t>
        </is>
      </c>
      <c r="P236" s="12" t="inlineStr"/>
      <c r="Q236" s="12" t="inlineStr"/>
      <c r="R236" s="12" t="inlineStr"/>
      <c r="S236" s="12" t="inlineStr"/>
      <c r="T236" s="12" t="inlineStr"/>
      <c r="U236" s="12" t="inlineStr"/>
      <c r="V236" s="12" t="inlineStr">
        <is>
          <t>Cost Account = CA-1010; WBS Code = 1.1.2</t>
        </is>
      </c>
      <c r="W236" s="12" t="inlineStr"/>
    </row>
    <row r="237" ht="49" customHeight="1">
      <c r="A237" s="12" t="inlineStr">
        <is>
          <t>1.1.2</t>
        </is>
      </c>
      <c r="B237" s="12" t="inlineStr">
        <is>
          <t>Guideway and Civil - Utility &amp; Roadworks</t>
        </is>
      </c>
      <c r="C237" s="12" t="inlineStr">
        <is>
          <t>Cost &amp; Forecast Control Accounts</t>
        </is>
      </c>
      <c r="D237" s="12" t="inlineStr">
        <is>
          <t>CST-01-012</t>
        </is>
      </c>
      <c r="E237" s="12" t="inlineStr">
        <is>
          <t>Guideway and Civil - concrete structures - allowance</t>
        </is>
      </c>
      <c r="F237" s="12" t="inlineStr">
        <is>
          <t>ONE_TO_ONE</t>
        </is>
      </c>
      <c r="G237" s="12" t="inlineStr">
        <is>
          <t>APPROVED</t>
        </is>
      </c>
      <c r="H237" s="12" t="inlineStr">
        <is>
          <t>New</t>
        </is>
      </c>
      <c r="I237" s="12" t="inlineStr">
        <is>
          <t>Source assignment -- not individually reviewed</t>
        </is>
      </c>
      <c r="J237" s="12" t="inlineStr"/>
      <c r="K237" s="12" t="inlineStr">
        <is>
          <t>Source assignment</t>
        </is>
      </c>
      <c r="L237" s="12" t="inlineStr"/>
      <c r="M237" s="12" t="inlineStr">
        <is>
          <t>Initial</t>
        </is>
      </c>
      <c r="N237" s="12" t="inlineStr">
        <is>
          <t>Rev 0</t>
        </is>
      </c>
      <c r="O237" s="12" t="inlineStr">
        <is>
          <t>R1094-v1</t>
        </is>
      </c>
      <c r="P237" s="12" t="inlineStr"/>
      <c r="Q237" s="12" t="inlineStr"/>
      <c r="R237" s="12" t="inlineStr"/>
      <c r="S237" s="12" t="inlineStr"/>
      <c r="T237" s="12" t="inlineStr"/>
      <c r="U237" s="12" t="inlineStr"/>
      <c r="V237" s="12" t="inlineStr">
        <is>
          <t>Cost Account = CA-1012; WBS Code = 1.1.2</t>
        </is>
      </c>
      <c r="W237" s="12" t="inlineStr"/>
    </row>
    <row r="238" ht="49" customHeight="1">
      <c r="A238" s="12" t="inlineStr">
        <is>
          <t>1.1.2</t>
        </is>
      </c>
      <c r="B238" s="12" t="inlineStr">
        <is>
          <t>Guideway and Civil - Utility &amp; Roadworks</t>
        </is>
      </c>
      <c r="C238" s="12" t="inlineStr">
        <is>
          <t>Cost &amp; Forecast Control Accounts</t>
        </is>
      </c>
      <c r="D238" s="12" t="inlineStr">
        <is>
          <t>CST-01-014</t>
        </is>
      </c>
      <c r="E238" s="12" t="inlineStr">
        <is>
          <t>Guideway and Civil - temporary works - field package</t>
        </is>
      </c>
      <c r="F238" s="12" t="inlineStr">
        <is>
          <t>ONE_TO_ONE</t>
        </is>
      </c>
      <c r="G238" s="12" t="inlineStr">
        <is>
          <t>APPROVED</t>
        </is>
      </c>
      <c r="H238" s="12" t="inlineStr">
        <is>
          <t>New</t>
        </is>
      </c>
      <c r="I238" s="12" t="inlineStr">
        <is>
          <t>Source assignment -- not individually reviewed</t>
        </is>
      </c>
      <c r="J238" s="12" t="inlineStr"/>
      <c r="K238" s="12" t="inlineStr">
        <is>
          <t>Source assignment</t>
        </is>
      </c>
      <c r="L238" s="12" t="inlineStr"/>
      <c r="M238" s="12" t="inlineStr">
        <is>
          <t>Initial</t>
        </is>
      </c>
      <c r="N238" s="12" t="inlineStr">
        <is>
          <t>Rev 0</t>
        </is>
      </c>
      <c r="O238" s="12" t="inlineStr">
        <is>
          <t>R1096-v1</t>
        </is>
      </c>
      <c r="P238" s="12" t="inlineStr"/>
      <c r="Q238" s="12" t="inlineStr"/>
      <c r="R238" s="12" t="inlineStr"/>
      <c r="S238" s="12" t="inlineStr"/>
      <c r="T238" s="12" t="inlineStr"/>
      <c r="U238" s="12" t="inlineStr"/>
      <c r="V238" s="12" t="inlineStr">
        <is>
          <t>Cost Account = CA-1014; WBS Code = 1.1.2</t>
        </is>
      </c>
      <c r="W238" s="12" t="inlineStr"/>
    </row>
    <row r="239" ht="49" customHeight="1">
      <c r="A239" s="12" t="inlineStr">
        <is>
          <t>1.1.2</t>
        </is>
      </c>
      <c r="B239" s="12" t="inlineStr">
        <is>
          <t>Guideway and Civil - Utility &amp; Roadworks</t>
        </is>
      </c>
      <c r="C239" s="12" t="inlineStr">
        <is>
          <t>Cost &amp; Forecast Control Accounts</t>
        </is>
      </c>
      <c r="D239" s="12" t="inlineStr">
        <is>
          <t>CST-01-016</t>
        </is>
      </c>
      <c r="E239" s="12" t="inlineStr">
        <is>
          <t>Guideway and Civil - roadworks - professional services</t>
        </is>
      </c>
      <c r="F239" s="12" t="inlineStr">
        <is>
          <t>ONE_TO_ONE</t>
        </is>
      </c>
      <c r="G239" s="12" t="inlineStr">
        <is>
          <t>APPROVED</t>
        </is>
      </c>
      <c r="H239" s="12" t="inlineStr">
        <is>
          <t>New</t>
        </is>
      </c>
      <c r="I239" s="12" t="inlineStr">
        <is>
          <t>Source assignment -- not individually reviewed</t>
        </is>
      </c>
      <c r="J239" s="12" t="inlineStr"/>
      <c r="K239" s="12" t="inlineStr">
        <is>
          <t>Source assignment</t>
        </is>
      </c>
      <c r="L239" s="12" t="inlineStr"/>
      <c r="M239" s="12" t="inlineStr">
        <is>
          <t>Initial</t>
        </is>
      </c>
      <c r="N239" s="12" t="inlineStr">
        <is>
          <t>Rev 0</t>
        </is>
      </c>
      <c r="O239" s="12" t="inlineStr">
        <is>
          <t>R1098-v1</t>
        </is>
      </c>
      <c r="P239" s="12" t="inlineStr"/>
      <c r="Q239" s="12" t="inlineStr"/>
      <c r="R239" s="12" t="inlineStr"/>
      <c r="S239" s="12" t="inlineStr"/>
      <c r="T239" s="12" t="inlineStr"/>
      <c r="U239" s="12" t="inlineStr"/>
      <c r="V239" s="12" t="inlineStr">
        <is>
          <t>Cost Account = CA-1016; WBS Code = 1.1.2</t>
        </is>
      </c>
      <c r="W239" s="12" t="inlineStr"/>
    </row>
    <row r="240" ht="49" customHeight="1">
      <c r="A240" s="12" t="inlineStr">
        <is>
          <t>1.1.2</t>
        </is>
      </c>
      <c r="B240" s="12" t="inlineStr">
        <is>
          <t>Guideway and Civil - Utility &amp; Roadworks</t>
        </is>
      </c>
      <c r="C240" s="12" t="inlineStr">
        <is>
          <t>Cost &amp; Forecast Control Accounts</t>
        </is>
      </c>
      <c r="D240" s="12" t="inlineStr">
        <is>
          <t>CST-01-018</t>
        </is>
      </c>
      <c r="E240" s="12" t="inlineStr">
        <is>
          <t>Guideway and Civil - concrete structures - closeout</t>
        </is>
      </c>
      <c r="F240" s="12" t="inlineStr">
        <is>
          <t>ONE_TO_ONE</t>
        </is>
      </c>
      <c r="G240" s="12" t="inlineStr">
        <is>
          <t>APPROVED</t>
        </is>
      </c>
      <c r="H240" s="12" t="inlineStr">
        <is>
          <t>New</t>
        </is>
      </c>
      <c r="I240" s="12" t="inlineStr">
        <is>
          <t>Source assignment -- not individually reviewed</t>
        </is>
      </c>
      <c r="J240" s="12" t="inlineStr"/>
      <c r="K240" s="12" t="inlineStr">
        <is>
          <t>Source assignment</t>
        </is>
      </c>
      <c r="L240" s="12" t="inlineStr"/>
      <c r="M240" s="12" t="inlineStr">
        <is>
          <t>Initial</t>
        </is>
      </c>
      <c r="N240" s="12" t="inlineStr">
        <is>
          <t>Rev 0</t>
        </is>
      </c>
      <c r="O240" s="12" t="inlineStr">
        <is>
          <t>R1100-v1</t>
        </is>
      </c>
      <c r="P240" s="12" t="inlineStr"/>
      <c r="Q240" s="12" t="inlineStr"/>
      <c r="R240" s="12" t="inlineStr"/>
      <c r="S240" s="12" t="inlineStr"/>
      <c r="T240" s="12" t="inlineStr"/>
      <c r="U240" s="12" t="inlineStr"/>
      <c r="V240" s="12" t="inlineStr">
        <is>
          <t>Cost Account = CA-1018; WBS Code = 1.1.2</t>
        </is>
      </c>
      <c r="W240" s="12" t="inlineStr"/>
    </row>
    <row r="241" ht="49" customHeight="1">
      <c r="A241" s="12" t="inlineStr">
        <is>
          <t>1.1.2</t>
        </is>
      </c>
      <c r="B241" s="12" t="inlineStr">
        <is>
          <t>Guideway and Civil - Utility &amp; Roadworks</t>
        </is>
      </c>
      <c r="C241" s="12" t="inlineStr">
        <is>
          <t>Cost &amp; Forecast Control Accounts</t>
        </is>
      </c>
      <c r="D241" s="12" t="inlineStr">
        <is>
          <t>CST-01-020</t>
        </is>
      </c>
      <c r="E241" s="12" t="inlineStr">
        <is>
          <t>Guideway and Civil - temporary works - supply and install</t>
        </is>
      </c>
      <c r="F241" s="12" t="inlineStr">
        <is>
          <t>ONE_TO_ONE</t>
        </is>
      </c>
      <c r="G241" s="12" t="inlineStr">
        <is>
          <t>APPROVED</t>
        </is>
      </c>
      <c r="H241" s="12" t="inlineStr">
        <is>
          <t>New</t>
        </is>
      </c>
      <c r="I241" s="12" t="inlineStr">
        <is>
          <t>Source assignment -- not individually reviewed</t>
        </is>
      </c>
      <c r="J241" s="12" t="inlineStr"/>
      <c r="K241" s="12" t="inlineStr">
        <is>
          <t>Source assignment</t>
        </is>
      </c>
      <c r="L241" s="12" t="inlineStr"/>
      <c r="M241" s="12" t="inlineStr">
        <is>
          <t>Initial</t>
        </is>
      </c>
      <c r="N241" s="12" t="inlineStr">
        <is>
          <t>Rev 0</t>
        </is>
      </c>
      <c r="O241" s="12" t="inlineStr">
        <is>
          <t>R1102-v1</t>
        </is>
      </c>
      <c r="P241" s="12" t="inlineStr"/>
      <c r="Q241" s="12" t="inlineStr"/>
      <c r="R241" s="12" t="inlineStr"/>
      <c r="S241" s="12" t="inlineStr"/>
      <c r="T241" s="12" t="inlineStr"/>
      <c r="U241" s="12" t="inlineStr"/>
      <c r="V241" s="12" t="inlineStr">
        <is>
          <t>Cost Account = CA-1020; WBS Code = 1.1.2</t>
        </is>
      </c>
      <c r="W241" s="12" t="inlineStr"/>
    </row>
    <row r="242" ht="49" customHeight="1">
      <c r="A242" s="12" t="inlineStr">
        <is>
          <t>1.1.2</t>
        </is>
      </c>
      <c r="B242" s="12" t="inlineStr">
        <is>
          <t>Guideway and Civil - Utility &amp; Roadworks</t>
        </is>
      </c>
      <c r="C242" s="12" t="inlineStr">
        <is>
          <t>Cost &amp; Forecast Control Accounts</t>
        </is>
      </c>
      <c r="D242" s="12" t="inlineStr">
        <is>
          <t>CST-01-022</t>
        </is>
      </c>
      <c r="E242" s="12" t="inlineStr">
        <is>
          <t>Guideway and Civil - roadworks - allowance</t>
        </is>
      </c>
      <c r="F242" s="12" t="inlineStr">
        <is>
          <t>ONE_TO_ONE</t>
        </is>
      </c>
      <c r="G242" s="12" t="inlineStr">
        <is>
          <t>APPROVED</t>
        </is>
      </c>
      <c r="H242" s="12" t="inlineStr">
        <is>
          <t>New</t>
        </is>
      </c>
      <c r="I242" s="12" t="inlineStr">
        <is>
          <t>Source assignment -- not individually reviewed</t>
        </is>
      </c>
      <c r="J242" s="12" t="inlineStr"/>
      <c r="K242" s="12" t="inlineStr">
        <is>
          <t>Source assignment</t>
        </is>
      </c>
      <c r="L242" s="12" t="inlineStr"/>
      <c r="M242" s="12" t="inlineStr">
        <is>
          <t>Initial</t>
        </is>
      </c>
      <c r="N242" s="12" t="inlineStr">
        <is>
          <t>Rev 0</t>
        </is>
      </c>
      <c r="O242" s="12" t="inlineStr">
        <is>
          <t>R1104-v1</t>
        </is>
      </c>
      <c r="P242" s="12" t="inlineStr"/>
      <c r="Q242" s="12" t="inlineStr"/>
      <c r="R242" s="12" t="inlineStr"/>
      <c r="S242" s="12" t="inlineStr"/>
      <c r="T242" s="12" t="inlineStr"/>
      <c r="U242" s="12" t="inlineStr"/>
      <c r="V242" s="12" t="inlineStr">
        <is>
          <t>Cost Account = CA-1022; WBS Code = 1.1.2</t>
        </is>
      </c>
      <c r="W242" s="12" t="inlineStr"/>
    </row>
    <row r="243" ht="49" customHeight="1">
      <c r="A243" s="12" t="inlineStr">
        <is>
          <t>1.1.2</t>
        </is>
      </c>
      <c r="B243" s="12" t="inlineStr">
        <is>
          <t>Guideway and Civil - Utility &amp; Roadworks</t>
        </is>
      </c>
      <c r="C243" s="12" t="inlineStr">
        <is>
          <t>Cost &amp; Forecast Control Accounts</t>
        </is>
      </c>
      <c r="D243" s="12" t="inlineStr">
        <is>
          <t>CST-01-024</t>
        </is>
      </c>
      <c r="E243" s="12" t="inlineStr">
        <is>
          <t>Guideway and Civil - concrete structures - field package</t>
        </is>
      </c>
      <c r="F243" s="12" t="inlineStr">
        <is>
          <t>ONE_TO_ONE</t>
        </is>
      </c>
      <c r="G243" s="12" t="inlineStr">
        <is>
          <t>APPROVED</t>
        </is>
      </c>
      <c r="H243" s="12" t="inlineStr">
        <is>
          <t>New</t>
        </is>
      </c>
      <c r="I243" s="12" t="inlineStr">
        <is>
          <t>Source assignment -- not individually reviewed</t>
        </is>
      </c>
      <c r="J243" s="12" t="inlineStr"/>
      <c r="K243" s="12" t="inlineStr">
        <is>
          <t>Source assignment</t>
        </is>
      </c>
      <c r="L243" s="12" t="inlineStr"/>
      <c r="M243" s="12" t="inlineStr">
        <is>
          <t>Initial</t>
        </is>
      </c>
      <c r="N243" s="12" t="inlineStr">
        <is>
          <t>Rev 0</t>
        </is>
      </c>
      <c r="O243" s="12" t="inlineStr">
        <is>
          <t>R1106-v1</t>
        </is>
      </c>
      <c r="P243" s="12" t="inlineStr"/>
      <c r="Q243" s="12" t="inlineStr"/>
      <c r="R243" s="12" t="inlineStr"/>
      <c r="S243" s="12" t="inlineStr"/>
      <c r="T243" s="12" t="inlineStr"/>
      <c r="U243" s="12" t="inlineStr"/>
      <c r="V243" s="12" t="inlineStr">
        <is>
          <t>Cost Account = CA-1024; WBS Code = 1.1.2</t>
        </is>
      </c>
      <c r="W243" s="12" t="inlineStr"/>
    </row>
    <row r="244" ht="49" customHeight="1">
      <c r="A244" s="12" t="inlineStr">
        <is>
          <t>1.1.2</t>
        </is>
      </c>
      <c r="B244" s="12" t="inlineStr">
        <is>
          <t>Guideway and Civil - Utility &amp; Roadworks</t>
        </is>
      </c>
      <c r="C244" s="12" t="inlineStr">
        <is>
          <t>Cost &amp; Forecast Control Accounts</t>
        </is>
      </c>
      <c r="D244" s="12" t="inlineStr">
        <is>
          <t>CST-01-026</t>
        </is>
      </c>
      <c r="E244" s="12" t="inlineStr">
        <is>
          <t>Guideway and Civil - temporary works - professional services</t>
        </is>
      </c>
      <c r="F244" s="12" t="inlineStr">
        <is>
          <t>ONE_TO_ONE</t>
        </is>
      </c>
      <c r="G244" s="12" t="inlineStr">
        <is>
          <t>APPROVED</t>
        </is>
      </c>
      <c r="H244" s="12" t="inlineStr">
        <is>
          <t>New</t>
        </is>
      </c>
      <c r="I244" s="12" t="inlineStr">
        <is>
          <t>Source assignment -- not individually reviewed</t>
        </is>
      </c>
      <c r="J244" s="12" t="inlineStr"/>
      <c r="K244" s="12" t="inlineStr">
        <is>
          <t>Source assignment</t>
        </is>
      </c>
      <c r="L244" s="12" t="inlineStr"/>
      <c r="M244" s="12" t="inlineStr">
        <is>
          <t>Initial</t>
        </is>
      </c>
      <c r="N244" s="12" t="inlineStr">
        <is>
          <t>Rev 0</t>
        </is>
      </c>
      <c r="O244" s="12" t="inlineStr">
        <is>
          <t>R1108-v1</t>
        </is>
      </c>
      <c r="P244" s="12" t="inlineStr"/>
      <c r="Q244" s="12" t="inlineStr"/>
      <c r="R244" s="12" t="inlineStr"/>
      <c r="S244" s="12" t="inlineStr"/>
      <c r="T244" s="12" t="inlineStr"/>
      <c r="U244" s="12" t="inlineStr"/>
      <c r="V244" s="12" t="inlineStr">
        <is>
          <t>Cost Account = CA-1026; WBS Code = 1.1.2</t>
        </is>
      </c>
      <c r="W244" s="12" t="inlineStr"/>
    </row>
    <row r="245" ht="49" customHeight="1">
      <c r="A245" s="12" t="inlineStr">
        <is>
          <t>1.1.2</t>
        </is>
      </c>
      <c r="B245" s="12" t="inlineStr">
        <is>
          <t>Guideway and Civil - Utility &amp; Roadworks</t>
        </is>
      </c>
      <c r="C245" s="12" t="inlineStr">
        <is>
          <t>Cost &amp; Forecast Control Accounts</t>
        </is>
      </c>
      <c r="D245" s="12" t="inlineStr">
        <is>
          <t>CST-01-028</t>
        </is>
      </c>
      <c r="E245" s="12" t="inlineStr">
        <is>
          <t>Guideway and Civil - roadworks - closeout</t>
        </is>
      </c>
      <c r="F245" s="12" t="inlineStr">
        <is>
          <t>ONE_TO_ONE</t>
        </is>
      </c>
      <c r="G245" s="12" t="inlineStr">
        <is>
          <t>APPROVED</t>
        </is>
      </c>
      <c r="H245" s="12" t="inlineStr">
        <is>
          <t>New</t>
        </is>
      </c>
      <c r="I245" s="12" t="inlineStr">
        <is>
          <t>Source assignment -- not individually reviewed</t>
        </is>
      </c>
      <c r="J245" s="12" t="inlineStr"/>
      <c r="K245" s="12" t="inlineStr">
        <is>
          <t>Source assignment</t>
        </is>
      </c>
      <c r="L245" s="12" t="inlineStr"/>
      <c r="M245" s="12" t="inlineStr">
        <is>
          <t>Initial</t>
        </is>
      </c>
      <c r="N245" s="12" t="inlineStr">
        <is>
          <t>Rev 0</t>
        </is>
      </c>
      <c r="O245" s="12" t="inlineStr">
        <is>
          <t>R1110-v1</t>
        </is>
      </c>
      <c r="P245" s="12" t="inlineStr"/>
      <c r="Q245" s="12" t="inlineStr"/>
      <c r="R245" s="12" t="inlineStr"/>
      <c r="S245" s="12" t="inlineStr"/>
      <c r="T245" s="12" t="inlineStr"/>
      <c r="U245" s="12" t="inlineStr"/>
      <c r="V245" s="12" t="inlineStr">
        <is>
          <t>Cost Account = CA-1028; WBS Code = 1.1.2</t>
        </is>
      </c>
      <c r="W245" s="12" t="inlineStr"/>
    </row>
    <row r="246" ht="49" customHeight="1">
      <c r="A246" s="12" t="inlineStr">
        <is>
          <t>1.1.2</t>
        </is>
      </c>
      <c r="B246" s="12" t="inlineStr">
        <is>
          <t>Guideway and Civil - Utility &amp; Roadworks</t>
        </is>
      </c>
      <c r="C246" s="12" t="inlineStr">
        <is>
          <t>Cost &amp; Forecast Control Accounts</t>
        </is>
      </c>
      <c r="D246" s="12" t="inlineStr">
        <is>
          <t>CST-01-030</t>
        </is>
      </c>
      <c r="E246" s="12" t="inlineStr">
        <is>
          <t>Guideway and Civil - concrete structures - supply and install</t>
        </is>
      </c>
      <c r="F246" s="12" t="inlineStr">
        <is>
          <t>ONE_TO_ONE</t>
        </is>
      </c>
      <c r="G246" s="12" t="inlineStr">
        <is>
          <t>APPROVED</t>
        </is>
      </c>
      <c r="H246" s="12" t="inlineStr">
        <is>
          <t>New</t>
        </is>
      </c>
      <c r="I246" s="12" t="inlineStr">
        <is>
          <t>Source assignment -- not individually reviewed</t>
        </is>
      </c>
      <c r="J246" s="12" t="inlineStr"/>
      <c r="K246" s="12" t="inlineStr">
        <is>
          <t>Source assignment</t>
        </is>
      </c>
      <c r="L246" s="12" t="inlineStr"/>
      <c r="M246" s="12" t="inlineStr">
        <is>
          <t>Initial</t>
        </is>
      </c>
      <c r="N246" s="12" t="inlineStr">
        <is>
          <t>Rev 0</t>
        </is>
      </c>
      <c r="O246" s="12" t="inlineStr">
        <is>
          <t>R1112-v1</t>
        </is>
      </c>
      <c r="P246" s="12" t="inlineStr"/>
      <c r="Q246" s="12" t="inlineStr"/>
      <c r="R246" s="12" t="inlineStr"/>
      <c r="S246" s="12" t="inlineStr"/>
      <c r="T246" s="12" t="inlineStr"/>
      <c r="U246" s="12" t="inlineStr"/>
      <c r="V246" s="12" t="inlineStr">
        <is>
          <t>Cost Account = CA-1030; WBS Code = 1.1.2</t>
        </is>
      </c>
      <c r="W246" s="12" t="inlineStr"/>
    </row>
    <row r="247" ht="49" customHeight="1">
      <c r="A247" s="12" t="inlineStr">
        <is>
          <t>1.1.2</t>
        </is>
      </c>
      <c r="B247" s="12" t="inlineStr">
        <is>
          <t>Guideway and Civil - Utility &amp; Roadworks</t>
        </is>
      </c>
      <c r="C247" s="12" t="inlineStr">
        <is>
          <t>Cost &amp; Forecast Control Accounts</t>
        </is>
      </c>
      <c r="D247" s="12" t="inlineStr">
        <is>
          <t>CST-01-032</t>
        </is>
      </c>
      <c r="E247" s="12" t="inlineStr">
        <is>
          <t>Guideway and Civil - temporary works - allowance</t>
        </is>
      </c>
      <c r="F247" s="12" t="inlineStr">
        <is>
          <t>ONE_TO_ONE</t>
        </is>
      </c>
      <c r="G247" s="12" t="inlineStr">
        <is>
          <t>APPROVED</t>
        </is>
      </c>
      <c r="H247" s="12" t="inlineStr">
        <is>
          <t>New</t>
        </is>
      </c>
      <c r="I247" s="12" t="inlineStr">
        <is>
          <t>Source assignment -- not individually reviewed</t>
        </is>
      </c>
      <c r="J247" s="12" t="inlineStr"/>
      <c r="K247" s="12" t="inlineStr">
        <is>
          <t>Source assignment</t>
        </is>
      </c>
      <c r="L247" s="12" t="inlineStr"/>
      <c r="M247" s="12" t="inlineStr">
        <is>
          <t>Initial</t>
        </is>
      </c>
      <c r="N247" s="12" t="inlineStr">
        <is>
          <t>Rev 0</t>
        </is>
      </c>
      <c r="O247" s="12" t="inlineStr">
        <is>
          <t>R1114-v1</t>
        </is>
      </c>
      <c r="P247" s="12" t="inlineStr"/>
      <c r="Q247" s="12" t="inlineStr"/>
      <c r="R247" s="12" t="inlineStr"/>
      <c r="S247" s="12" t="inlineStr"/>
      <c r="T247" s="12" t="inlineStr"/>
      <c r="U247" s="12" t="inlineStr"/>
      <c r="V247" s="12" t="inlineStr">
        <is>
          <t>Cost Account = CA-1032; WBS Code = 1.1.2</t>
        </is>
      </c>
      <c r="W247" s="12" t="inlineStr"/>
    </row>
    <row r="248" ht="49" customHeight="1">
      <c r="A248" s="12" t="inlineStr">
        <is>
          <t>1.1.2</t>
        </is>
      </c>
      <c r="B248" s="12" t="inlineStr">
        <is>
          <t>Guideway and Civil - Utility &amp; Roadworks</t>
        </is>
      </c>
      <c r="C248" s="12" t="inlineStr">
        <is>
          <t>Cost &amp; Forecast Control Accounts</t>
        </is>
      </c>
      <c r="D248" s="12" t="inlineStr">
        <is>
          <t>CST-01-034</t>
        </is>
      </c>
      <c r="E248" s="12" t="inlineStr">
        <is>
          <t>Guideway and Civil - roadworks - field package</t>
        </is>
      </c>
      <c r="F248" s="12" t="inlineStr">
        <is>
          <t>ONE_TO_ONE</t>
        </is>
      </c>
      <c r="G248" s="12" t="inlineStr">
        <is>
          <t>APPROVED</t>
        </is>
      </c>
      <c r="H248" s="12" t="inlineStr">
        <is>
          <t>New</t>
        </is>
      </c>
      <c r="I248" s="12" t="inlineStr">
        <is>
          <t>Source assignment -- not individually reviewed</t>
        </is>
      </c>
      <c r="J248" s="12" t="inlineStr"/>
      <c r="K248" s="12" t="inlineStr">
        <is>
          <t>Source assignment</t>
        </is>
      </c>
      <c r="L248" s="12" t="inlineStr"/>
      <c r="M248" s="12" t="inlineStr">
        <is>
          <t>Initial</t>
        </is>
      </c>
      <c r="N248" s="12" t="inlineStr">
        <is>
          <t>Rev 0</t>
        </is>
      </c>
      <c r="O248" s="12" t="inlineStr">
        <is>
          <t>R1116-v1</t>
        </is>
      </c>
      <c r="P248" s="12" t="inlineStr"/>
      <c r="Q248" s="12" t="inlineStr"/>
      <c r="R248" s="12" t="inlineStr"/>
      <c r="S248" s="12" t="inlineStr"/>
      <c r="T248" s="12" t="inlineStr"/>
      <c r="U248" s="12" t="inlineStr"/>
      <c r="V248" s="12" t="inlineStr">
        <is>
          <t>Cost Account = CA-1034; WBS Code = 1.1.2</t>
        </is>
      </c>
      <c r="W248" s="12" t="inlineStr"/>
    </row>
    <row r="249" ht="49" customHeight="1">
      <c r="A249" s="12" t="inlineStr">
        <is>
          <t>1.1.2</t>
        </is>
      </c>
      <c r="B249" s="12" t="inlineStr">
        <is>
          <t>Guideway and Civil - Utility &amp; Roadworks</t>
        </is>
      </c>
      <c r="C249" s="12" t="inlineStr">
        <is>
          <t>Cost &amp; Forecast Control Accounts</t>
        </is>
      </c>
      <c r="D249" s="12" t="inlineStr">
        <is>
          <t>CST-01-036</t>
        </is>
      </c>
      <c r="E249" s="12" t="inlineStr">
        <is>
          <t>Guideway and Civil - concrete structures - professional services</t>
        </is>
      </c>
      <c r="F249" s="12" t="inlineStr">
        <is>
          <t>ONE_TO_ONE</t>
        </is>
      </c>
      <c r="G249" s="12" t="inlineStr">
        <is>
          <t>APPROVED</t>
        </is>
      </c>
      <c r="H249" s="12" t="inlineStr">
        <is>
          <t>New</t>
        </is>
      </c>
      <c r="I249" s="12" t="inlineStr">
        <is>
          <t>Source assignment -- not individually reviewed</t>
        </is>
      </c>
      <c r="J249" s="12" t="inlineStr"/>
      <c r="K249" s="12" t="inlineStr">
        <is>
          <t>Source assignment</t>
        </is>
      </c>
      <c r="L249" s="12" t="inlineStr"/>
      <c r="M249" s="12" t="inlineStr">
        <is>
          <t>Initial</t>
        </is>
      </c>
      <c r="N249" s="12" t="inlineStr">
        <is>
          <t>Rev 0</t>
        </is>
      </c>
      <c r="O249" s="12" t="inlineStr">
        <is>
          <t>R1118-v1</t>
        </is>
      </c>
      <c r="P249" s="12" t="inlineStr"/>
      <c r="Q249" s="12" t="inlineStr"/>
      <c r="R249" s="12" t="inlineStr"/>
      <c r="S249" s="12" t="inlineStr"/>
      <c r="T249" s="12" t="inlineStr"/>
      <c r="U249" s="12" t="inlineStr"/>
      <c r="V249" s="12" t="inlineStr">
        <is>
          <t>Cost Account = CA-1036; WBS Code = 1.1.2</t>
        </is>
      </c>
      <c r="W249" s="12" t="inlineStr"/>
    </row>
    <row r="250" ht="49" customHeight="1">
      <c r="A250" s="12" t="inlineStr">
        <is>
          <t>1.1.2</t>
        </is>
      </c>
      <c r="B250" s="12" t="inlineStr">
        <is>
          <t>Guideway and Civil - Utility &amp; Roadworks</t>
        </is>
      </c>
      <c r="C250" s="12" t="inlineStr">
        <is>
          <t>Cost &amp; Forecast Control Accounts</t>
        </is>
      </c>
      <c r="D250" s="12" t="inlineStr">
        <is>
          <t>CST-01-038</t>
        </is>
      </c>
      <c r="E250" s="12" t="inlineStr">
        <is>
          <t>Guideway and Civil - temporary works - closeout</t>
        </is>
      </c>
      <c r="F250" s="12" t="inlineStr">
        <is>
          <t>ONE_TO_ONE</t>
        </is>
      </c>
      <c r="G250" s="12" t="inlineStr">
        <is>
          <t>APPROVED</t>
        </is>
      </c>
      <c r="H250" s="12" t="inlineStr">
        <is>
          <t>New</t>
        </is>
      </c>
      <c r="I250" s="12" t="inlineStr">
        <is>
          <t>Source assignment -- not individually reviewed</t>
        </is>
      </c>
      <c r="J250" s="12" t="inlineStr"/>
      <c r="K250" s="12" t="inlineStr">
        <is>
          <t>Source assignment</t>
        </is>
      </c>
      <c r="L250" s="12" t="inlineStr"/>
      <c r="M250" s="12" t="inlineStr">
        <is>
          <t>Initial</t>
        </is>
      </c>
      <c r="N250" s="12" t="inlineStr">
        <is>
          <t>Rev 0</t>
        </is>
      </c>
      <c r="O250" s="12" t="inlineStr">
        <is>
          <t>R1120-v1</t>
        </is>
      </c>
      <c r="P250" s="12" t="inlineStr"/>
      <c r="Q250" s="12" t="inlineStr"/>
      <c r="R250" s="12" t="inlineStr"/>
      <c r="S250" s="12" t="inlineStr"/>
      <c r="T250" s="12" t="inlineStr"/>
      <c r="U250" s="12" t="inlineStr"/>
      <c r="V250" s="12" t="inlineStr">
        <is>
          <t>Cost Account = CA-1038; WBS Code = 1.1.2</t>
        </is>
      </c>
      <c r="W250" s="12" t="inlineStr"/>
    </row>
    <row r="251" ht="49" customHeight="1">
      <c r="A251" s="12" t="inlineStr">
        <is>
          <t>1.1.2</t>
        </is>
      </c>
      <c r="B251" s="12" t="inlineStr">
        <is>
          <t>Guideway and Civil - Utility &amp; Roadworks</t>
        </is>
      </c>
      <c r="C251" s="12" t="inlineStr">
        <is>
          <t>Cost &amp; Forecast Control Accounts</t>
        </is>
      </c>
      <c r="D251" s="12" t="inlineStr">
        <is>
          <t>CST-01-040</t>
        </is>
      </c>
      <c r="E251" s="12" t="inlineStr">
        <is>
          <t>Guideway and Civil - roadworks - supply and install</t>
        </is>
      </c>
      <c r="F251" s="12" t="inlineStr">
        <is>
          <t>ONE_TO_ONE</t>
        </is>
      </c>
      <c r="G251" s="12" t="inlineStr">
        <is>
          <t>APPROVED</t>
        </is>
      </c>
      <c r="H251" s="12" t="inlineStr">
        <is>
          <t>New</t>
        </is>
      </c>
      <c r="I251" s="12" t="inlineStr">
        <is>
          <t>Source assignment -- not individually reviewed</t>
        </is>
      </c>
      <c r="J251" s="12" t="inlineStr"/>
      <c r="K251" s="12" t="inlineStr">
        <is>
          <t>Source assignment</t>
        </is>
      </c>
      <c r="L251" s="12" t="inlineStr"/>
      <c r="M251" s="12" t="inlineStr">
        <is>
          <t>Initial</t>
        </is>
      </c>
      <c r="N251" s="12" t="inlineStr">
        <is>
          <t>Rev 0</t>
        </is>
      </c>
      <c r="O251" s="12" t="inlineStr">
        <is>
          <t>R1122-v1</t>
        </is>
      </c>
      <c r="P251" s="12" t="inlineStr"/>
      <c r="Q251" s="12" t="inlineStr"/>
      <c r="R251" s="12" t="inlineStr"/>
      <c r="S251" s="12" t="inlineStr"/>
      <c r="T251" s="12" t="inlineStr"/>
      <c r="U251" s="12" t="inlineStr"/>
      <c r="V251" s="12" t="inlineStr">
        <is>
          <t>Cost Account = CA-1040; WBS Code = 1.1.2</t>
        </is>
      </c>
      <c r="W251" s="12" t="inlineStr"/>
    </row>
    <row r="252" ht="49" customHeight="1">
      <c r="A252" s="12" t="inlineStr">
        <is>
          <t>1.1.2</t>
        </is>
      </c>
      <c r="B252" s="12" t="inlineStr">
        <is>
          <t>Guideway and Civil - Utility &amp; Roadworks</t>
        </is>
      </c>
      <c r="C252" s="12" t="inlineStr">
        <is>
          <t>Cost &amp; Forecast Control Accounts</t>
        </is>
      </c>
      <c r="D252" s="12" t="inlineStr">
        <is>
          <t>CST-01-042</t>
        </is>
      </c>
      <c r="E252" s="12" t="inlineStr">
        <is>
          <t>Guideway and Civil - concrete structures - allowance</t>
        </is>
      </c>
      <c r="F252" s="12" t="inlineStr">
        <is>
          <t>ONE_TO_ONE</t>
        </is>
      </c>
      <c r="G252" s="12" t="inlineStr">
        <is>
          <t>APPROVED</t>
        </is>
      </c>
      <c r="H252" s="12" t="inlineStr">
        <is>
          <t>New</t>
        </is>
      </c>
      <c r="I252" s="12" t="inlineStr">
        <is>
          <t>Source assignment -- not individually reviewed</t>
        </is>
      </c>
      <c r="J252" s="12" t="inlineStr"/>
      <c r="K252" s="12" t="inlineStr">
        <is>
          <t>Source assignment</t>
        </is>
      </c>
      <c r="L252" s="12" t="inlineStr"/>
      <c r="M252" s="12" t="inlineStr">
        <is>
          <t>Initial</t>
        </is>
      </c>
      <c r="N252" s="12" t="inlineStr">
        <is>
          <t>Rev 0</t>
        </is>
      </c>
      <c r="O252" s="12" t="inlineStr">
        <is>
          <t>R1124-v1</t>
        </is>
      </c>
      <c r="P252" s="12" t="inlineStr"/>
      <c r="Q252" s="12" t="inlineStr"/>
      <c r="R252" s="12" t="inlineStr"/>
      <c r="S252" s="12" t="inlineStr"/>
      <c r="T252" s="12" t="inlineStr"/>
      <c r="U252" s="12" t="inlineStr"/>
      <c r="V252" s="12" t="inlineStr">
        <is>
          <t>Cost Account = CA-1042; WBS Code = 1.1.2</t>
        </is>
      </c>
      <c r="W252" s="12" t="inlineStr"/>
    </row>
    <row r="253" ht="49" customHeight="1">
      <c r="A253" s="12" t="inlineStr">
        <is>
          <t>1.1.2</t>
        </is>
      </c>
      <c r="B253" s="12" t="inlineStr">
        <is>
          <t>Guideway and Civil - Utility &amp; Roadworks</t>
        </is>
      </c>
      <c r="C253" s="12" t="inlineStr">
        <is>
          <t>Cost &amp; Forecast Control Accounts</t>
        </is>
      </c>
      <c r="D253" s="12" t="inlineStr">
        <is>
          <t>CST-01-044</t>
        </is>
      </c>
      <c r="E253" s="12" t="inlineStr">
        <is>
          <t>Guideway and Civil - temporary works - field package</t>
        </is>
      </c>
      <c r="F253" s="12" t="inlineStr">
        <is>
          <t>ONE_TO_ONE</t>
        </is>
      </c>
      <c r="G253" s="12" t="inlineStr">
        <is>
          <t>APPROVED</t>
        </is>
      </c>
      <c r="H253" s="12" t="inlineStr">
        <is>
          <t>New</t>
        </is>
      </c>
      <c r="I253" s="12" t="inlineStr">
        <is>
          <t>Source assignment -- not individually reviewed</t>
        </is>
      </c>
      <c r="J253" s="12" t="inlineStr"/>
      <c r="K253" s="12" t="inlineStr">
        <is>
          <t>Source assignment</t>
        </is>
      </c>
      <c r="L253" s="12" t="inlineStr"/>
      <c r="M253" s="12" t="inlineStr">
        <is>
          <t>Initial</t>
        </is>
      </c>
      <c r="N253" s="12" t="inlineStr">
        <is>
          <t>Rev 0</t>
        </is>
      </c>
      <c r="O253" s="12" t="inlineStr">
        <is>
          <t>R1126-v1</t>
        </is>
      </c>
      <c r="P253" s="12" t="inlineStr"/>
      <c r="Q253" s="12" t="inlineStr"/>
      <c r="R253" s="12" t="inlineStr"/>
      <c r="S253" s="12" t="inlineStr"/>
      <c r="T253" s="12" t="inlineStr"/>
      <c r="U253" s="12" t="inlineStr"/>
      <c r="V253" s="12" t="inlineStr">
        <is>
          <t>Cost Account = CA-1044; WBS Code = 1.1.2</t>
        </is>
      </c>
      <c r="W253" s="12" t="inlineStr"/>
    </row>
    <row r="254" ht="49" customHeight="1">
      <c r="A254" s="12" t="inlineStr">
        <is>
          <t>1.1.2</t>
        </is>
      </c>
      <c r="B254" s="12" t="inlineStr">
        <is>
          <t>Guideway and Civil - Utility &amp; Roadworks</t>
        </is>
      </c>
      <c r="C254" s="12" t="inlineStr">
        <is>
          <t>Cost &amp; Forecast Control Accounts</t>
        </is>
      </c>
      <c r="D254" s="12" t="inlineStr">
        <is>
          <t>CST-01-046</t>
        </is>
      </c>
      <c r="E254" s="12" t="inlineStr">
        <is>
          <t>Guideway and Civil - roadworks - professional services</t>
        </is>
      </c>
      <c r="F254" s="12" t="inlineStr">
        <is>
          <t>ONE_TO_ONE</t>
        </is>
      </c>
      <c r="G254" s="12" t="inlineStr">
        <is>
          <t>APPROVED</t>
        </is>
      </c>
      <c r="H254" s="12" t="inlineStr">
        <is>
          <t>New</t>
        </is>
      </c>
      <c r="I254" s="12" t="inlineStr">
        <is>
          <t>Source assignment -- not individually reviewed</t>
        </is>
      </c>
      <c r="J254" s="12" t="inlineStr"/>
      <c r="K254" s="12" t="inlineStr">
        <is>
          <t>Source assignment</t>
        </is>
      </c>
      <c r="L254" s="12" t="inlineStr"/>
      <c r="M254" s="12" t="inlineStr">
        <is>
          <t>Initial</t>
        </is>
      </c>
      <c r="N254" s="12" t="inlineStr">
        <is>
          <t>Rev 0</t>
        </is>
      </c>
      <c r="O254" s="12" t="inlineStr">
        <is>
          <t>R1128-v1</t>
        </is>
      </c>
      <c r="P254" s="12" t="inlineStr"/>
      <c r="Q254" s="12" t="inlineStr"/>
      <c r="R254" s="12" t="inlineStr"/>
      <c r="S254" s="12" t="inlineStr"/>
      <c r="T254" s="12" t="inlineStr"/>
      <c r="U254" s="12" t="inlineStr"/>
      <c r="V254" s="12" t="inlineStr">
        <is>
          <t>Cost Account = CA-1046; WBS Code = 1.1.2</t>
        </is>
      </c>
      <c r="W254" s="12" t="inlineStr"/>
    </row>
    <row r="255" ht="49" customHeight="1">
      <c r="A255" s="12" t="inlineStr">
        <is>
          <t>1.1.2</t>
        </is>
      </c>
      <c r="B255" s="12" t="inlineStr">
        <is>
          <t>Guideway and Civil - Utility &amp; Roadworks</t>
        </is>
      </c>
      <c r="C255" s="12" t="inlineStr">
        <is>
          <t>Cost &amp; Forecast Control Accounts</t>
        </is>
      </c>
      <c r="D255" s="12" t="inlineStr">
        <is>
          <t>CST-01-048</t>
        </is>
      </c>
      <c r="E255" s="12" t="inlineStr">
        <is>
          <t>Guideway and Civil - concrete structures - closeout</t>
        </is>
      </c>
      <c r="F255" s="12" t="inlineStr">
        <is>
          <t>ONE_TO_ONE</t>
        </is>
      </c>
      <c r="G255" s="12" t="inlineStr">
        <is>
          <t>APPROVED</t>
        </is>
      </c>
      <c r="H255" s="12" t="inlineStr">
        <is>
          <t>New</t>
        </is>
      </c>
      <c r="I255" s="12" t="inlineStr">
        <is>
          <t>Source assignment -- not individually reviewed</t>
        </is>
      </c>
      <c r="J255" s="12" t="inlineStr"/>
      <c r="K255" s="12" t="inlineStr">
        <is>
          <t>Source assignment</t>
        </is>
      </c>
      <c r="L255" s="12" t="inlineStr"/>
      <c r="M255" s="12" t="inlineStr">
        <is>
          <t>Initial</t>
        </is>
      </c>
      <c r="N255" s="12" t="inlineStr">
        <is>
          <t>Rev 0</t>
        </is>
      </c>
      <c r="O255" s="12" t="inlineStr">
        <is>
          <t>R1130-v1</t>
        </is>
      </c>
      <c r="P255" s="12" t="inlineStr"/>
      <c r="Q255" s="12" t="inlineStr"/>
      <c r="R255" s="12" t="inlineStr"/>
      <c r="S255" s="12" t="inlineStr"/>
      <c r="T255" s="12" t="inlineStr"/>
      <c r="U255" s="12" t="inlineStr"/>
      <c r="V255" s="12" t="inlineStr">
        <is>
          <t>Cost Account = CA-1048; WBS Code = 1.1.2</t>
        </is>
      </c>
      <c r="W255" s="12" t="inlineStr"/>
    </row>
    <row r="256" ht="49" customHeight="1">
      <c r="A256" s="12" t="inlineStr">
        <is>
          <t>1.1.2</t>
        </is>
      </c>
      <c r="B256" s="12" t="inlineStr">
        <is>
          <t>Guideway and Civil - Utility &amp; Roadworks</t>
        </is>
      </c>
      <c r="C256" s="12" t="inlineStr">
        <is>
          <t>Cost &amp; Forecast Control Accounts</t>
        </is>
      </c>
      <c r="D256" s="12" t="inlineStr">
        <is>
          <t>CST-01-050</t>
        </is>
      </c>
      <c r="E256" s="12" t="inlineStr">
        <is>
          <t>Guideway and Civil - temporary works - supply and install</t>
        </is>
      </c>
      <c r="F256" s="12" t="inlineStr">
        <is>
          <t>ONE_TO_ONE</t>
        </is>
      </c>
      <c r="G256" s="12" t="inlineStr">
        <is>
          <t>APPROVED</t>
        </is>
      </c>
      <c r="H256" s="12" t="inlineStr">
        <is>
          <t>New</t>
        </is>
      </c>
      <c r="I256" s="12" t="inlineStr">
        <is>
          <t>Source assignment -- not individually reviewed</t>
        </is>
      </c>
      <c r="J256" s="12" t="inlineStr"/>
      <c r="K256" s="12" t="inlineStr">
        <is>
          <t>Source assignment</t>
        </is>
      </c>
      <c r="L256" s="12" t="inlineStr"/>
      <c r="M256" s="12" t="inlineStr">
        <is>
          <t>Initial</t>
        </is>
      </c>
      <c r="N256" s="12" t="inlineStr">
        <is>
          <t>Rev 0</t>
        </is>
      </c>
      <c r="O256" s="12" t="inlineStr">
        <is>
          <t>R1132-v1</t>
        </is>
      </c>
      <c r="P256" s="12" t="inlineStr"/>
      <c r="Q256" s="12" t="inlineStr"/>
      <c r="R256" s="12" t="inlineStr"/>
      <c r="S256" s="12" t="inlineStr"/>
      <c r="T256" s="12" t="inlineStr"/>
      <c r="U256" s="12" t="inlineStr"/>
      <c r="V256" s="12" t="inlineStr">
        <is>
          <t>Cost Account = CA-1050; WBS Code = 1.1.2</t>
        </is>
      </c>
      <c r="W256" s="12" t="inlineStr"/>
    </row>
    <row r="257" ht="49" customHeight="1">
      <c r="A257" s="12" t="inlineStr">
        <is>
          <t>1.1.2</t>
        </is>
      </c>
      <c r="B257" s="12" t="inlineStr">
        <is>
          <t>Guideway and Civil - Utility &amp; Roadworks</t>
        </is>
      </c>
      <c r="C257" s="12" t="inlineStr">
        <is>
          <t>Cost &amp; Forecast Control Accounts</t>
        </is>
      </c>
      <c r="D257" s="12" t="inlineStr">
        <is>
          <t>CST-01-052</t>
        </is>
      </c>
      <c r="E257" s="12" t="inlineStr">
        <is>
          <t>Guideway and Civil - roadworks - allowance</t>
        </is>
      </c>
      <c r="F257" s="12" t="inlineStr">
        <is>
          <t>ONE_TO_ONE</t>
        </is>
      </c>
      <c r="G257" s="12" t="inlineStr">
        <is>
          <t>APPROVED</t>
        </is>
      </c>
      <c r="H257" s="12" t="inlineStr">
        <is>
          <t>New</t>
        </is>
      </c>
      <c r="I257" s="12" t="inlineStr">
        <is>
          <t>Source assignment -- not individually reviewed</t>
        </is>
      </c>
      <c r="J257" s="12" t="inlineStr"/>
      <c r="K257" s="12" t="inlineStr">
        <is>
          <t>Source assignment</t>
        </is>
      </c>
      <c r="L257" s="12" t="inlineStr"/>
      <c r="M257" s="12" t="inlineStr">
        <is>
          <t>Initial</t>
        </is>
      </c>
      <c r="N257" s="12" t="inlineStr">
        <is>
          <t>Rev 0</t>
        </is>
      </c>
      <c r="O257" s="12" t="inlineStr">
        <is>
          <t>R1134-v1</t>
        </is>
      </c>
      <c r="P257" s="12" t="inlineStr"/>
      <c r="Q257" s="12" t="inlineStr"/>
      <c r="R257" s="12" t="inlineStr"/>
      <c r="S257" s="12" t="inlineStr"/>
      <c r="T257" s="12" t="inlineStr"/>
      <c r="U257" s="12" t="inlineStr"/>
      <c r="V257" s="12" t="inlineStr">
        <is>
          <t>Cost Account = CA-1052; WBS Code = 1.1.2</t>
        </is>
      </c>
      <c r="W257" s="12" t="inlineStr"/>
    </row>
    <row r="258" ht="49" customHeight="1">
      <c r="A258" s="12" t="inlineStr">
        <is>
          <t>1.1.2</t>
        </is>
      </c>
      <c r="B258" s="12" t="inlineStr">
        <is>
          <t>Guideway and Civil - Utility &amp; Roadworks</t>
        </is>
      </c>
      <c r="C258" s="12" t="inlineStr">
        <is>
          <t>Cost &amp; Forecast Control Accounts</t>
        </is>
      </c>
      <c r="D258" s="12" t="inlineStr">
        <is>
          <t>CST-01-054</t>
        </is>
      </c>
      <c r="E258" s="12" t="inlineStr">
        <is>
          <t>Guideway and Civil - concrete structures - field package</t>
        </is>
      </c>
      <c r="F258" s="12" t="inlineStr">
        <is>
          <t>ONE_TO_ONE</t>
        </is>
      </c>
      <c r="G258" s="12" t="inlineStr">
        <is>
          <t>APPROVED</t>
        </is>
      </c>
      <c r="H258" s="12" t="inlineStr">
        <is>
          <t>New</t>
        </is>
      </c>
      <c r="I258" s="12" t="inlineStr">
        <is>
          <t>Source assignment -- not individually reviewed</t>
        </is>
      </c>
      <c r="J258" s="12" t="inlineStr"/>
      <c r="K258" s="12" t="inlineStr">
        <is>
          <t>Source assignment</t>
        </is>
      </c>
      <c r="L258" s="12" t="inlineStr"/>
      <c r="M258" s="12" t="inlineStr">
        <is>
          <t>Initial</t>
        </is>
      </c>
      <c r="N258" s="12" t="inlineStr">
        <is>
          <t>Rev 0</t>
        </is>
      </c>
      <c r="O258" s="12" t="inlineStr">
        <is>
          <t>R1136-v1</t>
        </is>
      </c>
      <c r="P258" s="12" t="inlineStr"/>
      <c r="Q258" s="12" t="inlineStr"/>
      <c r="R258" s="12" t="inlineStr"/>
      <c r="S258" s="12" t="inlineStr"/>
      <c r="T258" s="12" t="inlineStr"/>
      <c r="U258" s="12" t="inlineStr"/>
      <c r="V258" s="12" t="inlineStr">
        <is>
          <t>Cost Account = CA-1054; WBS Code = 1.1.2</t>
        </is>
      </c>
      <c r="W258" s="12" t="inlineStr"/>
    </row>
    <row r="259" ht="49" customHeight="1">
      <c r="A259" s="12" t="inlineStr">
        <is>
          <t>1.1.2</t>
        </is>
      </c>
      <c r="B259" s="12" t="inlineStr">
        <is>
          <t>Guideway and Civil - Utility &amp; Roadworks</t>
        </is>
      </c>
      <c r="C259" s="12" t="inlineStr">
        <is>
          <t>Cost &amp; Forecast Control Accounts</t>
        </is>
      </c>
      <c r="D259" s="12" t="inlineStr">
        <is>
          <t>CST-01-056</t>
        </is>
      </c>
      <c r="E259" s="12" t="inlineStr">
        <is>
          <t>Guideway and Civil - temporary works - professional services</t>
        </is>
      </c>
      <c r="F259" s="12" t="inlineStr">
        <is>
          <t>ONE_TO_ONE</t>
        </is>
      </c>
      <c r="G259" s="12" t="inlineStr">
        <is>
          <t>APPROVED</t>
        </is>
      </c>
      <c r="H259" s="12" t="inlineStr">
        <is>
          <t>New</t>
        </is>
      </c>
      <c r="I259" s="12" t="inlineStr">
        <is>
          <t>Source assignment -- not individually reviewed</t>
        </is>
      </c>
      <c r="J259" s="12" t="inlineStr"/>
      <c r="K259" s="12" t="inlineStr">
        <is>
          <t>Source assignment</t>
        </is>
      </c>
      <c r="L259" s="12" t="inlineStr"/>
      <c r="M259" s="12" t="inlineStr">
        <is>
          <t>Initial</t>
        </is>
      </c>
      <c r="N259" s="12" t="inlineStr">
        <is>
          <t>Rev 0</t>
        </is>
      </c>
      <c r="O259" s="12" t="inlineStr">
        <is>
          <t>R1138-v1</t>
        </is>
      </c>
      <c r="P259" s="12" t="inlineStr"/>
      <c r="Q259" s="12" t="inlineStr"/>
      <c r="R259" s="12" t="inlineStr"/>
      <c r="S259" s="12" t="inlineStr"/>
      <c r="T259" s="12" t="inlineStr"/>
      <c r="U259" s="12" t="inlineStr"/>
      <c r="V259" s="12" t="inlineStr">
        <is>
          <t>Cost Account = CA-1056; WBS Code = 1.1.2</t>
        </is>
      </c>
      <c r="W259" s="12" t="inlineStr"/>
    </row>
    <row r="260" ht="49" customHeight="1">
      <c r="A260" s="12" t="inlineStr">
        <is>
          <t>1.1.2</t>
        </is>
      </c>
      <c r="B260" s="12" t="inlineStr">
        <is>
          <t>Guideway and Civil - Utility &amp; Roadworks</t>
        </is>
      </c>
      <c r="C260" s="12" t="inlineStr">
        <is>
          <t>Cost &amp; Forecast Control Accounts</t>
        </is>
      </c>
      <c r="D260" s="12" t="inlineStr">
        <is>
          <t>CST-01-058</t>
        </is>
      </c>
      <c r="E260" s="12" t="inlineStr">
        <is>
          <t>Guideway and Civil - roadworks - closeout</t>
        </is>
      </c>
      <c r="F260" s="12" t="inlineStr">
        <is>
          <t>ONE_TO_ONE</t>
        </is>
      </c>
      <c r="G260" s="12" t="inlineStr">
        <is>
          <t>APPROVED</t>
        </is>
      </c>
      <c r="H260" s="12" t="inlineStr">
        <is>
          <t>New</t>
        </is>
      </c>
      <c r="I260" s="12" t="inlineStr">
        <is>
          <t>Source assignment -- not individually reviewed</t>
        </is>
      </c>
      <c r="J260" s="12" t="inlineStr"/>
      <c r="K260" s="12" t="inlineStr">
        <is>
          <t>Source assignment</t>
        </is>
      </c>
      <c r="L260" s="12" t="inlineStr"/>
      <c r="M260" s="12" t="inlineStr">
        <is>
          <t>Initial</t>
        </is>
      </c>
      <c r="N260" s="12" t="inlineStr">
        <is>
          <t>Rev 0</t>
        </is>
      </c>
      <c r="O260" s="12" t="inlineStr">
        <is>
          <t>R1140-v1</t>
        </is>
      </c>
      <c r="P260" s="12" t="inlineStr"/>
      <c r="Q260" s="12" t="inlineStr"/>
      <c r="R260" s="12" t="inlineStr"/>
      <c r="S260" s="12" t="inlineStr"/>
      <c r="T260" s="12" t="inlineStr"/>
      <c r="U260" s="12" t="inlineStr"/>
      <c r="V260" s="12" t="inlineStr">
        <is>
          <t>Cost Account = CA-1058; WBS Code = 1.1.2</t>
        </is>
      </c>
      <c r="W260" s="12" t="inlineStr"/>
    </row>
    <row r="261" ht="49" customHeight="1">
      <c r="A261" s="12" t="inlineStr">
        <is>
          <t>1.1.2</t>
        </is>
      </c>
      <c r="B261" s="12" t="inlineStr">
        <is>
          <t>Guideway and Civil - Utility &amp; Roadworks</t>
        </is>
      </c>
      <c r="C261" s="12" t="inlineStr">
        <is>
          <t>Cost &amp; Forecast Control Accounts</t>
        </is>
      </c>
      <c r="D261" s="12" t="inlineStr">
        <is>
          <t>CST-01-060</t>
        </is>
      </c>
      <c r="E261" s="12" t="inlineStr">
        <is>
          <t>Guideway and Civil - concrete structures - supply and install</t>
        </is>
      </c>
      <c r="F261" s="12" t="inlineStr">
        <is>
          <t>ONE_TO_ONE</t>
        </is>
      </c>
      <c r="G261" s="12" t="inlineStr">
        <is>
          <t>APPROVED</t>
        </is>
      </c>
      <c r="H261" s="12" t="inlineStr">
        <is>
          <t>New</t>
        </is>
      </c>
      <c r="I261" s="12" t="inlineStr">
        <is>
          <t>Source assignment -- not individually reviewed</t>
        </is>
      </c>
      <c r="J261" s="12" t="inlineStr"/>
      <c r="K261" s="12" t="inlineStr">
        <is>
          <t>Source assignment</t>
        </is>
      </c>
      <c r="L261" s="12" t="inlineStr"/>
      <c r="M261" s="12" t="inlineStr">
        <is>
          <t>Initial</t>
        </is>
      </c>
      <c r="N261" s="12" t="inlineStr">
        <is>
          <t>Rev 0</t>
        </is>
      </c>
      <c r="O261" s="12" t="inlineStr">
        <is>
          <t>R1142-v1</t>
        </is>
      </c>
      <c r="P261" s="12" t="inlineStr"/>
      <c r="Q261" s="12" t="inlineStr"/>
      <c r="R261" s="12" t="inlineStr"/>
      <c r="S261" s="12" t="inlineStr"/>
      <c r="T261" s="12" t="inlineStr"/>
      <c r="U261" s="12" t="inlineStr"/>
      <c r="V261" s="12" t="inlineStr">
        <is>
          <t>Cost Account = CA-1060; WBS Code = 1.1.2</t>
        </is>
      </c>
      <c r="W261" s="12" t="inlineStr"/>
    </row>
    <row r="262" ht="49" customHeight="1">
      <c r="A262" s="12" t="inlineStr">
        <is>
          <t>1.1.2</t>
        </is>
      </c>
      <c r="B262" s="12" t="inlineStr">
        <is>
          <t>Guideway and Civil - Utility &amp; Roadworks</t>
        </is>
      </c>
      <c r="C262" s="12" t="inlineStr">
        <is>
          <t>Cost &amp; Forecast Control Accounts</t>
        </is>
      </c>
      <c r="D262" s="12" t="inlineStr">
        <is>
          <t>CST-01-062</t>
        </is>
      </c>
      <c r="E262" s="12" t="inlineStr">
        <is>
          <t>Guideway and Civil - temporary works - allowance</t>
        </is>
      </c>
      <c r="F262" s="12" t="inlineStr">
        <is>
          <t>ONE_TO_ONE</t>
        </is>
      </c>
      <c r="G262" s="12" t="inlineStr">
        <is>
          <t>APPROVED</t>
        </is>
      </c>
      <c r="H262" s="12" t="inlineStr">
        <is>
          <t>New</t>
        </is>
      </c>
      <c r="I262" s="12" t="inlineStr">
        <is>
          <t>Source assignment -- not individually reviewed</t>
        </is>
      </c>
      <c r="J262" s="12" t="inlineStr"/>
      <c r="K262" s="12" t="inlineStr">
        <is>
          <t>Source assignment</t>
        </is>
      </c>
      <c r="L262" s="12" t="inlineStr"/>
      <c r="M262" s="12" t="inlineStr">
        <is>
          <t>Initial</t>
        </is>
      </c>
      <c r="N262" s="12" t="inlineStr">
        <is>
          <t>Rev 0</t>
        </is>
      </c>
      <c r="O262" s="12" t="inlineStr">
        <is>
          <t>R1144-v1</t>
        </is>
      </c>
      <c r="P262" s="12" t="inlineStr"/>
      <c r="Q262" s="12" t="inlineStr"/>
      <c r="R262" s="12" t="inlineStr"/>
      <c r="S262" s="12" t="inlineStr"/>
      <c r="T262" s="12" t="inlineStr"/>
      <c r="U262" s="12" t="inlineStr"/>
      <c r="V262" s="12" t="inlineStr">
        <is>
          <t>Cost Account = CA-1062; WBS Code = 1.1.2</t>
        </is>
      </c>
      <c r="W262" s="12" t="inlineStr"/>
    </row>
    <row r="263" ht="49" customHeight="1">
      <c r="A263" s="12" t="inlineStr">
        <is>
          <t>1.1.2</t>
        </is>
      </c>
      <c r="B263" s="12" t="inlineStr">
        <is>
          <t>Guideway and Civil - Utility &amp; Roadworks</t>
        </is>
      </c>
      <c r="C263" s="12" t="inlineStr">
        <is>
          <t>Cost &amp; Forecast Control Accounts</t>
        </is>
      </c>
      <c r="D263" s="12" t="inlineStr">
        <is>
          <t>CST-01-064</t>
        </is>
      </c>
      <c r="E263" s="12" t="inlineStr">
        <is>
          <t>Guideway and Civil - roadworks - field package</t>
        </is>
      </c>
      <c r="F263" s="12" t="inlineStr">
        <is>
          <t>ONE_TO_ONE</t>
        </is>
      </c>
      <c r="G263" s="12" t="inlineStr">
        <is>
          <t>APPROVED</t>
        </is>
      </c>
      <c r="H263" s="12" t="inlineStr">
        <is>
          <t>New</t>
        </is>
      </c>
      <c r="I263" s="12" t="inlineStr">
        <is>
          <t>Source assignment -- not individually reviewed</t>
        </is>
      </c>
      <c r="J263" s="12" t="inlineStr"/>
      <c r="K263" s="12" t="inlineStr">
        <is>
          <t>Source assignment</t>
        </is>
      </c>
      <c r="L263" s="12" t="inlineStr"/>
      <c r="M263" s="12" t="inlineStr">
        <is>
          <t>Initial</t>
        </is>
      </c>
      <c r="N263" s="12" t="inlineStr">
        <is>
          <t>Rev 0</t>
        </is>
      </c>
      <c r="O263" s="12" t="inlineStr">
        <is>
          <t>R1146-v1</t>
        </is>
      </c>
      <c r="P263" s="12" t="inlineStr"/>
      <c r="Q263" s="12" t="inlineStr"/>
      <c r="R263" s="12" t="inlineStr"/>
      <c r="S263" s="12" t="inlineStr"/>
      <c r="T263" s="12" t="inlineStr"/>
      <c r="U263" s="12" t="inlineStr"/>
      <c r="V263" s="12" t="inlineStr">
        <is>
          <t>Cost Account = CA-1064; WBS Code = 1.1.2</t>
        </is>
      </c>
      <c r="W263" s="12" t="inlineStr"/>
    </row>
    <row r="264" ht="49" customHeight="1">
      <c r="A264" s="12" t="inlineStr">
        <is>
          <t>1.1.2</t>
        </is>
      </c>
      <c r="B264" s="12" t="inlineStr">
        <is>
          <t>Guideway and Civil - Utility &amp; Roadworks</t>
        </is>
      </c>
      <c r="C264" s="12" t="inlineStr">
        <is>
          <t>Cost &amp; Forecast Control Accounts</t>
        </is>
      </c>
      <c r="D264" s="12" t="inlineStr">
        <is>
          <t>CST-01-066</t>
        </is>
      </c>
      <c r="E264" s="12" t="inlineStr">
        <is>
          <t>Guideway and Civil - concrete structures - professional services</t>
        </is>
      </c>
      <c r="F264" s="12" t="inlineStr">
        <is>
          <t>ONE_TO_ONE</t>
        </is>
      </c>
      <c r="G264" s="12" t="inlineStr">
        <is>
          <t>APPROVED</t>
        </is>
      </c>
      <c r="H264" s="12" t="inlineStr">
        <is>
          <t>New</t>
        </is>
      </c>
      <c r="I264" s="12" t="inlineStr">
        <is>
          <t>Source assignment -- not individually reviewed</t>
        </is>
      </c>
      <c r="J264" s="12" t="inlineStr"/>
      <c r="K264" s="12" t="inlineStr">
        <is>
          <t>Source assignment</t>
        </is>
      </c>
      <c r="L264" s="12" t="inlineStr"/>
      <c r="M264" s="12" t="inlineStr">
        <is>
          <t>Initial</t>
        </is>
      </c>
      <c r="N264" s="12" t="inlineStr">
        <is>
          <t>Rev 0</t>
        </is>
      </c>
      <c r="O264" s="12" t="inlineStr">
        <is>
          <t>R1148-v1</t>
        </is>
      </c>
      <c r="P264" s="12" t="inlineStr"/>
      <c r="Q264" s="12" t="inlineStr"/>
      <c r="R264" s="12" t="inlineStr"/>
      <c r="S264" s="12" t="inlineStr"/>
      <c r="T264" s="12" t="inlineStr"/>
      <c r="U264" s="12" t="inlineStr"/>
      <c r="V264" s="12" t="inlineStr">
        <is>
          <t>Cost Account = CA-1066; WBS Code = 1.1.2</t>
        </is>
      </c>
      <c r="W264" s="12" t="inlineStr"/>
    </row>
    <row r="265" ht="49" customHeight="1">
      <c r="A265" s="12" t="inlineStr">
        <is>
          <t>1.1.2</t>
        </is>
      </c>
      <c r="B265" s="12" t="inlineStr">
        <is>
          <t>Guideway and Civil - Utility &amp; Roadworks</t>
        </is>
      </c>
      <c r="C265" s="12" t="inlineStr">
        <is>
          <t>Cost &amp; Forecast Control Accounts</t>
        </is>
      </c>
      <c r="D265" s="12" t="inlineStr">
        <is>
          <t>CST-01-068</t>
        </is>
      </c>
      <c r="E265" s="12" t="inlineStr">
        <is>
          <t>Guideway and Civil - temporary works - closeout</t>
        </is>
      </c>
      <c r="F265" s="12" t="inlineStr">
        <is>
          <t>ONE_TO_ONE</t>
        </is>
      </c>
      <c r="G265" s="12" t="inlineStr">
        <is>
          <t>APPROVED</t>
        </is>
      </c>
      <c r="H265" s="12" t="inlineStr">
        <is>
          <t>New</t>
        </is>
      </c>
      <c r="I265" s="12" t="inlineStr">
        <is>
          <t>Source assignment -- not individually reviewed</t>
        </is>
      </c>
      <c r="J265" s="12" t="inlineStr"/>
      <c r="K265" s="12" t="inlineStr">
        <is>
          <t>Source assignment</t>
        </is>
      </c>
      <c r="L265" s="12" t="inlineStr"/>
      <c r="M265" s="12" t="inlineStr">
        <is>
          <t>Initial</t>
        </is>
      </c>
      <c r="N265" s="12" t="inlineStr">
        <is>
          <t>Rev 0</t>
        </is>
      </c>
      <c r="O265" s="12" t="inlineStr">
        <is>
          <t>R1150-v1</t>
        </is>
      </c>
      <c r="P265" s="12" t="inlineStr"/>
      <c r="Q265" s="12" t="inlineStr"/>
      <c r="R265" s="12" t="inlineStr"/>
      <c r="S265" s="12" t="inlineStr"/>
      <c r="T265" s="12" t="inlineStr"/>
      <c r="U265" s="12" t="inlineStr"/>
      <c r="V265" s="12" t="inlineStr">
        <is>
          <t>Cost Account = CA-1068; WBS Code = 1.1.2</t>
        </is>
      </c>
      <c r="W265" s="12" t="inlineStr"/>
    </row>
    <row r="266" ht="49" customHeight="1">
      <c r="A266" s="12" t="inlineStr">
        <is>
          <t>1.1.2</t>
        </is>
      </c>
      <c r="B266" s="12" t="inlineStr">
        <is>
          <t>Guideway and Civil - Utility &amp; Roadworks</t>
        </is>
      </c>
      <c r="C266" s="12" t="inlineStr">
        <is>
          <t>Cost &amp; Forecast Control Accounts</t>
        </is>
      </c>
      <c r="D266" s="12" t="inlineStr">
        <is>
          <t>CST-01-070</t>
        </is>
      </c>
      <c r="E266" s="12" t="inlineStr">
        <is>
          <t>Guideway and Civil - roadworks - supply and install</t>
        </is>
      </c>
      <c r="F266" s="12" t="inlineStr">
        <is>
          <t>ONE_TO_ONE</t>
        </is>
      </c>
      <c r="G266" s="12" t="inlineStr">
        <is>
          <t>APPROVED</t>
        </is>
      </c>
      <c r="H266" s="12" t="inlineStr">
        <is>
          <t>New</t>
        </is>
      </c>
      <c r="I266" s="12" t="inlineStr">
        <is>
          <t>Source assignment -- not individually reviewed</t>
        </is>
      </c>
      <c r="J266" s="12" t="inlineStr"/>
      <c r="K266" s="12" t="inlineStr">
        <is>
          <t>Source assignment</t>
        </is>
      </c>
      <c r="L266" s="12" t="inlineStr"/>
      <c r="M266" s="12" t="inlineStr">
        <is>
          <t>Initial</t>
        </is>
      </c>
      <c r="N266" s="12" t="inlineStr">
        <is>
          <t>Rev 0</t>
        </is>
      </c>
      <c r="O266" s="12" t="inlineStr">
        <is>
          <t>R1152-v1</t>
        </is>
      </c>
      <c r="P266" s="12" t="inlineStr"/>
      <c r="Q266" s="12" t="inlineStr"/>
      <c r="R266" s="12" t="inlineStr"/>
      <c r="S266" s="12" t="inlineStr"/>
      <c r="T266" s="12" t="inlineStr"/>
      <c r="U266" s="12" t="inlineStr"/>
      <c r="V266" s="12" t="inlineStr">
        <is>
          <t>Cost Account = CA-1070; WBS Code = 1.1.2</t>
        </is>
      </c>
      <c r="W266" s="12" t="inlineStr"/>
    </row>
    <row r="267" ht="49" customHeight="1">
      <c r="A267" s="12" t="inlineStr">
        <is>
          <t>1.1.2</t>
        </is>
      </c>
      <c r="B267" s="12" t="inlineStr">
        <is>
          <t>Guideway and Civil - Utility &amp; Roadworks</t>
        </is>
      </c>
      <c r="C267" s="12" t="inlineStr">
        <is>
          <t>Cost &amp; Forecast Control Accounts</t>
        </is>
      </c>
      <c r="D267" s="12" t="inlineStr">
        <is>
          <t>CST-01-072</t>
        </is>
      </c>
      <c r="E267" s="12" t="inlineStr">
        <is>
          <t>Guideway and Civil - concrete structures - allowance</t>
        </is>
      </c>
      <c r="F267" s="12" t="inlineStr">
        <is>
          <t>ONE_TO_ONE</t>
        </is>
      </c>
      <c r="G267" s="12" t="inlineStr">
        <is>
          <t>APPROVED</t>
        </is>
      </c>
      <c r="H267" s="12" t="inlineStr">
        <is>
          <t>New</t>
        </is>
      </c>
      <c r="I267" s="12" t="inlineStr">
        <is>
          <t>Source assignment -- not individually reviewed</t>
        </is>
      </c>
      <c r="J267" s="12" t="inlineStr"/>
      <c r="K267" s="12" t="inlineStr">
        <is>
          <t>Source assignment</t>
        </is>
      </c>
      <c r="L267" s="12" t="inlineStr"/>
      <c r="M267" s="12" t="inlineStr">
        <is>
          <t>Initial</t>
        </is>
      </c>
      <c r="N267" s="12" t="inlineStr">
        <is>
          <t>Rev 0</t>
        </is>
      </c>
      <c r="O267" s="12" t="inlineStr">
        <is>
          <t>R1154-v1</t>
        </is>
      </c>
      <c r="P267" s="12" t="inlineStr"/>
      <c r="Q267" s="12" t="inlineStr"/>
      <c r="R267" s="12" t="inlineStr"/>
      <c r="S267" s="12" t="inlineStr"/>
      <c r="T267" s="12" t="inlineStr"/>
      <c r="U267" s="12" t="inlineStr"/>
      <c r="V267" s="12" t="inlineStr">
        <is>
          <t>Cost Account = CA-1072; WBS Code = 1.1.2</t>
        </is>
      </c>
      <c r="W267" s="12" t="inlineStr"/>
    </row>
    <row r="268" ht="49" customHeight="1">
      <c r="A268" s="12" t="inlineStr">
        <is>
          <t>1.1.2</t>
        </is>
      </c>
      <c r="B268" s="12" t="inlineStr">
        <is>
          <t>Guideway and Civil - Utility &amp; Roadworks</t>
        </is>
      </c>
      <c r="C268" s="12" t="inlineStr">
        <is>
          <t>Cost &amp; Forecast Control Accounts</t>
        </is>
      </c>
      <c r="D268" s="12" t="inlineStr">
        <is>
          <t>CST-01-074</t>
        </is>
      </c>
      <c r="E268" s="12" t="inlineStr">
        <is>
          <t>Guideway and Civil - temporary works - field package</t>
        </is>
      </c>
      <c r="F268" s="12" t="inlineStr">
        <is>
          <t>ONE_TO_ONE</t>
        </is>
      </c>
      <c r="G268" s="12" t="inlineStr">
        <is>
          <t>APPROVED</t>
        </is>
      </c>
      <c r="H268" s="12" t="inlineStr">
        <is>
          <t>New</t>
        </is>
      </c>
      <c r="I268" s="12" t="inlineStr">
        <is>
          <t>Source assignment -- not individually reviewed</t>
        </is>
      </c>
      <c r="J268" s="12" t="inlineStr"/>
      <c r="K268" s="12" t="inlineStr">
        <is>
          <t>Source assignment</t>
        </is>
      </c>
      <c r="L268" s="12" t="inlineStr"/>
      <c r="M268" s="12" t="inlineStr">
        <is>
          <t>Initial</t>
        </is>
      </c>
      <c r="N268" s="12" t="inlineStr">
        <is>
          <t>Rev 0</t>
        </is>
      </c>
      <c r="O268" s="12" t="inlineStr">
        <is>
          <t>R1156-v1</t>
        </is>
      </c>
      <c r="P268" s="12" t="inlineStr"/>
      <c r="Q268" s="12" t="inlineStr"/>
      <c r="R268" s="12" t="inlineStr"/>
      <c r="S268" s="12" t="inlineStr"/>
      <c r="T268" s="12" t="inlineStr"/>
      <c r="U268" s="12" t="inlineStr"/>
      <c r="V268" s="12" t="inlineStr">
        <is>
          <t>Cost Account = CA-1074; WBS Code = 1.1.2</t>
        </is>
      </c>
      <c r="W268" s="12" t="inlineStr"/>
    </row>
    <row r="269" ht="49" customHeight="1">
      <c r="A269" s="12" t="inlineStr">
        <is>
          <t>1.1.2</t>
        </is>
      </c>
      <c r="B269" s="12" t="inlineStr">
        <is>
          <t>Guideway and Civil - Utility &amp; Roadworks</t>
        </is>
      </c>
      <c r="C269" s="12" t="inlineStr">
        <is>
          <t>Cost &amp; Forecast Control Accounts</t>
        </is>
      </c>
      <c r="D269" s="12" t="inlineStr">
        <is>
          <t>CST-01-076</t>
        </is>
      </c>
      <c r="E269" s="12" t="inlineStr">
        <is>
          <t>Guideway and Civil - roadworks - professional services</t>
        </is>
      </c>
      <c r="F269" s="12" t="inlineStr">
        <is>
          <t>ONE_TO_ONE</t>
        </is>
      </c>
      <c r="G269" s="12" t="inlineStr">
        <is>
          <t>APPROVED</t>
        </is>
      </c>
      <c r="H269" s="12" t="inlineStr">
        <is>
          <t>New</t>
        </is>
      </c>
      <c r="I269" s="12" t="inlineStr">
        <is>
          <t>Source assignment -- not individually reviewed</t>
        </is>
      </c>
      <c r="J269" s="12" t="inlineStr"/>
      <c r="K269" s="12" t="inlineStr">
        <is>
          <t>Source assignment</t>
        </is>
      </c>
      <c r="L269" s="12" t="inlineStr"/>
      <c r="M269" s="12" t="inlineStr">
        <is>
          <t>Initial</t>
        </is>
      </c>
      <c r="N269" s="12" t="inlineStr">
        <is>
          <t>Rev 0</t>
        </is>
      </c>
      <c r="O269" s="12" t="inlineStr">
        <is>
          <t>R1158-v1</t>
        </is>
      </c>
      <c r="P269" s="12" t="inlineStr"/>
      <c r="Q269" s="12" t="inlineStr"/>
      <c r="R269" s="12" t="inlineStr"/>
      <c r="S269" s="12" t="inlineStr"/>
      <c r="T269" s="12" t="inlineStr"/>
      <c r="U269" s="12" t="inlineStr"/>
      <c r="V269" s="12" t="inlineStr">
        <is>
          <t>Cost Account = CA-1076; WBS Code = 1.1.2</t>
        </is>
      </c>
      <c r="W269" s="12" t="inlineStr"/>
    </row>
    <row r="270" ht="49" customHeight="1">
      <c r="A270" s="12" t="inlineStr">
        <is>
          <t>1.1.2</t>
        </is>
      </c>
      <c r="B270" s="12" t="inlineStr">
        <is>
          <t>Guideway and Civil - Utility &amp; Roadworks</t>
        </is>
      </c>
      <c r="C270" s="12" t="inlineStr">
        <is>
          <t>Cost &amp; Forecast Control Accounts</t>
        </is>
      </c>
      <c r="D270" s="12" t="inlineStr">
        <is>
          <t>CST-01-078</t>
        </is>
      </c>
      <c r="E270" s="12" t="inlineStr">
        <is>
          <t>Guideway and Civil - concrete structures - closeout</t>
        </is>
      </c>
      <c r="F270" s="12" t="inlineStr">
        <is>
          <t>ONE_TO_ONE</t>
        </is>
      </c>
      <c r="G270" s="12" t="inlineStr">
        <is>
          <t>APPROVED</t>
        </is>
      </c>
      <c r="H270" s="12" t="inlineStr">
        <is>
          <t>New</t>
        </is>
      </c>
      <c r="I270" s="12" t="inlineStr">
        <is>
          <t>Source assignment -- not individually reviewed</t>
        </is>
      </c>
      <c r="J270" s="12" t="inlineStr"/>
      <c r="K270" s="12" t="inlineStr">
        <is>
          <t>Source assignment</t>
        </is>
      </c>
      <c r="L270" s="12" t="inlineStr"/>
      <c r="M270" s="12" t="inlineStr">
        <is>
          <t>Initial</t>
        </is>
      </c>
      <c r="N270" s="12" t="inlineStr">
        <is>
          <t>Rev 0</t>
        </is>
      </c>
      <c r="O270" s="12" t="inlineStr">
        <is>
          <t>R1160-v1</t>
        </is>
      </c>
      <c r="P270" s="12" t="inlineStr"/>
      <c r="Q270" s="12" t="inlineStr"/>
      <c r="R270" s="12" t="inlineStr"/>
      <c r="S270" s="12" t="inlineStr"/>
      <c r="T270" s="12" t="inlineStr"/>
      <c r="U270" s="12" t="inlineStr"/>
      <c r="V270" s="12" t="inlineStr">
        <is>
          <t>Cost Account = CA-1078; WBS Code = 1.1.2</t>
        </is>
      </c>
      <c r="W270" s="12" t="inlineStr"/>
    </row>
    <row r="271" ht="49" customHeight="1">
      <c r="A271" s="12" t="inlineStr">
        <is>
          <t>1.1.2</t>
        </is>
      </c>
      <c r="B271" s="12" t="inlineStr">
        <is>
          <t>Guideway and Civil - Utility &amp; Roadworks</t>
        </is>
      </c>
      <c r="C271" s="12" t="inlineStr">
        <is>
          <t>Cost &amp; Forecast Control Accounts</t>
        </is>
      </c>
      <c r="D271" s="12" t="inlineStr">
        <is>
          <t>CST-01-080</t>
        </is>
      </c>
      <c r="E271" s="12" t="inlineStr">
        <is>
          <t>Guideway and Civil - temporary works - supply and install</t>
        </is>
      </c>
      <c r="F271" s="12" t="inlineStr">
        <is>
          <t>ONE_TO_ONE</t>
        </is>
      </c>
      <c r="G271" s="12" t="inlineStr">
        <is>
          <t>APPROVED</t>
        </is>
      </c>
      <c r="H271" s="12" t="inlineStr">
        <is>
          <t>New</t>
        </is>
      </c>
      <c r="I271" s="12" t="inlineStr">
        <is>
          <t>Source assignment -- not individually reviewed</t>
        </is>
      </c>
      <c r="J271" s="12" t="inlineStr"/>
      <c r="K271" s="12" t="inlineStr">
        <is>
          <t>Source assignment</t>
        </is>
      </c>
      <c r="L271" s="12" t="inlineStr"/>
      <c r="M271" s="12" t="inlineStr">
        <is>
          <t>Initial</t>
        </is>
      </c>
      <c r="N271" s="12" t="inlineStr">
        <is>
          <t>Rev 0</t>
        </is>
      </c>
      <c r="O271" s="12" t="inlineStr">
        <is>
          <t>R1162-v1</t>
        </is>
      </c>
      <c r="P271" s="12" t="inlineStr"/>
      <c r="Q271" s="12" t="inlineStr"/>
      <c r="R271" s="12" t="inlineStr"/>
      <c r="S271" s="12" t="inlineStr"/>
      <c r="T271" s="12" t="inlineStr"/>
      <c r="U271" s="12" t="inlineStr"/>
      <c r="V271" s="12" t="inlineStr">
        <is>
          <t>Cost Account = CA-1080; WBS Code = 1.1.2</t>
        </is>
      </c>
      <c r="W271" s="12" t="inlineStr"/>
    </row>
    <row r="272" ht="79" customHeight="1">
      <c r="A272" s="12" t="inlineStr">
        <is>
          <t>1.2</t>
        </is>
      </c>
      <c r="B272" s="12" t="inlineStr">
        <is>
          <t>Stations</t>
        </is>
      </c>
      <c r="C272" s="12" t="inlineStr">
        <is>
          <t>Commercial Package Register</t>
        </is>
      </c>
      <c r="D272" s="12" t="inlineStr">
        <is>
          <t>PKG-001</t>
        </is>
      </c>
      <c r="E272" s="12" t="inlineStr">
        <is>
          <t>Guideway Civil Works</t>
        </is>
      </c>
      <c r="F272" s="12" t="inlineStr">
        <is>
          <t>ONE_TO_MANY</t>
        </is>
      </c>
      <c r="G272" s="12" t="inlineStr">
        <is>
          <t>APPROVED</t>
        </is>
      </c>
      <c r="H272" s="12" t="inlineStr">
        <is>
          <t>New</t>
        </is>
      </c>
      <c r="I272" s="12" t="inlineStr">
        <is>
          <t>Professional decision</t>
        </is>
      </c>
      <c r="J272" s="12" t="inlineStr">
        <is>
          <t>Maya Chen, Owner Project Controls</t>
        </is>
      </c>
      <c r="K272" s="12" t="inlineStr">
        <is>
          <t>Professional</t>
        </is>
      </c>
      <c r="L272" s="12" t="inlineStr">
        <is>
          <t>Split -- basis to be confirmed</t>
        </is>
      </c>
      <c r="M272" s="12" t="inlineStr">
        <is>
          <t>Initial</t>
        </is>
      </c>
      <c r="N272" s="12" t="inlineStr">
        <is>
          <t>Rev 0</t>
        </is>
      </c>
      <c r="O272" s="12" t="inlineStr">
        <is>
          <t>R1563-v2</t>
        </is>
      </c>
      <c r="P272" s="12" t="inlineStr"/>
      <c r="Q272" s="12" t="inlineStr"/>
      <c r="R272" s="12" t="inlineStr"/>
      <c r="S272" s="12" t="inlineStr"/>
      <c r="T272" s="12" t="inlineStr">
        <is>
          <t>Individual</t>
        </is>
      </c>
      <c r="U272" s="12" t="inlineStr"/>
      <c r="V272" s="12" t="inlineStr">
        <is>
          <t>Package Code = PK-101; WBS Code = 1.1;1.2</t>
        </is>
      </c>
      <c r="W272" s="12" t="inlineStr">
        <is>
          <t>Source states 'WBS Code' = '1.1;1.2' -- names no element of this WBS -- professional reason (Maya Chen, Owner Project Controls): Source package register explicitly states both Owner-WBS branches.</t>
        </is>
      </c>
    </row>
    <row r="273" ht="49" customHeight="1">
      <c r="A273" s="12" t="inlineStr">
        <is>
          <t>1.2</t>
        </is>
      </c>
      <c r="B273" s="12" t="inlineStr">
        <is>
          <t>Stations</t>
        </is>
      </c>
      <c r="C273" s="12" t="inlineStr">
        <is>
          <t>Commercial Package Register</t>
        </is>
      </c>
      <c r="D273" s="12" t="inlineStr">
        <is>
          <t>PKG-011</t>
        </is>
      </c>
      <c r="E273" s="12" t="inlineStr">
        <is>
          <t>Station Structural Works</t>
        </is>
      </c>
      <c r="F273" s="12" t="inlineStr">
        <is>
          <t>ONE_TO_ONE</t>
        </is>
      </c>
      <c r="G273" s="12" t="inlineStr">
        <is>
          <t>APPROVED</t>
        </is>
      </c>
      <c r="H273" s="12" t="inlineStr">
        <is>
          <t>New</t>
        </is>
      </c>
      <c r="I273" s="12" t="inlineStr">
        <is>
          <t>Source assignment -- not individually reviewed</t>
        </is>
      </c>
      <c r="J273" s="12" t="inlineStr"/>
      <c r="K273" s="12" t="inlineStr">
        <is>
          <t>Source assignment</t>
        </is>
      </c>
      <c r="L273" s="12" t="inlineStr"/>
      <c r="M273" s="12" t="inlineStr">
        <is>
          <t>Initial</t>
        </is>
      </c>
      <c r="N273" s="12" t="inlineStr">
        <is>
          <t>Rev 0</t>
        </is>
      </c>
      <c r="O273" s="12" t="inlineStr">
        <is>
          <t>R1573-v1</t>
        </is>
      </c>
      <c r="P273" s="12" t="inlineStr"/>
      <c r="Q273" s="12" t="inlineStr"/>
      <c r="R273" s="12" t="inlineStr"/>
      <c r="S273" s="12" t="inlineStr"/>
      <c r="T273" s="12" t="inlineStr"/>
      <c r="U273" s="12" t="inlineStr"/>
      <c r="V273" s="12" t="inlineStr">
        <is>
          <t>Package Code = PK-201; WBS Code = 1.2</t>
        </is>
      </c>
      <c r="W273" s="12" t="inlineStr"/>
    </row>
    <row r="274" ht="49" customHeight="1">
      <c r="A274" s="12" t="inlineStr">
        <is>
          <t>1.2</t>
        </is>
      </c>
      <c r="B274" s="12" t="inlineStr">
        <is>
          <t>Stations</t>
        </is>
      </c>
      <c r="C274" s="12" t="inlineStr">
        <is>
          <t>Commercial Package Register</t>
        </is>
      </c>
      <c r="D274" s="12" t="inlineStr">
        <is>
          <t>PKG-012</t>
        </is>
      </c>
      <c r="E274" s="12" t="inlineStr">
        <is>
          <t>Station Fit-Out</t>
        </is>
      </c>
      <c r="F274" s="12" t="inlineStr">
        <is>
          <t>ONE_TO_ONE</t>
        </is>
      </c>
      <c r="G274" s="12" t="inlineStr">
        <is>
          <t>APPROVED</t>
        </is>
      </c>
      <c r="H274" s="12" t="inlineStr">
        <is>
          <t>New</t>
        </is>
      </c>
      <c r="I274" s="12" t="inlineStr">
        <is>
          <t>Source assignment -- not individually reviewed</t>
        </is>
      </c>
      <c r="J274" s="12" t="inlineStr"/>
      <c r="K274" s="12" t="inlineStr">
        <is>
          <t>Source assignment</t>
        </is>
      </c>
      <c r="L274" s="12" t="inlineStr"/>
      <c r="M274" s="12" t="inlineStr">
        <is>
          <t>Initial</t>
        </is>
      </c>
      <c r="N274" s="12" t="inlineStr">
        <is>
          <t>Rev 0</t>
        </is>
      </c>
      <c r="O274" s="12" t="inlineStr">
        <is>
          <t>R1574-v1</t>
        </is>
      </c>
      <c r="P274" s="12" t="inlineStr"/>
      <c r="Q274" s="12" t="inlineStr"/>
      <c r="R274" s="12" t="inlineStr"/>
      <c r="S274" s="12" t="inlineStr"/>
      <c r="T274" s="12" t="inlineStr"/>
      <c r="U274" s="12" t="inlineStr"/>
      <c r="V274" s="12" t="inlineStr">
        <is>
          <t>Package Code = PK-202; WBS Code = 1.2</t>
        </is>
      </c>
      <c r="W274" s="12" t="inlineStr"/>
    </row>
    <row r="275" ht="49" customHeight="1">
      <c r="A275" s="12" t="inlineStr">
        <is>
          <t>1.2</t>
        </is>
      </c>
      <c r="B275" s="12" t="inlineStr">
        <is>
          <t>Stations</t>
        </is>
      </c>
      <c r="C275" s="12" t="inlineStr">
        <is>
          <t>Commercial Package Register</t>
        </is>
      </c>
      <c r="D275" s="12" t="inlineStr">
        <is>
          <t>PKG-013</t>
        </is>
      </c>
      <c r="E275" s="12" t="inlineStr">
        <is>
          <t>Building Services</t>
        </is>
      </c>
      <c r="F275" s="12" t="inlineStr">
        <is>
          <t>ONE_TO_ONE</t>
        </is>
      </c>
      <c r="G275" s="12" t="inlineStr">
        <is>
          <t>APPROVED</t>
        </is>
      </c>
      <c r="H275" s="12" t="inlineStr">
        <is>
          <t>New</t>
        </is>
      </c>
      <c r="I275" s="12" t="inlineStr">
        <is>
          <t>Source assignment -- not individually reviewed</t>
        </is>
      </c>
      <c r="J275" s="12" t="inlineStr"/>
      <c r="K275" s="12" t="inlineStr">
        <is>
          <t>Source assignment</t>
        </is>
      </c>
      <c r="L275" s="12" t="inlineStr"/>
      <c r="M275" s="12" t="inlineStr">
        <is>
          <t>Initial</t>
        </is>
      </c>
      <c r="N275" s="12" t="inlineStr">
        <is>
          <t>Rev 0</t>
        </is>
      </c>
      <c r="O275" s="12" t="inlineStr">
        <is>
          <t>R1575-v1</t>
        </is>
      </c>
      <c r="P275" s="12" t="inlineStr"/>
      <c r="Q275" s="12" t="inlineStr"/>
      <c r="R275" s="12" t="inlineStr"/>
      <c r="S275" s="12" t="inlineStr"/>
      <c r="T275" s="12" t="inlineStr"/>
      <c r="U275" s="12" t="inlineStr"/>
      <c r="V275" s="12" t="inlineStr">
        <is>
          <t>Package Code = PK-203; WBS Code = 1.2</t>
        </is>
      </c>
      <c r="W275" s="12" t="inlineStr"/>
    </row>
    <row r="276" ht="49" customHeight="1">
      <c r="A276" s="12" t="inlineStr">
        <is>
          <t>1.2</t>
        </is>
      </c>
      <c r="B276" s="12" t="inlineStr">
        <is>
          <t>Stations</t>
        </is>
      </c>
      <c r="C276" s="12" t="inlineStr">
        <is>
          <t>Commercial Package Register</t>
        </is>
      </c>
      <c r="D276" s="12" t="inlineStr">
        <is>
          <t>PKG-014</t>
        </is>
      </c>
      <c r="E276" s="12" t="inlineStr">
        <is>
          <t>Public Realm</t>
        </is>
      </c>
      <c r="F276" s="12" t="inlineStr">
        <is>
          <t>ONE_TO_ONE</t>
        </is>
      </c>
      <c r="G276" s="12" t="inlineStr">
        <is>
          <t>APPROVED</t>
        </is>
      </c>
      <c r="H276" s="12" t="inlineStr">
        <is>
          <t>New</t>
        </is>
      </c>
      <c r="I276" s="12" t="inlineStr">
        <is>
          <t>Source assignment -- not individually reviewed</t>
        </is>
      </c>
      <c r="J276" s="12" t="inlineStr"/>
      <c r="K276" s="12" t="inlineStr">
        <is>
          <t>Source assignment</t>
        </is>
      </c>
      <c r="L276" s="12" t="inlineStr"/>
      <c r="M276" s="12" t="inlineStr">
        <is>
          <t>Initial</t>
        </is>
      </c>
      <c r="N276" s="12" t="inlineStr">
        <is>
          <t>Rev 0</t>
        </is>
      </c>
      <c r="O276" s="12" t="inlineStr">
        <is>
          <t>R1576-v1</t>
        </is>
      </c>
      <c r="P276" s="12" t="inlineStr"/>
      <c r="Q276" s="12" t="inlineStr"/>
      <c r="R276" s="12" t="inlineStr"/>
      <c r="S276" s="12" t="inlineStr"/>
      <c r="T276" s="12" t="inlineStr"/>
      <c r="U276" s="12" t="inlineStr"/>
      <c r="V276" s="12" t="inlineStr">
        <is>
          <t>Package Code = PK-204; WBS Code = 1.2</t>
        </is>
      </c>
      <c r="W276" s="12" t="inlineStr"/>
    </row>
    <row r="277" ht="49" customHeight="1">
      <c r="A277" s="12" t="inlineStr">
        <is>
          <t>1.2</t>
        </is>
      </c>
      <c r="B277" s="12" t="inlineStr">
        <is>
          <t>Stations</t>
        </is>
      </c>
      <c r="C277" s="12" t="inlineStr">
        <is>
          <t>Commercial Package Register</t>
        </is>
      </c>
      <c r="D277" s="12" t="inlineStr">
        <is>
          <t>PKG-015</t>
        </is>
      </c>
      <c r="E277" s="12" t="inlineStr">
        <is>
          <t>Station Structural Works - Lot 2</t>
        </is>
      </c>
      <c r="F277" s="12" t="inlineStr">
        <is>
          <t>ONE_TO_ONE</t>
        </is>
      </c>
      <c r="G277" s="12" t="inlineStr">
        <is>
          <t>APPROVED</t>
        </is>
      </c>
      <c r="H277" s="12" t="inlineStr">
        <is>
          <t>New</t>
        </is>
      </c>
      <c r="I277" s="12" t="inlineStr">
        <is>
          <t>Source assignment -- not individually reviewed</t>
        </is>
      </c>
      <c r="J277" s="12" t="inlineStr"/>
      <c r="K277" s="12" t="inlineStr">
        <is>
          <t>Source assignment</t>
        </is>
      </c>
      <c r="L277" s="12" t="inlineStr"/>
      <c r="M277" s="12" t="inlineStr">
        <is>
          <t>Initial</t>
        </is>
      </c>
      <c r="N277" s="12" t="inlineStr">
        <is>
          <t>Rev 0</t>
        </is>
      </c>
      <c r="O277" s="12" t="inlineStr">
        <is>
          <t>R1577-v1</t>
        </is>
      </c>
      <c r="P277" s="12" t="inlineStr"/>
      <c r="Q277" s="12" t="inlineStr"/>
      <c r="R277" s="12" t="inlineStr"/>
      <c r="S277" s="12" t="inlineStr"/>
      <c r="T277" s="12" t="inlineStr"/>
      <c r="U277" s="12" t="inlineStr"/>
      <c r="V277" s="12" t="inlineStr">
        <is>
          <t>Package Code = PK-205; WBS Code = 1.2</t>
        </is>
      </c>
      <c r="W277" s="12" t="inlineStr"/>
    </row>
    <row r="278" ht="49" customHeight="1">
      <c r="A278" s="12" t="inlineStr">
        <is>
          <t>1.2</t>
        </is>
      </c>
      <c r="B278" s="12" t="inlineStr">
        <is>
          <t>Stations</t>
        </is>
      </c>
      <c r="C278" s="12" t="inlineStr">
        <is>
          <t>Commercial Package Register</t>
        </is>
      </c>
      <c r="D278" s="12" t="inlineStr">
        <is>
          <t>PKG-016</t>
        </is>
      </c>
      <c r="E278" s="12" t="inlineStr">
        <is>
          <t>Station Fit-Out - Lot 2</t>
        </is>
      </c>
      <c r="F278" s="12" t="inlineStr">
        <is>
          <t>ONE_TO_ONE</t>
        </is>
      </c>
      <c r="G278" s="12" t="inlineStr">
        <is>
          <t>APPROVED</t>
        </is>
      </c>
      <c r="H278" s="12" t="inlineStr">
        <is>
          <t>New</t>
        </is>
      </c>
      <c r="I278" s="12" t="inlineStr">
        <is>
          <t>Source assignment -- not individually reviewed</t>
        </is>
      </c>
      <c r="J278" s="12" t="inlineStr"/>
      <c r="K278" s="12" t="inlineStr">
        <is>
          <t>Source assignment</t>
        </is>
      </c>
      <c r="L278" s="12" t="inlineStr"/>
      <c r="M278" s="12" t="inlineStr">
        <is>
          <t>Initial</t>
        </is>
      </c>
      <c r="N278" s="12" t="inlineStr">
        <is>
          <t>Rev 0</t>
        </is>
      </c>
      <c r="O278" s="12" t="inlineStr">
        <is>
          <t>R1578-v1</t>
        </is>
      </c>
      <c r="P278" s="12" t="inlineStr"/>
      <c r="Q278" s="12" t="inlineStr"/>
      <c r="R278" s="12" t="inlineStr"/>
      <c r="S278" s="12" t="inlineStr"/>
      <c r="T278" s="12" t="inlineStr"/>
      <c r="U278" s="12" t="inlineStr"/>
      <c r="V278" s="12" t="inlineStr">
        <is>
          <t>Package Code = PK-206; WBS Code = 1.2</t>
        </is>
      </c>
      <c r="W278" s="12" t="inlineStr"/>
    </row>
    <row r="279" ht="49" customHeight="1">
      <c r="A279" s="12" t="inlineStr">
        <is>
          <t>1.2</t>
        </is>
      </c>
      <c r="B279" s="12" t="inlineStr">
        <is>
          <t>Stations</t>
        </is>
      </c>
      <c r="C279" s="12" t="inlineStr">
        <is>
          <t>Commercial Package Register</t>
        </is>
      </c>
      <c r="D279" s="12" t="inlineStr">
        <is>
          <t>PKG-017</t>
        </is>
      </c>
      <c r="E279" s="12" t="inlineStr">
        <is>
          <t>Building Services - Lot 2</t>
        </is>
      </c>
      <c r="F279" s="12" t="inlineStr">
        <is>
          <t>ONE_TO_ONE</t>
        </is>
      </c>
      <c r="G279" s="12" t="inlineStr">
        <is>
          <t>APPROVED</t>
        </is>
      </c>
      <c r="H279" s="12" t="inlineStr">
        <is>
          <t>New</t>
        </is>
      </c>
      <c r="I279" s="12" t="inlineStr">
        <is>
          <t>Source assignment -- not individually reviewed</t>
        </is>
      </c>
      <c r="J279" s="12" t="inlineStr"/>
      <c r="K279" s="12" t="inlineStr">
        <is>
          <t>Source assignment</t>
        </is>
      </c>
      <c r="L279" s="12" t="inlineStr"/>
      <c r="M279" s="12" t="inlineStr">
        <is>
          <t>Initial</t>
        </is>
      </c>
      <c r="N279" s="12" t="inlineStr">
        <is>
          <t>Rev 0</t>
        </is>
      </c>
      <c r="O279" s="12" t="inlineStr">
        <is>
          <t>R1579-v1</t>
        </is>
      </c>
      <c r="P279" s="12" t="inlineStr"/>
      <c r="Q279" s="12" t="inlineStr"/>
      <c r="R279" s="12" t="inlineStr"/>
      <c r="S279" s="12" t="inlineStr"/>
      <c r="T279" s="12" t="inlineStr"/>
      <c r="U279" s="12" t="inlineStr"/>
      <c r="V279" s="12" t="inlineStr">
        <is>
          <t>Package Code = PK-207; WBS Code = 1.2</t>
        </is>
      </c>
      <c r="W279" s="12" t="inlineStr"/>
    </row>
    <row r="280" ht="49" customHeight="1">
      <c r="A280" s="12" t="inlineStr">
        <is>
          <t>1.2</t>
        </is>
      </c>
      <c r="B280" s="12" t="inlineStr">
        <is>
          <t>Stations</t>
        </is>
      </c>
      <c r="C280" s="12" t="inlineStr">
        <is>
          <t>Commercial Package Register</t>
        </is>
      </c>
      <c r="D280" s="12" t="inlineStr">
        <is>
          <t>PKG-018</t>
        </is>
      </c>
      <c r="E280" s="12" t="inlineStr">
        <is>
          <t>Public Realm - Lot 2</t>
        </is>
      </c>
      <c r="F280" s="12" t="inlineStr">
        <is>
          <t>ONE_TO_ONE</t>
        </is>
      </c>
      <c r="G280" s="12" t="inlineStr">
        <is>
          <t>APPROVED</t>
        </is>
      </c>
      <c r="H280" s="12" t="inlineStr">
        <is>
          <t>New</t>
        </is>
      </c>
      <c r="I280" s="12" t="inlineStr">
        <is>
          <t>Source assignment -- not individually reviewed</t>
        </is>
      </c>
      <c r="J280" s="12" t="inlineStr"/>
      <c r="K280" s="12" t="inlineStr">
        <is>
          <t>Source assignment</t>
        </is>
      </c>
      <c r="L280" s="12" t="inlineStr"/>
      <c r="M280" s="12" t="inlineStr">
        <is>
          <t>Initial</t>
        </is>
      </c>
      <c r="N280" s="12" t="inlineStr">
        <is>
          <t>Rev 0</t>
        </is>
      </c>
      <c r="O280" s="12" t="inlineStr">
        <is>
          <t>R1580-v1</t>
        </is>
      </c>
      <c r="P280" s="12" t="inlineStr"/>
      <c r="Q280" s="12" t="inlineStr"/>
      <c r="R280" s="12" t="inlineStr"/>
      <c r="S280" s="12" t="inlineStr"/>
      <c r="T280" s="12" t="inlineStr"/>
      <c r="U280" s="12" t="inlineStr"/>
      <c r="V280" s="12" t="inlineStr">
        <is>
          <t>Package Code = PK-208; WBS Code = 1.2</t>
        </is>
      </c>
      <c r="W280" s="12" t="inlineStr"/>
    </row>
    <row r="281" ht="49" customHeight="1">
      <c r="A281" s="12" t="inlineStr">
        <is>
          <t>1.2</t>
        </is>
      </c>
      <c r="B281" s="12" t="inlineStr">
        <is>
          <t>Stations</t>
        </is>
      </c>
      <c r="C281" s="12" t="inlineStr">
        <is>
          <t>Commercial Package Register</t>
        </is>
      </c>
      <c r="D281" s="12" t="inlineStr">
        <is>
          <t>PKG-019</t>
        </is>
      </c>
      <c r="E281" s="12" t="inlineStr">
        <is>
          <t>Station Structural Works - Lot 3</t>
        </is>
      </c>
      <c r="F281" s="12" t="inlineStr">
        <is>
          <t>ONE_TO_ONE</t>
        </is>
      </c>
      <c r="G281" s="12" t="inlineStr">
        <is>
          <t>APPROVED</t>
        </is>
      </c>
      <c r="H281" s="12" t="inlineStr">
        <is>
          <t>New</t>
        </is>
      </c>
      <c r="I281" s="12" t="inlineStr">
        <is>
          <t>Source assignment -- not individually reviewed</t>
        </is>
      </c>
      <c r="J281" s="12" t="inlineStr"/>
      <c r="K281" s="12" t="inlineStr">
        <is>
          <t>Source assignment</t>
        </is>
      </c>
      <c r="L281" s="12" t="inlineStr"/>
      <c r="M281" s="12" t="inlineStr">
        <is>
          <t>Initial</t>
        </is>
      </c>
      <c r="N281" s="12" t="inlineStr">
        <is>
          <t>Rev 0</t>
        </is>
      </c>
      <c r="O281" s="12" t="inlineStr">
        <is>
          <t>R1581-v1</t>
        </is>
      </c>
      <c r="P281" s="12" t="inlineStr"/>
      <c r="Q281" s="12" t="inlineStr"/>
      <c r="R281" s="12" t="inlineStr"/>
      <c r="S281" s="12" t="inlineStr"/>
      <c r="T281" s="12" t="inlineStr"/>
      <c r="U281" s="12" t="inlineStr"/>
      <c r="V281" s="12" t="inlineStr">
        <is>
          <t>Package Code = PK-209; WBS Code = 1.2</t>
        </is>
      </c>
      <c r="W281" s="12" t="inlineStr"/>
    </row>
    <row r="282" ht="49" customHeight="1">
      <c r="A282" s="12" t="inlineStr">
        <is>
          <t>1.2</t>
        </is>
      </c>
      <c r="B282" s="12" t="inlineStr">
        <is>
          <t>Stations</t>
        </is>
      </c>
      <c r="C282" s="12" t="inlineStr">
        <is>
          <t>Commercial Package Register</t>
        </is>
      </c>
      <c r="D282" s="12" t="inlineStr">
        <is>
          <t>PKG-020</t>
        </is>
      </c>
      <c r="E282" s="12" t="inlineStr">
        <is>
          <t>Station Fit-Out - Lot 3</t>
        </is>
      </c>
      <c r="F282" s="12" t="inlineStr">
        <is>
          <t>ONE_TO_ONE</t>
        </is>
      </c>
      <c r="G282" s="12" t="inlineStr">
        <is>
          <t>APPROVED</t>
        </is>
      </c>
      <c r="H282" s="12" t="inlineStr">
        <is>
          <t>New</t>
        </is>
      </c>
      <c r="I282" s="12" t="inlineStr">
        <is>
          <t>Source assignment -- not individually reviewed</t>
        </is>
      </c>
      <c r="J282" s="12" t="inlineStr"/>
      <c r="K282" s="12" t="inlineStr">
        <is>
          <t>Source assignment</t>
        </is>
      </c>
      <c r="L282" s="12" t="inlineStr"/>
      <c r="M282" s="12" t="inlineStr">
        <is>
          <t>Initial</t>
        </is>
      </c>
      <c r="N282" s="12" t="inlineStr">
        <is>
          <t>Rev 0</t>
        </is>
      </c>
      <c r="O282" s="12" t="inlineStr">
        <is>
          <t>R1582-v1</t>
        </is>
      </c>
      <c r="P282" s="12" t="inlineStr"/>
      <c r="Q282" s="12" t="inlineStr"/>
      <c r="R282" s="12" t="inlineStr"/>
      <c r="S282" s="12" t="inlineStr"/>
      <c r="T282" s="12" t="inlineStr"/>
      <c r="U282" s="12" t="inlineStr"/>
      <c r="V282" s="12" t="inlineStr">
        <is>
          <t>Package Code = PK-210; WBS Code = 1.2</t>
        </is>
      </c>
      <c r="W282" s="12" t="inlineStr"/>
    </row>
    <row r="283" ht="49" customHeight="1">
      <c r="A283" s="12" t="inlineStr">
        <is>
          <t>1.2.1</t>
        </is>
      </c>
      <c r="B283" s="12" t="inlineStr">
        <is>
          <t>Stations - Station Structures</t>
        </is>
      </c>
      <c r="C283" s="12" t="inlineStr">
        <is>
          <t>Contractor Programme</t>
        </is>
      </c>
      <c r="D283" s="12" t="inlineStr">
        <is>
          <t>SCH-02-001</t>
        </is>
      </c>
      <c r="E283" s="12" t="inlineStr">
        <is>
          <t>Harbour Station: vertical-transport installation - inspection</t>
        </is>
      </c>
      <c r="F283" s="12" t="inlineStr">
        <is>
          <t>ONE_TO_ONE</t>
        </is>
      </c>
      <c r="G283" s="12" t="inlineStr">
        <is>
          <t>APPROVED</t>
        </is>
      </c>
      <c r="H283" s="12" t="inlineStr">
        <is>
          <t>New</t>
        </is>
      </c>
      <c r="I283" s="12" t="inlineStr">
        <is>
          <t>Source assignment -- not individually reviewed</t>
        </is>
      </c>
      <c r="J283" s="12" t="inlineStr"/>
      <c r="K283" s="12" t="inlineStr">
        <is>
          <t>Source assignment</t>
        </is>
      </c>
      <c r="L283" s="12" t="inlineStr"/>
      <c r="M283" s="12" t="inlineStr">
        <is>
          <t>Initial</t>
        </is>
      </c>
      <c r="N283" s="12" t="inlineStr">
        <is>
          <t>Rev 0</t>
        </is>
      </c>
      <c r="O283" s="12" t="inlineStr">
        <is>
          <t>R181-v1</t>
        </is>
      </c>
      <c r="P283" s="12" t="inlineStr"/>
      <c r="Q283" s="12" t="inlineStr"/>
      <c r="R283" s="12" t="inlineStr"/>
      <c r="S283" s="12" t="inlineStr"/>
      <c r="T283" s="12" t="inlineStr"/>
      <c r="U283" s="12" t="inlineStr"/>
      <c r="V283" s="12" t="inlineStr">
        <is>
          <t>WBS Code = 1.2.1</t>
        </is>
      </c>
      <c r="W283" s="12" t="inlineStr"/>
    </row>
    <row r="284" ht="49" customHeight="1">
      <c r="A284" s="12" t="inlineStr">
        <is>
          <t>1.2.1</t>
        </is>
      </c>
      <c r="B284" s="12" t="inlineStr">
        <is>
          <t>Stations - Station Structures</t>
        </is>
      </c>
      <c r="C284" s="12" t="inlineStr">
        <is>
          <t>Contractor Programme</t>
        </is>
      </c>
      <c r="D284" s="12" t="inlineStr">
        <is>
          <t>SCH-02-002</t>
        </is>
      </c>
      <c r="E284" s="12" t="inlineStr">
        <is>
          <t>Market Station: platform edge installation - turnover</t>
        </is>
      </c>
      <c r="F284" s="12" t="inlineStr">
        <is>
          <t>ONE_TO_ONE</t>
        </is>
      </c>
      <c r="G284" s="12" t="inlineStr">
        <is>
          <t>APPROVED</t>
        </is>
      </c>
      <c r="H284" s="12" t="inlineStr">
        <is>
          <t>New</t>
        </is>
      </c>
      <c r="I284" s="12" t="inlineStr">
        <is>
          <t>Source assignment -- not individually reviewed</t>
        </is>
      </c>
      <c r="J284" s="12" t="inlineStr"/>
      <c r="K284" s="12" t="inlineStr">
        <is>
          <t>Source assignment</t>
        </is>
      </c>
      <c r="L284" s="12" t="inlineStr"/>
      <c r="M284" s="12" t="inlineStr">
        <is>
          <t>Initial</t>
        </is>
      </c>
      <c r="N284" s="12" t="inlineStr">
        <is>
          <t>Rev 0</t>
        </is>
      </c>
      <c r="O284" s="12" t="inlineStr">
        <is>
          <t>R182-v1</t>
        </is>
      </c>
      <c r="P284" s="12" t="inlineStr"/>
      <c r="Q284" s="12" t="inlineStr"/>
      <c r="R284" s="12" t="inlineStr"/>
      <c r="S284" s="12" t="inlineStr"/>
      <c r="T284" s="12" t="inlineStr"/>
      <c r="U284" s="12" t="inlineStr"/>
      <c r="V284" s="12" t="inlineStr">
        <is>
          <t>WBS Code = 1.2.1</t>
        </is>
      </c>
      <c r="W284" s="12" t="inlineStr"/>
    </row>
    <row r="285" ht="49" customHeight="1">
      <c r="A285" s="12" t="inlineStr">
        <is>
          <t>1.2.1</t>
        </is>
      </c>
      <c r="B285" s="12" t="inlineStr">
        <is>
          <t>Stations - Station Structures</t>
        </is>
      </c>
      <c r="C285" s="12" t="inlineStr">
        <is>
          <t>Contractor Programme</t>
        </is>
      </c>
      <c r="D285" s="12" t="inlineStr">
        <is>
          <t>SCH-02-004</t>
        </is>
      </c>
      <c r="E285" s="12" t="inlineStr">
        <is>
          <t>University Station: fire-life-safety cabling - field start</t>
        </is>
      </c>
      <c r="F285" s="12" t="inlineStr">
        <is>
          <t>ONE_TO_ONE</t>
        </is>
      </c>
      <c r="G285" s="12" t="inlineStr">
        <is>
          <t>APPROVED</t>
        </is>
      </c>
      <c r="H285" s="12" t="inlineStr">
        <is>
          <t>New</t>
        </is>
      </c>
      <c r="I285" s="12" t="inlineStr">
        <is>
          <t>Source assignment -- not individually reviewed</t>
        </is>
      </c>
      <c r="J285" s="12" t="inlineStr"/>
      <c r="K285" s="12" t="inlineStr">
        <is>
          <t>Source assignment</t>
        </is>
      </c>
      <c r="L285" s="12" t="inlineStr"/>
      <c r="M285" s="12" t="inlineStr">
        <is>
          <t>Initial</t>
        </is>
      </c>
      <c r="N285" s="12" t="inlineStr">
        <is>
          <t>Rev 0</t>
        </is>
      </c>
      <c r="O285" s="12" t="inlineStr">
        <is>
          <t>R184-v1</t>
        </is>
      </c>
      <c r="P285" s="12" t="inlineStr"/>
      <c r="Q285" s="12" t="inlineStr"/>
      <c r="R285" s="12" t="inlineStr"/>
      <c r="S285" s="12" t="inlineStr"/>
      <c r="T285" s="12" t="inlineStr"/>
      <c r="U285" s="12" t="inlineStr"/>
      <c r="V285" s="12" t="inlineStr">
        <is>
          <t>WBS Code = 1.2.1</t>
        </is>
      </c>
      <c r="W285" s="12" t="inlineStr"/>
    </row>
    <row r="286" ht="49" customHeight="1">
      <c r="A286" s="12" t="inlineStr">
        <is>
          <t>1.2.1</t>
        </is>
      </c>
      <c r="B286" s="12" t="inlineStr">
        <is>
          <t>Stations - Station Structures</t>
        </is>
      </c>
      <c r="C286" s="12" t="inlineStr">
        <is>
          <t>Contractor Programme</t>
        </is>
      </c>
      <c r="D286" s="12" t="inlineStr">
        <is>
          <t>SCH-02-005</t>
        </is>
      </c>
      <c r="E286" s="12" t="inlineStr">
        <is>
          <t>Harbour Station: systems room enabling works before communications fit-out</t>
        </is>
      </c>
      <c r="F286" s="12" t="inlineStr">
        <is>
          <t>ONE_TO_ONE</t>
        </is>
      </c>
      <c r="G286" s="12" t="inlineStr">
        <is>
          <t>APPROVED</t>
        </is>
      </c>
      <c r="H286" s="12" t="inlineStr">
        <is>
          <t>New</t>
        </is>
      </c>
      <c r="I286" s="12" t="inlineStr">
        <is>
          <t>Source assignment -- not individually reviewed</t>
        </is>
      </c>
      <c r="J286" s="12" t="inlineStr"/>
      <c r="K286" s="12" t="inlineStr">
        <is>
          <t>Source assignment</t>
        </is>
      </c>
      <c r="L286" s="12" t="inlineStr"/>
      <c r="M286" s="12" t="inlineStr">
        <is>
          <t>Initial</t>
        </is>
      </c>
      <c r="N286" s="12" t="inlineStr">
        <is>
          <t>Rev 0</t>
        </is>
      </c>
      <c r="O286" s="12" t="inlineStr">
        <is>
          <t>R185-v1</t>
        </is>
      </c>
      <c r="P286" s="12" t="inlineStr"/>
      <c r="Q286" s="12" t="inlineStr"/>
      <c r="R286" s="12" t="inlineStr"/>
      <c r="S286" s="12" t="inlineStr"/>
      <c r="T286" s="12" t="inlineStr"/>
      <c r="U286" s="12" t="inlineStr"/>
      <c r="V286" s="12" t="inlineStr">
        <is>
          <t>WBS Code = 1.2.1</t>
        </is>
      </c>
      <c r="W286" s="12" t="inlineStr"/>
    </row>
    <row r="287" ht="49" customHeight="1">
      <c r="A287" s="12" t="inlineStr">
        <is>
          <t>1.2.1</t>
        </is>
      </c>
      <c r="B287" s="12" t="inlineStr">
        <is>
          <t>Stations - Station Structures</t>
        </is>
      </c>
      <c r="C287" s="12" t="inlineStr">
        <is>
          <t>Contractor Programme</t>
        </is>
      </c>
      <c r="D287" s="12" t="inlineStr">
        <is>
          <t>SCH-02-007</t>
        </is>
      </c>
      <c r="E287" s="12" t="inlineStr">
        <is>
          <t>Market Station: public-realm paving - turnover</t>
        </is>
      </c>
      <c r="F287" s="12" t="inlineStr">
        <is>
          <t>ONE_TO_ONE</t>
        </is>
      </c>
      <c r="G287" s="12" t="inlineStr">
        <is>
          <t>APPROVED</t>
        </is>
      </c>
      <c r="H287" s="12" t="inlineStr">
        <is>
          <t>New</t>
        </is>
      </c>
      <c r="I287" s="12" t="inlineStr">
        <is>
          <t>Source assignment -- not individually reviewed</t>
        </is>
      </c>
      <c r="J287" s="12" t="inlineStr"/>
      <c r="K287" s="12" t="inlineStr">
        <is>
          <t>Source assignment</t>
        </is>
      </c>
      <c r="L287" s="12" t="inlineStr"/>
      <c r="M287" s="12" t="inlineStr">
        <is>
          <t>Initial</t>
        </is>
      </c>
      <c r="N287" s="12" t="inlineStr">
        <is>
          <t>Rev 0</t>
        </is>
      </c>
      <c r="O287" s="12" t="inlineStr">
        <is>
          <t>R187-v1</t>
        </is>
      </c>
      <c r="P287" s="12" t="inlineStr"/>
      <c r="Q287" s="12" t="inlineStr"/>
      <c r="R287" s="12" t="inlineStr"/>
      <c r="S287" s="12" t="inlineStr"/>
      <c r="T287" s="12" t="inlineStr"/>
      <c r="U287" s="12" t="inlineStr"/>
      <c r="V287" s="12" t="inlineStr">
        <is>
          <t>WBS Code = 1.2.1</t>
        </is>
      </c>
      <c r="W287" s="12" t="inlineStr"/>
    </row>
    <row r="288" ht="49" customHeight="1">
      <c r="A288" s="12" t="inlineStr">
        <is>
          <t>1.2.1</t>
        </is>
      </c>
      <c r="B288" s="12" t="inlineStr">
        <is>
          <t>Stations - Station Structures</t>
        </is>
      </c>
      <c r="C288" s="12" t="inlineStr">
        <is>
          <t>Contractor Programme</t>
        </is>
      </c>
      <c r="D288" s="12" t="inlineStr">
        <is>
          <t>SCH-02-008</t>
        </is>
      </c>
      <c r="E288" s="12" t="inlineStr">
        <is>
          <t>Civic Station: entrance steel erection - release</t>
        </is>
      </c>
      <c r="F288" s="12" t="inlineStr">
        <is>
          <t>ONE_TO_ONE</t>
        </is>
      </c>
      <c r="G288" s="12" t="inlineStr">
        <is>
          <t>APPROVED</t>
        </is>
      </c>
      <c r="H288" s="12" t="inlineStr">
        <is>
          <t>New</t>
        </is>
      </c>
      <c r="I288" s="12" t="inlineStr">
        <is>
          <t>Source assignment -- not individually reviewed</t>
        </is>
      </c>
      <c r="J288" s="12" t="inlineStr"/>
      <c r="K288" s="12" t="inlineStr">
        <is>
          <t>Source assignment</t>
        </is>
      </c>
      <c r="L288" s="12" t="inlineStr"/>
      <c r="M288" s="12" t="inlineStr">
        <is>
          <t>Initial</t>
        </is>
      </c>
      <c r="N288" s="12" t="inlineStr">
        <is>
          <t>Rev 0</t>
        </is>
      </c>
      <c r="O288" s="12" t="inlineStr">
        <is>
          <t>R188-v1</t>
        </is>
      </c>
      <c r="P288" s="12" t="inlineStr"/>
      <c r="Q288" s="12" t="inlineStr"/>
      <c r="R288" s="12" t="inlineStr"/>
      <c r="S288" s="12" t="inlineStr"/>
      <c r="T288" s="12" t="inlineStr"/>
      <c r="U288" s="12" t="inlineStr"/>
      <c r="V288" s="12" t="inlineStr">
        <is>
          <t>WBS Code = 1.2.1</t>
        </is>
      </c>
      <c r="W288" s="12" t="inlineStr"/>
    </row>
    <row r="289" ht="49" customHeight="1">
      <c r="A289" s="12" t="inlineStr">
        <is>
          <t>1.2.1</t>
        </is>
      </c>
      <c r="B289" s="12" t="inlineStr">
        <is>
          <t>Stations - Station Structures</t>
        </is>
      </c>
      <c r="C289" s="12" t="inlineStr">
        <is>
          <t>Contractor Programme</t>
        </is>
      </c>
      <c r="D289" s="12" t="inlineStr">
        <is>
          <t>SCH-02-010</t>
        </is>
      </c>
      <c r="E289" s="12" t="inlineStr">
        <is>
          <t>West Terminal: platform edge installation - installation</t>
        </is>
      </c>
      <c r="F289" s="12" t="inlineStr">
        <is>
          <t>ONE_TO_ONE</t>
        </is>
      </c>
      <c r="G289" s="12" t="inlineStr">
        <is>
          <t>APPROVED</t>
        </is>
      </c>
      <c r="H289" s="12" t="inlineStr">
        <is>
          <t>New</t>
        </is>
      </c>
      <c r="I289" s="12" t="inlineStr">
        <is>
          <t>Source assignment -- not individually reviewed</t>
        </is>
      </c>
      <c r="J289" s="12" t="inlineStr"/>
      <c r="K289" s="12" t="inlineStr">
        <is>
          <t>Source assignment</t>
        </is>
      </c>
      <c r="L289" s="12" t="inlineStr"/>
      <c r="M289" s="12" t="inlineStr">
        <is>
          <t>Initial</t>
        </is>
      </c>
      <c r="N289" s="12" t="inlineStr">
        <is>
          <t>Rev 0</t>
        </is>
      </c>
      <c r="O289" s="12" t="inlineStr">
        <is>
          <t>R190-v1</t>
        </is>
      </c>
      <c r="P289" s="12" t="inlineStr"/>
      <c r="Q289" s="12" t="inlineStr"/>
      <c r="R289" s="12" t="inlineStr"/>
      <c r="S289" s="12" t="inlineStr"/>
      <c r="T289" s="12" t="inlineStr"/>
      <c r="U289" s="12" t="inlineStr"/>
      <c r="V289" s="12" t="inlineStr">
        <is>
          <t>WBS Code = 1.2.1</t>
        </is>
      </c>
      <c r="W289" s="12" t="inlineStr"/>
    </row>
    <row r="290" ht="49" customHeight="1">
      <c r="A290" s="12" t="inlineStr">
        <is>
          <t>1.2.1</t>
        </is>
      </c>
      <c r="B290" s="12" t="inlineStr">
        <is>
          <t>Stations - Station Structures</t>
        </is>
      </c>
      <c r="C290" s="12" t="inlineStr">
        <is>
          <t>Contractor Programme</t>
        </is>
      </c>
      <c r="D290" s="12" t="inlineStr">
        <is>
          <t>SCH-02-011</t>
        </is>
      </c>
      <c r="E290" s="12" t="inlineStr">
        <is>
          <t>Harbour Station: architectural wall framing - inspection</t>
        </is>
      </c>
      <c r="F290" s="12" t="inlineStr">
        <is>
          <t>ONE_TO_ONE</t>
        </is>
      </c>
      <c r="G290" s="12" t="inlineStr">
        <is>
          <t>APPROVED</t>
        </is>
      </c>
      <c r="H290" s="12" t="inlineStr">
        <is>
          <t>New</t>
        </is>
      </c>
      <c r="I290" s="12" t="inlineStr">
        <is>
          <t>Source assignment -- not individually reviewed</t>
        </is>
      </c>
      <c r="J290" s="12" t="inlineStr"/>
      <c r="K290" s="12" t="inlineStr">
        <is>
          <t>Source assignment</t>
        </is>
      </c>
      <c r="L290" s="12" t="inlineStr"/>
      <c r="M290" s="12" t="inlineStr">
        <is>
          <t>Initial</t>
        </is>
      </c>
      <c r="N290" s="12" t="inlineStr">
        <is>
          <t>Rev 0</t>
        </is>
      </c>
      <c r="O290" s="12" t="inlineStr">
        <is>
          <t>R191-v1</t>
        </is>
      </c>
      <c r="P290" s="12" t="inlineStr"/>
      <c r="Q290" s="12" t="inlineStr"/>
      <c r="R290" s="12" t="inlineStr"/>
      <c r="S290" s="12" t="inlineStr"/>
      <c r="T290" s="12" t="inlineStr"/>
      <c r="U290" s="12" t="inlineStr"/>
      <c r="V290" s="12" t="inlineStr">
        <is>
          <t>WBS Code = 1.2.1</t>
        </is>
      </c>
      <c r="W290" s="12" t="inlineStr"/>
    </row>
    <row r="291" ht="49" customHeight="1">
      <c r="A291" s="12" t="inlineStr">
        <is>
          <t>1.2.1</t>
        </is>
      </c>
      <c r="B291" s="12" t="inlineStr">
        <is>
          <t>Stations - Station Structures</t>
        </is>
      </c>
      <c r="C291" s="12" t="inlineStr">
        <is>
          <t>Contractor Programme</t>
        </is>
      </c>
      <c r="D291" s="12" t="inlineStr">
        <is>
          <t>SCH-02-013</t>
        </is>
      </c>
      <c r="E291" s="12" t="inlineStr">
        <is>
          <t>Civic Station: concourse slab pour - release</t>
        </is>
      </c>
      <c r="F291" s="12" t="inlineStr">
        <is>
          <t>ONE_TO_ONE</t>
        </is>
      </c>
      <c r="G291" s="12" t="inlineStr">
        <is>
          <t>APPROVED</t>
        </is>
      </c>
      <c r="H291" s="12" t="inlineStr">
        <is>
          <t>New</t>
        </is>
      </c>
      <c r="I291" s="12" t="inlineStr">
        <is>
          <t>Source assignment -- not individually reviewed</t>
        </is>
      </c>
      <c r="J291" s="12" t="inlineStr"/>
      <c r="K291" s="12" t="inlineStr">
        <is>
          <t>Source assignment</t>
        </is>
      </c>
      <c r="L291" s="12" t="inlineStr"/>
      <c r="M291" s="12" t="inlineStr">
        <is>
          <t>Initial</t>
        </is>
      </c>
      <c r="N291" s="12" t="inlineStr">
        <is>
          <t>Rev 0</t>
        </is>
      </c>
      <c r="O291" s="12" t="inlineStr">
        <is>
          <t>R193-v1</t>
        </is>
      </c>
      <c r="P291" s="12" t="inlineStr"/>
      <c r="Q291" s="12" t="inlineStr"/>
      <c r="R291" s="12" t="inlineStr"/>
      <c r="S291" s="12" t="inlineStr"/>
      <c r="T291" s="12" t="inlineStr"/>
      <c r="U291" s="12" t="inlineStr"/>
      <c r="V291" s="12" t="inlineStr">
        <is>
          <t>WBS Code = 1.2.1</t>
        </is>
      </c>
      <c r="W291" s="12" t="inlineStr"/>
    </row>
    <row r="292" ht="49" customHeight="1">
      <c r="A292" s="12" t="inlineStr">
        <is>
          <t>1.2.1</t>
        </is>
      </c>
      <c r="B292" s="12" t="inlineStr">
        <is>
          <t>Stations - Station Structures</t>
        </is>
      </c>
      <c r="C292" s="12" t="inlineStr">
        <is>
          <t>Contractor Programme</t>
        </is>
      </c>
      <c r="D292" s="12" t="inlineStr">
        <is>
          <t>SCH-02-014</t>
        </is>
      </c>
      <c r="E292" s="12" t="inlineStr">
        <is>
          <t>University Station: station ventilation rough-in - field start</t>
        </is>
      </c>
      <c r="F292" s="12" t="inlineStr">
        <is>
          <t>ONE_TO_ONE</t>
        </is>
      </c>
      <c r="G292" s="12" t="inlineStr">
        <is>
          <t>APPROVED</t>
        </is>
      </c>
      <c r="H292" s="12" t="inlineStr">
        <is>
          <t>New</t>
        </is>
      </c>
      <c r="I292" s="12" t="inlineStr">
        <is>
          <t>Source assignment -- not individually reviewed</t>
        </is>
      </c>
      <c r="J292" s="12" t="inlineStr"/>
      <c r="K292" s="12" t="inlineStr">
        <is>
          <t>Source assignment</t>
        </is>
      </c>
      <c r="L292" s="12" t="inlineStr"/>
      <c r="M292" s="12" t="inlineStr">
        <is>
          <t>Initial</t>
        </is>
      </c>
      <c r="N292" s="12" t="inlineStr">
        <is>
          <t>Rev 0</t>
        </is>
      </c>
      <c r="O292" s="12" t="inlineStr">
        <is>
          <t>R194-v1</t>
        </is>
      </c>
      <c r="P292" s="12" t="inlineStr"/>
      <c r="Q292" s="12" t="inlineStr"/>
      <c r="R292" s="12" t="inlineStr"/>
      <c r="S292" s="12" t="inlineStr"/>
      <c r="T292" s="12" t="inlineStr"/>
      <c r="U292" s="12" t="inlineStr"/>
      <c r="V292" s="12" t="inlineStr">
        <is>
          <t>WBS Code = 1.2.1</t>
        </is>
      </c>
      <c r="W292" s="12" t="inlineStr"/>
    </row>
    <row r="293" ht="49" customHeight="1">
      <c r="A293" s="12" t="inlineStr">
        <is>
          <t>1.2.1</t>
        </is>
      </c>
      <c r="B293" s="12" t="inlineStr">
        <is>
          <t>Stations - Station Structures</t>
        </is>
      </c>
      <c r="C293" s="12" t="inlineStr">
        <is>
          <t>Contractor Programme</t>
        </is>
      </c>
      <c r="D293" s="12" t="inlineStr">
        <is>
          <t>SCH-02-016</t>
        </is>
      </c>
      <c r="E293" s="12" t="inlineStr">
        <is>
          <t>Harbour Station: entrance steel erection - inspection</t>
        </is>
      </c>
      <c r="F293" s="12" t="inlineStr">
        <is>
          <t>ONE_TO_ONE</t>
        </is>
      </c>
      <c r="G293" s="12" t="inlineStr">
        <is>
          <t>APPROVED</t>
        </is>
      </c>
      <c r="H293" s="12" t="inlineStr">
        <is>
          <t>New</t>
        </is>
      </c>
      <c r="I293" s="12" t="inlineStr">
        <is>
          <t>Source assignment -- not individually reviewed</t>
        </is>
      </c>
      <c r="J293" s="12" t="inlineStr"/>
      <c r="K293" s="12" t="inlineStr">
        <is>
          <t>Source assignment</t>
        </is>
      </c>
      <c r="L293" s="12" t="inlineStr"/>
      <c r="M293" s="12" t="inlineStr">
        <is>
          <t>Initial</t>
        </is>
      </c>
      <c r="N293" s="12" t="inlineStr">
        <is>
          <t>Rev 0</t>
        </is>
      </c>
      <c r="O293" s="12" t="inlineStr">
        <is>
          <t>R196-v1</t>
        </is>
      </c>
      <c r="P293" s="12" t="inlineStr"/>
      <c r="Q293" s="12" t="inlineStr"/>
      <c r="R293" s="12" t="inlineStr"/>
      <c r="S293" s="12" t="inlineStr"/>
      <c r="T293" s="12" t="inlineStr"/>
      <c r="U293" s="12" t="inlineStr"/>
      <c r="V293" s="12" t="inlineStr">
        <is>
          <t>WBS Code = 1.2.1</t>
        </is>
      </c>
      <c r="W293" s="12" t="inlineStr"/>
    </row>
    <row r="294" ht="49" customHeight="1">
      <c r="A294" s="12" t="inlineStr">
        <is>
          <t>1.2.1</t>
        </is>
      </c>
      <c r="B294" s="12" t="inlineStr">
        <is>
          <t>Stations - Station Structures</t>
        </is>
      </c>
      <c r="C294" s="12" t="inlineStr">
        <is>
          <t>Contractor Programme</t>
        </is>
      </c>
      <c r="D294" s="12" t="inlineStr">
        <is>
          <t>SCH-02-017</t>
        </is>
      </c>
      <c r="E294" s="12" t="inlineStr">
        <is>
          <t>Market Station: vertical-transport installation - turnover</t>
        </is>
      </c>
      <c r="F294" s="12" t="inlineStr">
        <is>
          <t>ONE_TO_ONE</t>
        </is>
      </c>
      <c r="G294" s="12" t="inlineStr">
        <is>
          <t>APPROVED</t>
        </is>
      </c>
      <c r="H294" s="12" t="inlineStr">
        <is>
          <t>New</t>
        </is>
      </c>
      <c r="I294" s="12" t="inlineStr">
        <is>
          <t>Source assignment -- not individually reviewed</t>
        </is>
      </c>
      <c r="J294" s="12" t="inlineStr"/>
      <c r="K294" s="12" t="inlineStr">
        <is>
          <t>Source assignment</t>
        </is>
      </c>
      <c r="L294" s="12" t="inlineStr"/>
      <c r="M294" s="12" t="inlineStr">
        <is>
          <t>Initial</t>
        </is>
      </c>
      <c r="N294" s="12" t="inlineStr">
        <is>
          <t>Rev 0</t>
        </is>
      </c>
      <c r="O294" s="12" t="inlineStr">
        <is>
          <t>R197-v1</t>
        </is>
      </c>
      <c r="P294" s="12" t="inlineStr"/>
      <c r="Q294" s="12" t="inlineStr"/>
      <c r="R294" s="12" t="inlineStr"/>
      <c r="S294" s="12" t="inlineStr"/>
      <c r="T294" s="12" t="inlineStr"/>
      <c r="U294" s="12" t="inlineStr"/>
      <c r="V294" s="12" t="inlineStr">
        <is>
          <t>WBS Code = 1.2.1</t>
        </is>
      </c>
      <c r="W294" s="12" t="inlineStr"/>
    </row>
    <row r="295" ht="49" customHeight="1">
      <c r="A295" s="12" t="inlineStr">
        <is>
          <t>1.2.1</t>
        </is>
      </c>
      <c r="B295" s="12" t="inlineStr">
        <is>
          <t>Stations - Station Structures</t>
        </is>
      </c>
      <c r="C295" s="12" t="inlineStr">
        <is>
          <t>Contractor Programme</t>
        </is>
      </c>
      <c r="D295" s="12" t="inlineStr">
        <is>
          <t>SCH-02-019</t>
        </is>
      </c>
      <c r="E295" s="12" t="inlineStr">
        <is>
          <t>University Station: architectural wall framing - field start</t>
        </is>
      </c>
      <c r="F295" s="12" t="inlineStr">
        <is>
          <t>ONE_TO_ONE</t>
        </is>
      </c>
      <c r="G295" s="12" t="inlineStr">
        <is>
          <t>APPROVED</t>
        </is>
      </c>
      <c r="H295" s="12" t="inlineStr">
        <is>
          <t>New</t>
        </is>
      </c>
      <c r="I295" s="12" t="inlineStr">
        <is>
          <t>Source assignment -- not individually reviewed</t>
        </is>
      </c>
      <c r="J295" s="12" t="inlineStr"/>
      <c r="K295" s="12" t="inlineStr">
        <is>
          <t>Source assignment</t>
        </is>
      </c>
      <c r="L295" s="12" t="inlineStr"/>
      <c r="M295" s="12" t="inlineStr">
        <is>
          <t>Initial</t>
        </is>
      </c>
      <c r="N295" s="12" t="inlineStr">
        <is>
          <t>Rev 0</t>
        </is>
      </c>
      <c r="O295" s="12" t="inlineStr">
        <is>
          <t>R199-v1</t>
        </is>
      </c>
      <c r="P295" s="12" t="inlineStr"/>
      <c r="Q295" s="12" t="inlineStr"/>
      <c r="R295" s="12" t="inlineStr"/>
      <c r="S295" s="12" t="inlineStr"/>
      <c r="T295" s="12" t="inlineStr"/>
      <c r="U295" s="12" t="inlineStr"/>
      <c r="V295" s="12" t="inlineStr">
        <is>
          <t>WBS Code = 1.2.1</t>
        </is>
      </c>
      <c r="W295" s="12" t="inlineStr"/>
    </row>
    <row r="296" ht="49" customHeight="1">
      <c r="A296" s="12" t="inlineStr">
        <is>
          <t>1.2.1</t>
        </is>
      </c>
      <c r="B296" s="12" t="inlineStr">
        <is>
          <t>Stations - Station Structures</t>
        </is>
      </c>
      <c r="C296" s="12" t="inlineStr">
        <is>
          <t>Contractor Programme</t>
        </is>
      </c>
      <c r="D296" s="12" t="inlineStr">
        <is>
          <t>SCH-02-020</t>
        </is>
      </c>
      <c r="E296" s="12" t="inlineStr">
        <is>
          <t>West Terminal: fire-life-safety cabling - installation</t>
        </is>
      </c>
      <c r="F296" s="12" t="inlineStr">
        <is>
          <t>ONE_TO_ONE</t>
        </is>
      </c>
      <c r="G296" s="12" t="inlineStr">
        <is>
          <t>APPROVED</t>
        </is>
      </c>
      <c r="H296" s="12" t="inlineStr">
        <is>
          <t>New</t>
        </is>
      </c>
      <c r="I296" s="12" t="inlineStr">
        <is>
          <t>Source assignment -- not individually reviewed</t>
        </is>
      </c>
      <c r="J296" s="12" t="inlineStr"/>
      <c r="K296" s="12" t="inlineStr">
        <is>
          <t>Source assignment</t>
        </is>
      </c>
      <c r="L296" s="12" t="inlineStr"/>
      <c r="M296" s="12" t="inlineStr">
        <is>
          <t>Initial</t>
        </is>
      </c>
      <c r="N296" s="12" t="inlineStr">
        <is>
          <t>Rev 0</t>
        </is>
      </c>
      <c r="O296" s="12" t="inlineStr">
        <is>
          <t>R200-v1</t>
        </is>
      </c>
      <c r="P296" s="12" t="inlineStr"/>
      <c r="Q296" s="12" t="inlineStr"/>
      <c r="R296" s="12" t="inlineStr"/>
      <c r="S296" s="12" t="inlineStr"/>
      <c r="T296" s="12" t="inlineStr"/>
      <c r="U296" s="12" t="inlineStr"/>
      <c r="V296" s="12" t="inlineStr">
        <is>
          <t>WBS Code = 1.2.1</t>
        </is>
      </c>
      <c r="W296" s="12" t="inlineStr"/>
    </row>
    <row r="297" ht="49" customHeight="1">
      <c r="A297" s="12" t="inlineStr">
        <is>
          <t>1.2.1</t>
        </is>
      </c>
      <c r="B297" s="12" t="inlineStr">
        <is>
          <t>Stations - Station Structures</t>
        </is>
      </c>
      <c r="C297" s="12" t="inlineStr">
        <is>
          <t>Contractor Programme</t>
        </is>
      </c>
      <c r="D297" s="12" t="inlineStr">
        <is>
          <t>SCH-02-022</t>
        </is>
      </c>
      <c r="E297" s="12" t="inlineStr">
        <is>
          <t>Market Station: station ventilation rough-in - turnover</t>
        </is>
      </c>
      <c r="F297" s="12" t="inlineStr">
        <is>
          <t>ONE_TO_ONE</t>
        </is>
      </c>
      <c r="G297" s="12" t="inlineStr">
        <is>
          <t>APPROVED</t>
        </is>
      </c>
      <c r="H297" s="12" t="inlineStr">
        <is>
          <t>New</t>
        </is>
      </c>
      <c r="I297" s="12" t="inlineStr">
        <is>
          <t>Source assignment -- not individually reviewed</t>
        </is>
      </c>
      <c r="J297" s="12" t="inlineStr"/>
      <c r="K297" s="12" t="inlineStr">
        <is>
          <t>Source assignment</t>
        </is>
      </c>
      <c r="L297" s="12" t="inlineStr"/>
      <c r="M297" s="12" t="inlineStr">
        <is>
          <t>Initial</t>
        </is>
      </c>
      <c r="N297" s="12" t="inlineStr">
        <is>
          <t>Rev 0</t>
        </is>
      </c>
      <c r="O297" s="12" t="inlineStr">
        <is>
          <t>R202-v1</t>
        </is>
      </c>
      <c r="P297" s="12" t="inlineStr"/>
      <c r="Q297" s="12" t="inlineStr"/>
      <c r="R297" s="12" t="inlineStr"/>
      <c r="S297" s="12" t="inlineStr"/>
      <c r="T297" s="12" t="inlineStr"/>
      <c r="U297" s="12" t="inlineStr"/>
      <c r="V297" s="12" t="inlineStr">
        <is>
          <t>WBS Code = 1.2.1</t>
        </is>
      </c>
      <c r="W297" s="12" t="inlineStr"/>
    </row>
    <row r="298" ht="49" customHeight="1">
      <c r="A298" s="12" t="inlineStr">
        <is>
          <t>1.2.1</t>
        </is>
      </c>
      <c r="B298" s="12" t="inlineStr">
        <is>
          <t>Stations - Station Structures</t>
        </is>
      </c>
      <c r="C298" s="12" t="inlineStr">
        <is>
          <t>Contractor Programme</t>
        </is>
      </c>
      <c r="D298" s="12" t="inlineStr">
        <is>
          <t>SCH-02-023</t>
        </is>
      </c>
      <c r="E298" s="12" t="inlineStr">
        <is>
          <t>Civic Station: public-realm paving - release</t>
        </is>
      </c>
      <c r="F298" s="12" t="inlineStr">
        <is>
          <t>ONE_TO_ONE</t>
        </is>
      </c>
      <c r="G298" s="12" t="inlineStr">
        <is>
          <t>APPROVED</t>
        </is>
      </c>
      <c r="H298" s="12" t="inlineStr">
        <is>
          <t>New</t>
        </is>
      </c>
      <c r="I298" s="12" t="inlineStr">
        <is>
          <t>Source assignment -- not individually reviewed</t>
        </is>
      </c>
      <c r="J298" s="12" t="inlineStr"/>
      <c r="K298" s="12" t="inlineStr">
        <is>
          <t>Source assignment</t>
        </is>
      </c>
      <c r="L298" s="12" t="inlineStr"/>
      <c r="M298" s="12" t="inlineStr">
        <is>
          <t>Initial</t>
        </is>
      </c>
      <c r="N298" s="12" t="inlineStr">
        <is>
          <t>Rev 0</t>
        </is>
      </c>
      <c r="O298" s="12" t="inlineStr">
        <is>
          <t>R203-v1</t>
        </is>
      </c>
      <c r="P298" s="12" t="inlineStr"/>
      <c r="Q298" s="12" t="inlineStr"/>
      <c r="R298" s="12" t="inlineStr"/>
      <c r="S298" s="12" t="inlineStr"/>
      <c r="T298" s="12" t="inlineStr"/>
      <c r="U298" s="12" t="inlineStr"/>
      <c r="V298" s="12" t="inlineStr">
        <is>
          <t>WBS Code = 1.2.1</t>
        </is>
      </c>
      <c r="W298" s="12" t="inlineStr"/>
    </row>
    <row r="299" ht="49" customHeight="1">
      <c r="A299" s="12" t="inlineStr">
        <is>
          <t>1.2.1</t>
        </is>
      </c>
      <c r="B299" s="12" t="inlineStr">
        <is>
          <t>Stations - Station Structures</t>
        </is>
      </c>
      <c r="C299" s="12" t="inlineStr">
        <is>
          <t>Contractor Programme</t>
        </is>
      </c>
      <c r="D299" s="12" t="inlineStr">
        <is>
          <t>SCH-02-025</t>
        </is>
      </c>
      <c r="E299" s="12" t="inlineStr">
        <is>
          <t>West Terminal: vertical-transport installation - installation</t>
        </is>
      </c>
      <c r="F299" s="12" t="inlineStr">
        <is>
          <t>ONE_TO_ONE</t>
        </is>
      </c>
      <c r="G299" s="12" t="inlineStr">
        <is>
          <t>APPROVED</t>
        </is>
      </c>
      <c r="H299" s="12" t="inlineStr">
        <is>
          <t>New</t>
        </is>
      </c>
      <c r="I299" s="12" t="inlineStr">
        <is>
          <t>Source assignment -- not individually reviewed</t>
        </is>
      </c>
      <c r="J299" s="12" t="inlineStr"/>
      <c r="K299" s="12" t="inlineStr">
        <is>
          <t>Source assignment</t>
        </is>
      </c>
      <c r="L299" s="12" t="inlineStr"/>
      <c r="M299" s="12" t="inlineStr">
        <is>
          <t>Initial</t>
        </is>
      </c>
      <c r="N299" s="12" t="inlineStr">
        <is>
          <t>Rev 0</t>
        </is>
      </c>
      <c r="O299" s="12" t="inlineStr">
        <is>
          <t>R205-v1</t>
        </is>
      </c>
      <c r="P299" s="12" t="inlineStr"/>
      <c r="Q299" s="12" t="inlineStr"/>
      <c r="R299" s="12" t="inlineStr"/>
      <c r="S299" s="12" t="inlineStr"/>
      <c r="T299" s="12" t="inlineStr"/>
      <c r="U299" s="12" t="inlineStr"/>
      <c r="V299" s="12" t="inlineStr">
        <is>
          <t>WBS Code = 1.2.1</t>
        </is>
      </c>
      <c r="W299" s="12" t="inlineStr"/>
    </row>
    <row r="300" ht="49" customHeight="1">
      <c r="A300" s="12" t="inlineStr">
        <is>
          <t>1.2.1</t>
        </is>
      </c>
      <c r="B300" s="12" t="inlineStr">
        <is>
          <t>Stations - Station Structures</t>
        </is>
      </c>
      <c r="C300" s="12" t="inlineStr">
        <is>
          <t>Contractor Programme</t>
        </is>
      </c>
      <c r="D300" s="12" t="inlineStr">
        <is>
          <t>SCH-02-026</t>
        </is>
      </c>
      <c r="E300" s="12" t="inlineStr">
        <is>
          <t>Harbour Station: platform edge installation - inspection</t>
        </is>
      </c>
      <c r="F300" s="12" t="inlineStr">
        <is>
          <t>ONE_TO_ONE</t>
        </is>
      </c>
      <c r="G300" s="12" t="inlineStr">
        <is>
          <t>APPROVED</t>
        </is>
      </c>
      <c r="H300" s="12" t="inlineStr">
        <is>
          <t>New</t>
        </is>
      </c>
      <c r="I300" s="12" t="inlineStr">
        <is>
          <t>Source assignment -- not individually reviewed</t>
        </is>
      </c>
      <c r="J300" s="12" t="inlineStr"/>
      <c r="K300" s="12" t="inlineStr">
        <is>
          <t>Source assignment</t>
        </is>
      </c>
      <c r="L300" s="12" t="inlineStr"/>
      <c r="M300" s="12" t="inlineStr">
        <is>
          <t>Initial</t>
        </is>
      </c>
      <c r="N300" s="12" t="inlineStr">
        <is>
          <t>Rev 0</t>
        </is>
      </c>
      <c r="O300" s="12" t="inlineStr">
        <is>
          <t>R206-v1</t>
        </is>
      </c>
      <c r="P300" s="12" t="inlineStr"/>
      <c r="Q300" s="12" t="inlineStr"/>
      <c r="R300" s="12" t="inlineStr"/>
      <c r="S300" s="12" t="inlineStr"/>
      <c r="T300" s="12" t="inlineStr"/>
      <c r="U300" s="12" t="inlineStr"/>
      <c r="V300" s="12" t="inlineStr">
        <is>
          <t>WBS Code = 1.2.1</t>
        </is>
      </c>
      <c r="W300" s="12" t="inlineStr"/>
    </row>
    <row r="301" ht="49" customHeight="1">
      <c r="A301" s="12" t="inlineStr">
        <is>
          <t>1.2.1</t>
        </is>
      </c>
      <c r="B301" s="12" t="inlineStr">
        <is>
          <t>Stations - Station Structures</t>
        </is>
      </c>
      <c r="C301" s="12" t="inlineStr">
        <is>
          <t>Contractor Programme</t>
        </is>
      </c>
      <c r="D301" s="12" t="inlineStr">
        <is>
          <t>SCH-02-028</t>
        </is>
      </c>
      <c r="E301" s="12" t="inlineStr">
        <is>
          <t>Civic Station: fire-life-safety cabling - release</t>
        </is>
      </c>
      <c r="F301" s="12" t="inlineStr">
        <is>
          <t>ONE_TO_ONE</t>
        </is>
      </c>
      <c r="G301" s="12" t="inlineStr">
        <is>
          <t>APPROVED</t>
        </is>
      </c>
      <c r="H301" s="12" t="inlineStr">
        <is>
          <t>New</t>
        </is>
      </c>
      <c r="I301" s="12" t="inlineStr">
        <is>
          <t>Source assignment -- not individually reviewed</t>
        </is>
      </c>
      <c r="J301" s="12" t="inlineStr"/>
      <c r="K301" s="12" t="inlineStr">
        <is>
          <t>Source assignment</t>
        </is>
      </c>
      <c r="L301" s="12" t="inlineStr"/>
      <c r="M301" s="12" t="inlineStr">
        <is>
          <t>Initial</t>
        </is>
      </c>
      <c r="N301" s="12" t="inlineStr">
        <is>
          <t>Rev 0</t>
        </is>
      </c>
      <c r="O301" s="12" t="inlineStr">
        <is>
          <t>R208-v1</t>
        </is>
      </c>
      <c r="P301" s="12" t="inlineStr"/>
      <c r="Q301" s="12" t="inlineStr"/>
      <c r="R301" s="12" t="inlineStr"/>
      <c r="S301" s="12" t="inlineStr"/>
      <c r="T301" s="12" t="inlineStr"/>
      <c r="U301" s="12" t="inlineStr"/>
      <c r="V301" s="12" t="inlineStr">
        <is>
          <t>WBS Code = 1.2.1</t>
        </is>
      </c>
      <c r="W301" s="12" t="inlineStr"/>
    </row>
    <row r="302" ht="49" customHeight="1">
      <c r="A302" s="12" t="inlineStr">
        <is>
          <t>1.2.1</t>
        </is>
      </c>
      <c r="B302" s="12" t="inlineStr">
        <is>
          <t>Stations - Station Structures</t>
        </is>
      </c>
      <c r="C302" s="12" t="inlineStr">
        <is>
          <t>Contractor Programme</t>
        </is>
      </c>
      <c r="D302" s="12" t="inlineStr">
        <is>
          <t>SCH-02-029</t>
        </is>
      </c>
      <c r="E302" s="12" t="inlineStr">
        <is>
          <t>University Station: concourse slab pour - field start</t>
        </is>
      </c>
      <c r="F302" s="12" t="inlineStr">
        <is>
          <t>ONE_TO_ONE</t>
        </is>
      </c>
      <c r="G302" s="12" t="inlineStr">
        <is>
          <t>APPROVED</t>
        </is>
      </c>
      <c r="H302" s="12" t="inlineStr">
        <is>
          <t>New</t>
        </is>
      </c>
      <c r="I302" s="12" t="inlineStr">
        <is>
          <t>Source assignment -- not individually reviewed</t>
        </is>
      </c>
      <c r="J302" s="12" t="inlineStr"/>
      <c r="K302" s="12" t="inlineStr">
        <is>
          <t>Source assignment</t>
        </is>
      </c>
      <c r="L302" s="12" t="inlineStr"/>
      <c r="M302" s="12" t="inlineStr">
        <is>
          <t>Initial</t>
        </is>
      </c>
      <c r="N302" s="12" t="inlineStr">
        <is>
          <t>Rev 0</t>
        </is>
      </c>
      <c r="O302" s="12" t="inlineStr">
        <is>
          <t>R209-v1</t>
        </is>
      </c>
      <c r="P302" s="12" t="inlineStr"/>
      <c r="Q302" s="12" t="inlineStr"/>
      <c r="R302" s="12" t="inlineStr"/>
      <c r="S302" s="12" t="inlineStr"/>
      <c r="T302" s="12" t="inlineStr"/>
      <c r="U302" s="12" t="inlineStr"/>
      <c r="V302" s="12" t="inlineStr">
        <is>
          <t>WBS Code = 1.2.1</t>
        </is>
      </c>
      <c r="W302" s="12" t="inlineStr"/>
    </row>
    <row r="303" ht="49" customHeight="1">
      <c r="A303" s="12" t="inlineStr">
        <is>
          <t>1.2.1</t>
        </is>
      </c>
      <c r="B303" s="12" t="inlineStr">
        <is>
          <t>Stations - Station Structures</t>
        </is>
      </c>
      <c r="C303" s="12" t="inlineStr">
        <is>
          <t>Contractor Programme</t>
        </is>
      </c>
      <c r="D303" s="12" t="inlineStr">
        <is>
          <t>SCH-02-031</t>
        </is>
      </c>
      <c r="E303" s="12" t="inlineStr">
        <is>
          <t>Harbour Station: public-realm paving - inspection</t>
        </is>
      </c>
      <c r="F303" s="12" t="inlineStr">
        <is>
          <t>ONE_TO_ONE</t>
        </is>
      </c>
      <c r="G303" s="12" t="inlineStr">
        <is>
          <t>APPROVED</t>
        </is>
      </c>
      <c r="H303" s="12" t="inlineStr">
        <is>
          <t>New</t>
        </is>
      </c>
      <c r="I303" s="12" t="inlineStr">
        <is>
          <t>Source assignment -- not individually reviewed</t>
        </is>
      </c>
      <c r="J303" s="12" t="inlineStr"/>
      <c r="K303" s="12" t="inlineStr">
        <is>
          <t>Source assignment</t>
        </is>
      </c>
      <c r="L303" s="12" t="inlineStr"/>
      <c r="M303" s="12" t="inlineStr">
        <is>
          <t>Initial</t>
        </is>
      </c>
      <c r="N303" s="12" t="inlineStr">
        <is>
          <t>Rev 0</t>
        </is>
      </c>
      <c r="O303" s="12" t="inlineStr">
        <is>
          <t>R211-v1</t>
        </is>
      </c>
      <c r="P303" s="12" t="inlineStr"/>
      <c r="Q303" s="12" t="inlineStr"/>
      <c r="R303" s="12" t="inlineStr"/>
      <c r="S303" s="12" t="inlineStr"/>
      <c r="T303" s="12" t="inlineStr"/>
      <c r="U303" s="12" t="inlineStr"/>
      <c r="V303" s="12" t="inlineStr">
        <is>
          <t>WBS Code = 1.2.1</t>
        </is>
      </c>
      <c r="W303" s="12" t="inlineStr"/>
    </row>
    <row r="304" ht="49" customHeight="1">
      <c r="A304" s="12" t="inlineStr">
        <is>
          <t>1.2.1</t>
        </is>
      </c>
      <c r="B304" s="12" t="inlineStr">
        <is>
          <t>Stations - Station Structures</t>
        </is>
      </c>
      <c r="C304" s="12" t="inlineStr">
        <is>
          <t>Contractor Programme</t>
        </is>
      </c>
      <c r="D304" s="12" t="inlineStr">
        <is>
          <t>SCH-02-032</t>
        </is>
      </c>
      <c r="E304" s="12" t="inlineStr">
        <is>
          <t>Market Station: entrance steel erection - turnover</t>
        </is>
      </c>
      <c r="F304" s="12" t="inlineStr">
        <is>
          <t>ONE_TO_ONE</t>
        </is>
      </c>
      <c r="G304" s="12" t="inlineStr">
        <is>
          <t>APPROVED</t>
        </is>
      </c>
      <c r="H304" s="12" t="inlineStr">
        <is>
          <t>New</t>
        </is>
      </c>
      <c r="I304" s="12" t="inlineStr">
        <is>
          <t>Source assignment -- not individually reviewed</t>
        </is>
      </c>
      <c r="J304" s="12" t="inlineStr"/>
      <c r="K304" s="12" t="inlineStr">
        <is>
          <t>Source assignment</t>
        </is>
      </c>
      <c r="L304" s="12" t="inlineStr"/>
      <c r="M304" s="12" t="inlineStr">
        <is>
          <t>Initial</t>
        </is>
      </c>
      <c r="N304" s="12" t="inlineStr">
        <is>
          <t>Rev 0</t>
        </is>
      </c>
      <c r="O304" s="12" t="inlineStr">
        <is>
          <t>R212-v1</t>
        </is>
      </c>
      <c r="P304" s="12" t="inlineStr"/>
      <c r="Q304" s="12" t="inlineStr"/>
      <c r="R304" s="12" t="inlineStr"/>
      <c r="S304" s="12" t="inlineStr"/>
      <c r="T304" s="12" t="inlineStr"/>
      <c r="U304" s="12" t="inlineStr"/>
      <c r="V304" s="12" t="inlineStr">
        <is>
          <t>WBS Code = 1.2.1</t>
        </is>
      </c>
      <c r="W304" s="12" t="inlineStr"/>
    </row>
    <row r="305" ht="49" customHeight="1">
      <c r="A305" s="12" t="inlineStr">
        <is>
          <t>1.2.1</t>
        </is>
      </c>
      <c r="B305" s="12" t="inlineStr">
        <is>
          <t>Stations - Station Structures</t>
        </is>
      </c>
      <c r="C305" s="12" t="inlineStr">
        <is>
          <t>Contractor Programme</t>
        </is>
      </c>
      <c r="D305" s="12" t="inlineStr">
        <is>
          <t>SCH-02-034</t>
        </is>
      </c>
      <c r="E305" s="12" t="inlineStr">
        <is>
          <t>University Station: platform edge installation - field start</t>
        </is>
      </c>
      <c r="F305" s="12" t="inlineStr">
        <is>
          <t>ONE_TO_ONE</t>
        </is>
      </c>
      <c r="G305" s="12" t="inlineStr">
        <is>
          <t>APPROVED</t>
        </is>
      </c>
      <c r="H305" s="12" t="inlineStr">
        <is>
          <t>New</t>
        </is>
      </c>
      <c r="I305" s="12" t="inlineStr">
        <is>
          <t>Source assignment -- not individually reviewed</t>
        </is>
      </c>
      <c r="J305" s="12" t="inlineStr"/>
      <c r="K305" s="12" t="inlineStr">
        <is>
          <t>Source assignment</t>
        </is>
      </c>
      <c r="L305" s="12" t="inlineStr"/>
      <c r="M305" s="12" t="inlineStr">
        <is>
          <t>Initial</t>
        </is>
      </c>
      <c r="N305" s="12" t="inlineStr">
        <is>
          <t>Rev 0</t>
        </is>
      </c>
      <c r="O305" s="12" t="inlineStr">
        <is>
          <t>R214-v1</t>
        </is>
      </c>
      <c r="P305" s="12" t="inlineStr"/>
      <c r="Q305" s="12" t="inlineStr"/>
      <c r="R305" s="12" t="inlineStr"/>
      <c r="S305" s="12" t="inlineStr"/>
      <c r="T305" s="12" t="inlineStr"/>
      <c r="U305" s="12" t="inlineStr"/>
      <c r="V305" s="12" t="inlineStr">
        <is>
          <t>WBS Code = 1.2.1</t>
        </is>
      </c>
      <c r="W305" s="12" t="inlineStr"/>
    </row>
    <row r="306" ht="49" customHeight="1">
      <c r="A306" s="12" t="inlineStr">
        <is>
          <t>1.2.1</t>
        </is>
      </c>
      <c r="B306" s="12" t="inlineStr">
        <is>
          <t>Stations - Station Structures</t>
        </is>
      </c>
      <c r="C306" s="12" t="inlineStr">
        <is>
          <t>Contractor Programme</t>
        </is>
      </c>
      <c r="D306" s="12" t="inlineStr">
        <is>
          <t>SCH-02-035</t>
        </is>
      </c>
      <c r="E306" s="12" t="inlineStr">
        <is>
          <t>West Terminal: architectural wall framing - installation</t>
        </is>
      </c>
      <c r="F306" s="12" t="inlineStr">
        <is>
          <t>ONE_TO_ONE</t>
        </is>
      </c>
      <c r="G306" s="12" t="inlineStr">
        <is>
          <t>APPROVED</t>
        </is>
      </c>
      <c r="H306" s="12" t="inlineStr">
        <is>
          <t>New</t>
        </is>
      </c>
      <c r="I306" s="12" t="inlineStr">
        <is>
          <t>Source assignment -- not individually reviewed</t>
        </is>
      </c>
      <c r="J306" s="12" t="inlineStr"/>
      <c r="K306" s="12" t="inlineStr">
        <is>
          <t>Source assignment</t>
        </is>
      </c>
      <c r="L306" s="12" t="inlineStr"/>
      <c r="M306" s="12" t="inlineStr">
        <is>
          <t>Initial</t>
        </is>
      </c>
      <c r="N306" s="12" t="inlineStr">
        <is>
          <t>Rev 0</t>
        </is>
      </c>
      <c r="O306" s="12" t="inlineStr">
        <is>
          <t>R215-v1</t>
        </is>
      </c>
      <c r="P306" s="12" t="inlineStr"/>
      <c r="Q306" s="12" t="inlineStr"/>
      <c r="R306" s="12" t="inlineStr"/>
      <c r="S306" s="12" t="inlineStr"/>
      <c r="T306" s="12" t="inlineStr"/>
      <c r="U306" s="12" t="inlineStr"/>
      <c r="V306" s="12" t="inlineStr">
        <is>
          <t>WBS Code = 1.2.1</t>
        </is>
      </c>
      <c r="W306" s="12" t="inlineStr"/>
    </row>
    <row r="307" ht="49" customHeight="1">
      <c r="A307" s="12" t="inlineStr">
        <is>
          <t>1.2.1</t>
        </is>
      </c>
      <c r="B307" s="12" t="inlineStr">
        <is>
          <t>Stations - Station Structures</t>
        </is>
      </c>
      <c r="C307" s="12" t="inlineStr">
        <is>
          <t>Contractor Programme</t>
        </is>
      </c>
      <c r="D307" s="12" t="inlineStr">
        <is>
          <t>SCH-02-037</t>
        </is>
      </c>
      <c r="E307" s="12" t="inlineStr">
        <is>
          <t>Market Station: concourse slab pour - turnover</t>
        </is>
      </c>
      <c r="F307" s="12" t="inlineStr">
        <is>
          <t>ONE_TO_ONE</t>
        </is>
      </c>
      <c r="G307" s="12" t="inlineStr">
        <is>
          <t>APPROVED</t>
        </is>
      </c>
      <c r="H307" s="12" t="inlineStr">
        <is>
          <t>New</t>
        </is>
      </c>
      <c r="I307" s="12" t="inlineStr">
        <is>
          <t>Source assignment -- not individually reviewed</t>
        </is>
      </c>
      <c r="J307" s="12" t="inlineStr"/>
      <c r="K307" s="12" t="inlineStr">
        <is>
          <t>Source assignment</t>
        </is>
      </c>
      <c r="L307" s="12" t="inlineStr"/>
      <c r="M307" s="12" t="inlineStr">
        <is>
          <t>Initial</t>
        </is>
      </c>
      <c r="N307" s="12" t="inlineStr">
        <is>
          <t>Rev 0</t>
        </is>
      </c>
      <c r="O307" s="12" t="inlineStr">
        <is>
          <t>R217-v1</t>
        </is>
      </c>
      <c r="P307" s="12" t="inlineStr"/>
      <c r="Q307" s="12" t="inlineStr"/>
      <c r="R307" s="12" t="inlineStr"/>
      <c r="S307" s="12" t="inlineStr"/>
      <c r="T307" s="12" t="inlineStr"/>
      <c r="U307" s="12" t="inlineStr"/>
      <c r="V307" s="12" t="inlineStr">
        <is>
          <t>WBS Code = 1.2.1</t>
        </is>
      </c>
      <c r="W307" s="12" t="inlineStr"/>
    </row>
    <row r="308" ht="49" customHeight="1">
      <c r="A308" s="12" t="inlineStr">
        <is>
          <t>1.2.1</t>
        </is>
      </c>
      <c r="B308" s="12" t="inlineStr">
        <is>
          <t>Stations - Station Structures</t>
        </is>
      </c>
      <c r="C308" s="12" t="inlineStr">
        <is>
          <t>Contractor Programme</t>
        </is>
      </c>
      <c r="D308" s="12" t="inlineStr">
        <is>
          <t>SCH-02-038</t>
        </is>
      </c>
      <c r="E308" s="12" t="inlineStr">
        <is>
          <t>Civic Station: station ventilation rough-in - release</t>
        </is>
      </c>
      <c r="F308" s="12" t="inlineStr">
        <is>
          <t>ONE_TO_ONE</t>
        </is>
      </c>
      <c r="G308" s="12" t="inlineStr">
        <is>
          <t>APPROVED</t>
        </is>
      </c>
      <c r="H308" s="12" t="inlineStr">
        <is>
          <t>New</t>
        </is>
      </c>
      <c r="I308" s="12" t="inlineStr">
        <is>
          <t>Source assignment -- not individually reviewed</t>
        </is>
      </c>
      <c r="J308" s="12" t="inlineStr"/>
      <c r="K308" s="12" t="inlineStr">
        <is>
          <t>Source assignment</t>
        </is>
      </c>
      <c r="L308" s="12" t="inlineStr"/>
      <c r="M308" s="12" t="inlineStr">
        <is>
          <t>Initial</t>
        </is>
      </c>
      <c r="N308" s="12" t="inlineStr">
        <is>
          <t>Rev 0</t>
        </is>
      </c>
      <c r="O308" s="12" t="inlineStr">
        <is>
          <t>R218-v1</t>
        </is>
      </c>
      <c r="P308" s="12" t="inlineStr"/>
      <c r="Q308" s="12" t="inlineStr"/>
      <c r="R308" s="12" t="inlineStr"/>
      <c r="S308" s="12" t="inlineStr"/>
      <c r="T308" s="12" t="inlineStr"/>
      <c r="U308" s="12" t="inlineStr"/>
      <c r="V308" s="12" t="inlineStr">
        <is>
          <t>WBS Code = 1.2.1</t>
        </is>
      </c>
      <c r="W308" s="12" t="inlineStr"/>
    </row>
    <row r="309" ht="49" customHeight="1">
      <c r="A309" s="12" t="inlineStr">
        <is>
          <t>1.2.1</t>
        </is>
      </c>
      <c r="B309" s="12" t="inlineStr">
        <is>
          <t>Stations - Station Structures</t>
        </is>
      </c>
      <c r="C309" s="12" t="inlineStr">
        <is>
          <t>Contractor Programme</t>
        </is>
      </c>
      <c r="D309" s="12" t="inlineStr">
        <is>
          <t>SCH-02-040</t>
        </is>
      </c>
      <c r="E309" s="12" t="inlineStr">
        <is>
          <t>West Terminal: entrance steel erection - installation</t>
        </is>
      </c>
      <c r="F309" s="12" t="inlineStr">
        <is>
          <t>ONE_TO_ONE</t>
        </is>
      </c>
      <c r="G309" s="12" t="inlineStr">
        <is>
          <t>APPROVED</t>
        </is>
      </c>
      <c r="H309" s="12" t="inlineStr">
        <is>
          <t>New</t>
        </is>
      </c>
      <c r="I309" s="12" t="inlineStr">
        <is>
          <t>Source assignment -- not individually reviewed</t>
        </is>
      </c>
      <c r="J309" s="12" t="inlineStr"/>
      <c r="K309" s="12" t="inlineStr">
        <is>
          <t>Source assignment</t>
        </is>
      </c>
      <c r="L309" s="12" t="inlineStr"/>
      <c r="M309" s="12" t="inlineStr">
        <is>
          <t>Initial</t>
        </is>
      </c>
      <c r="N309" s="12" t="inlineStr">
        <is>
          <t>Rev 0</t>
        </is>
      </c>
      <c r="O309" s="12" t="inlineStr">
        <is>
          <t>R220-v1</t>
        </is>
      </c>
      <c r="P309" s="12" t="inlineStr"/>
      <c r="Q309" s="12" t="inlineStr"/>
      <c r="R309" s="12" t="inlineStr"/>
      <c r="S309" s="12" t="inlineStr"/>
      <c r="T309" s="12" t="inlineStr"/>
      <c r="U309" s="12" t="inlineStr"/>
      <c r="V309" s="12" t="inlineStr">
        <is>
          <t>WBS Code = 1.2.1</t>
        </is>
      </c>
      <c r="W309" s="12" t="inlineStr"/>
    </row>
    <row r="310" ht="49" customHeight="1">
      <c r="A310" s="12" t="inlineStr">
        <is>
          <t>1.2.1</t>
        </is>
      </c>
      <c r="B310" s="12" t="inlineStr">
        <is>
          <t>Stations - Station Structures</t>
        </is>
      </c>
      <c r="C310" s="12" t="inlineStr">
        <is>
          <t>Contractor Programme</t>
        </is>
      </c>
      <c r="D310" s="12" t="inlineStr">
        <is>
          <t>SCH-02-041</t>
        </is>
      </c>
      <c r="E310" s="12" t="inlineStr">
        <is>
          <t>Harbour Station: vertical-transport installation - inspection</t>
        </is>
      </c>
      <c r="F310" s="12" t="inlineStr">
        <is>
          <t>ONE_TO_ONE</t>
        </is>
      </c>
      <c r="G310" s="12" t="inlineStr">
        <is>
          <t>APPROVED</t>
        </is>
      </c>
      <c r="H310" s="12" t="inlineStr">
        <is>
          <t>New</t>
        </is>
      </c>
      <c r="I310" s="12" t="inlineStr">
        <is>
          <t>Source assignment -- not individually reviewed</t>
        </is>
      </c>
      <c r="J310" s="12" t="inlineStr"/>
      <c r="K310" s="12" t="inlineStr">
        <is>
          <t>Source assignment</t>
        </is>
      </c>
      <c r="L310" s="12" t="inlineStr"/>
      <c r="M310" s="12" t="inlineStr">
        <is>
          <t>Initial</t>
        </is>
      </c>
      <c r="N310" s="12" t="inlineStr">
        <is>
          <t>Rev 0</t>
        </is>
      </c>
      <c r="O310" s="12" t="inlineStr">
        <is>
          <t>R221-v1</t>
        </is>
      </c>
      <c r="P310" s="12" t="inlineStr"/>
      <c r="Q310" s="12" t="inlineStr"/>
      <c r="R310" s="12" t="inlineStr"/>
      <c r="S310" s="12" t="inlineStr"/>
      <c r="T310" s="12" t="inlineStr"/>
      <c r="U310" s="12" t="inlineStr"/>
      <c r="V310" s="12" t="inlineStr">
        <is>
          <t>WBS Code = 1.2.1</t>
        </is>
      </c>
      <c r="W310" s="12" t="inlineStr"/>
    </row>
    <row r="311" ht="49" customHeight="1">
      <c r="A311" s="12" t="inlineStr">
        <is>
          <t>1.2.1</t>
        </is>
      </c>
      <c r="B311" s="12" t="inlineStr">
        <is>
          <t>Stations - Station Structures</t>
        </is>
      </c>
      <c r="C311" s="12" t="inlineStr">
        <is>
          <t>Contractor Programme</t>
        </is>
      </c>
      <c r="D311" s="12" t="inlineStr">
        <is>
          <t>SCH-02-043</t>
        </is>
      </c>
      <c r="E311" s="12" t="inlineStr">
        <is>
          <t>Civic Station: architectural wall framing - release</t>
        </is>
      </c>
      <c r="F311" s="12" t="inlineStr">
        <is>
          <t>ONE_TO_ONE</t>
        </is>
      </c>
      <c r="G311" s="12" t="inlineStr">
        <is>
          <t>APPROVED</t>
        </is>
      </c>
      <c r="H311" s="12" t="inlineStr">
        <is>
          <t>New</t>
        </is>
      </c>
      <c r="I311" s="12" t="inlineStr">
        <is>
          <t>Source assignment -- not individually reviewed</t>
        </is>
      </c>
      <c r="J311" s="12" t="inlineStr"/>
      <c r="K311" s="12" t="inlineStr">
        <is>
          <t>Source assignment</t>
        </is>
      </c>
      <c r="L311" s="12" t="inlineStr"/>
      <c r="M311" s="12" t="inlineStr">
        <is>
          <t>Initial</t>
        </is>
      </c>
      <c r="N311" s="12" t="inlineStr">
        <is>
          <t>Rev 0</t>
        </is>
      </c>
      <c r="O311" s="12" t="inlineStr">
        <is>
          <t>R223-v1</t>
        </is>
      </c>
      <c r="P311" s="12" t="inlineStr"/>
      <c r="Q311" s="12" t="inlineStr"/>
      <c r="R311" s="12" t="inlineStr"/>
      <c r="S311" s="12" t="inlineStr"/>
      <c r="T311" s="12" t="inlineStr"/>
      <c r="U311" s="12" t="inlineStr"/>
      <c r="V311" s="12" t="inlineStr">
        <is>
          <t>WBS Code = 1.2.1</t>
        </is>
      </c>
      <c r="W311" s="12" t="inlineStr"/>
    </row>
    <row r="312" ht="49" customHeight="1">
      <c r="A312" s="12" t="inlineStr">
        <is>
          <t>1.2.1</t>
        </is>
      </c>
      <c r="B312" s="12" t="inlineStr">
        <is>
          <t>Stations - Station Structures</t>
        </is>
      </c>
      <c r="C312" s="12" t="inlineStr">
        <is>
          <t>Contractor Programme</t>
        </is>
      </c>
      <c r="D312" s="12" t="inlineStr">
        <is>
          <t>SCH-02-044</t>
        </is>
      </c>
      <c r="E312" s="12" t="inlineStr">
        <is>
          <t>University Station: fire-life-safety cabling - field start</t>
        </is>
      </c>
      <c r="F312" s="12" t="inlineStr">
        <is>
          <t>ONE_TO_ONE</t>
        </is>
      </c>
      <c r="G312" s="12" t="inlineStr">
        <is>
          <t>APPROVED</t>
        </is>
      </c>
      <c r="H312" s="12" t="inlineStr">
        <is>
          <t>New</t>
        </is>
      </c>
      <c r="I312" s="12" t="inlineStr">
        <is>
          <t>Source assignment -- not individually reviewed</t>
        </is>
      </c>
      <c r="J312" s="12" t="inlineStr"/>
      <c r="K312" s="12" t="inlineStr">
        <is>
          <t>Source assignment</t>
        </is>
      </c>
      <c r="L312" s="12" t="inlineStr"/>
      <c r="M312" s="12" t="inlineStr">
        <is>
          <t>Initial</t>
        </is>
      </c>
      <c r="N312" s="12" t="inlineStr">
        <is>
          <t>Rev 0</t>
        </is>
      </c>
      <c r="O312" s="12" t="inlineStr">
        <is>
          <t>R224-v1</t>
        </is>
      </c>
      <c r="P312" s="12" t="inlineStr"/>
      <c r="Q312" s="12" t="inlineStr"/>
      <c r="R312" s="12" t="inlineStr"/>
      <c r="S312" s="12" t="inlineStr"/>
      <c r="T312" s="12" t="inlineStr"/>
      <c r="U312" s="12" t="inlineStr"/>
      <c r="V312" s="12" t="inlineStr">
        <is>
          <t>WBS Code = 1.2.1</t>
        </is>
      </c>
      <c r="W312" s="12" t="inlineStr"/>
    </row>
    <row r="313" ht="49" customHeight="1">
      <c r="A313" s="12" t="inlineStr">
        <is>
          <t>1.2.1</t>
        </is>
      </c>
      <c r="B313" s="12" t="inlineStr">
        <is>
          <t>Stations - Station Structures</t>
        </is>
      </c>
      <c r="C313" s="12" t="inlineStr">
        <is>
          <t>Contractor Programme</t>
        </is>
      </c>
      <c r="D313" s="12" t="inlineStr">
        <is>
          <t>SCH-02-046</t>
        </is>
      </c>
      <c r="E313" s="12" t="inlineStr">
        <is>
          <t>Harbour Station: station ventilation rough-in - inspection</t>
        </is>
      </c>
      <c r="F313" s="12" t="inlineStr">
        <is>
          <t>ONE_TO_ONE</t>
        </is>
      </c>
      <c r="G313" s="12" t="inlineStr">
        <is>
          <t>APPROVED</t>
        </is>
      </c>
      <c r="H313" s="12" t="inlineStr">
        <is>
          <t>New</t>
        </is>
      </c>
      <c r="I313" s="12" t="inlineStr">
        <is>
          <t>Source assignment -- not individually reviewed</t>
        </is>
      </c>
      <c r="J313" s="12" t="inlineStr"/>
      <c r="K313" s="12" t="inlineStr">
        <is>
          <t>Source assignment</t>
        </is>
      </c>
      <c r="L313" s="12" t="inlineStr"/>
      <c r="M313" s="12" t="inlineStr">
        <is>
          <t>Initial</t>
        </is>
      </c>
      <c r="N313" s="12" t="inlineStr">
        <is>
          <t>Rev 0</t>
        </is>
      </c>
      <c r="O313" s="12" t="inlineStr">
        <is>
          <t>R226-v1</t>
        </is>
      </c>
      <c r="P313" s="12" t="inlineStr"/>
      <c r="Q313" s="12" t="inlineStr"/>
      <c r="R313" s="12" t="inlineStr"/>
      <c r="S313" s="12" t="inlineStr"/>
      <c r="T313" s="12" t="inlineStr"/>
      <c r="U313" s="12" t="inlineStr"/>
      <c r="V313" s="12" t="inlineStr">
        <is>
          <t>WBS Code = 1.2.1</t>
        </is>
      </c>
      <c r="W313" s="12" t="inlineStr"/>
    </row>
    <row r="314" ht="49" customHeight="1">
      <c r="A314" s="12" t="inlineStr">
        <is>
          <t>1.2.1</t>
        </is>
      </c>
      <c r="B314" s="12" t="inlineStr">
        <is>
          <t>Stations - Station Structures</t>
        </is>
      </c>
      <c r="C314" s="12" t="inlineStr">
        <is>
          <t>Contractor Programme</t>
        </is>
      </c>
      <c r="D314" s="12" t="inlineStr">
        <is>
          <t>SCH-02-047</t>
        </is>
      </c>
      <c r="E314" s="12" t="inlineStr">
        <is>
          <t>Market Station: public-realm paving - turnover</t>
        </is>
      </c>
      <c r="F314" s="12" t="inlineStr">
        <is>
          <t>ONE_TO_ONE</t>
        </is>
      </c>
      <c r="G314" s="12" t="inlineStr">
        <is>
          <t>APPROVED</t>
        </is>
      </c>
      <c r="H314" s="12" t="inlineStr">
        <is>
          <t>New</t>
        </is>
      </c>
      <c r="I314" s="12" t="inlineStr">
        <is>
          <t>Source assignment -- not individually reviewed</t>
        </is>
      </c>
      <c r="J314" s="12" t="inlineStr"/>
      <c r="K314" s="12" t="inlineStr">
        <is>
          <t>Source assignment</t>
        </is>
      </c>
      <c r="L314" s="12" t="inlineStr"/>
      <c r="M314" s="12" t="inlineStr">
        <is>
          <t>Initial</t>
        </is>
      </c>
      <c r="N314" s="12" t="inlineStr">
        <is>
          <t>Rev 0</t>
        </is>
      </c>
      <c r="O314" s="12" t="inlineStr">
        <is>
          <t>R227-v1</t>
        </is>
      </c>
      <c r="P314" s="12" t="inlineStr"/>
      <c r="Q314" s="12" t="inlineStr"/>
      <c r="R314" s="12" t="inlineStr"/>
      <c r="S314" s="12" t="inlineStr"/>
      <c r="T314" s="12" t="inlineStr"/>
      <c r="U314" s="12" t="inlineStr"/>
      <c r="V314" s="12" t="inlineStr">
        <is>
          <t>WBS Code = 1.2.1</t>
        </is>
      </c>
      <c r="W314" s="12" t="inlineStr"/>
    </row>
    <row r="315" ht="49" customHeight="1">
      <c r="A315" s="12" t="inlineStr">
        <is>
          <t>1.2.1</t>
        </is>
      </c>
      <c r="B315" s="12" t="inlineStr">
        <is>
          <t>Stations - Station Structures</t>
        </is>
      </c>
      <c r="C315" s="12" t="inlineStr">
        <is>
          <t>Contractor Programme</t>
        </is>
      </c>
      <c r="D315" s="12" t="inlineStr">
        <is>
          <t>SCH-02-049</t>
        </is>
      </c>
      <c r="E315" s="12" t="inlineStr">
        <is>
          <t>University Station: vertical-transport installation - field start</t>
        </is>
      </c>
      <c r="F315" s="12" t="inlineStr">
        <is>
          <t>ONE_TO_ONE</t>
        </is>
      </c>
      <c r="G315" s="12" t="inlineStr">
        <is>
          <t>APPROVED</t>
        </is>
      </c>
      <c r="H315" s="12" t="inlineStr">
        <is>
          <t>New</t>
        </is>
      </c>
      <c r="I315" s="12" t="inlineStr">
        <is>
          <t>Source assignment -- not individually reviewed</t>
        </is>
      </c>
      <c r="J315" s="12" t="inlineStr"/>
      <c r="K315" s="12" t="inlineStr">
        <is>
          <t>Source assignment</t>
        </is>
      </c>
      <c r="L315" s="12" t="inlineStr"/>
      <c r="M315" s="12" t="inlineStr">
        <is>
          <t>Initial</t>
        </is>
      </c>
      <c r="N315" s="12" t="inlineStr">
        <is>
          <t>Rev 0</t>
        </is>
      </c>
      <c r="O315" s="12" t="inlineStr">
        <is>
          <t>R229-v1</t>
        </is>
      </c>
      <c r="P315" s="12" t="inlineStr"/>
      <c r="Q315" s="12" t="inlineStr"/>
      <c r="R315" s="12" t="inlineStr"/>
      <c r="S315" s="12" t="inlineStr"/>
      <c r="T315" s="12" t="inlineStr"/>
      <c r="U315" s="12" t="inlineStr"/>
      <c r="V315" s="12" t="inlineStr">
        <is>
          <t>WBS Code = 1.2.1</t>
        </is>
      </c>
      <c r="W315" s="12" t="inlineStr"/>
    </row>
    <row r="316" ht="49" customHeight="1">
      <c r="A316" s="12" t="inlineStr">
        <is>
          <t>1.2.1</t>
        </is>
      </c>
      <c r="B316" s="12" t="inlineStr">
        <is>
          <t>Stations - Station Structures</t>
        </is>
      </c>
      <c r="C316" s="12" t="inlineStr">
        <is>
          <t>Contractor Programme</t>
        </is>
      </c>
      <c r="D316" s="12" t="inlineStr">
        <is>
          <t>SCH-02-050</t>
        </is>
      </c>
      <c r="E316" s="12" t="inlineStr">
        <is>
          <t>West Terminal: platform edge installation - installation</t>
        </is>
      </c>
      <c r="F316" s="12" t="inlineStr">
        <is>
          <t>ONE_TO_ONE</t>
        </is>
      </c>
      <c r="G316" s="12" t="inlineStr">
        <is>
          <t>APPROVED</t>
        </is>
      </c>
      <c r="H316" s="12" t="inlineStr">
        <is>
          <t>New</t>
        </is>
      </c>
      <c r="I316" s="12" t="inlineStr">
        <is>
          <t>Source assignment -- not individually reviewed</t>
        </is>
      </c>
      <c r="J316" s="12" t="inlineStr"/>
      <c r="K316" s="12" t="inlineStr">
        <is>
          <t>Source assignment</t>
        </is>
      </c>
      <c r="L316" s="12" t="inlineStr"/>
      <c r="M316" s="12" t="inlineStr">
        <is>
          <t>Initial</t>
        </is>
      </c>
      <c r="N316" s="12" t="inlineStr">
        <is>
          <t>Rev 0</t>
        </is>
      </c>
      <c r="O316" s="12" t="inlineStr">
        <is>
          <t>R230-v1</t>
        </is>
      </c>
      <c r="P316" s="12" t="inlineStr"/>
      <c r="Q316" s="12" t="inlineStr"/>
      <c r="R316" s="12" t="inlineStr"/>
      <c r="S316" s="12" t="inlineStr"/>
      <c r="T316" s="12" t="inlineStr"/>
      <c r="U316" s="12" t="inlineStr"/>
      <c r="V316" s="12" t="inlineStr">
        <is>
          <t>WBS Code = 1.2.1</t>
        </is>
      </c>
      <c r="W316" s="12" t="inlineStr"/>
    </row>
    <row r="317" ht="49" customHeight="1">
      <c r="A317" s="12" t="inlineStr">
        <is>
          <t>1.2.1</t>
        </is>
      </c>
      <c r="B317" s="12" t="inlineStr">
        <is>
          <t>Stations - Station Structures</t>
        </is>
      </c>
      <c r="C317" s="12" t="inlineStr">
        <is>
          <t>Contractor Programme</t>
        </is>
      </c>
      <c r="D317" s="12" t="inlineStr">
        <is>
          <t>SCH-02-052</t>
        </is>
      </c>
      <c r="E317" s="12" t="inlineStr">
        <is>
          <t>Market Station: fire-life-safety cabling - turnover</t>
        </is>
      </c>
      <c r="F317" s="12" t="inlineStr">
        <is>
          <t>ONE_TO_ONE</t>
        </is>
      </c>
      <c r="G317" s="12" t="inlineStr">
        <is>
          <t>APPROVED</t>
        </is>
      </c>
      <c r="H317" s="12" t="inlineStr">
        <is>
          <t>New</t>
        </is>
      </c>
      <c r="I317" s="12" t="inlineStr">
        <is>
          <t>Source assignment -- not individually reviewed</t>
        </is>
      </c>
      <c r="J317" s="12" t="inlineStr"/>
      <c r="K317" s="12" t="inlineStr">
        <is>
          <t>Source assignment</t>
        </is>
      </c>
      <c r="L317" s="12" t="inlineStr"/>
      <c r="M317" s="12" t="inlineStr">
        <is>
          <t>Initial</t>
        </is>
      </c>
      <c r="N317" s="12" t="inlineStr">
        <is>
          <t>Rev 0</t>
        </is>
      </c>
      <c r="O317" s="12" t="inlineStr">
        <is>
          <t>R232-v1</t>
        </is>
      </c>
      <c r="P317" s="12" t="inlineStr"/>
      <c r="Q317" s="12" t="inlineStr"/>
      <c r="R317" s="12" t="inlineStr"/>
      <c r="S317" s="12" t="inlineStr"/>
      <c r="T317" s="12" t="inlineStr"/>
      <c r="U317" s="12" t="inlineStr"/>
      <c r="V317" s="12" t="inlineStr">
        <is>
          <t>WBS Code = 1.2.1</t>
        </is>
      </c>
      <c r="W317" s="12" t="inlineStr"/>
    </row>
    <row r="318" ht="49" customHeight="1">
      <c r="A318" s="12" t="inlineStr">
        <is>
          <t>1.2.1</t>
        </is>
      </c>
      <c r="B318" s="12" t="inlineStr">
        <is>
          <t>Stations - Station Structures</t>
        </is>
      </c>
      <c r="C318" s="12" t="inlineStr">
        <is>
          <t>Contractor Programme</t>
        </is>
      </c>
      <c r="D318" s="12" t="inlineStr">
        <is>
          <t>SCH-02-053</t>
        </is>
      </c>
      <c r="E318" s="12" t="inlineStr">
        <is>
          <t>Civic Station: concourse slab pour - release</t>
        </is>
      </c>
      <c r="F318" s="12" t="inlineStr">
        <is>
          <t>ONE_TO_ONE</t>
        </is>
      </c>
      <c r="G318" s="12" t="inlineStr">
        <is>
          <t>APPROVED</t>
        </is>
      </c>
      <c r="H318" s="12" t="inlineStr">
        <is>
          <t>New</t>
        </is>
      </c>
      <c r="I318" s="12" t="inlineStr">
        <is>
          <t>Source assignment -- not individually reviewed</t>
        </is>
      </c>
      <c r="J318" s="12" t="inlineStr"/>
      <c r="K318" s="12" t="inlineStr">
        <is>
          <t>Source assignment</t>
        </is>
      </c>
      <c r="L318" s="12" t="inlineStr"/>
      <c r="M318" s="12" t="inlineStr">
        <is>
          <t>Initial</t>
        </is>
      </c>
      <c r="N318" s="12" t="inlineStr">
        <is>
          <t>Rev 0</t>
        </is>
      </c>
      <c r="O318" s="12" t="inlineStr">
        <is>
          <t>R233-v1</t>
        </is>
      </c>
      <c r="P318" s="12" t="inlineStr"/>
      <c r="Q318" s="12" t="inlineStr"/>
      <c r="R318" s="12" t="inlineStr"/>
      <c r="S318" s="12" t="inlineStr"/>
      <c r="T318" s="12" t="inlineStr"/>
      <c r="U318" s="12" t="inlineStr"/>
      <c r="V318" s="12" t="inlineStr">
        <is>
          <t>WBS Code = 1.2.1</t>
        </is>
      </c>
      <c r="W318" s="12" t="inlineStr"/>
    </row>
    <row r="319" ht="49" customHeight="1">
      <c r="A319" s="12" t="inlineStr">
        <is>
          <t>1.2.1</t>
        </is>
      </c>
      <c r="B319" s="12" t="inlineStr">
        <is>
          <t>Stations - Station Structures</t>
        </is>
      </c>
      <c r="C319" s="12" t="inlineStr">
        <is>
          <t>Contractor Programme</t>
        </is>
      </c>
      <c r="D319" s="12" t="inlineStr">
        <is>
          <t>SCH-02-055</t>
        </is>
      </c>
      <c r="E319" s="12" t="inlineStr">
        <is>
          <t>West Terminal: public-realm paving - installation</t>
        </is>
      </c>
      <c r="F319" s="12" t="inlineStr">
        <is>
          <t>ONE_TO_ONE</t>
        </is>
      </c>
      <c r="G319" s="12" t="inlineStr">
        <is>
          <t>APPROVED</t>
        </is>
      </c>
      <c r="H319" s="12" t="inlineStr">
        <is>
          <t>New</t>
        </is>
      </c>
      <c r="I319" s="12" t="inlineStr">
        <is>
          <t>Source assignment -- not individually reviewed</t>
        </is>
      </c>
      <c r="J319" s="12" t="inlineStr"/>
      <c r="K319" s="12" t="inlineStr">
        <is>
          <t>Source assignment</t>
        </is>
      </c>
      <c r="L319" s="12" t="inlineStr"/>
      <c r="M319" s="12" t="inlineStr">
        <is>
          <t>Initial</t>
        </is>
      </c>
      <c r="N319" s="12" t="inlineStr">
        <is>
          <t>Rev 0</t>
        </is>
      </c>
      <c r="O319" s="12" t="inlineStr">
        <is>
          <t>R235-v1</t>
        </is>
      </c>
      <c r="P319" s="12" t="inlineStr"/>
      <c r="Q319" s="12" t="inlineStr"/>
      <c r="R319" s="12" t="inlineStr"/>
      <c r="S319" s="12" t="inlineStr"/>
      <c r="T319" s="12" t="inlineStr"/>
      <c r="U319" s="12" t="inlineStr"/>
      <c r="V319" s="12" t="inlineStr">
        <is>
          <t>WBS Code = 1.2.1</t>
        </is>
      </c>
      <c r="W319" s="12" t="inlineStr"/>
    </row>
    <row r="320" ht="49" customHeight="1">
      <c r="A320" s="12" t="inlineStr">
        <is>
          <t>1.2.1</t>
        </is>
      </c>
      <c r="B320" s="12" t="inlineStr">
        <is>
          <t>Stations - Station Structures</t>
        </is>
      </c>
      <c r="C320" s="12" t="inlineStr">
        <is>
          <t>Contractor Programme</t>
        </is>
      </c>
      <c r="D320" s="12" t="inlineStr">
        <is>
          <t>SCH-02-056</t>
        </is>
      </c>
      <c r="E320" s="12" t="inlineStr">
        <is>
          <t>Harbour Station: entrance steel erection - inspection</t>
        </is>
      </c>
      <c r="F320" s="12" t="inlineStr">
        <is>
          <t>ONE_TO_ONE</t>
        </is>
      </c>
      <c r="G320" s="12" t="inlineStr">
        <is>
          <t>APPROVED</t>
        </is>
      </c>
      <c r="H320" s="12" t="inlineStr">
        <is>
          <t>New</t>
        </is>
      </c>
      <c r="I320" s="12" t="inlineStr">
        <is>
          <t>Source assignment -- not individually reviewed</t>
        </is>
      </c>
      <c r="J320" s="12" t="inlineStr"/>
      <c r="K320" s="12" t="inlineStr">
        <is>
          <t>Source assignment</t>
        </is>
      </c>
      <c r="L320" s="12" t="inlineStr"/>
      <c r="M320" s="12" t="inlineStr">
        <is>
          <t>Initial</t>
        </is>
      </c>
      <c r="N320" s="12" t="inlineStr">
        <is>
          <t>Rev 0</t>
        </is>
      </c>
      <c r="O320" s="12" t="inlineStr">
        <is>
          <t>R236-v1</t>
        </is>
      </c>
      <c r="P320" s="12" t="inlineStr"/>
      <c r="Q320" s="12" t="inlineStr"/>
      <c r="R320" s="12" t="inlineStr"/>
      <c r="S320" s="12" t="inlineStr"/>
      <c r="T320" s="12" t="inlineStr"/>
      <c r="U320" s="12" t="inlineStr"/>
      <c r="V320" s="12" t="inlineStr">
        <is>
          <t>WBS Code = 1.2.1</t>
        </is>
      </c>
      <c r="W320" s="12" t="inlineStr"/>
    </row>
    <row r="321" ht="49" customHeight="1">
      <c r="A321" s="12" t="inlineStr">
        <is>
          <t>1.2.1</t>
        </is>
      </c>
      <c r="B321" s="12" t="inlineStr">
        <is>
          <t>Stations - Station Structures</t>
        </is>
      </c>
      <c r="C321" s="12" t="inlineStr">
        <is>
          <t>Contractor Programme</t>
        </is>
      </c>
      <c r="D321" s="12" t="inlineStr">
        <is>
          <t>SCH-02-058</t>
        </is>
      </c>
      <c r="E321" s="12" t="inlineStr">
        <is>
          <t>Civic Station: platform edge installation - release</t>
        </is>
      </c>
      <c r="F321" s="12" t="inlineStr">
        <is>
          <t>ONE_TO_ONE</t>
        </is>
      </c>
      <c r="G321" s="12" t="inlineStr">
        <is>
          <t>APPROVED</t>
        </is>
      </c>
      <c r="H321" s="12" t="inlineStr">
        <is>
          <t>New</t>
        </is>
      </c>
      <c r="I321" s="12" t="inlineStr">
        <is>
          <t>Source assignment -- not individually reviewed</t>
        </is>
      </c>
      <c r="J321" s="12" t="inlineStr"/>
      <c r="K321" s="12" t="inlineStr">
        <is>
          <t>Source assignment</t>
        </is>
      </c>
      <c r="L321" s="12" t="inlineStr"/>
      <c r="M321" s="12" t="inlineStr">
        <is>
          <t>Initial</t>
        </is>
      </c>
      <c r="N321" s="12" t="inlineStr">
        <is>
          <t>Rev 0</t>
        </is>
      </c>
      <c r="O321" s="12" t="inlineStr">
        <is>
          <t>R238-v1</t>
        </is>
      </c>
      <c r="P321" s="12" t="inlineStr"/>
      <c r="Q321" s="12" t="inlineStr"/>
      <c r="R321" s="12" t="inlineStr"/>
      <c r="S321" s="12" t="inlineStr"/>
      <c r="T321" s="12" t="inlineStr"/>
      <c r="U321" s="12" t="inlineStr"/>
      <c r="V321" s="12" t="inlineStr">
        <is>
          <t>WBS Code = 1.2.1</t>
        </is>
      </c>
      <c r="W321" s="12" t="inlineStr"/>
    </row>
    <row r="322" ht="49" customHeight="1">
      <c r="A322" s="12" t="inlineStr">
        <is>
          <t>1.2.1</t>
        </is>
      </c>
      <c r="B322" s="12" t="inlineStr">
        <is>
          <t>Stations - Station Structures</t>
        </is>
      </c>
      <c r="C322" s="12" t="inlineStr">
        <is>
          <t>Contractor Programme</t>
        </is>
      </c>
      <c r="D322" s="12" t="inlineStr">
        <is>
          <t>SCH-02-059</t>
        </is>
      </c>
      <c r="E322" s="12" t="inlineStr">
        <is>
          <t>University Station: architectural wall framing - field start</t>
        </is>
      </c>
      <c r="F322" s="12" t="inlineStr">
        <is>
          <t>ONE_TO_ONE</t>
        </is>
      </c>
      <c r="G322" s="12" t="inlineStr">
        <is>
          <t>APPROVED</t>
        </is>
      </c>
      <c r="H322" s="12" t="inlineStr">
        <is>
          <t>New</t>
        </is>
      </c>
      <c r="I322" s="12" t="inlineStr">
        <is>
          <t>Source assignment -- not individually reviewed</t>
        </is>
      </c>
      <c r="J322" s="12" t="inlineStr"/>
      <c r="K322" s="12" t="inlineStr">
        <is>
          <t>Source assignment</t>
        </is>
      </c>
      <c r="L322" s="12" t="inlineStr"/>
      <c r="M322" s="12" t="inlineStr">
        <is>
          <t>Initial</t>
        </is>
      </c>
      <c r="N322" s="12" t="inlineStr">
        <is>
          <t>Rev 0</t>
        </is>
      </c>
      <c r="O322" s="12" t="inlineStr">
        <is>
          <t>R239-v1</t>
        </is>
      </c>
      <c r="P322" s="12" t="inlineStr"/>
      <c r="Q322" s="12" t="inlineStr"/>
      <c r="R322" s="12" t="inlineStr"/>
      <c r="S322" s="12" t="inlineStr"/>
      <c r="T322" s="12" t="inlineStr"/>
      <c r="U322" s="12" t="inlineStr"/>
      <c r="V322" s="12" t="inlineStr">
        <is>
          <t>WBS Code = 1.2.1</t>
        </is>
      </c>
      <c r="W322" s="12" t="inlineStr"/>
    </row>
    <row r="323" ht="49" customHeight="1">
      <c r="A323" s="12" t="inlineStr">
        <is>
          <t>1.2.1</t>
        </is>
      </c>
      <c r="B323" s="12" t="inlineStr">
        <is>
          <t>Stations - Station Structures</t>
        </is>
      </c>
      <c r="C323" s="12" t="inlineStr">
        <is>
          <t>Contractor Programme</t>
        </is>
      </c>
      <c r="D323" s="12" t="inlineStr">
        <is>
          <t>SCH-02-061</t>
        </is>
      </c>
      <c r="E323" s="12" t="inlineStr">
        <is>
          <t>Harbour Station: concourse slab pour - inspection</t>
        </is>
      </c>
      <c r="F323" s="12" t="inlineStr">
        <is>
          <t>ONE_TO_ONE</t>
        </is>
      </c>
      <c r="G323" s="12" t="inlineStr">
        <is>
          <t>APPROVED</t>
        </is>
      </c>
      <c r="H323" s="12" t="inlineStr">
        <is>
          <t>New</t>
        </is>
      </c>
      <c r="I323" s="12" t="inlineStr">
        <is>
          <t>Source assignment -- not individually reviewed</t>
        </is>
      </c>
      <c r="J323" s="12" t="inlineStr"/>
      <c r="K323" s="12" t="inlineStr">
        <is>
          <t>Source assignment</t>
        </is>
      </c>
      <c r="L323" s="12" t="inlineStr"/>
      <c r="M323" s="12" t="inlineStr">
        <is>
          <t>Initial</t>
        </is>
      </c>
      <c r="N323" s="12" t="inlineStr">
        <is>
          <t>Rev 0</t>
        </is>
      </c>
      <c r="O323" s="12" t="inlineStr">
        <is>
          <t>R241-v1</t>
        </is>
      </c>
      <c r="P323" s="12" t="inlineStr"/>
      <c r="Q323" s="12" t="inlineStr"/>
      <c r="R323" s="12" t="inlineStr"/>
      <c r="S323" s="12" t="inlineStr"/>
      <c r="T323" s="12" t="inlineStr"/>
      <c r="U323" s="12" t="inlineStr"/>
      <c r="V323" s="12" t="inlineStr">
        <is>
          <t>WBS Code = 1.2.1</t>
        </is>
      </c>
      <c r="W323" s="12" t="inlineStr"/>
    </row>
    <row r="324" ht="49" customHeight="1">
      <c r="A324" s="12" t="inlineStr">
        <is>
          <t>1.2.1</t>
        </is>
      </c>
      <c r="B324" s="12" t="inlineStr">
        <is>
          <t>Stations - Station Structures</t>
        </is>
      </c>
      <c r="C324" s="12" t="inlineStr">
        <is>
          <t>Contractor Programme</t>
        </is>
      </c>
      <c r="D324" s="12" t="inlineStr">
        <is>
          <t>SCH-02-062</t>
        </is>
      </c>
      <c r="E324" s="12" t="inlineStr">
        <is>
          <t>Market Station: station ventilation rough-in - turnover</t>
        </is>
      </c>
      <c r="F324" s="12" t="inlineStr">
        <is>
          <t>ONE_TO_ONE</t>
        </is>
      </c>
      <c r="G324" s="12" t="inlineStr">
        <is>
          <t>APPROVED</t>
        </is>
      </c>
      <c r="H324" s="12" t="inlineStr">
        <is>
          <t>New</t>
        </is>
      </c>
      <c r="I324" s="12" t="inlineStr">
        <is>
          <t>Source assignment -- not individually reviewed</t>
        </is>
      </c>
      <c r="J324" s="12" t="inlineStr"/>
      <c r="K324" s="12" t="inlineStr">
        <is>
          <t>Source assignment</t>
        </is>
      </c>
      <c r="L324" s="12" t="inlineStr"/>
      <c r="M324" s="12" t="inlineStr">
        <is>
          <t>Initial</t>
        </is>
      </c>
      <c r="N324" s="12" t="inlineStr">
        <is>
          <t>Rev 0</t>
        </is>
      </c>
      <c r="O324" s="12" t="inlineStr">
        <is>
          <t>R242-v1</t>
        </is>
      </c>
      <c r="P324" s="12" t="inlineStr"/>
      <c r="Q324" s="12" t="inlineStr"/>
      <c r="R324" s="12" t="inlineStr"/>
      <c r="S324" s="12" t="inlineStr"/>
      <c r="T324" s="12" t="inlineStr"/>
      <c r="U324" s="12" t="inlineStr"/>
      <c r="V324" s="12" t="inlineStr">
        <is>
          <t>WBS Code = 1.2.1</t>
        </is>
      </c>
      <c r="W324" s="12" t="inlineStr"/>
    </row>
    <row r="325" ht="49" customHeight="1">
      <c r="A325" s="12" t="inlineStr">
        <is>
          <t>1.2.1</t>
        </is>
      </c>
      <c r="B325" s="12" t="inlineStr">
        <is>
          <t>Stations - Station Structures</t>
        </is>
      </c>
      <c r="C325" s="12" t="inlineStr">
        <is>
          <t>Contractor Programme</t>
        </is>
      </c>
      <c r="D325" s="12" t="inlineStr">
        <is>
          <t>SCH-02-064</t>
        </is>
      </c>
      <c r="E325" s="12" t="inlineStr">
        <is>
          <t>University Station: entrance steel erection - field start</t>
        </is>
      </c>
      <c r="F325" s="12" t="inlineStr">
        <is>
          <t>ONE_TO_ONE</t>
        </is>
      </c>
      <c r="G325" s="12" t="inlineStr">
        <is>
          <t>APPROVED</t>
        </is>
      </c>
      <c r="H325" s="12" t="inlineStr">
        <is>
          <t>New</t>
        </is>
      </c>
      <c r="I325" s="12" t="inlineStr">
        <is>
          <t>Source assignment -- not individually reviewed</t>
        </is>
      </c>
      <c r="J325" s="12" t="inlineStr"/>
      <c r="K325" s="12" t="inlineStr">
        <is>
          <t>Source assignment</t>
        </is>
      </c>
      <c r="L325" s="12" t="inlineStr"/>
      <c r="M325" s="12" t="inlineStr">
        <is>
          <t>Initial</t>
        </is>
      </c>
      <c r="N325" s="12" t="inlineStr">
        <is>
          <t>Rev 0</t>
        </is>
      </c>
      <c r="O325" s="12" t="inlineStr">
        <is>
          <t>R244-v1</t>
        </is>
      </c>
      <c r="P325" s="12" t="inlineStr"/>
      <c r="Q325" s="12" t="inlineStr"/>
      <c r="R325" s="12" t="inlineStr"/>
      <c r="S325" s="12" t="inlineStr"/>
      <c r="T325" s="12" t="inlineStr"/>
      <c r="U325" s="12" t="inlineStr"/>
      <c r="V325" s="12" t="inlineStr">
        <is>
          <t>WBS Code = 1.2.1</t>
        </is>
      </c>
      <c r="W325" s="12" t="inlineStr"/>
    </row>
    <row r="326" ht="49" customHeight="1">
      <c r="A326" s="12" t="inlineStr">
        <is>
          <t>1.2.1</t>
        </is>
      </c>
      <c r="B326" s="12" t="inlineStr">
        <is>
          <t>Stations - Station Structures</t>
        </is>
      </c>
      <c r="C326" s="12" t="inlineStr">
        <is>
          <t>Contractor Programme</t>
        </is>
      </c>
      <c r="D326" s="12" t="inlineStr">
        <is>
          <t>SCH-02-065</t>
        </is>
      </c>
      <c r="E326" s="12" t="inlineStr">
        <is>
          <t>West Terminal: vertical-transport installation - installation</t>
        </is>
      </c>
      <c r="F326" s="12" t="inlineStr">
        <is>
          <t>ONE_TO_ONE</t>
        </is>
      </c>
      <c r="G326" s="12" t="inlineStr">
        <is>
          <t>APPROVED</t>
        </is>
      </c>
      <c r="H326" s="12" t="inlineStr">
        <is>
          <t>New</t>
        </is>
      </c>
      <c r="I326" s="12" t="inlineStr">
        <is>
          <t>Source assignment -- not individually reviewed</t>
        </is>
      </c>
      <c r="J326" s="12" t="inlineStr"/>
      <c r="K326" s="12" t="inlineStr">
        <is>
          <t>Source assignment</t>
        </is>
      </c>
      <c r="L326" s="12" t="inlineStr"/>
      <c r="M326" s="12" t="inlineStr">
        <is>
          <t>Initial</t>
        </is>
      </c>
      <c r="N326" s="12" t="inlineStr">
        <is>
          <t>Rev 0</t>
        </is>
      </c>
      <c r="O326" s="12" t="inlineStr">
        <is>
          <t>R245-v1</t>
        </is>
      </c>
      <c r="P326" s="12" t="inlineStr"/>
      <c r="Q326" s="12" t="inlineStr"/>
      <c r="R326" s="12" t="inlineStr"/>
      <c r="S326" s="12" t="inlineStr"/>
      <c r="T326" s="12" t="inlineStr"/>
      <c r="U326" s="12" t="inlineStr"/>
      <c r="V326" s="12" t="inlineStr">
        <is>
          <t>WBS Code = 1.2.1</t>
        </is>
      </c>
      <c r="W326" s="12" t="inlineStr"/>
    </row>
    <row r="327" ht="49" customHeight="1">
      <c r="A327" s="12" t="inlineStr">
        <is>
          <t>1.2.1</t>
        </is>
      </c>
      <c r="B327" s="12" t="inlineStr">
        <is>
          <t>Stations - Station Structures</t>
        </is>
      </c>
      <c r="C327" s="12" t="inlineStr">
        <is>
          <t>Contractor Programme</t>
        </is>
      </c>
      <c r="D327" s="12" t="inlineStr">
        <is>
          <t>SCH-02-067</t>
        </is>
      </c>
      <c r="E327" s="12" t="inlineStr">
        <is>
          <t>Market Station: architectural wall framing - turnover</t>
        </is>
      </c>
      <c r="F327" s="12" t="inlineStr">
        <is>
          <t>ONE_TO_ONE</t>
        </is>
      </c>
      <c r="G327" s="12" t="inlineStr">
        <is>
          <t>APPROVED</t>
        </is>
      </c>
      <c r="H327" s="12" t="inlineStr">
        <is>
          <t>New</t>
        </is>
      </c>
      <c r="I327" s="12" t="inlineStr">
        <is>
          <t>Source assignment -- not individually reviewed</t>
        </is>
      </c>
      <c r="J327" s="12" t="inlineStr"/>
      <c r="K327" s="12" t="inlineStr">
        <is>
          <t>Source assignment</t>
        </is>
      </c>
      <c r="L327" s="12" t="inlineStr"/>
      <c r="M327" s="12" t="inlineStr">
        <is>
          <t>Initial</t>
        </is>
      </c>
      <c r="N327" s="12" t="inlineStr">
        <is>
          <t>Rev 0</t>
        </is>
      </c>
      <c r="O327" s="12" t="inlineStr">
        <is>
          <t>R247-v1</t>
        </is>
      </c>
      <c r="P327" s="12" t="inlineStr"/>
      <c r="Q327" s="12" t="inlineStr"/>
      <c r="R327" s="12" t="inlineStr"/>
      <c r="S327" s="12" t="inlineStr"/>
      <c r="T327" s="12" t="inlineStr"/>
      <c r="U327" s="12" t="inlineStr"/>
      <c r="V327" s="12" t="inlineStr">
        <is>
          <t>WBS Code = 1.2.1</t>
        </is>
      </c>
      <c r="W327" s="12" t="inlineStr"/>
    </row>
    <row r="328" ht="49" customHeight="1">
      <c r="A328" s="12" t="inlineStr">
        <is>
          <t>1.2.1</t>
        </is>
      </c>
      <c r="B328" s="12" t="inlineStr">
        <is>
          <t>Stations - Station Structures</t>
        </is>
      </c>
      <c r="C328" s="12" t="inlineStr">
        <is>
          <t>Contractor Programme</t>
        </is>
      </c>
      <c r="D328" s="12" t="inlineStr">
        <is>
          <t>SCH-02-068</t>
        </is>
      </c>
      <c r="E328" s="12" t="inlineStr">
        <is>
          <t>Civic Station: fire-life-safety cabling - release</t>
        </is>
      </c>
      <c r="F328" s="12" t="inlineStr">
        <is>
          <t>ONE_TO_ONE</t>
        </is>
      </c>
      <c r="G328" s="12" t="inlineStr">
        <is>
          <t>APPROVED</t>
        </is>
      </c>
      <c r="H328" s="12" t="inlineStr">
        <is>
          <t>New</t>
        </is>
      </c>
      <c r="I328" s="12" t="inlineStr">
        <is>
          <t>Source assignment -- not individually reviewed</t>
        </is>
      </c>
      <c r="J328" s="12" t="inlineStr"/>
      <c r="K328" s="12" t="inlineStr">
        <is>
          <t>Source assignment</t>
        </is>
      </c>
      <c r="L328" s="12" t="inlineStr"/>
      <c r="M328" s="12" t="inlineStr">
        <is>
          <t>Initial</t>
        </is>
      </c>
      <c r="N328" s="12" t="inlineStr">
        <is>
          <t>Rev 0</t>
        </is>
      </c>
      <c r="O328" s="12" t="inlineStr">
        <is>
          <t>R248-v1</t>
        </is>
      </c>
      <c r="P328" s="12" t="inlineStr"/>
      <c r="Q328" s="12" t="inlineStr"/>
      <c r="R328" s="12" t="inlineStr"/>
      <c r="S328" s="12" t="inlineStr"/>
      <c r="T328" s="12" t="inlineStr"/>
      <c r="U328" s="12" t="inlineStr"/>
      <c r="V328" s="12" t="inlineStr">
        <is>
          <t>WBS Code = 1.2.1</t>
        </is>
      </c>
      <c r="W328" s="12" t="inlineStr"/>
    </row>
    <row r="329" ht="49" customHeight="1">
      <c r="A329" s="12" t="inlineStr">
        <is>
          <t>1.2.1</t>
        </is>
      </c>
      <c r="B329" s="12" t="inlineStr">
        <is>
          <t>Stations - Station Structures</t>
        </is>
      </c>
      <c r="C329" s="12" t="inlineStr">
        <is>
          <t>Contractor Programme</t>
        </is>
      </c>
      <c r="D329" s="12" t="inlineStr">
        <is>
          <t>SCH-02-070</t>
        </is>
      </c>
      <c r="E329" s="12" t="inlineStr">
        <is>
          <t>West Terminal: station ventilation rough-in - installation</t>
        </is>
      </c>
      <c r="F329" s="12" t="inlineStr">
        <is>
          <t>ONE_TO_ONE</t>
        </is>
      </c>
      <c r="G329" s="12" t="inlineStr">
        <is>
          <t>APPROVED</t>
        </is>
      </c>
      <c r="H329" s="12" t="inlineStr">
        <is>
          <t>New</t>
        </is>
      </c>
      <c r="I329" s="12" t="inlineStr">
        <is>
          <t>Source assignment -- not individually reviewed</t>
        </is>
      </c>
      <c r="J329" s="12" t="inlineStr"/>
      <c r="K329" s="12" t="inlineStr">
        <is>
          <t>Source assignment</t>
        </is>
      </c>
      <c r="L329" s="12" t="inlineStr"/>
      <c r="M329" s="12" t="inlineStr">
        <is>
          <t>Initial</t>
        </is>
      </c>
      <c r="N329" s="12" t="inlineStr">
        <is>
          <t>Rev 0</t>
        </is>
      </c>
      <c r="O329" s="12" t="inlineStr">
        <is>
          <t>R250-v1</t>
        </is>
      </c>
      <c r="P329" s="12" t="inlineStr"/>
      <c r="Q329" s="12" t="inlineStr"/>
      <c r="R329" s="12" t="inlineStr"/>
      <c r="S329" s="12" t="inlineStr"/>
      <c r="T329" s="12" t="inlineStr"/>
      <c r="U329" s="12" t="inlineStr"/>
      <c r="V329" s="12" t="inlineStr">
        <is>
          <t>WBS Code = 1.2.1</t>
        </is>
      </c>
      <c r="W329" s="12" t="inlineStr"/>
    </row>
    <row r="330" ht="49" customHeight="1">
      <c r="A330" s="12" t="inlineStr">
        <is>
          <t>1.2.1</t>
        </is>
      </c>
      <c r="B330" s="12" t="inlineStr">
        <is>
          <t>Stations - Station Structures</t>
        </is>
      </c>
      <c r="C330" s="12" t="inlineStr">
        <is>
          <t>Contractor Programme</t>
        </is>
      </c>
      <c r="D330" s="12" t="inlineStr">
        <is>
          <t>SCH-02-071</t>
        </is>
      </c>
      <c r="E330" s="12" t="inlineStr">
        <is>
          <t>Harbour Station: public-realm paving - inspection</t>
        </is>
      </c>
      <c r="F330" s="12" t="inlineStr">
        <is>
          <t>ONE_TO_ONE</t>
        </is>
      </c>
      <c r="G330" s="12" t="inlineStr">
        <is>
          <t>APPROVED</t>
        </is>
      </c>
      <c r="H330" s="12" t="inlineStr">
        <is>
          <t>New</t>
        </is>
      </c>
      <c r="I330" s="12" t="inlineStr">
        <is>
          <t>Source assignment -- not individually reviewed</t>
        </is>
      </c>
      <c r="J330" s="12" t="inlineStr"/>
      <c r="K330" s="12" t="inlineStr">
        <is>
          <t>Source assignment</t>
        </is>
      </c>
      <c r="L330" s="12" t="inlineStr"/>
      <c r="M330" s="12" t="inlineStr">
        <is>
          <t>Initial</t>
        </is>
      </c>
      <c r="N330" s="12" t="inlineStr">
        <is>
          <t>Rev 0</t>
        </is>
      </c>
      <c r="O330" s="12" t="inlineStr">
        <is>
          <t>R251-v1</t>
        </is>
      </c>
      <c r="P330" s="12" t="inlineStr"/>
      <c r="Q330" s="12" t="inlineStr"/>
      <c r="R330" s="12" t="inlineStr"/>
      <c r="S330" s="12" t="inlineStr"/>
      <c r="T330" s="12" t="inlineStr"/>
      <c r="U330" s="12" t="inlineStr"/>
      <c r="V330" s="12" t="inlineStr">
        <is>
          <t>WBS Code = 1.2.1</t>
        </is>
      </c>
      <c r="W330" s="12" t="inlineStr"/>
    </row>
    <row r="331" ht="49" customHeight="1">
      <c r="A331" s="12" t="inlineStr">
        <is>
          <t>1.2.1</t>
        </is>
      </c>
      <c r="B331" s="12" t="inlineStr">
        <is>
          <t>Stations - Station Structures</t>
        </is>
      </c>
      <c r="C331" s="12" t="inlineStr">
        <is>
          <t>Contractor Programme</t>
        </is>
      </c>
      <c r="D331" s="12" t="inlineStr">
        <is>
          <t>SCH-02-073</t>
        </is>
      </c>
      <c r="E331" s="12" t="inlineStr">
        <is>
          <t>Civic Station: vertical-transport installation - release</t>
        </is>
      </c>
      <c r="F331" s="12" t="inlineStr">
        <is>
          <t>ONE_TO_ONE</t>
        </is>
      </c>
      <c r="G331" s="12" t="inlineStr">
        <is>
          <t>APPROVED</t>
        </is>
      </c>
      <c r="H331" s="12" t="inlineStr">
        <is>
          <t>New</t>
        </is>
      </c>
      <c r="I331" s="12" t="inlineStr">
        <is>
          <t>Source assignment -- not individually reviewed</t>
        </is>
      </c>
      <c r="J331" s="12" t="inlineStr"/>
      <c r="K331" s="12" t="inlineStr">
        <is>
          <t>Source assignment</t>
        </is>
      </c>
      <c r="L331" s="12" t="inlineStr"/>
      <c r="M331" s="12" t="inlineStr">
        <is>
          <t>Initial</t>
        </is>
      </c>
      <c r="N331" s="12" t="inlineStr">
        <is>
          <t>Rev 0</t>
        </is>
      </c>
      <c r="O331" s="12" t="inlineStr">
        <is>
          <t>R253-v1</t>
        </is>
      </c>
      <c r="P331" s="12" t="inlineStr"/>
      <c r="Q331" s="12" t="inlineStr"/>
      <c r="R331" s="12" t="inlineStr"/>
      <c r="S331" s="12" t="inlineStr"/>
      <c r="T331" s="12" t="inlineStr"/>
      <c r="U331" s="12" t="inlineStr"/>
      <c r="V331" s="12" t="inlineStr">
        <is>
          <t>WBS Code = 1.2.1</t>
        </is>
      </c>
      <c r="W331" s="12" t="inlineStr"/>
    </row>
    <row r="332" ht="49" customHeight="1">
      <c r="A332" s="12" t="inlineStr">
        <is>
          <t>1.2.1</t>
        </is>
      </c>
      <c r="B332" s="12" t="inlineStr">
        <is>
          <t>Stations - Station Structures</t>
        </is>
      </c>
      <c r="C332" s="12" t="inlineStr">
        <is>
          <t>Contractor Programme</t>
        </is>
      </c>
      <c r="D332" s="12" t="inlineStr">
        <is>
          <t>SCH-02-074</t>
        </is>
      </c>
      <c r="E332" s="12" t="inlineStr">
        <is>
          <t>University Station: platform edge installation - field start</t>
        </is>
      </c>
      <c r="F332" s="12" t="inlineStr">
        <is>
          <t>ONE_TO_ONE</t>
        </is>
      </c>
      <c r="G332" s="12" t="inlineStr">
        <is>
          <t>APPROVED</t>
        </is>
      </c>
      <c r="H332" s="12" t="inlineStr">
        <is>
          <t>New</t>
        </is>
      </c>
      <c r="I332" s="12" t="inlineStr">
        <is>
          <t>Source assignment -- not individually reviewed</t>
        </is>
      </c>
      <c r="J332" s="12" t="inlineStr"/>
      <c r="K332" s="12" t="inlineStr">
        <is>
          <t>Source assignment</t>
        </is>
      </c>
      <c r="L332" s="12" t="inlineStr"/>
      <c r="M332" s="12" t="inlineStr">
        <is>
          <t>Initial</t>
        </is>
      </c>
      <c r="N332" s="12" t="inlineStr">
        <is>
          <t>Rev 0</t>
        </is>
      </c>
      <c r="O332" s="12" t="inlineStr">
        <is>
          <t>R254-v1</t>
        </is>
      </c>
      <c r="P332" s="12" t="inlineStr"/>
      <c r="Q332" s="12" t="inlineStr"/>
      <c r="R332" s="12" t="inlineStr"/>
      <c r="S332" s="12" t="inlineStr"/>
      <c r="T332" s="12" t="inlineStr"/>
      <c r="U332" s="12" t="inlineStr"/>
      <c r="V332" s="12" t="inlineStr">
        <is>
          <t>WBS Code = 1.2.1</t>
        </is>
      </c>
      <c r="W332" s="12" t="inlineStr"/>
    </row>
    <row r="333" ht="49" customHeight="1">
      <c r="A333" s="12" t="inlineStr">
        <is>
          <t>1.2.1</t>
        </is>
      </c>
      <c r="B333" s="12" t="inlineStr">
        <is>
          <t>Stations - Station Structures</t>
        </is>
      </c>
      <c r="C333" s="12" t="inlineStr">
        <is>
          <t>Contractor Programme</t>
        </is>
      </c>
      <c r="D333" s="12" t="inlineStr">
        <is>
          <t>SCH-02-076</t>
        </is>
      </c>
      <c r="E333" s="12" t="inlineStr">
        <is>
          <t>Harbour Station: fire-life-safety cabling - inspection</t>
        </is>
      </c>
      <c r="F333" s="12" t="inlineStr">
        <is>
          <t>ONE_TO_ONE</t>
        </is>
      </c>
      <c r="G333" s="12" t="inlineStr">
        <is>
          <t>APPROVED</t>
        </is>
      </c>
      <c r="H333" s="12" t="inlineStr">
        <is>
          <t>New</t>
        </is>
      </c>
      <c r="I333" s="12" t="inlineStr">
        <is>
          <t>Source assignment -- not individually reviewed</t>
        </is>
      </c>
      <c r="J333" s="12" t="inlineStr"/>
      <c r="K333" s="12" t="inlineStr">
        <is>
          <t>Source assignment</t>
        </is>
      </c>
      <c r="L333" s="12" t="inlineStr"/>
      <c r="M333" s="12" t="inlineStr">
        <is>
          <t>Initial</t>
        </is>
      </c>
      <c r="N333" s="12" t="inlineStr">
        <is>
          <t>Rev 0</t>
        </is>
      </c>
      <c r="O333" s="12" t="inlineStr">
        <is>
          <t>R256-v1</t>
        </is>
      </c>
      <c r="P333" s="12" t="inlineStr"/>
      <c r="Q333" s="12" t="inlineStr"/>
      <c r="R333" s="12" t="inlineStr"/>
      <c r="S333" s="12" t="inlineStr"/>
      <c r="T333" s="12" t="inlineStr"/>
      <c r="U333" s="12" t="inlineStr"/>
      <c r="V333" s="12" t="inlineStr">
        <is>
          <t>WBS Code = 1.2.1</t>
        </is>
      </c>
      <c r="W333" s="12" t="inlineStr"/>
    </row>
    <row r="334" ht="49" customHeight="1">
      <c r="A334" s="12" t="inlineStr">
        <is>
          <t>1.2.1</t>
        </is>
      </c>
      <c r="B334" s="12" t="inlineStr">
        <is>
          <t>Stations - Station Structures</t>
        </is>
      </c>
      <c r="C334" s="12" t="inlineStr">
        <is>
          <t>Contractor Programme</t>
        </is>
      </c>
      <c r="D334" s="12" t="inlineStr">
        <is>
          <t>SCH-02-077</t>
        </is>
      </c>
      <c r="E334" s="12" t="inlineStr">
        <is>
          <t>Market Station: concourse slab pour - turnover</t>
        </is>
      </c>
      <c r="F334" s="12" t="inlineStr">
        <is>
          <t>ONE_TO_ONE</t>
        </is>
      </c>
      <c r="G334" s="12" t="inlineStr">
        <is>
          <t>APPROVED</t>
        </is>
      </c>
      <c r="H334" s="12" t="inlineStr">
        <is>
          <t>New</t>
        </is>
      </c>
      <c r="I334" s="12" t="inlineStr">
        <is>
          <t>Source assignment -- not individually reviewed</t>
        </is>
      </c>
      <c r="J334" s="12" t="inlineStr"/>
      <c r="K334" s="12" t="inlineStr">
        <is>
          <t>Source assignment</t>
        </is>
      </c>
      <c r="L334" s="12" t="inlineStr"/>
      <c r="M334" s="12" t="inlineStr">
        <is>
          <t>Initial</t>
        </is>
      </c>
      <c r="N334" s="12" t="inlineStr">
        <is>
          <t>Rev 0</t>
        </is>
      </c>
      <c r="O334" s="12" t="inlineStr">
        <is>
          <t>R257-v1</t>
        </is>
      </c>
      <c r="P334" s="12" t="inlineStr"/>
      <c r="Q334" s="12" t="inlineStr"/>
      <c r="R334" s="12" t="inlineStr"/>
      <c r="S334" s="12" t="inlineStr"/>
      <c r="T334" s="12" t="inlineStr"/>
      <c r="U334" s="12" t="inlineStr"/>
      <c r="V334" s="12" t="inlineStr">
        <is>
          <t>WBS Code = 1.2.1</t>
        </is>
      </c>
      <c r="W334" s="12" t="inlineStr"/>
    </row>
    <row r="335" ht="49" customHeight="1">
      <c r="A335" s="12" t="inlineStr">
        <is>
          <t>1.2.1</t>
        </is>
      </c>
      <c r="B335" s="12" t="inlineStr">
        <is>
          <t>Stations - Station Structures</t>
        </is>
      </c>
      <c r="C335" s="12" t="inlineStr">
        <is>
          <t>Contractor Programme</t>
        </is>
      </c>
      <c r="D335" s="12" t="inlineStr">
        <is>
          <t>SCH-02-079</t>
        </is>
      </c>
      <c r="E335" s="12" t="inlineStr">
        <is>
          <t>University Station: public-realm paving - field start</t>
        </is>
      </c>
      <c r="F335" s="12" t="inlineStr">
        <is>
          <t>ONE_TO_ONE</t>
        </is>
      </c>
      <c r="G335" s="12" t="inlineStr">
        <is>
          <t>APPROVED</t>
        </is>
      </c>
      <c r="H335" s="12" t="inlineStr">
        <is>
          <t>New</t>
        </is>
      </c>
      <c r="I335" s="12" t="inlineStr">
        <is>
          <t>Source assignment -- not individually reviewed</t>
        </is>
      </c>
      <c r="J335" s="12" t="inlineStr"/>
      <c r="K335" s="12" t="inlineStr">
        <is>
          <t>Source assignment</t>
        </is>
      </c>
      <c r="L335" s="12" t="inlineStr"/>
      <c r="M335" s="12" t="inlineStr">
        <is>
          <t>Initial</t>
        </is>
      </c>
      <c r="N335" s="12" t="inlineStr">
        <is>
          <t>Rev 0</t>
        </is>
      </c>
      <c r="O335" s="12" t="inlineStr">
        <is>
          <t>R259-v1</t>
        </is>
      </c>
      <c r="P335" s="12" t="inlineStr"/>
      <c r="Q335" s="12" t="inlineStr"/>
      <c r="R335" s="12" t="inlineStr"/>
      <c r="S335" s="12" t="inlineStr"/>
      <c r="T335" s="12" t="inlineStr"/>
      <c r="U335" s="12" t="inlineStr"/>
      <c r="V335" s="12" t="inlineStr">
        <is>
          <t>WBS Code = 1.2.1</t>
        </is>
      </c>
      <c r="W335" s="12" t="inlineStr"/>
    </row>
    <row r="336" ht="49" customHeight="1">
      <c r="A336" s="12" t="inlineStr">
        <is>
          <t>1.2.1</t>
        </is>
      </c>
      <c r="B336" s="12" t="inlineStr">
        <is>
          <t>Stations - Station Structures</t>
        </is>
      </c>
      <c r="C336" s="12" t="inlineStr">
        <is>
          <t>Contractor Programme</t>
        </is>
      </c>
      <c r="D336" s="12" t="inlineStr">
        <is>
          <t>SCH-02-080</t>
        </is>
      </c>
      <c r="E336" s="12" t="inlineStr">
        <is>
          <t>West Terminal: entrance steel erection - installation</t>
        </is>
      </c>
      <c r="F336" s="12" t="inlineStr">
        <is>
          <t>ONE_TO_ONE</t>
        </is>
      </c>
      <c r="G336" s="12" t="inlineStr">
        <is>
          <t>APPROVED</t>
        </is>
      </c>
      <c r="H336" s="12" t="inlineStr">
        <is>
          <t>New</t>
        </is>
      </c>
      <c r="I336" s="12" t="inlineStr">
        <is>
          <t>Source assignment -- not individually reviewed</t>
        </is>
      </c>
      <c r="J336" s="12" t="inlineStr"/>
      <c r="K336" s="12" t="inlineStr">
        <is>
          <t>Source assignment</t>
        </is>
      </c>
      <c r="L336" s="12" t="inlineStr"/>
      <c r="M336" s="12" t="inlineStr">
        <is>
          <t>Initial</t>
        </is>
      </c>
      <c r="N336" s="12" t="inlineStr">
        <is>
          <t>Rev 0</t>
        </is>
      </c>
      <c r="O336" s="12" t="inlineStr">
        <is>
          <t>R260-v1</t>
        </is>
      </c>
      <c r="P336" s="12" t="inlineStr"/>
      <c r="Q336" s="12" t="inlineStr"/>
      <c r="R336" s="12" t="inlineStr"/>
      <c r="S336" s="12" t="inlineStr"/>
      <c r="T336" s="12" t="inlineStr"/>
      <c r="U336" s="12" t="inlineStr"/>
      <c r="V336" s="12" t="inlineStr">
        <is>
          <t>WBS Code = 1.2.1</t>
        </is>
      </c>
      <c r="W336" s="12" t="inlineStr"/>
    </row>
    <row r="337" ht="49" customHeight="1">
      <c r="A337" s="12" t="inlineStr">
        <is>
          <t>1.2.1</t>
        </is>
      </c>
      <c r="B337" s="12" t="inlineStr">
        <is>
          <t>Stations - Station Structures</t>
        </is>
      </c>
      <c r="C337" s="12" t="inlineStr">
        <is>
          <t>Contractor Programme</t>
        </is>
      </c>
      <c r="D337" s="12" t="inlineStr">
        <is>
          <t>SCH-02-082</t>
        </is>
      </c>
      <c r="E337" s="12" t="inlineStr">
        <is>
          <t>Market Station: platform edge installation - turnover</t>
        </is>
      </c>
      <c r="F337" s="12" t="inlineStr">
        <is>
          <t>ONE_TO_ONE</t>
        </is>
      </c>
      <c r="G337" s="12" t="inlineStr">
        <is>
          <t>APPROVED</t>
        </is>
      </c>
      <c r="H337" s="12" t="inlineStr">
        <is>
          <t>New</t>
        </is>
      </c>
      <c r="I337" s="12" t="inlineStr">
        <is>
          <t>Source assignment -- not individually reviewed</t>
        </is>
      </c>
      <c r="J337" s="12" t="inlineStr"/>
      <c r="K337" s="12" t="inlineStr">
        <is>
          <t>Source assignment</t>
        </is>
      </c>
      <c r="L337" s="12" t="inlineStr"/>
      <c r="M337" s="12" t="inlineStr">
        <is>
          <t>Initial</t>
        </is>
      </c>
      <c r="N337" s="12" t="inlineStr">
        <is>
          <t>Rev 0</t>
        </is>
      </c>
      <c r="O337" s="12" t="inlineStr">
        <is>
          <t>R262-v1</t>
        </is>
      </c>
      <c r="P337" s="12" t="inlineStr"/>
      <c r="Q337" s="12" t="inlineStr"/>
      <c r="R337" s="12" t="inlineStr"/>
      <c r="S337" s="12" t="inlineStr"/>
      <c r="T337" s="12" t="inlineStr"/>
      <c r="U337" s="12" t="inlineStr"/>
      <c r="V337" s="12" t="inlineStr">
        <is>
          <t>WBS Code = 1.2.1</t>
        </is>
      </c>
      <c r="W337" s="12" t="inlineStr"/>
    </row>
    <row r="338" ht="49" customHeight="1">
      <c r="A338" s="12" t="inlineStr">
        <is>
          <t>1.2.1</t>
        </is>
      </c>
      <c r="B338" s="12" t="inlineStr">
        <is>
          <t>Stations - Station Structures</t>
        </is>
      </c>
      <c r="C338" s="12" t="inlineStr">
        <is>
          <t>Contractor Programme</t>
        </is>
      </c>
      <c r="D338" s="12" t="inlineStr">
        <is>
          <t>SCH-02-083</t>
        </is>
      </c>
      <c r="E338" s="12" t="inlineStr">
        <is>
          <t>Civic Station: architectural wall framing - release</t>
        </is>
      </c>
      <c r="F338" s="12" t="inlineStr">
        <is>
          <t>ONE_TO_ONE</t>
        </is>
      </c>
      <c r="G338" s="12" t="inlineStr">
        <is>
          <t>APPROVED</t>
        </is>
      </c>
      <c r="H338" s="12" t="inlineStr">
        <is>
          <t>New</t>
        </is>
      </c>
      <c r="I338" s="12" t="inlineStr">
        <is>
          <t>Source assignment -- not individually reviewed</t>
        </is>
      </c>
      <c r="J338" s="12" t="inlineStr"/>
      <c r="K338" s="12" t="inlineStr">
        <is>
          <t>Source assignment</t>
        </is>
      </c>
      <c r="L338" s="12" t="inlineStr"/>
      <c r="M338" s="12" t="inlineStr">
        <is>
          <t>Initial</t>
        </is>
      </c>
      <c r="N338" s="12" t="inlineStr">
        <is>
          <t>Rev 0</t>
        </is>
      </c>
      <c r="O338" s="12" t="inlineStr">
        <is>
          <t>R263-v1</t>
        </is>
      </c>
      <c r="P338" s="12" t="inlineStr"/>
      <c r="Q338" s="12" t="inlineStr"/>
      <c r="R338" s="12" t="inlineStr"/>
      <c r="S338" s="12" t="inlineStr"/>
      <c r="T338" s="12" t="inlineStr"/>
      <c r="U338" s="12" t="inlineStr"/>
      <c r="V338" s="12" t="inlineStr">
        <is>
          <t>WBS Code = 1.2.1</t>
        </is>
      </c>
      <c r="W338" s="12" t="inlineStr"/>
    </row>
    <row r="339" ht="49" customHeight="1">
      <c r="A339" s="12" t="inlineStr">
        <is>
          <t>1.2.1</t>
        </is>
      </c>
      <c r="B339" s="12" t="inlineStr">
        <is>
          <t>Stations - Station Structures</t>
        </is>
      </c>
      <c r="C339" s="12" t="inlineStr">
        <is>
          <t>Contractor Programme</t>
        </is>
      </c>
      <c r="D339" s="12" t="inlineStr">
        <is>
          <t>SCH-02-085</t>
        </is>
      </c>
      <c r="E339" s="12" t="inlineStr">
        <is>
          <t>West Terminal: concourse slab pour - installation</t>
        </is>
      </c>
      <c r="F339" s="12" t="inlineStr">
        <is>
          <t>ONE_TO_ONE</t>
        </is>
      </c>
      <c r="G339" s="12" t="inlineStr">
        <is>
          <t>APPROVED</t>
        </is>
      </c>
      <c r="H339" s="12" t="inlineStr">
        <is>
          <t>New</t>
        </is>
      </c>
      <c r="I339" s="12" t="inlineStr">
        <is>
          <t>Source assignment -- not individually reviewed</t>
        </is>
      </c>
      <c r="J339" s="12" t="inlineStr"/>
      <c r="K339" s="12" t="inlineStr">
        <is>
          <t>Source assignment</t>
        </is>
      </c>
      <c r="L339" s="12" t="inlineStr"/>
      <c r="M339" s="12" t="inlineStr">
        <is>
          <t>Initial</t>
        </is>
      </c>
      <c r="N339" s="12" t="inlineStr">
        <is>
          <t>Rev 0</t>
        </is>
      </c>
      <c r="O339" s="12" t="inlineStr">
        <is>
          <t>R265-v1</t>
        </is>
      </c>
      <c r="P339" s="12" t="inlineStr"/>
      <c r="Q339" s="12" t="inlineStr"/>
      <c r="R339" s="12" t="inlineStr"/>
      <c r="S339" s="12" t="inlineStr"/>
      <c r="T339" s="12" t="inlineStr"/>
      <c r="U339" s="12" t="inlineStr"/>
      <c r="V339" s="12" t="inlineStr">
        <is>
          <t>WBS Code = 1.2.1</t>
        </is>
      </c>
      <c r="W339" s="12" t="inlineStr"/>
    </row>
    <row r="340" ht="49" customHeight="1">
      <c r="A340" s="12" t="inlineStr">
        <is>
          <t>1.2.1</t>
        </is>
      </c>
      <c r="B340" s="12" t="inlineStr">
        <is>
          <t>Stations - Station Structures</t>
        </is>
      </c>
      <c r="C340" s="12" t="inlineStr">
        <is>
          <t>Contractor Programme</t>
        </is>
      </c>
      <c r="D340" s="12" t="inlineStr">
        <is>
          <t>SCH-02-086</t>
        </is>
      </c>
      <c r="E340" s="12" t="inlineStr">
        <is>
          <t>Harbour Station: station ventilation rough-in - inspection</t>
        </is>
      </c>
      <c r="F340" s="12" t="inlineStr">
        <is>
          <t>ONE_TO_ONE</t>
        </is>
      </c>
      <c r="G340" s="12" t="inlineStr">
        <is>
          <t>APPROVED</t>
        </is>
      </c>
      <c r="H340" s="12" t="inlineStr">
        <is>
          <t>New</t>
        </is>
      </c>
      <c r="I340" s="12" t="inlineStr">
        <is>
          <t>Source assignment -- not individually reviewed</t>
        </is>
      </c>
      <c r="J340" s="12" t="inlineStr"/>
      <c r="K340" s="12" t="inlineStr">
        <is>
          <t>Source assignment</t>
        </is>
      </c>
      <c r="L340" s="12" t="inlineStr"/>
      <c r="M340" s="12" t="inlineStr">
        <is>
          <t>Initial</t>
        </is>
      </c>
      <c r="N340" s="12" t="inlineStr">
        <is>
          <t>Rev 0</t>
        </is>
      </c>
      <c r="O340" s="12" t="inlineStr">
        <is>
          <t>R266-v1</t>
        </is>
      </c>
      <c r="P340" s="12" t="inlineStr"/>
      <c r="Q340" s="12" t="inlineStr"/>
      <c r="R340" s="12" t="inlineStr"/>
      <c r="S340" s="12" t="inlineStr"/>
      <c r="T340" s="12" t="inlineStr"/>
      <c r="U340" s="12" t="inlineStr"/>
      <c r="V340" s="12" t="inlineStr">
        <is>
          <t>WBS Code = 1.2.1</t>
        </is>
      </c>
      <c r="W340" s="12" t="inlineStr"/>
    </row>
    <row r="341" ht="49" customHeight="1">
      <c r="A341" s="12" t="inlineStr">
        <is>
          <t>1.2.1</t>
        </is>
      </c>
      <c r="B341" s="12" t="inlineStr">
        <is>
          <t>Stations - Station Structures</t>
        </is>
      </c>
      <c r="C341" s="12" t="inlineStr">
        <is>
          <t>Contractor Programme</t>
        </is>
      </c>
      <c r="D341" s="12" t="inlineStr">
        <is>
          <t>SCH-02-088</t>
        </is>
      </c>
      <c r="E341" s="12" t="inlineStr">
        <is>
          <t>Civic Station: entrance steel erection - release</t>
        </is>
      </c>
      <c r="F341" s="12" t="inlineStr">
        <is>
          <t>ONE_TO_ONE</t>
        </is>
      </c>
      <c r="G341" s="12" t="inlineStr">
        <is>
          <t>APPROVED</t>
        </is>
      </c>
      <c r="H341" s="12" t="inlineStr">
        <is>
          <t>New</t>
        </is>
      </c>
      <c r="I341" s="12" t="inlineStr">
        <is>
          <t>Source assignment -- not individually reviewed</t>
        </is>
      </c>
      <c r="J341" s="12" t="inlineStr"/>
      <c r="K341" s="12" t="inlineStr">
        <is>
          <t>Source assignment</t>
        </is>
      </c>
      <c r="L341" s="12" t="inlineStr"/>
      <c r="M341" s="12" t="inlineStr">
        <is>
          <t>Initial</t>
        </is>
      </c>
      <c r="N341" s="12" t="inlineStr">
        <is>
          <t>Rev 0</t>
        </is>
      </c>
      <c r="O341" s="12" t="inlineStr">
        <is>
          <t>R268-v1</t>
        </is>
      </c>
      <c r="P341" s="12" t="inlineStr"/>
      <c r="Q341" s="12" t="inlineStr"/>
      <c r="R341" s="12" t="inlineStr"/>
      <c r="S341" s="12" t="inlineStr"/>
      <c r="T341" s="12" t="inlineStr"/>
      <c r="U341" s="12" t="inlineStr"/>
      <c r="V341" s="12" t="inlineStr">
        <is>
          <t>WBS Code = 1.2.1</t>
        </is>
      </c>
      <c r="W341" s="12" t="inlineStr"/>
    </row>
    <row r="342" ht="49" customHeight="1">
      <c r="A342" s="12" t="inlineStr">
        <is>
          <t>1.2.1</t>
        </is>
      </c>
      <c r="B342" s="12" t="inlineStr">
        <is>
          <t>Stations - Station Structures</t>
        </is>
      </c>
      <c r="C342" s="12" t="inlineStr">
        <is>
          <t>Contractor Programme</t>
        </is>
      </c>
      <c r="D342" s="12" t="inlineStr">
        <is>
          <t>SCH-02-089</t>
        </is>
      </c>
      <c r="E342" s="12" t="inlineStr">
        <is>
          <t>University Station: vertical-transport installation - field start</t>
        </is>
      </c>
      <c r="F342" s="12" t="inlineStr">
        <is>
          <t>ONE_TO_ONE</t>
        </is>
      </c>
      <c r="G342" s="12" t="inlineStr">
        <is>
          <t>APPROVED</t>
        </is>
      </c>
      <c r="H342" s="12" t="inlineStr">
        <is>
          <t>New</t>
        </is>
      </c>
      <c r="I342" s="12" t="inlineStr">
        <is>
          <t>Source assignment -- not individually reviewed</t>
        </is>
      </c>
      <c r="J342" s="12" t="inlineStr"/>
      <c r="K342" s="12" t="inlineStr">
        <is>
          <t>Source assignment</t>
        </is>
      </c>
      <c r="L342" s="12" t="inlineStr"/>
      <c r="M342" s="12" t="inlineStr">
        <is>
          <t>Initial</t>
        </is>
      </c>
      <c r="N342" s="12" t="inlineStr">
        <is>
          <t>Rev 0</t>
        </is>
      </c>
      <c r="O342" s="12" t="inlineStr">
        <is>
          <t>R269-v1</t>
        </is>
      </c>
      <c r="P342" s="12" t="inlineStr"/>
      <c r="Q342" s="12" t="inlineStr"/>
      <c r="R342" s="12" t="inlineStr"/>
      <c r="S342" s="12" t="inlineStr"/>
      <c r="T342" s="12" t="inlineStr"/>
      <c r="U342" s="12" t="inlineStr"/>
      <c r="V342" s="12" t="inlineStr">
        <is>
          <t>WBS Code = 1.2.1</t>
        </is>
      </c>
      <c r="W342" s="12" t="inlineStr"/>
    </row>
    <row r="343" ht="49" customHeight="1">
      <c r="A343" s="12" t="inlineStr">
        <is>
          <t>1.2.1</t>
        </is>
      </c>
      <c r="B343" s="12" t="inlineStr">
        <is>
          <t>Stations - Station Structures</t>
        </is>
      </c>
      <c r="C343" s="12" t="inlineStr">
        <is>
          <t>Contractor Programme</t>
        </is>
      </c>
      <c r="D343" s="12" t="inlineStr">
        <is>
          <t>SCH-02-091</t>
        </is>
      </c>
      <c r="E343" s="12" t="inlineStr">
        <is>
          <t>Harbour Station: architectural wall framing - inspection</t>
        </is>
      </c>
      <c r="F343" s="12" t="inlineStr">
        <is>
          <t>ONE_TO_ONE</t>
        </is>
      </c>
      <c r="G343" s="12" t="inlineStr">
        <is>
          <t>APPROVED</t>
        </is>
      </c>
      <c r="H343" s="12" t="inlineStr">
        <is>
          <t>New</t>
        </is>
      </c>
      <c r="I343" s="12" t="inlineStr">
        <is>
          <t>Source assignment -- not individually reviewed</t>
        </is>
      </c>
      <c r="J343" s="12" t="inlineStr"/>
      <c r="K343" s="12" t="inlineStr">
        <is>
          <t>Source assignment</t>
        </is>
      </c>
      <c r="L343" s="12" t="inlineStr"/>
      <c r="M343" s="12" t="inlineStr">
        <is>
          <t>Initial</t>
        </is>
      </c>
      <c r="N343" s="12" t="inlineStr">
        <is>
          <t>Rev 0</t>
        </is>
      </c>
      <c r="O343" s="12" t="inlineStr">
        <is>
          <t>R271-v1</t>
        </is>
      </c>
      <c r="P343" s="12" t="inlineStr"/>
      <c r="Q343" s="12" t="inlineStr"/>
      <c r="R343" s="12" t="inlineStr"/>
      <c r="S343" s="12" t="inlineStr"/>
      <c r="T343" s="12" t="inlineStr"/>
      <c r="U343" s="12" t="inlineStr"/>
      <c r="V343" s="12" t="inlineStr">
        <is>
          <t>WBS Code = 1.2.1</t>
        </is>
      </c>
      <c r="W343" s="12" t="inlineStr"/>
    </row>
    <row r="344" ht="49" customHeight="1">
      <c r="A344" s="12" t="inlineStr">
        <is>
          <t>1.2.1</t>
        </is>
      </c>
      <c r="B344" s="12" t="inlineStr">
        <is>
          <t>Stations - Station Structures</t>
        </is>
      </c>
      <c r="C344" s="12" t="inlineStr">
        <is>
          <t>Contractor Programme</t>
        </is>
      </c>
      <c r="D344" s="12" t="inlineStr">
        <is>
          <t>SCH-02-092</t>
        </is>
      </c>
      <c r="E344" s="12" t="inlineStr">
        <is>
          <t>Market Station: fire-life-safety cabling - turnover</t>
        </is>
      </c>
      <c r="F344" s="12" t="inlineStr">
        <is>
          <t>ONE_TO_ONE</t>
        </is>
      </c>
      <c r="G344" s="12" t="inlineStr">
        <is>
          <t>APPROVED</t>
        </is>
      </c>
      <c r="H344" s="12" t="inlineStr">
        <is>
          <t>New</t>
        </is>
      </c>
      <c r="I344" s="12" t="inlineStr">
        <is>
          <t>Source assignment -- not individually reviewed</t>
        </is>
      </c>
      <c r="J344" s="12" t="inlineStr"/>
      <c r="K344" s="12" t="inlineStr">
        <is>
          <t>Source assignment</t>
        </is>
      </c>
      <c r="L344" s="12" t="inlineStr"/>
      <c r="M344" s="12" t="inlineStr">
        <is>
          <t>Initial</t>
        </is>
      </c>
      <c r="N344" s="12" t="inlineStr">
        <is>
          <t>Rev 0</t>
        </is>
      </c>
      <c r="O344" s="12" t="inlineStr">
        <is>
          <t>R272-v1</t>
        </is>
      </c>
      <c r="P344" s="12" t="inlineStr"/>
      <c r="Q344" s="12" t="inlineStr"/>
      <c r="R344" s="12" t="inlineStr"/>
      <c r="S344" s="12" t="inlineStr"/>
      <c r="T344" s="12" t="inlineStr"/>
      <c r="U344" s="12" t="inlineStr"/>
      <c r="V344" s="12" t="inlineStr">
        <is>
          <t>WBS Code = 1.2.1</t>
        </is>
      </c>
      <c r="W344" s="12" t="inlineStr"/>
    </row>
    <row r="345" ht="49" customHeight="1">
      <c r="A345" s="12" t="inlineStr">
        <is>
          <t>1.2.1</t>
        </is>
      </c>
      <c r="B345" s="12" t="inlineStr">
        <is>
          <t>Stations - Station Structures</t>
        </is>
      </c>
      <c r="C345" s="12" t="inlineStr">
        <is>
          <t>Contractor Programme</t>
        </is>
      </c>
      <c r="D345" s="12" t="inlineStr">
        <is>
          <t>SCH-02-094</t>
        </is>
      </c>
      <c r="E345" s="12" t="inlineStr">
        <is>
          <t>University Station: station ventilation rough-in - field start</t>
        </is>
      </c>
      <c r="F345" s="12" t="inlineStr">
        <is>
          <t>ONE_TO_ONE</t>
        </is>
      </c>
      <c r="G345" s="12" t="inlineStr">
        <is>
          <t>APPROVED</t>
        </is>
      </c>
      <c r="H345" s="12" t="inlineStr">
        <is>
          <t>New</t>
        </is>
      </c>
      <c r="I345" s="12" t="inlineStr">
        <is>
          <t>Source assignment -- not individually reviewed</t>
        </is>
      </c>
      <c r="J345" s="12" t="inlineStr"/>
      <c r="K345" s="12" t="inlineStr">
        <is>
          <t>Source assignment</t>
        </is>
      </c>
      <c r="L345" s="12" t="inlineStr"/>
      <c r="M345" s="12" t="inlineStr">
        <is>
          <t>Initial</t>
        </is>
      </c>
      <c r="N345" s="12" t="inlineStr">
        <is>
          <t>Rev 0</t>
        </is>
      </c>
      <c r="O345" s="12" t="inlineStr">
        <is>
          <t>R274-v1</t>
        </is>
      </c>
      <c r="P345" s="12" t="inlineStr"/>
      <c r="Q345" s="12" t="inlineStr"/>
      <c r="R345" s="12" t="inlineStr"/>
      <c r="S345" s="12" t="inlineStr"/>
      <c r="T345" s="12" t="inlineStr"/>
      <c r="U345" s="12" t="inlineStr"/>
      <c r="V345" s="12" t="inlineStr">
        <is>
          <t>WBS Code = 1.2.1</t>
        </is>
      </c>
      <c r="W345" s="12" t="inlineStr"/>
    </row>
    <row r="346" ht="49" customHeight="1">
      <c r="A346" s="12" t="inlineStr">
        <is>
          <t>1.2.1</t>
        </is>
      </c>
      <c r="B346" s="12" t="inlineStr">
        <is>
          <t>Stations - Station Structures</t>
        </is>
      </c>
      <c r="C346" s="12" t="inlineStr">
        <is>
          <t>Contractor Programme</t>
        </is>
      </c>
      <c r="D346" s="12" t="inlineStr">
        <is>
          <t>SCH-02-095</t>
        </is>
      </c>
      <c r="E346" s="12" t="inlineStr">
        <is>
          <t>West Terminal: public-realm paving - installation</t>
        </is>
      </c>
      <c r="F346" s="12" t="inlineStr">
        <is>
          <t>ONE_TO_ONE</t>
        </is>
      </c>
      <c r="G346" s="12" t="inlineStr">
        <is>
          <t>APPROVED</t>
        </is>
      </c>
      <c r="H346" s="12" t="inlineStr">
        <is>
          <t>New</t>
        </is>
      </c>
      <c r="I346" s="12" t="inlineStr">
        <is>
          <t>Source assignment -- not individually reviewed</t>
        </is>
      </c>
      <c r="J346" s="12" t="inlineStr"/>
      <c r="K346" s="12" t="inlineStr">
        <is>
          <t>Source assignment</t>
        </is>
      </c>
      <c r="L346" s="12" t="inlineStr"/>
      <c r="M346" s="12" t="inlineStr">
        <is>
          <t>Initial</t>
        </is>
      </c>
      <c r="N346" s="12" t="inlineStr">
        <is>
          <t>Rev 0</t>
        </is>
      </c>
      <c r="O346" s="12" t="inlineStr">
        <is>
          <t>R275-v1</t>
        </is>
      </c>
      <c r="P346" s="12" t="inlineStr"/>
      <c r="Q346" s="12" t="inlineStr"/>
      <c r="R346" s="12" t="inlineStr"/>
      <c r="S346" s="12" t="inlineStr"/>
      <c r="T346" s="12" t="inlineStr"/>
      <c r="U346" s="12" t="inlineStr"/>
      <c r="V346" s="12" t="inlineStr">
        <is>
          <t>WBS Code = 1.2.1</t>
        </is>
      </c>
      <c r="W346" s="12" t="inlineStr"/>
    </row>
    <row r="347" ht="49" customHeight="1">
      <c r="A347" s="12" t="inlineStr">
        <is>
          <t>1.2.1</t>
        </is>
      </c>
      <c r="B347" s="12" t="inlineStr">
        <is>
          <t>Stations - Station Structures</t>
        </is>
      </c>
      <c r="C347" s="12" t="inlineStr">
        <is>
          <t>Contractor Programme</t>
        </is>
      </c>
      <c r="D347" s="12" t="inlineStr">
        <is>
          <t>SCH-02-097</t>
        </is>
      </c>
      <c r="E347" s="12" t="inlineStr">
        <is>
          <t>Market Station: vertical-transport installation - turnover</t>
        </is>
      </c>
      <c r="F347" s="12" t="inlineStr">
        <is>
          <t>ONE_TO_ONE</t>
        </is>
      </c>
      <c r="G347" s="12" t="inlineStr">
        <is>
          <t>APPROVED</t>
        </is>
      </c>
      <c r="H347" s="12" t="inlineStr">
        <is>
          <t>New</t>
        </is>
      </c>
      <c r="I347" s="12" t="inlineStr">
        <is>
          <t>Source assignment -- not individually reviewed</t>
        </is>
      </c>
      <c r="J347" s="12" t="inlineStr"/>
      <c r="K347" s="12" t="inlineStr">
        <is>
          <t>Source assignment</t>
        </is>
      </c>
      <c r="L347" s="12" t="inlineStr"/>
      <c r="M347" s="12" t="inlineStr">
        <is>
          <t>Initial</t>
        </is>
      </c>
      <c r="N347" s="12" t="inlineStr">
        <is>
          <t>Rev 0</t>
        </is>
      </c>
      <c r="O347" s="12" t="inlineStr">
        <is>
          <t>R277-v1</t>
        </is>
      </c>
      <c r="P347" s="12" t="inlineStr"/>
      <c r="Q347" s="12" t="inlineStr"/>
      <c r="R347" s="12" t="inlineStr"/>
      <c r="S347" s="12" t="inlineStr"/>
      <c r="T347" s="12" t="inlineStr"/>
      <c r="U347" s="12" t="inlineStr"/>
      <c r="V347" s="12" t="inlineStr">
        <is>
          <t>WBS Code = 1.2.1</t>
        </is>
      </c>
      <c r="W347" s="12" t="inlineStr"/>
    </row>
    <row r="348" ht="49" customHeight="1">
      <c r="A348" s="12" t="inlineStr">
        <is>
          <t>1.2.1</t>
        </is>
      </c>
      <c r="B348" s="12" t="inlineStr">
        <is>
          <t>Stations - Station Structures</t>
        </is>
      </c>
      <c r="C348" s="12" t="inlineStr">
        <is>
          <t>Contractor Programme</t>
        </is>
      </c>
      <c r="D348" s="12" t="inlineStr">
        <is>
          <t>SCH-02-098</t>
        </is>
      </c>
      <c r="E348" s="12" t="inlineStr">
        <is>
          <t>Civic Station: platform edge installation - release</t>
        </is>
      </c>
      <c r="F348" s="12" t="inlineStr">
        <is>
          <t>ONE_TO_ONE</t>
        </is>
      </c>
      <c r="G348" s="12" t="inlineStr">
        <is>
          <t>APPROVED</t>
        </is>
      </c>
      <c r="H348" s="12" t="inlineStr">
        <is>
          <t>New</t>
        </is>
      </c>
      <c r="I348" s="12" t="inlineStr">
        <is>
          <t>Source assignment -- not individually reviewed</t>
        </is>
      </c>
      <c r="J348" s="12" t="inlineStr"/>
      <c r="K348" s="12" t="inlineStr">
        <is>
          <t>Source assignment</t>
        </is>
      </c>
      <c r="L348" s="12" t="inlineStr"/>
      <c r="M348" s="12" t="inlineStr">
        <is>
          <t>Initial</t>
        </is>
      </c>
      <c r="N348" s="12" t="inlineStr">
        <is>
          <t>Rev 0</t>
        </is>
      </c>
      <c r="O348" s="12" t="inlineStr">
        <is>
          <t>R278-v1</t>
        </is>
      </c>
      <c r="P348" s="12" t="inlineStr"/>
      <c r="Q348" s="12" t="inlineStr"/>
      <c r="R348" s="12" t="inlineStr"/>
      <c r="S348" s="12" t="inlineStr"/>
      <c r="T348" s="12" t="inlineStr"/>
      <c r="U348" s="12" t="inlineStr"/>
      <c r="V348" s="12" t="inlineStr">
        <is>
          <t>WBS Code = 1.2.1</t>
        </is>
      </c>
      <c r="W348" s="12" t="inlineStr"/>
    </row>
    <row r="349" ht="49" customHeight="1">
      <c r="A349" s="12" t="inlineStr">
        <is>
          <t>1.2.1</t>
        </is>
      </c>
      <c r="B349" s="12" t="inlineStr">
        <is>
          <t>Stations - Station Structures</t>
        </is>
      </c>
      <c r="C349" s="12" t="inlineStr">
        <is>
          <t>Contractor Programme</t>
        </is>
      </c>
      <c r="D349" s="12" t="inlineStr">
        <is>
          <t>SCH-02-100</t>
        </is>
      </c>
      <c r="E349" s="12" t="inlineStr">
        <is>
          <t>West Terminal: fire-life-safety cabling - installation</t>
        </is>
      </c>
      <c r="F349" s="12" t="inlineStr">
        <is>
          <t>ONE_TO_ONE</t>
        </is>
      </c>
      <c r="G349" s="12" t="inlineStr">
        <is>
          <t>APPROVED</t>
        </is>
      </c>
      <c r="H349" s="12" t="inlineStr">
        <is>
          <t>New</t>
        </is>
      </c>
      <c r="I349" s="12" t="inlineStr">
        <is>
          <t>Source assignment -- not individually reviewed</t>
        </is>
      </c>
      <c r="J349" s="12" t="inlineStr"/>
      <c r="K349" s="12" t="inlineStr">
        <is>
          <t>Source assignment</t>
        </is>
      </c>
      <c r="L349" s="12" t="inlineStr"/>
      <c r="M349" s="12" t="inlineStr">
        <is>
          <t>Initial</t>
        </is>
      </c>
      <c r="N349" s="12" t="inlineStr">
        <is>
          <t>Rev 0</t>
        </is>
      </c>
      <c r="O349" s="12" t="inlineStr">
        <is>
          <t>R280-v1</t>
        </is>
      </c>
      <c r="P349" s="12" t="inlineStr"/>
      <c r="Q349" s="12" t="inlineStr"/>
      <c r="R349" s="12" t="inlineStr"/>
      <c r="S349" s="12" t="inlineStr"/>
      <c r="T349" s="12" t="inlineStr"/>
      <c r="U349" s="12" t="inlineStr"/>
      <c r="V349" s="12" t="inlineStr">
        <is>
          <t>WBS Code = 1.2.1</t>
        </is>
      </c>
      <c r="W349" s="12" t="inlineStr"/>
    </row>
    <row r="350" ht="49" customHeight="1">
      <c r="A350" s="12" t="inlineStr">
        <is>
          <t>1.2.1</t>
        </is>
      </c>
      <c r="B350" s="12" t="inlineStr">
        <is>
          <t>Stations - Station Structures</t>
        </is>
      </c>
      <c r="C350" s="12" t="inlineStr">
        <is>
          <t>Contractor Programme</t>
        </is>
      </c>
      <c r="D350" s="12" t="inlineStr">
        <is>
          <t>SCH-02-101</t>
        </is>
      </c>
      <c r="E350" s="12" t="inlineStr">
        <is>
          <t>Harbour Station: concourse slab pour - inspection</t>
        </is>
      </c>
      <c r="F350" s="12" t="inlineStr">
        <is>
          <t>ONE_TO_ONE</t>
        </is>
      </c>
      <c r="G350" s="12" t="inlineStr">
        <is>
          <t>APPROVED</t>
        </is>
      </c>
      <c r="H350" s="12" t="inlineStr">
        <is>
          <t>New</t>
        </is>
      </c>
      <c r="I350" s="12" t="inlineStr">
        <is>
          <t>Source assignment -- not individually reviewed</t>
        </is>
      </c>
      <c r="J350" s="12" t="inlineStr"/>
      <c r="K350" s="12" t="inlineStr">
        <is>
          <t>Source assignment</t>
        </is>
      </c>
      <c r="L350" s="12" t="inlineStr"/>
      <c r="M350" s="12" t="inlineStr">
        <is>
          <t>Initial</t>
        </is>
      </c>
      <c r="N350" s="12" t="inlineStr">
        <is>
          <t>Rev 0</t>
        </is>
      </c>
      <c r="O350" s="12" t="inlineStr">
        <is>
          <t>R281-v1</t>
        </is>
      </c>
      <c r="P350" s="12" t="inlineStr"/>
      <c r="Q350" s="12" t="inlineStr"/>
      <c r="R350" s="12" t="inlineStr"/>
      <c r="S350" s="12" t="inlineStr"/>
      <c r="T350" s="12" t="inlineStr"/>
      <c r="U350" s="12" t="inlineStr"/>
      <c r="V350" s="12" t="inlineStr">
        <is>
          <t>WBS Code = 1.2.1</t>
        </is>
      </c>
      <c r="W350" s="12" t="inlineStr"/>
    </row>
    <row r="351" ht="49" customHeight="1">
      <c r="A351" s="12" t="inlineStr">
        <is>
          <t>1.2.1</t>
        </is>
      </c>
      <c r="B351" s="12" t="inlineStr">
        <is>
          <t>Stations - Station Structures</t>
        </is>
      </c>
      <c r="C351" s="12" t="inlineStr">
        <is>
          <t>Contractor Programme</t>
        </is>
      </c>
      <c r="D351" s="12" t="inlineStr">
        <is>
          <t>SCH-02-103</t>
        </is>
      </c>
      <c r="E351" s="12" t="inlineStr">
        <is>
          <t>Civic Station: public-realm paving - release</t>
        </is>
      </c>
      <c r="F351" s="12" t="inlineStr">
        <is>
          <t>ONE_TO_ONE</t>
        </is>
      </c>
      <c r="G351" s="12" t="inlineStr">
        <is>
          <t>APPROVED</t>
        </is>
      </c>
      <c r="H351" s="12" t="inlineStr">
        <is>
          <t>New</t>
        </is>
      </c>
      <c r="I351" s="12" t="inlineStr">
        <is>
          <t>Source assignment -- not individually reviewed</t>
        </is>
      </c>
      <c r="J351" s="12" t="inlineStr"/>
      <c r="K351" s="12" t="inlineStr">
        <is>
          <t>Source assignment</t>
        </is>
      </c>
      <c r="L351" s="12" t="inlineStr"/>
      <c r="M351" s="12" t="inlineStr">
        <is>
          <t>Initial</t>
        </is>
      </c>
      <c r="N351" s="12" t="inlineStr">
        <is>
          <t>Rev 0</t>
        </is>
      </c>
      <c r="O351" s="12" t="inlineStr">
        <is>
          <t>R283-v1</t>
        </is>
      </c>
      <c r="P351" s="12" t="inlineStr"/>
      <c r="Q351" s="12" t="inlineStr"/>
      <c r="R351" s="12" t="inlineStr"/>
      <c r="S351" s="12" t="inlineStr"/>
      <c r="T351" s="12" t="inlineStr"/>
      <c r="U351" s="12" t="inlineStr"/>
      <c r="V351" s="12" t="inlineStr">
        <is>
          <t>WBS Code = 1.2.1</t>
        </is>
      </c>
      <c r="W351" s="12" t="inlineStr"/>
    </row>
    <row r="352" ht="49" customHeight="1">
      <c r="A352" s="12" t="inlineStr">
        <is>
          <t>1.2.1</t>
        </is>
      </c>
      <c r="B352" s="12" t="inlineStr">
        <is>
          <t>Stations - Station Structures</t>
        </is>
      </c>
      <c r="C352" s="12" t="inlineStr">
        <is>
          <t>Contractor Programme</t>
        </is>
      </c>
      <c r="D352" s="12" t="inlineStr">
        <is>
          <t>SCH-02-104</t>
        </is>
      </c>
      <c r="E352" s="12" t="inlineStr">
        <is>
          <t>University Station: entrance steel erection - field start</t>
        </is>
      </c>
      <c r="F352" s="12" t="inlineStr">
        <is>
          <t>ONE_TO_ONE</t>
        </is>
      </c>
      <c r="G352" s="12" t="inlineStr">
        <is>
          <t>APPROVED</t>
        </is>
      </c>
      <c r="H352" s="12" t="inlineStr">
        <is>
          <t>New</t>
        </is>
      </c>
      <c r="I352" s="12" t="inlineStr">
        <is>
          <t>Source assignment -- not individually reviewed</t>
        </is>
      </c>
      <c r="J352" s="12" t="inlineStr"/>
      <c r="K352" s="12" t="inlineStr">
        <is>
          <t>Source assignment</t>
        </is>
      </c>
      <c r="L352" s="12" t="inlineStr"/>
      <c r="M352" s="12" t="inlineStr">
        <is>
          <t>Initial</t>
        </is>
      </c>
      <c r="N352" s="12" t="inlineStr">
        <is>
          <t>Rev 0</t>
        </is>
      </c>
      <c r="O352" s="12" t="inlineStr">
        <is>
          <t>R284-v1</t>
        </is>
      </c>
      <c r="P352" s="12" t="inlineStr"/>
      <c r="Q352" s="12" t="inlineStr"/>
      <c r="R352" s="12" t="inlineStr"/>
      <c r="S352" s="12" t="inlineStr"/>
      <c r="T352" s="12" t="inlineStr"/>
      <c r="U352" s="12" t="inlineStr"/>
      <c r="V352" s="12" t="inlineStr">
        <is>
          <t>WBS Code = 1.2.1</t>
        </is>
      </c>
      <c r="W352" s="12" t="inlineStr"/>
    </row>
    <row r="353" ht="49" customHeight="1">
      <c r="A353" s="12" t="inlineStr">
        <is>
          <t>1.2.1</t>
        </is>
      </c>
      <c r="B353" s="12" t="inlineStr">
        <is>
          <t>Stations - Station Structures</t>
        </is>
      </c>
      <c r="C353" s="12" t="inlineStr">
        <is>
          <t>Contractor Programme</t>
        </is>
      </c>
      <c r="D353" s="12" t="inlineStr">
        <is>
          <t>SCH-02-106</t>
        </is>
      </c>
      <c r="E353" s="12" t="inlineStr">
        <is>
          <t>Harbour Station: platform edge installation - inspection</t>
        </is>
      </c>
      <c r="F353" s="12" t="inlineStr">
        <is>
          <t>ONE_TO_ONE</t>
        </is>
      </c>
      <c r="G353" s="12" t="inlineStr">
        <is>
          <t>APPROVED</t>
        </is>
      </c>
      <c r="H353" s="12" t="inlineStr">
        <is>
          <t>New</t>
        </is>
      </c>
      <c r="I353" s="12" t="inlineStr">
        <is>
          <t>Source assignment -- not individually reviewed</t>
        </is>
      </c>
      <c r="J353" s="12" t="inlineStr"/>
      <c r="K353" s="12" t="inlineStr">
        <is>
          <t>Source assignment</t>
        </is>
      </c>
      <c r="L353" s="12" t="inlineStr"/>
      <c r="M353" s="12" t="inlineStr">
        <is>
          <t>Initial</t>
        </is>
      </c>
      <c r="N353" s="12" t="inlineStr">
        <is>
          <t>Rev 0</t>
        </is>
      </c>
      <c r="O353" s="12" t="inlineStr">
        <is>
          <t>R286-v1</t>
        </is>
      </c>
      <c r="P353" s="12" t="inlineStr"/>
      <c r="Q353" s="12" t="inlineStr"/>
      <c r="R353" s="12" t="inlineStr"/>
      <c r="S353" s="12" t="inlineStr"/>
      <c r="T353" s="12" t="inlineStr"/>
      <c r="U353" s="12" t="inlineStr"/>
      <c r="V353" s="12" t="inlineStr">
        <is>
          <t>WBS Code = 1.2.1</t>
        </is>
      </c>
      <c r="W353" s="12" t="inlineStr"/>
    </row>
    <row r="354" ht="49" customHeight="1">
      <c r="A354" s="12" t="inlineStr">
        <is>
          <t>1.2.1</t>
        </is>
      </c>
      <c r="B354" s="12" t="inlineStr">
        <is>
          <t>Stations - Station Structures</t>
        </is>
      </c>
      <c r="C354" s="12" t="inlineStr">
        <is>
          <t>Contractor Programme</t>
        </is>
      </c>
      <c r="D354" s="12" t="inlineStr">
        <is>
          <t>SCH-02-107</t>
        </is>
      </c>
      <c r="E354" s="12" t="inlineStr">
        <is>
          <t>Market Station: architectural wall framing - turnover</t>
        </is>
      </c>
      <c r="F354" s="12" t="inlineStr">
        <is>
          <t>ONE_TO_ONE</t>
        </is>
      </c>
      <c r="G354" s="12" t="inlineStr">
        <is>
          <t>APPROVED</t>
        </is>
      </c>
      <c r="H354" s="12" t="inlineStr">
        <is>
          <t>New</t>
        </is>
      </c>
      <c r="I354" s="12" t="inlineStr">
        <is>
          <t>Source assignment -- not individually reviewed</t>
        </is>
      </c>
      <c r="J354" s="12" t="inlineStr"/>
      <c r="K354" s="12" t="inlineStr">
        <is>
          <t>Source assignment</t>
        </is>
      </c>
      <c r="L354" s="12" t="inlineStr"/>
      <c r="M354" s="12" t="inlineStr">
        <is>
          <t>Initial</t>
        </is>
      </c>
      <c r="N354" s="12" t="inlineStr">
        <is>
          <t>Rev 0</t>
        </is>
      </c>
      <c r="O354" s="12" t="inlineStr">
        <is>
          <t>R287-v1</t>
        </is>
      </c>
      <c r="P354" s="12" t="inlineStr"/>
      <c r="Q354" s="12" t="inlineStr"/>
      <c r="R354" s="12" t="inlineStr"/>
      <c r="S354" s="12" t="inlineStr"/>
      <c r="T354" s="12" t="inlineStr"/>
      <c r="U354" s="12" t="inlineStr"/>
      <c r="V354" s="12" t="inlineStr">
        <is>
          <t>WBS Code = 1.2.1</t>
        </is>
      </c>
      <c r="W354" s="12" t="inlineStr"/>
    </row>
    <row r="355" ht="49" customHeight="1">
      <c r="A355" s="12" t="inlineStr">
        <is>
          <t>1.2.1</t>
        </is>
      </c>
      <c r="B355" s="12" t="inlineStr">
        <is>
          <t>Stations - Station Structures</t>
        </is>
      </c>
      <c r="C355" s="12" t="inlineStr">
        <is>
          <t>Contractor Programme</t>
        </is>
      </c>
      <c r="D355" s="12" t="inlineStr">
        <is>
          <t>SCH-02-109</t>
        </is>
      </c>
      <c r="E355" s="12" t="inlineStr">
        <is>
          <t>University Station: concourse slab pour - field start</t>
        </is>
      </c>
      <c r="F355" s="12" t="inlineStr">
        <is>
          <t>ONE_TO_ONE</t>
        </is>
      </c>
      <c r="G355" s="12" t="inlineStr">
        <is>
          <t>APPROVED</t>
        </is>
      </c>
      <c r="H355" s="12" t="inlineStr">
        <is>
          <t>New</t>
        </is>
      </c>
      <c r="I355" s="12" t="inlineStr">
        <is>
          <t>Source assignment -- not individually reviewed</t>
        </is>
      </c>
      <c r="J355" s="12" t="inlineStr"/>
      <c r="K355" s="12" t="inlineStr">
        <is>
          <t>Source assignment</t>
        </is>
      </c>
      <c r="L355" s="12" t="inlineStr"/>
      <c r="M355" s="12" t="inlineStr">
        <is>
          <t>Initial</t>
        </is>
      </c>
      <c r="N355" s="12" t="inlineStr">
        <is>
          <t>Rev 0</t>
        </is>
      </c>
      <c r="O355" s="12" t="inlineStr">
        <is>
          <t>R289-v1</t>
        </is>
      </c>
      <c r="P355" s="12" t="inlineStr"/>
      <c r="Q355" s="12" t="inlineStr"/>
      <c r="R355" s="12" t="inlineStr"/>
      <c r="S355" s="12" t="inlineStr"/>
      <c r="T355" s="12" t="inlineStr"/>
      <c r="U355" s="12" t="inlineStr"/>
      <c r="V355" s="12" t="inlineStr">
        <is>
          <t>WBS Code = 1.2.1</t>
        </is>
      </c>
      <c r="W355" s="12" t="inlineStr"/>
    </row>
    <row r="356" ht="49" customHeight="1">
      <c r="A356" s="12" t="inlineStr">
        <is>
          <t>1.2.1</t>
        </is>
      </c>
      <c r="B356" s="12" t="inlineStr">
        <is>
          <t>Stations - Station Structures</t>
        </is>
      </c>
      <c r="C356" s="12" t="inlineStr">
        <is>
          <t>Contractor Programme</t>
        </is>
      </c>
      <c r="D356" s="12" t="inlineStr">
        <is>
          <t>SCH-02-110</t>
        </is>
      </c>
      <c r="E356" s="12" t="inlineStr">
        <is>
          <t>West Terminal: station ventilation rough-in - installation</t>
        </is>
      </c>
      <c r="F356" s="12" t="inlineStr">
        <is>
          <t>ONE_TO_ONE</t>
        </is>
      </c>
      <c r="G356" s="12" t="inlineStr">
        <is>
          <t>APPROVED</t>
        </is>
      </c>
      <c r="H356" s="12" t="inlineStr">
        <is>
          <t>New</t>
        </is>
      </c>
      <c r="I356" s="12" t="inlineStr">
        <is>
          <t>Source assignment -- not individually reviewed</t>
        </is>
      </c>
      <c r="J356" s="12" t="inlineStr"/>
      <c r="K356" s="12" t="inlineStr">
        <is>
          <t>Source assignment</t>
        </is>
      </c>
      <c r="L356" s="12" t="inlineStr"/>
      <c r="M356" s="12" t="inlineStr">
        <is>
          <t>Initial</t>
        </is>
      </c>
      <c r="N356" s="12" t="inlineStr">
        <is>
          <t>Rev 0</t>
        </is>
      </c>
      <c r="O356" s="12" t="inlineStr">
        <is>
          <t>R290-v1</t>
        </is>
      </c>
      <c r="P356" s="12" t="inlineStr"/>
      <c r="Q356" s="12" t="inlineStr"/>
      <c r="R356" s="12" t="inlineStr"/>
      <c r="S356" s="12" t="inlineStr"/>
      <c r="T356" s="12" t="inlineStr"/>
      <c r="U356" s="12" t="inlineStr"/>
      <c r="V356" s="12" t="inlineStr">
        <is>
          <t>WBS Code = 1.2.1</t>
        </is>
      </c>
      <c r="W356" s="12" t="inlineStr"/>
    </row>
    <row r="357" ht="49" customHeight="1">
      <c r="A357" s="12" t="inlineStr">
        <is>
          <t>1.2.1</t>
        </is>
      </c>
      <c r="B357" s="12" t="inlineStr">
        <is>
          <t>Stations - Station Structures</t>
        </is>
      </c>
      <c r="C357" s="12" t="inlineStr">
        <is>
          <t>Contractor Programme</t>
        </is>
      </c>
      <c r="D357" s="12" t="inlineStr">
        <is>
          <t>SCH-02-112</t>
        </is>
      </c>
      <c r="E357" s="12" t="inlineStr">
        <is>
          <t>Market Station: entrance steel erection - turnover</t>
        </is>
      </c>
      <c r="F357" s="12" t="inlineStr">
        <is>
          <t>ONE_TO_ONE</t>
        </is>
      </c>
      <c r="G357" s="12" t="inlineStr">
        <is>
          <t>APPROVED</t>
        </is>
      </c>
      <c r="H357" s="12" t="inlineStr">
        <is>
          <t>New</t>
        </is>
      </c>
      <c r="I357" s="12" t="inlineStr">
        <is>
          <t>Source assignment -- not individually reviewed</t>
        </is>
      </c>
      <c r="J357" s="12" t="inlineStr"/>
      <c r="K357" s="12" t="inlineStr">
        <is>
          <t>Source assignment</t>
        </is>
      </c>
      <c r="L357" s="12" t="inlineStr"/>
      <c r="M357" s="12" t="inlineStr">
        <is>
          <t>Initial</t>
        </is>
      </c>
      <c r="N357" s="12" t="inlineStr">
        <is>
          <t>Rev 0</t>
        </is>
      </c>
      <c r="O357" s="12" t="inlineStr">
        <is>
          <t>R292-v1</t>
        </is>
      </c>
      <c r="P357" s="12" t="inlineStr"/>
      <c r="Q357" s="12" t="inlineStr"/>
      <c r="R357" s="12" t="inlineStr"/>
      <c r="S357" s="12" t="inlineStr"/>
      <c r="T357" s="12" t="inlineStr"/>
      <c r="U357" s="12" t="inlineStr"/>
      <c r="V357" s="12" t="inlineStr">
        <is>
          <t>WBS Code = 1.2.1</t>
        </is>
      </c>
      <c r="W357" s="12" t="inlineStr"/>
    </row>
    <row r="358" ht="49" customHeight="1">
      <c r="A358" s="12" t="inlineStr">
        <is>
          <t>1.2.1</t>
        </is>
      </c>
      <c r="B358" s="12" t="inlineStr">
        <is>
          <t>Stations - Station Structures</t>
        </is>
      </c>
      <c r="C358" s="12" t="inlineStr">
        <is>
          <t>Contractor Programme</t>
        </is>
      </c>
      <c r="D358" s="12" t="inlineStr">
        <is>
          <t>SCH-02-113</t>
        </is>
      </c>
      <c r="E358" s="12" t="inlineStr">
        <is>
          <t>Civic Station: vertical-transport installation - release</t>
        </is>
      </c>
      <c r="F358" s="12" t="inlineStr">
        <is>
          <t>ONE_TO_ONE</t>
        </is>
      </c>
      <c r="G358" s="12" t="inlineStr">
        <is>
          <t>APPROVED</t>
        </is>
      </c>
      <c r="H358" s="12" t="inlineStr">
        <is>
          <t>New</t>
        </is>
      </c>
      <c r="I358" s="12" t="inlineStr">
        <is>
          <t>Source assignment -- not individually reviewed</t>
        </is>
      </c>
      <c r="J358" s="12" t="inlineStr"/>
      <c r="K358" s="12" t="inlineStr">
        <is>
          <t>Source assignment</t>
        </is>
      </c>
      <c r="L358" s="12" t="inlineStr"/>
      <c r="M358" s="12" t="inlineStr">
        <is>
          <t>Initial</t>
        </is>
      </c>
      <c r="N358" s="12" t="inlineStr">
        <is>
          <t>Rev 0</t>
        </is>
      </c>
      <c r="O358" s="12" t="inlineStr">
        <is>
          <t>R293-v1</t>
        </is>
      </c>
      <c r="P358" s="12" t="inlineStr"/>
      <c r="Q358" s="12" t="inlineStr"/>
      <c r="R358" s="12" t="inlineStr"/>
      <c r="S358" s="12" t="inlineStr"/>
      <c r="T358" s="12" t="inlineStr"/>
      <c r="U358" s="12" t="inlineStr"/>
      <c r="V358" s="12" t="inlineStr">
        <is>
          <t>WBS Code = 1.2.1</t>
        </is>
      </c>
      <c r="W358" s="12" t="inlineStr"/>
    </row>
    <row r="359" ht="49" customHeight="1">
      <c r="A359" s="12" t="inlineStr">
        <is>
          <t>1.2.1</t>
        </is>
      </c>
      <c r="B359" s="12" t="inlineStr">
        <is>
          <t>Stations - Station Structures</t>
        </is>
      </c>
      <c r="C359" s="12" t="inlineStr">
        <is>
          <t>Contractor Programme</t>
        </is>
      </c>
      <c r="D359" s="12" t="inlineStr">
        <is>
          <t>SCH-02-115</t>
        </is>
      </c>
      <c r="E359" s="12" t="inlineStr">
        <is>
          <t>West Terminal: architectural wall framing - installation</t>
        </is>
      </c>
      <c r="F359" s="12" t="inlineStr">
        <is>
          <t>ONE_TO_ONE</t>
        </is>
      </c>
      <c r="G359" s="12" t="inlineStr">
        <is>
          <t>APPROVED</t>
        </is>
      </c>
      <c r="H359" s="12" t="inlineStr">
        <is>
          <t>New</t>
        </is>
      </c>
      <c r="I359" s="12" t="inlineStr">
        <is>
          <t>Source assignment -- not individually reviewed</t>
        </is>
      </c>
      <c r="J359" s="12" t="inlineStr"/>
      <c r="K359" s="12" t="inlineStr">
        <is>
          <t>Source assignment</t>
        </is>
      </c>
      <c r="L359" s="12" t="inlineStr"/>
      <c r="M359" s="12" t="inlineStr">
        <is>
          <t>Initial</t>
        </is>
      </c>
      <c r="N359" s="12" t="inlineStr">
        <is>
          <t>Rev 0</t>
        </is>
      </c>
      <c r="O359" s="12" t="inlineStr">
        <is>
          <t>R295-v1</t>
        </is>
      </c>
      <c r="P359" s="12" t="inlineStr"/>
      <c r="Q359" s="12" t="inlineStr"/>
      <c r="R359" s="12" t="inlineStr"/>
      <c r="S359" s="12" t="inlineStr"/>
      <c r="T359" s="12" t="inlineStr"/>
      <c r="U359" s="12" t="inlineStr"/>
      <c r="V359" s="12" t="inlineStr">
        <is>
          <t>WBS Code = 1.2.1</t>
        </is>
      </c>
      <c r="W359" s="12" t="inlineStr"/>
    </row>
    <row r="360" ht="49" customHeight="1">
      <c r="A360" s="12" t="inlineStr">
        <is>
          <t>1.2.1</t>
        </is>
      </c>
      <c r="B360" s="12" t="inlineStr">
        <is>
          <t>Stations - Station Structures</t>
        </is>
      </c>
      <c r="C360" s="12" t="inlineStr">
        <is>
          <t>Contractor Programme</t>
        </is>
      </c>
      <c r="D360" s="12" t="inlineStr">
        <is>
          <t>SCH-02-116</t>
        </is>
      </c>
      <c r="E360" s="12" t="inlineStr">
        <is>
          <t>Harbour Station: fire-life-safety cabling - inspection</t>
        </is>
      </c>
      <c r="F360" s="12" t="inlineStr">
        <is>
          <t>ONE_TO_ONE</t>
        </is>
      </c>
      <c r="G360" s="12" t="inlineStr">
        <is>
          <t>APPROVED</t>
        </is>
      </c>
      <c r="H360" s="12" t="inlineStr">
        <is>
          <t>New</t>
        </is>
      </c>
      <c r="I360" s="12" t="inlineStr">
        <is>
          <t>Source assignment -- not individually reviewed</t>
        </is>
      </c>
      <c r="J360" s="12" t="inlineStr"/>
      <c r="K360" s="12" t="inlineStr">
        <is>
          <t>Source assignment</t>
        </is>
      </c>
      <c r="L360" s="12" t="inlineStr"/>
      <c r="M360" s="12" t="inlineStr">
        <is>
          <t>Initial</t>
        </is>
      </c>
      <c r="N360" s="12" t="inlineStr">
        <is>
          <t>Rev 0</t>
        </is>
      </c>
      <c r="O360" s="12" t="inlineStr">
        <is>
          <t>R296-v1</t>
        </is>
      </c>
      <c r="P360" s="12" t="inlineStr"/>
      <c r="Q360" s="12" t="inlineStr"/>
      <c r="R360" s="12" t="inlineStr"/>
      <c r="S360" s="12" t="inlineStr"/>
      <c r="T360" s="12" t="inlineStr"/>
      <c r="U360" s="12" t="inlineStr"/>
      <c r="V360" s="12" t="inlineStr">
        <is>
          <t>WBS Code = 1.2.1</t>
        </is>
      </c>
      <c r="W360" s="12" t="inlineStr"/>
    </row>
    <row r="361" ht="49" customHeight="1">
      <c r="A361" s="12" t="inlineStr">
        <is>
          <t>1.2.1</t>
        </is>
      </c>
      <c r="B361" s="12" t="inlineStr">
        <is>
          <t>Stations - Station Structures</t>
        </is>
      </c>
      <c r="C361" s="12" t="inlineStr">
        <is>
          <t>Contractor Programme</t>
        </is>
      </c>
      <c r="D361" s="12" t="inlineStr">
        <is>
          <t>SCH-02-118</t>
        </is>
      </c>
      <c r="E361" s="12" t="inlineStr">
        <is>
          <t>Civic Station: station ventilation rough-in - release</t>
        </is>
      </c>
      <c r="F361" s="12" t="inlineStr">
        <is>
          <t>ONE_TO_ONE</t>
        </is>
      </c>
      <c r="G361" s="12" t="inlineStr">
        <is>
          <t>APPROVED</t>
        </is>
      </c>
      <c r="H361" s="12" t="inlineStr">
        <is>
          <t>New</t>
        </is>
      </c>
      <c r="I361" s="12" t="inlineStr">
        <is>
          <t>Source assignment -- not individually reviewed</t>
        </is>
      </c>
      <c r="J361" s="12" t="inlineStr"/>
      <c r="K361" s="12" t="inlineStr">
        <is>
          <t>Source assignment</t>
        </is>
      </c>
      <c r="L361" s="12" t="inlineStr"/>
      <c r="M361" s="12" t="inlineStr">
        <is>
          <t>Initial</t>
        </is>
      </c>
      <c r="N361" s="12" t="inlineStr">
        <is>
          <t>Rev 0</t>
        </is>
      </c>
      <c r="O361" s="12" t="inlineStr">
        <is>
          <t>R298-v1</t>
        </is>
      </c>
      <c r="P361" s="12" t="inlineStr"/>
      <c r="Q361" s="12" t="inlineStr"/>
      <c r="R361" s="12" t="inlineStr"/>
      <c r="S361" s="12" t="inlineStr"/>
      <c r="T361" s="12" t="inlineStr"/>
      <c r="U361" s="12" t="inlineStr"/>
      <c r="V361" s="12" t="inlineStr">
        <is>
          <t>WBS Code = 1.2.1</t>
        </is>
      </c>
      <c r="W361" s="12" t="inlineStr"/>
    </row>
    <row r="362" ht="49" customHeight="1">
      <c r="A362" s="12" t="inlineStr">
        <is>
          <t>1.2.1</t>
        </is>
      </c>
      <c r="B362" s="12" t="inlineStr">
        <is>
          <t>Stations - Station Structures</t>
        </is>
      </c>
      <c r="C362" s="12" t="inlineStr">
        <is>
          <t>Contractor Programme</t>
        </is>
      </c>
      <c r="D362" s="12" t="inlineStr">
        <is>
          <t>SCH-02-119</t>
        </is>
      </c>
      <c r="E362" s="12" t="inlineStr">
        <is>
          <t>University Station: public-realm paving - field start</t>
        </is>
      </c>
      <c r="F362" s="12" t="inlineStr">
        <is>
          <t>ONE_TO_ONE</t>
        </is>
      </c>
      <c r="G362" s="12" t="inlineStr">
        <is>
          <t>APPROVED</t>
        </is>
      </c>
      <c r="H362" s="12" t="inlineStr">
        <is>
          <t>New</t>
        </is>
      </c>
      <c r="I362" s="12" t="inlineStr">
        <is>
          <t>Source assignment -- not individually reviewed</t>
        </is>
      </c>
      <c r="J362" s="12" t="inlineStr"/>
      <c r="K362" s="12" t="inlineStr">
        <is>
          <t>Source assignment</t>
        </is>
      </c>
      <c r="L362" s="12" t="inlineStr"/>
      <c r="M362" s="12" t="inlineStr">
        <is>
          <t>Initial</t>
        </is>
      </c>
      <c r="N362" s="12" t="inlineStr">
        <is>
          <t>Rev 0</t>
        </is>
      </c>
      <c r="O362" s="12" t="inlineStr">
        <is>
          <t>R299-v1</t>
        </is>
      </c>
      <c r="P362" s="12" t="inlineStr"/>
      <c r="Q362" s="12" t="inlineStr"/>
      <c r="R362" s="12" t="inlineStr"/>
      <c r="S362" s="12" t="inlineStr"/>
      <c r="T362" s="12" t="inlineStr"/>
      <c r="U362" s="12" t="inlineStr"/>
      <c r="V362" s="12" t="inlineStr">
        <is>
          <t>WBS Code = 1.2.1</t>
        </is>
      </c>
      <c r="W362" s="12" t="inlineStr"/>
    </row>
    <row r="363" ht="49" customHeight="1">
      <c r="A363" s="12" t="inlineStr">
        <is>
          <t>1.2.1</t>
        </is>
      </c>
      <c r="B363" s="12" t="inlineStr">
        <is>
          <t>Stations - Station Structures</t>
        </is>
      </c>
      <c r="C363" s="12" t="inlineStr">
        <is>
          <t>Contractor Programme</t>
        </is>
      </c>
      <c r="D363" s="12" t="inlineStr">
        <is>
          <t>SCH-02-121</t>
        </is>
      </c>
      <c r="E363" s="12" t="inlineStr">
        <is>
          <t>Harbour Station: vertical-transport installation - inspection</t>
        </is>
      </c>
      <c r="F363" s="12" t="inlineStr">
        <is>
          <t>ONE_TO_ONE</t>
        </is>
      </c>
      <c r="G363" s="12" t="inlineStr">
        <is>
          <t>APPROVED</t>
        </is>
      </c>
      <c r="H363" s="12" t="inlineStr">
        <is>
          <t>New</t>
        </is>
      </c>
      <c r="I363" s="12" t="inlineStr">
        <is>
          <t>Source assignment -- not individually reviewed</t>
        </is>
      </c>
      <c r="J363" s="12" t="inlineStr"/>
      <c r="K363" s="12" t="inlineStr">
        <is>
          <t>Source assignment</t>
        </is>
      </c>
      <c r="L363" s="12" t="inlineStr"/>
      <c r="M363" s="12" t="inlineStr">
        <is>
          <t>Initial</t>
        </is>
      </c>
      <c r="N363" s="12" t="inlineStr">
        <is>
          <t>Rev 0</t>
        </is>
      </c>
      <c r="O363" s="12" t="inlineStr">
        <is>
          <t>R301-v1</t>
        </is>
      </c>
      <c r="P363" s="12" t="inlineStr"/>
      <c r="Q363" s="12" t="inlineStr"/>
      <c r="R363" s="12" t="inlineStr"/>
      <c r="S363" s="12" t="inlineStr"/>
      <c r="T363" s="12" t="inlineStr"/>
      <c r="U363" s="12" t="inlineStr"/>
      <c r="V363" s="12" t="inlineStr">
        <is>
          <t>WBS Code = 1.2.1</t>
        </is>
      </c>
      <c r="W363" s="12" t="inlineStr"/>
    </row>
    <row r="364" ht="49" customHeight="1">
      <c r="A364" s="12" t="inlineStr">
        <is>
          <t>1.2.1</t>
        </is>
      </c>
      <c r="B364" s="12" t="inlineStr">
        <is>
          <t>Stations - Station Structures</t>
        </is>
      </c>
      <c r="C364" s="12" t="inlineStr">
        <is>
          <t>Contractor Programme</t>
        </is>
      </c>
      <c r="D364" s="12" t="inlineStr">
        <is>
          <t>SCH-02-122</t>
        </is>
      </c>
      <c r="E364" s="12" t="inlineStr">
        <is>
          <t>Market Station: platform edge installation - turnover</t>
        </is>
      </c>
      <c r="F364" s="12" t="inlineStr">
        <is>
          <t>ONE_TO_ONE</t>
        </is>
      </c>
      <c r="G364" s="12" t="inlineStr">
        <is>
          <t>APPROVED</t>
        </is>
      </c>
      <c r="H364" s="12" t="inlineStr">
        <is>
          <t>New</t>
        </is>
      </c>
      <c r="I364" s="12" t="inlineStr">
        <is>
          <t>Source assignment -- not individually reviewed</t>
        </is>
      </c>
      <c r="J364" s="12" t="inlineStr"/>
      <c r="K364" s="12" t="inlineStr">
        <is>
          <t>Source assignment</t>
        </is>
      </c>
      <c r="L364" s="12" t="inlineStr"/>
      <c r="M364" s="12" t="inlineStr">
        <is>
          <t>Initial</t>
        </is>
      </c>
      <c r="N364" s="12" t="inlineStr">
        <is>
          <t>Rev 0</t>
        </is>
      </c>
      <c r="O364" s="12" t="inlineStr">
        <is>
          <t>R302-v1</t>
        </is>
      </c>
      <c r="P364" s="12" t="inlineStr"/>
      <c r="Q364" s="12" t="inlineStr"/>
      <c r="R364" s="12" t="inlineStr"/>
      <c r="S364" s="12" t="inlineStr"/>
      <c r="T364" s="12" t="inlineStr"/>
      <c r="U364" s="12" t="inlineStr"/>
      <c r="V364" s="12" t="inlineStr">
        <is>
          <t>WBS Code = 1.2.1</t>
        </is>
      </c>
      <c r="W364" s="12" t="inlineStr"/>
    </row>
    <row r="365" ht="49" customHeight="1">
      <c r="A365" s="12" t="inlineStr">
        <is>
          <t>1.2.1</t>
        </is>
      </c>
      <c r="B365" s="12" t="inlineStr">
        <is>
          <t>Stations - Station Structures</t>
        </is>
      </c>
      <c r="C365" s="12" t="inlineStr">
        <is>
          <t>Contractor Programme</t>
        </is>
      </c>
      <c r="D365" s="12" t="inlineStr">
        <is>
          <t>SCH-02-124</t>
        </is>
      </c>
      <c r="E365" s="12" t="inlineStr">
        <is>
          <t>University Station: fire-life-safety cabling - field start</t>
        </is>
      </c>
      <c r="F365" s="12" t="inlineStr">
        <is>
          <t>ONE_TO_ONE</t>
        </is>
      </c>
      <c r="G365" s="12" t="inlineStr">
        <is>
          <t>APPROVED</t>
        </is>
      </c>
      <c r="H365" s="12" t="inlineStr">
        <is>
          <t>New</t>
        </is>
      </c>
      <c r="I365" s="12" t="inlineStr">
        <is>
          <t>Source assignment -- not individually reviewed</t>
        </is>
      </c>
      <c r="J365" s="12" t="inlineStr"/>
      <c r="K365" s="12" t="inlineStr">
        <is>
          <t>Source assignment</t>
        </is>
      </c>
      <c r="L365" s="12" t="inlineStr"/>
      <c r="M365" s="12" t="inlineStr">
        <is>
          <t>Initial</t>
        </is>
      </c>
      <c r="N365" s="12" t="inlineStr">
        <is>
          <t>Rev 0</t>
        </is>
      </c>
      <c r="O365" s="12" t="inlineStr">
        <is>
          <t>R304-v1</t>
        </is>
      </c>
      <c r="P365" s="12" t="inlineStr"/>
      <c r="Q365" s="12" t="inlineStr"/>
      <c r="R365" s="12" t="inlineStr"/>
      <c r="S365" s="12" t="inlineStr"/>
      <c r="T365" s="12" t="inlineStr"/>
      <c r="U365" s="12" t="inlineStr"/>
      <c r="V365" s="12" t="inlineStr">
        <is>
          <t>WBS Code = 1.2.1</t>
        </is>
      </c>
      <c r="W365" s="12" t="inlineStr"/>
    </row>
    <row r="366" ht="49" customHeight="1">
      <c r="A366" s="12" t="inlineStr">
        <is>
          <t>1.2.1</t>
        </is>
      </c>
      <c r="B366" s="12" t="inlineStr">
        <is>
          <t>Stations - Station Structures</t>
        </is>
      </c>
      <c r="C366" s="12" t="inlineStr">
        <is>
          <t>Contractor Programme</t>
        </is>
      </c>
      <c r="D366" s="12" t="inlineStr">
        <is>
          <t>SCH-02-125</t>
        </is>
      </c>
      <c r="E366" s="12" t="inlineStr">
        <is>
          <t>West Terminal: concourse slab pour - installation</t>
        </is>
      </c>
      <c r="F366" s="12" t="inlineStr">
        <is>
          <t>ONE_TO_ONE</t>
        </is>
      </c>
      <c r="G366" s="12" t="inlineStr">
        <is>
          <t>APPROVED</t>
        </is>
      </c>
      <c r="H366" s="12" t="inlineStr">
        <is>
          <t>New</t>
        </is>
      </c>
      <c r="I366" s="12" t="inlineStr">
        <is>
          <t>Source assignment -- not individually reviewed</t>
        </is>
      </c>
      <c r="J366" s="12" t="inlineStr"/>
      <c r="K366" s="12" t="inlineStr">
        <is>
          <t>Source assignment</t>
        </is>
      </c>
      <c r="L366" s="12" t="inlineStr"/>
      <c r="M366" s="12" t="inlineStr">
        <is>
          <t>Initial</t>
        </is>
      </c>
      <c r="N366" s="12" t="inlineStr">
        <is>
          <t>Rev 0</t>
        </is>
      </c>
      <c r="O366" s="12" t="inlineStr">
        <is>
          <t>R305-v1</t>
        </is>
      </c>
      <c r="P366" s="12" t="inlineStr"/>
      <c r="Q366" s="12" t="inlineStr"/>
      <c r="R366" s="12" t="inlineStr"/>
      <c r="S366" s="12" t="inlineStr"/>
      <c r="T366" s="12" t="inlineStr"/>
      <c r="U366" s="12" t="inlineStr"/>
      <c r="V366" s="12" t="inlineStr">
        <is>
          <t>WBS Code = 1.2.1</t>
        </is>
      </c>
      <c r="W366" s="12" t="inlineStr"/>
    </row>
    <row r="367" ht="49" customHeight="1">
      <c r="A367" s="12" t="inlineStr">
        <is>
          <t>1.2.1</t>
        </is>
      </c>
      <c r="B367" s="12" t="inlineStr">
        <is>
          <t>Stations - Station Structures</t>
        </is>
      </c>
      <c r="C367" s="12" t="inlineStr">
        <is>
          <t>Contractor Programme</t>
        </is>
      </c>
      <c r="D367" s="12" t="inlineStr">
        <is>
          <t>SCH-02-127</t>
        </is>
      </c>
      <c r="E367" s="12" t="inlineStr">
        <is>
          <t>Market Station: public-realm paving - turnover</t>
        </is>
      </c>
      <c r="F367" s="12" t="inlineStr">
        <is>
          <t>ONE_TO_ONE</t>
        </is>
      </c>
      <c r="G367" s="12" t="inlineStr">
        <is>
          <t>APPROVED</t>
        </is>
      </c>
      <c r="H367" s="12" t="inlineStr">
        <is>
          <t>New</t>
        </is>
      </c>
      <c r="I367" s="12" t="inlineStr">
        <is>
          <t>Source assignment -- not individually reviewed</t>
        </is>
      </c>
      <c r="J367" s="12" t="inlineStr"/>
      <c r="K367" s="12" t="inlineStr">
        <is>
          <t>Source assignment</t>
        </is>
      </c>
      <c r="L367" s="12" t="inlineStr"/>
      <c r="M367" s="12" t="inlineStr">
        <is>
          <t>Initial</t>
        </is>
      </c>
      <c r="N367" s="12" t="inlineStr">
        <is>
          <t>Rev 0</t>
        </is>
      </c>
      <c r="O367" s="12" t="inlineStr">
        <is>
          <t>R307-v1</t>
        </is>
      </c>
      <c r="P367" s="12" t="inlineStr"/>
      <c r="Q367" s="12" t="inlineStr"/>
      <c r="R367" s="12" t="inlineStr"/>
      <c r="S367" s="12" t="inlineStr"/>
      <c r="T367" s="12" t="inlineStr"/>
      <c r="U367" s="12" t="inlineStr"/>
      <c r="V367" s="12" t="inlineStr">
        <is>
          <t>WBS Code = 1.2.1</t>
        </is>
      </c>
      <c r="W367" s="12" t="inlineStr"/>
    </row>
    <row r="368" ht="49" customHeight="1">
      <c r="A368" s="12" t="inlineStr">
        <is>
          <t>1.2.1</t>
        </is>
      </c>
      <c r="B368" s="12" t="inlineStr">
        <is>
          <t>Stations - Station Structures</t>
        </is>
      </c>
      <c r="C368" s="12" t="inlineStr">
        <is>
          <t>Contractor Programme</t>
        </is>
      </c>
      <c r="D368" s="12" t="inlineStr">
        <is>
          <t>SCH-02-128</t>
        </is>
      </c>
      <c r="E368" s="12" t="inlineStr">
        <is>
          <t>Civic Station: entrance steel erection - release</t>
        </is>
      </c>
      <c r="F368" s="12" t="inlineStr">
        <is>
          <t>ONE_TO_ONE</t>
        </is>
      </c>
      <c r="G368" s="12" t="inlineStr">
        <is>
          <t>APPROVED</t>
        </is>
      </c>
      <c r="H368" s="12" t="inlineStr">
        <is>
          <t>New</t>
        </is>
      </c>
      <c r="I368" s="12" t="inlineStr">
        <is>
          <t>Source assignment -- not individually reviewed</t>
        </is>
      </c>
      <c r="J368" s="12" t="inlineStr"/>
      <c r="K368" s="12" t="inlineStr">
        <is>
          <t>Source assignment</t>
        </is>
      </c>
      <c r="L368" s="12" t="inlineStr"/>
      <c r="M368" s="12" t="inlineStr">
        <is>
          <t>Initial</t>
        </is>
      </c>
      <c r="N368" s="12" t="inlineStr">
        <is>
          <t>Rev 0</t>
        </is>
      </c>
      <c r="O368" s="12" t="inlineStr">
        <is>
          <t>R308-v1</t>
        </is>
      </c>
      <c r="P368" s="12" t="inlineStr"/>
      <c r="Q368" s="12" t="inlineStr"/>
      <c r="R368" s="12" t="inlineStr"/>
      <c r="S368" s="12" t="inlineStr"/>
      <c r="T368" s="12" t="inlineStr"/>
      <c r="U368" s="12" t="inlineStr"/>
      <c r="V368" s="12" t="inlineStr">
        <is>
          <t>WBS Code = 1.2.1</t>
        </is>
      </c>
      <c r="W368" s="12" t="inlineStr"/>
    </row>
    <row r="369" ht="49" customHeight="1">
      <c r="A369" s="12" t="inlineStr">
        <is>
          <t>1.2.1</t>
        </is>
      </c>
      <c r="B369" s="12" t="inlineStr">
        <is>
          <t>Stations - Station Structures</t>
        </is>
      </c>
      <c r="C369" s="12" t="inlineStr">
        <is>
          <t>Contractor Programme</t>
        </is>
      </c>
      <c r="D369" s="12" t="inlineStr">
        <is>
          <t>SCH-02-130</t>
        </is>
      </c>
      <c r="E369" s="12" t="inlineStr">
        <is>
          <t>West Terminal: platform edge installation - installation</t>
        </is>
      </c>
      <c r="F369" s="12" t="inlineStr">
        <is>
          <t>ONE_TO_ONE</t>
        </is>
      </c>
      <c r="G369" s="12" t="inlineStr">
        <is>
          <t>APPROVED</t>
        </is>
      </c>
      <c r="H369" s="12" t="inlineStr">
        <is>
          <t>New</t>
        </is>
      </c>
      <c r="I369" s="12" t="inlineStr">
        <is>
          <t>Source assignment -- not individually reviewed</t>
        </is>
      </c>
      <c r="J369" s="12" t="inlineStr"/>
      <c r="K369" s="12" t="inlineStr">
        <is>
          <t>Source assignment</t>
        </is>
      </c>
      <c r="L369" s="12" t="inlineStr"/>
      <c r="M369" s="12" t="inlineStr">
        <is>
          <t>Initial</t>
        </is>
      </c>
      <c r="N369" s="12" t="inlineStr">
        <is>
          <t>Rev 0</t>
        </is>
      </c>
      <c r="O369" s="12" t="inlineStr">
        <is>
          <t>R310-v1</t>
        </is>
      </c>
      <c r="P369" s="12" t="inlineStr"/>
      <c r="Q369" s="12" t="inlineStr"/>
      <c r="R369" s="12" t="inlineStr"/>
      <c r="S369" s="12" t="inlineStr"/>
      <c r="T369" s="12" t="inlineStr"/>
      <c r="U369" s="12" t="inlineStr"/>
      <c r="V369" s="12" t="inlineStr">
        <is>
          <t>WBS Code = 1.2.1</t>
        </is>
      </c>
      <c r="W369" s="12" t="inlineStr"/>
    </row>
    <row r="370" ht="49" customHeight="1">
      <c r="A370" s="12" t="inlineStr">
        <is>
          <t>1.2.1</t>
        </is>
      </c>
      <c r="B370" s="12" t="inlineStr">
        <is>
          <t>Stations - Station Structures</t>
        </is>
      </c>
      <c r="C370" s="12" t="inlineStr">
        <is>
          <t>Contractor Programme</t>
        </is>
      </c>
      <c r="D370" s="12" t="inlineStr">
        <is>
          <t>SCH-02-131</t>
        </is>
      </c>
      <c r="E370" s="12" t="inlineStr">
        <is>
          <t>Harbour Station: architectural wall framing - inspection</t>
        </is>
      </c>
      <c r="F370" s="12" t="inlineStr">
        <is>
          <t>ONE_TO_ONE</t>
        </is>
      </c>
      <c r="G370" s="12" t="inlineStr">
        <is>
          <t>APPROVED</t>
        </is>
      </c>
      <c r="H370" s="12" t="inlineStr">
        <is>
          <t>New</t>
        </is>
      </c>
      <c r="I370" s="12" t="inlineStr">
        <is>
          <t>Source assignment -- not individually reviewed</t>
        </is>
      </c>
      <c r="J370" s="12" t="inlineStr"/>
      <c r="K370" s="12" t="inlineStr">
        <is>
          <t>Source assignment</t>
        </is>
      </c>
      <c r="L370" s="12" t="inlineStr"/>
      <c r="M370" s="12" t="inlineStr">
        <is>
          <t>Initial</t>
        </is>
      </c>
      <c r="N370" s="12" t="inlineStr">
        <is>
          <t>Rev 0</t>
        </is>
      </c>
      <c r="O370" s="12" t="inlineStr">
        <is>
          <t>R311-v1</t>
        </is>
      </c>
      <c r="P370" s="12" t="inlineStr"/>
      <c r="Q370" s="12" t="inlineStr"/>
      <c r="R370" s="12" t="inlineStr"/>
      <c r="S370" s="12" t="inlineStr"/>
      <c r="T370" s="12" t="inlineStr"/>
      <c r="U370" s="12" t="inlineStr"/>
      <c r="V370" s="12" t="inlineStr">
        <is>
          <t>WBS Code = 1.2.1</t>
        </is>
      </c>
      <c r="W370" s="12" t="inlineStr"/>
    </row>
    <row r="371" ht="49" customHeight="1">
      <c r="A371" s="12" t="inlineStr">
        <is>
          <t>1.2.1</t>
        </is>
      </c>
      <c r="B371" s="12" t="inlineStr">
        <is>
          <t>Stations - Station Structures</t>
        </is>
      </c>
      <c r="C371" s="12" t="inlineStr">
        <is>
          <t>Contractor Programme</t>
        </is>
      </c>
      <c r="D371" s="12" t="inlineStr">
        <is>
          <t>SCH-02-133</t>
        </is>
      </c>
      <c r="E371" s="12" t="inlineStr">
        <is>
          <t>Civic Station: concourse slab pour - release</t>
        </is>
      </c>
      <c r="F371" s="12" t="inlineStr">
        <is>
          <t>ONE_TO_ONE</t>
        </is>
      </c>
      <c r="G371" s="12" t="inlineStr">
        <is>
          <t>APPROVED</t>
        </is>
      </c>
      <c r="H371" s="12" t="inlineStr">
        <is>
          <t>New</t>
        </is>
      </c>
      <c r="I371" s="12" t="inlineStr">
        <is>
          <t>Source assignment -- not individually reviewed</t>
        </is>
      </c>
      <c r="J371" s="12" t="inlineStr"/>
      <c r="K371" s="12" t="inlineStr">
        <is>
          <t>Source assignment</t>
        </is>
      </c>
      <c r="L371" s="12" t="inlineStr"/>
      <c r="M371" s="12" t="inlineStr">
        <is>
          <t>Initial</t>
        </is>
      </c>
      <c r="N371" s="12" t="inlineStr">
        <is>
          <t>Rev 0</t>
        </is>
      </c>
      <c r="O371" s="12" t="inlineStr">
        <is>
          <t>R313-v1</t>
        </is>
      </c>
      <c r="P371" s="12" t="inlineStr"/>
      <c r="Q371" s="12" t="inlineStr"/>
      <c r="R371" s="12" t="inlineStr"/>
      <c r="S371" s="12" t="inlineStr"/>
      <c r="T371" s="12" t="inlineStr"/>
      <c r="U371" s="12" t="inlineStr"/>
      <c r="V371" s="12" t="inlineStr">
        <is>
          <t>WBS Code = 1.2.1</t>
        </is>
      </c>
      <c r="W371" s="12" t="inlineStr"/>
    </row>
    <row r="372" ht="49" customHeight="1">
      <c r="A372" s="12" t="inlineStr">
        <is>
          <t>1.2.1</t>
        </is>
      </c>
      <c r="B372" s="12" t="inlineStr">
        <is>
          <t>Stations - Station Structures</t>
        </is>
      </c>
      <c r="C372" s="12" t="inlineStr">
        <is>
          <t>Contractor Programme</t>
        </is>
      </c>
      <c r="D372" s="12" t="inlineStr">
        <is>
          <t>SCH-02-134</t>
        </is>
      </c>
      <c r="E372" s="12" t="inlineStr">
        <is>
          <t>University Station: station ventilation rough-in - field start</t>
        </is>
      </c>
      <c r="F372" s="12" t="inlineStr">
        <is>
          <t>ONE_TO_ONE</t>
        </is>
      </c>
      <c r="G372" s="12" t="inlineStr">
        <is>
          <t>APPROVED</t>
        </is>
      </c>
      <c r="H372" s="12" t="inlineStr">
        <is>
          <t>New</t>
        </is>
      </c>
      <c r="I372" s="12" t="inlineStr">
        <is>
          <t>Source assignment -- not individually reviewed</t>
        </is>
      </c>
      <c r="J372" s="12" t="inlineStr"/>
      <c r="K372" s="12" t="inlineStr">
        <is>
          <t>Source assignment</t>
        </is>
      </c>
      <c r="L372" s="12" t="inlineStr"/>
      <c r="M372" s="12" t="inlineStr">
        <is>
          <t>Initial</t>
        </is>
      </c>
      <c r="N372" s="12" t="inlineStr">
        <is>
          <t>Rev 0</t>
        </is>
      </c>
      <c r="O372" s="12" t="inlineStr">
        <is>
          <t>R314-v1</t>
        </is>
      </c>
      <c r="P372" s="12" t="inlineStr"/>
      <c r="Q372" s="12" t="inlineStr"/>
      <c r="R372" s="12" t="inlineStr"/>
      <c r="S372" s="12" t="inlineStr"/>
      <c r="T372" s="12" t="inlineStr"/>
      <c r="U372" s="12" t="inlineStr"/>
      <c r="V372" s="12" t="inlineStr">
        <is>
          <t>WBS Code = 1.2.1</t>
        </is>
      </c>
      <c r="W372" s="12" t="inlineStr"/>
    </row>
    <row r="373" ht="49" customHeight="1">
      <c r="A373" s="12" t="inlineStr">
        <is>
          <t>1.2.1</t>
        </is>
      </c>
      <c r="B373" s="12" t="inlineStr">
        <is>
          <t>Stations - Station Structures</t>
        </is>
      </c>
      <c r="C373" s="12" t="inlineStr">
        <is>
          <t>Contractor Programme</t>
        </is>
      </c>
      <c r="D373" s="12" t="inlineStr">
        <is>
          <t>SCH-02-136</t>
        </is>
      </c>
      <c r="E373" s="12" t="inlineStr">
        <is>
          <t>Harbour Station: entrance steel erection - inspection</t>
        </is>
      </c>
      <c r="F373" s="12" t="inlineStr">
        <is>
          <t>ONE_TO_ONE</t>
        </is>
      </c>
      <c r="G373" s="12" t="inlineStr">
        <is>
          <t>APPROVED</t>
        </is>
      </c>
      <c r="H373" s="12" t="inlineStr">
        <is>
          <t>New</t>
        </is>
      </c>
      <c r="I373" s="12" t="inlineStr">
        <is>
          <t>Source assignment -- not individually reviewed</t>
        </is>
      </c>
      <c r="J373" s="12" t="inlineStr"/>
      <c r="K373" s="12" t="inlineStr">
        <is>
          <t>Source assignment</t>
        </is>
      </c>
      <c r="L373" s="12" t="inlineStr"/>
      <c r="M373" s="12" t="inlineStr">
        <is>
          <t>Initial</t>
        </is>
      </c>
      <c r="N373" s="12" t="inlineStr">
        <is>
          <t>Rev 0</t>
        </is>
      </c>
      <c r="O373" s="12" t="inlineStr">
        <is>
          <t>R316-v1</t>
        </is>
      </c>
      <c r="P373" s="12" t="inlineStr"/>
      <c r="Q373" s="12" t="inlineStr"/>
      <c r="R373" s="12" t="inlineStr"/>
      <c r="S373" s="12" t="inlineStr"/>
      <c r="T373" s="12" t="inlineStr"/>
      <c r="U373" s="12" t="inlineStr"/>
      <c r="V373" s="12" t="inlineStr">
        <is>
          <t>WBS Code = 1.2.1</t>
        </is>
      </c>
      <c r="W373" s="12" t="inlineStr"/>
    </row>
    <row r="374" ht="49" customHeight="1">
      <c r="A374" s="12" t="inlineStr">
        <is>
          <t>1.2.1</t>
        </is>
      </c>
      <c r="B374" s="12" t="inlineStr">
        <is>
          <t>Stations - Station Structures</t>
        </is>
      </c>
      <c r="C374" s="12" t="inlineStr">
        <is>
          <t>Contractor Programme</t>
        </is>
      </c>
      <c r="D374" s="12" t="inlineStr">
        <is>
          <t>SCH-02-137</t>
        </is>
      </c>
      <c r="E374" s="12" t="inlineStr">
        <is>
          <t>Market Station: vertical-transport installation - turnover</t>
        </is>
      </c>
      <c r="F374" s="12" t="inlineStr">
        <is>
          <t>ONE_TO_ONE</t>
        </is>
      </c>
      <c r="G374" s="12" t="inlineStr">
        <is>
          <t>APPROVED</t>
        </is>
      </c>
      <c r="H374" s="12" t="inlineStr">
        <is>
          <t>New</t>
        </is>
      </c>
      <c r="I374" s="12" t="inlineStr">
        <is>
          <t>Source assignment -- not individually reviewed</t>
        </is>
      </c>
      <c r="J374" s="12" t="inlineStr"/>
      <c r="K374" s="12" t="inlineStr">
        <is>
          <t>Source assignment</t>
        </is>
      </c>
      <c r="L374" s="12" t="inlineStr"/>
      <c r="M374" s="12" t="inlineStr">
        <is>
          <t>Initial</t>
        </is>
      </c>
      <c r="N374" s="12" t="inlineStr">
        <is>
          <t>Rev 0</t>
        </is>
      </c>
      <c r="O374" s="12" t="inlineStr">
        <is>
          <t>R317-v1</t>
        </is>
      </c>
      <c r="P374" s="12" t="inlineStr"/>
      <c r="Q374" s="12" t="inlineStr"/>
      <c r="R374" s="12" t="inlineStr"/>
      <c r="S374" s="12" t="inlineStr"/>
      <c r="T374" s="12" t="inlineStr"/>
      <c r="U374" s="12" t="inlineStr"/>
      <c r="V374" s="12" t="inlineStr">
        <is>
          <t>WBS Code = 1.2.1</t>
        </is>
      </c>
      <c r="W374" s="12" t="inlineStr"/>
    </row>
    <row r="375" ht="49" customHeight="1">
      <c r="A375" s="12" t="inlineStr">
        <is>
          <t>1.2.1</t>
        </is>
      </c>
      <c r="B375" s="12" t="inlineStr">
        <is>
          <t>Stations - Station Structures</t>
        </is>
      </c>
      <c r="C375" s="12" t="inlineStr">
        <is>
          <t>Contractor Programme</t>
        </is>
      </c>
      <c r="D375" s="12" t="inlineStr">
        <is>
          <t>SCH-02-139</t>
        </is>
      </c>
      <c r="E375" s="12" t="inlineStr">
        <is>
          <t>University Station: architectural wall framing - field start</t>
        </is>
      </c>
      <c r="F375" s="12" t="inlineStr">
        <is>
          <t>ONE_TO_ONE</t>
        </is>
      </c>
      <c r="G375" s="12" t="inlineStr">
        <is>
          <t>APPROVED</t>
        </is>
      </c>
      <c r="H375" s="12" t="inlineStr">
        <is>
          <t>New</t>
        </is>
      </c>
      <c r="I375" s="12" t="inlineStr">
        <is>
          <t>Source assignment -- not individually reviewed</t>
        </is>
      </c>
      <c r="J375" s="12" t="inlineStr"/>
      <c r="K375" s="12" t="inlineStr">
        <is>
          <t>Source assignment</t>
        </is>
      </c>
      <c r="L375" s="12" t="inlineStr"/>
      <c r="M375" s="12" t="inlineStr">
        <is>
          <t>Initial</t>
        </is>
      </c>
      <c r="N375" s="12" t="inlineStr">
        <is>
          <t>Rev 0</t>
        </is>
      </c>
      <c r="O375" s="12" t="inlineStr">
        <is>
          <t>R319-v1</t>
        </is>
      </c>
      <c r="P375" s="12" t="inlineStr"/>
      <c r="Q375" s="12" t="inlineStr"/>
      <c r="R375" s="12" t="inlineStr"/>
      <c r="S375" s="12" t="inlineStr"/>
      <c r="T375" s="12" t="inlineStr"/>
      <c r="U375" s="12" t="inlineStr"/>
      <c r="V375" s="12" t="inlineStr">
        <is>
          <t>WBS Code = 1.2.1</t>
        </is>
      </c>
      <c r="W375" s="12" t="inlineStr"/>
    </row>
    <row r="376" ht="49" customHeight="1">
      <c r="A376" s="12" t="inlineStr">
        <is>
          <t>1.2.1</t>
        </is>
      </c>
      <c r="B376" s="12" t="inlineStr">
        <is>
          <t>Stations - Station Structures</t>
        </is>
      </c>
      <c r="C376" s="12" t="inlineStr">
        <is>
          <t>Contractor Programme</t>
        </is>
      </c>
      <c r="D376" s="12" t="inlineStr">
        <is>
          <t>SCH-02-140</t>
        </is>
      </c>
      <c r="E376" s="12" t="inlineStr">
        <is>
          <t>West Terminal: fire-life-safety cabling - installation</t>
        </is>
      </c>
      <c r="F376" s="12" t="inlineStr">
        <is>
          <t>ONE_TO_ONE</t>
        </is>
      </c>
      <c r="G376" s="12" t="inlineStr">
        <is>
          <t>APPROVED</t>
        </is>
      </c>
      <c r="H376" s="12" t="inlineStr">
        <is>
          <t>New</t>
        </is>
      </c>
      <c r="I376" s="12" t="inlineStr">
        <is>
          <t>Source assignment -- not individually reviewed</t>
        </is>
      </c>
      <c r="J376" s="12" t="inlineStr"/>
      <c r="K376" s="12" t="inlineStr">
        <is>
          <t>Source assignment</t>
        </is>
      </c>
      <c r="L376" s="12" t="inlineStr"/>
      <c r="M376" s="12" t="inlineStr">
        <is>
          <t>Initial</t>
        </is>
      </c>
      <c r="N376" s="12" t="inlineStr">
        <is>
          <t>Rev 0</t>
        </is>
      </c>
      <c r="O376" s="12" t="inlineStr">
        <is>
          <t>R320-v1</t>
        </is>
      </c>
      <c r="P376" s="12" t="inlineStr"/>
      <c r="Q376" s="12" t="inlineStr"/>
      <c r="R376" s="12" t="inlineStr"/>
      <c r="S376" s="12" t="inlineStr"/>
      <c r="T376" s="12" t="inlineStr"/>
      <c r="U376" s="12" t="inlineStr"/>
      <c r="V376" s="12" t="inlineStr">
        <is>
          <t>WBS Code = 1.2.1</t>
        </is>
      </c>
      <c r="W376" s="12" t="inlineStr"/>
    </row>
    <row r="377" ht="49" customHeight="1">
      <c r="A377" s="12" t="inlineStr">
        <is>
          <t>1.2.1</t>
        </is>
      </c>
      <c r="B377" s="12" t="inlineStr">
        <is>
          <t>Stations - Station Structures</t>
        </is>
      </c>
      <c r="C377" s="12" t="inlineStr">
        <is>
          <t>Contractor Programme</t>
        </is>
      </c>
      <c r="D377" s="12" t="inlineStr">
        <is>
          <t>SCH-02-142</t>
        </is>
      </c>
      <c r="E377" s="12" t="inlineStr">
        <is>
          <t>Market Station: station ventilation rough-in - turnover</t>
        </is>
      </c>
      <c r="F377" s="12" t="inlineStr">
        <is>
          <t>ONE_TO_ONE</t>
        </is>
      </c>
      <c r="G377" s="12" t="inlineStr">
        <is>
          <t>APPROVED</t>
        </is>
      </c>
      <c r="H377" s="12" t="inlineStr">
        <is>
          <t>New</t>
        </is>
      </c>
      <c r="I377" s="12" t="inlineStr">
        <is>
          <t>Source assignment -- not individually reviewed</t>
        </is>
      </c>
      <c r="J377" s="12" t="inlineStr"/>
      <c r="K377" s="12" t="inlineStr">
        <is>
          <t>Source assignment</t>
        </is>
      </c>
      <c r="L377" s="12" t="inlineStr"/>
      <c r="M377" s="12" t="inlineStr">
        <is>
          <t>Initial</t>
        </is>
      </c>
      <c r="N377" s="12" t="inlineStr">
        <is>
          <t>Rev 0</t>
        </is>
      </c>
      <c r="O377" s="12" t="inlineStr">
        <is>
          <t>R322-v1</t>
        </is>
      </c>
      <c r="P377" s="12" t="inlineStr"/>
      <c r="Q377" s="12" t="inlineStr"/>
      <c r="R377" s="12" t="inlineStr"/>
      <c r="S377" s="12" t="inlineStr"/>
      <c r="T377" s="12" t="inlineStr"/>
      <c r="U377" s="12" t="inlineStr"/>
      <c r="V377" s="12" t="inlineStr">
        <is>
          <t>WBS Code = 1.2.1</t>
        </is>
      </c>
      <c r="W377" s="12" t="inlineStr"/>
    </row>
    <row r="378" ht="49" customHeight="1">
      <c r="A378" s="12" t="inlineStr">
        <is>
          <t>1.2.1</t>
        </is>
      </c>
      <c r="B378" s="12" t="inlineStr">
        <is>
          <t>Stations - Station Structures</t>
        </is>
      </c>
      <c r="C378" s="12" t="inlineStr">
        <is>
          <t>Contractor Programme</t>
        </is>
      </c>
      <c r="D378" s="12" t="inlineStr">
        <is>
          <t>SCH-02-143</t>
        </is>
      </c>
      <c r="E378" s="12" t="inlineStr">
        <is>
          <t>Civic Station: public-realm paving - release</t>
        </is>
      </c>
      <c r="F378" s="12" t="inlineStr">
        <is>
          <t>ONE_TO_ONE</t>
        </is>
      </c>
      <c r="G378" s="12" t="inlineStr">
        <is>
          <t>APPROVED</t>
        </is>
      </c>
      <c r="H378" s="12" t="inlineStr">
        <is>
          <t>New</t>
        </is>
      </c>
      <c r="I378" s="12" t="inlineStr">
        <is>
          <t>Source assignment -- not individually reviewed</t>
        </is>
      </c>
      <c r="J378" s="12" t="inlineStr"/>
      <c r="K378" s="12" t="inlineStr">
        <is>
          <t>Source assignment</t>
        </is>
      </c>
      <c r="L378" s="12" t="inlineStr"/>
      <c r="M378" s="12" t="inlineStr">
        <is>
          <t>Initial</t>
        </is>
      </c>
      <c r="N378" s="12" t="inlineStr">
        <is>
          <t>Rev 0</t>
        </is>
      </c>
      <c r="O378" s="12" t="inlineStr">
        <is>
          <t>R323-v1</t>
        </is>
      </c>
      <c r="P378" s="12" t="inlineStr"/>
      <c r="Q378" s="12" t="inlineStr"/>
      <c r="R378" s="12" t="inlineStr"/>
      <c r="S378" s="12" t="inlineStr"/>
      <c r="T378" s="12" t="inlineStr"/>
      <c r="U378" s="12" t="inlineStr"/>
      <c r="V378" s="12" t="inlineStr">
        <is>
          <t>WBS Code = 1.2.1</t>
        </is>
      </c>
      <c r="W378" s="12" t="inlineStr"/>
    </row>
    <row r="379" ht="49" customHeight="1">
      <c r="A379" s="12" t="inlineStr">
        <is>
          <t>1.2.1</t>
        </is>
      </c>
      <c r="B379" s="12" t="inlineStr">
        <is>
          <t>Stations - Station Structures</t>
        </is>
      </c>
      <c r="C379" s="12" t="inlineStr">
        <is>
          <t>Contractor Programme</t>
        </is>
      </c>
      <c r="D379" s="12" t="inlineStr">
        <is>
          <t>SCH-02-145</t>
        </is>
      </c>
      <c r="E379" s="12" t="inlineStr">
        <is>
          <t>West Terminal: vertical-transport installation - installation</t>
        </is>
      </c>
      <c r="F379" s="12" t="inlineStr">
        <is>
          <t>ONE_TO_ONE</t>
        </is>
      </c>
      <c r="G379" s="12" t="inlineStr">
        <is>
          <t>APPROVED</t>
        </is>
      </c>
      <c r="H379" s="12" t="inlineStr">
        <is>
          <t>New</t>
        </is>
      </c>
      <c r="I379" s="12" t="inlineStr">
        <is>
          <t>Source assignment -- not individually reviewed</t>
        </is>
      </c>
      <c r="J379" s="12" t="inlineStr"/>
      <c r="K379" s="12" t="inlineStr">
        <is>
          <t>Source assignment</t>
        </is>
      </c>
      <c r="L379" s="12" t="inlineStr"/>
      <c r="M379" s="12" t="inlineStr">
        <is>
          <t>Initial</t>
        </is>
      </c>
      <c r="N379" s="12" t="inlineStr">
        <is>
          <t>Rev 0</t>
        </is>
      </c>
      <c r="O379" s="12" t="inlineStr">
        <is>
          <t>R325-v1</t>
        </is>
      </c>
      <c r="P379" s="12" t="inlineStr"/>
      <c r="Q379" s="12" t="inlineStr"/>
      <c r="R379" s="12" t="inlineStr"/>
      <c r="S379" s="12" t="inlineStr"/>
      <c r="T379" s="12" t="inlineStr"/>
      <c r="U379" s="12" t="inlineStr"/>
      <c r="V379" s="12" t="inlineStr">
        <is>
          <t>WBS Code = 1.2.1</t>
        </is>
      </c>
      <c r="W379" s="12" t="inlineStr"/>
    </row>
    <row r="380" ht="49" customHeight="1">
      <c r="A380" s="12" t="inlineStr">
        <is>
          <t>1.2.1</t>
        </is>
      </c>
      <c r="B380" s="12" t="inlineStr">
        <is>
          <t>Stations - Station Structures</t>
        </is>
      </c>
      <c r="C380" s="12" t="inlineStr">
        <is>
          <t>Contractor Programme</t>
        </is>
      </c>
      <c r="D380" s="12" t="inlineStr">
        <is>
          <t>SCH-02-146</t>
        </is>
      </c>
      <c r="E380" s="12" t="inlineStr">
        <is>
          <t>Harbour Station: platform edge installation - inspection</t>
        </is>
      </c>
      <c r="F380" s="12" t="inlineStr">
        <is>
          <t>ONE_TO_ONE</t>
        </is>
      </c>
      <c r="G380" s="12" t="inlineStr">
        <is>
          <t>APPROVED</t>
        </is>
      </c>
      <c r="H380" s="12" t="inlineStr">
        <is>
          <t>New</t>
        </is>
      </c>
      <c r="I380" s="12" t="inlineStr">
        <is>
          <t>Source assignment -- not individually reviewed</t>
        </is>
      </c>
      <c r="J380" s="12" t="inlineStr"/>
      <c r="K380" s="12" t="inlineStr">
        <is>
          <t>Source assignment</t>
        </is>
      </c>
      <c r="L380" s="12" t="inlineStr"/>
      <c r="M380" s="12" t="inlineStr">
        <is>
          <t>Initial</t>
        </is>
      </c>
      <c r="N380" s="12" t="inlineStr">
        <is>
          <t>Rev 0</t>
        </is>
      </c>
      <c r="O380" s="12" t="inlineStr">
        <is>
          <t>R326-v1</t>
        </is>
      </c>
      <c r="P380" s="12" t="inlineStr"/>
      <c r="Q380" s="12" t="inlineStr"/>
      <c r="R380" s="12" t="inlineStr"/>
      <c r="S380" s="12" t="inlineStr"/>
      <c r="T380" s="12" t="inlineStr"/>
      <c r="U380" s="12" t="inlineStr"/>
      <c r="V380" s="12" t="inlineStr">
        <is>
          <t>WBS Code = 1.2.1</t>
        </is>
      </c>
      <c r="W380" s="12" t="inlineStr"/>
    </row>
    <row r="381" ht="49" customHeight="1">
      <c r="A381" s="12" t="inlineStr">
        <is>
          <t>1.2.1</t>
        </is>
      </c>
      <c r="B381" s="12" t="inlineStr">
        <is>
          <t>Stations - Station Structures</t>
        </is>
      </c>
      <c r="C381" s="12" t="inlineStr">
        <is>
          <t>Contractor Programme</t>
        </is>
      </c>
      <c r="D381" s="12" t="inlineStr">
        <is>
          <t>SCH-02-148</t>
        </is>
      </c>
      <c r="E381" s="12" t="inlineStr">
        <is>
          <t>Civic Station: fire-life-safety cabling - release</t>
        </is>
      </c>
      <c r="F381" s="12" t="inlineStr">
        <is>
          <t>ONE_TO_ONE</t>
        </is>
      </c>
      <c r="G381" s="12" t="inlineStr">
        <is>
          <t>APPROVED</t>
        </is>
      </c>
      <c r="H381" s="12" t="inlineStr">
        <is>
          <t>New</t>
        </is>
      </c>
      <c r="I381" s="12" t="inlineStr">
        <is>
          <t>Source assignment -- not individually reviewed</t>
        </is>
      </c>
      <c r="J381" s="12" t="inlineStr"/>
      <c r="K381" s="12" t="inlineStr">
        <is>
          <t>Source assignment</t>
        </is>
      </c>
      <c r="L381" s="12" t="inlineStr"/>
      <c r="M381" s="12" t="inlineStr">
        <is>
          <t>Initial</t>
        </is>
      </c>
      <c r="N381" s="12" t="inlineStr">
        <is>
          <t>Rev 0</t>
        </is>
      </c>
      <c r="O381" s="12" t="inlineStr">
        <is>
          <t>R328-v1</t>
        </is>
      </c>
      <c r="P381" s="12" t="inlineStr"/>
      <c r="Q381" s="12" t="inlineStr"/>
      <c r="R381" s="12" t="inlineStr"/>
      <c r="S381" s="12" t="inlineStr"/>
      <c r="T381" s="12" t="inlineStr"/>
      <c r="U381" s="12" t="inlineStr"/>
      <c r="V381" s="12" t="inlineStr">
        <is>
          <t>WBS Code = 1.2.1</t>
        </is>
      </c>
      <c r="W381" s="12" t="inlineStr"/>
    </row>
    <row r="382" ht="49" customHeight="1">
      <c r="A382" s="12" t="inlineStr">
        <is>
          <t>1.2.1</t>
        </is>
      </c>
      <c r="B382" s="12" t="inlineStr">
        <is>
          <t>Stations - Station Structures</t>
        </is>
      </c>
      <c r="C382" s="12" t="inlineStr">
        <is>
          <t>Contractor Programme</t>
        </is>
      </c>
      <c r="D382" s="12" t="inlineStr">
        <is>
          <t>SCH-02-149</t>
        </is>
      </c>
      <c r="E382" s="12" t="inlineStr">
        <is>
          <t>University Station: concourse slab pour - field start</t>
        </is>
      </c>
      <c r="F382" s="12" t="inlineStr">
        <is>
          <t>ONE_TO_ONE</t>
        </is>
      </c>
      <c r="G382" s="12" t="inlineStr">
        <is>
          <t>APPROVED</t>
        </is>
      </c>
      <c r="H382" s="12" t="inlineStr">
        <is>
          <t>New</t>
        </is>
      </c>
      <c r="I382" s="12" t="inlineStr">
        <is>
          <t>Source assignment -- not individually reviewed</t>
        </is>
      </c>
      <c r="J382" s="12" t="inlineStr"/>
      <c r="K382" s="12" t="inlineStr">
        <is>
          <t>Source assignment</t>
        </is>
      </c>
      <c r="L382" s="12" t="inlineStr"/>
      <c r="M382" s="12" t="inlineStr">
        <is>
          <t>Initial</t>
        </is>
      </c>
      <c r="N382" s="12" t="inlineStr">
        <is>
          <t>Rev 0</t>
        </is>
      </c>
      <c r="O382" s="12" t="inlineStr">
        <is>
          <t>R329-v1</t>
        </is>
      </c>
      <c r="P382" s="12" t="inlineStr"/>
      <c r="Q382" s="12" t="inlineStr"/>
      <c r="R382" s="12" t="inlineStr"/>
      <c r="S382" s="12" t="inlineStr"/>
      <c r="T382" s="12" t="inlineStr"/>
      <c r="U382" s="12" t="inlineStr"/>
      <c r="V382" s="12" t="inlineStr">
        <is>
          <t>WBS Code = 1.2.1</t>
        </is>
      </c>
      <c r="W382" s="12" t="inlineStr"/>
    </row>
    <row r="383" ht="49" customHeight="1">
      <c r="A383" s="12" t="inlineStr">
        <is>
          <t>1.2.1</t>
        </is>
      </c>
      <c r="B383" s="12" t="inlineStr">
        <is>
          <t>Stations - Station Structures</t>
        </is>
      </c>
      <c r="C383" s="12" t="inlineStr">
        <is>
          <t>Contractor Programme</t>
        </is>
      </c>
      <c r="D383" s="12" t="inlineStr">
        <is>
          <t>SCH-02-151</t>
        </is>
      </c>
      <c r="E383" s="12" t="inlineStr">
        <is>
          <t>Harbour Station: public-realm paving - inspection</t>
        </is>
      </c>
      <c r="F383" s="12" t="inlineStr">
        <is>
          <t>ONE_TO_ONE</t>
        </is>
      </c>
      <c r="G383" s="12" t="inlineStr">
        <is>
          <t>APPROVED</t>
        </is>
      </c>
      <c r="H383" s="12" t="inlineStr">
        <is>
          <t>New</t>
        </is>
      </c>
      <c r="I383" s="12" t="inlineStr">
        <is>
          <t>Source assignment -- not individually reviewed</t>
        </is>
      </c>
      <c r="J383" s="12" t="inlineStr"/>
      <c r="K383" s="12" t="inlineStr">
        <is>
          <t>Source assignment</t>
        </is>
      </c>
      <c r="L383" s="12" t="inlineStr"/>
      <c r="M383" s="12" t="inlineStr">
        <is>
          <t>Initial</t>
        </is>
      </c>
      <c r="N383" s="12" t="inlineStr">
        <is>
          <t>Rev 0</t>
        </is>
      </c>
      <c r="O383" s="12" t="inlineStr">
        <is>
          <t>R331-v1</t>
        </is>
      </c>
      <c r="P383" s="12" t="inlineStr"/>
      <c r="Q383" s="12" t="inlineStr"/>
      <c r="R383" s="12" t="inlineStr"/>
      <c r="S383" s="12" t="inlineStr"/>
      <c r="T383" s="12" t="inlineStr"/>
      <c r="U383" s="12" t="inlineStr"/>
      <c r="V383" s="12" t="inlineStr">
        <is>
          <t>WBS Code = 1.2.1</t>
        </is>
      </c>
      <c r="W383" s="12" t="inlineStr"/>
    </row>
    <row r="384" ht="49" customHeight="1">
      <c r="A384" s="12" t="inlineStr">
        <is>
          <t>1.2.1</t>
        </is>
      </c>
      <c r="B384" s="12" t="inlineStr">
        <is>
          <t>Stations - Station Structures</t>
        </is>
      </c>
      <c r="C384" s="12" t="inlineStr">
        <is>
          <t>Contractor Programme</t>
        </is>
      </c>
      <c r="D384" s="12" t="inlineStr">
        <is>
          <t>SCH-02-152</t>
        </is>
      </c>
      <c r="E384" s="12" t="inlineStr">
        <is>
          <t>Market Station: entrance steel erection - turnover</t>
        </is>
      </c>
      <c r="F384" s="12" t="inlineStr">
        <is>
          <t>ONE_TO_ONE</t>
        </is>
      </c>
      <c r="G384" s="12" t="inlineStr">
        <is>
          <t>APPROVED</t>
        </is>
      </c>
      <c r="H384" s="12" t="inlineStr">
        <is>
          <t>New</t>
        </is>
      </c>
      <c r="I384" s="12" t="inlineStr">
        <is>
          <t>Source assignment -- not individually reviewed</t>
        </is>
      </c>
      <c r="J384" s="12" t="inlineStr"/>
      <c r="K384" s="12" t="inlineStr">
        <is>
          <t>Source assignment</t>
        </is>
      </c>
      <c r="L384" s="12" t="inlineStr"/>
      <c r="M384" s="12" t="inlineStr">
        <is>
          <t>Initial</t>
        </is>
      </c>
      <c r="N384" s="12" t="inlineStr">
        <is>
          <t>Rev 0</t>
        </is>
      </c>
      <c r="O384" s="12" t="inlineStr">
        <is>
          <t>R332-v1</t>
        </is>
      </c>
      <c r="P384" s="12" t="inlineStr"/>
      <c r="Q384" s="12" t="inlineStr"/>
      <c r="R384" s="12" t="inlineStr"/>
      <c r="S384" s="12" t="inlineStr"/>
      <c r="T384" s="12" t="inlineStr"/>
      <c r="U384" s="12" t="inlineStr"/>
      <c r="V384" s="12" t="inlineStr">
        <is>
          <t>WBS Code = 1.2.1</t>
        </is>
      </c>
      <c r="W384" s="12" t="inlineStr"/>
    </row>
    <row r="385" ht="49" customHeight="1">
      <c r="A385" s="12" t="inlineStr">
        <is>
          <t>1.2.1</t>
        </is>
      </c>
      <c r="B385" s="12" t="inlineStr">
        <is>
          <t>Stations - Station Structures</t>
        </is>
      </c>
      <c r="C385" s="12" t="inlineStr">
        <is>
          <t>Contractor Programme</t>
        </is>
      </c>
      <c r="D385" s="12" t="inlineStr">
        <is>
          <t>SCH-02-154</t>
        </is>
      </c>
      <c r="E385" s="12" t="inlineStr">
        <is>
          <t>University Station: platform edge installation - field start</t>
        </is>
      </c>
      <c r="F385" s="12" t="inlineStr">
        <is>
          <t>ONE_TO_ONE</t>
        </is>
      </c>
      <c r="G385" s="12" t="inlineStr">
        <is>
          <t>APPROVED</t>
        </is>
      </c>
      <c r="H385" s="12" t="inlineStr">
        <is>
          <t>New</t>
        </is>
      </c>
      <c r="I385" s="12" t="inlineStr">
        <is>
          <t>Source assignment -- not individually reviewed</t>
        </is>
      </c>
      <c r="J385" s="12" t="inlineStr"/>
      <c r="K385" s="12" t="inlineStr">
        <is>
          <t>Source assignment</t>
        </is>
      </c>
      <c r="L385" s="12" t="inlineStr"/>
      <c r="M385" s="12" t="inlineStr">
        <is>
          <t>Initial</t>
        </is>
      </c>
      <c r="N385" s="12" t="inlineStr">
        <is>
          <t>Rev 0</t>
        </is>
      </c>
      <c r="O385" s="12" t="inlineStr">
        <is>
          <t>R334-v1</t>
        </is>
      </c>
      <c r="P385" s="12" t="inlineStr"/>
      <c r="Q385" s="12" t="inlineStr"/>
      <c r="R385" s="12" t="inlineStr"/>
      <c r="S385" s="12" t="inlineStr"/>
      <c r="T385" s="12" t="inlineStr"/>
      <c r="U385" s="12" t="inlineStr"/>
      <c r="V385" s="12" t="inlineStr">
        <is>
          <t>WBS Code = 1.2.1</t>
        </is>
      </c>
      <c r="W385" s="12" t="inlineStr"/>
    </row>
    <row r="386" ht="49" customHeight="1">
      <c r="A386" s="12" t="inlineStr">
        <is>
          <t>1.2.1</t>
        </is>
      </c>
      <c r="B386" s="12" t="inlineStr">
        <is>
          <t>Stations - Station Structures</t>
        </is>
      </c>
      <c r="C386" s="12" t="inlineStr">
        <is>
          <t>Contractor Programme</t>
        </is>
      </c>
      <c r="D386" s="12" t="inlineStr">
        <is>
          <t>SCH-02-155</t>
        </is>
      </c>
      <c r="E386" s="12" t="inlineStr">
        <is>
          <t>West Terminal: architectural wall framing - installation</t>
        </is>
      </c>
      <c r="F386" s="12" t="inlineStr">
        <is>
          <t>ONE_TO_ONE</t>
        </is>
      </c>
      <c r="G386" s="12" t="inlineStr">
        <is>
          <t>APPROVED</t>
        </is>
      </c>
      <c r="H386" s="12" t="inlineStr">
        <is>
          <t>New</t>
        </is>
      </c>
      <c r="I386" s="12" t="inlineStr">
        <is>
          <t>Source assignment -- not individually reviewed</t>
        </is>
      </c>
      <c r="J386" s="12" t="inlineStr"/>
      <c r="K386" s="12" t="inlineStr">
        <is>
          <t>Source assignment</t>
        </is>
      </c>
      <c r="L386" s="12" t="inlineStr"/>
      <c r="M386" s="12" t="inlineStr">
        <is>
          <t>Initial</t>
        </is>
      </c>
      <c r="N386" s="12" t="inlineStr">
        <is>
          <t>Rev 0</t>
        </is>
      </c>
      <c r="O386" s="12" t="inlineStr">
        <is>
          <t>R335-v1</t>
        </is>
      </c>
      <c r="P386" s="12" t="inlineStr"/>
      <c r="Q386" s="12" t="inlineStr"/>
      <c r="R386" s="12" t="inlineStr"/>
      <c r="S386" s="12" t="inlineStr"/>
      <c r="T386" s="12" t="inlineStr"/>
      <c r="U386" s="12" t="inlineStr"/>
      <c r="V386" s="12" t="inlineStr">
        <is>
          <t>WBS Code = 1.2.1</t>
        </is>
      </c>
      <c r="W386" s="12" t="inlineStr"/>
    </row>
    <row r="387" ht="49" customHeight="1">
      <c r="A387" s="12" t="inlineStr">
        <is>
          <t>1.2.1</t>
        </is>
      </c>
      <c r="B387" s="12" t="inlineStr">
        <is>
          <t>Stations - Station Structures</t>
        </is>
      </c>
      <c r="C387" s="12" t="inlineStr">
        <is>
          <t>Contractor Programme</t>
        </is>
      </c>
      <c r="D387" s="12" t="inlineStr">
        <is>
          <t>SCH-02-157</t>
        </is>
      </c>
      <c r="E387" s="12" t="inlineStr">
        <is>
          <t>Market Station: concourse slab pour - turnover</t>
        </is>
      </c>
      <c r="F387" s="12" t="inlineStr">
        <is>
          <t>ONE_TO_ONE</t>
        </is>
      </c>
      <c r="G387" s="12" t="inlineStr">
        <is>
          <t>APPROVED</t>
        </is>
      </c>
      <c r="H387" s="12" t="inlineStr">
        <is>
          <t>New</t>
        </is>
      </c>
      <c r="I387" s="12" t="inlineStr">
        <is>
          <t>Source assignment -- not individually reviewed</t>
        </is>
      </c>
      <c r="J387" s="12" t="inlineStr"/>
      <c r="K387" s="12" t="inlineStr">
        <is>
          <t>Source assignment</t>
        </is>
      </c>
      <c r="L387" s="12" t="inlineStr"/>
      <c r="M387" s="12" t="inlineStr">
        <is>
          <t>Initial</t>
        </is>
      </c>
      <c r="N387" s="12" t="inlineStr">
        <is>
          <t>Rev 0</t>
        </is>
      </c>
      <c r="O387" s="12" t="inlineStr">
        <is>
          <t>R337-v1</t>
        </is>
      </c>
      <c r="P387" s="12" t="inlineStr"/>
      <c r="Q387" s="12" t="inlineStr"/>
      <c r="R387" s="12" t="inlineStr"/>
      <c r="S387" s="12" t="inlineStr"/>
      <c r="T387" s="12" t="inlineStr"/>
      <c r="U387" s="12" t="inlineStr"/>
      <c r="V387" s="12" t="inlineStr">
        <is>
          <t>WBS Code = 1.2.1</t>
        </is>
      </c>
      <c r="W387" s="12" t="inlineStr"/>
    </row>
    <row r="388" ht="49" customHeight="1">
      <c r="A388" s="12" t="inlineStr">
        <is>
          <t>1.2.1</t>
        </is>
      </c>
      <c r="B388" s="12" t="inlineStr">
        <is>
          <t>Stations - Station Structures</t>
        </is>
      </c>
      <c r="C388" s="12" t="inlineStr">
        <is>
          <t>Contractor Programme</t>
        </is>
      </c>
      <c r="D388" s="12" t="inlineStr">
        <is>
          <t>SCH-02-158</t>
        </is>
      </c>
      <c r="E388" s="12" t="inlineStr">
        <is>
          <t>Civic Station: station ventilation rough-in - release</t>
        </is>
      </c>
      <c r="F388" s="12" t="inlineStr">
        <is>
          <t>ONE_TO_ONE</t>
        </is>
      </c>
      <c r="G388" s="12" t="inlineStr">
        <is>
          <t>APPROVED</t>
        </is>
      </c>
      <c r="H388" s="12" t="inlineStr">
        <is>
          <t>New</t>
        </is>
      </c>
      <c r="I388" s="12" t="inlineStr">
        <is>
          <t>Source assignment -- not individually reviewed</t>
        </is>
      </c>
      <c r="J388" s="12" t="inlineStr"/>
      <c r="K388" s="12" t="inlineStr">
        <is>
          <t>Source assignment</t>
        </is>
      </c>
      <c r="L388" s="12" t="inlineStr"/>
      <c r="M388" s="12" t="inlineStr">
        <is>
          <t>Initial</t>
        </is>
      </c>
      <c r="N388" s="12" t="inlineStr">
        <is>
          <t>Rev 0</t>
        </is>
      </c>
      <c r="O388" s="12" t="inlineStr">
        <is>
          <t>R338-v1</t>
        </is>
      </c>
      <c r="P388" s="12" t="inlineStr"/>
      <c r="Q388" s="12" t="inlineStr"/>
      <c r="R388" s="12" t="inlineStr"/>
      <c r="S388" s="12" t="inlineStr"/>
      <c r="T388" s="12" t="inlineStr"/>
      <c r="U388" s="12" t="inlineStr"/>
      <c r="V388" s="12" t="inlineStr">
        <is>
          <t>WBS Code = 1.2.1</t>
        </is>
      </c>
      <c r="W388" s="12" t="inlineStr"/>
    </row>
    <row r="389" ht="49" customHeight="1">
      <c r="A389" s="12" t="inlineStr">
        <is>
          <t>1.2.1</t>
        </is>
      </c>
      <c r="B389" s="12" t="inlineStr">
        <is>
          <t>Stations - Station Structures</t>
        </is>
      </c>
      <c r="C389" s="12" t="inlineStr">
        <is>
          <t>Contractor Programme</t>
        </is>
      </c>
      <c r="D389" s="12" t="inlineStr">
        <is>
          <t>SCH-02-160</t>
        </is>
      </c>
      <c r="E389" s="12" t="inlineStr">
        <is>
          <t>West Terminal: entrance steel erection - installation</t>
        </is>
      </c>
      <c r="F389" s="12" t="inlineStr">
        <is>
          <t>ONE_TO_ONE</t>
        </is>
      </c>
      <c r="G389" s="12" t="inlineStr">
        <is>
          <t>APPROVED</t>
        </is>
      </c>
      <c r="H389" s="12" t="inlineStr">
        <is>
          <t>New</t>
        </is>
      </c>
      <c r="I389" s="12" t="inlineStr">
        <is>
          <t>Source assignment -- not individually reviewed</t>
        </is>
      </c>
      <c r="J389" s="12" t="inlineStr"/>
      <c r="K389" s="12" t="inlineStr">
        <is>
          <t>Source assignment</t>
        </is>
      </c>
      <c r="L389" s="12" t="inlineStr"/>
      <c r="M389" s="12" t="inlineStr">
        <is>
          <t>Initial</t>
        </is>
      </c>
      <c r="N389" s="12" t="inlineStr">
        <is>
          <t>Rev 0</t>
        </is>
      </c>
      <c r="O389" s="12" t="inlineStr">
        <is>
          <t>R340-v1</t>
        </is>
      </c>
      <c r="P389" s="12" t="inlineStr"/>
      <c r="Q389" s="12" t="inlineStr"/>
      <c r="R389" s="12" t="inlineStr"/>
      <c r="S389" s="12" t="inlineStr"/>
      <c r="T389" s="12" t="inlineStr"/>
      <c r="U389" s="12" t="inlineStr"/>
      <c r="V389" s="12" t="inlineStr">
        <is>
          <t>WBS Code = 1.2.1</t>
        </is>
      </c>
      <c r="W389" s="12" t="inlineStr"/>
    </row>
    <row r="390" ht="49" customHeight="1">
      <c r="A390" s="12" t="inlineStr">
        <is>
          <t>1.2.1</t>
        </is>
      </c>
      <c r="B390" s="12" t="inlineStr">
        <is>
          <t>Stations - Station Structures</t>
        </is>
      </c>
      <c r="C390" s="12" t="inlineStr">
        <is>
          <t>Contractor Programme</t>
        </is>
      </c>
      <c r="D390" s="12" t="inlineStr">
        <is>
          <t>SCH-02-161</t>
        </is>
      </c>
      <c r="E390" s="12" t="inlineStr">
        <is>
          <t>Harbour Station: vertical-transport installation - inspection</t>
        </is>
      </c>
      <c r="F390" s="12" t="inlineStr">
        <is>
          <t>ONE_TO_ONE</t>
        </is>
      </c>
      <c r="G390" s="12" t="inlineStr">
        <is>
          <t>APPROVED</t>
        </is>
      </c>
      <c r="H390" s="12" t="inlineStr">
        <is>
          <t>New</t>
        </is>
      </c>
      <c r="I390" s="12" t="inlineStr">
        <is>
          <t>Source assignment -- not individually reviewed</t>
        </is>
      </c>
      <c r="J390" s="12" t="inlineStr"/>
      <c r="K390" s="12" t="inlineStr">
        <is>
          <t>Source assignment</t>
        </is>
      </c>
      <c r="L390" s="12" t="inlineStr"/>
      <c r="M390" s="12" t="inlineStr">
        <is>
          <t>Initial</t>
        </is>
      </c>
      <c r="N390" s="12" t="inlineStr">
        <is>
          <t>Rev 0</t>
        </is>
      </c>
      <c r="O390" s="12" t="inlineStr">
        <is>
          <t>R341-v1</t>
        </is>
      </c>
      <c r="P390" s="12" t="inlineStr"/>
      <c r="Q390" s="12" t="inlineStr"/>
      <c r="R390" s="12" t="inlineStr"/>
      <c r="S390" s="12" t="inlineStr"/>
      <c r="T390" s="12" t="inlineStr"/>
      <c r="U390" s="12" t="inlineStr"/>
      <c r="V390" s="12" t="inlineStr">
        <is>
          <t>WBS Code = 1.2.1</t>
        </is>
      </c>
      <c r="W390" s="12" t="inlineStr"/>
    </row>
    <row r="391" ht="49" customHeight="1">
      <c r="A391" s="12" t="inlineStr">
        <is>
          <t>1.2.1</t>
        </is>
      </c>
      <c r="B391" s="12" t="inlineStr">
        <is>
          <t>Stations - Station Structures</t>
        </is>
      </c>
      <c r="C391" s="12" t="inlineStr">
        <is>
          <t>Contractor Programme</t>
        </is>
      </c>
      <c r="D391" s="12" t="inlineStr">
        <is>
          <t>SCH-02-163</t>
        </is>
      </c>
      <c r="E391" s="12" t="inlineStr">
        <is>
          <t>Civic Station: architectural wall framing - release</t>
        </is>
      </c>
      <c r="F391" s="12" t="inlineStr">
        <is>
          <t>ONE_TO_ONE</t>
        </is>
      </c>
      <c r="G391" s="12" t="inlineStr">
        <is>
          <t>APPROVED</t>
        </is>
      </c>
      <c r="H391" s="12" t="inlineStr">
        <is>
          <t>New</t>
        </is>
      </c>
      <c r="I391" s="12" t="inlineStr">
        <is>
          <t>Source assignment -- not individually reviewed</t>
        </is>
      </c>
      <c r="J391" s="12" t="inlineStr"/>
      <c r="K391" s="12" t="inlineStr">
        <is>
          <t>Source assignment</t>
        </is>
      </c>
      <c r="L391" s="12" t="inlineStr"/>
      <c r="M391" s="12" t="inlineStr">
        <is>
          <t>Initial</t>
        </is>
      </c>
      <c r="N391" s="12" t="inlineStr">
        <is>
          <t>Rev 0</t>
        </is>
      </c>
      <c r="O391" s="12" t="inlineStr">
        <is>
          <t>R343-v1</t>
        </is>
      </c>
      <c r="P391" s="12" t="inlineStr"/>
      <c r="Q391" s="12" t="inlineStr"/>
      <c r="R391" s="12" t="inlineStr"/>
      <c r="S391" s="12" t="inlineStr"/>
      <c r="T391" s="12" t="inlineStr"/>
      <c r="U391" s="12" t="inlineStr"/>
      <c r="V391" s="12" t="inlineStr">
        <is>
          <t>WBS Code = 1.2.1</t>
        </is>
      </c>
      <c r="W391" s="12" t="inlineStr"/>
    </row>
    <row r="392" ht="49" customHeight="1">
      <c r="A392" s="12" t="inlineStr">
        <is>
          <t>1.2.1</t>
        </is>
      </c>
      <c r="B392" s="12" t="inlineStr">
        <is>
          <t>Stations - Station Structures</t>
        </is>
      </c>
      <c r="C392" s="12" t="inlineStr">
        <is>
          <t>Contractor Programme</t>
        </is>
      </c>
      <c r="D392" s="12" t="inlineStr">
        <is>
          <t>SCH-02-164</t>
        </is>
      </c>
      <c r="E392" s="12" t="inlineStr">
        <is>
          <t>University Station: fire-life-safety cabling - field start</t>
        </is>
      </c>
      <c r="F392" s="12" t="inlineStr">
        <is>
          <t>ONE_TO_ONE</t>
        </is>
      </c>
      <c r="G392" s="12" t="inlineStr">
        <is>
          <t>APPROVED</t>
        </is>
      </c>
      <c r="H392" s="12" t="inlineStr">
        <is>
          <t>New</t>
        </is>
      </c>
      <c r="I392" s="12" t="inlineStr">
        <is>
          <t>Source assignment -- not individually reviewed</t>
        </is>
      </c>
      <c r="J392" s="12" t="inlineStr"/>
      <c r="K392" s="12" t="inlineStr">
        <is>
          <t>Source assignment</t>
        </is>
      </c>
      <c r="L392" s="12" t="inlineStr"/>
      <c r="M392" s="12" t="inlineStr">
        <is>
          <t>Initial</t>
        </is>
      </c>
      <c r="N392" s="12" t="inlineStr">
        <is>
          <t>Rev 0</t>
        </is>
      </c>
      <c r="O392" s="12" t="inlineStr">
        <is>
          <t>R344-v1</t>
        </is>
      </c>
      <c r="P392" s="12" t="inlineStr"/>
      <c r="Q392" s="12" t="inlineStr"/>
      <c r="R392" s="12" t="inlineStr"/>
      <c r="S392" s="12" t="inlineStr"/>
      <c r="T392" s="12" t="inlineStr"/>
      <c r="U392" s="12" t="inlineStr"/>
      <c r="V392" s="12" t="inlineStr">
        <is>
          <t>WBS Code = 1.2.1</t>
        </is>
      </c>
      <c r="W392" s="12" t="inlineStr"/>
    </row>
    <row r="393" ht="49" customHeight="1">
      <c r="A393" s="12" t="inlineStr">
        <is>
          <t>1.2.1</t>
        </is>
      </c>
      <c r="B393" s="12" t="inlineStr">
        <is>
          <t>Stations - Station Structures</t>
        </is>
      </c>
      <c r="C393" s="12" t="inlineStr">
        <is>
          <t>Contractor Programme</t>
        </is>
      </c>
      <c r="D393" s="12" t="inlineStr">
        <is>
          <t>SCH-02-166</t>
        </is>
      </c>
      <c r="E393" s="12" t="inlineStr">
        <is>
          <t>Harbour Station: station ventilation rough-in - inspection</t>
        </is>
      </c>
      <c r="F393" s="12" t="inlineStr">
        <is>
          <t>ONE_TO_ONE</t>
        </is>
      </c>
      <c r="G393" s="12" t="inlineStr">
        <is>
          <t>APPROVED</t>
        </is>
      </c>
      <c r="H393" s="12" t="inlineStr">
        <is>
          <t>New</t>
        </is>
      </c>
      <c r="I393" s="12" t="inlineStr">
        <is>
          <t>Source assignment -- not individually reviewed</t>
        </is>
      </c>
      <c r="J393" s="12" t="inlineStr"/>
      <c r="K393" s="12" t="inlineStr">
        <is>
          <t>Source assignment</t>
        </is>
      </c>
      <c r="L393" s="12" t="inlineStr"/>
      <c r="M393" s="12" t="inlineStr">
        <is>
          <t>Initial</t>
        </is>
      </c>
      <c r="N393" s="12" t="inlineStr">
        <is>
          <t>Rev 0</t>
        </is>
      </c>
      <c r="O393" s="12" t="inlineStr">
        <is>
          <t>R346-v1</t>
        </is>
      </c>
      <c r="P393" s="12" t="inlineStr"/>
      <c r="Q393" s="12" t="inlineStr"/>
      <c r="R393" s="12" t="inlineStr"/>
      <c r="S393" s="12" t="inlineStr"/>
      <c r="T393" s="12" t="inlineStr"/>
      <c r="U393" s="12" t="inlineStr"/>
      <c r="V393" s="12" t="inlineStr">
        <is>
          <t>WBS Code = 1.2.1</t>
        </is>
      </c>
      <c r="W393" s="12" t="inlineStr"/>
    </row>
    <row r="394" ht="49" customHeight="1">
      <c r="A394" s="12" t="inlineStr">
        <is>
          <t>1.2.1</t>
        </is>
      </c>
      <c r="B394" s="12" t="inlineStr">
        <is>
          <t>Stations - Station Structures</t>
        </is>
      </c>
      <c r="C394" s="12" t="inlineStr">
        <is>
          <t>Contractor Programme</t>
        </is>
      </c>
      <c r="D394" s="12" t="inlineStr">
        <is>
          <t>SCH-02-167</t>
        </is>
      </c>
      <c r="E394" s="12" t="inlineStr">
        <is>
          <t>Market Station: public-realm paving - turnover</t>
        </is>
      </c>
      <c r="F394" s="12" t="inlineStr">
        <is>
          <t>ONE_TO_ONE</t>
        </is>
      </c>
      <c r="G394" s="12" t="inlineStr">
        <is>
          <t>APPROVED</t>
        </is>
      </c>
      <c r="H394" s="12" t="inlineStr">
        <is>
          <t>New</t>
        </is>
      </c>
      <c r="I394" s="12" t="inlineStr">
        <is>
          <t>Source assignment -- not individually reviewed</t>
        </is>
      </c>
      <c r="J394" s="12" t="inlineStr"/>
      <c r="K394" s="12" t="inlineStr">
        <is>
          <t>Source assignment</t>
        </is>
      </c>
      <c r="L394" s="12" t="inlineStr"/>
      <c r="M394" s="12" t="inlineStr">
        <is>
          <t>Initial</t>
        </is>
      </c>
      <c r="N394" s="12" t="inlineStr">
        <is>
          <t>Rev 0</t>
        </is>
      </c>
      <c r="O394" s="12" t="inlineStr">
        <is>
          <t>R347-v1</t>
        </is>
      </c>
      <c r="P394" s="12" t="inlineStr"/>
      <c r="Q394" s="12" t="inlineStr"/>
      <c r="R394" s="12" t="inlineStr"/>
      <c r="S394" s="12" t="inlineStr"/>
      <c r="T394" s="12" t="inlineStr"/>
      <c r="U394" s="12" t="inlineStr"/>
      <c r="V394" s="12" t="inlineStr">
        <is>
          <t>WBS Code = 1.2.1</t>
        </is>
      </c>
      <c r="W394" s="12" t="inlineStr"/>
    </row>
    <row r="395" ht="49" customHeight="1">
      <c r="A395" s="12" t="inlineStr">
        <is>
          <t>1.2.1</t>
        </is>
      </c>
      <c r="B395" s="12" t="inlineStr">
        <is>
          <t>Stations - Station Structures</t>
        </is>
      </c>
      <c r="C395" s="12" t="inlineStr">
        <is>
          <t>Contractor Programme</t>
        </is>
      </c>
      <c r="D395" s="12" t="inlineStr">
        <is>
          <t>SCH-02-169</t>
        </is>
      </c>
      <c r="E395" s="12" t="inlineStr">
        <is>
          <t>University Station: vertical-transport installation - field start</t>
        </is>
      </c>
      <c r="F395" s="12" t="inlineStr">
        <is>
          <t>ONE_TO_ONE</t>
        </is>
      </c>
      <c r="G395" s="12" t="inlineStr">
        <is>
          <t>APPROVED</t>
        </is>
      </c>
      <c r="H395" s="12" t="inlineStr">
        <is>
          <t>New</t>
        </is>
      </c>
      <c r="I395" s="12" t="inlineStr">
        <is>
          <t>Source assignment -- not individually reviewed</t>
        </is>
      </c>
      <c r="J395" s="12" t="inlineStr"/>
      <c r="K395" s="12" t="inlineStr">
        <is>
          <t>Source assignment</t>
        </is>
      </c>
      <c r="L395" s="12" t="inlineStr"/>
      <c r="M395" s="12" t="inlineStr">
        <is>
          <t>Initial</t>
        </is>
      </c>
      <c r="N395" s="12" t="inlineStr">
        <is>
          <t>Rev 0</t>
        </is>
      </c>
      <c r="O395" s="12" t="inlineStr">
        <is>
          <t>R349-v1</t>
        </is>
      </c>
      <c r="P395" s="12" t="inlineStr"/>
      <c r="Q395" s="12" t="inlineStr"/>
      <c r="R395" s="12" t="inlineStr"/>
      <c r="S395" s="12" t="inlineStr"/>
      <c r="T395" s="12" t="inlineStr"/>
      <c r="U395" s="12" t="inlineStr"/>
      <c r="V395" s="12" t="inlineStr">
        <is>
          <t>WBS Code = 1.2.1</t>
        </is>
      </c>
      <c r="W395" s="12" t="inlineStr"/>
    </row>
    <row r="396" ht="49" customHeight="1">
      <c r="A396" s="12" t="inlineStr">
        <is>
          <t>1.2.1</t>
        </is>
      </c>
      <c r="B396" s="12" t="inlineStr">
        <is>
          <t>Stations - Station Structures</t>
        </is>
      </c>
      <c r="C396" s="12" t="inlineStr">
        <is>
          <t>Contractor Programme</t>
        </is>
      </c>
      <c r="D396" s="12" t="inlineStr">
        <is>
          <t>SCH-02-170</t>
        </is>
      </c>
      <c r="E396" s="12" t="inlineStr">
        <is>
          <t>West Terminal: platform edge installation - installation</t>
        </is>
      </c>
      <c r="F396" s="12" t="inlineStr">
        <is>
          <t>ONE_TO_ONE</t>
        </is>
      </c>
      <c r="G396" s="12" t="inlineStr">
        <is>
          <t>APPROVED</t>
        </is>
      </c>
      <c r="H396" s="12" t="inlineStr">
        <is>
          <t>New</t>
        </is>
      </c>
      <c r="I396" s="12" t="inlineStr">
        <is>
          <t>Source assignment -- not individually reviewed</t>
        </is>
      </c>
      <c r="J396" s="12" t="inlineStr"/>
      <c r="K396" s="12" t="inlineStr">
        <is>
          <t>Source assignment</t>
        </is>
      </c>
      <c r="L396" s="12" t="inlineStr"/>
      <c r="M396" s="12" t="inlineStr">
        <is>
          <t>Initial</t>
        </is>
      </c>
      <c r="N396" s="12" t="inlineStr">
        <is>
          <t>Rev 0</t>
        </is>
      </c>
      <c r="O396" s="12" t="inlineStr">
        <is>
          <t>R350-v1</t>
        </is>
      </c>
      <c r="P396" s="12" t="inlineStr"/>
      <c r="Q396" s="12" t="inlineStr"/>
      <c r="R396" s="12" t="inlineStr"/>
      <c r="S396" s="12" t="inlineStr"/>
      <c r="T396" s="12" t="inlineStr"/>
      <c r="U396" s="12" t="inlineStr"/>
      <c r="V396" s="12" t="inlineStr">
        <is>
          <t>WBS Code = 1.2.1</t>
        </is>
      </c>
      <c r="W396" s="12" t="inlineStr"/>
    </row>
    <row r="397" ht="49" customHeight="1">
      <c r="A397" s="12" t="inlineStr">
        <is>
          <t>1.2.1</t>
        </is>
      </c>
      <c r="B397" s="12" t="inlineStr">
        <is>
          <t>Stations - Station Structures</t>
        </is>
      </c>
      <c r="C397" s="12" t="inlineStr">
        <is>
          <t>Contractor Programme</t>
        </is>
      </c>
      <c r="D397" s="12" t="inlineStr">
        <is>
          <t>SCH-02-172</t>
        </is>
      </c>
      <c r="E397" s="12" t="inlineStr">
        <is>
          <t>Market Station: fire-life-safety cabling - turnover</t>
        </is>
      </c>
      <c r="F397" s="12" t="inlineStr">
        <is>
          <t>ONE_TO_ONE</t>
        </is>
      </c>
      <c r="G397" s="12" t="inlineStr">
        <is>
          <t>APPROVED</t>
        </is>
      </c>
      <c r="H397" s="12" t="inlineStr">
        <is>
          <t>New</t>
        </is>
      </c>
      <c r="I397" s="12" t="inlineStr">
        <is>
          <t>Source assignment -- not individually reviewed</t>
        </is>
      </c>
      <c r="J397" s="12" t="inlineStr"/>
      <c r="K397" s="12" t="inlineStr">
        <is>
          <t>Source assignment</t>
        </is>
      </c>
      <c r="L397" s="12" t="inlineStr"/>
      <c r="M397" s="12" t="inlineStr">
        <is>
          <t>Initial</t>
        </is>
      </c>
      <c r="N397" s="12" t="inlineStr">
        <is>
          <t>Rev 0</t>
        </is>
      </c>
      <c r="O397" s="12" t="inlineStr">
        <is>
          <t>R352-v1</t>
        </is>
      </c>
      <c r="P397" s="12" t="inlineStr"/>
      <c r="Q397" s="12" t="inlineStr"/>
      <c r="R397" s="12" t="inlineStr"/>
      <c r="S397" s="12" t="inlineStr"/>
      <c r="T397" s="12" t="inlineStr"/>
      <c r="U397" s="12" t="inlineStr"/>
      <c r="V397" s="12" t="inlineStr">
        <is>
          <t>WBS Code = 1.2.1</t>
        </is>
      </c>
      <c r="W397" s="12" t="inlineStr"/>
    </row>
    <row r="398" ht="49" customHeight="1">
      <c r="A398" s="12" t="inlineStr">
        <is>
          <t>1.2.1</t>
        </is>
      </c>
      <c r="B398" s="12" t="inlineStr">
        <is>
          <t>Stations - Station Structures</t>
        </is>
      </c>
      <c r="C398" s="12" t="inlineStr">
        <is>
          <t>Contractor Programme</t>
        </is>
      </c>
      <c r="D398" s="12" t="inlineStr">
        <is>
          <t>SCH-02-173</t>
        </is>
      </c>
      <c r="E398" s="12" t="inlineStr">
        <is>
          <t>Civic Station: concourse slab pour - release</t>
        </is>
      </c>
      <c r="F398" s="12" t="inlineStr">
        <is>
          <t>ONE_TO_ONE</t>
        </is>
      </c>
      <c r="G398" s="12" t="inlineStr">
        <is>
          <t>APPROVED</t>
        </is>
      </c>
      <c r="H398" s="12" t="inlineStr">
        <is>
          <t>New</t>
        </is>
      </c>
      <c r="I398" s="12" t="inlineStr">
        <is>
          <t>Source assignment -- not individually reviewed</t>
        </is>
      </c>
      <c r="J398" s="12" t="inlineStr"/>
      <c r="K398" s="12" t="inlineStr">
        <is>
          <t>Source assignment</t>
        </is>
      </c>
      <c r="L398" s="12" t="inlineStr"/>
      <c r="M398" s="12" t="inlineStr">
        <is>
          <t>Initial</t>
        </is>
      </c>
      <c r="N398" s="12" t="inlineStr">
        <is>
          <t>Rev 0</t>
        </is>
      </c>
      <c r="O398" s="12" t="inlineStr">
        <is>
          <t>R353-v1</t>
        </is>
      </c>
      <c r="P398" s="12" t="inlineStr"/>
      <c r="Q398" s="12" t="inlineStr"/>
      <c r="R398" s="12" t="inlineStr"/>
      <c r="S398" s="12" t="inlineStr"/>
      <c r="T398" s="12" t="inlineStr"/>
      <c r="U398" s="12" t="inlineStr"/>
      <c r="V398" s="12" t="inlineStr">
        <is>
          <t>WBS Code = 1.2.1</t>
        </is>
      </c>
      <c r="W398" s="12" t="inlineStr"/>
    </row>
    <row r="399" ht="49" customHeight="1">
      <c r="A399" s="12" t="inlineStr">
        <is>
          <t>1.2.1</t>
        </is>
      </c>
      <c r="B399" s="12" t="inlineStr">
        <is>
          <t>Stations - Station Structures</t>
        </is>
      </c>
      <c r="C399" s="12" t="inlineStr">
        <is>
          <t>Contractor Programme</t>
        </is>
      </c>
      <c r="D399" s="12" t="inlineStr">
        <is>
          <t>SCH-02-175</t>
        </is>
      </c>
      <c r="E399" s="12" t="inlineStr">
        <is>
          <t>West Terminal: public-realm paving - installation</t>
        </is>
      </c>
      <c r="F399" s="12" t="inlineStr">
        <is>
          <t>ONE_TO_ONE</t>
        </is>
      </c>
      <c r="G399" s="12" t="inlineStr">
        <is>
          <t>APPROVED</t>
        </is>
      </c>
      <c r="H399" s="12" t="inlineStr">
        <is>
          <t>New</t>
        </is>
      </c>
      <c r="I399" s="12" t="inlineStr">
        <is>
          <t>Source assignment -- not individually reviewed</t>
        </is>
      </c>
      <c r="J399" s="12" t="inlineStr"/>
      <c r="K399" s="12" t="inlineStr">
        <is>
          <t>Source assignment</t>
        </is>
      </c>
      <c r="L399" s="12" t="inlineStr"/>
      <c r="M399" s="12" t="inlineStr">
        <is>
          <t>Initial</t>
        </is>
      </c>
      <c r="N399" s="12" t="inlineStr">
        <is>
          <t>Rev 0</t>
        </is>
      </c>
      <c r="O399" s="12" t="inlineStr">
        <is>
          <t>R355-v1</t>
        </is>
      </c>
      <c r="P399" s="12" t="inlineStr"/>
      <c r="Q399" s="12" t="inlineStr"/>
      <c r="R399" s="12" t="inlineStr"/>
      <c r="S399" s="12" t="inlineStr"/>
      <c r="T399" s="12" t="inlineStr"/>
      <c r="U399" s="12" t="inlineStr"/>
      <c r="V399" s="12" t="inlineStr">
        <is>
          <t>WBS Code = 1.2.1</t>
        </is>
      </c>
      <c r="W399" s="12" t="inlineStr"/>
    </row>
    <row r="400" ht="49" customHeight="1">
      <c r="A400" s="12" t="inlineStr">
        <is>
          <t>1.2.1</t>
        </is>
      </c>
      <c r="B400" s="12" t="inlineStr">
        <is>
          <t>Stations - Station Structures</t>
        </is>
      </c>
      <c r="C400" s="12" t="inlineStr">
        <is>
          <t>Contractor Programme</t>
        </is>
      </c>
      <c r="D400" s="12" t="inlineStr">
        <is>
          <t>SCH-02-176</t>
        </is>
      </c>
      <c r="E400" s="12" t="inlineStr">
        <is>
          <t>Harbour Station: entrance steel erection - inspection</t>
        </is>
      </c>
      <c r="F400" s="12" t="inlineStr">
        <is>
          <t>ONE_TO_ONE</t>
        </is>
      </c>
      <c r="G400" s="12" t="inlineStr">
        <is>
          <t>APPROVED</t>
        </is>
      </c>
      <c r="H400" s="12" t="inlineStr">
        <is>
          <t>New</t>
        </is>
      </c>
      <c r="I400" s="12" t="inlineStr">
        <is>
          <t>Source assignment -- not individually reviewed</t>
        </is>
      </c>
      <c r="J400" s="12" t="inlineStr"/>
      <c r="K400" s="12" t="inlineStr">
        <is>
          <t>Source assignment</t>
        </is>
      </c>
      <c r="L400" s="12" t="inlineStr"/>
      <c r="M400" s="12" t="inlineStr">
        <is>
          <t>Initial</t>
        </is>
      </c>
      <c r="N400" s="12" t="inlineStr">
        <is>
          <t>Rev 0</t>
        </is>
      </c>
      <c r="O400" s="12" t="inlineStr">
        <is>
          <t>R356-v1</t>
        </is>
      </c>
      <c r="P400" s="12" t="inlineStr"/>
      <c r="Q400" s="12" t="inlineStr"/>
      <c r="R400" s="12" t="inlineStr"/>
      <c r="S400" s="12" t="inlineStr"/>
      <c r="T400" s="12" t="inlineStr"/>
      <c r="U400" s="12" t="inlineStr"/>
      <c r="V400" s="12" t="inlineStr">
        <is>
          <t>WBS Code = 1.2.1</t>
        </is>
      </c>
      <c r="W400" s="12" t="inlineStr"/>
    </row>
    <row r="401" ht="49" customHeight="1">
      <c r="A401" s="12" t="inlineStr">
        <is>
          <t>1.2.1</t>
        </is>
      </c>
      <c r="B401" s="12" t="inlineStr">
        <is>
          <t>Stations - Station Structures</t>
        </is>
      </c>
      <c r="C401" s="12" t="inlineStr">
        <is>
          <t>Contractor Programme</t>
        </is>
      </c>
      <c r="D401" s="12" t="inlineStr">
        <is>
          <t>SCH-02-178</t>
        </is>
      </c>
      <c r="E401" s="12" t="inlineStr">
        <is>
          <t>Civic Station: platform edge installation - release</t>
        </is>
      </c>
      <c r="F401" s="12" t="inlineStr">
        <is>
          <t>ONE_TO_ONE</t>
        </is>
      </c>
      <c r="G401" s="12" t="inlineStr">
        <is>
          <t>APPROVED</t>
        </is>
      </c>
      <c r="H401" s="12" t="inlineStr">
        <is>
          <t>New</t>
        </is>
      </c>
      <c r="I401" s="12" t="inlineStr">
        <is>
          <t>Source assignment -- not individually reviewed</t>
        </is>
      </c>
      <c r="J401" s="12" t="inlineStr"/>
      <c r="K401" s="12" t="inlineStr">
        <is>
          <t>Source assignment</t>
        </is>
      </c>
      <c r="L401" s="12" t="inlineStr"/>
      <c r="M401" s="12" t="inlineStr">
        <is>
          <t>Initial</t>
        </is>
      </c>
      <c r="N401" s="12" t="inlineStr">
        <is>
          <t>Rev 0</t>
        </is>
      </c>
      <c r="O401" s="12" t="inlineStr">
        <is>
          <t>R358-v1</t>
        </is>
      </c>
      <c r="P401" s="12" t="inlineStr"/>
      <c r="Q401" s="12" t="inlineStr"/>
      <c r="R401" s="12" t="inlineStr"/>
      <c r="S401" s="12" t="inlineStr"/>
      <c r="T401" s="12" t="inlineStr"/>
      <c r="U401" s="12" t="inlineStr"/>
      <c r="V401" s="12" t="inlineStr">
        <is>
          <t>WBS Code = 1.2.1</t>
        </is>
      </c>
      <c r="W401" s="12" t="inlineStr"/>
    </row>
    <row r="402" ht="49" customHeight="1">
      <c r="A402" s="12" t="inlineStr">
        <is>
          <t>1.2.1</t>
        </is>
      </c>
      <c r="B402" s="12" t="inlineStr">
        <is>
          <t>Stations - Station Structures</t>
        </is>
      </c>
      <c r="C402" s="12" t="inlineStr">
        <is>
          <t>Contractor Programme</t>
        </is>
      </c>
      <c r="D402" s="12" t="inlineStr">
        <is>
          <t>SCH-02-179</t>
        </is>
      </c>
      <c r="E402" s="12" t="inlineStr">
        <is>
          <t>University Station: architectural wall framing - field start</t>
        </is>
      </c>
      <c r="F402" s="12" t="inlineStr">
        <is>
          <t>ONE_TO_ONE</t>
        </is>
      </c>
      <c r="G402" s="12" t="inlineStr">
        <is>
          <t>APPROVED</t>
        </is>
      </c>
      <c r="H402" s="12" t="inlineStr">
        <is>
          <t>New</t>
        </is>
      </c>
      <c r="I402" s="12" t="inlineStr">
        <is>
          <t>Source assignment -- not individually reviewed</t>
        </is>
      </c>
      <c r="J402" s="12" t="inlineStr"/>
      <c r="K402" s="12" t="inlineStr">
        <is>
          <t>Source assignment</t>
        </is>
      </c>
      <c r="L402" s="12" t="inlineStr"/>
      <c r="M402" s="12" t="inlineStr">
        <is>
          <t>Initial</t>
        </is>
      </c>
      <c r="N402" s="12" t="inlineStr">
        <is>
          <t>Rev 0</t>
        </is>
      </c>
      <c r="O402" s="12" t="inlineStr">
        <is>
          <t>R359-v1</t>
        </is>
      </c>
      <c r="P402" s="12" t="inlineStr"/>
      <c r="Q402" s="12" t="inlineStr"/>
      <c r="R402" s="12" t="inlineStr"/>
      <c r="S402" s="12" t="inlineStr"/>
      <c r="T402" s="12" t="inlineStr"/>
      <c r="U402" s="12" t="inlineStr"/>
      <c r="V402" s="12" t="inlineStr">
        <is>
          <t>WBS Code = 1.2.1</t>
        </is>
      </c>
      <c r="W402" s="12" t="inlineStr"/>
    </row>
    <row r="403" ht="49" customHeight="1">
      <c r="A403" s="12" t="inlineStr">
        <is>
          <t>1.2.1</t>
        </is>
      </c>
      <c r="B403" s="12" t="inlineStr">
        <is>
          <t>Stations - Station Structures</t>
        </is>
      </c>
      <c r="C403" s="12" t="inlineStr">
        <is>
          <t>Cost &amp; Forecast Control Accounts</t>
        </is>
      </c>
      <c r="D403" s="12" t="inlineStr">
        <is>
          <t>CST-02-001</t>
        </is>
      </c>
      <c r="E403" s="12" t="inlineStr">
        <is>
          <t>Stations - public realm - allowance</t>
        </is>
      </c>
      <c r="F403" s="12" t="inlineStr">
        <is>
          <t>ONE_TO_ONE</t>
        </is>
      </c>
      <c r="G403" s="12" t="inlineStr">
        <is>
          <t>APPROVED</t>
        </is>
      </c>
      <c r="H403" s="12" t="inlineStr">
        <is>
          <t>New</t>
        </is>
      </c>
      <c r="I403" s="12" t="inlineStr">
        <is>
          <t>Source assignment -- not individually reviewed</t>
        </is>
      </c>
      <c r="J403" s="12" t="inlineStr"/>
      <c r="K403" s="12" t="inlineStr">
        <is>
          <t>Source assignment</t>
        </is>
      </c>
      <c r="L403" s="12" t="inlineStr"/>
      <c r="M403" s="12" t="inlineStr">
        <is>
          <t>Initial</t>
        </is>
      </c>
      <c r="N403" s="12" t="inlineStr">
        <is>
          <t>Rev 0</t>
        </is>
      </c>
      <c r="O403" s="12" t="inlineStr">
        <is>
          <t>R1163-v1</t>
        </is>
      </c>
      <c r="P403" s="12" t="inlineStr"/>
      <c r="Q403" s="12" t="inlineStr"/>
      <c r="R403" s="12" t="inlineStr"/>
      <c r="S403" s="12" t="inlineStr"/>
      <c r="T403" s="12" t="inlineStr"/>
      <c r="U403" s="12" t="inlineStr"/>
      <c r="V403" s="12" t="inlineStr">
        <is>
          <t>Cost Account = CA-2001; WBS Code = 1.2.1</t>
        </is>
      </c>
      <c r="W403" s="12" t="inlineStr"/>
    </row>
    <row r="404" ht="49" customHeight="1">
      <c r="A404" s="12" t="inlineStr">
        <is>
          <t>1.2.1</t>
        </is>
      </c>
      <c r="B404" s="12" t="inlineStr">
        <is>
          <t>Stations - Station Structures</t>
        </is>
      </c>
      <c r="C404" s="12" t="inlineStr">
        <is>
          <t>Cost &amp; Forecast Control Accounts</t>
        </is>
      </c>
      <c r="D404" s="12" t="inlineStr">
        <is>
          <t>CST-02-003</t>
        </is>
      </c>
      <c r="E404" s="12" t="inlineStr">
        <is>
          <t>Stations - building services - field package</t>
        </is>
      </c>
      <c r="F404" s="12" t="inlineStr">
        <is>
          <t>ONE_TO_ONE</t>
        </is>
      </c>
      <c r="G404" s="12" t="inlineStr">
        <is>
          <t>APPROVED</t>
        </is>
      </c>
      <c r="H404" s="12" t="inlineStr">
        <is>
          <t>New</t>
        </is>
      </c>
      <c r="I404" s="12" t="inlineStr">
        <is>
          <t>Source assignment -- not individually reviewed</t>
        </is>
      </c>
      <c r="J404" s="12" t="inlineStr"/>
      <c r="K404" s="12" t="inlineStr">
        <is>
          <t>Source assignment</t>
        </is>
      </c>
      <c r="L404" s="12" t="inlineStr"/>
      <c r="M404" s="12" t="inlineStr">
        <is>
          <t>Initial</t>
        </is>
      </c>
      <c r="N404" s="12" t="inlineStr">
        <is>
          <t>Rev 0</t>
        </is>
      </c>
      <c r="O404" s="12" t="inlineStr">
        <is>
          <t>R1165-v1</t>
        </is>
      </c>
      <c r="P404" s="12" t="inlineStr"/>
      <c r="Q404" s="12" t="inlineStr"/>
      <c r="R404" s="12" t="inlineStr"/>
      <c r="S404" s="12" t="inlineStr"/>
      <c r="T404" s="12" t="inlineStr"/>
      <c r="U404" s="12" t="inlineStr"/>
      <c r="V404" s="12" t="inlineStr">
        <is>
          <t>Cost Account = CA-2003; WBS Code = 1.2.1</t>
        </is>
      </c>
      <c r="W404" s="12" t="inlineStr"/>
    </row>
    <row r="405" ht="49" customHeight="1">
      <c r="A405" s="12" t="inlineStr">
        <is>
          <t>1.2.1</t>
        </is>
      </c>
      <c r="B405" s="12" t="inlineStr">
        <is>
          <t>Stations - Station Structures</t>
        </is>
      </c>
      <c r="C405" s="12" t="inlineStr">
        <is>
          <t>Cost &amp; Forecast Control Accounts</t>
        </is>
      </c>
      <c r="D405" s="12" t="inlineStr">
        <is>
          <t>CST-02-005</t>
        </is>
      </c>
      <c r="E405" s="12" t="inlineStr">
        <is>
          <t>Stations - station structure - professional services</t>
        </is>
      </c>
      <c r="F405" s="12" t="inlineStr">
        <is>
          <t>ONE_TO_ONE</t>
        </is>
      </c>
      <c r="G405" s="12" t="inlineStr">
        <is>
          <t>APPROVED</t>
        </is>
      </c>
      <c r="H405" s="12" t="inlineStr">
        <is>
          <t>New</t>
        </is>
      </c>
      <c r="I405" s="12" t="inlineStr">
        <is>
          <t>Source assignment -- not individually reviewed</t>
        </is>
      </c>
      <c r="J405" s="12" t="inlineStr"/>
      <c r="K405" s="12" t="inlineStr">
        <is>
          <t>Source assignment</t>
        </is>
      </c>
      <c r="L405" s="12" t="inlineStr"/>
      <c r="M405" s="12" t="inlineStr">
        <is>
          <t>Initial</t>
        </is>
      </c>
      <c r="N405" s="12" t="inlineStr">
        <is>
          <t>Rev 0</t>
        </is>
      </c>
      <c r="O405" s="12" t="inlineStr">
        <is>
          <t>R1167-v1</t>
        </is>
      </c>
      <c r="P405" s="12" t="inlineStr"/>
      <c r="Q405" s="12" t="inlineStr"/>
      <c r="R405" s="12" t="inlineStr"/>
      <c r="S405" s="12" t="inlineStr"/>
      <c r="T405" s="12" t="inlineStr"/>
      <c r="U405" s="12" t="inlineStr"/>
      <c r="V405" s="12" t="inlineStr">
        <is>
          <t>Cost Account = CA-2005; WBS Code = 1.2.1</t>
        </is>
      </c>
      <c r="W405" s="12" t="inlineStr"/>
    </row>
    <row r="406" ht="49" customHeight="1">
      <c r="A406" s="12" t="inlineStr">
        <is>
          <t>1.2.1</t>
        </is>
      </c>
      <c r="B406" s="12" t="inlineStr">
        <is>
          <t>Stations - Station Structures</t>
        </is>
      </c>
      <c r="C406" s="12" t="inlineStr">
        <is>
          <t>Cost &amp; Forecast Control Accounts</t>
        </is>
      </c>
      <c r="D406" s="12" t="inlineStr">
        <is>
          <t>CST-02-007</t>
        </is>
      </c>
      <c r="E406" s="12" t="inlineStr">
        <is>
          <t>Stations - public realm - closeout</t>
        </is>
      </c>
      <c r="F406" s="12" t="inlineStr">
        <is>
          <t>ONE_TO_ONE</t>
        </is>
      </c>
      <c r="G406" s="12" t="inlineStr">
        <is>
          <t>APPROVED</t>
        </is>
      </c>
      <c r="H406" s="12" t="inlineStr">
        <is>
          <t>New</t>
        </is>
      </c>
      <c r="I406" s="12" t="inlineStr">
        <is>
          <t>Source assignment -- not individually reviewed</t>
        </is>
      </c>
      <c r="J406" s="12" t="inlineStr"/>
      <c r="K406" s="12" t="inlineStr">
        <is>
          <t>Source assignment</t>
        </is>
      </c>
      <c r="L406" s="12" t="inlineStr"/>
      <c r="M406" s="12" t="inlineStr">
        <is>
          <t>Initial</t>
        </is>
      </c>
      <c r="N406" s="12" t="inlineStr">
        <is>
          <t>Rev 0</t>
        </is>
      </c>
      <c r="O406" s="12" t="inlineStr">
        <is>
          <t>R1169-v1</t>
        </is>
      </c>
      <c r="P406" s="12" t="inlineStr"/>
      <c r="Q406" s="12" t="inlineStr"/>
      <c r="R406" s="12" t="inlineStr"/>
      <c r="S406" s="12" t="inlineStr"/>
      <c r="T406" s="12" t="inlineStr"/>
      <c r="U406" s="12" t="inlineStr"/>
      <c r="V406" s="12" t="inlineStr">
        <is>
          <t>Cost Account = CA-2007; WBS Code = 1.2.1</t>
        </is>
      </c>
      <c r="W406" s="12" t="inlineStr"/>
    </row>
    <row r="407" ht="49" customHeight="1">
      <c r="A407" s="12" t="inlineStr">
        <is>
          <t>1.2.1</t>
        </is>
      </c>
      <c r="B407" s="12" t="inlineStr">
        <is>
          <t>Stations - Station Structures</t>
        </is>
      </c>
      <c r="C407" s="12" t="inlineStr">
        <is>
          <t>Cost &amp; Forecast Control Accounts</t>
        </is>
      </c>
      <c r="D407" s="12" t="inlineStr">
        <is>
          <t>CST-02-009</t>
        </is>
      </c>
      <c r="E407" s="12" t="inlineStr">
        <is>
          <t>Stations - building services - supply and install</t>
        </is>
      </c>
      <c r="F407" s="12" t="inlineStr">
        <is>
          <t>ONE_TO_ONE</t>
        </is>
      </c>
      <c r="G407" s="12" t="inlineStr">
        <is>
          <t>APPROVED</t>
        </is>
      </c>
      <c r="H407" s="12" t="inlineStr">
        <is>
          <t>New</t>
        </is>
      </c>
      <c r="I407" s="12" t="inlineStr">
        <is>
          <t>Source assignment -- not individually reviewed</t>
        </is>
      </c>
      <c r="J407" s="12" t="inlineStr"/>
      <c r="K407" s="12" t="inlineStr">
        <is>
          <t>Source assignment</t>
        </is>
      </c>
      <c r="L407" s="12" t="inlineStr"/>
      <c r="M407" s="12" t="inlineStr">
        <is>
          <t>Initial</t>
        </is>
      </c>
      <c r="N407" s="12" t="inlineStr">
        <is>
          <t>Rev 0</t>
        </is>
      </c>
      <c r="O407" s="12" t="inlineStr">
        <is>
          <t>R1171-v1</t>
        </is>
      </c>
      <c r="P407" s="12" t="inlineStr"/>
      <c r="Q407" s="12" t="inlineStr"/>
      <c r="R407" s="12" t="inlineStr"/>
      <c r="S407" s="12" t="inlineStr"/>
      <c r="T407" s="12" t="inlineStr"/>
      <c r="U407" s="12" t="inlineStr"/>
      <c r="V407" s="12" t="inlineStr">
        <is>
          <t>Cost Account = CA-2009; WBS Code = 1.2.1</t>
        </is>
      </c>
      <c r="W407" s="12" t="inlineStr"/>
    </row>
    <row r="408" ht="49" customHeight="1">
      <c r="A408" s="12" t="inlineStr">
        <is>
          <t>1.2.1</t>
        </is>
      </c>
      <c r="B408" s="12" t="inlineStr">
        <is>
          <t>Stations - Station Structures</t>
        </is>
      </c>
      <c r="C408" s="12" t="inlineStr">
        <is>
          <t>Cost &amp; Forecast Control Accounts</t>
        </is>
      </c>
      <c r="D408" s="12" t="inlineStr">
        <is>
          <t>CST-02-011</t>
        </is>
      </c>
      <c r="E408" s="12" t="inlineStr">
        <is>
          <t>Stations - station structure - allowance</t>
        </is>
      </c>
      <c r="F408" s="12" t="inlineStr">
        <is>
          <t>ONE_TO_ONE</t>
        </is>
      </c>
      <c r="G408" s="12" t="inlineStr">
        <is>
          <t>APPROVED</t>
        </is>
      </c>
      <c r="H408" s="12" t="inlineStr">
        <is>
          <t>New</t>
        </is>
      </c>
      <c r="I408" s="12" t="inlineStr">
        <is>
          <t>Source assignment -- not individually reviewed</t>
        </is>
      </c>
      <c r="J408" s="12" t="inlineStr"/>
      <c r="K408" s="12" t="inlineStr">
        <is>
          <t>Source assignment</t>
        </is>
      </c>
      <c r="L408" s="12" t="inlineStr"/>
      <c r="M408" s="12" t="inlineStr">
        <is>
          <t>Initial</t>
        </is>
      </c>
      <c r="N408" s="12" t="inlineStr">
        <is>
          <t>Rev 0</t>
        </is>
      </c>
      <c r="O408" s="12" t="inlineStr">
        <is>
          <t>R1173-v1</t>
        </is>
      </c>
      <c r="P408" s="12" t="inlineStr"/>
      <c r="Q408" s="12" t="inlineStr"/>
      <c r="R408" s="12" t="inlineStr"/>
      <c r="S408" s="12" t="inlineStr"/>
      <c r="T408" s="12" t="inlineStr"/>
      <c r="U408" s="12" t="inlineStr"/>
      <c r="V408" s="12" t="inlineStr">
        <is>
          <t>Cost Account = CA-2011; WBS Code = 1.2.1</t>
        </is>
      </c>
      <c r="W408" s="12" t="inlineStr"/>
    </row>
    <row r="409" ht="49" customHeight="1">
      <c r="A409" s="12" t="inlineStr">
        <is>
          <t>1.2.1</t>
        </is>
      </c>
      <c r="B409" s="12" t="inlineStr">
        <is>
          <t>Stations - Station Structures</t>
        </is>
      </c>
      <c r="C409" s="12" t="inlineStr">
        <is>
          <t>Cost &amp; Forecast Control Accounts</t>
        </is>
      </c>
      <c r="D409" s="12" t="inlineStr">
        <is>
          <t>CST-02-013</t>
        </is>
      </c>
      <c r="E409" s="12" t="inlineStr">
        <is>
          <t>Stations - public realm - field package</t>
        </is>
      </c>
      <c r="F409" s="12" t="inlineStr">
        <is>
          <t>ONE_TO_ONE</t>
        </is>
      </c>
      <c r="G409" s="12" t="inlineStr">
        <is>
          <t>APPROVED</t>
        </is>
      </c>
      <c r="H409" s="12" t="inlineStr">
        <is>
          <t>New</t>
        </is>
      </c>
      <c r="I409" s="12" t="inlineStr">
        <is>
          <t>Source assignment -- not individually reviewed</t>
        </is>
      </c>
      <c r="J409" s="12" t="inlineStr"/>
      <c r="K409" s="12" t="inlineStr">
        <is>
          <t>Source assignment</t>
        </is>
      </c>
      <c r="L409" s="12" t="inlineStr"/>
      <c r="M409" s="12" t="inlineStr">
        <is>
          <t>Initial</t>
        </is>
      </c>
      <c r="N409" s="12" t="inlineStr">
        <is>
          <t>Rev 0</t>
        </is>
      </c>
      <c r="O409" s="12" t="inlineStr">
        <is>
          <t>R1175-v1</t>
        </is>
      </c>
      <c r="P409" s="12" t="inlineStr"/>
      <c r="Q409" s="12" t="inlineStr"/>
      <c r="R409" s="12" t="inlineStr"/>
      <c r="S409" s="12" t="inlineStr"/>
      <c r="T409" s="12" t="inlineStr"/>
      <c r="U409" s="12" t="inlineStr"/>
      <c r="V409" s="12" t="inlineStr">
        <is>
          <t>Cost Account = CA-2013; WBS Code = 1.2.1</t>
        </is>
      </c>
      <c r="W409" s="12" t="inlineStr"/>
    </row>
    <row r="410" ht="49" customHeight="1">
      <c r="A410" s="12" t="inlineStr">
        <is>
          <t>1.2.1</t>
        </is>
      </c>
      <c r="B410" s="12" t="inlineStr">
        <is>
          <t>Stations - Station Structures</t>
        </is>
      </c>
      <c r="C410" s="12" t="inlineStr">
        <is>
          <t>Cost &amp; Forecast Control Accounts</t>
        </is>
      </c>
      <c r="D410" s="12" t="inlineStr">
        <is>
          <t>CST-02-015</t>
        </is>
      </c>
      <c r="E410" s="12" t="inlineStr">
        <is>
          <t>Stations - building services - professional services</t>
        </is>
      </c>
      <c r="F410" s="12" t="inlineStr">
        <is>
          <t>ONE_TO_ONE</t>
        </is>
      </c>
      <c r="G410" s="12" t="inlineStr">
        <is>
          <t>APPROVED</t>
        </is>
      </c>
      <c r="H410" s="12" t="inlineStr">
        <is>
          <t>New</t>
        </is>
      </c>
      <c r="I410" s="12" t="inlineStr">
        <is>
          <t>Source assignment -- not individually reviewed</t>
        </is>
      </c>
      <c r="J410" s="12" t="inlineStr"/>
      <c r="K410" s="12" t="inlineStr">
        <is>
          <t>Source assignment</t>
        </is>
      </c>
      <c r="L410" s="12" t="inlineStr"/>
      <c r="M410" s="12" t="inlineStr">
        <is>
          <t>Initial</t>
        </is>
      </c>
      <c r="N410" s="12" t="inlineStr">
        <is>
          <t>Rev 0</t>
        </is>
      </c>
      <c r="O410" s="12" t="inlineStr">
        <is>
          <t>R1177-v1</t>
        </is>
      </c>
      <c r="P410" s="12" t="inlineStr"/>
      <c r="Q410" s="12" t="inlineStr"/>
      <c r="R410" s="12" t="inlineStr"/>
      <c r="S410" s="12" t="inlineStr"/>
      <c r="T410" s="12" t="inlineStr"/>
      <c r="U410" s="12" t="inlineStr"/>
      <c r="V410" s="12" t="inlineStr">
        <is>
          <t>Cost Account = CA-2015; WBS Code = 1.2.1</t>
        </is>
      </c>
      <c r="W410" s="12" t="inlineStr"/>
    </row>
    <row r="411" ht="49" customHeight="1">
      <c r="A411" s="12" t="inlineStr">
        <is>
          <t>1.2.1</t>
        </is>
      </c>
      <c r="B411" s="12" t="inlineStr">
        <is>
          <t>Stations - Station Structures</t>
        </is>
      </c>
      <c r="C411" s="12" t="inlineStr">
        <is>
          <t>Cost &amp; Forecast Control Accounts</t>
        </is>
      </c>
      <c r="D411" s="12" t="inlineStr">
        <is>
          <t>CST-02-017</t>
        </is>
      </c>
      <c r="E411" s="12" t="inlineStr">
        <is>
          <t>Stations - station structure - closeout</t>
        </is>
      </c>
      <c r="F411" s="12" t="inlineStr">
        <is>
          <t>ONE_TO_ONE</t>
        </is>
      </c>
      <c r="G411" s="12" t="inlineStr">
        <is>
          <t>APPROVED</t>
        </is>
      </c>
      <c r="H411" s="12" t="inlineStr">
        <is>
          <t>New</t>
        </is>
      </c>
      <c r="I411" s="12" t="inlineStr">
        <is>
          <t>Source assignment -- not individually reviewed</t>
        </is>
      </c>
      <c r="J411" s="12" t="inlineStr"/>
      <c r="K411" s="12" t="inlineStr">
        <is>
          <t>Source assignment</t>
        </is>
      </c>
      <c r="L411" s="12" t="inlineStr"/>
      <c r="M411" s="12" t="inlineStr">
        <is>
          <t>Initial</t>
        </is>
      </c>
      <c r="N411" s="12" t="inlineStr">
        <is>
          <t>Rev 0</t>
        </is>
      </c>
      <c r="O411" s="12" t="inlineStr">
        <is>
          <t>R1179-v1</t>
        </is>
      </c>
      <c r="P411" s="12" t="inlineStr"/>
      <c r="Q411" s="12" t="inlineStr"/>
      <c r="R411" s="12" t="inlineStr"/>
      <c r="S411" s="12" t="inlineStr"/>
      <c r="T411" s="12" t="inlineStr"/>
      <c r="U411" s="12" t="inlineStr"/>
      <c r="V411" s="12" t="inlineStr">
        <is>
          <t>Cost Account = CA-2017; WBS Code = 1.2.1</t>
        </is>
      </c>
      <c r="W411" s="12" t="inlineStr"/>
    </row>
    <row r="412" ht="49" customHeight="1">
      <c r="A412" s="12" t="inlineStr">
        <is>
          <t>1.2.1</t>
        </is>
      </c>
      <c r="B412" s="12" t="inlineStr">
        <is>
          <t>Stations - Station Structures</t>
        </is>
      </c>
      <c r="C412" s="12" t="inlineStr">
        <is>
          <t>Cost &amp; Forecast Control Accounts</t>
        </is>
      </c>
      <c r="D412" s="12" t="inlineStr">
        <is>
          <t>CST-02-019</t>
        </is>
      </c>
      <c r="E412" s="12" t="inlineStr">
        <is>
          <t>Stations - public realm - supply and install</t>
        </is>
      </c>
      <c r="F412" s="12" t="inlineStr">
        <is>
          <t>ONE_TO_ONE</t>
        </is>
      </c>
      <c r="G412" s="12" t="inlineStr">
        <is>
          <t>APPROVED</t>
        </is>
      </c>
      <c r="H412" s="12" t="inlineStr">
        <is>
          <t>New</t>
        </is>
      </c>
      <c r="I412" s="12" t="inlineStr">
        <is>
          <t>Source assignment -- not individually reviewed</t>
        </is>
      </c>
      <c r="J412" s="12" t="inlineStr"/>
      <c r="K412" s="12" t="inlineStr">
        <is>
          <t>Source assignment</t>
        </is>
      </c>
      <c r="L412" s="12" t="inlineStr"/>
      <c r="M412" s="12" t="inlineStr">
        <is>
          <t>Initial</t>
        </is>
      </c>
      <c r="N412" s="12" t="inlineStr">
        <is>
          <t>Rev 0</t>
        </is>
      </c>
      <c r="O412" s="12" t="inlineStr">
        <is>
          <t>R1181-v1</t>
        </is>
      </c>
      <c r="P412" s="12" t="inlineStr"/>
      <c r="Q412" s="12" t="inlineStr"/>
      <c r="R412" s="12" t="inlineStr"/>
      <c r="S412" s="12" t="inlineStr"/>
      <c r="T412" s="12" t="inlineStr"/>
      <c r="U412" s="12" t="inlineStr"/>
      <c r="V412" s="12" t="inlineStr">
        <is>
          <t>Cost Account = CA-2019; WBS Code = 1.2.1</t>
        </is>
      </c>
      <c r="W412" s="12" t="inlineStr"/>
    </row>
    <row r="413" ht="49" customHeight="1">
      <c r="A413" s="12" t="inlineStr">
        <is>
          <t>1.2.1</t>
        </is>
      </c>
      <c r="B413" s="12" t="inlineStr">
        <is>
          <t>Stations - Station Structures</t>
        </is>
      </c>
      <c r="C413" s="12" t="inlineStr">
        <is>
          <t>Cost &amp; Forecast Control Accounts</t>
        </is>
      </c>
      <c r="D413" s="12" t="inlineStr">
        <is>
          <t>CST-02-021</t>
        </is>
      </c>
      <c r="E413" s="12" t="inlineStr">
        <is>
          <t>Stations - building services - allowance</t>
        </is>
      </c>
      <c r="F413" s="12" t="inlineStr">
        <is>
          <t>ONE_TO_ONE</t>
        </is>
      </c>
      <c r="G413" s="12" t="inlineStr">
        <is>
          <t>APPROVED</t>
        </is>
      </c>
      <c r="H413" s="12" t="inlineStr">
        <is>
          <t>New</t>
        </is>
      </c>
      <c r="I413" s="12" t="inlineStr">
        <is>
          <t>Source assignment -- not individually reviewed</t>
        </is>
      </c>
      <c r="J413" s="12" t="inlineStr"/>
      <c r="K413" s="12" t="inlineStr">
        <is>
          <t>Source assignment</t>
        </is>
      </c>
      <c r="L413" s="12" t="inlineStr"/>
      <c r="M413" s="12" t="inlineStr">
        <is>
          <t>Initial</t>
        </is>
      </c>
      <c r="N413" s="12" t="inlineStr">
        <is>
          <t>Rev 0</t>
        </is>
      </c>
      <c r="O413" s="12" t="inlineStr">
        <is>
          <t>R1183-v1</t>
        </is>
      </c>
      <c r="P413" s="12" t="inlineStr"/>
      <c r="Q413" s="12" t="inlineStr"/>
      <c r="R413" s="12" t="inlineStr"/>
      <c r="S413" s="12" t="inlineStr"/>
      <c r="T413" s="12" t="inlineStr"/>
      <c r="U413" s="12" t="inlineStr"/>
      <c r="V413" s="12" t="inlineStr">
        <is>
          <t>Cost Account = CA-2021; WBS Code = 1.2.1</t>
        </is>
      </c>
      <c r="W413" s="12" t="inlineStr"/>
    </row>
    <row r="414" ht="49" customHeight="1">
      <c r="A414" s="12" t="inlineStr">
        <is>
          <t>1.2.1</t>
        </is>
      </c>
      <c r="B414" s="12" t="inlineStr">
        <is>
          <t>Stations - Station Structures</t>
        </is>
      </c>
      <c r="C414" s="12" t="inlineStr">
        <is>
          <t>Cost &amp; Forecast Control Accounts</t>
        </is>
      </c>
      <c r="D414" s="12" t="inlineStr">
        <is>
          <t>CST-02-023</t>
        </is>
      </c>
      <c r="E414" s="12" t="inlineStr">
        <is>
          <t>Stations - station structure - field package</t>
        </is>
      </c>
      <c r="F414" s="12" t="inlineStr">
        <is>
          <t>ONE_TO_ONE</t>
        </is>
      </c>
      <c r="G414" s="12" t="inlineStr">
        <is>
          <t>APPROVED</t>
        </is>
      </c>
      <c r="H414" s="12" t="inlineStr">
        <is>
          <t>New</t>
        </is>
      </c>
      <c r="I414" s="12" t="inlineStr">
        <is>
          <t>Source assignment -- not individually reviewed</t>
        </is>
      </c>
      <c r="J414" s="12" t="inlineStr"/>
      <c r="K414" s="12" t="inlineStr">
        <is>
          <t>Source assignment</t>
        </is>
      </c>
      <c r="L414" s="12" t="inlineStr"/>
      <c r="M414" s="12" t="inlineStr">
        <is>
          <t>Initial</t>
        </is>
      </c>
      <c r="N414" s="12" t="inlineStr">
        <is>
          <t>Rev 0</t>
        </is>
      </c>
      <c r="O414" s="12" t="inlineStr">
        <is>
          <t>R1185-v1</t>
        </is>
      </c>
      <c r="P414" s="12" t="inlineStr"/>
      <c r="Q414" s="12" t="inlineStr"/>
      <c r="R414" s="12" t="inlineStr"/>
      <c r="S414" s="12" t="inlineStr"/>
      <c r="T414" s="12" t="inlineStr"/>
      <c r="U414" s="12" t="inlineStr"/>
      <c r="V414" s="12" t="inlineStr">
        <is>
          <t>Cost Account = CA-2023; WBS Code = 1.2.1</t>
        </is>
      </c>
      <c r="W414" s="12" t="inlineStr"/>
    </row>
    <row r="415" ht="49" customHeight="1">
      <c r="A415" s="12" t="inlineStr">
        <is>
          <t>1.2.1</t>
        </is>
      </c>
      <c r="B415" s="12" t="inlineStr">
        <is>
          <t>Stations - Station Structures</t>
        </is>
      </c>
      <c r="C415" s="12" t="inlineStr">
        <is>
          <t>Cost &amp; Forecast Control Accounts</t>
        </is>
      </c>
      <c r="D415" s="12" t="inlineStr">
        <is>
          <t>CST-02-025</t>
        </is>
      </c>
      <c r="E415" s="12" t="inlineStr">
        <is>
          <t>Stations - public realm - professional services</t>
        </is>
      </c>
      <c r="F415" s="12" t="inlineStr">
        <is>
          <t>ONE_TO_ONE</t>
        </is>
      </c>
      <c r="G415" s="12" t="inlineStr">
        <is>
          <t>APPROVED</t>
        </is>
      </c>
      <c r="H415" s="12" t="inlineStr">
        <is>
          <t>New</t>
        </is>
      </c>
      <c r="I415" s="12" t="inlineStr">
        <is>
          <t>Source assignment -- not individually reviewed</t>
        </is>
      </c>
      <c r="J415" s="12" t="inlineStr"/>
      <c r="K415" s="12" t="inlineStr">
        <is>
          <t>Source assignment</t>
        </is>
      </c>
      <c r="L415" s="12" t="inlineStr"/>
      <c r="M415" s="12" t="inlineStr">
        <is>
          <t>Initial</t>
        </is>
      </c>
      <c r="N415" s="12" t="inlineStr">
        <is>
          <t>Rev 0</t>
        </is>
      </c>
      <c r="O415" s="12" t="inlineStr">
        <is>
          <t>R1187-v1</t>
        </is>
      </c>
      <c r="P415" s="12" t="inlineStr"/>
      <c r="Q415" s="12" t="inlineStr"/>
      <c r="R415" s="12" t="inlineStr"/>
      <c r="S415" s="12" t="inlineStr"/>
      <c r="T415" s="12" t="inlineStr"/>
      <c r="U415" s="12" t="inlineStr"/>
      <c r="V415" s="12" t="inlineStr">
        <is>
          <t>Cost Account = CA-2025; WBS Code = 1.2.1</t>
        </is>
      </c>
      <c r="W415" s="12" t="inlineStr"/>
    </row>
    <row r="416" ht="49" customHeight="1">
      <c r="A416" s="12" t="inlineStr">
        <is>
          <t>1.2.1</t>
        </is>
      </c>
      <c r="B416" s="12" t="inlineStr">
        <is>
          <t>Stations - Station Structures</t>
        </is>
      </c>
      <c r="C416" s="12" t="inlineStr">
        <is>
          <t>Cost &amp; Forecast Control Accounts</t>
        </is>
      </c>
      <c r="D416" s="12" t="inlineStr">
        <is>
          <t>CST-02-027</t>
        </is>
      </c>
      <c r="E416" s="12" t="inlineStr">
        <is>
          <t>Stations - building services - closeout</t>
        </is>
      </c>
      <c r="F416" s="12" t="inlineStr">
        <is>
          <t>ONE_TO_ONE</t>
        </is>
      </c>
      <c r="G416" s="12" t="inlineStr">
        <is>
          <t>APPROVED</t>
        </is>
      </c>
      <c r="H416" s="12" t="inlineStr">
        <is>
          <t>New</t>
        </is>
      </c>
      <c r="I416" s="12" t="inlineStr">
        <is>
          <t>Source assignment -- not individually reviewed</t>
        </is>
      </c>
      <c r="J416" s="12" t="inlineStr"/>
      <c r="K416" s="12" t="inlineStr">
        <is>
          <t>Source assignment</t>
        </is>
      </c>
      <c r="L416" s="12" t="inlineStr"/>
      <c r="M416" s="12" t="inlineStr">
        <is>
          <t>Initial</t>
        </is>
      </c>
      <c r="N416" s="12" t="inlineStr">
        <is>
          <t>Rev 0</t>
        </is>
      </c>
      <c r="O416" s="12" t="inlineStr">
        <is>
          <t>R1189-v1</t>
        </is>
      </c>
      <c r="P416" s="12" t="inlineStr"/>
      <c r="Q416" s="12" t="inlineStr"/>
      <c r="R416" s="12" t="inlineStr"/>
      <c r="S416" s="12" t="inlineStr"/>
      <c r="T416" s="12" t="inlineStr"/>
      <c r="U416" s="12" t="inlineStr"/>
      <c r="V416" s="12" t="inlineStr">
        <is>
          <t>Cost Account = CA-2027; WBS Code = 1.2.1</t>
        </is>
      </c>
      <c r="W416" s="12" t="inlineStr"/>
    </row>
    <row r="417" ht="49" customHeight="1">
      <c r="A417" s="12" t="inlineStr">
        <is>
          <t>1.2.1</t>
        </is>
      </c>
      <c r="B417" s="12" t="inlineStr">
        <is>
          <t>Stations - Station Structures</t>
        </is>
      </c>
      <c r="C417" s="12" t="inlineStr">
        <is>
          <t>Cost &amp; Forecast Control Accounts</t>
        </is>
      </c>
      <c r="D417" s="12" t="inlineStr">
        <is>
          <t>CST-02-029</t>
        </is>
      </c>
      <c r="E417" s="12" t="inlineStr">
        <is>
          <t>Stations - station structure - supply and install</t>
        </is>
      </c>
      <c r="F417" s="12" t="inlineStr">
        <is>
          <t>ONE_TO_ONE</t>
        </is>
      </c>
      <c r="G417" s="12" t="inlineStr">
        <is>
          <t>APPROVED</t>
        </is>
      </c>
      <c r="H417" s="12" t="inlineStr">
        <is>
          <t>New</t>
        </is>
      </c>
      <c r="I417" s="12" t="inlineStr">
        <is>
          <t>Source assignment -- not individually reviewed</t>
        </is>
      </c>
      <c r="J417" s="12" t="inlineStr"/>
      <c r="K417" s="12" t="inlineStr">
        <is>
          <t>Source assignment</t>
        </is>
      </c>
      <c r="L417" s="12" t="inlineStr"/>
      <c r="M417" s="12" t="inlineStr">
        <is>
          <t>Initial</t>
        </is>
      </c>
      <c r="N417" s="12" t="inlineStr">
        <is>
          <t>Rev 0</t>
        </is>
      </c>
      <c r="O417" s="12" t="inlineStr">
        <is>
          <t>R1191-v1</t>
        </is>
      </c>
      <c r="P417" s="12" t="inlineStr"/>
      <c r="Q417" s="12" t="inlineStr"/>
      <c r="R417" s="12" t="inlineStr"/>
      <c r="S417" s="12" t="inlineStr"/>
      <c r="T417" s="12" t="inlineStr"/>
      <c r="U417" s="12" t="inlineStr"/>
      <c r="V417" s="12" t="inlineStr">
        <is>
          <t>Cost Account = CA-2029; WBS Code = 1.2.1</t>
        </is>
      </c>
      <c r="W417" s="12" t="inlineStr"/>
    </row>
    <row r="418" ht="49" customHeight="1">
      <c r="A418" s="12" t="inlineStr">
        <is>
          <t>1.2.1</t>
        </is>
      </c>
      <c r="B418" s="12" t="inlineStr">
        <is>
          <t>Stations - Station Structures</t>
        </is>
      </c>
      <c r="C418" s="12" t="inlineStr">
        <is>
          <t>Cost &amp; Forecast Control Accounts</t>
        </is>
      </c>
      <c r="D418" s="12" t="inlineStr">
        <is>
          <t>CST-02-031</t>
        </is>
      </c>
      <c r="E418" s="12" t="inlineStr">
        <is>
          <t>Stations - public realm - allowance</t>
        </is>
      </c>
      <c r="F418" s="12" t="inlineStr">
        <is>
          <t>ONE_TO_ONE</t>
        </is>
      </c>
      <c r="G418" s="12" t="inlineStr">
        <is>
          <t>APPROVED</t>
        </is>
      </c>
      <c r="H418" s="12" t="inlineStr">
        <is>
          <t>New</t>
        </is>
      </c>
      <c r="I418" s="12" t="inlineStr">
        <is>
          <t>Source assignment -- not individually reviewed</t>
        </is>
      </c>
      <c r="J418" s="12" t="inlineStr"/>
      <c r="K418" s="12" t="inlineStr">
        <is>
          <t>Source assignment</t>
        </is>
      </c>
      <c r="L418" s="12" t="inlineStr"/>
      <c r="M418" s="12" t="inlineStr">
        <is>
          <t>Initial</t>
        </is>
      </c>
      <c r="N418" s="12" t="inlineStr">
        <is>
          <t>Rev 0</t>
        </is>
      </c>
      <c r="O418" s="12" t="inlineStr">
        <is>
          <t>R1193-v1</t>
        </is>
      </c>
      <c r="P418" s="12" t="inlineStr"/>
      <c r="Q418" s="12" t="inlineStr"/>
      <c r="R418" s="12" t="inlineStr"/>
      <c r="S418" s="12" t="inlineStr"/>
      <c r="T418" s="12" t="inlineStr"/>
      <c r="U418" s="12" t="inlineStr"/>
      <c r="V418" s="12" t="inlineStr">
        <is>
          <t>Cost Account = CA-2031; WBS Code = 1.2.1</t>
        </is>
      </c>
      <c r="W418" s="12" t="inlineStr"/>
    </row>
    <row r="419" ht="49" customHeight="1">
      <c r="A419" s="12" t="inlineStr">
        <is>
          <t>1.2.1</t>
        </is>
      </c>
      <c r="B419" s="12" t="inlineStr">
        <is>
          <t>Stations - Station Structures</t>
        </is>
      </c>
      <c r="C419" s="12" t="inlineStr">
        <is>
          <t>Cost &amp; Forecast Control Accounts</t>
        </is>
      </c>
      <c r="D419" s="12" t="inlineStr">
        <is>
          <t>CST-02-033</t>
        </is>
      </c>
      <c r="E419" s="12" t="inlineStr">
        <is>
          <t>Stations - building services - field package</t>
        </is>
      </c>
      <c r="F419" s="12" t="inlineStr">
        <is>
          <t>ONE_TO_ONE</t>
        </is>
      </c>
      <c r="G419" s="12" t="inlineStr">
        <is>
          <t>APPROVED</t>
        </is>
      </c>
      <c r="H419" s="12" t="inlineStr">
        <is>
          <t>New</t>
        </is>
      </c>
      <c r="I419" s="12" t="inlineStr">
        <is>
          <t>Source assignment -- not individually reviewed</t>
        </is>
      </c>
      <c r="J419" s="12" t="inlineStr"/>
      <c r="K419" s="12" t="inlineStr">
        <is>
          <t>Source assignment</t>
        </is>
      </c>
      <c r="L419" s="12" t="inlineStr"/>
      <c r="M419" s="12" t="inlineStr">
        <is>
          <t>Initial</t>
        </is>
      </c>
      <c r="N419" s="12" t="inlineStr">
        <is>
          <t>Rev 0</t>
        </is>
      </c>
      <c r="O419" s="12" t="inlineStr">
        <is>
          <t>R1195-v1</t>
        </is>
      </c>
      <c r="P419" s="12" t="inlineStr"/>
      <c r="Q419" s="12" t="inlineStr"/>
      <c r="R419" s="12" t="inlineStr"/>
      <c r="S419" s="12" t="inlineStr"/>
      <c r="T419" s="12" t="inlineStr"/>
      <c r="U419" s="12" t="inlineStr"/>
      <c r="V419" s="12" t="inlineStr">
        <is>
          <t>Cost Account = CA-2033; WBS Code = 1.2.1</t>
        </is>
      </c>
      <c r="W419" s="12" t="inlineStr"/>
    </row>
    <row r="420" ht="49" customHeight="1">
      <c r="A420" s="12" t="inlineStr">
        <is>
          <t>1.2.1</t>
        </is>
      </c>
      <c r="B420" s="12" t="inlineStr">
        <is>
          <t>Stations - Station Structures</t>
        </is>
      </c>
      <c r="C420" s="12" t="inlineStr">
        <is>
          <t>Cost &amp; Forecast Control Accounts</t>
        </is>
      </c>
      <c r="D420" s="12" t="inlineStr">
        <is>
          <t>CST-02-035</t>
        </is>
      </c>
      <c r="E420" s="12" t="inlineStr">
        <is>
          <t>Stations - station structure - professional services</t>
        </is>
      </c>
      <c r="F420" s="12" t="inlineStr">
        <is>
          <t>ONE_TO_ONE</t>
        </is>
      </c>
      <c r="G420" s="12" t="inlineStr">
        <is>
          <t>APPROVED</t>
        </is>
      </c>
      <c r="H420" s="12" t="inlineStr">
        <is>
          <t>New</t>
        </is>
      </c>
      <c r="I420" s="12" t="inlineStr">
        <is>
          <t>Source assignment -- not individually reviewed</t>
        </is>
      </c>
      <c r="J420" s="12" t="inlineStr"/>
      <c r="K420" s="12" t="inlineStr">
        <is>
          <t>Source assignment</t>
        </is>
      </c>
      <c r="L420" s="12" t="inlineStr"/>
      <c r="M420" s="12" t="inlineStr">
        <is>
          <t>Initial</t>
        </is>
      </c>
      <c r="N420" s="12" t="inlineStr">
        <is>
          <t>Rev 0</t>
        </is>
      </c>
      <c r="O420" s="12" t="inlineStr">
        <is>
          <t>R1197-v1</t>
        </is>
      </c>
      <c r="P420" s="12" t="inlineStr"/>
      <c r="Q420" s="12" t="inlineStr"/>
      <c r="R420" s="12" t="inlineStr"/>
      <c r="S420" s="12" t="inlineStr"/>
      <c r="T420" s="12" t="inlineStr"/>
      <c r="U420" s="12" t="inlineStr"/>
      <c r="V420" s="12" t="inlineStr">
        <is>
          <t>Cost Account = CA-2035; WBS Code = 1.2.1</t>
        </is>
      </c>
      <c r="W420" s="12" t="inlineStr"/>
    </row>
    <row r="421" ht="49" customHeight="1">
      <c r="A421" s="12" t="inlineStr">
        <is>
          <t>1.2.1</t>
        </is>
      </c>
      <c r="B421" s="12" t="inlineStr">
        <is>
          <t>Stations - Station Structures</t>
        </is>
      </c>
      <c r="C421" s="12" t="inlineStr">
        <is>
          <t>Cost &amp; Forecast Control Accounts</t>
        </is>
      </c>
      <c r="D421" s="12" t="inlineStr">
        <is>
          <t>CST-02-037</t>
        </is>
      </c>
      <c r="E421" s="12" t="inlineStr">
        <is>
          <t>Stations - public realm - closeout</t>
        </is>
      </c>
      <c r="F421" s="12" t="inlineStr">
        <is>
          <t>ONE_TO_ONE</t>
        </is>
      </c>
      <c r="G421" s="12" t="inlineStr">
        <is>
          <t>APPROVED</t>
        </is>
      </c>
      <c r="H421" s="12" t="inlineStr">
        <is>
          <t>New</t>
        </is>
      </c>
      <c r="I421" s="12" t="inlineStr">
        <is>
          <t>Source assignment -- not individually reviewed</t>
        </is>
      </c>
      <c r="J421" s="12" t="inlineStr"/>
      <c r="K421" s="12" t="inlineStr">
        <is>
          <t>Source assignment</t>
        </is>
      </c>
      <c r="L421" s="12" t="inlineStr"/>
      <c r="M421" s="12" t="inlineStr">
        <is>
          <t>Initial</t>
        </is>
      </c>
      <c r="N421" s="12" t="inlineStr">
        <is>
          <t>Rev 0</t>
        </is>
      </c>
      <c r="O421" s="12" t="inlineStr">
        <is>
          <t>R1199-v1</t>
        </is>
      </c>
      <c r="P421" s="12" t="inlineStr"/>
      <c r="Q421" s="12" t="inlineStr"/>
      <c r="R421" s="12" t="inlineStr"/>
      <c r="S421" s="12" t="inlineStr"/>
      <c r="T421" s="12" t="inlineStr"/>
      <c r="U421" s="12" t="inlineStr"/>
      <c r="V421" s="12" t="inlineStr">
        <is>
          <t>Cost Account = CA-2037; WBS Code = 1.2.1</t>
        </is>
      </c>
      <c r="W421" s="12" t="inlineStr"/>
    </row>
    <row r="422" ht="49" customHeight="1">
      <c r="A422" s="12" t="inlineStr">
        <is>
          <t>1.2.1</t>
        </is>
      </c>
      <c r="B422" s="12" t="inlineStr">
        <is>
          <t>Stations - Station Structures</t>
        </is>
      </c>
      <c r="C422" s="12" t="inlineStr">
        <is>
          <t>Cost &amp; Forecast Control Accounts</t>
        </is>
      </c>
      <c r="D422" s="12" t="inlineStr">
        <is>
          <t>CST-02-039</t>
        </is>
      </c>
      <c r="E422" s="12" t="inlineStr">
        <is>
          <t>Stations - building services - supply and install</t>
        </is>
      </c>
      <c r="F422" s="12" t="inlineStr">
        <is>
          <t>ONE_TO_ONE</t>
        </is>
      </c>
      <c r="G422" s="12" t="inlineStr">
        <is>
          <t>APPROVED</t>
        </is>
      </c>
      <c r="H422" s="12" t="inlineStr">
        <is>
          <t>New</t>
        </is>
      </c>
      <c r="I422" s="12" t="inlineStr">
        <is>
          <t>Source assignment -- not individually reviewed</t>
        </is>
      </c>
      <c r="J422" s="12" t="inlineStr"/>
      <c r="K422" s="12" t="inlineStr">
        <is>
          <t>Source assignment</t>
        </is>
      </c>
      <c r="L422" s="12" t="inlineStr"/>
      <c r="M422" s="12" t="inlineStr">
        <is>
          <t>Initial</t>
        </is>
      </c>
      <c r="N422" s="12" t="inlineStr">
        <is>
          <t>Rev 0</t>
        </is>
      </c>
      <c r="O422" s="12" t="inlineStr">
        <is>
          <t>R1201-v1</t>
        </is>
      </c>
      <c r="P422" s="12" t="inlineStr"/>
      <c r="Q422" s="12" t="inlineStr"/>
      <c r="R422" s="12" t="inlineStr"/>
      <c r="S422" s="12" t="inlineStr"/>
      <c r="T422" s="12" t="inlineStr"/>
      <c r="U422" s="12" t="inlineStr"/>
      <c r="V422" s="12" t="inlineStr">
        <is>
          <t>Cost Account = CA-2039; WBS Code = 1.2.1</t>
        </is>
      </c>
      <c r="W422" s="12" t="inlineStr"/>
    </row>
    <row r="423" ht="49" customHeight="1">
      <c r="A423" s="12" t="inlineStr">
        <is>
          <t>1.2.1</t>
        </is>
      </c>
      <c r="B423" s="12" t="inlineStr">
        <is>
          <t>Stations - Station Structures</t>
        </is>
      </c>
      <c r="C423" s="12" t="inlineStr">
        <is>
          <t>Cost &amp; Forecast Control Accounts</t>
        </is>
      </c>
      <c r="D423" s="12" t="inlineStr">
        <is>
          <t>CST-02-041</t>
        </is>
      </c>
      <c r="E423" s="12" t="inlineStr">
        <is>
          <t>Stations - station structure - allowance</t>
        </is>
      </c>
      <c r="F423" s="12" t="inlineStr">
        <is>
          <t>ONE_TO_ONE</t>
        </is>
      </c>
      <c r="G423" s="12" t="inlineStr">
        <is>
          <t>APPROVED</t>
        </is>
      </c>
      <c r="H423" s="12" t="inlineStr">
        <is>
          <t>New</t>
        </is>
      </c>
      <c r="I423" s="12" t="inlineStr">
        <is>
          <t>Source assignment -- not individually reviewed</t>
        </is>
      </c>
      <c r="J423" s="12" t="inlineStr"/>
      <c r="K423" s="12" t="inlineStr">
        <is>
          <t>Source assignment</t>
        </is>
      </c>
      <c r="L423" s="12" t="inlineStr"/>
      <c r="M423" s="12" t="inlineStr">
        <is>
          <t>Initial</t>
        </is>
      </c>
      <c r="N423" s="12" t="inlineStr">
        <is>
          <t>Rev 0</t>
        </is>
      </c>
      <c r="O423" s="12" t="inlineStr">
        <is>
          <t>R1203-v1</t>
        </is>
      </c>
      <c r="P423" s="12" t="inlineStr"/>
      <c r="Q423" s="12" t="inlineStr"/>
      <c r="R423" s="12" t="inlineStr"/>
      <c r="S423" s="12" t="inlineStr"/>
      <c r="T423" s="12" t="inlineStr"/>
      <c r="U423" s="12" t="inlineStr"/>
      <c r="V423" s="12" t="inlineStr">
        <is>
          <t>Cost Account = CA-2041; WBS Code = 1.2.1</t>
        </is>
      </c>
      <c r="W423" s="12" t="inlineStr"/>
    </row>
    <row r="424" ht="49" customHeight="1">
      <c r="A424" s="12" t="inlineStr">
        <is>
          <t>1.2.1</t>
        </is>
      </c>
      <c r="B424" s="12" t="inlineStr">
        <is>
          <t>Stations - Station Structures</t>
        </is>
      </c>
      <c r="C424" s="12" t="inlineStr">
        <is>
          <t>Cost &amp; Forecast Control Accounts</t>
        </is>
      </c>
      <c r="D424" s="12" t="inlineStr">
        <is>
          <t>CST-02-043</t>
        </is>
      </c>
      <c r="E424" s="12" t="inlineStr">
        <is>
          <t>Stations - public realm - field package</t>
        </is>
      </c>
      <c r="F424" s="12" t="inlineStr">
        <is>
          <t>ONE_TO_ONE</t>
        </is>
      </c>
      <c r="G424" s="12" t="inlineStr">
        <is>
          <t>APPROVED</t>
        </is>
      </c>
      <c r="H424" s="12" t="inlineStr">
        <is>
          <t>New</t>
        </is>
      </c>
      <c r="I424" s="12" t="inlineStr">
        <is>
          <t>Source assignment -- not individually reviewed</t>
        </is>
      </c>
      <c r="J424" s="12" t="inlineStr"/>
      <c r="K424" s="12" t="inlineStr">
        <is>
          <t>Source assignment</t>
        </is>
      </c>
      <c r="L424" s="12" t="inlineStr"/>
      <c r="M424" s="12" t="inlineStr">
        <is>
          <t>Initial</t>
        </is>
      </c>
      <c r="N424" s="12" t="inlineStr">
        <is>
          <t>Rev 0</t>
        </is>
      </c>
      <c r="O424" s="12" t="inlineStr">
        <is>
          <t>R1205-v1</t>
        </is>
      </c>
      <c r="P424" s="12" t="inlineStr"/>
      <c r="Q424" s="12" t="inlineStr"/>
      <c r="R424" s="12" t="inlineStr"/>
      <c r="S424" s="12" t="inlineStr"/>
      <c r="T424" s="12" t="inlineStr"/>
      <c r="U424" s="12" t="inlineStr"/>
      <c r="V424" s="12" t="inlineStr">
        <is>
          <t>Cost Account = CA-2043; WBS Code = 1.2.1</t>
        </is>
      </c>
      <c r="W424" s="12" t="inlineStr"/>
    </row>
    <row r="425" ht="49" customHeight="1">
      <c r="A425" s="12" t="inlineStr">
        <is>
          <t>1.2.1</t>
        </is>
      </c>
      <c r="B425" s="12" t="inlineStr">
        <is>
          <t>Stations - Station Structures</t>
        </is>
      </c>
      <c r="C425" s="12" t="inlineStr">
        <is>
          <t>Cost &amp; Forecast Control Accounts</t>
        </is>
      </c>
      <c r="D425" s="12" t="inlineStr">
        <is>
          <t>CST-02-045</t>
        </is>
      </c>
      <c r="E425" s="12" t="inlineStr">
        <is>
          <t>Stations - building services - professional services</t>
        </is>
      </c>
      <c r="F425" s="12" t="inlineStr">
        <is>
          <t>ONE_TO_ONE</t>
        </is>
      </c>
      <c r="G425" s="12" t="inlineStr">
        <is>
          <t>APPROVED</t>
        </is>
      </c>
      <c r="H425" s="12" t="inlineStr">
        <is>
          <t>New</t>
        </is>
      </c>
      <c r="I425" s="12" t="inlineStr">
        <is>
          <t>Source assignment -- not individually reviewed</t>
        </is>
      </c>
      <c r="J425" s="12" t="inlineStr"/>
      <c r="K425" s="12" t="inlineStr">
        <is>
          <t>Source assignment</t>
        </is>
      </c>
      <c r="L425" s="12" t="inlineStr"/>
      <c r="M425" s="12" t="inlineStr">
        <is>
          <t>Initial</t>
        </is>
      </c>
      <c r="N425" s="12" t="inlineStr">
        <is>
          <t>Rev 0</t>
        </is>
      </c>
      <c r="O425" s="12" t="inlineStr">
        <is>
          <t>R1207-v1</t>
        </is>
      </c>
      <c r="P425" s="12" t="inlineStr"/>
      <c r="Q425" s="12" t="inlineStr"/>
      <c r="R425" s="12" t="inlineStr"/>
      <c r="S425" s="12" t="inlineStr"/>
      <c r="T425" s="12" t="inlineStr"/>
      <c r="U425" s="12" t="inlineStr"/>
      <c r="V425" s="12" t="inlineStr">
        <is>
          <t>Cost Account = CA-2045; WBS Code = 1.2.1</t>
        </is>
      </c>
      <c r="W425" s="12" t="inlineStr"/>
    </row>
    <row r="426" ht="49" customHeight="1">
      <c r="A426" s="12" t="inlineStr">
        <is>
          <t>1.2.1</t>
        </is>
      </c>
      <c r="B426" s="12" t="inlineStr">
        <is>
          <t>Stations - Station Structures</t>
        </is>
      </c>
      <c r="C426" s="12" t="inlineStr">
        <is>
          <t>Cost &amp; Forecast Control Accounts</t>
        </is>
      </c>
      <c r="D426" s="12" t="inlineStr">
        <is>
          <t>CST-02-047</t>
        </is>
      </c>
      <c r="E426" s="12" t="inlineStr">
        <is>
          <t>Stations - station structure - closeout</t>
        </is>
      </c>
      <c r="F426" s="12" t="inlineStr">
        <is>
          <t>ONE_TO_ONE</t>
        </is>
      </c>
      <c r="G426" s="12" t="inlineStr">
        <is>
          <t>APPROVED</t>
        </is>
      </c>
      <c r="H426" s="12" t="inlineStr">
        <is>
          <t>New</t>
        </is>
      </c>
      <c r="I426" s="12" t="inlineStr">
        <is>
          <t>Source assignment -- not individually reviewed</t>
        </is>
      </c>
      <c r="J426" s="12" t="inlineStr"/>
      <c r="K426" s="12" t="inlineStr">
        <is>
          <t>Source assignment</t>
        </is>
      </c>
      <c r="L426" s="12" t="inlineStr"/>
      <c r="M426" s="12" t="inlineStr">
        <is>
          <t>Initial</t>
        </is>
      </c>
      <c r="N426" s="12" t="inlineStr">
        <is>
          <t>Rev 0</t>
        </is>
      </c>
      <c r="O426" s="12" t="inlineStr">
        <is>
          <t>R1209-v1</t>
        </is>
      </c>
      <c r="P426" s="12" t="inlineStr"/>
      <c r="Q426" s="12" t="inlineStr"/>
      <c r="R426" s="12" t="inlineStr"/>
      <c r="S426" s="12" t="inlineStr"/>
      <c r="T426" s="12" t="inlineStr"/>
      <c r="U426" s="12" t="inlineStr"/>
      <c r="V426" s="12" t="inlineStr">
        <is>
          <t>Cost Account = CA-2047; WBS Code = 1.2.1</t>
        </is>
      </c>
      <c r="W426" s="12" t="inlineStr"/>
    </row>
    <row r="427" ht="49" customHeight="1">
      <c r="A427" s="12" t="inlineStr">
        <is>
          <t>1.2.1</t>
        </is>
      </c>
      <c r="B427" s="12" t="inlineStr">
        <is>
          <t>Stations - Station Structures</t>
        </is>
      </c>
      <c r="C427" s="12" t="inlineStr">
        <is>
          <t>Cost &amp; Forecast Control Accounts</t>
        </is>
      </c>
      <c r="D427" s="12" t="inlineStr">
        <is>
          <t>CST-02-049</t>
        </is>
      </c>
      <c r="E427" s="12" t="inlineStr">
        <is>
          <t>Stations - public realm - supply and install</t>
        </is>
      </c>
      <c r="F427" s="12" t="inlineStr">
        <is>
          <t>ONE_TO_ONE</t>
        </is>
      </c>
      <c r="G427" s="12" t="inlineStr">
        <is>
          <t>APPROVED</t>
        </is>
      </c>
      <c r="H427" s="12" t="inlineStr">
        <is>
          <t>New</t>
        </is>
      </c>
      <c r="I427" s="12" t="inlineStr">
        <is>
          <t>Source assignment -- not individually reviewed</t>
        </is>
      </c>
      <c r="J427" s="12" t="inlineStr"/>
      <c r="K427" s="12" t="inlineStr">
        <is>
          <t>Source assignment</t>
        </is>
      </c>
      <c r="L427" s="12" t="inlineStr"/>
      <c r="M427" s="12" t="inlineStr">
        <is>
          <t>Initial</t>
        </is>
      </c>
      <c r="N427" s="12" t="inlineStr">
        <is>
          <t>Rev 0</t>
        </is>
      </c>
      <c r="O427" s="12" t="inlineStr">
        <is>
          <t>R1211-v1</t>
        </is>
      </c>
      <c r="P427" s="12" t="inlineStr"/>
      <c r="Q427" s="12" t="inlineStr"/>
      <c r="R427" s="12" t="inlineStr"/>
      <c r="S427" s="12" t="inlineStr"/>
      <c r="T427" s="12" t="inlineStr"/>
      <c r="U427" s="12" t="inlineStr"/>
      <c r="V427" s="12" t="inlineStr">
        <is>
          <t>Cost Account = CA-2049; WBS Code = 1.2.1</t>
        </is>
      </c>
      <c r="W427" s="12" t="inlineStr"/>
    </row>
    <row r="428" ht="49" customHeight="1">
      <c r="A428" s="12" t="inlineStr">
        <is>
          <t>1.2.1</t>
        </is>
      </c>
      <c r="B428" s="12" t="inlineStr">
        <is>
          <t>Stations - Station Structures</t>
        </is>
      </c>
      <c r="C428" s="12" t="inlineStr">
        <is>
          <t>Cost &amp; Forecast Control Accounts</t>
        </is>
      </c>
      <c r="D428" s="12" t="inlineStr">
        <is>
          <t>CST-02-051</t>
        </is>
      </c>
      <c r="E428" s="12" t="inlineStr">
        <is>
          <t>Stations - building services - allowance</t>
        </is>
      </c>
      <c r="F428" s="12" t="inlineStr">
        <is>
          <t>ONE_TO_ONE</t>
        </is>
      </c>
      <c r="G428" s="12" t="inlineStr">
        <is>
          <t>APPROVED</t>
        </is>
      </c>
      <c r="H428" s="12" t="inlineStr">
        <is>
          <t>New</t>
        </is>
      </c>
      <c r="I428" s="12" t="inlineStr">
        <is>
          <t>Source assignment -- not individually reviewed</t>
        </is>
      </c>
      <c r="J428" s="12" t="inlineStr"/>
      <c r="K428" s="12" t="inlineStr">
        <is>
          <t>Source assignment</t>
        </is>
      </c>
      <c r="L428" s="12" t="inlineStr"/>
      <c r="M428" s="12" t="inlineStr">
        <is>
          <t>Initial</t>
        </is>
      </c>
      <c r="N428" s="12" t="inlineStr">
        <is>
          <t>Rev 0</t>
        </is>
      </c>
      <c r="O428" s="12" t="inlineStr">
        <is>
          <t>R1213-v1</t>
        </is>
      </c>
      <c r="P428" s="12" t="inlineStr"/>
      <c r="Q428" s="12" t="inlineStr"/>
      <c r="R428" s="12" t="inlineStr"/>
      <c r="S428" s="12" t="inlineStr"/>
      <c r="T428" s="12" t="inlineStr"/>
      <c r="U428" s="12" t="inlineStr"/>
      <c r="V428" s="12" t="inlineStr">
        <is>
          <t>Cost Account = CA-2051; WBS Code = 1.2.1</t>
        </is>
      </c>
      <c r="W428" s="12" t="inlineStr"/>
    </row>
    <row r="429" ht="49" customHeight="1">
      <c r="A429" s="12" t="inlineStr">
        <is>
          <t>1.2.1</t>
        </is>
      </c>
      <c r="B429" s="12" t="inlineStr">
        <is>
          <t>Stations - Station Structures</t>
        </is>
      </c>
      <c r="C429" s="12" t="inlineStr">
        <is>
          <t>Cost &amp; Forecast Control Accounts</t>
        </is>
      </c>
      <c r="D429" s="12" t="inlineStr">
        <is>
          <t>CST-02-053</t>
        </is>
      </c>
      <c r="E429" s="12" t="inlineStr">
        <is>
          <t>Stations - station structure - field package</t>
        </is>
      </c>
      <c r="F429" s="12" t="inlineStr">
        <is>
          <t>ONE_TO_ONE</t>
        </is>
      </c>
      <c r="G429" s="12" t="inlineStr">
        <is>
          <t>APPROVED</t>
        </is>
      </c>
      <c r="H429" s="12" t="inlineStr">
        <is>
          <t>New</t>
        </is>
      </c>
      <c r="I429" s="12" t="inlineStr">
        <is>
          <t>Source assignment -- not individually reviewed</t>
        </is>
      </c>
      <c r="J429" s="12" t="inlineStr"/>
      <c r="K429" s="12" t="inlineStr">
        <is>
          <t>Source assignment</t>
        </is>
      </c>
      <c r="L429" s="12" t="inlineStr"/>
      <c r="M429" s="12" t="inlineStr">
        <is>
          <t>Initial</t>
        </is>
      </c>
      <c r="N429" s="12" t="inlineStr">
        <is>
          <t>Rev 0</t>
        </is>
      </c>
      <c r="O429" s="12" t="inlineStr">
        <is>
          <t>R1215-v1</t>
        </is>
      </c>
      <c r="P429" s="12" t="inlineStr"/>
      <c r="Q429" s="12" t="inlineStr"/>
      <c r="R429" s="12" t="inlineStr"/>
      <c r="S429" s="12" t="inlineStr"/>
      <c r="T429" s="12" t="inlineStr"/>
      <c r="U429" s="12" t="inlineStr"/>
      <c r="V429" s="12" t="inlineStr">
        <is>
          <t>Cost Account = CA-2053; WBS Code = 1.2.1</t>
        </is>
      </c>
      <c r="W429" s="12" t="inlineStr"/>
    </row>
    <row r="430" ht="49" customHeight="1">
      <c r="A430" s="12" t="inlineStr">
        <is>
          <t>1.2.1</t>
        </is>
      </c>
      <c r="B430" s="12" t="inlineStr">
        <is>
          <t>Stations - Station Structures</t>
        </is>
      </c>
      <c r="C430" s="12" t="inlineStr">
        <is>
          <t>Cost &amp; Forecast Control Accounts</t>
        </is>
      </c>
      <c r="D430" s="12" t="inlineStr">
        <is>
          <t>CST-02-055</t>
        </is>
      </c>
      <c r="E430" s="12" t="inlineStr">
        <is>
          <t>Stations - public realm - professional services</t>
        </is>
      </c>
      <c r="F430" s="12" t="inlineStr">
        <is>
          <t>ONE_TO_ONE</t>
        </is>
      </c>
      <c r="G430" s="12" t="inlineStr">
        <is>
          <t>APPROVED</t>
        </is>
      </c>
      <c r="H430" s="12" t="inlineStr">
        <is>
          <t>New</t>
        </is>
      </c>
      <c r="I430" s="12" t="inlineStr">
        <is>
          <t>Source assignment -- not individually reviewed</t>
        </is>
      </c>
      <c r="J430" s="12" t="inlineStr"/>
      <c r="K430" s="12" t="inlineStr">
        <is>
          <t>Source assignment</t>
        </is>
      </c>
      <c r="L430" s="12" t="inlineStr"/>
      <c r="M430" s="12" t="inlineStr">
        <is>
          <t>Initial</t>
        </is>
      </c>
      <c r="N430" s="12" t="inlineStr">
        <is>
          <t>Rev 0</t>
        </is>
      </c>
      <c r="O430" s="12" t="inlineStr">
        <is>
          <t>R1217-v1</t>
        </is>
      </c>
      <c r="P430" s="12" t="inlineStr"/>
      <c r="Q430" s="12" t="inlineStr"/>
      <c r="R430" s="12" t="inlineStr"/>
      <c r="S430" s="12" t="inlineStr"/>
      <c r="T430" s="12" t="inlineStr"/>
      <c r="U430" s="12" t="inlineStr"/>
      <c r="V430" s="12" t="inlineStr">
        <is>
          <t>Cost Account = CA-2055; WBS Code = 1.2.1</t>
        </is>
      </c>
      <c r="W430" s="12" t="inlineStr"/>
    </row>
    <row r="431" ht="49" customHeight="1">
      <c r="A431" s="12" t="inlineStr">
        <is>
          <t>1.2.1</t>
        </is>
      </c>
      <c r="B431" s="12" t="inlineStr">
        <is>
          <t>Stations - Station Structures</t>
        </is>
      </c>
      <c r="C431" s="12" t="inlineStr">
        <is>
          <t>Cost &amp; Forecast Control Accounts</t>
        </is>
      </c>
      <c r="D431" s="12" t="inlineStr">
        <is>
          <t>CST-02-057</t>
        </is>
      </c>
      <c r="E431" s="12" t="inlineStr">
        <is>
          <t>Stations - building services - closeout</t>
        </is>
      </c>
      <c r="F431" s="12" t="inlineStr">
        <is>
          <t>ONE_TO_ONE</t>
        </is>
      </c>
      <c r="G431" s="12" t="inlineStr">
        <is>
          <t>APPROVED</t>
        </is>
      </c>
      <c r="H431" s="12" t="inlineStr">
        <is>
          <t>New</t>
        </is>
      </c>
      <c r="I431" s="12" t="inlineStr">
        <is>
          <t>Source assignment -- not individually reviewed</t>
        </is>
      </c>
      <c r="J431" s="12" t="inlineStr"/>
      <c r="K431" s="12" t="inlineStr">
        <is>
          <t>Source assignment</t>
        </is>
      </c>
      <c r="L431" s="12" t="inlineStr"/>
      <c r="M431" s="12" t="inlineStr">
        <is>
          <t>Initial</t>
        </is>
      </c>
      <c r="N431" s="12" t="inlineStr">
        <is>
          <t>Rev 0</t>
        </is>
      </c>
      <c r="O431" s="12" t="inlineStr">
        <is>
          <t>R1219-v1</t>
        </is>
      </c>
      <c r="P431" s="12" t="inlineStr"/>
      <c r="Q431" s="12" t="inlineStr"/>
      <c r="R431" s="12" t="inlineStr"/>
      <c r="S431" s="12" t="inlineStr"/>
      <c r="T431" s="12" t="inlineStr"/>
      <c r="U431" s="12" t="inlineStr"/>
      <c r="V431" s="12" t="inlineStr">
        <is>
          <t>Cost Account = CA-2057; WBS Code = 1.2.1</t>
        </is>
      </c>
      <c r="W431" s="12" t="inlineStr"/>
    </row>
    <row r="432" ht="49" customHeight="1">
      <c r="A432" s="12" t="inlineStr">
        <is>
          <t>1.2.1</t>
        </is>
      </c>
      <c r="B432" s="12" t="inlineStr">
        <is>
          <t>Stations - Station Structures</t>
        </is>
      </c>
      <c r="C432" s="12" t="inlineStr">
        <is>
          <t>Cost &amp; Forecast Control Accounts</t>
        </is>
      </c>
      <c r="D432" s="12" t="inlineStr">
        <is>
          <t>CST-02-059</t>
        </is>
      </c>
      <c r="E432" s="12" t="inlineStr">
        <is>
          <t>Stations - station structure - supply and install</t>
        </is>
      </c>
      <c r="F432" s="12" t="inlineStr">
        <is>
          <t>ONE_TO_ONE</t>
        </is>
      </c>
      <c r="G432" s="12" t="inlineStr">
        <is>
          <t>APPROVED</t>
        </is>
      </c>
      <c r="H432" s="12" t="inlineStr">
        <is>
          <t>New</t>
        </is>
      </c>
      <c r="I432" s="12" t="inlineStr">
        <is>
          <t>Source assignment -- not individually reviewed</t>
        </is>
      </c>
      <c r="J432" s="12" t="inlineStr"/>
      <c r="K432" s="12" t="inlineStr">
        <is>
          <t>Source assignment</t>
        </is>
      </c>
      <c r="L432" s="12" t="inlineStr"/>
      <c r="M432" s="12" t="inlineStr">
        <is>
          <t>Initial</t>
        </is>
      </c>
      <c r="N432" s="12" t="inlineStr">
        <is>
          <t>Rev 0</t>
        </is>
      </c>
      <c r="O432" s="12" t="inlineStr">
        <is>
          <t>R1221-v1</t>
        </is>
      </c>
      <c r="P432" s="12" t="inlineStr"/>
      <c r="Q432" s="12" t="inlineStr"/>
      <c r="R432" s="12" t="inlineStr"/>
      <c r="S432" s="12" t="inlineStr"/>
      <c r="T432" s="12" t="inlineStr"/>
      <c r="U432" s="12" t="inlineStr"/>
      <c r="V432" s="12" t="inlineStr">
        <is>
          <t>Cost Account = CA-2059; WBS Code = 1.2.1</t>
        </is>
      </c>
      <c r="W432" s="12" t="inlineStr"/>
    </row>
    <row r="433" ht="49" customHeight="1">
      <c r="A433" s="12" t="inlineStr">
        <is>
          <t>1.2.1</t>
        </is>
      </c>
      <c r="B433" s="12" t="inlineStr">
        <is>
          <t>Stations - Station Structures</t>
        </is>
      </c>
      <c r="C433" s="12" t="inlineStr">
        <is>
          <t>Cost &amp; Forecast Control Accounts</t>
        </is>
      </c>
      <c r="D433" s="12" t="inlineStr">
        <is>
          <t>CST-02-061</t>
        </is>
      </c>
      <c r="E433" s="12" t="inlineStr">
        <is>
          <t>Stations - public realm - allowance</t>
        </is>
      </c>
      <c r="F433" s="12" t="inlineStr">
        <is>
          <t>ONE_TO_ONE</t>
        </is>
      </c>
      <c r="G433" s="12" t="inlineStr">
        <is>
          <t>APPROVED</t>
        </is>
      </c>
      <c r="H433" s="12" t="inlineStr">
        <is>
          <t>New</t>
        </is>
      </c>
      <c r="I433" s="12" t="inlineStr">
        <is>
          <t>Source assignment -- not individually reviewed</t>
        </is>
      </c>
      <c r="J433" s="12" t="inlineStr"/>
      <c r="K433" s="12" t="inlineStr">
        <is>
          <t>Source assignment</t>
        </is>
      </c>
      <c r="L433" s="12" t="inlineStr"/>
      <c r="M433" s="12" t="inlineStr">
        <is>
          <t>Initial</t>
        </is>
      </c>
      <c r="N433" s="12" t="inlineStr">
        <is>
          <t>Rev 0</t>
        </is>
      </c>
      <c r="O433" s="12" t="inlineStr">
        <is>
          <t>R1223-v1</t>
        </is>
      </c>
      <c r="P433" s="12" t="inlineStr"/>
      <c r="Q433" s="12" t="inlineStr"/>
      <c r="R433" s="12" t="inlineStr"/>
      <c r="S433" s="12" t="inlineStr"/>
      <c r="T433" s="12" t="inlineStr"/>
      <c r="U433" s="12" t="inlineStr"/>
      <c r="V433" s="12" t="inlineStr">
        <is>
          <t>Cost Account = CA-2061; WBS Code = 1.2.1</t>
        </is>
      </c>
      <c r="W433" s="12" t="inlineStr"/>
    </row>
    <row r="434" ht="49" customHeight="1">
      <c r="A434" s="12" t="inlineStr">
        <is>
          <t>1.2.1</t>
        </is>
      </c>
      <c r="B434" s="12" t="inlineStr">
        <is>
          <t>Stations - Station Structures</t>
        </is>
      </c>
      <c r="C434" s="12" t="inlineStr">
        <is>
          <t>Cost &amp; Forecast Control Accounts</t>
        </is>
      </c>
      <c r="D434" s="12" t="inlineStr">
        <is>
          <t>CST-02-063</t>
        </is>
      </c>
      <c r="E434" s="12" t="inlineStr">
        <is>
          <t>Stations - building services - field package</t>
        </is>
      </c>
      <c r="F434" s="12" t="inlineStr">
        <is>
          <t>ONE_TO_ONE</t>
        </is>
      </c>
      <c r="G434" s="12" t="inlineStr">
        <is>
          <t>APPROVED</t>
        </is>
      </c>
      <c r="H434" s="12" t="inlineStr">
        <is>
          <t>New</t>
        </is>
      </c>
      <c r="I434" s="12" t="inlineStr">
        <is>
          <t>Source assignment -- not individually reviewed</t>
        </is>
      </c>
      <c r="J434" s="12" t="inlineStr"/>
      <c r="K434" s="12" t="inlineStr">
        <is>
          <t>Source assignment</t>
        </is>
      </c>
      <c r="L434" s="12" t="inlineStr"/>
      <c r="M434" s="12" t="inlineStr">
        <is>
          <t>Initial</t>
        </is>
      </c>
      <c r="N434" s="12" t="inlineStr">
        <is>
          <t>Rev 0</t>
        </is>
      </c>
      <c r="O434" s="12" t="inlineStr">
        <is>
          <t>R1225-v1</t>
        </is>
      </c>
      <c r="P434" s="12" t="inlineStr"/>
      <c r="Q434" s="12" t="inlineStr"/>
      <c r="R434" s="12" t="inlineStr"/>
      <c r="S434" s="12" t="inlineStr"/>
      <c r="T434" s="12" t="inlineStr"/>
      <c r="U434" s="12" t="inlineStr"/>
      <c r="V434" s="12" t="inlineStr">
        <is>
          <t>Cost Account = CA-2063; WBS Code = 1.2.1</t>
        </is>
      </c>
      <c r="W434" s="12" t="inlineStr"/>
    </row>
    <row r="435" ht="49" customHeight="1">
      <c r="A435" s="12" t="inlineStr">
        <is>
          <t>1.2.1</t>
        </is>
      </c>
      <c r="B435" s="12" t="inlineStr">
        <is>
          <t>Stations - Station Structures</t>
        </is>
      </c>
      <c r="C435" s="12" t="inlineStr">
        <is>
          <t>Cost &amp; Forecast Control Accounts</t>
        </is>
      </c>
      <c r="D435" s="12" t="inlineStr">
        <is>
          <t>CST-02-065</t>
        </is>
      </c>
      <c r="E435" s="12" t="inlineStr">
        <is>
          <t>Stations - station structure - professional services</t>
        </is>
      </c>
      <c r="F435" s="12" t="inlineStr">
        <is>
          <t>ONE_TO_ONE</t>
        </is>
      </c>
      <c r="G435" s="12" t="inlineStr">
        <is>
          <t>APPROVED</t>
        </is>
      </c>
      <c r="H435" s="12" t="inlineStr">
        <is>
          <t>New</t>
        </is>
      </c>
      <c r="I435" s="12" t="inlineStr">
        <is>
          <t>Source assignment -- not individually reviewed</t>
        </is>
      </c>
      <c r="J435" s="12" t="inlineStr"/>
      <c r="K435" s="12" t="inlineStr">
        <is>
          <t>Source assignment</t>
        </is>
      </c>
      <c r="L435" s="12" t="inlineStr"/>
      <c r="M435" s="12" t="inlineStr">
        <is>
          <t>Initial</t>
        </is>
      </c>
      <c r="N435" s="12" t="inlineStr">
        <is>
          <t>Rev 0</t>
        </is>
      </c>
      <c r="O435" s="12" t="inlineStr">
        <is>
          <t>R1227-v1</t>
        </is>
      </c>
      <c r="P435" s="12" t="inlineStr"/>
      <c r="Q435" s="12" t="inlineStr"/>
      <c r="R435" s="12" t="inlineStr"/>
      <c r="S435" s="12" t="inlineStr"/>
      <c r="T435" s="12" t="inlineStr"/>
      <c r="U435" s="12" t="inlineStr"/>
      <c r="V435" s="12" t="inlineStr">
        <is>
          <t>Cost Account = CA-2065; WBS Code = 1.2.1</t>
        </is>
      </c>
      <c r="W435" s="12" t="inlineStr"/>
    </row>
    <row r="436" ht="49" customHeight="1">
      <c r="A436" s="12" t="inlineStr">
        <is>
          <t>1.2.1</t>
        </is>
      </c>
      <c r="B436" s="12" t="inlineStr">
        <is>
          <t>Stations - Station Structures</t>
        </is>
      </c>
      <c r="C436" s="12" t="inlineStr">
        <is>
          <t>Cost &amp; Forecast Control Accounts</t>
        </is>
      </c>
      <c r="D436" s="12" t="inlineStr">
        <is>
          <t>CST-02-067</t>
        </is>
      </c>
      <c r="E436" s="12" t="inlineStr">
        <is>
          <t>Stations - public realm - closeout</t>
        </is>
      </c>
      <c r="F436" s="12" t="inlineStr">
        <is>
          <t>ONE_TO_ONE</t>
        </is>
      </c>
      <c r="G436" s="12" t="inlineStr">
        <is>
          <t>APPROVED</t>
        </is>
      </c>
      <c r="H436" s="12" t="inlineStr">
        <is>
          <t>New</t>
        </is>
      </c>
      <c r="I436" s="12" t="inlineStr">
        <is>
          <t>Source assignment -- not individually reviewed</t>
        </is>
      </c>
      <c r="J436" s="12" t="inlineStr"/>
      <c r="K436" s="12" t="inlineStr">
        <is>
          <t>Source assignment</t>
        </is>
      </c>
      <c r="L436" s="12" t="inlineStr"/>
      <c r="M436" s="12" t="inlineStr">
        <is>
          <t>Initial</t>
        </is>
      </c>
      <c r="N436" s="12" t="inlineStr">
        <is>
          <t>Rev 0</t>
        </is>
      </c>
      <c r="O436" s="12" t="inlineStr">
        <is>
          <t>R1229-v1</t>
        </is>
      </c>
      <c r="P436" s="12" t="inlineStr"/>
      <c r="Q436" s="12" t="inlineStr"/>
      <c r="R436" s="12" t="inlineStr"/>
      <c r="S436" s="12" t="inlineStr"/>
      <c r="T436" s="12" t="inlineStr"/>
      <c r="U436" s="12" t="inlineStr"/>
      <c r="V436" s="12" t="inlineStr">
        <is>
          <t>Cost Account = CA-2067; WBS Code = 1.2.1</t>
        </is>
      </c>
      <c r="W436" s="12" t="inlineStr"/>
    </row>
    <row r="437" ht="49" customHeight="1">
      <c r="A437" s="12" t="inlineStr">
        <is>
          <t>1.2.1</t>
        </is>
      </c>
      <c r="B437" s="12" t="inlineStr">
        <is>
          <t>Stations - Station Structures</t>
        </is>
      </c>
      <c r="C437" s="12" t="inlineStr">
        <is>
          <t>Cost &amp; Forecast Control Accounts</t>
        </is>
      </c>
      <c r="D437" s="12" t="inlineStr">
        <is>
          <t>CST-02-069</t>
        </is>
      </c>
      <c r="E437" s="12" t="inlineStr">
        <is>
          <t>Stations - building services - supply and install</t>
        </is>
      </c>
      <c r="F437" s="12" t="inlineStr">
        <is>
          <t>ONE_TO_ONE</t>
        </is>
      </c>
      <c r="G437" s="12" t="inlineStr">
        <is>
          <t>APPROVED</t>
        </is>
      </c>
      <c r="H437" s="12" t="inlineStr">
        <is>
          <t>New</t>
        </is>
      </c>
      <c r="I437" s="12" t="inlineStr">
        <is>
          <t>Source assignment -- not individually reviewed</t>
        </is>
      </c>
      <c r="J437" s="12" t="inlineStr"/>
      <c r="K437" s="12" t="inlineStr">
        <is>
          <t>Source assignment</t>
        </is>
      </c>
      <c r="L437" s="12" t="inlineStr"/>
      <c r="M437" s="12" t="inlineStr">
        <is>
          <t>Initial</t>
        </is>
      </c>
      <c r="N437" s="12" t="inlineStr">
        <is>
          <t>Rev 0</t>
        </is>
      </c>
      <c r="O437" s="12" t="inlineStr">
        <is>
          <t>R1231-v1</t>
        </is>
      </c>
      <c r="P437" s="12" t="inlineStr"/>
      <c r="Q437" s="12" t="inlineStr"/>
      <c r="R437" s="12" t="inlineStr"/>
      <c r="S437" s="12" t="inlineStr"/>
      <c r="T437" s="12" t="inlineStr"/>
      <c r="U437" s="12" t="inlineStr"/>
      <c r="V437" s="12" t="inlineStr">
        <is>
          <t>Cost Account = CA-2069; WBS Code = 1.2.1</t>
        </is>
      </c>
      <c r="W437" s="12" t="inlineStr"/>
    </row>
    <row r="438" ht="49" customHeight="1">
      <c r="A438" s="12" t="inlineStr">
        <is>
          <t>1.2.1</t>
        </is>
      </c>
      <c r="B438" s="12" t="inlineStr">
        <is>
          <t>Stations - Station Structures</t>
        </is>
      </c>
      <c r="C438" s="12" t="inlineStr">
        <is>
          <t>Cost &amp; Forecast Control Accounts</t>
        </is>
      </c>
      <c r="D438" s="12" t="inlineStr">
        <is>
          <t>CST-02-071</t>
        </is>
      </c>
      <c r="E438" s="12" t="inlineStr">
        <is>
          <t>Stations - station structure - allowance</t>
        </is>
      </c>
      <c r="F438" s="12" t="inlineStr">
        <is>
          <t>ONE_TO_ONE</t>
        </is>
      </c>
      <c r="G438" s="12" t="inlineStr">
        <is>
          <t>APPROVED</t>
        </is>
      </c>
      <c r="H438" s="12" t="inlineStr">
        <is>
          <t>New</t>
        </is>
      </c>
      <c r="I438" s="12" t="inlineStr">
        <is>
          <t>Source assignment -- not individually reviewed</t>
        </is>
      </c>
      <c r="J438" s="12" t="inlineStr"/>
      <c r="K438" s="12" t="inlineStr">
        <is>
          <t>Source assignment</t>
        </is>
      </c>
      <c r="L438" s="12" t="inlineStr"/>
      <c r="M438" s="12" t="inlineStr">
        <is>
          <t>Initial</t>
        </is>
      </c>
      <c r="N438" s="12" t="inlineStr">
        <is>
          <t>Rev 0</t>
        </is>
      </c>
      <c r="O438" s="12" t="inlineStr">
        <is>
          <t>R1233-v1</t>
        </is>
      </c>
      <c r="P438" s="12" t="inlineStr"/>
      <c r="Q438" s="12" t="inlineStr"/>
      <c r="R438" s="12" t="inlineStr"/>
      <c r="S438" s="12" t="inlineStr"/>
      <c r="T438" s="12" t="inlineStr"/>
      <c r="U438" s="12" t="inlineStr"/>
      <c r="V438" s="12" t="inlineStr">
        <is>
          <t>Cost Account = CA-2071; WBS Code = 1.2.1</t>
        </is>
      </c>
      <c r="W438" s="12" t="inlineStr"/>
    </row>
    <row r="439" ht="49" customHeight="1">
      <c r="A439" s="12" t="inlineStr">
        <is>
          <t>1.2.1</t>
        </is>
      </c>
      <c r="B439" s="12" t="inlineStr">
        <is>
          <t>Stations - Station Structures</t>
        </is>
      </c>
      <c r="C439" s="12" t="inlineStr">
        <is>
          <t>Cost &amp; Forecast Control Accounts</t>
        </is>
      </c>
      <c r="D439" s="12" t="inlineStr">
        <is>
          <t>CST-02-073</t>
        </is>
      </c>
      <c r="E439" s="12" t="inlineStr">
        <is>
          <t>Stations - public realm - field package</t>
        </is>
      </c>
      <c r="F439" s="12" t="inlineStr">
        <is>
          <t>ONE_TO_ONE</t>
        </is>
      </c>
      <c r="G439" s="12" t="inlineStr">
        <is>
          <t>APPROVED</t>
        </is>
      </c>
      <c r="H439" s="12" t="inlineStr">
        <is>
          <t>New</t>
        </is>
      </c>
      <c r="I439" s="12" t="inlineStr">
        <is>
          <t>Source assignment -- not individually reviewed</t>
        </is>
      </c>
      <c r="J439" s="12" t="inlineStr"/>
      <c r="K439" s="12" t="inlineStr">
        <is>
          <t>Source assignment</t>
        </is>
      </c>
      <c r="L439" s="12" t="inlineStr"/>
      <c r="M439" s="12" t="inlineStr">
        <is>
          <t>Initial</t>
        </is>
      </c>
      <c r="N439" s="12" t="inlineStr">
        <is>
          <t>Rev 0</t>
        </is>
      </c>
      <c r="O439" s="12" t="inlineStr">
        <is>
          <t>R1235-v1</t>
        </is>
      </c>
      <c r="P439" s="12" t="inlineStr"/>
      <c r="Q439" s="12" t="inlineStr"/>
      <c r="R439" s="12" t="inlineStr"/>
      <c r="S439" s="12" t="inlineStr"/>
      <c r="T439" s="12" t="inlineStr"/>
      <c r="U439" s="12" t="inlineStr"/>
      <c r="V439" s="12" t="inlineStr">
        <is>
          <t>Cost Account = CA-2073; WBS Code = 1.2.1</t>
        </is>
      </c>
      <c r="W439" s="12" t="inlineStr"/>
    </row>
    <row r="440" ht="49" customHeight="1">
      <c r="A440" s="12" t="inlineStr">
        <is>
          <t>1.2.1</t>
        </is>
      </c>
      <c r="B440" s="12" t="inlineStr">
        <is>
          <t>Stations - Station Structures</t>
        </is>
      </c>
      <c r="C440" s="12" t="inlineStr">
        <is>
          <t>Cost &amp; Forecast Control Accounts</t>
        </is>
      </c>
      <c r="D440" s="12" t="inlineStr">
        <is>
          <t>CST-02-075</t>
        </is>
      </c>
      <c r="E440" s="12" t="inlineStr">
        <is>
          <t>Stations - building services - professional services</t>
        </is>
      </c>
      <c r="F440" s="12" t="inlineStr">
        <is>
          <t>ONE_TO_ONE</t>
        </is>
      </c>
      <c r="G440" s="12" t="inlineStr">
        <is>
          <t>APPROVED</t>
        </is>
      </c>
      <c r="H440" s="12" t="inlineStr">
        <is>
          <t>New</t>
        </is>
      </c>
      <c r="I440" s="12" t="inlineStr">
        <is>
          <t>Source assignment -- not individually reviewed</t>
        </is>
      </c>
      <c r="J440" s="12" t="inlineStr"/>
      <c r="K440" s="12" t="inlineStr">
        <is>
          <t>Source assignment</t>
        </is>
      </c>
      <c r="L440" s="12" t="inlineStr"/>
      <c r="M440" s="12" t="inlineStr">
        <is>
          <t>Initial</t>
        </is>
      </c>
      <c r="N440" s="12" t="inlineStr">
        <is>
          <t>Rev 0</t>
        </is>
      </c>
      <c r="O440" s="12" t="inlineStr">
        <is>
          <t>R1237-v1</t>
        </is>
      </c>
      <c r="P440" s="12" t="inlineStr"/>
      <c r="Q440" s="12" t="inlineStr"/>
      <c r="R440" s="12" t="inlineStr"/>
      <c r="S440" s="12" t="inlineStr"/>
      <c r="T440" s="12" t="inlineStr"/>
      <c r="U440" s="12" t="inlineStr"/>
      <c r="V440" s="12" t="inlineStr">
        <is>
          <t>Cost Account = CA-2075; WBS Code = 1.2.1</t>
        </is>
      </c>
      <c r="W440" s="12" t="inlineStr"/>
    </row>
    <row r="441" ht="49" customHeight="1">
      <c r="A441" s="12" t="inlineStr">
        <is>
          <t>1.2.1</t>
        </is>
      </c>
      <c r="B441" s="12" t="inlineStr">
        <is>
          <t>Stations - Station Structures</t>
        </is>
      </c>
      <c r="C441" s="12" t="inlineStr">
        <is>
          <t>Cost &amp; Forecast Control Accounts</t>
        </is>
      </c>
      <c r="D441" s="12" t="inlineStr">
        <is>
          <t>CST-02-077</t>
        </is>
      </c>
      <c r="E441" s="12" t="inlineStr">
        <is>
          <t>Stations - station structure - closeout</t>
        </is>
      </c>
      <c r="F441" s="12" t="inlineStr">
        <is>
          <t>ONE_TO_ONE</t>
        </is>
      </c>
      <c r="G441" s="12" t="inlineStr">
        <is>
          <t>APPROVED</t>
        </is>
      </c>
      <c r="H441" s="12" t="inlineStr">
        <is>
          <t>New</t>
        </is>
      </c>
      <c r="I441" s="12" t="inlineStr">
        <is>
          <t>Source assignment -- not individually reviewed</t>
        </is>
      </c>
      <c r="J441" s="12" t="inlineStr"/>
      <c r="K441" s="12" t="inlineStr">
        <is>
          <t>Source assignment</t>
        </is>
      </c>
      <c r="L441" s="12" t="inlineStr"/>
      <c r="M441" s="12" t="inlineStr">
        <is>
          <t>Initial</t>
        </is>
      </c>
      <c r="N441" s="12" t="inlineStr">
        <is>
          <t>Rev 0</t>
        </is>
      </c>
      <c r="O441" s="12" t="inlineStr">
        <is>
          <t>R1239-v1</t>
        </is>
      </c>
      <c r="P441" s="12" t="inlineStr"/>
      <c r="Q441" s="12" t="inlineStr"/>
      <c r="R441" s="12" t="inlineStr"/>
      <c r="S441" s="12" t="inlineStr"/>
      <c r="T441" s="12" t="inlineStr"/>
      <c r="U441" s="12" t="inlineStr"/>
      <c r="V441" s="12" t="inlineStr">
        <is>
          <t>Cost Account = CA-2077; WBS Code = 1.2.1</t>
        </is>
      </c>
      <c r="W441" s="12" t="inlineStr"/>
    </row>
    <row r="442" ht="49" customHeight="1">
      <c r="A442" s="12" t="inlineStr">
        <is>
          <t>1.2.1</t>
        </is>
      </c>
      <c r="B442" s="12" t="inlineStr">
        <is>
          <t>Stations - Station Structures</t>
        </is>
      </c>
      <c r="C442" s="12" t="inlineStr">
        <is>
          <t>Cost &amp; Forecast Control Accounts</t>
        </is>
      </c>
      <c r="D442" s="12" t="inlineStr">
        <is>
          <t>CST-02-079</t>
        </is>
      </c>
      <c r="E442" s="12" t="inlineStr">
        <is>
          <t>Stations - public realm - supply and install</t>
        </is>
      </c>
      <c r="F442" s="12" t="inlineStr">
        <is>
          <t>ONE_TO_ONE</t>
        </is>
      </c>
      <c r="G442" s="12" t="inlineStr">
        <is>
          <t>APPROVED</t>
        </is>
      </c>
      <c r="H442" s="12" t="inlineStr">
        <is>
          <t>New</t>
        </is>
      </c>
      <c r="I442" s="12" t="inlineStr">
        <is>
          <t>Source assignment -- not individually reviewed</t>
        </is>
      </c>
      <c r="J442" s="12" t="inlineStr"/>
      <c r="K442" s="12" t="inlineStr">
        <is>
          <t>Source assignment</t>
        </is>
      </c>
      <c r="L442" s="12" t="inlineStr"/>
      <c r="M442" s="12" t="inlineStr">
        <is>
          <t>Initial</t>
        </is>
      </c>
      <c r="N442" s="12" t="inlineStr">
        <is>
          <t>Rev 0</t>
        </is>
      </c>
      <c r="O442" s="12" t="inlineStr">
        <is>
          <t>R1241-v1</t>
        </is>
      </c>
      <c r="P442" s="12" t="inlineStr"/>
      <c r="Q442" s="12" t="inlineStr"/>
      <c r="R442" s="12" t="inlineStr"/>
      <c r="S442" s="12" t="inlineStr"/>
      <c r="T442" s="12" t="inlineStr"/>
      <c r="U442" s="12" t="inlineStr"/>
      <c r="V442" s="12" t="inlineStr">
        <is>
          <t>Cost Account = CA-2079; WBS Code = 1.2.1</t>
        </is>
      </c>
      <c r="W442" s="12" t="inlineStr"/>
    </row>
    <row r="443" ht="49" customHeight="1">
      <c r="A443" s="12" t="inlineStr">
        <is>
          <t>1.2.2</t>
        </is>
      </c>
      <c r="B443" s="12" t="inlineStr">
        <is>
          <t>Stations - Architectural Fit-Out</t>
        </is>
      </c>
      <c r="C443" s="12" t="inlineStr">
        <is>
          <t>Contractor Programme</t>
        </is>
      </c>
      <c r="D443" s="12" t="inlineStr">
        <is>
          <t>SCH-02-006</t>
        </is>
      </c>
      <c r="E443" s="12" t="inlineStr">
        <is>
          <t>Harbour Station: station ventilation rough-in - inspection</t>
        </is>
      </c>
      <c r="F443" s="12" t="inlineStr">
        <is>
          <t>ONE_TO_ONE</t>
        </is>
      </c>
      <c r="G443" s="12" t="inlineStr">
        <is>
          <t>APPROVED</t>
        </is>
      </c>
      <c r="H443" s="12" t="inlineStr">
        <is>
          <t>New</t>
        </is>
      </c>
      <c r="I443" s="12" t="inlineStr">
        <is>
          <t>Source assignment -- not individually reviewed</t>
        </is>
      </c>
      <c r="J443" s="12" t="inlineStr"/>
      <c r="K443" s="12" t="inlineStr">
        <is>
          <t>Source assignment</t>
        </is>
      </c>
      <c r="L443" s="12" t="inlineStr"/>
      <c r="M443" s="12" t="inlineStr">
        <is>
          <t>Initial</t>
        </is>
      </c>
      <c r="N443" s="12" t="inlineStr">
        <is>
          <t>Rev 0</t>
        </is>
      </c>
      <c r="O443" s="12" t="inlineStr">
        <is>
          <t>R186-v1</t>
        </is>
      </c>
      <c r="P443" s="12" t="inlineStr"/>
      <c r="Q443" s="12" t="inlineStr"/>
      <c r="R443" s="12" t="inlineStr"/>
      <c r="S443" s="12" t="inlineStr"/>
      <c r="T443" s="12" t="inlineStr"/>
      <c r="U443" s="12" t="inlineStr"/>
      <c r="V443" s="12" t="inlineStr">
        <is>
          <t>WBS Code = 1.2.2</t>
        </is>
      </c>
      <c r="W443" s="12" t="inlineStr"/>
    </row>
    <row r="444" ht="49" customHeight="1">
      <c r="A444" s="12" t="inlineStr">
        <is>
          <t>1.2.2</t>
        </is>
      </c>
      <c r="B444" s="12" t="inlineStr">
        <is>
          <t>Stations - Architectural Fit-Out</t>
        </is>
      </c>
      <c r="C444" s="12" t="inlineStr">
        <is>
          <t>Contractor Programme</t>
        </is>
      </c>
      <c r="D444" s="12" t="inlineStr">
        <is>
          <t>SCH-02-009</t>
        </is>
      </c>
      <c r="E444" s="12" t="inlineStr">
        <is>
          <t>University Station: vertical-transport installation - field start</t>
        </is>
      </c>
      <c r="F444" s="12" t="inlineStr">
        <is>
          <t>ONE_TO_ONE</t>
        </is>
      </c>
      <c r="G444" s="12" t="inlineStr">
        <is>
          <t>APPROVED</t>
        </is>
      </c>
      <c r="H444" s="12" t="inlineStr">
        <is>
          <t>New</t>
        </is>
      </c>
      <c r="I444" s="12" t="inlineStr">
        <is>
          <t>Source assignment -- not individually reviewed</t>
        </is>
      </c>
      <c r="J444" s="12" t="inlineStr"/>
      <c r="K444" s="12" t="inlineStr">
        <is>
          <t>Source assignment</t>
        </is>
      </c>
      <c r="L444" s="12" t="inlineStr"/>
      <c r="M444" s="12" t="inlineStr">
        <is>
          <t>Initial</t>
        </is>
      </c>
      <c r="N444" s="12" t="inlineStr">
        <is>
          <t>Rev 0</t>
        </is>
      </c>
      <c r="O444" s="12" t="inlineStr">
        <is>
          <t>R189-v1</t>
        </is>
      </c>
      <c r="P444" s="12" t="inlineStr"/>
      <c r="Q444" s="12" t="inlineStr"/>
      <c r="R444" s="12" t="inlineStr"/>
      <c r="S444" s="12" t="inlineStr"/>
      <c r="T444" s="12" t="inlineStr"/>
      <c r="U444" s="12" t="inlineStr"/>
      <c r="V444" s="12" t="inlineStr">
        <is>
          <t>WBS Code = 1.2.2</t>
        </is>
      </c>
      <c r="W444" s="12" t="inlineStr"/>
    </row>
    <row r="445" ht="49" customHeight="1">
      <c r="A445" s="12" t="inlineStr">
        <is>
          <t>1.2.2</t>
        </is>
      </c>
      <c r="B445" s="12" t="inlineStr">
        <is>
          <t>Stations - Architectural Fit-Out</t>
        </is>
      </c>
      <c r="C445" s="12" t="inlineStr">
        <is>
          <t>Contractor Programme</t>
        </is>
      </c>
      <c r="D445" s="12" t="inlineStr">
        <is>
          <t>SCH-02-012</t>
        </is>
      </c>
      <c r="E445" s="12" t="inlineStr">
        <is>
          <t>Market Station: fire-life-safety cabling - turnover</t>
        </is>
      </c>
      <c r="F445" s="12" t="inlineStr">
        <is>
          <t>ONE_TO_ONE</t>
        </is>
      </c>
      <c r="G445" s="12" t="inlineStr">
        <is>
          <t>APPROVED</t>
        </is>
      </c>
      <c r="H445" s="12" t="inlineStr">
        <is>
          <t>New</t>
        </is>
      </c>
      <c r="I445" s="12" t="inlineStr">
        <is>
          <t>Source assignment -- not individually reviewed</t>
        </is>
      </c>
      <c r="J445" s="12" t="inlineStr"/>
      <c r="K445" s="12" t="inlineStr">
        <is>
          <t>Source assignment</t>
        </is>
      </c>
      <c r="L445" s="12" t="inlineStr"/>
      <c r="M445" s="12" t="inlineStr">
        <is>
          <t>Initial</t>
        </is>
      </c>
      <c r="N445" s="12" t="inlineStr">
        <is>
          <t>Rev 0</t>
        </is>
      </c>
      <c r="O445" s="12" t="inlineStr">
        <is>
          <t>R192-v1</t>
        </is>
      </c>
      <c r="P445" s="12" t="inlineStr"/>
      <c r="Q445" s="12" t="inlineStr"/>
      <c r="R445" s="12" t="inlineStr"/>
      <c r="S445" s="12" t="inlineStr"/>
      <c r="T445" s="12" t="inlineStr"/>
      <c r="U445" s="12" t="inlineStr"/>
      <c r="V445" s="12" t="inlineStr">
        <is>
          <t>WBS Code = 1.2.2</t>
        </is>
      </c>
      <c r="W445" s="12" t="inlineStr"/>
    </row>
    <row r="446" ht="49" customHeight="1">
      <c r="A446" s="12" t="inlineStr">
        <is>
          <t>1.2.2</t>
        </is>
      </c>
      <c r="B446" s="12" t="inlineStr">
        <is>
          <t>Stations - Architectural Fit-Out</t>
        </is>
      </c>
      <c r="C446" s="12" t="inlineStr">
        <is>
          <t>Contractor Programme</t>
        </is>
      </c>
      <c r="D446" s="12" t="inlineStr">
        <is>
          <t>SCH-02-015</t>
        </is>
      </c>
      <c r="E446" s="12" t="inlineStr">
        <is>
          <t>West Terminal: public-realm paving - installation</t>
        </is>
      </c>
      <c r="F446" s="12" t="inlineStr">
        <is>
          <t>ONE_TO_ONE</t>
        </is>
      </c>
      <c r="G446" s="12" t="inlineStr">
        <is>
          <t>APPROVED</t>
        </is>
      </c>
      <c r="H446" s="12" t="inlineStr">
        <is>
          <t>New</t>
        </is>
      </c>
      <c r="I446" s="12" t="inlineStr">
        <is>
          <t>Source assignment -- not individually reviewed</t>
        </is>
      </c>
      <c r="J446" s="12" t="inlineStr"/>
      <c r="K446" s="12" t="inlineStr">
        <is>
          <t>Source assignment</t>
        </is>
      </c>
      <c r="L446" s="12" t="inlineStr"/>
      <c r="M446" s="12" t="inlineStr">
        <is>
          <t>Initial</t>
        </is>
      </c>
      <c r="N446" s="12" t="inlineStr">
        <is>
          <t>Rev 0</t>
        </is>
      </c>
      <c r="O446" s="12" t="inlineStr">
        <is>
          <t>R195-v1</t>
        </is>
      </c>
      <c r="P446" s="12" t="inlineStr"/>
      <c r="Q446" s="12" t="inlineStr"/>
      <c r="R446" s="12" t="inlineStr"/>
      <c r="S446" s="12" t="inlineStr"/>
      <c r="T446" s="12" t="inlineStr"/>
      <c r="U446" s="12" t="inlineStr"/>
      <c r="V446" s="12" t="inlineStr">
        <is>
          <t>WBS Code = 1.2.2</t>
        </is>
      </c>
      <c r="W446" s="12" t="inlineStr"/>
    </row>
    <row r="447" ht="49" customHeight="1">
      <c r="A447" s="12" t="inlineStr">
        <is>
          <t>1.2.2</t>
        </is>
      </c>
      <c r="B447" s="12" t="inlineStr">
        <is>
          <t>Stations - Architectural Fit-Out</t>
        </is>
      </c>
      <c r="C447" s="12" t="inlineStr">
        <is>
          <t>Contractor Programme</t>
        </is>
      </c>
      <c r="D447" s="12" t="inlineStr">
        <is>
          <t>SCH-02-018</t>
        </is>
      </c>
      <c r="E447" s="12" t="inlineStr">
        <is>
          <t>Civic Station: platform edge installation - release</t>
        </is>
      </c>
      <c r="F447" s="12" t="inlineStr">
        <is>
          <t>ONE_TO_ONE</t>
        </is>
      </c>
      <c r="G447" s="12" t="inlineStr">
        <is>
          <t>APPROVED</t>
        </is>
      </c>
      <c r="H447" s="12" t="inlineStr">
        <is>
          <t>New</t>
        </is>
      </c>
      <c r="I447" s="12" t="inlineStr">
        <is>
          <t>Source assignment -- not individually reviewed</t>
        </is>
      </c>
      <c r="J447" s="12" t="inlineStr"/>
      <c r="K447" s="12" t="inlineStr">
        <is>
          <t>Source assignment</t>
        </is>
      </c>
      <c r="L447" s="12" t="inlineStr"/>
      <c r="M447" s="12" t="inlineStr">
        <is>
          <t>Initial</t>
        </is>
      </c>
      <c r="N447" s="12" t="inlineStr">
        <is>
          <t>Rev 0</t>
        </is>
      </c>
      <c r="O447" s="12" t="inlineStr">
        <is>
          <t>R198-v1</t>
        </is>
      </c>
      <c r="P447" s="12" t="inlineStr"/>
      <c r="Q447" s="12" t="inlineStr"/>
      <c r="R447" s="12" t="inlineStr"/>
      <c r="S447" s="12" t="inlineStr"/>
      <c r="T447" s="12" t="inlineStr"/>
      <c r="U447" s="12" t="inlineStr"/>
      <c r="V447" s="12" t="inlineStr">
        <is>
          <t>WBS Code = 1.2.2</t>
        </is>
      </c>
      <c r="W447" s="12" t="inlineStr"/>
    </row>
    <row r="448" ht="49" customHeight="1">
      <c r="A448" s="12" t="inlineStr">
        <is>
          <t>1.2.2</t>
        </is>
      </c>
      <c r="B448" s="12" t="inlineStr">
        <is>
          <t>Stations - Architectural Fit-Out</t>
        </is>
      </c>
      <c r="C448" s="12" t="inlineStr">
        <is>
          <t>Contractor Programme</t>
        </is>
      </c>
      <c r="D448" s="12" t="inlineStr">
        <is>
          <t>SCH-02-021</t>
        </is>
      </c>
      <c r="E448" s="12" t="inlineStr">
        <is>
          <t>Harbour Station: concourse slab pour - inspection</t>
        </is>
      </c>
      <c r="F448" s="12" t="inlineStr">
        <is>
          <t>ONE_TO_ONE</t>
        </is>
      </c>
      <c r="G448" s="12" t="inlineStr">
        <is>
          <t>APPROVED</t>
        </is>
      </c>
      <c r="H448" s="12" t="inlineStr">
        <is>
          <t>New</t>
        </is>
      </c>
      <c r="I448" s="12" t="inlineStr">
        <is>
          <t>Source assignment -- not individually reviewed</t>
        </is>
      </c>
      <c r="J448" s="12" t="inlineStr"/>
      <c r="K448" s="12" t="inlineStr">
        <is>
          <t>Source assignment</t>
        </is>
      </c>
      <c r="L448" s="12" t="inlineStr"/>
      <c r="M448" s="12" t="inlineStr">
        <is>
          <t>Initial</t>
        </is>
      </c>
      <c r="N448" s="12" t="inlineStr">
        <is>
          <t>Rev 0</t>
        </is>
      </c>
      <c r="O448" s="12" t="inlineStr">
        <is>
          <t>R201-v1</t>
        </is>
      </c>
      <c r="P448" s="12" t="inlineStr"/>
      <c r="Q448" s="12" t="inlineStr"/>
      <c r="R448" s="12" t="inlineStr"/>
      <c r="S448" s="12" t="inlineStr"/>
      <c r="T448" s="12" t="inlineStr"/>
      <c r="U448" s="12" t="inlineStr"/>
      <c r="V448" s="12" t="inlineStr">
        <is>
          <t>WBS Code = 1.2.2</t>
        </is>
      </c>
      <c r="W448" s="12" t="inlineStr"/>
    </row>
    <row r="449" ht="49" customHeight="1">
      <c r="A449" s="12" t="inlineStr">
        <is>
          <t>1.2.2</t>
        </is>
      </c>
      <c r="B449" s="12" t="inlineStr">
        <is>
          <t>Stations - Architectural Fit-Out</t>
        </is>
      </c>
      <c r="C449" s="12" t="inlineStr">
        <is>
          <t>Contractor Programme</t>
        </is>
      </c>
      <c r="D449" s="12" t="inlineStr">
        <is>
          <t>SCH-02-024</t>
        </is>
      </c>
      <c r="E449" s="12" t="inlineStr">
        <is>
          <t>University Station: entrance steel erection - field start</t>
        </is>
      </c>
      <c r="F449" s="12" t="inlineStr">
        <is>
          <t>ONE_TO_ONE</t>
        </is>
      </c>
      <c r="G449" s="12" t="inlineStr">
        <is>
          <t>APPROVED</t>
        </is>
      </c>
      <c r="H449" s="12" t="inlineStr">
        <is>
          <t>New</t>
        </is>
      </c>
      <c r="I449" s="12" t="inlineStr">
        <is>
          <t>Source assignment -- not individually reviewed</t>
        </is>
      </c>
      <c r="J449" s="12" t="inlineStr"/>
      <c r="K449" s="12" t="inlineStr">
        <is>
          <t>Source assignment</t>
        </is>
      </c>
      <c r="L449" s="12" t="inlineStr"/>
      <c r="M449" s="12" t="inlineStr">
        <is>
          <t>Initial</t>
        </is>
      </c>
      <c r="N449" s="12" t="inlineStr">
        <is>
          <t>Rev 0</t>
        </is>
      </c>
      <c r="O449" s="12" t="inlineStr">
        <is>
          <t>R204-v1</t>
        </is>
      </c>
      <c r="P449" s="12" t="inlineStr"/>
      <c r="Q449" s="12" t="inlineStr"/>
      <c r="R449" s="12" t="inlineStr"/>
      <c r="S449" s="12" t="inlineStr"/>
      <c r="T449" s="12" t="inlineStr"/>
      <c r="U449" s="12" t="inlineStr"/>
      <c r="V449" s="12" t="inlineStr">
        <is>
          <t>WBS Code = 1.2.2</t>
        </is>
      </c>
      <c r="W449" s="12" t="inlineStr"/>
    </row>
    <row r="450" ht="49" customHeight="1">
      <c r="A450" s="12" t="inlineStr">
        <is>
          <t>1.2.2</t>
        </is>
      </c>
      <c r="B450" s="12" t="inlineStr">
        <is>
          <t>Stations - Architectural Fit-Out</t>
        </is>
      </c>
      <c r="C450" s="12" t="inlineStr">
        <is>
          <t>Contractor Programme</t>
        </is>
      </c>
      <c r="D450" s="12" t="inlineStr">
        <is>
          <t>SCH-02-027</t>
        </is>
      </c>
      <c r="E450" s="12" t="inlineStr">
        <is>
          <t>Market Station: architectural wall framing - turnover</t>
        </is>
      </c>
      <c r="F450" s="12" t="inlineStr">
        <is>
          <t>ONE_TO_ONE</t>
        </is>
      </c>
      <c r="G450" s="12" t="inlineStr">
        <is>
          <t>APPROVED</t>
        </is>
      </c>
      <c r="H450" s="12" t="inlineStr">
        <is>
          <t>New</t>
        </is>
      </c>
      <c r="I450" s="12" t="inlineStr">
        <is>
          <t>Source assignment -- not individually reviewed</t>
        </is>
      </c>
      <c r="J450" s="12" t="inlineStr"/>
      <c r="K450" s="12" t="inlineStr">
        <is>
          <t>Source assignment</t>
        </is>
      </c>
      <c r="L450" s="12" t="inlineStr"/>
      <c r="M450" s="12" t="inlineStr">
        <is>
          <t>Initial</t>
        </is>
      </c>
      <c r="N450" s="12" t="inlineStr">
        <is>
          <t>Rev 0</t>
        </is>
      </c>
      <c r="O450" s="12" t="inlineStr">
        <is>
          <t>R207-v1</t>
        </is>
      </c>
      <c r="P450" s="12" t="inlineStr"/>
      <c r="Q450" s="12" t="inlineStr"/>
      <c r="R450" s="12" t="inlineStr"/>
      <c r="S450" s="12" t="inlineStr"/>
      <c r="T450" s="12" t="inlineStr"/>
      <c r="U450" s="12" t="inlineStr"/>
      <c r="V450" s="12" t="inlineStr">
        <is>
          <t>WBS Code = 1.2.2</t>
        </is>
      </c>
      <c r="W450" s="12" t="inlineStr"/>
    </row>
    <row r="451" ht="49" customHeight="1">
      <c r="A451" s="12" t="inlineStr">
        <is>
          <t>1.2.2</t>
        </is>
      </c>
      <c r="B451" s="12" t="inlineStr">
        <is>
          <t>Stations - Architectural Fit-Out</t>
        </is>
      </c>
      <c r="C451" s="12" t="inlineStr">
        <is>
          <t>Contractor Programme</t>
        </is>
      </c>
      <c r="D451" s="12" t="inlineStr">
        <is>
          <t>SCH-02-030</t>
        </is>
      </c>
      <c r="E451" s="12" t="inlineStr">
        <is>
          <t>West Terminal: station ventilation rough-in - installation</t>
        </is>
      </c>
      <c r="F451" s="12" t="inlineStr">
        <is>
          <t>ONE_TO_ONE</t>
        </is>
      </c>
      <c r="G451" s="12" t="inlineStr">
        <is>
          <t>APPROVED</t>
        </is>
      </c>
      <c r="H451" s="12" t="inlineStr">
        <is>
          <t>New</t>
        </is>
      </c>
      <c r="I451" s="12" t="inlineStr">
        <is>
          <t>Source assignment -- not individually reviewed</t>
        </is>
      </c>
      <c r="J451" s="12" t="inlineStr"/>
      <c r="K451" s="12" t="inlineStr">
        <is>
          <t>Source assignment</t>
        </is>
      </c>
      <c r="L451" s="12" t="inlineStr"/>
      <c r="M451" s="12" t="inlineStr">
        <is>
          <t>Initial</t>
        </is>
      </c>
      <c r="N451" s="12" t="inlineStr">
        <is>
          <t>Rev 0</t>
        </is>
      </c>
      <c r="O451" s="12" t="inlineStr">
        <is>
          <t>R210-v1</t>
        </is>
      </c>
      <c r="P451" s="12" t="inlineStr"/>
      <c r="Q451" s="12" t="inlineStr"/>
      <c r="R451" s="12" t="inlineStr"/>
      <c r="S451" s="12" t="inlineStr"/>
      <c r="T451" s="12" t="inlineStr"/>
      <c r="U451" s="12" t="inlineStr"/>
      <c r="V451" s="12" t="inlineStr">
        <is>
          <t>WBS Code = 1.2.2</t>
        </is>
      </c>
      <c r="W451" s="12" t="inlineStr"/>
    </row>
    <row r="452" ht="49" customHeight="1">
      <c r="A452" s="12" t="inlineStr">
        <is>
          <t>1.2.2</t>
        </is>
      </c>
      <c r="B452" s="12" t="inlineStr">
        <is>
          <t>Stations - Architectural Fit-Out</t>
        </is>
      </c>
      <c r="C452" s="12" t="inlineStr">
        <is>
          <t>Contractor Programme</t>
        </is>
      </c>
      <c r="D452" s="12" t="inlineStr">
        <is>
          <t>SCH-02-033</t>
        </is>
      </c>
      <c r="E452" s="12" t="inlineStr">
        <is>
          <t>Civic Station: vertical-transport installation - release</t>
        </is>
      </c>
      <c r="F452" s="12" t="inlineStr">
        <is>
          <t>ONE_TO_ONE</t>
        </is>
      </c>
      <c r="G452" s="12" t="inlineStr">
        <is>
          <t>APPROVED</t>
        </is>
      </c>
      <c r="H452" s="12" t="inlineStr">
        <is>
          <t>New</t>
        </is>
      </c>
      <c r="I452" s="12" t="inlineStr">
        <is>
          <t>Source assignment -- not individually reviewed</t>
        </is>
      </c>
      <c r="J452" s="12" t="inlineStr"/>
      <c r="K452" s="12" t="inlineStr">
        <is>
          <t>Source assignment</t>
        </is>
      </c>
      <c r="L452" s="12" t="inlineStr"/>
      <c r="M452" s="12" t="inlineStr">
        <is>
          <t>Initial</t>
        </is>
      </c>
      <c r="N452" s="12" t="inlineStr">
        <is>
          <t>Rev 0</t>
        </is>
      </c>
      <c r="O452" s="12" t="inlineStr">
        <is>
          <t>R213-v1</t>
        </is>
      </c>
      <c r="P452" s="12" t="inlineStr"/>
      <c r="Q452" s="12" t="inlineStr"/>
      <c r="R452" s="12" t="inlineStr"/>
      <c r="S452" s="12" t="inlineStr"/>
      <c r="T452" s="12" t="inlineStr"/>
      <c r="U452" s="12" t="inlineStr"/>
      <c r="V452" s="12" t="inlineStr">
        <is>
          <t>WBS Code = 1.2.2</t>
        </is>
      </c>
      <c r="W452" s="12" t="inlineStr"/>
    </row>
    <row r="453" ht="49" customHeight="1">
      <c r="A453" s="12" t="inlineStr">
        <is>
          <t>1.2.2</t>
        </is>
      </c>
      <c r="B453" s="12" t="inlineStr">
        <is>
          <t>Stations - Architectural Fit-Out</t>
        </is>
      </c>
      <c r="C453" s="12" t="inlineStr">
        <is>
          <t>Contractor Programme</t>
        </is>
      </c>
      <c r="D453" s="12" t="inlineStr">
        <is>
          <t>SCH-02-036</t>
        </is>
      </c>
      <c r="E453" s="12" t="inlineStr">
        <is>
          <t>Harbour Station: fire-life-safety cabling - inspection</t>
        </is>
      </c>
      <c r="F453" s="12" t="inlineStr">
        <is>
          <t>ONE_TO_ONE</t>
        </is>
      </c>
      <c r="G453" s="12" t="inlineStr">
        <is>
          <t>APPROVED</t>
        </is>
      </c>
      <c r="H453" s="12" t="inlineStr">
        <is>
          <t>New</t>
        </is>
      </c>
      <c r="I453" s="12" t="inlineStr">
        <is>
          <t>Source assignment -- not individually reviewed</t>
        </is>
      </c>
      <c r="J453" s="12" t="inlineStr"/>
      <c r="K453" s="12" t="inlineStr">
        <is>
          <t>Source assignment</t>
        </is>
      </c>
      <c r="L453" s="12" t="inlineStr"/>
      <c r="M453" s="12" t="inlineStr">
        <is>
          <t>Initial</t>
        </is>
      </c>
      <c r="N453" s="12" t="inlineStr">
        <is>
          <t>Rev 0</t>
        </is>
      </c>
      <c r="O453" s="12" t="inlineStr">
        <is>
          <t>R216-v1</t>
        </is>
      </c>
      <c r="P453" s="12" t="inlineStr"/>
      <c r="Q453" s="12" t="inlineStr"/>
      <c r="R453" s="12" t="inlineStr"/>
      <c r="S453" s="12" t="inlineStr"/>
      <c r="T453" s="12" t="inlineStr"/>
      <c r="U453" s="12" t="inlineStr"/>
      <c r="V453" s="12" t="inlineStr">
        <is>
          <t>WBS Code = 1.2.2</t>
        </is>
      </c>
      <c r="W453" s="12" t="inlineStr"/>
    </row>
    <row r="454" ht="49" customHeight="1">
      <c r="A454" s="12" t="inlineStr">
        <is>
          <t>1.2.2</t>
        </is>
      </c>
      <c r="B454" s="12" t="inlineStr">
        <is>
          <t>Stations - Architectural Fit-Out</t>
        </is>
      </c>
      <c r="C454" s="12" t="inlineStr">
        <is>
          <t>Contractor Programme</t>
        </is>
      </c>
      <c r="D454" s="12" t="inlineStr">
        <is>
          <t>SCH-02-039</t>
        </is>
      </c>
      <c r="E454" s="12" t="inlineStr">
        <is>
          <t>University Station: public-realm paving - field start</t>
        </is>
      </c>
      <c r="F454" s="12" t="inlineStr">
        <is>
          <t>ONE_TO_ONE</t>
        </is>
      </c>
      <c r="G454" s="12" t="inlineStr">
        <is>
          <t>APPROVED</t>
        </is>
      </c>
      <c r="H454" s="12" t="inlineStr">
        <is>
          <t>New</t>
        </is>
      </c>
      <c r="I454" s="12" t="inlineStr">
        <is>
          <t>Source assignment -- not individually reviewed</t>
        </is>
      </c>
      <c r="J454" s="12" t="inlineStr"/>
      <c r="K454" s="12" t="inlineStr">
        <is>
          <t>Source assignment</t>
        </is>
      </c>
      <c r="L454" s="12" t="inlineStr"/>
      <c r="M454" s="12" t="inlineStr">
        <is>
          <t>Initial</t>
        </is>
      </c>
      <c r="N454" s="12" t="inlineStr">
        <is>
          <t>Rev 0</t>
        </is>
      </c>
      <c r="O454" s="12" t="inlineStr">
        <is>
          <t>R219-v1</t>
        </is>
      </c>
      <c r="P454" s="12" t="inlineStr"/>
      <c r="Q454" s="12" t="inlineStr"/>
      <c r="R454" s="12" t="inlineStr"/>
      <c r="S454" s="12" t="inlineStr"/>
      <c r="T454" s="12" t="inlineStr"/>
      <c r="U454" s="12" t="inlineStr"/>
      <c r="V454" s="12" t="inlineStr">
        <is>
          <t>WBS Code = 1.2.2</t>
        </is>
      </c>
      <c r="W454" s="12" t="inlineStr"/>
    </row>
    <row r="455" ht="49" customHeight="1">
      <c r="A455" s="12" t="inlineStr">
        <is>
          <t>1.2.2</t>
        </is>
      </c>
      <c r="B455" s="12" t="inlineStr">
        <is>
          <t>Stations - Architectural Fit-Out</t>
        </is>
      </c>
      <c r="C455" s="12" t="inlineStr">
        <is>
          <t>Contractor Programme</t>
        </is>
      </c>
      <c r="D455" s="12" t="inlineStr">
        <is>
          <t>SCH-02-042</t>
        </is>
      </c>
      <c r="E455" s="12" t="inlineStr">
        <is>
          <t>Market Station: platform edge installation - turnover</t>
        </is>
      </c>
      <c r="F455" s="12" t="inlineStr">
        <is>
          <t>ONE_TO_ONE</t>
        </is>
      </c>
      <c r="G455" s="12" t="inlineStr">
        <is>
          <t>APPROVED</t>
        </is>
      </c>
      <c r="H455" s="12" t="inlineStr">
        <is>
          <t>New</t>
        </is>
      </c>
      <c r="I455" s="12" t="inlineStr">
        <is>
          <t>Source assignment -- not individually reviewed</t>
        </is>
      </c>
      <c r="J455" s="12" t="inlineStr"/>
      <c r="K455" s="12" t="inlineStr">
        <is>
          <t>Source assignment</t>
        </is>
      </c>
      <c r="L455" s="12" t="inlineStr"/>
      <c r="M455" s="12" t="inlineStr">
        <is>
          <t>Initial</t>
        </is>
      </c>
      <c r="N455" s="12" t="inlineStr">
        <is>
          <t>Rev 0</t>
        </is>
      </c>
      <c r="O455" s="12" t="inlineStr">
        <is>
          <t>R222-v1</t>
        </is>
      </c>
      <c r="P455" s="12" t="inlineStr"/>
      <c r="Q455" s="12" t="inlineStr"/>
      <c r="R455" s="12" t="inlineStr"/>
      <c r="S455" s="12" t="inlineStr"/>
      <c r="T455" s="12" t="inlineStr"/>
      <c r="U455" s="12" t="inlineStr"/>
      <c r="V455" s="12" t="inlineStr">
        <is>
          <t>WBS Code = 1.2.2</t>
        </is>
      </c>
      <c r="W455" s="12" t="inlineStr"/>
    </row>
    <row r="456" ht="49" customHeight="1">
      <c r="A456" s="12" t="inlineStr">
        <is>
          <t>1.2.2</t>
        </is>
      </c>
      <c r="B456" s="12" t="inlineStr">
        <is>
          <t>Stations - Architectural Fit-Out</t>
        </is>
      </c>
      <c r="C456" s="12" t="inlineStr">
        <is>
          <t>Contractor Programme</t>
        </is>
      </c>
      <c r="D456" s="12" t="inlineStr">
        <is>
          <t>SCH-02-045</t>
        </is>
      </c>
      <c r="E456" s="12" t="inlineStr">
        <is>
          <t>West Terminal: concourse slab pour - installation</t>
        </is>
      </c>
      <c r="F456" s="12" t="inlineStr">
        <is>
          <t>ONE_TO_ONE</t>
        </is>
      </c>
      <c r="G456" s="12" t="inlineStr">
        <is>
          <t>APPROVED</t>
        </is>
      </c>
      <c r="H456" s="12" t="inlineStr">
        <is>
          <t>New</t>
        </is>
      </c>
      <c r="I456" s="12" t="inlineStr">
        <is>
          <t>Source assignment -- not individually reviewed</t>
        </is>
      </c>
      <c r="J456" s="12" t="inlineStr"/>
      <c r="K456" s="12" t="inlineStr">
        <is>
          <t>Source assignment</t>
        </is>
      </c>
      <c r="L456" s="12" t="inlineStr"/>
      <c r="M456" s="12" t="inlineStr">
        <is>
          <t>Initial</t>
        </is>
      </c>
      <c r="N456" s="12" t="inlineStr">
        <is>
          <t>Rev 0</t>
        </is>
      </c>
      <c r="O456" s="12" t="inlineStr">
        <is>
          <t>R225-v1</t>
        </is>
      </c>
      <c r="P456" s="12" t="inlineStr"/>
      <c r="Q456" s="12" t="inlineStr"/>
      <c r="R456" s="12" t="inlineStr"/>
      <c r="S456" s="12" t="inlineStr"/>
      <c r="T456" s="12" t="inlineStr"/>
      <c r="U456" s="12" t="inlineStr"/>
      <c r="V456" s="12" t="inlineStr">
        <is>
          <t>WBS Code = 1.2.2</t>
        </is>
      </c>
      <c r="W456" s="12" t="inlineStr"/>
    </row>
    <row r="457" ht="49" customHeight="1">
      <c r="A457" s="12" t="inlineStr">
        <is>
          <t>1.2.2</t>
        </is>
      </c>
      <c r="B457" s="12" t="inlineStr">
        <is>
          <t>Stations - Architectural Fit-Out</t>
        </is>
      </c>
      <c r="C457" s="12" t="inlineStr">
        <is>
          <t>Contractor Programme</t>
        </is>
      </c>
      <c r="D457" s="12" t="inlineStr">
        <is>
          <t>SCH-02-048</t>
        </is>
      </c>
      <c r="E457" s="12" t="inlineStr">
        <is>
          <t>Civic Station: entrance steel erection - release</t>
        </is>
      </c>
      <c r="F457" s="12" t="inlineStr">
        <is>
          <t>ONE_TO_ONE</t>
        </is>
      </c>
      <c r="G457" s="12" t="inlineStr">
        <is>
          <t>APPROVED</t>
        </is>
      </c>
      <c r="H457" s="12" t="inlineStr">
        <is>
          <t>New</t>
        </is>
      </c>
      <c r="I457" s="12" t="inlineStr">
        <is>
          <t>Source assignment -- not individually reviewed</t>
        </is>
      </c>
      <c r="J457" s="12" t="inlineStr"/>
      <c r="K457" s="12" t="inlineStr">
        <is>
          <t>Source assignment</t>
        </is>
      </c>
      <c r="L457" s="12" t="inlineStr"/>
      <c r="M457" s="12" t="inlineStr">
        <is>
          <t>Initial</t>
        </is>
      </c>
      <c r="N457" s="12" t="inlineStr">
        <is>
          <t>Rev 0</t>
        </is>
      </c>
      <c r="O457" s="12" t="inlineStr">
        <is>
          <t>R228-v1</t>
        </is>
      </c>
      <c r="P457" s="12" t="inlineStr"/>
      <c r="Q457" s="12" t="inlineStr"/>
      <c r="R457" s="12" t="inlineStr"/>
      <c r="S457" s="12" t="inlineStr"/>
      <c r="T457" s="12" t="inlineStr"/>
      <c r="U457" s="12" t="inlineStr"/>
      <c r="V457" s="12" t="inlineStr">
        <is>
          <t>WBS Code = 1.2.2</t>
        </is>
      </c>
      <c r="W457" s="12" t="inlineStr"/>
    </row>
    <row r="458" ht="49" customHeight="1">
      <c r="A458" s="12" t="inlineStr">
        <is>
          <t>1.2.2</t>
        </is>
      </c>
      <c r="B458" s="12" t="inlineStr">
        <is>
          <t>Stations - Architectural Fit-Out</t>
        </is>
      </c>
      <c r="C458" s="12" t="inlineStr">
        <is>
          <t>Contractor Programme</t>
        </is>
      </c>
      <c r="D458" s="12" t="inlineStr">
        <is>
          <t>SCH-02-051</t>
        </is>
      </c>
      <c r="E458" s="12" t="inlineStr">
        <is>
          <t>Harbour Station: architectural wall framing - inspection</t>
        </is>
      </c>
      <c r="F458" s="12" t="inlineStr">
        <is>
          <t>ONE_TO_ONE</t>
        </is>
      </c>
      <c r="G458" s="12" t="inlineStr">
        <is>
          <t>APPROVED</t>
        </is>
      </c>
      <c r="H458" s="12" t="inlineStr">
        <is>
          <t>New</t>
        </is>
      </c>
      <c r="I458" s="12" t="inlineStr">
        <is>
          <t>Source assignment -- not individually reviewed</t>
        </is>
      </c>
      <c r="J458" s="12" t="inlineStr"/>
      <c r="K458" s="12" t="inlineStr">
        <is>
          <t>Source assignment</t>
        </is>
      </c>
      <c r="L458" s="12" t="inlineStr"/>
      <c r="M458" s="12" t="inlineStr">
        <is>
          <t>Initial</t>
        </is>
      </c>
      <c r="N458" s="12" t="inlineStr">
        <is>
          <t>Rev 0</t>
        </is>
      </c>
      <c r="O458" s="12" t="inlineStr">
        <is>
          <t>R231-v1</t>
        </is>
      </c>
      <c r="P458" s="12" t="inlineStr"/>
      <c r="Q458" s="12" t="inlineStr"/>
      <c r="R458" s="12" t="inlineStr"/>
      <c r="S458" s="12" t="inlineStr"/>
      <c r="T458" s="12" t="inlineStr"/>
      <c r="U458" s="12" t="inlineStr"/>
      <c r="V458" s="12" t="inlineStr">
        <is>
          <t>WBS Code = 1.2.2</t>
        </is>
      </c>
      <c r="W458" s="12" t="inlineStr"/>
    </row>
    <row r="459" ht="49" customHeight="1">
      <c r="A459" s="12" t="inlineStr">
        <is>
          <t>1.2.2</t>
        </is>
      </c>
      <c r="B459" s="12" t="inlineStr">
        <is>
          <t>Stations - Architectural Fit-Out</t>
        </is>
      </c>
      <c r="C459" s="12" t="inlineStr">
        <is>
          <t>Contractor Programme</t>
        </is>
      </c>
      <c r="D459" s="12" t="inlineStr">
        <is>
          <t>SCH-02-054</t>
        </is>
      </c>
      <c r="E459" s="12" t="inlineStr">
        <is>
          <t>University Station: station ventilation rough-in - field start</t>
        </is>
      </c>
      <c r="F459" s="12" t="inlineStr">
        <is>
          <t>ONE_TO_ONE</t>
        </is>
      </c>
      <c r="G459" s="12" t="inlineStr">
        <is>
          <t>APPROVED</t>
        </is>
      </c>
      <c r="H459" s="12" t="inlineStr">
        <is>
          <t>New</t>
        </is>
      </c>
      <c r="I459" s="12" t="inlineStr">
        <is>
          <t>Source assignment -- not individually reviewed</t>
        </is>
      </c>
      <c r="J459" s="12" t="inlineStr"/>
      <c r="K459" s="12" t="inlineStr">
        <is>
          <t>Source assignment</t>
        </is>
      </c>
      <c r="L459" s="12" t="inlineStr"/>
      <c r="M459" s="12" t="inlineStr">
        <is>
          <t>Initial</t>
        </is>
      </c>
      <c r="N459" s="12" t="inlineStr">
        <is>
          <t>Rev 0</t>
        </is>
      </c>
      <c r="O459" s="12" t="inlineStr">
        <is>
          <t>R234-v1</t>
        </is>
      </c>
      <c r="P459" s="12" t="inlineStr"/>
      <c r="Q459" s="12" t="inlineStr"/>
      <c r="R459" s="12" t="inlineStr"/>
      <c r="S459" s="12" t="inlineStr"/>
      <c r="T459" s="12" t="inlineStr"/>
      <c r="U459" s="12" t="inlineStr"/>
      <c r="V459" s="12" t="inlineStr">
        <is>
          <t>WBS Code = 1.2.2</t>
        </is>
      </c>
      <c r="W459" s="12" t="inlineStr"/>
    </row>
    <row r="460" ht="49" customHeight="1">
      <c r="A460" s="12" t="inlineStr">
        <is>
          <t>1.2.2</t>
        </is>
      </c>
      <c r="B460" s="12" t="inlineStr">
        <is>
          <t>Stations - Architectural Fit-Out</t>
        </is>
      </c>
      <c r="C460" s="12" t="inlineStr">
        <is>
          <t>Contractor Programme</t>
        </is>
      </c>
      <c r="D460" s="12" t="inlineStr">
        <is>
          <t>SCH-02-057</t>
        </is>
      </c>
      <c r="E460" s="12" t="inlineStr">
        <is>
          <t>Market Station: vertical-transport installation - turnover</t>
        </is>
      </c>
      <c r="F460" s="12" t="inlineStr">
        <is>
          <t>ONE_TO_ONE</t>
        </is>
      </c>
      <c r="G460" s="12" t="inlineStr">
        <is>
          <t>APPROVED</t>
        </is>
      </c>
      <c r="H460" s="12" t="inlineStr">
        <is>
          <t>New</t>
        </is>
      </c>
      <c r="I460" s="12" t="inlineStr">
        <is>
          <t>Source assignment -- not individually reviewed</t>
        </is>
      </c>
      <c r="J460" s="12" t="inlineStr"/>
      <c r="K460" s="12" t="inlineStr">
        <is>
          <t>Source assignment</t>
        </is>
      </c>
      <c r="L460" s="12" t="inlineStr"/>
      <c r="M460" s="12" t="inlineStr">
        <is>
          <t>Initial</t>
        </is>
      </c>
      <c r="N460" s="12" t="inlineStr">
        <is>
          <t>Rev 0</t>
        </is>
      </c>
      <c r="O460" s="12" t="inlineStr">
        <is>
          <t>R237-v1</t>
        </is>
      </c>
      <c r="P460" s="12" t="inlineStr"/>
      <c r="Q460" s="12" t="inlineStr"/>
      <c r="R460" s="12" t="inlineStr"/>
      <c r="S460" s="12" t="inlineStr"/>
      <c r="T460" s="12" t="inlineStr"/>
      <c r="U460" s="12" t="inlineStr"/>
      <c r="V460" s="12" t="inlineStr">
        <is>
          <t>WBS Code = 1.2.2</t>
        </is>
      </c>
      <c r="W460" s="12" t="inlineStr"/>
    </row>
    <row r="461" ht="49" customHeight="1">
      <c r="A461" s="12" t="inlineStr">
        <is>
          <t>1.2.2</t>
        </is>
      </c>
      <c r="B461" s="12" t="inlineStr">
        <is>
          <t>Stations - Architectural Fit-Out</t>
        </is>
      </c>
      <c r="C461" s="12" t="inlineStr">
        <is>
          <t>Contractor Programme</t>
        </is>
      </c>
      <c r="D461" s="12" t="inlineStr">
        <is>
          <t>SCH-02-060</t>
        </is>
      </c>
      <c r="E461" s="12" t="inlineStr">
        <is>
          <t>West Terminal: fire-life-safety cabling - installation</t>
        </is>
      </c>
      <c r="F461" s="12" t="inlineStr">
        <is>
          <t>ONE_TO_ONE</t>
        </is>
      </c>
      <c r="G461" s="12" t="inlineStr">
        <is>
          <t>APPROVED</t>
        </is>
      </c>
      <c r="H461" s="12" t="inlineStr">
        <is>
          <t>New</t>
        </is>
      </c>
      <c r="I461" s="12" t="inlineStr">
        <is>
          <t>Source assignment -- not individually reviewed</t>
        </is>
      </c>
      <c r="J461" s="12" t="inlineStr"/>
      <c r="K461" s="12" t="inlineStr">
        <is>
          <t>Source assignment</t>
        </is>
      </c>
      <c r="L461" s="12" t="inlineStr"/>
      <c r="M461" s="12" t="inlineStr">
        <is>
          <t>Initial</t>
        </is>
      </c>
      <c r="N461" s="12" t="inlineStr">
        <is>
          <t>Rev 0</t>
        </is>
      </c>
      <c r="O461" s="12" t="inlineStr">
        <is>
          <t>R240-v1</t>
        </is>
      </c>
      <c r="P461" s="12" t="inlineStr"/>
      <c r="Q461" s="12" t="inlineStr"/>
      <c r="R461" s="12" t="inlineStr"/>
      <c r="S461" s="12" t="inlineStr"/>
      <c r="T461" s="12" t="inlineStr"/>
      <c r="U461" s="12" t="inlineStr"/>
      <c r="V461" s="12" t="inlineStr">
        <is>
          <t>WBS Code = 1.2.2</t>
        </is>
      </c>
      <c r="W461" s="12" t="inlineStr"/>
    </row>
    <row r="462" ht="49" customHeight="1">
      <c r="A462" s="12" t="inlineStr">
        <is>
          <t>1.2.2</t>
        </is>
      </c>
      <c r="B462" s="12" t="inlineStr">
        <is>
          <t>Stations - Architectural Fit-Out</t>
        </is>
      </c>
      <c r="C462" s="12" t="inlineStr">
        <is>
          <t>Contractor Programme</t>
        </is>
      </c>
      <c r="D462" s="12" t="inlineStr">
        <is>
          <t>SCH-02-063</t>
        </is>
      </c>
      <c r="E462" s="12" t="inlineStr">
        <is>
          <t>Civic Station: public-realm paving - release</t>
        </is>
      </c>
      <c r="F462" s="12" t="inlineStr">
        <is>
          <t>ONE_TO_ONE</t>
        </is>
      </c>
      <c r="G462" s="12" t="inlineStr">
        <is>
          <t>APPROVED</t>
        </is>
      </c>
      <c r="H462" s="12" t="inlineStr">
        <is>
          <t>New</t>
        </is>
      </c>
      <c r="I462" s="12" t="inlineStr">
        <is>
          <t>Source assignment -- not individually reviewed</t>
        </is>
      </c>
      <c r="J462" s="12" t="inlineStr"/>
      <c r="K462" s="12" t="inlineStr">
        <is>
          <t>Source assignment</t>
        </is>
      </c>
      <c r="L462" s="12" t="inlineStr"/>
      <c r="M462" s="12" t="inlineStr">
        <is>
          <t>Initial</t>
        </is>
      </c>
      <c r="N462" s="12" t="inlineStr">
        <is>
          <t>Rev 0</t>
        </is>
      </c>
      <c r="O462" s="12" t="inlineStr">
        <is>
          <t>R243-v1</t>
        </is>
      </c>
      <c r="P462" s="12" t="inlineStr"/>
      <c r="Q462" s="12" t="inlineStr"/>
      <c r="R462" s="12" t="inlineStr"/>
      <c r="S462" s="12" t="inlineStr"/>
      <c r="T462" s="12" t="inlineStr"/>
      <c r="U462" s="12" t="inlineStr"/>
      <c r="V462" s="12" t="inlineStr">
        <is>
          <t>WBS Code = 1.2.2</t>
        </is>
      </c>
      <c r="W462" s="12" t="inlineStr"/>
    </row>
    <row r="463" ht="49" customHeight="1">
      <c r="A463" s="12" t="inlineStr">
        <is>
          <t>1.2.2</t>
        </is>
      </c>
      <c r="B463" s="12" t="inlineStr">
        <is>
          <t>Stations - Architectural Fit-Out</t>
        </is>
      </c>
      <c r="C463" s="12" t="inlineStr">
        <is>
          <t>Contractor Programme</t>
        </is>
      </c>
      <c r="D463" s="12" t="inlineStr">
        <is>
          <t>SCH-02-066</t>
        </is>
      </c>
      <c r="E463" s="12" t="inlineStr">
        <is>
          <t>Harbour Station: platform edge installation - inspection</t>
        </is>
      </c>
      <c r="F463" s="12" t="inlineStr">
        <is>
          <t>ONE_TO_ONE</t>
        </is>
      </c>
      <c r="G463" s="12" t="inlineStr">
        <is>
          <t>APPROVED</t>
        </is>
      </c>
      <c r="H463" s="12" t="inlineStr">
        <is>
          <t>New</t>
        </is>
      </c>
      <c r="I463" s="12" t="inlineStr">
        <is>
          <t>Source assignment -- not individually reviewed</t>
        </is>
      </c>
      <c r="J463" s="12" t="inlineStr"/>
      <c r="K463" s="12" t="inlineStr">
        <is>
          <t>Source assignment</t>
        </is>
      </c>
      <c r="L463" s="12" t="inlineStr"/>
      <c r="M463" s="12" t="inlineStr">
        <is>
          <t>Initial</t>
        </is>
      </c>
      <c r="N463" s="12" t="inlineStr">
        <is>
          <t>Rev 0</t>
        </is>
      </c>
      <c r="O463" s="12" t="inlineStr">
        <is>
          <t>R246-v1</t>
        </is>
      </c>
      <c r="P463" s="12" t="inlineStr"/>
      <c r="Q463" s="12" t="inlineStr"/>
      <c r="R463" s="12" t="inlineStr"/>
      <c r="S463" s="12" t="inlineStr"/>
      <c r="T463" s="12" t="inlineStr"/>
      <c r="U463" s="12" t="inlineStr"/>
      <c r="V463" s="12" t="inlineStr">
        <is>
          <t>WBS Code = 1.2.2</t>
        </is>
      </c>
      <c r="W463" s="12" t="inlineStr"/>
    </row>
    <row r="464" ht="49" customHeight="1">
      <c r="A464" s="12" t="inlineStr">
        <is>
          <t>1.2.2</t>
        </is>
      </c>
      <c r="B464" s="12" t="inlineStr">
        <is>
          <t>Stations - Architectural Fit-Out</t>
        </is>
      </c>
      <c r="C464" s="12" t="inlineStr">
        <is>
          <t>Contractor Programme</t>
        </is>
      </c>
      <c r="D464" s="12" t="inlineStr">
        <is>
          <t>SCH-02-069</t>
        </is>
      </c>
      <c r="E464" s="12" t="inlineStr">
        <is>
          <t>University Station: concourse slab pour - field start</t>
        </is>
      </c>
      <c r="F464" s="12" t="inlineStr">
        <is>
          <t>ONE_TO_ONE</t>
        </is>
      </c>
      <c r="G464" s="12" t="inlineStr">
        <is>
          <t>APPROVED</t>
        </is>
      </c>
      <c r="H464" s="12" t="inlineStr">
        <is>
          <t>New</t>
        </is>
      </c>
      <c r="I464" s="12" t="inlineStr">
        <is>
          <t>Source assignment -- not individually reviewed</t>
        </is>
      </c>
      <c r="J464" s="12" t="inlineStr"/>
      <c r="K464" s="12" t="inlineStr">
        <is>
          <t>Source assignment</t>
        </is>
      </c>
      <c r="L464" s="12" t="inlineStr"/>
      <c r="M464" s="12" t="inlineStr">
        <is>
          <t>Initial</t>
        </is>
      </c>
      <c r="N464" s="12" t="inlineStr">
        <is>
          <t>Rev 0</t>
        </is>
      </c>
      <c r="O464" s="12" t="inlineStr">
        <is>
          <t>R249-v1</t>
        </is>
      </c>
      <c r="P464" s="12" t="inlineStr"/>
      <c r="Q464" s="12" t="inlineStr"/>
      <c r="R464" s="12" t="inlineStr"/>
      <c r="S464" s="12" t="inlineStr"/>
      <c r="T464" s="12" t="inlineStr"/>
      <c r="U464" s="12" t="inlineStr"/>
      <c r="V464" s="12" t="inlineStr">
        <is>
          <t>WBS Code = 1.2.2</t>
        </is>
      </c>
      <c r="W464" s="12" t="inlineStr"/>
    </row>
    <row r="465" ht="49" customHeight="1">
      <c r="A465" s="12" t="inlineStr">
        <is>
          <t>1.2.2</t>
        </is>
      </c>
      <c r="B465" s="12" t="inlineStr">
        <is>
          <t>Stations - Architectural Fit-Out</t>
        </is>
      </c>
      <c r="C465" s="12" t="inlineStr">
        <is>
          <t>Contractor Programme</t>
        </is>
      </c>
      <c r="D465" s="12" t="inlineStr">
        <is>
          <t>SCH-02-072</t>
        </is>
      </c>
      <c r="E465" s="12" t="inlineStr">
        <is>
          <t>Market Station: entrance steel erection - turnover</t>
        </is>
      </c>
      <c r="F465" s="12" t="inlineStr">
        <is>
          <t>ONE_TO_ONE</t>
        </is>
      </c>
      <c r="G465" s="12" t="inlineStr">
        <is>
          <t>APPROVED</t>
        </is>
      </c>
      <c r="H465" s="12" t="inlineStr">
        <is>
          <t>New</t>
        </is>
      </c>
      <c r="I465" s="12" t="inlineStr">
        <is>
          <t>Source assignment -- not individually reviewed</t>
        </is>
      </c>
      <c r="J465" s="12" t="inlineStr"/>
      <c r="K465" s="12" t="inlineStr">
        <is>
          <t>Source assignment</t>
        </is>
      </c>
      <c r="L465" s="12" t="inlineStr"/>
      <c r="M465" s="12" t="inlineStr">
        <is>
          <t>Initial</t>
        </is>
      </c>
      <c r="N465" s="12" t="inlineStr">
        <is>
          <t>Rev 0</t>
        </is>
      </c>
      <c r="O465" s="12" t="inlineStr">
        <is>
          <t>R252-v1</t>
        </is>
      </c>
      <c r="P465" s="12" t="inlineStr"/>
      <c r="Q465" s="12" t="inlineStr"/>
      <c r="R465" s="12" t="inlineStr"/>
      <c r="S465" s="12" t="inlineStr"/>
      <c r="T465" s="12" t="inlineStr"/>
      <c r="U465" s="12" t="inlineStr"/>
      <c r="V465" s="12" t="inlineStr">
        <is>
          <t>WBS Code = 1.2.2</t>
        </is>
      </c>
      <c r="W465" s="12" t="inlineStr"/>
    </row>
    <row r="466" ht="49" customHeight="1">
      <c r="A466" s="12" t="inlineStr">
        <is>
          <t>1.2.2</t>
        </is>
      </c>
      <c r="B466" s="12" t="inlineStr">
        <is>
          <t>Stations - Architectural Fit-Out</t>
        </is>
      </c>
      <c r="C466" s="12" t="inlineStr">
        <is>
          <t>Contractor Programme</t>
        </is>
      </c>
      <c r="D466" s="12" t="inlineStr">
        <is>
          <t>SCH-02-075</t>
        </is>
      </c>
      <c r="E466" s="12" t="inlineStr">
        <is>
          <t>West Terminal: architectural wall framing - installation</t>
        </is>
      </c>
      <c r="F466" s="12" t="inlineStr">
        <is>
          <t>ONE_TO_ONE</t>
        </is>
      </c>
      <c r="G466" s="12" t="inlineStr">
        <is>
          <t>APPROVED</t>
        </is>
      </c>
      <c r="H466" s="12" t="inlineStr">
        <is>
          <t>New</t>
        </is>
      </c>
      <c r="I466" s="12" t="inlineStr">
        <is>
          <t>Source assignment -- not individually reviewed</t>
        </is>
      </c>
      <c r="J466" s="12" t="inlineStr"/>
      <c r="K466" s="12" t="inlineStr">
        <is>
          <t>Source assignment</t>
        </is>
      </c>
      <c r="L466" s="12" t="inlineStr"/>
      <c r="M466" s="12" t="inlineStr">
        <is>
          <t>Initial</t>
        </is>
      </c>
      <c r="N466" s="12" t="inlineStr">
        <is>
          <t>Rev 0</t>
        </is>
      </c>
      <c r="O466" s="12" t="inlineStr">
        <is>
          <t>R255-v1</t>
        </is>
      </c>
      <c r="P466" s="12" t="inlineStr"/>
      <c r="Q466" s="12" t="inlineStr"/>
      <c r="R466" s="12" t="inlineStr"/>
      <c r="S466" s="12" t="inlineStr"/>
      <c r="T466" s="12" t="inlineStr"/>
      <c r="U466" s="12" t="inlineStr"/>
      <c r="V466" s="12" t="inlineStr">
        <is>
          <t>WBS Code = 1.2.2</t>
        </is>
      </c>
      <c r="W466" s="12" t="inlineStr"/>
    </row>
    <row r="467" ht="49" customHeight="1">
      <c r="A467" s="12" t="inlineStr">
        <is>
          <t>1.2.2</t>
        </is>
      </c>
      <c r="B467" s="12" t="inlineStr">
        <is>
          <t>Stations - Architectural Fit-Out</t>
        </is>
      </c>
      <c r="C467" s="12" t="inlineStr">
        <is>
          <t>Contractor Programme</t>
        </is>
      </c>
      <c r="D467" s="12" t="inlineStr">
        <is>
          <t>SCH-02-078</t>
        </is>
      </c>
      <c r="E467" s="12" t="inlineStr">
        <is>
          <t>Civic Station: station ventilation rough-in - release</t>
        </is>
      </c>
      <c r="F467" s="12" t="inlineStr">
        <is>
          <t>ONE_TO_ONE</t>
        </is>
      </c>
      <c r="G467" s="12" t="inlineStr">
        <is>
          <t>APPROVED</t>
        </is>
      </c>
      <c r="H467" s="12" t="inlineStr">
        <is>
          <t>New</t>
        </is>
      </c>
      <c r="I467" s="12" t="inlineStr">
        <is>
          <t>Source assignment -- not individually reviewed</t>
        </is>
      </c>
      <c r="J467" s="12" t="inlineStr"/>
      <c r="K467" s="12" t="inlineStr">
        <is>
          <t>Source assignment</t>
        </is>
      </c>
      <c r="L467" s="12" t="inlineStr"/>
      <c r="M467" s="12" t="inlineStr">
        <is>
          <t>Initial</t>
        </is>
      </c>
      <c r="N467" s="12" t="inlineStr">
        <is>
          <t>Rev 0</t>
        </is>
      </c>
      <c r="O467" s="12" t="inlineStr">
        <is>
          <t>R258-v1</t>
        </is>
      </c>
      <c r="P467" s="12" t="inlineStr"/>
      <c r="Q467" s="12" t="inlineStr"/>
      <c r="R467" s="12" t="inlineStr"/>
      <c r="S467" s="12" t="inlineStr"/>
      <c r="T467" s="12" t="inlineStr"/>
      <c r="U467" s="12" t="inlineStr"/>
      <c r="V467" s="12" t="inlineStr">
        <is>
          <t>WBS Code = 1.2.2</t>
        </is>
      </c>
      <c r="W467" s="12" t="inlineStr"/>
    </row>
    <row r="468" ht="49" customHeight="1">
      <c r="A468" s="12" t="inlineStr">
        <is>
          <t>1.2.2</t>
        </is>
      </c>
      <c r="B468" s="12" t="inlineStr">
        <is>
          <t>Stations - Architectural Fit-Out</t>
        </is>
      </c>
      <c r="C468" s="12" t="inlineStr">
        <is>
          <t>Contractor Programme</t>
        </is>
      </c>
      <c r="D468" s="12" t="inlineStr">
        <is>
          <t>SCH-02-081</t>
        </is>
      </c>
      <c r="E468" s="12" t="inlineStr">
        <is>
          <t>Harbour Station: vertical-transport installation - inspection</t>
        </is>
      </c>
      <c r="F468" s="12" t="inlineStr">
        <is>
          <t>ONE_TO_ONE</t>
        </is>
      </c>
      <c r="G468" s="12" t="inlineStr">
        <is>
          <t>APPROVED</t>
        </is>
      </c>
      <c r="H468" s="12" t="inlineStr">
        <is>
          <t>New</t>
        </is>
      </c>
      <c r="I468" s="12" t="inlineStr">
        <is>
          <t>Source assignment -- not individually reviewed</t>
        </is>
      </c>
      <c r="J468" s="12" t="inlineStr"/>
      <c r="K468" s="12" t="inlineStr">
        <is>
          <t>Source assignment</t>
        </is>
      </c>
      <c r="L468" s="12" t="inlineStr"/>
      <c r="M468" s="12" t="inlineStr">
        <is>
          <t>Initial</t>
        </is>
      </c>
      <c r="N468" s="12" t="inlineStr">
        <is>
          <t>Rev 0</t>
        </is>
      </c>
      <c r="O468" s="12" t="inlineStr">
        <is>
          <t>R261-v1</t>
        </is>
      </c>
      <c r="P468" s="12" t="inlineStr"/>
      <c r="Q468" s="12" t="inlineStr"/>
      <c r="R468" s="12" t="inlineStr"/>
      <c r="S468" s="12" t="inlineStr"/>
      <c r="T468" s="12" t="inlineStr"/>
      <c r="U468" s="12" t="inlineStr"/>
      <c r="V468" s="12" t="inlineStr">
        <is>
          <t>WBS Code = 1.2.2</t>
        </is>
      </c>
      <c r="W468" s="12" t="inlineStr"/>
    </row>
    <row r="469" ht="49" customHeight="1">
      <c r="A469" s="12" t="inlineStr">
        <is>
          <t>1.2.2</t>
        </is>
      </c>
      <c r="B469" s="12" t="inlineStr">
        <is>
          <t>Stations - Architectural Fit-Out</t>
        </is>
      </c>
      <c r="C469" s="12" t="inlineStr">
        <is>
          <t>Contractor Programme</t>
        </is>
      </c>
      <c r="D469" s="12" t="inlineStr">
        <is>
          <t>SCH-02-084</t>
        </is>
      </c>
      <c r="E469" s="12" t="inlineStr">
        <is>
          <t>University Station: fire-life-safety cabling - field start</t>
        </is>
      </c>
      <c r="F469" s="12" t="inlineStr">
        <is>
          <t>ONE_TO_ONE</t>
        </is>
      </c>
      <c r="G469" s="12" t="inlineStr">
        <is>
          <t>APPROVED</t>
        </is>
      </c>
      <c r="H469" s="12" t="inlineStr">
        <is>
          <t>New</t>
        </is>
      </c>
      <c r="I469" s="12" t="inlineStr">
        <is>
          <t>Source assignment -- not individually reviewed</t>
        </is>
      </c>
      <c r="J469" s="12" t="inlineStr"/>
      <c r="K469" s="12" t="inlineStr">
        <is>
          <t>Source assignment</t>
        </is>
      </c>
      <c r="L469" s="12" t="inlineStr"/>
      <c r="M469" s="12" t="inlineStr">
        <is>
          <t>Initial</t>
        </is>
      </c>
      <c r="N469" s="12" t="inlineStr">
        <is>
          <t>Rev 0</t>
        </is>
      </c>
      <c r="O469" s="12" t="inlineStr">
        <is>
          <t>R264-v1</t>
        </is>
      </c>
      <c r="P469" s="12" t="inlineStr"/>
      <c r="Q469" s="12" t="inlineStr"/>
      <c r="R469" s="12" t="inlineStr"/>
      <c r="S469" s="12" t="inlineStr"/>
      <c r="T469" s="12" t="inlineStr"/>
      <c r="U469" s="12" t="inlineStr"/>
      <c r="V469" s="12" t="inlineStr">
        <is>
          <t>WBS Code = 1.2.2</t>
        </is>
      </c>
      <c r="W469" s="12" t="inlineStr"/>
    </row>
    <row r="470" ht="49" customHeight="1">
      <c r="A470" s="12" t="inlineStr">
        <is>
          <t>1.2.2</t>
        </is>
      </c>
      <c r="B470" s="12" t="inlineStr">
        <is>
          <t>Stations - Architectural Fit-Out</t>
        </is>
      </c>
      <c r="C470" s="12" t="inlineStr">
        <is>
          <t>Contractor Programme</t>
        </is>
      </c>
      <c r="D470" s="12" t="inlineStr">
        <is>
          <t>SCH-02-087</t>
        </is>
      </c>
      <c r="E470" s="12" t="inlineStr">
        <is>
          <t>Market Station: public-realm paving - turnover</t>
        </is>
      </c>
      <c r="F470" s="12" t="inlineStr">
        <is>
          <t>ONE_TO_ONE</t>
        </is>
      </c>
      <c r="G470" s="12" t="inlineStr">
        <is>
          <t>APPROVED</t>
        </is>
      </c>
      <c r="H470" s="12" t="inlineStr">
        <is>
          <t>New</t>
        </is>
      </c>
      <c r="I470" s="12" t="inlineStr">
        <is>
          <t>Source assignment -- not individually reviewed</t>
        </is>
      </c>
      <c r="J470" s="12" t="inlineStr"/>
      <c r="K470" s="12" t="inlineStr">
        <is>
          <t>Source assignment</t>
        </is>
      </c>
      <c r="L470" s="12" t="inlineStr"/>
      <c r="M470" s="12" t="inlineStr">
        <is>
          <t>Initial</t>
        </is>
      </c>
      <c r="N470" s="12" t="inlineStr">
        <is>
          <t>Rev 0</t>
        </is>
      </c>
      <c r="O470" s="12" t="inlineStr">
        <is>
          <t>R267-v1</t>
        </is>
      </c>
      <c r="P470" s="12" t="inlineStr"/>
      <c r="Q470" s="12" t="inlineStr"/>
      <c r="R470" s="12" t="inlineStr"/>
      <c r="S470" s="12" t="inlineStr"/>
      <c r="T470" s="12" t="inlineStr"/>
      <c r="U470" s="12" t="inlineStr"/>
      <c r="V470" s="12" t="inlineStr">
        <is>
          <t>WBS Code = 1.2.2</t>
        </is>
      </c>
      <c r="W470" s="12" t="inlineStr"/>
    </row>
    <row r="471" ht="49" customHeight="1">
      <c r="A471" s="12" t="inlineStr">
        <is>
          <t>1.2.2</t>
        </is>
      </c>
      <c r="B471" s="12" t="inlineStr">
        <is>
          <t>Stations - Architectural Fit-Out</t>
        </is>
      </c>
      <c r="C471" s="12" t="inlineStr">
        <is>
          <t>Contractor Programme</t>
        </is>
      </c>
      <c r="D471" s="12" t="inlineStr">
        <is>
          <t>SCH-02-090</t>
        </is>
      </c>
      <c r="E471" s="12" t="inlineStr">
        <is>
          <t>West Terminal: platform edge installation - installation</t>
        </is>
      </c>
      <c r="F471" s="12" t="inlineStr">
        <is>
          <t>ONE_TO_ONE</t>
        </is>
      </c>
      <c r="G471" s="12" t="inlineStr">
        <is>
          <t>APPROVED</t>
        </is>
      </c>
      <c r="H471" s="12" t="inlineStr">
        <is>
          <t>New</t>
        </is>
      </c>
      <c r="I471" s="12" t="inlineStr">
        <is>
          <t>Source assignment -- not individually reviewed</t>
        </is>
      </c>
      <c r="J471" s="12" t="inlineStr"/>
      <c r="K471" s="12" t="inlineStr">
        <is>
          <t>Source assignment</t>
        </is>
      </c>
      <c r="L471" s="12" t="inlineStr"/>
      <c r="M471" s="12" t="inlineStr">
        <is>
          <t>Initial</t>
        </is>
      </c>
      <c r="N471" s="12" t="inlineStr">
        <is>
          <t>Rev 0</t>
        </is>
      </c>
      <c r="O471" s="12" t="inlineStr">
        <is>
          <t>R270-v1</t>
        </is>
      </c>
      <c r="P471" s="12" t="inlineStr"/>
      <c r="Q471" s="12" t="inlineStr"/>
      <c r="R471" s="12" t="inlineStr"/>
      <c r="S471" s="12" t="inlineStr"/>
      <c r="T471" s="12" t="inlineStr"/>
      <c r="U471" s="12" t="inlineStr"/>
      <c r="V471" s="12" t="inlineStr">
        <is>
          <t>WBS Code = 1.2.2</t>
        </is>
      </c>
      <c r="W471" s="12" t="inlineStr"/>
    </row>
    <row r="472" ht="49" customHeight="1">
      <c r="A472" s="12" t="inlineStr">
        <is>
          <t>1.2.2</t>
        </is>
      </c>
      <c r="B472" s="12" t="inlineStr">
        <is>
          <t>Stations - Architectural Fit-Out</t>
        </is>
      </c>
      <c r="C472" s="12" t="inlineStr">
        <is>
          <t>Contractor Programme</t>
        </is>
      </c>
      <c r="D472" s="12" t="inlineStr">
        <is>
          <t>SCH-02-093</t>
        </is>
      </c>
      <c r="E472" s="12" t="inlineStr">
        <is>
          <t>Civic Station: concourse slab pour - release</t>
        </is>
      </c>
      <c r="F472" s="12" t="inlineStr">
        <is>
          <t>ONE_TO_ONE</t>
        </is>
      </c>
      <c r="G472" s="12" t="inlineStr">
        <is>
          <t>APPROVED</t>
        </is>
      </c>
      <c r="H472" s="12" t="inlineStr">
        <is>
          <t>New</t>
        </is>
      </c>
      <c r="I472" s="12" t="inlineStr">
        <is>
          <t>Source assignment -- not individually reviewed</t>
        </is>
      </c>
      <c r="J472" s="12" t="inlineStr"/>
      <c r="K472" s="12" t="inlineStr">
        <is>
          <t>Source assignment</t>
        </is>
      </c>
      <c r="L472" s="12" t="inlineStr"/>
      <c r="M472" s="12" t="inlineStr">
        <is>
          <t>Initial</t>
        </is>
      </c>
      <c r="N472" s="12" t="inlineStr">
        <is>
          <t>Rev 0</t>
        </is>
      </c>
      <c r="O472" s="12" t="inlineStr">
        <is>
          <t>R273-v1</t>
        </is>
      </c>
      <c r="P472" s="12" t="inlineStr"/>
      <c r="Q472" s="12" t="inlineStr"/>
      <c r="R472" s="12" t="inlineStr"/>
      <c r="S472" s="12" t="inlineStr"/>
      <c r="T472" s="12" t="inlineStr"/>
      <c r="U472" s="12" t="inlineStr"/>
      <c r="V472" s="12" t="inlineStr">
        <is>
          <t>WBS Code = 1.2.2</t>
        </is>
      </c>
      <c r="W472" s="12" t="inlineStr"/>
    </row>
    <row r="473" ht="49" customHeight="1">
      <c r="A473" s="12" t="inlineStr">
        <is>
          <t>1.2.2</t>
        </is>
      </c>
      <c r="B473" s="12" t="inlineStr">
        <is>
          <t>Stations - Architectural Fit-Out</t>
        </is>
      </c>
      <c r="C473" s="12" t="inlineStr">
        <is>
          <t>Contractor Programme</t>
        </is>
      </c>
      <c r="D473" s="12" t="inlineStr">
        <is>
          <t>SCH-02-096</t>
        </is>
      </c>
      <c r="E473" s="12" t="inlineStr">
        <is>
          <t>Harbour Station: entrance steel erection - inspection</t>
        </is>
      </c>
      <c r="F473" s="12" t="inlineStr">
        <is>
          <t>ONE_TO_ONE</t>
        </is>
      </c>
      <c r="G473" s="12" t="inlineStr">
        <is>
          <t>APPROVED</t>
        </is>
      </c>
      <c r="H473" s="12" t="inlineStr">
        <is>
          <t>New</t>
        </is>
      </c>
      <c r="I473" s="12" t="inlineStr">
        <is>
          <t>Source assignment -- not individually reviewed</t>
        </is>
      </c>
      <c r="J473" s="12" t="inlineStr"/>
      <c r="K473" s="12" t="inlineStr">
        <is>
          <t>Source assignment</t>
        </is>
      </c>
      <c r="L473" s="12" t="inlineStr"/>
      <c r="M473" s="12" t="inlineStr">
        <is>
          <t>Initial</t>
        </is>
      </c>
      <c r="N473" s="12" t="inlineStr">
        <is>
          <t>Rev 0</t>
        </is>
      </c>
      <c r="O473" s="12" t="inlineStr">
        <is>
          <t>R276-v1</t>
        </is>
      </c>
      <c r="P473" s="12" t="inlineStr"/>
      <c r="Q473" s="12" t="inlineStr"/>
      <c r="R473" s="12" t="inlineStr"/>
      <c r="S473" s="12" t="inlineStr"/>
      <c r="T473" s="12" t="inlineStr"/>
      <c r="U473" s="12" t="inlineStr"/>
      <c r="V473" s="12" t="inlineStr">
        <is>
          <t>WBS Code = 1.2.2</t>
        </is>
      </c>
      <c r="W473" s="12" t="inlineStr"/>
    </row>
    <row r="474" ht="49" customHeight="1">
      <c r="A474" s="12" t="inlineStr">
        <is>
          <t>1.2.2</t>
        </is>
      </c>
      <c r="B474" s="12" t="inlineStr">
        <is>
          <t>Stations - Architectural Fit-Out</t>
        </is>
      </c>
      <c r="C474" s="12" t="inlineStr">
        <is>
          <t>Contractor Programme</t>
        </is>
      </c>
      <c r="D474" s="12" t="inlineStr">
        <is>
          <t>SCH-02-099</t>
        </is>
      </c>
      <c r="E474" s="12" t="inlineStr">
        <is>
          <t>University Station: architectural wall framing - field start</t>
        </is>
      </c>
      <c r="F474" s="12" t="inlineStr">
        <is>
          <t>ONE_TO_ONE</t>
        </is>
      </c>
      <c r="G474" s="12" t="inlineStr">
        <is>
          <t>APPROVED</t>
        </is>
      </c>
      <c r="H474" s="12" t="inlineStr">
        <is>
          <t>New</t>
        </is>
      </c>
      <c r="I474" s="12" t="inlineStr">
        <is>
          <t>Source assignment -- not individually reviewed</t>
        </is>
      </c>
      <c r="J474" s="12" t="inlineStr"/>
      <c r="K474" s="12" t="inlineStr">
        <is>
          <t>Source assignment</t>
        </is>
      </c>
      <c r="L474" s="12" t="inlineStr"/>
      <c r="M474" s="12" t="inlineStr">
        <is>
          <t>Initial</t>
        </is>
      </c>
      <c r="N474" s="12" t="inlineStr">
        <is>
          <t>Rev 0</t>
        </is>
      </c>
      <c r="O474" s="12" t="inlineStr">
        <is>
          <t>R279-v1</t>
        </is>
      </c>
      <c r="P474" s="12" t="inlineStr"/>
      <c r="Q474" s="12" t="inlineStr"/>
      <c r="R474" s="12" t="inlineStr"/>
      <c r="S474" s="12" t="inlineStr"/>
      <c r="T474" s="12" t="inlineStr"/>
      <c r="U474" s="12" t="inlineStr"/>
      <c r="V474" s="12" t="inlineStr">
        <is>
          <t>WBS Code = 1.2.2</t>
        </is>
      </c>
      <c r="W474" s="12" t="inlineStr"/>
    </row>
    <row r="475" ht="49" customHeight="1">
      <c r="A475" s="12" t="inlineStr">
        <is>
          <t>1.2.2</t>
        </is>
      </c>
      <c r="B475" s="12" t="inlineStr">
        <is>
          <t>Stations - Architectural Fit-Out</t>
        </is>
      </c>
      <c r="C475" s="12" t="inlineStr">
        <is>
          <t>Contractor Programme</t>
        </is>
      </c>
      <c r="D475" s="12" t="inlineStr">
        <is>
          <t>SCH-02-102</t>
        </is>
      </c>
      <c r="E475" s="12" t="inlineStr">
        <is>
          <t>Market Station: station ventilation rough-in - turnover</t>
        </is>
      </c>
      <c r="F475" s="12" t="inlineStr">
        <is>
          <t>ONE_TO_ONE</t>
        </is>
      </c>
      <c r="G475" s="12" t="inlineStr">
        <is>
          <t>APPROVED</t>
        </is>
      </c>
      <c r="H475" s="12" t="inlineStr">
        <is>
          <t>New</t>
        </is>
      </c>
      <c r="I475" s="12" t="inlineStr">
        <is>
          <t>Source assignment -- not individually reviewed</t>
        </is>
      </c>
      <c r="J475" s="12" t="inlineStr"/>
      <c r="K475" s="12" t="inlineStr">
        <is>
          <t>Source assignment</t>
        </is>
      </c>
      <c r="L475" s="12" t="inlineStr"/>
      <c r="M475" s="12" t="inlineStr">
        <is>
          <t>Initial</t>
        </is>
      </c>
      <c r="N475" s="12" t="inlineStr">
        <is>
          <t>Rev 0</t>
        </is>
      </c>
      <c r="O475" s="12" t="inlineStr">
        <is>
          <t>R282-v1</t>
        </is>
      </c>
      <c r="P475" s="12" t="inlineStr"/>
      <c r="Q475" s="12" t="inlineStr"/>
      <c r="R475" s="12" t="inlineStr"/>
      <c r="S475" s="12" t="inlineStr"/>
      <c r="T475" s="12" t="inlineStr"/>
      <c r="U475" s="12" t="inlineStr"/>
      <c r="V475" s="12" t="inlineStr">
        <is>
          <t>WBS Code = 1.2.2</t>
        </is>
      </c>
      <c r="W475" s="12" t="inlineStr"/>
    </row>
    <row r="476" ht="49" customHeight="1">
      <c r="A476" s="12" t="inlineStr">
        <is>
          <t>1.2.2</t>
        </is>
      </c>
      <c r="B476" s="12" t="inlineStr">
        <is>
          <t>Stations - Architectural Fit-Out</t>
        </is>
      </c>
      <c r="C476" s="12" t="inlineStr">
        <is>
          <t>Contractor Programme</t>
        </is>
      </c>
      <c r="D476" s="12" t="inlineStr">
        <is>
          <t>SCH-02-105</t>
        </is>
      </c>
      <c r="E476" s="12" t="inlineStr">
        <is>
          <t>West Terminal: vertical-transport installation - installation</t>
        </is>
      </c>
      <c r="F476" s="12" t="inlineStr">
        <is>
          <t>ONE_TO_ONE</t>
        </is>
      </c>
      <c r="G476" s="12" t="inlineStr">
        <is>
          <t>APPROVED</t>
        </is>
      </c>
      <c r="H476" s="12" t="inlineStr">
        <is>
          <t>New</t>
        </is>
      </c>
      <c r="I476" s="12" t="inlineStr">
        <is>
          <t>Source assignment -- not individually reviewed</t>
        </is>
      </c>
      <c r="J476" s="12" t="inlineStr"/>
      <c r="K476" s="12" t="inlineStr">
        <is>
          <t>Source assignment</t>
        </is>
      </c>
      <c r="L476" s="12" t="inlineStr"/>
      <c r="M476" s="12" t="inlineStr">
        <is>
          <t>Initial</t>
        </is>
      </c>
      <c r="N476" s="12" t="inlineStr">
        <is>
          <t>Rev 0</t>
        </is>
      </c>
      <c r="O476" s="12" t="inlineStr">
        <is>
          <t>R285-v1</t>
        </is>
      </c>
      <c r="P476" s="12" t="inlineStr"/>
      <c r="Q476" s="12" t="inlineStr"/>
      <c r="R476" s="12" t="inlineStr"/>
      <c r="S476" s="12" t="inlineStr"/>
      <c r="T476" s="12" t="inlineStr"/>
      <c r="U476" s="12" t="inlineStr"/>
      <c r="V476" s="12" t="inlineStr">
        <is>
          <t>WBS Code = 1.2.2</t>
        </is>
      </c>
      <c r="W476" s="12" t="inlineStr"/>
    </row>
    <row r="477" ht="49" customHeight="1">
      <c r="A477" s="12" t="inlineStr">
        <is>
          <t>1.2.2</t>
        </is>
      </c>
      <c r="B477" s="12" t="inlineStr">
        <is>
          <t>Stations - Architectural Fit-Out</t>
        </is>
      </c>
      <c r="C477" s="12" t="inlineStr">
        <is>
          <t>Contractor Programme</t>
        </is>
      </c>
      <c r="D477" s="12" t="inlineStr">
        <is>
          <t>SCH-02-108</t>
        </is>
      </c>
      <c r="E477" s="12" t="inlineStr">
        <is>
          <t>Civic Station: fire-life-safety cabling - release</t>
        </is>
      </c>
      <c r="F477" s="12" t="inlineStr">
        <is>
          <t>ONE_TO_ONE</t>
        </is>
      </c>
      <c r="G477" s="12" t="inlineStr">
        <is>
          <t>APPROVED</t>
        </is>
      </c>
      <c r="H477" s="12" t="inlineStr">
        <is>
          <t>New</t>
        </is>
      </c>
      <c r="I477" s="12" t="inlineStr">
        <is>
          <t>Source assignment -- not individually reviewed</t>
        </is>
      </c>
      <c r="J477" s="12" t="inlineStr"/>
      <c r="K477" s="12" t="inlineStr">
        <is>
          <t>Source assignment</t>
        </is>
      </c>
      <c r="L477" s="12" t="inlineStr"/>
      <c r="M477" s="12" t="inlineStr">
        <is>
          <t>Initial</t>
        </is>
      </c>
      <c r="N477" s="12" t="inlineStr">
        <is>
          <t>Rev 0</t>
        </is>
      </c>
      <c r="O477" s="12" t="inlineStr">
        <is>
          <t>R288-v1</t>
        </is>
      </c>
      <c r="P477" s="12" t="inlineStr"/>
      <c r="Q477" s="12" t="inlineStr"/>
      <c r="R477" s="12" t="inlineStr"/>
      <c r="S477" s="12" t="inlineStr"/>
      <c r="T477" s="12" t="inlineStr"/>
      <c r="U477" s="12" t="inlineStr"/>
      <c r="V477" s="12" t="inlineStr">
        <is>
          <t>WBS Code = 1.2.2</t>
        </is>
      </c>
      <c r="W477" s="12" t="inlineStr"/>
    </row>
    <row r="478" ht="49" customHeight="1">
      <c r="A478" s="12" t="inlineStr">
        <is>
          <t>1.2.2</t>
        </is>
      </c>
      <c r="B478" s="12" t="inlineStr">
        <is>
          <t>Stations - Architectural Fit-Out</t>
        </is>
      </c>
      <c r="C478" s="12" t="inlineStr">
        <is>
          <t>Contractor Programme</t>
        </is>
      </c>
      <c r="D478" s="12" t="inlineStr">
        <is>
          <t>SCH-02-111</t>
        </is>
      </c>
      <c r="E478" s="12" t="inlineStr">
        <is>
          <t>Harbour Station: public-realm paving - inspection</t>
        </is>
      </c>
      <c r="F478" s="12" t="inlineStr">
        <is>
          <t>ONE_TO_ONE</t>
        </is>
      </c>
      <c r="G478" s="12" t="inlineStr">
        <is>
          <t>APPROVED</t>
        </is>
      </c>
      <c r="H478" s="12" t="inlineStr">
        <is>
          <t>New</t>
        </is>
      </c>
      <c r="I478" s="12" t="inlineStr">
        <is>
          <t>Source assignment -- not individually reviewed</t>
        </is>
      </c>
      <c r="J478" s="12" t="inlineStr"/>
      <c r="K478" s="12" t="inlineStr">
        <is>
          <t>Source assignment</t>
        </is>
      </c>
      <c r="L478" s="12" t="inlineStr"/>
      <c r="M478" s="12" t="inlineStr">
        <is>
          <t>Initial</t>
        </is>
      </c>
      <c r="N478" s="12" t="inlineStr">
        <is>
          <t>Rev 0</t>
        </is>
      </c>
      <c r="O478" s="12" t="inlineStr">
        <is>
          <t>R291-v1</t>
        </is>
      </c>
      <c r="P478" s="12" t="inlineStr"/>
      <c r="Q478" s="12" t="inlineStr"/>
      <c r="R478" s="12" t="inlineStr"/>
      <c r="S478" s="12" t="inlineStr"/>
      <c r="T478" s="12" t="inlineStr"/>
      <c r="U478" s="12" t="inlineStr"/>
      <c r="V478" s="12" t="inlineStr">
        <is>
          <t>WBS Code = 1.2.2</t>
        </is>
      </c>
      <c r="W478" s="12" t="inlineStr"/>
    </row>
    <row r="479" ht="49" customHeight="1">
      <c r="A479" s="12" t="inlineStr">
        <is>
          <t>1.2.2</t>
        </is>
      </c>
      <c r="B479" s="12" t="inlineStr">
        <is>
          <t>Stations - Architectural Fit-Out</t>
        </is>
      </c>
      <c r="C479" s="12" t="inlineStr">
        <is>
          <t>Contractor Programme</t>
        </is>
      </c>
      <c r="D479" s="12" t="inlineStr">
        <is>
          <t>SCH-02-114</t>
        </is>
      </c>
      <c r="E479" s="12" t="inlineStr">
        <is>
          <t>University Station: platform edge installation - field start</t>
        </is>
      </c>
      <c r="F479" s="12" t="inlineStr">
        <is>
          <t>ONE_TO_ONE</t>
        </is>
      </c>
      <c r="G479" s="12" t="inlineStr">
        <is>
          <t>APPROVED</t>
        </is>
      </c>
      <c r="H479" s="12" t="inlineStr">
        <is>
          <t>New</t>
        </is>
      </c>
      <c r="I479" s="12" t="inlineStr">
        <is>
          <t>Source assignment -- not individually reviewed</t>
        </is>
      </c>
      <c r="J479" s="12" t="inlineStr"/>
      <c r="K479" s="12" t="inlineStr">
        <is>
          <t>Source assignment</t>
        </is>
      </c>
      <c r="L479" s="12" t="inlineStr"/>
      <c r="M479" s="12" t="inlineStr">
        <is>
          <t>Initial</t>
        </is>
      </c>
      <c r="N479" s="12" t="inlineStr">
        <is>
          <t>Rev 0</t>
        </is>
      </c>
      <c r="O479" s="12" t="inlineStr">
        <is>
          <t>R294-v1</t>
        </is>
      </c>
      <c r="P479" s="12" t="inlineStr"/>
      <c r="Q479" s="12" t="inlineStr"/>
      <c r="R479" s="12" t="inlineStr"/>
      <c r="S479" s="12" t="inlineStr"/>
      <c r="T479" s="12" t="inlineStr"/>
      <c r="U479" s="12" t="inlineStr"/>
      <c r="V479" s="12" t="inlineStr">
        <is>
          <t>WBS Code = 1.2.2</t>
        </is>
      </c>
      <c r="W479" s="12" t="inlineStr"/>
    </row>
    <row r="480" ht="49" customHeight="1">
      <c r="A480" s="12" t="inlineStr">
        <is>
          <t>1.2.2</t>
        </is>
      </c>
      <c r="B480" s="12" t="inlineStr">
        <is>
          <t>Stations - Architectural Fit-Out</t>
        </is>
      </c>
      <c r="C480" s="12" t="inlineStr">
        <is>
          <t>Contractor Programme</t>
        </is>
      </c>
      <c r="D480" s="12" t="inlineStr">
        <is>
          <t>SCH-02-117</t>
        </is>
      </c>
      <c r="E480" s="12" t="inlineStr">
        <is>
          <t>Market Station: concourse slab pour - turnover</t>
        </is>
      </c>
      <c r="F480" s="12" t="inlineStr">
        <is>
          <t>ONE_TO_ONE</t>
        </is>
      </c>
      <c r="G480" s="12" t="inlineStr">
        <is>
          <t>APPROVED</t>
        </is>
      </c>
      <c r="H480" s="12" t="inlineStr">
        <is>
          <t>New</t>
        </is>
      </c>
      <c r="I480" s="12" t="inlineStr">
        <is>
          <t>Source assignment -- not individually reviewed</t>
        </is>
      </c>
      <c r="J480" s="12" t="inlineStr"/>
      <c r="K480" s="12" t="inlineStr">
        <is>
          <t>Source assignment</t>
        </is>
      </c>
      <c r="L480" s="12" t="inlineStr"/>
      <c r="M480" s="12" t="inlineStr">
        <is>
          <t>Initial</t>
        </is>
      </c>
      <c r="N480" s="12" t="inlineStr">
        <is>
          <t>Rev 0</t>
        </is>
      </c>
      <c r="O480" s="12" t="inlineStr">
        <is>
          <t>R297-v1</t>
        </is>
      </c>
      <c r="P480" s="12" t="inlineStr"/>
      <c r="Q480" s="12" t="inlineStr"/>
      <c r="R480" s="12" t="inlineStr"/>
      <c r="S480" s="12" t="inlineStr"/>
      <c r="T480" s="12" t="inlineStr"/>
      <c r="U480" s="12" t="inlineStr"/>
      <c r="V480" s="12" t="inlineStr">
        <is>
          <t>WBS Code = 1.2.2</t>
        </is>
      </c>
      <c r="W480" s="12" t="inlineStr"/>
    </row>
    <row r="481" ht="49" customHeight="1">
      <c r="A481" s="12" t="inlineStr">
        <is>
          <t>1.2.2</t>
        </is>
      </c>
      <c r="B481" s="12" t="inlineStr">
        <is>
          <t>Stations - Architectural Fit-Out</t>
        </is>
      </c>
      <c r="C481" s="12" t="inlineStr">
        <is>
          <t>Contractor Programme</t>
        </is>
      </c>
      <c r="D481" s="12" t="inlineStr">
        <is>
          <t>SCH-02-120</t>
        </is>
      </c>
      <c r="E481" s="12" t="inlineStr">
        <is>
          <t>West Terminal: entrance steel erection - installation</t>
        </is>
      </c>
      <c r="F481" s="12" t="inlineStr">
        <is>
          <t>ONE_TO_ONE</t>
        </is>
      </c>
      <c r="G481" s="12" t="inlineStr">
        <is>
          <t>APPROVED</t>
        </is>
      </c>
      <c r="H481" s="12" t="inlineStr">
        <is>
          <t>New</t>
        </is>
      </c>
      <c r="I481" s="12" t="inlineStr">
        <is>
          <t>Source assignment -- not individually reviewed</t>
        </is>
      </c>
      <c r="J481" s="12" t="inlineStr"/>
      <c r="K481" s="12" t="inlineStr">
        <is>
          <t>Source assignment</t>
        </is>
      </c>
      <c r="L481" s="12" t="inlineStr"/>
      <c r="M481" s="12" t="inlineStr">
        <is>
          <t>Initial</t>
        </is>
      </c>
      <c r="N481" s="12" t="inlineStr">
        <is>
          <t>Rev 0</t>
        </is>
      </c>
      <c r="O481" s="12" t="inlineStr">
        <is>
          <t>R300-v1</t>
        </is>
      </c>
      <c r="P481" s="12" t="inlineStr"/>
      <c r="Q481" s="12" t="inlineStr"/>
      <c r="R481" s="12" t="inlineStr"/>
      <c r="S481" s="12" t="inlineStr"/>
      <c r="T481" s="12" t="inlineStr"/>
      <c r="U481" s="12" t="inlineStr"/>
      <c r="V481" s="12" t="inlineStr">
        <is>
          <t>WBS Code = 1.2.2</t>
        </is>
      </c>
      <c r="W481" s="12" t="inlineStr"/>
    </row>
    <row r="482" ht="49" customHeight="1">
      <c r="A482" s="12" t="inlineStr">
        <is>
          <t>1.2.2</t>
        </is>
      </c>
      <c r="B482" s="12" t="inlineStr">
        <is>
          <t>Stations - Architectural Fit-Out</t>
        </is>
      </c>
      <c r="C482" s="12" t="inlineStr">
        <is>
          <t>Contractor Programme</t>
        </is>
      </c>
      <c r="D482" s="12" t="inlineStr">
        <is>
          <t>SCH-02-123</t>
        </is>
      </c>
      <c r="E482" s="12" t="inlineStr">
        <is>
          <t>Civic Station: architectural wall framing - release</t>
        </is>
      </c>
      <c r="F482" s="12" t="inlineStr">
        <is>
          <t>ONE_TO_ONE</t>
        </is>
      </c>
      <c r="G482" s="12" t="inlineStr">
        <is>
          <t>APPROVED</t>
        </is>
      </c>
      <c r="H482" s="12" t="inlineStr">
        <is>
          <t>New</t>
        </is>
      </c>
      <c r="I482" s="12" t="inlineStr">
        <is>
          <t>Source assignment -- not individually reviewed</t>
        </is>
      </c>
      <c r="J482" s="12" t="inlineStr"/>
      <c r="K482" s="12" t="inlineStr">
        <is>
          <t>Source assignment</t>
        </is>
      </c>
      <c r="L482" s="12" t="inlineStr"/>
      <c r="M482" s="12" t="inlineStr">
        <is>
          <t>Initial</t>
        </is>
      </c>
      <c r="N482" s="12" t="inlineStr">
        <is>
          <t>Rev 0</t>
        </is>
      </c>
      <c r="O482" s="12" t="inlineStr">
        <is>
          <t>R303-v1</t>
        </is>
      </c>
      <c r="P482" s="12" t="inlineStr"/>
      <c r="Q482" s="12" t="inlineStr"/>
      <c r="R482" s="12" t="inlineStr"/>
      <c r="S482" s="12" t="inlineStr"/>
      <c r="T482" s="12" t="inlineStr"/>
      <c r="U482" s="12" t="inlineStr"/>
      <c r="V482" s="12" t="inlineStr">
        <is>
          <t>WBS Code = 1.2.2</t>
        </is>
      </c>
      <c r="W482" s="12" t="inlineStr"/>
    </row>
    <row r="483" ht="49" customHeight="1">
      <c r="A483" s="12" t="inlineStr">
        <is>
          <t>1.2.2</t>
        </is>
      </c>
      <c r="B483" s="12" t="inlineStr">
        <is>
          <t>Stations - Architectural Fit-Out</t>
        </is>
      </c>
      <c r="C483" s="12" t="inlineStr">
        <is>
          <t>Contractor Programme</t>
        </is>
      </c>
      <c r="D483" s="12" t="inlineStr">
        <is>
          <t>SCH-02-126</t>
        </is>
      </c>
      <c r="E483" s="12" t="inlineStr">
        <is>
          <t>Harbour Station: station ventilation rough-in - inspection</t>
        </is>
      </c>
      <c r="F483" s="12" t="inlineStr">
        <is>
          <t>ONE_TO_ONE</t>
        </is>
      </c>
      <c r="G483" s="12" t="inlineStr">
        <is>
          <t>APPROVED</t>
        </is>
      </c>
      <c r="H483" s="12" t="inlineStr">
        <is>
          <t>New</t>
        </is>
      </c>
      <c r="I483" s="12" t="inlineStr">
        <is>
          <t>Source assignment -- not individually reviewed</t>
        </is>
      </c>
      <c r="J483" s="12" t="inlineStr"/>
      <c r="K483" s="12" t="inlineStr">
        <is>
          <t>Source assignment</t>
        </is>
      </c>
      <c r="L483" s="12" t="inlineStr"/>
      <c r="M483" s="12" t="inlineStr">
        <is>
          <t>Initial</t>
        </is>
      </c>
      <c r="N483" s="12" t="inlineStr">
        <is>
          <t>Rev 0</t>
        </is>
      </c>
      <c r="O483" s="12" t="inlineStr">
        <is>
          <t>R306-v1</t>
        </is>
      </c>
      <c r="P483" s="12" t="inlineStr"/>
      <c r="Q483" s="12" t="inlineStr"/>
      <c r="R483" s="12" t="inlineStr"/>
      <c r="S483" s="12" t="inlineStr"/>
      <c r="T483" s="12" t="inlineStr"/>
      <c r="U483" s="12" t="inlineStr"/>
      <c r="V483" s="12" t="inlineStr">
        <is>
          <t>WBS Code = 1.2.2</t>
        </is>
      </c>
      <c r="W483" s="12" t="inlineStr"/>
    </row>
    <row r="484" ht="49" customHeight="1">
      <c r="A484" s="12" t="inlineStr">
        <is>
          <t>1.2.2</t>
        </is>
      </c>
      <c r="B484" s="12" t="inlineStr">
        <is>
          <t>Stations - Architectural Fit-Out</t>
        </is>
      </c>
      <c r="C484" s="12" t="inlineStr">
        <is>
          <t>Contractor Programme</t>
        </is>
      </c>
      <c r="D484" s="12" t="inlineStr">
        <is>
          <t>SCH-02-129</t>
        </is>
      </c>
      <c r="E484" s="12" t="inlineStr">
        <is>
          <t>University Station: vertical-transport installation - field start</t>
        </is>
      </c>
      <c r="F484" s="12" t="inlineStr">
        <is>
          <t>ONE_TO_ONE</t>
        </is>
      </c>
      <c r="G484" s="12" t="inlineStr">
        <is>
          <t>APPROVED</t>
        </is>
      </c>
      <c r="H484" s="12" t="inlineStr">
        <is>
          <t>New</t>
        </is>
      </c>
      <c r="I484" s="12" t="inlineStr">
        <is>
          <t>Source assignment -- not individually reviewed</t>
        </is>
      </c>
      <c r="J484" s="12" t="inlineStr"/>
      <c r="K484" s="12" t="inlineStr">
        <is>
          <t>Source assignment</t>
        </is>
      </c>
      <c r="L484" s="12" t="inlineStr"/>
      <c r="M484" s="12" t="inlineStr">
        <is>
          <t>Initial</t>
        </is>
      </c>
      <c r="N484" s="12" t="inlineStr">
        <is>
          <t>Rev 0</t>
        </is>
      </c>
      <c r="O484" s="12" t="inlineStr">
        <is>
          <t>R309-v1</t>
        </is>
      </c>
      <c r="P484" s="12" t="inlineStr"/>
      <c r="Q484" s="12" t="inlineStr"/>
      <c r="R484" s="12" t="inlineStr"/>
      <c r="S484" s="12" t="inlineStr"/>
      <c r="T484" s="12" t="inlineStr"/>
      <c r="U484" s="12" t="inlineStr"/>
      <c r="V484" s="12" t="inlineStr">
        <is>
          <t>WBS Code = 1.2.2</t>
        </is>
      </c>
      <c r="W484" s="12" t="inlineStr"/>
    </row>
    <row r="485" ht="49" customHeight="1">
      <c r="A485" s="12" t="inlineStr">
        <is>
          <t>1.2.2</t>
        </is>
      </c>
      <c r="B485" s="12" t="inlineStr">
        <is>
          <t>Stations - Architectural Fit-Out</t>
        </is>
      </c>
      <c r="C485" s="12" t="inlineStr">
        <is>
          <t>Contractor Programme</t>
        </is>
      </c>
      <c r="D485" s="12" t="inlineStr">
        <is>
          <t>SCH-02-132</t>
        </is>
      </c>
      <c r="E485" s="12" t="inlineStr">
        <is>
          <t>Market Station: fire-life-safety cabling - turnover</t>
        </is>
      </c>
      <c r="F485" s="12" t="inlineStr">
        <is>
          <t>ONE_TO_ONE</t>
        </is>
      </c>
      <c r="G485" s="12" t="inlineStr">
        <is>
          <t>APPROVED</t>
        </is>
      </c>
      <c r="H485" s="12" t="inlineStr">
        <is>
          <t>New</t>
        </is>
      </c>
      <c r="I485" s="12" t="inlineStr">
        <is>
          <t>Source assignment -- not individually reviewed</t>
        </is>
      </c>
      <c r="J485" s="12" t="inlineStr"/>
      <c r="K485" s="12" t="inlineStr">
        <is>
          <t>Source assignment</t>
        </is>
      </c>
      <c r="L485" s="12" t="inlineStr"/>
      <c r="M485" s="12" t="inlineStr">
        <is>
          <t>Initial</t>
        </is>
      </c>
      <c r="N485" s="12" t="inlineStr">
        <is>
          <t>Rev 0</t>
        </is>
      </c>
      <c r="O485" s="12" t="inlineStr">
        <is>
          <t>R312-v1</t>
        </is>
      </c>
      <c r="P485" s="12" t="inlineStr"/>
      <c r="Q485" s="12" t="inlineStr"/>
      <c r="R485" s="12" t="inlineStr"/>
      <c r="S485" s="12" t="inlineStr"/>
      <c r="T485" s="12" t="inlineStr"/>
      <c r="U485" s="12" t="inlineStr"/>
      <c r="V485" s="12" t="inlineStr">
        <is>
          <t>WBS Code = 1.2.2</t>
        </is>
      </c>
      <c r="W485" s="12" t="inlineStr"/>
    </row>
    <row r="486" ht="49" customHeight="1">
      <c r="A486" s="12" t="inlineStr">
        <is>
          <t>1.2.2</t>
        </is>
      </c>
      <c r="B486" s="12" t="inlineStr">
        <is>
          <t>Stations - Architectural Fit-Out</t>
        </is>
      </c>
      <c r="C486" s="12" t="inlineStr">
        <is>
          <t>Contractor Programme</t>
        </is>
      </c>
      <c r="D486" s="12" t="inlineStr">
        <is>
          <t>SCH-02-135</t>
        </is>
      </c>
      <c r="E486" s="12" t="inlineStr">
        <is>
          <t>West Terminal: public-realm paving - installation</t>
        </is>
      </c>
      <c r="F486" s="12" t="inlineStr">
        <is>
          <t>ONE_TO_ONE</t>
        </is>
      </c>
      <c r="G486" s="12" t="inlineStr">
        <is>
          <t>APPROVED</t>
        </is>
      </c>
      <c r="H486" s="12" t="inlineStr">
        <is>
          <t>New</t>
        </is>
      </c>
      <c r="I486" s="12" t="inlineStr">
        <is>
          <t>Source assignment -- not individually reviewed</t>
        </is>
      </c>
      <c r="J486" s="12" t="inlineStr"/>
      <c r="K486" s="12" t="inlineStr">
        <is>
          <t>Source assignment</t>
        </is>
      </c>
      <c r="L486" s="12" t="inlineStr"/>
      <c r="M486" s="12" t="inlineStr">
        <is>
          <t>Initial</t>
        </is>
      </c>
      <c r="N486" s="12" t="inlineStr">
        <is>
          <t>Rev 0</t>
        </is>
      </c>
      <c r="O486" s="12" t="inlineStr">
        <is>
          <t>R315-v1</t>
        </is>
      </c>
      <c r="P486" s="12" t="inlineStr"/>
      <c r="Q486" s="12" t="inlineStr"/>
      <c r="R486" s="12" t="inlineStr"/>
      <c r="S486" s="12" t="inlineStr"/>
      <c r="T486" s="12" t="inlineStr"/>
      <c r="U486" s="12" t="inlineStr"/>
      <c r="V486" s="12" t="inlineStr">
        <is>
          <t>WBS Code = 1.2.2</t>
        </is>
      </c>
      <c r="W486" s="12" t="inlineStr"/>
    </row>
    <row r="487" ht="49" customHeight="1">
      <c r="A487" s="12" t="inlineStr">
        <is>
          <t>1.2.2</t>
        </is>
      </c>
      <c r="B487" s="12" t="inlineStr">
        <is>
          <t>Stations - Architectural Fit-Out</t>
        </is>
      </c>
      <c r="C487" s="12" t="inlineStr">
        <is>
          <t>Contractor Programme</t>
        </is>
      </c>
      <c r="D487" s="12" t="inlineStr">
        <is>
          <t>SCH-02-138</t>
        </is>
      </c>
      <c r="E487" s="12" t="inlineStr">
        <is>
          <t>Civic Station: platform edge installation - release</t>
        </is>
      </c>
      <c r="F487" s="12" t="inlineStr">
        <is>
          <t>ONE_TO_ONE</t>
        </is>
      </c>
      <c r="G487" s="12" t="inlineStr">
        <is>
          <t>APPROVED</t>
        </is>
      </c>
      <c r="H487" s="12" t="inlineStr">
        <is>
          <t>New</t>
        </is>
      </c>
      <c r="I487" s="12" t="inlineStr">
        <is>
          <t>Source assignment -- not individually reviewed</t>
        </is>
      </c>
      <c r="J487" s="12" t="inlineStr"/>
      <c r="K487" s="12" t="inlineStr">
        <is>
          <t>Source assignment</t>
        </is>
      </c>
      <c r="L487" s="12" t="inlineStr"/>
      <c r="M487" s="12" t="inlineStr">
        <is>
          <t>Initial</t>
        </is>
      </c>
      <c r="N487" s="12" t="inlineStr">
        <is>
          <t>Rev 0</t>
        </is>
      </c>
      <c r="O487" s="12" t="inlineStr">
        <is>
          <t>R318-v1</t>
        </is>
      </c>
      <c r="P487" s="12" t="inlineStr"/>
      <c r="Q487" s="12" t="inlineStr"/>
      <c r="R487" s="12" t="inlineStr"/>
      <c r="S487" s="12" t="inlineStr"/>
      <c r="T487" s="12" t="inlineStr"/>
      <c r="U487" s="12" t="inlineStr"/>
      <c r="V487" s="12" t="inlineStr">
        <is>
          <t>WBS Code = 1.2.2</t>
        </is>
      </c>
      <c r="W487" s="12" t="inlineStr"/>
    </row>
    <row r="488" ht="49" customHeight="1">
      <c r="A488" s="12" t="inlineStr">
        <is>
          <t>1.2.2</t>
        </is>
      </c>
      <c r="B488" s="12" t="inlineStr">
        <is>
          <t>Stations - Architectural Fit-Out</t>
        </is>
      </c>
      <c r="C488" s="12" t="inlineStr">
        <is>
          <t>Contractor Programme</t>
        </is>
      </c>
      <c r="D488" s="12" t="inlineStr">
        <is>
          <t>SCH-02-141</t>
        </is>
      </c>
      <c r="E488" s="12" t="inlineStr">
        <is>
          <t>Harbour Station: concourse slab pour - inspection</t>
        </is>
      </c>
      <c r="F488" s="12" t="inlineStr">
        <is>
          <t>ONE_TO_ONE</t>
        </is>
      </c>
      <c r="G488" s="12" t="inlineStr">
        <is>
          <t>APPROVED</t>
        </is>
      </c>
      <c r="H488" s="12" t="inlineStr">
        <is>
          <t>New</t>
        </is>
      </c>
      <c r="I488" s="12" t="inlineStr">
        <is>
          <t>Source assignment -- not individually reviewed</t>
        </is>
      </c>
      <c r="J488" s="12" t="inlineStr"/>
      <c r="K488" s="12" t="inlineStr">
        <is>
          <t>Source assignment</t>
        </is>
      </c>
      <c r="L488" s="12" t="inlineStr"/>
      <c r="M488" s="12" t="inlineStr">
        <is>
          <t>Initial</t>
        </is>
      </c>
      <c r="N488" s="12" t="inlineStr">
        <is>
          <t>Rev 0</t>
        </is>
      </c>
      <c r="O488" s="12" t="inlineStr">
        <is>
          <t>R321-v1</t>
        </is>
      </c>
      <c r="P488" s="12" t="inlineStr"/>
      <c r="Q488" s="12" t="inlineStr"/>
      <c r="R488" s="12" t="inlineStr"/>
      <c r="S488" s="12" t="inlineStr"/>
      <c r="T488" s="12" t="inlineStr"/>
      <c r="U488" s="12" t="inlineStr"/>
      <c r="V488" s="12" t="inlineStr">
        <is>
          <t>WBS Code = 1.2.2</t>
        </is>
      </c>
      <c r="W488" s="12" t="inlineStr"/>
    </row>
    <row r="489" ht="49" customHeight="1">
      <c r="A489" s="12" t="inlineStr">
        <is>
          <t>1.2.2</t>
        </is>
      </c>
      <c r="B489" s="12" t="inlineStr">
        <is>
          <t>Stations - Architectural Fit-Out</t>
        </is>
      </c>
      <c r="C489" s="12" t="inlineStr">
        <is>
          <t>Contractor Programme</t>
        </is>
      </c>
      <c r="D489" s="12" t="inlineStr">
        <is>
          <t>SCH-02-144</t>
        </is>
      </c>
      <c r="E489" s="12" t="inlineStr">
        <is>
          <t>University Station: entrance steel erection - field start</t>
        </is>
      </c>
      <c r="F489" s="12" t="inlineStr">
        <is>
          <t>ONE_TO_ONE</t>
        </is>
      </c>
      <c r="G489" s="12" t="inlineStr">
        <is>
          <t>APPROVED</t>
        </is>
      </c>
      <c r="H489" s="12" t="inlineStr">
        <is>
          <t>New</t>
        </is>
      </c>
      <c r="I489" s="12" t="inlineStr">
        <is>
          <t>Source assignment -- not individually reviewed</t>
        </is>
      </c>
      <c r="J489" s="12" t="inlineStr"/>
      <c r="K489" s="12" t="inlineStr">
        <is>
          <t>Source assignment</t>
        </is>
      </c>
      <c r="L489" s="12" t="inlineStr"/>
      <c r="M489" s="12" t="inlineStr">
        <is>
          <t>Initial</t>
        </is>
      </c>
      <c r="N489" s="12" t="inlineStr">
        <is>
          <t>Rev 0</t>
        </is>
      </c>
      <c r="O489" s="12" t="inlineStr">
        <is>
          <t>R324-v1</t>
        </is>
      </c>
      <c r="P489" s="12" t="inlineStr"/>
      <c r="Q489" s="12" t="inlineStr"/>
      <c r="R489" s="12" t="inlineStr"/>
      <c r="S489" s="12" t="inlineStr"/>
      <c r="T489" s="12" t="inlineStr"/>
      <c r="U489" s="12" t="inlineStr"/>
      <c r="V489" s="12" t="inlineStr">
        <is>
          <t>WBS Code = 1.2.2</t>
        </is>
      </c>
      <c r="W489" s="12" t="inlineStr"/>
    </row>
    <row r="490" ht="49" customHeight="1">
      <c r="A490" s="12" t="inlineStr">
        <is>
          <t>1.2.2</t>
        </is>
      </c>
      <c r="B490" s="12" t="inlineStr">
        <is>
          <t>Stations - Architectural Fit-Out</t>
        </is>
      </c>
      <c r="C490" s="12" t="inlineStr">
        <is>
          <t>Contractor Programme</t>
        </is>
      </c>
      <c r="D490" s="12" t="inlineStr">
        <is>
          <t>SCH-02-147</t>
        </is>
      </c>
      <c r="E490" s="12" t="inlineStr">
        <is>
          <t>Market Station: architectural wall framing - turnover</t>
        </is>
      </c>
      <c r="F490" s="12" t="inlineStr">
        <is>
          <t>ONE_TO_ONE</t>
        </is>
      </c>
      <c r="G490" s="12" t="inlineStr">
        <is>
          <t>APPROVED</t>
        </is>
      </c>
      <c r="H490" s="12" t="inlineStr">
        <is>
          <t>New</t>
        </is>
      </c>
      <c r="I490" s="12" t="inlineStr">
        <is>
          <t>Source assignment -- not individually reviewed</t>
        </is>
      </c>
      <c r="J490" s="12" t="inlineStr"/>
      <c r="K490" s="12" t="inlineStr">
        <is>
          <t>Source assignment</t>
        </is>
      </c>
      <c r="L490" s="12" t="inlineStr"/>
      <c r="M490" s="12" t="inlineStr">
        <is>
          <t>Initial</t>
        </is>
      </c>
      <c r="N490" s="12" t="inlineStr">
        <is>
          <t>Rev 0</t>
        </is>
      </c>
      <c r="O490" s="12" t="inlineStr">
        <is>
          <t>R327-v1</t>
        </is>
      </c>
      <c r="P490" s="12" t="inlineStr"/>
      <c r="Q490" s="12" t="inlineStr"/>
      <c r="R490" s="12" t="inlineStr"/>
      <c r="S490" s="12" t="inlineStr"/>
      <c r="T490" s="12" t="inlineStr"/>
      <c r="U490" s="12" t="inlineStr"/>
      <c r="V490" s="12" t="inlineStr">
        <is>
          <t>WBS Code = 1.2.2</t>
        </is>
      </c>
      <c r="W490" s="12" t="inlineStr"/>
    </row>
    <row r="491" ht="49" customHeight="1">
      <c r="A491" s="12" t="inlineStr">
        <is>
          <t>1.2.2</t>
        </is>
      </c>
      <c r="B491" s="12" t="inlineStr">
        <is>
          <t>Stations - Architectural Fit-Out</t>
        </is>
      </c>
      <c r="C491" s="12" t="inlineStr">
        <is>
          <t>Contractor Programme</t>
        </is>
      </c>
      <c r="D491" s="12" t="inlineStr">
        <is>
          <t>SCH-02-150</t>
        </is>
      </c>
      <c r="E491" s="12" t="inlineStr">
        <is>
          <t>West Terminal: station ventilation rough-in - installation</t>
        </is>
      </c>
      <c r="F491" s="12" t="inlineStr">
        <is>
          <t>ONE_TO_ONE</t>
        </is>
      </c>
      <c r="G491" s="12" t="inlineStr">
        <is>
          <t>APPROVED</t>
        </is>
      </c>
      <c r="H491" s="12" t="inlineStr">
        <is>
          <t>New</t>
        </is>
      </c>
      <c r="I491" s="12" t="inlineStr">
        <is>
          <t>Source assignment -- not individually reviewed</t>
        </is>
      </c>
      <c r="J491" s="12" t="inlineStr"/>
      <c r="K491" s="12" t="inlineStr">
        <is>
          <t>Source assignment</t>
        </is>
      </c>
      <c r="L491" s="12" t="inlineStr"/>
      <c r="M491" s="12" t="inlineStr">
        <is>
          <t>Initial</t>
        </is>
      </c>
      <c r="N491" s="12" t="inlineStr">
        <is>
          <t>Rev 0</t>
        </is>
      </c>
      <c r="O491" s="12" t="inlineStr">
        <is>
          <t>R330-v1</t>
        </is>
      </c>
      <c r="P491" s="12" t="inlineStr"/>
      <c r="Q491" s="12" t="inlineStr"/>
      <c r="R491" s="12" t="inlineStr"/>
      <c r="S491" s="12" t="inlineStr"/>
      <c r="T491" s="12" t="inlineStr"/>
      <c r="U491" s="12" t="inlineStr"/>
      <c r="V491" s="12" t="inlineStr">
        <is>
          <t>WBS Code = 1.2.2</t>
        </is>
      </c>
      <c r="W491" s="12" t="inlineStr"/>
    </row>
    <row r="492" ht="49" customHeight="1">
      <c r="A492" s="12" t="inlineStr">
        <is>
          <t>1.2.2</t>
        </is>
      </c>
      <c r="B492" s="12" t="inlineStr">
        <is>
          <t>Stations - Architectural Fit-Out</t>
        </is>
      </c>
      <c r="C492" s="12" t="inlineStr">
        <is>
          <t>Contractor Programme</t>
        </is>
      </c>
      <c r="D492" s="12" t="inlineStr">
        <is>
          <t>SCH-02-153</t>
        </is>
      </c>
      <c r="E492" s="12" t="inlineStr">
        <is>
          <t>Civic Station: vertical-transport installation - release</t>
        </is>
      </c>
      <c r="F492" s="12" t="inlineStr">
        <is>
          <t>ONE_TO_ONE</t>
        </is>
      </c>
      <c r="G492" s="12" t="inlineStr">
        <is>
          <t>APPROVED</t>
        </is>
      </c>
      <c r="H492" s="12" t="inlineStr">
        <is>
          <t>New</t>
        </is>
      </c>
      <c r="I492" s="12" t="inlineStr">
        <is>
          <t>Source assignment -- not individually reviewed</t>
        </is>
      </c>
      <c r="J492" s="12" t="inlineStr"/>
      <c r="K492" s="12" t="inlineStr">
        <is>
          <t>Source assignment</t>
        </is>
      </c>
      <c r="L492" s="12" t="inlineStr"/>
      <c r="M492" s="12" t="inlineStr">
        <is>
          <t>Initial</t>
        </is>
      </c>
      <c r="N492" s="12" t="inlineStr">
        <is>
          <t>Rev 0</t>
        </is>
      </c>
      <c r="O492" s="12" t="inlineStr">
        <is>
          <t>R333-v1</t>
        </is>
      </c>
      <c r="P492" s="12" t="inlineStr"/>
      <c r="Q492" s="12" t="inlineStr"/>
      <c r="R492" s="12" t="inlineStr"/>
      <c r="S492" s="12" t="inlineStr"/>
      <c r="T492" s="12" t="inlineStr"/>
      <c r="U492" s="12" t="inlineStr"/>
      <c r="V492" s="12" t="inlineStr">
        <is>
          <t>WBS Code = 1.2.2</t>
        </is>
      </c>
      <c r="W492" s="12" t="inlineStr"/>
    </row>
    <row r="493" ht="49" customHeight="1">
      <c r="A493" s="12" t="inlineStr">
        <is>
          <t>1.2.2</t>
        </is>
      </c>
      <c r="B493" s="12" t="inlineStr">
        <is>
          <t>Stations - Architectural Fit-Out</t>
        </is>
      </c>
      <c r="C493" s="12" t="inlineStr">
        <is>
          <t>Contractor Programme</t>
        </is>
      </c>
      <c r="D493" s="12" t="inlineStr">
        <is>
          <t>SCH-02-156</t>
        </is>
      </c>
      <c r="E493" s="12" t="inlineStr">
        <is>
          <t>Harbour Station: fire-life-safety cabling - inspection</t>
        </is>
      </c>
      <c r="F493" s="12" t="inlineStr">
        <is>
          <t>ONE_TO_ONE</t>
        </is>
      </c>
      <c r="G493" s="12" t="inlineStr">
        <is>
          <t>APPROVED</t>
        </is>
      </c>
      <c r="H493" s="12" t="inlineStr">
        <is>
          <t>New</t>
        </is>
      </c>
      <c r="I493" s="12" t="inlineStr">
        <is>
          <t>Source assignment -- not individually reviewed</t>
        </is>
      </c>
      <c r="J493" s="12" t="inlineStr"/>
      <c r="K493" s="12" t="inlineStr">
        <is>
          <t>Source assignment</t>
        </is>
      </c>
      <c r="L493" s="12" t="inlineStr"/>
      <c r="M493" s="12" t="inlineStr">
        <is>
          <t>Initial</t>
        </is>
      </c>
      <c r="N493" s="12" t="inlineStr">
        <is>
          <t>Rev 0</t>
        </is>
      </c>
      <c r="O493" s="12" t="inlineStr">
        <is>
          <t>R336-v1</t>
        </is>
      </c>
      <c r="P493" s="12" t="inlineStr"/>
      <c r="Q493" s="12" t="inlineStr"/>
      <c r="R493" s="12" t="inlineStr"/>
      <c r="S493" s="12" t="inlineStr"/>
      <c r="T493" s="12" t="inlineStr"/>
      <c r="U493" s="12" t="inlineStr"/>
      <c r="V493" s="12" t="inlineStr">
        <is>
          <t>WBS Code = 1.2.2</t>
        </is>
      </c>
      <c r="W493" s="12" t="inlineStr"/>
    </row>
    <row r="494" ht="49" customHeight="1">
      <c r="A494" s="12" t="inlineStr">
        <is>
          <t>1.2.2</t>
        </is>
      </c>
      <c r="B494" s="12" t="inlineStr">
        <is>
          <t>Stations - Architectural Fit-Out</t>
        </is>
      </c>
      <c r="C494" s="12" t="inlineStr">
        <is>
          <t>Contractor Programme</t>
        </is>
      </c>
      <c r="D494" s="12" t="inlineStr">
        <is>
          <t>SCH-02-159</t>
        </is>
      </c>
      <c r="E494" s="12" t="inlineStr">
        <is>
          <t>University Station: public-realm paving - field start</t>
        </is>
      </c>
      <c r="F494" s="12" t="inlineStr">
        <is>
          <t>ONE_TO_ONE</t>
        </is>
      </c>
      <c r="G494" s="12" t="inlineStr">
        <is>
          <t>APPROVED</t>
        </is>
      </c>
      <c r="H494" s="12" t="inlineStr">
        <is>
          <t>New</t>
        </is>
      </c>
      <c r="I494" s="12" t="inlineStr">
        <is>
          <t>Source assignment -- not individually reviewed</t>
        </is>
      </c>
      <c r="J494" s="12" t="inlineStr"/>
      <c r="K494" s="12" t="inlineStr">
        <is>
          <t>Source assignment</t>
        </is>
      </c>
      <c r="L494" s="12" t="inlineStr"/>
      <c r="M494" s="12" t="inlineStr">
        <is>
          <t>Initial</t>
        </is>
      </c>
      <c r="N494" s="12" t="inlineStr">
        <is>
          <t>Rev 0</t>
        </is>
      </c>
      <c r="O494" s="12" t="inlineStr">
        <is>
          <t>R339-v1</t>
        </is>
      </c>
      <c r="P494" s="12" t="inlineStr"/>
      <c r="Q494" s="12" t="inlineStr"/>
      <c r="R494" s="12" t="inlineStr"/>
      <c r="S494" s="12" t="inlineStr"/>
      <c r="T494" s="12" t="inlineStr"/>
      <c r="U494" s="12" t="inlineStr"/>
      <c r="V494" s="12" t="inlineStr">
        <is>
          <t>WBS Code = 1.2.2</t>
        </is>
      </c>
      <c r="W494" s="12" t="inlineStr"/>
    </row>
    <row r="495" ht="49" customHeight="1">
      <c r="A495" s="12" t="inlineStr">
        <is>
          <t>1.2.2</t>
        </is>
      </c>
      <c r="B495" s="12" t="inlineStr">
        <is>
          <t>Stations - Architectural Fit-Out</t>
        </is>
      </c>
      <c r="C495" s="12" t="inlineStr">
        <is>
          <t>Contractor Programme</t>
        </is>
      </c>
      <c r="D495" s="12" t="inlineStr">
        <is>
          <t>SCH-02-162</t>
        </is>
      </c>
      <c r="E495" s="12" t="inlineStr">
        <is>
          <t>Market Station: platform edge installation - turnover</t>
        </is>
      </c>
      <c r="F495" s="12" t="inlineStr">
        <is>
          <t>ONE_TO_ONE</t>
        </is>
      </c>
      <c r="G495" s="12" t="inlineStr">
        <is>
          <t>APPROVED</t>
        </is>
      </c>
      <c r="H495" s="12" t="inlineStr">
        <is>
          <t>New</t>
        </is>
      </c>
      <c r="I495" s="12" t="inlineStr">
        <is>
          <t>Source assignment -- not individually reviewed</t>
        </is>
      </c>
      <c r="J495" s="12" t="inlineStr"/>
      <c r="K495" s="12" t="inlineStr">
        <is>
          <t>Source assignment</t>
        </is>
      </c>
      <c r="L495" s="12" t="inlineStr"/>
      <c r="M495" s="12" t="inlineStr">
        <is>
          <t>Initial</t>
        </is>
      </c>
      <c r="N495" s="12" t="inlineStr">
        <is>
          <t>Rev 0</t>
        </is>
      </c>
      <c r="O495" s="12" t="inlineStr">
        <is>
          <t>R342-v1</t>
        </is>
      </c>
      <c r="P495" s="12" t="inlineStr"/>
      <c r="Q495" s="12" t="inlineStr"/>
      <c r="R495" s="12" t="inlineStr"/>
      <c r="S495" s="12" t="inlineStr"/>
      <c r="T495" s="12" t="inlineStr"/>
      <c r="U495" s="12" t="inlineStr"/>
      <c r="V495" s="12" t="inlineStr">
        <is>
          <t>WBS Code = 1.2.2</t>
        </is>
      </c>
      <c r="W495" s="12" t="inlineStr"/>
    </row>
    <row r="496" ht="49" customHeight="1">
      <c r="A496" s="12" t="inlineStr">
        <is>
          <t>1.2.2</t>
        </is>
      </c>
      <c r="B496" s="12" t="inlineStr">
        <is>
          <t>Stations - Architectural Fit-Out</t>
        </is>
      </c>
      <c r="C496" s="12" t="inlineStr">
        <is>
          <t>Contractor Programme</t>
        </is>
      </c>
      <c r="D496" s="12" t="inlineStr">
        <is>
          <t>SCH-02-165</t>
        </is>
      </c>
      <c r="E496" s="12" t="inlineStr">
        <is>
          <t>West Terminal: concourse slab pour - installation</t>
        </is>
      </c>
      <c r="F496" s="12" t="inlineStr">
        <is>
          <t>ONE_TO_ONE</t>
        </is>
      </c>
      <c r="G496" s="12" t="inlineStr">
        <is>
          <t>APPROVED</t>
        </is>
      </c>
      <c r="H496" s="12" t="inlineStr">
        <is>
          <t>New</t>
        </is>
      </c>
      <c r="I496" s="12" t="inlineStr">
        <is>
          <t>Source assignment -- not individually reviewed</t>
        </is>
      </c>
      <c r="J496" s="12" t="inlineStr"/>
      <c r="K496" s="12" t="inlineStr">
        <is>
          <t>Source assignment</t>
        </is>
      </c>
      <c r="L496" s="12" t="inlineStr"/>
      <c r="M496" s="12" t="inlineStr">
        <is>
          <t>Initial</t>
        </is>
      </c>
      <c r="N496" s="12" t="inlineStr">
        <is>
          <t>Rev 0</t>
        </is>
      </c>
      <c r="O496" s="12" t="inlineStr">
        <is>
          <t>R345-v1</t>
        </is>
      </c>
      <c r="P496" s="12" t="inlineStr"/>
      <c r="Q496" s="12" t="inlineStr"/>
      <c r="R496" s="12" t="inlineStr"/>
      <c r="S496" s="12" t="inlineStr"/>
      <c r="T496" s="12" t="inlineStr"/>
      <c r="U496" s="12" t="inlineStr"/>
      <c r="V496" s="12" t="inlineStr">
        <is>
          <t>WBS Code = 1.2.2</t>
        </is>
      </c>
      <c r="W496" s="12" t="inlineStr"/>
    </row>
    <row r="497" ht="49" customHeight="1">
      <c r="A497" s="12" t="inlineStr">
        <is>
          <t>1.2.2</t>
        </is>
      </c>
      <c r="B497" s="12" t="inlineStr">
        <is>
          <t>Stations - Architectural Fit-Out</t>
        </is>
      </c>
      <c r="C497" s="12" t="inlineStr">
        <is>
          <t>Contractor Programme</t>
        </is>
      </c>
      <c r="D497" s="12" t="inlineStr">
        <is>
          <t>SCH-02-168</t>
        </is>
      </c>
      <c r="E497" s="12" t="inlineStr">
        <is>
          <t>Civic Station: entrance steel erection - release</t>
        </is>
      </c>
      <c r="F497" s="12" t="inlineStr">
        <is>
          <t>ONE_TO_ONE</t>
        </is>
      </c>
      <c r="G497" s="12" t="inlineStr">
        <is>
          <t>APPROVED</t>
        </is>
      </c>
      <c r="H497" s="12" t="inlineStr">
        <is>
          <t>New</t>
        </is>
      </c>
      <c r="I497" s="12" t="inlineStr">
        <is>
          <t>Source assignment -- not individually reviewed</t>
        </is>
      </c>
      <c r="J497" s="12" t="inlineStr"/>
      <c r="K497" s="12" t="inlineStr">
        <is>
          <t>Source assignment</t>
        </is>
      </c>
      <c r="L497" s="12" t="inlineStr"/>
      <c r="M497" s="12" t="inlineStr">
        <is>
          <t>Initial</t>
        </is>
      </c>
      <c r="N497" s="12" t="inlineStr">
        <is>
          <t>Rev 0</t>
        </is>
      </c>
      <c r="O497" s="12" t="inlineStr">
        <is>
          <t>R348-v1</t>
        </is>
      </c>
      <c r="P497" s="12" t="inlineStr"/>
      <c r="Q497" s="12" t="inlineStr"/>
      <c r="R497" s="12" t="inlineStr"/>
      <c r="S497" s="12" t="inlineStr"/>
      <c r="T497" s="12" t="inlineStr"/>
      <c r="U497" s="12" t="inlineStr"/>
      <c r="V497" s="12" t="inlineStr">
        <is>
          <t>WBS Code = 1.2.2</t>
        </is>
      </c>
      <c r="W497" s="12" t="inlineStr"/>
    </row>
    <row r="498" ht="49" customHeight="1">
      <c r="A498" s="12" t="inlineStr">
        <is>
          <t>1.2.2</t>
        </is>
      </c>
      <c r="B498" s="12" t="inlineStr">
        <is>
          <t>Stations - Architectural Fit-Out</t>
        </is>
      </c>
      <c r="C498" s="12" t="inlineStr">
        <is>
          <t>Contractor Programme</t>
        </is>
      </c>
      <c r="D498" s="12" t="inlineStr">
        <is>
          <t>SCH-02-171</t>
        </is>
      </c>
      <c r="E498" s="12" t="inlineStr">
        <is>
          <t>Harbour Station: architectural wall framing - inspection</t>
        </is>
      </c>
      <c r="F498" s="12" t="inlineStr">
        <is>
          <t>ONE_TO_ONE</t>
        </is>
      </c>
      <c r="G498" s="12" t="inlineStr">
        <is>
          <t>APPROVED</t>
        </is>
      </c>
      <c r="H498" s="12" t="inlineStr">
        <is>
          <t>New</t>
        </is>
      </c>
      <c r="I498" s="12" t="inlineStr">
        <is>
          <t>Source assignment -- not individually reviewed</t>
        </is>
      </c>
      <c r="J498" s="12" t="inlineStr"/>
      <c r="K498" s="12" t="inlineStr">
        <is>
          <t>Source assignment</t>
        </is>
      </c>
      <c r="L498" s="12" t="inlineStr"/>
      <c r="M498" s="12" t="inlineStr">
        <is>
          <t>Initial</t>
        </is>
      </c>
      <c r="N498" s="12" t="inlineStr">
        <is>
          <t>Rev 0</t>
        </is>
      </c>
      <c r="O498" s="12" t="inlineStr">
        <is>
          <t>R351-v1</t>
        </is>
      </c>
      <c r="P498" s="12" t="inlineStr"/>
      <c r="Q498" s="12" t="inlineStr"/>
      <c r="R498" s="12" t="inlineStr"/>
      <c r="S498" s="12" t="inlineStr"/>
      <c r="T498" s="12" t="inlineStr"/>
      <c r="U498" s="12" t="inlineStr"/>
      <c r="V498" s="12" t="inlineStr">
        <is>
          <t>WBS Code = 1.2.2</t>
        </is>
      </c>
      <c r="W498" s="12" t="inlineStr"/>
    </row>
    <row r="499" ht="49" customHeight="1">
      <c r="A499" s="12" t="inlineStr">
        <is>
          <t>1.2.2</t>
        </is>
      </c>
      <c r="B499" s="12" t="inlineStr">
        <is>
          <t>Stations - Architectural Fit-Out</t>
        </is>
      </c>
      <c r="C499" s="12" t="inlineStr">
        <is>
          <t>Contractor Programme</t>
        </is>
      </c>
      <c r="D499" s="12" t="inlineStr">
        <is>
          <t>SCH-02-174</t>
        </is>
      </c>
      <c r="E499" s="12" t="inlineStr">
        <is>
          <t>University Station: station ventilation rough-in - field start</t>
        </is>
      </c>
      <c r="F499" s="12" t="inlineStr">
        <is>
          <t>ONE_TO_ONE</t>
        </is>
      </c>
      <c r="G499" s="12" t="inlineStr">
        <is>
          <t>APPROVED</t>
        </is>
      </c>
      <c r="H499" s="12" t="inlineStr">
        <is>
          <t>New</t>
        </is>
      </c>
      <c r="I499" s="12" t="inlineStr">
        <is>
          <t>Source assignment -- not individually reviewed</t>
        </is>
      </c>
      <c r="J499" s="12" t="inlineStr"/>
      <c r="K499" s="12" t="inlineStr">
        <is>
          <t>Source assignment</t>
        </is>
      </c>
      <c r="L499" s="12" t="inlineStr"/>
      <c r="M499" s="12" t="inlineStr">
        <is>
          <t>Initial</t>
        </is>
      </c>
      <c r="N499" s="12" t="inlineStr">
        <is>
          <t>Rev 0</t>
        </is>
      </c>
      <c r="O499" s="12" t="inlineStr">
        <is>
          <t>R354-v1</t>
        </is>
      </c>
      <c r="P499" s="12" t="inlineStr"/>
      <c r="Q499" s="12" t="inlineStr"/>
      <c r="R499" s="12" t="inlineStr"/>
      <c r="S499" s="12" t="inlineStr"/>
      <c r="T499" s="12" t="inlineStr"/>
      <c r="U499" s="12" t="inlineStr"/>
      <c r="V499" s="12" t="inlineStr">
        <is>
          <t>WBS Code = 1.2.2</t>
        </is>
      </c>
      <c r="W499" s="12" t="inlineStr"/>
    </row>
    <row r="500" ht="49" customHeight="1">
      <c r="A500" s="12" t="inlineStr">
        <is>
          <t>1.2.2</t>
        </is>
      </c>
      <c r="B500" s="12" t="inlineStr">
        <is>
          <t>Stations - Architectural Fit-Out</t>
        </is>
      </c>
      <c r="C500" s="12" t="inlineStr">
        <is>
          <t>Contractor Programme</t>
        </is>
      </c>
      <c r="D500" s="12" t="inlineStr">
        <is>
          <t>SCH-02-177</t>
        </is>
      </c>
      <c r="E500" s="12" t="inlineStr">
        <is>
          <t>Market Station: vertical-transport installation - turnover</t>
        </is>
      </c>
      <c r="F500" s="12" t="inlineStr">
        <is>
          <t>ONE_TO_ONE</t>
        </is>
      </c>
      <c r="G500" s="12" t="inlineStr">
        <is>
          <t>APPROVED</t>
        </is>
      </c>
      <c r="H500" s="12" t="inlineStr">
        <is>
          <t>New</t>
        </is>
      </c>
      <c r="I500" s="12" t="inlineStr">
        <is>
          <t>Source assignment -- not individually reviewed</t>
        </is>
      </c>
      <c r="J500" s="12" t="inlineStr"/>
      <c r="K500" s="12" t="inlineStr">
        <is>
          <t>Source assignment</t>
        </is>
      </c>
      <c r="L500" s="12" t="inlineStr"/>
      <c r="M500" s="12" t="inlineStr">
        <is>
          <t>Initial</t>
        </is>
      </c>
      <c r="N500" s="12" t="inlineStr">
        <is>
          <t>Rev 0</t>
        </is>
      </c>
      <c r="O500" s="12" t="inlineStr">
        <is>
          <t>R357-v1</t>
        </is>
      </c>
      <c r="P500" s="12" t="inlineStr"/>
      <c r="Q500" s="12" t="inlineStr"/>
      <c r="R500" s="12" t="inlineStr"/>
      <c r="S500" s="12" t="inlineStr"/>
      <c r="T500" s="12" t="inlineStr"/>
      <c r="U500" s="12" t="inlineStr"/>
      <c r="V500" s="12" t="inlineStr">
        <is>
          <t>WBS Code = 1.2.2</t>
        </is>
      </c>
      <c r="W500" s="12" t="inlineStr"/>
    </row>
    <row r="501" ht="49" customHeight="1">
      <c r="A501" s="12" t="inlineStr">
        <is>
          <t>1.2.2</t>
        </is>
      </c>
      <c r="B501" s="12" t="inlineStr">
        <is>
          <t>Stations - Architectural Fit-Out</t>
        </is>
      </c>
      <c r="C501" s="12" t="inlineStr">
        <is>
          <t>Contractor Programme</t>
        </is>
      </c>
      <c r="D501" s="12" t="inlineStr">
        <is>
          <t>SCH-02-180</t>
        </is>
      </c>
      <c r="E501" s="12" t="inlineStr">
        <is>
          <t>West Terminal: fire-life-safety cabling - installation</t>
        </is>
      </c>
      <c r="F501" s="12" t="inlineStr">
        <is>
          <t>ONE_TO_ONE</t>
        </is>
      </c>
      <c r="G501" s="12" t="inlineStr">
        <is>
          <t>APPROVED</t>
        </is>
      </c>
      <c r="H501" s="12" t="inlineStr">
        <is>
          <t>New</t>
        </is>
      </c>
      <c r="I501" s="12" t="inlineStr">
        <is>
          <t>Source assignment -- not individually reviewed</t>
        </is>
      </c>
      <c r="J501" s="12" t="inlineStr"/>
      <c r="K501" s="12" t="inlineStr">
        <is>
          <t>Source assignment</t>
        </is>
      </c>
      <c r="L501" s="12" t="inlineStr"/>
      <c r="M501" s="12" t="inlineStr">
        <is>
          <t>Initial</t>
        </is>
      </c>
      <c r="N501" s="12" t="inlineStr">
        <is>
          <t>Rev 0</t>
        </is>
      </c>
      <c r="O501" s="12" t="inlineStr">
        <is>
          <t>R360-v1</t>
        </is>
      </c>
      <c r="P501" s="12" t="inlineStr"/>
      <c r="Q501" s="12" t="inlineStr"/>
      <c r="R501" s="12" t="inlineStr"/>
      <c r="S501" s="12" t="inlineStr"/>
      <c r="T501" s="12" t="inlineStr"/>
      <c r="U501" s="12" t="inlineStr"/>
      <c r="V501" s="12" t="inlineStr">
        <is>
          <t>WBS Code = 1.2.2</t>
        </is>
      </c>
      <c r="W501" s="12" t="inlineStr"/>
    </row>
    <row r="502" ht="49" customHeight="1">
      <c r="A502" s="12" t="inlineStr">
        <is>
          <t>1.2.2</t>
        </is>
      </c>
      <c r="B502" s="12" t="inlineStr">
        <is>
          <t>Stations - Architectural Fit-Out</t>
        </is>
      </c>
      <c r="C502" s="12" t="inlineStr">
        <is>
          <t>Cost &amp; Forecast Control Accounts</t>
        </is>
      </c>
      <c r="D502" s="12" t="inlineStr">
        <is>
          <t>CST-02-002</t>
        </is>
      </c>
      <c r="E502" s="12" t="inlineStr">
        <is>
          <t>Stations - station structure - closeout</t>
        </is>
      </c>
      <c r="F502" s="12" t="inlineStr">
        <is>
          <t>ONE_TO_ONE</t>
        </is>
      </c>
      <c r="G502" s="12" t="inlineStr">
        <is>
          <t>APPROVED</t>
        </is>
      </c>
      <c r="H502" s="12" t="inlineStr">
        <is>
          <t>New</t>
        </is>
      </c>
      <c r="I502" s="12" t="inlineStr">
        <is>
          <t>Source assignment -- not individually reviewed</t>
        </is>
      </c>
      <c r="J502" s="12" t="inlineStr"/>
      <c r="K502" s="12" t="inlineStr">
        <is>
          <t>Source assignment</t>
        </is>
      </c>
      <c r="L502" s="12" t="inlineStr"/>
      <c r="M502" s="12" t="inlineStr">
        <is>
          <t>Initial</t>
        </is>
      </c>
      <c r="N502" s="12" t="inlineStr">
        <is>
          <t>Rev 0</t>
        </is>
      </c>
      <c r="O502" s="12" t="inlineStr">
        <is>
          <t>R1164-v1</t>
        </is>
      </c>
      <c r="P502" s="12" t="inlineStr"/>
      <c r="Q502" s="12" t="inlineStr"/>
      <c r="R502" s="12" t="inlineStr"/>
      <c r="S502" s="12" t="inlineStr"/>
      <c r="T502" s="12" t="inlineStr"/>
      <c r="U502" s="12" t="inlineStr"/>
      <c r="V502" s="12" t="inlineStr">
        <is>
          <t>Cost Account = CA-2002; WBS Code = 1.2.2</t>
        </is>
      </c>
      <c r="W502" s="12" t="inlineStr"/>
    </row>
    <row r="503" ht="49" customHeight="1">
      <c r="A503" s="12" t="inlineStr">
        <is>
          <t>1.2.2</t>
        </is>
      </c>
      <c r="B503" s="12" t="inlineStr">
        <is>
          <t>Stations - Architectural Fit-Out</t>
        </is>
      </c>
      <c r="C503" s="12" t="inlineStr">
        <is>
          <t>Cost &amp; Forecast Control Accounts</t>
        </is>
      </c>
      <c r="D503" s="12" t="inlineStr">
        <is>
          <t>CST-02-004</t>
        </is>
      </c>
      <c r="E503" s="12" t="inlineStr">
        <is>
          <t>Stations - public realm - supply and install</t>
        </is>
      </c>
      <c r="F503" s="12" t="inlineStr">
        <is>
          <t>ONE_TO_ONE</t>
        </is>
      </c>
      <c r="G503" s="12" t="inlineStr">
        <is>
          <t>APPROVED</t>
        </is>
      </c>
      <c r="H503" s="12" t="inlineStr">
        <is>
          <t>New</t>
        </is>
      </c>
      <c r="I503" s="12" t="inlineStr">
        <is>
          <t>Source assignment -- not individually reviewed</t>
        </is>
      </c>
      <c r="J503" s="12" t="inlineStr"/>
      <c r="K503" s="12" t="inlineStr">
        <is>
          <t>Source assignment</t>
        </is>
      </c>
      <c r="L503" s="12" t="inlineStr"/>
      <c r="M503" s="12" t="inlineStr">
        <is>
          <t>Initial</t>
        </is>
      </c>
      <c r="N503" s="12" t="inlineStr">
        <is>
          <t>Rev 0</t>
        </is>
      </c>
      <c r="O503" s="12" t="inlineStr">
        <is>
          <t>R1166-v1</t>
        </is>
      </c>
      <c r="P503" s="12" t="inlineStr"/>
      <c r="Q503" s="12" t="inlineStr"/>
      <c r="R503" s="12" t="inlineStr"/>
      <c r="S503" s="12" t="inlineStr"/>
      <c r="T503" s="12" t="inlineStr"/>
      <c r="U503" s="12" t="inlineStr"/>
      <c r="V503" s="12" t="inlineStr">
        <is>
          <t>Cost Account = CA-2004; WBS Code = 1.2.2</t>
        </is>
      </c>
      <c r="W503" s="12" t="inlineStr"/>
    </row>
    <row r="504" ht="49" customHeight="1">
      <c r="A504" s="12" t="inlineStr">
        <is>
          <t>1.2.2</t>
        </is>
      </c>
      <c r="B504" s="12" t="inlineStr">
        <is>
          <t>Stations - Architectural Fit-Out</t>
        </is>
      </c>
      <c r="C504" s="12" t="inlineStr">
        <is>
          <t>Cost &amp; Forecast Control Accounts</t>
        </is>
      </c>
      <c r="D504" s="12" t="inlineStr">
        <is>
          <t>CST-02-006</t>
        </is>
      </c>
      <c r="E504" s="12" t="inlineStr">
        <is>
          <t>Stations - building services - allowance</t>
        </is>
      </c>
      <c r="F504" s="12" t="inlineStr">
        <is>
          <t>ONE_TO_ONE</t>
        </is>
      </c>
      <c r="G504" s="12" t="inlineStr">
        <is>
          <t>APPROVED</t>
        </is>
      </c>
      <c r="H504" s="12" t="inlineStr">
        <is>
          <t>New</t>
        </is>
      </c>
      <c r="I504" s="12" t="inlineStr">
        <is>
          <t>Source assignment -- not individually reviewed</t>
        </is>
      </c>
      <c r="J504" s="12" t="inlineStr"/>
      <c r="K504" s="12" t="inlineStr">
        <is>
          <t>Source assignment</t>
        </is>
      </c>
      <c r="L504" s="12" t="inlineStr"/>
      <c r="M504" s="12" t="inlineStr">
        <is>
          <t>Initial</t>
        </is>
      </c>
      <c r="N504" s="12" t="inlineStr">
        <is>
          <t>Rev 0</t>
        </is>
      </c>
      <c r="O504" s="12" t="inlineStr">
        <is>
          <t>R1168-v1</t>
        </is>
      </c>
      <c r="P504" s="12" t="inlineStr"/>
      <c r="Q504" s="12" t="inlineStr"/>
      <c r="R504" s="12" t="inlineStr"/>
      <c r="S504" s="12" t="inlineStr"/>
      <c r="T504" s="12" t="inlineStr"/>
      <c r="U504" s="12" t="inlineStr"/>
      <c r="V504" s="12" t="inlineStr">
        <is>
          <t>Cost Account = CA-2006; WBS Code = 1.2.2</t>
        </is>
      </c>
      <c r="W504" s="12" t="inlineStr"/>
    </row>
    <row r="505" ht="49" customHeight="1">
      <c r="A505" s="12" t="inlineStr">
        <is>
          <t>1.2.2</t>
        </is>
      </c>
      <c r="B505" s="12" t="inlineStr">
        <is>
          <t>Stations - Architectural Fit-Out</t>
        </is>
      </c>
      <c r="C505" s="12" t="inlineStr">
        <is>
          <t>Cost &amp; Forecast Control Accounts</t>
        </is>
      </c>
      <c r="D505" s="12" t="inlineStr">
        <is>
          <t>CST-02-008</t>
        </is>
      </c>
      <c r="E505" s="12" t="inlineStr">
        <is>
          <t>Stations - station structure - field package</t>
        </is>
      </c>
      <c r="F505" s="12" t="inlineStr">
        <is>
          <t>ONE_TO_ONE</t>
        </is>
      </c>
      <c r="G505" s="12" t="inlineStr">
        <is>
          <t>APPROVED</t>
        </is>
      </c>
      <c r="H505" s="12" t="inlineStr">
        <is>
          <t>New</t>
        </is>
      </c>
      <c r="I505" s="12" t="inlineStr">
        <is>
          <t>Source assignment -- not individually reviewed</t>
        </is>
      </c>
      <c r="J505" s="12" t="inlineStr"/>
      <c r="K505" s="12" t="inlineStr">
        <is>
          <t>Source assignment</t>
        </is>
      </c>
      <c r="L505" s="12" t="inlineStr"/>
      <c r="M505" s="12" t="inlineStr">
        <is>
          <t>Initial</t>
        </is>
      </c>
      <c r="N505" s="12" t="inlineStr">
        <is>
          <t>Rev 0</t>
        </is>
      </c>
      <c r="O505" s="12" t="inlineStr">
        <is>
          <t>R1170-v1</t>
        </is>
      </c>
      <c r="P505" s="12" t="inlineStr"/>
      <c r="Q505" s="12" t="inlineStr"/>
      <c r="R505" s="12" t="inlineStr"/>
      <c r="S505" s="12" t="inlineStr"/>
      <c r="T505" s="12" t="inlineStr"/>
      <c r="U505" s="12" t="inlineStr"/>
      <c r="V505" s="12" t="inlineStr">
        <is>
          <t>Cost Account = CA-2008; WBS Code = 1.2.2</t>
        </is>
      </c>
      <c r="W505" s="12" t="inlineStr"/>
    </row>
    <row r="506" ht="49" customHeight="1">
      <c r="A506" s="12" t="inlineStr">
        <is>
          <t>1.2.2</t>
        </is>
      </c>
      <c r="B506" s="12" t="inlineStr">
        <is>
          <t>Stations - Architectural Fit-Out</t>
        </is>
      </c>
      <c r="C506" s="12" t="inlineStr">
        <is>
          <t>Cost &amp; Forecast Control Accounts</t>
        </is>
      </c>
      <c r="D506" s="12" t="inlineStr">
        <is>
          <t>CST-02-010</t>
        </is>
      </c>
      <c r="E506" s="12" t="inlineStr">
        <is>
          <t>Stations - public realm - professional services</t>
        </is>
      </c>
      <c r="F506" s="12" t="inlineStr">
        <is>
          <t>ONE_TO_ONE</t>
        </is>
      </c>
      <c r="G506" s="12" t="inlineStr">
        <is>
          <t>APPROVED</t>
        </is>
      </c>
      <c r="H506" s="12" t="inlineStr">
        <is>
          <t>New</t>
        </is>
      </c>
      <c r="I506" s="12" t="inlineStr">
        <is>
          <t>Source assignment -- not individually reviewed</t>
        </is>
      </c>
      <c r="J506" s="12" t="inlineStr"/>
      <c r="K506" s="12" t="inlineStr">
        <is>
          <t>Source assignment</t>
        </is>
      </c>
      <c r="L506" s="12" t="inlineStr"/>
      <c r="M506" s="12" t="inlineStr">
        <is>
          <t>Initial</t>
        </is>
      </c>
      <c r="N506" s="12" t="inlineStr">
        <is>
          <t>Rev 0</t>
        </is>
      </c>
      <c r="O506" s="12" t="inlineStr">
        <is>
          <t>R1172-v1</t>
        </is>
      </c>
      <c r="P506" s="12" t="inlineStr"/>
      <c r="Q506" s="12" t="inlineStr"/>
      <c r="R506" s="12" t="inlineStr"/>
      <c r="S506" s="12" t="inlineStr"/>
      <c r="T506" s="12" t="inlineStr"/>
      <c r="U506" s="12" t="inlineStr"/>
      <c r="V506" s="12" t="inlineStr">
        <is>
          <t>Cost Account = CA-2010; WBS Code = 1.2.2</t>
        </is>
      </c>
      <c r="W506" s="12" t="inlineStr"/>
    </row>
    <row r="507" ht="49" customHeight="1">
      <c r="A507" s="12" t="inlineStr">
        <is>
          <t>1.2.2</t>
        </is>
      </c>
      <c r="B507" s="12" t="inlineStr">
        <is>
          <t>Stations - Architectural Fit-Out</t>
        </is>
      </c>
      <c r="C507" s="12" t="inlineStr">
        <is>
          <t>Cost &amp; Forecast Control Accounts</t>
        </is>
      </c>
      <c r="D507" s="12" t="inlineStr">
        <is>
          <t>CST-02-012</t>
        </is>
      </c>
      <c r="E507" s="12" t="inlineStr">
        <is>
          <t>Stations - building services - closeout</t>
        </is>
      </c>
      <c r="F507" s="12" t="inlineStr">
        <is>
          <t>ONE_TO_ONE</t>
        </is>
      </c>
      <c r="G507" s="12" t="inlineStr">
        <is>
          <t>APPROVED</t>
        </is>
      </c>
      <c r="H507" s="12" t="inlineStr">
        <is>
          <t>New</t>
        </is>
      </c>
      <c r="I507" s="12" t="inlineStr">
        <is>
          <t>Source assignment -- not individually reviewed</t>
        </is>
      </c>
      <c r="J507" s="12" t="inlineStr"/>
      <c r="K507" s="12" t="inlineStr">
        <is>
          <t>Source assignment</t>
        </is>
      </c>
      <c r="L507" s="12" t="inlineStr"/>
      <c r="M507" s="12" t="inlineStr">
        <is>
          <t>Initial</t>
        </is>
      </c>
      <c r="N507" s="12" t="inlineStr">
        <is>
          <t>Rev 0</t>
        </is>
      </c>
      <c r="O507" s="12" t="inlineStr">
        <is>
          <t>R1174-v1</t>
        </is>
      </c>
      <c r="P507" s="12" t="inlineStr"/>
      <c r="Q507" s="12" t="inlineStr"/>
      <c r="R507" s="12" t="inlineStr"/>
      <c r="S507" s="12" t="inlineStr"/>
      <c r="T507" s="12" t="inlineStr"/>
      <c r="U507" s="12" t="inlineStr"/>
      <c r="V507" s="12" t="inlineStr">
        <is>
          <t>Cost Account = CA-2012; WBS Code = 1.2.2</t>
        </is>
      </c>
      <c r="W507" s="12" t="inlineStr"/>
    </row>
    <row r="508" ht="49" customHeight="1">
      <c r="A508" s="12" t="inlineStr">
        <is>
          <t>1.2.2</t>
        </is>
      </c>
      <c r="B508" s="12" t="inlineStr">
        <is>
          <t>Stations - Architectural Fit-Out</t>
        </is>
      </c>
      <c r="C508" s="12" t="inlineStr">
        <is>
          <t>Cost &amp; Forecast Control Accounts</t>
        </is>
      </c>
      <c r="D508" s="12" t="inlineStr">
        <is>
          <t>CST-02-014</t>
        </is>
      </c>
      <c r="E508" s="12" t="inlineStr">
        <is>
          <t>Stations - station structure - supply and install</t>
        </is>
      </c>
      <c r="F508" s="12" t="inlineStr">
        <is>
          <t>ONE_TO_ONE</t>
        </is>
      </c>
      <c r="G508" s="12" t="inlineStr">
        <is>
          <t>APPROVED</t>
        </is>
      </c>
      <c r="H508" s="12" t="inlineStr">
        <is>
          <t>New</t>
        </is>
      </c>
      <c r="I508" s="12" t="inlineStr">
        <is>
          <t>Source assignment -- not individually reviewed</t>
        </is>
      </c>
      <c r="J508" s="12" t="inlineStr"/>
      <c r="K508" s="12" t="inlineStr">
        <is>
          <t>Source assignment</t>
        </is>
      </c>
      <c r="L508" s="12" t="inlineStr"/>
      <c r="M508" s="12" t="inlineStr">
        <is>
          <t>Initial</t>
        </is>
      </c>
      <c r="N508" s="12" t="inlineStr">
        <is>
          <t>Rev 0</t>
        </is>
      </c>
      <c r="O508" s="12" t="inlineStr">
        <is>
          <t>R1176-v1</t>
        </is>
      </c>
      <c r="P508" s="12" t="inlineStr"/>
      <c r="Q508" s="12" t="inlineStr"/>
      <c r="R508" s="12" t="inlineStr"/>
      <c r="S508" s="12" t="inlineStr"/>
      <c r="T508" s="12" t="inlineStr"/>
      <c r="U508" s="12" t="inlineStr"/>
      <c r="V508" s="12" t="inlineStr">
        <is>
          <t>Cost Account = CA-2014; WBS Code = 1.2.2</t>
        </is>
      </c>
      <c r="W508" s="12" t="inlineStr"/>
    </row>
    <row r="509" ht="49" customHeight="1">
      <c r="A509" s="12" t="inlineStr">
        <is>
          <t>1.2.2</t>
        </is>
      </c>
      <c r="B509" s="12" t="inlineStr">
        <is>
          <t>Stations - Architectural Fit-Out</t>
        </is>
      </c>
      <c r="C509" s="12" t="inlineStr">
        <is>
          <t>Cost &amp; Forecast Control Accounts</t>
        </is>
      </c>
      <c r="D509" s="12" t="inlineStr">
        <is>
          <t>CST-02-016</t>
        </is>
      </c>
      <c r="E509" s="12" t="inlineStr">
        <is>
          <t>Stations - public realm - allowance</t>
        </is>
      </c>
      <c r="F509" s="12" t="inlineStr">
        <is>
          <t>ONE_TO_ONE</t>
        </is>
      </c>
      <c r="G509" s="12" t="inlineStr">
        <is>
          <t>APPROVED</t>
        </is>
      </c>
      <c r="H509" s="12" t="inlineStr">
        <is>
          <t>New</t>
        </is>
      </c>
      <c r="I509" s="12" t="inlineStr">
        <is>
          <t>Source assignment -- not individually reviewed</t>
        </is>
      </c>
      <c r="J509" s="12" t="inlineStr"/>
      <c r="K509" s="12" t="inlineStr">
        <is>
          <t>Source assignment</t>
        </is>
      </c>
      <c r="L509" s="12" t="inlineStr"/>
      <c r="M509" s="12" t="inlineStr">
        <is>
          <t>Initial</t>
        </is>
      </c>
      <c r="N509" s="12" t="inlineStr">
        <is>
          <t>Rev 0</t>
        </is>
      </c>
      <c r="O509" s="12" t="inlineStr">
        <is>
          <t>R1178-v1</t>
        </is>
      </c>
      <c r="P509" s="12" t="inlineStr"/>
      <c r="Q509" s="12" t="inlineStr"/>
      <c r="R509" s="12" t="inlineStr"/>
      <c r="S509" s="12" t="inlineStr"/>
      <c r="T509" s="12" t="inlineStr"/>
      <c r="U509" s="12" t="inlineStr"/>
      <c r="V509" s="12" t="inlineStr">
        <is>
          <t>Cost Account = CA-2016; WBS Code = 1.2.2</t>
        </is>
      </c>
      <c r="W509" s="12" t="inlineStr"/>
    </row>
    <row r="510" ht="49" customHeight="1">
      <c r="A510" s="12" t="inlineStr">
        <is>
          <t>1.2.2</t>
        </is>
      </c>
      <c r="B510" s="12" t="inlineStr">
        <is>
          <t>Stations - Architectural Fit-Out</t>
        </is>
      </c>
      <c r="C510" s="12" t="inlineStr">
        <is>
          <t>Cost &amp; Forecast Control Accounts</t>
        </is>
      </c>
      <c r="D510" s="12" t="inlineStr">
        <is>
          <t>CST-02-018</t>
        </is>
      </c>
      <c r="E510" s="12" t="inlineStr">
        <is>
          <t>Stations - building services - field package</t>
        </is>
      </c>
      <c r="F510" s="12" t="inlineStr">
        <is>
          <t>ONE_TO_ONE</t>
        </is>
      </c>
      <c r="G510" s="12" t="inlineStr">
        <is>
          <t>APPROVED</t>
        </is>
      </c>
      <c r="H510" s="12" t="inlineStr">
        <is>
          <t>New</t>
        </is>
      </c>
      <c r="I510" s="12" t="inlineStr">
        <is>
          <t>Source assignment -- not individually reviewed</t>
        </is>
      </c>
      <c r="J510" s="12" t="inlineStr"/>
      <c r="K510" s="12" t="inlineStr">
        <is>
          <t>Source assignment</t>
        </is>
      </c>
      <c r="L510" s="12" t="inlineStr"/>
      <c r="M510" s="12" t="inlineStr">
        <is>
          <t>Initial</t>
        </is>
      </c>
      <c r="N510" s="12" t="inlineStr">
        <is>
          <t>Rev 0</t>
        </is>
      </c>
      <c r="O510" s="12" t="inlineStr">
        <is>
          <t>R1180-v1</t>
        </is>
      </c>
      <c r="P510" s="12" t="inlineStr"/>
      <c r="Q510" s="12" t="inlineStr"/>
      <c r="R510" s="12" t="inlineStr"/>
      <c r="S510" s="12" t="inlineStr"/>
      <c r="T510" s="12" t="inlineStr"/>
      <c r="U510" s="12" t="inlineStr"/>
      <c r="V510" s="12" t="inlineStr">
        <is>
          <t>Cost Account = CA-2018; WBS Code = 1.2.2</t>
        </is>
      </c>
      <c r="W510" s="12" t="inlineStr"/>
    </row>
    <row r="511" ht="49" customHeight="1">
      <c r="A511" s="12" t="inlineStr">
        <is>
          <t>1.2.2</t>
        </is>
      </c>
      <c r="B511" s="12" t="inlineStr">
        <is>
          <t>Stations - Architectural Fit-Out</t>
        </is>
      </c>
      <c r="C511" s="12" t="inlineStr">
        <is>
          <t>Cost &amp; Forecast Control Accounts</t>
        </is>
      </c>
      <c r="D511" s="12" t="inlineStr">
        <is>
          <t>CST-02-020</t>
        </is>
      </c>
      <c r="E511" s="12" t="inlineStr">
        <is>
          <t>Stations - station structure - professional services</t>
        </is>
      </c>
      <c r="F511" s="12" t="inlineStr">
        <is>
          <t>ONE_TO_ONE</t>
        </is>
      </c>
      <c r="G511" s="12" t="inlineStr">
        <is>
          <t>APPROVED</t>
        </is>
      </c>
      <c r="H511" s="12" t="inlineStr">
        <is>
          <t>New</t>
        </is>
      </c>
      <c r="I511" s="12" t="inlineStr">
        <is>
          <t>Source assignment -- not individually reviewed</t>
        </is>
      </c>
      <c r="J511" s="12" t="inlineStr"/>
      <c r="K511" s="12" t="inlineStr">
        <is>
          <t>Source assignment</t>
        </is>
      </c>
      <c r="L511" s="12" t="inlineStr"/>
      <c r="M511" s="12" t="inlineStr">
        <is>
          <t>Initial</t>
        </is>
      </c>
      <c r="N511" s="12" t="inlineStr">
        <is>
          <t>Rev 0</t>
        </is>
      </c>
      <c r="O511" s="12" t="inlineStr">
        <is>
          <t>R1182-v1</t>
        </is>
      </c>
      <c r="P511" s="12" t="inlineStr"/>
      <c r="Q511" s="12" t="inlineStr"/>
      <c r="R511" s="12" t="inlineStr"/>
      <c r="S511" s="12" t="inlineStr"/>
      <c r="T511" s="12" t="inlineStr"/>
      <c r="U511" s="12" t="inlineStr"/>
      <c r="V511" s="12" t="inlineStr">
        <is>
          <t>Cost Account = CA-2020; WBS Code = 1.2.2</t>
        </is>
      </c>
      <c r="W511" s="12" t="inlineStr"/>
    </row>
    <row r="512" ht="49" customHeight="1">
      <c r="A512" s="12" t="inlineStr">
        <is>
          <t>1.2.2</t>
        </is>
      </c>
      <c r="B512" s="12" t="inlineStr">
        <is>
          <t>Stations - Architectural Fit-Out</t>
        </is>
      </c>
      <c r="C512" s="12" t="inlineStr">
        <is>
          <t>Cost &amp; Forecast Control Accounts</t>
        </is>
      </c>
      <c r="D512" s="12" t="inlineStr">
        <is>
          <t>CST-02-022</t>
        </is>
      </c>
      <c r="E512" s="12" t="inlineStr">
        <is>
          <t>Stations - public realm - closeout</t>
        </is>
      </c>
      <c r="F512" s="12" t="inlineStr">
        <is>
          <t>ONE_TO_ONE</t>
        </is>
      </c>
      <c r="G512" s="12" t="inlineStr">
        <is>
          <t>APPROVED</t>
        </is>
      </c>
      <c r="H512" s="12" t="inlineStr">
        <is>
          <t>New</t>
        </is>
      </c>
      <c r="I512" s="12" t="inlineStr">
        <is>
          <t>Source assignment -- not individually reviewed</t>
        </is>
      </c>
      <c r="J512" s="12" t="inlineStr"/>
      <c r="K512" s="12" t="inlineStr">
        <is>
          <t>Source assignment</t>
        </is>
      </c>
      <c r="L512" s="12" t="inlineStr"/>
      <c r="M512" s="12" t="inlineStr">
        <is>
          <t>Initial</t>
        </is>
      </c>
      <c r="N512" s="12" t="inlineStr">
        <is>
          <t>Rev 0</t>
        </is>
      </c>
      <c r="O512" s="12" t="inlineStr">
        <is>
          <t>R1184-v1</t>
        </is>
      </c>
      <c r="P512" s="12" t="inlineStr"/>
      <c r="Q512" s="12" t="inlineStr"/>
      <c r="R512" s="12" t="inlineStr"/>
      <c r="S512" s="12" t="inlineStr"/>
      <c r="T512" s="12" t="inlineStr"/>
      <c r="U512" s="12" t="inlineStr"/>
      <c r="V512" s="12" t="inlineStr">
        <is>
          <t>Cost Account = CA-2022; WBS Code = 1.2.2</t>
        </is>
      </c>
      <c r="W512" s="12" t="inlineStr"/>
    </row>
    <row r="513" ht="49" customHeight="1">
      <c r="A513" s="12" t="inlineStr">
        <is>
          <t>1.2.2</t>
        </is>
      </c>
      <c r="B513" s="12" t="inlineStr">
        <is>
          <t>Stations - Architectural Fit-Out</t>
        </is>
      </c>
      <c r="C513" s="12" t="inlineStr">
        <is>
          <t>Cost &amp; Forecast Control Accounts</t>
        </is>
      </c>
      <c r="D513" s="12" t="inlineStr">
        <is>
          <t>CST-02-024</t>
        </is>
      </c>
      <c r="E513" s="12" t="inlineStr">
        <is>
          <t>Stations - building services - supply and install</t>
        </is>
      </c>
      <c r="F513" s="12" t="inlineStr">
        <is>
          <t>ONE_TO_ONE</t>
        </is>
      </c>
      <c r="G513" s="12" t="inlineStr">
        <is>
          <t>APPROVED</t>
        </is>
      </c>
      <c r="H513" s="12" t="inlineStr">
        <is>
          <t>New</t>
        </is>
      </c>
      <c r="I513" s="12" t="inlineStr">
        <is>
          <t>Source assignment -- not individually reviewed</t>
        </is>
      </c>
      <c r="J513" s="12" t="inlineStr"/>
      <c r="K513" s="12" t="inlineStr">
        <is>
          <t>Source assignment</t>
        </is>
      </c>
      <c r="L513" s="12" t="inlineStr"/>
      <c r="M513" s="12" t="inlineStr">
        <is>
          <t>Initial</t>
        </is>
      </c>
      <c r="N513" s="12" t="inlineStr">
        <is>
          <t>Rev 0</t>
        </is>
      </c>
      <c r="O513" s="12" t="inlineStr">
        <is>
          <t>R1186-v1</t>
        </is>
      </c>
      <c r="P513" s="12" t="inlineStr"/>
      <c r="Q513" s="12" t="inlineStr"/>
      <c r="R513" s="12" t="inlineStr"/>
      <c r="S513" s="12" t="inlineStr"/>
      <c r="T513" s="12" t="inlineStr"/>
      <c r="U513" s="12" t="inlineStr"/>
      <c r="V513" s="12" t="inlineStr">
        <is>
          <t>Cost Account = CA-2024; WBS Code = 1.2.2</t>
        </is>
      </c>
      <c r="W513" s="12" t="inlineStr"/>
    </row>
    <row r="514" ht="49" customHeight="1">
      <c r="A514" s="12" t="inlineStr">
        <is>
          <t>1.2.2</t>
        </is>
      </c>
      <c r="B514" s="12" t="inlineStr">
        <is>
          <t>Stations - Architectural Fit-Out</t>
        </is>
      </c>
      <c r="C514" s="12" t="inlineStr">
        <is>
          <t>Cost &amp; Forecast Control Accounts</t>
        </is>
      </c>
      <c r="D514" s="12" t="inlineStr">
        <is>
          <t>CST-02-026</t>
        </is>
      </c>
      <c r="E514" s="12" t="inlineStr">
        <is>
          <t>Stations - station structure - allowance</t>
        </is>
      </c>
      <c r="F514" s="12" t="inlineStr">
        <is>
          <t>ONE_TO_ONE</t>
        </is>
      </c>
      <c r="G514" s="12" t="inlineStr">
        <is>
          <t>APPROVED</t>
        </is>
      </c>
      <c r="H514" s="12" t="inlineStr">
        <is>
          <t>New</t>
        </is>
      </c>
      <c r="I514" s="12" t="inlineStr">
        <is>
          <t>Source assignment -- not individually reviewed</t>
        </is>
      </c>
      <c r="J514" s="12" t="inlineStr"/>
      <c r="K514" s="12" t="inlineStr">
        <is>
          <t>Source assignment</t>
        </is>
      </c>
      <c r="L514" s="12" t="inlineStr"/>
      <c r="M514" s="12" t="inlineStr">
        <is>
          <t>Initial</t>
        </is>
      </c>
      <c r="N514" s="12" t="inlineStr">
        <is>
          <t>Rev 0</t>
        </is>
      </c>
      <c r="O514" s="12" t="inlineStr">
        <is>
          <t>R1188-v1</t>
        </is>
      </c>
      <c r="P514" s="12" t="inlineStr"/>
      <c r="Q514" s="12" t="inlineStr"/>
      <c r="R514" s="12" t="inlineStr"/>
      <c r="S514" s="12" t="inlineStr"/>
      <c r="T514" s="12" t="inlineStr"/>
      <c r="U514" s="12" t="inlineStr"/>
      <c r="V514" s="12" t="inlineStr">
        <is>
          <t>Cost Account = CA-2026; WBS Code = 1.2.2</t>
        </is>
      </c>
      <c r="W514" s="12" t="inlineStr"/>
    </row>
    <row r="515" ht="49" customHeight="1">
      <c r="A515" s="12" t="inlineStr">
        <is>
          <t>1.2.2</t>
        </is>
      </c>
      <c r="B515" s="12" t="inlineStr">
        <is>
          <t>Stations - Architectural Fit-Out</t>
        </is>
      </c>
      <c r="C515" s="12" t="inlineStr">
        <is>
          <t>Cost &amp; Forecast Control Accounts</t>
        </is>
      </c>
      <c r="D515" s="12" t="inlineStr">
        <is>
          <t>CST-02-028</t>
        </is>
      </c>
      <c r="E515" s="12" t="inlineStr">
        <is>
          <t>Stations - public realm - field package</t>
        </is>
      </c>
      <c r="F515" s="12" t="inlineStr">
        <is>
          <t>ONE_TO_ONE</t>
        </is>
      </c>
      <c r="G515" s="12" t="inlineStr">
        <is>
          <t>APPROVED</t>
        </is>
      </c>
      <c r="H515" s="12" t="inlineStr">
        <is>
          <t>New</t>
        </is>
      </c>
      <c r="I515" s="12" t="inlineStr">
        <is>
          <t>Source assignment -- not individually reviewed</t>
        </is>
      </c>
      <c r="J515" s="12" t="inlineStr"/>
      <c r="K515" s="12" t="inlineStr">
        <is>
          <t>Source assignment</t>
        </is>
      </c>
      <c r="L515" s="12" t="inlineStr"/>
      <c r="M515" s="12" t="inlineStr">
        <is>
          <t>Initial</t>
        </is>
      </c>
      <c r="N515" s="12" t="inlineStr">
        <is>
          <t>Rev 0</t>
        </is>
      </c>
      <c r="O515" s="12" t="inlineStr">
        <is>
          <t>R1190-v1</t>
        </is>
      </c>
      <c r="P515" s="12" t="inlineStr"/>
      <c r="Q515" s="12" t="inlineStr"/>
      <c r="R515" s="12" t="inlineStr"/>
      <c r="S515" s="12" t="inlineStr"/>
      <c r="T515" s="12" t="inlineStr"/>
      <c r="U515" s="12" t="inlineStr"/>
      <c r="V515" s="12" t="inlineStr">
        <is>
          <t>Cost Account = CA-2028; WBS Code = 1.2.2</t>
        </is>
      </c>
      <c r="W515" s="12" t="inlineStr"/>
    </row>
    <row r="516" ht="49" customHeight="1">
      <c r="A516" s="12" t="inlineStr">
        <is>
          <t>1.2.2</t>
        </is>
      </c>
      <c r="B516" s="12" t="inlineStr">
        <is>
          <t>Stations - Architectural Fit-Out</t>
        </is>
      </c>
      <c r="C516" s="12" t="inlineStr">
        <is>
          <t>Cost &amp; Forecast Control Accounts</t>
        </is>
      </c>
      <c r="D516" s="12" t="inlineStr">
        <is>
          <t>CST-02-030</t>
        </is>
      </c>
      <c r="E516" s="12" t="inlineStr">
        <is>
          <t>Stations - building services - professional services</t>
        </is>
      </c>
      <c r="F516" s="12" t="inlineStr">
        <is>
          <t>ONE_TO_ONE</t>
        </is>
      </c>
      <c r="G516" s="12" t="inlineStr">
        <is>
          <t>APPROVED</t>
        </is>
      </c>
      <c r="H516" s="12" t="inlineStr">
        <is>
          <t>New</t>
        </is>
      </c>
      <c r="I516" s="12" t="inlineStr">
        <is>
          <t>Source assignment -- not individually reviewed</t>
        </is>
      </c>
      <c r="J516" s="12" t="inlineStr"/>
      <c r="K516" s="12" t="inlineStr">
        <is>
          <t>Source assignment</t>
        </is>
      </c>
      <c r="L516" s="12" t="inlineStr"/>
      <c r="M516" s="12" t="inlineStr">
        <is>
          <t>Initial</t>
        </is>
      </c>
      <c r="N516" s="12" t="inlineStr">
        <is>
          <t>Rev 0</t>
        </is>
      </c>
      <c r="O516" s="12" t="inlineStr">
        <is>
          <t>R1192-v1</t>
        </is>
      </c>
      <c r="P516" s="12" t="inlineStr"/>
      <c r="Q516" s="12" t="inlineStr"/>
      <c r="R516" s="12" t="inlineStr"/>
      <c r="S516" s="12" t="inlineStr"/>
      <c r="T516" s="12" t="inlineStr"/>
      <c r="U516" s="12" t="inlineStr"/>
      <c r="V516" s="12" t="inlineStr">
        <is>
          <t>Cost Account = CA-2030; WBS Code = 1.2.2</t>
        </is>
      </c>
      <c r="W516" s="12" t="inlineStr"/>
    </row>
    <row r="517" ht="49" customHeight="1">
      <c r="A517" s="12" t="inlineStr">
        <is>
          <t>1.2.2</t>
        </is>
      </c>
      <c r="B517" s="12" t="inlineStr">
        <is>
          <t>Stations - Architectural Fit-Out</t>
        </is>
      </c>
      <c r="C517" s="12" t="inlineStr">
        <is>
          <t>Cost &amp; Forecast Control Accounts</t>
        </is>
      </c>
      <c r="D517" s="12" t="inlineStr">
        <is>
          <t>CST-02-032</t>
        </is>
      </c>
      <c r="E517" s="12" t="inlineStr">
        <is>
          <t>Stations - station structure - closeout</t>
        </is>
      </c>
      <c r="F517" s="12" t="inlineStr">
        <is>
          <t>ONE_TO_ONE</t>
        </is>
      </c>
      <c r="G517" s="12" t="inlineStr">
        <is>
          <t>APPROVED</t>
        </is>
      </c>
      <c r="H517" s="12" t="inlineStr">
        <is>
          <t>New</t>
        </is>
      </c>
      <c r="I517" s="12" t="inlineStr">
        <is>
          <t>Source assignment -- not individually reviewed</t>
        </is>
      </c>
      <c r="J517" s="12" t="inlineStr"/>
      <c r="K517" s="12" t="inlineStr">
        <is>
          <t>Source assignment</t>
        </is>
      </c>
      <c r="L517" s="12" t="inlineStr"/>
      <c r="M517" s="12" t="inlineStr">
        <is>
          <t>Initial</t>
        </is>
      </c>
      <c r="N517" s="12" t="inlineStr">
        <is>
          <t>Rev 0</t>
        </is>
      </c>
      <c r="O517" s="12" t="inlineStr">
        <is>
          <t>R1194-v1</t>
        </is>
      </c>
      <c r="P517" s="12" t="inlineStr"/>
      <c r="Q517" s="12" t="inlineStr"/>
      <c r="R517" s="12" t="inlineStr"/>
      <c r="S517" s="12" t="inlineStr"/>
      <c r="T517" s="12" t="inlineStr"/>
      <c r="U517" s="12" t="inlineStr"/>
      <c r="V517" s="12" t="inlineStr">
        <is>
          <t>Cost Account = CA-2032; WBS Code = 1.2.2</t>
        </is>
      </c>
      <c r="W517" s="12" t="inlineStr"/>
    </row>
    <row r="518" ht="49" customHeight="1">
      <c r="A518" s="12" t="inlineStr">
        <is>
          <t>1.2.2</t>
        </is>
      </c>
      <c r="B518" s="12" t="inlineStr">
        <is>
          <t>Stations - Architectural Fit-Out</t>
        </is>
      </c>
      <c r="C518" s="12" t="inlineStr">
        <is>
          <t>Cost &amp; Forecast Control Accounts</t>
        </is>
      </c>
      <c r="D518" s="12" t="inlineStr">
        <is>
          <t>CST-02-034</t>
        </is>
      </c>
      <c r="E518" s="12" t="inlineStr">
        <is>
          <t>Stations - public realm - supply and install</t>
        </is>
      </c>
      <c r="F518" s="12" t="inlineStr">
        <is>
          <t>ONE_TO_ONE</t>
        </is>
      </c>
      <c r="G518" s="12" t="inlineStr">
        <is>
          <t>APPROVED</t>
        </is>
      </c>
      <c r="H518" s="12" t="inlineStr">
        <is>
          <t>New</t>
        </is>
      </c>
      <c r="I518" s="12" t="inlineStr">
        <is>
          <t>Source assignment -- not individually reviewed</t>
        </is>
      </c>
      <c r="J518" s="12" t="inlineStr"/>
      <c r="K518" s="12" t="inlineStr">
        <is>
          <t>Source assignment</t>
        </is>
      </c>
      <c r="L518" s="12" t="inlineStr"/>
      <c r="M518" s="12" t="inlineStr">
        <is>
          <t>Initial</t>
        </is>
      </c>
      <c r="N518" s="12" t="inlineStr">
        <is>
          <t>Rev 0</t>
        </is>
      </c>
      <c r="O518" s="12" t="inlineStr">
        <is>
          <t>R1196-v1</t>
        </is>
      </c>
      <c r="P518" s="12" t="inlineStr"/>
      <c r="Q518" s="12" t="inlineStr"/>
      <c r="R518" s="12" t="inlineStr"/>
      <c r="S518" s="12" t="inlineStr"/>
      <c r="T518" s="12" t="inlineStr"/>
      <c r="U518" s="12" t="inlineStr"/>
      <c r="V518" s="12" t="inlineStr">
        <is>
          <t>Cost Account = CA-2034; WBS Code = 1.2.2</t>
        </is>
      </c>
      <c r="W518" s="12" t="inlineStr"/>
    </row>
    <row r="519" ht="49" customHeight="1">
      <c r="A519" s="12" t="inlineStr">
        <is>
          <t>1.2.2</t>
        </is>
      </c>
      <c r="B519" s="12" t="inlineStr">
        <is>
          <t>Stations - Architectural Fit-Out</t>
        </is>
      </c>
      <c r="C519" s="12" t="inlineStr">
        <is>
          <t>Cost &amp; Forecast Control Accounts</t>
        </is>
      </c>
      <c r="D519" s="12" t="inlineStr">
        <is>
          <t>CST-02-036</t>
        </is>
      </c>
      <c r="E519" s="12" t="inlineStr">
        <is>
          <t>Stations - building services - allowance</t>
        </is>
      </c>
      <c r="F519" s="12" t="inlineStr">
        <is>
          <t>ONE_TO_ONE</t>
        </is>
      </c>
      <c r="G519" s="12" t="inlineStr">
        <is>
          <t>APPROVED</t>
        </is>
      </c>
      <c r="H519" s="12" t="inlineStr">
        <is>
          <t>New</t>
        </is>
      </c>
      <c r="I519" s="12" t="inlineStr">
        <is>
          <t>Source assignment -- not individually reviewed</t>
        </is>
      </c>
      <c r="J519" s="12" t="inlineStr"/>
      <c r="K519" s="12" t="inlineStr">
        <is>
          <t>Source assignment</t>
        </is>
      </c>
      <c r="L519" s="12" t="inlineStr"/>
      <c r="M519" s="12" t="inlineStr">
        <is>
          <t>Initial</t>
        </is>
      </c>
      <c r="N519" s="12" t="inlineStr">
        <is>
          <t>Rev 0</t>
        </is>
      </c>
      <c r="O519" s="12" t="inlineStr">
        <is>
          <t>R1198-v1</t>
        </is>
      </c>
      <c r="P519" s="12" t="inlineStr"/>
      <c r="Q519" s="12" t="inlineStr"/>
      <c r="R519" s="12" t="inlineStr"/>
      <c r="S519" s="12" t="inlineStr"/>
      <c r="T519" s="12" t="inlineStr"/>
      <c r="U519" s="12" t="inlineStr"/>
      <c r="V519" s="12" t="inlineStr">
        <is>
          <t>Cost Account = CA-2036; WBS Code = 1.2.2</t>
        </is>
      </c>
      <c r="W519" s="12" t="inlineStr"/>
    </row>
    <row r="520" ht="49" customHeight="1">
      <c r="A520" s="12" t="inlineStr">
        <is>
          <t>1.2.2</t>
        </is>
      </c>
      <c r="B520" s="12" t="inlineStr">
        <is>
          <t>Stations - Architectural Fit-Out</t>
        </is>
      </c>
      <c r="C520" s="12" t="inlineStr">
        <is>
          <t>Cost &amp; Forecast Control Accounts</t>
        </is>
      </c>
      <c r="D520" s="12" t="inlineStr">
        <is>
          <t>CST-02-038</t>
        </is>
      </c>
      <c r="E520" s="12" t="inlineStr">
        <is>
          <t>Stations - station structure - field package</t>
        </is>
      </c>
      <c r="F520" s="12" t="inlineStr">
        <is>
          <t>ONE_TO_ONE</t>
        </is>
      </c>
      <c r="G520" s="12" t="inlineStr">
        <is>
          <t>APPROVED</t>
        </is>
      </c>
      <c r="H520" s="12" t="inlineStr">
        <is>
          <t>New</t>
        </is>
      </c>
      <c r="I520" s="12" t="inlineStr">
        <is>
          <t>Source assignment -- not individually reviewed</t>
        </is>
      </c>
      <c r="J520" s="12" t="inlineStr"/>
      <c r="K520" s="12" t="inlineStr">
        <is>
          <t>Source assignment</t>
        </is>
      </c>
      <c r="L520" s="12" t="inlineStr"/>
      <c r="M520" s="12" t="inlineStr">
        <is>
          <t>Initial</t>
        </is>
      </c>
      <c r="N520" s="12" t="inlineStr">
        <is>
          <t>Rev 0</t>
        </is>
      </c>
      <c r="O520" s="12" t="inlineStr">
        <is>
          <t>R1200-v1</t>
        </is>
      </c>
      <c r="P520" s="12" t="inlineStr"/>
      <c r="Q520" s="12" t="inlineStr"/>
      <c r="R520" s="12" t="inlineStr"/>
      <c r="S520" s="12" t="inlineStr"/>
      <c r="T520" s="12" t="inlineStr"/>
      <c r="U520" s="12" t="inlineStr"/>
      <c r="V520" s="12" t="inlineStr">
        <is>
          <t>Cost Account = CA-2038; WBS Code = 1.2.2</t>
        </is>
      </c>
      <c r="W520" s="12" t="inlineStr"/>
    </row>
    <row r="521" ht="49" customHeight="1">
      <c r="A521" s="12" t="inlineStr">
        <is>
          <t>1.2.2</t>
        </is>
      </c>
      <c r="B521" s="12" t="inlineStr">
        <is>
          <t>Stations - Architectural Fit-Out</t>
        </is>
      </c>
      <c r="C521" s="12" t="inlineStr">
        <is>
          <t>Cost &amp; Forecast Control Accounts</t>
        </is>
      </c>
      <c r="D521" s="12" t="inlineStr">
        <is>
          <t>CST-02-040</t>
        </is>
      </c>
      <c r="E521" s="12" t="inlineStr">
        <is>
          <t>Stations - public realm - professional services</t>
        </is>
      </c>
      <c r="F521" s="12" t="inlineStr">
        <is>
          <t>ONE_TO_ONE</t>
        </is>
      </c>
      <c r="G521" s="12" t="inlineStr">
        <is>
          <t>APPROVED</t>
        </is>
      </c>
      <c r="H521" s="12" t="inlineStr">
        <is>
          <t>New</t>
        </is>
      </c>
      <c r="I521" s="12" t="inlineStr">
        <is>
          <t>Source assignment -- not individually reviewed</t>
        </is>
      </c>
      <c r="J521" s="12" t="inlineStr"/>
      <c r="K521" s="12" t="inlineStr">
        <is>
          <t>Source assignment</t>
        </is>
      </c>
      <c r="L521" s="12" t="inlineStr"/>
      <c r="M521" s="12" t="inlineStr">
        <is>
          <t>Initial</t>
        </is>
      </c>
      <c r="N521" s="12" t="inlineStr">
        <is>
          <t>Rev 0</t>
        </is>
      </c>
      <c r="O521" s="12" t="inlineStr">
        <is>
          <t>R1202-v1</t>
        </is>
      </c>
      <c r="P521" s="12" t="inlineStr"/>
      <c r="Q521" s="12" t="inlineStr"/>
      <c r="R521" s="12" t="inlineStr"/>
      <c r="S521" s="12" t="inlineStr"/>
      <c r="T521" s="12" t="inlineStr"/>
      <c r="U521" s="12" t="inlineStr"/>
      <c r="V521" s="12" t="inlineStr">
        <is>
          <t>Cost Account = CA-2040; WBS Code = 1.2.2</t>
        </is>
      </c>
      <c r="W521" s="12" t="inlineStr"/>
    </row>
    <row r="522" ht="49" customHeight="1">
      <c r="A522" s="12" t="inlineStr">
        <is>
          <t>1.2.2</t>
        </is>
      </c>
      <c r="B522" s="12" t="inlineStr">
        <is>
          <t>Stations - Architectural Fit-Out</t>
        </is>
      </c>
      <c r="C522" s="12" t="inlineStr">
        <is>
          <t>Cost &amp; Forecast Control Accounts</t>
        </is>
      </c>
      <c r="D522" s="12" t="inlineStr">
        <is>
          <t>CST-02-042</t>
        </is>
      </c>
      <c r="E522" s="12" t="inlineStr">
        <is>
          <t>Stations - building services - closeout</t>
        </is>
      </c>
      <c r="F522" s="12" t="inlineStr">
        <is>
          <t>ONE_TO_ONE</t>
        </is>
      </c>
      <c r="G522" s="12" t="inlineStr">
        <is>
          <t>APPROVED</t>
        </is>
      </c>
      <c r="H522" s="12" t="inlineStr">
        <is>
          <t>New</t>
        </is>
      </c>
      <c r="I522" s="12" t="inlineStr">
        <is>
          <t>Source assignment -- not individually reviewed</t>
        </is>
      </c>
      <c r="J522" s="12" t="inlineStr"/>
      <c r="K522" s="12" t="inlineStr">
        <is>
          <t>Source assignment</t>
        </is>
      </c>
      <c r="L522" s="12" t="inlineStr"/>
      <c r="M522" s="12" t="inlineStr">
        <is>
          <t>Initial</t>
        </is>
      </c>
      <c r="N522" s="12" t="inlineStr">
        <is>
          <t>Rev 0</t>
        </is>
      </c>
      <c r="O522" s="12" t="inlineStr">
        <is>
          <t>R1204-v1</t>
        </is>
      </c>
      <c r="P522" s="12" t="inlineStr"/>
      <c r="Q522" s="12" t="inlineStr"/>
      <c r="R522" s="12" t="inlineStr"/>
      <c r="S522" s="12" t="inlineStr"/>
      <c r="T522" s="12" t="inlineStr"/>
      <c r="U522" s="12" t="inlineStr"/>
      <c r="V522" s="12" t="inlineStr">
        <is>
          <t>Cost Account = CA-2042; WBS Code = 1.2.2</t>
        </is>
      </c>
      <c r="W522" s="12" t="inlineStr"/>
    </row>
    <row r="523" ht="49" customHeight="1">
      <c r="A523" s="12" t="inlineStr">
        <is>
          <t>1.2.2</t>
        </is>
      </c>
      <c r="B523" s="12" t="inlineStr">
        <is>
          <t>Stations - Architectural Fit-Out</t>
        </is>
      </c>
      <c r="C523" s="12" t="inlineStr">
        <is>
          <t>Cost &amp; Forecast Control Accounts</t>
        </is>
      </c>
      <c r="D523" s="12" t="inlineStr">
        <is>
          <t>CST-02-044</t>
        </is>
      </c>
      <c r="E523" s="12" t="inlineStr">
        <is>
          <t>Stations - station structure - supply and install</t>
        </is>
      </c>
      <c r="F523" s="12" t="inlineStr">
        <is>
          <t>ONE_TO_ONE</t>
        </is>
      </c>
      <c r="G523" s="12" t="inlineStr">
        <is>
          <t>APPROVED</t>
        </is>
      </c>
      <c r="H523" s="12" t="inlineStr">
        <is>
          <t>New</t>
        </is>
      </c>
      <c r="I523" s="12" t="inlineStr">
        <is>
          <t>Source assignment -- not individually reviewed</t>
        </is>
      </c>
      <c r="J523" s="12" t="inlineStr"/>
      <c r="K523" s="12" t="inlineStr">
        <is>
          <t>Source assignment</t>
        </is>
      </c>
      <c r="L523" s="12" t="inlineStr"/>
      <c r="M523" s="12" t="inlineStr">
        <is>
          <t>Initial</t>
        </is>
      </c>
      <c r="N523" s="12" t="inlineStr">
        <is>
          <t>Rev 0</t>
        </is>
      </c>
      <c r="O523" s="12" t="inlineStr">
        <is>
          <t>R1206-v1</t>
        </is>
      </c>
      <c r="P523" s="12" t="inlineStr"/>
      <c r="Q523" s="12" t="inlineStr"/>
      <c r="R523" s="12" t="inlineStr"/>
      <c r="S523" s="12" t="inlineStr"/>
      <c r="T523" s="12" t="inlineStr"/>
      <c r="U523" s="12" t="inlineStr"/>
      <c r="V523" s="12" t="inlineStr">
        <is>
          <t>Cost Account = CA-2044; WBS Code = 1.2.2</t>
        </is>
      </c>
      <c r="W523" s="12" t="inlineStr"/>
    </row>
    <row r="524" ht="49" customHeight="1">
      <c r="A524" s="12" t="inlineStr">
        <is>
          <t>1.2.2</t>
        </is>
      </c>
      <c r="B524" s="12" t="inlineStr">
        <is>
          <t>Stations - Architectural Fit-Out</t>
        </is>
      </c>
      <c r="C524" s="12" t="inlineStr">
        <is>
          <t>Cost &amp; Forecast Control Accounts</t>
        </is>
      </c>
      <c r="D524" s="12" t="inlineStr">
        <is>
          <t>CST-02-046</t>
        </is>
      </c>
      <c r="E524" s="12" t="inlineStr">
        <is>
          <t>Stations - public realm - allowance</t>
        </is>
      </c>
      <c r="F524" s="12" t="inlineStr">
        <is>
          <t>ONE_TO_ONE</t>
        </is>
      </c>
      <c r="G524" s="12" t="inlineStr">
        <is>
          <t>APPROVED</t>
        </is>
      </c>
      <c r="H524" s="12" t="inlineStr">
        <is>
          <t>New</t>
        </is>
      </c>
      <c r="I524" s="12" t="inlineStr">
        <is>
          <t>Source assignment -- not individually reviewed</t>
        </is>
      </c>
      <c r="J524" s="12" t="inlineStr"/>
      <c r="K524" s="12" t="inlineStr">
        <is>
          <t>Source assignment</t>
        </is>
      </c>
      <c r="L524" s="12" t="inlineStr"/>
      <c r="M524" s="12" t="inlineStr">
        <is>
          <t>Initial</t>
        </is>
      </c>
      <c r="N524" s="12" t="inlineStr">
        <is>
          <t>Rev 0</t>
        </is>
      </c>
      <c r="O524" s="12" t="inlineStr">
        <is>
          <t>R1208-v1</t>
        </is>
      </c>
      <c r="P524" s="12" t="inlineStr"/>
      <c r="Q524" s="12" t="inlineStr"/>
      <c r="R524" s="12" t="inlineStr"/>
      <c r="S524" s="12" t="inlineStr"/>
      <c r="T524" s="12" t="inlineStr"/>
      <c r="U524" s="12" t="inlineStr"/>
      <c r="V524" s="12" t="inlineStr">
        <is>
          <t>Cost Account = CA-2046; WBS Code = 1.2.2</t>
        </is>
      </c>
      <c r="W524" s="12" t="inlineStr"/>
    </row>
    <row r="525" ht="49" customHeight="1">
      <c r="A525" s="12" t="inlineStr">
        <is>
          <t>1.2.2</t>
        </is>
      </c>
      <c r="B525" s="12" t="inlineStr">
        <is>
          <t>Stations - Architectural Fit-Out</t>
        </is>
      </c>
      <c r="C525" s="12" t="inlineStr">
        <is>
          <t>Cost &amp; Forecast Control Accounts</t>
        </is>
      </c>
      <c r="D525" s="12" t="inlineStr">
        <is>
          <t>CST-02-048</t>
        </is>
      </c>
      <c r="E525" s="12" t="inlineStr">
        <is>
          <t>Stations - building services - field package</t>
        </is>
      </c>
      <c r="F525" s="12" t="inlineStr">
        <is>
          <t>ONE_TO_ONE</t>
        </is>
      </c>
      <c r="G525" s="12" t="inlineStr">
        <is>
          <t>APPROVED</t>
        </is>
      </c>
      <c r="H525" s="12" t="inlineStr">
        <is>
          <t>New</t>
        </is>
      </c>
      <c r="I525" s="12" t="inlineStr">
        <is>
          <t>Source assignment -- not individually reviewed</t>
        </is>
      </c>
      <c r="J525" s="12" t="inlineStr"/>
      <c r="K525" s="12" t="inlineStr">
        <is>
          <t>Source assignment</t>
        </is>
      </c>
      <c r="L525" s="12" t="inlineStr"/>
      <c r="M525" s="12" t="inlineStr">
        <is>
          <t>Initial</t>
        </is>
      </c>
      <c r="N525" s="12" t="inlineStr">
        <is>
          <t>Rev 0</t>
        </is>
      </c>
      <c r="O525" s="12" t="inlineStr">
        <is>
          <t>R1210-v1</t>
        </is>
      </c>
      <c r="P525" s="12" t="inlineStr"/>
      <c r="Q525" s="12" t="inlineStr"/>
      <c r="R525" s="12" t="inlineStr"/>
      <c r="S525" s="12" t="inlineStr"/>
      <c r="T525" s="12" t="inlineStr"/>
      <c r="U525" s="12" t="inlineStr"/>
      <c r="V525" s="12" t="inlineStr">
        <is>
          <t>Cost Account = CA-2048; WBS Code = 1.2.2</t>
        </is>
      </c>
      <c r="W525" s="12" t="inlineStr"/>
    </row>
    <row r="526" ht="49" customHeight="1">
      <c r="A526" s="12" t="inlineStr">
        <is>
          <t>1.2.2</t>
        </is>
      </c>
      <c r="B526" s="12" t="inlineStr">
        <is>
          <t>Stations - Architectural Fit-Out</t>
        </is>
      </c>
      <c r="C526" s="12" t="inlineStr">
        <is>
          <t>Cost &amp; Forecast Control Accounts</t>
        </is>
      </c>
      <c r="D526" s="12" t="inlineStr">
        <is>
          <t>CST-02-050</t>
        </is>
      </c>
      <c r="E526" s="12" t="inlineStr">
        <is>
          <t>Stations - station structure - professional services</t>
        </is>
      </c>
      <c r="F526" s="12" t="inlineStr">
        <is>
          <t>ONE_TO_ONE</t>
        </is>
      </c>
      <c r="G526" s="12" t="inlineStr">
        <is>
          <t>APPROVED</t>
        </is>
      </c>
      <c r="H526" s="12" t="inlineStr">
        <is>
          <t>New</t>
        </is>
      </c>
      <c r="I526" s="12" t="inlineStr">
        <is>
          <t>Source assignment -- not individually reviewed</t>
        </is>
      </c>
      <c r="J526" s="12" t="inlineStr"/>
      <c r="K526" s="12" t="inlineStr">
        <is>
          <t>Source assignment</t>
        </is>
      </c>
      <c r="L526" s="12" t="inlineStr"/>
      <c r="M526" s="12" t="inlineStr">
        <is>
          <t>Initial</t>
        </is>
      </c>
      <c r="N526" s="12" t="inlineStr">
        <is>
          <t>Rev 0</t>
        </is>
      </c>
      <c r="O526" s="12" t="inlineStr">
        <is>
          <t>R1212-v1</t>
        </is>
      </c>
      <c r="P526" s="12" t="inlineStr"/>
      <c r="Q526" s="12" t="inlineStr"/>
      <c r="R526" s="12" t="inlineStr"/>
      <c r="S526" s="12" t="inlineStr"/>
      <c r="T526" s="12" t="inlineStr"/>
      <c r="U526" s="12" t="inlineStr"/>
      <c r="V526" s="12" t="inlineStr">
        <is>
          <t>Cost Account = CA-2050; WBS Code = 1.2.2</t>
        </is>
      </c>
      <c r="W526" s="12" t="inlineStr"/>
    </row>
    <row r="527" ht="49" customHeight="1">
      <c r="A527" s="12" t="inlineStr">
        <is>
          <t>1.2.2</t>
        </is>
      </c>
      <c r="B527" s="12" t="inlineStr">
        <is>
          <t>Stations - Architectural Fit-Out</t>
        </is>
      </c>
      <c r="C527" s="12" t="inlineStr">
        <is>
          <t>Cost &amp; Forecast Control Accounts</t>
        </is>
      </c>
      <c r="D527" s="12" t="inlineStr">
        <is>
          <t>CST-02-052</t>
        </is>
      </c>
      <c r="E527" s="12" t="inlineStr">
        <is>
          <t>Stations - public realm - closeout</t>
        </is>
      </c>
      <c r="F527" s="12" t="inlineStr">
        <is>
          <t>ONE_TO_ONE</t>
        </is>
      </c>
      <c r="G527" s="12" t="inlineStr">
        <is>
          <t>APPROVED</t>
        </is>
      </c>
      <c r="H527" s="12" t="inlineStr">
        <is>
          <t>New</t>
        </is>
      </c>
      <c r="I527" s="12" t="inlineStr">
        <is>
          <t>Source assignment -- not individually reviewed</t>
        </is>
      </c>
      <c r="J527" s="12" t="inlineStr"/>
      <c r="K527" s="12" t="inlineStr">
        <is>
          <t>Source assignment</t>
        </is>
      </c>
      <c r="L527" s="12" t="inlineStr"/>
      <c r="M527" s="12" t="inlineStr">
        <is>
          <t>Initial</t>
        </is>
      </c>
      <c r="N527" s="12" t="inlineStr">
        <is>
          <t>Rev 0</t>
        </is>
      </c>
      <c r="O527" s="12" t="inlineStr">
        <is>
          <t>R1214-v1</t>
        </is>
      </c>
      <c r="P527" s="12" t="inlineStr"/>
      <c r="Q527" s="12" t="inlineStr"/>
      <c r="R527" s="12" t="inlineStr"/>
      <c r="S527" s="12" t="inlineStr"/>
      <c r="T527" s="12" t="inlineStr"/>
      <c r="U527" s="12" t="inlineStr"/>
      <c r="V527" s="12" t="inlineStr">
        <is>
          <t>Cost Account = CA-2052; WBS Code = 1.2.2</t>
        </is>
      </c>
      <c r="W527" s="12" t="inlineStr"/>
    </row>
    <row r="528" ht="49" customHeight="1">
      <c r="A528" s="12" t="inlineStr">
        <is>
          <t>1.2.2</t>
        </is>
      </c>
      <c r="B528" s="12" t="inlineStr">
        <is>
          <t>Stations - Architectural Fit-Out</t>
        </is>
      </c>
      <c r="C528" s="12" t="inlineStr">
        <is>
          <t>Cost &amp; Forecast Control Accounts</t>
        </is>
      </c>
      <c r="D528" s="12" t="inlineStr">
        <is>
          <t>CST-02-054</t>
        </is>
      </c>
      <c r="E528" s="12" t="inlineStr">
        <is>
          <t>Stations - building services - supply and install</t>
        </is>
      </c>
      <c r="F528" s="12" t="inlineStr">
        <is>
          <t>ONE_TO_ONE</t>
        </is>
      </c>
      <c r="G528" s="12" t="inlineStr">
        <is>
          <t>APPROVED</t>
        </is>
      </c>
      <c r="H528" s="12" t="inlineStr">
        <is>
          <t>New</t>
        </is>
      </c>
      <c r="I528" s="12" t="inlineStr">
        <is>
          <t>Source assignment -- not individually reviewed</t>
        </is>
      </c>
      <c r="J528" s="12" t="inlineStr"/>
      <c r="K528" s="12" t="inlineStr">
        <is>
          <t>Source assignment</t>
        </is>
      </c>
      <c r="L528" s="12" t="inlineStr"/>
      <c r="M528" s="12" t="inlineStr">
        <is>
          <t>Initial</t>
        </is>
      </c>
      <c r="N528" s="12" t="inlineStr">
        <is>
          <t>Rev 0</t>
        </is>
      </c>
      <c r="O528" s="12" t="inlineStr">
        <is>
          <t>R1216-v1</t>
        </is>
      </c>
      <c r="P528" s="12" t="inlineStr"/>
      <c r="Q528" s="12" t="inlineStr"/>
      <c r="R528" s="12" t="inlineStr"/>
      <c r="S528" s="12" t="inlineStr"/>
      <c r="T528" s="12" t="inlineStr"/>
      <c r="U528" s="12" t="inlineStr"/>
      <c r="V528" s="12" t="inlineStr">
        <is>
          <t>Cost Account = CA-2054; WBS Code = 1.2.2</t>
        </is>
      </c>
      <c r="W528" s="12" t="inlineStr"/>
    </row>
    <row r="529" ht="49" customHeight="1">
      <c r="A529" s="12" t="inlineStr">
        <is>
          <t>1.2.2</t>
        </is>
      </c>
      <c r="B529" s="12" t="inlineStr">
        <is>
          <t>Stations - Architectural Fit-Out</t>
        </is>
      </c>
      <c r="C529" s="12" t="inlineStr">
        <is>
          <t>Cost &amp; Forecast Control Accounts</t>
        </is>
      </c>
      <c r="D529" s="12" t="inlineStr">
        <is>
          <t>CST-02-056</t>
        </is>
      </c>
      <c r="E529" s="12" t="inlineStr">
        <is>
          <t>Stations - station structure - allowance</t>
        </is>
      </c>
      <c r="F529" s="12" t="inlineStr">
        <is>
          <t>ONE_TO_ONE</t>
        </is>
      </c>
      <c r="G529" s="12" t="inlineStr">
        <is>
          <t>APPROVED</t>
        </is>
      </c>
      <c r="H529" s="12" t="inlineStr">
        <is>
          <t>New</t>
        </is>
      </c>
      <c r="I529" s="12" t="inlineStr">
        <is>
          <t>Source assignment -- not individually reviewed</t>
        </is>
      </c>
      <c r="J529" s="12" t="inlineStr"/>
      <c r="K529" s="12" t="inlineStr">
        <is>
          <t>Source assignment</t>
        </is>
      </c>
      <c r="L529" s="12" t="inlineStr"/>
      <c r="M529" s="12" t="inlineStr">
        <is>
          <t>Initial</t>
        </is>
      </c>
      <c r="N529" s="12" t="inlineStr">
        <is>
          <t>Rev 0</t>
        </is>
      </c>
      <c r="O529" s="12" t="inlineStr">
        <is>
          <t>R1218-v1</t>
        </is>
      </c>
      <c r="P529" s="12" t="inlineStr"/>
      <c r="Q529" s="12" t="inlineStr"/>
      <c r="R529" s="12" t="inlineStr"/>
      <c r="S529" s="12" t="inlineStr"/>
      <c r="T529" s="12" t="inlineStr"/>
      <c r="U529" s="12" t="inlineStr"/>
      <c r="V529" s="12" t="inlineStr">
        <is>
          <t>Cost Account = CA-2056; WBS Code = 1.2.2</t>
        </is>
      </c>
      <c r="W529" s="12" t="inlineStr"/>
    </row>
    <row r="530" ht="49" customHeight="1">
      <c r="A530" s="12" t="inlineStr">
        <is>
          <t>1.2.2</t>
        </is>
      </c>
      <c r="B530" s="12" t="inlineStr">
        <is>
          <t>Stations - Architectural Fit-Out</t>
        </is>
      </c>
      <c r="C530" s="12" t="inlineStr">
        <is>
          <t>Cost &amp; Forecast Control Accounts</t>
        </is>
      </c>
      <c r="D530" s="12" t="inlineStr">
        <is>
          <t>CST-02-058</t>
        </is>
      </c>
      <c r="E530" s="12" t="inlineStr">
        <is>
          <t>Stations - public realm - field package</t>
        </is>
      </c>
      <c r="F530" s="12" t="inlineStr">
        <is>
          <t>ONE_TO_ONE</t>
        </is>
      </c>
      <c r="G530" s="12" t="inlineStr">
        <is>
          <t>APPROVED</t>
        </is>
      </c>
      <c r="H530" s="12" t="inlineStr">
        <is>
          <t>New</t>
        </is>
      </c>
      <c r="I530" s="12" t="inlineStr">
        <is>
          <t>Source assignment -- not individually reviewed</t>
        </is>
      </c>
      <c r="J530" s="12" t="inlineStr"/>
      <c r="K530" s="12" t="inlineStr">
        <is>
          <t>Source assignment</t>
        </is>
      </c>
      <c r="L530" s="12" t="inlineStr"/>
      <c r="M530" s="12" t="inlineStr">
        <is>
          <t>Initial</t>
        </is>
      </c>
      <c r="N530" s="12" t="inlineStr">
        <is>
          <t>Rev 0</t>
        </is>
      </c>
      <c r="O530" s="12" t="inlineStr">
        <is>
          <t>R1220-v1</t>
        </is>
      </c>
      <c r="P530" s="12" t="inlineStr"/>
      <c r="Q530" s="12" t="inlineStr"/>
      <c r="R530" s="12" t="inlineStr"/>
      <c r="S530" s="12" t="inlineStr"/>
      <c r="T530" s="12" t="inlineStr"/>
      <c r="U530" s="12" t="inlineStr"/>
      <c r="V530" s="12" t="inlineStr">
        <is>
          <t>Cost Account = CA-2058; WBS Code = 1.2.2</t>
        </is>
      </c>
      <c r="W530" s="12" t="inlineStr"/>
    </row>
    <row r="531" ht="49" customHeight="1">
      <c r="A531" s="12" t="inlineStr">
        <is>
          <t>1.2.2</t>
        </is>
      </c>
      <c r="B531" s="12" t="inlineStr">
        <is>
          <t>Stations - Architectural Fit-Out</t>
        </is>
      </c>
      <c r="C531" s="12" t="inlineStr">
        <is>
          <t>Cost &amp; Forecast Control Accounts</t>
        </is>
      </c>
      <c r="D531" s="12" t="inlineStr">
        <is>
          <t>CST-02-060</t>
        </is>
      </c>
      <c r="E531" s="12" t="inlineStr">
        <is>
          <t>Stations - building services - professional services</t>
        </is>
      </c>
      <c r="F531" s="12" t="inlineStr">
        <is>
          <t>ONE_TO_ONE</t>
        </is>
      </c>
      <c r="G531" s="12" t="inlineStr">
        <is>
          <t>APPROVED</t>
        </is>
      </c>
      <c r="H531" s="12" t="inlineStr">
        <is>
          <t>New</t>
        </is>
      </c>
      <c r="I531" s="12" t="inlineStr">
        <is>
          <t>Source assignment -- not individually reviewed</t>
        </is>
      </c>
      <c r="J531" s="12" t="inlineStr"/>
      <c r="K531" s="12" t="inlineStr">
        <is>
          <t>Source assignment</t>
        </is>
      </c>
      <c r="L531" s="12" t="inlineStr"/>
      <c r="M531" s="12" t="inlineStr">
        <is>
          <t>Initial</t>
        </is>
      </c>
      <c r="N531" s="12" t="inlineStr">
        <is>
          <t>Rev 0</t>
        </is>
      </c>
      <c r="O531" s="12" t="inlineStr">
        <is>
          <t>R1222-v1</t>
        </is>
      </c>
      <c r="P531" s="12" t="inlineStr"/>
      <c r="Q531" s="12" t="inlineStr"/>
      <c r="R531" s="12" t="inlineStr"/>
      <c r="S531" s="12" t="inlineStr"/>
      <c r="T531" s="12" t="inlineStr"/>
      <c r="U531" s="12" t="inlineStr"/>
      <c r="V531" s="12" t="inlineStr">
        <is>
          <t>Cost Account = CA-2060; WBS Code = 1.2.2</t>
        </is>
      </c>
      <c r="W531" s="12" t="inlineStr"/>
    </row>
    <row r="532" ht="49" customHeight="1">
      <c r="A532" s="12" t="inlineStr">
        <is>
          <t>1.2.2</t>
        </is>
      </c>
      <c r="B532" s="12" t="inlineStr">
        <is>
          <t>Stations - Architectural Fit-Out</t>
        </is>
      </c>
      <c r="C532" s="12" t="inlineStr">
        <is>
          <t>Cost &amp; Forecast Control Accounts</t>
        </is>
      </c>
      <c r="D532" s="12" t="inlineStr">
        <is>
          <t>CST-02-062</t>
        </is>
      </c>
      <c r="E532" s="12" t="inlineStr">
        <is>
          <t>Stations - station structure - closeout</t>
        </is>
      </c>
      <c r="F532" s="12" t="inlineStr">
        <is>
          <t>ONE_TO_ONE</t>
        </is>
      </c>
      <c r="G532" s="12" t="inlineStr">
        <is>
          <t>APPROVED</t>
        </is>
      </c>
      <c r="H532" s="12" t="inlineStr">
        <is>
          <t>New</t>
        </is>
      </c>
      <c r="I532" s="12" t="inlineStr">
        <is>
          <t>Source assignment -- not individually reviewed</t>
        </is>
      </c>
      <c r="J532" s="12" t="inlineStr"/>
      <c r="K532" s="12" t="inlineStr">
        <is>
          <t>Source assignment</t>
        </is>
      </c>
      <c r="L532" s="12" t="inlineStr"/>
      <c r="M532" s="12" t="inlineStr">
        <is>
          <t>Initial</t>
        </is>
      </c>
      <c r="N532" s="12" t="inlineStr">
        <is>
          <t>Rev 0</t>
        </is>
      </c>
      <c r="O532" s="12" t="inlineStr">
        <is>
          <t>R1224-v1</t>
        </is>
      </c>
      <c r="P532" s="12" t="inlineStr"/>
      <c r="Q532" s="12" t="inlineStr"/>
      <c r="R532" s="12" t="inlineStr"/>
      <c r="S532" s="12" t="inlineStr"/>
      <c r="T532" s="12" t="inlineStr"/>
      <c r="U532" s="12" t="inlineStr"/>
      <c r="V532" s="12" t="inlineStr">
        <is>
          <t>Cost Account = CA-2062; WBS Code = 1.2.2</t>
        </is>
      </c>
      <c r="W532" s="12" t="inlineStr"/>
    </row>
    <row r="533" ht="49" customHeight="1">
      <c r="A533" s="12" t="inlineStr">
        <is>
          <t>1.2.2</t>
        </is>
      </c>
      <c r="B533" s="12" t="inlineStr">
        <is>
          <t>Stations - Architectural Fit-Out</t>
        </is>
      </c>
      <c r="C533" s="12" t="inlineStr">
        <is>
          <t>Cost &amp; Forecast Control Accounts</t>
        </is>
      </c>
      <c r="D533" s="12" t="inlineStr">
        <is>
          <t>CST-02-064</t>
        </is>
      </c>
      <c r="E533" s="12" t="inlineStr">
        <is>
          <t>Stations - public realm - supply and install</t>
        </is>
      </c>
      <c r="F533" s="12" t="inlineStr">
        <is>
          <t>ONE_TO_ONE</t>
        </is>
      </c>
      <c r="G533" s="12" t="inlineStr">
        <is>
          <t>APPROVED</t>
        </is>
      </c>
      <c r="H533" s="12" t="inlineStr">
        <is>
          <t>New</t>
        </is>
      </c>
      <c r="I533" s="12" t="inlineStr">
        <is>
          <t>Source assignment -- not individually reviewed</t>
        </is>
      </c>
      <c r="J533" s="12" t="inlineStr"/>
      <c r="K533" s="12" t="inlineStr">
        <is>
          <t>Source assignment</t>
        </is>
      </c>
      <c r="L533" s="12" t="inlineStr"/>
      <c r="M533" s="12" t="inlineStr">
        <is>
          <t>Initial</t>
        </is>
      </c>
      <c r="N533" s="12" t="inlineStr">
        <is>
          <t>Rev 0</t>
        </is>
      </c>
      <c r="O533" s="12" t="inlineStr">
        <is>
          <t>R1226-v1</t>
        </is>
      </c>
      <c r="P533" s="12" t="inlineStr"/>
      <c r="Q533" s="12" t="inlineStr"/>
      <c r="R533" s="12" t="inlineStr"/>
      <c r="S533" s="12" t="inlineStr"/>
      <c r="T533" s="12" t="inlineStr"/>
      <c r="U533" s="12" t="inlineStr"/>
      <c r="V533" s="12" t="inlineStr">
        <is>
          <t>Cost Account = CA-2064; WBS Code = 1.2.2</t>
        </is>
      </c>
      <c r="W533" s="12" t="inlineStr"/>
    </row>
    <row r="534" ht="49" customHeight="1">
      <c r="A534" s="12" t="inlineStr">
        <is>
          <t>1.2.2</t>
        </is>
      </c>
      <c r="B534" s="12" t="inlineStr">
        <is>
          <t>Stations - Architectural Fit-Out</t>
        </is>
      </c>
      <c r="C534" s="12" t="inlineStr">
        <is>
          <t>Cost &amp; Forecast Control Accounts</t>
        </is>
      </c>
      <c r="D534" s="12" t="inlineStr">
        <is>
          <t>CST-02-066</t>
        </is>
      </c>
      <c r="E534" s="12" t="inlineStr">
        <is>
          <t>Stations - building services - allowance</t>
        </is>
      </c>
      <c r="F534" s="12" t="inlineStr">
        <is>
          <t>ONE_TO_ONE</t>
        </is>
      </c>
      <c r="G534" s="12" t="inlineStr">
        <is>
          <t>APPROVED</t>
        </is>
      </c>
      <c r="H534" s="12" t="inlineStr">
        <is>
          <t>New</t>
        </is>
      </c>
      <c r="I534" s="12" t="inlineStr">
        <is>
          <t>Source assignment -- not individually reviewed</t>
        </is>
      </c>
      <c r="J534" s="12" t="inlineStr"/>
      <c r="K534" s="12" t="inlineStr">
        <is>
          <t>Source assignment</t>
        </is>
      </c>
      <c r="L534" s="12" t="inlineStr"/>
      <c r="M534" s="12" t="inlineStr">
        <is>
          <t>Initial</t>
        </is>
      </c>
      <c r="N534" s="12" t="inlineStr">
        <is>
          <t>Rev 0</t>
        </is>
      </c>
      <c r="O534" s="12" t="inlineStr">
        <is>
          <t>R1228-v1</t>
        </is>
      </c>
      <c r="P534" s="12" t="inlineStr"/>
      <c r="Q534" s="12" t="inlineStr"/>
      <c r="R534" s="12" t="inlineStr"/>
      <c r="S534" s="12" t="inlineStr"/>
      <c r="T534" s="12" t="inlineStr"/>
      <c r="U534" s="12" t="inlineStr"/>
      <c r="V534" s="12" t="inlineStr">
        <is>
          <t>Cost Account = CA-2066; WBS Code = 1.2.2</t>
        </is>
      </c>
      <c r="W534" s="12" t="inlineStr"/>
    </row>
    <row r="535" ht="49" customHeight="1">
      <c r="A535" s="12" t="inlineStr">
        <is>
          <t>1.2.2</t>
        </is>
      </c>
      <c r="B535" s="12" t="inlineStr">
        <is>
          <t>Stations - Architectural Fit-Out</t>
        </is>
      </c>
      <c r="C535" s="12" t="inlineStr">
        <is>
          <t>Cost &amp; Forecast Control Accounts</t>
        </is>
      </c>
      <c r="D535" s="12" t="inlineStr">
        <is>
          <t>CST-02-068</t>
        </is>
      </c>
      <c r="E535" s="12" t="inlineStr">
        <is>
          <t>Stations - station structure - field package</t>
        </is>
      </c>
      <c r="F535" s="12" t="inlineStr">
        <is>
          <t>ONE_TO_ONE</t>
        </is>
      </c>
      <c r="G535" s="12" t="inlineStr">
        <is>
          <t>APPROVED</t>
        </is>
      </c>
      <c r="H535" s="12" t="inlineStr">
        <is>
          <t>New</t>
        </is>
      </c>
      <c r="I535" s="12" t="inlineStr">
        <is>
          <t>Source assignment -- not individually reviewed</t>
        </is>
      </c>
      <c r="J535" s="12" t="inlineStr"/>
      <c r="K535" s="12" t="inlineStr">
        <is>
          <t>Source assignment</t>
        </is>
      </c>
      <c r="L535" s="12" t="inlineStr"/>
      <c r="M535" s="12" t="inlineStr">
        <is>
          <t>Initial</t>
        </is>
      </c>
      <c r="N535" s="12" t="inlineStr">
        <is>
          <t>Rev 0</t>
        </is>
      </c>
      <c r="O535" s="12" t="inlineStr">
        <is>
          <t>R1230-v1</t>
        </is>
      </c>
      <c r="P535" s="12" t="inlineStr"/>
      <c r="Q535" s="12" t="inlineStr"/>
      <c r="R535" s="12" t="inlineStr"/>
      <c r="S535" s="12" t="inlineStr"/>
      <c r="T535" s="12" t="inlineStr"/>
      <c r="U535" s="12" t="inlineStr"/>
      <c r="V535" s="12" t="inlineStr">
        <is>
          <t>Cost Account = CA-2068; WBS Code = 1.2.2</t>
        </is>
      </c>
      <c r="W535" s="12" t="inlineStr"/>
    </row>
    <row r="536" ht="49" customHeight="1">
      <c r="A536" s="12" t="inlineStr">
        <is>
          <t>1.2.2</t>
        </is>
      </c>
      <c r="B536" s="12" t="inlineStr">
        <is>
          <t>Stations - Architectural Fit-Out</t>
        </is>
      </c>
      <c r="C536" s="12" t="inlineStr">
        <is>
          <t>Cost &amp; Forecast Control Accounts</t>
        </is>
      </c>
      <c r="D536" s="12" t="inlineStr">
        <is>
          <t>CST-02-070</t>
        </is>
      </c>
      <c r="E536" s="12" t="inlineStr">
        <is>
          <t>Stations - public realm - professional services</t>
        </is>
      </c>
      <c r="F536" s="12" t="inlineStr">
        <is>
          <t>ONE_TO_ONE</t>
        </is>
      </c>
      <c r="G536" s="12" t="inlineStr">
        <is>
          <t>APPROVED</t>
        </is>
      </c>
      <c r="H536" s="12" t="inlineStr">
        <is>
          <t>New</t>
        </is>
      </c>
      <c r="I536" s="12" t="inlineStr">
        <is>
          <t>Source assignment -- not individually reviewed</t>
        </is>
      </c>
      <c r="J536" s="12" t="inlineStr"/>
      <c r="K536" s="12" t="inlineStr">
        <is>
          <t>Source assignment</t>
        </is>
      </c>
      <c r="L536" s="12" t="inlineStr"/>
      <c r="M536" s="12" t="inlineStr">
        <is>
          <t>Initial</t>
        </is>
      </c>
      <c r="N536" s="12" t="inlineStr">
        <is>
          <t>Rev 0</t>
        </is>
      </c>
      <c r="O536" s="12" t="inlineStr">
        <is>
          <t>R1232-v1</t>
        </is>
      </c>
      <c r="P536" s="12" t="inlineStr"/>
      <c r="Q536" s="12" t="inlineStr"/>
      <c r="R536" s="12" t="inlineStr"/>
      <c r="S536" s="12" t="inlineStr"/>
      <c r="T536" s="12" t="inlineStr"/>
      <c r="U536" s="12" t="inlineStr"/>
      <c r="V536" s="12" t="inlineStr">
        <is>
          <t>Cost Account = CA-2070; WBS Code = 1.2.2</t>
        </is>
      </c>
      <c r="W536" s="12" t="inlineStr"/>
    </row>
    <row r="537" ht="49" customHeight="1">
      <c r="A537" s="12" t="inlineStr">
        <is>
          <t>1.2.2</t>
        </is>
      </c>
      <c r="B537" s="12" t="inlineStr">
        <is>
          <t>Stations - Architectural Fit-Out</t>
        </is>
      </c>
      <c r="C537" s="12" t="inlineStr">
        <is>
          <t>Cost &amp; Forecast Control Accounts</t>
        </is>
      </c>
      <c r="D537" s="12" t="inlineStr">
        <is>
          <t>CST-02-072</t>
        </is>
      </c>
      <c r="E537" s="12" t="inlineStr">
        <is>
          <t>Stations - building services - closeout</t>
        </is>
      </c>
      <c r="F537" s="12" t="inlineStr">
        <is>
          <t>ONE_TO_ONE</t>
        </is>
      </c>
      <c r="G537" s="12" t="inlineStr">
        <is>
          <t>APPROVED</t>
        </is>
      </c>
      <c r="H537" s="12" t="inlineStr">
        <is>
          <t>New</t>
        </is>
      </c>
      <c r="I537" s="12" t="inlineStr">
        <is>
          <t>Source assignment -- not individually reviewed</t>
        </is>
      </c>
      <c r="J537" s="12" t="inlineStr"/>
      <c r="K537" s="12" t="inlineStr">
        <is>
          <t>Source assignment</t>
        </is>
      </c>
      <c r="L537" s="12" t="inlineStr"/>
      <c r="M537" s="12" t="inlineStr">
        <is>
          <t>Initial</t>
        </is>
      </c>
      <c r="N537" s="12" t="inlineStr">
        <is>
          <t>Rev 0</t>
        </is>
      </c>
      <c r="O537" s="12" t="inlineStr">
        <is>
          <t>R1234-v1</t>
        </is>
      </c>
      <c r="P537" s="12" t="inlineStr"/>
      <c r="Q537" s="12" t="inlineStr"/>
      <c r="R537" s="12" t="inlineStr"/>
      <c r="S537" s="12" t="inlineStr"/>
      <c r="T537" s="12" t="inlineStr"/>
      <c r="U537" s="12" t="inlineStr"/>
      <c r="V537" s="12" t="inlineStr">
        <is>
          <t>Cost Account = CA-2072; WBS Code = 1.2.2</t>
        </is>
      </c>
      <c r="W537" s="12" t="inlineStr"/>
    </row>
    <row r="538" ht="49" customHeight="1">
      <c r="A538" s="12" t="inlineStr">
        <is>
          <t>1.2.2</t>
        </is>
      </c>
      <c r="B538" s="12" t="inlineStr">
        <is>
          <t>Stations - Architectural Fit-Out</t>
        </is>
      </c>
      <c r="C538" s="12" t="inlineStr">
        <is>
          <t>Cost &amp; Forecast Control Accounts</t>
        </is>
      </c>
      <c r="D538" s="12" t="inlineStr">
        <is>
          <t>CST-02-074</t>
        </is>
      </c>
      <c r="E538" s="12" t="inlineStr">
        <is>
          <t>Stations - station structure - supply and install</t>
        </is>
      </c>
      <c r="F538" s="12" t="inlineStr">
        <is>
          <t>ONE_TO_ONE</t>
        </is>
      </c>
      <c r="G538" s="12" t="inlineStr">
        <is>
          <t>APPROVED</t>
        </is>
      </c>
      <c r="H538" s="12" t="inlineStr">
        <is>
          <t>New</t>
        </is>
      </c>
      <c r="I538" s="12" t="inlineStr">
        <is>
          <t>Source assignment -- not individually reviewed</t>
        </is>
      </c>
      <c r="J538" s="12" t="inlineStr"/>
      <c r="K538" s="12" t="inlineStr">
        <is>
          <t>Source assignment</t>
        </is>
      </c>
      <c r="L538" s="12" t="inlineStr"/>
      <c r="M538" s="12" t="inlineStr">
        <is>
          <t>Initial</t>
        </is>
      </c>
      <c r="N538" s="12" t="inlineStr">
        <is>
          <t>Rev 0</t>
        </is>
      </c>
      <c r="O538" s="12" t="inlineStr">
        <is>
          <t>R1236-v1</t>
        </is>
      </c>
      <c r="P538" s="12" t="inlineStr"/>
      <c r="Q538" s="12" t="inlineStr"/>
      <c r="R538" s="12" t="inlineStr"/>
      <c r="S538" s="12" t="inlineStr"/>
      <c r="T538" s="12" t="inlineStr"/>
      <c r="U538" s="12" t="inlineStr"/>
      <c r="V538" s="12" t="inlineStr">
        <is>
          <t>Cost Account = CA-2074; WBS Code = 1.2.2</t>
        </is>
      </c>
      <c r="W538" s="12" t="inlineStr"/>
    </row>
    <row r="539" ht="49" customHeight="1">
      <c r="A539" s="12" t="inlineStr">
        <is>
          <t>1.2.2</t>
        </is>
      </c>
      <c r="B539" s="12" t="inlineStr">
        <is>
          <t>Stations - Architectural Fit-Out</t>
        </is>
      </c>
      <c r="C539" s="12" t="inlineStr">
        <is>
          <t>Cost &amp; Forecast Control Accounts</t>
        </is>
      </c>
      <c r="D539" s="12" t="inlineStr">
        <is>
          <t>CST-02-076</t>
        </is>
      </c>
      <c r="E539" s="12" t="inlineStr">
        <is>
          <t>Stations - public realm - allowance</t>
        </is>
      </c>
      <c r="F539" s="12" t="inlineStr">
        <is>
          <t>ONE_TO_ONE</t>
        </is>
      </c>
      <c r="G539" s="12" t="inlineStr">
        <is>
          <t>APPROVED</t>
        </is>
      </c>
      <c r="H539" s="12" t="inlineStr">
        <is>
          <t>New</t>
        </is>
      </c>
      <c r="I539" s="12" t="inlineStr">
        <is>
          <t>Source assignment -- not individually reviewed</t>
        </is>
      </c>
      <c r="J539" s="12" t="inlineStr"/>
      <c r="K539" s="12" t="inlineStr">
        <is>
          <t>Source assignment</t>
        </is>
      </c>
      <c r="L539" s="12" t="inlineStr"/>
      <c r="M539" s="12" t="inlineStr">
        <is>
          <t>Initial</t>
        </is>
      </c>
      <c r="N539" s="12" t="inlineStr">
        <is>
          <t>Rev 0</t>
        </is>
      </c>
      <c r="O539" s="12" t="inlineStr">
        <is>
          <t>R1238-v1</t>
        </is>
      </c>
      <c r="P539" s="12" t="inlineStr"/>
      <c r="Q539" s="12" t="inlineStr"/>
      <c r="R539" s="12" t="inlineStr"/>
      <c r="S539" s="12" t="inlineStr"/>
      <c r="T539" s="12" t="inlineStr"/>
      <c r="U539" s="12" t="inlineStr"/>
      <c r="V539" s="12" t="inlineStr">
        <is>
          <t>Cost Account = CA-2076; WBS Code = 1.2.2</t>
        </is>
      </c>
      <c r="W539" s="12" t="inlineStr"/>
    </row>
    <row r="540" ht="49" customHeight="1">
      <c r="A540" s="12" t="inlineStr">
        <is>
          <t>1.2.2</t>
        </is>
      </c>
      <c r="B540" s="12" t="inlineStr">
        <is>
          <t>Stations - Architectural Fit-Out</t>
        </is>
      </c>
      <c r="C540" s="12" t="inlineStr">
        <is>
          <t>Cost &amp; Forecast Control Accounts</t>
        </is>
      </c>
      <c r="D540" s="12" t="inlineStr">
        <is>
          <t>CST-02-078</t>
        </is>
      </c>
      <c r="E540" s="12" t="inlineStr">
        <is>
          <t>Stations - building services - field package</t>
        </is>
      </c>
      <c r="F540" s="12" t="inlineStr">
        <is>
          <t>ONE_TO_ONE</t>
        </is>
      </c>
      <c r="G540" s="12" t="inlineStr">
        <is>
          <t>APPROVED</t>
        </is>
      </c>
      <c r="H540" s="12" t="inlineStr">
        <is>
          <t>New</t>
        </is>
      </c>
      <c r="I540" s="12" t="inlineStr">
        <is>
          <t>Source assignment -- not individually reviewed</t>
        </is>
      </c>
      <c r="J540" s="12" t="inlineStr"/>
      <c r="K540" s="12" t="inlineStr">
        <is>
          <t>Source assignment</t>
        </is>
      </c>
      <c r="L540" s="12" t="inlineStr"/>
      <c r="M540" s="12" t="inlineStr">
        <is>
          <t>Initial</t>
        </is>
      </c>
      <c r="N540" s="12" t="inlineStr">
        <is>
          <t>Rev 0</t>
        </is>
      </c>
      <c r="O540" s="12" t="inlineStr">
        <is>
          <t>R1240-v1</t>
        </is>
      </c>
      <c r="P540" s="12" t="inlineStr"/>
      <c r="Q540" s="12" t="inlineStr"/>
      <c r="R540" s="12" t="inlineStr"/>
      <c r="S540" s="12" t="inlineStr"/>
      <c r="T540" s="12" t="inlineStr"/>
      <c r="U540" s="12" t="inlineStr"/>
      <c r="V540" s="12" t="inlineStr">
        <is>
          <t>Cost Account = CA-2078; WBS Code = 1.2.2</t>
        </is>
      </c>
      <c r="W540" s="12" t="inlineStr"/>
    </row>
    <row r="541" ht="49" customHeight="1">
      <c r="A541" s="12" t="inlineStr">
        <is>
          <t>1.2.2</t>
        </is>
      </c>
      <c r="B541" s="12" t="inlineStr">
        <is>
          <t>Stations - Architectural Fit-Out</t>
        </is>
      </c>
      <c r="C541" s="12" t="inlineStr">
        <is>
          <t>Cost &amp; Forecast Control Accounts</t>
        </is>
      </c>
      <c r="D541" s="12" t="inlineStr">
        <is>
          <t>CST-02-080</t>
        </is>
      </c>
      <c r="E541" s="12" t="inlineStr">
        <is>
          <t>Stations - station structure - professional services</t>
        </is>
      </c>
      <c r="F541" s="12" t="inlineStr">
        <is>
          <t>ONE_TO_ONE</t>
        </is>
      </c>
      <c r="G541" s="12" t="inlineStr">
        <is>
          <t>APPROVED</t>
        </is>
      </c>
      <c r="H541" s="12" t="inlineStr">
        <is>
          <t>New</t>
        </is>
      </c>
      <c r="I541" s="12" t="inlineStr">
        <is>
          <t>Source assignment -- not individually reviewed</t>
        </is>
      </c>
      <c r="J541" s="12" t="inlineStr"/>
      <c r="K541" s="12" t="inlineStr">
        <is>
          <t>Source assignment</t>
        </is>
      </c>
      <c r="L541" s="12" t="inlineStr"/>
      <c r="M541" s="12" t="inlineStr">
        <is>
          <t>Initial</t>
        </is>
      </c>
      <c r="N541" s="12" t="inlineStr">
        <is>
          <t>Rev 0</t>
        </is>
      </c>
      <c r="O541" s="12" t="inlineStr">
        <is>
          <t>R1242-v1</t>
        </is>
      </c>
      <c r="P541" s="12" t="inlineStr"/>
      <c r="Q541" s="12" t="inlineStr"/>
      <c r="R541" s="12" t="inlineStr"/>
      <c r="S541" s="12" t="inlineStr"/>
      <c r="T541" s="12" t="inlineStr"/>
      <c r="U541" s="12" t="inlineStr"/>
      <c r="V541" s="12" t="inlineStr">
        <is>
          <t>Cost Account = CA-2080; WBS Code = 1.2.2</t>
        </is>
      </c>
      <c r="W541" s="12" t="inlineStr"/>
    </row>
    <row r="542" ht="49" customHeight="1">
      <c r="A542" s="12" t="inlineStr">
        <is>
          <t>1.3</t>
        </is>
      </c>
      <c r="B542" s="12" t="inlineStr">
        <is>
          <t>Systems</t>
        </is>
      </c>
      <c r="C542" s="12" t="inlineStr">
        <is>
          <t>Commercial Package Register</t>
        </is>
      </c>
      <c r="D542" s="12" t="inlineStr">
        <is>
          <t>PKG-021</t>
        </is>
      </c>
      <c r="E542" s="12" t="inlineStr">
        <is>
          <t>Traction Power</t>
        </is>
      </c>
      <c r="F542" s="12" t="inlineStr">
        <is>
          <t>ONE_TO_ONE</t>
        </is>
      </c>
      <c r="G542" s="12" t="inlineStr">
        <is>
          <t>APPROVED</t>
        </is>
      </c>
      <c r="H542" s="12" t="inlineStr">
        <is>
          <t>New</t>
        </is>
      </c>
      <c r="I542" s="12" t="inlineStr">
        <is>
          <t>Source assignment -- not individually reviewed</t>
        </is>
      </c>
      <c r="J542" s="12" t="inlineStr"/>
      <c r="K542" s="12" t="inlineStr">
        <is>
          <t>Source assignment</t>
        </is>
      </c>
      <c r="L542" s="12" t="inlineStr"/>
      <c r="M542" s="12" t="inlineStr">
        <is>
          <t>Initial</t>
        </is>
      </c>
      <c r="N542" s="12" t="inlineStr">
        <is>
          <t>Rev 0</t>
        </is>
      </c>
      <c r="O542" s="12" t="inlineStr">
        <is>
          <t>R1583-v1</t>
        </is>
      </c>
      <c r="P542" s="12" t="inlineStr"/>
      <c r="Q542" s="12" t="inlineStr"/>
      <c r="R542" s="12" t="inlineStr"/>
      <c r="S542" s="12" t="inlineStr"/>
      <c r="T542" s="12" t="inlineStr"/>
      <c r="U542" s="12" t="inlineStr"/>
      <c r="V542" s="12" t="inlineStr">
        <is>
          <t>Package Code = PK-301; WBS Code = 1.3</t>
        </is>
      </c>
      <c r="W542" s="12" t="inlineStr"/>
    </row>
    <row r="543" ht="49" customHeight="1">
      <c r="A543" s="12" t="inlineStr">
        <is>
          <t>1.3</t>
        </is>
      </c>
      <c r="B543" s="12" t="inlineStr">
        <is>
          <t>Systems</t>
        </is>
      </c>
      <c r="C543" s="12" t="inlineStr">
        <is>
          <t>Commercial Package Register</t>
        </is>
      </c>
      <c r="D543" s="12" t="inlineStr">
        <is>
          <t>PKG-022</t>
        </is>
      </c>
      <c r="E543" s="12" t="inlineStr">
        <is>
          <t>Signalling &amp; Train Control</t>
        </is>
      </c>
      <c r="F543" s="12" t="inlineStr">
        <is>
          <t>ONE_TO_ONE</t>
        </is>
      </c>
      <c r="G543" s="12" t="inlineStr">
        <is>
          <t>APPROVED</t>
        </is>
      </c>
      <c r="H543" s="12" t="inlineStr">
        <is>
          <t>New</t>
        </is>
      </c>
      <c r="I543" s="12" t="inlineStr">
        <is>
          <t>Source assignment -- not individually reviewed</t>
        </is>
      </c>
      <c r="J543" s="12" t="inlineStr"/>
      <c r="K543" s="12" t="inlineStr">
        <is>
          <t>Source assignment</t>
        </is>
      </c>
      <c r="L543" s="12" t="inlineStr"/>
      <c r="M543" s="12" t="inlineStr">
        <is>
          <t>Initial</t>
        </is>
      </c>
      <c r="N543" s="12" t="inlineStr">
        <is>
          <t>Rev 0</t>
        </is>
      </c>
      <c r="O543" s="12" t="inlineStr">
        <is>
          <t>R1584-v1</t>
        </is>
      </c>
      <c r="P543" s="12" t="inlineStr"/>
      <c r="Q543" s="12" t="inlineStr"/>
      <c r="R543" s="12" t="inlineStr"/>
      <c r="S543" s="12" t="inlineStr"/>
      <c r="T543" s="12" t="inlineStr"/>
      <c r="U543" s="12" t="inlineStr"/>
      <c r="V543" s="12" t="inlineStr">
        <is>
          <t>Package Code = PK-302; WBS Code = 1.3</t>
        </is>
      </c>
      <c r="W543" s="12" t="inlineStr"/>
    </row>
    <row r="544" ht="49" customHeight="1">
      <c r="A544" s="12" t="inlineStr">
        <is>
          <t>1.3</t>
        </is>
      </c>
      <c r="B544" s="12" t="inlineStr">
        <is>
          <t>Systems</t>
        </is>
      </c>
      <c r="C544" s="12" t="inlineStr">
        <is>
          <t>Commercial Package Register</t>
        </is>
      </c>
      <c r="D544" s="12" t="inlineStr">
        <is>
          <t>PKG-023</t>
        </is>
      </c>
      <c r="E544" s="12" t="inlineStr">
        <is>
          <t>Communications</t>
        </is>
      </c>
      <c r="F544" s="12" t="inlineStr">
        <is>
          <t>ONE_TO_ONE</t>
        </is>
      </c>
      <c r="G544" s="12" t="inlineStr">
        <is>
          <t>APPROVED</t>
        </is>
      </c>
      <c r="H544" s="12" t="inlineStr">
        <is>
          <t>New</t>
        </is>
      </c>
      <c r="I544" s="12" t="inlineStr">
        <is>
          <t>Source assignment -- not individually reviewed</t>
        </is>
      </c>
      <c r="J544" s="12" t="inlineStr"/>
      <c r="K544" s="12" t="inlineStr">
        <is>
          <t>Source assignment</t>
        </is>
      </c>
      <c r="L544" s="12" t="inlineStr"/>
      <c r="M544" s="12" t="inlineStr">
        <is>
          <t>Initial</t>
        </is>
      </c>
      <c r="N544" s="12" t="inlineStr">
        <is>
          <t>Rev 0</t>
        </is>
      </c>
      <c r="O544" s="12" t="inlineStr">
        <is>
          <t>R1585-v1</t>
        </is>
      </c>
      <c r="P544" s="12" t="inlineStr"/>
      <c r="Q544" s="12" t="inlineStr"/>
      <c r="R544" s="12" t="inlineStr"/>
      <c r="S544" s="12" t="inlineStr"/>
      <c r="T544" s="12" t="inlineStr"/>
      <c r="U544" s="12" t="inlineStr"/>
      <c r="V544" s="12" t="inlineStr">
        <is>
          <t>Package Code = PK-303; WBS Code = 1.3</t>
        </is>
      </c>
      <c r="W544" s="12" t="inlineStr"/>
    </row>
    <row r="545" ht="49" customHeight="1">
      <c r="A545" s="12" t="inlineStr">
        <is>
          <t>1.3</t>
        </is>
      </c>
      <c r="B545" s="12" t="inlineStr">
        <is>
          <t>Systems</t>
        </is>
      </c>
      <c r="C545" s="12" t="inlineStr">
        <is>
          <t>Commercial Package Register</t>
        </is>
      </c>
      <c r="D545" s="12" t="inlineStr">
        <is>
          <t>PKG-024</t>
        </is>
      </c>
      <c r="E545" s="12" t="inlineStr">
        <is>
          <t>Systems Integration</t>
        </is>
      </c>
      <c r="F545" s="12" t="inlineStr">
        <is>
          <t>ONE_TO_ONE</t>
        </is>
      </c>
      <c r="G545" s="12" t="inlineStr">
        <is>
          <t>APPROVED</t>
        </is>
      </c>
      <c r="H545" s="12" t="inlineStr">
        <is>
          <t>New</t>
        </is>
      </c>
      <c r="I545" s="12" t="inlineStr">
        <is>
          <t>Source assignment -- not individually reviewed</t>
        </is>
      </c>
      <c r="J545" s="12" t="inlineStr"/>
      <c r="K545" s="12" t="inlineStr">
        <is>
          <t>Source assignment</t>
        </is>
      </c>
      <c r="L545" s="12" t="inlineStr"/>
      <c r="M545" s="12" t="inlineStr">
        <is>
          <t>Initial</t>
        </is>
      </c>
      <c r="N545" s="12" t="inlineStr">
        <is>
          <t>Rev 0</t>
        </is>
      </c>
      <c r="O545" s="12" t="inlineStr">
        <is>
          <t>R1586-v1</t>
        </is>
      </c>
      <c r="P545" s="12" t="inlineStr"/>
      <c r="Q545" s="12" t="inlineStr"/>
      <c r="R545" s="12" t="inlineStr"/>
      <c r="S545" s="12" t="inlineStr"/>
      <c r="T545" s="12" t="inlineStr"/>
      <c r="U545" s="12" t="inlineStr"/>
      <c r="V545" s="12" t="inlineStr">
        <is>
          <t>Package Code = PK-304; WBS Code = 1.3</t>
        </is>
      </c>
      <c r="W545" s="12" t="inlineStr"/>
    </row>
    <row r="546" ht="49" customHeight="1">
      <c r="A546" s="12" t="inlineStr">
        <is>
          <t>1.3</t>
        </is>
      </c>
      <c r="B546" s="12" t="inlineStr">
        <is>
          <t>Systems</t>
        </is>
      </c>
      <c r="C546" s="12" t="inlineStr">
        <is>
          <t>Commercial Package Register</t>
        </is>
      </c>
      <c r="D546" s="12" t="inlineStr">
        <is>
          <t>PKG-025</t>
        </is>
      </c>
      <c r="E546" s="12" t="inlineStr">
        <is>
          <t>Traction Power - Lot 2</t>
        </is>
      </c>
      <c r="F546" s="12" t="inlineStr">
        <is>
          <t>ONE_TO_ONE</t>
        </is>
      </c>
      <c r="G546" s="12" t="inlineStr">
        <is>
          <t>APPROVED</t>
        </is>
      </c>
      <c r="H546" s="12" t="inlineStr">
        <is>
          <t>New</t>
        </is>
      </c>
      <c r="I546" s="12" t="inlineStr">
        <is>
          <t>Source assignment -- not individually reviewed</t>
        </is>
      </c>
      <c r="J546" s="12" t="inlineStr"/>
      <c r="K546" s="12" t="inlineStr">
        <is>
          <t>Source assignment</t>
        </is>
      </c>
      <c r="L546" s="12" t="inlineStr"/>
      <c r="M546" s="12" t="inlineStr">
        <is>
          <t>Initial</t>
        </is>
      </c>
      <c r="N546" s="12" t="inlineStr">
        <is>
          <t>Rev 0</t>
        </is>
      </c>
      <c r="O546" s="12" t="inlineStr">
        <is>
          <t>R1587-v1</t>
        </is>
      </c>
      <c r="P546" s="12" t="inlineStr"/>
      <c r="Q546" s="12" t="inlineStr"/>
      <c r="R546" s="12" t="inlineStr"/>
      <c r="S546" s="12" t="inlineStr"/>
      <c r="T546" s="12" t="inlineStr"/>
      <c r="U546" s="12" t="inlineStr"/>
      <c r="V546" s="12" t="inlineStr">
        <is>
          <t>Package Code = PK-305; WBS Code = 1.3</t>
        </is>
      </c>
      <c r="W546" s="12" t="inlineStr"/>
    </row>
    <row r="547" ht="49" customHeight="1">
      <c r="A547" s="12" t="inlineStr">
        <is>
          <t>1.3</t>
        </is>
      </c>
      <c r="B547" s="12" t="inlineStr">
        <is>
          <t>Systems</t>
        </is>
      </c>
      <c r="C547" s="12" t="inlineStr">
        <is>
          <t>Commercial Package Register</t>
        </is>
      </c>
      <c r="D547" s="12" t="inlineStr">
        <is>
          <t>PKG-026</t>
        </is>
      </c>
      <c r="E547" s="12" t="inlineStr">
        <is>
          <t>Signalling &amp; Train Control - Lot 2</t>
        </is>
      </c>
      <c r="F547" s="12" t="inlineStr">
        <is>
          <t>ONE_TO_ONE</t>
        </is>
      </c>
      <c r="G547" s="12" t="inlineStr">
        <is>
          <t>APPROVED</t>
        </is>
      </c>
      <c r="H547" s="12" t="inlineStr">
        <is>
          <t>New</t>
        </is>
      </c>
      <c r="I547" s="12" t="inlineStr">
        <is>
          <t>Source assignment -- not individually reviewed</t>
        </is>
      </c>
      <c r="J547" s="12" t="inlineStr"/>
      <c r="K547" s="12" t="inlineStr">
        <is>
          <t>Source assignment</t>
        </is>
      </c>
      <c r="L547" s="12" t="inlineStr"/>
      <c r="M547" s="12" t="inlineStr">
        <is>
          <t>Initial</t>
        </is>
      </c>
      <c r="N547" s="12" t="inlineStr">
        <is>
          <t>Rev 0</t>
        </is>
      </c>
      <c r="O547" s="12" t="inlineStr">
        <is>
          <t>R1588-v1</t>
        </is>
      </c>
      <c r="P547" s="12" t="inlineStr"/>
      <c r="Q547" s="12" t="inlineStr"/>
      <c r="R547" s="12" t="inlineStr"/>
      <c r="S547" s="12" t="inlineStr"/>
      <c r="T547" s="12" t="inlineStr"/>
      <c r="U547" s="12" t="inlineStr"/>
      <c r="V547" s="12" t="inlineStr">
        <is>
          <t>Package Code = PK-306; WBS Code = 1.3</t>
        </is>
      </c>
      <c r="W547" s="12" t="inlineStr"/>
    </row>
    <row r="548" ht="49" customHeight="1">
      <c r="A548" s="12" t="inlineStr">
        <is>
          <t>1.3</t>
        </is>
      </c>
      <c r="B548" s="12" t="inlineStr">
        <is>
          <t>Systems</t>
        </is>
      </c>
      <c r="C548" s="12" t="inlineStr">
        <is>
          <t>Commercial Package Register</t>
        </is>
      </c>
      <c r="D548" s="12" t="inlineStr">
        <is>
          <t>PKG-027</t>
        </is>
      </c>
      <c r="E548" s="12" t="inlineStr">
        <is>
          <t>Communications - Lot 2</t>
        </is>
      </c>
      <c r="F548" s="12" t="inlineStr">
        <is>
          <t>ONE_TO_ONE</t>
        </is>
      </c>
      <c r="G548" s="12" t="inlineStr">
        <is>
          <t>APPROVED</t>
        </is>
      </c>
      <c r="H548" s="12" t="inlineStr">
        <is>
          <t>New</t>
        </is>
      </c>
      <c r="I548" s="12" t="inlineStr">
        <is>
          <t>Source assignment -- not individually reviewed</t>
        </is>
      </c>
      <c r="J548" s="12" t="inlineStr"/>
      <c r="K548" s="12" t="inlineStr">
        <is>
          <t>Source assignment</t>
        </is>
      </c>
      <c r="L548" s="12" t="inlineStr"/>
      <c r="M548" s="12" t="inlineStr">
        <is>
          <t>Initial</t>
        </is>
      </c>
      <c r="N548" s="12" t="inlineStr">
        <is>
          <t>Rev 0</t>
        </is>
      </c>
      <c r="O548" s="12" t="inlineStr">
        <is>
          <t>R1589-v1</t>
        </is>
      </c>
      <c r="P548" s="12" t="inlineStr"/>
      <c r="Q548" s="12" t="inlineStr"/>
      <c r="R548" s="12" t="inlineStr"/>
      <c r="S548" s="12" t="inlineStr"/>
      <c r="T548" s="12" t="inlineStr"/>
      <c r="U548" s="12" t="inlineStr"/>
      <c r="V548" s="12" t="inlineStr">
        <is>
          <t>Package Code = PK-307; WBS Code = 1.3</t>
        </is>
      </c>
      <c r="W548" s="12" t="inlineStr"/>
    </row>
    <row r="549" ht="49" customHeight="1">
      <c r="A549" s="12" t="inlineStr">
        <is>
          <t>1.3</t>
        </is>
      </c>
      <c r="B549" s="12" t="inlineStr">
        <is>
          <t>Systems</t>
        </is>
      </c>
      <c r="C549" s="12" t="inlineStr">
        <is>
          <t>Commercial Package Register</t>
        </is>
      </c>
      <c r="D549" s="12" t="inlineStr">
        <is>
          <t>PKG-028</t>
        </is>
      </c>
      <c r="E549" s="12" t="inlineStr">
        <is>
          <t>Systems Integration - Lot 2</t>
        </is>
      </c>
      <c r="F549" s="12" t="inlineStr">
        <is>
          <t>ONE_TO_ONE</t>
        </is>
      </c>
      <c r="G549" s="12" t="inlineStr">
        <is>
          <t>APPROVED</t>
        </is>
      </c>
      <c r="H549" s="12" t="inlineStr">
        <is>
          <t>New</t>
        </is>
      </c>
      <c r="I549" s="12" t="inlineStr">
        <is>
          <t>Source assignment -- not individually reviewed</t>
        </is>
      </c>
      <c r="J549" s="12" t="inlineStr"/>
      <c r="K549" s="12" t="inlineStr">
        <is>
          <t>Source assignment</t>
        </is>
      </c>
      <c r="L549" s="12" t="inlineStr"/>
      <c r="M549" s="12" t="inlineStr">
        <is>
          <t>Initial</t>
        </is>
      </c>
      <c r="N549" s="12" t="inlineStr">
        <is>
          <t>Rev 0</t>
        </is>
      </c>
      <c r="O549" s="12" t="inlineStr">
        <is>
          <t>R1590-v1</t>
        </is>
      </c>
      <c r="P549" s="12" t="inlineStr"/>
      <c r="Q549" s="12" t="inlineStr"/>
      <c r="R549" s="12" t="inlineStr"/>
      <c r="S549" s="12" t="inlineStr"/>
      <c r="T549" s="12" t="inlineStr"/>
      <c r="U549" s="12" t="inlineStr"/>
      <c r="V549" s="12" t="inlineStr">
        <is>
          <t>Package Code = PK-308; WBS Code = 1.3</t>
        </is>
      </c>
      <c r="W549" s="12" t="inlineStr"/>
    </row>
    <row r="550" ht="49" customHeight="1">
      <c r="A550" s="12" t="inlineStr">
        <is>
          <t>1.3</t>
        </is>
      </c>
      <c r="B550" s="12" t="inlineStr">
        <is>
          <t>Systems</t>
        </is>
      </c>
      <c r="C550" s="12" t="inlineStr">
        <is>
          <t>Commercial Package Register</t>
        </is>
      </c>
      <c r="D550" s="12" t="inlineStr">
        <is>
          <t>PKG-029</t>
        </is>
      </c>
      <c r="E550" s="12" t="inlineStr">
        <is>
          <t>Traction Power - Lot 3</t>
        </is>
      </c>
      <c r="F550" s="12" t="inlineStr">
        <is>
          <t>ONE_TO_ONE</t>
        </is>
      </c>
      <c r="G550" s="12" t="inlineStr">
        <is>
          <t>APPROVED</t>
        </is>
      </c>
      <c r="H550" s="12" t="inlineStr">
        <is>
          <t>New</t>
        </is>
      </c>
      <c r="I550" s="12" t="inlineStr">
        <is>
          <t>Source assignment -- not individually reviewed</t>
        </is>
      </c>
      <c r="J550" s="12" t="inlineStr"/>
      <c r="K550" s="12" t="inlineStr">
        <is>
          <t>Source assignment</t>
        </is>
      </c>
      <c r="L550" s="12" t="inlineStr"/>
      <c r="M550" s="12" t="inlineStr">
        <is>
          <t>Initial</t>
        </is>
      </c>
      <c r="N550" s="12" t="inlineStr">
        <is>
          <t>Rev 0</t>
        </is>
      </c>
      <c r="O550" s="12" t="inlineStr">
        <is>
          <t>R1591-v1</t>
        </is>
      </c>
      <c r="P550" s="12" t="inlineStr"/>
      <c r="Q550" s="12" t="inlineStr"/>
      <c r="R550" s="12" t="inlineStr"/>
      <c r="S550" s="12" t="inlineStr"/>
      <c r="T550" s="12" t="inlineStr"/>
      <c r="U550" s="12" t="inlineStr"/>
      <c r="V550" s="12" t="inlineStr">
        <is>
          <t>Package Code = PK-309; WBS Code = 1.3</t>
        </is>
      </c>
      <c r="W550" s="12" t="inlineStr"/>
    </row>
    <row r="551" ht="49" customHeight="1">
      <c r="A551" s="12" t="inlineStr">
        <is>
          <t>1.3</t>
        </is>
      </c>
      <c r="B551" s="12" t="inlineStr">
        <is>
          <t>Systems</t>
        </is>
      </c>
      <c r="C551" s="12" t="inlineStr">
        <is>
          <t>Commercial Package Register</t>
        </is>
      </c>
      <c r="D551" s="12" t="inlineStr">
        <is>
          <t>PKG-030</t>
        </is>
      </c>
      <c r="E551" s="12" t="inlineStr">
        <is>
          <t>Signalling &amp; Train Control - Lot 3</t>
        </is>
      </c>
      <c r="F551" s="12" t="inlineStr">
        <is>
          <t>ONE_TO_ONE</t>
        </is>
      </c>
      <c r="G551" s="12" t="inlineStr">
        <is>
          <t>APPROVED</t>
        </is>
      </c>
      <c r="H551" s="12" t="inlineStr">
        <is>
          <t>New</t>
        </is>
      </c>
      <c r="I551" s="12" t="inlineStr">
        <is>
          <t>Source assignment -- not individually reviewed</t>
        </is>
      </c>
      <c r="J551" s="12" t="inlineStr"/>
      <c r="K551" s="12" t="inlineStr">
        <is>
          <t>Source assignment</t>
        </is>
      </c>
      <c r="L551" s="12" t="inlineStr"/>
      <c r="M551" s="12" t="inlineStr">
        <is>
          <t>Initial</t>
        </is>
      </c>
      <c r="N551" s="12" t="inlineStr">
        <is>
          <t>Rev 0</t>
        </is>
      </c>
      <c r="O551" s="12" t="inlineStr">
        <is>
          <t>R1592-v1</t>
        </is>
      </c>
      <c r="P551" s="12" t="inlineStr"/>
      <c r="Q551" s="12" t="inlineStr"/>
      <c r="R551" s="12" t="inlineStr"/>
      <c r="S551" s="12" t="inlineStr"/>
      <c r="T551" s="12" t="inlineStr"/>
      <c r="U551" s="12" t="inlineStr"/>
      <c r="V551" s="12" t="inlineStr">
        <is>
          <t>Package Code = PK-310; WBS Code = 1.3</t>
        </is>
      </c>
      <c r="W551" s="12" t="inlineStr"/>
    </row>
    <row r="552" ht="34" customHeight="1">
      <c r="A552" s="12" t="inlineStr">
        <is>
          <t>1.3.1</t>
        </is>
      </c>
      <c r="B552" s="12" t="inlineStr">
        <is>
          <t>Systems - Traction Power</t>
        </is>
      </c>
      <c r="C552" s="12" t="inlineStr">
        <is>
          <t>Contractor Programme</t>
        </is>
      </c>
      <c r="D552" s="12" t="inlineStr">
        <is>
          <t>SCH-03-001</t>
        </is>
      </c>
      <c r="E552" s="12" t="inlineStr">
        <is>
          <t>Harbour Station: wayside interface test - turnover</t>
        </is>
      </c>
      <c r="F552" s="12" t="inlineStr">
        <is>
          <t>ONE_TO_ONE</t>
        </is>
      </c>
      <c r="G552" s="12" t="inlineStr">
        <is>
          <t>APPROVED</t>
        </is>
      </c>
      <c r="H552" s="12" t="inlineStr">
        <is>
          <t>New</t>
        </is>
      </c>
      <c r="I552" s="12" t="inlineStr">
        <is>
          <t>Source assignment -- not individually reviewed</t>
        </is>
      </c>
      <c r="J552" s="12" t="inlineStr"/>
      <c r="K552" s="12" t="inlineStr">
        <is>
          <t>Source assignment</t>
        </is>
      </c>
      <c r="L552" s="12" t="inlineStr"/>
      <c r="M552" s="12" t="inlineStr">
        <is>
          <t>Initial</t>
        </is>
      </c>
      <c r="N552" s="12" t="inlineStr">
        <is>
          <t>Rev 0</t>
        </is>
      </c>
      <c r="O552" s="12" t="inlineStr">
        <is>
          <t>R361-v1</t>
        </is>
      </c>
      <c r="P552" s="12" t="inlineStr"/>
      <c r="Q552" s="12" t="inlineStr"/>
      <c r="R552" s="12" t="inlineStr"/>
      <c r="S552" s="12" t="inlineStr"/>
      <c r="T552" s="12" t="inlineStr"/>
      <c r="U552" s="12" t="inlineStr"/>
      <c r="V552" s="12" t="inlineStr">
        <is>
          <t>WBS Code = 1.3.1</t>
        </is>
      </c>
      <c r="W552" s="12" t="inlineStr"/>
    </row>
    <row r="553" ht="34" customHeight="1">
      <c r="A553" s="12" t="inlineStr">
        <is>
          <t>1.3.1</t>
        </is>
      </c>
      <c r="B553" s="12" t="inlineStr">
        <is>
          <t>Systems - Traction Power</t>
        </is>
      </c>
      <c r="C553" s="12" t="inlineStr">
        <is>
          <t>Contractor Programme</t>
        </is>
      </c>
      <c r="D553" s="12" t="inlineStr">
        <is>
          <t>SCH-03-002</t>
        </is>
      </c>
      <c r="E553" s="12" t="inlineStr">
        <is>
          <t>Control Centre: signal equipment installation - release</t>
        </is>
      </c>
      <c r="F553" s="12" t="inlineStr">
        <is>
          <t>ONE_TO_ONE</t>
        </is>
      </c>
      <c r="G553" s="12" t="inlineStr">
        <is>
          <t>APPROVED</t>
        </is>
      </c>
      <c r="H553" s="12" t="inlineStr">
        <is>
          <t>New</t>
        </is>
      </c>
      <c r="I553" s="12" t="inlineStr">
        <is>
          <t>Source assignment -- not individually reviewed</t>
        </is>
      </c>
      <c r="J553" s="12" t="inlineStr"/>
      <c r="K553" s="12" t="inlineStr">
        <is>
          <t>Source assignment</t>
        </is>
      </c>
      <c r="L553" s="12" t="inlineStr"/>
      <c r="M553" s="12" t="inlineStr">
        <is>
          <t>Initial</t>
        </is>
      </c>
      <c r="N553" s="12" t="inlineStr">
        <is>
          <t>Rev 0</t>
        </is>
      </c>
      <c r="O553" s="12" t="inlineStr">
        <is>
          <t>R362-v1</t>
        </is>
      </c>
      <c r="P553" s="12" t="inlineStr"/>
      <c r="Q553" s="12" t="inlineStr"/>
      <c r="R553" s="12" t="inlineStr"/>
      <c r="S553" s="12" t="inlineStr"/>
      <c r="T553" s="12" t="inlineStr"/>
      <c r="U553" s="12" t="inlineStr"/>
      <c r="V553" s="12" t="inlineStr">
        <is>
          <t>WBS Code = 1.3.1</t>
        </is>
      </c>
      <c r="W553" s="12" t="inlineStr"/>
    </row>
    <row r="554" ht="34" customHeight="1">
      <c r="A554" s="12" t="inlineStr">
        <is>
          <t>1.3.1</t>
        </is>
      </c>
      <c r="B554" s="12" t="inlineStr">
        <is>
          <t>Systems - Traction Power</t>
        </is>
      </c>
      <c r="C554" s="12" t="inlineStr">
        <is>
          <t>Contractor Programme</t>
        </is>
      </c>
      <c r="D554" s="12" t="inlineStr">
        <is>
          <t>SCH-03-004</t>
        </is>
      </c>
      <c r="E554" s="12" t="inlineStr">
        <is>
          <t>East substation: control-centre integration - installation</t>
        </is>
      </c>
      <c r="F554" s="12" t="inlineStr">
        <is>
          <t>ONE_TO_ONE</t>
        </is>
      </c>
      <c r="G554" s="12" t="inlineStr">
        <is>
          <t>APPROVED</t>
        </is>
      </c>
      <c r="H554" s="12" t="inlineStr">
        <is>
          <t>New</t>
        </is>
      </c>
      <c r="I554" s="12" t="inlineStr">
        <is>
          <t>Source assignment -- not individually reviewed</t>
        </is>
      </c>
      <c r="J554" s="12" t="inlineStr"/>
      <c r="K554" s="12" t="inlineStr">
        <is>
          <t>Source assignment</t>
        </is>
      </c>
      <c r="L554" s="12" t="inlineStr"/>
      <c r="M554" s="12" t="inlineStr">
        <is>
          <t>Initial</t>
        </is>
      </c>
      <c r="N554" s="12" t="inlineStr">
        <is>
          <t>Rev 0</t>
        </is>
      </c>
      <c r="O554" s="12" t="inlineStr">
        <is>
          <t>R364-v1</t>
        </is>
      </c>
      <c r="P554" s="12" t="inlineStr"/>
      <c r="Q554" s="12" t="inlineStr"/>
      <c r="R554" s="12" t="inlineStr"/>
      <c r="S554" s="12" t="inlineStr"/>
      <c r="T554" s="12" t="inlineStr"/>
      <c r="U554" s="12" t="inlineStr"/>
      <c r="V554" s="12" t="inlineStr">
        <is>
          <t>WBS Code = 1.3.1</t>
        </is>
      </c>
      <c r="W554" s="12" t="inlineStr"/>
    </row>
    <row r="555" ht="34" customHeight="1">
      <c r="A555" s="12" t="inlineStr">
        <is>
          <t>1.3.1</t>
        </is>
      </c>
      <c r="B555" s="12" t="inlineStr">
        <is>
          <t>Systems - Traction Power</t>
        </is>
      </c>
      <c r="C555" s="12" t="inlineStr">
        <is>
          <t>Contractor Programme</t>
        </is>
      </c>
      <c r="D555" s="12" t="inlineStr">
        <is>
          <t>SCH-03-005</t>
        </is>
      </c>
      <c r="E555" s="12" t="inlineStr">
        <is>
          <t>Central interlocking: fibre backbone termination - inspection</t>
        </is>
      </c>
      <c r="F555" s="12" t="inlineStr">
        <is>
          <t>ONE_TO_ONE</t>
        </is>
      </c>
      <c r="G555" s="12" t="inlineStr">
        <is>
          <t>APPROVED</t>
        </is>
      </c>
      <c r="H555" s="12" t="inlineStr">
        <is>
          <t>New</t>
        </is>
      </c>
      <c r="I555" s="12" t="inlineStr">
        <is>
          <t>Source assignment -- not individually reviewed</t>
        </is>
      </c>
      <c r="J555" s="12" t="inlineStr"/>
      <c r="K555" s="12" t="inlineStr">
        <is>
          <t>Source assignment</t>
        </is>
      </c>
      <c r="L555" s="12" t="inlineStr"/>
      <c r="M555" s="12" t="inlineStr">
        <is>
          <t>Initial</t>
        </is>
      </c>
      <c r="N555" s="12" t="inlineStr">
        <is>
          <t>Rev 0</t>
        </is>
      </c>
      <c r="O555" s="12" t="inlineStr">
        <is>
          <t>R365-v1</t>
        </is>
      </c>
      <c r="P555" s="12" t="inlineStr"/>
      <c r="Q555" s="12" t="inlineStr"/>
      <c r="R555" s="12" t="inlineStr"/>
      <c r="S555" s="12" t="inlineStr"/>
      <c r="T555" s="12" t="inlineStr"/>
      <c r="U555" s="12" t="inlineStr"/>
      <c r="V555" s="12" t="inlineStr">
        <is>
          <t>WBS Code = 1.3.1</t>
        </is>
      </c>
      <c r="W555" s="12" t="inlineStr"/>
    </row>
    <row r="556" ht="34" customHeight="1">
      <c r="A556" s="12" t="inlineStr">
        <is>
          <t>1.3.1</t>
        </is>
      </c>
      <c r="B556" s="12" t="inlineStr">
        <is>
          <t>Systems - Traction Power</t>
        </is>
      </c>
      <c r="C556" s="12" t="inlineStr">
        <is>
          <t>Contractor Programme</t>
        </is>
      </c>
      <c r="D556" s="12" t="inlineStr">
        <is>
          <t>SCH-03-007</t>
        </is>
      </c>
      <c r="E556" s="12" t="inlineStr">
        <is>
          <t>Control Centre: traction-power feeder pull - release</t>
        </is>
      </c>
      <c r="F556" s="12" t="inlineStr">
        <is>
          <t>ONE_TO_ONE</t>
        </is>
      </c>
      <c r="G556" s="12" t="inlineStr">
        <is>
          <t>APPROVED</t>
        </is>
      </c>
      <c r="H556" s="12" t="inlineStr">
        <is>
          <t>New</t>
        </is>
      </c>
      <c r="I556" s="12" t="inlineStr">
        <is>
          <t>Source assignment -- not individually reviewed</t>
        </is>
      </c>
      <c r="J556" s="12" t="inlineStr"/>
      <c r="K556" s="12" t="inlineStr">
        <is>
          <t>Source assignment</t>
        </is>
      </c>
      <c r="L556" s="12" t="inlineStr"/>
      <c r="M556" s="12" t="inlineStr">
        <is>
          <t>Initial</t>
        </is>
      </c>
      <c r="N556" s="12" t="inlineStr">
        <is>
          <t>Rev 0</t>
        </is>
      </c>
      <c r="O556" s="12" t="inlineStr">
        <is>
          <t>R367-v1</t>
        </is>
      </c>
      <c r="P556" s="12" t="inlineStr"/>
      <c r="Q556" s="12" t="inlineStr"/>
      <c r="R556" s="12" t="inlineStr"/>
      <c r="S556" s="12" t="inlineStr"/>
      <c r="T556" s="12" t="inlineStr"/>
      <c r="U556" s="12" t="inlineStr"/>
      <c r="V556" s="12" t="inlineStr">
        <is>
          <t>WBS Code = 1.3.1</t>
        </is>
      </c>
      <c r="W556" s="12" t="inlineStr"/>
    </row>
    <row r="557" ht="34" customHeight="1">
      <c r="A557" s="12" t="inlineStr">
        <is>
          <t>1.3.1</t>
        </is>
      </c>
      <c r="B557" s="12" t="inlineStr">
        <is>
          <t>Systems - Traction Power</t>
        </is>
      </c>
      <c r="C557" s="12" t="inlineStr">
        <is>
          <t>Contractor Programme</t>
        </is>
      </c>
      <c r="D557" s="12" t="inlineStr">
        <is>
          <t>SCH-03-008</t>
        </is>
      </c>
      <c r="E557" s="12" t="inlineStr">
        <is>
          <t>West wayside: train-control cabinet fit-out - field start</t>
        </is>
      </c>
      <c r="F557" s="12" t="inlineStr">
        <is>
          <t>ONE_TO_ONE</t>
        </is>
      </c>
      <c r="G557" s="12" t="inlineStr">
        <is>
          <t>APPROVED</t>
        </is>
      </c>
      <c r="H557" s="12" t="inlineStr">
        <is>
          <t>New</t>
        </is>
      </c>
      <c r="I557" s="12" t="inlineStr">
        <is>
          <t>Source assignment -- not individually reviewed</t>
        </is>
      </c>
      <c r="J557" s="12" t="inlineStr"/>
      <c r="K557" s="12" t="inlineStr">
        <is>
          <t>Source assignment</t>
        </is>
      </c>
      <c r="L557" s="12" t="inlineStr"/>
      <c r="M557" s="12" t="inlineStr">
        <is>
          <t>Initial</t>
        </is>
      </c>
      <c r="N557" s="12" t="inlineStr">
        <is>
          <t>Rev 0</t>
        </is>
      </c>
      <c r="O557" s="12" t="inlineStr">
        <is>
          <t>R368-v1</t>
        </is>
      </c>
      <c r="P557" s="12" t="inlineStr"/>
      <c r="Q557" s="12" t="inlineStr"/>
      <c r="R557" s="12" t="inlineStr"/>
      <c r="S557" s="12" t="inlineStr"/>
      <c r="T557" s="12" t="inlineStr"/>
      <c r="U557" s="12" t="inlineStr"/>
      <c r="V557" s="12" t="inlineStr">
        <is>
          <t>WBS Code = 1.3.1</t>
        </is>
      </c>
      <c r="W557" s="12" t="inlineStr"/>
    </row>
    <row r="558" ht="34" customHeight="1">
      <c r="A558" s="12" t="inlineStr">
        <is>
          <t>1.3.1</t>
        </is>
      </c>
      <c r="B558" s="12" t="inlineStr">
        <is>
          <t>Systems - Traction Power</t>
        </is>
      </c>
      <c r="C558" s="12" t="inlineStr">
        <is>
          <t>Contractor Programme</t>
        </is>
      </c>
      <c r="D558" s="12" t="inlineStr">
        <is>
          <t>SCH-03-010</t>
        </is>
      </c>
      <c r="E558" s="12" t="inlineStr">
        <is>
          <t>Central interlocking: signal equipment installation - inspection</t>
        </is>
      </c>
      <c r="F558" s="12" t="inlineStr">
        <is>
          <t>ONE_TO_ONE</t>
        </is>
      </c>
      <c r="G558" s="12" t="inlineStr">
        <is>
          <t>APPROVED</t>
        </is>
      </c>
      <c r="H558" s="12" t="inlineStr">
        <is>
          <t>New</t>
        </is>
      </c>
      <c r="I558" s="12" t="inlineStr">
        <is>
          <t>Source assignment -- not individually reviewed</t>
        </is>
      </c>
      <c r="J558" s="12" t="inlineStr"/>
      <c r="K558" s="12" t="inlineStr">
        <is>
          <t>Source assignment</t>
        </is>
      </c>
      <c r="L558" s="12" t="inlineStr"/>
      <c r="M558" s="12" t="inlineStr">
        <is>
          <t>Initial</t>
        </is>
      </c>
      <c r="N558" s="12" t="inlineStr">
        <is>
          <t>Rev 0</t>
        </is>
      </c>
      <c r="O558" s="12" t="inlineStr">
        <is>
          <t>R370-v1</t>
        </is>
      </c>
      <c r="P558" s="12" t="inlineStr"/>
      <c r="Q558" s="12" t="inlineStr"/>
      <c r="R558" s="12" t="inlineStr"/>
      <c r="S558" s="12" t="inlineStr"/>
      <c r="T558" s="12" t="inlineStr"/>
      <c r="U558" s="12" t="inlineStr"/>
      <c r="V558" s="12" t="inlineStr">
        <is>
          <t>WBS Code = 1.3.1</t>
        </is>
      </c>
      <c r="W558" s="12" t="inlineStr"/>
    </row>
    <row r="559" ht="34" customHeight="1">
      <c r="A559" s="12" t="inlineStr">
        <is>
          <t>1.3.1</t>
        </is>
      </c>
      <c r="B559" s="12" t="inlineStr">
        <is>
          <t>Systems - Traction Power</t>
        </is>
      </c>
      <c r="C559" s="12" t="inlineStr">
        <is>
          <t>Contractor Programme</t>
        </is>
      </c>
      <c r="D559" s="12" t="inlineStr">
        <is>
          <t>SCH-03-011</t>
        </is>
      </c>
      <c r="E559" s="12" t="inlineStr">
        <is>
          <t>Harbour Station: radio equipment installation - turnover</t>
        </is>
      </c>
      <c r="F559" s="12" t="inlineStr">
        <is>
          <t>ONE_TO_ONE</t>
        </is>
      </c>
      <c r="G559" s="12" t="inlineStr">
        <is>
          <t>APPROVED</t>
        </is>
      </c>
      <c r="H559" s="12" t="inlineStr">
        <is>
          <t>New</t>
        </is>
      </c>
      <c r="I559" s="12" t="inlineStr">
        <is>
          <t>Source assignment -- not individually reviewed</t>
        </is>
      </c>
      <c r="J559" s="12" t="inlineStr"/>
      <c r="K559" s="12" t="inlineStr">
        <is>
          <t>Source assignment</t>
        </is>
      </c>
      <c r="L559" s="12" t="inlineStr"/>
      <c r="M559" s="12" t="inlineStr">
        <is>
          <t>Initial</t>
        </is>
      </c>
      <c r="N559" s="12" t="inlineStr">
        <is>
          <t>Rev 0</t>
        </is>
      </c>
      <c r="O559" s="12" t="inlineStr">
        <is>
          <t>R371-v1</t>
        </is>
      </c>
      <c r="P559" s="12" t="inlineStr"/>
      <c r="Q559" s="12" t="inlineStr"/>
      <c r="R559" s="12" t="inlineStr"/>
      <c r="S559" s="12" t="inlineStr"/>
      <c r="T559" s="12" t="inlineStr"/>
      <c r="U559" s="12" t="inlineStr"/>
      <c r="V559" s="12" t="inlineStr">
        <is>
          <t>WBS Code = 1.3.1</t>
        </is>
      </c>
      <c r="W559" s="12" t="inlineStr"/>
    </row>
    <row r="560" ht="34" customHeight="1">
      <c r="A560" s="12" t="inlineStr">
        <is>
          <t>1.3.1</t>
        </is>
      </c>
      <c r="B560" s="12" t="inlineStr">
        <is>
          <t>Systems - Traction Power</t>
        </is>
      </c>
      <c r="C560" s="12" t="inlineStr">
        <is>
          <t>Contractor Programme</t>
        </is>
      </c>
      <c r="D560" s="12" t="inlineStr">
        <is>
          <t>SCH-03-013</t>
        </is>
      </c>
      <c r="E560" s="12" t="inlineStr">
        <is>
          <t>West wayside: fibre backbone termination - field start</t>
        </is>
      </c>
      <c r="F560" s="12" t="inlineStr">
        <is>
          <t>ONE_TO_ONE</t>
        </is>
      </c>
      <c r="G560" s="12" t="inlineStr">
        <is>
          <t>APPROVED</t>
        </is>
      </c>
      <c r="H560" s="12" t="inlineStr">
        <is>
          <t>New</t>
        </is>
      </c>
      <c r="I560" s="12" t="inlineStr">
        <is>
          <t>Source assignment -- not individually reviewed</t>
        </is>
      </c>
      <c r="J560" s="12" t="inlineStr"/>
      <c r="K560" s="12" t="inlineStr">
        <is>
          <t>Source assignment</t>
        </is>
      </c>
      <c r="L560" s="12" t="inlineStr"/>
      <c r="M560" s="12" t="inlineStr">
        <is>
          <t>Initial</t>
        </is>
      </c>
      <c r="N560" s="12" t="inlineStr">
        <is>
          <t>Rev 0</t>
        </is>
      </c>
      <c r="O560" s="12" t="inlineStr">
        <is>
          <t>R373-v1</t>
        </is>
      </c>
      <c r="P560" s="12" t="inlineStr"/>
      <c r="Q560" s="12" t="inlineStr"/>
      <c r="R560" s="12" t="inlineStr"/>
      <c r="S560" s="12" t="inlineStr"/>
      <c r="T560" s="12" t="inlineStr"/>
      <c r="U560" s="12" t="inlineStr"/>
      <c r="V560" s="12" t="inlineStr">
        <is>
          <t>WBS Code = 1.3.1</t>
        </is>
      </c>
      <c r="W560" s="12" t="inlineStr"/>
    </row>
    <row r="561" ht="34" customHeight="1">
      <c r="A561" s="12" t="inlineStr">
        <is>
          <t>1.3.1</t>
        </is>
      </c>
      <c r="B561" s="12" t="inlineStr">
        <is>
          <t>Systems - Traction Power</t>
        </is>
      </c>
      <c r="C561" s="12" t="inlineStr">
        <is>
          <t>Contractor Programme</t>
        </is>
      </c>
      <c r="D561" s="12" t="inlineStr">
        <is>
          <t>SCH-03-014</t>
        </is>
      </c>
      <c r="E561" s="12" t="inlineStr">
        <is>
          <t>East substation: SCADA point-to-point check - installation</t>
        </is>
      </c>
      <c r="F561" s="12" t="inlineStr">
        <is>
          <t>ONE_TO_ONE</t>
        </is>
      </c>
      <c r="G561" s="12" t="inlineStr">
        <is>
          <t>APPROVED</t>
        </is>
      </c>
      <c r="H561" s="12" t="inlineStr">
        <is>
          <t>New</t>
        </is>
      </c>
      <c r="I561" s="12" t="inlineStr">
        <is>
          <t>Source assignment -- not individually reviewed</t>
        </is>
      </c>
      <c r="J561" s="12" t="inlineStr"/>
      <c r="K561" s="12" t="inlineStr">
        <is>
          <t>Source assignment</t>
        </is>
      </c>
      <c r="L561" s="12" t="inlineStr"/>
      <c r="M561" s="12" t="inlineStr">
        <is>
          <t>Initial</t>
        </is>
      </c>
      <c r="N561" s="12" t="inlineStr">
        <is>
          <t>Rev 0</t>
        </is>
      </c>
      <c r="O561" s="12" t="inlineStr">
        <is>
          <t>R374-v1</t>
        </is>
      </c>
      <c r="P561" s="12" t="inlineStr"/>
      <c r="Q561" s="12" t="inlineStr"/>
      <c r="R561" s="12" t="inlineStr"/>
      <c r="S561" s="12" t="inlineStr"/>
      <c r="T561" s="12" t="inlineStr"/>
      <c r="U561" s="12" t="inlineStr"/>
      <c r="V561" s="12" t="inlineStr">
        <is>
          <t>WBS Code = 1.3.1</t>
        </is>
      </c>
      <c r="W561" s="12" t="inlineStr"/>
    </row>
    <row r="562" ht="34" customHeight="1">
      <c r="A562" s="12" t="inlineStr">
        <is>
          <t>1.3.1</t>
        </is>
      </c>
      <c r="B562" s="12" t="inlineStr">
        <is>
          <t>Systems - Traction Power</t>
        </is>
      </c>
      <c r="C562" s="12" t="inlineStr">
        <is>
          <t>Contractor Programme</t>
        </is>
      </c>
      <c r="D562" s="12" t="inlineStr">
        <is>
          <t>SCH-03-016</t>
        </is>
      </c>
      <c r="E562" s="12" t="inlineStr">
        <is>
          <t>Harbour Station: train-control cabinet fit-out - turnover</t>
        </is>
      </c>
      <c r="F562" s="12" t="inlineStr">
        <is>
          <t>ONE_TO_ONE</t>
        </is>
      </c>
      <c r="G562" s="12" t="inlineStr">
        <is>
          <t>APPROVED</t>
        </is>
      </c>
      <c r="H562" s="12" t="inlineStr">
        <is>
          <t>New</t>
        </is>
      </c>
      <c r="I562" s="12" t="inlineStr">
        <is>
          <t>Source assignment -- not individually reviewed</t>
        </is>
      </c>
      <c r="J562" s="12" t="inlineStr"/>
      <c r="K562" s="12" t="inlineStr">
        <is>
          <t>Source assignment</t>
        </is>
      </c>
      <c r="L562" s="12" t="inlineStr"/>
      <c r="M562" s="12" t="inlineStr">
        <is>
          <t>Initial</t>
        </is>
      </c>
      <c r="N562" s="12" t="inlineStr">
        <is>
          <t>Rev 0</t>
        </is>
      </c>
      <c r="O562" s="12" t="inlineStr">
        <is>
          <t>R376-v1</t>
        </is>
      </c>
      <c r="P562" s="12" t="inlineStr"/>
      <c r="Q562" s="12" t="inlineStr"/>
      <c r="R562" s="12" t="inlineStr"/>
      <c r="S562" s="12" t="inlineStr"/>
      <c r="T562" s="12" t="inlineStr"/>
      <c r="U562" s="12" t="inlineStr"/>
      <c r="V562" s="12" t="inlineStr">
        <is>
          <t>WBS Code = 1.3.1</t>
        </is>
      </c>
      <c r="W562" s="12" t="inlineStr"/>
    </row>
    <row r="563" ht="34" customHeight="1">
      <c r="A563" s="12" t="inlineStr">
        <is>
          <t>1.3.1</t>
        </is>
      </c>
      <c r="B563" s="12" t="inlineStr">
        <is>
          <t>Systems - Traction Power</t>
        </is>
      </c>
      <c r="C563" s="12" t="inlineStr">
        <is>
          <t>Contractor Programme</t>
        </is>
      </c>
      <c r="D563" s="12" t="inlineStr">
        <is>
          <t>SCH-03-017</t>
        </is>
      </c>
      <c r="E563" s="12" t="inlineStr">
        <is>
          <t>Control Centre: wayside interface test - release</t>
        </is>
      </c>
      <c r="F563" s="12" t="inlineStr">
        <is>
          <t>ONE_TO_ONE</t>
        </is>
      </c>
      <c r="G563" s="12" t="inlineStr">
        <is>
          <t>APPROVED</t>
        </is>
      </c>
      <c r="H563" s="12" t="inlineStr">
        <is>
          <t>New</t>
        </is>
      </c>
      <c r="I563" s="12" t="inlineStr">
        <is>
          <t>Source assignment -- not individually reviewed</t>
        </is>
      </c>
      <c r="J563" s="12" t="inlineStr"/>
      <c r="K563" s="12" t="inlineStr">
        <is>
          <t>Source assignment</t>
        </is>
      </c>
      <c r="L563" s="12" t="inlineStr"/>
      <c r="M563" s="12" t="inlineStr">
        <is>
          <t>Initial</t>
        </is>
      </c>
      <c r="N563" s="12" t="inlineStr">
        <is>
          <t>Rev 0</t>
        </is>
      </c>
      <c r="O563" s="12" t="inlineStr">
        <is>
          <t>R377-v1</t>
        </is>
      </c>
      <c r="P563" s="12" t="inlineStr"/>
      <c r="Q563" s="12" t="inlineStr"/>
      <c r="R563" s="12" t="inlineStr"/>
      <c r="S563" s="12" t="inlineStr"/>
      <c r="T563" s="12" t="inlineStr"/>
      <c r="U563" s="12" t="inlineStr"/>
      <c r="V563" s="12" t="inlineStr">
        <is>
          <t>WBS Code = 1.3.1</t>
        </is>
      </c>
      <c r="W563" s="12" t="inlineStr"/>
    </row>
    <row r="564" ht="34" customHeight="1">
      <c r="A564" s="12" t="inlineStr">
        <is>
          <t>1.3.1</t>
        </is>
      </c>
      <c r="B564" s="12" t="inlineStr">
        <is>
          <t>Systems - Traction Power</t>
        </is>
      </c>
      <c r="C564" s="12" t="inlineStr">
        <is>
          <t>Contractor Programme</t>
        </is>
      </c>
      <c r="D564" s="12" t="inlineStr">
        <is>
          <t>SCH-03-019</t>
        </is>
      </c>
      <c r="E564" s="12" t="inlineStr">
        <is>
          <t>East substation: radio equipment installation - installation</t>
        </is>
      </c>
      <c r="F564" s="12" t="inlineStr">
        <is>
          <t>ONE_TO_ONE</t>
        </is>
      </c>
      <c r="G564" s="12" t="inlineStr">
        <is>
          <t>APPROVED</t>
        </is>
      </c>
      <c r="H564" s="12" t="inlineStr">
        <is>
          <t>New</t>
        </is>
      </c>
      <c r="I564" s="12" t="inlineStr">
        <is>
          <t>Source assignment -- not individually reviewed</t>
        </is>
      </c>
      <c r="J564" s="12" t="inlineStr"/>
      <c r="K564" s="12" t="inlineStr">
        <is>
          <t>Source assignment</t>
        </is>
      </c>
      <c r="L564" s="12" t="inlineStr"/>
      <c r="M564" s="12" t="inlineStr">
        <is>
          <t>Initial</t>
        </is>
      </c>
      <c r="N564" s="12" t="inlineStr">
        <is>
          <t>Rev 0</t>
        </is>
      </c>
      <c r="O564" s="12" t="inlineStr">
        <is>
          <t>R379-v1</t>
        </is>
      </c>
      <c r="P564" s="12" t="inlineStr"/>
      <c r="Q564" s="12" t="inlineStr"/>
      <c r="R564" s="12" t="inlineStr"/>
      <c r="S564" s="12" t="inlineStr"/>
      <c r="T564" s="12" t="inlineStr"/>
      <c r="U564" s="12" t="inlineStr"/>
      <c r="V564" s="12" t="inlineStr">
        <is>
          <t>WBS Code = 1.3.1</t>
        </is>
      </c>
      <c r="W564" s="12" t="inlineStr"/>
    </row>
    <row r="565" ht="34" customHeight="1">
      <c r="A565" s="12" t="inlineStr">
        <is>
          <t>1.3.1</t>
        </is>
      </c>
      <c r="B565" s="12" t="inlineStr">
        <is>
          <t>Systems - Traction Power</t>
        </is>
      </c>
      <c r="C565" s="12" t="inlineStr">
        <is>
          <t>Contractor Programme</t>
        </is>
      </c>
      <c r="D565" s="12" t="inlineStr">
        <is>
          <t>SCH-03-020</t>
        </is>
      </c>
      <c r="E565" s="12" t="inlineStr">
        <is>
          <t>Central interlocking: control-centre integration - inspection</t>
        </is>
      </c>
      <c r="F565" s="12" t="inlineStr">
        <is>
          <t>ONE_TO_ONE</t>
        </is>
      </c>
      <c r="G565" s="12" t="inlineStr">
        <is>
          <t>APPROVED</t>
        </is>
      </c>
      <c r="H565" s="12" t="inlineStr">
        <is>
          <t>New</t>
        </is>
      </c>
      <c r="I565" s="12" t="inlineStr">
        <is>
          <t>Source assignment -- not individually reviewed</t>
        </is>
      </c>
      <c r="J565" s="12" t="inlineStr"/>
      <c r="K565" s="12" t="inlineStr">
        <is>
          <t>Source assignment</t>
        </is>
      </c>
      <c r="L565" s="12" t="inlineStr"/>
      <c r="M565" s="12" t="inlineStr">
        <is>
          <t>Initial</t>
        </is>
      </c>
      <c r="N565" s="12" t="inlineStr">
        <is>
          <t>Rev 0</t>
        </is>
      </c>
      <c r="O565" s="12" t="inlineStr">
        <is>
          <t>R380-v1</t>
        </is>
      </c>
      <c r="P565" s="12" t="inlineStr"/>
      <c r="Q565" s="12" t="inlineStr"/>
      <c r="R565" s="12" t="inlineStr"/>
      <c r="S565" s="12" t="inlineStr"/>
      <c r="T565" s="12" t="inlineStr"/>
      <c r="U565" s="12" t="inlineStr"/>
      <c r="V565" s="12" t="inlineStr">
        <is>
          <t>WBS Code = 1.3.1</t>
        </is>
      </c>
      <c r="W565" s="12" t="inlineStr"/>
    </row>
    <row r="566" ht="34" customHeight="1">
      <c r="A566" s="12" t="inlineStr">
        <is>
          <t>1.3.1</t>
        </is>
      </c>
      <c r="B566" s="12" t="inlineStr">
        <is>
          <t>Systems - Traction Power</t>
        </is>
      </c>
      <c r="C566" s="12" t="inlineStr">
        <is>
          <t>Contractor Programme</t>
        </is>
      </c>
      <c r="D566" s="12" t="inlineStr">
        <is>
          <t>SCH-03-022</t>
        </is>
      </c>
      <c r="E566" s="12" t="inlineStr">
        <is>
          <t>Control Centre: SCADA point-to-point check - release</t>
        </is>
      </c>
      <c r="F566" s="12" t="inlineStr">
        <is>
          <t>ONE_TO_ONE</t>
        </is>
      </c>
      <c r="G566" s="12" t="inlineStr">
        <is>
          <t>APPROVED</t>
        </is>
      </c>
      <c r="H566" s="12" t="inlineStr">
        <is>
          <t>New</t>
        </is>
      </c>
      <c r="I566" s="12" t="inlineStr">
        <is>
          <t>Source assignment -- not individually reviewed</t>
        </is>
      </c>
      <c r="J566" s="12" t="inlineStr"/>
      <c r="K566" s="12" t="inlineStr">
        <is>
          <t>Source assignment</t>
        </is>
      </c>
      <c r="L566" s="12" t="inlineStr"/>
      <c r="M566" s="12" t="inlineStr">
        <is>
          <t>Initial</t>
        </is>
      </c>
      <c r="N566" s="12" t="inlineStr">
        <is>
          <t>Rev 0</t>
        </is>
      </c>
      <c r="O566" s="12" t="inlineStr">
        <is>
          <t>R382-v1</t>
        </is>
      </c>
      <c r="P566" s="12" t="inlineStr"/>
      <c r="Q566" s="12" t="inlineStr"/>
      <c r="R566" s="12" t="inlineStr"/>
      <c r="S566" s="12" t="inlineStr"/>
      <c r="T566" s="12" t="inlineStr"/>
      <c r="U566" s="12" t="inlineStr"/>
      <c r="V566" s="12" t="inlineStr">
        <is>
          <t>WBS Code = 1.3.1</t>
        </is>
      </c>
      <c r="W566" s="12" t="inlineStr"/>
    </row>
    <row r="567" ht="34" customHeight="1">
      <c r="A567" s="12" t="inlineStr">
        <is>
          <t>1.3.1</t>
        </is>
      </c>
      <c r="B567" s="12" t="inlineStr">
        <is>
          <t>Systems - Traction Power</t>
        </is>
      </c>
      <c r="C567" s="12" t="inlineStr">
        <is>
          <t>Contractor Programme</t>
        </is>
      </c>
      <c r="D567" s="12" t="inlineStr">
        <is>
          <t>SCH-03-023</t>
        </is>
      </c>
      <c r="E567" s="12" t="inlineStr">
        <is>
          <t>West wayside: traction-power feeder pull - field start</t>
        </is>
      </c>
      <c r="F567" s="12" t="inlineStr">
        <is>
          <t>ONE_TO_ONE</t>
        </is>
      </c>
      <c r="G567" s="12" t="inlineStr">
        <is>
          <t>APPROVED</t>
        </is>
      </c>
      <c r="H567" s="12" t="inlineStr">
        <is>
          <t>New</t>
        </is>
      </c>
      <c r="I567" s="12" t="inlineStr">
        <is>
          <t>Source assignment -- not individually reviewed</t>
        </is>
      </c>
      <c r="J567" s="12" t="inlineStr"/>
      <c r="K567" s="12" t="inlineStr">
        <is>
          <t>Source assignment</t>
        </is>
      </c>
      <c r="L567" s="12" t="inlineStr"/>
      <c r="M567" s="12" t="inlineStr">
        <is>
          <t>Initial</t>
        </is>
      </c>
      <c r="N567" s="12" t="inlineStr">
        <is>
          <t>Rev 0</t>
        </is>
      </c>
      <c r="O567" s="12" t="inlineStr">
        <is>
          <t>R383-v1</t>
        </is>
      </c>
      <c r="P567" s="12" t="inlineStr"/>
      <c r="Q567" s="12" t="inlineStr"/>
      <c r="R567" s="12" t="inlineStr"/>
      <c r="S567" s="12" t="inlineStr"/>
      <c r="T567" s="12" t="inlineStr"/>
      <c r="U567" s="12" t="inlineStr"/>
      <c r="V567" s="12" t="inlineStr">
        <is>
          <t>WBS Code = 1.3.1</t>
        </is>
      </c>
      <c r="W567" s="12" t="inlineStr"/>
    </row>
    <row r="568" ht="34" customHeight="1">
      <c r="A568" s="12" t="inlineStr">
        <is>
          <t>1.3.1</t>
        </is>
      </c>
      <c r="B568" s="12" t="inlineStr">
        <is>
          <t>Systems - Traction Power</t>
        </is>
      </c>
      <c r="C568" s="12" t="inlineStr">
        <is>
          <t>Contractor Programme</t>
        </is>
      </c>
      <c r="D568" s="12" t="inlineStr">
        <is>
          <t>SCH-03-025</t>
        </is>
      </c>
      <c r="E568" s="12" t="inlineStr">
        <is>
          <t>Central interlocking: wayside interface test - inspection</t>
        </is>
      </c>
      <c r="F568" s="12" t="inlineStr">
        <is>
          <t>ONE_TO_ONE</t>
        </is>
      </c>
      <c r="G568" s="12" t="inlineStr">
        <is>
          <t>APPROVED</t>
        </is>
      </c>
      <c r="H568" s="12" t="inlineStr">
        <is>
          <t>New</t>
        </is>
      </c>
      <c r="I568" s="12" t="inlineStr">
        <is>
          <t>Source assignment -- not individually reviewed</t>
        </is>
      </c>
      <c r="J568" s="12" t="inlineStr"/>
      <c r="K568" s="12" t="inlineStr">
        <is>
          <t>Source assignment</t>
        </is>
      </c>
      <c r="L568" s="12" t="inlineStr"/>
      <c r="M568" s="12" t="inlineStr">
        <is>
          <t>Initial</t>
        </is>
      </c>
      <c r="N568" s="12" t="inlineStr">
        <is>
          <t>Rev 0</t>
        </is>
      </c>
      <c r="O568" s="12" t="inlineStr">
        <is>
          <t>R385-v1</t>
        </is>
      </c>
      <c r="P568" s="12" t="inlineStr"/>
      <c r="Q568" s="12" t="inlineStr"/>
      <c r="R568" s="12" t="inlineStr"/>
      <c r="S568" s="12" t="inlineStr"/>
      <c r="T568" s="12" t="inlineStr"/>
      <c r="U568" s="12" t="inlineStr"/>
      <c r="V568" s="12" t="inlineStr">
        <is>
          <t>WBS Code = 1.3.1</t>
        </is>
      </c>
      <c r="W568" s="12" t="inlineStr"/>
    </row>
    <row r="569" ht="34" customHeight="1">
      <c r="A569" s="12" t="inlineStr">
        <is>
          <t>1.3.1</t>
        </is>
      </c>
      <c r="B569" s="12" t="inlineStr">
        <is>
          <t>Systems - Traction Power</t>
        </is>
      </c>
      <c r="C569" s="12" t="inlineStr">
        <is>
          <t>Contractor Programme</t>
        </is>
      </c>
      <c r="D569" s="12" t="inlineStr">
        <is>
          <t>SCH-03-026</t>
        </is>
      </c>
      <c r="E569" s="12" t="inlineStr">
        <is>
          <t>Harbour Station: signal equipment installation - turnover</t>
        </is>
      </c>
      <c r="F569" s="12" t="inlineStr">
        <is>
          <t>ONE_TO_ONE</t>
        </is>
      </c>
      <c r="G569" s="12" t="inlineStr">
        <is>
          <t>APPROVED</t>
        </is>
      </c>
      <c r="H569" s="12" t="inlineStr">
        <is>
          <t>New</t>
        </is>
      </c>
      <c r="I569" s="12" t="inlineStr">
        <is>
          <t>Source assignment -- not individually reviewed</t>
        </is>
      </c>
      <c r="J569" s="12" t="inlineStr"/>
      <c r="K569" s="12" t="inlineStr">
        <is>
          <t>Source assignment</t>
        </is>
      </c>
      <c r="L569" s="12" t="inlineStr"/>
      <c r="M569" s="12" t="inlineStr">
        <is>
          <t>Initial</t>
        </is>
      </c>
      <c r="N569" s="12" t="inlineStr">
        <is>
          <t>Rev 0</t>
        </is>
      </c>
      <c r="O569" s="12" t="inlineStr">
        <is>
          <t>R386-v1</t>
        </is>
      </c>
      <c r="P569" s="12" t="inlineStr"/>
      <c r="Q569" s="12" t="inlineStr"/>
      <c r="R569" s="12" t="inlineStr"/>
      <c r="S569" s="12" t="inlineStr"/>
      <c r="T569" s="12" t="inlineStr"/>
      <c r="U569" s="12" t="inlineStr"/>
      <c r="V569" s="12" t="inlineStr">
        <is>
          <t>WBS Code = 1.3.1</t>
        </is>
      </c>
      <c r="W569" s="12" t="inlineStr"/>
    </row>
    <row r="570" ht="34" customHeight="1">
      <c r="A570" s="12" t="inlineStr">
        <is>
          <t>1.3.1</t>
        </is>
      </c>
      <c r="B570" s="12" t="inlineStr">
        <is>
          <t>Systems - Traction Power</t>
        </is>
      </c>
      <c r="C570" s="12" t="inlineStr">
        <is>
          <t>Contractor Programme</t>
        </is>
      </c>
      <c r="D570" s="12" t="inlineStr">
        <is>
          <t>SCH-03-028</t>
        </is>
      </c>
      <c r="E570" s="12" t="inlineStr">
        <is>
          <t>West wayside: control-centre integration - field start</t>
        </is>
      </c>
      <c r="F570" s="12" t="inlineStr">
        <is>
          <t>ONE_TO_ONE</t>
        </is>
      </c>
      <c r="G570" s="12" t="inlineStr">
        <is>
          <t>APPROVED</t>
        </is>
      </c>
      <c r="H570" s="12" t="inlineStr">
        <is>
          <t>New</t>
        </is>
      </c>
      <c r="I570" s="12" t="inlineStr">
        <is>
          <t>Source assignment -- not individually reviewed</t>
        </is>
      </c>
      <c r="J570" s="12" t="inlineStr"/>
      <c r="K570" s="12" t="inlineStr">
        <is>
          <t>Source assignment</t>
        </is>
      </c>
      <c r="L570" s="12" t="inlineStr"/>
      <c r="M570" s="12" t="inlineStr">
        <is>
          <t>Initial</t>
        </is>
      </c>
      <c r="N570" s="12" t="inlineStr">
        <is>
          <t>Rev 0</t>
        </is>
      </c>
      <c r="O570" s="12" t="inlineStr">
        <is>
          <t>R388-v1</t>
        </is>
      </c>
      <c r="P570" s="12" t="inlineStr"/>
      <c r="Q570" s="12" t="inlineStr"/>
      <c r="R570" s="12" t="inlineStr"/>
      <c r="S570" s="12" t="inlineStr"/>
      <c r="T570" s="12" t="inlineStr"/>
      <c r="U570" s="12" t="inlineStr"/>
      <c r="V570" s="12" t="inlineStr">
        <is>
          <t>WBS Code = 1.3.1</t>
        </is>
      </c>
      <c r="W570" s="12" t="inlineStr"/>
    </row>
    <row r="571" ht="34" customHeight="1">
      <c r="A571" s="12" t="inlineStr">
        <is>
          <t>1.3.1</t>
        </is>
      </c>
      <c r="B571" s="12" t="inlineStr">
        <is>
          <t>Systems - Traction Power</t>
        </is>
      </c>
      <c r="C571" s="12" t="inlineStr">
        <is>
          <t>Contractor Programme</t>
        </is>
      </c>
      <c r="D571" s="12" t="inlineStr">
        <is>
          <t>SCH-03-029</t>
        </is>
      </c>
      <c r="E571" s="12" t="inlineStr">
        <is>
          <t>East substation: fibre backbone termination - installation</t>
        </is>
      </c>
      <c r="F571" s="12" t="inlineStr">
        <is>
          <t>ONE_TO_ONE</t>
        </is>
      </c>
      <c r="G571" s="12" t="inlineStr">
        <is>
          <t>APPROVED</t>
        </is>
      </c>
      <c r="H571" s="12" t="inlineStr">
        <is>
          <t>New</t>
        </is>
      </c>
      <c r="I571" s="12" t="inlineStr">
        <is>
          <t>Source assignment -- not individually reviewed</t>
        </is>
      </c>
      <c r="J571" s="12" t="inlineStr"/>
      <c r="K571" s="12" t="inlineStr">
        <is>
          <t>Source assignment</t>
        </is>
      </c>
      <c r="L571" s="12" t="inlineStr"/>
      <c r="M571" s="12" t="inlineStr">
        <is>
          <t>Initial</t>
        </is>
      </c>
      <c r="N571" s="12" t="inlineStr">
        <is>
          <t>Rev 0</t>
        </is>
      </c>
      <c r="O571" s="12" t="inlineStr">
        <is>
          <t>R389-v1</t>
        </is>
      </c>
      <c r="P571" s="12" t="inlineStr"/>
      <c r="Q571" s="12" t="inlineStr"/>
      <c r="R571" s="12" t="inlineStr"/>
      <c r="S571" s="12" t="inlineStr"/>
      <c r="T571" s="12" t="inlineStr"/>
      <c r="U571" s="12" t="inlineStr"/>
      <c r="V571" s="12" t="inlineStr">
        <is>
          <t>WBS Code = 1.3.1</t>
        </is>
      </c>
      <c r="W571" s="12" t="inlineStr"/>
    </row>
    <row r="572" ht="34" customHeight="1">
      <c r="A572" s="12" t="inlineStr">
        <is>
          <t>1.3.1</t>
        </is>
      </c>
      <c r="B572" s="12" t="inlineStr">
        <is>
          <t>Systems - Traction Power</t>
        </is>
      </c>
      <c r="C572" s="12" t="inlineStr">
        <is>
          <t>Contractor Programme</t>
        </is>
      </c>
      <c r="D572" s="12" t="inlineStr">
        <is>
          <t>SCH-03-031</t>
        </is>
      </c>
      <c r="E572" s="12" t="inlineStr">
        <is>
          <t>Harbour Station: traction-power feeder pull - turnover</t>
        </is>
      </c>
      <c r="F572" s="12" t="inlineStr">
        <is>
          <t>ONE_TO_ONE</t>
        </is>
      </c>
      <c r="G572" s="12" t="inlineStr">
        <is>
          <t>APPROVED</t>
        </is>
      </c>
      <c r="H572" s="12" t="inlineStr">
        <is>
          <t>New</t>
        </is>
      </c>
      <c r="I572" s="12" t="inlineStr">
        <is>
          <t>Source assignment -- not individually reviewed</t>
        </is>
      </c>
      <c r="J572" s="12" t="inlineStr"/>
      <c r="K572" s="12" t="inlineStr">
        <is>
          <t>Source assignment</t>
        </is>
      </c>
      <c r="L572" s="12" t="inlineStr"/>
      <c r="M572" s="12" t="inlineStr">
        <is>
          <t>Initial</t>
        </is>
      </c>
      <c r="N572" s="12" t="inlineStr">
        <is>
          <t>Rev 0</t>
        </is>
      </c>
      <c r="O572" s="12" t="inlineStr">
        <is>
          <t>R391-v1</t>
        </is>
      </c>
      <c r="P572" s="12" t="inlineStr"/>
      <c r="Q572" s="12" t="inlineStr"/>
      <c r="R572" s="12" t="inlineStr"/>
      <c r="S572" s="12" t="inlineStr"/>
      <c r="T572" s="12" t="inlineStr"/>
      <c r="U572" s="12" t="inlineStr"/>
      <c r="V572" s="12" t="inlineStr">
        <is>
          <t>WBS Code = 1.3.1</t>
        </is>
      </c>
      <c r="W572" s="12" t="inlineStr"/>
    </row>
    <row r="573" ht="34" customHeight="1">
      <c r="A573" s="12" t="inlineStr">
        <is>
          <t>1.3.1</t>
        </is>
      </c>
      <c r="B573" s="12" t="inlineStr">
        <is>
          <t>Systems - Traction Power</t>
        </is>
      </c>
      <c r="C573" s="12" t="inlineStr">
        <is>
          <t>Contractor Programme</t>
        </is>
      </c>
      <c r="D573" s="12" t="inlineStr">
        <is>
          <t>SCH-03-032</t>
        </is>
      </c>
      <c r="E573" s="12" t="inlineStr">
        <is>
          <t>Control Centre: train-control cabinet fit-out - release</t>
        </is>
      </c>
      <c r="F573" s="12" t="inlineStr">
        <is>
          <t>ONE_TO_ONE</t>
        </is>
      </c>
      <c r="G573" s="12" t="inlineStr">
        <is>
          <t>APPROVED</t>
        </is>
      </c>
      <c r="H573" s="12" t="inlineStr">
        <is>
          <t>New</t>
        </is>
      </c>
      <c r="I573" s="12" t="inlineStr">
        <is>
          <t>Source assignment -- not individually reviewed</t>
        </is>
      </c>
      <c r="J573" s="12" t="inlineStr"/>
      <c r="K573" s="12" t="inlineStr">
        <is>
          <t>Source assignment</t>
        </is>
      </c>
      <c r="L573" s="12" t="inlineStr"/>
      <c r="M573" s="12" t="inlineStr">
        <is>
          <t>Initial</t>
        </is>
      </c>
      <c r="N573" s="12" t="inlineStr">
        <is>
          <t>Rev 0</t>
        </is>
      </c>
      <c r="O573" s="12" t="inlineStr">
        <is>
          <t>R392-v1</t>
        </is>
      </c>
      <c r="P573" s="12" t="inlineStr"/>
      <c r="Q573" s="12" t="inlineStr"/>
      <c r="R573" s="12" t="inlineStr"/>
      <c r="S573" s="12" t="inlineStr"/>
      <c r="T573" s="12" t="inlineStr"/>
      <c r="U573" s="12" t="inlineStr"/>
      <c r="V573" s="12" t="inlineStr">
        <is>
          <t>WBS Code = 1.3.1</t>
        </is>
      </c>
      <c r="W573" s="12" t="inlineStr"/>
    </row>
    <row r="574" ht="34" customHeight="1">
      <c r="A574" s="12" t="inlineStr">
        <is>
          <t>1.3.1</t>
        </is>
      </c>
      <c r="B574" s="12" t="inlineStr">
        <is>
          <t>Systems - Traction Power</t>
        </is>
      </c>
      <c r="C574" s="12" t="inlineStr">
        <is>
          <t>Contractor Programme</t>
        </is>
      </c>
      <c r="D574" s="12" t="inlineStr">
        <is>
          <t>SCH-03-034</t>
        </is>
      </c>
      <c r="E574" s="12" t="inlineStr">
        <is>
          <t>East substation: signal equipment installation - installation</t>
        </is>
      </c>
      <c r="F574" s="12" t="inlineStr">
        <is>
          <t>ONE_TO_ONE</t>
        </is>
      </c>
      <c r="G574" s="12" t="inlineStr">
        <is>
          <t>APPROVED</t>
        </is>
      </c>
      <c r="H574" s="12" t="inlineStr">
        <is>
          <t>New</t>
        </is>
      </c>
      <c r="I574" s="12" t="inlineStr">
        <is>
          <t>Source assignment -- not individually reviewed</t>
        </is>
      </c>
      <c r="J574" s="12" t="inlineStr"/>
      <c r="K574" s="12" t="inlineStr">
        <is>
          <t>Source assignment</t>
        </is>
      </c>
      <c r="L574" s="12" t="inlineStr"/>
      <c r="M574" s="12" t="inlineStr">
        <is>
          <t>Initial</t>
        </is>
      </c>
      <c r="N574" s="12" t="inlineStr">
        <is>
          <t>Rev 0</t>
        </is>
      </c>
      <c r="O574" s="12" t="inlineStr">
        <is>
          <t>R394-v1</t>
        </is>
      </c>
      <c r="P574" s="12" t="inlineStr"/>
      <c r="Q574" s="12" t="inlineStr"/>
      <c r="R574" s="12" t="inlineStr"/>
      <c r="S574" s="12" t="inlineStr"/>
      <c r="T574" s="12" t="inlineStr"/>
      <c r="U574" s="12" t="inlineStr"/>
      <c r="V574" s="12" t="inlineStr">
        <is>
          <t>WBS Code = 1.3.1</t>
        </is>
      </c>
      <c r="W574" s="12" t="inlineStr"/>
    </row>
    <row r="575" ht="34" customHeight="1">
      <c r="A575" s="12" t="inlineStr">
        <is>
          <t>1.3.1</t>
        </is>
      </c>
      <c r="B575" s="12" t="inlineStr">
        <is>
          <t>Systems - Traction Power</t>
        </is>
      </c>
      <c r="C575" s="12" t="inlineStr">
        <is>
          <t>Contractor Programme</t>
        </is>
      </c>
      <c r="D575" s="12" t="inlineStr">
        <is>
          <t>SCH-03-035</t>
        </is>
      </c>
      <c r="E575" s="12" t="inlineStr">
        <is>
          <t>Central interlocking: radio equipment installation - inspection</t>
        </is>
      </c>
      <c r="F575" s="12" t="inlineStr">
        <is>
          <t>ONE_TO_ONE</t>
        </is>
      </c>
      <c r="G575" s="12" t="inlineStr">
        <is>
          <t>APPROVED</t>
        </is>
      </c>
      <c r="H575" s="12" t="inlineStr">
        <is>
          <t>New</t>
        </is>
      </c>
      <c r="I575" s="12" t="inlineStr">
        <is>
          <t>Source assignment -- not individually reviewed</t>
        </is>
      </c>
      <c r="J575" s="12" t="inlineStr"/>
      <c r="K575" s="12" t="inlineStr">
        <is>
          <t>Source assignment</t>
        </is>
      </c>
      <c r="L575" s="12" t="inlineStr"/>
      <c r="M575" s="12" t="inlineStr">
        <is>
          <t>Initial</t>
        </is>
      </c>
      <c r="N575" s="12" t="inlineStr">
        <is>
          <t>Rev 0</t>
        </is>
      </c>
      <c r="O575" s="12" t="inlineStr">
        <is>
          <t>R395-v1</t>
        </is>
      </c>
      <c r="P575" s="12" t="inlineStr"/>
      <c r="Q575" s="12" t="inlineStr"/>
      <c r="R575" s="12" t="inlineStr"/>
      <c r="S575" s="12" t="inlineStr"/>
      <c r="T575" s="12" t="inlineStr"/>
      <c r="U575" s="12" t="inlineStr"/>
      <c r="V575" s="12" t="inlineStr">
        <is>
          <t>WBS Code = 1.3.1</t>
        </is>
      </c>
      <c r="W575" s="12" t="inlineStr"/>
    </row>
    <row r="576" ht="34" customHeight="1">
      <c r="A576" s="12" t="inlineStr">
        <is>
          <t>1.3.1</t>
        </is>
      </c>
      <c r="B576" s="12" t="inlineStr">
        <is>
          <t>Systems - Traction Power</t>
        </is>
      </c>
      <c r="C576" s="12" t="inlineStr">
        <is>
          <t>Contractor Programme</t>
        </is>
      </c>
      <c r="D576" s="12" t="inlineStr">
        <is>
          <t>SCH-03-037</t>
        </is>
      </c>
      <c r="E576" s="12" t="inlineStr">
        <is>
          <t>Control Centre: fibre backbone termination - release</t>
        </is>
      </c>
      <c r="F576" s="12" t="inlineStr">
        <is>
          <t>ONE_TO_ONE</t>
        </is>
      </c>
      <c r="G576" s="12" t="inlineStr">
        <is>
          <t>APPROVED</t>
        </is>
      </c>
      <c r="H576" s="12" t="inlineStr">
        <is>
          <t>New</t>
        </is>
      </c>
      <c r="I576" s="12" t="inlineStr">
        <is>
          <t>Source assignment -- not individually reviewed</t>
        </is>
      </c>
      <c r="J576" s="12" t="inlineStr"/>
      <c r="K576" s="12" t="inlineStr">
        <is>
          <t>Source assignment</t>
        </is>
      </c>
      <c r="L576" s="12" t="inlineStr"/>
      <c r="M576" s="12" t="inlineStr">
        <is>
          <t>Initial</t>
        </is>
      </c>
      <c r="N576" s="12" t="inlineStr">
        <is>
          <t>Rev 0</t>
        </is>
      </c>
      <c r="O576" s="12" t="inlineStr">
        <is>
          <t>R397-v1</t>
        </is>
      </c>
      <c r="P576" s="12" t="inlineStr"/>
      <c r="Q576" s="12" t="inlineStr"/>
      <c r="R576" s="12" t="inlineStr"/>
      <c r="S576" s="12" t="inlineStr"/>
      <c r="T576" s="12" t="inlineStr"/>
      <c r="U576" s="12" t="inlineStr"/>
      <c r="V576" s="12" t="inlineStr">
        <is>
          <t>WBS Code = 1.3.1</t>
        </is>
      </c>
      <c r="W576" s="12" t="inlineStr"/>
    </row>
    <row r="577" ht="34" customHeight="1">
      <c r="A577" s="12" t="inlineStr">
        <is>
          <t>1.3.1</t>
        </is>
      </c>
      <c r="B577" s="12" t="inlineStr">
        <is>
          <t>Systems - Traction Power</t>
        </is>
      </c>
      <c r="C577" s="12" t="inlineStr">
        <is>
          <t>Contractor Programme</t>
        </is>
      </c>
      <c r="D577" s="12" t="inlineStr">
        <is>
          <t>SCH-03-038</t>
        </is>
      </c>
      <c r="E577" s="12" t="inlineStr">
        <is>
          <t>West wayside: SCADA point-to-point check - field start</t>
        </is>
      </c>
      <c r="F577" s="12" t="inlineStr">
        <is>
          <t>ONE_TO_ONE</t>
        </is>
      </c>
      <c r="G577" s="12" t="inlineStr">
        <is>
          <t>APPROVED</t>
        </is>
      </c>
      <c r="H577" s="12" t="inlineStr">
        <is>
          <t>New</t>
        </is>
      </c>
      <c r="I577" s="12" t="inlineStr">
        <is>
          <t>Source assignment -- not individually reviewed</t>
        </is>
      </c>
      <c r="J577" s="12" t="inlineStr"/>
      <c r="K577" s="12" t="inlineStr">
        <is>
          <t>Source assignment</t>
        </is>
      </c>
      <c r="L577" s="12" t="inlineStr"/>
      <c r="M577" s="12" t="inlineStr">
        <is>
          <t>Initial</t>
        </is>
      </c>
      <c r="N577" s="12" t="inlineStr">
        <is>
          <t>Rev 0</t>
        </is>
      </c>
      <c r="O577" s="12" t="inlineStr">
        <is>
          <t>R398-v1</t>
        </is>
      </c>
      <c r="P577" s="12" t="inlineStr"/>
      <c r="Q577" s="12" t="inlineStr"/>
      <c r="R577" s="12" t="inlineStr"/>
      <c r="S577" s="12" t="inlineStr"/>
      <c r="T577" s="12" t="inlineStr"/>
      <c r="U577" s="12" t="inlineStr"/>
      <c r="V577" s="12" t="inlineStr">
        <is>
          <t>WBS Code = 1.3.1</t>
        </is>
      </c>
      <c r="W577" s="12" t="inlineStr"/>
    </row>
    <row r="578" ht="34" customHeight="1">
      <c r="A578" s="12" t="inlineStr">
        <is>
          <t>1.3.1</t>
        </is>
      </c>
      <c r="B578" s="12" t="inlineStr">
        <is>
          <t>Systems - Traction Power</t>
        </is>
      </c>
      <c r="C578" s="12" t="inlineStr">
        <is>
          <t>Contractor Programme</t>
        </is>
      </c>
      <c r="D578" s="12" t="inlineStr">
        <is>
          <t>SCH-03-040</t>
        </is>
      </c>
      <c r="E578" s="12" t="inlineStr">
        <is>
          <t>Central interlocking: train-control cabinet fit-out - inspection</t>
        </is>
      </c>
      <c r="F578" s="12" t="inlineStr">
        <is>
          <t>ONE_TO_ONE</t>
        </is>
      </c>
      <c r="G578" s="12" t="inlineStr">
        <is>
          <t>APPROVED</t>
        </is>
      </c>
      <c r="H578" s="12" t="inlineStr">
        <is>
          <t>New</t>
        </is>
      </c>
      <c r="I578" s="12" t="inlineStr">
        <is>
          <t>Source assignment -- not individually reviewed</t>
        </is>
      </c>
      <c r="J578" s="12" t="inlineStr"/>
      <c r="K578" s="12" t="inlineStr">
        <is>
          <t>Source assignment</t>
        </is>
      </c>
      <c r="L578" s="12" t="inlineStr"/>
      <c r="M578" s="12" t="inlineStr">
        <is>
          <t>Initial</t>
        </is>
      </c>
      <c r="N578" s="12" t="inlineStr">
        <is>
          <t>Rev 0</t>
        </is>
      </c>
      <c r="O578" s="12" t="inlineStr">
        <is>
          <t>R400-v1</t>
        </is>
      </c>
      <c r="P578" s="12" t="inlineStr"/>
      <c r="Q578" s="12" t="inlineStr"/>
      <c r="R578" s="12" t="inlineStr"/>
      <c r="S578" s="12" t="inlineStr"/>
      <c r="T578" s="12" t="inlineStr"/>
      <c r="U578" s="12" t="inlineStr"/>
      <c r="V578" s="12" t="inlineStr">
        <is>
          <t>WBS Code = 1.3.1</t>
        </is>
      </c>
      <c r="W578" s="12" t="inlineStr"/>
    </row>
    <row r="579" ht="34" customHeight="1">
      <c r="A579" s="12" t="inlineStr">
        <is>
          <t>1.3.1</t>
        </is>
      </c>
      <c r="B579" s="12" t="inlineStr">
        <is>
          <t>Systems - Traction Power</t>
        </is>
      </c>
      <c r="C579" s="12" t="inlineStr">
        <is>
          <t>Contractor Programme</t>
        </is>
      </c>
      <c r="D579" s="12" t="inlineStr">
        <is>
          <t>SCH-03-041</t>
        </is>
      </c>
      <c r="E579" s="12" t="inlineStr">
        <is>
          <t>Harbour Station: wayside interface test - turnover</t>
        </is>
      </c>
      <c r="F579" s="12" t="inlineStr">
        <is>
          <t>ONE_TO_ONE</t>
        </is>
      </c>
      <c r="G579" s="12" t="inlineStr">
        <is>
          <t>APPROVED</t>
        </is>
      </c>
      <c r="H579" s="12" t="inlineStr">
        <is>
          <t>New</t>
        </is>
      </c>
      <c r="I579" s="12" t="inlineStr">
        <is>
          <t>Source assignment -- not individually reviewed</t>
        </is>
      </c>
      <c r="J579" s="12" t="inlineStr"/>
      <c r="K579" s="12" t="inlineStr">
        <is>
          <t>Source assignment</t>
        </is>
      </c>
      <c r="L579" s="12" t="inlineStr"/>
      <c r="M579" s="12" t="inlineStr">
        <is>
          <t>Initial</t>
        </is>
      </c>
      <c r="N579" s="12" t="inlineStr">
        <is>
          <t>Rev 0</t>
        </is>
      </c>
      <c r="O579" s="12" t="inlineStr">
        <is>
          <t>R401-v1</t>
        </is>
      </c>
      <c r="P579" s="12" t="inlineStr"/>
      <c r="Q579" s="12" t="inlineStr"/>
      <c r="R579" s="12" t="inlineStr"/>
      <c r="S579" s="12" t="inlineStr"/>
      <c r="T579" s="12" t="inlineStr"/>
      <c r="U579" s="12" t="inlineStr"/>
      <c r="V579" s="12" t="inlineStr">
        <is>
          <t>WBS Code = 1.3.1</t>
        </is>
      </c>
      <c r="W579" s="12" t="inlineStr"/>
    </row>
    <row r="580" ht="34" customHeight="1">
      <c r="A580" s="12" t="inlineStr">
        <is>
          <t>1.3.1</t>
        </is>
      </c>
      <c r="B580" s="12" t="inlineStr">
        <is>
          <t>Systems - Traction Power</t>
        </is>
      </c>
      <c r="C580" s="12" t="inlineStr">
        <is>
          <t>Contractor Programme</t>
        </is>
      </c>
      <c r="D580" s="12" t="inlineStr">
        <is>
          <t>SCH-03-043</t>
        </is>
      </c>
      <c r="E580" s="12" t="inlineStr">
        <is>
          <t>West wayside: radio equipment installation - field start</t>
        </is>
      </c>
      <c r="F580" s="12" t="inlineStr">
        <is>
          <t>ONE_TO_ONE</t>
        </is>
      </c>
      <c r="G580" s="12" t="inlineStr">
        <is>
          <t>APPROVED</t>
        </is>
      </c>
      <c r="H580" s="12" t="inlineStr">
        <is>
          <t>New</t>
        </is>
      </c>
      <c r="I580" s="12" t="inlineStr">
        <is>
          <t>Source assignment -- not individually reviewed</t>
        </is>
      </c>
      <c r="J580" s="12" t="inlineStr"/>
      <c r="K580" s="12" t="inlineStr">
        <is>
          <t>Source assignment</t>
        </is>
      </c>
      <c r="L580" s="12" t="inlineStr"/>
      <c r="M580" s="12" t="inlineStr">
        <is>
          <t>Initial</t>
        </is>
      </c>
      <c r="N580" s="12" t="inlineStr">
        <is>
          <t>Rev 0</t>
        </is>
      </c>
      <c r="O580" s="12" t="inlineStr">
        <is>
          <t>R403-v1</t>
        </is>
      </c>
      <c r="P580" s="12" t="inlineStr"/>
      <c r="Q580" s="12" t="inlineStr"/>
      <c r="R580" s="12" t="inlineStr"/>
      <c r="S580" s="12" t="inlineStr"/>
      <c r="T580" s="12" t="inlineStr"/>
      <c r="U580" s="12" t="inlineStr"/>
      <c r="V580" s="12" t="inlineStr">
        <is>
          <t>WBS Code = 1.3.1</t>
        </is>
      </c>
      <c r="W580" s="12" t="inlineStr"/>
    </row>
    <row r="581" ht="34" customHeight="1">
      <c r="A581" s="12" t="inlineStr">
        <is>
          <t>1.3.1</t>
        </is>
      </c>
      <c r="B581" s="12" t="inlineStr">
        <is>
          <t>Systems - Traction Power</t>
        </is>
      </c>
      <c r="C581" s="12" t="inlineStr">
        <is>
          <t>Contractor Programme</t>
        </is>
      </c>
      <c r="D581" s="12" t="inlineStr">
        <is>
          <t>SCH-03-044</t>
        </is>
      </c>
      <c r="E581" s="12" t="inlineStr">
        <is>
          <t>East substation: control-centre integration - installation</t>
        </is>
      </c>
      <c r="F581" s="12" t="inlineStr">
        <is>
          <t>ONE_TO_ONE</t>
        </is>
      </c>
      <c r="G581" s="12" t="inlineStr">
        <is>
          <t>APPROVED</t>
        </is>
      </c>
      <c r="H581" s="12" t="inlineStr">
        <is>
          <t>New</t>
        </is>
      </c>
      <c r="I581" s="12" t="inlineStr">
        <is>
          <t>Source assignment -- not individually reviewed</t>
        </is>
      </c>
      <c r="J581" s="12" t="inlineStr"/>
      <c r="K581" s="12" t="inlineStr">
        <is>
          <t>Source assignment</t>
        </is>
      </c>
      <c r="L581" s="12" t="inlineStr"/>
      <c r="M581" s="12" t="inlineStr">
        <is>
          <t>Initial</t>
        </is>
      </c>
      <c r="N581" s="12" t="inlineStr">
        <is>
          <t>Rev 0</t>
        </is>
      </c>
      <c r="O581" s="12" t="inlineStr">
        <is>
          <t>R404-v1</t>
        </is>
      </c>
      <c r="P581" s="12" t="inlineStr"/>
      <c r="Q581" s="12" t="inlineStr"/>
      <c r="R581" s="12" t="inlineStr"/>
      <c r="S581" s="12" t="inlineStr"/>
      <c r="T581" s="12" t="inlineStr"/>
      <c r="U581" s="12" t="inlineStr"/>
      <c r="V581" s="12" t="inlineStr">
        <is>
          <t>WBS Code = 1.3.1</t>
        </is>
      </c>
      <c r="W581" s="12" t="inlineStr"/>
    </row>
    <row r="582" ht="34" customHeight="1">
      <c r="A582" s="12" t="inlineStr">
        <is>
          <t>1.3.1</t>
        </is>
      </c>
      <c r="B582" s="12" t="inlineStr">
        <is>
          <t>Systems - Traction Power</t>
        </is>
      </c>
      <c r="C582" s="12" t="inlineStr">
        <is>
          <t>Contractor Programme</t>
        </is>
      </c>
      <c r="D582" s="12" t="inlineStr">
        <is>
          <t>SCH-03-046</t>
        </is>
      </c>
      <c r="E582" s="12" t="inlineStr">
        <is>
          <t>Harbour Station: SCADA point-to-point check - turnover</t>
        </is>
      </c>
      <c r="F582" s="12" t="inlineStr">
        <is>
          <t>ONE_TO_ONE</t>
        </is>
      </c>
      <c r="G582" s="12" t="inlineStr">
        <is>
          <t>APPROVED</t>
        </is>
      </c>
      <c r="H582" s="12" t="inlineStr">
        <is>
          <t>New</t>
        </is>
      </c>
      <c r="I582" s="12" t="inlineStr">
        <is>
          <t>Source assignment -- not individually reviewed</t>
        </is>
      </c>
      <c r="J582" s="12" t="inlineStr"/>
      <c r="K582" s="12" t="inlineStr">
        <is>
          <t>Source assignment</t>
        </is>
      </c>
      <c r="L582" s="12" t="inlineStr"/>
      <c r="M582" s="12" t="inlineStr">
        <is>
          <t>Initial</t>
        </is>
      </c>
      <c r="N582" s="12" t="inlineStr">
        <is>
          <t>Rev 0</t>
        </is>
      </c>
      <c r="O582" s="12" t="inlineStr">
        <is>
          <t>R406-v1</t>
        </is>
      </c>
      <c r="P582" s="12" t="inlineStr"/>
      <c r="Q582" s="12" t="inlineStr"/>
      <c r="R582" s="12" t="inlineStr"/>
      <c r="S582" s="12" t="inlineStr"/>
      <c r="T582" s="12" t="inlineStr"/>
      <c r="U582" s="12" t="inlineStr"/>
      <c r="V582" s="12" t="inlineStr">
        <is>
          <t>WBS Code = 1.3.1</t>
        </is>
      </c>
      <c r="W582" s="12" t="inlineStr"/>
    </row>
    <row r="583" ht="34" customHeight="1">
      <c r="A583" s="12" t="inlineStr">
        <is>
          <t>1.3.1</t>
        </is>
      </c>
      <c r="B583" s="12" t="inlineStr">
        <is>
          <t>Systems - Traction Power</t>
        </is>
      </c>
      <c r="C583" s="12" t="inlineStr">
        <is>
          <t>Contractor Programme</t>
        </is>
      </c>
      <c r="D583" s="12" t="inlineStr">
        <is>
          <t>SCH-03-047</t>
        </is>
      </c>
      <c r="E583" s="12" t="inlineStr">
        <is>
          <t>Control Centre: traction-power feeder pull - release</t>
        </is>
      </c>
      <c r="F583" s="12" t="inlineStr">
        <is>
          <t>ONE_TO_ONE</t>
        </is>
      </c>
      <c r="G583" s="12" t="inlineStr">
        <is>
          <t>APPROVED</t>
        </is>
      </c>
      <c r="H583" s="12" t="inlineStr">
        <is>
          <t>New</t>
        </is>
      </c>
      <c r="I583" s="12" t="inlineStr">
        <is>
          <t>Source assignment -- not individually reviewed</t>
        </is>
      </c>
      <c r="J583" s="12" t="inlineStr"/>
      <c r="K583" s="12" t="inlineStr">
        <is>
          <t>Source assignment</t>
        </is>
      </c>
      <c r="L583" s="12" t="inlineStr"/>
      <c r="M583" s="12" t="inlineStr">
        <is>
          <t>Initial</t>
        </is>
      </c>
      <c r="N583" s="12" t="inlineStr">
        <is>
          <t>Rev 0</t>
        </is>
      </c>
      <c r="O583" s="12" t="inlineStr">
        <is>
          <t>R407-v1</t>
        </is>
      </c>
      <c r="P583" s="12" t="inlineStr"/>
      <c r="Q583" s="12" t="inlineStr"/>
      <c r="R583" s="12" t="inlineStr"/>
      <c r="S583" s="12" t="inlineStr"/>
      <c r="T583" s="12" t="inlineStr"/>
      <c r="U583" s="12" t="inlineStr"/>
      <c r="V583" s="12" t="inlineStr">
        <is>
          <t>WBS Code = 1.3.1</t>
        </is>
      </c>
      <c r="W583" s="12" t="inlineStr"/>
    </row>
    <row r="584" ht="34" customHeight="1">
      <c r="A584" s="12" t="inlineStr">
        <is>
          <t>1.3.1</t>
        </is>
      </c>
      <c r="B584" s="12" t="inlineStr">
        <is>
          <t>Systems - Traction Power</t>
        </is>
      </c>
      <c r="C584" s="12" t="inlineStr">
        <is>
          <t>Contractor Programme</t>
        </is>
      </c>
      <c r="D584" s="12" t="inlineStr">
        <is>
          <t>SCH-03-049</t>
        </is>
      </c>
      <c r="E584" s="12" t="inlineStr">
        <is>
          <t>East substation: wayside interface test - installation</t>
        </is>
      </c>
      <c r="F584" s="12" t="inlineStr">
        <is>
          <t>ONE_TO_ONE</t>
        </is>
      </c>
      <c r="G584" s="12" t="inlineStr">
        <is>
          <t>APPROVED</t>
        </is>
      </c>
      <c r="H584" s="12" t="inlineStr">
        <is>
          <t>New</t>
        </is>
      </c>
      <c r="I584" s="12" t="inlineStr">
        <is>
          <t>Source assignment -- not individually reviewed</t>
        </is>
      </c>
      <c r="J584" s="12" t="inlineStr"/>
      <c r="K584" s="12" t="inlineStr">
        <is>
          <t>Source assignment</t>
        </is>
      </c>
      <c r="L584" s="12" t="inlineStr"/>
      <c r="M584" s="12" t="inlineStr">
        <is>
          <t>Initial</t>
        </is>
      </c>
      <c r="N584" s="12" t="inlineStr">
        <is>
          <t>Rev 0</t>
        </is>
      </c>
      <c r="O584" s="12" t="inlineStr">
        <is>
          <t>R409-v1</t>
        </is>
      </c>
      <c r="P584" s="12" t="inlineStr"/>
      <c r="Q584" s="12" t="inlineStr"/>
      <c r="R584" s="12" t="inlineStr"/>
      <c r="S584" s="12" t="inlineStr"/>
      <c r="T584" s="12" t="inlineStr"/>
      <c r="U584" s="12" t="inlineStr"/>
      <c r="V584" s="12" t="inlineStr">
        <is>
          <t>WBS Code = 1.3.1</t>
        </is>
      </c>
      <c r="W584" s="12" t="inlineStr"/>
    </row>
    <row r="585" ht="34" customHeight="1">
      <c r="A585" s="12" t="inlineStr">
        <is>
          <t>1.3.1</t>
        </is>
      </c>
      <c r="B585" s="12" t="inlineStr">
        <is>
          <t>Systems - Traction Power</t>
        </is>
      </c>
      <c r="C585" s="12" t="inlineStr">
        <is>
          <t>Contractor Programme</t>
        </is>
      </c>
      <c r="D585" s="12" t="inlineStr">
        <is>
          <t>SCH-03-050</t>
        </is>
      </c>
      <c r="E585" s="12" t="inlineStr">
        <is>
          <t>Central interlocking: signal equipment installation - inspection</t>
        </is>
      </c>
      <c r="F585" s="12" t="inlineStr">
        <is>
          <t>ONE_TO_ONE</t>
        </is>
      </c>
      <c r="G585" s="12" t="inlineStr">
        <is>
          <t>APPROVED</t>
        </is>
      </c>
      <c r="H585" s="12" t="inlineStr">
        <is>
          <t>New</t>
        </is>
      </c>
      <c r="I585" s="12" t="inlineStr">
        <is>
          <t>Source assignment -- not individually reviewed</t>
        </is>
      </c>
      <c r="J585" s="12" t="inlineStr"/>
      <c r="K585" s="12" t="inlineStr">
        <is>
          <t>Source assignment</t>
        </is>
      </c>
      <c r="L585" s="12" t="inlineStr"/>
      <c r="M585" s="12" t="inlineStr">
        <is>
          <t>Initial</t>
        </is>
      </c>
      <c r="N585" s="12" t="inlineStr">
        <is>
          <t>Rev 0</t>
        </is>
      </c>
      <c r="O585" s="12" t="inlineStr">
        <is>
          <t>R410-v1</t>
        </is>
      </c>
      <c r="P585" s="12" t="inlineStr"/>
      <c r="Q585" s="12" t="inlineStr"/>
      <c r="R585" s="12" t="inlineStr"/>
      <c r="S585" s="12" t="inlineStr"/>
      <c r="T585" s="12" t="inlineStr"/>
      <c r="U585" s="12" t="inlineStr"/>
      <c r="V585" s="12" t="inlineStr">
        <is>
          <t>WBS Code = 1.3.1</t>
        </is>
      </c>
      <c r="W585" s="12" t="inlineStr"/>
    </row>
    <row r="586" ht="34" customHeight="1">
      <c r="A586" s="12" t="inlineStr">
        <is>
          <t>1.3.1</t>
        </is>
      </c>
      <c r="B586" s="12" t="inlineStr">
        <is>
          <t>Systems - Traction Power</t>
        </is>
      </c>
      <c r="C586" s="12" t="inlineStr">
        <is>
          <t>Contractor Programme</t>
        </is>
      </c>
      <c r="D586" s="12" t="inlineStr">
        <is>
          <t>SCH-03-052</t>
        </is>
      </c>
      <c r="E586" s="12" t="inlineStr">
        <is>
          <t>Control Centre: control-centre integration - release</t>
        </is>
      </c>
      <c r="F586" s="12" t="inlineStr">
        <is>
          <t>ONE_TO_ONE</t>
        </is>
      </c>
      <c r="G586" s="12" t="inlineStr">
        <is>
          <t>APPROVED</t>
        </is>
      </c>
      <c r="H586" s="12" t="inlineStr">
        <is>
          <t>New</t>
        </is>
      </c>
      <c r="I586" s="12" t="inlineStr">
        <is>
          <t>Source assignment -- not individually reviewed</t>
        </is>
      </c>
      <c r="J586" s="12" t="inlineStr"/>
      <c r="K586" s="12" t="inlineStr">
        <is>
          <t>Source assignment</t>
        </is>
      </c>
      <c r="L586" s="12" t="inlineStr"/>
      <c r="M586" s="12" t="inlineStr">
        <is>
          <t>Initial</t>
        </is>
      </c>
      <c r="N586" s="12" t="inlineStr">
        <is>
          <t>Rev 0</t>
        </is>
      </c>
      <c r="O586" s="12" t="inlineStr">
        <is>
          <t>R412-v1</t>
        </is>
      </c>
      <c r="P586" s="12" t="inlineStr"/>
      <c r="Q586" s="12" t="inlineStr"/>
      <c r="R586" s="12" t="inlineStr"/>
      <c r="S586" s="12" t="inlineStr"/>
      <c r="T586" s="12" t="inlineStr"/>
      <c r="U586" s="12" t="inlineStr"/>
      <c r="V586" s="12" t="inlineStr">
        <is>
          <t>WBS Code = 1.3.1</t>
        </is>
      </c>
      <c r="W586" s="12" t="inlineStr"/>
    </row>
    <row r="587" ht="34" customHeight="1">
      <c r="A587" s="12" t="inlineStr">
        <is>
          <t>1.3.1</t>
        </is>
      </c>
      <c r="B587" s="12" t="inlineStr">
        <is>
          <t>Systems - Traction Power</t>
        </is>
      </c>
      <c r="C587" s="12" t="inlineStr">
        <is>
          <t>Contractor Programme</t>
        </is>
      </c>
      <c r="D587" s="12" t="inlineStr">
        <is>
          <t>SCH-03-053</t>
        </is>
      </c>
      <c r="E587" s="12" t="inlineStr">
        <is>
          <t>West wayside: fibre backbone termination - field start</t>
        </is>
      </c>
      <c r="F587" s="12" t="inlineStr">
        <is>
          <t>ONE_TO_ONE</t>
        </is>
      </c>
      <c r="G587" s="12" t="inlineStr">
        <is>
          <t>APPROVED</t>
        </is>
      </c>
      <c r="H587" s="12" t="inlineStr">
        <is>
          <t>New</t>
        </is>
      </c>
      <c r="I587" s="12" t="inlineStr">
        <is>
          <t>Source assignment -- not individually reviewed</t>
        </is>
      </c>
      <c r="J587" s="12" t="inlineStr"/>
      <c r="K587" s="12" t="inlineStr">
        <is>
          <t>Source assignment</t>
        </is>
      </c>
      <c r="L587" s="12" t="inlineStr"/>
      <c r="M587" s="12" t="inlineStr">
        <is>
          <t>Initial</t>
        </is>
      </c>
      <c r="N587" s="12" t="inlineStr">
        <is>
          <t>Rev 0</t>
        </is>
      </c>
      <c r="O587" s="12" t="inlineStr">
        <is>
          <t>R413-v1</t>
        </is>
      </c>
      <c r="P587" s="12" t="inlineStr"/>
      <c r="Q587" s="12" t="inlineStr"/>
      <c r="R587" s="12" t="inlineStr"/>
      <c r="S587" s="12" t="inlineStr"/>
      <c r="T587" s="12" t="inlineStr"/>
      <c r="U587" s="12" t="inlineStr"/>
      <c r="V587" s="12" t="inlineStr">
        <is>
          <t>WBS Code = 1.3.1</t>
        </is>
      </c>
      <c r="W587" s="12" t="inlineStr"/>
    </row>
    <row r="588" ht="34" customHeight="1">
      <c r="A588" s="12" t="inlineStr">
        <is>
          <t>1.3.1</t>
        </is>
      </c>
      <c r="B588" s="12" t="inlineStr">
        <is>
          <t>Systems - Traction Power</t>
        </is>
      </c>
      <c r="C588" s="12" t="inlineStr">
        <is>
          <t>Contractor Programme</t>
        </is>
      </c>
      <c r="D588" s="12" t="inlineStr">
        <is>
          <t>SCH-03-055</t>
        </is>
      </c>
      <c r="E588" s="12" t="inlineStr">
        <is>
          <t>Central interlocking: traction-power feeder pull - inspection</t>
        </is>
      </c>
      <c r="F588" s="12" t="inlineStr">
        <is>
          <t>ONE_TO_ONE</t>
        </is>
      </c>
      <c r="G588" s="12" t="inlineStr">
        <is>
          <t>APPROVED</t>
        </is>
      </c>
      <c r="H588" s="12" t="inlineStr">
        <is>
          <t>New</t>
        </is>
      </c>
      <c r="I588" s="12" t="inlineStr">
        <is>
          <t>Source assignment -- not individually reviewed</t>
        </is>
      </c>
      <c r="J588" s="12" t="inlineStr"/>
      <c r="K588" s="12" t="inlineStr">
        <is>
          <t>Source assignment</t>
        </is>
      </c>
      <c r="L588" s="12" t="inlineStr"/>
      <c r="M588" s="12" t="inlineStr">
        <is>
          <t>Initial</t>
        </is>
      </c>
      <c r="N588" s="12" t="inlineStr">
        <is>
          <t>Rev 0</t>
        </is>
      </c>
      <c r="O588" s="12" t="inlineStr">
        <is>
          <t>R415-v1</t>
        </is>
      </c>
      <c r="P588" s="12" t="inlineStr"/>
      <c r="Q588" s="12" t="inlineStr"/>
      <c r="R588" s="12" t="inlineStr"/>
      <c r="S588" s="12" t="inlineStr"/>
      <c r="T588" s="12" t="inlineStr"/>
      <c r="U588" s="12" t="inlineStr"/>
      <c r="V588" s="12" t="inlineStr">
        <is>
          <t>WBS Code = 1.3.1</t>
        </is>
      </c>
      <c r="W588" s="12" t="inlineStr"/>
    </row>
    <row r="589" ht="34" customHeight="1">
      <c r="A589" s="12" t="inlineStr">
        <is>
          <t>1.3.1</t>
        </is>
      </c>
      <c r="B589" s="12" t="inlineStr">
        <is>
          <t>Systems - Traction Power</t>
        </is>
      </c>
      <c r="C589" s="12" t="inlineStr">
        <is>
          <t>Contractor Programme</t>
        </is>
      </c>
      <c r="D589" s="12" t="inlineStr">
        <is>
          <t>SCH-03-056</t>
        </is>
      </c>
      <c r="E589" s="12" t="inlineStr">
        <is>
          <t>Harbour Station: train-control cabinet fit-out - turnover</t>
        </is>
      </c>
      <c r="F589" s="12" t="inlineStr">
        <is>
          <t>ONE_TO_ONE</t>
        </is>
      </c>
      <c r="G589" s="12" t="inlineStr">
        <is>
          <t>APPROVED</t>
        </is>
      </c>
      <c r="H589" s="12" t="inlineStr">
        <is>
          <t>New</t>
        </is>
      </c>
      <c r="I589" s="12" t="inlineStr">
        <is>
          <t>Source assignment -- not individually reviewed</t>
        </is>
      </c>
      <c r="J589" s="12" t="inlineStr"/>
      <c r="K589" s="12" t="inlineStr">
        <is>
          <t>Source assignment</t>
        </is>
      </c>
      <c r="L589" s="12" t="inlineStr"/>
      <c r="M589" s="12" t="inlineStr">
        <is>
          <t>Initial</t>
        </is>
      </c>
      <c r="N589" s="12" t="inlineStr">
        <is>
          <t>Rev 0</t>
        </is>
      </c>
      <c r="O589" s="12" t="inlineStr">
        <is>
          <t>R416-v1</t>
        </is>
      </c>
      <c r="P589" s="12" t="inlineStr"/>
      <c r="Q589" s="12" t="inlineStr"/>
      <c r="R589" s="12" t="inlineStr"/>
      <c r="S589" s="12" t="inlineStr"/>
      <c r="T589" s="12" t="inlineStr"/>
      <c r="U589" s="12" t="inlineStr"/>
      <c r="V589" s="12" t="inlineStr">
        <is>
          <t>WBS Code = 1.3.1</t>
        </is>
      </c>
      <c r="W589" s="12" t="inlineStr"/>
    </row>
    <row r="590" ht="34" customHeight="1">
      <c r="A590" s="12" t="inlineStr">
        <is>
          <t>1.3.1</t>
        </is>
      </c>
      <c r="B590" s="12" t="inlineStr">
        <is>
          <t>Systems - Traction Power</t>
        </is>
      </c>
      <c r="C590" s="12" t="inlineStr">
        <is>
          <t>Contractor Programme</t>
        </is>
      </c>
      <c r="D590" s="12" t="inlineStr">
        <is>
          <t>SCH-03-058</t>
        </is>
      </c>
      <c r="E590" s="12" t="inlineStr">
        <is>
          <t>West wayside: signal equipment installation - field start</t>
        </is>
      </c>
      <c r="F590" s="12" t="inlineStr">
        <is>
          <t>ONE_TO_ONE</t>
        </is>
      </c>
      <c r="G590" s="12" t="inlineStr">
        <is>
          <t>APPROVED</t>
        </is>
      </c>
      <c r="H590" s="12" t="inlineStr">
        <is>
          <t>New</t>
        </is>
      </c>
      <c r="I590" s="12" t="inlineStr">
        <is>
          <t>Source assignment -- not individually reviewed</t>
        </is>
      </c>
      <c r="J590" s="12" t="inlineStr"/>
      <c r="K590" s="12" t="inlineStr">
        <is>
          <t>Source assignment</t>
        </is>
      </c>
      <c r="L590" s="12" t="inlineStr"/>
      <c r="M590" s="12" t="inlineStr">
        <is>
          <t>Initial</t>
        </is>
      </c>
      <c r="N590" s="12" t="inlineStr">
        <is>
          <t>Rev 0</t>
        </is>
      </c>
      <c r="O590" s="12" t="inlineStr">
        <is>
          <t>R418-v1</t>
        </is>
      </c>
      <c r="P590" s="12" t="inlineStr"/>
      <c r="Q590" s="12" t="inlineStr"/>
      <c r="R590" s="12" t="inlineStr"/>
      <c r="S590" s="12" t="inlineStr"/>
      <c r="T590" s="12" t="inlineStr"/>
      <c r="U590" s="12" t="inlineStr"/>
      <c r="V590" s="12" t="inlineStr">
        <is>
          <t>WBS Code = 1.3.1</t>
        </is>
      </c>
      <c r="W590" s="12" t="inlineStr"/>
    </row>
    <row r="591" ht="34" customHeight="1">
      <c r="A591" s="12" t="inlineStr">
        <is>
          <t>1.3.1</t>
        </is>
      </c>
      <c r="B591" s="12" t="inlineStr">
        <is>
          <t>Systems - Traction Power</t>
        </is>
      </c>
      <c r="C591" s="12" t="inlineStr">
        <is>
          <t>Contractor Programme</t>
        </is>
      </c>
      <c r="D591" s="12" t="inlineStr">
        <is>
          <t>SCH-03-059</t>
        </is>
      </c>
      <c r="E591" s="12" t="inlineStr">
        <is>
          <t>East substation: radio equipment installation - installation</t>
        </is>
      </c>
      <c r="F591" s="12" t="inlineStr">
        <is>
          <t>ONE_TO_ONE</t>
        </is>
      </c>
      <c r="G591" s="12" t="inlineStr">
        <is>
          <t>APPROVED</t>
        </is>
      </c>
      <c r="H591" s="12" t="inlineStr">
        <is>
          <t>New</t>
        </is>
      </c>
      <c r="I591" s="12" t="inlineStr">
        <is>
          <t>Source assignment -- not individually reviewed</t>
        </is>
      </c>
      <c r="J591" s="12" t="inlineStr"/>
      <c r="K591" s="12" t="inlineStr">
        <is>
          <t>Source assignment</t>
        </is>
      </c>
      <c r="L591" s="12" t="inlineStr"/>
      <c r="M591" s="12" t="inlineStr">
        <is>
          <t>Initial</t>
        </is>
      </c>
      <c r="N591" s="12" t="inlineStr">
        <is>
          <t>Rev 0</t>
        </is>
      </c>
      <c r="O591" s="12" t="inlineStr">
        <is>
          <t>R419-v1</t>
        </is>
      </c>
      <c r="P591" s="12" t="inlineStr"/>
      <c r="Q591" s="12" t="inlineStr"/>
      <c r="R591" s="12" t="inlineStr"/>
      <c r="S591" s="12" t="inlineStr"/>
      <c r="T591" s="12" t="inlineStr"/>
      <c r="U591" s="12" t="inlineStr"/>
      <c r="V591" s="12" t="inlineStr">
        <is>
          <t>WBS Code = 1.3.1</t>
        </is>
      </c>
      <c r="W591" s="12" t="inlineStr"/>
    </row>
    <row r="592" ht="34" customHeight="1">
      <c r="A592" s="12" t="inlineStr">
        <is>
          <t>1.3.1</t>
        </is>
      </c>
      <c r="B592" s="12" t="inlineStr">
        <is>
          <t>Systems - Traction Power</t>
        </is>
      </c>
      <c r="C592" s="12" t="inlineStr">
        <is>
          <t>Contractor Programme</t>
        </is>
      </c>
      <c r="D592" s="12" t="inlineStr">
        <is>
          <t>SCH-03-061</t>
        </is>
      </c>
      <c r="E592" s="12" t="inlineStr">
        <is>
          <t>Harbour Station: fibre backbone termination - turnover</t>
        </is>
      </c>
      <c r="F592" s="12" t="inlineStr">
        <is>
          <t>ONE_TO_ONE</t>
        </is>
      </c>
      <c r="G592" s="12" t="inlineStr">
        <is>
          <t>APPROVED</t>
        </is>
      </c>
      <c r="H592" s="12" t="inlineStr">
        <is>
          <t>New</t>
        </is>
      </c>
      <c r="I592" s="12" t="inlineStr">
        <is>
          <t>Source assignment -- not individually reviewed</t>
        </is>
      </c>
      <c r="J592" s="12" t="inlineStr"/>
      <c r="K592" s="12" t="inlineStr">
        <is>
          <t>Source assignment</t>
        </is>
      </c>
      <c r="L592" s="12" t="inlineStr"/>
      <c r="M592" s="12" t="inlineStr">
        <is>
          <t>Initial</t>
        </is>
      </c>
      <c r="N592" s="12" t="inlineStr">
        <is>
          <t>Rev 0</t>
        </is>
      </c>
      <c r="O592" s="12" t="inlineStr">
        <is>
          <t>R421-v1</t>
        </is>
      </c>
      <c r="P592" s="12" t="inlineStr"/>
      <c r="Q592" s="12" t="inlineStr"/>
      <c r="R592" s="12" t="inlineStr"/>
      <c r="S592" s="12" t="inlineStr"/>
      <c r="T592" s="12" t="inlineStr"/>
      <c r="U592" s="12" t="inlineStr"/>
      <c r="V592" s="12" t="inlineStr">
        <is>
          <t>WBS Code = 1.3.1</t>
        </is>
      </c>
      <c r="W592" s="12" t="inlineStr"/>
    </row>
    <row r="593" ht="34" customHeight="1">
      <c r="A593" s="12" t="inlineStr">
        <is>
          <t>1.3.1</t>
        </is>
      </c>
      <c r="B593" s="12" t="inlineStr">
        <is>
          <t>Systems - Traction Power</t>
        </is>
      </c>
      <c r="C593" s="12" t="inlineStr">
        <is>
          <t>Contractor Programme</t>
        </is>
      </c>
      <c r="D593" s="12" t="inlineStr">
        <is>
          <t>SCH-03-062</t>
        </is>
      </c>
      <c r="E593" s="12" t="inlineStr">
        <is>
          <t>Control Centre: SCADA point-to-point check - release</t>
        </is>
      </c>
      <c r="F593" s="12" t="inlineStr">
        <is>
          <t>ONE_TO_ONE</t>
        </is>
      </c>
      <c r="G593" s="12" t="inlineStr">
        <is>
          <t>APPROVED</t>
        </is>
      </c>
      <c r="H593" s="12" t="inlineStr">
        <is>
          <t>New</t>
        </is>
      </c>
      <c r="I593" s="12" t="inlineStr">
        <is>
          <t>Source assignment -- not individually reviewed</t>
        </is>
      </c>
      <c r="J593" s="12" t="inlineStr"/>
      <c r="K593" s="12" t="inlineStr">
        <is>
          <t>Source assignment</t>
        </is>
      </c>
      <c r="L593" s="12" t="inlineStr"/>
      <c r="M593" s="12" t="inlineStr">
        <is>
          <t>Initial</t>
        </is>
      </c>
      <c r="N593" s="12" t="inlineStr">
        <is>
          <t>Rev 0</t>
        </is>
      </c>
      <c r="O593" s="12" t="inlineStr">
        <is>
          <t>R422-v1</t>
        </is>
      </c>
      <c r="P593" s="12" t="inlineStr"/>
      <c r="Q593" s="12" t="inlineStr"/>
      <c r="R593" s="12" t="inlineStr"/>
      <c r="S593" s="12" t="inlineStr"/>
      <c r="T593" s="12" t="inlineStr"/>
      <c r="U593" s="12" t="inlineStr"/>
      <c r="V593" s="12" t="inlineStr">
        <is>
          <t>WBS Code = 1.3.1</t>
        </is>
      </c>
      <c r="W593" s="12" t="inlineStr"/>
    </row>
    <row r="594" ht="34" customHeight="1">
      <c r="A594" s="12" t="inlineStr">
        <is>
          <t>1.3.1</t>
        </is>
      </c>
      <c r="B594" s="12" t="inlineStr">
        <is>
          <t>Systems - Traction Power</t>
        </is>
      </c>
      <c r="C594" s="12" t="inlineStr">
        <is>
          <t>Contractor Programme</t>
        </is>
      </c>
      <c r="D594" s="12" t="inlineStr">
        <is>
          <t>SCH-03-064</t>
        </is>
      </c>
      <c r="E594" s="12" t="inlineStr">
        <is>
          <t>East substation: train-control cabinet fit-out - installation</t>
        </is>
      </c>
      <c r="F594" s="12" t="inlineStr">
        <is>
          <t>ONE_TO_ONE</t>
        </is>
      </c>
      <c r="G594" s="12" t="inlineStr">
        <is>
          <t>APPROVED</t>
        </is>
      </c>
      <c r="H594" s="12" t="inlineStr">
        <is>
          <t>New</t>
        </is>
      </c>
      <c r="I594" s="12" t="inlineStr">
        <is>
          <t>Source assignment -- not individually reviewed</t>
        </is>
      </c>
      <c r="J594" s="12" t="inlineStr"/>
      <c r="K594" s="12" t="inlineStr">
        <is>
          <t>Source assignment</t>
        </is>
      </c>
      <c r="L594" s="12" t="inlineStr"/>
      <c r="M594" s="12" t="inlineStr">
        <is>
          <t>Initial</t>
        </is>
      </c>
      <c r="N594" s="12" t="inlineStr">
        <is>
          <t>Rev 0</t>
        </is>
      </c>
      <c r="O594" s="12" t="inlineStr">
        <is>
          <t>R424-v1</t>
        </is>
      </c>
      <c r="P594" s="12" t="inlineStr"/>
      <c r="Q594" s="12" t="inlineStr"/>
      <c r="R594" s="12" t="inlineStr"/>
      <c r="S594" s="12" t="inlineStr"/>
      <c r="T594" s="12" t="inlineStr"/>
      <c r="U594" s="12" t="inlineStr"/>
      <c r="V594" s="12" t="inlineStr">
        <is>
          <t>WBS Code = 1.3.1</t>
        </is>
      </c>
      <c r="W594" s="12" t="inlineStr"/>
    </row>
    <row r="595" ht="34" customHeight="1">
      <c r="A595" s="12" t="inlineStr">
        <is>
          <t>1.3.1</t>
        </is>
      </c>
      <c r="B595" s="12" t="inlineStr">
        <is>
          <t>Systems - Traction Power</t>
        </is>
      </c>
      <c r="C595" s="12" t="inlineStr">
        <is>
          <t>Contractor Programme</t>
        </is>
      </c>
      <c r="D595" s="12" t="inlineStr">
        <is>
          <t>SCH-03-065</t>
        </is>
      </c>
      <c r="E595" s="12" t="inlineStr">
        <is>
          <t>Central interlocking: wayside interface test - inspection</t>
        </is>
      </c>
      <c r="F595" s="12" t="inlineStr">
        <is>
          <t>ONE_TO_ONE</t>
        </is>
      </c>
      <c r="G595" s="12" t="inlineStr">
        <is>
          <t>APPROVED</t>
        </is>
      </c>
      <c r="H595" s="12" t="inlineStr">
        <is>
          <t>New</t>
        </is>
      </c>
      <c r="I595" s="12" t="inlineStr">
        <is>
          <t>Source assignment -- not individually reviewed</t>
        </is>
      </c>
      <c r="J595" s="12" t="inlineStr"/>
      <c r="K595" s="12" t="inlineStr">
        <is>
          <t>Source assignment</t>
        </is>
      </c>
      <c r="L595" s="12" t="inlineStr"/>
      <c r="M595" s="12" t="inlineStr">
        <is>
          <t>Initial</t>
        </is>
      </c>
      <c r="N595" s="12" t="inlineStr">
        <is>
          <t>Rev 0</t>
        </is>
      </c>
      <c r="O595" s="12" t="inlineStr">
        <is>
          <t>R425-v1</t>
        </is>
      </c>
      <c r="P595" s="12" t="inlineStr"/>
      <c r="Q595" s="12" t="inlineStr"/>
      <c r="R595" s="12" t="inlineStr"/>
      <c r="S595" s="12" t="inlineStr"/>
      <c r="T595" s="12" t="inlineStr"/>
      <c r="U595" s="12" t="inlineStr"/>
      <c r="V595" s="12" t="inlineStr">
        <is>
          <t>WBS Code = 1.3.1</t>
        </is>
      </c>
      <c r="W595" s="12" t="inlineStr"/>
    </row>
    <row r="596" ht="34" customHeight="1">
      <c r="A596" s="12" t="inlineStr">
        <is>
          <t>1.3.1</t>
        </is>
      </c>
      <c r="B596" s="12" t="inlineStr">
        <is>
          <t>Systems - Traction Power</t>
        </is>
      </c>
      <c r="C596" s="12" t="inlineStr">
        <is>
          <t>Contractor Programme</t>
        </is>
      </c>
      <c r="D596" s="12" t="inlineStr">
        <is>
          <t>SCH-03-067</t>
        </is>
      </c>
      <c r="E596" s="12" t="inlineStr">
        <is>
          <t>Control Centre: radio equipment installation - release</t>
        </is>
      </c>
      <c r="F596" s="12" t="inlineStr">
        <is>
          <t>ONE_TO_ONE</t>
        </is>
      </c>
      <c r="G596" s="12" t="inlineStr">
        <is>
          <t>APPROVED</t>
        </is>
      </c>
      <c r="H596" s="12" t="inlineStr">
        <is>
          <t>New</t>
        </is>
      </c>
      <c r="I596" s="12" t="inlineStr">
        <is>
          <t>Source assignment -- not individually reviewed</t>
        </is>
      </c>
      <c r="J596" s="12" t="inlineStr"/>
      <c r="K596" s="12" t="inlineStr">
        <is>
          <t>Source assignment</t>
        </is>
      </c>
      <c r="L596" s="12" t="inlineStr"/>
      <c r="M596" s="12" t="inlineStr">
        <is>
          <t>Initial</t>
        </is>
      </c>
      <c r="N596" s="12" t="inlineStr">
        <is>
          <t>Rev 0</t>
        </is>
      </c>
      <c r="O596" s="12" t="inlineStr">
        <is>
          <t>R427-v1</t>
        </is>
      </c>
      <c r="P596" s="12" t="inlineStr"/>
      <c r="Q596" s="12" t="inlineStr"/>
      <c r="R596" s="12" t="inlineStr"/>
      <c r="S596" s="12" t="inlineStr"/>
      <c r="T596" s="12" t="inlineStr"/>
      <c r="U596" s="12" t="inlineStr"/>
      <c r="V596" s="12" t="inlineStr">
        <is>
          <t>WBS Code = 1.3.1</t>
        </is>
      </c>
      <c r="W596" s="12" t="inlineStr"/>
    </row>
    <row r="597" ht="34" customHeight="1">
      <c r="A597" s="12" t="inlineStr">
        <is>
          <t>1.3.1</t>
        </is>
      </c>
      <c r="B597" s="12" t="inlineStr">
        <is>
          <t>Systems - Traction Power</t>
        </is>
      </c>
      <c r="C597" s="12" t="inlineStr">
        <is>
          <t>Contractor Programme</t>
        </is>
      </c>
      <c r="D597" s="12" t="inlineStr">
        <is>
          <t>SCH-03-068</t>
        </is>
      </c>
      <c r="E597" s="12" t="inlineStr">
        <is>
          <t>West wayside: control-centre integration - field start</t>
        </is>
      </c>
      <c r="F597" s="12" t="inlineStr">
        <is>
          <t>ONE_TO_ONE</t>
        </is>
      </c>
      <c r="G597" s="12" t="inlineStr">
        <is>
          <t>APPROVED</t>
        </is>
      </c>
      <c r="H597" s="12" t="inlineStr">
        <is>
          <t>New</t>
        </is>
      </c>
      <c r="I597" s="12" t="inlineStr">
        <is>
          <t>Source assignment -- not individually reviewed</t>
        </is>
      </c>
      <c r="J597" s="12" t="inlineStr"/>
      <c r="K597" s="12" t="inlineStr">
        <is>
          <t>Source assignment</t>
        </is>
      </c>
      <c r="L597" s="12" t="inlineStr"/>
      <c r="M597" s="12" t="inlineStr">
        <is>
          <t>Initial</t>
        </is>
      </c>
      <c r="N597" s="12" t="inlineStr">
        <is>
          <t>Rev 0</t>
        </is>
      </c>
      <c r="O597" s="12" t="inlineStr">
        <is>
          <t>R428-v1</t>
        </is>
      </c>
      <c r="P597" s="12" t="inlineStr"/>
      <c r="Q597" s="12" t="inlineStr"/>
      <c r="R597" s="12" t="inlineStr"/>
      <c r="S597" s="12" t="inlineStr"/>
      <c r="T597" s="12" t="inlineStr"/>
      <c r="U597" s="12" t="inlineStr"/>
      <c r="V597" s="12" t="inlineStr">
        <is>
          <t>WBS Code = 1.3.1</t>
        </is>
      </c>
      <c r="W597" s="12" t="inlineStr"/>
    </row>
    <row r="598" ht="34" customHeight="1">
      <c r="A598" s="12" t="inlineStr">
        <is>
          <t>1.3.1</t>
        </is>
      </c>
      <c r="B598" s="12" t="inlineStr">
        <is>
          <t>Systems - Traction Power</t>
        </is>
      </c>
      <c r="C598" s="12" t="inlineStr">
        <is>
          <t>Contractor Programme</t>
        </is>
      </c>
      <c r="D598" s="12" t="inlineStr">
        <is>
          <t>SCH-03-070</t>
        </is>
      </c>
      <c r="E598" s="12" t="inlineStr">
        <is>
          <t>Central interlocking: SCADA point-to-point check - inspection</t>
        </is>
      </c>
      <c r="F598" s="12" t="inlineStr">
        <is>
          <t>ONE_TO_ONE</t>
        </is>
      </c>
      <c r="G598" s="12" t="inlineStr">
        <is>
          <t>APPROVED</t>
        </is>
      </c>
      <c r="H598" s="12" t="inlineStr">
        <is>
          <t>New</t>
        </is>
      </c>
      <c r="I598" s="12" t="inlineStr">
        <is>
          <t>Source assignment -- not individually reviewed</t>
        </is>
      </c>
      <c r="J598" s="12" t="inlineStr"/>
      <c r="K598" s="12" t="inlineStr">
        <is>
          <t>Source assignment</t>
        </is>
      </c>
      <c r="L598" s="12" t="inlineStr"/>
      <c r="M598" s="12" t="inlineStr">
        <is>
          <t>Initial</t>
        </is>
      </c>
      <c r="N598" s="12" t="inlineStr">
        <is>
          <t>Rev 0</t>
        </is>
      </c>
      <c r="O598" s="12" t="inlineStr">
        <is>
          <t>R430-v1</t>
        </is>
      </c>
      <c r="P598" s="12" t="inlineStr"/>
      <c r="Q598" s="12" t="inlineStr"/>
      <c r="R598" s="12" t="inlineStr"/>
      <c r="S598" s="12" t="inlineStr"/>
      <c r="T598" s="12" t="inlineStr"/>
      <c r="U598" s="12" t="inlineStr"/>
      <c r="V598" s="12" t="inlineStr">
        <is>
          <t>WBS Code = 1.3.1</t>
        </is>
      </c>
      <c r="W598" s="12" t="inlineStr"/>
    </row>
    <row r="599" ht="34" customHeight="1">
      <c r="A599" s="12" t="inlineStr">
        <is>
          <t>1.3.1</t>
        </is>
      </c>
      <c r="B599" s="12" t="inlineStr">
        <is>
          <t>Systems - Traction Power</t>
        </is>
      </c>
      <c r="C599" s="12" t="inlineStr">
        <is>
          <t>Contractor Programme</t>
        </is>
      </c>
      <c r="D599" s="12" t="inlineStr">
        <is>
          <t>SCH-03-071</t>
        </is>
      </c>
      <c r="E599" s="12" t="inlineStr">
        <is>
          <t>Harbour Station: traction-power feeder pull - turnover</t>
        </is>
      </c>
      <c r="F599" s="12" t="inlineStr">
        <is>
          <t>ONE_TO_ONE</t>
        </is>
      </c>
      <c r="G599" s="12" t="inlineStr">
        <is>
          <t>APPROVED</t>
        </is>
      </c>
      <c r="H599" s="12" t="inlineStr">
        <is>
          <t>New</t>
        </is>
      </c>
      <c r="I599" s="12" t="inlineStr">
        <is>
          <t>Source assignment -- not individually reviewed</t>
        </is>
      </c>
      <c r="J599" s="12" t="inlineStr"/>
      <c r="K599" s="12" t="inlineStr">
        <is>
          <t>Source assignment</t>
        </is>
      </c>
      <c r="L599" s="12" t="inlineStr"/>
      <c r="M599" s="12" t="inlineStr">
        <is>
          <t>Initial</t>
        </is>
      </c>
      <c r="N599" s="12" t="inlineStr">
        <is>
          <t>Rev 0</t>
        </is>
      </c>
      <c r="O599" s="12" t="inlineStr">
        <is>
          <t>R431-v1</t>
        </is>
      </c>
      <c r="P599" s="12" t="inlineStr"/>
      <c r="Q599" s="12" t="inlineStr"/>
      <c r="R599" s="12" t="inlineStr"/>
      <c r="S599" s="12" t="inlineStr"/>
      <c r="T599" s="12" t="inlineStr"/>
      <c r="U599" s="12" t="inlineStr"/>
      <c r="V599" s="12" t="inlineStr">
        <is>
          <t>WBS Code = 1.3.1</t>
        </is>
      </c>
      <c r="W599" s="12" t="inlineStr"/>
    </row>
    <row r="600" ht="34" customHeight="1">
      <c r="A600" s="12" t="inlineStr">
        <is>
          <t>1.3.1</t>
        </is>
      </c>
      <c r="B600" s="12" t="inlineStr">
        <is>
          <t>Systems - Traction Power</t>
        </is>
      </c>
      <c r="C600" s="12" t="inlineStr">
        <is>
          <t>Contractor Programme</t>
        </is>
      </c>
      <c r="D600" s="12" t="inlineStr">
        <is>
          <t>SCH-03-073</t>
        </is>
      </c>
      <c r="E600" s="12" t="inlineStr">
        <is>
          <t>West wayside: wayside interface test - field start</t>
        </is>
      </c>
      <c r="F600" s="12" t="inlineStr">
        <is>
          <t>ONE_TO_ONE</t>
        </is>
      </c>
      <c r="G600" s="12" t="inlineStr">
        <is>
          <t>APPROVED</t>
        </is>
      </c>
      <c r="H600" s="12" t="inlineStr">
        <is>
          <t>New</t>
        </is>
      </c>
      <c r="I600" s="12" t="inlineStr">
        <is>
          <t>Source assignment -- not individually reviewed</t>
        </is>
      </c>
      <c r="J600" s="12" t="inlineStr"/>
      <c r="K600" s="12" t="inlineStr">
        <is>
          <t>Source assignment</t>
        </is>
      </c>
      <c r="L600" s="12" t="inlineStr"/>
      <c r="M600" s="12" t="inlineStr">
        <is>
          <t>Initial</t>
        </is>
      </c>
      <c r="N600" s="12" t="inlineStr">
        <is>
          <t>Rev 0</t>
        </is>
      </c>
      <c r="O600" s="12" t="inlineStr">
        <is>
          <t>R433-v1</t>
        </is>
      </c>
      <c r="P600" s="12" t="inlineStr"/>
      <c r="Q600" s="12" t="inlineStr"/>
      <c r="R600" s="12" t="inlineStr"/>
      <c r="S600" s="12" t="inlineStr"/>
      <c r="T600" s="12" t="inlineStr"/>
      <c r="U600" s="12" t="inlineStr"/>
      <c r="V600" s="12" t="inlineStr">
        <is>
          <t>WBS Code = 1.3.1</t>
        </is>
      </c>
      <c r="W600" s="12" t="inlineStr"/>
    </row>
    <row r="601" ht="34" customHeight="1">
      <c r="A601" s="12" t="inlineStr">
        <is>
          <t>1.3.1</t>
        </is>
      </c>
      <c r="B601" s="12" t="inlineStr">
        <is>
          <t>Systems - Traction Power</t>
        </is>
      </c>
      <c r="C601" s="12" t="inlineStr">
        <is>
          <t>Contractor Programme</t>
        </is>
      </c>
      <c r="D601" s="12" t="inlineStr">
        <is>
          <t>SCH-03-074</t>
        </is>
      </c>
      <c r="E601" s="12" t="inlineStr">
        <is>
          <t>East substation: signal equipment installation - installation</t>
        </is>
      </c>
      <c r="F601" s="12" t="inlineStr">
        <is>
          <t>ONE_TO_ONE</t>
        </is>
      </c>
      <c r="G601" s="12" t="inlineStr">
        <is>
          <t>APPROVED</t>
        </is>
      </c>
      <c r="H601" s="12" t="inlineStr">
        <is>
          <t>New</t>
        </is>
      </c>
      <c r="I601" s="12" t="inlineStr">
        <is>
          <t>Source assignment -- not individually reviewed</t>
        </is>
      </c>
      <c r="J601" s="12" t="inlineStr"/>
      <c r="K601" s="12" t="inlineStr">
        <is>
          <t>Source assignment</t>
        </is>
      </c>
      <c r="L601" s="12" t="inlineStr"/>
      <c r="M601" s="12" t="inlineStr">
        <is>
          <t>Initial</t>
        </is>
      </c>
      <c r="N601" s="12" t="inlineStr">
        <is>
          <t>Rev 0</t>
        </is>
      </c>
      <c r="O601" s="12" t="inlineStr">
        <is>
          <t>R434-v1</t>
        </is>
      </c>
      <c r="P601" s="12" t="inlineStr"/>
      <c r="Q601" s="12" t="inlineStr"/>
      <c r="R601" s="12" t="inlineStr"/>
      <c r="S601" s="12" t="inlineStr"/>
      <c r="T601" s="12" t="inlineStr"/>
      <c r="U601" s="12" t="inlineStr"/>
      <c r="V601" s="12" t="inlineStr">
        <is>
          <t>WBS Code = 1.3.1</t>
        </is>
      </c>
      <c r="W601" s="12" t="inlineStr"/>
    </row>
    <row r="602" ht="34" customHeight="1">
      <c r="A602" s="12" t="inlineStr">
        <is>
          <t>1.3.1</t>
        </is>
      </c>
      <c r="B602" s="12" t="inlineStr">
        <is>
          <t>Systems - Traction Power</t>
        </is>
      </c>
      <c r="C602" s="12" t="inlineStr">
        <is>
          <t>Contractor Programme</t>
        </is>
      </c>
      <c r="D602" s="12" t="inlineStr">
        <is>
          <t>SCH-03-076</t>
        </is>
      </c>
      <c r="E602" s="12" t="inlineStr">
        <is>
          <t>Harbour Station: control-centre integration - turnover</t>
        </is>
      </c>
      <c r="F602" s="12" t="inlineStr">
        <is>
          <t>ONE_TO_ONE</t>
        </is>
      </c>
      <c r="G602" s="12" t="inlineStr">
        <is>
          <t>APPROVED</t>
        </is>
      </c>
      <c r="H602" s="12" t="inlineStr">
        <is>
          <t>New</t>
        </is>
      </c>
      <c r="I602" s="12" t="inlineStr">
        <is>
          <t>Source assignment -- not individually reviewed</t>
        </is>
      </c>
      <c r="J602" s="12" t="inlineStr"/>
      <c r="K602" s="12" t="inlineStr">
        <is>
          <t>Source assignment</t>
        </is>
      </c>
      <c r="L602" s="12" t="inlineStr"/>
      <c r="M602" s="12" t="inlineStr">
        <is>
          <t>Initial</t>
        </is>
      </c>
      <c r="N602" s="12" t="inlineStr">
        <is>
          <t>Rev 0</t>
        </is>
      </c>
      <c r="O602" s="12" t="inlineStr">
        <is>
          <t>R436-v1</t>
        </is>
      </c>
      <c r="P602" s="12" t="inlineStr"/>
      <c r="Q602" s="12" t="inlineStr"/>
      <c r="R602" s="12" t="inlineStr"/>
      <c r="S602" s="12" t="inlineStr"/>
      <c r="T602" s="12" t="inlineStr"/>
      <c r="U602" s="12" t="inlineStr"/>
      <c r="V602" s="12" t="inlineStr">
        <is>
          <t>WBS Code = 1.3.1</t>
        </is>
      </c>
      <c r="W602" s="12" t="inlineStr"/>
    </row>
    <row r="603" ht="34" customHeight="1">
      <c r="A603" s="12" t="inlineStr">
        <is>
          <t>1.3.1</t>
        </is>
      </c>
      <c r="B603" s="12" t="inlineStr">
        <is>
          <t>Systems - Traction Power</t>
        </is>
      </c>
      <c r="C603" s="12" t="inlineStr">
        <is>
          <t>Contractor Programme</t>
        </is>
      </c>
      <c r="D603" s="12" t="inlineStr">
        <is>
          <t>SCH-03-077</t>
        </is>
      </c>
      <c r="E603" s="12" t="inlineStr">
        <is>
          <t>Control Centre: fibre backbone termination - release</t>
        </is>
      </c>
      <c r="F603" s="12" t="inlineStr">
        <is>
          <t>ONE_TO_ONE</t>
        </is>
      </c>
      <c r="G603" s="12" t="inlineStr">
        <is>
          <t>APPROVED</t>
        </is>
      </c>
      <c r="H603" s="12" t="inlineStr">
        <is>
          <t>New</t>
        </is>
      </c>
      <c r="I603" s="12" t="inlineStr">
        <is>
          <t>Source assignment -- not individually reviewed</t>
        </is>
      </c>
      <c r="J603" s="12" t="inlineStr"/>
      <c r="K603" s="12" t="inlineStr">
        <is>
          <t>Source assignment</t>
        </is>
      </c>
      <c r="L603" s="12" t="inlineStr"/>
      <c r="M603" s="12" t="inlineStr">
        <is>
          <t>Initial</t>
        </is>
      </c>
      <c r="N603" s="12" t="inlineStr">
        <is>
          <t>Rev 0</t>
        </is>
      </c>
      <c r="O603" s="12" t="inlineStr">
        <is>
          <t>R437-v1</t>
        </is>
      </c>
      <c r="P603" s="12" t="inlineStr"/>
      <c r="Q603" s="12" t="inlineStr"/>
      <c r="R603" s="12" t="inlineStr"/>
      <c r="S603" s="12" t="inlineStr"/>
      <c r="T603" s="12" t="inlineStr"/>
      <c r="U603" s="12" t="inlineStr"/>
      <c r="V603" s="12" t="inlineStr">
        <is>
          <t>WBS Code = 1.3.1</t>
        </is>
      </c>
      <c r="W603" s="12" t="inlineStr"/>
    </row>
    <row r="604" ht="34" customHeight="1">
      <c r="A604" s="12" t="inlineStr">
        <is>
          <t>1.3.1</t>
        </is>
      </c>
      <c r="B604" s="12" t="inlineStr">
        <is>
          <t>Systems - Traction Power</t>
        </is>
      </c>
      <c r="C604" s="12" t="inlineStr">
        <is>
          <t>Contractor Programme</t>
        </is>
      </c>
      <c r="D604" s="12" t="inlineStr">
        <is>
          <t>SCH-03-079</t>
        </is>
      </c>
      <c r="E604" s="12" t="inlineStr">
        <is>
          <t>East substation: traction-power feeder pull - installation</t>
        </is>
      </c>
      <c r="F604" s="12" t="inlineStr">
        <is>
          <t>ONE_TO_ONE</t>
        </is>
      </c>
      <c r="G604" s="12" t="inlineStr">
        <is>
          <t>APPROVED</t>
        </is>
      </c>
      <c r="H604" s="12" t="inlineStr">
        <is>
          <t>New</t>
        </is>
      </c>
      <c r="I604" s="12" t="inlineStr">
        <is>
          <t>Source assignment -- not individually reviewed</t>
        </is>
      </c>
      <c r="J604" s="12" t="inlineStr"/>
      <c r="K604" s="12" t="inlineStr">
        <is>
          <t>Source assignment</t>
        </is>
      </c>
      <c r="L604" s="12" t="inlineStr"/>
      <c r="M604" s="12" t="inlineStr">
        <is>
          <t>Initial</t>
        </is>
      </c>
      <c r="N604" s="12" t="inlineStr">
        <is>
          <t>Rev 0</t>
        </is>
      </c>
      <c r="O604" s="12" t="inlineStr">
        <is>
          <t>R439-v1</t>
        </is>
      </c>
      <c r="P604" s="12" t="inlineStr"/>
      <c r="Q604" s="12" t="inlineStr"/>
      <c r="R604" s="12" t="inlineStr"/>
      <c r="S604" s="12" t="inlineStr"/>
      <c r="T604" s="12" t="inlineStr"/>
      <c r="U604" s="12" t="inlineStr"/>
      <c r="V604" s="12" t="inlineStr">
        <is>
          <t>WBS Code = 1.3.1</t>
        </is>
      </c>
      <c r="W604" s="12" t="inlineStr"/>
    </row>
    <row r="605" ht="34" customHeight="1">
      <c r="A605" s="12" t="inlineStr">
        <is>
          <t>1.3.1</t>
        </is>
      </c>
      <c r="B605" s="12" t="inlineStr">
        <is>
          <t>Systems - Traction Power</t>
        </is>
      </c>
      <c r="C605" s="12" t="inlineStr">
        <is>
          <t>Contractor Programme</t>
        </is>
      </c>
      <c r="D605" s="12" t="inlineStr">
        <is>
          <t>SCH-03-080</t>
        </is>
      </c>
      <c r="E605" s="12" t="inlineStr">
        <is>
          <t>Central interlocking: train-control cabinet fit-out - inspection</t>
        </is>
      </c>
      <c r="F605" s="12" t="inlineStr">
        <is>
          <t>ONE_TO_ONE</t>
        </is>
      </c>
      <c r="G605" s="12" t="inlineStr">
        <is>
          <t>APPROVED</t>
        </is>
      </c>
      <c r="H605" s="12" t="inlineStr">
        <is>
          <t>New</t>
        </is>
      </c>
      <c r="I605" s="12" t="inlineStr">
        <is>
          <t>Source assignment -- not individually reviewed</t>
        </is>
      </c>
      <c r="J605" s="12" t="inlineStr"/>
      <c r="K605" s="12" t="inlineStr">
        <is>
          <t>Source assignment</t>
        </is>
      </c>
      <c r="L605" s="12" t="inlineStr"/>
      <c r="M605" s="12" t="inlineStr">
        <is>
          <t>Initial</t>
        </is>
      </c>
      <c r="N605" s="12" t="inlineStr">
        <is>
          <t>Rev 0</t>
        </is>
      </c>
      <c r="O605" s="12" t="inlineStr">
        <is>
          <t>R440-v1</t>
        </is>
      </c>
      <c r="P605" s="12" t="inlineStr"/>
      <c r="Q605" s="12" t="inlineStr"/>
      <c r="R605" s="12" t="inlineStr"/>
      <c r="S605" s="12" t="inlineStr"/>
      <c r="T605" s="12" t="inlineStr"/>
      <c r="U605" s="12" t="inlineStr"/>
      <c r="V605" s="12" t="inlineStr">
        <is>
          <t>WBS Code = 1.3.1</t>
        </is>
      </c>
      <c r="W605" s="12" t="inlineStr"/>
    </row>
    <row r="606" ht="34" customHeight="1">
      <c r="A606" s="12" t="inlineStr">
        <is>
          <t>1.3.1</t>
        </is>
      </c>
      <c r="B606" s="12" t="inlineStr">
        <is>
          <t>Systems - Traction Power</t>
        </is>
      </c>
      <c r="C606" s="12" t="inlineStr">
        <is>
          <t>Contractor Programme</t>
        </is>
      </c>
      <c r="D606" s="12" t="inlineStr">
        <is>
          <t>SCH-03-082</t>
        </is>
      </c>
      <c r="E606" s="12" t="inlineStr">
        <is>
          <t>Control Centre: signal equipment installation - release</t>
        </is>
      </c>
      <c r="F606" s="12" t="inlineStr">
        <is>
          <t>ONE_TO_ONE</t>
        </is>
      </c>
      <c r="G606" s="12" t="inlineStr">
        <is>
          <t>APPROVED</t>
        </is>
      </c>
      <c r="H606" s="12" t="inlineStr">
        <is>
          <t>New</t>
        </is>
      </c>
      <c r="I606" s="12" t="inlineStr">
        <is>
          <t>Source assignment -- not individually reviewed</t>
        </is>
      </c>
      <c r="J606" s="12" t="inlineStr"/>
      <c r="K606" s="12" t="inlineStr">
        <is>
          <t>Source assignment</t>
        </is>
      </c>
      <c r="L606" s="12" t="inlineStr"/>
      <c r="M606" s="12" t="inlineStr">
        <is>
          <t>Initial</t>
        </is>
      </c>
      <c r="N606" s="12" t="inlineStr">
        <is>
          <t>Rev 0</t>
        </is>
      </c>
      <c r="O606" s="12" t="inlineStr">
        <is>
          <t>R442-v1</t>
        </is>
      </c>
      <c r="P606" s="12" t="inlineStr"/>
      <c r="Q606" s="12" t="inlineStr"/>
      <c r="R606" s="12" t="inlineStr"/>
      <c r="S606" s="12" t="inlineStr"/>
      <c r="T606" s="12" t="inlineStr"/>
      <c r="U606" s="12" t="inlineStr"/>
      <c r="V606" s="12" t="inlineStr">
        <is>
          <t>WBS Code = 1.3.1</t>
        </is>
      </c>
      <c r="W606" s="12" t="inlineStr"/>
    </row>
    <row r="607" ht="34" customHeight="1">
      <c r="A607" s="12" t="inlineStr">
        <is>
          <t>1.3.1</t>
        </is>
      </c>
      <c r="B607" s="12" t="inlineStr">
        <is>
          <t>Systems - Traction Power</t>
        </is>
      </c>
      <c r="C607" s="12" t="inlineStr">
        <is>
          <t>Contractor Programme</t>
        </is>
      </c>
      <c r="D607" s="12" t="inlineStr">
        <is>
          <t>SCH-03-083</t>
        </is>
      </c>
      <c r="E607" s="12" t="inlineStr">
        <is>
          <t>West wayside: radio equipment installation - field start</t>
        </is>
      </c>
      <c r="F607" s="12" t="inlineStr">
        <is>
          <t>ONE_TO_ONE</t>
        </is>
      </c>
      <c r="G607" s="12" t="inlineStr">
        <is>
          <t>APPROVED</t>
        </is>
      </c>
      <c r="H607" s="12" t="inlineStr">
        <is>
          <t>New</t>
        </is>
      </c>
      <c r="I607" s="12" t="inlineStr">
        <is>
          <t>Source assignment -- not individually reviewed</t>
        </is>
      </c>
      <c r="J607" s="12" t="inlineStr"/>
      <c r="K607" s="12" t="inlineStr">
        <is>
          <t>Source assignment</t>
        </is>
      </c>
      <c r="L607" s="12" t="inlineStr"/>
      <c r="M607" s="12" t="inlineStr">
        <is>
          <t>Initial</t>
        </is>
      </c>
      <c r="N607" s="12" t="inlineStr">
        <is>
          <t>Rev 0</t>
        </is>
      </c>
      <c r="O607" s="12" t="inlineStr">
        <is>
          <t>R443-v1</t>
        </is>
      </c>
      <c r="P607" s="12" t="inlineStr"/>
      <c r="Q607" s="12" t="inlineStr"/>
      <c r="R607" s="12" t="inlineStr"/>
      <c r="S607" s="12" t="inlineStr"/>
      <c r="T607" s="12" t="inlineStr"/>
      <c r="U607" s="12" t="inlineStr"/>
      <c r="V607" s="12" t="inlineStr">
        <is>
          <t>WBS Code = 1.3.1</t>
        </is>
      </c>
      <c r="W607" s="12" t="inlineStr"/>
    </row>
    <row r="608" ht="34" customHeight="1">
      <c r="A608" s="12" t="inlineStr">
        <is>
          <t>1.3.1</t>
        </is>
      </c>
      <c r="B608" s="12" t="inlineStr">
        <is>
          <t>Systems - Traction Power</t>
        </is>
      </c>
      <c r="C608" s="12" t="inlineStr">
        <is>
          <t>Contractor Programme</t>
        </is>
      </c>
      <c r="D608" s="12" t="inlineStr">
        <is>
          <t>SCH-03-085</t>
        </is>
      </c>
      <c r="E608" s="12" t="inlineStr">
        <is>
          <t>Central interlocking: fibre backbone termination - inspection</t>
        </is>
      </c>
      <c r="F608" s="12" t="inlineStr">
        <is>
          <t>ONE_TO_ONE</t>
        </is>
      </c>
      <c r="G608" s="12" t="inlineStr">
        <is>
          <t>APPROVED</t>
        </is>
      </c>
      <c r="H608" s="12" t="inlineStr">
        <is>
          <t>New</t>
        </is>
      </c>
      <c r="I608" s="12" t="inlineStr">
        <is>
          <t>Source assignment -- not individually reviewed</t>
        </is>
      </c>
      <c r="J608" s="12" t="inlineStr"/>
      <c r="K608" s="12" t="inlineStr">
        <is>
          <t>Source assignment</t>
        </is>
      </c>
      <c r="L608" s="12" t="inlineStr"/>
      <c r="M608" s="12" t="inlineStr">
        <is>
          <t>Initial</t>
        </is>
      </c>
      <c r="N608" s="12" t="inlineStr">
        <is>
          <t>Rev 0</t>
        </is>
      </c>
      <c r="O608" s="12" t="inlineStr">
        <is>
          <t>R445-v1</t>
        </is>
      </c>
      <c r="P608" s="12" t="inlineStr"/>
      <c r="Q608" s="12" t="inlineStr"/>
      <c r="R608" s="12" t="inlineStr"/>
      <c r="S608" s="12" t="inlineStr"/>
      <c r="T608" s="12" t="inlineStr"/>
      <c r="U608" s="12" t="inlineStr"/>
      <c r="V608" s="12" t="inlineStr">
        <is>
          <t>WBS Code = 1.3.1</t>
        </is>
      </c>
      <c r="W608" s="12" t="inlineStr"/>
    </row>
    <row r="609" ht="34" customHeight="1">
      <c r="A609" s="12" t="inlineStr">
        <is>
          <t>1.3.1</t>
        </is>
      </c>
      <c r="B609" s="12" t="inlineStr">
        <is>
          <t>Systems - Traction Power</t>
        </is>
      </c>
      <c r="C609" s="12" t="inlineStr">
        <is>
          <t>Contractor Programme</t>
        </is>
      </c>
      <c r="D609" s="12" t="inlineStr">
        <is>
          <t>SCH-03-086</t>
        </is>
      </c>
      <c r="E609" s="12" t="inlineStr">
        <is>
          <t>Harbour Station: SCADA point-to-point check - turnover</t>
        </is>
      </c>
      <c r="F609" s="12" t="inlineStr">
        <is>
          <t>ONE_TO_ONE</t>
        </is>
      </c>
      <c r="G609" s="12" t="inlineStr">
        <is>
          <t>APPROVED</t>
        </is>
      </c>
      <c r="H609" s="12" t="inlineStr">
        <is>
          <t>New</t>
        </is>
      </c>
      <c r="I609" s="12" t="inlineStr">
        <is>
          <t>Source assignment -- not individually reviewed</t>
        </is>
      </c>
      <c r="J609" s="12" t="inlineStr"/>
      <c r="K609" s="12" t="inlineStr">
        <is>
          <t>Source assignment</t>
        </is>
      </c>
      <c r="L609" s="12" t="inlineStr"/>
      <c r="M609" s="12" t="inlineStr">
        <is>
          <t>Initial</t>
        </is>
      </c>
      <c r="N609" s="12" t="inlineStr">
        <is>
          <t>Rev 0</t>
        </is>
      </c>
      <c r="O609" s="12" t="inlineStr">
        <is>
          <t>R446-v1</t>
        </is>
      </c>
      <c r="P609" s="12" t="inlineStr"/>
      <c r="Q609" s="12" t="inlineStr"/>
      <c r="R609" s="12" t="inlineStr"/>
      <c r="S609" s="12" t="inlineStr"/>
      <c r="T609" s="12" t="inlineStr"/>
      <c r="U609" s="12" t="inlineStr"/>
      <c r="V609" s="12" t="inlineStr">
        <is>
          <t>WBS Code = 1.3.1</t>
        </is>
      </c>
      <c r="W609" s="12" t="inlineStr"/>
    </row>
    <row r="610" ht="34" customHeight="1">
      <c r="A610" s="12" t="inlineStr">
        <is>
          <t>1.3.1</t>
        </is>
      </c>
      <c r="B610" s="12" t="inlineStr">
        <is>
          <t>Systems - Traction Power</t>
        </is>
      </c>
      <c r="C610" s="12" t="inlineStr">
        <is>
          <t>Contractor Programme</t>
        </is>
      </c>
      <c r="D610" s="12" t="inlineStr">
        <is>
          <t>SCH-03-088</t>
        </is>
      </c>
      <c r="E610" s="12" t="inlineStr">
        <is>
          <t>West wayside: train-control cabinet fit-out - field start</t>
        </is>
      </c>
      <c r="F610" s="12" t="inlineStr">
        <is>
          <t>ONE_TO_ONE</t>
        </is>
      </c>
      <c r="G610" s="12" t="inlineStr">
        <is>
          <t>APPROVED</t>
        </is>
      </c>
      <c r="H610" s="12" t="inlineStr">
        <is>
          <t>New</t>
        </is>
      </c>
      <c r="I610" s="12" t="inlineStr">
        <is>
          <t>Source assignment -- not individually reviewed</t>
        </is>
      </c>
      <c r="J610" s="12" t="inlineStr"/>
      <c r="K610" s="12" t="inlineStr">
        <is>
          <t>Source assignment</t>
        </is>
      </c>
      <c r="L610" s="12" t="inlineStr"/>
      <c r="M610" s="12" t="inlineStr">
        <is>
          <t>Initial</t>
        </is>
      </c>
      <c r="N610" s="12" t="inlineStr">
        <is>
          <t>Rev 0</t>
        </is>
      </c>
      <c r="O610" s="12" t="inlineStr">
        <is>
          <t>R448-v1</t>
        </is>
      </c>
      <c r="P610" s="12" t="inlineStr"/>
      <c r="Q610" s="12" t="inlineStr"/>
      <c r="R610" s="12" t="inlineStr"/>
      <c r="S610" s="12" t="inlineStr"/>
      <c r="T610" s="12" t="inlineStr"/>
      <c r="U610" s="12" t="inlineStr"/>
      <c r="V610" s="12" t="inlineStr">
        <is>
          <t>WBS Code = 1.3.1</t>
        </is>
      </c>
      <c r="W610" s="12" t="inlineStr"/>
    </row>
    <row r="611" ht="34" customHeight="1">
      <c r="A611" s="12" t="inlineStr">
        <is>
          <t>1.3.1</t>
        </is>
      </c>
      <c r="B611" s="12" t="inlineStr">
        <is>
          <t>Systems - Traction Power</t>
        </is>
      </c>
      <c r="C611" s="12" t="inlineStr">
        <is>
          <t>Contractor Programme</t>
        </is>
      </c>
      <c r="D611" s="12" t="inlineStr">
        <is>
          <t>SCH-03-089</t>
        </is>
      </c>
      <c r="E611" s="12" t="inlineStr">
        <is>
          <t>East substation: wayside interface test - installation</t>
        </is>
      </c>
      <c r="F611" s="12" t="inlineStr">
        <is>
          <t>ONE_TO_ONE</t>
        </is>
      </c>
      <c r="G611" s="12" t="inlineStr">
        <is>
          <t>APPROVED</t>
        </is>
      </c>
      <c r="H611" s="12" t="inlineStr">
        <is>
          <t>New</t>
        </is>
      </c>
      <c r="I611" s="12" t="inlineStr">
        <is>
          <t>Source assignment -- not individually reviewed</t>
        </is>
      </c>
      <c r="J611" s="12" t="inlineStr"/>
      <c r="K611" s="12" t="inlineStr">
        <is>
          <t>Source assignment</t>
        </is>
      </c>
      <c r="L611" s="12" t="inlineStr"/>
      <c r="M611" s="12" t="inlineStr">
        <is>
          <t>Initial</t>
        </is>
      </c>
      <c r="N611" s="12" t="inlineStr">
        <is>
          <t>Rev 0</t>
        </is>
      </c>
      <c r="O611" s="12" t="inlineStr">
        <is>
          <t>R449-v1</t>
        </is>
      </c>
      <c r="P611" s="12" t="inlineStr"/>
      <c r="Q611" s="12" t="inlineStr"/>
      <c r="R611" s="12" t="inlineStr"/>
      <c r="S611" s="12" t="inlineStr"/>
      <c r="T611" s="12" t="inlineStr"/>
      <c r="U611" s="12" t="inlineStr"/>
      <c r="V611" s="12" t="inlineStr">
        <is>
          <t>WBS Code = 1.3.1</t>
        </is>
      </c>
      <c r="W611" s="12" t="inlineStr"/>
    </row>
    <row r="612" ht="34" customHeight="1">
      <c r="A612" s="12" t="inlineStr">
        <is>
          <t>1.3.1</t>
        </is>
      </c>
      <c r="B612" s="12" t="inlineStr">
        <is>
          <t>Systems - Traction Power</t>
        </is>
      </c>
      <c r="C612" s="12" t="inlineStr">
        <is>
          <t>Contractor Programme</t>
        </is>
      </c>
      <c r="D612" s="12" t="inlineStr">
        <is>
          <t>SCH-03-091</t>
        </is>
      </c>
      <c r="E612" s="12" t="inlineStr">
        <is>
          <t>Harbour Station: radio equipment installation - turnover</t>
        </is>
      </c>
      <c r="F612" s="12" t="inlineStr">
        <is>
          <t>ONE_TO_ONE</t>
        </is>
      </c>
      <c r="G612" s="12" t="inlineStr">
        <is>
          <t>APPROVED</t>
        </is>
      </c>
      <c r="H612" s="12" t="inlineStr">
        <is>
          <t>New</t>
        </is>
      </c>
      <c r="I612" s="12" t="inlineStr">
        <is>
          <t>Source assignment -- not individually reviewed</t>
        </is>
      </c>
      <c r="J612" s="12" t="inlineStr"/>
      <c r="K612" s="12" t="inlineStr">
        <is>
          <t>Source assignment</t>
        </is>
      </c>
      <c r="L612" s="12" t="inlineStr"/>
      <c r="M612" s="12" t="inlineStr">
        <is>
          <t>Initial</t>
        </is>
      </c>
      <c r="N612" s="12" t="inlineStr">
        <is>
          <t>Rev 0</t>
        </is>
      </c>
      <c r="O612" s="12" t="inlineStr">
        <is>
          <t>R451-v1</t>
        </is>
      </c>
      <c r="P612" s="12" t="inlineStr"/>
      <c r="Q612" s="12" t="inlineStr"/>
      <c r="R612" s="12" t="inlineStr"/>
      <c r="S612" s="12" t="inlineStr"/>
      <c r="T612" s="12" t="inlineStr"/>
      <c r="U612" s="12" t="inlineStr"/>
      <c r="V612" s="12" t="inlineStr">
        <is>
          <t>WBS Code = 1.3.1</t>
        </is>
      </c>
      <c r="W612" s="12" t="inlineStr"/>
    </row>
    <row r="613" ht="34" customHeight="1">
      <c r="A613" s="12" t="inlineStr">
        <is>
          <t>1.3.1</t>
        </is>
      </c>
      <c r="B613" s="12" t="inlineStr">
        <is>
          <t>Systems - Traction Power</t>
        </is>
      </c>
      <c r="C613" s="12" t="inlineStr">
        <is>
          <t>Contractor Programme</t>
        </is>
      </c>
      <c r="D613" s="12" t="inlineStr">
        <is>
          <t>SCH-03-092</t>
        </is>
      </c>
      <c r="E613" s="12" t="inlineStr">
        <is>
          <t>Control Centre: control-centre integration - release</t>
        </is>
      </c>
      <c r="F613" s="12" t="inlineStr">
        <is>
          <t>ONE_TO_ONE</t>
        </is>
      </c>
      <c r="G613" s="12" t="inlineStr">
        <is>
          <t>APPROVED</t>
        </is>
      </c>
      <c r="H613" s="12" t="inlineStr">
        <is>
          <t>New</t>
        </is>
      </c>
      <c r="I613" s="12" t="inlineStr">
        <is>
          <t>Source assignment -- not individually reviewed</t>
        </is>
      </c>
      <c r="J613" s="12" t="inlineStr"/>
      <c r="K613" s="12" t="inlineStr">
        <is>
          <t>Source assignment</t>
        </is>
      </c>
      <c r="L613" s="12" t="inlineStr"/>
      <c r="M613" s="12" t="inlineStr">
        <is>
          <t>Initial</t>
        </is>
      </c>
      <c r="N613" s="12" t="inlineStr">
        <is>
          <t>Rev 0</t>
        </is>
      </c>
      <c r="O613" s="12" t="inlineStr">
        <is>
          <t>R452-v1</t>
        </is>
      </c>
      <c r="P613" s="12" t="inlineStr"/>
      <c r="Q613" s="12" t="inlineStr"/>
      <c r="R613" s="12" t="inlineStr"/>
      <c r="S613" s="12" t="inlineStr"/>
      <c r="T613" s="12" t="inlineStr"/>
      <c r="U613" s="12" t="inlineStr"/>
      <c r="V613" s="12" t="inlineStr">
        <is>
          <t>WBS Code = 1.3.1</t>
        </is>
      </c>
      <c r="W613" s="12" t="inlineStr"/>
    </row>
    <row r="614" ht="34" customHeight="1">
      <c r="A614" s="12" t="inlineStr">
        <is>
          <t>1.3.1</t>
        </is>
      </c>
      <c r="B614" s="12" t="inlineStr">
        <is>
          <t>Systems - Traction Power</t>
        </is>
      </c>
      <c r="C614" s="12" t="inlineStr">
        <is>
          <t>Contractor Programme</t>
        </is>
      </c>
      <c r="D614" s="12" t="inlineStr">
        <is>
          <t>SCH-03-094</t>
        </is>
      </c>
      <c r="E614" s="12" t="inlineStr">
        <is>
          <t>East substation: SCADA point-to-point check - installation</t>
        </is>
      </c>
      <c r="F614" s="12" t="inlineStr">
        <is>
          <t>ONE_TO_ONE</t>
        </is>
      </c>
      <c r="G614" s="12" t="inlineStr">
        <is>
          <t>APPROVED</t>
        </is>
      </c>
      <c r="H614" s="12" t="inlineStr">
        <is>
          <t>New</t>
        </is>
      </c>
      <c r="I614" s="12" t="inlineStr">
        <is>
          <t>Source assignment -- not individually reviewed</t>
        </is>
      </c>
      <c r="J614" s="12" t="inlineStr"/>
      <c r="K614" s="12" t="inlineStr">
        <is>
          <t>Source assignment</t>
        </is>
      </c>
      <c r="L614" s="12" t="inlineStr"/>
      <c r="M614" s="12" t="inlineStr">
        <is>
          <t>Initial</t>
        </is>
      </c>
      <c r="N614" s="12" t="inlineStr">
        <is>
          <t>Rev 0</t>
        </is>
      </c>
      <c r="O614" s="12" t="inlineStr">
        <is>
          <t>R454-v1</t>
        </is>
      </c>
      <c r="P614" s="12" t="inlineStr"/>
      <c r="Q614" s="12" t="inlineStr"/>
      <c r="R614" s="12" t="inlineStr"/>
      <c r="S614" s="12" t="inlineStr"/>
      <c r="T614" s="12" t="inlineStr"/>
      <c r="U614" s="12" t="inlineStr"/>
      <c r="V614" s="12" t="inlineStr">
        <is>
          <t>WBS Code = 1.3.1</t>
        </is>
      </c>
      <c r="W614" s="12" t="inlineStr"/>
    </row>
    <row r="615" ht="34" customHeight="1">
      <c r="A615" s="12" t="inlineStr">
        <is>
          <t>1.3.1</t>
        </is>
      </c>
      <c r="B615" s="12" t="inlineStr">
        <is>
          <t>Systems - Traction Power</t>
        </is>
      </c>
      <c r="C615" s="12" t="inlineStr">
        <is>
          <t>Contractor Programme</t>
        </is>
      </c>
      <c r="D615" s="12" t="inlineStr">
        <is>
          <t>SCH-03-095</t>
        </is>
      </c>
      <c r="E615" s="12" t="inlineStr">
        <is>
          <t>Central interlocking: traction-power feeder pull - inspection</t>
        </is>
      </c>
      <c r="F615" s="12" t="inlineStr">
        <is>
          <t>ONE_TO_ONE</t>
        </is>
      </c>
      <c r="G615" s="12" t="inlineStr">
        <is>
          <t>APPROVED</t>
        </is>
      </c>
      <c r="H615" s="12" t="inlineStr">
        <is>
          <t>New</t>
        </is>
      </c>
      <c r="I615" s="12" t="inlineStr">
        <is>
          <t>Source assignment -- not individually reviewed</t>
        </is>
      </c>
      <c r="J615" s="12" t="inlineStr"/>
      <c r="K615" s="12" t="inlineStr">
        <is>
          <t>Source assignment</t>
        </is>
      </c>
      <c r="L615" s="12" t="inlineStr"/>
      <c r="M615" s="12" t="inlineStr">
        <is>
          <t>Initial</t>
        </is>
      </c>
      <c r="N615" s="12" t="inlineStr">
        <is>
          <t>Rev 0</t>
        </is>
      </c>
      <c r="O615" s="12" t="inlineStr">
        <is>
          <t>R455-v1</t>
        </is>
      </c>
      <c r="P615" s="12" t="inlineStr"/>
      <c r="Q615" s="12" t="inlineStr"/>
      <c r="R615" s="12" t="inlineStr"/>
      <c r="S615" s="12" t="inlineStr"/>
      <c r="T615" s="12" t="inlineStr"/>
      <c r="U615" s="12" t="inlineStr"/>
      <c r="V615" s="12" t="inlineStr">
        <is>
          <t>WBS Code = 1.3.1</t>
        </is>
      </c>
      <c r="W615" s="12" t="inlineStr"/>
    </row>
    <row r="616" ht="34" customHeight="1">
      <c r="A616" s="12" t="inlineStr">
        <is>
          <t>1.3.1</t>
        </is>
      </c>
      <c r="B616" s="12" t="inlineStr">
        <is>
          <t>Systems - Traction Power</t>
        </is>
      </c>
      <c r="C616" s="12" t="inlineStr">
        <is>
          <t>Contractor Programme</t>
        </is>
      </c>
      <c r="D616" s="12" t="inlineStr">
        <is>
          <t>SCH-03-097</t>
        </is>
      </c>
      <c r="E616" s="12" t="inlineStr">
        <is>
          <t>Control Centre: wayside interface test - release</t>
        </is>
      </c>
      <c r="F616" s="12" t="inlineStr">
        <is>
          <t>ONE_TO_ONE</t>
        </is>
      </c>
      <c r="G616" s="12" t="inlineStr">
        <is>
          <t>APPROVED</t>
        </is>
      </c>
      <c r="H616" s="12" t="inlineStr">
        <is>
          <t>New</t>
        </is>
      </c>
      <c r="I616" s="12" t="inlineStr">
        <is>
          <t>Source assignment -- not individually reviewed</t>
        </is>
      </c>
      <c r="J616" s="12" t="inlineStr"/>
      <c r="K616" s="12" t="inlineStr">
        <is>
          <t>Source assignment</t>
        </is>
      </c>
      <c r="L616" s="12" t="inlineStr"/>
      <c r="M616" s="12" t="inlineStr">
        <is>
          <t>Initial</t>
        </is>
      </c>
      <c r="N616" s="12" t="inlineStr">
        <is>
          <t>Rev 0</t>
        </is>
      </c>
      <c r="O616" s="12" t="inlineStr">
        <is>
          <t>R457-v1</t>
        </is>
      </c>
      <c r="P616" s="12" t="inlineStr"/>
      <c r="Q616" s="12" t="inlineStr"/>
      <c r="R616" s="12" t="inlineStr"/>
      <c r="S616" s="12" t="inlineStr"/>
      <c r="T616" s="12" t="inlineStr"/>
      <c r="U616" s="12" t="inlineStr"/>
      <c r="V616" s="12" t="inlineStr">
        <is>
          <t>WBS Code = 1.3.1</t>
        </is>
      </c>
      <c r="W616" s="12" t="inlineStr"/>
    </row>
    <row r="617" ht="34" customHeight="1">
      <c r="A617" s="12" t="inlineStr">
        <is>
          <t>1.3.1</t>
        </is>
      </c>
      <c r="B617" s="12" t="inlineStr">
        <is>
          <t>Systems - Traction Power</t>
        </is>
      </c>
      <c r="C617" s="12" t="inlineStr">
        <is>
          <t>Contractor Programme</t>
        </is>
      </c>
      <c r="D617" s="12" t="inlineStr">
        <is>
          <t>SCH-03-098</t>
        </is>
      </c>
      <c r="E617" s="12" t="inlineStr">
        <is>
          <t>West wayside: signal equipment installation - field start</t>
        </is>
      </c>
      <c r="F617" s="12" t="inlineStr">
        <is>
          <t>ONE_TO_ONE</t>
        </is>
      </c>
      <c r="G617" s="12" t="inlineStr">
        <is>
          <t>APPROVED</t>
        </is>
      </c>
      <c r="H617" s="12" t="inlineStr">
        <is>
          <t>New</t>
        </is>
      </c>
      <c r="I617" s="12" t="inlineStr">
        <is>
          <t>Source assignment -- not individually reviewed</t>
        </is>
      </c>
      <c r="J617" s="12" t="inlineStr"/>
      <c r="K617" s="12" t="inlineStr">
        <is>
          <t>Source assignment</t>
        </is>
      </c>
      <c r="L617" s="12" t="inlineStr"/>
      <c r="M617" s="12" t="inlineStr">
        <is>
          <t>Initial</t>
        </is>
      </c>
      <c r="N617" s="12" t="inlineStr">
        <is>
          <t>Rev 0</t>
        </is>
      </c>
      <c r="O617" s="12" t="inlineStr">
        <is>
          <t>R458-v1</t>
        </is>
      </c>
      <c r="P617" s="12" t="inlineStr"/>
      <c r="Q617" s="12" t="inlineStr"/>
      <c r="R617" s="12" t="inlineStr"/>
      <c r="S617" s="12" t="inlineStr"/>
      <c r="T617" s="12" t="inlineStr"/>
      <c r="U617" s="12" t="inlineStr"/>
      <c r="V617" s="12" t="inlineStr">
        <is>
          <t>WBS Code = 1.3.1</t>
        </is>
      </c>
      <c r="W617" s="12" t="inlineStr"/>
    </row>
    <row r="618" ht="34" customHeight="1">
      <c r="A618" s="12" t="inlineStr">
        <is>
          <t>1.3.1</t>
        </is>
      </c>
      <c r="B618" s="12" t="inlineStr">
        <is>
          <t>Systems - Traction Power</t>
        </is>
      </c>
      <c r="C618" s="12" t="inlineStr">
        <is>
          <t>Contractor Programme</t>
        </is>
      </c>
      <c r="D618" s="12" t="inlineStr">
        <is>
          <t>SCH-03-100</t>
        </is>
      </c>
      <c r="E618" s="12" t="inlineStr">
        <is>
          <t>Central interlocking: control-centre integration - inspection</t>
        </is>
      </c>
      <c r="F618" s="12" t="inlineStr">
        <is>
          <t>ONE_TO_ONE</t>
        </is>
      </c>
      <c r="G618" s="12" t="inlineStr">
        <is>
          <t>APPROVED</t>
        </is>
      </c>
      <c r="H618" s="12" t="inlineStr">
        <is>
          <t>New</t>
        </is>
      </c>
      <c r="I618" s="12" t="inlineStr">
        <is>
          <t>Source assignment -- not individually reviewed</t>
        </is>
      </c>
      <c r="J618" s="12" t="inlineStr"/>
      <c r="K618" s="12" t="inlineStr">
        <is>
          <t>Source assignment</t>
        </is>
      </c>
      <c r="L618" s="12" t="inlineStr"/>
      <c r="M618" s="12" t="inlineStr">
        <is>
          <t>Initial</t>
        </is>
      </c>
      <c r="N618" s="12" t="inlineStr">
        <is>
          <t>Rev 0</t>
        </is>
      </c>
      <c r="O618" s="12" t="inlineStr">
        <is>
          <t>R460-v1</t>
        </is>
      </c>
      <c r="P618" s="12" t="inlineStr"/>
      <c r="Q618" s="12" t="inlineStr"/>
      <c r="R618" s="12" t="inlineStr"/>
      <c r="S618" s="12" t="inlineStr"/>
      <c r="T618" s="12" t="inlineStr"/>
      <c r="U618" s="12" t="inlineStr"/>
      <c r="V618" s="12" t="inlineStr">
        <is>
          <t>WBS Code = 1.3.1</t>
        </is>
      </c>
      <c r="W618" s="12" t="inlineStr"/>
    </row>
    <row r="619" ht="34" customHeight="1">
      <c r="A619" s="12" t="inlineStr">
        <is>
          <t>1.3.1</t>
        </is>
      </c>
      <c r="B619" s="12" t="inlineStr">
        <is>
          <t>Systems - Traction Power</t>
        </is>
      </c>
      <c r="C619" s="12" t="inlineStr">
        <is>
          <t>Contractor Programme</t>
        </is>
      </c>
      <c r="D619" s="12" t="inlineStr">
        <is>
          <t>SCH-03-101</t>
        </is>
      </c>
      <c r="E619" s="12" t="inlineStr">
        <is>
          <t>Harbour Station: fibre backbone termination - turnover</t>
        </is>
      </c>
      <c r="F619" s="12" t="inlineStr">
        <is>
          <t>ONE_TO_ONE</t>
        </is>
      </c>
      <c r="G619" s="12" t="inlineStr">
        <is>
          <t>APPROVED</t>
        </is>
      </c>
      <c r="H619" s="12" t="inlineStr">
        <is>
          <t>New</t>
        </is>
      </c>
      <c r="I619" s="12" t="inlineStr">
        <is>
          <t>Source assignment -- not individually reviewed</t>
        </is>
      </c>
      <c r="J619" s="12" t="inlineStr"/>
      <c r="K619" s="12" t="inlineStr">
        <is>
          <t>Source assignment</t>
        </is>
      </c>
      <c r="L619" s="12" t="inlineStr"/>
      <c r="M619" s="12" t="inlineStr">
        <is>
          <t>Initial</t>
        </is>
      </c>
      <c r="N619" s="12" t="inlineStr">
        <is>
          <t>Rev 0</t>
        </is>
      </c>
      <c r="O619" s="12" t="inlineStr">
        <is>
          <t>R461-v1</t>
        </is>
      </c>
      <c r="P619" s="12" t="inlineStr"/>
      <c r="Q619" s="12" t="inlineStr"/>
      <c r="R619" s="12" t="inlineStr"/>
      <c r="S619" s="12" t="inlineStr"/>
      <c r="T619" s="12" t="inlineStr"/>
      <c r="U619" s="12" t="inlineStr"/>
      <c r="V619" s="12" t="inlineStr">
        <is>
          <t>WBS Code = 1.3.1</t>
        </is>
      </c>
      <c r="W619" s="12" t="inlineStr"/>
    </row>
    <row r="620" ht="34" customHeight="1">
      <c r="A620" s="12" t="inlineStr">
        <is>
          <t>1.3.1</t>
        </is>
      </c>
      <c r="B620" s="12" t="inlineStr">
        <is>
          <t>Systems - Traction Power</t>
        </is>
      </c>
      <c r="C620" s="12" t="inlineStr">
        <is>
          <t>Contractor Programme</t>
        </is>
      </c>
      <c r="D620" s="12" t="inlineStr">
        <is>
          <t>SCH-03-103</t>
        </is>
      </c>
      <c r="E620" s="12" t="inlineStr">
        <is>
          <t>West wayside: traction-power feeder pull - field start</t>
        </is>
      </c>
      <c r="F620" s="12" t="inlineStr">
        <is>
          <t>ONE_TO_ONE</t>
        </is>
      </c>
      <c r="G620" s="12" t="inlineStr">
        <is>
          <t>APPROVED</t>
        </is>
      </c>
      <c r="H620" s="12" t="inlineStr">
        <is>
          <t>New</t>
        </is>
      </c>
      <c r="I620" s="12" t="inlineStr">
        <is>
          <t>Source assignment -- not individually reviewed</t>
        </is>
      </c>
      <c r="J620" s="12" t="inlineStr"/>
      <c r="K620" s="12" t="inlineStr">
        <is>
          <t>Source assignment</t>
        </is>
      </c>
      <c r="L620" s="12" t="inlineStr"/>
      <c r="M620" s="12" t="inlineStr">
        <is>
          <t>Initial</t>
        </is>
      </c>
      <c r="N620" s="12" t="inlineStr">
        <is>
          <t>Rev 0</t>
        </is>
      </c>
      <c r="O620" s="12" t="inlineStr">
        <is>
          <t>R463-v1</t>
        </is>
      </c>
      <c r="P620" s="12" t="inlineStr"/>
      <c r="Q620" s="12" t="inlineStr"/>
      <c r="R620" s="12" t="inlineStr"/>
      <c r="S620" s="12" t="inlineStr"/>
      <c r="T620" s="12" t="inlineStr"/>
      <c r="U620" s="12" t="inlineStr"/>
      <c r="V620" s="12" t="inlineStr">
        <is>
          <t>WBS Code = 1.3.1</t>
        </is>
      </c>
      <c r="W620" s="12" t="inlineStr"/>
    </row>
    <row r="621" ht="34" customHeight="1">
      <c r="A621" s="12" t="inlineStr">
        <is>
          <t>1.3.1</t>
        </is>
      </c>
      <c r="B621" s="12" t="inlineStr">
        <is>
          <t>Systems - Traction Power</t>
        </is>
      </c>
      <c r="C621" s="12" t="inlineStr">
        <is>
          <t>Contractor Programme</t>
        </is>
      </c>
      <c r="D621" s="12" t="inlineStr">
        <is>
          <t>SCH-03-104</t>
        </is>
      </c>
      <c r="E621" s="12" t="inlineStr">
        <is>
          <t>East substation: train-control cabinet fit-out - installation</t>
        </is>
      </c>
      <c r="F621" s="12" t="inlineStr">
        <is>
          <t>ONE_TO_ONE</t>
        </is>
      </c>
      <c r="G621" s="12" t="inlineStr">
        <is>
          <t>APPROVED</t>
        </is>
      </c>
      <c r="H621" s="12" t="inlineStr">
        <is>
          <t>New</t>
        </is>
      </c>
      <c r="I621" s="12" t="inlineStr">
        <is>
          <t>Source assignment -- not individually reviewed</t>
        </is>
      </c>
      <c r="J621" s="12" t="inlineStr"/>
      <c r="K621" s="12" t="inlineStr">
        <is>
          <t>Source assignment</t>
        </is>
      </c>
      <c r="L621" s="12" t="inlineStr"/>
      <c r="M621" s="12" t="inlineStr">
        <is>
          <t>Initial</t>
        </is>
      </c>
      <c r="N621" s="12" t="inlineStr">
        <is>
          <t>Rev 0</t>
        </is>
      </c>
      <c r="O621" s="12" t="inlineStr">
        <is>
          <t>R464-v1</t>
        </is>
      </c>
      <c r="P621" s="12" t="inlineStr"/>
      <c r="Q621" s="12" t="inlineStr"/>
      <c r="R621" s="12" t="inlineStr"/>
      <c r="S621" s="12" t="inlineStr"/>
      <c r="T621" s="12" t="inlineStr"/>
      <c r="U621" s="12" t="inlineStr"/>
      <c r="V621" s="12" t="inlineStr">
        <is>
          <t>WBS Code = 1.3.1</t>
        </is>
      </c>
      <c r="W621" s="12" t="inlineStr"/>
    </row>
    <row r="622" ht="34" customHeight="1">
      <c r="A622" s="12" t="inlineStr">
        <is>
          <t>1.3.1</t>
        </is>
      </c>
      <c r="B622" s="12" t="inlineStr">
        <is>
          <t>Systems - Traction Power</t>
        </is>
      </c>
      <c r="C622" s="12" t="inlineStr">
        <is>
          <t>Contractor Programme</t>
        </is>
      </c>
      <c r="D622" s="12" t="inlineStr">
        <is>
          <t>SCH-03-106</t>
        </is>
      </c>
      <c r="E622" s="12" t="inlineStr">
        <is>
          <t>Harbour Station: signal equipment installation - turnover</t>
        </is>
      </c>
      <c r="F622" s="12" t="inlineStr">
        <is>
          <t>ONE_TO_ONE</t>
        </is>
      </c>
      <c r="G622" s="12" t="inlineStr">
        <is>
          <t>APPROVED</t>
        </is>
      </c>
      <c r="H622" s="12" t="inlineStr">
        <is>
          <t>New</t>
        </is>
      </c>
      <c r="I622" s="12" t="inlineStr">
        <is>
          <t>Source assignment -- not individually reviewed</t>
        </is>
      </c>
      <c r="J622" s="12" t="inlineStr"/>
      <c r="K622" s="12" t="inlineStr">
        <is>
          <t>Source assignment</t>
        </is>
      </c>
      <c r="L622" s="12" t="inlineStr"/>
      <c r="M622" s="12" t="inlineStr">
        <is>
          <t>Initial</t>
        </is>
      </c>
      <c r="N622" s="12" t="inlineStr">
        <is>
          <t>Rev 0</t>
        </is>
      </c>
      <c r="O622" s="12" t="inlineStr">
        <is>
          <t>R466-v1</t>
        </is>
      </c>
      <c r="P622" s="12" t="inlineStr"/>
      <c r="Q622" s="12" t="inlineStr"/>
      <c r="R622" s="12" t="inlineStr"/>
      <c r="S622" s="12" t="inlineStr"/>
      <c r="T622" s="12" t="inlineStr"/>
      <c r="U622" s="12" t="inlineStr"/>
      <c r="V622" s="12" t="inlineStr">
        <is>
          <t>WBS Code = 1.3.1</t>
        </is>
      </c>
      <c r="W622" s="12" t="inlineStr"/>
    </row>
    <row r="623" ht="34" customHeight="1">
      <c r="A623" s="12" t="inlineStr">
        <is>
          <t>1.3.1</t>
        </is>
      </c>
      <c r="B623" s="12" t="inlineStr">
        <is>
          <t>Systems - Traction Power</t>
        </is>
      </c>
      <c r="C623" s="12" t="inlineStr">
        <is>
          <t>Contractor Programme</t>
        </is>
      </c>
      <c r="D623" s="12" t="inlineStr">
        <is>
          <t>SCH-03-107</t>
        </is>
      </c>
      <c r="E623" s="12" t="inlineStr">
        <is>
          <t>Control Centre: radio equipment installation - release</t>
        </is>
      </c>
      <c r="F623" s="12" t="inlineStr">
        <is>
          <t>ONE_TO_ONE</t>
        </is>
      </c>
      <c r="G623" s="12" t="inlineStr">
        <is>
          <t>APPROVED</t>
        </is>
      </c>
      <c r="H623" s="12" t="inlineStr">
        <is>
          <t>New</t>
        </is>
      </c>
      <c r="I623" s="12" t="inlineStr">
        <is>
          <t>Source assignment -- not individually reviewed</t>
        </is>
      </c>
      <c r="J623" s="12" t="inlineStr"/>
      <c r="K623" s="12" t="inlineStr">
        <is>
          <t>Source assignment</t>
        </is>
      </c>
      <c r="L623" s="12" t="inlineStr"/>
      <c r="M623" s="12" t="inlineStr">
        <is>
          <t>Initial</t>
        </is>
      </c>
      <c r="N623" s="12" t="inlineStr">
        <is>
          <t>Rev 0</t>
        </is>
      </c>
      <c r="O623" s="12" t="inlineStr">
        <is>
          <t>R467-v1</t>
        </is>
      </c>
      <c r="P623" s="12" t="inlineStr"/>
      <c r="Q623" s="12" t="inlineStr"/>
      <c r="R623" s="12" t="inlineStr"/>
      <c r="S623" s="12" t="inlineStr"/>
      <c r="T623" s="12" t="inlineStr"/>
      <c r="U623" s="12" t="inlineStr"/>
      <c r="V623" s="12" t="inlineStr">
        <is>
          <t>WBS Code = 1.3.1</t>
        </is>
      </c>
      <c r="W623" s="12" t="inlineStr"/>
    </row>
    <row r="624" ht="34" customHeight="1">
      <c r="A624" s="12" t="inlineStr">
        <is>
          <t>1.3.1</t>
        </is>
      </c>
      <c r="B624" s="12" t="inlineStr">
        <is>
          <t>Systems - Traction Power</t>
        </is>
      </c>
      <c r="C624" s="12" t="inlineStr">
        <is>
          <t>Contractor Programme</t>
        </is>
      </c>
      <c r="D624" s="12" t="inlineStr">
        <is>
          <t>SCH-03-109</t>
        </is>
      </c>
      <c r="E624" s="12" t="inlineStr">
        <is>
          <t>East substation: fibre backbone termination - installation</t>
        </is>
      </c>
      <c r="F624" s="12" t="inlineStr">
        <is>
          <t>ONE_TO_ONE</t>
        </is>
      </c>
      <c r="G624" s="12" t="inlineStr">
        <is>
          <t>APPROVED</t>
        </is>
      </c>
      <c r="H624" s="12" t="inlineStr">
        <is>
          <t>New</t>
        </is>
      </c>
      <c r="I624" s="12" t="inlineStr">
        <is>
          <t>Source assignment -- not individually reviewed</t>
        </is>
      </c>
      <c r="J624" s="12" t="inlineStr"/>
      <c r="K624" s="12" t="inlineStr">
        <is>
          <t>Source assignment</t>
        </is>
      </c>
      <c r="L624" s="12" t="inlineStr"/>
      <c r="M624" s="12" t="inlineStr">
        <is>
          <t>Initial</t>
        </is>
      </c>
      <c r="N624" s="12" t="inlineStr">
        <is>
          <t>Rev 0</t>
        </is>
      </c>
      <c r="O624" s="12" t="inlineStr">
        <is>
          <t>R469-v1</t>
        </is>
      </c>
      <c r="P624" s="12" t="inlineStr"/>
      <c r="Q624" s="12" t="inlineStr"/>
      <c r="R624" s="12" t="inlineStr"/>
      <c r="S624" s="12" t="inlineStr"/>
      <c r="T624" s="12" t="inlineStr"/>
      <c r="U624" s="12" t="inlineStr"/>
      <c r="V624" s="12" t="inlineStr">
        <is>
          <t>WBS Code = 1.3.1</t>
        </is>
      </c>
      <c r="W624" s="12" t="inlineStr"/>
    </row>
    <row r="625" ht="34" customHeight="1">
      <c r="A625" s="12" t="inlineStr">
        <is>
          <t>1.3.1</t>
        </is>
      </c>
      <c r="B625" s="12" t="inlineStr">
        <is>
          <t>Systems - Traction Power</t>
        </is>
      </c>
      <c r="C625" s="12" t="inlineStr">
        <is>
          <t>Contractor Programme</t>
        </is>
      </c>
      <c r="D625" s="12" t="inlineStr">
        <is>
          <t>SCH-03-110</t>
        </is>
      </c>
      <c r="E625" s="12" t="inlineStr">
        <is>
          <t>Central interlocking: SCADA point-to-point check - inspection</t>
        </is>
      </c>
      <c r="F625" s="12" t="inlineStr">
        <is>
          <t>ONE_TO_ONE</t>
        </is>
      </c>
      <c r="G625" s="12" t="inlineStr">
        <is>
          <t>APPROVED</t>
        </is>
      </c>
      <c r="H625" s="12" t="inlineStr">
        <is>
          <t>New</t>
        </is>
      </c>
      <c r="I625" s="12" t="inlineStr">
        <is>
          <t>Source assignment -- not individually reviewed</t>
        </is>
      </c>
      <c r="J625" s="12" t="inlineStr"/>
      <c r="K625" s="12" t="inlineStr">
        <is>
          <t>Source assignment</t>
        </is>
      </c>
      <c r="L625" s="12" t="inlineStr"/>
      <c r="M625" s="12" t="inlineStr">
        <is>
          <t>Initial</t>
        </is>
      </c>
      <c r="N625" s="12" t="inlineStr">
        <is>
          <t>Rev 0</t>
        </is>
      </c>
      <c r="O625" s="12" t="inlineStr">
        <is>
          <t>R470-v1</t>
        </is>
      </c>
      <c r="P625" s="12" t="inlineStr"/>
      <c r="Q625" s="12" t="inlineStr"/>
      <c r="R625" s="12" t="inlineStr"/>
      <c r="S625" s="12" t="inlineStr"/>
      <c r="T625" s="12" t="inlineStr"/>
      <c r="U625" s="12" t="inlineStr"/>
      <c r="V625" s="12" t="inlineStr">
        <is>
          <t>WBS Code = 1.3.1</t>
        </is>
      </c>
      <c r="W625" s="12" t="inlineStr"/>
    </row>
    <row r="626" ht="34" customHeight="1">
      <c r="A626" s="12" t="inlineStr">
        <is>
          <t>1.3.1</t>
        </is>
      </c>
      <c r="B626" s="12" t="inlineStr">
        <is>
          <t>Systems - Traction Power</t>
        </is>
      </c>
      <c r="C626" s="12" t="inlineStr">
        <is>
          <t>Contractor Programme</t>
        </is>
      </c>
      <c r="D626" s="12" t="inlineStr">
        <is>
          <t>SCH-03-112</t>
        </is>
      </c>
      <c r="E626" s="12" t="inlineStr">
        <is>
          <t>Control Centre: train-control cabinet fit-out - release</t>
        </is>
      </c>
      <c r="F626" s="12" t="inlineStr">
        <is>
          <t>ONE_TO_ONE</t>
        </is>
      </c>
      <c r="G626" s="12" t="inlineStr">
        <is>
          <t>APPROVED</t>
        </is>
      </c>
      <c r="H626" s="12" t="inlineStr">
        <is>
          <t>New</t>
        </is>
      </c>
      <c r="I626" s="12" t="inlineStr">
        <is>
          <t>Source assignment -- not individually reviewed</t>
        </is>
      </c>
      <c r="J626" s="12" t="inlineStr"/>
      <c r="K626" s="12" t="inlineStr">
        <is>
          <t>Source assignment</t>
        </is>
      </c>
      <c r="L626" s="12" t="inlineStr"/>
      <c r="M626" s="12" t="inlineStr">
        <is>
          <t>Initial</t>
        </is>
      </c>
      <c r="N626" s="12" t="inlineStr">
        <is>
          <t>Rev 0</t>
        </is>
      </c>
      <c r="O626" s="12" t="inlineStr">
        <is>
          <t>R472-v1</t>
        </is>
      </c>
      <c r="P626" s="12" t="inlineStr"/>
      <c r="Q626" s="12" t="inlineStr"/>
      <c r="R626" s="12" t="inlineStr"/>
      <c r="S626" s="12" t="inlineStr"/>
      <c r="T626" s="12" t="inlineStr"/>
      <c r="U626" s="12" t="inlineStr"/>
      <c r="V626" s="12" t="inlineStr">
        <is>
          <t>WBS Code = 1.3.1</t>
        </is>
      </c>
      <c r="W626" s="12" t="inlineStr"/>
    </row>
    <row r="627" ht="34" customHeight="1">
      <c r="A627" s="12" t="inlineStr">
        <is>
          <t>1.3.1</t>
        </is>
      </c>
      <c r="B627" s="12" t="inlineStr">
        <is>
          <t>Systems - Traction Power</t>
        </is>
      </c>
      <c r="C627" s="12" t="inlineStr">
        <is>
          <t>Contractor Programme</t>
        </is>
      </c>
      <c r="D627" s="12" t="inlineStr">
        <is>
          <t>SCH-03-113</t>
        </is>
      </c>
      <c r="E627" s="12" t="inlineStr">
        <is>
          <t>West wayside: wayside interface test - field start</t>
        </is>
      </c>
      <c r="F627" s="12" t="inlineStr">
        <is>
          <t>ONE_TO_ONE</t>
        </is>
      </c>
      <c r="G627" s="12" t="inlineStr">
        <is>
          <t>APPROVED</t>
        </is>
      </c>
      <c r="H627" s="12" t="inlineStr">
        <is>
          <t>New</t>
        </is>
      </c>
      <c r="I627" s="12" t="inlineStr">
        <is>
          <t>Source assignment -- not individually reviewed</t>
        </is>
      </c>
      <c r="J627" s="12" t="inlineStr"/>
      <c r="K627" s="12" t="inlineStr">
        <is>
          <t>Source assignment</t>
        </is>
      </c>
      <c r="L627" s="12" t="inlineStr"/>
      <c r="M627" s="12" t="inlineStr">
        <is>
          <t>Initial</t>
        </is>
      </c>
      <c r="N627" s="12" t="inlineStr">
        <is>
          <t>Rev 0</t>
        </is>
      </c>
      <c r="O627" s="12" t="inlineStr">
        <is>
          <t>R473-v1</t>
        </is>
      </c>
      <c r="P627" s="12" t="inlineStr"/>
      <c r="Q627" s="12" t="inlineStr"/>
      <c r="R627" s="12" t="inlineStr"/>
      <c r="S627" s="12" t="inlineStr"/>
      <c r="T627" s="12" t="inlineStr"/>
      <c r="U627" s="12" t="inlineStr"/>
      <c r="V627" s="12" t="inlineStr">
        <is>
          <t>WBS Code = 1.3.1</t>
        </is>
      </c>
      <c r="W627" s="12" t="inlineStr"/>
    </row>
    <row r="628" ht="34" customHeight="1">
      <c r="A628" s="12" t="inlineStr">
        <is>
          <t>1.3.1</t>
        </is>
      </c>
      <c r="B628" s="12" t="inlineStr">
        <is>
          <t>Systems - Traction Power</t>
        </is>
      </c>
      <c r="C628" s="12" t="inlineStr">
        <is>
          <t>Contractor Programme</t>
        </is>
      </c>
      <c r="D628" s="12" t="inlineStr">
        <is>
          <t>SCH-03-115</t>
        </is>
      </c>
      <c r="E628" s="12" t="inlineStr">
        <is>
          <t>Central interlocking: radio equipment installation - inspection</t>
        </is>
      </c>
      <c r="F628" s="12" t="inlineStr">
        <is>
          <t>ONE_TO_ONE</t>
        </is>
      </c>
      <c r="G628" s="12" t="inlineStr">
        <is>
          <t>APPROVED</t>
        </is>
      </c>
      <c r="H628" s="12" t="inlineStr">
        <is>
          <t>New</t>
        </is>
      </c>
      <c r="I628" s="12" t="inlineStr">
        <is>
          <t>Source assignment -- not individually reviewed</t>
        </is>
      </c>
      <c r="J628" s="12" t="inlineStr"/>
      <c r="K628" s="12" t="inlineStr">
        <is>
          <t>Source assignment</t>
        </is>
      </c>
      <c r="L628" s="12" t="inlineStr"/>
      <c r="M628" s="12" t="inlineStr">
        <is>
          <t>Initial</t>
        </is>
      </c>
      <c r="N628" s="12" t="inlineStr">
        <is>
          <t>Rev 0</t>
        </is>
      </c>
      <c r="O628" s="12" t="inlineStr">
        <is>
          <t>R475-v1</t>
        </is>
      </c>
      <c r="P628" s="12" t="inlineStr"/>
      <c r="Q628" s="12" t="inlineStr"/>
      <c r="R628" s="12" t="inlineStr"/>
      <c r="S628" s="12" t="inlineStr"/>
      <c r="T628" s="12" t="inlineStr"/>
      <c r="U628" s="12" t="inlineStr"/>
      <c r="V628" s="12" t="inlineStr">
        <is>
          <t>WBS Code = 1.3.1</t>
        </is>
      </c>
      <c r="W628" s="12" t="inlineStr"/>
    </row>
    <row r="629" ht="34" customHeight="1">
      <c r="A629" s="12" t="inlineStr">
        <is>
          <t>1.3.1</t>
        </is>
      </c>
      <c r="B629" s="12" t="inlineStr">
        <is>
          <t>Systems - Traction Power</t>
        </is>
      </c>
      <c r="C629" s="12" t="inlineStr">
        <is>
          <t>Contractor Programme</t>
        </is>
      </c>
      <c r="D629" s="12" t="inlineStr">
        <is>
          <t>SCH-03-116</t>
        </is>
      </c>
      <c r="E629" s="12" t="inlineStr">
        <is>
          <t>Harbour Station: control-centre integration - turnover</t>
        </is>
      </c>
      <c r="F629" s="12" t="inlineStr">
        <is>
          <t>ONE_TO_ONE</t>
        </is>
      </c>
      <c r="G629" s="12" t="inlineStr">
        <is>
          <t>APPROVED</t>
        </is>
      </c>
      <c r="H629" s="12" t="inlineStr">
        <is>
          <t>New</t>
        </is>
      </c>
      <c r="I629" s="12" t="inlineStr">
        <is>
          <t>Source assignment -- not individually reviewed</t>
        </is>
      </c>
      <c r="J629" s="12" t="inlineStr"/>
      <c r="K629" s="12" t="inlineStr">
        <is>
          <t>Source assignment</t>
        </is>
      </c>
      <c r="L629" s="12" t="inlineStr"/>
      <c r="M629" s="12" t="inlineStr">
        <is>
          <t>Initial</t>
        </is>
      </c>
      <c r="N629" s="12" t="inlineStr">
        <is>
          <t>Rev 0</t>
        </is>
      </c>
      <c r="O629" s="12" t="inlineStr">
        <is>
          <t>R476-v1</t>
        </is>
      </c>
      <c r="P629" s="12" t="inlineStr"/>
      <c r="Q629" s="12" t="inlineStr"/>
      <c r="R629" s="12" t="inlineStr"/>
      <c r="S629" s="12" t="inlineStr"/>
      <c r="T629" s="12" t="inlineStr"/>
      <c r="U629" s="12" t="inlineStr"/>
      <c r="V629" s="12" t="inlineStr">
        <is>
          <t>WBS Code = 1.3.1</t>
        </is>
      </c>
      <c r="W629" s="12" t="inlineStr"/>
    </row>
    <row r="630" ht="34" customHeight="1">
      <c r="A630" s="12" t="inlineStr">
        <is>
          <t>1.3.1</t>
        </is>
      </c>
      <c r="B630" s="12" t="inlineStr">
        <is>
          <t>Systems - Traction Power</t>
        </is>
      </c>
      <c r="C630" s="12" t="inlineStr">
        <is>
          <t>Contractor Programme</t>
        </is>
      </c>
      <c r="D630" s="12" t="inlineStr">
        <is>
          <t>SCH-03-118</t>
        </is>
      </c>
      <c r="E630" s="12" t="inlineStr">
        <is>
          <t>West wayside: SCADA point-to-point check - field start</t>
        </is>
      </c>
      <c r="F630" s="12" t="inlineStr">
        <is>
          <t>ONE_TO_ONE</t>
        </is>
      </c>
      <c r="G630" s="12" t="inlineStr">
        <is>
          <t>APPROVED</t>
        </is>
      </c>
      <c r="H630" s="12" t="inlineStr">
        <is>
          <t>New</t>
        </is>
      </c>
      <c r="I630" s="12" t="inlineStr">
        <is>
          <t>Source assignment -- not individually reviewed</t>
        </is>
      </c>
      <c r="J630" s="12" t="inlineStr"/>
      <c r="K630" s="12" t="inlineStr">
        <is>
          <t>Source assignment</t>
        </is>
      </c>
      <c r="L630" s="12" t="inlineStr"/>
      <c r="M630" s="12" t="inlineStr">
        <is>
          <t>Initial</t>
        </is>
      </c>
      <c r="N630" s="12" t="inlineStr">
        <is>
          <t>Rev 0</t>
        </is>
      </c>
      <c r="O630" s="12" t="inlineStr">
        <is>
          <t>R478-v1</t>
        </is>
      </c>
      <c r="P630" s="12" t="inlineStr"/>
      <c r="Q630" s="12" t="inlineStr"/>
      <c r="R630" s="12" t="inlineStr"/>
      <c r="S630" s="12" t="inlineStr"/>
      <c r="T630" s="12" t="inlineStr"/>
      <c r="U630" s="12" t="inlineStr"/>
      <c r="V630" s="12" t="inlineStr">
        <is>
          <t>WBS Code = 1.3.1</t>
        </is>
      </c>
      <c r="W630" s="12" t="inlineStr"/>
    </row>
    <row r="631" ht="34" customHeight="1">
      <c r="A631" s="12" t="inlineStr">
        <is>
          <t>1.3.1</t>
        </is>
      </c>
      <c r="B631" s="12" t="inlineStr">
        <is>
          <t>Systems - Traction Power</t>
        </is>
      </c>
      <c r="C631" s="12" t="inlineStr">
        <is>
          <t>Contractor Programme</t>
        </is>
      </c>
      <c r="D631" s="12" t="inlineStr">
        <is>
          <t>SCH-03-119</t>
        </is>
      </c>
      <c r="E631" s="12" t="inlineStr">
        <is>
          <t>East substation: traction-power feeder pull - installation</t>
        </is>
      </c>
      <c r="F631" s="12" t="inlineStr">
        <is>
          <t>ONE_TO_ONE</t>
        </is>
      </c>
      <c r="G631" s="12" t="inlineStr">
        <is>
          <t>APPROVED</t>
        </is>
      </c>
      <c r="H631" s="12" t="inlineStr">
        <is>
          <t>New</t>
        </is>
      </c>
      <c r="I631" s="12" t="inlineStr">
        <is>
          <t>Source assignment -- not individually reviewed</t>
        </is>
      </c>
      <c r="J631" s="12" t="inlineStr"/>
      <c r="K631" s="12" t="inlineStr">
        <is>
          <t>Source assignment</t>
        </is>
      </c>
      <c r="L631" s="12" t="inlineStr"/>
      <c r="M631" s="12" t="inlineStr">
        <is>
          <t>Initial</t>
        </is>
      </c>
      <c r="N631" s="12" t="inlineStr">
        <is>
          <t>Rev 0</t>
        </is>
      </c>
      <c r="O631" s="12" t="inlineStr">
        <is>
          <t>R479-v1</t>
        </is>
      </c>
      <c r="P631" s="12" t="inlineStr"/>
      <c r="Q631" s="12" t="inlineStr"/>
      <c r="R631" s="12" t="inlineStr"/>
      <c r="S631" s="12" t="inlineStr"/>
      <c r="T631" s="12" t="inlineStr"/>
      <c r="U631" s="12" t="inlineStr"/>
      <c r="V631" s="12" t="inlineStr">
        <is>
          <t>WBS Code = 1.3.1</t>
        </is>
      </c>
      <c r="W631" s="12" t="inlineStr"/>
    </row>
    <row r="632" ht="34" customHeight="1">
      <c r="A632" s="12" t="inlineStr">
        <is>
          <t>1.3.1</t>
        </is>
      </c>
      <c r="B632" s="12" t="inlineStr">
        <is>
          <t>Systems - Traction Power</t>
        </is>
      </c>
      <c r="C632" s="12" t="inlineStr">
        <is>
          <t>Contractor Programme</t>
        </is>
      </c>
      <c r="D632" s="12" t="inlineStr">
        <is>
          <t>SCH-03-121</t>
        </is>
      </c>
      <c r="E632" s="12" t="inlineStr">
        <is>
          <t>Harbour Station: wayside interface test - turnover</t>
        </is>
      </c>
      <c r="F632" s="12" t="inlineStr">
        <is>
          <t>ONE_TO_ONE</t>
        </is>
      </c>
      <c r="G632" s="12" t="inlineStr">
        <is>
          <t>APPROVED</t>
        </is>
      </c>
      <c r="H632" s="12" t="inlineStr">
        <is>
          <t>New</t>
        </is>
      </c>
      <c r="I632" s="12" t="inlineStr">
        <is>
          <t>Source assignment -- not individually reviewed</t>
        </is>
      </c>
      <c r="J632" s="12" t="inlineStr"/>
      <c r="K632" s="12" t="inlineStr">
        <is>
          <t>Source assignment</t>
        </is>
      </c>
      <c r="L632" s="12" t="inlineStr"/>
      <c r="M632" s="12" t="inlineStr">
        <is>
          <t>Initial</t>
        </is>
      </c>
      <c r="N632" s="12" t="inlineStr">
        <is>
          <t>Rev 0</t>
        </is>
      </c>
      <c r="O632" s="12" t="inlineStr">
        <is>
          <t>R481-v1</t>
        </is>
      </c>
      <c r="P632" s="12" t="inlineStr"/>
      <c r="Q632" s="12" t="inlineStr"/>
      <c r="R632" s="12" t="inlineStr"/>
      <c r="S632" s="12" t="inlineStr"/>
      <c r="T632" s="12" t="inlineStr"/>
      <c r="U632" s="12" t="inlineStr"/>
      <c r="V632" s="12" t="inlineStr">
        <is>
          <t>WBS Code = 1.3.1</t>
        </is>
      </c>
      <c r="W632" s="12" t="inlineStr"/>
    </row>
    <row r="633" ht="34" customHeight="1">
      <c r="A633" s="12" t="inlineStr">
        <is>
          <t>1.3.1</t>
        </is>
      </c>
      <c r="B633" s="12" t="inlineStr">
        <is>
          <t>Systems - Traction Power</t>
        </is>
      </c>
      <c r="C633" s="12" t="inlineStr">
        <is>
          <t>Contractor Programme</t>
        </is>
      </c>
      <c r="D633" s="12" t="inlineStr">
        <is>
          <t>SCH-03-122</t>
        </is>
      </c>
      <c r="E633" s="12" t="inlineStr">
        <is>
          <t>Control Centre: signal equipment installation - release</t>
        </is>
      </c>
      <c r="F633" s="12" t="inlineStr">
        <is>
          <t>ONE_TO_ONE</t>
        </is>
      </c>
      <c r="G633" s="12" t="inlineStr">
        <is>
          <t>APPROVED</t>
        </is>
      </c>
      <c r="H633" s="12" t="inlineStr">
        <is>
          <t>New</t>
        </is>
      </c>
      <c r="I633" s="12" t="inlineStr">
        <is>
          <t>Source assignment -- not individually reviewed</t>
        </is>
      </c>
      <c r="J633" s="12" t="inlineStr"/>
      <c r="K633" s="12" t="inlineStr">
        <is>
          <t>Source assignment</t>
        </is>
      </c>
      <c r="L633" s="12" t="inlineStr"/>
      <c r="M633" s="12" t="inlineStr">
        <is>
          <t>Initial</t>
        </is>
      </c>
      <c r="N633" s="12" t="inlineStr">
        <is>
          <t>Rev 0</t>
        </is>
      </c>
      <c r="O633" s="12" t="inlineStr">
        <is>
          <t>R482-v1</t>
        </is>
      </c>
      <c r="P633" s="12" t="inlineStr"/>
      <c r="Q633" s="12" t="inlineStr"/>
      <c r="R633" s="12" t="inlineStr"/>
      <c r="S633" s="12" t="inlineStr"/>
      <c r="T633" s="12" t="inlineStr"/>
      <c r="U633" s="12" t="inlineStr"/>
      <c r="V633" s="12" t="inlineStr">
        <is>
          <t>WBS Code = 1.3.1</t>
        </is>
      </c>
      <c r="W633" s="12" t="inlineStr"/>
    </row>
    <row r="634" ht="34" customHeight="1">
      <c r="A634" s="12" t="inlineStr">
        <is>
          <t>1.3.1</t>
        </is>
      </c>
      <c r="B634" s="12" t="inlineStr">
        <is>
          <t>Systems - Traction Power</t>
        </is>
      </c>
      <c r="C634" s="12" t="inlineStr">
        <is>
          <t>Contractor Programme</t>
        </is>
      </c>
      <c r="D634" s="12" t="inlineStr">
        <is>
          <t>SCH-03-124</t>
        </is>
      </c>
      <c r="E634" s="12" t="inlineStr">
        <is>
          <t>East substation: control-centre integration - installation</t>
        </is>
      </c>
      <c r="F634" s="12" t="inlineStr">
        <is>
          <t>ONE_TO_ONE</t>
        </is>
      </c>
      <c r="G634" s="12" t="inlineStr">
        <is>
          <t>APPROVED</t>
        </is>
      </c>
      <c r="H634" s="12" t="inlineStr">
        <is>
          <t>New</t>
        </is>
      </c>
      <c r="I634" s="12" t="inlineStr">
        <is>
          <t>Source assignment -- not individually reviewed</t>
        </is>
      </c>
      <c r="J634" s="12" t="inlineStr"/>
      <c r="K634" s="12" t="inlineStr">
        <is>
          <t>Source assignment</t>
        </is>
      </c>
      <c r="L634" s="12" t="inlineStr"/>
      <c r="M634" s="12" t="inlineStr">
        <is>
          <t>Initial</t>
        </is>
      </c>
      <c r="N634" s="12" t="inlineStr">
        <is>
          <t>Rev 0</t>
        </is>
      </c>
      <c r="O634" s="12" t="inlineStr">
        <is>
          <t>R484-v1</t>
        </is>
      </c>
      <c r="P634" s="12" t="inlineStr"/>
      <c r="Q634" s="12" t="inlineStr"/>
      <c r="R634" s="12" t="inlineStr"/>
      <c r="S634" s="12" t="inlineStr"/>
      <c r="T634" s="12" t="inlineStr"/>
      <c r="U634" s="12" t="inlineStr"/>
      <c r="V634" s="12" t="inlineStr">
        <is>
          <t>WBS Code = 1.3.1</t>
        </is>
      </c>
      <c r="W634" s="12" t="inlineStr"/>
    </row>
    <row r="635" ht="34" customHeight="1">
      <c r="A635" s="12" t="inlineStr">
        <is>
          <t>1.3.1</t>
        </is>
      </c>
      <c r="B635" s="12" t="inlineStr">
        <is>
          <t>Systems - Traction Power</t>
        </is>
      </c>
      <c r="C635" s="12" t="inlineStr">
        <is>
          <t>Contractor Programme</t>
        </is>
      </c>
      <c r="D635" s="12" t="inlineStr">
        <is>
          <t>SCH-03-125</t>
        </is>
      </c>
      <c r="E635" s="12" t="inlineStr">
        <is>
          <t>Central interlocking: fibre backbone termination - inspection</t>
        </is>
      </c>
      <c r="F635" s="12" t="inlineStr">
        <is>
          <t>ONE_TO_ONE</t>
        </is>
      </c>
      <c r="G635" s="12" t="inlineStr">
        <is>
          <t>APPROVED</t>
        </is>
      </c>
      <c r="H635" s="12" t="inlineStr">
        <is>
          <t>New</t>
        </is>
      </c>
      <c r="I635" s="12" t="inlineStr">
        <is>
          <t>Source assignment -- not individually reviewed</t>
        </is>
      </c>
      <c r="J635" s="12" t="inlineStr"/>
      <c r="K635" s="12" t="inlineStr">
        <is>
          <t>Source assignment</t>
        </is>
      </c>
      <c r="L635" s="12" t="inlineStr"/>
      <c r="M635" s="12" t="inlineStr">
        <is>
          <t>Initial</t>
        </is>
      </c>
      <c r="N635" s="12" t="inlineStr">
        <is>
          <t>Rev 0</t>
        </is>
      </c>
      <c r="O635" s="12" t="inlineStr">
        <is>
          <t>R485-v1</t>
        </is>
      </c>
      <c r="P635" s="12" t="inlineStr"/>
      <c r="Q635" s="12" t="inlineStr"/>
      <c r="R635" s="12" t="inlineStr"/>
      <c r="S635" s="12" t="inlineStr"/>
      <c r="T635" s="12" t="inlineStr"/>
      <c r="U635" s="12" t="inlineStr"/>
      <c r="V635" s="12" t="inlineStr">
        <is>
          <t>WBS Code = 1.3.1</t>
        </is>
      </c>
      <c r="W635" s="12" t="inlineStr"/>
    </row>
    <row r="636" ht="34" customHeight="1">
      <c r="A636" s="12" t="inlineStr">
        <is>
          <t>1.3.1</t>
        </is>
      </c>
      <c r="B636" s="12" t="inlineStr">
        <is>
          <t>Systems - Traction Power</t>
        </is>
      </c>
      <c r="C636" s="12" t="inlineStr">
        <is>
          <t>Contractor Programme</t>
        </is>
      </c>
      <c r="D636" s="12" t="inlineStr">
        <is>
          <t>SCH-03-127</t>
        </is>
      </c>
      <c r="E636" s="12" t="inlineStr">
        <is>
          <t>Control Centre: traction-power feeder pull - release</t>
        </is>
      </c>
      <c r="F636" s="12" t="inlineStr">
        <is>
          <t>ONE_TO_ONE</t>
        </is>
      </c>
      <c r="G636" s="12" t="inlineStr">
        <is>
          <t>APPROVED</t>
        </is>
      </c>
      <c r="H636" s="12" t="inlineStr">
        <is>
          <t>New</t>
        </is>
      </c>
      <c r="I636" s="12" t="inlineStr">
        <is>
          <t>Source assignment -- not individually reviewed</t>
        </is>
      </c>
      <c r="J636" s="12" t="inlineStr"/>
      <c r="K636" s="12" t="inlineStr">
        <is>
          <t>Source assignment</t>
        </is>
      </c>
      <c r="L636" s="12" t="inlineStr"/>
      <c r="M636" s="12" t="inlineStr">
        <is>
          <t>Initial</t>
        </is>
      </c>
      <c r="N636" s="12" t="inlineStr">
        <is>
          <t>Rev 0</t>
        </is>
      </c>
      <c r="O636" s="12" t="inlineStr">
        <is>
          <t>R487-v1</t>
        </is>
      </c>
      <c r="P636" s="12" t="inlineStr"/>
      <c r="Q636" s="12" t="inlineStr"/>
      <c r="R636" s="12" t="inlineStr"/>
      <c r="S636" s="12" t="inlineStr"/>
      <c r="T636" s="12" t="inlineStr"/>
      <c r="U636" s="12" t="inlineStr"/>
      <c r="V636" s="12" t="inlineStr">
        <is>
          <t>WBS Code = 1.3.1</t>
        </is>
      </c>
      <c r="W636" s="12" t="inlineStr"/>
    </row>
    <row r="637" ht="34" customHeight="1">
      <c r="A637" s="12" t="inlineStr">
        <is>
          <t>1.3.1</t>
        </is>
      </c>
      <c r="B637" s="12" t="inlineStr">
        <is>
          <t>Systems - Traction Power</t>
        </is>
      </c>
      <c r="C637" s="12" t="inlineStr">
        <is>
          <t>Contractor Programme</t>
        </is>
      </c>
      <c r="D637" s="12" t="inlineStr">
        <is>
          <t>SCH-03-128</t>
        </is>
      </c>
      <c r="E637" s="12" t="inlineStr">
        <is>
          <t>West wayside: train-control cabinet fit-out - field start</t>
        </is>
      </c>
      <c r="F637" s="12" t="inlineStr">
        <is>
          <t>ONE_TO_ONE</t>
        </is>
      </c>
      <c r="G637" s="12" t="inlineStr">
        <is>
          <t>APPROVED</t>
        </is>
      </c>
      <c r="H637" s="12" t="inlineStr">
        <is>
          <t>New</t>
        </is>
      </c>
      <c r="I637" s="12" t="inlineStr">
        <is>
          <t>Source assignment -- not individually reviewed</t>
        </is>
      </c>
      <c r="J637" s="12" t="inlineStr"/>
      <c r="K637" s="12" t="inlineStr">
        <is>
          <t>Source assignment</t>
        </is>
      </c>
      <c r="L637" s="12" t="inlineStr"/>
      <c r="M637" s="12" t="inlineStr">
        <is>
          <t>Initial</t>
        </is>
      </c>
      <c r="N637" s="12" t="inlineStr">
        <is>
          <t>Rev 0</t>
        </is>
      </c>
      <c r="O637" s="12" t="inlineStr">
        <is>
          <t>R488-v1</t>
        </is>
      </c>
      <c r="P637" s="12" t="inlineStr"/>
      <c r="Q637" s="12" t="inlineStr"/>
      <c r="R637" s="12" t="inlineStr"/>
      <c r="S637" s="12" t="inlineStr"/>
      <c r="T637" s="12" t="inlineStr"/>
      <c r="U637" s="12" t="inlineStr"/>
      <c r="V637" s="12" t="inlineStr">
        <is>
          <t>WBS Code = 1.3.1</t>
        </is>
      </c>
      <c r="W637" s="12" t="inlineStr"/>
    </row>
    <row r="638" ht="34" customHeight="1">
      <c r="A638" s="12" t="inlineStr">
        <is>
          <t>1.3.1</t>
        </is>
      </c>
      <c r="B638" s="12" t="inlineStr">
        <is>
          <t>Systems - Traction Power</t>
        </is>
      </c>
      <c r="C638" s="12" t="inlineStr">
        <is>
          <t>Contractor Programme</t>
        </is>
      </c>
      <c r="D638" s="12" t="inlineStr">
        <is>
          <t>SCH-03-130</t>
        </is>
      </c>
      <c r="E638" s="12" t="inlineStr">
        <is>
          <t>Central interlocking: signal equipment installation - inspection</t>
        </is>
      </c>
      <c r="F638" s="12" t="inlineStr">
        <is>
          <t>ONE_TO_ONE</t>
        </is>
      </c>
      <c r="G638" s="12" t="inlineStr">
        <is>
          <t>APPROVED</t>
        </is>
      </c>
      <c r="H638" s="12" t="inlineStr">
        <is>
          <t>New</t>
        </is>
      </c>
      <c r="I638" s="12" t="inlineStr">
        <is>
          <t>Source assignment -- not individually reviewed</t>
        </is>
      </c>
      <c r="J638" s="12" t="inlineStr"/>
      <c r="K638" s="12" t="inlineStr">
        <is>
          <t>Source assignment</t>
        </is>
      </c>
      <c r="L638" s="12" t="inlineStr"/>
      <c r="M638" s="12" t="inlineStr">
        <is>
          <t>Initial</t>
        </is>
      </c>
      <c r="N638" s="12" t="inlineStr">
        <is>
          <t>Rev 0</t>
        </is>
      </c>
      <c r="O638" s="12" t="inlineStr">
        <is>
          <t>R490-v1</t>
        </is>
      </c>
      <c r="P638" s="12" t="inlineStr"/>
      <c r="Q638" s="12" t="inlineStr"/>
      <c r="R638" s="12" t="inlineStr"/>
      <c r="S638" s="12" t="inlineStr"/>
      <c r="T638" s="12" t="inlineStr"/>
      <c r="U638" s="12" t="inlineStr"/>
      <c r="V638" s="12" t="inlineStr">
        <is>
          <t>WBS Code = 1.3.1</t>
        </is>
      </c>
      <c r="W638" s="12" t="inlineStr"/>
    </row>
    <row r="639" ht="34" customHeight="1">
      <c r="A639" s="12" t="inlineStr">
        <is>
          <t>1.3.1</t>
        </is>
      </c>
      <c r="B639" s="12" t="inlineStr">
        <is>
          <t>Systems - Traction Power</t>
        </is>
      </c>
      <c r="C639" s="12" t="inlineStr">
        <is>
          <t>Contractor Programme</t>
        </is>
      </c>
      <c r="D639" s="12" t="inlineStr">
        <is>
          <t>SCH-03-131</t>
        </is>
      </c>
      <c r="E639" s="12" t="inlineStr">
        <is>
          <t>Harbour Station: radio equipment installation - turnover</t>
        </is>
      </c>
      <c r="F639" s="12" t="inlineStr">
        <is>
          <t>ONE_TO_ONE</t>
        </is>
      </c>
      <c r="G639" s="12" t="inlineStr">
        <is>
          <t>APPROVED</t>
        </is>
      </c>
      <c r="H639" s="12" t="inlineStr">
        <is>
          <t>New</t>
        </is>
      </c>
      <c r="I639" s="12" t="inlineStr">
        <is>
          <t>Source assignment -- not individually reviewed</t>
        </is>
      </c>
      <c r="J639" s="12" t="inlineStr"/>
      <c r="K639" s="12" t="inlineStr">
        <is>
          <t>Source assignment</t>
        </is>
      </c>
      <c r="L639" s="12" t="inlineStr"/>
      <c r="M639" s="12" t="inlineStr">
        <is>
          <t>Initial</t>
        </is>
      </c>
      <c r="N639" s="12" t="inlineStr">
        <is>
          <t>Rev 0</t>
        </is>
      </c>
      <c r="O639" s="12" t="inlineStr">
        <is>
          <t>R491-v1</t>
        </is>
      </c>
      <c r="P639" s="12" t="inlineStr"/>
      <c r="Q639" s="12" t="inlineStr"/>
      <c r="R639" s="12" t="inlineStr"/>
      <c r="S639" s="12" t="inlineStr"/>
      <c r="T639" s="12" t="inlineStr"/>
      <c r="U639" s="12" t="inlineStr"/>
      <c r="V639" s="12" t="inlineStr">
        <is>
          <t>WBS Code = 1.3.1</t>
        </is>
      </c>
      <c r="W639" s="12" t="inlineStr"/>
    </row>
    <row r="640" ht="34" customHeight="1">
      <c r="A640" s="12" t="inlineStr">
        <is>
          <t>1.3.1</t>
        </is>
      </c>
      <c r="B640" s="12" t="inlineStr">
        <is>
          <t>Systems - Traction Power</t>
        </is>
      </c>
      <c r="C640" s="12" t="inlineStr">
        <is>
          <t>Contractor Programme</t>
        </is>
      </c>
      <c r="D640" s="12" t="inlineStr">
        <is>
          <t>SCH-03-133</t>
        </is>
      </c>
      <c r="E640" s="12" t="inlineStr">
        <is>
          <t>West wayside: fibre backbone termination - field start</t>
        </is>
      </c>
      <c r="F640" s="12" t="inlineStr">
        <is>
          <t>ONE_TO_ONE</t>
        </is>
      </c>
      <c r="G640" s="12" t="inlineStr">
        <is>
          <t>APPROVED</t>
        </is>
      </c>
      <c r="H640" s="12" t="inlineStr">
        <is>
          <t>New</t>
        </is>
      </c>
      <c r="I640" s="12" t="inlineStr">
        <is>
          <t>Source assignment -- not individually reviewed</t>
        </is>
      </c>
      <c r="J640" s="12" t="inlineStr"/>
      <c r="K640" s="12" t="inlineStr">
        <is>
          <t>Source assignment</t>
        </is>
      </c>
      <c r="L640" s="12" t="inlineStr"/>
      <c r="M640" s="12" t="inlineStr">
        <is>
          <t>Initial</t>
        </is>
      </c>
      <c r="N640" s="12" t="inlineStr">
        <is>
          <t>Rev 0</t>
        </is>
      </c>
      <c r="O640" s="12" t="inlineStr">
        <is>
          <t>R493-v1</t>
        </is>
      </c>
      <c r="P640" s="12" t="inlineStr"/>
      <c r="Q640" s="12" t="inlineStr"/>
      <c r="R640" s="12" t="inlineStr"/>
      <c r="S640" s="12" t="inlineStr"/>
      <c r="T640" s="12" t="inlineStr"/>
      <c r="U640" s="12" t="inlineStr"/>
      <c r="V640" s="12" t="inlineStr">
        <is>
          <t>WBS Code = 1.3.1</t>
        </is>
      </c>
      <c r="W640" s="12" t="inlineStr"/>
    </row>
    <row r="641" ht="34" customHeight="1">
      <c r="A641" s="12" t="inlineStr">
        <is>
          <t>1.3.1</t>
        </is>
      </c>
      <c r="B641" s="12" t="inlineStr">
        <is>
          <t>Systems - Traction Power</t>
        </is>
      </c>
      <c r="C641" s="12" t="inlineStr">
        <is>
          <t>Contractor Programme</t>
        </is>
      </c>
      <c r="D641" s="12" t="inlineStr">
        <is>
          <t>SCH-03-134</t>
        </is>
      </c>
      <c r="E641" s="12" t="inlineStr">
        <is>
          <t>East substation: SCADA point-to-point check - installation</t>
        </is>
      </c>
      <c r="F641" s="12" t="inlineStr">
        <is>
          <t>ONE_TO_ONE</t>
        </is>
      </c>
      <c r="G641" s="12" t="inlineStr">
        <is>
          <t>APPROVED</t>
        </is>
      </c>
      <c r="H641" s="12" t="inlineStr">
        <is>
          <t>New</t>
        </is>
      </c>
      <c r="I641" s="12" t="inlineStr">
        <is>
          <t>Source assignment -- not individually reviewed</t>
        </is>
      </c>
      <c r="J641" s="12" t="inlineStr"/>
      <c r="K641" s="12" t="inlineStr">
        <is>
          <t>Source assignment</t>
        </is>
      </c>
      <c r="L641" s="12" t="inlineStr"/>
      <c r="M641" s="12" t="inlineStr">
        <is>
          <t>Initial</t>
        </is>
      </c>
      <c r="N641" s="12" t="inlineStr">
        <is>
          <t>Rev 0</t>
        </is>
      </c>
      <c r="O641" s="12" t="inlineStr">
        <is>
          <t>R494-v1</t>
        </is>
      </c>
      <c r="P641" s="12" t="inlineStr"/>
      <c r="Q641" s="12" t="inlineStr"/>
      <c r="R641" s="12" t="inlineStr"/>
      <c r="S641" s="12" t="inlineStr"/>
      <c r="T641" s="12" t="inlineStr"/>
      <c r="U641" s="12" t="inlineStr"/>
      <c r="V641" s="12" t="inlineStr">
        <is>
          <t>WBS Code = 1.3.1</t>
        </is>
      </c>
      <c r="W641" s="12" t="inlineStr"/>
    </row>
    <row r="642" ht="34" customHeight="1">
      <c r="A642" s="12" t="inlineStr">
        <is>
          <t>1.3.1</t>
        </is>
      </c>
      <c r="B642" s="12" t="inlineStr">
        <is>
          <t>Systems - Traction Power</t>
        </is>
      </c>
      <c r="C642" s="12" t="inlineStr">
        <is>
          <t>Contractor Programme</t>
        </is>
      </c>
      <c r="D642" s="12" t="inlineStr">
        <is>
          <t>SCH-03-136</t>
        </is>
      </c>
      <c r="E642" s="12" t="inlineStr">
        <is>
          <t>Harbour Station: train-control cabinet fit-out - turnover</t>
        </is>
      </c>
      <c r="F642" s="12" t="inlineStr">
        <is>
          <t>ONE_TO_ONE</t>
        </is>
      </c>
      <c r="G642" s="12" t="inlineStr">
        <is>
          <t>APPROVED</t>
        </is>
      </c>
      <c r="H642" s="12" t="inlineStr">
        <is>
          <t>New</t>
        </is>
      </c>
      <c r="I642" s="12" t="inlineStr">
        <is>
          <t>Source assignment -- not individually reviewed</t>
        </is>
      </c>
      <c r="J642" s="12" t="inlineStr"/>
      <c r="K642" s="12" t="inlineStr">
        <is>
          <t>Source assignment</t>
        </is>
      </c>
      <c r="L642" s="12" t="inlineStr"/>
      <c r="M642" s="12" t="inlineStr">
        <is>
          <t>Initial</t>
        </is>
      </c>
      <c r="N642" s="12" t="inlineStr">
        <is>
          <t>Rev 0</t>
        </is>
      </c>
      <c r="O642" s="12" t="inlineStr">
        <is>
          <t>R496-v1</t>
        </is>
      </c>
      <c r="P642" s="12" t="inlineStr"/>
      <c r="Q642" s="12" t="inlineStr"/>
      <c r="R642" s="12" t="inlineStr"/>
      <c r="S642" s="12" t="inlineStr"/>
      <c r="T642" s="12" t="inlineStr"/>
      <c r="U642" s="12" t="inlineStr"/>
      <c r="V642" s="12" t="inlineStr">
        <is>
          <t>WBS Code = 1.3.1</t>
        </is>
      </c>
      <c r="W642" s="12" t="inlineStr"/>
    </row>
    <row r="643" ht="34" customHeight="1">
      <c r="A643" s="12" t="inlineStr">
        <is>
          <t>1.3.1</t>
        </is>
      </c>
      <c r="B643" s="12" t="inlineStr">
        <is>
          <t>Systems - Traction Power</t>
        </is>
      </c>
      <c r="C643" s="12" t="inlineStr">
        <is>
          <t>Contractor Programme</t>
        </is>
      </c>
      <c r="D643" s="12" t="inlineStr">
        <is>
          <t>SCH-03-137</t>
        </is>
      </c>
      <c r="E643" s="12" t="inlineStr">
        <is>
          <t>Control Centre: wayside interface test - release</t>
        </is>
      </c>
      <c r="F643" s="12" t="inlineStr">
        <is>
          <t>ONE_TO_ONE</t>
        </is>
      </c>
      <c r="G643" s="12" t="inlineStr">
        <is>
          <t>APPROVED</t>
        </is>
      </c>
      <c r="H643" s="12" t="inlineStr">
        <is>
          <t>New</t>
        </is>
      </c>
      <c r="I643" s="12" t="inlineStr">
        <is>
          <t>Source assignment -- not individually reviewed</t>
        </is>
      </c>
      <c r="J643" s="12" t="inlineStr"/>
      <c r="K643" s="12" t="inlineStr">
        <is>
          <t>Source assignment</t>
        </is>
      </c>
      <c r="L643" s="12" t="inlineStr"/>
      <c r="M643" s="12" t="inlineStr">
        <is>
          <t>Initial</t>
        </is>
      </c>
      <c r="N643" s="12" t="inlineStr">
        <is>
          <t>Rev 0</t>
        </is>
      </c>
      <c r="O643" s="12" t="inlineStr">
        <is>
          <t>R497-v1</t>
        </is>
      </c>
      <c r="P643" s="12" t="inlineStr"/>
      <c r="Q643" s="12" t="inlineStr"/>
      <c r="R643" s="12" t="inlineStr"/>
      <c r="S643" s="12" t="inlineStr"/>
      <c r="T643" s="12" t="inlineStr"/>
      <c r="U643" s="12" t="inlineStr"/>
      <c r="V643" s="12" t="inlineStr">
        <is>
          <t>WBS Code = 1.3.1</t>
        </is>
      </c>
      <c r="W643" s="12" t="inlineStr"/>
    </row>
    <row r="644" ht="34" customHeight="1">
      <c r="A644" s="12" t="inlineStr">
        <is>
          <t>1.3.1</t>
        </is>
      </c>
      <c r="B644" s="12" t="inlineStr">
        <is>
          <t>Systems - Traction Power</t>
        </is>
      </c>
      <c r="C644" s="12" t="inlineStr">
        <is>
          <t>Contractor Programme</t>
        </is>
      </c>
      <c r="D644" s="12" t="inlineStr">
        <is>
          <t>SCH-03-139</t>
        </is>
      </c>
      <c r="E644" s="12" t="inlineStr">
        <is>
          <t>East substation: radio equipment installation - installation</t>
        </is>
      </c>
      <c r="F644" s="12" t="inlineStr">
        <is>
          <t>ONE_TO_ONE</t>
        </is>
      </c>
      <c r="G644" s="12" t="inlineStr">
        <is>
          <t>APPROVED</t>
        </is>
      </c>
      <c r="H644" s="12" t="inlineStr">
        <is>
          <t>New</t>
        </is>
      </c>
      <c r="I644" s="12" t="inlineStr">
        <is>
          <t>Source assignment -- not individually reviewed</t>
        </is>
      </c>
      <c r="J644" s="12" t="inlineStr"/>
      <c r="K644" s="12" t="inlineStr">
        <is>
          <t>Source assignment</t>
        </is>
      </c>
      <c r="L644" s="12" t="inlineStr"/>
      <c r="M644" s="12" t="inlineStr">
        <is>
          <t>Initial</t>
        </is>
      </c>
      <c r="N644" s="12" t="inlineStr">
        <is>
          <t>Rev 0</t>
        </is>
      </c>
      <c r="O644" s="12" t="inlineStr">
        <is>
          <t>R499-v1</t>
        </is>
      </c>
      <c r="P644" s="12" t="inlineStr"/>
      <c r="Q644" s="12" t="inlineStr"/>
      <c r="R644" s="12" t="inlineStr"/>
      <c r="S644" s="12" t="inlineStr"/>
      <c r="T644" s="12" t="inlineStr"/>
      <c r="U644" s="12" t="inlineStr"/>
      <c r="V644" s="12" t="inlineStr">
        <is>
          <t>WBS Code = 1.3.1</t>
        </is>
      </c>
      <c r="W644" s="12" t="inlineStr"/>
    </row>
    <row r="645" ht="34" customHeight="1">
      <c r="A645" s="12" t="inlineStr">
        <is>
          <t>1.3.1</t>
        </is>
      </c>
      <c r="B645" s="12" t="inlineStr">
        <is>
          <t>Systems - Traction Power</t>
        </is>
      </c>
      <c r="C645" s="12" t="inlineStr">
        <is>
          <t>Contractor Programme</t>
        </is>
      </c>
      <c r="D645" s="12" t="inlineStr">
        <is>
          <t>SCH-03-140</t>
        </is>
      </c>
      <c r="E645" s="12" t="inlineStr">
        <is>
          <t>Central interlocking: control-centre integration - inspection</t>
        </is>
      </c>
      <c r="F645" s="12" t="inlineStr">
        <is>
          <t>ONE_TO_ONE</t>
        </is>
      </c>
      <c r="G645" s="12" t="inlineStr">
        <is>
          <t>APPROVED</t>
        </is>
      </c>
      <c r="H645" s="12" t="inlineStr">
        <is>
          <t>New</t>
        </is>
      </c>
      <c r="I645" s="12" t="inlineStr">
        <is>
          <t>Source assignment -- not individually reviewed</t>
        </is>
      </c>
      <c r="J645" s="12" t="inlineStr"/>
      <c r="K645" s="12" t="inlineStr">
        <is>
          <t>Source assignment</t>
        </is>
      </c>
      <c r="L645" s="12" t="inlineStr"/>
      <c r="M645" s="12" t="inlineStr">
        <is>
          <t>Initial</t>
        </is>
      </c>
      <c r="N645" s="12" t="inlineStr">
        <is>
          <t>Rev 0</t>
        </is>
      </c>
      <c r="O645" s="12" t="inlineStr">
        <is>
          <t>R500-v1</t>
        </is>
      </c>
      <c r="P645" s="12" t="inlineStr"/>
      <c r="Q645" s="12" t="inlineStr"/>
      <c r="R645" s="12" t="inlineStr"/>
      <c r="S645" s="12" t="inlineStr"/>
      <c r="T645" s="12" t="inlineStr"/>
      <c r="U645" s="12" t="inlineStr"/>
      <c r="V645" s="12" t="inlineStr">
        <is>
          <t>WBS Code = 1.3.1</t>
        </is>
      </c>
      <c r="W645" s="12" t="inlineStr"/>
    </row>
    <row r="646" ht="34" customHeight="1">
      <c r="A646" s="12" t="inlineStr">
        <is>
          <t>1.3.1</t>
        </is>
      </c>
      <c r="B646" s="12" t="inlineStr">
        <is>
          <t>Systems - Traction Power</t>
        </is>
      </c>
      <c r="C646" s="12" t="inlineStr">
        <is>
          <t>Contractor Programme</t>
        </is>
      </c>
      <c r="D646" s="12" t="inlineStr">
        <is>
          <t>SCH-03-142</t>
        </is>
      </c>
      <c r="E646" s="12" t="inlineStr">
        <is>
          <t>Control Centre: SCADA point-to-point check - release</t>
        </is>
      </c>
      <c r="F646" s="12" t="inlineStr">
        <is>
          <t>ONE_TO_ONE</t>
        </is>
      </c>
      <c r="G646" s="12" t="inlineStr">
        <is>
          <t>APPROVED</t>
        </is>
      </c>
      <c r="H646" s="12" t="inlineStr">
        <is>
          <t>New</t>
        </is>
      </c>
      <c r="I646" s="12" t="inlineStr">
        <is>
          <t>Source assignment -- not individually reviewed</t>
        </is>
      </c>
      <c r="J646" s="12" t="inlineStr"/>
      <c r="K646" s="12" t="inlineStr">
        <is>
          <t>Source assignment</t>
        </is>
      </c>
      <c r="L646" s="12" t="inlineStr"/>
      <c r="M646" s="12" t="inlineStr">
        <is>
          <t>Initial</t>
        </is>
      </c>
      <c r="N646" s="12" t="inlineStr">
        <is>
          <t>Rev 0</t>
        </is>
      </c>
      <c r="O646" s="12" t="inlineStr">
        <is>
          <t>R502-v1</t>
        </is>
      </c>
      <c r="P646" s="12" t="inlineStr"/>
      <c r="Q646" s="12" t="inlineStr"/>
      <c r="R646" s="12" t="inlineStr"/>
      <c r="S646" s="12" t="inlineStr"/>
      <c r="T646" s="12" t="inlineStr"/>
      <c r="U646" s="12" t="inlineStr"/>
      <c r="V646" s="12" t="inlineStr">
        <is>
          <t>WBS Code = 1.3.1</t>
        </is>
      </c>
      <c r="W646" s="12" t="inlineStr"/>
    </row>
    <row r="647" ht="34" customHeight="1">
      <c r="A647" s="12" t="inlineStr">
        <is>
          <t>1.3.1</t>
        </is>
      </c>
      <c r="B647" s="12" t="inlineStr">
        <is>
          <t>Systems - Traction Power</t>
        </is>
      </c>
      <c r="C647" s="12" t="inlineStr">
        <is>
          <t>Contractor Programme</t>
        </is>
      </c>
      <c r="D647" s="12" t="inlineStr">
        <is>
          <t>SCH-03-143</t>
        </is>
      </c>
      <c r="E647" s="12" t="inlineStr">
        <is>
          <t>West wayside: traction-power feeder pull - field start</t>
        </is>
      </c>
      <c r="F647" s="12" t="inlineStr">
        <is>
          <t>ONE_TO_ONE</t>
        </is>
      </c>
      <c r="G647" s="12" t="inlineStr">
        <is>
          <t>APPROVED</t>
        </is>
      </c>
      <c r="H647" s="12" t="inlineStr">
        <is>
          <t>New</t>
        </is>
      </c>
      <c r="I647" s="12" t="inlineStr">
        <is>
          <t>Source assignment -- not individually reviewed</t>
        </is>
      </c>
      <c r="J647" s="12" t="inlineStr"/>
      <c r="K647" s="12" t="inlineStr">
        <is>
          <t>Source assignment</t>
        </is>
      </c>
      <c r="L647" s="12" t="inlineStr"/>
      <c r="M647" s="12" t="inlineStr">
        <is>
          <t>Initial</t>
        </is>
      </c>
      <c r="N647" s="12" t="inlineStr">
        <is>
          <t>Rev 0</t>
        </is>
      </c>
      <c r="O647" s="12" t="inlineStr">
        <is>
          <t>R503-v1</t>
        </is>
      </c>
      <c r="P647" s="12" t="inlineStr"/>
      <c r="Q647" s="12" t="inlineStr"/>
      <c r="R647" s="12" t="inlineStr"/>
      <c r="S647" s="12" t="inlineStr"/>
      <c r="T647" s="12" t="inlineStr"/>
      <c r="U647" s="12" t="inlineStr"/>
      <c r="V647" s="12" t="inlineStr">
        <is>
          <t>WBS Code = 1.3.1</t>
        </is>
      </c>
      <c r="W647" s="12" t="inlineStr"/>
    </row>
    <row r="648" ht="34" customHeight="1">
      <c r="A648" s="12" t="inlineStr">
        <is>
          <t>1.3.1</t>
        </is>
      </c>
      <c r="B648" s="12" t="inlineStr">
        <is>
          <t>Systems - Traction Power</t>
        </is>
      </c>
      <c r="C648" s="12" t="inlineStr">
        <is>
          <t>Contractor Programme</t>
        </is>
      </c>
      <c r="D648" s="12" t="inlineStr">
        <is>
          <t>SCH-03-145</t>
        </is>
      </c>
      <c r="E648" s="12" t="inlineStr">
        <is>
          <t>Central interlocking: wayside interface test - inspection</t>
        </is>
      </c>
      <c r="F648" s="12" t="inlineStr">
        <is>
          <t>ONE_TO_ONE</t>
        </is>
      </c>
      <c r="G648" s="12" t="inlineStr">
        <is>
          <t>APPROVED</t>
        </is>
      </c>
      <c r="H648" s="12" t="inlineStr">
        <is>
          <t>New</t>
        </is>
      </c>
      <c r="I648" s="12" t="inlineStr">
        <is>
          <t>Source assignment -- not individually reviewed</t>
        </is>
      </c>
      <c r="J648" s="12" t="inlineStr"/>
      <c r="K648" s="12" t="inlineStr">
        <is>
          <t>Source assignment</t>
        </is>
      </c>
      <c r="L648" s="12" t="inlineStr"/>
      <c r="M648" s="12" t="inlineStr">
        <is>
          <t>Initial</t>
        </is>
      </c>
      <c r="N648" s="12" t="inlineStr">
        <is>
          <t>Rev 0</t>
        </is>
      </c>
      <c r="O648" s="12" t="inlineStr">
        <is>
          <t>R505-v1</t>
        </is>
      </c>
      <c r="P648" s="12" t="inlineStr"/>
      <c r="Q648" s="12" t="inlineStr"/>
      <c r="R648" s="12" t="inlineStr"/>
      <c r="S648" s="12" t="inlineStr"/>
      <c r="T648" s="12" t="inlineStr"/>
      <c r="U648" s="12" t="inlineStr"/>
      <c r="V648" s="12" t="inlineStr">
        <is>
          <t>WBS Code = 1.3.1</t>
        </is>
      </c>
      <c r="W648" s="12" t="inlineStr"/>
    </row>
    <row r="649" ht="34" customHeight="1">
      <c r="A649" s="12" t="inlineStr">
        <is>
          <t>1.3.1</t>
        </is>
      </c>
      <c r="B649" s="12" t="inlineStr">
        <is>
          <t>Systems - Traction Power</t>
        </is>
      </c>
      <c r="C649" s="12" t="inlineStr">
        <is>
          <t>Contractor Programme</t>
        </is>
      </c>
      <c r="D649" s="12" t="inlineStr">
        <is>
          <t>SCH-03-146</t>
        </is>
      </c>
      <c r="E649" s="12" t="inlineStr">
        <is>
          <t>Harbour Station: signal equipment installation - turnover</t>
        </is>
      </c>
      <c r="F649" s="12" t="inlineStr">
        <is>
          <t>ONE_TO_ONE</t>
        </is>
      </c>
      <c r="G649" s="12" t="inlineStr">
        <is>
          <t>APPROVED</t>
        </is>
      </c>
      <c r="H649" s="12" t="inlineStr">
        <is>
          <t>New</t>
        </is>
      </c>
      <c r="I649" s="12" t="inlineStr">
        <is>
          <t>Source assignment -- not individually reviewed</t>
        </is>
      </c>
      <c r="J649" s="12" t="inlineStr"/>
      <c r="K649" s="12" t="inlineStr">
        <is>
          <t>Source assignment</t>
        </is>
      </c>
      <c r="L649" s="12" t="inlineStr"/>
      <c r="M649" s="12" t="inlineStr">
        <is>
          <t>Initial</t>
        </is>
      </c>
      <c r="N649" s="12" t="inlineStr">
        <is>
          <t>Rev 0</t>
        </is>
      </c>
      <c r="O649" s="12" t="inlineStr">
        <is>
          <t>R506-v1</t>
        </is>
      </c>
      <c r="P649" s="12" t="inlineStr"/>
      <c r="Q649" s="12" t="inlineStr"/>
      <c r="R649" s="12" t="inlineStr"/>
      <c r="S649" s="12" t="inlineStr"/>
      <c r="T649" s="12" t="inlineStr"/>
      <c r="U649" s="12" t="inlineStr"/>
      <c r="V649" s="12" t="inlineStr">
        <is>
          <t>WBS Code = 1.3.1</t>
        </is>
      </c>
      <c r="W649" s="12" t="inlineStr"/>
    </row>
    <row r="650" ht="34" customHeight="1">
      <c r="A650" s="12" t="inlineStr">
        <is>
          <t>1.3.1</t>
        </is>
      </c>
      <c r="B650" s="12" t="inlineStr">
        <is>
          <t>Systems - Traction Power</t>
        </is>
      </c>
      <c r="C650" s="12" t="inlineStr">
        <is>
          <t>Contractor Programme</t>
        </is>
      </c>
      <c r="D650" s="12" t="inlineStr">
        <is>
          <t>SCH-03-148</t>
        </is>
      </c>
      <c r="E650" s="12" t="inlineStr">
        <is>
          <t>West wayside: control-centre integration - field start</t>
        </is>
      </c>
      <c r="F650" s="12" t="inlineStr">
        <is>
          <t>ONE_TO_ONE</t>
        </is>
      </c>
      <c r="G650" s="12" t="inlineStr">
        <is>
          <t>APPROVED</t>
        </is>
      </c>
      <c r="H650" s="12" t="inlineStr">
        <is>
          <t>New</t>
        </is>
      </c>
      <c r="I650" s="12" t="inlineStr">
        <is>
          <t>Source assignment -- not individually reviewed</t>
        </is>
      </c>
      <c r="J650" s="12" t="inlineStr"/>
      <c r="K650" s="12" t="inlineStr">
        <is>
          <t>Source assignment</t>
        </is>
      </c>
      <c r="L650" s="12" t="inlineStr"/>
      <c r="M650" s="12" t="inlineStr">
        <is>
          <t>Initial</t>
        </is>
      </c>
      <c r="N650" s="12" t="inlineStr">
        <is>
          <t>Rev 0</t>
        </is>
      </c>
      <c r="O650" s="12" t="inlineStr">
        <is>
          <t>R508-v1</t>
        </is>
      </c>
      <c r="P650" s="12" t="inlineStr"/>
      <c r="Q650" s="12" t="inlineStr"/>
      <c r="R650" s="12" t="inlineStr"/>
      <c r="S650" s="12" t="inlineStr"/>
      <c r="T650" s="12" t="inlineStr"/>
      <c r="U650" s="12" t="inlineStr"/>
      <c r="V650" s="12" t="inlineStr">
        <is>
          <t>WBS Code = 1.3.1</t>
        </is>
      </c>
      <c r="W650" s="12" t="inlineStr"/>
    </row>
    <row r="651" ht="34" customHeight="1">
      <c r="A651" s="12" t="inlineStr">
        <is>
          <t>1.3.1</t>
        </is>
      </c>
      <c r="B651" s="12" t="inlineStr">
        <is>
          <t>Systems - Traction Power</t>
        </is>
      </c>
      <c r="C651" s="12" t="inlineStr">
        <is>
          <t>Contractor Programme</t>
        </is>
      </c>
      <c r="D651" s="12" t="inlineStr">
        <is>
          <t>SCH-03-149</t>
        </is>
      </c>
      <c r="E651" s="12" t="inlineStr">
        <is>
          <t>East substation: fibre backbone termination - installation</t>
        </is>
      </c>
      <c r="F651" s="12" t="inlineStr">
        <is>
          <t>ONE_TO_ONE</t>
        </is>
      </c>
      <c r="G651" s="12" t="inlineStr">
        <is>
          <t>APPROVED</t>
        </is>
      </c>
      <c r="H651" s="12" t="inlineStr">
        <is>
          <t>New</t>
        </is>
      </c>
      <c r="I651" s="12" t="inlineStr">
        <is>
          <t>Source assignment -- not individually reviewed</t>
        </is>
      </c>
      <c r="J651" s="12" t="inlineStr"/>
      <c r="K651" s="12" t="inlineStr">
        <is>
          <t>Source assignment</t>
        </is>
      </c>
      <c r="L651" s="12" t="inlineStr"/>
      <c r="M651" s="12" t="inlineStr">
        <is>
          <t>Initial</t>
        </is>
      </c>
      <c r="N651" s="12" t="inlineStr">
        <is>
          <t>Rev 0</t>
        </is>
      </c>
      <c r="O651" s="12" t="inlineStr">
        <is>
          <t>R509-v1</t>
        </is>
      </c>
      <c r="P651" s="12" t="inlineStr"/>
      <c r="Q651" s="12" t="inlineStr"/>
      <c r="R651" s="12" t="inlineStr"/>
      <c r="S651" s="12" t="inlineStr"/>
      <c r="T651" s="12" t="inlineStr"/>
      <c r="U651" s="12" t="inlineStr"/>
      <c r="V651" s="12" t="inlineStr">
        <is>
          <t>WBS Code = 1.3.1</t>
        </is>
      </c>
      <c r="W651" s="12" t="inlineStr"/>
    </row>
    <row r="652" ht="34" customHeight="1">
      <c r="A652" s="12" t="inlineStr">
        <is>
          <t>1.3.1</t>
        </is>
      </c>
      <c r="B652" s="12" t="inlineStr">
        <is>
          <t>Systems - Traction Power</t>
        </is>
      </c>
      <c r="C652" s="12" t="inlineStr">
        <is>
          <t>Contractor Programme</t>
        </is>
      </c>
      <c r="D652" s="12" t="inlineStr">
        <is>
          <t>SCH-03-151</t>
        </is>
      </c>
      <c r="E652" s="12" t="inlineStr">
        <is>
          <t>Harbour Station: traction-power feeder pull - turnover</t>
        </is>
      </c>
      <c r="F652" s="12" t="inlineStr">
        <is>
          <t>ONE_TO_ONE</t>
        </is>
      </c>
      <c r="G652" s="12" t="inlineStr">
        <is>
          <t>APPROVED</t>
        </is>
      </c>
      <c r="H652" s="12" t="inlineStr">
        <is>
          <t>New</t>
        </is>
      </c>
      <c r="I652" s="12" t="inlineStr">
        <is>
          <t>Source assignment -- not individually reviewed</t>
        </is>
      </c>
      <c r="J652" s="12" t="inlineStr"/>
      <c r="K652" s="12" t="inlineStr">
        <is>
          <t>Source assignment</t>
        </is>
      </c>
      <c r="L652" s="12" t="inlineStr"/>
      <c r="M652" s="12" t="inlineStr">
        <is>
          <t>Initial</t>
        </is>
      </c>
      <c r="N652" s="12" t="inlineStr">
        <is>
          <t>Rev 0</t>
        </is>
      </c>
      <c r="O652" s="12" t="inlineStr">
        <is>
          <t>R511-v1</t>
        </is>
      </c>
      <c r="P652" s="12" t="inlineStr"/>
      <c r="Q652" s="12" t="inlineStr"/>
      <c r="R652" s="12" t="inlineStr"/>
      <c r="S652" s="12" t="inlineStr"/>
      <c r="T652" s="12" t="inlineStr"/>
      <c r="U652" s="12" t="inlineStr"/>
      <c r="V652" s="12" t="inlineStr">
        <is>
          <t>WBS Code = 1.3.1</t>
        </is>
      </c>
      <c r="W652" s="12" t="inlineStr"/>
    </row>
    <row r="653" ht="34" customHeight="1">
      <c r="A653" s="12" t="inlineStr">
        <is>
          <t>1.3.1</t>
        </is>
      </c>
      <c r="B653" s="12" t="inlineStr">
        <is>
          <t>Systems - Traction Power</t>
        </is>
      </c>
      <c r="C653" s="12" t="inlineStr">
        <is>
          <t>Contractor Programme</t>
        </is>
      </c>
      <c r="D653" s="12" t="inlineStr">
        <is>
          <t>SCH-03-152</t>
        </is>
      </c>
      <c r="E653" s="12" t="inlineStr">
        <is>
          <t>Control Centre: train-control cabinet fit-out - release</t>
        </is>
      </c>
      <c r="F653" s="12" t="inlineStr">
        <is>
          <t>ONE_TO_ONE</t>
        </is>
      </c>
      <c r="G653" s="12" t="inlineStr">
        <is>
          <t>APPROVED</t>
        </is>
      </c>
      <c r="H653" s="12" t="inlineStr">
        <is>
          <t>New</t>
        </is>
      </c>
      <c r="I653" s="12" t="inlineStr">
        <is>
          <t>Source assignment -- not individually reviewed</t>
        </is>
      </c>
      <c r="J653" s="12" t="inlineStr"/>
      <c r="K653" s="12" t="inlineStr">
        <is>
          <t>Source assignment</t>
        </is>
      </c>
      <c r="L653" s="12" t="inlineStr"/>
      <c r="M653" s="12" t="inlineStr">
        <is>
          <t>Initial</t>
        </is>
      </c>
      <c r="N653" s="12" t="inlineStr">
        <is>
          <t>Rev 0</t>
        </is>
      </c>
      <c r="O653" s="12" t="inlineStr">
        <is>
          <t>R512-v1</t>
        </is>
      </c>
      <c r="P653" s="12" t="inlineStr"/>
      <c r="Q653" s="12" t="inlineStr"/>
      <c r="R653" s="12" t="inlineStr"/>
      <c r="S653" s="12" t="inlineStr"/>
      <c r="T653" s="12" t="inlineStr"/>
      <c r="U653" s="12" t="inlineStr"/>
      <c r="V653" s="12" t="inlineStr">
        <is>
          <t>WBS Code = 1.3.1</t>
        </is>
      </c>
      <c r="W653" s="12" t="inlineStr"/>
    </row>
    <row r="654" ht="34" customHeight="1">
      <c r="A654" s="12" t="inlineStr">
        <is>
          <t>1.3.1</t>
        </is>
      </c>
      <c r="B654" s="12" t="inlineStr">
        <is>
          <t>Systems - Traction Power</t>
        </is>
      </c>
      <c r="C654" s="12" t="inlineStr">
        <is>
          <t>Contractor Programme</t>
        </is>
      </c>
      <c r="D654" s="12" t="inlineStr">
        <is>
          <t>SCH-03-154</t>
        </is>
      </c>
      <c r="E654" s="12" t="inlineStr">
        <is>
          <t>East substation: signal equipment installation - installation</t>
        </is>
      </c>
      <c r="F654" s="12" t="inlineStr">
        <is>
          <t>ONE_TO_ONE</t>
        </is>
      </c>
      <c r="G654" s="12" t="inlineStr">
        <is>
          <t>APPROVED</t>
        </is>
      </c>
      <c r="H654" s="12" t="inlineStr">
        <is>
          <t>New</t>
        </is>
      </c>
      <c r="I654" s="12" t="inlineStr">
        <is>
          <t>Source assignment -- not individually reviewed</t>
        </is>
      </c>
      <c r="J654" s="12" t="inlineStr"/>
      <c r="K654" s="12" t="inlineStr">
        <is>
          <t>Source assignment</t>
        </is>
      </c>
      <c r="L654" s="12" t="inlineStr"/>
      <c r="M654" s="12" t="inlineStr">
        <is>
          <t>Initial</t>
        </is>
      </c>
      <c r="N654" s="12" t="inlineStr">
        <is>
          <t>Rev 0</t>
        </is>
      </c>
      <c r="O654" s="12" t="inlineStr">
        <is>
          <t>R514-v1</t>
        </is>
      </c>
      <c r="P654" s="12" t="inlineStr"/>
      <c r="Q654" s="12" t="inlineStr"/>
      <c r="R654" s="12" t="inlineStr"/>
      <c r="S654" s="12" t="inlineStr"/>
      <c r="T654" s="12" t="inlineStr"/>
      <c r="U654" s="12" t="inlineStr"/>
      <c r="V654" s="12" t="inlineStr">
        <is>
          <t>WBS Code = 1.3.1</t>
        </is>
      </c>
      <c r="W654" s="12" t="inlineStr"/>
    </row>
    <row r="655" ht="34" customHeight="1">
      <c r="A655" s="12" t="inlineStr">
        <is>
          <t>1.3.1</t>
        </is>
      </c>
      <c r="B655" s="12" t="inlineStr">
        <is>
          <t>Systems - Traction Power</t>
        </is>
      </c>
      <c r="C655" s="12" t="inlineStr">
        <is>
          <t>Contractor Programme</t>
        </is>
      </c>
      <c r="D655" s="12" t="inlineStr">
        <is>
          <t>SCH-03-155</t>
        </is>
      </c>
      <c r="E655" s="12" t="inlineStr">
        <is>
          <t>Central interlocking: radio equipment installation - inspection</t>
        </is>
      </c>
      <c r="F655" s="12" t="inlineStr">
        <is>
          <t>ONE_TO_ONE</t>
        </is>
      </c>
      <c r="G655" s="12" t="inlineStr">
        <is>
          <t>APPROVED</t>
        </is>
      </c>
      <c r="H655" s="12" t="inlineStr">
        <is>
          <t>New</t>
        </is>
      </c>
      <c r="I655" s="12" t="inlineStr">
        <is>
          <t>Source assignment -- not individually reviewed</t>
        </is>
      </c>
      <c r="J655" s="12" t="inlineStr"/>
      <c r="K655" s="12" t="inlineStr">
        <is>
          <t>Source assignment</t>
        </is>
      </c>
      <c r="L655" s="12" t="inlineStr"/>
      <c r="M655" s="12" t="inlineStr">
        <is>
          <t>Initial</t>
        </is>
      </c>
      <c r="N655" s="12" t="inlineStr">
        <is>
          <t>Rev 0</t>
        </is>
      </c>
      <c r="O655" s="12" t="inlineStr">
        <is>
          <t>R515-v1</t>
        </is>
      </c>
      <c r="P655" s="12" t="inlineStr"/>
      <c r="Q655" s="12" t="inlineStr"/>
      <c r="R655" s="12" t="inlineStr"/>
      <c r="S655" s="12" t="inlineStr"/>
      <c r="T655" s="12" t="inlineStr"/>
      <c r="U655" s="12" t="inlineStr"/>
      <c r="V655" s="12" t="inlineStr">
        <is>
          <t>WBS Code = 1.3.1</t>
        </is>
      </c>
      <c r="W655" s="12" t="inlineStr"/>
    </row>
    <row r="656" ht="34" customHeight="1">
      <c r="A656" s="12" t="inlineStr">
        <is>
          <t>1.3.1</t>
        </is>
      </c>
      <c r="B656" s="12" t="inlineStr">
        <is>
          <t>Systems - Traction Power</t>
        </is>
      </c>
      <c r="C656" s="12" t="inlineStr">
        <is>
          <t>Contractor Programme</t>
        </is>
      </c>
      <c r="D656" s="12" t="inlineStr">
        <is>
          <t>SCH-03-157</t>
        </is>
      </c>
      <c r="E656" s="12" t="inlineStr">
        <is>
          <t>Control Centre: fibre backbone termination - release</t>
        </is>
      </c>
      <c r="F656" s="12" t="inlineStr">
        <is>
          <t>ONE_TO_ONE</t>
        </is>
      </c>
      <c r="G656" s="12" t="inlineStr">
        <is>
          <t>APPROVED</t>
        </is>
      </c>
      <c r="H656" s="12" t="inlineStr">
        <is>
          <t>New</t>
        </is>
      </c>
      <c r="I656" s="12" t="inlineStr">
        <is>
          <t>Source assignment -- not individually reviewed</t>
        </is>
      </c>
      <c r="J656" s="12" t="inlineStr"/>
      <c r="K656" s="12" t="inlineStr">
        <is>
          <t>Source assignment</t>
        </is>
      </c>
      <c r="L656" s="12" t="inlineStr"/>
      <c r="M656" s="12" t="inlineStr">
        <is>
          <t>Initial</t>
        </is>
      </c>
      <c r="N656" s="12" t="inlineStr">
        <is>
          <t>Rev 0</t>
        </is>
      </c>
      <c r="O656" s="12" t="inlineStr">
        <is>
          <t>R517-v1</t>
        </is>
      </c>
      <c r="P656" s="12" t="inlineStr"/>
      <c r="Q656" s="12" t="inlineStr"/>
      <c r="R656" s="12" t="inlineStr"/>
      <c r="S656" s="12" t="inlineStr"/>
      <c r="T656" s="12" t="inlineStr"/>
      <c r="U656" s="12" t="inlineStr"/>
      <c r="V656" s="12" t="inlineStr">
        <is>
          <t>WBS Code = 1.3.1</t>
        </is>
      </c>
      <c r="W656" s="12" t="inlineStr"/>
    </row>
    <row r="657" ht="34" customHeight="1">
      <c r="A657" s="12" t="inlineStr">
        <is>
          <t>1.3.1</t>
        </is>
      </c>
      <c r="B657" s="12" t="inlineStr">
        <is>
          <t>Systems - Traction Power</t>
        </is>
      </c>
      <c r="C657" s="12" t="inlineStr">
        <is>
          <t>Contractor Programme</t>
        </is>
      </c>
      <c r="D657" s="12" t="inlineStr">
        <is>
          <t>SCH-03-158</t>
        </is>
      </c>
      <c r="E657" s="12" t="inlineStr">
        <is>
          <t>West wayside: SCADA point-to-point check - field start</t>
        </is>
      </c>
      <c r="F657" s="12" t="inlineStr">
        <is>
          <t>ONE_TO_ONE</t>
        </is>
      </c>
      <c r="G657" s="12" t="inlineStr">
        <is>
          <t>APPROVED</t>
        </is>
      </c>
      <c r="H657" s="12" t="inlineStr">
        <is>
          <t>New</t>
        </is>
      </c>
      <c r="I657" s="12" t="inlineStr">
        <is>
          <t>Source assignment -- not individually reviewed</t>
        </is>
      </c>
      <c r="J657" s="12" t="inlineStr"/>
      <c r="K657" s="12" t="inlineStr">
        <is>
          <t>Source assignment</t>
        </is>
      </c>
      <c r="L657" s="12" t="inlineStr"/>
      <c r="M657" s="12" t="inlineStr">
        <is>
          <t>Initial</t>
        </is>
      </c>
      <c r="N657" s="12" t="inlineStr">
        <is>
          <t>Rev 0</t>
        </is>
      </c>
      <c r="O657" s="12" t="inlineStr">
        <is>
          <t>R518-v1</t>
        </is>
      </c>
      <c r="P657" s="12" t="inlineStr"/>
      <c r="Q657" s="12" t="inlineStr"/>
      <c r="R657" s="12" t="inlineStr"/>
      <c r="S657" s="12" t="inlineStr"/>
      <c r="T657" s="12" t="inlineStr"/>
      <c r="U657" s="12" t="inlineStr"/>
      <c r="V657" s="12" t="inlineStr">
        <is>
          <t>WBS Code = 1.3.1</t>
        </is>
      </c>
      <c r="W657" s="12" t="inlineStr"/>
    </row>
    <row r="658" ht="34" customHeight="1">
      <c r="A658" s="12" t="inlineStr">
        <is>
          <t>1.3.1</t>
        </is>
      </c>
      <c r="B658" s="12" t="inlineStr">
        <is>
          <t>Systems - Traction Power</t>
        </is>
      </c>
      <c r="C658" s="12" t="inlineStr">
        <is>
          <t>Contractor Programme</t>
        </is>
      </c>
      <c r="D658" s="12" t="inlineStr">
        <is>
          <t>SCH-03-160</t>
        </is>
      </c>
      <c r="E658" s="12" t="inlineStr">
        <is>
          <t>Central interlocking: train-control cabinet fit-out - inspection</t>
        </is>
      </c>
      <c r="F658" s="12" t="inlineStr">
        <is>
          <t>ONE_TO_ONE</t>
        </is>
      </c>
      <c r="G658" s="12" t="inlineStr">
        <is>
          <t>APPROVED</t>
        </is>
      </c>
      <c r="H658" s="12" t="inlineStr">
        <is>
          <t>New</t>
        </is>
      </c>
      <c r="I658" s="12" t="inlineStr">
        <is>
          <t>Source assignment -- not individually reviewed</t>
        </is>
      </c>
      <c r="J658" s="12" t="inlineStr"/>
      <c r="K658" s="12" t="inlineStr">
        <is>
          <t>Source assignment</t>
        </is>
      </c>
      <c r="L658" s="12" t="inlineStr"/>
      <c r="M658" s="12" t="inlineStr">
        <is>
          <t>Initial</t>
        </is>
      </c>
      <c r="N658" s="12" t="inlineStr">
        <is>
          <t>Rev 0</t>
        </is>
      </c>
      <c r="O658" s="12" t="inlineStr">
        <is>
          <t>R520-v1</t>
        </is>
      </c>
      <c r="P658" s="12" t="inlineStr"/>
      <c r="Q658" s="12" t="inlineStr"/>
      <c r="R658" s="12" t="inlineStr"/>
      <c r="S658" s="12" t="inlineStr"/>
      <c r="T658" s="12" t="inlineStr"/>
      <c r="U658" s="12" t="inlineStr"/>
      <c r="V658" s="12" t="inlineStr">
        <is>
          <t>WBS Code = 1.3.1</t>
        </is>
      </c>
      <c r="W658" s="12" t="inlineStr"/>
    </row>
    <row r="659" ht="34" customHeight="1">
      <c r="A659" s="12" t="inlineStr">
        <is>
          <t>1.3.1</t>
        </is>
      </c>
      <c r="B659" s="12" t="inlineStr">
        <is>
          <t>Systems - Traction Power</t>
        </is>
      </c>
      <c r="C659" s="12" t="inlineStr">
        <is>
          <t>Contractor Programme</t>
        </is>
      </c>
      <c r="D659" s="12" t="inlineStr">
        <is>
          <t>SCH-03-161</t>
        </is>
      </c>
      <c r="E659" s="12" t="inlineStr">
        <is>
          <t>Harbour Station: wayside interface test - turnover</t>
        </is>
      </c>
      <c r="F659" s="12" t="inlineStr">
        <is>
          <t>ONE_TO_ONE</t>
        </is>
      </c>
      <c r="G659" s="12" t="inlineStr">
        <is>
          <t>APPROVED</t>
        </is>
      </c>
      <c r="H659" s="12" t="inlineStr">
        <is>
          <t>New</t>
        </is>
      </c>
      <c r="I659" s="12" t="inlineStr">
        <is>
          <t>Source assignment -- not individually reviewed</t>
        </is>
      </c>
      <c r="J659" s="12" t="inlineStr"/>
      <c r="K659" s="12" t="inlineStr">
        <is>
          <t>Source assignment</t>
        </is>
      </c>
      <c r="L659" s="12" t="inlineStr"/>
      <c r="M659" s="12" t="inlineStr">
        <is>
          <t>Initial</t>
        </is>
      </c>
      <c r="N659" s="12" t="inlineStr">
        <is>
          <t>Rev 0</t>
        </is>
      </c>
      <c r="O659" s="12" t="inlineStr">
        <is>
          <t>R521-v1</t>
        </is>
      </c>
      <c r="P659" s="12" t="inlineStr"/>
      <c r="Q659" s="12" t="inlineStr"/>
      <c r="R659" s="12" t="inlineStr"/>
      <c r="S659" s="12" t="inlineStr"/>
      <c r="T659" s="12" t="inlineStr"/>
      <c r="U659" s="12" t="inlineStr"/>
      <c r="V659" s="12" t="inlineStr">
        <is>
          <t>WBS Code = 1.3.1</t>
        </is>
      </c>
      <c r="W659" s="12" t="inlineStr"/>
    </row>
    <row r="660" ht="34" customHeight="1">
      <c r="A660" s="12" t="inlineStr">
        <is>
          <t>1.3.1</t>
        </is>
      </c>
      <c r="B660" s="12" t="inlineStr">
        <is>
          <t>Systems - Traction Power</t>
        </is>
      </c>
      <c r="C660" s="12" t="inlineStr">
        <is>
          <t>Contractor Programme</t>
        </is>
      </c>
      <c r="D660" s="12" t="inlineStr">
        <is>
          <t>SCH-03-163</t>
        </is>
      </c>
      <c r="E660" s="12" t="inlineStr">
        <is>
          <t>West wayside: radio equipment installation - field start</t>
        </is>
      </c>
      <c r="F660" s="12" t="inlineStr">
        <is>
          <t>ONE_TO_ONE</t>
        </is>
      </c>
      <c r="G660" s="12" t="inlineStr">
        <is>
          <t>APPROVED</t>
        </is>
      </c>
      <c r="H660" s="12" t="inlineStr">
        <is>
          <t>New</t>
        </is>
      </c>
      <c r="I660" s="12" t="inlineStr">
        <is>
          <t>Source assignment -- not individually reviewed</t>
        </is>
      </c>
      <c r="J660" s="12" t="inlineStr"/>
      <c r="K660" s="12" t="inlineStr">
        <is>
          <t>Source assignment</t>
        </is>
      </c>
      <c r="L660" s="12" t="inlineStr"/>
      <c r="M660" s="12" t="inlineStr">
        <is>
          <t>Initial</t>
        </is>
      </c>
      <c r="N660" s="12" t="inlineStr">
        <is>
          <t>Rev 0</t>
        </is>
      </c>
      <c r="O660" s="12" t="inlineStr">
        <is>
          <t>R523-v1</t>
        </is>
      </c>
      <c r="P660" s="12" t="inlineStr"/>
      <c r="Q660" s="12" t="inlineStr"/>
      <c r="R660" s="12" t="inlineStr"/>
      <c r="S660" s="12" t="inlineStr"/>
      <c r="T660" s="12" t="inlineStr"/>
      <c r="U660" s="12" t="inlineStr"/>
      <c r="V660" s="12" t="inlineStr">
        <is>
          <t>WBS Code = 1.3.1</t>
        </is>
      </c>
      <c r="W660" s="12" t="inlineStr"/>
    </row>
    <row r="661" ht="34" customHeight="1">
      <c r="A661" s="12" t="inlineStr">
        <is>
          <t>1.3.1</t>
        </is>
      </c>
      <c r="B661" s="12" t="inlineStr">
        <is>
          <t>Systems - Traction Power</t>
        </is>
      </c>
      <c r="C661" s="12" t="inlineStr">
        <is>
          <t>Contractor Programme</t>
        </is>
      </c>
      <c r="D661" s="12" t="inlineStr">
        <is>
          <t>SCH-03-164</t>
        </is>
      </c>
      <c r="E661" s="12" t="inlineStr">
        <is>
          <t>East substation: control-centre integration - installation</t>
        </is>
      </c>
      <c r="F661" s="12" t="inlineStr">
        <is>
          <t>ONE_TO_ONE</t>
        </is>
      </c>
      <c r="G661" s="12" t="inlineStr">
        <is>
          <t>APPROVED</t>
        </is>
      </c>
      <c r="H661" s="12" t="inlineStr">
        <is>
          <t>New</t>
        </is>
      </c>
      <c r="I661" s="12" t="inlineStr">
        <is>
          <t>Source assignment -- not individually reviewed</t>
        </is>
      </c>
      <c r="J661" s="12" t="inlineStr"/>
      <c r="K661" s="12" t="inlineStr">
        <is>
          <t>Source assignment</t>
        </is>
      </c>
      <c r="L661" s="12" t="inlineStr"/>
      <c r="M661" s="12" t="inlineStr">
        <is>
          <t>Initial</t>
        </is>
      </c>
      <c r="N661" s="12" t="inlineStr">
        <is>
          <t>Rev 0</t>
        </is>
      </c>
      <c r="O661" s="12" t="inlineStr">
        <is>
          <t>R524-v1</t>
        </is>
      </c>
      <c r="P661" s="12" t="inlineStr"/>
      <c r="Q661" s="12" t="inlineStr"/>
      <c r="R661" s="12" t="inlineStr"/>
      <c r="S661" s="12" t="inlineStr"/>
      <c r="T661" s="12" t="inlineStr"/>
      <c r="U661" s="12" t="inlineStr"/>
      <c r="V661" s="12" t="inlineStr">
        <is>
          <t>WBS Code = 1.3.1</t>
        </is>
      </c>
      <c r="W661" s="12" t="inlineStr"/>
    </row>
    <row r="662" ht="34" customHeight="1">
      <c r="A662" s="12" t="inlineStr">
        <is>
          <t>1.3.1</t>
        </is>
      </c>
      <c r="B662" s="12" t="inlineStr">
        <is>
          <t>Systems - Traction Power</t>
        </is>
      </c>
      <c r="C662" s="12" t="inlineStr">
        <is>
          <t>Contractor Programme</t>
        </is>
      </c>
      <c r="D662" s="12" t="inlineStr">
        <is>
          <t>SCH-03-166</t>
        </is>
      </c>
      <c r="E662" s="12" t="inlineStr">
        <is>
          <t>Harbour Station: SCADA point-to-point check - turnover</t>
        </is>
      </c>
      <c r="F662" s="12" t="inlineStr">
        <is>
          <t>ONE_TO_ONE</t>
        </is>
      </c>
      <c r="G662" s="12" t="inlineStr">
        <is>
          <t>APPROVED</t>
        </is>
      </c>
      <c r="H662" s="12" t="inlineStr">
        <is>
          <t>New</t>
        </is>
      </c>
      <c r="I662" s="12" t="inlineStr">
        <is>
          <t>Source assignment -- not individually reviewed</t>
        </is>
      </c>
      <c r="J662" s="12" t="inlineStr"/>
      <c r="K662" s="12" t="inlineStr">
        <is>
          <t>Source assignment</t>
        </is>
      </c>
      <c r="L662" s="12" t="inlineStr"/>
      <c r="M662" s="12" t="inlineStr">
        <is>
          <t>Initial</t>
        </is>
      </c>
      <c r="N662" s="12" t="inlineStr">
        <is>
          <t>Rev 0</t>
        </is>
      </c>
      <c r="O662" s="12" t="inlineStr">
        <is>
          <t>R526-v1</t>
        </is>
      </c>
      <c r="P662" s="12" t="inlineStr"/>
      <c r="Q662" s="12" t="inlineStr"/>
      <c r="R662" s="12" t="inlineStr"/>
      <c r="S662" s="12" t="inlineStr"/>
      <c r="T662" s="12" t="inlineStr"/>
      <c r="U662" s="12" t="inlineStr"/>
      <c r="V662" s="12" t="inlineStr">
        <is>
          <t>WBS Code = 1.3.1</t>
        </is>
      </c>
      <c r="W662" s="12" t="inlineStr"/>
    </row>
    <row r="663" ht="34" customHeight="1">
      <c r="A663" s="12" t="inlineStr">
        <is>
          <t>1.3.1</t>
        </is>
      </c>
      <c r="B663" s="12" t="inlineStr">
        <is>
          <t>Systems - Traction Power</t>
        </is>
      </c>
      <c r="C663" s="12" t="inlineStr">
        <is>
          <t>Contractor Programme</t>
        </is>
      </c>
      <c r="D663" s="12" t="inlineStr">
        <is>
          <t>SCH-03-167</t>
        </is>
      </c>
      <c r="E663" s="12" t="inlineStr">
        <is>
          <t>Control Centre: traction-power feeder pull - release</t>
        </is>
      </c>
      <c r="F663" s="12" t="inlineStr">
        <is>
          <t>ONE_TO_ONE</t>
        </is>
      </c>
      <c r="G663" s="12" t="inlineStr">
        <is>
          <t>APPROVED</t>
        </is>
      </c>
      <c r="H663" s="12" t="inlineStr">
        <is>
          <t>New</t>
        </is>
      </c>
      <c r="I663" s="12" t="inlineStr">
        <is>
          <t>Source assignment -- not individually reviewed</t>
        </is>
      </c>
      <c r="J663" s="12" t="inlineStr"/>
      <c r="K663" s="12" t="inlineStr">
        <is>
          <t>Source assignment</t>
        </is>
      </c>
      <c r="L663" s="12" t="inlineStr"/>
      <c r="M663" s="12" t="inlineStr">
        <is>
          <t>Initial</t>
        </is>
      </c>
      <c r="N663" s="12" t="inlineStr">
        <is>
          <t>Rev 0</t>
        </is>
      </c>
      <c r="O663" s="12" t="inlineStr">
        <is>
          <t>R527-v1</t>
        </is>
      </c>
      <c r="P663" s="12" t="inlineStr"/>
      <c r="Q663" s="12" t="inlineStr"/>
      <c r="R663" s="12" t="inlineStr"/>
      <c r="S663" s="12" t="inlineStr"/>
      <c r="T663" s="12" t="inlineStr"/>
      <c r="U663" s="12" t="inlineStr"/>
      <c r="V663" s="12" t="inlineStr">
        <is>
          <t>WBS Code = 1.3.1</t>
        </is>
      </c>
      <c r="W663" s="12" t="inlineStr"/>
    </row>
    <row r="664" ht="34" customHeight="1">
      <c r="A664" s="12" t="inlineStr">
        <is>
          <t>1.3.1</t>
        </is>
      </c>
      <c r="B664" s="12" t="inlineStr">
        <is>
          <t>Systems - Traction Power</t>
        </is>
      </c>
      <c r="C664" s="12" t="inlineStr">
        <is>
          <t>Contractor Programme</t>
        </is>
      </c>
      <c r="D664" s="12" t="inlineStr">
        <is>
          <t>SCH-03-169</t>
        </is>
      </c>
      <c r="E664" s="12" t="inlineStr">
        <is>
          <t>East substation: wayside interface test - installation</t>
        </is>
      </c>
      <c r="F664" s="12" t="inlineStr">
        <is>
          <t>ONE_TO_ONE</t>
        </is>
      </c>
      <c r="G664" s="12" t="inlineStr">
        <is>
          <t>APPROVED</t>
        </is>
      </c>
      <c r="H664" s="12" t="inlineStr">
        <is>
          <t>New</t>
        </is>
      </c>
      <c r="I664" s="12" t="inlineStr">
        <is>
          <t>Source assignment -- not individually reviewed</t>
        </is>
      </c>
      <c r="J664" s="12" t="inlineStr"/>
      <c r="K664" s="12" t="inlineStr">
        <is>
          <t>Source assignment</t>
        </is>
      </c>
      <c r="L664" s="12" t="inlineStr"/>
      <c r="M664" s="12" t="inlineStr">
        <is>
          <t>Initial</t>
        </is>
      </c>
      <c r="N664" s="12" t="inlineStr">
        <is>
          <t>Rev 0</t>
        </is>
      </c>
      <c r="O664" s="12" t="inlineStr">
        <is>
          <t>R529-v1</t>
        </is>
      </c>
      <c r="P664" s="12" t="inlineStr"/>
      <c r="Q664" s="12" t="inlineStr"/>
      <c r="R664" s="12" t="inlineStr"/>
      <c r="S664" s="12" t="inlineStr"/>
      <c r="T664" s="12" t="inlineStr"/>
      <c r="U664" s="12" t="inlineStr"/>
      <c r="V664" s="12" t="inlineStr">
        <is>
          <t>WBS Code = 1.3.1</t>
        </is>
      </c>
      <c r="W664" s="12" t="inlineStr"/>
    </row>
    <row r="665" ht="34" customHeight="1">
      <c r="A665" s="12" t="inlineStr">
        <is>
          <t>1.3.1</t>
        </is>
      </c>
      <c r="B665" s="12" t="inlineStr">
        <is>
          <t>Systems - Traction Power</t>
        </is>
      </c>
      <c r="C665" s="12" t="inlineStr">
        <is>
          <t>Contractor Programme</t>
        </is>
      </c>
      <c r="D665" s="12" t="inlineStr">
        <is>
          <t>SCH-03-170</t>
        </is>
      </c>
      <c r="E665" s="12" t="inlineStr">
        <is>
          <t>Central interlocking: signal equipment installation - inspection</t>
        </is>
      </c>
      <c r="F665" s="12" t="inlineStr">
        <is>
          <t>ONE_TO_ONE</t>
        </is>
      </c>
      <c r="G665" s="12" t="inlineStr">
        <is>
          <t>APPROVED</t>
        </is>
      </c>
      <c r="H665" s="12" t="inlineStr">
        <is>
          <t>New</t>
        </is>
      </c>
      <c r="I665" s="12" t="inlineStr">
        <is>
          <t>Source assignment -- not individually reviewed</t>
        </is>
      </c>
      <c r="J665" s="12" t="inlineStr"/>
      <c r="K665" s="12" t="inlineStr">
        <is>
          <t>Source assignment</t>
        </is>
      </c>
      <c r="L665" s="12" t="inlineStr"/>
      <c r="M665" s="12" t="inlineStr">
        <is>
          <t>Initial</t>
        </is>
      </c>
      <c r="N665" s="12" t="inlineStr">
        <is>
          <t>Rev 0</t>
        </is>
      </c>
      <c r="O665" s="12" t="inlineStr">
        <is>
          <t>R530-v1</t>
        </is>
      </c>
      <c r="P665" s="12" t="inlineStr"/>
      <c r="Q665" s="12" t="inlineStr"/>
      <c r="R665" s="12" t="inlineStr"/>
      <c r="S665" s="12" t="inlineStr"/>
      <c r="T665" s="12" t="inlineStr"/>
      <c r="U665" s="12" t="inlineStr"/>
      <c r="V665" s="12" t="inlineStr">
        <is>
          <t>WBS Code = 1.3.1</t>
        </is>
      </c>
      <c r="W665" s="12" t="inlineStr"/>
    </row>
    <row r="666" ht="34" customHeight="1">
      <c r="A666" s="12" t="inlineStr">
        <is>
          <t>1.3.1</t>
        </is>
      </c>
      <c r="B666" s="12" t="inlineStr">
        <is>
          <t>Systems - Traction Power</t>
        </is>
      </c>
      <c r="C666" s="12" t="inlineStr">
        <is>
          <t>Contractor Programme</t>
        </is>
      </c>
      <c r="D666" s="12" t="inlineStr">
        <is>
          <t>SCH-03-172</t>
        </is>
      </c>
      <c r="E666" s="12" t="inlineStr">
        <is>
          <t>Control Centre: control-centre integration - release</t>
        </is>
      </c>
      <c r="F666" s="12" t="inlineStr">
        <is>
          <t>ONE_TO_ONE</t>
        </is>
      </c>
      <c r="G666" s="12" t="inlineStr">
        <is>
          <t>APPROVED</t>
        </is>
      </c>
      <c r="H666" s="12" t="inlineStr">
        <is>
          <t>New</t>
        </is>
      </c>
      <c r="I666" s="12" t="inlineStr">
        <is>
          <t>Source assignment -- not individually reviewed</t>
        </is>
      </c>
      <c r="J666" s="12" t="inlineStr"/>
      <c r="K666" s="12" t="inlineStr">
        <is>
          <t>Source assignment</t>
        </is>
      </c>
      <c r="L666" s="12" t="inlineStr"/>
      <c r="M666" s="12" t="inlineStr">
        <is>
          <t>Initial</t>
        </is>
      </c>
      <c r="N666" s="12" t="inlineStr">
        <is>
          <t>Rev 0</t>
        </is>
      </c>
      <c r="O666" s="12" t="inlineStr">
        <is>
          <t>R532-v1</t>
        </is>
      </c>
      <c r="P666" s="12" t="inlineStr"/>
      <c r="Q666" s="12" t="inlineStr"/>
      <c r="R666" s="12" t="inlineStr"/>
      <c r="S666" s="12" t="inlineStr"/>
      <c r="T666" s="12" t="inlineStr"/>
      <c r="U666" s="12" t="inlineStr"/>
      <c r="V666" s="12" t="inlineStr">
        <is>
          <t>WBS Code = 1.3.1</t>
        </is>
      </c>
      <c r="W666" s="12" t="inlineStr"/>
    </row>
    <row r="667" ht="34" customHeight="1">
      <c r="A667" s="12" t="inlineStr">
        <is>
          <t>1.3.1</t>
        </is>
      </c>
      <c r="B667" s="12" t="inlineStr">
        <is>
          <t>Systems - Traction Power</t>
        </is>
      </c>
      <c r="C667" s="12" t="inlineStr">
        <is>
          <t>Contractor Programme</t>
        </is>
      </c>
      <c r="D667" s="12" t="inlineStr">
        <is>
          <t>SCH-03-173</t>
        </is>
      </c>
      <c r="E667" s="12" t="inlineStr">
        <is>
          <t>West wayside: fibre backbone termination - field start</t>
        </is>
      </c>
      <c r="F667" s="12" t="inlineStr">
        <is>
          <t>ONE_TO_ONE</t>
        </is>
      </c>
      <c r="G667" s="12" t="inlineStr">
        <is>
          <t>APPROVED</t>
        </is>
      </c>
      <c r="H667" s="12" t="inlineStr">
        <is>
          <t>New</t>
        </is>
      </c>
      <c r="I667" s="12" t="inlineStr">
        <is>
          <t>Source assignment -- not individually reviewed</t>
        </is>
      </c>
      <c r="J667" s="12" t="inlineStr"/>
      <c r="K667" s="12" t="inlineStr">
        <is>
          <t>Source assignment</t>
        </is>
      </c>
      <c r="L667" s="12" t="inlineStr"/>
      <c r="M667" s="12" t="inlineStr">
        <is>
          <t>Initial</t>
        </is>
      </c>
      <c r="N667" s="12" t="inlineStr">
        <is>
          <t>Rev 0</t>
        </is>
      </c>
      <c r="O667" s="12" t="inlineStr">
        <is>
          <t>R533-v1</t>
        </is>
      </c>
      <c r="P667" s="12" t="inlineStr"/>
      <c r="Q667" s="12" t="inlineStr"/>
      <c r="R667" s="12" t="inlineStr"/>
      <c r="S667" s="12" t="inlineStr"/>
      <c r="T667" s="12" t="inlineStr"/>
      <c r="U667" s="12" t="inlineStr"/>
      <c r="V667" s="12" t="inlineStr">
        <is>
          <t>WBS Code = 1.3.1</t>
        </is>
      </c>
      <c r="W667" s="12" t="inlineStr"/>
    </row>
    <row r="668" ht="34" customHeight="1">
      <c r="A668" s="12" t="inlineStr">
        <is>
          <t>1.3.1</t>
        </is>
      </c>
      <c r="B668" s="12" t="inlineStr">
        <is>
          <t>Systems - Traction Power</t>
        </is>
      </c>
      <c r="C668" s="12" t="inlineStr">
        <is>
          <t>Contractor Programme</t>
        </is>
      </c>
      <c r="D668" s="12" t="inlineStr">
        <is>
          <t>SCH-03-175</t>
        </is>
      </c>
      <c r="E668" s="12" t="inlineStr">
        <is>
          <t>Central interlocking: traction-power feeder pull - inspection</t>
        </is>
      </c>
      <c r="F668" s="12" t="inlineStr">
        <is>
          <t>ONE_TO_ONE</t>
        </is>
      </c>
      <c r="G668" s="12" t="inlineStr">
        <is>
          <t>APPROVED</t>
        </is>
      </c>
      <c r="H668" s="12" t="inlineStr">
        <is>
          <t>New</t>
        </is>
      </c>
      <c r="I668" s="12" t="inlineStr">
        <is>
          <t>Source assignment -- not individually reviewed</t>
        </is>
      </c>
      <c r="J668" s="12" t="inlineStr"/>
      <c r="K668" s="12" t="inlineStr">
        <is>
          <t>Source assignment</t>
        </is>
      </c>
      <c r="L668" s="12" t="inlineStr"/>
      <c r="M668" s="12" t="inlineStr">
        <is>
          <t>Initial</t>
        </is>
      </c>
      <c r="N668" s="12" t="inlineStr">
        <is>
          <t>Rev 0</t>
        </is>
      </c>
      <c r="O668" s="12" t="inlineStr">
        <is>
          <t>R535-v1</t>
        </is>
      </c>
      <c r="P668" s="12" t="inlineStr"/>
      <c r="Q668" s="12" t="inlineStr"/>
      <c r="R668" s="12" t="inlineStr"/>
      <c r="S668" s="12" t="inlineStr"/>
      <c r="T668" s="12" t="inlineStr"/>
      <c r="U668" s="12" t="inlineStr"/>
      <c r="V668" s="12" t="inlineStr">
        <is>
          <t>WBS Code = 1.3.1</t>
        </is>
      </c>
      <c r="W668" s="12" t="inlineStr"/>
    </row>
    <row r="669" ht="34" customHeight="1">
      <c r="A669" s="12" t="inlineStr">
        <is>
          <t>1.3.1</t>
        </is>
      </c>
      <c r="B669" s="12" t="inlineStr">
        <is>
          <t>Systems - Traction Power</t>
        </is>
      </c>
      <c r="C669" s="12" t="inlineStr">
        <is>
          <t>Contractor Programme</t>
        </is>
      </c>
      <c r="D669" s="12" t="inlineStr">
        <is>
          <t>SCH-03-176</t>
        </is>
      </c>
      <c r="E669" s="12" t="inlineStr">
        <is>
          <t>Harbour Station: train-control cabinet fit-out - turnover</t>
        </is>
      </c>
      <c r="F669" s="12" t="inlineStr">
        <is>
          <t>ONE_TO_ONE</t>
        </is>
      </c>
      <c r="G669" s="12" t="inlineStr">
        <is>
          <t>APPROVED</t>
        </is>
      </c>
      <c r="H669" s="12" t="inlineStr">
        <is>
          <t>New</t>
        </is>
      </c>
      <c r="I669" s="12" t="inlineStr">
        <is>
          <t>Source assignment -- not individually reviewed</t>
        </is>
      </c>
      <c r="J669" s="12" t="inlineStr"/>
      <c r="K669" s="12" t="inlineStr">
        <is>
          <t>Source assignment</t>
        </is>
      </c>
      <c r="L669" s="12" t="inlineStr"/>
      <c r="M669" s="12" t="inlineStr">
        <is>
          <t>Initial</t>
        </is>
      </c>
      <c r="N669" s="12" t="inlineStr">
        <is>
          <t>Rev 0</t>
        </is>
      </c>
      <c r="O669" s="12" t="inlineStr">
        <is>
          <t>R536-v1</t>
        </is>
      </c>
      <c r="P669" s="12" t="inlineStr"/>
      <c r="Q669" s="12" t="inlineStr"/>
      <c r="R669" s="12" t="inlineStr"/>
      <c r="S669" s="12" t="inlineStr"/>
      <c r="T669" s="12" t="inlineStr"/>
      <c r="U669" s="12" t="inlineStr"/>
      <c r="V669" s="12" t="inlineStr">
        <is>
          <t>WBS Code = 1.3.1</t>
        </is>
      </c>
      <c r="W669" s="12" t="inlineStr"/>
    </row>
    <row r="670" ht="34" customHeight="1">
      <c r="A670" s="12" t="inlineStr">
        <is>
          <t>1.3.1</t>
        </is>
      </c>
      <c r="B670" s="12" t="inlineStr">
        <is>
          <t>Systems - Traction Power</t>
        </is>
      </c>
      <c r="C670" s="12" t="inlineStr">
        <is>
          <t>Contractor Programme</t>
        </is>
      </c>
      <c r="D670" s="12" t="inlineStr">
        <is>
          <t>SCH-03-178</t>
        </is>
      </c>
      <c r="E670" s="12" t="inlineStr">
        <is>
          <t>West wayside: signal equipment installation - field start</t>
        </is>
      </c>
      <c r="F670" s="12" t="inlineStr">
        <is>
          <t>ONE_TO_ONE</t>
        </is>
      </c>
      <c r="G670" s="12" t="inlineStr">
        <is>
          <t>APPROVED</t>
        </is>
      </c>
      <c r="H670" s="12" t="inlineStr">
        <is>
          <t>New</t>
        </is>
      </c>
      <c r="I670" s="12" t="inlineStr">
        <is>
          <t>Source assignment -- not individually reviewed</t>
        </is>
      </c>
      <c r="J670" s="12" t="inlineStr"/>
      <c r="K670" s="12" t="inlineStr">
        <is>
          <t>Source assignment</t>
        </is>
      </c>
      <c r="L670" s="12" t="inlineStr"/>
      <c r="M670" s="12" t="inlineStr">
        <is>
          <t>Initial</t>
        </is>
      </c>
      <c r="N670" s="12" t="inlineStr">
        <is>
          <t>Rev 0</t>
        </is>
      </c>
      <c r="O670" s="12" t="inlineStr">
        <is>
          <t>R538-v1</t>
        </is>
      </c>
      <c r="P670" s="12" t="inlineStr"/>
      <c r="Q670" s="12" t="inlineStr"/>
      <c r="R670" s="12" t="inlineStr"/>
      <c r="S670" s="12" t="inlineStr"/>
      <c r="T670" s="12" t="inlineStr"/>
      <c r="U670" s="12" t="inlineStr"/>
      <c r="V670" s="12" t="inlineStr">
        <is>
          <t>WBS Code = 1.3.1</t>
        </is>
      </c>
      <c r="W670" s="12" t="inlineStr"/>
    </row>
    <row r="671" ht="34" customHeight="1">
      <c r="A671" s="12" t="inlineStr">
        <is>
          <t>1.3.1</t>
        </is>
      </c>
      <c r="B671" s="12" t="inlineStr">
        <is>
          <t>Systems - Traction Power</t>
        </is>
      </c>
      <c r="C671" s="12" t="inlineStr">
        <is>
          <t>Contractor Programme</t>
        </is>
      </c>
      <c r="D671" s="12" t="inlineStr">
        <is>
          <t>SCH-03-179</t>
        </is>
      </c>
      <c r="E671" s="12" t="inlineStr">
        <is>
          <t>East substation: radio equipment installation - installation</t>
        </is>
      </c>
      <c r="F671" s="12" t="inlineStr">
        <is>
          <t>ONE_TO_ONE</t>
        </is>
      </c>
      <c r="G671" s="12" t="inlineStr">
        <is>
          <t>APPROVED</t>
        </is>
      </c>
      <c r="H671" s="12" t="inlineStr">
        <is>
          <t>New</t>
        </is>
      </c>
      <c r="I671" s="12" t="inlineStr">
        <is>
          <t>Source assignment -- not individually reviewed</t>
        </is>
      </c>
      <c r="J671" s="12" t="inlineStr"/>
      <c r="K671" s="12" t="inlineStr">
        <is>
          <t>Source assignment</t>
        </is>
      </c>
      <c r="L671" s="12" t="inlineStr"/>
      <c r="M671" s="12" t="inlineStr">
        <is>
          <t>Initial</t>
        </is>
      </c>
      <c r="N671" s="12" t="inlineStr">
        <is>
          <t>Rev 0</t>
        </is>
      </c>
      <c r="O671" s="12" t="inlineStr">
        <is>
          <t>R539-v1</t>
        </is>
      </c>
      <c r="P671" s="12" t="inlineStr"/>
      <c r="Q671" s="12" t="inlineStr"/>
      <c r="R671" s="12" t="inlineStr"/>
      <c r="S671" s="12" t="inlineStr"/>
      <c r="T671" s="12" t="inlineStr"/>
      <c r="U671" s="12" t="inlineStr"/>
      <c r="V671" s="12" t="inlineStr">
        <is>
          <t>WBS Code = 1.3.1</t>
        </is>
      </c>
      <c r="W671" s="12" t="inlineStr"/>
    </row>
    <row r="672" ht="49" customHeight="1">
      <c r="A672" s="12" t="inlineStr">
        <is>
          <t>1.3.1</t>
        </is>
      </c>
      <c r="B672" s="12" t="inlineStr">
        <is>
          <t>Systems - Traction Power</t>
        </is>
      </c>
      <c r="C672" s="12" t="inlineStr">
        <is>
          <t>Cost &amp; Forecast Control Accounts</t>
        </is>
      </c>
      <c r="D672" s="12" t="inlineStr">
        <is>
          <t>CST-03-001</t>
        </is>
      </c>
      <c r="E672" s="12" t="inlineStr">
        <is>
          <t>Systems - systems integration - closeout</t>
        </is>
      </c>
      <c r="F672" s="12" t="inlineStr">
        <is>
          <t>ONE_TO_ONE</t>
        </is>
      </c>
      <c r="G672" s="12" t="inlineStr">
        <is>
          <t>APPROVED</t>
        </is>
      </c>
      <c r="H672" s="12" t="inlineStr">
        <is>
          <t>New</t>
        </is>
      </c>
      <c r="I672" s="12" t="inlineStr">
        <is>
          <t>Source assignment -- not individually reviewed</t>
        </is>
      </c>
      <c r="J672" s="12" t="inlineStr"/>
      <c r="K672" s="12" t="inlineStr">
        <is>
          <t>Source assignment</t>
        </is>
      </c>
      <c r="L672" s="12" t="inlineStr"/>
      <c r="M672" s="12" t="inlineStr">
        <is>
          <t>Initial</t>
        </is>
      </c>
      <c r="N672" s="12" t="inlineStr">
        <is>
          <t>Rev 0</t>
        </is>
      </c>
      <c r="O672" s="12" t="inlineStr">
        <is>
          <t>R1243-v1</t>
        </is>
      </c>
      <c r="P672" s="12" t="inlineStr"/>
      <c r="Q672" s="12" t="inlineStr"/>
      <c r="R672" s="12" t="inlineStr"/>
      <c r="S672" s="12" t="inlineStr"/>
      <c r="T672" s="12" t="inlineStr"/>
      <c r="U672" s="12" t="inlineStr"/>
      <c r="V672" s="12" t="inlineStr">
        <is>
          <t>Cost Account = CA-3001; WBS Code = 1.3.1</t>
        </is>
      </c>
      <c r="W672" s="12" t="inlineStr"/>
    </row>
    <row r="673" ht="49" customHeight="1">
      <c r="A673" s="12" t="inlineStr">
        <is>
          <t>1.3.1</t>
        </is>
      </c>
      <c r="B673" s="12" t="inlineStr">
        <is>
          <t>Systems - Traction Power</t>
        </is>
      </c>
      <c r="C673" s="12" t="inlineStr">
        <is>
          <t>Cost &amp; Forecast Control Accounts</t>
        </is>
      </c>
      <c r="D673" s="12" t="inlineStr">
        <is>
          <t>CST-03-003</t>
        </is>
      </c>
      <c r="E673" s="12" t="inlineStr">
        <is>
          <t>Systems - train control - supply and install</t>
        </is>
      </c>
      <c r="F673" s="12" t="inlineStr">
        <is>
          <t>ONE_TO_ONE</t>
        </is>
      </c>
      <c r="G673" s="12" t="inlineStr">
        <is>
          <t>APPROVED</t>
        </is>
      </c>
      <c r="H673" s="12" t="inlineStr">
        <is>
          <t>New</t>
        </is>
      </c>
      <c r="I673" s="12" t="inlineStr">
        <is>
          <t>Source assignment -- not individually reviewed</t>
        </is>
      </c>
      <c r="J673" s="12" t="inlineStr"/>
      <c r="K673" s="12" t="inlineStr">
        <is>
          <t>Source assignment</t>
        </is>
      </c>
      <c r="L673" s="12" t="inlineStr"/>
      <c r="M673" s="12" t="inlineStr">
        <is>
          <t>Initial</t>
        </is>
      </c>
      <c r="N673" s="12" t="inlineStr">
        <is>
          <t>Rev 0</t>
        </is>
      </c>
      <c r="O673" s="12" t="inlineStr">
        <is>
          <t>R1245-v1</t>
        </is>
      </c>
      <c r="P673" s="12" t="inlineStr"/>
      <c r="Q673" s="12" t="inlineStr"/>
      <c r="R673" s="12" t="inlineStr"/>
      <c r="S673" s="12" t="inlineStr"/>
      <c r="T673" s="12" t="inlineStr"/>
      <c r="U673" s="12" t="inlineStr"/>
      <c r="V673" s="12" t="inlineStr">
        <is>
          <t>Cost Account = CA-3003; WBS Code = 1.3.1</t>
        </is>
      </c>
      <c r="W673" s="12" t="inlineStr"/>
    </row>
    <row r="674" ht="49" customHeight="1">
      <c r="A674" s="12" t="inlineStr">
        <is>
          <t>1.3.1</t>
        </is>
      </c>
      <c r="B674" s="12" t="inlineStr">
        <is>
          <t>Systems - Traction Power</t>
        </is>
      </c>
      <c r="C674" s="12" t="inlineStr">
        <is>
          <t>Cost &amp; Forecast Control Accounts</t>
        </is>
      </c>
      <c r="D674" s="12" t="inlineStr">
        <is>
          <t>CST-03-005</t>
        </is>
      </c>
      <c r="E674" s="12" t="inlineStr">
        <is>
          <t>Systems - signalling - allowance</t>
        </is>
      </c>
      <c r="F674" s="12" t="inlineStr">
        <is>
          <t>ONE_TO_ONE</t>
        </is>
      </c>
      <c r="G674" s="12" t="inlineStr">
        <is>
          <t>APPROVED</t>
        </is>
      </c>
      <c r="H674" s="12" t="inlineStr">
        <is>
          <t>New</t>
        </is>
      </c>
      <c r="I674" s="12" t="inlineStr">
        <is>
          <t>Source assignment -- not individually reviewed</t>
        </is>
      </c>
      <c r="J674" s="12" t="inlineStr"/>
      <c r="K674" s="12" t="inlineStr">
        <is>
          <t>Source assignment</t>
        </is>
      </c>
      <c r="L674" s="12" t="inlineStr"/>
      <c r="M674" s="12" t="inlineStr">
        <is>
          <t>Initial</t>
        </is>
      </c>
      <c r="N674" s="12" t="inlineStr">
        <is>
          <t>Rev 0</t>
        </is>
      </c>
      <c r="O674" s="12" t="inlineStr">
        <is>
          <t>R1247-v1</t>
        </is>
      </c>
      <c r="P674" s="12" t="inlineStr"/>
      <c r="Q674" s="12" t="inlineStr"/>
      <c r="R674" s="12" t="inlineStr"/>
      <c r="S674" s="12" t="inlineStr"/>
      <c r="T674" s="12" t="inlineStr"/>
      <c r="U674" s="12" t="inlineStr"/>
      <c r="V674" s="12" t="inlineStr">
        <is>
          <t>Cost Account = CA-3005; WBS Code = 1.3.1</t>
        </is>
      </c>
      <c r="W674" s="12" t="inlineStr"/>
    </row>
    <row r="675" ht="49" customHeight="1">
      <c r="A675" s="12" t="inlineStr">
        <is>
          <t>1.3.1</t>
        </is>
      </c>
      <c r="B675" s="12" t="inlineStr">
        <is>
          <t>Systems - Traction Power</t>
        </is>
      </c>
      <c r="C675" s="12" t="inlineStr">
        <is>
          <t>Cost &amp; Forecast Control Accounts</t>
        </is>
      </c>
      <c r="D675" s="12" t="inlineStr">
        <is>
          <t>CST-03-007</t>
        </is>
      </c>
      <c r="E675" s="12" t="inlineStr">
        <is>
          <t>Systems - systems integration - field package</t>
        </is>
      </c>
      <c r="F675" s="12" t="inlineStr">
        <is>
          <t>ONE_TO_ONE</t>
        </is>
      </c>
      <c r="G675" s="12" t="inlineStr">
        <is>
          <t>APPROVED</t>
        </is>
      </c>
      <c r="H675" s="12" t="inlineStr">
        <is>
          <t>New</t>
        </is>
      </c>
      <c r="I675" s="12" t="inlineStr">
        <is>
          <t>Source assignment -- not individually reviewed</t>
        </is>
      </c>
      <c r="J675" s="12" t="inlineStr"/>
      <c r="K675" s="12" t="inlineStr">
        <is>
          <t>Source assignment</t>
        </is>
      </c>
      <c r="L675" s="12" t="inlineStr"/>
      <c r="M675" s="12" t="inlineStr">
        <is>
          <t>Initial</t>
        </is>
      </c>
      <c r="N675" s="12" t="inlineStr">
        <is>
          <t>Rev 0</t>
        </is>
      </c>
      <c r="O675" s="12" t="inlineStr">
        <is>
          <t>R1249-v1</t>
        </is>
      </c>
      <c r="P675" s="12" t="inlineStr"/>
      <c r="Q675" s="12" t="inlineStr"/>
      <c r="R675" s="12" t="inlineStr"/>
      <c r="S675" s="12" t="inlineStr"/>
      <c r="T675" s="12" t="inlineStr"/>
      <c r="U675" s="12" t="inlineStr"/>
      <c r="V675" s="12" t="inlineStr">
        <is>
          <t>Cost Account = CA-3007; WBS Code = 1.3.1</t>
        </is>
      </c>
      <c r="W675" s="12" t="inlineStr"/>
    </row>
    <row r="676" ht="49" customHeight="1">
      <c r="A676" s="12" t="inlineStr">
        <is>
          <t>1.3.1</t>
        </is>
      </c>
      <c r="B676" s="12" t="inlineStr">
        <is>
          <t>Systems - Traction Power</t>
        </is>
      </c>
      <c r="C676" s="12" t="inlineStr">
        <is>
          <t>Cost &amp; Forecast Control Accounts</t>
        </is>
      </c>
      <c r="D676" s="12" t="inlineStr">
        <is>
          <t>CST-03-009</t>
        </is>
      </c>
      <c r="E676" s="12" t="inlineStr">
        <is>
          <t>Systems - train control - professional services</t>
        </is>
      </c>
      <c r="F676" s="12" t="inlineStr">
        <is>
          <t>ONE_TO_ONE</t>
        </is>
      </c>
      <c r="G676" s="12" t="inlineStr">
        <is>
          <t>APPROVED</t>
        </is>
      </c>
      <c r="H676" s="12" t="inlineStr">
        <is>
          <t>New</t>
        </is>
      </c>
      <c r="I676" s="12" t="inlineStr">
        <is>
          <t>Source assignment -- not individually reviewed</t>
        </is>
      </c>
      <c r="J676" s="12" t="inlineStr"/>
      <c r="K676" s="12" t="inlineStr">
        <is>
          <t>Source assignment</t>
        </is>
      </c>
      <c r="L676" s="12" t="inlineStr"/>
      <c r="M676" s="12" t="inlineStr">
        <is>
          <t>Initial</t>
        </is>
      </c>
      <c r="N676" s="12" t="inlineStr">
        <is>
          <t>Rev 0</t>
        </is>
      </c>
      <c r="O676" s="12" t="inlineStr">
        <is>
          <t>R1251-v1</t>
        </is>
      </c>
      <c r="P676" s="12" t="inlineStr"/>
      <c r="Q676" s="12" t="inlineStr"/>
      <c r="R676" s="12" t="inlineStr"/>
      <c r="S676" s="12" t="inlineStr"/>
      <c r="T676" s="12" t="inlineStr"/>
      <c r="U676" s="12" t="inlineStr"/>
      <c r="V676" s="12" t="inlineStr">
        <is>
          <t>Cost Account = CA-3009; WBS Code = 1.3.1</t>
        </is>
      </c>
      <c r="W676" s="12" t="inlineStr"/>
    </row>
    <row r="677" ht="49" customHeight="1">
      <c r="A677" s="12" t="inlineStr">
        <is>
          <t>1.3.1</t>
        </is>
      </c>
      <c r="B677" s="12" t="inlineStr">
        <is>
          <t>Systems - Traction Power</t>
        </is>
      </c>
      <c r="C677" s="12" t="inlineStr">
        <is>
          <t>Cost &amp; Forecast Control Accounts</t>
        </is>
      </c>
      <c r="D677" s="12" t="inlineStr">
        <is>
          <t>CST-03-011</t>
        </is>
      </c>
      <c r="E677" s="12" t="inlineStr">
        <is>
          <t>Systems - signalling - closeout</t>
        </is>
      </c>
      <c r="F677" s="12" t="inlineStr">
        <is>
          <t>ONE_TO_ONE</t>
        </is>
      </c>
      <c r="G677" s="12" t="inlineStr">
        <is>
          <t>APPROVED</t>
        </is>
      </c>
      <c r="H677" s="12" t="inlineStr">
        <is>
          <t>New</t>
        </is>
      </c>
      <c r="I677" s="12" t="inlineStr">
        <is>
          <t>Source assignment -- not individually reviewed</t>
        </is>
      </c>
      <c r="J677" s="12" t="inlineStr"/>
      <c r="K677" s="12" t="inlineStr">
        <is>
          <t>Source assignment</t>
        </is>
      </c>
      <c r="L677" s="12" t="inlineStr"/>
      <c r="M677" s="12" t="inlineStr">
        <is>
          <t>Initial</t>
        </is>
      </c>
      <c r="N677" s="12" t="inlineStr">
        <is>
          <t>Rev 0</t>
        </is>
      </c>
      <c r="O677" s="12" t="inlineStr">
        <is>
          <t>R1253-v1</t>
        </is>
      </c>
      <c r="P677" s="12" t="inlineStr"/>
      <c r="Q677" s="12" t="inlineStr"/>
      <c r="R677" s="12" t="inlineStr"/>
      <c r="S677" s="12" t="inlineStr"/>
      <c r="T677" s="12" t="inlineStr"/>
      <c r="U677" s="12" t="inlineStr"/>
      <c r="V677" s="12" t="inlineStr">
        <is>
          <t>Cost Account = CA-3011; WBS Code = 1.3.1</t>
        </is>
      </c>
      <c r="W677" s="12" t="inlineStr"/>
    </row>
    <row r="678" ht="49" customHeight="1">
      <c r="A678" s="12" t="inlineStr">
        <is>
          <t>1.3.1</t>
        </is>
      </c>
      <c r="B678" s="12" t="inlineStr">
        <is>
          <t>Systems - Traction Power</t>
        </is>
      </c>
      <c r="C678" s="12" t="inlineStr">
        <is>
          <t>Cost &amp; Forecast Control Accounts</t>
        </is>
      </c>
      <c r="D678" s="12" t="inlineStr">
        <is>
          <t>CST-03-013</t>
        </is>
      </c>
      <c r="E678" s="12" t="inlineStr">
        <is>
          <t>Systems - systems integration - supply and install</t>
        </is>
      </c>
      <c r="F678" s="12" t="inlineStr">
        <is>
          <t>ONE_TO_ONE</t>
        </is>
      </c>
      <c r="G678" s="12" t="inlineStr">
        <is>
          <t>APPROVED</t>
        </is>
      </c>
      <c r="H678" s="12" t="inlineStr">
        <is>
          <t>New</t>
        </is>
      </c>
      <c r="I678" s="12" t="inlineStr">
        <is>
          <t>Source assignment -- not individually reviewed</t>
        </is>
      </c>
      <c r="J678" s="12" t="inlineStr"/>
      <c r="K678" s="12" t="inlineStr">
        <is>
          <t>Source assignment</t>
        </is>
      </c>
      <c r="L678" s="12" t="inlineStr"/>
      <c r="M678" s="12" t="inlineStr">
        <is>
          <t>Initial</t>
        </is>
      </c>
      <c r="N678" s="12" t="inlineStr">
        <is>
          <t>Rev 0</t>
        </is>
      </c>
      <c r="O678" s="12" t="inlineStr">
        <is>
          <t>R1255-v1</t>
        </is>
      </c>
      <c r="P678" s="12" t="inlineStr"/>
      <c r="Q678" s="12" t="inlineStr"/>
      <c r="R678" s="12" t="inlineStr"/>
      <c r="S678" s="12" t="inlineStr"/>
      <c r="T678" s="12" t="inlineStr"/>
      <c r="U678" s="12" t="inlineStr"/>
      <c r="V678" s="12" t="inlineStr">
        <is>
          <t>Cost Account = CA-3013; WBS Code = 1.3.1</t>
        </is>
      </c>
      <c r="W678" s="12" t="inlineStr"/>
    </row>
    <row r="679" ht="49" customHeight="1">
      <c r="A679" s="12" t="inlineStr">
        <is>
          <t>1.3.1</t>
        </is>
      </c>
      <c r="B679" s="12" t="inlineStr">
        <is>
          <t>Systems - Traction Power</t>
        </is>
      </c>
      <c r="C679" s="12" t="inlineStr">
        <is>
          <t>Cost &amp; Forecast Control Accounts</t>
        </is>
      </c>
      <c r="D679" s="12" t="inlineStr">
        <is>
          <t>CST-03-015</t>
        </is>
      </c>
      <c r="E679" s="12" t="inlineStr">
        <is>
          <t>Systems - train control - allowance</t>
        </is>
      </c>
      <c r="F679" s="12" t="inlineStr">
        <is>
          <t>ONE_TO_ONE</t>
        </is>
      </c>
      <c r="G679" s="12" t="inlineStr">
        <is>
          <t>APPROVED</t>
        </is>
      </c>
      <c r="H679" s="12" t="inlineStr">
        <is>
          <t>New</t>
        </is>
      </c>
      <c r="I679" s="12" t="inlineStr">
        <is>
          <t>Source assignment -- not individually reviewed</t>
        </is>
      </c>
      <c r="J679" s="12" t="inlineStr"/>
      <c r="K679" s="12" t="inlineStr">
        <is>
          <t>Source assignment</t>
        </is>
      </c>
      <c r="L679" s="12" t="inlineStr"/>
      <c r="M679" s="12" t="inlineStr">
        <is>
          <t>Initial</t>
        </is>
      </c>
      <c r="N679" s="12" t="inlineStr">
        <is>
          <t>Rev 0</t>
        </is>
      </c>
      <c r="O679" s="12" t="inlineStr">
        <is>
          <t>R1257-v1</t>
        </is>
      </c>
      <c r="P679" s="12" t="inlineStr"/>
      <c r="Q679" s="12" t="inlineStr"/>
      <c r="R679" s="12" t="inlineStr"/>
      <c r="S679" s="12" t="inlineStr"/>
      <c r="T679" s="12" t="inlineStr"/>
      <c r="U679" s="12" t="inlineStr"/>
      <c r="V679" s="12" t="inlineStr">
        <is>
          <t>Cost Account = CA-3015; WBS Code = 1.3.1</t>
        </is>
      </c>
      <c r="W679" s="12" t="inlineStr"/>
    </row>
    <row r="680" ht="49" customHeight="1">
      <c r="A680" s="12" t="inlineStr">
        <is>
          <t>1.3.1</t>
        </is>
      </c>
      <c r="B680" s="12" t="inlineStr">
        <is>
          <t>Systems - Traction Power</t>
        </is>
      </c>
      <c r="C680" s="12" t="inlineStr">
        <is>
          <t>Cost &amp; Forecast Control Accounts</t>
        </is>
      </c>
      <c r="D680" s="12" t="inlineStr">
        <is>
          <t>CST-03-017</t>
        </is>
      </c>
      <c r="E680" s="12" t="inlineStr">
        <is>
          <t>Systems - signalling - field package</t>
        </is>
      </c>
      <c r="F680" s="12" t="inlineStr">
        <is>
          <t>ONE_TO_ONE</t>
        </is>
      </c>
      <c r="G680" s="12" t="inlineStr">
        <is>
          <t>APPROVED</t>
        </is>
      </c>
      <c r="H680" s="12" t="inlineStr">
        <is>
          <t>New</t>
        </is>
      </c>
      <c r="I680" s="12" t="inlineStr">
        <is>
          <t>Source assignment -- not individually reviewed</t>
        </is>
      </c>
      <c r="J680" s="12" t="inlineStr"/>
      <c r="K680" s="12" t="inlineStr">
        <is>
          <t>Source assignment</t>
        </is>
      </c>
      <c r="L680" s="12" t="inlineStr"/>
      <c r="M680" s="12" t="inlineStr">
        <is>
          <t>Initial</t>
        </is>
      </c>
      <c r="N680" s="12" t="inlineStr">
        <is>
          <t>Rev 0</t>
        </is>
      </c>
      <c r="O680" s="12" t="inlineStr">
        <is>
          <t>R1259-v1</t>
        </is>
      </c>
      <c r="P680" s="12" t="inlineStr"/>
      <c r="Q680" s="12" t="inlineStr"/>
      <c r="R680" s="12" t="inlineStr"/>
      <c r="S680" s="12" t="inlineStr"/>
      <c r="T680" s="12" t="inlineStr"/>
      <c r="U680" s="12" t="inlineStr"/>
      <c r="V680" s="12" t="inlineStr">
        <is>
          <t>Cost Account = CA-3017; WBS Code = 1.3.1</t>
        </is>
      </c>
      <c r="W680" s="12" t="inlineStr"/>
    </row>
    <row r="681" ht="49" customHeight="1">
      <c r="A681" s="12" t="inlineStr">
        <is>
          <t>1.3.1</t>
        </is>
      </c>
      <c r="B681" s="12" t="inlineStr">
        <is>
          <t>Systems - Traction Power</t>
        </is>
      </c>
      <c r="C681" s="12" t="inlineStr">
        <is>
          <t>Cost &amp; Forecast Control Accounts</t>
        </is>
      </c>
      <c r="D681" s="12" t="inlineStr">
        <is>
          <t>CST-03-019</t>
        </is>
      </c>
      <c r="E681" s="12" t="inlineStr">
        <is>
          <t>Systems - systems integration - professional services</t>
        </is>
      </c>
      <c r="F681" s="12" t="inlineStr">
        <is>
          <t>ONE_TO_ONE</t>
        </is>
      </c>
      <c r="G681" s="12" t="inlineStr">
        <is>
          <t>APPROVED</t>
        </is>
      </c>
      <c r="H681" s="12" t="inlineStr">
        <is>
          <t>New</t>
        </is>
      </c>
      <c r="I681" s="12" t="inlineStr">
        <is>
          <t>Source assignment -- not individually reviewed</t>
        </is>
      </c>
      <c r="J681" s="12" t="inlineStr"/>
      <c r="K681" s="12" t="inlineStr">
        <is>
          <t>Source assignment</t>
        </is>
      </c>
      <c r="L681" s="12" t="inlineStr"/>
      <c r="M681" s="12" t="inlineStr">
        <is>
          <t>Initial</t>
        </is>
      </c>
      <c r="N681" s="12" t="inlineStr">
        <is>
          <t>Rev 0</t>
        </is>
      </c>
      <c r="O681" s="12" t="inlineStr">
        <is>
          <t>R1261-v1</t>
        </is>
      </c>
      <c r="P681" s="12" t="inlineStr"/>
      <c r="Q681" s="12" t="inlineStr"/>
      <c r="R681" s="12" t="inlineStr"/>
      <c r="S681" s="12" t="inlineStr"/>
      <c r="T681" s="12" t="inlineStr"/>
      <c r="U681" s="12" t="inlineStr"/>
      <c r="V681" s="12" t="inlineStr">
        <is>
          <t>Cost Account = CA-3019; WBS Code = 1.3.1</t>
        </is>
      </c>
      <c r="W681" s="12" t="inlineStr"/>
    </row>
    <row r="682" ht="49" customHeight="1">
      <c r="A682" s="12" t="inlineStr">
        <is>
          <t>1.3.1</t>
        </is>
      </c>
      <c r="B682" s="12" t="inlineStr">
        <is>
          <t>Systems - Traction Power</t>
        </is>
      </c>
      <c r="C682" s="12" t="inlineStr">
        <is>
          <t>Cost &amp; Forecast Control Accounts</t>
        </is>
      </c>
      <c r="D682" s="12" t="inlineStr">
        <is>
          <t>CST-03-021</t>
        </is>
      </c>
      <c r="E682" s="12" t="inlineStr">
        <is>
          <t>Systems - train control - closeout</t>
        </is>
      </c>
      <c r="F682" s="12" t="inlineStr">
        <is>
          <t>ONE_TO_ONE</t>
        </is>
      </c>
      <c r="G682" s="12" t="inlineStr">
        <is>
          <t>APPROVED</t>
        </is>
      </c>
      <c r="H682" s="12" t="inlineStr">
        <is>
          <t>New</t>
        </is>
      </c>
      <c r="I682" s="12" t="inlineStr">
        <is>
          <t>Source assignment -- not individually reviewed</t>
        </is>
      </c>
      <c r="J682" s="12" t="inlineStr"/>
      <c r="K682" s="12" t="inlineStr">
        <is>
          <t>Source assignment</t>
        </is>
      </c>
      <c r="L682" s="12" t="inlineStr"/>
      <c r="M682" s="12" t="inlineStr">
        <is>
          <t>Initial</t>
        </is>
      </c>
      <c r="N682" s="12" t="inlineStr">
        <is>
          <t>Rev 0</t>
        </is>
      </c>
      <c r="O682" s="12" t="inlineStr">
        <is>
          <t>R1263-v1</t>
        </is>
      </c>
      <c r="P682" s="12" t="inlineStr"/>
      <c r="Q682" s="12" t="inlineStr"/>
      <c r="R682" s="12" t="inlineStr"/>
      <c r="S682" s="12" t="inlineStr"/>
      <c r="T682" s="12" t="inlineStr"/>
      <c r="U682" s="12" t="inlineStr"/>
      <c r="V682" s="12" t="inlineStr">
        <is>
          <t>Cost Account = CA-3021; WBS Code = 1.3.1</t>
        </is>
      </c>
      <c r="W682" s="12" t="inlineStr"/>
    </row>
    <row r="683" ht="49" customHeight="1">
      <c r="A683" s="12" t="inlineStr">
        <is>
          <t>1.3.1</t>
        </is>
      </c>
      <c r="B683" s="12" t="inlineStr">
        <is>
          <t>Systems - Traction Power</t>
        </is>
      </c>
      <c r="C683" s="12" t="inlineStr">
        <is>
          <t>Cost &amp; Forecast Control Accounts</t>
        </is>
      </c>
      <c r="D683" s="12" t="inlineStr">
        <is>
          <t>CST-03-023</t>
        </is>
      </c>
      <c r="E683" s="12" t="inlineStr">
        <is>
          <t>Systems - signalling - supply and install</t>
        </is>
      </c>
      <c r="F683" s="12" t="inlineStr">
        <is>
          <t>ONE_TO_ONE</t>
        </is>
      </c>
      <c r="G683" s="12" t="inlineStr">
        <is>
          <t>APPROVED</t>
        </is>
      </c>
      <c r="H683" s="12" t="inlineStr">
        <is>
          <t>New</t>
        </is>
      </c>
      <c r="I683" s="12" t="inlineStr">
        <is>
          <t>Source assignment -- not individually reviewed</t>
        </is>
      </c>
      <c r="J683" s="12" t="inlineStr"/>
      <c r="K683" s="12" t="inlineStr">
        <is>
          <t>Source assignment</t>
        </is>
      </c>
      <c r="L683" s="12" t="inlineStr"/>
      <c r="M683" s="12" t="inlineStr">
        <is>
          <t>Initial</t>
        </is>
      </c>
      <c r="N683" s="12" t="inlineStr">
        <is>
          <t>Rev 0</t>
        </is>
      </c>
      <c r="O683" s="12" t="inlineStr">
        <is>
          <t>R1265-v1</t>
        </is>
      </c>
      <c r="P683" s="12" t="inlineStr"/>
      <c r="Q683" s="12" t="inlineStr"/>
      <c r="R683" s="12" t="inlineStr"/>
      <c r="S683" s="12" t="inlineStr"/>
      <c r="T683" s="12" t="inlineStr"/>
      <c r="U683" s="12" t="inlineStr"/>
      <c r="V683" s="12" t="inlineStr">
        <is>
          <t>Cost Account = CA-3023; WBS Code = 1.3.1</t>
        </is>
      </c>
      <c r="W683" s="12" t="inlineStr"/>
    </row>
    <row r="684" ht="49" customHeight="1">
      <c r="A684" s="12" t="inlineStr">
        <is>
          <t>1.3.1</t>
        </is>
      </c>
      <c r="B684" s="12" t="inlineStr">
        <is>
          <t>Systems - Traction Power</t>
        </is>
      </c>
      <c r="C684" s="12" t="inlineStr">
        <is>
          <t>Cost &amp; Forecast Control Accounts</t>
        </is>
      </c>
      <c r="D684" s="12" t="inlineStr">
        <is>
          <t>CST-03-025</t>
        </is>
      </c>
      <c r="E684" s="12" t="inlineStr">
        <is>
          <t>Systems - systems integration - allowance</t>
        </is>
      </c>
      <c r="F684" s="12" t="inlineStr">
        <is>
          <t>ONE_TO_ONE</t>
        </is>
      </c>
      <c r="G684" s="12" t="inlineStr">
        <is>
          <t>APPROVED</t>
        </is>
      </c>
      <c r="H684" s="12" t="inlineStr">
        <is>
          <t>New</t>
        </is>
      </c>
      <c r="I684" s="12" t="inlineStr">
        <is>
          <t>Source assignment -- not individually reviewed</t>
        </is>
      </c>
      <c r="J684" s="12" t="inlineStr"/>
      <c r="K684" s="12" t="inlineStr">
        <is>
          <t>Source assignment</t>
        </is>
      </c>
      <c r="L684" s="12" t="inlineStr"/>
      <c r="M684" s="12" t="inlineStr">
        <is>
          <t>Initial</t>
        </is>
      </c>
      <c r="N684" s="12" t="inlineStr">
        <is>
          <t>Rev 0</t>
        </is>
      </c>
      <c r="O684" s="12" t="inlineStr">
        <is>
          <t>R1267-v1</t>
        </is>
      </c>
      <c r="P684" s="12" t="inlineStr"/>
      <c r="Q684" s="12" t="inlineStr"/>
      <c r="R684" s="12" t="inlineStr"/>
      <c r="S684" s="12" t="inlineStr"/>
      <c r="T684" s="12" t="inlineStr"/>
      <c r="U684" s="12" t="inlineStr"/>
      <c r="V684" s="12" t="inlineStr">
        <is>
          <t>Cost Account = CA-3025; WBS Code = 1.3.1</t>
        </is>
      </c>
      <c r="W684" s="12" t="inlineStr"/>
    </row>
    <row r="685" ht="49" customHeight="1">
      <c r="A685" s="12" t="inlineStr">
        <is>
          <t>1.3.1</t>
        </is>
      </c>
      <c r="B685" s="12" t="inlineStr">
        <is>
          <t>Systems - Traction Power</t>
        </is>
      </c>
      <c r="C685" s="12" t="inlineStr">
        <is>
          <t>Cost &amp; Forecast Control Accounts</t>
        </is>
      </c>
      <c r="D685" s="12" t="inlineStr">
        <is>
          <t>CST-03-027</t>
        </is>
      </c>
      <c r="E685" s="12" t="inlineStr">
        <is>
          <t>Systems - train control - field package</t>
        </is>
      </c>
      <c r="F685" s="12" t="inlineStr">
        <is>
          <t>ONE_TO_ONE</t>
        </is>
      </c>
      <c r="G685" s="12" t="inlineStr">
        <is>
          <t>APPROVED</t>
        </is>
      </c>
      <c r="H685" s="12" t="inlineStr">
        <is>
          <t>New</t>
        </is>
      </c>
      <c r="I685" s="12" t="inlineStr">
        <is>
          <t>Source assignment -- not individually reviewed</t>
        </is>
      </c>
      <c r="J685" s="12" t="inlineStr"/>
      <c r="K685" s="12" t="inlineStr">
        <is>
          <t>Source assignment</t>
        </is>
      </c>
      <c r="L685" s="12" t="inlineStr"/>
      <c r="M685" s="12" t="inlineStr">
        <is>
          <t>Initial</t>
        </is>
      </c>
      <c r="N685" s="12" t="inlineStr">
        <is>
          <t>Rev 0</t>
        </is>
      </c>
      <c r="O685" s="12" t="inlineStr">
        <is>
          <t>R1269-v1</t>
        </is>
      </c>
      <c r="P685" s="12" t="inlineStr"/>
      <c r="Q685" s="12" t="inlineStr"/>
      <c r="R685" s="12" t="inlineStr"/>
      <c r="S685" s="12" t="inlineStr"/>
      <c r="T685" s="12" t="inlineStr"/>
      <c r="U685" s="12" t="inlineStr"/>
      <c r="V685" s="12" t="inlineStr">
        <is>
          <t>Cost Account = CA-3027; WBS Code = 1.3.1</t>
        </is>
      </c>
      <c r="W685" s="12" t="inlineStr"/>
    </row>
    <row r="686" ht="49" customHeight="1">
      <c r="A686" s="12" t="inlineStr">
        <is>
          <t>1.3.1</t>
        </is>
      </c>
      <c r="B686" s="12" t="inlineStr">
        <is>
          <t>Systems - Traction Power</t>
        </is>
      </c>
      <c r="C686" s="12" t="inlineStr">
        <is>
          <t>Cost &amp; Forecast Control Accounts</t>
        </is>
      </c>
      <c r="D686" s="12" t="inlineStr">
        <is>
          <t>CST-03-029</t>
        </is>
      </c>
      <c r="E686" s="12" t="inlineStr">
        <is>
          <t>Systems - signalling - professional services</t>
        </is>
      </c>
      <c r="F686" s="12" t="inlineStr">
        <is>
          <t>ONE_TO_ONE</t>
        </is>
      </c>
      <c r="G686" s="12" t="inlineStr">
        <is>
          <t>APPROVED</t>
        </is>
      </c>
      <c r="H686" s="12" t="inlineStr">
        <is>
          <t>New</t>
        </is>
      </c>
      <c r="I686" s="12" t="inlineStr">
        <is>
          <t>Source assignment -- not individually reviewed</t>
        </is>
      </c>
      <c r="J686" s="12" t="inlineStr"/>
      <c r="K686" s="12" t="inlineStr">
        <is>
          <t>Source assignment</t>
        </is>
      </c>
      <c r="L686" s="12" t="inlineStr"/>
      <c r="M686" s="12" t="inlineStr">
        <is>
          <t>Initial</t>
        </is>
      </c>
      <c r="N686" s="12" t="inlineStr">
        <is>
          <t>Rev 0</t>
        </is>
      </c>
      <c r="O686" s="12" t="inlineStr">
        <is>
          <t>R1271-v1</t>
        </is>
      </c>
      <c r="P686" s="12" t="inlineStr"/>
      <c r="Q686" s="12" t="inlineStr"/>
      <c r="R686" s="12" t="inlineStr"/>
      <c r="S686" s="12" t="inlineStr"/>
      <c r="T686" s="12" t="inlineStr"/>
      <c r="U686" s="12" t="inlineStr"/>
      <c r="V686" s="12" t="inlineStr">
        <is>
          <t>Cost Account = CA-3029; WBS Code = 1.3.1</t>
        </is>
      </c>
      <c r="W686" s="12" t="inlineStr"/>
    </row>
    <row r="687" ht="49" customHeight="1">
      <c r="A687" s="12" t="inlineStr">
        <is>
          <t>1.3.1</t>
        </is>
      </c>
      <c r="B687" s="12" t="inlineStr">
        <is>
          <t>Systems - Traction Power</t>
        </is>
      </c>
      <c r="C687" s="12" t="inlineStr">
        <is>
          <t>Cost &amp; Forecast Control Accounts</t>
        </is>
      </c>
      <c r="D687" s="12" t="inlineStr">
        <is>
          <t>CST-03-031</t>
        </is>
      </c>
      <c r="E687" s="12" t="inlineStr">
        <is>
          <t>Systems - systems integration - closeout</t>
        </is>
      </c>
      <c r="F687" s="12" t="inlineStr">
        <is>
          <t>ONE_TO_ONE</t>
        </is>
      </c>
      <c r="G687" s="12" t="inlineStr">
        <is>
          <t>APPROVED</t>
        </is>
      </c>
      <c r="H687" s="12" t="inlineStr">
        <is>
          <t>New</t>
        </is>
      </c>
      <c r="I687" s="12" t="inlineStr">
        <is>
          <t>Source assignment -- not individually reviewed</t>
        </is>
      </c>
      <c r="J687" s="12" t="inlineStr"/>
      <c r="K687" s="12" t="inlineStr">
        <is>
          <t>Source assignment</t>
        </is>
      </c>
      <c r="L687" s="12" t="inlineStr"/>
      <c r="M687" s="12" t="inlineStr">
        <is>
          <t>Initial</t>
        </is>
      </c>
      <c r="N687" s="12" t="inlineStr">
        <is>
          <t>Rev 0</t>
        </is>
      </c>
      <c r="O687" s="12" t="inlineStr">
        <is>
          <t>R1273-v1</t>
        </is>
      </c>
      <c r="P687" s="12" t="inlineStr"/>
      <c r="Q687" s="12" t="inlineStr"/>
      <c r="R687" s="12" t="inlineStr"/>
      <c r="S687" s="12" t="inlineStr"/>
      <c r="T687" s="12" t="inlineStr"/>
      <c r="U687" s="12" t="inlineStr"/>
      <c r="V687" s="12" t="inlineStr">
        <is>
          <t>Cost Account = CA-3031; WBS Code = 1.3.1</t>
        </is>
      </c>
      <c r="W687" s="12" t="inlineStr"/>
    </row>
    <row r="688" ht="49" customHeight="1">
      <c r="A688" s="12" t="inlineStr">
        <is>
          <t>1.3.1</t>
        </is>
      </c>
      <c r="B688" s="12" t="inlineStr">
        <is>
          <t>Systems - Traction Power</t>
        </is>
      </c>
      <c r="C688" s="12" t="inlineStr">
        <is>
          <t>Cost &amp; Forecast Control Accounts</t>
        </is>
      </c>
      <c r="D688" s="12" t="inlineStr">
        <is>
          <t>CST-03-033</t>
        </is>
      </c>
      <c r="E688" s="12" t="inlineStr">
        <is>
          <t>Systems - train control - supply and install</t>
        </is>
      </c>
      <c r="F688" s="12" t="inlineStr">
        <is>
          <t>ONE_TO_ONE</t>
        </is>
      </c>
      <c r="G688" s="12" t="inlineStr">
        <is>
          <t>APPROVED</t>
        </is>
      </c>
      <c r="H688" s="12" t="inlineStr">
        <is>
          <t>New</t>
        </is>
      </c>
      <c r="I688" s="12" t="inlineStr">
        <is>
          <t>Source assignment -- not individually reviewed</t>
        </is>
      </c>
      <c r="J688" s="12" t="inlineStr"/>
      <c r="K688" s="12" t="inlineStr">
        <is>
          <t>Source assignment</t>
        </is>
      </c>
      <c r="L688" s="12" t="inlineStr"/>
      <c r="M688" s="12" t="inlineStr">
        <is>
          <t>Initial</t>
        </is>
      </c>
      <c r="N688" s="12" t="inlineStr">
        <is>
          <t>Rev 0</t>
        </is>
      </c>
      <c r="O688" s="12" t="inlineStr">
        <is>
          <t>R1275-v1</t>
        </is>
      </c>
      <c r="P688" s="12" t="inlineStr"/>
      <c r="Q688" s="12" t="inlineStr"/>
      <c r="R688" s="12" t="inlineStr"/>
      <c r="S688" s="12" t="inlineStr"/>
      <c r="T688" s="12" t="inlineStr"/>
      <c r="U688" s="12" t="inlineStr"/>
      <c r="V688" s="12" t="inlineStr">
        <is>
          <t>Cost Account = CA-3033; WBS Code = 1.3.1</t>
        </is>
      </c>
      <c r="W688" s="12" t="inlineStr"/>
    </row>
    <row r="689" ht="49" customHeight="1">
      <c r="A689" s="12" t="inlineStr">
        <is>
          <t>1.3.1</t>
        </is>
      </c>
      <c r="B689" s="12" t="inlineStr">
        <is>
          <t>Systems - Traction Power</t>
        </is>
      </c>
      <c r="C689" s="12" t="inlineStr">
        <is>
          <t>Cost &amp; Forecast Control Accounts</t>
        </is>
      </c>
      <c r="D689" s="12" t="inlineStr">
        <is>
          <t>CST-03-035</t>
        </is>
      </c>
      <c r="E689" s="12" t="inlineStr">
        <is>
          <t>Systems - signalling - allowance</t>
        </is>
      </c>
      <c r="F689" s="12" t="inlineStr">
        <is>
          <t>ONE_TO_ONE</t>
        </is>
      </c>
      <c r="G689" s="12" t="inlineStr">
        <is>
          <t>APPROVED</t>
        </is>
      </c>
      <c r="H689" s="12" t="inlineStr">
        <is>
          <t>New</t>
        </is>
      </c>
      <c r="I689" s="12" t="inlineStr">
        <is>
          <t>Source assignment -- not individually reviewed</t>
        </is>
      </c>
      <c r="J689" s="12" t="inlineStr"/>
      <c r="K689" s="12" t="inlineStr">
        <is>
          <t>Source assignment</t>
        </is>
      </c>
      <c r="L689" s="12" t="inlineStr"/>
      <c r="M689" s="12" t="inlineStr">
        <is>
          <t>Initial</t>
        </is>
      </c>
      <c r="N689" s="12" t="inlineStr">
        <is>
          <t>Rev 0</t>
        </is>
      </c>
      <c r="O689" s="12" t="inlineStr">
        <is>
          <t>R1277-v1</t>
        </is>
      </c>
      <c r="P689" s="12" t="inlineStr"/>
      <c r="Q689" s="12" t="inlineStr"/>
      <c r="R689" s="12" t="inlineStr"/>
      <c r="S689" s="12" t="inlineStr"/>
      <c r="T689" s="12" t="inlineStr"/>
      <c r="U689" s="12" t="inlineStr"/>
      <c r="V689" s="12" t="inlineStr">
        <is>
          <t>Cost Account = CA-3035; WBS Code = 1.3.1</t>
        </is>
      </c>
      <c r="W689" s="12" t="inlineStr"/>
    </row>
    <row r="690" ht="49" customHeight="1">
      <c r="A690" s="12" t="inlineStr">
        <is>
          <t>1.3.1</t>
        </is>
      </c>
      <c r="B690" s="12" t="inlineStr">
        <is>
          <t>Systems - Traction Power</t>
        </is>
      </c>
      <c r="C690" s="12" t="inlineStr">
        <is>
          <t>Cost &amp; Forecast Control Accounts</t>
        </is>
      </c>
      <c r="D690" s="12" t="inlineStr">
        <is>
          <t>CST-03-037</t>
        </is>
      </c>
      <c r="E690" s="12" t="inlineStr">
        <is>
          <t>Systems - systems integration - field package</t>
        </is>
      </c>
      <c r="F690" s="12" t="inlineStr">
        <is>
          <t>ONE_TO_ONE</t>
        </is>
      </c>
      <c r="G690" s="12" t="inlineStr">
        <is>
          <t>APPROVED</t>
        </is>
      </c>
      <c r="H690" s="12" t="inlineStr">
        <is>
          <t>New</t>
        </is>
      </c>
      <c r="I690" s="12" t="inlineStr">
        <is>
          <t>Source assignment -- not individually reviewed</t>
        </is>
      </c>
      <c r="J690" s="12" t="inlineStr"/>
      <c r="K690" s="12" t="inlineStr">
        <is>
          <t>Source assignment</t>
        </is>
      </c>
      <c r="L690" s="12" t="inlineStr"/>
      <c r="M690" s="12" t="inlineStr">
        <is>
          <t>Initial</t>
        </is>
      </c>
      <c r="N690" s="12" t="inlineStr">
        <is>
          <t>Rev 0</t>
        </is>
      </c>
      <c r="O690" s="12" t="inlineStr">
        <is>
          <t>R1279-v1</t>
        </is>
      </c>
      <c r="P690" s="12" t="inlineStr"/>
      <c r="Q690" s="12" t="inlineStr"/>
      <c r="R690" s="12" t="inlineStr"/>
      <c r="S690" s="12" t="inlineStr"/>
      <c r="T690" s="12" t="inlineStr"/>
      <c r="U690" s="12" t="inlineStr"/>
      <c r="V690" s="12" t="inlineStr">
        <is>
          <t>Cost Account = CA-3037; WBS Code = 1.3.1</t>
        </is>
      </c>
      <c r="W690" s="12" t="inlineStr"/>
    </row>
    <row r="691" ht="49" customHeight="1">
      <c r="A691" s="12" t="inlineStr">
        <is>
          <t>1.3.1</t>
        </is>
      </c>
      <c r="B691" s="12" t="inlineStr">
        <is>
          <t>Systems - Traction Power</t>
        </is>
      </c>
      <c r="C691" s="12" t="inlineStr">
        <is>
          <t>Cost &amp; Forecast Control Accounts</t>
        </is>
      </c>
      <c r="D691" s="12" t="inlineStr">
        <is>
          <t>CST-03-039</t>
        </is>
      </c>
      <c r="E691" s="12" t="inlineStr">
        <is>
          <t>Systems - train control - professional services</t>
        </is>
      </c>
      <c r="F691" s="12" t="inlineStr">
        <is>
          <t>ONE_TO_ONE</t>
        </is>
      </c>
      <c r="G691" s="12" t="inlineStr">
        <is>
          <t>APPROVED</t>
        </is>
      </c>
      <c r="H691" s="12" t="inlineStr">
        <is>
          <t>New</t>
        </is>
      </c>
      <c r="I691" s="12" t="inlineStr">
        <is>
          <t>Source assignment -- not individually reviewed</t>
        </is>
      </c>
      <c r="J691" s="12" t="inlineStr"/>
      <c r="K691" s="12" t="inlineStr">
        <is>
          <t>Source assignment</t>
        </is>
      </c>
      <c r="L691" s="12" t="inlineStr"/>
      <c r="M691" s="12" t="inlineStr">
        <is>
          <t>Initial</t>
        </is>
      </c>
      <c r="N691" s="12" t="inlineStr">
        <is>
          <t>Rev 0</t>
        </is>
      </c>
      <c r="O691" s="12" t="inlineStr">
        <is>
          <t>R1281-v1</t>
        </is>
      </c>
      <c r="P691" s="12" t="inlineStr"/>
      <c r="Q691" s="12" t="inlineStr"/>
      <c r="R691" s="12" t="inlineStr"/>
      <c r="S691" s="12" t="inlineStr"/>
      <c r="T691" s="12" t="inlineStr"/>
      <c r="U691" s="12" t="inlineStr"/>
      <c r="V691" s="12" t="inlineStr">
        <is>
          <t>Cost Account = CA-3039; WBS Code = 1.3.1</t>
        </is>
      </c>
      <c r="W691" s="12" t="inlineStr"/>
    </row>
    <row r="692" ht="49" customHeight="1">
      <c r="A692" s="12" t="inlineStr">
        <is>
          <t>1.3.1</t>
        </is>
      </c>
      <c r="B692" s="12" t="inlineStr">
        <is>
          <t>Systems - Traction Power</t>
        </is>
      </c>
      <c r="C692" s="12" t="inlineStr">
        <is>
          <t>Cost &amp; Forecast Control Accounts</t>
        </is>
      </c>
      <c r="D692" s="12" t="inlineStr">
        <is>
          <t>CST-03-041</t>
        </is>
      </c>
      <c r="E692" s="12" t="inlineStr">
        <is>
          <t>Systems - signalling - closeout</t>
        </is>
      </c>
      <c r="F692" s="12" t="inlineStr">
        <is>
          <t>ONE_TO_ONE</t>
        </is>
      </c>
      <c r="G692" s="12" t="inlineStr">
        <is>
          <t>APPROVED</t>
        </is>
      </c>
      <c r="H692" s="12" t="inlineStr">
        <is>
          <t>New</t>
        </is>
      </c>
      <c r="I692" s="12" t="inlineStr">
        <is>
          <t>Source assignment -- not individually reviewed</t>
        </is>
      </c>
      <c r="J692" s="12" t="inlineStr"/>
      <c r="K692" s="12" t="inlineStr">
        <is>
          <t>Source assignment</t>
        </is>
      </c>
      <c r="L692" s="12" t="inlineStr"/>
      <c r="M692" s="12" t="inlineStr">
        <is>
          <t>Initial</t>
        </is>
      </c>
      <c r="N692" s="12" t="inlineStr">
        <is>
          <t>Rev 0</t>
        </is>
      </c>
      <c r="O692" s="12" t="inlineStr">
        <is>
          <t>R1283-v1</t>
        </is>
      </c>
      <c r="P692" s="12" t="inlineStr"/>
      <c r="Q692" s="12" t="inlineStr"/>
      <c r="R692" s="12" t="inlineStr"/>
      <c r="S692" s="12" t="inlineStr"/>
      <c r="T692" s="12" t="inlineStr"/>
      <c r="U692" s="12" t="inlineStr"/>
      <c r="V692" s="12" t="inlineStr">
        <is>
          <t>Cost Account = CA-3041; WBS Code = 1.3.1</t>
        </is>
      </c>
      <c r="W692" s="12" t="inlineStr"/>
    </row>
    <row r="693" ht="49" customHeight="1">
      <c r="A693" s="12" t="inlineStr">
        <is>
          <t>1.3.1</t>
        </is>
      </c>
      <c r="B693" s="12" t="inlineStr">
        <is>
          <t>Systems - Traction Power</t>
        </is>
      </c>
      <c r="C693" s="12" t="inlineStr">
        <is>
          <t>Cost &amp; Forecast Control Accounts</t>
        </is>
      </c>
      <c r="D693" s="12" t="inlineStr">
        <is>
          <t>CST-03-043</t>
        </is>
      </c>
      <c r="E693" s="12" t="inlineStr">
        <is>
          <t>Systems - systems integration - supply and install</t>
        </is>
      </c>
      <c r="F693" s="12" t="inlineStr">
        <is>
          <t>ONE_TO_ONE</t>
        </is>
      </c>
      <c r="G693" s="12" t="inlineStr">
        <is>
          <t>APPROVED</t>
        </is>
      </c>
      <c r="H693" s="12" t="inlineStr">
        <is>
          <t>New</t>
        </is>
      </c>
      <c r="I693" s="12" t="inlineStr">
        <is>
          <t>Source assignment -- not individually reviewed</t>
        </is>
      </c>
      <c r="J693" s="12" t="inlineStr"/>
      <c r="K693" s="12" t="inlineStr">
        <is>
          <t>Source assignment</t>
        </is>
      </c>
      <c r="L693" s="12" t="inlineStr"/>
      <c r="M693" s="12" t="inlineStr">
        <is>
          <t>Initial</t>
        </is>
      </c>
      <c r="N693" s="12" t="inlineStr">
        <is>
          <t>Rev 0</t>
        </is>
      </c>
      <c r="O693" s="12" t="inlineStr">
        <is>
          <t>R1285-v1</t>
        </is>
      </c>
      <c r="P693" s="12" t="inlineStr"/>
      <c r="Q693" s="12" t="inlineStr"/>
      <c r="R693" s="12" t="inlineStr"/>
      <c r="S693" s="12" t="inlineStr"/>
      <c r="T693" s="12" t="inlineStr"/>
      <c r="U693" s="12" t="inlineStr"/>
      <c r="V693" s="12" t="inlineStr">
        <is>
          <t>Cost Account = CA-3043; WBS Code = 1.3.1</t>
        </is>
      </c>
      <c r="W693" s="12" t="inlineStr"/>
    </row>
    <row r="694" ht="49" customHeight="1">
      <c r="A694" s="12" t="inlineStr">
        <is>
          <t>1.3.1</t>
        </is>
      </c>
      <c r="B694" s="12" t="inlineStr">
        <is>
          <t>Systems - Traction Power</t>
        </is>
      </c>
      <c r="C694" s="12" t="inlineStr">
        <is>
          <t>Cost &amp; Forecast Control Accounts</t>
        </is>
      </c>
      <c r="D694" s="12" t="inlineStr">
        <is>
          <t>CST-03-045</t>
        </is>
      </c>
      <c r="E694" s="12" t="inlineStr">
        <is>
          <t>Systems - train control - allowance</t>
        </is>
      </c>
      <c r="F694" s="12" t="inlineStr">
        <is>
          <t>ONE_TO_ONE</t>
        </is>
      </c>
      <c r="G694" s="12" t="inlineStr">
        <is>
          <t>APPROVED</t>
        </is>
      </c>
      <c r="H694" s="12" t="inlineStr">
        <is>
          <t>New</t>
        </is>
      </c>
      <c r="I694" s="12" t="inlineStr">
        <is>
          <t>Source assignment -- not individually reviewed</t>
        </is>
      </c>
      <c r="J694" s="12" t="inlineStr"/>
      <c r="K694" s="12" t="inlineStr">
        <is>
          <t>Source assignment</t>
        </is>
      </c>
      <c r="L694" s="12" t="inlineStr"/>
      <c r="M694" s="12" t="inlineStr">
        <is>
          <t>Initial</t>
        </is>
      </c>
      <c r="N694" s="12" t="inlineStr">
        <is>
          <t>Rev 0</t>
        </is>
      </c>
      <c r="O694" s="12" t="inlineStr">
        <is>
          <t>R1287-v1</t>
        </is>
      </c>
      <c r="P694" s="12" t="inlineStr"/>
      <c r="Q694" s="12" t="inlineStr"/>
      <c r="R694" s="12" t="inlineStr"/>
      <c r="S694" s="12" t="inlineStr"/>
      <c r="T694" s="12" t="inlineStr"/>
      <c r="U694" s="12" t="inlineStr"/>
      <c r="V694" s="12" t="inlineStr">
        <is>
          <t>Cost Account = CA-3045; WBS Code = 1.3.1</t>
        </is>
      </c>
      <c r="W694" s="12" t="inlineStr"/>
    </row>
    <row r="695" ht="49" customHeight="1">
      <c r="A695" s="12" t="inlineStr">
        <is>
          <t>1.3.1</t>
        </is>
      </c>
      <c r="B695" s="12" t="inlineStr">
        <is>
          <t>Systems - Traction Power</t>
        </is>
      </c>
      <c r="C695" s="12" t="inlineStr">
        <is>
          <t>Cost &amp; Forecast Control Accounts</t>
        </is>
      </c>
      <c r="D695" s="12" t="inlineStr">
        <is>
          <t>CST-03-047</t>
        </is>
      </c>
      <c r="E695" s="12" t="inlineStr">
        <is>
          <t>Systems - signalling - field package</t>
        </is>
      </c>
      <c r="F695" s="12" t="inlineStr">
        <is>
          <t>ONE_TO_ONE</t>
        </is>
      </c>
      <c r="G695" s="12" t="inlineStr">
        <is>
          <t>APPROVED</t>
        </is>
      </c>
      <c r="H695" s="12" t="inlineStr">
        <is>
          <t>New</t>
        </is>
      </c>
      <c r="I695" s="12" t="inlineStr">
        <is>
          <t>Source assignment -- not individually reviewed</t>
        </is>
      </c>
      <c r="J695" s="12" t="inlineStr"/>
      <c r="K695" s="12" t="inlineStr">
        <is>
          <t>Source assignment</t>
        </is>
      </c>
      <c r="L695" s="12" t="inlineStr"/>
      <c r="M695" s="12" t="inlineStr">
        <is>
          <t>Initial</t>
        </is>
      </c>
      <c r="N695" s="12" t="inlineStr">
        <is>
          <t>Rev 0</t>
        </is>
      </c>
      <c r="O695" s="12" t="inlineStr">
        <is>
          <t>R1289-v1</t>
        </is>
      </c>
      <c r="P695" s="12" t="inlineStr"/>
      <c r="Q695" s="12" t="inlineStr"/>
      <c r="R695" s="12" t="inlineStr"/>
      <c r="S695" s="12" t="inlineStr"/>
      <c r="T695" s="12" t="inlineStr"/>
      <c r="U695" s="12" t="inlineStr"/>
      <c r="V695" s="12" t="inlineStr">
        <is>
          <t>Cost Account = CA-3047; WBS Code = 1.3.1</t>
        </is>
      </c>
      <c r="W695" s="12" t="inlineStr"/>
    </row>
    <row r="696" ht="49" customHeight="1">
      <c r="A696" s="12" t="inlineStr">
        <is>
          <t>1.3.1</t>
        </is>
      </c>
      <c r="B696" s="12" t="inlineStr">
        <is>
          <t>Systems - Traction Power</t>
        </is>
      </c>
      <c r="C696" s="12" t="inlineStr">
        <is>
          <t>Cost &amp; Forecast Control Accounts</t>
        </is>
      </c>
      <c r="D696" s="12" t="inlineStr">
        <is>
          <t>CST-03-049</t>
        </is>
      </c>
      <c r="E696" s="12" t="inlineStr">
        <is>
          <t>Systems - systems integration - professional services</t>
        </is>
      </c>
      <c r="F696" s="12" t="inlineStr">
        <is>
          <t>ONE_TO_ONE</t>
        </is>
      </c>
      <c r="G696" s="12" t="inlineStr">
        <is>
          <t>APPROVED</t>
        </is>
      </c>
      <c r="H696" s="12" t="inlineStr">
        <is>
          <t>New</t>
        </is>
      </c>
      <c r="I696" s="12" t="inlineStr">
        <is>
          <t>Source assignment -- not individually reviewed</t>
        </is>
      </c>
      <c r="J696" s="12" t="inlineStr"/>
      <c r="K696" s="12" t="inlineStr">
        <is>
          <t>Source assignment</t>
        </is>
      </c>
      <c r="L696" s="12" t="inlineStr"/>
      <c r="M696" s="12" t="inlineStr">
        <is>
          <t>Initial</t>
        </is>
      </c>
      <c r="N696" s="12" t="inlineStr">
        <is>
          <t>Rev 0</t>
        </is>
      </c>
      <c r="O696" s="12" t="inlineStr">
        <is>
          <t>R1291-v1</t>
        </is>
      </c>
      <c r="P696" s="12" t="inlineStr"/>
      <c r="Q696" s="12" t="inlineStr"/>
      <c r="R696" s="12" t="inlineStr"/>
      <c r="S696" s="12" t="inlineStr"/>
      <c r="T696" s="12" t="inlineStr"/>
      <c r="U696" s="12" t="inlineStr"/>
      <c r="V696" s="12" t="inlineStr">
        <is>
          <t>Cost Account = CA-3049; WBS Code = 1.3.1</t>
        </is>
      </c>
      <c r="W696" s="12" t="inlineStr"/>
    </row>
    <row r="697" ht="49" customHeight="1">
      <c r="A697" s="12" t="inlineStr">
        <is>
          <t>1.3.1</t>
        </is>
      </c>
      <c r="B697" s="12" t="inlineStr">
        <is>
          <t>Systems - Traction Power</t>
        </is>
      </c>
      <c r="C697" s="12" t="inlineStr">
        <is>
          <t>Cost &amp; Forecast Control Accounts</t>
        </is>
      </c>
      <c r="D697" s="12" t="inlineStr">
        <is>
          <t>CST-03-051</t>
        </is>
      </c>
      <c r="E697" s="12" t="inlineStr">
        <is>
          <t>Systems - train control - closeout</t>
        </is>
      </c>
      <c r="F697" s="12" t="inlineStr">
        <is>
          <t>ONE_TO_ONE</t>
        </is>
      </c>
      <c r="G697" s="12" t="inlineStr">
        <is>
          <t>APPROVED</t>
        </is>
      </c>
      <c r="H697" s="12" t="inlineStr">
        <is>
          <t>New</t>
        </is>
      </c>
      <c r="I697" s="12" t="inlineStr">
        <is>
          <t>Source assignment -- not individually reviewed</t>
        </is>
      </c>
      <c r="J697" s="12" t="inlineStr"/>
      <c r="K697" s="12" t="inlineStr">
        <is>
          <t>Source assignment</t>
        </is>
      </c>
      <c r="L697" s="12" t="inlineStr"/>
      <c r="M697" s="12" t="inlineStr">
        <is>
          <t>Initial</t>
        </is>
      </c>
      <c r="N697" s="12" t="inlineStr">
        <is>
          <t>Rev 0</t>
        </is>
      </c>
      <c r="O697" s="12" t="inlineStr">
        <is>
          <t>R1293-v1</t>
        </is>
      </c>
      <c r="P697" s="12" t="inlineStr"/>
      <c r="Q697" s="12" t="inlineStr"/>
      <c r="R697" s="12" t="inlineStr"/>
      <c r="S697" s="12" t="inlineStr"/>
      <c r="T697" s="12" t="inlineStr"/>
      <c r="U697" s="12" t="inlineStr"/>
      <c r="V697" s="12" t="inlineStr">
        <is>
          <t>Cost Account = CA-3051; WBS Code = 1.3.1</t>
        </is>
      </c>
      <c r="W697" s="12" t="inlineStr"/>
    </row>
    <row r="698" ht="49" customHeight="1">
      <c r="A698" s="12" t="inlineStr">
        <is>
          <t>1.3.1</t>
        </is>
      </c>
      <c r="B698" s="12" t="inlineStr">
        <is>
          <t>Systems - Traction Power</t>
        </is>
      </c>
      <c r="C698" s="12" t="inlineStr">
        <is>
          <t>Cost &amp; Forecast Control Accounts</t>
        </is>
      </c>
      <c r="D698" s="12" t="inlineStr">
        <is>
          <t>CST-03-053</t>
        </is>
      </c>
      <c r="E698" s="12" t="inlineStr">
        <is>
          <t>Systems - signalling - supply and install</t>
        </is>
      </c>
      <c r="F698" s="12" t="inlineStr">
        <is>
          <t>ONE_TO_ONE</t>
        </is>
      </c>
      <c r="G698" s="12" t="inlineStr">
        <is>
          <t>APPROVED</t>
        </is>
      </c>
      <c r="H698" s="12" t="inlineStr">
        <is>
          <t>New</t>
        </is>
      </c>
      <c r="I698" s="12" t="inlineStr">
        <is>
          <t>Source assignment -- not individually reviewed</t>
        </is>
      </c>
      <c r="J698" s="12" t="inlineStr"/>
      <c r="K698" s="12" t="inlineStr">
        <is>
          <t>Source assignment</t>
        </is>
      </c>
      <c r="L698" s="12" t="inlineStr"/>
      <c r="M698" s="12" t="inlineStr">
        <is>
          <t>Initial</t>
        </is>
      </c>
      <c r="N698" s="12" t="inlineStr">
        <is>
          <t>Rev 0</t>
        </is>
      </c>
      <c r="O698" s="12" t="inlineStr">
        <is>
          <t>R1295-v1</t>
        </is>
      </c>
      <c r="P698" s="12" t="inlineStr"/>
      <c r="Q698" s="12" t="inlineStr"/>
      <c r="R698" s="12" t="inlineStr"/>
      <c r="S698" s="12" t="inlineStr"/>
      <c r="T698" s="12" t="inlineStr"/>
      <c r="U698" s="12" t="inlineStr"/>
      <c r="V698" s="12" t="inlineStr">
        <is>
          <t>Cost Account = CA-3053; WBS Code = 1.3.1</t>
        </is>
      </c>
      <c r="W698" s="12" t="inlineStr"/>
    </row>
    <row r="699" ht="49" customHeight="1">
      <c r="A699" s="12" t="inlineStr">
        <is>
          <t>1.3.1</t>
        </is>
      </c>
      <c r="B699" s="12" t="inlineStr">
        <is>
          <t>Systems - Traction Power</t>
        </is>
      </c>
      <c r="C699" s="12" t="inlineStr">
        <is>
          <t>Cost &amp; Forecast Control Accounts</t>
        </is>
      </c>
      <c r="D699" s="12" t="inlineStr">
        <is>
          <t>CST-03-055</t>
        </is>
      </c>
      <c r="E699" s="12" t="inlineStr">
        <is>
          <t>Systems - systems integration - allowance</t>
        </is>
      </c>
      <c r="F699" s="12" t="inlineStr">
        <is>
          <t>ONE_TO_ONE</t>
        </is>
      </c>
      <c r="G699" s="12" t="inlineStr">
        <is>
          <t>APPROVED</t>
        </is>
      </c>
      <c r="H699" s="12" t="inlineStr">
        <is>
          <t>New</t>
        </is>
      </c>
      <c r="I699" s="12" t="inlineStr">
        <is>
          <t>Source assignment -- not individually reviewed</t>
        </is>
      </c>
      <c r="J699" s="12" t="inlineStr"/>
      <c r="K699" s="12" t="inlineStr">
        <is>
          <t>Source assignment</t>
        </is>
      </c>
      <c r="L699" s="12" t="inlineStr"/>
      <c r="M699" s="12" t="inlineStr">
        <is>
          <t>Initial</t>
        </is>
      </c>
      <c r="N699" s="12" t="inlineStr">
        <is>
          <t>Rev 0</t>
        </is>
      </c>
      <c r="O699" s="12" t="inlineStr">
        <is>
          <t>R1297-v1</t>
        </is>
      </c>
      <c r="P699" s="12" t="inlineStr"/>
      <c r="Q699" s="12" t="inlineStr"/>
      <c r="R699" s="12" t="inlineStr"/>
      <c r="S699" s="12" t="inlineStr"/>
      <c r="T699" s="12" t="inlineStr"/>
      <c r="U699" s="12" t="inlineStr"/>
      <c r="V699" s="12" t="inlineStr">
        <is>
          <t>Cost Account = CA-3055; WBS Code = 1.3.1</t>
        </is>
      </c>
      <c r="W699" s="12" t="inlineStr"/>
    </row>
    <row r="700" ht="49" customHeight="1">
      <c r="A700" s="12" t="inlineStr">
        <is>
          <t>1.3.1</t>
        </is>
      </c>
      <c r="B700" s="12" t="inlineStr">
        <is>
          <t>Systems - Traction Power</t>
        </is>
      </c>
      <c r="C700" s="12" t="inlineStr">
        <is>
          <t>Cost &amp; Forecast Control Accounts</t>
        </is>
      </c>
      <c r="D700" s="12" t="inlineStr">
        <is>
          <t>CST-03-057</t>
        </is>
      </c>
      <c r="E700" s="12" t="inlineStr">
        <is>
          <t>Systems - train control - field package</t>
        </is>
      </c>
      <c r="F700" s="12" t="inlineStr">
        <is>
          <t>ONE_TO_ONE</t>
        </is>
      </c>
      <c r="G700" s="12" t="inlineStr">
        <is>
          <t>APPROVED</t>
        </is>
      </c>
      <c r="H700" s="12" t="inlineStr">
        <is>
          <t>New</t>
        </is>
      </c>
      <c r="I700" s="12" t="inlineStr">
        <is>
          <t>Source assignment -- not individually reviewed</t>
        </is>
      </c>
      <c r="J700" s="12" t="inlineStr"/>
      <c r="K700" s="12" t="inlineStr">
        <is>
          <t>Source assignment</t>
        </is>
      </c>
      <c r="L700" s="12" t="inlineStr"/>
      <c r="M700" s="12" t="inlineStr">
        <is>
          <t>Initial</t>
        </is>
      </c>
      <c r="N700" s="12" t="inlineStr">
        <is>
          <t>Rev 0</t>
        </is>
      </c>
      <c r="O700" s="12" t="inlineStr">
        <is>
          <t>R1299-v1</t>
        </is>
      </c>
      <c r="P700" s="12" t="inlineStr"/>
      <c r="Q700" s="12" t="inlineStr"/>
      <c r="R700" s="12" t="inlineStr"/>
      <c r="S700" s="12" t="inlineStr"/>
      <c r="T700" s="12" t="inlineStr"/>
      <c r="U700" s="12" t="inlineStr"/>
      <c r="V700" s="12" t="inlineStr">
        <is>
          <t>Cost Account = CA-3057; WBS Code = 1.3.1</t>
        </is>
      </c>
      <c r="W700" s="12" t="inlineStr"/>
    </row>
    <row r="701" ht="49" customHeight="1">
      <c r="A701" s="12" t="inlineStr">
        <is>
          <t>1.3.1</t>
        </is>
      </c>
      <c r="B701" s="12" t="inlineStr">
        <is>
          <t>Systems - Traction Power</t>
        </is>
      </c>
      <c r="C701" s="12" t="inlineStr">
        <is>
          <t>Cost &amp; Forecast Control Accounts</t>
        </is>
      </c>
      <c r="D701" s="12" t="inlineStr">
        <is>
          <t>CST-03-059</t>
        </is>
      </c>
      <c r="E701" s="12" t="inlineStr">
        <is>
          <t>Systems - signalling - professional services</t>
        </is>
      </c>
      <c r="F701" s="12" t="inlineStr">
        <is>
          <t>ONE_TO_ONE</t>
        </is>
      </c>
      <c r="G701" s="12" t="inlineStr">
        <is>
          <t>APPROVED</t>
        </is>
      </c>
      <c r="H701" s="12" t="inlineStr">
        <is>
          <t>New</t>
        </is>
      </c>
      <c r="I701" s="12" t="inlineStr">
        <is>
          <t>Source assignment -- not individually reviewed</t>
        </is>
      </c>
      <c r="J701" s="12" t="inlineStr"/>
      <c r="K701" s="12" t="inlineStr">
        <is>
          <t>Source assignment</t>
        </is>
      </c>
      <c r="L701" s="12" t="inlineStr"/>
      <c r="M701" s="12" t="inlineStr">
        <is>
          <t>Initial</t>
        </is>
      </c>
      <c r="N701" s="12" t="inlineStr">
        <is>
          <t>Rev 0</t>
        </is>
      </c>
      <c r="O701" s="12" t="inlineStr">
        <is>
          <t>R1301-v1</t>
        </is>
      </c>
      <c r="P701" s="12" t="inlineStr"/>
      <c r="Q701" s="12" t="inlineStr"/>
      <c r="R701" s="12" t="inlineStr"/>
      <c r="S701" s="12" t="inlineStr"/>
      <c r="T701" s="12" t="inlineStr"/>
      <c r="U701" s="12" t="inlineStr"/>
      <c r="V701" s="12" t="inlineStr">
        <is>
          <t>Cost Account = CA-3059; WBS Code = 1.3.1</t>
        </is>
      </c>
      <c r="W701" s="12" t="inlineStr"/>
    </row>
    <row r="702" ht="49" customHeight="1">
      <c r="A702" s="12" t="inlineStr">
        <is>
          <t>1.3.1</t>
        </is>
      </c>
      <c r="B702" s="12" t="inlineStr">
        <is>
          <t>Systems - Traction Power</t>
        </is>
      </c>
      <c r="C702" s="12" t="inlineStr">
        <is>
          <t>Cost &amp; Forecast Control Accounts</t>
        </is>
      </c>
      <c r="D702" s="12" t="inlineStr">
        <is>
          <t>CST-03-061</t>
        </is>
      </c>
      <c r="E702" s="12" t="inlineStr">
        <is>
          <t>Systems - systems integration - closeout</t>
        </is>
      </c>
      <c r="F702" s="12" t="inlineStr">
        <is>
          <t>ONE_TO_ONE</t>
        </is>
      </c>
      <c r="G702" s="12" t="inlineStr">
        <is>
          <t>APPROVED</t>
        </is>
      </c>
      <c r="H702" s="12" t="inlineStr">
        <is>
          <t>New</t>
        </is>
      </c>
      <c r="I702" s="12" t="inlineStr">
        <is>
          <t>Source assignment -- not individually reviewed</t>
        </is>
      </c>
      <c r="J702" s="12" t="inlineStr"/>
      <c r="K702" s="12" t="inlineStr">
        <is>
          <t>Source assignment</t>
        </is>
      </c>
      <c r="L702" s="12" t="inlineStr"/>
      <c r="M702" s="12" t="inlineStr">
        <is>
          <t>Initial</t>
        </is>
      </c>
      <c r="N702" s="12" t="inlineStr">
        <is>
          <t>Rev 0</t>
        </is>
      </c>
      <c r="O702" s="12" t="inlineStr">
        <is>
          <t>R1303-v1</t>
        </is>
      </c>
      <c r="P702" s="12" t="inlineStr"/>
      <c r="Q702" s="12" t="inlineStr"/>
      <c r="R702" s="12" t="inlineStr"/>
      <c r="S702" s="12" t="inlineStr"/>
      <c r="T702" s="12" t="inlineStr"/>
      <c r="U702" s="12" t="inlineStr"/>
      <c r="V702" s="12" t="inlineStr">
        <is>
          <t>Cost Account = CA-3061; WBS Code = 1.3.1</t>
        </is>
      </c>
      <c r="W702" s="12" t="inlineStr"/>
    </row>
    <row r="703" ht="49" customHeight="1">
      <c r="A703" s="12" t="inlineStr">
        <is>
          <t>1.3.1</t>
        </is>
      </c>
      <c r="B703" s="12" t="inlineStr">
        <is>
          <t>Systems - Traction Power</t>
        </is>
      </c>
      <c r="C703" s="12" t="inlineStr">
        <is>
          <t>Cost &amp; Forecast Control Accounts</t>
        </is>
      </c>
      <c r="D703" s="12" t="inlineStr">
        <is>
          <t>CST-03-063</t>
        </is>
      </c>
      <c r="E703" s="12" t="inlineStr">
        <is>
          <t>Systems - train control - supply and install</t>
        </is>
      </c>
      <c r="F703" s="12" t="inlineStr">
        <is>
          <t>ONE_TO_ONE</t>
        </is>
      </c>
      <c r="G703" s="12" t="inlineStr">
        <is>
          <t>APPROVED</t>
        </is>
      </c>
      <c r="H703" s="12" t="inlineStr">
        <is>
          <t>New</t>
        </is>
      </c>
      <c r="I703" s="12" t="inlineStr">
        <is>
          <t>Source assignment -- not individually reviewed</t>
        </is>
      </c>
      <c r="J703" s="12" t="inlineStr"/>
      <c r="K703" s="12" t="inlineStr">
        <is>
          <t>Source assignment</t>
        </is>
      </c>
      <c r="L703" s="12" t="inlineStr"/>
      <c r="M703" s="12" t="inlineStr">
        <is>
          <t>Initial</t>
        </is>
      </c>
      <c r="N703" s="12" t="inlineStr">
        <is>
          <t>Rev 0</t>
        </is>
      </c>
      <c r="O703" s="12" t="inlineStr">
        <is>
          <t>R1305-v1</t>
        </is>
      </c>
      <c r="P703" s="12" t="inlineStr"/>
      <c r="Q703" s="12" t="inlineStr"/>
      <c r="R703" s="12" t="inlineStr"/>
      <c r="S703" s="12" t="inlineStr"/>
      <c r="T703" s="12" t="inlineStr"/>
      <c r="U703" s="12" t="inlineStr"/>
      <c r="V703" s="12" t="inlineStr">
        <is>
          <t>Cost Account = CA-3063; WBS Code = 1.3.1</t>
        </is>
      </c>
      <c r="W703" s="12" t="inlineStr"/>
    </row>
    <row r="704" ht="49" customHeight="1">
      <c r="A704" s="12" t="inlineStr">
        <is>
          <t>1.3.1</t>
        </is>
      </c>
      <c r="B704" s="12" t="inlineStr">
        <is>
          <t>Systems - Traction Power</t>
        </is>
      </c>
      <c r="C704" s="12" t="inlineStr">
        <is>
          <t>Cost &amp; Forecast Control Accounts</t>
        </is>
      </c>
      <c r="D704" s="12" t="inlineStr">
        <is>
          <t>CST-03-065</t>
        </is>
      </c>
      <c r="E704" s="12" t="inlineStr">
        <is>
          <t>Systems - signalling - allowance</t>
        </is>
      </c>
      <c r="F704" s="12" t="inlineStr">
        <is>
          <t>ONE_TO_ONE</t>
        </is>
      </c>
      <c r="G704" s="12" t="inlineStr">
        <is>
          <t>APPROVED</t>
        </is>
      </c>
      <c r="H704" s="12" t="inlineStr">
        <is>
          <t>New</t>
        </is>
      </c>
      <c r="I704" s="12" t="inlineStr">
        <is>
          <t>Source assignment -- not individually reviewed</t>
        </is>
      </c>
      <c r="J704" s="12" t="inlineStr"/>
      <c r="K704" s="12" t="inlineStr">
        <is>
          <t>Source assignment</t>
        </is>
      </c>
      <c r="L704" s="12" t="inlineStr"/>
      <c r="M704" s="12" t="inlineStr">
        <is>
          <t>Initial</t>
        </is>
      </c>
      <c r="N704" s="12" t="inlineStr">
        <is>
          <t>Rev 0</t>
        </is>
      </c>
      <c r="O704" s="12" t="inlineStr">
        <is>
          <t>R1307-v1</t>
        </is>
      </c>
      <c r="P704" s="12" t="inlineStr"/>
      <c r="Q704" s="12" t="inlineStr"/>
      <c r="R704" s="12" t="inlineStr"/>
      <c r="S704" s="12" t="inlineStr"/>
      <c r="T704" s="12" t="inlineStr"/>
      <c r="U704" s="12" t="inlineStr"/>
      <c r="V704" s="12" t="inlineStr">
        <is>
          <t>Cost Account = CA-3065; WBS Code = 1.3.1</t>
        </is>
      </c>
      <c r="W704" s="12" t="inlineStr"/>
    </row>
    <row r="705" ht="49" customHeight="1">
      <c r="A705" s="12" t="inlineStr">
        <is>
          <t>1.3.1</t>
        </is>
      </c>
      <c r="B705" s="12" t="inlineStr">
        <is>
          <t>Systems - Traction Power</t>
        </is>
      </c>
      <c r="C705" s="12" t="inlineStr">
        <is>
          <t>Cost &amp; Forecast Control Accounts</t>
        </is>
      </c>
      <c r="D705" s="12" t="inlineStr">
        <is>
          <t>CST-03-067</t>
        </is>
      </c>
      <c r="E705" s="12" t="inlineStr">
        <is>
          <t>Systems - systems integration - field package</t>
        </is>
      </c>
      <c r="F705" s="12" t="inlineStr">
        <is>
          <t>ONE_TO_ONE</t>
        </is>
      </c>
      <c r="G705" s="12" t="inlineStr">
        <is>
          <t>APPROVED</t>
        </is>
      </c>
      <c r="H705" s="12" t="inlineStr">
        <is>
          <t>New</t>
        </is>
      </c>
      <c r="I705" s="12" t="inlineStr">
        <is>
          <t>Source assignment -- not individually reviewed</t>
        </is>
      </c>
      <c r="J705" s="12" t="inlineStr"/>
      <c r="K705" s="12" t="inlineStr">
        <is>
          <t>Source assignment</t>
        </is>
      </c>
      <c r="L705" s="12" t="inlineStr"/>
      <c r="M705" s="12" t="inlineStr">
        <is>
          <t>Initial</t>
        </is>
      </c>
      <c r="N705" s="12" t="inlineStr">
        <is>
          <t>Rev 0</t>
        </is>
      </c>
      <c r="O705" s="12" t="inlineStr">
        <is>
          <t>R1309-v1</t>
        </is>
      </c>
      <c r="P705" s="12" t="inlineStr"/>
      <c r="Q705" s="12" t="inlineStr"/>
      <c r="R705" s="12" t="inlineStr"/>
      <c r="S705" s="12" t="inlineStr"/>
      <c r="T705" s="12" t="inlineStr"/>
      <c r="U705" s="12" t="inlineStr"/>
      <c r="V705" s="12" t="inlineStr">
        <is>
          <t>Cost Account = CA-3067; WBS Code = 1.3.1</t>
        </is>
      </c>
      <c r="W705" s="12" t="inlineStr"/>
    </row>
    <row r="706" ht="49" customHeight="1">
      <c r="A706" s="12" t="inlineStr">
        <is>
          <t>1.3.1</t>
        </is>
      </c>
      <c r="B706" s="12" t="inlineStr">
        <is>
          <t>Systems - Traction Power</t>
        </is>
      </c>
      <c r="C706" s="12" t="inlineStr">
        <is>
          <t>Cost &amp; Forecast Control Accounts</t>
        </is>
      </c>
      <c r="D706" s="12" t="inlineStr">
        <is>
          <t>CST-03-069</t>
        </is>
      </c>
      <c r="E706" s="12" t="inlineStr">
        <is>
          <t>Systems - train control - professional services</t>
        </is>
      </c>
      <c r="F706" s="12" t="inlineStr">
        <is>
          <t>ONE_TO_ONE</t>
        </is>
      </c>
      <c r="G706" s="12" t="inlineStr">
        <is>
          <t>APPROVED</t>
        </is>
      </c>
      <c r="H706" s="12" t="inlineStr">
        <is>
          <t>New</t>
        </is>
      </c>
      <c r="I706" s="12" t="inlineStr">
        <is>
          <t>Source assignment -- not individually reviewed</t>
        </is>
      </c>
      <c r="J706" s="12" t="inlineStr"/>
      <c r="K706" s="12" t="inlineStr">
        <is>
          <t>Source assignment</t>
        </is>
      </c>
      <c r="L706" s="12" t="inlineStr"/>
      <c r="M706" s="12" t="inlineStr">
        <is>
          <t>Initial</t>
        </is>
      </c>
      <c r="N706" s="12" t="inlineStr">
        <is>
          <t>Rev 0</t>
        </is>
      </c>
      <c r="O706" s="12" t="inlineStr">
        <is>
          <t>R1311-v1</t>
        </is>
      </c>
      <c r="P706" s="12" t="inlineStr"/>
      <c r="Q706" s="12" t="inlineStr"/>
      <c r="R706" s="12" t="inlineStr"/>
      <c r="S706" s="12" t="inlineStr"/>
      <c r="T706" s="12" t="inlineStr"/>
      <c r="U706" s="12" t="inlineStr"/>
      <c r="V706" s="12" t="inlineStr">
        <is>
          <t>Cost Account = CA-3069; WBS Code = 1.3.1</t>
        </is>
      </c>
      <c r="W706" s="12" t="inlineStr"/>
    </row>
    <row r="707" ht="49" customHeight="1">
      <c r="A707" s="12" t="inlineStr">
        <is>
          <t>1.3.1</t>
        </is>
      </c>
      <c r="B707" s="12" t="inlineStr">
        <is>
          <t>Systems - Traction Power</t>
        </is>
      </c>
      <c r="C707" s="12" t="inlineStr">
        <is>
          <t>Cost &amp; Forecast Control Accounts</t>
        </is>
      </c>
      <c r="D707" s="12" t="inlineStr">
        <is>
          <t>CST-03-071</t>
        </is>
      </c>
      <c r="E707" s="12" t="inlineStr">
        <is>
          <t>Systems - signalling - closeout</t>
        </is>
      </c>
      <c r="F707" s="12" t="inlineStr">
        <is>
          <t>ONE_TO_ONE</t>
        </is>
      </c>
      <c r="G707" s="12" t="inlineStr">
        <is>
          <t>APPROVED</t>
        </is>
      </c>
      <c r="H707" s="12" t="inlineStr">
        <is>
          <t>New</t>
        </is>
      </c>
      <c r="I707" s="12" t="inlineStr">
        <is>
          <t>Source assignment -- not individually reviewed</t>
        </is>
      </c>
      <c r="J707" s="12" t="inlineStr"/>
      <c r="K707" s="12" t="inlineStr">
        <is>
          <t>Source assignment</t>
        </is>
      </c>
      <c r="L707" s="12" t="inlineStr"/>
      <c r="M707" s="12" t="inlineStr">
        <is>
          <t>Initial</t>
        </is>
      </c>
      <c r="N707" s="12" t="inlineStr">
        <is>
          <t>Rev 0</t>
        </is>
      </c>
      <c r="O707" s="12" t="inlineStr">
        <is>
          <t>R1313-v1</t>
        </is>
      </c>
      <c r="P707" s="12" t="inlineStr"/>
      <c r="Q707" s="12" t="inlineStr"/>
      <c r="R707" s="12" t="inlineStr"/>
      <c r="S707" s="12" t="inlineStr"/>
      <c r="T707" s="12" t="inlineStr"/>
      <c r="U707" s="12" t="inlineStr"/>
      <c r="V707" s="12" t="inlineStr">
        <is>
          <t>Cost Account = CA-3071; WBS Code = 1.3.1</t>
        </is>
      </c>
      <c r="W707" s="12" t="inlineStr"/>
    </row>
    <row r="708" ht="49" customHeight="1">
      <c r="A708" s="12" t="inlineStr">
        <is>
          <t>1.3.1</t>
        </is>
      </c>
      <c r="B708" s="12" t="inlineStr">
        <is>
          <t>Systems - Traction Power</t>
        </is>
      </c>
      <c r="C708" s="12" t="inlineStr">
        <is>
          <t>Cost &amp; Forecast Control Accounts</t>
        </is>
      </c>
      <c r="D708" s="12" t="inlineStr">
        <is>
          <t>CST-03-073</t>
        </is>
      </c>
      <c r="E708" s="12" t="inlineStr">
        <is>
          <t>Systems - systems integration - supply and install</t>
        </is>
      </c>
      <c r="F708" s="12" t="inlineStr">
        <is>
          <t>ONE_TO_ONE</t>
        </is>
      </c>
      <c r="G708" s="12" t="inlineStr">
        <is>
          <t>APPROVED</t>
        </is>
      </c>
      <c r="H708" s="12" t="inlineStr">
        <is>
          <t>New</t>
        </is>
      </c>
      <c r="I708" s="12" t="inlineStr">
        <is>
          <t>Source assignment -- not individually reviewed</t>
        </is>
      </c>
      <c r="J708" s="12" t="inlineStr"/>
      <c r="K708" s="12" t="inlineStr">
        <is>
          <t>Source assignment</t>
        </is>
      </c>
      <c r="L708" s="12" t="inlineStr"/>
      <c r="M708" s="12" t="inlineStr">
        <is>
          <t>Initial</t>
        </is>
      </c>
      <c r="N708" s="12" t="inlineStr">
        <is>
          <t>Rev 0</t>
        </is>
      </c>
      <c r="O708" s="12" t="inlineStr">
        <is>
          <t>R1315-v1</t>
        </is>
      </c>
      <c r="P708" s="12" t="inlineStr"/>
      <c r="Q708" s="12" t="inlineStr"/>
      <c r="R708" s="12" t="inlineStr"/>
      <c r="S708" s="12" t="inlineStr"/>
      <c r="T708" s="12" t="inlineStr"/>
      <c r="U708" s="12" t="inlineStr"/>
      <c r="V708" s="12" t="inlineStr">
        <is>
          <t>Cost Account = CA-3073; WBS Code = 1.3.1</t>
        </is>
      </c>
      <c r="W708" s="12" t="inlineStr"/>
    </row>
    <row r="709" ht="49" customHeight="1">
      <c r="A709" s="12" t="inlineStr">
        <is>
          <t>1.3.1</t>
        </is>
      </c>
      <c r="B709" s="12" t="inlineStr">
        <is>
          <t>Systems - Traction Power</t>
        </is>
      </c>
      <c r="C709" s="12" t="inlineStr">
        <is>
          <t>Cost &amp; Forecast Control Accounts</t>
        </is>
      </c>
      <c r="D709" s="12" t="inlineStr">
        <is>
          <t>CST-03-075</t>
        </is>
      </c>
      <c r="E709" s="12" t="inlineStr">
        <is>
          <t>Systems - train control - allowance</t>
        </is>
      </c>
      <c r="F709" s="12" t="inlineStr">
        <is>
          <t>ONE_TO_ONE</t>
        </is>
      </c>
      <c r="G709" s="12" t="inlineStr">
        <is>
          <t>APPROVED</t>
        </is>
      </c>
      <c r="H709" s="12" t="inlineStr">
        <is>
          <t>New</t>
        </is>
      </c>
      <c r="I709" s="12" t="inlineStr">
        <is>
          <t>Source assignment -- not individually reviewed</t>
        </is>
      </c>
      <c r="J709" s="12" t="inlineStr"/>
      <c r="K709" s="12" t="inlineStr">
        <is>
          <t>Source assignment</t>
        </is>
      </c>
      <c r="L709" s="12" t="inlineStr"/>
      <c r="M709" s="12" t="inlineStr">
        <is>
          <t>Initial</t>
        </is>
      </c>
      <c r="N709" s="12" t="inlineStr">
        <is>
          <t>Rev 0</t>
        </is>
      </c>
      <c r="O709" s="12" t="inlineStr">
        <is>
          <t>R1317-v1</t>
        </is>
      </c>
      <c r="P709" s="12" t="inlineStr"/>
      <c r="Q709" s="12" t="inlineStr"/>
      <c r="R709" s="12" t="inlineStr"/>
      <c r="S709" s="12" t="inlineStr"/>
      <c r="T709" s="12" t="inlineStr"/>
      <c r="U709" s="12" t="inlineStr"/>
      <c r="V709" s="12" t="inlineStr">
        <is>
          <t>Cost Account = CA-3075; WBS Code = 1.3.1</t>
        </is>
      </c>
      <c r="W709" s="12" t="inlineStr"/>
    </row>
    <row r="710" ht="49" customHeight="1">
      <c r="A710" s="12" t="inlineStr">
        <is>
          <t>1.3.1</t>
        </is>
      </c>
      <c r="B710" s="12" t="inlineStr">
        <is>
          <t>Systems - Traction Power</t>
        </is>
      </c>
      <c r="C710" s="12" t="inlineStr">
        <is>
          <t>Cost &amp; Forecast Control Accounts</t>
        </is>
      </c>
      <c r="D710" s="12" t="inlineStr">
        <is>
          <t>CST-03-077</t>
        </is>
      </c>
      <c r="E710" s="12" t="inlineStr">
        <is>
          <t>Systems - signalling - field package</t>
        </is>
      </c>
      <c r="F710" s="12" t="inlineStr">
        <is>
          <t>ONE_TO_ONE</t>
        </is>
      </c>
      <c r="G710" s="12" t="inlineStr">
        <is>
          <t>APPROVED</t>
        </is>
      </c>
      <c r="H710" s="12" t="inlineStr">
        <is>
          <t>New</t>
        </is>
      </c>
      <c r="I710" s="12" t="inlineStr">
        <is>
          <t>Source assignment -- not individually reviewed</t>
        </is>
      </c>
      <c r="J710" s="12" t="inlineStr"/>
      <c r="K710" s="12" t="inlineStr">
        <is>
          <t>Source assignment</t>
        </is>
      </c>
      <c r="L710" s="12" t="inlineStr"/>
      <c r="M710" s="12" t="inlineStr">
        <is>
          <t>Initial</t>
        </is>
      </c>
      <c r="N710" s="12" t="inlineStr">
        <is>
          <t>Rev 0</t>
        </is>
      </c>
      <c r="O710" s="12" t="inlineStr">
        <is>
          <t>R1319-v1</t>
        </is>
      </c>
      <c r="P710" s="12" t="inlineStr"/>
      <c r="Q710" s="12" t="inlineStr"/>
      <c r="R710" s="12" t="inlineStr"/>
      <c r="S710" s="12" t="inlineStr"/>
      <c r="T710" s="12" t="inlineStr"/>
      <c r="U710" s="12" t="inlineStr"/>
      <c r="V710" s="12" t="inlineStr">
        <is>
          <t>Cost Account = CA-3077; WBS Code = 1.3.1</t>
        </is>
      </c>
      <c r="W710" s="12" t="inlineStr"/>
    </row>
    <row r="711" ht="49" customHeight="1">
      <c r="A711" s="12" t="inlineStr">
        <is>
          <t>1.3.1</t>
        </is>
      </c>
      <c r="B711" s="12" t="inlineStr">
        <is>
          <t>Systems - Traction Power</t>
        </is>
      </c>
      <c r="C711" s="12" t="inlineStr">
        <is>
          <t>Cost &amp; Forecast Control Accounts</t>
        </is>
      </c>
      <c r="D711" s="12" t="inlineStr">
        <is>
          <t>CST-03-079</t>
        </is>
      </c>
      <c r="E711" s="12" t="inlineStr">
        <is>
          <t>Systems - systems integration - professional services</t>
        </is>
      </c>
      <c r="F711" s="12" t="inlineStr">
        <is>
          <t>ONE_TO_ONE</t>
        </is>
      </c>
      <c r="G711" s="12" t="inlineStr">
        <is>
          <t>APPROVED</t>
        </is>
      </c>
      <c r="H711" s="12" t="inlineStr">
        <is>
          <t>New</t>
        </is>
      </c>
      <c r="I711" s="12" t="inlineStr">
        <is>
          <t>Source assignment -- not individually reviewed</t>
        </is>
      </c>
      <c r="J711" s="12" t="inlineStr"/>
      <c r="K711" s="12" t="inlineStr">
        <is>
          <t>Source assignment</t>
        </is>
      </c>
      <c r="L711" s="12" t="inlineStr"/>
      <c r="M711" s="12" t="inlineStr">
        <is>
          <t>Initial</t>
        </is>
      </c>
      <c r="N711" s="12" t="inlineStr">
        <is>
          <t>Rev 0</t>
        </is>
      </c>
      <c r="O711" s="12" t="inlineStr">
        <is>
          <t>R1321-v1</t>
        </is>
      </c>
      <c r="P711" s="12" t="inlineStr"/>
      <c r="Q711" s="12" t="inlineStr"/>
      <c r="R711" s="12" t="inlineStr"/>
      <c r="S711" s="12" t="inlineStr"/>
      <c r="T711" s="12" t="inlineStr"/>
      <c r="U711" s="12" t="inlineStr"/>
      <c r="V711" s="12" t="inlineStr">
        <is>
          <t>Cost Account = CA-3079; WBS Code = 1.3.1</t>
        </is>
      </c>
      <c r="W711" s="12" t="inlineStr"/>
    </row>
    <row r="712" ht="49" customHeight="1">
      <c r="A712" s="12" t="inlineStr">
        <is>
          <t>1.3.2</t>
        </is>
      </c>
      <c r="B712" s="12" t="inlineStr">
        <is>
          <t>Systems - Signalling &amp; Train Control</t>
        </is>
      </c>
      <c r="C712" s="12" t="inlineStr">
        <is>
          <t>Contractor Programme</t>
        </is>
      </c>
      <c r="D712" s="12" t="inlineStr">
        <is>
          <t>SCH-03-003</t>
        </is>
      </c>
      <c r="E712" s="12" t="inlineStr">
        <is>
          <t>Interface works near systems boundary</t>
        </is>
      </c>
      <c r="F712" s="12" t="inlineStr">
        <is>
          <t>ONE_TO_ONE</t>
        </is>
      </c>
      <c r="G712" s="12" t="inlineStr">
        <is>
          <t>APPROVED</t>
        </is>
      </c>
      <c r="H712" s="12" t="inlineStr">
        <is>
          <t>New</t>
        </is>
      </c>
      <c r="I712" s="12" t="inlineStr">
        <is>
          <t>Source assignment -- not individually reviewed</t>
        </is>
      </c>
      <c r="J712" s="12" t="inlineStr"/>
      <c r="K712" s="12" t="inlineStr">
        <is>
          <t>Source assignment</t>
        </is>
      </c>
      <c r="L712" s="12" t="inlineStr"/>
      <c r="M712" s="12" t="inlineStr">
        <is>
          <t>Initial</t>
        </is>
      </c>
      <c r="N712" s="12" t="inlineStr">
        <is>
          <t>Rev 0</t>
        </is>
      </c>
      <c r="O712" s="12" t="inlineStr">
        <is>
          <t>R363-v1</t>
        </is>
      </c>
      <c r="P712" s="12" t="inlineStr"/>
      <c r="Q712" s="12" t="inlineStr"/>
      <c r="R712" s="12" t="inlineStr"/>
      <c r="S712" s="12" t="inlineStr"/>
      <c r="T712" s="12" t="inlineStr"/>
      <c r="U712" s="12" t="inlineStr"/>
      <c r="V712" s="12" t="inlineStr">
        <is>
          <t>WBS Code = 1.3.2</t>
        </is>
      </c>
      <c r="W712" s="12" t="inlineStr"/>
    </row>
    <row r="713" ht="49" customHeight="1">
      <c r="A713" s="12" t="inlineStr">
        <is>
          <t>1.3.2</t>
        </is>
      </c>
      <c r="B713" s="12" t="inlineStr">
        <is>
          <t>Systems - Signalling &amp; Train Control</t>
        </is>
      </c>
      <c r="C713" s="12" t="inlineStr">
        <is>
          <t>Contractor Programme</t>
        </is>
      </c>
      <c r="D713" s="12" t="inlineStr">
        <is>
          <t>SCH-03-006</t>
        </is>
      </c>
      <c r="E713" s="12" t="inlineStr">
        <is>
          <t>Harbour Station: SCADA point-to-point check - turnover</t>
        </is>
      </c>
      <c r="F713" s="12" t="inlineStr">
        <is>
          <t>ONE_TO_ONE</t>
        </is>
      </c>
      <c r="G713" s="12" t="inlineStr">
        <is>
          <t>APPROVED</t>
        </is>
      </c>
      <c r="H713" s="12" t="inlineStr">
        <is>
          <t>New</t>
        </is>
      </c>
      <c r="I713" s="12" t="inlineStr">
        <is>
          <t>Source assignment -- not individually reviewed</t>
        </is>
      </c>
      <c r="J713" s="12" t="inlineStr"/>
      <c r="K713" s="12" t="inlineStr">
        <is>
          <t>Source assignment</t>
        </is>
      </c>
      <c r="L713" s="12" t="inlineStr"/>
      <c r="M713" s="12" t="inlineStr">
        <is>
          <t>Initial</t>
        </is>
      </c>
      <c r="N713" s="12" t="inlineStr">
        <is>
          <t>Rev 0</t>
        </is>
      </c>
      <c r="O713" s="12" t="inlineStr">
        <is>
          <t>R366-v1</t>
        </is>
      </c>
      <c r="P713" s="12" t="inlineStr"/>
      <c r="Q713" s="12" t="inlineStr"/>
      <c r="R713" s="12" t="inlineStr"/>
      <c r="S713" s="12" t="inlineStr"/>
      <c r="T713" s="12" t="inlineStr"/>
      <c r="U713" s="12" t="inlineStr"/>
      <c r="V713" s="12" t="inlineStr">
        <is>
          <t>WBS Code = 1.3.2</t>
        </is>
      </c>
      <c r="W713" s="12" t="inlineStr"/>
    </row>
    <row r="714" ht="49" customHeight="1">
      <c r="A714" s="12" t="inlineStr">
        <is>
          <t>1.3.2</t>
        </is>
      </c>
      <c r="B714" s="12" t="inlineStr">
        <is>
          <t>Systems - Signalling &amp; Train Control</t>
        </is>
      </c>
      <c r="C714" s="12" t="inlineStr">
        <is>
          <t>Contractor Programme</t>
        </is>
      </c>
      <c r="D714" s="12" t="inlineStr">
        <is>
          <t>SCH-03-009</t>
        </is>
      </c>
      <c r="E714" s="12" t="inlineStr">
        <is>
          <t>East substation: wayside interface test - installation</t>
        </is>
      </c>
      <c r="F714" s="12" t="inlineStr">
        <is>
          <t>ONE_TO_ONE</t>
        </is>
      </c>
      <c r="G714" s="12" t="inlineStr">
        <is>
          <t>APPROVED</t>
        </is>
      </c>
      <c r="H714" s="12" t="inlineStr">
        <is>
          <t>New</t>
        </is>
      </c>
      <c r="I714" s="12" t="inlineStr">
        <is>
          <t>Source assignment -- not individually reviewed</t>
        </is>
      </c>
      <c r="J714" s="12" t="inlineStr"/>
      <c r="K714" s="12" t="inlineStr">
        <is>
          <t>Source assignment</t>
        </is>
      </c>
      <c r="L714" s="12" t="inlineStr"/>
      <c r="M714" s="12" t="inlineStr">
        <is>
          <t>Initial</t>
        </is>
      </c>
      <c r="N714" s="12" t="inlineStr">
        <is>
          <t>Rev 0</t>
        </is>
      </c>
      <c r="O714" s="12" t="inlineStr">
        <is>
          <t>R369-v1</t>
        </is>
      </c>
      <c r="P714" s="12" t="inlineStr"/>
      <c r="Q714" s="12" t="inlineStr"/>
      <c r="R714" s="12" t="inlineStr"/>
      <c r="S714" s="12" t="inlineStr"/>
      <c r="T714" s="12" t="inlineStr"/>
      <c r="U714" s="12" t="inlineStr"/>
      <c r="V714" s="12" t="inlineStr">
        <is>
          <t>WBS Code = 1.3.2</t>
        </is>
      </c>
      <c r="W714" s="12" t="inlineStr"/>
    </row>
    <row r="715" ht="49" customHeight="1">
      <c r="A715" s="12" t="inlineStr">
        <is>
          <t>1.3.2</t>
        </is>
      </c>
      <c r="B715" s="12" t="inlineStr">
        <is>
          <t>Systems - Signalling &amp; Train Control</t>
        </is>
      </c>
      <c r="C715" s="12" t="inlineStr">
        <is>
          <t>Contractor Programme</t>
        </is>
      </c>
      <c r="D715" s="12" t="inlineStr">
        <is>
          <t>SCH-03-012</t>
        </is>
      </c>
      <c r="E715" s="12" t="inlineStr">
        <is>
          <t>Control Centre: control-centre integration - release</t>
        </is>
      </c>
      <c r="F715" s="12" t="inlineStr">
        <is>
          <t>ONE_TO_ONE</t>
        </is>
      </c>
      <c r="G715" s="12" t="inlineStr">
        <is>
          <t>APPROVED</t>
        </is>
      </c>
      <c r="H715" s="12" t="inlineStr">
        <is>
          <t>New</t>
        </is>
      </c>
      <c r="I715" s="12" t="inlineStr">
        <is>
          <t>Source assignment -- not individually reviewed</t>
        </is>
      </c>
      <c r="J715" s="12" t="inlineStr"/>
      <c r="K715" s="12" t="inlineStr">
        <is>
          <t>Source assignment</t>
        </is>
      </c>
      <c r="L715" s="12" t="inlineStr"/>
      <c r="M715" s="12" t="inlineStr">
        <is>
          <t>Initial</t>
        </is>
      </c>
      <c r="N715" s="12" t="inlineStr">
        <is>
          <t>Rev 0</t>
        </is>
      </c>
      <c r="O715" s="12" t="inlineStr">
        <is>
          <t>R372-v1</t>
        </is>
      </c>
      <c r="P715" s="12" t="inlineStr"/>
      <c r="Q715" s="12" t="inlineStr"/>
      <c r="R715" s="12" t="inlineStr"/>
      <c r="S715" s="12" t="inlineStr"/>
      <c r="T715" s="12" t="inlineStr"/>
      <c r="U715" s="12" t="inlineStr"/>
      <c r="V715" s="12" t="inlineStr">
        <is>
          <t>WBS Code = 1.3.2</t>
        </is>
      </c>
      <c r="W715" s="12" t="inlineStr"/>
    </row>
    <row r="716" ht="49" customHeight="1">
      <c r="A716" s="12" t="inlineStr">
        <is>
          <t>1.3.2</t>
        </is>
      </c>
      <c r="B716" s="12" t="inlineStr">
        <is>
          <t>Systems - Signalling &amp; Train Control</t>
        </is>
      </c>
      <c r="C716" s="12" t="inlineStr">
        <is>
          <t>Contractor Programme</t>
        </is>
      </c>
      <c r="D716" s="12" t="inlineStr">
        <is>
          <t>SCH-03-015</t>
        </is>
      </c>
      <c r="E716" s="12" t="inlineStr">
        <is>
          <t>Central interlocking: traction-power feeder pull - inspection</t>
        </is>
      </c>
      <c r="F716" s="12" t="inlineStr">
        <is>
          <t>ONE_TO_ONE</t>
        </is>
      </c>
      <c r="G716" s="12" t="inlineStr">
        <is>
          <t>APPROVED</t>
        </is>
      </c>
      <c r="H716" s="12" t="inlineStr">
        <is>
          <t>New</t>
        </is>
      </c>
      <c r="I716" s="12" t="inlineStr">
        <is>
          <t>Source assignment -- not individually reviewed</t>
        </is>
      </c>
      <c r="J716" s="12" t="inlineStr"/>
      <c r="K716" s="12" t="inlineStr">
        <is>
          <t>Source assignment</t>
        </is>
      </c>
      <c r="L716" s="12" t="inlineStr"/>
      <c r="M716" s="12" t="inlineStr">
        <is>
          <t>Initial</t>
        </is>
      </c>
      <c r="N716" s="12" t="inlineStr">
        <is>
          <t>Rev 0</t>
        </is>
      </c>
      <c r="O716" s="12" t="inlineStr">
        <is>
          <t>R375-v1</t>
        </is>
      </c>
      <c r="P716" s="12" t="inlineStr"/>
      <c r="Q716" s="12" t="inlineStr"/>
      <c r="R716" s="12" t="inlineStr"/>
      <c r="S716" s="12" t="inlineStr"/>
      <c r="T716" s="12" t="inlineStr"/>
      <c r="U716" s="12" t="inlineStr"/>
      <c r="V716" s="12" t="inlineStr">
        <is>
          <t>WBS Code = 1.3.2</t>
        </is>
      </c>
      <c r="W716" s="12" t="inlineStr"/>
    </row>
    <row r="717" ht="49" customHeight="1">
      <c r="A717" s="12" t="inlineStr">
        <is>
          <t>1.3.2</t>
        </is>
      </c>
      <c r="B717" s="12" t="inlineStr">
        <is>
          <t>Systems - Signalling &amp; Train Control</t>
        </is>
      </c>
      <c r="C717" s="12" t="inlineStr">
        <is>
          <t>Contractor Programme</t>
        </is>
      </c>
      <c r="D717" s="12" t="inlineStr">
        <is>
          <t>SCH-03-018</t>
        </is>
      </c>
      <c r="E717" s="12" t="inlineStr">
        <is>
          <t>West wayside: signal equipment installation - field start</t>
        </is>
      </c>
      <c r="F717" s="12" t="inlineStr">
        <is>
          <t>ONE_TO_ONE</t>
        </is>
      </c>
      <c r="G717" s="12" t="inlineStr">
        <is>
          <t>APPROVED</t>
        </is>
      </c>
      <c r="H717" s="12" t="inlineStr">
        <is>
          <t>New</t>
        </is>
      </c>
      <c r="I717" s="12" t="inlineStr">
        <is>
          <t>Source assignment -- not individually reviewed</t>
        </is>
      </c>
      <c r="J717" s="12" t="inlineStr"/>
      <c r="K717" s="12" t="inlineStr">
        <is>
          <t>Source assignment</t>
        </is>
      </c>
      <c r="L717" s="12" t="inlineStr"/>
      <c r="M717" s="12" t="inlineStr">
        <is>
          <t>Initial</t>
        </is>
      </c>
      <c r="N717" s="12" t="inlineStr">
        <is>
          <t>Rev 0</t>
        </is>
      </c>
      <c r="O717" s="12" t="inlineStr">
        <is>
          <t>R378-v1</t>
        </is>
      </c>
      <c r="P717" s="12" t="inlineStr"/>
      <c r="Q717" s="12" t="inlineStr"/>
      <c r="R717" s="12" t="inlineStr"/>
      <c r="S717" s="12" t="inlineStr"/>
      <c r="T717" s="12" t="inlineStr"/>
      <c r="U717" s="12" t="inlineStr"/>
      <c r="V717" s="12" t="inlineStr">
        <is>
          <t>WBS Code = 1.3.2</t>
        </is>
      </c>
      <c r="W717" s="12" t="inlineStr"/>
    </row>
    <row r="718" ht="49" customHeight="1">
      <c r="A718" s="12" t="inlineStr">
        <is>
          <t>1.3.2</t>
        </is>
      </c>
      <c r="B718" s="12" t="inlineStr">
        <is>
          <t>Systems - Signalling &amp; Train Control</t>
        </is>
      </c>
      <c r="C718" s="12" t="inlineStr">
        <is>
          <t>Contractor Programme</t>
        </is>
      </c>
      <c r="D718" s="12" t="inlineStr">
        <is>
          <t>SCH-03-021</t>
        </is>
      </c>
      <c r="E718" s="12" t="inlineStr">
        <is>
          <t>Harbour Station: fibre backbone termination - turnover</t>
        </is>
      </c>
      <c r="F718" s="12" t="inlineStr">
        <is>
          <t>ONE_TO_ONE</t>
        </is>
      </c>
      <c r="G718" s="12" t="inlineStr">
        <is>
          <t>APPROVED</t>
        </is>
      </c>
      <c r="H718" s="12" t="inlineStr">
        <is>
          <t>New</t>
        </is>
      </c>
      <c r="I718" s="12" t="inlineStr">
        <is>
          <t>Source assignment -- not individually reviewed</t>
        </is>
      </c>
      <c r="J718" s="12" t="inlineStr"/>
      <c r="K718" s="12" t="inlineStr">
        <is>
          <t>Source assignment</t>
        </is>
      </c>
      <c r="L718" s="12" t="inlineStr"/>
      <c r="M718" s="12" t="inlineStr">
        <is>
          <t>Initial</t>
        </is>
      </c>
      <c r="N718" s="12" t="inlineStr">
        <is>
          <t>Rev 0</t>
        </is>
      </c>
      <c r="O718" s="12" t="inlineStr">
        <is>
          <t>R381-v1</t>
        </is>
      </c>
      <c r="P718" s="12" t="inlineStr"/>
      <c r="Q718" s="12" t="inlineStr"/>
      <c r="R718" s="12" t="inlineStr"/>
      <c r="S718" s="12" t="inlineStr"/>
      <c r="T718" s="12" t="inlineStr"/>
      <c r="U718" s="12" t="inlineStr"/>
      <c r="V718" s="12" t="inlineStr">
        <is>
          <t>WBS Code = 1.3.2</t>
        </is>
      </c>
      <c r="W718" s="12" t="inlineStr"/>
    </row>
    <row r="719" ht="49" customHeight="1">
      <c r="A719" s="12" t="inlineStr">
        <is>
          <t>1.3.2</t>
        </is>
      </c>
      <c r="B719" s="12" t="inlineStr">
        <is>
          <t>Systems - Signalling &amp; Train Control</t>
        </is>
      </c>
      <c r="C719" s="12" t="inlineStr">
        <is>
          <t>Contractor Programme</t>
        </is>
      </c>
      <c r="D719" s="12" t="inlineStr">
        <is>
          <t>SCH-03-024</t>
        </is>
      </c>
      <c r="E719" s="12" t="inlineStr">
        <is>
          <t>East substation: train-control cabinet fit-out - installation</t>
        </is>
      </c>
      <c r="F719" s="12" t="inlineStr">
        <is>
          <t>ONE_TO_ONE</t>
        </is>
      </c>
      <c r="G719" s="12" t="inlineStr">
        <is>
          <t>APPROVED</t>
        </is>
      </c>
      <c r="H719" s="12" t="inlineStr">
        <is>
          <t>New</t>
        </is>
      </c>
      <c r="I719" s="12" t="inlineStr">
        <is>
          <t>Source assignment -- not individually reviewed</t>
        </is>
      </c>
      <c r="J719" s="12" t="inlineStr"/>
      <c r="K719" s="12" t="inlineStr">
        <is>
          <t>Source assignment</t>
        </is>
      </c>
      <c r="L719" s="12" t="inlineStr"/>
      <c r="M719" s="12" t="inlineStr">
        <is>
          <t>Initial</t>
        </is>
      </c>
      <c r="N719" s="12" t="inlineStr">
        <is>
          <t>Rev 0</t>
        </is>
      </c>
      <c r="O719" s="12" t="inlineStr">
        <is>
          <t>R384-v1</t>
        </is>
      </c>
      <c r="P719" s="12" t="inlineStr"/>
      <c r="Q719" s="12" t="inlineStr"/>
      <c r="R719" s="12" t="inlineStr"/>
      <c r="S719" s="12" t="inlineStr"/>
      <c r="T719" s="12" t="inlineStr"/>
      <c r="U719" s="12" t="inlineStr"/>
      <c r="V719" s="12" t="inlineStr">
        <is>
          <t>WBS Code = 1.3.2</t>
        </is>
      </c>
      <c r="W719" s="12" t="inlineStr"/>
    </row>
    <row r="720" ht="49" customHeight="1">
      <c r="A720" s="12" t="inlineStr">
        <is>
          <t>1.3.2</t>
        </is>
      </c>
      <c r="B720" s="12" t="inlineStr">
        <is>
          <t>Systems - Signalling &amp; Train Control</t>
        </is>
      </c>
      <c r="C720" s="12" t="inlineStr">
        <is>
          <t>Contractor Programme</t>
        </is>
      </c>
      <c r="D720" s="12" t="inlineStr">
        <is>
          <t>SCH-03-027</t>
        </is>
      </c>
      <c r="E720" s="12" t="inlineStr">
        <is>
          <t>Control Centre: radio equipment installation - release</t>
        </is>
      </c>
      <c r="F720" s="12" t="inlineStr">
        <is>
          <t>ONE_TO_ONE</t>
        </is>
      </c>
      <c r="G720" s="12" t="inlineStr">
        <is>
          <t>APPROVED</t>
        </is>
      </c>
      <c r="H720" s="12" t="inlineStr">
        <is>
          <t>New</t>
        </is>
      </c>
      <c r="I720" s="12" t="inlineStr">
        <is>
          <t>Source assignment -- not individually reviewed</t>
        </is>
      </c>
      <c r="J720" s="12" t="inlineStr"/>
      <c r="K720" s="12" t="inlineStr">
        <is>
          <t>Source assignment</t>
        </is>
      </c>
      <c r="L720" s="12" t="inlineStr"/>
      <c r="M720" s="12" t="inlineStr">
        <is>
          <t>Initial</t>
        </is>
      </c>
      <c r="N720" s="12" t="inlineStr">
        <is>
          <t>Rev 0</t>
        </is>
      </c>
      <c r="O720" s="12" t="inlineStr">
        <is>
          <t>R387-v1</t>
        </is>
      </c>
      <c r="P720" s="12" t="inlineStr"/>
      <c r="Q720" s="12" t="inlineStr"/>
      <c r="R720" s="12" t="inlineStr"/>
      <c r="S720" s="12" t="inlineStr"/>
      <c r="T720" s="12" t="inlineStr"/>
      <c r="U720" s="12" t="inlineStr"/>
      <c r="V720" s="12" t="inlineStr">
        <is>
          <t>WBS Code = 1.3.2</t>
        </is>
      </c>
      <c r="W720" s="12" t="inlineStr"/>
    </row>
    <row r="721" ht="49" customHeight="1">
      <c r="A721" s="12" t="inlineStr">
        <is>
          <t>1.3.2</t>
        </is>
      </c>
      <c r="B721" s="12" t="inlineStr">
        <is>
          <t>Systems - Signalling &amp; Train Control</t>
        </is>
      </c>
      <c r="C721" s="12" t="inlineStr">
        <is>
          <t>Contractor Programme</t>
        </is>
      </c>
      <c r="D721" s="12" t="inlineStr">
        <is>
          <t>SCH-03-030</t>
        </is>
      </c>
      <c r="E721" s="12" t="inlineStr">
        <is>
          <t>Central interlocking: SCADA point-to-point check - inspection</t>
        </is>
      </c>
      <c r="F721" s="12" t="inlineStr">
        <is>
          <t>ONE_TO_ONE</t>
        </is>
      </c>
      <c r="G721" s="12" t="inlineStr">
        <is>
          <t>APPROVED</t>
        </is>
      </c>
      <c r="H721" s="12" t="inlineStr">
        <is>
          <t>New</t>
        </is>
      </c>
      <c r="I721" s="12" t="inlineStr">
        <is>
          <t>Source assignment -- not individually reviewed</t>
        </is>
      </c>
      <c r="J721" s="12" t="inlineStr"/>
      <c r="K721" s="12" t="inlineStr">
        <is>
          <t>Source assignment</t>
        </is>
      </c>
      <c r="L721" s="12" t="inlineStr"/>
      <c r="M721" s="12" t="inlineStr">
        <is>
          <t>Initial</t>
        </is>
      </c>
      <c r="N721" s="12" t="inlineStr">
        <is>
          <t>Rev 0</t>
        </is>
      </c>
      <c r="O721" s="12" t="inlineStr">
        <is>
          <t>R390-v1</t>
        </is>
      </c>
      <c r="P721" s="12" t="inlineStr"/>
      <c r="Q721" s="12" t="inlineStr"/>
      <c r="R721" s="12" t="inlineStr"/>
      <c r="S721" s="12" t="inlineStr"/>
      <c r="T721" s="12" t="inlineStr"/>
      <c r="U721" s="12" t="inlineStr"/>
      <c r="V721" s="12" t="inlineStr">
        <is>
          <t>WBS Code = 1.3.2</t>
        </is>
      </c>
      <c r="W721" s="12" t="inlineStr"/>
    </row>
    <row r="722" ht="49" customHeight="1">
      <c r="A722" s="12" t="inlineStr">
        <is>
          <t>1.3.2</t>
        </is>
      </c>
      <c r="B722" s="12" t="inlineStr">
        <is>
          <t>Systems - Signalling &amp; Train Control</t>
        </is>
      </c>
      <c r="C722" s="12" t="inlineStr">
        <is>
          <t>Contractor Programme</t>
        </is>
      </c>
      <c r="D722" s="12" t="inlineStr">
        <is>
          <t>SCH-03-033</t>
        </is>
      </c>
      <c r="E722" s="12" t="inlineStr">
        <is>
          <t>West wayside: wayside interface test - field start</t>
        </is>
      </c>
      <c r="F722" s="12" t="inlineStr">
        <is>
          <t>ONE_TO_ONE</t>
        </is>
      </c>
      <c r="G722" s="12" t="inlineStr">
        <is>
          <t>APPROVED</t>
        </is>
      </c>
      <c r="H722" s="12" t="inlineStr">
        <is>
          <t>New</t>
        </is>
      </c>
      <c r="I722" s="12" t="inlineStr">
        <is>
          <t>Source assignment -- not individually reviewed</t>
        </is>
      </c>
      <c r="J722" s="12" t="inlineStr"/>
      <c r="K722" s="12" t="inlineStr">
        <is>
          <t>Source assignment</t>
        </is>
      </c>
      <c r="L722" s="12" t="inlineStr"/>
      <c r="M722" s="12" t="inlineStr">
        <is>
          <t>Initial</t>
        </is>
      </c>
      <c r="N722" s="12" t="inlineStr">
        <is>
          <t>Rev 0</t>
        </is>
      </c>
      <c r="O722" s="12" t="inlineStr">
        <is>
          <t>R393-v1</t>
        </is>
      </c>
      <c r="P722" s="12" t="inlineStr"/>
      <c r="Q722" s="12" t="inlineStr"/>
      <c r="R722" s="12" t="inlineStr"/>
      <c r="S722" s="12" t="inlineStr"/>
      <c r="T722" s="12" t="inlineStr"/>
      <c r="U722" s="12" t="inlineStr"/>
      <c r="V722" s="12" t="inlineStr">
        <is>
          <t>WBS Code = 1.3.2</t>
        </is>
      </c>
      <c r="W722" s="12" t="inlineStr"/>
    </row>
    <row r="723" ht="49" customHeight="1">
      <c r="A723" s="12" t="inlineStr">
        <is>
          <t>1.3.2</t>
        </is>
      </c>
      <c r="B723" s="12" t="inlineStr">
        <is>
          <t>Systems - Signalling &amp; Train Control</t>
        </is>
      </c>
      <c r="C723" s="12" t="inlineStr">
        <is>
          <t>Contractor Programme</t>
        </is>
      </c>
      <c r="D723" s="12" t="inlineStr">
        <is>
          <t>SCH-03-036</t>
        </is>
      </c>
      <c r="E723" s="12" t="inlineStr">
        <is>
          <t>Harbour Station: control-centre integration - turnover</t>
        </is>
      </c>
      <c r="F723" s="12" t="inlineStr">
        <is>
          <t>ONE_TO_ONE</t>
        </is>
      </c>
      <c r="G723" s="12" t="inlineStr">
        <is>
          <t>APPROVED</t>
        </is>
      </c>
      <c r="H723" s="12" t="inlineStr">
        <is>
          <t>New</t>
        </is>
      </c>
      <c r="I723" s="12" t="inlineStr">
        <is>
          <t>Source assignment -- not individually reviewed</t>
        </is>
      </c>
      <c r="J723" s="12" t="inlineStr"/>
      <c r="K723" s="12" t="inlineStr">
        <is>
          <t>Source assignment</t>
        </is>
      </c>
      <c r="L723" s="12" t="inlineStr"/>
      <c r="M723" s="12" t="inlineStr">
        <is>
          <t>Initial</t>
        </is>
      </c>
      <c r="N723" s="12" t="inlineStr">
        <is>
          <t>Rev 0</t>
        </is>
      </c>
      <c r="O723" s="12" t="inlineStr">
        <is>
          <t>R396-v1</t>
        </is>
      </c>
      <c r="P723" s="12" t="inlineStr"/>
      <c r="Q723" s="12" t="inlineStr"/>
      <c r="R723" s="12" t="inlineStr"/>
      <c r="S723" s="12" t="inlineStr"/>
      <c r="T723" s="12" t="inlineStr"/>
      <c r="U723" s="12" t="inlineStr"/>
      <c r="V723" s="12" t="inlineStr">
        <is>
          <t>WBS Code = 1.3.2</t>
        </is>
      </c>
      <c r="W723" s="12" t="inlineStr"/>
    </row>
    <row r="724" ht="49" customHeight="1">
      <c r="A724" s="12" t="inlineStr">
        <is>
          <t>1.3.2</t>
        </is>
      </c>
      <c r="B724" s="12" t="inlineStr">
        <is>
          <t>Systems - Signalling &amp; Train Control</t>
        </is>
      </c>
      <c r="C724" s="12" t="inlineStr">
        <is>
          <t>Contractor Programme</t>
        </is>
      </c>
      <c r="D724" s="12" t="inlineStr">
        <is>
          <t>SCH-03-039</t>
        </is>
      </c>
      <c r="E724" s="12" t="inlineStr">
        <is>
          <t>East substation: traction-power feeder pull - installation</t>
        </is>
      </c>
      <c r="F724" s="12" t="inlineStr">
        <is>
          <t>ONE_TO_ONE</t>
        </is>
      </c>
      <c r="G724" s="12" t="inlineStr">
        <is>
          <t>APPROVED</t>
        </is>
      </c>
      <c r="H724" s="12" t="inlineStr">
        <is>
          <t>New</t>
        </is>
      </c>
      <c r="I724" s="12" t="inlineStr">
        <is>
          <t>Source assignment -- not individually reviewed</t>
        </is>
      </c>
      <c r="J724" s="12" t="inlineStr"/>
      <c r="K724" s="12" t="inlineStr">
        <is>
          <t>Source assignment</t>
        </is>
      </c>
      <c r="L724" s="12" t="inlineStr"/>
      <c r="M724" s="12" t="inlineStr">
        <is>
          <t>Initial</t>
        </is>
      </c>
      <c r="N724" s="12" t="inlineStr">
        <is>
          <t>Rev 0</t>
        </is>
      </c>
      <c r="O724" s="12" t="inlineStr">
        <is>
          <t>R399-v1</t>
        </is>
      </c>
      <c r="P724" s="12" t="inlineStr"/>
      <c r="Q724" s="12" t="inlineStr"/>
      <c r="R724" s="12" t="inlineStr"/>
      <c r="S724" s="12" t="inlineStr"/>
      <c r="T724" s="12" t="inlineStr"/>
      <c r="U724" s="12" t="inlineStr"/>
      <c r="V724" s="12" t="inlineStr">
        <is>
          <t>WBS Code = 1.3.2</t>
        </is>
      </c>
      <c r="W724" s="12" t="inlineStr"/>
    </row>
    <row r="725" ht="49" customHeight="1">
      <c r="A725" s="12" t="inlineStr">
        <is>
          <t>1.3.2</t>
        </is>
      </c>
      <c r="B725" s="12" t="inlineStr">
        <is>
          <t>Systems - Signalling &amp; Train Control</t>
        </is>
      </c>
      <c r="C725" s="12" t="inlineStr">
        <is>
          <t>Contractor Programme</t>
        </is>
      </c>
      <c r="D725" s="12" t="inlineStr">
        <is>
          <t>SCH-03-042</t>
        </is>
      </c>
      <c r="E725" s="12" t="inlineStr">
        <is>
          <t>Control Centre: signal equipment installation - release</t>
        </is>
      </c>
      <c r="F725" s="12" t="inlineStr">
        <is>
          <t>ONE_TO_ONE</t>
        </is>
      </c>
      <c r="G725" s="12" t="inlineStr">
        <is>
          <t>APPROVED</t>
        </is>
      </c>
      <c r="H725" s="12" t="inlineStr">
        <is>
          <t>New</t>
        </is>
      </c>
      <c r="I725" s="12" t="inlineStr">
        <is>
          <t>Source assignment -- not individually reviewed</t>
        </is>
      </c>
      <c r="J725" s="12" t="inlineStr"/>
      <c r="K725" s="12" t="inlineStr">
        <is>
          <t>Source assignment</t>
        </is>
      </c>
      <c r="L725" s="12" t="inlineStr"/>
      <c r="M725" s="12" t="inlineStr">
        <is>
          <t>Initial</t>
        </is>
      </c>
      <c r="N725" s="12" t="inlineStr">
        <is>
          <t>Rev 0</t>
        </is>
      </c>
      <c r="O725" s="12" t="inlineStr">
        <is>
          <t>R402-v1</t>
        </is>
      </c>
      <c r="P725" s="12" t="inlineStr"/>
      <c r="Q725" s="12" t="inlineStr"/>
      <c r="R725" s="12" t="inlineStr"/>
      <c r="S725" s="12" t="inlineStr"/>
      <c r="T725" s="12" t="inlineStr"/>
      <c r="U725" s="12" t="inlineStr"/>
      <c r="V725" s="12" t="inlineStr">
        <is>
          <t>WBS Code = 1.3.2</t>
        </is>
      </c>
      <c r="W725" s="12" t="inlineStr"/>
    </row>
    <row r="726" ht="49" customHeight="1">
      <c r="A726" s="12" t="inlineStr">
        <is>
          <t>1.3.2</t>
        </is>
      </c>
      <c r="B726" s="12" t="inlineStr">
        <is>
          <t>Systems - Signalling &amp; Train Control</t>
        </is>
      </c>
      <c r="C726" s="12" t="inlineStr">
        <is>
          <t>Contractor Programme</t>
        </is>
      </c>
      <c r="D726" s="12" t="inlineStr">
        <is>
          <t>SCH-03-045</t>
        </is>
      </c>
      <c r="E726" s="12" t="inlineStr">
        <is>
          <t>Central interlocking: fibre backbone termination - inspection</t>
        </is>
      </c>
      <c r="F726" s="12" t="inlineStr">
        <is>
          <t>ONE_TO_ONE</t>
        </is>
      </c>
      <c r="G726" s="12" t="inlineStr">
        <is>
          <t>APPROVED</t>
        </is>
      </c>
      <c r="H726" s="12" t="inlineStr">
        <is>
          <t>New</t>
        </is>
      </c>
      <c r="I726" s="12" t="inlineStr">
        <is>
          <t>Source assignment -- not individually reviewed</t>
        </is>
      </c>
      <c r="J726" s="12" t="inlineStr"/>
      <c r="K726" s="12" t="inlineStr">
        <is>
          <t>Source assignment</t>
        </is>
      </c>
      <c r="L726" s="12" t="inlineStr"/>
      <c r="M726" s="12" t="inlineStr">
        <is>
          <t>Initial</t>
        </is>
      </c>
      <c r="N726" s="12" t="inlineStr">
        <is>
          <t>Rev 0</t>
        </is>
      </c>
      <c r="O726" s="12" t="inlineStr">
        <is>
          <t>R405-v1</t>
        </is>
      </c>
      <c r="P726" s="12" t="inlineStr"/>
      <c r="Q726" s="12" t="inlineStr"/>
      <c r="R726" s="12" t="inlineStr"/>
      <c r="S726" s="12" t="inlineStr"/>
      <c r="T726" s="12" t="inlineStr"/>
      <c r="U726" s="12" t="inlineStr"/>
      <c r="V726" s="12" t="inlineStr">
        <is>
          <t>WBS Code = 1.3.2</t>
        </is>
      </c>
      <c r="W726" s="12" t="inlineStr"/>
    </row>
    <row r="727" ht="49" customHeight="1">
      <c r="A727" s="12" t="inlineStr">
        <is>
          <t>1.3.2</t>
        </is>
      </c>
      <c r="B727" s="12" t="inlineStr">
        <is>
          <t>Systems - Signalling &amp; Train Control</t>
        </is>
      </c>
      <c r="C727" s="12" t="inlineStr">
        <is>
          <t>Contractor Programme</t>
        </is>
      </c>
      <c r="D727" s="12" t="inlineStr">
        <is>
          <t>SCH-03-048</t>
        </is>
      </c>
      <c r="E727" s="12" t="inlineStr">
        <is>
          <t>West wayside: train-control cabinet fit-out - field start</t>
        </is>
      </c>
      <c r="F727" s="12" t="inlineStr">
        <is>
          <t>ONE_TO_ONE</t>
        </is>
      </c>
      <c r="G727" s="12" t="inlineStr">
        <is>
          <t>APPROVED</t>
        </is>
      </c>
      <c r="H727" s="12" t="inlineStr">
        <is>
          <t>New</t>
        </is>
      </c>
      <c r="I727" s="12" t="inlineStr">
        <is>
          <t>Source assignment -- not individually reviewed</t>
        </is>
      </c>
      <c r="J727" s="12" t="inlineStr"/>
      <c r="K727" s="12" t="inlineStr">
        <is>
          <t>Source assignment</t>
        </is>
      </c>
      <c r="L727" s="12" t="inlineStr"/>
      <c r="M727" s="12" t="inlineStr">
        <is>
          <t>Initial</t>
        </is>
      </c>
      <c r="N727" s="12" t="inlineStr">
        <is>
          <t>Rev 0</t>
        </is>
      </c>
      <c r="O727" s="12" t="inlineStr">
        <is>
          <t>R408-v1</t>
        </is>
      </c>
      <c r="P727" s="12" t="inlineStr"/>
      <c r="Q727" s="12" t="inlineStr"/>
      <c r="R727" s="12" t="inlineStr"/>
      <c r="S727" s="12" t="inlineStr"/>
      <c r="T727" s="12" t="inlineStr"/>
      <c r="U727" s="12" t="inlineStr"/>
      <c r="V727" s="12" t="inlineStr">
        <is>
          <t>WBS Code = 1.3.2</t>
        </is>
      </c>
      <c r="W727" s="12" t="inlineStr"/>
    </row>
    <row r="728" ht="49" customHeight="1">
      <c r="A728" s="12" t="inlineStr">
        <is>
          <t>1.3.2</t>
        </is>
      </c>
      <c r="B728" s="12" t="inlineStr">
        <is>
          <t>Systems - Signalling &amp; Train Control</t>
        </is>
      </c>
      <c r="C728" s="12" t="inlineStr">
        <is>
          <t>Contractor Programme</t>
        </is>
      </c>
      <c r="D728" s="12" t="inlineStr">
        <is>
          <t>SCH-03-051</t>
        </is>
      </c>
      <c r="E728" s="12" t="inlineStr">
        <is>
          <t>Harbour Station: radio equipment installation - turnover</t>
        </is>
      </c>
      <c r="F728" s="12" t="inlineStr">
        <is>
          <t>ONE_TO_ONE</t>
        </is>
      </c>
      <c r="G728" s="12" t="inlineStr">
        <is>
          <t>APPROVED</t>
        </is>
      </c>
      <c r="H728" s="12" t="inlineStr">
        <is>
          <t>New</t>
        </is>
      </c>
      <c r="I728" s="12" t="inlineStr">
        <is>
          <t>Source assignment -- not individually reviewed</t>
        </is>
      </c>
      <c r="J728" s="12" t="inlineStr"/>
      <c r="K728" s="12" t="inlineStr">
        <is>
          <t>Source assignment</t>
        </is>
      </c>
      <c r="L728" s="12" t="inlineStr"/>
      <c r="M728" s="12" t="inlineStr">
        <is>
          <t>Initial</t>
        </is>
      </c>
      <c r="N728" s="12" t="inlineStr">
        <is>
          <t>Rev 0</t>
        </is>
      </c>
      <c r="O728" s="12" t="inlineStr">
        <is>
          <t>R411-v1</t>
        </is>
      </c>
      <c r="P728" s="12" t="inlineStr"/>
      <c r="Q728" s="12" t="inlineStr"/>
      <c r="R728" s="12" t="inlineStr"/>
      <c r="S728" s="12" t="inlineStr"/>
      <c r="T728" s="12" t="inlineStr"/>
      <c r="U728" s="12" t="inlineStr"/>
      <c r="V728" s="12" t="inlineStr">
        <is>
          <t>WBS Code = 1.3.2</t>
        </is>
      </c>
      <c r="W728" s="12" t="inlineStr"/>
    </row>
    <row r="729" ht="49" customHeight="1">
      <c r="A729" s="12" t="inlineStr">
        <is>
          <t>1.3.2</t>
        </is>
      </c>
      <c r="B729" s="12" t="inlineStr">
        <is>
          <t>Systems - Signalling &amp; Train Control</t>
        </is>
      </c>
      <c r="C729" s="12" t="inlineStr">
        <is>
          <t>Contractor Programme</t>
        </is>
      </c>
      <c r="D729" s="12" t="inlineStr">
        <is>
          <t>SCH-03-054</t>
        </is>
      </c>
      <c r="E729" s="12" t="inlineStr">
        <is>
          <t>East substation: SCADA point-to-point check - installation</t>
        </is>
      </c>
      <c r="F729" s="12" t="inlineStr">
        <is>
          <t>ONE_TO_ONE</t>
        </is>
      </c>
      <c r="G729" s="12" t="inlineStr">
        <is>
          <t>APPROVED</t>
        </is>
      </c>
      <c r="H729" s="12" t="inlineStr">
        <is>
          <t>New</t>
        </is>
      </c>
      <c r="I729" s="12" t="inlineStr">
        <is>
          <t>Source assignment -- not individually reviewed</t>
        </is>
      </c>
      <c r="J729" s="12" t="inlineStr"/>
      <c r="K729" s="12" t="inlineStr">
        <is>
          <t>Source assignment</t>
        </is>
      </c>
      <c r="L729" s="12" t="inlineStr"/>
      <c r="M729" s="12" t="inlineStr">
        <is>
          <t>Initial</t>
        </is>
      </c>
      <c r="N729" s="12" t="inlineStr">
        <is>
          <t>Rev 0</t>
        </is>
      </c>
      <c r="O729" s="12" t="inlineStr">
        <is>
          <t>R414-v1</t>
        </is>
      </c>
      <c r="P729" s="12" t="inlineStr"/>
      <c r="Q729" s="12" t="inlineStr"/>
      <c r="R729" s="12" t="inlineStr"/>
      <c r="S729" s="12" t="inlineStr"/>
      <c r="T729" s="12" t="inlineStr"/>
      <c r="U729" s="12" t="inlineStr"/>
      <c r="V729" s="12" t="inlineStr">
        <is>
          <t>WBS Code = 1.3.2</t>
        </is>
      </c>
      <c r="W729" s="12" t="inlineStr"/>
    </row>
    <row r="730" ht="49" customHeight="1">
      <c r="A730" s="12" t="inlineStr">
        <is>
          <t>1.3.2</t>
        </is>
      </c>
      <c r="B730" s="12" t="inlineStr">
        <is>
          <t>Systems - Signalling &amp; Train Control</t>
        </is>
      </c>
      <c r="C730" s="12" t="inlineStr">
        <is>
          <t>Contractor Programme</t>
        </is>
      </c>
      <c r="D730" s="12" t="inlineStr">
        <is>
          <t>SCH-03-057</t>
        </is>
      </c>
      <c r="E730" s="12" t="inlineStr">
        <is>
          <t>Control Centre: wayside interface test - release</t>
        </is>
      </c>
      <c r="F730" s="12" t="inlineStr">
        <is>
          <t>ONE_TO_ONE</t>
        </is>
      </c>
      <c r="G730" s="12" t="inlineStr">
        <is>
          <t>APPROVED</t>
        </is>
      </c>
      <c r="H730" s="12" t="inlineStr">
        <is>
          <t>New</t>
        </is>
      </c>
      <c r="I730" s="12" t="inlineStr">
        <is>
          <t>Source assignment -- not individually reviewed</t>
        </is>
      </c>
      <c r="J730" s="12" t="inlineStr"/>
      <c r="K730" s="12" t="inlineStr">
        <is>
          <t>Source assignment</t>
        </is>
      </c>
      <c r="L730" s="12" t="inlineStr"/>
      <c r="M730" s="12" t="inlineStr">
        <is>
          <t>Initial</t>
        </is>
      </c>
      <c r="N730" s="12" t="inlineStr">
        <is>
          <t>Rev 0</t>
        </is>
      </c>
      <c r="O730" s="12" t="inlineStr">
        <is>
          <t>R417-v1</t>
        </is>
      </c>
      <c r="P730" s="12" t="inlineStr"/>
      <c r="Q730" s="12" t="inlineStr"/>
      <c r="R730" s="12" t="inlineStr"/>
      <c r="S730" s="12" t="inlineStr"/>
      <c r="T730" s="12" t="inlineStr"/>
      <c r="U730" s="12" t="inlineStr"/>
      <c r="V730" s="12" t="inlineStr">
        <is>
          <t>WBS Code = 1.3.2</t>
        </is>
      </c>
      <c r="W730" s="12" t="inlineStr"/>
    </row>
    <row r="731" ht="49" customHeight="1">
      <c r="A731" s="12" t="inlineStr">
        <is>
          <t>1.3.2</t>
        </is>
      </c>
      <c r="B731" s="12" t="inlineStr">
        <is>
          <t>Systems - Signalling &amp; Train Control</t>
        </is>
      </c>
      <c r="C731" s="12" t="inlineStr">
        <is>
          <t>Contractor Programme</t>
        </is>
      </c>
      <c r="D731" s="12" t="inlineStr">
        <is>
          <t>SCH-03-060</t>
        </is>
      </c>
      <c r="E731" s="12" t="inlineStr">
        <is>
          <t>Central interlocking: control-centre integration - inspection</t>
        </is>
      </c>
      <c r="F731" s="12" t="inlineStr">
        <is>
          <t>ONE_TO_ONE</t>
        </is>
      </c>
      <c r="G731" s="12" t="inlineStr">
        <is>
          <t>APPROVED</t>
        </is>
      </c>
      <c r="H731" s="12" t="inlineStr">
        <is>
          <t>New</t>
        </is>
      </c>
      <c r="I731" s="12" t="inlineStr">
        <is>
          <t>Source assignment -- not individually reviewed</t>
        </is>
      </c>
      <c r="J731" s="12" t="inlineStr"/>
      <c r="K731" s="12" t="inlineStr">
        <is>
          <t>Source assignment</t>
        </is>
      </c>
      <c r="L731" s="12" t="inlineStr"/>
      <c r="M731" s="12" t="inlineStr">
        <is>
          <t>Initial</t>
        </is>
      </c>
      <c r="N731" s="12" t="inlineStr">
        <is>
          <t>Rev 0</t>
        </is>
      </c>
      <c r="O731" s="12" t="inlineStr">
        <is>
          <t>R420-v1</t>
        </is>
      </c>
      <c r="P731" s="12" t="inlineStr"/>
      <c r="Q731" s="12" t="inlineStr"/>
      <c r="R731" s="12" t="inlineStr"/>
      <c r="S731" s="12" t="inlineStr"/>
      <c r="T731" s="12" t="inlineStr"/>
      <c r="U731" s="12" t="inlineStr"/>
      <c r="V731" s="12" t="inlineStr">
        <is>
          <t>WBS Code = 1.3.2</t>
        </is>
      </c>
      <c r="W731" s="12" t="inlineStr"/>
    </row>
    <row r="732" ht="49" customHeight="1">
      <c r="A732" s="12" t="inlineStr">
        <is>
          <t>1.3.2</t>
        </is>
      </c>
      <c r="B732" s="12" t="inlineStr">
        <is>
          <t>Systems - Signalling &amp; Train Control</t>
        </is>
      </c>
      <c r="C732" s="12" t="inlineStr">
        <is>
          <t>Contractor Programme</t>
        </is>
      </c>
      <c r="D732" s="12" t="inlineStr">
        <is>
          <t>SCH-03-063</t>
        </is>
      </c>
      <c r="E732" s="12" t="inlineStr">
        <is>
          <t>West wayside: traction-power feeder pull - field start</t>
        </is>
      </c>
      <c r="F732" s="12" t="inlineStr">
        <is>
          <t>ONE_TO_ONE</t>
        </is>
      </c>
      <c r="G732" s="12" t="inlineStr">
        <is>
          <t>APPROVED</t>
        </is>
      </c>
      <c r="H732" s="12" t="inlineStr">
        <is>
          <t>New</t>
        </is>
      </c>
      <c r="I732" s="12" t="inlineStr">
        <is>
          <t>Source assignment -- not individually reviewed</t>
        </is>
      </c>
      <c r="J732" s="12" t="inlineStr"/>
      <c r="K732" s="12" t="inlineStr">
        <is>
          <t>Source assignment</t>
        </is>
      </c>
      <c r="L732" s="12" t="inlineStr"/>
      <c r="M732" s="12" t="inlineStr">
        <is>
          <t>Initial</t>
        </is>
      </c>
      <c r="N732" s="12" t="inlineStr">
        <is>
          <t>Rev 0</t>
        </is>
      </c>
      <c r="O732" s="12" t="inlineStr">
        <is>
          <t>R423-v1</t>
        </is>
      </c>
      <c r="P732" s="12" t="inlineStr"/>
      <c r="Q732" s="12" t="inlineStr"/>
      <c r="R732" s="12" t="inlineStr"/>
      <c r="S732" s="12" t="inlineStr"/>
      <c r="T732" s="12" t="inlineStr"/>
      <c r="U732" s="12" t="inlineStr"/>
      <c r="V732" s="12" t="inlineStr">
        <is>
          <t>WBS Code = 1.3.2</t>
        </is>
      </c>
      <c r="W732" s="12" t="inlineStr"/>
    </row>
    <row r="733" ht="49" customHeight="1">
      <c r="A733" s="12" t="inlineStr">
        <is>
          <t>1.3.2</t>
        </is>
      </c>
      <c r="B733" s="12" t="inlineStr">
        <is>
          <t>Systems - Signalling &amp; Train Control</t>
        </is>
      </c>
      <c r="C733" s="12" t="inlineStr">
        <is>
          <t>Contractor Programme</t>
        </is>
      </c>
      <c r="D733" s="12" t="inlineStr">
        <is>
          <t>SCH-03-066</t>
        </is>
      </c>
      <c r="E733" s="12" t="inlineStr">
        <is>
          <t>Harbour Station: signal equipment installation - turnover</t>
        </is>
      </c>
      <c r="F733" s="12" t="inlineStr">
        <is>
          <t>ONE_TO_ONE</t>
        </is>
      </c>
      <c r="G733" s="12" t="inlineStr">
        <is>
          <t>APPROVED</t>
        </is>
      </c>
      <c r="H733" s="12" t="inlineStr">
        <is>
          <t>New</t>
        </is>
      </c>
      <c r="I733" s="12" t="inlineStr">
        <is>
          <t>Source assignment -- not individually reviewed</t>
        </is>
      </c>
      <c r="J733" s="12" t="inlineStr"/>
      <c r="K733" s="12" t="inlineStr">
        <is>
          <t>Source assignment</t>
        </is>
      </c>
      <c r="L733" s="12" t="inlineStr"/>
      <c r="M733" s="12" t="inlineStr">
        <is>
          <t>Initial</t>
        </is>
      </c>
      <c r="N733" s="12" t="inlineStr">
        <is>
          <t>Rev 0</t>
        </is>
      </c>
      <c r="O733" s="12" t="inlineStr">
        <is>
          <t>R426-v1</t>
        </is>
      </c>
      <c r="P733" s="12" t="inlineStr"/>
      <c r="Q733" s="12" t="inlineStr"/>
      <c r="R733" s="12" t="inlineStr"/>
      <c r="S733" s="12" t="inlineStr"/>
      <c r="T733" s="12" t="inlineStr"/>
      <c r="U733" s="12" t="inlineStr"/>
      <c r="V733" s="12" t="inlineStr">
        <is>
          <t>WBS Code = 1.3.2</t>
        </is>
      </c>
      <c r="W733" s="12" t="inlineStr"/>
    </row>
    <row r="734" ht="49" customHeight="1">
      <c r="A734" s="12" t="inlineStr">
        <is>
          <t>1.3.2</t>
        </is>
      </c>
      <c r="B734" s="12" t="inlineStr">
        <is>
          <t>Systems - Signalling &amp; Train Control</t>
        </is>
      </c>
      <c r="C734" s="12" t="inlineStr">
        <is>
          <t>Contractor Programme</t>
        </is>
      </c>
      <c r="D734" s="12" t="inlineStr">
        <is>
          <t>SCH-03-069</t>
        </is>
      </c>
      <c r="E734" s="12" t="inlineStr">
        <is>
          <t>East substation: fibre backbone termination - installation</t>
        </is>
      </c>
      <c r="F734" s="12" t="inlineStr">
        <is>
          <t>ONE_TO_ONE</t>
        </is>
      </c>
      <c r="G734" s="12" t="inlineStr">
        <is>
          <t>APPROVED</t>
        </is>
      </c>
      <c r="H734" s="12" t="inlineStr">
        <is>
          <t>New</t>
        </is>
      </c>
      <c r="I734" s="12" t="inlineStr">
        <is>
          <t>Source assignment -- not individually reviewed</t>
        </is>
      </c>
      <c r="J734" s="12" t="inlineStr"/>
      <c r="K734" s="12" t="inlineStr">
        <is>
          <t>Source assignment</t>
        </is>
      </c>
      <c r="L734" s="12" t="inlineStr"/>
      <c r="M734" s="12" t="inlineStr">
        <is>
          <t>Initial</t>
        </is>
      </c>
      <c r="N734" s="12" t="inlineStr">
        <is>
          <t>Rev 0</t>
        </is>
      </c>
      <c r="O734" s="12" t="inlineStr">
        <is>
          <t>R429-v1</t>
        </is>
      </c>
      <c r="P734" s="12" t="inlineStr"/>
      <c r="Q734" s="12" t="inlineStr"/>
      <c r="R734" s="12" t="inlineStr"/>
      <c r="S734" s="12" t="inlineStr"/>
      <c r="T734" s="12" t="inlineStr"/>
      <c r="U734" s="12" t="inlineStr"/>
      <c r="V734" s="12" t="inlineStr">
        <is>
          <t>WBS Code = 1.3.2</t>
        </is>
      </c>
      <c r="W734" s="12" t="inlineStr"/>
    </row>
    <row r="735" ht="49" customHeight="1">
      <c r="A735" s="12" t="inlineStr">
        <is>
          <t>1.3.2</t>
        </is>
      </c>
      <c r="B735" s="12" t="inlineStr">
        <is>
          <t>Systems - Signalling &amp; Train Control</t>
        </is>
      </c>
      <c r="C735" s="12" t="inlineStr">
        <is>
          <t>Contractor Programme</t>
        </is>
      </c>
      <c r="D735" s="12" t="inlineStr">
        <is>
          <t>SCH-03-072</t>
        </is>
      </c>
      <c r="E735" s="12" t="inlineStr">
        <is>
          <t>Control Centre: train-control cabinet fit-out - release</t>
        </is>
      </c>
      <c r="F735" s="12" t="inlineStr">
        <is>
          <t>ONE_TO_ONE</t>
        </is>
      </c>
      <c r="G735" s="12" t="inlineStr">
        <is>
          <t>APPROVED</t>
        </is>
      </c>
      <c r="H735" s="12" t="inlineStr">
        <is>
          <t>New</t>
        </is>
      </c>
      <c r="I735" s="12" t="inlineStr">
        <is>
          <t>Source assignment -- not individually reviewed</t>
        </is>
      </c>
      <c r="J735" s="12" t="inlineStr"/>
      <c r="K735" s="12" t="inlineStr">
        <is>
          <t>Source assignment</t>
        </is>
      </c>
      <c r="L735" s="12" t="inlineStr"/>
      <c r="M735" s="12" t="inlineStr">
        <is>
          <t>Initial</t>
        </is>
      </c>
      <c r="N735" s="12" t="inlineStr">
        <is>
          <t>Rev 0</t>
        </is>
      </c>
      <c r="O735" s="12" t="inlineStr">
        <is>
          <t>R432-v1</t>
        </is>
      </c>
      <c r="P735" s="12" t="inlineStr"/>
      <c r="Q735" s="12" t="inlineStr"/>
      <c r="R735" s="12" t="inlineStr"/>
      <c r="S735" s="12" t="inlineStr"/>
      <c r="T735" s="12" t="inlineStr"/>
      <c r="U735" s="12" t="inlineStr"/>
      <c r="V735" s="12" t="inlineStr">
        <is>
          <t>WBS Code = 1.3.2</t>
        </is>
      </c>
      <c r="W735" s="12" t="inlineStr"/>
    </row>
    <row r="736" ht="49" customHeight="1">
      <c r="A736" s="12" t="inlineStr">
        <is>
          <t>1.3.2</t>
        </is>
      </c>
      <c r="B736" s="12" t="inlineStr">
        <is>
          <t>Systems - Signalling &amp; Train Control</t>
        </is>
      </c>
      <c r="C736" s="12" t="inlineStr">
        <is>
          <t>Contractor Programme</t>
        </is>
      </c>
      <c r="D736" s="12" t="inlineStr">
        <is>
          <t>SCH-03-075</t>
        </is>
      </c>
      <c r="E736" s="12" t="inlineStr">
        <is>
          <t>Central interlocking: radio equipment installation - inspection</t>
        </is>
      </c>
      <c r="F736" s="12" t="inlineStr">
        <is>
          <t>ONE_TO_ONE</t>
        </is>
      </c>
      <c r="G736" s="12" t="inlineStr">
        <is>
          <t>APPROVED</t>
        </is>
      </c>
      <c r="H736" s="12" t="inlineStr">
        <is>
          <t>New</t>
        </is>
      </c>
      <c r="I736" s="12" t="inlineStr">
        <is>
          <t>Source assignment -- not individually reviewed</t>
        </is>
      </c>
      <c r="J736" s="12" t="inlineStr"/>
      <c r="K736" s="12" t="inlineStr">
        <is>
          <t>Source assignment</t>
        </is>
      </c>
      <c r="L736" s="12" t="inlineStr"/>
      <c r="M736" s="12" t="inlineStr">
        <is>
          <t>Initial</t>
        </is>
      </c>
      <c r="N736" s="12" t="inlineStr">
        <is>
          <t>Rev 0</t>
        </is>
      </c>
      <c r="O736" s="12" t="inlineStr">
        <is>
          <t>R435-v1</t>
        </is>
      </c>
      <c r="P736" s="12" t="inlineStr"/>
      <c r="Q736" s="12" t="inlineStr"/>
      <c r="R736" s="12" t="inlineStr"/>
      <c r="S736" s="12" t="inlineStr"/>
      <c r="T736" s="12" t="inlineStr"/>
      <c r="U736" s="12" t="inlineStr"/>
      <c r="V736" s="12" t="inlineStr">
        <is>
          <t>WBS Code = 1.3.2</t>
        </is>
      </c>
      <c r="W736" s="12" t="inlineStr"/>
    </row>
    <row r="737" ht="49" customHeight="1">
      <c r="A737" s="12" t="inlineStr">
        <is>
          <t>1.3.2</t>
        </is>
      </c>
      <c r="B737" s="12" t="inlineStr">
        <is>
          <t>Systems - Signalling &amp; Train Control</t>
        </is>
      </c>
      <c r="C737" s="12" t="inlineStr">
        <is>
          <t>Contractor Programme</t>
        </is>
      </c>
      <c r="D737" s="12" t="inlineStr">
        <is>
          <t>SCH-03-078</t>
        </is>
      </c>
      <c r="E737" s="12" t="inlineStr">
        <is>
          <t>West wayside: SCADA point-to-point check - field start</t>
        </is>
      </c>
      <c r="F737" s="12" t="inlineStr">
        <is>
          <t>ONE_TO_ONE</t>
        </is>
      </c>
      <c r="G737" s="12" t="inlineStr">
        <is>
          <t>APPROVED</t>
        </is>
      </c>
      <c r="H737" s="12" t="inlineStr">
        <is>
          <t>New</t>
        </is>
      </c>
      <c r="I737" s="12" t="inlineStr">
        <is>
          <t>Source assignment -- not individually reviewed</t>
        </is>
      </c>
      <c r="J737" s="12" t="inlineStr"/>
      <c r="K737" s="12" t="inlineStr">
        <is>
          <t>Source assignment</t>
        </is>
      </c>
      <c r="L737" s="12" t="inlineStr"/>
      <c r="M737" s="12" t="inlineStr">
        <is>
          <t>Initial</t>
        </is>
      </c>
      <c r="N737" s="12" t="inlineStr">
        <is>
          <t>Rev 0</t>
        </is>
      </c>
      <c r="O737" s="12" t="inlineStr">
        <is>
          <t>R438-v1</t>
        </is>
      </c>
      <c r="P737" s="12" t="inlineStr"/>
      <c r="Q737" s="12" t="inlineStr"/>
      <c r="R737" s="12" t="inlineStr"/>
      <c r="S737" s="12" t="inlineStr"/>
      <c r="T737" s="12" t="inlineStr"/>
      <c r="U737" s="12" t="inlineStr"/>
      <c r="V737" s="12" t="inlineStr">
        <is>
          <t>WBS Code = 1.3.2</t>
        </is>
      </c>
      <c r="W737" s="12" t="inlineStr"/>
    </row>
    <row r="738" ht="49" customHeight="1">
      <c r="A738" s="12" t="inlineStr">
        <is>
          <t>1.3.2</t>
        </is>
      </c>
      <c r="B738" s="12" t="inlineStr">
        <is>
          <t>Systems - Signalling &amp; Train Control</t>
        </is>
      </c>
      <c r="C738" s="12" t="inlineStr">
        <is>
          <t>Contractor Programme</t>
        </is>
      </c>
      <c r="D738" s="12" t="inlineStr">
        <is>
          <t>SCH-03-081</t>
        </is>
      </c>
      <c r="E738" s="12" t="inlineStr">
        <is>
          <t>Harbour Station: wayside interface test - turnover</t>
        </is>
      </c>
      <c r="F738" s="12" t="inlineStr">
        <is>
          <t>ONE_TO_ONE</t>
        </is>
      </c>
      <c r="G738" s="12" t="inlineStr">
        <is>
          <t>APPROVED</t>
        </is>
      </c>
      <c r="H738" s="12" t="inlineStr">
        <is>
          <t>New</t>
        </is>
      </c>
      <c r="I738" s="12" t="inlineStr">
        <is>
          <t>Source assignment -- not individually reviewed</t>
        </is>
      </c>
      <c r="J738" s="12" t="inlineStr"/>
      <c r="K738" s="12" t="inlineStr">
        <is>
          <t>Source assignment</t>
        </is>
      </c>
      <c r="L738" s="12" t="inlineStr"/>
      <c r="M738" s="12" t="inlineStr">
        <is>
          <t>Initial</t>
        </is>
      </c>
      <c r="N738" s="12" t="inlineStr">
        <is>
          <t>Rev 0</t>
        </is>
      </c>
      <c r="O738" s="12" t="inlineStr">
        <is>
          <t>R441-v1</t>
        </is>
      </c>
      <c r="P738" s="12" t="inlineStr"/>
      <c r="Q738" s="12" t="inlineStr"/>
      <c r="R738" s="12" t="inlineStr"/>
      <c r="S738" s="12" t="inlineStr"/>
      <c r="T738" s="12" t="inlineStr"/>
      <c r="U738" s="12" t="inlineStr"/>
      <c r="V738" s="12" t="inlineStr">
        <is>
          <t>WBS Code = 1.3.2</t>
        </is>
      </c>
      <c r="W738" s="12" t="inlineStr"/>
    </row>
    <row r="739" ht="49" customHeight="1">
      <c r="A739" s="12" t="inlineStr">
        <is>
          <t>1.3.2</t>
        </is>
      </c>
      <c r="B739" s="12" t="inlineStr">
        <is>
          <t>Systems - Signalling &amp; Train Control</t>
        </is>
      </c>
      <c r="C739" s="12" t="inlineStr">
        <is>
          <t>Contractor Programme</t>
        </is>
      </c>
      <c r="D739" s="12" t="inlineStr">
        <is>
          <t>SCH-03-084</t>
        </is>
      </c>
      <c r="E739" s="12" t="inlineStr">
        <is>
          <t>East substation: control-centre integration - installation</t>
        </is>
      </c>
      <c r="F739" s="12" t="inlineStr">
        <is>
          <t>ONE_TO_ONE</t>
        </is>
      </c>
      <c r="G739" s="12" t="inlineStr">
        <is>
          <t>APPROVED</t>
        </is>
      </c>
      <c r="H739" s="12" t="inlineStr">
        <is>
          <t>New</t>
        </is>
      </c>
      <c r="I739" s="12" t="inlineStr">
        <is>
          <t>Source assignment -- not individually reviewed</t>
        </is>
      </c>
      <c r="J739" s="12" t="inlineStr"/>
      <c r="K739" s="12" t="inlineStr">
        <is>
          <t>Source assignment</t>
        </is>
      </c>
      <c r="L739" s="12" t="inlineStr"/>
      <c r="M739" s="12" t="inlineStr">
        <is>
          <t>Initial</t>
        </is>
      </c>
      <c r="N739" s="12" t="inlineStr">
        <is>
          <t>Rev 0</t>
        </is>
      </c>
      <c r="O739" s="12" t="inlineStr">
        <is>
          <t>R444-v1</t>
        </is>
      </c>
      <c r="P739" s="12" t="inlineStr"/>
      <c r="Q739" s="12" t="inlineStr"/>
      <c r="R739" s="12" t="inlineStr"/>
      <c r="S739" s="12" t="inlineStr"/>
      <c r="T739" s="12" t="inlineStr"/>
      <c r="U739" s="12" t="inlineStr"/>
      <c r="V739" s="12" t="inlineStr">
        <is>
          <t>WBS Code = 1.3.2</t>
        </is>
      </c>
      <c r="W739" s="12" t="inlineStr"/>
    </row>
    <row r="740" ht="49" customHeight="1">
      <c r="A740" s="12" t="inlineStr">
        <is>
          <t>1.3.2</t>
        </is>
      </c>
      <c r="B740" s="12" t="inlineStr">
        <is>
          <t>Systems - Signalling &amp; Train Control</t>
        </is>
      </c>
      <c r="C740" s="12" t="inlineStr">
        <is>
          <t>Contractor Programme</t>
        </is>
      </c>
      <c r="D740" s="12" t="inlineStr">
        <is>
          <t>SCH-03-087</t>
        </is>
      </c>
      <c r="E740" s="12" t="inlineStr">
        <is>
          <t>Control Centre: traction-power feeder pull - release</t>
        </is>
      </c>
      <c r="F740" s="12" t="inlineStr">
        <is>
          <t>ONE_TO_ONE</t>
        </is>
      </c>
      <c r="G740" s="12" t="inlineStr">
        <is>
          <t>APPROVED</t>
        </is>
      </c>
      <c r="H740" s="12" t="inlineStr">
        <is>
          <t>New</t>
        </is>
      </c>
      <c r="I740" s="12" t="inlineStr">
        <is>
          <t>Source assignment -- not individually reviewed</t>
        </is>
      </c>
      <c r="J740" s="12" t="inlineStr"/>
      <c r="K740" s="12" t="inlineStr">
        <is>
          <t>Source assignment</t>
        </is>
      </c>
      <c r="L740" s="12" t="inlineStr"/>
      <c r="M740" s="12" t="inlineStr">
        <is>
          <t>Initial</t>
        </is>
      </c>
      <c r="N740" s="12" t="inlineStr">
        <is>
          <t>Rev 0</t>
        </is>
      </c>
      <c r="O740" s="12" t="inlineStr">
        <is>
          <t>R447-v1</t>
        </is>
      </c>
      <c r="P740" s="12" t="inlineStr"/>
      <c r="Q740" s="12" t="inlineStr"/>
      <c r="R740" s="12" t="inlineStr"/>
      <c r="S740" s="12" t="inlineStr"/>
      <c r="T740" s="12" t="inlineStr"/>
      <c r="U740" s="12" t="inlineStr"/>
      <c r="V740" s="12" t="inlineStr">
        <is>
          <t>WBS Code = 1.3.2</t>
        </is>
      </c>
      <c r="W740" s="12" t="inlineStr"/>
    </row>
    <row r="741" ht="49" customHeight="1">
      <c r="A741" s="12" t="inlineStr">
        <is>
          <t>1.3.2</t>
        </is>
      </c>
      <c r="B741" s="12" t="inlineStr">
        <is>
          <t>Systems - Signalling &amp; Train Control</t>
        </is>
      </c>
      <c r="C741" s="12" t="inlineStr">
        <is>
          <t>Contractor Programme</t>
        </is>
      </c>
      <c r="D741" s="12" t="inlineStr">
        <is>
          <t>SCH-03-090</t>
        </is>
      </c>
      <c r="E741" s="12" t="inlineStr">
        <is>
          <t>Central interlocking: signal equipment installation - inspection</t>
        </is>
      </c>
      <c r="F741" s="12" t="inlineStr">
        <is>
          <t>ONE_TO_ONE</t>
        </is>
      </c>
      <c r="G741" s="12" t="inlineStr">
        <is>
          <t>APPROVED</t>
        </is>
      </c>
      <c r="H741" s="12" t="inlineStr">
        <is>
          <t>New</t>
        </is>
      </c>
      <c r="I741" s="12" t="inlineStr">
        <is>
          <t>Source assignment -- not individually reviewed</t>
        </is>
      </c>
      <c r="J741" s="12" t="inlineStr"/>
      <c r="K741" s="12" t="inlineStr">
        <is>
          <t>Source assignment</t>
        </is>
      </c>
      <c r="L741" s="12" t="inlineStr"/>
      <c r="M741" s="12" t="inlineStr">
        <is>
          <t>Initial</t>
        </is>
      </c>
      <c r="N741" s="12" t="inlineStr">
        <is>
          <t>Rev 0</t>
        </is>
      </c>
      <c r="O741" s="12" t="inlineStr">
        <is>
          <t>R450-v1</t>
        </is>
      </c>
      <c r="P741" s="12" t="inlineStr"/>
      <c r="Q741" s="12" t="inlineStr"/>
      <c r="R741" s="12" t="inlineStr"/>
      <c r="S741" s="12" t="inlineStr"/>
      <c r="T741" s="12" t="inlineStr"/>
      <c r="U741" s="12" t="inlineStr"/>
      <c r="V741" s="12" t="inlineStr">
        <is>
          <t>WBS Code = 1.3.2</t>
        </is>
      </c>
      <c r="W741" s="12" t="inlineStr"/>
    </row>
    <row r="742" ht="49" customHeight="1">
      <c r="A742" s="12" t="inlineStr">
        <is>
          <t>1.3.2</t>
        </is>
      </c>
      <c r="B742" s="12" t="inlineStr">
        <is>
          <t>Systems - Signalling &amp; Train Control</t>
        </is>
      </c>
      <c r="C742" s="12" t="inlineStr">
        <is>
          <t>Contractor Programme</t>
        </is>
      </c>
      <c r="D742" s="12" t="inlineStr">
        <is>
          <t>SCH-03-093</t>
        </is>
      </c>
      <c r="E742" s="12" t="inlineStr">
        <is>
          <t>West wayside: fibre backbone termination - field start</t>
        </is>
      </c>
      <c r="F742" s="12" t="inlineStr">
        <is>
          <t>ONE_TO_ONE</t>
        </is>
      </c>
      <c r="G742" s="12" t="inlineStr">
        <is>
          <t>APPROVED</t>
        </is>
      </c>
      <c r="H742" s="12" t="inlineStr">
        <is>
          <t>New</t>
        </is>
      </c>
      <c r="I742" s="12" t="inlineStr">
        <is>
          <t>Source assignment -- not individually reviewed</t>
        </is>
      </c>
      <c r="J742" s="12" t="inlineStr"/>
      <c r="K742" s="12" t="inlineStr">
        <is>
          <t>Source assignment</t>
        </is>
      </c>
      <c r="L742" s="12" t="inlineStr"/>
      <c r="M742" s="12" t="inlineStr">
        <is>
          <t>Initial</t>
        </is>
      </c>
      <c r="N742" s="12" t="inlineStr">
        <is>
          <t>Rev 0</t>
        </is>
      </c>
      <c r="O742" s="12" t="inlineStr">
        <is>
          <t>R453-v1</t>
        </is>
      </c>
      <c r="P742" s="12" t="inlineStr"/>
      <c r="Q742" s="12" t="inlineStr"/>
      <c r="R742" s="12" t="inlineStr"/>
      <c r="S742" s="12" t="inlineStr"/>
      <c r="T742" s="12" t="inlineStr"/>
      <c r="U742" s="12" t="inlineStr"/>
      <c r="V742" s="12" t="inlineStr">
        <is>
          <t>WBS Code = 1.3.2</t>
        </is>
      </c>
      <c r="W742" s="12" t="inlineStr"/>
    </row>
    <row r="743" ht="49" customHeight="1">
      <c r="A743" s="12" t="inlineStr">
        <is>
          <t>1.3.2</t>
        </is>
      </c>
      <c r="B743" s="12" t="inlineStr">
        <is>
          <t>Systems - Signalling &amp; Train Control</t>
        </is>
      </c>
      <c r="C743" s="12" t="inlineStr">
        <is>
          <t>Contractor Programme</t>
        </is>
      </c>
      <c r="D743" s="12" t="inlineStr">
        <is>
          <t>SCH-03-096</t>
        </is>
      </c>
      <c r="E743" s="12" t="inlineStr">
        <is>
          <t>Harbour Station: train-control cabinet fit-out - turnover</t>
        </is>
      </c>
      <c r="F743" s="12" t="inlineStr">
        <is>
          <t>ONE_TO_ONE</t>
        </is>
      </c>
      <c r="G743" s="12" t="inlineStr">
        <is>
          <t>APPROVED</t>
        </is>
      </c>
      <c r="H743" s="12" t="inlineStr">
        <is>
          <t>New</t>
        </is>
      </c>
      <c r="I743" s="12" t="inlineStr">
        <is>
          <t>Source assignment -- not individually reviewed</t>
        </is>
      </c>
      <c r="J743" s="12" t="inlineStr"/>
      <c r="K743" s="12" t="inlineStr">
        <is>
          <t>Source assignment</t>
        </is>
      </c>
      <c r="L743" s="12" t="inlineStr"/>
      <c r="M743" s="12" t="inlineStr">
        <is>
          <t>Initial</t>
        </is>
      </c>
      <c r="N743" s="12" t="inlineStr">
        <is>
          <t>Rev 0</t>
        </is>
      </c>
      <c r="O743" s="12" t="inlineStr">
        <is>
          <t>R456-v1</t>
        </is>
      </c>
      <c r="P743" s="12" t="inlineStr"/>
      <c r="Q743" s="12" t="inlineStr"/>
      <c r="R743" s="12" t="inlineStr"/>
      <c r="S743" s="12" t="inlineStr"/>
      <c r="T743" s="12" t="inlineStr"/>
      <c r="U743" s="12" t="inlineStr"/>
      <c r="V743" s="12" t="inlineStr">
        <is>
          <t>WBS Code = 1.3.2</t>
        </is>
      </c>
      <c r="W743" s="12" t="inlineStr"/>
    </row>
    <row r="744" ht="49" customHeight="1">
      <c r="A744" s="12" t="inlineStr">
        <is>
          <t>1.3.2</t>
        </is>
      </c>
      <c r="B744" s="12" t="inlineStr">
        <is>
          <t>Systems - Signalling &amp; Train Control</t>
        </is>
      </c>
      <c r="C744" s="12" t="inlineStr">
        <is>
          <t>Contractor Programme</t>
        </is>
      </c>
      <c r="D744" s="12" t="inlineStr">
        <is>
          <t>SCH-03-099</t>
        </is>
      </c>
      <c r="E744" s="12" t="inlineStr">
        <is>
          <t>East substation: radio equipment installation - installation</t>
        </is>
      </c>
      <c r="F744" s="12" t="inlineStr">
        <is>
          <t>ONE_TO_ONE</t>
        </is>
      </c>
      <c r="G744" s="12" t="inlineStr">
        <is>
          <t>APPROVED</t>
        </is>
      </c>
      <c r="H744" s="12" t="inlineStr">
        <is>
          <t>New</t>
        </is>
      </c>
      <c r="I744" s="12" t="inlineStr">
        <is>
          <t>Source assignment -- not individually reviewed</t>
        </is>
      </c>
      <c r="J744" s="12" t="inlineStr"/>
      <c r="K744" s="12" t="inlineStr">
        <is>
          <t>Source assignment</t>
        </is>
      </c>
      <c r="L744" s="12" t="inlineStr"/>
      <c r="M744" s="12" t="inlineStr">
        <is>
          <t>Initial</t>
        </is>
      </c>
      <c r="N744" s="12" t="inlineStr">
        <is>
          <t>Rev 0</t>
        </is>
      </c>
      <c r="O744" s="12" t="inlineStr">
        <is>
          <t>R459-v1</t>
        </is>
      </c>
      <c r="P744" s="12" t="inlineStr"/>
      <c r="Q744" s="12" t="inlineStr"/>
      <c r="R744" s="12" t="inlineStr"/>
      <c r="S744" s="12" t="inlineStr"/>
      <c r="T744" s="12" t="inlineStr"/>
      <c r="U744" s="12" t="inlineStr"/>
      <c r="V744" s="12" t="inlineStr">
        <is>
          <t>WBS Code = 1.3.2</t>
        </is>
      </c>
      <c r="W744" s="12" t="inlineStr"/>
    </row>
    <row r="745" ht="49" customHeight="1">
      <c r="A745" s="12" t="inlineStr">
        <is>
          <t>1.3.2</t>
        </is>
      </c>
      <c r="B745" s="12" t="inlineStr">
        <is>
          <t>Systems - Signalling &amp; Train Control</t>
        </is>
      </c>
      <c r="C745" s="12" t="inlineStr">
        <is>
          <t>Contractor Programme</t>
        </is>
      </c>
      <c r="D745" s="12" t="inlineStr">
        <is>
          <t>SCH-03-102</t>
        </is>
      </c>
      <c r="E745" s="12" t="inlineStr">
        <is>
          <t>Control Centre: SCADA point-to-point check - release</t>
        </is>
      </c>
      <c r="F745" s="12" t="inlineStr">
        <is>
          <t>ONE_TO_ONE</t>
        </is>
      </c>
      <c r="G745" s="12" t="inlineStr">
        <is>
          <t>APPROVED</t>
        </is>
      </c>
      <c r="H745" s="12" t="inlineStr">
        <is>
          <t>New</t>
        </is>
      </c>
      <c r="I745" s="12" t="inlineStr">
        <is>
          <t>Source assignment -- not individually reviewed</t>
        </is>
      </c>
      <c r="J745" s="12" t="inlineStr"/>
      <c r="K745" s="12" t="inlineStr">
        <is>
          <t>Source assignment</t>
        </is>
      </c>
      <c r="L745" s="12" t="inlineStr"/>
      <c r="M745" s="12" t="inlineStr">
        <is>
          <t>Initial</t>
        </is>
      </c>
      <c r="N745" s="12" t="inlineStr">
        <is>
          <t>Rev 0</t>
        </is>
      </c>
      <c r="O745" s="12" t="inlineStr">
        <is>
          <t>R462-v1</t>
        </is>
      </c>
      <c r="P745" s="12" t="inlineStr"/>
      <c r="Q745" s="12" t="inlineStr"/>
      <c r="R745" s="12" t="inlineStr"/>
      <c r="S745" s="12" t="inlineStr"/>
      <c r="T745" s="12" t="inlineStr"/>
      <c r="U745" s="12" t="inlineStr"/>
      <c r="V745" s="12" t="inlineStr">
        <is>
          <t>WBS Code = 1.3.2</t>
        </is>
      </c>
      <c r="W745" s="12" t="inlineStr"/>
    </row>
    <row r="746" ht="49" customHeight="1">
      <c r="A746" s="12" t="inlineStr">
        <is>
          <t>1.3.2</t>
        </is>
      </c>
      <c r="B746" s="12" t="inlineStr">
        <is>
          <t>Systems - Signalling &amp; Train Control</t>
        </is>
      </c>
      <c r="C746" s="12" t="inlineStr">
        <is>
          <t>Contractor Programme</t>
        </is>
      </c>
      <c r="D746" s="12" t="inlineStr">
        <is>
          <t>SCH-03-105</t>
        </is>
      </c>
      <c r="E746" s="12" t="inlineStr">
        <is>
          <t>Central interlocking: wayside interface test - inspection</t>
        </is>
      </c>
      <c r="F746" s="12" t="inlineStr">
        <is>
          <t>ONE_TO_ONE</t>
        </is>
      </c>
      <c r="G746" s="12" t="inlineStr">
        <is>
          <t>APPROVED</t>
        </is>
      </c>
      <c r="H746" s="12" t="inlineStr">
        <is>
          <t>New</t>
        </is>
      </c>
      <c r="I746" s="12" t="inlineStr">
        <is>
          <t>Source assignment -- not individually reviewed</t>
        </is>
      </c>
      <c r="J746" s="12" t="inlineStr"/>
      <c r="K746" s="12" t="inlineStr">
        <is>
          <t>Source assignment</t>
        </is>
      </c>
      <c r="L746" s="12" t="inlineStr"/>
      <c r="M746" s="12" t="inlineStr">
        <is>
          <t>Initial</t>
        </is>
      </c>
      <c r="N746" s="12" t="inlineStr">
        <is>
          <t>Rev 0</t>
        </is>
      </c>
      <c r="O746" s="12" t="inlineStr">
        <is>
          <t>R465-v1</t>
        </is>
      </c>
      <c r="P746" s="12" t="inlineStr"/>
      <c r="Q746" s="12" t="inlineStr"/>
      <c r="R746" s="12" t="inlineStr"/>
      <c r="S746" s="12" t="inlineStr"/>
      <c r="T746" s="12" t="inlineStr"/>
      <c r="U746" s="12" t="inlineStr"/>
      <c r="V746" s="12" t="inlineStr">
        <is>
          <t>WBS Code = 1.3.2</t>
        </is>
      </c>
      <c r="W746" s="12" t="inlineStr"/>
    </row>
    <row r="747" ht="49" customHeight="1">
      <c r="A747" s="12" t="inlineStr">
        <is>
          <t>1.3.2</t>
        </is>
      </c>
      <c r="B747" s="12" t="inlineStr">
        <is>
          <t>Systems - Signalling &amp; Train Control</t>
        </is>
      </c>
      <c r="C747" s="12" t="inlineStr">
        <is>
          <t>Contractor Programme</t>
        </is>
      </c>
      <c r="D747" s="12" t="inlineStr">
        <is>
          <t>SCH-03-108</t>
        </is>
      </c>
      <c r="E747" s="12" t="inlineStr">
        <is>
          <t>West wayside: control-centre integration - field start</t>
        </is>
      </c>
      <c r="F747" s="12" t="inlineStr">
        <is>
          <t>ONE_TO_ONE</t>
        </is>
      </c>
      <c r="G747" s="12" t="inlineStr">
        <is>
          <t>APPROVED</t>
        </is>
      </c>
      <c r="H747" s="12" t="inlineStr">
        <is>
          <t>New</t>
        </is>
      </c>
      <c r="I747" s="12" t="inlineStr">
        <is>
          <t>Source assignment -- not individually reviewed</t>
        </is>
      </c>
      <c r="J747" s="12" t="inlineStr"/>
      <c r="K747" s="12" t="inlineStr">
        <is>
          <t>Source assignment</t>
        </is>
      </c>
      <c r="L747" s="12" t="inlineStr"/>
      <c r="M747" s="12" t="inlineStr">
        <is>
          <t>Initial</t>
        </is>
      </c>
      <c r="N747" s="12" t="inlineStr">
        <is>
          <t>Rev 0</t>
        </is>
      </c>
      <c r="O747" s="12" t="inlineStr">
        <is>
          <t>R468-v1</t>
        </is>
      </c>
      <c r="P747" s="12" t="inlineStr"/>
      <c r="Q747" s="12" t="inlineStr"/>
      <c r="R747" s="12" t="inlineStr"/>
      <c r="S747" s="12" t="inlineStr"/>
      <c r="T747" s="12" t="inlineStr"/>
      <c r="U747" s="12" t="inlineStr"/>
      <c r="V747" s="12" t="inlineStr">
        <is>
          <t>WBS Code = 1.3.2</t>
        </is>
      </c>
      <c r="W747" s="12" t="inlineStr"/>
    </row>
    <row r="748" ht="49" customHeight="1">
      <c r="A748" s="12" t="inlineStr">
        <is>
          <t>1.3.2</t>
        </is>
      </c>
      <c r="B748" s="12" t="inlineStr">
        <is>
          <t>Systems - Signalling &amp; Train Control</t>
        </is>
      </c>
      <c r="C748" s="12" t="inlineStr">
        <is>
          <t>Contractor Programme</t>
        </is>
      </c>
      <c r="D748" s="12" t="inlineStr">
        <is>
          <t>SCH-03-111</t>
        </is>
      </c>
      <c r="E748" s="12" t="inlineStr">
        <is>
          <t>Harbour Station: traction-power feeder pull - turnover</t>
        </is>
      </c>
      <c r="F748" s="12" t="inlineStr">
        <is>
          <t>ONE_TO_ONE</t>
        </is>
      </c>
      <c r="G748" s="12" t="inlineStr">
        <is>
          <t>APPROVED</t>
        </is>
      </c>
      <c r="H748" s="12" t="inlineStr">
        <is>
          <t>New</t>
        </is>
      </c>
      <c r="I748" s="12" t="inlineStr">
        <is>
          <t>Source assignment -- not individually reviewed</t>
        </is>
      </c>
      <c r="J748" s="12" t="inlineStr"/>
      <c r="K748" s="12" t="inlineStr">
        <is>
          <t>Source assignment</t>
        </is>
      </c>
      <c r="L748" s="12" t="inlineStr"/>
      <c r="M748" s="12" t="inlineStr">
        <is>
          <t>Initial</t>
        </is>
      </c>
      <c r="N748" s="12" t="inlineStr">
        <is>
          <t>Rev 0</t>
        </is>
      </c>
      <c r="O748" s="12" t="inlineStr">
        <is>
          <t>R471-v1</t>
        </is>
      </c>
      <c r="P748" s="12" t="inlineStr"/>
      <c r="Q748" s="12" t="inlineStr"/>
      <c r="R748" s="12" t="inlineStr"/>
      <c r="S748" s="12" t="inlineStr"/>
      <c r="T748" s="12" t="inlineStr"/>
      <c r="U748" s="12" t="inlineStr"/>
      <c r="V748" s="12" t="inlineStr">
        <is>
          <t>WBS Code = 1.3.2</t>
        </is>
      </c>
      <c r="W748" s="12" t="inlineStr"/>
    </row>
    <row r="749" ht="49" customHeight="1">
      <c r="A749" s="12" t="inlineStr">
        <is>
          <t>1.3.2</t>
        </is>
      </c>
      <c r="B749" s="12" t="inlineStr">
        <is>
          <t>Systems - Signalling &amp; Train Control</t>
        </is>
      </c>
      <c r="C749" s="12" t="inlineStr">
        <is>
          <t>Contractor Programme</t>
        </is>
      </c>
      <c r="D749" s="12" t="inlineStr">
        <is>
          <t>SCH-03-114</t>
        </is>
      </c>
      <c r="E749" s="12" t="inlineStr">
        <is>
          <t>East substation: signal equipment installation - installation</t>
        </is>
      </c>
      <c r="F749" s="12" t="inlineStr">
        <is>
          <t>ONE_TO_ONE</t>
        </is>
      </c>
      <c r="G749" s="12" t="inlineStr">
        <is>
          <t>APPROVED</t>
        </is>
      </c>
      <c r="H749" s="12" t="inlineStr">
        <is>
          <t>New</t>
        </is>
      </c>
      <c r="I749" s="12" t="inlineStr">
        <is>
          <t>Source assignment -- not individually reviewed</t>
        </is>
      </c>
      <c r="J749" s="12" t="inlineStr"/>
      <c r="K749" s="12" t="inlineStr">
        <is>
          <t>Source assignment</t>
        </is>
      </c>
      <c r="L749" s="12" t="inlineStr"/>
      <c r="M749" s="12" t="inlineStr">
        <is>
          <t>Initial</t>
        </is>
      </c>
      <c r="N749" s="12" t="inlineStr">
        <is>
          <t>Rev 0</t>
        </is>
      </c>
      <c r="O749" s="12" t="inlineStr">
        <is>
          <t>R474-v1</t>
        </is>
      </c>
      <c r="P749" s="12" t="inlineStr"/>
      <c r="Q749" s="12" t="inlineStr"/>
      <c r="R749" s="12" t="inlineStr"/>
      <c r="S749" s="12" t="inlineStr"/>
      <c r="T749" s="12" t="inlineStr"/>
      <c r="U749" s="12" t="inlineStr"/>
      <c r="V749" s="12" t="inlineStr">
        <is>
          <t>WBS Code = 1.3.2</t>
        </is>
      </c>
      <c r="W749" s="12" t="inlineStr"/>
    </row>
    <row r="750" ht="49" customHeight="1">
      <c r="A750" s="12" t="inlineStr">
        <is>
          <t>1.3.2</t>
        </is>
      </c>
      <c r="B750" s="12" t="inlineStr">
        <is>
          <t>Systems - Signalling &amp; Train Control</t>
        </is>
      </c>
      <c r="C750" s="12" t="inlineStr">
        <is>
          <t>Contractor Programme</t>
        </is>
      </c>
      <c r="D750" s="12" t="inlineStr">
        <is>
          <t>SCH-03-117</t>
        </is>
      </c>
      <c r="E750" s="12" t="inlineStr">
        <is>
          <t>Control Centre: fibre backbone termination - release</t>
        </is>
      </c>
      <c r="F750" s="12" t="inlineStr">
        <is>
          <t>ONE_TO_ONE</t>
        </is>
      </c>
      <c r="G750" s="12" t="inlineStr">
        <is>
          <t>APPROVED</t>
        </is>
      </c>
      <c r="H750" s="12" t="inlineStr">
        <is>
          <t>New</t>
        </is>
      </c>
      <c r="I750" s="12" t="inlineStr">
        <is>
          <t>Source assignment -- not individually reviewed</t>
        </is>
      </c>
      <c r="J750" s="12" t="inlineStr"/>
      <c r="K750" s="12" t="inlineStr">
        <is>
          <t>Source assignment</t>
        </is>
      </c>
      <c r="L750" s="12" t="inlineStr"/>
      <c r="M750" s="12" t="inlineStr">
        <is>
          <t>Initial</t>
        </is>
      </c>
      <c r="N750" s="12" t="inlineStr">
        <is>
          <t>Rev 0</t>
        </is>
      </c>
      <c r="O750" s="12" t="inlineStr">
        <is>
          <t>R477-v1</t>
        </is>
      </c>
      <c r="P750" s="12" t="inlineStr"/>
      <c r="Q750" s="12" t="inlineStr"/>
      <c r="R750" s="12" t="inlineStr"/>
      <c r="S750" s="12" t="inlineStr"/>
      <c r="T750" s="12" t="inlineStr"/>
      <c r="U750" s="12" t="inlineStr"/>
      <c r="V750" s="12" t="inlineStr">
        <is>
          <t>WBS Code = 1.3.2</t>
        </is>
      </c>
      <c r="W750" s="12" t="inlineStr"/>
    </row>
    <row r="751" ht="49" customHeight="1">
      <c r="A751" s="12" t="inlineStr">
        <is>
          <t>1.3.2</t>
        </is>
      </c>
      <c r="B751" s="12" t="inlineStr">
        <is>
          <t>Systems - Signalling &amp; Train Control</t>
        </is>
      </c>
      <c r="C751" s="12" t="inlineStr">
        <is>
          <t>Contractor Programme</t>
        </is>
      </c>
      <c r="D751" s="12" t="inlineStr">
        <is>
          <t>SCH-03-120</t>
        </is>
      </c>
      <c r="E751" s="12" t="inlineStr">
        <is>
          <t>Central interlocking: train-control cabinet fit-out - inspection</t>
        </is>
      </c>
      <c r="F751" s="12" t="inlineStr">
        <is>
          <t>ONE_TO_ONE</t>
        </is>
      </c>
      <c r="G751" s="12" t="inlineStr">
        <is>
          <t>APPROVED</t>
        </is>
      </c>
      <c r="H751" s="12" t="inlineStr">
        <is>
          <t>New</t>
        </is>
      </c>
      <c r="I751" s="12" t="inlineStr">
        <is>
          <t>Source assignment -- not individually reviewed</t>
        </is>
      </c>
      <c r="J751" s="12" t="inlineStr"/>
      <c r="K751" s="12" t="inlineStr">
        <is>
          <t>Source assignment</t>
        </is>
      </c>
      <c r="L751" s="12" t="inlineStr"/>
      <c r="M751" s="12" t="inlineStr">
        <is>
          <t>Initial</t>
        </is>
      </c>
      <c r="N751" s="12" t="inlineStr">
        <is>
          <t>Rev 0</t>
        </is>
      </c>
      <c r="O751" s="12" t="inlineStr">
        <is>
          <t>R480-v1</t>
        </is>
      </c>
      <c r="P751" s="12" t="inlineStr"/>
      <c r="Q751" s="12" t="inlineStr"/>
      <c r="R751" s="12" t="inlineStr"/>
      <c r="S751" s="12" t="inlineStr"/>
      <c r="T751" s="12" t="inlineStr"/>
      <c r="U751" s="12" t="inlineStr"/>
      <c r="V751" s="12" t="inlineStr">
        <is>
          <t>WBS Code = 1.3.2</t>
        </is>
      </c>
      <c r="W751" s="12" t="inlineStr"/>
    </row>
    <row r="752" ht="49" customHeight="1">
      <c r="A752" s="12" t="inlineStr">
        <is>
          <t>1.3.2</t>
        </is>
      </c>
      <c r="B752" s="12" t="inlineStr">
        <is>
          <t>Systems - Signalling &amp; Train Control</t>
        </is>
      </c>
      <c r="C752" s="12" t="inlineStr">
        <is>
          <t>Contractor Programme</t>
        </is>
      </c>
      <c r="D752" s="12" t="inlineStr">
        <is>
          <t>SCH-03-123</t>
        </is>
      </c>
      <c r="E752" s="12" t="inlineStr">
        <is>
          <t>West wayside: radio equipment installation - field start</t>
        </is>
      </c>
      <c r="F752" s="12" t="inlineStr">
        <is>
          <t>ONE_TO_ONE</t>
        </is>
      </c>
      <c r="G752" s="12" t="inlineStr">
        <is>
          <t>APPROVED</t>
        </is>
      </c>
      <c r="H752" s="12" t="inlineStr">
        <is>
          <t>New</t>
        </is>
      </c>
      <c r="I752" s="12" t="inlineStr">
        <is>
          <t>Source assignment -- not individually reviewed</t>
        </is>
      </c>
      <c r="J752" s="12" t="inlineStr"/>
      <c r="K752" s="12" t="inlineStr">
        <is>
          <t>Source assignment</t>
        </is>
      </c>
      <c r="L752" s="12" t="inlineStr"/>
      <c r="M752" s="12" t="inlineStr">
        <is>
          <t>Initial</t>
        </is>
      </c>
      <c r="N752" s="12" t="inlineStr">
        <is>
          <t>Rev 0</t>
        </is>
      </c>
      <c r="O752" s="12" t="inlineStr">
        <is>
          <t>R483-v1</t>
        </is>
      </c>
      <c r="P752" s="12" t="inlineStr"/>
      <c r="Q752" s="12" t="inlineStr"/>
      <c r="R752" s="12" t="inlineStr"/>
      <c r="S752" s="12" t="inlineStr"/>
      <c r="T752" s="12" t="inlineStr"/>
      <c r="U752" s="12" t="inlineStr"/>
      <c r="V752" s="12" t="inlineStr">
        <is>
          <t>WBS Code = 1.3.2</t>
        </is>
      </c>
      <c r="W752" s="12" t="inlineStr"/>
    </row>
    <row r="753" ht="49" customHeight="1">
      <c r="A753" s="12" t="inlineStr">
        <is>
          <t>1.3.2</t>
        </is>
      </c>
      <c r="B753" s="12" t="inlineStr">
        <is>
          <t>Systems - Signalling &amp; Train Control</t>
        </is>
      </c>
      <c r="C753" s="12" t="inlineStr">
        <is>
          <t>Contractor Programme</t>
        </is>
      </c>
      <c r="D753" s="12" t="inlineStr">
        <is>
          <t>SCH-03-126</t>
        </is>
      </c>
      <c r="E753" s="12" t="inlineStr">
        <is>
          <t>Harbour Station: SCADA point-to-point check - turnover</t>
        </is>
      </c>
      <c r="F753" s="12" t="inlineStr">
        <is>
          <t>ONE_TO_ONE</t>
        </is>
      </c>
      <c r="G753" s="12" t="inlineStr">
        <is>
          <t>APPROVED</t>
        </is>
      </c>
      <c r="H753" s="12" t="inlineStr">
        <is>
          <t>New</t>
        </is>
      </c>
      <c r="I753" s="12" t="inlineStr">
        <is>
          <t>Source assignment -- not individually reviewed</t>
        </is>
      </c>
      <c r="J753" s="12" t="inlineStr"/>
      <c r="K753" s="12" t="inlineStr">
        <is>
          <t>Source assignment</t>
        </is>
      </c>
      <c r="L753" s="12" t="inlineStr"/>
      <c r="M753" s="12" t="inlineStr">
        <is>
          <t>Initial</t>
        </is>
      </c>
      <c r="N753" s="12" t="inlineStr">
        <is>
          <t>Rev 0</t>
        </is>
      </c>
      <c r="O753" s="12" t="inlineStr">
        <is>
          <t>R486-v1</t>
        </is>
      </c>
      <c r="P753" s="12" t="inlineStr"/>
      <c r="Q753" s="12" t="inlineStr"/>
      <c r="R753" s="12" t="inlineStr"/>
      <c r="S753" s="12" t="inlineStr"/>
      <c r="T753" s="12" t="inlineStr"/>
      <c r="U753" s="12" t="inlineStr"/>
      <c r="V753" s="12" t="inlineStr">
        <is>
          <t>WBS Code = 1.3.2</t>
        </is>
      </c>
      <c r="W753" s="12" t="inlineStr"/>
    </row>
    <row r="754" ht="49" customHeight="1">
      <c r="A754" s="12" t="inlineStr">
        <is>
          <t>1.3.2</t>
        </is>
      </c>
      <c r="B754" s="12" t="inlineStr">
        <is>
          <t>Systems - Signalling &amp; Train Control</t>
        </is>
      </c>
      <c r="C754" s="12" t="inlineStr">
        <is>
          <t>Contractor Programme</t>
        </is>
      </c>
      <c r="D754" s="12" t="inlineStr">
        <is>
          <t>SCH-03-129</t>
        </is>
      </c>
      <c r="E754" s="12" t="inlineStr">
        <is>
          <t>East substation: wayside interface test - installation</t>
        </is>
      </c>
      <c r="F754" s="12" t="inlineStr">
        <is>
          <t>ONE_TO_ONE</t>
        </is>
      </c>
      <c r="G754" s="12" t="inlineStr">
        <is>
          <t>APPROVED</t>
        </is>
      </c>
      <c r="H754" s="12" t="inlineStr">
        <is>
          <t>New</t>
        </is>
      </c>
      <c r="I754" s="12" t="inlineStr">
        <is>
          <t>Source assignment -- not individually reviewed</t>
        </is>
      </c>
      <c r="J754" s="12" t="inlineStr"/>
      <c r="K754" s="12" t="inlineStr">
        <is>
          <t>Source assignment</t>
        </is>
      </c>
      <c r="L754" s="12" t="inlineStr"/>
      <c r="M754" s="12" t="inlineStr">
        <is>
          <t>Initial</t>
        </is>
      </c>
      <c r="N754" s="12" t="inlineStr">
        <is>
          <t>Rev 0</t>
        </is>
      </c>
      <c r="O754" s="12" t="inlineStr">
        <is>
          <t>R489-v1</t>
        </is>
      </c>
      <c r="P754" s="12" t="inlineStr"/>
      <c r="Q754" s="12" t="inlineStr"/>
      <c r="R754" s="12" t="inlineStr"/>
      <c r="S754" s="12" t="inlineStr"/>
      <c r="T754" s="12" t="inlineStr"/>
      <c r="U754" s="12" t="inlineStr"/>
      <c r="V754" s="12" t="inlineStr">
        <is>
          <t>WBS Code = 1.3.2</t>
        </is>
      </c>
      <c r="W754" s="12" t="inlineStr"/>
    </row>
    <row r="755" ht="49" customHeight="1">
      <c r="A755" s="12" t="inlineStr">
        <is>
          <t>1.3.2</t>
        </is>
      </c>
      <c r="B755" s="12" t="inlineStr">
        <is>
          <t>Systems - Signalling &amp; Train Control</t>
        </is>
      </c>
      <c r="C755" s="12" t="inlineStr">
        <is>
          <t>Contractor Programme</t>
        </is>
      </c>
      <c r="D755" s="12" t="inlineStr">
        <is>
          <t>SCH-03-132</t>
        </is>
      </c>
      <c r="E755" s="12" t="inlineStr">
        <is>
          <t>Control Centre: control-centre integration - release</t>
        </is>
      </c>
      <c r="F755" s="12" t="inlineStr">
        <is>
          <t>ONE_TO_ONE</t>
        </is>
      </c>
      <c r="G755" s="12" t="inlineStr">
        <is>
          <t>APPROVED</t>
        </is>
      </c>
      <c r="H755" s="12" t="inlineStr">
        <is>
          <t>New</t>
        </is>
      </c>
      <c r="I755" s="12" t="inlineStr">
        <is>
          <t>Source assignment -- not individually reviewed</t>
        </is>
      </c>
      <c r="J755" s="12" t="inlineStr"/>
      <c r="K755" s="12" t="inlineStr">
        <is>
          <t>Source assignment</t>
        </is>
      </c>
      <c r="L755" s="12" t="inlineStr"/>
      <c r="M755" s="12" t="inlineStr">
        <is>
          <t>Initial</t>
        </is>
      </c>
      <c r="N755" s="12" t="inlineStr">
        <is>
          <t>Rev 0</t>
        </is>
      </c>
      <c r="O755" s="12" t="inlineStr">
        <is>
          <t>R492-v1</t>
        </is>
      </c>
      <c r="P755" s="12" t="inlineStr"/>
      <c r="Q755" s="12" t="inlineStr"/>
      <c r="R755" s="12" t="inlineStr"/>
      <c r="S755" s="12" t="inlineStr"/>
      <c r="T755" s="12" t="inlineStr"/>
      <c r="U755" s="12" t="inlineStr"/>
      <c r="V755" s="12" t="inlineStr">
        <is>
          <t>WBS Code = 1.3.2</t>
        </is>
      </c>
      <c r="W755" s="12" t="inlineStr"/>
    </row>
    <row r="756" ht="49" customHeight="1">
      <c r="A756" s="12" t="inlineStr">
        <is>
          <t>1.3.2</t>
        </is>
      </c>
      <c r="B756" s="12" t="inlineStr">
        <is>
          <t>Systems - Signalling &amp; Train Control</t>
        </is>
      </c>
      <c r="C756" s="12" t="inlineStr">
        <is>
          <t>Contractor Programme</t>
        </is>
      </c>
      <c r="D756" s="12" t="inlineStr">
        <is>
          <t>SCH-03-135</t>
        </is>
      </c>
      <c r="E756" s="12" t="inlineStr">
        <is>
          <t>Central interlocking: traction-power feeder pull - inspection</t>
        </is>
      </c>
      <c r="F756" s="12" t="inlineStr">
        <is>
          <t>ONE_TO_ONE</t>
        </is>
      </c>
      <c r="G756" s="12" t="inlineStr">
        <is>
          <t>APPROVED</t>
        </is>
      </c>
      <c r="H756" s="12" t="inlineStr">
        <is>
          <t>New</t>
        </is>
      </c>
      <c r="I756" s="12" t="inlineStr">
        <is>
          <t>Source assignment -- not individually reviewed</t>
        </is>
      </c>
      <c r="J756" s="12" t="inlineStr"/>
      <c r="K756" s="12" t="inlineStr">
        <is>
          <t>Source assignment</t>
        </is>
      </c>
      <c r="L756" s="12" t="inlineStr"/>
      <c r="M756" s="12" t="inlineStr">
        <is>
          <t>Initial</t>
        </is>
      </c>
      <c r="N756" s="12" t="inlineStr">
        <is>
          <t>Rev 0</t>
        </is>
      </c>
      <c r="O756" s="12" t="inlineStr">
        <is>
          <t>R495-v1</t>
        </is>
      </c>
      <c r="P756" s="12" t="inlineStr"/>
      <c r="Q756" s="12" t="inlineStr"/>
      <c r="R756" s="12" t="inlineStr"/>
      <c r="S756" s="12" t="inlineStr"/>
      <c r="T756" s="12" t="inlineStr"/>
      <c r="U756" s="12" t="inlineStr"/>
      <c r="V756" s="12" t="inlineStr">
        <is>
          <t>WBS Code = 1.3.2</t>
        </is>
      </c>
      <c r="W756" s="12" t="inlineStr"/>
    </row>
    <row r="757" ht="49" customHeight="1">
      <c r="A757" s="12" t="inlineStr">
        <is>
          <t>1.3.2</t>
        </is>
      </c>
      <c r="B757" s="12" t="inlineStr">
        <is>
          <t>Systems - Signalling &amp; Train Control</t>
        </is>
      </c>
      <c r="C757" s="12" t="inlineStr">
        <is>
          <t>Contractor Programme</t>
        </is>
      </c>
      <c r="D757" s="12" t="inlineStr">
        <is>
          <t>SCH-03-138</t>
        </is>
      </c>
      <c r="E757" s="12" t="inlineStr">
        <is>
          <t>West wayside: signal equipment installation - field start</t>
        </is>
      </c>
      <c r="F757" s="12" t="inlineStr">
        <is>
          <t>ONE_TO_ONE</t>
        </is>
      </c>
      <c r="G757" s="12" t="inlineStr">
        <is>
          <t>APPROVED</t>
        </is>
      </c>
      <c r="H757" s="12" t="inlineStr">
        <is>
          <t>New</t>
        </is>
      </c>
      <c r="I757" s="12" t="inlineStr">
        <is>
          <t>Source assignment -- not individually reviewed</t>
        </is>
      </c>
      <c r="J757" s="12" t="inlineStr"/>
      <c r="K757" s="12" t="inlineStr">
        <is>
          <t>Source assignment</t>
        </is>
      </c>
      <c r="L757" s="12" t="inlineStr"/>
      <c r="M757" s="12" t="inlineStr">
        <is>
          <t>Initial</t>
        </is>
      </c>
      <c r="N757" s="12" t="inlineStr">
        <is>
          <t>Rev 0</t>
        </is>
      </c>
      <c r="O757" s="12" t="inlineStr">
        <is>
          <t>R498-v1</t>
        </is>
      </c>
      <c r="P757" s="12" t="inlineStr"/>
      <c r="Q757" s="12" t="inlineStr"/>
      <c r="R757" s="12" t="inlineStr"/>
      <c r="S757" s="12" t="inlineStr"/>
      <c r="T757" s="12" t="inlineStr"/>
      <c r="U757" s="12" t="inlineStr"/>
      <c r="V757" s="12" t="inlineStr">
        <is>
          <t>WBS Code = 1.3.2</t>
        </is>
      </c>
      <c r="W757" s="12" t="inlineStr"/>
    </row>
    <row r="758" ht="49" customHeight="1">
      <c r="A758" s="12" t="inlineStr">
        <is>
          <t>1.3.2</t>
        </is>
      </c>
      <c r="B758" s="12" t="inlineStr">
        <is>
          <t>Systems - Signalling &amp; Train Control</t>
        </is>
      </c>
      <c r="C758" s="12" t="inlineStr">
        <is>
          <t>Contractor Programme</t>
        </is>
      </c>
      <c r="D758" s="12" t="inlineStr">
        <is>
          <t>SCH-03-141</t>
        </is>
      </c>
      <c r="E758" s="12" t="inlineStr">
        <is>
          <t>Harbour Station: fibre backbone termination - turnover</t>
        </is>
      </c>
      <c r="F758" s="12" t="inlineStr">
        <is>
          <t>ONE_TO_ONE</t>
        </is>
      </c>
      <c r="G758" s="12" t="inlineStr">
        <is>
          <t>APPROVED</t>
        </is>
      </c>
      <c r="H758" s="12" t="inlineStr">
        <is>
          <t>New</t>
        </is>
      </c>
      <c r="I758" s="12" t="inlineStr">
        <is>
          <t>Source assignment -- not individually reviewed</t>
        </is>
      </c>
      <c r="J758" s="12" t="inlineStr"/>
      <c r="K758" s="12" t="inlineStr">
        <is>
          <t>Source assignment</t>
        </is>
      </c>
      <c r="L758" s="12" t="inlineStr"/>
      <c r="M758" s="12" t="inlineStr">
        <is>
          <t>Initial</t>
        </is>
      </c>
      <c r="N758" s="12" t="inlineStr">
        <is>
          <t>Rev 0</t>
        </is>
      </c>
      <c r="O758" s="12" t="inlineStr">
        <is>
          <t>R501-v1</t>
        </is>
      </c>
      <c r="P758" s="12" t="inlineStr"/>
      <c r="Q758" s="12" t="inlineStr"/>
      <c r="R758" s="12" t="inlineStr"/>
      <c r="S758" s="12" t="inlineStr"/>
      <c r="T758" s="12" t="inlineStr"/>
      <c r="U758" s="12" t="inlineStr"/>
      <c r="V758" s="12" t="inlineStr">
        <is>
          <t>WBS Code = 1.3.2</t>
        </is>
      </c>
      <c r="W758" s="12" t="inlineStr"/>
    </row>
    <row r="759" ht="49" customHeight="1">
      <c r="A759" s="12" t="inlineStr">
        <is>
          <t>1.3.2</t>
        </is>
      </c>
      <c r="B759" s="12" t="inlineStr">
        <is>
          <t>Systems - Signalling &amp; Train Control</t>
        </is>
      </c>
      <c r="C759" s="12" t="inlineStr">
        <is>
          <t>Contractor Programme</t>
        </is>
      </c>
      <c r="D759" s="12" t="inlineStr">
        <is>
          <t>SCH-03-144</t>
        </is>
      </c>
      <c r="E759" s="12" t="inlineStr">
        <is>
          <t>East substation: train-control cabinet fit-out - installation</t>
        </is>
      </c>
      <c r="F759" s="12" t="inlineStr">
        <is>
          <t>ONE_TO_ONE</t>
        </is>
      </c>
      <c r="G759" s="12" t="inlineStr">
        <is>
          <t>APPROVED</t>
        </is>
      </c>
      <c r="H759" s="12" t="inlineStr">
        <is>
          <t>New</t>
        </is>
      </c>
      <c r="I759" s="12" t="inlineStr">
        <is>
          <t>Source assignment -- not individually reviewed</t>
        </is>
      </c>
      <c r="J759" s="12" t="inlineStr"/>
      <c r="K759" s="12" t="inlineStr">
        <is>
          <t>Source assignment</t>
        </is>
      </c>
      <c r="L759" s="12" t="inlineStr"/>
      <c r="M759" s="12" t="inlineStr">
        <is>
          <t>Initial</t>
        </is>
      </c>
      <c r="N759" s="12" t="inlineStr">
        <is>
          <t>Rev 0</t>
        </is>
      </c>
      <c r="O759" s="12" t="inlineStr">
        <is>
          <t>R504-v1</t>
        </is>
      </c>
      <c r="P759" s="12" t="inlineStr"/>
      <c r="Q759" s="12" t="inlineStr"/>
      <c r="R759" s="12" t="inlineStr"/>
      <c r="S759" s="12" t="inlineStr"/>
      <c r="T759" s="12" t="inlineStr"/>
      <c r="U759" s="12" t="inlineStr"/>
      <c r="V759" s="12" t="inlineStr">
        <is>
          <t>WBS Code = 1.3.2</t>
        </is>
      </c>
      <c r="W759" s="12" t="inlineStr"/>
    </row>
    <row r="760" ht="49" customHeight="1">
      <c r="A760" s="12" t="inlineStr">
        <is>
          <t>1.3.2</t>
        </is>
      </c>
      <c r="B760" s="12" t="inlineStr">
        <is>
          <t>Systems - Signalling &amp; Train Control</t>
        </is>
      </c>
      <c r="C760" s="12" t="inlineStr">
        <is>
          <t>Contractor Programme</t>
        </is>
      </c>
      <c r="D760" s="12" t="inlineStr">
        <is>
          <t>SCH-03-147</t>
        </is>
      </c>
      <c r="E760" s="12" t="inlineStr">
        <is>
          <t>Control Centre: radio equipment installation - release</t>
        </is>
      </c>
      <c r="F760" s="12" t="inlineStr">
        <is>
          <t>ONE_TO_ONE</t>
        </is>
      </c>
      <c r="G760" s="12" t="inlineStr">
        <is>
          <t>APPROVED</t>
        </is>
      </c>
      <c r="H760" s="12" t="inlineStr">
        <is>
          <t>New</t>
        </is>
      </c>
      <c r="I760" s="12" t="inlineStr">
        <is>
          <t>Source assignment -- not individually reviewed</t>
        </is>
      </c>
      <c r="J760" s="12" t="inlineStr"/>
      <c r="K760" s="12" t="inlineStr">
        <is>
          <t>Source assignment</t>
        </is>
      </c>
      <c r="L760" s="12" t="inlineStr"/>
      <c r="M760" s="12" t="inlineStr">
        <is>
          <t>Initial</t>
        </is>
      </c>
      <c r="N760" s="12" t="inlineStr">
        <is>
          <t>Rev 0</t>
        </is>
      </c>
      <c r="O760" s="12" t="inlineStr">
        <is>
          <t>R507-v1</t>
        </is>
      </c>
      <c r="P760" s="12" t="inlineStr"/>
      <c r="Q760" s="12" t="inlineStr"/>
      <c r="R760" s="12" t="inlineStr"/>
      <c r="S760" s="12" t="inlineStr"/>
      <c r="T760" s="12" t="inlineStr"/>
      <c r="U760" s="12" t="inlineStr"/>
      <c r="V760" s="12" t="inlineStr">
        <is>
          <t>WBS Code = 1.3.2</t>
        </is>
      </c>
      <c r="W760" s="12" t="inlineStr"/>
    </row>
    <row r="761" ht="49" customHeight="1">
      <c r="A761" s="12" t="inlineStr">
        <is>
          <t>1.3.2</t>
        </is>
      </c>
      <c r="B761" s="12" t="inlineStr">
        <is>
          <t>Systems - Signalling &amp; Train Control</t>
        </is>
      </c>
      <c r="C761" s="12" t="inlineStr">
        <is>
          <t>Contractor Programme</t>
        </is>
      </c>
      <c r="D761" s="12" t="inlineStr">
        <is>
          <t>SCH-03-150</t>
        </is>
      </c>
      <c r="E761" s="12" t="inlineStr">
        <is>
          <t>Central interlocking: SCADA point-to-point check - inspection</t>
        </is>
      </c>
      <c r="F761" s="12" t="inlineStr">
        <is>
          <t>ONE_TO_ONE</t>
        </is>
      </c>
      <c r="G761" s="12" t="inlineStr">
        <is>
          <t>APPROVED</t>
        </is>
      </c>
      <c r="H761" s="12" t="inlineStr">
        <is>
          <t>New</t>
        </is>
      </c>
      <c r="I761" s="12" t="inlineStr">
        <is>
          <t>Source assignment -- not individually reviewed</t>
        </is>
      </c>
      <c r="J761" s="12" t="inlineStr"/>
      <c r="K761" s="12" t="inlineStr">
        <is>
          <t>Source assignment</t>
        </is>
      </c>
      <c r="L761" s="12" t="inlineStr"/>
      <c r="M761" s="12" t="inlineStr">
        <is>
          <t>Initial</t>
        </is>
      </c>
      <c r="N761" s="12" t="inlineStr">
        <is>
          <t>Rev 0</t>
        </is>
      </c>
      <c r="O761" s="12" t="inlineStr">
        <is>
          <t>R510-v1</t>
        </is>
      </c>
      <c r="P761" s="12" t="inlineStr"/>
      <c r="Q761" s="12" t="inlineStr"/>
      <c r="R761" s="12" t="inlineStr"/>
      <c r="S761" s="12" t="inlineStr"/>
      <c r="T761" s="12" t="inlineStr"/>
      <c r="U761" s="12" t="inlineStr"/>
      <c r="V761" s="12" t="inlineStr">
        <is>
          <t>WBS Code = 1.3.2</t>
        </is>
      </c>
      <c r="W761" s="12" t="inlineStr"/>
    </row>
    <row r="762" ht="49" customHeight="1">
      <c r="A762" s="12" t="inlineStr">
        <is>
          <t>1.3.2</t>
        </is>
      </c>
      <c r="B762" s="12" t="inlineStr">
        <is>
          <t>Systems - Signalling &amp; Train Control</t>
        </is>
      </c>
      <c r="C762" s="12" t="inlineStr">
        <is>
          <t>Contractor Programme</t>
        </is>
      </c>
      <c r="D762" s="12" t="inlineStr">
        <is>
          <t>SCH-03-153</t>
        </is>
      </c>
      <c r="E762" s="12" t="inlineStr">
        <is>
          <t>West wayside: wayside interface test - field start</t>
        </is>
      </c>
      <c r="F762" s="12" t="inlineStr">
        <is>
          <t>ONE_TO_ONE</t>
        </is>
      </c>
      <c r="G762" s="12" t="inlineStr">
        <is>
          <t>APPROVED</t>
        </is>
      </c>
      <c r="H762" s="12" t="inlineStr">
        <is>
          <t>New</t>
        </is>
      </c>
      <c r="I762" s="12" t="inlineStr">
        <is>
          <t>Source assignment -- not individually reviewed</t>
        </is>
      </c>
      <c r="J762" s="12" t="inlineStr"/>
      <c r="K762" s="12" t="inlineStr">
        <is>
          <t>Source assignment</t>
        </is>
      </c>
      <c r="L762" s="12" t="inlineStr"/>
      <c r="M762" s="12" t="inlineStr">
        <is>
          <t>Initial</t>
        </is>
      </c>
      <c r="N762" s="12" t="inlineStr">
        <is>
          <t>Rev 0</t>
        </is>
      </c>
      <c r="O762" s="12" t="inlineStr">
        <is>
          <t>R513-v1</t>
        </is>
      </c>
      <c r="P762" s="12" t="inlineStr"/>
      <c r="Q762" s="12" t="inlineStr"/>
      <c r="R762" s="12" t="inlineStr"/>
      <c r="S762" s="12" t="inlineStr"/>
      <c r="T762" s="12" t="inlineStr"/>
      <c r="U762" s="12" t="inlineStr"/>
      <c r="V762" s="12" t="inlineStr">
        <is>
          <t>WBS Code = 1.3.2</t>
        </is>
      </c>
      <c r="W762" s="12" t="inlineStr"/>
    </row>
    <row r="763" ht="49" customHeight="1">
      <c r="A763" s="12" t="inlineStr">
        <is>
          <t>1.3.2</t>
        </is>
      </c>
      <c r="B763" s="12" t="inlineStr">
        <is>
          <t>Systems - Signalling &amp; Train Control</t>
        </is>
      </c>
      <c r="C763" s="12" t="inlineStr">
        <is>
          <t>Contractor Programme</t>
        </is>
      </c>
      <c r="D763" s="12" t="inlineStr">
        <is>
          <t>SCH-03-156</t>
        </is>
      </c>
      <c r="E763" s="12" t="inlineStr">
        <is>
          <t>Harbour Station: control-centre integration - turnover</t>
        </is>
      </c>
      <c r="F763" s="12" t="inlineStr">
        <is>
          <t>ONE_TO_ONE</t>
        </is>
      </c>
      <c r="G763" s="12" t="inlineStr">
        <is>
          <t>APPROVED</t>
        </is>
      </c>
      <c r="H763" s="12" t="inlineStr">
        <is>
          <t>New</t>
        </is>
      </c>
      <c r="I763" s="12" t="inlineStr">
        <is>
          <t>Source assignment -- not individually reviewed</t>
        </is>
      </c>
      <c r="J763" s="12" t="inlineStr"/>
      <c r="K763" s="12" t="inlineStr">
        <is>
          <t>Source assignment</t>
        </is>
      </c>
      <c r="L763" s="12" t="inlineStr"/>
      <c r="M763" s="12" t="inlineStr">
        <is>
          <t>Initial</t>
        </is>
      </c>
      <c r="N763" s="12" t="inlineStr">
        <is>
          <t>Rev 0</t>
        </is>
      </c>
      <c r="O763" s="12" t="inlineStr">
        <is>
          <t>R516-v1</t>
        </is>
      </c>
      <c r="P763" s="12" t="inlineStr"/>
      <c r="Q763" s="12" t="inlineStr"/>
      <c r="R763" s="12" t="inlineStr"/>
      <c r="S763" s="12" t="inlineStr"/>
      <c r="T763" s="12" t="inlineStr"/>
      <c r="U763" s="12" t="inlineStr"/>
      <c r="V763" s="12" t="inlineStr">
        <is>
          <t>WBS Code = 1.3.2</t>
        </is>
      </c>
      <c r="W763" s="12" t="inlineStr"/>
    </row>
    <row r="764" ht="49" customHeight="1">
      <c r="A764" s="12" t="inlineStr">
        <is>
          <t>1.3.2</t>
        </is>
      </c>
      <c r="B764" s="12" t="inlineStr">
        <is>
          <t>Systems - Signalling &amp; Train Control</t>
        </is>
      </c>
      <c r="C764" s="12" t="inlineStr">
        <is>
          <t>Contractor Programme</t>
        </is>
      </c>
      <c r="D764" s="12" t="inlineStr">
        <is>
          <t>SCH-03-159</t>
        </is>
      </c>
      <c r="E764" s="12" t="inlineStr">
        <is>
          <t>East substation: traction-power feeder pull - installation</t>
        </is>
      </c>
      <c r="F764" s="12" t="inlineStr">
        <is>
          <t>ONE_TO_ONE</t>
        </is>
      </c>
      <c r="G764" s="12" t="inlineStr">
        <is>
          <t>APPROVED</t>
        </is>
      </c>
      <c r="H764" s="12" t="inlineStr">
        <is>
          <t>New</t>
        </is>
      </c>
      <c r="I764" s="12" t="inlineStr">
        <is>
          <t>Source assignment -- not individually reviewed</t>
        </is>
      </c>
      <c r="J764" s="12" t="inlineStr"/>
      <c r="K764" s="12" t="inlineStr">
        <is>
          <t>Source assignment</t>
        </is>
      </c>
      <c r="L764" s="12" t="inlineStr"/>
      <c r="M764" s="12" t="inlineStr">
        <is>
          <t>Initial</t>
        </is>
      </c>
      <c r="N764" s="12" t="inlineStr">
        <is>
          <t>Rev 0</t>
        </is>
      </c>
      <c r="O764" s="12" t="inlineStr">
        <is>
          <t>R519-v1</t>
        </is>
      </c>
      <c r="P764" s="12" t="inlineStr"/>
      <c r="Q764" s="12" t="inlineStr"/>
      <c r="R764" s="12" t="inlineStr"/>
      <c r="S764" s="12" t="inlineStr"/>
      <c r="T764" s="12" t="inlineStr"/>
      <c r="U764" s="12" t="inlineStr"/>
      <c r="V764" s="12" t="inlineStr">
        <is>
          <t>WBS Code = 1.3.2</t>
        </is>
      </c>
      <c r="W764" s="12" t="inlineStr"/>
    </row>
    <row r="765" ht="49" customHeight="1">
      <c r="A765" s="12" t="inlineStr">
        <is>
          <t>1.3.2</t>
        </is>
      </c>
      <c r="B765" s="12" t="inlineStr">
        <is>
          <t>Systems - Signalling &amp; Train Control</t>
        </is>
      </c>
      <c r="C765" s="12" t="inlineStr">
        <is>
          <t>Contractor Programme</t>
        </is>
      </c>
      <c r="D765" s="12" t="inlineStr">
        <is>
          <t>SCH-03-162</t>
        </is>
      </c>
      <c r="E765" s="12" t="inlineStr">
        <is>
          <t>Control Centre: signal equipment installation - release</t>
        </is>
      </c>
      <c r="F765" s="12" t="inlineStr">
        <is>
          <t>ONE_TO_ONE</t>
        </is>
      </c>
      <c r="G765" s="12" t="inlineStr">
        <is>
          <t>APPROVED</t>
        </is>
      </c>
      <c r="H765" s="12" t="inlineStr">
        <is>
          <t>New</t>
        </is>
      </c>
      <c r="I765" s="12" t="inlineStr">
        <is>
          <t>Source assignment -- not individually reviewed</t>
        </is>
      </c>
      <c r="J765" s="12" t="inlineStr"/>
      <c r="K765" s="12" t="inlineStr">
        <is>
          <t>Source assignment</t>
        </is>
      </c>
      <c r="L765" s="12" t="inlineStr"/>
      <c r="M765" s="12" t="inlineStr">
        <is>
          <t>Initial</t>
        </is>
      </c>
      <c r="N765" s="12" t="inlineStr">
        <is>
          <t>Rev 0</t>
        </is>
      </c>
      <c r="O765" s="12" t="inlineStr">
        <is>
          <t>R522-v1</t>
        </is>
      </c>
      <c r="P765" s="12" t="inlineStr"/>
      <c r="Q765" s="12" t="inlineStr"/>
      <c r="R765" s="12" t="inlineStr"/>
      <c r="S765" s="12" t="inlineStr"/>
      <c r="T765" s="12" t="inlineStr"/>
      <c r="U765" s="12" t="inlineStr"/>
      <c r="V765" s="12" t="inlineStr">
        <is>
          <t>WBS Code = 1.3.2</t>
        </is>
      </c>
      <c r="W765" s="12" t="inlineStr"/>
    </row>
    <row r="766" ht="49" customHeight="1">
      <c r="A766" s="12" t="inlineStr">
        <is>
          <t>1.3.2</t>
        </is>
      </c>
      <c r="B766" s="12" t="inlineStr">
        <is>
          <t>Systems - Signalling &amp; Train Control</t>
        </is>
      </c>
      <c r="C766" s="12" t="inlineStr">
        <is>
          <t>Contractor Programme</t>
        </is>
      </c>
      <c r="D766" s="12" t="inlineStr">
        <is>
          <t>SCH-03-165</t>
        </is>
      </c>
      <c r="E766" s="12" t="inlineStr">
        <is>
          <t>Central interlocking: fibre backbone termination - inspection</t>
        </is>
      </c>
      <c r="F766" s="12" t="inlineStr">
        <is>
          <t>ONE_TO_ONE</t>
        </is>
      </c>
      <c r="G766" s="12" t="inlineStr">
        <is>
          <t>APPROVED</t>
        </is>
      </c>
      <c r="H766" s="12" t="inlineStr">
        <is>
          <t>New</t>
        </is>
      </c>
      <c r="I766" s="12" t="inlineStr">
        <is>
          <t>Source assignment -- not individually reviewed</t>
        </is>
      </c>
      <c r="J766" s="12" t="inlineStr"/>
      <c r="K766" s="12" t="inlineStr">
        <is>
          <t>Source assignment</t>
        </is>
      </c>
      <c r="L766" s="12" t="inlineStr"/>
      <c r="M766" s="12" t="inlineStr">
        <is>
          <t>Initial</t>
        </is>
      </c>
      <c r="N766" s="12" t="inlineStr">
        <is>
          <t>Rev 0</t>
        </is>
      </c>
      <c r="O766" s="12" t="inlineStr">
        <is>
          <t>R525-v1</t>
        </is>
      </c>
      <c r="P766" s="12" t="inlineStr"/>
      <c r="Q766" s="12" t="inlineStr"/>
      <c r="R766" s="12" t="inlineStr"/>
      <c r="S766" s="12" t="inlineStr"/>
      <c r="T766" s="12" t="inlineStr"/>
      <c r="U766" s="12" t="inlineStr"/>
      <c r="V766" s="12" t="inlineStr">
        <is>
          <t>WBS Code = 1.3.2</t>
        </is>
      </c>
      <c r="W766" s="12" t="inlineStr"/>
    </row>
    <row r="767" ht="49" customHeight="1">
      <c r="A767" s="12" t="inlineStr">
        <is>
          <t>1.3.2</t>
        </is>
      </c>
      <c r="B767" s="12" t="inlineStr">
        <is>
          <t>Systems - Signalling &amp; Train Control</t>
        </is>
      </c>
      <c r="C767" s="12" t="inlineStr">
        <is>
          <t>Contractor Programme</t>
        </is>
      </c>
      <c r="D767" s="12" t="inlineStr">
        <is>
          <t>SCH-03-168</t>
        </is>
      </c>
      <c r="E767" s="12" t="inlineStr">
        <is>
          <t>West wayside: train-control cabinet fit-out - field start</t>
        </is>
      </c>
      <c r="F767" s="12" t="inlineStr">
        <is>
          <t>ONE_TO_ONE</t>
        </is>
      </c>
      <c r="G767" s="12" t="inlineStr">
        <is>
          <t>APPROVED</t>
        </is>
      </c>
      <c r="H767" s="12" t="inlineStr">
        <is>
          <t>New</t>
        </is>
      </c>
      <c r="I767" s="12" t="inlineStr">
        <is>
          <t>Source assignment -- not individually reviewed</t>
        </is>
      </c>
      <c r="J767" s="12" t="inlineStr"/>
      <c r="K767" s="12" t="inlineStr">
        <is>
          <t>Source assignment</t>
        </is>
      </c>
      <c r="L767" s="12" t="inlineStr"/>
      <c r="M767" s="12" t="inlineStr">
        <is>
          <t>Initial</t>
        </is>
      </c>
      <c r="N767" s="12" t="inlineStr">
        <is>
          <t>Rev 0</t>
        </is>
      </c>
      <c r="O767" s="12" t="inlineStr">
        <is>
          <t>R528-v1</t>
        </is>
      </c>
      <c r="P767" s="12" t="inlineStr"/>
      <c r="Q767" s="12" t="inlineStr"/>
      <c r="R767" s="12" t="inlineStr"/>
      <c r="S767" s="12" t="inlineStr"/>
      <c r="T767" s="12" t="inlineStr"/>
      <c r="U767" s="12" t="inlineStr"/>
      <c r="V767" s="12" t="inlineStr">
        <is>
          <t>WBS Code = 1.3.2</t>
        </is>
      </c>
      <c r="W767" s="12" t="inlineStr"/>
    </row>
    <row r="768" ht="49" customHeight="1">
      <c r="A768" s="12" t="inlineStr">
        <is>
          <t>1.3.2</t>
        </is>
      </c>
      <c r="B768" s="12" t="inlineStr">
        <is>
          <t>Systems - Signalling &amp; Train Control</t>
        </is>
      </c>
      <c r="C768" s="12" t="inlineStr">
        <is>
          <t>Contractor Programme</t>
        </is>
      </c>
      <c r="D768" s="12" t="inlineStr">
        <is>
          <t>SCH-03-171</t>
        </is>
      </c>
      <c r="E768" s="12" t="inlineStr">
        <is>
          <t>Harbour Station: radio equipment installation - turnover</t>
        </is>
      </c>
      <c r="F768" s="12" t="inlineStr">
        <is>
          <t>ONE_TO_ONE</t>
        </is>
      </c>
      <c r="G768" s="12" t="inlineStr">
        <is>
          <t>APPROVED</t>
        </is>
      </c>
      <c r="H768" s="12" t="inlineStr">
        <is>
          <t>New</t>
        </is>
      </c>
      <c r="I768" s="12" t="inlineStr">
        <is>
          <t>Source assignment -- not individually reviewed</t>
        </is>
      </c>
      <c r="J768" s="12" t="inlineStr"/>
      <c r="K768" s="12" t="inlineStr">
        <is>
          <t>Source assignment</t>
        </is>
      </c>
      <c r="L768" s="12" t="inlineStr"/>
      <c r="M768" s="12" t="inlineStr">
        <is>
          <t>Initial</t>
        </is>
      </c>
      <c r="N768" s="12" t="inlineStr">
        <is>
          <t>Rev 0</t>
        </is>
      </c>
      <c r="O768" s="12" t="inlineStr">
        <is>
          <t>R531-v1</t>
        </is>
      </c>
      <c r="P768" s="12" t="inlineStr"/>
      <c r="Q768" s="12" t="inlineStr"/>
      <c r="R768" s="12" t="inlineStr"/>
      <c r="S768" s="12" t="inlineStr"/>
      <c r="T768" s="12" t="inlineStr"/>
      <c r="U768" s="12" t="inlineStr"/>
      <c r="V768" s="12" t="inlineStr">
        <is>
          <t>WBS Code = 1.3.2</t>
        </is>
      </c>
      <c r="W768" s="12" t="inlineStr"/>
    </row>
    <row r="769" ht="49" customHeight="1">
      <c r="A769" s="12" t="inlineStr">
        <is>
          <t>1.3.2</t>
        </is>
      </c>
      <c r="B769" s="12" t="inlineStr">
        <is>
          <t>Systems - Signalling &amp; Train Control</t>
        </is>
      </c>
      <c r="C769" s="12" t="inlineStr">
        <is>
          <t>Contractor Programme</t>
        </is>
      </c>
      <c r="D769" s="12" t="inlineStr">
        <is>
          <t>SCH-03-174</t>
        </is>
      </c>
      <c r="E769" s="12" t="inlineStr">
        <is>
          <t>East substation: SCADA point-to-point check - installation</t>
        </is>
      </c>
      <c r="F769" s="12" t="inlineStr">
        <is>
          <t>ONE_TO_ONE</t>
        </is>
      </c>
      <c r="G769" s="12" t="inlineStr">
        <is>
          <t>APPROVED</t>
        </is>
      </c>
      <c r="H769" s="12" t="inlineStr">
        <is>
          <t>New</t>
        </is>
      </c>
      <c r="I769" s="12" t="inlineStr">
        <is>
          <t>Source assignment -- not individually reviewed</t>
        </is>
      </c>
      <c r="J769" s="12" t="inlineStr"/>
      <c r="K769" s="12" t="inlineStr">
        <is>
          <t>Source assignment</t>
        </is>
      </c>
      <c r="L769" s="12" t="inlineStr"/>
      <c r="M769" s="12" t="inlineStr">
        <is>
          <t>Initial</t>
        </is>
      </c>
      <c r="N769" s="12" t="inlineStr">
        <is>
          <t>Rev 0</t>
        </is>
      </c>
      <c r="O769" s="12" t="inlineStr">
        <is>
          <t>R534-v1</t>
        </is>
      </c>
      <c r="P769" s="12" t="inlineStr"/>
      <c r="Q769" s="12" t="inlineStr"/>
      <c r="R769" s="12" t="inlineStr"/>
      <c r="S769" s="12" t="inlineStr"/>
      <c r="T769" s="12" t="inlineStr"/>
      <c r="U769" s="12" t="inlineStr"/>
      <c r="V769" s="12" t="inlineStr">
        <is>
          <t>WBS Code = 1.3.2</t>
        </is>
      </c>
      <c r="W769" s="12" t="inlineStr"/>
    </row>
    <row r="770" ht="49" customHeight="1">
      <c r="A770" s="12" t="inlineStr">
        <is>
          <t>1.3.2</t>
        </is>
      </c>
      <c r="B770" s="12" t="inlineStr">
        <is>
          <t>Systems - Signalling &amp; Train Control</t>
        </is>
      </c>
      <c r="C770" s="12" t="inlineStr">
        <is>
          <t>Contractor Programme</t>
        </is>
      </c>
      <c r="D770" s="12" t="inlineStr">
        <is>
          <t>SCH-03-177</t>
        </is>
      </c>
      <c r="E770" s="12" t="inlineStr">
        <is>
          <t>Control Centre: wayside interface test - release</t>
        </is>
      </c>
      <c r="F770" s="12" t="inlineStr">
        <is>
          <t>ONE_TO_ONE</t>
        </is>
      </c>
      <c r="G770" s="12" t="inlineStr">
        <is>
          <t>APPROVED</t>
        </is>
      </c>
      <c r="H770" s="12" t="inlineStr">
        <is>
          <t>New</t>
        </is>
      </c>
      <c r="I770" s="12" t="inlineStr">
        <is>
          <t>Source assignment -- not individually reviewed</t>
        </is>
      </c>
      <c r="J770" s="12" t="inlineStr"/>
      <c r="K770" s="12" t="inlineStr">
        <is>
          <t>Source assignment</t>
        </is>
      </c>
      <c r="L770" s="12" t="inlineStr"/>
      <c r="M770" s="12" t="inlineStr">
        <is>
          <t>Initial</t>
        </is>
      </c>
      <c r="N770" s="12" t="inlineStr">
        <is>
          <t>Rev 0</t>
        </is>
      </c>
      <c r="O770" s="12" t="inlineStr">
        <is>
          <t>R537-v1</t>
        </is>
      </c>
      <c r="P770" s="12" t="inlineStr"/>
      <c r="Q770" s="12" t="inlineStr"/>
      <c r="R770" s="12" t="inlineStr"/>
      <c r="S770" s="12" t="inlineStr"/>
      <c r="T770" s="12" t="inlineStr"/>
      <c r="U770" s="12" t="inlineStr"/>
      <c r="V770" s="12" t="inlineStr">
        <is>
          <t>WBS Code = 1.3.2</t>
        </is>
      </c>
      <c r="W770" s="12" t="inlineStr"/>
    </row>
    <row r="771" ht="49" customHeight="1">
      <c r="A771" s="12" t="inlineStr">
        <is>
          <t>1.3.2</t>
        </is>
      </c>
      <c r="B771" s="12" t="inlineStr">
        <is>
          <t>Systems - Signalling &amp; Train Control</t>
        </is>
      </c>
      <c r="C771" s="12" t="inlineStr">
        <is>
          <t>Contractor Programme</t>
        </is>
      </c>
      <c r="D771" s="12" t="inlineStr">
        <is>
          <t>SCH-03-180</t>
        </is>
      </c>
      <c r="E771" s="12" t="inlineStr">
        <is>
          <t>Central interlocking: control-centre integration - inspection</t>
        </is>
      </c>
      <c r="F771" s="12" t="inlineStr">
        <is>
          <t>ONE_TO_ONE</t>
        </is>
      </c>
      <c r="G771" s="12" t="inlineStr">
        <is>
          <t>APPROVED</t>
        </is>
      </c>
      <c r="H771" s="12" t="inlineStr">
        <is>
          <t>New</t>
        </is>
      </c>
      <c r="I771" s="12" t="inlineStr">
        <is>
          <t>Source assignment -- not individually reviewed</t>
        </is>
      </c>
      <c r="J771" s="12" t="inlineStr"/>
      <c r="K771" s="12" t="inlineStr">
        <is>
          <t>Source assignment</t>
        </is>
      </c>
      <c r="L771" s="12" t="inlineStr"/>
      <c r="M771" s="12" t="inlineStr">
        <is>
          <t>Initial</t>
        </is>
      </c>
      <c r="N771" s="12" t="inlineStr">
        <is>
          <t>Rev 0</t>
        </is>
      </c>
      <c r="O771" s="12" t="inlineStr">
        <is>
          <t>R540-v1</t>
        </is>
      </c>
      <c r="P771" s="12" t="inlineStr"/>
      <c r="Q771" s="12" t="inlineStr"/>
      <c r="R771" s="12" t="inlineStr"/>
      <c r="S771" s="12" t="inlineStr"/>
      <c r="T771" s="12" t="inlineStr"/>
      <c r="U771" s="12" t="inlineStr"/>
      <c r="V771" s="12" t="inlineStr">
        <is>
          <t>WBS Code = 1.3.2</t>
        </is>
      </c>
      <c r="W771" s="12" t="inlineStr"/>
    </row>
    <row r="772" ht="49" customHeight="1">
      <c r="A772" s="12" t="inlineStr">
        <is>
          <t>1.3.2</t>
        </is>
      </c>
      <c r="B772" s="12" t="inlineStr">
        <is>
          <t>Systems - Signalling &amp; Train Control</t>
        </is>
      </c>
      <c r="C772" s="12" t="inlineStr">
        <is>
          <t>Cost &amp; Forecast Control Accounts</t>
        </is>
      </c>
      <c r="D772" s="12" t="inlineStr">
        <is>
          <t>CST-03-002</t>
        </is>
      </c>
      <c r="E772" s="12" t="inlineStr">
        <is>
          <t>Systems - signalling - field package</t>
        </is>
      </c>
      <c r="F772" s="12" t="inlineStr">
        <is>
          <t>ONE_TO_ONE</t>
        </is>
      </c>
      <c r="G772" s="12" t="inlineStr">
        <is>
          <t>APPROVED</t>
        </is>
      </c>
      <c r="H772" s="12" t="inlineStr">
        <is>
          <t>New</t>
        </is>
      </c>
      <c r="I772" s="12" t="inlineStr">
        <is>
          <t>Source assignment -- not individually reviewed</t>
        </is>
      </c>
      <c r="J772" s="12" t="inlineStr"/>
      <c r="K772" s="12" t="inlineStr">
        <is>
          <t>Source assignment</t>
        </is>
      </c>
      <c r="L772" s="12" t="inlineStr"/>
      <c r="M772" s="12" t="inlineStr">
        <is>
          <t>Initial</t>
        </is>
      </c>
      <c r="N772" s="12" t="inlineStr">
        <is>
          <t>Rev 0</t>
        </is>
      </c>
      <c r="O772" s="12" t="inlineStr">
        <is>
          <t>R1244-v1</t>
        </is>
      </c>
      <c r="P772" s="12" t="inlineStr"/>
      <c r="Q772" s="12" t="inlineStr"/>
      <c r="R772" s="12" t="inlineStr"/>
      <c r="S772" s="12" t="inlineStr"/>
      <c r="T772" s="12" t="inlineStr"/>
      <c r="U772" s="12" t="inlineStr"/>
      <c r="V772" s="12" t="inlineStr">
        <is>
          <t>Cost Account = CA-3002; WBS Code = 1.3.2</t>
        </is>
      </c>
      <c r="W772" s="12" t="inlineStr"/>
    </row>
    <row r="773" ht="49" customHeight="1">
      <c r="A773" s="12" t="inlineStr">
        <is>
          <t>1.3.2</t>
        </is>
      </c>
      <c r="B773" s="12" t="inlineStr">
        <is>
          <t>Systems - Signalling &amp; Train Control</t>
        </is>
      </c>
      <c r="C773" s="12" t="inlineStr">
        <is>
          <t>Cost &amp; Forecast Control Accounts</t>
        </is>
      </c>
      <c r="D773" s="12" t="inlineStr">
        <is>
          <t>CST-03-006</t>
        </is>
      </c>
      <c r="E773" s="12" t="inlineStr">
        <is>
          <t>Systems - train control - closeout</t>
        </is>
      </c>
      <c r="F773" s="12" t="inlineStr">
        <is>
          <t>ONE_TO_ONE</t>
        </is>
      </c>
      <c r="G773" s="12" t="inlineStr">
        <is>
          <t>APPROVED</t>
        </is>
      </c>
      <c r="H773" s="12" t="inlineStr">
        <is>
          <t>New</t>
        </is>
      </c>
      <c r="I773" s="12" t="inlineStr">
        <is>
          <t>Source assignment -- not individually reviewed</t>
        </is>
      </c>
      <c r="J773" s="12" t="inlineStr"/>
      <c r="K773" s="12" t="inlineStr">
        <is>
          <t>Source assignment</t>
        </is>
      </c>
      <c r="L773" s="12" t="inlineStr"/>
      <c r="M773" s="12" t="inlineStr">
        <is>
          <t>Initial</t>
        </is>
      </c>
      <c r="N773" s="12" t="inlineStr">
        <is>
          <t>Rev 0</t>
        </is>
      </c>
      <c r="O773" s="12" t="inlineStr">
        <is>
          <t>R1248-v1</t>
        </is>
      </c>
      <c r="P773" s="12" t="inlineStr"/>
      <c r="Q773" s="12" t="inlineStr"/>
      <c r="R773" s="12" t="inlineStr"/>
      <c r="S773" s="12" t="inlineStr"/>
      <c r="T773" s="12" t="inlineStr"/>
      <c r="U773" s="12" t="inlineStr"/>
      <c r="V773" s="12" t="inlineStr">
        <is>
          <t>Cost Account = CA-3006; WBS Code = 1.3.2</t>
        </is>
      </c>
      <c r="W773" s="12" t="inlineStr"/>
    </row>
    <row r="774" ht="49" customHeight="1">
      <c r="A774" s="12" t="inlineStr">
        <is>
          <t>1.3.2</t>
        </is>
      </c>
      <c r="B774" s="12" t="inlineStr">
        <is>
          <t>Systems - Signalling &amp; Train Control</t>
        </is>
      </c>
      <c r="C774" s="12" t="inlineStr">
        <is>
          <t>Cost &amp; Forecast Control Accounts</t>
        </is>
      </c>
      <c r="D774" s="12" t="inlineStr">
        <is>
          <t>CST-03-008</t>
        </is>
      </c>
      <c r="E774" s="12" t="inlineStr">
        <is>
          <t>Systems - signalling - supply and install</t>
        </is>
      </c>
      <c r="F774" s="12" t="inlineStr">
        <is>
          <t>ONE_TO_ONE</t>
        </is>
      </c>
      <c r="G774" s="12" t="inlineStr">
        <is>
          <t>APPROVED</t>
        </is>
      </c>
      <c r="H774" s="12" t="inlineStr">
        <is>
          <t>New</t>
        </is>
      </c>
      <c r="I774" s="12" t="inlineStr">
        <is>
          <t>Source assignment -- not individually reviewed</t>
        </is>
      </c>
      <c r="J774" s="12" t="inlineStr"/>
      <c r="K774" s="12" t="inlineStr">
        <is>
          <t>Source assignment</t>
        </is>
      </c>
      <c r="L774" s="12" t="inlineStr"/>
      <c r="M774" s="12" t="inlineStr">
        <is>
          <t>Initial</t>
        </is>
      </c>
      <c r="N774" s="12" t="inlineStr">
        <is>
          <t>Rev 0</t>
        </is>
      </c>
      <c r="O774" s="12" t="inlineStr">
        <is>
          <t>R1250-v1</t>
        </is>
      </c>
      <c r="P774" s="12" t="inlineStr"/>
      <c r="Q774" s="12" t="inlineStr"/>
      <c r="R774" s="12" t="inlineStr"/>
      <c r="S774" s="12" t="inlineStr"/>
      <c r="T774" s="12" t="inlineStr"/>
      <c r="U774" s="12" t="inlineStr"/>
      <c r="V774" s="12" t="inlineStr">
        <is>
          <t>Cost Account = CA-3008; WBS Code = 1.3.2</t>
        </is>
      </c>
      <c r="W774" s="12" t="inlineStr"/>
    </row>
    <row r="775" ht="49" customHeight="1">
      <c r="A775" s="12" t="inlineStr">
        <is>
          <t>1.3.2</t>
        </is>
      </c>
      <c r="B775" s="12" t="inlineStr">
        <is>
          <t>Systems - Signalling &amp; Train Control</t>
        </is>
      </c>
      <c r="C775" s="12" t="inlineStr">
        <is>
          <t>Cost &amp; Forecast Control Accounts</t>
        </is>
      </c>
      <c r="D775" s="12" t="inlineStr">
        <is>
          <t>CST-03-010</t>
        </is>
      </c>
      <c r="E775" s="12" t="inlineStr">
        <is>
          <t>Systems - systems integration - allowance</t>
        </is>
      </c>
      <c r="F775" s="12" t="inlineStr">
        <is>
          <t>ONE_TO_ONE</t>
        </is>
      </c>
      <c r="G775" s="12" t="inlineStr">
        <is>
          <t>APPROVED</t>
        </is>
      </c>
      <c r="H775" s="12" t="inlineStr">
        <is>
          <t>New</t>
        </is>
      </c>
      <c r="I775" s="12" t="inlineStr">
        <is>
          <t>Source assignment -- not individually reviewed</t>
        </is>
      </c>
      <c r="J775" s="12" t="inlineStr"/>
      <c r="K775" s="12" t="inlineStr">
        <is>
          <t>Source assignment</t>
        </is>
      </c>
      <c r="L775" s="12" t="inlineStr"/>
      <c r="M775" s="12" t="inlineStr">
        <is>
          <t>Initial</t>
        </is>
      </c>
      <c r="N775" s="12" t="inlineStr">
        <is>
          <t>Rev 0</t>
        </is>
      </c>
      <c r="O775" s="12" t="inlineStr">
        <is>
          <t>R1252-v1</t>
        </is>
      </c>
      <c r="P775" s="12" t="inlineStr"/>
      <c r="Q775" s="12" t="inlineStr"/>
      <c r="R775" s="12" t="inlineStr"/>
      <c r="S775" s="12" t="inlineStr"/>
      <c r="T775" s="12" t="inlineStr"/>
      <c r="U775" s="12" t="inlineStr"/>
      <c r="V775" s="12" t="inlineStr">
        <is>
          <t>Cost Account = CA-3010; WBS Code = 1.3.2</t>
        </is>
      </c>
      <c r="W775" s="12" t="inlineStr"/>
    </row>
    <row r="776" ht="49" customHeight="1">
      <c r="A776" s="12" t="inlineStr">
        <is>
          <t>1.3.2</t>
        </is>
      </c>
      <c r="B776" s="12" t="inlineStr">
        <is>
          <t>Systems - Signalling &amp; Train Control</t>
        </is>
      </c>
      <c r="C776" s="12" t="inlineStr">
        <is>
          <t>Cost &amp; Forecast Control Accounts</t>
        </is>
      </c>
      <c r="D776" s="12" t="inlineStr">
        <is>
          <t>CST-03-012</t>
        </is>
      </c>
      <c r="E776" s="12" t="inlineStr">
        <is>
          <t>Systems - train control - field package</t>
        </is>
      </c>
      <c r="F776" s="12" t="inlineStr">
        <is>
          <t>ONE_TO_ONE</t>
        </is>
      </c>
      <c r="G776" s="12" t="inlineStr">
        <is>
          <t>APPROVED</t>
        </is>
      </c>
      <c r="H776" s="12" t="inlineStr">
        <is>
          <t>New</t>
        </is>
      </c>
      <c r="I776" s="12" t="inlineStr">
        <is>
          <t>Source assignment -- not individually reviewed</t>
        </is>
      </c>
      <c r="J776" s="12" t="inlineStr"/>
      <c r="K776" s="12" t="inlineStr">
        <is>
          <t>Source assignment</t>
        </is>
      </c>
      <c r="L776" s="12" t="inlineStr"/>
      <c r="M776" s="12" t="inlineStr">
        <is>
          <t>Initial</t>
        </is>
      </c>
      <c r="N776" s="12" t="inlineStr">
        <is>
          <t>Rev 0</t>
        </is>
      </c>
      <c r="O776" s="12" t="inlineStr">
        <is>
          <t>R1254-v1</t>
        </is>
      </c>
      <c r="P776" s="12" t="inlineStr"/>
      <c r="Q776" s="12" t="inlineStr"/>
      <c r="R776" s="12" t="inlineStr"/>
      <c r="S776" s="12" t="inlineStr"/>
      <c r="T776" s="12" t="inlineStr"/>
      <c r="U776" s="12" t="inlineStr"/>
      <c r="V776" s="12" t="inlineStr">
        <is>
          <t>Cost Account = CA-3012; WBS Code = 1.3.2</t>
        </is>
      </c>
      <c r="W776" s="12" t="inlineStr"/>
    </row>
    <row r="777" ht="49" customHeight="1">
      <c r="A777" s="12" t="inlineStr">
        <is>
          <t>1.3.2</t>
        </is>
      </c>
      <c r="B777" s="12" t="inlineStr">
        <is>
          <t>Systems - Signalling &amp; Train Control</t>
        </is>
      </c>
      <c r="C777" s="12" t="inlineStr">
        <is>
          <t>Cost &amp; Forecast Control Accounts</t>
        </is>
      </c>
      <c r="D777" s="12" t="inlineStr">
        <is>
          <t>CST-03-014</t>
        </is>
      </c>
      <c r="E777" s="12" t="inlineStr">
        <is>
          <t>Systems - signalling - professional services</t>
        </is>
      </c>
      <c r="F777" s="12" t="inlineStr">
        <is>
          <t>ONE_TO_ONE</t>
        </is>
      </c>
      <c r="G777" s="12" t="inlineStr">
        <is>
          <t>APPROVED</t>
        </is>
      </c>
      <c r="H777" s="12" t="inlineStr">
        <is>
          <t>New</t>
        </is>
      </c>
      <c r="I777" s="12" t="inlineStr">
        <is>
          <t>Source assignment -- not individually reviewed</t>
        </is>
      </c>
      <c r="J777" s="12" t="inlineStr"/>
      <c r="K777" s="12" t="inlineStr">
        <is>
          <t>Source assignment</t>
        </is>
      </c>
      <c r="L777" s="12" t="inlineStr"/>
      <c r="M777" s="12" t="inlineStr">
        <is>
          <t>Initial</t>
        </is>
      </c>
      <c r="N777" s="12" t="inlineStr">
        <is>
          <t>Rev 0</t>
        </is>
      </c>
      <c r="O777" s="12" t="inlineStr">
        <is>
          <t>R1256-v1</t>
        </is>
      </c>
      <c r="P777" s="12" t="inlineStr"/>
      <c r="Q777" s="12" t="inlineStr"/>
      <c r="R777" s="12" t="inlineStr"/>
      <c r="S777" s="12" t="inlineStr"/>
      <c r="T777" s="12" t="inlineStr"/>
      <c r="U777" s="12" t="inlineStr"/>
      <c r="V777" s="12" t="inlineStr">
        <is>
          <t>Cost Account = CA-3014; WBS Code = 1.3.2</t>
        </is>
      </c>
      <c r="W777" s="12" t="inlineStr"/>
    </row>
    <row r="778" ht="49" customHeight="1">
      <c r="A778" s="12" t="inlineStr">
        <is>
          <t>1.3.2</t>
        </is>
      </c>
      <c r="B778" s="12" t="inlineStr">
        <is>
          <t>Systems - Signalling &amp; Train Control</t>
        </is>
      </c>
      <c r="C778" s="12" t="inlineStr">
        <is>
          <t>Cost &amp; Forecast Control Accounts</t>
        </is>
      </c>
      <c r="D778" s="12" t="inlineStr">
        <is>
          <t>CST-03-016</t>
        </is>
      </c>
      <c r="E778" s="12" t="inlineStr">
        <is>
          <t>Systems - systems integration - closeout</t>
        </is>
      </c>
      <c r="F778" s="12" t="inlineStr">
        <is>
          <t>ONE_TO_ONE</t>
        </is>
      </c>
      <c r="G778" s="12" t="inlineStr">
        <is>
          <t>APPROVED</t>
        </is>
      </c>
      <c r="H778" s="12" t="inlineStr">
        <is>
          <t>New</t>
        </is>
      </c>
      <c r="I778" s="12" t="inlineStr">
        <is>
          <t>Source assignment -- not individually reviewed</t>
        </is>
      </c>
      <c r="J778" s="12" t="inlineStr"/>
      <c r="K778" s="12" t="inlineStr">
        <is>
          <t>Source assignment</t>
        </is>
      </c>
      <c r="L778" s="12" t="inlineStr"/>
      <c r="M778" s="12" t="inlineStr">
        <is>
          <t>Initial</t>
        </is>
      </c>
      <c r="N778" s="12" t="inlineStr">
        <is>
          <t>Rev 0</t>
        </is>
      </c>
      <c r="O778" s="12" t="inlineStr">
        <is>
          <t>R1258-v1</t>
        </is>
      </c>
      <c r="P778" s="12" t="inlineStr"/>
      <c r="Q778" s="12" t="inlineStr"/>
      <c r="R778" s="12" t="inlineStr"/>
      <c r="S778" s="12" t="inlineStr"/>
      <c r="T778" s="12" t="inlineStr"/>
      <c r="U778" s="12" t="inlineStr"/>
      <c r="V778" s="12" t="inlineStr">
        <is>
          <t>Cost Account = CA-3016; WBS Code = 1.3.2</t>
        </is>
      </c>
      <c r="W778" s="12" t="inlineStr"/>
    </row>
    <row r="779" ht="49" customHeight="1">
      <c r="A779" s="12" t="inlineStr">
        <is>
          <t>1.3.2</t>
        </is>
      </c>
      <c r="B779" s="12" t="inlineStr">
        <is>
          <t>Systems - Signalling &amp; Train Control</t>
        </is>
      </c>
      <c r="C779" s="12" t="inlineStr">
        <is>
          <t>Cost &amp; Forecast Control Accounts</t>
        </is>
      </c>
      <c r="D779" s="12" t="inlineStr">
        <is>
          <t>CST-03-018</t>
        </is>
      </c>
      <c r="E779" s="12" t="inlineStr">
        <is>
          <t>Systems - train control - supply and install</t>
        </is>
      </c>
      <c r="F779" s="12" t="inlineStr">
        <is>
          <t>ONE_TO_ONE</t>
        </is>
      </c>
      <c r="G779" s="12" t="inlineStr">
        <is>
          <t>APPROVED</t>
        </is>
      </c>
      <c r="H779" s="12" t="inlineStr">
        <is>
          <t>New</t>
        </is>
      </c>
      <c r="I779" s="12" t="inlineStr">
        <is>
          <t>Source assignment -- not individually reviewed</t>
        </is>
      </c>
      <c r="J779" s="12" t="inlineStr"/>
      <c r="K779" s="12" t="inlineStr">
        <is>
          <t>Source assignment</t>
        </is>
      </c>
      <c r="L779" s="12" t="inlineStr"/>
      <c r="M779" s="12" t="inlineStr">
        <is>
          <t>Initial</t>
        </is>
      </c>
      <c r="N779" s="12" t="inlineStr">
        <is>
          <t>Rev 0</t>
        </is>
      </c>
      <c r="O779" s="12" t="inlineStr">
        <is>
          <t>R1260-v1</t>
        </is>
      </c>
      <c r="P779" s="12" t="inlineStr"/>
      <c r="Q779" s="12" t="inlineStr"/>
      <c r="R779" s="12" t="inlineStr"/>
      <c r="S779" s="12" t="inlineStr"/>
      <c r="T779" s="12" t="inlineStr"/>
      <c r="U779" s="12" t="inlineStr"/>
      <c r="V779" s="12" t="inlineStr">
        <is>
          <t>Cost Account = CA-3018; WBS Code = 1.3.2</t>
        </is>
      </c>
      <c r="W779" s="12" t="inlineStr"/>
    </row>
    <row r="780" ht="49" customHeight="1">
      <c r="A780" s="12" t="inlineStr">
        <is>
          <t>1.3.2</t>
        </is>
      </c>
      <c r="B780" s="12" t="inlineStr">
        <is>
          <t>Systems - Signalling &amp; Train Control</t>
        </is>
      </c>
      <c r="C780" s="12" t="inlineStr">
        <is>
          <t>Cost &amp; Forecast Control Accounts</t>
        </is>
      </c>
      <c r="D780" s="12" t="inlineStr">
        <is>
          <t>CST-03-020</t>
        </is>
      </c>
      <c r="E780" s="12" t="inlineStr">
        <is>
          <t>Systems - signalling - allowance</t>
        </is>
      </c>
      <c r="F780" s="12" t="inlineStr">
        <is>
          <t>ONE_TO_ONE</t>
        </is>
      </c>
      <c r="G780" s="12" t="inlineStr">
        <is>
          <t>APPROVED</t>
        </is>
      </c>
      <c r="H780" s="12" t="inlineStr">
        <is>
          <t>New</t>
        </is>
      </c>
      <c r="I780" s="12" t="inlineStr">
        <is>
          <t>Source assignment -- not individually reviewed</t>
        </is>
      </c>
      <c r="J780" s="12" t="inlineStr"/>
      <c r="K780" s="12" t="inlineStr">
        <is>
          <t>Source assignment</t>
        </is>
      </c>
      <c r="L780" s="12" t="inlineStr"/>
      <c r="M780" s="12" t="inlineStr">
        <is>
          <t>Initial</t>
        </is>
      </c>
      <c r="N780" s="12" t="inlineStr">
        <is>
          <t>Rev 0</t>
        </is>
      </c>
      <c r="O780" s="12" t="inlineStr">
        <is>
          <t>R1262-v1</t>
        </is>
      </c>
      <c r="P780" s="12" t="inlineStr"/>
      <c r="Q780" s="12" t="inlineStr"/>
      <c r="R780" s="12" t="inlineStr"/>
      <c r="S780" s="12" t="inlineStr"/>
      <c r="T780" s="12" t="inlineStr"/>
      <c r="U780" s="12" t="inlineStr"/>
      <c r="V780" s="12" t="inlineStr">
        <is>
          <t>Cost Account = CA-3020; WBS Code = 1.3.2</t>
        </is>
      </c>
      <c r="W780" s="12" t="inlineStr"/>
    </row>
    <row r="781" ht="49" customHeight="1">
      <c r="A781" s="12" t="inlineStr">
        <is>
          <t>1.3.2</t>
        </is>
      </c>
      <c r="B781" s="12" t="inlineStr">
        <is>
          <t>Systems - Signalling &amp; Train Control</t>
        </is>
      </c>
      <c r="C781" s="12" t="inlineStr">
        <is>
          <t>Cost &amp; Forecast Control Accounts</t>
        </is>
      </c>
      <c r="D781" s="12" t="inlineStr">
        <is>
          <t>CST-03-022</t>
        </is>
      </c>
      <c r="E781" s="12" t="inlineStr">
        <is>
          <t>Systems - systems integration - field package</t>
        </is>
      </c>
      <c r="F781" s="12" t="inlineStr">
        <is>
          <t>ONE_TO_ONE</t>
        </is>
      </c>
      <c r="G781" s="12" t="inlineStr">
        <is>
          <t>APPROVED</t>
        </is>
      </c>
      <c r="H781" s="12" t="inlineStr">
        <is>
          <t>New</t>
        </is>
      </c>
      <c r="I781" s="12" t="inlineStr">
        <is>
          <t>Source assignment -- not individually reviewed</t>
        </is>
      </c>
      <c r="J781" s="12" t="inlineStr"/>
      <c r="K781" s="12" t="inlineStr">
        <is>
          <t>Source assignment</t>
        </is>
      </c>
      <c r="L781" s="12" t="inlineStr"/>
      <c r="M781" s="12" t="inlineStr">
        <is>
          <t>Initial</t>
        </is>
      </c>
      <c r="N781" s="12" t="inlineStr">
        <is>
          <t>Rev 0</t>
        </is>
      </c>
      <c r="O781" s="12" t="inlineStr">
        <is>
          <t>R1264-v1</t>
        </is>
      </c>
      <c r="P781" s="12" t="inlineStr"/>
      <c r="Q781" s="12" t="inlineStr"/>
      <c r="R781" s="12" t="inlineStr"/>
      <c r="S781" s="12" t="inlineStr"/>
      <c r="T781" s="12" t="inlineStr"/>
      <c r="U781" s="12" t="inlineStr"/>
      <c r="V781" s="12" t="inlineStr">
        <is>
          <t>Cost Account = CA-3022; WBS Code = 1.3.2</t>
        </is>
      </c>
      <c r="W781" s="12" t="inlineStr"/>
    </row>
    <row r="782" ht="49" customHeight="1">
      <c r="A782" s="12" t="inlineStr">
        <is>
          <t>1.3.2</t>
        </is>
      </c>
      <c r="B782" s="12" t="inlineStr">
        <is>
          <t>Systems - Signalling &amp; Train Control</t>
        </is>
      </c>
      <c r="C782" s="12" t="inlineStr">
        <is>
          <t>Cost &amp; Forecast Control Accounts</t>
        </is>
      </c>
      <c r="D782" s="12" t="inlineStr">
        <is>
          <t>CST-03-024</t>
        </is>
      </c>
      <c r="E782" s="12" t="inlineStr">
        <is>
          <t>Systems - train control - professional services</t>
        </is>
      </c>
      <c r="F782" s="12" t="inlineStr">
        <is>
          <t>ONE_TO_ONE</t>
        </is>
      </c>
      <c r="G782" s="12" t="inlineStr">
        <is>
          <t>APPROVED</t>
        </is>
      </c>
      <c r="H782" s="12" t="inlineStr">
        <is>
          <t>New</t>
        </is>
      </c>
      <c r="I782" s="12" t="inlineStr">
        <is>
          <t>Source assignment -- not individually reviewed</t>
        </is>
      </c>
      <c r="J782" s="12" t="inlineStr"/>
      <c r="K782" s="12" t="inlineStr">
        <is>
          <t>Source assignment</t>
        </is>
      </c>
      <c r="L782" s="12" t="inlineStr"/>
      <c r="M782" s="12" t="inlineStr">
        <is>
          <t>Initial</t>
        </is>
      </c>
      <c r="N782" s="12" t="inlineStr">
        <is>
          <t>Rev 0</t>
        </is>
      </c>
      <c r="O782" s="12" t="inlineStr">
        <is>
          <t>R1266-v1</t>
        </is>
      </c>
      <c r="P782" s="12" t="inlineStr"/>
      <c r="Q782" s="12" t="inlineStr"/>
      <c r="R782" s="12" t="inlineStr"/>
      <c r="S782" s="12" t="inlineStr"/>
      <c r="T782" s="12" t="inlineStr"/>
      <c r="U782" s="12" t="inlineStr"/>
      <c r="V782" s="12" t="inlineStr">
        <is>
          <t>Cost Account = CA-3024; WBS Code = 1.3.2</t>
        </is>
      </c>
      <c r="W782" s="12" t="inlineStr"/>
    </row>
    <row r="783" ht="49" customHeight="1">
      <c r="A783" s="12" t="inlineStr">
        <is>
          <t>1.3.2</t>
        </is>
      </c>
      <c r="B783" s="12" t="inlineStr">
        <is>
          <t>Systems - Signalling &amp; Train Control</t>
        </is>
      </c>
      <c r="C783" s="12" t="inlineStr">
        <is>
          <t>Cost &amp; Forecast Control Accounts</t>
        </is>
      </c>
      <c r="D783" s="12" t="inlineStr">
        <is>
          <t>CST-03-026</t>
        </is>
      </c>
      <c r="E783" s="12" t="inlineStr">
        <is>
          <t>Systems - signalling - closeout</t>
        </is>
      </c>
      <c r="F783" s="12" t="inlineStr">
        <is>
          <t>ONE_TO_ONE</t>
        </is>
      </c>
      <c r="G783" s="12" t="inlineStr">
        <is>
          <t>APPROVED</t>
        </is>
      </c>
      <c r="H783" s="12" t="inlineStr">
        <is>
          <t>New</t>
        </is>
      </c>
      <c r="I783" s="12" t="inlineStr">
        <is>
          <t>Source assignment -- not individually reviewed</t>
        </is>
      </c>
      <c r="J783" s="12" t="inlineStr"/>
      <c r="K783" s="12" t="inlineStr">
        <is>
          <t>Source assignment</t>
        </is>
      </c>
      <c r="L783" s="12" t="inlineStr"/>
      <c r="M783" s="12" t="inlineStr">
        <is>
          <t>Initial</t>
        </is>
      </c>
      <c r="N783" s="12" t="inlineStr">
        <is>
          <t>Rev 0</t>
        </is>
      </c>
      <c r="O783" s="12" t="inlineStr">
        <is>
          <t>R1268-v1</t>
        </is>
      </c>
      <c r="P783" s="12" t="inlineStr"/>
      <c r="Q783" s="12" t="inlineStr"/>
      <c r="R783" s="12" t="inlineStr"/>
      <c r="S783" s="12" t="inlineStr"/>
      <c r="T783" s="12" t="inlineStr"/>
      <c r="U783" s="12" t="inlineStr"/>
      <c r="V783" s="12" t="inlineStr">
        <is>
          <t>Cost Account = CA-3026; WBS Code = 1.3.2</t>
        </is>
      </c>
      <c r="W783" s="12" t="inlineStr"/>
    </row>
    <row r="784" ht="49" customHeight="1">
      <c r="A784" s="12" t="inlineStr">
        <is>
          <t>1.3.2</t>
        </is>
      </c>
      <c r="B784" s="12" t="inlineStr">
        <is>
          <t>Systems - Signalling &amp; Train Control</t>
        </is>
      </c>
      <c r="C784" s="12" t="inlineStr">
        <is>
          <t>Cost &amp; Forecast Control Accounts</t>
        </is>
      </c>
      <c r="D784" s="12" t="inlineStr">
        <is>
          <t>CST-03-028</t>
        </is>
      </c>
      <c r="E784" s="12" t="inlineStr">
        <is>
          <t>Systems - systems integration - supply and install</t>
        </is>
      </c>
      <c r="F784" s="12" t="inlineStr">
        <is>
          <t>ONE_TO_ONE</t>
        </is>
      </c>
      <c r="G784" s="12" t="inlineStr">
        <is>
          <t>APPROVED</t>
        </is>
      </c>
      <c r="H784" s="12" t="inlineStr">
        <is>
          <t>New</t>
        </is>
      </c>
      <c r="I784" s="12" t="inlineStr">
        <is>
          <t>Source assignment -- not individually reviewed</t>
        </is>
      </c>
      <c r="J784" s="12" t="inlineStr"/>
      <c r="K784" s="12" t="inlineStr">
        <is>
          <t>Source assignment</t>
        </is>
      </c>
      <c r="L784" s="12" t="inlineStr"/>
      <c r="M784" s="12" t="inlineStr">
        <is>
          <t>Initial</t>
        </is>
      </c>
      <c r="N784" s="12" t="inlineStr">
        <is>
          <t>Rev 0</t>
        </is>
      </c>
      <c r="O784" s="12" t="inlineStr">
        <is>
          <t>R1270-v1</t>
        </is>
      </c>
      <c r="P784" s="12" t="inlineStr"/>
      <c r="Q784" s="12" t="inlineStr"/>
      <c r="R784" s="12" t="inlineStr"/>
      <c r="S784" s="12" t="inlineStr"/>
      <c r="T784" s="12" t="inlineStr"/>
      <c r="U784" s="12" t="inlineStr"/>
      <c r="V784" s="12" t="inlineStr">
        <is>
          <t>Cost Account = CA-3028; WBS Code = 1.3.2</t>
        </is>
      </c>
      <c r="W784" s="12" t="inlineStr"/>
    </row>
    <row r="785" ht="49" customHeight="1">
      <c r="A785" s="12" t="inlineStr">
        <is>
          <t>1.3.2</t>
        </is>
      </c>
      <c r="B785" s="12" t="inlineStr">
        <is>
          <t>Systems - Signalling &amp; Train Control</t>
        </is>
      </c>
      <c r="C785" s="12" t="inlineStr">
        <is>
          <t>Cost &amp; Forecast Control Accounts</t>
        </is>
      </c>
      <c r="D785" s="12" t="inlineStr">
        <is>
          <t>CST-03-030</t>
        </is>
      </c>
      <c r="E785" s="12" t="inlineStr">
        <is>
          <t>Systems - train control - allowance</t>
        </is>
      </c>
      <c r="F785" s="12" t="inlineStr">
        <is>
          <t>ONE_TO_ONE</t>
        </is>
      </c>
      <c r="G785" s="12" t="inlineStr">
        <is>
          <t>APPROVED</t>
        </is>
      </c>
      <c r="H785" s="12" t="inlineStr">
        <is>
          <t>New</t>
        </is>
      </c>
      <c r="I785" s="12" t="inlineStr">
        <is>
          <t>Source assignment -- not individually reviewed</t>
        </is>
      </c>
      <c r="J785" s="12" t="inlineStr"/>
      <c r="K785" s="12" t="inlineStr">
        <is>
          <t>Source assignment</t>
        </is>
      </c>
      <c r="L785" s="12" t="inlineStr"/>
      <c r="M785" s="12" t="inlineStr">
        <is>
          <t>Initial</t>
        </is>
      </c>
      <c r="N785" s="12" t="inlineStr">
        <is>
          <t>Rev 0</t>
        </is>
      </c>
      <c r="O785" s="12" t="inlineStr">
        <is>
          <t>R1272-v1</t>
        </is>
      </c>
      <c r="P785" s="12" t="inlineStr"/>
      <c r="Q785" s="12" t="inlineStr"/>
      <c r="R785" s="12" t="inlineStr"/>
      <c r="S785" s="12" t="inlineStr"/>
      <c r="T785" s="12" t="inlineStr"/>
      <c r="U785" s="12" t="inlineStr"/>
      <c r="V785" s="12" t="inlineStr">
        <is>
          <t>Cost Account = CA-3030; WBS Code = 1.3.2</t>
        </is>
      </c>
      <c r="W785" s="12" t="inlineStr"/>
    </row>
    <row r="786" ht="49" customHeight="1">
      <c r="A786" s="12" t="inlineStr">
        <is>
          <t>1.3.2</t>
        </is>
      </c>
      <c r="B786" s="12" t="inlineStr">
        <is>
          <t>Systems - Signalling &amp; Train Control</t>
        </is>
      </c>
      <c r="C786" s="12" t="inlineStr">
        <is>
          <t>Cost &amp; Forecast Control Accounts</t>
        </is>
      </c>
      <c r="D786" s="12" t="inlineStr">
        <is>
          <t>CST-03-032</t>
        </is>
      </c>
      <c r="E786" s="12" t="inlineStr">
        <is>
          <t>Systems - signalling - field package</t>
        </is>
      </c>
      <c r="F786" s="12" t="inlineStr">
        <is>
          <t>ONE_TO_ONE</t>
        </is>
      </c>
      <c r="G786" s="12" t="inlineStr">
        <is>
          <t>APPROVED</t>
        </is>
      </c>
      <c r="H786" s="12" t="inlineStr">
        <is>
          <t>New</t>
        </is>
      </c>
      <c r="I786" s="12" t="inlineStr">
        <is>
          <t>Source assignment -- not individually reviewed</t>
        </is>
      </c>
      <c r="J786" s="12" t="inlineStr"/>
      <c r="K786" s="12" t="inlineStr">
        <is>
          <t>Source assignment</t>
        </is>
      </c>
      <c r="L786" s="12" t="inlineStr"/>
      <c r="M786" s="12" t="inlineStr">
        <is>
          <t>Initial</t>
        </is>
      </c>
      <c r="N786" s="12" t="inlineStr">
        <is>
          <t>Rev 0</t>
        </is>
      </c>
      <c r="O786" s="12" t="inlineStr">
        <is>
          <t>R1274-v1</t>
        </is>
      </c>
      <c r="P786" s="12" t="inlineStr"/>
      <c r="Q786" s="12" t="inlineStr"/>
      <c r="R786" s="12" t="inlineStr"/>
      <c r="S786" s="12" t="inlineStr"/>
      <c r="T786" s="12" t="inlineStr"/>
      <c r="U786" s="12" t="inlineStr"/>
      <c r="V786" s="12" t="inlineStr">
        <is>
          <t>Cost Account = CA-3032; WBS Code = 1.3.2</t>
        </is>
      </c>
      <c r="W786" s="12" t="inlineStr"/>
    </row>
    <row r="787" ht="49" customHeight="1">
      <c r="A787" s="12" t="inlineStr">
        <is>
          <t>1.3.2</t>
        </is>
      </c>
      <c r="B787" s="12" t="inlineStr">
        <is>
          <t>Systems - Signalling &amp; Train Control</t>
        </is>
      </c>
      <c r="C787" s="12" t="inlineStr">
        <is>
          <t>Cost &amp; Forecast Control Accounts</t>
        </is>
      </c>
      <c r="D787" s="12" t="inlineStr">
        <is>
          <t>CST-03-034</t>
        </is>
      </c>
      <c r="E787" s="12" t="inlineStr">
        <is>
          <t>Systems - systems integration - professional services</t>
        </is>
      </c>
      <c r="F787" s="12" t="inlineStr">
        <is>
          <t>ONE_TO_ONE</t>
        </is>
      </c>
      <c r="G787" s="12" t="inlineStr">
        <is>
          <t>APPROVED</t>
        </is>
      </c>
      <c r="H787" s="12" t="inlineStr">
        <is>
          <t>New</t>
        </is>
      </c>
      <c r="I787" s="12" t="inlineStr">
        <is>
          <t>Source assignment -- not individually reviewed</t>
        </is>
      </c>
      <c r="J787" s="12" t="inlineStr"/>
      <c r="K787" s="12" t="inlineStr">
        <is>
          <t>Source assignment</t>
        </is>
      </c>
      <c r="L787" s="12" t="inlineStr"/>
      <c r="M787" s="12" t="inlineStr">
        <is>
          <t>Initial</t>
        </is>
      </c>
      <c r="N787" s="12" t="inlineStr">
        <is>
          <t>Rev 0</t>
        </is>
      </c>
      <c r="O787" s="12" t="inlineStr">
        <is>
          <t>R1276-v1</t>
        </is>
      </c>
      <c r="P787" s="12" t="inlineStr"/>
      <c r="Q787" s="12" t="inlineStr"/>
      <c r="R787" s="12" t="inlineStr"/>
      <c r="S787" s="12" t="inlineStr"/>
      <c r="T787" s="12" t="inlineStr"/>
      <c r="U787" s="12" t="inlineStr"/>
      <c r="V787" s="12" t="inlineStr">
        <is>
          <t>Cost Account = CA-3034; WBS Code = 1.3.2</t>
        </is>
      </c>
      <c r="W787" s="12" t="inlineStr"/>
    </row>
    <row r="788" ht="49" customHeight="1">
      <c r="A788" s="12" t="inlineStr">
        <is>
          <t>1.3.2</t>
        </is>
      </c>
      <c r="B788" s="12" t="inlineStr">
        <is>
          <t>Systems - Signalling &amp; Train Control</t>
        </is>
      </c>
      <c r="C788" s="12" t="inlineStr">
        <is>
          <t>Cost &amp; Forecast Control Accounts</t>
        </is>
      </c>
      <c r="D788" s="12" t="inlineStr">
        <is>
          <t>CST-03-036</t>
        </is>
      </c>
      <c r="E788" s="12" t="inlineStr">
        <is>
          <t>Systems - train control - closeout</t>
        </is>
      </c>
      <c r="F788" s="12" t="inlineStr">
        <is>
          <t>ONE_TO_ONE</t>
        </is>
      </c>
      <c r="G788" s="12" t="inlineStr">
        <is>
          <t>APPROVED</t>
        </is>
      </c>
      <c r="H788" s="12" t="inlineStr">
        <is>
          <t>New</t>
        </is>
      </c>
      <c r="I788" s="12" t="inlineStr">
        <is>
          <t>Source assignment -- not individually reviewed</t>
        </is>
      </c>
      <c r="J788" s="12" t="inlineStr"/>
      <c r="K788" s="12" t="inlineStr">
        <is>
          <t>Source assignment</t>
        </is>
      </c>
      <c r="L788" s="12" t="inlineStr"/>
      <c r="M788" s="12" t="inlineStr">
        <is>
          <t>Initial</t>
        </is>
      </c>
      <c r="N788" s="12" t="inlineStr">
        <is>
          <t>Rev 0</t>
        </is>
      </c>
      <c r="O788" s="12" t="inlineStr">
        <is>
          <t>R1278-v1</t>
        </is>
      </c>
      <c r="P788" s="12" t="inlineStr"/>
      <c r="Q788" s="12" t="inlineStr"/>
      <c r="R788" s="12" t="inlineStr"/>
      <c r="S788" s="12" t="inlineStr"/>
      <c r="T788" s="12" t="inlineStr"/>
      <c r="U788" s="12" t="inlineStr"/>
      <c r="V788" s="12" t="inlineStr">
        <is>
          <t>Cost Account = CA-3036; WBS Code = 1.3.2</t>
        </is>
      </c>
      <c r="W788" s="12" t="inlineStr"/>
    </row>
    <row r="789" ht="49" customHeight="1">
      <c r="A789" s="12" t="inlineStr">
        <is>
          <t>1.3.2</t>
        </is>
      </c>
      <c r="B789" s="12" t="inlineStr">
        <is>
          <t>Systems - Signalling &amp; Train Control</t>
        </is>
      </c>
      <c r="C789" s="12" t="inlineStr">
        <is>
          <t>Cost &amp; Forecast Control Accounts</t>
        </is>
      </c>
      <c r="D789" s="12" t="inlineStr">
        <is>
          <t>CST-03-038</t>
        </is>
      </c>
      <c r="E789" s="12" t="inlineStr">
        <is>
          <t>Systems - signalling - supply and install</t>
        </is>
      </c>
      <c r="F789" s="12" t="inlineStr">
        <is>
          <t>ONE_TO_ONE</t>
        </is>
      </c>
      <c r="G789" s="12" t="inlineStr">
        <is>
          <t>APPROVED</t>
        </is>
      </c>
      <c r="H789" s="12" t="inlineStr">
        <is>
          <t>New</t>
        </is>
      </c>
      <c r="I789" s="12" t="inlineStr">
        <is>
          <t>Source assignment -- not individually reviewed</t>
        </is>
      </c>
      <c r="J789" s="12" t="inlineStr"/>
      <c r="K789" s="12" t="inlineStr">
        <is>
          <t>Source assignment</t>
        </is>
      </c>
      <c r="L789" s="12" t="inlineStr"/>
      <c r="M789" s="12" t="inlineStr">
        <is>
          <t>Initial</t>
        </is>
      </c>
      <c r="N789" s="12" t="inlineStr">
        <is>
          <t>Rev 0</t>
        </is>
      </c>
      <c r="O789" s="12" t="inlineStr">
        <is>
          <t>R1280-v1</t>
        </is>
      </c>
      <c r="P789" s="12" t="inlineStr"/>
      <c r="Q789" s="12" t="inlineStr"/>
      <c r="R789" s="12" t="inlineStr"/>
      <c r="S789" s="12" t="inlineStr"/>
      <c r="T789" s="12" t="inlineStr"/>
      <c r="U789" s="12" t="inlineStr"/>
      <c r="V789" s="12" t="inlineStr">
        <is>
          <t>Cost Account = CA-3038; WBS Code = 1.3.2</t>
        </is>
      </c>
      <c r="W789" s="12" t="inlineStr"/>
    </row>
    <row r="790" ht="49" customHeight="1">
      <c r="A790" s="12" t="inlineStr">
        <is>
          <t>1.3.2</t>
        </is>
      </c>
      <c r="B790" s="12" t="inlineStr">
        <is>
          <t>Systems - Signalling &amp; Train Control</t>
        </is>
      </c>
      <c r="C790" s="12" t="inlineStr">
        <is>
          <t>Cost &amp; Forecast Control Accounts</t>
        </is>
      </c>
      <c r="D790" s="12" t="inlineStr">
        <is>
          <t>CST-03-040</t>
        </is>
      </c>
      <c r="E790" s="12" t="inlineStr">
        <is>
          <t>Systems - systems integration - allowance</t>
        </is>
      </c>
      <c r="F790" s="12" t="inlineStr">
        <is>
          <t>ONE_TO_ONE</t>
        </is>
      </c>
      <c r="G790" s="12" t="inlineStr">
        <is>
          <t>APPROVED</t>
        </is>
      </c>
      <c r="H790" s="12" t="inlineStr">
        <is>
          <t>New</t>
        </is>
      </c>
      <c r="I790" s="12" t="inlineStr">
        <is>
          <t>Source assignment -- not individually reviewed</t>
        </is>
      </c>
      <c r="J790" s="12" t="inlineStr"/>
      <c r="K790" s="12" t="inlineStr">
        <is>
          <t>Source assignment</t>
        </is>
      </c>
      <c r="L790" s="12" t="inlineStr"/>
      <c r="M790" s="12" t="inlineStr">
        <is>
          <t>Initial</t>
        </is>
      </c>
      <c r="N790" s="12" t="inlineStr">
        <is>
          <t>Rev 0</t>
        </is>
      </c>
      <c r="O790" s="12" t="inlineStr">
        <is>
          <t>R1282-v1</t>
        </is>
      </c>
      <c r="P790" s="12" t="inlineStr"/>
      <c r="Q790" s="12" t="inlineStr"/>
      <c r="R790" s="12" t="inlineStr"/>
      <c r="S790" s="12" t="inlineStr"/>
      <c r="T790" s="12" t="inlineStr"/>
      <c r="U790" s="12" t="inlineStr"/>
      <c r="V790" s="12" t="inlineStr">
        <is>
          <t>Cost Account = CA-3040; WBS Code = 1.3.2</t>
        </is>
      </c>
      <c r="W790" s="12" t="inlineStr"/>
    </row>
    <row r="791" ht="49" customHeight="1">
      <c r="A791" s="12" t="inlineStr">
        <is>
          <t>1.3.2</t>
        </is>
      </c>
      <c r="B791" s="12" t="inlineStr">
        <is>
          <t>Systems - Signalling &amp; Train Control</t>
        </is>
      </c>
      <c r="C791" s="12" t="inlineStr">
        <is>
          <t>Cost &amp; Forecast Control Accounts</t>
        </is>
      </c>
      <c r="D791" s="12" t="inlineStr">
        <is>
          <t>CST-03-042</t>
        </is>
      </c>
      <c r="E791" s="12" t="inlineStr">
        <is>
          <t>Systems - train control - field package</t>
        </is>
      </c>
      <c r="F791" s="12" t="inlineStr">
        <is>
          <t>ONE_TO_ONE</t>
        </is>
      </c>
      <c r="G791" s="12" t="inlineStr">
        <is>
          <t>APPROVED</t>
        </is>
      </c>
      <c r="H791" s="12" t="inlineStr">
        <is>
          <t>New</t>
        </is>
      </c>
      <c r="I791" s="12" t="inlineStr">
        <is>
          <t>Source assignment -- not individually reviewed</t>
        </is>
      </c>
      <c r="J791" s="12" t="inlineStr"/>
      <c r="K791" s="12" t="inlineStr">
        <is>
          <t>Source assignment</t>
        </is>
      </c>
      <c r="L791" s="12" t="inlineStr"/>
      <c r="M791" s="12" t="inlineStr">
        <is>
          <t>Initial</t>
        </is>
      </c>
      <c r="N791" s="12" t="inlineStr">
        <is>
          <t>Rev 0</t>
        </is>
      </c>
      <c r="O791" s="12" t="inlineStr">
        <is>
          <t>R1284-v1</t>
        </is>
      </c>
      <c r="P791" s="12" t="inlineStr"/>
      <c r="Q791" s="12" t="inlineStr"/>
      <c r="R791" s="12" t="inlineStr"/>
      <c r="S791" s="12" t="inlineStr"/>
      <c r="T791" s="12" t="inlineStr"/>
      <c r="U791" s="12" t="inlineStr"/>
      <c r="V791" s="12" t="inlineStr">
        <is>
          <t>Cost Account = CA-3042; WBS Code = 1.3.2</t>
        </is>
      </c>
      <c r="W791" s="12" t="inlineStr"/>
    </row>
    <row r="792" ht="49" customHeight="1">
      <c r="A792" s="12" t="inlineStr">
        <is>
          <t>1.3.2</t>
        </is>
      </c>
      <c r="B792" s="12" t="inlineStr">
        <is>
          <t>Systems - Signalling &amp; Train Control</t>
        </is>
      </c>
      <c r="C792" s="12" t="inlineStr">
        <is>
          <t>Cost &amp; Forecast Control Accounts</t>
        </is>
      </c>
      <c r="D792" s="12" t="inlineStr">
        <is>
          <t>CST-03-044</t>
        </is>
      </c>
      <c r="E792" s="12" t="inlineStr">
        <is>
          <t>Systems - signalling - professional services</t>
        </is>
      </c>
      <c r="F792" s="12" t="inlineStr">
        <is>
          <t>ONE_TO_ONE</t>
        </is>
      </c>
      <c r="G792" s="12" t="inlineStr">
        <is>
          <t>APPROVED</t>
        </is>
      </c>
      <c r="H792" s="12" t="inlineStr">
        <is>
          <t>New</t>
        </is>
      </c>
      <c r="I792" s="12" t="inlineStr">
        <is>
          <t>Source assignment -- not individually reviewed</t>
        </is>
      </c>
      <c r="J792" s="12" t="inlineStr"/>
      <c r="K792" s="12" t="inlineStr">
        <is>
          <t>Source assignment</t>
        </is>
      </c>
      <c r="L792" s="12" t="inlineStr"/>
      <c r="M792" s="12" t="inlineStr">
        <is>
          <t>Initial</t>
        </is>
      </c>
      <c r="N792" s="12" t="inlineStr">
        <is>
          <t>Rev 0</t>
        </is>
      </c>
      <c r="O792" s="12" t="inlineStr">
        <is>
          <t>R1286-v1</t>
        </is>
      </c>
      <c r="P792" s="12" t="inlineStr"/>
      <c r="Q792" s="12" t="inlineStr"/>
      <c r="R792" s="12" t="inlineStr"/>
      <c r="S792" s="12" t="inlineStr"/>
      <c r="T792" s="12" t="inlineStr"/>
      <c r="U792" s="12" t="inlineStr"/>
      <c r="V792" s="12" t="inlineStr">
        <is>
          <t>Cost Account = CA-3044; WBS Code = 1.3.2</t>
        </is>
      </c>
      <c r="W792" s="12" t="inlineStr"/>
    </row>
    <row r="793" ht="49" customHeight="1">
      <c r="A793" s="12" t="inlineStr">
        <is>
          <t>1.3.2</t>
        </is>
      </c>
      <c r="B793" s="12" t="inlineStr">
        <is>
          <t>Systems - Signalling &amp; Train Control</t>
        </is>
      </c>
      <c r="C793" s="12" t="inlineStr">
        <is>
          <t>Cost &amp; Forecast Control Accounts</t>
        </is>
      </c>
      <c r="D793" s="12" t="inlineStr">
        <is>
          <t>CST-03-046</t>
        </is>
      </c>
      <c r="E793" s="12" t="inlineStr">
        <is>
          <t>Systems - systems integration - closeout</t>
        </is>
      </c>
      <c r="F793" s="12" t="inlineStr">
        <is>
          <t>ONE_TO_ONE</t>
        </is>
      </c>
      <c r="G793" s="12" t="inlineStr">
        <is>
          <t>APPROVED</t>
        </is>
      </c>
      <c r="H793" s="12" t="inlineStr">
        <is>
          <t>New</t>
        </is>
      </c>
      <c r="I793" s="12" t="inlineStr">
        <is>
          <t>Source assignment -- not individually reviewed</t>
        </is>
      </c>
      <c r="J793" s="12" t="inlineStr"/>
      <c r="K793" s="12" t="inlineStr">
        <is>
          <t>Source assignment</t>
        </is>
      </c>
      <c r="L793" s="12" t="inlineStr"/>
      <c r="M793" s="12" t="inlineStr">
        <is>
          <t>Initial</t>
        </is>
      </c>
      <c r="N793" s="12" t="inlineStr">
        <is>
          <t>Rev 0</t>
        </is>
      </c>
      <c r="O793" s="12" t="inlineStr">
        <is>
          <t>R1288-v1</t>
        </is>
      </c>
      <c r="P793" s="12" t="inlineStr"/>
      <c r="Q793" s="12" t="inlineStr"/>
      <c r="R793" s="12" t="inlineStr"/>
      <c r="S793" s="12" t="inlineStr"/>
      <c r="T793" s="12" t="inlineStr"/>
      <c r="U793" s="12" t="inlineStr"/>
      <c r="V793" s="12" t="inlineStr">
        <is>
          <t>Cost Account = CA-3046; WBS Code = 1.3.2</t>
        </is>
      </c>
      <c r="W793" s="12" t="inlineStr"/>
    </row>
    <row r="794" ht="49" customHeight="1">
      <c r="A794" s="12" t="inlineStr">
        <is>
          <t>1.3.2</t>
        </is>
      </c>
      <c r="B794" s="12" t="inlineStr">
        <is>
          <t>Systems - Signalling &amp; Train Control</t>
        </is>
      </c>
      <c r="C794" s="12" t="inlineStr">
        <is>
          <t>Cost &amp; Forecast Control Accounts</t>
        </is>
      </c>
      <c r="D794" s="12" t="inlineStr">
        <is>
          <t>CST-03-048</t>
        </is>
      </c>
      <c r="E794" s="12" t="inlineStr">
        <is>
          <t>Systems - train control - supply and install</t>
        </is>
      </c>
      <c r="F794" s="12" t="inlineStr">
        <is>
          <t>ONE_TO_ONE</t>
        </is>
      </c>
      <c r="G794" s="12" t="inlineStr">
        <is>
          <t>APPROVED</t>
        </is>
      </c>
      <c r="H794" s="12" t="inlineStr">
        <is>
          <t>New</t>
        </is>
      </c>
      <c r="I794" s="12" t="inlineStr">
        <is>
          <t>Source assignment -- not individually reviewed</t>
        </is>
      </c>
      <c r="J794" s="12" t="inlineStr"/>
      <c r="K794" s="12" t="inlineStr">
        <is>
          <t>Source assignment</t>
        </is>
      </c>
      <c r="L794" s="12" t="inlineStr"/>
      <c r="M794" s="12" t="inlineStr">
        <is>
          <t>Initial</t>
        </is>
      </c>
      <c r="N794" s="12" t="inlineStr">
        <is>
          <t>Rev 0</t>
        </is>
      </c>
      <c r="O794" s="12" t="inlineStr">
        <is>
          <t>R1290-v1</t>
        </is>
      </c>
      <c r="P794" s="12" t="inlineStr"/>
      <c r="Q794" s="12" t="inlineStr"/>
      <c r="R794" s="12" t="inlineStr"/>
      <c r="S794" s="12" t="inlineStr"/>
      <c r="T794" s="12" t="inlineStr"/>
      <c r="U794" s="12" t="inlineStr"/>
      <c r="V794" s="12" t="inlineStr">
        <is>
          <t>Cost Account = CA-3048; WBS Code = 1.3.2</t>
        </is>
      </c>
      <c r="W794" s="12" t="inlineStr"/>
    </row>
    <row r="795" ht="49" customHeight="1">
      <c r="A795" s="12" t="inlineStr">
        <is>
          <t>1.3.2</t>
        </is>
      </c>
      <c r="B795" s="12" t="inlineStr">
        <is>
          <t>Systems - Signalling &amp; Train Control</t>
        </is>
      </c>
      <c r="C795" s="12" t="inlineStr">
        <is>
          <t>Cost &amp; Forecast Control Accounts</t>
        </is>
      </c>
      <c r="D795" s="12" t="inlineStr">
        <is>
          <t>CST-03-050</t>
        </is>
      </c>
      <c r="E795" s="12" t="inlineStr">
        <is>
          <t>Systems - signalling - allowance</t>
        </is>
      </c>
      <c r="F795" s="12" t="inlineStr">
        <is>
          <t>ONE_TO_ONE</t>
        </is>
      </c>
      <c r="G795" s="12" t="inlineStr">
        <is>
          <t>APPROVED</t>
        </is>
      </c>
      <c r="H795" s="12" t="inlineStr">
        <is>
          <t>New</t>
        </is>
      </c>
      <c r="I795" s="12" t="inlineStr">
        <is>
          <t>Source assignment -- not individually reviewed</t>
        </is>
      </c>
      <c r="J795" s="12" t="inlineStr"/>
      <c r="K795" s="12" t="inlineStr">
        <is>
          <t>Source assignment</t>
        </is>
      </c>
      <c r="L795" s="12" t="inlineStr"/>
      <c r="M795" s="12" t="inlineStr">
        <is>
          <t>Initial</t>
        </is>
      </c>
      <c r="N795" s="12" t="inlineStr">
        <is>
          <t>Rev 0</t>
        </is>
      </c>
      <c r="O795" s="12" t="inlineStr">
        <is>
          <t>R1292-v1</t>
        </is>
      </c>
      <c r="P795" s="12" t="inlineStr"/>
      <c r="Q795" s="12" t="inlineStr"/>
      <c r="R795" s="12" t="inlineStr"/>
      <c r="S795" s="12" t="inlineStr"/>
      <c r="T795" s="12" t="inlineStr"/>
      <c r="U795" s="12" t="inlineStr"/>
      <c r="V795" s="12" t="inlineStr">
        <is>
          <t>Cost Account = CA-3050; WBS Code = 1.3.2</t>
        </is>
      </c>
      <c r="W795" s="12" t="inlineStr"/>
    </row>
    <row r="796" ht="49" customHeight="1">
      <c r="A796" s="12" t="inlineStr">
        <is>
          <t>1.3.2</t>
        </is>
      </c>
      <c r="B796" s="12" t="inlineStr">
        <is>
          <t>Systems - Signalling &amp; Train Control</t>
        </is>
      </c>
      <c r="C796" s="12" t="inlineStr">
        <is>
          <t>Cost &amp; Forecast Control Accounts</t>
        </is>
      </c>
      <c r="D796" s="12" t="inlineStr">
        <is>
          <t>CST-03-052</t>
        </is>
      </c>
      <c r="E796" s="12" t="inlineStr">
        <is>
          <t>Systems - systems integration - field package</t>
        </is>
      </c>
      <c r="F796" s="12" t="inlineStr">
        <is>
          <t>ONE_TO_ONE</t>
        </is>
      </c>
      <c r="G796" s="12" t="inlineStr">
        <is>
          <t>APPROVED</t>
        </is>
      </c>
      <c r="H796" s="12" t="inlineStr">
        <is>
          <t>New</t>
        </is>
      </c>
      <c r="I796" s="12" t="inlineStr">
        <is>
          <t>Source assignment -- not individually reviewed</t>
        </is>
      </c>
      <c r="J796" s="12" t="inlineStr"/>
      <c r="K796" s="12" t="inlineStr">
        <is>
          <t>Source assignment</t>
        </is>
      </c>
      <c r="L796" s="12" t="inlineStr"/>
      <c r="M796" s="12" t="inlineStr">
        <is>
          <t>Initial</t>
        </is>
      </c>
      <c r="N796" s="12" t="inlineStr">
        <is>
          <t>Rev 0</t>
        </is>
      </c>
      <c r="O796" s="12" t="inlineStr">
        <is>
          <t>R1294-v1</t>
        </is>
      </c>
      <c r="P796" s="12" t="inlineStr"/>
      <c r="Q796" s="12" t="inlineStr"/>
      <c r="R796" s="12" t="inlineStr"/>
      <c r="S796" s="12" t="inlineStr"/>
      <c r="T796" s="12" t="inlineStr"/>
      <c r="U796" s="12" t="inlineStr"/>
      <c r="V796" s="12" t="inlineStr">
        <is>
          <t>Cost Account = CA-3052; WBS Code = 1.3.2</t>
        </is>
      </c>
      <c r="W796" s="12" t="inlineStr"/>
    </row>
    <row r="797" ht="49" customHeight="1">
      <c r="A797" s="12" t="inlineStr">
        <is>
          <t>1.3.2</t>
        </is>
      </c>
      <c r="B797" s="12" t="inlineStr">
        <is>
          <t>Systems - Signalling &amp; Train Control</t>
        </is>
      </c>
      <c r="C797" s="12" t="inlineStr">
        <is>
          <t>Cost &amp; Forecast Control Accounts</t>
        </is>
      </c>
      <c r="D797" s="12" t="inlineStr">
        <is>
          <t>CST-03-054</t>
        </is>
      </c>
      <c r="E797" s="12" t="inlineStr">
        <is>
          <t>Systems - train control - professional services</t>
        </is>
      </c>
      <c r="F797" s="12" t="inlineStr">
        <is>
          <t>ONE_TO_ONE</t>
        </is>
      </c>
      <c r="G797" s="12" t="inlineStr">
        <is>
          <t>APPROVED</t>
        </is>
      </c>
      <c r="H797" s="12" t="inlineStr">
        <is>
          <t>New</t>
        </is>
      </c>
      <c r="I797" s="12" t="inlineStr">
        <is>
          <t>Source assignment -- not individually reviewed</t>
        </is>
      </c>
      <c r="J797" s="12" t="inlineStr"/>
      <c r="K797" s="12" t="inlineStr">
        <is>
          <t>Source assignment</t>
        </is>
      </c>
      <c r="L797" s="12" t="inlineStr"/>
      <c r="M797" s="12" t="inlineStr">
        <is>
          <t>Initial</t>
        </is>
      </c>
      <c r="N797" s="12" t="inlineStr">
        <is>
          <t>Rev 0</t>
        </is>
      </c>
      <c r="O797" s="12" t="inlineStr">
        <is>
          <t>R1296-v1</t>
        </is>
      </c>
      <c r="P797" s="12" t="inlineStr"/>
      <c r="Q797" s="12" t="inlineStr"/>
      <c r="R797" s="12" t="inlineStr"/>
      <c r="S797" s="12" t="inlineStr"/>
      <c r="T797" s="12" t="inlineStr"/>
      <c r="U797" s="12" t="inlineStr"/>
      <c r="V797" s="12" t="inlineStr">
        <is>
          <t>Cost Account = CA-3054; WBS Code = 1.3.2</t>
        </is>
      </c>
      <c r="W797" s="12" t="inlineStr"/>
    </row>
    <row r="798" ht="49" customHeight="1">
      <c r="A798" s="12" t="inlineStr">
        <is>
          <t>1.3.2</t>
        </is>
      </c>
      <c r="B798" s="12" t="inlineStr">
        <is>
          <t>Systems - Signalling &amp; Train Control</t>
        </is>
      </c>
      <c r="C798" s="12" t="inlineStr">
        <is>
          <t>Cost &amp; Forecast Control Accounts</t>
        </is>
      </c>
      <c r="D798" s="12" t="inlineStr">
        <is>
          <t>CST-03-056</t>
        </is>
      </c>
      <c r="E798" s="12" t="inlineStr">
        <is>
          <t>Systems - signalling - closeout</t>
        </is>
      </c>
      <c r="F798" s="12" t="inlineStr">
        <is>
          <t>ONE_TO_ONE</t>
        </is>
      </c>
      <c r="G798" s="12" t="inlineStr">
        <is>
          <t>APPROVED</t>
        </is>
      </c>
      <c r="H798" s="12" t="inlineStr">
        <is>
          <t>New</t>
        </is>
      </c>
      <c r="I798" s="12" t="inlineStr">
        <is>
          <t>Source assignment -- not individually reviewed</t>
        </is>
      </c>
      <c r="J798" s="12" t="inlineStr"/>
      <c r="K798" s="12" t="inlineStr">
        <is>
          <t>Source assignment</t>
        </is>
      </c>
      <c r="L798" s="12" t="inlineStr"/>
      <c r="M798" s="12" t="inlineStr">
        <is>
          <t>Initial</t>
        </is>
      </c>
      <c r="N798" s="12" t="inlineStr">
        <is>
          <t>Rev 0</t>
        </is>
      </c>
      <c r="O798" s="12" t="inlineStr">
        <is>
          <t>R1298-v1</t>
        </is>
      </c>
      <c r="P798" s="12" t="inlineStr"/>
      <c r="Q798" s="12" t="inlineStr"/>
      <c r="R798" s="12" t="inlineStr"/>
      <c r="S798" s="12" t="inlineStr"/>
      <c r="T798" s="12" t="inlineStr"/>
      <c r="U798" s="12" t="inlineStr"/>
      <c r="V798" s="12" t="inlineStr">
        <is>
          <t>Cost Account = CA-3056; WBS Code = 1.3.2</t>
        </is>
      </c>
      <c r="W798" s="12" t="inlineStr"/>
    </row>
    <row r="799" ht="49" customHeight="1">
      <c r="A799" s="12" t="inlineStr">
        <is>
          <t>1.3.2</t>
        </is>
      </c>
      <c r="B799" s="12" t="inlineStr">
        <is>
          <t>Systems - Signalling &amp; Train Control</t>
        </is>
      </c>
      <c r="C799" s="12" t="inlineStr">
        <is>
          <t>Cost &amp; Forecast Control Accounts</t>
        </is>
      </c>
      <c r="D799" s="12" t="inlineStr">
        <is>
          <t>CST-03-058</t>
        </is>
      </c>
      <c r="E799" s="12" t="inlineStr">
        <is>
          <t>Systems - systems integration - supply and install</t>
        </is>
      </c>
      <c r="F799" s="12" t="inlineStr">
        <is>
          <t>ONE_TO_ONE</t>
        </is>
      </c>
      <c r="G799" s="12" t="inlineStr">
        <is>
          <t>APPROVED</t>
        </is>
      </c>
      <c r="H799" s="12" t="inlineStr">
        <is>
          <t>New</t>
        </is>
      </c>
      <c r="I799" s="12" t="inlineStr">
        <is>
          <t>Source assignment -- not individually reviewed</t>
        </is>
      </c>
      <c r="J799" s="12" t="inlineStr"/>
      <c r="K799" s="12" t="inlineStr">
        <is>
          <t>Source assignment</t>
        </is>
      </c>
      <c r="L799" s="12" t="inlineStr"/>
      <c r="M799" s="12" t="inlineStr">
        <is>
          <t>Initial</t>
        </is>
      </c>
      <c r="N799" s="12" t="inlineStr">
        <is>
          <t>Rev 0</t>
        </is>
      </c>
      <c r="O799" s="12" t="inlineStr">
        <is>
          <t>R1300-v1</t>
        </is>
      </c>
      <c r="P799" s="12" t="inlineStr"/>
      <c r="Q799" s="12" t="inlineStr"/>
      <c r="R799" s="12" t="inlineStr"/>
      <c r="S799" s="12" t="inlineStr"/>
      <c r="T799" s="12" t="inlineStr"/>
      <c r="U799" s="12" t="inlineStr"/>
      <c r="V799" s="12" t="inlineStr">
        <is>
          <t>Cost Account = CA-3058; WBS Code = 1.3.2</t>
        </is>
      </c>
      <c r="W799" s="12" t="inlineStr"/>
    </row>
    <row r="800" ht="49" customHeight="1">
      <c r="A800" s="12" t="inlineStr">
        <is>
          <t>1.3.2</t>
        </is>
      </c>
      <c r="B800" s="12" t="inlineStr">
        <is>
          <t>Systems - Signalling &amp; Train Control</t>
        </is>
      </c>
      <c r="C800" s="12" t="inlineStr">
        <is>
          <t>Cost &amp; Forecast Control Accounts</t>
        </is>
      </c>
      <c r="D800" s="12" t="inlineStr">
        <is>
          <t>CST-03-060</t>
        </is>
      </c>
      <c r="E800" s="12" t="inlineStr">
        <is>
          <t>Systems - train control - allowance</t>
        </is>
      </c>
      <c r="F800" s="12" t="inlineStr">
        <is>
          <t>ONE_TO_ONE</t>
        </is>
      </c>
      <c r="G800" s="12" t="inlineStr">
        <is>
          <t>APPROVED</t>
        </is>
      </c>
      <c r="H800" s="12" t="inlineStr">
        <is>
          <t>New</t>
        </is>
      </c>
      <c r="I800" s="12" t="inlineStr">
        <is>
          <t>Source assignment -- not individually reviewed</t>
        </is>
      </c>
      <c r="J800" s="12" t="inlineStr"/>
      <c r="K800" s="12" t="inlineStr">
        <is>
          <t>Source assignment</t>
        </is>
      </c>
      <c r="L800" s="12" t="inlineStr"/>
      <c r="M800" s="12" t="inlineStr">
        <is>
          <t>Initial</t>
        </is>
      </c>
      <c r="N800" s="12" t="inlineStr">
        <is>
          <t>Rev 0</t>
        </is>
      </c>
      <c r="O800" s="12" t="inlineStr">
        <is>
          <t>R1302-v1</t>
        </is>
      </c>
      <c r="P800" s="12" t="inlineStr"/>
      <c r="Q800" s="12" t="inlineStr"/>
      <c r="R800" s="12" t="inlineStr"/>
      <c r="S800" s="12" t="inlineStr"/>
      <c r="T800" s="12" t="inlineStr"/>
      <c r="U800" s="12" t="inlineStr"/>
      <c r="V800" s="12" t="inlineStr">
        <is>
          <t>Cost Account = CA-3060; WBS Code = 1.3.2</t>
        </is>
      </c>
      <c r="W800" s="12" t="inlineStr"/>
    </row>
    <row r="801" ht="49" customHeight="1">
      <c r="A801" s="12" t="inlineStr">
        <is>
          <t>1.3.2</t>
        </is>
      </c>
      <c r="B801" s="12" t="inlineStr">
        <is>
          <t>Systems - Signalling &amp; Train Control</t>
        </is>
      </c>
      <c r="C801" s="12" t="inlineStr">
        <is>
          <t>Cost &amp; Forecast Control Accounts</t>
        </is>
      </c>
      <c r="D801" s="12" t="inlineStr">
        <is>
          <t>CST-03-062</t>
        </is>
      </c>
      <c r="E801" s="12" t="inlineStr">
        <is>
          <t>Systems - signalling - field package</t>
        </is>
      </c>
      <c r="F801" s="12" t="inlineStr">
        <is>
          <t>ONE_TO_ONE</t>
        </is>
      </c>
      <c r="G801" s="12" t="inlineStr">
        <is>
          <t>APPROVED</t>
        </is>
      </c>
      <c r="H801" s="12" t="inlineStr">
        <is>
          <t>New</t>
        </is>
      </c>
      <c r="I801" s="12" t="inlineStr">
        <is>
          <t>Source assignment -- not individually reviewed</t>
        </is>
      </c>
      <c r="J801" s="12" t="inlineStr"/>
      <c r="K801" s="12" t="inlineStr">
        <is>
          <t>Source assignment</t>
        </is>
      </c>
      <c r="L801" s="12" t="inlineStr"/>
      <c r="M801" s="12" t="inlineStr">
        <is>
          <t>Initial</t>
        </is>
      </c>
      <c r="N801" s="12" t="inlineStr">
        <is>
          <t>Rev 0</t>
        </is>
      </c>
      <c r="O801" s="12" t="inlineStr">
        <is>
          <t>R1304-v1</t>
        </is>
      </c>
      <c r="P801" s="12" t="inlineStr"/>
      <c r="Q801" s="12" t="inlineStr"/>
      <c r="R801" s="12" t="inlineStr"/>
      <c r="S801" s="12" t="inlineStr"/>
      <c r="T801" s="12" t="inlineStr"/>
      <c r="U801" s="12" t="inlineStr"/>
      <c r="V801" s="12" t="inlineStr">
        <is>
          <t>Cost Account = CA-3062; WBS Code = 1.3.2</t>
        </is>
      </c>
      <c r="W801" s="12" t="inlineStr"/>
    </row>
    <row r="802" ht="49" customHeight="1">
      <c r="A802" s="12" t="inlineStr">
        <is>
          <t>1.3.2</t>
        </is>
      </c>
      <c r="B802" s="12" t="inlineStr">
        <is>
          <t>Systems - Signalling &amp; Train Control</t>
        </is>
      </c>
      <c r="C802" s="12" t="inlineStr">
        <is>
          <t>Cost &amp; Forecast Control Accounts</t>
        </is>
      </c>
      <c r="D802" s="12" t="inlineStr">
        <is>
          <t>CST-03-064</t>
        </is>
      </c>
      <c r="E802" s="12" t="inlineStr">
        <is>
          <t>Systems - systems integration - professional services</t>
        </is>
      </c>
      <c r="F802" s="12" t="inlineStr">
        <is>
          <t>ONE_TO_ONE</t>
        </is>
      </c>
      <c r="G802" s="12" t="inlineStr">
        <is>
          <t>APPROVED</t>
        </is>
      </c>
      <c r="H802" s="12" t="inlineStr">
        <is>
          <t>New</t>
        </is>
      </c>
      <c r="I802" s="12" t="inlineStr">
        <is>
          <t>Source assignment -- not individually reviewed</t>
        </is>
      </c>
      <c r="J802" s="12" t="inlineStr"/>
      <c r="K802" s="12" t="inlineStr">
        <is>
          <t>Source assignment</t>
        </is>
      </c>
      <c r="L802" s="12" t="inlineStr"/>
      <c r="M802" s="12" t="inlineStr">
        <is>
          <t>Initial</t>
        </is>
      </c>
      <c r="N802" s="12" t="inlineStr">
        <is>
          <t>Rev 0</t>
        </is>
      </c>
      <c r="O802" s="12" t="inlineStr">
        <is>
          <t>R1306-v1</t>
        </is>
      </c>
      <c r="P802" s="12" t="inlineStr"/>
      <c r="Q802" s="12" t="inlineStr"/>
      <c r="R802" s="12" t="inlineStr"/>
      <c r="S802" s="12" t="inlineStr"/>
      <c r="T802" s="12" t="inlineStr"/>
      <c r="U802" s="12" t="inlineStr"/>
      <c r="V802" s="12" t="inlineStr">
        <is>
          <t>Cost Account = CA-3064; WBS Code = 1.3.2</t>
        </is>
      </c>
      <c r="W802" s="12" t="inlineStr"/>
    </row>
    <row r="803" ht="49" customHeight="1">
      <c r="A803" s="12" t="inlineStr">
        <is>
          <t>1.3.2</t>
        </is>
      </c>
      <c r="B803" s="12" t="inlineStr">
        <is>
          <t>Systems - Signalling &amp; Train Control</t>
        </is>
      </c>
      <c r="C803" s="12" t="inlineStr">
        <is>
          <t>Cost &amp; Forecast Control Accounts</t>
        </is>
      </c>
      <c r="D803" s="12" t="inlineStr">
        <is>
          <t>CST-03-066</t>
        </is>
      </c>
      <c r="E803" s="12" t="inlineStr">
        <is>
          <t>Systems - train control - closeout</t>
        </is>
      </c>
      <c r="F803" s="12" t="inlineStr">
        <is>
          <t>ONE_TO_ONE</t>
        </is>
      </c>
      <c r="G803" s="12" t="inlineStr">
        <is>
          <t>APPROVED</t>
        </is>
      </c>
      <c r="H803" s="12" t="inlineStr">
        <is>
          <t>New</t>
        </is>
      </c>
      <c r="I803" s="12" t="inlineStr">
        <is>
          <t>Source assignment -- not individually reviewed</t>
        </is>
      </c>
      <c r="J803" s="12" t="inlineStr"/>
      <c r="K803" s="12" t="inlineStr">
        <is>
          <t>Source assignment</t>
        </is>
      </c>
      <c r="L803" s="12" t="inlineStr"/>
      <c r="M803" s="12" t="inlineStr">
        <is>
          <t>Initial</t>
        </is>
      </c>
      <c r="N803" s="12" t="inlineStr">
        <is>
          <t>Rev 0</t>
        </is>
      </c>
      <c r="O803" s="12" t="inlineStr">
        <is>
          <t>R1308-v1</t>
        </is>
      </c>
      <c r="P803" s="12" t="inlineStr"/>
      <c r="Q803" s="12" t="inlineStr"/>
      <c r="R803" s="12" t="inlineStr"/>
      <c r="S803" s="12" t="inlineStr"/>
      <c r="T803" s="12" t="inlineStr"/>
      <c r="U803" s="12" t="inlineStr"/>
      <c r="V803" s="12" t="inlineStr">
        <is>
          <t>Cost Account = CA-3066; WBS Code = 1.3.2</t>
        </is>
      </c>
      <c r="W803" s="12" t="inlineStr"/>
    </row>
    <row r="804" ht="49" customHeight="1">
      <c r="A804" s="12" t="inlineStr">
        <is>
          <t>1.3.2</t>
        </is>
      </c>
      <c r="B804" s="12" t="inlineStr">
        <is>
          <t>Systems - Signalling &amp; Train Control</t>
        </is>
      </c>
      <c r="C804" s="12" t="inlineStr">
        <is>
          <t>Cost &amp; Forecast Control Accounts</t>
        </is>
      </c>
      <c r="D804" s="12" t="inlineStr">
        <is>
          <t>CST-03-068</t>
        </is>
      </c>
      <c r="E804" s="12" t="inlineStr">
        <is>
          <t>Systems - signalling - supply and install</t>
        </is>
      </c>
      <c r="F804" s="12" t="inlineStr">
        <is>
          <t>ONE_TO_ONE</t>
        </is>
      </c>
      <c r="G804" s="12" t="inlineStr">
        <is>
          <t>APPROVED</t>
        </is>
      </c>
      <c r="H804" s="12" t="inlineStr">
        <is>
          <t>New</t>
        </is>
      </c>
      <c r="I804" s="12" t="inlineStr">
        <is>
          <t>Source assignment -- not individually reviewed</t>
        </is>
      </c>
      <c r="J804" s="12" t="inlineStr"/>
      <c r="K804" s="12" t="inlineStr">
        <is>
          <t>Source assignment</t>
        </is>
      </c>
      <c r="L804" s="12" t="inlineStr"/>
      <c r="M804" s="12" t="inlineStr">
        <is>
          <t>Initial</t>
        </is>
      </c>
      <c r="N804" s="12" t="inlineStr">
        <is>
          <t>Rev 0</t>
        </is>
      </c>
      <c r="O804" s="12" t="inlineStr">
        <is>
          <t>R1310-v1</t>
        </is>
      </c>
      <c r="P804" s="12" t="inlineStr"/>
      <c r="Q804" s="12" t="inlineStr"/>
      <c r="R804" s="12" t="inlineStr"/>
      <c r="S804" s="12" t="inlineStr"/>
      <c r="T804" s="12" t="inlineStr"/>
      <c r="U804" s="12" t="inlineStr"/>
      <c r="V804" s="12" t="inlineStr">
        <is>
          <t>Cost Account = CA-3068; WBS Code = 1.3.2</t>
        </is>
      </c>
      <c r="W804" s="12" t="inlineStr"/>
    </row>
    <row r="805" ht="49" customHeight="1">
      <c r="A805" s="12" t="inlineStr">
        <is>
          <t>1.3.2</t>
        </is>
      </c>
      <c r="B805" s="12" t="inlineStr">
        <is>
          <t>Systems - Signalling &amp; Train Control</t>
        </is>
      </c>
      <c r="C805" s="12" t="inlineStr">
        <is>
          <t>Cost &amp; Forecast Control Accounts</t>
        </is>
      </c>
      <c r="D805" s="12" t="inlineStr">
        <is>
          <t>CST-03-070</t>
        </is>
      </c>
      <c r="E805" s="12" t="inlineStr">
        <is>
          <t>Systems - systems integration - allowance</t>
        </is>
      </c>
      <c r="F805" s="12" t="inlineStr">
        <is>
          <t>ONE_TO_ONE</t>
        </is>
      </c>
      <c r="G805" s="12" t="inlineStr">
        <is>
          <t>APPROVED</t>
        </is>
      </c>
      <c r="H805" s="12" t="inlineStr">
        <is>
          <t>New</t>
        </is>
      </c>
      <c r="I805" s="12" t="inlineStr">
        <is>
          <t>Source assignment -- not individually reviewed</t>
        </is>
      </c>
      <c r="J805" s="12" t="inlineStr"/>
      <c r="K805" s="12" t="inlineStr">
        <is>
          <t>Source assignment</t>
        </is>
      </c>
      <c r="L805" s="12" t="inlineStr"/>
      <c r="M805" s="12" t="inlineStr">
        <is>
          <t>Initial</t>
        </is>
      </c>
      <c r="N805" s="12" t="inlineStr">
        <is>
          <t>Rev 0</t>
        </is>
      </c>
      <c r="O805" s="12" t="inlineStr">
        <is>
          <t>R1312-v1</t>
        </is>
      </c>
      <c r="P805" s="12" t="inlineStr"/>
      <c r="Q805" s="12" t="inlineStr"/>
      <c r="R805" s="12" t="inlineStr"/>
      <c r="S805" s="12" t="inlineStr"/>
      <c r="T805" s="12" t="inlineStr"/>
      <c r="U805" s="12" t="inlineStr"/>
      <c r="V805" s="12" t="inlineStr">
        <is>
          <t>Cost Account = CA-3070; WBS Code = 1.3.2</t>
        </is>
      </c>
      <c r="W805" s="12" t="inlineStr"/>
    </row>
    <row r="806" ht="49" customHeight="1">
      <c r="A806" s="12" t="inlineStr">
        <is>
          <t>1.3.2</t>
        </is>
      </c>
      <c r="B806" s="12" t="inlineStr">
        <is>
          <t>Systems - Signalling &amp; Train Control</t>
        </is>
      </c>
      <c r="C806" s="12" t="inlineStr">
        <is>
          <t>Cost &amp; Forecast Control Accounts</t>
        </is>
      </c>
      <c r="D806" s="12" t="inlineStr">
        <is>
          <t>CST-03-072</t>
        </is>
      </c>
      <c r="E806" s="12" t="inlineStr">
        <is>
          <t>Systems - train control - field package</t>
        </is>
      </c>
      <c r="F806" s="12" t="inlineStr">
        <is>
          <t>ONE_TO_ONE</t>
        </is>
      </c>
      <c r="G806" s="12" t="inlineStr">
        <is>
          <t>APPROVED</t>
        </is>
      </c>
      <c r="H806" s="12" t="inlineStr">
        <is>
          <t>New</t>
        </is>
      </c>
      <c r="I806" s="12" t="inlineStr">
        <is>
          <t>Source assignment -- not individually reviewed</t>
        </is>
      </c>
      <c r="J806" s="12" t="inlineStr"/>
      <c r="K806" s="12" t="inlineStr">
        <is>
          <t>Source assignment</t>
        </is>
      </c>
      <c r="L806" s="12" t="inlineStr"/>
      <c r="M806" s="12" t="inlineStr">
        <is>
          <t>Initial</t>
        </is>
      </c>
      <c r="N806" s="12" t="inlineStr">
        <is>
          <t>Rev 0</t>
        </is>
      </c>
      <c r="O806" s="12" t="inlineStr">
        <is>
          <t>R1314-v1</t>
        </is>
      </c>
      <c r="P806" s="12" t="inlineStr"/>
      <c r="Q806" s="12" t="inlineStr"/>
      <c r="R806" s="12" t="inlineStr"/>
      <c r="S806" s="12" t="inlineStr"/>
      <c r="T806" s="12" t="inlineStr"/>
      <c r="U806" s="12" t="inlineStr"/>
      <c r="V806" s="12" t="inlineStr">
        <is>
          <t>Cost Account = CA-3072; WBS Code = 1.3.2</t>
        </is>
      </c>
      <c r="W806" s="12" t="inlineStr"/>
    </row>
    <row r="807" ht="49" customHeight="1">
      <c r="A807" s="12" t="inlineStr">
        <is>
          <t>1.3.2</t>
        </is>
      </c>
      <c r="B807" s="12" t="inlineStr">
        <is>
          <t>Systems - Signalling &amp; Train Control</t>
        </is>
      </c>
      <c r="C807" s="12" t="inlineStr">
        <is>
          <t>Cost &amp; Forecast Control Accounts</t>
        </is>
      </c>
      <c r="D807" s="12" t="inlineStr">
        <is>
          <t>CST-03-074</t>
        </is>
      </c>
      <c r="E807" s="12" t="inlineStr">
        <is>
          <t>Systems - signalling - professional services</t>
        </is>
      </c>
      <c r="F807" s="12" t="inlineStr">
        <is>
          <t>ONE_TO_ONE</t>
        </is>
      </c>
      <c r="G807" s="12" t="inlineStr">
        <is>
          <t>APPROVED</t>
        </is>
      </c>
      <c r="H807" s="12" t="inlineStr">
        <is>
          <t>New</t>
        </is>
      </c>
      <c r="I807" s="12" t="inlineStr">
        <is>
          <t>Source assignment -- not individually reviewed</t>
        </is>
      </c>
      <c r="J807" s="12" t="inlineStr"/>
      <c r="K807" s="12" t="inlineStr">
        <is>
          <t>Source assignment</t>
        </is>
      </c>
      <c r="L807" s="12" t="inlineStr"/>
      <c r="M807" s="12" t="inlineStr">
        <is>
          <t>Initial</t>
        </is>
      </c>
      <c r="N807" s="12" t="inlineStr">
        <is>
          <t>Rev 0</t>
        </is>
      </c>
      <c r="O807" s="12" t="inlineStr">
        <is>
          <t>R1316-v1</t>
        </is>
      </c>
      <c r="P807" s="12" t="inlineStr"/>
      <c r="Q807" s="12" t="inlineStr"/>
      <c r="R807" s="12" t="inlineStr"/>
      <c r="S807" s="12" t="inlineStr"/>
      <c r="T807" s="12" t="inlineStr"/>
      <c r="U807" s="12" t="inlineStr"/>
      <c r="V807" s="12" t="inlineStr">
        <is>
          <t>Cost Account = CA-3074; WBS Code = 1.3.2</t>
        </is>
      </c>
      <c r="W807" s="12" t="inlineStr"/>
    </row>
    <row r="808" ht="49" customHeight="1">
      <c r="A808" s="12" t="inlineStr">
        <is>
          <t>1.3.2</t>
        </is>
      </c>
      <c r="B808" s="12" t="inlineStr">
        <is>
          <t>Systems - Signalling &amp; Train Control</t>
        </is>
      </c>
      <c r="C808" s="12" t="inlineStr">
        <is>
          <t>Cost &amp; Forecast Control Accounts</t>
        </is>
      </c>
      <c r="D808" s="12" t="inlineStr">
        <is>
          <t>CST-03-076</t>
        </is>
      </c>
      <c r="E808" s="12" t="inlineStr">
        <is>
          <t>Systems - systems integration - closeout</t>
        </is>
      </c>
      <c r="F808" s="12" t="inlineStr">
        <is>
          <t>ONE_TO_ONE</t>
        </is>
      </c>
      <c r="G808" s="12" t="inlineStr">
        <is>
          <t>APPROVED</t>
        </is>
      </c>
      <c r="H808" s="12" t="inlineStr">
        <is>
          <t>New</t>
        </is>
      </c>
      <c r="I808" s="12" t="inlineStr">
        <is>
          <t>Source assignment -- not individually reviewed</t>
        </is>
      </c>
      <c r="J808" s="12" t="inlineStr"/>
      <c r="K808" s="12" t="inlineStr">
        <is>
          <t>Source assignment</t>
        </is>
      </c>
      <c r="L808" s="12" t="inlineStr"/>
      <c r="M808" s="12" t="inlineStr">
        <is>
          <t>Initial</t>
        </is>
      </c>
      <c r="N808" s="12" t="inlineStr">
        <is>
          <t>Rev 0</t>
        </is>
      </c>
      <c r="O808" s="12" t="inlineStr">
        <is>
          <t>R1318-v1</t>
        </is>
      </c>
      <c r="P808" s="12" t="inlineStr"/>
      <c r="Q808" s="12" t="inlineStr"/>
      <c r="R808" s="12" t="inlineStr"/>
      <c r="S808" s="12" t="inlineStr"/>
      <c r="T808" s="12" t="inlineStr"/>
      <c r="U808" s="12" t="inlineStr"/>
      <c r="V808" s="12" t="inlineStr">
        <is>
          <t>Cost Account = CA-3076; WBS Code = 1.3.2</t>
        </is>
      </c>
      <c r="W808" s="12" t="inlineStr"/>
    </row>
    <row r="809" ht="49" customHeight="1">
      <c r="A809" s="12" t="inlineStr">
        <is>
          <t>1.3.2</t>
        </is>
      </c>
      <c r="B809" s="12" t="inlineStr">
        <is>
          <t>Systems - Signalling &amp; Train Control</t>
        </is>
      </c>
      <c r="C809" s="12" t="inlineStr">
        <is>
          <t>Cost &amp; Forecast Control Accounts</t>
        </is>
      </c>
      <c r="D809" s="12" t="inlineStr">
        <is>
          <t>CST-03-078</t>
        </is>
      </c>
      <c r="E809" s="12" t="inlineStr">
        <is>
          <t>Systems - train control - supply and install</t>
        </is>
      </c>
      <c r="F809" s="12" t="inlineStr">
        <is>
          <t>ONE_TO_ONE</t>
        </is>
      </c>
      <c r="G809" s="12" t="inlineStr">
        <is>
          <t>APPROVED</t>
        </is>
      </c>
      <c r="H809" s="12" t="inlineStr">
        <is>
          <t>New</t>
        </is>
      </c>
      <c r="I809" s="12" t="inlineStr">
        <is>
          <t>Source assignment -- not individually reviewed</t>
        </is>
      </c>
      <c r="J809" s="12" t="inlineStr"/>
      <c r="K809" s="12" t="inlineStr">
        <is>
          <t>Source assignment</t>
        </is>
      </c>
      <c r="L809" s="12" t="inlineStr"/>
      <c r="M809" s="12" t="inlineStr">
        <is>
          <t>Initial</t>
        </is>
      </c>
      <c r="N809" s="12" t="inlineStr">
        <is>
          <t>Rev 0</t>
        </is>
      </c>
      <c r="O809" s="12" t="inlineStr">
        <is>
          <t>R1320-v1</t>
        </is>
      </c>
      <c r="P809" s="12" t="inlineStr"/>
      <c r="Q809" s="12" t="inlineStr"/>
      <c r="R809" s="12" t="inlineStr"/>
      <c r="S809" s="12" t="inlineStr"/>
      <c r="T809" s="12" t="inlineStr"/>
      <c r="U809" s="12" t="inlineStr"/>
      <c r="V809" s="12" t="inlineStr">
        <is>
          <t>Cost Account = CA-3078; WBS Code = 1.3.2</t>
        </is>
      </c>
      <c r="W809" s="12" t="inlineStr"/>
    </row>
    <row r="810" ht="49" customHeight="1">
      <c r="A810" s="12" t="inlineStr">
        <is>
          <t>1.3.2</t>
        </is>
      </c>
      <c r="B810" s="12" t="inlineStr">
        <is>
          <t>Systems - Signalling &amp; Train Control</t>
        </is>
      </c>
      <c r="C810" s="12" t="inlineStr">
        <is>
          <t>Cost &amp; Forecast Control Accounts</t>
        </is>
      </c>
      <c r="D810" s="12" t="inlineStr">
        <is>
          <t>CST-03-080</t>
        </is>
      </c>
      <c r="E810" s="12" t="inlineStr">
        <is>
          <t>Systems - signalling - allowance</t>
        </is>
      </c>
      <c r="F810" s="12" t="inlineStr">
        <is>
          <t>ONE_TO_ONE</t>
        </is>
      </c>
      <c r="G810" s="12" t="inlineStr">
        <is>
          <t>APPROVED</t>
        </is>
      </c>
      <c r="H810" s="12" t="inlineStr">
        <is>
          <t>New</t>
        </is>
      </c>
      <c r="I810" s="12" t="inlineStr">
        <is>
          <t>Source assignment -- not individually reviewed</t>
        </is>
      </c>
      <c r="J810" s="12" t="inlineStr"/>
      <c r="K810" s="12" t="inlineStr">
        <is>
          <t>Source assignment</t>
        </is>
      </c>
      <c r="L810" s="12" t="inlineStr"/>
      <c r="M810" s="12" t="inlineStr">
        <is>
          <t>Initial</t>
        </is>
      </c>
      <c r="N810" s="12" t="inlineStr">
        <is>
          <t>Rev 0</t>
        </is>
      </c>
      <c r="O810" s="12" t="inlineStr">
        <is>
          <t>R1322-v1</t>
        </is>
      </c>
      <c r="P810" s="12" t="inlineStr"/>
      <c r="Q810" s="12" t="inlineStr"/>
      <c r="R810" s="12" t="inlineStr"/>
      <c r="S810" s="12" t="inlineStr"/>
      <c r="T810" s="12" t="inlineStr"/>
      <c r="U810" s="12" t="inlineStr"/>
      <c r="V810" s="12" t="inlineStr">
        <is>
          <t>Cost Account = CA-3080; WBS Code = 1.3.2</t>
        </is>
      </c>
      <c r="W810" s="12" t="inlineStr"/>
    </row>
    <row r="811" ht="49" customHeight="1">
      <c r="A811" s="12" t="inlineStr">
        <is>
          <t>1.4</t>
        </is>
      </c>
      <c r="B811" s="12" t="inlineStr">
        <is>
          <t>Vehicles and Depot</t>
        </is>
      </c>
      <c r="C811" s="12" t="inlineStr">
        <is>
          <t>Commercial Package Register</t>
        </is>
      </c>
      <c r="D811" s="12" t="inlineStr">
        <is>
          <t>PKG-031</t>
        </is>
      </c>
      <c r="E811" s="12" t="inlineStr">
        <is>
          <t>Fleet Supply</t>
        </is>
      </c>
      <c r="F811" s="12" t="inlineStr">
        <is>
          <t>ONE_TO_ONE</t>
        </is>
      </c>
      <c r="G811" s="12" t="inlineStr">
        <is>
          <t>APPROVED</t>
        </is>
      </c>
      <c r="H811" s="12" t="inlineStr">
        <is>
          <t>New</t>
        </is>
      </c>
      <c r="I811" s="12" t="inlineStr">
        <is>
          <t>Source assignment -- not individually reviewed</t>
        </is>
      </c>
      <c r="J811" s="12" t="inlineStr"/>
      <c r="K811" s="12" t="inlineStr">
        <is>
          <t>Source assignment</t>
        </is>
      </c>
      <c r="L811" s="12" t="inlineStr"/>
      <c r="M811" s="12" t="inlineStr">
        <is>
          <t>Initial</t>
        </is>
      </c>
      <c r="N811" s="12" t="inlineStr">
        <is>
          <t>Rev 0</t>
        </is>
      </c>
      <c r="O811" s="12" t="inlineStr">
        <is>
          <t>R1593-v1</t>
        </is>
      </c>
      <c r="P811" s="12" t="inlineStr"/>
      <c r="Q811" s="12" t="inlineStr"/>
      <c r="R811" s="12" t="inlineStr"/>
      <c r="S811" s="12" t="inlineStr"/>
      <c r="T811" s="12" t="inlineStr"/>
      <c r="U811" s="12" t="inlineStr"/>
      <c r="V811" s="12" t="inlineStr">
        <is>
          <t>Package Code = PK-401; WBS Code = 1.4</t>
        </is>
      </c>
      <c r="W811" s="12" t="inlineStr"/>
    </row>
    <row r="812" ht="49" customHeight="1">
      <c r="A812" s="12" t="inlineStr">
        <is>
          <t>1.4</t>
        </is>
      </c>
      <c r="B812" s="12" t="inlineStr">
        <is>
          <t>Vehicles and Depot</t>
        </is>
      </c>
      <c r="C812" s="12" t="inlineStr">
        <is>
          <t>Commercial Package Register</t>
        </is>
      </c>
      <c r="D812" s="12" t="inlineStr">
        <is>
          <t>PKG-032</t>
        </is>
      </c>
      <c r="E812" s="12" t="inlineStr">
        <is>
          <t>Depot Buildings</t>
        </is>
      </c>
      <c r="F812" s="12" t="inlineStr">
        <is>
          <t>ONE_TO_ONE</t>
        </is>
      </c>
      <c r="G812" s="12" t="inlineStr">
        <is>
          <t>APPROVED</t>
        </is>
      </c>
      <c r="H812" s="12" t="inlineStr">
        <is>
          <t>New</t>
        </is>
      </c>
      <c r="I812" s="12" t="inlineStr">
        <is>
          <t>Source assignment -- not individually reviewed</t>
        </is>
      </c>
      <c r="J812" s="12" t="inlineStr"/>
      <c r="K812" s="12" t="inlineStr">
        <is>
          <t>Source assignment</t>
        </is>
      </c>
      <c r="L812" s="12" t="inlineStr"/>
      <c r="M812" s="12" t="inlineStr">
        <is>
          <t>Initial</t>
        </is>
      </c>
      <c r="N812" s="12" t="inlineStr">
        <is>
          <t>Rev 0</t>
        </is>
      </c>
      <c r="O812" s="12" t="inlineStr">
        <is>
          <t>R1594-v1</t>
        </is>
      </c>
      <c r="P812" s="12" t="inlineStr"/>
      <c r="Q812" s="12" t="inlineStr"/>
      <c r="R812" s="12" t="inlineStr"/>
      <c r="S812" s="12" t="inlineStr"/>
      <c r="T812" s="12" t="inlineStr"/>
      <c r="U812" s="12" t="inlineStr"/>
      <c r="V812" s="12" t="inlineStr">
        <is>
          <t>Package Code = PK-402; WBS Code = 1.4</t>
        </is>
      </c>
      <c r="W812" s="12" t="inlineStr"/>
    </row>
    <row r="813" ht="49" customHeight="1">
      <c r="A813" s="12" t="inlineStr">
        <is>
          <t>1.4</t>
        </is>
      </c>
      <c r="B813" s="12" t="inlineStr">
        <is>
          <t>Vehicles and Depot</t>
        </is>
      </c>
      <c r="C813" s="12" t="inlineStr">
        <is>
          <t>Commercial Package Register</t>
        </is>
      </c>
      <c r="D813" s="12" t="inlineStr">
        <is>
          <t>PKG-033</t>
        </is>
      </c>
      <c r="E813" s="12" t="inlineStr">
        <is>
          <t>Workshop Equipment</t>
        </is>
      </c>
      <c r="F813" s="12" t="inlineStr">
        <is>
          <t>ONE_TO_ONE</t>
        </is>
      </c>
      <c r="G813" s="12" t="inlineStr">
        <is>
          <t>APPROVED</t>
        </is>
      </c>
      <c r="H813" s="12" t="inlineStr">
        <is>
          <t>New</t>
        </is>
      </c>
      <c r="I813" s="12" t="inlineStr">
        <is>
          <t>Source assignment -- not individually reviewed</t>
        </is>
      </c>
      <c r="J813" s="12" t="inlineStr"/>
      <c r="K813" s="12" t="inlineStr">
        <is>
          <t>Source assignment</t>
        </is>
      </c>
      <c r="L813" s="12" t="inlineStr"/>
      <c r="M813" s="12" t="inlineStr">
        <is>
          <t>Initial</t>
        </is>
      </c>
      <c r="N813" s="12" t="inlineStr">
        <is>
          <t>Rev 0</t>
        </is>
      </c>
      <c r="O813" s="12" t="inlineStr">
        <is>
          <t>R1595-v1</t>
        </is>
      </c>
      <c r="P813" s="12" t="inlineStr"/>
      <c r="Q813" s="12" t="inlineStr"/>
      <c r="R813" s="12" t="inlineStr"/>
      <c r="S813" s="12" t="inlineStr"/>
      <c r="T813" s="12" t="inlineStr"/>
      <c r="U813" s="12" t="inlineStr"/>
      <c r="V813" s="12" t="inlineStr">
        <is>
          <t>Package Code = PK-403; WBS Code = 1.4</t>
        </is>
      </c>
      <c r="W813" s="12" t="inlineStr"/>
    </row>
    <row r="814" ht="49" customHeight="1">
      <c r="A814" s="12" t="inlineStr">
        <is>
          <t>1.4</t>
        </is>
      </c>
      <c r="B814" s="12" t="inlineStr">
        <is>
          <t>Vehicles and Depot</t>
        </is>
      </c>
      <c r="C814" s="12" t="inlineStr">
        <is>
          <t>Commercial Package Register</t>
        </is>
      </c>
      <c r="D814" s="12" t="inlineStr">
        <is>
          <t>PKG-034</t>
        </is>
      </c>
      <c r="E814" s="12" t="inlineStr">
        <is>
          <t>Vehicle Integration</t>
        </is>
      </c>
      <c r="F814" s="12" t="inlineStr">
        <is>
          <t>ONE_TO_ONE</t>
        </is>
      </c>
      <c r="G814" s="12" t="inlineStr">
        <is>
          <t>APPROVED</t>
        </is>
      </c>
      <c r="H814" s="12" t="inlineStr">
        <is>
          <t>New</t>
        </is>
      </c>
      <c r="I814" s="12" t="inlineStr">
        <is>
          <t>Source assignment -- not individually reviewed</t>
        </is>
      </c>
      <c r="J814" s="12" t="inlineStr"/>
      <c r="K814" s="12" t="inlineStr">
        <is>
          <t>Source assignment</t>
        </is>
      </c>
      <c r="L814" s="12" t="inlineStr"/>
      <c r="M814" s="12" t="inlineStr">
        <is>
          <t>Initial</t>
        </is>
      </c>
      <c r="N814" s="12" t="inlineStr">
        <is>
          <t>Rev 0</t>
        </is>
      </c>
      <c r="O814" s="12" t="inlineStr">
        <is>
          <t>R1596-v1</t>
        </is>
      </c>
      <c r="P814" s="12" t="inlineStr"/>
      <c r="Q814" s="12" t="inlineStr"/>
      <c r="R814" s="12" t="inlineStr"/>
      <c r="S814" s="12" t="inlineStr"/>
      <c r="T814" s="12" t="inlineStr"/>
      <c r="U814" s="12" t="inlineStr"/>
      <c r="V814" s="12" t="inlineStr">
        <is>
          <t>Package Code = PK-404; WBS Code = 1.4</t>
        </is>
      </c>
      <c r="W814" s="12" t="inlineStr"/>
    </row>
    <row r="815" ht="49" customHeight="1">
      <c r="A815" s="12" t="inlineStr">
        <is>
          <t>1.4</t>
        </is>
      </c>
      <c r="B815" s="12" t="inlineStr">
        <is>
          <t>Vehicles and Depot</t>
        </is>
      </c>
      <c r="C815" s="12" t="inlineStr">
        <is>
          <t>Commercial Package Register</t>
        </is>
      </c>
      <c r="D815" s="12" t="inlineStr">
        <is>
          <t>PKG-035</t>
        </is>
      </c>
      <c r="E815" s="12" t="inlineStr">
        <is>
          <t>Fleet Supply - Lot 2</t>
        </is>
      </c>
      <c r="F815" s="12" t="inlineStr">
        <is>
          <t>ONE_TO_ONE</t>
        </is>
      </c>
      <c r="G815" s="12" t="inlineStr">
        <is>
          <t>APPROVED</t>
        </is>
      </c>
      <c r="H815" s="12" t="inlineStr">
        <is>
          <t>New</t>
        </is>
      </c>
      <c r="I815" s="12" t="inlineStr">
        <is>
          <t>Source assignment -- not individually reviewed</t>
        </is>
      </c>
      <c r="J815" s="12" t="inlineStr"/>
      <c r="K815" s="12" t="inlineStr">
        <is>
          <t>Source assignment</t>
        </is>
      </c>
      <c r="L815" s="12" t="inlineStr"/>
      <c r="M815" s="12" t="inlineStr">
        <is>
          <t>Initial</t>
        </is>
      </c>
      <c r="N815" s="12" t="inlineStr">
        <is>
          <t>Rev 0</t>
        </is>
      </c>
      <c r="O815" s="12" t="inlineStr">
        <is>
          <t>R1597-v1</t>
        </is>
      </c>
      <c r="P815" s="12" t="inlineStr"/>
      <c r="Q815" s="12" t="inlineStr"/>
      <c r="R815" s="12" t="inlineStr"/>
      <c r="S815" s="12" t="inlineStr"/>
      <c r="T815" s="12" t="inlineStr"/>
      <c r="U815" s="12" t="inlineStr"/>
      <c r="V815" s="12" t="inlineStr">
        <is>
          <t>Package Code = PK-405; WBS Code = 1.4</t>
        </is>
      </c>
      <c r="W815" s="12" t="inlineStr"/>
    </row>
    <row r="816" ht="49" customHeight="1">
      <c r="A816" s="12" t="inlineStr">
        <is>
          <t>1.4</t>
        </is>
      </c>
      <c r="B816" s="12" t="inlineStr">
        <is>
          <t>Vehicles and Depot</t>
        </is>
      </c>
      <c r="C816" s="12" t="inlineStr">
        <is>
          <t>Commercial Package Register</t>
        </is>
      </c>
      <c r="D816" s="12" t="inlineStr">
        <is>
          <t>PKG-036</t>
        </is>
      </c>
      <c r="E816" s="12" t="inlineStr">
        <is>
          <t>Depot Buildings - Lot 2</t>
        </is>
      </c>
      <c r="F816" s="12" t="inlineStr">
        <is>
          <t>ONE_TO_ONE</t>
        </is>
      </c>
      <c r="G816" s="12" t="inlineStr">
        <is>
          <t>APPROVED</t>
        </is>
      </c>
      <c r="H816" s="12" t="inlineStr">
        <is>
          <t>New</t>
        </is>
      </c>
      <c r="I816" s="12" t="inlineStr">
        <is>
          <t>Source assignment -- not individually reviewed</t>
        </is>
      </c>
      <c r="J816" s="12" t="inlineStr"/>
      <c r="K816" s="12" t="inlineStr">
        <is>
          <t>Source assignment</t>
        </is>
      </c>
      <c r="L816" s="12" t="inlineStr"/>
      <c r="M816" s="12" t="inlineStr">
        <is>
          <t>Initial</t>
        </is>
      </c>
      <c r="N816" s="12" t="inlineStr">
        <is>
          <t>Rev 0</t>
        </is>
      </c>
      <c r="O816" s="12" t="inlineStr">
        <is>
          <t>R1598-v1</t>
        </is>
      </c>
      <c r="P816" s="12" t="inlineStr"/>
      <c r="Q816" s="12" t="inlineStr"/>
      <c r="R816" s="12" t="inlineStr"/>
      <c r="S816" s="12" t="inlineStr"/>
      <c r="T816" s="12" t="inlineStr"/>
      <c r="U816" s="12" t="inlineStr"/>
      <c r="V816" s="12" t="inlineStr">
        <is>
          <t>Package Code = PK-406; WBS Code = 1.4</t>
        </is>
      </c>
      <c r="W816" s="12" t="inlineStr"/>
    </row>
    <row r="817" ht="49" customHeight="1">
      <c r="A817" s="12" t="inlineStr">
        <is>
          <t>1.4</t>
        </is>
      </c>
      <c r="B817" s="12" t="inlineStr">
        <is>
          <t>Vehicles and Depot</t>
        </is>
      </c>
      <c r="C817" s="12" t="inlineStr">
        <is>
          <t>Commercial Package Register</t>
        </is>
      </c>
      <c r="D817" s="12" t="inlineStr">
        <is>
          <t>PKG-037</t>
        </is>
      </c>
      <c r="E817" s="12" t="inlineStr">
        <is>
          <t>Workshop Equipment - Lot 2</t>
        </is>
      </c>
      <c r="F817" s="12" t="inlineStr">
        <is>
          <t>ONE_TO_ONE</t>
        </is>
      </c>
      <c r="G817" s="12" t="inlineStr">
        <is>
          <t>APPROVED</t>
        </is>
      </c>
      <c r="H817" s="12" t="inlineStr">
        <is>
          <t>New</t>
        </is>
      </c>
      <c r="I817" s="12" t="inlineStr">
        <is>
          <t>Source assignment -- not individually reviewed</t>
        </is>
      </c>
      <c r="J817" s="12" t="inlineStr"/>
      <c r="K817" s="12" t="inlineStr">
        <is>
          <t>Source assignment</t>
        </is>
      </c>
      <c r="L817" s="12" t="inlineStr"/>
      <c r="M817" s="12" t="inlineStr">
        <is>
          <t>Initial</t>
        </is>
      </c>
      <c r="N817" s="12" t="inlineStr">
        <is>
          <t>Rev 0</t>
        </is>
      </c>
      <c r="O817" s="12" t="inlineStr">
        <is>
          <t>R1599-v1</t>
        </is>
      </c>
      <c r="P817" s="12" t="inlineStr"/>
      <c r="Q817" s="12" t="inlineStr"/>
      <c r="R817" s="12" t="inlineStr"/>
      <c r="S817" s="12" t="inlineStr"/>
      <c r="T817" s="12" t="inlineStr"/>
      <c r="U817" s="12" t="inlineStr"/>
      <c r="V817" s="12" t="inlineStr">
        <is>
          <t>Package Code = PK-407; WBS Code = 1.4</t>
        </is>
      </c>
      <c r="W817" s="12" t="inlineStr"/>
    </row>
    <row r="818" ht="49" customHeight="1">
      <c r="A818" s="12" t="inlineStr">
        <is>
          <t>1.4</t>
        </is>
      </c>
      <c r="B818" s="12" t="inlineStr">
        <is>
          <t>Vehicles and Depot</t>
        </is>
      </c>
      <c r="C818" s="12" t="inlineStr">
        <is>
          <t>Commercial Package Register</t>
        </is>
      </c>
      <c r="D818" s="12" t="inlineStr">
        <is>
          <t>PKG-038</t>
        </is>
      </c>
      <c r="E818" s="12" t="inlineStr">
        <is>
          <t>Vehicle Integration - Lot 2</t>
        </is>
      </c>
      <c r="F818" s="12" t="inlineStr">
        <is>
          <t>ONE_TO_ONE</t>
        </is>
      </c>
      <c r="G818" s="12" t="inlineStr">
        <is>
          <t>APPROVED</t>
        </is>
      </c>
      <c r="H818" s="12" t="inlineStr">
        <is>
          <t>New</t>
        </is>
      </c>
      <c r="I818" s="12" t="inlineStr">
        <is>
          <t>Source assignment -- not individually reviewed</t>
        </is>
      </c>
      <c r="J818" s="12" t="inlineStr"/>
      <c r="K818" s="12" t="inlineStr">
        <is>
          <t>Source assignment</t>
        </is>
      </c>
      <c r="L818" s="12" t="inlineStr"/>
      <c r="M818" s="12" t="inlineStr">
        <is>
          <t>Initial</t>
        </is>
      </c>
      <c r="N818" s="12" t="inlineStr">
        <is>
          <t>Rev 0</t>
        </is>
      </c>
      <c r="O818" s="12" t="inlineStr">
        <is>
          <t>R1600-v1</t>
        </is>
      </c>
      <c r="P818" s="12" t="inlineStr"/>
      <c r="Q818" s="12" t="inlineStr"/>
      <c r="R818" s="12" t="inlineStr"/>
      <c r="S818" s="12" t="inlineStr"/>
      <c r="T818" s="12" t="inlineStr"/>
      <c r="U818" s="12" t="inlineStr"/>
      <c r="V818" s="12" t="inlineStr">
        <is>
          <t>Package Code = PK-408; WBS Code = 1.4</t>
        </is>
      </c>
      <c r="W818" s="12" t="inlineStr"/>
    </row>
    <row r="819" ht="49" customHeight="1">
      <c r="A819" s="12" t="inlineStr">
        <is>
          <t>1.4</t>
        </is>
      </c>
      <c r="B819" s="12" t="inlineStr">
        <is>
          <t>Vehicles and Depot</t>
        </is>
      </c>
      <c r="C819" s="12" t="inlineStr">
        <is>
          <t>Commercial Package Register</t>
        </is>
      </c>
      <c r="D819" s="12" t="inlineStr">
        <is>
          <t>PKG-039</t>
        </is>
      </c>
      <c r="E819" s="12" t="inlineStr">
        <is>
          <t>Fleet Supply - Lot 3</t>
        </is>
      </c>
      <c r="F819" s="12" t="inlineStr">
        <is>
          <t>ONE_TO_ONE</t>
        </is>
      </c>
      <c r="G819" s="12" t="inlineStr">
        <is>
          <t>APPROVED</t>
        </is>
      </c>
      <c r="H819" s="12" t="inlineStr">
        <is>
          <t>New</t>
        </is>
      </c>
      <c r="I819" s="12" t="inlineStr">
        <is>
          <t>Source assignment -- not individually reviewed</t>
        </is>
      </c>
      <c r="J819" s="12" t="inlineStr"/>
      <c r="K819" s="12" t="inlineStr">
        <is>
          <t>Source assignment</t>
        </is>
      </c>
      <c r="L819" s="12" t="inlineStr"/>
      <c r="M819" s="12" t="inlineStr">
        <is>
          <t>Initial</t>
        </is>
      </c>
      <c r="N819" s="12" t="inlineStr">
        <is>
          <t>Rev 0</t>
        </is>
      </c>
      <c r="O819" s="12" t="inlineStr">
        <is>
          <t>R1601-v1</t>
        </is>
      </c>
      <c r="P819" s="12" t="inlineStr"/>
      <c r="Q819" s="12" t="inlineStr"/>
      <c r="R819" s="12" t="inlineStr"/>
      <c r="S819" s="12" t="inlineStr"/>
      <c r="T819" s="12" t="inlineStr"/>
      <c r="U819" s="12" t="inlineStr"/>
      <c r="V819" s="12" t="inlineStr">
        <is>
          <t>Package Code = PK-409; WBS Code = 1.4</t>
        </is>
      </c>
      <c r="W819" s="12" t="inlineStr"/>
    </row>
    <row r="820" ht="49" customHeight="1">
      <c r="A820" s="12" t="inlineStr">
        <is>
          <t>1.4</t>
        </is>
      </c>
      <c r="B820" s="12" t="inlineStr">
        <is>
          <t>Vehicles and Depot</t>
        </is>
      </c>
      <c r="C820" s="12" t="inlineStr">
        <is>
          <t>Commercial Package Register</t>
        </is>
      </c>
      <c r="D820" s="12" t="inlineStr">
        <is>
          <t>PKG-040</t>
        </is>
      </c>
      <c r="E820" s="12" t="inlineStr">
        <is>
          <t>Depot Buildings - Lot 3</t>
        </is>
      </c>
      <c r="F820" s="12" t="inlineStr">
        <is>
          <t>ONE_TO_ONE</t>
        </is>
      </c>
      <c r="G820" s="12" t="inlineStr">
        <is>
          <t>APPROVED</t>
        </is>
      </c>
      <c r="H820" s="12" t="inlineStr">
        <is>
          <t>New</t>
        </is>
      </c>
      <c r="I820" s="12" t="inlineStr">
        <is>
          <t>Source assignment -- not individually reviewed</t>
        </is>
      </c>
      <c r="J820" s="12" t="inlineStr"/>
      <c r="K820" s="12" t="inlineStr">
        <is>
          <t>Source assignment</t>
        </is>
      </c>
      <c r="L820" s="12" t="inlineStr"/>
      <c r="M820" s="12" t="inlineStr">
        <is>
          <t>Initial</t>
        </is>
      </c>
      <c r="N820" s="12" t="inlineStr">
        <is>
          <t>Rev 0</t>
        </is>
      </c>
      <c r="O820" s="12" t="inlineStr">
        <is>
          <t>R1602-v1</t>
        </is>
      </c>
      <c r="P820" s="12" t="inlineStr"/>
      <c r="Q820" s="12" t="inlineStr"/>
      <c r="R820" s="12" t="inlineStr"/>
      <c r="S820" s="12" t="inlineStr"/>
      <c r="T820" s="12" t="inlineStr"/>
      <c r="U820" s="12" t="inlineStr"/>
      <c r="V820" s="12" t="inlineStr">
        <is>
          <t>Package Code = PK-410; WBS Code = 1.4</t>
        </is>
      </c>
      <c r="W820" s="12" t="inlineStr"/>
    </row>
    <row r="821" ht="49" customHeight="1">
      <c r="A821" s="12" t="inlineStr">
        <is>
          <t>1.4.1</t>
        </is>
      </c>
      <c r="B821" s="12" t="inlineStr">
        <is>
          <t>Vehicles and Depot - Fleet Supply</t>
        </is>
      </c>
      <c r="C821" s="12" t="inlineStr">
        <is>
          <t>Contractor Programme</t>
        </is>
      </c>
      <c r="D821" s="12" t="inlineStr">
        <is>
          <t>SCH-04-001</t>
        </is>
      </c>
      <c r="E821" s="12" t="inlineStr">
        <is>
          <t>Test track: vehicle-to-depot interface check - release</t>
        </is>
      </c>
      <c r="F821" s="12" t="inlineStr">
        <is>
          <t>ONE_TO_ONE</t>
        </is>
      </c>
      <c r="G821" s="12" t="inlineStr">
        <is>
          <t>APPROVED</t>
        </is>
      </c>
      <c r="H821" s="12" t="inlineStr">
        <is>
          <t>New</t>
        </is>
      </c>
      <c r="I821" s="12" t="inlineStr">
        <is>
          <t>Source assignment -- not individually reviewed</t>
        </is>
      </c>
      <c r="J821" s="12" t="inlineStr"/>
      <c r="K821" s="12" t="inlineStr">
        <is>
          <t>Source assignment</t>
        </is>
      </c>
      <c r="L821" s="12" t="inlineStr"/>
      <c r="M821" s="12" t="inlineStr">
        <is>
          <t>Initial</t>
        </is>
      </c>
      <c r="N821" s="12" t="inlineStr">
        <is>
          <t>Rev 0</t>
        </is>
      </c>
      <c r="O821" s="12" t="inlineStr">
        <is>
          <t>R541-v1</t>
        </is>
      </c>
      <c r="P821" s="12" t="inlineStr"/>
      <c r="Q821" s="12" t="inlineStr"/>
      <c r="R821" s="12" t="inlineStr"/>
      <c r="S821" s="12" t="inlineStr"/>
      <c r="T821" s="12" t="inlineStr"/>
      <c r="U821" s="12" t="inlineStr"/>
      <c r="V821" s="12" t="inlineStr">
        <is>
          <t>WBS Code = 1.4.1</t>
        </is>
      </c>
      <c r="W821" s="12" t="inlineStr"/>
    </row>
    <row r="822" ht="49" customHeight="1">
      <c r="A822" s="12" t="inlineStr">
        <is>
          <t>1.4.1</t>
        </is>
      </c>
      <c r="B822" s="12" t="inlineStr">
        <is>
          <t>Vehicles and Depot - Fleet Supply</t>
        </is>
      </c>
      <c r="C822" s="12" t="inlineStr">
        <is>
          <t>Contractor Programme</t>
        </is>
      </c>
      <c r="D822" s="12" t="inlineStr">
        <is>
          <t>SCH-04-002</t>
        </is>
      </c>
      <c r="E822" s="12" t="inlineStr">
        <is>
          <t>Receiving track: wheel-lathe installation - field start</t>
        </is>
      </c>
      <c r="F822" s="12" t="inlineStr">
        <is>
          <t>ONE_TO_ONE</t>
        </is>
      </c>
      <c r="G822" s="12" t="inlineStr">
        <is>
          <t>APPROVED</t>
        </is>
      </c>
      <c r="H822" s="12" t="inlineStr">
        <is>
          <t>New</t>
        </is>
      </c>
      <c r="I822" s="12" t="inlineStr">
        <is>
          <t>Source assignment -- not individually reviewed</t>
        </is>
      </c>
      <c r="J822" s="12" t="inlineStr"/>
      <c r="K822" s="12" t="inlineStr">
        <is>
          <t>Source assignment</t>
        </is>
      </c>
      <c r="L822" s="12" t="inlineStr"/>
      <c r="M822" s="12" t="inlineStr">
        <is>
          <t>Initial</t>
        </is>
      </c>
      <c r="N822" s="12" t="inlineStr">
        <is>
          <t>Rev 0</t>
        </is>
      </c>
      <c r="O822" s="12" t="inlineStr">
        <is>
          <t>R542-v1</t>
        </is>
      </c>
      <c r="P822" s="12" t="inlineStr"/>
      <c r="Q822" s="12" t="inlineStr"/>
      <c r="R822" s="12" t="inlineStr"/>
      <c r="S822" s="12" t="inlineStr"/>
      <c r="T822" s="12" t="inlineStr"/>
      <c r="U822" s="12" t="inlineStr"/>
      <c r="V822" s="12" t="inlineStr">
        <is>
          <t>WBS Code = 1.4.1</t>
        </is>
      </c>
      <c r="W822" s="12" t="inlineStr"/>
    </row>
    <row r="823" ht="49" customHeight="1">
      <c r="A823" s="12" t="inlineStr">
        <is>
          <t>1.4.1</t>
        </is>
      </c>
      <c r="B823" s="12" t="inlineStr">
        <is>
          <t>Vehicles and Depot - Fleet Supply</t>
        </is>
      </c>
      <c r="C823" s="12" t="inlineStr">
        <is>
          <t>Contractor Programme</t>
        </is>
      </c>
      <c r="D823" s="12" t="inlineStr">
        <is>
          <t>SCH-04-004</t>
        </is>
      </c>
      <c r="E823" s="12" t="inlineStr">
        <is>
          <t>Storage yard: vehicle delivery inspection - inspection</t>
        </is>
      </c>
      <c r="F823" s="12" t="inlineStr">
        <is>
          <t>ONE_TO_ONE</t>
        </is>
      </c>
      <c r="G823" s="12" t="inlineStr">
        <is>
          <t>APPROVED</t>
        </is>
      </c>
      <c r="H823" s="12" t="inlineStr">
        <is>
          <t>New</t>
        </is>
      </c>
      <c r="I823" s="12" t="inlineStr">
        <is>
          <t>Source assignment -- not individually reviewed</t>
        </is>
      </c>
      <c r="J823" s="12" t="inlineStr"/>
      <c r="K823" s="12" t="inlineStr">
        <is>
          <t>Source assignment</t>
        </is>
      </c>
      <c r="L823" s="12" t="inlineStr"/>
      <c r="M823" s="12" t="inlineStr">
        <is>
          <t>Initial</t>
        </is>
      </c>
      <c r="N823" s="12" t="inlineStr">
        <is>
          <t>Rev 0</t>
        </is>
      </c>
      <c r="O823" s="12" t="inlineStr">
        <is>
          <t>R544-v1</t>
        </is>
      </c>
      <c r="P823" s="12" t="inlineStr"/>
      <c r="Q823" s="12" t="inlineStr"/>
      <c r="R823" s="12" t="inlineStr"/>
      <c r="S823" s="12" t="inlineStr"/>
      <c r="T823" s="12" t="inlineStr"/>
      <c r="U823" s="12" t="inlineStr"/>
      <c r="V823" s="12" t="inlineStr">
        <is>
          <t>WBS Code = 1.4.1</t>
        </is>
      </c>
      <c r="W823" s="12" t="inlineStr"/>
    </row>
    <row r="824" ht="49" customHeight="1">
      <c r="A824" s="12" t="inlineStr">
        <is>
          <t>1.4.1</t>
        </is>
      </c>
      <c r="B824" s="12" t="inlineStr">
        <is>
          <t>Vehicles and Depot - Fleet Supply</t>
        </is>
      </c>
      <c r="C824" s="12" t="inlineStr">
        <is>
          <t>Contractor Programme</t>
        </is>
      </c>
      <c r="D824" s="12" t="inlineStr">
        <is>
          <t>SCH-04-005</t>
        </is>
      </c>
      <c r="E824" s="12" t="inlineStr">
        <is>
          <t>Operations building: wash-plant commissioning - turnover</t>
        </is>
      </c>
      <c r="F824" s="12" t="inlineStr">
        <is>
          <t>ONE_TO_ONE</t>
        </is>
      </c>
      <c r="G824" s="12" t="inlineStr">
        <is>
          <t>APPROVED</t>
        </is>
      </c>
      <c r="H824" s="12" t="inlineStr">
        <is>
          <t>New</t>
        </is>
      </c>
      <c r="I824" s="12" t="inlineStr">
        <is>
          <t>Source assignment -- not individually reviewed</t>
        </is>
      </c>
      <c r="J824" s="12" t="inlineStr"/>
      <c r="K824" s="12" t="inlineStr">
        <is>
          <t>Source assignment</t>
        </is>
      </c>
      <c r="L824" s="12" t="inlineStr"/>
      <c r="M824" s="12" t="inlineStr">
        <is>
          <t>Initial</t>
        </is>
      </c>
      <c r="N824" s="12" t="inlineStr">
        <is>
          <t>Rev 0</t>
        </is>
      </c>
      <c r="O824" s="12" t="inlineStr">
        <is>
          <t>R545-v1</t>
        </is>
      </c>
      <c r="P824" s="12" t="inlineStr"/>
      <c r="Q824" s="12" t="inlineStr"/>
      <c r="R824" s="12" t="inlineStr"/>
      <c r="S824" s="12" t="inlineStr"/>
      <c r="T824" s="12" t="inlineStr"/>
      <c r="U824" s="12" t="inlineStr"/>
      <c r="V824" s="12" t="inlineStr">
        <is>
          <t>WBS Code = 1.4.1</t>
        </is>
      </c>
      <c r="W824" s="12" t="inlineStr"/>
    </row>
    <row r="825" ht="49" customHeight="1">
      <c r="A825" s="12" t="inlineStr">
        <is>
          <t>1.4.1</t>
        </is>
      </c>
      <c r="B825" s="12" t="inlineStr">
        <is>
          <t>Vehicles and Depot - Fleet Supply</t>
        </is>
      </c>
      <c r="C825" s="12" t="inlineStr">
        <is>
          <t>Contractor Programme</t>
        </is>
      </c>
      <c r="D825" s="12" t="inlineStr">
        <is>
          <t>SCH-04-007</t>
        </is>
      </c>
      <c r="E825" s="12" t="inlineStr">
        <is>
          <t>Receiving track: depot structural fit-out - field start</t>
        </is>
      </c>
      <c r="F825" s="12" t="inlineStr">
        <is>
          <t>ONE_TO_ONE</t>
        </is>
      </c>
      <c r="G825" s="12" t="inlineStr">
        <is>
          <t>APPROVED</t>
        </is>
      </c>
      <c r="H825" s="12" t="inlineStr">
        <is>
          <t>New</t>
        </is>
      </c>
      <c r="I825" s="12" t="inlineStr">
        <is>
          <t>Source assignment -- not individually reviewed</t>
        </is>
      </c>
      <c r="J825" s="12" t="inlineStr"/>
      <c r="K825" s="12" t="inlineStr">
        <is>
          <t>Source assignment</t>
        </is>
      </c>
      <c r="L825" s="12" t="inlineStr"/>
      <c r="M825" s="12" t="inlineStr">
        <is>
          <t>Initial</t>
        </is>
      </c>
      <c r="N825" s="12" t="inlineStr">
        <is>
          <t>Rev 0</t>
        </is>
      </c>
      <c r="O825" s="12" t="inlineStr">
        <is>
          <t>R547-v1</t>
        </is>
      </c>
      <c r="P825" s="12" t="inlineStr"/>
      <c r="Q825" s="12" t="inlineStr"/>
      <c r="R825" s="12" t="inlineStr"/>
      <c r="S825" s="12" t="inlineStr"/>
      <c r="T825" s="12" t="inlineStr"/>
      <c r="U825" s="12" t="inlineStr"/>
      <c r="V825" s="12" t="inlineStr">
        <is>
          <t>WBS Code = 1.4.1</t>
        </is>
      </c>
      <c r="W825" s="12" t="inlineStr"/>
    </row>
    <row r="826" ht="49" customHeight="1">
      <c r="A826" s="12" t="inlineStr">
        <is>
          <t>1.4.1</t>
        </is>
      </c>
      <c r="B826" s="12" t="inlineStr">
        <is>
          <t>Vehicles and Depot - Fleet Supply</t>
        </is>
      </c>
      <c r="C826" s="12" t="inlineStr">
        <is>
          <t>Contractor Programme</t>
        </is>
      </c>
      <c r="D826" s="12" t="inlineStr">
        <is>
          <t>SCH-04-008</t>
        </is>
      </c>
      <c r="E826" s="12" t="inlineStr">
        <is>
          <t>Maintenance shop: workshop crane installation - installation</t>
        </is>
      </c>
      <c r="F826" s="12" t="inlineStr">
        <is>
          <t>ONE_TO_ONE</t>
        </is>
      </c>
      <c r="G826" s="12" t="inlineStr">
        <is>
          <t>APPROVED</t>
        </is>
      </c>
      <c r="H826" s="12" t="inlineStr">
        <is>
          <t>New</t>
        </is>
      </c>
      <c r="I826" s="12" t="inlineStr">
        <is>
          <t>Source assignment -- not individually reviewed</t>
        </is>
      </c>
      <c r="J826" s="12" t="inlineStr"/>
      <c r="K826" s="12" t="inlineStr">
        <is>
          <t>Source assignment</t>
        </is>
      </c>
      <c r="L826" s="12" t="inlineStr"/>
      <c r="M826" s="12" t="inlineStr">
        <is>
          <t>Initial</t>
        </is>
      </c>
      <c r="N826" s="12" t="inlineStr">
        <is>
          <t>Rev 0</t>
        </is>
      </c>
      <c r="O826" s="12" t="inlineStr">
        <is>
          <t>R548-v1</t>
        </is>
      </c>
      <c r="P826" s="12" t="inlineStr"/>
      <c r="Q826" s="12" t="inlineStr"/>
      <c r="R826" s="12" t="inlineStr"/>
      <c r="S826" s="12" t="inlineStr"/>
      <c r="T826" s="12" t="inlineStr"/>
      <c r="U826" s="12" t="inlineStr"/>
      <c r="V826" s="12" t="inlineStr">
        <is>
          <t>WBS Code = 1.4.1</t>
        </is>
      </c>
      <c r="W826" s="12" t="inlineStr"/>
    </row>
    <row r="827" ht="49" customHeight="1">
      <c r="A827" s="12" t="inlineStr">
        <is>
          <t>1.4.1</t>
        </is>
      </c>
      <c r="B827" s="12" t="inlineStr">
        <is>
          <t>Vehicles and Depot - Fleet Supply</t>
        </is>
      </c>
      <c r="C827" s="12" t="inlineStr">
        <is>
          <t>Contractor Programme</t>
        </is>
      </c>
      <c r="D827" s="12" t="inlineStr">
        <is>
          <t>SCH-04-010</t>
        </is>
      </c>
      <c r="E827" s="12" t="inlineStr">
        <is>
          <t>Operations building: wheel-lathe installation - turnover</t>
        </is>
      </c>
      <c r="F827" s="12" t="inlineStr">
        <is>
          <t>ONE_TO_ONE</t>
        </is>
      </c>
      <c r="G827" s="12" t="inlineStr">
        <is>
          <t>APPROVED</t>
        </is>
      </c>
      <c r="H827" s="12" t="inlineStr">
        <is>
          <t>New</t>
        </is>
      </c>
      <c r="I827" s="12" t="inlineStr">
        <is>
          <t>Source assignment -- not individually reviewed</t>
        </is>
      </c>
      <c r="J827" s="12" t="inlineStr"/>
      <c r="K827" s="12" t="inlineStr">
        <is>
          <t>Source assignment</t>
        </is>
      </c>
      <c r="L827" s="12" t="inlineStr"/>
      <c r="M827" s="12" t="inlineStr">
        <is>
          <t>Initial</t>
        </is>
      </c>
      <c r="N827" s="12" t="inlineStr">
        <is>
          <t>Rev 0</t>
        </is>
      </c>
      <c r="O827" s="12" t="inlineStr">
        <is>
          <t>R550-v1</t>
        </is>
      </c>
      <c r="P827" s="12" t="inlineStr"/>
      <c r="Q827" s="12" t="inlineStr"/>
      <c r="R827" s="12" t="inlineStr"/>
      <c r="S827" s="12" t="inlineStr"/>
      <c r="T827" s="12" t="inlineStr"/>
      <c r="U827" s="12" t="inlineStr"/>
      <c r="V827" s="12" t="inlineStr">
        <is>
          <t>WBS Code = 1.4.1</t>
        </is>
      </c>
      <c r="W827" s="12" t="inlineStr"/>
    </row>
    <row r="828" ht="49" customHeight="1">
      <c r="A828" s="12" t="inlineStr">
        <is>
          <t>1.4.1</t>
        </is>
      </c>
      <c r="B828" s="12" t="inlineStr">
        <is>
          <t>Vehicles and Depot - Fleet Supply</t>
        </is>
      </c>
      <c r="C828" s="12" t="inlineStr">
        <is>
          <t>Contractor Programme</t>
        </is>
      </c>
      <c r="D828" s="12" t="inlineStr">
        <is>
          <t>SCH-04-011</t>
        </is>
      </c>
      <c r="E828" s="12" t="inlineStr">
        <is>
          <t>Test track: fleet software load - release</t>
        </is>
      </c>
      <c r="F828" s="12" t="inlineStr">
        <is>
          <t>ONE_TO_ONE</t>
        </is>
      </c>
      <c r="G828" s="12" t="inlineStr">
        <is>
          <t>APPROVED</t>
        </is>
      </c>
      <c r="H828" s="12" t="inlineStr">
        <is>
          <t>New</t>
        </is>
      </c>
      <c r="I828" s="12" t="inlineStr">
        <is>
          <t>Source assignment -- not individually reviewed</t>
        </is>
      </c>
      <c r="J828" s="12" t="inlineStr"/>
      <c r="K828" s="12" t="inlineStr">
        <is>
          <t>Source assignment</t>
        </is>
      </c>
      <c r="L828" s="12" t="inlineStr"/>
      <c r="M828" s="12" t="inlineStr">
        <is>
          <t>Initial</t>
        </is>
      </c>
      <c r="N828" s="12" t="inlineStr">
        <is>
          <t>Rev 0</t>
        </is>
      </c>
      <c r="O828" s="12" t="inlineStr">
        <is>
          <t>R551-v1</t>
        </is>
      </c>
      <c r="P828" s="12" t="inlineStr"/>
      <c r="Q828" s="12" t="inlineStr"/>
      <c r="R828" s="12" t="inlineStr"/>
      <c r="S828" s="12" t="inlineStr"/>
      <c r="T828" s="12" t="inlineStr"/>
      <c r="U828" s="12" t="inlineStr"/>
      <c r="V828" s="12" t="inlineStr">
        <is>
          <t>WBS Code = 1.4.1</t>
        </is>
      </c>
      <c r="W828" s="12" t="inlineStr"/>
    </row>
    <row r="829" ht="49" customHeight="1">
      <c r="A829" s="12" t="inlineStr">
        <is>
          <t>1.4.1</t>
        </is>
      </c>
      <c r="B829" s="12" t="inlineStr">
        <is>
          <t>Vehicles and Depot - Fleet Supply</t>
        </is>
      </c>
      <c r="C829" s="12" t="inlineStr">
        <is>
          <t>Contractor Programme</t>
        </is>
      </c>
      <c r="D829" s="12" t="inlineStr">
        <is>
          <t>SCH-04-013</t>
        </is>
      </c>
      <c r="E829" s="12" t="inlineStr">
        <is>
          <t>Maintenance shop: wash-plant commissioning - installation</t>
        </is>
      </c>
      <c r="F829" s="12" t="inlineStr">
        <is>
          <t>ONE_TO_ONE</t>
        </is>
      </c>
      <c r="G829" s="12" t="inlineStr">
        <is>
          <t>APPROVED</t>
        </is>
      </c>
      <c r="H829" s="12" t="inlineStr">
        <is>
          <t>New</t>
        </is>
      </c>
      <c r="I829" s="12" t="inlineStr">
        <is>
          <t>Source assignment -- not individually reviewed</t>
        </is>
      </c>
      <c r="J829" s="12" t="inlineStr"/>
      <c r="K829" s="12" t="inlineStr">
        <is>
          <t>Source assignment</t>
        </is>
      </c>
      <c r="L829" s="12" t="inlineStr"/>
      <c r="M829" s="12" t="inlineStr">
        <is>
          <t>Initial</t>
        </is>
      </c>
      <c r="N829" s="12" t="inlineStr">
        <is>
          <t>Rev 0</t>
        </is>
      </c>
      <c r="O829" s="12" t="inlineStr">
        <is>
          <t>R553-v1</t>
        </is>
      </c>
      <c r="P829" s="12" t="inlineStr"/>
      <c r="Q829" s="12" t="inlineStr"/>
      <c r="R829" s="12" t="inlineStr"/>
      <c r="S829" s="12" t="inlineStr"/>
      <c r="T829" s="12" t="inlineStr"/>
      <c r="U829" s="12" t="inlineStr"/>
      <c r="V829" s="12" t="inlineStr">
        <is>
          <t>WBS Code = 1.4.1</t>
        </is>
      </c>
      <c r="W829" s="12" t="inlineStr"/>
    </row>
    <row r="830" ht="49" customHeight="1">
      <c r="A830" s="12" t="inlineStr">
        <is>
          <t>1.4.1</t>
        </is>
      </c>
      <c r="B830" s="12" t="inlineStr">
        <is>
          <t>Vehicles and Depot - Fleet Supply</t>
        </is>
      </c>
      <c r="C830" s="12" t="inlineStr">
        <is>
          <t>Contractor Programme</t>
        </is>
      </c>
      <c r="D830" s="12" t="inlineStr">
        <is>
          <t>SCH-04-014</t>
        </is>
      </c>
      <c r="E830" s="12" t="inlineStr">
        <is>
          <t>Storage yard: maintenance-bay services - inspection</t>
        </is>
      </c>
      <c r="F830" s="12" t="inlineStr">
        <is>
          <t>ONE_TO_ONE</t>
        </is>
      </c>
      <c r="G830" s="12" t="inlineStr">
        <is>
          <t>APPROVED</t>
        </is>
      </c>
      <c r="H830" s="12" t="inlineStr">
        <is>
          <t>New</t>
        </is>
      </c>
      <c r="I830" s="12" t="inlineStr">
        <is>
          <t>Source assignment -- not individually reviewed</t>
        </is>
      </c>
      <c r="J830" s="12" t="inlineStr"/>
      <c r="K830" s="12" t="inlineStr">
        <is>
          <t>Source assignment</t>
        </is>
      </c>
      <c r="L830" s="12" t="inlineStr"/>
      <c r="M830" s="12" t="inlineStr">
        <is>
          <t>Initial</t>
        </is>
      </c>
      <c r="N830" s="12" t="inlineStr">
        <is>
          <t>Rev 0</t>
        </is>
      </c>
      <c r="O830" s="12" t="inlineStr">
        <is>
          <t>R554-v1</t>
        </is>
      </c>
      <c r="P830" s="12" t="inlineStr"/>
      <c r="Q830" s="12" t="inlineStr"/>
      <c r="R830" s="12" t="inlineStr"/>
      <c r="S830" s="12" t="inlineStr"/>
      <c r="T830" s="12" t="inlineStr"/>
      <c r="U830" s="12" t="inlineStr"/>
      <c r="V830" s="12" t="inlineStr">
        <is>
          <t>WBS Code = 1.4.1</t>
        </is>
      </c>
      <c r="W830" s="12" t="inlineStr"/>
    </row>
    <row r="831" ht="49" customHeight="1">
      <c r="A831" s="12" t="inlineStr">
        <is>
          <t>1.4.1</t>
        </is>
      </c>
      <c r="B831" s="12" t="inlineStr">
        <is>
          <t>Vehicles and Depot - Fleet Supply</t>
        </is>
      </c>
      <c r="C831" s="12" t="inlineStr">
        <is>
          <t>Contractor Programme</t>
        </is>
      </c>
      <c r="D831" s="12" t="inlineStr">
        <is>
          <t>SCH-04-016</t>
        </is>
      </c>
      <c r="E831" s="12" t="inlineStr">
        <is>
          <t>Test track: workshop crane installation - release</t>
        </is>
      </c>
      <c r="F831" s="12" t="inlineStr">
        <is>
          <t>ONE_TO_ONE</t>
        </is>
      </c>
      <c r="G831" s="12" t="inlineStr">
        <is>
          <t>APPROVED</t>
        </is>
      </c>
      <c r="H831" s="12" t="inlineStr">
        <is>
          <t>New</t>
        </is>
      </c>
      <c r="I831" s="12" t="inlineStr">
        <is>
          <t>Source assignment -- not individually reviewed</t>
        </is>
      </c>
      <c r="J831" s="12" t="inlineStr"/>
      <c r="K831" s="12" t="inlineStr">
        <is>
          <t>Source assignment</t>
        </is>
      </c>
      <c r="L831" s="12" t="inlineStr"/>
      <c r="M831" s="12" t="inlineStr">
        <is>
          <t>Initial</t>
        </is>
      </c>
      <c r="N831" s="12" t="inlineStr">
        <is>
          <t>Rev 0</t>
        </is>
      </c>
      <c r="O831" s="12" t="inlineStr">
        <is>
          <t>R556-v1</t>
        </is>
      </c>
      <c r="P831" s="12" t="inlineStr"/>
      <c r="Q831" s="12" t="inlineStr"/>
      <c r="R831" s="12" t="inlineStr"/>
      <c r="S831" s="12" t="inlineStr"/>
      <c r="T831" s="12" t="inlineStr"/>
      <c r="U831" s="12" t="inlineStr"/>
      <c r="V831" s="12" t="inlineStr">
        <is>
          <t>WBS Code = 1.4.1</t>
        </is>
      </c>
      <c r="W831" s="12" t="inlineStr"/>
    </row>
    <row r="832" ht="49" customHeight="1">
      <c r="A832" s="12" t="inlineStr">
        <is>
          <t>1.4.1</t>
        </is>
      </c>
      <c r="B832" s="12" t="inlineStr">
        <is>
          <t>Vehicles and Depot - Fleet Supply</t>
        </is>
      </c>
      <c r="C832" s="12" t="inlineStr">
        <is>
          <t>Contractor Programme</t>
        </is>
      </c>
      <c r="D832" s="12" t="inlineStr">
        <is>
          <t>SCH-04-017</t>
        </is>
      </c>
      <c r="E832" s="12" t="inlineStr">
        <is>
          <t>Receiving track: vehicle-to-depot interface check - field start</t>
        </is>
      </c>
      <c r="F832" s="12" t="inlineStr">
        <is>
          <t>ONE_TO_ONE</t>
        </is>
      </c>
      <c r="G832" s="12" t="inlineStr">
        <is>
          <t>APPROVED</t>
        </is>
      </c>
      <c r="H832" s="12" t="inlineStr">
        <is>
          <t>New</t>
        </is>
      </c>
      <c r="I832" s="12" t="inlineStr">
        <is>
          <t>Source assignment -- not individually reviewed</t>
        </is>
      </c>
      <c r="J832" s="12" t="inlineStr"/>
      <c r="K832" s="12" t="inlineStr">
        <is>
          <t>Source assignment</t>
        </is>
      </c>
      <c r="L832" s="12" t="inlineStr"/>
      <c r="M832" s="12" t="inlineStr">
        <is>
          <t>Initial</t>
        </is>
      </c>
      <c r="N832" s="12" t="inlineStr">
        <is>
          <t>Rev 0</t>
        </is>
      </c>
      <c r="O832" s="12" t="inlineStr">
        <is>
          <t>R557-v1</t>
        </is>
      </c>
      <c r="P832" s="12" t="inlineStr"/>
      <c r="Q832" s="12" t="inlineStr"/>
      <c r="R832" s="12" t="inlineStr"/>
      <c r="S832" s="12" t="inlineStr"/>
      <c r="T832" s="12" t="inlineStr"/>
      <c r="U832" s="12" t="inlineStr"/>
      <c r="V832" s="12" t="inlineStr">
        <is>
          <t>WBS Code = 1.4.1</t>
        </is>
      </c>
      <c r="W832" s="12" t="inlineStr"/>
    </row>
    <row r="833" ht="49" customHeight="1">
      <c r="A833" s="12" t="inlineStr">
        <is>
          <t>1.4.1</t>
        </is>
      </c>
      <c r="B833" s="12" t="inlineStr">
        <is>
          <t>Vehicles and Depot - Fleet Supply</t>
        </is>
      </c>
      <c r="C833" s="12" t="inlineStr">
        <is>
          <t>Contractor Programme</t>
        </is>
      </c>
      <c r="D833" s="12" t="inlineStr">
        <is>
          <t>SCH-04-019</t>
        </is>
      </c>
      <c r="E833" s="12" t="inlineStr">
        <is>
          <t>Storage yard: fleet software load - inspection</t>
        </is>
      </c>
      <c r="F833" s="12" t="inlineStr">
        <is>
          <t>ONE_TO_ONE</t>
        </is>
      </c>
      <c r="G833" s="12" t="inlineStr">
        <is>
          <t>APPROVED</t>
        </is>
      </c>
      <c r="H833" s="12" t="inlineStr">
        <is>
          <t>New</t>
        </is>
      </c>
      <c r="I833" s="12" t="inlineStr">
        <is>
          <t>Source assignment -- not individually reviewed</t>
        </is>
      </c>
      <c r="J833" s="12" t="inlineStr"/>
      <c r="K833" s="12" t="inlineStr">
        <is>
          <t>Source assignment</t>
        </is>
      </c>
      <c r="L833" s="12" t="inlineStr"/>
      <c r="M833" s="12" t="inlineStr">
        <is>
          <t>Initial</t>
        </is>
      </c>
      <c r="N833" s="12" t="inlineStr">
        <is>
          <t>Rev 0</t>
        </is>
      </c>
      <c r="O833" s="12" t="inlineStr">
        <is>
          <t>R559-v1</t>
        </is>
      </c>
      <c r="P833" s="12" t="inlineStr"/>
      <c r="Q833" s="12" t="inlineStr"/>
      <c r="R833" s="12" t="inlineStr"/>
      <c r="S833" s="12" t="inlineStr"/>
      <c r="T833" s="12" t="inlineStr"/>
      <c r="U833" s="12" t="inlineStr"/>
      <c r="V833" s="12" t="inlineStr">
        <is>
          <t>WBS Code = 1.4.1</t>
        </is>
      </c>
      <c r="W833" s="12" t="inlineStr"/>
    </row>
    <row r="834" ht="49" customHeight="1">
      <c r="A834" s="12" t="inlineStr">
        <is>
          <t>1.4.1</t>
        </is>
      </c>
      <c r="B834" s="12" t="inlineStr">
        <is>
          <t>Vehicles and Depot - Fleet Supply</t>
        </is>
      </c>
      <c r="C834" s="12" t="inlineStr">
        <is>
          <t>Contractor Programme</t>
        </is>
      </c>
      <c r="D834" s="12" t="inlineStr">
        <is>
          <t>SCH-04-020</t>
        </is>
      </c>
      <c r="E834" s="12" t="inlineStr">
        <is>
          <t>Operations building: vehicle delivery inspection - turnover</t>
        </is>
      </c>
      <c r="F834" s="12" t="inlineStr">
        <is>
          <t>ONE_TO_ONE</t>
        </is>
      </c>
      <c r="G834" s="12" t="inlineStr">
        <is>
          <t>APPROVED</t>
        </is>
      </c>
      <c r="H834" s="12" t="inlineStr">
        <is>
          <t>New</t>
        </is>
      </c>
      <c r="I834" s="12" t="inlineStr">
        <is>
          <t>Source assignment -- not individually reviewed</t>
        </is>
      </c>
      <c r="J834" s="12" t="inlineStr"/>
      <c r="K834" s="12" t="inlineStr">
        <is>
          <t>Source assignment</t>
        </is>
      </c>
      <c r="L834" s="12" t="inlineStr"/>
      <c r="M834" s="12" t="inlineStr">
        <is>
          <t>Initial</t>
        </is>
      </c>
      <c r="N834" s="12" t="inlineStr">
        <is>
          <t>Rev 0</t>
        </is>
      </c>
      <c r="O834" s="12" t="inlineStr">
        <is>
          <t>R560-v1</t>
        </is>
      </c>
      <c r="P834" s="12" t="inlineStr"/>
      <c r="Q834" s="12" t="inlineStr"/>
      <c r="R834" s="12" t="inlineStr"/>
      <c r="S834" s="12" t="inlineStr"/>
      <c r="T834" s="12" t="inlineStr"/>
      <c r="U834" s="12" t="inlineStr"/>
      <c r="V834" s="12" t="inlineStr">
        <is>
          <t>WBS Code = 1.4.1</t>
        </is>
      </c>
      <c r="W834" s="12" t="inlineStr"/>
    </row>
    <row r="835" ht="49" customHeight="1">
      <c r="A835" s="12" t="inlineStr">
        <is>
          <t>1.4.1</t>
        </is>
      </c>
      <c r="B835" s="12" t="inlineStr">
        <is>
          <t>Vehicles and Depot - Fleet Supply</t>
        </is>
      </c>
      <c r="C835" s="12" t="inlineStr">
        <is>
          <t>Contractor Programme</t>
        </is>
      </c>
      <c r="D835" s="12" t="inlineStr">
        <is>
          <t>SCH-04-022</t>
        </is>
      </c>
      <c r="E835" s="12" t="inlineStr">
        <is>
          <t>Receiving track: maintenance-bay services - field start</t>
        </is>
      </c>
      <c r="F835" s="12" t="inlineStr">
        <is>
          <t>ONE_TO_ONE</t>
        </is>
      </c>
      <c r="G835" s="12" t="inlineStr">
        <is>
          <t>APPROVED</t>
        </is>
      </c>
      <c r="H835" s="12" t="inlineStr">
        <is>
          <t>New</t>
        </is>
      </c>
      <c r="I835" s="12" t="inlineStr">
        <is>
          <t>Source assignment -- not individually reviewed</t>
        </is>
      </c>
      <c r="J835" s="12" t="inlineStr"/>
      <c r="K835" s="12" t="inlineStr">
        <is>
          <t>Source assignment</t>
        </is>
      </c>
      <c r="L835" s="12" t="inlineStr"/>
      <c r="M835" s="12" t="inlineStr">
        <is>
          <t>Initial</t>
        </is>
      </c>
      <c r="N835" s="12" t="inlineStr">
        <is>
          <t>Rev 0</t>
        </is>
      </c>
      <c r="O835" s="12" t="inlineStr">
        <is>
          <t>R562-v1</t>
        </is>
      </c>
      <c r="P835" s="12" t="inlineStr"/>
      <c r="Q835" s="12" t="inlineStr"/>
      <c r="R835" s="12" t="inlineStr"/>
      <c r="S835" s="12" t="inlineStr"/>
      <c r="T835" s="12" t="inlineStr"/>
      <c r="U835" s="12" t="inlineStr"/>
      <c r="V835" s="12" t="inlineStr">
        <is>
          <t>WBS Code = 1.4.1</t>
        </is>
      </c>
      <c r="W835" s="12" t="inlineStr"/>
    </row>
    <row r="836" ht="49" customHeight="1">
      <c r="A836" s="12" t="inlineStr">
        <is>
          <t>1.4.1</t>
        </is>
      </c>
      <c r="B836" s="12" t="inlineStr">
        <is>
          <t>Vehicles and Depot - Fleet Supply</t>
        </is>
      </c>
      <c r="C836" s="12" t="inlineStr">
        <is>
          <t>Contractor Programme</t>
        </is>
      </c>
      <c r="D836" s="12" t="inlineStr">
        <is>
          <t>SCH-04-023</t>
        </is>
      </c>
      <c r="E836" s="12" t="inlineStr">
        <is>
          <t>Maintenance shop: depot structural fit-out - installation</t>
        </is>
      </c>
      <c r="F836" s="12" t="inlineStr">
        <is>
          <t>ONE_TO_ONE</t>
        </is>
      </c>
      <c r="G836" s="12" t="inlineStr">
        <is>
          <t>APPROVED</t>
        </is>
      </c>
      <c r="H836" s="12" t="inlineStr">
        <is>
          <t>New</t>
        </is>
      </c>
      <c r="I836" s="12" t="inlineStr">
        <is>
          <t>Source assignment -- not individually reviewed</t>
        </is>
      </c>
      <c r="J836" s="12" t="inlineStr"/>
      <c r="K836" s="12" t="inlineStr">
        <is>
          <t>Source assignment</t>
        </is>
      </c>
      <c r="L836" s="12" t="inlineStr"/>
      <c r="M836" s="12" t="inlineStr">
        <is>
          <t>Initial</t>
        </is>
      </c>
      <c r="N836" s="12" t="inlineStr">
        <is>
          <t>Rev 0</t>
        </is>
      </c>
      <c r="O836" s="12" t="inlineStr">
        <is>
          <t>R563-v1</t>
        </is>
      </c>
      <c r="P836" s="12" t="inlineStr"/>
      <c r="Q836" s="12" t="inlineStr"/>
      <c r="R836" s="12" t="inlineStr"/>
      <c r="S836" s="12" t="inlineStr"/>
      <c r="T836" s="12" t="inlineStr"/>
      <c r="U836" s="12" t="inlineStr"/>
      <c r="V836" s="12" t="inlineStr">
        <is>
          <t>WBS Code = 1.4.1</t>
        </is>
      </c>
      <c r="W836" s="12" t="inlineStr"/>
    </row>
    <row r="837" ht="49" customHeight="1">
      <c r="A837" s="12" t="inlineStr">
        <is>
          <t>1.4.1</t>
        </is>
      </c>
      <c r="B837" s="12" t="inlineStr">
        <is>
          <t>Vehicles and Depot - Fleet Supply</t>
        </is>
      </c>
      <c r="C837" s="12" t="inlineStr">
        <is>
          <t>Contractor Programme</t>
        </is>
      </c>
      <c r="D837" s="12" t="inlineStr">
        <is>
          <t>SCH-04-025</t>
        </is>
      </c>
      <c r="E837" s="12" t="inlineStr">
        <is>
          <t>Operations building: vehicle-to-depot interface check - turnover</t>
        </is>
      </c>
      <c r="F837" s="12" t="inlineStr">
        <is>
          <t>ONE_TO_ONE</t>
        </is>
      </c>
      <c r="G837" s="12" t="inlineStr">
        <is>
          <t>APPROVED</t>
        </is>
      </c>
      <c r="H837" s="12" t="inlineStr">
        <is>
          <t>New</t>
        </is>
      </c>
      <c r="I837" s="12" t="inlineStr">
        <is>
          <t>Source assignment -- not individually reviewed</t>
        </is>
      </c>
      <c r="J837" s="12" t="inlineStr"/>
      <c r="K837" s="12" t="inlineStr">
        <is>
          <t>Source assignment</t>
        </is>
      </c>
      <c r="L837" s="12" t="inlineStr"/>
      <c r="M837" s="12" t="inlineStr">
        <is>
          <t>Initial</t>
        </is>
      </c>
      <c r="N837" s="12" t="inlineStr">
        <is>
          <t>Rev 0</t>
        </is>
      </c>
      <c r="O837" s="12" t="inlineStr">
        <is>
          <t>R565-v1</t>
        </is>
      </c>
      <c r="P837" s="12" t="inlineStr"/>
      <c r="Q837" s="12" t="inlineStr"/>
      <c r="R837" s="12" t="inlineStr"/>
      <c r="S837" s="12" t="inlineStr"/>
      <c r="T837" s="12" t="inlineStr"/>
      <c r="U837" s="12" t="inlineStr"/>
      <c r="V837" s="12" t="inlineStr">
        <is>
          <t>WBS Code = 1.4.1</t>
        </is>
      </c>
      <c r="W837" s="12" t="inlineStr"/>
    </row>
    <row r="838" ht="49" customHeight="1">
      <c r="A838" s="12" t="inlineStr">
        <is>
          <t>1.4.1</t>
        </is>
      </c>
      <c r="B838" s="12" t="inlineStr">
        <is>
          <t>Vehicles and Depot - Fleet Supply</t>
        </is>
      </c>
      <c r="C838" s="12" t="inlineStr">
        <is>
          <t>Contractor Programme</t>
        </is>
      </c>
      <c r="D838" s="12" t="inlineStr">
        <is>
          <t>SCH-04-026</t>
        </is>
      </c>
      <c r="E838" s="12" t="inlineStr">
        <is>
          <t>Test track: wheel-lathe installation - release</t>
        </is>
      </c>
      <c r="F838" s="12" t="inlineStr">
        <is>
          <t>ONE_TO_ONE</t>
        </is>
      </c>
      <c r="G838" s="12" t="inlineStr">
        <is>
          <t>APPROVED</t>
        </is>
      </c>
      <c r="H838" s="12" t="inlineStr">
        <is>
          <t>New</t>
        </is>
      </c>
      <c r="I838" s="12" t="inlineStr">
        <is>
          <t>Source assignment -- not individually reviewed</t>
        </is>
      </c>
      <c r="J838" s="12" t="inlineStr"/>
      <c r="K838" s="12" t="inlineStr">
        <is>
          <t>Source assignment</t>
        </is>
      </c>
      <c r="L838" s="12" t="inlineStr"/>
      <c r="M838" s="12" t="inlineStr">
        <is>
          <t>Initial</t>
        </is>
      </c>
      <c r="N838" s="12" t="inlineStr">
        <is>
          <t>Rev 0</t>
        </is>
      </c>
      <c r="O838" s="12" t="inlineStr">
        <is>
          <t>R566-v1</t>
        </is>
      </c>
      <c r="P838" s="12" t="inlineStr"/>
      <c r="Q838" s="12" t="inlineStr"/>
      <c r="R838" s="12" t="inlineStr"/>
      <c r="S838" s="12" t="inlineStr"/>
      <c r="T838" s="12" t="inlineStr"/>
      <c r="U838" s="12" t="inlineStr"/>
      <c r="V838" s="12" t="inlineStr">
        <is>
          <t>WBS Code = 1.4.1</t>
        </is>
      </c>
      <c r="W838" s="12" t="inlineStr"/>
    </row>
    <row r="839" ht="49" customHeight="1">
      <c r="A839" s="12" t="inlineStr">
        <is>
          <t>1.4.1</t>
        </is>
      </c>
      <c r="B839" s="12" t="inlineStr">
        <is>
          <t>Vehicles and Depot - Fleet Supply</t>
        </is>
      </c>
      <c r="C839" s="12" t="inlineStr">
        <is>
          <t>Contractor Programme</t>
        </is>
      </c>
      <c r="D839" s="12" t="inlineStr">
        <is>
          <t>SCH-04-028</t>
        </is>
      </c>
      <c r="E839" s="12" t="inlineStr">
        <is>
          <t>Maintenance shop: vehicle delivery inspection - installation</t>
        </is>
      </c>
      <c r="F839" s="12" t="inlineStr">
        <is>
          <t>ONE_TO_ONE</t>
        </is>
      </c>
      <c r="G839" s="12" t="inlineStr">
        <is>
          <t>APPROVED</t>
        </is>
      </c>
      <c r="H839" s="12" t="inlineStr">
        <is>
          <t>New</t>
        </is>
      </c>
      <c r="I839" s="12" t="inlineStr">
        <is>
          <t>Source assignment -- not individually reviewed</t>
        </is>
      </c>
      <c r="J839" s="12" t="inlineStr"/>
      <c r="K839" s="12" t="inlineStr">
        <is>
          <t>Source assignment</t>
        </is>
      </c>
      <c r="L839" s="12" t="inlineStr"/>
      <c r="M839" s="12" t="inlineStr">
        <is>
          <t>Initial</t>
        </is>
      </c>
      <c r="N839" s="12" t="inlineStr">
        <is>
          <t>Rev 0</t>
        </is>
      </c>
      <c r="O839" s="12" t="inlineStr">
        <is>
          <t>R568-v1</t>
        </is>
      </c>
      <c r="P839" s="12" t="inlineStr"/>
      <c r="Q839" s="12" t="inlineStr"/>
      <c r="R839" s="12" t="inlineStr"/>
      <c r="S839" s="12" t="inlineStr"/>
      <c r="T839" s="12" t="inlineStr"/>
      <c r="U839" s="12" t="inlineStr"/>
      <c r="V839" s="12" t="inlineStr">
        <is>
          <t>WBS Code = 1.4.1</t>
        </is>
      </c>
      <c r="W839" s="12" t="inlineStr"/>
    </row>
    <row r="840" ht="49" customHeight="1">
      <c r="A840" s="12" t="inlineStr">
        <is>
          <t>1.4.1</t>
        </is>
      </c>
      <c r="B840" s="12" t="inlineStr">
        <is>
          <t>Vehicles and Depot - Fleet Supply</t>
        </is>
      </c>
      <c r="C840" s="12" t="inlineStr">
        <is>
          <t>Contractor Programme</t>
        </is>
      </c>
      <c r="D840" s="12" t="inlineStr">
        <is>
          <t>SCH-04-029</t>
        </is>
      </c>
      <c r="E840" s="12" t="inlineStr">
        <is>
          <t>Storage yard: wash-plant commissioning - inspection</t>
        </is>
      </c>
      <c r="F840" s="12" t="inlineStr">
        <is>
          <t>ONE_TO_ONE</t>
        </is>
      </c>
      <c r="G840" s="12" t="inlineStr">
        <is>
          <t>APPROVED</t>
        </is>
      </c>
      <c r="H840" s="12" t="inlineStr">
        <is>
          <t>New</t>
        </is>
      </c>
      <c r="I840" s="12" t="inlineStr">
        <is>
          <t>Source assignment -- not individually reviewed</t>
        </is>
      </c>
      <c r="J840" s="12" t="inlineStr"/>
      <c r="K840" s="12" t="inlineStr">
        <is>
          <t>Source assignment</t>
        </is>
      </c>
      <c r="L840" s="12" t="inlineStr"/>
      <c r="M840" s="12" t="inlineStr">
        <is>
          <t>Initial</t>
        </is>
      </c>
      <c r="N840" s="12" t="inlineStr">
        <is>
          <t>Rev 0</t>
        </is>
      </c>
      <c r="O840" s="12" t="inlineStr">
        <is>
          <t>R569-v1</t>
        </is>
      </c>
      <c r="P840" s="12" t="inlineStr"/>
      <c r="Q840" s="12" t="inlineStr"/>
      <c r="R840" s="12" t="inlineStr"/>
      <c r="S840" s="12" t="inlineStr"/>
      <c r="T840" s="12" t="inlineStr"/>
      <c r="U840" s="12" t="inlineStr"/>
      <c r="V840" s="12" t="inlineStr">
        <is>
          <t>WBS Code = 1.4.1</t>
        </is>
      </c>
      <c r="W840" s="12" t="inlineStr"/>
    </row>
    <row r="841" ht="49" customHeight="1">
      <c r="A841" s="12" t="inlineStr">
        <is>
          <t>1.4.1</t>
        </is>
      </c>
      <c r="B841" s="12" t="inlineStr">
        <is>
          <t>Vehicles and Depot - Fleet Supply</t>
        </is>
      </c>
      <c r="C841" s="12" t="inlineStr">
        <is>
          <t>Contractor Programme</t>
        </is>
      </c>
      <c r="D841" s="12" t="inlineStr">
        <is>
          <t>SCH-04-031</t>
        </is>
      </c>
      <c r="E841" s="12" t="inlineStr">
        <is>
          <t>Test track: depot structural fit-out - release</t>
        </is>
      </c>
      <c r="F841" s="12" t="inlineStr">
        <is>
          <t>ONE_TO_ONE</t>
        </is>
      </c>
      <c r="G841" s="12" t="inlineStr">
        <is>
          <t>APPROVED</t>
        </is>
      </c>
      <c r="H841" s="12" t="inlineStr">
        <is>
          <t>New</t>
        </is>
      </c>
      <c r="I841" s="12" t="inlineStr">
        <is>
          <t>Source assignment -- not individually reviewed</t>
        </is>
      </c>
      <c r="J841" s="12" t="inlineStr"/>
      <c r="K841" s="12" t="inlineStr">
        <is>
          <t>Source assignment</t>
        </is>
      </c>
      <c r="L841" s="12" t="inlineStr"/>
      <c r="M841" s="12" t="inlineStr">
        <is>
          <t>Initial</t>
        </is>
      </c>
      <c r="N841" s="12" t="inlineStr">
        <is>
          <t>Rev 0</t>
        </is>
      </c>
      <c r="O841" s="12" t="inlineStr">
        <is>
          <t>R571-v1</t>
        </is>
      </c>
      <c r="P841" s="12" t="inlineStr"/>
      <c r="Q841" s="12" t="inlineStr"/>
      <c r="R841" s="12" t="inlineStr"/>
      <c r="S841" s="12" t="inlineStr"/>
      <c r="T841" s="12" t="inlineStr"/>
      <c r="U841" s="12" t="inlineStr"/>
      <c r="V841" s="12" t="inlineStr">
        <is>
          <t>WBS Code = 1.4.1</t>
        </is>
      </c>
      <c r="W841" s="12" t="inlineStr"/>
    </row>
    <row r="842" ht="49" customHeight="1">
      <c r="A842" s="12" t="inlineStr">
        <is>
          <t>1.4.1</t>
        </is>
      </c>
      <c r="B842" s="12" t="inlineStr">
        <is>
          <t>Vehicles and Depot - Fleet Supply</t>
        </is>
      </c>
      <c r="C842" s="12" t="inlineStr">
        <is>
          <t>Contractor Programme</t>
        </is>
      </c>
      <c r="D842" s="12" t="inlineStr">
        <is>
          <t>SCH-04-032</t>
        </is>
      </c>
      <c r="E842" s="12" t="inlineStr">
        <is>
          <t>Receiving track: workshop crane installation - field start</t>
        </is>
      </c>
      <c r="F842" s="12" t="inlineStr">
        <is>
          <t>ONE_TO_ONE</t>
        </is>
      </c>
      <c r="G842" s="12" t="inlineStr">
        <is>
          <t>APPROVED</t>
        </is>
      </c>
      <c r="H842" s="12" t="inlineStr">
        <is>
          <t>New</t>
        </is>
      </c>
      <c r="I842" s="12" t="inlineStr">
        <is>
          <t>Source assignment -- not individually reviewed</t>
        </is>
      </c>
      <c r="J842" s="12" t="inlineStr"/>
      <c r="K842" s="12" t="inlineStr">
        <is>
          <t>Source assignment</t>
        </is>
      </c>
      <c r="L842" s="12" t="inlineStr"/>
      <c r="M842" s="12" t="inlineStr">
        <is>
          <t>Initial</t>
        </is>
      </c>
      <c r="N842" s="12" t="inlineStr">
        <is>
          <t>Rev 0</t>
        </is>
      </c>
      <c r="O842" s="12" t="inlineStr">
        <is>
          <t>R572-v1</t>
        </is>
      </c>
      <c r="P842" s="12" t="inlineStr"/>
      <c r="Q842" s="12" t="inlineStr"/>
      <c r="R842" s="12" t="inlineStr"/>
      <c r="S842" s="12" t="inlineStr"/>
      <c r="T842" s="12" t="inlineStr"/>
      <c r="U842" s="12" t="inlineStr"/>
      <c r="V842" s="12" t="inlineStr">
        <is>
          <t>WBS Code = 1.4.1</t>
        </is>
      </c>
      <c r="W842" s="12" t="inlineStr"/>
    </row>
    <row r="843" ht="49" customHeight="1">
      <c r="A843" s="12" t="inlineStr">
        <is>
          <t>1.4.1</t>
        </is>
      </c>
      <c r="B843" s="12" t="inlineStr">
        <is>
          <t>Vehicles and Depot - Fleet Supply</t>
        </is>
      </c>
      <c r="C843" s="12" t="inlineStr">
        <is>
          <t>Contractor Programme</t>
        </is>
      </c>
      <c r="D843" s="12" t="inlineStr">
        <is>
          <t>SCH-04-034</t>
        </is>
      </c>
      <c r="E843" s="12" t="inlineStr">
        <is>
          <t>Storage yard: wheel-lathe installation - inspection</t>
        </is>
      </c>
      <c r="F843" s="12" t="inlineStr">
        <is>
          <t>ONE_TO_ONE</t>
        </is>
      </c>
      <c r="G843" s="12" t="inlineStr">
        <is>
          <t>APPROVED</t>
        </is>
      </c>
      <c r="H843" s="12" t="inlineStr">
        <is>
          <t>New</t>
        </is>
      </c>
      <c r="I843" s="12" t="inlineStr">
        <is>
          <t>Source assignment -- not individually reviewed</t>
        </is>
      </c>
      <c r="J843" s="12" t="inlineStr"/>
      <c r="K843" s="12" t="inlineStr">
        <is>
          <t>Source assignment</t>
        </is>
      </c>
      <c r="L843" s="12" t="inlineStr"/>
      <c r="M843" s="12" t="inlineStr">
        <is>
          <t>Initial</t>
        </is>
      </c>
      <c r="N843" s="12" t="inlineStr">
        <is>
          <t>Rev 0</t>
        </is>
      </c>
      <c r="O843" s="12" t="inlineStr">
        <is>
          <t>R574-v1</t>
        </is>
      </c>
      <c r="P843" s="12" t="inlineStr"/>
      <c r="Q843" s="12" t="inlineStr"/>
      <c r="R843" s="12" t="inlineStr"/>
      <c r="S843" s="12" t="inlineStr"/>
      <c r="T843" s="12" t="inlineStr"/>
      <c r="U843" s="12" t="inlineStr"/>
      <c r="V843" s="12" t="inlineStr">
        <is>
          <t>WBS Code = 1.4.1</t>
        </is>
      </c>
      <c r="W843" s="12" t="inlineStr"/>
    </row>
    <row r="844" ht="49" customHeight="1">
      <c r="A844" s="12" t="inlineStr">
        <is>
          <t>1.4.1</t>
        </is>
      </c>
      <c r="B844" s="12" t="inlineStr">
        <is>
          <t>Vehicles and Depot - Fleet Supply</t>
        </is>
      </c>
      <c r="C844" s="12" t="inlineStr">
        <is>
          <t>Contractor Programme</t>
        </is>
      </c>
      <c r="D844" s="12" t="inlineStr">
        <is>
          <t>SCH-04-035</t>
        </is>
      </c>
      <c r="E844" s="12" t="inlineStr">
        <is>
          <t>Operations building: fleet software load - turnover</t>
        </is>
      </c>
      <c r="F844" s="12" t="inlineStr">
        <is>
          <t>ONE_TO_ONE</t>
        </is>
      </c>
      <c r="G844" s="12" t="inlineStr">
        <is>
          <t>APPROVED</t>
        </is>
      </c>
      <c r="H844" s="12" t="inlineStr">
        <is>
          <t>New</t>
        </is>
      </c>
      <c r="I844" s="12" t="inlineStr">
        <is>
          <t>Source assignment -- not individually reviewed</t>
        </is>
      </c>
      <c r="J844" s="12" t="inlineStr"/>
      <c r="K844" s="12" t="inlineStr">
        <is>
          <t>Source assignment</t>
        </is>
      </c>
      <c r="L844" s="12" t="inlineStr"/>
      <c r="M844" s="12" t="inlineStr">
        <is>
          <t>Initial</t>
        </is>
      </c>
      <c r="N844" s="12" t="inlineStr">
        <is>
          <t>Rev 0</t>
        </is>
      </c>
      <c r="O844" s="12" t="inlineStr">
        <is>
          <t>R575-v1</t>
        </is>
      </c>
      <c r="P844" s="12" t="inlineStr"/>
      <c r="Q844" s="12" t="inlineStr"/>
      <c r="R844" s="12" t="inlineStr"/>
      <c r="S844" s="12" t="inlineStr"/>
      <c r="T844" s="12" t="inlineStr"/>
      <c r="U844" s="12" t="inlineStr"/>
      <c r="V844" s="12" t="inlineStr">
        <is>
          <t>WBS Code = 1.4.1</t>
        </is>
      </c>
      <c r="W844" s="12" t="inlineStr"/>
    </row>
    <row r="845" ht="49" customHeight="1">
      <c r="A845" s="12" t="inlineStr">
        <is>
          <t>1.4.1</t>
        </is>
      </c>
      <c r="B845" s="12" t="inlineStr">
        <is>
          <t>Vehicles and Depot - Fleet Supply</t>
        </is>
      </c>
      <c r="C845" s="12" t="inlineStr">
        <is>
          <t>Contractor Programme</t>
        </is>
      </c>
      <c r="D845" s="12" t="inlineStr">
        <is>
          <t>SCH-04-037</t>
        </is>
      </c>
      <c r="E845" s="12" t="inlineStr">
        <is>
          <t>Receiving track: wash-plant commissioning - field start</t>
        </is>
      </c>
      <c r="F845" s="12" t="inlineStr">
        <is>
          <t>ONE_TO_ONE</t>
        </is>
      </c>
      <c r="G845" s="12" t="inlineStr">
        <is>
          <t>APPROVED</t>
        </is>
      </c>
      <c r="H845" s="12" t="inlineStr">
        <is>
          <t>New</t>
        </is>
      </c>
      <c r="I845" s="12" t="inlineStr">
        <is>
          <t>Source assignment -- not individually reviewed</t>
        </is>
      </c>
      <c r="J845" s="12" t="inlineStr"/>
      <c r="K845" s="12" t="inlineStr">
        <is>
          <t>Source assignment</t>
        </is>
      </c>
      <c r="L845" s="12" t="inlineStr"/>
      <c r="M845" s="12" t="inlineStr">
        <is>
          <t>Initial</t>
        </is>
      </c>
      <c r="N845" s="12" t="inlineStr">
        <is>
          <t>Rev 0</t>
        </is>
      </c>
      <c r="O845" s="12" t="inlineStr">
        <is>
          <t>R577-v1</t>
        </is>
      </c>
      <c r="P845" s="12" t="inlineStr"/>
      <c r="Q845" s="12" t="inlineStr"/>
      <c r="R845" s="12" t="inlineStr"/>
      <c r="S845" s="12" t="inlineStr"/>
      <c r="T845" s="12" t="inlineStr"/>
      <c r="U845" s="12" t="inlineStr"/>
      <c r="V845" s="12" t="inlineStr">
        <is>
          <t>WBS Code = 1.4.1</t>
        </is>
      </c>
      <c r="W845" s="12" t="inlineStr"/>
    </row>
    <row r="846" ht="49" customHeight="1">
      <c r="A846" s="12" t="inlineStr">
        <is>
          <t>1.4.1</t>
        </is>
      </c>
      <c r="B846" s="12" t="inlineStr">
        <is>
          <t>Vehicles and Depot - Fleet Supply</t>
        </is>
      </c>
      <c r="C846" s="12" t="inlineStr">
        <is>
          <t>Contractor Programme</t>
        </is>
      </c>
      <c r="D846" s="12" t="inlineStr">
        <is>
          <t>SCH-04-038</t>
        </is>
      </c>
      <c r="E846" s="12" t="inlineStr">
        <is>
          <t>Maintenance shop: maintenance-bay services - installation</t>
        </is>
      </c>
      <c r="F846" s="12" t="inlineStr">
        <is>
          <t>ONE_TO_ONE</t>
        </is>
      </c>
      <c r="G846" s="12" t="inlineStr">
        <is>
          <t>APPROVED</t>
        </is>
      </c>
      <c r="H846" s="12" t="inlineStr">
        <is>
          <t>New</t>
        </is>
      </c>
      <c r="I846" s="12" t="inlineStr">
        <is>
          <t>Source assignment -- not individually reviewed</t>
        </is>
      </c>
      <c r="J846" s="12" t="inlineStr"/>
      <c r="K846" s="12" t="inlineStr">
        <is>
          <t>Source assignment</t>
        </is>
      </c>
      <c r="L846" s="12" t="inlineStr"/>
      <c r="M846" s="12" t="inlineStr">
        <is>
          <t>Initial</t>
        </is>
      </c>
      <c r="N846" s="12" t="inlineStr">
        <is>
          <t>Rev 0</t>
        </is>
      </c>
      <c r="O846" s="12" t="inlineStr">
        <is>
          <t>R578-v1</t>
        </is>
      </c>
      <c r="P846" s="12" t="inlineStr"/>
      <c r="Q846" s="12" t="inlineStr"/>
      <c r="R846" s="12" t="inlineStr"/>
      <c r="S846" s="12" t="inlineStr"/>
      <c r="T846" s="12" t="inlineStr"/>
      <c r="U846" s="12" t="inlineStr"/>
      <c r="V846" s="12" t="inlineStr">
        <is>
          <t>WBS Code = 1.4.1</t>
        </is>
      </c>
      <c r="W846" s="12" t="inlineStr"/>
    </row>
    <row r="847" ht="49" customHeight="1">
      <c r="A847" s="12" t="inlineStr">
        <is>
          <t>1.4.1</t>
        </is>
      </c>
      <c r="B847" s="12" t="inlineStr">
        <is>
          <t>Vehicles and Depot - Fleet Supply</t>
        </is>
      </c>
      <c r="C847" s="12" t="inlineStr">
        <is>
          <t>Contractor Programme</t>
        </is>
      </c>
      <c r="D847" s="12" t="inlineStr">
        <is>
          <t>SCH-04-040</t>
        </is>
      </c>
      <c r="E847" s="12" t="inlineStr">
        <is>
          <t>Operations building: workshop crane installation - turnover</t>
        </is>
      </c>
      <c r="F847" s="12" t="inlineStr">
        <is>
          <t>ONE_TO_ONE</t>
        </is>
      </c>
      <c r="G847" s="12" t="inlineStr">
        <is>
          <t>APPROVED</t>
        </is>
      </c>
      <c r="H847" s="12" t="inlineStr">
        <is>
          <t>New</t>
        </is>
      </c>
      <c r="I847" s="12" t="inlineStr">
        <is>
          <t>Source assignment -- not individually reviewed</t>
        </is>
      </c>
      <c r="J847" s="12" t="inlineStr"/>
      <c r="K847" s="12" t="inlineStr">
        <is>
          <t>Source assignment</t>
        </is>
      </c>
      <c r="L847" s="12" t="inlineStr"/>
      <c r="M847" s="12" t="inlineStr">
        <is>
          <t>Initial</t>
        </is>
      </c>
      <c r="N847" s="12" t="inlineStr">
        <is>
          <t>Rev 0</t>
        </is>
      </c>
      <c r="O847" s="12" t="inlineStr">
        <is>
          <t>R580-v1</t>
        </is>
      </c>
      <c r="P847" s="12" t="inlineStr"/>
      <c r="Q847" s="12" t="inlineStr"/>
      <c r="R847" s="12" t="inlineStr"/>
      <c r="S847" s="12" t="inlineStr"/>
      <c r="T847" s="12" t="inlineStr"/>
      <c r="U847" s="12" t="inlineStr"/>
      <c r="V847" s="12" t="inlineStr">
        <is>
          <t>WBS Code = 1.4.1</t>
        </is>
      </c>
      <c r="W847" s="12" t="inlineStr"/>
    </row>
    <row r="848" ht="49" customHeight="1">
      <c r="A848" s="12" t="inlineStr">
        <is>
          <t>1.4.1</t>
        </is>
      </c>
      <c r="B848" s="12" t="inlineStr">
        <is>
          <t>Vehicles and Depot - Fleet Supply</t>
        </is>
      </c>
      <c r="C848" s="12" t="inlineStr">
        <is>
          <t>Contractor Programme</t>
        </is>
      </c>
      <c r="D848" s="12" t="inlineStr">
        <is>
          <t>SCH-04-041</t>
        </is>
      </c>
      <c r="E848" s="12" t="inlineStr">
        <is>
          <t>Test track: vehicle-to-depot interface check - release</t>
        </is>
      </c>
      <c r="F848" s="12" t="inlineStr">
        <is>
          <t>ONE_TO_ONE</t>
        </is>
      </c>
      <c r="G848" s="12" t="inlineStr">
        <is>
          <t>APPROVED</t>
        </is>
      </c>
      <c r="H848" s="12" t="inlineStr">
        <is>
          <t>New</t>
        </is>
      </c>
      <c r="I848" s="12" t="inlineStr">
        <is>
          <t>Source assignment -- not individually reviewed</t>
        </is>
      </c>
      <c r="J848" s="12" t="inlineStr"/>
      <c r="K848" s="12" t="inlineStr">
        <is>
          <t>Source assignment</t>
        </is>
      </c>
      <c r="L848" s="12" t="inlineStr"/>
      <c r="M848" s="12" t="inlineStr">
        <is>
          <t>Initial</t>
        </is>
      </c>
      <c r="N848" s="12" t="inlineStr">
        <is>
          <t>Rev 0</t>
        </is>
      </c>
      <c r="O848" s="12" t="inlineStr">
        <is>
          <t>R581-v1</t>
        </is>
      </c>
      <c r="P848" s="12" t="inlineStr"/>
      <c r="Q848" s="12" t="inlineStr"/>
      <c r="R848" s="12" t="inlineStr"/>
      <c r="S848" s="12" t="inlineStr"/>
      <c r="T848" s="12" t="inlineStr"/>
      <c r="U848" s="12" t="inlineStr"/>
      <c r="V848" s="12" t="inlineStr">
        <is>
          <t>WBS Code = 1.4.1</t>
        </is>
      </c>
      <c r="W848" s="12" t="inlineStr"/>
    </row>
    <row r="849" ht="49" customHeight="1">
      <c r="A849" s="12" t="inlineStr">
        <is>
          <t>1.4.1</t>
        </is>
      </c>
      <c r="B849" s="12" t="inlineStr">
        <is>
          <t>Vehicles and Depot - Fleet Supply</t>
        </is>
      </c>
      <c r="C849" s="12" t="inlineStr">
        <is>
          <t>Contractor Programme</t>
        </is>
      </c>
      <c r="D849" s="12" t="inlineStr">
        <is>
          <t>SCH-04-043</t>
        </is>
      </c>
      <c r="E849" s="12" t="inlineStr">
        <is>
          <t>Maintenance shop: fleet software load - installation</t>
        </is>
      </c>
      <c r="F849" s="12" t="inlineStr">
        <is>
          <t>ONE_TO_ONE</t>
        </is>
      </c>
      <c r="G849" s="12" t="inlineStr">
        <is>
          <t>APPROVED</t>
        </is>
      </c>
      <c r="H849" s="12" t="inlineStr">
        <is>
          <t>New</t>
        </is>
      </c>
      <c r="I849" s="12" t="inlineStr">
        <is>
          <t>Source assignment -- not individually reviewed</t>
        </is>
      </c>
      <c r="J849" s="12" t="inlineStr"/>
      <c r="K849" s="12" t="inlineStr">
        <is>
          <t>Source assignment</t>
        </is>
      </c>
      <c r="L849" s="12" t="inlineStr"/>
      <c r="M849" s="12" t="inlineStr">
        <is>
          <t>Initial</t>
        </is>
      </c>
      <c r="N849" s="12" t="inlineStr">
        <is>
          <t>Rev 0</t>
        </is>
      </c>
      <c r="O849" s="12" t="inlineStr">
        <is>
          <t>R583-v1</t>
        </is>
      </c>
      <c r="P849" s="12" t="inlineStr"/>
      <c r="Q849" s="12" t="inlineStr"/>
      <c r="R849" s="12" t="inlineStr"/>
      <c r="S849" s="12" t="inlineStr"/>
      <c r="T849" s="12" t="inlineStr"/>
      <c r="U849" s="12" t="inlineStr"/>
      <c r="V849" s="12" t="inlineStr">
        <is>
          <t>WBS Code = 1.4.1</t>
        </is>
      </c>
      <c r="W849" s="12" t="inlineStr"/>
    </row>
    <row r="850" ht="49" customHeight="1">
      <c r="A850" s="12" t="inlineStr">
        <is>
          <t>1.4.1</t>
        </is>
      </c>
      <c r="B850" s="12" t="inlineStr">
        <is>
          <t>Vehicles and Depot - Fleet Supply</t>
        </is>
      </c>
      <c r="C850" s="12" t="inlineStr">
        <is>
          <t>Contractor Programme</t>
        </is>
      </c>
      <c r="D850" s="12" t="inlineStr">
        <is>
          <t>SCH-04-044</t>
        </is>
      </c>
      <c r="E850" s="12" t="inlineStr">
        <is>
          <t>Storage yard: vehicle delivery inspection - inspection</t>
        </is>
      </c>
      <c r="F850" s="12" t="inlineStr">
        <is>
          <t>ONE_TO_ONE</t>
        </is>
      </c>
      <c r="G850" s="12" t="inlineStr">
        <is>
          <t>APPROVED</t>
        </is>
      </c>
      <c r="H850" s="12" t="inlineStr">
        <is>
          <t>New</t>
        </is>
      </c>
      <c r="I850" s="12" t="inlineStr">
        <is>
          <t>Source assignment -- not individually reviewed</t>
        </is>
      </c>
      <c r="J850" s="12" t="inlineStr"/>
      <c r="K850" s="12" t="inlineStr">
        <is>
          <t>Source assignment</t>
        </is>
      </c>
      <c r="L850" s="12" t="inlineStr"/>
      <c r="M850" s="12" t="inlineStr">
        <is>
          <t>Initial</t>
        </is>
      </c>
      <c r="N850" s="12" t="inlineStr">
        <is>
          <t>Rev 0</t>
        </is>
      </c>
      <c r="O850" s="12" t="inlineStr">
        <is>
          <t>R584-v1</t>
        </is>
      </c>
      <c r="P850" s="12" t="inlineStr"/>
      <c r="Q850" s="12" t="inlineStr"/>
      <c r="R850" s="12" t="inlineStr"/>
      <c r="S850" s="12" t="inlineStr"/>
      <c r="T850" s="12" t="inlineStr"/>
      <c r="U850" s="12" t="inlineStr"/>
      <c r="V850" s="12" t="inlineStr">
        <is>
          <t>WBS Code = 1.4.1</t>
        </is>
      </c>
      <c r="W850" s="12" t="inlineStr"/>
    </row>
    <row r="851" ht="49" customHeight="1">
      <c r="A851" s="12" t="inlineStr">
        <is>
          <t>1.4.1</t>
        </is>
      </c>
      <c r="B851" s="12" t="inlineStr">
        <is>
          <t>Vehicles and Depot - Fleet Supply</t>
        </is>
      </c>
      <c r="C851" s="12" t="inlineStr">
        <is>
          <t>Contractor Programme</t>
        </is>
      </c>
      <c r="D851" s="12" t="inlineStr">
        <is>
          <t>SCH-04-046</t>
        </is>
      </c>
      <c r="E851" s="12" t="inlineStr">
        <is>
          <t>Test track: maintenance-bay services - release</t>
        </is>
      </c>
      <c r="F851" s="12" t="inlineStr">
        <is>
          <t>ONE_TO_ONE</t>
        </is>
      </c>
      <c r="G851" s="12" t="inlineStr">
        <is>
          <t>APPROVED</t>
        </is>
      </c>
      <c r="H851" s="12" t="inlineStr">
        <is>
          <t>New</t>
        </is>
      </c>
      <c r="I851" s="12" t="inlineStr">
        <is>
          <t>Source assignment -- not individually reviewed</t>
        </is>
      </c>
      <c r="J851" s="12" t="inlineStr"/>
      <c r="K851" s="12" t="inlineStr">
        <is>
          <t>Source assignment</t>
        </is>
      </c>
      <c r="L851" s="12" t="inlineStr"/>
      <c r="M851" s="12" t="inlineStr">
        <is>
          <t>Initial</t>
        </is>
      </c>
      <c r="N851" s="12" t="inlineStr">
        <is>
          <t>Rev 0</t>
        </is>
      </c>
      <c r="O851" s="12" t="inlineStr">
        <is>
          <t>R586-v1</t>
        </is>
      </c>
      <c r="P851" s="12" t="inlineStr"/>
      <c r="Q851" s="12" t="inlineStr"/>
      <c r="R851" s="12" t="inlineStr"/>
      <c r="S851" s="12" t="inlineStr"/>
      <c r="T851" s="12" t="inlineStr"/>
      <c r="U851" s="12" t="inlineStr"/>
      <c r="V851" s="12" t="inlineStr">
        <is>
          <t>WBS Code = 1.4.1</t>
        </is>
      </c>
      <c r="W851" s="12" t="inlineStr"/>
    </row>
    <row r="852" ht="49" customHeight="1">
      <c r="A852" s="12" t="inlineStr">
        <is>
          <t>1.4.1</t>
        </is>
      </c>
      <c r="B852" s="12" t="inlineStr">
        <is>
          <t>Vehicles and Depot - Fleet Supply</t>
        </is>
      </c>
      <c r="C852" s="12" t="inlineStr">
        <is>
          <t>Contractor Programme</t>
        </is>
      </c>
      <c r="D852" s="12" t="inlineStr">
        <is>
          <t>SCH-04-047</t>
        </is>
      </c>
      <c r="E852" s="12" t="inlineStr">
        <is>
          <t>Receiving track: depot structural fit-out - field start</t>
        </is>
      </c>
      <c r="F852" s="12" t="inlineStr">
        <is>
          <t>ONE_TO_ONE</t>
        </is>
      </c>
      <c r="G852" s="12" t="inlineStr">
        <is>
          <t>APPROVED</t>
        </is>
      </c>
      <c r="H852" s="12" t="inlineStr">
        <is>
          <t>New</t>
        </is>
      </c>
      <c r="I852" s="12" t="inlineStr">
        <is>
          <t>Source assignment -- not individually reviewed</t>
        </is>
      </c>
      <c r="J852" s="12" t="inlineStr"/>
      <c r="K852" s="12" t="inlineStr">
        <is>
          <t>Source assignment</t>
        </is>
      </c>
      <c r="L852" s="12" t="inlineStr"/>
      <c r="M852" s="12" t="inlineStr">
        <is>
          <t>Initial</t>
        </is>
      </c>
      <c r="N852" s="12" t="inlineStr">
        <is>
          <t>Rev 0</t>
        </is>
      </c>
      <c r="O852" s="12" t="inlineStr">
        <is>
          <t>R587-v1</t>
        </is>
      </c>
      <c r="P852" s="12" t="inlineStr"/>
      <c r="Q852" s="12" t="inlineStr"/>
      <c r="R852" s="12" t="inlineStr"/>
      <c r="S852" s="12" t="inlineStr"/>
      <c r="T852" s="12" t="inlineStr"/>
      <c r="U852" s="12" t="inlineStr"/>
      <c r="V852" s="12" t="inlineStr">
        <is>
          <t>WBS Code = 1.4.1</t>
        </is>
      </c>
      <c r="W852" s="12" t="inlineStr"/>
    </row>
    <row r="853" ht="49" customHeight="1">
      <c r="A853" s="12" t="inlineStr">
        <is>
          <t>1.4.1</t>
        </is>
      </c>
      <c r="B853" s="12" t="inlineStr">
        <is>
          <t>Vehicles and Depot - Fleet Supply</t>
        </is>
      </c>
      <c r="C853" s="12" t="inlineStr">
        <is>
          <t>Contractor Programme</t>
        </is>
      </c>
      <c r="D853" s="12" t="inlineStr">
        <is>
          <t>SCH-04-049</t>
        </is>
      </c>
      <c r="E853" s="12" t="inlineStr">
        <is>
          <t>Storage yard: vehicle-to-depot interface check - inspection</t>
        </is>
      </c>
      <c r="F853" s="12" t="inlineStr">
        <is>
          <t>ONE_TO_ONE</t>
        </is>
      </c>
      <c r="G853" s="12" t="inlineStr">
        <is>
          <t>APPROVED</t>
        </is>
      </c>
      <c r="H853" s="12" t="inlineStr">
        <is>
          <t>New</t>
        </is>
      </c>
      <c r="I853" s="12" t="inlineStr">
        <is>
          <t>Source assignment -- not individually reviewed</t>
        </is>
      </c>
      <c r="J853" s="12" t="inlineStr"/>
      <c r="K853" s="12" t="inlineStr">
        <is>
          <t>Source assignment</t>
        </is>
      </c>
      <c r="L853" s="12" t="inlineStr"/>
      <c r="M853" s="12" t="inlineStr">
        <is>
          <t>Initial</t>
        </is>
      </c>
      <c r="N853" s="12" t="inlineStr">
        <is>
          <t>Rev 0</t>
        </is>
      </c>
      <c r="O853" s="12" t="inlineStr">
        <is>
          <t>R589-v1</t>
        </is>
      </c>
      <c r="P853" s="12" t="inlineStr"/>
      <c r="Q853" s="12" t="inlineStr"/>
      <c r="R853" s="12" t="inlineStr"/>
      <c r="S853" s="12" t="inlineStr"/>
      <c r="T853" s="12" t="inlineStr"/>
      <c r="U853" s="12" t="inlineStr"/>
      <c r="V853" s="12" t="inlineStr">
        <is>
          <t>WBS Code = 1.4.1</t>
        </is>
      </c>
      <c r="W853" s="12" t="inlineStr"/>
    </row>
    <row r="854" ht="49" customHeight="1">
      <c r="A854" s="12" t="inlineStr">
        <is>
          <t>1.4.1</t>
        </is>
      </c>
      <c r="B854" s="12" t="inlineStr">
        <is>
          <t>Vehicles and Depot - Fleet Supply</t>
        </is>
      </c>
      <c r="C854" s="12" t="inlineStr">
        <is>
          <t>Contractor Programme</t>
        </is>
      </c>
      <c r="D854" s="12" t="inlineStr">
        <is>
          <t>SCH-04-050</t>
        </is>
      </c>
      <c r="E854" s="12" t="inlineStr">
        <is>
          <t>Operations building: wheel-lathe installation - turnover</t>
        </is>
      </c>
      <c r="F854" s="12" t="inlineStr">
        <is>
          <t>ONE_TO_ONE</t>
        </is>
      </c>
      <c r="G854" s="12" t="inlineStr">
        <is>
          <t>APPROVED</t>
        </is>
      </c>
      <c r="H854" s="12" t="inlineStr">
        <is>
          <t>New</t>
        </is>
      </c>
      <c r="I854" s="12" t="inlineStr">
        <is>
          <t>Source assignment -- not individually reviewed</t>
        </is>
      </c>
      <c r="J854" s="12" t="inlineStr"/>
      <c r="K854" s="12" t="inlineStr">
        <is>
          <t>Source assignment</t>
        </is>
      </c>
      <c r="L854" s="12" t="inlineStr"/>
      <c r="M854" s="12" t="inlineStr">
        <is>
          <t>Initial</t>
        </is>
      </c>
      <c r="N854" s="12" t="inlineStr">
        <is>
          <t>Rev 0</t>
        </is>
      </c>
      <c r="O854" s="12" t="inlineStr">
        <is>
          <t>R590-v1</t>
        </is>
      </c>
      <c r="P854" s="12" t="inlineStr"/>
      <c r="Q854" s="12" t="inlineStr"/>
      <c r="R854" s="12" t="inlineStr"/>
      <c r="S854" s="12" t="inlineStr"/>
      <c r="T854" s="12" t="inlineStr"/>
      <c r="U854" s="12" t="inlineStr"/>
      <c r="V854" s="12" t="inlineStr">
        <is>
          <t>WBS Code = 1.4.1</t>
        </is>
      </c>
      <c r="W854" s="12" t="inlineStr"/>
    </row>
    <row r="855" ht="49" customHeight="1">
      <c r="A855" s="12" t="inlineStr">
        <is>
          <t>1.4.1</t>
        </is>
      </c>
      <c r="B855" s="12" t="inlineStr">
        <is>
          <t>Vehicles and Depot - Fleet Supply</t>
        </is>
      </c>
      <c r="C855" s="12" t="inlineStr">
        <is>
          <t>Contractor Programme</t>
        </is>
      </c>
      <c r="D855" s="12" t="inlineStr">
        <is>
          <t>SCH-04-052</t>
        </is>
      </c>
      <c r="E855" s="12" t="inlineStr">
        <is>
          <t>Receiving track: vehicle delivery inspection - field start</t>
        </is>
      </c>
      <c r="F855" s="12" t="inlineStr">
        <is>
          <t>ONE_TO_ONE</t>
        </is>
      </c>
      <c r="G855" s="12" t="inlineStr">
        <is>
          <t>APPROVED</t>
        </is>
      </c>
      <c r="H855" s="12" t="inlineStr">
        <is>
          <t>New</t>
        </is>
      </c>
      <c r="I855" s="12" t="inlineStr">
        <is>
          <t>Source assignment -- not individually reviewed</t>
        </is>
      </c>
      <c r="J855" s="12" t="inlineStr"/>
      <c r="K855" s="12" t="inlineStr">
        <is>
          <t>Source assignment</t>
        </is>
      </c>
      <c r="L855" s="12" t="inlineStr"/>
      <c r="M855" s="12" t="inlineStr">
        <is>
          <t>Initial</t>
        </is>
      </c>
      <c r="N855" s="12" t="inlineStr">
        <is>
          <t>Rev 0</t>
        </is>
      </c>
      <c r="O855" s="12" t="inlineStr">
        <is>
          <t>R592-v1</t>
        </is>
      </c>
      <c r="P855" s="12" t="inlineStr"/>
      <c r="Q855" s="12" t="inlineStr"/>
      <c r="R855" s="12" t="inlineStr"/>
      <c r="S855" s="12" t="inlineStr"/>
      <c r="T855" s="12" t="inlineStr"/>
      <c r="U855" s="12" t="inlineStr"/>
      <c r="V855" s="12" t="inlineStr">
        <is>
          <t>WBS Code = 1.4.1</t>
        </is>
      </c>
      <c r="W855" s="12" t="inlineStr"/>
    </row>
    <row r="856" ht="49" customHeight="1">
      <c r="A856" s="12" t="inlineStr">
        <is>
          <t>1.4.1</t>
        </is>
      </c>
      <c r="B856" s="12" t="inlineStr">
        <is>
          <t>Vehicles and Depot - Fleet Supply</t>
        </is>
      </c>
      <c r="C856" s="12" t="inlineStr">
        <is>
          <t>Contractor Programme</t>
        </is>
      </c>
      <c r="D856" s="12" t="inlineStr">
        <is>
          <t>SCH-04-053</t>
        </is>
      </c>
      <c r="E856" s="12" t="inlineStr">
        <is>
          <t>Maintenance shop: wash-plant commissioning - installation</t>
        </is>
      </c>
      <c r="F856" s="12" t="inlineStr">
        <is>
          <t>ONE_TO_ONE</t>
        </is>
      </c>
      <c r="G856" s="12" t="inlineStr">
        <is>
          <t>APPROVED</t>
        </is>
      </c>
      <c r="H856" s="12" t="inlineStr">
        <is>
          <t>New</t>
        </is>
      </c>
      <c r="I856" s="12" t="inlineStr">
        <is>
          <t>Source assignment -- not individually reviewed</t>
        </is>
      </c>
      <c r="J856" s="12" t="inlineStr"/>
      <c r="K856" s="12" t="inlineStr">
        <is>
          <t>Source assignment</t>
        </is>
      </c>
      <c r="L856" s="12" t="inlineStr"/>
      <c r="M856" s="12" t="inlineStr">
        <is>
          <t>Initial</t>
        </is>
      </c>
      <c r="N856" s="12" t="inlineStr">
        <is>
          <t>Rev 0</t>
        </is>
      </c>
      <c r="O856" s="12" t="inlineStr">
        <is>
          <t>R593-v1</t>
        </is>
      </c>
      <c r="P856" s="12" t="inlineStr"/>
      <c r="Q856" s="12" t="inlineStr"/>
      <c r="R856" s="12" t="inlineStr"/>
      <c r="S856" s="12" t="inlineStr"/>
      <c r="T856" s="12" t="inlineStr"/>
      <c r="U856" s="12" t="inlineStr"/>
      <c r="V856" s="12" t="inlineStr">
        <is>
          <t>WBS Code = 1.4.1</t>
        </is>
      </c>
      <c r="W856" s="12" t="inlineStr"/>
    </row>
    <row r="857" ht="49" customHeight="1">
      <c r="A857" s="12" t="inlineStr">
        <is>
          <t>1.4.1</t>
        </is>
      </c>
      <c r="B857" s="12" t="inlineStr">
        <is>
          <t>Vehicles and Depot - Fleet Supply</t>
        </is>
      </c>
      <c r="C857" s="12" t="inlineStr">
        <is>
          <t>Contractor Programme</t>
        </is>
      </c>
      <c r="D857" s="12" t="inlineStr">
        <is>
          <t>SCH-04-055</t>
        </is>
      </c>
      <c r="E857" s="12" t="inlineStr">
        <is>
          <t>Operations building: depot structural fit-out - turnover</t>
        </is>
      </c>
      <c r="F857" s="12" t="inlineStr">
        <is>
          <t>ONE_TO_ONE</t>
        </is>
      </c>
      <c r="G857" s="12" t="inlineStr">
        <is>
          <t>APPROVED</t>
        </is>
      </c>
      <c r="H857" s="12" t="inlineStr">
        <is>
          <t>New</t>
        </is>
      </c>
      <c r="I857" s="12" t="inlineStr">
        <is>
          <t>Source assignment -- not individually reviewed</t>
        </is>
      </c>
      <c r="J857" s="12" t="inlineStr"/>
      <c r="K857" s="12" t="inlineStr">
        <is>
          <t>Source assignment</t>
        </is>
      </c>
      <c r="L857" s="12" t="inlineStr"/>
      <c r="M857" s="12" t="inlineStr">
        <is>
          <t>Initial</t>
        </is>
      </c>
      <c r="N857" s="12" t="inlineStr">
        <is>
          <t>Rev 0</t>
        </is>
      </c>
      <c r="O857" s="12" t="inlineStr">
        <is>
          <t>R595-v1</t>
        </is>
      </c>
      <c r="P857" s="12" t="inlineStr"/>
      <c r="Q857" s="12" t="inlineStr"/>
      <c r="R857" s="12" t="inlineStr"/>
      <c r="S857" s="12" t="inlineStr"/>
      <c r="T857" s="12" t="inlineStr"/>
      <c r="U857" s="12" t="inlineStr"/>
      <c r="V857" s="12" t="inlineStr">
        <is>
          <t>WBS Code = 1.4.1</t>
        </is>
      </c>
      <c r="W857" s="12" t="inlineStr"/>
    </row>
    <row r="858" ht="49" customHeight="1">
      <c r="A858" s="12" t="inlineStr">
        <is>
          <t>1.4.1</t>
        </is>
      </c>
      <c r="B858" s="12" t="inlineStr">
        <is>
          <t>Vehicles and Depot - Fleet Supply</t>
        </is>
      </c>
      <c r="C858" s="12" t="inlineStr">
        <is>
          <t>Contractor Programme</t>
        </is>
      </c>
      <c r="D858" s="12" t="inlineStr">
        <is>
          <t>SCH-04-056</t>
        </is>
      </c>
      <c r="E858" s="12" t="inlineStr">
        <is>
          <t>Test track: workshop crane installation - release</t>
        </is>
      </c>
      <c r="F858" s="12" t="inlineStr">
        <is>
          <t>ONE_TO_ONE</t>
        </is>
      </c>
      <c r="G858" s="12" t="inlineStr">
        <is>
          <t>APPROVED</t>
        </is>
      </c>
      <c r="H858" s="12" t="inlineStr">
        <is>
          <t>New</t>
        </is>
      </c>
      <c r="I858" s="12" t="inlineStr">
        <is>
          <t>Source assignment -- not individually reviewed</t>
        </is>
      </c>
      <c r="J858" s="12" t="inlineStr"/>
      <c r="K858" s="12" t="inlineStr">
        <is>
          <t>Source assignment</t>
        </is>
      </c>
      <c r="L858" s="12" t="inlineStr"/>
      <c r="M858" s="12" t="inlineStr">
        <is>
          <t>Initial</t>
        </is>
      </c>
      <c r="N858" s="12" t="inlineStr">
        <is>
          <t>Rev 0</t>
        </is>
      </c>
      <c r="O858" s="12" t="inlineStr">
        <is>
          <t>R596-v1</t>
        </is>
      </c>
      <c r="P858" s="12" t="inlineStr"/>
      <c r="Q858" s="12" t="inlineStr"/>
      <c r="R858" s="12" t="inlineStr"/>
      <c r="S858" s="12" t="inlineStr"/>
      <c r="T858" s="12" t="inlineStr"/>
      <c r="U858" s="12" t="inlineStr"/>
      <c r="V858" s="12" t="inlineStr">
        <is>
          <t>WBS Code = 1.4.1</t>
        </is>
      </c>
      <c r="W858" s="12" t="inlineStr"/>
    </row>
    <row r="859" ht="49" customHeight="1">
      <c r="A859" s="12" t="inlineStr">
        <is>
          <t>1.4.1</t>
        </is>
      </c>
      <c r="B859" s="12" t="inlineStr">
        <is>
          <t>Vehicles and Depot - Fleet Supply</t>
        </is>
      </c>
      <c r="C859" s="12" t="inlineStr">
        <is>
          <t>Contractor Programme</t>
        </is>
      </c>
      <c r="D859" s="12" t="inlineStr">
        <is>
          <t>SCH-04-058</t>
        </is>
      </c>
      <c r="E859" s="12" t="inlineStr">
        <is>
          <t>Maintenance shop: wheel-lathe installation - installation</t>
        </is>
      </c>
      <c r="F859" s="12" t="inlineStr">
        <is>
          <t>ONE_TO_ONE</t>
        </is>
      </c>
      <c r="G859" s="12" t="inlineStr">
        <is>
          <t>APPROVED</t>
        </is>
      </c>
      <c r="H859" s="12" t="inlineStr">
        <is>
          <t>New</t>
        </is>
      </c>
      <c r="I859" s="12" t="inlineStr">
        <is>
          <t>Source assignment -- not individually reviewed</t>
        </is>
      </c>
      <c r="J859" s="12" t="inlineStr"/>
      <c r="K859" s="12" t="inlineStr">
        <is>
          <t>Source assignment</t>
        </is>
      </c>
      <c r="L859" s="12" t="inlineStr"/>
      <c r="M859" s="12" t="inlineStr">
        <is>
          <t>Initial</t>
        </is>
      </c>
      <c r="N859" s="12" t="inlineStr">
        <is>
          <t>Rev 0</t>
        </is>
      </c>
      <c r="O859" s="12" t="inlineStr">
        <is>
          <t>R598-v1</t>
        </is>
      </c>
      <c r="P859" s="12" t="inlineStr"/>
      <c r="Q859" s="12" t="inlineStr"/>
      <c r="R859" s="12" t="inlineStr"/>
      <c r="S859" s="12" t="inlineStr"/>
      <c r="T859" s="12" t="inlineStr"/>
      <c r="U859" s="12" t="inlineStr"/>
      <c r="V859" s="12" t="inlineStr">
        <is>
          <t>WBS Code = 1.4.1</t>
        </is>
      </c>
      <c r="W859" s="12" t="inlineStr"/>
    </row>
    <row r="860" ht="49" customHeight="1">
      <c r="A860" s="12" t="inlineStr">
        <is>
          <t>1.4.1</t>
        </is>
      </c>
      <c r="B860" s="12" t="inlineStr">
        <is>
          <t>Vehicles and Depot - Fleet Supply</t>
        </is>
      </c>
      <c r="C860" s="12" t="inlineStr">
        <is>
          <t>Contractor Programme</t>
        </is>
      </c>
      <c r="D860" s="12" t="inlineStr">
        <is>
          <t>SCH-04-059</t>
        </is>
      </c>
      <c r="E860" s="12" t="inlineStr">
        <is>
          <t>Storage yard: fleet software load - inspection</t>
        </is>
      </c>
      <c r="F860" s="12" t="inlineStr">
        <is>
          <t>ONE_TO_ONE</t>
        </is>
      </c>
      <c r="G860" s="12" t="inlineStr">
        <is>
          <t>APPROVED</t>
        </is>
      </c>
      <c r="H860" s="12" t="inlineStr">
        <is>
          <t>New</t>
        </is>
      </c>
      <c r="I860" s="12" t="inlineStr">
        <is>
          <t>Source assignment -- not individually reviewed</t>
        </is>
      </c>
      <c r="J860" s="12" t="inlineStr"/>
      <c r="K860" s="12" t="inlineStr">
        <is>
          <t>Source assignment</t>
        </is>
      </c>
      <c r="L860" s="12" t="inlineStr"/>
      <c r="M860" s="12" t="inlineStr">
        <is>
          <t>Initial</t>
        </is>
      </c>
      <c r="N860" s="12" t="inlineStr">
        <is>
          <t>Rev 0</t>
        </is>
      </c>
      <c r="O860" s="12" t="inlineStr">
        <is>
          <t>R599-v1</t>
        </is>
      </c>
      <c r="P860" s="12" t="inlineStr"/>
      <c r="Q860" s="12" t="inlineStr"/>
      <c r="R860" s="12" t="inlineStr"/>
      <c r="S860" s="12" t="inlineStr"/>
      <c r="T860" s="12" t="inlineStr"/>
      <c r="U860" s="12" t="inlineStr"/>
      <c r="V860" s="12" t="inlineStr">
        <is>
          <t>WBS Code = 1.4.1</t>
        </is>
      </c>
      <c r="W860" s="12" t="inlineStr"/>
    </row>
    <row r="861" ht="49" customHeight="1">
      <c r="A861" s="12" t="inlineStr">
        <is>
          <t>1.4.1</t>
        </is>
      </c>
      <c r="B861" s="12" t="inlineStr">
        <is>
          <t>Vehicles and Depot - Fleet Supply</t>
        </is>
      </c>
      <c r="C861" s="12" t="inlineStr">
        <is>
          <t>Contractor Programme</t>
        </is>
      </c>
      <c r="D861" s="12" t="inlineStr">
        <is>
          <t>SCH-04-061</t>
        </is>
      </c>
      <c r="E861" s="12" t="inlineStr">
        <is>
          <t>Test track: wash-plant commissioning - release</t>
        </is>
      </c>
      <c r="F861" s="12" t="inlineStr">
        <is>
          <t>ONE_TO_ONE</t>
        </is>
      </c>
      <c r="G861" s="12" t="inlineStr">
        <is>
          <t>APPROVED</t>
        </is>
      </c>
      <c r="H861" s="12" t="inlineStr">
        <is>
          <t>New</t>
        </is>
      </c>
      <c r="I861" s="12" t="inlineStr">
        <is>
          <t>Source assignment -- not individually reviewed</t>
        </is>
      </c>
      <c r="J861" s="12" t="inlineStr"/>
      <c r="K861" s="12" t="inlineStr">
        <is>
          <t>Source assignment</t>
        </is>
      </c>
      <c r="L861" s="12" t="inlineStr"/>
      <c r="M861" s="12" t="inlineStr">
        <is>
          <t>Initial</t>
        </is>
      </c>
      <c r="N861" s="12" t="inlineStr">
        <is>
          <t>Rev 0</t>
        </is>
      </c>
      <c r="O861" s="12" t="inlineStr">
        <is>
          <t>R601-v1</t>
        </is>
      </c>
      <c r="P861" s="12" t="inlineStr"/>
      <c r="Q861" s="12" t="inlineStr"/>
      <c r="R861" s="12" t="inlineStr"/>
      <c r="S861" s="12" t="inlineStr"/>
      <c r="T861" s="12" t="inlineStr"/>
      <c r="U861" s="12" t="inlineStr"/>
      <c r="V861" s="12" t="inlineStr">
        <is>
          <t>WBS Code = 1.4.1</t>
        </is>
      </c>
      <c r="W861" s="12" t="inlineStr"/>
    </row>
    <row r="862" ht="49" customHeight="1">
      <c r="A862" s="12" t="inlineStr">
        <is>
          <t>1.4.1</t>
        </is>
      </c>
      <c r="B862" s="12" t="inlineStr">
        <is>
          <t>Vehicles and Depot - Fleet Supply</t>
        </is>
      </c>
      <c r="C862" s="12" t="inlineStr">
        <is>
          <t>Contractor Programme</t>
        </is>
      </c>
      <c r="D862" s="12" t="inlineStr">
        <is>
          <t>SCH-04-062</t>
        </is>
      </c>
      <c r="E862" s="12" t="inlineStr">
        <is>
          <t>Receiving track: maintenance-bay services - field start</t>
        </is>
      </c>
      <c r="F862" s="12" t="inlineStr">
        <is>
          <t>ONE_TO_ONE</t>
        </is>
      </c>
      <c r="G862" s="12" t="inlineStr">
        <is>
          <t>APPROVED</t>
        </is>
      </c>
      <c r="H862" s="12" t="inlineStr">
        <is>
          <t>New</t>
        </is>
      </c>
      <c r="I862" s="12" t="inlineStr">
        <is>
          <t>Source assignment -- not individually reviewed</t>
        </is>
      </c>
      <c r="J862" s="12" t="inlineStr"/>
      <c r="K862" s="12" t="inlineStr">
        <is>
          <t>Source assignment</t>
        </is>
      </c>
      <c r="L862" s="12" t="inlineStr"/>
      <c r="M862" s="12" t="inlineStr">
        <is>
          <t>Initial</t>
        </is>
      </c>
      <c r="N862" s="12" t="inlineStr">
        <is>
          <t>Rev 0</t>
        </is>
      </c>
      <c r="O862" s="12" t="inlineStr">
        <is>
          <t>R602-v1</t>
        </is>
      </c>
      <c r="P862" s="12" t="inlineStr"/>
      <c r="Q862" s="12" t="inlineStr"/>
      <c r="R862" s="12" t="inlineStr"/>
      <c r="S862" s="12" t="inlineStr"/>
      <c r="T862" s="12" t="inlineStr"/>
      <c r="U862" s="12" t="inlineStr"/>
      <c r="V862" s="12" t="inlineStr">
        <is>
          <t>WBS Code = 1.4.1</t>
        </is>
      </c>
      <c r="W862" s="12" t="inlineStr"/>
    </row>
    <row r="863" ht="49" customHeight="1">
      <c r="A863" s="12" t="inlineStr">
        <is>
          <t>1.4.1</t>
        </is>
      </c>
      <c r="B863" s="12" t="inlineStr">
        <is>
          <t>Vehicles and Depot - Fleet Supply</t>
        </is>
      </c>
      <c r="C863" s="12" t="inlineStr">
        <is>
          <t>Contractor Programme</t>
        </is>
      </c>
      <c r="D863" s="12" t="inlineStr">
        <is>
          <t>SCH-04-064</t>
        </is>
      </c>
      <c r="E863" s="12" t="inlineStr">
        <is>
          <t>Storage yard: workshop crane installation - inspection</t>
        </is>
      </c>
      <c r="F863" s="12" t="inlineStr">
        <is>
          <t>ONE_TO_ONE</t>
        </is>
      </c>
      <c r="G863" s="12" t="inlineStr">
        <is>
          <t>APPROVED</t>
        </is>
      </c>
      <c r="H863" s="12" t="inlineStr">
        <is>
          <t>New</t>
        </is>
      </c>
      <c r="I863" s="12" t="inlineStr">
        <is>
          <t>Source assignment -- not individually reviewed</t>
        </is>
      </c>
      <c r="J863" s="12" t="inlineStr"/>
      <c r="K863" s="12" t="inlineStr">
        <is>
          <t>Source assignment</t>
        </is>
      </c>
      <c r="L863" s="12" t="inlineStr"/>
      <c r="M863" s="12" t="inlineStr">
        <is>
          <t>Initial</t>
        </is>
      </c>
      <c r="N863" s="12" t="inlineStr">
        <is>
          <t>Rev 0</t>
        </is>
      </c>
      <c r="O863" s="12" t="inlineStr">
        <is>
          <t>R604-v1</t>
        </is>
      </c>
      <c r="P863" s="12" t="inlineStr"/>
      <c r="Q863" s="12" t="inlineStr"/>
      <c r="R863" s="12" t="inlineStr"/>
      <c r="S863" s="12" t="inlineStr"/>
      <c r="T863" s="12" t="inlineStr"/>
      <c r="U863" s="12" t="inlineStr"/>
      <c r="V863" s="12" t="inlineStr">
        <is>
          <t>WBS Code = 1.4.1</t>
        </is>
      </c>
      <c r="W863" s="12" t="inlineStr"/>
    </row>
    <row r="864" ht="49" customHeight="1">
      <c r="A864" s="12" t="inlineStr">
        <is>
          <t>1.4.1</t>
        </is>
      </c>
      <c r="B864" s="12" t="inlineStr">
        <is>
          <t>Vehicles and Depot - Fleet Supply</t>
        </is>
      </c>
      <c r="C864" s="12" t="inlineStr">
        <is>
          <t>Contractor Programme</t>
        </is>
      </c>
      <c r="D864" s="12" t="inlineStr">
        <is>
          <t>SCH-04-065</t>
        </is>
      </c>
      <c r="E864" s="12" t="inlineStr">
        <is>
          <t>Operations building: vehicle-to-depot interface check - turnover</t>
        </is>
      </c>
      <c r="F864" s="12" t="inlineStr">
        <is>
          <t>ONE_TO_ONE</t>
        </is>
      </c>
      <c r="G864" s="12" t="inlineStr">
        <is>
          <t>APPROVED</t>
        </is>
      </c>
      <c r="H864" s="12" t="inlineStr">
        <is>
          <t>New</t>
        </is>
      </c>
      <c r="I864" s="12" t="inlineStr">
        <is>
          <t>Source assignment -- not individually reviewed</t>
        </is>
      </c>
      <c r="J864" s="12" t="inlineStr"/>
      <c r="K864" s="12" t="inlineStr">
        <is>
          <t>Source assignment</t>
        </is>
      </c>
      <c r="L864" s="12" t="inlineStr"/>
      <c r="M864" s="12" t="inlineStr">
        <is>
          <t>Initial</t>
        </is>
      </c>
      <c r="N864" s="12" t="inlineStr">
        <is>
          <t>Rev 0</t>
        </is>
      </c>
      <c r="O864" s="12" t="inlineStr">
        <is>
          <t>R605-v1</t>
        </is>
      </c>
      <c r="P864" s="12" t="inlineStr"/>
      <c r="Q864" s="12" t="inlineStr"/>
      <c r="R864" s="12" t="inlineStr"/>
      <c r="S864" s="12" t="inlineStr"/>
      <c r="T864" s="12" t="inlineStr"/>
      <c r="U864" s="12" t="inlineStr"/>
      <c r="V864" s="12" t="inlineStr">
        <is>
          <t>WBS Code = 1.4.1</t>
        </is>
      </c>
      <c r="W864" s="12" t="inlineStr"/>
    </row>
    <row r="865" ht="49" customHeight="1">
      <c r="A865" s="12" t="inlineStr">
        <is>
          <t>1.4.1</t>
        </is>
      </c>
      <c r="B865" s="12" t="inlineStr">
        <is>
          <t>Vehicles and Depot - Fleet Supply</t>
        </is>
      </c>
      <c r="C865" s="12" t="inlineStr">
        <is>
          <t>Contractor Programme</t>
        </is>
      </c>
      <c r="D865" s="12" t="inlineStr">
        <is>
          <t>SCH-04-067</t>
        </is>
      </c>
      <c r="E865" s="12" t="inlineStr">
        <is>
          <t>Receiving track: fleet software load - field start</t>
        </is>
      </c>
      <c r="F865" s="12" t="inlineStr">
        <is>
          <t>ONE_TO_ONE</t>
        </is>
      </c>
      <c r="G865" s="12" t="inlineStr">
        <is>
          <t>APPROVED</t>
        </is>
      </c>
      <c r="H865" s="12" t="inlineStr">
        <is>
          <t>New</t>
        </is>
      </c>
      <c r="I865" s="12" t="inlineStr">
        <is>
          <t>Source assignment -- not individually reviewed</t>
        </is>
      </c>
      <c r="J865" s="12" t="inlineStr"/>
      <c r="K865" s="12" t="inlineStr">
        <is>
          <t>Source assignment</t>
        </is>
      </c>
      <c r="L865" s="12" t="inlineStr"/>
      <c r="M865" s="12" t="inlineStr">
        <is>
          <t>Initial</t>
        </is>
      </c>
      <c r="N865" s="12" t="inlineStr">
        <is>
          <t>Rev 0</t>
        </is>
      </c>
      <c r="O865" s="12" t="inlineStr">
        <is>
          <t>R607-v1</t>
        </is>
      </c>
      <c r="P865" s="12" t="inlineStr"/>
      <c r="Q865" s="12" t="inlineStr"/>
      <c r="R865" s="12" t="inlineStr"/>
      <c r="S865" s="12" t="inlineStr"/>
      <c r="T865" s="12" t="inlineStr"/>
      <c r="U865" s="12" t="inlineStr"/>
      <c r="V865" s="12" t="inlineStr">
        <is>
          <t>WBS Code = 1.4.1</t>
        </is>
      </c>
      <c r="W865" s="12" t="inlineStr"/>
    </row>
    <row r="866" ht="49" customHeight="1">
      <c r="A866" s="12" t="inlineStr">
        <is>
          <t>1.4.1</t>
        </is>
      </c>
      <c r="B866" s="12" t="inlineStr">
        <is>
          <t>Vehicles and Depot - Fleet Supply</t>
        </is>
      </c>
      <c r="C866" s="12" t="inlineStr">
        <is>
          <t>Contractor Programme</t>
        </is>
      </c>
      <c r="D866" s="12" t="inlineStr">
        <is>
          <t>SCH-04-068</t>
        </is>
      </c>
      <c r="E866" s="12" t="inlineStr">
        <is>
          <t>Maintenance shop: vehicle delivery inspection - installation</t>
        </is>
      </c>
      <c r="F866" s="12" t="inlineStr">
        <is>
          <t>ONE_TO_ONE</t>
        </is>
      </c>
      <c r="G866" s="12" t="inlineStr">
        <is>
          <t>APPROVED</t>
        </is>
      </c>
      <c r="H866" s="12" t="inlineStr">
        <is>
          <t>New</t>
        </is>
      </c>
      <c r="I866" s="12" t="inlineStr">
        <is>
          <t>Source assignment -- not individually reviewed</t>
        </is>
      </c>
      <c r="J866" s="12" t="inlineStr"/>
      <c r="K866" s="12" t="inlineStr">
        <is>
          <t>Source assignment</t>
        </is>
      </c>
      <c r="L866" s="12" t="inlineStr"/>
      <c r="M866" s="12" t="inlineStr">
        <is>
          <t>Initial</t>
        </is>
      </c>
      <c r="N866" s="12" t="inlineStr">
        <is>
          <t>Rev 0</t>
        </is>
      </c>
      <c r="O866" s="12" t="inlineStr">
        <is>
          <t>R608-v1</t>
        </is>
      </c>
      <c r="P866" s="12" t="inlineStr"/>
      <c r="Q866" s="12" t="inlineStr"/>
      <c r="R866" s="12" t="inlineStr"/>
      <c r="S866" s="12" t="inlineStr"/>
      <c r="T866" s="12" t="inlineStr"/>
      <c r="U866" s="12" t="inlineStr"/>
      <c r="V866" s="12" t="inlineStr">
        <is>
          <t>WBS Code = 1.4.1</t>
        </is>
      </c>
      <c r="W866" s="12" t="inlineStr"/>
    </row>
    <row r="867" ht="49" customHeight="1">
      <c r="A867" s="12" t="inlineStr">
        <is>
          <t>1.4.1</t>
        </is>
      </c>
      <c r="B867" s="12" t="inlineStr">
        <is>
          <t>Vehicles and Depot - Fleet Supply</t>
        </is>
      </c>
      <c r="C867" s="12" t="inlineStr">
        <is>
          <t>Contractor Programme</t>
        </is>
      </c>
      <c r="D867" s="12" t="inlineStr">
        <is>
          <t>SCH-04-070</t>
        </is>
      </c>
      <c r="E867" s="12" t="inlineStr">
        <is>
          <t>Operations building: maintenance-bay services - turnover</t>
        </is>
      </c>
      <c r="F867" s="12" t="inlineStr">
        <is>
          <t>ONE_TO_ONE</t>
        </is>
      </c>
      <c r="G867" s="12" t="inlineStr">
        <is>
          <t>APPROVED</t>
        </is>
      </c>
      <c r="H867" s="12" t="inlineStr">
        <is>
          <t>New</t>
        </is>
      </c>
      <c r="I867" s="12" t="inlineStr">
        <is>
          <t>Source assignment -- not individually reviewed</t>
        </is>
      </c>
      <c r="J867" s="12" t="inlineStr"/>
      <c r="K867" s="12" t="inlineStr">
        <is>
          <t>Source assignment</t>
        </is>
      </c>
      <c r="L867" s="12" t="inlineStr"/>
      <c r="M867" s="12" t="inlineStr">
        <is>
          <t>Initial</t>
        </is>
      </c>
      <c r="N867" s="12" t="inlineStr">
        <is>
          <t>Rev 0</t>
        </is>
      </c>
      <c r="O867" s="12" t="inlineStr">
        <is>
          <t>R610-v1</t>
        </is>
      </c>
      <c r="P867" s="12" t="inlineStr"/>
      <c r="Q867" s="12" t="inlineStr"/>
      <c r="R867" s="12" t="inlineStr"/>
      <c r="S867" s="12" t="inlineStr"/>
      <c r="T867" s="12" t="inlineStr"/>
      <c r="U867" s="12" t="inlineStr"/>
      <c r="V867" s="12" t="inlineStr">
        <is>
          <t>WBS Code = 1.4.1</t>
        </is>
      </c>
      <c r="W867" s="12" t="inlineStr"/>
    </row>
    <row r="868" ht="49" customHeight="1">
      <c r="A868" s="12" t="inlineStr">
        <is>
          <t>1.4.1</t>
        </is>
      </c>
      <c r="B868" s="12" t="inlineStr">
        <is>
          <t>Vehicles and Depot - Fleet Supply</t>
        </is>
      </c>
      <c r="C868" s="12" t="inlineStr">
        <is>
          <t>Contractor Programme</t>
        </is>
      </c>
      <c r="D868" s="12" t="inlineStr">
        <is>
          <t>SCH-04-071</t>
        </is>
      </c>
      <c r="E868" s="12" t="inlineStr">
        <is>
          <t>Test track: depot structural fit-out - release</t>
        </is>
      </c>
      <c r="F868" s="12" t="inlineStr">
        <is>
          <t>ONE_TO_ONE</t>
        </is>
      </c>
      <c r="G868" s="12" t="inlineStr">
        <is>
          <t>APPROVED</t>
        </is>
      </c>
      <c r="H868" s="12" t="inlineStr">
        <is>
          <t>New</t>
        </is>
      </c>
      <c r="I868" s="12" t="inlineStr">
        <is>
          <t>Source assignment -- not individually reviewed</t>
        </is>
      </c>
      <c r="J868" s="12" t="inlineStr"/>
      <c r="K868" s="12" t="inlineStr">
        <is>
          <t>Source assignment</t>
        </is>
      </c>
      <c r="L868" s="12" t="inlineStr"/>
      <c r="M868" s="12" t="inlineStr">
        <is>
          <t>Initial</t>
        </is>
      </c>
      <c r="N868" s="12" t="inlineStr">
        <is>
          <t>Rev 0</t>
        </is>
      </c>
      <c r="O868" s="12" t="inlineStr">
        <is>
          <t>R611-v1</t>
        </is>
      </c>
      <c r="P868" s="12" t="inlineStr"/>
      <c r="Q868" s="12" t="inlineStr"/>
      <c r="R868" s="12" t="inlineStr"/>
      <c r="S868" s="12" t="inlineStr"/>
      <c r="T868" s="12" t="inlineStr"/>
      <c r="U868" s="12" t="inlineStr"/>
      <c r="V868" s="12" t="inlineStr">
        <is>
          <t>WBS Code = 1.4.1</t>
        </is>
      </c>
      <c r="W868" s="12" t="inlineStr"/>
    </row>
    <row r="869" ht="49" customHeight="1">
      <c r="A869" s="12" t="inlineStr">
        <is>
          <t>1.4.1</t>
        </is>
      </c>
      <c r="B869" s="12" t="inlineStr">
        <is>
          <t>Vehicles and Depot - Fleet Supply</t>
        </is>
      </c>
      <c r="C869" s="12" t="inlineStr">
        <is>
          <t>Contractor Programme</t>
        </is>
      </c>
      <c r="D869" s="12" t="inlineStr">
        <is>
          <t>SCH-04-073</t>
        </is>
      </c>
      <c r="E869" s="12" t="inlineStr">
        <is>
          <t>Maintenance shop: vehicle-to-depot interface check - installation</t>
        </is>
      </c>
      <c r="F869" s="12" t="inlineStr">
        <is>
          <t>ONE_TO_ONE</t>
        </is>
      </c>
      <c r="G869" s="12" t="inlineStr">
        <is>
          <t>APPROVED</t>
        </is>
      </c>
      <c r="H869" s="12" t="inlineStr">
        <is>
          <t>New</t>
        </is>
      </c>
      <c r="I869" s="12" t="inlineStr">
        <is>
          <t>Source assignment -- not individually reviewed</t>
        </is>
      </c>
      <c r="J869" s="12" t="inlineStr"/>
      <c r="K869" s="12" t="inlineStr">
        <is>
          <t>Source assignment</t>
        </is>
      </c>
      <c r="L869" s="12" t="inlineStr"/>
      <c r="M869" s="12" t="inlineStr">
        <is>
          <t>Initial</t>
        </is>
      </c>
      <c r="N869" s="12" t="inlineStr">
        <is>
          <t>Rev 0</t>
        </is>
      </c>
      <c r="O869" s="12" t="inlineStr">
        <is>
          <t>R613-v1</t>
        </is>
      </c>
      <c r="P869" s="12" t="inlineStr"/>
      <c r="Q869" s="12" t="inlineStr"/>
      <c r="R869" s="12" t="inlineStr"/>
      <c r="S869" s="12" t="inlineStr"/>
      <c r="T869" s="12" t="inlineStr"/>
      <c r="U869" s="12" t="inlineStr"/>
      <c r="V869" s="12" t="inlineStr">
        <is>
          <t>WBS Code = 1.4.1</t>
        </is>
      </c>
      <c r="W869" s="12" t="inlineStr"/>
    </row>
    <row r="870" ht="49" customHeight="1">
      <c r="A870" s="12" t="inlineStr">
        <is>
          <t>1.4.1</t>
        </is>
      </c>
      <c r="B870" s="12" t="inlineStr">
        <is>
          <t>Vehicles and Depot - Fleet Supply</t>
        </is>
      </c>
      <c r="C870" s="12" t="inlineStr">
        <is>
          <t>Contractor Programme</t>
        </is>
      </c>
      <c r="D870" s="12" t="inlineStr">
        <is>
          <t>SCH-04-074</t>
        </is>
      </c>
      <c r="E870" s="12" t="inlineStr">
        <is>
          <t>Storage yard: wheel-lathe installation - inspection</t>
        </is>
      </c>
      <c r="F870" s="12" t="inlineStr">
        <is>
          <t>ONE_TO_ONE</t>
        </is>
      </c>
      <c r="G870" s="12" t="inlineStr">
        <is>
          <t>APPROVED</t>
        </is>
      </c>
      <c r="H870" s="12" t="inlineStr">
        <is>
          <t>New</t>
        </is>
      </c>
      <c r="I870" s="12" t="inlineStr">
        <is>
          <t>Source assignment -- not individually reviewed</t>
        </is>
      </c>
      <c r="J870" s="12" t="inlineStr"/>
      <c r="K870" s="12" t="inlineStr">
        <is>
          <t>Source assignment</t>
        </is>
      </c>
      <c r="L870" s="12" t="inlineStr"/>
      <c r="M870" s="12" t="inlineStr">
        <is>
          <t>Initial</t>
        </is>
      </c>
      <c r="N870" s="12" t="inlineStr">
        <is>
          <t>Rev 0</t>
        </is>
      </c>
      <c r="O870" s="12" t="inlineStr">
        <is>
          <t>R614-v1</t>
        </is>
      </c>
      <c r="P870" s="12" t="inlineStr"/>
      <c r="Q870" s="12" t="inlineStr"/>
      <c r="R870" s="12" t="inlineStr"/>
      <c r="S870" s="12" t="inlineStr"/>
      <c r="T870" s="12" t="inlineStr"/>
      <c r="U870" s="12" t="inlineStr"/>
      <c r="V870" s="12" t="inlineStr">
        <is>
          <t>WBS Code = 1.4.1</t>
        </is>
      </c>
      <c r="W870" s="12" t="inlineStr"/>
    </row>
    <row r="871" ht="49" customHeight="1">
      <c r="A871" s="12" t="inlineStr">
        <is>
          <t>1.4.1</t>
        </is>
      </c>
      <c r="B871" s="12" t="inlineStr">
        <is>
          <t>Vehicles and Depot - Fleet Supply</t>
        </is>
      </c>
      <c r="C871" s="12" t="inlineStr">
        <is>
          <t>Contractor Programme</t>
        </is>
      </c>
      <c r="D871" s="12" t="inlineStr">
        <is>
          <t>SCH-04-076</t>
        </is>
      </c>
      <c r="E871" s="12" t="inlineStr">
        <is>
          <t>Test track: vehicle delivery inspection - release</t>
        </is>
      </c>
      <c r="F871" s="12" t="inlineStr">
        <is>
          <t>ONE_TO_ONE</t>
        </is>
      </c>
      <c r="G871" s="12" t="inlineStr">
        <is>
          <t>APPROVED</t>
        </is>
      </c>
      <c r="H871" s="12" t="inlineStr">
        <is>
          <t>New</t>
        </is>
      </c>
      <c r="I871" s="12" t="inlineStr">
        <is>
          <t>Source assignment -- not individually reviewed</t>
        </is>
      </c>
      <c r="J871" s="12" t="inlineStr"/>
      <c r="K871" s="12" t="inlineStr">
        <is>
          <t>Source assignment</t>
        </is>
      </c>
      <c r="L871" s="12" t="inlineStr"/>
      <c r="M871" s="12" t="inlineStr">
        <is>
          <t>Initial</t>
        </is>
      </c>
      <c r="N871" s="12" t="inlineStr">
        <is>
          <t>Rev 0</t>
        </is>
      </c>
      <c r="O871" s="12" t="inlineStr">
        <is>
          <t>R616-v1</t>
        </is>
      </c>
      <c r="P871" s="12" t="inlineStr"/>
      <c r="Q871" s="12" t="inlineStr"/>
      <c r="R871" s="12" t="inlineStr"/>
      <c r="S871" s="12" t="inlineStr"/>
      <c r="T871" s="12" t="inlineStr"/>
      <c r="U871" s="12" t="inlineStr"/>
      <c r="V871" s="12" t="inlineStr">
        <is>
          <t>WBS Code = 1.4.1</t>
        </is>
      </c>
      <c r="W871" s="12" t="inlineStr"/>
    </row>
    <row r="872" ht="49" customHeight="1">
      <c r="A872" s="12" t="inlineStr">
        <is>
          <t>1.4.1</t>
        </is>
      </c>
      <c r="B872" s="12" t="inlineStr">
        <is>
          <t>Vehicles and Depot - Fleet Supply</t>
        </is>
      </c>
      <c r="C872" s="12" t="inlineStr">
        <is>
          <t>Contractor Programme</t>
        </is>
      </c>
      <c r="D872" s="12" t="inlineStr">
        <is>
          <t>SCH-04-077</t>
        </is>
      </c>
      <c r="E872" s="12" t="inlineStr">
        <is>
          <t>Receiving track: wash-plant commissioning - field start</t>
        </is>
      </c>
      <c r="F872" s="12" t="inlineStr">
        <is>
          <t>ONE_TO_ONE</t>
        </is>
      </c>
      <c r="G872" s="12" t="inlineStr">
        <is>
          <t>APPROVED</t>
        </is>
      </c>
      <c r="H872" s="12" t="inlineStr">
        <is>
          <t>New</t>
        </is>
      </c>
      <c r="I872" s="12" t="inlineStr">
        <is>
          <t>Source assignment -- not individually reviewed</t>
        </is>
      </c>
      <c r="J872" s="12" t="inlineStr"/>
      <c r="K872" s="12" t="inlineStr">
        <is>
          <t>Source assignment</t>
        </is>
      </c>
      <c r="L872" s="12" t="inlineStr"/>
      <c r="M872" s="12" t="inlineStr">
        <is>
          <t>Initial</t>
        </is>
      </c>
      <c r="N872" s="12" t="inlineStr">
        <is>
          <t>Rev 0</t>
        </is>
      </c>
      <c r="O872" s="12" t="inlineStr">
        <is>
          <t>R617-v1</t>
        </is>
      </c>
      <c r="P872" s="12" t="inlineStr"/>
      <c r="Q872" s="12" t="inlineStr"/>
      <c r="R872" s="12" t="inlineStr"/>
      <c r="S872" s="12" t="inlineStr"/>
      <c r="T872" s="12" t="inlineStr"/>
      <c r="U872" s="12" t="inlineStr"/>
      <c r="V872" s="12" t="inlineStr">
        <is>
          <t>WBS Code = 1.4.1</t>
        </is>
      </c>
      <c r="W872" s="12" t="inlineStr"/>
    </row>
    <row r="873" ht="49" customHeight="1">
      <c r="A873" s="12" t="inlineStr">
        <is>
          <t>1.4.1</t>
        </is>
      </c>
      <c r="B873" s="12" t="inlineStr">
        <is>
          <t>Vehicles and Depot - Fleet Supply</t>
        </is>
      </c>
      <c r="C873" s="12" t="inlineStr">
        <is>
          <t>Contractor Programme</t>
        </is>
      </c>
      <c r="D873" s="12" t="inlineStr">
        <is>
          <t>SCH-04-079</t>
        </is>
      </c>
      <c r="E873" s="12" t="inlineStr">
        <is>
          <t>Storage yard: depot structural fit-out - inspection</t>
        </is>
      </c>
      <c r="F873" s="12" t="inlineStr">
        <is>
          <t>ONE_TO_ONE</t>
        </is>
      </c>
      <c r="G873" s="12" t="inlineStr">
        <is>
          <t>APPROVED</t>
        </is>
      </c>
      <c r="H873" s="12" t="inlineStr">
        <is>
          <t>New</t>
        </is>
      </c>
      <c r="I873" s="12" t="inlineStr">
        <is>
          <t>Source assignment -- not individually reviewed</t>
        </is>
      </c>
      <c r="J873" s="12" t="inlineStr"/>
      <c r="K873" s="12" t="inlineStr">
        <is>
          <t>Source assignment</t>
        </is>
      </c>
      <c r="L873" s="12" t="inlineStr"/>
      <c r="M873" s="12" t="inlineStr">
        <is>
          <t>Initial</t>
        </is>
      </c>
      <c r="N873" s="12" t="inlineStr">
        <is>
          <t>Rev 0</t>
        </is>
      </c>
      <c r="O873" s="12" t="inlineStr">
        <is>
          <t>R619-v1</t>
        </is>
      </c>
      <c r="P873" s="12" t="inlineStr"/>
      <c r="Q873" s="12" t="inlineStr"/>
      <c r="R873" s="12" t="inlineStr"/>
      <c r="S873" s="12" t="inlineStr"/>
      <c r="T873" s="12" t="inlineStr"/>
      <c r="U873" s="12" t="inlineStr"/>
      <c r="V873" s="12" t="inlineStr">
        <is>
          <t>WBS Code = 1.4.1</t>
        </is>
      </c>
      <c r="W873" s="12" t="inlineStr"/>
    </row>
    <row r="874" ht="49" customHeight="1">
      <c r="A874" s="12" t="inlineStr">
        <is>
          <t>1.4.1</t>
        </is>
      </c>
      <c r="B874" s="12" t="inlineStr">
        <is>
          <t>Vehicles and Depot - Fleet Supply</t>
        </is>
      </c>
      <c r="C874" s="12" t="inlineStr">
        <is>
          <t>Contractor Programme</t>
        </is>
      </c>
      <c r="D874" s="12" t="inlineStr">
        <is>
          <t>SCH-04-080</t>
        </is>
      </c>
      <c r="E874" s="12" t="inlineStr">
        <is>
          <t>Operations building: workshop crane installation - turnover</t>
        </is>
      </c>
      <c r="F874" s="12" t="inlineStr">
        <is>
          <t>ONE_TO_ONE</t>
        </is>
      </c>
      <c r="G874" s="12" t="inlineStr">
        <is>
          <t>APPROVED</t>
        </is>
      </c>
      <c r="H874" s="12" t="inlineStr">
        <is>
          <t>New</t>
        </is>
      </c>
      <c r="I874" s="12" t="inlineStr">
        <is>
          <t>Source assignment -- not individually reviewed</t>
        </is>
      </c>
      <c r="J874" s="12" t="inlineStr"/>
      <c r="K874" s="12" t="inlineStr">
        <is>
          <t>Source assignment</t>
        </is>
      </c>
      <c r="L874" s="12" t="inlineStr"/>
      <c r="M874" s="12" t="inlineStr">
        <is>
          <t>Initial</t>
        </is>
      </c>
      <c r="N874" s="12" t="inlineStr">
        <is>
          <t>Rev 0</t>
        </is>
      </c>
      <c r="O874" s="12" t="inlineStr">
        <is>
          <t>R620-v1</t>
        </is>
      </c>
      <c r="P874" s="12" t="inlineStr"/>
      <c r="Q874" s="12" t="inlineStr"/>
      <c r="R874" s="12" t="inlineStr"/>
      <c r="S874" s="12" t="inlineStr"/>
      <c r="T874" s="12" t="inlineStr"/>
      <c r="U874" s="12" t="inlineStr"/>
      <c r="V874" s="12" t="inlineStr">
        <is>
          <t>WBS Code = 1.4.1</t>
        </is>
      </c>
      <c r="W874" s="12" t="inlineStr"/>
    </row>
    <row r="875" ht="49" customHeight="1">
      <c r="A875" s="12" t="inlineStr">
        <is>
          <t>1.4.1</t>
        </is>
      </c>
      <c r="B875" s="12" t="inlineStr">
        <is>
          <t>Vehicles and Depot - Fleet Supply</t>
        </is>
      </c>
      <c r="C875" s="12" t="inlineStr">
        <is>
          <t>Contractor Programme</t>
        </is>
      </c>
      <c r="D875" s="12" t="inlineStr">
        <is>
          <t>SCH-04-082</t>
        </is>
      </c>
      <c r="E875" s="12" t="inlineStr">
        <is>
          <t>Receiving track: wheel-lathe installation - field start</t>
        </is>
      </c>
      <c r="F875" s="12" t="inlineStr">
        <is>
          <t>ONE_TO_ONE</t>
        </is>
      </c>
      <c r="G875" s="12" t="inlineStr">
        <is>
          <t>APPROVED</t>
        </is>
      </c>
      <c r="H875" s="12" t="inlineStr">
        <is>
          <t>New</t>
        </is>
      </c>
      <c r="I875" s="12" t="inlineStr">
        <is>
          <t>Source assignment -- not individually reviewed</t>
        </is>
      </c>
      <c r="J875" s="12" t="inlineStr"/>
      <c r="K875" s="12" t="inlineStr">
        <is>
          <t>Source assignment</t>
        </is>
      </c>
      <c r="L875" s="12" t="inlineStr"/>
      <c r="M875" s="12" t="inlineStr">
        <is>
          <t>Initial</t>
        </is>
      </c>
      <c r="N875" s="12" t="inlineStr">
        <is>
          <t>Rev 0</t>
        </is>
      </c>
      <c r="O875" s="12" t="inlineStr">
        <is>
          <t>R622-v1</t>
        </is>
      </c>
      <c r="P875" s="12" t="inlineStr"/>
      <c r="Q875" s="12" t="inlineStr"/>
      <c r="R875" s="12" t="inlineStr"/>
      <c r="S875" s="12" t="inlineStr"/>
      <c r="T875" s="12" t="inlineStr"/>
      <c r="U875" s="12" t="inlineStr"/>
      <c r="V875" s="12" t="inlineStr">
        <is>
          <t>WBS Code = 1.4.1</t>
        </is>
      </c>
      <c r="W875" s="12" t="inlineStr"/>
    </row>
    <row r="876" ht="49" customHeight="1">
      <c r="A876" s="12" t="inlineStr">
        <is>
          <t>1.4.1</t>
        </is>
      </c>
      <c r="B876" s="12" t="inlineStr">
        <is>
          <t>Vehicles and Depot - Fleet Supply</t>
        </is>
      </c>
      <c r="C876" s="12" t="inlineStr">
        <is>
          <t>Contractor Programme</t>
        </is>
      </c>
      <c r="D876" s="12" t="inlineStr">
        <is>
          <t>SCH-04-083</t>
        </is>
      </c>
      <c r="E876" s="12" t="inlineStr">
        <is>
          <t>Maintenance shop: fleet software load - installation</t>
        </is>
      </c>
      <c r="F876" s="12" t="inlineStr">
        <is>
          <t>ONE_TO_ONE</t>
        </is>
      </c>
      <c r="G876" s="12" t="inlineStr">
        <is>
          <t>APPROVED</t>
        </is>
      </c>
      <c r="H876" s="12" t="inlineStr">
        <is>
          <t>New</t>
        </is>
      </c>
      <c r="I876" s="12" t="inlineStr">
        <is>
          <t>Source assignment -- not individually reviewed</t>
        </is>
      </c>
      <c r="J876" s="12" t="inlineStr"/>
      <c r="K876" s="12" t="inlineStr">
        <is>
          <t>Source assignment</t>
        </is>
      </c>
      <c r="L876" s="12" t="inlineStr"/>
      <c r="M876" s="12" t="inlineStr">
        <is>
          <t>Initial</t>
        </is>
      </c>
      <c r="N876" s="12" t="inlineStr">
        <is>
          <t>Rev 0</t>
        </is>
      </c>
      <c r="O876" s="12" t="inlineStr">
        <is>
          <t>R623-v1</t>
        </is>
      </c>
      <c r="P876" s="12" t="inlineStr"/>
      <c r="Q876" s="12" t="inlineStr"/>
      <c r="R876" s="12" t="inlineStr"/>
      <c r="S876" s="12" t="inlineStr"/>
      <c r="T876" s="12" t="inlineStr"/>
      <c r="U876" s="12" t="inlineStr"/>
      <c r="V876" s="12" t="inlineStr">
        <is>
          <t>WBS Code = 1.4.1</t>
        </is>
      </c>
      <c r="W876" s="12" t="inlineStr"/>
    </row>
    <row r="877" ht="49" customHeight="1">
      <c r="A877" s="12" t="inlineStr">
        <is>
          <t>1.4.1</t>
        </is>
      </c>
      <c r="B877" s="12" t="inlineStr">
        <is>
          <t>Vehicles and Depot - Fleet Supply</t>
        </is>
      </c>
      <c r="C877" s="12" t="inlineStr">
        <is>
          <t>Contractor Programme</t>
        </is>
      </c>
      <c r="D877" s="12" t="inlineStr">
        <is>
          <t>SCH-04-085</t>
        </is>
      </c>
      <c r="E877" s="12" t="inlineStr">
        <is>
          <t>Operations building: wash-plant commissioning - turnover</t>
        </is>
      </c>
      <c r="F877" s="12" t="inlineStr">
        <is>
          <t>ONE_TO_ONE</t>
        </is>
      </c>
      <c r="G877" s="12" t="inlineStr">
        <is>
          <t>APPROVED</t>
        </is>
      </c>
      <c r="H877" s="12" t="inlineStr">
        <is>
          <t>New</t>
        </is>
      </c>
      <c r="I877" s="12" t="inlineStr">
        <is>
          <t>Source assignment -- not individually reviewed</t>
        </is>
      </c>
      <c r="J877" s="12" t="inlineStr"/>
      <c r="K877" s="12" t="inlineStr">
        <is>
          <t>Source assignment</t>
        </is>
      </c>
      <c r="L877" s="12" t="inlineStr"/>
      <c r="M877" s="12" t="inlineStr">
        <is>
          <t>Initial</t>
        </is>
      </c>
      <c r="N877" s="12" t="inlineStr">
        <is>
          <t>Rev 0</t>
        </is>
      </c>
      <c r="O877" s="12" t="inlineStr">
        <is>
          <t>R625-v1</t>
        </is>
      </c>
      <c r="P877" s="12" t="inlineStr"/>
      <c r="Q877" s="12" t="inlineStr"/>
      <c r="R877" s="12" t="inlineStr"/>
      <c r="S877" s="12" t="inlineStr"/>
      <c r="T877" s="12" t="inlineStr"/>
      <c r="U877" s="12" t="inlineStr"/>
      <c r="V877" s="12" t="inlineStr">
        <is>
          <t>WBS Code = 1.4.1</t>
        </is>
      </c>
      <c r="W877" s="12" t="inlineStr"/>
    </row>
    <row r="878" ht="49" customHeight="1">
      <c r="A878" s="12" t="inlineStr">
        <is>
          <t>1.4.1</t>
        </is>
      </c>
      <c r="B878" s="12" t="inlineStr">
        <is>
          <t>Vehicles and Depot - Fleet Supply</t>
        </is>
      </c>
      <c r="C878" s="12" t="inlineStr">
        <is>
          <t>Contractor Programme</t>
        </is>
      </c>
      <c r="D878" s="12" t="inlineStr">
        <is>
          <t>SCH-04-086</t>
        </is>
      </c>
      <c r="E878" s="12" t="inlineStr">
        <is>
          <t>Test track: maintenance-bay services - release</t>
        </is>
      </c>
      <c r="F878" s="12" t="inlineStr">
        <is>
          <t>ONE_TO_ONE</t>
        </is>
      </c>
      <c r="G878" s="12" t="inlineStr">
        <is>
          <t>APPROVED</t>
        </is>
      </c>
      <c r="H878" s="12" t="inlineStr">
        <is>
          <t>New</t>
        </is>
      </c>
      <c r="I878" s="12" t="inlineStr">
        <is>
          <t>Source assignment -- not individually reviewed</t>
        </is>
      </c>
      <c r="J878" s="12" t="inlineStr"/>
      <c r="K878" s="12" t="inlineStr">
        <is>
          <t>Source assignment</t>
        </is>
      </c>
      <c r="L878" s="12" t="inlineStr"/>
      <c r="M878" s="12" t="inlineStr">
        <is>
          <t>Initial</t>
        </is>
      </c>
      <c r="N878" s="12" t="inlineStr">
        <is>
          <t>Rev 0</t>
        </is>
      </c>
      <c r="O878" s="12" t="inlineStr">
        <is>
          <t>R626-v1</t>
        </is>
      </c>
      <c r="P878" s="12" t="inlineStr"/>
      <c r="Q878" s="12" t="inlineStr"/>
      <c r="R878" s="12" t="inlineStr"/>
      <c r="S878" s="12" t="inlineStr"/>
      <c r="T878" s="12" t="inlineStr"/>
      <c r="U878" s="12" t="inlineStr"/>
      <c r="V878" s="12" t="inlineStr">
        <is>
          <t>WBS Code = 1.4.1</t>
        </is>
      </c>
      <c r="W878" s="12" t="inlineStr"/>
    </row>
    <row r="879" ht="49" customHeight="1">
      <c r="A879" s="12" t="inlineStr">
        <is>
          <t>1.4.1</t>
        </is>
      </c>
      <c r="B879" s="12" t="inlineStr">
        <is>
          <t>Vehicles and Depot - Fleet Supply</t>
        </is>
      </c>
      <c r="C879" s="12" t="inlineStr">
        <is>
          <t>Contractor Programme</t>
        </is>
      </c>
      <c r="D879" s="12" t="inlineStr">
        <is>
          <t>SCH-04-088</t>
        </is>
      </c>
      <c r="E879" s="12" t="inlineStr">
        <is>
          <t>Maintenance shop: workshop crane installation - installation</t>
        </is>
      </c>
      <c r="F879" s="12" t="inlineStr">
        <is>
          <t>ONE_TO_ONE</t>
        </is>
      </c>
      <c r="G879" s="12" t="inlineStr">
        <is>
          <t>APPROVED</t>
        </is>
      </c>
      <c r="H879" s="12" t="inlineStr">
        <is>
          <t>New</t>
        </is>
      </c>
      <c r="I879" s="12" t="inlineStr">
        <is>
          <t>Source assignment -- not individually reviewed</t>
        </is>
      </c>
      <c r="J879" s="12" t="inlineStr"/>
      <c r="K879" s="12" t="inlineStr">
        <is>
          <t>Source assignment</t>
        </is>
      </c>
      <c r="L879" s="12" t="inlineStr"/>
      <c r="M879" s="12" t="inlineStr">
        <is>
          <t>Initial</t>
        </is>
      </c>
      <c r="N879" s="12" t="inlineStr">
        <is>
          <t>Rev 0</t>
        </is>
      </c>
      <c r="O879" s="12" t="inlineStr">
        <is>
          <t>R628-v1</t>
        </is>
      </c>
      <c r="P879" s="12" t="inlineStr"/>
      <c r="Q879" s="12" t="inlineStr"/>
      <c r="R879" s="12" t="inlineStr"/>
      <c r="S879" s="12" t="inlineStr"/>
      <c r="T879" s="12" t="inlineStr"/>
      <c r="U879" s="12" t="inlineStr"/>
      <c r="V879" s="12" t="inlineStr">
        <is>
          <t>WBS Code = 1.4.1</t>
        </is>
      </c>
      <c r="W879" s="12" t="inlineStr"/>
    </row>
    <row r="880" ht="49" customHeight="1">
      <c r="A880" s="12" t="inlineStr">
        <is>
          <t>1.4.1</t>
        </is>
      </c>
      <c r="B880" s="12" t="inlineStr">
        <is>
          <t>Vehicles and Depot - Fleet Supply</t>
        </is>
      </c>
      <c r="C880" s="12" t="inlineStr">
        <is>
          <t>Contractor Programme</t>
        </is>
      </c>
      <c r="D880" s="12" t="inlineStr">
        <is>
          <t>SCH-04-089</t>
        </is>
      </c>
      <c r="E880" s="12" t="inlineStr">
        <is>
          <t>Storage yard: vehicle-to-depot interface check - inspection</t>
        </is>
      </c>
      <c r="F880" s="12" t="inlineStr">
        <is>
          <t>ONE_TO_ONE</t>
        </is>
      </c>
      <c r="G880" s="12" t="inlineStr">
        <is>
          <t>APPROVED</t>
        </is>
      </c>
      <c r="H880" s="12" t="inlineStr">
        <is>
          <t>New</t>
        </is>
      </c>
      <c r="I880" s="12" t="inlineStr">
        <is>
          <t>Source assignment -- not individually reviewed</t>
        </is>
      </c>
      <c r="J880" s="12" t="inlineStr"/>
      <c r="K880" s="12" t="inlineStr">
        <is>
          <t>Source assignment</t>
        </is>
      </c>
      <c r="L880" s="12" t="inlineStr"/>
      <c r="M880" s="12" t="inlineStr">
        <is>
          <t>Initial</t>
        </is>
      </c>
      <c r="N880" s="12" t="inlineStr">
        <is>
          <t>Rev 0</t>
        </is>
      </c>
      <c r="O880" s="12" t="inlineStr">
        <is>
          <t>R629-v1</t>
        </is>
      </c>
      <c r="P880" s="12" t="inlineStr"/>
      <c r="Q880" s="12" t="inlineStr"/>
      <c r="R880" s="12" t="inlineStr"/>
      <c r="S880" s="12" t="inlineStr"/>
      <c r="T880" s="12" t="inlineStr"/>
      <c r="U880" s="12" t="inlineStr"/>
      <c r="V880" s="12" t="inlineStr">
        <is>
          <t>WBS Code = 1.4.1</t>
        </is>
      </c>
      <c r="W880" s="12" t="inlineStr"/>
    </row>
    <row r="881" ht="49" customHeight="1">
      <c r="A881" s="12" t="inlineStr">
        <is>
          <t>1.4.1</t>
        </is>
      </c>
      <c r="B881" s="12" t="inlineStr">
        <is>
          <t>Vehicles and Depot - Fleet Supply</t>
        </is>
      </c>
      <c r="C881" s="12" t="inlineStr">
        <is>
          <t>Contractor Programme</t>
        </is>
      </c>
      <c r="D881" s="12" t="inlineStr">
        <is>
          <t>SCH-04-091</t>
        </is>
      </c>
      <c r="E881" s="12" t="inlineStr">
        <is>
          <t>Test track: fleet software load - release</t>
        </is>
      </c>
      <c r="F881" s="12" t="inlineStr">
        <is>
          <t>ONE_TO_ONE</t>
        </is>
      </c>
      <c r="G881" s="12" t="inlineStr">
        <is>
          <t>APPROVED</t>
        </is>
      </c>
      <c r="H881" s="12" t="inlineStr">
        <is>
          <t>New</t>
        </is>
      </c>
      <c r="I881" s="12" t="inlineStr">
        <is>
          <t>Source assignment -- not individually reviewed</t>
        </is>
      </c>
      <c r="J881" s="12" t="inlineStr"/>
      <c r="K881" s="12" t="inlineStr">
        <is>
          <t>Source assignment</t>
        </is>
      </c>
      <c r="L881" s="12" t="inlineStr"/>
      <c r="M881" s="12" t="inlineStr">
        <is>
          <t>Initial</t>
        </is>
      </c>
      <c r="N881" s="12" t="inlineStr">
        <is>
          <t>Rev 0</t>
        </is>
      </c>
      <c r="O881" s="12" t="inlineStr">
        <is>
          <t>R631-v1</t>
        </is>
      </c>
      <c r="P881" s="12" t="inlineStr"/>
      <c r="Q881" s="12" t="inlineStr"/>
      <c r="R881" s="12" t="inlineStr"/>
      <c r="S881" s="12" t="inlineStr"/>
      <c r="T881" s="12" t="inlineStr"/>
      <c r="U881" s="12" t="inlineStr"/>
      <c r="V881" s="12" t="inlineStr">
        <is>
          <t>WBS Code = 1.4.1</t>
        </is>
      </c>
      <c r="W881" s="12" t="inlineStr"/>
    </row>
    <row r="882" ht="49" customHeight="1">
      <c r="A882" s="12" t="inlineStr">
        <is>
          <t>1.4.1</t>
        </is>
      </c>
      <c r="B882" s="12" t="inlineStr">
        <is>
          <t>Vehicles and Depot - Fleet Supply</t>
        </is>
      </c>
      <c r="C882" s="12" t="inlineStr">
        <is>
          <t>Contractor Programme</t>
        </is>
      </c>
      <c r="D882" s="12" t="inlineStr">
        <is>
          <t>SCH-04-092</t>
        </is>
      </c>
      <c r="E882" s="12" t="inlineStr">
        <is>
          <t>Receiving track: vehicle delivery inspection - field start</t>
        </is>
      </c>
      <c r="F882" s="12" t="inlineStr">
        <is>
          <t>ONE_TO_ONE</t>
        </is>
      </c>
      <c r="G882" s="12" t="inlineStr">
        <is>
          <t>APPROVED</t>
        </is>
      </c>
      <c r="H882" s="12" t="inlineStr">
        <is>
          <t>New</t>
        </is>
      </c>
      <c r="I882" s="12" t="inlineStr">
        <is>
          <t>Source assignment -- not individually reviewed</t>
        </is>
      </c>
      <c r="J882" s="12" t="inlineStr"/>
      <c r="K882" s="12" t="inlineStr">
        <is>
          <t>Source assignment</t>
        </is>
      </c>
      <c r="L882" s="12" t="inlineStr"/>
      <c r="M882" s="12" t="inlineStr">
        <is>
          <t>Initial</t>
        </is>
      </c>
      <c r="N882" s="12" t="inlineStr">
        <is>
          <t>Rev 0</t>
        </is>
      </c>
      <c r="O882" s="12" t="inlineStr">
        <is>
          <t>R632-v1</t>
        </is>
      </c>
      <c r="P882" s="12" t="inlineStr"/>
      <c r="Q882" s="12" t="inlineStr"/>
      <c r="R882" s="12" t="inlineStr"/>
      <c r="S882" s="12" t="inlineStr"/>
      <c r="T882" s="12" t="inlineStr"/>
      <c r="U882" s="12" t="inlineStr"/>
      <c r="V882" s="12" t="inlineStr">
        <is>
          <t>WBS Code = 1.4.1</t>
        </is>
      </c>
      <c r="W882" s="12" t="inlineStr"/>
    </row>
    <row r="883" ht="49" customHeight="1">
      <c r="A883" s="12" t="inlineStr">
        <is>
          <t>1.4.1</t>
        </is>
      </c>
      <c r="B883" s="12" t="inlineStr">
        <is>
          <t>Vehicles and Depot - Fleet Supply</t>
        </is>
      </c>
      <c r="C883" s="12" t="inlineStr">
        <is>
          <t>Contractor Programme</t>
        </is>
      </c>
      <c r="D883" s="12" t="inlineStr">
        <is>
          <t>SCH-04-094</t>
        </is>
      </c>
      <c r="E883" s="12" t="inlineStr">
        <is>
          <t>Storage yard: maintenance-bay services - inspection</t>
        </is>
      </c>
      <c r="F883" s="12" t="inlineStr">
        <is>
          <t>ONE_TO_ONE</t>
        </is>
      </c>
      <c r="G883" s="12" t="inlineStr">
        <is>
          <t>APPROVED</t>
        </is>
      </c>
      <c r="H883" s="12" t="inlineStr">
        <is>
          <t>New</t>
        </is>
      </c>
      <c r="I883" s="12" t="inlineStr">
        <is>
          <t>Source assignment -- not individually reviewed</t>
        </is>
      </c>
      <c r="J883" s="12" t="inlineStr"/>
      <c r="K883" s="12" t="inlineStr">
        <is>
          <t>Source assignment</t>
        </is>
      </c>
      <c r="L883" s="12" t="inlineStr"/>
      <c r="M883" s="12" t="inlineStr">
        <is>
          <t>Initial</t>
        </is>
      </c>
      <c r="N883" s="12" t="inlineStr">
        <is>
          <t>Rev 0</t>
        </is>
      </c>
      <c r="O883" s="12" t="inlineStr">
        <is>
          <t>R634-v1</t>
        </is>
      </c>
      <c r="P883" s="12" t="inlineStr"/>
      <c r="Q883" s="12" t="inlineStr"/>
      <c r="R883" s="12" t="inlineStr"/>
      <c r="S883" s="12" t="inlineStr"/>
      <c r="T883" s="12" t="inlineStr"/>
      <c r="U883" s="12" t="inlineStr"/>
      <c r="V883" s="12" t="inlineStr">
        <is>
          <t>WBS Code = 1.4.1</t>
        </is>
      </c>
      <c r="W883" s="12" t="inlineStr"/>
    </row>
    <row r="884" ht="49" customHeight="1">
      <c r="A884" s="12" t="inlineStr">
        <is>
          <t>1.4.1</t>
        </is>
      </c>
      <c r="B884" s="12" t="inlineStr">
        <is>
          <t>Vehicles and Depot - Fleet Supply</t>
        </is>
      </c>
      <c r="C884" s="12" t="inlineStr">
        <is>
          <t>Contractor Programme</t>
        </is>
      </c>
      <c r="D884" s="12" t="inlineStr">
        <is>
          <t>SCH-04-095</t>
        </is>
      </c>
      <c r="E884" s="12" t="inlineStr">
        <is>
          <t>Operations building: depot structural fit-out - turnover</t>
        </is>
      </c>
      <c r="F884" s="12" t="inlineStr">
        <is>
          <t>ONE_TO_ONE</t>
        </is>
      </c>
      <c r="G884" s="12" t="inlineStr">
        <is>
          <t>APPROVED</t>
        </is>
      </c>
      <c r="H884" s="12" t="inlineStr">
        <is>
          <t>New</t>
        </is>
      </c>
      <c r="I884" s="12" t="inlineStr">
        <is>
          <t>Source assignment -- not individually reviewed</t>
        </is>
      </c>
      <c r="J884" s="12" t="inlineStr"/>
      <c r="K884" s="12" t="inlineStr">
        <is>
          <t>Source assignment</t>
        </is>
      </c>
      <c r="L884" s="12" t="inlineStr"/>
      <c r="M884" s="12" t="inlineStr">
        <is>
          <t>Initial</t>
        </is>
      </c>
      <c r="N884" s="12" t="inlineStr">
        <is>
          <t>Rev 0</t>
        </is>
      </c>
      <c r="O884" s="12" t="inlineStr">
        <is>
          <t>R635-v1</t>
        </is>
      </c>
      <c r="P884" s="12" t="inlineStr"/>
      <c r="Q884" s="12" t="inlineStr"/>
      <c r="R884" s="12" t="inlineStr"/>
      <c r="S884" s="12" t="inlineStr"/>
      <c r="T884" s="12" t="inlineStr"/>
      <c r="U884" s="12" t="inlineStr"/>
      <c r="V884" s="12" t="inlineStr">
        <is>
          <t>WBS Code = 1.4.1</t>
        </is>
      </c>
      <c r="W884" s="12" t="inlineStr"/>
    </row>
    <row r="885" ht="49" customHeight="1">
      <c r="A885" s="12" t="inlineStr">
        <is>
          <t>1.4.1</t>
        </is>
      </c>
      <c r="B885" s="12" t="inlineStr">
        <is>
          <t>Vehicles and Depot - Fleet Supply</t>
        </is>
      </c>
      <c r="C885" s="12" t="inlineStr">
        <is>
          <t>Contractor Programme</t>
        </is>
      </c>
      <c r="D885" s="12" t="inlineStr">
        <is>
          <t>SCH-04-097</t>
        </is>
      </c>
      <c r="E885" s="12" t="inlineStr">
        <is>
          <t>Receiving track: vehicle-to-depot interface check - field start</t>
        </is>
      </c>
      <c r="F885" s="12" t="inlineStr">
        <is>
          <t>ONE_TO_ONE</t>
        </is>
      </c>
      <c r="G885" s="12" t="inlineStr">
        <is>
          <t>APPROVED</t>
        </is>
      </c>
      <c r="H885" s="12" t="inlineStr">
        <is>
          <t>New</t>
        </is>
      </c>
      <c r="I885" s="12" t="inlineStr">
        <is>
          <t>Source assignment -- not individually reviewed</t>
        </is>
      </c>
      <c r="J885" s="12" t="inlineStr"/>
      <c r="K885" s="12" t="inlineStr">
        <is>
          <t>Source assignment</t>
        </is>
      </c>
      <c r="L885" s="12" t="inlineStr"/>
      <c r="M885" s="12" t="inlineStr">
        <is>
          <t>Initial</t>
        </is>
      </c>
      <c r="N885" s="12" t="inlineStr">
        <is>
          <t>Rev 0</t>
        </is>
      </c>
      <c r="O885" s="12" t="inlineStr">
        <is>
          <t>R637-v1</t>
        </is>
      </c>
      <c r="P885" s="12" t="inlineStr"/>
      <c r="Q885" s="12" t="inlineStr"/>
      <c r="R885" s="12" t="inlineStr"/>
      <c r="S885" s="12" t="inlineStr"/>
      <c r="T885" s="12" t="inlineStr"/>
      <c r="U885" s="12" t="inlineStr"/>
      <c r="V885" s="12" t="inlineStr">
        <is>
          <t>WBS Code = 1.4.1</t>
        </is>
      </c>
      <c r="W885" s="12" t="inlineStr"/>
    </row>
    <row r="886" ht="49" customHeight="1">
      <c r="A886" s="12" t="inlineStr">
        <is>
          <t>1.4.1</t>
        </is>
      </c>
      <c r="B886" s="12" t="inlineStr">
        <is>
          <t>Vehicles and Depot - Fleet Supply</t>
        </is>
      </c>
      <c r="C886" s="12" t="inlineStr">
        <is>
          <t>Contractor Programme</t>
        </is>
      </c>
      <c r="D886" s="12" t="inlineStr">
        <is>
          <t>SCH-04-098</t>
        </is>
      </c>
      <c r="E886" s="12" t="inlineStr">
        <is>
          <t>Maintenance shop: wheel-lathe installation - installation</t>
        </is>
      </c>
      <c r="F886" s="12" t="inlineStr">
        <is>
          <t>ONE_TO_ONE</t>
        </is>
      </c>
      <c r="G886" s="12" t="inlineStr">
        <is>
          <t>APPROVED</t>
        </is>
      </c>
      <c r="H886" s="12" t="inlineStr">
        <is>
          <t>New</t>
        </is>
      </c>
      <c r="I886" s="12" t="inlineStr">
        <is>
          <t>Source assignment -- not individually reviewed</t>
        </is>
      </c>
      <c r="J886" s="12" t="inlineStr"/>
      <c r="K886" s="12" t="inlineStr">
        <is>
          <t>Source assignment</t>
        </is>
      </c>
      <c r="L886" s="12" t="inlineStr"/>
      <c r="M886" s="12" t="inlineStr">
        <is>
          <t>Initial</t>
        </is>
      </c>
      <c r="N886" s="12" t="inlineStr">
        <is>
          <t>Rev 0</t>
        </is>
      </c>
      <c r="O886" s="12" t="inlineStr">
        <is>
          <t>R638-v1</t>
        </is>
      </c>
      <c r="P886" s="12" t="inlineStr"/>
      <c r="Q886" s="12" t="inlineStr"/>
      <c r="R886" s="12" t="inlineStr"/>
      <c r="S886" s="12" t="inlineStr"/>
      <c r="T886" s="12" t="inlineStr"/>
      <c r="U886" s="12" t="inlineStr"/>
      <c r="V886" s="12" t="inlineStr">
        <is>
          <t>WBS Code = 1.4.1</t>
        </is>
      </c>
      <c r="W886" s="12" t="inlineStr"/>
    </row>
    <row r="887" ht="49" customHeight="1">
      <c r="A887" s="12" t="inlineStr">
        <is>
          <t>1.4.1</t>
        </is>
      </c>
      <c r="B887" s="12" t="inlineStr">
        <is>
          <t>Vehicles and Depot - Fleet Supply</t>
        </is>
      </c>
      <c r="C887" s="12" t="inlineStr">
        <is>
          <t>Contractor Programme</t>
        </is>
      </c>
      <c r="D887" s="12" t="inlineStr">
        <is>
          <t>SCH-04-100</t>
        </is>
      </c>
      <c r="E887" s="12" t="inlineStr">
        <is>
          <t>Operations building: vehicle delivery inspection - turnover</t>
        </is>
      </c>
      <c r="F887" s="12" t="inlineStr">
        <is>
          <t>ONE_TO_ONE</t>
        </is>
      </c>
      <c r="G887" s="12" t="inlineStr">
        <is>
          <t>APPROVED</t>
        </is>
      </c>
      <c r="H887" s="12" t="inlineStr">
        <is>
          <t>New</t>
        </is>
      </c>
      <c r="I887" s="12" t="inlineStr">
        <is>
          <t>Source assignment -- not individually reviewed</t>
        </is>
      </c>
      <c r="J887" s="12" t="inlineStr"/>
      <c r="K887" s="12" t="inlineStr">
        <is>
          <t>Source assignment</t>
        </is>
      </c>
      <c r="L887" s="12" t="inlineStr"/>
      <c r="M887" s="12" t="inlineStr">
        <is>
          <t>Initial</t>
        </is>
      </c>
      <c r="N887" s="12" t="inlineStr">
        <is>
          <t>Rev 0</t>
        </is>
      </c>
      <c r="O887" s="12" t="inlineStr">
        <is>
          <t>R640-v1</t>
        </is>
      </c>
      <c r="P887" s="12" t="inlineStr"/>
      <c r="Q887" s="12" t="inlineStr"/>
      <c r="R887" s="12" t="inlineStr"/>
      <c r="S887" s="12" t="inlineStr"/>
      <c r="T887" s="12" t="inlineStr"/>
      <c r="U887" s="12" t="inlineStr"/>
      <c r="V887" s="12" t="inlineStr">
        <is>
          <t>WBS Code = 1.4.1</t>
        </is>
      </c>
      <c r="W887" s="12" t="inlineStr"/>
    </row>
    <row r="888" ht="49" customHeight="1">
      <c r="A888" s="12" t="inlineStr">
        <is>
          <t>1.4.1</t>
        </is>
      </c>
      <c r="B888" s="12" t="inlineStr">
        <is>
          <t>Vehicles and Depot - Fleet Supply</t>
        </is>
      </c>
      <c r="C888" s="12" t="inlineStr">
        <is>
          <t>Contractor Programme</t>
        </is>
      </c>
      <c r="D888" s="12" t="inlineStr">
        <is>
          <t>SCH-04-101</t>
        </is>
      </c>
      <c r="E888" s="12" t="inlineStr">
        <is>
          <t>Test track: wash-plant commissioning - release</t>
        </is>
      </c>
      <c r="F888" s="12" t="inlineStr">
        <is>
          <t>ONE_TO_ONE</t>
        </is>
      </c>
      <c r="G888" s="12" t="inlineStr">
        <is>
          <t>APPROVED</t>
        </is>
      </c>
      <c r="H888" s="12" t="inlineStr">
        <is>
          <t>New</t>
        </is>
      </c>
      <c r="I888" s="12" t="inlineStr">
        <is>
          <t>Source assignment -- not individually reviewed</t>
        </is>
      </c>
      <c r="J888" s="12" t="inlineStr"/>
      <c r="K888" s="12" t="inlineStr">
        <is>
          <t>Source assignment</t>
        </is>
      </c>
      <c r="L888" s="12" t="inlineStr"/>
      <c r="M888" s="12" t="inlineStr">
        <is>
          <t>Initial</t>
        </is>
      </c>
      <c r="N888" s="12" t="inlineStr">
        <is>
          <t>Rev 0</t>
        </is>
      </c>
      <c r="O888" s="12" t="inlineStr">
        <is>
          <t>R641-v1</t>
        </is>
      </c>
      <c r="P888" s="12" t="inlineStr"/>
      <c r="Q888" s="12" t="inlineStr"/>
      <c r="R888" s="12" t="inlineStr"/>
      <c r="S888" s="12" t="inlineStr"/>
      <c r="T888" s="12" t="inlineStr"/>
      <c r="U888" s="12" t="inlineStr"/>
      <c r="V888" s="12" t="inlineStr">
        <is>
          <t>WBS Code = 1.4.1</t>
        </is>
      </c>
      <c r="W888" s="12" t="inlineStr"/>
    </row>
    <row r="889" ht="49" customHeight="1">
      <c r="A889" s="12" t="inlineStr">
        <is>
          <t>1.4.1</t>
        </is>
      </c>
      <c r="B889" s="12" t="inlineStr">
        <is>
          <t>Vehicles and Depot - Fleet Supply</t>
        </is>
      </c>
      <c r="C889" s="12" t="inlineStr">
        <is>
          <t>Contractor Programme</t>
        </is>
      </c>
      <c r="D889" s="12" t="inlineStr">
        <is>
          <t>SCH-04-103</t>
        </is>
      </c>
      <c r="E889" s="12" t="inlineStr">
        <is>
          <t>Maintenance shop: depot structural fit-out - installation</t>
        </is>
      </c>
      <c r="F889" s="12" t="inlineStr">
        <is>
          <t>ONE_TO_ONE</t>
        </is>
      </c>
      <c r="G889" s="12" t="inlineStr">
        <is>
          <t>APPROVED</t>
        </is>
      </c>
      <c r="H889" s="12" t="inlineStr">
        <is>
          <t>New</t>
        </is>
      </c>
      <c r="I889" s="12" t="inlineStr">
        <is>
          <t>Source assignment -- not individually reviewed</t>
        </is>
      </c>
      <c r="J889" s="12" t="inlineStr"/>
      <c r="K889" s="12" t="inlineStr">
        <is>
          <t>Source assignment</t>
        </is>
      </c>
      <c r="L889" s="12" t="inlineStr"/>
      <c r="M889" s="12" t="inlineStr">
        <is>
          <t>Initial</t>
        </is>
      </c>
      <c r="N889" s="12" t="inlineStr">
        <is>
          <t>Rev 0</t>
        </is>
      </c>
      <c r="O889" s="12" t="inlineStr">
        <is>
          <t>R643-v1</t>
        </is>
      </c>
      <c r="P889" s="12" t="inlineStr"/>
      <c r="Q889" s="12" t="inlineStr"/>
      <c r="R889" s="12" t="inlineStr"/>
      <c r="S889" s="12" t="inlineStr"/>
      <c r="T889" s="12" t="inlineStr"/>
      <c r="U889" s="12" t="inlineStr"/>
      <c r="V889" s="12" t="inlineStr">
        <is>
          <t>WBS Code = 1.4.1</t>
        </is>
      </c>
      <c r="W889" s="12" t="inlineStr"/>
    </row>
    <row r="890" ht="49" customHeight="1">
      <c r="A890" s="12" t="inlineStr">
        <is>
          <t>1.4.1</t>
        </is>
      </c>
      <c r="B890" s="12" t="inlineStr">
        <is>
          <t>Vehicles and Depot - Fleet Supply</t>
        </is>
      </c>
      <c r="C890" s="12" t="inlineStr">
        <is>
          <t>Contractor Programme</t>
        </is>
      </c>
      <c r="D890" s="12" t="inlineStr">
        <is>
          <t>SCH-04-104</t>
        </is>
      </c>
      <c r="E890" s="12" t="inlineStr">
        <is>
          <t>Storage yard: workshop crane installation - inspection</t>
        </is>
      </c>
      <c r="F890" s="12" t="inlineStr">
        <is>
          <t>ONE_TO_ONE</t>
        </is>
      </c>
      <c r="G890" s="12" t="inlineStr">
        <is>
          <t>APPROVED</t>
        </is>
      </c>
      <c r="H890" s="12" t="inlineStr">
        <is>
          <t>New</t>
        </is>
      </c>
      <c r="I890" s="12" t="inlineStr">
        <is>
          <t>Source assignment -- not individually reviewed</t>
        </is>
      </c>
      <c r="J890" s="12" t="inlineStr"/>
      <c r="K890" s="12" t="inlineStr">
        <is>
          <t>Source assignment</t>
        </is>
      </c>
      <c r="L890" s="12" t="inlineStr"/>
      <c r="M890" s="12" t="inlineStr">
        <is>
          <t>Initial</t>
        </is>
      </c>
      <c r="N890" s="12" t="inlineStr">
        <is>
          <t>Rev 0</t>
        </is>
      </c>
      <c r="O890" s="12" t="inlineStr">
        <is>
          <t>R644-v1</t>
        </is>
      </c>
      <c r="P890" s="12" t="inlineStr"/>
      <c r="Q890" s="12" t="inlineStr"/>
      <c r="R890" s="12" t="inlineStr"/>
      <c r="S890" s="12" t="inlineStr"/>
      <c r="T890" s="12" t="inlineStr"/>
      <c r="U890" s="12" t="inlineStr"/>
      <c r="V890" s="12" t="inlineStr">
        <is>
          <t>WBS Code = 1.4.1</t>
        </is>
      </c>
      <c r="W890" s="12" t="inlineStr"/>
    </row>
    <row r="891" ht="49" customHeight="1">
      <c r="A891" s="12" t="inlineStr">
        <is>
          <t>1.4.1</t>
        </is>
      </c>
      <c r="B891" s="12" t="inlineStr">
        <is>
          <t>Vehicles and Depot - Fleet Supply</t>
        </is>
      </c>
      <c r="C891" s="12" t="inlineStr">
        <is>
          <t>Contractor Programme</t>
        </is>
      </c>
      <c r="D891" s="12" t="inlineStr">
        <is>
          <t>SCH-04-106</t>
        </is>
      </c>
      <c r="E891" s="12" t="inlineStr">
        <is>
          <t>Test track: wheel-lathe installation - release</t>
        </is>
      </c>
      <c r="F891" s="12" t="inlineStr">
        <is>
          <t>ONE_TO_ONE</t>
        </is>
      </c>
      <c r="G891" s="12" t="inlineStr">
        <is>
          <t>APPROVED</t>
        </is>
      </c>
      <c r="H891" s="12" t="inlineStr">
        <is>
          <t>New</t>
        </is>
      </c>
      <c r="I891" s="12" t="inlineStr">
        <is>
          <t>Source assignment -- not individually reviewed</t>
        </is>
      </c>
      <c r="J891" s="12" t="inlineStr"/>
      <c r="K891" s="12" t="inlineStr">
        <is>
          <t>Source assignment</t>
        </is>
      </c>
      <c r="L891" s="12" t="inlineStr"/>
      <c r="M891" s="12" t="inlineStr">
        <is>
          <t>Initial</t>
        </is>
      </c>
      <c r="N891" s="12" t="inlineStr">
        <is>
          <t>Rev 0</t>
        </is>
      </c>
      <c r="O891" s="12" t="inlineStr">
        <is>
          <t>R646-v1</t>
        </is>
      </c>
      <c r="P891" s="12" t="inlineStr"/>
      <c r="Q891" s="12" t="inlineStr"/>
      <c r="R891" s="12" t="inlineStr"/>
      <c r="S891" s="12" t="inlineStr"/>
      <c r="T891" s="12" t="inlineStr"/>
      <c r="U891" s="12" t="inlineStr"/>
      <c r="V891" s="12" t="inlineStr">
        <is>
          <t>WBS Code = 1.4.1</t>
        </is>
      </c>
      <c r="W891" s="12" t="inlineStr"/>
    </row>
    <row r="892" ht="49" customHeight="1">
      <c r="A892" s="12" t="inlineStr">
        <is>
          <t>1.4.1</t>
        </is>
      </c>
      <c r="B892" s="12" t="inlineStr">
        <is>
          <t>Vehicles and Depot - Fleet Supply</t>
        </is>
      </c>
      <c r="C892" s="12" t="inlineStr">
        <is>
          <t>Contractor Programme</t>
        </is>
      </c>
      <c r="D892" s="12" t="inlineStr">
        <is>
          <t>SCH-04-107</t>
        </is>
      </c>
      <c r="E892" s="12" t="inlineStr">
        <is>
          <t>Receiving track: fleet software load - field start</t>
        </is>
      </c>
      <c r="F892" s="12" t="inlineStr">
        <is>
          <t>ONE_TO_ONE</t>
        </is>
      </c>
      <c r="G892" s="12" t="inlineStr">
        <is>
          <t>APPROVED</t>
        </is>
      </c>
      <c r="H892" s="12" t="inlineStr">
        <is>
          <t>New</t>
        </is>
      </c>
      <c r="I892" s="12" t="inlineStr">
        <is>
          <t>Source assignment -- not individually reviewed</t>
        </is>
      </c>
      <c r="J892" s="12" t="inlineStr"/>
      <c r="K892" s="12" t="inlineStr">
        <is>
          <t>Source assignment</t>
        </is>
      </c>
      <c r="L892" s="12" t="inlineStr"/>
      <c r="M892" s="12" t="inlineStr">
        <is>
          <t>Initial</t>
        </is>
      </c>
      <c r="N892" s="12" t="inlineStr">
        <is>
          <t>Rev 0</t>
        </is>
      </c>
      <c r="O892" s="12" t="inlineStr">
        <is>
          <t>R647-v1</t>
        </is>
      </c>
      <c r="P892" s="12" t="inlineStr"/>
      <c r="Q892" s="12" t="inlineStr"/>
      <c r="R892" s="12" t="inlineStr"/>
      <c r="S892" s="12" t="inlineStr"/>
      <c r="T892" s="12" t="inlineStr"/>
      <c r="U892" s="12" t="inlineStr"/>
      <c r="V892" s="12" t="inlineStr">
        <is>
          <t>WBS Code = 1.4.1</t>
        </is>
      </c>
      <c r="W892" s="12" t="inlineStr"/>
    </row>
    <row r="893" ht="49" customHeight="1">
      <c r="A893" s="12" t="inlineStr">
        <is>
          <t>1.4.1</t>
        </is>
      </c>
      <c r="B893" s="12" t="inlineStr">
        <is>
          <t>Vehicles and Depot - Fleet Supply</t>
        </is>
      </c>
      <c r="C893" s="12" t="inlineStr">
        <is>
          <t>Contractor Programme</t>
        </is>
      </c>
      <c r="D893" s="12" t="inlineStr">
        <is>
          <t>SCH-04-109</t>
        </is>
      </c>
      <c r="E893" s="12" t="inlineStr">
        <is>
          <t>Storage yard: wash-plant commissioning - inspection</t>
        </is>
      </c>
      <c r="F893" s="12" t="inlineStr">
        <is>
          <t>ONE_TO_ONE</t>
        </is>
      </c>
      <c r="G893" s="12" t="inlineStr">
        <is>
          <t>APPROVED</t>
        </is>
      </c>
      <c r="H893" s="12" t="inlineStr">
        <is>
          <t>New</t>
        </is>
      </c>
      <c r="I893" s="12" t="inlineStr">
        <is>
          <t>Source assignment -- not individually reviewed</t>
        </is>
      </c>
      <c r="J893" s="12" t="inlineStr"/>
      <c r="K893" s="12" t="inlineStr">
        <is>
          <t>Source assignment</t>
        </is>
      </c>
      <c r="L893" s="12" t="inlineStr"/>
      <c r="M893" s="12" t="inlineStr">
        <is>
          <t>Initial</t>
        </is>
      </c>
      <c r="N893" s="12" t="inlineStr">
        <is>
          <t>Rev 0</t>
        </is>
      </c>
      <c r="O893" s="12" t="inlineStr">
        <is>
          <t>R649-v1</t>
        </is>
      </c>
      <c r="P893" s="12" t="inlineStr"/>
      <c r="Q893" s="12" t="inlineStr"/>
      <c r="R893" s="12" t="inlineStr"/>
      <c r="S893" s="12" t="inlineStr"/>
      <c r="T893" s="12" t="inlineStr"/>
      <c r="U893" s="12" t="inlineStr"/>
      <c r="V893" s="12" t="inlineStr">
        <is>
          <t>WBS Code = 1.4.1</t>
        </is>
      </c>
      <c r="W893" s="12" t="inlineStr"/>
    </row>
    <row r="894" ht="49" customHeight="1">
      <c r="A894" s="12" t="inlineStr">
        <is>
          <t>1.4.1</t>
        </is>
      </c>
      <c r="B894" s="12" t="inlineStr">
        <is>
          <t>Vehicles and Depot - Fleet Supply</t>
        </is>
      </c>
      <c r="C894" s="12" t="inlineStr">
        <is>
          <t>Contractor Programme</t>
        </is>
      </c>
      <c r="D894" s="12" t="inlineStr">
        <is>
          <t>SCH-04-110</t>
        </is>
      </c>
      <c r="E894" s="12" t="inlineStr">
        <is>
          <t>Operations building: maintenance-bay services - turnover</t>
        </is>
      </c>
      <c r="F894" s="12" t="inlineStr">
        <is>
          <t>ONE_TO_ONE</t>
        </is>
      </c>
      <c r="G894" s="12" t="inlineStr">
        <is>
          <t>APPROVED</t>
        </is>
      </c>
      <c r="H894" s="12" t="inlineStr">
        <is>
          <t>New</t>
        </is>
      </c>
      <c r="I894" s="12" t="inlineStr">
        <is>
          <t>Source assignment -- not individually reviewed</t>
        </is>
      </c>
      <c r="J894" s="12" t="inlineStr"/>
      <c r="K894" s="12" t="inlineStr">
        <is>
          <t>Source assignment</t>
        </is>
      </c>
      <c r="L894" s="12" t="inlineStr"/>
      <c r="M894" s="12" t="inlineStr">
        <is>
          <t>Initial</t>
        </is>
      </c>
      <c r="N894" s="12" t="inlineStr">
        <is>
          <t>Rev 0</t>
        </is>
      </c>
      <c r="O894" s="12" t="inlineStr">
        <is>
          <t>R650-v1</t>
        </is>
      </c>
      <c r="P894" s="12" t="inlineStr"/>
      <c r="Q894" s="12" t="inlineStr"/>
      <c r="R894" s="12" t="inlineStr"/>
      <c r="S894" s="12" t="inlineStr"/>
      <c r="T894" s="12" t="inlineStr"/>
      <c r="U894" s="12" t="inlineStr"/>
      <c r="V894" s="12" t="inlineStr">
        <is>
          <t>WBS Code = 1.4.1</t>
        </is>
      </c>
      <c r="W894" s="12" t="inlineStr"/>
    </row>
    <row r="895" ht="49" customHeight="1">
      <c r="A895" s="12" t="inlineStr">
        <is>
          <t>1.4.1</t>
        </is>
      </c>
      <c r="B895" s="12" t="inlineStr">
        <is>
          <t>Vehicles and Depot - Fleet Supply</t>
        </is>
      </c>
      <c r="C895" s="12" t="inlineStr">
        <is>
          <t>Contractor Programme</t>
        </is>
      </c>
      <c r="D895" s="12" t="inlineStr">
        <is>
          <t>SCH-04-112</t>
        </is>
      </c>
      <c r="E895" s="12" t="inlineStr">
        <is>
          <t>Receiving track: workshop crane installation - field start</t>
        </is>
      </c>
      <c r="F895" s="12" t="inlineStr">
        <is>
          <t>ONE_TO_ONE</t>
        </is>
      </c>
      <c r="G895" s="12" t="inlineStr">
        <is>
          <t>APPROVED</t>
        </is>
      </c>
      <c r="H895" s="12" t="inlineStr">
        <is>
          <t>New</t>
        </is>
      </c>
      <c r="I895" s="12" t="inlineStr">
        <is>
          <t>Source assignment -- not individually reviewed</t>
        </is>
      </c>
      <c r="J895" s="12" t="inlineStr"/>
      <c r="K895" s="12" t="inlineStr">
        <is>
          <t>Source assignment</t>
        </is>
      </c>
      <c r="L895" s="12" t="inlineStr"/>
      <c r="M895" s="12" t="inlineStr">
        <is>
          <t>Initial</t>
        </is>
      </c>
      <c r="N895" s="12" t="inlineStr">
        <is>
          <t>Rev 0</t>
        </is>
      </c>
      <c r="O895" s="12" t="inlineStr">
        <is>
          <t>R652-v1</t>
        </is>
      </c>
      <c r="P895" s="12" t="inlineStr"/>
      <c r="Q895" s="12" t="inlineStr"/>
      <c r="R895" s="12" t="inlineStr"/>
      <c r="S895" s="12" t="inlineStr"/>
      <c r="T895" s="12" t="inlineStr"/>
      <c r="U895" s="12" t="inlineStr"/>
      <c r="V895" s="12" t="inlineStr">
        <is>
          <t>WBS Code = 1.4.1</t>
        </is>
      </c>
      <c r="W895" s="12" t="inlineStr"/>
    </row>
    <row r="896" ht="49" customHeight="1">
      <c r="A896" s="12" t="inlineStr">
        <is>
          <t>1.4.1</t>
        </is>
      </c>
      <c r="B896" s="12" t="inlineStr">
        <is>
          <t>Vehicles and Depot - Fleet Supply</t>
        </is>
      </c>
      <c r="C896" s="12" t="inlineStr">
        <is>
          <t>Contractor Programme</t>
        </is>
      </c>
      <c r="D896" s="12" t="inlineStr">
        <is>
          <t>SCH-04-113</t>
        </is>
      </c>
      <c r="E896" s="12" t="inlineStr">
        <is>
          <t>Maintenance shop: vehicle-to-depot interface check - installation</t>
        </is>
      </c>
      <c r="F896" s="12" t="inlineStr">
        <is>
          <t>ONE_TO_ONE</t>
        </is>
      </c>
      <c r="G896" s="12" t="inlineStr">
        <is>
          <t>APPROVED</t>
        </is>
      </c>
      <c r="H896" s="12" t="inlineStr">
        <is>
          <t>New</t>
        </is>
      </c>
      <c r="I896" s="12" t="inlineStr">
        <is>
          <t>Source assignment -- not individually reviewed</t>
        </is>
      </c>
      <c r="J896" s="12" t="inlineStr"/>
      <c r="K896" s="12" t="inlineStr">
        <is>
          <t>Source assignment</t>
        </is>
      </c>
      <c r="L896" s="12" t="inlineStr"/>
      <c r="M896" s="12" t="inlineStr">
        <is>
          <t>Initial</t>
        </is>
      </c>
      <c r="N896" s="12" t="inlineStr">
        <is>
          <t>Rev 0</t>
        </is>
      </c>
      <c r="O896" s="12" t="inlineStr">
        <is>
          <t>R653-v1</t>
        </is>
      </c>
      <c r="P896" s="12" t="inlineStr"/>
      <c r="Q896" s="12" t="inlineStr"/>
      <c r="R896" s="12" t="inlineStr"/>
      <c r="S896" s="12" t="inlineStr"/>
      <c r="T896" s="12" t="inlineStr"/>
      <c r="U896" s="12" t="inlineStr"/>
      <c r="V896" s="12" t="inlineStr">
        <is>
          <t>WBS Code = 1.4.1</t>
        </is>
      </c>
      <c r="W896" s="12" t="inlineStr"/>
    </row>
    <row r="897" ht="49" customHeight="1">
      <c r="A897" s="12" t="inlineStr">
        <is>
          <t>1.4.1</t>
        </is>
      </c>
      <c r="B897" s="12" t="inlineStr">
        <is>
          <t>Vehicles and Depot - Fleet Supply</t>
        </is>
      </c>
      <c r="C897" s="12" t="inlineStr">
        <is>
          <t>Contractor Programme</t>
        </is>
      </c>
      <c r="D897" s="12" t="inlineStr">
        <is>
          <t>SCH-04-115</t>
        </is>
      </c>
      <c r="E897" s="12" t="inlineStr">
        <is>
          <t>Operations building: fleet software load - turnover</t>
        </is>
      </c>
      <c r="F897" s="12" t="inlineStr">
        <is>
          <t>ONE_TO_ONE</t>
        </is>
      </c>
      <c r="G897" s="12" t="inlineStr">
        <is>
          <t>APPROVED</t>
        </is>
      </c>
      <c r="H897" s="12" t="inlineStr">
        <is>
          <t>New</t>
        </is>
      </c>
      <c r="I897" s="12" t="inlineStr">
        <is>
          <t>Source assignment -- not individually reviewed</t>
        </is>
      </c>
      <c r="J897" s="12" t="inlineStr"/>
      <c r="K897" s="12" t="inlineStr">
        <is>
          <t>Source assignment</t>
        </is>
      </c>
      <c r="L897" s="12" t="inlineStr"/>
      <c r="M897" s="12" t="inlineStr">
        <is>
          <t>Initial</t>
        </is>
      </c>
      <c r="N897" s="12" t="inlineStr">
        <is>
          <t>Rev 0</t>
        </is>
      </c>
      <c r="O897" s="12" t="inlineStr">
        <is>
          <t>R655-v1</t>
        </is>
      </c>
      <c r="P897" s="12" t="inlineStr"/>
      <c r="Q897" s="12" t="inlineStr"/>
      <c r="R897" s="12" t="inlineStr"/>
      <c r="S897" s="12" t="inlineStr"/>
      <c r="T897" s="12" t="inlineStr"/>
      <c r="U897" s="12" t="inlineStr"/>
      <c r="V897" s="12" t="inlineStr">
        <is>
          <t>WBS Code = 1.4.1</t>
        </is>
      </c>
      <c r="W897" s="12" t="inlineStr"/>
    </row>
    <row r="898" ht="49" customHeight="1">
      <c r="A898" s="12" t="inlineStr">
        <is>
          <t>1.4.1</t>
        </is>
      </c>
      <c r="B898" s="12" t="inlineStr">
        <is>
          <t>Vehicles and Depot - Fleet Supply</t>
        </is>
      </c>
      <c r="C898" s="12" t="inlineStr">
        <is>
          <t>Contractor Programme</t>
        </is>
      </c>
      <c r="D898" s="12" t="inlineStr">
        <is>
          <t>SCH-04-116</t>
        </is>
      </c>
      <c r="E898" s="12" t="inlineStr">
        <is>
          <t>Test track: vehicle delivery inspection - release</t>
        </is>
      </c>
      <c r="F898" s="12" t="inlineStr">
        <is>
          <t>ONE_TO_ONE</t>
        </is>
      </c>
      <c r="G898" s="12" t="inlineStr">
        <is>
          <t>APPROVED</t>
        </is>
      </c>
      <c r="H898" s="12" t="inlineStr">
        <is>
          <t>New</t>
        </is>
      </c>
      <c r="I898" s="12" t="inlineStr">
        <is>
          <t>Source assignment -- not individually reviewed</t>
        </is>
      </c>
      <c r="J898" s="12" t="inlineStr"/>
      <c r="K898" s="12" t="inlineStr">
        <is>
          <t>Source assignment</t>
        </is>
      </c>
      <c r="L898" s="12" t="inlineStr"/>
      <c r="M898" s="12" t="inlineStr">
        <is>
          <t>Initial</t>
        </is>
      </c>
      <c r="N898" s="12" t="inlineStr">
        <is>
          <t>Rev 0</t>
        </is>
      </c>
      <c r="O898" s="12" t="inlineStr">
        <is>
          <t>R656-v1</t>
        </is>
      </c>
      <c r="P898" s="12" t="inlineStr"/>
      <c r="Q898" s="12" t="inlineStr"/>
      <c r="R898" s="12" t="inlineStr"/>
      <c r="S898" s="12" t="inlineStr"/>
      <c r="T898" s="12" t="inlineStr"/>
      <c r="U898" s="12" t="inlineStr"/>
      <c r="V898" s="12" t="inlineStr">
        <is>
          <t>WBS Code = 1.4.1</t>
        </is>
      </c>
      <c r="W898" s="12" t="inlineStr"/>
    </row>
    <row r="899" ht="49" customHeight="1">
      <c r="A899" s="12" t="inlineStr">
        <is>
          <t>1.4.1</t>
        </is>
      </c>
      <c r="B899" s="12" t="inlineStr">
        <is>
          <t>Vehicles and Depot - Fleet Supply</t>
        </is>
      </c>
      <c r="C899" s="12" t="inlineStr">
        <is>
          <t>Contractor Programme</t>
        </is>
      </c>
      <c r="D899" s="12" t="inlineStr">
        <is>
          <t>SCH-04-118</t>
        </is>
      </c>
      <c r="E899" s="12" t="inlineStr">
        <is>
          <t>Maintenance shop: maintenance-bay services - installation</t>
        </is>
      </c>
      <c r="F899" s="12" t="inlineStr">
        <is>
          <t>ONE_TO_ONE</t>
        </is>
      </c>
      <c r="G899" s="12" t="inlineStr">
        <is>
          <t>APPROVED</t>
        </is>
      </c>
      <c r="H899" s="12" t="inlineStr">
        <is>
          <t>New</t>
        </is>
      </c>
      <c r="I899" s="12" t="inlineStr">
        <is>
          <t>Source assignment -- not individually reviewed</t>
        </is>
      </c>
      <c r="J899" s="12" t="inlineStr"/>
      <c r="K899" s="12" t="inlineStr">
        <is>
          <t>Source assignment</t>
        </is>
      </c>
      <c r="L899" s="12" t="inlineStr"/>
      <c r="M899" s="12" t="inlineStr">
        <is>
          <t>Initial</t>
        </is>
      </c>
      <c r="N899" s="12" t="inlineStr">
        <is>
          <t>Rev 0</t>
        </is>
      </c>
      <c r="O899" s="12" t="inlineStr">
        <is>
          <t>R658-v1</t>
        </is>
      </c>
      <c r="P899" s="12" t="inlineStr"/>
      <c r="Q899" s="12" t="inlineStr"/>
      <c r="R899" s="12" t="inlineStr"/>
      <c r="S899" s="12" t="inlineStr"/>
      <c r="T899" s="12" t="inlineStr"/>
      <c r="U899" s="12" t="inlineStr"/>
      <c r="V899" s="12" t="inlineStr">
        <is>
          <t>WBS Code = 1.4.1</t>
        </is>
      </c>
      <c r="W899" s="12" t="inlineStr"/>
    </row>
    <row r="900" ht="49" customHeight="1">
      <c r="A900" s="12" t="inlineStr">
        <is>
          <t>1.4.1</t>
        </is>
      </c>
      <c r="B900" s="12" t="inlineStr">
        <is>
          <t>Vehicles and Depot - Fleet Supply</t>
        </is>
      </c>
      <c r="C900" s="12" t="inlineStr">
        <is>
          <t>Contractor Programme</t>
        </is>
      </c>
      <c r="D900" s="12" t="inlineStr">
        <is>
          <t>SCH-04-119</t>
        </is>
      </c>
      <c r="E900" s="12" t="inlineStr">
        <is>
          <t>Storage yard: depot structural fit-out - inspection</t>
        </is>
      </c>
      <c r="F900" s="12" t="inlineStr">
        <is>
          <t>ONE_TO_ONE</t>
        </is>
      </c>
      <c r="G900" s="12" t="inlineStr">
        <is>
          <t>APPROVED</t>
        </is>
      </c>
      <c r="H900" s="12" t="inlineStr">
        <is>
          <t>New</t>
        </is>
      </c>
      <c r="I900" s="12" t="inlineStr">
        <is>
          <t>Source assignment -- not individually reviewed</t>
        </is>
      </c>
      <c r="J900" s="12" t="inlineStr"/>
      <c r="K900" s="12" t="inlineStr">
        <is>
          <t>Source assignment</t>
        </is>
      </c>
      <c r="L900" s="12" t="inlineStr"/>
      <c r="M900" s="12" t="inlineStr">
        <is>
          <t>Initial</t>
        </is>
      </c>
      <c r="N900" s="12" t="inlineStr">
        <is>
          <t>Rev 0</t>
        </is>
      </c>
      <c r="O900" s="12" t="inlineStr">
        <is>
          <t>R659-v1</t>
        </is>
      </c>
      <c r="P900" s="12" t="inlineStr"/>
      <c r="Q900" s="12" t="inlineStr"/>
      <c r="R900" s="12" t="inlineStr"/>
      <c r="S900" s="12" t="inlineStr"/>
      <c r="T900" s="12" t="inlineStr"/>
      <c r="U900" s="12" t="inlineStr"/>
      <c r="V900" s="12" t="inlineStr">
        <is>
          <t>WBS Code = 1.4.1</t>
        </is>
      </c>
      <c r="W900" s="12" t="inlineStr"/>
    </row>
    <row r="901" ht="49" customHeight="1">
      <c r="A901" s="12" t="inlineStr">
        <is>
          <t>1.4.1</t>
        </is>
      </c>
      <c r="B901" s="12" t="inlineStr">
        <is>
          <t>Vehicles and Depot - Fleet Supply</t>
        </is>
      </c>
      <c r="C901" s="12" t="inlineStr">
        <is>
          <t>Contractor Programme</t>
        </is>
      </c>
      <c r="D901" s="12" t="inlineStr">
        <is>
          <t>SCH-04-121</t>
        </is>
      </c>
      <c r="E901" s="12" t="inlineStr">
        <is>
          <t>Test track: vehicle-to-depot interface check - release</t>
        </is>
      </c>
      <c r="F901" s="12" t="inlineStr">
        <is>
          <t>ONE_TO_ONE</t>
        </is>
      </c>
      <c r="G901" s="12" t="inlineStr">
        <is>
          <t>APPROVED</t>
        </is>
      </c>
      <c r="H901" s="12" t="inlineStr">
        <is>
          <t>New</t>
        </is>
      </c>
      <c r="I901" s="12" t="inlineStr">
        <is>
          <t>Source assignment -- not individually reviewed</t>
        </is>
      </c>
      <c r="J901" s="12" t="inlineStr"/>
      <c r="K901" s="12" t="inlineStr">
        <is>
          <t>Source assignment</t>
        </is>
      </c>
      <c r="L901" s="12" t="inlineStr"/>
      <c r="M901" s="12" t="inlineStr">
        <is>
          <t>Initial</t>
        </is>
      </c>
      <c r="N901" s="12" t="inlineStr">
        <is>
          <t>Rev 0</t>
        </is>
      </c>
      <c r="O901" s="12" t="inlineStr">
        <is>
          <t>R661-v1</t>
        </is>
      </c>
      <c r="P901" s="12" t="inlineStr"/>
      <c r="Q901" s="12" t="inlineStr"/>
      <c r="R901" s="12" t="inlineStr"/>
      <c r="S901" s="12" t="inlineStr"/>
      <c r="T901" s="12" t="inlineStr"/>
      <c r="U901" s="12" t="inlineStr"/>
      <c r="V901" s="12" t="inlineStr">
        <is>
          <t>WBS Code = 1.4.1</t>
        </is>
      </c>
      <c r="W901" s="12" t="inlineStr"/>
    </row>
    <row r="902" ht="49" customHeight="1">
      <c r="A902" s="12" t="inlineStr">
        <is>
          <t>1.4.1</t>
        </is>
      </c>
      <c r="B902" s="12" t="inlineStr">
        <is>
          <t>Vehicles and Depot - Fleet Supply</t>
        </is>
      </c>
      <c r="C902" s="12" t="inlineStr">
        <is>
          <t>Contractor Programme</t>
        </is>
      </c>
      <c r="D902" s="12" t="inlineStr">
        <is>
          <t>SCH-04-122</t>
        </is>
      </c>
      <c r="E902" s="12" t="inlineStr">
        <is>
          <t>Receiving track: wheel-lathe installation - field start</t>
        </is>
      </c>
      <c r="F902" s="12" t="inlineStr">
        <is>
          <t>ONE_TO_ONE</t>
        </is>
      </c>
      <c r="G902" s="12" t="inlineStr">
        <is>
          <t>APPROVED</t>
        </is>
      </c>
      <c r="H902" s="12" t="inlineStr">
        <is>
          <t>New</t>
        </is>
      </c>
      <c r="I902" s="12" t="inlineStr">
        <is>
          <t>Source assignment -- not individually reviewed</t>
        </is>
      </c>
      <c r="J902" s="12" t="inlineStr"/>
      <c r="K902" s="12" t="inlineStr">
        <is>
          <t>Source assignment</t>
        </is>
      </c>
      <c r="L902" s="12" t="inlineStr"/>
      <c r="M902" s="12" t="inlineStr">
        <is>
          <t>Initial</t>
        </is>
      </c>
      <c r="N902" s="12" t="inlineStr">
        <is>
          <t>Rev 0</t>
        </is>
      </c>
      <c r="O902" s="12" t="inlineStr">
        <is>
          <t>R662-v1</t>
        </is>
      </c>
      <c r="P902" s="12" t="inlineStr"/>
      <c r="Q902" s="12" t="inlineStr"/>
      <c r="R902" s="12" t="inlineStr"/>
      <c r="S902" s="12" t="inlineStr"/>
      <c r="T902" s="12" t="inlineStr"/>
      <c r="U902" s="12" t="inlineStr"/>
      <c r="V902" s="12" t="inlineStr">
        <is>
          <t>WBS Code = 1.4.1</t>
        </is>
      </c>
      <c r="W902" s="12" t="inlineStr"/>
    </row>
    <row r="903" ht="49" customHeight="1">
      <c r="A903" s="12" t="inlineStr">
        <is>
          <t>1.4.1</t>
        </is>
      </c>
      <c r="B903" s="12" t="inlineStr">
        <is>
          <t>Vehicles and Depot - Fleet Supply</t>
        </is>
      </c>
      <c r="C903" s="12" t="inlineStr">
        <is>
          <t>Contractor Programme</t>
        </is>
      </c>
      <c r="D903" s="12" t="inlineStr">
        <is>
          <t>SCH-04-124</t>
        </is>
      </c>
      <c r="E903" s="12" t="inlineStr">
        <is>
          <t>Storage yard: vehicle delivery inspection - inspection</t>
        </is>
      </c>
      <c r="F903" s="12" t="inlineStr">
        <is>
          <t>ONE_TO_ONE</t>
        </is>
      </c>
      <c r="G903" s="12" t="inlineStr">
        <is>
          <t>APPROVED</t>
        </is>
      </c>
      <c r="H903" s="12" t="inlineStr">
        <is>
          <t>New</t>
        </is>
      </c>
      <c r="I903" s="12" t="inlineStr">
        <is>
          <t>Source assignment -- not individually reviewed</t>
        </is>
      </c>
      <c r="J903" s="12" t="inlineStr"/>
      <c r="K903" s="12" t="inlineStr">
        <is>
          <t>Source assignment</t>
        </is>
      </c>
      <c r="L903" s="12" t="inlineStr"/>
      <c r="M903" s="12" t="inlineStr">
        <is>
          <t>Initial</t>
        </is>
      </c>
      <c r="N903" s="12" t="inlineStr">
        <is>
          <t>Rev 0</t>
        </is>
      </c>
      <c r="O903" s="12" t="inlineStr">
        <is>
          <t>R664-v1</t>
        </is>
      </c>
      <c r="P903" s="12" t="inlineStr"/>
      <c r="Q903" s="12" t="inlineStr"/>
      <c r="R903" s="12" t="inlineStr"/>
      <c r="S903" s="12" t="inlineStr"/>
      <c r="T903" s="12" t="inlineStr"/>
      <c r="U903" s="12" t="inlineStr"/>
      <c r="V903" s="12" t="inlineStr">
        <is>
          <t>WBS Code = 1.4.1</t>
        </is>
      </c>
      <c r="W903" s="12" t="inlineStr"/>
    </row>
    <row r="904" ht="49" customHeight="1">
      <c r="A904" s="12" t="inlineStr">
        <is>
          <t>1.4.1</t>
        </is>
      </c>
      <c r="B904" s="12" t="inlineStr">
        <is>
          <t>Vehicles and Depot - Fleet Supply</t>
        </is>
      </c>
      <c r="C904" s="12" t="inlineStr">
        <is>
          <t>Contractor Programme</t>
        </is>
      </c>
      <c r="D904" s="12" t="inlineStr">
        <is>
          <t>SCH-04-125</t>
        </is>
      </c>
      <c r="E904" s="12" t="inlineStr">
        <is>
          <t>Operations building: wash-plant commissioning - turnover</t>
        </is>
      </c>
      <c r="F904" s="12" t="inlineStr">
        <is>
          <t>ONE_TO_ONE</t>
        </is>
      </c>
      <c r="G904" s="12" t="inlineStr">
        <is>
          <t>APPROVED</t>
        </is>
      </c>
      <c r="H904" s="12" t="inlineStr">
        <is>
          <t>New</t>
        </is>
      </c>
      <c r="I904" s="12" t="inlineStr">
        <is>
          <t>Source assignment -- not individually reviewed</t>
        </is>
      </c>
      <c r="J904" s="12" t="inlineStr"/>
      <c r="K904" s="12" t="inlineStr">
        <is>
          <t>Source assignment</t>
        </is>
      </c>
      <c r="L904" s="12" t="inlineStr"/>
      <c r="M904" s="12" t="inlineStr">
        <is>
          <t>Initial</t>
        </is>
      </c>
      <c r="N904" s="12" t="inlineStr">
        <is>
          <t>Rev 0</t>
        </is>
      </c>
      <c r="O904" s="12" t="inlineStr">
        <is>
          <t>R665-v1</t>
        </is>
      </c>
      <c r="P904" s="12" t="inlineStr"/>
      <c r="Q904" s="12" t="inlineStr"/>
      <c r="R904" s="12" t="inlineStr"/>
      <c r="S904" s="12" t="inlineStr"/>
      <c r="T904" s="12" t="inlineStr"/>
      <c r="U904" s="12" t="inlineStr"/>
      <c r="V904" s="12" t="inlineStr">
        <is>
          <t>WBS Code = 1.4.1</t>
        </is>
      </c>
      <c r="W904" s="12" t="inlineStr"/>
    </row>
    <row r="905" ht="49" customHeight="1">
      <c r="A905" s="12" t="inlineStr">
        <is>
          <t>1.4.1</t>
        </is>
      </c>
      <c r="B905" s="12" t="inlineStr">
        <is>
          <t>Vehicles and Depot - Fleet Supply</t>
        </is>
      </c>
      <c r="C905" s="12" t="inlineStr">
        <is>
          <t>Contractor Programme</t>
        </is>
      </c>
      <c r="D905" s="12" t="inlineStr">
        <is>
          <t>SCH-04-127</t>
        </is>
      </c>
      <c r="E905" s="12" t="inlineStr">
        <is>
          <t>Receiving track: depot structural fit-out - field start</t>
        </is>
      </c>
      <c r="F905" s="12" t="inlineStr">
        <is>
          <t>ONE_TO_ONE</t>
        </is>
      </c>
      <c r="G905" s="12" t="inlineStr">
        <is>
          <t>APPROVED</t>
        </is>
      </c>
      <c r="H905" s="12" t="inlineStr">
        <is>
          <t>New</t>
        </is>
      </c>
      <c r="I905" s="12" t="inlineStr">
        <is>
          <t>Source assignment -- not individually reviewed</t>
        </is>
      </c>
      <c r="J905" s="12" t="inlineStr"/>
      <c r="K905" s="12" t="inlineStr">
        <is>
          <t>Source assignment</t>
        </is>
      </c>
      <c r="L905" s="12" t="inlineStr"/>
      <c r="M905" s="12" t="inlineStr">
        <is>
          <t>Initial</t>
        </is>
      </c>
      <c r="N905" s="12" t="inlineStr">
        <is>
          <t>Rev 0</t>
        </is>
      </c>
      <c r="O905" s="12" t="inlineStr">
        <is>
          <t>R667-v1</t>
        </is>
      </c>
      <c r="P905" s="12" t="inlineStr"/>
      <c r="Q905" s="12" t="inlineStr"/>
      <c r="R905" s="12" t="inlineStr"/>
      <c r="S905" s="12" t="inlineStr"/>
      <c r="T905" s="12" t="inlineStr"/>
      <c r="U905" s="12" t="inlineStr"/>
      <c r="V905" s="12" t="inlineStr">
        <is>
          <t>WBS Code = 1.4.1</t>
        </is>
      </c>
      <c r="W905" s="12" t="inlineStr"/>
    </row>
    <row r="906" ht="49" customHeight="1">
      <c r="A906" s="12" t="inlineStr">
        <is>
          <t>1.4.1</t>
        </is>
      </c>
      <c r="B906" s="12" t="inlineStr">
        <is>
          <t>Vehicles and Depot - Fleet Supply</t>
        </is>
      </c>
      <c r="C906" s="12" t="inlineStr">
        <is>
          <t>Contractor Programme</t>
        </is>
      </c>
      <c r="D906" s="12" t="inlineStr">
        <is>
          <t>SCH-04-128</t>
        </is>
      </c>
      <c r="E906" s="12" t="inlineStr">
        <is>
          <t>Maintenance shop: workshop crane installation - installation</t>
        </is>
      </c>
      <c r="F906" s="12" t="inlineStr">
        <is>
          <t>ONE_TO_ONE</t>
        </is>
      </c>
      <c r="G906" s="12" t="inlineStr">
        <is>
          <t>APPROVED</t>
        </is>
      </c>
      <c r="H906" s="12" t="inlineStr">
        <is>
          <t>New</t>
        </is>
      </c>
      <c r="I906" s="12" t="inlineStr">
        <is>
          <t>Source assignment -- not individually reviewed</t>
        </is>
      </c>
      <c r="J906" s="12" t="inlineStr"/>
      <c r="K906" s="12" t="inlineStr">
        <is>
          <t>Source assignment</t>
        </is>
      </c>
      <c r="L906" s="12" t="inlineStr"/>
      <c r="M906" s="12" t="inlineStr">
        <is>
          <t>Initial</t>
        </is>
      </c>
      <c r="N906" s="12" t="inlineStr">
        <is>
          <t>Rev 0</t>
        </is>
      </c>
      <c r="O906" s="12" t="inlineStr">
        <is>
          <t>R668-v1</t>
        </is>
      </c>
      <c r="P906" s="12" t="inlineStr"/>
      <c r="Q906" s="12" t="inlineStr"/>
      <c r="R906" s="12" t="inlineStr"/>
      <c r="S906" s="12" t="inlineStr"/>
      <c r="T906" s="12" t="inlineStr"/>
      <c r="U906" s="12" t="inlineStr"/>
      <c r="V906" s="12" t="inlineStr">
        <is>
          <t>WBS Code = 1.4.1</t>
        </is>
      </c>
      <c r="W906" s="12" t="inlineStr"/>
    </row>
    <row r="907" ht="49" customHeight="1">
      <c r="A907" s="12" t="inlineStr">
        <is>
          <t>1.4.1</t>
        </is>
      </c>
      <c r="B907" s="12" t="inlineStr">
        <is>
          <t>Vehicles and Depot - Fleet Supply</t>
        </is>
      </c>
      <c r="C907" s="12" t="inlineStr">
        <is>
          <t>Contractor Programme</t>
        </is>
      </c>
      <c r="D907" s="12" t="inlineStr">
        <is>
          <t>SCH-04-130</t>
        </is>
      </c>
      <c r="E907" s="12" t="inlineStr">
        <is>
          <t>Operations building: wheel-lathe installation - turnover</t>
        </is>
      </c>
      <c r="F907" s="12" t="inlineStr">
        <is>
          <t>ONE_TO_ONE</t>
        </is>
      </c>
      <c r="G907" s="12" t="inlineStr">
        <is>
          <t>APPROVED</t>
        </is>
      </c>
      <c r="H907" s="12" t="inlineStr">
        <is>
          <t>New</t>
        </is>
      </c>
      <c r="I907" s="12" t="inlineStr">
        <is>
          <t>Source assignment -- not individually reviewed</t>
        </is>
      </c>
      <c r="J907" s="12" t="inlineStr"/>
      <c r="K907" s="12" t="inlineStr">
        <is>
          <t>Source assignment</t>
        </is>
      </c>
      <c r="L907" s="12" t="inlineStr"/>
      <c r="M907" s="12" t="inlineStr">
        <is>
          <t>Initial</t>
        </is>
      </c>
      <c r="N907" s="12" t="inlineStr">
        <is>
          <t>Rev 0</t>
        </is>
      </c>
      <c r="O907" s="12" t="inlineStr">
        <is>
          <t>R670-v1</t>
        </is>
      </c>
      <c r="P907" s="12" t="inlineStr"/>
      <c r="Q907" s="12" t="inlineStr"/>
      <c r="R907" s="12" t="inlineStr"/>
      <c r="S907" s="12" t="inlineStr"/>
      <c r="T907" s="12" t="inlineStr"/>
      <c r="U907" s="12" t="inlineStr"/>
      <c r="V907" s="12" t="inlineStr">
        <is>
          <t>WBS Code = 1.4.1</t>
        </is>
      </c>
      <c r="W907" s="12" t="inlineStr"/>
    </row>
    <row r="908" ht="49" customHeight="1">
      <c r="A908" s="12" t="inlineStr">
        <is>
          <t>1.4.1</t>
        </is>
      </c>
      <c r="B908" s="12" t="inlineStr">
        <is>
          <t>Vehicles and Depot - Fleet Supply</t>
        </is>
      </c>
      <c r="C908" s="12" t="inlineStr">
        <is>
          <t>Contractor Programme</t>
        </is>
      </c>
      <c r="D908" s="12" t="inlineStr">
        <is>
          <t>SCH-04-131</t>
        </is>
      </c>
      <c r="E908" s="12" t="inlineStr">
        <is>
          <t>Test track: fleet software load - release</t>
        </is>
      </c>
      <c r="F908" s="12" t="inlineStr">
        <is>
          <t>ONE_TO_ONE</t>
        </is>
      </c>
      <c r="G908" s="12" t="inlineStr">
        <is>
          <t>APPROVED</t>
        </is>
      </c>
      <c r="H908" s="12" t="inlineStr">
        <is>
          <t>New</t>
        </is>
      </c>
      <c r="I908" s="12" t="inlineStr">
        <is>
          <t>Source assignment -- not individually reviewed</t>
        </is>
      </c>
      <c r="J908" s="12" t="inlineStr"/>
      <c r="K908" s="12" t="inlineStr">
        <is>
          <t>Source assignment</t>
        </is>
      </c>
      <c r="L908" s="12" t="inlineStr"/>
      <c r="M908" s="12" t="inlineStr">
        <is>
          <t>Initial</t>
        </is>
      </c>
      <c r="N908" s="12" t="inlineStr">
        <is>
          <t>Rev 0</t>
        </is>
      </c>
      <c r="O908" s="12" t="inlineStr">
        <is>
          <t>R671-v1</t>
        </is>
      </c>
      <c r="P908" s="12" t="inlineStr"/>
      <c r="Q908" s="12" t="inlineStr"/>
      <c r="R908" s="12" t="inlineStr"/>
      <c r="S908" s="12" t="inlineStr"/>
      <c r="T908" s="12" t="inlineStr"/>
      <c r="U908" s="12" t="inlineStr"/>
      <c r="V908" s="12" t="inlineStr">
        <is>
          <t>WBS Code = 1.4.1</t>
        </is>
      </c>
      <c r="W908" s="12" t="inlineStr"/>
    </row>
    <row r="909" ht="49" customHeight="1">
      <c r="A909" s="12" t="inlineStr">
        <is>
          <t>1.4.1</t>
        </is>
      </c>
      <c r="B909" s="12" t="inlineStr">
        <is>
          <t>Vehicles and Depot - Fleet Supply</t>
        </is>
      </c>
      <c r="C909" s="12" t="inlineStr">
        <is>
          <t>Contractor Programme</t>
        </is>
      </c>
      <c r="D909" s="12" t="inlineStr">
        <is>
          <t>SCH-04-133</t>
        </is>
      </c>
      <c r="E909" s="12" t="inlineStr">
        <is>
          <t>Maintenance shop: wash-plant commissioning - installation</t>
        </is>
      </c>
      <c r="F909" s="12" t="inlineStr">
        <is>
          <t>ONE_TO_ONE</t>
        </is>
      </c>
      <c r="G909" s="12" t="inlineStr">
        <is>
          <t>APPROVED</t>
        </is>
      </c>
      <c r="H909" s="12" t="inlineStr">
        <is>
          <t>New</t>
        </is>
      </c>
      <c r="I909" s="12" t="inlineStr">
        <is>
          <t>Source assignment -- not individually reviewed</t>
        </is>
      </c>
      <c r="J909" s="12" t="inlineStr"/>
      <c r="K909" s="12" t="inlineStr">
        <is>
          <t>Source assignment</t>
        </is>
      </c>
      <c r="L909" s="12" t="inlineStr"/>
      <c r="M909" s="12" t="inlineStr">
        <is>
          <t>Initial</t>
        </is>
      </c>
      <c r="N909" s="12" t="inlineStr">
        <is>
          <t>Rev 0</t>
        </is>
      </c>
      <c r="O909" s="12" t="inlineStr">
        <is>
          <t>R673-v1</t>
        </is>
      </c>
      <c r="P909" s="12" t="inlineStr"/>
      <c r="Q909" s="12" t="inlineStr"/>
      <c r="R909" s="12" t="inlineStr"/>
      <c r="S909" s="12" t="inlineStr"/>
      <c r="T909" s="12" t="inlineStr"/>
      <c r="U909" s="12" t="inlineStr"/>
      <c r="V909" s="12" t="inlineStr">
        <is>
          <t>WBS Code = 1.4.1</t>
        </is>
      </c>
      <c r="W909" s="12" t="inlineStr"/>
    </row>
    <row r="910" ht="49" customHeight="1">
      <c r="A910" s="12" t="inlineStr">
        <is>
          <t>1.4.1</t>
        </is>
      </c>
      <c r="B910" s="12" t="inlineStr">
        <is>
          <t>Vehicles and Depot - Fleet Supply</t>
        </is>
      </c>
      <c r="C910" s="12" t="inlineStr">
        <is>
          <t>Contractor Programme</t>
        </is>
      </c>
      <c r="D910" s="12" t="inlineStr">
        <is>
          <t>SCH-04-134</t>
        </is>
      </c>
      <c r="E910" s="12" t="inlineStr">
        <is>
          <t>Storage yard: maintenance-bay services - inspection</t>
        </is>
      </c>
      <c r="F910" s="12" t="inlineStr">
        <is>
          <t>ONE_TO_ONE</t>
        </is>
      </c>
      <c r="G910" s="12" t="inlineStr">
        <is>
          <t>APPROVED</t>
        </is>
      </c>
      <c r="H910" s="12" t="inlineStr">
        <is>
          <t>New</t>
        </is>
      </c>
      <c r="I910" s="12" t="inlineStr">
        <is>
          <t>Source assignment -- not individually reviewed</t>
        </is>
      </c>
      <c r="J910" s="12" t="inlineStr"/>
      <c r="K910" s="12" t="inlineStr">
        <is>
          <t>Source assignment</t>
        </is>
      </c>
      <c r="L910" s="12" t="inlineStr"/>
      <c r="M910" s="12" t="inlineStr">
        <is>
          <t>Initial</t>
        </is>
      </c>
      <c r="N910" s="12" t="inlineStr">
        <is>
          <t>Rev 0</t>
        </is>
      </c>
      <c r="O910" s="12" t="inlineStr">
        <is>
          <t>R674-v1</t>
        </is>
      </c>
      <c r="P910" s="12" t="inlineStr"/>
      <c r="Q910" s="12" t="inlineStr"/>
      <c r="R910" s="12" t="inlineStr"/>
      <c r="S910" s="12" t="inlineStr"/>
      <c r="T910" s="12" t="inlineStr"/>
      <c r="U910" s="12" t="inlineStr"/>
      <c r="V910" s="12" t="inlineStr">
        <is>
          <t>WBS Code = 1.4.1</t>
        </is>
      </c>
      <c r="W910" s="12" t="inlineStr"/>
    </row>
    <row r="911" ht="49" customHeight="1">
      <c r="A911" s="12" t="inlineStr">
        <is>
          <t>1.4.1</t>
        </is>
      </c>
      <c r="B911" s="12" t="inlineStr">
        <is>
          <t>Vehicles and Depot - Fleet Supply</t>
        </is>
      </c>
      <c r="C911" s="12" t="inlineStr">
        <is>
          <t>Contractor Programme</t>
        </is>
      </c>
      <c r="D911" s="12" t="inlineStr">
        <is>
          <t>SCH-04-136</t>
        </is>
      </c>
      <c r="E911" s="12" t="inlineStr">
        <is>
          <t>Test track: workshop crane installation - release</t>
        </is>
      </c>
      <c r="F911" s="12" t="inlineStr">
        <is>
          <t>ONE_TO_ONE</t>
        </is>
      </c>
      <c r="G911" s="12" t="inlineStr">
        <is>
          <t>APPROVED</t>
        </is>
      </c>
      <c r="H911" s="12" t="inlineStr">
        <is>
          <t>New</t>
        </is>
      </c>
      <c r="I911" s="12" t="inlineStr">
        <is>
          <t>Source assignment -- not individually reviewed</t>
        </is>
      </c>
      <c r="J911" s="12" t="inlineStr"/>
      <c r="K911" s="12" t="inlineStr">
        <is>
          <t>Source assignment</t>
        </is>
      </c>
      <c r="L911" s="12" t="inlineStr"/>
      <c r="M911" s="12" t="inlineStr">
        <is>
          <t>Initial</t>
        </is>
      </c>
      <c r="N911" s="12" t="inlineStr">
        <is>
          <t>Rev 0</t>
        </is>
      </c>
      <c r="O911" s="12" t="inlineStr">
        <is>
          <t>R676-v1</t>
        </is>
      </c>
      <c r="P911" s="12" t="inlineStr"/>
      <c r="Q911" s="12" t="inlineStr"/>
      <c r="R911" s="12" t="inlineStr"/>
      <c r="S911" s="12" t="inlineStr"/>
      <c r="T911" s="12" t="inlineStr"/>
      <c r="U911" s="12" t="inlineStr"/>
      <c r="V911" s="12" t="inlineStr">
        <is>
          <t>WBS Code = 1.4.1</t>
        </is>
      </c>
      <c r="W911" s="12" t="inlineStr"/>
    </row>
    <row r="912" ht="49" customHeight="1">
      <c r="A912" s="12" t="inlineStr">
        <is>
          <t>1.4.1</t>
        </is>
      </c>
      <c r="B912" s="12" t="inlineStr">
        <is>
          <t>Vehicles and Depot - Fleet Supply</t>
        </is>
      </c>
      <c r="C912" s="12" t="inlineStr">
        <is>
          <t>Contractor Programme</t>
        </is>
      </c>
      <c r="D912" s="12" t="inlineStr">
        <is>
          <t>SCH-04-137</t>
        </is>
      </c>
      <c r="E912" s="12" t="inlineStr">
        <is>
          <t>Receiving track: vehicle-to-depot interface check - field start</t>
        </is>
      </c>
      <c r="F912" s="12" t="inlineStr">
        <is>
          <t>ONE_TO_ONE</t>
        </is>
      </c>
      <c r="G912" s="12" t="inlineStr">
        <is>
          <t>APPROVED</t>
        </is>
      </c>
      <c r="H912" s="12" t="inlineStr">
        <is>
          <t>New</t>
        </is>
      </c>
      <c r="I912" s="12" t="inlineStr">
        <is>
          <t>Source assignment -- not individually reviewed</t>
        </is>
      </c>
      <c r="J912" s="12" t="inlineStr"/>
      <c r="K912" s="12" t="inlineStr">
        <is>
          <t>Source assignment</t>
        </is>
      </c>
      <c r="L912" s="12" t="inlineStr"/>
      <c r="M912" s="12" t="inlineStr">
        <is>
          <t>Initial</t>
        </is>
      </c>
      <c r="N912" s="12" t="inlineStr">
        <is>
          <t>Rev 0</t>
        </is>
      </c>
      <c r="O912" s="12" t="inlineStr">
        <is>
          <t>R677-v1</t>
        </is>
      </c>
      <c r="P912" s="12" t="inlineStr"/>
      <c r="Q912" s="12" t="inlineStr"/>
      <c r="R912" s="12" t="inlineStr"/>
      <c r="S912" s="12" t="inlineStr"/>
      <c r="T912" s="12" t="inlineStr"/>
      <c r="U912" s="12" t="inlineStr"/>
      <c r="V912" s="12" t="inlineStr">
        <is>
          <t>WBS Code = 1.4.1</t>
        </is>
      </c>
      <c r="W912" s="12" t="inlineStr"/>
    </row>
    <row r="913" ht="49" customHeight="1">
      <c r="A913" s="12" t="inlineStr">
        <is>
          <t>1.4.1</t>
        </is>
      </c>
      <c r="B913" s="12" t="inlineStr">
        <is>
          <t>Vehicles and Depot - Fleet Supply</t>
        </is>
      </c>
      <c r="C913" s="12" t="inlineStr">
        <is>
          <t>Contractor Programme</t>
        </is>
      </c>
      <c r="D913" s="12" t="inlineStr">
        <is>
          <t>SCH-04-139</t>
        </is>
      </c>
      <c r="E913" s="12" t="inlineStr">
        <is>
          <t>Storage yard: fleet software load - inspection</t>
        </is>
      </c>
      <c r="F913" s="12" t="inlineStr">
        <is>
          <t>ONE_TO_ONE</t>
        </is>
      </c>
      <c r="G913" s="12" t="inlineStr">
        <is>
          <t>APPROVED</t>
        </is>
      </c>
      <c r="H913" s="12" t="inlineStr">
        <is>
          <t>New</t>
        </is>
      </c>
      <c r="I913" s="12" t="inlineStr">
        <is>
          <t>Source assignment -- not individually reviewed</t>
        </is>
      </c>
      <c r="J913" s="12" t="inlineStr"/>
      <c r="K913" s="12" t="inlineStr">
        <is>
          <t>Source assignment</t>
        </is>
      </c>
      <c r="L913" s="12" t="inlineStr"/>
      <c r="M913" s="12" t="inlineStr">
        <is>
          <t>Initial</t>
        </is>
      </c>
      <c r="N913" s="12" t="inlineStr">
        <is>
          <t>Rev 0</t>
        </is>
      </c>
      <c r="O913" s="12" t="inlineStr">
        <is>
          <t>R679-v1</t>
        </is>
      </c>
      <c r="P913" s="12" t="inlineStr"/>
      <c r="Q913" s="12" t="inlineStr"/>
      <c r="R913" s="12" t="inlineStr"/>
      <c r="S913" s="12" t="inlineStr"/>
      <c r="T913" s="12" t="inlineStr"/>
      <c r="U913" s="12" t="inlineStr"/>
      <c r="V913" s="12" t="inlineStr">
        <is>
          <t>WBS Code = 1.4.1</t>
        </is>
      </c>
      <c r="W913" s="12" t="inlineStr"/>
    </row>
    <row r="914" ht="49" customHeight="1">
      <c r="A914" s="12" t="inlineStr">
        <is>
          <t>1.4.1</t>
        </is>
      </c>
      <c r="B914" s="12" t="inlineStr">
        <is>
          <t>Vehicles and Depot - Fleet Supply</t>
        </is>
      </c>
      <c r="C914" s="12" t="inlineStr">
        <is>
          <t>Contractor Programme</t>
        </is>
      </c>
      <c r="D914" s="12" t="inlineStr">
        <is>
          <t>SCH-04-140</t>
        </is>
      </c>
      <c r="E914" s="12" t="inlineStr">
        <is>
          <t>Operations building: vehicle delivery inspection - turnover</t>
        </is>
      </c>
      <c r="F914" s="12" t="inlineStr">
        <is>
          <t>ONE_TO_ONE</t>
        </is>
      </c>
      <c r="G914" s="12" t="inlineStr">
        <is>
          <t>APPROVED</t>
        </is>
      </c>
      <c r="H914" s="12" t="inlineStr">
        <is>
          <t>New</t>
        </is>
      </c>
      <c r="I914" s="12" t="inlineStr">
        <is>
          <t>Source assignment -- not individually reviewed</t>
        </is>
      </c>
      <c r="J914" s="12" t="inlineStr"/>
      <c r="K914" s="12" t="inlineStr">
        <is>
          <t>Source assignment</t>
        </is>
      </c>
      <c r="L914" s="12" t="inlineStr"/>
      <c r="M914" s="12" t="inlineStr">
        <is>
          <t>Initial</t>
        </is>
      </c>
      <c r="N914" s="12" t="inlineStr">
        <is>
          <t>Rev 0</t>
        </is>
      </c>
      <c r="O914" s="12" t="inlineStr">
        <is>
          <t>R680-v1</t>
        </is>
      </c>
      <c r="P914" s="12" t="inlineStr"/>
      <c r="Q914" s="12" t="inlineStr"/>
      <c r="R914" s="12" t="inlineStr"/>
      <c r="S914" s="12" t="inlineStr"/>
      <c r="T914" s="12" t="inlineStr"/>
      <c r="U914" s="12" t="inlineStr"/>
      <c r="V914" s="12" t="inlineStr">
        <is>
          <t>WBS Code = 1.4.1</t>
        </is>
      </c>
      <c r="W914" s="12" t="inlineStr"/>
    </row>
    <row r="915" ht="49" customHeight="1">
      <c r="A915" s="12" t="inlineStr">
        <is>
          <t>1.4.1</t>
        </is>
      </c>
      <c r="B915" s="12" t="inlineStr">
        <is>
          <t>Vehicles and Depot - Fleet Supply</t>
        </is>
      </c>
      <c r="C915" s="12" t="inlineStr">
        <is>
          <t>Contractor Programme</t>
        </is>
      </c>
      <c r="D915" s="12" t="inlineStr">
        <is>
          <t>SCH-04-142</t>
        </is>
      </c>
      <c r="E915" s="12" t="inlineStr">
        <is>
          <t>Receiving track: maintenance-bay services - field start</t>
        </is>
      </c>
      <c r="F915" s="12" t="inlineStr">
        <is>
          <t>ONE_TO_ONE</t>
        </is>
      </c>
      <c r="G915" s="12" t="inlineStr">
        <is>
          <t>APPROVED</t>
        </is>
      </c>
      <c r="H915" s="12" t="inlineStr">
        <is>
          <t>New</t>
        </is>
      </c>
      <c r="I915" s="12" t="inlineStr">
        <is>
          <t>Source assignment -- not individually reviewed</t>
        </is>
      </c>
      <c r="J915" s="12" t="inlineStr"/>
      <c r="K915" s="12" t="inlineStr">
        <is>
          <t>Source assignment</t>
        </is>
      </c>
      <c r="L915" s="12" t="inlineStr"/>
      <c r="M915" s="12" t="inlineStr">
        <is>
          <t>Initial</t>
        </is>
      </c>
      <c r="N915" s="12" t="inlineStr">
        <is>
          <t>Rev 0</t>
        </is>
      </c>
      <c r="O915" s="12" t="inlineStr">
        <is>
          <t>R682-v1</t>
        </is>
      </c>
      <c r="P915" s="12" t="inlineStr"/>
      <c r="Q915" s="12" t="inlineStr"/>
      <c r="R915" s="12" t="inlineStr"/>
      <c r="S915" s="12" t="inlineStr"/>
      <c r="T915" s="12" t="inlineStr"/>
      <c r="U915" s="12" t="inlineStr"/>
      <c r="V915" s="12" t="inlineStr">
        <is>
          <t>WBS Code = 1.4.1</t>
        </is>
      </c>
      <c r="W915" s="12" t="inlineStr"/>
    </row>
    <row r="916" ht="49" customHeight="1">
      <c r="A916" s="12" t="inlineStr">
        <is>
          <t>1.4.1</t>
        </is>
      </c>
      <c r="B916" s="12" t="inlineStr">
        <is>
          <t>Vehicles and Depot - Fleet Supply</t>
        </is>
      </c>
      <c r="C916" s="12" t="inlineStr">
        <is>
          <t>Contractor Programme</t>
        </is>
      </c>
      <c r="D916" s="12" t="inlineStr">
        <is>
          <t>SCH-04-143</t>
        </is>
      </c>
      <c r="E916" s="12" t="inlineStr">
        <is>
          <t>Maintenance shop: depot structural fit-out - installation</t>
        </is>
      </c>
      <c r="F916" s="12" t="inlineStr">
        <is>
          <t>ONE_TO_ONE</t>
        </is>
      </c>
      <c r="G916" s="12" t="inlineStr">
        <is>
          <t>APPROVED</t>
        </is>
      </c>
      <c r="H916" s="12" t="inlineStr">
        <is>
          <t>New</t>
        </is>
      </c>
      <c r="I916" s="12" t="inlineStr">
        <is>
          <t>Source assignment -- not individually reviewed</t>
        </is>
      </c>
      <c r="J916" s="12" t="inlineStr"/>
      <c r="K916" s="12" t="inlineStr">
        <is>
          <t>Source assignment</t>
        </is>
      </c>
      <c r="L916" s="12" t="inlineStr"/>
      <c r="M916" s="12" t="inlineStr">
        <is>
          <t>Initial</t>
        </is>
      </c>
      <c r="N916" s="12" t="inlineStr">
        <is>
          <t>Rev 0</t>
        </is>
      </c>
      <c r="O916" s="12" t="inlineStr">
        <is>
          <t>R683-v1</t>
        </is>
      </c>
      <c r="P916" s="12" t="inlineStr"/>
      <c r="Q916" s="12" t="inlineStr"/>
      <c r="R916" s="12" t="inlineStr"/>
      <c r="S916" s="12" t="inlineStr"/>
      <c r="T916" s="12" t="inlineStr"/>
      <c r="U916" s="12" t="inlineStr"/>
      <c r="V916" s="12" t="inlineStr">
        <is>
          <t>WBS Code = 1.4.1</t>
        </is>
      </c>
      <c r="W916" s="12" t="inlineStr"/>
    </row>
    <row r="917" ht="49" customHeight="1">
      <c r="A917" s="12" t="inlineStr">
        <is>
          <t>1.4.1</t>
        </is>
      </c>
      <c r="B917" s="12" t="inlineStr">
        <is>
          <t>Vehicles and Depot - Fleet Supply</t>
        </is>
      </c>
      <c r="C917" s="12" t="inlineStr">
        <is>
          <t>Contractor Programme</t>
        </is>
      </c>
      <c r="D917" s="12" t="inlineStr">
        <is>
          <t>SCH-04-145</t>
        </is>
      </c>
      <c r="E917" s="12" t="inlineStr">
        <is>
          <t>Operations building: vehicle-to-depot interface check - turnover</t>
        </is>
      </c>
      <c r="F917" s="12" t="inlineStr">
        <is>
          <t>ONE_TO_ONE</t>
        </is>
      </c>
      <c r="G917" s="12" t="inlineStr">
        <is>
          <t>APPROVED</t>
        </is>
      </c>
      <c r="H917" s="12" t="inlineStr">
        <is>
          <t>New</t>
        </is>
      </c>
      <c r="I917" s="12" t="inlineStr">
        <is>
          <t>Source assignment -- not individually reviewed</t>
        </is>
      </c>
      <c r="J917" s="12" t="inlineStr"/>
      <c r="K917" s="12" t="inlineStr">
        <is>
          <t>Source assignment</t>
        </is>
      </c>
      <c r="L917" s="12" t="inlineStr"/>
      <c r="M917" s="12" t="inlineStr">
        <is>
          <t>Initial</t>
        </is>
      </c>
      <c r="N917" s="12" t="inlineStr">
        <is>
          <t>Rev 0</t>
        </is>
      </c>
      <c r="O917" s="12" t="inlineStr">
        <is>
          <t>R685-v1</t>
        </is>
      </c>
      <c r="P917" s="12" t="inlineStr"/>
      <c r="Q917" s="12" t="inlineStr"/>
      <c r="R917" s="12" t="inlineStr"/>
      <c r="S917" s="12" t="inlineStr"/>
      <c r="T917" s="12" t="inlineStr"/>
      <c r="U917" s="12" t="inlineStr"/>
      <c r="V917" s="12" t="inlineStr">
        <is>
          <t>WBS Code = 1.4.1</t>
        </is>
      </c>
      <c r="W917" s="12" t="inlineStr"/>
    </row>
    <row r="918" ht="49" customHeight="1">
      <c r="A918" s="12" t="inlineStr">
        <is>
          <t>1.4.1</t>
        </is>
      </c>
      <c r="B918" s="12" t="inlineStr">
        <is>
          <t>Vehicles and Depot - Fleet Supply</t>
        </is>
      </c>
      <c r="C918" s="12" t="inlineStr">
        <is>
          <t>Contractor Programme</t>
        </is>
      </c>
      <c r="D918" s="12" t="inlineStr">
        <is>
          <t>SCH-04-146</t>
        </is>
      </c>
      <c r="E918" s="12" t="inlineStr">
        <is>
          <t>Test track: wheel-lathe installation - release</t>
        </is>
      </c>
      <c r="F918" s="12" t="inlineStr">
        <is>
          <t>ONE_TO_ONE</t>
        </is>
      </c>
      <c r="G918" s="12" t="inlineStr">
        <is>
          <t>APPROVED</t>
        </is>
      </c>
      <c r="H918" s="12" t="inlineStr">
        <is>
          <t>New</t>
        </is>
      </c>
      <c r="I918" s="12" t="inlineStr">
        <is>
          <t>Source assignment -- not individually reviewed</t>
        </is>
      </c>
      <c r="J918" s="12" t="inlineStr"/>
      <c r="K918" s="12" t="inlineStr">
        <is>
          <t>Source assignment</t>
        </is>
      </c>
      <c r="L918" s="12" t="inlineStr"/>
      <c r="M918" s="12" t="inlineStr">
        <is>
          <t>Initial</t>
        </is>
      </c>
      <c r="N918" s="12" t="inlineStr">
        <is>
          <t>Rev 0</t>
        </is>
      </c>
      <c r="O918" s="12" t="inlineStr">
        <is>
          <t>R686-v1</t>
        </is>
      </c>
      <c r="P918" s="12" t="inlineStr"/>
      <c r="Q918" s="12" t="inlineStr"/>
      <c r="R918" s="12" t="inlineStr"/>
      <c r="S918" s="12" t="inlineStr"/>
      <c r="T918" s="12" t="inlineStr"/>
      <c r="U918" s="12" t="inlineStr"/>
      <c r="V918" s="12" t="inlineStr">
        <is>
          <t>WBS Code = 1.4.1</t>
        </is>
      </c>
      <c r="W918" s="12" t="inlineStr"/>
    </row>
    <row r="919" ht="49" customHeight="1">
      <c r="A919" s="12" t="inlineStr">
        <is>
          <t>1.4.1</t>
        </is>
      </c>
      <c r="B919" s="12" t="inlineStr">
        <is>
          <t>Vehicles and Depot - Fleet Supply</t>
        </is>
      </c>
      <c r="C919" s="12" t="inlineStr">
        <is>
          <t>Contractor Programme</t>
        </is>
      </c>
      <c r="D919" s="12" t="inlineStr">
        <is>
          <t>SCH-04-148</t>
        </is>
      </c>
      <c r="E919" s="12" t="inlineStr">
        <is>
          <t>Maintenance shop: vehicle delivery inspection - installation</t>
        </is>
      </c>
      <c r="F919" s="12" t="inlineStr">
        <is>
          <t>ONE_TO_ONE</t>
        </is>
      </c>
      <c r="G919" s="12" t="inlineStr">
        <is>
          <t>APPROVED</t>
        </is>
      </c>
      <c r="H919" s="12" t="inlineStr">
        <is>
          <t>New</t>
        </is>
      </c>
      <c r="I919" s="12" t="inlineStr">
        <is>
          <t>Source assignment -- not individually reviewed</t>
        </is>
      </c>
      <c r="J919" s="12" t="inlineStr"/>
      <c r="K919" s="12" t="inlineStr">
        <is>
          <t>Source assignment</t>
        </is>
      </c>
      <c r="L919" s="12" t="inlineStr"/>
      <c r="M919" s="12" t="inlineStr">
        <is>
          <t>Initial</t>
        </is>
      </c>
      <c r="N919" s="12" t="inlineStr">
        <is>
          <t>Rev 0</t>
        </is>
      </c>
      <c r="O919" s="12" t="inlineStr">
        <is>
          <t>R688-v1</t>
        </is>
      </c>
      <c r="P919" s="12" t="inlineStr"/>
      <c r="Q919" s="12" t="inlineStr"/>
      <c r="R919" s="12" t="inlineStr"/>
      <c r="S919" s="12" t="inlineStr"/>
      <c r="T919" s="12" t="inlineStr"/>
      <c r="U919" s="12" t="inlineStr"/>
      <c r="V919" s="12" t="inlineStr">
        <is>
          <t>WBS Code = 1.4.1</t>
        </is>
      </c>
      <c r="W919" s="12" t="inlineStr"/>
    </row>
    <row r="920" ht="49" customHeight="1">
      <c r="A920" s="12" t="inlineStr">
        <is>
          <t>1.4.1</t>
        </is>
      </c>
      <c r="B920" s="12" t="inlineStr">
        <is>
          <t>Vehicles and Depot - Fleet Supply</t>
        </is>
      </c>
      <c r="C920" s="12" t="inlineStr">
        <is>
          <t>Contractor Programme</t>
        </is>
      </c>
      <c r="D920" s="12" t="inlineStr">
        <is>
          <t>SCH-04-149</t>
        </is>
      </c>
      <c r="E920" s="12" t="inlineStr">
        <is>
          <t>Storage yard: wash-plant commissioning - inspection</t>
        </is>
      </c>
      <c r="F920" s="12" t="inlineStr">
        <is>
          <t>ONE_TO_ONE</t>
        </is>
      </c>
      <c r="G920" s="12" t="inlineStr">
        <is>
          <t>APPROVED</t>
        </is>
      </c>
      <c r="H920" s="12" t="inlineStr">
        <is>
          <t>New</t>
        </is>
      </c>
      <c r="I920" s="12" t="inlineStr">
        <is>
          <t>Source assignment -- not individually reviewed</t>
        </is>
      </c>
      <c r="J920" s="12" t="inlineStr"/>
      <c r="K920" s="12" t="inlineStr">
        <is>
          <t>Source assignment</t>
        </is>
      </c>
      <c r="L920" s="12" t="inlineStr"/>
      <c r="M920" s="12" t="inlineStr">
        <is>
          <t>Initial</t>
        </is>
      </c>
      <c r="N920" s="12" t="inlineStr">
        <is>
          <t>Rev 0</t>
        </is>
      </c>
      <c r="O920" s="12" t="inlineStr">
        <is>
          <t>R689-v1</t>
        </is>
      </c>
      <c r="P920" s="12" t="inlineStr"/>
      <c r="Q920" s="12" t="inlineStr"/>
      <c r="R920" s="12" t="inlineStr"/>
      <c r="S920" s="12" t="inlineStr"/>
      <c r="T920" s="12" t="inlineStr"/>
      <c r="U920" s="12" t="inlineStr"/>
      <c r="V920" s="12" t="inlineStr">
        <is>
          <t>WBS Code = 1.4.1</t>
        </is>
      </c>
      <c r="W920" s="12" t="inlineStr"/>
    </row>
    <row r="921" ht="49" customHeight="1">
      <c r="A921" s="12" t="inlineStr">
        <is>
          <t>1.4.1</t>
        </is>
      </c>
      <c r="B921" s="12" t="inlineStr">
        <is>
          <t>Vehicles and Depot - Fleet Supply</t>
        </is>
      </c>
      <c r="C921" s="12" t="inlineStr">
        <is>
          <t>Contractor Programme</t>
        </is>
      </c>
      <c r="D921" s="12" t="inlineStr">
        <is>
          <t>SCH-04-151</t>
        </is>
      </c>
      <c r="E921" s="12" t="inlineStr">
        <is>
          <t>Test track: depot structural fit-out - release</t>
        </is>
      </c>
      <c r="F921" s="12" t="inlineStr">
        <is>
          <t>ONE_TO_ONE</t>
        </is>
      </c>
      <c r="G921" s="12" t="inlineStr">
        <is>
          <t>APPROVED</t>
        </is>
      </c>
      <c r="H921" s="12" t="inlineStr">
        <is>
          <t>New</t>
        </is>
      </c>
      <c r="I921" s="12" t="inlineStr">
        <is>
          <t>Source assignment -- not individually reviewed</t>
        </is>
      </c>
      <c r="J921" s="12" t="inlineStr"/>
      <c r="K921" s="12" t="inlineStr">
        <is>
          <t>Source assignment</t>
        </is>
      </c>
      <c r="L921" s="12" t="inlineStr"/>
      <c r="M921" s="12" t="inlineStr">
        <is>
          <t>Initial</t>
        </is>
      </c>
      <c r="N921" s="12" t="inlineStr">
        <is>
          <t>Rev 0</t>
        </is>
      </c>
      <c r="O921" s="12" t="inlineStr">
        <is>
          <t>R691-v1</t>
        </is>
      </c>
      <c r="P921" s="12" t="inlineStr"/>
      <c r="Q921" s="12" t="inlineStr"/>
      <c r="R921" s="12" t="inlineStr"/>
      <c r="S921" s="12" t="inlineStr"/>
      <c r="T921" s="12" t="inlineStr"/>
      <c r="U921" s="12" t="inlineStr"/>
      <c r="V921" s="12" t="inlineStr">
        <is>
          <t>WBS Code = 1.4.1</t>
        </is>
      </c>
      <c r="W921" s="12" t="inlineStr"/>
    </row>
    <row r="922" ht="49" customHeight="1">
      <c r="A922" s="12" t="inlineStr">
        <is>
          <t>1.4.1</t>
        </is>
      </c>
      <c r="B922" s="12" t="inlineStr">
        <is>
          <t>Vehicles and Depot - Fleet Supply</t>
        </is>
      </c>
      <c r="C922" s="12" t="inlineStr">
        <is>
          <t>Contractor Programme</t>
        </is>
      </c>
      <c r="D922" s="12" t="inlineStr">
        <is>
          <t>SCH-04-152</t>
        </is>
      </c>
      <c r="E922" s="12" t="inlineStr">
        <is>
          <t>Receiving track: workshop crane installation - field start</t>
        </is>
      </c>
      <c r="F922" s="12" t="inlineStr">
        <is>
          <t>ONE_TO_ONE</t>
        </is>
      </c>
      <c r="G922" s="12" t="inlineStr">
        <is>
          <t>APPROVED</t>
        </is>
      </c>
      <c r="H922" s="12" t="inlineStr">
        <is>
          <t>New</t>
        </is>
      </c>
      <c r="I922" s="12" t="inlineStr">
        <is>
          <t>Source assignment -- not individually reviewed</t>
        </is>
      </c>
      <c r="J922" s="12" t="inlineStr"/>
      <c r="K922" s="12" t="inlineStr">
        <is>
          <t>Source assignment</t>
        </is>
      </c>
      <c r="L922" s="12" t="inlineStr"/>
      <c r="M922" s="12" t="inlineStr">
        <is>
          <t>Initial</t>
        </is>
      </c>
      <c r="N922" s="12" t="inlineStr">
        <is>
          <t>Rev 0</t>
        </is>
      </c>
      <c r="O922" s="12" t="inlineStr">
        <is>
          <t>R692-v1</t>
        </is>
      </c>
      <c r="P922" s="12" t="inlineStr"/>
      <c r="Q922" s="12" t="inlineStr"/>
      <c r="R922" s="12" t="inlineStr"/>
      <c r="S922" s="12" t="inlineStr"/>
      <c r="T922" s="12" t="inlineStr"/>
      <c r="U922" s="12" t="inlineStr"/>
      <c r="V922" s="12" t="inlineStr">
        <is>
          <t>WBS Code = 1.4.1</t>
        </is>
      </c>
      <c r="W922" s="12" t="inlineStr"/>
    </row>
    <row r="923" ht="49" customHeight="1">
      <c r="A923" s="12" t="inlineStr">
        <is>
          <t>1.4.1</t>
        </is>
      </c>
      <c r="B923" s="12" t="inlineStr">
        <is>
          <t>Vehicles and Depot - Fleet Supply</t>
        </is>
      </c>
      <c r="C923" s="12" t="inlineStr">
        <is>
          <t>Contractor Programme</t>
        </is>
      </c>
      <c r="D923" s="12" t="inlineStr">
        <is>
          <t>SCH-04-154</t>
        </is>
      </c>
      <c r="E923" s="12" t="inlineStr">
        <is>
          <t>Storage yard: wheel-lathe installation - inspection</t>
        </is>
      </c>
      <c r="F923" s="12" t="inlineStr">
        <is>
          <t>ONE_TO_ONE</t>
        </is>
      </c>
      <c r="G923" s="12" t="inlineStr">
        <is>
          <t>APPROVED</t>
        </is>
      </c>
      <c r="H923" s="12" t="inlineStr">
        <is>
          <t>New</t>
        </is>
      </c>
      <c r="I923" s="12" t="inlineStr">
        <is>
          <t>Source assignment -- not individually reviewed</t>
        </is>
      </c>
      <c r="J923" s="12" t="inlineStr"/>
      <c r="K923" s="12" t="inlineStr">
        <is>
          <t>Source assignment</t>
        </is>
      </c>
      <c r="L923" s="12" t="inlineStr"/>
      <c r="M923" s="12" t="inlineStr">
        <is>
          <t>Initial</t>
        </is>
      </c>
      <c r="N923" s="12" t="inlineStr">
        <is>
          <t>Rev 0</t>
        </is>
      </c>
      <c r="O923" s="12" t="inlineStr">
        <is>
          <t>R694-v1</t>
        </is>
      </c>
      <c r="P923" s="12" t="inlineStr"/>
      <c r="Q923" s="12" t="inlineStr"/>
      <c r="R923" s="12" t="inlineStr"/>
      <c r="S923" s="12" t="inlineStr"/>
      <c r="T923" s="12" t="inlineStr"/>
      <c r="U923" s="12" t="inlineStr"/>
      <c r="V923" s="12" t="inlineStr">
        <is>
          <t>WBS Code = 1.4.1</t>
        </is>
      </c>
      <c r="W923" s="12" t="inlineStr"/>
    </row>
    <row r="924" ht="49" customHeight="1">
      <c r="A924" s="12" t="inlineStr">
        <is>
          <t>1.4.1</t>
        </is>
      </c>
      <c r="B924" s="12" t="inlineStr">
        <is>
          <t>Vehicles and Depot - Fleet Supply</t>
        </is>
      </c>
      <c r="C924" s="12" t="inlineStr">
        <is>
          <t>Contractor Programme</t>
        </is>
      </c>
      <c r="D924" s="12" t="inlineStr">
        <is>
          <t>SCH-04-155</t>
        </is>
      </c>
      <c r="E924" s="12" t="inlineStr">
        <is>
          <t>Operations building: fleet software load - turnover</t>
        </is>
      </c>
      <c r="F924" s="12" t="inlineStr">
        <is>
          <t>ONE_TO_ONE</t>
        </is>
      </c>
      <c r="G924" s="12" t="inlineStr">
        <is>
          <t>APPROVED</t>
        </is>
      </c>
      <c r="H924" s="12" t="inlineStr">
        <is>
          <t>New</t>
        </is>
      </c>
      <c r="I924" s="12" t="inlineStr">
        <is>
          <t>Source assignment -- not individually reviewed</t>
        </is>
      </c>
      <c r="J924" s="12" t="inlineStr"/>
      <c r="K924" s="12" t="inlineStr">
        <is>
          <t>Source assignment</t>
        </is>
      </c>
      <c r="L924" s="12" t="inlineStr"/>
      <c r="M924" s="12" t="inlineStr">
        <is>
          <t>Initial</t>
        </is>
      </c>
      <c r="N924" s="12" t="inlineStr">
        <is>
          <t>Rev 0</t>
        </is>
      </c>
      <c r="O924" s="12" t="inlineStr">
        <is>
          <t>R695-v1</t>
        </is>
      </c>
      <c r="P924" s="12" t="inlineStr"/>
      <c r="Q924" s="12" t="inlineStr"/>
      <c r="R924" s="12" t="inlineStr"/>
      <c r="S924" s="12" t="inlineStr"/>
      <c r="T924" s="12" t="inlineStr"/>
      <c r="U924" s="12" t="inlineStr"/>
      <c r="V924" s="12" t="inlineStr">
        <is>
          <t>WBS Code = 1.4.1</t>
        </is>
      </c>
      <c r="W924" s="12" t="inlineStr"/>
    </row>
    <row r="925" ht="49" customHeight="1">
      <c r="A925" s="12" t="inlineStr">
        <is>
          <t>1.4.1</t>
        </is>
      </c>
      <c r="B925" s="12" t="inlineStr">
        <is>
          <t>Vehicles and Depot - Fleet Supply</t>
        </is>
      </c>
      <c r="C925" s="12" t="inlineStr">
        <is>
          <t>Contractor Programme</t>
        </is>
      </c>
      <c r="D925" s="12" t="inlineStr">
        <is>
          <t>SCH-04-157</t>
        </is>
      </c>
      <c r="E925" s="12" t="inlineStr">
        <is>
          <t>Receiving track: wash-plant commissioning - field start</t>
        </is>
      </c>
      <c r="F925" s="12" t="inlineStr">
        <is>
          <t>ONE_TO_ONE</t>
        </is>
      </c>
      <c r="G925" s="12" t="inlineStr">
        <is>
          <t>APPROVED</t>
        </is>
      </c>
      <c r="H925" s="12" t="inlineStr">
        <is>
          <t>New</t>
        </is>
      </c>
      <c r="I925" s="12" t="inlineStr">
        <is>
          <t>Source assignment -- not individually reviewed</t>
        </is>
      </c>
      <c r="J925" s="12" t="inlineStr"/>
      <c r="K925" s="12" t="inlineStr">
        <is>
          <t>Source assignment</t>
        </is>
      </c>
      <c r="L925" s="12" t="inlineStr"/>
      <c r="M925" s="12" t="inlineStr">
        <is>
          <t>Initial</t>
        </is>
      </c>
      <c r="N925" s="12" t="inlineStr">
        <is>
          <t>Rev 0</t>
        </is>
      </c>
      <c r="O925" s="12" t="inlineStr">
        <is>
          <t>R697-v1</t>
        </is>
      </c>
      <c r="P925" s="12" t="inlineStr"/>
      <c r="Q925" s="12" t="inlineStr"/>
      <c r="R925" s="12" t="inlineStr"/>
      <c r="S925" s="12" t="inlineStr"/>
      <c r="T925" s="12" t="inlineStr"/>
      <c r="U925" s="12" t="inlineStr"/>
      <c r="V925" s="12" t="inlineStr">
        <is>
          <t>WBS Code = 1.4.1</t>
        </is>
      </c>
      <c r="W925" s="12" t="inlineStr"/>
    </row>
    <row r="926" ht="49" customHeight="1">
      <c r="A926" s="12" t="inlineStr">
        <is>
          <t>1.4.1</t>
        </is>
      </c>
      <c r="B926" s="12" t="inlineStr">
        <is>
          <t>Vehicles and Depot - Fleet Supply</t>
        </is>
      </c>
      <c r="C926" s="12" t="inlineStr">
        <is>
          <t>Contractor Programme</t>
        </is>
      </c>
      <c r="D926" s="12" t="inlineStr">
        <is>
          <t>SCH-04-158</t>
        </is>
      </c>
      <c r="E926" s="12" t="inlineStr">
        <is>
          <t>Maintenance shop: maintenance-bay services - installation</t>
        </is>
      </c>
      <c r="F926" s="12" t="inlineStr">
        <is>
          <t>ONE_TO_ONE</t>
        </is>
      </c>
      <c r="G926" s="12" t="inlineStr">
        <is>
          <t>APPROVED</t>
        </is>
      </c>
      <c r="H926" s="12" t="inlineStr">
        <is>
          <t>New</t>
        </is>
      </c>
      <c r="I926" s="12" t="inlineStr">
        <is>
          <t>Source assignment -- not individually reviewed</t>
        </is>
      </c>
      <c r="J926" s="12" t="inlineStr"/>
      <c r="K926" s="12" t="inlineStr">
        <is>
          <t>Source assignment</t>
        </is>
      </c>
      <c r="L926" s="12" t="inlineStr"/>
      <c r="M926" s="12" t="inlineStr">
        <is>
          <t>Initial</t>
        </is>
      </c>
      <c r="N926" s="12" t="inlineStr">
        <is>
          <t>Rev 0</t>
        </is>
      </c>
      <c r="O926" s="12" t="inlineStr">
        <is>
          <t>R698-v1</t>
        </is>
      </c>
      <c r="P926" s="12" t="inlineStr"/>
      <c r="Q926" s="12" t="inlineStr"/>
      <c r="R926" s="12" t="inlineStr"/>
      <c r="S926" s="12" t="inlineStr"/>
      <c r="T926" s="12" t="inlineStr"/>
      <c r="U926" s="12" t="inlineStr"/>
      <c r="V926" s="12" t="inlineStr">
        <is>
          <t>WBS Code = 1.4.1</t>
        </is>
      </c>
      <c r="W926" s="12" t="inlineStr"/>
    </row>
    <row r="927" ht="49" customHeight="1">
      <c r="A927" s="12" t="inlineStr">
        <is>
          <t>1.4.1</t>
        </is>
      </c>
      <c r="B927" s="12" t="inlineStr">
        <is>
          <t>Vehicles and Depot - Fleet Supply</t>
        </is>
      </c>
      <c r="C927" s="12" t="inlineStr">
        <is>
          <t>Contractor Programme</t>
        </is>
      </c>
      <c r="D927" s="12" t="inlineStr">
        <is>
          <t>SCH-04-160</t>
        </is>
      </c>
      <c r="E927" s="12" t="inlineStr">
        <is>
          <t>Operations building: workshop crane installation - turnover</t>
        </is>
      </c>
      <c r="F927" s="12" t="inlineStr">
        <is>
          <t>ONE_TO_ONE</t>
        </is>
      </c>
      <c r="G927" s="12" t="inlineStr">
        <is>
          <t>APPROVED</t>
        </is>
      </c>
      <c r="H927" s="12" t="inlineStr">
        <is>
          <t>New</t>
        </is>
      </c>
      <c r="I927" s="12" t="inlineStr">
        <is>
          <t>Source assignment -- not individually reviewed</t>
        </is>
      </c>
      <c r="J927" s="12" t="inlineStr"/>
      <c r="K927" s="12" t="inlineStr">
        <is>
          <t>Source assignment</t>
        </is>
      </c>
      <c r="L927" s="12" t="inlineStr"/>
      <c r="M927" s="12" t="inlineStr">
        <is>
          <t>Initial</t>
        </is>
      </c>
      <c r="N927" s="12" t="inlineStr">
        <is>
          <t>Rev 0</t>
        </is>
      </c>
      <c r="O927" s="12" t="inlineStr">
        <is>
          <t>R700-v1</t>
        </is>
      </c>
      <c r="P927" s="12" t="inlineStr"/>
      <c r="Q927" s="12" t="inlineStr"/>
      <c r="R927" s="12" t="inlineStr"/>
      <c r="S927" s="12" t="inlineStr"/>
      <c r="T927" s="12" t="inlineStr"/>
      <c r="U927" s="12" t="inlineStr"/>
      <c r="V927" s="12" t="inlineStr">
        <is>
          <t>WBS Code = 1.4.1</t>
        </is>
      </c>
      <c r="W927" s="12" t="inlineStr"/>
    </row>
    <row r="928" ht="49" customHeight="1">
      <c r="A928" s="12" t="inlineStr">
        <is>
          <t>1.4.1</t>
        </is>
      </c>
      <c r="B928" s="12" t="inlineStr">
        <is>
          <t>Vehicles and Depot - Fleet Supply</t>
        </is>
      </c>
      <c r="C928" s="12" t="inlineStr">
        <is>
          <t>Contractor Programme</t>
        </is>
      </c>
      <c r="D928" s="12" t="inlineStr">
        <is>
          <t>SCH-04-161</t>
        </is>
      </c>
      <c r="E928" s="12" t="inlineStr">
        <is>
          <t>Test track: vehicle-to-depot interface check - release</t>
        </is>
      </c>
      <c r="F928" s="12" t="inlineStr">
        <is>
          <t>ONE_TO_ONE</t>
        </is>
      </c>
      <c r="G928" s="12" t="inlineStr">
        <is>
          <t>APPROVED</t>
        </is>
      </c>
      <c r="H928" s="12" t="inlineStr">
        <is>
          <t>New</t>
        </is>
      </c>
      <c r="I928" s="12" t="inlineStr">
        <is>
          <t>Source assignment -- not individually reviewed</t>
        </is>
      </c>
      <c r="J928" s="12" t="inlineStr"/>
      <c r="K928" s="12" t="inlineStr">
        <is>
          <t>Source assignment</t>
        </is>
      </c>
      <c r="L928" s="12" t="inlineStr"/>
      <c r="M928" s="12" t="inlineStr">
        <is>
          <t>Initial</t>
        </is>
      </c>
      <c r="N928" s="12" t="inlineStr">
        <is>
          <t>Rev 0</t>
        </is>
      </c>
      <c r="O928" s="12" t="inlineStr">
        <is>
          <t>R701-v1</t>
        </is>
      </c>
      <c r="P928" s="12" t="inlineStr"/>
      <c r="Q928" s="12" t="inlineStr"/>
      <c r="R928" s="12" t="inlineStr"/>
      <c r="S928" s="12" t="inlineStr"/>
      <c r="T928" s="12" t="inlineStr"/>
      <c r="U928" s="12" t="inlineStr"/>
      <c r="V928" s="12" t="inlineStr">
        <is>
          <t>WBS Code = 1.4.1</t>
        </is>
      </c>
      <c r="W928" s="12" t="inlineStr"/>
    </row>
    <row r="929" ht="49" customHeight="1">
      <c r="A929" s="12" t="inlineStr">
        <is>
          <t>1.4.1</t>
        </is>
      </c>
      <c r="B929" s="12" t="inlineStr">
        <is>
          <t>Vehicles and Depot - Fleet Supply</t>
        </is>
      </c>
      <c r="C929" s="12" t="inlineStr">
        <is>
          <t>Contractor Programme</t>
        </is>
      </c>
      <c r="D929" s="12" t="inlineStr">
        <is>
          <t>SCH-04-163</t>
        </is>
      </c>
      <c r="E929" s="12" t="inlineStr">
        <is>
          <t>Maintenance shop: fleet software load - installation</t>
        </is>
      </c>
      <c r="F929" s="12" t="inlineStr">
        <is>
          <t>ONE_TO_ONE</t>
        </is>
      </c>
      <c r="G929" s="12" t="inlineStr">
        <is>
          <t>APPROVED</t>
        </is>
      </c>
      <c r="H929" s="12" t="inlineStr">
        <is>
          <t>New</t>
        </is>
      </c>
      <c r="I929" s="12" t="inlineStr">
        <is>
          <t>Source assignment -- not individually reviewed</t>
        </is>
      </c>
      <c r="J929" s="12" t="inlineStr"/>
      <c r="K929" s="12" t="inlineStr">
        <is>
          <t>Source assignment</t>
        </is>
      </c>
      <c r="L929" s="12" t="inlineStr"/>
      <c r="M929" s="12" t="inlineStr">
        <is>
          <t>Initial</t>
        </is>
      </c>
      <c r="N929" s="12" t="inlineStr">
        <is>
          <t>Rev 0</t>
        </is>
      </c>
      <c r="O929" s="12" t="inlineStr">
        <is>
          <t>R703-v1</t>
        </is>
      </c>
      <c r="P929" s="12" t="inlineStr"/>
      <c r="Q929" s="12" t="inlineStr"/>
      <c r="R929" s="12" t="inlineStr"/>
      <c r="S929" s="12" t="inlineStr"/>
      <c r="T929" s="12" t="inlineStr"/>
      <c r="U929" s="12" t="inlineStr"/>
      <c r="V929" s="12" t="inlineStr">
        <is>
          <t>WBS Code = 1.4.1</t>
        </is>
      </c>
      <c r="W929" s="12" t="inlineStr"/>
    </row>
    <row r="930" ht="49" customHeight="1">
      <c r="A930" s="12" t="inlineStr">
        <is>
          <t>1.4.1</t>
        </is>
      </c>
      <c r="B930" s="12" t="inlineStr">
        <is>
          <t>Vehicles and Depot - Fleet Supply</t>
        </is>
      </c>
      <c r="C930" s="12" t="inlineStr">
        <is>
          <t>Contractor Programme</t>
        </is>
      </c>
      <c r="D930" s="12" t="inlineStr">
        <is>
          <t>SCH-04-164</t>
        </is>
      </c>
      <c r="E930" s="12" t="inlineStr">
        <is>
          <t>Storage yard: vehicle delivery inspection - inspection</t>
        </is>
      </c>
      <c r="F930" s="12" t="inlineStr">
        <is>
          <t>ONE_TO_ONE</t>
        </is>
      </c>
      <c r="G930" s="12" t="inlineStr">
        <is>
          <t>APPROVED</t>
        </is>
      </c>
      <c r="H930" s="12" t="inlineStr">
        <is>
          <t>New</t>
        </is>
      </c>
      <c r="I930" s="12" t="inlineStr">
        <is>
          <t>Source assignment -- not individually reviewed</t>
        </is>
      </c>
      <c r="J930" s="12" t="inlineStr"/>
      <c r="K930" s="12" t="inlineStr">
        <is>
          <t>Source assignment</t>
        </is>
      </c>
      <c r="L930" s="12" t="inlineStr"/>
      <c r="M930" s="12" t="inlineStr">
        <is>
          <t>Initial</t>
        </is>
      </c>
      <c r="N930" s="12" t="inlineStr">
        <is>
          <t>Rev 0</t>
        </is>
      </c>
      <c r="O930" s="12" t="inlineStr">
        <is>
          <t>R704-v1</t>
        </is>
      </c>
      <c r="P930" s="12" t="inlineStr"/>
      <c r="Q930" s="12" t="inlineStr"/>
      <c r="R930" s="12" t="inlineStr"/>
      <c r="S930" s="12" t="inlineStr"/>
      <c r="T930" s="12" t="inlineStr"/>
      <c r="U930" s="12" t="inlineStr"/>
      <c r="V930" s="12" t="inlineStr">
        <is>
          <t>WBS Code = 1.4.1</t>
        </is>
      </c>
      <c r="W930" s="12" t="inlineStr"/>
    </row>
    <row r="931" ht="49" customHeight="1">
      <c r="A931" s="12" t="inlineStr">
        <is>
          <t>1.4.1</t>
        </is>
      </c>
      <c r="B931" s="12" t="inlineStr">
        <is>
          <t>Vehicles and Depot - Fleet Supply</t>
        </is>
      </c>
      <c r="C931" s="12" t="inlineStr">
        <is>
          <t>Contractor Programme</t>
        </is>
      </c>
      <c r="D931" s="12" t="inlineStr">
        <is>
          <t>SCH-04-166</t>
        </is>
      </c>
      <c r="E931" s="12" t="inlineStr">
        <is>
          <t>Test track: maintenance-bay services - release</t>
        </is>
      </c>
      <c r="F931" s="12" t="inlineStr">
        <is>
          <t>ONE_TO_ONE</t>
        </is>
      </c>
      <c r="G931" s="12" t="inlineStr">
        <is>
          <t>APPROVED</t>
        </is>
      </c>
      <c r="H931" s="12" t="inlineStr">
        <is>
          <t>New</t>
        </is>
      </c>
      <c r="I931" s="12" t="inlineStr">
        <is>
          <t>Source assignment -- not individually reviewed</t>
        </is>
      </c>
      <c r="J931" s="12" t="inlineStr"/>
      <c r="K931" s="12" t="inlineStr">
        <is>
          <t>Source assignment</t>
        </is>
      </c>
      <c r="L931" s="12" t="inlineStr"/>
      <c r="M931" s="12" t="inlineStr">
        <is>
          <t>Initial</t>
        </is>
      </c>
      <c r="N931" s="12" t="inlineStr">
        <is>
          <t>Rev 0</t>
        </is>
      </c>
      <c r="O931" s="12" t="inlineStr">
        <is>
          <t>R706-v1</t>
        </is>
      </c>
      <c r="P931" s="12" t="inlineStr"/>
      <c r="Q931" s="12" t="inlineStr"/>
      <c r="R931" s="12" t="inlineStr"/>
      <c r="S931" s="12" t="inlineStr"/>
      <c r="T931" s="12" t="inlineStr"/>
      <c r="U931" s="12" t="inlineStr"/>
      <c r="V931" s="12" t="inlineStr">
        <is>
          <t>WBS Code = 1.4.1</t>
        </is>
      </c>
      <c r="W931" s="12" t="inlineStr"/>
    </row>
    <row r="932" ht="49" customHeight="1">
      <c r="A932" s="12" t="inlineStr">
        <is>
          <t>1.4.1</t>
        </is>
      </c>
      <c r="B932" s="12" t="inlineStr">
        <is>
          <t>Vehicles and Depot - Fleet Supply</t>
        </is>
      </c>
      <c r="C932" s="12" t="inlineStr">
        <is>
          <t>Contractor Programme</t>
        </is>
      </c>
      <c r="D932" s="12" t="inlineStr">
        <is>
          <t>SCH-04-167</t>
        </is>
      </c>
      <c r="E932" s="12" t="inlineStr">
        <is>
          <t>Receiving track: depot structural fit-out - field start</t>
        </is>
      </c>
      <c r="F932" s="12" t="inlineStr">
        <is>
          <t>ONE_TO_ONE</t>
        </is>
      </c>
      <c r="G932" s="12" t="inlineStr">
        <is>
          <t>APPROVED</t>
        </is>
      </c>
      <c r="H932" s="12" t="inlineStr">
        <is>
          <t>New</t>
        </is>
      </c>
      <c r="I932" s="12" t="inlineStr">
        <is>
          <t>Source assignment -- not individually reviewed</t>
        </is>
      </c>
      <c r="J932" s="12" t="inlineStr"/>
      <c r="K932" s="12" t="inlineStr">
        <is>
          <t>Source assignment</t>
        </is>
      </c>
      <c r="L932" s="12" t="inlineStr"/>
      <c r="M932" s="12" t="inlineStr">
        <is>
          <t>Initial</t>
        </is>
      </c>
      <c r="N932" s="12" t="inlineStr">
        <is>
          <t>Rev 0</t>
        </is>
      </c>
      <c r="O932" s="12" t="inlineStr">
        <is>
          <t>R707-v1</t>
        </is>
      </c>
      <c r="P932" s="12" t="inlineStr"/>
      <c r="Q932" s="12" t="inlineStr"/>
      <c r="R932" s="12" t="inlineStr"/>
      <c r="S932" s="12" t="inlineStr"/>
      <c r="T932" s="12" t="inlineStr"/>
      <c r="U932" s="12" t="inlineStr"/>
      <c r="V932" s="12" t="inlineStr">
        <is>
          <t>WBS Code = 1.4.1</t>
        </is>
      </c>
      <c r="W932" s="12" t="inlineStr"/>
    </row>
    <row r="933" ht="49" customHeight="1">
      <c r="A933" s="12" t="inlineStr">
        <is>
          <t>1.4.1</t>
        </is>
      </c>
      <c r="B933" s="12" t="inlineStr">
        <is>
          <t>Vehicles and Depot - Fleet Supply</t>
        </is>
      </c>
      <c r="C933" s="12" t="inlineStr">
        <is>
          <t>Contractor Programme</t>
        </is>
      </c>
      <c r="D933" s="12" t="inlineStr">
        <is>
          <t>SCH-04-169</t>
        </is>
      </c>
      <c r="E933" s="12" t="inlineStr">
        <is>
          <t>Storage yard: vehicle-to-depot interface check - inspection</t>
        </is>
      </c>
      <c r="F933" s="12" t="inlineStr">
        <is>
          <t>ONE_TO_ONE</t>
        </is>
      </c>
      <c r="G933" s="12" t="inlineStr">
        <is>
          <t>APPROVED</t>
        </is>
      </c>
      <c r="H933" s="12" t="inlineStr">
        <is>
          <t>New</t>
        </is>
      </c>
      <c r="I933" s="12" t="inlineStr">
        <is>
          <t>Source assignment -- not individually reviewed</t>
        </is>
      </c>
      <c r="J933" s="12" t="inlineStr"/>
      <c r="K933" s="12" t="inlineStr">
        <is>
          <t>Source assignment</t>
        </is>
      </c>
      <c r="L933" s="12" t="inlineStr"/>
      <c r="M933" s="12" t="inlineStr">
        <is>
          <t>Initial</t>
        </is>
      </c>
      <c r="N933" s="12" t="inlineStr">
        <is>
          <t>Rev 0</t>
        </is>
      </c>
      <c r="O933" s="12" t="inlineStr">
        <is>
          <t>R709-v1</t>
        </is>
      </c>
      <c r="P933" s="12" t="inlineStr"/>
      <c r="Q933" s="12" t="inlineStr"/>
      <c r="R933" s="12" t="inlineStr"/>
      <c r="S933" s="12" t="inlineStr"/>
      <c r="T933" s="12" t="inlineStr"/>
      <c r="U933" s="12" t="inlineStr"/>
      <c r="V933" s="12" t="inlineStr">
        <is>
          <t>WBS Code = 1.4.1</t>
        </is>
      </c>
      <c r="W933" s="12" t="inlineStr"/>
    </row>
    <row r="934" ht="49" customHeight="1">
      <c r="A934" s="12" t="inlineStr">
        <is>
          <t>1.4.1</t>
        </is>
      </c>
      <c r="B934" s="12" t="inlineStr">
        <is>
          <t>Vehicles and Depot - Fleet Supply</t>
        </is>
      </c>
      <c r="C934" s="12" t="inlineStr">
        <is>
          <t>Contractor Programme</t>
        </is>
      </c>
      <c r="D934" s="12" t="inlineStr">
        <is>
          <t>SCH-04-170</t>
        </is>
      </c>
      <c r="E934" s="12" t="inlineStr">
        <is>
          <t>Operations building: wheel-lathe installation - turnover</t>
        </is>
      </c>
      <c r="F934" s="12" t="inlineStr">
        <is>
          <t>ONE_TO_ONE</t>
        </is>
      </c>
      <c r="G934" s="12" t="inlineStr">
        <is>
          <t>APPROVED</t>
        </is>
      </c>
      <c r="H934" s="12" t="inlineStr">
        <is>
          <t>New</t>
        </is>
      </c>
      <c r="I934" s="12" t="inlineStr">
        <is>
          <t>Source assignment -- not individually reviewed</t>
        </is>
      </c>
      <c r="J934" s="12" t="inlineStr"/>
      <c r="K934" s="12" t="inlineStr">
        <is>
          <t>Source assignment</t>
        </is>
      </c>
      <c r="L934" s="12" t="inlineStr"/>
      <c r="M934" s="12" t="inlineStr">
        <is>
          <t>Initial</t>
        </is>
      </c>
      <c r="N934" s="12" t="inlineStr">
        <is>
          <t>Rev 0</t>
        </is>
      </c>
      <c r="O934" s="12" t="inlineStr">
        <is>
          <t>R710-v1</t>
        </is>
      </c>
      <c r="P934" s="12" t="inlineStr"/>
      <c r="Q934" s="12" t="inlineStr"/>
      <c r="R934" s="12" t="inlineStr"/>
      <c r="S934" s="12" t="inlineStr"/>
      <c r="T934" s="12" t="inlineStr"/>
      <c r="U934" s="12" t="inlineStr"/>
      <c r="V934" s="12" t="inlineStr">
        <is>
          <t>WBS Code = 1.4.1</t>
        </is>
      </c>
      <c r="W934" s="12" t="inlineStr"/>
    </row>
    <row r="935" ht="49" customHeight="1">
      <c r="A935" s="12" t="inlineStr">
        <is>
          <t>1.4.1</t>
        </is>
      </c>
      <c r="B935" s="12" t="inlineStr">
        <is>
          <t>Vehicles and Depot - Fleet Supply</t>
        </is>
      </c>
      <c r="C935" s="12" t="inlineStr">
        <is>
          <t>Contractor Programme</t>
        </is>
      </c>
      <c r="D935" s="12" t="inlineStr">
        <is>
          <t>SCH-04-172</t>
        </is>
      </c>
      <c r="E935" s="12" t="inlineStr">
        <is>
          <t>Receiving track: vehicle delivery inspection - field start</t>
        </is>
      </c>
      <c r="F935" s="12" t="inlineStr">
        <is>
          <t>ONE_TO_ONE</t>
        </is>
      </c>
      <c r="G935" s="12" t="inlineStr">
        <is>
          <t>APPROVED</t>
        </is>
      </c>
      <c r="H935" s="12" t="inlineStr">
        <is>
          <t>New</t>
        </is>
      </c>
      <c r="I935" s="12" t="inlineStr">
        <is>
          <t>Source assignment -- not individually reviewed</t>
        </is>
      </c>
      <c r="J935" s="12" t="inlineStr"/>
      <c r="K935" s="12" t="inlineStr">
        <is>
          <t>Source assignment</t>
        </is>
      </c>
      <c r="L935" s="12" t="inlineStr"/>
      <c r="M935" s="12" t="inlineStr">
        <is>
          <t>Initial</t>
        </is>
      </c>
      <c r="N935" s="12" t="inlineStr">
        <is>
          <t>Rev 0</t>
        </is>
      </c>
      <c r="O935" s="12" t="inlineStr">
        <is>
          <t>R712-v1</t>
        </is>
      </c>
      <c r="P935" s="12" t="inlineStr"/>
      <c r="Q935" s="12" t="inlineStr"/>
      <c r="R935" s="12" t="inlineStr"/>
      <c r="S935" s="12" t="inlineStr"/>
      <c r="T935" s="12" t="inlineStr"/>
      <c r="U935" s="12" t="inlineStr"/>
      <c r="V935" s="12" t="inlineStr">
        <is>
          <t>WBS Code = 1.4.1</t>
        </is>
      </c>
      <c r="W935" s="12" t="inlineStr"/>
    </row>
    <row r="936" ht="49" customHeight="1">
      <c r="A936" s="12" t="inlineStr">
        <is>
          <t>1.4.1</t>
        </is>
      </c>
      <c r="B936" s="12" t="inlineStr">
        <is>
          <t>Vehicles and Depot - Fleet Supply</t>
        </is>
      </c>
      <c r="C936" s="12" t="inlineStr">
        <is>
          <t>Contractor Programme</t>
        </is>
      </c>
      <c r="D936" s="12" t="inlineStr">
        <is>
          <t>SCH-04-173</t>
        </is>
      </c>
      <c r="E936" s="12" t="inlineStr">
        <is>
          <t>Maintenance shop: wash-plant commissioning - installation</t>
        </is>
      </c>
      <c r="F936" s="12" t="inlineStr">
        <is>
          <t>ONE_TO_ONE</t>
        </is>
      </c>
      <c r="G936" s="12" t="inlineStr">
        <is>
          <t>APPROVED</t>
        </is>
      </c>
      <c r="H936" s="12" t="inlineStr">
        <is>
          <t>New</t>
        </is>
      </c>
      <c r="I936" s="12" t="inlineStr">
        <is>
          <t>Source assignment -- not individually reviewed</t>
        </is>
      </c>
      <c r="J936" s="12" t="inlineStr"/>
      <c r="K936" s="12" t="inlineStr">
        <is>
          <t>Source assignment</t>
        </is>
      </c>
      <c r="L936" s="12" t="inlineStr"/>
      <c r="M936" s="12" t="inlineStr">
        <is>
          <t>Initial</t>
        </is>
      </c>
      <c r="N936" s="12" t="inlineStr">
        <is>
          <t>Rev 0</t>
        </is>
      </c>
      <c r="O936" s="12" t="inlineStr">
        <is>
          <t>R713-v1</t>
        </is>
      </c>
      <c r="P936" s="12" t="inlineStr"/>
      <c r="Q936" s="12" t="inlineStr"/>
      <c r="R936" s="12" t="inlineStr"/>
      <c r="S936" s="12" t="inlineStr"/>
      <c r="T936" s="12" t="inlineStr"/>
      <c r="U936" s="12" t="inlineStr"/>
      <c r="V936" s="12" t="inlineStr">
        <is>
          <t>WBS Code = 1.4.1</t>
        </is>
      </c>
      <c r="W936" s="12" t="inlineStr"/>
    </row>
    <row r="937" ht="49" customHeight="1">
      <c r="A937" s="12" t="inlineStr">
        <is>
          <t>1.4.1</t>
        </is>
      </c>
      <c r="B937" s="12" t="inlineStr">
        <is>
          <t>Vehicles and Depot - Fleet Supply</t>
        </is>
      </c>
      <c r="C937" s="12" t="inlineStr">
        <is>
          <t>Contractor Programme</t>
        </is>
      </c>
      <c r="D937" s="12" t="inlineStr">
        <is>
          <t>SCH-04-175</t>
        </is>
      </c>
      <c r="E937" s="12" t="inlineStr">
        <is>
          <t>Operations building: depot structural fit-out - turnover</t>
        </is>
      </c>
      <c r="F937" s="12" t="inlineStr">
        <is>
          <t>ONE_TO_ONE</t>
        </is>
      </c>
      <c r="G937" s="12" t="inlineStr">
        <is>
          <t>APPROVED</t>
        </is>
      </c>
      <c r="H937" s="12" t="inlineStr">
        <is>
          <t>New</t>
        </is>
      </c>
      <c r="I937" s="12" t="inlineStr">
        <is>
          <t>Source assignment -- not individually reviewed</t>
        </is>
      </c>
      <c r="J937" s="12" t="inlineStr"/>
      <c r="K937" s="12" t="inlineStr">
        <is>
          <t>Source assignment</t>
        </is>
      </c>
      <c r="L937" s="12" t="inlineStr"/>
      <c r="M937" s="12" t="inlineStr">
        <is>
          <t>Initial</t>
        </is>
      </c>
      <c r="N937" s="12" t="inlineStr">
        <is>
          <t>Rev 0</t>
        </is>
      </c>
      <c r="O937" s="12" t="inlineStr">
        <is>
          <t>R715-v1</t>
        </is>
      </c>
      <c r="P937" s="12" t="inlineStr"/>
      <c r="Q937" s="12" t="inlineStr"/>
      <c r="R937" s="12" t="inlineStr"/>
      <c r="S937" s="12" t="inlineStr"/>
      <c r="T937" s="12" t="inlineStr"/>
      <c r="U937" s="12" t="inlineStr"/>
      <c r="V937" s="12" t="inlineStr">
        <is>
          <t>WBS Code = 1.4.1</t>
        </is>
      </c>
      <c r="W937" s="12" t="inlineStr"/>
    </row>
    <row r="938" ht="49" customHeight="1">
      <c r="A938" s="12" t="inlineStr">
        <is>
          <t>1.4.1</t>
        </is>
      </c>
      <c r="B938" s="12" t="inlineStr">
        <is>
          <t>Vehicles and Depot - Fleet Supply</t>
        </is>
      </c>
      <c r="C938" s="12" t="inlineStr">
        <is>
          <t>Contractor Programme</t>
        </is>
      </c>
      <c r="D938" s="12" t="inlineStr">
        <is>
          <t>SCH-04-176</t>
        </is>
      </c>
      <c r="E938" s="12" t="inlineStr">
        <is>
          <t>Test track: workshop crane installation - release</t>
        </is>
      </c>
      <c r="F938" s="12" t="inlineStr">
        <is>
          <t>ONE_TO_ONE</t>
        </is>
      </c>
      <c r="G938" s="12" t="inlineStr">
        <is>
          <t>APPROVED</t>
        </is>
      </c>
      <c r="H938" s="12" t="inlineStr">
        <is>
          <t>New</t>
        </is>
      </c>
      <c r="I938" s="12" t="inlineStr">
        <is>
          <t>Source assignment -- not individually reviewed</t>
        </is>
      </c>
      <c r="J938" s="12" t="inlineStr"/>
      <c r="K938" s="12" t="inlineStr">
        <is>
          <t>Source assignment</t>
        </is>
      </c>
      <c r="L938" s="12" t="inlineStr"/>
      <c r="M938" s="12" t="inlineStr">
        <is>
          <t>Initial</t>
        </is>
      </c>
      <c r="N938" s="12" t="inlineStr">
        <is>
          <t>Rev 0</t>
        </is>
      </c>
      <c r="O938" s="12" t="inlineStr">
        <is>
          <t>R716-v1</t>
        </is>
      </c>
      <c r="P938" s="12" t="inlineStr"/>
      <c r="Q938" s="12" t="inlineStr"/>
      <c r="R938" s="12" t="inlineStr"/>
      <c r="S938" s="12" t="inlineStr"/>
      <c r="T938" s="12" t="inlineStr"/>
      <c r="U938" s="12" t="inlineStr"/>
      <c r="V938" s="12" t="inlineStr">
        <is>
          <t>WBS Code = 1.4.1</t>
        </is>
      </c>
      <c r="W938" s="12" t="inlineStr"/>
    </row>
    <row r="939" ht="49" customHeight="1">
      <c r="A939" s="12" t="inlineStr">
        <is>
          <t>1.4.1</t>
        </is>
      </c>
      <c r="B939" s="12" t="inlineStr">
        <is>
          <t>Vehicles and Depot - Fleet Supply</t>
        </is>
      </c>
      <c r="C939" s="12" t="inlineStr">
        <is>
          <t>Contractor Programme</t>
        </is>
      </c>
      <c r="D939" s="12" t="inlineStr">
        <is>
          <t>SCH-04-178</t>
        </is>
      </c>
      <c r="E939" s="12" t="inlineStr">
        <is>
          <t>Maintenance shop: wheel-lathe installation - installation</t>
        </is>
      </c>
      <c r="F939" s="12" t="inlineStr">
        <is>
          <t>ONE_TO_ONE</t>
        </is>
      </c>
      <c r="G939" s="12" t="inlineStr">
        <is>
          <t>APPROVED</t>
        </is>
      </c>
      <c r="H939" s="12" t="inlineStr">
        <is>
          <t>New</t>
        </is>
      </c>
      <c r="I939" s="12" t="inlineStr">
        <is>
          <t>Source assignment -- not individually reviewed</t>
        </is>
      </c>
      <c r="J939" s="12" t="inlineStr"/>
      <c r="K939" s="12" t="inlineStr">
        <is>
          <t>Source assignment</t>
        </is>
      </c>
      <c r="L939" s="12" t="inlineStr"/>
      <c r="M939" s="12" t="inlineStr">
        <is>
          <t>Initial</t>
        </is>
      </c>
      <c r="N939" s="12" t="inlineStr">
        <is>
          <t>Rev 0</t>
        </is>
      </c>
      <c r="O939" s="12" t="inlineStr">
        <is>
          <t>R718-v1</t>
        </is>
      </c>
      <c r="P939" s="12" t="inlineStr"/>
      <c r="Q939" s="12" t="inlineStr"/>
      <c r="R939" s="12" t="inlineStr"/>
      <c r="S939" s="12" t="inlineStr"/>
      <c r="T939" s="12" t="inlineStr"/>
      <c r="U939" s="12" t="inlineStr"/>
      <c r="V939" s="12" t="inlineStr">
        <is>
          <t>WBS Code = 1.4.1</t>
        </is>
      </c>
      <c r="W939" s="12" t="inlineStr"/>
    </row>
    <row r="940" ht="49" customHeight="1">
      <c r="A940" s="12" t="inlineStr">
        <is>
          <t>1.4.1</t>
        </is>
      </c>
      <c r="B940" s="12" t="inlineStr">
        <is>
          <t>Vehicles and Depot - Fleet Supply</t>
        </is>
      </c>
      <c r="C940" s="12" t="inlineStr">
        <is>
          <t>Contractor Programme</t>
        </is>
      </c>
      <c r="D940" s="12" t="inlineStr">
        <is>
          <t>SCH-04-179</t>
        </is>
      </c>
      <c r="E940" s="12" t="inlineStr">
        <is>
          <t>Storage yard: fleet software load - inspection</t>
        </is>
      </c>
      <c r="F940" s="12" t="inlineStr">
        <is>
          <t>ONE_TO_ONE</t>
        </is>
      </c>
      <c r="G940" s="12" t="inlineStr">
        <is>
          <t>APPROVED</t>
        </is>
      </c>
      <c r="H940" s="12" t="inlineStr">
        <is>
          <t>New</t>
        </is>
      </c>
      <c r="I940" s="12" t="inlineStr">
        <is>
          <t>Source assignment -- not individually reviewed</t>
        </is>
      </c>
      <c r="J940" s="12" t="inlineStr"/>
      <c r="K940" s="12" t="inlineStr">
        <is>
          <t>Source assignment</t>
        </is>
      </c>
      <c r="L940" s="12" t="inlineStr"/>
      <c r="M940" s="12" t="inlineStr">
        <is>
          <t>Initial</t>
        </is>
      </c>
      <c r="N940" s="12" t="inlineStr">
        <is>
          <t>Rev 0</t>
        </is>
      </c>
      <c r="O940" s="12" t="inlineStr">
        <is>
          <t>R719-v1</t>
        </is>
      </c>
      <c r="P940" s="12" t="inlineStr"/>
      <c r="Q940" s="12" t="inlineStr"/>
      <c r="R940" s="12" t="inlineStr"/>
      <c r="S940" s="12" t="inlineStr"/>
      <c r="T940" s="12" t="inlineStr"/>
      <c r="U940" s="12" t="inlineStr"/>
      <c r="V940" s="12" t="inlineStr">
        <is>
          <t>WBS Code = 1.4.1</t>
        </is>
      </c>
      <c r="W940" s="12" t="inlineStr"/>
    </row>
    <row r="941" ht="49" customHeight="1">
      <c r="A941" s="12" t="inlineStr">
        <is>
          <t>1.4.1</t>
        </is>
      </c>
      <c r="B941" s="12" t="inlineStr">
        <is>
          <t>Vehicles and Depot - Fleet Supply</t>
        </is>
      </c>
      <c r="C941" s="12" t="inlineStr">
        <is>
          <t>Cost &amp; Forecast Control Accounts</t>
        </is>
      </c>
      <c r="D941" s="12" t="inlineStr">
        <is>
          <t>CST-04-001</t>
        </is>
      </c>
      <c r="E941" s="12" t="inlineStr">
        <is>
          <t>Vehicles and Depot - fleet supply - field package</t>
        </is>
      </c>
      <c r="F941" s="12" t="inlineStr">
        <is>
          <t>ONE_TO_ONE</t>
        </is>
      </c>
      <c r="G941" s="12" t="inlineStr">
        <is>
          <t>APPROVED</t>
        </is>
      </c>
      <c r="H941" s="12" t="inlineStr">
        <is>
          <t>New</t>
        </is>
      </c>
      <c r="I941" s="12" t="inlineStr">
        <is>
          <t>Source assignment -- not individually reviewed</t>
        </is>
      </c>
      <c r="J941" s="12" t="inlineStr"/>
      <c r="K941" s="12" t="inlineStr">
        <is>
          <t>Source assignment</t>
        </is>
      </c>
      <c r="L941" s="12" t="inlineStr"/>
      <c r="M941" s="12" t="inlineStr">
        <is>
          <t>Initial</t>
        </is>
      </c>
      <c r="N941" s="12" t="inlineStr">
        <is>
          <t>Rev 0</t>
        </is>
      </c>
      <c r="O941" s="12" t="inlineStr">
        <is>
          <t>R1323-v1</t>
        </is>
      </c>
      <c r="P941" s="12" t="inlineStr"/>
      <c r="Q941" s="12" t="inlineStr"/>
      <c r="R941" s="12" t="inlineStr"/>
      <c r="S941" s="12" t="inlineStr"/>
      <c r="T941" s="12" t="inlineStr"/>
      <c r="U941" s="12" t="inlineStr"/>
      <c r="V941" s="12" t="inlineStr">
        <is>
          <t>Cost Account = CA-4001; WBS Code = 1.4.1</t>
        </is>
      </c>
      <c r="W941" s="12" t="inlineStr"/>
    </row>
    <row r="942" ht="49" customHeight="1">
      <c r="A942" s="12" t="inlineStr">
        <is>
          <t>1.4.1</t>
        </is>
      </c>
      <c r="B942" s="12" t="inlineStr">
        <is>
          <t>Vehicles and Depot - Fleet Supply</t>
        </is>
      </c>
      <c r="C942" s="12" t="inlineStr">
        <is>
          <t>Cost &amp; Forecast Control Accounts</t>
        </is>
      </c>
      <c r="D942" s="12" t="inlineStr">
        <is>
          <t>CST-04-003</t>
        </is>
      </c>
      <c r="E942" s="12" t="inlineStr">
        <is>
          <t>Vehicles and Depot - spares - professional services</t>
        </is>
      </c>
      <c r="F942" s="12" t="inlineStr">
        <is>
          <t>ONE_TO_ONE</t>
        </is>
      </c>
      <c r="G942" s="12" t="inlineStr">
        <is>
          <t>APPROVED</t>
        </is>
      </c>
      <c r="H942" s="12" t="inlineStr">
        <is>
          <t>New</t>
        </is>
      </c>
      <c r="I942" s="12" t="inlineStr">
        <is>
          <t>Source assignment -- not individually reviewed</t>
        </is>
      </c>
      <c r="J942" s="12" t="inlineStr"/>
      <c r="K942" s="12" t="inlineStr">
        <is>
          <t>Source assignment</t>
        </is>
      </c>
      <c r="L942" s="12" t="inlineStr"/>
      <c r="M942" s="12" t="inlineStr">
        <is>
          <t>Initial</t>
        </is>
      </c>
      <c r="N942" s="12" t="inlineStr">
        <is>
          <t>Rev 0</t>
        </is>
      </c>
      <c r="O942" s="12" t="inlineStr">
        <is>
          <t>R1325-v1</t>
        </is>
      </c>
      <c r="P942" s="12" t="inlineStr"/>
      <c r="Q942" s="12" t="inlineStr"/>
      <c r="R942" s="12" t="inlineStr"/>
      <c r="S942" s="12" t="inlineStr"/>
      <c r="T942" s="12" t="inlineStr"/>
      <c r="U942" s="12" t="inlineStr"/>
      <c r="V942" s="12" t="inlineStr">
        <is>
          <t>Cost Account = CA-4003; WBS Code = 1.4.1</t>
        </is>
      </c>
      <c r="W942" s="12" t="inlineStr"/>
    </row>
    <row r="943" ht="49" customHeight="1">
      <c r="A943" s="12" t="inlineStr">
        <is>
          <t>1.4.1</t>
        </is>
      </c>
      <c r="B943" s="12" t="inlineStr">
        <is>
          <t>Vehicles and Depot - Fleet Supply</t>
        </is>
      </c>
      <c r="C943" s="12" t="inlineStr">
        <is>
          <t>Cost &amp; Forecast Control Accounts</t>
        </is>
      </c>
      <c r="D943" s="12" t="inlineStr">
        <is>
          <t>CST-04-005</t>
        </is>
      </c>
      <c r="E943" s="12" t="inlineStr">
        <is>
          <t>Vehicles and Depot - workshop equipment - closeout</t>
        </is>
      </c>
      <c r="F943" s="12" t="inlineStr">
        <is>
          <t>ONE_TO_ONE</t>
        </is>
      </c>
      <c r="G943" s="12" t="inlineStr">
        <is>
          <t>APPROVED</t>
        </is>
      </c>
      <c r="H943" s="12" t="inlineStr">
        <is>
          <t>New</t>
        </is>
      </c>
      <c r="I943" s="12" t="inlineStr">
        <is>
          <t>Source assignment -- not individually reviewed</t>
        </is>
      </c>
      <c r="J943" s="12" t="inlineStr"/>
      <c r="K943" s="12" t="inlineStr">
        <is>
          <t>Source assignment</t>
        </is>
      </c>
      <c r="L943" s="12" t="inlineStr"/>
      <c r="M943" s="12" t="inlineStr">
        <is>
          <t>Initial</t>
        </is>
      </c>
      <c r="N943" s="12" t="inlineStr">
        <is>
          <t>Rev 0</t>
        </is>
      </c>
      <c r="O943" s="12" t="inlineStr">
        <is>
          <t>R1327-v1</t>
        </is>
      </c>
      <c r="P943" s="12" t="inlineStr"/>
      <c r="Q943" s="12" t="inlineStr"/>
      <c r="R943" s="12" t="inlineStr"/>
      <c r="S943" s="12" t="inlineStr"/>
      <c r="T943" s="12" t="inlineStr"/>
      <c r="U943" s="12" t="inlineStr"/>
      <c r="V943" s="12" t="inlineStr">
        <is>
          <t>Cost Account = CA-4005; WBS Code = 1.4.1</t>
        </is>
      </c>
      <c r="W943" s="12" t="inlineStr"/>
    </row>
    <row r="944" ht="49" customHeight="1">
      <c r="A944" s="12" t="inlineStr">
        <is>
          <t>1.4.1</t>
        </is>
      </c>
      <c r="B944" s="12" t="inlineStr">
        <is>
          <t>Vehicles and Depot - Fleet Supply</t>
        </is>
      </c>
      <c r="C944" s="12" t="inlineStr">
        <is>
          <t>Cost &amp; Forecast Control Accounts</t>
        </is>
      </c>
      <c r="D944" s="12" t="inlineStr">
        <is>
          <t>CST-04-007</t>
        </is>
      </c>
      <c r="E944" s="12" t="inlineStr">
        <is>
          <t>Vehicles and Depot - fleet supply - supply and install</t>
        </is>
      </c>
      <c r="F944" s="12" t="inlineStr">
        <is>
          <t>ONE_TO_ONE</t>
        </is>
      </c>
      <c r="G944" s="12" t="inlineStr">
        <is>
          <t>APPROVED</t>
        </is>
      </c>
      <c r="H944" s="12" t="inlineStr">
        <is>
          <t>New</t>
        </is>
      </c>
      <c r="I944" s="12" t="inlineStr">
        <is>
          <t>Source assignment -- not individually reviewed</t>
        </is>
      </c>
      <c r="J944" s="12" t="inlineStr"/>
      <c r="K944" s="12" t="inlineStr">
        <is>
          <t>Source assignment</t>
        </is>
      </c>
      <c r="L944" s="12" t="inlineStr"/>
      <c r="M944" s="12" t="inlineStr">
        <is>
          <t>Initial</t>
        </is>
      </c>
      <c r="N944" s="12" t="inlineStr">
        <is>
          <t>Rev 0</t>
        </is>
      </c>
      <c r="O944" s="12" t="inlineStr">
        <is>
          <t>R1329-v1</t>
        </is>
      </c>
      <c r="P944" s="12" t="inlineStr"/>
      <c r="Q944" s="12" t="inlineStr"/>
      <c r="R944" s="12" t="inlineStr"/>
      <c r="S944" s="12" t="inlineStr"/>
      <c r="T944" s="12" t="inlineStr"/>
      <c r="U944" s="12" t="inlineStr"/>
      <c r="V944" s="12" t="inlineStr">
        <is>
          <t>Cost Account = CA-4007; WBS Code = 1.4.1</t>
        </is>
      </c>
      <c r="W944" s="12" t="inlineStr"/>
    </row>
    <row r="945" ht="49" customHeight="1">
      <c r="A945" s="12" t="inlineStr">
        <is>
          <t>1.4.1</t>
        </is>
      </c>
      <c r="B945" s="12" t="inlineStr">
        <is>
          <t>Vehicles and Depot - Fleet Supply</t>
        </is>
      </c>
      <c r="C945" s="12" t="inlineStr">
        <is>
          <t>Cost &amp; Forecast Control Accounts</t>
        </is>
      </c>
      <c r="D945" s="12" t="inlineStr">
        <is>
          <t>CST-04-009</t>
        </is>
      </c>
      <c r="E945" s="12" t="inlineStr">
        <is>
          <t>Vehicles and Depot - spares - allowance</t>
        </is>
      </c>
      <c r="F945" s="12" t="inlineStr">
        <is>
          <t>ONE_TO_ONE</t>
        </is>
      </c>
      <c r="G945" s="12" t="inlineStr">
        <is>
          <t>APPROVED</t>
        </is>
      </c>
      <c r="H945" s="12" t="inlineStr">
        <is>
          <t>New</t>
        </is>
      </c>
      <c r="I945" s="12" t="inlineStr">
        <is>
          <t>Source assignment -- not individually reviewed</t>
        </is>
      </c>
      <c r="J945" s="12" t="inlineStr"/>
      <c r="K945" s="12" t="inlineStr">
        <is>
          <t>Source assignment</t>
        </is>
      </c>
      <c r="L945" s="12" t="inlineStr"/>
      <c r="M945" s="12" t="inlineStr">
        <is>
          <t>Initial</t>
        </is>
      </c>
      <c r="N945" s="12" t="inlineStr">
        <is>
          <t>Rev 0</t>
        </is>
      </c>
      <c r="O945" s="12" t="inlineStr">
        <is>
          <t>R1331-v1</t>
        </is>
      </c>
      <c r="P945" s="12" t="inlineStr"/>
      <c r="Q945" s="12" t="inlineStr"/>
      <c r="R945" s="12" t="inlineStr"/>
      <c r="S945" s="12" t="inlineStr"/>
      <c r="T945" s="12" t="inlineStr"/>
      <c r="U945" s="12" t="inlineStr"/>
      <c r="V945" s="12" t="inlineStr">
        <is>
          <t>Cost Account = CA-4009; WBS Code = 1.4.1</t>
        </is>
      </c>
      <c r="W945" s="12" t="inlineStr"/>
    </row>
    <row r="946" ht="49" customHeight="1">
      <c r="A946" s="12" t="inlineStr">
        <is>
          <t>1.4.1</t>
        </is>
      </c>
      <c r="B946" s="12" t="inlineStr">
        <is>
          <t>Vehicles and Depot - Fleet Supply</t>
        </is>
      </c>
      <c r="C946" s="12" t="inlineStr">
        <is>
          <t>Cost &amp; Forecast Control Accounts</t>
        </is>
      </c>
      <c r="D946" s="12" t="inlineStr">
        <is>
          <t>CST-04-011</t>
        </is>
      </c>
      <c r="E946" s="12" t="inlineStr">
        <is>
          <t>Vehicles and Depot - workshop equipment - field package</t>
        </is>
      </c>
      <c r="F946" s="12" t="inlineStr">
        <is>
          <t>ONE_TO_ONE</t>
        </is>
      </c>
      <c r="G946" s="12" t="inlineStr">
        <is>
          <t>APPROVED</t>
        </is>
      </c>
      <c r="H946" s="12" t="inlineStr">
        <is>
          <t>New</t>
        </is>
      </c>
      <c r="I946" s="12" t="inlineStr">
        <is>
          <t>Source assignment -- not individually reviewed</t>
        </is>
      </c>
      <c r="J946" s="12" t="inlineStr"/>
      <c r="K946" s="12" t="inlineStr">
        <is>
          <t>Source assignment</t>
        </is>
      </c>
      <c r="L946" s="12" t="inlineStr"/>
      <c r="M946" s="12" t="inlineStr">
        <is>
          <t>Initial</t>
        </is>
      </c>
      <c r="N946" s="12" t="inlineStr">
        <is>
          <t>Rev 0</t>
        </is>
      </c>
      <c r="O946" s="12" t="inlineStr">
        <is>
          <t>R1333-v1</t>
        </is>
      </c>
      <c r="P946" s="12" t="inlineStr"/>
      <c r="Q946" s="12" t="inlineStr"/>
      <c r="R946" s="12" t="inlineStr"/>
      <c r="S946" s="12" t="inlineStr"/>
      <c r="T946" s="12" t="inlineStr"/>
      <c r="U946" s="12" t="inlineStr"/>
      <c r="V946" s="12" t="inlineStr">
        <is>
          <t>Cost Account = CA-4011; WBS Code = 1.4.1</t>
        </is>
      </c>
      <c r="W946" s="12" t="inlineStr"/>
    </row>
    <row r="947" ht="49" customHeight="1">
      <c r="A947" s="12" t="inlineStr">
        <is>
          <t>1.4.1</t>
        </is>
      </c>
      <c r="B947" s="12" t="inlineStr">
        <is>
          <t>Vehicles and Depot - Fleet Supply</t>
        </is>
      </c>
      <c r="C947" s="12" t="inlineStr">
        <is>
          <t>Cost &amp; Forecast Control Accounts</t>
        </is>
      </c>
      <c r="D947" s="12" t="inlineStr">
        <is>
          <t>CST-04-013</t>
        </is>
      </c>
      <c r="E947" s="12" t="inlineStr">
        <is>
          <t>Vehicles and Depot - fleet supply - professional services</t>
        </is>
      </c>
      <c r="F947" s="12" t="inlineStr">
        <is>
          <t>ONE_TO_ONE</t>
        </is>
      </c>
      <c r="G947" s="12" t="inlineStr">
        <is>
          <t>APPROVED</t>
        </is>
      </c>
      <c r="H947" s="12" t="inlineStr">
        <is>
          <t>New</t>
        </is>
      </c>
      <c r="I947" s="12" t="inlineStr">
        <is>
          <t>Source assignment -- not individually reviewed</t>
        </is>
      </c>
      <c r="J947" s="12" t="inlineStr"/>
      <c r="K947" s="12" t="inlineStr">
        <is>
          <t>Source assignment</t>
        </is>
      </c>
      <c r="L947" s="12" t="inlineStr"/>
      <c r="M947" s="12" t="inlineStr">
        <is>
          <t>Initial</t>
        </is>
      </c>
      <c r="N947" s="12" t="inlineStr">
        <is>
          <t>Rev 0</t>
        </is>
      </c>
      <c r="O947" s="12" t="inlineStr">
        <is>
          <t>R1335-v1</t>
        </is>
      </c>
      <c r="P947" s="12" t="inlineStr"/>
      <c r="Q947" s="12" t="inlineStr"/>
      <c r="R947" s="12" t="inlineStr"/>
      <c r="S947" s="12" t="inlineStr"/>
      <c r="T947" s="12" t="inlineStr"/>
      <c r="U947" s="12" t="inlineStr"/>
      <c r="V947" s="12" t="inlineStr">
        <is>
          <t>Cost Account = CA-4013; WBS Code = 1.4.1</t>
        </is>
      </c>
      <c r="W947" s="12" t="inlineStr"/>
    </row>
    <row r="948" ht="49" customHeight="1">
      <c r="A948" s="12" t="inlineStr">
        <is>
          <t>1.4.1</t>
        </is>
      </c>
      <c r="B948" s="12" t="inlineStr">
        <is>
          <t>Vehicles and Depot - Fleet Supply</t>
        </is>
      </c>
      <c r="C948" s="12" t="inlineStr">
        <is>
          <t>Cost &amp; Forecast Control Accounts</t>
        </is>
      </c>
      <c r="D948" s="12" t="inlineStr">
        <is>
          <t>CST-04-015</t>
        </is>
      </c>
      <c r="E948" s="12" t="inlineStr">
        <is>
          <t>Vehicles and Depot - spares - closeout</t>
        </is>
      </c>
      <c r="F948" s="12" t="inlineStr">
        <is>
          <t>ONE_TO_ONE</t>
        </is>
      </c>
      <c r="G948" s="12" t="inlineStr">
        <is>
          <t>APPROVED</t>
        </is>
      </c>
      <c r="H948" s="12" t="inlineStr">
        <is>
          <t>New</t>
        </is>
      </c>
      <c r="I948" s="12" t="inlineStr">
        <is>
          <t>Source assignment -- not individually reviewed</t>
        </is>
      </c>
      <c r="J948" s="12" t="inlineStr"/>
      <c r="K948" s="12" t="inlineStr">
        <is>
          <t>Source assignment</t>
        </is>
      </c>
      <c r="L948" s="12" t="inlineStr"/>
      <c r="M948" s="12" t="inlineStr">
        <is>
          <t>Initial</t>
        </is>
      </c>
      <c r="N948" s="12" t="inlineStr">
        <is>
          <t>Rev 0</t>
        </is>
      </c>
      <c r="O948" s="12" t="inlineStr">
        <is>
          <t>R1337-v1</t>
        </is>
      </c>
      <c r="P948" s="12" t="inlineStr"/>
      <c r="Q948" s="12" t="inlineStr"/>
      <c r="R948" s="12" t="inlineStr"/>
      <c r="S948" s="12" t="inlineStr"/>
      <c r="T948" s="12" t="inlineStr"/>
      <c r="U948" s="12" t="inlineStr"/>
      <c r="V948" s="12" t="inlineStr">
        <is>
          <t>Cost Account = CA-4015; WBS Code = 1.4.1</t>
        </is>
      </c>
      <c r="W948" s="12" t="inlineStr"/>
    </row>
    <row r="949" ht="49" customHeight="1">
      <c r="A949" s="12" t="inlineStr">
        <is>
          <t>1.4.1</t>
        </is>
      </c>
      <c r="B949" s="12" t="inlineStr">
        <is>
          <t>Vehicles and Depot - Fleet Supply</t>
        </is>
      </c>
      <c r="C949" s="12" t="inlineStr">
        <is>
          <t>Cost &amp; Forecast Control Accounts</t>
        </is>
      </c>
      <c r="D949" s="12" t="inlineStr">
        <is>
          <t>CST-04-017</t>
        </is>
      </c>
      <c r="E949" s="12" t="inlineStr">
        <is>
          <t>Vehicles and Depot - workshop equipment - supply and install</t>
        </is>
      </c>
      <c r="F949" s="12" t="inlineStr">
        <is>
          <t>ONE_TO_ONE</t>
        </is>
      </c>
      <c r="G949" s="12" t="inlineStr">
        <is>
          <t>APPROVED</t>
        </is>
      </c>
      <c r="H949" s="12" t="inlineStr">
        <is>
          <t>New</t>
        </is>
      </c>
      <c r="I949" s="12" t="inlineStr">
        <is>
          <t>Source assignment -- not individually reviewed</t>
        </is>
      </c>
      <c r="J949" s="12" t="inlineStr"/>
      <c r="K949" s="12" t="inlineStr">
        <is>
          <t>Source assignment</t>
        </is>
      </c>
      <c r="L949" s="12" t="inlineStr"/>
      <c r="M949" s="12" t="inlineStr">
        <is>
          <t>Initial</t>
        </is>
      </c>
      <c r="N949" s="12" t="inlineStr">
        <is>
          <t>Rev 0</t>
        </is>
      </c>
      <c r="O949" s="12" t="inlineStr">
        <is>
          <t>R1339-v1</t>
        </is>
      </c>
      <c r="P949" s="12" t="inlineStr"/>
      <c r="Q949" s="12" t="inlineStr"/>
      <c r="R949" s="12" t="inlineStr"/>
      <c r="S949" s="12" t="inlineStr"/>
      <c r="T949" s="12" t="inlineStr"/>
      <c r="U949" s="12" t="inlineStr"/>
      <c r="V949" s="12" t="inlineStr">
        <is>
          <t>Cost Account = CA-4017; WBS Code = 1.4.1</t>
        </is>
      </c>
      <c r="W949" s="12" t="inlineStr"/>
    </row>
    <row r="950" ht="49" customHeight="1">
      <c r="A950" s="12" t="inlineStr">
        <is>
          <t>1.4.1</t>
        </is>
      </c>
      <c r="B950" s="12" t="inlineStr">
        <is>
          <t>Vehicles and Depot - Fleet Supply</t>
        </is>
      </c>
      <c r="C950" s="12" t="inlineStr">
        <is>
          <t>Cost &amp; Forecast Control Accounts</t>
        </is>
      </c>
      <c r="D950" s="12" t="inlineStr">
        <is>
          <t>CST-04-019</t>
        </is>
      </c>
      <c r="E950" s="12" t="inlineStr">
        <is>
          <t>Vehicles and Depot - fleet supply - allowance</t>
        </is>
      </c>
      <c r="F950" s="12" t="inlineStr">
        <is>
          <t>ONE_TO_ONE</t>
        </is>
      </c>
      <c r="G950" s="12" t="inlineStr">
        <is>
          <t>APPROVED</t>
        </is>
      </c>
      <c r="H950" s="12" t="inlineStr">
        <is>
          <t>New</t>
        </is>
      </c>
      <c r="I950" s="12" t="inlineStr">
        <is>
          <t>Source assignment -- not individually reviewed</t>
        </is>
      </c>
      <c r="J950" s="12" t="inlineStr"/>
      <c r="K950" s="12" t="inlineStr">
        <is>
          <t>Source assignment</t>
        </is>
      </c>
      <c r="L950" s="12" t="inlineStr"/>
      <c r="M950" s="12" t="inlineStr">
        <is>
          <t>Initial</t>
        </is>
      </c>
      <c r="N950" s="12" t="inlineStr">
        <is>
          <t>Rev 0</t>
        </is>
      </c>
      <c r="O950" s="12" t="inlineStr">
        <is>
          <t>R1341-v1</t>
        </is>
      </c>
      <c r="P950" s="12" t="inlineStr"/>
      <c r="Q950" s="12" t="inlineStr"/>
      <c r="R950" s="12" t="inlineStr"/>
      <c r="S950" s="12" t="inlineStr"/>
      <c r="T950" s="12" t="inlineStr"/>
      <c r="U950" s="12" t="inlineStr"/>
      <c r="V950" s="12" t="inlineStr">
        <is>
          <t>Cost Account = CA-4019; WBS Code = 1.4.1</t>
        </is>
      </c>
      <c r="W950" s="12" t="inlineStr"/>
    </row>
    <row r="951" ht="49" customHeight="1">
      <c r="A951" s="12" t="inlineStr">
        <is>
          <t>1.4.1</t>
        </is>
      </c>
      <c r="B951" s="12" t="inlineStr">
        <is>
          <t>Vehicles and Depot - Fleet Supply</t>
        </is>
      </c>
      <c r="C951" s="12" t="inlineStr">
        <is>
          <t>Cost &amp; Forecast Control Accounts</t>
        </is>
      </c>
      <c r="D951" s="12" t="inlineStr">
        <is>
          <t>CST-04-021</t>
        </is>
      </c>
      <c r="E951" s="12" t="inlineStr">
        <is>
          <t>Vehicles and Depot - spares - field package</t>
        </is>
      </c>
      <c r="F951" s="12" t="inlineStr">
        <is>
          <t>ONE_TO_ONE</t>
        </is>
      </c>
      <c r="G951" s="12" t="inlineStr">
        <is>
          <t>APPROVED</t>
        </is>
      </c>
      <c r="H951" s="12" t="inlineStr">
        <is>
          <t>New</t>
        </is>
      </c>
      <c r="I951" s="12" t="inlineStr">
        <is>
          <t>Source assignment -- not individually reviewed</t>
        </is>
      </c>
      <c r="J951" s="12" t="inlineStr"/>
      <c r="K951" s="12" t="inlineStr">
        <is>
          <t>Source assignment</t>
        </is>
      </c>
      <c r="L951" s="12" t="inlineStr"/>
      <c r="M951" s="12" t="inlineStr">
        <is>
          <t>Initial</t>
        </is>
      </c>
      <c r="N951" s="12" t="inlineStr">
        <is>
          <t>Rev 0</t>
        </is>
      </c>
      <c r="O951" s="12" t="inlineStr">
        <is>
          <t>R1343-v1</t>
        </is>
      </c>
      <c r="P951" s="12" t="inlineStr"/>
      <c r="Q951" s="12" t="inlineStr"/>
      <c r="R951" s="12" t="inlineStr"/>
      <c r="S951" s="12" t="inlineStr"/>
      <c r="T951" s="12" t="inlineStr"/>
      <c r="U951" s="12" t="inlineStr"/>
      <c r="V951" s="12" t="inlineStr">
        <is>
          <t>Cost Account = CA-4021; WBS Code = 1.4.1</t>
        </is>
      </c>
      <c r="W951" s="12" t="inlineStr"/>
    </row>
    <row r="952" ht="49" customHeight="1">
      <c r="A952" s="12" t="inlineStr">
        <is>
          <t>1.4.1</t>
        </is>
      </c>
      <c r="B952" s="12" t="inlineStr">
        <is>
          <t>Vehicles and Depot - Fleet Supply</t>
        </is>
      </c>
      <c r="C952" s="12" t="inlineStr">
        <is>
          <t>Cost &amp; Forecast Control Accounts</t>
        </is>
      </c>
      <c r="D952" s="12" t="inlineStr">
        <is>
          <t>CST-04-023</t>
        </is>
      </c>
      <c r="E952" s="12" t="inlineStr">
        <is>
          <t>Vehicles and Depot - workshop equipment - professional services</t>
        </is>
      </c>
      <c r="F952" s="12" t="inlineStr">
        <is>
          <t>ONE_TO_ONE</t>
        </is>
      </c>
      <c r="G952" s="12" t="inlineStr">
        <is>
          <t>APPROVED</t>
        </is>
      </c>
      <c r="H952" s="12" t="inlineStr">
        <is>
          <t>New</t>
        </is>
      </c>
      <c r="I952" s="12" t="inlineStr">
        <is>
          <t>Source assignment -- not individually reviewed</t>
        </is>
      </c>
      <c r="J952" s="12" t="inlineStr"/>
      <c r="K952" s="12" t="inlineStr">
        <is>
          <t>Source assignment</t>
        </is>
      </c>
      <c r="L952" s="12" t="inlineStr"/>
      <c r="M952" s="12" t="inlineStr">
        <is>
          <t>Initial</t>
        </is>
      </c>
      <c r="N952" s="12" t="inlineStr">
        <is>
          <t>Rev 0</t>
        </is>
      </c>
      <c r="O952" s="12" t="inlineStr">
        <is>
          <t>R1345-v1</t>
        </is>
      </c>
      <c r="P952" s="12" t="inlineStr"/>
      <c r="Q952" s="12" t="inlineStr"/>
      <c r="R952" s="12" t="inlineStr"/>
      <c r="S952" s="12" t="inlineStr"/>
      <c r="T952" s="12" t="inlineStr"/>
      <c r="U952" s="12" t="inlineStr"/>
      <c r="V952" s="12" t="inlineStr">
        <is>
          <t>Cost Account = CA-4023; WBS Code = 1.4.1</t>
        </is>
      </c>
      <c r="W952" s="12" t="inlineStr"/>
    </row>
    <row r="953" ht="49" customHeight="1">
      <c r="A953" s="12" t="inlineStr">
        <is>
          <t>1.4.1</t>
        </is>
      </c>
      <c r="B953" s="12" t="inlineStr">
        <is>
          <t>Vehicles and Depot - Fleet Supply</t>
        </is>
      </c>
      <c r="C953" s="12" t="inlineStr">
        <is>
          <t>Cost &amp; Forecast Control Accounts</t>
        </is>
      </c>
      <c r="D953" s="12" t="inlineStr">
        <is>
          <t>CST-04-025</t>
        </is>
      </c>
      <c r="E953" s="12" t="inlineStr">
        <is>
          <t>Vehicles and Depot - fleet supply - closeout</t>
        </is>
      </c>
      <c r="F953" s="12" t="inlineStr">
        <is>
          <t>ONE_TO_ONE</t>
        </is>
      </c>
      <c r="G953" s="12" t="inlineStr">
        <is>
          <t>APPROVED</t>
        </is>
      </c>
      <c r="H953" s="12" t="inlineStr">
        <is>
          <t>New</t>
        </is>
      </c>
      <c r="I953" s="12" t="inlineStr">
        <is>
          <t>Source assignment -- not individually reviewed</t>
        </is>
      </c>
      <c r="J953" s="12" t="inlineStr"/>
      <c r="K953" s="12" t="inlineStr">
        <is>
          <t>Source assignment</t>
        </is>
      </c>
      <c r="L953" s="12" t="inlineStr"/>
      <c r="M953" s="12" t="inlineStr">
        <is>
          <t>Initial</t>
        </is>
      </c>
      <c r="N953" s="12" t="inlineStr">
        <is>
          <t>Rev 0</t>
        </is>
      </c>
      <c r="O953" s="12" t="inlineStr">
        <is>
          <t>R1347-v1</t>
        </is>
      </c>
      <c r="P953" s="12" t="inlineStr"/>
      <c r="Q953" s="12" t="inlineStr"/>
      <c r="R953" s="12" t="inlineStr"/>
      <c r="S953" s="12" t="inlineStr"/>
      <c r="T953" s="12" t="inlineStr"/>
      <c r="U953" s="12" t="inlineStr"/>
      <c r="V953" s="12" t="inlineStr">
        <is>
          <t>Cost Account = CA-4025; WBS Code = 1.4.1</t>
        </is>
      </c>
      <c r="W953" s="12" t="inlineStr"/>
    </row>
    <row r="954" ht="49" customHeight="1">
      <c r="A954" s="12" t="inlineStr">
        <is>
          <t>1.4.1</t>
        </is>
      </c>
      <c r="B954" s="12" t="inlineStr">
        <is>
          <t>Vehicles and Depot - Fleet Supply</t>
        </is>
      </c>
      <c r="C954" s="12" t="inlineStr">
        <is>
          <t>Cost &amp; Forecast Control Accounts</t>
        </is>
      </c>
      <c r="D954" s="12" t="inlineStr">
        <is>
          <t>CST-04-027</t>
        </is>
      </c>
      <c r="E954" s="12" t="inlineStr">
        <is>
          <t>Vehicles and Depot - spares - supply and install</t>
        </is>
      </c>
      <c r="F954" s="12" t="inlineStr">
        <is>
          <t>ONE_TO_ONE</t>
        </is>
      </c>
      <c r="G954" s="12" t="inlineStr">
        <is>
          <t>APPROVED</t>
        </is>
      </c>
      <c r="H954" s="12" t="inlineStr">
        <is>
          <t>New</t>
        </is>
      </c>
      <c r="I954" s="12" t="inlineStr">
        <is>
          <t>Source assignment -- not individually reviewed</t>
        </is>
      </c>
      <c r="J954" s="12" t="inlineStr"/>
      <c r="K954" s="12" t="inlineStr">
        <is>
          <t>Source assignment</t>
        </is>
      </c>
      <c r="L954" s="12" t="inlineStr"/>
      <c r="M954" s="12" t="inlineStr">
        <is>
          <t>Initial</t>
        </is>
      </c>
      <c r="N954" s="12" t="inlineStr">
        <is>
          <t>Rev 0</t>
        </is>
      </c>
      <c r="O954" s="12" t="inlineStr">
        <is>
          <t>R1349-v1</t>
        </is>
      </c>
      <c r="P954" s="12" t="inlineStr"/>
      <c r="Q954" s="12" t="inlineStr"/>
      <c r="R954" s="12" t="inlineStr"/>
      <c r="S954" s="12" t="inlineStr"/>
      <c r="T954" s="12" t="inlineStr"/>
      <c r="U954" s="12" t="inlineStr"/>
      <c r="V954" s="12" t="inlineStr">
        <is>
          <t>Cost Account = CA-4027; WBS Code = 1.4.1</t>
        </is>
      </c>
      <c r="W954" s="12" t="inlineStr"/>
    </row>
    <row r="955" ht="49" customHeight="1">
      <c r="A955" s="12" t="inlineStr">
        <is>
          <t>1.4.1</t>
        </is>
      </c>
      <c r="B955" s="12" t="inlineStr">
        <is>
          <t>Vehicles and Depot - Fleet Supply</t>
        </is>
      </c>
      <c r="C955" s="12" t="inlineStr">
        <is>
          <t>Cost &amp; Forecast Control Accounts</t>
        </is>
      </c>
      <c r="D955" s="12" t="inlineStr">
        <is>
          <t>CST-04-029</t>
        </is>
      </c>
      <c r="E955" s="12" t="inlineStr">
        <is>
          <t>Vehicles and Depot - workshop equipment - allowance</t>
        </is>
      </c>
      <c r="F955" s="12" t="inlineStr">
        <is>
          <t>ONE_TO_ONE</t>
        </is>
      </c>
      <c r="G955" s="12" t="inlineStr">
        <is>
          <t>APPROVED</t>
        </is>
      </c>
      <c r="H955" s="12" t="inlineStr">
        <is>
          <t>New</t>
        </is>
      </c>
      <c r="I955" s="12" t="inlineStr">
        <is>
          <t>Source assignment -- not individually reviewed</t>
        </is>
      </c>
      <c r="J955" s="12" t="inlineStr"/>
      <c r="K955" s="12" t="inlineStr">
        <is>
          <t>Source assignment</t>
        </is>
      </c>
      <c r="L955" s="12" t="inlineStr"/>
      <c r="M955" s="12" t="inlineStr">
        <is>
          <t>Initial</t>
        </is>
      </c>
      <c r="N955" s="12" t="inlineStr">
        <is>
          <t>Rev 0</t>
        </is>
      </c>
      <c r="O955" s="12" t="inlineStr">
        <is>
          <t>R1351-v1</t>
        </is>
      </c>
      <c r="P955" s="12" t="inlineStr"/>
      <c r="Q955" s="12" t="inlineStr"/>
      <c r="R955" s="12" t="inlineStr"/>
      <c r="S955" s="12" t="inlineStr"/>
      <c r="T955" s="12" t="inlineStr"/>
      <c r="U955" s="12" t="inlineStr"/>
      <c r="V955" s="12" t="inlineStr">
        <is>
          <t>Cost Account = CA-4029; WBS Code = 1.4.1</t>
        </is>
      </c>
      <c r="W955" s="12" t="inlineStr"/>
    </row>
    <row r="956" ht="49" customHeight="1">
      <c r="A956" s="12" t="inlineStr">
        <is>
          <t>1.4.1</t>
        </is>
      </c>
      <c r="B956" s="12" t="inlineStr">
        <is>
          <t>Vehicles and Depot - Fleet Supply</t>
        </is>
      </c>
      <c r="C956" s="12" t="inlineStr">
        <is>
          <t>Cost &amp; Forecast Control Accounts</t>
        </is>
      </c>
      <c r="D956" s="12" t="inlineStr">
        <is>
          <t>CST-04-031</t>
        </is>
      </c>
      <c r="E956" s="12" t="inlineStr">
        <is>
          <t>Vehicles and Depot - fleet supply - field package</t>
        </is>
      </c>
      <c r="F956" s="12" t="inlineStr">
        <is>
          <t>ONE_TO_ONE</t>
        </is>
      </c>
      <c r="G956" s="12" t="inlineStr">
        <is>
          <t>APPROVED</t>
        </is>
      </c>
      <c r="H956" s="12" t="inlineStr">
        <is>
          <t>New</t>
        </is>
      </c>
      <c r="I956" s="12" t="inlineStr">
        <is>
          <t>Source assignment -- not individually reviewed</t>
        </is>
      </c>
      <c r="J956" s="12" t="inlineStr"/>
      <c r="K956" s="12" t="inlineStr">
        <is>
          <t>Source assignment</t>
        </is>
      </c>
      <c r="L956" s="12" t="inlineStr"/>
      <c r="M956" s="12" t="inlineStr">
        <is>
          <t>Initial</t>
        </is>
      </c>
      <c r="N956" s="12" t="inlineStr">
        <is>
          <t>Rev 0</t>
        </is>
      </c>
      <c r="O956" s="12" t="inlineStr">
        <is>
          <t>R1353-v1</t>
        </is>
      </c>
      <c r="P956" s="12" t="inlineStr"/>
      <c r="Q956" s="12" t="inlineStr"/>
      <c r="R956" s="12" t="inlineStr"/>
      <c r="S956" s="12" t="inlineStr"/>
      <c r="T956" s="12" t="inlineStr"/>
      <c r="U956" s="12" t="inlineStr"/>
      <c r="V956" s="12" t="inlineStr">
        <is>
          <t>Cost Account = CA-4031; WBS Code = 1.4.1</t>
        </is>
      </c>
      <c r="W956" s="12" t="inlineStr"/>
    </row>
    <row r="957" ht="49" customHeight="1">
      <c r="A957" s="12" t="inlineStr">
        <is>
          <t>1.4.1</t>
        </is>
      </c>
      <c r="B957" s="12" t="inlineStr">
        <is>
          <t>Vehicles and Depot - Fleet Supply</t>
        </is>
      </c>
      <c r="C957" s="12" t="inlineStr">
        <is>
          <t>Cost &amp; Forecast Control Accounts</t>
        </is>
      </c>
      <c r="D957" s="12" t="inlineStr">
        <is>
          <t>CST-04-033</t>
        </is>
      </c>
      <c r="E957" s="12" t="inlineStr">
        <is>
          <t>Vehicles and Depot - spares - professional services</t>
        </is>
      </c>
      <c r="F957" s="12" t="inlineStr">
        <is>
          <t>ONE_TO_ONE</t>
        </is>
      </c>
      <c r="G957" s="12" t="inlineStr">
        <is>
          <t>APPROVED</t>
        </is>
      </c>
      <c r="H957" s="12" t="inlineStr">
        <is>
          <t>New</t>
        </is>
      </c>
      <c r="I957" s="12" t="inlineStr">
        <is>
          <t>Source assignment -- not individually reviewed</t>
        </is>
      </c>
      <c r="J957" s="12" t="inlineStr"/>
      <c r="K957" s="12" t="inlineStr">
        <is>
          <t>Source assignment</t>
        </is>
      </c>
      <c r="L957" s="12" t="inlineStr"/>
      <c r="M957" s="12" t="inlineStr">
        <is>
          <t>Initial</t>
        </is>
      </c>
      <c r="N957" s="12" t="inlineStr">
        <is>
          <t>Rev 0</t>
        </is>
      </c>
      <c r="O957" s="12" t="inlineStr">
        <is>
          <t>R1355-v1</t>
        </is>
      </c>
      <c r="P957" s="12" t="inlineStr"/>
      <c r="Q957" s="12" t="inlineStr"/>
      <c r="R957" s="12" t="inlineStr"/>
      <c r="S957" s="12" t="inlineStr"/>
      <c r="T957" s="12" t="inlineStr"/>
      <c r="U957" s="12" t="inlineStr"/>
      <c r="V957" s="12" t="inlineStr">
        <is>
          <t>Cost Account = CA-4033; WBS Code = 1.4.1</t>
        </is>
      </c>
      <c r="W957" s="12" t="inlineStr"/>
    </row>
    <row r="958" ht="49" customHeight="1">
      <c r="A958" s="12" t="inlineStr">
        <is>
          <t>1.4.1</t>
        </is>
      </c>
      <c r="B958" s="12" t="inlineStr">
        <is>
          <t>Vehicles and Depot - Fleet Supply</t>
        </is>
      </c>
      <c r="C958" s="12" t="inlineStr">
        <is>
          <t>Cost &amp; Forecast Control Accounts</t>
        </is>
      </c>
      <c r="D958" s="12" t="inlineStr">
        <is>
          <t>CST-04-035</t>
        </is>
      </c>
      <c r="E958" s="12" t="inlineStr">
        <is>
          <t>Vehicles and Depot - workshop equipment - closeout</t>
        </is>
      </c>
      <c r="F958" s="12" t="inlineStr">
        <is>
          <t>ONE_TO_ONE</t>
        </is>
      </c>
      <c r="G958" s="12" t="inlineStr">
        <is>
          <t>APPROVED</t>
        </is>
      </c>
      <c r="H958" s="12" t="inlineStr">
        <is>
          <t>New</t>
        </is>
      </c>
      <c r="I958" s="12" t="inlineStr">
        <is>
          <t>Source assignment -- not individually reviewed</t>
        </is>
      </c>
      <c r="J958" s="12" t="inlineStr"/>
      <c r="K958" s="12" t="inlineStr">
        <is>
          <t>Source assignment</t>
        </is>
      </c>
      <c r="L958" s="12" t="inlineStr"/>
      <c r="M958" s="12" t="inlineStr">
        <is>
          <t>Initial</t>
        </is>
      </c>
      <c r="N958" s="12" t="inlineStr">
        <is>
          <t>Rev 0</t>
        </is>
      </c>
      <c r="O958" s="12" t="inlineStr">
        <is>
          <t>R1357-v1</t>
        </is>
      </c>
      <c r="P958" s="12" t="inlineStr"/>
      <c r="Q958" s="12" t="inlineStr"/>
      <c r="R958" s="12" t="inlineStr"/>
      <c r="S958" s="12" t="inlineStr"/>
      <c r="T958" s="12" t="inlineStr"/>
      <c r="U958" s="12" t="inlineStr"/>
      <c r="V958" s="12" t="inlineStr">
        <is>
          <t>Cost Account = CA-4035; WBS Code = 1.4.1</t>
        </is>
      </c>
      <c r="W958" s="12" t="inlineStr"/>
    </row>
    <row r="959" ht="49" customHeight="1">
      <c r="A959" s="12" t="inlineStr">
        <is>
          <t>1.4.1</t>
        </is>
      </c>
      <c r="B959" s="12" t="inlineStr">
        <is>
          <t>Vehicles and Depot - Fleet Supply</t>
        </is>
      </c>
      <c r="C959" s="12" t="inlineStr">
        <is>
          <t>Cost &amp; Forecast Control Accounts</t>
        </is>
      </c>
      <c r="D959" s="12" t="inlineStr">
        <is>
          <t>CST-04-037</t>
        </is>
      </c>
      <c r="E959" s="12" t="inlineStr">
        <is>
          <t>Vehicles and Depot - fleet supply - supply and install</t>
        </is>
      </c>
      <c r="F959" s="12" t="inlineStr">
        <is>
          <t>ONE_TO_ONE</t>
        </is>
      </c>
      <c r="G959" s="12" t="inlineStr">
        <is>
          <t>APPROVED</t>
        </is>
      </c>
      <c r="H959" s="12" t="inlineStr">
        <is>
          <t>New</t>
        </is>
      </c>
      <c r="I959" s="12" t="inlineStr">
        <is>
          <t>Source assignment -- not individually reviewed</t>
        </is>
      </c>
      <c r="J959" s="12" t="inlineStr"/>
      <c r="K959" s="12" t="inlineStr">
        <is>
          <t>Source assignment</t>
        </is>
      </c>
      <c r="L959" s="12" t="inlineStr"/>
      <c r="M959" s="12" t="inlineStr">
        <is>
          <t>Initial</t>
        </is>
      </c>
      <c r="N959" s="12" t="inlineStr">
        <is>
          <t>Rev 0</t>
        </is>
      </c>
      <c r="O959" s="12" t="inlineStr">
        <is>
          <t>R1359-v1</t>
        </is>
      </c>
      <c r="P959" s="12" t="inlineStr"/>
      <c r="Q959" s="12" t="inlineStr"/>
      <c r="R959" s="12" t="inlineStr"/>
      <c r="S959" s="12" t="inlineStr"/>
      <c r="T959" s="12" t="inlineStr"/>
      <c r="U959" s="12" t="inlineStr"/>
      <c r="V959" s="12" t="inlineStr">
        <is>
          <t>Cost Account = CA-4037; WBS Code = 1.4.1</t>
        </is>
      </c>
      <c r="W959" s="12" t="inlineStr"/>
    </row>
    <row r="960" ht="49" customHeight="1">
      <c r="A960" s="12" t="inlineStr">
        <is>
          <t>1.4.1</t>
        </is>
      </c>
      <c r="B960" s="12" t="inlineStr">
        <is>
          <t>Vehicles and Depot - Fleet Supply</t>
        </is>
      </c>
      <c r="C960" s="12" t="inlineStr">
        <is>
          <t>Cost &amp; Forecast Control Accounts</t>
        </is>
      </c>
      <c r="D960" s="12" t="inlineStr">
        <is>
          <t>CST-04-039</t>
        </is>
      </c>
      <c r="E960" s="12" t="inlineStr">
        <is>
          <t>Vehicles and Depot - spares - allowance</t>
        </is>
      </c>
      <c r="F960" s="12" t="inlineStr">
        <is>
          <t>ONE_TO_ONE</t>
        </is>
      </c>
      <c r="G960" s="12" t="inlineStr">
        <is>
          <t>APPROVED</t>
        </is>
      </c>
      <c r="H960" s="12" t="inlineStr">
        <is>
          <t>New</t>
        </is>
      </c>
      <c r="I960" s="12" t="inlineStr">
        <is>
          <t>Source assignment -- not individually reviewed</t>
        </is>
      </c>
      <c r="J960" s="12" t="inlineStr"/>
      <c r="K960" s="12" t="inlineStr">
        <is>
          <t>Source assignment</t>
        </is>
      </c>
      <c r="L960" s="12" t="inlineStr"/>
      <c r="M960" s="12" t="inlineStr">
        <is>
          <t>Initial</t>
        </is>
      </c>
      <c r="N960" s="12" t="inlineStr">
        <is>
          <t>Rev 0</t>
        </is>
      </c>
      <c r="O960" s="12" t="inlineStr">
        <is>
          <t>R1361-v1</t>
        </is>
      </c>
      <c r="P960" s="12" t="inlineStr"/>
      <c r="Q960" s="12" t="inlineStr"/>
      <c r="R960" s="12" t="inlineStr"/>
      <c r="S960" s="12" t="inlineStr"/>
      <c r="T960" s="12" t="inlineStr"/>
      <c r="U960" s="12" t="inlineStr"/>
      <c r="V960" s="12" t="inlineStr">
        <is>
          <t>Cost Account = CA-4039; WBS Code = 1.4.1</t>
        </is>
      </c>
      <c r="W960" s="12" t="inlineStr"/>
    </row>
    <row r="961" ht="49" customHeight="1">
      <c r="A961" s="12" t="inlineStr">
        <is>
          <t>1.4.1</t>
        </is>
      </c>
      <c r="B961" s="12" t="inlineStr">
        <is>
          <t>Vehicles and Depot - Fleet Supply</t>
        </is>
      </c>
      <c r="C961" s="12" t="inlineStr">
        <is>
          <t>Cost &amp; Forecast Control Accounts</t>
        </is>
      </c>
      <c r="D961" s="12" t="inlineStr">
        <is>
          <t>CST-04-041</t>
        </is>
      </c>
      <c r="E961" s="12" t="inlineStr">
        <is>
          <t>Vehicles and Depot - workshop equipment - field package</t>
        </is>
      </c>
      <c r="F961" s="12" t="inlineStr">
        <is>
          <t>ONE_TO_ONE</t>
        </is>
      </c>
      <c r="G961" s="12" t="inlineStr">
        <is>
          <t>APPROVED</t>
        </is>
      </c>
      <c r="H961" s="12" t="inlineStr">
        <is>
          <t>New</t>
        </is>
      </c>
      <c r="I961" s="12" t="inlineStr">
        <is>
          <t>Source assignment -- not individually reviewed</t>
        </is>
      </c>
      <c r="J961" s="12" t="inlineStr"/>
      <c r="K961" s="12" t="inlineStr">
        <is>
          <t>Source assignment</t>
        </is>
      </c>
      <c r="L961" s="12" t="inlineStr"/>
      <c r="M961" s="12" t="inlineStr">
        <is>
          <t>Initial</t>
        </is>
      </c>
      <c r="N961" s="12" t="inlineStr">
        <is>
          <t>Rev 0</t>
        </is>
      </c>
      <c r="O961" s="12" t="inlineStr">
        <is>
          <t>R1363-v1</t>
        </is>
      </c>
      <c r="P961" s="12" t="inlineStr"/>
      <c r="Q961" s="12" t="inlineStr"/>
      <c r="R961" s="12" t="inlineStr"/>
      <c r="S961" s="12" t="inlineStr"/>
      <c r="T961" s="12" t="inlineStr"/>
      <c r="U961" s="12" t="inlineStr"/>
      <c r="V961" s="12" t="inlineStr">
        <is>
          <t>Cost Account = CA-4041; WBS Code = 1.4.1</t>
        </is>
      </c>
      <c r="W961" s="12" t="inlineStr"/>
    </row>
    <row r="962" ht="49" customHeight="1">
      <c r="A962" s="12" t="inlineStr">
        <is>
          <t>1.4.1</t>
        </is>
      </c>
      <c r="B962" s="12" t="inlineStr">
        <is>
          <t>Vehicles and Depot - Fleet Supply</t>
        </is>
      </c>
      <c r="C962" s="12" t="inlineStr">
        <is>
          <t>Cost &amp; Forecast Control Accounts</t>
        </is>
      </c>
      <c r="D962" s="12" t="inlineStr">
        <is>
          <t>CST-04-043</t>
        </is>
      </c>
      <c r="E962" s="12" t="inlineStr">
        <is>
          <t>Vehicles and Depot - fleet supply - professional services</t>
        </is>
      </c>
      <c r="F962" s="12" t="inlineStr">
        <is>
          <t>ONE_TO_ONE</t>
        </is>
      </c>
      <c r="G962" s="12" t="inlineStr">
        <is>
          <t>APPROVED</t>
        </is>
      </c>
      <c r="H962" s="12" t="inlineStr">
        <is>
          <t>New</t>
        </is>
      </c>
      <c r="I962" s="12" t="inlineStr">
        <is>
          <t>Source assignment -- not individually reviewed</t>
        </is>
      </c>
      <c r="J962" s="12" t="inlineStr"/>
      <c r="K962" s="12" t="inlineStr">
        <is>
          <t>Source assignment</t>
        </is>
      </c>
      <c r="L962" s="12" t="inlineStr"/>
      <c r="M962" s="12" t="inlineStr">
        <is>
          <t>Initial</t>
        </is>
      </c>
      <c r="N962" s="12" t="inlineStr">
        <is>
          <t>Rev 0</t>
        </is>
      </c>
      <c r="O962" s="12" t="inlineStr">
        <is>
          <t>R1365-v1</t>
        </is>
      </c>
      <c r="P962" s="12" t="inlineStr"/>
      <c r="Q962" s="12" t="inlineStr"/>
      <c r="R962" s="12" t="inlineStr"/>
      <c r="S962" s="12" t="inlineStr"/>
      <c r="T962" s="12" t="inlineStr"/>
      <c r="U962" s="12" t="inlineStr"/>
      <c r="V962" s="12" t="inlineStr">
        <is>
          <t>Cost Account = CA-4043; WBS Code = 1.4.1</t>
        </is>
      </c>
      <c r="W962" s="12" t="inlineStr"/>
    </row>
    <row r="963" ht="49" customHeight="1">
      <c r="A963" s="12" t="inlineStr">
        <is>
          <t>1.4.1</t>
        </is>
      </c>
      <c r="B963" s="12" t="inlineStr">
        <is>
          <t>Vehicles and Depot - Fleet Supply</t>
        </is>
      </c>
      <c r="C963" s="12" t="inlineStr">
        <is>
          <t>Cost &amp; Forecast Control Accounts</t>
        </is>
      </c>
      <c r="D963" s="12" t="inlineStr">
        <is>
          <t>CST-04-045</t>
        </is>
      </c>
      <c r="E963" s="12" t="inlineStr">
        <is>
          <t>Vehicles and Depot - spares - closeout</t>
        </is>
      </c>
      <c r="F963" s="12" t="inlineStr">
        <is>
          <t>ONE_TO_ONE</t>
        </is>
      </c>
      <c r="G963" s="12" t="inlineStr">
        <is>
          <t>APPROVED</t>
        </is>
      </c>
      <c r="H963" s="12" t="inlineStr">
        <is>
          <t>New</t>
        </is>
      </c>
      <c r="I963" s="12" t="inlineStr">
        <is>
          <t>Source assignment -- not individually reviewed</t>
        </is>
      </c>
      <c r="J963" s="12" t="inlineStr"/>
      <c r="K963" s="12" t="inlineStr">
        <is>
          <t>Source assignment</t>
        </is>
      </c>
      <c r="L963" s="12" t="inlineStr"/>
      <c r="M963" s="12" t="inlineStr">
        <is>
          <t>Initial</t>
        </is>
      </c>
      <c r="N963" s="12" t="inlineStr">
        <is>
          <t>Rev 0</t>
        </is>
      </c>
      <c r="O963" s="12" t="inlineStr">
        <is>
          <t>R1367-v1</t>
        </is>
      </c>
      <c r="P963" s="12" t="inlineStr"/>
      <c r="Q963" s="12" t="inlineStr"/>
      <c r="R963" s="12" t="inlineStr"/>
      <c r="S963" s="12" t="inlineStr"/>
      <c r="T963" s="12" t="inlineStr"/>
      <c r="U963" s="12" t="inlineStr"/>
      <c r="V963" s="12" t="inlineStr">
        <is>
          <t>Cost Account = CA-4045; WBS Code = 1.4.1</t>
        </is>
      </c>
      <c r="W963" s="12" t="inlineStr"/>
    </row>
    <row r="964" ht="49" customHeight="1">
      <c r="A964" s="12" t="inlineStr">
        <is>
          <t>1.4.1</t>
        </is>
      </c>
      <c r="B964" s="12" t="inlineStr">
        <is>
          <t>Vehicles and Depot - Fleet Supply</t>
        </is>
      </c>
      <c r="C964" s="12" t="inlineStr">
        <is>
          <t>Cost &amp; Forecast Control Accounts</t>
        </is>
      </c>
      <c r="D964" s="12" t="inlineStr">
        <is>
          <t>CST-04-047</t>
        </is>
      </c>
      <c r="E964" s="12" t="inlineStr">
        <is>
          <t>Vehicles and Depot - workshop equipment - supply and install</t>
        </is>
      </c>
      <c r="F964" s="12" t="inlineStr">
        <is>
          <t>ONE_TO_ONE</t>
        </is>
      </c>
      <c r="G964" s="12" t="inlineStr">
        <is>
          <t>APPROVED</t>
        </is>
      </c>
      <c r="H964" s="12" t="inlineStr">
        <is>
          <t>New</t>
        </is>
      </c>
      <c r="I964" s="12" t="inlineStr">
        <is>
          <t>Source assignment -- not individually reviewed</t>
        </is>
      </c>
      <c r="J964" s="12" t="inlineStr"/>
      <c r="K964" s="12" t="inlineStr">
        <is>
          <t>Source assignment</t>
        </is>
      </c>
      <c r="L964" s="12" t="inlineStr"/>
      <c r="M964" s="12" t="inlineStr">
        <is>
          <t>Initial</t>
        </is>
      </c>
      <c r="N964" s="12" t="inlineStr">
        <is>
          <t>Rev 0</t>
        </is>
      </c>
      <c r="O964" s="12" t="inlineStr">
        <is>
          <t>R1369-v1</t>
        </is>
      </c>
      <c r="P964" s="12" t="inlineStr"/>
      <c r="Q964" s="12" t="inlineStr"/>
      <c r="R964" s="12" t="inlineStr"/>
      <c r="S964" s="12" t="inlineStr"/>
      <c r="T964" s="12" t="inlineStr"/>
      <c r="U964" s="12" t="inlineStr"/>
      <c r="V964" s="12" t="inlineStr">
        <is>
          <t>Cost Account = CA-4047; WBS Code = 1.4.1</t>
        </is>
      </c>
      <c r="W964" s="12" t="inlineStr"/>
    </row>
    <row r="965" ht="49" customHeight="1">
      <c r="A965" s="12" t="inlineStr">
        <is>
          <t>1.4.1</t>
        </is>
      </c>
      <c r="B965" s="12" t="inlineStr">
        <is>
          <t>Vehicles and Depot - Fleet Supply</t>
        </is>
      </c>
      <c r="C965" s="12" t="inlineStr">
        <is>
          <t>Cost &amp; Forecast Control Accounts</t>
        </is>
      </c>
      <c r="D965" s="12" t="inlineStr">
        <is>
          <t>CST-04-049</t>
        </is>
      </c>
      <c r="E965" s="12" t="inlineStr">
        <is>
          <t>Vehicles and Depot - fleet supply - allowance</t>
        </is>
      </c>
      <c r="F965" s="12" t="inlineStr">
        <is>
          <t>ONE_TO_ONE</t>
        </is>
      </c>
      <c r="G965" s="12" t="inlineStr">
        <is>
          <t>APPROVED</t>
        </is>
      </c>
      <c r="H965" s="12" t="inlineStr">
        <is>
          <t>New</t>
        </is>
      </c>
      <c r="I965" s="12" t="inlineStr">
        <is>
          <t>Source assignment -- not individually reviewed</t>
        </is>
      </c>
      <c r="J965" s="12" t="inlineStr"/>
      <c r="K965" s="12" t="inlineStr">
        <is>
          <t>Source assignment</t>
        </is>
      </c>
      <c r="L965" s="12" t="inlineStr"/>
      <c r="M965" s="12" t="inlineStr">
        <is>
          <t>Initial</t>
        </is>
      </c>
      <c r="N965" s="12" t="inlineStr">
        <is>
          <t>Rev 0</t>
        </is>
      </c>
      <c r="O965" s="12" t="inlineStr">
        <is>
          <t>R1371-v1</t>
        </is>
      </c>
      <c r="P965" s="12" t="inlineStr"/>
      <c r="Q965" s="12" t="inlineStr"/>
      <c r="R965" s="12" t="inlineStr"/>
      <c r="S965" s="12" t="inlineStr"/>
      <c r="T965" s="12" t="inlineStr"/>
      <c r="U965" s="12" t="inlineStr"/>
      <c r="V965" s="12" t="inlineStr">
        <is>
          <t>Cost Account = CA-4049; WBS Code = 1.4.1</t>
        </is>
      </c>
      <c r="W965" s="12" t="inlineStr"/>
    </row>
    <row r="966" ht="49" customHeight="1">
      <c r="A966" s="12" t="inlineStr">
        <is>
          <t>1.4.1</t>
        </is>
      </c>
      <c r="B966" s="12" t="inlineStr">
        <is>
          <t>Vehicles and Depot - Fleet Supply</t>
        </is>
      </c>
      <c r="C966" s="12" t="inlineStr">
        <is>
          <t>Cost &amp; Forecast Control Accounts</t>
        </is>
      </c>
      <c r="D966" s="12" t="inlineStr">
        <is>
          <t>CST-04-051</t>
        </is>
      </c>
      <c r="E966" s="12" t="inlineStr">
        <is>
          <t>Vehicles and Depot - spares - field package</t>
        </is>
      </c>
      <c r="F966" s="12" t="inlineStr">
        <is>
          <t>ONE_TO_ONE</t>
        </is>
      </c>
      <c r="G966" s="12" t="inlineStr">
        <is>
          <t>APPROVED</t>
        </is>
      </c>
      <c r="H966" s="12" t="inlineStr">
        <is>
          <t>New</t>
        </is>
      </c>
      <c r="I966" s="12" t="inlineStr">
        <is>
          <t>Source assignment -- not individually reviewed</t>
        </is>
      </c>
      <c r="J966" s="12" t="inlineStr"/>
      <c r="K966" s="12" t="inlineStr">
        <is>
          <t>Source assignment</t>
        </is>
      </c>
      <c r="L966" s="12" t="inlineStr"/>
      <c r="M966" s="12" t="inlineStr">
        <is>
          <t>Initial</t>
        </is>
      </c>
      <c r="N966" s="12" t="inlineStr">
        <is>
          <t>Rev 0</t>
        </is>
      </c>
      <c r="O966" s="12" t="inlineStr">
        <is>
          <t>R1373-v1</t>
        </is>
      </c>
      <c r="P966" s="12" t="inlineStr"/>
      <c r="Q966" s="12" t="inlineStr"/>
      <c r="R966" s="12" t="inlineStr"/>
      <c r="S966" s="12" t="inlineStr"/>
      <c r="T966" s="12" t="inlineStr"/>
      <c r="U966" s="12" t="inlineStr"/>
      <c r="V966" s="12" t="inlineStr">
        <is>
          <t>Cost Account = CA-4051; WBS Code = 1.4.1</t>
        </is>
      </c>
      <c r="W966" s="12" t="inlineStr"/>
    </row>
    <row r="967" ht="49" customHeight="1">
      <c r="A967" s="12" t="inlineStr">
        <is>
          <t>1.4.1</t>
        </is>
      </c>
      <c r="B967" s="12" t="inlineStr">
        <is>
          <t>Vehicles and Depot - Fleet Supply</t>
        </is>
      </c>
      <c r="C967" s="12" t="inlineStr">
        <is>
          <t>Cost &amp; Forecast Control Accounts</t>
        </is>
      </c>
      <c r="D967" s="12" t="inlineStr">
        <is>
          <t>CST-04-053</t>
        </is>
      </c>
      <c r="E967" s="12" t="inlineStr">
        <is>
          <t>Vehicles and Depot - workshop equipment - professional services</t>
        </is>
      </c>
      <c r="F967" s="12" t="inlineStr">
        <is>
          <t>ONE_TO_ONE</t>
        </is>
      </c>
      <c r="G967" s="12" t="inlineStr">
        <is>
          <t>APPROVED</t>
        </is>
      </c>
      <c r="H967" s="12" t="inlineStr">
        <is>
          <t>New</t>
        </is>
      </c>
      <c r="I967" s="12" t="inlineStr">
        <is>
          <t>Source assignment -- not individually reviewed</t>
        </is>
      </c>
      <c r="J967" s="12" t="inlineStr"/>
      <c r="K967" s="12" t="inlineStr">
        <is>
          <t>Source assignment</t>
        </is>
      </c>
      <c r="L967" s="12" t="inlineStr"/>
      <c r="M967" s="12" t="inlineStr">
        <is>
          <t>Initial</t>
        </is>
      </c>
      <c r="N967" s="12" t="inlineStr">
        <is>
          <t>Rev 0</t>
        </is>
      </c>
      <c r="O967" s="12" t="inlineStr">
        <is>
          <t>R1375-v1</t>
        </is>
      </c>
      <c r="P967" s="12" t="inlineStr"/>
      <c r="Q967" s="12" t="inlineStr"/>
      <c r="R967" s="12" t="inlineStr"/>
      <c r="S967" s="12" t="inlineStr"/>
      <c r="T967" s="12" t="inlineStr"/>
      <c r="U967" s="12" t="inlineStr"/>
      <c r="V967" s="12" t="inlineStr">
        <is>
          <t>Cost Account = CA-4053; WBS Code = 1.4.1</t>
        </is>
      </c>
      <c r="W967" s="12" t="inlineStr"/>
    </row>
    <row r="968" ht="49" customHeight="1">
      <c r="A968" s="12" t="inlineStr">
        <is>
          <t>1.4.1</t>
        </is>
      </c>
      <c r="B968" s="12" t="inlineStr">
        <is>
          <t>Vehicles and Depot - Fleet Supply</t>
        </is>
      </c>
      <c r="C968" s="12" t="inlineStr">
        <is>
          <t>Cost &amp; Forecast Control Accounts</t>
        </is>
      </c>
      <c r="D968" s="12" t="inlineStr">
        <is>
          <t>CST-04-055</t>
        </is>
      </c>
      <c r="E968" s="12" t="inlineStr">
        <is>
          <t>Vehicles and Depot - fleet supply - closeout</t>
        </is>
      </c>
      <c r="F968" s="12" t="inlineStr">
        <is>
          <t>ONE_TO_ONE</t>
        </is>
      </c>
      <c r="G968" s="12" t="inlineStr">
        <is>
          <t>APPROVED</t>
        </is>
      </c>
      <c r="H968" s="12" t="inlineStr">
        <is>
          <t>New</t>
        </is>
      </c>
      <c r="I968" s="12" t="inlineStr">
        <is>
          <t>Source assignment -- not individually reviewed</t>
        </is>
      </c>
      <c r="J968" s="12" t="inlineStr"/>
      <c r="K968" s="12" t="inlineStr">
        <is>
          <t>Source assignment</t>
        </is>
      </c>
      <c r="L968" s="12" t="inlineStr"/>
      <c r="M968" s="12" t="inlineStr">
        <is>
          <t>Initial</t>
        </is>
      </c>
      <c r="N968" s="12" t="inlineStr">
        <is>
          <t>Rev 0</t>
        </is>
      </c>
      <c r="O968" s="12" t="inlineStr">
        <is>
          <t>R1377-v1</t>
        </is>
      </c>
      <c r="P968" s="12" t="inlineStr"/>
      <c r="Q968" s="12" t="inlineStr"/>
      <c r="R968" s="12" t="inlineStr"/>
      <c r="S968" s="12" t="inlineStr"/>
      <c r="T968" s="12" t="inlineStr"/>
      <c r="U968" s="12" t="inlineStr"/>
      <c r="V968" s="12" t="inlineStr">
        <is>
          <t>Cost Account = CA-4055; WBS Code = 1.4.1</t>
        </is>
      </c>
      <c r="W968" s="12" t="inlineStr"/>
    </row>
    <row r="969" ht="49" customHeight="1">
      <c r="A969" s="12" t="inlineStr">
        <is>
          <t>1.4.1</t>
        </is>
      </c>
      <c r="B969" s="12" t="inlineStr">
        <is>
          <t>Vehicles and Depot - Fleet Supply</t>
        </is>
      </c>
      <c r="C969" s="12" t="inlineStr">
        <is>
          <t>Cost &amp; Forecast Control Accounts</t>
        </is>
      </c>
      <c r="D969" s="12" t="inlineStr">
        <is>
          <t>CST-04-057</t>
        </is>
      </c>
      <c r="E969" s="12" t="inlineStr">
        <is>
          <t>Vehicles and Depot - spares - supply and install</t>
        </is>
      </c>
      <c r="F969" s="12" t="inlineStr">
        <is>
          <t>ONE_TO_ONE</t>
        </is>
      </c>
      <c r="G969" s="12" t="inlineStr">
        <is>
          <t>APPROVED</t>
        </is>
      </c>
      <c r="H969" s="12" t="inlineStr">
        <is>
          <t>New</t>
        </is>
      </c>
      <c r="I969" s="12" t="inlineStr">
        <is>
          <t>Source assignment -- not individually reviewed</t>
        </is>
      </c>
      <c r="J969" s="12" t="inlineStr"/>
      <c r="K969" s="12" t="inlineStr">
        <is>
          <t>Source assignment</t>
        </is>
      </c>
      <c r="L969" s="12" t="inlineStr"/>
      <c r="M969" s="12" t="inlineStr">
        <is>
          <t>Initial</t>
        </is>
      </c>
      <c r="N969" s="12" t="inlineStr">
        <is>
          <t>Rev 0</t>
        </is>
      </c>
      <c r="O969" s="12" t="inlineStr">
        <is>
          <t>R1379-v1</t>
        </is>
      </c>
      <c r="P969" s="12" t="inlineStr"/>
      <c r="Q969" s="12" t="inlineStr"/>
      <c r="R969" s="12" t="inlineStr"/>
      <c r="S969" s="12" t="inlineStr"/>
      <c r="T969" s="12" t="inlineStr"/>
      <c r="U969" s="12" t="inlineStr"/>
      <c r="V969" s="12" t="inlineStr">
        <is>
          <t>Cost Account = CA-4057; WBS Code = 1.4.1</t>
        </is>
      </c>
      <c r="W969" s="12" t="inlineStr"/>
    </row>
    <row r="970" ht="49" customHeight="1">
      <c r="A970" s="12" t="inlineStr">
        <is>
          <t>1.4.1</t>
        </is>
      </c>
      <c r="B970" s="12" t="inlineStr">
        <is>
          <t>Vehicles and Depot - Fleet Supply</t>
        </is>
      </c>
      <c r="C970" s="12" t="inlineStr">
        <is>
          <t>Cost &amp; Forecast Control Accounts</t>
        </is>
      </c>
      <c r="D970" s="12" t="inlineStr">
        <is>
          <t>CST-04-059</t>
        </is>
      </c>
      <c r="E970" s="12" t="inlineStr">
        <is>
          <t>Vehicles and Depot - workshop equipment - allowance</t>
        </is>
      </c>
      <c r="F970" s="12" t="inlineStr">
        <is>
          <t>ONE_TO_ONE</t>
        </is>
      </c>
      <c r="G970" s="12" t="inlineStr">
        <is>
          <t>APPROVED</t>
        </is>
      </c>
      <c r="H970" s="12" t="inlineStr">
        <is>
          <t>New</t>
        </is>
      </c>
      <c r="I970" s="12" t="inlineStr">
        <is>
          <t>Source assignment -- not individually reviewed</t>
        </is>
      </c>
      <c r="J970" s="12" t="inlineStr"/>
      <c r="K970" s="12" t="inlineStr">
        <is>
          <t>Source assignment</t>
        </is>
      </c>
      <c r="L970" s="12" t="inlineStr"/>
      <c r="M970" s="12" t="inlineStr">
        <is>
          <t>Initial</t>
        </is>
      </c>
      <c r="N970" s="12" t="inlineStr">
        <is>
          <t>Rev 0</t>
        </is>
      </c>
      <c r="O970" s="12" t="inlineStr">
        <is>
          <t>R1381-v1</t>
        </is>
      </c>
      <c r="P970" s="12" t="inlineStr"/>
      <c r="Q970" s="12" t="inlineStr"/>
      <c r="R970" s="12" t="inlineStr"/>
      <c r="S970" s="12" t="inlineStr"/>
      <c r="T970" s="12" t="inlineStr"/>
      <c r="U970" s="12" t="inlineStr"/>
      <c r="V970" s="12" t="inlineStr">
        <is>
          <t>Cost Account = CA-4059; WBS Code = 1.4.1</t>
        </is>
      </c>
      <c r="W970" s="12" t="inlineStr"/>
    </row>
    <row r="971" ht="49" customHeight="1">
      <c r="A971" s="12" t="inlineStr">
        <is>
          <t>1.4.1</t>
        </is>
      </c>
      <c r="B971" s="12" t="inlineStr">
        <is>
          <t>Vehicles and Depot - Fleet Supply</t>
        </is>
      </c>
      <c r="C971" s="12" t="inlineStr">
        <is>
          <t>Cost &amp; Forecast Control Accounts</t>
        </is>
      </c>
      <c r="D971" s="12" t="inlineStr">
        <is>
          <t>CST-04-061</t>
        </is>
      </c>
      <c r="E971" s="12" t="inlineStr">
        <is>
          <t>Vehicles and Depot - fleet supply - field package</t>
        </is>
      </c>
      <c r="F971" s="12" t="inlineStr">
        <is>
          <t>ONE_TO_ONE</t>
        </is>
      </c>
      <c r="G971" s="12" t="inlineStr">
        <is>
          <t>APPROVED</t>
        </is>
      </c>
      <c r="H971" s="12" t="inlineStr">
        <is>
          <t>New</t>
        </is>
      </c>
      <c r="I971" s="12" t="inlineStr">
        <is>
          <t>Source assignment -- not individually reviewed</t>
        </is>
      </c>
      <c r="J971" s="12" t="inlineStr"/>
      <c r="K971" s="12" t="inlineStr">
        <is>
          <t>Source assignment</t>
        </is>
      </c>
      <c r="L971" s="12" t="inlineStr"/>
      <c r="M971" s="12" t="inlineStr">
        <is>
          <t>Initial</t>
        </is>
      </c>
      <c r="N971" s="12" t="inlineStr">
        <is>
          <t>Rev 0</t>
        </is>
      </c>
      <c r="O971" s="12" t="inlineStr">
        <is>
          <t>R1383-v1</t>
        </is>
      </c>
      <c r="P971" s="12" t="inlineStr"/>
      <c r="Q971" s="12" t="inlineStr"/>
      <c r="R971" s="12" t="inlineStr"/>
      <c r="S971" s="12" t="inlineStr"/>
      <c r="T971" s="12" t="inlineStr"/>
      <c r="U971" s="12" t="inlineStr"/>
      <c r="V971" s="12" t="inlineStr">
        <is>
          <t>Cost Account = CA-4061; WBS Code = 1.4.1</t>
        </is>
      </c>
      <c r="W971" s="12" t="inlineStr"/>
    </row>
    <row r="972" ht="49" customHeight="1">
      <c r="A972" s="12" t="inlineStr">
        <is>
          <t>1.4.1</t>
        </is>
      </c>
      <c r="B972" s="12" t="inlineStr">
        <is>
          <t>Vehicles and Depot - Fleet Supply</t>
        </is>
      </c>
      <c r="C972" s="12" t="inlineStr">
        <is>
          <t>Cost &amp; Forecast Control Accounts</t>
        </is>
      </c>
      <c r="D972" s="12" t="inlineStr">
        <is>
          <t>CST-04-063</t>
        </is>
      </c>
      <c r="E972" s="12" t="inlineStr">
        <is>
          <t>Vehicles and Depot - spares - professional services</t>
        </is>
      </c>
      <c r="F972" s="12" t="inlineStr">
        <is>
          <t>ONE_TO_ONE</t>
        </is>
      </c>
      <c r="G972" s="12" t="inlineStr">
        <is>
          <t>APPROVED</t>
        </is>
      </c>
      <c r="H972" s="12" t="inlineStr">
        <is>
          <t>New</t>
        </is>
      </c>
      <c r="I972" s="12" t="inlineStr">
        <is>
          <t>Source assignment -- not individually reviewed</t>
        </is>
      </c>
      <c r="J972" s="12" t="inlineStr"/>
      <c r="K972" s="12" t="inlineStr">
        <is>
          <t>Source assignment</t>
        </is>
      </c>
      <c r="L972" s="12" t="inlineStr"/>
      <c r="M972" s="12" t="inlineStr">
        <is>
          <t>Initial</t>
        </is>
      </c>
      <c r="N972" s="12" t="inlineStr">
        <is>
          <t>Rev 0</t>
        </is>
      </c>
      <c r="O972" s="12" t="inlineStr">
        <is>
          <t>R1385-v1</t>
        </is>
      </c>
      <c r="P972" s="12" t="inlineStr"/>
      <c r="Q972" s="12" t="inlineStr"/>
      <c r="R972" s="12" t="inlineStr"/>
      <c r="S972" s="12" t="inlineStr"/>
      <c r="T972" s="12" t="inlineStr"/>
      <c r="U972" s="12" t="inlineStr"/>
      <c r="V972" s="12" t="inlineStr">
        <is>
          <t>Cost Account = CA-4063; WBS Code = 1.4.1</t>
        </is>
      </c>
      <c r="W972" s="12" t="inlineStr"/>
    </row>
    <row r="973" ht="49" customHeight="1">
      <c r="A973" s="12" t="inlineStr">
        <is>
          <t>1.4.1</t>
        </is>
      </c>
      <c r="B973" s="12" t="inlineStr">
        <is>
          <t>Vehicles and Depot - Fleet Supply</t>
        </is>
      </c>
      <c r="C973" s="12" t="inlineStr">
        <is>
          <t>Cost &amp; Forecast Control Accounts</t>
        </is>
      </c>
      <c r="D973" s="12" t="inlineStr">
        <is>
          <t>CST-04-065</t>
        </is>
      </c>
      <c r="E973" s="12" t="inlineStr">
        <is>
          <t>Vehicles and Depot - workshop equipment - closeout</t>
        </is>
      </c>
      <c r="F973" s="12" t="inlineStr">
        <is>
          <t>ONE_TO_ONE</t>
        </is>
      </c>
      <c r="G973" s="12" t="inlineStr">
        <is>
          <t>APPROVED</t>
        </is>
      </c>
      <c r="H973" s="12" t="inlineStr">
        <is>
          <t>New</t>
        </is>
      </c>
      <c r="I973" s="12" t="inlineStr">
        <is>
          <t>Source assignment -- not individually reviewed</t>
        </is>
      </c>
      <c r="J973" s="12" t="inlineStr"/>
      <c r="K973" s="12" t="inlineStr">
        <is>
          <t>Source assignment</t>
        </is>
      </c>
      <c r="L973" s="12" t="inlineStr"/>
      <c r="M973" s="12" t="inlineStr">
        <is>
          <t>Initial</t>
        </is>
      </c>
      <c r="N973" s="12" t="inlineStr">
        <is>
          <t>Rev 0</t>
        </is>
      </c>
      <c r="O973" s="12" t="inlineStr">
        <is>
          <t>R1387-v1</t>
        </is>
      </c>
      <c r="P973" s="12" t="inlineStr"/>
      <c r="Q973" s="12" t="inlineStr"/>
      <c r="R973" s="12" t="inlineStr"/>
      <c r="S973" s="12" t="inlineStr"/>
      <c r="T973" s="12" t="inlineStr"/>
      <c r="U973" s="12" t="inlineStr"/>
      <c r="V973" s="12" t="inlineStr">
        <is>
          <t>Cost Account = CA-4065; WBS Code = 1.4.1</t>
        </is>
      </c>
      <c r="W973" s="12" t="inlineStr"/>
    </row>
    <row r="974" ht="49" customHeight="1">
      <c r="A974" s="12" t="inlineStr">
        <is>
          <t>1.4.1</t>
        </is>
      </c>
      <c r="B974" s="12" t="inlineStr">
        <is>
          <t>Vehicles and Depot - Fleet Supply</t>
        </is>
      </c>
      <c r="C974" s="12" t="inlineStr">
        <is>
          <t>Cost &amp; Forecast Control Accounts</t>
        </is>
      </c>
      <c r="D974" s="12" t="inlineStr">
        <is>
          <t>CST-04-067</t>
        </is>
      </c>
      <c r="E974" s="12" t="inlineStr">
        <is>
          <t>Vehicles and Depot - fleet supply - supply and install</t>
        </is>
      </c>
      <c r="F974" s="12" t="inlineStr">
        <is>
          <t>ONE_TO_ONE</t>
        </is>
      </c>
      <c r="G974" s="12" t="inlineStr">
        <is>
          <t>APPROVED</t>
        </is>
      </c>
      <c r="H974" s="12" t="inlineStr">
        <is>
          <t>New</t>
        </is>
      </c>
      <c r="I974" s="12" t="inlineStr">
        <is>
          <t>Source assignment -- not individually reviewed</t>
        </is>
      </c>
      <c r="J974" s="12" t="inlineStr"/>
      <c r="K974" s="12" t="inlineStr">
        <is>
          <t>Source assignment</t>
        </is>
      </c>
      <c r="L974" s="12" t="inlineStr"/>
      <c r="M974" s="12" t="inlineStr">
        <is>
          <t>Initial</t>
        </is>
      </c>
      <c r="N974" s="12" t="inlineStr">
        <is>
          <t>Rev 0</t>
        </is>
      </c>
      <c r="O974" s="12" t="inlineStr">
        <is>
          <t>R1389-v1</t>
        </is>
      </c>
      <c r="P974" s="12" t="inlineStr"/>
      <c r="Q974" s="12" t="inlineStr"/>
      <c r="R974" s="12" t="inlineStr"/>
      <c r="S974" s="12" t="inlineStr"/>
      <c r="T974" s="12" t="inlineStr"/>
      <c r="U974" s="12" t="inlineStr"/>
      <c r="V974" s="12" t="inlineStr">
        <is>
          <t>Cost Account = CA-4067; WBS Code = 1.4.1</t>
        </is>
      </c>
      <c r="W974" s="12" t="inlineStr"/>
    </row>
    <row r="975" ht="49" customHeight="1">
      <c r="A975" s="12" t="inlineStr">
        <is>
          <t>1.4.1</t>
        </is>
      </c>
      <c r="B975" s="12" t="inlineStr">
        <is>
          <t>Vehicles and Depot - Fleet Supply</t>
        </is>
      </c>
      <c r="C975" s="12" t="inlineStr">
        <is>
          <t>Cost &amp; Forecast Control Accounts</t>
        </is>
      </c>
      <c r="D975" s="12" t="inlineStr">
        <is>
          <t>CST-04-069</t>
        </is>
      </c>
      <c r="E975" s="12" t="inlineStr">
        <is>
          <t>Vehicles and Depot - spares - allowance</t>
        </is>
      </c>
      <c r="F975" s="12" t="inlineStr">
        <is>
          <t>ONE_TO_ONE</t>
        </is>
      </c>
      <c r="G975" s="12" t="inlineStr">
        <is>
          <t>APPROVED</t>
        </is>
      </c>
      <c r="H975" s="12" t="inlineStr">
        <is>
          <t>New</t>
        </is>
      </c>
      <c r="I975" s="12" t="inlineStr">
        <is>
          <t>Source assignment -- not individually reviewed</t>
        </is>
      </c>
      <c r="J975" s="12" t="inlineStr"/>
      <c r="K975" s="12" t="inlineStr">
        <is>
          <t>Source assignment</t>
        </is>
      </c>
      <c r="L975" s="12" t="inlineStr"/>
      <c r="M975" s="12" t="inlineStr">
        <is>
          <t>Initial</t>
        </is>
      </c>
      <c r="N975" s="12" t="inlineStr">
        <is>
          <t>Rev 0</t>
        </is>
      </c>
      <c r="O975" s="12" t="inlineStr">
        <is>
          <t>R1391-v1</t>
        </is>
      </c>
      <c r="P975" s="12" t="inlineStr"/>
      <c r="Q975" s="12" t="inlineStr"/>
      <c r="R975" s="12" t="inlineStr"/>
      <c r="S975" s="12" t="inlineStr"/>
      <c r="T975" s="12" t="inlineStr"/>
      <c r="U975" s="12" t="inlineStr"/>
      <c r="V975" s="12" t="inlineStr">
        <is>
          <t>Cost Account = CA-4069; WBS Code = 1.4.1</t>
        </is>
      </c>
      <c r="W975" s="12" t="inlineStr"/>
    </row>
    <row r="976" ht="49" customHeight="1">
      <c r="A976" s="12" t="inlineStr">
        <is>
          <t>1.4.1</t>
        </is>
      </c>
      <c r="B976" s="12" t="inlineStr">
        <is>
          <t>Vehicles and Depot - Fleet Supply</t>
        </is>
      </c>
      <c r="C976" s="12" t="inlineStr">
        <is>
          <t>Cost &amp; Forecast Control Accounts</t>
        </is>
      </c>
      <c r="D976" s="12" t="inlineStr">
        <is>
          <t>CST-04-071</t>
        </is>
      </c>
      <c r="E976" s="12" t="inlineStr">
        <is>
          <t>Vehicles and Depot - workshop equipment - field package</t>
        </is>
      </c>
      <c r="F976" s="12" t="inlineStr">
        <is>
          <t>ONE_TO_ONE</t>
        </is>
      </c>
      <c r="G976" s="12" t="inlineStr">
        <is>
          <t>APPROVED</t>
        </is>
      </c>
      <c r="H976" s="12" t="inlineStr">
        <is>
          <t>New</t>
        </is>
      </c>
      <c r="I976" s="12" t="inlineStr">
        <is>
          <t>Source assignment -- not individually reviewed</t>
        </is>
      </c>
      <c r="J976" s="12" t="inlineStr"/>
      <c r="K976" s="12" t="inlineStr">
        <is>
          <t>Source assignment</t>
        </is>
      </c>
      <c r="L976" s="12" t="inlineStr"/>
      <c r="M976" s="12" t="inlineStr">
        <is>
          <t>Initial</t>
        </is>
      </c>
      <c r="N976" s="12" t="inlineStr">
        <is>
          <t>Rev 0</t>
        </is>
      </c>
      <c r="O976" s="12" t="inlineStr">
        <is>
          <t>R1393-v1</t>
        </is>
      </c>
      <c r="P976" s="12" t="inlineStr"/>
      <c r="Q976" s="12" t="inlineStr"/>
      <c r="R976" s="12" t="inlineStr"/>
      <c r="S976" s="12" t="inlineStr"/>
      <c r="T976" s="12" t="inlineStr"/>
      <c r="U976" s="12" t="inlineStr"/>
      <c r="V976" s="12" t="inlineStr">
        <is>
          <t>Cost Account = CA-4071; WBS Code = 1.4.1</t>
        </is>
      </c>
      <c r="W976" s="12" t="inlineStr"/>
    </row>
    <row r="977" ht="49" customHeight="1">
      <c r="A977" s="12" t="inlineStr">
        <is>
          <t>1.4.1</t>
        </is>
      </c>
      <c r="B977" s="12" t="inlineStr">
        <is>
          <t>Vehicles and Depot - Fleet Supply</t>
        </is>
      </c>
      <c r="C977" s="12" t="inlineStr">
        <is>
          <t>Cost &amp; Forecast Control Accounts</t>
        </is>
      </c>
      <c r="D977" s="12" t="inlineStr">
        <is>
          <t>CST-04-073</t>
        </is>
      </c>
      <c r="E977" s="12" t="inlineStr">
        <is>
          <t>Vehicles and Depot - fleet supply - professional services</t>
        </is>
      </c>
      <c r="F977" s="12" t="inlineStr">
        <is>
          <t>ONE_TO_ONE</t>
        </is>
      </c>
      <c r="G977" s="12" t="inlineStr">
        <is>
          <t>APPROVED</t>
        </is>
      </c>
      <c r="H977" s="12" t="inlineStr">
        <is>
          <t>New</t>
        </is>
      </c>
      <c r="I977" s="12" t="inlineStr">
        <is>
          <t>Source assignment -- not individually reviewed</t>
        </is>
      </c>
      <c r="J977" s="12" t="inlineStr"/>
      <c r="K977" s="12" t="inlineStr">
        <is>
          <t>Source assignment</t>
        </is>
      </c>
      <c r="L977" s="12" t="inlineStr"/>
      <c r="M977" s="12" t="inlineStr">
        <is>
          <t>Initial</t>
        </is>
      </c>
      <c r="N977" s="12" t="inlineStr">
        <is>
          <t>Rev 0</t>
        </is>
      </c>
      <c r="O977" s="12" t="inlineStr">
        <is>
          <t>R1395-v1</t>
        </is>
      </c>
      <c r="P977" s="12" t="inlineStr"/>
      <c r="Q977" s="12" t="inlineStr"/>
      <c r="R977" s="12" t="inlineStr"/>
      <c r="S977" s="12" t="inlineStr"/>
      <c r="T977" s="12" t="inlineStr"/>
      <c r="U977" s="12" t="inlineStr"/>
      <c r="V977" s="12" t="inlineStr">
        <is>
          <t>Cost Account = CA-4073; WBS Code = 1.4.1</t>
        </is>
      </c>
      <c r="W977" s="12" t="inlineStr"/>
    </row>
    <row r="978" ht="49" customHeight="1">
      <c r="A978" s="12" t="inlineStr">
        <is>
          <t>1.4.1</t>
        </is>
      </c>
      <c r="B978" s="12" t="inlineStr">
        <is>
          <t>Vehicles and Depot - Fleet Supply</t>
        </is>
      </c>
      <c r="C978" s="12" t="inlineStr">
        <is>
          <t>Cost &amp; Forecast Control Accounts</t>
        </is>
      </c>
      <c r="D978" s="12" t="inlineStr">
        <is>
          <t>CST-04-075</t>
        </is>
      </c>
      <c r="E978" s="12" t="inlineStr">
        <is>
          <t>Vehicles and Depot - spares - closeout</t>
        </is>
      </c>
      <c r="F978" s="12" t="inlineStr">
        <is>
          <t>ONE_TO_ONE</t>
        </is>
      </c>
      <c r="G978" s="12" t="inlineStr">
        <is>
          <t>APPROVED</t>
        </is>
      </c>
      <c r="H978" s="12" t="inlineStr">
        <is>
          <t>New</t>
        </is>
      </c>
      <c r="I978" s="12" t="inlineStr">
        <is>
          <t>Source assignment -- not individually reviewed</t>
        </is>
      </c>
      <c r="J978" s="12" t="inlineStr"/>
      <c r="K978" s="12" t="inlineStr">
        <is>
          <t>Source assignment</t>
        </is>
      </c>
      <c r="L978" s="12" t="inlineStr"/>
      <c r="M978" s="12" t="inlineStr">
        <is>
          <t>Initial</t>
        </is>
      </c>
      <c r="N978" s="12" t="inlineStr">
        <is>
          <t>Rev 0</t>
        </is>
      </c>
      <c r="O978" s="12" t="inlineStr">
        <is>
          <t>R1397-v1</t>
        </is>
      </c>
      <c r="P978" s="12" t="inlineStr"/>
      <c r="Q978" s="12" t="inlineStr"/>
      <c r="R978" s="12" t="inlineStr"/>
      <c r="S978" s="12" t="inlineStr"/>
      <c r="T978" s="12" t="inlineStr"/>
      <c r="U978" s="12" t="inlineStr"/>
      <c r="V978" s="12" t="inlineStr">
        <is>
          <t>Cost Account = CA-4075; WBS Code = 1.4.1</t>
        </is>
      </c>
      <c r="W978" s="12" t="inlineStr"/>
    </row>
    <row r="979" ht="49" customHeight="1">
      <c r="A979" s="12" t="inlineStr">
        <is>
          <t>1.4.1</t>
        </is>
      </c>
      <c r="B979" s="12" t="inlineStr">
        <is>
          <t>Vehicles and Depot - Fleet Supply</t>
        </is>
      </c>
      <c r="C979" s="12" t="inlineStr">
        <is>
          <t>Cost &amp; Forecast Control Accounts</t>
        </is>
      </c>
      <c r="D979" s="12" t="inlineStr">
        <is>
          <t>CST-04-077</t>
        </is>
      </c>
      <c r="E979" s="12" t="inlineStr">
        <is>
          <t>Vehicles and Depot - workshop equipment - supply and install</t>
        </is>
      </c>
      <c r="F979" s="12" t="inlineStr">
        <is>
          <t>ONE_TO_ONE</t>
        </is>
      </c>
      <c r="G979" s="12" t="inlineStr">
        <is>
          <t>APPROVED</t>
        </is>
      </c>
      <c r="H979" s="12" t="inlineStr">
        <is>
          <t>New</t>
        </is>
      </c>
      <c r="I979" s="12" t="inlineStr">
        <is>
          <t>Source assignment -- not individually reviewed</t>
        </is>
      </c>
      <c r="J979" s="12" t="inlineStr"/>
      <c r="K979" s="12" t="inlineStr">
        <is>
          <t>Source assignment</t>
        </is>
      </c>
      <c r="L979" s="12" t="inlineStr"/>
      <c r="M979" s="12" t="inlineStr">
        <is>
          <t>Initial</t>
        </is>
      </c>
      <c r="N979" s="12" t="inlineStr">
        <is>
          <t>Rev 0</t>
        </is>
      </c>
      <c r="O979" s="12" t="inlineStr">
        <is>
          <t>R1399-v1</t>
        </is>
      </c>
      <c r="P979" s="12" t="inlineStr"/>
      <c r="Q979" s="12" t="inlineStr"/>
      <c r="R979" s="12" t="inlineStr"/>
      <c r="S979" s="12" t="inlineStr"/>
      <c r="T979" s="12" t="inlineStr"/>
      <c r="U979" s="12" t="inlineStr"/>
      <c r="V979" s="12" t="inlineStr">
        <is>
          <t>Cost Account = CA-4077; WBS Code = 1.4.1</t>
        </is>
      </c>
      <c r="W979" s="12" t="inlineStr"/>
    </row>
    <row r="980" ht="49" customHeight="1">
      <c r="A980" s="12" t="inlineStr">
        <is>
          <t>1.4.1</t>
        </is>
      </c>
      <c r="B980" s="12" t="inlineStr">
        <is>
          <t>Vehicles and Depot - Fleet Supply</t>
        </is>
      </c>
      <c r="C980" s="12" t="inlineStr">
        <is>
          <t>Cost &amp; Forecast Control Accounts</t>
        </is>
      </c>
      <c r="D980" s="12" t="inlineStr">
        <is>
          <t>CST-04-079</t>
        </is>
      </c>
      <c r="E980" s="12" t="inlineStr">
        <is>
          <t>Vehicles and Depot - fleet supply - allowance</t>
        </is>
      </c>
      <c r="F980" s="12" t="inlineStr">
        <is>
          <t>ONE_TO_ONE</t>
        </is>
      </c>
      <c r="G980" s="12" t="inlineStr">
        <is>
          <t>APPROVED</t>
        </is>
      </c>
      <c r="H980" s="12" t="inlineStr">
        <is>
          <t>New</t>
        </is>
      </c>
      <c r="I980" s="12" t="inlineStr">
        <is>
          <t>Source assignment -- not individually reviewed</t>
        </is>
      </c>
      <c r="J980" s="12" t="inlineStr"/>
      <c r="K980" s="12" t="inlineStr">
        <is>
          <t>Source assignment</t>
        </is>
      </c>
      <c r="L980" s="12" t="inlineStr"/>
      <c r="M980" s="12" t="inlineStr">
        <is>
          <t>Initial</t>
        </is>
      </c>
      <c r="N980" s="12" t="inlineStr">
        <is>
          <t>Rev 0</t>
        </is>
      </c>
      <c r="O980" s="12" t="inlineStr">
        <is>
          <t>R1401-v1</t>
        </is>
      </c>
      <c r="P980" s="12" t="inlineStr"/>
      <c r="Q980" s="12" t="inlineStr"/>
      <c r="R980" s="12" t="inlineStr"/>
      <c r="S980" s="12" t="inlineStr"/>
      <c r="T980" s="12" t="inlineStr"/>
      <c r="U980" s="12" t="inlineStr"/>
      <c r="V980" s="12" t="inlineStr">
        <is>
          <t>Cost Account = CA-4079; WBS Code = 1.4.1</t>
        </is>
      </c>
      <c r="W980" s="12" t="inlineStr"/>
    </row>
    <row r="981" ht="49" customHeight="1">
      <c r="A981" s="12" t="inlineStr">
        <is>
          <t>1.4.2</t>
        </is>
      </c>
      <c r="B981" s="12" t="inlineStr">
        <is>
          <t>Vehicles and Depot - Depot Buildings</t>
        </is>
      </c>
      <c r="C981" s="12" t="inlineStr">
        <is>
          <t>Contractor Programme</t>
        </is>
      </c>
      <c r="D981" s="12" t="inlineStr">
        <is>
          <t>SCH-04-006</t>
        </is>
      </c>
      <c r="E981" s="12" t="inlineStr">
        <is>
          <t>Test track: maintenance-bay services - release</t>
        </is>
      </c>
      <c r="F981" s="12" t="inlineStr">
        <is>
          <t>ONE_TO_ONE</t>
        </is>
      </c>
      <c r="G981" s="12" t="inlineStr">
        <is>
          <t>APPROVED</t>
        </is>
      </c>
      <c r="H981" s="12" t="inlineStr">
        <is>
          <t>New</t>
        </is>
      </c>
      <c r="I981" s="12" t="inlineStr">
        <is>
          <t>Source assignment -- not individually reviewed</t>
        </is>
      </c>
      <c r="J981" s="12" t="inlineStr"/>
      <c r="K981" s="12" t="inlineStr">
        <is>
          <t>Source assignment</t>
        </is>
      </c>
      <c r="L981" s="12" t="inlineStr"/>
      <c r="M981" s="12" t="inlineStr">
        <is>
          <t>Initial</t>
        </is>
      </c>
      <c r="N981" s="12" t="inlineStr">
        <is>
          <t>Rev 0</t>
        </is>
      </c>
      <c r="O981" s="12" t="inlineStr">
        <is>
          <t>R546-v1</t>
        </is>
      </c>
      <c r="P981" s="12" t="inlineStr"/>
      <c r="Q981" s="12" t="inlineStr"/>
      <c r="R981" s="12" t="inlineStr"/>
      <c r="S981" s="12" t="inlineStr"/>
      <c r="T981" s="12" t="inlineStr"/>
      <c r="U981" s="12" t="inlineStr"/>
      <c r="V981" s="12" t="inlineStr">
        <is>
          <t>WBS Code = 1.4.2</t>
        </is>
      </c>
      <c r="W981" s="12" t="inlineStr"/>
    </row>
    <row r="982" ht="49" customHeight="1">
      <c r="A982" s="12" t="inlineStr">
        <is>
          <t>1.4.2</t>
        </is>
      </c>
      <c r="B982" s="12" t="inlineStr">
        <is>
          <t>Vehicles and Depot - Depot Buildings</t>
        </is>
      </c>
      <c r="C982" s="12" t="inlineStr">
        <is>
          <t>Contractor Programme</t>
        </is>
      </c>
      <c r="D982" s="12" t="inlineStr">
        <is>
          <t>SCH-04-009</t>
        </is>
      </c>
      <c r="E982" s="12" t="inlineStr">
        <is>
          <t>Storage yard: vehicle-to-depot interface check - inspection</t>
        </is>
      </c>
      <c r="F982" s="12" t="inlineStr">
        <is>
          <t>ONE_TO_ONE</t>
        </is>
      </c>
      <c r="G982" s="12" t="inlineStr">
        <is>
          <t>APPROVED</t>
        </is>
      </c>
      <c r="H982" s="12" t="inlineStr">
        <is>
          <t>New</t>
        </is>
      </c>
      <c r="I982" s="12" t="inlineStr">
        <is>
          <t>Source assignment -- not individually reviewed</t>
        </is>
      </c>
      <c r="J982" s="12" t="inlineStr"/>
      <c r="K982" s="12" t="inlineStr">
        <is>
          <t>Source assignment</t>
        </is>
      </c>
      <c r="L982" s="12" t="inlineStr"/>
      <c r="M982" s="12" t="inlineStr">
        <is>
          <t>Initial</t>
        </is>
      </c>
      <c r="N982" s="12" t="inlineStr">
        <is>
          <t>Rev 0</t>
        </is>
      </c>
      <c r="O982" s="12" t="inlineStr">
        <is>
          <t>R549-v1</t>
        </is>
      </c>
      <c r="P982" s="12" t="inlineStr"/>
      <c r="Q982" s="12" t="inlineStr"/>
      <c r="R982" s="12" t="inlineStr"/>
      <c r="S982" s="12" t="inlineStr"/>
      <c r="T982" s="12" t="inlineStr"/>
      <c r="U982" s="12" t="inlineStr"/>
      <c r="V982" s="12" t="inlineStr">
        <is>
          <t>WBS Code = 1.4.2</t>
        </is>
      </c>
      <c r="W982" s="12" t="inlineStr"/>
    </row>
    <row r="983" ht="49" customHeight="1">
      <c r="A983" s="12" t="inlineStr">
        <is>
          <t>1.4.2</t>
        </is>
      </c>
      <c r="B983" s="12" t="inlineStr">
        <is>
          <t>Vehicles and Depot - Depot Buildings</t>
        </is>
      </c>
      <c r="C983" s="12" t="inlineStr">
        <is>
          <t>Contractor Programme</t>
        </is>
      </c>
      <c r="D983" s="12" t="inlineStr">
        <is>
          <t>SCH-04-012</t>
        </is>
      </c>
      <c r="E983" s="12" t="inlineStr">
        <is>
          <t>Receiving track: vehicle delivery inspection - field start</t>
        </is>
      </c>
      <c r="F983" s="12" t="inlineStr">
        <is>
          <t>ONE_TO_ONE</t>
        </is>
      </c>
      <c r="G983" s="12" t="inlineStr">
        <is>
          <t>APPROVED</t>
        </is>
      </c>
      <c r="H983" s="12" t="inlineStr">
        <is>
          <t>New</t>
        </is>
      </c>
      <c r="I983" s="12" t="inlineStr">
        <is>
          <t>Source assignment -- not individually reviewed</t>
        </is>
      </c>
      <c r="J983" s="12" t="inlineStr"/>
      <c r="K983" s="12" t="inlineStr">
        <is>
          <t>Source assignment</t>
        </is>
      </c>
      <c r="L983" s="12" t="inlineStr"/>
      <c r="M983" s="12" t="inlineStr">
        <is>
          <t>Initial</t>
        </is>
      </c>
      <c r="N983" s="12" t="inlineStr">
        <is>
          <t>Rev 0</t>
        </is>
      </c>
      <c r="O983" s="12" t="inlineStr">
        <is>
          <t>R552-v1</t>
        </is>
      </c>
      <c r="P983" s="12" t="inlineStr"/>
      <c r="Q983" s="12" t="inlineStr"/>
      <c r="R983" s="12" t="inlineStr"/>
      <c r="S983" s="12" t="inlineStr"/>
      <c r="T983" s="12" t="inlineStr"/>
      <c r="U983" s="12" t="inlineStr"/>
      <c r="V983" s="12" t="inlineStr">
        <is>
          <t>WBS Code = 1.4.2</t>
        </is>
      </c>
      <c r="W983" s="12" t="inlineStr"/>
    </row>
    <row r="984" ht="49" customHeight="1">
      <c r="A984" s="12" t="inlineStr">
        <is>
          <t>1.4.2</t>
        </is>
      </c>
      <c r="B984" s="12" t="inlineStr">
        <is>
          <t>Vehicles and Depot - Depot Buildings</t>
        </is>
      </c>
      <c r="C984" s="12" t="inlineStr">
        <is>
          <t>Contractor Programme</t>
        </is>
      </c>
      <c r="D984" s="12" t="inlineStr">
        <is>
          <t>SCH-04-015</t>
        </is>
      </c>
      <c r="E984" s="12" t="inlineStr">
        <is>
          <t>Operations building: depot structural fit-out - turnover</t>
        </is>
      </c>
      <c r="F984" s="12" t="inlineStr">
        <is>
          <t>ONE_TO_ONE</t>
        </is>
      </c>
      <c r="G984" s="12" t="inlineStr">
        <is>
          <t>APPROVED</t>
        </is>
      </c>
      <c r="H984" s="12" t="inlineStr">
        <is>
          <t>New</t>
        </is>
      </c>
      <c r="I984" s="12" t="inlineStr">
        <is>
          <t>Source assignment -- not individually reviewed</t>
        </is>
      </c>
      <c r="J984" s="12" t="inlineStr"/>
      <c r="K984" s="12" t="inlineStr">
        <is>
          <t>Source assignment</t>
        </is>
      </c>
      <c r="L984" s="12" t="inlineStr"/>
      <c r="M984" s="12" t="inlineStr">
        <is>
          <t>Initial</t>
        </is>
      </c>
      <c r="N984" s="12" t="inlineStr">
        <is>
          <t>Rev 0</t>
        </is>
      </c>
      <c r="O984" s="12" t="inlineStr">
        <is>
          <t>R555-v1</t>
        </is>
      </c>
      <c r="P984" s="12" t="inlineStr"/>
      <c r="Q984" s="12" t="inlineStr"/>
      <c r="R984" s="12" t="inlineStr"/>
      <c r="S984" s="12" t="inlineStr"/>
      <c r="T984" s="12" t="inlineStr"/>
      <c r="U984" s="12" t="inlineStr"/>
      <c r="V984" s="12" t="inlineStr">
        <is>
          <t>WBS Code = 1.4.2</t>
        </is>
      </c>
      <c r="W984" s="12" t="inlineStr"/>
    </row>
    <row r="985" ht="49" customHeight="1">
      <c r="A985" s="12" t="inlineStr">
        <is>
          <t>1.4.2</t>
        </is>
      </c>
      <c r="B985" s="12" t="inlineStr">
        <is>
          <t>Vehicles and Depot - Depot Buildings</t>
        </is>
      </c>
      <c r="C985" s="12" t="inlineStr">
        <is>
          <t>Contractor Programme</t>
        </is>
      </c>
      <c r="D985" s="12" t="inlineStr">
        <is>
          <t>SCH-04-018</t>
        </is>
      </c>
      <c r="E985" s="12" t="inlineStr">
        <is>
          <t>Maintenance shop: wheel-lathe installation - installation</t>
        </is>
      </c>
      <c r="F985" s="12" t="inlineStr">
        <is>
          <t>ONE_TO_ONE</t>
        </is>
      </c>
      <c r="G985" s="12" t="inlineStr">
        <is>
          <t>APPROVED</t>
        </is>
      </c>
      <c r="H985" s="12" t="inlineStr">
        <is>
          <t>New</t>
        </is>
      </c>
      <c r="I985" s="12" t="inlineStr">
        <is>
          <t>Source assignment -- not individually reviewed</t>
        </is>
      </c>
      <c r="J985" s="12" t="inlineStr"/>
      <c r="K985" s="12" t="inlineStr">
        <is>
          <t>Source assignment</t>
        </is>
      </c>
      <c r="L985" s="12" t="inlineStr"/>
      <c r="M985" s="12" t="inlineStr">
        <is>
          <t>Initial</t>
        </is>
      </c>
      <c r="N985" s="12" t="inlineStr">
        <is>
          <t>Rev 0</t>
        </is>
      </c>
      <c r="O985" s="12" t="inlineStr">
        <is>
          <t>R558-v1</t>
        </is>
      </c>
      <c r="P985" s="12" t="inlineStr"/>
      <c r="Q985" s="12" t="inlineStr"/>
      <c r="R985" s="12" t="inlineStr"/>
      <c r="S985" s="12" t="inlineStr"/>
      <c r="T985" s="12" t="inlineStr"/>
      <c r="U985" s="12" t="inlineStr"/>
      <c r="V985" s="12" t="inlineStr">
        <is>
          <t>WBS Code = 1.4.2</t>
        </is>
      </c>
      <c r="W985" s="12" t="inlineStr"/>
    </row>
    <row r="986" ht="49" customHeight="1">
      <c r="A986" s="12" t="inlineStr">
        <is>
          <t>1.4.2</t>
        </is>
      </c>
      <c r="B986" s="12" t="inlineStr">
        <is>
          <t>Vehicles and Depot - Depot Buildings</t>
        </is>
      </c>
      <c r="C986" s="12" t="inlineStr">
        <is>
          <t>Contractor Programme</t>
        </is>
      </c>
      <c r="D986" s="12" t="inlineStr">
        <is>
          <t>SCH-04-021</t>
        </is>
      </c>
      <c r="E986" s="12" t="inlineStr">
        <is>
          <t>Test track: wash-plant commissioning - release</t>
        </is>
      </c>
      <c r="F986" s="12" t="inlineStr">
        <is>
          <t>ONE_TO_ONE</t>
        </is>
      </c>
      <c r="G986" s="12" t="inlineStr">
        <is>
          <t>APPROVED</t>
        </is>
      </c>
      <c r="H986" s="12" t="inlineStr">
        <is>
          <t>New</t>
        </is>
      </c>
      <c r="I986" s="12" t="inlineStr">
        <is>
          <t>Source assignment -- not individually reviewed</t>
        </is>
      </c>
      <c r="J986" s="12" t="inlineStr"/>
      <c r="K986" s="12" t="inlineStr">
        <is>
          <t>Source assignment</t>
        </is>
      </c>
      <c r="L986" s="12" t="inlineStr"/>
      <c r="M986" s="12" t="inlineStr">
        <is>
          <t>Initial</t>
        </is>
      </c>
      <c r="N986" s="12" t="inlineStr">
        <is>
          <t>Rev 0</t>
        </is>
      </c>
      <c r="O986" s="12" t="inlineStr">
        <is>
          <t>R561-v1</t>
        </is>
      </c>
      <c r="P986" s="12" t="inlineStr"/>
      <c r="Q986" s="12" t="inlineStr"/>
      <c r="R986" s="12" t="inlineStr"/>
      <c r="S986" s="12" t="inlineStr"/>
      <c r="T986" s="12" t="inlineStr"/>
      <c r="U986" s="12" t="inlineStr"/>
      <c r="V986" s="12" t="inlineStr">
        <is>
          <t>WBS Code = 1.4.2</t>
        </is>
      </c>
      <c r="W986" s="12" t="inlineStr"/>
    </row>
    <row r="987" ht="49" customHeight="1">
      <c r="A987" s="12" t="inlineStr">
        <is>
          <t>1.4.2</t>
        </is>
      </c>
      <c r="B987" s="12" t="inlineStr">
        <is>
          <t>Vehicles and Depot - Depot Buildings</t>
        </is>
      </c>
      <c r="C987" s="12" t="inlineStr">
        <is>
          <t>Contractor Programme</t>
        </is>
      </c>
      <c r="D987" s="12" t="inlineStr">
        <is>
          <t>SCH-04-024</t>
        </is>
      </c>
      <c r="E987" s="12" t="inlineStr">
        <is>
          <t>Storage yard: workshop crane installation - inspection</t>
        </is>
      </c>
      <c r="F987" s="12" t="inlineStr">
        <is>
          <t>ONE_TO_ONE</t>
        </is>
      </c>
      <c r="G987" s="12" t="inlineStr">
        <is>
          <t>APPROVED</t>
        </is>
      </c>
      <c r="H987" s="12" t="inlineStr">
        <is>
          <t>New</t>
        </is>
      </c>
      <c r="I987" s="12" t="inlineStr">
        <is>
          <t>Source assignment -- not individually reviewed</t>
        </is>
      </c>
      <c r="J987" s="12" t="inlineStr"/>
      <c r="K987" s="12" t="inlineStr">
        <is>
          <t>Source assignment</t>
        </is>
      </c>
      <c r="L987" s="12" t="inlineStr"/>
      <c r="M987" s="12" t="inlineStr">
        <is>
          <t>Initial</t>
        </is>
      </c>
      <c r="N987" s="12" t="inlineStr">
        <is>
          <t>Rev 0</t>
        </is>
      </c>
      <c r="O987" s="12" t="inlineStr">
        <is>
          <t>R564-v1</t>
        </is>
      </c>
      <c r="P987" s="12" t="inlineStr"/>
      <c r="Q987" s="12" t="inlineStr"/>
      <c r="R987" s="12" t="inlineStr"/>
      <c r="S987" s="12" t="inlineStr"/>
      <c r="T987" s="12" t="inlineStr"/>
      <c r="U987" s="12" t="inlineStr"/>
      <c r="V987" s="12" t="inlineStr">
        <is>
          <t>WBS Code = 1.4.2</t>
        </is>
      </c>
      <c r="W987" s="12" t="inlineStr"/>
    </row>
    <row r="988" ht="49" customHeight="1">
      <c r="A988" s="12" t="inlineStr">
        <is>
          <t>1.4.2</t>
        </is>
      </c>
      <c r="B988" s="12" t="inlineStr">
        <is>
          <t>Vehicles and Depot - Depot Buildings</t>
        </is>
      </c>
      <c r="C988" s="12" t="inlineStr">
        <is>
          <t>Contractor Programme</t>
        </is>
      </c>
      <c r="D988" s="12" t="inlineStr">
        <is>
          <t>SCH-04-027</t>
        </is>
      </c>
      <c r="E988" s="12" t="inlineStr">
        <is>
          <t>Receiving track: fleet software load - field start</t>
        </is>
      </c>
      <c r="F988" s="12" t="inlineStr">
        <is>
          <t>ONE_TO_ONE</t>
        </is>
      </c>
      <c r="G988" s="12" t="inlineStr">
        <is>
          <t>APPROVED</t>
        </is>
      </c>
      <c r="H988" s="12" t="inlineStr">
        <is>
          <t>New</t>
        </is>
      </c>
      <c r="I988" s="12" t="inlineStr">
        <is>
          <t>Source assignment -- not individually reviewed</t>
        </is>
      </c>
      <c r="J988" s="12" t="inlineStr"/>
      <c r="K988" s="12" t="inlineStr">
        <is>
          <t>Source assignment</t>
        </is>
      </c>
      <c r="L988" s="12" t="inlineStr"/>
      <c r="M988" s="12" t="inlineStr">
        <is>
          <t>Initial</t>
        </is>
      </c>
      <c r="N988" s="12" t="inlineStr">
        <is>
          <t>Rev 0</t>
        </is>
      </c>
      <c r="O988" s="12" t="inlineStr">
        <is>
          <t>R567-v1</t>
        </is>
      </c>
      <c r="P988" s="12" t="inlineStr"/>
      <c r="Q988" s="12" t="inlineStr"/>
      <c r="R988" s="12" t="inlineStr"/>
      <c r="S988" s="12" t="inlineStr"/>
      <c r="T988" s="12" t="inlineStr"/>
      <c r="U988" s="12" t="inlineStr"/>
      <c r="V988" s="12" t="inlineStr">
        <is>
          <t>WBS Code = 1.4.2</t>
        </is>
      </c>
      <c r="W988" s="12" t="inlineStr"/>
    </row>
    <row r="989" ht="49" customHeight="1">
      <c r="A989" s="12" t="inlineStr">
        <is>
          <t>1.4.2</t>
        </is>
      </c>
      <c r="B989" s="12" t="inlineStr">
        <is>
          <t>Vehicles and Depot - Depot Buildings</t>
        </is>
      </c>
      <c r="C989" s="12" t="inlineStr">
        <is>
          <t>Contractor Programme</t>
        </is>
      </c>
      <c r="D989" s="12" t="inlineStr">
        <is>
          <t>SCH-04-030</t>
        </is>
      </c>
      <c r="E989" s="12" t="inlineStr">
        <is>
          <t>Operations building: maintenance-bay services - turnover</t>
        </is>
      </c>
      <c r="F989" s="12" t="inlineStr">
        <is>
          <t>ONE_TO_ONE</t>
        </is>
      </c>
      <c r="G989" s="12" t="inlineStr">
        <is>
          <t>APPROVED</t>
        </is>
      </c>
      <c r="H989" s="12" t="inlineStr">
        <is>
          <t>New</t>
        </is>
      </c>
      <c r="I989" s="12" t="inlineStr">
        <is>
          <t>Source assignment -- not individually reviewed</t>
        </is>
      </c>
      <c r="J989" s="12" t="inlineStr"/>
      <c r="K989" s="12" t="inlineStr">
        <is>
          <t>Source assignment</t>
        </is>
      </c>
      <c r="L989" s="12" t="inlineStr"/>
      <c r="M989" s="12" t="inlineStr">
        <is>
          <t>Initial</t>
        </is>
      </c>
      <c r="N989" s="12" t="inlineStr">
        <is>
          <t>Rev 0</t>
        </is>
      </c>
      <c r="O989" s="12" t="inlineStr">
        <is>
          <t>R570-v1</t>
        </is>
      </c>
      <c r="P989" s="12" t="inlineStr"/>
      <c r="Q989" s="12" t="inlineStr"/>
      <c r="R989" s="12" t="inlineStr"/>
      <c r="S989" s="12" t="inlineStr"/>
      <c r="T989" s="12" t="inlineStr"/>
      <c r="U989" s="12" t="inlineStr"/>
      <c r="V989" s="12" t="inlineStr">
        <is>
          <t>WBS Code = 1.4.2</t>
        </is>
      </c>
      <c r="W989" s="12" t="inlineStr"/>
    </row>
    <row r="990" ht="49" customHeight="1">
      <c r="A990" s="12" t="inlineStr">
        <is>
          <t>1.4.2</t>
        </is>
      </c>
      <c r="B990" s="12" t="inlineStr">
        <is>
          <t>Vehicles and Depot - Depot Buildings</t>
        </is>
      </c>
      <c r="C990" s="12" t="inlineStr">
        <is>
          <t>Contractor Programme</t>
        </is>
      </c>
      <c r="D990" s="12" t="inlineStr">
        <is>
          <t>SCH-04-033</t>
        </is>
      </c>
      <c r="E990" s="12" t="inlineStr">
        <is>
          <t>Maintenance shop: vehicle-to-depot interface check - installation</t>
        </is>
      </c>
      <c r="F990" s="12" t="inlineStr">
        <is>
          <t>ONE_TO_ONE</t>
        </is>
      </c>
      <c r="G990" s="12" t="inlineStr">
        <is>
          <t>APPROVED</t>
        </is>
      </c>
      <c r="H990" s="12" t="inlineStr">
        <is>
          <t>New</t>
        </is>
      </c>
      <c r="I990" s="12" t="inlineStr">
        <is>
          <t>Source assignment -- not individually reviewed</t>
        </is>
      </c>
      <c r="J990" s="12" t="inlineStr"/>
      <c r="K990" s="12" t="inlineStr">
        <is>
          <t>Source assignment</t>
        </is>
      </c>
      <c r="L990" s="12" t="inlineStr"/>
      <c r="M990" s="12" t="inlineStr">
        <is>
          <t>Initial</t>
        </is>
      </c>
      <c r="N990" s="12" t="inlineStr">
        <is>
          <t>Rev 0</t>
        </is>
      </c>
      <c r="O990" s="12" t="inlineStr">
        <is>
          <t>R573-v1</t>
        </is>
      </c>
      <c r="P990" s="12" t="inlineStr"/>
      <c r="Q990" s="12" t="inlineStr"/>
      <c r="R990" s="12" t="inlineStr"/>
      <c r="S990" s="12" t="inlineStr"/>
      <c r="T990" s="12" t="inlineStr"/>
      <c r="U990" s="12" t="inlineStr"/>
      <c r="V990" s="12" t="inlineStr">
        <is>
          <t>WBS Code = 1.4.2</t>
        </is>
      </c>
      <c r="W990" s="12" t="inlineStr"/>
    </row>
    <row r="991" ht="49" customHeight="1">
      <c r="A991" s="12" t="inlineStr">
        <is>
          <t>1.4.2</t>
        </is>
      </c>
      <c r="B991" s="12" t="inlineStr">
        <is>
          <t>Vehicles and Depot - Depot Buildings</t>
        </is>
      </c>
      <c r="C991" s="12" t="inlineStr">
        <is>
          <t>Contractor Programme</t>
        </is>
      </c>
      <c r="D991" s="12" t="inlineStr">
        <is>
          <t>SCH-04-036</t>
        </is>
      </c>
      <c r="E991" s="12" t="inlineStr">
        <is>
          <t>Test track: vehicle delivery inspection - release</t>
        </is>
      </c>
      <c r="F991" s="12" t="inlineStr">
        <is>
          <t>ONE_TO_ONE</t>
        </is>
      </c>
      <c r="G991" s="12" t="inlineStr">
        <is>
          <t>APPROVED</t>
        </is>
      </c>
      <c r="H991" s="12" t="inlineStr">
        <is>
          <t>New</t>
        </is>
      </c>
      <c r="I991" s="12" t="inlineStr">
        <is>
          <t>Source assignment -- not individually reviewed</t>
        </is>
      </c>
      <c r="J991" s="12" t="inlineStr"/>
      <c r="K991" s="12" t="inlineStr">
        <is>
          <t>Source assignment</t>
        </is>
      </c>
      <c r="L991" s="12" t="inlineStr"/>
      <c r="M991" s="12" t="inlineStr">
        <is>
          <t>Initial</t>
        </is>
      </c>
      <c r="N991" s="12" t="inlineStr">
        <is>
          <t>Rev 0</t>
        </is>
      </c>
      <c r="O991" s="12" t="inlineStr">
        <is>
          <t>R576-v1</t>
        </is>
      </c>
      <c r="P991" s="12" t="inlineStr"/>
      <c r="Q991" s="12" t="inlineStr"/>
      <c r="R991" s="12" t="inlineStr"/>
      <c r="S991" s="12" t="inlineStr"/>
      <c r="T991" s="12" t="inlineStr"/>
      <c r="U991" s="12" t="inlineStr"/>
      <c r="V991" s="12" t="inlineStr">
        <is>
          <t>WBS Code = 1.4.2</t>
        </is>
      </c>
      <c r="W991" s="12" t="inlineStr"/>
    </row>
    <row r="992" ht="49" customHeight="1">
      <c r="A992" s="12" t="inlineStr">
        <is>
          <t>1.4.2</t>
        </is>
      </c>
      <c r="B992" s="12" t="inlineStr">
        <is>
          <t>Vehicles and Depot - Depot Buildings</t>
        </is>
      </c>
      <c r="C992" s="12" t="inlineStr">
        <is>
          <t>Contractor Programme</t>
        </is>
      </c>
      <c r="D992" s="12" t="inlineStr">
        <is>
          <t>SCH-04-039</t>
        </is>
      </c>
      <c r="E992" s="12" t="inlineStr">
        <is>
          <t>Storage yard: depot structural fit-out - inspection</t>
        </is>
      </c>
      <c r="F992" s="12" t="inlineStr">
        <is>
          <t>ONE_TO_ONE</t>
        </is>
      </c>
      <c r="G992" s="12" t="inlineStr">
        <is>
          <t>APPROVED</t>
        </is>
      </c>
      <c r="H992" s="12" t="inlineStr">
        <is>
          <t>New</t>
        </is>
      </c>
      <c r="I992" s="12" t="inlineStr">
        <is>
          <t>Source assignment -- not individually reviewed</t>
        </is>
      </c>
      <c r="J992" s="12" t="inlineStr"/>
      <c r="K992" s="12" t="inlineStr">
        <is>
          <t>Source assignment</t>
        </is>
      </c>
      <c r="L992" s="12" t="inlineStr"/>
      <c r="M992" s="12" t="inlineStr">
        <is>
          <t>Initial</t>
        </is>
      </c>
      <c r="N992" s="12" t="inlineStr">
        <is>
          <t>Rev 0</t>
        </is>
      </c>
      <c r="O992" s="12" t="inlineStr">
        <is>
          <t>R579-v1</t>
        </is>
      </c>
      <c r="P992" s="12" t="inlineStr"/>
      <c r="Q992" s="12" t="inlineStr"/>
      <c r="R992" s="12" t="inlineStr"/>
      <c r="S992" s="12" t="inlineStr"/>
      <c r="T992" s="12" t="inlineStr"/>
      <c r="U992" s="12" t="inlineStr"/>
      <c r="V992" s="12" t="inlineStr">
        <is>
          <t>WBS Code = 1.4.2</t>
        </is>
      </c>
      <c r="W992" s="12" t="inlineStr"/>
    </row>
    <row r="993" ht="49" customHeight="1">
      <c r="A993" s="12" t="inlineStr">
        <is>
          <t>1.4.2</t>
        </is>
      </c>
      <c r="B993" s="12" t="inlineStr">
        <is>
          <t>Vehicles and Depot - Depot Buildings</t>
        </is>
      </c>
      <c r="C993" s="12" t="inlineStr">
        <is>
          <t>Contractor Programme</t>
        </is>
      </c>
      <c r="D993" s="12" t="inlineStr">
        <is>
          <t>SCH-04-042</t>
        </is>
      </c>
      <c r="E993" s="12" t="inlineStr">
        <is>
          <t>Receiving track: wheel-lathe installation - field start</t>
        </is>
      </c>
      <c r="F993" s="12" t="inlineStr">
        <is>
          <t>ONE_TO_ONE</t>
        </is>
      </c>
      <c r="G993" s="12" t="inlineStr">
        <is>
          <t>APPROVED</t>
        </is>
      </c>
      <c r="H993" s="12" t="inlineStr">
        <is>
          <t>New</t>
        </is>
      </c>
      <c r="I993" s="12" t="inlineStr">
        <is>
          <t>Source assignment -- not individually reviewed</t>
        </is>
      </c>
      <c r="J993" s="12" t="inlineStr"/>
      <c r="K993" s="12" t="inlineStr">
        <is>
          <t>Source assignment</t>
        </is>
      </c>
      <c r="L993" s="12" t="inlineStr"/>
      <c r="M993" s="12" t="inlineStr">
        <is>
          <t>Initial</t>
        </is>
      </c>
      <c r="N993" s="12" t="inlineStr">
        <is>
          <t>Rev 0</t>
        </is>
      </c>
      <c r="O993" s="12" t="inlineStr">
        <is>
          <t>R582-v1</t>
        </is>
      </c>
      <c r="P993" s="12" t="inlineStr"/>
      <c r="Q993" s="12" t="inlineStr"/>
      <c r="R993" s="12" t="inlineStr"/>
      <c r="S993" s="12" t="inlineStr"/>
      <c r="T993" s="12" t="inlineStr"/>
      <c r="U993" s="12" t="inlineStr"/>
      <c r="V993" s="12" t="inlineStr">
        <is>
          <t>WBS Code = 1.4.2</t>
        </is>
      </c>
      <c r="W993" s="12" t="inlineStr"/>
    </row>
    <row r="994" ht="49" customHeight="1">
      <c r="A994" s="12" t="inlineStr">
        <is>
          <t>1.4.2</t>
        </is>
      </c>
      <c r="B994" s="12" t="inlineStr">
        <is>
          <t>Vehicles and Depot - Depot Buildings</t>
        </is>
      </c>
      <c r="C994" s="12" t="inlineStr">
        <is>
          <t>Contractor Programme</t>
        </is>
      </c>
      <c r="D994" s="12" t="inlineStr">
        <is>
          <t>SCH-04-045</t>
        </is>
      </c>
      <c r="E994" s="12" t="inlineStr">
        <is>
          <t>Operations building: wash-plant commissioning - turnover</t>
        </is>
      </c>
      <c r="F994" s="12" t="inlineStr">
        <is>
          <t>ONE_TO_ONE</t>
        </is>
      </c>
      <c r="G994" s="12" t="inlineStr">
        <is>
          <t>APPROVED</t>
        </is>
      </c>
      <c r="H994" s="12" t="inlineStr">
        <is>
          <t>New</t>
        </is>
      </c>
      <c r="I994" s="12" t="inlineStr">
        <is>
          <t>Source assignment -- not individually reviewed</t>
        </is>
      </c>
      <c r="J994" s="12" t="inlineStr"/>
      <c r="K994" s="12" t="inlineStr">
        <is>
          <t>Source assignment</t>
        </is>
      </c>
      <c r="L994" s="12" t="inlineStr"/>
      <c r="M994" s="12" t="inlineStr">
        <is>
          <t>Initial</t>
        </is>
      </c>
      <c r="N994" s="12" t="inlineStr">
        <is>
          <t>Rev 0</t>
        </is>
      </c>
      <c r="O994" s="12" t="inlineStr">
        <is>
          <t>R585-v1</t>
        </is>
      </c>
      <c r="P994" s="12" t="inlineStr"/>
      <c r="Q994" s="12" t="inlineStr"/>
      <c r="R994" s="12" t="inlineStr"/>
      <c r="S994" s="12" t="inlineStr"/>
      <c r="T994" s="12" t="inlineStr"/>
      <c r="U994" s="12" t="inlineStr"/>
      <c r="V994" s="12" t="inlineStr">
        <is>
          <t>WBS Code = 1.4.2</t>
        </is>
      </c>
      <c r="W994" s="12" t="inlineStr"/>
    </row>
    <row r="995" ht="49" customHeight="1">
      <c r="A995" s="12" t="inlineStr">
        <is>
          <t>1.4.2</t>
        </is>
      </c>
      <c r="B995" s="12" t="inlineStr">
        <is>
          <t>Vehicles and Depot - Depot Buildings</t>
        </is>
      </c>
      <c r="C995" s="12" t="inlineStr">
        <is>
          <t>Contractor Programme</t>
        </is>
      </c>
      <c r="D995" s="12" t="inlineStr">
        <is>
          <t>SCH-04-048</t>
        </is>
      </c>
      <c r="E995" s="12" t="inlineStr">
        <is>
          <t>Maintenance shop: workshop crane installation - installation</t>
        </is>
      </c>
      <c r="F995" s="12" t="inlineStr">
        <is>
          <t>ONE_TO_ONE</t>
        </is>
      </c>
      <c r="G995" s="12" t="inlineStr">
        <is>
          <t>APPROVED</t>
        </is>
      </c>
      <c r="H995" s="12" t="inlineStr">
        <is>
          <t>New</t>
        </is>
      </c>
      <c r="I995" s="12" t="inlineStr">
        <is>
          <t>Source assignment -- not individually reviewed</t>
        </is>
      </c>
      <c r="J995" s="12" t="inlineStr"/>
      <c r="K995" s="12" t="inlineStr">
        <is>
          <t>Source assignment</t>
        </is>
      </c>
      <c r="L995" s="12" t="inlineStr"/>
      <c r="M995" s="12" t="inlineStr">
        <is>
          <t>Initial</t>
        </is>
      </c>
      <c r="N995" s="12" t="inlineStr">
        <is>
          <t>Rev 0</t>
        </is>
      </c>
      <c r="O995" s="12" t="inlineStr">
        <is>
          <t>R588-v1</t>
        </is>
      </c>
      <c r="P995" s="12" t="inlineStr"/>
      <c r="Q995" s="12" t="inlineStr"/>
      <c r="R995" s="12" t="inlineStr"/>
      <c r="S995" s="12" t="inlineStr"/>
      <c r="T995" s="12" t="inlineStr"/>
      <c r="U995" s="12" t="inlineStr"/>
      <c r="V995" s="12" t="inlineStr">
        <is>
          <t>WBS Code = 1.4.2</t>
        </is>
      </c>
      <c r="W995" s="12" t="inlineStr"/>
    </row>
    <row r="996" ht="49" customHeight="1">
      <c r="A996" s="12" t="inlineStr">
        <is>
          <t>1.4.2</t>
        </is>
      </c>
      <c r="B996" s="12" t="inlineStr">
        <is>
          <t>Vehicles and Depot - Depot Buildings</t>
        </is>
      </c>
      <c r="C996" s="12" t="inlineStr">
        <is>
          <t>Contractor Programme</t>
        </is>
      </c>
      <c r="D996" s="12" t="inlineStr">
        <is>
          <t>SCH-04-051</t>
        </is>
      </c>
      <c r="E996" s="12" t="inlineStr">
        <is>
          <t>Test track: fleet software load - release</t>
        </is>
      </c>
      <c r="F996" s="12" t="inlineStr">
        <is>
          <t>ONE_TO_ONE</t>
        </is>
      </c>
      <c r="G996" s="12" t="inlineStr">
        <is>
          <t>APPROVED</t>
        </is>
      </c>
      <c r="H996" s="12" t="inlineStr">
        <is>
          <t>New</t>
        </is>
      </c>
      <c r="I996" s="12" t="inlineStr">
        <is>
          <t>Source assignment -- not individually reviewed</t>
        </is>
      </c>
      <c r="J996" s="12" t="inlineStr"/>
      <c r="K996" s="12" t="inlineStr">
        <is>
          <t>Source assignment</t>
        </is>
      </c>
      <c r="L996" s="12" t="inlineStr"/>
      <c r="M996" s="12" t="inlineStr">
        <is>
          <t>Initial</t>
        </is>
      </c>
      <c r="N996" s="12" t="inlineStr">
        <is>
          <t>Rev 0</t>
        </is>
      </c>
      <c r="O996" s="12" t="inlineStr">
        <is>
          <t>R591-v1</t>
        </is>
      </c>
      <c r="P996" s="12" t="inlineStr"/>
      <c r="Q996" s="12" t="inlineStr"/>
      <c r="R996" s="12" t="inlineStr"/>
      <c r="S996" s="12" t="inlineStr"/>
      <c r="T996" s="12" t="inlineStr"/>
      <c r="U996" s="12" t="inlineStr"/>
      <c r="V996" s="12" t="inlineStr">
        <is>
          <t>WBS Code = 1.4.2</t>
        </is>
      </c>
      <c r="W996" s="12" t="inlineStr"/>
    </row>
    <row r="997" ht="49" customHeight="1">
      <c r="A997" s="12" t="inlineStr">
        <is>
          <t>1.4.2</t>
        </is>
      </c>
      <c r="B997" s="12" t="inlineStr">
        <is>
          <t>Vehicles and Depot - Depot Buildings</t>
        </is>
      </c>
      <c r="C997" s="12" t="inlineStr">
        <is>
          <t>Contractor Programme</t>
        </is>
      </c>
      <c r="D997" s="12" t="inlineStr">
        <is>
          <t>SCH-04-054</t>
        </is>
      </c>
      <c r="E997" s="12" t="inlineStr">
        <is>
          <t>Storage yard: maintenance-bay services - inspection</t>
        </is>
      </c>
      <c r="F997" s="12" t="inlineStr">
        <is>
          <t>ONE_TO_ONE</t>
        </is>
      </c>
      <c r="G997" s="12" t="inlineStr">
        <is>
          <t>APPROVED</t>
        </is>
      </c>
      <c r="H997" s="12" t="inlineStr">
        <is>
          <t>New</t>
        </is>
      </c>
      <c r="I997" s="12" t="inlineStr">
        <is>
          <t>Source assignment -- not individually reviewed</t>
        </is>
      </c>
      <c r="J997" s="12" t="inlineStr"/>
      <c r="K997" s="12" t="inlineStr">
        <is>
          <t>Source assignment</t>
        </is>
      </c>
      <c r="L997" s="12" t="inlineStr"/>
      <c r="M997" s="12" t="inlineStr">
        <is>
          <t>Initial</t>
        </is>
      </c>
      <c r="N997" s="12" t="inlineStr">
        <is>
          <t>Rev 0</t>
        </is>
      </c>
      <c r="O997" s="12" t="inlineStr">
        <is>
          <t>R594-v1</t>
        </is>
      </c>
      <c r="P997" s="12" t="inlineStr"/>
      <c r="Q997" s="12" t="inlineStr"/>
      <c r="R997" s="12" t="inlineStr"/>
      <c r="S997" s="12" t="inlineStr"/>
      <c r="T997" s="12" t="inlineStr"/>
      <c r="U997" s="12" t="inlineStr"/>
      <c r="V997" s="12" t="inlineStr">
        <is>
          <t>WBS Code = 1.4.2</t>
        </is>
      </c>
      <c r="W997" s="12" t="inlineStr"/>
    </row>
    <row r="998" ht="49" customHeight="1">
      <c r="A998" s="12" t="inlineStr">
        <is>
          <t>1.4.2</t>
        </is>
      </c>
      <c r="B998" s="12" t="inlineStr">
        <is>
          <t>Vehicles and Depot - Depot Buildings</t>
        </is>
      </c>
      <c r="C998" s="12" t="inlineStr">
        <is>
          <t>Contractor Programme</t>
        </is>
      </c>
      <c r="D998" s="12" t="inlineStr">
        <is>
          <t>SCH-04-057</t>
        </is>
      </c>
      <c r="E998" s="12" t="inlineStr">
        <is>
          <t>Receiving track: vehicle-to-depot interface check - field start</t>
        </is>
      </c>
      <c r="F998" s="12" t="inlineStr">
        <is>
          <t>ONE_TO_ONE</t>
        </is>
      </c>
      <c r="G998" s="12" t="inlineStr">
        <is>
          <t>APPROVED</t>
        </is>
      </c>
      <c r="H998" s="12" t="inlineStr">
        <is>
          <t>New</t>
        </is>
      </c>
      <c r="I998" s="12" t="inlineStr">
        <is>
          <t>Source assignment -- not individually reviewed</t>
        </is>
      </c>
      <c r="J998" s="12" t="inlineStr"/>
      <c r="K998" s="12" t="inlineStr">
        <is>
          <t>Source assignment</t>
        </is>
      </c>
      <c r="L998" s="12" t="inlineStr"/>
      <c r="M998" s="12" t="inlineStr">
        <is>
          <t>Initial</t>
        </is>
      </c>
      <c r="N998" s="12" t="inlineStr">
        <is>
          <t>Rev 0</t>
        </is>
      </c>
      <c r="O998" s="12" t="inlineStr">
        <is>
          <t>R597-v1</t>
        </is>
      </c>
      <c r="P998" s="12" t="inlineStr"/>
      <c r="Q998" s="12" t="inlineStr"/>
      <c r="R998" s="12" t="inlineStr"/>
      <c r="S998" s="12" t="inlineStr"/>
      <c r="T998" s="12" t="inlineStr"/>
      <c r="U998" s="12" t="inlineStr"/>
      <c r="V998" s="12" t="inlineStr">
        <is>
          <t>WBS Code = 1.4.2</t>
        </is>
      </c>
      <c r="W998" s="12" t="inlineStr"/>
    </row>
    <row r="999" ht="49" customHeight="1">
      <c r="A999" s="12" t="inlineStr">
        <is>
          <t>1.4.2</t>
        </is>
      </c>
      <c r="B999" s="12" t="inlineStr">
        <is>
          <t>Vehicles and Depot - Depot Buildings</t>
        </is>
      </c>
      <c r="C999" s="12" t="inlineStr">
        <is>
          <t>Contractor Programme</t>
        </is>
      </c>
      <c r="D999" s="12" t="inlineStr">
        <is>
          <t>SCH-04-060</t>
        </is>
      </c>
      <c r="E999" s="12" t="inlineStr">
        <is>
          <t>Operations building: vehicle delivery inspection - turnover</t>
        </is>
      </c>
      <c r="F999" s="12" t="inlineStr">
        <is>
          <t>ONE_TO_ONE</t>
        </is>
      </c>
      <c r="G999" s="12" t="inlineStr">
        <is>
          <t>APPROVED</t>
        </is>
      </c>
      <c r="H999" s="12" t="inlineStr">
        <is>
          <t>New</t>
        </is>
      </c>
      <c r="I999" s="12" t="inlineStr">
        <is>
          <t>Source assignment -- not individually reviewed</t>
        </is>
      </c>
      <c r="J999" s="12" t="inlineStr"/>
      <c r="K999" s="12" t="inlineStr">
        <is>
          <t>Source assignment</t>
        </is>
      </c>
      <c r="L999" s="12" t="inlineStr"/>
      <c r="M999" s="12" t="inlineStr">
        <is>
          <t>Initial</t>
        </is>
      </c>
      <c r="N999" s="12" t="inlineStr">
        <is>
          <t>Rev 0</t>
        </is>
      </c>
      <c r="O999" s="12" t="inlineStr">
        <is>
          <t>R600-v1</t>
        </is>
      </c>
      <c r="P999" s="12" t="inlineStr"/>
      <c r="Q999" s="12" t="inlineStr"/>
      <c r="R999" s="12" t="inlineStr"/>
      <c r="S999" s="12" t="inlineStr"/>
      <c r="T999" s="12" t="inlineStr"/>
      <c r="U999" s="12" t="inlineStr"/>
      <c r="V999" s="12" t="inlineStr">
        <is>
          <t>WBS Code = 1.4.2</t>
        </is>
      </c>
      <c r="W999" s="12" t="inlineStr"/>
    </row>
    <row r="1000" ht="49" customHeight="1">
      <c r="A1000" s="12" t="inlineStr">
        <is>
          <t>1.4.2</t>
        </is>
      </c>
      <c r="B1000" s="12" t="inlineStr">
        <is>
          <t>Vehicles and Depot - Depot Buildings</t>
        </is>
      </c>
      <c r="C1000" s="12" t="inlineStr">
        <is>
          <t>Contractor Programme</t>
        </is>
      </c>
      <c r="D1000" s="12" t="inlineStr">
        <is>
          <t>SCH-04-063</t>
        </is>
      </c>
      <c r="E1000" s="12" t="inlineStr">
        <is>
          <t>Maintenance shop: depot structural fit-out - installation</t>
        </is>
      </c>
      <c r="F1000" s="12" t="inlineStr">
        <is>
          <t>ONE_TO_ONE</t>
        </is>
      </c>
      <c r="G1000" s="12" t="inlineStr">
        <is>
          <t>APPROVED</t>
        </is>
      </c>
      <c r="H1000" s="12" t="inlineStr">
        <is>
          <t>New</t>
        </is>
      </c>
      <c r="I1000" s="12" t="inlineStr">
        <is>
          <t>Source assignment -- not individually reviewed</t>
        </is>
      </c>
      <c r="J1000" s="12" t="inlineStr"/>
      <c r="K1000" s="12" t="inlineStr">
        <is>
          <t>Source assignment</t>
        </is>
      </c>
      <c r="L1000" s="12" t="inlineStr"/>
      <c r="M1000" s="12" t="inlineStr">
        <is>
          <t>Initial</t>
        </is>
      </c>
      <c r="N1000" s="12" t="inlineStr">
        <is>
          <t>Rev 0</t>
        </is>
      </c>
      <c r="O1000" s="12" t="inlineStr">
        <is>
          <t>R603-v1</t>
        </is>
      </c>
      <c r="P1000" s="12" t="inlineStr"/>
      <c r="Q1000" s="12" t="inlineStr"/>
      <c r="R1000" s="12" t="inlineStr"/>
      <c r="S1000" s="12" t="inlineStr"/>
      <c r="T1000" s="12" t="inlineStr"/>
      <c r="U1000" s="12" t="inlineStr"/>
      <c r="V1000" s="12" t="inlineStr">
        <is>
          <t>WBS Code = 1.4.2</t>
        </is>
      </c>
      <c r="W1000" s="12" t="inlineStr"/>
    </row>
    <row r="1001" ht="49" customHeight="1">
      <c r="A1001" s="12" t="inlineStr">
        <is>
          <t>1.4.2</t>
        </is>
      </c>
      <c r="B1001" s="12" t="inlineStr">
        <is>
          <t>Vehicles and Depot - Depot Buildings</t>
        </is>
      </c>
      <c r="C1001" s="12" t="inlineStr">
        <is>
          <t>Contractor Programme</t>
        </is>
      </c>
      <c r="D1001" s="12" t="inlineStr">
        <is>
          <t>SCH-04-066</t>
        </is>
      </c>
      <c r="E1001" s="12" t="inlineStr">
        <is>
          <t>Test track: wheel-lathe installation - release</t>
        </is>
      </c>
      <c r="F1001" s="12" t="inlineStr">
        <is>
          <t>ONE_TO_ONE</t>
        </is>
      </c>
      <c r="G1001" s="12" t="inlineStr">
        <is>
          <t>APPROVED</t>
        </is>
      </c>
      <c r="H1001" s="12" t="inlineStr">
        <is>
          <t>New</t>
        </is>
      </c>
      <c r="I1001" s="12" t="inlineStr">
        <is>
          <t>Source assignment -- not individually reviewed</t>
        </is>
      </c>
      <c r="J1001" s="12" t="inlineStr"/>
      <c r="K1001" s="12" t="inlineStr">
        <is>
          <t>Source assignment</t>
        </is>
      </c>
      <c r="L1001" s="12" t="inlineStr"/>
      <c r="M1001" s="12" t="inlineStr">
        <is>
          <t>Initial</t>
        </is>
      </c>
      <c r="N1001" s="12" t="inlineStr">
        <is>
          <t>Rev 0</t>
        </is>
      </c>
      <c r="O1001" s="12" t="inlineStr">
        <is>
          <t>R606-v1</t>
        </is>
      </c>
      <c r="P1001" s="12" t="inlineStr"/>
      <c r="Q1001" s="12" t="inlineStr"/>
      <c r="R1001" s="12" t="inlineStr"/>
      <c r="S1001" s="12" t="inlineStr"/>
      <c r="T1001" s="12" t="inlineStr"/>
      <c r="U1001" s="12" t="inlineStr"/>
      <c r="V1001" s="12" t="inlineStr">
        <is>
          <t>WBS Code = 1.4.2</t>
        </is>
      </c>
      <c r="W1001" s="12" t="inlineStr"/>
    </row>
    <row r="1002" ht="49" customHeight="1">
      <c r="A1002" s="12" t="inlineStr">
        <is>
          <t>1.4.2</t>
        </is>
      </c>
      <c r="B1002" s="12" t="inlineStr">
        <is>
          <t>Vehicles and Depot - Depot Buildings</t>
        </is>
      </c>
      <c r="C1002" s="12" t="inlineStr">
        <is>
          <t>Contractor Programme</t>
        </is>
      </c>
      <c r="D1002" s="12" t="inlineStr">
        <is>
          <t>SCH-04-069</t>
        </is>
      </c>
      <c r="E1002" s="12" t="inlineStr">
        <is>
          <t>Storage yard: wash-plant commissioning - inspection</t>
        </is>
      </c>
      <c r="F1002" s="12" t="inlineStr">
        <is>
          <t>ONE_TO_ONE</t>
        </is>
      </c>
      <c r="G1002" s="12" t="inlineStr">
        <is>
          <t>APPROVED</t>
        </is>
      </c>
      <c r="H1002" s="12" t="inlineStr">
        <is>
          <t>New</t>
        </is>
      </c>
      <c r="I1002" s="12" t="inlineStr">
        <is>
          <t>Source assignment -- not individually reviewed</t>
        </is>
      </c>
      <c r="J1002" s="12" t="inlineStr"/>
      <c r="K1002" s="12" t="inlineStr">
        <is>
          <t>Source assignment</t>
        </is>
      </c>
      <c r="L1002" s="12" t="inlineStr"/>
      <c r="M1002" s="12" t="inlineStr">
        <is>
          <t>Initial</t>
        </is>
      </c>
      <c r="N1002" s="12" t="inlineStr">
        <is>
          <t>Rev 0</t>
        </is>
      </c>
      <c r="O1002" s="12" t="inlineStr">
        <is>
          <t>R609-v1</t>
        </is>
      </c>
      <c r="P1002" s="12" t="inlineStr"/>
      <c r="Q1002" s="12" t="inlineStr"/>
      <c r="R1002" s="12" t="inlineStr"/>
      <c r="S1002" s="12" t="inlineStr"/>
      <c r="T1002" s="12" t="inlineStr"/>
      <c r="U1002" s="12" t="inlineStr"/>
      <c r="V1002" s="12" t="inlineStr">
        <is>
          <t>WBS Code = 1.4.2</t>
        </is>
      </c>
      <c r="W1002" s="12" t="inlineStr"/>
    </row>
    <row r="1003" ht="49" customHeight="1">
      <c r="A1003" s="12" t="inlineStr">
        <is>
          <t>1.4.2</t>
        </is>
      </c>
      <c r="B1003" s="12" t="inlineStr">
        <is>
          <t>Vehicles and Depot - Depot Buildings</t>
        </is>
      </c>
      <c r="C1003" s="12" t="inlineStr">
        <is>
          <t>Contractor Programme</t>
        </is>
      </c>
      <c r="D1003" s="12" t="inlineStr">
        <is>
          <t>SCH-04-072</t>
        </is>
      </c>
      <c r="E1003" s="12" t="inlineStr">
        <is>
          <t>Receiving track: workshop crane installation - field start</t>
        </is>
      </c>
      <c r="F1003" s="12" t="inlineStr">
        <is>
          <t>ONE_TO_ONE</t>
        </is>
      </c>
      <c r="G1003" s="12" t="inlineStr">
        <is>
          <t>APPROVED</t>
        </is>
      </c>
      <c r="H1003" s="12" t="inlineStr">
        <is>
          <t>New</t>
        </is>
      </c>
      <c r="I1003" s="12" t="inlineStr">
        <is>
          <t>Source assignment -- not individually reviewed</t>
        </is>
      </c>
      <c r="J1003" s="12" t="inlineStr"/>
      <c r="K1003" s="12" t="inlineStr">
        <is>
          <t>Source assignment</t>
        </is>
      </c>
      <c r="L1003" s="12" t="inlineStr"/>
      <c r="M1003" s="12" t="inlineStr">
        <is>
          <t>Initial</t>
        </is>
      </c>
      <c r="N1003" s="12" t="inlineStr">
        <is>
          <t>Rev 0</t>
        </is>
      </c>
      <c r="O1003" s="12" t="inlineStr">
        <is>
          <t>R612-v1</t>
        </is>
      </c>
      <c r="P1003" s="12" t="inlineStr"/>
      <c r="Q1003" s="12" t="inlineStr"/>
      <c r="R1003" s="12" t="inlineStr"/>
      <c r="S1003" s="12" t="inlineStr"/>
      <c r="T1003" s="12" t="inlineStr"/>
      <c r="U1003" s="12" t="inlineStr"/>
      <c r="V1003" s="12" t="inlineStr">
        <is>
          <t>WBS Code = 1.4.2</t>
        </is>
      </c>
      <c r="W1003" s="12" t="inlineStr"/>
    </row>
    <row r="1004" ht="49" customHeight="1">
      <c r="A1004" s="12" t="inlineStr">
        <is>
          <t>1.4.2</t>
        </is>
      </c>
      <c r="B1004" s="12" t="inlineStr">
        <is>
          <t>Vehicles and Depot - Depot Buildings</t>
        </is>
      </c>
      <c r="C1004" s="12" t="inlineStr">
        <is>
          <t>Contractor Programme</t>
        </is>
      </c>
      <c r="D1004" s="12" t="inlineStr">
        <is>
          <t>SCH-04-075</t>
        </is>
      </c>
      <c r="E1004" s="12" t="inlineStr">
        <is>
          <t>Operations building: fleet software load - turnover</t>
        </is>
      </c>
      <c r="F1004" s="12" t="inlineStr">
        <is>
          <t>ONE_TO_ONE</t>
        </is>
      </c>
      <c r="G1004" s="12" t="inlineStr">
        <is>
          <t>APPROVED</t>
        </is>
      </c>
      <c r="H1004" s="12" t="inlineStr">
        <is>
          <t>New</t>
        </is>
      </c>
      <c r="I1004" s="12" t="inlineStr">
        <is>
          <t>Source assignment -- not individually reviewed</t>
        </is>
      </c>
      <c r="J1004" s="12" t="inlineStr"/>
      <c r="K1004" s="12" t="inlineStr">
        <is>
          <t>Source assignment</t>
        </is>
      </c>
      <c r="L1004" s="12" t="inlineStr"/>
      <c r="M1004" s="12" t="inlineStr">
        <is>
          <t>Initial</t>
        </is>
      </c>
      <c r="N1004" s="12" t="inlineStr">
        <is>
          <t>Rev 0</t>
        </is>
      </c>
      <c r="O1004" s="12" t="inlineStr">
        <is>
          <t>R615-v1</t>
        </is>
      </c>
      <c r="P1004" s="12" t="inlineStr"/>
      <c r="Q1004" s="12" t="inlineStr"/>
      <c r="R1004" s="12" t="inlineStr"/>
      <c r="S1004" s="12" t="inlineStr"/>
      <c r="T1004" s="12" t="inlineStr"/>
      <c r="U1004" s="12" t="inlineStr"/>
      <c r="V1004" s="12" t="inlineStr">
        <is>
          <t>WBS Code = 1.4.2</t>
        </is>
      </c>
      <c r="W1004" s="12" t="inlineStr"/>
    </row>
    <row r="1005" ht="49" customHeight="1">
      <c r="A1005" s="12" t="inlineStr">
        <is>
          <t>1.4.2</t>
        </is>
      </c>
      <c r="B1005" s="12" t="inlineStr">
        <is>
          <t>Vehicles and Depot - Depot Buildings</t>
        </is>
      </c>
      <c r="C1005" s="12" t="inlineStr">
        <is>
          <t>Contractor Programme</t>
        </is>
      </c>
      <c r="D1005" s="12" t="inlineStr">
        <is>
          <t>SCH-04-078</t>
        </is>
      </c>
      <c r="E1005" s="12" t="inlineStr">
        <is>
          <t>Maintenance shop: maintenance-bay services - installation</t>
        </is>
      </c>
      <c r="F1005" s="12" t="inlineStr">
        <is>
          <t>ONE_TO_ONE</t>
        </is>
      </c>
      <c r="G1005" s="12" t="inlineStr">
        <is>
          <t>APPROVED</t>
        </is>
      </c>
      <c r="H1005" s="12" t="inlineStr">
        <is>
          <t>New</t>
        </is>
      </c>
      <c r="I1005" s="12" t="inlineStr">
        <is>
          <t>Source assignment -- not individually reviewed</t>
        </is>
      </c>
      <c r="J1005" s="12" t="inlineStr"/>
      <c r="K1005" s="12" t="inlineStr">
        <is>
          <t>Source assignment</t>
        </is>
      </c>
      <c r="L1005" s="12" t="inlineStr"/>
      <c r="M1005" s="12" t="inlineStr">
        <is>
          <t>Initial</t>
        </is>
      </c>
      <c r="N1005" s="12" t="inlineStr">
        <is>
          <t>Rev 0</t>
        </is>
      </c>
      <c r="O1005" s="12" t="inlineStr">
        <is>
          <t>R618-v1</t>
        </is>
      </c>
      <c r="P1005" s="12" t="inlineStr"/>
      <c r="Q1005" s="12" t="inlineStr"/>
      <c r="R1005" s="12" t="inlineStr"/>
      <c r="S1005" s="12" t="inlineStr"/>
      <c r="T1005" s="12" t="inlineStr"/>
      <c r="U1005" s="12" t="inlineStr"/>
      <c r="V1005" s="12" t="inlineStr">
        <is>
          <t>WBS Code = 1.4.2</t>
        </is>
      </c>
      <c r="W1005" s="12" t="inlineStr"/>
    </row>
    <row r="1006" ht="49" customHeight="1">
      <c r="A1006" s="12" t="inlineStr">
        <is>
          <t>1.4.2</t>
        </is>
      </c>
      <c r="B1006" s="12" t="inlineStr">
        <is>
          <t>Vehicles and Depot - Depot Buildings</t>
        </is>
      </c>
      <c r="C1006" s="12" t="inlineStr">
        <is>
          <t>Contractor Programme</t>
        </is>
      </c>
      <c r="D1006" s="12" t="inlineStr">
        <is>
          <t>SCH-04-081</t>
        </is>
      </c>
      <c r="E1006" s="12" t="inlineStr">
        <is>
          <t>Test track: vehicle-to-depot interface check - release</t>
        </is>
      </c>
      <c r="F1006" s="12" t="inlineStr">
        <is>
          <t>ONE_TO_ONE</t>
        </is>
      </c>
      <c r="G1006" s="12" t="inlineStr">
        <is>
          <t>APPROVED</t>
        </is>
      </c>
      <c r="H1006" s="12" t="inlineStr">
        <is>
          <t>New</t>
        </is>
      </c>
      <c r="I1006" s="12" t="inlineStr">
        <is>
          <t>Source assignment -- not individually reviewed</t>
        </is>
      </c>
      <c r="J1006" s="12" t="inlineStr"/>
      <c r="K1006" s="12" t="inlineStr">
        <is>
          <t>Source assignment</t>
        </is>
      </c>
      <c r="L1006" s="12" t="inlineStr"/>
      <c r="M1006" s="12" t="inlineStr">
        <is>
          <t>Initial</t>
        </is>
      </c>
      <c r="N1006" s="12" t="inlineStr">
        <is>
          <t>Rev 0</t>
        </is>
      </c>
      <c r="O1006" s="12" t="inlineStr">
        <is>
          <t>R621-v1</t>
        </is>
      </c>
      <c r="P1006" s="12" t="inlineStr"/>
      <c r="Q1006" s="12" t="inlineStr"/>
      <c r="R1006" s="12" t="inlineStr"/>
      <c r="S1006" s="12" t="inlineStr"/>
      <c r="T1006" s="12" t="inlineStr"/>
      <c r="U1006" s="12" t="inlineStr"/>
      <c r="V1006" s="12" t="inlineStr">
        <is>
          <t>WBS Code = 1.4.2</t>
        </is>
      </c>
      <c r="W1006" s="12" t="inlineStr"/>
    </row>
    <row r="1007" ht="49" customHeight="1">
      <c r="A1007" s="12" t="inlineStr">
        <is>
          <t>1.4.2</t>
        </is>
      </c>
      <c r="B1007" s="12" t="inlineStr">
        <is>
          <t>Vehicles and Depot - Depot Buildings</t>
        </is>
      </c>
      <c r="C1007" s="12" t="inlineStr">
        <is>
          <t>Contractor Programme</t>
        </is>
      </c>
      <c r="D1007" s="12" t="inlineStr">
        <is>
          <t>SCH-04-084</t>
        </is>
      </c>
      <c r="E1007" s="12" t="inlineStr">
        <is>
          <t>Storage yard: vehicle delivery inspection - inspection</t>
        </is>
      </c>
      <c r="F1007" s="12" t="inlineStr">
        <is>
          <t>ONE_TO_ONE</t>
        </is>
      </c>
      <c r="G1007" s="12" t="inlineStr">
        <is>
          <t>APPROVED</t>
        </is>
      </c>
      <c r="H1007" s="12" t="inlineStr">
        <is>
          <t>New</t>
        </is>
      </c>
      <c r="I1007" s="12" t="inlineStr">
        <is>
          <t>Source assignment -- not individually reviewed</t>
        </is>
      </c>
      <c r="J1007" s="12" t="inlineStr"/>
      <c r="K1007" s="12" t="inlineStr">
        <is>
          <t>Source assignment</t>
        </is>
      </c>
      <c r="L1007" s="12" t="inlineStr"/>
      <c r="M1007" s="12" t="inlineStr">
        <is>
          <t>Initial</t>
        </is>
      </c>
      <c r="N1007" s="12" t="inlineStr">
        <is>
          <t>Rev 0</t>
        </is>
      </c>
      <c r="O1007" s="12" t="inlineStr">
        <is>
          <t>R624-v1</t>
        </is>
      </c>
      <c r="P1007" s="12" t="inlineStr"/>
      <c r="Q1007" s="12" t="inlineStr"/>
      <c r="R1007" s="12" t="inlineStr"/>
      <c r="S1007" s="12" t="inlineStr"/>
      <c r="T1007" s="12" t="inlineStr"/>
      <c r="U1007" s="12" t="inlineStr"/>
      <c r="V1007" s="12" t="inlineStr">
        <is>
          <t>WBS Code = 1.4.2</t>
        </is>
      </c>
      <c r="W1007" s="12" t="inlineStr"/>
    </row>
    <row r="1008" ht="49" customHeight="1">
      <c r="A1008" s="12" t="inlineStr">
        <is>
          <t>1.4.2</t>
        </is>
      </c>
      <c r="B1008" s="12" t="inlineStr">
        <is>
          <t>Vehicles and Depot - Depot Buildings</t>
        </is>
      </c>
      <c r="C1008" s="12" t="inlineStr">
        <is>
          <t>Contractor Programme</t>
        </is>
      </c>
      <c r="D1008" s="12" t="inlineStr">
        <is>
          <t>SCH-04-087</t>
        </is>
      </c>
      <c r="E1008" s="12" t="inlineStr">
        <is>
          <t>Receiving track: depot structural fit-out - field start</t>
        </is>
      </c>
      <c r="F1008" s="12" t="inlineStr">
        <is>
          <t>ONE_TO_ONE</t>
        </is>
      </c>
      <c r="G1008" s="12" t="inlineStr">
        <is>
          <t>APPROVED</t>
        </is>
      </c>
      <c r="H1008" s="12" t="inlineStr">
        <is>
          <t>New</t>
        </is>
      </c>
      <c r="I1008" s="12" t="inlineStr">
        <is>
          <t>Source assignment -- not individually reviewed</t>
        </is>
      </c>
      <c r="J1008" s="12" t="inlineStr"/>
      <c r="K1008" s="12" t="inlineStr">
        <is>
          <t>Source assignment</t>
        </is>
      </c>
      <c r="L1008" s="12" t="inlineStr"/>
      <c r="M1008" s="12" t="inlineStr">
        <is>
          <t>Initial</t>
        </is>
      </c>
      <c r="N1008" s="12" t="inlineStr">
        <is>
          <t>Rev 0</t>
        </is>
      </c>
      <c r="O1008" s="12" t="inlineStr">
        <is>
          <t>R627-v1</t>
        </is>
      </c>
      <c r="P1008" s="12" t="inlineStr"/>
      <c r="Q1008" s="12" t="inlineStr"/>
      <c r="R1008" s="12" t="inlineStr"/>
      <c r="S1008" s="12" t="inlineStr"/>
      <c r="T1008" s="12" t="inlineStr"/>
      <c r="U1008" s="12" t="inlineStr"/>
      <c r="V1008" s="12" t="inlineStr">
        <is>
          <t>WBS Code = 1.4.2</t>
        </is>
      </c>
      <c r="W1008" s="12" t="inlineStr"/>
    </row>
    <row r="1009" ht="49" customHeight="1">
      <c r="A1009" s="12" t="inlineStr">
        <is>
          <t>1.4.2</t>
        </is>
      </c>
      <c r="B1009" s="12" t="inlineStr">
        <is>
          <t>Vehicles and Depot - Depot Buildings</t>
        </is>
      </c>
      <c r="C1009" s="12" t="inlineStr">
        <is>
          <t>Contractor Programme</t>
        </is>
      </c>
      <c r="D1009" s="12" t="inlineStr">
        <is>
          <t>SCH-04-090</t>
        </is>
      </c>
      <c r="E1009" s="12" t="inlineStr">
        <is>
          <t>Operations building: wheel-lathe installation - turnover</t>
        </is>
      </c>
      <c r="F1009" s="12" t="inlineStr">
        <is>
          <t>ONE_TO_ONE</t>
        </is>
      </c>
      <c r="G1009" s="12" t="inlineStr">
        <is>
          <t>APPROVED</t>
        </is>
      </c>
      <c r="H1009" s="12" t="inlineStr">
        <is>
          <t>New</t>
        </is>
      </c>
      <c r="I1009" s="12" t="inlineStr">
        <is>
          <t>Source assignment -- not individually reviewed</t>
        </is>
      </c>
      <c r="J1009" s="12" t="inlineStr"/>
      <c r="K1009" s="12" t="inlineStr">
        <is>
          <t>Source assignment</t>
        </is>
      </c>
      <c r="L1009" s="12" t="inlineStr"/>
      <c r="M1009" s="12" t="inlineStr">
        <is>
          <t>Initial</t>
        </is>
      </c>
      <c r="N1009" s="12" t="inlineStr">
        <is>
          <t>Rev 0</t>
        </is>
      </c>
      <c r="O1009" s="12" t="inlineStr">
        <is>
          <t>R630-v1</t>
        </is>
      </c>
      <c r="P1009" s="12" t="inlineStr"/>
      <c r="Q1009" s="12" t="inlineStr"/>
      <c r="R1009" s="12" t="inlineStr"/>
      <c r="S1009" s="12" t="inlineStr"/>
      <c r="T1009" s="12" t="inlineStr"/>
      <c r="U1009" s="12" t="inlineStr"/>
      <c r="V1009" s="12" t="inlineStr">
        <is>
          <t>WBS Code = 1.4.2</t>
        </is>
      </c>
      <c r="W1009" s="12" t="inlineStr"/>
    </row>
    <row r="1010" ht="49" customHeight="1">
      <c r="A1010" s="12" t="inlineStr">
        <is>
          <t>1.4.2</t>
        </is>
      </c>
      <c r="B1010" s="12" t="inlineStr">
        <is>
          <t>Vehicles and Depot - Depot Buildings</t>
        </is>
      </c>
      <c r="C1010" s="12" t="inlineStr">
        <is>
          <t>Contractor Programme</t>
        </is>
      </c>
      <c r="D1010" s="12" t="inlineStr">
        <is>
          <t>SCH-04-093</t>
        </is>
      </c>
      <c r="E1010" s="12" t="inlineStr">
        <is>
          <t>Maintenance shop: wash-plant commissioning - installation</t>
        </is>
      </c>
      <c r="F1010" s="12" t="inlineStr">
        <is>
          <t>ONE_TO_ONE</t>
        </is>
      </c>
      <c r="G1010" s="12" t="inlineStr">
        <is>
          <t>APPROVED</t>
        </is>
      </c>
      <c r="H1010" s="12" t="inlineStr">
        <is>
          <t>New</t>
        </is>
      </c>
      <c r="I1010" s="12" t="inlineStr">
        <is>
          <t>Source assignment -- not individually reviewed</t>
        </is>
      </c>
      <c r="J1010" s="12" t="inlineStr"/>
      <c r="K1010" s="12" t="inlineStr">
        <is>
          <t>Source assignment</t>
        </is>
      </c>
      <c r="L1010" s="12" t="inlineStr"/>
      <c r="M1010" s="12" t="inlineStr">
        <is>
          <t>Initial</t>
        </is>
      </c>
      <c r="N1010" s="12" t="inlineStr">
        <is>
          <t>Rev 0</t>
        </is>
      </c>
      <c r="O1010" s="12" t="inlineStr">
        <is>
          <t>R633-v1</t>
        </is>
      </c>
      <c r="P1010" s="12" t="inlineStr"/>
      <c r="Q1010" s="12" t="inlineStr"/>
      <c r="R1010" s="12" t="inlineStr"/>
      <c r="S1010" s="12" t="inlineStr"/>
      <c r="T1010" s="12" t="inlineStr"/>
      <c r="U1010" s="12" t="inlineStr"/>
      <c r="V1010" s="12" t="inlineStr">
        <is>
          <t>WBS Code = 1.4.2</t>
        </is>
      </c>
      <c r="W1010" s="12" t="inlineStr"/>
    </row>
    <row r="1011" ht="49" customHeight="1">
      <c r="A1011" s="12" t="inlineStr">
        <is>
          <t>1.4.2</t>
        </is>
      </c>
      <c r="B1011" s="12" t="inlineStr">
        <is>
          <t>Vehicles and Depot - Depot Buildings</t>
        </is>
      </c>
      <c r="C1011" s="12" t="inlineStr">
        <is>
          <t>Contractor Programme</t>
        </is>
      </c>
      <c r="D1011" s="12" t="inlineStr">
        <is>
          <t>SCH-04-096</t>
        </is>
      </c>
      <c r="E1011" s="12" t="inlineStr">
        <is>
          <t>Test track: workshop crane installation - release</t>
        </is>
      </c>
      <c r="F1011" s="12" t="inlineStr">
        <is>
          <t>ONE_TO_ONE</t>
        </is>
      </c>
      <c r="G1011" s="12" t="inlineStr">
        <is>
          <t>APPROVED</t>
        </is>
      </c>
      <c r="H1011" s="12" t="inlineStr">
        <is>
          <t>New</t>
        </is>
      </c>
      <c r="I1011" s="12" t="inlineStr">
        <is>
          <t>Source assignment -- not individually reviewed</t>
        </is>
      </c>
      <c r="J1011" s="12" t="inlineStr"/>
      <c r="K1011" s="12" t="inlineStr">
        <is>
          <t>Source assignment</t>
        </is>
      </c>
      <c r="L1011" s="12" t="inlineStr"/>
      <c r="M1011" s="12" t="inlineStr">
        <is>
          <t>Initial</t>
        </is>
      </c>
      <c r="N1011" s="12" t="inlineStr">
        <is>
          <t>Rev 0</t>
        </is>
      </c>
      <c r="O1011" s="12" t="inlineStr">
        <is>
          <t>R636-v1</t>
        </is>
      </c>
      <c r="P1011" s="12" t="inlineStr"/>
      <c r="Q1011" s="12" t="inlineStr"/>
      <c r="R1011" s="12" t="inlineStr"/>
      <c r="S1011" s="12" t="inlineStr"/>
      <c r="T1011" s="12" t="inlineStr"/>
      <c r="U1011" s="12" t="inlineStr"/>
      <c r="V1011" s="12" t="inlineStr">
        <is>
          <t>WBS Code = 1.4.2</t>
        </is>
      </c>
      <c r="W1011" s="12" t="inlineStr"/>
    </row>
    <row r="1012" ht="49" customHeight="1">
      <c r="A1012" s="12" t="inlineStr">
        <is>
          <t>1.4.2</t>
        </is>
      </c>
      <c r="B1012" s="12" t="inlineStr">
        <is>
          <t>Vehicles and Depot - Depot Buildings</t>
        </is>
      </c>
      <c r="C1012" s="12" t="inlineStr">
        <is>
          <t>Contractor Programme</t>
        </is>
      </c>
      <c r="D1012" s="12" t="inlineStr">
        <is>
          <t>SCH-04-099</t>
        </is>
      </c>
      <c r="E1012" s="12" t="inlineStr">
        <is>
          <t>Storage yard: fleet software load - inspection</t>
        </is>
      </c>
      <c r="F1012" s="12" t="inlineStr">
        <is>
          <t>ONE_TO_ONE</t>
        </is>
      </c>
      <c r="G1012" s="12" t="inlineStr">
        <is>
          <t>APPROVED</t>
        </is>
      </c>
      <c r="H1012" s="12" t="inlineStr">
        <is>
          <t>New</t>
        </is>
      </c>
      <c r="I1012" s="12" t="inlineStr">
        <is>
          <t>Source assignment -- not individually reviewed</t>
        </is>
      </c>
      <c r="J1012" s="12" t="inlineStr"/>
      <c r="K1012" s="12" t="inlineStr">
        <is>
          <t>Source assignment</t>
        </is>
      </c>
      <c r="L1012" s="12" t="inlineStr"/>
      <c r="M1012" s="12" t="inlineStr">
        <is>
          <t>Initial</t>
        </is>
      </c>
      <c r="N1012" s="12" t="inlineStr">
        <is>
          <t>Rev 0</t>
        </is>
      </c>
      <c r="O1012" s="12" t="inlineStr">
        <is>
          <t>R639-v1</t>
        </is>
      </c>
      <c r="P1012" s="12" t="inlineStr"/>
      <c r="Q1012" s="12" t="inlineStr"/>
      <c r="R1012" s="12" t="inlineStr"/>
      <c r="S1012" s="12" t="inlineStr"/>
      <c r="T1012" s="12" t="inlineStr"/>
      <c r="U1012" s="12" t="inlineStr"/>
      <c r="V1012" s="12" t="inlineStr">
        <is>
          <t>WBS Code = 1.4.2</t>
        </is>
      </c>
      <c r="W1012" s="12" t="inlineStr"/>
    </row>
    <row r="1013" ht="49" customHeight="1">
      <c r="A1013" s="12" t="inlineStr">
        <is>
          <t>1.4.2</t>
        </is>
      </c>
      <c r="B1013" s="12" t="inlineStr">
        <is>
          <t>Vehicles and Depot - Depot Buildings</t>
        </is>
      </c>
      <c r="C1013" s="12" t="inlineStr">
        <is>
          <t>Contractor Programme</t>
        </is>
      </c>
      <c r="D1013" s="12" t="inlineStr">
        <is>
          <t>SCH-04-102</t>
        </is>
      </c>
      <c r="E1013" s="12" t="inlineStr">
        <is>
          <t>Receiving track: maintenance-bay services - field start</t>
        </is>
      </c>
      <c r="F1013" s="12" t="inlineStr">
        <is>
          <t>ONE_TO_ONE</t>
        </is>
      </c>
      <c r="G1013" s="12" t="inlineStr">
        <is>
          <t>APPROVED</t>
        </is>
      </c>
      <c r="H1013" s="12" t="inlineStr">
        <is>
          <t>New</t>
        </is>
      </c>
      <c r="I1013" s="12" t="inlineStr">
        <is>
          <t>Source assignment -- not individually reviewed</t>
        </is>
      </c>
      <c r="J1013" s="12" t="inlineStr"/>
      <c r="K1013" s="12" t="inlineStr">
        <is>
          <t>Source assignment</t>
        </is>
      </c>
      <c r="L1013" s="12" t="inlineStr"/>
      <c r="M1013" s="12" t="inlineStr">
        <is>
          <t>Initial</t>
        </is>
      </c>
      <c r="N1013" s="12" t="inlineStr">
        <is>
          <t>Rev 0</t>
        </is>
      </c>
      <c r="O1013" s="12" t="inlineStr">
        <is>
          <t>R642-v1</t>
        </is>
      </c>
      <c r="P1013" s="12" t="inlineStr"/>
      <c r="Q1013" s="12" t="inlineStr"/>
      <c r="R1013" s="12" t="inlineStr"/>
      <c r="S1013" s="12" t="inlineStr"/>
      <c r="T1013" s="12" t="inlineStr"/>
      <c r="U1013" s="12" t="inlineStr"/>
      <c r="V1013" s="12" t="inlineStr">
        <is>
          <t>WBS Code = 1.4.2</t>
        </is>
      </c>
      <c r="W1013" s="12" t="inlineStr"/>
    </row>
    <row r="1014" ht="49" customHeight="1">
      <c r="A1014" s="12" t="inlineStr">
        <is>
          <t>1.4.2</t>
        </is>
      </c>
      <c r="B1014" s="12" t="inlineStr">
        <is>
          <t>Vehicles and Depot - Depot Buildings</t>
        </is>
      </c>
      <c r="C1014" s="12" t="inlineStr">
        <is>
          <t>Contractor Programme</t>
        </is>
      </c>
      <c r="D1014" s="12" t="inlineStr">
        <is>
          <t>SCH-04-105</t>
        </is>
      </c>
      <c r="E1014" s="12" t="inlineStr">
        <is>
          <t>Operations building: vehicle-to-depot interface check - turnover</t>
        </is>
      </c>
      <c r="F1014" s="12" t="inlineStr">
        <is>
          <t>ONE_TO_ONE</t>
        </is>
      </c>
      <c r="G1014" s="12" t="inlineStr">
        <is>
          <t>APPROVED</t>
        </is>
      </c>
      <c r="H1014" s="12" t="inlineStr">
        <is>
          <t>New</t>
        </is>
      </c>
      <c r="I1014" s="12" t="inlineStr">
        <is>
          <t>Source assignment -- not individually reviewed</t>
        </is>
      </c>
      <c r="J1014" s="12" t="inlineStr"/>
      <c r="K1014" s="12" t="inlineStr">
        <is>
          <t>Source assignment</t>
        </is>
      </c>
      <c r="L1014" s="12" t="inlineStr"/>
      <c r="M1014" s="12" t="inlineStr">
        <is>
          <t>Initial</t>
        </is>
      </c>
      <c r="N1014" s="12" t="inlineStr">
        <is>
          <t>Rev 0</t>
        </is>
      </c>
      <c r="O1014" s="12" t="inlineStr">
        <is>
          <t>R645-v1</t>
        </is>
      </c>
      <c r="P1014" s="12" t="inlineStr"/>
      <c r="Q1014" s="12" t="inlineStr"/>
      <c r="R1014" s="12" t="inlineStr"/>
      <c r="S1014" s="12" t="inlineStr"/>
      <c r="T1014" s="12" t="inlineStr"/>
      <c r="U1014" s="12" t="inlineStr"/>
      <c r="V1014" s="12" t="inlineStr">
        <is>
          <t>WBS Code = 1.4.2</t>
        </is>
      </c>
      <c r="W1014" s="12" t="inlineStr"/>
    </row>
    <row r="1015" ht="49" customHeight="1">
      <c r="A1015" s="12" t="inlineStr">
        <is>
          <t>1.4.2</t>
        </is>
      </c>
      <c r="B1015" s="12" t="inlineStr">
        <is>
          <t>Vehicles and Depot - Depot Buildings</t>
        </is>
      </c>
      <c r="C1015" s="12" t="inlineStr">
        <is>
          <t>Contractor Programme</t>
        </is>
      </c>
      <c r="D1015" s="12" t="inlineStr">
        <is>
          <t>SCH-04-108</t>
        </is>
      </c>
      <c r="E1015" s="12" t="inlineStr">
        <is>
          <t>Maintenance shop: vehicle delivery inspection - installation</t>
        </is>
      </c>
      <c r="F1015" s="12" t="inlineStr">
        <is>
          <t>ONE_TO_ONE</t>
        </is>
      </c>
      <c r="G1015" s="12" t="inlineStr">
        <is>
          <t>APPROVED</t>
        </is>
      </c>
      <c r="H1015" s="12" t="inlineStr">
        <is>
          <t>New</t>
        </is>
      </c>
      <c r="I1015" s="12" t="inlineStr">
        <is>
          <t>Source assignment -- not individually reviewed</t>
        </is>
      </c>
      <c r="J1015" s="12" t="inlineStr"/>
      <c r="K1015" s="12" t="inlineStr">
        <is>
          <t>Source assignment</t>
        </is>
      </c>
      <c r="L1015" s="12" t="inlineStr"/>
      <c r="M1015" s="12" t="inlineStr">
        <is>
          <t>Initial</t>
        </is>
      </c>
      <c r="N1015" s="12" t="inlineStr">
        <is>
          <t>Rev 0</t>
        </is>
      </c>
      <c r="O1015" s="12" t="inlineStr">
        <is>
          <t>R648-v1</t>
        </is>
      </c>
      <c r="P1015" s="12" t="inlineStr"/>
      <c r="Q1015" s="12" t="inlineStr"/>
      <c r="R1015" s="12" t="inlineStr"/>
      <c r="S1015" s="12" t="inlineStr"/>
      <c r="T1015" s="12" t="inlineStr"/>
      <c r="U1015" s="12" t="inlineStr"/>
      <c r="V1015" s="12" t="inlineStr">
        <is>
          <t>WBS Code = 1.4.2</t>
        </is>
      </c>
      <c r="W1015" s="12" t="inlineStr"/>
    </row>
    <row r="1016" ht="49" customHeight="1">
      <c r="A1016" s="12" t="inlineStr">
        <is>
          <t>1.4.2</t>
        </is>
      </c>
      <c r="B1016" s="12" t="inlineStr">
        <is>
          <t>Vehicles and Depot - Depot Buildings</t>
        </is>
      </c>
      <c r="C1016" s="12" t="inlineStr">
        <is>
          <t>Contractor Programme</t>
        </is>
      </c>
      <c r="D1016" s="12" t="inlineStr">
        <is>
          <t>SCH-04-111</t>
        </is>
      </c>
      <c r="E1016" s="12" t="inlineStr">
        <is>
          <t>Test track: depot structural fit-out - release</t>
        </is>
      </c>
      <c r="F1016" s="12" t="inlineStr">
        <is>
          <t>ONE_TO_ONE</t>
        </is>
      </c>
      <c r="G1016" s="12" t="inlineStr">
        <is>
          <t>APPROVED</t>
        </is>
      </c>
      <c r="H1016" s="12" t="inlineStr">
        <is>
          <t>New</t>
        </is>
      </c>
      <c r="I1016" s="12" t="inlineStr">
        <is>
          <t>Source assignment -- not individually reviewed</t>
        </is>
      </c>
      <c r="J1016" s="12" t="inlineStr"/>
      <c r="K1016" s="12" t="inlineStr">
        <is>
          <t>Source assignment</t>
        </is>
      </c>
      <c r="L1016" s="12" t="inlineStr"/>
      <c r="M1016" s="12" t="inlineStr">
        <is>
          <t>Initial</t>
        </is>
      </c>
      <c r="N1016" s="12" t="inlineStr">
        <is>
          <t>Rev 0</t>
        </is>
      </c>
      <c r="O1016" s="12" t="inlineStr">
        <is>
          <t>R651-v1</t>
        </is>
      </c>
      <c r="P1016" s="12" t="inlineStr"/>
      <c r="Q1016" s="12" t="inlineStr"/>
      <c r="R1016" s="12" t="inlineStr"/>
      <c r="S1016" s="12" t="inlineStr"/>
      <c r="T1016" s="12" t="inlineStr"/>
      <c r="U1016" s="12" t="inlineStr"/>
      <c r="V1016" s="12" t="inlineStr">
        <is>
          <t>WBS Code = 1.4.2</t>
        </is>
      </c>
      <c r="W1016" s="12" t="inlineStr"/>
    </row>
    <row r="1017" ht="49" customHeight="1">
      <c r="A1017" s="12" t="inlineStr">
        <is>
          <t>1.4.2</t>
        </is>
      </c>
      <c r="B1017" s="12" t="inlineStr">
        <is>
          <t>Vehicles and Depot - Depot Buildings</t>
        </is>
      </c>
      <c r="C1017" s="12" t="inlineStr">
        <is>
          <t>Contractor Programme</t>
        </is>
      </c>
      <c r="D1017" s="12" t="inlineStr">
        <is>
          <t>SCH-04-114</t>
        </is>
      </c>
      <c r="E1017" s="12" t="inlineStr">
        <is>
          <t>Storage yard: wheel-lathe installation - inspection</t>
        </is>
      </c>
      <c r="F1017" s="12" t="inlineStr">
        <is>
          <t>ONE_TO_ONE</t>
        </is>
      </c>
      <c r="G1017" s="12" t="inlineStr">
        <is>
          <t>APPROVED</t>
        </is>
      </c>
      <c r="H1017" s="12" t="inlineStr">
        <is>
          <t>New</t>
        </is>
      </c>
      <c r="I1017" s="12" t="inlineStr">
        <is>
          <t>Source assignment -- not individually reviewed</t>
        </is>
      </c>
      <c r="J1017" s="12" t="inlineStr"/>
      <c r="K1017" s="12" t="inlineStr">
        <is>
          <t>Source assignment</t>
        </is>
      </c>
      <c r="L1017" s="12" t="inlineStr"/>
      <c r="M1017" s="12" t="inlineStr">
        <is>
          <t>Initial</t>
        </is>
      </c>
      <c r="N1017" s="12" t="inlineStr">
        <is>
          <t>Rev 0</t>
        </is>
      </c>
      <c r="O1017" s="12" t="inlineStr">
        <is>
          <t>R654-v1</t>
        </is>
      </c>
      <c r="P1017" s="12" t="inlineStr"/>
      <c r="Q1017" s="12" t="inlineStr"/>
      <c r="R1017" s="12" t="inlineStr"/>
      <c r="S1017" s="12" t="inlineStr"/>
      <c r="T1017" s="12" t="inlineStr"/>
      <c r="U1017" s="12" t="inlineStr"/>
      <c r="V1017" s="12" t="inlineStr">
        <is>
          <t>WBS Code = 1.4.2</t>
        </is>
      </c>
      <c r="W1017" s="12" t="inlineStr"/>
    </row>
    <row r="1018" ht="49" customHeight="1">
      <c r="A1018" s="12" t="inlineStr">
        <is>
          <t>1.4.2</t>
        </is>
      </c>
      <c r="B1018" s="12" t="inlineStr">
        <is>
          <t>Vehicles and Depot - Depot Buildings</t>
        </is>
      </c>
      <c r="C1018" s="12" t="inlineStr">
        <is>
          <t>Contractor Programme</t>
        </is>
      </c>
      <c r="D1018" s="12" t="inlineStr">
        <is>
          <t>SCH-04-117</t>
        </is>
      </c>
      <c r="E1018" s="12" t="inlineStr">
        <is>
          <t>Receiving track: wash-plant commissioning - field start</t>
        </is>
      </c>
      <c r="F1018" s="12" t="inlineStr">
        <is>
          <t>ONE_TO_ONE</t>
        </is>
      </c>
      <c r="G1018" s="12" t="inlineStr">
        <is>
          <t>APPROVED</t>
        </is>
      </c>
      <c r="H1018" s="12" t="inlineStr">
        <is>
          <t>New</t>
        </is>
      </c>
      <c r="I1018" s="12" t="inlineStr">
        <is>
          <t>Source assignment -- not individually reviewed</t>
        </is>
      </c>
      <c r="J1018" s="12" t="inlineStr"/>
      <c r="K1018" s="12" t="inlineStr">
        <is>
          <t>Source assignment</t>
        </is>
      </c>
      <c r="L1018" s="12" t="inlineStr"/>
      <c r="M1018" s="12" t="inlineStr">
        <is>
          <t>Initial</t>
        </is>
      </c>
      <c r="N1018" s="12" t="inlineStr">
        <is>
          <t>Rev 0</t>
        </is>
      </c>
      <c r="O1018" s="12" t="inlineStr">
        <is>
          <t>R657-v1</t>
        </is>
      </c>
      <c r="P1018" s="12" t="inlineStr"/>
      <c r="Q1018" s="12" t="inlineStr"/>
      <c r="R1018" s="12" t="inlineStr"/>
      <c r="S1018" s="12" t="inlineStr"/>
      <c r="T1018" s="12" t="inlineStr"/>
      <c r="U1018" s="12" t="inlineStr"/>
      <c r="V1018" s="12" t="inlineStr">
        <is>
          <t>WBS Code = 1.4.2</t>
        </is>
      </c>
      <c r="W1018" s="12" t="inlineStr"/>
    </row>
    <row r="1019" ht="49" customHeight="1">
      <c r="A1019" s="12" t="inlineStr">
        <is>
          <t>1.4.2</t>
        </is>
      </c>
      <c r="B1019" s="12" t="inlineStr">
        <is>
          <t>Vehicles and Depot - Depot Buildings</t>
        </is>
      </c>
      <c r="C1019" s="12" t="inlineStr">
        <is>
          <t>Contractor Programme</t>
        </is>
      </c>
      <c r="D1019" s="12" t="inlineStr">
        <is>
          <t>SCH-04-120</t>
        </is>
      </c>
      <c r="E1019" s="12" t="inlineStr">
        <is>
          <t>Operations building: workshop crane installation - turnover</t>
        </is>
      </c>
      <c r="F1019" s="12" t="inlineStr">
        <is>
          <t>ONE_TO_ONE</t>
        </is>
      </c>
      <c r="G1019" s="12" t="inlineStr">
        <is>
          <t>APPROVED</t>
        </is>
      </c>
      <c r="H1019" s="12" t="inlineStr">
        <is>
          <t>New</t>
        </is>
      </c>
      <c r="I1019" s="12" t="inlineStr">
        <is>
          <t>Source assignment -- not individually reviewed</t>
        </is>
      </c>
      <c r="J1019" s="12" t="inlineStr"/>
      <c r="K1019" s="12" t="inlineStr">
        <is>
          <t>Source assignment</t>
        </is>
      </c>
      <c r="L1019" s="12" t="inlineStr"/>
      <c r="M1019" s="12" t="inlineStr">
        <is>
          <t>Initial</t>
        </is>
      </c>
      <c r="N1019" s="12" t="inlineStr">
        <is>
          <t>Rev 0</t>
        </is>
      </c>
      <c r="O1019" s="12" t="inlineStr">
        <is>
          <t>R660-v1</t>
        </is>
      </c>
      <c r="P1019" s="12" t="inlineStr"/>
      <c r="Q1019" s="12" t="inlineStr"/>
      <c r="R1019" s="12" t="inlineStr"/>
      <c r="S1019" s="12" t="inlineStr"/>
      <c r="T1019" s="12" t="inlineStr"/>
      <c r="U1019" s="12" t="inlineStr"/>
      <c r="V1019" s="12" t="inlineStr">
        <is>
          <t>WBS Code = 1.4.2</t>
        </is>
      </c>
      <c r="W1019" s="12" t="inlineStr"/>
    </row>
    <row r="1020" ht="49" customHeight="1">
      <c r="A1020" s="12" t="inlineStr">
        <is>
          <t>1.4.2</t>
        </is>
      </c>
      <c r="B1020" s="12" t="inlineStr">
        <is>
          <t>Vehicles and Depot - Depot Buildings</t>
        </is>
      </c>
      <c r="C1020" s="12" t="inlineStr">
        <is>
          <t>Contractor Programme</t>
        </is>
      </c>
      <c r="D1020" s="12" t="inlineStr">
        <is>
          <t>SCH-04-123</t>
        </is>
      </c>
      <c r="E1020" s="12" t="inlineStr">
        <is>
          <t>Maintenance shop: fleet software load - installation</t>
        </is>
      </c>
      <c r="F1020" s="12" t="inlineStr">
        <is>
          <t>ONE_TO_ONE</t>
        </is>
      </c>
      <c r="G1020" s="12" t="inlineStr">
        <is>
          <t>APPROVED</t>
        </is>
      </c>
      <c r="H1020" s="12" t="inlineStr">
        <is>
          <t>New</t>
        </is>
      </c>
      <c r="I1020" s="12" t="inlineStr">
        <is>
          <t>Source assignment -- not individually reviewed</t>
        </is>
      </c>
      <c r="J1020" s="12" t="inlineStr"/>
      <c r="K1020" s="12" t="inlineStr">
        <is>
          <t>Source assignment</t>
        </is>
      </c>
      <c r="L1020" s="12" t="inlineStr"/>
      <c r="M1020" s="12" t="inlineStr">
        <is>
          <t>Initial</t>
        </is>
      </c>
      <c r="N1020" s="12" t="inlineStr">
        <is>
          <t>Rev 0</t>
        </is>
      </c>
      <c r="O1020" s="12" t="inlineStr">
        <is>
          <t>R663-v1</t>
        </is>
      </c>
      <c r="P1020" s="12" t="inlineStr"/>
      <c r="Q1020" s="12" t="inlineStr"/>
      <c r="R1020" s="12" t="inlineStr"/>
      <c r="S1020" s="12" t="inlineStr"/>
      <c r="T1020" s="12" t="inlineStr"/>
      <c r="U1020" s="12" t="inlineStr"/>
      <c r="V1020" s="12" t="inlineStr">
        <is>
          <t>WBS Code = 1.4.2</t>
        </is>
      </c>
      <c r="W1020" s="12" t="inlineStr"/>
    </row>
    <row r="1021" ht="49" customHeight="1">
      <c r="A1021" s="12" t="inlineStr">
        <is>
          <t>1.4.2</t>
        </is>
      </c>
      <c r="B1021" s="12" t="inlineStr">
        <is>
          <t>Vehicles and Depot - Depot Buildings</t>
        </is>
      </c>
      <c r="C1021" s="12" t="inlineStr">
        <is>
          <t>Contractor Programme</t>
        </is>
      </c>
      <c r="D1021" s="12" t="inlineStr">
        <is>
          <t>SCH-04-126</t>
        </is>
      </c>
      <c r="E1021" s="12" t="inlineStr">
        <is>
          <t>Test track: maintenance-bay services - release</t>
        </is>
      </c>
      <c r="F1021" s="12" t="inlineStr">
        <is>
          <t>ONE_TO_ONE</t>
        </is>
      </c>
      <c r="G1021" s="12" t="inlineStr">
        <is>
          <t>APPROVED</t>
        </is>
      </c>
      <c r="H1021" s="12" t="inlineStr">
        <is>
          <t>New</t>
        </is>
      </c>
      <c r="I1021" s="12" t="inlineStr">
        <is>
          <t>Source assignment -- not individually reviewed</t>
        </is>
      </c>
      <c r="J1021" s="12" t="inlineStr"/>
      <c r="K1021" s="12" t="inlineStr">
        <is>
          <t>Source assignment</t>
        </is>
      </c>
      <c r="L1021" s="12" t="inlineStr"/>
      <c r="M1021" s="12" t="inlineStr">
        <is>
          <t>Initial</t>
        </is>
      </c>
      <c r="N1021" s="12" t="inlineStr">
        <is>
          <t>Rev 0</t>
        </is>
      </c>
      <c r="O1021" s="12" t="inlineStr">
        <is>
          <t>R666-v1</t>
        </is>
      </c>
      <c r="P1021" s="12" t="inlineStr"/>
      <c r="Q1021" s="12" t="inlineStr"/>
      <c r="R1021" s="12" t="inlineStr"/>
      <c r="S1021" s="12" t="inlineStr"/>
      <c r="T1021" s="12" t="inlineStr"/>
      <c r="U1021" s="12" t="inlineStr"/>
      <c r="V1021" s="12" t="inlineStr">
        <is>
          <t>WBS Code = 1.4.2</t>
        </is>
      </c>
      <c r="W1021" s="12" t="inlineStr"/>
    </row>
    <row r="1022" ht="49" customHeight="1">
      <c r="A1022" s="12" t="inlineStr">
        <is>
          <t>1.4.2</t>
        </is>
      </c>
      <c r="B1022" s="12" t="inlineStr">
        <is>
          <t>Vehicles and Depot - Depot Buildings</t>
        </is>
      </c>
      <c r="C1022" s="12" t="inlineStr">
        <is>
          <t>Contractor Programme</t>
        </is>
      </c>
      <c r="D1022" s="12" t="inlineStr">
        <is>
          <t>SCH-04-129</t>
        </is>
      </c>
      <c r="E1022" s="12" t="inlineStr">
        <is>
          <t>Storage yard: vehicle-to-depot interface check - inspection</t>
        </is>
      </c>
      <c r="F1022" s="12" t="inlineStr">
        <is>
          <t>ONE_TO_ONE</t>
        </is>
      </c>
      <c r="G1022" s="12" t="inlineStr">
        <is>
          <t>APPROVED</t>
        </is>
      </c>
      <c r="H1022" s="12" t="inlineStr">
        <is>
          <t>New</t>
        </is>
      </c>
      <c r="I1022" s="12" t="inlineStr">
        <is>
          <t>Source assignment -- not individually reviewed</t>
        </is>
      </c>
      <c r="J1022" s="12" t="inlineStr"/>
      <c r="K1022" s="12" t="inlineStr">
        <is>
          <t>Source assignment</t>
        </is>
      </c>
      <c r="L1022" s="12" t="inlineStr"/>
      <c r="M1022" s="12" t="inlineStr">
        <is>
          <t>Initial</t>
        </is>
      </c>
      <c r="N1022" s="12" t="inlineStr">
        <is>
          <t>Rev 0</t>
        </is>
      </c>
      <c r="O1022" s="12" t="inlineStr">
        <is>
          <t>R669-v1</t>
        </is>
      </c>
      <c r="P1022" s="12" t="inlineStr"/>
      <c r="Q1022" s="12" t="inlineStr"/>
      <c r="R1022" s="12" t="inlineStr"/>
      <c r="S1022" s="12" t="inlineStr"/>
      <c r="T1022" s="12" t="inlineStr"/>
      <c r="U1022" s="12" t="inlineStr"/>
      <c r="V1022" s="12" t="inlineStr">
        <is>
          <t>WBS Code = 1.4.2</t>
        </is>
      </c>
      <c r="W1022" s="12" t="inlineStr"/>
    </row>
    <row r="1023" ht="49" customHeight="1">
      <c r="A1023" s="12" t="inlineStr">
        <is>
          <t>1.4.2</t>
        </is>
      </c>
      <c r="B1023" s="12" t="inlineStr">
        <is>
          <t>Vehicles and Depot - Depot Buildings</t>
        </is>
      </c>
      <c r="C1023" s="12" t="inlineStr">
        <is>
          <t>Contractor Programme</t>
        </is>
      </c>
      <c r="D1023" s="12" t="inlineStr">
        <is>
          <t>SCH-04-132</t>
        </is>
      </c>
      <c r="E1023" s="12" t="inlineStr">
        <is>
          <t>Receiving track: vehicle delivery inspection - field start</t>
        </is>
      </c>
      <c r="F1023" s="12" t="inlineStr">
        <is>
          <t>ONE_TO_ONE</t>
        </is>
      </c>
      <c r="G1023" s="12" t="inlineStr">
        <is>
          <t>APPROVED</t>
        </is>
      </c>
      <c r="H1023" s="12" t="inlineStr">
        <is>
          <t>New</t>
        </is>
      </c>
      <c r="I1023" s="12" t="inlineStr">
        <is>
          <t>Source assignment -- not individually reviewed</t>
        </is>
      </c>
      <c r="J1023" s="12" t="inlineStr"/>
      <c r="K1023" s="12" t="inlineStr">
        <is>
          <t>Source assignment</t>
        </is>
      </c>
      <c r="L1023" s="12" t="inlineStr"/>
      <c r="M1023" s="12" t="inlineStr">
        <is>
          <t>Initial</t>
        </is>
      </c>
      <c r="N1023" s="12" t="inlineStr">
        <is>
          <t>Rev 0</t>
        </is>
      </c>
      <c r="O1023" s="12" t="inlineStr">
        <is>
          <t>R672-v1</t>
        </is>
      </c>
      <c r="P1023" s="12" t="inlineStr"/>
      <c r="Q1023" s="12" t="inlineStr"/>
      <c r="R1023" s="12" t="inlineStr"/>
      <c r="S1023" s="12" t="inlineStr"/>
      <c r="T1023" s="12" t="inlineStr"/>
      <c r="U1023" s="12" t="inlineStr"/>
      <c r="V1023" s="12" t="inlineStr">
        <is>
          <t>WBS Code = 1.4.2</t>
        </is>
      </c>
      <c r="W1023" s="12" t="inlineStr"/>
    </row>
    <row r="1024" ht="49" customHeight="1">
      <c r="A1024" s="12" t="inlineStr">
        <is>
          <t>1.4.2</t>
        </is>
      </c>
      <c r="B1024" s="12" t="inlineStr">
        <is>
          <t>Vehicles and Depot - Depot Buildings</t>
        </is>
      </c>
      <c r="C1024" s="12" t="inlineStr">
        <is>
          <t>Contractor Programme</t>
        </is>
      </c>
      <c r="D1024" s="12" t="inlineStr">
        <is>
          <t>SCH-04-135</t>
        </is>
      </c>
      <c r="E1024" s="12" t="inlineStr">
        <is>
          <t>Operations building: depot structural fit-out - turnover</t>
        </is>
      </c>
      <c r="F1024" s="12" t="inlineStr">
        <is>
          <t>ONE_TO_ONE</t>
        </is>
      </c>
      <c r="G1024" s="12" t="inlineStr">
        <is>
          <t>APPROVED</t>
        </is>
      </c>
      <c r="H1024" s="12" t="inlineStr">
        <is>
          <t>New</t>
        </is>
      </c>
      <c r="I1024" s="12" t="inlineStr">
        <is>
          <t>Source assignment -- not individually reviewed</t>
        </is>
      </c>
      <c r="J1024" s="12" t="inlineStr"/>
      <c r="K1024" s="12" t="inlineStr">
        <is>
          <t>Source assignment</t>
        </is>
      </c>
      <c r="L1024" s="12" t="inlineStr"/>
      <c r="M1024" s="12" t="inlineStr">
        <is>
          <t>Initial</t>
        </is>
      </c>
      <c r="N1024" s="12" t="inlineStr">
        <is>
          <t>Rev 0</t>
        </is>
      </c>
      <c r="O1024" s="12" t="inlineStr">
        <is>
          <t>R675-v1</t>
        </is>
      </c>
      <c r="P1024" s="12" t="inlineStr"/>
      <c r="Q1024" s="12" t="inlineStr"/>
      <c r="R1024" s="12" t="inlineStr"/>
      <c r="S1024" s="12" t="inlineStr"/>
      <c r="T1024" s="12" t="inlineStr"/>
      <c r="U1024" s="12" t="inlineStr"/>
      <c r="V1024" s="12" t="inlineStr">
        <is>
          <t>WBS Code = 1.4.2</t>
        </is>
      </c>
      <c r="W1024" s="12" t="inlineStr"/>
    </row>
    <row r="1025" ht="49" customHeight="1">
      <c r="A1025" s="12" t="inlineStr">
        <is>
          <t>1.4.2</t>
        </is>
      </c>
      <c r="B1025" s="12" t="inlineStr">
        <is>
          <t>Vehicles and Depot - Depot Buildings</t>
        </is>
      </c>
      <c r="C1025" s="12" t="inlineStr">
        <is>
          <t>Contractor Programme</t>
        </is>
      </c>
      <c r="D1025" s="12" t="inlineStr">
        <is>
          <t>SCH-04-138</t>
        </is>
      </c>
      <c r="E1025" s="12" t="inlineStr">
        <is>
          <t>Maintenance shop: wheel-lathe installation - installation</t>
        </is>
      </c>
      <c r="F1025" s="12" t="inlineStr">
        <is>
          <t>ONE_TO_ONE</t>
        </is>
      </c>
      <c r="G1025" s="12" t="inlineStr">
        <is>
          <t>APPROVED</t>
        </is>
      </c>
      <c r="H1025" s="12" t="inlineStr">
        <is>
          <t>New</t>
        </is>
      </c>
      <c r="I1025" s="12" t="inlineStr">
        <is>
          <t>Source assignment -- not individually reviewed</t>
        </is>
      </c>
      <c r="J1025" s="12" t="inlineStr"/>
      <c r="K1025" s="12" t="inlineStr">
        <is>
          <t>Source assignment</t>
        </is>
      </c>
      <c r="L1025" s="12" t="inlineStr"/>
      <c r="M1025" s="12" t="inlineStr">
        <is>
          <t>Initial</t>
        </is>
      </c>
      <c r="N1025" s="12" t="inlineStr">
        <is>
          <t>Rev 0</t>
        </is>
      </c>
      <c r="O1025" s="12" t="inlineStr">
        <is>
          <t>R678-v1</t>
        </is>
      </c>
      <c r="P1025" s="12" t="inlineStr"/>
      <c r="Q1025" s="12" t="inlineStr"/>
      <c r="R1025" s="12" t="inlineStr"/>
      <c r="S1025" s="12" t="inlineStr"/>
      <c r="T1025" s="12" t="inlineStr"/>
      <c r="U1025" s="12" t="inlineStr"/>
      <c r="V1025" s="12" t="inlineStr">
        <is>
          <t>WBS Code = 1.4.2</t>
        </is>
      </c>
      <c r="W1025" s="12" t="inlineStr"/>
    </row>
    <row r="1026" ht="49" customHeight="1">
      <c r="A1026" s="12" t="inlineStr">
        <is>
          <t>1.4.2</t>
        </is>
      </c>
      <c r="B1026" s="12" t="inlineStr">
        <is>
          <t>Vehicles and Depot - Depot Buildings</t>
        </is>
      </c>
      <c r="C1026" s="12" t="inlineStr">
        <is>
          <t>Contractor Programme</t>
        </is>
      </c>
      <c r="D1026" s="12" t="inlineStr">
        <is>
          <t>SCH-04-141</t>
        </is>
      </c>
      <c r="E1026" s="12" t="inlineStr">
        <is>
          <t>Test track: wash-plant commissioning - release</t>
        </is>
      </c>
      <c r="F1026" s="12" t="inlineStr">
        <is>
          <t>ONE_TO_ONE</t>
        </is>
      </c>
      <c r="G1026" s="12" t="inlineStr">
        <is>
          <t>APPROVED</t>
        </is>
      </c>
      <c r="H1026" s="12" t="inlineStr">
        <is>
          <t>New</t>
        </is>
      </c>
      <c r="I1026" s="12" t="inlineStr">
        <is>
          <t>Source assignment -- not individually reviewed</t>
        </is>
      </c>
      <c r="J1026" s="12" t="inlineStr"/>
      <c r="K1026" s="12" t="inlineStr">
        <is>
          <t>Source assignment</t>
        </is>
      </c>
      <c r="L1026" s="12" t="inlineStr"/>
      <c r="M1026" s="12" t="inlineStr">
        <is>
          <t>Initial</t>
        </is>
      </c>
      <c r="N1026" s="12" t="inlineStr">
        <is>
          <t>Rev 0</t>
        </is>
      </c>
      <c r="O1026" s="12" t="inlineStr">
        <is>
          <t>R681-v1</t>
        </is>
      </c>
      <c r="P1026" s="12" t="inlineStr"/>
      <c r="Q1026" s="12" t="inlineStr"/>
      <c r="R1026" s="12" t="inlineStr"/>
      <c r="S1026" s="12" t="inlineStr"/>
      <c r="T1026" s="12" t="inlineStr"/>
      <c r="U1026" s="12" t="inlineStr"/>
      <c r="V1026" s="12" t="inlineStr">
        <is>
          <t>WBS Code = 1.4.2</t>
        </is>
      </c>
      <c r="W1026" s="12" t="inlineStr"/>
    </row>
    <row r="1027" ht="49" customHeight="1">
      <c r="A1027" s="12" t="inlineStr">
        <is>
          <t>1.4.2</t>
        </is>
      </c>
      <c r="B1027" s="12" t="inlineStr">
        <is>
          <t>Vehicles and Depot - Depot Buildings</t>
        </is>
      </c>
      <c r="C1027" s="12" t="inlineStr">
        <is>
          <t>Contractor Programme</t>
        </is>
      </c>
      <c r="D1027" s="12" t="inlineStr">
        <is>
          <t>SCH-04-144</t>
        </is>
      </c>
      <c r="E1027" s="12" t="inlineStr">
        <is>
          <t>Storage yard: workshop crane installation - inspection</t>
        </is>
      </c>
      <c r="F1027" s="12" t="inlineStr">
        <is>
          <t>ONE_TO_ONE</t>
        </is>
      </c>
      <c r="G1027" s="12" t="inlineStr">
        <is>
          <t>APPROVED</t>
        </is>
      </c>
      <c r="H1027" s="12" t="inlineStr">
        <is>
          <t>New</t>
        </is>
      </c>
      <c r="I1027" s="12" t="inlineStr">
        <is>
          <t>Source assignment -- not individually reviewed</t>
        </is>
      </c>
      <c r="J1027" s="12" t="inlineStr"/>
      <c r="K1027" s="12" t="inlineStr">
        <is>
          <t>Source assignment</t>
        </is>
      </c>
      <c r="L1027" s="12" t="inlineStr"/>
      <c r="M1027" s="12" t="inlineStr">
        <is>
          <t>Initial</t>
        </is>
      </c>
      <c r="N1027" s="12" t="inlineStr">
        <is>
          <t>Rev 0</t>
        </is>
      </c>
      <c r="O1027" s="12" t="inlineStr">
        <is>
          <t>R684-v1</t>
        </is>
      </c>
      <c r="P1027" s="12" t="inlineStr"/>
      <c r="Q1027" s="12" t="inlineStr"/>
      <c r="R1027" s="12" t="inlineStr"/>
      <c r="S1027" s="12" t="inlineStr"/>
      <c r="T1027" s="12" t="inlineStr"/>
      <c r="U1027" s="12" t="inlineStr"/>
      <c r="V1027" s="12" t="inlineStr">
        <is>
          <t>WBS Code = 1.4.2</t>
        </is>
      </c>
      <c r="W1027" s="12" t="inlineStr"/>
    </row>
    <row r="1028" ht="49" customHeight="1">
      <c r="A1028" s="12" t="inlineStr">
        <is>
          <t>1.4.2</t>
        </is>
      </c>
      <c r="B1028" s="12" t="inlineStr">
        <is>
          <t>Vehicles and Depot - Depot Buildings</t>
        </is>
      </c>
      <c r="C1028" s="12" t="inlineStr">
        <is>
          <t>Contractor Programme</t>
        </is>
      </c>
      <c r="D1028" s="12" t="inlineStr">
        <is>
          <t>SCH-04-147</t>
        </is>
      </c>
      <c r="E1028" s="12" t="inlineStr">
        <is>
          <t>Receiving track: fleet software load - field start</t>
        </is>
      </c>
      <c r="F1028" s="12" t="inlineStr">
        <is>
          <t>ONE_TO_ONE</t>
        </is>
      </c>
      <c r="G1028" s="12" t="inlineStr">
        <is>
          <t>APPROVED</t>
        </is>
      </c>
      <c r="H1028" s="12" t="inlineStr">
        <is>
          <t>New</t>
        </is>
      </c>
      <c r="I1028" s="12" t="inlineStr">
        <is>
          <t>Source assignment -- not individually reviewed</t>
        </is>
      </c>
      <c r="J1028" s="12" t="inlineStr"/>
      <c r="K1028" s="12" t="inlineStr">
        <is>
          <t>Source assignment</t>
        </is>
      </c>
      <c r="L1028" s="12" t="inlineStr"/>
      <c r="M1028" s="12" t="inlineStr">
        <is>
          <t>Initial</t>
        </is>
      </c>
      <c r="N1028" s="12" t="inlineStr">
        <is>
          <t>Rev 0</t>
        </is>
      </c>
      <c r="O1028" s="12" t="inlineStr">
        <is>
          <t>R687-v1</t>
        </is>
      </c>
      <c r="P1028" s="12" t="inlineStr"/>
      <c r="Q1028" s="12" t="inlineStr"/>
      <c r="R1028" s="12" t="inlineStr"/>
      <c r="S1028" s="12" t="inlineStr"/>
      <c r="T1028" s="12" t="inlineStr"/>
      <c r="U1028" s="12" t="inlineStr"/>
      <c r="V1028" s="12" t="inlineStr">
        <is>
          <t>WBS Code = 1.4.2</t>
        </is>
      </c>
      <c r="W1028" s="12" t="inlineStr"/>
    </row>
    <row r="1029" ht="49" customHeight="1">
      <c r="A1029" s="12" t="inlineStr">
        <is>
          <t>1.4.2</t>
        </is>
      </c>
      <c r="B1029" s="12" t="inlineStr">
        <is>
          <t>Vehicles and Depot - Depot Buildings</t>
        </is>
      </c>
      <c r="C1029" s="12" t="inlineStr">
        <is>
          <t>Contractor Programme</t>
        </is>
      </c>
      <c r="D1029" s="12" t="inlineStr">
        <is>
          <t>SCH-04-150</t>
        </is>
      </c>
      <c r="E1029" s="12" t="inlineStr">
        <is>
          <t>Operations building: maintenance-bay services - turnover</t>
        </is>
      </c>
      <c r="F1029" s="12" t="inlineStr">
        <is>
          <t>ONE_TO_ONE</t>
        </is>
      </c>
      <c r="G1029" s="12" t="inlineStr">
        <is>
          <t>APPROVED</t>
        </is>
      </c>
      <c r="H1029" s="12" t="inlineStr">
        <is>
          <t>New</t>
        </is>
      </c>
      <c r="I1029" s="12" t="inlineStr">
        <is>
          <t>Source assignment -- not individually reviewed</t>
        </is>
      </c>
      <c r="J1029" s="12" t="inlineStr"/>
      <c r="K1029" s="12" t="inlineStr">
        <is>
          <t>Source assignment</t>
        </is>
      </c>
      <c r="L1029" s="12" t="inlineStr"/>
      <c r="M1029" s="12" t="inlineStr">
        <is>
          <t>Initial</t>
        </is>
      </c>
      <c r="N1029" s="12" t="inlineStr">
        <is>
          <t>Rev 0</t>
        </is>
      </c>
      <c r="O1029" s="12" t="inlineStr">
        <is>
          <t>R690-v1</t>
        </is>
      </c>
      <c r="P1029" s="12" t="inlineStr"/>
      <c r="Q1029" s="12" t="inlineStr"/>
      <c r="R1029" s="12" t="inlineStr"/>
      <c r="S1029" s="12" t="inlineStr"/>
      <c r="T1029" s="12" t="inlineStr"/>
      <c r="U1029" s="12" t="inlineStr"/>
      <c r="V1029" s="12" t="inlineStr">
        <is>
          <t>WBS Code = 1.4.2</t>
        </is>
      </c>
      <c r="W1029" s="12" t="inlineStr"/>
    </row>
    <row r="1030" ht="49" customHeight="1">
      <c r="A1030" s="12" t="inlineStr">
        <is>
          <t>1.4.2</t>
        </is>
      </c>
      <c r="B1030" s="12" t="inlineStr">
        <is>
          <t>Vehicles and Depot - Depot Buildings</t>
        </is>
      </c>
      <c r="C1030" s="12" t="inlineStr">
        <is>
          <t>Contractor Programme</t>
        </is>
      </c>
      <c r="D1030" s="12" t="inlineStr">
        <is>
          <t>SCH-04-153</t>
        </is>
      </c>
      <c r="E1030" s="12" t="inlineStr">
        <is>
          <t>Maintenance shop: vehicle-to-depot interface check - installation</t>
        </is>
      </c>
      <c r="F1030" s="12" t="inlineStr">
        <is>
          <t>ONE_TO_ONE</t>
        </is>
      </c>
      <c r="G1030" s="12" t="inlineStr">
        <is>
          <t>APPROVED</t>
        </is>
      </c>
      <c r="H1030" s="12" t="inlineStr">
        <is>
          <t>New</t>
        </is>
      </c>
      <c r="I1030" s="12" t="inlineStr">
        <is>
          <t>Source assignment -- not individually reviewed</t>
        </is>
      </c>
      <c r="J1030" s="12" t="inlineStr"/>
      <c r="K1030" s="12" t="inlineStr">
        <is>
          <t>Source assignment</t>
        </is>
      </c>
      <c r="L1030" s="12" t="inlineStr"/>
      <c r="M1030" s="12" t="inlineStr">
        <is>
          <t>Initial</t>
        </is>
      </c>
      <c r="N1030" s="12" t="inlineStr">
        <is>
          <t>Rev 0</t>
        </is>
      </c>
      <c r="O1030" s="12" t="inlineStr">
        <is>
          <t>R693-v1</t>
        </is>
      </c>
      <c r="P1030" s="12" t="inlineStr"/>
      <c r="Q1030" s="12" t="inlineStr"/>
      <c r="R1030" s="12" t="inlineStr"/>
      <c r="S1030" s="12" t="inlineStr"/>
      <c r="T1030" s="12" t="inlineStr"/>
      <c r="U1030" s="12" t="inlineStr"/>
      <c r="V1030" s="12" t="inlineStr">
        <is>
          <t>WBS Code = 1.4.2</t>
        </is>
      </c>
      <c r="W1030" s="12" t="inlineStr"/>
    </row>
    <row r="1031" ht="49" customHeight="1">
      <c r="A1031" s="12" t="inlineStr">
        <is>
          <t>1.4.2</t>
        </is>
      </c>
      <c r="B1031" s="12" t="inlineStr">
        <is>
          <t>Vehicles and Depot - Depot Buildings</t>
        </is>
      </c>
      <c r="C1031" s="12" t="inlineStr">
        <is>
          <t>Contractor Programme</t>
        </is>
      </c>
      <c r="D1031" s="12" t="inlineStr">
        <is>
          <t>SCH-04-156</t>
        </is>
      </c>
      <c r="E1031" s="12" t="inlineStr">
        <is>
          <t>Test track: vehicle delivery inspection - release</t>
        </is>
      </c>
      <c r="F1031" s="12" t="inlineStr">
        <is>
          <t>ONE_TO_ONE</t>
        </is>
      </c>
      <c r="G1031" s="12" t="inlineStr">
        <is>
          <t>APPROVED</t>
        </is>
      </c>
      <c r="H1031" s="12" t="inlineStr">
        <is>
          <t>New</t>
        </is>
      </c>
      <c r="I1031" s="12" t="inlineStr">
        <is>
          <t>Source assignment -- not individually reviewed</t>
        </is>
      </c>
      <c r="J1031" s="12" t="inlineStr"/>
      <c r="K1031" s="12" t="inlineStr">
        <is>
          <t>Source assignment</t>
        </is>
      </c>
      <c r="L1031" s="12" t="inlineStr"/>
      <c r="M1031" s="12" t="inlineStr">
        <is>
          <t>Initial</t>
        </is>
      </c>
      <c r="N1031" s="12" t="inlineStr">
        <is>
          <t>Rev 0</t>
        </is>
      </c>
      <c r="O1031" s="12" t="inlineStr">
        <is>
          <t>R696-v1</t>
        </is>
      </c>
      <c r="P1031" s="12" t="inlineStr"/>
      <c r="Q1031" s="12" t="inlineStr"/>
      <c r="R1031" s="12" t="inlineStr"/>
      <c r="S1031" s="12" t="inlineStr"/>
      <c r="T1031" s="12" t="inlineStr"/>
      <c r="U1031" s="12" t="inlineStr"/>
      <c r="V1031" s="12" t="inlineStr">
        <is>
          <t>WBS Code = 1.4.2</t>
        </is>
      </c>
      <c r="W1031" s="12" t="inlineStr"/>
    </row>
    <row r="1032" ht="49" customHeight="1">
      <c r="A1032" s="12" t="inlineStr">
        <is>
          <t>1.4.2</t>
        </is>
      </c>
      <c r="B1032" s="12" t="inlineStr">
        <is>
          <t>Vehicles and Depot - Depot Buildings</t>
        </is>
      </c>
      <c r="C1032" s="12" t="inlineStr">
        <is>
          <t>Contractor Programme</t>
        </is>
      </c>
      <c r="D1032" s="12" t="inlineStr">
        <is>
          <t>SCH-04-159</t>
        </is>
      </c>
      <c r="E1032" s="12" t="inlineStr">
        <is>
          <t>Storage yard: depot structural fit-out - inspection</t>
        </is>
      </c>
      <c r="F1032" s="12" t="inlineStr">
        <is>
          <t>ONE_TO_ONE</t>
        </is>
      </c>
      <c r="G1032" s="12" t="inlineStr">
        <is>
          <t>APPROVED</t>
        </is>
      </c>
      <c r="H1032" s="12" t="inlineStr">
        <is>
          <t>New</t>
        </is>
      </c>
      <c r="I1032" s="12" t="inlineStr">
        <is>
          <t>Source assignment -- not individually reviewed</t>
        </is>
      </c>
      <c r="J1032" s="12" t="inlineStr"/>
      <c r="K1032" s="12" t="inlineStr">
        <is>
          <t>Source assignment</t>
        </is>
      </c>
      <c r="L1032" s="12" t="inlineStr"/>
      <c r="M1032" s="12" t="inlineStr">
        <is>
          <t>Initial</t>
        </is>
      </c>
      <c r="N1032" s="12" t="inlineStr">
        <is>
          <t>Rev 0</t>
        </is>
      </c>
      <c r="O1032" s="12" t="inlineStr">
        <is>
          <t>R699-v1</t>
        </is>
      </c>
      <c r="P1032" s="12" t="inlineStr"/>
      <c r="Q1032" s="12" t="inlineStr"/>
      <c r="R1032" s="12" t="inlineStr"/>
      <c r="S1032" s="12" t="inlineStr"/>
      <c r="T1032" s="12" t="inlineStr"/>
      <c r="U1032" s="12" t="inlineStr"/>
      <c r="V1032" s="12" t="inlineStr">
        <is>
          <t>WBS Code = 1.4.2</t>
        </is>
      </c>
      <c r="W1032" s="12" t="inlineStr"/>
    </row>
    <row r="1033" ht="49" customHeight="1">
      <c r="A1033" s="12" t="inlineStr">
        <is>
          <t>1.4.2</t>
        </is>
      </c>
      <c r="B1033" s="12" t="inlineStr">
        <is>
          <t>Vehicles and Depot - Depot Buildings</t>
        </is>
      </c>
      <c r="C1033" s="12" t="inlineStr">
        <is>
          <t>Contractor Programme</t>
        </is>
      </c>
      <c r="D1033" s="12" t="inlineStr">
        <is>
          <t>SCH-04-162</t>
        </is>
      </c>
      <c r="E1033" s="12" t="inlineStr">
        <is>
          <t>Receiving track: wheel-lathe installation - field start</t>
        </is>
      </c>
      <c r="F1033" s="12" t="inlineStr">
        <is>
          <t>ONE_TO_ONE</t>
        </is>
      </c>
      <c r="G1033" s="12" t="inlineStr">
        <is>
          <t>APPROVED</t>
        </is>
      </c>
      <c r="H1033" s="12" t="inlineStr">
        <is>
          <t>New</t>
        </is>
      </c>
      <c r="I1033" s="12" t="inlineStr">
        <is>
          <t>Source assignment -- not individually reviewed</t>
        </is>
      </c>
      <c r="J1033" s="12" t="inlineStr"/>
      <c r="K1033" s="12" t="inlineStr">
        <is>
          <t>Source assignment</t>
        </is>
      </c>
      <c r="L1033" s="12" t="inlineStr"/>
      <c r="M1033" s="12" t="inlineStr">
        <is>
          <t>Initial</t>
        </is>
      </c>
      <c r="N1033" s="12" t="inlineStr">
        <is>
          <t>Rev 0</t>
        </is>
      </c>
      <c r="O1033" s="12" t="inlineStr">
        <is>
          <t>R702-v1</t>
        </is>
      </c>
      <c r="P1033" s="12" t="inlineStr"/>
      <c r="Q1033" s="12" t="inlineStr"/>
      <c r="R1033" s="12" t="inlineStr"/>
      <c r="S1033" s="12" t="inlineStr"/>
      <c r="T1033" s="12" t="inlineStr"/>
      <c r="U1033" s="12" t="inlineStr"/>
      <c r="V1033" s="12" t="inlineStr">
        <is>
          <t>WBS Code = 1.4.2</t>
        </is>
      </c>
      <c r="W1033" s="12" t="inlineStr"/>
    </row>
    <row r="1034" ht="49" customHeight="1">
      <c r="A1034" s="12" t="inlineStr">
        <is>
          <t>1.4.2</t>
        </is>
      </c>
      <c r="B1034" s="12" t="inlineStr">
        <is>
          <t>Vehicles and Depot - Depot Buildings</t>
        </is>
      </c>
      <c r="C1034" s="12" t="inlineStr">
        <is>
          <t>Contractor Programme</t>
        </is>
      </c>
      <c r="D1034" s="12" t="inlineStr">
        <is>
          <t>SCH-04-165</t>
        </is>
      </c>
      <c r="E1034" s="12" t="inlineStr">
        <is>
          <t>Operations building: wash-plant commissioning - turnover</t>
        </is>
      </c>
      <c r="F1034" s="12" t="inlineStr">
        <is>
          <t>ONE_TO_ONE</t>
        </is>
      </c>
      <c r="G1034" s="12" t="inlineStr">
        <is>
          <t>APPROVED</t>
        </is>
      </c>
      <c r="H1034" s="12" t="inlineStr">
        <is>
          <t>New</t>
        </is>
      </c>
      <c r="I1034" s="12" t="inlineStr">
        <is>
          <t>Source assignment -- not individually reviewed</t>
        </is>
      </c>
      <c r="J1034" s="12" t="inlineStr"/>
      <c r="K1034" s="12" t="inlineStr">
        <is>
          <t>Source assignment</t>
        </is>
      </c>
      <c r="L1034" s="12" t="inlineStr"/>
      <c r="M1034" s="12" t="inlineStr">
        <is>
          <t>Initial</t>
        </is>
      </c>
      <c r="N1034" s="12" t="inlineStr">
        <is>
          <t>Rev 0</t>
        </is>
      </c>
      <c r="O1034" s="12" t="inlineStr">
        <is>
          <t>R705-v1</t>
        </is>
      </c>
      <c r="P1034" s="12" t="inlineStr"/>
      <c r="Q1034" s="12" t="inlineStr"/>
      <c r="R1034" s="12" t="inlineStr"/>
      <c r="S1034" s="12" t="inlineStr"/>
      <c r="T1034" s="12" t="inlineStr"/>
      <c r="U1034" s="12" t="inlineStr"/>
      <c r="V1034" s="12" t="inlineStr">
        <is>
          <t>WBS Code = 1.4.2</t>
        </is>
      </c>
      <c r="W1034" s="12" t="inlineStr"/>
    </row>
    <row r="1035" ht="49" customHeight="1">
      <c r="A1035" s="12" t="inlineStr">
        <is>
          <t>1.4.2</t>
        </is>
      </c>
      <c r="B1035" s="12" t="inlineStr">
        <is>
          <t>Vehicles and Depot - Depot Buildings</t>
        </is>
      </c>
      <c r="C1035" s="12" t="inlineStr">
        <is>
          <t>Contractor Programme</t>
        </is>
      </c>
      <c r="D1035" s="12" t="inlineStr">
        <is>
          <t>SCH-04-168</t>
        </is>
      </c>
      <c r="E1035" s="12" t="inlineStr">
        <is>
          <t>Maintenance shop: workshop crane installation - installation</t>
        </is>
      </c>
      <c r="F1035" s="12" t="inlineStr">
        <is>
          <t>ONE_TO_ONE</t>
        </is>
      </c>
      <c r="G1035" s="12" t="inlineStr">
        <is>
          <t>APPROVED</t>
        </is>
      </c>
      <c r="H1035" s="12" t="inlineStr">
        <is>
          <t>New</t>
        </is>
      </c>
      <c r="I1035" s="12" t="inlineStr">
        <is>
          <t>Source assignment -- not individually reviewed</t>
        </is>
      </c>
      <c r="J1035" s="12" t="inlineStr"/>
      <c r="K1035" s="12" t="inlineStr">
        <is>
          <t>Source assignment</t>
        </is>
      </c>
      <c r="L1035" s="12" t="inlineStr"/>
      <c r="M1035" s="12" t="inlineStr">
        <is>
          <t>Initial</t>
        </is>
      </c>
      <c r="N1035" s="12" t="inlineStr">
        <is>
          <t>Rev 0</t>
        </is>
      </c>
      <c r="O1035" s="12" t="inlineStr">
        <is>
          <t>R708-v1</t>
        </is>
      </c>
      <c r="P1035" s="12" t="inlineStr"/>
      <c r="Q1035" s="12" t="inlineStr"/>
      <c r="R1035" s="12" t="inlineStr"/>
      <c r="S1035" s="12" t="inlineStr"/>
      <c r="T1035" s="12" t="inlineStr"/>
      <c r="U1035" s="12" t="inlineStr"/>
      <c r="V1035" s="12" t="inlineStr">
        <is>
          <t>WBS Code = 1.4.2</t>
        </is>
      </c>
      <c r="W1035" s="12" t="inlineStr"/>
    </row>
    <row r="1036" ht="49" customHeight="1">
      <c r="A1036" s="12" t="inlineStr">
        <is>
          <t>1.4.2</t>
        </is>
      </c>
      <c r="B1036" s="12" t="inlineStr">
        <is>
          <t>Vehicles and Depot - Depot Buildings</t>
        </is>
      </c>
      <c r="C1036" s="12" t="inlineStr">
        <is>
          <t>Contractor Programme</t>
        </is>
      </c>
      <c r="D1036" s="12" t="inlineStr">
        <is>
          <t>SCH-04-171</t>
        </is>
      </c>
      <c r="E1036" s="12" t="inlineStr">
        <is>
          <t>Test track: fleet software load - release</t>
        </is>
      </c>
      <c r="F1036" s="12" t="inlineStr">
        <is>
          <t>ONE_TO_ONE</t>
        </is>
      </c>
      <c r="G1036" s="12" t="inlineStr">
        <is>
          <t>APPROVED</t>
        </is>
      </c>
      <c r="H1036" s="12" t="inlineStr">
        <is>
          <t>New</t>
        </is>
      </c>
      <c r="I1036" s="12" t="inlineStr">
        <is>
          <t>Source assignment -- not individually reviewed</t>
        </is>
      </c>
      <c r="J1036" s="12" t="inlineStr"/>
      <c r="K1036" s="12" t="inlineStr">
        <is>
          <t>Source assignment</t>
        </is>
      </c>
      <c r="L1036" s="12" t="inlineStr"/>
      <c r="M1036" s="12" t="inlineStr">
        <is>
          <t>Initial</t>
        </is>
      </c>
      <c r="N1036" s="12" t="inlineStr">
        <is>
          <t>Rev 0</t>
        </is>
      </c>
      <c r="O1036" s="12" t="inlineStr">
        <is>
          <t>R711-v1</t>
        </is>
      </c>
      <c r="P1036" s="12" t="inlineStr"/>
      <c r="Q1036" s="12" t="inlineStr"/>
      <c r="R1036" s="12" t="inlineStr"/>
      <c r="S1036" s="12" t="inlineStr"/>
      <c r="T1036" s="12" t="inlineStr"/>
      <c r="U1036" s="12" t="inlineStr"/>
      <c r="V1036" s="12" t="inlineStr">
        <is>
          <t>WBS Code = 1.4.2</t>
        </is>
      </c>
      <c r="W1036" s="12" t="inlineStr"/>
    </row>
    <row r="1037" ht="49" customHeight="1">
      <c r="A1037" s="12" t="inlineStr">
        <is>
          <t>1.4.2</t>
        </is>
      </c>
      <c r="B1037" s="12" t="inlineStr">
        <is>
          <t>Vehicles and Depot - Depot Buildings</t>
        </is>
      </c>
      <c r="C1037" s="12" t="inlineStr">
        <is>
          <t>Contractor Programme</t>
        </is>
      </c>
      <c r="D1037" s="12" t="inlineStr">
        <is>
          <t>SCH-04-174</t>
        </is>
      </c>
      <c r="E1037" s="12" t="inlineStr">
        <is>
          <t>Storage yard: maintenance-bay services - inspection</t>
        </is>
      </c>
      <c r="F1037" s="12" t="inlineStr">
        <is>
          <t>ONE_TO_ONE</t>
        </is>
      </c>
      <c r="G1037" s="12" t="inlineStr">
        <is>
          <t>APPROVED</t>
        </is>
      </c>
      <c r="H1037" s="12" t="inlineStr">
        <is>
          <t>New</t>
        </is>
      </c>
      <c r="I1037" s="12" t="inlineStr">
        <is>
          <t>Source assignment -- not individually reviewed</t>
        </is>
      </c>
      <c r="J1037" s="12" t="inlineStr"/>
      <c r="K1037" s="12" t="inlineStr">
        <is>
          <t>Source assignment</t>
        </is>
      </c>
      <c r="L1037" s="12" t="inlineStr"/>
      <c r="M1037" s="12" t="inlineStr">
        <is>
          <t>Initial</t>
        </is>
      </c>
      <c r="N1037" s="12" t="inlineStr">
        <is>
          <t>Rev 0</t>
        </is>
      </c>
      <c r="O1037" s="12" t="inlineStr">
        <is>
          <t>R714-v1</t>
        </is>
      </c>
      <c r="P1037" s="12" t="inlineStr"/>
      <c r="Q1037" s="12" t="inlineStr"/>
      <c r="R1037" s="12" t="inlineStr"/>
      <c r="S1037" s="12" t="inlineStr"/>
      <c r="T1037" s="12" t="inlineStr"/>
      <c r="U1037" s="12" t="inlineStr"/>
      <c r="V1037" s="12" t="inlineStr">
        <is>
          <t>WBS Code = 1.4.2</t>
        </is>
      </c>
      <c r="W1037" s="12" t="inlineStr"/>
    </row>
    <row r="1038" ht="49" customHeight="1">
      <c r="A1038" s="12" t="inlineStr">
        <is>
          <t>1.4.2</t>
        </is>
      </c>
      <c r="B1038" s="12" t="inlineStr">
        <is>
          <t>Vehicles and Depot - Depot Buildings</t>
        </is>
      </c>
      <c r="C1038" s="12" t="inlineStr">
        <is>
          <t>Contractor Programme</t>
        </is>
      </c>
      <c r="D1038" s="12" t="inlineStr">
        <is>
          <t>SCH-04-177</t>
        </is>
      </c>
      <c r="E1038" s="12" t="inlineStr">
        <is>
          <t>Receiving track: vehicle-to-depot interface check - field start</t>
        </is>
      </c>
      <c r="F1038" s="12" t="inlineStr">
        <is>
          <t>ONE_TO_ONE</t>
        </is>
      </c>
      <c r="G1038" s="12" t="inlineStr">
        <is>
          <t>APPROVED</t>
        </is>
      </c>
      <c r="H1038" s="12" t="inlineStr">
        <is>
          <t>New</t>
        </is>
      </c>
      <c r="I1038" s="12" t="inlineStr">
        <is>
          <t>Source assignment -- not individually reviewed</t>
        </is>
      </c>
      <c r="J1038" s="12" t="inlineStr"/>
      <c r="K1038" s="12" t="inlineStr">
        <is>
          <t>Source assignment</t>
        </is>
      </c>
      <c r="L1038" s="12" t="inlineStr"/>
      <c r="M1038" s="12" t="inlineStr">
        <is>
          <t>Initial</t>
        </is>
      </c>
      <c r="N1038" s="12" t="inlineStr">
        <is>
          <t>Rev 0</t>
        </is>
      </c>
      <c r="O1038" s="12" t="inlineStr">
        <is>
          <t>R717-v1</t>
        </is>
      </c>
      <c r="P1038" s="12" t="inlineStr"/>
      <c r="Q1038" s="12" t="inlineStr"/>
      <c r="R1038" s="12" t="inlineStr"/>
      <c r="S1038" s="12" t="inlineStr"/>
      <c r="T1038" s="12" t="inlineStr"/>
      <c r="U1038" s="12" t="inlineStr"/>
      <c r="V1038" s="12" t="inlineStr">
        <is>
          <t>WBS Code = 1.4.2</t>
        </is>
      </c>
      <c r="W1038" s="12" t="inlineStr"/>
    </row>
    <row r="1039" ht="49" customHeight="1">
      <c r="A1039" s="12" t="inlineStr">
        <is>
          <t>1.4.2</t>
        </is>
      </c>
      <c r="B1039" s="12" t="inlineStr">
        <is>
          <t>Vehicles and Depot - Depot Buildings</t>
        </is>
      </c>
      <c r="C1039" s="12" t="inlineStr">
        <is>
          <t>Contractor Programme</t>
        </is>
      </c>
      <c r="D1039" s="12" t="inlineStr">
        <is>
          <t>SCH-04-180</t>
        </is>
      </c>
      <c r="E1039" s="12" t="inlineStr">
        <is>
          <t>Operations building: vehicle delivery inspection - turnover</t>
        </is>
      </c>
      <c r="F1039" s="12" t="inlineStr">
        <is>
          <t>ONE_TO_ONE</t>
        </is>
      </c>
      <c r="G1039" s="12" t="inlineStr">
        <is>
          <t>APPROVED</t>
        </is>
      </c>
      <c r="H1039" s="12" t="inlineStr">
        <is>
          <t>New</t>
        </is>
      </c>
      <c r="I1039" s="12" t="inlineStr">
        <is>
          <t>Source assignment -- not individually reviewed</t>
        </is>
      </c>
      <c r="J1039" s="12" t="inlineStr"/>
      <c r="K1039" s="12" t="inlineStr">
        <is>
          <t>Source assignment</t>
        </is>
      </c>
      <c r="L1039" s="12" t="inlineStr"/>
      <c r="M1039" s="12" t="inlineStr">
        <is>
          <t>Initial</t>
        </is>
      </c>
      <c r="N1039" s="12" t="inlineStr">
        <is>
          <t>Rev 0</t>
        </is>
      </c>
      <c r="O1039" s="12" t="inlineStr">
        <is>
          <t>R720-v1</t>
        </is>
      </c>
      <c r="P1039" s="12" t="inlineStr"/>
      <c r="Q1039" s="12" t="inlineStr"/>
      <c r="R1039" s="12" t="inlineStr"/>
      <c r="S1039" s="12" t="inlineStr"/>
      <c r="T1039" s="12" t="inlineStr"/>
      <c r="U1039" s="12" t="inlineStr"/>
      <c r="V1039" s="12" t="inlineStr">
        <is>
          <t>WBS Code = 1.4.2</t>
        </is>
      </c>
      <c r="W1039" s="12" t="inlineStr"/>
    </row>
    <row r="1040" ht="49" customHeight="1">
      <c r="A1040" s="12" t="inlineStr">
        <is>
          <t>1.4.2</t>
        </is>
      </c>
      <c r="B1040" s="12" t="inlineStr">
        <is>
          <t>Vehicles and Depot - Depot Buildings</t>
        </is>
      </c>
      <c r="C1040" s="12" t="inlineStr">
        <is>
          <t>Cost &amp; Forecast Control Accounts</t>
        </is>
      </c>
      <c r="D1040" s="12" t="inlineStr">
        <is>
          <t>CST-04-002</t>
        </is>
      </c>
      <c r="E1040" s="12" t="inlineStr">
        <is>
          <t>Vehicles and Depot - workshop equipment - supply and install</t>
        </is>
      </c>
      <c r="F1040" s="12" t="inlineStr">
        <is>
          <t>ONE_TO_ONE</t>
        </is>
      </c>
      <c r="G1040" s="12" t="inlineStr">
        <is>
          <t>APPROVED</t>
        </is>
      </c>
      <c r="H1040" s="12" t="inlineStr">
        <is>
          <t>New</t>
        </is>
      </c>
      <c r="I1040" s="12" t="inlineStr">
        <is>
          <t>Source assignment -- not individually reviewed</t>
        </is>
      </c>
      <c r="J1040" s="12" t="inlineStr"/>
      <c r="K1040" s="12" t="inlineStr">
        <is>
          <t>Source assignment</t>
        </is>
      </c>
      <c r="L1040" s="12" t="inlineStr"/>
      <c r="M1040" s="12" t="inlineStr">
        <is>
          <t>Initial</t>
        </is>
      </c>
      <c r="N1040" s="12" t="inlineStr">
        <is>
          <t>Rev 0</t>
        </is>
      </c>
      <c r="O1040" s="12" t="inlineStr">
        <is>
          <t>R1324-v1</t>
        </is>
      </c>
      <c r="P1040" s="12" t="inlineStr"/>
      <c r="Q1040" s="12" t="inlineStr"/>
      <c r="R1040" s="12" t="inlineStr"/>
      <c r="S1040" s="12" t="inlineStr"/>
      <c r="T1040" s="12" t="inlineStr"/>
      <c r="U1040" s="12" t="inlineStr"/>
      <c r="V1040" s="12" t="inlineStr">
        <is>
          <t>Cost Account = CA-4002; WBS Code = 1.4.2</t>
        </is>
      </c>
      <c r="W1040" s="12" t="inlineStr"/>
    </row>
    <row r="1041" ht="49" customHeight="1">
      <c r="A1041" s="12" t="inlineStr">
        <is>
          <t>1.4.2</t>
        </is>
      </c>
      <c r="B1041" s="12" t="inlineStr">
        <is>
          <t>Vehicles and Depot - Depot Buildings</t>
        </is>
      </c>
      <c r="C1041" s="12" t="inlineStr">
        <is>
          <t>Cost &amp; Forecast Control Accounts</t>
        </is>
      </c>
      <c r="D1041" s="12" t="inlineStr">
        <is>
          <t>CST-04-004</t>
        </is>
      </c>
      <c r="E1041" s="12" t="inlineStr">
        <is>
          <t>Vehicles and Depot - fleet supply - allowance</t>
        </is>
      </c>
      <c r="F1041" s="12" t="inlineStr">
        <is>
          <t>ONE_TO_ONE</t>
        </is>
      </c>
      <c r="G1041" s="12" t="inlineStr">
        <is>
          <t>APPROVED</t>
        </is>
      </c>
      <c r="H1041" s="12" t="inlineStr">
        <is>
          <t>New</t>
        </is>
      </c>
      <c r="I1041" s="12" t="inlineStr">
        <is>
          <t>Source assignment -- not individually reviewed</t>
        </is>
      </c>
      <c r="J1041" s="12" t="inlineStr"/>
      <c r="K1041" s="12" t="inlineStr">
        <is>
          <t>Source assignment</t>
        </is>
      </c>
      <c r="L1041" s="12" t="inlineStr"/>
      <c r="M1041" s="12" t="inlineStr">
        <is>
          <t>Initial</t>
        </is>
      </c>
      <c r="N1041" s="12" t="inlineStr">
        <is>
          <t>Rev 0</t>
        </is>
      </c>
      <c r="O1041" s="12" t="inlineStr">
        <is>
          <t>R1326-v1</t>
        </is>
      </c>
      <c r="P1041" s="12" t="inlineStr"/>
      <c r="Q1041" s="12" t="inlineStr"/>
      <c r="R1041" s="12" t="inlineStr"/>
      <c r="S1041" s="12" t="inlineStr"/>
      <c r="T1041" s="12" t="inlineStr"/>
      <c r="U1041" s="12" t="inlineStr"/>
      <c r="V1041" s="12" t="inlineStr">
        <is>
          <t>Cost Account = CA-4004; WBS Code = 1.4.2</t>
        </is>
      </c>
      <c r="W1041" s="12" t="inlineStr"/>
    </row>
    <row r="1042" ht="49" customHeight="1">
      <c r="A1042" s="12" t="inlineStr">
        <is>
          <t>1.4.2</t>
        </is>
      </c>
      <c r="B1042" s="12" t="inlineStr">
        <is>
          <t>Vehicles and Depot - Depot Buildings</t>
        </is>
      </c>
      <c r="C1042" s="12" t="inlineStr">
        <is>
          <t>Cost &amp; Forecast Control Accounts</t>
        </is>
      </c>
      <c r="D1042" s="12" t="inlineStr">
        <is>
          <t>CST-04-006</t>
        </is>
      </c>
      <c r="E1042" s="12" t="inlineStr">
        <is>
          <t>Vehicles and Depot - spares - field package</t>
        </is>
      </c>
      <c r="F1042" s="12" t="inlineStr">
        <is>
          <t>ONE_TO_ONE</t>
        </is>
      </c>
      <c r="G1042" s="12" t="inlineStr">
        <is>
          <t>APPROVED</t>
        </is>
      </c>
      <c r="H1042" s="12" t="inlineStr">
        <is>
          <t>New</t>
        </is>
      </c>
      <c r="I1042" s="12" t="inlineStr">
        <is>
          <t>Source assignment -- not individually reviewed</t>
        </is>
      </c>
      <c r="J1042" s="12" t="inlineStr"/>
      <c r="K1042" s="12" t="inlineStr">
        <is>
          <t>Source assignment</t>
        </is>
      </c>
      <c r="L1042" s="12" t="inlineStr"/>
      <c r="M1042" s="12" t="inlineStr">
        <is>
          <t>Initial</t>
        </is>
      </c>
      <c r="N1042" s="12" t="inlineStr">
        <is>
          <t>Rev 0</t>
        </is>
      </c>
      <c r="O1042" s="12" t="inlineStr">
        <is>
          <t>R1328-v1</t>
        </is>
      </c>
      <c r="P1042" s="12" t="inlineStr"/>
      <c r="Q1042" s="12" t="inlineStr"/>
      <c r="R1042" s="12" t="inlineStr"/>
      <c r="S1042" s="12" t="inlineStr"/>
      <c r="T1042" s="12" t="inlineStr"/>
      <c r="U1042" s="12" t="inlineStr"/>
      <c r="V1042" s="12" t="inlineStr">
        <is>
          <t>Cost Account = CA-4006; WBS Code = 1.4.2</t>
        </is>
      </c>
      <c r="W1042" s="12" t="inlineStr"/>
    </row>
    <row r="1043" ht="49" customHeight="1">
      <c r="A1043" s="12" t="inlineStr">
        <is>
          <t>1.4.2</t>
        </is>
      </c>
      <c r="B1043" s="12" t="inlineStr">
        <is>
          <t>Vehicles and Depot - Depot Buildings</t>
        </is>
      </c>
      <c r="C1043" s="12" t="inlineStr">
        <is>
          <t>Cost &amp; Forecast Control Accounts</t>
        </is>
      </c>
      <c r="D1043" s="12" t="inlineStr">
        <is>
          <t>CST-04-008</t>
        </is>
      </c>
      <c r="E1043" s="12" t="inlineStr">
        <is>
          <t>Vehicles and Depot - workshop equipment - professional services</t>
        </is>
      </c>
      <c r="F1043" s="12" t="inlineStr">
        <is>
          <t>ONE_TO_ONE</t>
        </is>
      </c>
      <c r="G1043" s="12" t="inlineStr">
        <is>
          <t>APPROVED</t>
        </is>
      </c>
      <c r="H1043" s="12" t="inlineStr">
        <is>
          <t>New</t>
        </is>
      </c>
      <c r="I1043" s="12" t="inlineStr">
        <is>
          <t>Source assignment -- not individually reviewed</t>
        </is>
      </c>
      <c r="J1043" s="12" t="inlineStr"/>
      <c r="K1043" s="12" t="inlineStr">
        <is>
          <t>Source assignment</t>
        </is>
      </c>
      <c r="L1043" s="12" t="inlineStr"/>
      <c r="M1043" s="12" t="inlineStr">
        <is>
          <t>Initial</t>
        </is>
      </c>
      <c r="N1043" s="12" t="inlineStr">
        <is>
          <t>Rev 0</t>
        </is>
      </c>
      <c r="O1043" s="12" t="inlineStr">
        <is>
          <t>R1330-v1</t>
        </is>
      </c>
      <c r="P1043" s="12" t="inlineStr"/>
      <c r="Q1043" s="12" t="inlineStr"/>
      <c r="R1043" s="12" t="inlineStr"/>
      <c r="S1043" s="12" t="inlineStr"/>
      <c r="T1043" s="12" t="inlineStr"/>
      <c r="U1043" s="12" t="inlineStr"/>
      <c r="V1043" s="12" t="inlineStr">
        <is>
          <t>Cost Account = CA-4008; WBS Code = 1.4.2</t>
        </is>
      </c>
      <c r="W1043" s="12" t="inlineStr"/>
    </row>
    <row r="1044" ht="49" customHeight="1">
      <c r="A1044" s="12" t="inlineStr">
        <is>
          <t>1.4.2</t>
        </is>
      </c>
      <c r="B1044" s="12" t="inlineStr">
        <is>
          <t>Vehicles and Depot - Depot Buildings</t>
        </is>
      </c>
      <c r="C1044" s="12" t="inlineStr">
        <is>
          <t>Cost &amp; Forecast Control Accounts</t>
        </is>
      </c>
      <c r="D1044" s="12" t="inlineStr">
        <is>
          <t>CST-04-010</t>
        </is>
      </c>
      <c r="E1044" s="12" t="inlineStr">
        <is>
          <t>Vehicles and Depot - fleet supply - closeout</t>
        </is>
      </c>
      <c r="F1044" s="12" t="inlineStr">
        <is>
          <t>ONE_TO_ONE</t>
        </is>
      </c>
      <c r="G1044" s="12" t="inlineStr">
        <is>
          <t>APPROVED</t>
        </is>
      </c>
      <c r="H1044" s="12" t="inlineStr">
        <is>
          <t>New</t>
        </is>
      </c>
      <c r="I1044" s="12" t="inlineStr">
        <is>
          <t>Source assignment -- not individually reviewed</t>
        </is>
      </c>
      <c r="J1044" s="12" t="inlineStr"/>
      <c r="K1044" s="12" t="inlineStr">
        <is>
          <t>Source assignment</t>
        </is>
      </c>
      <c r="L1044" s="12" t="inlineStr"/>
      <c r="M1044" s="12" t="inlineStr">
        <is>
          <t>Initial</t>
        </is>
      </c>
      <c r="N1044" s="12" t="inlineStr">
        <is>
          <t>Rev 0</t>
        </is>
      </c>
      <c r="O1044" s="12" t="inlineStr">
        <is>
          <t>R1332-v1</t>
        </is>
      </c>
      <c r="P1044" s="12" t="inlineStr"/>
      <c r="Q1044" s="12" t="inlineStr"/>
      <c r="R1044" s="12" t="inlineStr"/>
      <c r="S1044" s="12" t="inlineStr"/>
      <c r="T1044" s="12" t="inlineStr"/>
      <c r="U1044" s="12" t="inlineStr"/>
      <c r="V1044" s="12" t="inlineStr">
        <is>
          <t>Cost Account = CA-4010; WBS Code = 1.4.2</t>
        </is>
      </c>
      <c r="W1044" s="12" t="inlineStr"/>
    </row>
    <row r="1045" ht="49" customHeight="1">
      <c r="A1045" s="12" t="inlineStr">
        <is>
          <t>1.4.2</t>
        </is>
      </c>
      <c r="B1045" s="12" t="inlineStr">
        <is>
          <t>Vehicles and Depot - Depot Buildings</t>
        </is>
      </c>
      <c r="C1045" s="12" t="inlineStr">
        <is>
          <t>Cost &amp; Forecast Control Accounts</t>
        </is>
      </c>
      <c r="D1045" s="12" t="inlineStr">
        <is>
          <t>CST-04-012</t>
        </is>
      </c>
      <c r="E1045" s="12" t="inlineStr">
        <is>
          <t>Vehicles and Depot - spares - supply and install</t>
        </is>
      </c>
      <c r="F1045" s="12" t="inlineStr">
        <is>
          <t>ONE_TO_ONE</t>
        </is>
      </c>
      <c r="G1045" s="12" t="inlineStr">
        <is>
          <t>APPROVED</t>
        </is>
      </c>
      <c r="H1045" s="12" t="inlineStr">
        <is>
          <t>New</t>
        </is>
      </c>
      <c r="I1045" s="12" t="inlineStr">
        <is>
          <t>Source assignment -- not individually reviewed</t>
        </is>
      </c>
      <c r="J1045" s="12" t="inlineStr"/>
      <c r="K1045" s="12" t="inlineStr">
        <is>
          <t>Source assignment</t>
        </is>
      </c>
      <c r="L1045" s="12" t="inlineStr"/>
      <c r="M1045" s="12" t="inlineStr">
        <is>
          <t>Initial</t>
        </is>
      </c>
      <c r="N1045" s="12" t="inlineStr">
        <is>
          <t>Rev 0</t>
        </is>
      </c>
      <c r="O1045" s="12" t="inlineStr">
        <is>
          <t>R1334-v1</t>
        </is>
      </c>
      <c r="P1045" s="12" t="inlineStr"/>
      <c r="Q1045" s="12" t="inlineStr"/>
      <c r="R1045" s="12" t="inlineStr"/>
      <c r="S1045" s="12" t="inlineStr"/>
      <c r="T1045" s="12" t="inlineStr"/>
      <c r="U1045" s="12" t="inlineStr"/>
      <c r="V1045" s="12" t="inlineStr">
        <is>
          <t>Cost Account = CA-4012; WBS Code = 1.4.2</t>
        </is>
      </c>
      <c r="W1045" s="12" t="inlineStr"/>
    </row>
    <row r="1046" ht="49" customHeight="1">
      <c r="A1046" s="12" t="inlineStr">
        <is>
          <t>1.4.2</t>
        </is>
      </c>
      <c r="B1046" s="12" t="inlineStr">
        <is>
          <t>Vehicles and Depot - Depot Buildings</t>
        </is>
      </c>
      <c r="C1046" s="12" t="inlineStr">
        <is>
          <t>Cost &amp; Forecast Control Accounts</t>
        </is>
      </c>
      <c r="D1046" s="12" t="inlineStr">
        <is>
          <t>CST-04-014</t>
        </is>
      </c>
      <c r="E1046" s="12" t="inlineStr">
        <is>
          <t>Vehicles and Depot - workshop equipment - allowance</t>
        </is>
      </c>
      <c r="F1046" s="12" t="inlineStr">
        <is>
          <t>ONE_TO_ONE</t>
        </is>
      </c>
      <c r="G1046" s="12" t="inlineStr">
        <is>
          <t>APPROVED</t>
        </is>
      </c>
      <c r="H1046" s="12" t="inlineStr">
        <is>
          <t>New</t>
        </is>
      </c>
      <c r="I1046" s="12" t="inlineStr">
        <is>
          <t>Source assignment -- not individually reviewed</t>
        </is>
      </c>
      <c r="J1046" s="12" t="inlineStr"/>
      <c r="K1046" s="12" t="inlineStr">
        <is>
          <t>Source assignment</t>
        </is>
      </c>
      <c r="L1046" s="12" t="inlineStr"/>
      <c r="M1046" s="12" t="inlineStr">
        <is>
          <t>Initial</t>
        </is>
      </c>
      <c r="N1046" s="12" t="inlineStr">
        <is>
          <t>Rev 0</t>
        </is>
      </c>
      <c r="O1046" s="12" t="inlineStr">
        <is>
          <t>R1336-v1</t>
        </is>
      </c>
      <c r="P1046" s="12" t="inlineStr"/>
      <c r="Q1046" s="12" t="inlineStr"/>
      <c r="R1046" s="12" t="inlineStr"/>
      <c r="S1046" s="12" t="inlineStr"/>
      <c r="T1046" s="12" t="inlineStr"/>
      <c r="U1046" s="12" t="inlineStr"/>
      <c r="V1046" s="12" t="inlineStr">
        <is>
          <t>Cost Account = CA-4014; WBS Code = 1.4.2</t>
        </is>
      </c>
      <c r="W1046" s="12" t="inlineStr"/>
    </row>
    <row r="1047" ht="49" customHeight="1">
      <c r="A1047" s="12" t="inlineStr">
        <is>
          <t>1.4.2</t>
        </is>
      </c>
      <c r="B1047" s="12" t="inlineStr">
        <is>
          <t>Vehicles and Depot - Depot Buildings</t>
        </is>
      </c>
      <c r="C1047" s="12" t="inlineStr">
        <is>
          <t>Cost &amp; Forecast Control Accounts</t>
        </is>
      </c>
      <c r="D1047" s="12" t="inlineStr">
        <is>
          <t>CST-04-016</t>
        </is>
      </c>
      <c r="E1047" s="12" t="inlineStr">
        <is>
          <t>Vehicles and Depot - fleet supply - field package</t>
        </is>
      </c>
      <c r="F1047" s="12" t="inlineStr">
        <is>
          <t>ONE_TO_ONE</t>
        </is>
      </c>
      <c r="G1047" s="12" t="inlineStr">
        <is>
          <t>APPROVED</t>
        </is>
      </c>
      <c r="H1047" s="12" t="inlineStr">
        <is>
          <t>New</t>
        </is>
      </c>
      <c r="I1047" s="12" t="inlineStr">
        <is>
          <t>Source assignment -- not individually reviewed</t>
        </is>
      </c>
      <c r="J1047" s="12" t="inlineStr"/>
      <c r="K1047" s="12" t="inlineStr">
        <is>
          <t>Source assignment</t>
        </is>
      </c>
      <c r="L1047" s="12" t="inlineStr"/>
      <c r="M1047" s="12" t="inlineStr">
        <is>
          <t>Initial</t>
        </is>
      </c>
      <c r="N1047" s="12" t="inlineStr">
        <is>
          <t>Rev 0</t>
        </is>
      </c>
      <c r="O1047" s="12" t="inlineStr">
        <is>
          <t>R1338-v1</t>
        </is>
      </c>
      <c r="P1047" s="12" t="inlineStr"/>
      <c r="Q1047" s="12" t="inlineStr"/>
      <c r="R1047" s="12" t="inlineStr"/>
      <c r="S1047" s="12" t="inlineStr"/>
      <c r="T1047" s="12" t="inlineStr"/>
      <c r="U1047" s="12" t="inlineStr"/>
      <c r="V1047" s="12" t="inlineStr">
        <is>
          <t>Cost Account = CA-4016; WBS Code = 1.4.2</t>
        </is>
      </c>
      <c r="W1047" s="12" t="inlineStr"/>
    </row>
    <row r="1048" ht="49" customHeight="1">
      <c r="A1048" s="12" t="inlineStr">
        <is>
          <t>1.4.2</t>
        </is>
      </c>
      <c r="B1048" s="12" t="inlineStr">
        <is>
          <t>Vehicles and Depot - Depot Buildings</t>
        </is>
      </c>
      <c r="C1048" s="12" t="inlineStr">
        <is>
          <t>Cost &amp; Forecast Control Accounts</t>
        </is>
      </c>
      <c r="D1048" s="12" t="inlineStr">
        <is>
          <t>CST-04-018</t>
        </is>
      </c>
      <c r="E1048" s="12" t="inlineStr">
        <is>
          <t>Vehicles and Depot - spares - professional services</t>
        </is>
      </c>
      <c r="F1048" s="12" t="inlineStr">
        <is>
          <t>ONE_TO_ONE</t>
        </is>
      </c>
      <c r="G1048" s="12" t="inlineStr">
        <is>
          <t>APPROVED</t>
        </is>
      </c>
      <c r="H1048" s="12" t="inlineStr">
        <is>
          <t>New</t>
        </is>
      </c>
      <c r="I1048" s="12" t="inlineStr">
        <is>
          <t>Source assignment -- not individually reviewed</t>
        </is>
      </c>
      <c r="J1048" s="12" t="inlineStr"/>
      <c r="K1048" s="12" t="inlineStr">
        <is>
          <t>Source assignment</t>
        </is>
      </c>
      <c r="L1048" s="12" t="inlineStr"/>
      <c r="M1048" s="12" t="inlineStr">
        <is>
          <t>Initial</t>
        </is>
      </c>
      <c r="N1048" s="12" t="inlineStr">
        <is>
          <t>Rev 0</t>
        </is>
      </c>
      <c r="O1048" s="12" t="inlineStr">
        <is>
          <t>R1340-v1</t>
        </is>
      </c>
      <c r="P1048" s="12" t="inlineStr"/>
      <c r="Q1048" s="12" t="inlineStr"/>
      <c r="R1048" s="12" t="inlineStr"/>
      <c r="S1048" s="12" t="inlineStr"/>
      <c r="T1048" s="12" t="inlineStr"/>
      <c r="U1048" s="12" t="inlineStr"/>
      <c r="V1048" s="12" t="inlineStr">
        <is>
          <t>Cost Account = CA-4018; WBS Code = 1.4.2</t>
        </is>
      </c>
      <c r="W1048" s="12" t="inlineStr"/>
    </row>
    <row r="1049" ht="49" customHeight="1">
      <c r="A1049" s="12" t="inlineStr">
        <is>
          <t>1.4.2</t>
        </is>
      </c>
      <c r="B1049" s="12" t="inlineStr">
        <is>
          <t>Vehicles and Depot - Depot Buildings</t>
        </is>
      </c>
      <c r="C1049" s="12" t="inlineStr">
        <is>
          <t>Cost &amp; Forecast Control Accounts</t>
        </is>
      </c>
      <c r="D1049" s="12" t="inlineStr">
        <is>
          <t>CST-04-020</t>
        </is>
      </c>
      <c r="E1049" s="12" t="inlineStr">
        <is>
          <t>Vehicles and Depot - workshop equipment - closeout</t>
        </is>
      </c>
      <c r="F1049" s="12" t="inlineStr">
        <is>
          <t>ONE_TO_ONE</t>
        </is>
      </c>
      <c r="G1049" s="12" t="inlineStr">
        <is>
          <t>APPROVED</t>
        </is>
      </c>
      <c r="H1049" s="12" t="inlineStr">
        <is>
          <t>New</t>
        </is>
      </c>
      <c r="I1049" s="12" t="inlineStr">
        <is>
          <t>Source assignment -- not individually reviewed</t>
        </is>
      </c>
      <c r="J1049" s="12" t="inlineStr"/>
      <c r="K1049" s="12" t="inlineStr">
        <is>
          <t>Source assignment</t>
        </is>
      </c>
      <c r="L1049" s="12" t="inlineStr"/>
      <c r="M1049" s="12" t="inlineStr">
        <is>
          <t>Initial</t>
        </is>
      </c>
      <c r="N1049" s="12" t="inlineStr">
        <is>
          <t>Rev 0</t>
        </is>
      </c>
      <c r="O1049" s="12" t="inlineStr">
        <is>
          <t>R1342-v1</t>
        </is>
      </c>
      <c r="P1049" s="12" t="inlineStr"/>
      <c r="Q1049" s="12" t="inlineStr"/>
      <c r="R1049" s="12" t="inlineStr"/>
      <c r="S1049" s="12" t="inlineStr"/>
      <c r="T1049" s="12" t="inlineStr"/>
      <c r="U1049" s="12" t="inlineStr"/>
      <c r="V1049" s="12" t="inlineStr">
        <is>
          <t>Cost Account = CA-4020; WBS Code = 1.4.2</t>
        </is>
      </c>
      <c r="W1049" s="12" t="inlineStr"/>
    </row>
    <row r="1050" ht="49" customHeight="1">
      <c r="A1050" s="12" t="inlineStr">
        <is>
          <t>1.4.2</t>
        </is>
      </c>
      <c r="B1050" s="12" t="inlineStr">
        <is>
          <t>Vehicles and Depot - Depot Buildings</t>
        </is>
      </c>
      <c r="C1050" s="12" t="inlineStr">
        <is>
          <t>Cost &amp; Forecast Control Accounts</t>
        </is>
      </c>
      <c r="D1050" s="12" t="inlineStr">
        <is>
          <t>CST-04-022</t>
        </is>
      </c>
      <c r="E1050" s="12" t="inlineStr">
        <is>
          <t>Vehicles and Depot - fleet supply - supply and install</t>
        </is>
      </c>
      <c r="F1050" s="12" t="inlineStr">
        <is>
          <t>ONE_TO_ONE</t>
        </is>
      </c>
      <c r="G1050" s="12" t="inlineStr">
        <is>
          <t>APPROVED</t>
        </is>
      </c>
      <c r="H1050" s="12" t="inlineStr">
        <is>
          <t>New</t>
        </is>
      </c>
      <c r="I1050" s="12" t="inlineStr">
        <is>
          <t>Source assignment -- not individually reviewed</t>
        </is>
      </c>
      <c r="J1050" s="12" t="inlineStr"/>
      <c r="K1050" s="12" t="inlineStr">
        <is>
          <t>Source assignment</t>
        </is>
      </c>
      <c r="L1050" s="12" t="inlineStr"/>
      <c r="M1050" s="12" t="inlineStr">
        <is>
          <t>Initial</t>
        </is>
      </c>
      <c r="N1050" s="12" t="inlineStr">
        <is>
          <t>Rev 0</t>
        </is>
      </c>
      <c r="O1050" s="12" t="inlineStr">
        <is>
          <t>R1344-v1</t>
        </is>
      </c>
      <c r="P1050" s="12" t="inlineStr"/>
      <c r="Q1050" s="12" t="inlineStr"/>
      <c r="R1050" s="12" t="inlineStr"/>
      <c r="S1050" s="12" t="inlineStr"/>
      <c r="T1050" s="12" t="inlineStr"/>
      <c r="U1050" s="12" t="inlineStr"/>
      <c r="V1050" s="12" t="inlineStr">
        <is>
          <t>Cost Account = CA-4022; WBS Code = 1.4.2</t>
        </is>
      </c>
      <c r="W1050" s="12" t="inlineStr"/>
    </row>
    <row r="1051" ht="49" customHeight="1">
      <c r="A1051" s="12" t="inlineStr">
        <is>
          <t>1.4.2</t>
        </is>
      </c>
      <c r="B1051" s="12" t="inlineStr">
        <is>
          <t>Vehicles and Depot - Depot Buildings</t>
        </is>
      </c>
      <c r="C1051" s="12" t="inlineStr">
        <is>
          <t>Cost &amp; Forecast Control Accounts</t>
        </is>
      </c>
      <c r="D1051" s="12" t="inlineStr">
        <is>
          <t>CST-04-024</t>
        </is>
      </c>
      <c r="E1051" s="12" t="inlineStr">
        <is>
          <t>Vehicles and Depot - spares - allowance</t>
        </is>
      </c>
      <c r="F1051" s="12" t="inlineStr">
        <is>
          <t>ONE_TO_ONE</t>
        </is>
      </c>
      <c r="G1051" s="12" t="inlineStr">
        <is>
          <t>APPROVED</t>
        </is>
      </c>
      <c r="H1051" s="12" t="inlineStr">
        <is>
          <t>New</t>
        </is>
      </c>
      <c r="I1051" s="12" t="inlineStr">
        <is>
          <t>Source assignment -- not individually reviewed</t>
        </is>
      </c>
      <c r="J1051" s="12" t="inlineStr"/>
      <c r="K1051" s="12" t="inlineStr">
        <is>
          <t>Source assignment</t>
        </is>
      </c>
      <c r="L1051" s="12" t="inlineStr"/>
      <c r="M1051" s="12" t="inlineStr">
        <is>
          <t>Initial</t>
        </is>
      </c>
      <c r="N1051" s="12" t="inlineStr">
        <is>
          <t>Rev 0</t>
        </is>
      </c>
      <c r="O1051" s="12" t="inlineStr">
        <is>
          <t>R1346-v1</t>
        </is>
      </c>
      <c r="P1051" s="12" t="inlineStr"/>
      <c r="Q1051" s="12" t="inlineStr"/>
      <c r="R1051" s="12" t="inlineStr"/>
      <c r="S1051" s="12" t="inlineStr"/>
      <c r="T1051" s="12" t="inlineStr"/>
      <c r="U1051" s="12" t="inlineStr"/>
      <c r="V1051" s="12" t="inlineStr">
        <is>
          <t>Cost Account = CA-4024; WBS Code = 1.4.2</t>
        </is>
      </c>
      <c r="W1051" s="12" t="inlineStr"/>
    </row>
    <row r="1052" ht="49" customHeight="1">
      <c r="A1052" s="12" t="inlineStr">
        <is>
          <t>1.4.2</t>
        </is>
      </c>
      <c r="B1052" s="12" t="inlineStr">
        <is>
          <t>Vehicles and Depot - Depot Buildings</t>
        </is>
      </c>
      <c r="C1052" s="12" t="inlineStr">
        <is>
          <t>Cost &amp; Forecast Control Accounts</t>
        </is>
      </c>
      <c r="D1052" s="12" t="inlineStr">
        <is>
          <t>CST-04-026</t>
        </is>
      </c>
      <c r="E1052" s="12" t="inlineStr">
        <is>
          <t>Vehicles and Depot - workshop equipment - field package</t>
        </is>
      </c>
      <c r="F1052" s="12" t="inlineStr">
        <is>
          <t>ONE_TO_ONE</t>
        </is>
      </c>
      <c r="G1052" s="12" t="inlineStr">
        <is>
          <t>APPROVED</t>
        </is>
      </c>
      <c r="H1052" s="12" t="inlineStr">
        <is>
          <t>New</t>
        </is>
      </c>
      <c r="I1052" s="12" t="inlineStr">
        <is>
          <t>Source assignment -- not individually reviewed</t>
        </is>
      </c>
      <c r="J1052" s="12" t="inlineStr"/>
      <c r="K1052" s="12" t="inlineStr">
        <is>
          <t>Source assignment</t>
        </is>
      </c>
      <c r="L1052" s="12" t="inlineStr"/>
      <c r="M1052" s="12" t="inlineStr">
        <is>
          <t>Initial</t>
        </is>
      </c>
      <c r="N1052" s="12" t="inlineStr">
        <is>
          <t>Rev 0</t>
        </is>
      </c>
      <c r="O1052" s="12" t="inlineStr">
        <is>
          <t>R1348-v1</t>
        </is>
      </c>
      <c r="P1052" s="12" t="inlineStr"/>
      <c r="Q1052" s="12" t="inlineStr"/>
      <c r="R1052" s="12" t="inlineStr"/>
      <c r="S1052" s="12" t="inlineStr"/>
      <c r="T1052" s="12" t="inlineStr"/>
      <c r="U1052" s="12" t="inlineStr"/>
      <c r="V1052" s="12" t="inlineStr">
        <is>
          <t>Cost Account = CA-4026; WBS Code = 1.4.2</t>
        </is>
      </c>
      <c r="W1052" s="12" t="inlineStr"/>
    </row>
    <row r="1053" ht="49" customHeight="1">
      <c r="A1053" s="12" t="inlineStr">
        <is>
          <t>1.4.2</t>
        </is>
      </c>
      <c r="B1053" s="12" t="inlineStr">
        <is>
          <t>Vehicles and Depot - Depot Buildings</t>
        </is>
      </c>
      <c r="C1053" s="12" t="inlineStr">
        <is>
          <t>Cost &amp; Forecast Control Accounts</t>
        </is>
      </c>
      <c r="D1053" s="12" t="inlineStr">
        <is>
          <t>CST-04-028</t>
        </is>
      </c>
      <c r="E1053" s="12" t="inlineStr">
        <is>
          <t>Vehicles and Depot - fleet supply - professional services</t>
        </is>
      </c>
      <c r="F1053" s="12" t="inlineStr">
        <is>
          <t>ONE_TO_ONE</t>
        </is>
      </c>
      <c r="G1053" s="12" t="inlineStr">
        <is>
          <t>APPROVED</t>
        </is>
      </c>
      <c r="H1053" s="12" t="inlineStr">
        <is>
          <t>New</t>
        </is>
      </c>
      <c r="I1053" s="12" t="inlineStr">
        <is>
          <t>Source assignment -- not individually reviewed</t>
        </is>
      </c>
      <c r="J1053" s="12" t="inlineStr"/>
      <c r="K1053" s="12" t="inlineStr">
        <is>
          <t>Source assignment</t>
        </is>
      </c>
      <c r="L1053" s="12" t="inlineStr"/>
      <c r="M1053" s="12" t="inlineStr">
        <is>
          <t>Initial</t>
        </is>
      </c>
      <c r="N1053" s="12" t="inlineStr">
        <is>
          <t>Rev 0</t>
        </is>
      </c>
      <c r="O1053" s="12" t="inlineStr">
        <is>
          <t>R1350-v1</t>
        </is>
      </c>
      <c r="P1053" s="12" t="inlineStr"/>
      <c r="Q1053" s="12" t="inlineStr"/>
      <c r="R1053" s="12" t="inlineStr"/>
      <c r="S1053" s="12" t="inlineStr"/>
      <c r="T1053" s="12" t="inlineStr"/>
      <c r="U1053" s="12" t="inlineStr"/>
      <c r="V1053" s="12" t="inlineStr">
        <is>
          <t>Cost Account = CA-4028; WBS Code = 1.4.2</t>
        </is>
      </c>
      <c r="W1053" s="12" t="inlineStr"/>
    </row>
    <row r="1054" ht="49" customHeight="1">
      <c r="A1054" s="12" t="inlineStr">
        <is>
          <t>1.4.2</t>
        </is>
      </c>
      <c r="B1054" s="12" t="inlineStr">
        <is>
          <t>Vehicles and Depot - Depot Buildings</t>
        </is>
      </c>
      <c r="C1054" s="12" t="inlineStr">
        <is>
          <t>Cost &amp; Forecast Control Accounts</t>
        </is>
      </c>
      <c r="D1054" s="12" t="inlineStr">
        <is>
          <t>CST-04-030</t>
        </is>
      </c>
      <c r="E1054" s="12" t="inlineStr">
        <is>
          <t>Vehicles and Depot - spares - closeout</t>
        </is>
      </c>
      <c r="F1054" s="12" t="inlineStr">
        <is>
          <t>ONE_TO_ONE</t>
        </is>
      </c>
      <c r="G1054" s="12" t="inlineStr">
        <is>
          <t>APPROVED</t>
        </is>
      </c>
      <c r="H1054" s="12" t="inlineStr">
        <is>
          <t>New</t>
        </is>
      </c>
      <c r="I1054" s="12" t="inlineStr">
        <is>
          <t>Source assignment -- not individually reviewed</t>
        </is>
      </c>
      <c r="J1054" s="12" t="inlineStr"/>
      <c r="K1054" s="12" t="inlineStr">
        <is>
          <t>Source assignment</t>
        </is>
      </c>
      <c r="L1054" s="12" t="inlineStr"/>
      <c r="M1054" s="12" t="inlineStr">
        <is>
          <t>Initial</t>
        </is>
      </c>
      <c r="N1054" s="12" t="inlineStr">
        <is>
          <t>Rev 0</t>
        </is>
      </c>
      <c r="O1054" s="12" t="inlineStr">
        <is>
          <t>R1352-v1</t>
        </is>
      </c>
      <c r="P1054" s="12" t="inlineStr"/>
      <c r="Q1054" s="12" t="inlineStr"/>
      <c r="R1054" s="12" t="inlineStr"/>
      <c r="S1054" s="12" t="inlineStr"/>
      <c r="T1054" s="12" t="inlineStr"/>
      <c r="U1054" s="12" t="inlineStr"/>
      <c r="V1054" s="12" t="inlineStr">
        <is>
          <t>Cost Account = CA-4030; WBS Code = 1.4.2</t>
        </is>
      </c>
      <c r="W1054" s="12" t="inlineStr"/>
    </row>
    <row r="1055" ht="49" customHeight="1">
      <c r="A1055" s="12" t="inlineStr">
        <is>
          <t>1.4.2</t>
        </is>
      </c>
      <c r="B1055" s="12" t="inlineStr">
        <is>
          <t>Vehicles and Depot - Depot Buildings</t>
        </is>
      </c>
      <c r="C1055" s="12" t="inlineStr">
        <is>
          <t>Cost &amp; Forecast Control Accounts</t>
        </is>
      </c>
      <c r="D1055" s="12" t="inlineStr">
        <is>
          <t>CST-04-032</t>
        </is>
      </c>
      <c r="E1055" s="12" t="inlineStr">
        <is>
          <t>Vehicles and Depot - workshop equipment - supply and install</t>
        </is>
      </c>
      <c r="F1055" s="12" t="inlineStr">
        <is>
          <t>ONE_TO_ONE</t>
        </is>
      </c>
      <c r="G1055" s="12" t="inlineStr">
        <is>
          <t>APPROVED</t>
        </is>
      </c>
      <c r="H1055" s="12" t="inlineStr">
        <is>
          <t>New</t>
        </is>
      </c>
      <c r="I1055" s="12" t="inlineStr">
        <is>
          <t>Source assignment -- not individually reviewed</t>
        </is>
      </c>
      <c r="J1055" s="12" t="inlineStr"/>
      <c r="K1055" s="12" t="inlineStr">
        <is>
          <t>Source assignment</t>
        </is>
      </c>
      <c r="L1055" s="12" t="inlineStr"/>
      <c r="M1055" s="12" t="inlineStr">
        <is>
          <t>Initial</t>
        </is>
      </c>
      <c r="N1055" s="12" t="inlineStr">
        <is>
          <t>Rev 0</t>
        </is>
      </c>
      <c r="O1055" s="12" t="inlineStr">
        <is>
          <t>R1354-v1</t>
        </is>
      </c>
      <c r="P1055" s="12" t="inlineStr"/>
      <c r="Q1055" s="12" t="inlineStr"/>
      <c r="R1055" s="12" t="inlineStr"/>
      <c r="S1055" s="12" t="inlineStr"/>
      <c r="T1055" s="12" t="inlineStr"/>
      <c r="U1055" s="12" t="inlineStr"/>
      <c r="V1055" s="12" t="inlineStr">
        <is>
          <t>Cost Account = CA-4032; WBS Code = 1.4.2</t>
        </is>
      </c>
      <c r="W1055" s="12" t="inlineStr"/>
    </row>
    <row r="1056" ht="49" customHeight="1">
      <c r="A1056" s="12" t="inlineStr">
        <is>
          <t>1.4.2</t>
        </is>
      </c>
      <c r="B1056" s="12" t="inlineStr">
        <is>
          <t>Vehicles and Depot - Depot Buildings</t>
        </is>
      </c>
      <c r="C1056" s="12" t="inlineStr">
        <is>
          <t>Cost &amp; Forecast Control Accounts</t>
        </is>
      </c>
      <c r="D1056" s="12" t="inlineStr">
        <is>
          <t>CST-04-034</t>
        </is>
      </c>
      <c r="E1056" s="12" t="inlineStr">
        <is>
          <t>Vehicles and Depot - fleet supply - allowance</t>
        </is>
      </c>
      <c r="F1056" s="12" t="inlineStr">
        <is>
          <t>ONE_TO_ONE</t>
        </is>
      </c>
      <c r="G1056" s="12" t="inlineStr">
        <is>
          <t>APPROVED</t>
        </is>
      </c>
      <c r="H1056" s="12" t="inlineStr">
        <is>
          <t>New</t>
        </is>
      </c>
      <c r="I1056" s="12" t="inlineStr">
        <is>
          <t>Source assignment -- not individually reviewed</t>
        </is>
      </c>
      <c r="J1056" s="12" t="inlineStr"/>
      <c r="K1056" s="12" t="inlineStr">
        <is>
          <t>Source assignment</t>
        </is>
      </c>
      <c r="L1056" s="12" t="inlineStr"/>
      <c r="M1056" s="12" t="inlineStr">
        <is>
          <t>Initial</t>
        </is>
      </c>
      <c r="N1056" s="12" t="inlineStr">
        <is>
          <t>Rev 0</t>
        </is>
      </c>
      <c r="O1056" s="12" t="inlineStr">
        <is>
          <t>R1356-v1</t>
        </is>
      </c>
      <c r="P1056" s="12" t="inlineStr"/>
      <c r="Q1056" s="12" t="inlineStr"/>
      <c r="R1056" s="12" t="inlineStr"/>
      <c r="S1056" s="12" t="inlineStr"/>
      <c r="T1056" s="12" t="inlineStr"/>
      <c r="U1056" s="12" t="inlineStr"/>
      <c r="V1056" s="12" t="inlineStr">
        <is>
          <t>Cost Account = CA-4034; WBS Code = 1.4.2</t>
        </is>
      </c>
      <c r="W1056" s="12" t="inlineStr"/>
    </row>
    <row r="1057" ht="49" customHeight="1">
      <c r="A1057" s="12" t="inlineStr">
        <is>
          <t>1.4.2</t>
        </is>
      </c>
      <c r="B1057" s="12" t="inlineStr">
        <is>
          <t>Vehicles and Depot - Depot Buildings</t>
        </is>
      </c>
      <c r="C1057" s="12" t="inlineStr">
        <is>
          <t>Cost &amp; Forecast Control Accounts</t>
        </is>
      </c>
      <c r="D1057" s="12" t="inlineStr">
        <is>
          <t>CST-04-036</t>
        </is>
      </c>
      <c r="E1057" s="12" t="inlineStr">
        <is>
          <t>Vehicles and Depot - spares - field package</t>
        </is>
      </c>
      <c r="F1057" s="12" t="inlineStr">
        <is>
          <t>ONE_TO_ONE</t>
        </is>
      </c>
      <c r="G1057" s="12" t="inlineStr">
        <is>
          <t>APPROVED</t>
        </is>
      </c>
      <c r="H1057" s="12" t="inlineStr">
        <is>
          <t>New</t>
        </is>
      </c>
      <c r="I1057" s="12" t="inlineStr">
        <is>
          <t>Source assignment -- not individually reviewed</t>
        </is>
      </c>
      <c r="J1057" s="12" t="inlineStr"/>
      <c r="K1057" s="12" t="inlineStr">
        <is>
          <t>Source assignment</t>
        </is>
      </c>
      <c r="L1057" s="12" t="inlineStr"/>
      <c r="M1057" s="12" t="inlineStr">
        <is>
          <t>Initial</t>
        </is>
      </c>
      <c r="N1057" s="12" t="inlineStr">
        <is>
          <t>Rev 0</t>
        </is>
      </c>
      <c r="O1057" s="12" t="inlineStr">
        <is>
          <t>R1358-v1</t>
        </is>
      </c>
      <c r="P1057" s="12" t="inlineStr"/>
      <c r="Q1057" s="12" t="inlineStr"/>
      <c r="R1057" s="12" t="inlineStr"/>
      <c r="S1057" s="12" t="inlineStr"/>
      <c r="T1057" s="12" t="inlineStr"/>
      <c r="U1057" s="12" t="inlineStr"/>
      <c r="V1057" s="12" t="inlineStr">
        <is>
          <t>Cost Account = CA-4036; WBS Code = 1.4.2</t>
        </is>
      </c>
      <c r="W1057" s="12" t="inlineStr"/>
    </row>
    <row r="1058" ht="49" customHeight="1">
      <c r="A1058" s="12" t="inlineStr">
        <is>
          <t>1.4.2</t>
        </is>
      </c>
      <c r="B1058" s="12" t="inlineStr">
        <is>
          <t>Vehicles and Depot - Depot Buildings</t>
        </is>
      </c>
      <c r="C1058" s="12" t="inlineStr">
        <is>
          <t>Cost &amp; Forecast Control Accounts</t>
        </is>
      </c>
      <c r="D1058" s="12" t="inlineStr">
        <is>
          <t>CST-04-038</t>
        </is>
      </c>
      <c r="E1058" s="12" t="inlineStr">
        <is>
          <t>Vehicles and Depot - workshop equipment - professional services</t>
        </is>
      </c>
      <c r="F1058" s="12" t="inlineStr">
        <is>
          <t>ONE_TO_ONE</t>
        </is>
      </c>
      <c r="G1058" s="12" t="inlineStr">
        <is>
          <t>APPROVED</t>
        </is>
      </c>
      <c r="H1058" s="12" t="inlineStr">
        <is>
          <t>New</t>
        </is>
      </c>
      <c r="I1058" s="12" t="inlineStr">
        <is>
          <t>Source assignment -- not individually reviewed</t>
        </is>
      </c>
      <c r="J1058" s="12" t="inlineStr"/>
      <c r="K1058" s="12" t="inlineStr">
        <is>
          <t>Source assignment</t>
        </is>
      </c>
      <c r="L1058" s="12" t="inlineStr"/>
      <c r="M1058" s="12" t="inlineStr">
        <is>
          <t>Initial</t>
        </is>
      </c>
      <c r="N1058" s="12" t="inlineStr">
        <is>
          <t>Rev 0</t>
        </is>
      </c>
      <c r="O1058" s="12" t="inlineStr">
        <is>
          <t>R1360-v1</t>
        </is>
      </c>
      <c r="P1058" s="12" t="inlineStr"/>
      <c r="Q1058" s="12" t="inlineStr"/>
      <c r="R1058" s="12" t="inlineStr"/>
      <c r="S1058" s="12" t="inlineStr"/>
      <c r="T1058" s="12" t="inlineStr"/>
      <c r="U1058" s="12" t="inlineStr"/>
      <c r="V1058" s="12" t="inlineStr">
        <is>
          <t>Cost Account = CA-4038; WBS Code = 1.4.2</t>
        </is>
      </c>
      <c r="W1058" s="12" t="inlineStr"/>
    </row>
    <row r="1059" ht="49" customHeight="1">
      <c r="A1059" s="12" t="inlineStr">
        <is>
          <t>1.4.2</t>
        </is>
      </c>
      <c r="B1059" s="12" t="inlineStr">
        <is>
          <t>Vehicles and Depot - Depot Buildings</t>
        </is>
      </c>
      <c r="C1059" s="12" t="inlineStr">
        <is>
          <t>Cost &amp; Forecast Control Accounts</t>
        </is>
      </c>
      <c r="D1059" s="12" t="inlineStr">
        <is>
          <t>CST-04-040</t>
        </is>
      </c>
      <c r="E1059" s="12" t="inlineStr">
        <is>
          <t>Vehicles and Depot - fleet supply - closeout</t>
        </is>
      </c>
      <c r="F1059" s="12" t="inlineStr">
        <is>
          <t>ONE_TO_ONE</t>
        </is>
      </c>
      <c r="G1059" s="12" t="inlineStr">
        <is>
          <t>APPROVED</t>
        </is>
      </c>
      <c r="H1059" s="12" t="inlineStr">
        <is>
          <t>New</t>
        </is>
      </c>
      <c r="I1059" s="12" t="inlineStr">
        <is>
          <t>Source assignment -- not individually reviewed</t>
        </is>
      </c>
      <c r="J1059" s="12" t="inlineStr"/>
      <c r="K1059" s="12" t="inlineStr">
        <is>
          <t>Source assignment</t>
        </is>
      </c>
      <c r="L1059" s="12" t="inlineStr"/>
      <c r="M1059" s="12" t="inlineStr">
        <is>
          <t>Initial</t>
        </is>
      </c>
      <c r="N1059" s="12" t="inlineStr">
        <is>
          <t>Rev 0</t>
        </is>
      </c>
      <c r="O1059" s="12" t="inlineStr">
        <is>
          <t>R1362-v1</t>
        </is>
      </c>
      <c r="P1059" s="12" t="inlineStr"/>
      <c r="Q1059" s="12" t="inlineStr"/>
      <c r="R1059" s="12" t="inlineStr"/>
      <c r="S1059" s="12" t="inlineStr"/>
      <c r="T1059" s="12" t="inlineStr"/>
      <c r="U1059" s="12" t="inlineStr"/>
      <c r="V1059" s="12" t="inlineStr">
        <is>
          <t>Cost Account = CA-4040; WBS Code = 1.4.2</t>
        </is>
      </c>
      <c r="W1059" s="12" t="inlineStr"/>
    </row>
    <row r="1060" ht="49" customHeight="1">
      <c r="A1060" s="12" t="inlineStr">
        <is>
          <t>1.4.2</t>
        </is>
      </c>
      <c r="B1060" s="12" t="inlineStr">
        <is>
          <t>Vehicles and Depot - Depot Buildings</t>
        </is>
      </c>
      <c r="C1060" s="12" t="inlineStr">
        <is>
          <t>Cost &amp; Forecast Control Accounts</t>
        </is>
      </c>
      <c r="D1060" s="12" t="inlineStr">
        <is>
          <t>CST-04-042</t>
        </is>
      </c>
      <c r="E1060" s="12" t="inlineStr">
        <is>
          <t>Vehicles and Depot - spares - supply and install</t>
        </is>
      </c>
      <c r="F1060" s="12" t="inlineStr">
        <is>
          <t>ONE_TO_ONE</t>
        </is>
      </c>
      <c r="G1060" s="12" t="inlineStr">
        <is>
          <t>APPROVED</t>
        </is>
      </c>
      <c r="H1060" s="12" t="inlineStr">
        <is>
          <t>New</t>
        </is>
      </c>
      <c r="I1060" s="12" t="inlineStr">
        <is>
          <t>Source assignment -- not individually reviewed</t>
        </is>
      </c>
      <c r="J1060" s="12" t="inlineStr"/>
      <c r="K1060" s="12" t="inlineStr">
        <is>
          <t>Source assignment</t>
        </is>
      </c>
      <c r="L1060" s="12" t="inlineStr"/>
      <c r="M1060" s="12" t="inlineStr">
        <is>
          <t>Initial</t>
        </is>
      </c>
      <c r="N1060" s="12" t="inlineStr">
        <is>
          <t>Rev 0</t>
        </is>
      </c>
      <c r="O1060" s="12" t="inlineStr">
        <is>
          <t>R1364-v1</t>
        </is>
      </c>
      <c r="P1060" s="12" t="inlineStr"/>
      <c r="Q1060" s="12" t="inlineStr"/>
      <c r="R1060" s="12" t="inlineStr"/>
      <c r="S1060" s="12" t="inlineStr"/>
      <c r="T1060" s="12" t="inlineStr"/>
      <c r="U1060" s="12" t="inlineStr"/>
      <c r="V1060" s="12" t="inlineStr">
        <is>
          <t>Cost Account = CA-4042; WBS Code = 1.4.2</t>
        </is>
      </c>
      <c r="W1060" s="12" t="inlineStr"/>
    </row>
    <row r="1061" ht="49" customHeight="1">
      <c r="A1061" s="12" t="inlineStr">
        <is>
          <t>1.4.2</t>
        </is>
      </c>
      <c r="B1061" s="12" t="inlineStr">
        <is>
          <t>Vehicles and Depot - Depot Buildings</t>
        </is>
      </c>
      <c r="C1061" s="12" t="inlineStr">
        <is>
          <t>Cost &amp; Forecast Control Accounts</t>
        </is>
      </c>
      <c r="D1061" s="12" t="inlineStr">
        <is>
          <t>CST-04-044</t>
        </is>
      </c>
      <c r="E1061" s="12" t="inlineStr">
        <is>
          <t>Vehicles and Depot - workshop equipment - allowance</t>
        </is>
      </c>
      <c r="F1061" s="12" t="inlineStr">
        <is>
          <t>ONE_TO_ONE</t>
        </is>
      </c>
      <c r="G1061" s="12" t="inlineStr">
        <is>
          <t>APPROVED</t>
        </is>
      </c>
      <c r="H1061" s="12" t="inlineStr">
        <is>
          <t>New</t>
        </is>
      </c>
      <c r="I1061" s="12" t="inlineStr">
        <is>
          <t>Source assignment -- not individually reviewed</t>
        </is>
      </c>
      <c r="J1061" s="12" t="inlineStr"/>
      <c r="K1061" s="12" t="inlineStr">
        <is>
          <t>Source assignment</t>
        </is>
      </c>
      <c r="L1061" s="12" t="inlineStr"/>
      <c r="M1061" s="12" t="inlineStr">
        <is>
          <t>Initial</t>
        </is>
      </c>
      <c r="N1061" s="12" t="inlineStr">
        <is>
          <t>Rev 0</t>
        </is>
      </c>
      <c r="O1061" s="12" t="inlineStr">
        <is>
          <t>R1366-v1</t>
        </is>
      </c>
      <c r="P1061" s="12" t="inlineStr"/>
      <c r="Q1061" s="12" t="inlineStr"/>
      <c r="R1061" s="12" t="inlineStr"/>
      <c r="S1061" s="12" t="inlineStr"/>
      <c r="T1061" s="12" t="inlineStr"/>
      <c r="U1061" s="12" t="inlineStr"/>
      <c r="V1061" s="12" t="inlineStr">
        <is>
          <t>Cost Account = CA-4044; WBS Code = 1.4.2</t>
        </is>
      </c>
      <c r="W1061" s="12" t="inlineStr"/>
    </row>
    <row r="1062" ht="49" customHeight="1">
      <c r="A1062" s="12" t="inlineStr">
        <is>
          <t>1.4.2</t>
        </is>
      </c>
      <c r="B1062" s="12" t="inlineStr">
        <is>
          <t>Vehicles and Depot - Depot Buildings</t>
        </is>
      </c>
      <c r="C1062" s="12" t="inlineStr">
        <is>
          <t>Cost &amp; Forecast Control Accounts</t>
        </is>
      </c>
      <c r="D1062" s="12" t="inlineStr">
        <is>
          <t>CST-04-046</t>
        </is>
      </c>
      <c r="E1062" s="12" t="inlineStr">
        <is>
          <t>Vehicles and Depot - fleet supply - field package</t>
        </is>
      </c>
      <c r="F1062" s="12" t="inlineStr">
        <is>
          <t>ONE_TO_ONE</t>
        </is>
      </c>
      <c r="G1062" s="12" t="inlineStr">
        <is>
          <t>APPROVED</t>
        </is>
      </c>
      <c r="H1062" s="12" t="inlineStr">
        <is>
          <t>New</t>
        </is>
      </c>
      <c r="I1062" s="12" t="inlineStr">
        <is>
          <t>Source assignment -- not individually reviewed</t>
        </is>
      </c>
      <c r="J1062" s="12" t="inlineStr"/>
      <c r="K1062" s="12" t="inlineStr">
        <is>
          <t>Source assignment</t>
        </is>
      </c>
      <c r="L1062" s="12" t="inlineStr"/>
      <c r="M1062" s="12" t="inlineStr">
        <is>
          <t>Initial</t>
        </is>
      </c>
      <c r="N1062" s="12" t="inlineStr">
        <is>
          <t>Rev 0</t>
        </is>
      </c>
      <c r="O1062" s="12" t="inlineStr">
        <is>
          <t>R1368-v1</t>
        </is>
      </c>
      <c r="P1062" s="12" t="inlineStr"/>
      <c r="Q1062" s="12" t="inlineStr"/>
      <c r="R1062" s="12" t="inlineStr"/>
      <c r="S1062" s="12" t="inlineStr"/>
      <c r="T1062" s="12" t="inlineStr"/>
      <c r="U1062" s="12" t="inlineStr"/>
      <c r="V1062" s="12" t="inlineStr">
        <is>
          <t>Cost Account = CA-4046; WBS Code = 1.4.2</t>
        </is>
      </c>
      <c r="W1062" s="12" t="inlineStr"/>
    </row>
    <row r="1063" ht="49" customHeight="1">
      <c r="A1063" s="12" t="inlineStr">
        <is>
          <t>1.4.2</t>
        </is>
      </c>
      <c r="B1063" s="12" t="inlineStr">
        <is>
          <t>Vehicles and Depot - Depot Buildings</t>
        </is>
      </c>
      <c r="C1063" s="12" t="inlineStr">
        <is>
          <t>Cost &amp; Forecast Control Accounts</t>
        </is>
      </c>
      <c r="D1063" s="12" t="inlineStr">
        <is>
          <t>CST-04-048</t>
        </is>
      </c>
      <c r="E1063" s="12" t="inlineStr">
        <is>
          <t>Vehicles and Depot - spares - professional services</t>
        </is>
      </c>
      <c r="F1063" s="12" t="inlineStr">
        <is>
          <t>ONE_TO_ONE</t>
        </is>
      </c>
      <c r="G1063" s="12" t="inlineStr">
        <is>
          <t>APPROVED</t>
        </is>
      </c>
      <c r="H1063" s="12" t="inlineStr">
        <is>
          <t>New</t>
        </is>
      </c>
      <c r="I1063" s="12" t="inlineStr">
        <is>
          <t>Source assignment -- not individually reviewed</t>
        </is>
      </c>
      <c r="J1063" s="12" t="inlineStr"/>
      <c r="K1063" s="12" t="inlineStr">
        <is>
          <t>Source assignment</t>
        </is>
      </c>
      <c r="L1063" s="12" t="inlineStr"/>
      <c r="M1063" s="12" t="inlineStr">
        <is>
          <t>Initial</t>
        </is>
      </c>
      <c r="N1063" s="12" t="inlineStr">
        <is>
          <t>Rev 0</t>
        </is>
      </c>
      <c r="O1063" s="12" t="inlineStr">
        <is>
          <t>R1370-v1</t>
        </is>
      </c>
      <c r="P1063" s="12" t="inlineStr"/>
      <c r="Q1063" s="12" t="inlineStr"/>
      <c r="R1063" s="12" t="inlineStr"/>
      <c r="S1063" s="12" t="inlineStr"/>
      <c r="T1063" s="12" t="inlineStr"/>
      <c r="U1063" s="12" t="inlineStr"/>
      <c r="V1063" s="12" t="inlineStr">
        <is>
          <t>Cost Account = CA-4048; WBS Code = 1.4.2</t>
        </is>
      </c>
      <c r="W1063" s="12" t="inlineStr"/>
    </row>
    <row r="1064" ht="49" customHeight="1">
      <c r="A1064" s="12" t="inlineStr">
        <is>
          <t>1.4.2</t>
        </is>
      </c>
      <c r="B1064" s="12" t="inlineStr">
        <is>
          <t>Vehicles and Depot - Depot Buildings</t>
        </is>
      </c>
      <c r="C1064" s="12" t="inlineStr">
        <is>
          <t>Cost &amp; Forecast Control Accounts</t>
        </is>
      </c>
      <c r="D1064" s="12" t="inlineStr">
        <is>
          <t>CST-04-050</t>
        </is>
      </c>
      <c r="E1064" s="12" t="inlineStr">
        <is>
          <t>Vehicles and Depot - workshop equipment - closeout</t>
        </is>
      </c>
      <c r="F1064" s="12" t="inlineStr">
        <is>
          <t>ONE_TO_ONE</t>
        </is>
      </c>
      <c r="G1064" s="12" t="inlineStr">
        <is>
          <t>APPROVED</t>
        </is>
      </c>
      <c r="H1064" s="12" t="inlineStr">
        <is>
          <t>New</t>
        </is>
      </c>
      <c r="I1064" s="12" t="inlineStr">
        <is>
          <t>Source assignment -- not individually reviewed</t>
        </is>
      </c>
      <c r="J1064" s="12" t="inlineStr"/>
      <c r="K1064" s="12" t="inlineStr">
        <is>
          <t>Source assignment</t>
        </is>
      </c>
      <c r="L1064" s="12" t="inlineStr"/>
      <c r="M1064" s="12" t="inlineStr">
        <is>
          <t>Initial</t>
        </is>
      </c>
      <c r="N1064" s="12" t="inlineStr">
        <is>
          <t>Rev 0</t>
        </is>
      </c>
      <c r="O1064" s="12" t="inlineStr">
        <is>
          <t>R1372-v1</t>
        </is>
      </c>
      <c r="P1064" s="12" t="inlineStr"/>
      <c r="Q1064" s="12" t="inlineStr"/>
      <c r="R1064" s="12" t="inlineStr"/>
      <c r="S1064" s="12" t="inlineStr"/>
      <c r="T1064" s="12" t="inlineStr"/>
      <c r="U1064" s="12" t="inlineStr"/>
      <c r="V1064" s="12" t="inlineStr">
        <is>
          <t>Cost Account = CA-4050; WBS Code = 1.4.2</t>
        </is>
      </c>
      <c r="W1064" s="12" t="inlineStr"/>
    </row>
    <row r="1065" ht="49" customHeight="1">
      <c r="A1065" s="12" t="inlineStr">
        <is>
          <t>1.4.2</t>
        </is>
      </c>
      <c r="B1065" s="12" t="inlineStr">
        <is>
          <t>Vehicles and Depot - Depot Buildings</t>
        </is>
      </c>
      <c r="C1065" s="12" t="inlineStr">
        <is>
          <t>Cost &amp; Forecast Control Accounts</t>
        </is>
      </c>
      <c r="D1065" s="12" t="inlineStr">
        <is>
          <t>CST-04-052</t>
        </is>
      </c>
      <c r="E1065" s="12" t="inlineStr">
        <is>
          <t>Vehicles and Depot - fleet supply - supply and install</t>
        </is>
      </c>
      <c r="F1065" s="12" t="inlineStr">
        <is>
          <t>ONE_TO_ONE</t>
        </is>
      </c>
      <c r="G1065" s="12" t="inlineStr">
        <is>
          <t>APPROVED</t>
        </is>
      </c>
      <c r="H1065" s="12" t="inlineStr">
        <is>
          <t>New</t>
        </is>
      </c>
      <c r="I1065" s="12" t="inlineStr">
        <is>
          <t>Source assignment -- not individually reviewed</t>
        </is>
      </c>
      <c r="J1065" s="12" t="inlineStr"/>
      <c r="K1065" s="12" t="inlineStr">
        <is>
          <t>Source assignment</t>
        </is>
      </c>
      <c r="L1065" s="12" t="inlineStr"/>
      <c r="M1065" s="12" t="inlineStr">
        <is>
          <t>Initial</t>
        </is>
      </c>
      <c r="N1065" s="12" t="inlineStr">
        <is>
          <t>Rev 0</t>
        </is>
      </c>
      <c r="O1065" s="12" t="inlineStr">
        <is>
          <t>R1374-v1</t>
        </is>
      </c>
      <c r="P1065" s="12" t="inlineStr"/>
      <c r="Q1065" s="12" t="inlineStr"/>
      <c r="R1065" s="12" t="inlineStr"/>
      <c r="S1065" s="12" t="inlineStr"/>
      <c r="T1065" s="12" t="inlineStr"/>
      <c r="U1065" s="12" t="inlineStr"/>
      <c r="V1065" s="12" t="inlineStr">
        <is>
          <t>Cost Account = CA-4052; WBS Code = 1.4.2</t>
        </is>
      </c>
      <c r="W1065" s="12" t="inlineStr"/>
    </row>
    <row r="1066" ht="49" customHeight="1">
      <c r="A1066" s="12" t="inlineStr">
        <is>
          <t>1.4.2</t>
        </is>
      </c>
      <c r="B1066" s="12" t="inlineStr">
        <is>
          <t>Vehicles and Depot - Depot Buildings</t>
        </is>
      </c>
      <c r="C1066" s="12" t="inlineStr">
        <is>
          <t>Cost &amp; Forecast Control Accounts</t>
        </is>
      </c>
      <c r="D1066" s="12" t="inlineStr">
        <is>
          <t>CST-04-054</t>
        </is>
      </c>
      <c r="E1066" s="12" t="inlineStr">
        <is>
          <t>Vehicles and Depot - spares - allowance</t>
        </is>
      </c>
      <c r="F1066" s="12" t="inlineStr">
        <is>
          <t>ONE_TO_ONE</t>
        </is>
      </c>
      <c r="G1066" s="12" t="inlineStr">
        <is>
          <t>APPROVED</t>
        </is>
      </c>
      <c r="H1066" s="12" t="inlineStr">
        <is>
          <t>New</t>
        </is>
      </c>
      <c r="I1066" s="12" t="inlineStr">
        <is>
          <t>Source assignment -- not individually reviewed</t>
        </is>
      </c>
      <c r="J1066" s="12" t="inlineStr"/>
      <c r="K1066" s="12" t="inlineStr">
        <is>
          <t>Source assignment</t>
        </is>
      </c>
      <c r="L1066" s="12" t="inlineStr"/>
      <c r="M1066" s="12" t="inlineStr">
        <is>
          <t>Initial</t>
        </is>
      </c>
      <c r="N1066" s="12" t="inlineStr">
        <is>
          <t>Rev 0</t>
        </is>
      </c>
      <c r="O1066" s="12" t="inlineStr">
        <is>
          <t>R1376-v1</t>
        </is>
      </c>
      <c r="P1066" s="12" t="inlineStr"/>
      <c r="Q1066" s="12" t="inlineStr"/>
      <c r="R1066" s="12" t="inlineStr"/>
      <c r="S1066" s="12" t="inlineStr"/>
      <c r="T1066" s="12" t="inlineStr"/>
      <c r="U1066" s="12" t="inlineStr"/>
      <c r="V1066" s="12" t="inlineStr">
        <is>
          <t>Cost Account = CA-4054; WBS Code = 1.4.2</t>
        </is>
      </c>
      <c r="W1066" s="12" t="inlineStr"/>
    </row>
    <row r="1067" ht="49" customHeight="1">
      <c r="A1067" s="12" t="inlineStr">
        <is>
          <t>1.4.2</t>
        </is>
      </c>
      <c r="B1067" s="12" t="inlineStr">
        <is>
          <t>Vehicles and Depot - Depot Buildings</t>
        </is>
      </c>
      <c r="C1067" s="12" t="inlineStr">
        <is>
          <t>Cost &amp; Forecast Control Accounts</t>
        </is>
      </c>
      <c r="D1067" s="12" t="inlineStr">
        <is>
          <t>CST-04-056</t>
        </is>
      </c>
      <c r="E1067" s="12" t="inlineStr">
        <is>
          <t>Vehicles and Depot - workshop equipment - field package</t>
        </is>
      </c>
      <c r="F1067" s="12" t="inlineStr">
        <is>
          <t>ONE_TO_ONE</t>
        </is>
      </c>
      <c r="G1067" s="12" t="inlineStr">
        <is>
          <t>APPROVED</t>
        </is>
      </c>
      <c r="H1067" s="12" t="inlineStr">
        <is>
          <t>New</t>
        </is>
      </c>
      <c r="I1067" s="12" t="inlineStr">
        <is>
          <t>Source assignment -- not individually reviewed</t>
        </is>
      </c>
      <c r="J1067" s="12" t="inlineStr"/>
      <c r="K1067" s="12" t="inlineStr">
        <is>
          <t>Source assignment</t>
        </is>
      </c>
      <c r="L1067" s="12" t="inlineStr"/>
      <c r="M1067" s="12" t="inlineStr">
        <is>
          <t>Initial</t>
        </is>
      </c>
      <c r="N1067" s="12" t="inlineStr">
        <is>
          <t>Rev 0</t>
        </is>
      </c>
      <c r="O1067" s="12" t="inlineStr">
        <is>
          <t>R1378-v1</t>
        </is>
      </c>
      <c r="P1067" s="12" t="inlineStr"/>
      <c r="Q1067" s="12" t="inlineStr"/>
      <c r="R1067" s="12" t="inlineStr"/>
      <c r="S1067" s="12" t="inlineStr"/>
      <c r="T1067" s="12" t="inlineStr"/>
      <c r="U1067" s="12" t="inlineStr"/>
      <c r="V1067" s="12" t="inlineStr">
        <is>
          <t>Cost Account = CA-4056; WBS Code = 1.4.2</t>
        </is>
      </c>
      <c r="W1067" s="12" t="inlineStr"/>
    </row>
    <row r="1068" ht="49" customHeight="1">
      <c r="A1068" s="12" t="inlineStr">
        <is>
          <t>1.4.2</t>
        </is>
      </c>
      <c r="B1068" s="12" t="inlineStr">
        <is>
          <t>Vehicles and Depot - Depot Buildings</t>
        </is>
      </c>
      <c r="C1068" s="12" t="inlineStr">
        <is>
          <t>Cost &amp; Forecast Control Accounts</t>
        </is>
      </c>
      <c r="D1068" s="12" t="inlineStr">
        <is>
          <t>CST-04-058</t>
        </is>
      </c>
      <c r="E1068" s="12" t="inlineStr">
        <is>
          <t>Vehicles and Depot - fleet supply - professional services</t>
        </is>
      </c>
      <c r="F1068" s="12" t="inlineStr">
        <is>
          <t>ONE_TO_ONE</t>
        </is>
      </c>
      <c r="G1068" s="12" t="inlineStr">
        <is>
          <t>APPROVED</t>
        </is>
      </c>
      <c r="H1068" s="12" t="inlineStr">
        <is>
          <t>New</t>
        </is>
      </c>
      <c r="I1068" s="12" t="inlineStr">
        <is>
          <t>Source assignment -- not individually reviewed</t>
        </is>
      </c>
      <c r="J1068" s="12" t="inlineStr"/>
      <c r="K1068" s="12" t="inlineStr">
        <is>
          <t>Source assignment</t>
        </is>
      </c>
      <c r="L1068" s="12" t="inlineStr"/>
      <c r="M1068" s="12" t="inlineStr">
        <is>
          <t>Initial</t>
        </is>
      </c>
      <c r="N1068" s="12" t="inlineStr">
        <is>
          <t>Rev 0</t>
        </is>
      </c>
      <c r="O1068" s="12" t="inlineStr">
        <is>
          <t>R1380-v1</t>
        </is>
      </c>
      <c r="P1068" s="12" t="inlineStr"/>
      <c r="Q1068" s="12" t="inlineStr"/>
      <c r="R1068" s="12" t="inlineStr"/>
      <c r="S1068" s="12" t="inlineStr"/>
      <c r="T1068" s="12" t="inlineStr"/>
      <c r="U1068" s="12" t="inlineStr"/>
      <c r="V1068" s="12" t="inlineStr">
        <is>
          <t>Cost Account = CA-4058; WBS Code = 1.4.2</t>
        </is>
      </c>
      <c r="W1068" s="12" t="inlineStr"/>
    </row>
    <row r="1069" ht="49" customHeight="1">
      <c r="A1069" s="12" t="inlineStr">
        <is>
          <t>1.4.2</t>
        </is>
      </c>
      <c r="B1069" s="12" t="inlineStr">
        <is>
          <t>Vehicles and Depot - Depot Buildings</t>
        </is>
      </c>
      <c r="C1069" s="12" t="inlineStr">
        <is>
          <t>Cost &amp; Forecast Control Accounts</t>
        </is>
      </c>
      <c r="D1069" s="12" t="inlineStr">
        <is>
          <t>CST-04-060</t>
        </is>
      </c>
      <c r="E1069" s="12" t="inlineStr">
        <is>
          <t>Vehicles and Depot - spares - closeout</t>
        </is>
      </c>
      <c r="F1069" s="12" t="inlineStr">
        <is>
          <t>ONE_TO_ONE</t>
        </is>
      </c>
      <c r="G1069" s="12" t="inlineStr">
        <is>
          <t>APPROVED</t>
        </is>
      </c>
      <c r="H1069" s="12" t="inlineStr">
        <is>
          <t>New</t>
        </is>
      </c>
      <c r="I1069" s="12" t="inlineStr">
        <is>
          <t>Source assignment -- not individually reviewed</t>
        </is>
      </c>
      <c r="J1069" s="12" t="inlineStr"/>
      <c r="K1069" s="12" t="inlineStr">
        <is>
          <t>Source assignment</t>
        </is>
      </c>
      <c r="L1069" s="12" t="inlineStr"/>
      <c r="M1069" s="12" t="inlineStr">
        <is>
          <t>Initial</t>
        </is>
      </c>
      <c r="N1069" s="12" t="inlineStr">
        <is>
          <t>Rev 0</t>
        </is>
      </c>
      <c r="O1069" s="12" t="inlineStr">
        <is>
          <t>R1382-v1</t>
        </is>
      </c>
      <c r="P1069" s="12" t="inlineStr"/>
      <c r="Q1069" s="12" t="inlineStr"/>
      <c r="R1069" s="12" t="inlineStr"/>
      <c r="S1069" s="12" t="inlineStr"/>
      <c r="T1069" s="12" t="inlineStr"/>
      <c r="U1069" s="12" t="inlineStr"/>
      <c r="V1069" s="12" t="inlineStr">
        <is>
          <t>Cost Account = CA-4060; WBS Code = 1.4.2</t>
        </is>
      </c>
      <c r="W1069" s="12" t="inlineStr"/>
    </row>
    <row r="1070" ht="49" customHeight="1">
      <c r="A1070" s="12" t="inlineStr">
        <is>
          <t>1.4.2</t>
        </is>
      </c>
      <c r="B1070" s="12" t="inlineStr">
        <is>
          <t>Vehicles and Depot - Depot Buildings</t>
        </is>
      </c>
      <c r="C1070" s="12" t="inlineStr">
        <is>
          <t>Cost &amp; Forecast Control Accounts</t>
        </is>
      </c>
      <c r="D1070" s="12" t="inlineStr">
        <is>
          <t>CST-04-062</t>
        </is>
      </c>
      <c r="E1070" s="12" t="inlineStr">
        <is>
          <t>Vehicles and Depot - workshop equipment - supply and install</t>
        </is>
      </c>
      <c r="F1070" s="12" t="inlineStr">
        <is>
          <t>ONE_TO_ONE</t>
        </is>
      </c>
      <c r="G1070" s="12" t="inlineStr">
        <is>
          <t>APPROVED</t>
        </is>
      </c>
      <c r="H1070" s="12" t="inlineStr">
        <is>
          <t>New</t>
        </is>
      </c>
      <c r="I1070" s="12" t="inlineStr">
        <is>
          <t>Source assignment -- not individually reviewed</t>
        </is>
      </c>
      <c r="J1070" s="12" t="inlineStr"/>
      <c r="K1070" s="12" t="inlineStr">
        <is>
          <t>Source assignment</t>
        </is>
      </c>
      <c r="L1070" s="12" t="inlineStr"/>
      <c r="M1070" s="12" t="inlineStr">
        <is>
          <t>Initial</t>
        </is>
      </c>
      <c r="N1070" s="12" t="inlineStr">
        <is>
          <t>Rev 0</t>
        </is>
      </c>
      <c r="O1070" s="12" t="inlineStr">
        <is>
          <t>R1384-v1</t>
        </is>
      </c>
      <c r="P1070" s="12" t="inlineStr"/>
      <c r="Q1070" s="12" t="inlineStr"/>
      <c r="R1070" s="12" t="inlineStr"/>
      <c r="S1070" s="12" t="inlineStr"/>
      <c r="T1070" s="12" t="inlineStr"/>
      <c r="U1070" s="12" t="inlineStr"/>
      <c r="V1070" s="12" t="inlineStr">
        <is>
          <t>Cost Account = CA-4062; WBS Code = 1.4.2</t>
        </is>
      </c>
      <c r="W1070" s="12" t="inlineStr"/>
    </row>
    <row r="1071" ht="49" customHeight="1">
      <c r="A1071" s="12" t="inlineStr">
        <is>
          <t>1.4.2</t>
        </is>
      </c>
      <c r="B1071" s="12" t="inlineStr">
        <is>
          <t>Vehicles and Depot - Depot Buildings</t>
        </is>
      </c>
      <c r="C1071" s="12" t="inlineStr">
        <is>
          <t>Cost &amp; Forecast Control Accounts</t>
        </is>
      </c>
      <c r="D1071" s="12" t="inlineStr">
        <is>
          <t>CST-04-064</t>
        </is>
      </c>
      <c r="E1071" s="12" t="inlineStr">
        <is>
          <t>Vehicles and Depot - fleet supply - allowance</t>
        </is>
      </c>
      <c r="F1071" s="12" t="inlineStr">
        <is>
          <t>ONE_TO_ONE</t>
        </is>
      </c>
      <c r="G1071" s="12" t="inlineStr">
        <is>
          <t>APPROVED</t>
        </is>
      </c>
      <c r="H1071" s="12" t="inlineStr">
        <is>
          <t>New</t>
        </is>
      </c>
      <c r="I1071" s="12" t="inlineStr">
        <is>
          <t>Source assignment -- not individually reviewed</t>
        </is>
      </c>
      <c r="J1071" s="12" t="inlineStr"/>
      <c r="K1071" s="12" t="inlineStr">
        <is>
          <t>Source assignment</t>
        </is>
      </c>
      <c r="L1071" s="12" t="inlineStr"/>
      <c r="M1071" s="12" t="inlineStr">
        <is>
          <t>Initial</t>
        </is>
      </c>
      <c r="N1071" s="12" t="inlineStr">
        <is>
          <t>Rev 0</t>
        </is>
      </c>
      <c r="O1071" s="12" t="inlineStr">
        <is>
          <t>R1386-v1</t>
        </is>
      </c>
      <c r="P1071" s="12" t="inlineStr"/>
      <c r="Q1071" s="12" t="inlineStr"/>
      <c r="R1071" s="12" t="inlineStr"/>
      <c r="S1071" s="12" t="inlineStr"/>
      <c r="T1071" s="12" t="inlineStr"/>
      <c r="U1071" s="12" t="inlineStr"/>
      <c r="V1071" s="12" t="inlineStr">
        <is>
          <t>Cost Account = CA-4064; WBS Code = 1.4.2</t>
        </is>
      </c>
      <c r="W1071" s="12" t="inlineStr"/>
    </row>
    <row r="1072" ht="49" customHeight="1">
      <c r="A1072" s="12" t="inlineStr">
        <is>
          <t>1.4.2</t>
        </is>
      </c>
      <c r="B1072" s="12" t="inlineStr">
        <is>
          <t>Vehicles and Depot - Depot Buildings</t>
        </is>
      </c>
      <c r="C1072" s="12" t="inlineStr">
        <is>
          <t>Cost &amp; Forecast Control Accounts</t>
        </is>
      </c>
      <c r="D1072" s="12" t="inlineStr">
        <is>
          <t>CST-04-066</t>
        </is>
      </c>
      <c r="E1072" s="12" t="inlineStr">
        <is>
          <t>Vehicles and Depot - spares - field package</t>
        </is>
      </c>
      <c r="F1072" s="12" t="inlineStr">
        <is>
          <t>ONE_TO_ONE</t>
        </is>
      </c>
      <c r="G1072" s="12" t="inlineStr">
        <is>
          <t>APPROVED</t>
        </is>
      </c>
      <c r="H1072" s="12" t="inlineStr">
        <is>
          <t>New</t>
        </is>
      </c>
      <c r="I1072" s="12" t="inlineStr">
        <is>
          <t>Source assignment -- not individually reviewed</t>
        </is>
      </c>
      <c r="J1072" s="12" t="inlineStr"/>
      <c r="K1072" s="12" t="inlineStr">
        <is>
          <t>Source assignment</t>
        </is>
      </c>
      <c r="L1072" s="12" t="inlineStr"/>
      <c r="M1072" s="12" t="inlineStr">
        <is>
          <t>Initial</t>
        </is>
      </c>
      <c r="N1072" s="12" t="inlineStr">
        <is>
          <t>Rev 0</t>
        </is>
      </c>
      <c r="O1072" s="12" t="inlineStr">
        <is>
          <t>R1388-v1</t>
        </is>
      </c>
      <c r="P1072" s="12" t="inlineStr"/>
      <c r="Q1072" s="12" t="inlineStr"/>
      <c r="R1072" s="12" t="inlineStr"/>
      <c r="S1072" s="12" t="inlineStr"/>
      <c r="T1072" s="12" t="inlineStr"/>
      <c r="U1072" s="12" t="inlineStr"/>
      <c r="V1072" s="12" t="inlineStr">
        <is>
          <t>Cost Account = CA-4066; WBS Code = 1.4.2</t>
        </is>
      </c>
      <c r="W1072" s="12" t="inlineStr"/>
    </row>
    <row r="1073" ht="49" customHeight="1">
      <c r="A1073" s="12" t="inlineStr">
        <is>
          <t>1.4.2</t>
        </is>
      </c>
      <c r="B1073" s="12" t="inlineStr">
        <is>
          <t>Vehicles and Depot - Depot Buildings</t>
        </is>
      </c>
      <c r="C1073" s="12" t="inlineStr">
        <is>
          <t>Cost &amp; Forecast Control Accounts</t>
        </is>
      </c>
      <c r="D1073" s="12" t="inlineStr">
        <is>
          <t>CST-04-068</t>
        </is>
      </c>
      <c r="E1073" s="12" t="inlineStr">
        <is>
          <t>Vehicles and Depot - workshop equipment - professional services</t>
        </is>
      </c>
      <c r="F1073" s="12" t="inlineStr">
        <is>
          <t>ONE_TO_ONE</t>
        </is>
      </c>
      <c r="G1073" s="12" t="inlineStr">
        <is>
          <t>APPROVED</t>
        </is>
      </c>
      <c r="H1073" s="12" t="inlineStr">
        <is>
          <t>New</t>
        </is>
      </c>
      <c r="I1073" s="12" t="inlineStr">
        <is>
          <t>Source assignment -- not individually reviewed</t>
        </is>
      </c>
      <c r="J1073" s="12" t="inlineStr"/>
      <c r="K1073" s="12" t="inlineStr">
        <is>
          <t>Source assignment</t>
        </is>
      </c>
      <c r="L1073" s="12" t="inlineStr"/>
      <c r="M1073" s="12" t="inlineStr">
        <is>
          <t>Initial</t>
        </is>
      </c>
      <c r="N1073" s="12" t="inlineStr">
        <is>
          <t>Rev 0</t>
        </is>
      </c>
      <c r="O1073" s="12" t="inlineStr">
        <is>
          <t>R1390-v1</t>
        </is>
      </c>
      <c r="P1073" s="12" t="inlineStr"/>
      <c r="Q1073" s="12" t="inlineStr"/>
      <c r="R1073" s="12" t="inlineStr"/>
      <c r="S1073" s="12" t="inlineStr"/>
      <c r="T1073" s="12" t="inlineStr"/>
      <c r="U1073" s="12" t="inlineStr"/>
      <c r="V1073" s="12" t="inlineStr">
        <is>
          <t>Cost Account = CA-4068; WBS Code = 1.4.2</t>
        </is>
      </c>
      <c r="W1073" s="12" t="inlineStr"/>
    </row>
    <row r="1074" ht="49" customHeight="1">
      <c r="A1074" s="12" t="inlineStr">
        <is>
          <t>1.4.2</t>
        </is>
      </c>
      <c r="B1074" s="12" t="inlineStr">
        <is>
          <t>Vehicles and Depot - Depot Buildings</t>
        </is>
      </c>
      <c r="C1074" s="12" t="inlineStr">
        <is>
          <t>Cost &amp; Forecast Control Accounts</t>
        </is>
      </c>
      <c r="D1074" s="12" t="inlineStr">
        <is>
          <t>CST-04-070</t>
        </is>
      </c>
      <c r="E1074" s="12" t="inlineStr">
        <is>
          <t>Vehicles and Depot - fleet supply - closeout</t>
        </is>
      </c>
      <c r="F1074" s="12" t="inlineStr">
        <is>
          <t>ONE_TO_ONE</t>
        </is>
      </c>
      <c r="G1074" s="12" t="inlineStr">
        <is>
          <t>APPROVED</t>
        </is>
      </c>
      <c r="H1074" s="12" t="inlineStr">
        <is>
          <t>New</t>
        </is>
      </c>
      <c r="I1074" s="12" t="inlineStr">
        <is>
          <t>Source assignment -- not individually reviewed</t>
        </is>
      </c>
      <c r="J1074" s="12" t="inlineStr"/>
      <c r="K1074" s="12" t="inlineStr">
        <is>
          <t>Source assignment</t>
        </is>
      </c>
      <c r="L1074" s="12" t="inlineStr"/>
      <c r="M1074" s="12" t="inlineStr">
        <is>
          <t>Initial</t>
        </is>
      </c>
      <c r="N1074" s="12" t="inlineStr">
        <is>
          <t>Rev 0</t>
        </is>
      </c>
      <c r="O1074" s="12" t="inlineStr">
        <is>
          <t>R1392-v1</t>
        </is>
      </c>
      <c r="P1074" s="12" t="inlineStr"/>
      <c r="Q1074" s="12" t="inlineStr"/>
      <c r="R1074" s="12" t="inlineStr"/>
      <c r="S1074" s="12" t="inlineStr"/>
      <c r="T1074" s="12" t="inlineStr"/>
      <c r="U1074" s="12" t="inlineStr"/>
      <c r="V1074" s="12" t="inlineStr">
        <is>
          <t>Cost Account = CA-4070; WBS Code = 1.4.2</t>
        </is>
      </c>
      <c r="W1074" s="12" t="inlineStr"/>
    </row>
    <row r="1075" ht="49" customHeight="1">
      <c r="A1075" s="12" t="inlineStr">
        <is>
          <t>1.4.2</t>
        </is>
      </c>
      <c r="B1075" s="12" t="inlineStr">
        <is>
          <t>Vehicles and Depot - Depot Buildings</t>
        </is>
      </c>
      <c r="C1075" s="12" t="inlineStr">
        <is>
          <t>Cost &amp; Forecast Control Accounts</t>
        </is>
      </c>
      <c r="D1075" s="12" t="inlineStr">
        <is>
          <t>CST-04-072</t>
        </is>
      </c>
      <c r="E1075" s="12" t="inlineStr">
        <is>
          <t>Vehicles and Depot - spares - supply and install</t>
        </is>
      </c>
      <c r="F1075" s="12" t="inlineStr">
        <is>
          <t>ONE_TO_ONE</t>
        </is>
      </c>
      <c r="G1075" s="12" t="inlineStr">
        <is>
          <t>APPROVED</t>
        </is>
      </c>
      <c r="H1075" s="12" t="inlineStr">
        <is>
          <t>New</t>
        </is>
      </c>
      <c r="I1075" s="12" t="inlineStr">
        <is>
          <t>Source assignment -- not individually reviewed</t>
        </is>
      </c>
      <c r="J1075" s="12" t="inlineStr"/>
      <c r="K1075" s="12" t="inlineStr">
        <is>
          <t>Source assignment</t>
        </is>
      </c>
      <c r="L1075" s="12" t="inlineStr"/>
      <c r="M1075" s="12" t="inlineStr">
        <is>
          <t>Initial</t>
        </is>
      </c>
      <c r="N1075" s="12" t="inlineStr">
        <is>
          <t>Rev 0</t>
        </is>
      </c>
      <c r="O1075" s="12" t="inlineStr">
        <is>
          <t>R1394-v1</t>
        </is>
      </c>
      <c r="P1075" s="12" t="inlineStr"/>
      <c r="Q1075" s="12" t="inlineStr"/>
      <c r="R1075" s="12" t="inlineStr"/>
      <c r="S1075" s="12" t="inlineStr"/>
      <c r="T1075" s="12" t="inlineStr"/>
      <c r="U1075" s="12" t="inlineStr"/>
      <c r="V1075" s="12" t="inlineStr">
        <is>
          <t>Cost Account = CA-4072; WBS Code = 1.4.2</t>
        </is>
      </c>
      <c r="W1075" s="12" t="inlineStr"/>
    </row>
    <row r="1076" ht="49" customHeight="1">
      <c r="A1076" s="12" t="inlineStr">
        <is>
          <t>1.4.2</t>
        </is>
      </c>
      <c r="B1076" s="12" t="inlineStr">
        <is>
          <t>Vehicles and Depot - Depot Buildings</t>
        </is>
      </c>
      <c r="C1076" s="12" t="inlineStr">
        <is>
          <t>Cost &amp; Forecast Control Accounts</t>
        </is>
      </c>
      <c r="D1076" s="12" t="inlineStr">
        <is>
          <t>CST-04-074</t>
        </is>
      </c>
      <c r="E1076" s="12" t="inlineStr">
        <is>
          <t>Vehicles and Depot - workshop equipment - allowance</t>
        </is>
      </c>
      <c r="F1076" s="12" t="inlineStr">
        <is>
          <t>ONE_TO_ONE</t>
        </is>
      </c>
      <c r="G1076" s="12" t="inlineStr">
        <is>
          <t>APPROVED</t>
        </is>
      </c>
      <c r="H1076" s="12" t="inlineStr">
        <is>
          <t>New</t>
        </is>
      </c>
      <c r="I1076" s="12" t="inlineStr">
        <is>
          <t>Source assignment -- not individually reviewed</t>
        </is>
      </c>
      <c r="J1076" s="12" t="inlineStr"/>
      <c r="K1076" s="12" t="inlineStr">
        <is>
          <t>Source assignment</t>
        </is>
      </c>
      <c r="L1076" s="12" t="inlineStr"/>
      <c r="M1076" s="12" t="inlineStr">
        <is>
          <t>Initial</t>
        </is>
      </c>
      <c r="N1076" s="12" t="inlineStr">
        <is>
          <t>Rev 0</t>
        </is>
      </c>
      <c r="O1076" s="12" t="inlineStr">
        <is>
          <t>R1396-v1</t>
        </is>
      </c>
      <c r="P1076" s="12" t="inlineStr"/>
      <c r="Q1076" s="12" t="inlineStr"/>
      <c r="R1076" s="12" t="inlineStr"/>
      <c r="S1076" s="12" t="inlineStr"/>
      <c r="T1076" s="12" t="inlineStr"/>
      <c r="U1076" s="12" t="inlineStr"/>
      <c r="V1076" s="12" t="inlineStr">
        <is>
          <t>Cost Account = CA-4074; WBS Code = 1.4.2</t>
        </is>
      </c>
      <c r="W1076" s="12" t="inlineStr"/>
    </row>
    <row r="1077" ht="49" customHeight="1">
      <c r="A1077" s="12" t="inlineStr">
        <is>
          <t>1.4.2</t>
        </is>
      </c>
      <c r="B1077" s="12" t="inlineStr">
        <is>
          <t>Vehicles and Depot - Depot Buildings</t>
        </is>
      </c>
      <c r="C1077" s="12" t="inlineStr">
        <is>
          <t>Cost &amp; Forecast Control Accounts</t>
        </is>
      </c>
      <c r="D1077" s="12" t="inlineStr">
        <is>
          <t>CST-04-076</t>
        </is>
      </c>
      <c r="E1077" s="12" t="inlineStr">
        <is>
          <t>Vehicles and Depot - fleet supply - field package</t>
        </is>
      </c>
      <c r="F1077" s="12" t="inlineStr">
        <is>
          <t>ONE_TO_ONE</t>
        </is>
      </c>
      <c r="G1077" s="12" t="inlineStr">
        <is>
          <t>APPROVED</t>
        </is>
      </c>
      <c r="H1077" s="12" t="inlineStr">
        <is>
          <t>New</t>
        </is>
      </c>
      <c r="I1077" s="12" t="inlineStr">
        <is>
          <t>Source assignment -- not individually reviewed</t>
        </is>
      </c>
      <c r="J1077" s="12" t="inlineStr"/>
      <c r="K1077" s="12" t="inlineStr">
        <is>
          <t>Source assignment</t>
        </is>
      </c>
      <c r="L1077" s="12" t="inlineStr"/>
      <c r="M1077" s="12" t="inlineStr">
        <is>
          <t>Initial</t>
        </is>
      </c>
      <c r="N1077" s="12" t="inlineStr">
        <is>
          <t>Rev 0</t>
        </is>
      </c>
      <c r="O1077" s="12" t="inlineStr">
        <is>
          <t>R1398-v1</t>
        </is>
      </c>
      <c r="P1077" s="12" t="inlineStr"/>
      <c r="Q1077" s="12" t="inlineStr"/>
      <c r="R1077" s="12" t="inlineStr"/>
      <c r="S1077" s="12" t="inlineStr"/>
      <c r="T1077" s="12" t="inlineStr"/>
      <c r="U1077" s="12" t="inlineStr"/>
      <c r="V1077" s="12" t="inlineStr">
        <is>
          <t>Cost Account = CA-4076; WBS Code = 1.4.2</t>
        </is>
      </c>
      <c r="W1077" s="12" t="inlineStr"/>
    </row>
    <row r="1078" ht="49" customHeight="1">
      <c r="A1078" s="12" t="inlineStr">
        <is>
          <t>1.4.2</t>
        </is>
      </c>
      <c r="B1078" s="12" t="inlineStr">
        <is>
          <t>Vehicles and Depot - Depot Buildings</t>
        </is>
      </c>
      <c r="C1078" s="12" t="inlineStr">
        <is>
          <t>Cost &amp; Forecast Control Accounts</t>
        </is>
      </c>
      <c r="D1078" s="12" t="inlineStr">
        <is>
          <t>CST-04-078</t>
        </is>
      </c>
      <c r="E1078" s="12" t="inlineStr">
        <is>
          <t>Vehicles and Depot - spares - professional services</t>
        </is>
      </c>
      <c r="F1078" s="12" t="inlineStr">
        <is>
          <t>ONE_TO_ONE</t>
        </is>
      </c>
      <c r="G1078" s="12" t="inlineStr">
        <is>
          <t>APPROVED</t>
        </is>
      </c>
      <c r="H1078" s="12" t="inlineStr">
        <is>
          <t>New</t>
        </is>
      </c>
      <c r="I1078" s="12" t="inlineStr">
        <is>
          <t>Source assignment -- not individually reviewed</t>
        </is>
      </c>
      <c r="J1078" s="12" t="inlineStr"/>
      <c r="K1078" s="12" t="inlineStr">
        <is>
          <t>Source assignment</t>
        </is>
      </c>
      <c r="L1078" s="12" t="inlineStr"/>
      <c r="M1078" s="12" t="inlineStr">
        <is>
          <t>Initial</t>
        </is>
      </c>
      <c r="N1078" s="12" t="inlineStr">
        <is>
          <t>Rev 0</t>
        </is>
      </c>
      <c r="O1078" s="12" t="inlineStr">
        <is>
          <t>R1400-v1</t>
        </is>
      </c>
      <c r="P1078" s="12" t="inlineStr"/>
      <c r="Q1078" s="12" t="inlineStr"/>
      <c r="R1078" s="12" t="inlineStr"/>
      <c r="S1078" s="12" t="inlineStr"/>
      <c r="T1078" s="12" t="inlineStr"/>
      <c r="U1078" s="12" t="inlineStr"/>
      <c r="V1078" s="12" t="inlineStr">
        <is>
          <t>Cost Account = CA-4078; WBS Code = 1.4.2</t>
        </is>
      </c>
      <c r="W1078" s="12" t="inlineStr"/>
    </row>
    <row r="1079" ht="49" customHeight="1">
      <c r="A1079" s="12" t="inlineStr">
        <is>
          <t>1.4.2</t>
        </is>
      </c>
      <c r="B1079" s="12" t="inlineStr">
        <is>
          <t>Vehicles and Depot - Depot Buildings</t>
        </is>
      </c>
      <c r="C1079" s="12" t="inlineStr">
        <is>
          <t>Cost &amp; Forecast Control Accounts</t>
        </is>
      </c>
      <c r="D1079" s="12" t="inlineStr">
        <is>
          <t>CST-04-080</t>
        </is>
      </c>
      <c r="E1079" s="12" t="inlineStr">
        <is>
          <t>Vehicles and Depot - workshop equipment - closeout</t>
        </is>
      </c>
      <c r="F1079" s="12" t="inlineStr">
        <is>
          <t>ONE_TO_ONE</t>
        </is>
      </c>
      <c r="G1079" s="12" t="inlineStr">
        <is>
          <t>APPROVED</t>
        </is>
      </c>
      <c r="H1079" s="12" t="inlineStr">
        <is>
          <t>New</t>
        </is>
      </c>
      <c r="I1079" s="12" t="inlineStr">
        <is>
          <t>Source assignment -- not individually reviewed</t>
        </is>
      </c>
      <c r="J1079" s="12" t="inlineStr"/>
      <c r="K1079" s="12" t="inlineStr">
        <is>
          <t>Source assignment</t>
        </is>
      </c>
      <c r="L1079" s="12" t="inlineStr"/>
      <c r="M1079" s="12" t="inlineStr">
        <is>
          <t>Initial</t>
        </is>
      </c>
      <c r="N1079" s="12" t="inlineStr">
        <is>
          <t>Rev 0</t>
        </is>
      </c>
      <c r="O1079" s="12" t="inlineStr">
        <is>
          <t>R1402-v1</t>
        </is>
      </c>
      <c r="P1079" s="12" t="inlineStr"/>
      <c r="Q1079" s="12" t="inlineStr"/>
      <c r="R1079" s="12" t="inlineStr"/>
      <c r="S1079" s="12" t="inlineStr"/>
      <c r="T1079" s="12" t="inlineStr"/>
      <c r="U1079" s="12" t="inlineStr"/>
      <c r="V1079" s="12" t="inlineStr">
        <is>
          <t>Cost Account = CA-4080; WBS Code = 1.4.2</t>
        </is>
      </c>
      <c r="W1079" s="12" t="inlineStr"/>
    </row>
    <row r="1080" ht="49" customHeight="1">
      <c r="A1080" s="12" t="inlineStr">
        <is>
          <t>1.5</t>
        </is>
      </c>
      <c r="B1080" s="12" t="inlineStr">
        <is>
          <t>Testing and Commissioning</t>
        </is>
      </c>
      <c r="C1080" s="12" t="inlineStr">
        <is>
          <t>Commercial Package Register</t>
        </is>
      </c>
      <c r="D1080" s="12" t="inlineStr">
        <is>
          <t>PKG-041</t>
        </is>
      </c>
      <c r="E1080" s="12" t="inlineStr">
        <is>
          <t>Dynamic Testing</t>
        </is>
      </c>
      <c r="F1080" s="12" t="inlineStr">
        <is>
          <t>ONE_TO_ONE</t>
        </is>
      </c>
      <c r="G1080" s="12" t="inlineStr">
        <is>
          <t>APPROVED</t>
        </is>
      </c>
      <c r="H1080" s="12" t="inlineStr">
        <is>
          <t>New</t>
        </is>
      </c>
      <c r="I1080" s="12" t="inlineStr">
        <is>
          <t>Source assignment -- not individually reviewed</t>
        </is>
      </c>
      <c r="J1080" s="12" t="inlineStr"/>
      <c r="K1080" s="12" t="inlineStr">
        <is>
          <t>Source assignment</t>
        </is>
      </c>
      <c r="L1080" s="12" t="inlineStr"/>
      <c r="M1080" s="12" t="inlineStr">
        <is>
          <t>Initial</t>
        </is>
      </c>
      <c r="N1080" s="12" t="inlineStr">
        <is>
          <t>Rev 0</t>
        </is>
      </c>
      <c r="O1080" s="12" t="inlineStr">
        <is>
          <t>R1603-v1</t>
        </is>
      </c>
      <c r="P1080" s="12" t="inlineStr"/>
      <c r="Q1080" s="12" t="inlineStr"/>
      <c r="R1080" s="12" t="inlineStr"/>
      <c r="S1080" s="12" t="inlineStr"/>
      <c r="T1080" s="12" t="inlineStr"/>
      <c r="U1080" s="12" t="inlineStr"/>
      <c r="V1080" s="12" t="inlineStr">
        <is>
          <t>Package Code = PK-501; WBS Code = 1.5</t>
        </is>
      </c>
      <c r="W1080" s="12" t="inlineStr"/>
    </row>
    <row r="1081" ht="49" customHeight="1">
      <c r="A1081" s="12" t="inlineStr">
        <is>
          <t>1.5</t>
        </is>
      </c>
      <c r="B1081" s="12" t="inlineStr">
        <is>
          <t>Testing and Commissioning</t>
        </is>
      </c>
      <c r="C1081" s="12" t="inlineStr">
        <is>
          <t>Commercial Package Register</t>
        </is>
      </c>
      <c r="D1081" s="12" t="inlineStr">
        <is>
          <t>PKG-042</t>
        </is>
      </c>
      <c r="E1081" s="12" t="inlineStr">
        <is>
          <t>Safety Certification</t>
        </is>
      </c>
      <c r="F1081" s="12" t="inlineStr">
        <is>
          <t>ONE_TO_ONE</t>
        </is>
      </c>
      <c r="G1081" s="12" t="inlineStr">
        <is>
          <t>APPROVED</t>
        </is>
      </c>
      <c r="H1081" s="12" t="inlineStr">
        <is>
          <t>New</t>
        </is>
      </c>
      <c r="I1081" s="12" t="inlineStr">
        <is>
          <t>Source assignment -- not individually reviewed</t>
        </is>
      </c>
      <c r="J1081" s="12" t="inlineStr"/>
      <c r="K1081" s="12" t="inlineStr">
        <is>
          <t>Source assignment</t>
        </is>
      </c>
      <c r="L1081" s="12" t="inlineStr"/>
      <c r="M1081" s="12" t="inlineStr">
        <is>
          <t>Initial</t>
        </is>
      </c>
      <c r="N1081" s="12" t="inlineStr">
        <is>
          <t>Rev 0</t>
        </is>
      </c>
      <c r="O1081" s="12" t="inlineStr">
        <is>
          <t>R1604-v1</t>
        </is>
      </c>
      <c r="P1081" s="12" t="inlineStr"/>
      <c r="Q1081" s="12" t="inlineStr"/>
      <c r="R1081" s="12" t="inlineStr"/>
      <c r="S1081" s="12" t="inlineStr"/>
      <c r="T1081" s="12" t="inlineStr"/>
      <c r="U1081" s="12" t="inlineStr"/>
      <c r="V1081" s="12" t="inlineStr">
        <is>
          <t>Package Code = PK-502; WBS Code = 1.5</t>
        </is>
      </c>
      <c r="W1081" s="12" t="inlineStr"/>
    </row>
    <row r="1082" ht="49" customHeight="1">
      <c r="A1082" s="12" t="inlineStr">
        <is>
          <t>1.5</t>
        </is>
      </c>
      <c r="B1082" s="12" t="inlineStr">
        <is>
          <t>Testing and Commissioning</t>
        </is>
      </c>
      <c r="C1082" s="12" t="inlineStr">
        <is>
          <t>Commercial Package Register</t>
        </is>
      </c>
      <c r="D1082" s="12" t="inlineStr">
        <is>
          <t>PKG-043</t>
        </is>
      </c>
      <c r="E1082" s="12" t="inlineStr">
        <is>
          <t>Trial Running</t>
        </is>
      </c>
      <c r="F1082" s="12" t="inlineStr">
        <is>
          <t>ONE_TO_ONE</t>
        </is>
      </c>
      <c r="G1082" s="12" t="inlineStr">
        <is>
          <t>APPROVED</t>
        </is>
      </c>
      <c r="H1082" s="12" t="inlineStr">
        <is>
          <t>New</t>
        </is>
      </c>
      <c r="I1082" s="12" t="inlineStr">
        <is>
          <t>Source assignment -- not individually reviewed</t>
        </is>
      </c>
      <c r="J1082" s="12" t="inlineStr"/>
      <c r="K1082" s="12" t="inlineStr">
        <is>
          <t>Source assignment</t>
        </is>
      </c>
      <c r="L1082" s="12" t="inlineStr"/>
      <c r="M1082" s="12" t="inlineStr">
        <is>
          <t>Initial</t>
        </is>
      </c>
      <c r="N1082" s="12" t="inlineStr">
        <is>
          <t>Rev 0</t>
        </is>
      </c>
      <c r="O1082" s="12" t="inlineStr">
        <is>
          <t>R1605-v1</t>
        </is>
      </c>
      <c r="P1082" s="12" t="inlineStr"/>
      <c r="Q1082" s="12" t="inlineStr"/>
      <c r="R1082" s="12" t="inlineStr"/>
      <c r="S1082" s="12" t="inlineStr"/>
      <c r="T1082" s="12" t="inlineStr"/>
      <c r="U1082" s="12" t="inlineStr"/>
      <c r="V1082" s="12" t="inlineStr">
        <is>
          <t>Package Code = PK-503; WBS Code = 1.5</t>
        </is>
      </c>
      <c r="W1082" s="12" t="inlineStr"/>
    </row>
    <row r="1083" ht="49" customHeight="1">
      <c r="A1083" s="12" t="inlineStr">
        <is>
          <t>1.5</t>
        </is>
      </c>
      <c r="B1083" s="12" t="inlineStr">
        <is>
          <t>Testing and Commissioning</t>
        </is>
      </c>
      <c r="C1083" s="12" t="inlineStr">
        <is>
          <t>Commercial Package Register</t>
        </is>
      </c>
      <c r="D1083" s="12" t="inlineStr">
        <is>
          <t>PKG-044</t>
        </is>
      </c>
      <c r="E1083" s="12" t="inlineStr">
        <is>
          <t>Readiness Support</t>
        </is>
      </c>
      <c r="F1083" s="12" t="inlineStr">
        <is>
          <t>ONE_TO_ONE</t>
        </is>
      </c>
      <c r="G1083" s="12" t="inlineStr">
        <is>
          <t>APPROVED</t>
        </is>
      </c>
      <c r="H1083" s="12" t="inlineStr">
        <is>
          <t>New</t>
        </is>
      </c>
      <c r="I1083" s="12" t="inlineStr">
        <is>
          <t>Source assignment -- not individually reviewed</t>
        </is>
      </c>
      <c r="J1083" s="12" t="inlineStr"/>
      <c r="K1083" s="12" t="inlineStr">
        <is>
          <t>Source assignment</t>
        </is>
      </c>
      <c r="L1083" s="12" t="inlineStr"/>
      <c r="M1083" s="12" t="inlineStr">
        <is>
          <t>Initial</t>
        </is>
      </c>
      <c r="N1083" s="12" t="inlineStr">
        <is>
          <t>Rev 0</t>
        </is>
      </c>
      <c r="O1083" s="12" t="inlineStr">
        <is>
          <t>R1606-v1</t>
        </is>
      </c>
      <c r="P1083" s="12" t="inlineStr"/>
      <c r="Q1083" s="12" t="inlineStr"/>
      <c r="R1083" s="12" t="inlineStr"/>
      <c r="S1083" s="12" t="inlineStr"/>
      <c r="T1083" s="12" t="inlineStr"/>
      <c r="U1083" s="12" t="inlineStr"/>
      <c r="V1083" s="12" t="inlineStr">
        <is>
          <t>Package Code = PK-504; WBS Code = 1.5</t>
        </is>
      </c>
      <c r="W1083" s="12" t="inlineStr"/>
    </row>
    <row r="1084" ht="49" customHeight="1">
      <c r="A1084" s="12" t="inlineStr">
        <is>
          <t>1.5</t>
        </is>
      </c>
      <c r="B1084" s="12" t="inlineStr">
        <is>
          <t>Testing and Commissioning</t>
        </is>
      </c>
      <c r="C1084" s="12" t="inlineStr">
        <is>
          <t>Commercial Package Register</t>
        </is>
      </c>
      <c r="D1084" s="12" t="inlineStr">
        <is>
          <t>PKG-045</t>
        </is>
      </c>
      <c r="E1084" s="12" t="inlineStr">
        <is>
          <t>Dynamic Testing - Lot 2</t>
        </is>
      </c>
      <c r="F1084" s="12" t="inlineStr">
        <is>
          <t>ONE_TO_ONE</t>
        </is>
      </c>
      <c r="G1084" s="12" t="inlineStr">
        <is>
          <t>APPROVED</t>
        </is>
      </c>
      <c r="H1084" s="12" t="inlineStr">
        <is>
          <t>New</t>
        </is>
      </c>
      <c r="I1084" s="12" t="inlineStr">
        <is>
          <t>Source assignment -- not individually reviewed</t>
        </is>
      </c>
      <c r="J1084" s="12" t="inlineStr"/>
      <c r="K1084" s="12" t="inlineStr">
        <is>
          <t>Source assignment</t>
        </is>
      </c>
      <c r="L1084" s="12" t="inlineStr"/>
      <c r="M1084" s="12" t="inlineStr">
        <is>
          <t>Initial</t>
        </is>
      </c>
      <c r="N1084" s="12" t="inlineStr">
        <is>
          <t>Rev 0</t>
        </is>
      </c>
      <c r="O1084" s="12" t="inlineStr">
        <is>
          <t>R1607-v1</t>
        </is>
      </c>
      <c r="P1084" s="12" t="inlineStr"/>
      <c r="Q1084" s="12" t="inlineStr"/>
      <c r="R1084" s="12" t="inlineStr"/>
      <c r="S1084" s="12" t="inlineStr"/>
      <c r="T1084" s="12" t="inlineStr"/>
      <c r="U1084" s="12" t="inlineStr"/>
      <c r="V1084" s="12" t="inlineStr">
        <is>
          <t>Package Code = PK-505; WBS Code = 1.5</t>
        </is>
      </c>
      <c r="W1084" s="12" t="inlineStr"/>
    </row>
    <row r="1085" ht="49" customHeight="1">
      <c r="A1085" s="12" t="inlineStr">
        <is>
          <t>1.5</t>
        </is>
      </c>
      <c r="B1085" s="12" t="inlineStr">
        <is>
          <t>Testing and Commissioning</t>
        </is>
      </c>
      <c r="C1085" s="12" t="inlineStr">
        <is>
          <t>Commercial Package Register</t>
        </is>
      </c>
      <c r="D1085" s="12" t="inlineStr">
        <is>
          <t>PKG-046</t>
        </is>
      </c>
      <c r="E1085" s="12" t="inlineStr">
        <is>
          <t>Safety Certification - Lot 2</t>
        </is>
      </c>
      <c r="F1085" s="12" t="inlineStr">
        <is>
          <t>ONE_TO_ONE</t>
        </is>
      </c>
      <c r="G1085" s="12" t="inlineStr">
        <is>
          <t>APPROVED</t>
        </is>
      </c>
      <c r="H1085" s="12" t="inlineStr">
        <is>
          <t>New</t>
        </is>
      </c>
      <c r="I1085" s="12" t="inlineStr">
        <is>
          <t>Source assignment -- not individually reviewed</t>
        </is>
      </c>
      <c r="J1085" s="12" t="inlineStr"/>
      <c r="K1085" s="12" t="inlineStr">
        <is>
          <t>Source assignment</t>
        </is>
      </c>
      <c r="L1085" s="12" t="inlineStr"/>
      <c r="M1085" s="12" t="inlineStr">
        <is>
          <t>Initial</t>
        </is>
      </c>
      <c r="N1085" s="12" t="inlineStr">
        <is>
          <t>Rev 0</t>
        </is>
      </c>
      <c r="O1085" s="12" t="inlineStr">
        <is>
          <t>R1608-v1</t>
        </is>
      </c>
      <c r="P1085" s="12" t="inlineStr"/>
      <c r="Q1085" s="12" t="inlineStr"/>
      <c r="R1085" s="12" t="inlineStr"/>
      <c r="S1085" s="12" t="inlineStr"/>
      <c r="T1085" s="12" t="inlineStr"/>
      <c r="U1085" s="12" t="inlineStr"/>
      <c r="V1085" s="12" t="inlineStr">
        <is>
          <t>Package Code = PK-506; WBS Code = 1.5</t>
        </is>
      </c>
      <c r="W1085" s="12" t="inlineStr"/>
    </row>
    <row r="1086" ht="49" customHeight="1">
      <c r="A1086" s="12" t="inlineStr">
        <is>
          <t>1.5</t>
        </is>
      </c>
      <c r="B1086" s="12" t="inlineStr">
        <is>
          <t>Testing and Commissioning</t>
        </is>
      </c>
      <c r="C1086" s="12" t="inlineStr">
        <is>
          <t>Commercial Package Register</t>
        </is>
      </c>
      <c r="D1086" s="12" t="inlineStr">
        <is>
          <t>PKG-047</t>
        </is>
      </c>
      <c r="E1086" s="12" t="inlineStr">
        <is>
          <t>Trial Running - Lot 2</t>
        </is>
      </c>
      <c r="F1086" s="12" t="inlineStr">
        <is>
          <t>ONE_TO_ONE</t>
        </is>
      </c>
      <c r="G1086" s="12" t="inlineStr">
        <is>
          <t>APPROVED</t>
        </is>
      </c>
      <c r="H1086" s="12" t="inlineStr">
        <is>
          <t>New</t>
        </is>
      </c>
      <c r="I1086" s="12" t="inlineStr">
        <is>
          <t>Source assignment -- not individually reviewed</t>
        </is>
      </c>
      <c r="J1086" s="12" t="inlineStr"/>
      <c r="K1086" s="12" t="inlineStr">
        <is>
          <t>Source assignment</t>
        </is>
      </c>
      <c r="L1086" s="12" t="inlineStr"/>
      <c r="M1086" s="12" t="inlineStr">
        <is>
          <t>Initial</t>
        </is>
      </c>
      <c r="N1086" s="12" t="inlineStr">
        <is>
          <t>Rev 0</t>
        </is>
      </c>
      <c r="O1086" s="12" t="inlineStr">
        <is>
          <t>R1609-v1</t>
        </is>
      </c>
      <c r="P1086" s="12" t="inlineStr"/>
      <c r="Q1086" s="12" t="inlineStr"/>
      <c r="R1086" s="12" t="inlineStr"/>
      <c r="S1086" s="12" t="inlineStr"/>
      <c r="T1086" s="12" t="inlineStr"/>
      <c r="U1086" s="12" t="inlineStr"/>
      <c r="V1086" s="12" t="inlineStr">
        <is>
          <t>Package Code = PK-507; WBS Code = 1.5</t>
        </is>
      </c>
      <c r="W1086" s="12" t="inlineStr"/>
    </row>
    <row r="1087" ht="49" customHeight="1">
      <c r="A1087" s="12" t="inlineStr">
        <is>
          <t>1.5</t>
        </is>
      </c>
      <c r="B1087" s="12" t="inlineStr">
        <is>
          <t>Testing and Commissioning</t>
        </is>
      </c>
      <c r="C1087" s="12" t="inlineStr">
        <is>
          <t>Commercial Package Register</t>
        </is>
      </c>
      <c r="D1087" s="12" t="inlineStr">
        <is>
          <t>PKG-048</t>
        </is>
      </c>
      <c r="E1087" s="12" t="inlineStr">
        <is>
          <t>Readiness Support - Lot 2</t>
        </is>
      </c>
      <c r="F1087" s="12" t="inlineStr">
        <is>
          <t>ONE_TO_ONE</t>
        </is>
      </c>
      <c r="G1087" s="12" t="inlineStr">
        <is>
          <t>APPROVED</t>
        </is>
      </c>
      <c r="H1087" s="12" t="inlineStr">
        <is>
          <t>New</t>
        </is>
      </c>
      <c r="I1087" s="12" t="inlineStr">
        <is>
          <t>Source assignment -- not individually reviewed</t>
        </is>
      </c>
      <c r="J1087" s="12" t="inlineStr"/>
      <c r="K1087" s="12" t="inlineStr">
        <is>
          <t>Source assignment</t>
        </is>
      </c>
      <c r="L1087" s="12" t="inlineStr"/>
      <c r="M1087" s="12" t="inlineStr">
        <is>
          <t>Initial</t>
        </is>
      </c>
      <c r="N1087" s="12" t="inlineStr">
        <is>
          <t>Rev 0</t>
        </is>
      </c>
      <c r="O1087" s="12" t="inlineStr">
        <is>
          <t>R1610-v1</t>
        </is>
      </c>
      <c r="P1087" s="12" t="inlineStr"/>
      <c r="Q1087" s="12" t="inlineStr"/>
      <c r="R1087" s="12" t="inlineStr"/>
      <c r="S1087" s="12" t="inlineStr"/>
      <c r="T1087" s="12" t="inlineStr"/>
      <c r="U1087" s="12" t="inlineStr"/>
      <c r="V1087" s="12" t="inlineStr">
        <is>
          <t>Package Code = PK-508; WBS Code = 1.5</t>
        </is>
      </c>
      <c r="W1087" s="12" t="inlineStr"/>
    </row>
    <row r="1088" ht="49" customHeight="1">
      <c r="A1088" s="12" t="inlineStr">
        <is>
          <t>1.5</t>
        </is>
      </c>
      <c r="B1088" s="12" t="inlineStr">
        <is>
          <t>Testing and Commissioning</t>
        </is>
      </c>
      <c r="C1088" s="12" t="inlineStr">
        <is>
          <t>Commercial Package Register</t>
        </is>
      </c>
      <c r="D1088" s="12" t="inlineStr">
        <is>
          <t>PKG-049</t>
        </is>
      </c>
      <c r="E1088" s="12" t="inlineStr">
        <is>
          <t>Dynamic Testing - Lot 3</t>
        </is>
      </c>
      <c r="F1088" s="12" t="inlineStr">
        <is>
          <t>ONE_TO_ONE</t>
        </is>
      </c>
      <c r="G1088" s="12" t="inlineStr">
        <is>
          <t>APPROVED</t>
        </is>
      </c>
      <c r="H1088" s="12" t="inlineStr">
        <is>
          <t>New</t>
        </is>
      </c>
      <c r="I1088" s="12" t="inlineStr">
        <is>
          <t>Source assignment -- not individually reviewed</t>
        </is>
      </c>
      <c r="J1088" s="12" t="inlineStr"/>
      <c r="K1088" s="12" t="inlineStr">
        <is>
          <t>Source assignment</t>
        </is>
      </c>
      <c r="L1088" s="12" t="inlineStr"/>
      <c r="M1088" s="12" t="inlineStr">
        <is>
          <t>Initial</t>
        </is>
      </c>
      <c r="N1088" s="12" t="inlineStr">
        <is>
          <t>Rev 0</t>
        </is>
      </c>
      <c r="O1088" s="12" t="inlineStr">
        <is>
          <t>R1611-v1</t>
        </is>
      </c>
      <c r="P1088" s="12" t="inlineStr"/>
      <c r="Q1088" s="12" t="inlineStr"/>
      <c r="R1088" s="12" t="inlineStr"/>
      <c r="S1088" s="12" t="inlineStr"/>
      <c r="T1088" s="12" t="inlineStr"/>
      <c r="U1088" s="12" t="inlineStr"/>
      <c r="V1088" s="12" t="inlineStr">
        <is>
          <t>Package Code = PK-509; WBS Code = 1.5</t>
        </is>
      </c>
      <c r="W1088" s="12" t="inlineStr"/>
    </row>
    <row r="1089" ht="49" customHeight="1">
      <c r="A1089" s="12" t="inlineStr">
        <is>
          <t>1.5</t>
        </is>
      </c>
      <c r="B1089" s="12" t="inlineStr">
        <is>
          <t>Testing and Commissioning</t>
        </is>
      </c>
      <c r="C1089" s="12" t="inlineStr">
        <is>
          <t>Commercial Package Register</t>
        </is>
      </c>
      <c r="D1089" s="12" t="inlineStr">
        <is>
          <t>PKG-050</t>
        </is>
      </c>
      <c r="E1089" s="12" t="inlineStr">
        <is>
          <t>Safety Certification - Lot 3</t>
        </is>
      </c>
      <c r="F1089" s="12" t="inlineStr">
        <is>
          <t>ONE_TO_ONE</t>
        </is>
      </c>
      <c r="G1089" s="12" t="inlineStr">
        <is>
          <t>APPROVED</t>
        </is>
      </c>
      <c r="H1089" s="12" t="inlineStr">
        <is>
          <t>New</t>
        </is>
      </c>
      <c r="I1089" s="12" t="inlineStr">
        <is>
          <t>Source assignment -- not individually reviewed</t>
        </is>
      </c>
      <c r="J1089" s="12" t="inlineStr"/>
      <c r="K1089" s="12" t="inlineStr">
        <is>
          <t>Source assignment</t>
        </is>
      </c>
      <c r="L1089" s="12" t="inlineStr"/>
      <c r="M1089" s="12" t="inlineStr">
        <is>
          <t>Initial</t>
        </is>
      </c>
      <c r="N1089" s="12" t="inlineStr">
        <is>
          <t>Rev 0</t>
        </is>
      </c>
      <c r="O1089" s="12" t="inlineStr">
        <is>
          <t>R1612-v1</t>
        </is>
      </c>
      <c r="P1089" s="12" t="inlineStr"/>
      <c r="Q1089" s="12" t="inlineStr"/>
      <c r="R1089" s="12" t="inlineStr"/>
      <c r="S1089" s="12" t="inlineStr"/>
      <c r="T1089" s="12" t="inlineStr"/>
      <c r="U1089" s="12" t="inlineStr"/>
      <c r="V1089" s="12" t="inlineStr">
        <is>
          <t>Package Code = PK-510; WBS Code = 1.5</t>
        </is>
      </c>
      <c r="W1089" s="12" t="inlineStr"/>
    </row>
    <row r="1090" ht="49" customHeight="1">
      <c r="A1090" s="12" t="inlineStr">
        <is>
          <t>1.5.1</t>
        </is>
      </c>
      <c r="B1090" s="12" t="inlineStr">
        <is>
          <t>Testing and Commissioning - Test Readiness</t>
        </is>
      </c>
      <c r="C1090" s="12" t="inlineStr">
        <is>
          <t>Contractor Programme</t>
        </is>
      </c>
      <c r="D1090" s="12" t="inlineStr">
        <is>
          <t>SCH-05-001</t>
        </is>
      </c>
      <c r="E1090" s="12" t="inlineStr">
        <is>
          <t>Central section: test procedure readiness review - field start</t>
        </is>
      </c>
      <c r="F1090" s="12" t="inlineStr">
        <is>
          <t>ONE_TO_ONE</t>
        </is>
      </c>
      <c r="G1090" s="12" t="inlineStr">
        <is>
          <t>APPROVED</t>
        </is>
      </c>
      <c r="H1090" s="12" t="inlineStr">
        <is>
          <t>New</t>
        </is>
      </c>
      <c r="I1090" s="12" t="inlineStr">
        <is>
          <t>Source assignment -- not individually reviewed</t>
        </is>
      </c>
      <c r="J1090" s="12" t="inlineStr"/>
      <c r="K1090" s="12" t="inlineStr">
        <is>
          <t>Source assignment</t>
        </is>
      </c>
      <c r="L1090" s="12" t="inlineStr"/>
      <c r="M1090" s="12" t="inlineStr">
        <is>
          <t>Initial</t>
        </is>
      </c>
      <c r="N1090" s="12" t="inlineStr">
        <is>
          <t>Rev 0</t>
        </is>
      </c>
      <c r="O1090" s="12" t="inlineStr">
        <is>
          <t>R721-v1</t>
        </is>
      </c>
      <c r="P1090" s="12" t="inlineStr"/>
      <c r="Q1090" s="12" t="inlineStr"/>
      <c r="R1090" s="12" t="inlineStr"/>
      <c r="S1090" s="12" t="inlineStr"/>
      <c r="T1090" s="12" t="inlineStr"/>
      <c r="U1090" s="12" t="inlineStr"/>
      <c r="V1090" s="12" t="inlineStr">
        <is>
          <t>WBS Code = 1.5.1</t>
        </is>
      </c>
      <c r="W1090" s="12" t="inlineStr"/>
    </row>
    <row r="1091" ht="49" customHeight="1">
      <c r="A1091" s="12" t="inlineStr">
        <is>
          <t>1.5.1</t>
        </is>
      </c>
      <c r="B1091" s="12" t="inlineStr">
        <is>
          <t>Testing and Commissioning - Test Readiness</t>
        </is>
      </c>
      <c r="C1091" s="12" t="inlineStr">
        <is>
          <t>Contractor Programme</t>
        </is>
      </c>
      <c r="D1091" s="12" t="inlineStr">
        <is>
          <t>SCH-05-002</t>
        </is>
      </c>
      <c r="E1091" s="12" t="inlineStr">
        <is>
          <t>West terminal: emergency-response drill - installation</t>
        </is>
      </c>
      <c r="F1091" s="12" t="inlineStr">
        <is>
          <t>ONE_TO_ONE</t>
        </is>
      </c>
      <c r="G1091" s="12" t="inlineStr">
        <is>
          <t>APPROVED</t>
        </is>
      </c>
      <c r="H1091" s="12" t="inlineStr">
        <is>
          <t>New</t>
        </is>
      </c>
      <c r="I1091" s="12" t="inlineStr">
        <is>
          <t>Source assignment -- not individually reviewed</t>
        </is>
      </c>
      <c r="J1091" s="12" t="inlineStr"/>
      <c r="K1091" s="12" t="inlineStr">
        <is>
          <t>Source assignment</t>
        </is>
      </c>
      <c r="L1091" s="12" t="inlineStr"/>
      <c r="M1091" s="12" t="inlineStr">
        <is>
          <t>Initial</t>
        </is>
      </c>
      <c r="N1091" s="12" t="inlineStr">
        <is>
          <t>Rev 0</t>
        </is>
      </c>
      <c r="O1091" s="12" t="inlineStr">
        <is>
          <t>R722-v1</t>
        </is>
      </c>
      <c r="P1091" s="12" t="inlineStr"/>
      <c r="Q1091" s="12" t="inlineStr"/>
      <c r="R1091" s="12" t="inlineStr"/>
      <c r="S1091" s="12" t="inlineStr"/>
      <c r="T1091" s="12" t="inlineStr"/>
      <c r="U1091" s="12" t="inlineStr"/>
      <c r="V1091" s="12" t="inlineStr">
        <is>
          <t>WBS Code = 1.5.1</t>
        </is>
      </c>
      <c r="W1091" s="12" t="inlineStr"/>
    </row>
    <row r="1092" ht="49" customHeight="1">
      <c r="A1092" s="12" t="inlineStr">
        <is>
          <t>1.5.1</t>
        </is>
      </c>
      <c r="B1092" s="12" t="inlineStr">
        <is>
          <t>Testing and Commissioning - Test Readiness</t>
        </is>
      </c>
      <c r="C1092" s="12" t="inlineStr">
        <is>
          <t>Contractor Programme</t>
        </is>
      </c>
      <c r="D1092" s="12" t="inlineStr">
        <is>
          <t>SCH-05-004</t>
        </is>
      </c>
      <c r="E1092" s="12" t="inlineStr">
        <is>
          <t>Control Centre: mainline dynamic test - turnover</t>
        </is>
      </c>
      <c r="F1092" s="12" t="inlineStr">
        <is>
          <t>ONE_TO_ONE</t>
        </is>
      </c>
      <c r="G1092" s="12" t="inlineStr">
        <is>
          <t>APPROVED</t>
        </is>
      </c>
      <c r="H1092" s="12" t="inlineStr">
        <is>
          <t>New</t>
        </is>
      </c>
      <c r="I1092" s="12" t="inlineStr">
        <is>
          <t>Source assignment -- not individually reviewed</t>
        </is>
      </c>
      <c r="J1092" s="12" t="inlineStr"/>
      <c r="K1092" s="12" t="inlineStr">
        <is>
          <t>Source assignment</t>
        </is>
      </c>
      <c r="L1092" s="12" t="inlineStr"/>
      <c r="M1092" s="12" t="inlineStr">
        <is>
          <t>Initial</t>
        </is>
      </c>
      <c r="N1092" s="12" t="inlineStr">
        <is>
          <t>Rev 0</t>
        </is>
      </c>
      <c r="O1092" s="12" t="inlineStr">
        <is>
          <t>R724-v1</t>
        </is>
      </c>
      <c r="P1092" s="12" t="inlineStr"/>
      <c r="Q1092" s="12" t="inlineStr"/>
      <c r="R1092" s="12" t="inlineStr"/>
      <c r="S1092" s="12" t="inlineStr"/>
      <c r="T1092" s="12" t="inlineStr"/>
      <c r="U1092" s="12" t="inlineStr"/>
      <c r="V1092" s="12" t="inlineStr">
        <is>
          <t>WBS Code = 1.5.1</t>
        </is>
      </c>
      <c r="W1092" s="12" t="inlineStr"/>
    </row>
    <row r="1093" ht="49" customHeight="1">
      <c r="A1093" s="12" t="inlineStr">
        <is>
          <t>1.5.1</t>
        </is>
      </c>
      <c r="B1093" s="12" t="inlineStr">
        <is>
          <t>Testing and Commissioning - Test Readiness</t>
        </is>
      </c>
      <c r="C1093" s="12" t="inlineStr">
        <is>
          <t>Contractor Programme</t>
        </is>
      </c>
      <c r="D1093" s="12" t="inlineStr">
        <is>
          <t>SCH-05-005</t>
        </is>
      </c>
      <c r="E1093" s="12" t="inlineStr">
        <is>
          <t>Mainline east: safety certificate evidence closeout - release</t>
        </is>
      </c>
      <c r="F1093" s="12" t="inlineStr">
        <is>
          <t>ONE_TO_ONE</t>
        </is>
      </c>
      <c r="G1093" s="12" t="inlineStr">
        <is>
          <t>APPROVED</t>
        </is>
      </c>
      <c r="H1093" s="12" t="inlineStr">
        <is>
          <t>New</t>
        </is>
      </c>
      <c r="I1093" s="12" t="inlineStr">
        <is>
          <t>Source assignment -- not individually reviewed</t>
        </is>
      </c>
      <c r="J1093" s="12" t="inlineStr"/>
      <c r="K1093" s="12" t="inlineStr">
        <is>
          <t>Source assignment</t>
        </is>
      </c>
      <c r="L1093" s="12" t="inlineStr"/>
      <c r="M1093" s="12" t="inlineStr">
        <is>
          <t>Initial</t>
        </is>
      </c>
      <c r="N1093" s="12" t="inlineStr">
        <is>
          <t>Rev 0</t>
        </is>
      </c>
      <c r="O1093" s="12" t="inlineStr">
        <is>
          <t>R725-v1</t>
        </is>
      </c>
      <c r="P1093" s="12" t="inlineStr"/>
      <c r="Q1093" s="12" t="inlineStr"/>
      <c r="R1093" s="12" t="inlineStr"/>
      <c r="S1093" s="12" t="inlineStr"/>
      <c r="T1093" s="12" t="inlineStr"/>
      <c r="U1093" s="12" t="inlineStr"/>
      <c r="V1093" s="12" t="inlineStr">
        <is>
          <t>WBS Code = 1.5.1</t>
        </is>
      </c>
      <c r="W1093" s="12" t="inlineStr"/>
    </row>
    <row r="1094" ht="49" customHeight="1">
      <c r="A1094" s="12" t="inlineStr">
        <is>
          <t>1.5.1</t>
        </is>
      </c>
      <c r="B1094" s="12" t="inlineStr">
        <is>
          <t>Testing and Commissioning - Test Readiness</t>
        </is>
      </c>
      <c r="C1094" s="12" t="inlineStr">
        <is>
          <t>Contractor Programme</t>
        </is>
      </c>
      <c r="D1094" s="12" t="inlineStr">
        <is>
          <t>SCH-05-007</t>
        </is>
      </c>
      <c r="E1094" s="12" t="inlineStr">
        <is>
          <t>West terminal: station integrated test - installation</t>
        </is>
      </c>
      <c r="F1094" s="12" t="inlineStr">
        <is>
          <t>ONE_TO_ONE</t>
        </is>
      </c>
      <c r="G1094" s="12" t="inlineStr">
        <is>
          <t>APPROVED</t>
        </is>
      </c>
      <c r="H1094" s="12" t="inlineStr">
        <is>
          <t>New</t>
        </is>
      </c>
      <c r="I1094" s="12" t="inlineStr">
        <is>
          <t>Source assignment -- not individually reviewed</t>
        </is>
      </c>
      <c r="J1094" s="12" t="inlineStr"/>
      <c r="K1094" s="12" t="inlineStr">
        <is>
          <t>Source assignment</t>
        </is>
      </c>
      <c r="L1094" s="12" t="inlineStr"/>
      <c r="M1094" s="12" t="inlineStr">
        <is>
          <t>Initial</t>
        </is>
      </c>
      <c r="N1094" s="12" t="inlineStr">
        <is>
          <t>Rev 0</t>
        </is>
      </c>
      <c r="O1094" s="12" t="inlineStr">
        <is>
          <t>R727-v1</t>
        </is>
      </c>
      <c r="P1094" s="12" t="inlineStr"/>
      <c r="Q1094" s="12" t="inlineStr"/>
      <c r="R1094" s="12" t="inlineStr"/>
      <c r="S1094" s="12" t="inlineStr"/>
      <c r="T1094" s="12" t="inlineStr"/>
      <c r="U1094" s="12" t="inlineStr"/>
      <c r="V1094" s="12" t="inlineStr">
        <is>
          <t>WBS Code = 1.5.1</t>
        </is>
      </c>
      <c r="W1094" s="12" t="inlineStr"/>
    </row>
    <row r="1095" ht="49" customHeight="1">
      <c r="A1095" s="12" t="inlineStr">
        <is>
          <t>1.5.1</t>
        </is>
      </c>
      <c r="B1095" s="12" t="inlineStr">
        <is>
          <t>Testing and Commissioning - Test Readiness</t>
        </is>
      </c>
      <c r="C1095" s="12" t="inlineStr">
        <is>
          <t>Contractor Programme</t>
        </is>
      </c>
      <c r="D1095" s="12" t="inlineStr">
        <is>
          <t>SCH-05-008</t>
        </is>
      </c>
      <c r="E1095" s="12" t="inlineStr">
        <is>
          <t>Depot: trial-running shift - inspection</t>
        </is>
      </c>
      <c r="F1095" s="12" t="inlineStr">
        <is>
          <t>ONE_TO_ONE</t>
        </is>
      </c>
      <c r="G1095" s="12" t="inlineStr">
        <is>
          <t>APPROVED</t>
        </is>
      </c>
      <c r="H1095" s="12" t="inlineStr">
        <is>
          <t>New</t>
        </is>
      </c>
      <c r="I1095" s="12" t="inlineStr">
        <is>
          <t>Source assignment -- not individually reviewed</t>
        </is>
      </c>
      <c r="J1095" s="12" t="inlineStr"/>
      <c r="K1095" s="12" t="inlineStr">
        <is>
          <t>Source assignment</t>
        </is>
      </c>
      <c r="L1095" s="12" t="inlineStr"/>
      <c r="M1095" s="12" t="inlineStr">
        <is>
          <t>Initial</t>
        </is>
      </c>
      <c r="N1095" s="12" t="inlineStr">
        <is>
          <t>Rev 0</t>
        </is>
      </c>
      <c r="O1095" s="12" t="inlineStr">
        <is>
          <t>R728-v1</t>
        </is>
      </c>
      <c r="P1095" s="12" t="inlineStr"/>
      <c r="Q1095" s="12" t="inlineStr"/>
      <c r="R1095" s="12" t="inlineStr"/>
      <c r="S1095" s="12" t="inlineStr"/>
      <c r="T1095" s="12" t="inlineStr"/>
      <c r="U1095" s="12" t="inlineStr"/>
      <c r="V1095" s="12" t="inlineStr">
        <is>
          <t>WBS Code = 1.5.1</t>
        </is>
      </c>
      <c r="W1095" s="12" t="inlineStr"/>
    </row>
    <row r="1096" ht="49" customHeight="1">
      <c r="A1096" s="12" t="inlineStr">
        <is>
          <t>1.5.1</t>
        </is>
      </c>
      <c r="B1096" s="12" t="inlineStr">
        <is>
          <t>Testing and Commissioning - Test Readiness</t>
        </is>
      </c>
      <c r="C1096" s="12" t="inlineStr">
        <is>
          <t>Contractor Programme</t>
        </is>
      </c>
      <c r="D1096" s="12" t="inlineStr">
        <is>
          <t>SCH-05-010</t>
        </is>
      </c>
      <c r="E1096" s="12" t="inlineStr">
        <is>
          <t>Mainline east: emergency-response drill - release</t>
        </is>
      </c>
      <c r="F1096" s="12" t="inlineStr">
        <is>
          <t>ONE_TO_ONE</t>
        </is>
      </c>
      <c r="G1096" s="12" t="inlineStr">
        <is>
          <t>APPROVED</t>
        </is>
      </c>
      <c r="H1096" s="12" t="inlineStr">
        <is>
          <t>New</t>
        </is>
      </c>
      <c r="I1096" s="12" t="inlineStr">
        <is>
          <t>Source assignment -- not individually reviewed</t>
        </is>
      </c>
      <c r="J1096" s="12" t="inlineStr"/>
      <c r="K1096" s="12" t="inlineStr">
        <is>
          <t>Source assignment</t>
        </is>
      </c>
      <c r="L1096" s="12" t="inlineStr"/>
      <c r="M1096" s="12" t="inlineStr">
        <is>
          <t>Initial</t>
        </is>
      </c>
      <c r="N1096" s="12" t="inlineStr">
        <is>
          <t>Rev 0</t>
        </is>
      </c>
      <c r="O1096" s="12" t="inlineStr">
        <is>
          <t>R730-v1</t>
        </is>
      </c>
      <c r="P1096" s="12" t="inlineStr"/>
      <c r="Q1096" s="12" t="inlineStr"/>
      <c r="R1096" s="12" t="inlineStr"/>
      <c r="S1096" s="12" t="inlineStr"/>
      <c r="T1096" s="12" t="inlineStr"/>
      <c r="U1096" s="12" t="inlineStr"/>
      <c r="V1096" s="12" t="inlineStr">
        <is>
          <t>WBS Code = 1.5.1</t>
        </is>
      </c>
      <c r="W1096" s="12" t="inlineStr"/>
    </row>
    <row r="1097" ht="49" customHeight="1">
      <c r="A1097" s="12" t="inlineStr">
        <is>
          <t>1.5.1</t>
        </is>
      </c>
      <c r="B1097" s="12" t="inlineStr">
        <is>
          <t>Testing and Commissioning - Test Readiness</t>
        </is>
      </c>
      <c r="C1097" s="12" t="inlineStr">
        <is>
          <t>Contractor Programme</t>
        </is>
      </c>
      <c r="D1097" s="12" t="inlineStr">
        <is>
          <t>SCH-05-011</t>
        </is>
      </c>
      <c r="E1097" s="12" t="inlineStr">
        <is>
          <t>Central section: defect retest - field start</t>
        </is>
      </c>
      <c r="F1097" s="12" t="inlineStr">
        <is>
          <t>ONE_TO_ONE</t>
        </is>
      </c>
      <c r="G1097" s="12" t="inlineStr">
        <is>
          <t>APPROVED</t>
        </is>
      </c>
      <c r="H1097" s="12" t="inlineStr">
        <is>
          <t>New</t>
        </is>
      </c>
      <c r="I1097" s="12" t="inlineStr">
        <is>
          <t>Source assignment -- not individually reviewed</t>
        </is>
      </c>
      <c r="J1097" s="12" t="inlineStr"/>
      <c r="K1097" s="12" t="inlineStr">
        <is>
          <t>Source assignment</t>
        </is>
      </c>
      <c r="L1097" s="12" t="inlineStr"/>
      <c r="M1097" s="12" t="inlineStr">
        <is>
          <t>Initial</t>
        </is>
      </c>
      <c r="N1097" s="12" t="inlineStr">
        <is>
          <t>Rev 0</t>
        </is>
      </c>
      <c r="O1097" s="12" t="inlineStr">
        <is>
          <t>R731-v1</t>
        </is>
      </c>
      <c r="P1097" s="12" t="inlineStr"/>
      <c r="Q1097" s="12" t="inlineStr"/>
      <c r="R1097" s="12" t="inlineStr"/>
      <c r="S1097" s="12" t="inlineStr"/>
      <c r="T1097" s="12" t="inlineStr"/>
      <c r="U1097" s="12" t="inlineStr"/>
      <c r="V1097" s="12" t="inlineStr">
        <is>
          <t>WBS Code = 1.5.1</t>
        </is>
      </c>
      <c r="W1097" s="12" t="inlineStr"/>
    </row>
    <row r="1098" ht="49" customHeight="1">
      <c r="A1098" s="12" t="inlineStr">
        <is>
          <t>1.5.1</t>
        </is>
      </c>
      <c r="B1098" s="12" t="inlineStr">
        <is>
          <t>Testing and Commissioning - Test Readiness</t>
        </is>
      </c>
      <c r="C1098" s="12" t="inlineStr">
        <is>
          <t>Contractor Programme</t>
        </is>
      </c>
      <c r="D1098" s="12" t="inlineStr">
        <is>
          <t>SCH-05-013</t>
        </is>
      </c>
      <c r="E1098" s="12" t="inlineStr">
        <is>
          <t>Depot: safety certificate evidence closeout - inspection</t>
        </is>
      </c>
      <c r="F1098" s="12" t="inlineStr">
        <is>
          <t>ONE_TO_ONE</t>
        </is>
      </c>
      <c r="G1098" s="12" t="inlineStr">
        <is>
          <t>APPROVED</t>
        </is>
      </c>
      <c r="H1098" s="12" t="inlineStr">
        <is>
          <t>New</t>
        </is>
      </c>
      <c r="I1098" s="12" t="inlineStr">
        <is>
          <t>Source assignment -- not individually reviewed</t>
        </is>
      </c>
      <c r="J1098" s="12" t="inlineStr"/>
      <c r="K1098" s="12" t="inlineStr">
        <is>
          <t>Source assignment</t>
        </is>
      </c>
      <c r="L1098" s="12" t="inlineStr"/>
      <c r="M1098" s="12" t="inlineStr">
        <is>
          <t>Initial</t>
        </is>
      </c>
      <c r="N1098" s="12" t="inlineStr">
        <is>
          <t>Rev 0</t>
        </is>
      </c>
      <c r="O1098" s="12" t="inlineStr">
        <is>
          <t>R733-v1</t>
        </is>
      </c>
      <c r="P1098" s="12" t="inlineStr"/>
      <c r="Q1098" s="12" t="inlineStr"/>
      <c r="R1098" s="12" t="inlineStr"/>
      <c r="S1098" s="12" t="inlineStr"/>
      <c r="T1098" s="12" t="inlineStr"/>
      <c r="U1098" s="12" t="inlineStr"/>
      <c r="V1098" s="12" t="inlineStr">
        <is>
          <t>WBS Code = 1.5.1</t>
        </is>
      </c>
      <c r="W1098" s="12" t="inlineStr"/>
    </row>
    <row r="1099" ht="49" customHeight="1">
      <c r="A1099" s="12" t="inlineStr">
        <is>
          <t>1.5.1</t>
        </is>
      </c>
      <c r="B1099" s="12" t="inlineStr">
        <is>
          <t>Testing and Commissioning - Test Readiness</t>
        </is>
      </c>
      <c r="C1099" s="12" t="inlineStr">
        <is>
          <t>Contractor Programme</t>
        </is>
      </c>
      <c r="D1099" s="12" t="inlineStr">
        <is>
          <t>SCH-05-014</t>
        </is>
      </c>
      <c r="E1099" s="12" t="inlineStr">
        <is>
          <t>Control Centre: service-readiness review - turnover</t>
        </is>
      </c>
      <c r="F1099" s="12" t="inlineStr">
        <is>
          <t>ONE_TO_ONE</t>
        </is>
      </c>
      <c r="G1099" s="12" t="inlineStr">
        <is>
          <t>APPROVED</t>
        </is>
      </c>
      <c r="H1099" s="12" t="inlineStr">
        <is>
          <t>New</t>
        </is>
      </c>
      <c r="I1099" s="12" t="inlineStr">
        <is>
          <t>Source assignment -- not individually reviewed</t>
        </is>
      </c>
      <c r="J1099" s="12" t="inlineStr"/>
      <c r="K1099" s="12" t="inlineStr">
        <is>
          <t>Source assignment</t>
        </is>
      </c>
      <c r="L1099" s="12" t="inlineStr"/>
      <c r="M1099" s="12" t="inlineStr">
        <is>
          <t>Initial</t>
        </is>
      </c>
      <c r="N1099" s="12" t="inlineStr">
        <is>
          <t>Rev 0</t>
        </is>
      </c>
      <c r="O1099" s="12" t="inlineStr">
        <is>
          <t>R734-v1</t>
        </is>
      </c>
      <c r="P1099" s="12" t="inlineStr"/>
      <c r="Q1099" s="12" t="inlineStr"/>
      <c r="R1099" s="12" t="inlineStr"/>
      <c r="S1099" s="12" t="inlineStr"/>
      <c r="T1099" s="12" t="inlineStr"/>
      <c r="U1099" s="12" t="inlineStr"/>
      <c r="V1099" s="12" t="inlineStr">
        <is>
          <t>WBS Code = 1.5.1</t>
        </is>
      </c>
      <c r="W1099" s="12" t="inlineStr"/>
    </row>
    <row r="1100" ht="49" customHeight="1">
      <c r="A1100" s="12" t="inlineStr">
        <is>
          <t>1.5.1</t>
        </is>
      </c>
      <c r="B1100" s="12" t="inlineStr">
        <is>
          <t>Testing and Commissioning - Test Readiness</t>
        </is>
      </c>
      <c r="C1100" s="12" t="inlineStr">
        <is>
          <t>Contractor Programme</t>
        </is>
      </c>
      <c r="D1100" s="12" t="inlineStr">
        <is>
          <t>SCH-05-016</t>
        </is>
      </c>
      <c r="E1100" s="12" t="inlineStr">
        <is>
          <t>Central section: trial-running shift - field start</t>
        </is>
      </c>
      <c r="F1100" s="12" t="inlineStr">
        <is>
          <t>ONE_TO_ONE</t>
        </is>
      </c>
      <c r="G1100" s="12" t="inlineStr">
        <is>
          <t>APPROVED</t>
        </is>
      </c>
      <c r="H1100" s="12" t="inlineStr">
        <is>
          <t>New</t>
        </is>
      </c>
      <c r="I1100" s="12" t="inlineStr">
        <is>
          <t>Source assignment -- not individually reviewed</t>
        </is>
      </c>
      <c r="J1100" s="12" t="inlineStr"/>
      <c r="K1100" s="12" t="inlineStr">
        <is>
          <t>Source assignment</t>
        </is>
      </c>
      <c r="L1100" s="12" t="inlineStr"/>
      <c r="M1100" s="12" t="inlineStr">
        <is>
          <t>Initial</t>
        </is>
      </c>
      <c r="N1100" s="12" t="inlineStr">
        <is>
          <t>Rev 0</t>
        </is>
      </c>
      <c r="O1100" s="12" t="inlineStr">
        <is>
          <t>R736-v1</t>
        </is>
      </c>
      <c r="P1100" s="12" t="inlineStr"/>
      <c r="Q1100" s="12" t="inlineStr"/>
      <c r="R1100" s="12" t="inlineStr"/>
      <c r="S1100" s="12" t="inlineStr"/>
      <c r="T1100" s="12" t="inlineStr"/>
      <c r="U1100" s="12" t="inlineStr"/>
      <c r="V1100" s="12" t="inlineStr">
        <is>
          <t>WBS Code = 1.5.1</t>
        </is>
      </c>
      <c r="W1100" s="12" t="inlineStr"/>
    </row>
    <row r="1101" ht="49" customHeight="1">
      <c r="A1101" s="12" t="inlineStr">
        <is>
          <t>1.5.1</t>
        </is>
      </c>
      <c r="B1101" s="12" t="inlineStr">
        <is>
          <t>Testing and Commissioning - Test Readiness</t>
        </is>
      </c>
      <c r="C1101" s="12" t="inlineStr">
        <is>
          <t>Contractor Programme</t>
        </is>
      </c>
      <c r="D1101" s="12" t="inlineStr">
        <is>
          <t>SCH-05-017</t>
        </is>
      </c>
      <c r="E1101" s="12" t="inlineStr">
        <is>
          <t>West terminal: test procedure readiness review - installation</t>
        </is>
      </c>
      <c r="F1101" s="12" t="inlineStr">
        <is>
          <t>ONE_TO_ONE</t>
        </is>
      </c>
      <c r="G1101" s="12" t="inlineStr">
        <is>
          <t>APPROVED</t>
        </is>
      </c>
      <c r="H1101" s="12" t="inlineStr">
        <is>
          <t>New</t>
        </is>
      </c>
      <c r="I1101" s="12" t="inlineStr">
        <is>
          <t>Source assignment -- not individually reviewed</t>
        </is>
      </c>
      <c r="J1101" s="12" t="inlineStr"/>
      <c r="K1101" s="12" t="inlineStr">
        <is>
          <t>Source assignment</t>
        </is>
      </c>
      <c r="L1101" s="12" t="inlineStr"/>
      <c r="M1101" s="12" t="inlineStr">
        <is>
          <t>Initial</t>
        </is>
      </c>
      <c r="N1101" s="12" t="inlineStr">
        <is>
          <t>Rev 0</t>
        </is>
      </c>
      <c r="O1101" s="12" t="inlineStr">
        <is>
          <t>R737-v1</t>
        </is>
      </c>
      <c r="P1101" s="12" t="inlineStr"/>
      <c r="Q1101" s="12" t="inlineStr"/>
      <c r="R1101" s="12" t="inlineStr"/>
      <c r="S1101" s="12" t="inlineStr"/>
      <c r="T1101" s="12" t="inlineStr"/>
      <c r="U1101" s="12" t="inlineStr"/>
      <c r="V1101" s="12" t="inlineStr">
        <is>
          <t>WBS Code = 1.5.1</t>
        </is>
      </c>
      <c r="W1101" s="12" t="inlineStr"/>
    </row>
    <row r="1102" ht="49" customHeight="1">
      <c r="A1102" s="12" t="inlineStr">
        <is>
          <t>1.5.1</t>
        </is>
      </c>
      <c r="B1102" s="12" t="inlineStr">
        <is>
          <t>Testing and Commissioning - Test Readiness</t>
        </is>
      </c>
      <c r="C1102" s="12" t="inlineStr">
        <is>
          <t>Contractor Programme</t>
        </is>
      </c>
      <c r="D1102" s="12" t="inlineStr">
        <is>
          <t>SCH-05-019</t>
        </is>
      </c>
      <c r="E1102" s="12" t="inlineStr">
        <is>
          <t>Control Centre: defect retest - turnover</t>
        </is>
      </c>
      <c r="F1102" s="12" t="inlineStr">
        <is>
          <t>ONE_TO_ONE</t>
        </is>
      </c>
      <c r="G1102" s="12" t="inlineStr">
        <is>
          <t>APPROVED</t>
        </is>
      </c>
      <c r="H1102" s="12" t="inlineStr">
        <is>
          <t>New</t>
        </is>
      </c>
      <c r="I1102" s="12" t="inlineStr">
        <is>
          <t>Source assignment -- not individually reviewed</t>
        </is>
      </c>
      <c r="J1102" s="12" t="inlineStr"/>
      <c r="K1102" s="12" t="inlineStr">
        <is>
          <t>Source assignment</t>
        </is>
      </c>
      <c r="L1102" s="12" t="inlineStr"/>
      <c r="M1102" s="12" t="inlineStr">
        <is>
          <t>Initial</t>
        </is>
      </c>
      <c r="N1102" s="12" t="inlineStr">
        <is>
          <t>Rev 0</t>
        </is>
      </c>
      <c r="O1102" s="12" t="inlineStr">
        <is>
          <t>R739-v1</t>
        </is>
      </c>
      <c r="P1102" s="12" t="inlineStr"/>
      <c r="Q1102" s="12" t="inlineStr"/>
      <c r="R1102" s="12" t="inlineStr"/>
      <c r="S1102" s="12" t="inlineStr"/>
      <c r="T1102" s="12" t="inlineStr"/>
      <c r="U1102" s="12" t="inlineStr"/>
      <c r="V1102" s="12" t="inlineStr">
        <is>
          <t>WBS Code = 1.5.1</t>
        </is>
      </c>
      <c r="W1102" s="12" t="inlineStr"/>
    </row>
    <row r="1103" ht="49" customHeight="1">
      <c r="A1103" s="12" t="inlineStr">
        <is>
          <t>1.5.1</t>
        </is>
      </c>
      <c r="B1103" s="12" t="inlineStr">
        <is>
          <t>Testing and Commissioning - Test Readiness</t>
        </is>
      </c>
      <c r="C1103" s="12" t="inlineStr">
        <is>
          <t>Contractor Programme</t>
        </is>
      </c>
      <c r="D1103" s="12" t="inlineStr">
        <is>
          <t>SCH-05-020</t>
        </is>
      </c>
      <c r="E1103" s="12" t="inlineStr">
        <is>
          <t>Mainline east: mainline dynamic test - release</t>
        </is>
      </c>
      <c r="F1103" s="12" t="inlineStr">
        <is>
          <t>ONE_TO_ONE</t>
        </is>
      </c>
      <c r="G1103" s="12" t="inlineStr">
        <is>
          <t>APPROVED</t>
        </is>
      </c>
      <c r="H1103" s="12" t="inlineStr">
        <is>
          <t>New</t>
        </is>
      </c>
      <c r="I1103" s="12" t="inlineStr">
        <is>
          <t>Source assignment -- not individually reviewed</t>
        </is>
      </c>
      <c r="J1103" s="12" t="inlineStr"/>
      <c r="K1103" s="12" t="inlineStr">
        <is>
          <t>Source assignment</t>
        </is>
      </c>
      <c r="L1103" s="12" t="inlineStr"/>
      <c r="M1103" s="12" t="inlineStr">
        <is>
          <t>Initial</t>
        </is>
      </c>
      <c r="N1103" s="12" t="inlineStr">
        <is>
          <t>Rev 0</t>
        </is>
      </c>
      <c r="O1103" s="12" t="inlineStr">
        <is>
          <t>R740-v1</t>
        </is>
      </c>
      <c r="P1103" s="12" t="inlineStr"/>
      <c r="Q1103" s="12" t="inlineStr"/>
      <c r="R1103" s="12" t="inlineStr"/>
      <c r="S1103" s="12" t="inlineStr"/>
      <c r="T1103" s="12" t="inlineStr"/>
      <c r="U1103" s="12" t="inlineStr"/>
      <c r="V1103" s="12" t="inlineStr">
        <is>
          <t>WBS Code = 1.5.1</t>
        </is>
      </c>
      <c r="W1103" s="12" t="inlineStr"/>
    </row>
    <row r="1104" ht="49" customHeight="1">
      <c r="A1104" s="12" t="inlineStr">
        <is>
          <t>1.5.1</t>
        </is>
      </c>
      <c r="B1104" s="12" t="inlineStr">
        <is>
          <t>Testing and Commissioning - Test Readiness</t>
        </is>
      </c>
      <c r="C1104" s="12" t="inlineStr">
        <is>
          <t>Contractor Programme</t>
        </is>
      </c>
      <c r="D1104" s="12" t="inlineStr">
        <is>
          <t>SCH-05-022</t>
        </is>
      </c>
      <c r="E1104" s="12" t="inlineStr">
        <is>
          <t>West terminal: service-readiness review - installation</t>
        </is>
      </c>
      <c r="F1104" s="12" t="inlineStr">
        <is>
          <t>ONE_TO_ONE</t>
        </is>
      </c>
      <c r="G1104" s="12" t="inlineStr">
        <is>
          <t>APPROVED</t>
        </is>
      </c>
      <c r="H1104" s="12" t="inlineStr">
        <is>
          <t>New</t>
        </is>
      </c>
      <c r="I1104" s="12" t="inlineStr">
        <is>
          <t>Source assignment -- not individually reviewed</t>
        </is>
      </c>
      <c r="J1104" s="12" t="inlineStr"/>
      <c r="K1104" s="12" t="inlineStr">
        <is>
          <t>Source assignment</t>
        </is>
      </c>
      <c r="L1104" s="12" t="inlineStr"/>
      <c r="M1104" s="12" t="inlineStr">
        <is>
          <t>Initial</t>
        </is>
      </c>
      <c r="N1104" s="12" t="inlineStr">
        <is>
          <t>Rev 0</t>
        </is>
      </c>
      <c r="O1104" s="12" t="inlineStr">
        <is>
          <t>R742-v1</t>
        </is>
      </c>
      <c r="P1104" s="12" t="inlineStr"/>
      <c r="Q1104" s="12" t="inlineStr"/>
      <c r="R1104" s="12" t="inlineStr"/>
      <c r="S1104" s="12" t="inlineStr"/>
      <c r="T1104" s="12" t="inlineStr"/>
      <c r="U1104" s="12" t="inlineStr"/>
      <c r="V1104" s="12" t="inlineStr">
        <is>
          <t>WBS Code = 1.5.1</t>
        </is>
      </c>
      <c r="W1104" s="12" t="inlineStr"/>
    </row>
    <row r="1105" ht="49" customHeight="1">
      <c r="A1105" s="12" t="inlineStr">
        <is>
          <t>1.5.1</t>
        </is>
      </c>
      <c r="B1105" s="12" t="inlineStr">
        <is>
          <t>Testing and Commissioning - Test Readiness</t>
        </is>
      </c>
      <c r="C1105" s="12" t="inlineStr">
        <is>
          <t>Contractor Programme</t>
        </is>
      </c>
      <c r="D1105" s="12" t="inlineStr">
        <is>
          <t>SCH-05-023</t>
        </is>
      </c>
      <c r="E1105" s="12" t="inlineStr">
        <is>
          <t>Depot: station integrated test - inspection</t>
        </is>
      </c>
      <c r="F1105" s="12" t="inlineStr">
        <is>
          <t>ONE_TO_ONE</t>
        </is>
      </c>
      <c r="G1105" s="12" t="inlineStr">
        <is>
          <t>APPROVED</t>
        </is>
      </c>
      <c r="H1105" s="12" t="inlineStr">
        <is>
          <t>New</t>
        </is>
      </c>
      <c r="I1105" s="12" t="inlineStr">
        <is>
          <t>Source assignment -- not individually reviewed</t>
        </is>
      </c>
      <c r="J1105" s="12" t="inlineStr"/>
      <c r="K1105" s="12" t="inlineStr">
        <is>
          <t>Source assignment</t>
        </is>
      </c>
      <c r="L1105" s="12" t="inlineStr"/>
      <c r="M1105" s="12" t="inlineStr">
        <is>
          <t>Initial</t>
        </is>
      </c>
      <c r="N1105" s="12" t="inlineStr">
        <is>
          <t>Rev 0</t>
        </is>
      </c>
      <c r="O1105" s="12" t="inlineStr">
        <is>
          <t>R743-v1</t>
        </is>
      </c>
      <c r="P1105" s="12" t="inlineStr"/>
      <c r="Q1105" s="12" t="inlineStr"/>
      <c r="R1105" s="12" t="inlineStr"/>
      <c r="S1105" s="12" t="inlineStr"/>
      <c r="T1105" s="12" t="inlineStr"/>
      <c r="U1105" s="12" t="inlineStr"/>
      <c r="V1105" s="12" t="inlineStr">
        <is>
          <t>WBS Code = 1.5.1</t>
        </is>
      </c>
      <c r="W1105" s="12" t="inlineStr"/>
    </row>
    <row r="1106" ht="49" customHeight="1">
      <c r="A1106" s="12" t="inlineStr">
        <is>
          <t>1.5.1</t>
        </is>
      </c>
      <c r="B1106" s="12" t="inlineStr">
        <is>
          <t>Testing and Commissioning - Test Readiness</t>
        </is>
      </c>
      <c r="C1106" s="12" t="inlineStr">
        <is>
          <t>Contractor Programme</t>
        </is>
      </c>
      <c r="D1106" s="12" t="inlineStr">
        <is>
          <t>SCH-05-025</t>
        </is>
      </c>
      <c r="E1106" s="12" t="inlineStr">
        <is>
          <t>Mainline east: test procedure readiness review - release</t>
        </is>
      </c>
      <c r="F1106" s="12" t="inlineStr">
        <is>
          <t>ONE_TO_ONE</t>
        </is>
      </c>
      <c r="G1106" s="12" t="inlineStr">
        <is>
          <t>APPROVED</t>
        </is>
      </c>
      <c r="H1106" s="12" t="inlineStr">
        <is>
          <t>New</t>
        </is>
      </c>
      <c r="I1106" s="12" t="inlineStr">
        <is>
          <t>Source assignment -- not individually reviewed</t>
        </is>
      </c>
      <c r="J1106" s="12" t="inlineStr"/>
      <c r="K1106" s="12" t="inlineStr">
        <is>
          <t>Source assignment</t>
        </is>
      </c>
      <c r="L1106" s="12" t="inlineStr"/>
      <c r="M1106" s="12" t="inlineStr">
        <is>
          <t>Initial</t>
        </is>
      </c>
      <c r="N1106" s="12" t="inlineStr">
        <is>
          <t>Rev 0</t>
        </is>
      </c>
      <c r="O1106" s="12" t="inlineStr">
        <is>
          <t>R745-v1</t>
        </is>
      </c>
      <c r="P1106" s="12" t="inlineStr"/>
      <c r="Q1106" s="12" t="inlineStr"/>
      <c r="R1106" s="12" t="inlineStr"/>
      <c r="S1106" s="12" t="inlineStr"/>
      <c r="T1106" s="12" t="inlineStr"/>
      <c r="U1106" s="12" t="inlineStr"/>
      <c r="V1106" s="12" t="inlineStr">
        <is>
          <t>WBS Code = 1.5.1</t>
        </is>
      </c>
      <c r="W1106" s="12" t="inlineStr"/>
    </row>
    <row r="1107" ht="49" customHeight="1">
      <c r="A1107" s="12" t="inlineStr">
        <is>
          <t>1.5.1</t>
        </is>
      </c>
      <c r="B1107" s="12" t="inlineStr">
        <is>
          <t>Testing and Commissioning - Test Readiness</t>
        </is>
      </c>
      <c r="C1107" s="12" t="inlineStr">
        <is>
          <t>Contractor Programme</t>
        </is>
      </c>
      <c r="D1107" s="12" t="inlineStr">
        <is>
          <t>SCH-05-026</t>
        </is>
      </c>
      <c r="E1107" s="12" t="inlineStr">
        <is>
          <t>Central section: emergency-response drill - field start</t>
        </is>
      </c>
      <c r="F1107" s="12" t="inlineStr">
        <is>
          <t>ONE_TO_ONE</t>
        </is>
      </c>
      <c r="G1107" s="12" t="inlineStr">
        <is>
          <t>APPROVED</t>
        </is>
      </c>
      <c r="H1107" s="12" t="inlineStr">
        <is>
          <t>New</t>
        </is>
      </c>
      <c r="I1107" s="12" t="inlineStr">
        <is>
          <t>Source assignment -- not individually reviewed</t>
        </is>
      </c>
      <c r="J1107" s="12" t="inlineStr"/>
      <c r="K1107" s="12" t="inlineStr">
        <is>
          <t>Source assignment</t>
        </is>
      </c>
      <c r="L1107" s="12" t="inlineStr"/>
      <c r="M1107" s="12" t="inlineStr">
        <is>
          <t>Initial</t>
        </is>
      </c>
      <c r="N1107" s="12" t="inlineStr">
        <is>
          <t>Rev 0</t>
        </is>
      </c>
      <c r="O1107" s="12" t="inlineStr">
        <is>
          <t>R746-v1</t>
        </is>
      </c>
      <c r="P1107" s="12" t="inlineStr"/>
      <c r="Q1107" s="12" t="inlineStr"/>
      <c r="R1107" s="12" t="inlineStr"/>
      <c r="S1107" s="12" t="inlineStr"/>
      <c r="T1107" s="12" t="inlineStr"/>
      <c r="U1107" s="12" t="inlineStr"/>
      <c r="V1107" s="12" t="inlineStr">
        <is>
          <t>WBS Code = 1.5.1</t>
        </is>
      </c>
      <c r="W1107" s="12" t="inlineStr"/>
    </row>
    <row r="1108" ht="49" customHeight="1">
      <c r="A1108" s="12" t="inlineStr">
        <is>
          <t>1.5.1</t>
        </is>
      </c>
      <c r="B1108" s="12" t="inlineStr">
        <is>
          <t>Testing and Commissioning - Test Readiness</t>
        </is>
      </c>
      <c r="C1108" s="12" t="inlineStr">
        <is>
          <t>Contractor Programme</t>
        </is>
      </c>
      <c r="D1108" s="12" t="inlineStr">
        <is>
          <t>SCH-05-028</t>
        </is>
      </c>
      <c r="E1108" s="12" t="inlineStr">
        <is>
          <t>Depot: mainline dynamic test - inspection</t>
        </is>
      </c>
      <c r="F1108" s="12" t="inlineStr">
        <is>
          <t>ONE_TO_ONE</t>
        </is>
      </c>
      <c r="G1108" s="12" t="inlineStr">
        <is>
          <t>APPROVED</t>
        </is>
      </c>
      <c r="H1108" s="12" t="inlineStr">
        <is>
          <t>New</t>
        </is>
      </c>
      <c r="I1108" s="12" t="inlineStr">
        <is>
          <t>Source assignment -- not individually reviewed</t>
        </is>
      </c>
      <c r="J1108" s="12" t="inlineStr"/>
      <c r="K1108" s="12" t="inlineStr">
        <is>
          <t>Source assignment</t>
        </is>
      </c>
      <c r="L1108" s="12" t="inlineStr"/>
      <c r="M1108" s="12" t="inlineStr">
        <is>
          <t>Initial</t>
        </is>
      </c>
      <c r="N1108" s="12" t="inlineStr">
        <is>
          <t>Rev 0</t>
        </is>
      </c>
      <c r="O1108" s="12" t="inlineStr">
        <is>
          <t>R748-v1</t>
        </is>
      </c>
      <c r="P1108" s="12" t="inlineStr"/>
      <c r="Q1108" s="12" t="inlineStr"/>
      <c r="R1108" s="12" t="inlineStr"/>
      <c r="S1108" s="12" t="inlineStr"/>
      <c r="T1108" s="12" t="inlineStr"/>
      <c r="U1108" s="12" t="inlineStr"/>
      <c r="V1108" s="12" t="inlineStr">
        <is>
          <t>WBS Code = 1.5.1</t>
        </is>
      </c>
      <c r="W1108" s="12" t="inlineStr"/>
    </row>
    <row r="1109" ht="49" customHeight="1">
      <c r="A1109" s="12" t="inlineStr">
        <is>
          <t>1.5.1</t>
        </is>
      </c>
      <c r="B1109" s="12" t="inlineStr">
        <is>
          <t>Testing and Commissioning - Test Readiness</t>
        </is>
      </c>
      <c r="C1109" s="12" t="inlineStr">
        <is>
          <t>Contractor Programme</t>
        </is>
      </c>
      <c r="D1109" s="12" t="inlineStr">
        <is>
          <t>SCH-05-029</t>
        </is>
      </c>
      <c r="E1109" s="12" t="inlineStr">
        <is>
          <t>Control Centre: safety certificate evidence closeout - turnover</t>
        </is>
      </c>
      <c r="F1109" s="12" t="inlineStr">
        <is>
          <t>ONE_TO_ONE</t>
        </is>
      </c>
      <c r="G1109" s="12" t="inlineStr">
        <is>
          <t>APPROVED</t>
        </is>
      </c>
      <c r="H1109" s="12" t="inlineStr">
        <is>
          <t>New</t>
        </is>
      </c>
      <c r="I1109" s="12" t="inlineStr">
        <is>
          <t>Source assignment -- not individually reviewed</t>
        </is>
      </c>
      <c r="J1109" s="12" t="inlineStr"/>
      <c r="K1109" s="12" t="inlineStr">
        <is>
          <t>Source assignment</t>
        </is>
      </c>
      <c r="L1109" s="12" t="inlineStr"/>
      <c r="M1109" s="12" t="inlineStr">
        <is>
          <t>Initial</t>
        </is>
      </c>
      <c r="N1109" s="12" t="inlineStr">
        <is>
          <t>Rev 0</t>
        </is>
      </c>
      <c r="O1109" s="12" t="inlineStr">
        <is>
          <t>R749-v1</t>
        </is>
      </c>
      <c r="P1109" s="12" t="inlineStr"/>
      <c r="Q1109" s="12" t="inlineStr"/>
      <c r="R1109" s="12" t="inlineStr"/>
      <c r="S1109" s="12" t="inlineStr"/>
      <c r="T1109" s="12" t="inlineStr"/>
      <c r="U1109" s="12" t="inlineStr"/>
      <c r="V1109" s="12" t="inlineStr">
        <is>
          <t>WBS Code = 1.5.1</t>
        </is>
      </c>
      <c r="W1109" s="12" t="inlineStr"/>
    </row>
    <row r="1110" ht="49" customHeight="1">
      <c r="A1110" s="12" t="inlineStr">
        <is>
          <t>1.5.1</t>
        </is>
      </c>
      <c r="B1110" s="12" t="inlineStr">
        <is>
          <t>Testing and Commissioning - Test Readiness</t>
        </is>
      </c>
      <c r="C1110" s="12" t="inlineStr">
        <is>
          <t>Contractor Programme</t>
        </is>
      </c>
      <c r="D1110" s="12" t="inlineStr">
        <is>
          <t>SCH-05-031</t>
        </is>
      </c>
      <c r="E1110" s="12" t="inlineStr">
        <is>
          <t>Central section: station integrated test - field start</t>
        </is>
      </c>
      <c r="F1110" s="12" t="inlineStr">
        <is>
          <t>ONE_TO_ONE</t>
        </is>
      </c>
      <c r="G1110" s="12" t="inlineStr">
        <is>
          <t>APPROVED</t>
        </is>
      </c>
      <c r="H1110" s="12" t="inlineStr">
        <is>
          <t>New</t>
        </is>
      </c>
      <c r="I1110" s="12" t="inlineStr">
        <is>
          <t>Source assignment -- not individually reviewed</t>
        </is>
      </c>
      <c r="J1110" s="12" t="inlineStr"/>
      <c r="K1110" s="12" t="inlineStr">
        <is>
          <t>Source assignment</t>
        </is>
      </c>
      <c r="L1110" s="12" t="inlineStr"/>
      <c r="M1110" s="12" t="inlineStr">
        <is>
          <t>Initial</t>
        </is>
      </c>
      <c r="N1110" s="12" t="inlineStr">
        <is>
          <t>Rev 0</t>
        </is>
      </c>
      <c r="O1110" s="12" t="inlineStr">
        <is>
          <t>R751-v1</t>
        </is>
      </c>
      <c r="P1110" s="12" t="inlineStr"/>
      <c r="Q1110" s="12" t="inlineStr"/>
      <c r="R1110" s="12" t="inlineStr"/>
      <c r="S1110" s="12" t="inlineStr"/>
      <c r="T1110" s="12" t="inlineStr"/>
      <c r="U1110" s="12" t="inlineStr"/>
      <c r="V1110" s="12" t="inlineStr">
        <is>
          <t>WBS Code = 1.5.1</t>
        </is>
      </c>
      <c r="W1110" s="12" t="inlineStr"/>
    </row>
    <row r="1111" ht="49" customHeight="1">
      <c r="A1111" s="12" t="inlineStr">
        <is>
          <t>1.5.1</t>
        </is>
      </c>
      <c r="B1111" s="12" t="inlineStr">
        <is>
          <t>Testing and Commissioning - Test Readiness</t>
        </is>
      </c>
      <c r="C1111" s="12" t="inlineStr">
        <is>
          <t>Contractor Programme</t>
        </is>
      </c>
      <c r="D1111" s="12" t="inlineStr">
        <is>
          <t>SCH-05-032</t>
        </is>
      </c>
      <c r="E1111" s="12" t="inlineStr">
        <is>
          <t>West terminal: trial-running shift - installation</t>
        </is>
      </c>
      <c r="F1111" s="12" t="inlineStr">
        <is>
          <t>ONE_TO_ONE</t>
        </is>
      </c>
      <c r="G1111" s="12" t="inlineStr">
        <is>
          <t>APPROVED</t>
        </is>
      </c>
      <c r="H1111" s="12" t="inlineStr">
        <is>
          <t>New</t>
        </is>
      </c>
      <c r="I1111" s="12" t="inlineStr">
        <is>
          <t>Source assignment -- not individually reviewed</t>
        </is>
      </c>
      <c r="J1111" s="12" t="inlineStr"/>
      <c r="K1111" s="12" t="inlineStr">
        <is>
          <t>Source assignment</t>
        </is>
      </c>
      <c r="L1111" s="12" t="inlineStr"/>
      <c r="M1111" s="12" t="inlineStr">
        <is>
          <t>Initial</t>
        </is>
      </c>
      <c r="N1111" s="12" t="inlineStr">
        <is>
          <t>Rev 0</t>
        </is>
      </c>
      <c r="O1111" s="12" t="inlineStr">
        <is>
          <t>R752-v1</t>
        </is>
      </c>
      <c r="P1111" s="12" t="inlineStr"/>
      <c r="Q1111" s="12" t="inlineStr"/>
      <c r="R1111" s="12" t="inlineStr"/>
      <c r="S1111" s="12" t="inlineStr"/>
      <c r="T1111" s="12" t="inlineStr"/>
      <c r="U1111" s="12" t="inlineStr"/>
      <c r="V1111" s="12" t="inlineStr">
        <is>
          <t>WBS Code = 1.5.1</t>
        </is>
      </c>
      <c r="W1111" s="12" t="inlineStr"/>
    </row>
    <row r="1112" ht="49" customHeight="1">
      <c r="A1112" s="12" t="inlineStr">
        <is>
          <t>1.5.1</t>
        </is>
      </c>
      <c r="B1112" s="12" t="inlineStr">
        <is>
          <t>Testing and Commissioning - Test Readiness</t>
        </is>
      </c>
      <c r="C1112" s="12" t="inlineStr">
        <is>
          <t>Contractor Programme</t>
        </is>
      </c>
      <c r="D1112" s="12" t="inlineStr">
        <is>
          <t>SCH-05-034</t>
        </is>
      </c>
      <c r="E1112" s="12" t="inlineStr">
        <is>
          <t>Control Centre: emergency-response drill - turnover</t>
        </is>
      </c>
      <c r="F1112" s="12" t="inlineStr">
        <is>
          <t>ONE_TO_ONE</t>
        </is>
      </c>
      <c r="G1112" s="12" t="inlineStr">
        <is>
          <t>APPROVED</t>
        </is>
      </c>
      <c r="H1112" s="12" t="inlineStr">
        <is>
          <t>New</t>
        </is>
      </c>
      <c r="I1112" s="12" t="inlineStr">
        <is>
          <t>Source assignment -- not individually reviewed</t>
        </is>
      </c>
      <c r="J1112" s="12" t="inlineStr"/>
      <c r="K1112" s="12" t="inlineStr">
        <is>
          <t>Source assignment</t>
        </is>
      </c>
      <c r="L1112" s="12" t="inlineStr"/>
      <c r="M1112" s="12" t="inlineStr">
        <is>
          <t>Initial</t>
        </is>
      </c>
      <c r="N1112" s="12" t="inlineStr">
        <is>
          <t>Rev 0</t>
        </is>
      </c>
      <c r="O1112" s="12" t="inlineStr">
        <is>
          <t>R754-v1</t>
        </is>
      </c>
      <c r="P1112" s="12" t="inlineStr"/>
      <c r="Q1112" s="12" t="inlineStr"/>
      <c r="R1112" s="12" t="inlineStr"/>
      <c r="S1112" s="12" t="inlineStr"/>
      <c r="T1112" s="12" t="inlineStr"/>
      <c r="U1112" s="12" t="inlineStr"/>
      <c r="V1112" s="12" t="inlineStr">
        <is>
          <t>WBS Code = 1.5.1</t>
        </is>
      </c>
      <c r="W1112" s="12" t="inlineStr"/>
    </row>
    <row r="1113" ht="49" customHeight="1">
      <c r="A1113" s="12" t="inlineStr">
        <is>
          <t>1.5.1</t>
        </is>
      </c>
      <c r="B1113" s="12" t="inlineStr">
        <is>
          <t>Testing and Commissioning - Test Readiness</t>
        </is>
      </c>
      <c r="C1113" s="12" t="inlineStr">
        <is>
          <t>Contractor Programme</t>
        </is>
      </c>
      <c r="D1113" s="12" t="inlineStr">
        <is>
          <t>SCH-05-035</t>
        </is>
      </c>
      <c r="E1113" s="12" t="inlineStr">
        <is>
          <t>Mainline east: defect retest - release</t>
        </is>
      </c>
      <c r="F1113" s="12" t="inlineStr">
        <is>
          <t>ONE_TO_ONE</t>
        </is>
      </c>
      <c r="G1113" s="12" t="inlineStr">
        <is>
          <t>APPROVED</t>
        </is>
      </c>
      <c r="H1113" s="12" t="inlineStr">
        <is>
          <t>New</t>
        </is>
      </c>
      <c r="I1113" s="12" t="inlineStr">
        <is>
          <t>Source assignment -- not individually reviewed</t>
        </is>
      </c>
      <c r="J1113" s="12" t="inlineStr"/>
      <c r="K1113" s="12" t="inlineStr">
        <is>
          <t>Source assignment</t>
        </is>
      </c>
      <c r="L1113" s="12" t="inlineStr"/>
      <c r="M1113" s="12" t="inlineStr">
        <is>
          <t>Initial</t>
        </is>
      </c>
      <c r="N1113" s="12" t="inlineStr">
        <is>
          <t>Rev 0</t>
        </is>
      </c>
      <c r="O1113" s="12" t="inlineStr">
        <is>
          <t>R755-v1</t>
        </is>
      </c>
      <c r="P1113" s="12" t="inlineStr"/>
      <c r="Q1113" s="12" t="inlineStr"/>
      <c r="R1113" s="12" t="inlineStr"/>
      <c r="S1113" s="12" t="inlineStr"/>
      <c r="T1113" s="12" t="inlineStr"/>
      <c r="U1113" s="12" t="inlineStr"/>
      <c r="V1113" s="12" t="inlineStr">
        <is>
          <t>WBS Code = 1.5.1</t>
        </is>
      </c>
      <c r="W1113" s="12" t="inlineStr"/>
    </row>
    <row r="1114" ht="49" customHeight="1">
      <c r="A1114" s="12" t="inlineStr">
        <is>
          <t>1.5.1</t>
        </is>
      </c>
      <c r="B1114" s="12" t="inlineStr">
        <is>
          <t>Testing and Commissioning - Test Readiness</t>
        </is>
      </c>
      <c r="C1114" s="12" t="inlineStr">
        <is>
          <t>Contractor Programme</t>
        </is>
      </c>
      <c r="D1114" s="12" t="inlineStr">
        <is>
          <t>SCH-05-037</t>
        </is>
      </c>
      <c r="E1114" s="12" t="inlineStr">
        <is>
          <t>West terminal: safety certificate evidence closeout - installation</t>
        </is>
      </c>
      <c r="F1114" s="12" t="inlineStr">
        <is>
          <t>ONE_TO_ONE</t>
        </is>
      </c>
      <c r="G1114" s="12" t="inlineStr">
        <is>
          <t>APPROVED</t>
        </is>
      </c>
      <c r="H1114" s="12" t="inlineStr">
        <is>
          <t>New</t>
        </is>
      </c>
      <c r="I1114" s="12" t="inlineStr">
        <is>
          <t>Source assignment -- not individually reviewed</t>
        </is>
      </c>
      <c r="J1114" s="12" t="inlineStr"/>
      <c r="K1114" s="12" t="inlineStr">
        <is>
          <t>Source assignment</t>
        </is>
      </c>
      <c r="L1114" s="12" t="inlineStr"/>
      <c r="M1114" s="12" t="inlineStr">
        <is>
          <t>Initial</t>
        </is>
      </c>
      <c r="N1114" s="12" t="inlineStr">
        <is>
          <t>Rev 0</t>
        </is>
      </c>
      <c r="O1114" s="12" t="inlineStr">
        <is>
          <t>R757-v1</t>
        </is>
      </c>
      <c r="P1114" s="12" t="inlineStr"/>
      <c r="Q1114" s="12" t="inlineStr"/>
      <c r="R1114" s="12" t="inlineStr"/>
      <c r="S1114" s="12" t="inlineStr"/>
      <c r="T1114" s="12" t="inlineStr"/>
      <c r="U1114" s="12" t="inlineStr"/>
      <c r="V1114" s="12" t="inlineStr">
        <is>
          <t>WBS Code = 1.5.1</t>
        </is>
      </c>
      <c r="W1114" s="12" t="inlineStr"/>
    </row>
    <row r="1115" ht="49" customHeight="1">
      <c r="A1115" s="12" t="inlineStr">
        <is>
          <t>1.5.1</t>
        </is>
      </c>
      <c r="B1115" s="12" t="inlineStr">
        <is>
          <t>Testing and Commissioning - Test Readiness</t>
        </is>
      </c>
      <c r="C1115" s="12" t="inlineStr">
        <is>
          <t>Contractor Programme</t>
        </is>
      </c>
      <c r="D1115" s="12" t="inlineStr">
        <is>
          <t>SCH-05-038</t>
        </is>
      </c>
      <c r="E1115" s="12" t="inlineStr">
        <is>
          <t>Depot: service-readiness review - inspection</t>
        </is>
      </c>
      <c r="F1115" s="12" t="inlineStr">
        <is>
          <t>ONE_TO_ONE</t>
        </is>
      </c>
      <c r="G1115" s="12" t="inlineStr">
        <is>
          <t>APPROVED</t>
        </is>
      </c>
      <c r="H1115" s="12" t="inlineStr">
        <is>
          <t>New</t>
        </is>
      </c>
      <c r="I1115" s="12" t="inlineStr">
        <is>
          <t>Source assignment -- not individually reviewed</t>
        </is>
      </c>
      <c r="J1115" s="12" t="inlineStr"/>
      <c r="K1115" s="12" t="inlineStr">
        <is>
          <t>Source assignment</t>
        </is>
      </c>
      <c r="L1115" s="12" t="inlineStr"/>
      <c r="M1115" s="12" t="inlineStr">
        <is>
          <t>Initial</t>
        </is>
      </c>
      <c r="N1115" s="12" t="inlineStr">
        <is>
          <t>Rev 0</t>
        </is>
      </c>
      <c r="O1115" s="12" t="inlineStr">
        <is>
          <t>R758-v1</t>
        </is>
      </c>
      <c r="P1115" s="12" t="inlineStr"/>
      <c r="Q1115" s="12" t="inlineStr"/>
      <c r="R1115" s="12" t="inlineStr"/>
      <c r="S1115" s="12" t="inlineStr"/>
      <c r="T1115" s="12" t="inlineStr"/>
      <c r="U1115" s="12" t="inlineStr"/>
      <c r="V1115" s="12" t="inlineStr">
        <is>
          <t>WBS Code = 1.5.1</t>
        </is>
      </c>
      <c r="W1115" s="12" t="inlineStr"/>
    </row>
    <row r="1116" ht="49" customHeight="1">
      <c r="A1116" s="12" t="inlineStr">
        <is>
          <t>1.5.1</t>
        </is>
      </c>
      <c r="B1116" s="12" t="inlineStr">
        <is>
          <t>Testing and Commissioning - Test Readiness</t>
        </is>
      </c>
      <c r="C1116" s="12" t="inlineStr">
        <is>
          <t>Contractor Programme</t>
        </is>
      </c>
      <c r="D1116" s="12" t="inlineStr">
        <is>
          <t>SCH-05-040</t>
        </is>
      </c>
      <c r="E1116" s="12" t="inlineStr">
        <is>
          <t>Mainline east: trial-running shift - release</t>
        </is>
      </c>
      <c r="F1116" s="12" t="inlineStr">
        <is>
          <t>ONE_TO_ONE</t>
        </is>
      </c>
      <c r="G1116" s="12" t="inlineStr">
        <is>
          <t>APPROVED</t>
        </is>
      </c>
      <c r="H1116" s="12" t="inlineStr">
        <is>
          <t>New</t>
        </is>
      </c>
      <c r="I1116" s="12" t="inlineStr">
        <is>
          <t>Source assignment -- not individually reviewed</t>
        </is>
      </c>
      <c r="J1116" s="12" t="inlineStr"/>
      <c r="K1116" s="12" t="inlineStr">
        <is>
          <t>Source assignment</t>
        </is>
      </c>
      <c r="L1116" s="12" t="inlineStr"/>
      <c r="M1116" s="12" t="inlineStr">
        <is>
          <t>Initial</t>
        </is>
      </c>
      <c r="N1116" s="12" t="inlineStr">
        <is>
          <t>Rev 0</t>
        </is>
      </c>
      <c r="O1116" s="12" t="inlineStr">
        <is>
          <t>R760-v1</t>
        </is>
      </c>
      <c r="P1116" s="12" t="inlineStr"/>
      <c r="Q1116" s="12" t="inlineStr"/>
      <c r="R1116" s="12" t="inlineStr"/>
      <c r="S1116" s="12" t="inlineStr"/>
      <c r="T1116" s="12" t="inlineStr"/>
      <c r="U1116" s="12" t="inlineStr"/>
      <c r="V1116" s="12" t="inlineStr">
        <is>
          <t>WBS Code = 1.5.1</t>
        </is>
      </c>
      <c r="W1116" s="12" t="inlineStr"/>
    </row>
    <row r="1117" ht="49" customHeight="1">
      <c r="A1117" s="12" t="inlineStr">
        <is>
          <t>1.5.1</t>
        </is>
      </c>
      <c r="B1117" s="12" t="inlineStr">
        <is>
          <t>Testing and Commissioning - Test Readiness</t>
        </is>
      </c>
      <c r="C1117" s="12" t="inlineStr">
        <is>
          <t>Contractor Programme</t>
        </is>
      </c>
      <c r="D1117" s="12" t="inlineStr">
        <is>
          <t>SCH-05-041</t>
        </is>
      </c>
      <c r="E1117" s="12" t="inlineStr">
        <is>
          <t>Central section: test procedure readiness review - field start</t>
        </is>
      </c>
      <c r="F1117" s="12" t="inlineStr">
        <is>
          <t>ONE_TO_ONE</t>
        </is>
      </c>
      <c r="G1117" s="12" t="inlineStr">
        <is>
          <t>APPROVED</t>
        </is>
      </c>
      <c r="H1117" s="12" t="inlineStr">
        <is>
          <t>New</t>
        </is>
      </c>
      <c r="I1117" s="12" t="inlineStr">
        <is>
          <t>Source assignment -- not individually reviewed</t>
        </is>
      </c>
      <c r="J1117" s="12" t="inlineStr"/>
      <c r="K1117" s="12" t="inlineStr">
        <is>
          <t>Source assignment</t>
        </is>
      </c>
      <c r="L1117" s="12" t="inlineStr"/>
      <c r="M1117" s="12" t="inlineStr">
        <is>
          <t>Initial</t>
        </is>
      </c>
      <c r="N1117" s="12" t="inlineStr">
        <is>
          <t>Rev 0</t>
        </is>
      </c>
      <c r="O1117" s="12" t="inlineStr">
        <is>
          <t>R761-v1</t>
        </is>
      </c>
      <c r="P1117" s="12" t="inlineStr"/>
      <c r="Q1117" s="12" t="inlineStr"/>
      <c r="R1117" s="12" t="inlineStr"/>
      <c r="S1117" s="12" t="inlineStr"/>
      <c r="T1117" s="12" t="inlineStr"/>
      <c r="U1117" s="12" t="inlineStr"/>
      <c r="V1117" s="12" t="inlineStr">
        <is>
          <t>WBS Code = 1.5.1</t>
        </is>
      </c>
      <c r="W1117" s="12" t="inlineStr"/>
    </row>
    <row r="1118" ht="49" customHeight="1">
      <c r="A1118" s="12" t="inlineStr">
        <is>
          <t>1.5.1</t>
        </is>
      </c>
      <c r="B1118" s="12" t="inlineStr">
        <is>
          <t>Testing and Commissioning - Test Readiness</t>
        </is>
      </c>
      <c r="C1118" s="12" t="inlineStr">
        <is>
          <t>Contractor Programme</t>
        </is>
      </c>
      <c r="D1118" s="12" t="inlineStr">
        <is>
          <t>SCH-05-043</t>
        </is>
      </c>
      <c r="E1118" s="12" t="inlineStr">
        <is>
          <t>Depot: defect retest - inspection</t>
        </is>
      </c>
      <c r="F1118" s="12" t="inlineStr">
        <is>
          <t>ONE_TO_ONE</t>
        </is>
      </c>
      <c r="G1118" s="12" t="inlineStr">
        <is>
          <t>APPROVED</t>
        </is>
      </c>
      <c r="H1118" s="12" t="inlineStr">
        <is>
          <t>New</t>
        </is>
      </c>
      <c r="I1118" s="12" t="inlineStr">
        <is>
          <t>Source assignment -- not individually reviewed</t>
        </is>
      </c>
      <c r="J1118" s="12" t="inlineStr"/>
      <c r="K1118" s="12" t="inlineStr">
        <is>
          <t>Source assignment</t>
        </is>
      </c>
      <c r="L1118" s="12" t="inlineStr"/>
      <c r="M1118" s="12" t="inlineStr">
        <is>
          <t>Initial</t>
        </is>
      </c>
      <c r="N1118" s="12" t="inlineStr">
        <is>
          <t>Rev 0</t>
        </is>
      </c>
      <c r="O1118" s="12" t="inlineStr">
        <is>
          <t>R763-v1</t>
        </is>
      </c>
      <c r="P1118" s="12" t="inlineStr"/>
      <c r="Q1118" s="12" t="inlineStr"/>
      <c r="R1118" s="12" t="inlineStr"/>
      <c r="S1118" s="12" t="inlineStr"/>
      <c r="T1118" s="12" t="inlineStr"/>
      <c r="U1118" s="12" t="inlineStr"/>
      <c r="V1118" s="12" t="inlineStr">
        <is>
          <t>WBS Code = 1.5.1</t>
        </is>
      </c>
      <c r="W1118" s="12" t="inlineStr"/>
    </row>
    <row r="1119" ht="49" customHeight="1">
      <c r="A1119" s="12" t="inlineStr">
        <is>
          <t>1.5.1</t>
        </is>
      </c>
      <c r="B1119" s="12" t="inlineStr">
        <is>
          <t>Testing and Commissioning - Test Readiness</t>
        </is>
      </c>
      <c r="C1119" s="12" t="inlineStr">
        <is>
          <t>Contractor Programme</t>
        </is>
      </c>
      <c r="D1119" s="12" t="inlineStr">
        <is>
          <t>SCH-05-044</t>
        </is>
      </c>
      <c r="E1119" s="12" t="inlineStr">
        <is>
          <t>Control Centre: mainline dynamic test - turnover</t>
        </is>
      </c>
      <c r="F1119" s="12" t="inlineStr">
        <is>
          <t>ONE_TO_ONE</t>
        </is>
      </c>
      <c r="G1119" s="12" t="inlineStr">
        <is>
          <t>APPROVED</t>
        </is>
      </c>
      <c r="H1119" s="12" t="inlineStr">
        <is>
          <t>New</t>
        </is>
      </c>
      <c r="I1119" s="12" t="inlineStr">
        <is>
          <t>Source assignment -- not individually reviewed</t>
        </is>
      </c>
      <c r="J1119" s="12" t="inlineStr"/>
      <c r="K1119" s="12" t="inlineStr">
        <is>
          <t>Source assignment</t>
        </is>
      </c>
      <c r="L1119" s="12" t="inlineStr"/>
      <c r="M1119" s="12" t="inlineStr">
        <is>
          <t>Initial</t>
        </is>
      </c>
      <c r="N1119" s="12" t="inlineStr">
        <is>
          <t>Rev 0</t>
        </is>
      </c>
      <c r="O1119" s="12" t="inlineStr">
        <is>
          <t>R764-v1</t>
        </is>
      </c>
      <c r="P1119" s="12" t="inlineStr"/>
      <c r="Q1119" s="12" t="inlineStr"/>
      <c r="R1119" s="12" t="inlineStr"/>
      <c r="S1119" s="12" t="inlineStr"/>
      <c r="T1119" s="12" t="inlineStr"/>
      <c r="U1119" s="12" t="inlineStr"/>
      <c r="V1119" s="12" t="inlineStr">
        <is>
          <t>WBS Code = 1.5.1</t>
        </is>
      </c>
      <c r="W1119" s="12" t="inlineStr"/>
    </row>
    <row r="1120" ht="49" customHeight="1">
      <c r="A1120" s="12" t="inlineStr">
        <is>
          <t>1.5.1</t>
        </is>
      </c>
      <c r="B1120" s="12" t="inlineStr">
        <is>
          <t>Testing and Commissioning - Test Readiness</t>
        </is>
      </c>
      <c r="C1120" s="12" t="inlineStr">
        <is>
          <t>Contractor Programme</t>
        </is>
      </c>
      <c r="D1120" s="12" t="inlineStr">
        <is>
          <t>SCH-05-046</t>
        </is>
      </c>
      <c r="E1120" s="12" t="inlineStr">
        <is>
          <t>Central section: service-readiness review - field start</t>
        </is>
      </c>
      <c r="F1120" s="12" t="inlineStr">
        <is>
          <t>ONE_TO_ONE</t>
        </is>
      </c>
      <c r="G1120" s="12" t="inlineStr">
        <is>
          <t>APPROVED</t>
        </is>
      </c>
      <c r="H1120" s="12" t="inlineStr">
        <is>
          <t>New</t>
        </is>
      </c>
      <c r="I1120" s="12" t="inlineStr">
        <is>
          <t>Source assignment -- not individually reviewed</t>
        </is>
      </c>
      <c r="J1120" s="12" t="inlineStr"/>
      <c r="K1120" s="12" t="inlineStr">
        <is>
          <t>Source assignment</t>
        </is>
      </c>
      <c r="L1120" s="12" t="inlineStr"/>
      <c r="M1120" s="12" t="inlineStr">
        <is>
          <t>Initial</t>
        </is>
      </c>
      <c r="N1120" s="12" t="inlineStr">
        <is>
          <t>Rev 0</t>
        </is>
      </c>
      <c r="O1120" s="12" t="inlineStr">
        <is>
          <t>R766-v1</t>
        </is>
      </c>
      <c r="P1120" s="12" t="inlineStr"/>
      <c r="Q1120" s="12" t="inlineStr"/>
      <c r="R1120" s="12" t="inlineStr"/>
      <c r="S1120" s="12" t="inlineStr"/>
      <c r="T1120" s="12" t="inlineStr"/>
      <c r="U1120" s="12" t="inlineStr"/>
      <c r="V1120" s="12" t="inlineStr">
        <is>
          <t>WBS Code = 1.5.1</t>
        </is>
      </c>
      <c r="W1120" s="12" t="inlineStr"/>
    </row>
    <row r="1121" ht="49" customHeight="1">
      <c r="A1121" s="12" t="inlineStr">
        <is>
          <t>1.5.1</t>
        </is>
      </c>
      <c r="B1121" s="12" t="inlineStr">
        <is>
          <t>Testing and Commissioning - Test Readiness</t>
        </is>
      </c>
      <c r="C1121" s="12" t="inlineStr">
        <is>
          <t>Contractor Programme</t>
        </is>
      </c>
      <c r="D1121" s="12" t="inlineStr">
        <is>
          <t>SCH-05-047</t>
        </is>
      </c>
      <c r="E1121" s="12" t="inlineStr">
        <is>
          <t>West terminal: station integrated test - installation</t>
        </is>
      </c>
      <c r="F1121" s="12" t="inlineStr">
        <is>
          <t>ONE_TO_ONE</t>
        </is>
      </c>
      <c r="G1121" s="12" t="inlineStr">
        <is>
          <t>APPROVED</t>
        </is>
      </c>
      <c r="H1121" s="12" t="inlineStr">
        <is>
          <t>New</t>
        </is>
      </c>
      <c r="I1121" s="12" t="inlineStr">
        <is>
          <t>Source assignment -- not individually reviewed</t>
        </is>
      </c>
      <c r="J1121" s="12" t="inlineStr"/>
      <c r="K1121" s="12" t="inlineStr">
        <is>
          <t>Source assignment</t>
        </is>
      </c>
      <c r="L1121" s="12" t="inlineStr"/>
      <c r="M1121" s="12" t="inlineStr">
        <is>
          <t>Initial</t>
        </is>
      </c>
      <c r="N1121" s="12" t="inlineStr">
        <is>
          <t>Rev 0</t>
        </is>
      </c>
      <c r="O1121" s="12" t="inlineStr">
        <is>
          <t>R767-v1</t>
        </is>
      </c>
      <c r="P1121" s="12" t="inlineStr"/>
      <c r="Q1121" s="12" t="inlineStr"/>
      <c r="R1121" s="12" t="inlineStr"/>
      <c r="S1121" s="12" t="inlineStr"/>
      <c r="T1121" s="12" t="inlineStr"/>
      <c r="U1121" s="12" t="inlineStr"/>
      <c r="V1121" s="12" t="inlineStr">
        <is>
          <t>WBS Code = 1.5.1</t>
        </is>
      </c>
      <c r="W1121" s="12" t="inlineStr"/>
    </row>
    <row r="1122" ht="49" customHeight="1">
      <c r="A1122" s="12" t="inlineStr">
        <is>
          <t>1.5.1</t>
        </is>
      </c>
      <c r="B1122" s="12" t="inlineStr">
        <is>
          <t>Testing and Commissioning - Test Readiness</t>
        </is>
      </c>
      <c r="C1122" s="12" t="inlineStr">
        <is>
          <t>Contractor Programme</t>
        </is>
      </c>
      <c r="D1122" s="12" t="inlineStr">
        <is>
          <t>SCH-05-049</t>
        </is>
      </c>
      <c r="E1122" s="12" t="inlineStr">
        <is>
          <t>Control Centre: test procedure readiness review - turnover</t>
        </is>
      </c>
      <c r="F1122" s="12" t="inlineStr">
        <is>
          <t>ONE_TO_ONE</t>
        </is>
      </c>
      <c r="G1122" s="12" t="inlineStr">
        <is>
          <t>APPROVED</t>
        </is>
      </c>
      <c r="H1122" s="12" t="inlineStr">
        <is>
          <t>New</t>
        </is>
      </c>
      <c r="I1122" s="12" t="inlineStr">
        <is>
          <t>Source assignment -- not individually reviewed</t>
        </is>
      </c>
      <c r="J1122" s="12" t="inlineStr"/>
      <c r="K1122" s="12" t="inlineStr">
        <is>
          <t>Source assignment</t>
        </is>
      </c>
      <c r="L1122" s="12" t="inlineStr"/>
      <c r="M1122" s="12" t="inlineStr">
        <is>
          <t>Initial</t>
        </is>
      </c>
      <c r="N1122" s="12" t="inlineStr">
        <is>
          <t>Rev 0</t>
        </is>
      </c>
      <c r="O1122" s="12" t="inlineStr">
        <is>
          <t>R769-v1</t>
        </is>
      </c>
      <c r="P1122" s="12" t="inlineStr"/>
      <c r="Q1122" s="12" t="inlineStr"/>
      <c r="R1122" s="12" t="inlineStr"/>
      <c r="S1122" s="12" t="inlineStr"/>
      <c r="T1122" s="12" t="inlineStr"/>
      <c r="U1122" s="12" t="inlineStr"/>
      <c r="V1122" s="12" t="inlineStr">
        <is>
          <t>WBS Code = 1.5.1</t>
        </is>
      </c>
      <c r="W1122" s="12" t="inlineStr"/>
    </row>
    <row r="1123" ht="49" customHeight="1">
      <c r="A1123" s="12" t="inlineStr">
        <is>
          <t>1.5.1</t>
        </is>
      </c>
      <c r="B1123" s="12" t="inlineStr">
        <is>
          <t>Testing and Commissioning - Test Readiness</t>
        </is>
      </c>
      <c r="C1123" s="12" t="inlineStr">
        <is>
          <t>Contractor Programme</t>
        </is>
      </c>
      <c r="D1123" s="12" t="inlineStr">
        <is>
          <t>SCH-05-050</t>
        </is>
      </c>
      <c r="E1123" s="12" t="inlineStr">
        <is>
          <t>Mainline east: emergency-response drill - release</t>
        </is>
      </c>
      <c r="F1123" s="12" t="inlineStr">
        <is>
          <t>ONE_TO_ONE</t>
        </is>
      </c>
      <c r="G1123" s="12" t="inlineStr">
        <is>
          <t>APPROVED</t>
        </is>
      </c>
      <c r="H1123" s="12" t="inlineStr">
        <is>
          <t>New</t>
        </is>
      </c>
      <c r="I1123" s="12" t="inlineStr">
        <is>
          <t>Source assignment -- not individually reviewed</t>
        </is>
      </c>
      <c r="J1123" s="12" t="inlineStr"/>
      <c r="K1123" s="12" t="inlineStr">
        <is>
          <t>Source assignment</t>
        </is>
      </c>
      <c r="L1123" s="12" t="inlineStr"/>
      <c r="M1123" s="12" t="inlineStr">
        <is>
          <t>Initial</t>
        </is>
      </c>
      <c r="N1123" s="12" t="inlineStr">
        <is>
          <t>Rev 0</t>
        </is>
      </c>
      <c r="O1123" s="12" t="inlineStr">
        <is>
          <t>R770-v1</t>
        </is>
      </c>
      <c r="P1123" s="12" t="inlineStr"/>
      <c r="Q1123" s="12" t="inlineStr"/>
      <c r="R1123" s="12" t="inlineStr"/>
      <c r="S1123" s="12" t="inlineStr"/>
      <c r="T1123" s="12" t="inlineStr"/>
      <c r="U1123" s="12" t="inlineStr"/>
      <c r="V1123" s="12" t="inlineStr">
        <is>
          <t>WBS Code = 1.5.1</t>
        </is>
      </c>
      <c r="W1123" s="12" t="inlineStr"/>
    </row>
    <row r="1124" ht="49" customHeight="1">
      <c r="A1124" s="12" t="inlineStr">
        <is>
          <t>1.5.1</t>
        </is>
      </c>
      <c r="B1124" s="12" t="inlineStr">
        <is>
          <t>Testing and Commissioning - Test Readiness</t>
        </is>
      </c>
      <c r="C1124" s="12" t="inlineStr">
        <is>
          <t>Contractor Programme</t>
        </is>
      </c>
      <c r="D1124" s="12" t="inlineStr">
        <is>
          <t>SCH-05-052</t>
        </is>
      </c>
      <c r="E1124" s="12" t="inlineStr">
        <is>
          <t>West terminal: mainline dynamic test - installation</t>
        </is>
      </c>
      <c r="F1124" s="12" t="inlineStr">
        <is>
          <t>ONE_TO_ONE</t>
        </is>
      </c>
      <c r="G1124" s="12" t="inlineStr">
        <is>
          <t>APPROVED</t>
        </is>
      </c>
      <c r="H1124" s="12" t="inlineStr">
        <is>
          <t>New</t>
        </is>
      </c>
      <c r="I1124" s="12" t="inlineStr">
        <is>
          <t>Source assignment -- not individually reviewed</t>
        </is>
      </c>
      <c r="J1124" s="12" t="inlineStr"/>
      <c r="K1124" s="12" t="inlineStr">
        <is>
          <t>Source assignment</t>
        </is>
      </c>
      <c r="L1124" s="12" t="inlineStr"/>
      <c r="M1124" s="12" t="inlineStr">
        <is>
          <t>Initial</t>
        </is>
      </c>
      <c r="N1124" s="12" t="inlineStr">
        <is>
          <t>Rev 0</t>
        </is>
      </c>
      <c r="O1124" s="12" t="inlineStr">
        <is>
          <t>R772-v1</t>
        </is>
      </c>
      <c r="P1124" s="12" t="inlineStr"/>
      <c r="Q1124" s="12" t="inlineStr"/>
      <c r="R1124" s="12" t="inlineStr"/>
      <c r="S1124" s="12" t="inlineStr"/>
      <c r="T1124" s="12" t="inlineStr"/>
      <c r="U1124" s="12" t="inlineStr"/>
      <c r="V1124" s="12" t="inlineStr">
        <is>
          <t>WBS Code = 1.5.1</t>
        </is>
      </c>
      <c r="W1124" s="12" t="inlineStr"/>
    </row>
    <row r="1125" ht="49" customHeight="1">
      <c r="A1125" s="12" t="inlineStr">
        <is>
          <t>1.5.1</t>
        </is>
      </c>
      <c r="B1125" s="12" t="inlineStr">
        <is>
          <t>Testing and Commissioning - Test Readiness</t>
        </is>
      </c>
      <c r="C1125" s="12" t="inlineStr">
        <is>
          <t>Contractor Programme</t>
        </is>
      </c>
      <c r="D1125" s="12" t="inlineStr">
        <is>
          <t>SCH-05-053</t>
        </is>
      </c>
      <c r="E1125" s="12" t="inlineStr">
        <is>
          <t>Depot: safety certificate evidence closeout - inspection</t>
        </is>
      </c>
      <c r="F1125" s="12" t="inlineStr">
        <is>
          <t>ONE_TO_ONE</t>
        </is>
      </c>
      <c r="G1125" s="12" t="inlineStr">
        <is>
          <t>APPROVED</t>
        </is>
      </c>
      <c r="H1125" s="12" t="inlineStr">
        <is>
          <t>New</t>
        </is>
      </c>
      <c r="I1125" s="12" t="inlineStr">
        <is>
          <t>Source assignment -- not individually reviewed</t>
        </is>
      </c>
      <c r="J1125" s="12" t="inlineStr"/>
      <c r="K1125" s="12" t="inlineStr">
        <is>
          <t>Source assignment</t>
        </is>
      </c>
      <c r="L1125" s="12" t="inlineStr"/>
      <c r="M1125" s="12" t="inlineStr">
        <is>
          <t>Initial</t>
        </is>
      </c>
      <c r="N1125" s="12" t="inlineStr">
        <is>
          <t>Rev 0</t>
        </is>
      </c>
      <c r="O1125" s="12" t="inlineStr">
        <is>
          <t>R773-v1</t>
        </is>
      </c>
      <c r="P1125" s="12" t="inlineStr"/>
      <c r="Q1125" s="12" t="inlineStr"/>
      <c r="R1125" s="12" t="inlineStr"/>
      <c r="S1125" s="12" t="inlineStr"/>
      <c r="T1125" s="12" t="inlineStr"/>
      <c r="U1125" s="12" t="inlineStr"/>
      <c r="V1125" s="12" t="inlineStr">
        <is>
          <t>WBS Code = 1.5.1</t>
        </is>
      </c>
      <c r="W1125" s="12" t="inlineStr"/>
    </row>
    <row r="1126" ht="49" customHeight="1">
      <c r="A1126" s="12" t="inlineStr">
        <is>
          <t>1.5.1</t>
        </is>
      </c>
      <c r="B1126" s="12" t="inlineStr">
        <is>
          <t>Testing and Commissioning - Test Readiness</t>
        </is>
      </c>
      <c r="C1126" s="12" t="inlineStr">
        <is>
          <t>Contractor Programme</t>
        </is>
      </c>
      <c r="D1126" s="12" t="inlineStr">
        <is>
          <t>SCH-05-055</t>
        </is>
      </c>
      <c r="E1126" s="12" t="inlineStr">
        <is>
          <t>Mainline east: station integrated test - release</t>
        </is>
      </c>
      <c r="F1126" s="12" t="inlineStr">
        <is>
          <t>ONE_TO_ONE</t>
        </is>
      </c>
      <c r="G1126" s="12" t="inlineStr">
        <is>
          <t>APPROVED</t>
        </is>
      </c>
      <c r="H1126" s="12" t="inlineStr">
        <is>
          <t>New</t>
        </is>
      </c>
      <c r="I1126" s="12" t="inlineStr">
        <is>
          <t>Source assignment -- not individually reviewed</t>
        </is>
      </c>
      <c r="J1126" s="12" t="inlineStr"/>
      <c r="K1126" s="12" t="inlineStr">
        <is>
          <t>Source assignment</t>
        </is>
      </c>
      <c r="L1126" s="12" t="inlineStr"/>
      <c r="M1126" s="12" t="inlineStr">
        <is>
          <t>Initial</t>
        </is>
      </c>
      <c r="N1126" s="12" t="inlineStr">
        <is>
          <t>Rev 0</t>
        </is>
      </c>
      <c r="O1126" s="12" t="inlineStr">
        <is>
          <t>R775-v1</t>
        </is>
      </c>
      <c r="P1126" s="12" t="inlineStr"/>
      <c r="Q1126" s="12" t="inlineStr"/>
      <c r="R1126" s="12" t="inlineStr"/>
      <c r="S1126" s="12" t="inlineStr"/>
      <c r="T1126" s="12" t="inlineStr"/>
      <c r="U1126" s="12" t="inlineStr"/>
      <c r="V1126" s="12" t="inlineStr">
        <is>
          <t>WBS Code = 1.5.1</t>
        </is>
      </c>
      <c r="W1126" s="12" t="inlineStr"/>
    </row>
    <row r="1127" ht="49" customHeight="1">
      <c r="A1127" s="12" t="inlineStr">
        <is>
          <t>1.5.1</t>
        </is>
      </c>
      <c r="B1127" s="12" t="inlineStr">
        <is>
          <t>Testing and Commissioning - Test Readiness</t>
        </is>
      </c>
      <c r="C1127" s="12" t="inlineStr">
        <is>
          <t>Contractor Programme</t>
        </is>
      </c>
      <c r="D1127" s="12" t="inlineStr">
        <is>
          <t>SCH-05-056</t>
        </is>
      </c>
      <c r="E1127" s="12" t="inlineStr">
        <is>
          <t>Central section: trial-running shift - field start</t>
        </is>
      </c>
      <c r="F1127" s="12" t="inlineStr">
        <is>
          <t>ONE_TO_ONE</t>
        </is>
      </c>
      <c r="G1127" s="12" t="inlineStr">
        <is>
          <t>APPROVED</t>
        </is>
      </c>
      <c r="H1127" s="12" t="inlineStr">
        <is>
          <t>New</t>
        </is>
      </c>
      <c r="I1127" s="12" t="inlineStr">
        <is>
          <t>Source assignment -- not individually reviewed</t>
        </is>
      </c>
      <c r="J1127" s="12" t="inlineStr"/>
      <c r="K1127" s="12" t="inlineStr">
        <is>
          <t>Source assignment</t>
        </is>
      </c>
      <c r="L1127" s="12" t="inlineStr"/>
      <c r="M1127" s="12" t="inlineStr">
        <is>
          <t>Initial</t>
        </is>
      </c>
      <c r="N1127" s="12" t="inlineStr">
        <is>
          <t>Rev 0</t>
        </is>
      </c>
      <c r="O1127" s="12" t="inlineStr">
        <is>
          <t>R776-v1</t>
        </is>
      </c>
      <c r="P1127" s="12" t="inlineStr"/>
      <c r="Q1127" s="12" t="inlineStr"/>
      <c r="R1127" s="12" t="inlineStr"/>
      <c r="S1127" s="12" t="inlineStr"/>
      <c r="T1127" s="12" t="inlineStr"/>
      <c r="U1127" s="12" t="inlineStr"/>
      <c r="V1127" s="12" t="inlineStr">
        <is>
          <t>WBS Code = 1.5.1</t>
        </is>
      </c>
      <c r="W1127" s="12" t="inlineStr"/>
    </row>
    <row r="1128" ht="49" customHeight="1">
      <c r="A1128" s="12" t="inlineStr">
        <is>
          <t>1.5.1</t>
        </is>
      </c>
      <c r="B1128" s="12" t="inlineStr">
        <is>
          <t>Testing and Commissioning - Test Readiness</t>
        </is>
      </c>
      <c r="C1128" s="12" t="inlineStr">
        <is>
          <t>Contractor Programme</t>
        </is>
      </c>
      <c r="D1128" s="12" t="inlineStr">
        <is>
          <t>SCH-05-058</t>
        </is>
      </c>
      <c r="E1128" s="12" t="inlineStr">
        <is>
          <t>Depot: emergency-response drill - inspection</t>
        </is>
      </c>
      <c r="F1128" s="12" t="inlineStr">
        <is>
          <t>ONE_TO_ONE</t>
        </is>
      </c>
      <c r="G1128" s="12" t="inlineStr">
        <is>
          <t>APPROVED</t>
        </is>
      </c>
      <c r="H1128" s="12" t="inlineStr">
        <is>
          <t>New</t>
        </is>
      </c>
      <c r="I1128" s="12" t="inlineStr">
        <is>
          <t>Source assignment -- not individually reviewed</t>
        </is>
      </c>
      <c r="J1128" s="12" t="inlineStr"/>
      <c r="K1128" s="12" t="inlineStr">
        <is>
          <t>Source assignment</t>
        </is>
      </c>
      <c r="L1128" s="12" t="inlineStr"/>
      <c r="M1128" s="12" t="inlineStr">
        <is>
          <t>Initial</t>
        </is>
      </c>
      <c r="N1128" s="12" t="inlineStr">
        <is>
          <t>Rev 0</t>
        </is>
      </c>
      <c r="O1128" s="12" t="inlineStr">
        <is>
          <t>R778-v1</t>
        </is>
      </c>
      <c r="P1128" s="12" t="inlineStr"/>
      <c r="Q1128" s="12" t="inlineStr"/>
      <c r="R1128" s="12" t="inlineStr"/>
      <c r="S1128" s="12" t="inlineStr"/>
      <c r="T1128" s="12" t="inlineStr"/>
      <c r="U1128" s="12" t="inlineStr"/>
      <c r="V1128" s="12" t="inlineStr">
        <is>
          <t>WBS Code = 1.5.1</t>
        </is>
      </c>
      <c r="W1128" s="12" t="inlineStr"/>
    </row>
    <row r="1129" ht="49" customHeight="1">
      <c r="A1129" s="12" t="inlineStr">
        <is>
          <t>1.5.1</t>
        </is>
      </c>
      <c r="B1129" s="12" t="inlineStr">
        <is>
          <t>Testing and Commissioning - Test Readiness</t>
        </is>
      </c>
      <c r="C1129" s="12" t="inlineStr">
        <is>
          <t>Contractor Programme</t>
        </is>
      </c>
      <c r="D1129" s="12" t="inlineStr">
        <is>
          <t>SCH-05-059</t>
        </is>
      </c>
      <c r="E1129" s="12" t="inlineStr">
        <is>
          <t>Control Centre: defect retest - turnover</t>
        </is>
      </c>
      <c r="F1129" s="12" t="inlineStr">
        <is>
          <t>ONE_TO_ONE</t>
        </is>
      </c>
      <c r="G1129" s="12" t="inlineStr">
        <is>
          <t>APPROVED</t>
        </is>
      </c>
      <c r="H1129" s="12" t="inlineStr">
        <is>
          <t>New</t>
        </is>
      </c>
      <c r="I1129" s="12" t="inlineStr">
        <is>
          <t>Source assignment -- not individually reviewed</t>
        </is>
      </c>
      <c r="J1129" s="12" t="inlineStr"/>
      <c r="K1129" s="12" t="inlineStr">
        <is>
          <t>Source assignment</t>
        </is>
      </c>
      <c r="L1129" s="12" t="inlineStr"/>
      <c r="M1129" s="12" t="inlineStr">
        <is>
          <t>Initial</t>
        </is>
      </c>
      <c r="N1129" s="12" t="inlineStr">
        <is>
          <t>Rev 0</t>
        </is>
      </c>
      <c r="O1129" s="12" t="inlineStr">
        <is>
          <t>R779-v1</t>
        </is>
      </c>
      <c r="P1129" s="12" t="inlineStr"/>
      <c r="Q1129" s="12" t="inlineStr"/>
      <c r="R1129" s="12" t="inlineStr"/>
      <c r="S1129" s="12" t="inlineStr"/>
      <c r="T1129" s="12" t="inlineStr"/>
      <c r="U1129" s="12" t="inlineStr"/>
      <c r="V1129" s="12" t="inlineStr">
        <is>
          <t>WBS Code = 1.5.1</t>
        </is>
      </c>
      <c r="W1129" s="12" t="inlineStr"/>
    </row>
    <row r="1130" ht="49" customHeight="1">
      <c r="A1130" s="12" t="inlineStr">
        <is>
          <t>1.5.1</t>
        </is>
      </c>
      <c r="B1130" s="12" t="inlineStr">
        <is>
          <t>Testing and Commissioning - Test Readiness</t>
        </is>
      </c>
      <c r="C1130" s="12" t="inlineStr">
        <is>
          <t>Contractor Programme</t>
        </is>
      </c>
      <c r="D1130" s="12" t="inlineStr">
        <is>
          <t>SCH-05-061</t>
        </is>
      </c>
      <c r="E1130" s="12" t="inlineStr">
        <is>
          <t>Central section: safety certificate evidence closeout - field start</t>
        </is>
      </c>
      <c r="F1130" s="12" t="inlineStr">
        <is>
          <t>ONE_TO_ONE</t>
        </is>
      </c>
      <c r="G1130" s="12" t="inlineStr">
        <is>
          <t>APPROVED</t>
        </is>
      </c>
      <c r="H1130" s="12" t="inlineStr">
        <is>
          <t>New</t>
        </is>
      </c>
      <c r="I1130" s="12" t="inlineStr">
        <is>
          <t>Source assignment -- not individually reviewed</t>
        </is>
      </c>
      <c r="J1130" s="12" t="inlineStr"/>
      <c r="K1130" s="12" t="inlineStr">
        <is>
          <t>Source assignment</t>
        </is>
      </c>
      <c r="L1130" s="12" t="inlineStr"/>
      <c r="M1130" s="12" t="inlineStr">
        <is>
          <t>Initial</t>
        </is>
      </c>
      <c r="N1130" s="12" t="inlineStr">
        <is>
          <t>Rev 0</t>
        </is>
      </c>
      <c r="O1130" s="12" t="inlineStr">
        <is>
          <t>R781-v1</t>
        </is>
      </c>
      <c r="P1130" s="12" t="inlineStr"/>
      <c r="Q1130" s="12" t="inlineStr"/>
      <c r="R1130" s="12" t="inlineStr"/>
      <c r="S1130" s="12" t="inlineStr"/>
      <c r="T1130" s="12" t="inlineStr"/>
      <c r="U1130" s="12" t="inlineStr"/>
      <c r="V1130" s="12" t="inlineStr">
        <is>
          <t>WBS Code = 1.5.1</t>
        </is>
      </c>
      <c r="W1130" s="12" t="inlineStr"/>
    </row>
    <row r="1131" ht="49" customHeight="1">
      <c r="A1131" s="12" t="inlineStr">
        <is>
          <t>1.5.1</t>
        </is>
      </c>
      <c r="B1131" s="12" t="inlineStr">
        <is>
          <t>Testing and Commissioning - Test Readiness</t>
        </is>
      </c>
      <c r="C1131" s="12" t="inlineStr">
        <is>
          <t>Contractor Programme</t>
        </is>
      </c>
      <c r="D1131" s="12" t="inlineStr">
        <is>
          <t>SCH-05-062</t>
        </is>
      </c>
      <c r="E1131" s="12" t="inlineStr">
        <is>
          <t>West terminal: service-readiness review - installation</t>
        </is>
      </c>
      <c r="F1131" s="12" t="inlineStr">
        <is>
          <t>ONE_TO_ONE</t>
        </is>
      </c>
      <c r="G1131" s="12" t="inlineStr">
        <is>
          <t>APPROVED</t>
        </is>
      </c>
      <c r="H1131" s="12" t="inlineStr">
        <is>
          <t>New</t>
        </is>
      </c>
      <c r="I1131" s="12" t="inlineStr">
        <is>
          <t>Source assignment -- not individually reviewed</t>
        </is>
      </c>
      <c r="J1131" s="12" t="inlineStr"/>
      <c r="K1131" s="12" t="inlineStr">
        <is>
          <t>Source assignment</t>
        </is>
      </c>
      <c r="L1131" s="12" t="inlineStr"/>
      <c r="M1131" s="12" t="inlineStr">
        <is>
          <t>Initial</t>
        </is>
      </c>
      <c r="N1131" s="12" t="inlineStr">
        <is>
          <t>Rev 0</t>
        </is>
      </c>
      <c r="O1131" s="12" t="inlineStr">
        <is>
          <t>R782-v1</t>
        </is>
      </c>
      <c r="P1131" s="12" t="inlineStr"/>
      <c r="Q1131" s="12" t="inlineStr"/>
      <c r="R1131" s="12" t="inlineStr"/>
      <c r="S1131" s="12" t="inlineStr"/>
      <c r="T1131" s="12" t="inlineStr"/>
      <c r="U1131" s="12" t="inlineStr"/>
      <c r="V1131" s="12" t="inlineStr">
        <is>
          <t>WBS Code = 1.5.1</t>
        </is>
      </c>
      <c r="W1131" s="12" t="inlineStr"/>
    </row>
    <row r="1132" ht="49" customHeight="1">
      <c r="A1132" s="12" t="inlineStr">
        <is>
          <t>1.5.1</t>
        </is>
      </c>
      <c r="B1132" s="12" t="inlineStr">
        <is>
          <t>Testing and Commissioning - Test Readiness</t>
        </is>
      </c>
      <c r="C1132" s="12" t="inlineStr">
        <is>
          <t>Contractor Programme</t>
        </is>
      </c>
      <c r="D1132" s="12" t="inlineStr">
        <is>
          <t>SCH-05-064</t>
        </is>
      </c>
      <c r="E1132" s="12" t="inlineStr">
        <is>
          <t>Control Centre: trial-running shift - turnover</t>
        </is>
      </c>
      <c r="F1132" s="12" t="inlineStr">
        <is>
          <t>ONE_TO_ONE</t>
        </is>
      </c>
      <c r="G1132" s="12" t="inlineStr">
        <is>
          <t>APPROVED</t>
        </is>
      </c>
      <c r="H1132" s="12" t="inlineStr">
        <is>
          <t>New</t>
        </is>
      </c>
      <c r="I1132" s="12" t="inlineStr">
        <is>
          <t>Source assignment -- not individually reviewed</t>
        </is>
      </c>
      <c r="J1132" s="12" t="inlineStr"/>
      <c r="K1132" s="12" t="inlineStr">
        <is>
          <t>Source assignment</t>
        </is>
      </c>
      <c r="L1132" s="12" t="inlineStr"/>
      <c r="M1132" s="12" t="inlineStr">
        <is>
          <t>Initial</t>
        </is>
      </c>
      <c r="N1132" s="12" t="inlineStr">
        <is>
          <t>Rev 0</t>
        </is>
      </c>
      <c r="O1132" s="12" t="inlineStr">
        <is>
          <t>R784-v1</t>
        </is>
      </c>
      <c r="P1132" s="12" t="inlineStr"/>
      <c r="Q1132" s="12" t="inlineStr"/>
      <c r="R1132" s="12" t="inlineStr"/>
      <c r="S1132" s="12" t="inlineStr"/>
      <c r="T1132" s="12" t="inlineStr"/>
      <c r="U1132" s="12" t="inlineStr"/>
      <c r="V1132" s="12" t="inlineStr">
        <is>
          <t>WBS Code = 1.5.1</t>
        </is>
      </c>
      <c r="W1132" s="12" t="inlineStr"/>
    </row>
    <row r="1133" ht="49" customHeight="1">
      <c r="A1133" s="12" t="inlineStr">
        <is>
          <t>1.5.1</t>
        </is>
      </c>
      <c r="B1133" s="12" t="inlineStr">
        <is>
          <t>Testing and Commissioning - Test Readiness</t>
        </is>
      </c>
      <c r="C1133" s="12" t="inlineStr">
        <is>
          <t>Contractor Programme</t>
        </is>
      </c>
      <c r="D1133" s="12" t="inlineStr">
        <is>
          <t>SCH-05-065</t>
        </is>
      </c>
      <c r="E1133" s="12" t="inlineStr">
        <is>
          <t>Mainline east: test procedure readiness review - release</t>
        </is>
      </c>
      <c r="F1133" s="12" t="inlineStr">
        <is>
          <t>ONE_TO_ONE</t>
        </is>
      </c>
      <c r="G1133" s="12" t="inlineStr">
        <is>
          <t>APPROVED</t>
        </is>
      </c>
      <c r="H1133" s="12" t="inlineStr">
        <is>
          <t>New</t>
        </is>
      </c>
      <c r="I1133" s="12" t="inlineStr">
        <is>
          <t>Source assignment -- not individually reviewed</t>
        </is>
      </c>
      <c r="J1133" s="12" t="inlineStr"/>
      <c r="K1133" s="12" t="inlineStr">
        <is>
          <t>Source assignment</t>
        </is>
      </c>
      <c r="L1133" s="12" t="inlineStr"/>
      <c r="M1133" s="12" t="inlineStr">
        <is>
          <t>Initial</t>
        </is>
      </c>
      <c r="N1133" s="12" t="inlineStr">
        <is>
          <t>Rev 0</t>
        </is>
      </c>
      <c r="O1133" s="12" t="inlineStr">
        <is>
          <t>R785-v1</t>
        </is>
      </c>
      <c r="P1133" s="12" t="inlineStr"/>
      <c r="Q1133" s="12" t="inlineStr"/>
      <c r="R1133" s="12" t="inlineStr"/>
      <c r="S1133" s="12" t="inlineStr"/>
      <c r="T1133" s="12" t="inlineStr"/>
      <c r="U1133" s="12" t="inlineStr"/>
      <c r="V1133" s="12" t="inlineStr">
        <is>
          <t>WBS Code = 1.5.1</t>
        </is>
      </c>
      <c r="W1133" s="12" t="inlineStr"/>
    </row>
    <row r="1134" ht="49" customHeight="1">
      <c r="A1134" s="12" t="inlineStr">
        <is>
          <t>1.5.1</t>
        </is>
      </c>
      <c r="B1134" s="12" t="inlineStr">
        <is>
          <t>Testing and Commissioning - Test Readiness</t>
        </is>
      </c>
      <c r="C1134" s="12" t="inlineStr">
        <is>
          <t>Contractor Programme</t>
        </is>
      </c>
      <c r="D1134" s="12" t="inlineStr">
        <is>
          <t>SCH-05-067</t>
        </is>
      </c>
      <c r="E1134" s="12" t="inlineStr">
        <is>
          <t>West terminal: defect retest - installation</t>
        </is>
      </c>
      <c r="F1134" s="12" t="inlineStr">
        <is>
          <t>ONE_TO_ONE</t>
        </is>
      </c>
      <c r="G1134" s="12" t="inlineStr">
        <is>
          <t>APPROVED</t>
        </is>
      </c>
      <c r="H1134" s="12" t="inlineStr">
        <is>
          <t>New</t>
        </is>
      </c>
      <c r="I1134" s="12" t="inlineStr">
        <is>
          <t>Source assignment -- not individually reviewed</t>
        </is>
      </c>
      <c r="J1134" s="12" t="inlineStr"/>
      <c r="K1134" s="12" t="inlineStr">
        <is>
          <t>Source assignment</t>
        </is>
      </c>
      <c r="L1134" s="12" t="inlineStr"/>
      <c r="M1134" s="12" t="inlineStr">
        <is>
          <t>Initial</t>
        </is>
      </c>
      <c r="N1134" s="12" t="inlineStr">
        <is>
          <t>Rev 0</t>
        </is>
      </c>
      <c r="O1134" s="12" t="inlineStr">
        <is>
          <t>R787-v1</t>
        </is>
      </c>
      <c r="P1134" s="12" t="inlineStr"/>
      <c r="Q1134" s="12" t="inlineStr"/>
      <c r="R1134" s="12" t="inlineStr"/>
      <c r="S1134" s="12" t="inlineStr"/>
      <c r="T1134" s="12" t="inlineStr"/>
      <c r="U1134" s="12" t="inlineStr"/>
      <c r="V1134" s="12" t="inlineStr">
        <is>
          <t>WBS Code = 1.5.1</t>
        </is>
      </c>
      <c r="W1134" s="12" t="inlineStr"/>
    </row>
    <row r="1135" ht="49" customHeight="1">
      <c r="A1135" s="12" t="inlineStr">
        <is>
          <t>1.5.1</t>
        </is>
      </c>
      <c r="B1135" s="12" t="inlineStr">
        <is>
          <t>Testing and Commissioning - Test Readiness</t>
        </is>
      </c>
      <c r="C1135" s="12" t="inlineStr">
        <is>
          <t>Contractor Programme</t>
        </is>
      </c>
      <c r="D1135" s="12" t="inlineStr">
        <is>
          <t>SCH-05-068</t>
        </is>
      </c>
      <c r="E1135" s="12" t="inlineStr">
        <is>
          <t>Depot: mainline dynamic test - inspection</t>
        </is>
      </c>
      <c r="F1135" s="12" t="inlineStr">
        <is>
          <t>ONE_TO_ONE</t>
        </is>
      </c>
      <c r="G1135" s="12" t="inlineStr">
        <is>
          <t>APPROVED</t>
        </is>
      </c>
      <c r="H1135" s="12" t="inlineStr">
        <is>
          <t>New</t>
        </is>
      </c>
      <c r="I1135" s="12" t="inlineStr">
        <is>
          <t>Source assignment -- not individually reviewed</t>
        </is>
      </c>
      <c r="J1135" s="12" t="inlineStr"/>
      <c r="K1135" s="12" t="inlineStr">
        <is>
          <t>Source assignment</t>
        </is>
      </c>
      <c r="L1135" s="12" t="inlineStr"/>
      <c r="M1135" s="12" t="inlineStr">
        <is>
          <t>Initial</t>
        </is>
      </c>
      <c r="N1135" s="12" t="inlineStr">
        <is>
          <t>Rev 0</t>
        </is>
      </c>
      <c r="O1135" s="12" t="inlineStr">
        <is>
          <t>R788-v1</t>
        </is>
      </c>
      <c r="P1135" s="12" t="inlineStr"/>
      <c r="Q1135" s="12" t="inlineStr"/>
      <c r="R1135" s="12" t="inlineStr"/>
      <c r="S1135" s="12" t="inlineStr"/>
      <c r="T1135" s="12" t="inlineStr"/>
      <c r="U1135" s="12" t="inlineStr"/>
      <c r="V1135" s="12" t="inlineStr">
        <is>
          <t>WBS Code = 1.5.1</t>
        </is>
      </c>
      <c r="W1135" s="12" t="inlineStr"/>
    </row>
    <row r="1136" ht="49" customHeight="1">
      <c r="A1136" s="12" t="inlineStr">
        <is>
          <t>1.5.1</t>
        </is>
      </c>
      <c r="B1136" s="12" t="inlineStr">
        <is>
          <t>Testing and Commissioning - Test Readiness</t>
        </is>
      </c>
      <c r="C1136" s="12" t="inlineStr">
        <is>
          <t>Contractor Programme</t>
        </is>
      </c>
      <c r="D1136" s="12" t="inlineStr">
        <is>
          <t>SCH-05-070</t>
        </is>
      </c>
      <c r="E1136" s="12" t="inlineStr">
        <is>
          <t>Mainline east: service-readiness review - release</t>
        </is>
      </c>
      <c r="F1136" s="12" t="inlineStr">
        <is>
          <t>ONE_TO_ONE</t>
        </is>
      </c>
      <c r="G1136" s="12" t="inlineStr">
        <is>
          <t>APPROVED</t>
        </is>
      </c>
      <c r="H1136" s="12" t="inlineStr">
        <is>
          <t>New</t>
        </is>
      </c>
      <c r="I1136" s="12" t="inlineStr">
        <is>
          <t>Source assignment -- not individually reviewed</t>
        </is>
      </c>
      <c r="J1136" s="12" t="inlineStr"/>
      <c r="K1136" s="12" t="inlineStr">
        <is>
          <t>Source assignment</t>
        </is>
      </c>
      <c r="L1136" s="12" t="inlineStr"/>
      <c r="M1136" s="12" t="inlineStr">
        <is>
          <t>Initial</t>
        </is>
      </c>
      <c r="N1136" s="12" t="inlineStr">
        <is>
          <t>Rev 0</t>
        </is>
      </c>
      <c r="O1136" s="12" t="inlineStr">
        <is>
          <t>R790-v1</t>
        </is>
      </c>
      <c r="P1136" s="12" t="inlineStr"/>
      <c r="Q1136" s="12" t="inlineStr"/>
      <c r="R1136" s="12" t="inlineStr"/>
      <c r="S1136" s="12" t="inlineStr"/>
      <c r="T1136" s="12" t="inlineStr"/>
      <c r="U1136" s="12" t="inlineStr"/>
      <c r="V1136" s="12" t="inlineStr">
        <is>
          <t>WBS Code = 1.5.1</t>
        </is>
      </c>
      <c r="W1136" s="12" t="inlineStr"/>
    </row>
    <row r="1137" ht="49" customHeight="1">
      <c r="A1137" s="12" t="inlineStr">
        <is>
          <t>1.5.1</t>
        </is>
      </c>
      <c r="B1137" s="12" t="inlineStr">
        <is>
          <t>Testing and Commissioning - Test Readiness</t>
        </is>
      </c>
      <c r="C1137" s="12" t="inlineStr">
        <is>
          <t>Contractor Programme</t>
        </is>
      </c>
      <c r="D1137" s="12" t="inlineStr">
        <is>
          <t>SCH-05-071</t>
        </is>
      </c>
      <c r="E1137" s="12" t="inlineStr">
        <is>
          <t>Central section: station integrated test - field start</t>
        </is>
      </c>
      <c r="F1137" s="12" t="inlineStr">
        <is>
          <t>ONE_TO_ONE</t>
        </is>
      </c>
      <c r="G1137" s="12" t="inlineStr">
        <is>
          <t>APPROVED</t>
        </is>
      </c>
      <c r="H1137" s="12" t="inlineStr">
        <is>
          <t>New</t>
        </is>
      </c>
      <c r="I1137" s="12" t="inlineStr">
        <is>
          <t>Source assignment -- not individually reviewed</t>
        </is>
      </c>
      <c r="J1137" s="12" t="inlineStr"/>
      <c r="K1137" s="12" t="inlineStr">
        <is>
          <t>Source assignment</t>
        </is>
      </c>
      <c r="L1137" s="12" t="inlineStr"/>
      <c r="M1137" s="12" t="inlineStr">
        <is>
          <t>Initial</t>
        </is>
      </c>
      <c r="N1137" s="12" t="inlineStr">
        <is>
          <t>Rev 0</t>
        </is>
      </c>
      <c r="O1137" s="12" t="inlineStr">
        <is>
          <t>R791-v1</t>
        </is>
      </c>
      <c r="P1137" s="12" t="inlineStr"/>
      <c r="Q1137" s="12" t="inlineStr"/>
      <c r="R1137" s="12" t="inlineStr"/>
      <c r="S1137" s="12" t="inlineStr"/>
      <c r="T1137" s="12" t="inlineStr"/>
      <c r="U1137" s="12" t="inlineStr"/>
      <c r="V1137" s="12" t="inlineStr">
        <is>
          <t>WBS Code = 1.5.1</t>
        </is>
      </c>
      <c r="W1137" s="12" t="inlineStr"/>
    </row>
    <row r="1138" ht="49" customHeight="1">
      <c r="A1138" s="12" t="inlineStr">
        <is>
          <t>1.5.1</t>
        </is>
      </c>
      <c r="B1138" s="12" t="inlineStr">
        <is>
          <t>Testing and Commissioning - Test Readiness</t>
        </is>
      </c>
      <c r="C1138" s="12" t="inlineStr">
        <is>
          <t>Contractor Programme</t>
        </is>
      </c>
      <c r="D1138" s="12" t="inlineStr">
        <is>
          <t>SCH-05-073</t>
        </is>
      </c>
      <c r="E1138" s="12" t="inlineStr">
        <is>
          <t>Depot: test procedure readiness review - inspection</t>
        </is>
      </c>
      <c r="F1138" s="12" t="inlineStr">
        <is>
          <t>ONE_TO_ONE</t>
        </is>
      </c>
      <c r="G1138" s="12" t="inlineStr">
        <is>
          <t>APPROVED</t>
        </is>
      </c>
      <c r="H1138" s="12" t="inlineStr">
        <is>
          <t>New</t>
        </is>
      </c>
      <c r="I1138" s="12" t="inlineStr">
        <is>
          <t>Source assignment -- not individually reviewed</t>
        </is>
      </c>
      <c r="J1138" s="12" t="inlineStr"/>
      <c r="K1138" s="12" t="inlineStr">
        <is>
          <t>Source assignment</t>
        </is>
      </c>
      <c r="L1138" s="12" t="inlineStr"/>
      <c r="M1138" s="12" t="inlineStr">
        <is>
          <t>Initial</t>
        </is>
      </c>
      <c r="N1138" s="12" t="inlineStr">
        <is>
          <t>Rev 0</t>
        </is>
      </c>
      <c r="O1138" s="12" t="inlineStr">
        <is>
          <t>R793-v1</t>
        </is>
      </c>
      <c r="P1138" s="12" t="inlineStr"/>
      <c r="Q1138" s="12" t="inlineStr"/>
      <c r="R1138" s="12" t="inlineStr"/>
      <c r="S1138" s="12" t="inlineStr"/>
      <c r="T1138" s="12" t="inlineStr"/>
      <c r="U1138" s="12" t="inlineStr"/>
      <c r="V1138" s="12" t="inlineStr">
        <is>
          <t>WBS Code = 1.5.1</t>
        </is>
      </c>
      <c r="W1138" s="12" t="inlineStr"/>
    </row>
    <row r="1139" ht="49" customHeight="1">
      <c r="A1139" s="12" t="inlineStr">
        <is>
          <t>1.5.1</t>
        </is>
      </c>
      <c r="B1139" s="12" t="inlineStr">
        <is>
          <t>Testing and Commissioning - Test Readiness</t>
        </is>
      </c>
      <c r="C1139" s="12" t="inlineStr">
        <is>
          <t>Contractor Programme</t>
        </is>
      </c>
      <c r="D1139" s="12" t="inlineStr">
        <is>
          <t>SCH-05-074</t>
        </is>
      </c>
      <c r="E1139" s="12" t="inlineStr">
        <is>
          <t>Control Centre: emergency-response drill - turnover</t>
        </is>
      </c>
      <c r="F1139" s="12" t="inlineStr">
        <is>
          <t>ONE_TO_ONE</t>
        </is>
      </c>
      <c r="G1139" s="12" t="inlineStr">
        <is>
          <t>APPROVED</t>
        </is>
      </c>
      <c r="H1139" s="12" t="inlineStr">
        <is>
          <t>New</t>
        </is>
      </c>
      <c r="I1139" s="12" t="inlineStr">
        <is>
          <t>Source assignment -- not individually reviewed</t>
        </is>
      </c>
      <c r="J1139" s="12" t="inlineStr"/>
      <c r="K1139" s="12" t="inlineStr">
        <is>
          <t>Source assignment</t>
        </is>
      </c>
      <c r="L1139" s="12" t="inlineStr"/>
      <c r="M1139" s="12" t="inlineStr">
        <is>
          <t>Initial</t>
        </is>
      </c>
      <c r="N1139" s="12" t="inlineStr">
        <is>
          <t>Rev 0</t>
        </is>
      </c>
      <c r="O1139" s="12" t="inlineStr">
        <is>
          <t>R794-v1</t>
        </is>
      </c>
      <c r="P1139" s="12" t="inlineStr"/>
      <c r="Q1139" s="12" t="inlineStr"/>
      <c r="R1139" s="12" t="inlineStr"/>
      <c r="S1139" s="12" t="inlineStr"/>
      <c r="T1139" s="12" t="inlineStr"/>
      <c r="U1139" s="12" t="inlineStr"/>
      <c r="V1139" s="12" t="inlineStr">
        <is>
          <t>WBS Code = 1.5.1</t>
        </is>
      </c>
      <c r="W1139" s="12" t="inlineStr"/>
    </row>
    <row r="1140" ht="49" customHeight="1">
      <c r="A1140" s="12" t="inlineStr">
        <is>
          <t>1.5.1</t>
        </is>
      </c>
      <c r="B1140" s="12" t="inlineStr">
        <is>
          <t>Testing and Commissioning - Test Readiness</t>
        </is>
      </c>
      <c r="C1140" s="12" t="inlineStr">
        <is>
          <t>Contractor Programme</t>
        </is>
      </c>
      <c r="D1140" s="12" t="inlineStr">
        <is>
          <t>SCH-05-076</t>
        </is>
      </c>
      <c r="E1140" s="12" t="inlineStr">
        <is>
          <t>Central section: mainline dynamic test - field start</t>
        </is>
      </c>
      <c r="F1140" s="12" t="inlineStr">
        <is>
          <t>ONE_TO_ONE</t>
        </is>
      </c>
      <c r="G1140" s="12" t="inlineStr">
        <is>
          <t>APPROVED</t>
        </is>
      </c>
      <c r="H1140" s="12" t="inlineStr">
        <is>
          <t>New</t>
        </is>
      </c>
      <c r="I1140" s="12" t="inlineStr">
        <is>
          <t>Source assignment -- not individually reviewed</t>
        </is>
      </c>
      <c r="J1140" s="12" t="inlineStr"/>
      <c r="K1140" s="12" t="inlineStr">
        <is>
          <t>Source assignment</t>
        </is>
      </c>
      <c r="L1140" s="12" t="inlineStr"/>
      <c r="M1140" s="12" t="inlineStr">
        <is>
          <t>Initial</t>
        </is>
      </c>
      <c r="N1140" s="12" t="inlineStr">
        <is>
          <t>Rev 0</t>
        </is>
      </c>
      <c r="O1140" s="12" t="inlineStr">
        <is>
          <t>R796-v1</t>
        </is>
      </c>
      <c r="P1140" s="12" t="inlineStr"/>
      <c r="Q1140" s="12" t="inlineStr"/>
      <c r="R1140" s="12" t="inlineStr"/>
      <c r="S1140" s="12" t="inlineStr"/>
      <c r="T1140" s="12" t="inlineStr"/>
      <c r="U1140" s="12" t="inlineStr"/>
      <c r="V1140" s="12" t="inlineStr">
        <is>
          <t>WBS Code = 1.5.1</t>
        </is>
      </c>
      <c r="W1140" s="12" t="inlineStr"/>
    </row>
    <row r="1141" ht="49" customHeight="1">
      <c r="A1141" s="12" t="inlineStr">
        <is>
          <t>1.5.1</t>
        </is>
      </c>
      <c r="B1141" s="12" t="inlineStr">
        <is>
          <t>Testing and Commissioning - Test Readiness</t>
        </is>
      </c>
      <c r="C1141" s="12" t="inlineStr">
        <is>
          <t>Contractor Programme</t>
        </is>
      </c>
      <c r="D1141" s="12" t="inlineStr">
        <is>
          <t>SCH-05-077</t>
        </is>
      </c>
      <c r="E1141" s="12" t="inlineStr">
        <is>
          <t>West terminal: safety certificate evidence closeout - installation</t>
        </is>
      </c>
      <c r="F1141" s="12" t="inlineStr">
        <is>
          <t>ONE_TO_ONE</t>
        </is>
      </c>
      <c r="G1141" s="12" t="inlineStr">
        <is>
          <t>APPROVED</t>
        </is>
      </c>
      <c r="H1141" s="12" t="inlineStr">
        <is>
          <t>New</t>
        </is>
      </c>
      <c r="I1141" s="12" t="inlineStr">
        <is>
          <t>Source assignment -- not individually reviewed</t>
        </is>
      </c>
      <c r="J1141" s="12" t="inlineStr"/>
      <c r="K1141" s="12" t="inlineStr">
        <is>
          <t>Source assignment</t>
        </is>
      </c>
      <c r="L1141" s="12" t="inlineStr"/>
      <c r="M1141" s="12" t="inlineStr">
        <is>
          <t>Initial</t>
        </is>
      </c>
      <c r="N1141" s="12" t="inlineStr">
        <is>
          <t>Rev 0</t>
        </is>
      </c>
      <c r="O1141" s="12" t="inlineStr">
        <is>
          <t>R797-v1</t>
        </is>
      </c>
      <c r="P1141" s="12" t="inlineStr"/>
      <c r="Q1141" s="12" t="inlineStr"/>
      <c r="R1141" s="12" t="inlineStr"/>
      <c r="S1141" s="12" t="inlineStr"/>
      <c r="T1141" s="12" t="inlineStr"/>
      <c r="U1141" s="12" t="inlineStr"/>
      <c r="V1141" s="12" t="inlineStr">
        <is>
          <t>WBS Code = 1.5.1</t>
        </is>
      </c>
      <c r="W1141" s="12" t="inlineStr"/>
    </row>
    <row r="1142" ht="49" customHeight="1">
      <c r="A1142" s="12" t="inlineStr">
        <is>
          <t>1.5.1</t>
        </is>
      </c>
      <c r="B1142" s="12" t="inlineStr">
        <is>
          <t>Testing and Commissioning - Test Readiness</t>
        </is>
      </c>
      <c r="C1142" s="12" t="inlineStr">
        <is>
          <t>Contractor Programme</t>
        </is>
      </c>
      <c r="D1142" s="12" t="inlineStr">
        <is>
          <t>SCH-05-079</t>
        </is>
      </c>
      <c r="E1142" s="12" t="inlineStr">
        <is>
          <t>Control Centre: station integrated test - turnover</t>
        </is>
      </c>
      <c r="F1142" s="12" t="inlineStr">
        <is>
          <t>ONE_TO_ONE</t>
        </is>
      </c>
      <c r="G1142" s="12" t="inlineStr">
        <is>
          <t>APPROVED</t>
        </is>
      </c>
      <c r="H1142" s="12" t="inlineStr">
        <is>
          <t>New</t>
        </is>
      </c>
      <c r="I1142" s="12" t="inlineStr">
        <is>
          <t>Source assignment -- not individually reviewed</t>
        </is>
      </c>
      <c r="J1142" s="12" t="inlineStr"/>
      <c r="K1142" s="12" t="inlineStr">
        <is>
          <t>Source assignment</t>
        </is>
      </c>
      <c r="L1142" s="12" t="inlineStr"/>
      <c r="M1142" s="12" t="inlineStr">
        <is>
          <t>Initial</t>
        </is>
      </c>
      <c r="N1142" s="12" t="inlineStr">
        <is>
          <t>Rev 0</t>
        </is>
      </c>
      <c r="O1142" s="12" t="inlineStr">
        <is>
          <t>R799-v1</t>
        </is>
      </c>
      <c r="P1142" s="12" t="inlineStr"/>
      <c r="Q1142" s="12" t="inlineStr"/>
      <c r="R1142" s="12" t="inlineStr"/>
      <c r="S1142" s="12" t="inlineStr"/>
      <c r="T1142" s="12" t="inlineStr"/>
      <c r="U1142" s="12" t="inlineStr"/>
      <c r="V1142" s="12" t="inlineStr">
        <is>
          <t>WBS Code = 1.5.1</t>
        </is>
      </c>
      <c r="W1142" s="12" t="inlineStr"/>
    </row>
    <row r="1143" ht="49" customHeight="1">
      <c r="A1143" s="12" t="inlineStr">
        <is>
          <t>1.5.1</t>
        </is>
      </c>
      <c r="B1143" s="12" t="inlineStr">
        <is>
          <t>Testing and Commissioning - Test Readiness</t>
        </is>
      </c>
      <c r="C1143" s="12" t="inlineStr">
        <is>
          <t>Contractor Programme</t>
        </is>
      </c>
      <c r="D1143" s="12" t="inlineStr">
        <is>
          <t>SCH-05-080</t>
        </is>
      </c>
      <c r="E1143" s="12" t="inlineStr">
        <is>
          <t>Mainline east: trial-running shift - release</t>
        </is>
      </c>
      <c r="F1143" s="12" t="inlineStr">
        <is>
          <t>ONE_TO_ONE</t>
        </is>
      </c>
      <c r="G1143" s="12" t="inlineStr">
        <is>
          <t>APPROVED</t>
        </is>
      </c>
      <c r="H1143" s="12" t="inlineStr">
        <is>
          <t>New</t>
        </is>
      </c>
      <c r="I1143" s="12" t="inlineStr">
        <is>
          <t>Source assignment -- not individually reviewed</t>
        </is>
      </c>
      <c r="J1143" s="12" t="inlineStr"/>
      <c r="K1143" s="12" t="inlineStr">
        <is>
          <t>Source assignment</t>
        </is>
      </c>
      <c r="L1143" s="12" t="inlineStr"/>
      <c r="M1143" s="12" t="inlineStr">
        <is>
          <t>Initial</t>
        </is>
      </c>
      <c r="N1143" s="12" t="inlineStr">
        <is>
          <t>Rev 0</t>
        </is>
      </c>
      <c r="O1143" s="12" t="inlineStr">
        <is>
          <t>R800-v1</t>
        </is>
      </c>
      <c r="P1143" s="12" t="inlineStr"/>
      <c r="Q1143" s="12" t="inlineStr"/>
      <c r="R1143" s="12" t="inlineStr"/>
      <c r="S1143" s="12" t="inlineStr"/>
      <c r="T1143" s="12" t="inlineStr"/>
      <c r="U1143" s="12" t="inlineStr"/>
      <c r="V1143" s="12" t="inlineStr">
        <is>
          <t>WBS Code = 1.5.1</t>
        </is>
      </c>
      <c r="W1143" s="12" t="inlineStr"/>
    </row>
    <row r="1144" ht="49" customHeight="1">
      <c r="A1144" s="12" t="inlineStr">
        <is>
          <t>1.5.1</t>
        </is>
      </c>
      <c r="B1144" s="12" t="inlineStr">
        <is>
          <t>Testing and Commissioning - Test Readiness</t>
        </is>
      </c>
      <c r="C1144" s="12" t="inlineStr">
        <is>
          <t>Contractor Programme</t>
        </is>
      </c>
      <c r="D1144" s="12" t="inlineStr">
        <is>
          <t>SCH-05-082</t>
        </is>
      </c>
      <c r="E1144" s="12" t="inlineStr">
        <is>
          <t>West terminal: emergency-response drill - installation</t>
        </is>
      </c>
      <c r="F1144" s="12" t="inlineStr">
        <is>
          <t>ONE_TO_ONE</t>
        </is>
      </c>
      <c r="G1144" s="12" t="inlineStr">
        <is>
          <t>APPROVED</t>
        </is>
      </c>
      <c r="H1144" s="12" t="inlineStr">
        <is>
          <t>New</t>
        </is>
      </c>
      <c r="I1144" s="12" t="inlineStr">
        <is>
          <t>Source assignment -- not individually reviewed</t>
        </is>
      </c>
      <c r="J1144" s="12" t="inlineStr"/>
      <c r="K1144" s="12" t="inlineStr">
        <is>
          <t>Source assignment</t>
        </is>
      </c>
      <c r="L1144" s="12" t="inlineStr"/>
      <c r="M1144" s="12" t="inlineStr">
        <is>
          <t>Initial</t>
        </is>
      </c>
      <c r="N1144" s="12" t="inlineStr">
        <is>
          <t>Rev 0</t>
        </is>
      </c>
      <c r="O1144" s="12" t="inlineStr">
        <is>
          <t>R802-v1</t>
        </is>
      </c>
      <c r="P1144" s="12" t="inlineStr"/>
      <c r="Q1144" s="12" t="inlineStr"/>
      <c r="R1144" s="12" t="inlineStr"/>
      <c r="S1144" s="12" t="inlineStr"/>
      <c r="T1144" s="12" t="inlineStr"/>
      <c r="U1144" s="12" t="inlineStr"/>
      <c r="V1144" s="12" t="inlineStr">
        <is>
          <t>WBS Code = 1.5.1</t>
        </is>
      </c>
      <c r="W1144" s="12" t="inlineStr"/>
    </row>
    <row r="1145" ht="49" customHeight="1">
      <c r="A1145" s="12" t="inlineStr">
        <is>
          <t>1.5.1</t>
        </is>
      </c>
      <c r="B1145" s="12" t="inlineStr">
        <is>
          <t>Testing and Commissioning - Test Readiness</t>
        </is>
      </c>
      <c r="C1145" s="12" t="inlineStr">
        <is>
          <t>Contractor Programme</t>
        </is>
      </c>
      <c r="D1145" s="12" t="inlineStr">
        <is>
          <t>SCH-05-083</t>
        </is>
      </c>
      <c r="E1145" s="12" t="inlineStr">
        <is>
          <t>Depot: defect retest - inspection</t>
        </is>
      </c>
      <c r="F1145" s="12" t="inlineStr">
        <is>
          <t>ONE_TO_ONE</t>
        </is>
      </c>
      <c r="G1145" s="12" t="inlineStr">
        <is>
          <t>APPROVED</t>
        </is>
      </c>
      <c r="H1145" s="12" t="inlineStr">
        <is>
          <t>New</t>
        </is>
      </c>
      <c r="I1145" s="12" t="inlineStr">
        <is>
          <t>Source assignment -- not individually reviewed</t>
        </is>
      </c>
      <c r="J1145" s="12" t="inlineStr"/>
      <c r="K1145" s="12" t="inlineStr">
        <is>
          <t>Source assignment</t>
        </is>
      </c>
      <c r="L1145" s="12" t="inlineStr"/>
      <c r="M1145" s="12" t="inlineStr">
        <is>
          <t>Initial</t>
        </is>
      </c>
      <c r="N1145" s="12" t="inlineStr">
        <is>
          <t>Rev 0</t>
        </is>
      </c>
      <c r="O1145" s="12" t="inlineStr">
        <is>
          <t>R803-v1</t>
        </is>
      </c>
      <c r="P1145" s="12" t="inlineStr"/>
      <c r="Q1145" s="12" t="inlineStr"/>
      <c r="R1145" s="12" t="inlineStr"/>
      <c r="S1145" s="12" t="inlineStr"/>
      <c r="T1145" s="12" t="inlineStr"/>
      <c r="U1145" s="12" t="inlineStr"/>
      <c r="V1145" s="12" t="inlineStr">
        <is>
          <t>WBS Code = 1.5.1</t>
        </is>
      </c>
      <c r="W1145" s="12" t="inlineStr"/>
    </row>
    <row r="1146" ht="49" customHeight="1">
      <c r="A1146" s="12" t="inlineStr">
        <is>
          <t>1.5.1</t>
        </is>
      </c>
      <c r="B1146" s="12" t="inlineStr">
        <is>
          <t>Testing and Commissioning - Test Readiness</t>
        </is>
      </c>
      <c r="C1146" s="12" t="inlineStr">
        <is>
          <t>Contractor Programme</t>
        </is>
      </c>
      <c r="D1146" s="12" t="inlineStr">
        <is>
          <t>SCH-05-085</t>
        </is>
      </c>
      <c r="E1146" s="12" t="inlineStr">
        <is>
          <t>Mainline east: safety certificate evidence closeout - release</t>
        </is>
      </c>
      <c r="F1146" s="12" t="inlineStr">
        <is>
          <t>ONE_TO_ONE</t>
        </is>
      </c>
      <c r="G1146" s="12" t="inlineStr">
        <is>
          <t>APPROVED</t>
        </is>
      </c>
      <c r="H1146" s="12" t="inlineStr">
        <is>
          <t>New</t>
        </is>
      </c>
      <c r="I1146" s="12" t="inlineStr">
        <is>
          <t>Source assignment -- not individually reviewed</t>
        </is>
      </c>
      <c r="J1146" s="12" t="inlineStr"/>
      <c r="K1146" s="12" t="inlineStr">
        <is>
          <t>Source assignment</t>
        </is>
      </c>
      <c r="L1146" s="12" t="inlineStr"/>
      <c r="M1146" s="12" t="inlineStr">
        <is>
          <t>Initial</t>
        </is>
      </c>
      <c r="N1146" s="12" t="inlineStr">
        <is>
          <t>Rev 0</t>
        </is>
      </c>
      <c r="O1146" s="12" t="inlineStr">
        <is>
          <t>R805-v1</t>
        </is>
      </c>
      <c r="P1146" s="12" t="inlineStr"/>
      <c r="Q1146" s="12" t="inlineStr"/>
      <c r="R1146" s="12" t="inlineStr"/>
      <c r="S1146" s="12" t="inlineStr"/>
      <c r="T1146" s="12" t="inlineStr"/>
      <c r="U1146" s="12" t="inlineStr"/>
      <c r="V1146" s="12" t="inlineStr">
        <is>
          <t>WBS Code = 1.5.1</t>
        </is>
      </c>
      <c r="W1146" s="12" t="inlineStr"/>
    </row>
    <row r="1147" ht="49" customHeight="1">
      <c r="A1147" s="12" t="inlineStr">
        <is>
          <t>1.5.1</t>
        </is>
      </c>
      <c r="B1147" s="12" t="inlineStr">
        <is>
          <t>Testing and Commissioning - Test Readiness</t>
        </is>
      </c>
      <c r="C1147" s="12" t="inlineStr">
        <is>
          <t>Contractor Programme</t>
        </is>
      </c>
      <c r="D1147" s="12" t="inlineStr">
        <is>
          <t>SCH-05-086</t>
        </is>
      </c>
      <c r="E1147" s="12" t="inlineStr">
        <is>
          <t>Central section: service-readiness review - field start</t>
        </is>
      </c>
      <c r="F1147" s="12" t="inlineStr">
        <is>
          <t>ONE_TO_ONE</t>
        </is>
      </c>
      <c r="G1147" s="12" t="inlineStr">
        <is>
          <t>APPROVED</t>
        </is>
      </c>
      <c r="H1147" s="12" t="inlineStr">
        <is>
          <t>New</t>
        </is>
      </c>
      <c r="I1147" s="12" t="inlineStr">
        <is>
          <t>Source assignment -- not individually reviewed</t>
        </is>
      </c>
      <c r="J1147" s="12" t="inlineStr"/>
      <c r="K1147" s="12" t="inlineStr">
        <is>
          <t>Source assignment</t>
        </is>
      </c>
      <c r="L1147" s="12" t="inlineStr"/>
      <c r="M1147" s="12" t="inlineStr">
        <is>
          <t>Initial</t>
        </is>
      </c>
      <c r="N1147" s="12" t="inlineStr">
        <is>
          <t>Rev 0</t>
        </is>
      </c>
      <c r="O1147" s="12" t="inlineStr">
        <is>
          <t>R806-v1</t>
        </is>
      </c>
      <c r="P1147" s="12" t="inlineStr"/>
      <c r="Q1147" s="12" t="inlineStr"/>
      <c r="R1147" s="12" t="inlineStr"/>
      <c r="S1147" s="12" t="inlineStr"/>
      <c r="T1147" s="12" t="inlineStr"/>
      <c r="U1147" s="12" t="inlineStr"/>
      <c r="V1147" s="12" t="inlineStr">
        <is>
          <t>WBS Code = 1.5.1</t>
        </is>
      </c>
      <c r="W1147" s="12" t="inlineStr"/>
    </row>
    <row r="1148" ht="49" customHeight="1">
      <c r="A1148" s="12" t="inlineStr">
        <is>
          <t>1.5.1</t>
        </is>
      </c>
      <c r="B1148" s="12" t="inlineStr">
        <is>
          <t>Testing and Commissioning - Test Readiness</t>
        </is>
      </c>
      <c r="C1148" s="12" t="inlineStr">
        <is>
          <t>Contractor Programme</t>
        </is>
      </c>
      <c r="D1148" s="12" t="inlineStr">
        <is>
          <t>SCH-05-088</t>
        </is>
      </c>
      <c r="E1148" s="12" t="inlineStr">
        <is>
          <t>Depot: trial-running shift - inspection</t>
        </is>
      </c>
      <c r="F1148" s="12" t="inlineStr">
        <is>
          <t>ONE_TO_ONE</t>
        </is>
      </c>
      <c r="G1148" s="12" t="inlineStr">
        <is>
          <t>APPROVED</t>
        </is>
      </c>
      <c r="H1148" s="12" t="inlineStr">
        <is>
          <t>New</t>
        </is>
      </c>
      <c r="I1148" s="12" t="inlineStr">
        <is>
          <t>Source assignment -- not individually reviewed</t>
        </is>
      </c>
      <c r="J1148" s="12" t="inlineStr"/>
      <c r="K1148" s="12" t="inlineStr">
        <is>
          <t>Source assignment</t>
        </is>
      </c>
      <c r="L1148" s="12" t="inlineStr"/>
      <c r="M1148" s="12" t="inlineStr">
        <is>
          <t>Initial</t>
        </is>
      </c>
      <c r="N1148" s="12" t="inlineStr">
        <is>
          <t>Rev 0</t>
        </is>
      </c>
      <c r="O1148" s="12" t="inlineStr">
        <is>
          <t>R808-v1</t>
        </is>
      </c>
      <c r="P1148" s="12" t="inlineStr"/>
      <c r="Q1148" s="12" t="inlineStr"/>
      <c r="R1148" s="12" t="inlineStr"/>
      <c r="S1148" s="12" t="inlineStr"/>
      <c r="T1148" s="12" t="inlineStr"/>
      <c r="U1148" s="12" t="inlineStr"/>
      <c r="V1148" s="12" t="inlineStr">
        <is>
          <t>WBS Code = 1.5.1</t>
        </is>
      </c>
      <c r="W1148" s="12" t="inlineStr"/>
    </row>
    <row r="1149" ht="49" customHeight="1">
      <c r="A1149" s="12" t="inlineStr">
        <is>
          <t>1.5.1</t>
        </is>
      </c>
      <c r="B1149" s="12" t="inlineStr">
        <is>
          <t>Testing and Commissioning - Test Readiness</t>
        </is>
      </c>
      <c r="C1149" s="12" t="inlineStr">
        <is>
          <t>Contractor Programme</t>
        </is>
      </c>
      <c r="D1149" s="12" t="inlineStr">
        <is>
          <t>SCH-05-089</t>
        </is>
      </c>
      <c r="E1149" s="12" t="inlineStr">
        <is>
          <t>Control Centre: test procedure readiness review - turnover</t>
        </is>
      </c>
      <c r="F1149" s="12" t="inlineStr">
        <is>
          <t>ONE_TO_ONE</t>
        </is>
      </c>
      <c r="G1149" s="12" t="inlineStr">
        <is>
          <t>APPROVED</t>
        </is>
      </c>
      <c r="H1149" s="12" t="inlineStr">
        <is>
          <t>New</t>
        </is>
      </c>
      <c r="I1149" s="12" t="inlineStr">
        <is>
          <t>Source assignment -- not individually reviewed</t>
        </is>
      </c>
      <c r="J1149" s="12" t="inlineStr"/>
      <c r="K1149" s="12" t="inlineStr">
        <is>
          <t>Source assignment</t>
        </is>
      </c>
      <c r="L1149" s="12" t="inlineStr"/>
      <c r="M1149" s="12" t="inlineStr">
        <is>
          <t>Initial</t>
        </is>
      </c>
      <c r="N1149" s="12" t="inlineStr">
        <is>
          <t>Rev 0</t>
        </is>
      </c>
      <c r="O1149" s="12" t="inlineStr">
        <is>
          <t>R809-v1</t>
        </is>
      </c>
      <c r="P1149" s="12" t="inlineStr"/>
      <c r="Q1149" s="12" t="inlineStr"/>
      <c r="R1149" s="12" t="inlineStr"/>
      <c r="S1149" s="12" t="inlineStr"/>
      <c r="T1149" s="12" t="inlineStr"/>
      <c r="U1149" s="12" t="inlineStr"/>
      <c r="V1149" s="12" t="inlineStr">
        <is>
          <t>WBS Code = 1.5.1</t>
        </is>
      </c>
      <c r="W1149" s="12" t="inlineStr"/>
    </row>
    <row r="1150" ht="49" customHeight="1">
      <c r="A1150" s="12" t="inlineStr">
        <is>
          <t>1.5.1</t>
        </is>
      </c>
      <c r="B1150" s="12" t="inlineStr">
        <is>
          <t>Testing and Commissioning - Test Readiness</t>
        </is>
      </c>
      <c r="C1150" s="12" t="inlineStr">
        <is>
          <t>Contractor Programme</t>
        </is>
      </c>
      <c r="D1150" s="12" t="inlineStr">
        <is>
          <t>SCH-05-091</t>
        </is>
      </c>
      <c r="E1150" s="12" t="inlineStr">
        <is>
          <t>Central section: defect retest - field start</t>
        </is>
      </c>
      <c r="F1150" s="12" t="inlineStr">
        <is>
          <t>ONE_TO_ONE</t>
        </is>
      </c>
      <c r="G1150" s="12" t="inlineStr">
        <is>
          <t>APPROVED</t>
        </is>
      </c>
      <c r="H1150" s="12" t="inlineStr">
        <is>
          <t>New</t>
        </is>
      </c>
      <c r="I1150" s="12" t="inlineStr">
        <is>
          <t>Source assignment -- not individually reviewed</t>
        </is>
      </c>
      <c r="J1150" s="12" t="inlineStr"/>
      <c r="K1150" s="12" t="inlineStr">
        <is>
          <t>Source assignment</t>
        </is>
      </c>
      <c r="L1150" s="12" t="inlineStr"/>
      <c r="M1150" s="12" t="inlineStr">
        <is>
          <t>Initial</t>
        </is>
      </c>
      <c r="N1150" s="12" t="inlineStr">
        <is>
          <t>Rev 0</t>
        </is>
      </c>
      <c r="O1150" s="12" t="inlineStr">
        <is>
          <t>R811-v1</t>
        </is>
      </c>
      <c r="P1150" s="12" t="inlineStr"/>
      <c r="Q1150" s="12" t="inlineStr"/>
      <c r="R1150" s="12" t="inlineStr"/>
      <c r="S1150" s="12" t="inlineStr"/>
      <c r="T1150" s="12" t="inlineStr"/>
      <c r="U1150" s="12" t="inlineStr"/>
      <c r="V1150" s="12" t="inlineStr">
        <is>
          <t>WBS Code = 1.5.1</t>
        </is>
      </c>
      <c r="W1150" s="12" t="inlineStr"/>
    </row>
    <row r="1151" ht="49" customHeight="1">
      <c r="A1151" s="12" t="inlineStr">
        <is>
          <t>1.5.1</t>
        </is>
      </c>
      <c r="B1151" s="12" t="inlineStr">
        <is>
          <t>Testing and Commissioning - Test Readiness</t>
        </is>
      </c>
      <c r="C1151" s="12" t="inlineStr">
        <is>
          <t>Contractor Programme</t>
        </is>
      </c>
      <c r="D1151" s="12" t="inlineStr">
        <is>
          <t>SCH-05-092</t>
        </is>
      </c>
      <c r="E1151" s="12" t="inlineStr">
        <is>
          <t>West terminal: mainline dynamic test - installation</t>
        </is>
      </c>
      <c r="F1151" s="12" t="inlineStr">
        <is>
          <t>ONE_TO_ONE</t>
        </is>
      </c>
      <c r="G1151" s="12" t="inlineStr">
        <is>
          <t>APPROVED</t>
        </is>
      </c>
      <c r="H1151" s="12" t="inlineStr">
        <is>
          <t>New</t>
        </is>
      </c>
      <c r="I1151" s="12" t="inlineStr">
        <is>
          <t>Source assignment -- not individually reviewed</t>
        </is>
      </c>
      <c r="J1151" s="12" t="inlineStr"/>
      <c r="K1151" s="12" t="inlineStr">
        <is>
          <t>Source assignment</t>
        </is>
      </c>
      <c r="L1151" s="12" t="inlineStr"/>
      <c r="M1151" s="12" t="inlineStr">
        <is>
          <t>Initial</t>
        </is>
      </c>
      <c r="N1151" s="12" t="inlineStr">
        <is>
          <t>Rev 0</t>
        </is>
      </c>
      <c r="O1151" s="12" t="inlineStr">
        <is>
          <t>R812-v1</t>
        </is>
      </c>
      <c r="P1151" s="12" t="inlineStr"/>
      <c r="Q1151" s="12" t="inlineStr"/>
      <c r="R1151" s="12" t="inlineStr"/>
      <c r="S1151" s="12" t="inlineStr"/>
      <c r="T1151" s="12" t="inlineStr"/>
      <c r="U1151" s="12" t="inlineStr"/>
      <c r="V1151" s="12" t="inlineStr">
        <is>
          <t>WBS Code = 1.5.1</t>
        </is>
      </c>
      <c r="W1151" s="12" t="inlineStr"/>
    </row>
    <row r="1152" ht="49" customHeight="1">
      <c r="A1152" s="12" t="inlineStr">
        <is>
          <t>1.5.1</t>
        </is>
      </c>
      <c r="B1152" s="12" t="inlineStr">
        <is>
          <t>Testing and Commissioning - Test Readiness</t>
        </is>
      </c>
      <c r="C1152" s="12" t="inlineStr">
        <is>
          <t>Contractor Programme</t>
        </is>
      </c>
      <c r="D1152" s="12" t="inlineStr">
        <is>
          <t>SCH-05-094</t>
        </is>
      </c>
      <c r="E1152" s="12" t="inlineStr">
        <is>
          <t>Control Centre: service-readiness review - turnover</t>
        </is>
      </c>
      <c r="F1152" s="12" t="inlineStr">
        <is>
          <t>ONE_TO_ONE</t>
        </is>
      </c>
      <c r="G1152" s="12" t="inlineStr">
        <is>
          <t>APPROVED</t>
        </is>
      </c>
      <c r="H1152" s="12" t="inlineStr">
        <is>
          <t>New</t>
        </is>
      </c>
      <c r="I1152" s="12" t="inlineStr">
        <is>
          <t>Source assignment -- not individually reviewed</t>
        </is>
      </c>
      <c r="J1152" s="12" t="inlineStr"/>
      <c r="K1152" s="12" t="inlineStr">
        <is>
          <t>Source assignment</t>
        </is>
      </c>
      <c r="L1152" s="12" t="inlineStr"/>
      <c r="M1152" s="12" t="inlineStr">
        <is>
          <t>Initial</t>
        </is>
      </c>
      <c r="N1152" s="12" t="inlineStr">
        <is>
          <t>Rev 0</t>
        </is>
      </c>
      <c r="O1152" s="12" t="inlineStr">
        <is>
          <t>R814-v1</t>
        </is>
      </c>
      <c r="P1152" s="12" t="inlineStr"/>
      <c r="Q1152" s="12" t="inlineStr"/>
      <c r="R1152" s="12" t="inlineStr"/>
      <c r="S1152" s="12" t="inlineStr"/>
      <c r="T1152" s="12" t="inlineStr"/>
      <c r="U1152" s="12" t="inlineStr"/>
      <c r="V1152" s="12" t="inlineStr">
        <is>
          <t>WBS Code = 1.5.1</t>
        </is>
      </c>
      <c r="W1152" s="12" t="inlineStr"/>
    </row>
    <row r="1153" ht="49" customHeight="1">
      <c r="A1153" s="12" t="inlineStr">
        <is>
          <t>1.5.1</t>
        </is>
      </c>
      <c r="B1153" s="12" t="inlineStr">
        <is>
          <t>Testing and Commissioning - Test Readiness</t>
        </is>
      </c>
      <c r="C1153" s="12" t="inlineStr">
        <is>
          <t>Contractor Programme</t>
        </is>
      </c>
      <c r="D1153" s="12" t="inlineStr">
        <is>
          <t>SCH-05-095</t>
        </is>
      </c>
      <c r="E1153" s="12" t="inlineStr">
        <is>
          <t>Mainline east: station integrated test - release</t>
        </is>
      </c>
      <c r="F1153" s="12" t="inlineStr">
        <is>
          <t>ONE_TO_ONE</t>
        </is>
      </c>
      <c r="G1153" s="12" t="inlineStr">
        <is>
          <t>APPROVED</t>
        </is>
      </c>
      <c r="H1153" s="12" t="inlineStr">
        <is>
          <t>New</t>
        </is>
      </c>
      <c r="I1153" s="12" t="inlineStr">
        <is>
          <t>Source assignment -- not individually reviewed</t>
        </is>
      </c>
      <c r="J1153" s="12" t="inlineStr"/>
      <c r="K1153" s="12" t="inlineStr">
        <is>
          <t>Source assignment</t>
        </is>
      </c>
      <c r="L1153" s="12" t="inlineStr"/>
      <c r="M1153" s="12" t="inlineStr">
        <is>
          <t>Initial</t>
        </is>
      </c>
      <c r="N1153" s="12" t="inlineStr">
        <is>
          <t>Rev 0</t>
        </is>
      </c>
      <c r="O1153" s="12" t="inlineStr">
        <is>
          <t>R815-v1</t>
        </is>
      </c>
      <c r="P1153" s="12" t="inlineStr"/>
      <c r="Q1153" s="12" t="inlineStr"/>
      <c r="R1153" s="12" t="inlineStr"/>
      <c r="S1153" s="12" t="inlineStr"/>
      <c r="T1153" s="12" t="inlineStr"/>
      <c r="U1153" s="12" t="inlineStr"/>
      <c r="V1153" s="12" t="inlineStr">
        <is>
          <t>WBS Code = 1.5.1</t>
        </is>
      </c>
      <c r="W1153" s="12" t="inlineStr"/>
    </row>
    <row r="1154" ht="49" customHeight="1">
      <c r="A1154" s="12" t="inlineStr">
        <is>
          <t>1.5.1</t>
        </is>
      </c>
      <c r="B1154" s="12" t="inlineStr">
        <is>
          <t>Testing and Commissioning - Test Readiness</t>
        </is>
      </c>
      <c r="C1154" s="12" t="inlineStr">
        <is>
          <t>Contractor Programme</t>
        </is>
      </c>
      <c r="D1154" s="12" t="inlineStr">
        <is>
          <t>SCH-05-097</t>
        </is>
      </c>
      <c r="E1154" s="12" t="inlineStr">
        <is>
          <t>West terminal: test procedure readiness review - installation</t>
        </is>
      </c>
      <c r="F1154" s="12" t="inlineStr">
        <is>
          <t>ONE_TO_ONE</t>
        </is>
      </c>
      <c r="G1154" s="12" t="inlineStr">
        <is>
          <t>APPROVED</t>
        </is>
      </c>
      <c r="H1154" s="12" t="inlineStr">
        <is>
          <t>New</t>
        </is>
      </c>
      <c r="I1154" s="12" t="inlineStr">
        <is>
          <t>Source assignment -- not individually reviewed</t>
        </is>
      </c>
      <c r="J1154" s="12" t="inlineStr"/>
      <c r="K1154" s="12" t="inlineStr">
        <is>
          <t>Source assignment</t>
        </is>
      </c>
      <c r="L1154" s="12" t="inlineStr"/>
      <c r="M1154" s="12" t="inlineStr">
        <is>
          <t>Initial</t>
        </is>
      </c>
      <c r="N1154" s="12" t="inlineStr">
        <is>
          <t>Rev 0</t>
        </is>
      </c>
      <c r="O1154" s="12" t="inlineStr">
        <is>
          <t>R817-v1</t>
        </is>
      </c>
      <c r="P1154" s="12" t="inlineStr"/>
      <c r="Q1154" s="12" t="inlineStr"/>
      <c r="R1154" s="12" t="inlineStr"/>
      <c r="S1154" s="12" t="inlineStr"/>
      <c r="T1154" s="12" t="inlineStr"/>
      <c r="U1154" s="12" t="inlineStr"/>
      <c r="V1154" s="12" t="inlineStr">
        <is>
          <t>WBS Code = 1.5.1</t>
        </is>
      </c>
      <c r="W1154" s="12" t="inlineStr"/>
    </row>
    <row r="1155" ht="49" customHeight="1">
      <c r="A1155" s="12" t="inlineStr">
        <is>
          <t>1.5.1</t>
        </is>
      </c>
      <c r="B1155" s="12" t="inlineStr">
        <is>
          <t>Testing and Commissioning - Test Readiness</t>
        </is>
      </c>
      <c r="C1155" s="12" t="inlineStr">
        <is>
          <t>Contractor Programme</t>
        </is>
      </c>
      <c r="D1155" s="12" t="inlineStr">
        <is>
          <t>SCH-05-098</t>
        </is>
      </c>
      <c r="E1155" s="12" t="inlineStr">
        <is>
          <t>Depot: emergency-response drill - inspection</t>
        </is>
      </c>
      <c r="F1155" s="12" t="inlineStr">
        <is>
          <t>ONE_TO_ONE</t>
        </is>
      </c>
      <c r="G1155" s="12" t="inlineStr">
        <is>
          <t>APPROVED</t>
        </is>
      </c>
      <c r="H1155" s="12" t="inlineStr">
        <is>
          <t>New</t>
        </is>
      </c>
      <c r="I1155" s="12" t="inlineStr">
        <is>
          <t>Source assignment -- not individually reviewed</t>
        </is>
      </c>
      <c r="J1155" s="12" t="inlineStr"/>
      <c r="K1155" s="12" t="inlineStr">
        <is>
          <t>Source assignment</t>
        </is>
      </c>
      <c r="L1155" s="12" t="inlineStr"/>
      <c r="M1155" s="12" t="inlineStr">
        <is>
          <t>Initial</t>
        </is>
      </c>
      <c r="N1155" s="12" t="inlineStr">
        <is>
          <t>Rev 0</t>
        </is>
      </c>
      <c r="O1155" s="12" t="inlineStr">
        <is>
          <t>R818-v1</t>
        </is>
      </c>
      <c r="P1155" s="12" t="inlineStr"/>
      <c r="Q1155" s="12" t="inlineStr"/>
      <c r="R1155" s="12" t="inlineStr"/>
      <c r="S1155" s="12" t="inlineStr"/>
      <c r="T1155" s="12" t="inlineStr"/>
      <c r="U1155" s="12" t="inlineStr"/>
      <c r="V1155" s="12" t="inlineStr">
        <is>
          <t>WBS Code = 1.5.1</t>
        </is>
      </c>
      <c r="W1155" s="12" t="inlineStr"/>
    </row>
    <row r="1156" ht="49" customHeight="1">
      <c r="A1156" s="12" t="inlineStr">
        <is>
          <t>1.5.1</t>
        </is>
      </c>
      <c r="B1156" s="12" t="inlineStr">
        <is>
          <t>Testing and Commissioning - Test Readiness</t>
        </is>
      </c>
      <c r="C1156" s="12" t="inlineStr">
        <is>
          <t>Contractor Programme</t>
        </is>
      </c>
      <c r="D1156" s="12" t="inlineStr">
        <is>
          <t>SCH-05-100</t>
        </is>
      </c>
      <c r="E1156" s="12" t="inlineStr">
        <is>
          <t>Mainline east: mainline dynamic test - release</t>
        </is>
      </c>
      <c r="F1156" s="12" t="inlineStr">
        <is>
          <t>ONE_TO_ONE</t>
        </is>
      </c>
      <c r="G1156" s="12" t="inlineStr">
        <is>
          <t>APPROVED</t>
        </is>
      </c>
      <c r="H1156" s="12" t="inlineStr">
        <is>
          <t>New</t>
        </is>
      </c>
      <c r="I1156" s="12" t="inlineStr">
        <is>
          <t>Source assignment -- not individually reviewed</t>
        </is>
      </c>
      <c r="J1156" s="12" t="inlineStr"/>
      <c r="K1156" s="12" t="inlineStr">
        <is>
          <t>Source assignment</t>
        </is>
      </c>
      <c r="L1156" s="12" t="inlineStr"/>
      <c r="M1156" s="12" t="inlineStr">
        <is>
          <t>Initial</t>
        </is>
      </c>
      <c r="N1156" s="12" t="inlineStr">
        <is>
          <t>Rev 0</t>
        </is>
      </c>
      <c r="O1156" s="12" t="inlineStr">
        <is>
          <t>R820-v1</t>
        </is>
      </c>
      <c r="P1156" s="12" t="inlineStr"/>
      <c r="Q1156" s="12" t="inlineStr"/>
      <c r="R1156" s="12" t="inlineStr"/>
      <c r="S1156" s="12" t="inlineStr"/>
      <c r="T1156" s="12" t="inlineStr"/>
      <c r="U1156" s="12" t="inlineStr"/>
      <c r="V1156" s="12" t="inlineStr">
        <is>
          <t>WBS Code = 1.5.1</t>
        </is>
      </c>
      <c r="W1156" s="12" t="inlineStr"/>
    </row>
    <row r="1157" ht="49" customHeight="1">
      <c r="A1157" s="12" t="inlineStr">
        <is>
          <t>1.5.1</t>
        </is>
      </c>
      <c r="B1157" s="12" t="inlineStr">
        <is>
          <t>Testing and Commissioning - Test Readiness</t>
        </is>
      </c>
      <c r="C1157" s="12" t="inlineStr">
        <is>
          <t>Contractor Programme</t>
        </is>
      </c>
      <c r="D1157" s="12" t="inlineStr">
        <is>
          <t>SCH-05-101</t>
        </is>
      </c>
      <c r="E1157" s="12" t="inlineStr">
        <is>
          <t>Central section: safety certificate evidence closeout - field start</t>
        </is>
      </c>
      <c r="F1157" s="12" t="inlineStr">
        <is>
          <t>ONE_TO_ONE</t>
        </is>
      </c>
      <c r="G1157" s="12" t="inlineStr">
        <is>
          <t>APPROVED</t>
        </is>
      </c>
      <c r="H1157" s="12" t="inlineStr">
        <is>
          <t>New</t>
        </is>
      </c>
      <c r="I1157" s="12" t="inlineStr">
        <is>
          <t>Source assignment -- not individually reviewed</t>
        </is>
      </c>
      <c r="J1157" s="12" t="inlineStr"/>
      <c r="K1157" s="12" t="inlineStr">
        <is>
          <t>Source assignment</t>
        </is>
      </c>
      <c r="L1157" s="12" t="inlineStr"/>
      <c r="M1157" s="12" t="inlineStr">
        <is>
          <t>Initial</t>
        </is>
      </c>
      <c r="N1157" s="12" t="inlineStr">
        <is>
          <t>Rev 0</t>
        </is>
      </c>
      <c r="O1157" s="12" t="inlineStr">
        <is>
          <t>R821-v1</t>
        </is>
      </c>
      <c r="P1157" s="12" t="inlineStr"/>
      <c r="Q1157" s="12" t="inlineStr"/>
      <c r="R1157" s="12" t="inlineStr"/>
      <c r="S1157" s="12" t="inlineStr"/>
      <c r="T1157" s="12" t="inlineStr"/>
      <c r="U1157" s="12" t="inlineStr"/>
      <c r="V1157" s="12" t="inlineStr">
        <is>
          <t>WBS Code = 1.5.1</t>
        </is>
      </c>
      <c r="W1157" s="12" t="inlineStr"/>
    </row>
    <row r="1158" ht="49" customHeight="1">
      <c r="A1158" s="12" t="inlineStr">
        <is>
          <t>1.5.1</t>
        </is>
      </c>
      <c r="B1158" s="12" t="inlineStr">
        <is>
          <t>Testing and Commissioning - Test Readiness</t>
        </is>
      </c>
      <c r="C1158" s="12" t="inlineStr">
        <is>
          <t>Contractor Programme</t>
        </is>
      </c>
      <c r="D1158" s="12" t="inlineStr">
        <is>
          <t>SCH-05-103</t>
        </is>
      </c>
      <c r="E1158" s="12" t="inlineStr">
        <is>
          <t>Depot: station integrated test - inspection</t>
        </is>
      </c>
      <c r="F1158" s="12" t="inlineStr">
        <is>
          <t>ONE_TO_ONE</t>
        </is>
      </c>
      <c r="G1158" s="12" t="inlineStr">
        <is>
          <t>APPROVED</t>
        </is>
      </c>
      <c r="H1158" s="12" t="inlineStr">
        <is>
          <t>New</t>
        </is>
      </c>
      <c r="I1158" s="12" t="inlineStr">
        <is>
          <t>Source assignment -- not individually reviewed</t>
        </is>
      </c>
      <c r="J1158" s="12" t="inlineStr"/>
      <c r="K1158" s="12" t="inlineStr">
        <is>
          <t>Source assignment</t>
        </is>
      </c>
      <c r="L1158" s="12" t="inlineStr"/>
      <c r="M1158" s="12" t="inlineStr">
        <is>
          <t>Initial</t>
        </is>
      </c>
      <c r="N1158" s="12" t="inlineStr">
        <is>
          <t>Rev 0</t>
        </is>
      </c>
      <c r="O1158" s="12" t="inlineStr">
        <is>
          <t>R823-v1</t>
        </is>
      </c>
      <c r="P1158" s="12" t="inlineStr"/>
      <c r="Q1158" s="12" t="inlineStr"/>
      <c r="R1158" s="12" t="inlineStr"/>
      <c r="S1158" s="12" t="inlineStr"/>
      <c r="T1158" s="12" t="inlineStr"/>
      <c r="U1158" s="12" t="inlineStr"/>
      <c r="V1158" s="12" t="inlineStr">
        <is>
          <t>WBS Code = 1.5.1</t>
        </is>
      </c>
      <c r="W1158" s="12" t="inlineStr"/>
    </row>
    <row r="1159" ht="49" customHeight="1">
      <c r="A1159" s="12" t="inlineStr">
        <is>
          <t>1.5.1</t>
        </is>
      </c>
      <c r="B1159" s="12" t="inlineStr">
        <is>
          <t>Testing and Commissioning - Test Readiness</t>
        </is>
      </c>
      <c r="C1159" s="12" t="inlineStr">
        <is>
          <t>Contractor Programme</t>
        </is>
      </c>
      <c r="D1159" s="12" t="inlineStr">
        <is>
          <t>SCH-05-104</t>
        </is>
      </c>
      <c r="E1159" s="12" t="inlineStr">
        <is>
          <t>Control Centre: trial-running shift - turnover</t>
        </is>
      </c>
      <c r="F1159" s="12" t="inlineStr">
        <is>
          <t>ONE_TO_ONE</t>
        </is>
      </c>
      <c r="G1159" s="12" t="inlineStr">
        <is>
          <t>APPROVED</t>
        </is>
      </c>
      <c r="H1159" s="12" t="inlineStr">
        <is>
          <t>New</t>
        </is>
      </c>
      <c r="I1159" s="12" t="inlineStr">
        <is>
          <t>Source assignment -- not individually reviewed</t>
        </is>
      </c>
      <c r="J1159" s="12" t="inlineStr"/>
      <c r="K1159" s="12" t="inlineStr">
        <is>
          <t>Source assignment</t>
        </is>
      </c>
      <c r="L1159" s="12" t="inlineStr"/>
      <c r="M1159" s="12" t="inlineStr">
        <is>
          <t>Initial</t>
        </is>
      </c>
      <c r="N1159" s="12" t="inlineStr">
        <is>
          <t>Rev 0</t>
        </is>
      </c>
      <c r="O1159" s="12" t="inlineStr">
        <is>
          <t>R824-v1</t>
        </is>
      </c>
      <c r="P1159" s="12" t="inlineStr"/>
      <c r="Q1159" s="12" t="inlineStr"/>
      <c r="R1159" s="12" t="inlineStr"/>
      <c r="S1159" s="12" t="inlineStr"/>
      <c r="T1159" s="12" t="inlineStr"/>
      <c r="U1159" s="12" t="inlineStr"/>
      <c r="V1159" s="12" t="inlineStr">
        <is>
          <t>WBS Code = 1.5.1</t>
        </is>
      </c>
      <c r="W1159" s="12" t="inlineStr"/>
    </row>
    <row r="1160" ht="49" customHeight="1">
      <c r="A1160" s="12" t="inlineStr">
        <is>
          <t>1.5.1</t>
        </is>
      </c>
      <c r="B1160" s="12" t="inlineStr">
        <is>
          <t>Testing and Commissioning - Test Readiness</t>
        </is>
      </c>
      <c r="C1160" s="12" t="inlineStr">
        <is>
          <t>Contractor Programme</t>
        </is>
      </c>
      <c r="D1160" s="12" t="inlineStr">
        <is>
          <t>SCH-05-106</t>
        </is>
      </c>
      <c r="E1160" s="12" t="inlineStr">
        <is>
          <t>Central section: emergency-response drill - field start</t>
        </is>
      </c>
      <c r="F1160" s="12" t="inlineStr">
        <is>
          <t>ONE_TO_ONE</t>
        </is>
      </c>
      <c r="G1160" s="12" t="inlineStr">
        <is>
          <t>APPROVED</t>
        </is>
      </c>
      <c r="H1160" s="12" t="inlineStr">
        <is>
          <t>New</t>
        </is>
      </c>
      <c r="I1160" s="12" t="inlineStr">
        <is>
          <t>Source assignment -- not individually reviewed</t>
        </is>
      </c>
      <c r="J1160" s="12" t="inlineStr"/>
      <c r="K1160" s="12" t="inlineStr">
        <is>
          <t>Source assignment</t>
        </is>
      </c>
      <c r="L1160" s="12" t="inlineStr"/>
      <c r="M1160" s="12" t="inlineStr">
        <is>
          <t>Initial</t>
        </is>
      </c>
      <c r="N1160" s="12" t="inlineStr">
        <is>
          <t>Rev 0</t>
        </is>
      </c>
      <c r="O1160" s="12" t="inlineStr">
        <is>
          <t>R826-v1</t>
        </is>
      </c>
      <c r="P1160" s="12" t="inlineStr"/>
      <c r="Q1160" s="12" t="inlineStr"/>
      <c r="R1160" s="12" t="inlineStr"/>
      <c r="S1160" s="12" t="inlineStr"/>
      <c r="T1160" s="12" t="inlineStr"/>
      <c r="U1160" s="12" t="inlineStr"/>
      <c r="V1160" s="12" t="inlineStr">
        <is>
          <t>WBS Code = 1.5.1</t>
        </is>
      </c>
      <c r="W1160" s="12" t="inlineStr"/>
    </row>
    <row r="1161" ht="49" customHeight="1">
      <c r="A1161" s="12" t="inlineStr">
        <is>
          <t>1.5.1</t>
        </is>
      </c>
      <c r="B1161" s="12" t="inlineStr">
        <is>
          <t>Testing and Commissioning - Test Readiness</t>
        </is>
      </c>
      <c r="C1161" s="12" t="inlineStr">
        <is>
          <t>Contractor Programme</t>
        </is>
      </c>
      <c r="D1161" s="12" t="inlineStr">
        <is>
          <t>SCH-05-107</t>
        </is>
      </c>
      <c r="E1161" s="12" t="inlineStr">
        <is>
          <t>West terminal: defect retest - installation</t>
        </is>
      </c>
      <c r="F1161" s="12" t="inlineStr">
        <is>
          <t>ONE_TO_ONE</t>
        </is>
      </c>
      <c r="G1161" s="12" t="inlineStr">
        <is>
          <t>APPROVED</t>
        </is>
      </c>
      <c r="H1161" s="12" t="inlineStr">
        <is>
          <t>New</t>
        </is>
      </c>
      <c r="I1161" s="12" t="inlineStr">
        <is>
          <t>Source assignment -- not individually reviewed</t>
        </is>
      </c>
      <c r="J1161" s="12" t="inlineStr"/>
      <c r="K1161" s="12" t="inlineStr">
        <is>
          <t>Source assignment</t>
        </is>
      </c>
      <c r="L1161" s="12" t="inlineStr"/>
      <c r="M1161" s="12" t="inlineStr">
        <is>
          <t>Initial</t>
        </is>
      </c>
      <c r="N1161" s="12" t="inlineStr">
        <is>
          <t>Rev 0</t>
        </is>
      </c>
      <c r="O1161" s="12" t="inlineStr">
        <is>
          <t>R827-v1</t>
        </is>
      </c>
      <c r="P1161" s="12" t="inlineStr"/>
      <c r="Q1161" s="12" t="inlineStr"/>
      <c r="R1161" s="12" t="inlineStr"/>
      <c r="S1161" s="12" t="inlineStr"/>
      <c r="T1161" s="12" t="inlineStr"/>
      <c r="U1161" s="12" t="inlineStr"/>
      <c r="V1161" s="12" t="inlineStr">
        <is>
          <t>WBS Code = 1.5.1</t>
        </is>
      </c>
      <c r="W1161" s="12" t="inlineStr"/>
    </row>
    <row r="1162" ht="49" customHeight="1">
      <c r="A1162" s="12" t="inlineStr">
        <is>
          <t>1.5.1</t>
        </is>
      </c>
      <c r="B1162" s="12" t="inlineStr">
        <is>
          <t>Testing and Commissioning - Test Readiness</t>
        </is>
      </c>
      <c r="C1162" s="12" t="inlineStr">
        <is>
          <t>Contractor Programme</t>
        </is>
      </c>
      <c r="D1162" s="12" t="inlineStr">
        <is>
          <t>SCH-05-109</t>
        </is>
      </c>
      <c r="E1162" s="12" t="inlineStr">
        <is>
          <t>Control Centre: safety certificate evidence closeout - turnover</t>
        </is>
      </c>
      <c r="F1162" s="12" t="inlineStr">
        <is>
          <t>ONE_TO_ONE</t>
        </is>
      </c>
      <c r="G1162" s="12" t="inlineStr">
        <is>
          <t>APPROVED</t>
        </is>
      </c>
      <c r="H1162" s="12" t="inlineStr">
        <is>
          <t>New</t>
        </is>
      </c>
      <c r="I1162" s="12" t="inlineStr">
        <is>
          <t>Source assignment -- not individually reviewed</t>
        </is>
      </c>
      <c r="J1162" s="12" t="inlineStr"/>
      <c r="K1162" s="12" t="inlineStr">
        <is>
          <t>Source assignment</t>
        </is>
      </c>
      <c r="L1162" s="12" t="inlineStr"/>
      <c r="M1162" s="12" t="inlineStr">
        <is>
          <t>Initial</t>
        </is>
      </c>
      <c r="N1162" s="12" t="inlineStr">
        <is>
          <t>Rev 0</t>
        </is>
      </c>
      <c r="O1162" s="12" t="inlineStr">
        <is>
          <t>R829-v1</t>
        </is>
      </c>
      <c r="P1162" s="12" t="inlineStr"/>
      <c r="Q1162" s="12" t="inlineStr"/>
      <c r="R1162" s="12" t="inlineStr"/>
      <c r="S1162" s="12" t="inlineStr"/>
      <c r="T1162" s="12" t="inlineStr"/>
      <c r="U1162" s="12" t="inlineStr"/>
      <c r="V1162" s="12" t="inlineStr">
        <is>
          <t>WBS Code = 1.5.1</t>
        </is>
      </c>
      <c r="W1162" s="12" t="inlineStr"/>
    </row>
    <row r="1163" ht="49" customHeight="1">
      <c r="A1163" s="12" t="inlineStr">
        <is>
          <t>1.5.1</t>
        </is>
      </c>
      <c r="B1163" s="12" t="inlineStr">
        <is>
          <t>Testing and Commissioning - Test Readiness</t>
        </is>
      </c>
      <c r="C1163" s="12" t="inlineStr">
        <is>
          <t>Contractor Programme</t>
        </is>
      </c>
      <c r="D1163" s="12" t="inlineStr">
        <is>
          <t>SCH-05-110</t>
        </is>
      </c>
      <c r="E1163" s="12" t="inlineStr">
        <is>
          <t>Mainline east: service-readiness review - release</t>
        </is>
      </c>
      <c r="F1163" s="12" t="inlineStr">
        <is>
          <t>ONE_TO_ONE</t>
        </is>
      </c>
      <c r="G1163" s="12" t="inlineStr">
        <is>
          <t>APPROVED</t>
        </is>
      </c>
      <c r="H1163" s="12" t="inlineStr">
        <is>
          <t>New</t>
        </is>
      </c>
      <c r="I1163" s="12" t="inlineStr">
        <is>
          <t>Source assignment -- not individually reviewed</t>
        </is>
      </c>
      <c r="J1163" s="12" t="inlineStr"/>
      <c r="K1163" s="12" t="inlineStr">
        <is>
          <t>Source assignment</t>
        </is>
      </c>
      <c r="L1163" s="12" t="inlineStr"/>
      <c r="M1163" s="12" t="inlineStr">
        <is>
          <t>Initial</t>
        </is>
      </c>
      <c r="N1163" s="12" t="inlineStr">
        <is>
          <t>Rev 0</t>
        </is>
      </c>
      <c r="O1163" s="12" t="inlineStr">
        <is>
          <t>R830-v1</t>
        </is>
      </c>
      <c r="P1163" s="12" t="inlineStr"/>
      <c r="Q1163" s="12" t="inlineStr"/>
      <c r="R1163" s="12" t="inlineStr"/>
      <c r="S1163" s="12" t="inlineStr"/>
      <c r="T1163" s="12" t="inlineStr"/>
      <c r="U1163" s="12" t="inlineStr"/>
      <c r="V1163" s="12" t="inlineStr">
        <is>
          <t>WBS Code = 1.5.1</t>
        </is>
      </c>
      <c r="W1163" s="12" t="inlineStr"/>
    </row>
    <row r="1164" ht="49" customHeight="1">
      <c r="A1164" s="12" t="inlineStr">
        <is>
          <t>1.5.1</t>
        </is>
      </c>
      <c r="B1164" s="12" t="inlineStr">
        <is>
          <t>Testing and Commissioning - Test Readiness</t>
        </is>
      </c>
      <c r="C1164" s="12" t="inlineStr">
        <is>
          <t>Contractor Programme</t>
        </is>
      </c>
      <c r="D1164" s="12" t="inlineStr">
        <is>
          <t>SCH-05-112</t>
        </is>
      </c>
      <c r="E1164" s="12" t="inlineStr">
        <is>
          <t>West terminal: trial-running shift - installation</t>
        </is>
      </c>
      <c r="F1164" s="12" t="inlineStr">
        <is>
          <t>ONE_TO_ONE</t>
        </is>
      </c>
      <c r="G1164" s="12" t="inlineStr">
        <is>
          <t>APPROVED</t>
        </is>
      </c>
      <c r="H1164" s="12" t="inlineStr">
        <is>
          <t>New</t>
        </is>
      </c>
      <c r="I1164" s="12" t="inlineStr">
        <is>
          <t>Source assignment -- not individually reviewed</t>
        </is>
      </c>
      <c r="J1164" s="12" t="inlineStr"/>
      <c r="K1164" s="12" t="inlineStr">
        <is>
          <t>Source assignment</t>
        </is>
      </c>
      <c r="L1164" s="12" t="inlineStr"/>
      <c r="M1164" s="12" t="inlineStr">
        <is>
          <t>Initial</t>
        </is>
      </c>
      <c r="N1164" s="12" t="inlineStr">
        <is>
          <t>Rev 0</t>
        </is>
      </c>
      <c r="O1164" s="12" t="inlineStr">
        <is>
          <t>R832-v1</t>
        </is>
      </c>
      <c r="P1164" s="12" t="inlineStr"/>
      <c r="Q1164" s="12" t="inlineStr"/>
      <c r="R1164" s="12" t="inlineStr"/>
      <c r="S1164" s="12" t="inlineStr"/>
      <c r="T1164" s="12" t="inlineStr"/>
      <c r="U1164" s="12" t="inlineStr"/>
      <c r="V1164" s="12" t="inlineStr">
        <is>
          <t>WBS Code = 1.5.1</t>
        </is>
      </c>
      <c r="W1164" s="12" t="inlineStr"/>
    </row>
    <row r="1165" ht="49" customHeight="1">
      <c r="A1165" s="12" t="inlineStr">
        <is>
          <t>1.5.1</t>
        </is>
      </c>
      <c r="B1165" s="12" t="inlineStr">
        <is>
          <t>Testing and Commissioning - Test Readiness</t>
        </is>
      </c>
      <c r="C1165" s="12" t="inlineStr">
        <is>
          <t>Contractor Programme</t>
        </is>
      </c>
      <c r="D1165" s="12" t="inlineStr">
        <is>
          <t>SCH-05-113</t>
        </is>
      </c>
      <c r="E1165" s="12" t="inlineStr">
        <is>
          <t>Depot: test procedure readiness review - inspection</t>
        </is>
      </c>
      <c r="F1165" s="12" t="inlineStr">
        <is>
          <t>ONE_TO_ONE</t>
        </is>
      </c>
      <c r="G1165" s="12" t="inlineStr">
        <is>
          <t>APPROVED</t>
        </is>
      </c>
      <c r="H1165" s="12" t="inlineStr">
        <is>
          <t>New</t>
        </is>
      </c>
      <c r="I1165" s="12" t="inlineStr">
        <is>
          <t>Source assignment -- not individually reviewed</t>
        </is>
      </c>
      <c r="J1165" s="12" t="inlineStr"/>
      <c r="K1165" s="12" t="inlineStr">
        <is>
          <t>Source assignment</t>
        </is>
      </c>
      <c r="L1165" s="12" t="inlineStr"/>
      <c r="M1165" s="12" t="inlineStr">
        <is>
          <t>Initial</t>
        </is>
      </c>
      <c r="N1165" s="12" t="inlineStr">
        <is>
          <t>Rev 0</t>
        </is>
      </c>
      <c r="O1165" s="12" t="inlineStr">
        <is>
          <t>R833-v1</t>
        </is>
      </c>
      <c r="P1165" s="12" t="inlineStr"/>
      <c r="Q1165" s="12" t="inlineStr"/>
      <c r="R1165" s="12" t="inlineStr"/>
      <c r="S1165" s="12" t="inlineStr"/>
      <c r="T1165" s="12" t="inlineStr"/>
      <c r="U1165" s="12" t="inlineStr"/>
      <c r="V1165" s="12" t="inlineStr">
        <is>
          <t>WBS Code = 1.5.1</t>
        </is>
      </c>
      <c r="W1165" s="12" t="inlineStr"/>
    </row>
    <row r="1166" ht="49" customHeight="1">
      <c r="A1166" s="12" t="inlineStr">
        <is>
          <t>1.5.1</t>
        </is>
      </c>
      <c r="B1166" s="12" t="inlineStr">
        <is>
          <t>Testing and Commissioning - Test Readiness</t>
        </is>
      </c>
      <c r="C1166" s="12" t="inlineStr">
        <is>
          <t>Contractor Programme</t>
        </is>
      </c>
      <c r="D1166" s="12" t="inlineStr">
        <is>
          <t>SCH-05-115</t>
        </is>
      </c>
      <c r="E1166" s="12" t="inlineStr">
        <is>
          <t>Mainline east: defect retest - release</t>
        </is>
      </c>
      <c r="F1166" s="12" t="inlineStr">
        <is>
          <t>ONE_TO_ONE</t>
        </is>
      </c>
      <c r="G1166" s="12" t="inlineStr">
        <is>
          <t>APPROVED</t>
        </is>
      </c>
      <c r="H1166" s="12" t="inlineStr">
        <is>
          <t>New</t>
        </is>
      </c>
      <c r="I1166" s="12" t="inlineStr">
        <is>
          <t>Source assignment -- not individually reviewed</t>
        </is>
      </c>
      <c r="J1166" s="12" t="inlineStr"/>
      <c r="K1166" s="12" t="inlineStr">
        <is>
          <t>Source assignment</t>
        </is>
      </c>
      <c r="L1166" s="12" t="inlineStr"/>
      <c r="M1166" s="12" t="inlineStr">
        <is>
          <t>Initial</t>
        </is>
      </c>
      <c r="N1166" s="12" t="inlineStr">
        <is>
          <t>Rev 0</t>
        </is>
      </c>
      <c r="O1166" s="12" t="inlineStr">
        <is>
          <t>R835-v1</t>
        </is>
      </c>
      <c r="P1166" s="12" t="inlineStr"/>
      <c r="Q1166" s="12" t="inlineStr"/>
      <c r="R1166" s="12" t="inlineStr"/>
      <c r="S1166" s="12" t="inlineStr"/>
      <c r="T1166" s="12" t="inlineStr"/>
      <c r="U1166" s="12" t="inlineStr"/>
      <c r="V1166" s="12" t="inlineStr">
        <is>
          <t>WBS Code = 1.5.1</t>
        </is>
      </c>
      <c r="W1166" s="12" t="inlineStr"/>
    </row>
    <row r="1167" ht="49" customHeight="1">
      <c r="A1167" s="12" t="inlineStr">
        <is>
          <t>1.5.1</t>
        </is>
      </c>
      <c r="B1167" s="12" t="inlineStr">
        <is>
          <t>Testing and Commissioning - Test Readiness</t>
        </is>
      </c>
      <c r="C1167" s="12" t="inlineStr">
        <is>
          <t>Contractor Programme</t>
        </is>
      </c>
      <c r="D1167" s="12" t="inlineStr">
        <is>
          <t>SCH-05-116</t>
        </is>
      </c>
      <c r="E1167" s="12" t="inlineStr">
        <is>
          <t>Central section: mainline dynamic test - field start</t>
        </is>
      </c>
      <c r="F1167" s="12" t="inlineStr">
        <is>
          <t>ONE_TO_ONE</t>
        </is>
      </c>
      <c r="G1167" s="12" t="inlineStr">
        <is>
          <t>APPROVED</t>
        </is>
      </c>
      <c r="H1167" s="12" t="inlineStr">
        <is>
          <t>New</t>
        </is>
      </c>
      <c r="I1167" s="12" t="inlineStr">
        <is>
          <t>Source assignment -- not individually reviewed</t>
        </is>
      </c>
      <c r="J1167" s="12" t="inlineStr"/>
      <c r="K1167" s="12" t="inlineStr">
        <is>
          <t>Source assignment</t>
        </is>
      </c>
      <c r="L1167" s="12" t="inlineStr"/>
      <c r="M1167" s="12" t="inlineStr">
        <is>
          <t>Initial</t>
        </is>
      </c>
      <c r="N1167" s="12" t="inlineStr">
        <is>
          <t>Rev 0</t>
        </is>
      </c>
      <c r="O1167" s="12" t="inlineStr">
        <is>
          <t>R836-v1</t>
        </is>
      </c>
      <c r="P1167" s="12" t="inlineStr"/>
      <c r="Q1167" s="12" t="inlineStr"/>
      <c r="R1167" s="12" t="inlineStr"/>
      <c r="S1167" s="12" t="inlineStr"/>
      <c r="T1167" s="12" t="inlineStr"/>
      <c r="U1167" s="12" t="inlineStr"/>
      <c r="V1167" s="12" t="inlineStr">
        <is>
          <t>WBS Code = 1.5.1</t>
        </is>
      </c>
      <c r="W1167" s="12" t="inlineStr"/>
    </row>
    <row r="1168" ht="49" customHeight="1">
      <c r="A1168" s="12" t="inlineStr">
        <is>
          <t>1.5.1</t>
        </is>
      </c>
      <c r="B1168" s="12" t="inlineStr">
        <is>
          <t>Testing and Commissioning - Test Readiness</t>
        </is>
      </c>
      <c r="C1168" s="12" t="inlineStr">
        <is>
          <t>Contractor Programme</t>
        </is>
      </c>
      <c r="D1168" s="12" t="inlineStr">
        <is>
          <t>SCH-05-118</t>
        </is>
      </c>
      <c r="E1168" s="12" t="inlineStr">
        <is>
          <t>Depot: service-readiness review - inspection</t>
        </is>
      </c>
      <c r="F1168" s="12" t="inlineStr">
        <is>
          <t>ONE_TO_ONE</t>
        </is>
      </c>
      <c r="G1168" s="12" t="inlineStr">
        <is>
          <t>APPROVED</t>
        </is>
      </c>
      <c r="H1168" s="12" t="inlineStr">
        <is>
          <t>New</t>
        </is>
      </c>
      <c r="I1168" s="12" t="inlineStr">
        <is>
          <t>Source assignment -- not individually reviewed</t>
        </is>
      </c>
      <c r="J1168" s="12" t="inlineStr"/>
      <c r="K1168" s="12" t="inlineStr">
        <is>
          <t>Source assignment</t>
        </is>
      </c>
      <c r="L1168" s="12" t="inlineStr"/>
      <c r="M1168" s="12" t="inlineStr">
        <is>
          <t>Initial</t>
        </is>
      </c>
      <c r="N1168" s="12" t="inlineStr">
        <is>
          <t>Rev 0</t>
        </is>
      </c>
      <c r="O1168" s="12" t="inlineStr">
        <is>
          <t>R838-v1</t>
        </is>
      </c>
      <c r="P1168" s="12" t="inlineStr"/>
      <c r="Q1168" s="12" t="inlineStr"/>
      <c r="R1168" s="12" t="inlineStr"/>
      <c r="S1168" s="12" t="inlineStr"/>
      <c r="T1168" s="12" t="inlineStr"/>
      <c r="U1168" s="12" t="inlineStr"/>
      <c r="V1168" s="12" t="inlineStr">
        <is>
          <t>WBS Code = 1.5.1</t>
        </is>
      </c>
      <c r="W1168" s="12" t="inlineStr"/>
    </row>
    <row r="1169" ht="49" customHeight="1">
      <c r="A1169" s="12" t="inlineStr">
        <is>
          <t>1.5.1</t>
        </is>
      </c>
      <c r="B1169" s="12" t="inlineStr">
        <is>
          <t>Testing and Commissioning - Test Readiness</t>
        </is>
      </c>
      <c r="C1169" s="12" t="inlineStr">
        <is>
          <t>Contractor Programme</t>
        </is>
      </c>
      <c r="D1169" s="12" t="inlineStr">
        <is>
          <t>SCH-05-119</t>
        </is>
      </c>
      <c r="E1169" s="12" t="inlineStr">
        <is>
          <t>Control Centre: station integrated test - turnover</t>
        </is>
      </c>
      <c r="F1169" s="12" t="inlineStr">
        <is>
          <t>ONE_TO_ONE</t>
        </is>
      </c>
      <c r="G1169" s="12" t="inlineStr">
        <is>
          <t>APPROVED</t>
        </is>
      </c>
      <c r="H1169" s="12" t="inlineStr">
        <is>
          <t>New</t>
        </is>
      </c>
      <c r="I1169" s="12" t="inlineStr">
        <is>
          <t>Source assignment -- not individually reviewed</t>
        </is>
      </c>
      <c r="J1169" s="12" t="inlineStr"/>
      <c r="K1169" s="12" t="inlineStr">
        <is>
          <t>Source assignment</t>
        </is>
      </c>
      <c r="L1169" s="12" t="inlineStr"/>
      <c r="M1169" s="12" t="inlineStr">
        <is>
          <t>Initial</t>
        </is>
      </c>
      <c r="N1169" s="12" t="inlineStr">
        <is>
          <t>Rev 0</t>
        </is>
      </c>
      <c r="O1169" s="12" t="inlineStr">
        <is>
          <t>R839-v1</t>
        </is>
      </c>
      <c r="P1169" s="12" t="inlineStr"/>
      <c r="Q1169" s="12" t="inlineStr"/>
      <c r="R1169" s="12" t="inlineStr"/>
      <c r="S1169" s="12" t="inlineStr"/>
      <c r="T1169" s="12" t="inlineStr"/>
      <c r="U1169" s="12" t="inlineStr"/>
      <c r="V1169" s="12" t="inlineStr">
        <is>
          <t>WBS Code = 1.5.1</t>
        </is>
      </c>
      <c r="W1169" s="12" t="inlineStr"/>
    </row>
    <row r="1170" ht="49" customHeight="1">
      <c r="A1170" s="12" t="inlineStr">
        <is>
          <t>1.5.1</t>
        </is>
      </c>
      <c r="B1170" s="12" t="inlineStr">
        <is>
          <t>Testing and Commissioning - Test Readiness</t>
        </is>
      </c>
      <c r="C1170" s="12" t="inlineStr">
        <is>
          <t>Contractor Programme</t>
        </is>
      </c>
      <c r="D1170" s="12" t="inlineStr">
        <is>
          <t>SCH-05-121</t>
        </is>
      </c>
      <c r="E1170" s="12" t="inlineStr">
        <is>
          <t>Central section: test procedure readiness review - field start</t>
        </is>
      </c>
      <c r="F1170" s="12" t="inlineStr">
        <is>
          <t>ONE_TO_ONE</t>
        </is>
      </c>
      <c r="G1170" s="12" t="inlineStr">
        <is>
          <t>APPROVED</t>
        </is>
      </c>
      <c r="H1170" s="12" t="inlineStr">
        <is>
          <t>New</t>
        </is>
      </c>
      <c r="I1170" s="12" t="inlineStr">
        <is>
          <t>Source assignment -- not individually reviewed</t>
        </is>
      </c>
      <c r="J1170" s="12" t="inlineStr"/>
      <c r="K1170" s="12" t="inlineStr">
        <is>
          <t>Source assignment</t>
        </is>
      </c>
      <c r="L1170" s="12" t="inlineStr"/>
      <c r="M1170" s="12" t="inlineStr">
        <is>
          <t>Initial</t>
        </is>
      </c>
      <c r="N1170" s="12" t="inlineStr">
        <is>
          <t>Rev 0</t>
        </is>
      </c>
      <c r="O1170" s="12" t="inlineStr">
        <is>
          <t>R841-v1</t>
        </is>
      </c>
      <c r="P1170" s="12" t="inlineStr"/>
      <c r="Q1170" s="12" t="inlineStr"/>
      <c r="R1170" s="12" t="inlineStr"/>
      <c r="S1170" s="12" t="inlineStr"/>
      <c r="T1170" s="12" t="inlineStr"/>
      <c r="U1170" s="12" t="inlineStr"/>
      <c r="V1170" s="12" t="inlineStr">
        <is>
          <t>WBS Code = 1.5.1</t>
        </is>
      </c>
      <c r="W1170" s="12" t="inlineStr"/>
    </row>
    <row r="1171" ht="49" customHeight="1">
      <c r="A1171" s="12" t="inlineStr">
        <is>
          <t>1.5.1</t>
        </is>
      </c>
      <c r="B1171" s="12" t="inlineStr">
        <is>
          <t>Testing and Commissioning - Test Readiness</t>
        </is>
      </c>
      <c r="C1171" s="12" t="inlineStr">
        <is>
          <t>Contractor Programme</t>
        </is>
      </c>
      <c r="D1171" s="12" t="inlineStr">
        <is>
          <t>SCH-05-122</t>
        </is>
      </c>
      <c r="E1171" s="12" t="inlineStr">
        <is>
          <t>West terminal: emergency-response drill - installation</t>
        </is>
      </c>
      <c r="F1171" s="12" t="inlineStr">
        <is>
          <t>ONE_TO_ONE</t>
        </is>
      </c>
      <c r="G1171" s="12" t="inlineStr">
        <is>
          <t>APPROVED</t>
        </is>
      </c>
      <c r="H1171" s="12" t="inlineStr">
        <is>
          <t>New</t>
        </is>
      </c>
      <c r="I1171" s="12" t="inlineStr">
        <is>
          <t>Source assignment -- not individually reviewed</t>
        </is>
      </c>
      <c r="J1171" s="12" t="inlineStr"/>
      <c r="K1171" s="12" t="inlineStr">
        <is>
          <t>Source assignment</t>
        </is>
      </c>
      <c r="L1171" s="12" t="inlineStr"/>
      <c r="M1171" s="12" t="inlineStr">
        <is>
          <t>Initial</t>
        </is>
      </c>
      <c r="N1171" s="12" t="inlineStr">
        <is>
          <t>Rev 0</t>
        </is>
      </c>
      <c r="O1171" s="12" t="inlineStr">
        <is>
          <t>R842-v1</t>
        </is>
      </c>
      <c r="P1171" s="12" t="inlineStr"/>
      <c r="Q1171" s="12" t="inlineStr"/>
      <c r="R1171" s="12" t="inlineStr"/>
      <c r="S1171" s="12" t="inlineStr"/>
      <c r="T1171" s="12" t="inlineStr"/>
      <c r="U1171" s="12" t="inlineStr"/>
      <c r="V1171" s="12" t="inlineStr">
        <is>
          <t>WBS Code = 1.5.1</t>
        </is>
      </c>
      <c r="W1171" s="12" t="inlineStr"/>
    </row>
    <row r="1172" ht="49" customHeight="1">
      <c r="A1172" s="12" t="inlineStr">
        <is>
          <t>1.5.1</t>
        </is>
      </c>
      <c r="B1172" s="12" t="inlineStr">
        <is>
          <t>Testing and Commissioning - Test Readiness</t>
        </is>
      </c>
      <c r="C1172" s="12" t="inlineStr">
        <is>
          <t>Contractor Programme</t>
        </is>
      </c>
      <c r="D1172" s="12" t="inlineStr">
        <is>
          <t>SCH-05-124</t>
        </is>
      </c>
      <c r="E1172" s="12" t="inlineStr">
        <is>
          <t>Control Centre: mainline dynamic test - turnover</t>
        </is>
      </c>
      <c r="F1172" s="12" t="inlineStr">
        <is>
          <t>ONE_TO_ONE</t>
        </is>
      </c>
      <c r="G1172" s="12" t="inlineStr">
        <is>
          <t>APPROVED</t>
        </is>
      </c>
      <c r="H1172" s="12" t="inlineStr">
        <is>
          <t>New</t>
        </is>
      </c>
      <c r="I1172" s="12" t="inlineStr">
        <is>
          <t>Source assignment -- not individually reviewed</t>
        </is>
      </c>
      <c r="J1172" s="12" t="inlineStr"/>
      <c r="K1172" s="12" t="inlineStr">
        <is>
          <t>Source assignment</t>
        </is>
      </c>
      <c r="L1172" s="12" t="inlineStr"/>
      <c r="M1172" s="12" t="inlineStr">
        <is>
          <t>Initial</t>
        </is>
      </c>
      <c r="N1172" s="12" t="inlineStr">
        <is>
          <t>Rev 0</t>
        </is>
      </c>
      <c r="O1172" s="12" t="inlineStr">
        <is>
          <t>R844-v1</t>
        </is>
      </c>
      <c r="P1172" s="12" t="inlineStr"/>
      <c r="Q1172" s="12" t="inlineStr"/>
      <c r="R1172" s="12" t="inlineStr"/>
      <c r="S1172" s="12" t="inlineStr"/>
      <c r="T1172" s="12" t="inlineStr"/>
      <c r="U1172" s="12" t="inlineStr"/>
      <c r="V1172" s="12" t="inlineStr">
        <is>
          <t>WBS Code = 1.5.1</t>
        </is>
      </c>
      <c r="W1172" s="12" t="inlineStr"/>
    </row>
    <row r="1173" ht="49" customHeight="1">
      <c r="A1173" s="12" t="inlineStr">
        <is>
          <t>1.5.1</t>
        </is>
      </c>
      <c r="B1173" s="12" t="inlineStr">
        <is>
          <t>Testing and Commissioning - Test Readiness</t>
        </is>
      </c>
      <c r="C1173" s="12" t="inlineStr">
        <is>
          <t>Contractor Programme</t>
        </is>
      </c>
      <c r="D1173" s="12" t="inlineStr">
        <is>
          <t>SCH-05-125</t>
        </is>
      </c>
      <c r="E1173" s="12" t="inlineStr">
        <is>
          <t>Mainline east: safety certificate evidence closeout - release</t>
        </is>
      </c>
      <c r="F1173" s="12" t="inlineStr">
        <is>
          <t>ONE_TO_ONE</t>
        </is>
      </c>
      <c r="G1173" s="12" t="inlineStr">
        <is>
          <t>APPROVED</t>
        </is>
      </c>
      <c r="H1173" s="12" t="inlineStr">
        <is>
          <t>New</t>
        </is>
      </c>
      <c r="I1173" s="12" t="inlineStr">
        <is>
          <t>Source assignment -- not individually reviewed</t>
        </is>
      </c>
      <c r="J1173" s="12" t="inlineStr"/>
      <c r="K1173" s="12" t="inlineStr">
        <is>
          <t>Source assignment</t>
        </is>
      </c>
      <c r="L1173" s="12" t="inlineStr"/>
      <c r="M1173" s="12" t="inlineStr">
        <is>
          <t>Initial</t>
        </is>
      </c>
      <c r="N1173" s="12" t="inlineStr">
        <is>
          <t>Rev 0</t>
        </is>
      </c>
      <c r="O1173" s="12" t="inlineStr">
        <is>
          <t>R845-v1</t>
        </is>
      </c>
      <c r="P1173" s="12" t="inlineStr"/>
      <c r="Q1173" s="12" t="inlineStr"/>
      <c r="R1173" s="12" t="inlineStr"/>
      <c r="S1173" s="12" t="inlineStr"/>
      <c r="T1173" s="12" t="inlineStr"/>
      <c r="U1173" s="12" t="inlineStr"/>
      <c r="V1173" s="12" t="inlineStr">
        <is>
          <t>WBS Code = 1.5.1</t>
        </is>
      </c>
      <c r="W1173" s="12" t="inlineStr"/>
    </row>
    <row r="1174" ht="49" customHeight="1">
      <c r="A1174" s="12" t="inlineStr">
        <is>
          <t>1.5.1</t>
        </is>
      </c>
      <c r="B1174" s="12" t="inlineStr">
        <is>
          <t>Testing and Commissioning - Test Readiness</t>
        </is>
      </c>
      <c r="C1174" s="12" t="inlineStr">
        <is>
          <t>Contractor Programme</t>
        </is>
      </c>
      <c r="D1174" s="12" t="inlineStr">
        <is>
          <t>SCH-05-127</t>
        </is>
      </c>
      <c r="E1174" s="12" t="inlineStr">
        <is>
          <t>West terminal: station integrated test - installation</t>
        </is>
      </c>
      <c r="F1174" s="12" t="inlineStr">
        <is>
          <t>ONE_TO_ONE</t>
        </is>
      </c>
      <c r="G1174" s="12" t="inlineStr">
        <is>
          <t>APPROVED</t>
        </is>
      </c>
      <c r="H1174" s="12" t="inlineStr">
        <is>
          <t>New</t>
        </is>
      </c>
      <c r="I1174" s="12" t="inlineStr">
        <is>
          <t>Source assignment -- not individually reviewed</t>
        </is>
      </c>
      <c r="J1174" s="12" t="inlineStr"/>
      <c r="K1174" s="12" t="inlineStr">
        <is>
          <t>Source assignment</t>
        </is>
      </c>
      <c r="L1174" s="12" t="inlineStr"/>
      <c r="M1174" s="12" t="inlineStr">
        <is>
          <t>Initial</t>
        </is>
      </c>
      <c r="N1174" s="12" t="inlineStr">
        <is>
          <t>Rev 0</t>
        </is>
      </c>
      <c r="O1174" s="12" t="inlineStr">
        <is>
          <t>R847-v1</t>
        </is>
      </c>
      <c r="P1174" s="12" t="inlineStr"/>
      <c r="Q1174" s="12" t="inlineStr"/>
      <c r="R1174" s="12" t="inlineStr"/>
      <c r="S1174" s="12" t="inlineStr"/>
      <c r="T1174" s="12" t="inlineStr"/>
      <c r="U1174" s="12" t="inlineStr"/>
      <c r="V1174" s="12" t="inlineStr">
        <is>
          <t>WBS Code = 1.5.1</t>
        </is>
      </c>
      <c r="W1174" s="12" t="inlineStr"/>
    </row>
    <row r="1175" ht="49" customHeight="1">
      <c r="A1175" s="12" t="inlineStr">
        <is>
          <t>1.5.1</t>
        </is>
      </c>
      <c r="B1175" s="12" t="inlineStr">
        <is>
          <t>Testing and Commissioning - Test Readiness</t>
        </is>
      </c>
      <c r="C1175" s="12" t="inlineStr">
        <is>
          <t>Contractor Programme</t>
        </is>
      </c>
      <c r="D1175" s="12" t="inlineStr">
        <is>
          <t>SCH-05-128</t>
        </is>
      </c>
      <c r="E1175" s="12" t="inlineStr">
        <is>
          <t>Depot: trial-running shift - inspection</t>
        </is>
      </c>
      <c r="F1175" s="12" t="inlineStr">
        <is>
          <t>ONE_TO_ONE</t>
        </is>
      </c>
      <c r="G1175" s="12" t="inlineStr">
        <is>
          <t>APPROVED</t>
        </is>
      </c>
      <c r="H1175" s="12" t="inlineStr">
        <is>
          <t>New</t>
        </is>
      </c>
      <c r="I1175" s="12" t="inlineStr">
        <is>
          <t>Source assignment -- not individually reviewed</t>
        </is>
      </c>
      <c r="J1175" s="12" t="inlineStr"/>
      <c r="K1175" s="12" t="inlineStr">
        <is>
          <t>Source assignment</t>
        </is>
      </c>
      <c r="L1175" s="12" t="inlineStr"/>
      <c r="M1175" s="12" t="inlineStr">
        <is>
          <t>Initial</t>
        </is>
      </c>
      <c r="N1175" s="12" t="inlineStr">
        <is>
          <t>Rev 0</t>
        </is>
      </c>
      <c r="O1175" s="12" t="inlineStr">
        <is>
          <t>R848-v1</t>
        </is>
      </c>
      <c r="P1175" s="12" t="inlineStr"/>
      <c r="Q1175" s="12" t="inlineStr"/>
      <c r="R1175" s="12" t="inlineStr"/>
      <c r="S1175" s="12" t="inlineStr"/>
      <c r="T1175" s="12" t="inlineStr"/>
      <c r="U1175" s="12" t="inlineStr"/>
      <c r="V1175" s="12" t="inlineStr">
        <is>
          <t>WBS Code = 1.5.1</t>
        </is>
      </c>
      <c r="W1175" s="12" t="inlineStr"/>
    </row>
    <row r="1176" ht="49" customHeight="1">
      <c r="A1176" s="12" t="inlineStr">
        <is>
          <t>1.5.1</t>
        </is>
      </c>
      <c r="B1176" s="12" t="inlineStr">
        <is>
          <t>Testing and Commissioning - Test Readiness</t>
        </is>
      </c>
      <c r="C1176" s="12" t="inlineStr">
        <is>
          <t>Contractor Programme</t>
        </is>
      </c>
      <c r="D1176" s="12" t="inlineStr">
        <is>
          <t>SCH-05-130</t>
        </is>
      </c>
      <c r="E1176" s="12" t="inlineStr">
        <is>
          <t>Mainline east: emergency-response drill - release</t>
        </is>
      </c>
      <c r="F1176" s="12" t="inlineStr">
        <is>
          <t>ONE_TO_ONE</t>
        </is>
      </c>
      <c r="G1176" s="12" t="inlineStr">
        <is>
          <t>APPROVED</t>
        </is>
      </c>
      <c r="H1176" s="12" t="inlineStr">
        <is>
          <t>New</t>
        </is>
      </c>
      <c r="I1176" s="12" t="inlineStr">
        <is>
          <t>Source assignment -- not individually reviewed</t>
        </is>
      </c>
      <c r="J1176" s="12" t="inlineStr"/>
      <c r="K1176" s="12" t="inlineStr">
        <is>
          <t>Source assignment</t>
        </is>
      </c>
      <c r="L1176" s="12" t="inlineStr"/>
      <c r="M1176" s="12" t="inlineStr">
        <is>
          <t>Initial</t>
        </is>
      </c>
      <c r="N1176" s="12" t="inlineStr">
        <is>
          <t>Rev 0</t>
        </is>
      </c>
      <c r="O1176" s="12" t="inlineStr">
        <is>
          <t>R850-v1</t>
        </is>
      </c>
      <c r="P1176" s="12" t="inlineStr"/>
      <c r="Q1176" s="12" t="inlineStr"/>
      <c r="R1176" s="12" t="inlineStr"/>
      <c r="S1176" s="12" t="inlineStr"/>
      <c r="T1176" s="12" t="inlineStr"/>
      <c r="U1176" s="12" t="inlineStr"/>
      <c r="V1176" s="12" t="inlineStr">
        <is>
          <t>WBS Code = 1.5.1</t>
        </is>
      </c>
      <c r="W1176" s="12" t="inlineStr"/>
    </row>
    <row r="1177" ht="49" customHeight="1">
      <c r="A1177" s="12" t="inlineStr">
        <is>
          <t>1.5.1</t>
        </is>
      </c>
      <c r="B1177" s="12" t="inlineStr">
        <is>
          <t>Testing and Commissioning - Test Readiness</t>
        </is>
      </c>
      <c r="C1177" s="12" t="inlineStr">
        <is>
          <t>Contractor Programme</t>
        </is>
      </c>
      <c r="D1177" s="12" t="inlineStr">
        <is>
          <t>SCH-05-131</t>
        </is>
      </c>
      <c r="E1177" s="12" t="inlineStr">
        <is>
          <t>Central section: defect retest - field start</t>
        </is>
      </c>
      <c r="F1177" s="12" t="inlineStr">
        <is>
          <t>ONE_TO_ONE</t>
        </is>
      </c>
      <c r="G1177" s="12" t="inlineStr">
        <is>
          <t>APPROVED</t>
        </is>
      </c>
      <c r="H1177" s="12" t="inlineStr">
        <is>
          <t>New</t>
        </is>
      </c>
      <c r="I1177" s="12" t="inlineStr">
        <is>
          <t>Source assignment -- not individually reviewed</t>
        </is>
      </c>
      <c r="J1177" s="12" t="inlineStr"/>
      <c r="K1177" s="12" t="inlineStr">
        <is>
          <t>Source assignment</t>
        </is>
      </c>
      <c r="L1177" s="12" t="inlineStr"/>
      <c r="M1177" s="12" t="inlineStr">
        <is>
          <t>Initial</t>
        </is>
      </c>
      <c r="N1177" s="12" t="inlineStr">
        <is>
          <t>Rev 0</t>
        </is>
      </c>
      <c r="O1177" s="12" t="inlineStr">
        <is>
          <t>R851-v1</t>
        </is>
      </c>
      <c r="P1177" s="12" t="inlineStr"/>
      <c r="Q1177" s="12" t="inlineStr"/>
      <c r="R1177" s="12" t="inlineStr"/>
      <c r="S1177" s="12" t="inlineStr"/>
      <c r="T1177" s="12" t="inlineStr"/>
      <c r="U1177" s="12" t="inlineStr"/>
      <c r="V1177" s="12" t="inlineStr">
        <is>
          <t>WBS Code = 1.5.1</t>
        </is>
      </c>
      <c r="W1177" s="12" t="inlineStr"/>
    </row>
    <row r="1178" ht="49" customHeight="1">
      <c r="A1178" s="12" t="inlineStr">
        <is>
          <t>1.5.1</t>
        </is>
      </c>
      <c r="B1178" s="12" t="inlineStr">
        <is>
          <t>Testing and Commissioning - Test Readiness</t>
        </is>
      </c>
      <c r="C1178" s="12" t="inlineStr">
        <is>
          <t>Contractor Programme</t>
        </is>
      </c>
      <c r="D1178" s="12" t="inlineStr">
        <is>
          <t>SCH-05-133</t>
        </is>
      </c>
      <c r="E1178" s="12" t="inlineStr">
        <is>
          <t>Depot: safety certificate evidence closeout - inspection</t>
        </is>
      </c>
      <c r="F1178" s="12" t="inlineStr">
        <is>
          <t>ONE_TO_ONE</t>
        </is>
      </c>
      <c r="G1178" s="12" t="inlineStr">
        <is>
          <t>APPROVED</t>
        </is>
      </c>
      <c r="H1178" s="12" t="inlineStr">
        <is>
          <t>New</t>
        </is>
      </c>
      <c r="I1178" s="12" t="inlineStr">
        <is>
          <t>Source assignment -- not individually reviewed</t>
        </is>
      </c>
      <c r="J1178" s="12" t="inlineStr"/>
      <c r="K1178" s="12" t="inlineStr">
        <is>
          <t>Source assignment</t>
        </is>
      </c>
      <c r="L1178" s="12" t="inlineStr"/>
      <c r="M1178" s="12" t="inlineStr">
        <is>
          <t>Initial</t>
        </is>
      </c>
      <c r="N1178" s="12" t="inlineStr">
        <is>
          <t>Rev 0</t>
        </is>
      </c>
      <c r="O1178" s="12" t="inlineStr">
        <is>
          <t>R853-v1</t>
        </is>
      </c>
      <c r="P1178" s="12" t="inlineStr"/>
      <c r="Q1178" s="12" t="inlineStr"/>
      <c r="R1178" s="12" t="inlineStr"/>
      <c r="S1178" s="12" t="inlineStr"/>
      <c r="T1178" s="12" t="inlineStr"/>
      <c r="U1178" s="12" t="inlineStr"/>
      <c r="V1178" s="12" t="inlineStr">
        <is>
          <t>WBS Code = 1.5.1</t>
        </is>
      </c>
      <c r="W1178" s="12" t="inlineStr"/>
    </row>
    <row r="1179" ht="49" customHeight="1">
      <c r="A1179" s="12" t="inlineStr">
        <is>
          <t>1.5.1</t>
        </is>
      </c>
      <c r="B1179" s="12" t="inlineStr">
        <is>
          <t>Testing and Commissioning - Test Readiness</t>
        </is>
      </c>
      <c r="C1179" s="12" t="inlineStr">
        <is>
          <t>Contractor Programme</t>
        </is>
      </c>
      <c r="D1179" s="12" t="inlineStr">
        <is>
          <t>SCH-05-134</t>
        </is>
      </c>
      <c r="E1179" s="12" t="inlineStr">
        <is>
          <t>Control Centre: service-readiness review - turnover</t>
        </is>
      </c>
      <c r="F1179" s="12" t="inlineStr">
        <is>
          <t>ONE_TO_ONE</t>
        </is>
      </c>
      <c r="G1179" s="12" t="inlineStr">
        <is>
          <t>APPROVED</t>
        </is>
      </c>
      <c r="H1179" s="12" t="inlineStr">
        <is>
          <t>New</t>
        </is>
      </c>
      <c r="I1179" s="12" t="inlineStr">
        <is>
          <t>Source assignment -- not individually reviewed</t>
        </is>
      </c>
      <c r="J1179" s="12" t="inlineStr"/>
      <c r="K1179" s="12" t="inlineStr">
        <is>
          <t>Source assignment</t>
        </is>
      </c>
      <c r="L1179" s="12" t="inlineStr"/>
      <c r="M1179" s="12" t="inlineStr">
        <is>
          <t>Initial</t>
        </is>
      </c>
      <c r="N1179" s="12" t="inlineStr">
        <is>
          <t>Rev 0</t>
        </is>
      </c>
      <c r="O1179" s="12" t="inlineStr">
        <is>
          <t>R854-v1</t>
        </is>
      </c>
      <c r="P1179" s="12" t="inlineStr"/>
      <c r="Q1179" s="12" t="inlineStr"/>
      <c r="R1179" s="12" t="inlineStr"/>
      <c r="S1179" s="12" t="inlineStr"/>
      <c r="T1179" s="12" t="inlineStr"/>
      <c r="U1179" s="12" t="inlineStr"/>
      <c r="V1179" s="12" t="inlineStr">
        <is>
          <t>WBS Code = 1.5.1</t>
        </is>
      </c>
      <c r="W1179" s="12" t="inlineStr"/>
    </row>
    <row r="1180" ht="49" customHeight="1">
      <c r="A1180" s="12" t="inlineStr">
        <is>
          <t>1.5.1</t>
        </is>
      </c>
      <c r="B1180" s="12" t="inlineStr">
        <is>
          <t>Testing and Commissioning - Test Readiness</t>
        </is>
      </c>
      <c r="C1180" s="12" t="inlineStr">
        <is>
          <t>Contractor Programme</t>
        </is>
      </c>
      <c r="D1180" s="12" t="inlineStr">
        <is>
          <t>SCH-05-136</t>
        </is>
      </c>
      <c r="E1180" s="12" t="inlineStr">
        <is>
          <t>Central section: trial-running shift - field start</t>
        </is>
      </c>
      <c r="F1180" s="12" t="inlineStr">
        <is>
          <t>ONE_TO_ONE</t>
        </is>
      </c>
      <c r="G1180" s="12" t="inlineStr">
        <is>
          <t>APPROVED</t>
        </is>
      </c>
      <c r="H1180" s="12" t="inlineStr">
        <is>
          <t>New</t>
        </is>
      </c>
      <c r="I1180" s="12" t="inlineStr">
        <is>
          <t>Source assignment -- not individually reviewed</t>
        </is>
      </c>
      <c r="J1180" s="12" t="inlineStr"/>
      <c r="K1180" s="12" t="inlineStr">
        <is>
          <t>Source assignment</t>
        </is>
      </c>
      <c r="L1180" s="12" t="inlineStr"/>
      <c r="M1180" s="12" t="inlineStr">
        <is>
          <t>Initial</t>
        </is>
      </c>
      <c r="N1180" s="12" t="inlineStr">
        <is>
          <t>Rev 0</t>
        </is>
      </c>
      <c r="O1180" s="12" t="inlineStr">
        <is>
          <t>R856-v1</t>
        </is>
      </c>
      <c r="P1180" s="12" t="inlineStr"/>
      <c r="Q1180" s="12" t="inlineStr"/>
      <c r="R1180" s="12" t="inlineStr"/>
      <c r="S1180" s="12" t="inlineStr"/>
      <c r="T1180" s="12" t="inlineStr"/>
      <c r="U1180" s="12" t="inlineStr"/>
      <c r="V1180" s="12" t="inlineStr">
        <is>
          <t>WBS Code = 1.5.1</t>
        </is>
      </c>
      <c r="W1180" s="12" t="inlineStr"/>
    </row>
    <row r="1181" ht="49" customHeight="1">
      <c r="A1181" s="12" t="inlineStr">
        <is>
          <t>1.5.1</t>
        </is>
      </c>
      <c r="B1181" s="12" t="inlineStr">
        <is>
          <t>Testing and Commissioning - Test Readiness</t>
        </is>
      </c>
      <c r="C1181" s="12" t="inlineStr">
        <is>
          <t>Contractor Programme</t>
        </is>
      </c>
      <c r="D1181" s="12" t="inlineStr">
        <is>
          <t>SCH-05-137</t>
        </is>
      </c>
      <c r="E1181" s="12" t="inlineStr">
        <is>
          <t>West terminal: test procedure readiness review - installation</t>
        </is>
      </c>
      <c r="F1181" s="12" t="inlineStr">
        <is>
          <t>ONE_TO_ONE</t>
        </is>
      </c>
      <c r="G1181" s="12" t="inlineStr">
        <is>
          <t>APPROVED</t>
        </is>
      </c>
      <c r="H1181" s="12" t="inlineStr">
        <is>
          <t>New</t>
        </is>
      </c>
      <c r="I1181" s="12" t="inlineStr">
        <is>
          <t>Source assignment -- not individually reviewed</t>
        </is>
      </c>
      <c r="J1181" s="12" t="inlineStr"/>
      <c r="K1181" s="12" t="inlineStr">
        <is>
          <t>Source assignment</t>
        </is>
      </c>
      <c r="L1181" s="12" t="inlineStr"/>
      <c r="M1181" s="12" t="inlineStr">
        <is>
          <t>Initial</t>
        </is>
      </c>
      <c r="N1181" s="12" t="inlineStr">
        <is>
          <t>Rev 0</t>
        </is>
      </c>
      <c r="O1181" s="12" t="inlineStr">
        <is>
          <t>R857-v1</t>
        </is>
      </c>
      <c r="P1181" s="12" t="inlineStr"/>
      <c r="Q1181" s="12" t="inlineStr"/>
      <c r="R1181" s="12" t="inlineStr"/>
      <c r="S1181" s="12" t="inlineStr"/>
      <c r="T1181" s="12" t="inlineStr"/>
      <c r="U1181" s="12" t="inlineStr"/>
      <c r="V1181" s="12" t="inlineStr">
        <is>
          <t>WBS Code = 1.5.1</t>
        </is>
      </c>
      <c r="W1181" s="12" t="inlineStr"/>
    </row>
    <row r="1182" ht="49" customHeight="1">
      <c r="A1182" s="12" t="inlineStr">
        <is>
          <t>1.5.1</t>
        </is>
      </c>
      <c r="B1182" s="12" t="inlineStr">
        <is>
          <t>Testing and Commissioning - Test Readiness</t>
        </is>
      </c>
      <c r="C1182" s="12" t="inlineStr">
        <is>
          <t>Contractor Programme</t>
        </is>
      </c>
      <c r="D1182" s="12" t="inlineStr">
        <is>
          <t>SCH-05-139</t>
        </is>
      </c>
      <c r="E1182" s="12" t="inlineStr">
        <is>
          <t>Control Centre: defect retest - turnover</t>
        </is>
      </c>
      <c r="F1182" s="12" t="inlineStr">
        <is>
          <t>ONE_TO_ONE</t>
        </is>
      </c>
      <c r="G1182" s="12" t="inlineStr">
        <is>
          <t>APPROVED</t>
        </is>
      </c>
      <c r="H1182" s="12" t="inlineStr">
        <is>
          <t>New</t>
        </is>
      </c>
      <c r="I1182" s="12" t="inlineStr">
        <is>
          <t>Source assignment -- not individually reviewed</t>
        </is>
      </c>
      <c r="J1182" s="12" t="inlineStr"/>
      <c r="K1182" s="12" t="inlineStr">
        <is>
          <t>Source assignment</t>
        </is>
      </c>
      <c r="L1182" s="12" t="inlineStr"/>
      <c r="M1182" s="12" t="inlineStr">
        <is>
          <t>Initial</t>
        </is>
      </c>
      <c r="N1182" s="12" t="inlineStr">
        <is>
          <t>Rev 0</t>
        </is>
      </c>
      <c r="O1182" s="12" t="inlineStr">
        <is>
          <t>R859-v1</t>
        </is>
      </c>
      <c r="P1182" s="12" t="inlineStr"/>
      <c r="Q1182" s="12" t="inlineStr"/>
      <c r="R1182" s="12" t="inlineStr"/>
      <c r="S1182" s="12" t="inlineStr"/>
      <c r="T1182" s="12" t="inlineStr"/>
      <c r="U1182" s="12" t="inlineStr"/>
      <c r="V1182" s="12" t="inlineStr">
        <is>
          <t>WBS Code = 1.5.1</t>
        </is>
      </c>
      <c r="W1182" s="12" t="inlineStr"/>
    </row>
    <row r="1183" ht="49" customHeight="1">
      <c r="A1183" s="12" t="inlineStr">
        <is>
          <t>1.5.1</t>
        </is>
      </c>
      <c r="B1183" s="12" t="inlineStr">
        <is>
          <t>Testing and Commissioning - Test Readiness</t>
        </is>
      </c>
      <c r="C1183" s="12" t="inlineStr">
        <is>
          <t>Contractor Programme</t>
        </is>
      </c>
      <c r="D1183" s="12" t="inlineStr">
        <is>
          <t>SCH-05-140</t>
        </is>
      </c>
      <c r="E1183" s="12" t="inlineStr">
        <is>
          <t>Mainline east: mainline dynamic test - release</t>
        </is>
      </c>
      <c r="F1183" s="12" t="inlineStr">
        <is>
          <t>ONE_TO_ONE</t>
        </is>
      </c>
      <c r="G1183" s="12" t="inlineStr">
        <is>
          <t>APPROVED</t>
        </is>
      </c>
      <c r="H1183" s="12" t="inlineStr">
        <is>
          <t>New</t>
        </is>
      </c>
      <c r="I1183" s="12" t="inlineStr">
        <is>
          <t>Source assignment -- not individually reviewed</t>
        </is>
      </c>
      <c r="J1183" s="12" t="inlineStr"/>
      <c r="K1183" s="12" t="inlineStr">
        <is>
          <t>Source assignment</t>
        </is>
      </c>
      <c r="L1183" s="12" t="inlineStr"/>
      <c r="M1183" s="12" t="inlineStr">
        <is>
          <t>Initial</t>
        </is>
      </c>
      <c r="N1183" s="12" t="inlineStr">
        <is>
          <t>Rev 0</t>
        </is>
      </c>
      <c r="O1183" s="12" t="inlineStr">
        <is>
          <t>R860-v1</t>
        </is>
      </c>
      <c r="P1183" s="12" t="inlineStr"/>
      <c r="Q1183" s="12" t="inlineStr"/>
      <c r="R1183" s="12" t="inlineStr"/>
      <c r="S1183" s="12" t="inlineStr"/>
      <c r="T1183" s="12" t="inlineStr"/>
      <c r="U1183" s="12" t="inlineStr"/>
      <c r="V1183" s="12" t="inlineStr">
        <is>
          <t>WBS Code = 1.5.1</t>
        </is>
      </c>
      <c r="W1183" s="12" t="inlineStr"/>
    </row>
    <row r="1184" ht="49" customHeight="1">
      <c r="A1184" s="12" t="inlineStr">
        <is>
          <t>1.5.1</t>
        </is>
      </c>
      <c r="B1184" s="12" t="inlineStr">
        <is>
          <t>Testing and Commissioning - Test Readiness</t>
        </is>
      </c>
      <c r="C1184" s="12" t="inlineStr">
        <is>
          <t>Contractor Programme</t>
        </is>
      </c>
      <c r="D1184" s="12" t="inlineStr">
        <is>
          <t>SCH-05-142</t>
        </is>
      </c>
      <c r="E1184" s="12" t="inlineStr">
        <is>
          <t>West terminal: service-readiness review - installation</t>
        </is>
      </c>
      <c r="F1184" s="12" t="inlineStr">
        <is>
          <t>ONE_TO_ONE</t>
        </is>
      </c>
      <c r="G1184" s="12" t="inlineStr">
        <is>
          <t>APPROVED</t>
        </is>
      </c>
      <c r="H1184" s="12" t="inlineStr">
        <is>
          <t>New</t>
        </is>
      </c>
      <c r="I1184" s="12" t="inlineStr">
        <is>
          <t>Source assignment -- not individually reviewed</t>
        </is>
      </c>
      <c r="J1184" s="12" t="inlineStr"/>
      <c r="K1184" s="12" t="inlineStr">
        <is>
          <t>Source assignment</t>
        </is>
      </c>
      <c r="L1184" s="12" t="inlineStr"/>
      <c r="M1184" s="12" t="inlineStr">
        <is>
          <t>Initial</t>
        </is>
      </c>
      <c r="N1184" s="12" t="inlineStr">
        <is>
          <t>Rev 0</t>
        </is>
      </c>
      <c r="O1184" s="12" t="inlineStr">
        <is>
          <t>R862-v1</t>
        </is>
      </c>
      <c r="P1184" s="12" t="inlineStr"/>
      <c r="Q1184" s="12" t="inlineStr"/>
      <c r="R1184" s="12" t="inlineStr"/>
      <c r="S1184" s="12" t="inlineStr"/>
      <c r="T1184" s="12" t="inlineStr"/>
      <c r="U1184" s="12" t="inlineStr"/>
      <c r="V1184" s="12" t="inlineStr">
        <is>
          <t>WBS Code = 1.5.1</t>
        </is>
      </c>
      <c r="W1184" s="12" t="inlineStr"/>
    </row>
    <row r="1185" ht="49" customHeight="1">
      <c r="A1185" s="12" t="inlineStr">
        <is>
          <t>1.5.1</t>
        </is>
      </c>
      <c r="B1185" s="12" t="inlineStr">
        <is>
          <t>Testing and Commissioning - Test Readiness</t>
        </is>
      </c>
      <c r="C1185" s="12" t="inlineStr">
        <is>
          <t>Contractor Programme</t>
        </is>
      </c>
      <c r="D1185" s="12" t="inlineStr">
        <is>
          <t>SCH-05-143</t>
        </is>
      </c>
      <c r="E1185" s="12" t="inlineStr">
        <is>
          <t>Depot: station integrated test - inspection</t>
        </is>
      </c>
      <c r="F1185" s="12" t="inlineStr">
        <is>
          <t>ONE_TO_ONE</t>
        </is>
      </c>
      <c r="G1185" s="12" t="inlineStr">
        <is>
          <t>APPROVED</t>
        </is>
      </c>
      <c r="H1185" s="12" t="inlineStr">
        <is>
          <t>New</t>
        </is>
      </c>
      <c r="I1185" s="12" t="inlineStr">
        <is>
          <t>Source assignment -- not individually reviewed</t>
        </is>
      </c>
      <c r="J1185" s="12" t="inlineStr"/>
      <c r="K1185" s="12" t="inlineStr">
        <is>
          <t>Source assignment</t>
        </is>
      </c>
      <c r="L1185" s="12" t="inlineStr"/>
      <c r="M1185" s="12" t="inlineStr">
        <is>
          <t>Initial</t>
        </is>
      </c>
      <c r="N1185" s="12" t="inlineStr">
        <is>
          <t>Rev 0</t>
        </is>
      </c>
      <c r="O1185" s="12" t="inlineStr">
        <is>
          <t>R863-v1</t>
        </is>
      </c>
      <c r="P1185" s="12" t="inlineStr"/>
      <c r="Q1185" s="12" t="inlineStr"/>
      <c r="R1185" s="12" t="inlineStr"/>
      <c r="S1185" s="12" t="inlineStr"/>
      <c r="T1185" s="12" t="inlineStr"/>
      <c r="U1185" s="12" t="inlineStr"/>
      <c r="V1185" s="12" t="inlineStr">
        <is>
          <t>WBS Code = 1.5.1</t>
        </is>
      </c>
      <c r="W1185" s="12" t="inlineStr"/>
    </row>
    <row r="1186" ht="49" customHeight="1">
      <c r="A1186" s="12" t="inlineStr">
        <is>
          <t>1.5.1</t>
        </is>
      </c>
      <c r="B1186" s="12" t="inlineStr">
        <is>
          <t>Testing and Commissioning - Test Readiness</t>
        </is>
      </c>
      <c r="C1186" s="12" t="inlineStr">
        <is>
          <t>Contractor Programme</t>
        </is>
      </c>
      <c r="D1186" s="12" t="inlineStr">
        <is>
          <t>SCH-05-145</t>
        </is>
      </c>
      <c r="E1186" s="12" t="inlineStr">
        <is>
          <t>Mainline east: test procedure readiness review - release</t>
        </is>
      </c>
      <c r="F1186" s="12" t="inlineStr">
        <is>
          <t>ONE_TO_ONE</t>
        </is>
      </c>
      <c r="G1186" s="12" t="inlineStr">
        <is>
          <t>APPROVED</t>
        </is>
      </c>
      <c r="H1186" s="12" t="inlineStr">
        <is>
          <t>New</t>
        </is>
      </c>
      <c r="I1186" s="12" t="inlineStr">
        <is>
          <t>Source assignment -- not individually reviewed</t>
        </is>
      </c>
      <c r="J1186" s="12" t="inlineStr"/>
      <c r="K1186" s="12" t="inlineStr">
        <is>
          <t>Source assignment</t>
        </is>
      </c>
      <c r="L1186" s="12" t="inlineStr"/>
      <c r="M1186" s="12" t="inlineStr">
        <is>
          <t>Initial</t>
        </is>
      </c>
      <c r="N1186" s="12" t="inlineStr">
        <is>
          <t>Rev 0</t>
        </is>
      </c>
      <c r="O1186" s="12" t="inlineStr">
        <is>
          <t>R865-v1</t>
        </is>
      </c>
      <c r="P1186" s="12" t="inlineStr"/>
      <c r="Q1186" s="12" t="inlineStr"/>
      <c r="R1186" s="12" t="inlineStr"/>
      <c r="S1186" s="12" t="inlineStr"/>
      <c r="T1186" s="12" t="inlineStr"/>
      <c r="U1186" s="12" t="inlineStr"/>
      <c r="V1186" s="12" t="inlineStr">
        <is>
          <t>WBS Code = 1.5.1</t>
        </is>
      </c>
      <c r="W1186" s="12" t="inlineStr"/>
    </row>
    <row r="1187" ht="49" customHeight="1">
      <c r="A1187" s="12" t="inlineStr">
        <is>
          <t>1.5.1</t>
        </is>
      </c>
      <c r="B1187" s="12" t="inlineStr">
        <is>
          <t>Testing and Commissioning - Test Readiness</t>
        </is>
      </c>
      <c r="C1187" s="12" t="inlineStr">
        <is>
          <t>Contractor Programme</t>
        </is>
      </c>
      <c r="D1187" s="12" t="inlineStr">
        <is>
          <t>SCH-05-146</t>
        </is>
      </c>
      <c r="E1187" s="12" t="inlineStr">
        <is>
          <t>Central section: emergency-response drill - field start</t>
        </is>
      </c>
      <c r="F1187" s="12" t="inlineStr">
        <is>
          <t>ONE_TO_ONE</t>
        </is>
      </c>
      <c r="G1187" s="12" t="inlineStr">
        <is>
          <t>APPROVED</t>
        </is>
      </c>
      <c r="H1187" s="12" t="inlineStr">
        <is>
          <t>New</t>
        </is>
      </c>
      <c r="I1187" s="12" t="inlineStr">
        <is>
          <t>Source assignment -- not individually reviewed</t>
        </is>
      </c>
      <c r="J1187" s="12" t="inlineStr"/>
      <c r="K1187" s="12" t="inlineStr">
        <is>
          <t>Source assignment</t>
        </is>
      </c>
      <c r="L1187" s="12" t="inlineStr"/>
      <c r="M1187" s="12" t="inlineStr">
        <is>
          <t>Initial</t>
        </is>
      </c>
      <c r="N1187" s="12" t="inlineStr">
        <is>
          <t>Rev 0</t>
        </is>
      </c>
      <c r="O1187" s="12" t="inlineStr">
        <is>
          <t>R866-v1</t>
        </is>
      </c>
      <c r="P1187" s="12" t="inlineStr"/>
      <c r="Q1187" s="12" t="inlineStr"/>
      <c r="R1187" s="12" t="inlineStr"/>
      <c r="S1187" s="12" t="inlineStr"/>
      <c r="T1187" s="12" t="inlineStr"/>
      <c r="U1187" s="12" t="inlineStr"/>
      <c r="V1187" s="12" t="inlineStr">
        <is>
          <t>WBS Code = 1.5.1</t>
        </is>
      </c>
      <c r="W1187" s="12" t="inlineStr"/>
    </row>
    <row r="1188" ht="49" customHeight="1">
      <c r="A1188" s="12" t="inlineStr">
        <is>
          <t>1.5.1</t>
        </is>
      </c>
      <c r="B1188" s="12" t="inlineStr">
        <is>
          <t>Testing and Commissioning - Test Readiness</t>
        </is>
      </c>
      <c r="C1188" s="12" t="inlineStr">
        <is>
          <t>Contractor Programme</t>
        </is>
      </c>
      <c r="D1188" s="12" t="inlineStr">
        <is>
          <t>SCH-05-148</t>
        </is>
      </c>
      <c r="E1188" s="12" t="inlineStr">
        <is>
          <t>Depot: mainline dynamic test - inspection</t>
        </is>
      </c>
      <c r="F1188" s="12" t="inlineStr">
        <is>
          <t>ONE_TO_ONE</t>
        </is>
      </c>
      <c r="G1188" s="12" t="inlineStr">
        <is>
          <t>APPROVED</t>
        </is>
      </c>
      <c r="H1188" s="12" t="inlineStr">
        <is>
          <t>New</t>
        </is>
      </c>
      <c r="I1188" s="12" t="inlineStr">
        <is>
          <t>Source assignment -- not individually reviewed</t>
        </is>
      </c>
      <c r="J1188" s="12" t="inlineStr"/>
      <c r="K1188" s="12" t="inlineStr">
        <is>
          <t>Source assignment</t>
        </is>
      </c>
      <c r="L1188" s="12" t="inlineStr"/>
      <c r="M1188" s="12" t="inlineStr">
        <is>
          <t>Initial</t>
        </is>
      </c>
      <c r="N1188" s="12" t="inlineStr">
        <is>
          <t>Rev 0</t>
        </is>
      </c>
      <c r="O1188" s="12" t="inlineStr">
        <is>
          <t>R868-v1</t>
        </is>
      </c>
      <c r="P1188" s="12" t="inlineStr"/>
      <c r="Q1188" s="12" t="inlineStr"/>
      <c r="R1188" s="12" t="inlineStr"/>
      <c r="S1188" s="12" t="inlineStr"/>
      <c r="T1188" s="12" t="inlineStr"/>
      <c r="U1188" s="12" t="inlineStr"/>
      <c r="V1188" s="12" t="inlineStr">
        <is>
          <t>WBS Code = 1.5.1</t>
        </is>
      </c>
      <c r="W1188" s="12" t="inlineStr"/>
    </row>
    <row r="1189" ht="49" customHeight="1">
      <c r="A1189" s="12" t="inlineStr">
        <is>
          <t>1.5.1</t>
        </is>
      </c>
      <c r="B1189" s="12" t="inlineStr">
        <is>
          <t>Testing and Commissioning - Test Readiness</t>
        </is>
      </c>
      <c r="C1189" s="12" t="inlineStr">
        <is>
          <t>Contractor Programme</t>
        </is>
      </c>
      <c r="D1189" s="12" t="inlineStr">
        <is>
          <t>SCH-05-149</t>
        </is>
      </c>
      <c r="E1189" s="12" t="inlineStr">
        <is>
          <t>Control Centre: safety certificate evidence closeout - turnover</t>
        </is>
      </c>
      <c r="F1189" s="12" t="inlineStr">
        <is>
          <t>ONE_TO_ONE</t>
        </is>
      </c>
      <c r="G1189" s="12" t="inlineStr">
        <is>
          <t>APPROVED</t>
        </is>
      </c>
      <c r="H1189" s="12" t="inlineStr">
        <is>
          <t>New</t>
        </is>
      </c>
      <c r="I1189" s="12" t="inlineStr">
        <is>
          <t>Source assignment -- not individually reviewed</t>
        </is>
      </c>
      <c r="J1189" s="12" t="inlineStr"/>
      <c r="K1189" s="12" t="inlineStr">
        <is>
          <t>Source assignment</t>
        </is>
      </c>
      <c r="L1189" s="12" t="inlineStr"/>
      <c r="M1189" s="12" t="inlineStr">
        <is>
          <t>Initial</t>
        </is>
      </c>
      <c r="N1189" s="12" t="inlineStr">
        <is>
          <t>Rev 0</t>
        </is>
      </c>
      <c r="O1189" s="12" t="inlineStr">
        <is>
          <t>R869-v1</t>
        </is>
      </c>
      <c r="P1189" s="12" t="inlineStr"/>
      <c r="Q1189" s="12" t="inlineStr"/>
      <c r="R1189" s="12" t="inlineStr"/>
      <c r="S1189" s="12" t="inlineStr"/>
      <c r="T1189" s="12" t="inlineStr"/>
      <c r="U1189" s="12" t="inlineStr"/>
      <c r="V1189" s="12" t="inlineStr">
        <is>
          <t>WBS Code = 1.5.1</t>
        </is>
      </c>
      <c r="W1189" s="12" t="inlineStr"/>
    </row>
    <row r="1190" ht="49" customHeight="1">
      <c r="A1190" s="12" t="inlineStr">
        <is>
          <t>1.5.1</t>
        </is>
      </c>
      <c r="B1190" s="12" t="inlineStr">
        <is>
          <t>Testing and Commissioning - Test Readiness</t>
        </is>
      </c>
      <c r="C1190" s="12" t="inlineStr">
        <is>
          <t>Contractor Programme</t>
        </is>
      </c>
      <c r="D1190" s="12" t="inlineStr">
        <is>
          <t>SCH-05-151</t>
        </is>
      </c>
      <c r="E1190" s="12" t="inlineStr">
        <is>
          <t>Central section: station integrated test - field start</t>
        </is>
      </c>
      <c r="F1190" s="12" t="inlineStr">
        <is>
          <t>ONE_TO_ONE</t>
        </is>
      </c>
      <c r="G1190" s="12" t="inlineStr">
        <is>
          <t>APPROVED</t>
        </is>
      </c>
      <c r="H1190" s="12" t="inlineStr">
        <is>
          <t>New</t>
        </is>
      </c>
      <c r="I1190" s="12" t="inlineStr">
        <is>
          <t>Source assignment -- not individually reviewed</t>
        </is>
      </c>
      <c r="J1190" s="12" t="inlineStr"/>
      <c r="K1190" s="12" t="inlineStr">
        <is>
          <t>Source assignment</t>
        </is>
      </c>
      <c r="L1190" s="12" t="inlineStr"/>
      <c r="M1190" s="12" t="inlineStr">
        <is>
          <t>Initial</t>
        </is>
      </c>
      <c r="N1190" s="12" t="inlineStr">
        <is>
          <t>Rev 0</t>
        </is>
      </c>
      <c r="O1190" s="12" t="inlineStr">
        <is>
          <t>R871-v1</t>
        </is>
      </c>
      <c r="P1190" s="12" t="inlineStr"/>
      <c r="Q1190" s="12" t="inlineStr"/>
      <c r="R1190" s="12" t="inlineStr"/>
      <c r="S1190" s="12" t="inlineStr"/>
      <c r="T1190" s="12" t="inlineStr"/>
      <c r="U1190" s="12" t="inlineStr"/>
      <c r="V1190" s="12" t="inlineStr">
        <is>
          <t>WBS Code = 1.5.1</t>
        </is>
      </c>
      <c r="W1190" s="12" t="inlineStr"/>
    </row>
    <row r="1191" ht="49" customHeight="1">
      <c r="A1191" s="12" t="inlineStr">
        <is>
          <t>1.5.1</t>
        </is>
      </c>
      <c r="B1191" s="12" t="inlineStr">
        <is>
          <t>Testing and Commissioning - Test Readiness</t>
        </is>
      </c>
      <c r="C1191" s="12" t="inlineStr">
        <is>
          <t>Contractor Programme</t>
        </is>
      </c>
      <c r="D1191" s="12" t="inlineStr">
        <is>
          <t>SCH-05-152</t>
        </is>
      </c>
      <c r="E1191" s="12" t="inlineStr">
        <is>
          <t>West terminal: trial-running shift - installation</t>
        </is>
      </c>
      <c r="F1191" s="12" t="inlineStr">
        <is>
          <t>ONE_TO_ONE</t>
        </is>
      </c>
      <c r="G1191" s="12" t="inlineStr">
        <is>
          <t>APPROVED</t>
        </is>
      </c>
      <c r="H1191" s="12" t="inlineStr">
        <is>
          <t>New</t>
        </is>
      </c>
      <c r="I1191" s="12" t="inlineStr">
        <is>
          <t>Source assignment -- not individually reviewed</t>
        </is>
      </c>
      <c r="J1191" s="12" t="inlineStr"/>
      <c r="K1191" s="12" t="inlineStr">
        <is>
          <t>Source assignment</t>
        </is>
      </c>
      <c r="L1191" s="12" t="inlineStr"/>
      <c r="M1191" s="12" t="inlineStr">
        <is>
          <t>Initial</t>
        </is>
      </c>
      <c r="N1191" s="12" t="inlineStr">
        <is>
          <t>Rev 0</t>
        </is>
      </c>
      <c r="O1191" s="12" t="inlineStr">
        <is>
          <t>R872-v1</t>
        </is>
      </c>
      <c r="P1191" s="12" t="inlineStr"/>
      <c r="Q1191" s="12" t="inlineStr"/>
      <c r="R1191" s="12" t="inlineStr"/>
      <c r="S1191" s="12" t="inlineStr"/>
      <c r="T1191" s="12" t="inlineStr"/>
      <c r="U1191" s="12" t="inlineStr"/>
      <c r="V1191" s="12" t="inlineStr">
        <is>
          <t>WBS Code = 1.5.1</t>
        </is>
      </c>
      <c r="W1191" s="12" t="inlineStr"/>
    </row>
    <row r="1192" ht="49" customHeight="1">
      <c r="A1192" s="12" t="inlineStr">
        <is>
          <t>1.5.1</t>
        </is>
      </c>
      <c r="B1192" s="12" t="inlineStr">
        <is>
          <t>Testing and Commissioning - Test Readiness</t>
        </is>
      </c>
      <c r="C1192" s="12" t="inlineStr">
        <is>
          <t>Contractor Programme</t>
        </is>
      </c>
      <c r="D1192" s="12" t="inlineStr">
        <is>
          <t>SCH-05-154</t>
        </is>
      </c>
      <c r="E1192" s="12" t="inlineStr">
        <is>
          <t>Control Centre: emergency-response drill - turnover</t>
        </is>
      </c>
      <c r="F1192" s="12" t="inlineStr">
        <is>
          <t>ONE_TO_ONE</t>
        </is>
      </c>
      <c r="G1192" s="12" t="inlineStr">
        <is>
          <t>APPROVED</t>
        </is>
      </c>
      <c r="H1192" s="12" t="inlineStr">
        <is>
          <t>New</t>
        </is>
      </c>
      <c r="I1192" s="12" t="inlineStr">
        <is>
          <t>Source assignment -- not individually reviewed</t>
        </is>
      </c>
      <c r="J1192" s="12" t="inlineStr"/>
      <c r="K1192" s="12" t="inlineStr">
        <is>
          <t>Source assignment</t>
        </is>
      </c>
      <c r="L1192" s="12" t="inlineStr"/>
      <c r="M1192" s="12" t="inlineStr">
        <is>
          <t>Initial</t>
        </is>
      </c>
      <c r="N1192" s="12" t="inlineStr">
        <is>
          <t>Rev 0</t>
        </is>
      </c>
      <c r="O1192" s="12" t="inlineStr">
        <is>
          <t>R874-v1</t>
        </is>
      </c>
      <c r="P1192" s="12" t="inlineStr"/>
      <c r="Q1192" s="12" t="inlineStr"/>
      <c r="R1192" s="12" t="inlineStr"/>
      <c r="S1192" s="12" t="inlineStr"/>
      <c r="T1192" s="12" t="inlineStr"/>
      <c r="U1192" s="12" t="inlineStr"/>
      <c r="V1192" s="12" t="inlineStr">
        <is>
          <t>WBS Code = 1.5.1</t>
        </is>
      </c>
      <c r="W1192" s="12" t="inlineStr"/>
    </row>
    <row r="1193" ht="49" customHeight="1">
      <c r="A1193" s="12" t="inlineStr">
        <is>
          <t>1.5.1</t>
        </is>
      </c>
      <c r="B1193" s="12" t="inlineStr">
        <is>
          <t>Testing and Commissioning - Test Readiness</t>
        </is>
      </c>
      <c r="C1193" s="12" t="inlineStr">
        <is>
          <t>Contractor Programme</t>
        </is>
      </c>
      <c r="D1193" s="12" t="inlineStr">
        <is>
          <t>SCH-05-155</t>
        </is>
      </c>
      <c r="E1193" s="12" t="inlineStr">
        <is>
          <t>Mainline east: defect retest - release</t>
        </is>
      </c>
      <c r="F1193" s="12" t="inlineStr">
        <is>
          <t>ONE_TO_ONE</t>
        </is>
      </c>
      <c r="G1193" s="12" t="inlineStr">
        <is>
          <t>APPROVED</t>
        </is>
      </c>
      <c r="H1193" s="12" t="inlineStr">
        <is>
          <t>New</t>
        </is>
      </c>
      <c r="I1193" s="12" t="inlineStr">
        <is>
          <t>Source assignment -- not individually reviewed</t>
        </is>
      </c>
      <c r="J1193" s="12" t="inlineStr"/>
      <c r="K1193" s="12" t="inlineStr">
        <is>
          <t>Source assignment</t>
        </is>
      </c>
      <c r="L1193" s="12" t="inlineStr"/>
      <c r="M1193" s="12" t="inlineStr">
        <is>
          <t>Initial</t>
        </is>
      </c>
      <c r="N1193" s="12" t="inlineStr">
        <is>
          <t>Rev 0</t>
        </is>
      </c>
      <c r="O1193" s="12" t="inlineStr">
        <is>
          <t>R875-v1</t>
        </is>
      </c>
      <c r="P1193" s="12" t="inlineStr"/>
      <c r="Q1193" s="12" t="inlineStr"/>
      <c r="R1193" s="12" t="inlineStr"/>
      <c r="S1193" s="12" t="inlineStr"/>
      <c r="T1193" s="12" t="inlineStr"/>
      <c r="U1193" s="12" t="inlineStr"/>
      <c r="V1193" s="12" t="inlineStr">
        <is>
          <t>WBS Code = 1.5.1</t>
        </is>
      </c>
      <c r="W1193" s="12" t="inlineStr"/>
    </row>
    <row r="1194" ht="49" customHeight="1">
      <c r="A1194" s="12" t="inlineStr">
        <is>
          <t>1.5.1</t>
        </is>
      </c>
      <c r="B1194" s="12" t="inlineStr">
        <is>
          <t>Testing and Commissioning - Test Readiness</t>
        </is>
      </c>
      <c r="C1194" s="12" t="inlineStr">
        <is>
          <t>Contractor Programme</t>
        </is>
      </c>
      <c r="D1194" s="12" t="inlineStr">
        <is>
          <t>SCH-05-157</t>
        </is>
      </c>
      <c r="E1194" s="12" t="inlineStr">
        <is>
          <t>West terminal: safety certificate evidence closeout - installation</t>
        </is>
      </c>
      <c r="F1194" s="12" t="inlineStr">
        <is>
          <t>ONE_TO_ONE</t>
        </is>
      </c>
      <c r="G1194" s="12" t="inlineStr">
        <is>
          <t>APPROVED</t>
        </is>
      </c>
      <c r="H1194" s="12" t="inlineStr">
        <is>
          <t>New</t>
        </is>
      </c>
      <c r="I1194" s="12" t="inlineStr">
        <is>
          <t>Source assignment -- not individually reviewed</t>
        </is>
      </c>
      <c r="J1194" s="12" t="inlineStr"/>
      <c r="K1194" s="12" t="inlineStr">
        <is>
          <t>Source assignment</t>
        </is>
      </c>
      <c r="L1194" s="12" t="inlineStr"/>
      <c r="M1194" s="12" t="inlineStr">
        <is>
          <t>Initial</t>
        </is>
      </c>
      <c r="N1194" s="12" t="inlineStr">
        <is>
          <t>Rev 0</t>
        </is>
      </c>
      <c r="O1194" s="12" t="inlineStr">
        <is>
          <t>R877-v1</t>
        </is>
      </c>
      <c r="P1194" s="12" t="inlineStr"/>
      <c r="Q1194" s="12" t="inlineStr"/>
      <c r="R1194" s="12" t="inlineStr"/>
      <c r="S1194" s="12" t="inlineStr"/>
      <c r="T1194" s="12" t="inlineStr"/>
      <c r="U1194" s="12" t="inlineStr"/>
      <c r="V1194" s="12" t="inlineStr">
        <is>
          <t>WBS Code = 1.5.1</t>
        </is>
      </c>
      <c r="W1194" s="12" t="inlineStr"/>
    </row>
    <row r="1195" ht="49" customHeight="1">
      <c r="A1195" s="12" t="inlineStr">
        <is>
          <t>1.5.1</t>
        </is>
      </c>
      <c r="B1195" s="12" t="inlineStr">
        <is>
          <t>Testing and Commissioning - Test Readiness</t>
        </is>
      </c>
      <c r="C1195" s="12" t="inlineStr">
        <is>
          <t>Contractor Programme</t>
        </is>
      </c>
      <c r="D1195" s="12" t="inlineStr">
        <is>
          <t>SCH-05-158</t>
        </is>
      </c>
      <c r="E1195" s="12" t="inlineStr">
        <is>
          <t>Depot: service-readiness review - inspection</t>
        </is>
      </c>
      <c r="F1195" s="12" t="inlineStr">
        <is>
          <t>ONE_TO_ONE</t>
        </is>
      </c>
      <c r="G1195" s="12" t="inlineStr">
        <is>
          <t>APPROVED</t>
        </is>
      </c>
      <c r="H1195" s="12" t="inlineStr">
        <is>
          <t>New</t>
        </is>
      </c>
      <c r="I1195" s="12" t="inlineStr">
        <is>
          <t>Source assignment -- not individually reviewed</t>
        </is>
      </c>
      <c r="J1195" s="12" t="inlineStr"/>
      <c r="K1195" s="12" t="inlineStr">
        <is>
          <t>Source assignment</t>
        </is>
      </c>
      <c r="L1195" s="12" t="inlineStr"/>
      <c r="M1195" s="12" t="inlineStr">
        <is>
          <t>Initial</t>
        </is>
      </c>
      <c r="N1195" s="12" t="inlineStr">
        <is>
          <t>Rev 0</t>
        </is>
      </c>
      <c r="O1195" s="12" t="inlineStr">
        <is>
          <t>R878-v1</t>
        </is>
      </c>
      <c r="P1195" s="12" t="inlineStr"/>
      <c r="Q1195" s="12" t="inlineStr"/>
      <c r="R1195" s="12" t="inlineStr"/>
      <c r="S1195" s="12" t="inlineStr"/>
      <c r="T1195" s="12" t="inlineStr"/>
      <c r="U1195" s="12" t="inlineStr"/>
      <c r="V1195" s="12" t="inlineStr">
        <is>
          <t>WBS Code = 1.5.1</t>
        </is>
      </c>
      <c r="W1195" s="12" t="inlineStr"/>
    </row>
    <row r="1196" ht="49" customHeight="1">
      <c r="A1196" s="12" t="inlineStr">
        <is>
          <t>1.5.1</t>
        </is>
      </c>
      <c r="B1196" s="12" t="inlineStr">
        <is>
          <t>Testing and Commissioning - Test Readiness</t>
        </is>
      </c>
      <c r="C1196" s="12" t="inlineStr">
        <is>
          <t>Contractor Programme</t>
        </is>
      </c>
      <c r="D1196" s="12" t="inlineStr">
        <is>
          <t>SCH-05-160</t>
        </is>
      </c>
      <c r="E1196" s="12" t="inlineStr">
        <is>
          <t>Mainline east: trial-running shift - release</t>
        </is>
      </c>
      <c r="F1196" s="12" t="inlineStr">
        <is>
          <t>ONE_TO_ONE</t>
        </is>
      </c>
      <c r="G1196" s="12" t="inlineStr">
        <is>
          <t>APPROVED</t>
        </is>
      </c>
      <c r="H1196" s="12" t="inlineStr">
        <is>
          <t>New</t>
        </is>
      </c>
      <c r="I1196" s="12" t="inlineStr">
        <is>
          <t>Source assignment -- not individually reviewed</t>
        </is>
      </c>
      <c r="J1196" s="12" t="inlineStr"/>
      <c r="K1196" s="12" t="inlineStr">
        <is>
          <t>Source assignment</t>
        </is>
      </c>
      <c r="L1196" s="12" t="inlineStr"/>
      <c r="M1196" s="12" t="inlineStr">
        <is>
          <t>Initial</t>
        </is>
      </c>
      <c r="N1196" s="12" t="inlineStr">
        <is>
          <t>Rev 0</t>
        </is>
      </c>
      <c r="O1196" s="12" t="inlineStr">
        <is>
          <t>R880-v1</t>
        </is>
      </c>
      <c r="P1196" s="12" t="inlineStr"/>
      <c r="Q1196" s="12" t="inlineStr"/>
      <c r="R1196" s="12" t="inlineStr"/>
      <c r="S1196" s="12" t="inlineStr"/>
      <c r="T1196" s="12" t="inlineStr"/>
      <c r="U1196" s="12" t="inlineStr"/>
      <c r="V1196" s="12" t="inlineStr">
        <is>
          <t>WBS Code = 1.5.1</t>
        </is>
      </c>
      <c r="W1196" s="12" t="inlineStr"/>
    </row>
    <row r="1197" ht="49" customHeight="1">
      <c r="A1197" s="12" t="inlineStr">
        <is>
          <t>1.5.1</t>
        </is>
      </c>
      <c r="B1197" s="12" t="inlineStr">
        <is>
          <t>Testing and Commissioning - Test Readiness</t>
        </is>
      </c>
      <c r="C1197" s="12" t="inlineStr">
        <is>
          <t>Contractor Programme</t>
        </is>
      </c>
      <c r="D1197" s="12" t="inlineStr">
        <is>
          <t>SCH-05-161</t>
        </is>
      </c>
      <c r="E1197" s="12" t="inlineStr">
        <is>
          <t>Central section: test procedure readiness review - field start</t>
        </is>
      </c>
      <c r="F1197" s="12" t="inlineStr">
        <is>
          <t>ONE_TO_ONE</t>
        </is>
      </c>
      <c r="G1197" s="12" t="inlineStr">
        <is>
          <t>APPROVED</t>
        </is>
      </c>
      <c r="H1197" s="12" t="inlineStr">
        <is>
          <t>New</t>
        </is>
      </c>
      <c r="I1197" s="12" t="inlineStr">
        <is>
          <t>Source assignment -- not individually reviewed</t>
        </is>
      </c>
      <c r="J1197" s="12" t="inlineStr"/>
      <c r="K1197" s="12" t="inlineStr">
        <is>
          <t>Source assignment</t>
        </is>
      </c>
      <c r="L1197" s="12" t="inlineStr"/>
      <c r="M1197" s="12" t="inlineStr">
        <is>
          <t>Initial</t>
        </is>
      </c>
      <c r="N1197" s="12" t="inlineStr">
        <is>
          <t>Rev 0</t>
        </is>
      </c>
      <c r="O1197" s="12" t="inlineStr">
        <is>
          <t>R881-v1</t>
        </is>
      </c>
      <c r="P1197" s="12" t="inlineStr"/>
      <c r="Q1197" s="12" t="inlineStr"/>
      <c r="R1197" s="12" t="inlineStr"/>
      <c r="S1197" s="12" t="inlineStr"/>
      <c r="T1197" s="12" t="inlineStr"/>
      <c r="U1197" s="12" t="inlineStr"/>
      <c r="V1197" s="12" t="inlineStr">
        <is>
          <t>WBS Code = 1.5.1</t>
        </is>
      </c>
      <c r="W1197" s="12" t="inlineStr"/>
    </row>
    <row r="1198" ht="49" customHeight="1">
      <c r="A1198" s="12" t="inlineStr">
        <is>
          <t>1.5.1</t>
        </is>
      </c>
      <c r="B1198" s="12" t="inlineStr">
        <is>
          <t>Testing and Commissioning - Test Readiness</t>
        </is>
      </c>
      <c r="C1198" s="12" t="inlineStr">
        <is>
          <t>Contractor Programme</t>
        </is>
      </c>
      <c r="D1198" s="12" t="inlineStr">
        <is>
          <t>SCH-05-163</t>
        </is>
      </c>
      <c r="E1198" s="12" t="inlineStr">
        <is>
          <t>Depot: defect retest - inspection</t>
        </is>
      </c>
      <c r="F1198" s="12" t="inlineStr">
        <is>
          <t>ONE_TO_ONE</t>
        </is>
      </c>
      <c r="G1198" s="12" t="inlineStr">
        <is>
          <t>APPROVED</t>
        </is>
      </c>
      <c r="H1198" s="12" t="inlineStr">
        <is>
          <t>New</t>
        </is>
      </c>
      <c r="I1198" s="12" t="inlineStr">
        <is>
          <t>Source assignment -- not individually reviewed</t>
        </is>
      </c>
      <c r="J1198" s="12" t="inlineStr"/>
      <c r="K1198" s="12" t="inlineStr">
        <is>
          <t>Source assignment</t>
        </is>
      </c>
      <c r="L1198" s="12" t="inlineStr"/>
      <c r="M1198" s="12" t="inlineStr">
        <is>
          <t>Initial</t>
        </is>
      </c>
      <c r="N1198" s="12" t="inlineStr">
        <is>
          <t>Rev 0</t>
        </is>
      </c>
      <c r="O1198" s="12" t="inlineStr">
        <is>
          <t>R883-v1</t>
        </is>
      </c>
      <c r="P1198" s="12" t="inlineStr"/>
      <c r="Q1198" s="12" t="inlineStr"/>
      <c r="R1198" s="12" t="inlineStr"/>
      <c r="S1198" s="12" t="inlineStr"/>
      <c r="T1198" s="12" t="inlineStr"/>
      <c r="U1198" s="12" t="inlineStr"/>
      <c r="V1198" s="12" t="inlineStr">
        <is>
          <t>WBS Code = 1.5.1</t>
        </is>
      </c>
      <c r="W1198" s="12" t="inlineStr"/>
    </row>
    <row r="1199" ht="49" customHeight="1">
      <c r="A1199" s="12" t="inlineStr">
        <is>
          <t>1.5.1</t>
        </is>
      </c>
      <c r="B1199" s="12" t="inlineStr">
        <is>
          <t>Testing and Commissioning - Test Readiness</t>
        </is>
      </c>
      <c r="C1199" s="12" t="inlineStr">
        <is>
          <t>Contractor Programme</t>
        </is>
      </c>
      <c r="D1199" s="12" t="inlineStr">
        <is>
          <t>SCH-05-164</t>
        </is>
      </c>
      <c r="E1199" s="12" t="inlineStr">
        <is>
          <t>Control Centre: mainline dynamic test - turnover</t>
        </is>
      </c>
      <c r="F1199" s="12" t="inlineStr">
        <is>
          <t>ONE_TO_ONE</t>
        </is>
      </c>
      <c r="G1199" s="12" t="inlineStr">
        <is>
          <t>APPROVED</t>
        </is>
      </c>
      <c r="H1199" s="12" t="inlineStr">
        <is>
          <t>New</t>
        </is>
      </c>
      <c r="I1199" s="12" t="inlineStr">
        <is>
          <t>Source assignment -- not individually reviewed</t>
        </is>
      </c>
      <c r="J1199" s="12" t="inlineStr"/>
      <c r="K1199" s="12" t="inlineStr">
        <is>
          <t>Source assignment</t>
        </is>
      </c>
      <c r="L1199" s="12" t="inlineStr"/>
      <c r="M1199" s="12" t="inlineStr">
        <is>
          <t>Initial</t>
        </is>
      </c>
      <c r="N1199" s="12" t="inlineStr">
        <is>
          <t>Rev 0</t>
        </is>
      </c>
      <c r="O1199" s="12" t="inlineStr">
        <is>
          <t>R884-v1</t>
        </is>
      </c>
      <c r="P1199" s="12" t="inlineStr"/>
      <c r="Q1199" s="12" t="inlineStr"/>
      <c r="R1199" s="12" t="inlineStr"/>
      <c r="S1199" s="12" t="inlineStr"/>
      <c r="T1199" s="12" t="inlineStr"/>
      <c r="U1199" s="12" t="inlineStr"/>
      <c r="V1199" s="12" t="inlineStr">
        <is>
          <t>WBS Code = 1.5.1</t>
        </is>
      </c>
      <c r="W1199" s="12" t="inlineStr"/>
    </row>
    <row r="1200" ht="49" customHeight="1">
      <c r="A1200" s="12" t="inlineStr">
        <is>
          <t>1.5.1</t>
        </is>
      </c>
      <c r="B1200" s="12" t="inlineStr">
        <is>
          <t>Testing and Commissioning - Test Readiness</t>
        </is>
      </c>
      <c r="C1200" s="12" t="inlineStr">
        <is>
          <t>Contractor Programme</t>
        </is>
      </c>
      <c r="D1200" s="12" t="inlineStr">
        <is>
          <t>SCH-05-166</t>
        </is>
      </c>
      <c r="E1200" s="12" t="inlineStr">
        <is>
          <t>Central section: service-readiness review - field start</t>
        </is>
      </c>
      <c r="F1200" s="12" t="inlineStr">
        <is>
          <t>ONE_TO_ONE</t>
        </is>
      </c>
      <c r="G1200" s="12" t="inlineStr">
        <is>
          <t>APPROVED</t>
        </is>
      </c>
      <c r="H1200" s="12" t="inlineStr">
        <is>
          <t>New</t>
        </is>
      </c>
      <c r="I1200" s="12" t="inlineStr">
        <is>
          <t>Source assignment -- not individually reviewed</t>
        </is>
      </c>
      <c r="J1200" s="12" t="inlineStr"/>
      <c r="K1200" s="12" t="inlineStr">
        <is>
          <t>Source assignment</t>
        </is>
      </c>
      <c r="L1200" s="12" t="inlineStr"/>
      <c r="M1200" s="12" t="inlineStr">
        <is>
          <t>Initial</t>
        </is>
      </c>
      <c r="N1200" s="12" t="inlineStr">
        <is>
          <t>Rev 0</t>
        </is>
      </c>
      <c r="O1200" s="12" t="inlineStr">
        <is>
          <t>R886-v1</t>
        </is>
      </c>
      <c r="P1200" s="12" t="inlineStr"/>
      <c r="Q1200" s="12" t="inlineStr"/>
      <c r="R1200" s="12" t="inlineStr"/>
      <c r="S1200" s="12" t="inlineStr"/>
      <c r="T1200" s="12" t="inlineStr"/>
      <c r="U1200" s="12" t="inlineStr"/>
      <c r="V1200" s="12" t="inlineStr">
        <is>
          <t>WBS Code = 1.5.1</t>
        </is>
      </c>
      <c r="W1200" s="12" t="inlineStr"/>
    </row>
    <row r="1201" ht="49" customHeight="1">
      <c r="A1201" s="12" t="inlineStr">
        <is>
          <t>1.5.1</t>
        </is>
      </c>
      <c r="B1201" s="12" t="inlineStr">
        <is>
          <t>Testing and Commissioning - Test Readiness</t>
        </is>
      </c>
      <c r="C1201" s="12" t="inlineStr">
        <is>
          <t>Contractor Programme</t>
        </is>
      </c>
      <c r="D1201" s="12" t="inlineStr">
        <is>
          <t>SCH-05-167</t>
        </is>
      </c>
      <c r="E1201" s="12" t="inlineStr">
        <is>
          <t>West terminal: station integrated test - installation</t>
        </is>
      </c>
      <c r="F1201" s="12" t="inlineStr">
        <is>
          <t>ONE_TO_ONE</t>
        </is>
      </c>
      <c r="G1201" s="12" t="inlineStr">
        <is>
          <t>APPROVED</t>
        </is>
      </c>
      <c r="H1201" s="12" t="inlineStr">
        <is>
          <t>New</t>
        </is>
      </c>
      <c r="I1201" s="12" t="inlineStr">
        <is>
          <t>Source assignment -- not individually reviewed</t>
        </is>
      </c>
      <c r="J1201" s="12" t="inlineStr"/>
      <c r="K1201" s="12" t="inlineStr">
        <is>
          <t>Source assignment</t>
        </is>
      </c>
      <c r="L1201" s="12" t="inlineStr"/>
      <c r="M1201" s="12" t="inlineStr">
        <is>
          <t>Initial</t>
        </is>
      </c>
      <c r="N1201" s="12" t="inlineStr">
        <is>
          <t>Rev 0</t>
        </is>
      </c>
      <c r="O1201" s="12" t="inlineStr">
        <is>
          <t>R887-v1</t>
        </is>
      </c>
      <c r="P1201" s="12" t="inlineStr"/>
      <c r="Q1201" s="12" t="inlineStr"/>
      <c r="R1201" s="12" t="inlineStr"/>
      <c r="S1201" s="12" t="inlineStr"/>
      <c r="T1201" s="12" t="inlineStr"/>
      <c r="U1201" s="12" t="inlineStr"/>
      <c r="V1201" s="12" t="inlineStr">
        <is>
          <t>WBS Code = 1.5.1</t>
        </is>
      </c>
      <c r="W1201" s="12" t="inlineStr"/>
    </row>
    <row r="1202" ht="49" customHeight="1">
      <c r="A1202" s="12" t="inlineStr">
        <is>
          <t>1.5.1</t>
        </is>
      </c>
      <c r="B1202" s="12" t="inlineStr">
        <is>
          <t>Testing and Commissioning - Test Readiness</t>
        </is>
      </c>
      <c r="C1202" s="12" t="inlineStr">
        <is>
          <t>Contractor Programme</t>
        </is>
      </c>
      <c r="D1202" s="12" t="inlineStr">
        <is>
          <t>SCH-05-169</t>
        </is>
      </c>
      <c r="E1202" s="12" t="inlineStr">
        <is>
          <t>Control Centre: test procedure readiness review - turnover</t>
        </is>
      </c>
      <c r="F1202" s="12" t="inlineStr">
        <is>
          <t>ONE_TO_ONE</t>
        </is>
      </c>
      <c r="G1202" s="12" t="inlineStr">
        <is>
          <t>APPROVED</t>
        </is>
      </c>
      <c r="H1202" s="12" t="inlineStr">
        <is>
          <t>New</t>
        </is>
      </c>
      <c r="I1202" s="12" t="inlineStr">
        <is>
          <t>Source assignment -- not individually reviewed</t>
        </is>
      </c>
      <c r="J1202" s="12" t="inlineStr"/>
      <c r="K1202" s="12" t="inlineStr">
        <is>
          <t>Source assignment</t>
        </is>
      </c>
      <c r="L1202" s="12" t="inlineStr"/>
      <c r="M1202" s="12" t="inlineStr">
        <is>
          <t>Initial</t>
        </is>
      </c>
      <c r="N1202" s="12" t="inlineStr">
        <is>
          <t>Rev 0</t>
        </is>
      </c>
      <c r="O1202" s="12" t="inlineStr">
        <is>
          <t>R889-v1</t>
        </is>
      </c>
      <c r="P1202" s="12" t="inlineStr"/>
      <c r="Q1202" s="12" t="inlineStr"/>
      <c r="R1202" s="12" t="inlineStr"/>
      <c r="S1202" s="12" t="inlineStr"/>
      <c r="T1202" s="12" t="inlineStr"/>
      <c r="U1202" s="12" t="inlineStr"/>
      <c r="V1202" s="12" t="inlineStr">
        <is>
          <t>WBS Code = 1.5.1</t>
        </is>
      </c>
      <c r="W1202" s="12" t="inlineStr"/>
    </row>
    <row r="1203" ht="49" customHeight="1">
      <c r="A1203" s="12" t="inlineStr">
        <is>
          <t>1.5.1</t>
        </is>
      </c>
      <c r="B1203" s="12" t="inlineStr">
        <is>
          <t>Testing and Commissioning - Test Readiness</t>
        </is>
      </c>
      <c r="C1203" s="12" t="inlineStr">
        <is>
          <t>Contractor Programme</t>
        </is>
      </c>
      <c r="D1203" s="12" t="inlineStr">
        <is>
          <t>SCH-05-170</t>
        </is>
      </c>
      <c r="E1203" s="12" t="inlineStr">
        <is>
          <t>Mainline east: emergency-response drill - release</t>
        </is>
      </c>
      <c r="F1203" s="12" t="inlineStr">
        <is>
          <t>ONE_TO_ONE</t>
        </is>
      </c>
      <c r="G1203" s="12" t="inlineStr">
        <is>
          <t>APPROVED</t>
        </is>
      </c>
      <c r="H1203" s="12" t="inlineStr">
        <is>
          <t>New</t>
        </is>
      </c>
      <c r="I1203" s="12" t="inlineStr">
        <is>
          <t>Source assignment -- not individually reviewed</t>
        </is>
      </c>
      <c r="J1203" s="12" t="inlineStr"/>
      <c r="K1203" s="12" t="inlineStr">
        <is>
          <t>Source assignment</t>
        </is>
      </c>
      <c r="L1203" s="12" t="inlineStr"/>
      <c r="M1203" s="12" t="inlineStr">
        <is>
          <t>Initial</t>
        </is>
      </c>
      <c r="N1203" s="12" t="inlineStr">
        <is>
          <t>Rev 0</t>
        </is>
      </c>
      <c r="O1203" s="12" t="inlineStr">
        <is>
          <t>R890-v1</t>
        </is>
      </c>
      <c r="P1203" s="12" t="inlineStr"/>
      <c r="Q1203" s="12" t="inlineStr"/>
      <c r="R1203" s="12" t="inlineStr"/>
      <c r="S1203" s="12" t="inlineStr"/>
      <c r="T1203" s="12" t="inlineStr"/>
      <c r="U1203" s="12" t="inlineStr"/>
      <c r="V1203" s="12" t="inlineStr">
        <is>
          <t>WBS Code = 1.5.1</t>
        </is>
      </c>
      <c r="W1203" s="12" t="inlineStr"/>
    </row>
    <row r="1204" ht="49" customHeight="1">
      <c r="A1204" s="12" t="inlineStr">
        <is>
          <t>1.5.1</t>
        </is>
      </c>
      <c r="B1204" s="12" t="inlineStr">
        <is>
          <t>Testing and Commissioning - Test Readiness</t>
        </is>
      </c>
      <c r="C1204" s="12" t="inlineStr">
        <is>
          <t>Contractor Programme</t>
        </is>
      </c>
      <c r="D1204" s="12" t="inlineStr">
        <is>
          <t>SCH-05-172</t>
        </is>
      </c>
      <c r="E1204" s="12" t="inlineStr">
        <is>
          <t>West terminal: mainline dynamic test - installation</t>
        </is>
      </c>
      <c r="F1204" s="12" t="inlineStr">
        <is>
          <t>ONE_TO_ONE</t>
        </is>
      </c>
      <c r="G1204" s="12" t="inlineStr">
        <is>
          <t>APPROVED</t>
        </is>
      </c>
      <c r="H1204" s="12" t="inlineStr">
        <is>
          <t>New</t>
        </is>
      </c>
      <c r="I1204" s="12" t="inlineStr">
        <is>
          <t>Source assignment -- not individually reviewed</t>
        </is>
      </c>
      <c r="J1204" s="12" t="inlineStr"/>
      <c r="K1204" s="12" t="inlineStr">
        <is>
          <t>Source assignment</t>
        </is>
      </c>
      <c r="L1204" s="12" t="inlineStr"/>
      <c r="M1204" s="12" t="inlineStr">
        <is>
          <t>Initial</t>
        </is>
      </c>
      <c r="N1204" s="12" t="inlineStr">
        <is>
          <t>Rev 0</t>
        </is>
      </c>
      <c r="O1204" s="12" t="inlineStr">
        <is>
          <t>R892-v1</t>
        </is>
      </c>
      <c r="P1204" s="12" t="inlineStr"/>
      <c r="Q1204" s="12" t="inlineStr"/>
      <c r="R1204" s="12" t="inlineStr"/>
      <c r="S1204" s="12" t="inlineStr"/>
      <c r="T1204" s="12" t="inlineStr"/>
      <c r="U1204" s="12" t="inlineStr"/>
      <c r="V1204" s="12" t="inlineStr">
        <is>
          <t>WBS Code = 1.5.1</t>
        </is>
      </c>
      <c r="W1204" s="12" t="inlineStr"/>
    </row>
    <row r="1205" ht="49" customHeight="1">
      <c r="A1205" s="12" t="inlineStr">
        <is>
          <t>1.5.1</t>
        </is>
      </c>
      <c r="B1205" s="12" t="inlineStr">
        <is>
          <t>Testing and Commissioning - Test Readiness</t>
        </is>
      </c>
      <c r="C1205" s="12" t="inlineStr">
        <is>
          <t>Contractor Programme</t>
        </is>
      </c>
      <c r="D1205" s="12" t="inlineStr">
        <is>
          <t>SCH-05-173</t>
        </is>
      </c>
      <c r="E1205" s="12" t="inlineStr">
        <is>
          <t>Depot: safety certificate evidence closeout - inspection</t>
        </is>
      </c>
      <c r="F1205" s="12" t="inlineStr">
        <is>
          <t>ONE_TO_ONE</t>
        </is>
      </c>
      <c r="G1205" s="12" t="inlineStr">
        <is>
          <t>APPROVED</t>
        </is>
      </c>
      <c r="H1205" s="12" t="inlineStr">
        <is>
          <t>New</t>
        </is>
      </c>
      <c r="I1205" s="12" t="inlineStr">
        <is>
          <t>Source assignment -- not individually reviewed</t>
        </is>
      </c>
      <c r="J1205" s="12" t="inlineStr"/>
      <c r="K1205" s="12" t="inlineStr">
        <is>
          <t>Source assignment</t>
        </is>
      </c>
      <c r="L1205" s="12" t="inlineStr"/>
      <c r="M1205" s="12" t="inlineStr">
        <is>
          <t>Initial</t>
        </is>
      </c>
      <c r="N1205" s="12" t="inlineStr">
        <is>
          <t>Rev 0</t>
        </is>
      </c>
      <c r="O1205" s="12" t="inlineStr">
        <is>
          <t>R893-v1</t>
        </is>
      </c>
      <c r="P1205" s="12" t="inlineStr"/>
      <c r="Q1205" s="12" t="inlineStr"/>
      <c r="R1205" s="12" t="inlineStr"/>
      <c r="S1205" s="12" t="inlineStr"/>
      <c r="T1205" s="12" t="inlineStr"/>
      <c r="U1205" s="12" t="inlineStr"/>
      <c r="V1205" s="12" t="inlineStr">
        <is>
          <t>WBS Code = 1.5.1</t>
        </is>
      </c>
      <c r="W1205" s="12" t="inlineStr"/>
    </row>
    <row r="1206" ht="49" customHeight="1">
      <c r="A1206" s="12" t="inlineStr">
        <is>
          <t>1.5.1</t>
        </is>
      </c>
      <c r="B1206" s="12" t="inlineStr">
        <is>
          <t>Testing and Commissioning - Test Readiness</t>
        </is>
      </c>
      <c r="C1206" s="12" t="inlineStr">
        <is>
          <t>Contractor Programme</t>
        </is>
      </c>
      <c r="D1206" s="12" t="inlineStr">
        <is>
          <t>SCH-05-175</t>
        </is>
      </c>
      <c r="E1206" s="12" t="inlineStr">
        <is>
          <t>Mainline east: station integrated test - release</t>
        </is>
      </c>
      <c r="F1206" s="12" t="inlineStr">
        <is>
          <t>ONE_TO_ONE</t>
        </is>
      </c>
      <c r="G1206" s="12" t="inlineStr">
        <is>
          <t>APPROVED</t>
        </is>
      </c>
      <c r="H1206" s="12" t="inlineStr">
        <is>
          <t>New</t>
        </is>
      </c>
      <c r="I1206" s="12" t="inlineStr">
        <is>
          <t>Source assignment -- not individually reviewed</t>
        </is>
      </c>
      <c r="J1206" s="12" t="inlineStr"/>
      <c r="K1206" s="12" t="inlineStr">
        <is>
          <t>Source assignment</t>
        </is>
      </c>
      <c r="L1206" s="12" t="inlineStr"/>
      <c r="M1206" s="12" t="inlineStr">
        <is>
          <t>Initial</t>
        </is>
      </c>
      <c r="N1206" s="12" t="inlineStr">
        <is>
          <t>Rev 0</t>
        </is>
      </c>
      <c r="O1206" s="12" t="inlineStr">
        <is>
          <t>R895-v1</t>
        </is>
      </c>
      <c r="P1206" s="12" t="inlineStr"/>
      <c r="Q1206" s="12" t="inlineStr"/>
      <c r="R1206" s="12" t="inlineStr"/>
      <c r="S1206" s="12" t="inlineStr"/>
      <c r="T1206" s="12" t="inlineStr"/>
      <c r="U1206" s="12" t="inlineStr"/>
      <c r="V1206" s="12" t="inlineStr">
        <is>
          <t>WBS Code = 1.5.1</t>
        </is>
      </c>
      <c r="W1206" s="12" t="inlineStr"/>
    </row>
    <row r="1207" ht="49" customHeight="1">
      <c r="A1207" s="12" t="inlineStr">
        <is>
          <t>1.5.1</t>
        </is>
      </c>
      <c r="B1207" s="12" t="inlineStr">
        <is>
          <t>Testing and Commissioning - Test Readiness</t>
        </is>
      </c>
      <c r="C1207" s="12" t="inlineStr">
        <is>
          <t>Contractor Programme</t>
        </is>
      </c>
      <c r="D1207" s="12" t="inlineStr">
        <is>
          <t>SCH-05-176</t>
        </is>
      </c>
      <c r="E1207" s="12" t="inlineStr">
        <is>
          <t>Central section: trial-running shift - field start</t>
        </is>
      </c>
      <c r="F1207" s="12" t="inlineStr">
        <is>
          <t>ONE_TO_ONE</t>
        </is>
      </c>
      <c r="G1207" s="12" t="inlineStr">
        <is>
          <t>APPROVED</t>
        </is>
      </c>
      <c r="H1207" s="12" t="inlineStr">
        <is>
          <t>New</t>
        </is>
      </c>
      <c r="I1207" s="12" t="inlineStr">
        <is>
          <t>Source assignment -- not individually reviewed</t>
        </is>
      </c>
      <c r="J1207" s="12" t="inlineStr"/>
      <c r="K1207" s="12" t="inlineStr">
        <is>
          <t>Source assignment</t>
        </is>
      </c>
      <c r="L1207" s="12" t="inlineStr"/>
      <c r="M1207" s="12" t="inlineStr">
        <is>
          <t>Initial</t>
        </is>
      </c>
      <c r="N1207" s="12" t="inlineStr">
        <is>
          <t>Rev 0</t>
        </is>
      </c>
      <c r="O1207" s="12" t="inlineStr">
        <is>
          <t>R896-v1</t>
        </is>
      </c>
      <c r="P1207" s="12" t="inlineStr"/>
      <c r="Q1207" s="12" t="inlineStr"/>
      <c r="R1207" s="12" t="inlineStr"/>
      <c r="S1207" s="12" t="inlineStr"/>
      <c r="T1207" s="12" t="inlineStr"/>
      <c r="U1207" s="12" t="inlineStr"/>
      <c r="V1207" s="12" t="inlineStr">
        <is>
          <t>WBS Code = 1.5.1</t>
        </is>
      </c>
      <c r="W1207" s="12" t="inlineStr"/>
    </row>
    <row r="1208" ht="49" customHeight="1">
      <c r="A1208" s="12" t="inlineStr">
        <is>
          <t>1.5.1</t>
        </is>
      </c>
      <c r="B1208" s="12" t="inlineStr">
        <is>
          <t>Testing and Commissioning - Test Readiness</t>
        </is>
      </c>
      <c r="C1208" s="12" t="inlineStr">
        <is>
          <t>Contractor Programme</t>
        </is>
      </c>
      <c r="D1208" s="12" t="inlineStr">
        <is>
          <t>SCH-05-178</t>
        </is>
      </c>
      <c r="E1208" s="12" t="inlineStr">
        <is>
          <t>Depot: emergency-response drill - inspection</t>
        </is>
      </c>
      <c r="F1208" s="12" t="inlineStr">
        <is>
          <t>ONE_TO_ONE</t>
        </is>
      </c>
      <c r="G1208" s="12" t="inlineStr">
        <is>
          <t>APPROVED</t>
        </is>
      </c>
      <c r="H1208" s="12" t="inlineStr">
        <is>
          <t>New</t>
        </is>
      </c>
      <c r="I1208" s="12" t="inlineStr">
        <is>
          <t>Source assignment -- not individually reviewed</t>
        </is>
      </c>
      <c r="J1208" s="12" t="inlineStr"/>
      <c r="K1208" s="12" t="inlineStr">
        <is>
          <t>Source assignment</t>
        </is>
      </c>
      <c r="L1208" s="12" t="inlineStr"/>
      <c r="M1208" s="12" t="inlineStr">
        <is>
          <t>Initial</t>
        </is>
      </c>
      <c r="N1208" s="12" t="inlineStr">
        <is>
          <t>Rev 0</t>
        </is>
      </c>
      <c r="O1208" s="12" t="inlineStr">
        <is>
          <t>R898-v1</t>
        </is>
      </c>
      <c r="P1208" s="12" t="inlineStr"/>
      <c r="Q1208" s="12" t="inlineStr"/>
      <c r="R1208" s="12" t="inlineStr"/>
      <c r="S1208" s="12" t="inlineStr"/>
      <c r="T1208" s="12" t="inlineStr"/>
      <c r="U1208" s="12" t="inlineStr"/>
      <c r="V1208" s="12" t="inlineStr">
        <is>
          <t>WBS Code = 1.5.1</t>
        </is>
      </c>
      <c r="W1208" s="12" t="inlineStr"/>
    </row>
    <row r="1209" ht="49" customHeight="1">
      <c r="A1209" s="12" t="inlineStr">
        <is>
          <t>1.5.1</t>
        </is>
      </c>
      <c r="B1209" s="12" t="inlineStr">
        <is>
          <t>Testing and Commissioning - Test Readiness</t>
        </is>
      </c>
      <c r="C1209" s="12" t="inlineStr">
        <is>
          <t>Contractor Programme</t>
        </is>
      </c>
      <c r="D1209" s="12" t="inlineStr">
        <is>
          <t>SCH-05-179</t>
        </is>
      </c>
      <c r="E1209" s="12" t="inlineStr">
        <is>
          <t>Control Centre: defect retest - turnover</t>
        </is>
      </c>
      <c r="F1209" s="12" t="inlineStr">
        <is>
          <t>ONE_TO_ONE</t>
        </is>
      </c>
      <c r="G1209" s="12" t="inlineStr">
        <is>
          <t>APPROVED</t>
        </is>
      </c>
      <c r="H1209" s="12" t="inlineStr">
        <is>
          <t>New</t>
        </is>
      </c>
      <c r="I1209" s="12" t="inlineStr">
        <is>
          <t>Source assignment -- not individually reviewed</t>
        </is>
      </c>
      <c r="J1209" s="12" t="inlineStr"/>
      <c r="K1209" s="12" t="inlineStr">
        <is>
          <t>Source assignment</t>
        </is>
      </c>
      <c r="L1209" s="12" t="inlineStr"/>
      <c r="M1209" s="12" t="inlineStr">
        <is>
          <t>Initial</t>
        </is>
      </c>
      <c r="N1209" s="12" t="inlineStr">
        <is>
          <t>Rev 0</t>
        </is>
      </c>
      <c r="O1209" s="12" t="inlineStr">
        <is>
          <t>R899-v1</t>
        </is>
      </c>
      <c r="P1209" s="12" t="inlineStr"/>
      <c r="Q1209" s="12" t="inlineStr"/>
      <c r="R1209" s="12" t="inlineStr"/>
      <c r="S1209" s="12" t="inlineStr"/>
      <c r="T1209" s="12" t="inlineStr"/>
      <c r="U1209" s="12" t="inlineStr"/>
      <c r="V1209" s="12" t="inlineStr">
        <is>
          <t>WBS Code = 1.5.1</t>
        </is>
      </c>
      <c r="W1209" s="12" t="inlineStr"/>
    </row>
    <row r="1210" ht="49" customHeight="1">
      <c r="A1210" s="12" t="inlineStr">
        <is>
          <t>1.5.2</t>
        </is>
      </c>
      <c r="B1210" s="12" t="inlineStr">
        <is>
          <t>Testing and Commissioning - Dynamic Testing</t>
        </is>
      </c>
      <c r="C1210" s="12" t="inlineStr">
        <is>
          <t>Contractor Programme</t>
        </is>
      </c>
      <c r="D1210" s="12" t="inlineStr">
        <is>
          <t>SCH-05-003</t>
        </is>
      </c>
      <c r="E1210" s="12" t="inlineStr">
        <is>
          <t>Interface works near testing and commissioning boundary</t>
        </is>
      </c>
      <c r="F1210" s="12" t="inlineStr">
        <is>
          <t>ONE_TO_ONE</t>
        </is>
      </c>
      <c r="G1210" s="12" t="inlineStr">
        <is>
          <t>APPROVED</t>
        </is>
      </c>
      <c r="H1210" s="12" t="inlineStr">
        <is>
          <t>New</t>
        </is>
      </c>
      <c r="I1210" s="12" t="inlineStr">
        <is>
          <t>Source assignment -- not individually reviewed</t>
        </is>
      </c>
      <c r="J1210" s="12" t="inlineStr"/>
      <c r="K1210" s="12" t="inlineStr">
        <is>
          <t>Source assignment</t>
        </is>
      </c>
      <c r="L1210" s="12" t="inlineStr"/>
      <c r="M1210" s="12" t="inlineStr">
        <is>
          <t>Initial</t>
        </is>
      </c>
      <c r="N1210" s="12" t="inlineStr">
        <is>
          <t>Rev 0</t>
        </is>
      </c>
      <c r="O1210" s="12" t="inlineStr">
        <is>
          <t>R723-v1</t>
        </is>
      </c>
      <c r="P1210" s="12" t="inlineStr"/>
      <c r="Q1210" s="12" t="inlineStr"/>
      <c r="R1210" s="12" t="inlineStr"/>
      <c r="S1210" s="12" t="inlineStr"/>
      <c r="T1210" s="12" t="inlineStr"/>
      <c r="U1210" s="12" t="inlineStr"/>
      <c r="V1210" s="12" t="inlineStr">
        <is>
          <t>WBS Code = 1.5.2</t>
        </is>
      </c>
      <c r="W1210" s="12" t="inlineStr"/>
    </row>
    <row r="1211" ht="49" customHeight="1">
      <c r="A1211" s="12" t="inlineStr">
        <is>
          <t>1.5.2</t>
        </is>
      </c>
      <c r="B1211" s="12" t="inlineStr">
        <is>
          <t>Testing and Commissioning - Dynamic Testing</t>
        </is>
      </c>
      <c r="C1211" s="12" t="inlineStr">
        <is>
          <t>Contractor Programme</t>
        </is>
      </c>
      <c r="D1211" s="12" t="inlineStr">
        <is>
          <t>SCH-05-006</t>
        </is>
      </c>
      <c r="E1211" s="12" t="inlineStr">
        <is>
          <t>Central section: service-readiness review - field start</t>
        </is>
      </c>
      <c r="F1211" s="12" t="inlineStr">
        <is>
          <t>ONE_TO_ONE</t>
        </is>
      </c>
      <c r="G1211" s="12" t="inlineStr">
        <is>
          <t>APPROVED</t>
        </is>
      </c>
      <c r="H1211" s="12" t="inlineStr">
        <is>
          <t>New</t>
        </is>
      </c>
      <c r="I1211" s="12" t="inlineStr">
        <is>
          <t>Source assignment -- not individually reviewed</t>
        </is>
      </c>
      <c r="J1211" s="12" t="inlineStr"/>
      <c r="K1211" s="12" t="inlineStr">
        <is>
          <t>Source assignment</t>
        </is>
      </c>
      <c r="L1211" s="12" t="inlineStr"/>
      <c r="M1211" s="12" t="inlineStr">
        <is>
          <t>Initial</t>
        </is>
      </c>
      <c r="N1211" s="12" t="inlineStr">
        <is>
          <t>Rev 0</t>
        </is>
      </c>
      <c r="O1211" s="12" t="inlineStr">
        <is>
          <t>R726-v1</t>
        </is>
      </c>
      <c r="P1211" s="12" t="inlineStr"/>
      <c r="Q1211" s="12" t="inlineStr"/>
      <c r="R1211" s="12" t="inlineStr"/>
      <c r="S1211" s="12" t="inlineStr"/>
      <c r="T1211" s="12" t="inlineStr"/>
      <c r="U1211" s="12" t="inlineStr"/>
      <c r="V1211" s="12" t="inlineStr">
        <is>
          <t>WBS Code = 1.5.2</t>
        </is>
      </c>
      <c r="W1211" s="12" t="inlineStr"/>
    </row>
    <row r="1212" ht="49" customHeight="1">
      <c r="A1212" s="12" t="inlineStr">
        <is>
          <t>1.5.2</t>
        </is>
      </c>
      <c r="B1212" s="12" t="inlineStr">
        <is>
          <t>Testing and Commissioning - Dynamic Testing</t>
        </is>
      </c>
      <c r="C1212" s="12" t="inlineStr">
        <is>
          <t>Contractor Programme</t>
        </is>
      </c>
      <c r="D1212" s="12" t="inlineStr">
        <is>
          <t>SCH-05-009</t>
        </is>
      </c>
      <c r="E1212" s="12" t="inlineStr">
        <is>
          <t>Control Centre: test procedure readiness review - turnover</t>
        </is>
      </c>
      <c r="F1212" s="12" t="inlineStr">
        <is>
          <t>ONE_TO_ONE</t>
        </is>
      </c>
      <c r="G1212" s="12" t="inlineStr">
        <is>
          <t>APPROVED</t>
        </is>
      </c>
      <c r="H1212" s="12" t="inlineStr">
        <is>
          <t>New</t>
        </is>
      </c>
      <c r="I1212" s="12" t="inlineStr">
        <is>
          <t>Source assignment -- not individually reviewed</t>
        </is>
      </c>
      <c r="J1212" s="12" t="inlineStr"/>
      <c r="K1212" s="12" t="inlineStr">
        <is>
          <t>Source assignment</t>
        </is>
      </c>
      <c r="L1212" s="12" t="inlineStr"/>
      <c r="M1212" s="12" t="inlineStr">
        <is>
          <t>Initial</t>
        </is>
      </c>
      <c r="N1212" s="12" t="inlineStr">
        <is>
          <t>Rev 0</t>
        </is>
      </c>
      <c r="O1212" s="12" t="inlineStr">
        <is>
          <t>R729-v1</t>
        </is>
      </c>
      <c r="P1212" s="12" t="inlineStr"/>
      <c r="Q1212" s="12" t="inlineStr"/>
      <c r="R1212" s="12" t="inlineStr"/>
      <c r="S1212" s="12" t="inlineStr"/>
      <c r="T1212" s="12" t="inlineStr"/>
      <c r="U1212" s="12" t="inlineStr"/>
      <c r="V1212" s="12" t="inlineStr">
        <is>
          <t>WBS Code = 1.5.2</t>
        </is>
      </c>
      <c r="W1212" s="12" t="inlineStr"/>
    </row>
    <row r="1213" ht="49" customHeight="1">
      <c r="A1213" s="12" t="inlineStr">
        <is>
          <t>1.5.2</t>
        </is>
      </c>
      <c r="B1213" s="12" t="inlineStr">
        <is>
          <t>Testing and Commissioning - Dynamic Testing</t>
        </is>
      </c>
      <c r="C1213" s="12" t="inlineStr">
        <is>
          <t>Contractor Programme</t>
        </is>
      </c>
      <c r="D1213" s="12" t="inlineStr">
        <is>
          <t>SCH-05-012</t>
        </is>
      </c>
      <c r="E1213" s="12" t="inlineStr">
        <is>
          <t>West terminal: mainline dynamic test - installation</t>
        </is>
      </c>
      <c r="F1213" s="12" t="inlineStr">
        <is>
          <t>ONE_TO_ONE</t>
        </is>
      </c>
      <c r="G1213" s="12" t="inlineStr">
        <is>
          <t>APPROVED</t>
        </is>
      </c>
      <c r="H1213" s="12" t="inlineStr">
        <is>
          <t>New</t>
        </is>
      </c>
      <c r="I1213" s="12" t="inlineStr">
        <is>
          <t>Source assignment -- not individually reviewed</t>
        </is>
      </c>
      <c r="J1213" s="12" t="inlineStr"/>
      <c r="K1213" s="12" t="inlineStr">
        <is>
          <t>Source assignment</t>
        </is>
      </c>
      <c r="L1213" s="12" t="inlineStr"/>
      <c r="M1213" s="12" t="inlineStr">
        <is>
          <t>Initial</t>
        </is>
      </c>
      <c r="N1213" s="12" t="inlineStr">
        <is>
          <t>Rev 0</t>
        </is>
      </c>
      <c r="O1213" s="12" t="inlineStr">
        <is>
          <t>R732-v1</t>
        </is>
      </c>
      <c r="P1213" s="12" t="inlineStr"/>
      <c r="Q1213" s="12" t="inlineStr"/>
      <c r="R1213" s="12" t="inlineStr"/>
      <c r="S1213" s="12" t="inlineStr"/>
      <c r="T1213" s="12" t="inlineStr"/>
      <c r="U1213" s="12" t="inlineStr"/>
      <c r="V1213" s="12" t="inlineStr">
        <is>
          <t>WBS Code = 1.5.2</t>
        </is>
      </c>
      <c r="W1213" s="12" t="inlineStr"/>
    </row>
    <row r="1214" ht="49" customHeight="1">
      <c r="A1214" s="12" t="inlineStr">
        <is>
          <t>1.5.2</t>
        </is>
      </c>
      <c r="B1214" s="12" t="inlineStr">
        <is>
          <t>Testing and Commissioning - Dynamic Testing</t>
        </is>
      </c>
      <c r="C1214" s="12" t="inlineStr">
        <is>
          <t>Contractor Programme</t>
        </is>
      </c>
      <c r="D1214" s="12" t="inlineStr">
        <is>
          <t>SCH-05-015</t>
        </is>
      </c>
      <c r="E1214" s="12" t="inlineStr">
        <is>
          <t>Mainline east: station integrated test - release</t>
        </is>
      </c>
      <c r="F1214" s="12" t="inlineStr">
        <is>
          <t>ONE_TO_ONE</t>
        </is>
      </c>
      <c r="G1214" s="12" t="inlineStr">
        <is>
          <t>APPROVED</t>
        </is>
      </c>
      <c r="H1214" s="12" t="inlineStr">
        <is>
          <t>New</t>
        </is>
      </c>
      <c r="I1214" s="12" t="inlineStr">
        <is>
          <t>Source assignment -- not individually reviewed</t>
        </is>
      </c>
      <c r="J1214" s="12" t="inlineStr"/>
      <c r="K1214" s="12" t="inlineStr">
        <is>
          <t>Source assignment</t>
        </is>
      </c>
      <c r="L1214" s="12" t="inlineStr"/>
      <c r="M1214" s="12" t="inlineStr">
        <is>
          <t>Initial</t>
        </is>
      </c>
      <c r="N1214" s="12" t="inlineStr">
        <is>
          <t>Rev 0</t>
        </is>
      </c>
      <c r="O1214" s="12" t="inlineStr">
        <is>
          <t>R735-v1</t>
        </is>
      </c>
      <c r="P1214" s="12" t="inlineStr"/>
      <c r="Q1214" s="12" t="inlineStr"/>
      <c r="R1214" s="12" t="inlineStr"/>
      <c r="S1214" s="12" t="inlineStr"/>
      <c r="T1214" s="12" t="inlineStr"/>
      <c r="U1214" s="12" t="inlineStr"/>
      <c r="V1214" s="12" t="inlineStr">
        <is>
          <t>WBS Code = 1.5.2</t>
        </is>
      </c>
      <c r="W1214" s="12" t="inlineStr"/>
    </row>
    <row r="1215" ht="49" customHeight="1">
      <c r="A1215" s="12" t="inlineStr">
        <is>
          <t>1.5.2</t>
        </is>
      </c>
      <c r="B1215" s="12" t="inlineStr">
        <is>
          <t>Testing and Commissioning - Dynamic Testing</t>
        </is>
      </c>
      <c r="C1215" s="12" t="inlineStr">
        <is>
          <t>Contractor Programme</t>
        </is>
      </c>
      <c r="D1215" s="12" t="inlineStr">
        <is>
          <t>SCH-05-018</t>
        </is>
      </c>
      <c r="E1215" s="12" t="inlineStr">
        <is>
          <t>Depot: emergency-response drill - inspection</t>
        </is>
      </c>
      <c r="F1215" s="12" t="inlineStr">
        <is>
          <t>ONE_TO_ONE</t>
        </is>
      </c>
      <c r="G1215" s="12" t="inlineStr">
        <is>
          <t>APPROVED</t>
        </is>
      </c>
      <c r="H1215" s="12" t="inlineStr">
        <is>
          <t>New</t>
        </is>
      </c>
      <c r="I1215" s="12" t="inlineStr">
        <is>
          <t>Source assignment -- not individually reviewed</t>
        </is>
      </c>
      <c r="J1215" s="12" t="inlineStr"/>
      <c r="K1215" s="12" t="inlineStr">
        <is>
          <t>Source assignment</t>
        </is>
      </c>
      <c r="L1215" s="12" t="inlineStr"/>
      <c r="M1215" s="12" t="inlineStr">
        <is>
          <t>Initial</t>
        </is>
      </c>
      <c r="N1215" s="12" t="inlineStr">
        <is>
          <t>Rev 0</t>
        </is>
      </c>
      <c r="O1215" s="12" t="inlineStr">
        <is>
          <t>R738-v1</t>
        </is>
      </c>
      <c r="P1215" s="12" t="inlineStr"/>
      <c r="Q1215" s="12" t="inlineStr"/>
      <c r="R1215" s="12" t="inlineStr"/>
      <c r="S1215" s="12" t="inlineStr"/>
      <c r="T1215" s="12" t="inlineStr"/>
      <c r="U1215" s="12" t="inlineStr"/>
      <c r="V1215" s="12" t="inlineStr">
        <is>
          <t>WBS Code = 1.5.2</t>
        </is>
      </c>
      <c r="W1215" s="12" t="inlineStr"/>
    </row>
    <row r="1216" ht="49" customHeight="1">
      <c r="A1216" s="12" t="inlineStr">
        <is>
          <t>1.5.2</t>
        </is>
      </c>
      <c r="B1216" s="12" t="inlineStr">
        <is>
          <t>Testing and Commissioning - Dynamic Testing</t>
        </is>
      </c>
      <c r="C1216" s="12" t="inlineStr">
        <is>
          <t>Contractor Programme</t>
        </is>
      </c>
      <c r="D1216" s="12" t="inlineStr">
        <is>
          <t>SCH-05-021</t>
        </is>
      </c>
      <c r="E1216" s="12" t="inlineStr">
        <is>
          <t>Central section: safety certificate evidence closeout - field start</t>
        </is>
      </c>
      <c r="F1216" s="12" t="inlineStr">
        <is>
          <t>ONE_TO_ONE</t>
        </is>
      </c>
      <c r="G1216" s="12" t="inlineStr">
        <is>
          <t>APPROVED</t>
        </is>
      </c>
      <c r="H1216" s="12" t="inlineStr">
        <is>
          <t>New</t>
        </is>
      </c>
      <c r="I1216" s="12" t="inlineStr">
        <is>
          <t>Source assignment -- not individually reviewed</t>
        </is>
      </c>
      <c r="J1216" s="12" t="inlineStr"/>
      <c r="K1216" s="12" t="inlineStr">
        <is>
          <t>Source assignment</t>
        </is>
      </c>
      <c r="L1216" s="12" t="inlineStr"/>
      <c r="M1216" s="12" t="inlineStr">
        <is>
          <t>Initial</t>
        </is>
      </c>
      <c r="N1216" s="12" t="inlineStr">
        <is>
          <t>Rev 0</t>
        </is>
      </c>
      <c r="O1216" s="12" t="inlineStr">
        <is>
          <t>R741-v1</t>
        </is>
      </c>
      <c r="P1216" s="12" t="inlineStr"/>
      <c r="Q1216" s="12" t="inlineStr"/>
      <c r="R1216" s="12" t="inlineStr"/>
      <c r="S1216" s="12" t="inlineStr"/>
      <c r="T1216" s="12" t="inlineStr"/>
      <c r="U1216" s="12" t="inlineStr"/>
      <c r="V1216" s="12" t="inlineStr">
        <is>
          <t>WBS Code = 1.5.2</t>
        </is>
      </c>
      <c r="W1216" s="12" t="inlineStr"/>
    </row>
    <row r="1217" ht="49" customHeight="1">
      <c r="A1217" s="12" t="inlineStr">
        <is>
          <t>1.5.2</t>
        </is>
      </c>
      <c r="B1217" s="12" t="inlineStr">
        <is>
          <t>Testing and Commissioning - Dynamic Testing</t>
        </is>
      </c>
      <c r="C1217" s="12" t="inlineStr">
        <is>
          <t>Contractor Programme</t>
        </is>
      </c>
      <c r="D1217" s="12" t="inlineStr">
        <is>
          <t>SCH-05-024</t>
        </is>
      </c>
      <c r="E1217" s="12" t="inlineStr">
        <is>
          <t>Control Centre: trial-running shift - turnover</t>
        </is>
      </c>
      <c r="F1217" s="12" t="inlineStr">
        <is>
          <t>ONE_TO_ONE</t>
        </is>
      </c>
      <c r="G1217" s="12" t="inlineStr">
        <is>
          <t>APPROVED</t>
        </is>
      </c>
      <c r="H1217" s="12" t="inlineStr">
        <is>
          <t>New</t>
        </is>
      </c>
      <c r="I1217" s="12" t="inlineStr">
        <is>
          <t>Source assignment -- not individually reviewed</t>
        </is>
      </c>
      <c r="J1217" s="12" t="inlineStr"/>
      <c r="K1217" s="12" t="inlineStr">
        <is>
          <t>Source assignment</t>
        </is>
      </c>
      <c r="L1217" s="12" t="inlineStr"/>
      <c r="M1217" s="12" t="inlineStr">
        <is>
          <t>Initial</t>
        </is>
      </c>
      <c r="N1217" s="12" t="inlineStr">
        <is>
          <t>Rev 0</t>
        </is>
      </c>
      <c r="O1217" s="12" t="inlineStr">
        <is>
          <t>R744-v1</t>
        </is>
      </c>
      <c r="P1217" s="12" t="inlineStr"/>
      <c r="Q1217" s="12" t="inlineStr"/>
      <c r="R1217" s="12" t="inlineStr"/>
      <c r="S1217" s="12" t="inlineStr"/>
      <c r="T1217" s="12" t="inlineStr"/>
      <c r="U1217" s="12" t="inlineStr"/>
      <c r="V1217" s="12" t="inlineStr">
        <is>
          <t>WBS Code = 1.5.2</t>
        </is>
      </c>
      <c r="W1217" s="12" t="inlineStr"/>
    </row>
    <row r="1218" ht="49" customHeight="1">
      <c r="A1218" s="12" t="inlineStr">
        <is>
          <t>1.5.2</t>
        </is>
      </c>
      <c r="B1218" s="12" t="inlineStr">
        <is>
          <t>Testing and Commissioning - Dynamic Testing</t>
        </is>
      </c>
      <c r="C1218" s="12" t="inlineStr">
        <is>
          <t>Contractor Programme</t>
        </is>
      </c>
      <c r="D1218" s="12" t="inlineStr">
        <is>
          <t>SCH-05-027</t>
        </is>
      </c>
      <c r="E1218" s="12" t="inlineStr">
        <is>
          <t>West terminal: defect retest - installation</t>
        </is>
      </c>
      <c r="F1218" s="12" t="inlineStr">
        <is>
          <t>ONE_TO_ONE</t>
        </is>
      </c>
      <c r="G1218" s="12" t="inlineStr">
        <is>
          <t>APPROVED</t>
        </is>
      </c>
      <c r="H1218" s="12" t="inlineStr">
        <is>
          <t>New</t>
        </is>
      </c>
      <c r="I1218" s="12" t="inlineStr">
        <is>
          <t>Source assignment -- not individually reviewed</t>
        </is>
      </c>
      <c r="J1218" s="12" t="inlineStr"/>
      <c r="K1218" s="12" t="inlineStr">
        <is>
          <t>Source assignment</t>
        </is>
      </c>
      <c r="L1218" s="12" t="inlineStr"/>
      <c r="M1218" s="12" t="inlineStr">
        <is>
          <t>Initial</t>
        </is>
      </c>
      <c r="N1218" s="12" t="inlineStr">
        <is>
          <t>Rev 0</t>
        </is>
      </c>
      <c r="O1218" s="12" t="inlineStr">
        <is>
          <t>R747-v1</t>
        </is>
      </c>
      <c r="P1218" s="12" t="inlineStr"/>
      <c r="Q1218" s="12" t="inlineStr"/>
      <c r="R1218" s="12" t="inlineStr"/>
      <c r="S1218" s="12" t="inlineStr"/>
      <c r="T1218" s="12" t="inlineStr"/>
      <c r="U1218" s="12" t="inlineStr"/>
      <c r="V1218" s="12" t="inlineStr">
        <is>
          <t>WBS Code = 1.5.2</t>
        </is>
      </c>
      <c r="W1218" s="12" t="inlineStr"/>
    </row>
    <row r="1219" ht="49" customHeight="1">
      <c r="A1219" s="12" t="inlineStr">
        <is>
          <t>1.5.2</t>
        </is>
      </c>
      <c r="B1219" s="12" t="inlineStr">
        <is>
          <t>Testing and Commissioning - Dynamic Testing</t>
        </is>
      </c>
      <c r="C1219" s="12" t="inlineStr">
        <is>
          <t>Contractor Programme</t>
        </is>
      </c>
      <c r="D1219" s="12" t="inlineStr">
        <is>
          <t>SCH-05-030</t>
        </is>
      </c>
      <c r="E1219" s="12" t="inlineStr">
        <is>
          <t>Mainline east: service-readiness review - release</t>
        </is>
      </c>
      <c r="F1219" s="12" t="inlineStr">
        <is>
          <t>ONE_TO_ONE</t>
        </is>
      </c>
      <c r="G1219" s="12" t="inlineStr">
        <is>
          <t>APPROVED</t>
        </is>
      </c>
      <c r="H1219" s="12" t="inlineStr">
        <is>
          <t>New</t>
        </is>
      </c>
      <c r="I1219" s="12" t="inlineStr">
        <is>
          <t>Source assignment -- not individually reviewed</t>
        </is>
      </c>
      <c r="J1219" s="12" t="inlineStr"/>
      <c r="K1219" s="12" t="inlineStr">
        <is>
          <t>Source assignment</t>
        </is>
      </c>
      <c r="L1219" s="12" t="inlineStr"/>
      <c r="M1219" s="12" t="inlineStr">
        <is>
          <t>Initial</t>
        </is>
      </c>
      <c r="N1219" s="12" t="inlineStr">
        <is>
          <t>Rev 0</t>
        </is>
      </c>
      <c r="O1219" s="12" t="inlineStr">
        <is>
          <t>R750-v1</t>
        </is>
      </c>
      <c r="P1219" s="12" t="inlineStr"/>
      <c r="Q1219" s="12" t="inlineStr"/>
      <c r="R1219" s="12" t="inlineStr"/>
      <c r="S1219" s="12" t="inlineStr"/>
      <c r="T1219" s="12" t="inlineStr"/>
      <c r="U1219" s="12" t="inlineStr"/>
      <c r="V1219" s="12" t="inlineStr">
        <is>
          <t>WBS Code = 1.5.2</t>
        </is>
      </c>
      <c r="W1219" s="12" t="inlineStr"/>
    </row>
    <row r="1220" ht="49" customHeight="1">
      <c r="A1220" s="12" t="inlineStr">
        <is>
          <t>1.5.2</t>
        </is>
      </c>
      <c r="B1220" s="12" t="inlineStr">
        <is>
          <t>Testing and Commissioning - Dynamic Testing</t>
        </is>
      </c>
      <c r="C1220" s="12" t="inlineStr">
        <is>
          <t>Contractor Programme</t>
        </is>
      </c>
      <c r="D1220" s="12" t="inlineStr">
        <is>
          <t>SCH-05-033</t>
        </is>
      </c>
      <c r="E1220" s="12" t="inlineStr">
        <is>
          <t>Depot: test procedure readiness review - inspection</t>
        </is>
      </c>
      <c r="F1220" s="12" t="inlineStr">
        <is>
          <t>ONE_TO_ONE</t>
        </is>
      </c>
      <c r="G1220" s="12" t="inlineStr">
        <is>
          <t>APPROVED</t>
        </is>
      </c>
      <c r="H1220" s="12" t="inlineStr">
        <is>
          <t>New</t>
        </is>
      </c>
      <c r="I1220" s="12" t="inlineStr">
        <is>
          <t>Source assignment -- not individually reviewed</t>
        </is>
      </c>
      <c r="J1220" s="12" t="inlineStr"/>
      <c r="K1220" s="12" t="inlineStr">
        <is>
          <t>Source assignment</t>
        </is>
      </c>
      <c r="L1220" s="12" t="inlineStr"/>
      <c r="M1220" s="12" t="inlineStr">
        <is>
          <t>Initial</t>
        </is>
      </c>
      <c r="N1220" s="12" t="inlineStr">
        <is>
          <t>Rev 0</t>
        </is>
      </c>
      <c r="O1220" s="12" t="inlineStr">
        <is>
          <t>R753-v1</t>
        </is>
      </c>
      <c r="P1220" s="12" t="inlineStr"/>
      <c r="Q1220" s="12" t="inlineStr"/>
      <c r="R1220" s="12" t="inlineStr"/>
      <c r="S1220" s="12" t="inlineStr"/>
      <c r="T1220" s="12" t="inlineStr"/>
      <c r="U1220" s="12" t="inlineStr"/>
      <c r="V1220" s="12" t="inlineStr">
        <is>
          <t>WBS Code = 1.5.2</t>
        </is>
      </c>
      <c r="W1220" s="12" t="inlineStr"/>
    </row>
    <row r="1221" ht="49" customHeight="1">
      <c r="A1221" s="12" t="inlineStr">
        <is>
          <t>1.5.2</t>
        </is>
      </c>
      <c r="B1221" s="12" t="inlineStr">
        <is>
          <t>Testing and Commissioning - Dynamic Testing</t>
        </is>
      </c>
      <c r="C1221" s="12" t="inlineStr">
        <is>
          <t>Contractor Programme</t>
        </is>
      </c>
      <c r="D1221" s="12" t="inlineStr">
        <is>
          <t>SCH-05-036</t>
        </is>
      </c>
      <c r="E1221" s="12" t="inlineStr">
        <is>
          <t>Central section: mainline dynamic test - field start</t>
        </is>
      </c>
      <c r="F1221" s="12" t="inlineStr">
        <is>
          <t>ONE_TO_ONE</t>
        </is>
      </c>
      <c r="G1221" s="12" t="inlineStr">
        <is>
          <t>APPROVED</t>
        </is>
      </c>
      <c r="H1221" s="12" t="inlineStr">
        <is>
          <t>New</t>
        </is>
      </c>
      <c r="I1221" s="12" t="inlineStr">
        <is>
          <t>Source assignment -- not individually reviewed</t>
        </is>
      </c>
      <c r="J1221" s="12" t="inlineStr"/>
      <c r="K1221" s="12" t="inlineStr">
        <is>
          <t>Source assignment</t>
        </is>
      </c>
      <c r="L1221" s="12" t="inlineStr"/>
      <c r="M1221" s="12" t="inlineStr">
        <is>
          <t>Initial</t>
        </is>
      </c>
      <c r="N1221" s="12" t="inlineStr">
        <is>
          <t>Rev 0</t>
        </is>
      </c>
      <c r="O1221" s="12" t="inlineStr">
        <is>
          <t>R756-v1</t>
        </is>
      </c>
      <c r="P1221" s="12" t="inlineStr"/>
      <c r="Q1221" s="12" t="inlineStr"/>
      <c r="R1221" s="12" t="inlineStr"/>
      <c r="S1221" s="12" t="inlineStr"/>
      <c r="T1221" s="12" t="inlineStr"/>
      <c r="U1221" s="12" t="inlineStr"/>
      <c r="V1221" s="12" t="inlineStr">
        <is>
          <t>WBS Code = 1.5.2</t>
        </is>
      </c>
      <c r="W1221" s="12" t="inlineStr"/>
    </row>
    <row r="1222" ht="49" customHeight="1">
      <c r="A1222" s="12" t="inlineStr">
        <is>
          <t>1.5.2</t>
        </is>
      </c>
      <c r="B1222" s="12" t="inlineStr">
        <is>
          <t>Testing and Commissioning - Dynamic Testing</t>
        </is>
      </c>
      <c r="C1222" s="12" t="inlineStr">
        <is>
          <t>Contractor Programme</t>
        </is>
      </c>
      <c r="D1222" s="12" t="inlineStr">
        <is>
          <t>SCH-05-039</t>
        </is>
      </c>
      <c r="E1222" s="12" t="inlineStr">
        <is>
          <t>Control Centre: station integrated test - turnover</t>
        </is>
      </c>
      <c r="F1222" s="12" t="inlineStr">
        <is>
          <t>ONE_TO_ONE</t>
        </is>
      </c>
      <c r="G1222" s="12" t="inlineStr">
        <is>
          <t>APPROVED</t>
        </is>
      </c>
      <c r="H1222" s="12" t="inlineStr">
        <is>
          <t>New</t>
        </is>
      </c>
      <c r="I1222" s="12" t="inlineStr">
        <is>
          <t>Source assignment -- not individually reviewed</t>
        </is>
      </c>
      <c r="J1222" s="12" t="inlineStr"/>
      <c r="K1222" s="12" t="inlineStr">
        <is>
          <t>Source assignment</t>
        </is>
      </c>
      <c r="L1222" s="12" t="inlineStr"/>
      <c r="M1222" s="12" t="inlineStr">
        <is>
          <t>Initial</t>
        </is>
      </c>
      <c r="N1222" s="12" t="inlineStr">
        <is>
          <t>Rev 0</t>
        </is>
      </c>
      <c r="O1222" s="12" t="inlineStr">
        <is>
          <t>R759-v1</t>
        </is>
      </c>
      <c r="P1222" s="12" t="inlineStr"/>
      <c r="Q1222" s="12" t="inlineStr"/>
      <c r="R1222" s="12" t="inlineStr"/>
      <c r="S1222" s="12" t="inlineStr"/>
      <c r="T1222" s="12" t="inlineStr"/>
      <c r="U1222" s="12" t="inlineStr"/>
      <c r="V1222" s="12" t="inlineStr">
        <is>
          <t>WBS Code = 1.5.2</t>
        </is>
      </c>
      <c r="W1222" s="12" t="inlineStr"/>
    </row>
    <row r="1223" ht="49" customHeight="1">
      <c r="A1223" s="12" t="inlineStr">
        <is>
          <t>1.5.2</t>
        </is>
      </c>
      <c r="B1223" s="12" t="inlineStr">
        <is>
          <t>Testing and Commissioning - Dynamic Testing</t>
        </is>
      </c>
      <c r="C1223" s="12" t="inlineStr">
        <is>
          <t>Contractor Programme</t>
        </is>
      </c>
      <c r="D1223" s="12" t="inlineStr">
        <is>
          <t>SCH-05-042</t>
        </is>
      </c>
      <c r="E1223" s="12" t="inlineStr">
        <is>
          <t>West terminal: emergency-response drill - installation</t>
        </is>
      </c>
      <c r="F1223" s="12" t="inlineStr">
        <is>
          <t>ONE_TO_ONE</t>
        </is>
      </c>
      <c r="G1223" s="12" t="inlineStr">
        <is>
          <t>APPROVED</t>
        </is>
      </c>
      <c r="H1223" s="12" t="inlineStr">
        <is>
          <t>New</t>
        </is>
      </c>
      <c r="I1223" s="12" t="inlineStr">
        <is>
          <t>Source assignment -- not individually reviewed</t>
        </is>
      </c>
      <c r="J1223" s="12" t="inlineStr"/>
      <c r="K1223" s="12" t="inlineStr">
        <is>
          <t>Source assignment</t>
        </is>
      </c>
      <c r="L1223" s="12" t="inlineStr"/>
      <c r="M1223" s="12" t="inlineStr">
        <is>
          <t>Initial</t>
        </is>
      </c>
      <c r="N1223" s="12" t="inlineStr">
        <is>
          <t>Rev 0</t>
        </is>
      </c>
      <c r="O1223" s="12" t="inlineStr">
        <is>
          <t>R762-v1</t>
        </is>
      </c>
      <c r="P1223" s="12" t="inlineStr"/>
      <c r="Q1223" s="12" t="inlineStr"/>
      <c r="R1223" s="12" t="inlineStr"/>
      <c r="S1223" s="12" t="inlineStr"/>
      <c r="T1223" s="12" t="inlineStr"/>
      <c r="U1223" s="12" t="inlineStr"/>
      <c r="V1223" s="12" t="inlineStr">
        <is>
          <t>WBS Code = 1.5.2</t>
        </is>
      </c>
      <c r="W1223" s="12" t="inlineStr"/>
    </row>
    <row r="1224" ht="49" customHeight="1">
      <c r="A1224" s="12" t="inlineStr">
        <is>
          <t>1.5.2</t>
        </is>
      </c>
      <c r="B1224" s="12" t="inlineStr">
        <is>
          <t>Testing and Commissioning - Dynamic Testing</t>
        </is>
      </c>
      <c r="C1224" s="12" t="inlineStr">
        <is>
          <t>Contractor Programme</t>
        </is>
      </c>
      <c r="D1224" s="12" t="inlineStr">
        <is>
          <t>SCH-05-045</t>
        </is>
      </c>
      <c r="E1224" s="12" t="inlineStr">
        <is>
          <t>Mainline east: safety certificate evidence closeout - release</t>
        </is>
      </c>
      <c r="F1224" s="12" t="inlineStr">
        <is>
          <t>ONE_TO_ONE</t>
        </is>
      </c>
      <c r="G1224" s="12" t="inlineStr">
        <is>
          <t>APPROVED</t>
        </is>
      </c>
      <c r="H1224" s="12" t="inlineStr">
        <is>
          <t>New</t>
        </is>
      </c>
      <c r="I1224" s="12" t="inlineStr">
        <is>
          <t>Source assignment -- not individually reviewed</t>
        </is>
      </c>
      <c r="J1224" s="12" t="inlineStr"/>
      <c r="K1224" s="12" t="inlineStr">
        <is>
          <t>Source assignment</t>
        </is>
      </c>
      <c r="L1224" s="12" t="inlineStr"/>
      <c r="M1224" s="12" t="inlineStr">
        <is>
          <t>Initial</t>
        </is>
      </c>
      <c r="N1224" s="12" t="inlineStr">
        <is>
          <t>Rev 0</t>
        </is>
      </c>
      <c r="O1224" s="12" t="inlineStr">
        <is>
          <t>R765-v1</t>
        </is>
      </c>
      <c r="P1224" s="12" t="inlineStr"/>
      <c r="Q1224" s="12" t="inlineStr"/>
      <c r="R1224" s="12" t="inlineStr"/>
      <c r="S1224" s="12" t="inlineStr"/>
      <c r="T1224" s="12" t="inlineStr"/>
      <c r="U1224" s="12" t="inlineStr"/>
      <c r="V1224" s="12" t="inlineStr">
        <is>
          <t>WBS Code = 1.5.2</t>
        </is>
      </c>
      <c r="W1224" s="12" t="inlineStr"/>
    </row>
    <row r="1225" ht="49" customHeight="1">
      <c r="A1225" s="12" t="inlineStr">
        <is>
          <t>1.5.2</t>
        </is>
      </c>
      <c r="B1225" s="12" t="inlineStr">
        <is>
          <t>Testing and Commissioning - Dynamic Testing</t>
        </is>
      </c>
      <c r="C1225" s="12" t="inlineStr">
        <is>
          <t>Contractor Programme</t>
        </is>
      </c>
      <c r="D1225" s="12" t="inlineStr">
        <is>
          <t>SCH-05-048</t>
        </is>
      </c>
      <c r="E1225" s="12" t="inlineStr">
        <is>
          <t>Depot: trial-running shift - inspection</t>
        </is>
      </c>
      <c r="F1225" s="12" t="inlineStr">
        <is>
          <t>ONE_TO_ONE</t>
        </is>
      </c>
      <c r="G1225" s="12" t="inlineStr">
        <is>
          <t>APPROVED</t>
        </is>
      </c>
      <c r="H1225" s="12" t="inlineStr">
        <is>
          <t>New</t>
        </is>
      </c>
      <c r="I1225" s="12" t="inlineStr">
        <is>
          <t>Source assignment -- not individually reviewed</t>
        </is>
      </c>
      <c r="J1225" s="12" t="inlineStr"/>
      <c r="K1225" s="12" t="inlineStr">
        <is>
          <t>Source assignment</t>
        </is>
      </c>
      <c r="L1225" s="12" t="inlineStr"/>
      <c r="M1225" s="12" t="inlineStr">
        <is>
          <t>Initial</t>
        </is>
      </c>
      <c r="N1225" s="12" t="inlineStr">
        <is>
          <t>Rev 0</t>
        </is>
      </c>
      <c r="O1225" s="12" t="inlineStr">
        <is>
          <t>R768-v1</t>
        </is>
      </c>
      <c r="P1225" s="12" t="inlineStr"/>
      <c r="Q1225" s="12" t="inlineStr"/>
      <c r="R1225" s="12" t="inlineStr"/>
      <c r="S1225" s="12" t="inlineStr"/>
      <c r="T1225" s="12" t="inlineStr"/>
      <c r="U1225" s="12" t="inlineStr"/>
      <c r="V1225" s="12" t="inlineStr">
        <is>
          <t>WBS Code = 1.5.2</t>
        </is>
      </c>
      <c r="W1225" s="12" t="inlineStr"/>
    </row>
    <row r="1226" ht="49" customHeight="1">
      <c r="A1226" s="12" t="inlineStr">
        <is>
          <t>1.5.2</t>
        </is>
      </c>
      <c r="B1226" s="12" t="inlineStr">
        <is>
          <t>Testing and Commissioning - Dynamic Testing</t>
        </is>
      </c>
      <c r="C1226" s="12" t="inlineStr">
        <is>
          <t>Contractor Programme</t>
        </is>
      </c>
      <c r="D1226" s="12" t="inlineStr">
        <is>
          <t>SCH-05-051</t>
        </is>
      </c>
      <c r="E1226" s="12" t="inlineStr">
        <is>
          <t>Central section: defect retest - field start</t>
        </is>
      </c>
      <c r="F1226" s="12" t="inlineStr">
        <is>
          <t>ONE_TO_ONE</t>
        </is>
      </c>
      <c r="G1226" s="12" t="inlineStr">
        <is>
          <t>APPROVED</t>
        </is>
      </c>
      <c r="H1226" s="12" t="inlineStr">
        <is>
          <t>New</t>
        </is>
      </c>
      <c r="I1226" s="12" t="inlineStr">
        <is>
          <t>Source assignment -- not individually reviewed</t>
        </is>
      </c>
      <c r="J1226" s="12" t="inlineStr"/>
      <c r="K1226" s="12" t="inlineStr">
        <is>
          <t>Source assignment</t>
        </is>
      </c>
      <c r="L1226" s="12" t="inlineStr"/>
      <c r="M1226" s="12" t="inlineStr">
        <is>
          <t>Initial</t>
        </is>
      </c>
      <c r="N1226" s="12" t="inlineStr">
        <is>
          <t>Rev 0</t>
        </is>
      </c>
      <c r="O1226" s="12" t="inlineStr">
        <is>
          <t>R771-v1</t>
        </is>
      </c>
      <c r="P1226" s="12" t="inlineStr"/>
      <c r="Q1226" s="12" t="inlineStr"/>
      <c r="R1226" s="12" t="inlineStr"/>
      <c r="S1226" s="12" t="inlineStr"/>
      <c r="T1226" s="12" t="inlineStr"/>
      <c r="U1226" s="12" t="inlineStr"/>
      <c r="V1226" s="12" t="inlineStr">
        <is>
          <t>WBS Code = 1.5.2</t>
        </is>
      </c>
      <c r="W1226" s="12" t="inlineStr"/>
    </row>
    <row r="1227" ht="49" customHeight="1">
      <c r="A1227" s="12" t="inlineStr">
        <is>
          <t>1.5.2</t>
        </is>
      </c>
      <c r="B1227" s="12" t="inlineStr">
        <is>
          <t>Testing and Commissioning - Dynamic Testing</t>
        </is>
      </c>
      <c r="C1227" s="12" t="inlineStr">
        <is>
          <t>Contractor Programme</t>
        </is>
      </c>
      <c r="D1227" s="12" t="inlineStr">
        <is>
          <t>SCH-05-054</t>
        </is>
      </c>
      <c r="E1227" s="12" t="inlineStr">
        <is>
          <t>Control Centre: service-readiness review - turnover</t>
        </is>
      </c>
      <c r="F1227" s="12" t="inlineStr">
        <is>
          <t>ONE_TO_ONE</t>
        </is>
      </c>
      <c r="G1227" s="12" t="inlineStr">
        <is>
          <t>APPROVED</t>
        </is>
      </c>
      <c r="H1227" s="12" t="inlineStr">
        <is>
          <t>New</t>
        </is>
      </c>
      <c r="I1227" s="12" t="inlineStr">
        <is>
          <t>Source assignment -- not individually reviewed</t>
        </is>
      </c>
      <c r="J1227" s="12" t="inlineStr"/>
      <c r="K1227" s="12" t="inlineStr">
        <is>
          <t>Source assignment</t>
        </is>
      </c>
      <c r="L1227" s="12" t="inlineStr"/>
      <c r="M1227" s="12" t="inlineStr">
        <is>
          <t>Initial</t>
        </is>
      </c>
      <c r="N1227" s="12" t="inlineStr">
        <is>
          <t>Rev 0</t>
        </is>
      </c>
      <c r="O1227" s="12" t="inlineStr">
        <is>
          <t>R774-v1</t>
        </is>
      </c>
      <c r="P1227" s="12" t="inlineStr"/>
      <c r="Q1227" s="12" t="inlineStr"/>
      <c r="R1227" s="12" t="inlineStr"/>
      <c r="S1227" s="12" t="inlineStr"/>
      <c r="T1227" s="12" t="inlineStr"/>
      <c r="U1227" s="12" t="inlineStr"/>
      <c r="V1227" s="12" t="inlineStr">
        <is>
          <t>WBS Code = 1.5.2</t>
        </is>
      </c>
      <c r="W1227" s="12" t="inlineStr"/>
    </row>
    <row r="1228" ht="49" customHeight="1">
      <c r="A1228" s="12" t="inlineStr">
        <is>
          <t>1.5.2</t>
        </is>
      </c>
      <c r="B1228" s="12" t="inlineStr">
        <is>
          <t>Testing and Commissioning - Dynamic Testing</t>
        </is>
      </c>
      <c r="C1228" s="12" t="inlineStr">
        <is>
          <t>Contractor Programme</t>
        </is>
      </c>
      <c r="D1228" s="12" t="inlineStr">
        <is>
          <t>SCH-05-057</t>
        </is>
      </c>
      <c r="E1228" s="12" t="inlineStr">
        <is>
          <t>West terminal: test procedure readiness review - installation</t>
        </is>
      </c>
      <c r="F1228" s="12" t="inlineStr">
        <is>
          <t>ONE_TO_ONE</t>
        </is>
      </c>
      <c r="G1228" s="12" t="inlineStr">
        <is>
          <t>APPROVED</t>
        </is>
      </c>
      <c r="H1228" s="12" t="inlineStr">
        <is>
          <t>New</t>
        </is>
      </c>
      <c r="I1228" s="12" t="inlineStr">
        <is>
          <t>Source assignment -- not individually reviewed</t>
        </is>
      </c>
      <c r="J1228" s="12" t="inlineStr"/>
      <c r="K1228" s="12" t="inlineStr">
        <is>
          <t>Source assignment</t>
        </is>
      </c>
      <c r="L1228" s="12" t="inlineStr"/>
      <c r="M1228" s="12" t="inlineStr">
        <is>
          <t>Initial</t>
        </is>
      </c>
      <c r="N1228" s="12" t="inlineStr">
        <is>
          <t>Rev 0</t>
        </is>
      </c>
      <c r="O1228" s="12" t="inlineStr">
        <is>
          <t>R777-v1</t>
        </is>
      </c>
      <c r="P1228" s="12" t="inlineStr"/>
      <c r="Q1228" s="12" t="inlineStr"/>
      <c r="R1228" s="12" t="inlineStr"/>
      <c r="S1228" s="12" t="inlineStr"/>
      <c r="T1228" s="12" t="inlineStr"/>
      <c r="U1228" s="12" t="inlineStr"/>
      <c r="V1228" s="12" t="inlineStr">
        <is>
          <t>WBS Code = 1.5.2</t>
        </is>
      </c>
      <c r="W1228" s="12" t="inlineStr"/>
    </row>
    <row r="1229" ht="49" customHeight="1">
      <c r="A1229" s="12" t="inlineStr">
        <is>
          <t>1.5.2</t>
        </is>
      </c>
      <c r="B1229" s="12" t="inlineStr">
        <is>
          <t>Testing and Commissioning - Dynamic Testing</t>
        </is>
      </c>
      <c r="C1229" s="12" t="inlineStr">
        <is>
          <t>Contractor Programme</t>
        </is>
      </c>
      <c r="D1229" s="12" t="inlineStr">
        <is>
          <t>SCH-05-060</t>
        </is>
      </c>
      <c r="E1229" s="12" t="inlineStr">
        <is>
          <t>Mainline east: mainline dynamic test - release</t>
        </is>
      </c>
      <c r="F1229" s="12" t="inlineStr">
        <is>
          <t>ONE_TO_ONE</t>
        </is>
      </c>
      <c r="G1229" s="12" t="inlineStr">
        <is>
          <t>APPROVED</t>
        </is>
      </c>
      <c r="H1229" s="12" t="inlineStr">
        <is>
          <t>New</t>
        </is>
      </c>
      <c r="I1229" s="12" t="inlineStr">
        <is>
          <t>Source assignment -- not individually reviewed</t>
        </is>
      </c>
      <c r="J1229" s="12" t="inlineStr"/>
      <c r="K1229" s="12" t="inlineStr">
        <is>
          <t>Source assignment</t>
        </is>
      </c>
      <c r="L1229" s="12" t="inlineStr"/>
      <c r="M1229" s="12" t="inlineStr">
        <is>
          <t>Initial</t>
        </is>
      </c>
      <c r="N1229" s="12" t="inlineStr">
        <is>
          <t>Rev 0</t>
        </is>
      </c>
      <c r="O1229" s="12" t="inlineStr">
        <is>
          <t>R780-v1</t>
        </is>
      </c>
      <c r="P1229" s="12" t="inlineStr"/>
      <c r="Q1229" s="12" t="inlineStr"/>
      <c r="R1229" s="12" t="inlineStr"/>
      <c r="S1229" s="12" t="inlineStr"/>
      <c r="T1229" s="12" t="inlineStr"/>
      <c r="U1229" s="12" t="inlineStr"/>
      <c r="V1229" s="12" t="inlineStr">
        <is>
          <t>WBS Code = 1.5.2</t>
        </is>
      </c>
      <c r="W1229" s="12" t="inlineStr"/>
    </row>
    <row r="1230" ht="49" customHeight="1">
      <c r="A1230" s="12" t="inlineStr">
        <is>
          <t>1.5.2</t>
        </is>
      </c>
      <c r="B1230" s="12" t="inlineStr">
        <is>
          <t>Testing and Commissioning - Dynamic Testing</t>
        </is>
      </c>
      <c r="C1230" s="12" t="inlineStr">
        <is>
          <t>Contractor Programme</t>
        </is>
      </c>
      <c r="D1230" s="12" t="inlineStr">
        <is>
          <t>SCH-05-063</t>
        </is>
      </c>
      <c r="E1230" s="12" t="inlineStr">
        <is>
          <t>Depot: station integrated test - inspection</t>
        </is>
      </c>
      <c r="F1230" s="12" t="inlineStr">
        <is>
          <t>ONE_TO_ONE</t>
        </is>
      </c>
      <c r="G1230" s="12" t="inlineStr">
        <is>
          <t>APPROVED</t>
        </is>
      </c>
      <c r="H1230" s="12" t="inlineStr">
        <is>
          <t>New</t>
        </is>
      </c>
      <c r="I1230" s="12" t="inlineStr">
        <is>
          <t>Source assignment -- not individually reviewed</t>
        </is>
      </c>
      <c r="J1230" s="12" t="inlineStr"/>
      <c r="K1230" s="12" t="inlineStr">
        <is>
          <t>Source assignment</t>
        </is>
      </c>
      <c r="L1230" s="12" t="inlineStr"/>
      <c r="M1230" s="12" t="inlineStr">
        <is>
          <t>Initial</t>
        </is>
      </c>
      <c r="N1230" s="12" t="inlineStr">
        <is>
          <t>Rev 0</t>
        </is>
      </c>
      <c r="O1230" s="12" t="inlineStr">
        <is>
          <t>R783-v1</t>
        </is>
      </c>
      <c r="P1230" s="12" t="inlineStr"/>
      <c r="Q1230" s="12" t="inlineStr"/>
      <c r="R1230" s="12" t="inlineStr"/>
      <c r="S1230" s="12" t="inlineStr"/>
      <c r="T1230" s="12" t="inlineStr"/>
      <c r="U1230" s="12" t="inlineStr"/>
      <c r="V1230" s="12" t="inlineStr">
        <is>
          <t>WBS Code = 1.5.2</t>
        </is>
      </c>
      <c r="W1230" s="12" t="inlineStr"/>
    </row>
    <row r="1231" ht="49" customHeight="1">
      <c r="A1231" s="12" t="inlineStr">
        <is>
          <t>1.5.2</t>
        </is>
      </c>
      <c r="B1231" s="12" t="inlineStr">
        <is>
          <t>Testing and Commissioning - Dynamic Testing</t>
        </is>
      </c>
      <c r="C1231" s="12" t="inlineStr">
        <is>
          <t>Contractor Programme</t>
        </is>
      </c>
      <c r="D1231" s="12" t="inlineStr">
        <is>
          <t>SCH-05-066</t>
        </is>
      </c>
      <c r="E1231" s="12" t="inlineStr">
        <is>
          <t>Central section: emergency-response drill - field start</t>
        </is>
      </c>
      <c r="F1231" s="12" t="inlineStr">
        <is>
          <t>ONE_TO_ONE</t>
        </is>
      </c>
      <c r="G1231" s="12" t="inlineStr">
        <is>
          <t>APPROVED</t>
        </is>
      </c>
      <c r="H1231" s="12" t="inlineStr">
        <is>
          <t>New</t>
        </is>
      </c>
      <c r="I1231" s="12" t="inlineStr">
        <is>
          <t>Source assignment -- not individually reviewed</t>
        </is>
      </c>
      <c r="J1231" s="12" t="inlineStr"/>
      <c r="K1231" s="12" t="inlineStr">
        <is>
          <t>Source assignment</t>
        </is>
      </c>
      <c r="L1231" s="12" t="inlineStr"/>
      <c r="M1231" s="12" t="inlineStr">
        <is>
          <t>Initial</t>
        </is>
      </c>
      <c r="N1231" s="12" t="inlineStr">
        <is>
          <t>Rev 0</t>
        </is>
      </c>
      <c r="O1231" s="12" t="inlineStr">
        <is>
          <t>R786-v1</t>
        </is>
      </c>
      <c r="P1231" s="12" t="inlineStr"/>
      <c r="Q1231" s="12" t="inlineStr"/>
      <c r="R1231" s="12" t="inlineStr"/>
      <c r="S1231" s="12" t="inlineStr"/>
      <c r="T1231" s="12" t="inlineStr"/>
      <c r="U1231" s="12" t="inlineStr"/>
      <c r="V1231" s="12" t="inlineStr">
        <is>
          <t>WBS Code = 1.5.2</t>
        </is>
      </c>
      <c r="W1231" s="12" t="inlineStr"/>
    </row>
    <row r="1232" ht="49" customHeight="1">
      <c r="A1232" s="12" t="inlineStr">
        <is>
          <t>1.5.2</t>
        </is>
      </c>
      <c r="B1232" s="12" t="inlineStr">
        <is>
          <t>Testing and Commissioning - Dynamic Testing</t>
        </is>
      </c>
      <c r="C1232" s="12" t="inlineStr">
        <is>
          <t>Contractor Programme</t>
        </is>
      </c>
      <c r="D1232" s="12" t="inlineStr">
        <is>
          <t>SCH-05-069</t>
        </is>
      </c>
      <c r="E1232" s="12" t="inlineStr">
        <is>
          <t>Control Centre: safety certificate evidence closeout - turnover</t>
        </is>
      </c>
      <c r="F1232" s="12" t="inlineStr">
        <is>
          <t>ONE_TO_ONE</t>
        </is>
      </c>
      <c r="G1232" s="12" t="inlineStr">
        <is>
          <t>APPROVED</t>
        </is>
      </c>
      <c r="H1232" s="12" t="inlineStr">
        <is>
          <t>New</t>
        </is>
      </c>
      <c r="I1232" s="12" t="inlineStr">
        <is>
          <t>Source assignment -- not individually reviewed</t>
        </is>
      </c>
      <c r="J1232" s="12" t="inlineStr"/>
      <c r="K1232" s="12" t="inlineStr">
        <is>
          <t>Source assignment</t>
        </is>
      </c>
      <c r="L1232" s="12" t="inlineStr"/>
      <c r="M1232" s="12" t="inlineStr">
        <is>
          <t>Initial</t>
        </is>
      </c>
      <c r="N1232" s="12" t="inlineStr">
        <is>
          <t>Rev 0</t>
        </is>
      </c>
      <c r="O1232" s="12" t="inlineStr">
        <is>
          <t>R789-v1</t>
        </is>
      </c>
      <c r="P1232" s="12" t="inlineStr"/>
      <c r="Q1232" s="12" t="inlineStr"/>
      <c r="R1232" s="12" t="inlineStr"/>
      <c r="S1232" s="12" t="inlineStr"/>
      <c r="T1232" s="12" t="inlineStr"/>
      <c r="U1232" s="12" t="inlineStr"/>
      <c r="V1232" s="12" t="inlineStr">
        <is>
          <t>WBS Code = 1.5.2</t>
        </is>
      </c>
      <c r="W1232" s="12" t="inlineStr"/>
    </row>
    <row r="1233" ht="49" customHeight="1">
      <c r="A1233" s="12" t="inlineStr">
        <is>
          <t>1.5.2</t>
        </is>
      </c>
      <c r="B1233" s="12" t="inlineStr">
        <is>
          <t>Testing and Commissioning - Dynamic Testing</t>
        </is>
      </c>
      <c r="C1233" s="12" t="inlineStr">
        <is>
          <t>Contractor Programme</t>
        </is>
      </c>
      <c r="D1233" s="12" t="inlineStr">
        <is>
          <t>SCH-05-072</t>
        </is>
      </c>
      <c r="E1233" s="12" t="inlineStr">
        <is>
          <t>West terminal: trial-running shift - installation</t>
        </is>
      </c>
      <c r="F1233" s="12" t="inlineStr">
        <is>
          <t>ONE_TO_ONE</t>
        </is>
      </c>
      <c r="G1233" s="12" t="inlineStr">
        <is>
          <t>APPROVED</t>
        </is>
      </c>
      <c r="H1233" s="12" t="inlineStr">
        <is>
          <t>New</t>
        </is>
      </c>
      <c r="I1233" s="12" t="inlineStr">
        <is>
          <t>Source assignment -- not individually reviewed</t>
        </is>
      </c>
      <c r="J1233" s="12" t="inlineStr"/>
      <c r="K1233" s="12" t="inlineStr">
        <is>
          <t>Source assignment</t>
        </is>
      </c>
      <c r="L1233" s="12" t="inlineStr"/>
      <c r="M1233" s="12" t="inlineStr">
        <is>
          <t>Initial</t>
        </is>
      </c>
      <c r="N1233" s="12" t="inlineStr">
        <is>
          <t>Rev 0</t>
        </is>
      </c>
      <c r="O1233" s="12" t="inlineStr">
        <is>
          <t>R792-v1</t>
        </is>
      </c>
      <c r="P1233" s="12" t="inlineStr"/>
      <c r="Q1233" s="12" t="inlineStr"/>
      <c r="R1233" s="12" t="inlineStr"/>
      <c r="S1233" s="12" t="inlineStr"/>
      <c r="T1233" s="12" t="inlineStr"/>
      <c r="U1233" s="12" t="inlineStr"/>
      <c r="V1233" s="12" t="inlineStr">
        <is>
          <t>WBS Code = 1.5.2</t>
        </is>
      </c>
      <c r="W1233" s="12" t="inlineStr"/>
    </row>
    <row r="1234" ht="49" customHeight="1">
      <c r="A1234" s="12" t="inlineStr">
        <is>
          <t>1.5.2</t>
        </is>
      </c>
      <c r="B1234" s="12" t="inlineStr">
        <is>
          <t>Testing and Commissioning - Dynamic Testing</t>
        </is>
      </c>
      <c r="C1234" s="12" t="inlineStr">
        <is>
          <t>Contractor Programme</t>
        </is>
      </c>
      <c r="D1234" s="12" t="inlineStr">
        <is>
          <t>SCH-05-075</t>
        </is>
      </c>
      <c r="E1234" s="12" t="inlineStr">
        <is>
          <t>Mainline east: defect retest - release</t>
        </is>
      </c>
      <c r="F1234" s="12" t="inlineStr">
        <is>
          <t>ONE_TO_ONE</t>
        </is>
      </c>
      <c r="G1234" s="12" t="inlineStr">
        <is>
          <t>APPROVED</t>
        </is>
      </c>
      <c r="H1234" s="12" t="inlineStr">
        <is>
          <t>New</t>
        </is>
      </c>
      <c r="I1234" s="12" t="inlineStr">
        <is>
          <t>Source assignment -- not individually reviewed</t>
        </is>
      </c>
      <c r="J1234" s="12" t="inlineStr"/>
      <c r="K1234" s="12" t="inlineStr">
        <is>
          <t>Source assignment</t>
        </is>
      </c>
      <c r="L1234" s="12" t="inlineStr"/>
      <c r="M1234" s="12" t="inlineStr">
        <is>
          <t>Initial</t>
        </is>
      </c>
      <c r="N1234" s="12" t="inlineStr">
        <is>
          <t>Rev 0</t>
        </is>
      </c>
      <c r="O1234" s="12" t="inlineStr">
        <is>
          <t>R795-v1</t>
        </is>
      </c>
      <c r="P1234" s="12" t="inlineStr"/>
      <c r="Q1234" s="12" t="inlineStr"/>
      <c r="R1234" s="12" t="inlineStr"/>
      <c r="S1234" s="12" t="inlineStr"/>
      <c r="T1234" s="12" t="inlineStr"/>
      <c r="U1234" s="12" t="inlineStr"/>
      <c r="V1234" s="12" t="inlineStr">
        <is>
          <t>WBS Code = 1.5.2</t>
        </is>
      </c>
      <c r="W1234" s="12" t="inlineStr"/>
    </row>
    <row r="1235" ht="49" customHeight="1">
      <c r="A1235" s="12" t="inlineStr">
        <is>
          <t>1.5.2</t>
        </is>
      </c>
      <c r="B1235" s="12" t="inlineStr">
        <is>
          <t>Testing and Commissioning - Dynamic Testing</t>
        </is>
      </c>
      <c r="C1235" s="12" t="inlineStr">
        <is>
          <t>Contractor Programme</t>
        </is>
      </c>
      <c r="D1235" s="12" t="inlineStr">
        <is>
          <t>SCH-05-078</t>
        </is>
      </c>
      <c r="E1235" s="12" t="inlineStr">
        <is>
          <t>Depot: service-readiness review - inspection</t>
        </is>
      </c>
      <c r="F1235" s="12" t="inlineStr">
        <is>
          <t>ONE_TO_ONE</t>
        </is>
      </c>
      <c r="G1235" s="12" t="inlineStr">
        <is>
          <t>APPROVED</t>
        </is>
      </c>
      <c r="H1235" s="12" t="inlineStr">
        <is>
          <t>New</t>
        </is>
      </c>
      <c r="I1235" s="12" t="inlineStr">
        <is>
          <t>Source assignment -- not individually reviewed</t>
        </is>
      </c>
      <c r="J1235" s="12" t="inlineStr"/>
      <c r="K1235" s="12" t="inlineStr">
        <is>
          <t>Source assignment</t>
        </is>
      </c>
      <c r="L1235" s="12" t="inlineStr"/>
      <c r="M1235" s="12" t="inlineStr">
        <is>
          <t>Initial</t>
        </is>
      </c>
      <c r="N1235" s="12" t="inlineStr">
        <is>
          <t>Rev 0</t>
        </is>
      </c>
      <c r="O1235" s="12" t="inlineStr">
        <is>
          <t>R798-v1</t>
        </is>
      </c>
      <c r="P1235" s="12" t="inlineStr"/>
      <c r="Q1235" s="12" t="inlineStr"/>
      <c r="R1235" s="12" t="inlineStr"/>
      <c r="S1235" s="12" t="inlineStr"/>
      <c r="T1235" s="12" t="inlineStr"/>
      <c r="U1235" s="12" t="inlineStr"/>
      <c r="V1235" s="12" t="inlineStr">
        <is>
          <t>WBS Code = 1.5.2</t>
        </is>
      </c>
      <c r="W1235" s="12" t="inlineStr"/>
    </row>
    <row r="1236" ht="49" customHeight="1">
      <c r="A1236" s="12" t="inlineStr">
        <is>
          <t>1.5.2</t>
        </is>
      </c>
      <c r="B1236" s="12" t="inlineStr">
        <is>
          <t>Testing and Commissioning - Dynamic Testing</t>
        </is>
      </c>
      <c r="C1236" s="12" t="inlineStr">
        <is>
          <t>Contractor Programme</t>
        </is>
      </c>
      <c r="D1236" s="12" t="inlineStr">
        <is>
          <t>SCH-05-081</t>
        </is>
      </c>
      <c r="E1236" s="12" t="inlineStr">
        <is>
          <t>Central section: test procedure readiness review - field start</t>
        </is>
      </c>
      <c r="F1236" s="12" t="inlineStr">
        <is>
          <t>ONE_TO_ONE</t>
        </is>
      </c>
      <c r="G1236" s="12" t="inlineStr">
        <is>
          <t>APPROVED</t>
        </is>
      </c>
      <c r="H1236" s="12" t="inlineStr">
        <is>
          <t>New</t>
        </is>
      </c>
      <c r="I1236" s="12" t="inlineStr">
        <is>
          <t>Source assignment -- not individually reviewed</t>
        </is>
      </c>
      <c r="J1236" s="12" t="inlineStr"/>
      <c r="K1236" s="12" t="inlineStr">
        <is>
          <t>Source assignment</t>
        </is>
      </c>
      <c r="L1236" s="12" t="inlineStr"/>
      <c r="M1236" s="12" t="inlineStr">
        <is>
          <t>Initial</t>
        </is>
      </c>
      <c r="N1236" s="12" t="inlineStr">
        <is>
          <t>Rev 0</t>
        </is>
      </c>
      <c r="O1236" s="12" t="inlineStr">
        <is>
          <t>R801-v1</t>
        </is>
      </c>
      <c r="P1236" s="12" t="inlineStr"/>
      <c r="Q1236" s="12" t="inlineStr"/>
      <c r="R1236" s="12" t="inlineStr"/>
      <c r="S1236" s="12" t="inlineStr"/>
      <c r="T1236" s="12" t="inlineStr"/>
      <c r="U1236" s="12" t="inlineStr"/>
      <c r="V1236" s="12" t="inlineStr">
        <is>
          <t>WBS Code = 1.5.2</t>
        </is>
      </c>
      <c r="W1236" s="12" t="inlineStr"/>
    </row>
    <row r="1237" ht="49" customHeight="1">
      <c r="A1237" s="12" t="inlineStr">
        <is>
          <t>1.5.2</t>
        </is>
      </c>
      <c r="B1237" s="12" t="inlineStr">
        <is>
          <t>Testing and Commissioning - Dynamic Testing</t>
        </is>
      </c>
      <c r="C1237" s="12" t="inlineStr">
        <is>
          <t>Contractor Programme</t>
        </is>
      </c>
      <c r="D1237" s="12" t="inlineStr">
        <is>
          <t>SCH-05-084</t>
        </is>
      </c>
      <c r="E1237" s="12" t="inlineStr">
        <is>
          <t>Control Centre: mainline dynamic test - turnover</t>
        </is>
      </c>
      <c r="F1237" s="12" t="inlineStr">
        <is>
          <t>ONE_TO_ONE</t>
        </is>
      </c>
      <c r="G1237" s="12" t="inlineStr">
        <is>
          <t>APPROVED</t>
        </is>
      </c>
      <c r="H1237" s="12" t="inlineStr">
        <is>
          <t>New</t>
        </is>
      </c>
      <c r="I1237" s="12" t="inlineStr">
        <is>
          <t>Source assignment -- not individually reviewed</t>
        </is>
      </c>
      <c r="J1237" s="12" t="inlineStr"/>
      <c r="K1237" s="12" t="inlineStr">
        <is>
          <t>Source assignment</t>
        </is>
      </c>
      <c r="L1237" s="12" t="inlineStr"/>
      <c r="M1237" s="12" t="inlineStr">
        <is>
          <t>Initial</t>
        </is>
      </c>
      <c r="N1237" s="12" t="inlineStr">
        <is>
          <t>Rev 0</t>
        </is>
      </c>
      <c r="O1237" s="12" t="inlineStr">
        <is>
          <t>R804-v1</t>
        </is>
      </c>
      <c r="P1237" s="12" t="inlineStr"/>
      <c r="Q1237" s="12" t="inlineStr"/>
      <c r="R1237" s="12" t="inlineStr"/>
      <c r="S1237" s="12" t="inlineStr"/>
      <c r="T1237" s="12" t="inlineStr"/>
      <c r="U1237" s="12" t="inlineStr"/>
      <c r="V1237" s="12" t="inlineStr">
        <is>
          <t>WBS Code = 1.5.2</t>
        </is>
      </c>
      <c r="W1237" s="12" t="inlineStr"/>
    </row>
    <row r="1238" ht="49" customHeight="1">
      <c r="A1238" s="12" t="inlineStr">
        <is>
          <t>1.5.2</t>
        </is>
      </c>
      <c r="B1238" s="12" t="inlineStr">
        <is>
          <t>Testing and Commissioning - Dynamic Testing</t>
        </is>
      </c>
      <c r="C1238" s="12" t="inlineStr">
        <is>
          <t>Contractor Programme</t>
        </is>
      </c>
      <c r="D1238" s="12" t="inlineStr">
        <is>
          <t>SCH-05-087</t>
        </is>
      </c>
      <c r="E1238" s="12" t="inlineStr">
        <is>
          <t>West terminal: station integrated test - installation</t>
        </is>
      </c>
      <c r="F1238" s="12" t="inlineStr">
        <is>
          <t>ONE_TO_ONE</t>
        </is>
      </c>
      <c r="G1238" s="12" t="inlineStr">
        <is>
          <t>APPROVED</t>
        </is>
      </c>
      <c r="H1238" s="12" t="inlineStr">
        <is>
          <t>New</t>
        </is>
      </c>
      <c r="I1238" s="12" t="inlineStr">
        <is>
          <t>Source assignment -- not individually reviewed</t>
        </is>
      </c>
      <c r="J1238" s="12" t="inlineStr"/>
      <c r="K1238" s="12" t="inlineStr">
        <is>
          <t>Source assignment</t>
        </is>
      </c>
      <c r="L1238" s="12" t="inlineStr"/>
      <c r="M1238" s="12" t="inlineStr">
        <is>
          <t>Initial</t>
        </is>
      </c>
      <c r="N1238" s="12" t="inlineStr">
        <is>
          <t>Rev 0</t>
        </is>
      </c>
      <c r="O1238" s="12" t="inlineStr">
        <is>
          <t>R807-v1</t>
        </is>
      </c>
      <c r="P1238" s="12" t="inlineStr"/>
      <c r="Q1238" s="12" t="inlineStr"/>
      <c r="R1238" s="12" t="inlineStr"/>
      <c r="S1238" s="12" t="inlineStr"/>
      <c r="T1238" s="12" t="inlineStr"/>
      <c r="U1238" s="12" t="inlineStr"/>
      <c r="V1238" s="12" t="inlineStr">
        <is>
          <t>WBS Code = 1.5.2</t>
        </is>
      </c>
      <c r="W1238" s="12" t="inlineStr"/>
    </row>
    <row r="1239" ht="49" customHeight="1">
      <c r="A1239" s="12" t="inlineStr">
        <is>
          <t>1.5.2</t>
        </is>
      </c>
      <c r="B1239" s="12" t="inlineStr">
        <is>
          <t>Testing and Commissioning - Dynamic Testing</t>
        </is>
      </c>
      <c r="C1239" s="12" t="inlineStr">
        <is>
          <t>Contractor Programme</t>
        </is>
      </c>
      <c r="D1239" s="12" t="inlineStr">
        <is>
          <t>SCH-05-090</t>
        </is>
      </c>
      <c r="E1239" s="12" t="inlineStr">
        <is>
          <t>Mainline east: emergency-response drill - release</t>
        </is>
      </c>
      <c r="F1239" s="12" t="inlineStr">
        <is>
          <t>ONE_TO_ONE</t>
        </is>
      </c>
      <c r="G1239" s="12" t="inlineStr">
        <is>
          <t>APPROVED</t>
        </is>
      </c>
      <c r="H1239" s="12" t="inlineStr">
        <is>
          <t>New</t>
        </is>
      </c>
      <c r="I1239" s="12" t="inlineStr">
        <is>
          <t>Source assignment -- not individually reviewed</t>
        </is>
      </c>
      <c r="J1239" s="12" t="inlineStr"/>
      <c r="K1239" s="12" t="inlineStr">
        <is>
          <t>Source assignment</t>
        </is>
      </c>
      <c r="L1239" s="12" t="inlineStr"/>
      <c r="M1239" s="12" t="inlineStr">
        <is>
          <t>Initial</t>
        </is>
      </c>
      <c r="N1239" s="12" t="inlineStr">
        <is>
          <t>Rev 0</t>
        </is>
      </c>
      <c r="O1239" s="12" t="inlineStr">
        <is>
          <t>R810-v1</t>
        </is>
      </c>
      <c r="P1239" s="12" t="inlineStr"/>
      <c r="Q1239" s="12" t="inlineStr"/>
      <c r="R1239" s="12" t="inlineStr"/>
      <c r="S1239" s="12" t="inlineStr"/>
      <c r="T1239" s="12" t="inlineStr"/>
      <c r="U1239" s="12" t="inlineStr"/>
      <c r="V1239" s="12" t="inlineStr">
        <is>
          <t>WBS Code = 1.5.2</t>
        </is>
      </c>
      <c r="W1239" s="12" t="inlineStr"/>
    </row>
    <row r="1240" ht="49" customHeight="1">
      <c r="A1240" s="12" t="inlineStr">
        <is>
          <t>1.5.2</t>
        </is>
      </c>
      <c r="B1240" s="12" t="inlineStr">
        <is>
          <t>Testing and Commissioning - Dynamic Testing</t>
        </is>
      </c>
      <c r="C1240" s="12" t="inlineStr">
        <is>
          <t>Contractor Programme</t>
        </is>
      </c>
      <c r="D1240" s="12" t="inlineStr">
        <is>
          <t>SCH-05-093</t>
        </is>
      </c>
      <c r="E1240" s="12" t="inlineStr">
        <is>
          <t>Depot: safety certificate evidence closeout - inspection</t>
        </is>
      </c>
      <c r="F1240" s="12" t="inlineStr">
        <is>
          <t>ONE_TO_ONE</t>
        </is>
      </c>
      <c r="G1240" s="12" t="inlineStr">
        <is>
          <t>APPROVED</t>
        </is>
      </c>
      <c r="H1240" s="12" t="inlineStr">
        <is>
          <t>New</t>
        </is>
      </c>
      <c r="I1240" s="12" t="inlineStr">
        <is>
          <t>Source assignment -- not individually reviewed</t>
        </is>
      </c>
      <c r="J1240" s="12" t="inlineStr"/>
      <c r="K1240" s="12" t="inlineStr">
        <is>
          <t>Source assignment</t>
        </is>
      </c>
      <c r="L1240" s="12" t="inlineStr"/>
      <c r="M1240" s="12" t="inlineStr">
        <is>
          <t>Initial</t>
        </is>
      </c>
      <c r="N1240" s="12" t="inlineStr">
        <is>
          <t>Rev 0</t>
        </is>
      </c>
      <c r="O1240" s="12" t="inlineStr">
        <is>
          <t>R813-v1</t>
        </is>
      </c>
      <c r="P1240" s="12" t="inlineStr"/>
      <c r="Q1240" s="12" t="inlineStr"/>
      <c r="R1240" s="12" t="inlineStr"/>
      <c r="S1240" s="12" t="inlineStr"/>
      <c r="T1240" s="12" t="inlineStr"/>
      <c r="U1240" s="12" t="inlineStr"/>
      <c r="V1240" s="12" t="inlineStr">
        <is>
          <t>WBS Code = 1.5.2</t>
        </is>
      </c>
      <c r="W1240" s="12" t="inlineStr"/>
    </row>
    <row r="1241" ht="49" customHeight="1">
      <c r="A1241" s="12" t="inlineStr">
        <is>
          <t>1.5.2</t>
        </is>
      </c>
      <c r="B1241" s="12" t="inlineStr">
        <is>
          <t>Testing and Commissioning - Dynamic Testing</t>
        </is>
      </c>
      <c r="C1241" s="12" t="inlineStr">
        <is>
          <t>Contractor Programme</t>
        </is>
      </c>
      <c r="D1241" s="12" t="inlineStr">
        <is>
          <t>SCH-05-096</t>
        </is>
      </c>
      <c r="E1241" s="12" t="inlineStr">
        <is>
          <t>Central section: trial-running shift - field start</t>
        </is>
      </c>
      <c r="F1241" s="12" t="inlineStr">
        <is>
          <t>ONE_TO_ONE</t>
        </is>
      </c>
      <c r="G1241" s="12" t="inlineStr">
        <is>
          <t>APPROVED</t>
        </is>
      </c>
      <c r="H1241" s="12" t="inlineStr">
        <is>
          <t>New</t>
        </is>
      </c>
      <c r="I1241" s="12" t="inlineStr">
        <is>
          <t>Source assignment -- not individually reviewed</t>
        </is>
      </c>
      <c r="J1241" s="12" t="inlineStr"/>
      <c r="K1241" s="12" t="inlineStr">
        <is>
          <t>Source assignment</t>
        </is>
      </c>
      <c r="L1241" s="12" t="inlineStr"/>
      <c r="M1241" s="12" t="inlineStr">
        <is>
          <t>Initial</t>
        </is>
      </c>
      <c r="N1241" s="12" t="inlineStr">
        <is>
          <t>Rev 0</t>
        </is>
      </c>
      <c r="O1241" s="12" t="inlineStr">
        <is>
          <t>R816-v1</t>
        </is>
      </c>
      <c r="P1241" s="12" t="inlineStr"/>
      <c r="Q1241" s="12" t="inlineStr"/>
      <c r="R1241" s="12" t="inlineStr"/>
      <c r="S1241" s="12" t="inlineStr"/>
      <c r="T1241" s="12" t="inlineStr"/>
      <c r="U1241" s="12" t="inlineStr"/>
      <c r="V1241" s="12" t="inlineStr">
        <is>
          <t>WBS Code = 1.5.2</t>
        </is>
      </c>
      <c r="W1241" s="12" t="inlineStr"/>
    </row>
    <row r="1242" ht="49" customHeight="1">
      <c r="A1242" s="12" t="inlineStr">
        <is>
          <t>1.5.2</t>
        </is>
      </c>
      <c r="B1242" s="12" t="inlineStr">
        <is>
          <t>Testing and Commissioning - Dynamic Testing</t>
        </is>
      </c>
      <c r="C1242" s="12" t="inlineStr">
        <is>
          <t>Contractor Programme</t>
        </is>
      </c>
      <c r="D1242" s="12" t="inlineStr">
        <is>
          <t>SCH-05-099</t>
        </is>
      </c>
      <c r="E1242" s="12" t="inlineStr">
        <is>
          <t>Control Centre: defect retest - turnover</t>
        </is>
      </c>
      <c r="F1242" s="12" t="inlineStr">
        <is>
          <t>ONE_TO_ONE</t>
        </is>
      </c>
      <c r="G1242" s="12" t="inlineStr">
        <is>
          <t>APPROVED</t>
        </is>
      </c>
      <c r="H1242" s="12" t="inlineStr">
        <is>
          <t>New</t>
        </is>
      </c>
      <c r="I1242" s="12" t="inlineStr">
        <is>
          <t>Source assignment -- not individually reviewed</t>
        </is>
      </c>
      <c r="J1242" s="12" t="inlineStr"/>
      <c r="K1242" s="12" t="inlineStr">
        <is>
          <t>Source assignment</t>
        </is>
      </c>
      <c r="L1242" s="12" t="inlineStr"/>
      <c r="M1242" s="12" t="inlineStr">
        <is>
          <t>Initial</t>
        </is>
      </c>
      <c r="N1242" s="12" t="inlineStr">
        <is>
          <t>Rev 0</t>
        </is>
      </c>
      <c r="O1242" s="12" t="inlineStr">
        <is>
          <t>R819-v1</t>
        </is>
      </c>
      <c r="P1242" s="12" t="inlineStr"/>
      <c r="Q1242" s="12" t="inlineStr"/>
      <c r="R1242" s="12" t="inlineStr"/>
      <c r="S1242" s="12" t="inlineStr"/>
      <c r="T1242" s="12" t="inlineStr"/>
      <c r="U1242" s="12" t="inlineStr"/>
      <c r="V1242" s="12" t="inlineStr">
        <is>
          <t>WBS Code = 1.5.2</t>
        </is>
      </c>
      <c r="W1242" s="12" t="inlineStr"/>
    </row>
    <row r="1243" ht="49" customHeight="1">
      <c r="A1243" s="12" t="inlineStr">
        <is>
          <t>1.5.2</t>
        </is>
      </c>
      <c r="B1243" s="12" t="inlineStr">
        <is>
          <t>Testing and Commissioning - Dynamic Testing</t>
        </is>
      </c>
      <c r="C1243" s="12" t="inlineStr">
        <is>
          <t>Contractor Programme</t>
        </is>
      </c>
      <c r="D1243" s="12" t="inlineStr">
        <is>
          <t>SCH-05-102</t>
        </is>
      </c>
      <c r="E1243" s="12" t="inlineStr">
        <is>
          <t>West terminal: service-readiness review - installation</t>
        </is>
      </c>
      <c r="F1243" s="12" t="inlineStr">
        <is>
          <t>ONE_TO_ONE</t>
        </is>
      </c>
      <c r="G1243" s="12" t="inlineStr">
        <is>
          <t>APPROVED</t>
        </is>
      </c>
      <c r="H1243" s="12" t="inlineStr">
        <is>
          <t>New</t>
        </is>
      </c>
      <c r="I1243" s="12" t="inlineStr">
        <is>
          <t>Source assignment -- not individually reviewed</t>
        </is>
      </c>
      <c r="J1243" s="12" t="inlineStr"/>
      <c r="K1243" s="12" t="inlineStr">
        <is>
          <t>Source assignment</t>
        </is>
      </c>
      <c r="L1243" s="12" t="inlineStr"/>
      <c r="M1243" s="12" t="inlineStr">
        <is>
          <t>Initial</t>
        </is>
      </c>
      <c r="N1243" s="12" t="inlineStr">
        <is>
          <t>Rev 0</t>
        </is>
      </c>
      <c r="O1243" s="12" t="inlineStr">
        <is>
          <t>R822-v1</t>
        </is>
      </c>
      <c r="P1243" s="12" t="inlineStr"/>
      <c r="Q1243" s="12" t="inlineStr"/>
      <c r="R1243" s="12" t="inlineStr"/>
      <c r="S1243" s="12" t="inlineStr"/>
      <c r="T1243" s="12" t="inlineStr"/>
      <c r="U1243" s="12" t="inlineStr"/>
      <c r="V1243" s="12" t="inlineStr">
        <is>
          <t>WBS Code = 1.5.2</t>
        </is>
      </c>
      <c r="W1243" s="12" t="inlineStr"/>
    </row>
    <row r="1244" ht="49" customHeight="1">
      <c r="A1244" s="12" t="inlineStr">
        <is>
          <t>1.5.2</t>
        </is>
      </c>
      <c r="B1244" s="12" t="inlineStr">
        <is>
          <t>Testing and Commissioning - Dynamic Testing</t>
        </is>
      </c>
      <c r="C1244" s="12" t="inlineStr">
        <is>
          <t>Contractor Programme</t>
        </is>
      </c>
      <c r="D1244" s="12" t="inlineStr">
        <is>
          <t>SCH-05-105</t>
        </is>
      </c>
      <c r="E1244" s="12" t="inlineStr">
        <is>
          <t>Mainline east: test procedure readiness review - release</t>
        </is>
      </c>
      <c r="F1244" s="12" t="inlineStr">
        <is>
          <t>ONE_TO_ONE</t>
        </is>
      </c>
      <c r="G1244" s="12" t="inlineStr">
        <is>
          <t>APPROVED</t>
        </is>
      </c>
      <c r="H1244" s="12" t="inlineStr">
        <is>
          <t>New</t>
        </is>
      </c>
      <c r="I1244" s="12" t="inlineStr">
        <is>
          <t>Source assignment -- not individually reviewed</t>
        </is>
      </c>
      <c r="J1244" s="12" t="inlineStr"/>
      <c r="K1244" s="12" t="inlineStr">
        <is>
          <t>Source assignment</t>
        </is>
      </c>
      <c r="L1244" s="12" t="inlineStr"/>
      <c r="M1244" s="12" t="inlineStr">
        <is>
          <t>Initial</t>
        </is>
      </c>
      <c r="N1244" s="12" t="inlineStr">
        <is>
          <t>Rev 0</t>
        </is>
      </c>
      <c r="O1244" s="12" t="inlineStr">
        <is>
          <t>R825-v1</t>
        </is>
      </c>
      <c r="P1244" s="12" t="inlineStr"/>
      <c r="Q1244" s="12" t="inlineStr"/>
      <c r="R1244" s="12" t="inlineStr"/>
      <c r="S1244" s="12" t="inlineStr"/>
      <c r="T1244" s="12" t="inlineStr"/>
      <c r="U1244" s="12" t="inlineStr"/>
      <c r="V1244" s="12" t="inlineStr">
        <is>
          <t>WBS Code = 1.5.2</t>
        </is>
      </c>
      <c r="W1244" s="12" t="inlineStr"/>
    </row>
    <row r="1245" ht="49" customHeight="1">
      <c r="A1245" s="12" t="inlineStr">
        <is>
          <t>1.5.2</t>
        </is>
      </c>
      <c r="B1245" s="12" t="inlineStr">
        <is>
          <t>Testing and Commissioning - Dynamic Testing</t>
        </is>
      </c>
      <c r="C1245" s="12" t="inlineStr">
        <is>
          <t>Contractor Programme</t>
        </is>
      </c>
      <c r="D1245" s="12" t="inlineStr">
        <is>
          <t>SCH-05-108</t>
        </is>
      </c>
      <c r="E1245" s="12" t="inlineStr">
        <is>
          <t>Depot: mainline dynamic test - inspection</t>
        </is>
      </c>
      <c r="F1245" s="12" t="inlineStr">
        <is>
          <t>ONE_TO_ONE</t>
        </is>
      </c>
      <c r="G1245" s="12" t="inlineStr">
        <is>
          <t>APPROVED</t>
        </is>
      </c>
      <c r="H1245" s="12" t="inlineStr">
        <is>
          <t>New</t>
        </is>
      </c>
      <c r="I1245" s="12" t="inlineStr">
        <is>
          <t>Source assignment -- not individually reviewed</t>
        </is>
      </c>
      <c r="J1245" s="12" t="inlineStr"/>
      <c r="K1245" s="12" t="inlineStr">
        <is>
          <t>Source assignment</t>
        </is>
      </c>
      <c r="L1245" s="12" t="inlineStr"/>
      <c r="M1245" s="12" t="inlineStr">
        <is>
          <t>Initial</t>
        </is>
      </c>
      <c r="N1245" s="12" t="inlineStr">
        <is>
          <t>Rev 0</t>
        </is>
      </c>
      <c r="O1245" s="12" t="inlineStr">
        <is>
          <t>R828-v1</t>
        </is>
      </c>
      <c r="P1245" s="12" t="inlineStr"/>
      <c r="Q1245" s="12" t="inlineStr"/>
      <c r="R1245" s="12" t="inlineStr"/>
      <c r="S1245" s="12" t="inlineStr"/>
      <c r="T1245" s="12" t="inlineStr"/>
      <c r="U1245" s="12" t="inlineStr"/>
      <c r="V1245" s="12" t="inlineStr">
        <is>
          <t>WBS Code = 1.5.2</t>
        </is>
      </c>
      <c r="W1245" s="12" t="inlineStr"/>
    </row>
    <row r="1246" ht="49" customHeight="1">
      <c r="A1246" s="12" t="inlineStr">
        <is>
          <t>1.5.2</t>
        </is>
      </c>
      <c r="B1246" s="12" t="inlineStr">
        <is>
          <t>Testing and Commissioning - Dynamic Testing</t>
        </is>
      </c>
      <c r="C1246" s="12" t="inlineStr">
        <is>
          <t>Contractor Programme</t>
        </is>
      </c>
      <c r="D1246" s="12" t="inlineStr">
        <is>
          <t>SCH-05-111</t>
        </is>
      </c>
      <c r="E1246" s="12" t="inlineStr">
        <is>
          <t>Central section: station integrated test - field start</t>
        </is>
      </c>
      <c r="F1246" s="12" t="inlineStr">
        <is>
          <t>ONE_TO_ONE</t>
        </is>
      </c>
      <c r="G1246" s="12" t="inlineStr">
        <is>
          <t>APPROVED</t>
        </is>
      </c>
      <c r="H1246" s="12" t="inlineStr">
        <is>
          <t>New</t>
        </is>
      </c>
      <c r="I1246" s="12" t="inlineStr">
        <is>
          <t>Source assignment -- not individually reviewed</t>
        </is>
      </c>
      <c r="J1246" s="12" t="inlineStr"/>
      <c r="K1246" s="12" t="inlineStr">
        <is>
          <t>Source assignment</t>
        </is>
      </c>
      <c r="L1246" s="12" t="inlineStr"/>
      <c r="M1246" s="12" t="inlineStr">
        <is>
          <t>Initial</t>
        </is>
      </c>
      <c r="N1246" s="12" t="inlineStr">
        <is>
          <t>Rev 0</t>
        </is>
      </c>
      <c r="O1246" s="12" t="inlineStr">
        <is>
          <t>R831-v1</t>
        </is>
      </c>
      <c r="P1246" s="12" t="inlineStr"/>
      <c r="Q1246" s="12" t="inlineStr"/>
      <c r="R1246" s="12" t="inlineStr"/>
      <c r="S1246" s="12" t="inlineStr"/>
      <c r="T1246" s="12" t="inlineStr"/>
      <c r="U1246" s="12" t="inlineStr"/>
      <c r="V1246" s="12" t="inlineStr">
        <is>
          <t>WBS Code = 1.5.2</t>
        </is>
      </c>
      <c r="W1246" s="12" t="inlineStr"/>
    </row>
    <row r="1247" ht="49" customHeight="1">
      <c r="A1247" s="12" t="inlineStr">
        <is>
          <t>1.5.2</t>
        </is>
      </c>
      <c r="B1247" s="12" t="inlineStr">
        <is>
          <t>Testing and Commissioning - Dynamic Testing</t>
        </is>
      </c>
      <c r="C1247" s="12" t="inlineStr">
        <is>
          <t>Contractor Programme</t>
        </is>
      </c>
      <c r="D1247" s="12" t="inlineStr">
        <is>
          <t>SCH-05-114</t>
        </is>
      </c>
      <c r="E1247" s="12" t="inlineStr">
        <is>
          <t>Control Centre: emergency-response drill - turnover</t>
        </is>
      </c>
      <c r="F1247" s="12" t="inlineStr">
        <is>
          <t>ONE_TO_ONE</t>
        </is>
      </c>
      <c r="G1247" s="12" t="inlineStr">
        <is>
          <t>APPROVED</t>
        </is>
      </c>
      <c r="H1247" s="12" t="inlineStr">
        <is>
          <t>New</t>
        </is>
      </c>
      <c r="I1247" s="12" t="inlineStr">
        <is>
          <t>Source assignment -- not individually reviewed</t>
        </is>
      </c>
      <c r="J1247" s="12" t="inlineStr"/>
      <c r="K1247" s="12" t="inlineStr">
        <is>
          <t>Source assignment</t>
        </is>
      </c>
      <c r="L1247" s="12" t="inlineStr"/>
      <c r="M1247" s="12" t="inlineStr">
        <is>
          <t>Initial</t>
        </is>
      </c>
      <c r="N1247" s="12" t="inlineStr">
        <is>
          <t>Rev 0</t>
        </is>
      </c>
      <c r="O1247" s="12" t="inlineStr">
        <is>
          <t>R834-v1</t>
        </is>
      </c>
      <c r="P1247" s="12" t="inlineStr"/>
      <c r="Q1247" s="12" t="inlineStr"/>
      <c r="R1247" s="12" t="inlineStr"/>
      <c r="S1247" s="12" t="inlineStr"/>
      <c r="T1247" s="12" t="inlineStr"/>
      <c r="U1247" s="12" t="inlineStr"/>
      <c r="V1247" s="12" t="inlineStr">
        <is>
          <t>WBS Code = 1.5.2</t>
        </is>
      </c>
      <c r="W1247" s="12" t="inlineStr"/>
    </row>
    <row r="1248" ht="49" customHeight="1">
      <c r="A1248" s="12" t="inlineStr">
        <is>
          <t>1.5.2</t>
        </is>
      </c>
      <c r="B1248" s="12" t="inlineStr">
        <is>
          <t>Testing and Commissioning - Dynamic Testing</t>
        </is>
      </c>
      <c r="C1248" s="12" t="inlineStr">
        <is>
          <t>Contractor Programme</t>
        </is>
      </c>
      <c r="D1248" s="12" t="inlineStr">
        <is>
          <t>SCH-05-117</t>
        </is>
      </c>
      <c r="E1248" s="12" t="inlineStr">
        <is>
          <t>West terminal: safety certificate evidence closeout - installation</t>
        </is>
      </c>
      <c r="F1248" s="12" t="inlineStr">
        <is>
          <t>ONE_TO_ONE</t>
        </is>
      </c>
      <c r="G1248" s="12" t="inlineStr">
        <is>
          <t>APPROVED</t>
        </is>
      </c>
      <c r="H1248" s="12" t="inlineStr">
        <is>
          <t>New</t>
        </is>
      </c>
      <c r="I1248" s="12" t="inlineStr">
        <is>
          <t>Source assignment -- not individually reviewed</t>
        </is>
      </c>
      <c r="J1248" s="12" t="inlineStr"/>
      <c r="K1248" s="12" t="inlineStr">
        <is>
          <t>Source assignment</t>
        </is>
      </c>
      <c r="L1248" s="12" t="inlineStr"/>
      <c r="M1248" s="12" t="inlineStr">
        <is>
          <t>Initial</t>
        </is>
      </c>
      <c r="N1248" s="12" t="inlineStr">
        <is>
          <t>Rev 0</t>
        </is>
      </c>
      <c r="O1248" s="12" t="inlineStr">
        <is>
          <t>R837-v1</t>
        </is>
      </c>
      <c r="P1248" s="12" t="inlineStr"/>
      <c r="Q1248" s="12" t="inlineStr"/>
      <c r="R1248" s="12" t="inlineStr"/>
      <c r="S1248" s="12" t="inlineStr"/>
      <c r="T1248" s="12" t="inlineStr"/>
      <c r="U1248" s="12" t="inlineStr"/>
      <c r="V1248" s="12" t="inlineStr">
        <is>
          <t>WBS Code = 1.5.2</t>
        </is>
      </c>
      <c r="W1248" s="12" t="inlineStr"/>
    </row>
    <row r="1249" ht="49" customHeight="1">
      <c r="A1249" s="12" t="inlineStr">
        <is>
          <t>1.5.2</t>
        </is>
      </c>
      <c r="B1249" s="12" t="inlineStr">
        <is>
          <t>Testing and Commissioning - Dynamic Testing</t>
        </is>
      </c>
      <c r="C1249" s="12" t="inlineStr">
        <is>
          <t>Contractor Programme</t>
        </is>
      </c>
      <c r="D1249" s="12" t="inlineStr">
        <is>
          <t>SCH-05-120</t>
        </is>
      </c>
      <c r="E1249" s="12" t="inlineStr">
        <is>
          <t>Mainline east: trial-running shift - release</t>
        </is>
      </c>
      <c r="F1249" s="12" t="inlineStr">
        <is>
          <t>ONE_TO_ONE</t>
        </is>
      </c>
      <c r="G1249" s="12" t="inlineStr">
        <is>
          <t>APPROVED</t>
        </is>
      </c>
      <c r="H1249" s="12" t="inlineStr">
        <is>
          <t>New</t>
        </is>
      </c>
      <c r="I1249" s="12" t="inlineStr">
        <is>
          <t>Source assignment -- not individually reviewed</t>
        </is>
      </c>
      <c r="J1249" s="12" t="inlineStr"/>
      <c r="K1249" s="12" t="inlineStr">
        <is>
          <t>Source assignment</t>
        </is>
      </c>
      <c r="L1249" s="12" t="inlineStr"/>
      <c r="M1249" s="12" t="inlineStr">
        <is>
          <t>Initial</t>
        </is>
      </c>
      <c r="N1249" s="12" t="inlineStr">
        <is>
          <t>Rev 0</t>
        </is>
      </c>
      <c r="O1249" s="12" t="inlineStr">
        <is>
          <t>R840-v1</t>
        </is>
      </c>
      <c r="P1249" s="12" t="inlineStr"/>
      <c r="Q1249" s="12" t="inlineStr"/>
      <c r="R1249" s="12" t="inlineStr"/>
      <c r="S1249" s="12" t="inlineStr"/>
      <c r="T1249" s="12" t="inlineStr"/>
      <c r="U1249" s="12" t="inlineStr"/>
      <c r="V1249" s="12" t="inlineStr">
        <is>
          <t>WBS Code = 1.5.2</t>
        </is>
      </c>
      <c r="W1249" s="12" t="inlineStr"/>
    </row>
    <row r="1250" ht="49" customHeight="1">
      <c r="A1250" s="12" t="inlineStr">
        <is>
          <t>1.5.2</t>
        </is>
      </c>
      <c r="B1250" s="12" t="inlineStr">
        <is>
          <t>Testing and Commissioning - Dynamic Testing</t>
        </is>
      </c>
      <c r="C1250" s="12" t="inlineStr">
        <is>
          <t>Contractor Programme</t>
        </is>
      </c>
      <c r="D1250" s="12" t="inlineStr">
        <is>
          <t>SCH-05-123</t>
        </is>
      </c>
      <c r="E1250" s="12" t="inlineStr">
        <is>
          <t>Depot: defect retest - inspection</t>
        </is>
      </c>
      <c r="F1250" s="12" t="inlineStr">
        <is>
          <t>ONE_TO_ONE</t>
        </is>
      </c>
      <c r="G1250" s="12" t="inlineStr">
        <is>
          <t>APPROVED</t>
        </is>
      </c>
      <c r="H1250" s="12" t="inlineStr">
        <is>
          <t>New</t>
        </is>
      </c>
      <c r="I1250" s="12" t="inlineStr">
        <is>
          <t>Source assignment -- not individually reviewed</t>
        </is>
      </c>
      <c r="J1250" s="12" t="inlineStr"/>
      <c r="K1250" s="12" t="inlineStr">
        <is>
          <t>Source assignment</t>
        </is>
      </c>
      <c r="L1250" s="12" t="inlineStr"/>
      <c r="M1250" s="12" t="inlineStr">
        <is>
          <t>Initial</t>
        </is>
      </c>
      <c r="N1250" s="12" t="inlineStr">
        <is>
          <t>Rev 0</t>
        </is>
      </c>
      <c r="O1250" s="12" t="inlineStr">
        <is>
          <t>R843-v1</t>
        </is>
      </c>
      <c r="P1250" s="12" t="inlineStr"/>
      <c r="Q1250" s="12" t="inlineStr"/>
      <c r="R1250" s="12" t="inlineStr"/>
      <c r="S1250" s="12" t="inlineStr"/>
      <c r="T1250" s="12" t="inlineStr"/>
      <c r="U1250" s="12" t="inlineStr"/>
      <c r="V1250" s="12" t="inlineStr">
        <is>
          <t>WBS Code = 1.5.2</t>
        </is>
      </c>
      <c r="W1250" s="12" t="inlineStr"/>
    </row>
    <row r="1251" ht="49" customHeight="1">
      <c r="A1251" s="12" t="inlineStr">
        <is>
          <t>1.5.2</t>
        </is>
      </c>
      <c r="B1251" s="12" t="inlineStr">
        <is>
          <t>Testing and Commissioning - Dynamic Testing</t>
        </is>
      </c>
      <c r="C1251" s="12" t="inlineStr">
        <is>
          <t>Contractor Programme</t>
        </is>
      </c>
      <c r="D1251" s="12" t="inlineStr">
        <is>
          <t>SCH-05-126</t>
        </is>
      </c>
      <c r="E1251" s="12" t="inlineStr">
        <is>
          <t>Central section: service-readiness review - field start</t>
        </is>
      </c>
      <c r="F1251" s="12" t="inlineStr">
        <is>
          <t>ONE_TO_ONE</t>
        </is>
      </c>
      <c r="G1251" s="12" t="inlineStr">
        <is>
          <t>APPROVED</t>
        </is>
      </c>
      <c r="H1251" s="12" t="inlineStr">
        <is>
          <t>New</t>
        </is>
      </c>
      <c r="I1251" s="12" t="inlineStr">
        <is>
          <t>Source assignment -- not individually reviewed</t>
        </is>
      </c>
      <c r="J1251" s="12" t="inlineStr"/>
      <c r="K1251" s="12" t="inlineStr">
        <is>
          <t>Source assignment</t>
        </is>
      </c>
      <c r="L1251" s="12" t="inlineStr"/>
      <c r="M1251" s="12" t="inlineStr">
        <is>
          <t>Initial</t>
        </is>
      </c>
      <c r="N1251" s="12" t="inlineStr">
        <is>
          <t>Rev 0</t>
        </is>
      </c>
      <c r="O1251" s="12" t="inlineStr">
        <is>
          <t>R846-v1</t>
        </is>
      </c>
      <c r="P1251" s="12" t="inlineStr"/>
      <c r="Q1251" s="12" t="inlineStr"/>
      <c r="R1251" s="12" t="inlineStr"/>
      <c r="S1251" s="12" t="inlineStr"/>
      <c r="T1251" s="12" t="inlineStr"/>
      <c r="U1251" s="12" t="inlineStr"/>
      <c r="V1251" s="12" t="inlineStr">
        <is>
          <t>WBS Code = 1.5.2</t>
        </is>
      </c>
      <c r="W1251" s="12" t="inlineStr"/>
    </row>
    <row r="1252" ht="49" customHeight="1">
      <c r="A1252" s="12" t="inlineStr">
        <is>
          <t>1.5.2</t>
        </is>
      </c>
      <c r="B1252" s="12" t="inlineStr">
        <is>
          <t>Testing and Commissioning - Dynamic Testing</t>
        </is>
      </c>
      <c r="C1252" s="12" t="inlineStr">
        <is>
          <t>Contractor Programme</t>
        </is>
      </c>
      <c r="D1252" s="12" t="inlineStr">
        <is>
          <t>SCH-05-129</t>
        </is>
      </c>
      <c r="E1252" s="12" t="inlineStr">
        <is>
          <t>Control Centre: test procedure readiness review - turnover</t>
        </is>
      </c>
      <c r="F1252" s="12" t="inlineStr">
        <is>
          <t>ONE_TO_ONE</t>
        </is>
      </c>
      <c r="G1252" s="12" t="inlineStr">
        <is>
          <t>APPROVED</t>
        </is>
      </c>
      <c r="H1252" s="12" t="inlineStr">
        <is>
          <t>New</t>
        </is>
      </c>
      <c r="I1252" s="12" t="inlineStr">
        <is>
          <t>Source assignment -- not individually reviewed</t>
        </is>
      </c>
      <c r="J1252" s="12" t="inlineStr"/>
      <c r="K1252" s="12" t="inlineStr">
        <is>
          <t>Source assignment</t>
        </is>
      </c>
      <c r="L1252" s="12" t="inlineStr"/>
      <c r="M1252" s="12" t="inlineStr">
        <is>
          <t>Initial</t>
        </is>
      </c>
      <c r="N1252" s="12" t="inlineStr">
        <is>
          <t>Rev 0</t>
        </is>
      </c>
      <c r="O1252" s="12" t="inlineStr">
        <is>
          <t>R849-v1</t>
        </is>
      </c>
      <c r="P1252" s="12" t="inlineStr"/>
      <c r="Q1252" s="12" t="inlineStr"/>
      <c r="R1252" s="12" t="inlineStr"/>
      <c r="S1252" s="12" t="inlineStr"/>
      <c r="T1252" s="12" t="inlineStr"/>
      <c r="U1252" s="12" t="inlineStr"/>
      <c r="V1252" s="12" t="inlineStr">
        <is>
          <t>WBS Code = 1.5.2</t>
        </is>
      </c>
      <c r="W1252" s="12" t="inlineStr"/>
    </row>
    <row r="1253" ht="49" customHeight="1">
      <c r="A1253" s="12" t="inlineStr">
        <is>
          <t>1.5.2</t>
        </is>
      </c>
      <c r="B1253" s="12" t="inlineStr">
        <is>
          <t>Testing and Commissioning - Dynamic Testing</t>
        </is>
      </c>
      <c r="C1253" s="12" t="inlineStr">
        <is>
          <t>Contractor Programme</t>
        </is>
      </c>
      <c r="D1253" s="12" t="inlineStr">
        <is>
          <t>SCH-05-132</t>
        </is>
      </c>
      <c r="E1253" s="12" t="inlineStr">
        <is>
          <t>West terminal: mainline dynamic test - installation</t>
        </is>
      </c>
      <c r="F1253" s="12" t="inlineStr">
        <is>
          <t>ONE_TO_ONE</t>
        </is>
      </c>
      <c r="G1253" s="12" t="inlineStr">
        <is>
          <t>APPROVED</t>
        </is>
      </c>
      <c r="H1253" s="12" t="inlineStr">
        <is>
          <t>New</t>
        </is>
      </c>
      <c r="I1253" s="12" t="inlineStr">
        <is>
          <t>Source assignment -- not individually reviewed</t>
        </is>
      </c>
      <c r="J1253" s="12" t="inlineStr"/>
      <c r="K1253" s="12" t="inlineStr">
        <is>
          <t>Source assignment</t>
        </is>
      </c>
      <c r="L1253" s="12" t="inlineStr"/>
      <c r="M1253" s="12" t="inlineStr">
        <is>
          <t>Initial</t>
        </is>
      </c>
      <c r="N1253" s="12" t="inlineStr">
        <is>
          <t>Rev 0</t>
        </is>
      </c>
      <c r="O1253" s="12" t="inlineStr">
        <is>
          <t>R852-v1</t>
        </is>
      </c>
      <c r="P1253" s="12" t="inlineStr"/>
      <c r="Q1253" s="12" t="inlineStr"/>
      <c r="R1253" s="12" t="inlineStr"/>
      <c r="S1253" s="12" t="inlineStr"/>
      <c r="T1253" s="12" t="inlineStr"/>
      <c r="U1253" s="12" t="inlineStr"/>
      <c r="V1253" s="12" t="inlineStr">
        <is>
          <t>WBS Code = 1.5.2</t>
        </is>
      </c>
      <c r="W1253" s="12" t="inlineStr"/>
    </row>
    <row r="1254" ht="49" customHeight="1">
      <c r="A1254" s="12" t="inlineStr">
        <is>
          <t>1.5.2</t>
        </is>
      </c>
      <c r="B1254" s="12" t="inlineStr">
        <is>
          <t>Testing and Commissioning - Dynamic Testing</t>
        </is>
      </c>
      <c r="C1254" s="12" t="inlineStr">
        <is>
          <t>Contractor Programme</t>
        </is>
      </c>
      <c r="D1254" s="12" t="inlineStr">
        <is>
          <t>SCH-05-135</t>
        </is>
      </c>
      <c r="E1254" s="12" t="inlineStr">
        <is>
          <t>Mainline east: station integrated test - release</t>
        </is>
      </c>
      <c r="F1254" s="12" t="inlineStr">
        <is>
          <t>ONE_TO_ONE</t>
        </is>
      </c>
      <c r="G1254" s="12" t="inlineStr">
        <is>
          <t>APPROVED</t>
        </is>
      </c>
      <c r="H1254" s="12" t="inlineStr">
        <is>
          <t>New</t>
        </is>
      </c>
      <c r="I1254" s="12" t="inlineStr">
        <is>
          <t>Source assignment -- not individually reviewed</t>
        </is>
      </c>
      <c r="J1254" s="12" t="inlineStr"/>
      <c r="K1254" s="12" t="inlineStr">
        <is>
          <t>Source assignment</t>
        </is>
      </c>
      <c r="L1254" s="12" t="inlineStr"/>
      <c r="M1254" s="12" t="inlineStr">
        <is>
          <t>Initial</t>
        </is>
      </c>
      <c r="N1254" s="12" t="inlineStr">
        <is>
          <t>Rev 0</t>
        </is>
      </c>
      <c r="O1254" s="12" t="inlineStr">
        <is>
          <t>R855-v1</t>
        </is>
      </c>
      <c r="P1254" s="12" t="inlineStr"/>
      <c r="Q1254" s="12" t="inlineStr"/>
      <c r="R1254" s="12" t="inlineStr"/>
      <c r="S1254" s="12" t="inlineStr"/>
      <c r="T1254" s="12" t="inlineStr"/>
      <c r="U1254" s="12" t="inlineStr"/>
      <c r="V1254" s="12" t="inlineStr">
        <is>
          <t>WBS Code = 1.5.2</t>
        </is>
      </c>
      <c r="W1254" s="12" t="inlineStr"/>
    </row>
    <row r="1255" ht="49" customHeight="1">
      <c r="A1255" s="12" t="inlineStr">
        <is>
          <t>1.5.2</t>
        </is>
      </c>
      <c r="B1255" s="12" t="inlineStr">
        <is>
          <t>Testing and Commissioning - Dynamic Testing</t>
        </is>
      </c>
      <c r="C1255" s="12" t="inlineStr">
        <is>
          <t>Contractor Programme</t>
        </is>
      </c>
      <c r="D1255" s="12" t="inlineStr">
        <is>
          <t>SCH-05-138</t>
        </is>
      </c>
      <c r="E1255" s="12" t="inlineStr">
        <is>
          <t>Depot: emergency-response drill - inspection</t>
        </is>
      </c>
      <c r="F1255" s="12" t="inlineStr">
        <is>
          <t>ONE_TO_ONE</t>
        </is>
      </c>
      <c r="G1255" s="12" t="inlineStr">
        <is>
          <t>APPROVED</t>
        </is>
      </c>
      <c r="H1255" s="12" t="inlineStr">
        <is>
          <t>New</t>
        </is>
      </c>
      <c r="I1255" s="12" t="inlineStr">
        <is>
          <t>Source assignment -- not individually reviewed</t>
        </is>
      </c>
      <c r="J1255" s="12" t="inlineStr"/>
      <c r="K1255" s="12" t="inlineStr">
        <is>
          <t>Source assignment</t>
        </is>
      </c>
      <c r="L1255" s="12" t="inlineStr"/>
      <c r="M1255" s="12" t="inlineStr">
        <is>
          <t>Initial</t>
        </is>
      </c>
      <c r="N1255" s="12" t="inlineStr">
        <is>
          <t>Rev 0</t>
        </is>
      </c>
      <c r="O1255" s="12" t="inlineStr">
        <is>
          <t>R858-v1</t>
        </is>
      </c>
      <c r="P1255" s="12" t="inlineStr"/>
      <c r="Q1255" s="12" t="inlineStr"/>
      <c r="R1255" s="12" t="inlineStr"/>
      <c r="S1255" s="12" t="inlineStr"/>
      <c r="T1255" s="12" t="inlineStr"/>
      <c r="U1255" s="12" t="inlineStr"/>
      <c r="V1255" s="12" t="inlineStr">
        <is>
          <t>WBS Code = 1.5.2</t>
        </is>
      </c>
      <c r="W1255" s="12" t="inlineStr"/>
    </row>
    <row r="1256" ht="49" customHeight="1">
      <c r="A1256" s="12" t="inlineStr">
        <is>
          <t>1.5.2</t>
        </is>
      </c>
      <c r="B1256" s="12" t="inlineStr">
        <is>
          <t>Testing and Commissioning - Dynamic Testing</t>
        </is>
      </c>
      <c r="C1256" s="12" t="inlineStr">
        <is>
          <t>Contractor Programme</t>
        </is>
      </c>
      <c r="D1256" s="12" t="inlineStr">
        <is>
          <t>SCH-05-141</t>
        </is>
      </c>
      <c r="E1256" s="12" t="inlineStr">
        <is>
          <t>Central section: safety certificate evidence closeout - field start</t>
        </is>
      </c>
      <c r="F1256" s="12" t="inlineStr">
        <is>
          <t>ONE_TO_ONE</t>
        </is>
      </c>
      <c r="G1256" s="12" t="inlineStr">
        <is>
          <t>APPROVED</t>
        </is>
      </c>
      <c r="H1256" s="12" t="inlineStr">
        <is>
          <t>New</t>
        </is>
      </c>
      <c r="I1256" s="12" t="inlineStr">
        <is>
          <t>Source assignment -- not individually reviewed</t>
        </is>
      </c>
      <c r="J1256" s="12" t="inlineStr"/>
      <c r="K1256" s="12" t="inlineStr">
        <is>
          <t>Source assignment</t>
        </is>
      </c>
      <c r="L1256" s="12" t="inlineStr"/>
      <c r="M1256" s="12" t="inlineStr">
        <is>
          <t>Initial</t>
        </is>
      </c>
      <c r="N1256" s="12" t="inlineStr">
        <is>
          <t>Rev 0</t>
        </is>
      </c>
      <c r="O1256" s="12" t="inlineStr">
        <is>
          <t>R861-v1</t>
        </is>
      </c>
      <c r="P1256" s="12" t="inlineStr"/>
      <c r="Q1256" s="12" t="inlineStr"/>
      <c r="R1256" s="12" t="inlineStr"/>
      <c r="S1256" s="12" t="inlineStr"/>
      <c r="T1256" s="12" t="inlineStr"/>
      <c r="U1256" s="12" t="inlineStr"/>
      <c r="V1256" s="12" t="inlineStr">
        <is>
          <t>WBS Code = 1.5.2</t>
        </is>
      </c>
      <c r="W1256" s="12" t="inlineStr"/>
    </row>
    <row r="1257" ht="49" customHeight="1">
      <c r="A1257" s="12" t="inlineStr">
        <is>
          <t>1.5.2</t>
        </is>
      </c>
      <c r="B1257" s="12" t="inlineStr">
        <is>
          <t>Testing and Commissioning - Dynamic Testing</t>
        </is>
      </c>
      <c r="C1257" s="12" t="inlineStr">
        <is>
          <t>Contractor Programme</t>
        </is>
      </c>
      <c r="D1257" s="12" t="inlineStr">
        <is>
          <t>SCH-05-144</t>
        </is>
      </c>
      <c r="E1257" s="12" t="inlineStr">
        <is>
          <t>Control Centre: trial-running shift - turnover</t>
        </is>
      </c>
      <c r="F1257" s="12" t="inlineStr">
        <is>
          <t>ONE_TO_ONE</t>
        </is>
      </c>
      <c r="G1257" s="12" t="inlineStr">
        <is>
          <t>APPROVED</t>
        </is>
      </c>
      <c r="H1257" s="12" t="inlineStr">
        <is>
          <t>New</t>
        </is>
      </c>
      <c r="I1257" s="12" t="inlineStr">
        <is>
          <t>Source assignment -- not individually reviewed</t>
        </is>
      </c>
      <c r="J1257" s="12" t="inlineStr"/>
      <c r="K1257" s="12" t="inlineStr">
        <is>
          <t>Source assignment</t>
        </is>
      </c>
      <c r="L1257" s="12" t="inlineStr"/>
      <c r="M1257" s="12" t="inlineStr">
        <is>
          <t>Initial</t>
        </is>
      </c>
      <c r="N1257" s="12" t="inlineStr">
        <is>
          <t>Rev 0</t>
        </is>
      </c>
      <c r="O1257" s="12" t="inlineStr">
        <is>
          <t>R864-v1</t>
        </is>
      </c>
      <c r="P1257" s="12" t="inlineStr"/>
      <c r="Q1257" s="12" t="inlineStr"/>
      <c r="R1257" s="12" t="inlineStr"/>
      <c r="S1257" s="12" t="inlineStr"/>
      <c r="T1257" s="12" t="inlineStr"/>
      <c r="U1257" s="12" t="inlineStr"/>
      <c r="V1257" s="12" t="inlineStr">
        <is>
          <t>WBS Code = 1.5.2</t>
        </is>
      </c>
      <c r="W1257" s="12" t="inlineStr"/>
    </row>
    <row r="1258" ht="49" customHeight="1">
      <c r="A1258" s="12" t="inlineStr">
        <is>
          <t>1.5.2</t>
        </is>
      </c>
      <c r="B1258" s="12" t="inlineStr">
        <is>
          <t>Testing and Commissioning - Dynamic Testing</t>
        </is>
      </c>
      <c r="C1258" s="12" t="inlineStr">
        <is>
          <t>Contractor Programme</t>
        </is>
      </c>
      <c r="D1258" s="12" t="inlineStr">
        <is>
          <t>SCH-05-147</t>
        </is>
      </c>
      <c r="E1258" s="12" t="inlineStr">
        <is>
          <t>West terminal: defect retest - installation</t>
        </is>
      </c>
      <c r="F1258" s="12" t="inlineStr">
        <is>
          <t>ONE_TO_ONE</t>
        </is>
      </c>
      <c r="G1258" s="12" t="inlineStr">
        <is>
          <t>APPROVED</t>
        </is>
      </c>
      <c r="H1258" s="12" t="inlineStr">
        <is>
          <t>New</t>
        </is>
      </c>
      <c r="I1258" s="12" t="inlineStr">
        <is>
          <t>Source assignment -- not individually reviewed</t>
        </is>
      </c>
      <c r="J1258" s="12" t="inlineStr"/>
      <c r="K1258" s="12" t="inlineStr">
        <is>
          <t>Source assignment</t>
        </is>
      </c>
      <c r="L1258" s="12" t="inlineStr"/>
      <c r="M1258" s="12" t="inlineStr">
        <is>
          <t>Initial</t>
        </is>
      </c>
      <c r="N1258" s="12" t="inlineStr">
        <is>
          <t>Rev 0</t>
        </is>
      </c>
      <c r="O1258" s="12" t="inlineStr">
        <is>
          <t>R867-v1</t>
        </is>
      </c>
      <c r="P1258" s="12" t="inlineStr"/>
      <c r="Q1258" s="12" t="inlineStr"/>
      <c r="R1258" s="12" t="inlineStr"/>
      <c r="S1258" s="12" t="inlineStr"/>
      <c r="T1258" s="12" t="inlineStr"/>
      <c r="U1258" s="12" t="inlineStr"/>
      <c r="V1258" s="12" t="inlineStr">
        <is>
          <t>WBS Code = 1.5.2</t>
        </is>
      </c>
      <c r="W1258" s="12" t="inlineStr"/>
    </row>
    <row r="1259" ht="49" customHeight="1">
      <c r="A1259" s="12" t="inlineStr">
        <is>
          <t>1.5.2</t>
        </is>
      </c>
      <c r="B1259" s="12" t="inlineStr">
        <is>
          <t>Testing and Commissioning - Dynamic Testing</t>
        </is>
      </c>
      <c r="C1259" s="12" t="inlineStr">
        <is>
          <t>Contractor Programme</t>
        </is>
      </c>
      <c r="D1259" s="12" t="inlineStr">
        <is>
          <t>SCH-05-150</t>
        </is>
      </c>
      <c r="E1259" s="12" t="inlineStr">
        <is>
          <t>Mainline east: service-readiness review - release</t>
        </is>
      </c>
      <c r="F1259" s="12" t="inlineStr">
        <is>
          <t>ONE_TO_ONE</t>
        </is>
      </c>
      <c r="G1259" s="12" t="inlineStr">
        <is>
          <t>APPROVED</t>
        </is>
      </c>
      <c r="H1259" s="12" t="inlineStr">
        <is>
          <t>New</t>
        </is>
      </c>
      <c r="I1259" s="12" t="inlineStr">
        <is>
          <t>Source assignment -- not individually reviewed</t>
        </is>
      </c>
      <c r="J1259" s="12" t="inlineStr"/>
      <c r="K1259" s="12" t="inlineStr">
        <is>
          <t>Source assignment</t>
        </is>
      </c>
      <c r="L1259" s="12" t="inlineStr"/>
      <c r="M1259" s="12" t="inlineStr">
        <is>
          <t>Initial</t>
        </is>
      </c>
      <c r="N1259" s="12" t="inlineStr">
        <is>
          <t>Rev 0</t>
        </is>
      </c>
      <c r="O1259" s="12" t="inlineStr">
        <is>
          <t>R870-v1</t>
        </is>
      </c>
      <c r="P1259" s="12" t="inlineStr"/>
      <c r="Q1259" s="12" t="inlineStr"/>
      <c r="R1259" s="12" t="inlineStr"/>
      <c r="S1259" s="12" t="inlineStr"/>
      <c r="T1259" s="12" t="inlineStr"/>
      <c r="U1259" s="12" t="inlineStr"/>
      <c r="V1259" s="12" t="inlineStr">
        <is>
          <t>WBS Code = 1.5.2</t>
        </is>
      </c>
      <c r="W1259" s="12" t="inlineStr"/>
    </row>
    <row r="1260" ht="49" customHeight="1">
      <c r="A1260" s="12" t="inlineStr">
        <is>
          <t>1.5.2</t>
        </is>
      </c>
      <c r="B1260" s="12" t="inlineStr">
        <is>
          <t>Testing and Commissioning - Dynamic Testing</t>
        </is>
      </c>
      <c r="C1260" s="12" t="inlineStr">
        <is>
          <t>Contractor Programme</t>
        </is>
      </c>
      <c r="D1260" s="12" t="inlineStr">
        <is>
          <t>SCH-05-153</t>
        </is>
      </c>
      <c r="E1260" s="12" t="inlineStr">
        <is>
          <t>Depot: test procedure readiness review - inspection</t>
        </is>
      </c>
      <c r="F1260" s="12" t="inlineStr">
        <is>
          <t>ONE_TO_ONE</t>
        </is>
      </c>
      <c r="G1260" s="12" t="inlineStr">
        <is>
          <t>APPROVED</t>
        </is>
      </c>
      <c r="H1260" s="12" t="inlineStr">
        <is>
          <t>New</t>
        </is>
      </c>
      <c r="I1260" s="12" t="inlineStr">
        <is>
          <t>Source assignment -- not individually reviewed</t>
        </is>
      </c>
      <c r="J1260" s="12" t="inlineStr"/>
      <c r="K1260" s="12" t="inlineStr">
        <is>
          <t>Source assignment</t>
        </is>
      </c>
      <c r="L1260" s="12" t="inlineStr"/>
      <c r="M1260" s="12" t="inlineStr">
        <is>
          <t>Initial</t>
        </is>
      </c>
      <c r="N1260" s="12" t="inlineStr">
        <is>
          <t>Rev 0</t>
        </is>
      </c>
      <c r="O1260" s="12" t="inlineStr">
        <is>
          <t>R873-v1</t>
        </is>
      </c>
      <c r="P1260" s="12" t="inlineStr"/>
      <c r="Q1260" s="12" t="inlineStr"/>
      <c r="R1260" s="12" t="inlineStr"/>
      <c r="S1260" s="12" t="inlineStr"/>
      <c r="T1260" s="12" t="inlineStr"/>
      <c r="U1260" s="12" t="inlineStr"/>
      <c r="V1260" s="12" t="inlineStr">
        <is>
          <t>WBS Code = 1.5.2</t>
        </is>
      </c>
      <c r="W1260" s="12" t="inlineStr"/>
    </row>
    <row r="1261" ht="49" customHeight="1">
      <c r="A1261" s="12" t="inlineStr">
        <is>
          <t>1.5.2</t>
        </is>
      </c>
      <c r="B1261" s="12" t="inlineStr">
        <is>
          <t>Testing and Commissioning - Dynamic Testing</t>
        </is>
      </c>
      <c r="C1261" s="12" t="inlineStr">
        <is>
          <t>Contractor Programme</t>
        </is>
      </c>
      <c r="D1261" s="12" t="inlineStr">
        <is>
          <t>SCH-05-156</t>
        </is>
      </c>
      <c r="E1261" s="12" t="inlineStr">
        <is>
          <t>Central section: mainline dynamic test - field start</t>
        </is>
      </c>
      <c r="F1261" s="12" t="inlineStr">
        <is>
          <t>ONE_TO_ONE</t>
        </is>
      </c>
      <c r="G1261" s="12" t="inlineStr">
        <is>
          <t>APPROVED</t>
        </is>
      </c>
      <c r="H1261" s="12" t="inlineStr">
        <is>
          <t>New</t>
        </is>
      </c>
      <c r="I1261" s="12" t="inlineStr">
        <is>
          <t>Source assignment -- not individually reviewed</t>
        </is>
      </c>
      <c r="J1261" s="12" t="inlineStr"/>
      <c r="K1261" s="12" t="inlineStr">
        <is>
          <t>Source assignment</t>
        </is>
      </c>
      <c r="L1261" s="12" t="inlineStr"/>
      <c r="M1261" s="12" t="inlineStr">
        <is>
          <t>Initial</t>
        </is>
      </c>
      <c r="N1261" s="12" t="inlineStr">
        <is>
          <t>Rev 0</t>
        </is>
      </c>
      <c r="O1261" s="12" t="inlineStr">
        <is>
          <t>R876-v1</t>
        </is>
      </c>
      <c r="P1261" s="12" t="inlineStr"/>
      <c r="Q1261" s="12" t="inlineStr"/>
      <c r="R1261" s="12" t="inlineStr"/>
      <c r="S1261" s="12" t="inlineStr"/>
      <c r="T1261" s="12" t="inlineStr"/>
      <c r="U1261" s="12" t="inlineStr"/>
      <c r="V1261" s="12" t="inlineStr">
        <is>
          <t>WBS Code = 1.5.2</t>
        </is>
      </c>
      <c r="W1261" s="12" t="inlineStr"/>
    </row>
    <row r="1262" ht="49" customHeight="1">
      <c r="A1262" s="12" t="inlineStr">
        <is>
          <t>1.5.2</t>
        </is>
      </c>
      <c r="B1262" s="12" t="inlineStr">
        <is>
          <t>Testing and Commissioning - Dynamic Testing</t>
        </is>
      </c>
      <c r="C1262" s="12" t="inlineStr">
        <is>
          <t>Contractor Programme</t>
        </is>
      </c>
      <c r="D1262" s="12" t="inlineStr">
        <is>
          <t>SCH-05-159</t>
        </is>
      </c>
      <c r="E1262" s="12" t="inlineStr">
        <is>
          <t>Control Centre: station integrated test - turnover</t>
        </is>
      </c>
      <c r="F1262" s="12" t="inlineStr">
        <is>
          <t>ONE_TO_ONE</t>
        </is>
      </c>
      <c r="G1262" s="12" t="inlineStr">
        <is>
          <t>APPROVED</t>
        </is>
      </c>
      <c r="H1262" s="12" t="inlineStr">
        <is>
          <t>New</t>
        </is>
      </c>
      <c r="I1262" s="12" t="inlineStr">
        <is>
          <t>Source assignment -- not individually reviewed</t>
        </is>
      </c>
      <c r="J1262" s="12" t="inlineStr"/>
      <c r="K1262" s="12" t="inlineStr">
        <is>
          <t>Source assignment</t>
        </is>
      </c>
      <c r="L1262" s="12" t="inlineStr"/>
      <c r="M1262" s="12" t="inlineStr">
        <is>
          <t>Initial</t>
        </is>
      </c>
      <c r="N1262" s="12" t="inlineStr">
        <is>
          <t>Rev 0</t>
        </is>
      </c>
      <c r="O1262" s="12" t="inlineStr">
        <is>
          <t>R879-v1</t>
        </is>
      </c>
      <c r="P1262" s="12" t="inlineStr"/>
      <c r="Q1262" s="12" t="inlineStr"/>
      <c r="R1262" s="12" t="inlineStr"/>
      <c r="S1262" s="12" t="inlineStr"/>
      <c r="T1262" s="12" t="inlineStr"/>
      <c r="U1262" s="12" t="inlineStr"/>
      <c r="V1262" s="12" t="inlineStr">
        <is>
          <t>WBS Code = 1.5.2</t>
        </is>
      </c>
      <c r="W1262" s="12" t="inlineStr"/>
    </row>
    <row r="1263" ht="49" customHeight="1">
      <c r="A1263" s="12" t="inlineStr">
        <is>
          <t>1.5.2</t>
        </is>
      </c>
      <c r="B1263" s="12" t="inlineStr">
        <is>
          <t>Testing and Commissioning - Dynamic Testing</t>
        </is>
      </c>
      <c r="C1263" s="12" t="inlineStr">
        <is>
          <t>Contractor Programme</t>
        </is>
      </c>
      <c r="D1263" s="12" t="inlineStr">
        <is>
          <t>SCH-05-162</t>
        </is>
      </c>
      <c r="E1263" s="12" t="inlineStr">
        <is>
          <t>West terminal: emergency-response drill - installation</t>
        </is>
      </c>
      <c r="F1263" s="12" t="inlineStr">
        <is>
          <t>ONE_TO_ONE</t>
        </is>
      </c>
      <c r="G1263" s="12" t="inlineStr">
        <is>
          <t>APPROVED</t>
        </is>
      </c>
      <c r="H1263" s="12" t="inlineStr">
        <is>
          <t>New</t>
        </is>
      </c>
      <c r="I1263" s="12" t="inlineStr">
        <is>
          <t>Source assignment -- not individually reviewed</t>
        </is>
      </c>
      <c r="J1263" s="12" t="inlineStr"/>
      <c r="K1263" s="12" t="inlineStr">
        <is>
          <t>Source assignment</t>
        </is>
      </c>
      <c r="L1263" s="12" t="inlineStr"/>
      <c r="M1263" s="12" t="inlineStr">
        <is>
          <t>Initial</t>
        </is>
      </c>
      <c r="N1263" s="12" t="inlineStr">
        <is>
          <t>Rev 0</t>
        </is>
      </c>
      <c r="O1263" s="12" t="inlineStr">
        <is>
          <t>R882-v1</t>
        </is>
      </c>
      <c r="P1263" s="12" t="inlineStr"/>
      <c r="Q1263" s="12" t="inlineStr"/>
      <c r="R1263" s="12" t="inlineStr"/>
      <c r="S1263" s="12" t="inlineStr"/>
      <c r="T1263" s="12" t="inlineStr"/>
      <c r="U1263" s="12" t="inlineStr"/>
      <c r="V1263" s="12" t="inlineStr">
        <is>
          <t>WBS Code = 1.5.2</t>
        </is>
      </c>
      <c r="W1263" s="12" t="inlineStr"/>
    </row>
    <row r="1264" ht="49" customHeight="1">
      <c r="A1264" s="12" t="inlineStr">
        <is>
          <t>1.5.2</t>
        </is>
      </c>
      <c r="B1264" s="12" t="inlineStr">
        <is>
          <t>Testing and Commissioning - Dynamic Testing</t>
        </is>
      </c>
      <c r="C1264" s="12" t="inlineStr">
        <is>
          <t>Contractor Programme</t>
        </is>
      </c>
      <c r="D1264" s="12" t="inlineStr">
        <is>
          <t>SCH-05-165</t>
        </is>
      </c>
      <c r="E1264" s="12" t="inlineStr">
        <is>
          <t>Mainline east: safety certificate evidence closeout - release</t>
        </is>
      </c>
      <c r="F1264" s="12" t="inlineStr">
        <is>
          <t>ONE_TO_ONE</t>
        </is>
      </c>
      <c r="G1264" s="12" t="inlineStr">
        <is>
          <t>APPROVED</t>
        </is>
      </c>
      <c r="H1264" s="12" t="inlineStr">
        <is>
          <t>New</t>
        </is>
      </c>
      <c r="I1264" s="12" t="inlineStr">
        <is>
          <t>Source assignment -- not individually reviewed</t>
        </is>
      </c>
      <c r="J1264" s="12" t="inlineStr"/>
      <c r="K1264" s="12" t="inlineStr">
        <is>
          <t>Source assignment</t>
        </is>
      </c>
      <c r="L1264" s="12" t="inlineStr"/>
      <c r="M1264" s="12" t="inlineStr">
        <is>
          <t>Initial</t>
        </is>
      </c>
      <c r="N1264" s="12" t="inlineStr">
        <is>
          <t>Rev 0</t>
        </is>
      </c>
      <c r="O1264" s="12" t="inlineStr">
        <is>
          <t>R885-v1</t>
        </is>
      </c>
      <c r="P1264" s="12" t="inlineStr"/>
      <c r="Q1264" s="12" t="inlineStr"/>
      <c r="R1264" s="12" t="inlineStr"/>
      <c r="S1264" s="12" t="inlineStr"/>
      <c r="T1264" s="12" t="inlineStr"/>
      <c r="U1264" s="12" t="inlineStr"/>
      <c r="V1264" s="12" t="inlineStr">
        <is>
          <t>WBS Code = 1.5.2</t>
        </is>
      </c>
      <c r="W1264" s="12" t="inlineStr"/>
    </row>
    <row r="1265" ht="49" customHeight="1">
      <c r="A1265" s="12" t="inlineStr">
        <is>
          <t>1.5.2</t>
        </is>
      </c>
      <c r="B1265" s="12" t="inlineStr">
        <is>
          <t>Testing and Commissioning - Dynamic Testing</t>
        </is>
      </c>
      <c r="C1265" s="12" t="inlineStr">
        <is>
          <t>Contractor Programme</t>
        </is>
      </c>
      <c r="D1265" s="12" t="inlineStr">
        <is>
          <t>SCH-05-168</t>
        </is>
      </c>
      <c r="E1265" s="12" t="inlineStr">
        <is>
          <t>Depot: trial-running shift - inspection</t>
        </is>
      </c>
      <c r="F1265" s="12" t="inlineStr">
        <is>
          <t>ONE_TO_ONE</t>
        </is>
      </c>
      <c r="G1265" s="12" t="inlineStr">
        <is>
          <t>APPROVED</t>
        </is>
      </c>
      <c r="H1265" s="12" t="inlineStr">
        <is>
          <t>New</t>
        </is>
      </c>
      <c r="I1265" s="12" t="inlineStr">
        <is>
          <t>Source assignment -- not individually reviewed</t>
        </is>
      </c>
      <c r="J1265" s="12" t="inlineStr"/>
      <c r="K1265" s="12" t="inlineStr">
        <is>
          <t>Source assignment</t>
        </is>
      </c>
      <c r="L1265" s="12" t="inlineStr"/>
      <c r="M1265" s="12" t="inlineStr">
        <is>
          <t>Initial</t>
        </is>
      </c>
      <c r="N1265" s="12" t="inlineStr">
        <is>
          <t>Rev 0</t>
        </is>
      </c>
      <c r="O1265" s="12" t="inlineStr">
        <is>
          <t>R888-v1</t>
        </is>
      </c>
      <c r="P1265" s="12" t="inlineStr"/>
      <c r="Q1265" s="12" t="inlineStr"/>
      <c r="R1265" s="12" t="inlineStr"/>
      <c r="S1265" s="12" t="inlineStr"/>
      <c r="T1265" s="12" t="inlineStr"/>
      <c r="U1265" s="12" t="inlineStr"/>
      <c r="V1265" s="12" t="inlineStr">
        <is>
          <t>WBS Code = 1.5.2</t>
        </is>
      </c>
      <c r="W1265" s="12" t="inlineStr"/>
    </row>
    <row r="1266" ht="49" customHeight="1">
      <c r="A1266" s="12" t="inlineStr">
        <is>
          <t>1.5.2</t>
        </is>
      </c>
      <c r="B1266" s="12" t="inlineStr">
        <is>
          <t>Testing and Commissioning - Dynamic Testing</t>
        </is>
      </c>
      <c r="C1266" s="12" t="inlineStr">
        <is>
          <t>Contractor Programme</t>
        </is>
      </c>
      <c r="D1266" s="12" t="inlineStr">
        <is>
          <t>SCH-05-171</t>
        </is>
      </c>
      <c r="E1266" s="12" t="inlineStr">
        <is>
          <t>Central section: defect retest - field start</t>
        </is>
      </c>
      <c r="F1266" s="12" t="inlineStr">
        <is>
          <t>ONE_TO_ONE</t>
        </is>
      </c>
      <c r="G1266" s="12" t="inlineStr">
        <is>
          <t>APPROVED</t>
        </is>
      </c>
      <c r="H1266" s="12" t="inlineStr">
        <is>
          <t>New</t>
        </is>
      </c>
      <c r="I1266" s="12" t="inlineStr">
        <is>
          <t>Source assignment -- not individually reviewed</t>
        </is>
      </c>
      <c r="J1266" s="12" t="inlineStr"/>
      <c r="K1266" s="12" t="inlineStr">
        <is>
          <t>Source assignment</t>
        </is>
      </c>
      <c r="L1266" s="12" t="inlineStr"/>
      <c r="M1266" s="12" t="inlineStr">
        <is>
          <t>Initial</t>
        </is>
      </c>
      <c r="N1266" s="12" t="inlineStr">
        <is>
          <t>Rev 0</t>
        </is>
      </c>
      <c r="O1266" s="12" t="inlineStr">
        <is>
          <t>R891-v1</t>
        </is>
      </c>
      <c r="P1266" s="12" t="inlineStr"/>
      <c r="Q1266" s="12" t="inlineStr"/>
      <c r="R1266" s="12" t="inlineStr"/>
      <c r="S1266" s="12" t="inlineStr"/>
      <c r="T1266" s="12" t="inlineStr"/>
      <c r="U1266" s="12" t="inlineStr"/>
      <c r="V1266" s="12" t="inlineStr">
        <is>
          <t>WBS Code = 1.5.2</t>
        </is>
      </c>
      <c r="W1266" s="12" t="inlineStr"/>
    </row>
    <row r="1267" ht="49" customHeight="1">
      <c r="A1267" s="12" t="inlineStr">
        <is>
          <t>1.5.2</t>
        </is>
      </c>
      <c r="B1267" s="12" t="inlineStr">
        <is>
          <t>Testing and Commissioning - Dynamic Testing</t>
        </is>
      </c>
      <c r="C1267" s="12" t="inlineStr">
        <is>
          <t>Contractor Programme</t>
        </is>
      </c>
      <c r="D1267" s="12" t="inlineStr">
        <is>
          <t>SCH-05-174</t>
        </is>
      </c>
      <c r="E1267" s="12" t="inlineStr">
        <is>
          <t>Control Centre: service-readiness review - turnover</t>
        </is>
      </c>
      <c r="F1267" s="12" t="inlineStr">
        <is>
          <t>ONE_TO_ONE</t>
        </is>
      </c>
      <c r="G1267" s="12" t="inlineStr">
        <is>
          <t>APPROVED</t>
        </is>
      </c>
      <c r="H1267" s="12" t="inlineStr">
        <is>
          <t>New</t>
        </is>
      </c>
      <c r="I1267" s="12" t="inlineStr">
        <is>
          <t>Source assignment -- not individually reviewed</t>
        </is>
      </c>
      <c r="J1267" s="12" t="inlineStr"/>
      <c r="K1267" s="12" t="inlineStr">
        <is>
          <t>Source assignment</t>
        </is>
      </c>
      <c r="L1267" s="12" t="inlineStr"/>
      <c r="M1267" s="12" t="inlineStr">
        <is>
          <t>Initial</t>
        </is>
      </c>
      <c r="N1267" s="12" t="inlineStr">
        <is>
          <t>Rev 0</t>
        </is>
      </c>
      <c r="O1267" s="12" t="inlineStr">
        <is>
          <t>R894-v1</t>
        </is>
      </c>
      <c r="P1267" s="12" t="inlineStr"/>
      <c r="Q1267" s="12" t="inlineStr"/>
      <c r="R1267" s="12" t="inlineStr"/>
      <c r="S1267" s="12" t="inlineStr"/>
      <c r="T1267" s="12" t="inlineStr"/>
      <c r="U1267" s="12" t="inlineStr"/>
      <c r="V1267" s="12" t="inlineStr">
        <is>
          <t>WBS Code = 1.5.2</t>
        </is>
      </c>
      <c r="W1267" s="12" t="inlineStr"/>
    </row>
    <row r="1268" ht="49" customHeight="1">
      <c r="A1268" s="12" t="inlineStr">
        <is>
          <t>1.5.2</t>
        </is>
      </c>
      <c r="B1268" s="12" t="inlineStr">
        <is>
          <t>Testing and Commissioning - Dynamic Testing</t>
        </is>
      </c>
      <c r="C1268" s="12" t="inlineStr">
        <is>
          <t>Contractor Programme</t>
        </is>
      </c>
      <c r="D1268" s="12" t="inlineStr">
        <is>
          <t>SCH-05-177</t>
        </is>
      </c>
      <c r="E1268" s="12" t="inlineStr">
        <is>
          <t>West terminal: test procedure readiness review - installation</t>
        </is>
      </c>
      <c r="F1268" s="12" t="inlineStr">
        <is>
          <t>ONE_TO_ONE</t>
        </is>
      </c>
      <c r="G1268" s="12" t="inlineStr">
        <is>
          <t>APPROVED</t>
        </is>
      </c>
      <c r="H1268" s="12" t="inlineStr">
        <is>
          <t>New</t>
        </is>
      </c>
      <c r="I1268" s="12" t="inlineStr">
        <is>
          <t>Source assignment -- not individually reviewed</t>
        </is>
      </c>
      <c r="J1268" s="12" t="inlineStr"/>
      <c r="K1268" s="12" t="inlineStr">
        <is>
          <t>Source assignment</t>
        </is>
      </c>
      <c r="L1268" s="12" t="inlineStr"/>
      <c r="M1268" s="12" t="inlineStr">
        <is>
          <t>Initial</t>
        </is>
      </c>
      <c r="N1268" s="12" t="inlineStr">
        <is>
          <t>Rev 0</t>
        </is>
      </c>
      <c r="O1268" s="12" t="inlineStr">
        <is>
          <t>R897-v1</t>
        </is>
      </c>
      <c r="P1268" s="12" t="inlineStr"/>
      <c r="Q1268" s="12" t="inlineStr"/>
      <c r="R1268" s="12" t="inlineStr"/>
      <c r="S1268" s="12" t="inlineStr"/>
      <c r="T1268" s="12" t="inlineStr"/>
      <c r="U1268" s="12" t="inlineStr"/>
      <c r="V1268" s="12" t="inlineStr">
        <is>
          <t>WBS Code = 1.5.2</t>
        </is>
      </c>
      <c r="W1268" s="12" t="inlineStr"/>
    </row>
    <row r="1269" ht="49" customHeight="1">
      <c r="A1269" s="12" t="inlineStr">
        <is>
          <t>1.5.2</t>
        </is>
      </c>
      <c r="B1269" s="12" t="inlineStr">
        <is>
          <t>Testing and Commissioning - Dynamic Testing</t>
        </is>
      </c>
      <c r="C1269" s="12" t="inlineStr">
        <is>
          <t>Contractor Programme</t>
        </is>
      </c>
      <c r="D1269" s="12" t="inlineStr">
        <is>
          <t>SCH-05-180</t>
        </is>
      </c>
      <c r="E1269" s="12" t="inlineStr">
        <is>
          <t>Mainline east: mainline dynamic test - release</t>
        </is>
      </c>
      <c r="F1269" s="12" t="inlineStr">
        <is>
          <t>ONE_TO_ONE</t>
        </is>
      </c>
      <c r="G1269" s="12" t="inlineStr">
        <is>
          <t>APPROVED</t>
        </is>
      </c>
      <c r="H1269" s="12" t="inlineStr">
        <is>
          <t>New</t>
        </is>
      </c>
      <c r="I1269" s="12" t="inlineStr">
        <is>
          <t>Source assignment -- not individually reviewed</t>
        </is>
      </c>
      <c r="J1269" s="12" t="inlineStr"/>
      <c r="K1269" s="12" t="inlineStr">
        <is>
          <t>Source assignment</t>
        </is>
      </c>
      <c r="L1269" s="12" t="inlineStr"/>
      <c r="M1269" s="12" t="inlineStr">
        <is>
          <t>Initial</t>
        </is>
      </c>
      <c r="N1269" s="12" t="inlineStr">
        <is>
          <t>Rev 0</t>
        </is>
      </c>
      <c r="O1269" s="12" t="inlineStr">
        <is>
          <t>R900-v1</t>
        </is>
      </c>
      <c r="P1269" s="12" t="inlineStr"/>
      <c r="Q1269" s="12" t="inlineStr"/>
      <c r="R1269" s="12" t="inlineStr"/>
      <c r="S1269" s="12" t="inlineStr"/>
      <c r="T1269" s="12" t="inlineStr"/>
      <c r="U1269" s="12" t="inlineStr"/>
      <c r="V1269" s="12" t="inlineStr">
        <is>
          <t>WBS Code = 1.5.2</t>
        </is>
      </c>
      <c r="W1269" s="12" t="inlineStr"/>
    </row>
    <row r="1270" ht="49" customHeight="1">
      <c r="A1270" s="12" t="inlineStr">
        <is>
          <t>1.6</t>
        </is>
      </c>
      <c r="B1270" s="12" t="inlineStr">
        <is>
          <t>Program Management</t>
        </is>
      </c>
      <c r="C1270" s="12" t="inlineStr">
        <is>
          <t>Commercial Package Register</t>
        </is>
      </c>
      <c r="D1270" s="12" t="inlineStr">
        <is>
          <t>PKG-051</t>
        </is>
      </c>
      <c r="E1270" s="12" t="inlineStr">
        <is>
          <t>Program Controls</t>
        </is>
      </c>
      <c r="F1270" s="12" t="inlineStr">
        <is>
          <t>ONE_TO_ONE</t>
        </is>
      </c>
      <c r="G1270" s="12" t="inlineStr">
        <is>
          <t>APPROVED</t>
        </is>
      </c>
      <c r="H1270" s="12" t="inlineStr">
        <is>
          <t>New</t>
        </is>
      </c>
      <c r="I1270" s="12" t="inlineStr">
        <is>
          <t>Source assignment -- not individually reviewed</t>
        </is>
      </c>
      <c r="J1270" s="12" t="inlineStr"/>
      <c r="K1270" s="12" t="inlineStr">
        <is>
          <t>Source assignment</t>
        </is>
      </c>
      <c r="L1270" s="12" t="inlineStr"/>
      <c r="M1270" s="12" t="inlineStr">
        <is>
          <t>Initial</t>
        </is>
      </c>
      <c r="N1270" s="12" t="inlineStr">
        <is>
          <t>Rev 0</t>
        </is>
      </c>
      <c r="O1270" s="12" t="inlineStr">
        <is>
          <t>R1613-v1</t>
        </is>
      </c>
      <c r="P1270" s="12" t="inlineStr"/>
      <c r="Q1270" s="12" t="inlineStr"/>
      <c r="R1270" s="12" t="inlineStr"/>
      <c r="S1270" s="12" t="inlineStr"/>
      <c r="T1270" s="12" t="inlineStr"/>
      <c r="U1270" s="12" t="inlineStr"/>
      <c r="V1270" s="12" t="inlineStr">
        <is>
          <t>Package Code = PK-601; WBS Code = 1.6</t>
        </is>
      </c>
      <c r="W1270" s="12" t="inlineStr"/>
    </row>
    <row r="1271" ht="49" customHeight="1">
      <c r="A1271" s="12" t="inlineStr">
        <is>
          <t>1.6</t>
        </is>
      </c>
      <c r="B1271" s="12" t="inlineStr">
        <is>
          <t>Program Management</t>
        </is>
      </c>
      <c r="C1271" s="12" t="inlineStr">
        <is>
          <t>Commercial Package Register</t>
        </is>
      </c>
      <c r="D1271" s="12" t="inlineStr">
        <is>
          <t>PKG-052</t>
        </is>
      </c>
      <c r="E1271" s="12" t="inlineStr">
        <is>
          <t>Commercial Advisory</t>
        </is>
      </c>
      <c r="F1271" s="12" t="inlineStr">
        <is>
          <t>ONE_TO_ONE</t>
        </is>
      </c>
      <c r="G1271" s="12" t="inlineStr">
        <is>
          <t>APPROVED</t>
        </is>
      </c>
      <c r="H1271" s="12" t="inlineStr">
        <is>
          <t>New</t>
        </is>
      </c>
      <c r="I1271" s="12" t="inlineStr">
        <is>
          <t>Source assignment -- not individually reviewed</t>
        </is>
      </c>
      <c r="J1271" s="12" t="inlineStr"/>
      <c r="K1271" s="12" t="inlineStr">
        <is>
          <t>Source assignment</t>
        </is>
      </c>
      <c r="L1271" s="12" t="inlineStr"/>
      <c r="M1271" s="12" t="inlineStr">
        <is>
          <t>Initial</t>
        </is>
      </c>
      <c r="N1271" s="12" t="inlineStr">
        <is>
          <t>Rev 0</t>
        </is>
      </c>
      <c r="O1271" s="12" t="inlineStr">
        <is>
          <t>R1614-v1</t>
        </is>
      </c>
      <c r="P1271" s="12" t="inlineStr"/>
      <c r="Q1271" s="12" t="inlineStr"/>
      <c r="R1271" s="12" t="inlineStr"/>
      <c r="S1271" s="12" t="inlineStr"/>
      <c r="T1271" s="12" t="inlineStr"/>
      <c r="U1271" s="12" t="inlineStr"/>
      <c r="V1271" s="12" t="inlineStr">
        <is>
          <t>Package Code = PK-602; WBS Code = 1.6</t>
        </is>
      </c>
      <c r="W1271" s="12" t="inlineStr"/>
    </row>
    <row r="1272" ht="49" customHeight="1">
      <c r="A1272" s="12" t="inlineStr">
        <is>
          <t>1.6</t>
        </is>
      </c>
      <c r="B1272" s="12" t="inlineStr">
        <is>
          <t>Program Management</t>
        </is>
      </c>
      <c r="C1272" s="12" t="inlineStr">
        <is>
          <t>Commercial Package Register</t>
        </is>
      </c>
      <c r="D1272" s="12" t="inlineStr">
        <is>
          <t>PKG-053</t>
        </is>
      </c>
      <c r="E1272" s="12" t="inlineStr">
        <is>
          <t>Permitting Support</t>
        </is>
      </c>
      <c r="F1272" s="12" t="inlineStr">
        <is>
          <t>ONE_TO_ONE</t>
        </is>
      </c>
      <c r="G1272" s="12" t="inlineStr">
        <is>
          <t>APPROVED</t>
        </is>
      </c>
      <c r="H1272" s="12" t="inlineStr">
        <is>
          <t>New</t>
        </is>
      </c>
      <c r="I1272" s="12" t="inlineStr">
        <is>
          <t>Source assignment -- not individually reviewed</t>
        </is>
      </c>
      <c r="J1272" s="12" t="inlineStr"/>
      <c r="K1272" s="12" t="inlineStr">
        <is>
          <t>Source assignment</t>
        </is>
      </c>
      <c r="L1272" s="12" t="inlineStr"/>
      <c r="M1272" s="12" t="inlineStr">
        <is>
          <t>Initial</t>
        </is>
      </c>
      <c r="N1272" s="12" t="inlineStr">
        <is>
          <t>Rev 0</t>
        </is>
      </c>
      <c r="O1272" s="12" t="inlineStr">
        <is>
          <t>R1615-v1</t>
        </is>
      </c>
      <c r="P1272" s="12" t="inlineStr"/>
      <c r="Q1272" s="12" t="inlineStr"/>
      <c r="R1272" s="12" t="inlineStr"/>
      <c r="S1272" s="12" t="inlineStr"/>
      <c r="T1272" s="12" t="inlineStr"/>
      <c r="U1272" s="12" t="inlineStr"/>
      <c r="V1272" s="12" t="inlineStr">
        <is>
          <t>Package Code = PK-603; WBS Code = 1.6</t>
        </is>
      </c>
      <c r="W1272" s="12" t="inlineStr"/>
    </row>
    <row r="1273" ht="49" customHeight="1">
      <c r="A1273" s="12" t="inlineStr">
        <is>
          <t>1.6</t>
        </is>
      </c>
      <c r="B1273" s="12" t="inlineStr">
        <is>
          <t>Program Management</t>
        </is>
      </c>
      <c r="C1273" s="12" t="inlineStr">
        <is>
          <t>Commercial Package Register</t>
        </is>
      </c>
      <c r="D1273" s="12" t="inlineStr">
        <is>
          <t>PKG-054</t>
        </is>
      </c>
      <c r="E1273" s="12" t="inlineStr">
        <is>
          <t>Delivery Integration</t>
        </is>
      </c>
      <c r="F1273" s="12" t="inlineStr">
        <is>
          <t>ONE_TO_ONE</t>
        </is>
      </c>
      <c r="G1273" s="12" t="inlineStr">
        <is>
          <t>APPROVED</t>
        </is>
      </c>
      <c r="H1273" s="12" t="inlineStr">
        <is>
          <t>New</t>
        </is>
      </c>
      <c r="I1273" s="12" t="inlineStr">
        <is>
          <t>Source assignment -- not individually reviewed</t>
        </is>
      </c>
      <c r="J1273" s="12" t="inlineStr"/>
      <c r="K1273" s="12" t="inlineStr">
        <is>
          <t>Source assignment</t>
        </is>
      </c>
      <c r="L1273" s="12" t="inlineStr"/>
      <c r="M1273" s="12" t="inlineStr">
        <is>
          <t>Initial</t>
        </is>
      </c>
      <c r="N1273" s="12" t="inlineStr">
        <is>
          <t>Rev 0</t>
        </is>
      </c>
      <c r="O1273" s="12" t="inlineStr">
        <is>
          <t>R1616-v1</t>
        </is>
      </c>
      <c r="P1273" s="12" t="inlineStr"/>
      <c r="Q1273" s="12" t="inlineStr"/>
      <c r="R1273" s="12" t="inlineStr"/>
      <c r="S1273" s="12" t="inlineStr"/>
      <c r="T1273" s="12" t="inlineStr"/>
      <c r="U1273" s="12" t="inlineStr"/>
      <c r="V1273" s="12" t="inlineStr">
        <is>
          <t>Package Code = PK-604; WBS Code = 1.6</t>
        </is>
      </c>
      <c r="W1273" s="12" t="inlineStr"/>
    </row>
    <row r="1274" ht="49" customHeight="1">
      <c r="A1274" s="12" t="inlineStr">
        <is>
          <t>1.6</t>
        </is>
      </c>
      <c r="B1274" s="12" t="inlineStr">
        <is>
          <t>Program Management</t>
        </is>
      </c>
      <c r="C1274" s="12" t="inlineStr">
        <is>
          <t>Commercial Package Register</t>
        </is>
      </c>
      <c r="D1274" s="12" t="inlineStr">
        <is>
          <t>PKG-055</t>
        </is>
      </c>
      <c r="E1274" s="12" t="inlineStr">
        <is>
          <t>Program Controls - Lot 2</t>
        </is>
      </c>
      <c r="F1274" s="12" t="inlineStr">
        <is>
          <t>ONE_TO_ONE</t>
        </is>
      </c>
      <c r="G1274" s="12" t="inlineStr">
        <is>
          <t>APPROVED</t>
        </is>
      </c>
      <c r="H1274" s="12" t="inlineStr">
        <is>
          <t>New</t>
        </is>
      </c>
      <c r="I1274" s="12" t="inlineStr">
        <is>
          <t>Source assignment -- not individually reviewed</t>
        </is>
      </c>
      <c r="J1274" s="12" t="inlineStr"/>
      <c r="K1274" s="12" t="inlineStr">
        <is>
          <t>Source assignment</t>
        </is>
      </c>
      <c r="L1274" s="12" t="inlineStr"/>
      <c r="M1274" s="12" t="inlineStr">
        <is>
          <t>Initial</t>
        </is>
      </c>
      <c r="N1274" s="12" t="inlineStr">
        <is>
          <t>Rev 0</t>
        </is>
      </c>
      <c r="O1274" s="12" t="inlineStr">
        <is>
          <t>R1617-v1</t>
        </is>
      </c>
      <c r="P1274" s="12" t="inlineStr"/>
      <c r="Q1274" s="12" t="inlineStr"/>
      <c r="R1274" s="12" t="inlineStr"/>
      <c r="S1274" s="12" t="inlineStr"/>
      <c r="T1274" s="12" t="inlineStr"/>
      <c r="U1274" s="12" t="inlineStr"/>
      <c r="V1274" s="12" t="inlineStr">
        <is>
          <t>Package Code = PK-605; WBS Code = 1.6</t>
        </is>
      </c>
      <c r="W1274" s="12" t="inlineStr"/>
    </row>
    <row r="1275" ht="49" customHeight="1">
      <c r="A1275" s="12" t="inlineStr">
        <is>
          <t>1.6</t>
        </is>
      </c>
      <c r="B1275" s="12" t="inlineStr">
        <is>
          <t>Program Management</t>
        </is>
      </c>
      <c r="C1275" s="12" t="inlineStr">
        <is>
          <t>Commercial Package Register</t>
        </is>
      </c>
      <c r="D1275" s="12" t="inlineStr">
        <is>
          <t>PKG-056</t>
        </is>
      </c>
      <c r="E1275" s="12" t="inlineStr">
        <is>
          <t>Commercial Advisory - Lot 2</t>
        </is>
      </c>
      <c r="F1275" s="12" t="inlineStr">
        <is>
          <t>ONE_TO_ONE</t>
        </is>
      </c>
      <c r="G1275" s="12" t="inlineStr">
        <is>
          <t>APPROVED</t>
        </is>
      </c>
      <c r="H1275" s="12" t="inlineStr">
        <is>
          <t>New</t>
        </is>
      </c>
      <c r="I1275" s="12" t="inlineStr">
        <is>
          <t>Source assignment -- not individually reviewed</t>
        </is>
      </c>
      <c r="J1275" s="12" t="inlineStr"/>
      <c r="K1275" s="12" t="inlineStr">
        <is>
          <t>Source assignment</t>
        </is>
      </c>
      <c r="L1275" s="12" t="inlineStr"/>
      <c r="M1275" s="12" t="inlineStr">
        <is>
          <t>Initial</t>
        </is>
      </c>
      <c r="N1275" s="12" t="inlineStr">
        <is>
          <t>Rev 0</t>
        </is>
      </c>
      <c r="O1275" s="12" t="inlineStr">
        <is>
          <t>R1618-v1</t>
        </is>
      </c>
      <c r="P1275" s="12" t="inlineStr"/>
      <c r="Q1275" s="12" t="inlineStr"/>
      <c r="R1275" s="12" t="inlineStr"/>
      <c r="S1275" s="12" t="inlineStr"/>
      <c r="T1275" s="12" t="inlineStr"/>
      <c r="U1275" s="12" t="inlineStr"/>
      <c r="V1275" s="12" t="inlineStr">
        <is>
          <t>Package Code = PK-606; WBS Code = 1.6</t>
        </is>
      </c>
      <c r="W1275" s="12" t="inlineStr"/>
    </row>
    <row r="1276" ht="49" customHeight="1">
      <c r="A1276" s="12" t="inlineStr">
        <is>
          <t>1.6</t>
        </is>
      </c>
      <c r="B1276" s="12" t="inlineStr">
        <is>
          <t>Program Management</t>
        </is>
      </c>
      <c r="C1276" s="12" t="inlineStr">
        <is>
          <t>Commercial Package Register</t>
        </is>
      </c>
      <c r="D1276" s="12" t="inlineStr">
        <is>
          <t>PKG-057</t>
        </is>
      </c>
      <c r="E1276" s="12" t="inlineStr">
        <is>
          <t>Permitting Support - Lot 2</t>
        </is>
      </c>
      <c r="F1276" s="12" t="inlineStr">
        <is>
          <t>ONE_TO_ONE</t>
        </is>
      </c>
      <c r="G1276" s="12" t="inlineStr">
        <is>
          <t>APPROVED</t>
        </is>
      </c>
      <c r="H1276" s="12" t="inlineStr">
        <is>
          <t>New</t>
        </is>
      </c>
      <c r="I1276" s="12" t="inlineStr">
        <is>
          <t>Source assignment -- not individually reviewed</t>
        </is>
      </c>
      <c r="J1276" s="12" t="inlineStr"/>
      <c r="K1276" s="12" t="inlineStr">
        <is>
          <t>Source assignment</t>
        </is>
      </c>
      <c r="L1276" s="12" t="inlineStr"/>
      <c r="M1276" s="12" t="inlineStr">
        <is>
          <t>Initial</t>
        </is>
      </c>
      <c r="N1276" s="12" t="inlineStr">
        <is>
          <t>Rev 0</t>
        </is>
      </c>
      <c r="O1276" s="12" t="inlineStr">
        <is>
          <t>R1619-v1</t>
        </is>
      </c>
      <c r="P1276" s="12" t="inlineStr"/>
      <c r="Q1276" s="12" t="inlineStr"/>
      <c r="R1276" s="12" t="inlineStr"/>
      <c r="S1276" s="12" t="inlineStr"/>
      <c r="T1276" s="12" t="inlineStr"/>
      <c r="U1276" s="12" t="inlineStr"/>
      <c r="V1276" s="12" t="inlineStr">
        <is>
          <t>Package Code = PK-607; WBS Code = 1.6</t>
        </is>
      </c>
      <c r="W1276" s="12" t="inlineStr"/>
    </row>
    <row r="1277" ht="49" customHeight="1">
      <c r="A1277" s="12" t="inlineStr">
        <is>
          <t>1.6</t>
        </is>
      </c>
      <c r="B1277" s="12" t="inlineStr">
        <is>
          <t>Program Management</t>
        </is>
      </c>
      <c r="C1277" s="12" t="inlineStr">
        <is>
          <t>Commercial Package Register</t>
        </is>
      </c>
      <c r="D1277" s="12" t="inlineStr">
        <is>
          <t>PKG-058</t>
        </is>
      </c>
      <c r="E1277" s="12" t="inlineStr">
        <is>
          <t>Delivery Integration - Lot 2</t>
        </is>
      </c>
      <c r="F1277" s="12" t="inlineStr">
        <is>
          <t>ONE_TO_ONE</t>
        </is>
      </c>
      <c r="G1277" s="12" t="inlineStr">
        <is>
          <t>APPROVED</t>
        </is>
      </c>
      <c r="H1277" s="12" t="inlineStr">
        <is>
          <t>New</t>
        </is>
      </c>
      <c r="I1277" s="12" t="inlineStr">
        <is>
          <t>Source assignment -- not individually reviewed</t>
        </is>
      </c>
      <c r="J1277" s="12" t="inlineStr"/>
      <c r="K1277" s="12" t="inlineStr">
        <is>
          <t>Source assignment</t>
        </is>
      </c>
      <c r="L1277" s="12" t="inlineStr"/>
      <c r="M1277" s="12" t="inlineStr">
        <is>
          <t>Initial</t>
        </is>
      </c>
      <c r="N1277" s="12" t="inlineStr">
        <is>
          <t>Rev 0</t>
        </is>
      </c>
      <c r="O1277" s="12" t="inlineStr">
        <is>
          <t>R1620-v1</t>
        </is>
      </c>
      <c r="P1277" s="12" t="inlineStr"/>
      <c r="Q1277" s="12" t="inlineStr"/>
      <c r="R1277" s="12" t="inlineStr"/>
      <c r="S1277" s="12" t="inlineStr"/>
      <c r="T1277" s="12" t="inlineStr"/>
      <c r="U1277" s="12" t="inlineStr"/>
      <c r="V1277" s="12" t="inlineStr">
        <is>
          <t>Package Code = PK-608; WBS Code = 1.6</t>
        </is>
      </c>
      <c r="W1277" s="12" t="inlineStr"/>
    </row>
    <row r="1278" ht="49" customHeight="1">
      <c r="A1278" s="12" t="inlineStr">
        <is>
          <t>1.6</t>
        </is>
      </c>
      <c r="B1278" s="12" t="inlineStr">
        <is>
          <t>Program Management</t>
        </is>
      </c>
      <c r="C1278" s="12" t="inlineStr">
        <is>
          <t>Commercial Package Register</t>
        </is>
      </c>
      <c r="D1278" s="12" t="inlineStr">
        <is>
          <t>PKG-059</t>
        </is>
      </c>
      <c r="E1278" s="12" t="inlineStr">
        <is>
          <t>Program Controls - Lot 3</t>
        </is>
      </c>
      <c r="F1278" s="12" t="inlineStr">
        <is>
          <t>ONE_TO_ONE</t>
        </is>
      </c>
      <c r="G1278" s="12" t="inlineStr">
        <is>
          <t>APPROVED</t>
        </is>
      </c>
      <c r="H1278" s="12" t="inlineStr">
        <is>
          <t>New</t>
        </is>
      </c>
      <c r="I1278" s="12" t="inlineStr">
        <is>
          <t>Source assignment -- not individually reviewed</t>
        </is>
      </c>
      <c r="J1278" s="12" t="inlineStr"/>
      <c r="K1278" s="12" t="inlineStr">
        <is>
          <t>Source assignment</t>
        </is>
      </c>
      <c r="L1278" s="12" t="inlineStr"/>
      <c r="M1278" s="12" t="inlineStr">
        <is>
          <t>Initial</t>
        </is>
      </c>
      <c r="N1278" s="12" t="inlineStr">
        <is>
          <t>Rev 0</t>
        </is>
      </c>
      <c r="O1278" s="12" t="inlineStr">
        <is>
          <t>R1621-v1</t>
        </is>
      </c>
      <c r="P1278" s="12" t="inlineStr"/>
      <c r="Q1278" s="12" t="inlineStr"/>
      <c r="R1278" s="12" t="inlineStr"/>
      <c r="S1278" s="12" t="inlineStr"/>
      <c r="T1278" s="12" t="inlineStr"/>
      <c r="U1278" s="12" t="inlineStr"/>
      <c r="V1278" s="12" t="inlineStr">
        <is>
          <t>Package Code = PK-609; WBS Code = 1.6</t>
        </is>
      </c>
      <c r="W1278" s="12" t="inlineStr"/>
    </row>
    <row r="1279" ht="49" customHeight="1">
      <c r="A1279" s="12" t="inlineStr">
        <is>
          <t>1.6</t>
        </is>
      </c>
      <c r="B1279" s="12" t="inlineStr">
        <is>
          <t>Program Management</t>
        </is>
      </c>
      <c r="C1279" s="12" t="inlineStr">
        <is>
          <t>Commercial Package Register</t>
        </is>
      </c>
      <c r="D1279" s="12" t="inlineStr">
        <is>
          <t>PKG-060</t>
        </is>
      </c>
      <c r="E1279" s="12" t="inlineStr">
        <is>
          <t>Commercial Advisory - Lot 3</t>
        </is>
      </c>
      <c r="F1279" s="12" t="inlineStr">
        <is>
          <t>ONE_TO_ONE</t>
        </is>
      </c>
      <c r="G1279" s="12" t="inlineStr">
        <is>
          <t>APPROVED</t>
        </is>
      </c>
      <c r="H1279" s="12" t="inlineStr">
        <is>
          <t>New</t>
        </is>
      </c>
      <c r="I1279" s="12" t="inlineStr">
        <is>
          <t>Source assignment -- not individually reviewed</t>
        </is>
      </c>
      <c r="J1279" s="12" t="inlineStr"/>
      <c r="K1279" s="12" t="inlineStr">
        <is>
          <t>Source assignment</t>
        </is>
      </c>
      <c r="L1279" s="12" t="inlineStr"/>
      <c r="M1279" s="12" t="inlineStr">
        <is>
          <t>Initial</t>
        </is>
      </c>
      <c r="N1279" s="12" t="inlineStr">
        <is>
          <t>Rev 0</t>
        </is>
      </c>
      <c r="O1279" s="12" t="inlineStr">
        <is>
          <t>R1622-v1</t>
        </is>
      </c>
      <c r="P1279" s="12" t="inlineStr"/>
      <c r="Q1279" s="12" t="inlineStr"/>
      <c r="R1279" s="12" t="inlineStr"/>
      <c r="S1279" s="12" t="inlineStr"/>
      <c r="T1279" s="12" t="inlineStr"/>
      <c r="U1279" s="12" t="inlineStr"/>
      <c r="V1279" s="12" t="inlineStr">
        <is>
          <t>Package Code = PK-610; WBS Code = 1.6</t>
        </is>
      </c>
      <c r="W1279" s="12" t="inlineStr"/>
    </row>
    <row r="1280" ht="64" customHeight="1">
      <c r="A1280" s="12" t="inlineStr">
        <is>
          <t>1.6.1</t>
        </is>
      </c>
      <c r="B1280" s="12" t="inlineStr">
        <is>
          <t>Program Management - Program Controls</t>
        </is>
      </c>
      <c r="C1280" s="12" t="inlineStr">
        <is>
          <t>Cost &amp; Forecast Control Accounts</t>
        </is>
      </c>
      <c r="D1280" s="12" t="inlineStr">
        <is>
          <t>CST-06-001</t>
        </is>
      </c>
      <c r="E1280" s="12" t="inlineStr">
        <is>
          <t>Program Management - design integration - professional services</t>
        </is>
      </c>
      <c r="F1280" s="12" t="inlineStr">
        <is>
          <t>ONE_TO_ONE</t>
        </is>
      </c>
      <c r="G1280" s="12" t="inlineStr">
        <is>
          <t>APPROVED</t>
        </is>
      </c>
      <c r="H1280" s="12" t="inlineStr">
        <is>
          <t>New</t>
        </is>
      </c>
      <c r="I1280" s="12" t="inlineStr">
        <is>
          <t>Source assignment -- not individually reviewed</t>
        </is>
      </c>
      <c r="J1280" s="12" t="inlineStr"/>
      <c r="K1280" s="12" t="inlineStr">
        <is>
          <t>Source assignment</t>
        </is>
      </c>
      <c r="L1280" s="12" t="inlineStr"/>
      <c r="M1280" s="12" t="inlineStr">
        <is>
          <t>Initial</t>
        </is>
      </c>
      <c r="N1280" s="12" t="inlineStr">
        <is>
          <t>Rev 0</t>
        </is>
      </c>
      <c r="O1280" s="12" t="inlineStr">
        <is>
          <t>R1483-v1</t>
        </is>
      </c>
      <c r="P1280" s="12" t="inlineStr"/>
      <c r="Q1280" s="12" t="inlineStr"/>
      <c r="R1280" s="12" t="inlineStr"/>
      <c r="S1280" s="12" t="inlineStr"/>
      <c r="T1280" s="12" t="inlineStr"/>
      <c r="U1280" s="12" t="inlineStr"/>
      <c r="V1280" s="12" t="inlineStr">
        <is>
          <t>Cost Account = CA-6001; WBS Code = 1.6.1</t>
        </is>
      </c>
      <c r="W1280" s="12" t="inlineStr"/>
    </row>
    <row r="1281" ht="64" customHeight="1">
      <c r="A1281" s="12" t="inlineStr">
        <is>
          <t>1.6.1</t>
        </is>
      </c>
      <c r="B1281" s="12" t="inlineStr">
        <is>
          <t>Program Management - Program Controls</t>
        </is>
      </c>
      <c r="C1281" s="12" t="inlineStr">
        <is>
          <t>Cost &amp; Forecast Control Accounts</t>
        </is>
      </c>
      <c r="D1281" s="12" t="inlineStr">
        <is>
          <t>CST-06-003</t>
        </is>
      </c>
      <c r="E1281" s="12" t="inlineStr">
        <is>
          <t>Program Management - program controls - closeout</t>
        </is>
      </c>
      <c r="F1281" s="12" t="inlineStr">
        <is>
          <t>ONE_TO_ONE</t>
        </is>
      </c>
      <c r="G1281" s="12" t="inlineStr">
        <is>
          <t>APPROVED</t>
        </is>
      </c>
      <c r="H1281" s="12" t="inlineStr">
        <is>
          <t>New</t>
        </is>
      </c>
      <c r="I1281" s="12" t="inlineStr">
        <is>
          <t>Source assignment -- not individually reviewed</t>
        </is>
      </c>
      <c r="J1281" s="12" t="inlineStr"/>
      <c r="K1281" s="12" t="inlineStr">
        <is>
          <t>Source assignment</t>
        </is>
      </c>
      <c r="L1281" s="12" t="inlineStr"/>
      <c r="M1281" s="12" t="inlineStr">
        <is>
          <t>Initial</t>
        </is>
      </c>
      <c r="N1281" s="12" t="inlineStr">
        <is>
          <t>Rev 0</t>
        </is>
      </c>
      <c r="O1281" s="12" t="inlineStr">
        <is>
          <t>R1485-v1</t>
        </is>
      </c>
      <c r="P1281" s="12" t="inlineStr"/>
      <c r="Q1281" s="12" t="inlineStr"/>
      <c r="R1281" s="12" t="inlineStr"/>
      <c r="S1281" s="12" t="inlineStr"/>
      <c r="T1281" s="12" t="inlineStr"/>
      <c r="U1281" s="12" t="inlineStr"/>
      <c r="V1281" s="12" t="inlineStr">
        <is>
          <t>Cost Account = CA-6003; WBS Code = 1.6.1</t>
        </is>
      </c>
      <c r="W1281" s="12" t="inlineStr"/>
    </row>
    <row r="1282" ht="64" customHeight="1">
      <c r="A1282" s="12" t="inlineStr">
        <is>
          <t>1.6.1</t>
        </is>
      </c>
      <c r="B1282" s="12" t="inlineStr">
        <is>
          <t>Program Management - Program Controls</t>
        </is>
      </c>
      <c r="C1282" s="12" t="inlineStr">
        <is>
          <t>Cost &amp; Forecast Control Accounts</t>
        </is>
      </c>
      <c r="D1282" s="12" t="inlineStr">
        <is>
          <t>CST-06-005</t>
        </is>
      </c>
      <c r="E1282" s="12" t="inlineStr">
        <is>
          <t>Program Management - stakeholder services - supply and install</t>
        </is>
      </c>
      <c r="F1282" s="12" t="inlineStr">
        <is>
          <t>ONE_TO_ONE</t>
        </is>
      </c>
      <c r="G1282" s="12" t="inlineStr">
        <is>
          <t>APPROVED</t>
        </is>
      </c>
      <c r="H1282" s="12" t="inlineStr">
        <is>
          <t>New</t>
        </is>
      </c>
      <c r="I1282" s="12" t="inlineStr">
        <is>
          <t>Source assignment -- not individually reviewed</t>
        </is>
      </c>
      <c r="J1282" s="12" t="inlineStr"/>
      <c r="K1282" s="12" t="inlineStr">
        <is>
          <t>Source assignment</t>
        </is>
      </c>
      <c r="L1282" s="12" t="inlineStr"/>
      <c r="M1282" s="12" t="inlineStr">
        <is>
          <t>Initial</t>
        </is>
      </c>
      <c r="N1282" s="12" t="inlineStr">
        <is>
          <t>Rev 0</t>
        </is>
      </c>
      <c r="O1282" s="12" t="inlineStr">
        <is>
          <t>R1487-v1</t>
        </is>
      </c>
      <c r="P1282" s="12" t="inlineStr"/>
      <c r="Q1282" s="12" t="inlineStr"/>
      <c r="R1282" s="12" t="inlineStr"/>
      <c r="S1282" s="12" t="inlineStr"/>
      <c r="T1282" s="12" t="inlineStr"/>
      <c r="U1282" s="12" t="inlineStr"/>
      <c r="V1282" s="12" t="inlineStr">
        <is>
          <t>Cost Account = CA-6005; WBS Code = 1.6.1</t>
        </is>
      </c>
      <c r="W1282" s="12" t="inlineStr"/>
    </row>
    <row r="1283" ht="64" customHeight="1">
      <c r="A1283" s="12" t="inlineStr">
        <is>
          <t>1.6.1</t>
        </is>
      </c>
      <c r="B1283" s="12" t="inlineStr">
        <is>
          <t>Program Management - Program Controls</t>
        </is>
      </c>
      <c r="C1283" s="12" t="inlineStr">
        <is>
          <t>Cost &amp; Forecast Control Accounts</t>
        </is>
      </c>
      <c r="D1283" s="12" t="inlineStr">
        <is>
          <t>CST-06-007</t>
        </is>
      </c>
      <c r="E1283" s="12" t="inlineStr">
        <is>
          <t>Program Management - design integration - allowance</t>
        </is>
      </c>
      <c r="F1283" s="12" t="inlineStr">
        <is>
          <t>ONE_TO_ONE</t>
        </is>
      </c>
      <c r="G1283" s="12" t="inlineStr">
        <is>
          <t>APPROVED</t>
        </is>
      </c>
      <c r="H1283" s="12" t="inlineStr">
        <is>
          <t>New</t>
        </is>
      </c>
      <c r="I1283" s="12" t="inlineStr">
        <is>
          <t>Source assignment -- not individually reviewed</t>
        </is>
      </c>
      <c r="J1283" s="12" t="inlineStr"/>
      <c r="K1283" s="12" t="inlineStr">
        <is>
          <t>Source assignment</t>
        </is>
      </c>
      <c r="L1283" s="12" t="inlineStr"/>
      <c r="M1283" s="12" t="inlineStr">
        <is>
          <t>Initial</t>
        </is>
      </c>
      <c r="N1283" s="12" t="inlineStr">
        <is>
          <t>Rev 0</t>
        </is>
      </c>
      <c r="O1283" s="12" t="inlineStr">
        <is>
          <t>R1489-v1</t>
        </is>
      </c>
      <c r="P1283" s="12" t="inlineStr"/>
      <c r="Q1283" s="12" t="inlineStr"/>
      <c r="R1283" s="12" t="inlineStr"/>
      <c r="S1283" s="12" t="inlineStr"/>
      <c r="T1283" s="12" t="inlineStr"/>
      <c r="U1283" s="12" t="inlineStr"/>
      <c r="V1283" s="12" t="inlineStr">
        <is>
          <t>Cost Account = CA-6007; WBS Code = 1.6.1</t>
        </is>
      </c>
      <c r="W1283" s="12" t="inlineStr"/>
    </row>
    <row r="1284" ht="64" customHeight="1">
      <c r="A1284" s="12" t="inlineStr">
        <is>
          <t>1.6.1</t>
        </is>
      </c>
      <c r="B1284" s="12" t="inlineStr">
        <is>
          <t>Program Management - Program Controls</t>
        </is>
      </c>
      <c r="C1284" s="12" t="inlineStr">
        <is>
          <t>Cost &amp; Forecast Control Accounts</t>
        </is>
      </c>
      <c r="D1284" s="12" t="inlineStr">
        <is>
          <t>CST-06-009</t>
        </is>
      </c>
      <c r="E1284" s="12" t="inlineStr">
        <is>
          <t>Program Management - program controls - field package</t>
        </is>
      </c>
      <c r="F1284" s="12" t="inlineStr">
        <is>
          <t>ONE_TO_ONE</t>
        </is>
      </c>
      <c r="G1284" s="12" t="inlineStr">
        <is>
          <t>APPROVED</t>
        </is>
      </c>
      <c r="H1284" s="12" t="inlineStr">
        <is>
          <t>New</t>
        </is>
      </c>
      <c r="I1284" s="12" t="inlineStr">
        <is>
          <t>Source assignment -- not individually reviewed</t>
        </is>
      </c>
      <c r="J1284" s="12" t="inlineStr"/>
      <c r="K1284" s="12" t="inlineStr">
        <is>
          <t>Source assignment</t>
        </is>
      </c>
      <c r="L1284" s="12" t="inlineStr"/>
      <c r="M1284" s="12" t="inlineStr">
        <is>
          <t>Initial</t>
        </is>
      </c>
      <c r="N1284" s="12" t="inlineStr">
        <is>
          <t>Rev 0</t>
        </is>
      </c>
      <c r="O1284" s="12" t="inlineStr">
        <is>
          <t>R1491-v1</t>
        </is>
      </c>
      <c r="P1284" s="12" t="inlineStr"/>
      <c r="Q1284" s="12" t="inlineStr"/>
      <c r="R1284" s="12" t="inlineStr"/>
      <c r="S1284" s="12" t="inlineStr"/>
      <c r="T1284" s="12" t="inlineStr"/>
      <c r="U1284" s="12" t="inlineStr"/>
      <c r="V1284" s="12" t="inlineStr">
        <is>
          <t>Cost Account = CA-6009; WBS Code = 1.6.1</t>
        </is>
      </c>
      <c r="W1284" s="12" t="inlineStr"/>
    </row>
    <row r="1285" ht="64" customHeight="1">
      <c r="A1285" s="12" t="inlineStr">
        <is>
          <t>1.6.1</t>
        </is>
      </c>
      <c r="B1285" s="12" t="inlineStr">
        <is>
          <t>Program Management - Program Controls</t>
        </is>
      </c>
      <c r="C1285" s="12" t="inlineStr">
        <is>
          <t>Cost &amp; Forecast Control Accounts</t>
        </is>
      </c>
      <c r="D1285" s="12" t="inlineStr">
        <is>
          <t>CST-06-011</t>
        </is>
      </c>
      <c r="E1285" s="12" t="inlineStr">
        <is>
          <t>Program Management - stakeholder services - professional services</t>
        </is>
      </c>
      <c r="F1285" s="12" t="inlineStr">
        <is>
          <t>ONE_TO_ONE</t>
        </is>
      </c>
      <c r="G1285" s="12" t="inlineStr">
        <is>
          <t>APPROVED</t>
        </is>
      </c>
      <c r="H1285" s="12" t="inlineStr">
        <is>
          <t>New</t>
        </is>
      </c>
      <c r="I1285" s="12" t="inlineStr">
        <is>
          <t>Source assignment -- not individually reviewed</t>
        </is>
      </c>
      <c r="J1285" s="12" t="inlineStr"/>
      <c r="K1285" s="12" t="inlineStr">
        <is>
          <t>Source assignment</t>
        </is>
      </c>
      <c r="L1285" s="12" t="inlineStr"/>
      <c r="M1285" s="12" t="inlineStr">
        <is>
          <t>Initial</t>
        </is>
      </c>
      <c r="N1285" s="12" t="inlineStr">
        <is>
          <t>Rev 0</t>
        </is>
      </c>
      <c r="O1285" s="12" t="inlineStr">
        <is>
          <t>R1493-v1</t>
        </is>
      </c>
      <c r="P1285" s="12" t="inlineStr"/>
      <c r="Q1285" s="12" t="inlineStr"/>
      <c r="R1285" s="12" t="inlineStr"/>
      <c r="S1285" s="12" t="inlineStr"/>
      <c r="T1285" s="12" t="inlineStr"/>
      <c r="U1285" s="12" t="inlineStr"/>
      <c r="V1285" s="12" t="inlineStr">
        <is>
          <t>Cost Account = CA-6011; WBS Code = 1.6.1</t>
        </is>
      </c>
      <c r="W1285" s="12" t="inlineStr"/>
    </row>
    <row r="1286" ht="64" customHeight="1">
      <c r="A1286" s="12" t="inlineStr">
        <is>
          <t>1.6.1</t>
        </is>
      </c>
      <c r="B1286" s="12" t="inlineStr">
        <is>
          <t>Program Management - Program Controls</t>
        </is>
      </c>
      <c r="C1286" s="12" t="inlineStr">
        <is>
          <t>Cost &amp; Forecast Control Accounts</t>
        </is>
      </c>
      <c r="D1286" s="12" t="inlineStr">
        <is>
          <t>CST-06-013</t>
        </is>
      </c>
      <c r="E1286" s="12" t="inlineStr">
        <is>
          <t>Program Management - design integration - closeout</t>
        </is>
      </c>
      <c r="F1286" s="12" t="inlineStr">
        <is>
          <t>ONE_TO_ONE</t>
        </is>
      </c>
      <c r="G1286" s="12" t="inlineStr">
        <is>
          <t>APPROVED</t>
        </is>
      </c>
      <c r="H1286" s="12" t="inlineStr">
        <is>
          <t>New</t>
        </is>
      </c>
      <c r="I1286" s="12" t="inlineStr">
        <is>
          <t>Source assignment -- not individually reviewed</t>
        </is>
      </c>
      <c r="J1286" s="12" t="inlineStr"/>
      <c r="K1286" s="12" t="inlineStr">
        <is>
          <t>Source assignment</t>
        </is>
      </c>
      <c r="L1286" s="12" t="inlineStr"/>
      <c r="M1286" s="12" t="inlineStr">
        <is>
          <t>Initial</t>
        </is>
      </c>
      <c r="N1286" s="12" t="inlineStr">
        <is>
          <t>Rev 0</t>
        </is>
      </c>
      <c r="O1286" s="12" t="inlineStr">
        <is>
          <t>R1495-v1</t>
        </is>
      </c>
      <c r="P1286" s="12" t="inlineStr"/>
      <c r="Q1286" s="12" t="inlineStr"/>
      <c r="R1286" s="12" t="inlineStr"/>
      <c r="S1286" s="12" t="inlineStr"/>
      <c r="T1286" s="12" t="inlineStr"/>
      <c r="U1286" s="12" t="inlineStr"/>
      <c r="V1286" s="12" t="inlineStr">
        <is>
          <t>Cost Account = CA-6013; WBS Code = 1.6.1</t>
        </is>
      </c>
      <c r="W1286" s="12" t="inlineStr"/>
    </row>
    <row r="1287" ht="64" customHeight="1">
      <c r="A1287" s="12" t="inlineStr">
        <is>
          <t>1.6.1</t>
        </is>
      </c>
      <c r="B1287" s="12" t="inlineStr">
        <is>
          <t>Program Management - Program Controls</t>
        </is>
      </c>
      <c r="C1287" s="12" t="inlineStr">
        <is>
          <t>Cost &amp; Forecast Control Accounts</t>
        </is>
      </c>
      <c r="D1287" s="12" t="inlineStr">
        <is>
          <t>CST-06-015</t>
        </is>
      </c>
      <c r="E1287" s="12" t="inlineStr">
        <is>
          <t>Program Management - program controls - supply and install</t>
        </is>
      </c>
      <c r="F1287" s="12" t="inlineStr">
        <is>
          <t>ONE_TO_ONE</t>
        </is>
      </c>
      <c r="G1287" s="12" t="inlineStr">
        <is>
          <t>APPROVED</t>
        </is>
      </c>
      <c r="H1287" s="12" t="inlineStr">
        <is>
          <t>New</t>
        </is>
      </c>
      <c r="I1287" s="12" t="inlineStr">
        <is>
          <t>Source assignment -- not individually reviewed</t>
        </is>
      </c>
      <c r="J1287" s="12" t="inlineStr"/>
      <c r="K1287" s="12" t="inlineStr">
        <is>
          <t>Source assignment</t>
        </is>
      </c>
      <c r="L1287" s="12" t="inlineStr"/>
      <c r="M1287" s="12" t="inlineStr">
        <is>
          <t>Initial</t>
        </is>
      </c>
      <c r="N1287" s="12" t="inlineStr">
        <is>
          <t>Rev 0</t>
        </is>
      </c>
      <c r="O1287" s="12" t="inlineStr">
        <is>
          <t>R1497-v1</t>
        </is>
      </c>
      <c r="P1287" s="12" t="inlineStr"/>
      <c r="Q1287" s="12" t="inlineStr"/>
      <c r="R1287" s="12" t="inlineStr"/>
      <c r="S1287" s="12" t="inlineStr"/>
      <c r="T1287" s="12" t="inlineStr"/>
      <c r="U1287" s="12" t="inlineStr"/>
      <c r="V1287" s="12" t="inlineStr">
        <is>
          <t>Cost Account = CA-6015; WBS Code = 1.6.1</t>
        </is>
      </c>
      <c r="W1287" s="12" t="inlineStr"/>
    </row>
    <row r="1288" ht="64" customHeight="1">
      <c r="A1288" s="12" t="inlineStr">
        <is>
          <t>1.6.1</t>
        </is>
      </c>
      <c r="B1288" s="12" t="inlineStr">
        <is>
          <t>Program Management - Program Controls</t>
        </is>
      </c>
      <c r="C1288" s="12" t="inlineStr">
        <is>
          <t>Cost &amp; Forecast Control Accounts</t>
        </is>
      </c>
      <c r="D1288" s="12" t="inlineStr">
        <is>
          <t>CST-06-017</t>
        </is>
      </c>
      <c r="E1288" s="12" t="inlineStr">
        <is>
          <t>Program Management - stakeholder services - allowance</t>
        </is>
      </c>
      <c r="F1288" s="12" t="inlineStr">
        <is>
          <t>ONE_TO_ONE</t>
        </is>
      </c>
      <c r="G1288" s="12" t="inlineStr">
        <is>
          <t>APPROVED</t>
        </is>
      </c>
      <c r="H1288" s="12" t="inlineStr">
        <is>
          <t>New</t>
        </is>
      </c>
      <c r="I1288" s="12" t="inlineStr">
        <is>
          <t>Source assignment -- not individually reviewed</t>
        </is>
      </c>
      <c r="J1288" s="12" t="inlineStr"/>
      <c r="K1288" s="12" t="inlineStr">
        <is>
          <t>Source assignment</t>
        </is>
      </c>
      <c r="L1288" s="12" t="inlineStr"/>
      <c r="M1288" s="12" t="inlineStr">
        <is>
          <t>Initial</t>
        </is>
      </c>
      <c r="N1288" s="12" t="inlineStr">
        <is>
          <t>Rev 0</t>
        </is>
      </c>
      <c r="O1288" s="12" t="inlineStr">
        <is>
          <t>R1499-v1</t>
        </is>
      </c>
      <c r="P1288" s="12" t="inlineStr"/>
      <c r="Q1288" s="12" t="inlineStr"/>
      <c r="R1288" s="12" t="inlineStr"/>
      <c r="S1288" s="12" t="inlineStr"/>
      <c r="T1288" s="12" t="inlineStr"/>
      <c r="U1288" s="12" t="inlineStr"/>
      <c r="V1288" s="12" t="inlineStr">
        <is>
          <t>Cost Account = CA-6017; WBS Code = 1.6.1</t>
        </is>
      </c>
      <c r="W1288" s="12" t="inlineStr"/>
    </row>
    <row r="1289" ht="64" customHeight="1">
      <c r="A1289" s="12" t="inlineStr">
        <is>
          <t>1.6.1</t>
        </is>
      </c>
      <c r="B1289" s="12" t="inlineStr">
        <is>
          <t>Program Management - Program Controls</t>
        </is>
      </c>
      <c r="C1289" s="12" t="inlineStr">
        <is>
          <t>Cost &amp; Forecast Control Accounts</t>
        </is>
      </c>
      <c r="D1289" s="12" t="inlineStr">
        <is>
          <t>CST-06-019</t>
        </is>
      </c>
      <c r="E1289" s="12" t="inlineStr">
        <is>
          <t>Program Management - design integration - field package</t>
        </is>
      </c>
      <c r="F1289" s="12" t="inlineStr">
        <is>
          <t>ONE_TO_ONE</t>
        </is>
      </c>
      <c r="G1289" s="12" t="inlineStr">
        <is>
          <t>APPROVED</t>
        </is>
      </c>
      <c r="H1289" s="12" t="inlineStr">
        <is>
          <t>New</t>
        </is>
      </c>
      <c r="I1289" s="12" t="inlineStr">
        <is>
          <t>Source assignment -- not individually reviewed</t>
        </is>
      </c>
      <c r="J1289" s="12" t="inlineStr"/>
      <c r="K1289" s="12" t="inlineStr">
        <is>
          <t>Source assignment</t>
        </is>
      </c>
      <c r="L1289" s="12" t="inlineStr"/>
      <c r="M1289" s="12" t="inlineStr">
        <is>
          <t>Initial</t>
        </is>
      </c>
      <c r="N1289" s="12" t="inlineStr">
        <is>
          <t>Rev 0</t>
        </is>
      </c>
      <c r="O1289" s="12" t="inlineStr">
        <is>
          <t>R1501-v1</t>
        </is>
      </c>
      <c r="P1289" s="12" t="inlineStr"/>
      <c r="Q1289" s="12" t="inlineStr"/>
      <c r="R1289" s="12" t="inlineStr"/>
      <c r="S1289" s="12" t="inlineStr"/>
      <c r="T1289" s="12" t="inlineStr"/>
      <c r="U1289" s="12" t="inlineStr"/>
      <c r="V1289" s="12" t="inlineStr">
        <is>
          <t>Cost Account = CA-6019; WBS Code = 1.6.1</t>
        </is>
      </c>
      <c r="W1289" s="12" t="inlineStr"/>
    </row>
    <row r="1290" ht="64" customHeight="1">
      <c r="A1290" s="12" t="inlineStr">
        <is>
          <t>1.6.1</t>
        </is>
      </c>
      <c r="B1290" s="12" t="inlineStr">
        <is>
          <t>Program Management - Program Controls</t>
        </is>
      </c>
      <c r="C1290" s="12" t="inlineStr">
        <is>
          <t>Cost &amp; Forecast Control Accounts</t>
        </is>
      </c>
      <c r="D1290" s="12" t="inlineStr">
        <is>
          <t>CST-06-021</t>
        </is>
      </c>
      <c r="E1290" s="12" t="inlineStr">
        <is>
          <t>Program Management - program controls - professional services</t>
        </is>
      </c>
      <c r="F1290" s="12" t="inlineStr">
        <is>
          <t>ONE_TO_ONE</t>
        </is>
      </c>
      <c r="G1290" s="12" t="inlineStr">
        <is>
          <t>APPROVED</t>
        </is>
      </c>
      <c r="H1290" s="12" t="inlineStr">
        <is>
          <t>New</t>
        </is>
      </c>
      <c r="I1290" s="12" t="inlineStr">
        <is>
          <t>Source assignment -- not individually reviewed</t>
        </is>
      </c>
      <c r="J1290" s="12" t="inlineStr"/>
      <c r="K1290" s="12" t="inlineStr">
        <is>
          <t>Source assignment</t>
        </is>
      </c>
      <c r="L1290" s="12" t="inlineStr"/>
      <c r="M1290" s="12" t="inlineStr">
        <is>
          <t>Initial</t>
        </is>
      </c>
      <c r="N1290" s="12" t="inlineStr">
        <is>
          <t>Rev 0</t>
        </is>
      </c>
      <c r="O1290" s="12" t="inlineStr">
        <is>
          <t>R1503-v1</t>
        </is>
      </c>
      <c r="P1290" s="12" t="inlineStr"/>
      <c r="Q1290" s="12" t="inlineStr"/>
      <c r="R1290" s="12" t="inlineStr"/>
      <c r="S1290" s="12" t="inlineStr"/>
      <c r="T1290" s="12" t="inlineStr"/>
      <c r="U1290" s="12" t="inlineStr"/>
      <c r="V1290" s="12" t="inlineStr">
        <is>
          <t>Cost Account = CA-6021; WBS Code = 1.6.1</t>
        </is>
      </c>
      <c r="W1290" s="12" t="inlineStr"/>
    </row>
    <row r="1291" ht="64" customHeight="1">
      <c r="A1291" s="12" t="inlineStr">
        <is>
          <t>1.6.1</t>
        </is>
      </c>
      <c r="B1291" s="12" t="inlineStr">
        <is>
          <t>Program Management - Program Controls</t>
        </is>
      </c>
      <c r="C1291" s="12" t="inlineStr">
        <is>
          <t>Cost &amp; Forecast Control Accounts</t>
        </is>
      </c>
      <c r="D1291" s="12" t="inlineStr">
        <is>
          <t>CST-06-023</t>
        </is>
      </c>
      <c r="E1291" s="12" t="inlineStr">
        <is>
          <t>Program Management - stakeholder services - closeout</t>
        </is>
      </c>
      <c r="F1291" s="12" t="inlineStr">
        <is>
          <t>ONE_TO_ONE</t>
        </is>
      </c>
      <c r="G1291" s="12" t="inlineStr">
        <is>
          <t>APPROVED</t>
        </is>
      </c>
      <c r="H1291" s="12" t="inlineStr">
        <is>
          <t>New</t>
        </is>
      </c>
      <c r="I1291" s="12" t="inlineStr">
        <is>
          <t>Source assignment -- not individually reviewed</t>
        </is>
      </c>
      <c r="J1291" s="12" t="inlineStr"/>
      <c r="K1291" s="12" t="inlineStr">
        <is>
          <t>Source assignment</t>
        </is>
      </c>
      <c r="L1291" s="12" t="inlineStr"/>
      <c r="M1291" s="12" t="inlineStr">
        <is>
          <t>Initial</t>
        </is>
      </c>
      <c r="N1291" s="12" t="inlineStr">
        <is>
          <t>Rev 0</t>
        </is>
      </c>
      <c r="O1291" s="12" t="inlineStr">
        <is>
          <t>R1505-v1</t>
        </is>
      </c>
      <c r="P1291" s="12" t="inlineStr"/>
      <c r="Q1291" s="12" t="inlineStr"/>
      <c r="R1291" s="12" t="inlineStr"/>
      <c r="S1291" s="12" t="inlineStr"/>
      <c r="T1291" s="12" t="inlineStr"/>
      <c r="U1291" s="12" t="inlineStr"/>
      <c r="V1291" s="12" t="inlineStr">
        <is>
          <t>Cost Account = CA-6023; WBS Code = 1.6.1</t>
        </is>
      </c>
      <c r="W1291" s="12" t="inlineStr"/>
    </row>
    <row r="1292" ht="64" customHeight="1">
      <c r="A1292" s="12" t="inlineStr">
        <is>
          <t>1.6.1</t>
        </is>
      </c>
      <c r="B1292" s="12" t="inlineStr">
        <is>
          <t>Program Management - Program Controls</t>
        </is>
      </c>
      <c r="C1292" s="12" t="inlineStr">
        <is>
          <t>Cost &amp; Forecast Control Accounts</t>
        </is>
      </c>
      <c r="D1292" s="12" t="inlineStr">
        <is>
          <t>CST-06-025</t>
        </is>
      </c>
      <c r="E1292" s="12" t="inlineStr">
        <is>
          <t>Program Management - design integration - supply and install</t>
        </is>
      </c>
      <c r="F1292" s="12" t="inlineStr">
        <is>
          <t>ONE_TO_ONE</t>
        </is>
      </c>
      <c r="G1292" s="12" t="inlineStr">
        <is>
          <t>APPROVED</t>
        </is>
      </c>
      <c r="H1292" s="12" t="inlineStr">
        <is>
          <t>New</t>
        </is>
      </c>
      <c r="I1292" s="12" t="inlineStr">
        <is>
          <t>Source assignment -- not individually reviewed</t>
        </is>
      </c>
      <c r="J1292" s="12" t="inlineStr"/>
      <c r="K1292" s="12" t="inlineStr">
        <is>
          <t>Source assignment</t>
        </is>
      </c>
      <c r="L1292" s="12" t="inlineStr"/>
      <c r="M1292" s="12" t="inlineStr">
        <is>
          <t>Initial</t>
        </is>
      </c>
      <c r="N1292" s="12" t="inlineStr">
        <is>
          <t>Rev 0</t>
        </is>
      </c>
      <c r="O1292" s="12" t="inlineStr">
        <is>
          <t>R1507-v1</t>
        </is>
      </c>
      <c r="P1292" s="12" t="inlineStr"/>
      <c r="Q1292" s="12" t="inlineStr"/>
      <c r="R1292" s="12" t="inlineStr"/>
      <c r="S1292" s="12" t="inlineStr"/>
      <c r="T1292" s="12" t="inlineStr"/>
      <c r="U1292" s="12" t="inlineStr"/>
      <c r="V1292" s="12" t="inlineStr">
        <is>
          <t>Cost Account = CA-6025; WBS Code = 1.6.1</t>
        </is>
      </c>
      <c r="W1292" s="12" t="inlineStr"/>
    </row>
    <row r="1293" ht="64" customHeight="1">
      <c r="A1293" s="12" t="inlineStr">
        <is>
          <t>1.6.1</t>
        </is>
      </c>
      <c r="B1293" s="12" t="inlineStr">
        <is>
          <t>Program Management - Program Controls</t>
        </is>
      </c>
      <c r="C1293" s="12" t="inlineStr">
        <is>
          <t>Cost &amp; Forecast Control Accounts</t>
        </is>
      </c>
      <c r="D1293" s="12" t="inlineStr">
        <is>
          <t>CST-06-027</t>
        </is>
      </c>
      <c r="E1293" s="12" t="inlineStr">
        <is>
          <t>Program Management - program controls - allowance</t>
        </is>
      </c>
      <c r="F1293" s="12" t="inlineStr">
        <is>
          <t>ONE_TO_ONE</t>
        </is>
      </c>
      <c r="G1293" s="12" t="inlineStr">
        <is>
          <t>APPROVED</t>
        </is>
      </c>
      <c r="H1293" s="12" t="inlineStr">
        <is>
          <t>New</t>
        </is>
      </c>
      <c r="I1293" s="12" t="inlineStr">
        <is>
          <t>Source assignment -- not individually reviewed</t>
        </is>
      </c>
      <c r="J1293" s="12" t="inlineStr"/>
      <c r="K1293" s="12" t="inlineStr">
        <is>
          <t>Source assignment</t>
        </is>
      </c>
      <c r="L1293" s="12" t="inlineStr"/>
      <c r="M1293" s="12" t="inlineStr">
        <is>
          <t>Initial</t>
        </is>
      </c>
      <c r="N1293" s="12" t="inlineStr">
        <is>
          <t>Rev 0</t>
        </is>
      </c>
      <c r="O1293" s="12" t="inlineStr">
        <is>
          <t>R1509-v1</t>
        </is>
      </c>
      <c r="P1293" s="12" t="inlineStr"/>
      <c r="Q1293" s="12" t="inlineStr"/>
      <c r="R1293" s="12" t="inlineStr"/>
      <c r="S1293" s="12" t="inlineStr"/>
      <c r="T1293" s="12" t="inlineStr"/>
      <c r="U1293" s="12" t="inlineStr"/>
      <c r="V1293" s="12" t="inlineStr">
        <is>
          <t>Cost Account = CA-6027; WBS Code = 1.6.1</t>
        </is>
      </c>
      <c r="W1293" s="12" t="inlineStr"/>
    </row>
    <row r="1294" ht="64" customHeight="1">
      <c r="A1294" s="12" t="inlineStr">
        <is>
          <t>1.6.1</t>
        </is>
      </c>
      <c r="B1294" s="12" t="inlineStr">
        <is>
          <t>Program Management - Program Controls</t>
        </is>
      </c>
      <c r="C1294" s="12" t="inlineStr">
        <is>
          <t>Cost &amp; Forecast Control Accounts</t>
        </is>
      </c>
      <c r="D1294" s="12" t="inlineStr">
        <is>
          <t>CST-06-029</t>
        </is>
      </c>
      <c r="E1294" s="12" t="inlineStr">
        <is>
          <t>Program Management - stakeholder services - field package</t>
        </is>
      </c>
      <c r="F1294" s="12" t="inlineStr">
        <is>
          <t>ONE_TO_ONE</t>
        </is>
      </c>
      <c r="G1294" s="12" t="inlineStr">
        <is>
          <t>APPROVED</t>
        </is>
      </c>
      <c r="H1294" s="12" t="inlineStr">
        <is>
          <t>New</t>
        </is>
      </c>
      <c r="I1294" s="12" t="inlineStr">
        <is>
          <t>Source assignment -- not individually reviewed</t>
        </is>
      </c>
      <c r="J1294" s="12" t="inlineStr"/>
      <c r="K1294" s="12" t="inlineStr">
        <is>
          <t>Source assignment</t>
        </is>
      </c>
      <c r="L1294" s="12" t="inlineStr"/>
      <c r="M1294" s="12" t="inlineStr">
        <is>
          <t>Initial</t>
        </is>
      </c>
      <c r="N1294" s="12" t="inlineStr">
        <is>
          <t>Rev 0</t>
        </is>
      </c>
      <c r="O1294" s="12" t="inlineStr">
        <is>
          <t>R1511-v1</t>
        </is>
      </c>
      <c r="P1294" s="12" t="inlineStr"/>
      <c r="Q1294" s="12" t="inlineStr"/>
      <c r="R1294" s="12" t="inlineStr"/>
      <c r="S1294" s="12" t="inlineStr"/>
      <c r="T1294" s="12" t="inlineStr"/>
      <c r="U1294" s="12" t="inlineStr"/>
      <c r="V1294" s="12" t="inlineStr">
        <is>
          <t>Cost Account = CA-6029; WBS Code = 1.6.1</t>
        </is>
      </c>
      <c r="W1294" s="12" t="inlineStr"/>
    </row>
    <row r="1295" ht="64" customHeight="1">
      <c r="A1295" s="12" t="inlineStr">
        <is>
          <t>1.6.1</t>
        </is>
      </c>
      <c r="B1295" s="12" t="inlineStr">
        <is>
          <t>Program Management - Program Controls</t>
        </is>
      </c>
      <c r="C1295" s="12" t="inlineStr">
        <is>
          <t>Cost &amp; Forecast Control Accounts</t>
        </is>
      </c>
      <c r="D1295" s="12" t="inlineStr">
        <is>
          <t>CST-06-031</t>
        </is>
      </c>
      <c r="E1295" s="12" t="inlineStr">
        <is>
          <t>Program Management - design integration - professional services</t>
        </is>
      </c>
      <c r="F1295" s="12" t="inlineStr">
        <is>
          <t>ONE_TO_ONE</t>
        </is>
      </c>
      <c r="G1295" s="12" t="inlineStr">
        <is>
          <t>APPROVED</t>
        </is>
      </c>
      <c r="H1295" s="12" t="inlineStr">
        <is>
          <t>New</t>
        </is>
      </c>
      <c r="I1295" s="12" t="inlineStr">
        <is>
          <t>Source assignment -- not individually reviewed</t>
        </is>
      </c>
      <c r="J1295" s="12" t="inlineStr"/>
      <c r="K1295" s="12" t="inlineStr">
        <is>
          <t>Source assignment</t>
        </is>
      </c>
      <c r="L1295" s="12" t="inlineStr"/>
      <c r="M1295" s="12" t="inlineStr">
        <is>
          <t>Initial</t>
        </is>
      </c>
      <c r="N1295" s="12" t="inlineStr">
        <is>
          <t>Rev 0</t>
        </is>
      </c>
      <c r="O1295" s="12" t="inlineStr">
        <is>
          <t>R1513-v1</t>
        </is>
      </c>
      <c r="P1295" s="12" t="inlineStr"/>
      <c r="Q1295" s="12" t="inlineStr"/>
      <c r="R1295" s="12" t="inlineStr"/>
      <c r="S1295" s="12" t="inlineStr"/>
      <c r="T1295" s="12" t="inlineStr"/>
      <c r="U1295" s="12" t="inlineStr"/>
      <c r="V1295" s="12" t="inlineStr">
        <is>
          <t>Cost Account = CA-6031; WBS Code = 1.6.1</t>
        </is>
      </c>
      <c r="W1295" s="12" t="inlineStr"/>
    </row>
    <row r="1296" ht="64" customHeight="1">
      <c r="A1296" s="12" t="inlineStr">
        <is>
          <t>1.6.1</t>
        </is>
      </c>
      <c r="B1296" s="12" t="inlineStr">
        <is>
          <t>Program Management - Program Controls</t>
        </is>
      </c>
      <c r="C1296" s="12" t="inlineStr">
        <is>
          <t>Cost &amp; Forecast Control Accounts</t>
        </is>
      </c>
      <c r="D1296" s="12" t="inlineStr">
        <is>
          <t>CST-06-033</t>
        </is>
      </c>
      <c r="E1296" s="12" t="inlineStr">
        <is>
          <t>Program Management - program controls - closeout</t>
        </is>
      </c>
      <c r="F1296" s="12" t="inlineStr">
        <is>
          <t>ONE_TO_ONE</t>
        </is>
      </c>
      <c r="G1296" s="12" t="inlineStr">
        <is>
          <t>APPROVED</t>
        </is>
      </c>
      <c r="H1296" s="12" t="inlineStr">
        <is>
          <t>New</t>
        </is>
      </c>
      <c r="I1296" s="12" t="inlineStr">
        <is>
          <t>Source assignment -- not individually reviewed</t>
        </is>
      </c>
      <c r="J1296" s="12" t="inlineStr"/>
      <c r="K1296" s="12" t="inlineStr">
        <is>
          <t>Source assignment</t>
        </is>
      </c>
      <c r="L1296" s="12" t="inlineStr"/>
      <c r="M1296" s="12" t="inlineStr">
        <is>
          <t>Initial</t>
        </is>
      </c>
      <c r="N1296" s="12" t="inlineStr">
        <is>
          <t>Rev 0</t>
        </is>
      </c>
      <c r="O1296" s="12" t="inlineStr">
        <is>
          <t>R1515-v1</t>
        </is>
      </c>
      <c r="P1296" s="12" t="inlineStr"/>
      <c r="Q1296" s="12" t="inlineStr"/>
      <c r="R1296" s="12" t="inlineStr"/>
      <c r="S1296" s="12" t="inlineStr"/>
      <c r="T1296" s="12" t="inlineStr"/>
      <c r="U1296" s="12" t="inlineStr"/>
      <c r="V1296" s="12" t="inlineStr">
        <is>
          <t>Cost Account = CA-6033; WBS Code = 1.6.1</t>
        </is>
      </c>
      <c r="W1296" s="12" t="inlineStr"/>
    </row>
    <row r="1297" ht="64" customHeight="1">
      <c r="A1297" s="12" t="inlineStr">
        <is>
          <t>1.6.1</t>
        </is>
      </c>
      <c r="B1297" s="12" t="inlineStr">
        <is>
          <t>Program Management - Program Controls</t>
        </is>
      </c>
      <c r="C1297" s="12" t="inlineStr">
        <is>
          <t>Cost &amp; Forecast Control Accounts</t>
        </is>
      </c>
      <c r="D1297" s="12" t="inlineStr">
        <is>
          <t>CST-06-035</t>
        </is>
      </c>
      <c r="E1297" s="12" t="inlineStr">
        <is>
          <t>Program Management - stakeholder services - supply and install</t>
        </is>
      </c>
      <c r="F1297" s="12" t="inlineStr">
        <is>
          <t>ONE_TO_ONE</t>
        </is>
      </c>
      <c r="G1297" s="12" t="inlineStr">
        <is>
          <t>APPROVED</t>
        </is>
      </c>
      <c r="H1297" s="12" t="inlineStr">
        <is>
          <t>New</t>
        </is>
      </c>
      <c r="I1297" s="12" t="inlineStr">
        <is>
          <t>Source assignment -- not individually reviewed</t>
        </is>
      </c>
      <c r="J1297" s="12" t="inlineStr"/>
      <c r="K1297" s="12" t="inlineStr">
        <is>
          <t>Source assignment</t>
        </is>
      </c>
      <c r="L1297" s="12" t="inlineStr"/>
      <c r="M1297" s="12" t="inlineStr">
        <is>
          <t>Initial</t>
        </is>
      </c>
      <c r="N1297" s="12" t="inlineStr">
        <is>
          <t>Rev 0</t>
        </is>
      </c>
      <c r="O1297" s="12" t="inlineStr">
        <is>
          <t>R1517-v1</t>
        </is>
      </c>
      <c r="P1297" s="12" t="inlineStr"/>
      <c r="Q1297" s="12" t="inlineStr"/>
      <c r="R1297" s="12" t="inlineStr"/>
      <c r="S1297" s="12" t="inlineStr"/>
      <c r="T1297" s="12" t="inlineStr"/>
      <c r="U1297" s="12" t="inlineStr"/>
      <c r="V1297" s="12" t="inlineStr">
        <is>
          <t>Cost Account = CA-6035; WBS Code = 1.6.1</t>
        </is>
      </c>
      <c r="W1297" s="12" t="inlineStr"/>
    </row>
    <row r="1298" ht="64" customHeight="1">
      <c r="A1298" s="12" t="inlineStr">
        <is>
          <t>1.6.1</t>
        </is>
      </c>
      <c r="B1298" s="12" t="inlineStr">
        <is>
          <t>Program Management - Program Controls</t>
        </is>
      </c>
      <c r="C1298" s="12" t="inlineStr">
        <is>
          <t>Cost &amp; Forecast Control Accounts</t>
        </is>
      </c>
      <c r="D1298" s="12" t="inlineStr">
        <is>
          <t>CST-06-037</t>
        </is>
      </c>
      <c r="E1298" s="12" t="inlineStr">
        <is>
          <t>Program Management - design integration - allowance</t>
        </is>
      </c>
      <c r="F1298" s="12" t="inlineStr">
        <is>
          <t>ONE_TO_ONE</t>
        </is>
      </c>
      <c r="G1298" s="12" t="inlineStr">
        <is>
          <t>APPROVED</t>
        </is>
      </c>
      <c r="H1298" s="12" t="inlineStr">
        <is>
          <t>New</t>
        </is>
      </c>
      <c r="I1298" s="12" t="inlineStr">
        <is>
          <t>Source assignment -- not individually reviewed</t>
        </is>
      </c>
      <c r="J1298" s="12" t="inlineStr"/>
      <c r="K1298" s="12" t="inlineStr">
        <is>
          <t>Source assignment</t>
        </is>
      </c>
      <c r="L1298" s="12" t="inlineStr"/>
      <c r="M1298" s="12" t="inlineStr">
        <is>
          <t>Initial</t>
        </is>
      </c>
      <c r="N1298" s="12" t="inlineStr">
        <is>
          <t>Rev 0</t>
        </is>
      </c>
      <c r="O1298" s="12" t="inlineStr">
        <is>
          <t>R1519-v1</t>
        </is>
      </c>
      <c r="P1298" s="12" t="inlineStr"/>
      <c r="Q1298" s="12" t="inlineStr"/>
      <c r="R1298" s="12" t="inlineStr"/>
      <c r="S1298" s="12" t="inlineStr"/>
      <c r="T1298" s="12" t="inlineStr"/>
      <c r="U1298" s="12" t="inlineStr"/>
      <c r="V1298" s="12" t="inlineStr">
        <is>
          <t>Cost Account = CA-6037; WBS Code = 1.6.1</t>
        </is>
      </c>
      <c r="W1298" s="12" t="inlineStr"/>
    </row>
    <row r="1299" ht="64" customHeight="1">
      <c r="A1299" s="12" t="inlineStr">
        <is>
          <t>1.6.1</t>
        </is>
      </c>
      <c r="B1299" s="12" t="inlineStr">
        <is>
          <t>Program Management - Program Controls</t>
        </is>
      </c>
      <c r="C1299" s="12" t="inlineStr">
        <is>
          <t>Cost &amp; Forecast Control Accounts</t>
        </is>
      </c>
      <c r="D1299" s="12" t="inlineStr">
        <is>
          <t>CST-06-039</t>
        </is>
      </c>
      <c r="E1299" s="12" t="inlineStr">
        <is>
          <t>Program Management - program controls - field package</t>
        </is>
      </c>
      <c r="F1299" s="12" t="inlineStr">
        <is>
          <t>ONE_TO_ONE</t>
        </is>
      </c>
      <c r="G1299" s="12" t="inlineStr">
        <is>
          <t>APPROVED</t>
        </is>
      </c>
      <c r="H1299" s="12" t="inlineStr">
        <is>
          <t>New</t>
        </is>
      </c>
      <c r="I1299" s="12" t="inlineStr">
        <is>
          <t>Source assignment -- not individually reviewed</t>
        </is>
      </c>
      <c r="J1299" s="12" t="inlineStr"/>
      <c r="K1299" s="12" t="inlineStr">
        <is>
          <t>Source assignment</t>
        </is>
      </c>
      <c r="L1299" s="12" t="inlineStr"/>
      <c r="M1299" s="12" t="inlineStr">
        <is>
          <t>Initial</t>
        </is>
      </c>
      <c r="N1299" s="12" t="inlineStr">
        <is>
          <t>Rev 0</t>
        </is>
      </c>
      <c r="O1299" s="12" t="inlineStr">
        <is>
          <t>R1521-v1</t>
        </is>
      </c>
      <c r="P1299" s="12" t="inlineStr"/>
      <c r="Q1299" s="12" t="inlineStr"/>
      <c r="R1299" s="12" t="inlineStr"/>
      <c r="S1299" s="12" t="inlineStr"/>
      <c r="T1299" s="12" t="inlineStr"/>
      <c r="U1299" s="12" t="inlineStr"/>
      <c r="V1299" s="12" t="inlineStr">
        <is>
          <t>Cost Account = CA-6039; WBS Code = 1.6.1</t>
        </is>
      </c>
      <c r="W1299" s="12" t="inlineStr"/>
    </row>
    <row r="1300" ht="64" customHeight="1">
      <c r="A1300" s="12" t="inlineStr">
        <is>
          <t>1.6.1</t>
        </is>
      </c>
      <c r="B1300" s="12" t="inlineStr">
        <is>
          <t>Program Management - Program Controls</t>
        </is>
      </c>
      <c r="C1300" s="12" t="inlineStr">
        <is>
          <t>Cost &amp; Forecast Control Accounts</t>
        </is>
      </c>
      <c r="D1300" s="12" t="inlineStr">
        <is>
          <t>CST-06-041</t>
        </is>
      </c>
      <c r="E1300" s="12" t="inlineStr">
        <is>
          <t>Program Management - stakeholder services - professional services</t>
        </is>
      </c>
      <c r="F1300" s="12" t="inlineStr">
        <is>
          <t>ONE_TO_ONE</t>
        </is>
      </c>
      <c r="G1300" s="12" t="inlineStr">
        <is>
          <t>APPROVED</t>
        </is>
      </c>
      <c r="H1300" s="12" t="inlineStr">
        <is>
          <t>New</t>
        </is>
      </c>
      <c r="I1300" s="12" t="inlineStr">
        <is>
          <t>Source assignment -- not individually reviewed</t>
        </is>
      </c>
      <c r="J1300" s="12" t="inlineStr"/>
      <c r="K1300" s="12" t="inlineStr">
        <is>
          <t>Source assignment</t>
        </is>
      </c>
      <c r="L1300" s="12" t="inlineStr"/>
      <c r="M1300" s="12" t="inlineStr">
        <is>
          <t>Initial</t>
        </is>
      </c>
      <c r="N1300" s="12" t="inlineStr">
        <is>
          <t>Rev 0</t>
        </is>
      </c>
      <c r="O1300" s="12" t="inlineStr">
        <is>
          <t>R1523-v1</t>
        </is>
      </c>
      <c r="P1300" s="12" t="inlineStr"/>
      <c r="Q1300" s="12" t="inlineStr"/>
      <c r="R1300" s="12" t="inlineStr"/>
      <c r="S1300" s="12" t="inlineStr"/>
      <c r="T1300" s="12" t="inlineStr"/>
      <c r="U1300" s="12" t="inlineStr"/>
      <c r="V1300" s="12" t="inlineStr">
        <is>
          <t>Cost Account = CA-6041; WBS Code = 1.6.1</t>
        </is>
      </c>
      <c r="W1300" s="12" t="inlineStr"/>
    </row>
    <row r="1301" ht="64" customHeight="1">
      <c r="A1301" s="12" t="inlineStr">
        <is>
          <t>1.6.1</t>
        </is>
      </c>
      <c r="B1301" s="12" t="inlineStr">
        <is>
          <t>Program Management - Program Controls</t>
        </is>
      </c>
      <c r="C1301" s="12" t="inlineStr">
        <is>
          <t>Cost &amp; Forecast Control Accounts</t>
        </is>
      </c>
      <c r="D1301" s="12" t="inlineStr">
        <is>
          <t>CST-06-043</t>
        </is>
      </c>
      <c r="E1301" s="12" t="inlineStr">
        <is>
          <t>Program Management - design integration - closeout</t>
        </is>
      </c>
      <c r="F1301" s="12" t="inlineStr">
        <is>
          <t>ONE_TO_ONE</t>
        </is>
      </c>
      <c r="G1301" s="12" t="inlineStr">
        <is>
          <t>APPROVED</t>
        </is>
      </c>
      <c r="H1301" s="12" t="inlineStr">
        <is>
          <t>New</t>
        </is>
      </c>
      <c r="I1301" s="12" t="inlineStr">
        <is>
          <t>Source assignment -- not individually reviewed</t>
        </is>
      </c>
      <c r="J1301" s="12" t="inlineStr"/>
      <c r="K1301" s="12" t="inlineStr">
        <is>
          <t>Source assignment</t>
        </is>
      </c>
      <c r="L1301" s="12" t="inlineStr"/>
      <c r="M1301" s="12" t="inlineStr">
        <is>
          <t>Initial</t>
        </is>
      </c>
      <c r="N1301" s="12" t="inlineStr">
        <is>
          <t>Rev 0</t>
        </is>
      </c>
      <c r="O1301" s="12" t="inlineStr">
        <is>
          <t>R1525-v1</t>
        </is>
      </c>
      <c r="P1301" s="12" t="inlineStr"/>
      <c r="Q1301" s="12" t="inlineStr"/>
      <c r="R1301" s="12" t="inlineStr"/>
      <c r="S1301" s="12" t="inlineStr"/>
      <c r="T1301" s="12" t="inlineStr"/>
      <c r="U1301" s="12" t="inlineStr"/>
      <c r="V1301" s="12" t="inlineStr">
        <is>
          <t>Cost Account = CA-6043; WBS Code = 1.6.1</t>
        </is>
      </c>
      <c r="W1301" s="12" t="inlineStr"/>
    </row>
    <row r="1302" ht="64" customHeight="1">
      <c r="A1302" s="12" t="inlineStr">
        <is>
          <t>1.6.1</t>
        </is>
      </c>
      <c r="B1302" s="12" t="inlineStr">
        <is>
          <t>Program Management - Program Controls</t>
        </is>
      </c>
      <c r="C1302" s="12" t="inlineStr">
        <is>
          <t>Cost &amp; Forecast Control Accounts</t>
        </is>
      </c>
      <c r="D1302" s="12" t="inlineStr">
        <is>
          <t>CST-06-045</t>
        </is>
      </c>
      <c r="E1302" s="12" t="inlineStr">
        <is>
          <t>Program Management - program controls - supply and install</t>
        </is>
      </c>
      <c r="F1302" s="12" t="inlineStr">
        <is>
          <t>ONE_TO_ONE</t>
        </is>
      </c>
      <c r="G1302" s="12" t="inlineStr">
        <is>
          <t>APPROVED</t>
        </is>
      </c>
      <c r="H1302" s="12" t="inlineStr">
        <is>
          <t>New</t>
        </is>
      </c>
      <c r="I1302" s="12" t="inlineStr">
        <is>
          <t>Source assignment -- not individually reviewed</t>
        </is>
      </c>
      <c r="J1302" s="12" t="inlineStr"/>
      <c r="K1302" s="12" t="inlineStr">
        <is>
          <t>Source assignment</t>
        </is>
      </c>
      <c r="L1302" s="12" t="inlineStr"/>
      <c r="M1302" s="12" t="inlineStr">
        <is>
          <t>Initial</t>
        </is>
      </c>
      <c r="N1302" s="12" t="inlineStr">
        <is>
          <t>Rev 0</t>
        </is>
      </c>
      <c r="O1302" s="12" t="inlineStr">
        <is>
          <t>R1527-v1</t>
        </is>
      </c>
      <c r="P1302" s="12" t="inlineStr"/>
      <c r="Q1302" s="12" t="inlineStr"/>
      <c r="R1302" s="12" t="inlineStr"/>
      <c r="S1302" s="12" t="inlineStr"/>
      <c r="T1302" s="12" t="inlineStr"/>
      <c r="U1302" s="12" t="inlineStr"/>
      <c r="V1302" s="12" t="inlineStr">
        <is>
          <t>Cost Account = CA-6045; WBS Code = 1.6.1</t>
        </is>
      </c>
      <c r="W1302" s="12" t="inlineStr"/>
    </row>
    <row r="1303" ht="64" customHeight="1">
      <c r="A1303" s="12" t="inlineStr">
        <is>
          <t>1.6.1</t>
        </is>
      </c>
      <c r="B1303" s="12" t="inlineStr">
        <is>
          <t>Program Management - Program Controls</t>
        </is>
      </c>
      <c r="C1303" s="12" t="inlineStr">
        <is>
          <t>Cost &amp; Forecast Control Accounts</t>
        </is>
      </c>
      <c r="D1303" s="12" t="inlineStr">
        <is>
          <t>CST-06-047</t>
        </is>
      </c>
      <c r="E1303" s="12" t="inlineStr">
        <is>
          <t>Program Management - stakeholder services - allowance</t>
        </is>
      </c>
      <c r="F1303" s="12" t="inlineStr">
        <is>
          <t>ONE_TO_ONE</t>
        </is>
      </c>
      <c r="G1303" s="12" t="inlineStr">
        <is>
          <t>APPROVED</t>
        </is>
      </c>
      <c r="H1303" s="12" t="inlineStr">
        <is>
          <t>New</t>
        </is>
      </c>
      <c r="I1303" s="12" t="inlineStr">
        <is>
          <t>Source assignment -- not individually reviewed</t>
        </is>
      </c>
      <c r="J1303" s="12" t="inlineStr"/>
      <c r="K1303" s="12" t="inlineStr">
        <is>
          <t>Source assignment</t>
        </is>
      </c>
      <c r="L1303" s="12" t="inlineStr"/>
      <c r="M1303" s="12" t="inlineStr">
        <is>
          <t>Initial</t>
        </is>
      </c>
      <c r="N1303" s="12" t="inlineStr">
        <is>
          <t>Rev 0</t>
        </is>
      </c>
      <c r="O1303" s="12" t="inlineStr">
        <is>
          <t>R1529-v1</t>
        </is>
      </c>
      <c r="P1303" s="12" t="inlineStr"/>
      <c r="Q1303" s="12" t="inlineStr"/>
      <c r="R1303" s="12" t="inlineStr"/>
      <c r="S1303" s="12" t="inlineStr"/>
      <c r="T1303" s="12" t="inlineStr"/>
      <c r="U1303" s="12" t="inlineStr"/>
      <c r="V1303" s="12" t="inlineStr">
        <is>
          <t>Cost Account = CA-6047; WBS Code = 1.6.1</t>
        </is>
      </c>
      <c r="W1303" s="12" t="inlineStr"/>
    </row>
    <row r="1304" ht="64" customHeight="1">
      <c r="A1304" s="12" t="inlineStr">
        <is>
          <t>1.6.1</t>
        </is>
      </c>
      <c r="B1304" s="12" t="inlineStr">
        <is>
          <t>Program Management - Program Controls</t>
        </is>
      </c>
      <c r="C1304" s="12" t="inlineStr">
        <is>
          <t>Cost &amp; Forecast Control Accounts</t>
        </is>
      </c>
      <c r="D1304" s="12" t="inlineStr">
        <is>
          <t>CST-06-049</t>
        </is>
      </c>
      <c r="E1304" s="12" t="inlineStr">
        <is>
          <t>Program Management - design integration - field package</t>
        </is>
      </c>
      <c r="F1304" s="12" t="inlineStr">
        <is>
          <t>ONE_TO_ONE</t>
        </is>
      </c>
      <c r="G1304" s="12" t="inlineStr">
        <is>
          <t>APPROVED</t>
        </is>
      </c>
      <c r="H1304" s="12" t="inlineStr">
        <is>
          <t>New</t>
        </is>
      </c>
      <c r="I1304" s="12" t="inlineStr">
        <is>
          <t>Source assignment -- not individually reviewed</t>
        </is>
      </c>
      <c r="J1304" s="12" t="inlineStr"/>
      <c r="K1304" s="12" t="inlineStr">
        <is>
          <t>Source assignment</t>
        </is>
      </c>
      <c r="L1304" s="12" t="inlineStr"/>
      <c r="M1304" s="12" t="inlineStr">
        <is>
          <t>Initial</t>
        </is>
      </c>
      <c r="N1304" s="12" t="inlineStr">
        <is>
          <t>Rev 0</t>
        </is>
      </c>
      <c r="O1304" s="12" t="inlineStr">
        <is>
          <t>R1531-v1</t>
        </is>
      </c>
      <c r="P1304" s="12" t="inlineStr"/>
      <c r="Q1304" s="12" t="inlineStr"/>
      <c r="R1304" s="12" t="inlineStr"/>
      <c r="S1304" s="12" t="inlineStr"/>
      <c r="T1304" s="12" t="inlineStr"/>
      <c r="U1304" s="12" t="inlineStr"/>
      <c r="V1304" s="12" t="inlineStr">
        <is>
          <t>Cost Account = CA-6049; WBS Code = 1.6.1</t>
        </is>
      </c>
      <c r="W1304" s="12" t="inlineStr"/>
    </row>
    <row r="1305" ht="64" customHeight="1">
      <c r="A1305" s="12" t="inlineStr">
        <is>
          <t>1.6.1</t>
        </is>
      </c>
      <c r="B1305" s="12" t="inlineStr">
        <is>
          <t>Program Management - Program Controls</t>
        </is>
      </c>
      <c r="C1305" s="12" t="inlineStr">
        <is>
          <t>Cost &amp; Forecast Control Accounts</t>
        </is>
      </c>
      <c r="D1305" s="12" t="inlineStr">
        <is>
          <t>CST-06-051</t>
        </is>
      </c>
      <c r="E1305" s="12" t="inlineStr">
        <is>
          <t>Program Management - program controls - professional services</t>
        </is>
      </c>
      <c r="F1305" s="12" t="inlineStr">
        <is>
          <t>ONE_TO_ONE</t>
        </is>
      </c>
      <c r="G1305" s="12" t="inlineStr">
        <is>
          <t>APPROVED</t>
        </is>
      </c>
      <c r="H1305" s="12" t="inlineStr">
        <is>
          <t>New</t>
        </is>
      </c>
      <c r="I1305" s="12" t="inlineStr">
        <is>
          <t>Source assignment -- not individually reviewed</t>
        </is>
      </c>
      <c r="J1305" s="12" t="inlineStr"/>
      <c r="K1305" s="12" t="inlineStr">
        <is>
          <t>Source assignment</t>
        </is>
      </c>
      <c r="L1305" s="12" t="inlineStr"/>
      <c r="M1305" s="12" t="inlineStr">
        <is>
          <t>Initial</t>
        </is>
      </c>
      <c r="N1305" s="12" t="inlineStr">
        <is>
          <t>Rev 0</t>
        </is>
      </c>
      <c r="O1305" s="12" t="inlineStr">
        <is>
          <t>R1533-v1</t>
        </is>
      </c>
      <c r="P1305" s="12" t="inlineStr"/>
      <c r="Q1305" s="12" t="inlineStr"/>
      <c r="R1305" s="12" t="inlineStr"/>
      <c r="S1305" s="12" t="inlineStr"/>
      <c r="T1305" s="12" t="inlineStr"/>
      <c r="U1305" s="12" t="inlineStr"/>
      <c r="V1305" s="12" t="inlineStr">
        <is>
          <t>Cost Account = CA-6051; WBS Code = 1.6.1</t>
        </is>
      </c>
      <c r="W1305" s="12" t="inlineStr"/>
    </row>
    <row r="1306" ht="64" customHeight="1">
      <c r="A1306" s="12" t="inlineStr">
        <is>
          <t>1.6.1</t>
        </is>
      </c>
      <c r="B1306" s="12" t="inlineStr">
        <is>
          <t>Program Management - Program Controls</t>
        </is>
      </c>
      <c r="C1306" s="12" t="inlineStr">
        <is>
          <t>Cost &amp; Forecast Control Accounts</t>
        </is>
      </c>
      <c r="D1306" s="12" t="inlineStr">
        <is>
          <t>CST-06-053</t>
        </is>
      </c>
      <c r="E1306" s="12" t="inlineStr">
        <is>
          <t>Program Management - stakeholder services - closeout</t>
        </is>
      </c>
      <c r="F1306" s="12" t="inlineStr">
        <is>
          <t>ONE_TO_ONE</t>
        </is>
      </c>
      <c r="G1306" s="12" t="inlineStr">
        <is>
          <t>APPROVED</t>
        </is>
      </c>
      <c r="H1306" s="12" t="inlineStr">
        <is>
          <t>New</t>
        </is>
      </c>
      <c r="I1306" s="12" t="inlineStr">
        <is>
          <t>Source assignment -- not individually reviewed</t>
        </is>
      </c>
      <c r="J1306" s="12" t="inlineStr"/>
      <c r="K1306" s="12" t="inlineStr">
        <is>
          <t>Source assignment</t>
        </is>
      </c>
      <c r="L1306" s="12" t="inlineStr"/>
      <c r="M1306" s="12" t="inlineStr">
        <is>
          <t>Initial</t>
        </is>
      </c>
      <c r="N1306" s="12" t="inlineStr">
        <is>
          <t>Rev 0</t>
        </is>
      </c>
      <c r="O1306" s="12" t="inlineStr">
        <is>
          <t>R1535-v1</t>
        </is>
      </c>
      <c r="P1306" s="12" t="inlineStr"/>
      <c r="Q1306" s="12" t="inlineStr"/>
      <c r="R1306" s="12" t="inlineStr"/>
      <c r="S1306" s="12" t="inlineStr"/>
      <c r="T1306" s="12" t="inlineStr"/>
      <c r="U1306" s="12" t="inlineStr"/>
      <c r="V1306" s="12" t="inlineStr">
        <is>
          <t>Cost Account = CA-6053; WBS Code = 1.6.1</t>
        </is>
      </c>
      <c r="W1306" s="12" t="inlineStr"/>
    </row>
    <row r="1307" ht="64" customHeight="1">
      <c r="A1307" s="12" t="inlineStr">
        <is>
          <t>1.6.1</t>
        </is>
      </c>
      <c r="B1307" s="12" t="inlineStr">
        <is>
          <t>Program Management - Program Controls</t>
        </is>
      </c>
      <c r="C1307" s="12" t="inlineStr">
        <is>
          <t>Cost &amp; Forecast Control Accounts</t>
        </is>
      </c>
      <c r="D1307" s="12" t="inlineStr">
        <is>
          <t>CST-06-055</t>
        </is>
      </c>
      <c r="E1307" s="12" t="inlineStr">
        <is>
          <t>Program Management - design integration - supply and install</t>
        </is>
      </c>
      <c r="F1307" s="12" t="inlineStr">
        <is>
          <t>ONE_TO_ONE</t>
        </is>
      </c>
      <c r="G1307" s="12" t="inlineStr">
        <is>
          <t>APPROVED</t>
        </is>
      </c>
      <c r="H1307" s="12" t="inlineStr">
        <is>
          <t>New</t>
        </is>
      </c>
      <c r="I1307" s="12" t="inlineStr">
        <is>
          <t>Source assignment -- not individually reviewed</t>
        </is>
      </c>
      <c r="J1307" s="12" t="inlineStr"/>
      <c r="K1307" s="12" t="inlineStr">
        <is>
          <t>Source assignment</t>
        </is>
      </c>
      <c r="L1307" s="12" t="inlineStr"/>
      <c r="M1307" s="12" t="inlineStr">
        <is>
          <t>Initial</t>
        </is>
      </c>
      <c r="N1307" s="12" t="inlineStr">
        <is>
          <t>Rev 0</t>
        </is>
      </c>
      <c r="O1307" s="12" t="inlineStr">
        <is>
          <t>R1537-v1</t>
        </is>
      </c>
      <c r="P1307" s="12" t="inlineStr"/>
      <c r="Q1307" s="12" t="inlineStr"/>
      <c r="R1307" s="12" t="inlineStr"/>
      <c r="S1307" s="12" t="inlineStr"/>
      <c r="T1307" s="12" t="inlineStr"/>
      <c r="U1307" s="12" t="inlineStr"/>
      <c r="V1307" s="12" t="inlineStr">
        <is>
          <t>Cost Account = CA-6055; WBS Code = 1.6.1</t>
        </is>
      </c>
      <c r="W1307" s="12" t="inlineStr"/>
    </row>
    <row r="1308" ht="64" customHeight="1">
      <c r="A1308" s="12" t="inlineStr">
        <is>
          <t>1.6.1</t>
        </is>
      </c>
      <c r="B1308" s="12" t="inlineStr">
        <is>
          <t>Program Management - Program Controls</t>
        </is>
      </c>
      <c r="C1308" s="12" t="inlineStr">
        <is>
          <t>Cost &amp; Forecast Control Accounts</t>
        </is>
      </c>
      <c r="D1308" s="12" t="inlineStr">
        <is>
          <t>CST-06-057</t>
        </is>
      </c>
      <c r="E1308" s="12" t="inlineStr">
        <is>
          <t>Program Management - program controls - allowance</t>
        </is>
      </c>
      <c r="F1308" s="12" t="inlineStr">
        <is>
          <t>ONE_TO_ONE</t>
        </is>
      </c>
      <c r="G1308" s="12" t="inlineStr">
        <is>
          <t>APPROVED</t>
        </is>
      </c>
      <c r="H1308" s="12" t="inlineStr">
        <is>
          <t>New</t>
        </is>
      </c>
      <c r="I1308" s="12" t="inlineStr">
        <is>
          <t>Source assignment -- not individually reviewed</t>
        </is>
      </c>
      <c r="J1308" s="12" t="inlineStr"/>
      <c r="K1308" s="12" t="inlineStr">
        <is>
          <t>Source assignment</t>
        </is>
      </c>
      <c r="L1308" s="12" t="inlineStr"/>
      <c r="M1308" s="12" t="inlineStr">
        <is>
          <t>Initial</t>
        </is>
      </c>
      <c r="N1308" s="12" t="inlineStr">
        <is>
          <t>Rev 0</t>
        </is>
      </c>
      <c r="O1308" s="12" t="inlineStr">
        <is>
          <t>R1539-v1</t>
        </is>
      </c>
      <c r="P1308" s="12" t="inlineStr"/>
      <c r="Q1308" s="12" t="inlineStr"/>
      <c r="R1308" s="12" t="inlineStr"/>
      <c r="S1308" s="12" t="inlineStr"/>
      <c r="T1308" s="12" t="inlineStr"/>
      <c r="U1308" s="12" t="inlineStr"/>
      <c r="V1308" s="12" t="inlineStr">
        <is>
          <t>Cost Account = CA-6057; WBS Code = 1.6.1</t>
        </is>
      </c>
      <c r="W1308" s="12" t="inlineStr"/>
    </row>
    <row r="1309" ht="64" customHeight="1">
      <c r="A1309" s="12" t="inlineStr">
        <is>
          <t>1.6.1</t>
        </is>
      </c>
      <c r="B1309" s="12" t="inlineStr">
        <is>
          <t>Program Management - Program Controls</t>
        </is>
      </c>
      <c r="C1309" s="12" t="inlineStr">
        <is>
          <t>Cost &amp; Forecast Control Accounts</t>
        </is>
      </c>
      <c r="D1309" s="12" t="inlineStr">
        <is>
          <t>CST-06-059</t>
        </is>
      </c>
      <c r="E1309" s="12" t="inlineStr">
        <is>
          <t>Program Management - stakeholder services - field package</t>
        </is>
      </c>
      <c r="F1309" s="12" t="inlineStr">
        <is>
          <t>ONE_TO_ONE</t>
        </is>
      </c>
      <c r="G1309" s="12" t="inlineStr">
        <is>
          <t>APPROVED</t>
        </is>
      </c>
      <c r="H1309" s="12" t="inlineStr">
        <is>
          <t>New</t>
        </is>
      </c>
      <c r="I1309" s="12" t="inlineStr">
        <is>
          <t>Source assignment -- not individually reviewed</t>
        </is>
      </c>
      <c r="J1309" s="12" t="inlineStr"/>
      <c r="K1309" s="12" t="inlineStr">
        <is>
          <t>Source assignment</t>
        </is>
      </c>
      <c r="L1309" s="12" t="inlineStr"/>
      <c r="M1309" s="12" t="inlineStr">
        <is>
          <t>Initial</t>
        </is>
      </c>
      <c r="N1309" s="12" t="inlineStr">
        <is>
          <t>Rev 0</t>
        </is>
      </c>
      <c r="O1309" s="12" t="inlineStr">
        <is>
          <t>R1541-v1</t>
        </is>
      </c>
      <c r="P1309" s="12" t="inlineStr"/>
      <c r="Q1309" s="12" t="inlineStr"/>
      <c r="R1309" s="12" t="inlineStr"/>
      <c r="S1309" s="12" t="inlineStr"/>
      <c r="T1309" s="12" t="inlineStr"/>
      <c r="U1309" s="12" t="inlineStr"/>
      <c r="V1309" s="12" t="inlineStr">
        <is>
          <t>Cost Account = CA-6059; WBS Code = 1.6.1</t>
        </is>
      </c>
      <c r="W1309" s="12" t="inlineStr"/>
    </row>
    <row r="1310" ht="64" customHeight="1">
      <c r="A1310" s="12" t="inlineStr">
        <is>
          <t>1.6.1</t>
        </is>
      </c>
      <c r="B1310" s="12" t="inlineStr">
        <is>
          <t>Program Management - Program Controls</t>
        </is>
      </c>
      <c r="C1310" s="12" t="inlineStr">
        <is>
          <t>Cost &amp; Forecast Control Accounts</t>
        </is>
      </c>
      <c r="D1310" s="12" t="inlineStr">
        <is>
          <t>CST-06-061</t>
        </is>
      </c>
      <c r="E1310" s="12" t="inlineStr">
        <is>
          <t>Program Management - design integration - professional services</t>
        </is>
      </c>
      <c r="F1310" s="12" t="inlineStr">
        <is>
          <t>ONE_TO_ONE</t>
        </is>
      </c>
      <c r="G1310" s="12" t="inlineStr">
        <is>
          <t>APPROVED</t>
        </is>
      </c>
      <c r="H1310" s="12" t="inlineStr">
        <is>
          <t>New</t>
        </is>
      </c>
      <c r="I1310" s="12" t="inlineStr">
        <is>
          <t>Source assignment -- not individually reviewed</t>
        </is>
      </c>
      <c r="J1310" s="12" t="inlineStr"/>
      <c r="K1310" s="12" t="inlineStr">
        <is>
          <t>Source assignment</t>
        </is>
      </c>
      <c r="L1310" s="12" t="inlineStr"/>
      <c r="M1310" s="12" t="inlineStr">
        <is>
          <t>Initial</t>
        </is>
      </c>
      <c r="N1310" s="12" t="inlineStr">
        <is>
          <t>Rev 0</t>
        </is>
      </c>
      <c r="O1310" s="12" t="inlineStr">
        <is>
          <t>R1543-v1</t>
        </is>
      </c>
      <c r="P1310" s="12" t="inlineStr"/>
      <c r="Q1310" s="12" t="inlineStr"/>
      <c r="R1310" s="12" t="inlineStr"/>
      <c r="S1310" s="12" t="inlineStr"/>
      <c r="T1310" s="12" t="inlineStr"/>
      <c r="U1310" s="12" t="inlineStr"/>
      <c r="V1310" s="12" t="inlineStr">
        <is>
          <t>Cost Account = CA-6061; WBS Code = 1.6.1</t>
        </is>
      </c>
      <c r="W1310" s="12" t="inlineStr"/>
    </row>
    <row r="1311" ht="64" customHeight="1">
      <c r="A1311" s="12" t="inlineStr">
        <is>
          <t>1.6.1</t>
        </is>
      </c>
      <c r="B1311" s="12" t="inlineStr">
        <is>
          <t>Program Management - Program Controls</t>
        </is>
      </c>
      <c r="C1311" s="12" t="inlineStr">
        <is>
          <t>Cost &amp; Forecast Control Accounts</t>
        </is>
      </c>
      <c r="D1311" s="12" t="inlineStr">
        <is>
          <t>CST-06-063</t>
        </is>
      </c>
      <c r="E1311" s="12" t="inlineStr">
        <is>
          <t>Program Management - program controls - closeout</t>
        </is>
      </c>
      <c r="F1311" s="12" t="inlineStr">
        <is>
          <t>ONE_TO_ONE</t>
        </is>
      </c>
      <c r="G1311" s="12" t="inlineStr">
        <is>
          <t>APPROVED</t>
        </is>
      </c>
      <c r="H1311" s="12" t="inlineStr">
        <is>
          <t>New</t>
        </is>
      </c>
      <c r="I1311" s="12" t="inlineStr">
        <is>
          <t>Source assignment -- not individually reviewed</t>
        </is>
      </c>
      <c r="J1311" s="12" t="inlineStr"/>
      <c r="K1311" s="12" t="inlineStr">
        <is>
          <t>Source assignment</t>
        </is>
      </c>
      <c r="L1311" s="12" t="inlineStr"/>
      <c r="M1311" s="12" t="inlineStr">
        <is>
          <t>Initial</t>
        </is>
      </c>
      <c r="N1311" s="12" t="inlineStr">
        <is>
          <t>Rev 0</t>
        </is>
      </c>
      <c r="O1311" s="12" t="inlineStr">
        <is>
          <t>R1545-v1</t>
        </is>
      </c>
      <c r="P1311" s="12" t="inlineStr"/>
      <c r="Q1311" s="12" t="inlineStr"/>
      <c r="R1311" s="12" t="inlineStr"/>
      <c r="S1311" s="12" t="inlineStr"/>
      <c r="T1311" s="12" t="inlineStr"/>
      <c r="U1311" s="12" t="inlineStr"/>
      <c r="V1311" s="12" t="inlineStr">
        <is>
          <t>Cost Account = CA-6063; WBS Code = 1.6.1</t>
        </is>
      </c>
      <c r="W1311" s="12" t="inlineStr"/>
    </row>
    <row r="1312" ht="64" customHeight="1">
      <c r="A1312" s="12" t="inlineStr">
        <is>
          <t>1.6.1</t>
        </is>
      </c>
      <c r="B1312" s="12" t="inlineStr">
        <is>
          <t>Program Management - Program Controls</t>
        </is>
      </c>
      <c r="C1312" s="12" t="inlineStr">
        <is>
          <t>Cost &amp; Forecast Control Accounts</t>
        </is>
      </c>
      <c r="D1312" s="12" t="inlineStr">
        <is>
          <t>CST-06-065</t>
        </is>
      </c>
      <c r="E1312" s="12" t="inlineStr">
        <is>
          <t>Program Management - stakeholder services - supply and install</t>
        </is>
      </c>
      <c r="F1312" s="12" t="inlineStr">
        <is>
          <t>ONE_TO_ONE</t>
        </is>
      </c>
      <c r="G1312" s="12" t="inlineStr">
        <is>
          <t>APPROVED</t>
        </is>
      </c>
      <c r="H1312" s="12" t="inlineStr">
        <is>
          <t>New</t>
        </is>
      </c>
      <c r="I1312" s="12" t="inlineStr">
        <is>
          <t>Source assignment -- not individually reviewed</t>
        </is>
      </c>
      <c r="J1312" s="12" t="inlineStr"/>
      <c r="K1312" s="12" t="inlineStr">
        <is>
          <t>Source assignment</t>
        </is>
      </c>
      <c r="L1312" s="12" t="inlineStr"/>
      <c r="M1312" s="12" t="inlineStr">
        <is>
          <t>Initial</t>
        </is>
      </c>
      <c r="N1312" s="12" t="inlineStr">
        <is>
          <t>Rev 0</t>
        </is>
      </c>
      <c r="O1312" s="12" t="inlineStr">
        <is>
          <t>R1547-v1</t>
        </is>
      </c>
      <c r="P1312" s="12" t="inlineStr"/>
      <c r="Q1312" s="12" t="inlineStr"/>
      <c r="R1312" s="12" t="inlineStr"/>
      <c r="S1312" s="12" t="inlineStr"/>
      <c r="T1312" s="12" t="inlineStr"/>
      <c r="U1312" s="12" t="inlineStr"/>
      <c r="V1312" s="12" t="inlineStr">
        <is>
          <t>Cost Account = CA-6065; WBS Code = 1.6.1</t>
        </is>
      </c>
      <c r="W1312" s="12" t="inlineStr"/>
    </row>
    <row r="1313" ht="64" customHeight="1">
      <c r="A1313" s="12" t="inlineStr">
        <is>
          <t>1.6.1</t>
        </is>
      </c>
      <c r="B1313" s="12" t="inlineStr">
        <is>
          <t>Program Management - Program Controls</t>
        </is>
      </c>
      <c r="C1313" s="12" t="inlineStr">
        <is>
          <t>Cost &amp; Forecast Control Accounts</t>
        </is>
      </c>
      <c r="D1313" s="12" t="inlineStr">
        <is>
          <t>CST-06-067</t>
        </is>
      </c>
      <c r="E1313" s="12" t="inlineStr">
        <is>
          <t>Program Management - design integration - allowance</t>
        </is>
      </c>
      <c r="F1313" s="12" t="inlineStr">
        <is>
          <t>ONE_TO_ONE</t>
        </is>
      </c>
      <c r="G1313" s="12" t="inlineStr">
        <is>
          <t>APPROVED</t>
        </is>
      </c>
      <c r="H1313" s="12" t="inlineStr">
        <is>
          <t>New</t>
        </is>
      </c>
      <c r="I1313" s="12" t="inlineStr">
        <is>
          <t>Source assignment -- not individually reviewed</t>
        </is>
      </c>
      <c r="J1313" s="12" t="inlineStr"/>
      <c r="K1313" s="12" t="inlineStr">
        <is>
          <t>Source assignment</t>
        </is>
      </c>
      <c r="L1313" s="12" t="inlineStr"/>
      <c r="M1313" s="12" t="inlineStr">
        <is>
          <t>Initial</t>
        </is>
      </c>
      <c r="N1313" s="12" t="inlineStr">
        <is>
          <t>Rev 0</t>
        </is>
      </c>
      <c r="O1313" s="12" t="inlineStr">
        <is>
          <t>R1549-v1</t>
        </is>
      </c>
      <c r="P1313" s="12" t="inlineStr"/>
      <c r="Q1313" s="12" t="inlineStr"/>
      <c r="R1313" s="12" t="inlineStr"/>
      <c r="S1313" s="12" t="inlineStr"/>
      <c r="T1313" s="12" t="inlineStr"/>
      <c r="U1313" s="12" t="inlineStr"/>
      <c r="V1313" s="12" t="inlineStr">
        <is>
          <t>Cost Account = CA-6067; WBS Code = 1.6.1</t>
        </is>
      </c>
      <c r="W1313" s="12" t="inlineStr"/>
    </row>
    <row r="1314" ht="64" customHeight="1">
      <c r="A1314" s="12" t="inlineStr">
        <is>
          <t>1.6.1</t>
        </is>
      </c>
      <c r="B1314" s="12" t="inlineStr">
        <is>
          <t>Program Management - Program Controls</t>
        </is>
      </c>
      <c r="C1314" s="12" t="inlineStr">
        <is>
          <t>Cost &amp; Forecast Control Accounts</t>
        </is>
      </c>
      <c r="D1314" s="12" t="inlineStr">
        <is>
          <t>CST-06-069</t>
        </is>
      </c>
      <c r="E1314" s="12" t="inlineStr">
        <is>
          <t>Program Management - program controls - field package</t>
        </is>
      </c>
      <c r="F1314" s="12" t="inlineStr">
        <is>
          <t>ONE_TO_ONE</t>
        </is>
      </c>
      <c r="G1314" s="12" t="inlineStr">
        <is>
          <t>APPROVED</t>
        </is>
      </c>
      <c r="H1314" s="12" t="inlineStr">
        <is>
          <t>New</t>
        </is>
      </c>
      <c r="I1314" s="12" t="inlineStr">
        <is>
          <t>Source assignment -- not individually reviewed</t>
        </is>
      </c>
      <c r="J1314" s="12" t="inlineStr"/>
      <c r="K1314" s="12" t="inlineStr">
        <is>
          <t>Source assignment</t>
        </is>
      </c>
      <c r="L1314" s="12" t="inlineStr"/>
      <c r="M1314" s="12" t="inlineStr">
        <is>
          <t>Initial</t>
        </is>
      </c>
      <c r="N1314" s="12" t="inlineStr">
        <is>
          <t>Rev 0</t>
        </is>
      </c>
      <c r="O1314" s="12" t="inlineStr">
        <is>
          <t>R1551-v1</t>
        </is>
      </c>
      <c r="P1314" s="12" t="inlineStr"/>
      <c r="Q1314" s="12" t="inlineStr"/>
      <c r="R1314" s="12" t="inlineStr"/>
      <c r="S1314" s="12" t="inlineStr"/>
      <c r="T1314" s="12" t="inlineStr"/>
      <c r="U1314" s="12" t="inlineStr"/>
      <c r="V1314" s="12" t="inlineStr">
        <is>
          <t>Cost Account = CA-6069; WBS Code = 1.6.1</t>
        </is>
      </c>
      <c r="W1314" s="12" t="inlineStr"/>
    </row>
    <row r="1315" ht="64" customHeight="1">
      <c r="A1315" s="12" t="inlineStr">
        <is>
          <t>1.6.1</t>
        </is>
      </c>
      <c r="B1315" s="12" t="inlineStr">
        <is>
          <t>Program Management - Program Controls</t>
        </is>
      </c>
      <c r="C1315" s="12" t="inlineStr">
        <is>
          <t>Cost &amp; Forecast Control Accounts</t>
        </is>
      </c>
      <c r="D1315" s="12" t="inlineStr">
        <is>
          <t>CST-06-071</t>
        </is>
      </c>
      <c r="E1315" s="12" t="inlineStr">
        <is>
          <t>Program Management - stakeholder services - professional services</t>
        </is>
      </c>
      <c r="F1315" s="12" t="inlineStr">
        <is>
          <t>ONE_TO_ONE</t>
        </is>
      </c>
      <c r="G1315" s="12" t="inlineStr">
        <is>
          <t>APPROVED</t>
        </is>
      </c>
      <c r="H1315" s="12" t="inlineStr">
        <is>
          <t>New</t>
        </is>
      </c>
      <c r="I1315" s="12" t="inlineStr">
        <is>
          <t>Source assignment -- not individually reviewed</t>
        </is>
      </c>
      <c r="J1315" s="12" t="inlineStr"/>
      <c r="K1315" s="12" t="inlineStr">
        <is>
          <t>Source assignment</t>
        </is>
      </c>
      <c r="L1315" s="12" t="inlineStr"/>
      <c r="M1315" s="12" t="inlineStr">
        <is>
          <t>Initial</t>
        </is>
      </c>
      <c r="N1315" s="12" t="inlineStr">
        <is>
          <t>Rev 0</t>
        </is>
      </c>
      <c r="O1315" s="12" t="inlineStr">
        <is>
          <t>R1553-v1</t>
        </is>
      </c>
      <c r="P1315" s="12" t="inlineStr"/>
      <c r="Q1315" s="12" t="inlineStr"/>
      <c r="R1315" s="12" t="inlineStr"/>
      <c r="S1315" s="12" t="inlineStr"/>
      <c r="T1315" s="12" t="inlineStr"/>
      <c r="U1315" s="12" t="inlineStr"/>
      <c r="V1315" s="12" t="inlineStr">
        <is>
          <t>Cost Account = CA-6071; WBS Code = 1.6.1</t>
        </is>
      </c>
      <c r="W1315" s="12" t="inlineStr"/>
    </row>
    <row r="1316" ht="64" customHeight="1">
      <c r="A1316" s="12" t="inlineStr">
        <is>
          <t>1.6.1</t>
        </is>
      </c>
      <c r="B1316" s="12" t="inlineStr">
        <is>
          <t>Program Management - Program Controls</t>
        </is>
      </c>
      <c r="C1316" s="12" t="inlineStr">
        <is>
          <t>Cost &amp; Forecast Control Accounts</t>
        </is>
      </c>
      <c r="D1316" s="12" t="inlineStr">
        <is>
          <t>CST-06-073</t>
        </is>
      </c>
      <c r="E1316" s="12" t="inlineStr">
        <is>
          <t>Program Management - design integration - closeout</t>
        </is>
      </c>
      <c r="F1316" s="12" t="inlineStr">
        <is>
          <t>ONE_TO_ONE</t>
        </is>
      </c>
      <c r="G1316" s="12" t="inlineStr">
        <is>
          <t>APPROVED</t>
        </is>
      </c>
      <c r="H1316" s="12" t="inlineStr">
        <is>
          <t>New</t>
        </is>
      </c>
      <c r="I1316" s="12" t="inlineStr">
        <is>
          <t>Source assignment -- not individually reviewed</t>
        </is>
      </c>
      <c r="J1316" s="12" t="inlineStr"/>
      <c r="K1316" s="12" t="inlineStr">
        <is>
          <t>Source assignment</t>
        </is>
      </c>
      <c r="L1316" s="12" t="inlineStr"/>
      <c r="M1316" s="12" t="inlineStr">
        <is>
          <t>Initial</t>
        </is>
      </c>
      <c r="N1316" s="12" t="inlineStr">
        <is>
          <t>Rev 0</t>
        </is>
      </c>
      <c r="O1316" s="12" t="inlineStr">
        <is>
          <t>R1555-v1</t>
        </is>
      </c>
      <c r="P1316" s="12" t="inlineStr"/>
      <c r="Q1316" s="12" t="inlineStr"/>
      <c r="R1316" s="12" t="inlineStr"/>
      <c r="S1316" s="12" t="inlineStr"/>
      <c r="T1316" s="12" t="inlineStr"/>
      <c r="U1316" s="12" t="inlineStr"/>
      <c r="V1316" s="12" t="inlineStr">
        <is>
          <t>Cost Account = CA-6073; WBS Code = 1.6.1</t>
        </is>
      </c>
      <c r="W1316" s="12" t="inlineStr"/>
    </row>
    <row r="1317" ht="64" customHeight="1">
      <c r="A1317" s="12" t="inlineStr">
        <is>
          <t>1.6.1</t>
        </is>
      </c>
      <c r="B1317" s="12" t="inlineStr">
        <is>
          <t>Program Management - Program Controls</t>
        </is>
      </c>
      <c r="C1317" s="12" t="inlineStr">
        <is>
          <t>Cost &amp; Forecast Control Accounts</t>
        </is>
      </c>
      <c r="D1317" s="12" t="inlineStr">
        <is>
          <t>CST-06-075</t>
        </is>
      </c>
      <c r="E1317" s="12" t="inlineStr">
        <is>
          <t>Program Management - program controls - supply and install</t>
        </is>
      </c>
      <c r="F1317" s="12" t="inlineStr">
        <is>
          <t>ONE_TO_ONE</t>
        </is>
      </c>
      <c r="G1317" s="12" t="inlineStr">
        <is>
          <t>APPROVED</t>
        </is>
      </c>
      <c r="H1317" s="12" t="inlineStr">
        <is>
          <t>New</t>
        </is>
      </c>
      <c r="I1317" s="12" t="inlineStr">
        <is>
          <t>Source assignment -- not individually reviewed</t>
        </is>
      </c>
      <c r="J1317" s="12" t="inlineStr"/>
      <c r="K1317" s="12" t="inlineStr">
        <is>
          <t>Source assignment</t>
        </is>
      </c>
      <c r="L1317" s="12" t="inlineStr"/>
      <c r="M1317" s="12" t="inlineStr">
        <is>
          <t>Initial</t>
        </is>
      </c>
      <c r="N1317" s="12" t="inlineStr">
        <is>
          <t>Rev 0</t>
        </is>
      </c>
      <c r="O1317" s="12" t="inlineStr">
        <is>
          <t>R1557-v1</t>
        </is>
      </c>
      <c r="P1317" s="12" t="inlineStr"/>
      <c r="Q1317" s="12" t="inlineStr"/>
      <c r="R1317" s="12" t="inlineStr"/>
      <c r="S1317" s="12" t="inlineStr"/>
      <c r="T1317" s="12" t="inlineStr"/>
      <c r="U1317" s="12" t="inlineStr"/>
      <c r="V1317" s="12" t="inlineStr">
        <is>
          <t>Cost Account = CA-6075; WBS Code = 1.6.1</t>
        </is>
      </c>
      <c r="W1317" s="12" t="inlineStr"/>
    </row>
    <row r="1318" ht="64" customHeight="1">
      <c r="A1318" s="12" t="inlineStr">
        <is>
          <t>1.6.1</t>
        </is>
      </c>
      <c r="B1318" s="12" t="inlineStr">
        <is>
          <t>Program Management - Program Controls</t>
        </is>
      </c>
      <c r="C1318" s="12" t="inlineStr">
        <is>
          <t>Cost &amp; Forecast Control Accounts</t>
        </is>
      </c>
      <c r="D1318" s="12" t="inlineStr">
        <is>
          <t>CST-06-077</t>
        </is>
      </c>
      <c r="E1318" s="12" t="inlineStr">
        <is>
          <t>Program Management - stakeholder services - allowance</t>
        </is>
      </c>
      <c r="F1318" s="12" t="inlineStr">
        <is>
          <t>ONE_TO_ONE</t>
        </is>
      </c>
      <c r="G1318" s="12" t="inlineStr">
        <is>
          <t>APPROVED</t>
        </is>
      </c>
      <c r="H1318" s="12" t="inlineStr">
        <is>
          <t>New</t>
        </is>
      </c>
      <c r="I1318" s="12" t="inlineStr">
        <is>
          <t>Source assignment -- not individually reviewed</t>
        </is>
      </c>
      <c r="J1318" s="12" t="inlineStr"/>
      <c r="K1318" s="12" t="inlineStr">
        <is>
          <t>Source assignment</t>
        </is>
      </c>
      <c r="L1318" s="12" t="inlineStr"/>
      <c r="M1318" s="12" t="inlineStr">
        <is>
          <t>Initial</t>
        </is>
      </c>
      <c r="N1318" s="12" t="inlineStr">
        <is>
          <t>Rev 0</t>
        </is>
      </c>
      <c r="O1318" s="12" t="inlineStr">
        <is>
          <t>R1559-v1</t>
        </is>
      </c>
      <c r="P1318" s="12" t="inlineStr"/>
      <c r="Q1318" s="12" t="inlineStr"/>
      <c r="R1318" s="12" t="inlineStr"/>
      <c r="S1318" s="12" t="inlineStr"/>
      <c r="T1318" s="12" t="inlineStr"/>
      <c r="U1318" s="12" t="inlineStr"/>
      <c r="V1318" s="12" t="inlineStr">
        <is>
          <t>Cost Account = CA-6077; WBS Code = 1.6.1</t>
        </is>
      </c>
      <c r="W1318" s="12" t="inlineStr"/>
    </row>
    <row r="1319" ht="64" customHeight="1">
      <c r="A1319" s="12" t="inlineStr">
        <is>
          <t>1.6.1</t>
        </is>
      </c>
      <c r="B1319" s="12" t="inlineStr">
        <is>
          <t>Program Management - Program Controls</t>
        </is>
      </c>
      <c r="C1319" s="12" t="inlineStr">
        <is>
          <t>Cost &amp; Forecast Control Accounts</t>
        </is>
      </c>
      <c r="D1319" s="12" t="inlineStr">
        <is>
          <t>CST-06-079</t>
        </is>
      </c>
      <c r="E1319" s="12" t="inlineStr">
        <is>
          <t>Program Management - design integration - field package</t>
        </is>
      </c>
      <c r="F1319" s="12" t="inlineStr">
        <is>
          <t>ONE_TO_ONE</t>
        </is>
      </c>
      <c r="G1319" s="12" t="inlineStr">
        <is>
          <t>APPROVED</t>
        </is>
      </c>
      <c r="H1319" s="12" t="inlineStr">
        <is>
          <t>New</t>
        </is>
      </c>
      <c r="I1319" s="12" t="inlineStr">
        <is>
          <t>Source assignment -- not individually reviewed</t>
        </is>
      </c>
      <c r="J1319" s="12" t="inlineStr"/>
      <c r="K1319" s="12" t="inlineStr">
        <is>
          <t>Source assignment</t>
        </is>
      </c>
      <c r="L1319" s="12" t="inlineStr"/>
      <c r="M1319" s="12" t="inlineStr">
        <is>
          <t>Initial</t>
        </is>
      </c>
      <c r="N1319" s="12" t="inlineStr">
        <is>
          <t>Rev 0</t>
        </is>
      </c>
      <c r="O1319" s="12" t="inlineStr">
        <is>
          <t>R1561-v1</t>
        </is>
      </c>
      <c r="P1319" s="12" t="inlineStr"/>
      <c r="Q1319" s="12" t="inlineStr"/>
      <c r="R1319" s="12" t="inlineStr"/>
      <c r="S1319" s="12" t="inlineStr"/>
      <c r="T1319" s="12" t="inlineStr"/>
      <c r="U1319" s="12" t="inlineStr"/>
      <c r="V1319" s="12" t="inlineStr">
        <is>
          <t>Cost Account = CA-6079; WBS Code = 1.6.1</t>
        </is>
      </c>
      <c r="W1319" s="12" t="inlineStr"/>
    </row>
    <row r="1320" ht="64" customHeight="1">
      <c r="A1320" s="12" t="inlineStr">
        <is>
          <t>1.6.2</t>
        </is>
      </c>
      <c r="B1320" s="12" t="inlineStr">
        <is>
          <t>Program Management - Commercial &amp; Procurement</t>
        </is>
      </c>
      <c r="C1320" s="12" t="inlineStr">
        <is>
          <t>Cost &amp; Forecast Control Accounts</t>
        </is>
      </c>
      <c r="D1320" s="12" t="inlineStr">
        <is>
          <t>CST-06-002</t>
        </is>
      </c>
      <c r="E1320" s="12" t="inlineStr">
        <is>
          <t>Program Management - stakeholder services - allowance</t>
        </is>
      </c>
      <c r="F1320" s="12" t="inlineStr">
        <is>
          <t>ONE_TO_ONE</t>
        </is>
      </c>
      <c r="G1320" s="12" t="inlineStr">
        <is>
          <t>APPROVED</t>
        </is>
      </c>
      <c r="H1320" s="12" t="inlineStr">
        <is>
          <t>New</t>
        </is>
      </c>
      <c r="I1320" s="12" t="inlineStr">
        <is>
          <t>Source assignment -- not individually reviewed</t>
        </is>
      </c>
      <c r="J1320" s="12" t="inlineStr"/>
      <c r="K1320" s="12" t="inlineStr">
        <is>
          <t>Source assignment</t>
        </is>
      </c>
      <c r="L1320" s="12" t="inlineStr"/>
      <c r="M1320" s="12" t="inlineStr">
        <is>
          <t>Initial</t>
        </is>
      </c>
      <c r="N1320" s="12" t="inlineStr">
        <is>
          <t>Rev 0</t>
        </is>
      </c>
      <c r="O1320" s="12" t="inlineStr">
        <is>
          <t>R1484-v1</t>
        </is>
      </c>
      <c r="P1320" s="12" t="inlineStr"/>
      <c r="Q1320" s="12" t="inlineStr"/>
      <c r="R1320" s="12" t="inlineStr"/>
      <c r="S1320" s="12" t="inlineStr"/>
      <c r="T1320" s="12" t="inlineStr"/>
      <c r="U1320" s="12" t="inlineStr"/>
      <c r="V1320" s="12" t="inlineStr">
        <is>
          <t>Cost Account = CA-6002; WBS Code = 1.6.2</t>
        </is>
      </c>
      <c r="W1320" s="12" t="inlineStr"/>
    </row>
    <row r="1321" ht="64" customHeight="1">
      <c r="A1321" s="12" t="inlineStr">
        <is>
          <t>1.6.2</t>
        </is>
      </c>
      <c r="B1321" s="12" t="inlineStr">
        <is>
          <t>Program Management - Commercial &amp; Procurement</t>
        </is>
      </c>
      <c r="C1321" s="12" t="inlineStr">
        <is>
          <t>Cost &amp; Forecast Control Accounts</t>
        </is>
      </c>
      <c r="D1321" s="12" t="inlineStr">
        <is>
          <t>CST-06-004</t>
        </is>
      </c>
      <c r="E1321" s="12" t="inlineStr">
        <is>
          <t>Program Management - design integration - field package</t>
        </is>
      </c>
      <c r="F1321" s="12" t="inlineStr">
        <is>
          <t>ONE_TO_ONE</t>
        </is>
      </c>
      <c r="G1321" s="12" t="inlineStr">
        <is>
          <t>APPROVED</t>
        </is>
      </c>
      <c r="H1321" s="12" t="inlineStr">
        <is>
          <t>New</t>
        </is>
      </c>
      <c r="I1321" s="12" t="inlineStr">
        <is>
          <t>Source assignment -- not individually reviewed</t>
        </is>
      </c>
      <c r="J1321" s="12" t="inlineStr"/>
      <c r="K1321" s="12" t="inlineStr">
        <is>
          <t>Source assignment</t>
        </is>
      </c>
      <c r="L1321" s="12" t="inlineStr"/>
      <c r="M1321" s="12" t="inlineStr">
        <is>
          <t>Initial</t>
        </is>
      </c>
      <c r="N1321" s="12" t="inlineStr">
        <is>
          <t>Rev 0</t>
        </is>
      </c>
      <c r="O1321" s="12" t="inlineStr">
        <is>
          <t>R1486-v1</t>
        </is>
      </c>
      <c r="P1321" s="12" t="inlineStr"/>
      <c r="Q1321" s="12" t="inlineStr"/>
      <c r="R1321" s="12" t="inlineStr"/>
      <c r="S1321" s="12" t="inlineStr"/>
      <c r="T1321" s="12" t="inlineStr"/>
      <c r="U1321" s="12" t="inlineStr"/>
      <c r="V1321" s="12" t="inlineStr">
        <is>
          <t>Cost Account = CA-6004; WBS Code = 1.6.2</t>
        </is>
      </c>
      <c r="W1321" s="12" t="inlineStr"/>
    </row>
    <row r="1322" ht="64" customHeight="1">
      <c r="A1322" s="12" t="inlineStr">
        <is>
          <t>1.6.2</t>
        </is>
      </c>
      <c r="B1322" s="12" t="inlineStr">
        <is>
          <t>Program Management - Commercial &amp; Procurement</t>
        </is>
      </c>
      <c r="C1322" s="12" t="inlineStr">
        <is>
          <t>Cost &amp; Forecast Control Accounts</t>
        </is>
      </c>
      <c r="D1322" s="12" t="inlineStr">
        <is>
          <t>CST-06-006</t>
        </is>
      </c>
      <c r="E1322" s="12" t="inlineStr">
        <is>
          <t>Program Management - program controls - professional services</t>
        </is>
      </c>
      <c r="F1322" s="12" t="inlineStr">
        <is>
          <t>ONE_TO_ONE</t>
        </is>
      </c>
      <c r="G1322" s="12" t="inlineStr">
        <is>
          <t>APPROVED</t>
        </is>
      </c>
      <c r="H1322" s="12" t="inlineStr">
        <is>
          <t>New</t>
        </is>
      </c>
      <c r="I1322" s="12" t="inlineStr">
        <is>
          <t>Source assignment -- not individually reviewed</t>
        </is>
      </c>
      <c r="J1322" s="12" t="inlineStr"/>
      <c r="K1322" s="12" t="inlineStr">
        <is>
          <t>Source assignment</t>
        </is>
      </c>
      <c r="L1322" s="12" t="inlineStr"/>
      <c r="M1322" s="12" t="inlineStr">
        <is>
          <t>Initial</t>
        </is>
      </c>
      <c r="N1322" s="12" t="inlineStr">
        <is>
          <t>Rev 0</t>
        </is>
      </c>
      <c r="O1322" s="12" t="inlineStr">
        <is>
          <t>R1488-v1</t>
        </is>
      </c>
      <c r="P1322" s="12" t="inlineStr"/>
      <c r="Q1322" s="12" t="inlineStr"/>
      <c r="R1322" s="12" t="inlineStr"/>
      <c r="S1322" s="12" t="inlineStr"/>
      <c r="T1322" s="12" t="inlineStr"/>
      <c r="U1322" s="12" t="inlineStr"/>
      <c r="V1322" s="12" t="inlineStr">
        <is>
          <t>Cost Account = CA-6006; WBS Code = 1.6.2</t>
        </is>
      </c>
      <c r="W1322" s="12" t="inlineStr"/>
    </row>
    <row r="1323" ht="64" customHeight="1">
      <c r="A1323" s="12" t="inlineStr">
        <is>
          <t>1.6.2</t>
        </is>
      </c>
      <c r="B1323" s="12" t="inlineStr">
        <is>
          <t>Program Management - Commercial &amp; Procurement</t>
        </is>
      </c>
      <c r="C1323" s="12" t="inlineStr">
        <is>
          <t>Cost &amp; Forecast Control Accounts</t>
        </is>
      </c>
      <c r="D1323" s="12" t="inlineStr">
        <is>
          <t>CST-06-008</t>
        </is>
      </c>
      <c r="E1323" s="12" t="inlineStr">
        <is>
          <t>Program Management - stakeholder services - closeout</t>
        </is>
      </c>
      <c r="F1323" s="12" t="inlineStr">
        <is>
          <t>ONE_TO_ONE</t>
        </is>
      </c>
      <c r="G1323" s="12" t="inlineStr">
        <is>
          <t>APPROVED</t>
        </is>
      </c>
      <c r="H1323" s="12" t="inlineStr">
        <is>
          <t>New</t>
        </is>
      </c>
      <c r="I1323" s="12" t="inlineStr">
        <is>
          <t>Source assignment -- not individually reviewed</t>
        </is>
      </c>
      <c r="J1323" s="12" t="inlineStr"/>
      <c r="K1323" s="12" t="inlineStr">
        <is>
          <t>Source assignment</t>
        </is>
      </c>
      <c r="L1323" s="12" t="inlineStr"/>
      <c r="M1323" s="12" t="inlineStr">
        <is>
          <t>Initial</t>
        </is>
      </c>
      <c r="N1323" s="12" t="inlineStr">
        <is>
          <t>Rev 0</t>
        </is>
      </c>
      <c r="O1323" s="12" t="inlineStr">
        <is>
          <t>R1490-v1</t>
        </is>
      </c>
      <c r="P1323" s="12" t="inlineStr"/>
      <c r="Q1323" s="12" t="inlineStr"/>
      <c r="R1323" s="12" t="inlineStr"/>
      <c r="S1323" s="12" t="inlineStr"/>
      <c r="T1323" s="12" t="inlineStr"/>
      <c r="U1323" s="12" t="inlineStr"/>
      <c r="V1323" s="12" t="inlineStr">
        <is>
          <t>Cost Account = CA-6008; WBS Code = 1.6.2</t>
        </is>
      </c>
      <c r="W1323" s="12" t="inlineStr"/>
    </row>
    <row r="1324" ht="64" customHeight="1">
      <c r="A1324" s="12" t="inlineStr">
        <is>
          <t>1.6.2</t>
        </is>
      </c>
      <c r="B1324" s="12" t="inlineStr">
        <is>
          <t>Program Management - Commercial &amp; Procurement</t>
        </is>
      </c>
      <c r="C1324" s="12" t="inlineStr">
        <is>
          <t>Cost &amp; Forecast Control Accounts</t>
        </is>
      </c>
      <c r="D1324" s="12" t="inlineStr">
        <is>
          <t>CST-06-010</t>
        </is>
      </c>
      <c r="E1324" s="12" t="inlineStr">
        <is>
          <t>Program Management - design integration - supply and install</t>
        </is>
      </c>
      <c r="F1324" s="12" t="inlineStr">
        <is>
          <t>ONE_TO_ONE</t>
        </is>
      </c>
      <c r="G1324" s="12" t="inlineStr">
        <is>
          <t>APPROVED</t>
        </is>
      </c>
      <c r="H1324" s="12" t="inlineStr">
        <is>
          <t>New</t>
        </is>
      </c>
      <c r="I1324" s="12" t="inlineStr">
        <is>
          <t>Source assignment -- not individually reviewed</t>
        </is>
      </c>
      <c r="J1324" s="12" t="inlineStr"/>
      <c r="K1324" s="12" t="inlineStr">
        <is>
          <t>Source assignment</t>
        </is>
      </c>
      <c r="L1324" s="12" t="inlineStr"/>
      <c r="M1324" s="12" t="inlineStr">
        <is>
          <t>Initial</t>
        </is>
      </c>
      <c r="N1324" s="12" t="inlineStr">
        <is>
          <t>Rev 0</t>
        </is>
      </c>
      <c r="O1324" s="12" t="inlineStr">
        <is>
          <t>R1492-v1</t>
        </is>
      </c>
      <c r="P1324" s="12" t="inlineStr"/>
      <c r="Q1324" s="12" t="inlineStr"/>
      <c r="R1324" s="12" t="inlineStr"/>
      <c r="S1324" s="12" t="inlineStr"/>
      <c r="T1324" s="12" t="inlineStr"/>
      <c r="U1324" s="12" t="inlineStr"/>
      <c r="V1324" s="12" t="inlineStr">
        <is>
          <t>Cost Account = CA-6010; WBS Code = 1.6.2</t>
        </is>
      </c>
      <c r="W1324" s="12" t="inlineStr"/>
    </row>
    <row r="1325" ht="64" customHeight="1">
      <c r="A1325" s="12" t="inlineStr">
        <is>
          <t>1.6.2</t>
        </is>
      </c>
      <c r="B1325" s="12" t="inlineStr">
        <is>
          <t>Program Management - Commercial &amp; Procurement</t>
        </is>
      </c>
      <c r="C1325" s="12" t="inlineStr">
        <is>
          <t>Cost &amp; Forecast Control Accounts</t>
        </is>
      </c>
      <c r="D1325" s="12" t="inlineStr">
        <is>
          <t>CST-06-012</t>
        </is>
      </c>
      <c r="E1325" s="12" t="inlineStr">
        <is>
          <t>Program Management - program controls - allowance</t>
        </is>
      </c>
      <c r="F1325" s="12" t="inlineStr">
        <is>
          <t>ONE_TO_ONE</t>
        </is>
      </c>
      <c r="G1325" s="12" t="inlineStr">
        <is>
          <t>APPROVED</t>
        </is>
      </c>
      <c r="H1325" s="12" t="inlineStr">
        <is>
          <t>New</t>
        </is>
      </c>
      <c r="I1325" s="12" t="inlineStr">
        <is>
          <t>Source assignment -- not individually reviewed</t>
        </is>
      </c>
      <c r="J1325" s="12" t="inlineStr"/>
      <c r="K1325" s="12" t="inlineStr">
        <is>
          <t>Source assignment</t>
        </is>
      </c>
      <c r="L1325" s="12" t="inlineStr"/>
      <c r="M1325" s="12" t="inlineStr">
        <is>
          <t>Initial</t>
        </is>
      </c>
      <c r="N1325" s="12" t="inlineStr">
        <is>
          <t>Rev 0</t>
        </is>
      </c>
      <c r="O1325" s="12" t="inlineStr">
        <is>
          <t>R1494-v1</t>
        </is>
      </c>
      <c r="P1325" s="12" t="inlineStr"/>
      <c r="Q1325" s="12" t="inlineStr"/>
      <c r="R1325" s="12" t="inlineStr"/>
      <c r="S1325" s="12" t="inlineStr"/>
      <c r="T1325" s="12" t="inlineStr"/>
      <c r="U1325" s="12" t="inlineStr"/>
      <c r="V1325" s="12" t="inlineStr">
        <is>
          <t>Cost Account = CA-6012; WBS Code = 1.6.2</t>
        </is>
      </c>
      <c r="W1325" s="12" t="inlineStr"/>
    </row>
    <row r="1326" ht="64" customHeight="1">
      <c r="A1326" s="12" t="inlineStr">
        <is>
          <t>1.6.2</t>
        </is>
      </c>
      <c r="B1326" s="12" t="inlineStr">
        <is>
          <t>Program Management - Commercial &amp; Procurement</t>
        </is>
      </c>
      <c r="C1326" s="12" t="inlineStr">
        <is>
          <t>Cost &amp; Forecast Control Accounts</t>
        </is>
      </c>
      <c r="D1326" s="12" t="inlineStr">
        <is>
          <t>CST-06-014</t>
        </is>
      </c>
      <c r="E1326" s="12" t="inlineStr">
        <is>
          <t>Program Management - stakeholder services - field package</t>
        </is>
      </c>
      <c r="F1326" s="12" t="inlineStr">
        <is>
          <t>ONE_TO_ONE</t>
        </is>
      </c>
      <c r="G1326" s="12" t="inlineStr">
        <is>
          <t>APPROVED</t>
        </is>
      </c>
      <c r="H1326" s="12" t="inlineStr">
        <is>
          <t>New</t>
        </is>
      </c>
      <c r="I1326" s="12" t="inlineStr">
        <is>
          <t>Source assignment -- not individually reviewed</t>
        </is>
      </c>
      <c r="J1326" s="12" t="inlineStr"/>
      <c r="K1326" s="12" t="inlineStr">
        <is>
          <t>Source assignment</t>
        </is>
      </c>
      <c r="L1326" s="12" t="inlineStr"/>
      <c r="M1326" s="12" t="inlineStr">
        <is>
          <t>Initial</t>
        </is>
      </c>
      <c r="N1326" s="12" t="inlineStr">
        <is>
          <t>Rev 0</t>
        </is>
      </c>
      <c r="O1326" s="12" t="inlineStr">
        <is>
          <t>R1496-v1</t>
        </is>
      </c>
      <c r="P1326" s="12" t="inlineStr"/>
      <c r="Q1326" s="12" t="inlineStr"/>
      <c r="R1326" s="12" t="inlineStr"/>
      <c r="S1326" s="12" t="inlineStr"/>
      <c r="T1326" s="12" t="inlineStr"/>
      <c r="U1326" s="12" t="inlineStr"/>
      <c r="V1326" s="12" t="inlineStr">
        <is>
          <t>Cost Account = CA-6014; WBS Code = 1.6.2</t>
        </is>
      </c>
      <c r="W1326" s="12" t="inlineStr"/>
    </row>
    <row r="1327" ht="64" customHeight="1">
      <c r="A1327" s="12" t="inlineStr">
        <is>
          <t>1.6.2</t>
        </is>
      </c>
      <c r="B1327" s="12" t="inlineStr">
        <is>
          <t>Program Management - Commercial &amp; Procurement</t>
        </is>
      </c>
      <c r="C1327" s="12" t="inlineStr">
        <is>
          <t>Cost &amp; Forecast Control Accounts</t>
        </is>
      </c>
      <c r="D1327" s="12" t="inlineStr">
        <is>
          <t>CST-06-016</t>
        </is>
      </c>
      <c r="E1327" s="12" t="inlineStr">
        <is>
          <t>Program Management - design integration - professional services</t>
        </is>
      </c>
      <c r="F1327" s="12" t="inlineStr">
        <is>
          <t>ONE_TO_ONE</t>
        </is>
      </c>
      <c r="G1327" s="12" t="inlineStr">
        <is>
          <t>APPROVED</t>
        </is>
      </c>
      <c r="H1327" s="12" t="inlineStr">
        <is>
          <t>New</t>
        </is>
      </c>
      <c r="I1327" s="12" t="inlineStr">
        <is>
          <t>Source assignment -- not individually reviewed</t>
        </is>
      </c>
      <c r="J1327" s="12" t="inlineStr"/>
      <c r="K1327" s="12" t="inlineStr">
        <is>
          <t>Source assignment</t>
        </is>
      </c>
      <c r="L1327" s="12" t="inlineStr"/>
      <c r="M1327" s="12" t="inlineStr">
        <is>
          <t>Initial</t>
        </is>
      </c>
      <c r="N1327" s="12" t="inlineStr">
        <is>
          <t>Rev 0</t>
        </is>
      </c>
      <c r="O1327" s="12" t="inlineStr">
        <is>
          <t>R1498-v1</t>
        </is>
      </c>
      <c r="P1327" s="12" t="inlineStr"/>
      <c r="Q1327" s="12" t="inlineStr"/>
      <c r="R1327" s="12" t="inlineStr"/>
      <c r="S1327" s="12" t="inlineStr"/>
      <c r="T1327" s="12" t="inlineStr"/>
      <c r="U1327" s="12" t="inlineStr"/>
      <c r="V1327" s="12" t="inlineStr">
        <is>
          <t>Cost Account = CA-6016; WBS Code = 1.6.2</t>
        </is>
      </c>
      <c r="W1327" s="12" t="inlineStr"/>
    </row>
    <row r="1328" ht="64" customHeight="1">
      <c r="A1328" s="12" t="inlineStr">
        <is>
          <t>1.6.2</t>
        </is>
      </c>
      <c r="B1328" s="12" t="inlineStr">
        <is>
          <t>Program Management - Commercial &amp; Procurement</t>
        </is>
      </c>
      <c r="C1328" s="12" t="inlineStr">
        <is>
          <t>Cost &amp; Forecast Control Accounts</t>
        </is>
      </c>
      <c r="D1328" s="12" t="inlineStr">
        <is>
          <t>CST-06-018</t>
        </is>
      </c>
      <c r="E1328" s="12" t="inlineStr">
        <is>
          <t>Program Management - program controls - closeout</t>
        </is>
      </c>
      <c r="F1328" s="12" t="inlineStr">
        <is>
          <t>ONE_TO_ONE</t>
        </is>
      </c>
      <c r="G1328" s="12" t="inlineStr">
        <is>
          <t>APPROVED</t>
        </is>
      </c>
      <c r="H1328" s="12" t="inlineStr">
        <is>
          <t>New</t>
        </is>
      </c>
      <c r="I1328" s="12" t="inlineStr">
        <is>
          <t>Source assignment -- not individually reviewed</t>
        </is>
      </c>
      <c r="J1328" s="12" t="inlineStr"/>
      <c r="K1328" s="12" t="inlineStr">
        <is>
          <t>Source assignment</t>
        </is>
      </c>
      <c r="L1328" s="12" t="inlineStr"/>
      <c r="M1328" s="12" t="inlineStr">
        <is>
          <t>Initial</t>
        </is>
      </c>
      <c r="N1328" s="12" t="inlineStr">
        <is>
          <t>Rev 0</t>
        </is>
      </c>
      <c r="O1328" s="12" t="inlineStr">
        <is>
          <t>R1500-v1</t>
        </is>
      </c>
      <c r="P1328" s="12" t="inlineStr"/>
      <c r="Q1328" s="12" t="inlineStr"/>
      <c r="R1328" s="12" t="inlineStr"/>
      <c r="S1328" s="12" t="inlineStr"/>
      <c r="T1328" s="12" t="inlineStr"/>
      <c r="U1328" s="12" t="inlineStr"/>
      <c r="V1328" s="12" t="inlineStr">
        <is>
          <t>Cost Account = CA-6018; WBS Code = 1.6.2</t>
        </is>
      </c>
      <c r="W1328" s="12" t="inlineStr"/>
    </row>
    <row r="1329" ht="64" customHeight="1">
      <c r="A1329" s="12" t="inlineStr">
        <is>
          <t>1.6.2</t>
        </is>
      </c>
      <c r="B1329" s="12" t="inlineStr">
        <is>
          <t>Program Management - Commercial &amp; Procurement</t>
        </is>
      </c>
      <c r="C1329" s="12" t="inlineStr">
        <is>
          <t>Cost &amp; Forecast Control Accounts</t>
        </is>
      </c>
      <c r="D1329" s="12" t="inlineStr">
        <is>
          <t>CST-06-020</t>
        </is>
      </c>
      <c r="E1329" s="12" t="inlineStr">
        <is>
          <t>Program Management - stakeholder services - supply and install</t>
        </is>
      </c>
      <c r="F1329" s="12" t="inlineStr">
        <is>
          <t>ONE_TO_ONE</t>
        </is>
      </c>
      <c r="G1329" s="12" t="inlineStr">
        <is>
          <t>APPROVED</t>
        </is>
      </c>
      <c r="H1329" s="12" t="inlineStr">
        <is>
          <t>New</t>
        </is>
      </c>
      <c r="I1329" s="12" t="inlineStr">
        <is>
          <t>Source assignment -- not individually reviewed</t>
        </is>
      </c>
      <c r="J1329" s="12" t="inlineStr"/>
      <c r="K1329" s="12" t="inlineStr">
        <is>
          <t>Source assignment</t>
        </is>
      </c>
      <c r="L1329" s="12" t="inlineStr"/>
      <c r="M1329" s="12" t="inlineStr">
        <is>
          <t>Initial</t>
        </is>
      </c>
      <c r="N1329" s="12" t="inlineStr">
        <is>
          <t>Rev 0</t>
        </is>
      </c>
      <c r="O1329" s="12" t="inlineStr">
        <is>
          <t>R1502-v1</t>
        </is>
      </c>
      <c r="P1329" s="12" t="inlineStr"/>
      <c r="Q1329" s="12" t="inlineStr"/>
      <c r="R1329" s="12" t="inlineStr"/>
      <c r="S1329" s="12" t="inlineStr"/>
      <c r="T1329" s="12" t="inlineStr"/>
      <c r="U1329" s="12" t="inlineStr"/>
      <c r="V1329" s="12" t="inlineStr">
        <is>
          <t>Cost Account = CA-6020; WBS Code = 1.6.2</t>
        </is>
      </c>
      <c r="W1329" s="12" t="inlineStr"/>
    </row>
    <row r="1330" ht="64" customHeight="1">
      <c r="A1330" s="12" t="inlineStr">
        <is>
          <t>1.6.2</t>
        </is>
      </c>
      <c r="B1330" s="12" t="inlineStr">
        <is>
          <t>Program Management - Commercial &amp; Procurement</t>
        </is>
      </c>
      <c r="C1330" s="12" t="inlineStr">
        <is>
          <t>Cost &amp; Forecast Control Accounts</t>
        </is>
      </c>
      <c r="D1330" s="12" t="inlineStr">
        <is>
          <t>CST-06-022</t>
        </is>
      </c>
      <c r="E1330" s="12" t="inlineStr">
        <is>
          <t>Program Management - design integration - allowance</t>
        </is>
      </c>
      <c r="F1330" s="12" t="inlineStr">
        <is>
          <t>ONE_TO_ONE</t>
        </is>
      </c>
      <c r="G1330" s="12" t="inlineStr">
        <is>
          <t>APPROVED</t>
        </is>
      </c>
      <c r="H1330" s="12" t="inlineStr">
        <is>
          <t>New</t>
        </is>
      </c>
      <c r="I1330" s="12" t="inlineStr">
        <is>
          <t>Source assignment -- not individually reviewed</t>
        </is>
      </c>
      <c r="J1330" s="12" t="inlineStr"/>
      <c r="K1330" s="12" t="inlineStr">
        <is>
          <t>Source assignment</t>
        </is>
      </c>
      <c r="L1330" s="12" t="inlineStr"/>
      <c r="M1330" s="12" t="inlineStr">
        <is>
          <t>Initial</t>
        </is>
      </c>
      <c r="N1330" s="12" t="inlineStr">
        <is>
          <t>Rev 0</t>
        </is>
      </c>
      <c r="O1330" s="12" t="inlineStr">
        <is>
          <t>R1504-v1</t>
        </is>
      </c>
      <c r="P1330" s="12" t="inlineStr"/>
      <c r="Q1330" s="12" t="inlineStr"/>
      <c r="R1330" s="12" t="inlineStr"/>
      <c r="S1330" s="12" t="inlineStr"/>
      <c r="T1330" s="12" t="inlineStr"/>
      <c r="U1330" s="12" t="inlineStr"/>
      <c r="V1330" s="12" t="inlineStr">
        <is>
          <t>Cost Account = CA-6022; WBS Code = 1.6.2</t>
        </is>
      </c>
      <c r="W1330" s="12" t="inlineStr"/>
    </row>
    <row r="1331" ht="64" customHeight="1">
      <c r="A1331" s="12" t="inlineStr">
        <is>
          <t>1.6.2</t>
        </is>
      </c>
      <c r="B1331" s="12" t="inlineStr">
        <is>
          <t>Program Management - Commercial &amp; Procurement</t>
        </is>
      </c>
      <c r="C1331" s="12" t="inlineStr">
        <is>
          <t>Cost &amp; Forecast Control Accounts</t>
        </is>
      </c>
      <c r="D1331" s="12" t="inlineStr">
        <is>
          <t>CST-06-024</t>
        </is>
      </c>
      <c r="E1331" s="12" t="inlineStr">
        <is>
          <t>Program Management - program controls - field package</t>
        </is>
      </c>
      <c r="F1331" s="12" t="inlineStr">
        <is>
          <t>ONE_TO_ONE</t>
        </is>
      </c>
      <c r="G1331" s="12" t="inlineStr">
        <is>
          <t>APPROVED</t>
        </is>
      </c>
      <c r="H1331" s="12" t="inlineStr">
        <is>
          <t>New</t>
        </is>
      </c>
      <c r="I1331" s="12" t="inlineStr">
        <is>
          <t>Source assignment -- not individually reviewed</t>
        </is>
      </c>
      <c r="J1331" s="12" t="inlineStr"/>
      <c r="K1331" s="12" t="inlineStr">
        <is>
          <t>Source assignment</t>
        </is>
      </c>
      <c r="L1331" s="12" t="inlineStr"/>
      <c r="M1331" s="12" t="inlineStr">
        <is>
          <t>Initial</t>
        </is>
      </c>
      <c r="N1331" s="12" t="inlineStr">
        <is>
          <t>Rev 0</t>
        </is>
      </c>
      <c r="O1331" s="12" t="inlineStr">
        <is>
          <t>R1506-v1</t>
        </is>
      </c>
      <c r="P1331" s="12" t="inlineStr"/>
      <c r="Q1331" s="12" t="inlineStr"/>
      <c r="R1331" s="12" t="inlineStr"/>
      <c r="S1331" s="12" t="inlineStr"/>
      <c r="T1331" s="12" t="inlineStr"/>
      <c r="U1331" s="12" t="inlineStr"/>
      <c r="V1331" s="12" t="inlineStr">
        <is>
          <t>Cost Account = CA-6024; WBS Code = 1.6.2</t>
        </is>
      </c>
      <c r="W1331" s="12" t="inlineStr"/>
    </row>
    <row r="1332" ht="64" customHeight="1">
      <c r="A1332" s="12" t="inlineStr">
        <is>
          <t>1.6.2</t>
        </is>
      </c>
      <c r="B1332" s="12" t="inlineStr">
        <is>
          <t>Program Management - Commercial &amp; Procurement</t>
        </is>
      </c>
      <c r="C1332" s="12" t="inlineStr">
        <is>
          <t>Cost &amp; Forecast Control Accounts</t>
        </is>
      </c>
      <c r="D1332" s="12" t="inlineStr">
        <is>
          <t>CST-06-026</t>
        </is>
      </c>
      <c r="E1332" s="12" t="inlineStr">
        <is>
          <t>Program Management - stakeholder services - professional services</t>
        </is>
      </c>
      <c r="F1332" s="12" t="inlineStr">
        <is>
          <t>ONE_TO_ONE</t>
        </is>
      </c>
      <c r="G1332" s="12" t="inlineStr">
        <is>
          <t>APPROVED</t>
        </is>
      </c>
      <c r="H1332" s="12" t="inlineStr">
        <is>
          <t>New</t>
        </is>
      </c>
      <c r="I1332" s="12" t="inlineStr">
        <is>
          <t>Source assignment -- not individually reviewed</t>
        </is>
      </c>
      <c r="J1332" s="12" t="inlineStr"/>
      <c r="K1332" s="12" t="inlineStr">
        <is>
          <t>Source assignment</t>
        </is>
      </c>
      <c r="L1332" s="12" t="inlineStr"/>
      <c r="M1332" s="12" t="inlineStr">
        <is>
          <t>Initial</t>
        </is>
      </c>
      <c r="N1332" s="12" t="inlineStr">
        <is>
          <t>Rev 0</t>
        </is>
      </c>
      <c r="O1332" s="12" t="inlineStr">
        <is>
          <t>R1508-v1</t>
        </is>
      </c>
      <c r="P1332" s="12" t="inlineStr"/>
      <c r="Q1332" s="12" t="inlineStr"/>
      <c r="R1332" s="12" t="inlineStr"/>
      <c r="S1332" s="12" t="inlineStr"/>
      <c r="T1332" s="12" t="inlineStr"/>
      <c r="U1332" s="12" t="inlineStr"/>
      <c r="V1332" s="12" t="inlineStr">
        <is>
          <t>Cost Account = CA-6026; WBS Code = 1.6.2</t>
        </is>
      </c>
      <c r="W1332" s="12" t="inlineStr"/>
    </row>
    <row r="1333" ht="64" customHeight="1">
      <c r="A1333" s="12" t="inlineStr">
        <is>
          <t>1.6.2</t>
        </is>
      </c>
      <c r="B1333" s="12" t="inlineStr">
        <is>
          <t>Program Management - Commercial &amp; Procurement</t>
        </is>
      </c>
      <c r="C1333" s="12" t="inlineStr">
        <is>
          <t>Cost &amp; Forecast Control Accounts</t>
        </is>
      </c>
      <c r="D1333" s="12" t="inlineStr">
        <is>
          <t>CST-06-028</t>
        </is>
      </c>
      <c r="E1333" s="12" t="inlineStr">
        <is>
          <t>Program Management - design integration - closeout</t>
        </is>
      </c>
      <c r="F1333" s="12" t="inlineStr">
        <is>
          <t>ONE_TO_ONE</t>
        </is>
      </c>
      <c r="G1333" s="12" t="inlineStr">
        <is>
          <t>APPROVED</t>
        </is>
      </c>
      <c r="H1333" s="12" t="inlineStr">
        <is>
          <t>New</t>
        </is>
      </c>
      <c r="I1333" s="12" t="inlineStr">
        <is>
          <t>Source assignment -- not individually reviewed</t>
        </is>
      </c>
      <c r="J1333" s="12" t="inlineStr"/>
      <c r="K1333" s="12" t="inlineStr">
        <is>
          <t>Source assignment</t>
        </is>
      </c>
      <c r="L1333" s="12" t="inlineStr"/>
      <c r="M1333" s="12" t="inlineStr">
        <is>
          <t>Initial</t>
        </is>
      </c>
      <c r="N1333" s="12" t="inlineStr">
        <is>
          <t>Rev 0</t>
        </is>
      </c>
      <c r="O1333" s="12" t="inlineStr">
        <is>
          <t>R1510-v1</t>
        </is>
      </c>
      <c r="P1333" s="12" t="inlineStr"/>
      <c r="Q1333" s="12" t="inlineStr"/>
      <c r="R1333" s="12" t="inlineStr"/>
      <c r="S1333" s="12" t="inlineStr"/>
      <c r="T1333" s="12" t="inlineStr"/>
      <c r="U1333" s="12" t="inlineStr"/>
      <c r="V1333" s="12" t="inlineStr">
        <is>
          <t>Cost Account = CA-6028; WBS Code = 1.6.2</t>
        </is>
      </c>
      <c r="W1333" s="12" t="inlineStr"/>
    </row>
    <row r="1334" ht="64" customHeight="1">
      <c r="A1334" s="12" t="inlineStr">
        <is>
          <t>1.6.2</t>
        </is>
      </c>
      <c r="B1334" s="12" t="inlineStr">
        <is>
          <t>Program Management - Commercial &amp; Procurement</t>
        </is>
      </c>
      <c r="C1334" s="12" t="inlineStr">
        <is>
          <t>Cost &amp; Forecast Control Accounts</t>
        </is>
      </c>
      <c r="D1334" s="12" t="inlineStr">
        <is>
          <t>CST-06-030</t>
        </is>
      </c>
      <c r="E1334" s="12" t="inlineStr">
        <is>
          <t>Program Management - program controls - supply and install</t>
        </is>
      </c>
      <c r="F1334" s="12" t="inlineStr">
        <is>
          <t>ONE_TO_ONE</t>
        </is>
      </c>
      <c r="G1334" s="12" t="inlineStr">
        <is>
          <t>APPROVED</t>
        </is>
      </c>
      <c r="H1334" s="12" t="inlineStr">
        <is>
          <t>New</t>
        </is>
      </c>
      <c r="I1334" s="12" t="inlineStr">
        <is>
          <t>Source assignment -- not individually reviewed</t>
        </is>
      </c>
      <c r="J1334" s="12" t="inlineStr"/>
      <c r="K1334" s="12" t="inlineStr">
        <is>
          <t>Source assignment</t>
        </is>
      </c>
      <c r="L1334" s="12" t="inlineStr"/>
      <c r="M1334" s="12" t="inlineStr">
        <is>
          <t>Initial</t>
        </is>
      </c>
      <c r="N1334" s="12" t="inlineStr">
        <is>
          <t>Rev 0</t>
        </is>
      </c>
      <c r="O1334" s="12" t="inlineStr">
        <is>
          <t>R1512-v1</t>
        </is>
      </c>
      <c r="P1334" s="12" t="inlineStr"/>
      <c r="Q1334" s="12" t="inlineStr"/>
      <c r="R1334" s="12" t="inlineStr"/>
      <c r="S1334" s="12" t="inlineStr"/>
      <c r="T1334" s="12" t="inlineStr"/>
      <c r="U1334" s="12" t="inlineStr"/>
      <c r="V1334" s="12" t="inlineStr">
        <is>
          <t>Cost Account = CA-6030; WBS Code = 1.6.2</t>
        </is>
      </c>
      <c r="W1334" s="12" t="inlineStr"/>
    </row>
    <row r="1335" ht="64" customHeight="1">
      <c r="A1335" s="12" t="inlineStr">
        <is>
          <t>1.6.2</t>
        </is>
      </c>
      <c r="B1335" s="12" t="inlineStr">
        <is>
          <t>Program Management - Commercial &amp; Procurement</t>
        </is>
      </c>
      <c r="C1335" s="12" t="inlineStr">
        <is>
          <t>Cost &amp; Forecast Control Accounts</t>
        </is>
      </c>
      <c r="D1335" s="12" t="inlineStr">
        <is>
          <t>CST-06-032</t>
        </is>
      </c>
      <c r="E1335" s="12" t="inlineStr">
        <is>
          <t>Program Management - stakeholder services - allowance</t>
        </is>
      </c>
      <c r="F1335" s="12" t="inlineStr">
        <is>
          <t>ONE_TO_ONE</t>
        </is>
      </c>
      <c r="G1335" s="12" t="inlineStr">
        <is>
          <t>APPROVED</t>
        </is>
      </c>
      <c r="H1335" s="12" t="inlineStr">
        <is>
          <t>New</t>
        </is>
      </c>
      <c r="I1335" s="12" t="inlineStr">
        <is>
          <t>Source assignment -- not individually reviewed</t>
        </is>
      </c>
      <c r="J1335" s="12" t="inlineStr"/>
      <c r="K1335" s="12" t="inlineStr">
        <is>
          <t>Source assignment</t>
        </is>
      </c>
      <c r="L1335" s="12" t="inlineStr"/>
      <c r="M1335" s="12" t="inlineStr">
        <is>
          <t>Initial</t>
        </is>
      </c>
      <c r="N1335" s="12" t="inlineStr">
        <is>
          <t>Rev 0</t>
        </is>
      </c>
      <c r="O1335" s="12" t="inlineStr">
        <is>
          <t>R1514-v1</t>
        </is>
      </c>
      <c r="P1335" s="12" t="inlineStr"/>
      <c r="Q1335" s="12" t="inlineStr"/>
      <c r="R1335" s="12" t="inlineStr"/>
      <c r="S1335" s="12" t="inlineStr"/>
      <c r="T1335" s="12" t="inlineStr"/>
      <c r="U1335" s="12" t="inlineStr"/>
      <c r="V1335" s="12" t="inlineStr">
        <is>
          <t>Cost Account = CA-6032; WBS Code = 1.6.2</t>
        </is>
      </c>
      <c r="W1335" s="12" t="inlineStr"/>
    </row>
    <row r="1336" ht="64" customHeight="1">
      <c r="A1336" s="12" t="inlineStr">
        <is>
          <t>1.6.2</t>
        </is>
      </c>
      <c r="B1336" s="12" t="inlineStr">
        <is>
          <t>Program Management - Commercial &amp; Procurement</t>
        </is>
      </c>
      <c r="C1336" s="12" t="inlineStr">
        <is>
          <t>Cost &amp; Forecast Control Accounts</t>
        </is>
      </c>
      <c r="D1336" s="12" t="inlineStr">
        <is>
          <t>CST-06-034</t>
        </is>
      </c>
      <c r="E1336" s="12" t="inlineStr">
        <is>
          <t>Program Management - design integration - field package</t>
        </is>
      </c>
      <c r="F1336" s="12" t="inlineStr">
        <is>
          <t>ONE_TO_ONE</t>
        </is>
      </c>
      <c r="G1336" s="12" t="inlineStr">
        <is>
          <t>APPROVED</t>
        </is>
      </c>
      <c r="H1336" s="12" t="inlineStr">
        <is>
          <t>New</t>
        </is>
      </c>
      <c r="I1336" s="12" t="inlineStr">
        <is>
          <t>Source assignment -- not individually reviewed</t>
        </is>
      </c>
      <c r="J1336" s="12" t="inlineStr"/>
      <c r="K1336" s="12" t="inlineStr">
        <is>
          <t>Source assignment</t>
        </is>
      </c>
      <c r="L1336" s="12" t="inlineStr"/>
      <c r="M1336" s="12" t="inlineStr">
        <is>
          <t>Initial</t>
        </is>
      </c>
      <c r="N1336" s="12" t="inlineStr">
        <is>
          <t>Rev 0</t>
        </is>
      </c>
      <c r="O1336" s="12" t="inlineStr">
        <is>
          <t>R1516-v1</t>
        </is>
      </c>
      <c r="P1336" s="12" t="inlineStr"/>
      <c r="Q1336" s="12" t="inlineStr"/>
      <c r="R1336" s="12" t="inlineStr"/>
      <c r="S1336" s="12" t="inlineStr"/>
      <c r="T1336" s="12" t="inlineStr"/>
      <c r="U1336" s="12" t="inlineStr"/>
      <c r="V1336" s="12" t="inlineStr">
        <is>
          <t>Cost Account = CA-6034; WBS Code = 1.6.2</t>
        </is>
      </c>
      <c r="W1336" s="12" t="inlineStr"/>
    </row>
    <row r="1337" ht="64" customHeight="1">
      <c r="A1337" s="12" t="inlineStr">
        <is>
          <t>1.6.2</t>
        </is>
      </c>
      <c r="B1337" s="12" t="inlineStr">
        <is>
          <t>Program Management - Commercial &amp; Procurement</t>
        </is>
      </c>
      <c r="C1337" s="12" t="inlineStr">
        <is>
          <t>Cost &amp; Forecast Control Accounts</t>
        </is>
      </c>
      <c r="D1337" s="12" t="inlineStr">
        <is>
          <t>CST-06-036</t>
        </is>
      </c>
      <c r="E1337" s="12" t="inlineStr">
        <is>
          <t>Program Management - program controls - professional services</t>
        </is>
      </c>
      <c r="F1337" s="12" t="inlineStr">
        <is>
          <t>ONE_TO_ONE</t>
        </is>
      </c>
      <c r="G1337" s="12" t="inlineStr">
        <is>
          <t>APPROVED</t>
        </is>
      </c>
      <c r="H1337" s="12" t="inlineStr">
        <is>
          <t>New</t>
        </is>
      </c>
      <c r="I1337" s="12" t="inlineStr">
        <is>
          <t>Source assignment -- not individually reviewed</t>
        </is>
      </c>
      <c r="J1337" s="12" t="inlineStr"/>
      <c r="K1337" s="12" t="inlineStr">
        <is>
          <t>Source assignment</t>
        </is>
      </c>
      <c r="L1337" s="12" t="inlineStr"/>
      <c r="M1337" s="12" t="inlineStr">
        <is>
          <t>Initial</t>
        </is>
      </c>
      <c r="N1337" s="12" t="inlineStr">
        <is>
          <t>Rev 0</t>
        </is>
      </c>
      <c r="O1337" s="12" t="inlineStr">
        <is>
          <t>R1518-v1</t>
        </is>
      </c>
      <c r="P1337" s="12" t="inlineStr"/>
      <c r="Q1337" s="12" t="inlineStr"/>
      <c r="R1337" s="12" t="inlineStr"/>
      <c r="S1337" s="12" t="inlineStr"/>
      <c r="T1337" s="12" t="inlineStr"/>
      <c r="U1337" s="12" t="inlineStr"/>
      <c r="V1337" s="12" t="inlineStr">
        <is>
          <t>Cost Account = CA-6036; WBS Code = 1.6.2</t>
        </is>
      </c>
      <c r="W1337" s="12" t="inlineStr"/>
    </row>
    <row r="1338" ht="64" customHeight="1">
      <c r="A1338" s="12" t="inlineStr">
        <is>
          <t>1.6.2</t>
        </is>
      </c>
      <c r="B1338" s="12" t="inlineStr">
        <is>
          <t>Program Management - Commercial &amp; Procurement</t>
        </is>
      </c>
      <c r="C1338" s="12" t="inlineStr">
        <is>
          <t>Cost &amp; Forecast Control Accounts</t>
        </is>
      </c>
      <c r="D1338" s="12" t="inlineStr">
        <is>
          <t>CST-06-038</t>
        </is>
      </c>
      <c r="E1338" s="12" t="inlineStr">
        <is>
          <t>Program Management - stakeholder services - closeout</t>
        </is>
      </c>
      <c r="F1338" s="12" t="inlineStr">
        <is>
          <t>ONE_TO_ONE</t>
        </is>
      </c>
      <c r="G1338" s="12" t="inlineStr">
        <is>
          <t>APPROVED</t>
        </is>
      </c>
      <c r="H1338" s="12" t="inlineStr">
        <is>
          <t>New</t>
        </is>
      </c>
      <c r="I1338" s="12" t="inlineStr">
        <is>
          <t>Source assignment -- not individually reviewed</t>
        </is>
      </c>
      <c r="J1338" s="12" t="inlineStr"/>
      <c r="K1338" s="12" t="inlineStr">
        <is>
          <t>Source assignment</t>
        </is>
      </c>
      <c r="L1338" s="12" t="inlineStr"/>
      <c r="M1338" s="12" t="inlineStr">
        <is>
          <t>Initial</t>
        </is>
      </c>
      <c r="N1338" s="12" t="inlineStr">
        <is>
          <t>Rev 0</t>
        </is>
      </c>
      <c r="O1338" s="12" t="inlineStr">
        <is>
          <t>R1520-v1</t>
        </is>
      </c>
      <c r="P1338" s="12" t="inlineStr"/>
      <c r="Q1338" s="12" t="inlineStr"/>
      <c r="R1338" s="12" t="inlineStr"/>
      <c r="S1338" s="12" t="inlineStr"/>
      <c r="T1338" s="12" t="inlineStr"/>
      <c r="U1338" s="12" t="inlineStr"/>
      <c r="V1338" s="12" t="inlineStr">
        <is>
          <t>Cost Account = CA-6038; WBS Code = 1.6.2</t>
        </is>
      </c>
      <c r="W1338" s="12" t="inlineStr"/>
    </row>
    <row r="1339" ht="64" customHeight="1">
      <c r="A1339" s="12" t="inlineStr">
        <is>
          <t>1.6.2</t>
        </is>
      </c>
      <c r="B1339" s="12" t="inlineStr">
        <is>
          <t>Program Management - Commercial &amp; Procurement</t>
        </is>
      </c>
      <c r="C1339" s="12" t="inlineStr">
        <is>
          <t>Cost &amp; Forecast Control Accounts</t>
        </is>
      </c>
      <c r="D1339" s="12" t="inlineStr">
        <is>
          <t>CST-06-040</t>
        </is>
      </c>
      <c r="E1339" s="12" t="inlineStr">
        <is>
          <t>Program Management - design integration - supply and install</t>
        </is>
      </c>
      <c r="F1339" s="12" t="inlineStr">
        <is>
          <t>ONE_TO_ONE</t>
        </is>
      </c>
      <c r="G1339" s="12" t="inlineStr">
        <is>
          <t>APPROVED</t>
        </is>
      </c>
      <c r="H1339" s="12" t="inlineStr">
        <is>
          <t>New</t>
        </is>
      </c>
      <c r="I1339" s="12" t="inlineStr">
        <is>
          <t>Source assignment -- not individually reviewed</t>
        </is>
      </c>
      <c r="J1339" s="12" t="inlineStr"/>
      <c r="K1339" s="12" t="inlineStr">
        <is>
          <t>Source assignment</t>
        </is>
      </c>
      <c r="L1339" s="12" t="inlineStr"/>
      <c r="M1339" s="12" t="inlineStr">
        <is>
          <t>Initial</t>
        </is>
      </c>
      <c r="N1339" s="12" t="inlineStr">
        <is>
          <t>Rev 0</t>
        </is>
      </c>
      <c r="O1339" s="12" t="inlineStr">
        <is>
          <t>R1522-v1</t>
        </is>
      </c>
      <c r="P1339" s="12" t="inlineStr"/>
      <c r="Q1339" s="12" t="inlineStr"/>
      <c r="R1339" s="12" t="inlineStr"/>
      <c r="S1339" s="12" t="inlineStr"/>
      <c r="T1339" s="12" t="inlineStr"/>
      <c r="U1339" s="12" t="inlineStr"/>
      <c r="V1339" s="12" t="inlineStr">
        <is>
          <t>Cost Account = CA-6040; WBS Code = 1.6.2</t>
        </is>
      </c>
      <c r="W1339" s="12" t="inlineStr"/>
    </row>
    <row r="1340" ht="64" customHeight="1">
      <c r="A1340" s="12" t="inlineStr">
        <is>
          <t>1.6.2</t>
        </is>
      </c>
      <c r="B1340" s="12" t="inlineStr">
        <is>
          <t>Program Management - Commercial &amp; Procurement</t>
        </is>
      </c>
      <c r="C1340" s="12" t="inlineStr">
        <is>
          <t>Cost &amp; Forecast Control Accounts</t>
        </is>
      </c>
      <c r="D1340" s="12" t="inlineStr">
        <is>
          <t>CST-06-042</t>
        </is>
      </c>
      <c r="E1340" s="12" t="inlineStr">
        <is>
          <t>Program Management - program controls - allowance</t>
        </is>
      </c>
      <c r="F1340" s="12" t="inlineStr">
        <is>
          <t>ONE_TO_ONE</t>
        </is>
      </c>
      <c r="G1340" s="12" t="inlineStr">
        <is>
          <t>APPROVED</t>
        </is>
      </c>
      <c r="H1340" s="12" t="inlineStr">
        <is>
          <t>New</t>
        </is>
      </c>
      <c r="I1340" s="12" t="inlineStr">
        <is>
          <t>Source assignment -- not individually reviewed</t>
        </is>
      </c>
      <c r="J1340" s="12" t="inlineStr"/>
      <c r="K1340" s="12" t="inlineStr">
        <is>
          <t>Source assignment</t>
        </is>
      </c>
      <c r="L1340" s="12" t="inlineStr"/>
      <c r="M1340" s="12" t="inlineStr">
        <is>
          <t>Initial</t>
        </is>
      </c>
      <c r="N1340" s="12" t="inlineStr">
        <is>
          <t>Rev 0</t>
        </is>
      </c>
      <c r="O1340" s="12" t="inlineStr">
        <is>
          <t>R1524-v1</t>
        </is>
      </c>
      <c r="P1340" s="12" t="inlineStr"/>
      <c r="Q1340" s="12" t="inlineStr"/>
      <c r="R1340" s="12" t="inlineStr"/>
      <c r="S1340" s="12" t="inlineStr"/>
      <c r="T1340" s="12" t="inlineStr"/>
      <c r="U1340" s="12" t="inlineStr"/>
      <c r="V1340" s="12" t="inlineStr">
        <is>
          <t>Cost Account = CA-6042; WBS Code = 1.6.2</t>
        </is>
      </c>
      <c r="W1340" s="12" t="inlineStr"/>
    </row>
    <row r="1341" ht="64" customHeight="1">
      <c r="A1341" s="12" t="inlineStr">
        <is>
          <t>1.6.2</t>
        </is>
      </c>
      <c r="B1341" s="12" t="inlineStr">
        <is>
          <t>Program Management - Commercial &amp; Procurement</t>
        </is>
      </c>
      <c r="C1341" s="12" t="inlineStr">
        <is>
          <t>Cost &amp; Forecast Control Accounts</t>
        </is>
      </c>
      <c r="D1341" s="12" t="inlineStr">
        <is>
          <t>CST-06-044</t>
        </is>
      </c>
      <c r="E1341" s="12" t="inlineStr">
        <is>
          <t>Program Management - stakeholder services - field package</t>
        </is>
      </c>
      <c r="F1341" s="12" t="inlineStr">
        <is>
          <t>ONE_TO_ONE</t>
        </is>
      </c>
      <c r="G1341" s="12" t="inlineStr">
        <is>
          <t>APPROVED</t>
        </is>
      </c>
      <c r="H1341" s="12" t="inlineStr">
        <is>
          <t>New</t>
        </is>
      </c>
      <c r="I1341" s="12" t="inlineStr">
        <is>
          <t>Source assignment -- not individually reviewed</t>
        </is>
      </c>
      <c r="J1341" s="12" t="inlineStr"/>
      <c r="K1341" s="12" t="inlineStr">
        <is>
          <t>Source assignment</t>
        </is>
      </c>
      <c r="L1341" s="12" t="inlineStr"/>
      <c r="M1341" s="12" t="inlineStr">
        <is>
          <t>Initial</t>
        </is>
      </c>
      <c r="N1341" s="12" t="inlineStr">
        <is>
          <t>Rev 0</t>
        </is>
      </c>
      <c r="O1341" s="12" t="inlineStr">
        <is>
          <t>R1526-v1</t>
        </is>
      </c>
      <c r="P1341" s="12" t="inlineStr"/>
      <c r="Q1341" s="12" t="inlineStr"/>
      <c r="R1341" s="12" t="inlineStr"/>
      <c r="S1341" s="12" t="inlineStr"/>
      <c r="T1341" s="12" t="inlineStr"/>
      <c r="U1341" s="12" t="inlineStr"/>
      <c r="V1341" s="12" t="inlineStr">
        <is>
          <t>Cost Account = CA-6044; WBS Code = 1.6.2</t>
        </is>
      </c>
      <c r="W1341" s="12" t="inlineStr"/>
    </row>
    <row r="1342" ht="64" customHeight="1">
      <c r="A1342" s="12" t="inlineStr">
        <is>
          <t>1.6.2</t>
        </is>
      </c>
      <c r="B1342" s="12" t="inlineStr">
        <is>
          <t>Program Management - Commercial &amp; Procurement</t>
        </is>
      </c>
      <c r="C1342" s="12" t="inlineStr">
        <is>
          <t>Cost &amp; Forecast Control Accounts</t>
        </is>
      </c>
      <c r="D1342" s="12" t="inlineStr">
        <is>
          <t>CST-06-046</t>
        </is>
      </c>
      <c r="E1342" s="12" t="inlineStr">
        <is>
          <t>Program Management - design integration - professional services</t>
        </is>
      </c>
      <c r="F1342" s="12" t="inlineStr">
        <is>
          <t>ONE_TO_ONE</t>
        </is>
      </c>
      <c r="G1342" s="12" t="inlineStr">
        <is>
          <t>APPROVED</t>
        </is>
      </c>
      <c r="H1342" s="12" t="inlineStr">
        <is>
          <t>New</t>
        </is>
      </c>
      <c r="I1342" s="12" t="inlineStr">
        <is>
          <t>Source assignment -- not individually reviewed</t>
        </is>
      </c>
      <c r="J1342" s="12" t="inlineStr"/>
      <c r="K1342" s="12" t="inlineStr">
        <is>
          <t>Source assignment</t>
        </is>
      </c>
      <c r="L1342" s="12" t="inlineStr"/>
      <c r="M1342" s="12" t="inlineStr">
        <is>
          <t>Initial</t>
        </is>
      </c>
      <c r="N1342" s="12" t="inlineStr">
        <is>
          <t>Rev 0</t>
        </is>
      </c>
      <c r="O1342" s="12" t="inlineStr">
        <is>
          <t>R1528-v1</t>
        </is>
      </c>
      <c r="P1342" s="12" t="inlineStr"/>
      <c r="Q1342" s="12" t="inlineStr"/>
      <c r="R1342" s="12" t="inlineStr"/>
      <c r="S1342" s="12" t="inlineStr"/>
      <c r="T1342" s="12" t="inlineStr"/>
      <c r="U1342" s="12" t="inlineStr"/>
      <c r="V1342" s="12" t="inlineStr">
        <is>
          <t>Cost Account = CA-6046; WBS Code = 1.6.2</t>
        </is>
      </c>
      <c r="W1342" s="12" t="inlineStr"/>
    </row>
    <row r="1343" ht="64" customHeight="1">
      <c r="A1343" s="12" t="inlineStr">
        <is>
          <t>1.6.2</t>
        </is>
      </c>
      <c r="B1343" s="12" t="inlineStr">
        <is>
          <t>Program Management - Commercial &amp; Procurement</t>
        </is>
      </c>
      <c r="C1343" s="12" t="inlineStr">
        <is>
          <t>Cost &amp; Forecast Control Accounts</t>
        </is>
      </c>
      <c r="D1343" s="12" t="inlineStr">
        <is>
          <t>CST-06-048</t>
        </is>
      </c>
      <c r="E1343" s="12" t="inlineStr">
        <is>
          <t>Program Management - program controls - closeout</t>
        </is>
      </c>
      <c r="F1343" s="12" t="inlineStr">
        <is>
          <t>ONE_TO_ONE</t>
        </is>
      </c>
      <c r="G1343" s="12" t="inlineStr">
        <is>
          <t>APPROVED</t>
        </is>
      </c>
      <c r="H1343" s="12" t="inlineStr">
        <is>
          <t>New</t>
        </is>
      </c>
      <c r="I1343" s="12" t="inlineStr">
        <is>
          <t>Source assignment -- not individually reviewed</t>
        </is>
      </c>
      <c r="J1343" s="12" t="inlineStr"/>
      <c r="K1343" s="12" t="inlineStr">
        <is>
          <t>Source assignment</t>
        </is>
      </c>
      <c r="L1343" s="12" t="inlineStr"/>
      <c r="M1343" s="12" t="inlineStr">
        <is>
          <t>Initial</t>
        </is>
      </c>
      <c r="N1343" s="12" t="inlineStr">
        <is>
          <t>Rev 0</t>
        </is>
      </c>
      <c r="O1343" s="12" t="inlineStr">
        <is>
          <t>R1530-v1</t>
        </is>
      </c>
      <c r="P1343" s="12" t="inlineStr"/>
      <c r="Q1343" s="12" t="inlineStr"/>
      <c r="R1343" s="12" t="inlineStr"/>
      <c r="S1343" s="12" t="inlineStr"/>
      <c r="T1343" s="12" t="inlineStr"/>
      <c r="U1343" s="12" t="inlineStr"/>
      <c r="V1343" s="12" t="inlineStr">
        <is>
          <t>Cost Account = CA-6048; WBS Code = 1.6.2</t>
        </is>
      </c>
      <c r="W1343" s="12" t="inlineStr"/>
    </row>
    <row r="1344" ht="64" customHeight="1">
      <c r="A1344" s="12" t="inlineStr">
        <is>
          <t>1.6.2</t>
        </is>
      </c>
      <c r="B1344" s="12" t="inlineStr">
        <is>
          <t>Program Management - Commercial &amp; Procurement</t>
        </is>
      </c>
      <c r="C1344" s="12" t="inlineStr">
        <is>
          <t>Cost &amp; Forecast Control Accounts</t>
        </is>
      </c>
      <c r="D1344" s="12" t="inlineStr">
        <is>
          <t>CST-06-050</t>
        </is>
      </c>
      <c r="E1344" s="12" t="inlineStr">
        <is>
          <t>Program Management - stakeholder services - supply and install</t>
        </is>
      </c>
      <c r="F1344" s="12" t="inlineStr">
        <is>
          <t>ONE_TO_ONE</t>
        </is>
      </c>
      <c r="G1344" s="12" t="inlineStr">
        <is>
          <t>APPROVED</t>
        </is>
      </c>
      <c r="H1344" s="12" t="inlineStr">
        <is>
          <t>New</t>
        </is>
      </c>
      <c r="I1344" s="12" t="inlineStr">
        <is>
          <t>Source assignment -- not individually reviewed</t>
        </is>
      </c>
      <c r="J1344" s="12" t="inlineStr"/>
      <c r="K1344" s="12" t="inlineStr">
        <is>
          <t>Source assignment</t>
        </is>
      </c>
      <c r="L1344" s="12" t="inlineStr"/>
      <c r="M1344" s="12" t="inlineStr">
        <is>
          <t>Initial</t>
        </is>
      </c>
      <c r="N1344" s="12" t="inlineStr">
        <is>
          <t>Rev 0</t>
        </is>
      </c>
      <c r="O1344" s="12" t="inlineStr">
        <is>
          <t>R1532-v1</t>
        </is>
      </c>
      <c r="P1344" s="12" t="inlineStr"/>
      <c r="Q1344" s="12" t="inlineStr"/>
      <c r="R1344" s="12" t="inlineStr"/>
      <c r="S1344" s="12" t="inlineStr"/>
      <c r="T1344" s="12" t="inlineStr"/>
      <c r="U1344" s="12" t="inlineStr"/>
      <c r="V1344" s="12" t="inlineStr">
        <is>
          <t>Cost Account = CA-6050; WBS Code = 1.6.2</t>
        </is>
      </c>
      <c r="W1344" s="12" t="inlineStr"/>
    </row>
    <row r="1345" ht="64" customHeight="1">
      <c r="A1345" s="12" t="inlineStr">
        <is>
          <t>1.6.2</t>
        </is>
      </c>
      <c r="B1345" s="12" t="inlineStr">
        <is>
          <t>Program Management - Commercial &amp; Procurement</t>
        </is>
      </c>
      <c r="C1345" s="12" t="inlineStr">
        <is>
          <t>Cost &amp; Forecast Control Accounts</t>
        </is>
      </c>
      <c r="D1345" s="12" t="inlineStr">
        <is>
          <t>CST-06-052</t>
        </is>
      </c>
      <c r="E1345" s="12" t="inlineStr">
        <is>
          <t>Program Management - design integration - allowance</t>
        </is>
      </c>
      <c r="F1345" s="12" t="inlineStr">
        <is>
          <t>ONE_TO_ONE</t>
        </is>
      </c>
      <c r="G1345" s="12" t="inlineStr">
        <is>
          <t>APPROVED</t>
        </is>
      </c>
      <c r="H1345" s="12" t="inlineStr">
        <is>
          <t>New</t>
        </is>
      </c>
      <c r="I1345" s="12" t="inlineStr">
        <is>
          <t>Source assignment -- not individually reviewed</t>
        </is>
      </c>
      <c r="J1345" s="12" t="inlineStr"/>
      <c r="K1345" s="12" t="inlineStr">
        <is>
          <t>Source assignment</t>
        </is>
      </c>
      <c r="L1345" s="12" t="inlineStr"/>
      <c r="M1345" s="12" t="inlineStr">
        <is>
          <t>Initial</t>
        </is>
      </c>
      <c r="N1345" s="12" t="inlineStr">
        <is>
          <t>Rev 0</t>
        </is>
      </c>
      <c r="O1345" s="12" t="inlineStr">
        <is>
          <t>R1534-v1</t>
        </is>
      </c>
      <c r="P1345" s="12" t="inlineStr"/>
      <c r="Q1345" s="12" t="inlineStr"/>
      <c r="R1345" s="12" t="inlineStr"/>
      <c r="S1345" s="12" t="inlineStr"/>
      <c r="T1345" s="12" t="inlineStr"/>
      <c r="U1345" s="12" t="inlineStr"/>
      <c r="V1345" s="12" t="inlineStr">
        <is>
          <t>Cost Account = CA-6052; WBS Code = 1.6.2</t>
        </is>
      </c>
      <c r="W1345" s="12" t="inlineStr"/>
    </row>
    <row r="1346" ht="64" customHeight="1">
      <c r="A1346" s="12" t="inlineStr">
        <is>
          <t>1.6.2</t>
        </is>
      </c>
      <c r="B1346" s="12" t="inlineStr">
        <is>
          <t>Program Management - Commercial &amp; Procurement</t>
        </is>
      </c>
      <c r="C1346" s="12" t="inlineStr">
        <is>
          <t>Cost &amp; Forecast Control Accounts</t>
        </is>
      </c>
      <c r="D1346" s="12" t="inlineStr">
        <is>
          <t>CST-06-054</t>
        </is>
      </c>
      <c r="E1346" s="12" t="inlineStr">
        <is>
          <t>Program Management - program controls - field package</t>
        </is>
      </c>
      <c r="F1346" s="12" t="inlineStr">
        <is>
          <t>ONE_TO_ONE</t>
        </is>
      </c>
      <c r="G1346" s="12" t="inlineStr">
        <is>
          <t>APPROVED</t>
        </is>
      </c>
      <c r="H1346" s="12" t="inlineStr">
        <is>
          <t>New</t>
        </is>
      </c>
      <c r="I1346" s="12" t="inlineStr">
        <is>
          <t>Source assignment -- not individually reviewed</t>
        </is>
      </c>
      <c r="J1346" s="12" t="inlineStr"/>
      <c r="K1346" s="12" t="inlineStr">
        <is>
          <t>Source assignment</t>
        </is>
      </c>
      <c r="L1346" s="12" t="inlineStr"/>
      <c r="M1346" s="12" t="inlineStr">
        <is>
          <t>Initial</t>
        </is>
      </c>
      <c r="N1346" s="12" t="inlineStr">
        <is>
          <t>Rev 0</t>
        </is>
      </c>
      <c r="O1346" s="12" t="inlineStr">
        <is>
          <t>R1536-v1</t>
        </is>
      </c>
      <c r="P1346" s="12" t="inlineStr"/>
      <c r="Q1346" s="12" t="inlineStr"/>
      <c r="R1346" s="12" t="inlineStr"/>
      <c r="S1346" s="12" t="inlineStr"/>
      <c r="T1346" s="12" t="inlineStr"/>
      <c r="U1346" s="12" t="inlineStr"/>
      <c r="V1346" s="12" t="inlineStr">
        <is>
          <t>Cost Account = CA-6054; WBS Code = 1.6.2</t>
        </is>
      </c>
      <c r="W1346" s="12" t="inlineStr"/>
    </row>
    <row r="1347" ht="64" customHeight="1">
      <c r="A1347" s="12" t="inlineStr">
        <is>
          <t>1.6.2</t>
        </is>
      </c>
      <c r="B1347" s="12" t="inlineStr">
        <is>
          <t>Program Management - Commercial &amp; Procurement</t>
        </is>
      </c>
      <c r="C1347" s="12" t="inlineStr">
        <is>
          <t>Cost &amp; Forecast Control Accounts</t>
        </is>
      </c>
      <c r="D1347" s="12" t="inlineStr">
        <is>
          <t>CST-06-056</t>
        </is>
      </c>
      <c r="E1347" s="12" t="inlineStr">
        <is>
          <t>Program Management - stakeholder services - professional services</t>
        </is>
      </c>
      <c r="F1347" s="12" t="inlineStr">
        <is>
          <t>ONE_TO_ONE</t>
        </is>
      </c>
      <c r="G1347" s="12" t="inlineStr">
        <is>
          <t>APPROVED</t>
        </is>
      </c>
      <c r="H1347" s="12" t="inlineStr">
        <is>
          <t>New</t>
        </is>
      </c>
      <c r="I1347" s="12" t="inlineStr">
        <is>
          <t>Source assignment -- not individually reviewed</t>
        </is>
      </c>
      <c r="J1347" s="12" t="inlineStr"/>
      <c r="K1347" s="12" t="inlineStr">
        <is>
          <t>Source assignment</t>
        </is>
      </c>
      <c r="L1347" s="12" t="inlineStr"/>
      <c r="M1347" s="12" t="inlineStr">
        <is>
          <t>Initial</t>
        </is>
      </c>
      <c r="N1347" s="12" t="inlineStr">
        <is>
          <t>Rev 0</t>
        </is>
      </c>
      <c r="O1347" s="12" t="inlineStr">
        <is>
          <t>R1538-v1</t>
        </is>
      </c>
      <c r="P1347" s="12" t="inlineStr"/>
      <c r="Q1347" s="12" t="inlineStr"/>
      <c r="R1347" s="12" t="inlineStr"/>
      <c r="S1347" s="12" t="inlineStr"/>
      <c r="T1347" s="12" t="inlineStr"/>
      <c r="U1347" s="12" t="inlineStr"/>
      <c r="V1347" s="12" t="inlineStr">
        <is>
          <t>Cost Account = CA-6056; WBS Code = 1.6.2</t>
        </is>
      </c>
      <c r="W1347" s="12" t="inlineStr"/>
    </row>
    <row r="1348" ht="64" customHeight="1">
      <c r="A1348" s="12" t="inlineStr">
        <is>
          <t>1.6.2</t>
        </is>
      </c>
      <c r="B1348" s="12" t="inlineStr">
        <is>
          <t>Program Management - Commercial &amp; Procurement</t>
        </is>
      </c>
      <c r="C1348" s="12" t="inlineStr">
        <is>
          <t>Cost &amp; Forecast Control Accounts</t>
        </is>
      </c>
      <c r="D1348" s="12" t="inlineStr">
        <is>
          <t>CST-06-058</t>
        </is>
      </c>
      <c r="E1348" s="12" t="inlineStr">
        <is>
          <t>Program Management - design integration - closeout</t>
        </is>
      </c>
      <c r="F1348" s="12" t="inlineStr">
        <is>
          <t>ONE_TO_ONE</t>
        </is>
      </c>
      <c r="G1348" s="12" t="inlineStr">
        <is>
          <t>APPROVED</t>
        </is>
      </c>
      <c r="H1348" s="12" t="inlineStr">
        <is>
          <t>New</t>
        </is>
      </c>
      <c r="I1348" s="12" t="inlineStr">
        <is>
          <t>Source assignment -- not individually reviewed</t>
        </is>
      </c>
      <c r="J1348" s="12" t="inlineStr"/>
      <c r="K1348" s="12" t="inlineStr">
        <is>
          <t>Source assignment</t>
        </is>
      </c>
      <c r="L1348" s="12" t="inlineStr"/>
      <c r="M1348" s="12" t="inlineStr">
        <is>
          <t>Initial</t>
        </is>
      </c>
      <c r="N1348" s="12" t="inlineStr">
        <is>
          <t>Rev 0</t>
        </is>
      </c>
      <c r="O1348" s="12" t="inlineStr">
        <is>
          <t>R1540-v1</t>
        </is>
      </c>
      <c r="P1348" s="12" t="inlineStr"/>
      <c r="Q1348" s="12" t="inlineStr"/>
      <c r="R1348" s="12" t="inlineStr"/>
      <c r="S1348" s="12" t="inlineStr"/>
      <c r="T1348" s="12" t="inlineStr"/>
      <c r="U1348" s="12" t="inlineStr"/>
      <c r="V1348" s="12" t="inlineStr">
        <is>
          <t>Cost Account = CA-6058; WBS Code = 1.6.2</t>
        </is>
      </c>
      <c r="W1348" s="12" t="inlineStr"/>
    </row>
    <row r="1349" ht="64" customHeight="1">
      <c r="A1349" s="12" t="inlineStr">
        <is>
          <t>1.6.2</t>
        </is>
      </c>
      <c r="B1349" s="12" t="inlineStr">
        <is>
          <t>Program Management - Commercial &amp; Procurement</t>
        </is>
      </c>
      <c r="C1349" s="12" t="inlineStr">
        <is>
          <t>Cost &amp; Forecast Control Accounts</t>
        </is>
      </c>
      <c r="D1349" s="12" t="inlineStr">
        <is>
          <t>CST-06-060</t>
        </is>
      </c>
      <c r="E1349" s="12" t="inlineStr">
        <is>
          <t>Program Management - program controls - supply and install</t>
        </is>
      </c>
      <c r="F1349" s="12" t="inlineStr">
        <is>
          <t>ONE_TO_ONE</t>
        </is>
      </c>
      <c r="G1349" s="12" t="inlineStr">
        <is>
          <t>APPROVED</t>
        </is>
      </c>
      <c r="H1349" s="12" t="inlineStr">
        <is>
          <t>New</t>
        </is>
      </c>
      <c r="I1349" s="12" t="inlineStr">
        <is>
          <t>Source assignment -- not individually reviewed</t>
        </is>
      </c>
      <c r="J1349" s="12" t="inlineStr"/>
      <c r="K1349" s="12" t="inlineStr">
        <is>
          <t>Source assignment</t>
        </is>
      </c>
      <c r="L1349" s="12" t="inlineStr"/>
      <c r="M1349" s="12" t="inlineStr">
        <is>
          <t>Initial</t>
        </is>
      </c>
      <c r="N1349" s="12" t="inlineStr">
        <is>
          <t>Rev 0</t>
        </is>
      </c>
      <c r="O1349" s="12" t="inlineStr">
        <is>
          <t>R1542-v1</t>
        </is>
      </c>
      <c r="P1349" s="12" t="inlineStr"/>
      <c r="Q1349" s="12" t="inlineStr"/>
      <c r="R1349" s="12" t="inlineStr"/>
      <c r="S1349" s="12" t="inlineStr"/>
      <c r="T1349" s="12" t="inlineStr"/>
      <c r="U1349" s="12" t="inlineStr"/>
      <c r="V1349" s="12" t="inlineStr">
        <is>
          <t>Cost Account = CA-6060; WBS Code = 1.6.2</t>
        </is>
      </c>
      <c r="W1349" s="12" t="inlineStr"/>
    </row>
    <row r="1350" ht="64" customHeight="1">
      <c r="A1350" s="12" t="inlineStr">
        <is>
          <t>1.6.2</t>
        </is>
      </c>
      <c r="B1350" s="12" t="inlineStr">
        <is>
          <t>Program Management - Commercial &amp; Procurement</t>
        </is>
      </c>
      <c r="C1350" s="12" t="inlineStr">
        <is>
          <t>Cost &amp; Forecast Control Accounts</t>
        </is>
      </c>
      <c r="D1350" s="12" t="inlineStr">
        <is>
          <t>CST-06-062</t>
        </is>
      </c>
      <c r="E1350" s="12" t="inlineStr">
        <is>
          <t>Program Management - stakeholder services - allowance</t>
        </is>
      </c>
      <c r="F1350" s="12" t="inlineStr">
        <is>
          <t>ONE_TO_ONE</t>
        </is>
      </c>
      <c r="G1350" s="12" t="inlineStr">
        <is>
          <t>APPROVED</t>
        </is>
      </c>
      <c r="H1350" s="12" t="inlineStr">
        <is>
          <t>New</t>
        </is>
      </c>
      <c r="I1350" s="12" t="inlineStr">
        <is>
          <t>Source assignment -- not individually reviewed</t>
        </is>
      </c>
      <c r="J1350" s="12" t="inlineStr"/>
      <c r="K1350" s="12" t="inlineStr">
        <is>
          <t>Source assignment</t>
        </is>
      </c>
      <c r="L1350" s="12" t="inlineStr"/>
      <c r="M1350" s="12" t="inlineStr">
        <is>
          <t>Initial</t>
        </is>
      </c>
      <c r="N1350" s="12" t="inlineStr">
        <is>
          <t>Rev 0</t>
        </is>
      </c>
      <c r="O1350" s="12" t="inlineStr">
        <is>
          <t>R1544-v1</t>
        </is>
      </c>
      <c r="P1350" s="12" t="inlineStr"/>
      <c r="Q1350" s="12" t="inlineStr"/>
      <c r="R1350" s="12" t="inlineStr"/>
      <c r="S1350" s="12" t="inlineStr"/>
      <c r="T1350" s="12" t="inlineStr"/>
      <c r="U1350" s="12" t="inlineStr"/>
      <c r="V1350" s="12" t="inlineStr">
        <is>
          <t>Cost Account = CA-6062; WBS Code = 1.6.2</t>
        </is>
      </c>
      <c r="W1350" s="12" t="inlineStr"/>
    </row>
    <row r="1351" ht="64" customHeight="1">
      <c r="A1351" s="12" t="inlineStr">
        <is>
          <t>1.6.2</t>
        </is>
      </c>
      <c r="B1351" s="12" t="inlineStr">
        <is>
          <t>Program Management - Commercial &amp; Procurement</t>
        </is>
      </c>
      <c r="C1351" s="12" t="inlineStr">
        <is>
          <t>Cost &amp; Forecast Control Accounts</t>
        </is>
      </c>
      <c r="D1351" s="12" t="inlineStr">
        <is>
          <t>CST-06-064</t>
        </is>
      </c>
      <c r="E1351" s="12" t="inlineStr">
        <is>
          <t>Program Management - design integration - field package</t>
        </is>
      </c>
      <c r="F1351" s="12" t="inlineStr">
        <is>
          <t>ONE_TO_ONE</t>
        </is>
      </c>
      <c r="G1351" s="12" t="inlineStr">
        <is>
          <t>APPROVED</t>
        </is>
      </c>
      <c r="H1351" s="12" t="inlineStr">
        <is>
          <t>New</t>
        </is>
      </c>
      <c r="I1351" s="12" t="inlineStr">
        <is>
          <t>Source assignment -- not individually reviewed</t>
        </is>
      </c>
      <c r="J1351" s="12" t="inlineStr"/>
      <c r="K1351" s="12" t="inlineStr">
        <is>
          <t>Source assignment</t>
        </is>
      </c>
      <c r="L1351" s="12" t="inlineStr"/>
      <c r="M1351" s="12" t="inlineStr">
        <is>
          <t>Initial</t>
        </is>
      </c>
      <c r="N1351" s="12" t="inlineStr">
        <is>
          <t>Rev 0</t>
        </is>
      </c>
      <c r="O1351" s="12" t="inlineStr">
        <is>
          <t>R1546-v1</t>
        </is>
      </c>
      <c r="P1351" s="12" t="inlineStr"/>
      <c r="Q1351" s="12" t="inlineStr"/>
      <c r="R1351" s="12" t="inlineStr"/>
      <c r="S1351" s="12" t="inlineStr"/>
      <c r="T1351" s="12" t="inlineStr"/>
      <c r="U1351" s="12" t="inlineStr"/>
      <c r="V1351" s="12" t="inlineStr">
        <is>
          <t>Cost Account = CA-6064; WBS Code = 1.6.2</t>
        </is>
      </c>
      <c r="W1351" s="12" t="inlineStr"/>
    </row>
    <row r="1352" ht="64" customHeight="1">
      <c r="A1352" s="12" t="inlineStr">
        <is>
          <t>1.6.2</t>
        </is>
      </c>
      <c r="B1352" s="12" t="inlineStr">
        <is>
          <t>Program Management - Commercial &amp; Procurement</t>
        </is>
      </c>
      <c r="C1352" s="12" t="inlineStr">
        <is>
          <t>Cost &amp; Forecast Control Accounts</t>
        </is>
      </c>
      <c r="D1352" s="12" t="inlineStr">
        <is>
          <t>CST-06-066</t>
        </is>
      </c>
      <c r="E1352" s="12" t="inlineStr">
        <is>
          <t>Program Management - program controls - professional services</t>
        </is>
      </c>
      <c r="F1352" s="12" t="inlineStr">
        <is>
          <t>ONE_TO_ONE</t>
        </is>
      </c>
      <c r="G1352" s="12" t="inlineStr">
        <is>
          <t>APPROVED</t>
        </is>
      </c>
      <c r="H1352" s="12" t="inlineStr">
        <is>
          <t>New</t>
        </is>
      </c>
      <c r="I1352" s="12" t="inlineStr">
        <is>
          <t>Source assignment -- not individually reviewed</t>
        </is>
      </c>
      <c r="J1352" s="12" t="inlineStr"/>
      <c r="K1352" s="12" t="inlineStr">
        <is>
          <t>Source assignment</t>
        </is>
      </c>
      <c r="L1352" s="12" t="inlineStr"/>
      <c r="M1352" s="12" t="inlineStr">
        <is>
          <t>Initial</t>
        </is>
      </c>
      <c r="N1352" s="12" t="inlineStr">
        <is>
          <t>Rev 0</t>
        </is>
      </c>
      <c r="O1352" s="12" t="inlineStr">
        <is>
          <t>R1548-v1</t>
        </is>
      </c>
      <c r="P1352" s="12" t="inlineStr"/>
      <c r="Q1352" s="12" t="inlineStr"/>
      <c r="R1352" s="12" t="inlineStr"/>
      <c r="S1352" s="12" t="inlineStr"/>
      <c r="T1352" s="12" t="inlineStr"/>
      <c r="U1352" s="12" t="inlineStr"/>
      <c r="V1352" s="12" t="inlineStr">
        <is>
          <t>Cost Account = CA-6066; WBS Code = 1.6.2</t>
        </is>
      </c>
      <c r="W1352" s="12" t="inlineStr"/>
    </row>
    <row r="1353" ht="64" customHeight="1">
      <c r="A1353" s="12" t="inlineStr">
        <is>
          <t>1.6.2</t>
        </is>
      </c>
      <c r="B1353" s="12" t="inlineStr">
        <is>
          <t>Program Management - Commercial &amp; Procurement</t>
        </is>
      </c>
      <c r="C1353" s="12" t="inlineStr">
        <is>
          <t>Cost &amp; Forecast Control Accounts</t>
        </is>
      </c>
      <c r="D1353" s="12" t="inlineStr">
        <is>
          <t>CST-06-068</t>
        </is>
      </c>
      <c r="E1353" s="12" t="inlineStr">
        <is>
          <t>Program Management - stakeholder services - closeout</t>
        </is>
      </c>
      <c r="F1353" s="12" t="inlineStr">
        <is>
          <t>ONE_TO_ONE</t>
        </is>
      </c>
      <c r="G1353" s="12" t="inlineStr">
        <is>
          <t>APPROVED</t>
        </is>
      </c>
      <c r="H1353" s="12" t="inlineStr">
        <is>
          <t>New</t>
        </is>
      </c>
      <c r="I1353" s="12" t="inlineStr">
        <is>
          <t>Source assignment -- not individually reviewed</t>
        </is>
      </c>
      <c r="J1353" s="12" t="inlineStr"/>
      <c r="K1353" s="12" t="inlineStr">
        <is>
          <t>Source assignment</t>
        </is>
      </c>
      <c r="L1353" s="12" t="inlineStr"/>
      <c r="M1353" s="12" t="inlineStr">
        <is>
          <t>Initial</t>
        </is>
      </c>
      <c r="N1353" s="12" t="inlineStr">
        <is>
          <t>Rev 0</t>
        </is>
      </c>
      <c r="O1353" s="12" t="inlineStr">
        <is>
          <t>R1550-v1</t>
        </is>
      </c>
      <c r="P1353" s="12" t="inlineStr"/>
      <c r="Q1353" s="12" t="inlineStr"/>
      <c r="R1353" s="12" t="inlineStr"/>
      <c r="S1353" s="12" t="inlineStr"/>
      <c r="T1353" s="12" t="inlineStr"/>
      <c r="U1353" s="12" t="inlineStr"/>
      <c r="V1353" s="12" t="inlineStr">
        <is>
          <t>Cost Account = CA-6068; WBS Code = 1.6.2</t>
        </is>
      </c>
      <c r="W1353" s="12" t="inlineStr"/>
    </row>
    <row r="1354" ht="64" customHeight="1">
      <c r="A1354" s="12" t="inlineStr">
        <is>
          <t>1.6.2</t>
        </is>
      </c>
      <c r="B1354" s="12" t="inlineStr">
        <is>
          <t>Program Management - Commercial &amp; Procurement</t>
        </is>
      </c>
      <c r="C1354" s="12" t="inlineStr">
        <is>
          <t>Cost &amp; Forecast Control Accounts</t>
        </is>
      </c>
      <c r="D1354" s="12" t="inlineStr">
        <is>
          <t>CST-06-070</t>
        </is>
      </c>
      <c r="E1354" s="12" t="inlineStr">
        <is>
          <t>Program Management - design integration - supply and install</t>
        </is>
      </c>
      <c r="F1354" s="12" t="inlineStr">
        <is>
          <t>ONE_TO_ONE</t>
        </is>
      </c>
      <c r="G1354" s="12" t="inlineStr">
        <is>
          <t>APPROVED</t>
        </is>
      </c>
      <c r="H1354" s="12" t="inlineStr">
        <is>
          <t>New</t>
        </is>
      </c>
      <c r="I1354" s="12" t="inlineStr">
        <is>
          <t>Source assignment -- not individually reviewed</t>
        </is>
      </c>
      <c r="J1354" s="12" t="inlineStr"/>
      <c r="K1354" s="12" t="inlineStr">
        <is>
          <t>Source assignment</t>
        </is>
      </c>
      <c r="L1354" s="12" t="inlineStr"/>
      <c r="M1354" s="12" t="inlineStr">
        <is>
          <t>Initial</t>
        </is>
      </c>
      <c r="N1354" s="12" t="inlineStr">
        <is>
          <t>Rev 0</t>
        </is>
      </c>
      <c r="O1354" s="12" t="inlineStr">
        <is>
          <t>R1552-v1</t>
        </is>
      </c>
      <c r="P1354" s="12" t="inlineStr"/>
      <c r="Q1354" s="12" t="inlineStr"/>
      <c r="R1354" s="12" t="inlineStr"/>
      <c r="S1354" s="12" t="inlineStr"/>
      <c r="T1354" s="12" t="inlineStr"/>
      <c r="U1354" s="12" t="inlineStr"/>
      <c r="V1354" s="12" t="inlineStr">
        <is>
          <t>Cost Account = CA-6070; WBS Code = 1.6.2</t>
        </is>
      </c>
      <c r="W1354" s="12" t="inlineStr"/>
    </row>
    <row r="1355" ht="64" customHeight="1">
      <c r="A1355" s="12" t="inlineStr">
        <is>
          <t>1.6.2</t>
        </is>
      </c>
      <c r="B1355" s="12" t="inlineStr">
        <is>
          <t>Program Management - Commercial &amp; Procurement</t>
        </is>
      </c>
      <c r="C1355" s="12" t="inlineStr">
        <is>
          <t>Cost &amp; Forecast Control Accounts</t>
        </is>
      </c>
      <c r="D1355" s="12" t="inlineStr">
        <is>
          <t>CST-06-072</t>
        </is>
      </c>
      <c r="E1355" s="12" t="inlineStr">
        <is>
          <t>Program Management - program controls - allowance</t>
        </is>
      </c>
      <c r="F1355" s="12" t="inlineStr">
        <is>
          <t>ONE_TO_ONE</t>
        </is>
      </c>
      <c r="G1355" s="12" t="inlineStr">
        <is>
          <t>APPROVED</t>
        </is>
      </c>
      <c r="H1355" s="12" t="inlineStr">
        <is>
          <t>New</t>
        </is>
      </c>
      <c r="I1355" s="12" t="inlineStr">
        <is>
          <t>Source assignment -- not individually reviewed</t>
        </is>
      </c>
      <c r="J1355" s="12" t="inlineStr"/>
      <c r="K1355" s="12" t="inlineStr">
        <is>
          <t>Source assignment</t>
        </is>
      </c>
      <c r="L1355" s="12" t="inlineStr"/>
      <c r="M1355" s="12" t="inlineStr">
        <is>
          <t>Initial</t>
        </is>
      </c>
      <c r="N1355" s="12" t="inlineStr">
        <is>
          <t>Rev 0</t>
        </is>
      </c>
      <c r="O1355" s="12" t="inlineStr">
        <is>
          <t>R1554-v1</t>
        </is>
      </c>
      <c r="P1355" s="12" t="inlineStr"/>
      <c r="Q1355" s="12" t="inlineStr"/>
      <c r="R1355" s="12" t="inlineStr"/>
      <c r="S1355" s="12" t="inlineStr"/>
      <c r="T1355" s="12" t="inlineStr"/>
      <c r="U1355" s="12" t="inlineStr"/>
      <c r="V1355" s="12" t="inlineStr">
        <is>
          <t>Cost Account = CA-6072; WBS Code = 1.6.2</t>
        </is>
      </c>
      <c r="W1355" s="12" t="inlineStr"/>
    </row>
    <row r="1356" ht="64" customHeight="1">
      <c r="A1356" s="12" t="inlineStr">
        <is>
          <t>1.6.2</t>
        </is>
      </c>
      <c r="B1356" s="12" t="inlineStr">
        <is>
          <t>Program Management - Commercial &amp; Procurement</t>
        </is>
      </c>
      <c r="C1356" s="12" t="inlineStr">
        <is>
          <t>Cost &amp; Forecast Control Accounts</t>
        </is>
      </c>
      <c r="D1356" s="12" t="inlineStr">
        <is>
          <t>CST-06-074</t>
        </is>
      </c>
      <c r="E1356" s="12" t="inlineStr">
        <is>
          <t>Program Management - stakeholder services - field package</t>
        </is>
      </c>
      <c r="F1356" s="12" t="inlineStr">
        <is>
          <t>ONE_TO_ONE</t>
        </is>
      </c>
      <c r="G1356" s="12" t="inlineStr">
        <is>
          <t>APPROVED</t>
        </is>
      </c>
      <c r="H1356" s="12" t="inlineStr">
        <is>
          <t>New</t>
        </is>
      </c>
      <c r="I1356" s="12" t="inlineStr">
        <is>
          <t>Source assignment -- not individually reviewed</t>
        </is>
      </c>
      <c r="J1356" s="12" t="inlineStr"/>
      <c r="K1356" s="12" t="inlineStr">
        <is>
          <t>Source assignment</t>
        </is>
      </c>
      <c r="L1356" s="12" t="inlineStr"/>
      <c r="M1356" s="12" t="inlineStr">
        <is>
          <t>Initial</t>
        </is>
      </c>
      <c r="N1356" s="12" t="inlineStr">
        <is>
          <t>Rev 0</t>
        </is>
      </c>
      <c r="O1356" s="12" t="inlineStr">
        <is>
          <t>R1556-v1</t>
        </is>
      </c>
      <c r="P1356" s="12" t="inlineStr"/>
      <c r="Q1356" s="12" t="inlineStr"/>
      <c r="R1356" s="12" t="inlineStr"/>
      <c r="S1356" s="12" t="inlineStr"/>
      <c r="T1356" s="12" t="inlineStr"/>
      <c r="U1356" s="12" t="inlineStr"/>
      <c r="V1356" s="12" t="inlineStr">
        <is>
          <t>Cost Account = CA-6074; WBS Code = 1.6.2</t>
        </is>
      </c>
      <c r="W1356" s="12" t="inlineStr"/>
    </row>
    <row r="1357" ht="64" customHeight="1">
      <c r="A1357" s="12" t="inlineStr">
        <is>
          <t>1.6.2</t>
        </is>
      </c>
      <c r="B1357" s="12" t="inlineStr">
        <is>
          <t>Program Management - Commercial &amp; Procurement</t>
        </is>
      </c>
      <c r="C1357" s="12" t="inlineStr">
        <is>
          <t>Cost &amp; Forecast Control Accounts</t>
        </is>
      </c>
      <c r="D1357" s="12" t="inlineStr">
        <is>
          <t>CST-06-076</t>
        </is>
      </c>
      <c r="E1357" s="12" t="inlineStr">
        <is>
          <t>Program Management - design integration - professional services</t>
        </is>
      </c>
      <c r="F1357" s="12" t="inlineStr">
        <is>
          <t>ONE_TO_ONE</t>
        </is>
      </c>
      <c r="G1357" s="12" t="inlineStr">
        <is>
          <t>APPROVED</t>
        </is>
      </c>
      <c r="H1357" s="12" t="inlineStr">
        <is>
          <t>New</t>
        </is>
      </c>
      <c r="I1357" s="12" t="inlineStr">
        <is>
          <t>Source assignment -- not individually reviewed</t>
        </is>
      </c>
      <c r="J1357" s="12" t="inlineStr"/>
      <c r="K1357" s="12" t="inlineStr">
        <is>
          <t>Source assignment</t>
        </is>
      </c>
      <c r="L1357" s="12" t="inlineStr"/>
      <c r="M1357" s="12" t="inlineStr">
        <is>
          <t>Initial</t>
        </is>
      </c>
      <c r="N1357" s="12" t="inlineStr">
        <is>
          <t>Rev 0</t>
        </is>
      </c>
      <c r="O1357" s="12" t="inlineStr">
        <is>
          <t>R1558-v1</t>
        </is>
      </c>
      <c r="P1357" s="12" t="inlineStr"/>
      <c r="Q1357" s="12" t="inlineStr"/>
      <c r="R1357" s="12" t="inlineStr"/>
      <c r="S1357" s="12" t="inlineStr"/>
      <c r="T1357" s="12" t="inlineStr"/>
      <c r="U1357" s="12" t="inlineStr"/>
      <c r="V1357" s="12" t="inlineStr">
        <is>
          <t>Cost Account = CA-6076; WBS Code = 1.6.2</t>
        </is>
      </c>
      <c r="W1357" s="12" t="inlineStr"/>
    </row>
    <row r="1358" ht="64" customHeight="1">
      <c r="A1358" s="12" t="inlineStr">
        <is>
          <t>1.6.2</t>
        </is>
      </c>
      <c r="B1358" s="12" t="inlineStr">
        <is>
          <t>Program Management - Commercial &amp; Procurement</t>
        </is>
      </c>
      <c r="C1358" s="12" t="inlineStr">
        <is>
          <t>Cost &amp; Forecast Control Accounts</t>
        </is>
      </c>
      <c r="D1358" s="12" t="inlineStr">
        <is>
          <t>CST-06-078</t>
        </is>
      </c>
      <c r="E1358" s="12" t="inlineStr">
        <is>
          <t>Program Management - program controls - closeout</t>
        </is>
      </c>
      <c r="F1358" s="12" t="inlineStr">
        <is>
          <t>ONE_TO_ONE</t>
        </is>
      </c>
      <c r="G1358" s="12" t="inlineStr">
        <is>
          <t>APPROVED</t>
        </is>
      </c>
      <c r="H1358" s="12" t="inlineStr">
        <is>
          <t>New</t>
        </is>
      </c>
      <c r="I1358" s="12" t="inlineStr">
        <is>
          <t>Source assignment -- not individually reviewed</t>
        </is>
      </c>
      <c r="J1358" s="12" t="inlineStr"/>
      <c r="K1358" s="12" t="inlineStr">
        <is>
          <t>Source assignment</t>
        </is>
      </c>
      <c r="L1358" s="12" t="inlineStr"/>
      <c r="M1358" s="12" t="inlineStr">
        <is>
          <t>Initial</t>
        </is>
      </c>
      <c r="N1358" s="12" t="inlineStr">
        <is>
          <t>Rev 0</t>
        </is>
      </c>
      <c r="O1358" s="12" t="inlineStr">
        <is>
          <t>R1560-v1</t>
        </is>
      </c>
      <c r="P1358" s="12" t="inlineStr"/>
      <c r="Q1358" s="12" t="inlineStr"/>
      <c r="R1358" s="12" t="inlineStr"/>
      <c r="S1358" s="12" t="inlineStr"/>
      <c r="T1358" s="12" t="inlineStr"/>
      <c r="U1358" s="12" t="inlineStr"/>
      <c r="V1358" s="12" t="inlineStr">
        <is>
          <t>Cost Account = CA-6078; WBS Code = 1.6.2</t>
        </is>
      </c>
      <c r="W1358" s="12" t="inlineStr"/>
    </row>
    <row r="1359" ht="64" customHeight="1">
      <c r="A1359" s="12" t="inlineStr">
        <is>
          <t>1.6.2</t>
        </is>
      </c>
      <c r="B1359" s="12" t="inlineStr">
        <is>
          <t>Program Management - Commercial &amp; Procurement</t>
        </is>
      </c>
      <c r="C1359" s="12" t="inlineStr">
        <is>
          <t>Cost &amp; Forecast Control Accounts</t>
        </is>
      </c>
      <c r="D1359" s="12" t="inlineStr">
        <is>
          <t>CST-06-080</t>
        </is>
      </c>
      <c r="E1359" s="12" t="inlineStr">
        <is>
          <t>Program Management - stakeholder services - supply and install</t>
        </is>
      </c>
      <c r="F1359" s="12" t="inlineStr">
        <is>
          <t>ONE_TO_ONE</t>
        </is>
      </c>
      <c r="G1359" s="12" t="inlineStr">
        <is>
          <t>APPROVED</t>
        </is>
      </c>
      <c r="H1359" s="12" t="inlineStr">
        <is>
          <t>New</t>
        </is>
      </c>
      <c r="I1359" s="12" t="inlineStr">
        <is>
          <t>Source assignment -- not individually reviewed</t>
        </is>
      </c>
      <c r="J1359" s="12" t="inlineStr"/>
      <c r="K1359" s="12" t="inlineStr">
        <is>
          <t>Source assignment</t>
        </is>
      </c>
      <c r="L1359" s="12" t="inlineStr"/>
      <c r="M1359" s="12" t="inlineStr">
        <is>
          <t>Initial</t>
        </is>
      </c>
      <c r="N1359" s="12" t="inlineStr">
        <is>
          <t>Rev 0</t>
        </is>
      </c>
      <c r="O1359" s="12" t="inlineStr">
        <is>
          <t>R1562-v1</t>
        </is>
      </c>
      <c r="P1359" s="12" t="inlineStr"/>
      <c r="Q1359" s="12" t="inlineStr"/>
      <c r="R1359" s="12" t="inlineStr"/>
      <c r="S1359" s="12" t="inlineStr"/>
      <c r="T1359" s="12" t="inlineStr"/>
      <c r="U1359" s="12" t="inlineStr"/>
      <c r="V1359" s="12" t="inlineStr">
        <is>
          <t>Cost Account = CA-6080; WBS Code = 1.6.2</t>
        </is>
      </c>
      <c r="W1359" s="12" t="inlineStr"/>
    </row>
    <row r="1360" ht="79" customHeight="1">
      <c r="A1360" s="12" t="inlineStr">
        <is>
          <t>NEW_SCOPE</t>
        </is>
      </c>
      <c r="B1360" s="12" t="inlineStr"/>
      <c r="C1360" s="12" t="inlineStr">
        <is>
          <t>Contractor Programme</t>
        </is>
      </c>
      <c r="D1360" s="12" t="inlineStr">
        <is>
          <t>SCH-90-901</t>
        </is>
      </c>
      <c r="E1360" s="12" t="inlineStr">
        <is>
          <t>Temporary offsite logistics compound</t>
        </is>
      </c>
      <c r="F1360" s="12" t="inlineStr">
        <is>
          <t>NEW_SCOPE</t>
        </is>
      </c>
      <c r="G1360" s="12" t="inlineStr">
        <is>
          <t>APPROVED</t>
        </is>
      </c>
      <c r="H1360" s="12" t="inlineStr">
        <is>
          <t>New</t>
        </is>
      </c>
      <c r="I1360" s="12" t="inlineStr">
        <is>
          <t>Professional decision</t>
        </is>
      </c>
      <c r="J1360" s="12" t="inlineStr">
        <is>
          <t>Maya Chen, Owner Project Controls</t>
        </is>
      </c>
      <c r="K1360" s="12" t="inlineStr">
        <is>
          <t>Professional</t>
        </is>
      </c>
      <c r="L1360" s="12" t="inlineStr"/>
      <c r="M1360" s="12" t="inlineStr">
        <is>
          <t>Initial</t>
        </is>
      </c>
      <c r="N1360" s="12" t="inlineStr">
        <is>
          <t>Rev 0</t>
        </is>
      </c>
      <c r="O1360" s="12" t="inlineStr">
        <is>
          <t>R1081-v2</t>
        </is>
      </c>
      <c r="P1360" s="12" t="inlineStr"/>
      <c r="Q1360" s="12" t="inlineStr"/>
      <c r="R1360" s="12" t="inlineStr"/>
      <c r="S1360" s="12" t="inlineStr"/>
      <c r="T1360" s="12" t="inlineStr">
        <is>
          <t>Individual</t>
        </is>
      </c>
      <c r="U1360" s="12" t="inlineStr"/>
      <c r="V1360" s="12" t="inlineStr">
        <is>
          <t>WBS Code = 2.1</t>
        </is>
      </c>
      <c r="W1360" s="12" t="inlineStr">
        <is>
          <t>Source states 'WBS Code' = '2.1' -- names no element of this WBS -- professional reason (Maya Chen, Owner Project Controls): Source states a project-delivery code outside the currently approved Owner WBS.</t>
        </is>
      </c>
    </row>
    <row r="1361" ht="49" customHeight="1">
      <c r="A1361" s="12" t="inlineStr">
        <is>
          <t>NO_WBS</t>
        </is>
      </c>
      <c r="B1361" s="12" t="inlineStr"/>
      <c r="C1361" s="12" t="inlineStr">
        <is>
          <t>Contractor Programme</t>
        </is>
      </c>
      <c r="D1361" s="12" t="inlineStr">
        <is>
          <t>SCH-90-902</t>
        </is>
      </c>
      <c r="E1361" s="12" t="inlineStr">
        <is>
          <t>Corporate training unrelated to project delivery scope</t>
        </is>
      </c>
      <c r="F1361" s="12" t="inlineStr">
        <is>
          <t>NO_WBS</t>
        </is>
      </c>
      <c r="G1361" s="12" t="inlineStr">
        <is>
          <t>APPROVED</t>
        </is>
      </c>
      <c r="H1361" s="12" t="inlineStr">
        <is>
          <t>New</t>
        </is>
      </c>
      <c r="I1361" s="12" t="inlineStr">
        <is>
          <t>Professional decision</t>
        </is>
      </c>
      <c r="J1361" s="12" t="inlineStr">
        <is>
          <t>Maya Chen, Owner Project Controls</t>
        </is>
      </c>
      <c r="K1361" s="12" t="inlineStr">
        <is>
          <t>Professional</t>
        </is>
      </c>
      <c r="L1361" s="12" t="inlineStr"/>
      <c r="M1361" s="12" t="inlineStr">
        <is>
          <t>Initial</t>
        </is>
      </c>
      <c r="N1361" s="12" t="inlineStr">
        <is>
          <t>Rev 0</t>
        </is>
      </c>
      <c r="O1361" s="12" t="inlineStr">
        <is>
          <t>R1082-v2</t>
        </is>
      </c>
      <c r="P1361" s="12" t="inlineStr"/>
      <c r="Q1361" s="12" t="inlineStr"/>
      <c r="R1361" s="12" t="inlineStr"/>
      <c r="S1361" s="12" t="inlineStr"/>
      <c r="T1361" s="12" t="inlineStr">
        <is>
          <t>Individual</t>
        </is>
      </c>
      <c r="U1361" s="12" t="inlineStr"/>
      <c r="V1361" s="12" t="inlineStr"/>
      <c r="W1361" s="12" t="inlineStr"/>
    </row>
    <row r="1362" ht="64" customHeight="1">
      <c r="A1362" s="12" t="inlineStr">
        <is>
          <t>UNSURE</t>
        </is>
      </c>
      <c r="B1362" s="12" t="inlineStr"/>
      <c r="C1362" s="12" t="inlineStr">
        <is>
          <t>Contractor Programme</t>
        </is>
      </c>
      <c r="D1362" s="12" t="inlineStr">
        <is>
          <t>SCH-02-003</t>
        </is>
      </c>
      <c r="E1362" s="12" t="inlineStr">
        <is>
          <t>Interface works near stations boundary</t>
        </is>
      </c>
      <c r="F1362" s="12" t="inlineStr">
        <is>
          <t>UNSURE</t>
        </is>
      </c>
      <c r="G1362" s="12" t="inlineStr">
        <is>
          <t>APPROVED</t>
        </is>
      </c>
      <c r="H1362" s="12" t="inlineStr">
        <is>
          <t>New</t>
        </is>
      </c>
      <c r="I1362" s="12" t="inlineStr">
        <is>
          <t>Professional decision</t>
        </is>
      </c>
      <c r="J1362" s="12" t="inlineStr">
        <is>
          <t>Maya Chen, Owner Project Controls</t>
        </is>
      </c>
      <c r="K1362" s="12" t="inlineStr">
        <is>
          <t>Professional</t>
        </is>
      </c>
      <c r="L1362" s="12" t="inlineStr"/>
      <c r="M1362" s="12" t="inlineStr">
        <is>
          <t>Initial</t>
        </is>
      </c>
      <c r="N1362" s="12" t="inlineStr">
        <is>
          <t>Rev 0</t>
        </is>
      </c>
      <c r="O1362" s="12" t="inlineStr">
        <is>
          <t>R183-v2</t>
        </is>
      </c>
      <c r="P1362" s="12" t="inlineStr"/>
      <c r="Q1362" s="12" t="inlineStr"/>
      <c r="R1362" s="12" t="inlineStr"/>
      <c r="S1362" s="12" t="inlineStr"/>
      <c r="T1362" s="12" t="inlineStr">
        <is>
          <t>Group decision (182 records sharing one decision state)</t>
        </is>
      </c>
      <c r="U1362" s="12" t="inlineStr"/>
      <c r="V1362" s="12" t="inlineStr"/>
      <c r="W1362" s="12" t="inlineStr"/>
    </row>
    <row r="1363" ht="64" customHeight="1">
      <c r="A1363" s="12" t="inlineStr">
        <is>
          <t>UNSURE</t>
        </is>
      </c>
      <c r="B1363" s="12" t="inlineStr"/>
      <c r="C1363" s="12" t="inlineStr">
        <is>
          <t>Contractor Programme</t>
        </is>
      </c>
      <c r="D1363" s="12" t="inlineStr">
        <is>
          <t>SCH-04-003</t>
        </is>
      </c>
      <c r="E1363" s="12" t="inlineStr">
        <is>
          <t>Interface works near vehicles and depot boundary</t>
        </is>
      </c>
      <c r="F1363" s="12" t="inlineStr">
        <is>
          <t>UNSURE</t>
        </is>
      </c>
      <c r="G1363" s="12" t="inlineStr">
        <is>
          <t>APPROVED</t>
        </is>
      </c>
      <c r="H1363" s="12" t="inlineStr">
        <is>
          <t>New</t>
        </is>
      </c>
      <c r="I1363" s="12" t="inlineStr">
        <is>
          <t>Professional decision</t>
        </is>
      </c>
      <c r="J1363" s="12" t="inlineStr">
        <is>
          <t>Maya Chen, Owner Project Controls</t>
        </is>
      </c>
      <c r="K1363" s="12" t="inlineStr">
        <is>
          <t>Professional</t>
        </is>
      </c>
      <c r="L1363" s="12" t="inlineStr"/>
      <c r="M1363" s="12" t="inlineStr">
        <is>
          <t>Initial</t>
        </is>
      </c>
      <c r="N1363" s="12" t="inlineStr">
        <is>
          <t>Rev 0</t>
        </is>
      </c>
      <c r="O1363" s="12" t="inlineStr">
        <is>
          <t>R543-v2</t>
        </is>
      </c>
      <c r="P1363" s="12" t="inlineStr"/>
      <c r="Q1363" s="12" t="inlineStr"/>
      <c r="R1363" s="12" t="inlineStr"/>
      <c r="S1363" s="12" t="inlineStr"/>
      <c r="T1363" s="12" t="inlineStr">
        <is>
          <t>Group decision (182 records sharing one decision state)</t>
        </is>
      </c>
      <c r="U1363" s="12" t="inlineStr"/>
      <c r="V1363" s="12" t="inlineStr"/>
      <c r="W1363" s="12" t="inlineStr"/>
    </row>
    <row r="1364" ht="64" customHeight="1">
      <c r="A1364" s="12" t="inlineStr">
        <is>
          <t>UNSURE</t>
        </is>
      </c>
      <c r="B1364" s="12" t="inlineStr"/>
      <c r="C1364" s="12" t="inlineStr">
        <is>
          <t>Contractor Programme</t>
        </is>
      </c>
      <c r="D1364" s="12" t="inlineStr">
        <is>
          <t>SCH-06-001</t>
        </is>
      </c>
      <c r="E1364" s="12" t="inlineStr">
        <is>
          <t>Systems package: commercial change review - installation</t>
        </is>
      </c>
      <c r="F1364" s="12" t="inlineStr">
        <is>
          <t>UNSURE</t>
        </is>
      </c>
      <c r="G1364" s="12" t="inlineStr">
        <is>
          <t>APPROVED</t>
        </is>
      </c>
      <c r="H1364" s="12" t="inlineStr">
        <is>
          <t>New</t>
        </is>
      </c>
      <c r="I1364" s="12" t="inlineStr">
        <is>
          <t>Professional decision</t>
        </is>
      </c>
      <c r="J1364" s="12" t="inlineStr">
        <is>
          <t>Maya Chen, Owner Project Controls</t>
        </is>
      </c>
      <c r="K1364" s="12" t="inlineStr">
        <is>
          <t>Professional</t>
        </is>
      </c>
      <c r="L1364" s="12" t="inlineStr"/>
      <c r="M1364" s="12" t="inlineStr">
        <is>
          <t>Initial</t>
        </is>
      </c>
      <c r="N1364" s="12" t="inlineStr">
        <is>
          <t>Rev 0</t>
        </is>
      </c>
      <c r="O1364" s="12" t="inlineStr">
        <is>
          <t>R901-v2</t>
        </is>
      </c>
      <c r="P1364" s="12" t="inlineStr"/>
      <c r="Q1364" s="12" t="inlineStr"/>
      <c r="R1364" s="12" t="inlineStr"/>
      <c r="S1364" s="12" t="inlineStr"/>
      <c r="T1364" s="12" t="inlineStr">
        <is>
          <t>Group decision (182 records sharing one decision state)</t>
        </is>
      </c>
      <c r="U1364" s="12" t="inlineStr"/>
      <c r="V1364" s="12" t="inlineStr"/>
      <c r="W1364" s="12" t="inlineStr"/>
    </row>
    <row r="1365" ht="64" customHeight="1">
      <c r="A1365" s="12" t="inlineStr">
        <is>
          <t>UNSURE</t>
        </is>
      </c>
      <c r="B1365" s="12" t="inlineStr"/>
      <c r="C1365" s="12" t="inlineStr">
        <is>
          <t>Contractor Programme</t>
        </is>
      </c>
      <c r="D1365" s="12" t="inlineStr">
        <is>
          <t>SCH-06-002</t>
        </is>
      </c>
      <c r="E1365" s="12" t="inlineStr">
        <is>
          <t>Fleet package: design-package integration review - inspection</t>
        </is>
      </c>
      <c r="F1365" s="12" t="inlineStr">
        <is>
          <t>UNSURE</t>
        </is>
      </c>
      <c r="G1365" s="12" t="inlineStr">
        <is>
          <t>APPROVED</t>
        </is>
      </c>
      <c r="H1365" s="12" t="inlineStr">
        <is>
          <t>New</t>
        </is>
      </c>
      <c r="I1365" s="12" t="inlineStr">
        <is>
          <t>Professional decision</t>
        </is>
      </c>
      <c r="J1365" s="12" t="inlineStr">
        <is>
          <t>Maya Chen, Owner Project Controls</t>
        </is>
      </c>
      <c r="K1365" s="12" t="inlineStr">
        <is>
          <t>Professional</t>
        </is>
      </c>
      <c r="L1365" s="12" t="inlineStr"/>
      <c r="M1365" s="12" t="inlineStr">
        <is>
          <t>Initial</t>
        </is>
      </c>
      <c r="N1365" s="12" t="inlineStr">
        <is>
          <t>Rev 0</t>
        </is>
      </c>
      <c r="O1365" s="12" t="inlineStr">
        <is>
          <t>R902-v2</t>
        </is>
      </c>
      <c r="P1365" s="12" t="inlineStr"/>
      <c r="Q1365" s="12" t="inlineStr"/>
      <c r="R1365" s="12" t="inlineStr"/>
      <c r="S1365" s="12" t="inlineStr"/>
      <c r="T1365" s="12" t="inlineStr">
        <is>
          <t>Group decision (182 records sharing one decision state)</t>
        </is>
      </c>
      <c r="U1365" s="12" t="inlineStr"/>
      <c r="V1365" s="12" t="inlineStr"/>
      <c r="W1365" s="12" t="inlineStr"/>
    </row>
    <row r="1366" ht="64" customHeight="1">
      <c r="A1366" s="12" t="inlineStr">
        <is>
          <t>UNSURE</t>
        </is>
      </c>
      <c r="B1366" s="12" t="inlineStr"/>
      <c r="C1366" s="12" t="inlineStr">
        <is>
          <t>Contractor Programme</t>
        </is>
      </c>
      <c r="D1366" s="12" t="inlineStr">
        <is>
          <t>SCH-06-003</t>
        </is>
      </c>
      <c r="E1366" s="12" t="inlineStr">
        <is>
          <t>Interface works near program management boundary</t>
        </is>
      </c>
      <c r="F1366" s="12" t="inlineStr">
        <is>
          <t>UNSURE</t>
        </is>
      </c>
      <c r="G1366" s="12" t="inlineStr">
        <is>
          <t>APPROVED</t>
        </is>
      </c>
      <c r="H1366" s="12" t="inlineStr">
        <is>
          <t>New</t>
        </is>
      </c>
      <c r="I1366" s="12" t="inlineStr">
        <is>
          <t>Professional decision</t>
        </is>
      </c>
      <c r="J1366" s="12" t="inlineStr">
        <is>
          <t>Maya Chen, Owner Project Controls</t>
        </is>
      </c>
      <c r="K1366" s="12" t="inlineStr">
        <is>
          <t>Professional</t>
        </is>
      </c>
      <c r="L1366" s="12" t="inlineStr"/>
      <c r="M1366" s="12" t="inlineStr">
        <is>
          <t>Initial</t>
        </is>
      </c>
      <c r="N1366" s="12" t="inlineStr">
        <is>
          <t>Rev 0</t>
        </is>
      </c>
      <c r="O1366" s="12" t="inlineStr">
        <is>
          <t>R903-v2</t>
        </is>
      </c>
      <c r="P1366" s="12" t="inlineStr"/>
      <c r="Q1366" s="12" t="inlineStr"/>
      <c r="R1366" s="12" t="inlineStr"/>
      <c r="S1366" s="12" t="inlineStr"/>
      <c r="T1366" s="12" t="inlineStr">
        <is>
          <t>Group decision (182 records sharing one decision state)</t>
        </is>
      </c>
      <c r="U1366" s="12" t="inlineStr"/>
      <c r="V1366" s="12" t="inlineStr"/>
      <c r="W1366" s="12" t="inlineStr"/>
    </row>
    <row r="1367" ht="64" customHeight="1">
      <c r="A1367" s="12" t="inlineStr">
        <is>
          <t>UNSURE</t>
        </is>
      </c>
      <c r="B1367" s="12" t="inlineStr"/>
      <c r="C1367" s="12" t="inlineStr">
        <is>
          <t>Contractor Programme</t>
        </is>
      </c>
      <c r="D1367" s="12" t="inlineStr">
        <is>
          <t>SCH-06-004</t>
        </is>
      </c>
      <c r="E1367" s="12" t="inlineStr">
        <is>
          <t>Civil package: permit coordination - release</t>
        </is>
      </c>
      <c r="F1367" s="12" t="inlineStr">
        <is>
          <t>UNSURE</t>
        </is>
      </c>
      <c r="G1367" s="12" t="inlineStr">
        <is>
          <t>APPROVED</t>
        </is>
      </c>
      <c r="H1367" s="12" t="inlineStr">
        <is>
          <t>New</t>
        </is>
      </c>
      <c r="I1367" s="12" t="inlineStr">
        <is>
          <t>Professional decision</t>
        </is>
      </c>
      <c r="J1367" s="12" t="inlineStr">
        <is>
          <t>Maya Chen, Owner Project Controls</t>
        </is>
      </c>
      <c r="K1367" s="12" t="inlineStr">
        <is>
          <t>Professional</t>
        </is>
      </c>
      <c r="L1367" s="12" t="inlineStr"/>
      <c r="M1367" s="12" t="inlineStr">
        <is>
          <t>Initial</t>
        </is>
      </c>
      <c r="N1367" s="12" t="inlineStr">
        <is>
          <t>Rev 0</t>
        </is>
      </c>
      <c r="O1367" s="12" t="inlineStr">
        <is>
          <t>R904-v2</t>
        </is>
      </c>
      <c r="P1367" s="12" t="inlineStr"/>
      <c r="Q1367" s="12" t="inlineStr"/>
      <c r="R1367" s="12" t="inlineStr"/>
      <c r="S1367" s="12" t="inlineStr"/>
      <c r="T1367" s="12" t="inlineStr">
        <is>
          <t>Group decision (182 records sharing one decision state)</t>
        </is>
      </c>
      <c r="U1367" s="12" t="inlineStr"/>
      <c r="V1367" s="12" t="inlineStr"/>
      <c r="W1367" s="12" t="inlineStr"/>
    </row>
    <row r="1368" ht="64" customHeight="1">
      <c r="A1368" s="12" t="inlineStr">
        <is>
          <t>UNSURE</t>
        </is>
      </c>
      <c r="B1368" s="12" t="inlineStr"/>
      <c r="C1368" s="12" t="inlineStr">
        <is>
          <t>Contractor Programme</t>
        </is>
      </c>
      <c r="D1368" s="12" t="inlineStr">
        <is>
          <t>SCH-06-005</t>
        </is>
      </c>
      <c r="E1368" s="12" t="inlineStr">
        <is>
          <t>Stations package: delivery risk workshop - field start</t>
        </is>
      </c>
      <c r="F1368" s="12" t="inlineStr">
        <is>
          <t>UNSURE</t>
        </is>
      </c>
      <c r="G1368" s="12" t="inlineStr">
        <is>
          <t>APPROVED</t>
        </is>
      </c>
      <c r="H1368" s="12" t="inlineStr">
        <is>
          <t>New</t>
        </is>
      </c>
      <c r="I1368" s="12" t="inlineStr">
        <is>
          <t>Professional decision</t>
        </is>
      </c>
      <c r="J1368" s="12" t="inlineStr">
        <is>
          <t>Maya Chen, Owner Project Controls</t>
        </is>
      </c>
      <c r="K1368" s="12" t="inlineStr">
        <is>
          <t>Professional</t>
        </is>
      </c>
      <c r="L1368" s="12" t="inlineStr"/>
      <c r="M1368" s="12" t="inlineStr">
        <is>
          <t>Initial</t>
        </is>
      </c>
      <c r="N1368" s="12" t="inlineStr">
        <is>
          <t>Rev 0</t>
        </is>
      </c>
      <c r="O1368" s="12" t="inlineStr">
        <is>
          <t>R905-v2</t>
        </is>
      </c>
      <c r="P1368" s="12" t="inlineStr"/>
      <c r="Q1368" s="12" t="inlineStr"/>
      <c r="R1368" s="12" t="inlineStr"/>
      <c r="S1368" s="12" t="inlineStr"/>
      <c r="T1368" s="12" t="inlineStr">
        <is>
          <t>Group decision (182 records sharing one decision state)</t>
        </is>
      </c>
      <c r="U1368" s="12" t="inlineStr"/>
      <c r="V1368" s="12" t="inlineStr"/>
      <c r="W1368" s="12" t="inlineStr"/>
    </row>
    <row r="1369" ht="64" customHeight="1">
      <c r="A1369" s="12" t="inlineStr">
        <is>
          <t>UNSURE</t>
        </is>
      </c>
      <c r="B1369" s="12" t="inlineStr"/>
      <c r="C1369" s="12" t="inlineStr">
        <is>
          <t>Contractor Programme</t>
        </is>
      </c>
      <c r="D1369" s="12" t="inlineStr">
        <is>
          <t>SCH-06-006</t>
        </is>
      </c>
      <c r="E1369" s="12" t="inlineStr">
        <is>
          <t>Systems package: monthly controls cut-off - installation</t>
        </is>
      </c>
      <c r="F1369" s="12" t="inlineStr">
        <is>
          <t>UNSURE</t>
        </is>
      </c>
      <c r="G1369" s="12" t="inlineStr">
        <is>
          <t>APPROVED</t>
        </is>
      </c>
      <c r="H1369" s="12" t="inlineStr">
        <is>
          <t>New</t>
        </is>
      </c>
      <c r="I1369" s="12" t="inlineStr">
        <is>
          <t>Professional decision</t>
        </is>
      </c>
      <c r="J1369" s="12" t="inlineStr">
        <is>
          <t>Maya Chen, Owner Project Controls</t>
        </is>
      </c>
      <c r="K1369" s="12" t="inlineStr">
        <is>
          <t>Professional</t>
        </is>
      </c>
      <c r="L1369" s="12" t="inlineStr"/>
      <c r="M1369" s="12" t="inlineStr">
        <is>
          <t>Initial</t>
        </is>
      </c>
      <c r="N1369" s="12" t="inlineStr">
        <is>
          <t>Rev 0</t>
        </is>
      </c>
      <c r="O1369" s="12" t="inlineStr">
        <is>
          <t>R906-v2</t>
        </is>
      </c>
      <c r="P1369" s="12" t="inlineStr"/>
      <c r="Q1369" s="12" t="inlineStr"/>
      <c r="R1369" s="12" t="inlineStr"/>
      <c r="S1369" s="12" t="inlineStr"/>
      <c r="T1369" s="12" t="inlineStr">
        <is>
          <t>Group decision (182 records sharing one decision state)</t>
        </is>
      </c>
      <c r="U1369" s="12" t="inlineStr"/>
      <c r="V1369" s="12" t="inlineStr"/>
      <c r="W1369" s="12" t="inlineStr"/>
    </row>
    <row r="1370" ht="64" customHeight="1">
      <c r="A1370" s="12" t="inlineStr">
        <is>
          <t>UNSURE</t>
        </is>
      </c>
      <c r="B1370" s="12" t="inlineStr"/>
      <c r="C1370" s="12" t="inlineStr">
        <is>
          <t>Contractor Programme</t>
        </is>
      </c>
      <c r="D1370" s="12" t="inlineStr">
        <is>
          <t>SCH-06-007</t>
        </is>
      </c>
      <c r="E1370" s="12" t="inlineStr">
        <is>
          <t>Fleet package: stakeholder interface meeting - inspection</t>
        </is>
      </c>
      <c r="F1370" s="12" t="inlineStr">
        <is>
          <t>UNSURE</t>
        </is>
      </c>
      <c r="G1370" s="12" t="inlineStr">
        <is>
          <t>APPROVED</t>
        </is>
      </c>
      <c r="H1370" s="12" t="inlineStr">
        <is>
          <t>New</t>
        </is>
      </c>
      <c r="I1370" s="12" t="inlineStr">
        <is>
          <t>Professional decision</t>
        </is>
      </c>
      <c r="J1370" s="12" t="inlineStr">
        <is>
          <t>Maya Chen, Owner Project Controls</t>
        </is>
      </c>
      <c r="K1370" s="12" t="inlineStr">
        <is>
          <t>Professional</t>
        </is>
      </c>
      <c r="L1370" s="12" t="inlineStr"/>
      <c r="M1370" s="12" t="inlineStr">
        <is>
          <t>Initial</t>
        </is>
      </c>
      <c r="N1370" s="12" t="inlineStr">
        <is>
          <t>Rev 0</t>
        </is>
      </c>
      <c r="O1370" s="12" t="inlineStr">
        <is>
          <t>R907-v2</t>
        </is>
      </c>
      <c r="P1370" s="12" t="inlineStr"/>
      <c r="Q1370" s="12" t="inlineStr"/>
      <c r="R1370" s="12" t="inlineStr"/>
      <c r="S1370" s="12" t="inlineStr"/>
      <c r="T1370" s="12" t="inlineStr">
        <is>
          <t>Group decision (182 records sharing one decision state)</t>
        </is>
      </c>
      <c r="U1370" s="12" t="inlineStr"/>
      <c r="V1370" s="12" t="inlineStr"/>
      <c r="W1370" s="12" t="inlineStr"/>
    </row>
    <row r="1371" ht="64" customHeight="1">
      <c r="A1371" s="12" t="inlineStr">
        <is>
          <t>UNSURE</t>
        </is>
      </c>
      <c r="B1371" s="12" t="inlineStr"/>
      <c r="C1371" s="12" t="inlineStr">
        <is>
          <t>Contractor Programme</t>
        </is>
      </c>
      <c r="D1371" s="12" t="inlineStr">
        <is>
          <t>SCH-06-008</t>
        </is>
      </c>
      <c r="E1371" s="12" t="inlineStr">
        <is>
          <t>Program office: baseline change control - turnover</t>
        </is>
      </c>
      <c r="F1371" s="12" t="inlineStr">
        <is>
          <t>UNSURE</t>
        </is>
      </c>
      <c r="G1371" s="12" t="inlineStr">
        <is>
          <t>APPROVED</t>
        </is>
      </c>
      <c r="H1371" s="12" t="inlineStr">
        <is>
          <t>New</t>
        </is>
      </c>
      <c r="I1371" s="12" t="inlineStr">
        <is>
          <t>Professional decision</t>
        </is>
      </c>
      <c r="J1371" s="12" t="inlineStr">
        <is>
          <t>Maya Chen, Owner Project Controls</t>
        </is>
      </c>
      <c r="K1371" s="12" t="inlineStr">
        <is>
          <t>Professional</t>
        </is>
      </c>
      <c r="L1371" s="12" t="inlineStr"/>
      <c r="M1371" s="12" t="inlineStr">
        <is>
          <t>Initial</t>
        </is>
      </c>
      <c r="N1371" s="12" t="inlineStr">
        <is>
          <t>Rev 0</t>
        </is>
      </c>
      <c r="O1371" s="12" t="inlineStr">
        <is>
          <t>R908-v2</t>
        </is>
      </c>
      <c r="P1371" s="12" t="inlineStr"/>
      <c r="Q1371" s="12" t="inlineStr"/>
      <c r="R1371" s="12" t="inlineStr"/>
      <c r="S1371" s="12" t="inlineStr"/>
      <c r="T1371" s="12" t="inlineStr">
        <is>
          <t>Group decision (182 records sharing one decision state)</t>
        </is>
      </c>
      <c r="U1371" s="12" t="inlineStr"/>
      <c r="V1371" s="12" t="inlineStr"/>
      <c r="W1371" s="12" t="inlineStr"/>
    </row>
    <row r="1372" ht="64" customHeight="1">
      <c r="A1372" s="12" t="inlineStr">
        <is>
          <t>UNSURE</t>
        </is>
      </c>
      <c r="B1372" s="12" t="inlineStr"/>
      <c r="C1372" s="12" t="inlineStr">
        <is>
          <t>Contractor Programme</t>
        </is>
      </c>
      <c r="D1372" s="12" t="inlineStr">
        <is>
          <t>SCH-06-009</t>
        </is>
      </c>
      <c r="E1372" s="12" t="inlineStr">
        <is>
          <t>Civil package: commercial change review - release</t>
        </is>
      </c>
      <c r="F1372" s="12" t="inlineStr">
        <is>
          <t>UNSURE</t>
        </is>
      </c>
      <c r="G1372" s="12" t="inlineStr">
        <is>
          <t>APPROVED</t>
        </is>
      </c>
      <c r="H1372" s="12" t="inlineStr">
        <is>
          <t>New</t>
        </is>
      </c>
      <c r="I1372" s="12" t="inlineStr">
        <is>
          <t>Professional decision</t>
        </is>
      </c>
      <c r="J1372" s="12" t="inlineStr">
        <is>
          <t>Maya Chen, Owner Project Controls</t>
        </is>
      </c>
      <c r="K1372" s="12" t="inlineStr">
        <is>
          <t>Professional</t>
        </is>
      </c>
      <c r="L1372" s="12" t="inlineStr"/>
      <c r="M1372" s="12" t="inlineStr">
        <is>
          <t>Initial</t>
        </is>
      </c>
      <c r="N1372" s="12" t="inlineStr">
        <is>
          <t>Rev 0</t>
        </is>
      </c>
      <c r="O1372" s="12" t="inlineStr">
        <is>
          <t>R909-v2</t>
        </is>
      </c>
      <c r="P1372" s="12" t="inlineStr"/>
      <c r="Q1372" s="12" t="inlineStr"/>
      <c r="R1372" s="12" t="inlineStr"/>
      <c r="S1372" s="12" t="inlineStr"/>
      <c r="T1372" s="12" t="inlineStr">
        <is>
          <t>Group decision (182 records sharing one decision state)</t>
        </is>
      </c>
      <c r="U1372" s="12" t="inlineStr"/>
      <c r="V1372" s="12" t="inlineStr"/>
      <c r="W1372" s="12" t="inlineStr"/>
    </row>
    <row r="1373" ht="64" customHeight="1">
      <c r="A1373" s="12" t="inlineStr">
        <is>
          <t>UNSURE</t>
        </is>
      </c>
      <c r="B1373" s="12" t="inlineStr"/>
      <c r="C1373" s="12" t="inlineStr">
        <is>
          <t>Contractor Programme</t>
        </is>
      </c>
      <c r="D1373" s="12" t="inlineStr">
        <is>
          <t>SCH-06-010</t>
        </is>
      </c>
      <c r="E1373" s="12" t="inlineStr">
        <is>
          <t>Stations package: design-package integration review - field start</t>
        </is>
      </c>
      <c r="F1373" s="12" t="inlineStr">
        <is>
          <t>UNSURE</t>
        </is>
      </c>
      <c r="G1373" s="12" t="inlineStr">
        <is>
          <t>APPROVED</t>
        </is>
      </c>
      <c r="H1373" s="12" t="inlineStr">
        <is>
          <t>New</t>
        </is>
      </c>
      <c r="I1373" s="12" t="inlineStr">
        <is>
          <t>Professional decision</t>
        </is>
      </c>
      <c r="J1373" s="12" t="inlineStr">
        <is>
          <t>Maya Chen, Owner Project Controls</t>
        </is>
      </c>
      <c r="K1373" s="12" t="inlineStr">
        <is>
          <t>Professional</t>
        </is>
      </c>
      <c r="L1373" s="12" t="inlineStr"/>
      <c r="M1373" s="12" t="inlineStr">
        <is>
          <t>Initial</t>
        </is>
      </c>
      <c r="N1373" s="12" t="inlineStr">
        <is>
          <t>Rev 0</t>
        </is>
      </c>
      <c r="O1373" s="12" t="inlineStr">
        <is>
          <t>R910-v2</t>
        </is>
      </c>
      <c r="P1373" s="12" t="inlineStr"/>
      <c r="Q1373" s="12" t="inlineStr"/>
      <c r="R1373" s="12" t="inlineStr"/>
      <c r="S1373" s="12" t="inlineStr"/>
      <c r="T1373" s="12" t="inlineStr">
        <is>
          <t>Group decision (182 records sharing one decision state)</t>
        </is>
      </c>
      <c r="U1373" s="12" t="inlineStr"/>
      <c r="V1373" s="12" t="inlineStr"/>
      <c r="W1373" s="12" t="inlineStr"/>
    </row>
    <row r="1374" ht="64" customHeight="1">
      <c r="A1374" s="12" t="inlineStr">
        <is>
          <t>UNSURE</t>
        </is>
      </c>
      <c r="B1374" s="12" t="inlineStr"/>
      <c r="C1374" s="12" t="inlineStr">
        <is>
          <t>Contractor Programme</t>
        </is>
      </c>
      <c r="D1374" s="12" t="inlineStr">
        <is>
          <t>SCH-06-011</t>
        </is>
      </c>
      <c r="E1374" s="12" t="inlineStr">
        <is>
          <t>Systems package: executive reporting close - installation</t>
        </is>
      </c>
      <c r="F1374" s="12" t="inlineStr">
        <is>
          <t>UNSURE</t>
        </is>
      </c>
      <c r="G1374" s="12" t="inlineStr">
        <is>
          <t>APPROVED</t>
        </is>
      </c>
      <c r="H1374" s="12" t="inlineStr">
        <is>
          <t>New</t>
        </is>
      </c>
      <c r="I1374" s="12" t="inlineStr">
        <is>
          <t>Professional decision</t>
        </is>
      </c>
      <c r="J1374" s="12" t="inlineStr">
        <is>
          <t>Maya Chen, Owner Project Controls</t>
        </is>
      </c>
      <c r="K1374" s="12" t="inlineStr">
        <is>
          <t>Professional</t>
        </is>
      </c>
      <c r="L1374" s="12" t="inlineStr"/>
      <c r="M1374" s="12" t="inlineStr">
        <is>
          <t>Initial</t>
        </is>
      </c>
      <c r="N1374" s="12" t="inlineStr">
        <is>
          <t>Rev 0</t>
        </is>
      </c>
      <c r="O1374" s="12" t="inlineStr">
        <is>
          <t>R911-v2</t>
        </is>
      </c>
      <c r="P1374" s="12" t="inlineStr"/>
      <c r="Q1374" s="12" t="inlineStr"/>
      <c r="R1374" s="12" t="inlineStr"/>
      <c r="S1374" s="12" t="inlineStr"/>
      <c r="T1374" s="12" t="inlineStr">
        <is>
          <t>Group decision (182 records sharing one decision state)</t>
        </is>
      </c>
      <c r="U1374" s="12" t="inlineStr"/>
      <c r="V1374" s="12" t="inlineStr"/>
      <c r="W1374" s="12" t="inlineStr"/>
    </row>
    <row r="1375" ht="64" customHeight="1">
      <c r="A1375" s="12" t="inlineStr">
        <is>
          <t>UNSURE</t>
        </is>
      </c>
      <c r="B1375" s="12" t="inlineStr"/>
      <c r="C1375" s="12" t="inlineStr">
        <is>
          <t>Contractor Programme</t>
        </is>
      </c>
      <c r="D1375" s="12" t="inlineStr">
        <is>
          <t>SCH-06-012</t>
        </is>
      </c>
      <c r="E1375" s="12" t="inlineStr">
        <is>
          <t>Fleet package: permit coordination - inspection</t>
        </is>
      </c>
      <c r="F1375" s="12" t="inlineStr">
        <is>
          <t>UNSURE</t>
        </is>
      </c>
      <c r="G1375" s="12" t="inlineStr">
        <is>
          <t>APPROVED</t>
        </is>
      </c>
      <c r="H1375" s="12" t="inlineStr">
        <is>
          <t>New</t>
        </is>
      </c>
      <c r="I1375" s="12" t="inlineStr">
        <is>
          <t>Professional decision</t>
        </is>
      </c>
      <c r="J1375" s="12" t="inlineStr">
        <is>
          <t>Maya Chen, Owner Project Controls</t>
        </is>
      </c>
      <c r="K1375" s="12" t="inlineStr">
        <is>
          <t>Professional</t>
        </is>
      </c>
      <c r="L1375" s="12" t="inlineStr"/>
      <c r="M1375" s="12" t="inlineStr">
        <is>
          <t>Initial</t>
        </is>
      </c>
      <c r="N1375" s="12" t="inlineStr">
        <is>
          <t>Rev 0</t>
        </is>
      </c>
      <c r="O1375" s="12" t="inlineStr">
        <is>
          <t>R912-v2</t>
        </is>
      </c>
      <c r="P1375" s="12" t="inlineStr"/>
      <c r="Q1375" s="12" t="inlineStr"/>
      <c r="R1375" s="12" t="inlineStr"/>
      <c r="S1375" s="12" t="inlineStr"/>
      <c r="T1375" s="12" t="inlineStr">
        <is>
          <t>Group decision (182 records sharing one decision state)</t>
        </is>
      </c>
      <c r="U1375" s="12" t="inlineStr"/>
      <c r="V1375" s="12" t="inlineStr"/>
      <c r="W1375" s="12" t="inlineStr"/>
    </row>
    <row r="1376" ht="64" customHeight="1">
      <c r="A1376" s="12" t="inlineStr">
        <is>
          <t>UNSURE</t>
        </is>
      </c>
      <c r="B1376" s="12" t="inlineStr"/>
      <c r="C1376" s="12" t="inlineStr">
        <is>
          <t>Contractor Programme</t>
        </is>
      </c>
      <c r="D1376" s="12" t="inlineStr">
        <is>
          <t>SCH-06-013</t>
        </is>
      </c>
      <c r="E1376" s="12" t="inlineStr">
        <is>
          <t>Program office: delivery risk workshop - turnover</t>
        </is>
      </c>
      <c r="F1376" s="12" t="inlineStr">
        <is>
          <t>UNSURE</t>
        </is>
      </c>
      <c r="G1376" s="12" t="inlineStr">
        <is>
          <t>APPROVED</t>
        </is>
      </c>
      <c r="H1376" s="12" t="inlineStr">
        <is>
          <t>New</t>
        </is>
      </c>
      <c r="I1376" s="12" t="inlineStr">
        <is>
          <t>Professional decision</t>
        </is>
      </c>
      <c r="J1376" s="12" t="inlineStr">
        <is>
          <t>Maya Chen, Owner Project Controls</t>
        </is>
      </c>
      <c r="K1376" s="12" t="inlineStr">
        <is>
          <t>Professional</t>
        </is>
      </c>
      <c r="L1376" s="12" t="inlineStr"/>
      <c r="M1376" s="12" t="inlineStr">
        <is>
          <t>Initial</t>
        </is>
      </c>
      <c r="N1376" s="12" t="inlineStr">
        <is>
          <t>Rev 0</t>
        </is>
      </c>
      <c r="O1376" s="12" t="inlineStr">
        <is>
          <t>R913-v2</t>
        </is>
      </c>
      <c r="P1376" s="12" t="inlineStr"/>
      <c r="Q1376" s="12" t="inlineStr"/>
      <c r="R1376" s="12" t="inlineStr"/>
      <c r="S1376" s="12" t="inlineStr"/>
      <c r="T1376" s="12" t="inlineStr">
        <is>
          <t>Group decision (182 records sharing one decision state)</t>
        </is>
      </c>
      <c r="U1376" s="12" t="inlineStr"/>
      <c r="V1376" s="12" t="inlineStr"/>
      <c r="W1376" s="12" t="inlineStr"/>
    </row>
    <row r="1377" ht="64" customHeight="1">
      <c r="A1377" s="12" t="inlineStr">
        <is>
          <t>UNSURE</t>
        </is>
      </c>
      <c r="B1377" s="12" t="inlineStr"/>
      <c r="C1377" s="12" t="inlineStr">
        <is>
          <t>Contractor Programme</t>
        </is>
      </c>
      <c r="D1377" s="12" t="inlineStr">
        <is>
          <t>SCH-06-014</t>
        </is>
      </c>
      <c r="E1377" s="12" t="inlineStr">
        <is>
          <t>Civil package: monthly controls cut-off - release</t>
        </is>
      </c>
      <c r="F1377" s="12" t="inlineStr">
        <is>
          <t>UNSURE</t>
        </is>
      </c>
      <c r="G1377" s="12" t="inlineStr">
        <is>
          <t>APPROVED</t>
        </is>
      </c>
      <c r="H1377" s="12" t="inlineStr">
        <is>
          <t>New</t>
        </is>
      </c>
      <c r="I1377" s="12" t="inlineStr">
        <is>
          <t>Professional decision</t>
        </is>
      </c>
      <c r="J1377" s="12" t="inlineStr">
        <is>
          <t>Maya Chen, Owner Project Controls</t>
        </is>
      </c>
      <c r="K1377" s="12" t="inlineStr">
        <is>
          <t>Professional</t>
        </is>
      </c>
      <c r="L1377" s="12" t="inlineStr"/>
      <c r="M1377" s="12" t="inlineStr">
        <is>
          <t>Initial</t>
        </is>
      </c>
      <c r="N1377" s="12" t="inlineStr">
        <is>
          <t>Rev 0</t>
        </is>
      </c>
      <c r="O1377" s="12" t="inlineStr">
        <is>
          <t>R914-v2</t>
        </is>
      </c>
      <c r="P1377" s="12" t="inlineStr"/>
      <c r="Q1377" s="12" t="inlineStr"/>
      <c r="R1377" s="12" t="inlineStr"/>
      <c r="S1377" s="12" t="inlineStr"/>
      <c r="T1377" s="12" t="inlineStr">
        <is>
          <t>Group decision (182 records sharing one decision state)</t>
        </is>
      </c>
      <c r="U1377" s="12" t="inlineStr"/>
      <c r="V1377" s="12" t="inlineStr"/>
      <c r="W1377" s="12" t="inlineStr"/>
    </row>
    <row r="1378" ht="64" customHeight="1">
      <c r="A1378" s="12" t="inlineStr">
        <is>
          <t>UNSURE</t>
        </is>
      </c>
      <c r="B1378" s="12" t="inlineStr"/>
      <c r="C1378" s="12" t="inlineStr">
        <is>
          <t>Contractor Programme</t>
        </is>
      </c>
      <c r="D1378" s="12" t="inlineStr">
        <is>
          <t>SCH-06-015</t>
        </is>
      </c>
      <c r="E1378" s="12" t="inlineStr">
        <is>
          <t>Stations package: stakeholder interface meeting - field start</t>
        </is>
      </c>
      <c r="F1378" s="12" t="inlineStr">
        <is>
          <t>UNSURE</t>
        </is>
      </c>
      <c r="G1378" s="12" t="inlineStr">
        <is>
          <t>APPROVED</t>
        </is>
      </c>
      <c r="H1378" s="12" t="inlineStr">
        <is>
          <t>New</t>
        </is>
      </c>
      <c r="I1378" s="12" t="inlineStr">
        <is>
          <t>Professional decision</t>
        </is>
      </c>
      <c r="J1378" s="12" t="inlineStr">
        <is>
          <t>Maya Chen, Owner Project Controls</t>
        </is>
      </c>
      <c r="K1378" s="12" t="inlineStr">
        <is>
          <t>Professional</t>
        </is>
      </c>
      <c r="L1378" s="12" t="inlineStr"/>
      <c r="M1378" s="12" t="inlineStr">
        <is>
          <t>Initial</t>
        </is>
      </c>
      <c r="N1378" s="12" t="inlineStr">
        <is>
          <t>Rev 0</t>
        </is>
      </c>
      <c r="O1378" s="12" t="inlineStr">
        <is>
          <t>R915-v2</t>
        </is>
      </c>
      <c r="P1378" s="12" t="inlineStr"/>
      <c r="Q1378" s="12" t="inlineStr"/>
      <c r="R1378" s="12" t="inlineStr"/>
      <c r="S1378" s="12" t="inlineStr"/>
      <c r="T1378" s="12" t="inlineStr">
        <is>
          <t>Group decision (182 records sharing one decision state)</t>
        </is>
      </c>
      <c r="U1378" s="12" t="inlineStr"/>
      <c r="V1378" s="12" t="inlineStr"/>
      <c r="W1378" s="12" t="inlineStr"/>
    </row>
    <row r="1379" ht="64" customHeight="1">
      <c r="A1379" s="12" t="inlineStr">
        <is>
          <t>UNSURE</t>
        </is>
      </c>
      <c r="B1379" s="12" t="inlineStr"/>
      <c r="C1379" s="12" t="inlineStr">
        <is>
          <t>Contractor Programme</t>
        </is>
      </c>
      <c r="D1379" s="12" t="inlineStr">
        <is>
          <t>SCH-06-016</t>
        </is>
      </c>
      <c r="E1379" s="12" t="inlineStr">
        <is>
          <t>Systems package: baseline change control - installation</t>
        </is>
      </c>
      <c r="F1379" s="12" t="inlineStr">
        <is>
          <t>UNSURE</t>
        </is>
      </c>
      <c r="G1379" s="12" t="inlineStr">
        <is>
          <t>APPROVED</t>
        </is>
      </c>
      <c r="H1379" s="12" t="inlineStr">
        <is>
          <t>New</t>
        </is>
      </c>
      <c r="I1379" s="12" t="inlineStr">
        <is>
          <t>Professional decision</t>
        </is>
      </c>
      <c r="J1379" s="12" t="inlineStr">
        <is>
          <t>Maya Chen, Owner Project Controls</t>
        </is>
      </c>
      <c r="K1379" s="12" t="inlineStr">
        <is>
          <t>Professional</t>
        </is>
      </c>
      <c r="L1379" s="12" t="inlineStr"/>
      <c r="M1379" s="12" t="inlineStr">
        <is>
          <t>Initial</t>
        </is>
      </c>
      <c r="N1379" s="12" t="inlineStr">
        <is>
          <t>Rev 0</t>
        </is>
      </c>
      <c r="O1379" s="12" t="inlineStr">
        <is>
          <t>R916-v2</t>
        </is>
      </c>
      <c r="P1379" s="12" t="inlineStr"/>
      <c r="Q1379" s="12" t="inlineStr"/>
      <c r="R1379" s="12" t="inlineStr"/>
      <c r="S1379" s="12" t="inlineStr"/>
      <c r="T1379" s="12" t="inlineStr">
        <is>
          <t>Group decision (182 records sharing one decision state)</t>
        </is>
      </c>
      <c r="U1379" s="12" t="inlineStr"/>
      <c r="V1379" s="12" t="inlineStr"/>
      <c r="W1379" s="12" t="inlineStr"/>
    </row>
    <row r="1380" ht="64" customHeight="1">
      <c r="A1380" s="12" t="inlineStr">
        <is>
          <t>UNSURE</t>
        </is>
      </c>
      <c r="B1380" s="12" t="inlineStr"/>
      <c r="C1380" s="12" t="inlineStr">
        <is>
          <t>Contractor Programme</t>
        </is>
      </c>
      <c r="D1380" s="12" t="inlineStr">
        <is>
          <t>SCH-06-017</t>
        </is>
      </c>
      <c r="E1380" s="12" t="inlineStr">
        <is>
          <t>Fleet package: commercial change review - inspection</t>
        </is>
      </c>
      <c r="F1380" s="12" t="inlineStr">
        <is>
          <t>UNSURE</t>
        </is>
      </c>
      <c r="G1380" s="12" t="inlineStr">
        <is>
          <t>APPROVED</t>
        </is>
      </c>
      <c r="H1380" s="12" t="inlineStr">
        <is>
          <t>New</t>
        </is>
      </c>
      <c r="I1380" s="12" t="inlineStr">
        <is>
          <t>Professional decision</t>
        </is>
      </c>
      <c r="J1380" s="12" t="inlineStr">
        <is>
          <t>Maya Chen, Owner Project Controls</t>
        </is>
      </c>
      <c r="K1380" s="12" t="inlineStr">
        <is>
          <t>Professional</t>
        </is>
      </c>
      <c r="L1380" s="12" t="inlineStr"/>
      <c r="M1380" s="12" t="inlineStr">
        <is>
          <t>Initial</t>
        </is>
      </c>
      <c r="N1380" s="12" t="inlineStr">
        <is>
          <t>Rev 0</t>
        </is>
      </c>
      <c r="O1380" s="12" t="inlineStr">
        <is>
          <t>R917-v2</t>
        </is>
      </c>
      <c r="P1380" s="12" t="inlineStr"/>
      <c r="Q1380" s="12" t="inlineStr"/>
      <c r="R1380" s="12" t="inlineStr"/>
      <c r="S1380" s="12" t="inlineStr"/>
      <c r="T1380" s="12" t="inlineStr">
        <is>
          <t>Group decision (182 records sharing one decision state)</t>
        </is>
      </c>
      <c r="U1380" s="12" t="inlineStr"/>
      <c r="V1380" s="12" t="inlineStr"/>
      <c r="W1380" s="12" t="inlineStr"/>
    </row>
    <row r="1381" ht="64" customHeight="1">
      <c r="A1381" s="12" t="inlineStr">
        <is>
          <t>UNSURE</t>
        </is>
      </c>
      <c r="B1381" s="12" t="inlineStr"/>
      <c r="C1381" s="12" t="inlineStr">
        <is>
          <t>Contractor Programme</t>
        </is>
      </c>
      <c r="D1381" s="12" t="inlineStr">
        <is>
          <t>SCH-06-018</t>
        </is>
      </c>
      <c r="E1381" s="12" t="inlineStr">
        <is>
          <t>Program office: design-package integration review - turnover</t>
        </is>
      </c>
      <c r="F1381" s="12" t="inlineStr">
        <is>
          <t>UNSURE</t>
        </is>
      </c>
      <c r="G1381" s="12" t="inlineStr">
        <is>
          <t>APPROVED</t>
        </is>
      </c>
      <c r="H1381" s="12" t="inlineStr">
        <is>
          <t>New</t>
        </is>
      </c>
      <c r="I1381" s="12" t="inlineStr">
        <is>
          <t>Professional decision</t>
        </is>
      </c>
      <c r="J1381" s="12" t="inlineStr">
        <is>
          <t>Maya Chen, Owner Project Controls</t>
        </is>
      </c>
      <c r="K1381" s="12" t="inlineStr">
        <is>
          <t>Professional</t>
        </is>
      </c>
      <c r="L1381" s="12" t="inlineStr"/>
      <c r="M1381" s="12" t="inlineStr">
        <is>
          <t>Initial</t>
        </is>
      </c>
      <c r="N1381" s="12" t="inlineStr">
        <is>
          <t>Rev 0</t>
        </is>
      </c>
      <c r="O1381" s="12" t="inlineStr">
        <is>
          <t>R918-v2</t>
        </is>
      </c>
      <c r="P1381" s="12" t="inlineStr"/>
      <c r="Q1381" s="12" t="inlineStr"/>
      <c r="R1381" s="12" t="inlineStr"/>
      <c r="S1381" s="12" t="inlineStr"/>
      <c r="T1381" s="12" t="inlineStr">
        <is>
          <t>Group decision (182 records sharing one decision state)</t>
        </is>
      </c>
      <c r="U1381" s="12" t="inlineStr"/>
      <c r="V1381" s="12" t="inlineStr"/>
      <c r="W1381" s="12" t="inlineStr"/>
    </row>
    <row r="1382" ht="64" customHeight="1">
      <c r="A1382" s="12" t="inlineStr">
        <is>
          <t>UNSURE</t>
        </is>
      </c>
      <c r="B1382" s="12" t="inlineStr"/>
      <c r="C1382" s="12" t="inlineStr">
        <is>
          <t>Contractor Programme</t>
        </is>
      </c>
      <c r="D1382" s="12" t="inlineStr">
        <is>
          <t>SCH-06-019</t>
        </is>
      </c>
      <c r="E1382" s="12" t="inlineStr">
        <is>
          <t>Civil package: executive reporting close - release</t>
        </is>
      </c>
      <c r="F1382" s="12" t="inlineStr">
        <is>
          <t>UNSURE</t>
        </is>
      </c>
      <c r="G1382" s="12" t="inlineStr">
        <is>
          <t>APPROVED</t>
        </is>
      </c>
      <c r="H1382" s="12" t="inlineStr">
        <is>
          <t>New</t>
        </is>
      </c>
      <c r="I1382" s="12" t="inlineStr">
        <is>
          <t>Professional decision</t>
        </is>
      </c>
      <c r="J1382" s="12" t="inlineStr">
        <is>
          <t>Maya Chen, Owner Project Controls</t>
        </is>
      </c>
      <c r="K1382" s="12" t="inlineStr">
        <is>
          <t>Professional</t>
        </is>
      </c>
      <c r="L1382" s="12" t="inlineStr"/>
      <c r="M1382" s="12" t="inlineStr">
        <is>
          <t>Initial</t>
        </is>
      </c>
      <c r="N1382" s="12" t="inlineStr">
        <is>
          <t>Rev 0</t>
        </is>
      </c>
      <c r="O1382" s="12" t="inlineStr">
        <is>
          <t>R919-v2</t>
        </is>
      </c>
      <c r="P1382" s="12" t="inlineStr"/>
      <c r="Q1382" s="12" t="inlineStr"/>
      <c r="R1382" s="12" t="inlineStr"/>
      <c r="S1382" s="12" t="inlineStr"/>
      <c r="T1382" s="12" t="inlineStr">
        <is>
          <t>Group decision (182 records sharing one decision state)</t>
        </is>
      </c>
      <c r="U1382" s="12" t="inlineStr"/>
      <c r="V1382" s="12" t="inlineStr"/>
      <c r="W1382" s="12" t="inlineStr"/>
    </row>
    <row r="1383" ht="64" customHeight="1">
      <c r="A1383" s="12" t="inlineStr">
        <is>
          <t>UNSURE</t>
        </is>
      </c>
      <c r="B1383" s="12" t="inlineStr"/>
      <c r="C1383" s="12" t="inlineStr">
        <is>
          <t>Contractor Programme</t>
        </is>
      </c>
      <c r="D1383" s="12" t="inlineStr">
        <is>
          <t>SCH-06-020</t>
        </is>
      </c>
      <c r="E1383" s="12" t="inlineStr">
        <is>
          <t>Stations package: permit coordination - field start</t>
        </is>
      </c>
      <c r="F1383" s="12" t="inlineStr">
        <is>
          <t>UNSURE</t>
        </is>
      </c>
      <c r="G1383" s="12" t="inlineStr">
        <is>
          <t>APPROVED</t>
        </is>
      </c>
      <c r="H1383" s="12" t="inlineStr">
        <is>
          <t>New</t>
        </is>
      </c>
      <c r="I1383" s="12" t="inlineStr">
        <is>
          <t>Professional decision</t>
        </is>
      </c>
      <c r="J1383" s="12" t="inlineStr">
        <is>
          <t>Maya Chen, Owner Project Controls</t>
        </is>
      </c>
      <c r="K1383" s="12" t="inlineStr">
        <is>
          <t>Professional</t>
        </is>
      </c>
      <c r="L1383" s="12" t="inlineStr"/>
      <c r="M1383" s="12" t="inlineStr">
        <is>
          <t>Initial</t>
        </is>
      </c>
      <c r="N1383" s="12" t="inlineStr">
        <is>
          <t>Rev 0</t>
        </is>
      </c>
      <c r="O1383" s="12" t="inlineStr">
        <is>
          <t>R920-v2</t>
        </is>
      </c>
      <c r="P1383" s="12" t="inlineStr"/>
      <c r="Q1383" s="12" t="inlineStr"/>
      <c r="R1383" s="12" t="inlineStr"/>
      <c r="S1383" s="12" t="inlineStr"/>
      <c r="T1383" s="12" t="inlineStr">
        <is>
          <t>Group decision (182 records sharing one decision state)</t>
        </is>
      </c>
      <c r="U1383" s="12" t="inlineStr"/>
      <c r="V1383" s="12" t="inlineStr"/>
      <c r="W1383" s="12" t="inlineStr"/>
    </row>
    <row r="1384" ht="64" customHeight="1">
      <c r="A1384" s="12" t="inlineStr">
        <is>
          <t>UNSURE</t>
        </is>
      </c>
      <c r="B1384" s="12" t="inlineStr"/>
      <c r="C1384" s="12" t="inlineStr">
        <is>
          <t>Contractor Programme</t>
        </is>
      </c>
      <c r="D1384" s="12" t="inlineStr">
        <is>
          <t>SCH-06-021</t>
        </is>
      </c>
      <c r="E1384" s="12" t="inlineStr">
        <is>
          <t>Systems package: delivery risk workshop - installation</t>
        </is>
      </c>
      <c r="F1384" s="12" t="inlineStr">
        <is>
          <t>UNSURE</t>
        </is>
      </c>
      <c r="G1384" s="12" t="inlineStr">
        <is>
          <t>APPROVED</t>
        </is>
      </c>
      <c r="H1384" s="12" t="inlineStr">
        <is>
          <t>New</t>
        </is>
      </c>
      <c r="I1384" s="12" t="inlineStr">
        <is>
          <t>Professional decision</t>
        </is>
      </c>
      <c r="J1384" s="12" t="inlineStr">
        <is>
          <t>Maya Chen, Owner Project Controls</t>
        </is>
      </c>
      <c r="K1384" s="12" t="inlineStr">
        <is>
          <t>Professional</t>
        </is>
      </c>
      <c r="L1384" s="12" t="inlineStr"/>
      <c r="M1384" s="12" t="inlineStr">
        <is>
          <t>Initial</t>
        </is>
      </c>
      <c r="N1384" s="12" t="inlineStr">
        <is>
          <t>Rev 0</t>
        </is>
      </c>
      <c r="O1384" s="12" t="inlineStr">
        <is>
          <t>R921-v2</t>
        </is>
      </c>
      <c r="P1384" s="12" t="inlineStr"/>
      <c r="Q1384" s="12" t="inlineStr"/>
      <c r="R1384" s="12" t="inlineStr"/>
      <c r="S1384" s="12" t="inlineStr"/>
      <c r="T1384" s="12" t="inlineStr">
        <is>
          <t>Group decision (182 records sharing one decision state)</t>
        </is>
      </c>
      <c r="U1384" s="12" t="inlineStr"/>
      <c r="V1384" s="12" t="inlineStr"/>
      <c r="W1384" s="12" t="inlineStr"/>
    </row>
    <row r="1385" ht="64" customHeight="1">
      <c r="A1385" s="12" t="inlineStr">
        <is>
          <t>UNSURE</t>
        </is>
      </c>
      <c r="B1385" s="12" t="inlineStr"/>
      <c r="C1385" s="12" t="inlineStr">
        <is>
          <t>Contractor Programme</t>
        </is>
      </c>
      <c r="D1385" s="12" t="inlineStr">
        <is>
          <t>SCH-06-022</t>
        </is>
      </c>
      <c r="E1385" s="12" t="inlineStr">
        <is>
          <t>Fleet package: monthly controls cut-off - inspection</t>
        </is>
      </c>
      <c r="F1385" s="12" t="inlineStr">
        <is>
          <t>UNSURE</t>
        </is>
      </c>
      <c r="G1385" s="12" t="inlineStr">
        <is>
          <t>APPROVED</t>
        </is>
      </c>
      <c r="H1385" s="12" t="inlineStr">
        <is>
          <t>New</t>
        </is>
      </c>
      <c r="I1385" s="12" t="inlineStr">
        <is>
          <t>Professional decision</t>
        </is>
      </c>
      <c r="J1385" s="12" t="inlineStr">
        <is>
          <t>Maya Chen, Owner Project Controls</t>
        </is>
      </c>
      <c r="K1385" s="12" t="inlineStr">
        <is>
          <t>Professional</t>
        </is>
      </c>
      <c r="L1385" s="12" t="inlineStr"/>
      <c r="M1385" s="12" t="inlineStr">
        <is>
          <t>Initial</t>
        </is>
      </c>
      <c r="N1385" s="12" t="inlineStr">
        <is>
          <t>Rev 0</t>
        </is>
      </c>
      <c r="O1385" s="12" t="inlineStr">
        <is>
          <t>R922-v2</t>
        </is>
      </c>
      <c r="P1385" s="12" t="inlineStr"/>
      <c r="Q1385" s="12" t="inlineStr"/>
      <c r="R1385" s="12" t="inlineStr"/>
      <c r="S1385" s="12" t="inlineStr"/>
      <c r="T1385" s="12" t="inlineStr">
        <is>
          <t>Group decision (182 records sharing one decision state)</t>
        </is>
      </c>
      <c r="U1385" s="12" t="inlineStr"/>
      <c r="V1385" s="12" t="inlineStr"/>
      <c r="W1385" s="12" t="inlineStr"/>
    </row>
    <row r="1386" ht="64" customHeight="1">
      <c r="A1386" s="12" t="inlineStr">
        <is>
          <t>UNSURE</t>
        </is>
      </c>
      <c r="B1386" s="12" t="inlineStr"/>
      <c r="C1386" s="12" t="inlineStr">
        <is>
          <t>Contractor Programme</t>
        </is>
      </c>
      <c r="D1386" s="12" t="inlineStr">
        <is>
          <t>SCH-06-023</t>
        </is>
      </c>
      <c r="E1386" s="12" t="inlineStr">
        <is>
          <t>Program office: stakeholder interface meeting - turnover</t>
        </is>
      </c>
      <c r="F1386" s="12" t="inlineStr">
        <is>
          <t>UNSURE</t>
        </is>
      </c>
      <c r="G1386" s="12" t="inlineStr">
        <is>
          <t>APPROVED</t>
        </is>
      </c>
      <c r="H1386" s="12" t="inlineStr">
        <is>
          <t>New</t>
        </is>
      </c>
      <c r="I1386" s="12" t="inlineStr">
        <is>
          <t>Professional decision</t>
        </is>
      </c>
      <c r="J1386" s="12" t="inlineStr">
        <is>
          <t>Maya Chen, Owner Project Controls</t>
        </is>
      </c>
      <c r="K1386" s="12" t="inlineStr">
        <is>
          <t>Professional</t>
        </is>
      </c>
      <c r="L1386" s="12" t="inlineStr"/>
      <c r="M1386" s="12" t="inlineStr">
        <is>
          <t>Initial</t>
        </is>
      </c>
      <c r="N1386" s="12" t="inlineStr">
        <is>
          <t>Rev 0</t>
        </is>
      </c>
      <c r="O1386" s="12" t="inlineStr">
        <is>
          <t>R923-v2</t>
        </is>
      </c>
      <c r="P1386" s="12" t="inlineStr"/>
      <c r="Q1386" s="12" t="inlineStr"/>
      <c r="R1386" s="12" t="inlineStr"/>
      <c r="S1386" s="12" t="inlineStr"/>
      <c r="T1386" s="12" t="inlineStr">
        <is>
          <t>Group decision (182 records sharing one decision state)</t>
        </is>
      </c>
      <c r="U1386" s="12" t="inlineStr"/>
      <c r="V1386" s="12" t="inlineStr"/>
      <c r="W1386" s="12" t="inlineStr"/>
    </row>
    <row r="1387" ht="64" customHeight="1">
      <c r="A1387" s="12" t="inlineStr">
        <is>
          <t>UNSURE</t>
        </is>
      </c>
      <c r="B1387" s="12" t="inlineStr"/>
      <c r="C1387" s="12" t="inlineStr">
        <is>
          <t>Contractor Programme</t>
        </is>
      </c>
      <c r="D1387" s="12" t="inlineStr">
        <is>
          <t>SCH-06-024</t>
        </is>
      </c>
      <c r="E1387" s="12" t="inlineStr">
        <is>
          <t>Civil package: baseline change control - release</t>
        </is>
      </c>
      <c r="F1387" s="12" t="inlineStr">
        <is>
          <t>UNSURE</t>
        </is>
      </c>
      <c r="G1387" s="12" t="inlineStr">
        <is>
          <t>APPROVED</t>
        </is>
      </c>
      <c r="H1387" s="12" t="inlineStr">
        <is>
          <t>New</t>
        </is>
      </c>
      <c r="I1387" s="12" t="inlineStr">
        <is>
          <t>Professional decision</t>
        </is>
      </c>
      <c r="J1387" s="12" t="inlineStr">
        <is>
          <t>Maya Chen, Owner Project Controls</t>
        </is>
      </c>
      <c r="K1387" s="12" t="inlineStr">
        <is>
          <t>Professional</t>
        </is>
      </c>
      <c r="L1387" s="12" t="inlineStr"/>
      <c r="M1387" s="12" t="inlineStr">
        <is>
          <t>Initial</t>
        </is>
      </c>
      <c r="N1387" s="12" t="inlineStr">
        <is>
          <t>Rev 0</t>
        </is>
      </c>
      <c r="O1387" s="12" t="inlineStr">
        <is>
          <t>R924-v2</t>
        </is>
      </c>
      <c r="P1387" s="12" t="inlineStr"/>
      <c r="Q1387" s="12" t="inlineStr"/>
      <c r="R1387" s="12" t="inlineStr"/>
      <c r="S1387" s="12" t="inlineStr"/>
      <c r="T1387" s="12" t="inlineStr">
        <is>
          <t>Group decision (182 records sharing one decision state)</t>
        </is>
      </c>
      <c r="U1387" s="12" t="inlineStr"/>
      <c r="V1387" s="12" t="inlineStr"/>
      <c r="W1387" s="12" t="inlineStr"/>
    </row>
    <row r="1388" ht="64" customHeight="1">
      <c r="A1388" s="12" t="inlineStr">
        <is>
          <t>UNSURE</t>
        </is>
      </c>
      <c r="B1388" s="12" t="inlineStr"/>
      <c r="C1388" s="12" t="inlineStr">
        <is>
          <t>Contractor Programme</t>
        </is>
      </c>
      <c r="D1388" s="12" t="inlineStr">
        <is>
          <t>SCH-06-025</t>
        </is>
      </c>
      <c r="E1388" s="12" t="inlineStr">
        <is>
          <t>Stations package: commercial change review - field start</t>
        </is>
      </c>
      <c r="F1388" s="12" t="inlineStr">
        <is>
          <t>UNSURE</t>
        </is>
      </c>
      <c r="G1388" s="12" t="inlineStr">
        <is>
          <t>APPROVED</t>
        </is>
      </c>
      <c r="H1388" s="12" t="inlineStr">
        <is>
          <t>New</t>
        </is>
      </c>
      <c r="I1388" s="12" t="inlineStr">
        <is>
          <t>Professional decision</t>
        </is>
      </c>
      <c r="J1388" s="12" t="inlineStr">
        <is>
          <t>Maya Chen, Owner Project Controls</t>
        </is>
      </c>
      <c r="K1388" s="12" t="inlineStr">
        <is>
          <t>Professional</t>
        </is>
      </c>
      <c r="L1388" s="12" t="inlineStr"/>
      <c r="M1388" s="12" t="inlineStr">
        <is>
          <t>Initial</t>
        </is>
      </c>
      <c r="N1388" s="12" t="inlineStr">
        <is>
          <t>Rev 0</t>
        </is>
      </c>
      <c r="O1388" s="12" t="inlineStr">
        <is>
          <t>R925-v2</t>
        </is>
      </c>
      <c r="P1388" s="12" t="inlineStr"/>
      <c r="Q1388" s="12" t="inlineStr"/>
      <c r="R1388" s="12" t="inlineStr"/>
      <c r="S1388" s="12" t="inlineStr"/>
      <c r="T1388" s="12" t="inlineStr">
        <is>
          <t>Group decision (182 records sharing one decision state)</t>
        </is>
      </c>
      <c r="U1388" s="12" t="inlineStr"/>
      <c r="V1388" s="12" t="inlineStr"/>
      <c r="W1388" s="12" t="inlineStr"/>
    </row>
    <row r="1389" ht="64" customHeight="1">
      <c r="A1389" s="12" t="inlineStr">
        <is>
          <t>UNSURE</t>
        </is>
      </c>
      <c r="B1389" s="12" t="inlineStr"/>
      <c r="C1389" s="12" t="inlineStr">
        <is>
          <t>Contractor Programme</t>
        </is>
      </c>
      <c r="D1389" s="12" t="inlineStr">
        <is>
          <t>SCH-06-026</t>
        </is>
      </c>
      <c r="E1389" s="12" t="inlineStr">
        <is>
          <t>Systems package: design-package integration review - installation</t>
        </is>
      </c>
      <c r="F1389" s="12" t="inlineStr">
        <is>
          <t>UNSURE</t>
        </is>
      </c>
      <c r="G1389" s="12" t="inlineStr">
        <is>
          <t>APPROVED</t>
        </is>
      </c>
      <c r="H1389" s="12" t="inlineStr">
        <is>
          <t>New</t>
        </is>
      </c>
      <c r="I1389" s="12" t="inlineStr">
        <is>
          <t>Professional decision</t>
        </is>
      </c>
      <c r="J1389" s="12" t="inlineStr">
        <is>
          <t>Maya Chen, Owner Project Controls</t>
        </is>
      </c>
      <c r="K1389" s="12" t="inlineStr">
        <is>
          <t>Professional</t>
        </is>
      </c>
      <c r="L1389" s="12" t="inlineStr"/>
      <c r="M1389" s="12" t="inlineStr">
        <is>
          <t>Initial</t>
        </is>
      </c>
      <c r="N1389" s="12" t="inlineStr">
        <is>
          <t>Rev 0</t>
        </is>
      </c>
      <c r="O1389" s="12" t="inlineStr">
        <is>
          <t>R926-v2</t>
        </is>
      </c>
      <c r="P1389" s="12" t="inlineStr"/>
      <c r="Q1389" s="12" t="inlineStr"/>
      <c r="R1389" s="12" t="inlineStr"/>
      <c r="S1389" s="12" t="inlineStr"/>
      <c r="T1389" s="12" t="inlineStr">
        <is>
          <t>Group decision (182 records sharing one decision state)</t>
        </is>
      </c>
      <c r="U1389" s="12" t="inlineStr"/>
      <c r="V1389" s="12" t="inlineStr"/>
      <c r="W1389" s="12" t="inlineStr"/>
    </row>
    <row r="1390" ht="64" customHeight="1">
      <c r="A1390" s="12" t="inlineStr">
        <is>
          <t>UNSURE</t>
        </is>
      </c>
      <c r="B1390" s="12" t="inlineStr"/>
      <c r="C1390" s="12" t="inlineStr">
        <is>
          <t>Contractor Programme</t>
        </is>
      </c>
      <c r="D1390" s="12" t="inlineStr">
        <is>
          <t>SCH-06-027</t>
        </is>
      </c>
      <c r="E1390" s="12" t="inlineStr">
        <is>
          <t>Fleet package: executive reporting close - inspection</t>
        </is>
      </c>
      <c r="F1390" s="12" t="inlineStr">
        <is>
          <t>UNSURE</t>
        </is>
      </c>
      <c r="G1390" s="12" t="inlineStr">
        <is>
          <t>APPROVED</t>
        </is>
      </c>
      <c r="H1390" s="12" t="inlineStr">
        <is>
          <t>New</t>
        </is>
      </c>
      <c r="I1390" s="12" t="inlineStr">
        <is>
          <t>Professional decision</t>
        </is>
      </c>
      <c r="J1390" s="12" t="inlineStr">
        <is>
          <t>Maya Chen, Owner Project Controls</t>
        </is>
      </c>
      <c r="K1390" s="12" t="inlineStr">
        <is>
          <t>Professional</t>
        </is>
      </c>
      <c r="L1390" s="12" t="inlineStr"/>
      <c r="M1390" s="12" t="inlineStr">
        <is>
          <t>Initial</t>
        </is>
      </c>
      <c r="N1390" s="12" t="inlineStr">
        <is>
          <t>Rev 0</t>
        </is>
      </c>
      <c r="O1390" s="12" t="inlineStr">
        <is>
          <t>R927-v2</t>
        </is>
      </c>
      <c r="P1390" s="12" t="inlineStr"/>
      <c r="Q1390" s="12" t="inlineStr"/>
      <c r="R1390" s="12" t="inlineStr"/>
      <c r="S1390" s="12" t="inlineStr"/>
      <c r="T1390" s="12" t="inlineStr">
        <is>
          <t>Group decision (182 records sharing one decision state)</t>
        </is>
      </c>
      <c r="U1390" s="12" t="inlineStr"/>
      <c r="V1390" s="12" t="inlineStr"/>
      <c r="W1390" s="12" t="inlineStr"/>
    </row>
    <row r="1391" ht="64" customHeight="1">
      <c r="A1391" s="12" t="inlineStr">
        <is>
          <t>UNSURE</t>
        </is>
      </c>
      <c r="B1391" s="12" t="inlineStr"/>
      <c r="C1391" s="12" t="inlineStr">
        <is>
          <t>Contractor Programme</t>
        </is>
      </c>
      <c r="D1391" s="12" t="inlineStr">
        <is>
          <t>SCH-06-028</t>
        </is>
      </c>
      <c r="E1391" s="12" t="inlineStr">
        <is>
          <t>Program office: permit coordination - turnover</t>
        </is>
      </c>
      <c r="F1391" s="12" t="inlineStr">
        <is>
          <t>UNSURE</t>
        </is>
      </c>
      <c r="G1391" s="12" t="inlineStr">
        <is>
          <t>APPROVED</t>
        </is>
      </c>
      <c r="H1391" s="12" t="inlineStr">
        <is>
          <t>New</t>
        </is>
      </c>
      <c r="I1391" s="12" t="inlineStr">
        <is>
          <t>Professional decision</t>
        </is>
      </c>
      <c r="J1391" s="12" t="inlineStr">
        <is>
          <t>Maya Chen, Owner Project Controls</t>
        </is>
      </c>
      <c r="K1391" s="12" t="inlineStr">
        <is>
          <t>Professional</t>
        </is>
      </c>
      <c r="L1391" s="12" t="inlineStr"/>
      <c r="M1391" s="12" t="inlineStr">
        <is>
          <t>Initial</t>
        </is>
      </c>
      <c r="N1391" s="12" t="inlineStr">
        <is>
          <t>Rev 0</t>
        </is>
      </c>
      <c r="O1391" s="12" t="inlineStr">
        <is>
          <t>R928-v2</t>
        </is>
      </c>
      <c r="P1391" s="12" t="inlineStr"/>
      <c r="Q1391" s="12" t="inlineStr"/>
      <c r="R1391" s="12" t="inlineStr"/>
      <c r="S1391" s="12" t="inlineStr"/>
      <c r="T1391" s="12" t="inlineStr">
        <is>
          <t>Group decision (182 records sharing one decision state)</t>
        </is>
      </c>
      <c r="U1391" s="12" t="inlineStr"/>
      <c r="V1391" s="12" t="inlineStr"/>
      <c r="W1391" s="12" t="inlineStr"/>
    </row>
    <row r="1392" ht="64" customHeight="1">
      <c r="A1392" s="12" t="inlineStr">
        <is>
          <t>UNSURE</t>
        </is>
      </c>
      <c r="B1392" s="12" t="inlineStr"/>
      <c r="C1392" s="12" t="inlineStr">
        <is>
          <t>Contractor Programme</t>
        </is>
      </c>
      <c r="D1392" s="12" t="inlineStr">
        <is>
          <t>SCH-06-029</t>
        </is>
      </c>
      <c r="E1392" s="12" t="inlineStr">
        <is>
          <t>Civil package: delivery risk workshop - release</t>
        </is>
      </c>
      <c r="F1392" s="12" t="inlineStr">
        <is>
          <t>UNSURE</t>
        </is>
      </c>
      <c r="G1392" s="12" t="inlineStr">
        <is>
          <t>APPROVED</t>
        </is>
      </c>
      <c r="H1392" s="12" t="inlineStr">
        <is>
          <t>New</t>
        </is>
      </c>
      <c r="I1392" s="12" t="inlineStr">
        <is>
          <t>Professional decision</t>
        </is>
      </c>
      <c r="J1392" s="12" t="inlineStr">
        <is>
          <t>Maya Chen, Owner Project Controls</t>
        </is>
      </c>
      <c r="K1392" s="12" t="inlineStr">
        <is>
          <t>Professional</t>
        </is>
      </c>
      <c r="L1392" s="12" t="inlineStr"/>
      <c r="M1392" s="12" t="inlineStr">
        <is>
          <t>Initial</t>
        </is>
      </c>
      <c r="N1392" s="12" t="inlineStr">
        <is>
          <t>Rev 0</t>
        </is>
      </c>
      <c r="O1392" s="12" t="inlineStr">
        <is>
          <t>R929-v2</t>
        </is>
      </c>
      <c r="P1392" s="12" t="inlineStr"/>
      <c r="Q1392" s="12" t="inlineStr"/>
      <c r="R1392" s="12" t="inlineStr"/>
      <c r="S1392" s="12" t="inlineStr"/>
      <c r="T1392" s="12" t="inlineStr">
        <is>
          <t>Group decision (182 records sharing one decision state)</t>
        </is>
      </c>
      <c r="U1392" s="12" t="inlineStr"/>
      <c r="V1392" s="12" t="inlineStr"/>
      <c r="W1392" s="12" t="inlineStr"/>
    </row>
    <row r="1393" ht="64" customHeight="1">
      <c r="A1393" s="12" t="inlineStr">
        <is>
          <t>UNSURE</t>
        </is>
      </c>
      <c r="B1393" s="12" t="inlineStr"/>
      <c r="C1393" s="12" t="inlineStr">
        <is>
          <t>Contractor Programme</t>
        </is>
      </c>
      <c r="D1393" s="12" t="inlineStr">
        <is>
          <t>SCH-06-030</t>
        </is>
      </c>
      <c r="E1393" s="12" t="inlineStr">
        <is>
          <t>Stations package: monthly controls cut-off - field start</t>
        </is>
      </c>
      <c r="F1393" s="12" t="inlineStr">
        <is>
          <t>UNSURE</t>
        </is>
      </c>
      <c r="G1393" s="12" t="inlineStr">
        <is>
          <t>APPROVED</t>
        </is>
      </c>
      <c r="H1393" s="12" t="inlineStr">
        <is>
          <t>New</t>
        </is>
      </c>
      <c r="I1393" s="12" t="inlineStr">
        <is>
          <t>Professional decision</t>
        </is>
      </c>
      <c r="J1393" s="12" t="inlineStr">
        <is>
          <t>Maya Chen, Owner Project Controls</t>
        </is>
      </c>
      <c r="K1393" s="12" t="inlineStr">
        <is>
          <t>Professional</t>
        </is>
      </c>
      <c r="L1393" s="12" t="inlineStr"/>
      <c r="M1393" s="12" t="inlineStr">
        <is>
          <t>Initial</t>
        </is>
      </c>
      <c r="N1393" s="12" t="inlineStr">
        <is>
          <t>Rev 0</t>
        </is>
      </c>
      <c r="O1393" s="12" t="inlineStr">
        <is>
          <t>R930-v2</t>
        </is>
      </c>
      <c r="P1393" s="12" t="inlineStr"/>
      <c r="Q1393" s="12" t="inlineStr"/>
      <c r="R1393" s="12" t="inlineStr"/>
      <c r="S1393" s="12" t="inlineStr"/>
      <c r="T1393" s="12" t="inlineStr">
        <is>
          <t>Group decision (182 records sharing one decision state)</t>
        </is>
      </c>
      <c r="U1393" s="12" t="inlineStr"/>
      <c r="V1393" s="12" t="inlineStr"/>
      <c r="W1393" s="12" t="inlineStr"/>
    </row>
    <row r="1394" ht="64" customHeight="1">
      <c r="A1394" s="12" t="inlineStr">
        <is>
          <t>UNSURE</t>
        </is>
      </c>
      <c r="B1394" s="12" t="inlineStr"/>
      <c r="C1394" s="12" t="inlineStr">
        <is>
          <t>Contractor Programme</t>
        </is>
      </c>
      <c r="D1394" s="12" t="inlineStr">
        <is>
          <t>SCH-06-031</t>
        </is>
      </c>
      <c r="E1394" s="12" t="inlineStr">
        <is>
          <t>Systems package: stakeholder interface meeting - installation</t>
        </is>
      </c>
      <c r="F1394" s="12" t="inlineStr">
        <is>
          <t>UNSURE</t>
        </is>
      </c>
      <c r="G1394" s="12" t="inlineStr">
        <is>
          <t>APPROVED</t>
        </is>
      </c>
      <c r="H1394" s="12" t="inlineStr">
        <is>
          <t>New</t>
        </is>
      </c>
      <c r="I1394" s="12" t="inlineStr">
        <is>
          <t>Professional decision</t>
        </is>
      </c>
      <c r="J1394" s="12" t="inlineStr">
        <is>
          <t>Maya Chen, Owner Project Controls</t>
        </is>
      </c>
      <c r="K1394" s="12" t="inlineStr">
        <is>
          <t>Professional</t>
        </is>
      </c>
      <c r="L1394" s="12" t="inlineStr"/>
      <c r="M1394" s="12" t="inlineStr">
        <is>
          <t>Initial</t>
        </is>
      </c>
      <c r="N1394" s="12" t="inlineStr">
        <is>
          <t>Rev 0</t>
        </is>
      </c>
      <c r="O1394" s="12" t="inlineStr">
        <is>
          <t>R931-v2</t>
        </is>
      </c>
      <c r="P1394" s="12" t="inlineStr"/>
      <c r="Q1394" s="12" t="inlineStr"/>
      <c r="R1394" s="12" t="inlineStr"/>
      <c r="S1394" s="12" t="inlineStr"/>
      <c r="T1394" s="12" t="inlineStr">
        <is>
          <t>Group decision (182 records sharing one decision state)</t>
        </is>
      </c>
      <c r="U1394" s="12" t="inlineStr"/>
      <c r="V1394" s="12" t="inlineStr"/>
      <c r="W1394" s="12" t="inlineStr"/>
    </row>
    <row r="1395" ht="64" customHeight="1">
      <c r="A1395" s="12" t="inlineStr">
        <is>
          <t>UNSURE</t>
        </is>
      </c>
      <c r="B1395" s="12" t="inlineStr"/>
      <c r="C1395" s="12" t="inlineStr">
        <is>
          <t>Contractor Programme</t>
        </is>
      </c>
      <c r="D1395" s="12" t="inlineStr">
        <is>
          <t>SCH-06-032</t>
        </is>
      </c>
      <c r="E1395" s="12" t="inlineStr">
        <is>
          <t>Fleet package: baseline change control - inspection</t>
        </is>
      </c>
      <c r="F1395" s="12" t="inlineStr">
        <is>
          <t>UNSURE</t>
        </is>
      </c>
      <c r="G1395" s="12" t="inlineStr">
        <is>
          <t>APPROVED</t>
        </is>
      </c>
      <c r="H1395" s="12" t="inlineStr">
        <is>
          <t>New</t>
        </is>
      </c>
      <c r="I1395" s="12" t="inlineStr">
        <is>
          <t>Professional decision</t>
        </is>
      </c>
      <c r="J1395" s="12" t="inlineStr">
        <is>
          <t>Maya Chen, Owner Project Controls</t>
        </is>
      </c>
      <c r="K1395" s="12" t="inlineStr">
        <is>
          <t>Professional</t>
        </is>
      </c>
      <c r="L1395" s="12" t="inlineStr"/>
      <c r="M1395" s="12" t="inlineStr">
        <is>
          <t>Initial</t>
        </is>
      </c>
      <c r="N1395" s="12" t="inlineStr">
        <is>
          <t>Rev 0</t>
        </is>
      </c>
      <c r="O1395" s="12" t="inlineStr">
        <is>
          <t>R932-v2</t>
        </is>
      </c>
      <c r="P1395" s="12" t="inlineStr"/>
      <c r="Q1395" s="12" t="inlineStr"/>
      <c r="R1395" s="12" t="inlineStr"/>
      <c r="S1395" s="12" t="inlineStr"/>
      <c r="T1395" s="12" t="inlineStr">
        <is>
          <t>Group decision (182 records sharing one decision state)</t>
        </is>
      </c>
      <c r="U1395" s="12" t="inlineStr"/>
      <c r="V1395" s="12" t="inlineStr"/>
      <c r="W1395" s="12" t="inlineStr"/>
    </row>
    <row r="1396" ht="64" customHeight="1">
      <c r="A1396" s="12" t="inlineStr">
        <is>
          <t>UNSURE</t>
        </is>
      </c>
      <c r="B1396" s="12" t="inlineStr"/>
      <c r="C1396" s="12" t="inlineStr">
        <is>
          <t>Contractor Programme</t>
        </is>
      </c>
      <c r="D1396" s="12" t="inlineStr">
        <is>
          <t>SCH-06-033</t>
        </is>
      </c>
      <c r="E1396" s="12" t="inlineStr">
        <is>
          <t>Program office: commercial change review - turnover</t>
        </is>
      </c>
      <c r="F1396" s="12" t="inlineStr">
        <is>
          <t>UNSURE</t>
        </is>
      </c>
      <c r="G1396" s="12" t="inlineStr">
        <is>
          <t>APPROVED</t>
        </is>
      </c>
      <c r="H1396" s="12" t="inlineStr">
        <is>
          <t>New</t>
        </is>
      </c>
      <c r="I1396" s="12" t="inlineStr">
        <is>
          <t>Professional decision</t>
        </is>
      </c>
      <c r="J1396" s="12" t="inlineStr">
        <is>
          <t>Maya Chen, Owner Project Controls</t>
        </is>
      </c>
      <c r="K1396" s="12" t="inlineStr">
        <is>
          <t>Professional</t>
        </is>
      </c>
      <c r="L1396" s="12" t="inlineStr"/>
      <c r="M1396" s="12" t="inlineStr">
        <is>
          <t>Initial</t>
        </is>
      </c>
      <c r="N1396" s="12" t="inlineStr">
        <is>
          <t>Rev 0</t>
        </is>
      </c>
      <c r="O1396" s="12" t="inlineStr">
        <is>
          <t>R933-v2</t>
        </is>
      </c>
      <c r="P1396" s="12" t="inlineStr"/>
      <c r="Q1396" s="12" t="inlineStr"/>
      <c r="R1396" s="12" t="inlineStr"/>
      <c r="S1396" s="12" t="inlineStr"/>
      <c r="T1396" s="12" t="inlineStr">
        <is>
          <t>Group decision (182 records sharing one decision state)</t>
        </is>
      </c>
      <c r="U1396" s="12" t="inlineStr"/>
      <c r="V1396" s="12" t="inlineStr"/>
      <c r="W1396" s="12" t="inlineStr"/>
    </row>
    <row r="1397" ht="64" customHeight="1">
      <c r="A1397" s="12" t="inlineStr">
        <is>
          <t>UNSURE</t>
        </is>
      </c>
      <c r="B1397" s="12" t="inlineStr"/>
      <c r="C1397" s="12" t="inlineStr">
        <is>
          <t>Contractor Programme</t>
        </is>
      </c>
      <c r="D1397" s="12" t="inlineStr">
        <is>
          <t>SCH-06-034</t>
        </is>
      </c>
      <c r="E1397" s="12" t="inlineStr">
        <is>
          <t>Civil package: design-package integration review - release</t>
        </is>
      </c>
      <c r="F1397" s="12" t="inlineStr">
        <is>
          <t>UNSURE</t>
        </is>
      </c>
      <c r="G1397" s="12" t="inlineStr">
        <is>
          <t>APPROVED</t>
        </is>
      </c>
      <c r="H1397" s="12" t="inlineStr">
        <is>
          <t>New</t>
        </is>
      </c>
      <c r="I1397" s="12" t="inlineStr">
        <is>
          <t>Professional decision</t>
        </is>
      </c>
      <c r="J1397" s="12" t="inlineStr">
        <is>
          <t>Maya Chen, Owner Project Controls</t>
        </is>
      </c>
      <c r="K1397" s="12" t="inlineStr">
        <is>
          <t>Professional</t>
        </is>
      </c>
      <c r="L1397" s="12" t="inlineStr"/>
      <c r="M1397" s="12" t="inlineStr">
        <is>
          <t>Initial</t>
        </is>
      </c>
      <c r="N1397" s="12" t="inlineStr">
        <is>
          <t>Rev 0</t>
        </is>
      </c>
      <c r="O1397" s="12" t="inlineStr">
        <is>
          <t>R934-v2</t>
        </is>
      </c>
      <c r="P1397" s="12" t="inlineStr"/>
      <c r="Q1397" s="12" t="inlineStr"/>
      <c r="R1397" s="12" t="inlineStr"/>
      <c r="S1397" s="12" t="inlineStr"/>
      <c r="T1397" s="12" t="inlineStr">
        <is>
          <t>Group decision (182 records sharing one decision state)</t>
        </is>
      </c>
      <c r="U1397" s="12" t="inlineStr"/>
      <c r="V1397" s="12" t="inlineStr"/>
      <c r="W1397" s="12" t="inlineStr"/>
    </row>
    <row r="1398" ht="64" customHeight="1">
      <c r="A1398" s="12" t="inlineStr">
        <is>
          <t>UNSURE</t>
        </is>
      </c>
      <c r="B1398" s="12" t="inlineStr"/>
      <c r="C1398" s="12" t="inlineStr">
        <is>
          <t>Contractor Programme</t>
        </is>
      </c>
      <c r="D1398" s="12" t="inlineStr">
        <is>
          <t>SCH-06-035</t>
        </is>
      </c>
      <c r="E1398" s="12" t="inlineStr">
        <is>
          <t>Stations package: executive reporting close - field start</t>
        </is>
      </c>
      <c r="F1398" s="12" t="inlineStr">
        <is>
          <t>UNSURE</t>
        </is>
      </c>
      <c r="G1398" s="12" t="inlineStr">
        <is>
          <t>APPROVED</t>
        </is>
      </c>
      <c r="H1398" s="12" t="inlineStr">
        <is>
          <t>New</t>
        </is>
      </c>
      <c r="I1398" s="12" t="inlineStr">
        <is>
          <t>Professional decision</t>
        </is>
      </c>
      <c r="J1398" s="12" t="inlineStr">
        <is>
          <t>Maya Chen, Owner Project Controls</t>
        </is>
      </c>
      <c r="K1398" s="12" t="inlineStr">
        <is>
          <t>Professional</t>
        </is>
      </c>
      <c r="L1398" s="12" t="inlineStr"/>
      <c r="M1398" s="12" t="inlineStr">
        <is>
          <t>Initial</t>
        </is>
      </c>
      <c r="N1398" s="12" t="inlineStr">
        <is>
          <t>Rev 0</t>
        </is>
      </c>
      <c r="O1398" s="12" t="inlineStr">
        <is>
          <t>R935-v2</t>
        </is>
      </c>
      <c r="P1398" s="12" t="inlineStr"/>
      <c r="Q1398" s="12" t="inlineStr"/>
      <c r="R1398" s="12" t="inlineStr"/>
      <c r="S1398" s="12" t="inlineStr"/>
      <c r="T1398" s="12" t="inlineStr">
        <is>
          <t>Group decision (182 records sharing one decision state)</t>
        </is>
      </c>
      <c r="U1398" s="12" t="inlineStr"/>
      <c r="V1398" s="12" t="inlineStr"/>
      <c r="W1398" s="12" t="inlineStr"/>
    </row>
    <row r="1399" ht="64" customHeight="1">
      <c r="A1399" s="12" t="inlineStr">
        <is>
          <t>UNSURE</t>
        </is>
      </c>
      <c r="B1399" s="12" t="inlineStr"/>
      <c r="C1399" s="12" t="inlineStr">
        <is>
          <t>Contractor Programme</t>
        </is>
      </c>
      <c r="D1399" s="12" t="inlineStr">
        <is>
          <t>SCH-06-036</t>
        </is>
      </c>
      <c r="E1399" s="12" t="inlineStr">
        <is>
          <t>Systems package: permit coordination - installation</t>
        </is>
      </c>
      <c r="F1399" s="12" t="inlineStr">
        <is>
          <t>UNSURE</t>
        </is>
      </c>
      <c r="G1399" s="12" t="inlineStr">
        <is>
          <t>APPROVED</t>
        </is>
      </c>
      <c r="H1399" s="12" t="inlineStr">
        <is>
          <t>New</t>
        </is>
      </c>
      <c r="I1399" s="12" t="inlineStr">
        <is>
          <t>Professional decision</t>
        </is>
      </c>
      <c r="J1399" s="12" t="inlineStr">
        <is>
          <t>Maya Chen, Owner Project Controls</t>
        </is>
      </c>
      <c r="K1399" s="12" t="inlineStr">
        <is>
          <t>Professional</t>
        </is>
      </c>
      <c r="L1399" s="12" t="inlineStr"/>
      <c r="M1399" s="12" t="inlineStr">
        <is>
          <t>Initial</t>
        </is>
      </c>
      <c r="N1399" s="12" t="inlineStr">
        <is>
          <t>Rev 0</t>
        </is>
      </c>
      <c r="O1399" s="12" t="inlineStr">
        <is>
          <t>R936-v2</t>
        </is>
      </c>
      <c r="P1399" s="12" t="inlineStr"/>
      <c r="Q1399" s="12" t="inlineStr"/>
      <c r="R1399" s="12" t="inlineStr"/>
      <c r="S1399" s="12" t="inlineStr"/>
      <c r="T1399" s="12" t="inlineStr">
        <is>
          <t>Group decision (182 records sharing one decision state)</t>
        </is>
      </c>
      <c r="U1399" s="12" t="inlineStr"/>
      <c r="V1399" s="12" t="inlineStr"/>
      <c r="W1399" s="12" t="inlineStr"/>
    </row>
    <row r="1400" ht="64" customHeight="1">
      <c r="A1400" s="12" t="inlineStr">
        <is>
          <t>UNSURE</t>
        </is>
      </c>
      <c r="B1400" s="12" t="inlineStr"/>
      <c r="C1400" s="12" t="inlineStr">
        <is>
          <t>Contractor Programme</t>
        </is>
      </c>
      <c r="D1400" s="12" t="inlineStr">
        <is>
          <t>SCH-06-037</t>
        </is>
      </c>
      <c r="E1400" s="12" t="inlineStr">
        <is>
          <t>Fleet package: delivery risk workshop - inspection</t>
        </is>
      </c>
      <c r="F1400" s="12" t="inlineStr">
        <is>
          <t>UNSURE</t>
        </is>
      </c>
      <c r="G1400" s="12" t="inlineStr">
        <is>
          <t>APPROVED</t>
        </is>
      </c>
      <c r="H1400" s="12" t="inlineStr">
        <is>
          <t>New</t>
        </is>
      </c>
      <c r="I1400" s="12" t="inlineStr">
        <is>
          <t>Professional decision</t>
        </is>
      </c>
      <c r="J1400" s="12" t="inlineStr">
        <is>
          <t>Maya Chen, Owner Project Controls</t>
        </is>
      </c>
      <c r="K1400" s="12" t="inlineStr">
        <is>
          <t>Professional</t>
        </is>
      </c>
      <c r="L1400" s="12" t="inlineStr"/>
      <c r="M1400" s="12" t="inlineStr">
        <is>
          <t>Initial</t>
        </is>
      </c>
      <c r="N1400" s="12" t="inlineStr">
        <is>
          <t>Rev 0</t>
        </is>
      </c>
      <c r="O1400" s="12" t="inlineStr">
        <is>
          <t>R937-v2</t>
        </is>
      </c>
      <c r="P1400" s="12" t="inlineStr"/>
      <c r="Q1400" s="12" t="inlineStr"/>
      <c r="R1400" s="12" t="inlineStr"/>
      <c r="S1400" s="12" t="inlineStr"/>
      <c r="T1400" s="12" t="inlineStr">
        <is>
          <t>Group decision (182 records sharing one decision state)</t>
        </is>
      </c>
      <c r="U1400" s="12" t="inlineStr"/>
      <c r="V1400" s="12" t="inlineStr"/>
      <c r="W1400" s="12" t="inlineStr"/>
    </row>
    <row r="1401" ht="64" customHeight="1">
      <c r="A1401" s="12" t="inlineStr">
        <is>
          <t>UNSURE</t>
        </is>
      </c>
      <c r="B1401" s="12" t="inlineStr"/>
      <c r="C1401" s="12" t="inlineStr">
        <is>
          <t>Contractor Programme</t>
        </is>
      </c>
      <c r="D1401" s="12" t="inlineStr">
        <is>
          <t>SCH-06-038</t>
        </is>
      </c>
      <c r="E1401" s="12" t="inlineStr">
        <is>
          <t>Program office: monthly controls cut-off - turnover</t>
        </is>
      </c>
      <c r="F1401" s="12" t="inlineStr">
        <is>
          <t>UNSURE</t>
        </is>
      </c>
      <c r="G1401" s="12" t="inlineStr">
        <is>
          <t>APPROVED</t>
        </is>
      </c>
      <c r="H1401" s="12" t="inlineStr">
        <is>
          <t>New</t>
        </is>
      </c>
      <c r="I1401" s="12" t="inlineStr">
        <is>
          <t>Professional decision</t>
        </is>
      </c>
      <c r="J1401" s="12" t="inlineStr">
        <is>
          <t>Maya Chen, Owner Project Controls</t>
        </is>
      </c>
      <c r="K1401" s="12" t="inlineStr">
        <is>
          <t>Professional</t>
        </is>
      </c>
      <c r="L1401" s="12" t="inlineStr"/>
      <c r="M1401" s="12" t="inlineStr">
        <is>
          <t>Initial</t>
        </is>
      </c>
      <c r="N1401" s="12" t="inlineStr">
        <is>
          <t>Rev 0</t>
        </is>
      </c>
      <c r="O1401" s="12" t="inlineStr">
        <is>
          <t>R938-v2</t>
        </is>
      </c>
      <c r="P1401" s="12" t="inlineStr"/>
      <c r="Q1401" s="12" t="inlineStr"/>
      <c r="R1401" s="12" t="inlineStr"/>
      <c r="S1401" s="12" t="inlineStr"/>
      <c r="T1401" s="12" t="inlineStr">
        <is>
          <t>Group decision (182 records sharing one decision state)</t>
        </is>
      </c>
      <c r="U1401" s="12" t="inlineStr"/>
      <c r="V1401" s="12" t="inlineStr"/>
      <c r="W1401" s="12" t="inlineStr"/>
    </row>
    <row r="1402" ht="64" customHeight="1">
      <c r="A1402" s="12" t="inlineStr">
        <is>
          <t>UNSURE</t>
        </is>
      </c>
      <c r="B1402" s="12" t="inlineStr"/>
      <c r="C1402" s="12" t="inlineStr">
        <is>
          <t>Contractor Programme</t>
        </is>
      </c>
      <c r="D1402" s="12" t="inlineStr">
        <is>
          <t>SCH-06-039</t>
        </is>
      </c>
      <c r="E1402" s="12" t="inlineStr">
        <is>
          <t>Civil package: stakeholder interface meeting - release</t>
        </is>
      </c>
      <c r="F1402" s="12" t="inlineStr">
        <is>
          <t>UNSURE</t>
        </is>
      </c>
      <c r="G1402" s="12" t="inlineStr">
        <is>
          <t>APPROVED</t>
        </is>
      </c>
      <c r="H1402" s="12" t="inlineStr">
        <is>
          <t>New</t>
        </is>
      </c>
      <c r="I1402" s="12" t="inlineStr">
        <is>
          <t>Professional decision</t>
        </is>
      </c>
      <c r="J1402" s="12" t="inlineStr">
        <is>
          <t>Maya Chen, Owner Project Controls</t>
        </is>
      </c>
      <c r="K1402" s="12" t="inlineStr">
        <is>
          <t>Professional</t>
        </is>
      </c>
      <c r="L1402" s="12" t="inlineStr"/>
      <c r="M1402" s="12" t="inlineStr">
        <is>
          <t>Initial</t>
        </is>
      </c>
      <c r="N1402" s="12" t="inlineStr">
        <is>
          <t>Rev 0</t>
        </is>
      </c>
      <c r="O1402" s="12" t="inlineStr">
        <is>
          <t>R939-v2</t>
        </is>
      </c>
      <c r="P1402" s="12" t="inlineStr"/>
      <c r="Q1402" s="12" t="inlineStr"/>
      <c r="R1402" s="12" t="inlineStr"/>
      <c r="S1402" s="12" t="inlineStr"/>
      <c r="T1402" s="12" t="inlineStr">
        <is>
          <t>Group decision (182 records sharing one decision state)</t>
        </is>
      </c>
      <c r="U1402" s="12" t="inlineStr"/>
      <c r="V1402" s="12" t="inlineStr"/>
      <c r="W1402" s="12" t="inlineStr"/>
    </row>
    <row r="1403" ht="64" customHeight="1">
      <c r="A1403" s="12" t="inlineStr">
        <is>
          <t>UNSURE</t>
        </is>
      </c>
      <c r="B1403" s="12" t="inlineStr"/>
      <c r="C1403" s="12" t="inlineStr">
        <is>
          <t>Contractor Programme</t>
        </is>
      </c>
      <c r="D1403" s="12" t="inlineStr">
        <is>
          <t>SCH-06-040</t>
        </is>
      </c>
      <c r="E1403" s="12" t="inlineStr">
        <is>
          <t>Stations package: baseline change control - field start</t>
        </is>
      </c>
      <c r="F1403" s="12" t="inlineStr">
        <is>
          <t>UNSURE</t>
        </is>
      </c>
      <c r="G1403" s="12" t="inlineStr">
        <is>
          <t>APPROVED</t>
        </is>
      </c>
      <c r="H1403" s="12" t="inlineStr">
        <is>
          <t>New</t>
        </is>
      </c>
      <c r="I1403" s="12" t="inlineStr">
        <is>
          <t>Professional decision</t>
        </is>
      </c>
      <c r="J1403" s="12" t="inlineStr">
        <is>
          <t>Maya Chen, Owner Project Controls</t>
        </is>
      </c>
      <c r="K1403" s="12" t="inlineStr">
        <is>
          <t>Professional</t>
        </is>
      </c>
      <c r="L1403" s="12" t="inlineStr"/>
      <c r="M1403" s="12" t="inlineStr">
        <is>
          <t>Initial</t>
        </is>
      </c>
      <c r="N1403" s="12" t="inlineStr">
        <is>
          <t>Rev 0</t>
        </is>
      </c>
      <c r="O1403" s="12" t="inlineStr">
        <is>
          <t>R940-v2</t>
        </is>
      </c>
      <c r="P1403" s="12" t="inlineStr"/>
      <c r="Q1403" s="12" t="inlineStr"/>
      <c r="R1403" s="12" t="inlineStr"/>
      <c r="S1403" s="12" t="inlineStr"/>
      <c r="T1403" s="12" t="inlineStr">
        <is>
          <t>Group decision (182 records sharing one decision state)</t>
        </is>
      </c>
      <c r="U1403" s="12" t="inlineStr"/>
      <c r="V1403" s="12" t="inlineStr"/>
      <c r="W1403" s="12" t="inlineStr"/>
    </row>
    <row r="1404" ht="64" customHeight="1">
      <c r="A1404" s="12" t="inlineStr">
        <is>
          <t>UNSURE</t>
        </is>
      </c>
      <c r="B1404" s="12" t="inlineStr"/>
      <c r="C1404" s="12" t="inlineStr">
        <is>
          <t>Contractor Programme</t>
        </is>
      </c>
      <c r="D1404" s="12" t="inlineStr">
        <is>
          <t>SCH-06-041</t>
        </is>
      </c>
      <c r="E1404" s="12" t="inlineStr">
        <is>
          <t>Systems package: commercial change review - installation</t>
        </is>
      </c>
      <c r="F1404" s="12" t="inlineStr">
        <is>
          <t>UNSURE</t>
        </is>
      </c>
      <c r="G1404" s="12" t="inlineStr">
        <is>
          <t>APPROVED</t>
        </is>
      </c>
      <c r="H1404" s="12" t="inlineStr">
        <is>
          <t>New</t>
        </is>
      </c>
      <c r="I1404" s="12" t="inlineStr">
        <is>
          <t>Professional decision</t>
        </is>
      </c>
      <c r="J1404" s="12" t="inlineStr">
        <is>
          <t>Maya Chen, Owner Project Controls</t>
        </is>
      </c>
      <c r="K1404" s="12" t="inlineStr">
        <is>
          <t>Professional</t>
        </is>
      </c>
      <c r="L1404" s="12" t="inlineStr"/>
      <c r="M1404" s="12" t="inlineStr">
        <is>
          <t>Initial</t>
        </is>
      </c>
      <c r="N1404" s="12" t="inlineStr">
        <is>
          <t>Rev 0</t>
        </is>
      </c>
      <c r="O1404" s="12" t="inlineStr">
        <is>
          <t>R941-v2</t>
        </is>
      </c>
      <c r="P1404" s="12" t="inlineStr"/>
      <c r="Q1404" s="12" t="inlineStr"/>
      <c r="R1404" s="12" t="inlineStr"/>
      <c r="S1404" s="12" t="inlineStr"/>
      <c r="T1404" s="12" t="inlineStr">
        <is>
          <t>Group decision (182 records sharing one decision state)</t>
        </is>
      </c>
      <c r="U1404" s="12" t="inlineStr"/>
      <c r="V1404" s="12" t="inlineStr"/>
      <c r="W1404" s="12" t="inlineStr"/>
    </row>
    <row r="1405" ht="64" customHeight="1">
      <c r="A1405" s="12" t="inlineStr">
        <is>
          <t>UNSURE</t>
        </is>
      </c>
      <c r="B1405" s="12" t="inlineStr"/>
      <c r="C1405" s="12" t="inlineStr">
        <is>
          <t>Contractor Programme</t>
        </is>
      </c>
      <c r="D1405" s="12" t="inlineStr">
        <is>
          <t>SCH-06-042</t>
        </is>
      </c>
      <c r="E1405" s="12" t="inlineStr">
        <is>
          <t>Fleet package: design-package integration review - inspection</t>
        </is>
      </c>
      <c r="F1405" s="12" t="inlineStr">
        <is>
          <t>UNSURE</t>
        </is>
      </c>
      <c r="G1405" s="12" t="inlineStr">
        <is>
          <t>APPROVED</t>
        </is>
      </c>
      <c r="H1405" s="12" t="inlineStr">
        <is>
          <t>New</t>
        </is>
      </c>
      <c r="I1405" s="12" t="inlineStr">
        <is>
          <t>Professional decision</t>
        </is>
      </c>
      <c r="J1405" s="12" t="inlineStr">
        <is>
          <t>Maya Chen, Owner Project Controls</t>
        </is>
      </c>
      <c r="K1405" s="12" t="inlineStr">
        <is>
          <t>Professional</t>
        </is>
      </c>
      <c r="L1405" s="12" t="inlineStr"/>
      <c r="M1405" s="12" t="inlineStr">
        <is>
          <t>Initial</t>
        </is>
      </c>
      <c r="N1405" s="12" t="inlineStr">
        <is>
          <t>Rev 0</t>
        </is>
      </c>
      <c r="O1405" s="12" t="inlineStr">
        <is>
          <t>R942-v2</t>
        </is>
      </c>
      <c r="P1405" s="12" t="inlineStr"/>
      <c r="Q1405" s="12" t="inlineStr"/>
      <c r="R1405" s="12" t="inlineStr"/>
      <c r="S1405" s="12" t="inlineStr"/>
      <c r="T1405" s="12" t="inlineStr">
        <is>
          <t>Group decision (182 records sharing one decision state)</t>
        </is>
      </c>
      <c r="U1405" s="12" t="inlineStr"/>
      <c r="V1405" s="12" t="inlineStr"/>
      <c r="W1405" s="12" t="inlineStr"/>
    </row>
    <row r="1406" ht="64" customHeight="1">
      <c r="A1406" s="12" t="inlineStr">
        <is>
          <t>UNSURE</t>
        </is>
      </c>
      <c r="B1406" s="12" t="inlineStr"/>
      <c r="C1406" s="12" t="inlineStr">
        <is>
          <t>Contractor Programme</t>
        </is>
      </c>
      <c r="D1406" s="12" t="inlineStr">
        <is>
          <t>SCH-06-043</t>
        </is>
      </c>
      <c r="E1406" s="12" t="inlineStr">
        <is>
          <t>Program office: executive reporting close - turnover</t>
        </is>
      </c>
      <c r="F1406" s="12" t="inlineStr">
        <is>
          <t>UNSURE</t>
        </is>
      </c>
      <c r="G1406" s="12" t="inlineStr">
        <is>
          <t>APPROVED</t>
        </is>
      </c>
      <c r="H1406" s="12" t="inlineStr">
        <is>
          <t>New</t>
        </is>
      </c>
      <c r="I1406" s="12" t="inlineStr">
        <is>
          <t>Professional decision</t>
        </is>
      </c>
      <c r="J1406" s="12" t="inlineStr">
        <is>
          <t>Maya Chen, Owner Project Controls</t>
        </is>
      </c>
      <c r="K1406" s="12" t="inlineStr">
        <is>
          <t>Professional</t>
        </is>
      </c>
      <c r="L1406" s="12" t="inlineStr"/>
      <c r="M1406" s="12" t="inlineStr">
        <is>
          <t>Initial</t>
        </is>
      </c>
      <c r="N1406" s="12" t="inlineStr">
        <is>
          <t>Rev 0</t>
        </is>
      </c>
      <c r="O1406" s="12" t="inlineStr">
        <is>
          <t>R943-v2</t>
        </is>
      </c>
      <c r="P1406" s="12" t="inlineStr"/>
      <c r="Q1406" s="12" t="inlineStr"/>
      <c r="R1406" s="12" t="inlineStr"/>
      <c r="S1406" s="12" t="inlineStr"/>
      <c r="T1406" s="12" t="inlineStr">
        <is>
          <t>Group decision (182 records sharing one decision state)</t>
        </is>
      </c>
      <c r="U1406" s="12" t="inlineStr"/>
      <c r="V1406" s="12" t="inlineStr"/>
      <c r="W1406" s="12" t="inlineStr"/>
    </row>
    <row r="1407" ht="64" customHeight="1">
      <c r="A1407" s="12" t="inlineStr">
        <is>
          <t>UNSURE</t>
        </is>
      </c>
      <c r="B1407" s="12" t="inlineStr"/>
      <c r="C1407" s="12" t="inlineStr">
        <is>
          <t>Contractor Programme</t>
        </is>
      </c>
      <c r="D1407" s="12" t="inlineStr">
        <is>
          <t>SCH-06-044</t>
        </is>
      </c>
      <c r="E1407" s="12" t="inlineStr">
        <is>
          <t>Civil package: permit coordination - release</t>
        </is>
      </c>
      <c r="F1407" s="12" t="inlineStr">
        <is>
          <t>UNSURE</t>
        </is>
      </c>
      <c r="G1407" s="12" t="inlineStr">
        <is>
          <t>APPROVED</t>
        </is>
      </c>
      <c r="H1407" s="12" t="inlineStr">
        <is>
          <t>New</t>
        </is>
      </c>
      <c r="I1407" s="12" t="inlineStr">
        <is>
          <t>Professional decision</t>
        </is>
      </c>
      <c r="J1407" s="12" t="inlineStr">
        <is>
          <t>Maya Chen, Owner Project Controls</t>
        </is>
      </c>
      <c r="K1407" s="12" t="inlineStr">
        <is>
          <t>Professional</t>
        </is>
      </c>
      <c r="L1407" s="12" t="inlineStr"/>
      <c r="M1407" s="12" t="inlineStr">
        <is>
          <t>Initial</t>
        </is>
      </c>
      <c r="N1407" s="12" t="inlineStr">
        <is>
          <t>Rev 0</t>
        </is>
      </c>
      <c r="O1407" s="12" t="inlineStr">
        <is>
          <t>R944-v2</t>
        </is>
      </c>
      <c r="P1407" s="12" t="inlineStr"/>
      <c r="Q1407" s="12" t="inlineStr"/>
      <c r="R1407" s="12" t="inlineStr"/>
      <c r="S1407" s="12" t="inlineStr"/>
      <c r="T1407" s="12" t="inlineStr">
        <is>
          <t>Group decision (182 records sharing one decision state)</t>
        </is>
      </c>
      <c r="U1407" s="12" t="inlineStr"/>
      <c r="V1407" s="12" t="inlineStr"/>
      <c r="W1407" s="12" t="inlineStr"/>
    </row>
    <row r="1408" ht="64" customHeight="1">
      <c r="A1408" s="12" t="inlineStr">
        <is>
          <t>UNSURE</t>
        </is>
      </c>
      <c r="B1408" s="12" t="inlineStr"/>
      <c r="C1408" s="12" t="inlineStr">
        <is>
          <t>Contractor Programme</t>
        </is>
      </c>
      <c r="D1408" s="12" t="inlineStr">
        <is>
          <t>SCH-06-045</t>
        </is>
      </c>
      <c r="E1408" s="12" t="inlineStr">
        <is>
          <t>Stations package: delivery risk workshop - field start</t>
        </is>
      </c>
      <c r="F1408" s="12" t="inlineStr">
        <is>
          <t>UNSURE</t>
        </is>
      </c>
      <c r="G1408" s="12" t="inlineStr">
        <is>
          <t>APPROVED</t>
        </is>
      </c>
      <c r="H1408" s="12" t="inlineStr">
        <is>
          <t>New</t>
        </is>
      </c>
      <c r="I1408" s="12" t="inlineStr">
        <is>
          <t>Professional decision</t>
        </is>
      </c>
      <c r="J1408" s="12" t="inlineStr">
        <is>
          <t>Maya Chen, Owner Project Controls</t>
        </is>
      </c>
      <c r="K1408" s="12" t="inlineStr">
        <is>
          <t>Professional</t>
        </is>
      </c>
      <c r="L1408" s="12" t="inlineStr"/>
      <c r="M1408" s="12" t="inlineStr">
        <is>
          <t>Initial</t>
        </is>
      </c>
      <c r="N1408" s="12" t="inlineStr">
        <is>
          <t>Rev 0</t>
        </is>
      </c>
      <c r="O1408" s="12" t="inlineStr">
        <is>
          <t>R945-v2</t>
        </is>
      </c>
      <c r="P1408" s="12" t="inlineStr"/>
      <c r="Q1408" s="12" t="inlineStr"/>
      <c r="R1408" s="12" t="inlineStr"/>
      <c r="S1408" s="12" t="inlineStr"/>
      <c r="T1408" s="12" t="inlineStr">
        <is>
          <t>Group decision (182 records sharing one decision state)</t>
        </is>
      </c>
      <c r="U1408" s="12" t="inlineStr"/>
      <c r="V1408" s="12" t="inlineStr"/>
      <c r="W1408" s="12" t="inlineStr"/>
    </row>
    <row r="1409" ht="64" customHeight="1">
      <c r="A1409" s="12" t="inlineStr">
        <is>
          <t>UNSURE</t>
        </is>
      </c>
      <c r="B1409" s="12" t="inlineStr"/>
      <c r="C1409" s="12" t="inlineStr">
        <is>
          <t>Contractor Programme</t>
        </is>
      </c>
      <c r="D1409" s="12" t="inlineStr">
        <is>
          <t>SCH-06-046</t>
        </is>
      </c>
      <c r="E1409" s="12" t="inlineStr">
        <is>
          <t>Systems package: monthly controls cut-off - installation</t>
        </is>
      </c>
      <c r="F1409" s="12" t="inlineStr">
        <is>
          <t>UNSURE</t>
        </is>
      </c>
      <c r="G1409" s="12" t="inlineStr">
        <is>
          <t>APPROVED</t>
        </is>
      </c>
      <c r="H1409" s="12" t="inlineStr">
        <is>
          <t>New</t>
        </is>
      </c>
      <c r="I1409" s="12" t="inlineStr">
        <is>
          <t>Professional decision</t>
        </is>
      </c>
      <c r="J1409" s="12" t="inlineStr">
        <is>
          <t>Maya Chen, Owner Project Controls</t>
        </is>
      </c>
      <c r="K1409" s="12" t="inlineStr">
        <is>
          <t>Professional</t>
        </is>
      </c>
      <c r="L1409" s="12" t="inlineStr"/>
      <c r="M1409" s="12" t="inlineStr">
        <is>
          <t>Initial</t>
        </is>
      </c>
      <c r="N1409" s="12" t="inlineStr">
        <is>
          <t>Rev 0</t>
        </is>
      </c>
      <c r="O1409" s="12" t="inlineStr">
        <is>
          <t>R946-v2</t>
        </is>
      </c>
      <c r="P1409" s="12" t="inlineStr"/>
      <c r="Q1409" s="12" t="inlineStr"/>
      <c r="R1409" s="12" t="inlineStr"/>
      <c r="S1409" s="12" t="inlineStr"/>
      <c r="T1409" s="12" t="inlineStr">
        <is>
          <t>Group decision (182 records sharing one decision state)</t>
        </is>
      </c>
      <c r="U1409" s="12" t="inlineStr"/>
      <c r="V1409" s="12" t="inlineStr"/>
      <c r="W1409" s="12" t="inlineStr"/>
    </row>
    <row r="1410" ht="64" customHeight="1">
      <c r="A1410" s="12" t="inlineStr">
        <is>
          <t>UNSURE</t>
        </is>
      </c>
      <c r="B1410" s="12" t="inlineStr"/>
      <c r="C1410" s="12" t="inlineStr">
        <is>
          <t>Contractor Programme</t>
        </is>
      </c>
      <c r="D1410" s="12" t="inlineStr">
        <is>
          <t>SCH-06-047</t>
        </is>
      </c>
      <c r="E1410" s="12" t="inlineStr">
        <is>
          <t>Fleet package: stakeholder interface meeting - inspection</t>
        </is>
      </c>
      <c r="F1410" s="12" t="inlineStr">
        <is>
          <t>UNSURE</t>
        </is>
      </c>
      <c r="G1410" s="12" t="inlineStr">
        <is>
          <t>APPROVED</t>
        </is>
      </c>
      <c r="H1410" s="12" t="inlineStr">
        <is>
          <t>New</t>
        </is>
      </c>
      <c r="I1410" s="12" t="inlineStr">
        <is>
          <t>Professional decision</t>
        </is>
      </c>
      <c r="J1410" s="12" t="inlineStr">
        <is>
          <t>Maya Chen, Owner Project Controls</t>
        </is>
      </c>
      <c r="K1410" s="12" t="inlineStr">
        <is>
          <t>Professional</t>
        </is>
      </c>
      <c r="L1410" s="12" t="inlineStr"/>
      <c r="M1410" s="12" t="inlineStr">
        <is>
          <t>Initial</t>
        </is>
      </c>
      <c r="N1410" s="12" t="inlineStr">
        <is>
          <t>Rev 0</t>
        </is>
      </c>
      <c r="O1410" s="12" t="inlineStr">
        <is>
          <t>R947-v2</t>
        </is>
      </c>
      <c r="P1410" s="12" t="inlineStr"/>
      <c r="Q1410" s="12" t="inlineStr"/>
      <c r="R1410" s="12" t="inlineStr"/>
      <c r="S1410" s="12" t="inlineStr"/>
      <c r="T1410" s="12" t="inlineStr">
        <is>
          <t>Group decision (182 records sharing one decision state)</t>
        </is>
      </c>
      <c r="U1410" s="12" t="inlineStr"/>
      <c r="V1410" s="12" t="inlineStr"/>
      <c r="W1410" s="12" t="inlineStr"/>
    </row>
    <row r="1411" ht="64" customHeight="1">
      <c r="A1411" s="12" t="inlineStr">
        <is>
          <t>UNSURE</t>
        </is>
      </c>
      <c r="B1411" s="12" t="inlineStr"/>
      <c r="C1411" s="12" t="inlineStr">
        <is>
          <t>Contractor Programme</t>
        </is>
      </c>
      <c r="D1411" s="12" t="inlineStr">
        <is>
          <t>SCH-06-048</t>
        </is>
      </c>
      <c r="E1411" s="12" t="inlineStr">
        <is>
          <t>Program office: baseline change control - turnover</t>
        </is>
      </c>
      <c r="F1411" s="12" t="inlineStr">
        <is>
          <t>UNSURE</t>
        </is>
      </c>
      <c r="G1411" s="12" t="inlineStr">
        <is>
          <t>APPROVED</t>
        </is>
      </c>
      <c r="H1411" s="12" t="inlineStr">
        <is>
          <t>New</t>
        </is>
      </c>
      <c r="I1411" s="12" t="inlineStr">
        <is>
          <t>Professional decision</t>
        </is>
      </c>
      <c r="J1411" s="12" t="inlineStr">
        <is>
          <t>Maya Chen, Owner Project Controls</t>
        </is>
      </c>
      <c r="K1411" s="12" t="inlineStr">
        <is>
          <t>Professional</t>
        </is>
      </c>
      <c r="L1411" s="12" t="inlineStr"/>
      <c r="M1411" s="12" t="inlineStr">
        <is>
          <t>Initial</t>
        </is>
      </c>
      <c r="N1411" s="12" t="inlineStr">
        <is>
          <t>Rev 0</t>
        </is>
      </c>
      <c r="O1411" s="12" t="inlineStr">
        <is>
          <t>R948-v2</t>
        </is>
      </c>
      <c r="P1411" s="12" t="inlineStr"/>
      <c r="Q1411" s="12" t="inlineStr"/>
      <c r="R1411" s="12" t="inlineStr"/>
      <c r="S1411" s="12" t="inlineStr"/>
      <c r="T1411" s="12" t="inlineStr">
        <is>
          <t>Group decision (182 records sharing one decision state)</t>
        </is>
      </c>
      <c r="U1411" s="12" t="inlineStr"/>
      <c r="V1411" s="12" t="inlineStr"/>
      <c r="W1411" s="12" t="inlineStr"/>
    </row>
    <row r="1412" ht="64" customHeight="1">
      <c r="A1412" s="12" t="inlineStr">
        <is>
          <t>UNSURE</t>
        </is>
      </c>
      <c r="B1412" s="12" t="inlineStr"/>
      <c r="C1412" s="12" t="inlineStr">
        <is>
          <t>Contractor Programme</t>
        </is>
      </c>
      <c r="D1412" s="12" t="inlineStr">
        <is>
          <t>SCH-06-049</t>
        </is>
      </c>
      <c r="E1412" s="12" t="inlineStr">
        <is>
          <t>Civil package: commercial change review - release</t>
        </is>
      </c>
      <c r="F1412" s="12" t="inlineStr">
        <is>
          <t>UNSURE</t>
        </is>
      </c>
      <c r="G1412" s="12" t="inlineStr">
        <is>
          <t>APPROVED</t>
        </is>
      </c>
      <c r="H1412" s="12" t="inlineStr">
        <is>
          <t>New</t>
        </is>
      </c>
      <c r="I1412" s="12" t="inlineStr">
        <is>
          <t>Professional decision</t>
        </is>
      </c>
      <c r="J1412" s="12" t="inlineStr">
        <is>
          <t>Maya Chen, Owner Project Controls</t>
        </is>
      </c>
      <c r="K1412" s="12" t="inlineStr">
        <is>
          <t>Professional</t>
        </is>
      </c>
      <c r="L1412" s="12" t="inlineStr"/>
      <c r="M1412" s="12" t="inlineStr">
        <is>
          <t>Initial</t>
        </is>
      </c>
      <c r="N1412" s="12" t="inlineStr">
        <is>
          <t>Rev 0</t>
        </is>
      </c>
      <c r="O1412" s="12" t="inlineStr">
        <is>
          <t>R949-v2</t>
        </is>
      </c>
      <c r="P1412" s="12" t="inlineStr"/>
      <c r="Q1412" s="12" t="inlineStr"/>
      <c r="R1412" s="12" t="inlineStr"/>
      <c r="S1412" s="12" t="inlineStr"/>
      <c r="T1412" s="12" t="inlineStr">
        <is>
          <t>Group decision (182 records sharing one decision state)</t>
        </is>
      </c>
      <c r="U1412" s="12" t="inlineStr"/>
      <c r="V1412" s="12" t="inlineStr"/>
      <c r="W1412" s="12" t="inlineStr"/>
    </row>
    <row r="1413" ht="64" customHeight="1">
      <c r="A1413" s="12" t="inlineStr">
        <is>
          <t>UNSURE</t>
        </is>
      </c>
      <c r="B1413" s="12" t="inlineStr"/>
      <c r="C1413" s="12" t="inlineStr">
        <is>
          <t>Contractor Programme</t>
        </is>
      </c>
      <c r="D1413" s="12" t="inlineStr">
        <is>
          <t>SCH-06-050</t>
        </is>
      </c>
      <c r="E1413" s="12" t="inlineStr">
        <is>
          <t>Stations package: design-package integration review - field start</t>
        </is>
      </c>
      <c r="F1413" s="12" t="inlineStr">
        <is>
          <t>UNSURE</t>
        </is>
      </c>
      <c r="G1413" s="12" t="inlineStr">
        <is>
          <t>APPROVED</t>
        </is>
      </c>
      <c r="H1413" s="12" t="inlineStr">
        <is>
          <t>New</t>
        </is>
      </c>
      <c r="I1413" s="12" t="inlineStr">
        <is>
          <t>Professional decision</t>
        </is>
      </c>
      <c r="J1413" s="12" t="inlineStr">
        <is>
          <t>Maya Chen, Owner Project Controls</t>
        </is>
      </c>
      <c r="K1413" s="12" t="inlineStr">
        <is>
          <t>Professional</t>
        </is>
      </c>
      <c r="L1413" s="12" t="inlineStr"/>
      <c r="M1413" s="12" t="inlineStr">
        <is>
          <t>Initial</t>
        </is>
      </c>
      <c r="N1413" s="12" t="inlineStr">
        <is>
          <t>Rev 0</t>
        </is>
      </c>
      <c r="O1413" s="12" t="inlineStr">
        <is>
          <t>R950-v2</t>
        </is>
      </c>
      <c r="P1413" s="12" t="inlineStr"/>
      <c r="Q1413" s="12" t="inlineStr"/>
      <c r="R1413" s="12" t="inlineStr"/>
      <c r="S1413" s="12" t="inlineStr"/>
      <c r="T1413" s="12" t="inlineStr">
        <is>
          <t>Group decision (182 records sharing one decision state)</t>
        </is>
      </c>
      <c r="U1413" s="12" t="inlineStr"/>
      <c r="V1413" s="12" t="inlineStr"/>
      <c r="W1413" s="12" t="inlineStr"/>
    </row>
    <row r="1414" ht="64" customHeight="1">
      <c r="A1414" s="12" t="inlineStr">
        <is>
          <t>UNSURE</t>
        </is>
      </c>
      <c r="B1414" s="12" t="inlineStr"/>
      <c r="C1414" s="12" t="inlineStr">
        <is>
          <t>Contractor Programme</t>
        </is>
      </c>
      <c r="D1414" s="12" t="inlineStr">
        <is>
          <t>SCH-06-051</t>
        </is>
      </c>
      <c r="E1414" s="12" t="inlineStr">
        <is>
          <t>Systems package: executive reporting close - installation</t>
        </is>
      </c>
      <c r="F1414" s="12" t="inlineStr">
        <is>
          <t>UNSURE</t>
        </is>
      </c>
      <c r="G1414" s="12" t="inlineStr">
        <is>
          <t>APPROVED</t>
        </is>
      </c>
      <c r="H1414" s="12" t="inlineStr">
        <is>
          <t>New</t>
        </is>
      </c>
      <c r="I1414" s="12" t="inlineStr">
        <is>
          <t>Professional decision</t>
        </is>
      </c>
      <c r="J1414" s="12" t="inlineStr">
        <is>
          <t>Maya Chen, Owner Project Controls</t>
        </is>
      </c>
      <c r="K1414" s="12" t="inlineStr">
        <is>
          <t>Professional</t>
        </is>
      </c>
      <c r="L1414" s="12" t="inlineStr"/>
      <c r="M1414" s="12" t="inlineStr">
        <is>
          <t>Initial</t>
        </is>
      </c>
      <c r="N1414" s="12" t="inlineStr">
        <is>
          <t>Rev 0</t>
        </is>
      </c>
      <c r="O1414" s="12" t="inlineStr">
        <is>
          <t>R951-v2</t>
        </is>
      </c>
      <c r="P1414" s="12" t="inlineStr"/>
      <c r="Q1414" s="12" t="inlineStr"/>
      <c r="R1414" s="12" t="inlineStr"/>
      <c r="S1414" s="12" t="inlineStr"/>
      <c r="T1414" s="12" t="inlineStr">
        <is>
          <t>Group decision (182 records sharing one decision state)</t>
        </is>
      </c>
      <c r="U1414" s="12" t="inlineStr"/>
      <c r="V1414" s="12" t="inlineStr"/>
      <c r="W1414" s="12" t="inlineStr"/>
    </row>
    <row r="1415" ht="64" customHeight="1">
      <c r="A1415" s="12" t="inlineStr">
        <is>
          <t>UNSURE</t>
        </is>
      </c>
      <c r="B1415" s="12" t="inlineStr"/>
      <c r="C1415" s="12" t="inlineStr">
        <is>
          <t>Contractor Programme</t>
        </is>
      </c>
      <c r="D1415" s="12" t="inlineStr">
        <is>
          <t>SCH-06-052</t>
        </is>
      </c>
      <c r="E1415" s="12" t="inlineStr">
        <is>
          <t>Fleet package: permit coordination - inspection</t>
        </is>
      </c>
      <c r="F1415" s="12" t="inlineStr">
        <is>
          <t>UNSURE</t>
        </is>
      </c>
      <c r="G1415" s="12" t="inlineStr">
        <is>
          <t>APPROVED</t>
        </is>
      </c>
      <c r="H1415" s="12" t="inlineStr">
        <is>
          <t>New</t>
        </is>
      </c>
      <c r="I1415" s="12" t="inlineStr">
        <is>
          <t>Professional decision</t>
        </is>
      </c>
      <c r="J1415" s="12" t="inlineStr">
        <is>
          <t>Maya Chen, Owner Project Controls</t>
        </is>
      </c>
      <c r="K1415" s="12" t="inlineStr">
        <is>
          <t>Professional</t>
        </is>
      </c>
      <c r="L1415" s="12" t="inlineStr"/>
      <c r="M1415" s="12" t="inlineStr">
        <is>
          <t>Initial</t>
        </is>
      </c>
      <c r="N1415" s="12" t="inlineStr">
        <is>
          <t>Rev 0</t>
        </is>
      </c>
      <c r="O1415" s="12" t="inlineStr">
        <is>
          <t>R952-v2</t>
        </is>
      </c>
      <c r="P1415" s="12" t="inlineStr"/>
      <c r="Q1415" s="12" t="inlineStr"/>
      <c r="R1415" s="12" t="inlineStr"/>
      <c r="S1415" s="12" t="inlineStr"/>
      <c r="T1415" s="12" t="inlineStr">
        <is>
          <t>Group decision (182 records sharing one decision state)</t>
        </is>
      </c>
      <c r="U1415" s="12" t="inlineStr"/>
      <c r="V1415" s="12" t="inlineStr"/>
      <c r="W1415" s="12" t="inlineStr"/>
    </row>
    <row r="1416" ht="64" customHeight="1">
      <c r="A1416" s="12" t="inlineStr">
        <is>
          <t>UNSURE</t>
        </is>
      </c>
      <c r="B1416" s="12" t="inlineStr"/>
      <c r="C1416" s="12" t="inlineStr">
        <is>
          <t>Contractor Programme</t>
        </is>
      </c>
      <c r="D1416" s="12" t="inlineStr">
        <is>
          <t>SCH-06-053</t>
        </is>
      </c>
      <c r="E1416" s="12" t="inlineStr">
        <is>
          <t>Program office: delivery risk workshop - turnover</t>
        </is>
      </c>
      <c r="F1416" s="12" t="inlineStr">
        <is>
          <t>UNSURE</t>
        </is>
      </c>
      <c r="G1416" s="12" t="inlineStr">
        <is>
          <t>APPROVED</t>
        </is>
      </c>
      <c r="H1416" s="12" t="inlineStr">
        <is>
          <t>New</t>
        </is>
      </c>
      <c r="I1416" s="12" t="inlineStr">
        <is>
          <t>Professional decision</t>
        </is>
      </c>
      <c r="J1416" s="12" t="inlineStr">
        <is>
          <t>Maya Chen, Owner Project Controls</t>
        </is>
      </c>
      <c r="K1416" s="12" t="inlineStr">
        <is>
          <t>Professional</t>
        </is>
      </c>
      <c r="L1416" s="12" t="inlineStr"/>
      <c r="M1416" s="12" t="inlineStr">
        <is>
          <t>Initial</t>
        </is>
      </c>
      <c r="N1416" s="12" t="inlineStr">
        <is>
          <t>Rev 0</t>
        </is>
      </c>
      <c r="O1416" s="12" t="inlineStr">
        <is>
          <t>R953-v2</t>
        </is>
      </c>
      <c r="P1416" s="12" t="inlineStr"/>
      <c r="Q1416" s="12" t="inlineStr"/>
      <c r="R1416" s="12" t="inlineStr"/>
      <c r="S1416" s="12" t="inlineStr"/>
      <c r="T1416" s="12" t="inlineStr">
        <is>
          <t>Group decision (182 records sharing one decision state)</t>
        </is>
      </c>
      <c r="U1416" s="12" t="inlineStr"/>
      <c r="V1416" s="12" t="inlineStr"/>
      <c r="W1416" s="12" t="inlineStr"/>
    </row>
    <row r="1417" ht="64" customHeight="1">
      <c r="A1417" s="12" t="inlineStr">
        <is>
          <t>UNSURE</t>
        </is>
      </c>
      <c r="B1417" s="12" t="inlineStr"/>
      <c r="C1417" s="12" t="inlineStr">
        <is>
          <t>Contractor Programme</t>
        </is>
      </c>
      <c r="D1417" s="12" t="inlineStr">
        <is>
          <t>SCH-06-054</t>
        </is>
      </c>
      <c r="E1417" s="12" t="inlineStr">
        <is>
          <t>Civil package: monthly controls cut-off - release</t>
        </is>
      </c>
      <c r="F1417" s="12" t="inlineStr">
        <is>
          <t>UNSURE</t>
        </is>
      </c>
      <c r="G1417" s="12" t="inlineStr">
        <is>
          <t>APPROVED</t>
        </is>
      </c>
      <c r="H1417" s="12" t="inlineStr">
        <is>
          <t>New</t>
        </is>
      </c>
      <c r="I1417" s="12" t="inlineStr">
        <is>
          <t>Professional decision</t>
        </is>
      </c>
      <c r="J1417" s="12" t="inlineStr">
        <is>
          <t>Maya Chen, Owner Project Controls</t>
        </is>
      </c>
      <c r="K1417" s="12" t="inlineStr">
        <is>
          <t>Professional</t>
        </is>
      </c>
      <c r="L1417" s="12" t="inlineStr"/>
      <c r="M1417" s="12" t="inlineStr">
        <is>
          <t>Initial</t>
        </is>
      </c>
      <c r="N1417" s="12" t="inlineStr">
        <is>
          <t>Rev 0</t>
        </is>
      </c>
      <c r="O1417" s="12" t="inlineStr">
        <is>
          <t>R954-v2</t>
        </is>
      </c>
      <c r="P1417" s="12" t="inlineStr"/>
      <c r="Q1417" s="12" t="inlineStr"/>
      <c r="R1417" s="12" t="inlineStr"/>
      <c r="S1417" s="12" t="inlineStr"/>
      <c r="T1417" s="12" t="inlineStr">
        <is>
          <t>Group decision (182 records sharing one decision state)</t>
        </is>
      </c>
      <c r="U1417" s="12" t="inlineStr"/>
      <c r="V1417" s="12" t="inlineStr"/>
      <c r="W1417" s="12" t="inlineStr"/>
    </row>
    <row r="1418" ht="64" customHeight="1">
      <c r="A1418" s="12" t="inlineStr">
        <is>
          <t>UNSURE</t>
        </is>
      </c>
      <c r="B1418" s="12" t="inlineStr"/>
      <c r="C1418" s="12" t="inlineStr">
        <is>
          <t>Contractor Programme</t>
        </is>
      </c>
      <c r="D1418" s="12" t="inlineStr">
        <is>
          <t>SCH-06-055</t>
        </is>
      </c>
      <c r="E1418" s="12" t="inlineStr">
        <is>
          <t>Stations package: stakeholder interface meeting - field start</t>
        </is>
      </c>
      <c r="F1418" s="12" t="inlineStr">
        <is>
          <t>UNSURE</t>
        </is>
      </c>
      <c r="G1418" s="12" t="inlineStr">
        <is>
          <t>APPROVED</t>
        </is>
      </c>
      <c r="H1418" s="12" t="inlineStr">
        <is>
          <t>New</t>
        </is>
      </c>
      <c r="I1418" s="12" t="inlineStr">
        <is>
          <t>Professional decision</t>
        </is>
      </c>
      <c r="J1418" s="12" t="inlineStr">
        <is>
          <t>Maya Chen, Owner Project Controls</t>
        </is>
      </c>
      <c r="K1418" s="12" t="inlineStr">
        <is>
          <t>Professional</t>
        </is>
      </c>
      <c r="L1418" s="12" t="inlineStr"/>
      <c r="M1418" s="12" t="inlineStr">
        <is>
          <t>Initial</t>
        </is>
      </c>
      <c r="N1418" s="12" t="inlineStr">
        <is>
          <t>Rev 0</t>
        </is>
      </c>
      <c r="O1418" s="12" t="inlineStr">
        <is>
          <t>R955-v2</t>
        </is>
      </c>
      <c r="P1418" s="12" t="inlineStr"/>
      <c r="Q1418" s="12" t="inlineStr"/>
      <c r="R1418" s="12" t="inlineStr"/>
      <c r="S1418" s="12" t="inlineStr"/>
      <c r="T1418" s="12" t="inlineStr">
        <is>
          <t>Group decision (182 records sharing one decision state)</t>
        </is>
      </c>
      <c r="U1418" s="12" t="inlineStr"/>
      <c r="V1418" s="12" t="inlineStr"/>
      <c r="W1418" s="12" t="inlineStr"/>
    </row>
    <row r="1419" ht="64" customHeight="1">
      <c r="A1419" s="12" t="inlineStr">
        <is>
          <t>UNSURE</t>
        </is>
      </c>
      <c r="B1419" s="12" t="inlineStr"/>
      <c r="C1419" s="12" t="inlineStr">
        <is>
          <t>Contractor Programme</t>
        </is>
      </c>
      <c r="D1419" s="12" t="inlineStr">
        <is>
          <t>SCH-06-056</t>
        </is>
      </c>
      <c r="E1419" s="12" t="inlineStr">
        <is>
          <t>Systems package: baseline change control - installation</t>
        </is>
      </c>
      <c r="F1419" s="12" t="inlineStr">
        <is>
          <t>UNSURE</t>
        </is>
      </c>
      <c r="G1419" s="12" t="inlineStr">
        <is>
          <t>APPROVED</t>
        </is>
      </c>
      <c r="H1419" s="12" t="inlineStr">
        <is>
          <t>New</t>
        </is>
      </c>
      <c r="I1419" s="12" t="inlineStr">
        <is>
          <t>Professional decision</t>
        </is>
      </c>
      <c r="J1419" s="12" t="inlineStr">
        <is>
          <t>Maya Chen, Owner Project Controls</t>
        </is>
      </c>
      <c r="K1419" s="12" t="inlineStr">
        <is>
          <t>Professional</t>
        </is>
      </c>
      <c r="L1419" s="12" t="inlineStr"/>
      <c r="M1419" s="12" t="inlineStr">
        <is>
          <t>Initial</t>
        </is>
      </c>
      <c r="N1419" s="12" t="inlineStr">
        <is>
          <t>Rev 0</t>
        </is>
      </c>
      <c r="O1419" s="12" t="inlineStr">
        <is>
          <t>R956-v2</t>
        </is>
      </c>
      <c r="P1419" s="12" t="inlineStr"/>
      <c r="Q1419" s="12" t="inlineStr"/>
      <c r="R1419" s="12" t="inlineStr"/>
      <c r="S1419" s="12" t="inlineStr"/>
      <c r="T1419" s="12" t="inlineStr">
        <is>
          <t>Group decision (182 records sharing one decision state)</t>
        </is>
      </c>
      <c r="U1419" s="12" t="inlineStr"/>
      <c r="V1419" s="12" t="inlineStr"/>
      <c r="W1419" s="12" t="inlineStr"/>
    </row>
    <row r="1420" ht="64" customHeight="1">
      <c r="A1420" s="12" t="inlineStr">
        <is>
          <t>UNSURE</t>
        </is>
      </c>
      <c r="B1420" s="12" t="inlineStr"/>
      <c r="C1420" s="12" t="inlineStr">
        <is>
          <t>Contractor Programme</t>
        </is>
      </c>
      <c r="D1420" s="12" t="inlineStr">
        <is>
          <t>SCH-06-057</t>
        </is>
      </c>
      <c r="E1420" s="12" t="inlineStr">
        <is>
          <t>Fleet package: commercial change review - inspection</t>
        </is>
      </c>
      <c r="F1420" s="12" t="inlineStr">
        <is>
          <t>UNSURE</t>
        </is>
      </c>
      <c r="G1420" s="12" t="inlineStr">
        <is>
          <t>APPROVED</t>
        </is>
      </c>
      <c r="H1420" s="12" t="inlineStr">
        <is>
          <t>New</t>
        </is>
      </c>
      <c r="I1420" s="12" t="inlineStr">
        <is>
          <t>Professional decision</t>
        </is>
      </c>
      <c r="J1420" s="12" t="inlineStr">
        <is>
          <t>Maya Chen, Owner Project Controls</t>
        </is>
      </c>
      <c r="K1420" s="12" t="inlineStr">
        <is>
          <t>Professional</t>
        </is>
      </c>
      <c r="L1420" s="12" t="inlineStr"/>
      <c r="M1420" s="12" t="inlineStr">
        <is>
          <t>Initial</t>
        </is>
      </c>
      <c r="N1420" s="12" t="inlineStr">
        <is>
          <t>Rev 0</t>
        </is>
      </c>
      <c r="O1420" s="12" t="inlineStr">
        <is>
          <t>R957-v2</t>
        </is>
      </c>
      <c r="P1420" s="12" t="inlineStr"/>
      <c r="Q1420" s="12" t="inlineStr"/>
      <c r="R1420" s="12" t="inlineStr"/>
      <c r="S1420" s="12" t="inlineStr"/>
      <c r="T1420" s="12" t="inlineStr">
        <is>
          <t>Group decision (182 records sharing one decision state)</t>
        </is>
      </c>
      <c r="U1420" s="12" t="inlineStr"/>
      <c r="V1420" s="12" t="inlineStr"/>
      <c r="W1420" s="12" t="inlineStr"/>
    </row>
    <row r="1421" ht="64" customHeight="1">
      <c r="A1421" s="12" t="inlineStr">
        <is>
          <t>UNSURE</t>
        </is>
      </c>
      <c r="B1421" s="12" t="inlineStr"/>
      <c r="C1421" s="12" t="inlineStr">
        <is>
          <t>Contractor Programme</t>
        </is>
      </c>
      <c r="D1421" s="12" t="inlineStr">
        <is>
          <t>SCH-06-058</t>
        </is>
      </c>
      <c r="E1421" s="12" t="inlineStr">
        <is>
          <t>Program office: design-package integration review - turnover</t>
        </is>
      </c>
      <c r="F1421" s="12" t="inlineStr">
        <is>
          <t>UNSURE</t>
        </is>
      </c>
      <c r="G1421" s="12" t="inlineStr">
        <is>
          <t>APPROVED</t>
        </is>
      </c>
      <c r="H1421" s="12" t="inlineStr">
        <is>
          <t>New</t>
        </is>
      </c>
      <c r="I1421" s="12" t="inlineStr">
        <is>
          <t>Professional decision</t>
        </is>
      </c>
      <c r="J1421" s="12" t="inlineStr">
        <is>
          <t>Maya Chen, Owner Project Controls</t>
        </is>
      </c>
      <c r="K1421" s="12" t="inlineStr">
        <is>
          <t>Professional</t>
        </is>
      </c>
      <c r="L1421" s="12" t="inlineStr"/>
      <c r="M1421" s="12" t="inlineStr">
        <is>
          <t>Initial</t>
        </is>
      </c>
      <c r="N1421" s="12" t="inlineStr">
        <is>
          <t>Rev 0</t>
        </is>
      </c>
      <c r="O1421" s="12" t="inlineStr">
        <is>
          <t>R958-v2</t>
        </is>
      </c>
      <c r="P1421" s="12" t="inlineStr"/>
      <c r="Q1421" s="12" t="inlineStr"/>
      <c r="R1421" s="12" t="inlineStr"/>
      <c r="S1421" s="12" t="inlineStr"/>
      <c r="T1421" s="12" t="inlineStr">
        <is>
          <t>Group decision (182 records sharing one decision state)</t>
        </is>
      </c>
      <c r="U1421" s="12" t="inlineStr"/>
      <c r="V1421" s="12" t="inlineStr"/>
      <c r="W1421" s="12" t="inlineStr"/>
    </row>
    <row r="1422" ht="64" customHeight="1">
      <c r="A1422" s="12" t="inlineStr">
        <is>
          <t>UNSURE</t>
        </is>
      </c>
      <c r="B1422" s="12" t="inlineStr"/>
      <c r="C1422" s="12" t="inlineStr">
        <is>
          <t>Contractor Programme</t>
        </is>
      </c>
      <c r="D1422" s="12" t="inlineStr">
        <is>
          <t>SCH-06-059</t>
        </is>
      </c>
      <c r="E1422" s="12" t="inlineStr">
        <is>
          <t>Civil package: executive reporting close - release</t>
        </is>
      </c>
      <c r="F1422" s="12" t="inlineStr">
        <is>
          <t>UNSURE</t>
        </is>
      </c>
      <c r="G1422" s="12" t="inlineStr">
        <is>
          <t>APPROVED</t>
        </is>
      </c>
      <c r="H1422" s="12" t="inlineStr">
        <is>
          <t>New</t>
        </is>
      </c>
      <c r="I1422" s="12" t="inlineStr">
        <is>
          <t>Professional decision</t>
        </is>
      </c>
      <c r="J1422" s="12" t="inlineStr">
        <is>
          <t>Maya Chen, Owner Project Controls</t>
        </is>
      </c>
      <c r="K1422" s="12" t="inlineStr">
        <is>
          <t>Professional</t>
        </is>
      </c>
      <c r="L1422" s="12" t="inlineStr"/>
      <c r="M1422" s="12" t="inlineStr">
        <is>
          <t>Initial</t>
        </is>
      </c>
      <c r="N1422" s="12" t="inlineStr">
        <is>
          <t>Rev 0</t>
        </is>
      </c>
      <c r="O1422" s="12" t="inlineStr">
        <is>
          <t>R959-v2</t>
        </is>
      </c>
      <c r="P1422" s="12" t="inlineStr"/>
      <c r="Q1422" s="12" t="inlineStr"/>
      <c r="R1422" s="12" t="inlineStr"/>
      <c r="S1422" s="12" t="inlineStr"/>
      <c r="T1422" s="12" t="inlineStr">
        <is>
          <t>Group decision (182 records sharing one decision state)</t>
        </is>
      </c>
      <c r="U1422" s="12" t="inlineStr"/>
      <c r="V1422" s="12" t="inlineStr"/>
      <c r="W1422" s="12" t="inlineStr"/>
    </row>
    <row r="1423" ht="64" customHeight="1">
      <c r="A1423" s="12" t="inlineStr">
        <is>
          <t>UNSURE</t>
        </is>
      </c>
      <c r="B1423" s="12" t="inlineStr"/>
      <c r="C1423" s="12" t="inlineStr">
        <is>
          <t>Contractor Programme</t>
        </is>
      </c>
      <c r="D1423" s="12" t="inlineStr">
        <is>
          <t>SCH-06-060</t>
        </is>
      </c>
      <c r="E1423" s="12" t="inlineStr">
        <is>
          <t>Stations package: permit coordination - field start</t>
        </is>
      </c>
      <c r="F1423" s="12" t="inlineStr">
        <is>
          <t>UNSURE</t>
        </is>
      </c>
      <c r="G1423" s="12" t="inlineStr">
        <is>
          <t>APPROVED</t>
        </is>
      </c>
      <c r="H1423" s="12" t="inlineStr">
        <is>
          <t>New</t>
        </is>
      </c>
      <c r="I1423" s="12" t="inlineStr">
        <is>
          <t>Professional decision</t>
        </is>
      </c>
      <c r="J1423" s="12" t="inlineStr">
        <is>
          <t>Maya Chen, Owner Project Controls</t>
        </is>
      </c>
      <c r="K1423" s="12" t="inlineStr">
        <is>
          <t>Professional</t>
        </is>
      </c>
      <c r="L1423" s="12" t="inlineStr"/>
      <c r="M1423" s="12" t="inlineStr">
        <is>
          <t>Initial</t>
        </is>
      </c>
      <c r="N1423" s="12" t="inlineStr">
        <is>
          <t>Rev 0</t>
        </is>
      </c>
      <c r="O1423" s="12" t="inlineStr">
        <is>
          <t>R960-v2</t>
        </is>
      </c>
      <c r="P1423" s="12" t="inlineStr"/>
      <c r="Q1423" s="12" t="inlineStr"/>
      <c r="R1423" s="12" t="inlineStr"/>
      <c r="S1423" s="12" t="inlineStr"/>
      <c r="T1423" s="12" t="inlineStr">
        <is>
          <t>Group decision (182 records sharing one decision state)</t>
        </is>
      </c>
      <c r="U1423" s="12" t="inlineStr"/>
      <c r="V1423" s="12" t="inlineStr"/>
      <c r="W1423" s="12" t="inlineStr"/>
    </row>
    <row r="1424" ht="64" customHeight="1">
      <c r="A1424" s="12" t="inlineStr">
        <is>
          <t>UNSURE</t>
        </is>
      </c>
      <c r="B1424" s="12" t="inlineStr"/>
      <c r="C1424" s="12" t="inlineStr">
        <is>
          <t>Contractor Programme</t>
        </is>
      </c>
      <c r="D1424" s="12" t="inlineStr">
        <is>
          <t>SCH-06-061</t>
        </is>
      </c>
      <c r="E1424" s="12" t="inlineStr">
        <is>
          <t>Systems package: delivery risk workshop - installation</t>
        </is>
      </c>
      <c r="F1424" s="12" t="inlineStr">
        <is>
          <t>UNSURE</t>
        </is>
      </c>
      <c r="G1424" s="12" t="inlineStr">
        <is>
          <t>APPROVED</t>
        </is>
      </c>
      <c r="H1424" s="12" t="inlineStr">
        <is>
          <t>New</t>
        </is>
      </c>
      <c r="I1424" s="12" t="inlineStr">
        <is>
          <t>Professional decision</t>
        </is>
      </c>
      <c r="J1424" s="12" t="inlineStr">
        <is>
          <t>Maya Chen, Owner Project Controls</t>
        </is>
      </c>
      <c r="K1424" s="12" t="inlineStr">
        <is>
          <t>Professional</t>
        </is>
      </c>
      <c r="L1424" s="12" t="inlineStr"/>
      <c r="M1424" s="12" t="inlineStr">
        <is>
          <t>Initial</t>
        </is>
      </c>
      <c r="N1424" s="12" t="inlineStr">
        <is>
          <t>Rev 0</t>
        </is>
      </c>
      <c r="O1424" s="12" t="inlineStr">
        <is>
          <t>R961-v2</t>
        </is>
      </c>
      <c r="P1424" s="12" t="inlineStr"/>
      <c r="Q1424" s="12" t="inlineStr"/>
      <c r="R1424" s="12" t="inlineStr"/>
      <c r="S1424" s="12" t="inlineStr"/>
      <c r="T1424" s="12" t="inlineStr">
        <is>
          <t>Group decision (182 records sharing one decision state)</t>
        </is>
      </c>
      <c r="U1424" s="12" t="inlineStr"/>
      <c r="V1424" s="12" t="inlineStr"/>
      <c r="W1424" s="12" t="inlineStr"/>
    </row>
    <row r="1425" ht="64" customHeight="1">
      <c r="A1425" s="12" t="inlineStr">
        <is>
          <t>UNSURE</t>
        </is>
      </c>
      <c r="B1425" s="12" t="inlineStr"/>
      <c r="C1425" s="12" t="inlineStr">
        <is>
          <t>Contractor Programme</t>
        </is>
      </c>
      <c r="D1425" s="12" t="inlineStr">
        <is>
          <t>SCH-06-062</t>
        </is>
      </c>
      <c r="E1425" s="12" t="inlineStr">
        <is>
          <t>Fleet package: monthly controls cut-off - inspection</t>
        </is>
      </c>
      <c r="F1425" s="12" t="inlineStr">
        <is>
          <t>UNSURE</t>
        </is>
      </c>
      <c r="G1425" s="12" t="inlineStr">
        <is>
          <t>APPROVED</t>
        </is>
      </c>
      <c r="H1425" s="12" t="inlineStr">
        <is>
          <t>New</t>
        </is>
      </c>
      <c r="I1425" s="12" t="inlineStr">
        <is>
          <t>Professional decision</t>
        </is>
      </c>
      <c r="J1425" s="12" t="inlineStr">
        <is>
          <t>Maya Chen, Owner Project Controls</t>
        </is>
      </c>
      <c r="K1425" s="12" t="inlineStr">
        <is>
          <t>Professional</t>
        </is>
      </c>
      <c r="L1425" s="12" t="inlineStr"/>
      <c r="M1425" s="12" t="inlineStr">
        <is>
          <t>Initial</t>
        </is>
      </c>
      <c r="N1425" s="12" t="inlineStr">
        <is>
          <t>Rev 0</t>
        </is>
      </c>
      <c r="O1425" s="12" t="inlineStr">
        <is>
          <t>R962-v2</t>
        </is>
      </c>
      <c r="P1425" s="12" t="inlineStr"/>
      <c r="Q1425" s="12" t="inlineStr"/>
      <c r="R1425" s="12" t="inlineStr"/>
      <c r="S1425" s="12" t="inlineStr"/>
      <c r="T1425" s="12" t="inlineStr">
        <is>
          <t>Group decision (182 records sharing one decision state)</t>
        </is>
      </c>
      <c r="U1425" s="12" t="inlineStr"/>
      <c r="V1425" s="12" t="inlineStr"/>
      <c r="W1425" s="12" t="inlineStr"/>
    </row>
    <row r="1426" ht="64" customHeight="1">
      <c r="A1426" s="12" t="inlineStr">
        <is>
          <t>UNSURE</t>
        </is>
      </c>
      <c r="B1426" s="12" t="inlineStr"/>
      <c r="C1426" s="12" t="inlineStr">
        <is>
          <t>Contractor Programme</t>
        </is>
      </c>
      <c r="D1426" s="12" t="inlineStr">
        <is>
          <t>SCH-06-063</t>
        </is>
      </c>
      <c r="E1426" s="12" t="inlineStr">
        <is>
          <t>Program office: stakeholder interface meeting - turnover</t>
        </is>
      </c>
      <c r="F1426" s="12" t="inlineStr">
        <is>
          <t>UNSURE</t>
        </is>
      </c>
      <c r="G1426" s="12" t="inlineStr">
        <is>
          <t>APPROVED</t>
        </is>
      </c>
      <c r="H1426" s="12" t="inlineStr">
        <is>
          <t>New</t>
        </is>
      </c>
      <c r="I1426" s="12" t="inlineStr">
        <is>
          <t>Professional decision</t>
        </is>
      </c>
      <c r="J1426" s="12" t="inlineStr">
        <is>
          <t>Maya Chen, Owner Project Controls</t>
        </is>
      </c>
      <c r="K1426" s="12" t="inlineStr">
        <is>
          <t>Professional</t>
        </is>
      </c>
      <c r="L1426" s="12" t="inlineStr"/>
      <c r="M1426" s="12" t="inlineStr">
        <is>
          <t>Initial</t>
        </is>
      </c>
      <c r="N1426" s="12" t="inlineStr">
        <is>
          <t>Rev 0</t>
        </is>
      </c>
      <c r="O1426" s="12" t="inlineStr">
        <is>
          <t>R963-v2</t>
        </is>
      </c>
      <c r="P1426" s="12" t="inlineStr"/>
      <c r="Q1426" s="12" t="inlineStr"/>
      <c r="R1426" s="12" t="inlineStr"/>
      <c r="S1426" s="12" t="inlineStr"/>
      <c r="T1426" s="12" t="inlineStr">
        <is>
          <t>Group decision (182 records sharing one decision state)</t>
        </is>
      </c>
      <c r="U1426" s="12" t="inlineStr"/>
      <c r="V1426" s="12" t="inlineStr"/>
      <c r="W1426" s="12" t="inlineStr"/>
    </row>
    <row r="1427" ht="64" customHeight="1">
      <c r="A1427" s="12" t="inlineStr">
        <is>
          <t>UNSURE</t>
        </is>
      </c>
      <c r="B1427" s="12" t="inlineStr"/>
      <c r="C1427" s="12" t="inlineStr">
        <is>
          <t>Contractor Programme</t>
        </is>
      </c>
      <c r="D1427" s="12" t="inlineStr">
        <is>
          <t>SCH-06-064</t>
        </is>
      </c>
      <c r="E1427" s="12" t="inlineStr">
        <is>
          <t>Civil package: baseline change control - release</t>
        </is>
      </c>
      <c r="F1427" s="12" t="inlineStr">
        <is>
          <t>UNSURE</t>
        </is>
      </c>
      <c r="G1427" s="12" t="inlineStr">
        <is>
          <t>APPROVED</t>
        </is>
      </c>
      <c r="H1427" s="12" t="inlineStr">
        <is>
          <t>New</t>
        </is>
      </c>
      <c r="I1427" s="12" t="inlineStr">
        <is>
          <t>Professional decision</t>
        </is>
      </c>
      <c r="J1427" s="12" t="inlineStr">
        <is>
          <t>Maya Chen, Owner Project Controls</t>
        </is>
      </c>
      <c r="K1427" s="12" t="inlineStr">
        <is>
          <t>Professional</t>
        </is>
      </c>
      <c r="L1427" s="12" t="inlineStr"/>
      <c r="M1427" s="12" t="inlineStr">
        <is>
          <t>Initial</t>
        </is>
      </c>
      <c r="N1427" s="12" t="inlineStr">
        <is>
          <t>Rev 0</t>
        </is>
      </c>
      <c r="O1427" s="12" t="inlineStr">
        <is>
          <t>R964-v2</t>
        </is>
      </c>
      <c r="P1427" s="12" t="inlineStr"/>
      <c r="Q1427" s="12" t="inlineStr"/>
      <c r="R1427" s="12" t="inlineStr"/>
      <c r="S1427" s="12" t="inlineStr"/>
      <c r="T1427" s="12" t="inlineStr">
        <is>
          <t>Group decision (182 records sharing one decision state)</t>
        </is>
      </c>
      <c r="U1427" s="12" t="inlineStr"/>
      <c r="V1427" s="12" t="inlineStr"/>
      <c r="W1427" s="12" t="inlineStr"/>
    </row>
    <row r="1428" ht="64" customHeight="1">
      <c r="A1428" s="12" t="inlineStr">
        <is>
          <t>UNSURE</t>
        </is>
      </c>
      <c r="B1428" s="12" t="inlineStr"/>
      <c r="C1428" s="12" t="inlineStr">
        <is>
          <t>Contractor Programme</t>
        </is>
      </c>
      <c r="D1428" s="12" t="inlineStr">
        <is>
          <t>SCH-06-065</t>
        </is>
      </c>
      <c r="E1428" s="12" t="inlineStr">
        <is>
          <t>Stations package: commercial change review - field start</t>
        </is>
      </c>
      <c r="F1428" s="12" t="inlineStr">
        <is>
          <t>UNSURE</t>
        </is>
      </c>
      <c r="G1428" s="12" t="inlineStr">
        <is>
          <t>APPROVED</t>
        </is>
      </c>
      <c r="H1428" s="12" t="inlineStr">
        <is>
          <t>New</t>
        </is>
      </c>
      <c r="I1428" s="12" t="inlineStr">
        <is>
          <t>Professional decision</t>
        </is>
      </c>
      <c r="J1428" s="12" t="inlineStr">
        <is>
          <t>Maya Chen, Owner Project Controls</t>
        </is>
      </c>
      <c r="K1428" s="12" t="inlineStr">
        <is>
          <t>Professional</t>
        </is>
      </c>
      <c r="L1428" s="12" t="inlineStr"/>
      <c r="M1428" s="12" t="inlineStr">
        <is>
          <t>Initial</t>
        </is>
      </c>
      <c r="N1428" s="12" t="inlineStr">
        <is>
          <t>Rev 0</t>
        </is>
      </c>
      <c r="O1428" s="12" t="inlineStr">
        <is>
          <t>R965-v2</t>
        </is>
      </c>
      <c r="P1428" s="12" t="inlineStr"/>
      <c r="Q1428" s="12" t="inlineStr"/>
      <c r="R1428" s="12" t="inlineStr"/>
      <c r="S1428" s="12" t="inlineStr"/>
      <c r="T1428" s="12" t="inlineStr">
        <is>
          <t>Group decision (182 records sharing one decision state)</t>
        </is>
      </c>
      <c r="U1428" s="12" t="inlineStr"/>
      <c r="V1428" s="12" t="inlineStr"/>
      <c r="W1428" s="12" t="inlineStr"/>
    </row>
    <row r="1429" ht="64" customHeight="1">
      <c r="A1429" s="12" t="inlineStr">
        <is>
          <t>UNSURE</t>
        </is>
      </c>
      <c r="B1429" s="12" t="inlineStr"/>
      <c r="C1429" s="12" t="inlineStr">
        <is>
          <t>Contractor Programme</t>
        </is>
      </c>
      <c r="D1429" s="12" t="inlineStr">
        <is>
          <t>SCH-06-066</t>
        </is>
      </c>
      <c r="E1429" s="12" t="inlineStr">
        <is>
          <t>Systems package: design-package integration review - installation</t>
        </is>
      </c>
      <c r="F1429" s="12" t="inlineStr">
        <is>
          <t>UNSURE</t>
        </is>
      </c>
      <c r="G1429" s="12" t="inlineStr">
        <is>
          <t>APPROVED</t>
        </is>
      </c>
      <c r="H1429" s="12" t="inlineStr">
        <is>
          <t>New</t>
        </is>
      </c>
      <c r="I1429" s="12" t="inlineStr">
        <is>
          <t>Professional decision</t>
        </is>
      </c>
      <c r="J1429" s="12" t="inlineStr">
        <is>
          <t>Maya Chen, Owner Project Controls</t>
        </is>
      </c>
      <c r="K1429" s="12" t="inlineStr">
        <is>
          <t>Professional</t>
        </is>
      </c>
      <c r="L1429" s="12" t="inlineStr"/>
      <c r="M1429" s="12" t="inlineStr">
        <is>
          <t>Initial</t>
        </is>
      </c>
      <c r="N1429" s="12" t="inlineStr">
        <is>
          <t>Rev 0</t>
        </is>
      </c>
      <c r="O1429" s="12" t="inlineStr">
        <is>
          <t>R966-v2</t>
        </is>
      </c>
      <c r="P1429" s="12" t="inlineStr"/>
      <c r="Q1429" s="12" t="inlineStr"/>
      <c r="R1429" s="12" t="inlineStr"/>
      <c r="S1429" s="12" t="inlineStr"/>
      <c r="T1429" s="12" t="inlineStr">
        <is>
          <t>Group decision (182 records sharing one decision state)</t>
        </is>
      </c>
      <c r="U1429" s="12" t="inlineStr"/>
      <c r="V1429" s="12" t="inlineStr"/>
      <c r="W1429" s="12" t="inlineStr"/>
    </row>
    <row r="1430" ht="64" customHeight="1">
      <c r="A1430" s="12" t="inlineStr">
        <is>
          <t>UNSURE</t>
        </is>
      </c>
      <c r="B1430" s="12" t="inlineStr"/>
      <c r="C1430" s="12" t="inlineStr">
        <is>
          <t>Contractor Programme</t>
        </is>
      </c>
      <c r="D1430" s="12" t="inlineStr">
        <is>
          <t>SCH-06-067</t>
        </is>
      </c>
      <c r="E1430" s="12" t="inlineStr">
        <is>
          <t>Fleet package: executive reporting close - inspection</t>
        </is>
      </c>
      <c r="F1430" s="12" t="inlineStr">
        <is>
          <t>UNSURE</t>
        </is>
      </c>
      <c r="G1430" s="12" t="inlineStr">
        <is>
          <t>APPROVED</t>
        </is>
      </c>
      <c r="H1430" s="12" t="inlineStr">
        <is>
          <t>New</t>
        </is>
      </c>
      <c r="I1430" s="12" t="inlineStr">
        <is>
          <t>Professional decision</t>
        </is>
      </c>
      <c r="J1430" s="12" t="inlineStr">
        <is>
          <t>Maya Chen, Owner Project Controls</t>
        </is>
      </c>
      <c r="K1430" s="12" t="inlineStr">
        <is>
          <t>Professional</t>
        </is>
      </c>
      <c r="L1430" s="12" t="inlineStr"/>
      <c r="M1430" s="12" t="inlineStr">
        <is>
          <t>Initial</t>
        </is>
      </c>
      <c r="N1430" s="12" t="inlineStr">
        <is>
          <t>Rev 0</t>
        </is>
      </c>
      <c r="O1430" s="12" t="inlineStr">
        <is>
          <t>R967-v2</t>
        </is>
      </c>
      <c r="P1430" s="12" t="inlineStr"/>
      <c r="Q1430" s="12" t="inlineStr"/>
      <c r="R1430" s="12" t="inlineStr"/>
      <c r="S1430" s="12" t="inlineStr"/>
      <c r="T1430" s="12" t="inlineStr">
        <is>
          <t>Group decision (182 records sharing one decision state)</t>
        </is>
      </c>
      <c r="U1430" s="12" t="inlineStr"/>
      <c r="V1430" s="12" t="inlineStr"/>
      <c r="W1430" s="12" t="inlineStr"/>
    </row>
    <row r="1431" ht="64" customHeight="1">
      <c r="A1431" s="12" t="inlineStr">
        <is>
          <t>UNSURE</t>
        </is>
      </c>
      <c r="B1431" s="12" t="inlineStr"/>
      <c r="C1431" s="12" t="inlineStr">
        <is>
          <t>Contractor Programme</t>
        </is>
      </c>
      <c r="D1431" s="12" t="inlineStr">
        <is>
          <t>SCH-06-068</t>
        </is>
      </c>
      <c r="E1431" s="12" t="inlineStr">
        <is>
          <t>Program office: permit coordination - turnover</t>
        </is>
      </c>
      <c r="F1431" s="12" t="inlineStr">
        <is>
          <t>UNSURE</t>
        </is>
      </c>
      <c r="G1431" s="12" t="inlineStr">
        <is>
          <t>APPROVED</t>
        </is>
      </c>
      <c r="H1431" s="12" t="inlineStr">
        <is>
          <t>New</t>
        </is>
      </c>
      <c r="I1431" s="12" t="inlineStr">
        <is>
          <t>Professional decision</t>
        </is>
      </c>
      <c r="J1431" s="12" t="inlineStr">
        <is>
          <t>Maya Chen, Owner Project Controls</t>
        </is>
      </c>
      <c r="K1431" s="12" t="inlineStr">
        <is>
          <t>Professional</t>
        </is>
      </c>
      <c r="L1431" s="12" t="inlineStr"/>
      <c r="M1431" s="12" t="inlineStr">
        <is>
          <t>Initial</t>
        </is>
      </c>
      <c r="N1431" s="12" t="inlineStr">
        <is>
          <t>Rev 0</t>
        </is>
      </c>
      <c r="O1431" s="12" t="inlineStr">
        <is>
          <t>R968-v2</t>
        </is>
      </c>
      <c r="P1431" s="12" t="inlineStr"/>
      <c r="Q1431" s="12" t="inlineStr"/>
      <c r="R1431" s="12" t="inlineStr"/>
      <c r="S1431" s="12" t="inlineStr"/>
      <c r="T1431" s="12" t="inlineStr">
        <is>
          <t>Group decision (182 records sharing one decision state)</t>
        </is>
      </c>
      <c r="U1431" s="12" t="inlineStr"/>
      <c r="V1431" s="12" t="inlineStr"/>
      <c r="W1431" s="12" t="inlineStr"/>
    </row>
    <row r="1432" ht="64" customHeight="1">
      <c r="A1432" s="12" t="inlineStr">
        <is>
          <t>UNSURE</t>
        </is>
      </c>
      <c r="B1432" s="12" t="inlineStr"/>
      <c r="C1432" s="12" t="inlineStr">
        <is>
          <t>Contractor Programme</t>
        </is>
      </c>
      <c r="D1432" s="12" t="inlineStr">
        <is>
          <t>SCH-06-069</t>
        </is>
      </c>
      <c r="E1432" s="12" t="inlineStr">
        <is>
          <t>Civil package: delivery risk workshop - release</t>
        </is>
      </c>
      <c r="F1432" s="12" t="inlineStr">
        <is>
          <t>UNSURE</t>
        </is>
      </c>
      <c r="G1432" s="12" t="inlineStr">
        <is>
          <t>APPROVED</t>
        </is>
      </c>
      <c r="H1432" s="12" t="inlineStr">
        <is>
          <t>New</t>
        </is>
      </c>
      <c r="I1432" s="12" t="inlineStr">
        <is>
          <t>Professional decision</t>
        </is>
      </c>
      <c r="J1432" s="12" t="inlineStr">
        <is>
          <t>Maya Chen, Owner Project Controls</t>
        </is>
      </c>
      <c r="K1432" s="12" t="inlineStr">
        <is>
          <t>Professional</t>
        </is>
      </c>
      <c r="L1432" s="12" t="inlineStr"/>
      <c r="M1432" s="12" t="inlineStr">
        <is>
          <t>Initial</t>
        </is>
      </c>
      <c r="N1432" s="12" t="inlineStr">
        <is>
          <t>Rev 0</t>
        </is>
      </c>
      <c r="O1432" s="12" t="inlineStr">
        <is>
          <t>R969-v2</t>
        </is>
      </c>
      <c r="P1432" s="12" t="inlineStr"/>
      <c r="Q1432" s="12" t="inlineStr"/>
      <c r="R1432" s="12" t="inlineStr"/>
      <c r="S1432" s="12" t="inlineStr"/>
      <c r="T1432" s="12" t="inlineStr">
        <is>
          <t>Group decision (182 records sharing one decision state)</t>
        </is>
      </c>
      <c r="U1432" s="12" t="inlineStr"/>
      <c r="V1432" s="12" t="inlineStr"/>
      <c r="W1432" s="12" t="inlineStr"/>
    </row>
    <row r="1433" ht="64" customHeight="1">
      <c r="A1433" s="12" t="inlineStr">
        <is>
          <t>UNSURE</t>
        </is>
      </c>
      <c r="B1433" s="12" t="inlineStr"/>
      <c r="C1433" s="12" t="inlineStr">
        <is>
          <t>Contractor Programme</t>
        </is>
      </c>
      <c r="D1433" s="12" t="inlineStr">
        <is>
          <t>SCH-06-070</t>
        </is>
      </c>
      <c r="E1433" s="12" t="inlineStr">
        <is>
          <t>Stations package: monthly controls cut-off - field start</t>
        </is>
      </c>
      <c r="F1433" s="12" t="inlineStr">
        <is>
          <t>UNSURE</t>
        </is>
      </c>
      <c r="G1433" s="12" t="inlineStr">
        <is>
          <t>APPROVED</t>
        </is>
      </c>
      <c r="H1433" s="12" t="inlineStr">
        <is>
          <t>New</t>
        </is>
      </c>
      <c r="I1433" s="12" t="inlineStr">
        <is>
          <t>Professional decision</t>
        </is>
      </c>
      <c r="J1433" s="12" t="inlineStr">
        <is>
          <t>Maya Chen, Owner Project Controls</t>
        </is>
      </c>
      <c r="K1433" s="12" t="inlineStr">
        <is>
          <t>Professional</t>
        </is>
      </c>
      <c r="L1433" s="12" t="inlineStr"/>
      <c r="M1433" s="12" t="inlineStr">
        <is>
          <t>Initial</t>
        </is>
      </c>
      <c r="N1433" s="12" t="inlineStr">
        <is>
          <t>Rev 0</t>
        </is>
      </c>
      <c r="O1433" s="12" t="inlineStr">
        <is>
          <t>R970-v2</t>
        </is>
      </c>
      <c r="P1433" s="12" t="inlineStr"/>
      <c r="Q1433" s="12" t="inlineStr"/>
      <c r="R1433" s="12" t="inlineStr"/>
      <c r="S1433" s="12" t="inlineStr"/>
      <c r="T1433" s="12" t="inlineStr">
        <is>
          <t>Group decision (182 records sharing one decision state)</t>
        </is>
      </c>
      <c r="U1433" s="12" t="inlineStr"/>
      <c r="V1433" s="12" t="inlineStr"/>
      <c r="W1433" s="12" t="inlineStr"/>
    </row>
    <row r="1434" ht="64" customHeight="1">
      <c r="A1434" s="12" t="inlineStr">
        <is>
          <t>UNSURE</t>
        </is>
      </c>
      <c r="B1434" s="12" t="inlineStr"/>
      <c r="C1434" s="12" t="inlineStr">
        <is>
          <t>Contractor Programme</t>
        </is>
      </c>
      <c r="D1434" s="12" t="inlineStr">
        <is>
          <t>SCH-06-071</t>
        </is>
      </c>
      <c r="E1434" s="12" t="inlineStr">
        <is>
          <t>Systems package: stakeholder interface meeting - installation</t>
        </is>
      </c>
      <c r="F1434" s="12" t="inlineStr">
        <is>
          <t>UNSURE</t>
        </is>
      </c>
      <c r="G1434" s="12" t="inlineStr">
        <is>
          <t>APPROVED</t>
        </is>
      </c>
      <c r="H1434" s="12" t="inlineStr">
        <is>
          <t>New</t>
        </is>
      </c>
      <c r="I1434" s="12" t="inlineStr">
        <is>
          <t>Professional decision</t>
        </is>
      </c>
      <c r="J1434" s="12" t="inlineStr">
        <is>
          <t>Maya Chen, Owner Project Controls</t>
        </is>
      </c>
      <c r="K1434" s="12" t="inlineStr">
        <is>
          <t>Professional</t>
        </is>
      </c>
      <c r="L1434" s="12" t="inlineStr"/>
      <c r="M1434" s="12" t="inlineStr">
        <is>
          <t>Initial</t>
        </is>
      </c>
      <c r="N1434" s="12" t="inlineStr">
        <is>
          <t>Rev 0</t>
        </is>
      </c>
      <c r="O1434" s="12" t="inlineStr">
        <is>
          <t>R971-v2</t>
        </is>
      </c>
      <c r="P1434" s="12" t="inlineStr"/>
      <c r="Q1434" s="12" t="inlineStr"/>
      <c r="R1434" s="12" t="inlineStr"/>
      <c r="S1434" s="12" t="inlineStr"/>
      <c r="T1434" s="12" t="inlineStr">
        <is>
          <t>Group decision (182 records sharing one decision state)</t>
        </is>
      </c>
      <c r="U1434" s="12" t="inlineStr"/>
      <c r="V1434" s="12" t="inlineStr"/>
      <c r="W1434" s="12" t="inlineStr"/>
    </row>
    <row r="1435" ht="64" customHeight="1">
      <c r="A1435" s="12" t="inlineStr">
        <is>
          <t>UNSURE</t>
        </is>
      </c>
      <c r="B1435" s="12" t="inlineStr"/>
      <c r="C1435" s="12" t="inlineStr">
        <is>
          <t>Contractor Programme</t>
        </is>
      </c>
      <c r="D1435" s="12" t="inlineStr">
        <is>
          <t>SCH-06-072</t>
        </is>
      </c>
      <c r="E1435" s="12" t="inlineStr">
        <is>
          <t>Fleet package: baseline change control - inspection</t>
        </is>
      </c>
      <c r="F1435" s="12" t="inlineStr">
        <is>
          <t>UNSURE</t>
        </is>
      </c>
      <c r="G1435" s="12" t="inlineStr">
        <is>
          <t>APPROVED</t>
        </is>
      </c>
      <c r="H1435" s="12" t="inlineStr">
        <is>
          <t>New</t>
        </is>
      </c>
      <c r="I1435" s="12" t="inlineStr">
        <is>
          <t>Professional decision</t>
        </is>
      </c>
      <c r="J1435" s="12" t="inlineStr">
        <is>
          <t>Maya Chen, Owner Project Controls</t>
        </is>
      </c>
      <c r="K1435" s="12" t="inlineStr">
        <is>
          <t>Professional</t>
        </is>
      </c>
      <c r="L1435" s="12" t="inlineStr"/>
      <c r="M1435" s="12" t="inlineStr">
        <is>
          <t>Initial</t>
        </is>
      </c>
      <c r="N1435" s="12" t="inlineStr">
        <is>
          <t>Rev 0</t>
        </is>
      </c>
      <c r="O1435" s="12" t="inlineStr">
        <is>
          <t>R972-v2</t>
        </is>
      </c>
      <c r="P1435" s="12" t="inlineStr"/>
      <c r="Q1435" s="12" t="inlineStr"/>
      <c r="R1435" s="12" t="inlineStr"/>
      <c r="S1435" s="12" t="inlineStr"/>
      <c r="T1435" s="12" t="inlineStr">
        <is>
          <t>Group decision (182 records sharing one decision state)</t>
        </is>
      </c>
      <c r="U1435" s="12" t="inlineStr"/>
      <c r="V1435" s="12" t="inlineStr"/>
      <c r="W1435" s="12" t="inlineStr"/>
    </row>
    <row r="1436" ht="64" customHeight="1">
      <c r="A1436" s="12" t="inlineStr">
        <is>
          <t>UNSURE</t>
        </is>
      </c>
      <c r="B1436" s="12" t="inlineStr"/>
      <c r="C1436" s="12" t="inlineStr">
        <is>
          <t>Contractor Programme</t>
        </is>
      </c>
      <c r="D1436" s="12" t="inlineStr">
        <is>
          <t>SCH-06-073</t>
        </is>
      </c>
      <c r="E1436" s="12" t="inlineStr">
        <is>
          <t>Program office: commercial change review - turnover</t>
        </is>
      </c>
      <c r="F1436" s="12" t="inlineStr">
        <is>
          <t>UNSURE</t>
        </is>
      </c>
      <c r="G1436" s="12" t="inlineStr">
        <is>
          <t>APPROVED</t>
        </is>
      </c>
      <c r="H1436" s="12" t="inlineStr">
        <is>
          <t>New</t>
        </is>
      </c>
      <c r="I1436" s="12" t="inlineStr">
        <is>
          <t>Professional decision</t>
        </is>
      </c>
      <c r="J1436" s="12" t="inlineStr">
        <is>
          <t>Maya Chen, Owner Project Controls</t>
        </is>
      </c>
      <c r="K1436" s="12" t="inlineStr">
        <is>
          <t>Professional</t>
        </is>
      </c>
      <c r="L1436" s="12" t="inlineStr"/>
      <c r="M1436" s="12" t="inlineStr">
        <is>
          <t>Initial</t>
        </is>
      </c>
      <c r="N1436" s="12" t="inlineStr">
        <is>
          <t>Rev 0</t>
        </is>
      </c>
      <c r="O1436" s="12" t="inlineStr">
        <is>
          <t>R973-v2</t>
        </is>
      </c>
      <c r="P1436" s="12" t="inlineStr"/>
      <c r="Q1436" s="12" t="inlineStr"/>
      <c r="R1436" s="12" t="inlineStr"/>
      <c r="S1436" s="12" t="inlineStr"/>
      <c r="T1436" s="12" t="inlineStr">
        <is>
          <t>Group decision (182 records sharing one decision state)</t>
        </is>
      </c>
      <c r="U1436" s="12" t="inlineStr"/>
      <c r="V1436" s="12" t="inlineStr"/>
      <c r="W1436" s="12" t="inlineStr"/>
    </row>
    <row r="1437" ht="64" customHeight="1">
      <c r="A1437" s="12" t="inlineStr">
        <is>
          <t>UNSURE</t>
        </is>
      </c>
      <c r="B1437" s="12" t="inlineStr"/>
      <c r="C1437" s="12" t="inlineStr">
        <is>
          <t>Contractor Programme</t>
        </is>
      </c>
      <c r="D1437" s="12" t="inlineStr">
        <is>
          <t>SCH-06-074</t>
        </is>
      </c>
      <c r="E1437" s="12" t="inlineStr">
        <is>
          <t>Civil package: design-package integration review - release</t>
        </is>
      </c>
      <c r="F1437" s="12" t="inlineStr">
        <is>
          <t>UNSURE</t>
        </is>
      </c>
      <c r="G1437" s="12" t="inlineStr">
        <is>
          <t>APPROVED</t>
        </is>
      </c>
      <c r="H1437" s="12" t="inlineStr">
        <is>
          <t>New</t>
        </is>
      </c>
      <c r="I1437" s="12" t="inlineStr">
        <is>
          <t>Professional decision</t>
        </is>
      </c>
      <c r="J1437" s="12" t="inlineStr">
        <is>
          <t>Maya Chen, Owner Project Controls</t>
        </is>
      </c>
      <c r="K1437" s="12" t="inlineStr">
        <is>
          <t>Professional</t>
        </is>
      </c>
      <c r="L1437" s="12" t="inlineStr"/>
      <c r="M1437" s="12" t="inlineStr">
        <is>
          <t>Initial</t>
        </is>
      </c>
      <c r="N1437" s="12" t="inlineStr">
        <is>
          <t>Rev 0</t>
        </is>
      </c>
      <c r="O1437" s="12" t="inlineStr">
        <is>
          <t>R974-v2</t>
        </is>
      </c>
      <c r="P1437" s="12" t="inlineStr"/>
      <c r="Q1437" s="12" t="inlineStr"/>
      <c r="R1437" s="12" t="inlineStr"/>
      <c r="S1437" s="12" t="inlineStr"/>
      <c r="T1437" s="12" t="inlineStr">
        <is>
          <t>Group decision (182 records sharing one decision state)</t>
        </is>
      </c>
      <c r="U1437" s="12" t="inlineStr"/>
      <c r="V1437" s="12" t="inlineStr"/>
      <c r="W1437" s="12" t="inlineStr"/>
    </row>
    <row r="1438" ht="64" customHeight="1">
      <c r="A1438" s="12" t="inlineStr">
        <is>
          <t>UNSURE</t>
        </is>
      </c>
      <c r="B1438" s="12" t="inlineStr"/>
      <c r="C1438" s="12" t="inlineStr">
        <is>
          <t>Contractor Programme</t>
        </is>
      </c>
      <c r="D1438" s="12" t="inlineStr">
        <is>
          <t>SCH-06-075</t>
        </is>
      </c>
      <c r="E1438" s="12" t="inlineStr">
        <is>
          <t>Stations package: executive reporting close - field start</t>
        </is>
      </c>
      <c r="F1438" s="12" t="inlineStr">
        <is>
          <t>UNSURE</t>
        </is>
      </c>
      <c r="G1438" s="12" t="inlineStr">
        <is>
          <t>APPROVED</t>
        </is>
      </c>
      <c r="H1438" s="12" t="inlineStr">
        <is>
          <t>New</t>
        </is>
      </c>
      <c r="I1438" s="12" t="inlineStr">
        <is>
          <t>Professional decision</t>
        </is>
      </c>
      <c r="J1438" s="12" t="inlineStr">
        <is>
          <t>Maya Chen, Owner Project Controls</t>
        </is>
      </c>
      <c r="K1438" s="12" t="inlineStr">
        <is>
          <t>Professional</t>
        </is>
      </c>
      <c r="L1438" s="12" t="inlineStr"/>
      <c r="M1438" s="12" t="inlineStr">
        <is>
          <t>Initial</t>
        </is>
      </c>
      <c r="N1438" s="12" t="inlineStr">
        <is>
          <t>Rev 0</t>
        </is>
      </c>
      <c r="O1438" s="12" t="inlineStr">
        <is>
          <t>R975-v2</t>
        </is>
      </c>
      <c r="P1438" s="12" t="inlineStr"/>
      <c r="Q1438" s="12" t="inlineStr"/>
      <c r="R1438" s="12" t="inlineStr"/>
      <c r="S1438" s="12" t="inlineStr"/>
      <c r="T1438" s="12" t="inlineStr">
        <is>
          <t>Group decision (182 records sharing one decision state)</t>
        </is>
      </c>
      <c r="U1438" s="12" t="inlineStr"/>
      <c r="V1438" s="12" t="inlineStr"/>
      <c r="W1438" s="12" t="inlineStr"/>
    </row>
    <row r="1439" ht="64" customHeight="1">
      <c r="A1439" s="12" t="inlineStr">
        <is>
          <t>UNSURE</t>
        </is>
      </c>
      <c r="B1439" s="12" t="inlineStr"/>
      <c r="C1439" s="12" t="inlineStr">
        <is>
          <t>Contractor Programme</t>
        </is>
      </c>
      <c r="D1439" s="12" t="inlineStr">
        <is>
          <t>SCH-06-076</t>
        </is>
      </c>
      <c r="E1439" s="12" t="inlineStr">
        <is>
          <t>Systems package: permit coordination - installation</t>
        </is>
      </c>
      <c r="F1439" s="12" t="inlineStr">
        <is>
          <t>UNSURE</t>
        </is>
      </c>
      <c r="G1439" s="12" t="inlineStr">
        <is>
          <t>APPROVED</t>
        </is>
      </c>
      <c r="H1439" s="12" t="inlineStr">
        <is>
          <t>New</t>
        </is>
      </c>
      <c r="I1439" s="12" t="inlineStr">
        <is>
          <t>Professional decision</t>
        </is>
      </c>
      <c r="J1439" s="12" t="inlineStr">
        <is>
          <t>Maya Chen, Owner Project Controls</t>
        </is>
      </c>
      <c r="K1439" s="12" t="inlineStr">
        <is>
          <t>Professional</t>
        </is>
      </c>
      <c r="L1439" s="12" t="inlineStr"/>
      <c r="M1439" s="12" t="inlineStr">
        <is>
          <t>Initial</t>
        </is>
      </c>
      <c r="N1439" s="12" t="inlineStr">
        <is>
          <t>Rev 0</t>
        </is>
      </c>
      <c r="O1439" s="12" t="inlineStr">
        <is>
          <t>R976-v2</t>
        </is>
      </c>
      <c r="P1439" s="12" t="inlineStr"/>
      <c r="Q1439" s="12" t="inlineStr"/>
      <c r="R1439" s="12" t="inlineStr"/>
      <c r="S1439" s="12" t="inlineStr"/>
      <c r="T1439" s="12" t="inlineStr">
        <is>
          <t>Group decision (182 records sharing one decision state)</t>
        </is>
      </c>
      <c r="U1439" s="12" t="inlineStr"/>
      <c r="V1439" s="12" t="inlineStr"/>
      <c r="W1439" s="12" t="inlineStr"/>
    </row>
    <row r="1440" ht="64" customHeight="1">
      <c r="A1440" s="12" t="inlineStr">
        <is>
          <t>UNSURE</t>
        </is>
      </c>
      <c r="B1440" s="12" t="inlineStr"/>
      <c r="C1440" s="12" t="inlineStr">
        <is>
          <t>Contractor Programme</t>
        </is>
      </c>
      <c r="D1440" s="12" t="inlineStr">
        <is>
          <t>SCH-06-077</t>
        </is>
      </c>
      <c r="E1440" s="12" t="inlineStr">
        <is>
          <t>Fleet package: delivery risk workshop - inspection</t>
        </is>
      </c>
      <c r="F1440" s="12" t="inlineStr">
        <is>
          <t>UNSURE</t>
        </is>
      </c>
      <c r="G1440" s="12" t="inlineStr">
        <is>
          <t>APPROVED</t>
        </is>
      </c>
      <c r="H1440" s="12" t="inlineStr">
        <is>
          <t>New</t>
        </is>
      </c>
      <c r="I1440" s="12" t="inlineStr">
        <is>
          <t>Professional decision</t>
        </is>
      </c>
      <c r="J1440" s="12" t="inlineStr">
        <is>
          <t>Maya Chen, Owner Project Controls</t>
        </is>
      </c>
      <c r="K1440" s="12" t="inlineStr">
        <is>
          <t>Professional</t>
        </is>
      </c>
      <c r="L1440" s="12" t="inlineStr"/>
      <c r="M1440" s="12" t="inlineStr">
        <is>
          <t>Initial</t>
        </is>
      </c>
      <c r="N1440" s="12" t="inlineStr">
        <is>
          <t>Rev 0</t>
        </is>
      </c>
      <c r="O1440" s="12" t="inlineStr">
        <is>
          <t>R977-v2</t>
        </is>
      </c>
      <c r="P1440" s="12" t="inlineStr"/>
      <c r="Q1440" s="12" t="inlineStr"/>
      <c r="R1440" s="12" t="inlineStr"/>
      <c r="S1440" s="12" t="inlineStr"/>
      <c r="T1440" s="12" t="inlineStr">
        <is>
          <t>Group decision (182 records sharing one decision state)</t>
        </is>
      </c>
      <c r="U1440" s="12" t="inlineStr"/>
      <c r="V1440" s="12" t="inlineStr"/>
      <c r="W1440" s="12" t="inlineStr"/>
    </row>
    <row r="1441" ht="64" customHeight="1">
      <c r="A1441" s="12" t="inlineStr">
        <is>
          <t>UNSURE</t>
        </is>
      </c>
      <c r="B1441" s="12" t="inlineStr"/>
      <c r="C1441" s="12" t="inlineStr">
        <is>
          <t>Contractor Programme</t>
        </is>
      </c>
      <c r="D1441" s="12" t="inlineStr">
        <is>
          <t>SCH-06-078</t>
        </is>
      </c>
      <c r="E1441" s="12" t="inlineStr">
        <is>
          <t>Program office: monthly controls cut-off - turnover</t>
        </is>
      </c>
      <c r="F1441" s="12" t="inlineStr">
        <is>
          <t>UNSURE</t>
        </is>
      </c>
      <c r="G1441" s="12" t="inlineStr">
        <is>
          <t>APPROVED</t>
        </is>
      </c>
      <c r="H1441" s="12" t="inlineStr">
        <is>
          <t>New</t>
        </is>
      </c>
      <c r="I1441" s="12" t="inlineStr">
        <is>
          <t>Professional decision</t>
        </is>
      </c>
      <c r="J1441" s="12" t="inlineStr">
        <is>
          <t>Maya Chen, Owner Project Controls</t>
        </is>
      </c>
      <c r="K1441" s="12" t="inlineStr">
        <is>
          <t>Professional</t>
        </is>
      </c>
      <c r="L1441" s="12" t="inlineStr"/>
      <c r="M1441" s="12" t="inlineStr">
        <is>
          <t>Initial</t>
        </is>
      </c>
      <c r="N1441" s="12" t="inlineStr">
        <is>
          <t>Rev 0</t>
        </is>
      </c>
      <c r="O1441" s="12" t="inlineStr">
        <is>
          <t>R978-v2</t>
        </is>
      </c>
      <c r="P1441" s="12" t="inlineStr"/>
      <c r="Q1441" s="12" t="inlineStr"/>
      <c r="R1441" s="12" t="inlineStr"/>
      <c r="S1441" s="12" t="inlineStr"/>
      <c r="T1441" s="12" t="inlineStr">
        <is>
          <t>Group decision (182 records sharing one decision state)</t>
        </is>
      </c>
      <c r="U1441" s="12" t="inlineStr"/>
      <c r="V1441" s="12" t="inlineStr"/>
      <c r="W1441" s="12" t="inlineStr"/>
    </row>
    <row r="1442" ht="64" customHeight="1">
      <c r="A1442" s="12" t="inlineStr">
        <is>
          <t>UNSURE</t>
        </is>
      </c>
      <c r="B1442" s="12" t="inlineStr"/>
      <c r="C1442" s="12" t="inlineStr">
        <is>
          <t>Contractor Programme</t>
        </is>
      </c>
      <c r="D1442" s="12" t="inlineStr">
        <is>
          <t>SCH-06-079</t>
        </is>
      </c>
      <c r="E1442" s="12" t="inlineStr">
        <is>
          <t>Civil package: stakeholder interface meeting - release</t>
        </is>
      </c>
      <c r="F1442" s="12" t="inlineStr">
        <is>
          <t>UNSURE</t>
        </is>
      </c>
      <c r="G1442" s="12" t="inlineStr">
        <is>
          <t>APPROVED</t>
        </is>
      </c>
      <c r="H1442" s="12" t="inlineStr">
        <is>
          <t>New</t>
        </is>
      </c>
      <c r="I1442" s="12" t="inlineStr">
        <is>
          <t>Professional decision</t>
        </is>
      </c>
      <c r="J1442" s="12" t="inlineStr">
        <is>
          <t>Maya Chen, Owner Project Controls</t>
        </is>
      </c>
      <c r="K1442" s="12" t="inlineStr">
        <is>
          <t>Professional</t>
        </is>
      </c>
      <c r="L1442" s="12" t="inlineStr"/>
      <c r="M1442" s="12" t="inlineStr">
        <is>
          <t>Initial</t>
        </is>
      </c>
      <c r="N1442" s="12" t="inlineStr">
        <is>
          <t>Rev 0</t>
        </is>
      </c>
      <c r="O1442" s="12" t="inlineStr">
        <is>
          <t>R979-v2</t>
        </is>
      </c>
      <c r="P1442" s="12" t="inlineStr"/>
      <c r="Q1442" s="12" t="inlineStr"/>
      <c r="R1442" s="12" t="inlineStr"/>
      <c r="S1442" s="12" t="inlineStr"/>
      <c r="T1442" s="12" t="inlineStr">
        <is>
          <t>Group decision (182 records sharing one decision state)</t>
        </is>
      </c>
      <c r="U1442" s="12" t="inlineStr"/>
      <c r="V1442" s="12" t="inlineStr"/>
      <c r="W1442" s="12" t="inlineStr"/>
    </row>
    <row r="1443" ht="64" customHeight="1">
      <c r="A1443" s="12" t="inlineStr">
        <is>
          <t>UNSURE</t>
        </is>
      </c>
      <c r="B1443" s="12" t="inlineStr"/>
      <c r="C1443" s="12" t="inlineStr">
        <is>
          <t>Contractor Programme</t>
        </is>
      </c>
      <c r="D1443" s="12" t="inlineStr">
        <is>
          <t>SCH-06-080</t>
        </is>
      </c>
      <c r="E1443" s="12" t="inlineStr">
        <is>
          <t>Stations package: baseline change control - field start</t>
        </is>
      </c>
      <c r="F1443" s="12" t="inlineStr">
        <is>
          <t>UNSURE</t>
        </is>
      </c>
      <c r="G1443" s="12" t="inlineStr">
        <is>
          <t>APPROVED</t>
        </is>
      </c>
      <c r="H1443" s="12" t="inlineStr">
        <is>
          <t>New</t>
        </is>
      </c>
      <c r="I1443" s="12" t="inlineStr">
        <is>
          <t>Professional decision</t>
        </is>
      </c>
      <c r="J1443" s="12" t="inlineStr">
        <is>
          <t>Maya Chen, Owner Project Controls</t>
        </is>
      </c>
      <c r="K1443" s="12" t="inlineStr">
        <is>
          <t>Professional</t>
        </is>
      </c>
      <c r="L1443" s="12" t="inlineStr"/>
      <c r="M1443" s="12" t="inlineStr">
        <is>
          <t>Initial</t>
        </is>
      </c>
      <c r="N1443" s="12" t="inlineStr">
        <is>
          <t>Rev 0</t>
        </is>
      </c>
      <c r="O1443" s="12" t="inlineStr">
        <is>
          <t>R980-v2</t>
        </is>
      </c>
      <c r="P1443" s="12" t="inlineStr"/>
      <c r="Q1443" s="12" t="inlineStr"/>
      <c r="R1443" s="12" t="inlineStr"/>
      <c r="S1443" s="12" t="inlineStr"/>
      <c r="T1443" s="12" t="inlineStr">
        <is>
          <t>Group decision (182 records sharing one decision state)</t>
        </is>
      </c>
      <c r="U1443" s="12" t="inlineStr"/>
      <c r="V1443" s="12" t="inlineStr"/>
      <c r="W1443" s="12" t="inlineStr"/>
    </row>
    <row r="1444" ht="64" customHeight="1">
      <c r="A1444" s="12" t="inlineStr">
        <is>
          <t>UNSURE</t>
        </is>
      </c>
      <c r="B1444" s="12" t="inlineStr"/>
      <c r="C1444" s="12" t="inlineStr">
        <is>
          <t>Contractor Programme</t>
        </is>
      </c>
      <c r="D1444" s="12" t="inlineStr">
        <is>
          <t>SCH-06-081</t>
        </is>
      </c>
      <c r="E1444" s="12" t="inlineStr">
        <is>
          <t>Systems package: commercial change review - installation</t>
        </is>
      </c>
      <c r="F1444" s="12" t="inlineStr">
        <is>
          <t>UNSURE</t>
        </is>
      </c>
      <c r="G1444" s="12" t="inlineStr">
        <is>
          <t>APPROVED</t>
        </is>
      </c>
      <c r="H1444" s="12" t="inlineStr">
        <is>
          <t>New</t>
        </is>
      </c>
      <c r="I1444" s="12" t="inlineStr">
        <is>
          <t>Professional decision</t>
        </is>
      </c>
      <c r="J1444" s="12" t="inlineStr">
        <is>
          <t>Maya Chen, Owner Project Controls</t>
        </is>
      </c>
      <c r="K1444" s="12" t="inlineStr">
        <is>
          <t>Professional</t>
        </is>
      </c>
      <c r="L1444" s="12" t="inlineStr"/>
      <c r="M1444" s="12" t="inlineStr">
        <is>
          <t>Initial</t>
        </is>
      </c>
      <c r="N1444" s="12" t="inlineStr">
        <is>
          <t>Rev 0</t>
        </is>
      </c>
      <c r="O1444" s="12" t="inlineStr">
        <is>
          <t>R981-v2</t>
        </is>
      </c>
      <c r="P1444" s="12" t="inlineStr"/>
      <c r="Q1444" s="12" t="inlineStr"/>
      <c r="R1444" s="12" t="inlineStr"/>
      <c r="S1444" s="12" t="inlineStr"/>
      <c r="T1444" s="12" t="inlineStr">
        <is>
          <t>Group decision (182 records sharing one decision state)</t>
        </is>
      </c>
      <c r="U1444" s="12" t="inlineStr"/>
      <c r="V1444" s="12" t="inlineStr"/>
      <c r="W1444" s="12" t="inlineStr"/>
    </row>
    <row r="1445" ht="64" customHeight="1">
      <c r="A1445" s="12" t="inlineStr">
        <is>
          <t>UNSURE</t>
        </is>
      </c>
      <c r="B1445" s="12" t="inlineStr"/>
      <c r="C1445" s="12" t="inlineStr">
        <is>
          <t>Contractor Programme</t>
        </is>
      </c>
      <c r="D1445" s="12" t="inlineStr">
        <is>
          <t>SCH-06-082</t>
        </is>
      </c>
      <c r="E1445" s="12" t="inlineStr">
        <is>
          <t>Fleet package: design-package integration review - inspection</t>
        </is>
      </c>
      <c r="F1445" s="12" t="inlineStr">
        <is>
          <t>UNSURE</t>
        </is>
      </c>
      <c r="G1445" s="12" t="inlineStr">
        <is>
          <t>APPROVED</t>
        </is>
      </c>
      <c r="H1445" s="12" t="inlineStr">
        <is>
          <t>New</t>
        </is>
      </c>
      <c r="I1445" s="12" t="inlineStr">
        <is>
          <t>Professional decision</t>
        </is>
      </c>
      <c r="J1445" s="12" t="inlineStr">
        <is>
          <t>Maya Chen, Owner Project Controls</t>
        </is>
      </c>
      <c r="K1445" s="12" t="inlineStr">
        <is>
          <t>Professional</t>
        </is>
      </c>
      <c r="L1445" s="12" t="inlineStr"/>
      <c r="M1445" s="12" t="inlineStr">
        <is>
          <t>Initial</t>
        </is>
      </c>
      <c r="N1445" s="12" t="inlineStr">
        <is>
          <t>Rev 0</t>
        </is>
      </c>
      <c r="O1445" s="12" t="inlineStr">
        <is>
          <t>R982-v2</t>
        </is>
      </c>
      <c r="P1445" s="12" t="inlineStr"/>
      <c r="Q1445" s="12" t="inlineStr"/>
      <c r="R1445" s="12" t="inlineStr"/>
      <c r="S1445" s="12" t="inlineStr"/>
      <c r="T1445" s="12" t="inlineStr">
        <is>
          <t>Group decision (182 records sharing one decision state)</t>
        </is>
      </c>
      <c r="U1445" s="12" t="inlineStr"/>
      <c r="V1445" s="12" t="inlineStr"/>
      <c r="W1445" s="12" t="inlineStr"/>
    </row>
    <row r="1446" ht="64" customHeight="1">
      <c r="A1446" s="12" t="inlineStr">
        <is>
          <t>UNSURE</t>
        </is>
      </c>
      <c r="B1446" s="12" t="inlineStr"/>
      <c r="C1446" s="12" t="inlineStr">
        <is>
          <t>Contractor Programme</t>
        </is>
      </c>
      <c r="D1446" s="12" t="inlineStr">
        <is>
          <t>SCH-06-083</t>
        </is>
      </c>
      <c r="E1446" s="12" t="inlineStr">
        <is>
          <t>Program office: executive reporting close - turnover</t>
        </is>
      </c>
      <c r="F1446" s="12" t="inlineStr">
        <is>
          <t>UNSURE</t>
        </is>
      </c>
      <c r="G1446" s="12" t="inlineStr">
        <is>
          <t>APPROVED</t>
        </is>
      </c>
      <c r="H1446" s="12" t="inlineStr">
        <is>
          <t>New</t>
        </is>
      </c>
      <c r="I1446" s="12" t="inlineStr">
        <is>
          <t>Professional decision</t>
        </is>
      </c>
      <c r="J1446" s="12" t="inlineStr">
        <is>
          <t>Maya Chen, Owner Project Controls</t>
        </is>
      </c>
      <c r="K1446" s="12" t="inlineStr">
        <is>
          <t>Professional</t>
        </is>
      </c>
      <c r="L1446" s="12" t="inlineStr"/>
      <c r="M1446" s="12" t="inlineStr">
        <is>
          <t>Initial</t>
        </is>
      </c>
      <c r="N1446" s="12" t="inlineStr">
        <is>
          <t>Rev 0</t>
        </is>
      </c>
      <c r="O1446" s="12" t="inlineStr">
        <is>
          <t>R983-v2</t>
        </is>
      </c>
      <c r="P1446" s="12" t="inlineStr"/>
      <c r="Q1446" s="12" t="inlineStr"/>
      <c r="R1446" s="12" t="inlineStr"/>
      <c r="S1446" s="12" t="inlineStr"/>
      <c r="T1446" s="12" t="inlineStr">
        <is>
          <t>Group decision (182 records sharing one decision state)</t>
        </is>
      </c>
      <c r="U1446" s="12" t="inlineStr"/>
      <c r="V1446" s="12" t="inlineStr"/>
      <c r="W1446" s="12" t="inlineStr"/>
    </row>
    <row r="1447" ht="64" customHeight="1">
      <c r="A1447" s="12" t="inlineStr">
        <is>
          <t>UNSURE</t>
        </is>
      </c>
      <c r="B1447" s="12" t="inlineStr"/>
      <c r="C1447" s="12" t="inlineStr">
        <is>
          <t>Contractor Programme</t>
        </is>
      </c>
      <c r="D1447" s="12" t="inlineStr">
        <is>
          <t>SCH-06-084</t>
        </is>
      </c>
      <c r="E1447" s="12" t="inlineStr">
        <is>
          <t>Civil package: permit coordination - release</t>
        </is>
      </c>
      <c r="F1447" s="12" t="inlineStr">
        <is>
          <t>UNSURE</t>
        </is>
      </c>
      <c r="G1447" s="12" t="inlineStr">
        <is>
          <t>APPROVED</t>
        </is>
      </c>
      <c r="H1447" s="12" t="inlineStr">
        <is>
          <t>New</t>
        </is>
      </c>
      <c r="I1447" s="12" t="inlineStr">
        <is>
          <t>Professional decision</t>
        </is>
      </c>
      <c r="J1447" s="12" t="inlineStr">
        <is>
          <t>Maya Chen, Owner Project Controls</t>
        </is>
      </c>
      <c r="K1447" s="12" t="inlineStr">
        <is>
          <t>Professional</t>
        </is>
      </c>
      <c r="L1447" s="12" t="inlineStr"/>
      <c r="M1447" s="12" t="inlineStr">
        <is>
          <t>Initial</t>
        </is>
      </c>
      <c r="N1447" s="12" t="inlineStr">
        <is>
          <t>Rev 0</t>
        </is>
      </c>
      <c r="O1447" s="12" t="inlineStr">
        <is>
          <t>R984-v2</t>
        </is>
      </c>
      <c r="P1447" s="12" t="inlineStr"/>
      <c r="Q1447" s="12" t="inlineStr"/>
      <c r="R1447" s="12" t="inlineStr"/>
      <c r="S1447" s="12" t="inlineStr"/>
      <c r="T1447" s="12" t="inlineStr">
        <is>
          <t>Group decision (182 records sharing one decision state)</t>
        </is>
      </c>
      <c r="U1447" s="12" t="inlineStr"/>
      <c r="V1447" s="12" t="inlineStr"/>
      <c r="W1447" s="12" t="inlineStr"/>
    </row>
    <row r="1448" ht="64" customHeight="1">
      <c r="A1448" s="12" t="inlineStr">
        <is>
          <t>UNSURE</t>
        </is>
      </c>
      <c r="B1448" s="12" t="inlineStr"/>
      <c r="C1448" s="12" t="inlineStr">
        <is>
          <t>Contractor Programme</t>
        </is>
      </c>
      <c r="D1448" s="12" t="inlineStr">
        <is>
          <t>SCH-06-085</t>
        </is>
      </c>
      <c r="E1448" s="12" t="inlineStr">
        <is>
          <t>Stations package: delivery risk workshop - field start</t>
        </is>
      </c>
      <c r="F1448" s="12" t="inlineStr">
        <is>
          <t>UNSURE</t>
        </is>
      </c>
      <c r="G1448" s="12" t="inlineStr">
        <is>
          <t>APPROVED</t>
        </is>
      </c>
      <c r="H1448" s="12" t="inlineStr">
        <is>
          <t>New</t>
        </is>
      </c>
      <c r="I1448" s="12" t="inlineStr">
        <is>
          <t>Professional decision</t>
        </is>
      </c>
      <c r="J1448" s="12" t="inlineStr">
        <is>
          <t>Maya Chen, Owner Project Controls</t>
        </is>
      </c>
      <c r="K1448" s="12" t="inlineStr">
        <is>
          <t>Professional</t>
        </is>
      </c>
      <c r="L1448" s="12" t="inlineStr"/>
      <c r="M1448" s="12" t="inlineStr">
        <is>
          <t>Initial</t>
        </is>
      </c>
      <c r="N1448" s="12" t="inlineStr">
        <is>
          <t>Rev 0</t>
        </is>
      </c>
      <c r="O1448" s="12" t="inlineStr">
        <is>
          <t>R985-v2</t>
        </is>
      </c>
      <c r="P1448" s="12" t="inlineStr"/>
      <c r="Q1448" s="12" t="inlineStr"/>
      <c r="R1448" s="12" t="inlineStr"/>
      <c r="S1448" s="12" t="inlineStr"/>
      <c r="T1448" s="12" t="inlineStr">
        <is>
          <t>Group decision (182 records sharing one decision state)</t>
        </is>
      </c>
      <c r="U1448" s="12" t="inlineStr"/>
      <c r="V1448" s="12" t="inlineStr"/>
      <c r="W1448" s="12" t="inlineStr"/>
    </row>
    <row r="1449" ht="64" customHeight="1">
      <c r="A1449" s="12" t="inlineStr">
        <is>
          <t>UNSURE</t>
        </is>
      </c>
      <c r="B1449" s="12" t="inlineStr"/>
      <c r="C1449" s="12" t="inlineStr">
        <is>
          <t>Contractor Programme</t>
        </is>
      </c>
      <c r="D1449" s="12" t="inlineStr">
        <is>
          <t>SCH-06-086</t>
        </is>
      </c>
      <c r="E1449" s="12" t="inlineStr">
        <is>
          <t>Systems package: monthly controls cut-off - installation</t>
        </is>
      </c>
      <c r="F1449" s="12" t="inlineStr">
        <is>
          <t>UNSURE</t>
        </is>
      </c>
      <c r="G1449" s="12" t="inlineStr">
        <is>
          <t>APPROVED</t>
        </is>
      </c>
      <c r="H1449" s="12" t="inlineStr">
        <is>
          <t>New</t>
        </is>
      </c>
      <c r="I1449" s="12" t="inlineStr">
        <is>
          <t>Professional decision</t>
        </is>
      </c>
      <c r="J1449" s="12" t="inlineStr">
        <is>
          <t>Maya Chen, Owner Project Controls</t>
        </is>
      </c>
      <c r="K1449" s="12" t="inlineStr">
        <is>
          <t>Professional</t>
        </is>
      </c>
      <c r="L1449" s="12" t="inlineStr"/>
      <c r="M1449" s="12" t="inlineStr">
        <is>
          <t>Initial</t>
        </is>
      </c>
      <c r="N1449" s="12" t="inlineStr">
        <is>
          <t>Rev 0</t>
        </is>
      </c>
      <c r="O1449" s="12" t="inlineStr">
        <is>
          <t>R986-v2</t>
        </is>
      </c>
      <c r="P1449" s="12" t="inlineStr"/>
      <c r="Q1449" s="12" t="inlineStr"/>
      <c r="R1449" s="12" t="inlineStr"/>
      <c r="S1449" s="12" t="inlineStr"/>
      <c r="T1449" s="12" t="inlineStr">
        <is>
          <t>Group decision (182 records sharing one decision state)</t>
        </is>
      </c>
      <c r="U1449" s="12" t="inlineStr"/>
      <c r="V1449" s="12" t="inlineStr"/>
      <c r="W1449" s="12" t="inlineStr"/>
    </row>
    <row r="1450" ht="64" customHeight="1">
      <c r="A1450" s="12" t="inlineStr">
        <is>
          <t>UNSURE</t>
        </is>
      </c>
      <c r="B1450" s="12" t="inlineStr"/>
      <c r="C1450" s="12" t="inlineStr">
        <is>
          <t>Contractor Programme</t>
        </is>
      </c>
      <c r="D1450" s="12" t="inlineStr">
        <is>
          <t>SCH-06-087</t>
        </is>
      </c>
      <c r="E1450" s="12" t="inlineStr">
        <is>
          <t>Fleet package: stakeholder interface meeting - inspection</t>
        </is>
      </c>
      <c r="F1450" s="12" t="inlineStr">
        <is>
          <t>UNSURE</t>
        </is>
      </c>
      <c r="G1450" s="12" t="inlineStr">
        <is>
          <t>APPROVED</t>
        </is>
      </c>
      <c r="H1450" s="12" t="inlineStr">
        <is>
          <t>New</t>
        </is>
      </c>
      <c r="I1450" s="12" t="inlineStr">
        <is>
          <t>Professional decision</t>
        </is>
      </c>
      <c r="J1450" s="12" t="inlineStr">
        <is>
          <t>Maya Chen, Owner Project Controls</t>
        </is>
      </c>
      <c r="K1450" s="12" t="inlineStr">
        <is>
          <t>Professional</t>
        </is>
      </c>
      <c r="L1450" s="12" t="inlineStr"/>
      <c r="M1450" s="12" t="inlineStr">
        <is>
          <t>Initial</t>
        </is>
      </c>
      <c r="N1450" s="12" t="inlineStr">
        <is>
          <t>Rev 0</t>
        </is>
      </c>
      <c r="O1450" s="12" t="inlineStr">
        <is>
          <t>R987-v2</t>
        </is>
      </c>
      <c r="P1450" s="12" t="inlineStr"/>
      <c r="Q1450" s="12" t="inlineStr"/>
      <c r="R1450" s="12" t="inlineStr"/>
      <c r="S1450" s="12" t="inlineStr"/>
      <c r="T1450" s="12" t="inlineStr">
        <is>
          <t>Group decision (182 records sharing one decision state)</t>
        </is>
      </c>
      <c r="U1450" s="12" t="inlineStr"/>
      <c r="V1450" s="12" t="inlineStr"/>
      <c r="W1450" s="12" t="inlineStr"/>
    </row>
    <row r="1451" ht="64" customHeight="1">
      <c r="A1451" s="12" t="inlineStr">
        <is>
          <t>UNSURE</t>
        </is>
      </c>
      <c r="B1451" s="12" t="inlineStr"/>
      <c r="C1451" s="12" t="inlineStr">
        <is>
          <t>Contractor Programme</t>
        </is>
      </c>
      <c r="D1451" s="12" t="inlineStr">
        <is>
          <t>SCH-06-088</t>
        </is>
      </c>
      <c r="E1451" s="12" t="inlineStr">
        <is>
          <t>Program office: baseline change control - turnover</t>
        </is>
      </c>
      <c r="F1451" s="12" t="inlineStr">
        <is>
          <t>UNSURE</t>
        </is>
      </c>
      <c r="G1451" s="12" t="inlineStr">
        <is>
          <t>APPROVED</t>
        </is>
      </c>
      <c r="H1451" s="12" t="inlineStr">
        <is>
          <t>New</t>
        </is>
      </c>
      <c r="I1451" s="12" t="inlineStr">
        <is>
          <t>Professional decision</t>
        </is>
      </c>
      <c r="J1451" s="12" t="inlineStr">
        <is>
          <t>Maya Chen, Owner Project Controls</t>
        </is>
      </c>
      <c r="K1451" s="12" t="inlineStr">
        <is>
          <t>Professional</t>
        </is>
      </c>
      <c r="L1451" s="12" t="inlineStr"/>
      <c r="M1451" s="12" t="inlineStr">
        <is>
          <t>Initial</t>
        </is>
      </c>
      <c r="N1451" s="12" t="inlineStr">
        <is>
          <t>Rev 0</t>
        </is>
      </c>
      <c r="O1451" s="12" t="inlineStr">
        <is>
          <t>R988-v2</t>
        </is>
      </c>
      <c r="P1451" s="12" t="inlineStr"/>
      <c r="Q1451" s="12" t="inlineStr"/>
      <c r="R1451" s="12" t="inlineStr"/>
      <c r="S1451" s="12" t="inlineStr"/>
      <c r="T1451" s="12" t="inlineStr">
        <is>
          <t>Group decision (182 records sharing one decision state)</t>
        </is>
      </c>
      <c r="U1451" s="12" t="inlineStr"/>
      <c r="V1451" s="12" t="inlineStr"/>
      <c r="W1451" s="12" t="inlineStr"/>
    </row>
    <row r="1452" ht="64" customHeight="1">
      <c r="A1452" s="12" t="inlineStr">
        <is>
          <t>UNSURE</t>
        </is>
      </c>
      <c r="B1452" s="12" t="inlineStr"/>
      <c r="C1452" s="12" t="inlineStr">
        <is>
          <t>Contractor Programme</t>
        </is>
      </c>
      <c r="D1452" s="12" t="inlineStr">
        <is>
          <t>SCH-06-089</t>
        </is>
      </c>
      <c r="E1452" s="12" t="inlineStr">
        <is>
          <t>Civil package: commercial change review - release</t>
        </is>
      </c>
      <c r="F1452" s="12" t="inlineStr">
        <is>
          <t>UNSURE</t>
        </is>
      </c>
      <c r="G1452" s="12" t="inlineStr">
        <is>
          <t>APPROVED</t>
        </is>
      </c>
      <c r="H1452" s="12" t="inlineStr">
        <is>
          <t>New</t>
        </is>
      </c>
      <c r="I1452" s="12" t="inlineStr">
        <is>
          <t>Professional decision</t>
        </is>
      </c>
      <c r="J1452" s="12" t="inlineStr">
        <is>
          <t>Maya Chen, Owner Project Controls</t>
        </is>
      </c>
      <c r="K1452" s="12" t="inlineStr">
        <is>
          <t>Professional</t>
        </is>
      </c>
      <c r="L1452" s="12" t="inlineStr"/>
      <c r="M1452" s="12" t="inlineStr">
        <is>
          <t>Initial</t>
        </is>
      </c>
      <c r="N1452" s="12" t="inlineStr">
        <is>
          <t>Rev 0</t>
        </is>
      </c>
      <c r="O1452" s="12" t="inlineStr">
        <is>
          <t>R989-v2</t>
        </is>
      </c>
      <c r="P1452" s="12" t="inlineStr"/>
      <c r="Q1452" s="12" t="inlineStr"/>
      <c r="R1452" s="12" t="inlineStr"/>
      <c r="S1452" s="12" t="inlineStr"/>
      <c r="T1452" s="12" t="inlineStr">
        <is>
          <t>Group decision (182 records sharing one decision state)</t>
        </is>
      </c>
      <c r="U1452" s="12" t="inlineStr"/>
      <c r="V1452" s="12" t="inlineStr"/>
      <c r="W1452" s="12" t="inlineStr"/>
    </row>
    <row r="1453" ht="64" customHeight="1">
      <c r="A1453" s="12" t="inlineStr">
        <is>
          <t>UNSURE</t>
        </is>
      </c>
      <c r="B1453" s="12" t="inlineStr"/>
      <c r="C1453" s="12" t="inlineStr">
        <is>
          <t>Contractor Programme</t>
        </is>
      </c>
      <c r="D1453" s="12" t="inlineStr">
        <is>
          <t>SCH-06-090</t>
        </is>
      </c>
      <c r="E1453" s="12" t="inlineStr">
        <is>
          <t>Stations package: design-package integration review - field start</t>
        </is>
      </c>
      <c r="F1453" s="12" t="inlineStr">
        <is>
          <t>UNSURE</t>
        </is>
      </c>
      <c r="G1453" s="12" t="inlineStr">
        <is>
          <t>APPROVED</t>
        </is>
      </c>
      <c r="H1453" s="12" t="inlineStr">
        <is>
          <t>New</t>
        </is>
      </c>
      <c r="I1453" s="12" t="inlineStr">
        <is>
          <t>Professional decision</t>
        </is>
      </c>
      <c r="J1453" s="12" t="inlineStr">
        <is>
          <t>Maya Chen, Owner Project Controls</t>
        </is>
      </c>
      <c r="K1453" s="12" t="inlineStr">
        <is>
          <t>Professional</t>
        </is>
      </c>
      <c r="L1453" s="12" t="inlineStr"/>
      <c r="M1453" s="12" t="inlineStr">
        <is>
          <t>Initial</t>
        </is>
      </c>
      <c r="N1453" s="12" t="inlineStr">
        <is>
          <t>Rev 0</t>
        </is>
      </c>
      <c r="O1453" s="12" t="inlineStr">
        <is>
          <t>R990-v2</t>
        </is>
      </c>
      <c r="P1453" s="12" t="inlineStr"/>
      <c r="Q1453" s="12" t="inlineStr"/>
      <c r="R1453" s="12" t="inlineStr"/>
      <c r="S1453" s="12" t="inlineStr"/>
      <c r="T1453" s="12" t="inlineStr">
        <is>
          <t>Group decision (182 records sharing one decision state)</t>
        </is>
      </c>
      <c r="U1453" s="12" t="inlineStr"/>
      <c r="V1453" s="12" t="inlineStr"/>
      <c r="W1453" s="12" t="inlineStr"/>
    </row>
    <row r="1454" ht="64" customHeight="1">
      <c r="A1454" s="12" t="inlineStr">
        <is>
          <t>UNSURE</t>
        </is>
      </c>
      <c r="B1454" s="12" t="inlineStr"/>
      <c r="C1454" s="12" t="inlineStr">
        <is>
          <t>Contractor Programme</t>
        </is>
      </c>
      <c r="D1454" s="12" t="inlineStr">
        <is>
          <t>SCH-06-091</t>
        </is>
      </c>
      <c r="E1454" s="12" t="inlineStr">
        <is>
          <t>Systems package: executive reporting close - installation</t>
        </is>
      </c>
      <c r="F1454" s="12" t="inlineStr">
        <is>
          <t>UNSURE</t>
        </is>
      </c>
      <c r="G1454" s="12" t="inlineStr">
        <is>
          <t>APPROVED</t>
        </is>
      </c>
      <c r="H1454" s="12" t="inlineStr">
        <is>
          <t>New</t>
        </is>
      </c>
      <c r="I1454" s="12" t="inlineStr">
        <is>
          <t>Professional decision</t>
        </is>
      </c>
      <c r="J1454" s="12" t="inlineStr">
        <is>
          <t>Maya Chen, Owner Project Controls</t>
        </is>
      </c>
      <c r="K1454" s="12" t="inlineStr">
        <is>
          <t>Professional</t>
        </is>
      </c>
      <c r="L1454" s="12" t="inlineStr"/>
      <c r="M1454" s="12" t="inlineStr">
        <is>
          <t>Initial</t>
        </is>
      </c>
      <c r="N1454" s="12" t="inlineStr">
        <is>
          <t>Rev 0</t>
        </is>
      </c>
      <c r="O1454" s="12" t="inlineStr">
        <is>
          <t>R991-v2</t>
        </is>
      </c>
      <c r="P1454" s="12" t="inlineStr"/>
      <c r="Q1454" s="12" t="inlineStr"/>
      <c r="R1454" s="12" t="inlineStr"/>
      <c r="S1454" s="12" t="inlineStr"/>
      <c r="T1454" s="12" t="inlineStr">
        <is>
          <t>Group decision (182 records sharing one decision state)</t>
        </is>
      </c>
      <c r="U1454" s="12" t="inlineStr"/>
      <c r="V1454" s="12" t="inlineStr"/>
      <c r="W1454" s="12" t="inlineStr"/>
    </row>
    <row r="1455" ht="64" customHeight="1">
      <c r="A1455" s="12" t="inlineStr">
        <is>
          <t>UNSURE</t>
        </is>
      </c>
      <c r="B1455" s="12" t="inlineStr"/>
      <c r="C1455" s="12" t="inlineStr">
        <is>
          <t>Contractor Programme</t>
        </is>
      </c>
      <c r="D1455" s="12" t="inlineStr">
        <is>
          <t>SCH-06-092</t>
        </is>
      </c>
      <c r="E1455" s="12" t="inlineStr">
        <is>
          <t>Fleet package: permit coordination - inspection</t>
        </is>
      </c>
      <c r="F1455" s="12" t="inlineStr">
        <is>
          <t>UNSURE</t>
        </is>
      </c>
      <c r="G1455" s="12" t="inlineStr">
        <is>
          <t>APPROVED</t>
        </is>
      </c>
      <c r="H1455" s="12" t="inlineStr">
        <is>
          <t>New</t>
        </is>
      </c>
      <c r="I1455" s="12" t="inlineStr">
        <is>
          <t>Professional decision</t>
        </is>
      </c>
      <c r="J1455" s="12" t="inlineStr">
        <is>
          <t>Maya Chen, Owner Project Controls</t>
        </is>
      </c>
      <c r="K1455" s="12" t="inlineStr">
        <is>
          <t>Professional</t>
        </is>
      </c>
      <c r="L1455" s="12" t="inlineStr"/>
      <c r="M1455" s="12" t="inlineStr">
        <is>
          <t>Initial</t>
        </is>
      </c>
      <c r="N1455" s="12" t="inlineStr">
        <is>
          <t>Rev 0</t>
        </is>
      </c>
      <c r="O1455" s="12" t="inlineStr">
        <is>
          <t>R992-v2</t>
        </is>
      </c>
      <c r="P1455" s="12" t="inlineStr"/>
      <c r="Q1455" s="12" t="inlineStr"/>
      <c r="R1455" s="12" t="inlineStr"/>
      <c r="S1455" s="12" t="inlineStr"/>
      <c r="T1455" s="12" t="inlineStr">
        <is>
          <t>Group decision (182 records sharing one decision state)</t>
        </is>
      </c>
      <c r="U1455" s="12" t="inlineStr"/>
      <c r="V1455" s="12" t="inlineStr"/>
      <c r="W1455" s="12" t="inlineStr"/>
    </row>
    <row r="1456" ht="64" customHeight="1">
      <c r="A1456" s="12" t="inlineStr">
        <is>
          <t>UNSURE</t>
        </is>
      </c>
      <c r="B1456" s="12" t="inlineStr"/>
      <c r="C1456" s="12" t="inlineStr">
        <is>
          <t>Contractor Programme</t>
        </is>
      </c>
      <c r="D1456" s="12" t="inlineStr">
        <is>
          <t>SCH-06-093</t>
        </is>
      </c>
      <c r="E1456" s="12" t="inlineStr">
        <is>
          <t>Program office: delivery risk workshop - turnover</t>
        </is>
      </c>
      <c r="F1456" s="12" t="inlineStr">
        <is>
          <t>UNSURE</t>
        </is>
      </c>
      <c r="G1456" s="12" t="inlineStr">
        <is>
          <t>APPROVED</t>
        </is>
      </c>
      <c r="H1456" s="12" t="inlineStr">
        <is>
          <t>New</t>
        </is>
      </c>
      <c r="I1456" s="12" t="inlineStr">
        <is>
          <t>Professional decision</t>
        </is>
      </c>
      <c r="J1456" s="12" t="inlineStr">
        <is>
          <t>Maya Chen, Owner Project Controls</t>
        </is>
      </c>
      <c r="K1456" s="12" t="inlineStr">
        <is>
          <t>Professional</t>
        </is>
      </c>
      <c r="L1456" s="12" t="inlineStr"/>
      <c r="M1456" s="12" t="inlineStr">
        <is>
          <t>Initial</t>
        </is>
      </c>
      <c r="N1456" s="12" t="inlineStr">
        <is>
          <t>Rev 0</t>
        </is>
      </c>
      <c r="O1456" s="12" t="inlineStr">
        <is>
          <t>R993-v2</t>
        </is>
      </c>
      <c r="P1456" s="12" t="inlineStr"/>
      <c r="Q1456" s="12" t="inlineStr"/>
      <c r="R1456" s="12" t="inlineStr"/>
      <c r="S1456" s="12" t="inlineStr"/>
      <c r="T1456" s="12" t="inlineStr">
        <is>
          <t>Group decision (182 records sharing one decision state)</t>
        </is>
      </c>
      <c r="U1456" s="12" t="inlineStr"/>
      <c r="V1456" s="12" t="inlineStr"/>
      <c r="W1456" s="12" t="inlineStr"/>
    </row>
    <row r="1457" ht="64" customHeight="1">
      <c r="A1457" s="12" t="inlineStr">
        <is>
          <t>UNSURE</t>
        </is>
      </c>
      <c r="B1457" s="12" t="inlineStr"/>
      <c r="C1457" s="12" t="inlineStr">
        <is>
          <t>Contractor Programme</t>
        </is>
      </c>
      <c r="D1457" s="12" t="inlineStr">
        <is>
          <t>SCH-06-094</t>
        </is>
      </c>
      <c r="E1457" s="12" t="inlineStr">
        <is>
          <t>Civil package: monthly controls cut-off - release</t>
        </is>
      </c>
      <c r="F1457" s="12" t="inlineStr">
        <is>
          <t>UNSURE</t>
        </is>
      </c>
      <c r="G1457" s="12" t="inlineStr">
        <is>
          <t>APPROVED</t>
        </is>
      </c>
      <c r="H1457" s="12" t="inlineStr">
        <is>
          <t>New</t>
        </is>
      </c>
      <c r="I1457" s="12" t="inlineStr">
        <is>
          <t>Professional decision</t>
        </is>
      </c>
      <c r="J1457" s="12" t="inlineStr">
        <is>
          <t>Maya Chen, Owner Project Controls</t>
        </is>
      </c>
      <c r="K1457" s="12" t="inlineStr">
        <is>
          <t>Professional</t>
        </is>
      </c>
      <c r="L1457" s="12" t="inlineStr"/>
      <c r="M1457" s="12" t="inlineStr">
        <is>
          <t>Initial</t>
        </is>
      </c>
      <c r="N1457" s="12" t="inlineStr">
        <is>
          <t>Rev 0</t>
        </is>
      </c>
      <c r="O1457" s="12" t="inlineStr">
        <is>
          <t>R994-v2</t>
        </is>
      </c>
      <c r="P1457" s="12" t="inlineStr"/>
      <c r="Q1457" s="12" t="inlineStr"/>
      <c r="R1457" s="12" t="inlineStr"/>
      <c r="S1457" s="12" t="inlineStr"/>
      <c r="T1457" s="12" t="inlineStr">
        <is>
          <t>Group decision (182 records sharing one decision state)</t>
        </is>
      </c>
      <c r="U1457" s="12" t="inlineStr"/>
      <c r="V1457" s="12" t="inlineStr"/>
      <c r="W1457" s="12" t="inlineStr"/>
    </row>
    <row r="1458" ht="64" customHeight="1">
      <c r="A1458" s="12" t="inlineStr">
        <is>
          <t>UNSURE</t>
        </is>
      </c>
      <c r="B1458" s="12" t="inlineStr"/>
      <c r="C1458" s="12" t="inlineStr">
        <is>
          <t>Contractor Programme</t>
        </is>
      </c>
      <c r="D1458" s="12" t="inlineStr">
        <is>
          <t>SCH-06-095</t>
        </is>
      </c>
      <c r="E1458" s="12" t="inlineStr">
        <is>
          <t>Stations package: stakeholder interface meeting - field start</t>
        </is>
      </c>
      <c r="F1458" s="12" t="inlineStr">
        <is>
          <t>UNSURE</t>
        </is>
      </c>
      <c r="G1458" s="12" t="inlineStr">
        <is>
          <t>APPROVED</t>
        </is>
      </c>
      <c r="H1458" s="12" t="inlineStr">
        <is>
          <t>New</t>
        </is>
      </c>
      <c r="I1458" s="12" t="inlineStr">
        <is>
          <t>Professional decision</t>
        </is>
      </c>
      <c r="J1458" s="12" t="inlineStr">
        <is>
          <t>Maya Chen, Owner Project Controls</t>
        </is>
      </c>
      <c r="K1458" s="12" t="inlineStr">
        <is>
          <t>Professional</t>
        </is>
      </c>
      <c r="L1458" s="12" t="inlineStr"/>
      <c r="M1458" s="12" t="inlineStr">
        <is>
          <t>Initial</t>
        </is>
      </c>
      <c r="N1458" s="12" t="inlineStr">
        <is>
          <t>Rev 0</t>
        </is>
      </c>
      <c r="O1458" s="12" t="inlineStr">
        <is>
          <t>R995-v2</t>
        </is>
      </c>
      <c r="P1458" s="12" t="inlineStr"/>
      <c r="Q1458" s="12" t="inlineStr"/>
      <c r="R1458" s="12" t="inlineStr"/>
      <c r="S1458" s="12" t="inlineStr"/>
      <c r="T1458" s="12" t="inlineStr">
        <is>
          <t>Group decision (182 records sharing one decision state)</t>
        </is>
      </c>
      <c r="U1458" s="12" t="inlineStr"/>
      <c r="V1458" s="12" t="inlineStr"/>
      <c r="W1458" s="12" t="inlineStr"/>
    </row>
    <row r="1459" ht="64" customHeight="1">
      <c r="A1459" s="12" t="inlineStr">
        <is>
          <t>UNSURE</t>
        </is>
      </c>
      <c r="B1459" s="12" t="inlineStr"/>
      <c r="C1459" s="12" t="inlineStr">
        <is>
          <t>Contractor Programme</t>
        </is>
      </c>
      <c r="D1459" s="12" t="inlineStr">
        <is>
          <t>SCH-06-096</t>
        </is>
      </c>
      <c r="E1459" s="12" t="inlineStr">
        <is>
          <t>Systems package: baseline change control - installation</t>
        </is>
      </c>
      <c r="F1459" s="12" t="inlineStr">
        <is>
          <t>UNSURE</t>
        </is>
      </c>
      <c r="G1459" s="12" t="inlineStr">
        <is>
          <t>APPROVED</t>
        </is>
      </c>
      <c r="H1459" s="12" t="inlineStr">
        <is>
          <t>New</t>
        </is>
      </c>
      <c r="I1459" s="12" t="inlineStr">
        <is>
          <t>Professional decision</t>
        </is>
      </c>
      <c r="J1459" s="12" t="inlineStr">
        <is>
          <t>Maya Chen, Owner Project Controls</t>
        </is>
      </c>
      <c r="K1459" s="12" t="inlineStr">
        <is>
          <t>Professional</t>
        </is>
      </c>
      <c r="L1459" s="12" t="inlineStr"/>
      <c r="M1459" s="12" t="inlineStr">
        <is>
          <t>Initial</t>
        </is>
      </c>
      <c r="N1459" s="12" t="inlineStr">
        <is>
          <t>Rev 0</t>
        </is>
      </c>
      <c r="O1459" s="12" t="inlineStr">
        <is>
          <t>R996-v2</t>
        </is>
      </c>
      <c r="P1459" s="12" t="inlineStr"/>
      <c r="Q1459" s="12" t="inlineStr"/>
      <c r="R1459" s="12" t="inlineStr"/>
      <c r="S1459" s="12" t="inlineStr"/>
      <c r="T1459" s="12" t="inlineStr">
        <is>
          <t>Group decision (182 records sharing one decision state)</t>
        </is>
      </c>
      <c r="U1459" s="12" t="inlineStr"/>
      <c r="V1459" s="12" t="inlineStr"/>
      <c r="W1459" s="12" t="inlineStr"/>
    </row>
    <row r="1460" ht="64" customHeight="1">
      <c r="A1460" s="12" t="inlineStr">
        <is>
          <t>UNSURE</t>
        </is>
      </c>
      <c r="B1460" s="12" t="inlineStr"/>
      <c r="C1460" s="12" t="inlineStr">
        <is>
          <t>Contractor Programme</t>
        </is>
      </c>
      <c r="D1460" s="12" t="inlineStr">
        <is>
          <t>SCH-06-097</t>
        </is>
      </c>
      <c r="E1460" s="12" t="inlineStr">
        <is>
          <t>Fleet package: commercial change review - inspection</t>
        </is>
      </c>
      <c r="F1460" s="12" t="inlineStr">
        <is>
          <t>UNSURE</t>
        </is>
      </c>
      <c r="G1460" s="12" t="inlineStr">
        <is>
          <t>APPROVED</t>
        </is>
      </c>
      <c r="H1460" s="12" t="inlineStr">
        <is>
          <t>New</t>
        </is>
      </c>
      <c r="I1460" s="12" t="inlineStr">
        <is>
          <t>Professional decision</t>
        </is>
      </c>
      <c r="J1460" s="12" t="inlineStr">
        <is>
          <t>Maya Chen, Owner Project Controls</t>
        </is>
      </c>
      <c r="K1460" s="12" t="inlineStr">
        <is>
          <t>Professional</t>
        </is>
      </c>
      <c r="L1460" s="12" t="inlineStr"/>
      <c r="M1460" s="12" t="inlineStr">
        <is>
          <t>Initial</t>
        </is>
      </c>
      <c r="N1460" s="12" t="inlineStr">
        <is>
          <t>Rev 0</t>
        </is>
      </c>
      <c r="O1460" s="12" t="inlineStr">
        <is>
          <t>R997-v2</t>
        </is>
      </c>
      <c r="P1460" s="12" t="inlineStr"/>
      <c r="Q1460" s="12" t="inlineStr"/>
      <c r="R1460" s="12" t="inlineStr"/>
      <c r="S1460" s="12" t="inlineStr"/>
      <c r="T1460" s="12" t="inlineStr">
        <is>
          <t>Group decision (182 records sharing one decision state)</t>
        </is>
      </c>
      <c r="U1460" s="12" t="inlineStr"/>
      <c r="V1460" s="12" t="inlineStr"/>
      <c r="W1460" s="12" t="inlineStr"/>
    </row>
    <row r="1461" ht="64" customHeight="1">
      <c r="A1461" s="12" t="inlineStr">
        <is>
          <t>UNSURE</t>
        </is>
      </c>
      <c r="B1461" s="12" t="inlineStr"/>
      <c r="C1461" s="12" t="inlineStr">
        <is>
          <t>Contractor Programme</t>
        </is>
      </c>
      <c r="D1461" s="12" t="inlineStr">
        <is>
          <t>SCH-06-098</t>
        </is>
      </c>
      <c r="E1461" s="12" t="inlineStr">
        <is>
          <t>Program office: design-package integration review - turnover</t>
        </is>
      </c>
      <c r="F1461" s="12" t="inlineStr">
        <is>
          <t>UNSURE</t>
        </is>
      </c>
      <c r="G1461" s="12" t="inlineStr">
        <is>
          <t>APPROVED</t>
        </is>
      </c>
      <c r="H1461" s="12" t="inlineStr">
        <is>
          <t>New</t>
        </is>
      </c>
      <c r="I1461" s="12" t="inlineStr">
        <is>
          <t>Professional decision</t>
        </is>
      </c>
      <c r="J1461" s="12" t="inlineStr">
        <is>
          <t>Maya Chen, Owner Project Controls</t>
        </is>
      </c>
      <c r="K1461" s="12" t="inlineStr">
        <is>
          <t>Professional</t>
        </is>
      </c>
      <c r="L1461" s="12" t="inlineStr"/>
      <c r="M1461" s="12" t="inlineStr">
        <is>
          <t>Initial</t>
        </is>
      </c>
      <c r="N1461" s="12" t="inlineStr">
        <is>
          <t>Rev 0</t>
        </is>
      </c>
      <c r="O1461" s="12" t="inlineStr">
        <is>
          <t>R998-v2</t>
        </is>
      </c>
      <c r="P1461" s="12" t="inlineStr"/>
      <c r="Q1461" s="12" t="inlineStr"/>
      <c r="R1461" s="12" t="inlineStr"/>
      <c r="S1461" s="12" t="inlineStr"/>
      <c r="T1461" s="12" t="inlineStr">
        <is>
          <t>Group decision (182 records sharing one decision state)</t>
        </is>
      </c>
      <c r="U1461" s="12" t="inlineStr"/>
      <c r="V1461" s="12" t="inlineStr"/>
      <c r="W1461" s="12" t="inlineStr"/>
    </row>
    <row r="1462" ht="64" customHeight="1">
      <c r="A1462" s="12" t="inlineStr">
        <is>
          <t>UNSURE</t>
        </is>
      </c>
      <c r="B1462" s="12" t="inlineStr"/>
      <c r="C1462" s="12" t="inlineStr">
        <is>
          <t>Contractor Programme</t>
        </is>
      </c>
      <c r="D1462" s="12" t="inlineStr">
        <is>
          <t>SCH-06-099</t>
        </is>
      </c>
      <c r="E1462" s="12" t="inlineStr">
        <is>
          <t>Civil package: executive reporting close - release</t>
        </is>
      </c>
      <c r="F1462" s="12" t="inlineStr">
        <is>
          <t>UNSURE</t>
        </is>
      </c>
      <c r="G1462" s="12" t="inlineStr">
        <is>
          <t>APPROVED</t>
        </is>
      </c>
      <c r="H1462" s="12" t="inlineStr">
        <is>
          <t>New</t>
        </is>
      </c>
      <c r="I1462" s="12" t="inlineStr">
        <is>
          <t>Professional decision</t>
        </is>
      </c>
      <c r="J1462" s="12" t="inlineStr">
        <is>
          <t>Maya Chen, Owner Project Controls</t>
        </is>
      </c>
      <c r="K1462" s="12" t="inlineStr">
        <is>
          <t>Professional</t>
        </is>
      </c>
      <c r="L1462" s="12" t="inlineStr"/>
      <c r="M1462" s="12" t="inlineStr">
        <is>
          <t>Initial</t>
        </is>
      </c>
      <c r="N1462" s="12" t="inlineStr">
        <is>
          <t>Rev 0</t>
        </is>
      </c>
      <c r="O1462" s="12" t="inlineStr">
        <is>
          <t>R999-v2</t>
        </is>
      </c>
      <c r="P1462" s="12" t="inlineStr"/>
      <c r="Q1462" s="12" t="inlineStr"/>
      <c r="R1462" s="12" t="inlineStr"/>
      <c r="S1462" s="12" t="inlineStr"/>
      <c r="T1462" s="12" t="inlineStr">
        <is>
          <t>Group decision (182 records sharing one decision state)</t>
        </is>
      </c>
      <c r="U1462" s="12" t="inlineStr"/>
      <c r="V1462" s="12" t="inlineStr"/>
      <c r="W1462" s="12" t="inlineStr"/>
    </row>
    <row r="1463" ht="64" customHeight="1">
      <c r="A1463" s="12" t="inlineStr">
        <is>
          <t>UNSURE</t>
        </is>
      </c>
      <c r="B1463" s="12" t="inlineStr"/>
      <c r="C1463" s="12" t="inlineStr">
        <is>
          <t>Contractor Programme</t>
        </is>
      </c>
      <c r="D1463" s="12" t="inlineStr">
        <is>
          <t>SCH-06-100</t>
        </is>
      </c>
      <c r="E1463" s="12" t="inlineStr">
        <is>
          <t>Stations package: permit coordination - field start</t>
        </is>
      </c>
      <c r="F1463" s="12" t="inlineStr">
        <is>
          <t>UNSURE</t>
        </is>
      </c>
      <c r="G1463" s="12" t="inlineStr">
        <is>
          <t>APPROVED</t>
        </is>
      </c>
      <c r="H1463" s="12" t="inlineStr">
        <is>
          <t>New</t>
        </is>
      </c>
      <c r="I1463" s="12" t="inlineStr">
        <is>
          <t>Professional decision</t>
        </is>
      </c>
      <c r="J1463" s="12" t="inlineStr">
        <is>
          <t>Maya Chen, Owner Project Controls</t>
        </is>
      </c>
      <c r="K1463" s="12" t="inlineStr">
        <is>
          <t>Professional</t>
        </is>
      </c>
      <c r="L1463" s="12" t="inlineStr"/>
      <c r="M1463" s="12" t="inlineStr">
        <is>
          <t>Initial</t>
        </is>
      </c>
      <c r="N1463" s="12" t="inlineStr">
        <is>
          <t>Rev 0</t>
        </is>
      </c>
      <c r="O1463" s="12" t="inlineStr">
        <is>
          <t>R1000-v2</t>
        </is>
      </c>
      <c r="P1463" s="12" t="inlineStr"/>
      <c r="Q1463" s="12" t="inlineStr"/>
      <c r="R1463" s="12" t="inlineStr"/>
      <c r="S1463" s="12" t="inlineStr"/>
      <c r="T1463" s="12" t="inlineStr">
        <is>
          <t>Group decision (182 records sharing one decision state)</t>
        </is>
      </c>
      <c r="U1463" s="12" t="inlineStr"/>
      <c r="V1463" s="12" t="inlineStr"/>
      <c r="W1463" s="12" t="inlineStr"/>
    </row>
    <row r="1464" ht="64" customHeight="1">
      <c r="A1464" s="12" t="inlineStr">
        <is>
          <t>UNSURE</t>
        </is>
      </c>
      <c r="B1464" s="12" t="inlineStr"/>
      <c r="C1464" s="12" t="inlineStr">
        <is>
          <t>Contractor Programme</t>
        </is>
      </c>
      <c r="D1464" s="12" t="inlineStr">
        <is>
          <t>SCH-06-101</t>
        </is>
      </c>
      <c r="E1464" s="12" t="inlineStr">
        <is>
          <t>Systems package: delivery risk workshop - installation</t>
        </is>
      </c>
      <c r="F1464" s="12" t="inlineStr">
        <is>
          <t>UNSURE</t>
        </is>
      </c>
      <c r="G1464" s="12" t="inlineStr">
        <is>
          <t>APPROVED</t>
        </is>
      </c>
      <c r="H1464" s="12" t="inlineStr">
        <is>
          <t>New</t>
        </is>
      </c>
      <c r="I1464" s="12" t="inlineStr">
        <is>
          <t>Professional decision</t>
        </is>
      </c>
      <c r="J1464" s="12" t="inlineStr">
        <is>
          <t>Maya Chen, Owner Project Controls</t>
        </is>
      </c>
      <c r="K1464" s="12" t="inlineStr">
        <is>
          <t>Professional</t>
        </is>
      </c>
      <c r="L1464" s="12" t="inlineStr"/>
      <c r="M1464" s="12" t="inlineStr">
        <is>
          <t>Initial</t>
        </is>
      </c>
      <c r="N1464" s="12" t="inlineStr">
        <is>
          <t>Rev 0</t>
        </is>
      </c>
      <c r="O1464" s="12" t="inlineStr">
        <is>
          <t>R1001-v2</t>
        </is>
      </c>
      <c r="P1464" s="12" t="inlineStr"/>
      <c r="Q1464" s="12" t="inlineStr"/>
      <c r="R1464" s="12" t="inlineStr"/>
      <c r="S1464" s="12" t="inlineStr"/>
      <c r="T1464" s="12" t="inlineStr">
        <is>
          <t>Group decision (182 records sharing one decision state)</t>
        </is>
      </c>
      <c r="U1464" s="12" t="inlineStr"/>
      <c r="V1464" s="12" t="inlineStr"/>
      <c r="W1464" s="12" t="inlineStr"/>
    </row>
    <row r="1465" ht="64" customHeight="1">
      <c r="A1465" s="12" t="inlineStr">
        <is>
          <t>UNSURE</t>
        </is>
      </c>
      <c r="B1465" s="12" t="inlineStr"/>
      <c r="C1465" s="12" t="inlineStr">
        <is>
          <t>Contractor Programme</t>
        </is>
      </c>
      <c r="D1465" s="12" t="inlineStr">
        <is>
          <t>SCH-06-102</t>
        </is>
      </c>
      <c r="E1465" s="12" t="inlineStr">
        <is>
          <t>Fleet package: monthly controls cut-off - inspection</t>
        </is>
      </c>
      <c r="F1465" s="12" t="inlineStr">
        <is>
          <t>UNSURE</t>
        </is>
      </c>
      <c r="G1465" s="12" t="inlineStr">
        <is>
          <t>APPROVED</t>
        </is>
      </c>
      <c r="H1465" s="12" t="inlineStr">
        <is>
          <t>New</t>
        </is>
      </c>
      <c r="I1465" s="12" t="inlineStr">
        <is>
          <t>Professional decision</t>
        </is>
      </c>
      <c r="J1465" s="12" t="inlineStr">
        <is>
          <t>Maya Chen, Owner Project Controls</t>
        </is>
      </c>
      <c r="K1465" s="12" t="inlineStr">
        <is>
          <t>Professional</t>
        </is>
      </c>
      <c r="L1465" s="12" t="inlineStr"/>
      <c r="M1465" s="12" t="inlineStr">
        <is>
          <t>Initial</t>
        </is>
      </c>
      <c r="N1465" s="12" t="inlineStr">
        <is>
          <t>Rev 0</t>
        </is>
      </c>
      <c r="O1465" s="12" t="inlineStr">
        <is>
          <t>R1002-v2</t>
        </is>
      </c>
      <c r="P1465" s="12" t="inlineStr"/>
      <c r="Q1465" s="12" t="inlineStr"/>
      <c r="R1465" s="12" t="inlineStr"/>
      <c r="S1465" s="12" t="inlineStr"/>
      <c r="T1465" s="12" t="inlineStr">
        <is>
          <t>Group decision (182 records sharing one decision state)</t>
        </is>
      </c>
      <c r="U1465" s="12" t="inlineStr"/>
      <c r="V1465" s="12" t="inlineStr"/>
      <c r="W1465" s="12" t="inlineStr"/>
    </row>
    <row r="1466" ht="64" customHeight="1">
      <c r="A1466" s="12" t="inlineStr">
        <is>
          <t>UNSURE</t>
        </is>
      </c>
      <c r="B1466" s="12" t="inlineStr"/>
      <c r="C1466" s="12" t="inlineStr">
        <is>
          <t>Contractor Programme</t>
        </is>
      </c>
      <c r="D1466" s="12" t="inlineStr">
        <is>
          <t>SCH-06-103</t>
        </is>
      </c>
      <c r="E1466" s="12" t="inlineStr">
        <is>
          <t>Program office: stakeholder interface meeting - turnover</t>
        </is>
      </c>
      <c r="F1466" s="12" t="inlineStr">
        <is>
          <t>UNSURE</t>
        </is>
      </c>
      <c r="G1466" s="12" t="inlineStr">
        <is>
          <t>APPROVED</t>
        </is>
      </c>
      <c r="H1466" s="12" t="inlineStr">
        <is>
          <t>New</t>
        </is>
      </c>
      <c r="I1466" s="12" t="inlineStr">
        <is>
          <t>Professional decision</t>
        </is>
      </c>
      <c r="J1466" s="12" t="inlineStr">
        <is>
          <t>Maya Chen, Owner Project Controls</t>
        </is>
      </c>
      <c r="K1466" s="12" t="inlineStr">
        <is>
          <t>Professional</t>
        </is>
      </c>
      <c r="L1466" s="12" t="inlineStr"/>
      <c r="M1466" s="12" t="inlineStr">
        <is>
          <t>Initial</t>
        </is>
      </c>
      <c r="N1466" s="12" t="inlineStr">
        <is>
          <t>Rev 0</t>
        </is>
      </c>
      <c r="O1466" s="12" t="inlineStr">
        <is>
          <t>R1003-v2</t>
        </is>
      </c>
      <c r="P1466" s="12" t="inlineStr"/>
      <c r="Q1466" s="12" t="inlineStr"/>
      <c r="R1466" s="12" t="inlineStr"/>
      <c r="S1466" s="12" t="inlineStr"/>
      <c r="T1466" s="12" t="inlineStr">
        <is>
          <t>Group decision (182 records sharing one decision state)</t>
        </is>
      </c>
      <c r="U1466" s="12" t="inlineStr"/>
      <c r="V1466" s="12" t="inlineStr"/>
      <c r="W1466" s="12" t="inlineStr"/>
    </row>
    <row r="1467" ht="64" customHeight="1">
      <c r="A1467" s="12" t="inlineStr">
        <is>
          <t>UNSURE</t>
        </is>
      </c>
      <c r="B1467" s="12" t="inlineStr"/>
      <c r="C1467" s="12" t="inlineStr">
        <is>
          <t>Contractor Programme</t>
        </is>
      </c>
      <c r="D1467" s="12" t="inlineStr">
        <is>
          <t>SCH-06-104</t>
        </is>
      </c>
      <c r="E1467" s="12" t="inlineStr">
        <is>
          <t>Civil package: baseline change control - release</t>
        </is>
      </c>
      <c r="F1467" s="12" t="inlineStr">
        <is>
          <t>UNSURE</t>
        </is>
      </c>
      <c r="G1467" s="12" t="inlineStr">
        <is>
          <t>APPROVED</t>
        </is>
      </c>
      <c r="H1467" s="12" t="inlineStr">
        <is>
          <t>New</t>
        </is>
      </c>
      <c r="I1467" s="12" t="inlineStr">
        <is>
          <t>Professional decision</t>
        </is>
      </c>
      <c r="J1467" s="12" t="inlineStr">
        <is>
          <t>Maya Chen, Owner Project Controls</t>
        </is>
      </c>
      <c r="K1467" s="12" t="inlineStr">
        <is>
          <t>Professional</t>
        </is>
      </c>
      <c r="L1467" s="12" t="inlineStr"/>
      <c r="M1467" s="12" t="inlineStr">
        <is>
          <t>Initial</t>
        </is>
      </c>
      <c r="N1467" s="12" t="inlineStr">
        <is>
          <t>Rev 0</t>
        </is>
      </c>
      <c r="O1467" s="12" t="inlineStr">
        <is>
          <t>R1004-v2</t>
        </is>
      </c>
      <c r="P1467" s="12" t="inlineStr"/>
      <c r="Q1467" s="12" t="inlineStr"/>
      <c r="R1467" s="12" t="inlineStr"/>
      <c r="S1467" s="12" t="inlineStr"/>
      <c r="T1467" s="12" t="inlineStr">
        <is>
          <t>Group decision (182 records sharing one decision state)</t>
        </is>
      </c>
      <c r="U1467" s="12" t="inlineStr"/>
      <c r="V1467" s="12" t="inlineStr"/>
      <c r="W1467" s="12" t="inlineStr"/>
    </row>
    <row r="1468" ht="64" customHeight="1">
      <c r="A1468" s="12" t="inlineStr">
        <is>
          <t>UNSURE</t>
        </is>
      </c>
      <c r="B1468" s="12" t="inlineStr"/>
      <c r="C1468" s="12" t="inlineStr">
        <is>
          <t>Contractor Programme</t>
        </is>
      </c>
      <c r="D1468" s="12" t="inlineStr">
        <is>
          <t>SCH-06-105</t>
        </is>
      </c>
      <c r="E1468" s="12" t="inlineStr">
        <is>
          <t>Stations package: commercial change review - field start</t>
        </is>
      </c>
      <c r="F1468" s="12" t="inlineStr">
        <is>
          <t>UNSURE</t>
        </is>
      </c>
      <c r="G1468" s="12" t="inlineStr">
        <is>
          <t>APPROVED</t>
        </is>
      </c>
      <c r="H1468" s="12" t="inlineStr">
        <is>
          <t>New</t>
        </is>
      </c>
      <c r="I1468" s="12" t="inlineStr">
        <is>
          <t>Professional decision</t>
        </is>
      </c>
      <c r="J1468" s="12" t="inlineStr">
        <is>
          <t>Maya Chen, Owner Project Controls</t>
        </is>
      </c>
      <c r="K1468" s="12" t="inlineStr">
        <is>
          <t>Professional</t>
        </is>
      </c>
      <c r="L1468" s="12" t="inlineStr"/>
      <c r="M1468" s="12" t="inlineStr">
        <is>
          <t>Initial</t>
        </is>
      </c>
      <c r="N1468" s="12" t="inlineStr">
        <is>
          <t>Rev 0</t>
        </is>
      </c>
      <c r="O1468" s="12" t="inlineStr">
        <is>
          <t>R1005-v2</t>
        </is>
      </c>
      <c r="P1468" s="12" t="inlineStr"/>
      <c r="Q1468" s="12" t="inlineStr"/>
      <c r="R1468" s="12" t="inlineStr"/>
      <c r="S1468" s="12" t="inlineStr"/>
      <c r="T1468" s="12" t="inlineStr">
        <is>
          <t>Group decision (182 records sharing one decision state)</t>
        </is>
      </c>
      <c r="U1468" s="12" t="inlineStr"/>
      <c r="V1468" s="12" t="inlineStr"/>
      <c r="W1468" s="12" t="inlineStr"/>
    </row>
    <row r="1469" ht="64" customHeight="1">
      <c r="A1469" s="12" t="inlineStr">
        <is>
          <t>UNSURE</t>
        </is>
      </c>
      <c r="B1469" s="12" t="inlineStr"/>
      <c r="C1469" s="12" t="inlineStr">
        <is>
          <t>Contractor Programme</t>
        </is>
      </c>
      <c r="D1469" s="12" t="inlineStr">
        <is>
          <t>SCH-06-106</t>
        </is>
      </c>
      <c r="E1469" s="12" t="inlineStr">
        <is>
          <t>Systems package: design-package integration review - installation</t>
        </is>
      </c>
      <c r="F1469" s="12" t="inlineStr">
        <is>
          <t>UNSURE</t>
        </is>
      </c>
      <c r="G1469" s="12" t="inlineStr">
        <is>
          <t>APPROVED</t>
        </is>
      </c>
      <c r="H1469" s="12" t="inlineStr">
        <is>
          <t>New</t>
        </is>
      </c>
      <c r="I1469" s="12" t="inlineStr">
        <is>
          <t>Professional decision</t>
        </is>
      </c>
      <c r="J1469" s="12" t="inlineStr">
        <is>
          <t>Maya Chen, Owner Project Controls</t>
        </is>
      </c>
      <c r="K1469" s="12" t="inlineStr">
        <is>
          <t>Professional</t>
        </is>
      </c>
      <c r="L1469" s="12" t="inlineStr"/>
      <c r="M1469" s="12" t="inlineStr">
        <is>
          <t>Initial</t>
        </is>
      </c>
      <c r="N1469" s="12" t="inlineStr">
        <is>
          <t>Rev 0</t>
        </is>
      </c>
      <c r="O1469" s="12" t="inlineStr">
        <is>
          <t>R1006-v2</t>
        </is>
      </c>
      <c r="P1469" s="12" t="inlineStr"/>
      <c r="Q1469" s="12" t="inlineStr"/>
      <c r="R1469" s="12" t="inlineStr"/>
      <c r="S1469" s="12" t="inlineStr"/>
      <c r="T1469" s="12" t="inlineStr">
        <is>
          <t>Group decision (182 records sharing one decision state)</t>
        </is>
      </c>
      <c r="U1469" s="12" t="inlineStr"/>
      <c r="V1469" s="12" t="inlineStr"/>
      <c r="W1469" s="12" t="inlineStr"/>
    </row>
    <row r="1470" ht="64" customHeight="1">
      <c r="A1470" s="12" t="inlineStr">
        <is>
          <t>UNSURE</t>
        </is>
      </c>
      <c r="B1470" s="12" t="inlineStr"/>
      <c r="C1470" s="12" t="inlineStr">
        <is>
          <t>Contractor Programme</t>
        </is>
      </c>
      <c r="D1470" s="12" t="inlineStr">
        <is>
          <t>SCH-06-107</t>
        </is>
      </c>
      <c r="E1470" s="12" t="inlineStr">
        <is>
          <t>Fleet package: executive reporting close - inspection</t>
        </is>
      </c>
      <c r="F1470" s="12" t="inlineStr">
        <is>
          <t>UNSURE</t>
        </is>
      </c>
      <c r="G1470" s="12" t="inlineStr">
        <is>
          <t>APPROVED</t>
        </is>
      </c>
      <c r="H1470" s="12" t="inlineStr">
        <is>
          <t>New</t>
        </is>
      </c>
      <c r="I1470" s="12" t="inlineStr">
        <is>
          <t>Professional decision</t>
        </is>
      </c>
      <c r="J1470" s="12" t="inlineStr">
        <is>
          <t>Maya Chen, Owner Project Controls</t>
        </is>
      </c>
      <c r="K1470" s="12" t="inlineStr">
        <is>
          <t>Professional</t>
        </is>
      </c>
      <c r="L1470" s="12" t="inlineStr"/>
      <c r="M1470" s="12" t="inlineStr">
        <is>
          <t>Initial</t>
        </is>
      </c>
      <c r="N1470" s="12" t="inlineStr">
        <is>
          <t>Rev 0</t>
        </is>
      </c>
      <c r="O1470" s="12" t="inlineStr">
        <is>
          <t>R1007-v2</t>
        </is>
      </c>
      <c r="P1470" s="12" t="inlineStr"/>
      <c r="Q1470" s="12" t="inlineStr"/>
      <c r="R1470" s="12" t="inlineStr"/>
      <c r="S1470" s="12" t="inlineStr"/>
      <c r="T1470" s="12" t="inlineStr">
        <is>
          <t>Group decision (182 records sharing one decision state)</t>
        </is>
      </c>
      <c r="U1470" s="12" t="inlineStr"/>
      <c r="V1470" s="12" t="inlineStr"/>
      <c r="W1470" s="12" t="inlineStr"/>
    </row>
    <row r="1471" ht="64" customHeight="1">
      <c r="A1471" s="12" t="inlineStr">
        <is>
          <t>UNSURE</t>
        </is>
      </c>
      <c r="B1471" s="12" t="inlineStr"/>
      <c r="C1471" s="12" t="inlineStr">
        <is>
          <t>Contractor Programme</t>
        </is>
      </c>
      <c r="D1471" s="12" t="inlineStr">
        <is>
          <t>SCH-06-108</t>
        </is>
      </c>
      <c r="E1471" s="12" t="inlineStr">
        <is>
          <t>Program office: permit coordination - turnover</t>
        </is>
      </c>
      <c r="F1471" s="12" t="inlineStr">
        <is>
          <t>UNSURE</t>
        </is>
      </c>
      <c r="G1471" s="12" t="inlineStr">
        <is>
          <t>APPROVED</t>
        </is>
      </c>
      <c r="H1471" s="12" t="inlineStr">
        <is>
          <t>New</t>
        </is>
      </c>
      <c r="I1471" s="12" t="inlineStr">
        <is>
          <t>Professional decision</t>
        </is>
      </c>
      <c r="J1471" s="12" t="inlineStr">
        <is>
          <t>Maya Chen, Owner Project Controls</t>
        </is>
      </c>
      <c r="K1471" s="12" t="inlineStr">
        <is>
          <t>Professional</t>
        </is>
      </c>
      <c r="L1471" s="12" t="inlineStr"/>
      <c r="M1471" s="12" t="inlineStr">
        <is>
          <t>Initial</t>
        </is>
      </c>
      <c r="N1471" s="12" t="inlineStr">
        <is>
          <t>Rev 0</t>
        </is>
      </c>
      <c r="O1471" s="12" t="inlineStr">
        <is>
          <t>R1008-v2</t>
        </is>
      </c>
      <c r="P1471" s="12" t="inlineStr"/>
      <c r="Q1471" s="12" t="inlineStr"/>
      <c r="R1471" s="12" t="inlineStr"/>
      <c r="S1471" s="12" t="inlineStr"/>
      <c r="T1471" s="12" t="inlineStr">
        <is>
          <t>Group decision (182 records sharing one decision state)</t>
        </is>
      </c>
      <c r="U1471" s="12" t="inlineStr"/>
      <c r="V1471" s="12" t="inlineStr"/>
      <c r="W1471" s="12" t="inlineStr"/>
    </row>
    <row r="1472" ht="64" customHeight="1">
      <c r="A1472" s="12" t="inlineStr">
        <is>
          <t>UNSURE</t>
        </is>
      </c>
      <c r="B1472" s="12" t="inlineStr"/>
      <c r="C1472" s="12" t="inlineStr">
        <is>
          <t>Contractor Programme</t>
        </is>
      </c>
      <c r="D1472" s="12" t="inlineStr">
        <is>
          <t>SCH-06-109</t>
        </is>
      </c>
      <c r="E1472" s="12" t="inlineStr">
        <is>
          <t>Civil package: delivery risk workshop - release</t>
        </is>
      </c>
      <c r="F1472" s="12" t="inlineStr">
        <is>
          <t>UNSURE</t>
        </is>
      </c>
      <c r="G1472" s="12" t="inlineStr">
        <is>
          <t>APPROVED</t>
        </is>
      </c>
      <c r="H1472" s="12" t="inlineStr">
        <is>
          <t>New</t>
        </is>
      </c>
      <c r="I1472" s="12" t="inlineStr">
        <is>
          <t>Professional decision</t>
        </is>
      </c>
      <c r="J1472" s="12" t="inlineStr">
        <is>
          <t>Maya Chen, Owner Project Controls</t>
        </is>
      </c>
      <c r="K1472" s="12" t="inlineStr">
        <is>
          <t>Professional</t>
        </is>
      </c>
      <c r="L1472" s="12" t="inlineStr"/>
      <c r="M1472" s="12" t="inlineStr">
        <is>
          <t>Initial</t>
        </is>
      </c>
      <c r="N1472" s="12" t="inlineStr">
        <is>
          <t>Rev 0</t>
        </is>
      </c>
      <c r="O1472" s="12" t="inlineStr">
        <is>
          <t>R1009-v2</t>
        </is>
      </c>
      <c r="P1472" s="12" t="inlineStr"/>
      <c r="Q1472" s="12" t="inlineStr"/>
      <c r="R1472" s="12" t="inlineStr"/>
      <c r="S1472" s="12" t="inlineStr"/>
      <c r="T1472" s="12" t="inlineStr">
        <is>
          <t>Group decision (182 records sharing one decision state)</t>
        </is>
      </c>
      <c r="U1472" s="12" t="inlineStr"/>
      <c r="V1472" s="12" t="inlineStr"/>
      <c r="W1472" s="12" t="inlineStr"/>
    </row>
    <row r="1473" ht="64" customHeight="1">
      <c r="A1473" s="12" t="inlineStr">
        <is>
          <t>UNSURE</t>
        </is>
      </c>
      <c r="B1473" s="12" t="inlineStr"/>
      <c r="C1473" s="12" t="inlineStr">
        <is>
          <t>Contractor Programme</t>
        </is>
      </c>
      <c r="D1473" s="12" t="inlineStr">
        <is>
          <t>SCH-06-110</t>
        </is>
      </c>
      <c r="E1473" s="12" t="inlineStr">
        <is>
          <t>Stations package: monthly controls cut-off - field start</t>
        </is>
      </c>
      <c r="F1473" s="12" t="inlineStr">
        <is>
          <t>UNSURE</t>
        </is>
      </c>
      <c r="G1473" s="12" t="inlineStr">
        <is>
          <t>APPROVED</t>
        </is>
      </c>
      <c r="H1473" s="12" t="inlineStr">
        <is>
          <t>New</t>
        </is>
      </c>
      <c r="I1473" s="12" t="inlineStr">
        <is>
          <t>Professional decision</t>
        </is>
      </c>
      <c r="J1473" s="12" t="inlineStr">
        <is>
          <t>Maya Chen, Owner Project Controls</t>
        </is>
      </c>
      <c r="K1473" s="12" t="inlineStr">
        <is>
          <t>Professional</t>
        </is>
      </c>
      <c r="L1473" s="12" t="inlineStr"/>
      <c r="M1473" s="12" t="inlineStr">
        <is>
          <t>Initial</t>
        </is>
      </c>
      <c r="N1473" s="12" t="inlineStr">
        <is>
          <t>Rev 0</t>
        </is>
      </c>
      <c r="O1473" s="12" t="inlineStr">
        <is>
          <t>R1010-v2</t>
        </is>
      </c>
      <c r="P1473" s="12" t="inlineStr"/>
      <c r="Q1473" s="12" t="inlineStr"/>
      <c r="R1473" s="12" t="inlineStr"/>
      <c r="S1473" s="12" t="inlineStr"/>
      <c r="T1473" s="12" t="inlineStr">
        <is>
          <t>Group decision (182 records sharing one decision state)</t>
        </is>
      </c>
      <c r="U1473" s="12" t="inlineStr"/>
      <c r="V1473" s="12" t="inlineStr"/>
      <c r="W1473" s="12" t="inlineStr"/>
    </row>
    <row r="1474" ht="64" customHeight="1">
      <c r="A1474" s="12" t="inlineStr">
        <is>
          <t>UNSURE</t>
        </is>
      </c>
      <c r="B1474" s="12" t="inlineStr"/>
      <c r="C1474" s="12" t="inlineStr">
        <is>
          <t>Contractor Programme</t>
        </is>
      </c>
      <c r="D1474" s="12" t="inlineStr">
        <is>
          <t>SCH-06-111</t>
        </is>
      </c>
      <c r="E1474" s="12" t="inlineStr">
        <is>
          <t>Systems package: stakeholder interface meeting - installation</t>
        </is>
      </c>
      <c r="F1474" s="12" t="inlineStr">
        <is>
          <t>UNSURE</t>
        </is>
      </c>
      <c r="G1474" s="12" t="inlineStr">
        <is>
          <t>APPROVED</t>
        </is>
      </c>
      <c r="H1474" s="12" t="inlineStr">
        <is>
          <t>New</t>
        </is>
      </c>
      <c r="I1474" s="12" t="inlineStr">
        <is>
          <t>Professional decision</t>
        </is>
      </c>
      <c r="J1474" s="12" t="inlineStr">
        <is>
          <t>Maya Chen, Owner Project Controls</t>
        </is>
      </c>
      <c r="K1474" s="12" t="inlineStr">
        <is>
          <t>Professional</t>
        </is>
      </c>
      <c r="L1474" s="12" t="inlineStr"/>
      <c r="M1474" s="12" t="inlineStr">
        <is>
          <t>Initial</t>
        </is>
      </c>
      <c r="N1474" s="12" t="inlineStr">
        <is>
          <t>Rev 0</t>
        </is>
      </c>
      <c r="O1474" s="12" t="inlineStr">
        <is>
          <t>R1011-v2</t>
        </is>
      </c>
      <c r="P1474" s="12" t="inlineStr"/>
      <c r="Q1474" s="12" t="inlineStr"/>
      <c r="R1474" s="12" t="inlineStr"/>
      <c r="S1474" s="12" t="inlineStr"/>
      <c r="T1474" s="12" t="inlineStr">
        <is>
          <t>Group decision (182 records sharing one decision state)</t>
        </is>
      </c>
      <c r="U1474" s="12" t="inlineStr"/>
      <c r="V1474" s="12" t="inlineStr"/>
      <c r="W1474" s="12" t="inlineStr"/>
    </row>
    <row r="1475" ht="64" customHeight="1">
      <c r="A1475" s="12" t="inlineStr">
        <is>
          <t>UNSURE</t>
        </is>
      </c>
      <c r="B1475" s="12" t="inlineStr"/>
      <c r="C1475" s="12" t="inlineStr">
        <is>
          <t>Contractor Programme</t>
        </is>
      </c>
      <c r="D1475" s="12" t="inlineStr">
        <is>
          <t>SCH-06-112</t>
        </is>
      </c>
      <c r="E1475" s="12" t="inlineStr">
        <is>
          <t>Fleet package: baseline change control - inspection</t>
        </is>
      </c>
      <c r="F1475" s="12" t="inlineStr">
        <is>
          <t>UNSURE</t>
        </is>
      </c>
      <c r="G1475" s="12" t="inlineStr">
        <is>
          <t>APPROVED</t>
        </is>
      </c>
      <c r="H1475" s="12" t="inlineStr">
        <is>
          <t>New</t>
        </is>
      </c>
      <c r="I1475" s="12" t="inlineStr">
        <is>
          <t>Professional decision</t>
        </is>
      </c>
      <c r="J1475" s="12" t="inlineStr">
        <is>
          <t>Maya Chen, Owner Project Controls</t>
        </is>
      </c>
      <c r="K1475" s="12" t="inlineStr">
        <is>
          <t>Professional</t>
        </is>
      </c>
      <c r="L1475" s="12" t="inlineStr"/>
      <c r="M1475" s="12" t="inlineStr">
        <is>
          <t>Initial</t>
        </is>
      </c>
      <c r="N1475" s="12" t="inlineStr">
        <is>
          <t>Rev 0</t>
        </is>
      </c>
      <c r="O1475" s="12" t="inlineStr">
        <is>
          <t>R1012-v2</t>
        </is>
      </c>
      <c r="P1475" s="12" t="inlineStr"/>
      <c r="Q1475" s="12" t="inlineStr"/>
      <c r="R1475" s="12" t="inlineStr"/>
      <c r="S1475" s="12" t="inlineStr"/>
      <c r="T1475" s="12" t="inlineStr">
        <is>
          <t>Group decision (182 records sharing one decision state)</t>
        </is>
      </c>
      <c r="U1475" s="12" t="inlineStr"/>
      <c r="V1475" s="12" t="inlineStr"/>
      <c r="W1475" s="12" t="inlineStr"/>
    </row>
    <row r="1476" ht="64" customHeight="1">
      <c r="A1476" s="12" t="inlineStr">
        <is>
          <t>UNSURE</t>
        </is>
      </c>
      <c r="B1476" s="12" t="inlineStr"/>
      <c r="C1476" s="12" t="inlineStr">
        <is>
          <t>Contractor Programme</t>
        </is>
      </c>
      <c r="D1476" s="12" t="inlineStr">
        <is>
          <t>SCH-06-113</t>
        </is>
      </c>
      <c r="E1476" s="12" t="inlineStr">
        <is>
          <t>Program office: commercial change review - turnover</t>
        </is>
      </c>
      <c r="F1476" s="12" t="inlineStr">
        <is>
          <t>UNSURE</t>
        </is>
      </c>
      <c r="G1476" s="12" t="inlineStr">
        <is>
          <t>APPROVED</t>
        </is>
      </c>
      <c r="H1476" s="12" t="inlineStr">
        <is>
          <t>New</t>
        </is>
      </c>
      <c r="I1476" s="12" t="inlineStr">
        <is>
          <t>Professional decision</t>
        </is>
      </c>
      <c r="J1476" s="12" t="inlineStr">
        <is>
          <t>Maya Chen, Owner Project Controls</t>
        </is>
      </c>
      <c r="K1476" s="12" t="inlineStr">
        <is>
          <t>Professional</t>
        </is>
      </c>
      <c r="L1476" s="12" t="inlineStr"/>
      <c r="M1476" s="12" t="inlineStr">
        <is>
          <t>Initial</t>
        </is>
      </c>
      <c r="N1476" s="12" t="inlineStr">
        <is>
          <t>Rev 0</t>
        </is>
      </c>
      <c r="O1476" s="12" t="inlineStr">
        <is>
          <t>R1013-v2</t>
        </is>
      </c>
      <c r="P1476" s="12" t="inlineStr"/>
      <c r="Q1476" s="12" t="inlineStr"/>
      <c r="R1476" s="12" t="inlineStr"/>
      <c r="S1476" s="12" t="inlineStr"/>
      <c r="T1476" s="12" t="inlineStr">
        <is>
          <t>Group decision (182 records sharing one decision state)</t>
        </is>
      </c>
      <c r="U1476" s="12" t="inlineStr"/>
      <c r="V1476" s="12" t="inlineStr"/>
      <c r="W1476" s="12" t="inlineStr"/>
    </row>
    <row r="1477" ht="64" customHeight="1">
      <c r="A1477" s="12" t="inlineStr">
        <is>
          <t>UNSURE</t>
        </is>
      </c>
      <c r="B1477" s="12" t="inlineStr"/>
      <c r="C1477" s="12" t="inlineStr">
        <is>
          <t>Contractor Programme</t>
        </is>
      </c>
      <c r="D1477" s="12" t="inlineStr">
        <is>
          <t>SCH-06-114</t>
        </is>
      </c>
      <c r="E1477" s="12" t="inlineStr">
        <is>
          <t>Civil package: design-package integration review - release</t>
        </is>
      </c>
      <c r="F1477" s="12" t="inlineStr">
        <is>
          <t>UNSURE</t>
        </is>
      </c>
      <c r="G1477" s="12" t="inlineStr">
        <is>
          <t>APPROVED</t>
        </is>
      </c>
      <c r="H1477" s="12" t="inlineStr">
        <is>
          <t>New</t>
        </is>
      </c>
      <c r="I1477" s="12" t="inlineStr">
        <is>
          <t>Professional decision</t>
        </is>
      </c>
      <c r="J1477" s="12" t="inlineStr">
        <is>
          <t>Maya Chen, Owner Project Controls</t>
        </is>
      </c>
      <c r="K1477" s="12" t="inlineStr">
        <is>
          <t>Professional</t>
        </is>
      </c>
      <c r="L1477" s="12" t="inlineStr"/>
      <c r="M1477" s="12" t="inlineStr">
        <is>
          <t>Initial</t>
        </is>
      </c>
      <c r="N1477" s="12" t="inlineStr">
        <is>
          <t>Rev 0</t>
        </is>
      </c>
      <c r="O1477" s="12" t="inlineStr">
        <is>
          <t>R1014-v2</t>
        </is>
      </c>
      <c r="P1477" s="12" t="inlineStr"/>
      <c r="Q1477" s="12" t="inlineStr"/>
      <c r="R1477" s="12" t="inlineStr"/>
      <c r="S1477" s="12" t="inlineStr"/>
      <c r="T1477" s="12" t="inlineStr">
        <is>
          <t>Group decision (182 records sharing one decision state)</t>
        </is>
      </c>
      <c r="U1477" s="12" t="inlineStr"/>
      <c r="V1477" s="12" t="inlineStr"/>
      <c r="W1477" s="12" t="inlineStr"/>
    </row>
    <row r="1478" ht="64" customHeight="1">
      <c r="A1478" s="12" t="inlineStr">
        <is>
          <t>UNSURE</t>
        </is>
      </c>
      <c r="B1478" s="12" t="inlineStr"/>
      <c r="C1478" s="12" t="inlineStr">
        <is>
          <t>Contractor Programme</t>
        </is>
      </c>
      <c r="D1478" s="12" t="inlineStr">
        <is>
          <t>SCH-06-115</t>
        </is>
      </c>
      <c r="E1478" s="12" t="inlineStr">
        <is>
          <t>Stations package: executive reporting close - field start</t>
        </is>
      </c>
      <c r="F1478" s="12" t="inlineStr">
        <is>
          <t>UNSURE</t>
        </is>
      </c>
      <c r="G1478" s="12" t="inlineStr">
        <is>
          <t>APPROVED</t>
        </is>
      </c>
      <c r="H1478" s="12" t="inlineStr">
        <is>
          <t>New</t>
        </is>
      </c>
      <c r="I1478" s="12" t="inlineStr">
        <is>
          <t>Professional decision</t>
        </is>
      </c>
      <c r="J1478" s="12" t="inlineStr">
        <is>
          <t>Maya Chen, Owner Project Controls</t>
        </is>
      </c>
      <c r="K1478" s="12" t="inlineStr">
        <is>
          <t>Professional</t>
        </is>
      </c>
      <c r="L1478" s="12" t="inlineStr"/>
      <c r="M1478" s="12" t="inlineStr">
        <is>
          <t>Initial</t>
        </is>
      </c>
      <c r="N1478" s="12" t="inlineStr">
        <is>
          <t>Rev 0</t>
        </is>
      </c>
      <c r="O1478" s="12" t="inlineStr">
        <is>
          <t>R1015-v2</t>
        </is>
      </c>
      <c r="P1478" s="12" t="inlineStr"/>
      <c r="Q1478" s="12" t="inlineStr"/>
      <c r="R1478" s="12" t="inlineStr"/>
      <c r="S1478" s="12" t="inlineStr"/>
      <c r="T1478" s="12" t="inlineStr">
        <is>
          <t>Group decision (182 records sharing one decision state)</t>
        </is>
      </c>
      <c r="U1478" s="12" t="inlineStr"/>
      <c r="V1478" s="12" t="inlineStr"/>
      <c r="W1478" s="12" t="inlineStr"/>
    </row>
    <row r="1479" ht="64" customHeight="1">
      <c r="A1479" s="12" t="inlineStr">
        <is>
          <t>UNSURE</t>
        </is>
      </c>
      <c r="B1479" s="12" t="inlineStr"/>
      <c r="C1479" s="12" t="inlineStr">
        <is>
          <t>Contractor Programme</t>
        </is>
      </c>
      <c r="D1479" s="12" t="inlineStr">
        <is>
          <t>SCH-06-116</t>
        </is>
      </c>
      <c r="E1479" s="12" t="inlineStr">
        <is>
          <t>Systems package: permit coordination - installation</t>
        </is>
      </c>
      <c r="F1479" s="12" t="inlineStr">
        <is>
          <t>UNSURE</t>
        </is>
      </c>
      <c r="G1479" s="12" t="inlineStr">
        <is>
          <t>APPROVED</t>
        </is>
      </c>
      <c r="H1479" s="12" t="inlineStr">
        <is>
          <t>New</t>
        </is>
      </c>
      <c r="I1479" s="12" t="inlineStr">
        <is>
          <t>Professional decision</t>
        </is>
      </c>
      <c r="J1479" s="12" t="inlineStr">
        <is>
          <t>Maya Chen, Owner Project Controls</t>
        </is>
      </c>
      <c r="K1479" s="12" t="inlineStr">
        <is>
          <t>Professional</t>
        </is>
      </c>
      <c r="L1479" s="12" t="inlineStr"/>
      <c r="M1479" s="12" t="inlineStr">
        <is>
          <t>Initial</t>
        </is>
      </c>
      <c r="N1479" s="12" t="inlineStr">
        <is>
          <t>Rev 0</t>
        </is>
      </c>
      <c r="O1479" s="12" t="inlineStr">
        <is>
          <t>R1016-v2</t>
        </is>
      </c>
      <c r="P1479" s="12" t="inlineStr"/>
      <c r="Q1479" s="12" t="inlineStr"/>
      <c r="R1479" s="12" t="inlineStr"/>
      <c r="S1479" s="12" t="inlineStr"/>
      <c r="T1479" s="12" t="inlineStr">
        <is>
          <t>Group decision (182 records sharing one decision state)</t>
        </is>
      </c>
      <c r="U1479" s="12" t="inlineStr"/>
      <c r="V1479" s="12" t="inlineStr"/>
      <c r="W1479" s="12" t="inlineStr"/>
    </row>
    <row r="1480" ht="64" customHeight="1">
      <c r="A1480" s="12" t="inlineStr">
        <is>
          <t>UNSURE</t>
        </is>
      </c>
      <c r="B1480" s="12" t="inlineStr"/>
      <c r="C1480" s="12" t="inlineStr">
        <is>
          <t>Contractor Programme</t>
        </is>
      </c>
      <c r="D1480" s="12" t="inlineStr">
        <is>
          <t>SCH-06-117</t>
        </is>
      </c>
      <c r="E1480" s="12" t="inlineStr">
        <is>
          <t>Fleet package: delivery risk workshop - inspection</t>
        </is>
      </c>
      <c r="F1480" s="12" t="inlineStr">
        <is>
          <t>UNSURE</t>
        </is>
      </c>
      <c r="G1480" s="12" t="inlineStr">
        <is>
          <t>APPROVED</t>
        </is>
      </c>
      <c r="H1480" s="12" t="inlineStr">
        <is>
          <t>New</t>
        </is>
      </c>
      <c r="I1480" s="12" t="inlineStr">
        <is>
          <t>Professional decision</t>
        </is>
      </c>
      <c r="J1480" s="12" t="inlineStr">
        <is>
          <t>Maya Chen, Owner Project Controls</t>
        </is>
      </c>
      <c r="K1480" s="12" t="inlineStr">
        <is>
          <t>Professional</t>
        </is>
      </c>
      <c r="L1480" s="12" t="inlineStr"/>
      <c r="M1480" s="12" t="inlineStr">
        <is>
          <t>Initial</t>
        </is>
      </c>
      <c r="N1480" s="12" t="inlineStr">
        <is>
          <t>Rev 0</t>
        </is>
      </c>
      <c r="O1480" s="12" t="inlineStr">
        <is>
          <t>R1017-v2</t>
        </is>
      </c>
      <c r="P1480" s="12" t="inlineStr"/>
      <c r="Q1480" s="12" t="inlineStr"/>
      <c r="R1480" s="12" t="inlineStr"/>
      <c r="S1480" s="12" t="inlineStr"/>
      <c r="T1480" s="12" t="inlineStr">
        <is>
          <t>Group decision (182 records sharing one decision state)</t>
        </is>
      </c>
      <c r="U1480" s="12" t="inlineStr"/>
      <c r="V1480" s="12" t="inlineStr"/>
      <c r="W1480" s="12" t="inlineStr"/>
    </row>
    <row r="1481" ht="64" customHeight="1">
      <c r="A1481" s="12" t="inlineStr">
        <is>
          <t>UNSURE</t>
        </is>
      </c>
      <c r="B1481" s="12" t="inlineStr"/>
      <c r="C1481" s="12" t="inlineStr">
        <is>
          <t>Contractor Programme</t>
        </is>
      </c>
      <c r="D1481" s="12" t="inlineStr">
        <is>
          <t>SCH-06-118</t>
        </is>
      </c>
      <c r="E1481" s="12" t="inlineStr">
        <is>
          <t>Program office: monthly controls cut-off - turnover</t>
        </is>
      </c>
      <c r="F1481" s="12" t="inlineStr">
        <is>
          <t>UNSURE</t>
        </is>
      </c>
      <c r="G1481" s="12" t="inlineStr">
        <is>
          <t>APPROVED</t>
        </is>
      </c>
      <c r="H1481" s="12" t="inlineStr">
        <is>
          <t>New</t>
        </is>
      </c>
      <c r="I1481" s="12" t="inlineStr">
        <is>
          <t>Professional decision</t>
        </is>
      </c>
      <c r="J1481" s="12" t="inlineStr">
        <is>
          <t>Maya Chen, Owner Project Controls</t>
        </is>
      </c>
      <c r="K1481" s="12" t="inlineStr">
        <is>
          <t>Professional</t>
        </is>
      </c>
      <c r="L1481" s="12" t="inlineStr"/>
      <c r="M1481" s="12" t="inlineStr">
        <is>
          <t>Initial</t>
        </is>
      </c>
      <c r="N1481" s="12" t="inlineStr">
        <is>
          <t>Rev 0</t>
        </is>
      </c>
      <c r="O1481" s="12" t="inlineStr">
        <is>
          <t>R1018-v2</t>
        </is>
      </c>
      <c r="P1481" s="12" t="inlineStr"/>
      <c r="Q1481" s="12" t="inlineStr"/>
      <c r="R1481" s="12" t="inlineStr"/>
      <c r="S1481" s="12" t="inlineStr"/>
      <c r="T1481" s="12" t="inlineStr">
        <is>
          <t>Group decision (182 records sharing one decision state)</t>
        </is>
      </c>
      <c r="U1481" s="12" t="inlineStr"/>
      <c r="V1481" s="12" t="inlineStr"/>
      <c r="W1481" s="12" t="inlineStr"/>
    </row>
    <row r="1482" ht="64" customHeight="1">
      <c r="A1482" s="12" t="inlineStr">
        <is>
          <t>UNSURE</t>
        </is>
      </c>
      <c r="B1482" s="12" t="inlineStr"/>
      <c r="C1482" s="12" t="inlineStr">
        <is>
          <t>Contractor Programme</t>
        </is>
      </c>
      <c r="D1482" s="12" t="inlineStr">
        <is>
          <t>SCH-06-119</t>
        </is>
      </c>
      <c r="E1482" s="12" t="inlineStr">
        <is>
          <t>Civil package: stakeholder interface meeting - release</t>
        </is>
      </c>
      <c r="F1482" s="12" t="inlineStr">
        <is>
          <t>UNSURE</t>
        </is>
      </c>
      <c r="G1482" s="12" t="inlineStr">
        <is>
          <t>APPROVED</t>
        </is>
      </c>
      <c r="H1482" s="12" t="inlineStr">
        <is>
          <t>New</t>
        </is>
      </c>
      <c r="I1482" s="12" t="inlineStr">
        <is>
          <t>Professional decision</t>
        </is>
      </c>
      <c r="J1482" s="12" t="inlineStr">
        <is>
          <t>Maya Chen, Owner Project Controls</t>
        </is>
      </c>
      <c r="K1482" s="12" t="inlineStr">
        <is>
          <t>Professional</t>
        </is>
      </c>
      <c r="L1482" s="12" t="inlineStr"/>
      <c r="M1482" s="12" t="inlineStr">
        <is>
          <t>Initial</t>
        </is>
      </c>
      <c r="N1482" s="12" t="inlineStr">
        <is>
          <t>Rev 0</t>
        </is>
      </c>
      <c r="O1482" s="12" t="inlineStr">
        <is>
          <t>R1019-v2</t>
        </is>
      </c>
      <c r="P1482" s="12" t="inlineStr"/>
      <c r="Q1482" s="12" t="inlineStr"/>
      <c r="R1482" s="12" t="inlineStr"/>
      <c r="S1482" s="12" t="inlineStr"/>
      <c r="T1482" s="12" t="inlineStr">
        <is>
          <t>Group decision (182 records sharing one decision state)</t>
        </is>
      </c>
      <c r="U1482" s="12" t="inlineStr"/>
      <c r="V1482" s="12" t="inlineStr"/>
      <c r="W1482" s="12" t="inlineStr"/>
    </row>
    <row r="1483" ht="64" customHeight="1">
      <c r="A1483" s="12" t="inlineStr">
        <is>
          <t>UNSURE</t>
        </is>
      </c>
      <c r="B1483" s="12" t="inlineStr"/>
      <c r="C1483" s="12" t="inlineStr">
        <is>
          <t>Contractor Programme</t>
        </is>
      </c>
      <c r="D1483" s="12" t="inlineStr">
        <is>
          <t>SCH-06-120</t>
        </is>
      </c>
      <c r="E1483" s="12" t="inlineStr">
        <is>
          <t>Stations package: baseline change control - field start</t>
        </is>
      </c>
      <c r="F1483" s="12" t="inlineStr">
        <is>
          <t>UNSURE</t>
        </is>
      </c>
      <c r="G1483" s="12" t="inlineStr">
        <is>
          <t>APPROVED</t>
        </is>
      </c>
      <c r="H1483" s="12" t="inlineStr">
        <is>
          <t>New</t>
        </is>
      </c>
      <c r="I1483" s="12" t="inlineStr">
        <is>
          <t>Professional decision</t>
        </is>
      </c>
      <c r="J1483" s="12" t="inlineStr">
        <is>
          <t>Maya Chen, Owner Project Controls</t>
        </is>
      </c>
      <c r="K1483" s="12" t="inlineStr">
        <is>
          <t>Professional</t>
        </is>
      </c>
      <c r="L1483" s="12" t="inlineStr"/>
      <c r="M1483" s="12" t="inlineStr">
        <is>
          <t>Initial</t>
        </is>
      </c>
      <c r="N1483" s="12" t="inlineStr">
        <is>
          <t>Rev 0</t>
        </is>
      </c>
      <c r="O1483" s="12" t="inlineStr">
        <is>
          <t>R1020-v2</t>
        </is>
      </c>
      <c r="P1483" s="12" t="inlineStr"/>
      <c r="Q1483" s="12" t="inlineStr"/>
      <c r="R1483" s="12" t="inlineStr"/>
      <c r="S1483" s="12" t="inlineStr"/>
      <c r="T1483" s="12" t="inlineStr">
        <is>
          <t>Group decision (182 records sharing one decision state)</t>
        </is>
      </c>
      <c r="U1483" s="12" t="inlineStr"/>
      <c r="V1483" s="12" t="inlineStr"/>
      <c r="W1483" s="12" t="inlineStr"/>
    </row>
    <row r="1484" ht="64" customHeight="1">
      <c r="A1484" s="12" t="inlineStr">
        <is>
          <t>UNSURE</t>
        </is>
      </c>
      <c r="B1484" s="12" t="inlineStr"/>
      <c r="C1484" s="12" t="inlineStr">
        <is>
          <t>Contractor Programme</t>
        </is>
      </c>
      <c r="D1484" s="12" t="inlineStr">
        <is>
          <t>SCH-06-121</t>
        </is>
      </c>
      <c r="E1484" s="12" t="inlineStr">
        <is>
          <t>Systems package: commercial change review - installation</t>
        </is>
      </c>
      <c r="F1484" s="12" t="inlineStr">
        <is>
          <t>UNSURE</t>
        </is>
      </c>
      <c r="G1484" s="12" t="inlineStr">
        <is>
          <t>APPROVED</t>
        </is>
      </c>
      <c r="H1484" s="12" t="inlineStr">
        <is>
          <t>New</t>
        </is>
      </c>
      <c r="I1484" s="12" t="inlineStr">
        <is>
          <t>Professional decision</t>
        </is>
      </c>
      <c r="J1484" s="12" t="inlineStr">
        <is>
          <t>Maya Chen, Owner Project Controls</t>
        </is>
      </c>
      <c r="K1484" s="12" t="inlineStr">
        <is>
          <t>Professional</t>
        </is>
      </c>
      <c r="L1484" s="12" t="inlineStr"/>
      <c r="M1484" s="12" t="inlineStr">
        <is>
          <t>Initial</t>
        </is>
      </c>
      <c r="N1484" s="12" t="inlineStr">
        <is>
          <t>Rev 0</t>
        </is>
      </c>
      <c r="O1484" s="12" t="inlineStr">
        <is>
          <t>R1021-v2</t>
        </is>
      </c>
      <c r="P1484" s="12" t="inlineStr"/>
      <c r="Q1484" s="12" t="inlineStr"/>
      <c r="R1484" s="12" t="inlineStr"/>
      <c r="S1484" s="12" t="inlineStr"/>
      <c r="T1484" s="12" t="inlineStr">
        <is>
          <t>Group decision (182 records sharing one decision state)</t>
        </is>
      </c>
      <c r="U1484" s="12" t="inlineStr"/>
      <c r="V1484" s="12" t="inlineStr"/>
      <c r="W1484" s="12" t="inlineStr"/>
    </row>
    <row r="1485" ht="64" customHeight="1">
      <c r="A1485" s="12" t="inlineStr">
        <is>
          <t>UNSURE</t>
        </is>
      </c>
      <c r="B1485" s="12" t="inlineStr"/>
      <c r="C1485" s="12" t="inlineStr">
        <is>
          <t>Contractor Programme</t>
        </is>
      </c>
      <c r="D1485" s="12" t="inlineStr">
        <is>
          <t>SCH-06-122</t>
        </is>
      </c>
      <c r="E1485" s="12" t="inlineStr">
        <is>
          <t>Fleet package: design-package integration review - inspection</t>
        </is>
      </c>
      <c r="F1485" s="12" t="inlineStr">
        <is>
          <t>UNSURE</t>
        </is>
      </c>
      <c r="G1485" s="12" t="inlineStr">
        <is>
          <t>APPROVED</t>
        </is>
      </c>
      <c r="H1485" s="12" t="inlineStr">
        <is>
          <t>New</t>
        </is>
      </c>
      <c r="I1485" s="12" t="inlineStr">
        <is>
          <t>Professional decision</t>
        </is>
      </c>
      <c r="J1485" s="12" t="inlineStr">
        <is>
          <t>Maya Chen, Owner Project Controls</t>
        </is>
      </c>
      <c r="K1485" s="12" t="inlineStr">
        <is>
          <t>Professional</t>
        </is>
      </c>
      <c r="L1485" s="12" t="inlineStr"/>
      <c r="M1485" s="12" t="inlineStr">
        <is>
          <t>Initial</t>
        </is>
      </c>
      <c r="N1485" s="12" t="inlineStr">
        <is>
          <t>Rev 0</t>
        </is>
      </c>
      <c r="O1485" s="12" t="inlineStr">
        <is>
          <t>R1022-v2</t>
        </is>
      </c>
      <c r="P1485" s="12" t="inlineStr"/>
      <c r="Q1485" s="12" t="inlineStr"/>
      <c r="R1485" s="12" t="inlineStr"/>
      <c r="S1485" s="12" t="inlineStr"/>
      <c r="T1485" s="12" t="inlineStr">
        <is>
          <t>Group decision (182 records sharing one decision state)</t>
        </is>
      </c>
      <c r="U1485" s="12" t="inlineStr"/>
      <c r="V1485" s="12" t="inlineStr"/>
      <c r="W1485" s="12" t="inlineStr"/>
    </row>
    <row r="1486" ht="64" customHeight="1">
      <c r="A1486" s="12" t="inlineStr">
        <is>
          <t>UNSURE</t>
        </is>
      </c>
      <c r="B1486" s="12" t="inlineStr"/>
      <c r="C1486" s="12" t="inlineStr">
        <is>
          <t>Contractor Programme</t>
        </is>
      </c>
      <c r="D1486" s="12" t="inlineStr">
        <is>
          <t>SCH-06-123</t>
        </is>
      </c>
      <c r="E1486" s="12" t="inlineStr">
        <is>
          <t>Program office: executive reporting close - turnover</t>
        </is>
      </c>
      <c r="F1486" s="12" t="inlineStr">
        <is>
          <t>UNSURE</t>
        </is>
      </c>
      <c r="G1486" s="12" t="inlineStr">
        <is>
          <t>APPROVED</t>
        </is>
      </c>
      <c r="H1486" s="12" t="inlineStr">
        <is>
          <t>New</t>
        </is>
      </c>
      <c r="I1486" s="12" t="inlineStr">
        <is>
          <t>Professional decision</t>
        </is>
      </c>
      <c r="J1486" s="12" t="inlineStr">
        <is>
          <t>Maya Chen, Owner Project Controls</t>
        </is>
      </c>
      <c r="K1486" s="12" t="inlineStr">
        <is>
          <t>Professional</t>
        </is>
      </c>
      <c r="L1486" s="12" t="inlineStr"/>
      <c r="M1486" s="12" t="inlineStr">
        <is>
          <t>Initial</t>
        </is>
      </c>
      <c r="N1486" s="12" t="inlineStr">
        <is>
          <t>Rev 0</t>
        </is>
      </c>
      <c r="O1486" s="12" t="inlineStr">
        <is>
          <t>R1023-v2</t>
        </is>
      </c>
      <c r="P1486" s="12" t="inlineStr"/>
      <c r="Q1486" s="12" t="inlineStr"/>
      <c r="R1486" s="12" t="inlineStr"/>
      <c r="S1486" s="12" t="inlineStr"/>
      <c r="T1486" s="12" t="inlineStr">
        <is>
          <t>Group decision (182 records sharing one decision state)</t>
        </is>
      </c>
      <c r="U1486" s="12" t="inlineStr"/>
      <c r="V1486" s="12" t="inlineStr"/>
      <c r="W1486" s="12" t="inlineStr"/>
    </row>
    <row r="1487" ht="64" customHeight="1">
      <c r="A1487" s="12" t="inlineStr">
        <is>
          <t>UNSURE</t>
        </is>
      </c>
      <c r="B1487" s="12" t="inlineStr"/>
      <c r="C1487" s="12" t="inlineStr">
        <is>
          <t>Contractor Programme</t>
        </is>
      </c>
      <c r="D1487" s="12" t="inlineStr">
        <is>
          <t>SCH-06-124</t>
        </is>
      </c>
      <c r="E1487" s="12" t="inlineStr">
        <is>
          <t>Civil package: permit coordination - release</t>
        </is>
      </c>
      <c r="F1487" s="12" t="inlineStr">
        <is>
          <t>UNSURE</t>
        </is>
      </c>
      <c r="G1487" s="12" t="inlineStr">
        <is>
          <t>APPROVED</t>
        </is>
      </c>
      <c r="H1487" s="12" t="inlineStr">
        <is>
          <t>New</t>
        </is>
      </c>
      <c r="I1487" s="12" t="inlineStr">
        <is>
          <t>Professional decision</t>
        </is>
      </c>
      <c r="J1487" s="12" t="inlineStr">
        <is>
          <t>Maya Chen, Owner Project Controls</t>
        </is>
      </c>
      <c r="K1487" s="12" t="inlineStr">
        <is>
          <t>Professional</t>
        </is>
      </c>
      <c r="L1487" s="12" t="inlineStr"/>
      <c r="M1487" s="12" t="inlineStr">
        <is>
          <t>Initial</t>
        </is>
      </c>
      <c r="N1487" s="12" t="inlineStr">
        <is>
          <t>Rev 0</t>
        </is>
      </c>
      <c r="O1487" s="12" t="inlineStr">
        <is>
          <t>R1024-v2</t>
        </is>
      </c>
      <c r="P1487" s="12" t="inlineStr"/>
      <c r="Q1487" s="12" t="inlineStr"/>
      <c r="R1487" s="12" t="inlineStr"/>
      <c r="S1487" s="12" t="inlineStr"/>
      <c r="T1487" s="12" t="inlineStr">
        <is>
          <t>Group decision (182 records sharing one decision state)</t>
        </is>
      </c>
      <c r="U1487" s="12" t="inlineStr"/>
      <c r="V1487" s="12" t="inlineStr"/>
      <c r="W1487" s="12" t="inlineStr"/>
    </row>
    <row r="1488" ht="64" customHeight="1">
      <c r="A1488" s="12" t="inlineStr">
        <is>
          <t>UNSURE</t>
        </is>
      </c>
      <c r="B1488" s="12" t="inlineStr"/>
      <c r="C1488" s="12" t="inlineStr">
        <is>
          <t>Contractor Programme</t>
        </is>
      </c>
      <c r="D1488" s="12" t="inlineStr">
        <is>
          <t>SCH-06-125</t>
        </is>
      </c>
      <c r="E1488" s="12" t="inlineStr">
        <is>
          <t>Stations package: delivery risk workshop - field start</t>
        </is>
      </c>
      <c r="F1488" s="12" t="inlineStr">
        <is>
          <t>UNSURE</t>
        </is>
      </c>
      <c r="G1488" s="12" t="inlineStr">
        <is>
          <t>APPROVED</t>
        </is>
      </c>
      <c r="H1488" s="12" t="inlineStr">
        <is>
          <t>New</t>
        </is>
      </c>
      <c r="I1488" s="12" t="inlineStr">
        <is>
          <t>Professional decision</t>
        </is>
      </c>
      <c r="J1488" s="12" t="inlineStr">
        <is>
          <t>Maya Chen, Owner Project Controls</t>
        </is>
      </c>
      <c r="K1488" s="12" t="inlineStr">
        <is>
          <t>Professional</t>
        </is>
      </c>
      <c r="L1488" s="12" t="inlineStr"/>
      <c r="M1488" s="12" t="inlineStr">
        <is>
          <t>Initial</t>
        </is>
      </c>
      <c r="N1488" s="12" t="inlineStr">
        <is>
          <t>Rev 0</t>
        </is>
      </c>
      <c r="O1488" s="12" t="inlineStr">
        <is>
          <t>R1025-v2</t>
        </is>
      </c>
      <c r="P1488" s="12" t="inlineStr"/>
      <c r="Q1488" s="12" t="inlineStr"/>
      <c r="R1488" s="12" t="inlineStr"/>
      <c r="S1488" s="12" t="inlineStr"/>
      <c r="T1488" s="12" t="inlineStr">
        <is>
          <t>Group decision (182 records sharing one decision state)</t>
        </is>
      </c>
      <c r="U1488" s="12" t="inlineStr"/>
      <c r="V1488" s="12" t="inlineStr"/>
      <c r="W1488" s="12" t="inlineStr"/>
    </row>
    <row r="1489" ht="64" customHeight="1">
      <c r="A1489" s="12" t="inlineStr">
        <is>
          <t>UNSURE</t>
        </is>
      </c>
      <c r="B1489" s="12" t="inlineStr"/>
      <c r="C1489" s="12" t="inlineStr">
        <is>
          <t>Contractor Programme</t>
        </is>
      </c>
      <c r="D1489" s="12" t="inlineStr">
        <is>
          <t>SCH-06-126</t>
        </is>
      </c>
      <c r="E1489" s="12" t="inlineStr">
        <is>
          <t>Systems package: monthly controls cut-off - installation</t>
        </is>
      </c>
      <c r="F1489" s="12" t="inlineStr">
        <is>
          <t>UNSURE</t>
        </is>
      </c>
      <c r="G1489" s="12" t="inlineStr">
        <is>
          <t>APPROVED</t>
        </is>
      </c>
      <c r="H1489" s="12" t="inlineStr">
        <is>
          <t>New</t>
        </is>
      </c>
      <c r="I1489" s="12" t="inlineStr">
        <is>
          <t>Professional decision</t>
        </is>
      </c>
      <c r="J1489" s="12" t="inlineStr">
        <is>
          <t>Maya Chen, Owner Project Controls</t>
        </is>
      </c>
      <c r="K1489" s="12" t="inlineStr">
        <is>
          <t>Professional</t>
        </is>
      </c>
      <c r="L1489" s="12" t="inlineStr"/>
      <c r="M1489" s="12" t="inlineStr">
        <is>
          <t>Initial</t>
        </is>
      </c>
      <c r="N1489" s="12" t="inlineStr">
        <is>
          <t>Rev 0</t>
        </is>
      </c>
      <c r="O1489" s="12" t="inlineStr">
        <is>
          <t>R1026-v2</t>
        </is>
      </c>
      <c r="P1489" s="12" t="inlineStr"/>
      <c r="Q1489" s="12" t="inlineStr"/>
      <c r="R1489" s="12" t="inlineStr"/>
      <c r="S1489" s="12" t="inlineStr"/>
      <c r="T1489" s="12" t="inlineStr">
        <is>
          <t>Group decision (182 records sharing one decision state)</t>
        </is>
      </c>
      <c r="U1489" s="12" t="inlineStr"/>
      <c r="V1489" s="12" t="inlineStr"/>
      <c r="W1489" s="12" t="inlineStr"/>
    </row>
    <row r="1490" ht="64" customHeight="1">
      <c r="A1490" s="12" t="inlineStr">
        <is>
          <t>UNSURE</t>
        </is>
      </c>
      <c r="B1490" s="12" t="inlineStr"/>
      <c r="C1490" s="12" t="inlineStr">
        <is>
          <t>Contractor Programme</t>
        </is>
      </c>
      <c r="D1490" s="12" t="inlineStr">
        <is>
          <t>SCH-06-127</t>
        </is>
      </c>
      <c r="E1490" s="12" t="inlineStr">
        <is>
          <t>Fleet package: stakeholder interface meeting - inspection</t>
        </is>
      </c>
      <c r="F1490" s="12" t="inlineStr">
        <is>
          <t>UNSURE</t>
        </is>
      </c>
      <c r="G1490" s="12" t="inlineStr">
        <is>
          <t>APPROVED</t>
        </is>
      </c>
      <c r="H1490" s="12" t="inlineStr">
        <is>
          <t>New</t>
        </is>
      </c>
      <c r="I1490" s="12" t="inlineStr">
        <is>
          <t>Professional decision</t>
        </is>
      </c>
      <c r="J1490" s="12" t="inlineStr">
        <is>
          <t>Maya Chen, Owner Project Controls</t>
        </is>
      </c>
      <c r="K1490" s="12" t="inlineStr">
        <is>
          <t>Professional</t>
        </is>
      </c>
      <c r="L1490" s="12" t="inlineStr"/>
      <c r="M1490" s="12" t="inlineStr">
        <is>
          <t>Initial</t>
        </is>
      </c>
      <c r="N1490" s="12" t="inlineStr">
        <is>
          <t>Rev 0</t>
        </is>
      </c>
      <c r="O1490" s="12" t="inlineStr">
        <is>
          <t>R1027-v2</t>
        </is>
      </c>
      <c r="P1490" s="12" t="inlineStr"/>
      <c r="Q1490" s="12" t="inlineStr"/>
      <c r="R1490" s="12" t="inlineStr"/>
      <c r="S1490" s="12" t="inlineStr"/>
      <c r="T1490" s="12" t="inlineStr">
        <is>
          <t>Group decision (182 records sharing one decision state)</t>
        </is>
      </c>
      <c r="U1490" s="12" t="inlineStr"/>
      <c r="V1490" s="12" t="inlineStr"/>
      <c r="W1490" s="12" t="inlineStr"/>
    </row>
    <row r="1491" ht="64" customHeight="1">
      <c r="A1491" s="12" t="inlineStr">
        <is>
          <t>UNSURE</t>
        </is>
      </c>
      <c r="B1491" s="12" t="inlineStr"/>
      <c r="C1491" s="12" t="inlineStr">
        <is>
          <t>Contractor Programme</t>
        </is>
      </c>
      <c r="D1491" s="12" t="inlineStr">
        <is>
          <t>SCH-06-128</t>
        </is>
      </c>
      <c r="E1491" s="12" t="inlineStr">
        <is>
          <t>Program office: baseline change control - turnover</t>
        </is>
      </c>
      <c r="F1491" s="12" t="inlineStr">
        <is>
          <t>UNSURE</t>
        </is>
      </c>
      <c r="G1491" s="12" t="inlineStr">
        <is>
          <t>APPROVED</t>
        </is>
      </c>
      <c r="H1491" s="12" t="inlineStr">
        <is>
          <t>New</t>
        </is>
      </c>
      <c r="I1491" s="12" t="inlineStr">
        <is>
          <t>Professional decision</t>
        </is>
      </c>
      <c r="J1491" s="12" t="inlineStr">
        <is>
          <t>Maya Chen, Owner Project Controls</t>
        </is>
      </c>
      <c r="K1491" s="12" t="inlineStr">
        <is>
          <t>Professional</t>
        </is>
      </c>
      <c r="L1491" s="12" t="inlineStr"/>
      <c r="M1491" s="12" t="inlineStr">
        <is>
          <t>Initial</t>
        </is>
      </c>
      <c r="N1491" s="12" t="inlineStr">
        <is>
          <t>Rev 0</t>
        </is>
      </c>
      <c r="O1491" s="12" t="inlineStr">
        <is>
          <t>R1028-v2</t>
        </is>
      </c>
      <c r="P1491" s="12" t="inlineStr"/>
      <c r="Q1491" s="12" t="inlineStr"/>
      <c r="R1491" s="12" t="inlineStr"/>
      <c r="S1491" s="12" t="inlineStr"/>
      <c r="T1491" s="12" t="inlineStr">
        <is>
          <t>Group decision (182 records sharing one decision state)</t>
        </is>
      </c>
      <c r="U1491" s="12" t="inlineStr"/>
      <c r="V1491" s="12" t="inlineStr"/>
      <c r="W1491" s="12" t="inlineStr"/>
    </row>
    <row r="1492" ht="64" customHeight="1">
      <c r="A1492" s="12" t="inlineStr">
        <is>
          <t>UNSURE</t>
        </is>
      </c>
      <c r="B1492" s="12" t="inlineStr"/>
      <c r="C1492" s="12" t="inlineStr">
        <is>
          <t>Contractor Programme</t>
        </is>
      </c>
      <c r="D1492" s="12" t="inlineStr">
        <is>
          <t>SCH-06-129</t>
        </is>
      </c>
      <c r="E1492" s="12" t="inlineStr">
        <is>
          <t>Civil package: commercial change review - release</t>
        </is>
      </c>
      <c r="F1492" s="12" t="inlineStr">
        <is>
          <t>UNSURE</t>
        </is>
      </c>
      <c r="G1492" s="12" t="inlineStr">
        <is>
          <t>APPROVED</t>
        </is>
      </c>
      <c r="H1492" s="12" t="inlineStr">
        <is>
          <t>New</t>
        </is>
      </c>
      <c r="I1492" s="12" t="inlineStr">
        <is>
          <t>Professional decision</t>
        </is>
      </c>
      <c r="J1492" s="12" t="inlineStr">
        <is>
          <t>Maya Chen, Owner Project Controls</t>
        </is>
      </c>
      <c r="K1492" s="12" t="inlineStr">
        <is>
          <t>Professional</t>
        </is>
      </c>
      <c r="L1492" s="12" t="inlineStr"/>
      <c r="M1492" s="12" t="inlineStr">
        <is>
          <t>Initial</t>
        </is>
      </c>
      <c r="N1492" s="12" t="inlineStr">
        <is>
          <t>Rev 0</t>
        </is>
      </c>
      <c r="O1492" s="12" t="inlineStr">
        <is>
          <t>R1029-v2</t>
        </is>
      </c>
      <c r="P1492" s="12" t="inlineStr"/>
      <c r="Q1492" s="12" t="inlineStr"/>
      <c r="R1492" s="12" t="inlineStr"/>
      <c r="S1492" s="12" t="inlineStr"/>
      <c r="T1492" s="12" t="inlineStr">
        <is>
          <t>Group decision (182 records sharing one decision state)</t>
        </is>
      </c>
      <c r="U1492" s="12" t="inlineStr"/>
      <c r="V1492" s="12" t="inlineStr"/>
      <c r="W1492" s="12" t="inlineStr"/>
    </row>
    <row r="1493" ht="64" customHeight="1">
      <c r="A1493" s="12" t="inlineStr">
        <is>
          <t>UNSURE</t>
        </is>
      </c>
      <c r="B1493" s="12" t="inlineStr"/>
      <c r="C1493" s="12" t="inlineStr">
        <is>
          <t>Contractor Programme</t>
        </is>
      </c>
      <c r="D1493" s="12" t="inlineStr">
        <is>
          <t>SCH-06-130</t>
        </is>
      </c>
      <c r="E1493" s="12" t="inlineStr">
        <is>
          <t>Stations package: design-package integration review - field start</t>
        </is>
      </c>
      <c r="F1493" s="12" t="inlineStr">
        <is>
          <t>UNSURE</t>
        </is>
      </c>
      <c r="G1493" s="12" t="inlineStr">
        <is>
          <t>APPROVED</t>
        </is>
      </c>
      <c r="H1493" s="12" t="inlineStr">
        <is>
          <t>New</t>
        </is>
      </c>
      <c r="I1493" s="12" t="inlineStr">
        <is>
          <t>Professional decision</t>
        </is>
      </c>
      <c r="J1493" s="12" t="inlineStr">
        <is>
          <t>Maya Chen, Owner Project Controls</t>
        </is>
      </c>
      <c r="K1493" s="12" t="inlineStr">
        <is>
          <t>Professional</t>
        </is>
      </c>
      <c r="L1493" s="12" t="inlineStr"/>
      <c r="M1493" s="12" t="inlineStr">
        <is>
          <t>Initial</t>
        </is>
      </c>
      <c r="N1493" s="12" t="inlineStr">
        <is>
          <t>Rev 0</t>
        </is>
      </c>
      <c r="O1493" s="12" t="inlineStr">
        <is>
          <t>R1030-v2</t>
        </is>
      </c>
      <c r="P1493" s="12" t="inlineStr"/>
      <c r="Q1493" s="12" t="inlineStr"/>
      <c r="R1493" s="12" t="inlineStr"/>
      <c r="S1493" s="12" t="inlineStr"/>
      <c r="T1493" s="12" t="inlineStr">
        <is>
          <t>Group decision (182 records sharing one decision state)</t>
        </is>
      </c>
      <c r="U1493" s="12" t="inlineStr"/>
      <c r="V1493" s="12" t="inlineStr"/>
      <c r="W1493" s="12" t="inlineStr"/>
    </row>
    <row r="1494" ht="64" customHeight="1">
      <c r="A1494" s="12" t="inlineStr">
        <is>
          <t>UNSURE</t>
        </is>
      </c>
      <c r="B1494" s="12" t="inlineStr"/>
      <c r="C1494" s="12" t="inlineStr">
        <is>
          <t>Contractor Programme</t>
        </is>
      </c>
      <c r="D1494" s="12" t="inlineStr">
        <is>
          <t>SCH-06-131</t>
        </is>
      </c>
      <c r="E1494" s="12" t="inlineStr">
        <is>
          <t>Systems package: executive reporting close - installation</t>
        </is>
      </c>
      <c r="F1494" s="12" t="inlineStr">
        <is>
          <t>UNSURE</t>
        </is>
      </c>
      <c r="G1494" s="12" t="inlineStr">
        <is>
          <t>APPROVED</t>
        </is>
      </c>
      <c r="H1494" s="12" t="inlineStr">
        <is>
          <t>New</t>
        </is>
      </c>
      <c r="I1494" s="12" t="inlineStr">
        <is>
          <t>Professional decision</t>
        </is>
      </c>
      <c r="J1494" s="12" t="inlineStr">
        <is>
          <t>Maya Chen, Owner Project Controls</t>
        </is>
      </c>
      <c r="K1494" s="12" t="inlineStr">
        <is>
          <t>Professional</t>
        </is>
      </c>
      <c r="L1494" s="12" t="inlineStr"/>
      <c r="M1494" s="12" t="inlineStr">
        <is>
          <t>Initial</t>
        </is>
      </c>
      <c r="N1494" s="12" t="inlineStr">
        <is>
          <t>Rev 0</t>
        </is>
      </c>
      <c r="O1494" s="12" t="inlineStr">
        <is>
          <t>R1031-v2</t>
        </is>
      </c>
      <c r="P1494" s="12" t="inlineStr"/>
      <c r="Q1494" s="12" t="inlineStr"/>
      <c r="R1494" s="12" t="inlineStr"/>
      <c r="S1494" s="12" t="inlineStr"/>
      <c r="T1494" s="12" t="inlineStr">
        <is>
          <t>Group decision (182 records sharing one decision state)</t>
        </is>
      </c>
      <c r="U1494" s="12" t="inlineStr"/>
      <c r="V1494" s="12" t="inlineStr"/>
      <c r="W1494" s="12" t="inlineStr"/>
    </row>
    <row r="1495" ht="64" customHeight="1">
      <c r="A1495" s="12" t="inlineStr">
        <is>
          <t>UNSURE</t>
        </is>
      </c>
      <c r="B1495" s="12" t="inlineStr"/>
      <c r="C1495" s="12" t="inlineStr">
        <is>
          <t>Contractor Programme</t>
        </is>
      </c>
      <c r="D1495" s="12" t="inlineStr">
        <is>
          <t>SCH-06-132</t>
        </is>
      </c>
      <c r="E1495" s="12" t="inlineStr">
        <is>
          <t>Fleet package: permit coordination - inspection</t>
        </is>
      </c>
      <c r="F1495" s="12" t="inlineStr">
        <is>
          <t>UNSURE</t>
        </is>
      </c>
      <c r="G1495" s="12" t="inlineStr">
        <is>
          <t>APPROVED</t>
        </is>
      </c>
      <c r="H1495" s="12" t="inlineStr">
        <is>
          <t>New</t>
        </is>
      </c>
      <c r="I1495" s="12" t="inlineStr">
        <is>
          <t>Professional decision</t>
        </is>
      </c>
      <c r="J1495" s="12" t="inlineStr">
        <is>
          <t>Maya Chen, Owner Project Controls</t>
        </is>
      </c>
      <c r="K1495" s="12" t="inlineStr">
        <is>
          <t>Professional</t>
        </is>
      </c>
      <c r="L1495" s="12" t="inlineStr"/>
      <c r="M1495" s="12" t="inlineStr">
        <is>
          <t>Initial</t>
        </is>
      </c>
      <c r="N1495" s="12" t="inlineStr">
        <is>
          <t>Rev 0</t>
        </is>
      </c>
      <c r="O1495" s="12" t="inlineStr">
        <is>
          <t>R1032-v2</t>
        </is>
      </c>
      <c r="P1495" s="12" t="inlineStr"/>
      <c r="Q1495" s="12" t="inlineStr"/>
      <c r="R1495" s="12" t="inlineStr"/>
      <c r="S1495" s="12" t="inlineStr"/>
      <c r="T1495" s="12" t="inlineStr">
        <is>
          <t>Group decision (182 records sharing one decision state)</t>
        </is>
      </c>
      <c r="U1495" s="12" t="inlineStr"/>
      <c r="V1495" s="12" t="inlineStr"/>
      <c r="W1495" s="12" t="inlineStr"/>
    </row>
    <row r="1496" ht="64" customHeight="1">
      <c r="A1496" s="12" t="inlineStr">
        <is>
          <t>UNSURE</t>
        </is>
      </c>
      <c r="B1496" s="12" t="inlineStr"/>
      <c r="C1496" s="12" t="inlineStr">
        <is>
          <t>Contractor Programme</t>
        </is>
      </c>
      <c r="D1496" s="12" t="inlineStr">
        <is>
          <t>SCH-06-133</t>
        </is>
      </c>
      <c r="E1496" s="12" t="inlineStr">
        <is>
          <t>Program office: delivery risk workshop - turnover</t>
        </is>
      </c>
      <c r="F1496" s="12" t="inlineStr">
        <is>
          <t>UNSURE</t>
        </is>
      </c>
      <c r="G1496" s="12" t="inlineStr">
        <is>
          <t>APPROVED</t>
        </is>
      </c>
      <c r="H1496" s="12" t="inlineStr">
        <is>
          <t>New</t>
        </is>
      </c>
      <c r="I1496" s="12" t="inlineStr">
        <is>
          <t>Professional decision</t>
        </is>
      </c>
      <c r="J1496" s="12" t="inlineStr">
        <is>
          <t>Maya Chen, Owner Project Controls</t>
        </is>
      </c>
      <c r="K1496" s="12" t="inlineStr">
        <is>
          <t>Professional</t>
        </is>
      </c>
      <c r="L1496" s="12" t="inlineStr"/>
      <c r="M1496" s="12" t="inlineStr">
        <is>
          <t>Initial</t>
        </is>
      </c>
      <c r="N1496" s="12" t="inlineStr">
        <is>
          <t>Rev 0</t>
        </is>
      </c>
      <c r="O1496" s="12" t="inlineStr">
        <is>
          <t>R1033-v2</t>
        </is>
      </c>
      <c r="P1496" s="12" t="inlineStr"/>
      <c r="Q1496" s="12" t="inlineStr"/>
      <c r="R1496" s="12" t="inlineStr"/>
      <c r="S1496" s="12" t="inlineStr"/>
      <c r="T1496" s="12" t="inlineStr">
        <is>
          <t>Group decision (182 records sharing one decision state)</t>
        </is>
      </c>
      <c r="U1496" s="12" t="inlineStr"/>
      <c r="V1496" s="12" t="inlineStr"/>
      <c r="W1496" s="12" t="inlineStr"/>
    </row>
    <row r="1497" ht="64" customHeight="1">
      <c r="A1497" s="12" t="inlineStr">
        <is>
          <t>UNSURE</t>
        </is>
      </c>
      <c r="B1497" s="12" t="inlineStr"/>
      <c r="C1497" s="12" t="inlineStr">
        <is>
          <t>Contractor Programme</t>
        </is>
      </c>
      <c r="D1497" s="12" t="inlineStr">
        <is>
          <t>SCH-06-134</t>
        </is>
      </c>
      <c r="E1497" s="12" t="inlineStr">
        <is>
          <t>Civil package: monthly controls cut-off - release</t>
        </is>
      </c>
      <c r="F1497" s="12" t="inlineStr">
        <is>
          <t>UNSURE</t>
        </is>
      </c>
      <c r="G1497" s="12" t="inlineStr">
        <is>
          <t>APPROVED</t>
        </is>
      </c>
      <c r="H1497" s="12" t="inlineStr">
        <is>
          <t>New</t>
        </is>
      </c>
      <c r="I1497" s="12" t="inlineStr">
        <is>
          <t>Professional decision</t>
        </is>
      </c>
      <c r="J1497" s="12" t="inlineStr">
        <is>
          <t>Maya Chen, Owner Project Controls</t>
        </is>
      </c>
      <c r="K1497" s="12" t="inlineStr">
        <is>
          <t>Professional</t>
        </is>
      </c>
      <c r="L1497" s="12" t="inlineStr"/>
      <c r="M1497" s="12" t="inlineStr">
        <is>
          <t>Initial</t>
        </is>
      </c>
      <c r="N1497" s="12" t="inlineStr">
        <is>
          <t>Rev 0</t>
        </is>
      </c>
      <c r="O1497" s="12" t="inlineStr">
        <is>
          <t>R1034-v2</t>
        </is>
      </c>
      <c r="P1497" s="12" t="inlineStr"/>
      <c r="Q1497" s="12" t="inlineStr"/>
      <c r="R1497" s="12" t="inlineStr"/>
      <c r="S1497" s="12" t="inlineStr"/>
      <c r="T1497" s="12" t="inlineStr">
        <is>
          <t>Group decision (182 records sharing one decision state)</t>
        </is>
      </c>
      <c r="U1497" s="12" t="inlineStr"/>
      <c r="V1497" s="12" t="inlineStr"/>
      <c r="W1497" s="12" t="inlineStr"/>
    </row>
    <row r="1498" ht="64" customHeight="1">
      <c r="A1498" s="12" t="inlineStr">
        <is>
          <t>UNSURE</t>
        </is>
      </c>
      <c r="B1498" s="12" t="inlineStr"/>
      <c r="C1498" s="12" t="inlineStr">
        <is>
          <t>Contractor Programme</t>
        </is>
      </c>
      <c r="D1498" s="12" t="inlineStr">
        <is>
          <t>SCH-06-135</t>
        </is>
      </c>
      <c r="E1498" s="12" t="inlineStr">
        <is>
          <t>Stations package: stakeholder interface meeting - field start</t>
        </is>
      </c>
      <c r="F1498" s="12" t="inlineStr">
        <is>
          <t>UNSURE</t>
        </is>
      </c>
      <c r="G1498" s="12" t="inlineStr">
        <is>
          <t>APPROVED</t>
        </is>
      </c>
      <c r="H1498" s="12" t="inlineStr">
        <is>
          <t>New</t>
        </is>
      </c>
      <c r="I1498" s="12" t="inlineStr">
        <is>
          <t>Professional decision</t>
        </is>
      </c>
      <c r="J1498" s="12" t="inlineStr">
        <is>
          <t>Maya Chen, Owner Project Controls</t>
        </is>
      </c>
      <c r="K1498" s="12" t="inlineStr">
        <is>
          <t>Professional</t>
        </is>
      </c>
      <c r="L1498" s="12" t="inlineStr"/>
      <c r="M1498" s="12" t="inlineStr">
        <is>
          <t>Initial</t>
        </is>
      </c>
      <c r="N1498" s="12" t="inlineStr">
        <is>
          <t>Rev 0</t>
        </is>
      </c>
      <c r="O1498" s="12" t="inlineStr">
        <is>
          <t>R1035-v2</t>
        </is>
      </c>
      <c r="P1498" s="12" t="inlineStr"/>
      <c r="Q1498" s="12" t="inlineStr"/>
      <c r="R1498" s="12" t="inlineStr"/>
      <c r="S1498" s="12" t="inlineStr"/>
      <c r="T1498" s="12" t="inlineStr">
        <is>
          <t>Group decision (182 records sharing one decision state)</t>
        </is>
      </c>
      <c r="U1498" s="12" t="inlineStr"/>
      <c r="V1498" s="12" t="inlineStr"/>
      <c r="W1498" s="12" t="inlineStr"/>
    </row>
    <row r="1499" ht="64" customHeight="1">
      <c r="A1499" s="12" t="inlineStr">
        <is>
          <t>UNSURE</t>
        </is>
      </c>
      <c r="B1499" s="12" t="inlineStr"/>
      <c r="C1499" s="12" t="inlineStr">
        <is>
          <t>Contractor Programme</t>
        </is>
      </c>
      <c r="D1499" s="12" t="inlineStr">
        <is>
          <t>SCH-06-136</t>
        </is>
      </c>
      <c r="E1499" s="12" t="inlineStr">
        <is>
          <t>Systems package: baseline change control - installation</t>
        </is>
      </c>
      <c r="F1499" s="12" t="inlineStr">
        <is>
          <t>UNSURE</t>
        </is>
      </c>
      <c r="G1499" s="12" t="inlineStr">
        <is>
          <t>APPROVED</t>
        </is>
      </c>
      <c r="H1499" s="12" t="inlineStr">
        <is>
          <t>New</t>
        </is>
      </c>
      <c r="I1499" s="12" t="inlineStr">
        <is>
          <t>Professional decision</t>
        </is>
      </c>
      <c r="J1499" s="12" t="inlineStr">
        <is>
          <t>Maya Chen, Owner Project Controls</t>
        </is>
      </c>
      <c r="K1499" s="12" t="inlineStr">
        <is>
          <t>Professional</t>
        </is>
      </c>
      <c r="L1499" s="12" t="inlineStr"/>
      <c r="M1499" s="12" t="inlineStr">
        <is>
          <t>Initial</t>
        </is>
      </c>
      <c r="N1499" s="12" t="inlineStr">
        <is>
          <t>Rev 0</t>
        </is>
      </c>
      <c r="O1499" s="12" t="inlineStr">
        <is>
          <t>R1036-v2</t>
        </is>
      </c>
      <c r="P1499" s="12" t="inlineStr"/>
      <c r="Q1499" s="12" t="inlineStr"/>
      <c r="R1499" s="12" t="inlineStr"/>
      <c r="S1499" s="12" t="inlineStr"/>
      <c r="T1499" s="12" t="inlineStr">
        <is>
          <t>Group decision (182 records sharing one decision state)</t>
        </is>
      </c>
      <c r="U1499" s="12" t="inlineStr"/>
      <c r="V1499" s="12" t="inlineStr"/>
      <c r="W1499" s="12" t="inlineStr"/>
    </row>
    <row r="1500" ht="64" customHeight="1">
      <c r="A1500" s="12" t="inlineStr">
        <is>
          <t>UNSURE</t>
        </is>
      </c>
      <c r="B1500" s="12" t="inlineStr"/>
      <c r="C1500" s="12" t="inlineStr">
        <is>
          <t>Contractor Programme</t>
        </is>
      </c>
      <c r="D1500" s="12" t="inlineStr">
        <is>
          <t>SCH-06-137</t>
        </is>
      </c>
      <c r="E1500" s="12" t="inlineStr">
        <is>
          <t>Fleet package: commercial change review - inspection</t>
        </is>
      </c>
      <c r="F1500" s="12" t="inlineStr">
        <is>
          <t>UNSURE</t>
        </is>
      </c>
      <c r="G1500" s="12" t="inlineStr">
        <is>
          <t>APPROVED</t>
        </is>
      </c>
      <c r="H1500" s="12" t="inlineStr">
        <is>
          <t>New</t>
        </is>
      </c>
      <c r="I1500" s="12" t="inlineStr">
        <is>
          <t>Professional decision</t>
        </is>
      </c>
      <c r="J1500" s="12" t="inlineStr">
        <is>
          <t>Maya Chen, Owner Project Controls</t>
        </is>
      </c>
      <c r="K1500" s="12" t="inlineStr">
        <is>
          <t>Professional</t>
        </is>
      </c>
      <c r="L1500" s="12" t="inlineStr"/>
      <c r="M1500" s="12" t="inlineStr">
        <is>
          <t>Initial</t>
        </is>
      </c>
      <c r="N1500" s="12" t="inlineStr">
        <is>
          <t>Rev 0</t>
        </is>
      </c>
      <c r="O1500" s="12" t="inlineStr">
        <is>
          <t>R1037-v2</t>
        </is>
      </c>
      <c r="P1500" s="12" t="inlineStr"/>
      <c r="Q1500" s="12" t="inlineStr"/>
      <c r="R1500" s="12" t="inlineStr"/>
      <c r="S1500" s="12" t="inlineStr"/>
      <c r="T1500" s="12" t="inlineStr">
        <is>
          <t>Group decision (182 records sharing one decision state)</t>
        </is>
      </c>
      <c r="U1500" s="12" t="inlineStr"/>
      <c r="V1500" s="12" t="inlineStr"/>
      <c r="W1500" s="12" t="inlineStr"/>
    </row>
    <row r="1501" ht="64" customHeight="1">
      <c r="A1501" s="12" t="inlineStr">
        <is>
          <t>UNSURE</t>
        </is>
      </c>
      <c r="B1501" s="12" t="inlineStr"/>
      <c r="C1501" s="12" t="inlineStr">
        <is>
          <t>Contractor Programme</t>
        </is>
      </c>
      <c r="D1501" s="12" t="inlineStr">
        <is>
          <t>SCH-06-138</t>
        </is>
      </c>
      <c r="E1501" s="12" t="inlineStr">
        <is>
          <t>Program office: design-package integration review - turnover</t>
        </is>
      </c>
      <c r="F1501" s="12" t="inlineStr">
        <is>
          <t>UNSURE</t>
        </is>
      </c>
      <c r="G1501" s="12" t="inlineStr">
        <is>
          <t>APPROVED</t>
        </is>
      </c>
      <c r="H1501" s="12" t="inlineStr">
        <is>
          <t>New</t>
        </is>
      </c>
      <c r="I1501" s="12" t="inlineStr">
        <is>
          <t>Professional decision</t>
        </is>
      </c>
      <c r="J1501" s="12" t="inlineStr">
        <is>
          <t>Maya Chen, Owner Project Controls</t>
        </is>
      </c>
      <c r="K1501" s="12" t="inlineStr">
        <is>
          <t>Professional</t>
        </is>
      </c>
      <c r="L1501" s="12" t="inlineStr"/>
      <c r="M1501" s="12" t="inlineStr">
        <is>
          <t>Initial</t>
        </is>
      </c>
      <c r="N1501" s="12" t="inlineStr">
        <is>
          <t>Rev 0</t>
        </is>
      </c>
      <c r="O1501" s="12" t="inlineStr">
        <is>
          <t>R1038-v2</t>
        </is>
      </c>
      <c r="P1501" s="12" t="inlineStr"/>
      <c r="Q1501" s="12" t="inlineStr"/>
      <c r="R1501" s="12" t="inlineStr"/>
      <c r="S1501" s="12" t="inlineStr"/>
      <c r="T1501" s="12" t="inlineStr">
        <is>
          <t>Group decision (182 records sharing one decision state)</t>
        </is>
      </c>
      <c r="U1501" s="12" t="inlineStr"/>
      <c r="V1501" s="12" t="inlineStr"/>
      <c r="W1501" s="12" t="inlineStr"/>
    </row>
    <row r="1502" ht="64" customHeight="1">
      <c r="A1502" s="12" t="inlineStr">
        <is>
          <t>UNSURE</t>
        </is>
      </c>
      <c r="B1502" s="12" t="inlineStr"/>
      <c r="C1502" s="12" t="inlineStr">
        <is>
          <t>Contractor Programme</t>
        </is>
      </c>
      <c r="D1502" s="12" t="inlineStr">
        <is>
          <t>SCH-06-139</t>
        </is>
      </c>
      <c r="E1502" s="12" t="inlineStr">
        <is>
          <t>Civil package: executive reporting close - release</t>
        </is>
      </c>
      <c r="F1502" s="12" t="inlineStr">
        <is>
          <t>UNSURE</t>
        </is>
      </c>
      <c r="G1502" s="12" t="inlineStr">
        <is>
          <t>APPROVED</t>
        </is>
      </c>
      <c r="H1502" s="12" t="inlineStr">
        <is>
          <t>New</t>
        </is>
      </c>
      <c r="I1502" s="12" t="inlineStr">
        <is>
          <t>Professional decision</t>
        </is>
      </c>
      <c r="J1502" s="12" t="inlineStr">
        <is>
          <t>Maya Chen, Owner Project Controls</t>
        </is>
      </c>
      <c r="K1502" s="12" t="inlineStr">
        <is>
          <t>Professional</t>
        </is>
      </c>
      <c r="L1502" s="12" t="inlineStr"/>
      <c r="M1502" s="12" t="inlineStr">
        <is>
          <t>Initial</t>
        </is>
      </c>
      <c r="N1502" s="12" t="inlineStr">
        <is>
          <t>Rev 0</t>
        </is>
      </c>
      <c r="O1502" s="12" t="inlineStr">
        <is>
          <t>R1039-v2</t>
        </is>
      </c>
      <c r="P1502" s="12" t="inlineStr"/>
      <c r="Q1502" s="12" t="inlineStr"/>
      <c r="R1502" s="12" t="inlineStr"/>
      <c r="S1502" s="12" t="inlineStr"/>
      <c r="T1502" s="12" t="inlineStr">
        <is>
          <t>Group decision (182 records sharing one decision state)</t>
        </is>
      </c>
      <c r="U1502" s="12" t="inlineStr"/>
      <c r="V1502" s="12" t="inlineStr"/>
      <c r="W1502" s="12" t="inlineStr"/>
    </row>
    <row r="1503" ht="64" customHeight="1">
      <c r="A1503" s="12" t="inlineStr">
        <is>
          <t>UNSURE</t>
        </is>
      </c>
      <c r="B1503" s="12" t="inlineStr"/>
      <c r="C1503" s="12" t="inlineStr">
        <is>
          <t>Contractor Programme</t>
        </is>
      </c>
      <c r="D1503" s="12" t="inlineStr">
        <is>
          <t>SCH-06-140</t>
        </is>
      </c>
      <c r="E1503" s="12" t="inlineStr">
        <is>
          <t>Stations package: permit coordination - field start</t>
        </is>
      </c>
      <c r="F1503" s="12" t="inlineStr">
        <is>
          <t>UNSURE</t>
        </is>
      </c>
      <c r="G1503" s="12" t="inlineStr">
        <is>
          <t>APPROVED</t>
        </is>
      </c>
      <c r="H1503" s="12" t="inlineStr">
        <is>
          <t>New</t>
        </is>
      </c>
      <c r="I1503" s="12" t="inlineStr">
        <is>
          <t>Professional decision</t>
        </is>
      </c>
      <c r="J1503" s="12" t="inlineStr">
        <is>
          <t>Maya Chen, Owner Project Controls</t>
        </is>
      </c>
      <c r="K1503" s="12" t="inlineStr">
        <is>
          <t>Professional</t>
        </is>
      </c>
      <c r="L1503" s="12" t="inlineStr"/>
      <c r="M1503" s="12" t="inlineStr">
        <is>
          <t>Initial</t>
        </is>
      </c>
      <c r="N1503" s="12" t="inlineStr">
        <is>
          <t>Rev 0</t>
        </is>
      </c>
      <c r="O1503" s="12" t="inlineStr">
        <is>
          <t>R1040-v2</t>
        </is>
      </c>
      <c r="P1503" s="12" t="inlineStr"/>
      <c r="Q1503" s="12" t="inlineStr"/>
      <c r="R1503" s="12" t="inlineStr"/>
      <c r="S1503" s="12" t="inlineStr"/>
      <c r="T1503" s="12" t="inlineStr">
        <is>
          <t>Group decision (182 records sharing one decision state)</t>
        </is>
      </c>
      <c r="U1503" s="12" t="inlineStr"/>
      <c r="V1503" s="12" t="inlineStr"/>
      <c r="W1503" s="12" t="inlineStr"/>
    </row>
    <row r="1504" ht="64" customHeight="1">
      <c r="A1504" s="12" t="inlineStr">
        <is>
          <t>UNSURE</t>
        </is>
      </c>
      <c r="B1504" s="12" t="inlineStr"/>
      <c r="C1504" s="12" t="inlineStr">
        <is>
          <t>Contractor Programme</t>
        </is>
      </c>
      <c r="D1504" s="12" t="inlineStr">
        <is>
          <t>SCH-06-141</t>
        </is>
      </c>
      <c r="E1504" s="12" t="inlineStr">
        <is>
          <t>Systems package: delivery risk workshop - installation</t>
        </is>
      </c>
      <c r="F1504" s="12" t="inlineStr">
        <is>
          <t>UNSURE</t>
        </is>
      </c>
      <c r="G1504" s="12" t="inlineStr">
        <is>
          <t>APPROVED</t>
        </is>
      </c>
      <c r="H1504" s="12" t="inlineStr">
        <is>
          <t>New</t>
        </is>
      </c>
      <c r="I1504" s="12" t="inlineStr">
        <is>
          <t>Professional decision</t>
        </is>
      </c>
      <c r="J1504" s="12" t="inlineStr">
        <is>
          <t>Maya Chen, Owner Project Controls</t>
        </is>
      </c>
      <c r="K1504" s="12" t="inlineStr">
        <is>
          <t>Professional</t>
        </is>
      </c>
      <c r="L1504" s="12" t="inlineStr"/>
      <c r="M1504" s="12" t="inlineStr">
        <is>
          <t>Initial</t>
        </is>
      </c>
      <c r="N1504" s="12" t="inlineStr">
        <is>
          <t>Rev 0</t>
        </is>
      </c>
      <c r="O1504" s="12" t="inlineStr">
        <is>
          <t>R1041-v2</t>
        </is>
      </c>
      <c r="P1504" s="12" t="inlineStr"/>
      <c r="Q1504" s="12" t="inlineStr"/>
      <c r="R1504" s="12" t="inlineStr"/>
      <c r="S1504" s="12" t="inlineStr"/>
      <c r="T1504" s="12" t="inlineStr">
        <is>
          <t>Group decision (182 records sharing one decision state)</t>
        </is>
      </c>
      <c r="U1504" s="12" t="inlineStr"/>
      <c r="V1504" s="12" t="inlineStr"/>
      <c r="W1504" s="12" t="inlineStr"/>
    </row>
    <row r="1505" ht="64" customHeight="1">
      <c r="A1505" s="12" t="inlineStr">
        <is>
          <t>UNSURE</t>
        </is>
      </c>
      <c r="B1505" s="12" t="inlineStr"/>
      <c r="C1505" s="12" t="inlineStr">
        <is>
          <t>Contractor Programme</t>
        </is>
      </c>
      <c r="D1505" s="12" t="inlineStr">
        <is>
          <t>SCH-06-142</t>
        </is>
      </c>
      <c r="E1505" s="12" t="inlineStr">
        <is>
          <t>Fleet package: monthly controls cut-off - inspection</t>
        </is>
      </c>
      <c r="F1505" s="12" t="inlineStr">
        <is>
          <t>UNSURE</t>
        </is>
      </c>
      <c r="G1505" s="12" t="inlineStr">
        <is>
          <t>APPROVED</t>
        </is>
      </c>
      <c r="H1505" s="12" t="inlineStr">
        <is>
          <t>New</t>
        </is>
      </c>
      <c r="I1505" s="12" t="inlineStr">
        <is>
          <t>Professional decision</t>
        </is>
      </c>
      <c r="J1505" s="12" t="inlineStr">
        <is>
          <t>Maya Chen, Owner Project Controls</t>
        </is>
      </c>
      <c r="K1505" s="12" t="inlineStr">
        <is>
          <t>Professional</t>
        </is>
      </c>
      <c r="L1505" s="12" t="inlineStr"/>
      <c r="M1505" s="12" t="inlineStr">
        <is>
          <t>Initial</t>
        </is>
      </c>
      <c r="N1505" s="12" t="inlineStr">
        <is>
          <t>Rev 0</t>
        </is>
      </c>
      <c r="O1505" s="12" t="inlineStr">
        <is>
          <t>R1042-v2</t>
        </is>
      </c>
      <c r="P1505" s="12" t="inlineStr"/>
      <c r="Q1505" s="12" t="inlineStr"/>
      <c r="R1505" s="12" t="inlineStr"/>
      <c r="S1505" s="12" t="inlineStr"/>
      <c r="T1505" s="12" t="inlineStr">
        <is>
          <t>Group decision (182 records sharing one decision state)</t>
        </is>
      </c>
      <c r="U1505" s="12" t="inlineStr"/>
      <c r="V1505" s="12" t="inlineStr"/>
      <c r="W1505" s="12" t="inlineStr"/>
    </row>
    <row r="1506" ht="64" customHeight="1">
      <c r="A1506" s="12" t="inlineStr">
        <is>
          <t>UNSURE</t>
        </is>
      </c>
      <c r="B1506" s="12" t="inlineStr"/>
      <c r="C1506" s="12" t="inlineStr">
        <is>
          <t>Contractor Programme</t>
        </is>
      </c>
      <c r="D1506" s="12" t="inlineStr">
        <is>
          <t>SCH-06-143</t>
        </is>
      </c>
      <c r="E1506" s="12" t="inlineStr">
        <is>
          <t>Program office: stakeholder interface meeting - turnover</t>
        </is>
      </c>
      <c r="F1506" s="12" t="inlineStr">
        <is>
          <t>UNSURE</t>
        </is>
      </c>
      <c r="G1506" s="12" t="inlineStr">
        <is>
          <t>APPROVED</t>
        </is>
      </c>
      <c r="H1506" s="12" t="inlineStr">
        <is>
          <t>New</t>
        </is>
      </c>
      <c r="I1506" s="12" t="inlineStr">
        <is>
          <t>Professional decision</t>
        </is>
      </c>
      <c r="J1506" s="12" t="inlineStr">
        <is>
          <t>Maya Chen, Owner Project Controls</t>
        </is>
      </c>
      <c r="K1506" s="12" t="inlineStr">
        <is>
          <t>Professional</t>
        </is>
      </c>
      <c r="L1506" s="12" t="inlineStr"/>
      <c r="M1506" s="12" t="inlineStr">
        <is>
          <t>Initial</t>
        </is>
      </c>
      <c r="N1506" s="12" t="inlineStr">
        <is>
          <t>Rev 0</t>
        </is>
      </c>
      <c r="O1506" s="12" t="inlineStr">
        <is>
          <t>R1043-v2</t>
        </is>
      </c>
      <c r="P1506" s="12" t="inlineStr"/>
      <c r="Q1506" s="12" t="inlineStr"/>
      <c r="R1506" s="12" t="inlineStr"/>
      <c r="S1506" s="12" t="inlineStr"/>
      <c r="T1506" s="12" t="inlineStr">
        <is>
          <t>Group decision (182 records sharing one decision state)</t>
        </is>
      </c>
      <c r="U1506" s="12" t="inlineStr"/>
      <c r="V1506" s="12" t="inlineStr"/>
      <c r="W1506" s="12" t="inlineStr"/>
    </row>
    <row r="1507" ht="64" customHeight="1">
      <c r="A1507" s="12" t="inlineStr">
        <is>
          <t>UNSURE</t>
        </is>
      </c>
      <c r="B1507" s="12" t="inlineStr"/>
      <c r="C1507" s="12" t="inlineStr">
        <is>
          <t>Contractor Programme</t>
        </is>
      </c>
      <c r="D1507" s="12" t="inlineStr">
        <is>
          <t>SCH-06-144</t>
        </is>
      </c>
      <c r="E1507" s="12" t="inlineStr">
        <is>
          <t>Civil package: baseline change control - release</t>
        </is>
      </c>
      <c r="F1507" s="12" t="inlineStr">
        <is>
          <t>UNSURE</t>
        </is>
      </c>
      <c r="G1507" s="12" t="inlineStr">
        <is>
          <t>APPROVED</t>
        </is>
      </c>
      <c r="H1507" s="12" t="inlineStr">
        <is>
          <t>New</t>
        </is>
      </c>
      <c r="I1507" s="12" t="inlineStr">
        <is>
          <t>Professional decision</t>
        </is>
      </c>
      <c r="J1507" s="12" t="inlineStr">
        <is>
          <t>Maya Chen, Owner Project Controls</t>
        </is>
      </c>
      <c r="K1507" s="12" t="inlineStr">
        <is>
          <t>Professional</t>
        </is>
      </c>
      <c r="L1507" s="12" t="inlineStr"/>
      <c r="M1507" s="12" t="inlineStr">
        <is>
          <t>Initial</t>
        </is>
      </c>
      <c r="N1507" s="12" t="inlineStr">
        <is>
          <t>Rev 0</t>
        </is>
      </c>
      <c r="O1507" s="12" t="inlineStr">
        <is>
          <t>R1044-v2</t>
        </is>
      </c>
      <c r="P1507" s="12" t="inlineStr"/>
      <c r="Q1507" s="12" t="inlineStr"/>
      <c r="R1507" s="12" t="inlineStr"/>
      <c r="S1507" s="12" t="inlineStr"/>
      <c r="T1507" s="12" t="inlineStr">
        <is>
          <t>Group decision (182 records sharing one decision state)</t>
        </is>
      </c>
      <c r="U1507" s="12" t="inlineStr"/>
      <c r="V1507" s="12" t="inlineStr"/>
      <c r="W1507" s="12" t="inlineStr"/>
    </row>
    <row r="1508" ht="64" customHeight="1">
      <c r="A1508" s="12" t="inlineStr">
        <is>
          <t>UNSURE</t>
        </is>
      </c>
      <c r="B1508" s="12" t="inlineStr"/>
      <c r="C1508" s="12" t="inlineStr">
        <is>
          <t>Contractor Programme</t>
        </is>
      </c>
      <c r="D1508" s="12" t="inlineStr">
        <is>
          <t>SCH-06-145</t>
        </is>
      </c>
      <c r="E1508" s="12" t="inlineStr">
        <is>
          <t>Stations package: commercial change review - field start</t>
        </is>
      </c>
      <c r="F1508" s="12" t="inlineStr">
        <is>
          <t>UNSURE</t>
        </is>
      </c>
      <c r="G1508" s="12" t="inlineStr">
        <is>
          <t>APPROVED</t>
        </is>
      </c>
      <c r="H1508" s="12" t="inlineStr">
        <is>
          <t>New</t>
        </is>
      </c>
      <c r="I1508" s="12" t="inlineStr">
        <is>
          <t>Professional decision</t>
        </is>
      </c>
      <c r="J1508" s="12" t="inlineStr">
        <is>
          <t>Maya Chen, Owner Project Controls</t>
        </is>
      </c>
      <c r="K1508" s="12" t="inlineStr">
        <is>
          <t>Professional</t>
        </is>
      </c>
      <c r="L1508" s="12" t="inlineStr"/>
      <c r="M1508" s="12" t="inlineStr">
        <is>
          <t>Initial</t>
        </is>
      </c>
      <c r="N1508" s="12" t="inlineStr">
        <is>
          <t>Rev 0</t>
        </is>
      </c>
      <c r="O1508" s="12" t="inlineStr">
        <is>
          <t>R1045-v2</t>
        </is>
      </c>
      <c r="P1508" s="12" t="inlineStr"/>
      <c r="Q1508" s="12" t="inlineStr"/>
      <c r="R1508" s="12" t="inlineStr"/>
      <c r="S1508" s="12" t="inlineStr"/>
      <c r="T1508" s="12" t="inlineStr">
        <is>
          <t>Group decision (182 records sharing one decision state)</t>
        </is>
      </c>
      <c r="U1508" s="12" t="inlineStr"/>
      <c r="V1508" s="12" t="inlineStr"/>
      <c r="W1508" s="12" t="inlineStr"/>
    </row>
    <row r="1509" ht="64" customHeight="1">
      <c r="A1509" s="12" t="inlineStr">
        <is>
          <t>UNSURE</t>
        </is>
      </c>
      <c r="B1509" s="12" t="inlineStr"/>
      <c r="C1509" s="12" t="inlineStr">
        <is>
          <t>Contractor Programme</t>
        </is>
      </c>
      <c r="D1509" s="12" t="inlineStr">
        <is>
          <t>SCH-06-146</t>
        </is>
      </c>
      <c r="E1509" s="12" t="inlineStr">
        <is>
          <t>Systems package: design-package integration review - installation</t>
        </is>
      </c>
      <c r="F1509" s="12" t="inlineStr">
        <is>
          <t>UNSURE</t>
        </is>
      </c>
      <c r="G1509" s="12" t="inlineStr">
        <is>
          <t>APPROVED</t>
        </is>
      </c>
      <c r="H1509" s="12" t="inlineStr">
        <is>
          <t>New</t>
        </is>
      </c>
      <c r="I1509" s="12" t="inlineStr">
        <is>
          <t>Professional decision</t>
        </is>
      </c>
      <c r="J1509" s="12" t="inlineStr">
        <is>
          <t>Maya Chen, Owner Project Controls</t>
        </is>
      </c>
      <c r="K1509" s="12" t="inlineStr">
        <is>
          <t>Professional</t>
        </is>
      </c>
      <c r="L1509" s="12" t="inlineStr"/>
      <c r="M1509" s="12" t="inlineStr">
        <is>
          <t>Initial</t>
        </is>
      </c>
      <c r="N1509" s="12" t="inlineStr">
        <is>
          <t>Rev 0</t>
        </is>
      </c>
      <c r="O1509" s="12" t="inlineStr">
        <is>
          <t>R1046-v2</t>
        </is>
      </c>
      <c r="P1509" s="12" t="inlineStr"/>
      <c r="Q1509" s="12" t="inlineStr"/>
      <c r="R1509" s="12" t="inlineStr"/>
      <c r="S1509" s="12" t="inlineStr"/>
      <c r="T1509" s="12" t="inlineStr">
        <is>
          <t>Group decision (182 records sharing one decision state)</t>
        </is>
      </c>
      <c r="U1509" s="12" t="inlineStr"/>
      <c r="V1509" s="12" t="inlineStr"/>
      <c r="W1509" s="12" t="inlineStr"/>
    </row>
    <row r="1510" ht="64" customHeight="1">
      <c r="A1510" s="12" t="inlineStr">
        <is>
          <t>UNSURE</t>
        </is>
      </c>
      <c r="B1510" s="12" t="inlineStr"/>
      <c r="C1510" s="12" t="inlineStr">
        <is>
          <t>Contractor Programme</t>
        </is>
      </c>
      <c r="D1510" s="12" t="inlineStr">
        <is>
          <t>SCH-06-147</t>
        </is>
      </c>
      <c r="E1510" s="12" t="inlineStr">
        <is>
          <t>Fleet package: executive reporting close - inspection</t>
        </is>
      </c>
      <c r="F1510" s="12" t="inlineStr">
        <is>
          <t>UNSURE</t>
        </is>
      </c>
      <c r="G1510" s="12" t="inlineStr">
        <is>
          <t>APPROVED</t>
        </is>
      </c>
      <c r="H1510" s="12" t="inlineStr">
        <is>
          <t>New</t>
        </is>
      </c>
      <c r="I1510" s="12" t="inlineStr">
        <is>
          <t>Professional decision</t>
        </is>
      </c>
      <c r="J1510" s="12" t="inlineStr">
        <is>
          <t>Maya Chen, Owner Project Controls</t>
        </is>
      </c>
      <c r="K1510" s="12" t="inlineStr">
        <is>
          <t>Professional</t>
        </is>
      </c>
      <c r="L1510" s="12" t="inlineStr"/>
      <c r="M1510" s="12" t="inlineStr">
        <is>
          <t>Initial</t>
        </is>
      </c>
      <c r="N1510" s="12" t="inlineStr">
        <is>
          <t>Rev 0</t>
        </is>
      </c>
      <c r="O1510" s="12" t="inlineStr">
        <is>
          <t>R1047-v2</t>
        </is>
      </c>
      <c r="P1510" s="12" t="inlineStr"/>
      <c r="Q1510" s="12" t="inlineStr"/>
      <c r="R1510" s="12" t="inlineStr"/>
      <c r="S1510" s="12" t="inlineStr"/>
      <c r="T1510" s="12" t="inlineStr">
        <is>
          <t>Group decision (182 records sharing one decision state)</t>
        </is>
      </c>
      <c r="U1510" s="12" t="inlineStr"/>
      <c r="V1510" s="12" t="inlineStr"/>
      <c r="W1510" s="12" t="inlineStr"/>
    </row>
    <row r="1511" ht="64" customHeight="1">
      <c r="A1511" s="12" t="inlineStr">
        <is>
          <t>UNSURE</t>
        </is>
      </c>
      <c r="B1511" s="12" t="inlineStr"/>
      <c r="C1511" s="12" t="inlineStr">
        <is>
          <t>Contractor Programme</t>
        </is>
      </c>
      <c r="D1511" s="12" t="inlineStr">
        <is>
          <t>SCH-06-148</t>
        </is>
      </c>
      <c r="E1511" s="12" t="inlineStr">
        <is>
          <t>Program office: permit coordination - turnover</t>
        </is>
      </c>
      <c r="F1511" s="12" t="inlineStr">
        <is>
          <t>UNSURE</t>
        </is>
      </c>
      <c r="G1511" s="12" t="inlineStr">
        <is>
          <t>APPROVED</t>
        </is>
      </c>
      <c r="H1511" s="12" t="inlineStr">
        <is>
          <t>New</t>
        </is>
      </c>
      <c r="I1511" s="12" t="inlineStr">
        <is>
          <t>Professional decision</t>
        </is>
      </c>
      <c r="J1511" s="12" t="inlineStr">
        <is>
          <t>Maya Chen, Owner Project Controls</t>
        </is>
      </c>
      <c r="K1511" s="12" t="inlineStr">
        <is>
          <t>Professional</t>
        </is>
      </c>
      <c r="L1511" s="12" t="inlineStr"/>
      <c r="M1511" s="12" t="inlineStr">
        <is>
          <t>Initial</t>
        </is>
      </c>
      <c r="N1511" s="12" t="inlineStr">
        <is>
          <t>Rev 0</t>
        </is>
      </c>
      <c r="O1511" s="12" t="inlineStr">
        <is>
          <t>R1048-v2</t>
        </is>
      </c>
      <c r="P1511" s="12" t="inlineStr"/>
      <c r="Q1511" s="12" t="inlineStr"/>
      <c r="R1511" s="12" t="inlineStr"/>
      <c r="S1511" s="12" t="inlineStr"/>
      <c r="T1511" s="12" t="inlineStr">
        <is>
          <t>Group decision (182 records sharing one decision state)</t>
        </is>
      </c>
      <c r="U1511" s="12" t="inlineStr"/>
      <c r="V1511" s="12" t="inlineStr"/>
      <c r="W1511" s="12" t="inlineStr"/>
    </row>
    <row r="1512" ht="64" customHeight="1">
      <c r="A1512" s="12" t="inlineStr">
        <is>
          <t>UNSURE</t>
        </is>
      </c>
      <c r="B1512" s="12" t="inlineStr"/>
      <c r="C1512" s="12" t="inlineStr">
        <is>
          <t>Contractor Programme</t>
        </is>
      </c>
      <c r="D1512" s="12" t="inlineStr">
        <is>
          <t>SCH-06-149</t>
        </is>
      </c>
      <c r="E1512" s="12" t="inlineStr">
        <is>
          <t>Civil package: delivery risk workshop - release</t>
        </is>
      </c>
      <c r="F1512" s="12" t="inlineStr">
        <is>
          <t>UNSURE</t>
        </is>
      </c>
      <c r="G1512" s="12" t="inlineStr">
        <is>
          <t>APPROVED</t>
        </is>
      </c>
      <c r="H1512" s="12" t="inlineStr">
        <is>
          <t>New</t>
        </is>
      </c>
      <c r="I1512" s="12" t="inlineStr">
        <is>
          <t>Professional decision</t>
        </is>
      </c>
      <c r="J1512" s="12" t="inlineStr">
        <is>
          <t>Maya Chen, Owner Project Controls</t>
        </is>
      </c>
      <c r="K1512" s="12" t="inlineStr">
        <is>
          <t>Professional</t>
        </is>
      </c>
      <c r="L1512" s="12" t="inlineStr"/>
      <c r="M1512" s="12" t="inlineStr">
        <is>
          <t>Initial</t>
        </is>
      </c>
      <c r="N1512" s="12" t="inlineStr">
        <is>
          <t>Rev 0</t>
        </is>
      </c>
      <c r="O1512" s="12" t="inlineStr">
        <is>
          <t>R1049-v2</t>
        </is>
      </c>
      <c r="P1512" s="12" t="inlineStr"/>
      <c r="Q1512" s="12" t="inlineStr"/>
      <c r="R1512" s="12" t="inlineStr"/>
      <c r="S1512" s="12" t="inlineStr"/>
      <c r="T1512" s="12" t="inlineStr">
        <is>
          <t>Group decision (182 records sharing one decision state)</t>
        </is>
      </c>
      <c r="U1512" s="12" t="inlineStr"/>
      <c r="V1512" s="12" t="inlineStr"/>
      <c r="W1512" s="12" t="inlineStr"/>
    </row>
    <row r="1513" ht="64" customHeight="1">
      <c r="A1513" s="12" t="inlineStr">
        <is>
          <t>UNSURE</t>
        </is>
      </c>
      <c r="B1513" s="12" t="inlineStr"/>
      <c r="C1513" s="12" t="inlineStr">
        <is>
          <t>Contractor Programme</t>
        </is>
      </c>
      <c r="D1513" s="12" t="inlineStr">
        <is>
          <t>SCH-06-150</t>
        </is>
      </c>
      <c r="E1513" s="12" t="inlineStr">
        <is>
          <t>Stations package: monthly controls cut-off - field start</t>
        </is>
      </c>
      <c r="F1513" s="12" t="inlineStr">
        <is>
          <t>UNSURE</t>
        </is>
      </c>
      <c r="G1513" s="12" t="inlineStr">
        <is>
          <t>APPROVED</t>
        </is>
      </c>
      <c r="H1513" s="12" t="inlineStr">
        <is>
          <t>New</t>
        </is>
      </c>
      <c r="I1513" s="12" t="inlineStr">
        <is>
          <t>Professional decision</t>
        </is>
      </c>
      <c r="J1513" s="12" t="inlineStr">
        <is>
          <t>Maya Chen, Owner Project Controls</t>
        </is>
      </c>
      <c r="K1513" s="12" t="inlineStr">
        <is>
          <t>Professional</t>
        </is>
      </c>
      <c r="L1513" s="12" t="inlineStr"/>
      <c r="M1513" s="12" t="inlineStr">
        <is>
          <t>Initial</t>
        </is>
      </c>
      <c r="N1513" s="12" t="inlineStr">
        <is>
          <t>Rev 0</t>
        </is>
      </c>
      <c r="O1513" s="12" t="inlineStr">
        <is>
          <t>R1050-v2</t>
        </is>
      </c>
      <c r="P1513" s="12" t="inlineStr"/>
      <c r="Q1513" s="12" t="inlineStr"/>
      <c r="R1513" s="12" t="inlineStr"/>
      <c r="S1513" s="12" t="inlineStr"/>
      <c r="T1513" s="12" t="inlineStr">
        <is>
          <t>Group decision (182 records sharing one decision state)</t>
        </is>
      </c>
      <c r="U1513" s="12" t="inlineStr"/>
      <c r="V1513" s="12" t="inlineStr"/>
      <c r="W1513" s="12" t="inlineStr"/>
    </row>
    <row r="1514" ht="64" customHeight="1">
      <c r="A1514" s="12" t="inlineStr">
        <is>
          <t>UNSURE</t>
        </is>
      </c>
      <c r="B1514" s="12" t="inlineStr"/>
      <c r="C1514" s="12" t="inlineStr">
        <is>
          <t>Contractor Programme</t>
        </is>
      </c>
      <c r="D1514" s="12" t="inlineStr">
        <is>
          <t>SCH-06-151</t>
        </is>
      </c>
      <c r="E1514" s="12" t="inlineStr">
        <is>
          <t>Systems package: stakeholder interface meeting - installation</t>
        </is>
      </c>
      <c r="F1514" s="12" t="inlineStr">
        <is>
          <t>UNSURE</t>
        </is>
      </c>
      <c r="G1514" s="12" t="inlineStr">
        <is>
          <t>APPROVED</t>
        </is>
      </c>
      <c r="H1514" s="12" t="inlineStr">
        <is>
          <t>New</t>
        </is>
      </c>
      <c r="I1514" s="12" t="inlineStr">
        <is>
          <t>Professional decision</t>
        </is>
      </c>
      <c r="J1514" s="12" t="inlineStr">
        <is>
          <t>Maya Chen, Owner Project Controls</t>
        </is>
      </c>
      <c r="K1514" s="12" t="inlineStr">
        <is>
          <t>Professional</t>
        </is>
      </c>
      <c r="L1514" s="12" t="inlineStr"/>
      <c r="M1514" s="12" t="inlineStr">
        <is>
          <t>Initial</t>
        </is>
      </c>
      <c r="N1514" s="12" t="inlineStr">
        <is>
          <t>Rev 0</t>
        </is>
      </c>
      <c r="O1514" s="12" t="inlineStr">
        <is>
          <t>R1051-v2</t>
        </is>
      </c>
      <c r="P1514" s="12" t="inlineStr"/>
      <c r="Q1514" s="12" t="inlineStr"/>
      <c r="R1514" s="12" t="inlineStr"/>
      <c r="S1514" s="12" t="inlineStr"/>
      <c r="T1514" s="12" t="inlineStr">
        <is>
          <t>Group decision (182 records sharing one decision state)</t>
        </is>
      </c>
      <c r="U1514" s="12" t="inlineStr"/>
      <c r="V1514" s="12" t="inlineStr"/>
      <c r="W1514" s="12" t="inlineStr"/>
    </row>
    <row r="1515" ht="64" customHeight="1">
      <c r="A1515" s="12" t="inlineStr">
        <is>
          <t>UNSURE</t>
        </is>
      </c>
      <c r="B1515" s="12" t="inlineStr"/>
      <c r="C1515" s="12" t="inlineStr">
        <is>
          <t>Contractor Programme</t>
        </is>
      </c>
      <c r="D1515" s="12" t="inlineStr">
        <is>
          <t>SCH-06-152</t>
        </is>
      </c>
      <c r="E1515" s="12" t="inlineStr">
        <is>
          <t>Fleet package: baseline change control - inspection</t>
        </is>
      </c>
      <c r="F1515" s="12" t="inlineStr">
        <is>
          <t>UNSURE</t>
        </is>
      </c>
      <c r="G1515" s="12" t="inlineStr">
        <is>
          <t>APPROVED</t>
        </is>
      </c>
      <c r="H1515" s="12" t="inlineStr">
        <is>
          <t>New</t>
        </is>
      </c>
      <c r="I1515" s="12" t="inlineStr">
        <is>
          <t>Professional decision</t>
        </is>
      </c>
      <c r="J1515" s="12" t="inlineStr">
        <is>
          <t>Maya Chen, Owner Project Controls</t>
        </is>
      </c>
      <c r="K1515" s="12" t="inlineStr">
        <is>
          <t>Professional</t>
        </is>
      </c>
      <c r="L1515" s="12" t="inlineStr"/>
      <c r="M1515" s="12" t="inlineStr">
        <is>
          <t>Initial</t>
        </is>
      </c>
      <c r="N1515" s="12" t="inlineStr">
        <is>
          <t>Rev 0</t>
        </is>
      </c>
      <c r="O1515" s="12" t="inlineStr">
        <is>
          <t>R1052-v2</t>
        </is>
      </c>
      <c r="P1515" s="12" t="inlineStr"/>
      <c r="Q1515" s="12" t="inlineStr"/>
      <c r="R1515" s="12" t="inlineStr"/>
      <c r="S1515" s="12" t="inlineStr"/>
      <c r="T1515" s="12" t="inlineStr">
        <is>
          <t>Group decision (182 records sharing one decision state)</t>
        </is>
      </c>
      <c r="U1515" s="12" t="inlineStr"/>
      <c r="V1515" s="12" t="inlineStr"/>
      <c r="W1515" s="12" t="inlineStr"/>
    </row>
    <row r="1516" ht="64" customHeight="1">
      <c r="A1516" s="12" t="inlineStr">
        <is>
          <t>UNSURE</t>
        </is>
      </c>
      <c r="B1516" s="12" t="inlineStr"/>
      <c r="C1516" s="12" t="inlineStr">
        <is>
          <t>Contractor Programme</t>
        </is>
      </c>
      <c r="D1516" s="12" t="inlineStr">
        <is>
          <t>SCH-06-153</t>
        </is>
      </c>
      <c r="E1516" s="12" t="inlineStr">
        <is>
          <t>Program office: commercial change review - turnover</t>
        </is>
      </c>
      <c r="F1516" s="12" t="inlineStr">
        <is>
          <t>UNSURE</t>
        </is>
      </c>
      <c r="G1516" s="12" t="inlineStr">
        <is>
          <t>APPROVED</t>
        </is>
      </c>
      <c r="H1516" s="12" t="inlineStr">
        <is>
          <t>New</t>
        </is>
      </c>
      <c r="I1516" s="12" t="inlineStr">
        <is>
          <t>Professional decision</t>
        </is>
      </c>
      <c r="J1516" s="12" t="inlineStr">
        <is>
          <t>Maya Chen, Owner Project Controls</t>
        </is>
      </c>
      <c r="K1516" s="12" t="inlineStr">
        <is>
          <t>Professional</t>
        </is>
      </c>
      <c r="L1516" s="12" t="inlineStr"/>
      <c r="M1516" s="12" t="inlineStr">
        <is>
          <t>Initial</t>
        </is>
      </c>
      <c r="N1516" s="12" t="inlineStr">
        <is>
          <t>Rev 0</t>
        </is>
      </c>
      <c r="O1516" s="12" t="inlineStr">
        <is>
          <t>R1053-v2</t>
        </is>
      </c>
      <c r="P1516" s="12" t="inlineStr"/>
      <c r="Q1516" s="12" t="inlineStr"/>
      <c r="R1516" s="12" t="inlineStr"/>
      <c r="S1516" s="12" t="inlineStr"/>
      <c r="T1516" s="12" t="inlineStr">
        <is>
          <t>Group decision (182 records sharing one decision state)</t>
        </is>
      </c>
      <c r="U1516" s="12" t="inlineStr"/>
      <c r="V1516" s="12" t="inlineStr"/>
      <c r="W1516" s="12" t="inlineStr"/>
    </row>
    <row r="1517" ht="64" customHeight="1">
      <c r="A1517" s="12" t="inlineStr">
        <is>
          <t>UNSURE</t>
        </is>
      </c>
      <c r="B1517" s="12" t="inlineStr"/>
      <c r="C1517" s="12" t="inlineStr">
        <is>
          <t>Contractor Programme</t>
        </is>
      </c>
      <c r="D1517" s="12" t="inlineStr">
        <is>
          <t>SCH-06-154</t>
        </is>
      </c>
      <c r="E1517" s="12" t="inlineStr">
        <is>
          <t>Civil package: design-package integration review - release</t>
        </is>
      </c>
      <c r="F1517" s="12" t="inlineStr">
        <is>
          <t>UNSURE</t>
        </is>
      </c>
      <c r="G1517" s="12" t="inlineStr">
        <is>
          <t>APPROVED</t>
        </is>
      </c>
      <c r="H1517" s="12" t="inlineStr">
        <is>
          <t>New</t>
        </is>
      </c>
      <c r="I1517" s="12" t="inlineStr">
        <is>
          <t>Professional decision</t>
        </is>
      </c>
      <c r="J1517" s="12" t="inlineStr">
        <is>
          <t>Maya Chen, Owner Project Controls</t>
        </is>
      </c>
      <c r="K1517" s="12" t="inlineStr">
        <is>
          <t>Professional</t>
        </is>
      </c>
      <c r="L1517" s="12" t="inlineStr"/>
      <c r="M1517" s="12" t="inlineStr">
        <is>
          <t>Initial</t>
        </is>
      </c>
      <c r="N1517" s="12" t="inlineStr">
        <is>
          <t>Rev 0</t>
        </is>
      </c>
      <c r="O1517" s="12" t="inlineStr">
        <is>
          <t>R1054-v2</t>
        </is>
      </c>
      <c r="P1517" s="12" t="inlineStr"/>
      <c r="Q1517" s="12" t="inlineStr"/>
      <c r="R1517" s="12" t="inlineStr"/>
      <c r="S1517" s="12" t="inlineStr"/>
      <c r="T1517" s="12" t="inlineStr">
        <is>
          <t>Group decision (182 records sharing one decision state)</t>
        </is>
      </c>
      <c r="U1517" s="12" t="inlineStr"/>
      <c r="V1517" s="12" t="inlineStr"/>
      <c r="W1517" s="12" t="inlineStr"/>
    </row>
    <row r="1518" ht="64" customHeight="1">
      <c r="A1518" s="12" t="inlineStr">
        <is>
          <t>UNSURE</t>
        </is>
      </c>
      <c r="B1518" s="12" t="inlineStr"/>
      <c r="C1518" s="12" t="inlineStr">
        <is>
          <t>Contractor Programme</t>
        </is>
      </c>
      <c r="D1518" s="12" t="inlineStr">
        <is>
          <t>SCH-06-155</t>
        </is>
      </c>
      <c r="E1518" s="12" t="inlineStr">
        <is>
          <t>Stations package: executive reporting close - field start</t>
        </is>
      </c>
      <c r="F1518" s="12" t="inlineStr">
        <is>
          <t>UNSURE</t>
        </is>
      </c>
      <c r="G1518" s="12" t="inlineStr">
        <is>
          <t>APPROVED</t>
        </is>
      </c>
      <c r="H1518" s="12" t="inlineStr">
        <is>
          <t>New</t>
        </is>
      </c>
      <c r="I1518" s="12" t="inlineStr">
        <is>
          <t>Professional decision</t>
        </is>
      </c>
      <c r="J1518" s="12" t="inlineStr">
        <is>
          <t>Maya Chen, Owner Project Controls</t>
        </is>
      </c>
      <c r="K1518" s="12" t="inlineStr">
        <is>
          <t>Professional</t>
        </is>
      </c>
      <c r="L1518" s="12" t="inlineStr"/>
      <c r="M1518" s="12" t="inlineStr">
        <is>
          <t>Initial</t>
        </is>
      </c>
      <c r="N1518" s="12" t="inlineStr">
        <is>
          <t>Rev 0</t>
        </is>
      </c>
      <c r="O1518" s="12" t="inlineStr">
        <is>
          <t>R1055-v2</t>
        </is>
      </c>
      <c r="P1518" s="12" t="inlineStr"/>
      <c r="Q1518" s="12" t="inlineStr"/>
      <c r="R1518" s="12" t="inlineStr"/>
      <c r="S1518" s="12" t="inlineStr"/>
      <c r="T1518" s="12" t="inlineStr">
        <is>
          <t>Group decision (182 records sharing one decision state)</t>
        </is>
      </c>
      <c r="U1518" s="12" t="inlineStr"/>
      <c r="V1518" s="12" t="inlineStr"/>
      <c r="W1518" s="12" t="inlineStr"/>
    </row>
    <row r="1519" ht="64" customHeight="1">
      <c r="A1519" s="12" t="inlineStr">
        <is>
          <t>UNSURE</t>
        </is>
      </c>
      <c r="B1519" s="12" t="inlineStr"/>
      <c r="C1519" s="12" t="inlineStr">
        <is>
          <t>Contractor Programme</t>
        </is>
      </c>
      <c r="D1519" s="12" t="inlineStr">
        <is>
          <t>SCH-06-156</t>
        </is>
      </c>
      <c r="E1519" s="12" t="inlineStr">
        <is>
          <t>Systems package: permit coordination - installation</t>
        </is>
      </c>
      <c r="F1519" s="12" t="inlineStr">
        <is>
          <t>UNSURE</t>
        </is>
      </c>
      <c r="G1519" s="12" t="inlineStr">
        <is>
          <t>APPROVED</t>
        </is>
      </c>
      <c r="H1519" s="12" t="inlineStr">
        <is>
          <t>New</t>
        </is>
      </c>
      <c r="I1519" s="12" t="inlineStr">
        <is>
          <t>Professional decision</t>
        </is>
      </c>
      <c r="J1519" s="12" t="inlineStr">
        <is>
          <t>Maya Chen, Owner Project Controls</t>
        </is>
      </c>
      <c r="K1519" s="12" t="inlineStr">
        <is>
          <t>Professional</t>
        </is>
      </c>
      <c r="L1519" s="12" t="inlineStr"/>
      <c r="M1519" s="12" t="inlineStr">
        <is>
          <t>Initial</t>
        </is>
      </c>
      <c r="N1519" s="12" t="inlineStr">
        <is>
          <t>Rev 0</t>
        </is>
      </c>
      <c r="O1519" s="12" t="inlineStr">
        <is>
          <t>R1056-v2</t>
        </is>
      </c>
      <c r="P1519" s="12" t="inlineStr"/>
      <c r="Q1519" s="12" t="inlineStr"/>
      <c r="R1519" s="12" t="inlineStr"/>
      <c r="S1519" s="12" t="inlineStr"/>
      <c r="T1519" s="12" t="inlineStr">
        <is>
          <t>Group decision (182 records sharing one decision state)</t>
        </is>
      </c>
      <c r="U1519" s="12" t="inlineStr"/>
      <c r="V1519" s="12" t="inlineStr"/>
      <c r="W1519" s="12" t="inlineStr"/>
    </row>
    <row r="1520" ht="64" customHeight="1">
      <c r="A1520" s="12" t="inlineStr">
        <is>
          <t>UNSURE</t>
        </is>
      </c>
      <c r="B1520" s="12" t="inlineStr"/>
      <c r="C1520" s="12" t="inlineStr">
        <is>
          <t>Contractor Programme</t>
        </is>
      </c>
      <c r="D1520" s="12" t="inlineStr">
        <is>
          <t>SCH-06-157</t>
        </is>
      </c>
      <c r="E1520" s="12" t="inlineStr">
        <is>
          <t>Fleet package: delivery risk workshop - inspection</t>
        </is>
      </c>
      <c r="F1520" s="12" t="inlineStr">
        <is>
          <t>UNSURE</t>
        </is>
      </c>
      <c r="G1520" s="12" t="inlineStr">
        <is>
          <t>APPROVED</t>
        </is>
      </c>
      <c r="H1520" s="12" t="inlineStr">
        <is>
          <t>New</t>
        </is>
      </c>
      <c r="I1520" s="12" t="inlineStr">
        <is>
          <t>Professional decision</t>
        </is>
      </c>
      <c r="J1520" s="12" t="inlineStr">
        <is>
          <t>Maya Chen, Owner Project Controls</t>
        </is>
      </c>
      <c r="K1520" s="12" t="inlineStr">
        <is>
          <t>Professional</t>
        </is>
      </c>
      <c r="L1520" s="12" t="inlineStr"/>
      <c r="M1520" s="12" t="inlineStr">
        <is>
          <t>Initial</t>
        </is>
      </c>
      <c r="N1520" s="12" t="inlineStr">
        <is>
          <t>Rev 0</t>
        </is>
      </c>
      <c r="O1520" s="12" t="inlineStr">
        <is>
          <t>R1057-v2</t>
        </is>
      </c>
      <c r="P1520" s="12" t="inlineStr"/>
      <c r="Q1520" s="12" t="inlineStr"/>
      <c r="R1520" s="12" t="inlineStr"/>
      <c r="S1520" s="12" t="inlineStr"/>
      <c r="T1520" s="12" t="inlineStr">
        <is>
          <t>Group decision (182 records sharing one decision state)</t>
        </is>
      </c>
      <c r="U1520" s="12" t="inlineStr"/>
      <c r="V1520" s="12" t="inlineStr"/>
      <c r="W1520" s="12" t="inlineStr"/>
    </row>
    <row r="1521" ht="64" customHeight="1">
      <c r="A1521" s="12" t="inlineStr">
        <is>
          <t>UNSURE</t>
        </is>
      </c>
      <c r="B1521" s="12" t="inlineStr"/>
      <c r="C1521" s="12" t="inlineStr">
        <is>
          <t>Contractor Programme</t>
        </is>
      </c>
      <c r="D1521" s="12" t="inlineStr">
        <is>
          <t>SCH-06-158</t>
        </is>
      </c>
      <c r="E1521" s="12" t="inlineStr">
        <is>
          <t>Program office: monthly controls cut-off - turnover</t>
        </is>
      </c>
      <c r="F1521" s="12" t="inlineStr">
        <is>
          <t>UNSURE</t>
        </is>
      </c>
      <c r="G1521" s="12" t="inlineStr">
        <is>
          <t>APPROVED</t>
        </is>
      </c>
      <c r="H1521" s="12" t="inlineStr">
        <is>
          <t>New</t>
        </is>
      </c>
      <c r="I1521" s="12" t="inlineStr">
        <is>
          <t>Professional decision</t>
        </is>
      </c>
      <c r="J1521" s="12" t="inlineStr">
        <is>
          <t>Maya Chen, Owner Project Controls</t>
        </is>
      </c>
      <c r="K1521" s="12" t="inlineStr">
        <is>
          <t>Professional</t>
        </is>
      </c>
      <c r="L1521" s="12" t="inlineStr"/>
      <c r="M1521" s="12" t="inlineStr">
        <is>
          <t>Initial</t>
        </is>
      </c>
      <c r="N1521" s="12" t="inlineStr">
        <is>
          <t>Rev 0</t>
        </is>
      </c>
      <c r="O1521" s="12" t="inlineStr">
        <is>
          <t>R1058-v2</t>
        </is>
      </c>
      <c r="P1521" s="12" t="inlineStr"/>
      <c r="Q1521" s="12" t="inlineStr"/>
      <c r="R1521" s="12" t="inlineStr"/>
      <c r="S1521" s="12" t="inlineStr"/>
      <c r="T1521" s="12" t="inlineStr">
        <is>
          <t>Group decision (182 records sharing one decision state)</t>
        </is>
      </c>
      <c r="U1521" s="12" t="inlineStr"/>
      <c r="V1521" s="12" t="inlineStr"/>
      <c r="W1521" s="12" t="inlineStr"/>
    </row>
    <row r="1522" ht="64" customHeight="1">
      <c r="A1522" s="12" t="inlineStr">
        <is>
          <t>UNSURE</t>
        </is>
      </c>
      <c r="B1522" s="12" t="inlineStr"/>
      <c r="C1522" s="12" t="inlineStr">
        <is>
          <t>Contractor Programme</t>
        </is>
      </c>
      <c r="D1522" s="12" t="inlineStr">
        <is>
          <t>SCH-06-159</t>
        </is>
      </c>
      <c r="E1522" s="12" t="inlineStr">
        <is>
          <t>Civil package: stakeholder interface meeting - release</t>
        </is>
      </c>
      <c r="F1522" s="12" t="inlineStr">
        <is>
          <t>UNSURE</t>
        </is>
      </c>
      <c r="G1522" s="12" t="inlineStr">
        <is>
          <t>APPROVED</t>
        </is>
      </c>
      <c r="H1522" s="12" t="inlineStr">
        <is>
          <t>New</t>
        </is>
      </c>
      <c r="I1522" s="12" t="inlineStr">
        <is>
          <t>Professional decision</t>
        </is>
      </c>
      <c r="J1522" s="12" t="inlineStr">
        <is>
          <t>Maya Chen, Owner Project Controls</t>
        </is>
      </c>
      <c r="K1522" s="12" t="inlineStr">
        <is>
          <t>Professional</t>
        </is>
      </c>
      <c r="L1522" s="12" t="inlineStr"/>
      <c r="M1522" s="12" t="inlineStr">
        <is>
          <t>Initial</t>
        </is>
      </c>
      <c r="N1522" s="12" t="inlineStr">
        <is>
          <t>Rev 0</t>
        </is>
      </c>
      <c r="O1522" s="12" t="inlineStr">
        <is>
          <t>R1059-v2</t>
        </is>
      </c>
      <c r="P1522" s="12" t="inlineStr"/>
      <c r="Q1522" s="12" t="inlineStr"/>
      <c r="R1522" s="12" t="inlineStr"/>
      <c r="S1522" s="12" t="inlineStr"/>
      <c r="T1522" s="12" t="inlineStr">
        <is>
          <t>Group decision (182 records sharing one decision state)</t>
        </is>
      </c>
      <c r="U1522" s="12" t="inlineStr"/>
      <c r="V1522" s="12" t="inlineStr"/>
      <c r="W1522" s="12" t="inlineStr"/>
    </row>
    <row r="1523" ht="64" customHeight="1">
      <c r="A1523" s="12" t="inlineStr">
        <is>
          <t>UNSURE</t>
        </is>
      </c>
      <c r="B1523" s="12" t="inlineStr"/>
      <c r="C1523" s="12" t="inlineStr">
        <is>
          <t>Contractor Programme</t>
        </is>
      </c>
      <c r="D1523" s="12" t="inlineStr">
        <is>
          <t>SCH-06-160</t>
        </is>
      </c>
      <c r="E1523" s="12" t="inlineStr">
        <is>
          <t>Stations package: baseline change control - field start</t>
        </is>
      </c>
      <c r="F1523" s="12" t="inlineStr">
        <is>
          <t>UNSURE</t>
        </is>
      </c>
      <c r="G1523" s="12" t="inlineStr">
        <is>
          <t>APPROVED</t>
        </is>
      </c>
      <c r="H1523" s="12" t="inlineStr">
        <is>
          <t>New</t>
        </is>
      </c>
      <c r="I1523" s="12" t="inlineStr">
        <is>
          <t>Professional decision</t>
        </is>
      </c>
      <c r="J1523" s="12" t="inlineStr">
        <is>
          <t>Maya Chen, Owner Project Controls</t>
        </is>
      </c>
      <c r="K1523" s="12" t="inlineStr">
        <is>
          <t>Professional</t>
        </is>
      </c>
      <c r="L1523" s="12" t="inlineStr"/>
      <c r="M1523" s="12" t="inlineStr">
        <is>
          <t>Initial</t>
        </is>
      </c>
      <c r="N1523" s="12" t="inlineStr">
        <is>
          <t>Rev 0</t>
        </is>
      </c>
      <c r="O1523" s="12" t="inlineStr">
        <is>
          <t>R1060-v2</t>
        </is>
      </c>
      <c r="P1523" s="12" t="inlineStr"/>
      <c r="Q1523" s="12" t="inlineStr"/>
      <c r="R1523" s="12" t="inlineStr"/>
      <c r="S1523" s="12" t="inlineStr"/>
      <c r="T1523" s="12" t="inlineStr">
        <is>
          <t>Group decision (182 records sharing one decision state)</t>
        </is>
      </c>
      <c r="U1523" s="12" t="inlineStr"/>
      <c r="V1523" s="12" t="inlineStr"/>
      <c r="W1523" s="12" t="inlineStr"/>
    </row>
    <row r="1524" ht="64" customHeight="1">
      <c r="A1524" s="12" t="inlineStr">
        <is>
          <t>UNSURE</t>
        </is>
      </c>
      <c r="B1524" s="12" t="inlineStr"/>
      <c r="C1524" s="12" t="inlineStr">
        <is>
          <t>Contractor Programme</t>
        </is>
      </c>
      <c r="D1524" s="12" t="inlineStr">
        <is>
          <t>SCH-06-161</t>
        </is>
      </c>
      <c r="E1524" s="12" t="inlineStr">
        <is>
          <t>Systems package: commercial change review - installation</t>
        </is>
      </c>
      <c r="F1524" s="12" t="inlineStr">
        <is>
          <t>UNSURE</t>
        </is>
      </c>
      <c r="G1524" s="12" t="inlineStr">
        <is>
          <t>APPROVED</t>
        </is>
      </c>
      <c r="H1524" s="12" t="inlineStr">
        <is>
          <t>New</t>
        </is>
      </c>
      <c r="I1524" s="12" t="inlineStr">
        <is>
          <t>Professional decision</t>
        </is>
      </c>
      <c r="J1524" s="12" t="inlineStr">
        <is>
          <t>Maya Chen, Owner Project Controls</t>
        </is>
      </c>
      <c r="K1524" s="12" t="inlineStr">
        <is>
          <t>Professional</t>
        </is>
      </c>
      <c r="L1524" s="12" t="inlineStr"/>
      <c r="M1524" s="12" t="inlineStr">
        <is>
          <t>Initial</t>
        </is>
      </c>
      <c r="N1524" s="12" t="inlineStr">
        <is>
          <t>Rev 0</t>
        </is>
      </c>
      <c r="O1524" s="12" t="inlineStr">
        <is>
          <t>R1061-v2</t>
        </is>
      </c>
      <c r="P1524" s="12" t="inlineStr"/>
      <c r="Q1524" s="12" t="inlineStr"/>
      <c r="R1524" s="12" t="inlineStr"/>
      <c r="S1524" s="12" t="inlineStr"/>
      <c r="T1524" s="12" t="inlineStr">
        <is>
          <t>Group decision (182 records sharing one decision state)</t>
        </is>
      </c>
      <c r="U1524" s="12" t="inlineStr"/>
      <c r="V1524" s="12" t="inlineStr"/>
      <c r="W1524" s="12" t="inlineStr"/>
    </row>
    <row r="1525" ht="64" customHeight="1">
      <c r="A1525" s="12" t="inlineStr">
        <is>
          <t>UNSURE</t>
        </is>
      </c>
      <c r="B1525" s="12" t="inlineStr"/>
      <c r="C1525" s="12" t="inlineStr">
        <is>
          <t>Contractor Programme</t>
        </is>
      </c>
      <c r="D1525" s="12" t="inlineStr">
        <is>
          <t>SCH-06-162</t>
        </is>
      </c>
      <c r="E1525" s="12" t="inlineStr">
        <is>
          <t>Fleet package: design-package integration review - inspection</t>
        </is>
      </c>
      <c r="F1525" s="12" t="inlineStr">
        <is>
          <t>UNSURE</t>
        </is>
      </c>
      <c r="G1525" s="12" t="inlineStr">
        <is>
          <t>APPROVED</t>
        </is>
      </c>
      <c r="H1525" s="12" t="inlineStr">
        <is>
          <t>New</t>
        </is>
      </c>
      <c r="I1525" s="12" t="inlineStr">
        <is>
          <t>Professional decision</t>
        </is>
      </c>
      <c r="J1525" s="12" t="inlineStr">
        <is>
          <t>Maya Chen, Owner Project Controls</t>
        </is>
      </c>
      <c r="K1525" s="12" t="inlineStr">
        <is>
          <t>Professional</t>
        </is>
      </c>
      <c r="L1525" s="12" t="inlineStr"/>
      <c r="M1525" s="12" t="inlineStr">
        <is>
          <t>Initial</t>
        </is>
      </c>
      <c r="N1525" s="12" t="inlineStr">
        <is>
          <t>Rev 0</t>
        </is>
      </c>
      <c r="O1525" s="12" t="inlineStr">
        <is>
          <t>R1062-v2</t>
        </is>
      </c>
      <c r="P1525" s="12" t="inlineStr"/>
      <c r="Q1525" s="12" t="inlineStr"/>
      <c r="R1525" s="12" t="inlineStr"/>
      <c r="S1525" s="12" t="inlineStr"/>
      <c r="T1525" s="12" t="inlineStr">
        <is>
          <t>Group decision (182 records sharing one decision state)</t>
        </is>
      </c>
      <c r="U1525" s="12" t="inlineStr"/>
      <c r="V1525" s="12" t="inlineStr"/>
      <c r="W1525" s="12" t="inlineStr"/>
    </row>
    <row r="1526" ht="64" customHeight="1">
      <c r="A1526" s="12" t="inlineStr">
        <is>
          <t>UNSURE</t>
        </is>
      </c>
      <c r="B1526" s="12" t="inlineStr"/>
      <c r="C1526" s="12" t="inlineStr">
        <is>
          <t>Contractor Programme</t>
        </is>
      </c>
      <c r="D1526" s="12" t="inlineStr">
        <is>
          <t>SCH-06-163</t>
        </is>
      </c>
      <c r="E1526" s="12" t="inlineStr">
        <is>
          <t>Program office: executive reporting close - turnover</t>
        </is>
      </c>
      <c r="F1526" s="12" t="inlineStr">
        <is>
          <t>UNSURE</t>
        </is>
      </c>
      <c r="G1526" s="12" t="inlineStr">
        <is>
          <t>APPROVED</t>
        </is>
      </c>
      <c r="H1526" s="12" t="inlineStr">
        <is>
          <t>New</t>
        </is>
      </c>
      <c r="I1526" s="12" t="inlineStr">
        <is>
          <t>Professional decision</t>
        </is>
      </c>
      <c r="J1526" s="12" t="inlineStr">
        <is>
          <t>Maya Chen, Owner Project Controls</t>
        </is>
      </c>
      <c r="K1526" s="12" t="inlineStr">
        <is>
          <t>Professional</t>
        </is>
      </c>
      <c r="L1526" s="12" t="inlineStr"/>
      <c r="M1526" s="12" t="inlineStr">
        <is>
          <t>Initial</t>
        </is>
      </c>
      <c r="N1526" s="12" t="inlineStr">
        <is>
          <t>Rev 0</t>
        </is>
      </c>
      <c r="O1526" s="12" t="inlineStr">
        <is>
          <t>R1063-v2</t>
        </is>
      </c>
      <c r="P1526" s="12" t="inlineStr"/>
      <c r="Q1526" s="12" t="inlineStr"/>
      <c r="R1526" s="12" t="inlineStr"/>
      <c r="S1526" s="12" t="inlineStr"/>
      <c r="T1526" s="12" t="inlineStr">
        <is>
          <t>Group decision (182 records sharing one decision state)</t>
        </is>
      </c>
      <c r="U1526" s="12" t="inlineStr"/>
      <c r="V1526" s="12" t="inlineStr"/>
      <c r="W1526" s="12" t="inlineStr"/>
    </row>
    <row r="1527" ht="64" customHeight="1">
      <c r="A1527" s="12" t="inlineStr">
        <is>
          <t>UNSURE</t>
        </is>
      </c>
      <c r="B1527" s="12" t="inlineStr"/>
      <c r="C1527" s="12" t="inlineStr">
        <is>
          <t>Contractor Programme</t>
        </is>
      </c>
      <c r="D1527" s="12" t="inlineStr">
        <is>
          <t>SCH-06-164</t>
        </is>
      </c>
      <c r="E1527" s="12" t="inlineStr">
        <is>
          <t>Civil package: permit coordination - release</t>
        </is>
      </c>
      <c r="F1527" s="12" t="inlineStr">
        <is>
          <t>UNSURE</t>
        </is>
      </c>
      <c r="G1527" s="12" t="inlineStr">
        <is>
          <t>APPROVED</t>
        </is>
      </c>
      <c r="H1527" s="12" t="inlineStr">
        <is>
          <t>New</t>
        </is>
      </c>
      <c r="I1527" s="12" t="inlineStr">
        <is>
          <t>Professional decision</t>
        </is>
      </c>
      <c r="J1527" s="12" t="inlineStr">
        <is>
          <t>Maya Chen, Owner Project Controls</t>
        </is>
      </c>
      <c r="K1527" s="12" t="inlineStr">
        <is>
          <t>Professional</t>
        </is>
      </c>
      <c r="L1527" s="12" t="inlineStr"/>
      <c r="M1527" s="12" t="inlineStr">
        <is>
          <t>Initial</t>
        </is>
      </c>
      <c r="N1527" s="12" t="inlineStr">
        <is>
          <t>Rev 0</t>
        </is>
      </c>
      <c r="O1527" s="12" t="inlineStr">
        <is>
          <t>R1064-v2</t>
        </is>
      </c>
      <c r="P1527" s="12" t="inlineStr"/>
      <c r="Q1527" s="12" t="inlineStr"/>
      <c r="R1527" s="12" t="inlineStr"/>
      <c r="S1527" s="12" t="inlineStr"/>
      <c r="T1527" s="12" t="inlineStr">
        <is>
          <t>Group decision (182 records sharing one decision state)</t>
        </is>
      </c>
      <c r="U1527" s="12" t="inlineStr"/>
      <c r="V1527" s="12" t="inlineStr"/>
      <c r="W1527" s="12" t="inlineStr"/>
    </row>
    <row r="1528" ht="64" customHeight="1">
      <c r="A1528" s="12" t="inlineStr">
        <is>
          <t>UNSURE</t>
        </is>
      </c>
      <c r="B1528" s="12" t="inlineStr"/>
      <c r="C1528" s="12" t="inlineStr">
        <is>
          <t>Contractor Programme</t>
        </is>
      </c>
      <c r="D1528" s="12" t="inlineStr">
        <is>
          <t>SCH-06-165</t>
        </is>
      </c>
      <c r="E1528" s="12" t="inlineStr">
        <is>
          <t>Stations package: delivery risk workshop - field start</t>
        </is>
      </c>
      <c r="F1528" s="12" t="inlineStr">
        <is>
          <t>UNSURE</t>
        </is>
      </c>
      <c r="G1528" s="12" t="inlineStr">
        <is>
          <t>APPROVED</t>
        </is>
      </c>
      <c r="H1528" s="12" t="inlineStr">
        <is>
          <t>New</t>
        </is>
      </c>
      <c r="I1528" s="12" t="inlineStr">
        <is>
          <t>Professional decision</t>
        </is>
      </c>
      <c r="J1528" s="12" t="inlineStr">
        <is>
          <t>Maya Chen, Owner Project Controls</t>
        </is>
      </c>
      <c r="K1528" s="12" t="inlineStr">
        <is>
          <t>Professional</t>
        </is>
      </c>
      <c r="L1528" s="12" t="inlineStr"/>
      <c r="M1528" s="12" t="inlineStr">
        <is>
          <t>Initial</t>
        </is>
      </c>
      <c r="N1528" s="12" t="inlineStr">
        <is>
          <t>Rev 0</t>
        </is>
      </c>
      <c r="O1528" s="12" t="inlineStr">
        <is>
          <t>R1065-v2</t>
        </is>
      </c>
      <c r="P1528" s="12" t="inlineStr"/>
      <c r="Q1528" s="12" t="inlineStr"/>
      <c r="R1528" s="12" t="inlineStr"/>
      <c r="S1528" s="12" t="inlineStr"/>
      <c r="T1528" s="12" t="inlineStr">
        <is>
          <t>Group decision (182 records sharing one decision state)</t>
        </is>
      </c>
      <c r="U1528" s="12" t="inlineStr"/>
      <c r="V1528" s="12" t="inlineStr"/>
      <c r="W1528" s="12" t="inlineStr"/>
    </row>
    <row r="1529" ht="64" customHeight="1">
      <c r="A1529" s="12" t="inlineStr">
        <is>
          <t>UNSURE</t>
        </is>
      </c>
      <c r="B1529" s="12" t="inlineStr"/>
      <c r="C1529" s="12" t="inlineStr">
        <is>
          <t>Contractor Programme</t>
        </is>
      </c>
      <c r="D1529" s="12" t="inlineStr">
        <is>
          <t>SCH-06-166</t>
        </is>
      </c>
      <c r="E1529" s="12" t="inlineStr">
        <is>
          <t>Systems package: monthly controls cut-off - installation</t>
        </is>
      </c>
      <c r="F1529" s="12" t="inlineStr">
        <is>
          <t>UNSURE</t>
        </is>
      </c>
      <c r="G1529" s="12" t="inlineStr">
        <is>
          <t>APPROVED</t>
        </is>
      </c>
      <c r="H1529" s="12" t="inlineStr">
        <is>
          <t>New</t>
        </is>
      </c>
      <c r="I1529" s="12" t="inlineStr">
        <is>
          <t>Professional decision</t>
        </is>
      </c>
      <c r="J1529" s="12" t="inlineStr">
        <is>
          <t>Maya Chen, Owner Project Controls</t>
        </is>
      </c>
      <c r="K1529" s="12" t="inlineStr">
        <is>
          <t>Professional</t>
        </is>
      </c>
      <c r="L1529" s="12" t="inlineStr"/>
      <c r="M1529" s="12" t="inlineStr">
        <is>
          <t>Initial</t>
        </is>
      </c>
      <c r="N1529" s="12" t="inlineStr">
        <is>
          <t>Rev 0</t>
        </is>
      </c>
      <c r="O1529" s="12" t="inlineStr">
        <is>
          <t>R1066-v2</t>
        </is>
      </c>
      <c r="P1529" s="12" t="inlineStr"/>
      <c r="Q1529" s="12" t="inlineStr"/>
      <c r="R1529" s="12" t="inlineStr"/>
      <c r="S1529" s="12" t="inlineStr"/>
      <c r="T1529" s="12" t="inlineStr">
        <is>
          <t>Group decision (182 records sharing one decision state)</t>
        </is>
      </c>
      <c r="U1529" s="12" t="inlineStr"/>
      <c r="V1529" s="12" t="inlineStr"/>
      <c r="W1529" s="12" t="inlineStr"/>
    </row>
    <row r="1530" ht="64" customHeight="1">
      <c r="A1530" s="12" t="inlineStr">
        <is>
          <t>UNSURE</t>
        </is>
      </c>
      <c r="B1530" s="12" t="inlineStr"/>
      <c r="C1530" s="12" t="inlineStr">
        <is>
          <t>Contractor Programme</t>
        </is>
      </c>
      <c r="D1530" s="12" t="inlineStr">
        <is>
          <t>SCH-06-167</t>
        </is>
      </c>
      <c r="E1530" s="12" t="inlineStr">
        <is>
          <t>Fleet package: stakeholder interface meeting - inspection</t>
        </is>
      </c>
      <c r="F1530" s="12" t="inlineStr">
        <is>
          <t>UNSURE</t>
        </is>
      </c>
      <c r="G1530" s="12" t="inlineStr">
        <is>
          <t>APPROVED</t>
        </is>
      </c>
      <c r="H1530" s="12" t="inlineStr">
        <is>
          <t>New</t>
        </is>
      </c>
      <c r="I1530" s="12" t="inlineStr">
        <is>
          <t>Professional decision</t>
        </is>
      </c>
      <c r="J1530" s="12" t="inlineStr">
        <is>
          <t>Maya Chen, Owner Project Controls</t>
        </is>
      </c>
      <c r="K1530" s="12" t="inlineStr">
        <is>
          <t>Professional</t>
        </is>
      </c>
      <c r="L1530" s="12" t="inlineStr"/>
      <c r="M1530" s="12" t="inlineStr">
        <is>
          <t>Initial</t>
        </is>
      </c>
      <c r="N1530" s="12" t="inlineStr">
        <is>
          <t>Rev 0</t>
        </is>
      </c>
      <c r="O1530" s="12" t="inlineStr">
        <is>
          <t>R1067-v2</t>
        </is>
      </c>
      <c r="P1530" s="12" t="inlineStr"/>
      <c r="Q1530" s="12" t="inlineStr"/>
      <c r="R1530" s="12" t="inlineStr"/>
      <c r="S1530" s="12" t="inlineStr"/>
      <c r="T1530" s="12" t="inlineStr">
        <is>
          <t>Group decision (182 records sharing one decision state)</t>
        </is>
      </c>
      <c r="U1530" s="12" t="inlineStr"/>
      <c r="V1530" s="12" t="inlineStr"/>
      <c r="W1530" s="12" t="inlineStr"/>
    </row>
    <row r="1531" ht="64" customHeight="1">
      <c r="A1531" s="12" t="inlineStr">
        <is>
          <t>UNSURE</t>
        </is>
      </c>
      <c r="B1531" s="12" t="inlineStr"/>
      <c r="C1531" s="12" t="inlineStr">
        <is>
          <t>Contractor Programme</t>
        </is>
      </c>
      <c r="D1531" s="12" t="inlineStr">
        <is>
          <t>SCH-06-168</t>
        </is>
      </c>
      <c r="E1531" s="12" t="inlineStr">
        <is>
          <t>Program office: baseline change control - turnover</t>
        </is>
      </c>
      <c r="F1531" s="12" t="inlineStr">
        <is>
          <t>UNSURE</t>
        </is>
      </c>
      <c r="G1531" s="12" t="inlineStr">
        <is>
          <t>APPROVED</t>
        </is>
      </c>
      <c r="H1531" s="12" t="inlineStr">
        <is>
          <t>New</t>
        </is>
      </c>
      <c r="I1531" s="12" t="inlineStr">
        <is>
          <t>Professional decision</t>
        </is>
      </c>
      <c r="J1531" s="12" t="inlineStr">
        <is>
          <t>Maya Chen, Owner Project Controls</t>
        </is>
      </c>
      <c r="K1531" s="12" t="inlineStr">
        <is>
          <t>Professional</t>
        </is>
      </c>
      <c r="L1531" s="12" t="inlineStr"/>
      <c r="M1531" s="12" t="inlineStr">
        <is>
          <t>Initial</t>
        </is>
      </c>
      <c r="N1531" s="12" t="inlineStr">
        <is>
          <t>Rev 0</t>
        </is>
      </c>
      <c r="O1531" s="12" t="inlineStr">
        <is>
          <t>R1068-v2</t>
        </is>
      </c>
      <c r="P1531" s="12" t="inlineStr"/>
      <c r="Q1531" s="12" t="inlineStr"/>
      <c r="R1531" s="12" t="inlineStr"/>
      <c r="S1531" s="12" t="inlineStr"/>
      <c r="T1531" s="12" t="inlineStr">
        <is>
          <t>Group decision (182 records sharing one decision state)</t>
        </is>
      </c>
      <c r="U1531" s="12" t="inlineStr"/>
      <c r="V1531" s="12" t="inlineStr"/>
      <c r="W1531" s="12" t="inlineStr"/>
    </row>
    <row r="1532" ht="64" customHeight="1">
      <c r="A1532" s="12" t="inlineStr">
        <is>
          <t>UNSURE</t>
        </is>
      </c>
      <c r="B1532" s="12" t="inlineStr"/>
      <c r="C1532" s="12" t="inlineStr">
        <is>
          <t>Contractor Programme</t>
        </is>
      </c>
      <c r="D1532" s="12" t="inlineStr">
        <is>
          <t>SCH-06-169</t>
        </is>
      </c>
      <c r="E1532" s="12" t="inlineStr">
        <is>
          <t>Civil package: commercial change review - release</t>
        </is>
      </c>
      <c r="F1532" s="12" t="inlineStr">
        <is>
          <t>UNSURE</t>
        </is>
      </c>
      <c r="G1532" s="12" t="inlineStr">
        <is>
          <t>APPROVED</t>
        </is>
      </c>
      <c r="H1532" s="12" t="inlineStr">
        <is>
          <t>New</t>
        </is>
      </c>
      <c r="I1532" s="12" t="inlineStr">
        <is>
          <t>Professional decision</t>
        </is>
      </c>
      <c r="J1532" s="12" t="inlineStr">
        <is>
          <t>Maya Chen, Owner Project Controls</t>
        </is>
      </c>
      <c r="K1532" s="12" t="inlineStr">
        <is>
          <t>Professional</t>
        </is>
      </c>
      <c r="L1532" s="12" t="inlineStr"/>
      <c r="M1532" s="12" t="inlineStr">
        <is>
          <t>Initial</t>
        </is>
      </c>
      <c r="N1532" s="12" t="inlineStr">
        <is>
          <t>Rev 0</t>
        </is>
      </c>
      <c r="O1532" s="12" t="inlineStr">
        <is>
          <t>R1069-v2</t>
        </is>
      </c>
      <c r="P1532" s="12" t="inlineStr"/>
      <c r="Q1532" s="12" t="inlineStr"/>
      <c r="R1532" s="12" t="inlineStr"/>
      <c r="S1532" s="12" t="inlineStr"/>
      <c r="T1532" s="12" t="inlineStr">
        <is>
          <t>Group decision (182 records sharing one decision state)</t>
        </is>
      </c>
      <c r="U1532" s="12" t="inlineStr"/>
      <c r="V1532" s="12" t="inlineStr"/>
      <c r="W1532" s="12" t="inlineStr"/>
    </row>
    <row r="1533" ht="64" customHeight="1">
      <c r="A1533" s="12" t="inlineStr">
        <is>
          <t>UNSURE</t>
        </is>
      </c>
      <c r="B1533" s="12" t="inlineStr"/>
      <c r="C1533" s="12" t="inlineStr">
        <is>
          <t>Contractor Programme</t>
        </is>
      </c>
      <c r="D1533" s="12" t="inlineStr">
        <is>
          <t>SCH-06-170</t>
        </is>
      </c>
      <c r="E1533" s="12" t="inlineStr">
        <is>
          <t>Stations package: design-package integration review - field start</t>
        </is>
      </c>
      <c r="F1533" s="12" t="inlineStr">
        <is>
          <t>UNSURE</t>
        </is>
      </c>
      <c r="G1533" s="12" t="inlineStr">
        <is>
          <t>APPROVED</t>
        </is>
      </c>
      <c r="H1533" s="12" t="inlineStr">
        <is>
          <t>New</t>
        </is>
      </c>
      <c r="I1533" s="12" t="inlineStr">
        <is>
          <t>Professional decision</t>
        </is>
      </c>
      <c r="J1533" s="12" t="inlineStr">
        <is>
          <t>Maya Chen, Owner Project Controls</t>
        </is>
      </c>
      <c r="K1533" s="12" t="inlineStr">
        <is>
          <t>Professional</t>
        </is>
      </c>
      <c r="L1533" s="12" t="inlineStr"/>
      <c r="M1533" s="12" t="inlineStr">
        <is>
          <t>Initial</t>
        </is>
      </c>
      <c r="N1533" s="12" t="inlineStr">
        <is>
          <t>Rev 0</t>
        </is>
      </c>
      <c r="O1533" s="12" t="inlineStr">
        <is>
          <t>R1070-v2</t>
        </is>
      </c>
      <c r="P1533" s="12" t="inlineStr"/>
      <c r="Q1533" s="12" t="inlineStr"/>
      <c r="R1533" s="12" t="inlineStr"/>
      <c r="S1533" s="12" t="inlineStr"/>
      <c r="T1533" s="12" t="inlineStr">
        <is>
          <t>Group decision (182 records sharing one decision state)</t>
        </is>
      </c>
      <c r="U1533" s="12" t="inlineStr"/>
      <c r="V1533" s="12" t="inlineStr"/>
      <c r="W1533" s="12" t="inlineStr"/>
    </row>
    <row r="1534" ht="64" customHeight="1">
      <c r="A1534" s="12" t="inlineStr">
        <is>
          <t>UNSURE</t>
        </is>
      </c>
      <c r="B1534" s="12" t="inlineStr"/>
      <c r="C1534" s="12" t="inlineStr">
        <is>
          <t>Contractor Programme</t>
        </is>
      </c>
      <c r="D1534" s="12" t="inlineStr">
        <is>
          <t>SCH-06-171</t>
        </is>
      </c>
      <c r="E1534" s="12" t="inlineStr">
        <is>
          <t>Systems package: executive reporting close - installation</t>
        </is>
      </c>
      <c r="F1534" s="12" t="inlineStr">
        <is>
          <t>UNSURE</t>
        </is>
      </c>
      <c r="G1534" s="12" t="inlineStr">
        <is>
          <t>APPROVED</t>
        </is>
      </c>
      <c r="H1534" s="12" t="inlineStr">
        <is>
          <t>New</t>
        </is>
      </c>
      <c r="I1534" s="12" t="inlineStr">
        <is>
          <t>Professional decision</t>
        </is>
      </c>
      <c r="J1534" s="12" t="inlineStr">
        <is>
          <t>Maya Chen, Owner Project Controls</t>
        </is>
      </c>
      <c r="K1534" s="12" t="inlineStr">
        <is>
          <t>Professional</t>
        </is>
      </c>
      <c r="L1534" s="12" t="inlineStr"/>
      <c r="M1534" s="12" t="inlineStr">
        <is>
          <t>Initial</t>
        </is>
      </c>
      <c r="N1534" s="12" t="inlineStr">
        <is>
          <t>Rev 0</t>
        </is>
      </c>
      <c r="O1534" s="12" t="inlineStr">
        <is>
          <t>R1071-v2</t>
        </is>
      </c>
      <c r="P1534" s="12" t="inlineStr"/>
      <c r="Q1534" s="12" t="inlineStr"/>
      <c r="R1534" s="12" t="inlineStr"/>
      <c r="S1534" s="12" t="inlineStr"/>
      <c r="T1534" s="12" t="inlineStr">
        <is>
          <t>Group decision (182 records sharing one decision state)</t>
        </is>
      </c>
      <c r="U1534" s="12" t="inlineStr"/>
      <c r="V1534" s="12" t="inlineStr"/>
      <c r="W1534" s="12" t="inlineStr"/>
    </row>
    <row r="1535" ht="64" customHeight="1">
      <c r="A1535" s="12" t="inlineStr">
        <is>
          <t>UNSURE</t>
        </is>
      </c>
      <c r="B1535" s="12" t="inlineStr"/>
      <c r="C1535" s="12" t="inlineStr">
        <is>
          <t>Contractor Programme</t>
        </is>
      </c>
      <c r="D1535" s="12" t="inlineStr">
        <is>
          <t>SCH-06-172</t>
        </is>
      </c>
      <c r="E1535" s="12" t="inlineStr">
        <is>
          <t>Fleet package: permit coordination - inspection</t>
        </is>
      </c>
      <c r="F1535" s="12" t="inlineStr">
        <is>
          <t>UNSURE</t>
        </is>
      </c>
      <c r="G1535" s="12" t="inlineStr">
        <is>
          <t>APPROVED</t>
        </is>
      </c>
      <c r="H1535" s="12" t="inlineStr">
        <is>
          <t>New</t>
        </is>
      </c>
      <c r="I1535" s="12" t="inlineStr">
        <is>
          <t>Professional decision</t>
        </is>
      </c>
      <c r="J1535" s="12" t="inlineStr">
        <is>
          <t>Maya Chen, Owner Project Controls</t>
        </is>
      </c>
      <c r="K1535" s="12" t="inlineStr">
        <is>
          <t>Professional</t>
        </is>
      </c>
      <c r="L1535" s="12" t="inlineStr"/>
      <c r="M1535" s="12" t="inlineStr">
        <is>
          <t>Initial</t>
        </is>
      </c>
      <c r="N1535" s="12" t="inlineStr">
        <is>
          <t>Rev 0</t>
        </is>
      </c>
      <c r="O1535" s="12" t="inlineStr">
        <is>
          <t>R1072-v2</t>
        </is>
      </c>
      <c r="P1535" s="12" t="inlineStr"/>
      <c r="Q1535" s="12" t="inlineStr"/>
      <c r="R1535" s="12" t="inlineStr"/>
      <c r="S1535" s="12" t="inlineStr"/>
      <c r="T1535" s="12" t="inlineStr">
        <is>
          <t>Group decision (182 records sharing one decision state)</t>
        </is>
      </c>
      <c r="U1535" s="12" t="inlineStr"/>
      <c r="V1535" s="12" t="inlineStr"/>
      <c r="W1535" s="12" t="inlineStr"/>
    </row>
    <row r="1536" ht="64" customHeight="1">
      <c r="A1536" s="12" t="inlineStr">
        <is>
          <t>UNSURE</t>
        </is>
      </c>
      <c r="B1536" s="12" t="inlineStr"/>
      <c r="C1536" s="12" t="inlineStr">
        <is>
          <t>Contractor Programme</t>
        </is>
      </c>
      <c r="D1536" s="12" t="inlineStr">
        <is>
          <t>SCH-06-173</t>
        </is>
      </c>
      <c r="E1536" s="12" t="inlineStr">
        <is>
          <t>Program office: delivery risk workshop - turnover</t>
        </is>
      </c>
      <c r="F1536" s="12" t="inlineStr">
        <is>
          <t>UNSURE</t>
        </is>
      </c>
      <c r="G1536" s="12" t="inlineStr">
        <is>
          <t>APPROVED</t>
        </is>
      </c>
      <c r="H1536" s="12" t="inlineStr">
        <is>
          <t>New</t>
        </is>
      </c>
      <c r="I1536" s="12" t="inlineStr">
        <is>
          <t>Professional decision</t>
        </is>
      </c>
      <c r="J1536" s="12" t="inlineStr">
        <is>
          <t>Maya Chen, Owner Project Controls</t>
        </is>
      </c>
      <c r="K1536" s="12" t="inlineStr">
        <is>
          <t>Professional</t>
        </is>
      </c>
      <c r="L1536" s="12" t="inlineStr"/>
      <c r="M1536" s="12" t="inlineStr">
        <is>
          <t>Initial</t>
        </is>
      </c>
      <c r="N1536" s="12" t="inlineStr">
        <is>
          <t>Rev 0</t>
        </is>
      </c>
      <c r="O1536" s="12" t="inlineStr">
        <is>
          <t>R1073-v2</t>
        </is>
      </c>
      <c r="P1536" s="12" t="inlineStr"/>
      <c r="Q1536" s="12" t="inlineStr"/>
      <c r="R1536" s="12" t="inlineStr"/>
      <c r="S1536" s="12" t="inlineStr"/>
      <c r="T1536" s="12" t="inlineStr">
        <is>
          <t>Group decision (182 records sharing one decision state)</t>
        </is>
      </c>
      <c r="U1536" s="12" t="inlineStr"/>
      <c r="V1536" s="12" t="inlineStr"/>
      <c r="W1536" s="12" t="inlineStr"/>
    </row>
    <row r="1537" ht="64" customHeight="1">
      <c r="A1537" s="12" t="inlineStr">
        <is>
          <t>UNSURE</t>
        </is>
      </c>
      <c r="B1537" s="12" t="inlineStr"/>
      <c r="C1537" s="12" t="inlineStr">
        <is>
          <t>Contractor Programme</t>
        </is>
      </c>
      <c r="D1537" s="12" t="inlineStr">
        <is>
          <t>SCH-06-174</t>
        </is>
      </c>
      <c r="E1537" s="12" t="inlineStr">
        <is>
          <t>Civil package: monthly controls cut-off - release</t>
        </is>
      </c>
      <c r="F1537" s="12" t="inlineStr">
        <is>
          <t>UNSURE</t>
        </is>
      </c>
      <c r="G1537" s="12" t="inlineStr">
        <is>
          <t>APPROVED</t>
        </is>
      </c>
      <c r="H1537" s="12" t="inlineStr">
        <is>
          <t>New</t>
        </is>
      </c>
      <c r="I1537" s="12" t="inlineStr">
        <is>
          <t>Professional decision</t>
        </is>
      </c>
      <c r="J1537" s="12" t="inlineStr">
        <is>
          <t>Maya Chen, Owner Project Controls</t>
        </is>
      </c>
      <c r="K1537" s="12" t="inlineStr">
        <is>
          <t>Professional</t>
        </is>
      </c>
      <c r="L1537" s="12" t="inlineStr"/>
      <c r="M1537" s="12" t="inlineStr">
        <is>
          <t>Initial</t>
        </is>
      </c>
      <c r="N1537" s="12" t="inlineStr">
        <is>
          <t>Rev 0</t>
        </is>
      </c>
      <c r="O1537" s="12" t="inlineStr">
        <is>
          <t>R1074-v2</t>
        </is>
      </c>
      <c r="P1537" s="12" t="inlineStr"/>
      <c r="Q1537" s="12" t="inlineStr"/>
      <c r="R1537" s="12" t="inlineStr"/>
      <c r="S1537" s="12" t="inlineStr"/>
      <c r="T1537" s="12" t="inlineStr">
        <is>
          <t>Group decision (182 records sharing one decision state)</t>
        </is>
      </c>
      <c r="U1537" s="12" t="inlineStr"/>
      <c r="V1537" s="12" t="inlineStr"/>
      <c r="W1537" s="12" t="inlineStr"/>
    </row>
    <row r="1538" ht="64" customHeight="1">
      <c r="A1538" s="12" t="inlineStr">
        <is>
          <t>UNSURE</t>
        </is>
      </c>
      <c r="B1538" s="12" t="inlineStr"/>
      <c r="C1538" s="12" t="inlineStr">
        <is>
          <t>Contractor Programme</t>
        </is>
      </c>
      <c r="D1538" s="12" t="inlineStr">
        <is>
          <t>SCH-06-175</t>
        </is>
      </c>
      <c r="E1538" s="12" t="inlineStr">
        <is>
          <t>Stations package: stakeholder interface meeting - field start</t>
        </is>
      </c>
      <c r="F1538" s="12" t="inlineStr">
        <is>
          <t>UNSURE</t>
        </is>
      </c>
      <c r="G1538" s="12" t="inlineStr">
        <is>
          <t>APPROVED</t>
        </is>
      </c>
      <c r="H1538" s="12" t="inlineStr">
        <is>
          <t>New</t>
        </is>
      </c>
      <c r="I1538" s="12" t="inlineStr">
        <is>
          <t>Professional decision</t>
        </is>
      </c>
      <c r="J1538" s="12" t="inlineStr">
        <is>
          <t>Maya Chen, Owner Project Controls</t>
        </is>
      </c>
      <c r="K1538" s="12" t="inlineStr">
        <is>
          <t>Professional</t>
        </is>
      </c>
      <c r="L1538" s="12" t="inlineStr"/>
      <c r="M1538" s="12" t="inlineStr">
        <is>
          <t>Initial</t>
        </is>
      </c>
      <c r="N1538" s="12" t="inlineStr">
        <is>
          <t>Rev 0</t>
        </is>
      </c>
      <c r="O1538" s="12" t="inlineStr">
        <is>
          <t>R1075-v2</t>
        </is>
      </c>
      <c r="P1538" s="12" t="inlineStr"/>
      <c r="Q1538" s="12" t="inlineStr"/>
      <c r="R1538" s="12" t="inlineStr"/>
      <c r="S1538" s="12" t="inlineStr"/>
      <c r="T1538" s="12" t="inlineStr">
        <is>
          <t>Group decision (182 records sharing one decision state)</t>
        </is>
      </c>
      <c r="U1538" s="12" t="inlineStr"/>
      <c r="V1538" s="12" t="inlineStr"/>
      <c r="W1538" s="12" t="inlineStr"/>
    </row>
    <row r="1539" ht="64" customHeight="1">
      <c r="A1539" s="12" t="inlineStr">
        <is>
          <t>UNSURE</t>
        </is>
      </c>
      <c r="B1539" s="12" t="inlineStr"/>
      <c r="C1539" s="12" t="inlineStr">
        <is>
          <t>Contractor Programme</t>
        </is>
      </c>
      <c r="D1539" s="12" t="inlineStr">
        <is>
          <t>SCH-06-176</t>
        </is>
      </c>
      <c r="E1539" s="12" t="inlineStr">
        <is>
          <t>Systems package: baseline change control - installation</t>
        </is>
      </c>
      <c r="F1539" s="12" t="inlineStr">
        <is>
          <t>UNSURE</t>
        </is>
      </c>
      <c r="G1539" s="12" t="inlineStr">
        <is>
          <t>APPROVED</t>
        </is>
      </c>
      <c r="H1539" s="12" t="inlineStr">
        <is>
          <t>New</t>
        </is>
      </c>
      <c r="I1539" s="12" t="inlineStr">
        <is>
          <t>Professional decision</t>
        </is>
      </c>
      <c r="J1539" s="12" t="inlineStr">
        <is>
          <t>Maya Chen, Owner Project Controls</t>
        </is>
      </c>
      <c r="K1539" s="12" t="inlineStr">
        <is>
          <t>Professional</t>
        </is>
      </c>
      <c r="L1539" s="12" t="inlineStr"/>
      <c r="M1539" s="12" t="inlineStr">
        <is>
          <t>Initial</t>
        </is>
      </c>
      <c r="N1539" s="12" t="inlineStr">
        <is>
          <t>Rev 0</t>
        </is>
      </c>
      <c r="O1539" s="12" t="inlineStr">
        <is>
          <t>R1076-v2</t>
        </is>
      </c>
      <c r="P1539" s="12" t="inlineStr"/>
      <c r="Q1539" s="12" t="inlineStr"/>
      <c r="R1539" s="12" t="inlineStr"/>
      <c r="S1539" s="12" t="inlineStr"/>
      <c r="T1539" s="12" t="inlineStr">
        <is>
          <t>Group decision (182 records sharing one decision state)</t>
        </is>
      </c>
      <c r="U1539" s="12" t="inlineStr"/>
      <c r="V1539" s="12" t="inlineStr"/>
      <c r="W1539" s="12" t="inlineStr"/>
    </row>
    <row r="1540" ht="64" customHeight="1">
      <c r="A1540" s="12" t="inlineStr">
        <is>
          <t>UNSURE</t>
        </is>
      </c>
      <c r="B1540" s="12" t="inlineStr"/>
      <c r="C1540" s="12" t="inlineStr">
        <is>
          <t>Contractor Programme</t>
        </is>
      </c>
      <c r="D1540" s="12" t="inlineStr">
        <is>
          <t>SCH-06-177</t>
        </is>
      </c>
      <c r="E1540" s="12" t="inlineStr">
        <is>
          <t>Fleet package: commercial change review - inspection</t>
        </is>
      </c>
      <c r="F1540" s="12" t="inlineStr">
        <is>
          <t>UNSURE</t>
        </is>
      </c>
      <c r="G1540" s="12" t="inlineStr">
        <is>
          <t>APPROVED</t>
        </is>
      </c>
      <c r="H1540" s="12" t="inlineStr">
        <is>
          <t>New</t>
        </is>
      </c>
      <c r="I1540" s="12" t="inlineStr">
        <is>
          <t>Professional decision</t>
        </is>
      </c>
      <c r="J1540" s="12" t="inlineStr">
        <is>
          <t>Maya Chen, Owner Project Controls</t>
        </is>
      </c>
      <c r="K1540" s="12" t="inlineStr">
        <is>
          <t>Professional</t>
        </is>
      </c>
      <c r="L1540" s="12" t="inlineStr"/>
      <c r="M1540" s="12" t="inlineStr">
        <is>
          <t>Initial</t>
        </is>
      </c>
      <c r="N1540" s="12" t="inlineStr">
        <is>
          <t>Rev 0</t>
        </is>
      </c>
      <c r="O1540" s="12" t="inlineStr">
        <is>
          <t>R1077-v2</t>
        </is>
      </c>
      <c r="P1540" s="12" t="inlineStr"/>
      <c r="Q1540" s="12" t="inlineStr"/>
      <c r="R1540" s="12" t="inlineStr"/>
      <c r="S1540" s="12" t="inlineStr"/>
      <c r="T1540" s="12" t="inlineStr">
        <is>
          <t>Group decision (182 records sharing one decision state)</t>
        </is>
      </c>
      <c r="U1540" s="12" t="inlineStr"/>
      <c r="V1540" s="12" t="inlineStr"/>
      <c r="W1540" s="12" t="inlineStr"/>
    </row>
    <row r="1541" ht="64" customHeight="1">
      <c r="A1541" s="12" t="inlineStr">
        <is>
          <t>UNSURE</t>
        </is>
      </c>
      <c r="B1541" s="12" t="inlineStr"/>
      <c r="C1541" s="12" t="inlineStr">
        <is>
          <t>Contractor Programme</t>
        </is>
      </c>
      <c r="D1541" s="12" t="inlineStr">
        <is>
          <t>SCH-06-178</t>
        </is>
      </c>
      <c r="E1541" s="12" t="inlineStr">
        <is>
          <t>Program office: design-package integration review - turnover</t>
        </is>
      </c>
      <c r="F1541" s="12" t="inlineStr">
        <is>
          <t>UNSURE</t>
        </is>
      </c>
      <c r="G1541" s="12" t="inlineStr">
        <is>
          <t>APPROVED</t>
        </is>
      </c>
      <c r="H1541" s="12" t="inlineStr">
        <is>
          <t>New</t>
        </is>
      </c>
      <c r="I1541" s="12" t="inlineStr">
        <is>
          <t>Professional decision</t>
        </is>
      </c>
      <c r="J1541" s="12" t="inlineStr">
        <is>
          <t>Maya Chen, Owner Project Controls</t>
        </is>
      </c>
      <c r="K1541" s="12" t="inlineStr">
        <is>
          <t>Professional</t>
        </is>
      </c>
      <c r="L1541" s="12" t="inlineStr"/>
      <c r="M1541" s="12" t="inlineStr">
        <is>
          <t>Initial</t>
        </is>
      </c>
      <c r="N1541" s="12" t="inlineStr">
        <is>
          <t>Rev 0</t>
        </is>
      </c>
      <c r="O1541" s="12" t="inlineStr">
        <is>
          <t>R1078-v2</t>
        </is>
      </c>
      <c r="P1541" s="12" t="inlineStr"/>
      <c r="Q1541" s="12" t="inlineStr"/>
      <c r="R1541" s="12" t="inlineStr"/>
      <c r="S1541" s="12" t="inlineStr"/>
      <c r="T1541" s="12" t="inlineStr">
        <is>
          <t>Group decision (182 records sharing one decision state)</t>
        </is>
      </c>
      <c r="U1541" s="12" t="inlineStr"/>
      <c r="V1541" s="12" t="inlineStr"/>
      <c r="W1541" s="12" t="inlineStr"/>
    </row>
    <row r="1542" ht="64" customHeight="1">
      <c r="A1542" s="12" t="inlineStr">
        <is>
          <t>UNSURE</t>
        </is>
      </c>
      <c r="B1542" s="12" t="inlineStr"/>
      <c r="C1542" s="12" t="inlineStr">
        <is>
          <t>Contractor Programme</t>
        </is>
      </c>
      <c r="D1542" s="12" t="inlineStr">
        <is>
          <t>SCH-06-179</t>
        </is>
      </c>
      <c r="E1542" s="12" t="inlineStr">
        <is>
          <t>Civil package: executive reporting close - release</t>
        </is>
      </c>
      <c r="F1542" s="12" t="inlineStr">
        <is>
          <t>UNSURE</t>
        </is>
      </c>
      <c r="G1542" s="12" t="inlineStr">
        <is>
          <t>APPROVED</t>
        </is>
      </c>
      <c r="H1542" s="12" t="inlineStr">
        <is>
          <t>New</t>
        </is>
      </c>
      <c r="I1542" s="12" t="inlineStr">
        <is>
          <t>Professional decision</t>
        </is>
      </c>
      <c r="J1542" s="12" t="inlineStr">
        <is>
          <t>Maya Chen, Owner Project Controls</t>
        </is>
      </c>
      <c r="K1542" s="12" t="inlineStr">
        <is>
          <t>Professional</t>
        </is>
      </c>
      <c r="L1542" s="12" t="inlineStr"/>
      <c r="M1542" s="12" t="inlineStr">
        <is>
          <t>Initial</t>
        </is>
      </c>
      <c r="N1542" s="12" t="inlineStr">
        <is>
          <t>Rev 0</t>
        </is>
      </c>
      <c r="O1542" s="12" t="inlineStr">
        <is>
          <t>R1079-v2</t>
        </is>
      </c>
      <c r="P1542" s="12" t="inlineStr"/>
      <c r="Q1542" s="12" t="inlineStr"/>
      <c r="R1542" s="12" t="inlineStr"/>
      <c r="S1542" s="12" t="inlineStr"/>
      <c r="T1542" s="12" t="inlineStr">
        <is>
          <t>Group decision (182 records sharing one decision state)</t>
        </is>
      </c>
      <c r="U1542" s="12" t="inlineStr"/>
      <c r="V1542" s="12" t="inlineStr"/>
      <c r="W1542" s="12" t="inlineStr"/>
    </row>
    <row r="1543" ht="64" customHeight="1">
      <c r="A1543" s="12" t="inlineStr">
        <is>
          <t>UNSURE</t>
        </is>
      </c>
      <c r="B1543" s="12" t="inlineStr"/>
      <c r="C1543" s="12" t="inlineStr">
        <is>
          <t>Contractor Programme</t>
        </is>
      </c>
      <c r="D1543" s="12" t="inlineStr">
        <is>
          <t>SCH-06-180</t>
        </is>
      </c>
      <c r="E1543" s="12" t="inlineStr">
        <is>
          <t>Stations package: permit coordination - field start</t>
        </is>
      </c>
      <c r="F1543" s="12" t="inlineStr">
        <is>
          <t>UNSURE</t>
        </is>
      </c>
      <c r="G1543" s="12" t="inlineStr">
        <is>
          <t>APPROVED</t>
        </is>
      </c>
      <c r="H1543" s="12" t="inlineStr">
        <is>
          <t>New</t>
        </is>
      </c>
      <c r="I1543" s="12" t="inlineStr">
        <is>
          <t>Professional decision</t>
        </is>
      </c>
      <c r="J1543" s="12" t="inlineStr">
        <is>
          <t>Maya Chen, Owner Project Controls</t>
        </is>
      </c>
      <c r="K1543" s="12" t="inlineStr">
        <is>
          <t>Professional</t>
        </is>
      </c>
      <c r="L1543" s="12" t="inlineStr"/>
      <c r="M1543" s="12" t="inlineStr">
        <is>
          <t>Initial</t>
        </is>
      </c>
      <c r="N1543" s="12" t="inlineStr">
        <is>
          <t>Rev 0</t>
        </is>
      </c>
      <c r="O1543" s="12" t="inlineStr">
        <is>
          <t>R1080-v2</t>
        </is>
      </c>
      <c r="P1543" s="12" t="inlineStr"/>
      <c r="Q1543" s="12" t="inlineStr"/>
      <c r="R1543" s="12" t="inlineStr"/>
      <c r="S1543" s="12" t="inlineStr"/>
      <c r="T1543" s="12" t="inlineStr">
        <is>
          <t>Group decision (182 records sharing one decision state)</t>
        </is>
      </c>
      <c r="U1543" s="12" t="inlineStr"/>
      <c r="V1543" s="12" t="inlineStr"/>
      <c r="W1543" s="12" t="inlineStr"/>
    </row>
    <row r="1544" ht="64" customHeight="1">
      <c r="A1544" s="12" t="inlineStr">
        <is>
          <t>UNSURE</t>
        </is>
      </c>
      <c r="B1544" s="12" t="inlineStr"/>
      <c r="C1544" s="12" t="inlineStr">
        <is>
          <t>Cost &amp; Forecast Control Accounts</t>
        </is>
      </c>
      <c r="D1544" s="12" t="inlineStr">
        <is>
          <t>CST-03-004</t>
        </is>
      </c>
      <c r="E1544" s="12" t="inlineStr">
        <is>
          <t>Systems - systems integration - professional services</t>
        </is>
      </c>
      <c r="F1544" s="12" t="inlineStr">
        <is>
          <t>UNSURE</t>
        </is>
      </c>
      <c r="G1544" s="12" t="inlineStr">
        <is>
          <t>APPROVED</t>
        </is>
      </c>
      <c r="H1544" s="12" t="inlineStr">
        <is>
          <t>New</t>
        </is>
      </c>
      <c r="I1544" s="12" t="inlineStr">
        <is>
          <t>Professional decision</t>
        </is>
      </c>
      <c r="J1544" s="12" t="inlineStr">
        <is>
          <t>Maya Chen, Owner Project Controls</t>
        </is>
      </c>
      <c r="K1544" s="12" t="inlineStr">
        <is>
          <t>Professional</t>
        </is>
      </c>
      <c r="L1544" s="12" t="inlineStr"/>
      <c r="M1544" s="12" t="inlineStr">
        <is>
          <t>Initial</t>
        </is>
      </c>
      <c r="N1544" s="12" t="inlineStr">
        <is>
          <t>Rev 0</t>
        </is>
      </c>
      <c r="O1544" s="12" t="inlineStr">
        <is>
          <t>R1246-v2</t>
        </is>
      </c>
      <c r="P1544" s="12" t="inlineStr"/>
      <c r="Q1544" s="12" t="inlineStr"/>
      <c r="R1544" s="12" t="inlineStr"/>
      <c r="S1544" s="12" t="inlineStr"/>
      <c r="T1544" s="12" t="inlineStr">
        <is>
          <t>Group decision (81 records sharing one decision state)</t>
        </is>
      </c>
      <c r="U1544" s="12" t="inlineStr"/>
      <c r="V1544" s="12" t="inlineStr">
        <is>
          <t>Cost Account = CA-3004</t>
        </is>
      </c>
      <c r="W1544" s="12" t="inlineStr"/>
    </row>
    <row r="1545" ht="64" customHeight="1">
      <c r="A1545" s="12" t="inlineStr">
        <is>
          <t>UNSURE</t>
        </is>
      </c>
      <c r="B1545" s="12" t="inlineStr"/>
      <c r="C1545" s="12" t="inlineStr">
        <is>
          <t>Cost &amp; Forecast Control Accounts</t>
        </is>
      </c>
      <c r="D1545" s="12" t="inlineStr">
        <is>
          <t>CST-05-001</t>
        </is>
      </c>
      <c r="E1545" s="12" t="inlineStr">
        <is>
          <t>Testing &amp; readiness - trial running - control account</t>
        </is>
      </c>
      <c r="F1545" s="12" t="inlineStr">
        <is>
          <t>UNSURE</t>
        </is>
      </c>
      <c r="G1545" s="12" t="inlineStr">
        <is>
          <t>APPROVED</t>
        </is>
      </c>
      <c r="H1545" s="12" t="inlineStr">
        <is>
          <t>New</t>
        </is>
      </c>
      <c r="I1545" s="12" t="inlineStr">
        <is>
          <t>Professional decision</t>
        </is>
      </c>
      <c r="J1545" s="12" t="inlineStr">
        <is>
          <t>Maya Chen, Owner Project Controls</t>
        </is>
      </c>
      <c r="K1545" s="12" t="inlineStr">
        <is>
          <t>Professional</t>
        </is>
      </c>
      <c r="L1545" s="12" t="inlineStr"/>
      <c r="M1545" s="12" t="inlineStr">
        <is>
          <t>Initial</t>
        </is>
      </c>
      <c r="N1545" s="12" t="inlineStr">
        <is>
          <t>Rev 0</t>
        </is>
      </c>
      <c r="O1545" s="12" t="inlineStr">
        <is>
          <t>R1403-v2</t>
        </is>
      </c>
      <c r="P1545" s="12" t="inlineStr"/>
      <c r="Q1545" s="12" t="inlineStr"/>
      <c r="R1545" s="12" t="inlineStr"/>
      <c r="S1545" s="12" t="inlineStr"/>
      <c r="T1545" s="12" t="inlineStr">
        <is>
          <t>Group decision (81 records sharing one decision state)</t>
        </is>
      </c>
      <c r="U1545" s="12" t="inlineStr"/>
      <c r="V1545" s="12" t="inlineStr">
        <is>
          <t>Cost Account = CA-5001</t>
        </is>
      </c>
      <c r="W1545" s="12" t="inlineStr"/>
    </row>
    <row r="1546" ht="64" customHeight="1">
      <c r="A1546" s="12" t="inlineStr">
        <is>
          <t>UNSURE</t>
        </is>
      </c>
      <c r="B1546" s="12" t="inlineStr"/>
      <c r="C1546" s="12" t="inlineStr">
        <is>
          <t>Cost &amp; Forecast Control Accounts</t>
        </is>
      </c>
      <c r="D1546" s="12" t="inlineStr">
        <is>
          <t>CST-05-002</t>
        </is>
      </c>
      <c r="E1546" s="12" t="inlineStr">
        <is>
          <t>Testing &amp; readiness - safety certification - control account</t>
        </is>
      </c>
      <c r="F1546" s="12" t="inlineStr">
        <is>
          <t>UNSURE</t>
        </is>
      </c>
      <c r="G1546" s="12" t="inlineStr">
        <is>
          <t>APPROVED</t>
        </is>
      </c>
      <c r="H1546" s="12" t="inlineStr">
        <is>
          <t>New</t>
        </is>
      </c>
      <c r="I1546" s="12" t="inlineStr">
        <is>
          <t>Professional decision</t>
        </is>
      </c>
      <c r="J1546" s="12" t="inlineStr">
        <is>
          <t>Maya Chen, Owner Project Controls</t>
        </is>
      </c>
      <c r="K1546" s="12" t="inlineStr">
        <is>
          <t>Professional</t>
        </is>
      </c>
      <c r="L1546" s="12" t="inlineStr"/>
      <c r="M1546" s="12" t="inlineStr">
        <is>
          <t>Initial</t>
        </is>
      </c>
      <c r="N1546" s="12" t="inlineStr">
        <is>
          <t>Rev 0</t>
        </is>
      </c>
      <c r="O1546" s="12" t="inlineStr">
        <is>
          <t>R1404-v2</t>
        </is>
      </c>
      <c r="P1546" s="12" t="inlineStr"/>
      <c r="Q1546" s="12" t="inlineStr"/>
      <c r="R1546" s="12" t="inlineStr"/>
      <c r="S1546" s="12" t="inlineStr"/>
      <c r="T1546" s="12" t="inlineStr">
        <is>
          <t>Group decision (81 records sharing one decision state)</t>
        </is>
      </c>
      <c r="U1546" s="12" t="inlineStr"/>
      <c r="V1546" s="12" t="inlineStr">
        <is>
          <t>Cost Account = CA-5002</t>
        </is>
      </c>
      <c r="W1546" s="12" t="inlineStr"/>
    </row>
    <row r="1547" ht="64" customHeight="1">
      <c r="A1547" s="12" t="inlineStr">
        <is>
          <t>UNSURE</t>
        </is>
      </c>
      <c r="B1547" s="12" t="inlineStr"/>
      <c r="C1547" s="12" t="inlineStr">
        <is>
          <t>Cost &amp; Forecast Control Accounts</t>
        </is>
      </c>
      <c r="D1547" s="12" t="inlineStr">
        <is>
          <t>CST-05-003</t>
        </is>
      </c>
      <c r="E1547" s="12" t="inlineStr">
        <is>
          <t>Testing &amp; readiness - defect closeout - control account</t>
        </is>
      </c>
      <c r="F1547" s="12" t="inlineStr">
        <is>
          <t>UNSURE</t>
        </is>
      </c>
      <c r="G1547" s="12" t="inlineStr">
        <is>
          <t>APPROVED</t>
        </is>
      </c>
      <c r="H1547" s="12" t="inlineStr">
        <is>
          <t>New</t>
        </is>
      </c>
      <c r="I1547" s="12" t="inlineStr">
        <is>
          <t>Professional decision</t>
        </is>
      </c>
      <c r="J1547" s="12" t="inlineStr">
        <is>
          <t>Maya Chen, Owner Project Controls</t>
        </is>
      </c>
      <c r="K1547" s="12" t="inlineStr">
        <is>
          <t>Professional</t>
        </is>
      </c>
      <c r="L1547" s="12" t="inlineStr"/>
      <c r="M1547" s="12" t="inlineStr">
        <is>
          <t>Initial</t>
        </is>
      </c>
      <c r="N1547" s="12" t="inlineStr">
        <is>
          <t>Rev 0</t>
        </is>
      </c>
      <c r="O1547" s="12" t="inlineStr">
        <is>
          <t>R1405-v2</t>
        </is>
      </c>
      <c r="P1547" s="12" t="inlineStr"/>
      <c r="Q1547" s="12" t="inlineStr"/>
      <c r="R1547" s="12" t="inlineStr"/>
      <c r="S1547" s="12" t="inlineStr"/>
      <c r="T1547" s="12" t="inlineStr">
        <is>
          <t>Group decision (81 records sharing one decision state)</t>
        </is>
      </c>
      <c r="U1547" s="12" t="inlineStr"/>
      <c r="V1547" s="12" t="inlineStr">
        <is>
          <t>Cost Account = CA-5003</t>
        </is>
      </c>
      <c r="W1547" s="12" t="inlineStr"/>
    </row>
    <row r="1548" ht="64" customHeight="1">
      <c r="A1548" s="12" t="inlineStr">
        <is>
          <t>UNSURE</t>
        </is>
      </c>
      <c r="B1548" s="12" t="inlineStr"/>
      <c r="C1548" s="12" t="inlineStr">
        <is>
          <t>Cost &amp; Forecast Control Accounts</t>
        </is>
      </c>
      <c r="D1548" s="12" t="inlineStr">
        <is>
          <t>CST-05-004</t>
        </is>
      </c>
      <c r="E1548" s="12" t="inlineStr">
        <is>
          <t>Testing &amp; readiness - test management - control account</t>
        </is>
      </c>
      <c r="F1548" s="12" t="inlineStr">
        <is>
          <t>UNSURE</t>
        </is>
      </c>
      <c r="G1548" s="12" t="inlineStr">
        <is>
          <t>APPROVED</t>
        </is>
      </c>
      <c r="H1548" s="12" t="inlineStr">
        <is>
          <t>New</t>
        </is>
      </c>
      <c r="I1548" s="12" t="inlineStr">
        <is>
          <t>Professional decision</t>
        </is>
      </c>
      <c r="J1548" s="12" t="inlineStr">
        <is>
          <t>Maya Chen, Owner Project Controls</t>
        </is>
      </c>
      <c r="K1548" s="12" t="inlineStr">
        <is>
          <t>Professional</t>
        </is>
      </c>
      <c r="L1548" s="12" t="inlineStr"/>
      <c r="M1548" s="12" t="inlineStr">
        <is>
          <t>Initial</t>
        </is>
      </c>
      <c r="N1548" s="12" t="inlineStr">
        <is>
          <t>Rev 0</t>
        </is>
      </c>
      <c r="O1548" s="12" t="inlineStr">
        <is>
          <t>R1406-v2</t>
        </is>
      </c>
      <c r="P1548" s="12" t="inlineStr"/>
      <c r="Q1548" s="12" t="inlineStr"/>
      <c r="R1548" s="12" t="inlineStr"/>
      <c r="S1548" s="12" t="inlineStr"/>
      <c r="T1548" s="12" t="inlineStr">
        <is>
          <t>Group decision (81 records sharing one decision state)</t>
        </is>
      </c>
      <c r="U1548" s="12" t="inlineStr"/>
      <c r="V1548" s="12" t="inlineStr">
        <is>
          <t>Cost Account = CA-5004</t>
        </is>
      </c>
      <c r="W1548" s="12" t="inlineStr"/>
    </row>
    <row r="1549" ht="64" customHeight="1">
      <c r="A1549" s="12" t="inlineStr">
        <is>
          <t>UNSURE</t>
        </is>
      </c>
      <c r="B1549" s="12" t="inlineStr"/>
      <c r="C1549" s="12" t="inlineStr">
        <is>
          <t>Cost &amp; Forecast Control Accounts</t>
        </is>
      </c>
      <c r="D1549" s="12" t="inlineStr">
        <is>
          <t>CST-05-005</t>
        </is>
      </c>
      <c r="E1549" s="12" t="inlineStr">
        <is>
          <t>Testing &amp; readiness - trial running - control account</t>
        </is>
      </c>
      <c r="F1549" s="12" t="inlineStr">
        <is>
          <t>UNSURE</t>
        </is>
      </c>
      <c r="G1549" s="12" t="inlineStr">
        <is>
          <t>APPROVED</t>
        </is>
      </c>
      <c r="H1549" s="12" t="inlineStr">
        <is>
          <t>New</t>
        </is>
      </c>
      <c r="I1549" s="12" t="inlineStr">
        <is>
          <t>Professional decision</t>
        </is>
      </c>
      <c r="J1549" s="12" t="inlineStr">
        <is>
          <t>Maya Chen, Owner Project Controls</t>
        </is>
      </c>
      <c r="K1549" s="12" t="inlineStr">
        <is>
          <t>Professional</t>
        </is>
      </c>
      <c r="L1549" s="12" t="inlineStr"/>
      <c r="M1549" s="12" t="inlineStr">
        <is>
          <t>Initial</t>
        </is>
      </c>
      <c r="N1549" s="12" t="inlineStr">
        <is>
          <t>Rev 0</t>
        </is>
      </c>
      <c r="O1549" s="12" t="inlineStr">
        <is>
          <t>R1407-v2</t>
        </is>
      </c>
      <c r="P1549" s="12" t="inlineStr"/>
      <c r="Q1549" s="12" t="inlineStr"/>
      <c r="R1549" s="12" t="inlineStr"/>
      <c r="S1549" s="12" t="inlineStr"/>
      <c r="T1549" s="12" t="inlineStr">
        <is>
          <t>Group decision (81 records sharing one decision state)</t>
        </is>
      </c>
      <c r="U1549" s="12" t="inlineStr"/>
      <c r="V1549" s="12" t="inlineStr">
        <is>
          <t>Cost Account = CA-5005</t>
        </is>
      </c>
      <c r="W1549" s="12" t="inlineStr"/>
    </row>
    <row r="1550" ht="64" customHeight="1">
      <c r="A1550" s="12" t="inlineStr">
        <is>
          <t>UNSURE</t>
        </is>
      </c>
      <c r="B1550" s="12" t="inlineStr"/>
      <c r="C1550" s="12" t="inlineStr">
        <is>
          <t>Cost &amp; Forecast Control Accounts</t>
        </is>
      </c>
      <c r="D1550" s="12" t="inlineStr">
        <is>
          <t>CST-05-006</t>
        </is>
      </c>
      <c r="E1550" s="12" t="inlineStr">
        <is>
          <t>Testing &amp; readiness - safety certification - control account</t>
        </is>
      </c>
      <c r="F1550" s="12" t="inlineStr">
        <is>
          <t>UNSURE</t>
        </is>
      </c>
      <c r="G1550" s="12" t="inlineStr">
        <is>
          <t>APPROVED</t>
        </is>
      </c>
      <c r="H1550" s="12" t="inlineStr">
        <is>
          <t>New</t>
        </is>
      </c>
      <c r="I1550" s="12" t="inlineStr">
        <is>
          <t>Professional decision</t>
        </is>
      </c>
      <c r="J1550" s="12" t="inlineStr">
        <is>
          <t>Maya Chen, Owner Project Controls</t>
        </is>
      </c>
      <c r="K1550" s="12" t="inlineStr">
        <is>
          <t>Professional</t>
        </is>
      </c>
      <c r="L1550" s="12" t="inlineStr"/>
      <c r="M1550" s="12" t="inlineStr">
        <is>
          <t>Initial</t>
        </is>
      </c>
      <c r="N1550" s="12" t="inlineStr">
        <is>
          <t>Rev 0</t>
        </is>
      </c>
      <c r="O1550" s="12" t="inlineStr">
        <is>
          <t>R1408-v2</t>
        </is>
      </c>
      <c r="P1550" s="12" t="inlineStr"/>
      <c r="Q1550" s="12" t="inlineStr"/>
      <c r="R1550" s="12" t="inlineStr"/>
      <c r="S1550" s="12" t="inlineStr"/>
      <c r="T1550" s="12" t="inlineStr">
        <is>
          <t>Group decision (81 records sharing one decision state)</t>
        </is>
      </c>
      <c r="U1550" s="12" t="inlineStr"/>
      <c r="V1550" s="12" t="inlineStr">
        <is>
          <t>Cost Account = CA-5006</t>
        </is>
      </c>
      <c r="W1550" s="12" t="inlineStr"/>
    </row>
    <row r="1551" ht="64" customHeight="1">
      <c r="A1551" s="12" t="inlineStr">
        <is>
          <t>UNSURE</t>
        </is>
      </c>
      <c r="B1551" s="12" t="inlineStr"/>
      <c r="C1551" s="12" t="inlineStr">
        <is>
          <t>Cost &amp; Forecast Control Accounts</t>
        </is>
      </c>
      <c r="D1551" s="12" t="inlineStr">
        <is>
          <t>CST-05-007</t>
        </is>
      </c>
      <c r="E1551" s="12" t="inlineStr">
        <is>
          <t>Testing &amp; readiness - defect closeout - control account</t>
        </is>
      </c>
      <c r="F1551" s="12" t="inlineStr">
        <is>
          <t>UNSURE</t>
        </is>
      </c>
      <c r="G1551" s="12" t="inlineStr">
        <is>
          <t>APPROVED</t>
        </is>
      </c>
      <c r="H1551" s="12" t="inlineStr">
        <is>
          <t>New</t>
        </is>
      </c>
      <c r="I1551" s="12" t="inlineStr">
        <is>
          <t>Professional decision</t>
        </is>
      </c>
      <c r="J1551" s="12" t="inlineStr">
        <is>
          <t>Maya Chen, Owner Project Controls</t>
        </is>
      </c>
      <c r="K1551" s="12" t="inlineStr">
        <is>
          <t>Professional</t>
        </is>
      </c>
      <c r="L1551" s="12" t="inlineStr"/>
      <c r="M1551" s="12" t="inlineStr">
        <is>
          <t>Initial</t>
        </is>
      </c>
      <c r="N1551" s="12" t="inlineStr">
        <is>
          <t>Rev 0</t>
        </is>
      </c>
      <c r="O1551" s="12" t="inlineStr">
        <is>
          <t>R1409-v2</t>
        </is>
      </c>
      <c r="P1551" s="12" t="inlineStr"/>
      <c r="Q1551" s="12" t="inlineStr"/>
      <c r="R1551" s="12" t="inlineStr"/>
      <c r="S1551" s="12" t="inlineStr"/>
      <c r="T1551" s="12" t="inlineStr">
        <is>
          <t>Group decision (81 records sharing one decision state)</t>
        </is>
      </c>
      <c r="U1551" s="12" t="inlineStr"/>
      <c r="V1551" s="12" t="inlineStr">
        <is>
          <t>Cost Account = CA-5007</t>
        </is>
      </c>
      <c r="W1551" s="12" t="inlineStr"/>
    </row>
    <row r="1552" ht="64" customHeight="1">
      <c r="A1552" s="12" t="inlineStr">
        <is>
          <t>UNSURE</t>
        </is>
      </c>
      <c r="B1552" s="12" t="inlineStr"/>
      <c r="C1552" s="12" t="inlineStr">
        <is>
          <t>Cost &amp; Forecast Control Accounts</t>
        </is>
      </c>
      <c r="D1552" s="12" t="inlineStr">
        <is>
          <t>CST-05-008</t>
        </is>
      </c>
      <c r="E1552" s="12" t="inlineStr">
        <is>
          <t>Testing &amp; readiness - test management - control account</t>
        </is>
      </c>
      <c r="F1552" s="12" t="inlineStr">
        <is>
          <t>UNSURE</t>
        </is>
      </c>
      <c r="G1552" s="12" t="inlineStr">
        <is>
          <t>APPROVED</t>
        </is>
      </c>
      <c r="H1552" s="12" t="inlineStr">
        <is>
          <t>New</t>
        </is>
      </c>
      <c r="I1552" s="12" t="inlineStr">
        <is>
          <t>Professional decision</t>
        </is>
      </c>
      <c r="J1552" s="12" t="inlineStr">
        <is>
          <t>Maya Chen, Owner Project Controls</t>
        </is>
      </c>
      <c r="K1552" s="12" t="inlineStr">
        <is>
          <t>Professional</t>
        </is>
      </c>
      <c r="L1552" s="12" t="inlineStr"/>
      <c r="M1552" s="12" t="inlineStr">
        <is>
          <t>Initial</t>
        </is>
      </c>
      <c r="N1552" s="12" t="inlineStr">
        <is>
          <t>Rev 0</t>
        </is>
      </c>
      <c r="O1552" s="12" t="inlineStr">
        <is>
          <t>R1410-v2</t>
        </is>
      </c>
      <c r="P1552" s="12" t="inlineStr"/>
      <c r="Q1552" s="12" t="inlineStr"/>
      <c r="R1552" s="12" t="inlineStr"/>
      <c r="S1552" s="12" t="inlineStr"/>
      <c r="T1552" s="12" t="inlineStr">
        <is>
          <t>Group decision (81 records sharing one decision state)</t>
        </is>
      </c>
      <c r="U1552" s="12" t="inlineStr"/>
      <c r="V1552" s="12" t="inlineStr">
        <is>
          <t>Cost Account = CA-5008</t>
        </is>
      </c>
      <c r="W1552" s="12" t="inlineStr"/>
    </row>
    <row r="1553" ht="64" customHeight="1">
      <c r="A1553" s="12" t="inlineStr">
        <is>
          <t>UNSURE</t>
        </is>
      </c>
      <c r="B1553" s="12" t="inlineStr"/>
      <c r="C1553" s="12" t="inlineStr">
        <is>
          <t>Cost &amp; Forecast Control Accounts</t>
        </is>
      </c>
      <c r="D1553" s="12" t="inlineStr">
        <is>
          <t>CST-05-009</t>
        </is>
      </c>
      <c r="E1553" s="12" t="inlineStr">
        <is>
          <t>Testing &amp; readiness - trial running - control account</t>
        </is>
      </c>
      <c r="F1553" s="12" t="inlineStr">
        <is>
          <t>UNSURE</t>
        </is>
      </c>
      <c r="G1553" s="12" t="inlineStr">
        <is>
          <t>APPROVED</t>
        </is>
      </c>
      <c r="H1553" s="12" t="inlineStr">
        <is>
          <t>New</t>
        </is>
      </c>
      <c r="I1553" s="12" t="inlineStr">
        <is>
          <t>Professional decision</t>
        </is>
      </c>
      <c r="J1553" s="12" t="inlineStr">
        <is>
          <t>Maya Chen, Owner Project Controls</t>
        </is>
      </c>
      <c r="K1553" s="12" t="inlineStr">
        <is>
          <t>Professional</t>
        </is>
      </c>
      <c r="L1553" s="12" t="inlineStr"/>
      <c r="M1553" s="12" t="inlineStr">
        <is>
          <t>Initial</t>
        </is>
      </c>
      <c r="N1553" s="12" t="inlineStr">
        <is>
          <t>Rev 0</t>
        </is>
      </c>
      <c r="O1553" s="12" t="inlineStr">
        <is>
          <t>R1411-v2</t>
        </is>
      </c>
      <c r="P1553" s="12" t="inlineStr"/>
      <c r="Q1553" s="12" t="inlineStr"/>
      <c r="R1553" s="12" t="inlineStr"/>
      <c r="S1553" s="12" t="inlineStr"/>
      <c r="T1553" s="12" t="inlineStr">
        <is>
          <t>Group decision (81 records sharing one decision state)</t>
        </is>
      </c>
      <c r="U1553" s="12" t="inlineStr"/>
      <c r="V1553" s="12" t="inlineStr">
        <is>
          <t>Cost Account = CA-5009</t>
        </is>
      </c>
      <c r="W1553" s="12" t="inlineStr"/>
    </row>
    <row r="1554" ht="64" customHeight="1">
      <c r="A1554" s="12" t="inlineStr">
        <is>
          <t>UNSURE</t>
        </is>
      </c>
      <c r="B1554" s="12" t="inlineStr"/>
      <c r="C1554" s="12" t="inlineStr">
        <is>
          <t>Cost &amp; Forecast Control Accounts</t>
        </is>
      </c>
      <c r="D1554" s="12" t="inlineStr">
        <is>
          <t>CST-05-010</t>
        </is>
      </c>
      <c r="E1554" s="12" t="inlineStr">
        <is>
          <t>Testing &amp; readiness - safety certification - control account</t>
        </is>
      </c>
      <c r="F1554" s="12" t="inlineStr">
        <is>
          <t>UNSURE</t>
        </is>
      </c>
      <c r="G1554" s="12" t="inlineStr">
        <is>
          <t>APPROVED</t>
        </is>
      </c>
      <c r="H1554" s="12" t="inlineStr">
        <is>
          <t>New</t>
        </is>
      </c>
      <c r="I1554" s="12" t="inlineStr">
        <is>
          <t>Professional decision</t>
        </is>
      </c>
      <c r="J1554" s="12" t="inlineStr">
        <is>
          <t>Maya Chen, Owner Project Controls</t>
        </is>
      </c>
      <c r="K1554" s="12" t="inlineStr">
        <is>
          <t>Professional</t>
        </is>
      </c>
      <c r="L1554" s="12" t="inlineStr"/>
      <c r="M1554" s="12" t="inlineStr">
        <is>
          <t>Initial</t>
        </is>
      </c>
      <c r="N1554" s="12" t="inlineStr">
        <is>
          <t>Rev 0</t>
        </is>
      </c>
      <c r="O1554" s="12" t="inlineStr">
        <is>
          <t>R1412-v2</t>
        </is>
      </c>
      <c r="P1554" s="12" t="inlineStr"/>
      <c r="Q1554" s="12" t="inlineStr"/>
      <c r="R1554" s="12" t="inlineStr"/>
      <c r="S1554" s="12" t="inlineStr"/>
      <c r="T1554" s="12" t="inlineStr">
        <is>
          <t>Group decision (81 records sharing one decision state)</t>
        </is>
      </c>
      <c r="U1554" s="12" t="inlineStr"/>
      <c r="V1554" s="12" t="inlineStr">
        <is>
          <t>Cost Account = CA-5010</t>
        </is>
      </c>
      <c r="W1554" s="12" t="inlineStr"/>
    </row>
    <row r="1555" ht="64" customHeight="1">
      <c r="A1555" s="12" t="inlineStr">
        <is>
          <t>UNSURE</t>
        </is>
      </c>
      <c r="B1555" s="12" t="inlineStr"/>
      <c r="C1555" s="12" t="inlineStr">
        <is>
          <t>Cost &amp; Forecast Control Accounts</t>
        </is>
      </c>
      <c r="D1555" s="12" t="inlineStr">
        <is>
          <t>CST-05-011</t>
        </is>
      </c>
      <c r="E1555" s="12" t="inlineStr">
        <is>
          <t>Testing &amp; readiness - defect closeout - control account</t>
        </is>
      </c>
      <c r="F1555" s="12" t="inlineStr">
        <is>
          <t>UNSURE</t>
        </is>
      </c>
      <c r="G1555" s="12" t="inlineStr">
        <is>
          <t>APPROVED</t>
        </is>
      </c>
      <c r="H1555" s="12" t="inlineStr">
        <is>
          <t>New</t>
        </is>
      </c>
      <c r="I1555" s="12" t="inlineStr">
        <is>
          <t>Professional decision</t>
        </is>
      </c>
      <c r="J1555" s="12" t="inlineStr">
        <is>
          <t>Maya Chen, Owner Project Controls</t>
        </is>
      </c>
      <c r="K1555" s="12" t="inlineStr">
        <is>
          <t>Professional</t>
        </is>
      </c>
      <c r="L1555" s="12" t="inlineStr"/>
      <c r="M1555" s="12" t="inlineStr">
        <is>
          <t>Initial</t>
        </is>
      </c>
      <c r="N1555" s="12" t="inlineStr">
        <is>
          <t>Rev 0</t>
        </is>
      </c>
      <c r="O1555" s="12" t="inlineStr">
        <is>
          <t>R1413-v2</t>
        </is>
      </c>
      <c r="P1555" s="12" t="inlineStr"/>
      <c r="Q1555" s="12" t="inlineStr"/>
      <c r="R1555" s="12" t="inlineStr"/>
      <c r="S1555" s="12" t="inlineStr"/>
      <c r="T1555" s="12" t="inlineStr">
        <is>
          <t>Group decision (81 records sharing one decision state)</t>
        </is>
      </c>
      <c r="U1555" s="12" t="inlineStr"/>
      <c r="V1555" s="12" t="inlineStr">
        <is>
          <t>Cost Account = CA-5011</t>
        </is>
      </c>
      <c r="W1555" s="12" t="inlineStr"/>
    </row>
    <row r="1556" ht="64" customHeight="1">
      <c r="A1556" s="12" t="inlineStr">
        <is>
          <t>UNSURE</t>
        </is>
      </c>
      <c r="B1556" s="12" t="inlineStr"/>
      <c r="C1556" s="12" t="inlineStr">
        <is>
          <t>Cost &amp; Forecast Control Accounts</t>
        </is>
      </c>
      <c r="D1556" s="12" t="inlineStr">
        <is>
          <t>CST-05-012</t>
        </is>
      </c>
      <c r="E1556" s="12" t="inlineStr">
        <is>
          <t>Testing &amp; readiness - test management - control account</t>
        </is>
      </c>
      <c r="F1556" s="12" t="inlineStr">
        <is>
          <t>UNSURE</t>
        </is>
      </c>
      <c r="G1556" s="12" t="inlineStr">
        <is>
          <t>APPROVED</t>
        </is>
      </c>
      <c r="H1556" s="12" t="inlineStr">
        <is>
          <t>New</t>
        </is>
      </c>
      <c r="I1556" s="12" t="inlineStr">
        <is>
          <t>Professional decision</t>
        </is>
      </c>
      <c r="J1556" s="12" t="inlineStr">
        <is>
          <t>Maya Chen, Owner Project Controls</t>
        </is>
      </c>
      <c r="K1556" s="12" t="inlineStr">
        <is>
          <t>Professional</t>
        </is>
      </c>
      <c r="L1556" s="12" t="inlineStr"/>
      <c r="M1556" s="12" t="inlineStr">
        <is>
          <t>Initial</t>
        </is>
      </c>
      <c r="N1556" s="12" t="inlineStr">
        <is>
          <t>Rev 0</t>
        </is>
      </c>
      <c r="O1556" s="12" t="inlineStr">
        <is>
          <t>R1414-v2</t>
        </is>
      </c>
      <c r="P1556" s="12" t="inlineStr"/>
      <c r="Q1556" s="12" t="inlineStr"/>
      <c r="R1556" s="12" t="inlineStr"/>
      <c r="S1556" s="12" t="inlineStr"/>
      <c r="T1556" s="12" t="inlineStr">
        <is>
          <t>Group decision (81 records sharing one decision state)</t>
        </is>
      </c>
      <c r="U1556" s="12" t="inlineStr"/>
      <c r="V1556" s="12" t="inlineStr">
        <is>
          <t>Cost Account = CA-5012</t>
        </is>
      </c>
      <c r="W1556" s="12" t="inlineStr"/>
    </row>
    <row r="1557" ht="64" customHeight="1">
      <c r="A1557" s="12" t="inlineStr">
        <is>
          <t>UNSURE</t>
        </is>
      </c>
      <c r="B1557" s="12" t="inlineStr"/>
      <c r="C1557" s="12" t="inlineStr">
        <is>
          <t>Cost &amp; Forecast Control Accounts</t>
        </is>
      </c>
      <c r="D1557" s="12" t="inlineStr">
        <is>
          <t>CST-05-013</t>
        </is>
      </c>
      <c r="E1557" s="12" t="inlineStr">
        <is>
          <t>Testing &amp; readiness - trial running - control account</t>
        </is>
      </c>
      <c r="F1557" s="12" t="inlineStr">
        <is>
          <t>UNSURE</t>
        </is>
      </c>
      <c r="G1557" s="12" t="inlineStr">
        <is>
          <t>APPROVED</t>
        </is>
      </c>
      <c r="H1557" s="12" t="inlineStr">
        <is>
          <t>New</t>
        </is>
      </c>
      <c r="I1557" s="12" t="inlineStr">
        <is>
          <t>Professional decision</t>
        </is>
      </c>
      <c r="J1557" s="12" t="inlineStr">
        <is>
          <t>Maya Chen, Owner Project Controls</t>
        </is>
      </c>
      <c r="K1557" s="12" t="inlineStr">
        <is>
          <t>Professional</t>
        </is>
      </c>
      <c r="L1557" s="12" t="inlineStr"/>
      <c r="M1557" s="12" t="inlineStr">
        <is>
          <t>Initial</t>
        </is>
      </c>
      <c r="N1557" s="12" t="inlineStr">
        <is>
          <t>Rev 0</t>
        </is>
      </c>
      <c r="O1557" s="12" t="inlineStr">
        <is>
          <t>R1415-v2</t>
        </is>
      </c>
      <c r="P1557" s="12" t="inlineStr"/>
      <c r="Q1557" s="12" t="inlineStr"/>
      <c r="R1557" s="12" t="inlineStr"/>
      <c r="S1557" s="12" t="inlineStr"/>
      <c r="T1557" s="12" t="inlineStr">
        <is>
          <t>Group decision (81 records sharing one decision state)</t>
        </is>
      </c>
      <c r="U1557" s="12" t="inlineStr"/>
      <c r="V1557" s="12" t="inlineStr">
        <is>
          <t>Cost Account = CA-5013</t>
        </is>
      </c>
      <c r="W1557" s="12" t="inlineStr"/>
    </row>
    <row r="1558" ht="64" customHeight="1">
      <c r="A1558" s="12" t="inlineStr">
        <is>
          <t>UNSURE</t>
        </is>
      </c>
      <c r="B1558" s="12" t="inlineStr"/>
      <c r="C1558" s="12" t="inlineStr">
        <is>
          <t>Cost &amp; Forecast Control Accounts</t>
        </is>
      </c>
      <c r="D1558" s="12" t="inlineStr">
        <is>
          <t>CST-05-014</t>
        </is>
      </c>
      <c r="E1558" s="12" t="inlineStr">
        <is>
          <t>Testing &amp; readiness - safety certification - control account</t>
        </is>
      </c>
      <c r="F1558" s="12" t="inlineStr">
        <is>
          <t>UNSURE</t>
        </is>
      </c>
      <c r="G1558" s="12" t="inlineStr">
        <is>
          <t>APPROVED</t>
        </is>
      </c>
      <c r="H1558" s="12" t="inlineStr">
        <is>
          <t>New</t>
        </is>
      </c>
      <c r="I1558" s="12" t="inlineStr">
        <is>
          <t>Professional decision</t>
        </is>
      </c>
      <c r="J1558" s="12" t="inlineStr">
        <is>
          <t>Maya Chen, Owner Project Controls</t>
        </is>
      </c>
      <c r="K1558" s="12" t="inlineStr">
        <is>
          <t>Professional</t>
        </is>
      </c>
      <c r="L1558" s="12" t="inlineStr"/>
      <c r="M1558" s="12" t="inlineStr">
        <is>
          <t>Initial</t>
        </is>
      </c>
      <c r="N1558" s="12" t="inlineStr">
        <is>
          <t>Rev 0</t>
        </is>
      </c>
      <c r="O1558" s="12" t="inlineStr">
        <is>
          <t>R1416-v2</t>
        </is>
      </c>
      <c r="P1558" s="12" t="inlineStr"/>
      <c r="Q1558" s="12" t="inlineStr"/>
      <c r="R1558" s="12" t="inlineStr"/>
      <c r="S1558" s="12" t="inlineStr"/>
      <c r="T1558" s="12" t="inlineStr">
        <is>
          <t>Group decision (81 records sharing one decision state)</t>
        </is>
      </c>
      <c r="U1558" s="12" t="inlineStr"/>
      <c r="V1558" s="12" t="inlineStr">
        <is>
          <t>Cost Account = CA-5014</t>
        </is>
      </c>
      <c r="W1558" s="12" t="inlineStr"/>
    </row>
    <row r="1559" ht="64" customHeight="1">
      <c r="A1559" s="12" t="inlineStr">
        <is>
          <t>UNSURE</t>
        </is>
      </c>
      <c r="B1559" s="12" t="inlineStr"/>
      <c r="C1559" s="12" t="inlineStr">
        <is>
          <t>Cost &amp; Forecast Control Accounts</t>
        </is>
      </c>
      <c r="D1559" s="12" t="inlineStr">
        <is>
          <t>CST-05-015</t>
        </is>
      </c>
      <c r="E1559" s="12" t="inlineStr">
        <is>
          <t>Testing &amp; readiness - defect closeout - control account</t>
        </is>
      </c>
      <c r="F1559" s="12" t="inlineStr">
        <is>
          <t>UNSURE</t>
        </is>
      </c>
      <c r="G1559" s="12" t="inlineStr">
        <is>
          <t>APPROVED</t>
        </is>
      </c>
      <c r="H1559" s="12" t="inlineStr">
        <is>
          <t>New</t>
        </is>
      </c>
      <c r="I1559" s="12" t="inlineStr">
        <is>
          <t>Professional decision</t>
        </is>
      </c>
      <c r="J1559" s="12" t="inlineStr">
        <is>
          <t>Maya Chen, Owner Project Controls</t>
        </is>
      </c>
      <c r="K1559" s="12" t="inlineStr">
        <is>
          <t>Professional</t>
        </is>
      </c>
      <c r="L1559" s="12" t="inlineStr"/>
      <c r="M1559" s="12" t="inlineStr">
        <is>
          <t>Initial</t>
        </is>
      </c>
      <c r="N1559" s="12" t="inlineStr">
        <is>
          <t>Rev 0</t>
        </is>
      </c>
      <c r="O1559" s="12" t="inlineStr">
        <is>
          <t>R1417-v2</t>
        </is>
      </c>
      <c r="P1559" s="12" t="inlineStr"/>
      <c r="Q1559" s="12" t="inlineStr"/>
      <c r="R1559" s="12" t="inlineStr"/>
      <c r="S1559" s="12" t="inlineStr"/>
      <c r="T1559" s="12" t="inlineStr">
        <is>
          <t>Group decision (81 records sharing one decision state)</t>
        </is>
      </c>
      <c r="U1559" s="12" t="inlineStr"/>
      <c r="V1559" s="12" t="inlineStr">
        <is>
          <t>Cost Account = CA-5015</t>
        </is>
      </c>
      <c r="W1559" s="12" t="inlineStr"/>
    </row>
    <row r="1560" ht="64" customHeight="1">
      <c r="A1560" s="12" t="inlineStr">
        <is>
          <t>UNSURE</t>
        </is>
      </c>
      <c r="B1560" s="12" t="inlineStr"/>
      <c r="C1560" s="12" t="inlineStr">
        <is>
          <t>Cost &amp; Forecast Control Accounts</t>
        </is>
      </c>
      <c r="D1560" s="12" t="inlineStr">
        <is>
          <t>CST-05-016</t>
        </is>
      </c>
      <c r="E1560" s="12" t="inlineStr">
        <is>
          <t>Testing &amp; readiness - test management - control account</t>
        </is>
      </c>
      <c r="F1560" s="12" t="inlineStr">
        <is>
          <t>UNSURE</t>
        </is>
      </c>
      <c r="G1560" s="12" t="inlineStr">
        <is>
          <t>APPROVED</t>
        </is>
      </c>
      <c r="H1560" s="12" t="inlineStr">
        <is>
          <t>New</t>
        </is>
      </c>
      <c r="I1560" s="12" t="inlineStr">
        <is>
          <t>Professional decision</t>
        </is>
      </c>
      <c r="J1560" s="12" t="inlineStr">
        <is>
          <t>Maya Chen, Owner Project Controls</t>
        </is>
      </c>
      <c r="K1560" s="12" t="inlineStr">
        <is>
          <t>Professional</t>
        </is>
      </c>
      <c r="L1560" s="12" t="inlineStr"/>
      <c r="M1560" s="12" t="inlineStr">
        <is>
          <t>Initial</t>
        </is>
      </c>
      <c r="N1560" s="12" t="inlineStr">
        <is>
          <t>Rev 0</t>
        </is>
      </c>
      <c r="O1560" s="12" t="inlineStr">
        <is>
          <t>R1418-v2</t>
        </is>
      </c>
      <c r="P1560" s="12" t="inlineStr"/>
      <c r="Q1560" s="12" t="inlineStr"/>
      <c r="R1560" s="12" t="inlineStr"/>
      <c r="S1560" s="12" t="inlineStr"/>
      <c r="T1560" s="12" t="inlineStr">
        <is>
          <t>Group decision (81 records sharing one decision state)</t>
        </is>
      </c>
      <c r="U1560" s="12" t="inlineStr"/>
      <c r="V1560" s="12" t="inlineStr">
        <is>
          <t>Cost Account = CA-5016</t>
        </is>
      </c>
      <c r="W1560" s="12" t="inlineStr"/>
    </row>
    <row r="1561" ht="64" customHeight="1">
      <c r="A1561" s="12" t="inlineStr">
        <is>
          <t>UNSURE</t>
        </is>
      </c>
      <c r="B1561" s="12" t="inlineStr"/>
      <c r="C1561" s="12" t="inlineStr">
        <is>
          <t>Cost &amp; Forecast Control Accounts</t>
        </is>
      </c>
      <c r="D1561" s="12" t="inlineStr">
        <is>
          <t>CST-05-017</t>
        </is>
      </c>
      <c r="E1561" s="12" t="inlineStr">
        <is>
          <t>Testing &amp; readiness - trial running - control account</t>
        </is>
      </c>
      <c r="F1561" s="12" t="inlineStr">
        <is>
          <t>UNSURE</t>
        </is>
      </c>
      <c r="G1561" s="12" t="inlineStr">
        <is>
          <t>APPROVED</t>
        </is>
      </c>
      <c r="H1561" s="12" t="inlineStr">
        <is>
          <t>New</t>
        </is>
      </c>
      <c r="I1561" s="12" t="inlineStr">
        <is>
          <t>Professional decision</t>
        </is>
      </c>
      <c r="J1561" s="12" t="inlineStr">
        <is>
          <t>Maya Chen, Owner Project Controls</t>
        </is>
      </c>
      <c r="K1561" s="12" t="inlineStr">
        <is>
          <t>Professional</t>
        </is>
      </c>
      <c r="L1561" s="12" t="inlineStr"/>
      <c r="M1561" s="12" t="inlineStr">
        <is>
          <t>Initial</t>
        </is>
      </c>
      <c r="N1561" s="12" t="inlineStr">
        <is>
          <t>Rev 0</t>
        </is>
      </c>
      <c r="O1561" s="12" t="inlineStr">
        <is>
          <t>R1419-v2</t>
        </is>
      </c>
      <c r="P1561" s="12" t="inlineStr"/>
      <c r="Q1561" s="12" t="inlineStr"/>
      <c r="R1561" s="12" t="inlineStr"/>
      <c r="S1561" s="12" t="inlineStr"/>
      <c r="T1561" s="12" t="inlineStr">
        <is>
          <t>Group decision (81 records sharing one decision state)</t>
        </is>
      </c>
      <c r="U1561" s="12" t="inlineStr"/>
      <c r="V1561" s="12" t="inlineStr">
        <is>
          <t>Cost Account = CA-5017</t>
        </is>
      </c>
      <c r="W1561" s="12" t="inlineStr"/>
    </row>
    <row r="1562" ht="64" customHeight="1">
      <c r="A1562" s="12" t="inlineStr">
        <is>
          <t>UNSURE</t>
        </is>
      </c>
      <c r="B1562" s="12" t="inlineStr"/>
      <c r="C1562" s="12" t="inlineStr">
        <is>
          <t>Cost &amp; Forecast Control Accounts</t>
        </is>
      </c>
      <c r="D1562" s="12" t="inlineStr">
        <is>
          <t>CST-05-018</t>
        </is>
      </c>
      <c r="E1562" s="12" t="inlineStr">
        <is>
          <t>Testing &amp; readiness - safety certification - control account</t>
        </is>
      </c>
      <c r="F1562" s="12" t="inlineStr">
        <is>
          <t>UNSURE</t>
        </is>
      </c>
      <c r="G1562" s="12" t="inlineStr">
        <is>
          <t>APPROVED</t>
        </is>
      </c>
      <c r="H1562" s="12" t="inlineStr">
        <is>
          <t>New</t>
        </is>
      </c>
      <c r="I1562" s="12" t="inlineStr">
        <is>
          <t>Professional decision</t>
        </is>
      </c>
      <c r="J1562" s="12" t="inlineStr">
        <is>
          <t>Maya Chen, Owner Project Controls</t>
        </is>
      </c>
      <c r="K1562" s="12" t="inlineStr">
        <is>
          <t>Professional</t>
        </is>
      </c>
      <c r="L1562" s="12" t="inlineStr"/>
      <c r="M1562" s="12" t="inlineStr">
        <is>
          <t>Initial</t>
        </is>
      </c>
      <c r="N1562" s="12" t="inlineStr">
        <is>
          <t>Rev 0</t>
        </is>
      </c>
      <c r="O1562" s="12" t="inlineStr">
        <is>
          <t>R1420-v2</t>
        </is>
      </c>
      <c r="P1562" s="12" t="inlineStr"/>
      <c r="Q1562" s="12" t="inlineStr"/>
      <c r="R1562" s="12" t="inlineStr"/>
      <c r="S1562" s="12" t="inlineStr"/>
      <c r="T1562" s="12" t="inlineStr">
        <is>
          <t>Group decision (81 records sharing one decision state)</t>
        </is>
      </c>
      <c r="U1562" s="12" t="inlineStr"/>
      <c r="V1562" s="12" t="inlineStr">
        <is>
          <t>Cost Account = CA-5018</t>
        </is>
      </c>
      <c r="W1562" s="12" t="inlineStr"/>
    </row>
    <row r="1563" ht="64" customHeight="1">
      <c r="A1563" s="12" t="inlineStr">
        <is>
          <t>UNSURE</t>
        </is>
      </c>
      <c r="B1563" s="12" t="inlineStr"/>
      <c r="C1563" s="12" t="inlineStr">
        <is>
          <t>Cost &amp; Forecast Control Accounts</t>
        </is>
      </c>
      <c r="D1563" s="12" t="inlineStr">
        <is>
          <t>CST-05-019</t>
        </is>
      </c>
      <c r="E1563" s="12" t="inlineStr">
        <is>
          <t>Testing &amp; readiness - defect closeout - control account</t>
        </is>
      </c>
      <c r="F1563" s="12" t="inlineStr">
        <is>
          <t>UNSURE</t>
        </is>
      </c>
      <c r="G1563" s="12" t="inlineStr">
        <is>
          <t>APPROVED</t>
        </is>
      </c>
      <c r="H1563" s="12" t="inlineStr">
        <is>
          <t>New</t>
        </is>
      </c>
      <c r="I1563" s="12" t="inlineStr">
        <is>
          <t>Professional decision</t>
        </is>
      </c>
      <c r="J1563" s="12" t="inlineStr">
        <is>
          <t>Maya Chen, Owner Project Controls</t>
        </is>
      </c>
      <c r="K1563" s="12" t="inlineStr">
        <is>
          <t>Professional</t>
        </is>
      </c>
      <c r="L1563" s="12" t="inlineStr"/>
      <c r="M1563" s="12" t="inlineStr">
        <is>
          <t>Initial</t>
        </is>
      </c>
      <c r="N1563" s="12" t="inlineStr">
        <is>
          <t>Rev 0</t>
        </is>
      </c>
      <c r="O1563" s="12" t="inlineStr">
        <is>
          <t>R1421-v2</t>
        </is>
      </c>
      <c r="P1563" s="12" t="inlineStr"/>
      <c r="Q1563" s="12" t="inlineStr"/>
      <c r="R1563" s="12" t="inlineStr"/>
      <c r="S1563" s="12" t="inlineStr"/>
      <c r="T1563" s="12" t="inlineStr">
        <is>
          <t>Group decision (81 records sharing one decision state)</t>
        </is>
      </c>
      <c r="U1563" s="12" t="inlineStr"/>
      <c r="V1563" s="12" t="inlineStr">
        <is>
          <t>Cost Account = CA-5019</t>
        </is>
      </c>
      <c r="W1563" s="12" t="inlineStr"/>
    </row>
    <row r="1564" ht="64" customHeight="1">
      <c r="A1564" s="12" t="inlineStr">
        <is>
          <t>UNSURE</t>
        </is>
      </c>
      <c r="B1564" s="12" t="inlineStr"/>
      <c r="C1564" s="12" t="inlineStr">
        <is>
          <t>Cost &amp; Forecast Control Accounts</t>
        </is>
      </c>
      <c r="D1564" s="12" t="inlineStr">
        <is>
          <t>CST-05-020</t>
        </is>
      </c>
      <c r="E1564" s="12" t="inlineStr">
        <is>
          <t>Testing &amp; readiness - test management - control account</t>
        </is>
      </c>
      <c r="F1564" s="12" t="inlineStr">
        <is>
          <t>UNSURE</t>
        </is>
      </c>
      <c r="G1564" s="12" t="inlineStr">
        <is>
          <t>APPROVED</t>
        </is>
      </c>
      <c r="H1564" s="12" t="inlineStr">
        <is>
          <t>New</t>
        </is>
      </c>
      <c r="I1564" s="12" t="inlineStr">
        <is>
          <t>Professional decision</t>
        </is>
      </c>
      <c r="J1564" s="12" t="inlineStr">
        <is>
          <t>Maya Chen, Owner Project Controls</t>
        </is>
      </c>
      <c r="K1564" s="12" t="inlineStr">
        <is>
          <t>Professional</t>
        </is>
      </c>
      <c r="L1564" s="12" t="inlineStr"/>
      <c r="M1564" s="12" t="inlineStr">
        <is>
          <t>Initial</t>
        </is>
      </c>
      <c r="N1564" s="12" t="inlineStr">
        <is>
          <t>Rev 0</t>
        </is>
      </c>
      <c r="O1564" s="12" t="inlineStr">
        <is>
          <t>R1422-v2</t>
        </is>
      </c>
      <c r="P1564" s="12" t="inlineStr"/>
      <c r="Q1564" s="12" t="inlineStr"/>
      <c r="R1564" s="12" t="inlineStr"/>
      <c r="S1564" s="12" t="inlineStr"/>
      <c r="T1564" s="12" t="inlineStr">
        <is>
          <t>Group decision (81 records sharing one decision state)</t>
        </is>
      </c>
      <c r="U1564" s="12" t="inlineStr"/>
      <c r="V1564" s="12" t="inlineStr">
        <is>
          <t>Cost Account = CA-5020</t>
        </is>
      </c>
      <c r="W1564" s="12" t="inlineStr"/>
    </row>
    <row r="1565" ht="64" customHeight="1">
      <c r="A1565" s="12" t="inlineStr">
        <is>
          <t>UNSURE</t>
        </is>
      </c>
      <c r="B1565" s="12" t="inlineStr"/>
      <c r="C1565" s="12" t="inlineStr">
        <is>
          <t>Cost &amp; Forecast Control Accounts</t>
        </is>
      </c>
      <c r="D1565" s="12" t="inlineStr">
        <is>
          <t>CST-05-021</t>
        </is>
      </c>
      <c r="E1565" s="12" t="inlineStr">
        <is>
          <t>Testing &amp; readiness - trial running - control account</t>
        </is>
      </c>
      <c r="F1565" s="12" t="inlineStr">
        <is>
          <t>UNSURE</t>
        </is>
      </c>
      <c r="G1565" s="12" t="inlineStr">
        <is>
          <t>APPROVED</t>
        </is>
      </c>
      <c r="H1565" s="12" t="inlineStr">
        <is>
          <t>New</t>
        </is>
      </c>
      <c r="I1565" s="12" t="inlineStr">
        <is>
          <t>Professional decision</t>
        </is>
      </c>
      <c r="J1565" s="12" t="inlineStr">
        <is>
          <t>Maya Chen, Owner Project Controls</t>
        </is>
      </c>
      <c r="K1565" s="12" t="inlineStr">
        <is>
          <t>Professional</t>
        </is>
      </c>
      <c r="L1565" s="12" t="inlineStr"/>
      <c r="M1565" s="12" t="inlineStr">
        <is>
          <t>Initial</t>
        </is>
      </c>
      <c r="N1565" s="12" t="inlineStr">
        <is>
          <t>Rev 0</t>
        </is>
      </c>
      <c r="O1565" s="12" t="inlineStr">
        <is>
          <t>R1423-v2</t>
        </is>
      </c>
      <c r="P1565" s="12" t="inlineStr"/>
      <c r="Q1565" s="12" t="inlineStr"/>
      <c r="R1565" s="12" t="inlineStr"/>
      <c r="S1565" s="12" t="inlineStr"/>
      <c r="T1565" s="12" t="inlineStr">
        <is>
          <t>Group decision (81 records sharing one decision state)</t>
        </is>
      </c>
      <c r="U1565" s="12" t="inlineStr"/>
      <c r="V1565" s="12" t="inlineStr">
        <is>
          <t>Cost Account = CA-5021</t>
        </is>
      </c>
      <c r="W1565" s="12" t="inlineStr"/>
    </row>
    <row r="1566" ht="64" customHeight="1">
      <c r="A1566" s="12" t="inlineStr">
        <is>
          <t>UNSURE</t>
        </is>
      </c>
      <c r="B1566" s="12" t="inlineStr"/>
      <c r="C1566" s="12" t="inlineStr">
        <is>
          <t>Cost &amp; Forecast Control Accounts</t>
        </is>
      </c>
      <c r="D1566" s="12" t="inlineStr">
        <is>
          <t>CST-05-022</t>
        </is>
      </c>
      <c r="E1566" s="12" t="inlineStr">
        <is>
          <t>Testing &amp; readiness - safety certification - control account</t>
        </is>
      </c>
      <c r="F1566" s="12" t="inlineStr">
        <is>
          <t>UNSURE</t>
        </is>
      </c>
      <c r="G1566" s="12" t="inlineStr">
        <is>
          <t>APPROVED</t>
        </is>
      </c>
      <c r="H1566" s="12" t="inlineStr">
        <is>
          <t>New</t>
        </is>
      </c>
      <c r="I1566" s="12" t="inlineStr">
        <is>
          <t>Professional decision</t>
        </is>
      </c>
      <c r="J1566" s="12" t="inlineStr">
        <is>
          <t>Maya Chen, Owner Project Controls</t>
        </is>
      </c>
      <c r="K1566" s="12" t="inlineStr">
        <is>
          <t>Professional</t>
        </is>
      </c>
      <c r="L1566" s="12" t="inlineStr"/>
      <c r="M1566" s="12" t="inlineStr">
        <is>
          <t>Initial</t>
        </is>
      </c>
      <c r="N1566" s="12" t="inlineStr">
        <is>
          <t>Rev 0</t>
        </is>
      </c>
      <c r="O1566" s="12" t="inlineStr">
        <is>
          <t>R1424-v2</t>
        </is>
      </c>
      <c r="P1566" s="12" t="inlineStr"/>
      <c r="Q1566" s="12" t="inlineStr"/>
      <c r="R1566" s="12" t="inlineStr"/>
      <c r="S1566" s="12" t="inlineStr"/>
      <c r="T1566" s="12" t="inlineStr">
        <is>
          <t>Group decision (81 records sharing one decision state)</t>
        </is>
      </c>
      <c r="U1566" s="12" t="inlineStr"/>
      <c r="V1566" s="12" t="inlineStr">
        <is>
          <t>Cost Account = CA-5022</t>
        </is>
      </c>
      <c r="W1566" s="12" t="inlineStr"/>
    </row>
    <row r="1567" ht="64" customHeight="1">
      <c r="A1567" s="12" t="inlineStr">
        <is>
          <t>UNSURE</t>
        </is>
      </c>
      <c r="B1567" s="12" t="inlineStr"/>
      <c r="C1567" s="12" t="inlineStr">
        <is>
          <t>Cost &amp; Forecast Control Accounts</t>
        </is>
      </c>
      <c r="D1567" s="12" t="inlineStr">
        <is>
          <t>CST-05-023</t>
        </is>
      </c>
      <c r="E1567" s="12" t="inlineStr">
        <is>
          <t>Testing &amp; readiness - defect closeout - control account</t>
        </is>
      </c>
      <c r="F1567" s="12" t="inlineStr">
        <is>
          <t>UNSURE</t>
        </is>
      </c>
      <c r="G1567" s="12" t="inlineStr">
        <is>
          <t>APPROVED</t>
        </is>
      </c>
      <c r="H1567" s="12" t="inlineStr">
        <is>
          <t>New</t>
        </is>
      </c>
      <c r="I1567" s="12" t="inlineStr">
        <is>
          <t>Professional decision</t>
        </is>
      </c>
      <c r="J1567" s="12" t="inlineStr">
        <is>
          <t>Maya Chen, Owner Project Controls</t>
        </is>
      </c>
      <c r="K1567" s="12" t="inlineStr">
        <is>
          <t>Professional</t>
        </is>
      </c>
      <c r="L1567" s="12" t="inlineStr"/>
      <c r="M1567" s="12" t="inlineStr">
        <is>
          <t>Initial</t>
        </is>
      </c>
      <c r="N1567" s="12" t="inlineStr">
        <is>
          <t>Rev 0</t>
        </is>
      </c>
      <c r="O1567" s="12" t="inlineStr">
        <is>
          <t>R1425-v2</t>
        </is>
      </c>
      <c r="P1567" s="12" t="inlineStr"/>
      <c r="Q1567" s="12" t="inlineStr"/>
      <c r="R1567" s="12" t="inlineStr"/>
      <c r="S1567" s="12" t="inlineStr"/>
      <c r="T1567" s="12" t="inlineStr">
        <is>
          <t>Group decision (81 records sharing one decision state)</t>
        </is>
      </c>
      <c r="U1567" s="12" t="inlineStr"/>
      <c r="V1567" s="12" t="inlineStr">
        <is>
          <t>Cost Account = CA-5023</t>
        </is>
      </c>
      <c r="W1567" s="12" t="inlineStr"/>
    </row>
    <row r="1568" ht="64" customHeight="1">
      <c r="A1568" s="12" t="inlineStr">
        <is>
          <t>UNSURE</t>
        </is>
      </c>
      <c r="B1568" s="12" t="inlineStr"/>
      <c r="C1568" s="12" t="inlineStr">
        <is>
          <t>Cost &amp; Forecast Control Accounts</t>
        </is>
      </c>
      <c r="D1568" s="12" t="inlineStr">
        <is>
          <t>CST-05-024</t>
        </is>
      </c>
      <c r="E1568" s="12" t="inlineStr">
        <is>
          <t>Testing &amp; readiness - test management - control account</t>
        </is>
      </c>
      <c r="F1568" s="12" t="inlineStr">
        <is>
          <t>UNSURE</t>
        </is>
      </c>
      <c r="G1568" s="12" t="inlineStr">
        <is>
          <t>APPROVED</t>
        </is>
      </c>
      <c r="H1568" s="12" t="inlineStr">
        <is>
          <t>New</t>
        </is>
      </c>
      <c r="I1568" s="12" t="inlineStr">
        <is>
          <t>Professional decision</t>
        </is>
      </c>
      <c r="J1568" s="12" t="inlineStr">
        <is>
          <t>Maya Chen, Owner Project Controls</t>
        </is>
      </c>
      <c r="K1568" s="12" t="inlineStr">
        <is>
          <t>Professional</t>
        </is>
      </c>
      <c r="L1568" s="12" t="inlineStr"/>
      <c r="M1568" s="12" t="inlineStr">
        <is>
          <t>Initial</t>
        </is>
      </c>
      <c r="N1568" s="12" t="inlineStr">
        <is>
          <t>Rev 0</t>
        </is>
      </c>
      <c r="O1568" s="12" t="inlineStr">
        <is>
          <t>R1426-v2</t>
        </is>
      </c>
      <c r="P1568" s="12" t="inlineStr"/>
      <c r="Q1568" s="12" t="inlineStr"/>
      <c r="R1568" s="12" t="inlineStr"/>
      <c r="S1568" s="12" t="inlineStr"/>
      <c r="T1568" s="12" t="inlineStr">
        <is>
          <t>Group decision (81 records sharing one decision state)</t>
        </is>
      </c>
      <c r="U1568" s="12" t="inlineStr"/>
      <c r="V1568" s="12" t="inlineStr">
        <is>
          <t>Cost Account = CA-5024</t>
        </is>
      </c>
      <c r="W1568" s="12" t="inlineStr"/>
    </row>
    <row r="1569" ht="64" customHeight="1">
      <c r="A1569" s="12" t="inlineStr">
        <is>
          <t>UNSURE</t>
        </is>
      </c>
      <c r="B1569" s="12" t="inlineStr"/>
      <c r="C1569" s="12" t="inlineStr">
        <is>
          <t>Cost &amp; Forecast Control Accounts</t>
        </is>
      </c>
      <c r="D1569" s="12" t="inlineStr">
        <is>
          <t>CST-05-025</t>
        </is>
      </c>
      <c r="E1569" s="12" t="inlineStr">
        <is>
          <t>Testing &amp; readiness - trial running - control account</t>
        </is>
      </c>
      <c r="F1569" s="12" t="inlineStr">
        <is>
          <t>UNSURE</t>
        </is>
      </c>
      <c r="G1569" s="12" t="inlineStr">
        <is>
          <t>APPROVED</t>
        </is>
      </c>
      <c r="H1569" s="12" t="inlineStr">
        <is>
          <t>New</t>
        </is>
      </c>
      <c r="I1569" s="12" t="inlineStr">
        <is>
          <t>Professional decision</t>
        </is>
      </c>
      <c r="J1569" s="12" t="inlineStr">
        <is>
          <t>Maya Chen, Owner Project Controls</t>
        </is>
      </c>
      <c r="K1569" s="12" t="inlineStr">
        <is>
          <t>Professional</t>
        </is>
      </c>
      <c r="L1569" s="12" t="inlineStr"/>
      <c r="M1569" s="12" t="inlineStr">
        <is>
          <t>Initial</t>
        </is>
      </c>
      <c r="N1569" s="12" t="inlineStr">
        <is>
          <t>Rev 0</t>
        </is>
      </c>
      <c r="O1569" s="12" t="inlineStr">
        <is>
          <t>R1427-v2</t>
        </is>
      </c>
      <c r="P1569" s="12" t="inlineStr"/>
      <c r="Q1569" s="12" t="inlineStr"/>
      <c r="R1569" s="12" t="inlineStr"/>
      <c r="S1569" s="12" t="inlineStr"/>
      <c r="T1569" s="12" t="inlineStr">
        <is>
          <t>Group decision (81 records sharing one decision state)</t>
        </is>
      </c>
      <c r="U1569" s="12" t="inlineStr"/>
      <c r="V1569" s="12" t="inlineStr">
        <is>
          <t>Cost Account = CA-5025</t>
        </is>
      </c>
      <c r="W1569" s="12" t="inlineStr"/>
    </row>
    <row r="1570" ht="64" customHeight="1">
      <c r="A1570" s="12" t="inlineStr">
        <is>
          <t>UNSURE</t>
        </is>
      </c>
      <c r="B1570" s="12" t="inlineStr"/>
      <c r="C1570" s="12" t="inlineStr">
        <is>
          <t>Cost &amp; Forecast Control Accounts</t>
        </is>
      </c>
      <c r="D1570" s="12" t="inlineStr">
        <is>
          <t>CST-05-026</t>
        </is>
      </c>
      <c r="E1570" s="12" t="inlineStr">
        <is>
          <t>Testing &amp; readiness - safety certification - control account</t>
        </is>
      </c>
      <c r="F1570" s="12" t="inlineStr">
        <is>
          <t>UNSURE</t>
        </is>
      </c>
      <c r="G1570" s="12" t="inlineStr">
        <is>
          <t>APPROVED</t>
        </is>
      </c>
      <c r="H1570" s="12" t="inlineStr">
        <is>
          <t>New</t>
        </is>
      </c>
      <c r="I1570" s="12" t="inlineStr">
        <is>
          <t>Professional decision</t>
        </is>
      </c>
      <c r="J1570" s="12" t="inlineStr">
        <is>
          <t>Maya Chen, Owner Project Controls</t>
        </is>
      </c>
      <c r="K1570" s="12" t="inlineStr">
        <is>
          <t>Professional</t>
        </is>
      </c>
      <c r="L1570" s="12" t="inlineStr"/>
      <c r="M1570" s="12" t="inlineStr">
        <is>
          <t>Initial</t>
        </is>
      </c>
      <c r="N1570" s="12" t="inlineStr">
        <is>
          <t>Rev 0</t>
        </is>
      </c>
      <c r="O1570" s="12" t="inlineStr">
        <is>
          <t>R1428-v2</t>
        </is>
      </c>
      <c r="P1570" s="12" t="inlineStr"/>
      <c r="Q1570" s="12" t="inlineStr"/>
      <c r="R1570" s="12" t="inlineStr"/>
      <c r="S1570" s="12" t="inlineStr"/>
      <c r="T1570" s="12" t="inlineStr">
        <is>
          <t>Group decision (81 records sharing one decision state)</t>
        </is>
      </c>
      <c r="U1570" s="12" t="inlineStr"/>
      <c r="V1570" s="12" t="inlineStr">
        <is>
          <t>Cost Account = CA-5026</t>
        </is>
      </c>
      <c r="W1570" s="12" t="inlineStr"/>
    </row>
    <row r="1571" ht="64" customHeight="1">
      <c r="A1571" s="12" t="inlineStr">
        <is>
          <t>UNSURE</t>
        </is>
      </c>
      <c r="B1571" s="12" t="inlineStr"/>
      <c r="C1571" s="12" t="inlineStr">
        <is>
          <t>Cost &amp; Forecast Control Accounts</t>
        </is>
      </c>
      <c r="D1571" s="12" t="inlineStr">
        <is>
          <t>CST-05-027</t>
        </is>
      </c>
      <c r="E1571" s="12" t="inlineStr">
        <is>
          <t>Testing &amp; readiness - defect closeout - control account</t>
        </is>
      </c>
      <c r="F1571" s="12" t="inlineStr">
        <is>
          <t>UNSURE</t>
        </is>
      </c>
      <c r="G1571" s="12" t="inlineStr">
        <is>
          <t>APPROVED</t>
        </is>
      </c>
      <c r="H1571" s="12" t="inlineStr">
        <is>
          <t>New</t>
        </is>
      </c>
      <c r="I1571" s="12" t="inlineStr">
        <is>
          <t>Professional decision</t>
        </is>
      </c>
      <c r="J1571" s="12" t="inlineStr">
        <is>
          <t>Maya Chen, Owner Project Controls</t>
        </is>
      </c>
      <c r="K1571" s="12" t="inlineStr">
        <is>
          <t>Professional</t>
        </is>
      </c>
      <c r="L1571" s="12" t="inlineStr"/>
      <c r="M1571" s="12" t="inlineStr">
        <is>
          <t>Initial</t>
        </is>
      </c>
      <c r="N1571" s="12" t="inlineStr">
        <is>
          <t>Rev 0</t>
        </is>
      </c>
      <c r="O1571" s="12" t="inlineStr">
        <is>
          <t>R1429-v2</t>
        </is>
      </c>
      <c r="P1571" s="12" t="inlineStr"/>
      <c r="Q1571" s="12" t="inlineStr"/>
      <c r="R1571" s="12" t="inlineStr"/>
      <c r="S1571" s="12" t="inlineStr"/>
      <c r="T1571" s="12" t="inlineStr">
        <is>
          <t>Group decision (81 records sharing one decision state)</t>
        </is>
      </c>
      <c r="U1571" s="12" t="inlineStr"/>
      <c r="V1571" s="12" t="inlineStr">
        <is>
          <t>Cost Account = CA-5027</t>
        </is>
      </c>
      <c r="W1571" s="12" t="inlineStr"/>
    </row>
    <row r="1572" ht="64" customHeight="1">
      <c r="A1572" s="12" t="inlineStr">
        <is>
          <t>UNSURE</t>
        </is>
      </c>
      <c r="B1572" s="12" t="inlineStr"/>
      <c r="C1572" s="12" t="inlineStr">
        <is>
          <t>Cost &amp; Forecast Control Accounts</t>
        </is>
      </c>
      <c r="D1572" s="12" t="inlineStr">
        <is>
          <t>CST-05-028</t>
        </is>
      </c>
      <c r="E1572" s="12" t="inlineStr">
        <is>
          <t>Testing &amp; readiness - test management - control account</t>
        </is>
      </c>
      <c r="F1572" s="12" t="inlineStr">
        <is>
          <t>UNSURE</t>
        </is>
      </c>
      <c r="G1572" s="12" t="inlineStr">
        <is>
          <t>APPROVED</t>
        </is>
      </c>
      <c r="H1572" s="12" t="inlineStr">
        <is>
          <t>New</t>
        </is>
      </c>
      <c r="I1572" s="12" t="inlineStr">
        <is>
          <t>Professional decision</t>
        </is>
      </c>
      <c r="J1572" s="12" t="inlineStr">
        <is>
          <t>Maya Chen, Owner Project Controls</t>
        </is>
      </c>
      <c r="K1572" s="12" t="inlineStr">
        <is>
          <t>Professional</t>
        </is>
      </c>
      <c r="L1572" s="12" t="inlineStr"/>
      <c r="M1572" s="12" t="inlineStr">
        <is>
          <t>Initial</t>
        </is>
      </c>
      <c r="N1572" s="12" t="inlineStr">
        <is>
          <t>Rev 0</t>
        </is>
      </c>
      <c r="O1572" s="12" t="inlineStr">
        <is>
          <t>R1430-v2</t>
        </is>
      </c>
      <c r="P1572" s="12" t="inlineStr"/>
      <c r="Q1572" s="12" t="inlineStr"/>
      <c r="R1572" s="12" t="inlineStr"/>
      <c r="S1572" s="12" t="inlineStr"/>
      <c r="T1572" s="12" t="inlineStr">
        <is>
          <t>Group decision (81 records sharing one decision state)</t>
        </is>
      </c>
      <c r="U1572" s="12" t="inlineStr"/>
      <c r="V1572" s="12" t="inlineStr">
        <is>
          <t>Cost Account = CA-5028</t>
        </is>
      </c>
      <c r="W1572" s="12" t="inlineStr"/>
    </row>
    <row r="1573" ht="64" customHeight="1">
      <c r="A1573" s="12" t="inlineStr">
        <is>
          <t>UNSURE</t>
        </is>
      </c>
      <c r="B1573" s="12" t="inlineStr"/>
      <c r="C1573" s="12" t="inlineStr">
        <is>
          <t>Cost &amp; Forecast Control Accounts</t>
        </is>
      </c>
      <c r="D1573" s="12" t="inlineStr">
        <is>
          <t>CST-05-029</t>
        </is>
      </c>
      <c r="E1573" s="12" t="inlineStr">
        <is>
          <t>Testing &amp; readiness - trial running - control account</t>
        </is>
      </c>
      <c r="F1573" s="12" t="inlineStr">
        <is>
          <t>UNSURE</t>
        </is>
      </c>
      <c r="G1573" s="12" t="inlineStr">
        <is>
          <t>APPROVED</t>
        </is>
      </c>
      <c r="H1573" s="12" t="inlineStr">
        <is>
          <t>New</t>
        </is>
      </c>
      <c r="I1573" s="12" t="inlineStr">
        <is>
          <t>Professional decision</t>
        </is>
      </c>
      <c r="J1573" s="12" t="inlineStr">
        <is>
          <t>Maya Chen, Owner Project Controls</t>
        </is>
      </c>
      <c r="K1573" s="12" t="inlineStr">
        <is>
          <t>Professional</t>
        </is>
      </c>
      <c r="L1573" s="12" t="inlineStr"/>
      <c r="M1573" s="12" t="inlineStr">
        <is>
          <t>Initial</t>
        </is>
      </c>
      <c r="N1573" s="12" t="inlineStr">
        <is>
          <t>Rev 0</t>
        </is>
      </c>
      <c r="O1573" s="12" t="inlineStr">
        <is>
          <t>R1431-v2</t>
        </is>
      </c>
      <c r="P1573" s="12" t="inlineStr"/>
      <c r="Q1573" s="12" t="inlineStr"/>
      <c r="R1573" s="12" t="inlineStr"/>
      <c r="S1573" s="12" t="inlineStr"/>
      <c r="T1573" s="12" t="inlineStr">
        <is>
          <t>Group decision (81 records sharing one decision state)</t>
        </is>
      </c>
      <c r="U1573" s="12" t="inlineStr"/>
      <c r="V1573" s="12" t="inlineStr">
        <is>
          <t>Cost Account = CA-5029</t>
        </is>
      </c>
      <c r="W1573" s="12" t="inlineStr"/>
    </row>
    <row r="1574" ht="64" customHeight="1">
      <c r="A1574" s="12" t="inlineStr">
        <is>
          <t>UNSURE</t>
        </is>
      </c>
      <c r="B1574" s="12" t="inlineStr"/>
      <c r="C1574" s="12" t="inlineStr">
        <is>
          <t>Cost &amp; Forecast Control Accounts</t>
        </is>
      </c>
      <c r="D1574" s="12" t="inlineStr">
        <is>
          <t>CST-05-030</t>
        </is>
      </c>
      <c r="E1574" s="12" t="inlineStr">
        <is>
          <t>Testing &amp; readiness - safety certification - control account</t>
        </is>
      </c>
      <c r="F1574" s="12" t="inlineStr">
        <is>
          <t>UNSURE</t>
        </is>
      </c>
      <c r="G1574" s="12" t="inlineStr">
        <is>
          <t>APPROVED</t>
        </is>
      </c>
      <c r="H1574" s="12" t="inlineStr">
        <is>
          <t>New</t>
        </is>
      </c>
      <c r="I1574" s="12" t="inlineStr">
        <is>
          <t>Professional decision</t>
        </is>
      </c>
      <c r="J1574" s="12" t="inlineStr">
        <is>
          <t>Maya Chen, Owner Project Controls</t>
        </is>
      </c>
      <c r="K1574" s="12" t="inlineStr">
        <is>
          <t>Professional</t>
        </is>
      </c>
      <c r="L1574" s="12" t="inlineStr"/>
      <c r="M1574" s="12" t="inlineStr">
        <is>
          <t>Initial</t>
        </is>
      </c>
      <c r="N1574" s="12" t="inlineStr">
        <is>
          <t>Rev 0</t>
        </is>
      </c>
      <c r="O1574" s="12" t="inlineStr">
        <is>
          <t>R1432-v2</t>
        </is>
      </c>
      <c r="P1574" s="12" t="inlineStr"/>
      <c r="Q1574" s="12" t="inlineStr"/>
      <c r="R1574" s="12" t="inlineStr"/>
      <c r="S1574" s="12" t="inlineStr"/>
      <c r="T1574" s="12" t="inlineStr">
        <is>
          <t>Group decision (81 records sharing one decision state)</t>
        </is>
      </c>
      <c r="U1574" s="12" t="inlineStr"/>
      <c r="V1574" s="12" t="inlineStr">
        <is>
          <t>Cost Account = CA-5030</t>
        </is>
      </c>
      <c r="W1574" s="12" t="inlineStr"/>
    </row>
    <row r="1575" ht="64" customHeight="1">
      <c r="A1575" s="12" t="inlineStr">
        <is>
          <t>UNSURE</t>
        </is>
      </c>
      <c r="B1575" s="12" t="inlineStr"/>
      <c r="C1575" s="12" t="inlineStr">
        <is>
          <t>Cost &amp; Forecast Control Accounts</t>
        </is>
      </c>
      <c r="D1575" s="12" t="inlineStr">
        <is>
          <t>CST-05-031</t>
        </is>
      </c>
      <c r="E1575" s="12" t="inlineStr">
        <is>
          <t>Testing &amp; readiness - defect closeout - control account</t>
        </is>
      </c>
      <c r="F1575" s="12" t="inlineStr">
        <is>
          <t>UNSURE</t>
        </is>
      </c>
      <c r="G1575" s="12" t="inlineStr">
        <is>
          <t>APPROVED</t>
        </is>
      </c>
      <c r="H1575" s="12" t="inlineStr">
        <is>
          <t>New</t>
        </is>
      </c>
      <c r="I1575" s="12" t="inlineStr">
        <is>
          <t>Professional decision</t>
        </is>
      </c>
      <c r="J1575" s="12" t="inlineStr">
        <is>
          <t>Maya Chen, Owner Project Controls</t>
        </is>
      </c>
      <c r="K1575" s="12" t="inlineStr">
        <is>
          <t>Professional</t>
        </is>
      </c>
      <c r="L1575" s="12" t="inlineStr"/>
      <c r="M1575" s="12" t="inlineStr">
        <is>
          <t>Initial</t>
        </is>
      </c>
      <c r="N1575" s="12" t="inlineStr">
        <is>
          <t>Rev 0</t>
        </is>
      </c>
      <c r="O1575" s="12" t="inlineStr">
        <is>
          <t>R1433-v2</t>
        </is>
      </c>
      <c r="P1575" s="12" t="inlineStr"/>
      <c r="Q1575" s="12" t="inlineStr"/>
      <c r="R1575" s="12" t="inlineStr"/>
      <c r="S1575" s="12" t="inlineStr"/>
      <c r="T1575" s="12" t="inlineStr">
        <is>
          <t>Group decision (81 records sharing one decision state)</t>
        </is>
      </c>
      <c r="U1575" s="12" t="inlineStr"/>
      <c r="V1575" s="12" t="inlineStr">
        <is>
          <t>Cost Account = CA-5031</t>
        </is>
      </c>
      <c r="W1575" s="12" t="inlineStr"/>
    </row>
    <row r="1576" ht="64" customHeight="1">
      <c r="A1576" s="12" t="inlineStr">
        <is>
          <t>UNSURE</t>
        </is>
      </c>
      <c r="B1576" s="12" t="inlineStr"/>
      <c r="C1576" s="12" t="inlineStr">
        <is>
          <t>Cost &amp; Forecast Control Accounts</t>
        </is>
      </c>
      <c r="D1576" s="12" t="inlineStr">
        <is>
          <t>CST-05-032</t>
        </is>
      </c>
      <c r="E1576" s="12" t="inlineStr">
        <is>
          <t>Testing &amp; readiness - test management - control account</t>
        </is>
      </c>
      <c r="F1576" s="12" t="inlineStr">
        <is>
          <t>UNSURE</t>
        </is>
      </c>
      <c r="G1576" s="12" t="inlineStr">
        <is>
          <t>APPROVED</t>
        </is>
      </c>
      <c r="H1576" s="12" t="inlineStr">
        <is>
          <t>New</t>
        </is>
      </c>
      <c r="I1576" s="12" t="inlineStr">
        <is>
          <t>Professional decision</t>
        </is>
      </c>
      <c r="J1576" s="12" t="inlineStr">
        <is>
          <t>Maya Chen, Owner Project Controls</t>
        </is>
      </c>
      <c r="K1576" s="12" t="inlineStr">
        <is>
          <t>Professional</t>
        </is>
      </c>
      <c r="L1576" s="12" t="inlineStr"/>
      <c r="M1576" s="12" t="inlineStr">
        <is>
          <t>Initial</t>
        </is>
      </c>
      <c r="N1576" s="12" t="inlineStr">
        <is>
          <t>Rev 0</t>
        </is>
      </c>
      <c r="O1576" s="12" t="inlineStr">
        <is>
          <t>R1434-v2</t>
        </is>
      </c>
      <c r="P1576" s="12" t="inlineStr"/>
      <c r="Q1576" s="12" t="inlineStr"/>
      <c r="R1576" s="12" t="inlineStr"/>
      <c r="S1576" s="12" t="inlineStr"/>
      <c r="T1576" s="12" t="inlineStr">
        <is>
          <t>Group decision (81 records sharing one decision state)</t>
        </is>
      </c>
      <c r="U1576" s="12" t="inlineStr"/>
      <c r="V1576" s="12" t="inlineStr">
        <is>
          <t>Cost Account = CA-5032</t>
        </is>
      </c>
      <c r="W1576" s="12" t="inlineStr"/>
    </row>
    <row r="1577" ht="64" customHeight="1">
      <c r="A1577" s="12" t="inlineStr">
        <is>
          <t>UNSURE</t>
        </is>
      </c>
      <c r="B1577" s="12" t="inlineStr"/>
      <c r="C1577" s="12" t="inlineStr">
        <is>
          <t>Cost &amp; Forecast Control Accounts</t>
        </is>
      </c>
      <c r="D1577" s="12" t="inlineStr">
        <is>
          <t>CST-05-033</t>
        </is>
      </c>
      <c r="E1577" s="12" t="inlineStr">
        <is>
          <t>Testing &amp; readiness - trial running - control account</t>
        </is>
      </c>
      <c r="F1577" s="12" t="inlineStr">
        <is>
          <t>UNSURE</t>
        </is>
      </c>
      <c r="G1577" s="12" t="inlineStr">
        <is>
          <t>APPROVED</t>
        </is>
      </c>
      <c r="H1577" s="12" t="inlineStr">
        <is>
          <t>New</t>
        </is>
      </c>
      <c r="I1577" s="12" t="inlineStr">
        <is>
          <t>Professional decision</t>
        </is>
      </c>
      <c r="J1577" s="12" t="inlineStr">
        <is>
          <t>Maya Chen, Owner Project Controls</t>
        </is>
      </c>
      <c r="K1577" s="12" t="inlineStr">
        <is>
          <t>Professional</t>
        </is>
      </c>
      <c r="L1577" s="12" t="inlineStr"/>
      <c r="M1577" s="12" t="inlineStr">
        <is>
          <t>Initial</t>
        </is>
      </c>
      <c r="N1577" s="12" t="inlineStr">
        <is>
          <t>Rev 0</t>
        </is>
      </c>
      <c r="O1577" s="12" t="inlineStr">
        <is>
          <t>R1435-v2</t>
        </is>
      </c>
      <c r="P1577" s="12" t="inlineStr"/>
      <c r="Q1577" s="12" t="inlineStr"/>
      <c r="R1577" s="12" t="inlineStr"/>
      <c r="S1577" s="12" t="inlineStr"/>
      <c r="T1577" s="12" t="inlineStr">
        <is>
          <t>Group decision (81 records sharing one decision state)</t>
        </is>
      </c>
      <c r="U1577" s="12" t="inlineStr"/>
      <c r="V1577" s="12" t="inlineStr">
        <is>
          <t>Cost Account = CA-5033</t>
        </is>
      </c>
      <c r="W1577" s="12" t="inlineStr"/>
    </row>
    <row r="1578" ht="64" customHeight="1">
      <c r="A1578" s="12" t="inlineStr">
        <is>
          <t>UNSURE</t>
        </is>
      </c>
      <c r="B1578" s="12" t="inlineStr"/>
      <c r="C1578" s="12" t="inlineStr">
        <is>
          <t>Cost &amp; Forecast Control Accounts</t>
        </is>
      </c>
      <c r="D1578" s="12" t="inlineStr">
        <is>
          <t>CST-05-034</t>
        </is>
      </c>
      <c r="E1578" s="12" t="inlineStr">
        <is>
          <t>Testing &amp; readiness - safety certification - control account</t>
        </is>
      </c>
      <c r="F1578" s="12" t="inlineStr">
        <is>
          <t>UNSURE</t>
        </is>
      </c>
      <c r="G1578" s="12" t="inlineStr">
        <is>
          <t>APPROVED</t>
        </is>
      </c>
      <c r="H1578" s="12" t="inlineStr">
        <is>
          <t>New</t>
        </is>
      </c>
      <c r="I1578" s="12" t="inlineStr">
        <is>
          <t>Professional decision</t>
        </is>
      </c>
      <c r="J1578" s="12" t="inlineStr">
        <is>
          <t>Maya Chen, Owner Project Controls</t>
        </is>
      </c>
      <c r="K1578" s="12" t="inlineStr">
        <is>
          <t>Professional</t>
        </is>
      </c>
      <c r="L1578" s="12" t="inlineStr"/>
      <c r="M1578" s="12" t="inlineStr">
        <is>
          <t>Initial</t>
        </is>
      </c>
      <c r="N1578" s="12" t="inlineStr">
        <is>
          <t>Rev 0</t>
        </is>
      </c>
      <c r="O1578" s="12" t="inlineStr">
        <is>
          <t>R1436-v2</t>
        </is>
      </c>
      <c r="P1578" s="12" t="inlineStr"/>
      <c r="Q1578" s="12" t="inlineStr"/>
      <c r="R1578" s="12" t="inlineStr"/>
      <c r="S1578" s="12" t="inlineStr"/>
      <c r="T1578" s="12" t="inlineStr">
        <is>
          <t>Group decision (81 records sharing one decision state)</t>
        </is>
      </c>
      <c r="U1578" s="12" t="inlineStr"/>
      <c r="V1578" s="12" t="inlineStr">
        <is>
          <t>Cost Account = CA-5034</t>
        </is>
      </c>
      <c r="W1578" s="12" t="inlineStr"/>
    </row>
    <row r="1579" ht="64" customHeight="1">
      <c r="A1579" s="12" t="inlineStr">
        <is>
          <t>UNSURE</t>
        </is>
      </c>
      <c r="B1579" s="12" t="inlineStr"/>
      <c r="C1579" s="12" t="inlineStr">
        <is>
          <t>Cost &amp; Forecast Control Accounts</t>
        </is>
      </c>
      <c r="D1579" s="12" t="inlineStr">
        <is>
          <t>CST-05-035</t>
        </is>
      </c>
      <c r="E1579" s="12" t="inlineStr">
        <is>
          <t>Testing &amp; readiness - defect closeout - control account</t>
        </is>
      </c>
      <c r="F1579" s="12" t="inlineStr">
        <is>
          <t>UNSURE</t>
        </is>
      </c>
      <c r="G1579" s="12" t="inlineStr">
        <is>
          <t>APPROVED</t>
        </is>
      </c>
      <c r="H1579" s="12" t="inlineStr">
        <is>
          <t>New</t>
        </is>
      </c>
      <c r="I1579" s="12" t="inlineStr">
        <is>
          <t>Professional decision</t>
        </is>
      </c>
      <c r="J1579" s="12" t="inlineStr">
        <is>
          <t>Maya Chen, Owner Project Controls</t>
        </is>
      </c>
      <c r="K1579" s="12" t="inlineStr">
        <is>
          <t>Professional</t>
        </is>
      </c>
      <c r="L1579" s="12" t="inlineStr"/>
      <c r="M1579" s="12" t="inlineStr">
        <is>
          <t>Initial</t>
        </is>
      </c>
      <c r="N1579" s="12" t="inlineStr">
        <is>
          <t>Rev 0</t>
        </is>
      </c>
      <c r="O1579" s="12" t="inlineStr">
        <is>
          <t>R1437-v2</t>
        </is>
      </c>
      <c r="P1579" s="12" t="inlineStr"/>
      <c r="Q1579" s="12" t="inlineStr"/>
      <c r="R1579" s="12" t="inlineStr"/>
      <c r="S1579" s="12" t="inlineStr"/>
      <c r="T1579" s="12" t="inlineStr">
        <is>
          <t>Group decision (81 records sharing one decision state)</t>
        </is>
      </c>
      <c r="U1579" s="12" t="inlineStr"/>
      <c r="V1579" s="12" t="inlineStr">
        <is>
          <t>Cost Account = CA-5035</t>
        </is>
      </c>
      <c r="W1579" s="12" t="inlineStr"/>
    </row>
    <row r="1580" ht="64" customHeight="1">
      <c r="A1580" s="12" t="inlineStr">
        <is>
          <t>UNSURE</t>
        </is>
      </c>
      <c r="B1580" s="12" t="inlineStr"/>
      <c r="C1580" s="12" t="inlineStr">
        <is>
          <t>Cost &amp; Forecast Control Accounts</t>
        </is>
      </c>
      <c r="D1580" s="12" t="inlineStr">
        <is>
          <t>CST-05-036</t>
        </is>
      </c>
      <c r="E1580" s="12" t="inlineStr">
        <is>
          <t>Testing &amp; readiness - test management - control account</t>
        </is>
      </c>
      <c r="F1580" s="12" t="inlineStr">
        <is>
          <t>UNSURE</t>
        </is>
      </c>
      <c r="G1580" s="12" t="inlineStr">
        <is>
          <t>APPROVED</t>
        </is>
      </c>
      <c r="H1580" s="12" t="inlineStr">
        <is>
          <t>New</t>
        </is>
      </c>
      <c r="I1580" s="12" t="inlineStr">
        <is>
          <t>Professional decision</t>
        </is>
      </c>
      <c r="J1580" s="12" t="inlineStr">
        <is>
          <t>Maya Chen, Owner Project Controls</t>
        </is>
      </c>
      <c r="K1580" s="12" t="inlineStr">
        <is>
          <t>Professional</t>
        </is>
      </c>
      <c r="L1580" s="12" t="inlineStr"/>
      <c r="M1580" s="12" t="inlineStr">
        <is>
          <t>Initial</t>
        </is>
      </c>
      <c r="N1580" s="12" t="inlineStr">
        <is>
          <t>Rev 0</t>
        </is>
      </c>
      <c r="O1580" s="12" t="inlineStr">
        <is>
          <t>R1438-v2</t>
        </is>
      </c>
      <c r="P1580" s="12" t="inlineStr"/>
      <c r="Q1580" s="12" t="inlineStr"/>
      <c r="R1580" s="12" t="inlineStr"/>
      <c r="S1580" s="12" t="inlineStr"/>
      <c r="T1580" s="12" t="inlineStr">
        <is>
          <t>Group decision (81 records sharing one decision state)</t>
        </is>
      </c>
      <c r="U1580" s="12" t="inlineStr"/>
      <c r="V1580" s="12" t="inlineStr">
        <is>
          <t>Cost Account = CA-5036</t>
        </is>
      </c>
      <c r="W1580" s="12" t="inlineStr"/>
    </row>
    <row r="1581" ht="64" customHeight="1">
      <c r="A1581" s="12" t="inlineStr">
        <is>
          <t>UNSURE</t>
        </is>
      </c>
      <c r="B1581" s="12" t="inlineStr"/>
      <c r="C1581" s="12" t="inlineStr">
        <is>
          <t>Cost &amp; Forecast Control Accounts</t>
        </is>
      </c>
      <c r="D1581" s="12" t="inlineStr">
        <is>
          <t>CST-05-037</t>
        </is>
      </c>
      <c r="E1581" s="12" t="inlineStr">
        <is>
          <t>Testing &amp; readiness - trial running - control account</t>
        </is>
      </c>
      <c r="F1581" s="12" t="inlineStr">
        <is>
          <t>UNSURE</t>
        </is>
      </c>
      <c r="G1581" s="12" t="inlineStr">
        <is>
          <t>APPROVED</t>
        </is>
      </c>
      <c r="H1581" s="12" t="inlineStr">
        <is>
          <t>New</t>
        </is>
      </c>
      <c r="I1581" s="12" t="inlineStr">
        <is>
          <t>Professional decision</t>
        </is>
      </c>
      <c r="J1581" s="12" t="inlineStr">
        <is>
          <t>Maya Chen, Owner Project Controls</t>
        </is>
      </c>
      <c r="K1581" s="12" t="inlineStr">
        <is>
          <t>Professional</t>
        </is>
      </c>
      <c r="L1581" s="12" t="inlineStr"/>
      <c r="M1581" s="12" t="inlineStr">
        <is>
          <t>Initial</t>
        </is>
      </c>
      <c r="N1581" s="12" t="inlineStr">
        <is>
          <t>Rev 0</t>
        </is>
      </c>
      <c r="O1581" s="12" t="inlineStr">
        <is>
          <t>R1439-v2</t>
        </is>
      </c>
      <c r="P1581" s="12" t="inlineStr"/>
      <c r="Q1581" s="12" t="inlineStr"/>
      <c r="R1581" s="12" t="inlineStr"/>
      <c r="S1581" s="12" t="inlineStr"/>
      <c r="T1581" s="12" t="inlineStr">
        <is>
          <t>Group decision (81 records sharing one decision state)</t>
        </is>
      </c>
      <c r="U1581" s="12" t="inlineStr"/>
      <c r="V1581" s="12" t="inlineStr">
        <is>
          <t>Cost Account = CA-5037</t>
        </is>
      </c>
      <c r="W1581" s="12" t="inlineStr"/>
    </row>
    <row r="1582" ht="64" customHeight="1">
      <c r="A1582" s="12" t="inlineStr">
        <is>
          <t>UNSURE</t>
        </is>
      </c>
      <c r="B1582" s="12" t="inlineStr"/>
      <c r="C1582" s="12" t="inlineStr">
        <is>
          <t>Cost &amp; Forecast Control Accounts</t>
        </is>
      </c>
      <c r="D1582" s="12" t="inlineStr">
        <is>
          <t>CST-05-038</t>
        </is>
      </c>
      <c r="E1582" s="12" t="inlineStr">
        <is>
          <t>Testing &amp; readiness - safety certification - control account</t>
        </is>
      </c>
      <c r="F1582" s="12" t="inlineStr">
        <is>
          <t>UNSURE</t>
        </is>
      </c>
      <c r="G1582" s="12" t="inlineStr">
        <is>
          <t>APPROVED</t>
        </is>
      </c>
      <c r="H1582" s="12" t="inlineStr">
        <is>
          <t>New</t>
        </is>
      </c>
      <c r="I1582" s="12" t="inlineStr">
        <is>
          <t>Professional decision</t>
        </is>
      </c>
      <c r="J1582" s="12" t="inlineStr">
        <is>
          <t>Maya Chen, Owner Project Controls</t>
        </is>
      </c>
      <c r="K1582" s="12" t="inlineStr">
        <is>
          <t>Professional</t>
        </is>
      </c>
      <c r="L1582" s="12" t="inlineStr"/>
      <c r="M1582" s="12" t="inlineStr">
        <is>
          <t>Initial</t>
        </is>
      </c>
      <c r="N1582" s="12" t="inlineStr">
        <is>
          <t>Rev 0</t>
        </is>
      </c>
      <c r="O1582" s="12" t="inlineStr">
        <is>
          <t>R1440-v2</t>
        </is>
      </c>
      <c r="P1582" s="12" t="inlineStr"/>
      <c r="Q1582" s="12" t="inlineStr"/>
      <c r="R1582" s="12" t="inlineStr"/>
      <c r="S1582" s="12" t="inlineStr"/>
      <c r="T1582" s="12" t="inlineStr">
        <is>
          <t>Group decision (81 records sharing one decision state)</t>
        </is>
      </c>
      <c r="U1582" s="12" t="inlineStr"/>
      <c r="V1582" s="12" t="inlineStr">
        <is>
          <t>Cost Account = CA-5038</t>
        </is>
      </c>
      <c r="W1582" s="12" t="inlineStr"/>
    </row>
    <row r="1583" ht="64" customHeight="1">
      <c r="A1583" s="12" t="inlineStr">
        <is>
          <t>UNSURE</t>
        </is>
      </c>
      <c r="B1583" s="12" t="inlineStr"/>
      <c r="C1583" s="12" t="inlineStr">
        <is>
          <t>Cost &amp; Forecast Control Accounts</t>
        </is>
      </c>
      <c r="D1583" s="12" t="inlineStr">
        <is>
          <t>CST-05-039</t>
        </is>
      </c>
      <c r="E1583" s="12" t="inlineStr">
        <is>
          <t>Testing &amp; readiness - defect closeout - control account</t>
        </is>
      </c>
      <c r="F1583" s="12" t="inlineStr">
        <is>
          <t>UNSURE</t>
        </is>
      </c>
      <c r="G1583" s="12" t="inlineStr">
        <is>
          <t>APPROVED</t>
        </is>
      </c>
      <c r="H1583" s="12" t="inlineStr">
        <is>
          <t>New</t>
        </is>
      </c>
      <c r="I1583" s="12" t="inlineStr">
        <is>
          <t>Professional decision</t>
        </is>
      </c>
      <c r="J1583" s="12" t="inlineStr">
        <is>
          <t>Maya Chen, Owner Project Controls</t>
        </is>
      </c>
      <c r="K1583" s="12" t="inlineStr">
        <is>
          <t>Professional</t>
        </is>
      </c>
      <c r="L1583" s="12" t="inlineStr"/>
      <c r="M1583" s="12" t="inlineStr">
        <is>
          <t>Initial</t>
        </is>
      </c>
      <c r="N1583" s="12" t="inlineStr">
        <is>
          <t>Rev 0</t>
        </is>
      </c>
      <c r="O1583" s="12" t="inlineStr">
        <is>
          <t>R1441-v2</t>
        </is>
      </c>
      <c r="P1583" s="12" t="inlineStr"/>
      <c r="Q1583" s="12" t="inlineStr"/>
      <c r="R1583" s="12" t="inlineStr"/>
      <c r="S1583" s="12" t="inlineStr"/>
      <c r="T1583" s="12" t="inlineStr">
        <is>
          <t>Group decision (81 records sharing one decision state)</t>
        </is>
      </c>
      <c r="U1583" s="12" t="inlineStr"/>
      <c r="V1583" s="12" t="inlineStr">
        <is>
          <t>Cost Account = CA-5039</t>
        </is>
      </c>
      <c r="W1583" s="12" t="inlineStr"/>
    </row>
    <row r="1584" ht="64" customHeight="1">
      <c r="A1584" s="12" t="inlineStr">
        <is>
          <t>UNSURE</t>
        </is>
      </c>
      <c r="B1584" s="12" t="inlineStr"/>
      <c r="C1584" s="12" t="inlineStr">
        <is>
          <t>Cost &amp; Forecast Control Accounts</t>
        </is>
      </c>
      <c r="D1584" s="12" t="inlineStr">
        <is>
          <t>CST-05-040</t>
        </is>
      </c>
      <c r="E1584" s="12" t="inlineStr">
        <is>
          <t>Testing &amp; readiness - test management - control account</t>
        </is>
      </c>
      <c r="F1584" s="12" t="inlineStr">
        <is>
          <t>UNSURE</t>
        </is>
      </c>
      <c r="G1584" s="12" t="inlineStr">
        <is>
          <t>APPROVED</t>
        </is>
      </c>
      <c r="H1584" s="12" t="inlineStr">
        <is>
          <t>New</t>
        </is>
      </c>
      <c r="I1584" s="12" t="inlineStr">
        <is>
          <t>Professional decision</t>
        </is>
      </c>
      <c r="J1584" s="12" t="inlineStr">
        <is>
          <t>Maya Chen, Owner Project Controls</t>
        </is>
      </c>
      <c r="K1584" s="12" t="inlineStr">
        <is>
          <t>Professional</t>
        </is>
      </c>
      <c r="L1584" s="12" t="inlineStr"/>
      <c r="M1584" s="12" t="inlineStr">
        <is>
          <t>Initial</t>
        </is>
      </c>
      <c r="N1584" s="12" t="inlineStr">
        <is>
          <t>Rev 0</t>
        </is>
      </c>
      <c r="O1584" s="12" t="inlineStr">
        <is>
          <t>R1442-v2</t>
        </is>
      </c>
      <c r="P1584" s="12" t="inlineStr"/>
      <c r="Q1584" s="12" t="inlineStr"/>
      <c r="R1584" s="12" t="inlineStr"/>
      <c r="S1584" s="12" t="inlineStr"/>
      <c r="T1584" s="12" t="inlineStr">
        <is>
          <t>Group decision (81 records sharing one decision state)</t>
        </is>
      </c>
      <c r="U1584" s="12" t="inlineStr"/>
      <c r="V1584" s="12" t="inlineStr">
        <is>
          <t>Cost Account = CA-5040</t>
        </is>
      </c>
      <c r="W1584" s="12" t="inlineStr"/>
    </row>
    <row r="1585" ht="64" customHeight="1">
      <c r="A1585" s="12" t="inlineStr">
        <is>
          <t>UNSURE</t>
        </is>
      </c>
      <c r="B1585" s="12" t="inlineStr"/>
      <c r="C1585" s="12" t="inlineStr">
        <is>
          <t>Cost &amp; Forecast Control Accounts</t>
        </is>
      </c>
      <c r="D1585" s="12" t="inlineStr">
        <is>
          <t>CST-05-041</t>
        </is>
      </c>
      <c r="E1585" s="12" t="inlineStr">
        <is>
          <t>Testing &amp; readiness - trial running - control account</t>
        </is>
      </c>
      <c r="F1585" s="12" t="inlineStr">
        <is>
          <t>UNSURE</t>
        </is>
      </c>
      <c r="G1585" s="12" t="inlineStr">
        <is>
          <t>APPROVED</t>
        </is>
      </c>
      <c r="H1585" s="12" t="inlineStr">
        <is>
          <t>New</t>
        </is>
      </c>
      <c r="I1585" s="12" t="inlineStr">
        <is>
          <t>Professional decision</t>
        </is>
      </c>
      <c r="J1585" s="12" t="inlineStr">
        <is>
          <t>Maya Chen, Owner Project Controls</t>
        </is>
      </c>
      <c r="K1585" s="12" t="inlineStr">
        <is>
          <t>Professional</t>
        </is>
      </c>
      <c r="L1585" s="12" t="inlineStr"/>
      <c r="M1585" s="12" t="inlineStr">
        <is>
          <t>Initial</t>
        </is>
      </c>
      <c r="N1585" s="12" t="inlineStr">
        <is>
          <t>Rev 0</t>
        </is>
      </c>
      <c r="O1585" s="12" t="inlineStr">
        <is>
          <t>R1443-v2</t>
        </is>
      </c>
      <c r="P1585" s="12" t="inlineStr"/>
      <c r="Q1585" s="12" t="inlineStr"/>
      <c r="R1585" s="12" t="inlineStr"/>
      <c r="S1585" s="12" t="inlineStr"/>
      <c r="T1585" s="12" t="inlineStr">
        <is>
          <t>Group decision (81 records sharing one decision state)</t>
        </is>
      </c>
      <c r="U1585" s="12" t="inlineStr"/>
      <c r="V1585" s="12" t="inlineStr">
        <is>
          <t>Cost Account = CA-5041</t>
        </is>
      </c>
      <c r="W1585" s="12" t="inlineStr"/>
    </row>
    <row r="1586" ht="64" customHeight="1">
      <c r="A1586" s="12" t="inlineStr">
        <is>
          <t>UNSURE</t>
        </is>
      </c>
      <c r="B1586" s="12" t="inlineStr"/>
      <c r="C1586" s="12" t="inlineStr">
        <is>
          <t>Cost &amp; Forecast Control Accounts</t>
        </is>
      </c>
      <c r="D1586" s="12" t="inlineStr">
        <is>
          <t>CST-05-042</t>
        </is>
      </c>
      <c r="E1586" s="12" t="inlineStr">
        <is>
          <t>Testing &amp; readiness - safety certification - control account</t>
        </is>
      </c>
      <c r="F1586" s="12" t="inlineStr">
        <is>
          <t>UNSURE</t>
        </is>
      </c>
      <c r="G1586" s="12" t="inlineStr">
        <is>
          <t>APPROVED</t>
        </is>
      </c>
      <c r="H1586" s="12" t="inlineStr">
        <is>
          <t>New</t>
        </is>
      </c>
      <c r="I1586" s="12" t="inlineStr">
        <is>
          <t>Professional decision</t>
        </is>
      </c>
      <c r="J1586" s="12" t="inlineStr">
        <is>
          <t>Maya Chen, Owner Project Controls</t>
        </is>
      </c>
      <c r="K1586" s="12" t="inlineStr">
        <is>
          <t>Professional</t>
        </is>
      </c>
      <c r="L1586" s="12" t="inlineStr"/>
      <c r="M1586" s="12" t="inlineStr">
        <is>
          <t>Initial</t>
        </is>
      </c>
      <c r="N1586" s="12" t="inlineStr">
        <is>
          <t>Rev 0</t>
        </is>
      </c>
      <c r="O1586" s="12" t="inlineStr">
        <is>
          <t>R1444-v2</t>
        </is>
      </c>
      <c r="P1586" s="12" t="inlineStr"/>
      <c r="Q1586" s="12" t="inlineStr"/>
      <c r="R1586" s="12" t="inlineStr"/>
      <c r="S1586" s="12" t="inlineStr"/>
      <c r="T1586" s="12" t="inlineStr">
        <is>
          <t>Group decision (81 records sharing one decision state)</t>
        </is>
      </c>
      <c r="U1586" s="12" t="inlineStr"/>
      <c r="V1586" s="12" t="inlineStr">
        <is>
          <t>Cost Account = CA-5042</t>
        </is>
      </c>
      <c r="W1586" s="12" t="inlineStr"/>
    </row>
    <row r="1587" ht="64" customHeight="1">
      <c r="A1587" s="12" t="inlineStr">
        <is>
          <t>UNSURE</t>
        </is>
      </c>
      <c r="B1587" s="12" t="inlineStr"/>
      <c r="C1587" s="12" t="inlineStr">
        <is>
          <t>Cost &amp; Forecast Control Accounts</t>
        </is>
      </c>
      <c r="D1587" s="12" t="inlineStr">
        <is>
          <t>CST-05-043</t>
        </is>
      </c>
      <c r="E1587" s="12" t="inlineStr">
        <is>
          <t>Testing &amp; readiness - defect closeout - control account</t>
        </is>
      </c>
      <c r="F1587" s="12" t="inlineStr">
        <is>
          <t>UNSURE</t>
        </is>
      </c>
      <c r="G1587" s="12" t="inlineStr">
        <is>
          <t>APPROVED</t>
        </is>
      </c>
      <c r="H1587" s="12" t="inlineStr">
        <is>
          <t>New</t>
        </is>
      </c>
      <c r="I1587" s="12" t="inlineStr">
        <is>
          <t>Professional decision</t>
        </is>
      </c>
      <c r="J1587" s="12" t="inlineStr">
        <is>
          <t>Maya Chen, Owner Project Controls</t>
        </is>
      </c>
      <c r="K1587" s="12" t="inlineStr">
        <is>
          <t>Professional</t>
        </is>
      </c>
      <c r="L1587" s="12" t="inlineStr"/>
      <c r="M1587" s="12" t="inlineStr">
        <is>
          <t>Initial</t>
        </is>
      </c>
      <c r="N1587" s="12" t="inlineStr">
        <is>
          <t>Rev 0</t>
        </is>
      </c>
      <c r="O1587" s="12" t="inlineStr">
        <is>
          <t>R1445-v2</t>
        </is>
      </c>
      <c r="P1587" s="12" t="inlineStr"/>
      <c r="Q1587" s="12" t="inlineStr"/>
      <c r="R1587" s="12" t="inlineStr"/>
      <c r="S1587" s="12" t="inlineStr"/>
      <c r="T1587" s="12" t="inlineStr">
        <is>
          <t>Group decision (81 records sharing one decision state)</t>
        </is>
      </c>
      <c r="U1587" s="12" t="inlineStr"/>
      <c r="V1587" s="12" t="inlineStr">
        <is>
          <t>Cost Account = CA-5043</t>
        </is>
      </c>
      <c r="W1587" s="12" t="inlineStr"/>
    </row>
    <row r="1588" ht="64" customHeight="1">
      <c r="A1588" s="12" t="inlineStr">
        <is>
          <t>UNSURE</t>
        </is>
      </c>
      <c r="B1588" s="12" t="inlineStr"/>
      <c r="C1588" s="12" t="inlineStr">
        <is>
          <t>Cost &amp; Forecast Control Accounts</t>
        </is>
      </c>
      <c r="D1588" s="12" t="inlineStr">
        <is>
          <t>CST-05-044</t>
        </is>
      </c>
      <c r="E1588" s="12" t="inlineStr">
        <is>
          <t>Testing &amp; readiness - test management - control account</t>
        </is>
      </c>
      <c r="F1588" s="12" t="inlineStr">
        <is>
          <t>UNSURE</t>
        </is>
      </c>
      <c r="G1588" s="12" t="inlineStr">
        <is>
          <t>APPROVED</t>
        </is>
      </c>
      <c r="H1588" s="12" t="inlineStr">
        <is>
          <t>New</t>
        </is>
      </c>
      <c r="I1588" s="12" t="inlineStr">
        <is>
          <t>Professional decision</t>
        </is>
      </c>
      <c r="J1588" s="12" t="inlineStr">
        <is>
          <t>Maya Chen, Owner Project Controls</t>
        </is>
      </c>
      <c r="K1588" s="12" t="inlineStr">
        <is>
          <t>Professional</t>
        </is>
      </c>
      <c r="L1588" s="12" t="inlineStr"/>
      <c r="M1588" s="12" t="inlineStr">
        <is>
          <t>Initial</t>
        </is>
      </c>
      <c r="N1588" s="12" t="inlineStr">
        <is>
          <t>Rev 0</t>
        </is>
      </c>
      <c r="O1588" s="12" t="inlineStr">
        <is>
          <t>R1446-v2</t>
        </is>
      </c>
      <c r="P1588" s="12" t="inlineStr"/>
      <c r="Q1588" s="12" t="inlineStr"/>
      <c r="R1588" s="12" t="inlineStr"/>
      <c r="S1588" s="12" t="inlineStr"/>
      <c r="T1588" s="12" t="inlineStr">
        <is>
          <t>Group decision (81 records sharing one decision state)</t>
        </is>
      </c>
      <c r="U1588" s="12" t="inlineStr"/>
      <c r="V1588" s="12" t="inlineStr">
        <is>
          <t>Cost Account = CA-5044</t>
        </is>
      </c>
      <c r="W1588" s="12" t="inlineStr"/>
    </row>
    <row r="1589" ht="64" customHeight="1">
      <c r="A1589" s="12" t="inlineStr">
        <is>
          <t>UNSURE</t>
        </is>
      </c>
      <c r="B1589" s="12" t="inlineStr"/>
      <c r="C1589" s="12" t="inlineStr">
        <is>
          <t>Cost &amp; Forecast Control Accounts</t>
        </is>
      </c>
      <c r="D1589" s="12" t="inlineStr">
        <is>
          <t>CST-05-045</t>
        </is>
      </c>
      <c r="E1589" s="12" t="inlineStr">
        <is>
          <t>Testing &amp; readiness - trial running - control account</t>
        </is>
      </c>
      <c r="F1589" s="12" t="inlineStr">
        <is>
          <t>UNSURE</t>
        </is>
      </c>
      <c r="G1589" s="12" t="inlineStr">
        <is>
          <t>APPROVED</t>
        </is>
      </c>
      <c r="H1589" s="12" t="inlineStr">
        <is>
          <t>New</t>
        </is>
      </c>
      <c r="I1589" s="12" t="inlineStr">
        <is>
          <t>Professional decision</t>
        </is>
      </c>
      <c r="J1589" s="12" t="inlineStr">
        <is>
          <t>Maya Chen, Owner Project Controls</t>
        </is>
      </c>
      <c r="K1589" s="12" t="inlineStr">
        <is>
          <t>Professional</t>
        </is>
      </c>
      <c r="L1589" s="12" t="inlineStr"/>
      <c r="M1589" s="12" t="inlineStr">
        <is>
          <t>Initial</t>
        </is>
      </c>
      <c r="N1589" s="12" t="inlineStr">
        <is>
          <t>Rev 0</t>
        </is>
      </c>
      <c r="O1589" s="12" t="inlineStr">
        <is>
          <t>R1447-v2</t>
        </is>
      </c>
      <c r="P1589" s="12" t="inlineStr"/>
      <c r="Q1589" s="12" t="inlineStr"/>
      <c r="R1589" s="12" t="inlineStr"/>
      <c r="S1589" s="12" t="inlineStr"/>
      <c r="T1589" s="12" t="inlineStr">
        <is>
          <t>Group decision (81 records sharing one decision state)</t>
        </is>
      </c>
      <c r="U1589" s="12" t="inlineStr"/>
      <c r="V1589" s="12" t="inlineStr">
        <is>
          <t>Cost Account = CA-5045</t>
        </is>
      </c>
      <c r="W1589" s="12" t="inlineStr"/>
    </row>
    <row r="1590" ht="64" customHeight="1">
      <c r="A1590" s="12" t="inlineStr">
        <is>
          <t>UNSURE</t>
        </is>
      </c>
      <c r="B1590" s="12" t="inlineStr"/>
      <c r="C1590" s="12" t="inlineStr">
        <is>
          <t>Cost &amp; Forecast Control Accounts</t>
        </is>
      </c>
      <c r="D1590" s="12" t="inlineStr">
        <is>
          <t>CST-05-046</t>
        </is>
      </c>
      <c r="E1590" s="12" t="inlineStr">
        <is>
          <t>Testing &amp; readiness - safety certification - control account</t>
        </is>
      </c>
      <c r="F1590" s="12" t="inlineStr">
        <is>
          <t>UNSURE</t>
        </is>
      </c>
      <c r="G1590" s="12" t="inlineStr">
        <is>
          <t>APPROVED</t>
        </is>
      </c>
      <c r="H1590" s="12" t="inlineStr">
        <is>
          <t>New</t>
        </is>
      </c>
      <c r="I1590" s="12" t="inlineStr">
        <is>
          <t>Professional decision</t>
        </is>
      </c>
      <c r="J1590" s="12" t="inlineStr">
        <is>
          <t>Maya Chen, Owner Project Controls</t>
        </is>
      </c>
      <c r="K1590" s="12" t="inlineStr">
        <is>
          <t>Professional</t>
        </is>
      </c>
      <c r="L1590" s="12" t="inlineStr"/>
      <c r="M1590" s="12" t="inlineStr">
        <is>
          <t>Initial</t>
        </is>
      </c>
      <c r="N1590" s="12" t="inlineStr">
        <is>
          <t>Rev 0</t>
        </is>
      </c>
      <c r="O1590" s="12" t="inlineStr">
        <is>
          <t>R1448-v2</t>
        </is>
      </c>
      <c r="P1590" s="12" t="inlineStr"/>
      <c r="Q1590" s="12" t="inlineStr"/>
      <c r="R1590" s="12" t="inlineStr"/>
      <c r="S1590" s="12" t="inlineStr"/>
      <c r="T1590" s="12" t="inlineStr">
        <is>
          <t>Group decision (81 records sharing one decision state)</t>
        </is>
      </c>
      <c r="U1590" s="12" t="inlineStr"/>
      <c r="V1590" s="12" t="inlineStr">
        <is>
          <t>Cost Account = CA-5046</t>
        </is>
      </c>
      <c r="W1590" s="12" t="inlineStr"/>
    </row>
    <row r="1591" ht="64" customHeight="1">
      <c r="A1591" s="12" t="inlineStr">
        <is>
          <t>UNSURE</t>
        </is>
      </c>
      <c r="B1591" s="12" t="inlineStr"/>
      <c r="C1591" s="12" t="inlineStr">
        <is>
          <t>Cost &amp; Forecast Control Accounts</t>
        </is>
      </c>
      <c r="D1591" s="12" t="inlineStr">
        <is>
          <t>CST-05-047</t>
        </is>
      </c>
      <c r="E1591" s="12" t="inlineStr">
        <is>
          <t>Testing &amp; readiness - defect closeout - control account</t>
        </is>
      </c>
      <c r="F1591" s="12" t="inlineStr">
        <is>
          <t>UNSURE</t>
        </is>
      </c>
      <c r="G1591" s="12" t="inlineStr">
        <is>
          <t>APPROVED</t>
        </is>
      </c>
      <c r="H1591" s="12" t="inlineStr">
        <is>
          <t>New</t>
        </is>
      </c>
      <c r="I1591" s="12" t="inlineStr">
        <is>
          <t>Professional decision</t>
        </is>
      </c>
      <c r="J1591" s="12" t="inlineStr">
        <is>
          <t>Maya Chen, Owner Project Controls</t>
        </is>
      </c>
      <c r="K1591" s="12" t="inlineStr">
        <is>
          <t>Professional</t>
        </is>
      </c>
      <c r="L1591" s="12" t="inlineStr"/>
      <c r="M1591" s="12" t="inlineStr">
        <is>
          <t>Initial</t>
        </is>
      </c>
      <c r="N1591" s="12" t="inlineStr">
        <is>
          <t>Rev 0</t>
        </is>
      </c>
      <c r="O1591" s="12" t="inlineStr">
        <is>
          <t>R1449-v2</t>
        </is>
      </c>
      <c r="P1591" s="12" t="inlineStr"/>
      <c r="Q1591" s="12" t="inlineStr"/>
      <c r="R1591" s="12" t="inlineStr"/>
      <c r="S1591" s="12" t="inlineStr"/>
      <c r="T1591" s="12" t="inlineStr">
        <is>
          <t>Group decision (81 records sharing one decision state)</t>
        </is>
      </c>
      <c r="U1591" s="12" t="inlineStr"/>
      <c r="V1591" s="12" t="inlineStr">
        <is>
          <t>Cost Account = CA-5047</t>
        </is>
      </c>
      <c r="W1591" s="12" t="inlineStr"/>
    </row>
    <row r="1592" ht="64" customHeight="1">
      <c r="A1592" s="12" t="inlineStr">
        <is>
          <t>UNSURE</t>
        </is>
      </c>
      <c r="B1592" s="12" t="inlineStr"/>
      <c r="C1592" s="12" t="inlineStr">
        <is>
          <t>Cost &amp; Forecast Control Accounts</t>
        </is>
      </c>
      <c r="D1592" s="12" t="inlineStr">
        <is>
          <t>CST-05-048</t>
        </is>
      </c>
      <c r="E1592" s="12" t="inlineStr">
        <is>
          <t>Testing &amp; readiness - test management - control account</t>
        </is>
      </c>
      <c r="F1592" s="12" t="inlineStr">
        <is>
          <t>UNSURE</t>
        </is>
      </c>
      <c r="G1592" s="12" t="inlineStr">
        <is>
          <t>APPROVED</t>
        </is>
      </c>
      <c r="H1592" s="12" t="inlineStr">
        <is>
          <t>New</t>
        </is>
      </c>
      <c r="I1592" s="12" t="inlineStr">
        <is>
          <t>Professional decision</t>
        </is>
      </c>
      <c r="J1592" s="12" t="inlineStr">
        <is>
          <t>Maya Chen, Owner Project Controls</t>
        </is>
      </c>
      <c r="K1592" s="12" t="inlineStr">
        <is>
          <t>Professional</t>
        </is>
      </c>
      <c r="L1592" s="12" t="inlineStr"/>
      <c r="M1592" s="12" t="inlineStr">
        <is>
          <t>Initial</t>
        </is>
      </c>
      <c r="N1592" s="12" t="inlineStr">
        <is>
          <t>Rev 0</t>
        </is>
      </c>
      <c r="O1592" s="12" t="inlineStr">
        <is>
          <t>R1450-v2</t>
        </is>
      </c>
      <c r="P1592" s="12" t="inlineStr"/>
      <c r="Q1592" s="12" t="inlineStr"/>
      <c r="R1592" s="12" t="inlineStr"/>
      <c r="S1592" s="12" t="inlineStr"/>
      <c r="T1592" s="12" t="inlineStr">
        <is>
          <t>Group decision (81 records sharing one decision state)</t>
        </is>
      </c>
      <c r="U1592" s="12" t="inlineStr"/>
      <c r="V1592" s="12" t="inlineStr">
        <is>
          <t>Cost Account = CA-5048</t>
        </is>
      </c>
      <c r="W1592" s="12" t="inlineStr"/>
    </row>
    <row r="1593" ht="64" customHeight="1">
      <c r="A1593" s="12" t="inlineStr">
        <is>
          <t>UNSURE</t>
        </is>
      </c>
      <c r="B1593" s="12" t="inlineStr"/>
      <c r="C1593" s="12" t="inlineStr">
        <is>
          <t>Cost &amp; Forecast Control Accounts</t>
        </is>
      </c>
      <c r="D1593" s="12" t="inlineStr">
        <is>
          <t>CST-05-049</t>
        </is>
      </c>
      <c r="E1593" s="12" t="inlineStr">
        <is>
          <t>Testing &amp; readiness - trial running - control account</t>
        </is>
      </c>
      <c r="F1593" s="12" t="inlineStr">
        <is>
          <t>UNSURE</t>
        </is>
      </c>
      <c r="G1593" s="12" t="inlineStr">
        <is>
          <t>APPROVED</t>
        </is>
      </c>
      <c r="H1593" s="12" t="inlineStr">
        <is>
          <t>New</t>
        </is>
      </c>
      <c r="I1593" s="12" t="inlineStr">
        <is>
          <t>Professional decision</t>
        </is>
      </c>
      <c r="J1593" s="12" t="inlineStr">
        <is>
          <t>Maya Chen, Owner Project Controls</t>
        </is>
      </c>
      <c r="K1593" s="12" t="inlineStr">
        <is>
          <t>Professional</t>
        </is>
      </c>
      <c r="L1593" s="12" t="inlineStr"/>
      <c r="M1593" s="12" t="inlineStr">
        <is>
          <t>Initial</t>
        </is>
      </c>
      <c r="N1593" s="12" t="inlineStr">
        <is>
          <t>Rev 0</t>
        </is>
      </c>
      <c r="O1593" s="12" t="inlineStr">
        <is>
          <t>R1451-v2</t>
        </is>
      </c>
      <c r="P1593" s="12" t="inlineStr"/>
      <c r="Q1593" s="12" t="inlineStr"/>
      <c r="R1593" s="12" t="inlineStr"/>
      <c r="S1593" s="12" t="inlineStr"/>
      <c r="T1593" s="12" t="inlineStr">
        <is>
          <t>Group decision (81 records sharing one decision state)</t>
        </is>
      </c>
      <c r="U1593" s="12" t="inlineStr"/>
      <c r="V1593" s="12" t="inlineStr">
        <is>
          <t>Cost Account = CA-5049</t>
        </is>
      </c>
      <c r="W1593" s="12" t="inlineStr"/>
    </row>
    <row r="1594" ht="64" customHeight="1">
      <c r="A1594" s="12" t="inlineStr">
        <is>
          <t>UNSURE</t>
        </is>
      </c>
      <c r="B1594" s="12" t="inlineStr"/>
      <c r="C1594" s="12" t="inlineStr">
        <is>
          <t>Cost &amp; Forecast Control Accounts</t>
        </is>
      </c>
      <c r="D1594" s="12" t="inlineStr">
        <is>
          <t>CST-05-050</t>
        </is>
      </c>
      <c r="E1594" s="12" t="inlineStr">
        <is>
          <t>Testing &amp; readiness - safety certification - control account</t>
        </is>
      </c>
      <c r="F1594" s="12" t="inlineStr">
        <is>
          <t>UNSURE</t>
        </is>
      </c>
      <c r="G1594" s="12" t="inlineStr">
        <is>
          <t>APPROVED</t>
        </is>
      </c>
      <c r="H1594" s="12" t="inlineStr">
        <is>
          <t>New</t>
        </is>
      </c>
      <c r="I1594" s="12" t="inlineStr">
        <is>
          <t>Professional decision</t>
        </is>
      </c>
      <c r="J1594" s="12" t="inlineStr">
        <is>
          <t>Maya Chen, Owner Project Controls</t>
        </is>
      </c>
      <c r="K1594" s="12" t="inlineStr">
        <is>
          <t>Professional</t>
        </is>
      </c>
      <c r="L1594" s="12" t="inlineStr"/>
      <c r="M1594" s="12" t="inlineStr">
        <is>
          <t>Initial</t>
        </is>
      </c>
      <c r="N1594" s="12" t="inlineStr">
        <is>
          <t>Rev 0</t>
        </is>
      </c>
      <c r="O1594" s="12" t="inlineStr">
        <is>
          <t>R1452-v2</t>
        </is>
      </c>
      <c r="P1594" s="12" t="inlineStr"/>
      <c r="Q1594" s="12" t="inlineStr"/>
      <c r="R1594" s="12" t="inlineStr"/>
      <c r="S1594" s="12" t="inlineStr"/>
      <c r="T1594" s="12" t="inlineStr">
        <is>
          <t>Group decision (81 records sharing one decision state)</t>
        </is>
      </c>
      <c r="U1594" s="12" t="inlineStr"/>
      <c r="V1594" s="12" t="inlineStr">
        <is>
          <t>Cost Account = CA-5050</t>
        </is>
      </c>
      <c r="W1594" s="12" t="inlineStr"/>
    </row>
    <row r="1595" ht="64" customHeight="1">
      <c r="A1595" s="12" t="inlineStr">
        <is>
          <t>UNSURE</t>
        </is>
      </c>
      <c r="B1595" s="12" t="inlineStr"/>
      <c r="C1595" s="12" t="inlineStr">
        <is>
          <t>Cost &amp; Forecast Control Accounts</t>
        </is>
      </c>
      <c r="D1595" s="12" t="inlineStr">
        <is>
          <t>CST-05-051</t>
        </is>
      </c>
      <c r="E1595" s="12" t="inlineStr">
        <is>
          <t>Testing &amp; readiness - defect closeout - control account</t>
        </is>
      </c>
      <c r="F1595" s="12" t="inlineStr">
        <is>
          <t>UNSURE</t>
        </is>
      </c>
      <c r="G1595" s="12" t="inlineStr">
        <is>
          <t>APPROVED</t>
        </is>
      </c>
      <c r="H1595" s="12" t="inlineStr">
        <is>
          <t>New</t>
        </is>
      </c>
      <c r="I1595" s="12" t="inlineStr">
        <is>
          <t>Professional decision</t>
        </is>
      </c>
      <c r="J1595" s="12" t="inlineStr">
        <is>
          <t>Maya Chen, Owner Project Controls</t>
        </is>
      </c>
      <c r="K1595" s="12" t="inlineStr">
        <is>
          <t>Professional</t>
        </is>
      </c>
      <c r="L1595" s="12" t="inlineStr"/>
      <c r="M1595" s="12" t="inlineStr">
        <is>
          <t>Initial</t>
        </is>
      </c>
      <c r="N1595" s="12" t="inlineStr">
        <is>
          <t>Rev 0</t>
        </is>
      </c>
      <c r="O1595" s="12" t="inlineStr">
        <is>
          <t>R1453-v2</t>
        </is>
      </c>
      <c r="P1595" s="12" t="inlineStr"/>
      <c r="Q1595" s="12" t="inlineStr"/>
      <c r="R1595" s="12" t="inlineStr"/>
      <c r="S1595" s="12" t="inlineStr"/>
      <c r="T1595" s="12" t="inlineStr">
        <is>
          <t>Group decision (81 records sharing one decision state)</t>
        </is>
      </c>
      <c r="U1595" s="12" t="inlineStr"/>
      <c r="V1595" s="12" t="inlineStr">
        <is>
          <t>Cost Account = CA-5051</t>
        </is>
      </c>
      <c r="W1595" s="12" t="inlineStr"/>
    </row>
    <row r="1596" ht="64" customHeight="1">
      <c r="A1596" s="12" t="inlineStr">
        <is>
          <t>UNSURE</t>
        </is>
      </c>
      <c r="B1596" s="12" t="inlineStr"/>
      <c r="C1596" s="12" t="inlineStr">
        <is>
          <t>Cost &amp; Forecast Control Accounts</t>
        </is>
      </c>
      <c r="D1596" s="12" t="inlineStr">
        <is>
          <t>CST-05-052</t>
        </is>
      </c>
      <c r="E1596" s="12" t="inlineStr">
        <is>
          <t>Testing &amp; readiness - test management - control account</t>
        </is>
      </c>
      <c r="F1596" s="12" t="inlineStr">
        <is>
          <t>UNSURE</t>
        </is>
      </c>
      <c r="G1596" s="12" t="inlineStr">
        <is>
          <t>APPROVED</t>
        </is>
      </c>
      <c r="H1596" s="12" t="inlineStr">
        <is>
          <t>New</t>
        </is>
      </c>
      <c r="I1596" s="12" t="inlineStr">
        <is>
          <t>Professional decision</t>
        </is>
      </c>
      <c r="J1596" s="12" t="inlineStr">
        <is>
          <t>Maya Chen, Owner Project Controls</t>
        </is>
      </c>
      <c r="K1596" s="12" t="inlineStr">
        <is>
          <t>Professional</t>
        </is>
      </c>
      <c r="L1596" s="12" t="inlineStr"/>
      <c r="M1596" s="12" t="inlineStr">
        <is>
          <t>Initial</t>
        </is>
      </c>
      <c r="N1596" s="12" t="inlineStr">
        <is>
          <t>Rev 0</t>
        </is>
      </c>
      <c r="O1596" s="12" t="inlineStr">
        <is>
          <t>R1454-v2</t>
        </is>
      </c>
      <c r="P1596" s="12" t="inlineStr"/>
      <c r="Q1596" s="12" t="inlineStr"/>
      <c r="R1596" s="12" t="inlineStr"/>
      <c r="S1596" s="12" t="inlineStr"/>
      <c r="T1596" s="12" t="inlineStr">
        <is>
          <t>Group decision (81 records sharing one decision state)</t>
        </is>
      </c>
      <c r="U1596" s="12" t="inlineStr"/>
      <c r="V1596" s="12" t="inlineStr">
        <is>
          <t>Cost Account = CA-5052</t>
        </is>
      </c>
      <c r="W1596" s="12" t="inlineStr"/>
    </row>
    <row r="1597" ht="64" customHeight="1">
      <c r="A1597" s="12" t="inlineStr">
        <is>
          <t>UNSURE</t>
        </is>
      </c>
      <c r="B1597" s="12" t="inlineStr"/>
      <c r="C1597" s="12" t="inlineStr">
        <is>
          <t>Cost &amp; Forecast Control Accounts</t>
        </is>
      </c>
      <c r="D1597" s="12" t="inlineStr">
        <is>
          <t>CST-05-053</t>
        </is>
      </c>
      <c r="E1597" s="12" t="inlineStr">
        <is>
          <t>Testing &amp; readiness - trial running - control account</t>
        </is>
      </c>
      <c r="F1597" s="12" t="inlineStr">
        <is>
          <t>UNSURE</t>
        </is>
      </c>
      <c r="G1597" s="12" t="inlineStr">
        <is>
          <t>APPROVED</t>
        </is>
      </c>
      <c r="H1597" s="12" t="inlineStr">
        <is>
          <t>New</t>
        </is>
      </c>
      <c r="I1597" s="12" t="inlineStr">
        <is>
          <t>Professional decision</t>
        </is>
      </c>
      <c r="J1597" s="12" t="inlineStr">
        <is>
          <t>Maya Chen, Owner Project Controls</t>
        </is>
      </c>
      <c r="K1597" s="12" t="inlineStr">
        <is>
          <t>Professional</t>
        </is>
      </c>
      <c r="L1597" s="12" t="inlineStr"/>
      <c r="M1597" s="12" t="inlineStr">
        <is>
          <t>Initial</t>
        </is>
      </c>
      <c r="N1597" s="12" t="inlineStr">
        <is>
          <t>Rev 0</t>
        </is>
      </c>
      <c r="O1597" s="12" t="inlineStr">
        <is>
          <t>R1455-v2</t>
        </is>
      </c>
      <c r="P1597" s="12" t="inlineStr"/>
      <c r="Q1597" s="12" t="inlineStr"/>
      <c r="R1597" s="12" t="inlineStr"/>
      <c r="S1597" s="12" t="inlineStr"/>
      <c r="T1597" s="12" t="inlineStr">
        <is>
          <t>Group decision (81 records sharing one decision state)</t>
        </is>
      </c>
      <c r="U1597" s="12" t="inlineStr"/>
      <c r="V1597" s="12" t="inlineStr">
        <is>
          <t>Cost Account = CA-5053</t>
        </is>
      </c>
      <c r="W1597" s="12" t="inlineStr"/>
    </row>
    <row r="1598" ht="64" customHeight="1">
      <c r="A1598" s="12" t="inlineStr">
        <is>
          <t>UNSURE</t>
        </is>
      </c>
      <c r="B1598" s="12" t="inlineStr"/>
      <c r="C1598" s="12" t="inlineStr">
        <is>
          <t>Cost &amp; Forecast Control Accounts</t>
        </is>
      </c>
      <c r="D1598" s="12" t="inlineStr">
        <is>
          <t>CST-05-054</t>
        </is>
      </c>
      <c r="E1598" s="12" t="inlineStr">
        <is>
          <t>Testing &amp; readiness - safety certification - control account</t>
        </is>
      </c>
      <c r="F1598" s="12" t="inlineStr">
        <is>
          <t>UNSURE</t>
        </is>
      </c>
      <c r="G1598" s="12" t="inlineStr">
        <is>
          <t>APPROVED</t>
        </is>
      </c>
      <c r="H1598" s="12" t="inlineStr">
        <is>
          <t>New</t>
        </is>
      </c>
      <c r="I1598" s="12" t="inlineStr">
        <is>
          <t>Professional decision</t>
        </is>
      </c>
      <c r="J1598" s="12" t="inlineStr">
        <is>
          <t>Maya Chen, Owner Project Controls</t>
        </is>
      </c>
      <c r="K1598" s="12" t="inlineStr">
        <is>
          <t>Professional</t>
        </is>
      </c>
      <c r="L1598" s="12" t="inlineStr"/>
      <c r="M1598" s="12" t="inlineStr">
        <is>
          <t>Initial</t>
        </is>
      </c>
      <c r="N1598" s="12" t="inlineStr">
        <is>
          <t>Rev 0</t>
        </is>
      </c>
      <c r="O1598" s="12" t="inlineStr">
        <is>
          <t>R1456-v2</t>
        </is>
      </c>
      <c r="P1598" s="12" t="inlineStr"/>
      <c r="Q1598" s="12" t="inlineStr"/>
      <c r="R1598" s="12" t="inlineStr"/>
      <c r="S1598" s="12" t="inlineStr"/>
      <c r="T1598" s="12" t="inlineStr">
        <is>
          <t>Group decision (81 records sharing one decision state)</t>
        </is>
      </c>
      <c r="U1598" s="12" t="inlineStr"/>
      <c r="V1598" s="12" t="inlineStr">
        <is>
          <t>Cost Account = CA-5054</t>
        </is>
      </c>
      <c r="W1598" s="12" t="inlineStr"/>
    </row>
    <row r="1599" ht="64" customHeight="1">
      <c r="A1599" s="12" t="inlineStr">
        <is>
          <t>UNSURE</t>
        </is>
      </c>
      <c r="B1599" s="12" t="inlineStr"/>
      <c r="C1599" s="12" t="inlineStr">
        <is>
          <t>Cost &amp; Forecast Control Accounts</t>
        </is>
      </c>
      <c r="D1599" s="12" t="inlineStr">
        <is>
          <t>CST-05-055</t>
        </is>
      </c>
      <c r="E1599" s="12" t="inlineStr">
        <is>
          <t>Testing &amp; readiness - defect closeout - control account</t>
        </is>
      </c>
      <c r="F1599" s="12" t="inlineStr">
        <is>
          <t>UNSURE</t>
        </is>
      </c>
      <c r="G1599" s="12" t="inlineStr">
        <is>
          <t>APPROVED</t>
        </is>
      </c>
      <c r="H1599" s="12" t="inlineStr">
        <is>
          <t>New</t>
        </is>
      </c>
      <c r="I1599" s="12" t="inlineStr">
        <is>
          <t>Professional decision</t>
        </is>
      </c>
      <c r="J1599" s="12" t="inlineStr">
        <is>
          <t>Maya Chen, Owner Project Controls</t>
        </is>
      </c>
      <c r="K1599" s="12" t="inlineStr">
        <is>
          <t>Professional</t>
        </is>
      </c>
      <c r="L1599" s="12" t="inlineStr"/>
      <c r="M1599" s="12" t="inlineStr">
        <is>
          <t>Initial</t>
        </is>
      </c>
      <c r="N1599" s="12" t="inlineStr">
        <is>
          <t>Rev 0</t>
        </is>
      </c>
      <c r="O1599" s="12" t="inlineStr">
        <is>
          <t>R1457-v2</t>
        </is>
      </c>
      <c r="P1599" s="12" t="inlineStr"/>
      <c r="Q1599" s="12" t="inlineStr"/>
      <c r="R1599" s="12" t="inlineStr"/>
      <c r="S1599" s="12" t="inlineStr"/>
      <c r="T1599" s="12" t="inlineStr">
        <is>
          <t>Group decision (81 records sharing one decision state)</t>
        </is>
      </c>
      <c r="U1599" s="12" t="inlineStr"/>
      <c r="V1599" s="12" t="inlineStr">
        <is>
          <t>Cost Account = CA-5055</t>
        </is>
      </c>
      <c r="W1599" s="12" t="inlineStr"/>
    </row>
    <row r="1600" ht="64" customHeight="1">
      <c r="A1600" s="12" t="inlineStr">
        <is>
          <t>UNSURE</t>
        </is>
      </c>
      <c r="B1600" s="12" t="inlineStr"/>
      <c r="C1600" s="12" t="inlineStr">
        <is>
          <t>Cost &amp; Forecast Control Accounts</t>
        </is>
      </c>
      <c r="D1600" s="12" t="inlineStr">
        <is>
          <t>CST-05-056</t>
        </is>
      </c>
      <c r="E1600" s="12" t="inlineStr">
        <is>
          <t>Testing &amp; readiness - test management - control account</t>
        </is>
      </c>
      <c r="F1600" s="12" t="inlineStr">
        <is>
          <t>UNSURE</t>
        </is>
      </c>
      <c r="G1600" s="12" t="inlineStr">
        <is>
          <t>APPROVED</t>
        </is>
      </c>
      <c r="H1600" s="12" t="inlineStr">
        <is>
          <t>New</t>
        </is>
      </c>
      <c r="I1600" s="12" t="inlineStr">
        <is>
          <t>Professional decision</t>
        </is>
      </c>
      <c r="J1600" s="12" t="inlineStr">
        <is>
          <t>Maya Chen, Owner Project Controls</t>
        </is>
      </c>
      <c r="K1600" s="12" t="inlineStr">
        <is>
          <t>Professional</t>
        </is>
      </c>
      <c r="L1600" s="12" t="inlineStr"/>
      <c r="M1600" s="12" t="inlineStr">
        <is>
          <t>Initial</t>
        </is>
      </c>
      <c r="N1600" s="12" t="inlineStr">
        <is>
          <t>Rev 0</t>
        </is>
      </c>
      <c r="O1600" s="12" t="inlineStr">
        <is>
          <t>R1458-v2</t>
        </is>
      </c>
      <c r="P1600" s="12" t="inlineStr"/>
      <c r="Q1600" s="12" t="inlineStr"/>
      <c r="R1600" s="12" t="inlineStr"/>
      <c r="S1600" s="12" t="inlineStr"/>
      <c r="T1600" s="12" t="inlineStr">
        <is>
          <t>Group decision (81 records sharing one decision state)</t>
        </is>
      </c>
      <c r="U1600" s="12" t="inlineStr"/>
      <c r="V1600" s="12" t="inlineStr">
        <is>
          <t>Cost Account = CA-5056</t>
        </is>
      </c>
      <c r="W1600" s="12" t="inlineStr"/>
    </row>
    <row r="1601" ht="64" customHeight="1">
      <c r="A1601" s="12" t="inlineStr">
        <is>
          <t>UNSURE</t>
        </is>
      </c>
      <c r="B1601" s="12" t="inlineStr"/>
      <c r="C1601" s="12" t="inlineStr">
        <is>
          <t>Cost &amp; Forecast Control Accounts</t>
        </is>
      </c>
      <c r="D1601" s="12" t="inlineStr">
        <is>
          <t>CST-05-057</t>
        </is>
      </c>
      <c r="E1601" s="12" t="inlineStr">
        <is>
          <t>Testing &amp; readiness - trial running - control account</t>
        </is>
      </c>
      <c r="F1601" s="12" t="inlineStr">
        <is>
          <t>UNSURE</t>
        </is>
      </c>
      <c r="G1601" s="12" t="inlineStr">
        <is>
          <t>APPROVED</t>
        </is>
      </c>
      <c r="H1601" s="12" t="inlineStr">
        <is>
          <t>New</t>
        </is>
      </c>
      <c r="I1601" s="12" t="inlineStr">
        <is>
          <t>Professional decision</t>
        </is>
      </c>
      <c r="J1601" s="12" t="inlineStr">
        <is>
          <t>Maya Chen, Owner Project Controls</t>
        </is>
      </c>
      <c r="K1601" s="12" t="inlineStr">
        <is>
          <t>Professional</t>
        </is>
      </c>
      <c r="L1601" s="12" t="inlineStr"/>
      <c r="M1601" s="12" t="inlineStr">
        <is>
          <t>Initial</t>
        </is>
      </c>
      <c r="N1601" s="12" t="inlineStr">
        <is>
          <t>Rev 0</t>
        </is>
      </c>
      <c r="O1601" s="12" t="inlineStr">
        <is>
          <t>R1459-v2</t>
        </is>
      </c>
      <c r="P1601" s="12" t="inlineStr"/>
      <c r="Q1601" s="12" t="inlineStr"/>
      <c r="R1601" s="12" t="inlineStr"/>
      <c r="S1601" s="12" t="inlineStr"/>
      <c r="T1601" s="12" t="inlineStr">
        <is>
          <t>Group decision (81 records sharing one decision state)</t>
        </is>
      </c>
      <c r="U1601" s="12" t="inlineStr"/>
      <c r="V1601" s="12" t="inlineStr">
        <is>
          <t>Cost Account = CA-5057</t>
        </is>
      </c>
      <c r="W1601" s="12" t="inlineStr"/>
    </row>
    <row r="1602" ht="64" customHeight="1">
      <c r="A1602" s="12" t="inlineStr">
        <is>
          <t>UNSURE</t>
        </is>
      </c>
      <c r="B1602" s="12" t="inlineStr"/>
      <c r="C1602" s="12" t="inlineStr">
        <is>
          <t>Cost &amp; Forecast Control Accounts</t>
        </is>
      </c>
      <c r="D1602" s="12" t="inlineStr">
        <is>
          <t>CST-05-058</t>
        </is>
      </c>
      <c r="E1602" s="12" t="inlineStr">
        <is>
          <t>Testing &amp; readiness - safety certification - control account</t>
        </is>
      </c>
      <c r="F1602" s="12" t="inlineStr">
        <is>
          <t>UNSURE</t>
        </is>
      </c>
      <c r="G1602" s="12" t="inlineStr">
        <is>
          <t>APPROVED</t>
        </is>
      </c>
      <c r="H1602" s="12" t="inlineStr">
        <is>
          <t>New</t>
        </is>
      </c>
      <c r="I1602" s="12" t="inlineStr">
        <is>
          <t>Professional decision</t>
        </is>
      </c>
      <c r="J1602" s="12" t="inlineStr">
        <is>
          <t>Maya Chen, Owner Project Controls</t>
        </is>
      </c>
      <c r="K1602" s="12" t="inlineStr">
        <is>
          <t>Professional</t>
        </is>
      </c>
      <c r="L1602" s="12" t="inlineStr"/>
      <c r="M1602" s="12" t="inlineStr">
        <is>
          <t>Initial</t>
        </is>
      </c>
      <c r="N1602" s="12" t="inlineStr">
        <is>
          <t>Rev 0</t>
        </is>
      </c>
      <c r="O1602" s="12" t="inlineStr">
        <is>
          <t>R1460-v2</t>
        </is>
      </c>
      <c r="P1602" s="12" t="inlineStr"/>
      <c r="Q1602" s="12" t="inlineStr"/>
      <c r="R1602" s="12" t="inlineStr"/>
      <c r="S1602" s="12" t="inlineStr"/>
      <c r="T1602" s="12" t="inlineStr">
        <is>
          <t>Group decision (81 records sharing one decision state)</t>
        </is>
      </c>
      <c r="U1602" s="12" t="inlineStr"/>
      <c r="V1602" s="12" t="inlineStr">
        <is>
          <t>Cost Account = CA-5058</t>
        </is>
      </c>
      <c r="W1602" s="12" t="inlineStr"/>
    </row>
    <row r="1603" ht="64" customHeight="1">
      <c r="A1603" s="12" t="inlineStr">
        <is>
          <t>UNSURE</t>
        </is>
      </c>
      <c r="B1603" s="12" t="inlineStr"/>
      <c r="C1603" s="12" t="inlineStr">
        <is>
          <t>Cost &amp; Forecast Control Accounts</t>
        </is>
      </c>
      <c r="D1603" s="12" t="inlineStr">
        <is>
          <t>CST-05-059</t>
        </is>
      </c>
      <c r="E1603" s="12" t="inlineStr">
        <is>
          <t>Testing &amp; readiness - defect closeout - control account</t>
        </is>
      </c>
      <c r="F1603" s="12" t="inlineStr">
        <is>
          <t>UNSURE</t>
        </is>
      </c>
      <c r="G1603" s="12" t="inlineStr">
        <is>
          <t>APPROVED</t>
        </is>
      </c>
      <c r="H1603" s="12" t="inlineStr">
        <is>
          <t>New</t>
        </is>
      </c>
      <c r="I1603" s="12" t="inlineStr">
        <is>
          <t>Professional decision</t>
        </is>
      </c>
      <c r="J1603" s="12" t="inlineStr">
        <is>
          <t>Maya Chen, Owner Project Controls</t>
        </is>
      </c>
      <c r="K1603" s="12" t="inlineStr">
        <is>
          <t>Professional</t>
        </is>
      </c>
      <c r="L1603" s="12" t="inlineStr"/>
      <c r="M1603" s="12" t="inlineStr">
        <is>
          <t>Initial</t>
        </is>
      </c>
      <c r="N1603" s="12" t="inlineStr">
        <is>
          <t>Rev 0</t>
        </is>
      </c>
      <c r="O1603" s="12" t="inlineStr">
        <is>
          <t>R1461-v2</t>
        </is>
      </c>
      <c r="P1603" s="12" t="inlineStr"/>
      <c r="Q1603" s="12" t="inlineStr"/>
      <c r="R1603" s="12" t="inlineStr"/>
      <c r="S1603" s="12" t="inlineStr"/>
      <c r="T1603" s="12" t="inlineStr">
        <is>
          <t>Group decision (81 records sharing one decision state)</t>
        </is>
      </c>
      <c r="U1603" s="12" t="inlineStr"/>
      <c r="V1603" s="12" t="inlineStr">
        <is>
          <t>Cost Account = CA-5059</t>
        </is>
      </c>
      <c r="W1603" s="12" t="inlineStr"/>
    </row>
    <row r="1604" ht="64" customHeight="1">
      <c r="A1604" s="12" t="inlineStr">
        <is>
          <t>UNSURE</t>
        </is>
      </c>
      <c r="B1604" s="12" t="inlineStr"/>
      <c r="C1604" s="12" t="inlineStr">
        <is>
          <t>Cost &amp; Forecast Control Accounts</t>
        </is>
      </c>
      <c r="D1604" s="12" t="inlineStr">
        <is>
          <t>CST-05-060</t>
        </is>
      </c>
      <c r="E1604" s="12" t="inlineStr">
        <is>
          <t>Testing &amp; readiness - test management - control account</t>
        </is>
      </c>
      <c r="F1604" s="12" t="inlineStr">
        <is>
          <t>UNSURE</t>
        </is>
      </c>
      <c r="G1604" s="12" t="inlineStr">
        <is>
          <t>APPROVED</t>
        </is>
      </c>
      <c r="H1604" s="12" t="inlineStr">
        <is>
          <t>New</t>
        </is>
      </c>
      <c r="I1604" s="12" t="inlineStr">
        <is>
          <t>Professional decision</t>
        </is>
      </c>
      <c r="J1604" s="12" t="inlineStr">
        <is>
          <t>Maya Chen, Owner Project Controls</t>
        </is>
      </c>
      <c r="K1604" s="12" t="inlineStr">
        <is>
          <t>Professional</t>
        </is>
      </c>
      <c r="L1604" s="12" t="inlineStr"/>
      <c r="M1604" s="12" t="inlineStr">
        <is>
          <t>Initial</t>
        </is>
      </c>
      <c r="N1604" s="12" t="inlineStr">
        <is>
          <t>Rev 0</t>
        </is>
      </c>
      <c r="O1604" s="12" t="inlineStr">
        <is>
          <t>R1462-v2</t>
        </is>
      </c>
      <c r="P1604" s="12" t="inlineStr"/>
      <c r="Q1604" s="12" t="inlineStr"/>
      <c r="R1604" s="12" t="inlineStr"/>
      <c r="S1604" s="12" t="inlineStr"/>
      <c r="T1604" s="12" t="inlineStr">
        <is>
          <t>Group decision (81 records sharing one decision state)</t>
        </is>
      </c>
      <c r="U1604" s="12" t="inlineStr"/>
      <c r="V1604" s="12" t="inlineStr">
        <is>
          <t>Cost Account = CA-5060</t>
        </is>
      </c>
      <c r="W1604" s="12" t="inlineStr"/>
    </row>
    <row r="1605" ht="64" customHeight="1">
      <c r="A1605" s="12" t="inlineStr">
        <is>
          <t>UNSURE</t>
        </is>
      </c>
      <c r="B1605" s="12" t="inlineStr"/>
      <c r="C1605" s="12" t="inlineStr">
        <is>
          <t>Cost &amp; Forecast Control Accounts</t>
        </is>
      </c>
      <c r="D1605" s="12" t="inlineStr">
        <is>
          <t>CST-05-061</t>
        </is>
      </c>
      <c r="E1605" s="12" t="inlineStr">
        <is>
          <t>Testing &amp; readiness - trial running - control account</t>
        </is>
      </c>
      <c r="F1605" s="12" t="inlineStr">
        <is>
          <t>UNSURE</t>
        </is>
      </c>
      <c r="G1605" s="12" t="inlineStr">
        <is>
          <t>APPROVED</t>
        </is>
      </c>
      <c r="H1605" s="12" t="inlineStr">
        <is>
          <t>New</t>
        </is>
      </c>
      <c r="I1605" s="12" t="inlineStr">
        <is>
          <t>Professional decision</t>
        </is>
      </c>
      <c r="J1605" s="12" t="inlineStr">
        <is>
          <t>Maya Chen, Owner Project Controls</t>
        </is>
      </c>
      <c r="K1605" s="12" t="inlineStr">
        <is>
          <t>Professional</t>
        </is>
      </c>
      <c r="L1605" s="12" t="inlineStr"/>
      <c r="M1605" s="12" t="inlineStr">
        <is>
          <t>Initial</t>
        </is>
      </c>
      <c r="N1605" s="12" t="inlineStr">
        <is>
          <t>Rev 0</t>
        </is>
      </c>
      <c r="O1605" s="12" t="inlineStr">
        <is>
          <t>R1463-v2</t>
        </is>
      </c>
      <c r="P1605" s="12" t="inlineStr"/>
      <c r="Q1605" s="12" t="inlineStr"/>
      <c r="R1605" s="12" t="inlineStr"/>
      <c r="S1605" s="12" t="inlineStr"/>
      <c r="T1605" s="12" t="inlineStr">
        <is>
          <t>Group decision (81 records sharing one decision state)</t>
        </is>
      </c>
      <c r="U1605" s="12" t="inlineStr"/>
      <c r="V1605" s="12" t="inlineStr">
        <is>
          <t>Cost Account = CA-5061</t>
        </is>
      </c>
      <c r="W1605" s="12" t="inlineStr"/>
    </row>
    <row r="1606" ht="64" customHeight="1">
      <c r="A1606" s="12" t="inlineStr">
        <is>
          <t>UNSURE</t>
        </is>
      </c>
      <c r="B1606" s="12" t="inlineStr"/>
      <c r="C1606" s="12" t="inlineStr">
        <is>
          <t>Cost &amp; Forecast Control Accounts</t>
        </is>
      </c>
      <c r="D1606" s="12" t="inlineStr">
        <is>
          <t>CST-05-062</t>
        </is>
      </c>
      <c r="E1606" s="12" t="inlineStr">
        <is>
          <t>Testing &amp; readiness - safety certification - control account</t>
        </is>
      </c>
      <c r="F1606" s="12" t="inlineStr">
        <is>
          <t>UNSURE</t>
        </is>
      </c>
      <c r="G1606" s="12" t="inlineStr">
        <is>
          <t>APPROVED</t>
        </is>
      </c>
      <c r="H1606" s="12" t="inlineStr">
        <is>
          <t>New</t>
        </is>
      </c>
      <c r="I1606" s="12" t="inlineStr">
        <is>
          <t>Professional decision</t>
        </is>
      </c>
      <c r="J1606" s="12" t="inlineStr">
        <is>
          <t>Maya Chen, Owner Project Controls</t>
        </is>
      </c>
      <c r="K1606" s="12" t="inlineStr">
        <is>
          <t>Professional</t>
        </is>
      </c>
      <c r="L1606" s="12" t="inlineStr"/>
      <c r="M1606" s="12" t="inlineStr">
        <is>
          <t>Initial</t>
        </is>
      </c>
      <c r="N1606" s="12" t="inlineStr">
        <is>
          <t>Rev 0</t>
        </is>
      </c>
      <c r="O1606" s="12" t="inlineStr">
        <is>
          <t>R1464-v2</t>
        </is>
      </c>
      <c r="P1606" s="12" t="inlineStr"/>
      <c r="Q1606" s="12" t="inlineStr"/>
      <c r="R1606" s="12" t="inlineStr"/>
      <c r="S1606" s="12" t="inlineStr"/>
      <c r="T1606" s="12" t="inlineStr">
        <is>
          <t>Group decision (81 records sharing one decision state)</t>
        </is>
      </c>
      <c r="U1606" s="12" t="inlineStr"/>
      <c r="V1606" s="12" t="inlineStr">
        <is>
          <t>Cost Account = CA-5062</t>
        </is>
      </c>
      <c r="W1606" s="12" t="inlineStr"/>
    </row>
    <row r="1607" ht="64" customHeight="1">
      <c r="A1607" s="12" t="inlineStr">
        <is>
          <t>UNSURE</t>
        </is>
      </c>
      <c r="B1607" s="12" t="inlineStr"/>
      <c r="C1607" s="12" t="inlineStr">
        <is>
          <t>Cost &amp; Forecast Control Accounts</t>
        </is>
      </c>
      <c r="D1607" s="12" t="inlineStr">
        <is>
          <t>CST-05-063</t>
        </is>
      </c>
      <c r="E1607" s="12" t="inlineStr">
        <is>
          <t>Testing &amp; readiness - defect closeout - control account</t>
        </is>
      </c>
      <c r="F1607" s="12" t="inlineStr">
        <is>
          <t>UNSURE</t>
        </is>
      </c>
      <c r="G1607" s="12" t="inlineStr">
        <is>
          <t>APPROVED</t>
        </is>
      </c>
      <c r="H1607" s="12" t="inlineStr">
        <is>
          <t>New</t>
        </is>
      </c>
      <c r="I1607" s="12" t="inlineStr">
        <is>
          <t>Professional decision</t>
        </is>
      </c>
      <c r="J1607" s="12" t="inlineStr">
        <is>
          <t>Maya Chen, Owner Project Controls</t>
        </is>
      </c>
      <c r="K1607" s="12" t="inlineStr">
        <is>
          <t>Professional</t>
        </is>
      </c>
      <c r="L1607" s="12" t="inlineStr"/>
      <c r="M1607" s="12" t="inlineStr">
        <is>
          <t>Initial</t>
        </is>
      </c>
      <c r="N1607" s="12" t="inlineStr">
        <is>
          <t>Rev 0</t>
        </is>
      </c>
      <c r="O1607" s="12" t="inlineStr">
        <is>
          <t>R1465-v2</t>
        </is>
      </c>
      <c r="P1607" s="12" t="inlineStr"/>
      <c r="Q1607" s="12" t="inlineStr"/>
      <c r="R1607" s="12" t="inlineStr"/>
      <c r="S1607" s="12" t="inlineStr"/>
      <c r="T1607" s="12" t="inlineStr">
        <is>
          <t>Group decision (81 records sharing one decision state)</t>
        </is>
      </c>
      <c r="U1607" s="12" t="inlineStr"/>
      <c r="V1607" s="12" t="inlineStr">
        <is>
          <t>Cost Account = CA-5063</t>
        </is>
      </c>
      <c r="W1607" s="12" t="inlineStr"/>
    </row>
    <row r="1608" ht="64" customHeight="1">
      <c r="A1608" s="12" t="inlineStr">
        <is>
          <t>UNSURE</t>
        </is>
      </c>
      <c r="B1608" s="12" t="inlineStr"/>
      <c r="C1608" s="12" t="inlineStr">
        <is>
          <t>Cost &amp; Forecast Control Accounts</t>
        </is>
      </c>
      <c r="D1608" s="12" t="inlineStr">
        <is>
          <t>CST-05-064</t>
        </is>
      </c>
      <c r="E1608" s="12" t="inlineStr">
        <is>
          <t>Testing &amp; readiness - test management - control account</t>
        </is>
      </c>
      <c r="F1608" s="12" t="inlineStr">
        <is>
          <t>UNSURE</t>
        </is>
      </c>
      <c r="G1608" s="12" t="inlineStr">
        <is>
          <t>APPROVED</t>
        </is>
      </c>
      <c r="H1608" s="12" t="inlineStr">
        <is>
          <t>New</t>
        </is>
      </c>
      <c r="I1608" s="12" t="inlineStr">
        <is>
          <t>Professional decision</t>
        </is>
      </c>
      <c r="J1608" s="12" t="inlineStr">
        <is>
          <t>Maya Chen, Owner Project Controls</t>
        </is>
      </c>
      <c r="K1608" s="12" t="inlineStr">
        <is>
          <t>Professional</t>
        </is>
      </c>
      <c r="L1608" s="12" t="inlineStr"/>
      <c r="M1608" s="12" t="inlineStr">
        <is>
          <t>Initial</t>
        </is>
      </c>
      <c r="N1608" s="12" t="inlineStr">
        <is>
          <t>Rev 0</t>
        </is>
      </c>
      <c r="O1608" s="12" t="inlineStr">
        <is>
          <t>R1466-v2</t>
        </is>
      </c>
      <c r="P1608" s="12" t="inlineStr"/>
      <c r="Q1608" s="12" t="inlineStr"/>
      <c r="R1608" s="12" t="inlineStr"/>
      <c r="S1608" s="12" t="inlineStr"/>
      <c r="T1608" s="12" t="inlineStr">
        <is>
          <t>Group decision (81 records sharing one decision state)</t>
        </is>
      </c>
      <c r="U1608" s="12" t="inlineStr"/>
      <c r="V1608" s="12" t="inlineStr">
        <is>
          <t>Cost Account = CA-5064</t>
        </is>
      </c>
      <c r="W1608" s="12" t="inlineStr"/>
    </row>
    <row r="1609" ht="64" customHeight="1">
      <c r="A1609" s="12" t="inlineStr">
        <is>
          <t>UNSURE</t>
        </is>
      </c>
      <c r="B1609" s="12" t="inlineStr"/>
      <c r="C1609" s="12" t="inlineStr">
        <is>
          <t>Cost &amp; Forecast Control Accounts</t>
        </is>
      </c>
      <c r="D1609" s="12" t="inlineStr">
        <is>
          <t>CST-05-065</t>
        </is>
      </c>
      <c r="E1609" s="12" t="inlineStr">
        <is>
          <t>Testing &amp; readiness - trial running - control account</t>
        </is>
      </c>
      <c r="F1609" s="12" t="inlineStr">
        <is>
          <t>UNSURE</t>
        </is>
      </c>
      <c r="G1609" s="12" t="inlineStr">
        <is>
          <t>APPROVED</t>
        </is>
      </c>
      <c r="H1609" s="12" t="inlineStr">
        <is>
          <t>New</t>
        </is>
      </c>
      <c r="I1609" s="12" t="inlineStr">
        <is>
          <t>Professional decision</t>
        </is>
      </c>
      <c r="J1609" s="12" t="inlineStr">
        <is>
          <t>Maya Chen, Owner Project Controls</t>
        </is>
      </c>
      <c r="K1609" s="12" t="inlineStr">
        <is>
          <t>Professional</t>
        </is>
      </c>
      <c r="L1609" s="12" t="inlineStr"/>
      <c r="M1609" s="12" t="inlineStr">
        <is>
          <t>Initial</t>
        </is>
      </c>
      <c r="N1609" s="12" t="inlineStr">
        <is>
          <t>Rev 0</t>
        </is>
      </c>
      <c r="O1609" s="12" t="inlineStr">
        <is>
          <t>R1467-v2</t>
        </is>
      </c>
      <c r="P1609" s="12" t="inlineStr"/>
      <c r="Q1609" s="12" t="inlineStr"/>
      <c r="R1609" s="12" t="inlineStr"/>
      <c r="S1609" s="12" t="inlineStr"/>
      <c r="T1609" s="12" t="inlineStr">
        <is>
          <t>Group decision (81 records sharing one decision state)</t>
        </is>
      </c>
      <c r="U1609" s="12" t="inlineStr"/>
      <c r="V1609" s="12" t="inlineStr">
        <is>
          <t>Cost Account = CA-5065</t>
        </is>
      </c>
      <c r="W1609" s="12" t="inlineStr"/>
    </row>
    <row r="1610" ht="64" customHeight="1">
      <c r="A1610" s="12" t="inlineStr">
        <is>
          <t>UNSURE</t>
        </is>
      </c>
      <c r="B1610" s="12" t="inlineStr"/>
      <c r="C1610" s="12" t="inlineStr">
        <is>
          <t>Cost &amp; Forecast Control Accounts</t>
        </is>
      </c>
      <c r="D1610" s="12" t="inlineStr">
        <is>
          <t>CST-05-066</t>
        </is>
      </c>
      <c r="E1610" s="12" t="inlineStr">
        <is>
          <t>Testing &amp; readiness - safety certification - control account</t>
        </is>
      </c>
      <c r="F1610" s="12" t="inlineStr">
        <is>
          <t>UNSURE</t>
        </is>
      </c>
      <c r="G1610" s="12" t="inlineStr">
        <is>
          <t>APPROVED</t>
        </is>
      </c>
      <c r="H1610" s="12" t="inlineStr">
        <is>
          <t>New</t>
        </is>
      </c>
      <c r="I1610" s="12" t="inlineStr">
        <is>
          <t>Professional decision</t>
        </is>
      </c>
      <c r="J1610" s="12" t="inlineStr">
        <is>
          <t>Maya Chen, Owner Project Controls</t>
        </is>
      </c>
      <c r="K1610" s="12" t="inlineStr">
        <is>
          <t>Professional</t>
        </is>
      </c>
      <c r="L1610" s="12" t="inlineStr"/>
      <c r="M1610" s="12" t="inlineStr">
        <is>
          <t>Initial</t>
        </is>
      </c>
      <c r="N1610" s="12" t="inlineStr">
        <is>
          <t>Rev 0</t>
        </is>
      </c>
      <c r="O1610" s="12" t="inlineStr">
        <is>
          <t>R1468-v2</t>
        </is>
      </c>
      <c r="P1610" s="12" t="inlineStr"/>
      <c r="Q1610" s="12" t="inlineStr"/>
      <c r="R1610" s="12" t="inlineStr"/>
      <c r="S1610" s="12" t="inlineStr"/>
      <c r="T1610" s="12" t="inlineStr">
        <is>
          <t>Group decision (81 records sharing one decision state)</t>
        </is>
      </c>
      <c r="U1610" s="12" t="inlineStr"/>
      <c r="V1610" s="12" t="inlineStr">
        <is>
          <t>Cost Account = CA-5066</t>
        </is>
      </c>
      <c r="W1610" s="12" t="inlineStr"/>
    </row>
    <row r="1611" ht="64" customHeight="1">
      <c r="A1611" s="12" t="inlineStr">
        <is>
          <t>UNSURE</t>
        </is>
      </c>
      <c r="B1611" s="12" t="inlineStr"/>
      <c r="C1611" s="12" t="inlineStr">
        <is>
          <t>Cost &amp; Forecast Control Accounts</t>
        </is>
      </c>
      <c r="D1611" s="12" t="inlineStr">
        <is>
          <t>CST-05-067</t>
        </is>
      </c>
      <c r="E1611" s="12" t="inlineStr">
        <is>
          <t>Testing &amp; readiness - defect closeout - control account</t>
        </is>
      </c>
      <c r="F1611" s="12" t="inlineStr">
        <is>
          <t>UNSURE</t>
        </is>
      </c>
      <c r="G1611" s="12" t="inlineStr">
        <is>
          <t>APPROVED</t>
        </is>
      </c>
      <c r="H1611" s="12" t="inlineStr">
        <is>
          <t>New</t>
        </is>
      </c>
      <c r="I1611" s="12" t="inlineStr">
        <is>
          <t>Professional decision</t>
        </is>
      </c>
      <c r="J1611" s="12" t="inlineStr">
        <is>
          <t>Maya Chen, Owner Project Controls</t>
        </is>
      </c>
      <c r="K1611" s="12" t="inlineStr">
        <is>
          <t>Professional</t>
        </is>
      </c>
      <c r="L1611" s="12" t="inlineStr"/>
      <c r="M1611" s="12" t="inlineStr">
        <is>
          <t>Initial</t>
        </is>
      </c>
      <c r="N1611" s="12" t="inlineStr">
        <is>
          <t>Rev 0</t>
        </is>
      </c>
      <c r="O1611" s="12" t="inlineStr">
        <is>
          <t>R1469-v2</t>
        </is>
      </c>
      <c r="P1611" s="12" t="inlineStr"/>
      <c r="Q1611" s="12" t="inlineStr"/>
      <c r="R1611" s="12" t="inlineStr"/>
      <c r="S1611" s="12" t="inlineStr"/>
      <c r="T1611" s="12" t="inlineStr">
        <is>
          <t>Group decision (81 records sharing one decision state)</t>
        </is>
      </c>
      <c r="U1611" s="12" t="inlineStr"/>
      <c r="V1611" s="12" t="inlineStr">
        <is>
          <t>Cost Account = CA-5067</t>
        </is>
      </c>
      <c r="W1611" s="12" t="inlineStr"/>
    </row>
    <row r="1612" ht="64" customHeight="1">
      <c r="A1612" s="12" t="inlineStr">
        <is>
          <t>UNSURE</t>
        </is>
      </c>
      <c r="B1612" s="12" t="inlineStr"/>
      <c r="C1612" s="12" t="inlineStr">
        <is>
          <t>Cost &amp; Forecast Control Accounts</t>
        </is>
      </c>
      <c r="D1612" s="12" t="inlineStr">
        <is>
          <t>CST-05-068</t>
        </is>
      </c>
      <c r="E1612" s="12" t="inlineStr">
        <is>
          <t>Testing &amp; readiness - test management - control account</t>
        </is>
      </c>
      <c r="F1612" s="12" t="inlineStr">
        <is>
          <t>UNSURE</t>
        </is>
      </c>
      <c r="G1612" s="12" t="inlineStr">
        <is>
          <t>APPROVED</t>
        </is>
      </c>
      <c r="H1612" s="12" t="inlineStr">
        <is>
          <t>New</t>
        </is>
      </c>
      <c r="I1612" s="12" t="inlineStr">
        <is>
          <t>Professional decision</t>
        </is>
      </c>
      <c r="J1612" s="12" t="inlineStr">
        <is>
          <t>Maya Chen, Owner Project Controls</t>
        </is>
      </c>
      <c r="K1612" s="12" t="inlineStr">
        <is>
          <t>Professional</t>
        </is>
      </c>
      <c r="L1612" s="12" t="inlineStr"/>
      <c r="M1612" s="12" t="inlineStr">
        <is>
          <t>Initial</t>
        </is>
      </c>
      <c r="N1612" s="12" t="inlineStr">
        <is>
          <t>Rev 0</t>
        </is>
      </c>
      <c r="O1612" s="12" t="inlineStr">
        <is>
          <t>R1470-v2</t>
        </is>
      </c>
      <c r="P1612" s="12" t="inlineStr"/>
      <c r="Q1612" s="12" t="inlineStr"/>
      <c r="R1612" s="12" t="inlineStr"/>
      <c r="S1612" s="12" t="inlineStr"/>
      <c r="T1612" s="12" t="inlineStr">
        <is>
          <t>Group decision (81 records sharing one decision state)</t>
        </is>
      </c>
      <c r="U1612" s="12" t="inlineStr"/>
      <c r="V1612" s="12" t="inlineStr">
        <is>
          <t>Cost Account = CA-5068</t>
        </is>
      </c>
      <c r="W1612" s="12" t="inlineStr"/>
    </row>
    <row r="1613" ht="64" customHeight="1">
      <c r="A1613" s="12" t="inlineStr">
        <is>
          <t>UNSURE</t>
        </is>
      </c>
      <c r="B1613" s="12" t="inlineStr"/>
      <c r="C1613" s="12" t="inlineStr">
        <is>
          <t>Cost &amp; Forecast Control Accounts</t>
        </is>
      </c>
      <c r="D1613" s="12" t="inlineStr">
        <is>
          <t>CST-05-069</t>
        </is>
      </c>
      <c r="E1613" s="12" t="inlineStr">
        <is>
          <t>Testing &amp; readiness - trial running - control account</t>
        </is>
      </c>
      <c r="F1613" s="12" t="inlineStr">
        <is>
          <t>UNSURE</t>
        </is>
      </c>
      <c r="G1613" s="12" t="inlineStr">
        <is>
          <t>APPROVED</t>
        </is>
      </c>
      <c r="H1613" s="12" t="inlineStr">
        <is>
          <t>New</t>
        </is>
      </c>
      <c r="I1613" s="12" t="inlineStr">
        <is>
          <t>Professional decision</t>
        </is>
      </c>
      <c r="J1613" s="12" t="inlineStr">
        <is>
          <t>Maya Chen, Owner Project Controls</t>
        </is>
      </c>
      <c r="K1613" s="12" t="inlineStr">
        <is>
          <t>Professional</t>
        </is>
      </c>
      <c r="L1613" s="12" t="inlineStr"/>
      <c r="M1613" s="12" t="inlineStr">
        <is>
          <t>Initial</t>
        </is>
      </c>
      <c r="N1613" s="12" t="inlineStr">
        <is>
          <t>Rev 0</t>
        </is>
      </c>
      <c r="O1613" s="12" t="inlineStr">
        <is>
          <t>R1471-v2</t>
        </is>
      </c>
      <c r="P1613" s="12" t="inlineStr"/>
      <c r="Q1613" s="12" t="inlineStr"/>
      <c r="R1613" s="12" t="inlineStr"/>
      <c r="S1613" s="12" t="inlineStr"/>
      <c r="T1613" s="12" t="inlineStr">
        <is>
          <t>Group decision (81 records sharing one decision state)</t>
        </is>
      </c>
      <c r="U1613" s="12" t="inlineStr"/>
      <c r="V1613" s="12" t="inlineStr">
        <is>
          <t>Cost Account = CA-5069</t>
        </is>
      </c>
      <c r="W1613" s="12" t="inlineStr"/>
    </row>
    <row r="1614" ht="64" customHeight="1">
      <c r="A1614" s="12" t="inlineStr">
        <is>
          <t>UNSURE</t>
        </is>
      </c>
      <c r="B1614" s="12" t="inlineStr"/>
      <c r="C1614" s="12" t="inlineStr">
        <is>
          <t>Cost &amp; Forecast Control Accounts</t>
        </is>
      </c>
      <c r="D1614" s="12" t="inlineStr">
        <is>
          <t>CST-05-070</t>
        </is>
      </c>
      <c r="E1614" s="12" t="inlineStr">
        <is>
          <t>Testing &amp; readiness - safety certification - control account</t>
        </is>
      </c>
      <c r="F1614" s="12" t="inlineStr">
        <is>
          <t>UNSURE</t>
        </is>
      </c>
      <c r="G1614" s="12" t="inlineStr">
        <is>
          <t>APPROVED</t>
        </is>
      </c>
      <c r="H1614" s="12" t="inlineStr">
        <is>
          <t>New</t>
        </is>
      </c>
      <c r="I1614" s="12" t="inlineStr">
        <is>
          <t>Professional decision</t>
        </is>
      </c>
      <c r="J1614" s="12" t="inlineStr">
        <is>
          <t>Maya Chen, Owner Project Controls</t>
        </is>
      </c>
      <c r="K1614" s="12" t="inlineStr">
        <is>
          <t>Professional</t>
        </is>
      </c>
      <c r="L1614" s="12" t="inlineStr"/>
      <c r="M1614" s="12" t="inlineStr">
        <is>
          <t>Initial</t>
        </is>
      </c>
      <c r="N1614" s="12" t="inlineStr">
        <is>
          <t>Rev 0</t>
        </is>
      </c>
      <c r="O1614" s="12" t="inlineStr">
        <is>
          <t>R1472-v2</t>
        </is>
      </c>
      <c r="P1614" s="12" t="inlineStr"/>
      <c r="Q1614" s="12" t="inlineStr"/>
      <c r="R1614" s="12" t="inlineStr"/>
      <c r="S1614" s="12" t="inlineStr"/>
      <c r="T1614" s="12" t="inlineStr">
        <is>
          <t>Group decision (81 records sharing one decision state)</t>
        </is>
      </c>
      <c r="U1614" s="12" t="inlineStr"/>
      <c r="V1614" s="12" t="inlineStr">
        <is>
          <t>Cost Account = CA-5070</t>
        </is>
      </c>
      <c r="W1614" s="12" t="inlineStr"/>
    </row>
    <row r="1615" ht="64" customHeight="1">
      <c r="A1615" s="12" t="inlineStr">
        <is>
          <t>UNSURE</t>
        </is>
      </c>
      <c r="B1615" s="12" t="inlineStr"/>
      <c r="C1615" s="12" t="inlineStr">
        <is>
          <t>Cost &amp; Forecast Control Accounts</t>
        </is>
      </c>
      <c r="D1615" s="12" t="inlineStr">
        <is>
          <t>CST-05-071</t>
        </is>
      </c>
      <c r="E1615" s="12" t="inlineStr">
        <is>
          <t>Testing &amp; readiness - defect closeout - control account</t>
        </is>
      </c>
      <c r="F1615" s="12" t="inlineStr">
        <is>
          <t>UNSURE</t>
        </is>
      </c>
      <c r="G1615" s="12" t="inlineStr">
        <is>
          <t>APPROVED</t>
        </is>
      </c>
      <c r="H1615" s="12" t="inlineStr">
        <is>
          <t>New</t>
        </is>
      </c>
      <c r="I1615" s="12" t="inlineStr">
        <is>
          <t>Professional decision</t>
        </is>
      </c>
      <c r="J1615" s="12" t="inlineStr">
        <is>
          <t>Maya Chen, Owner Project Controls</t>
        </is>
      </c>
      <c r="K1615" s="12" t="inlineStr">
        <is>
          <t>Professional</t>
        </is>
      </c>
      <c r="L1615" s="12" t="inlineStr"/>
      <c r="M1615" s="12" t="inlineStr">
        <is>
          <t>Initial</t>
        </is>
      </c>
      <c r="N1615" s="12" t="inlineStr">
        <is>
          <t>Rev 0</t>
        </is>
      </c>
      <c r="O1615" s="12" t="inlineStr">
        <is>
          <t>R1473-v2</t>
        </is>
      </c>
      <c r="P1615" s="12" t="inlineStr"/>
      <c r="Q1615" s="12" t="inlineStr"/>
      <c r="R1615" s="12" t="inlineStr"/>
      <c r="S1615" s="12" t="inlineStr"/>
      <c r="T1615" s="12" t="inlineStr">
        <is>
          <t>Group decision (81 records sharing one decision state)</t>
        </is>
      </c>
      <c r="U1615" s="12" t="inlineStr"/>
      <c r="V1615" s="12" t="inlineStr">
        <is>
          <t>Cost Account = CA-5071</t>
        </is>
      </c>
      <c r="W1615" s="12" t="inlineStr"/>
    </row>
    <row r="1616" ht="64" customHeight="1">
      <c r="A1616" s="12" t="inlineStr">
        <is>
          <t>UNSURE</t>
        </is>
      </c>
      <c r="B1616" s="12" t="inlineStr"/>
      <c r="C1616" s="12" t="inlineStr">
        <is>
          <t>Cost &amp; Forecast Control Accounts</t>
        </is>
      </c>
      <c r="D1616" s="12" t="inlineStr">
        <is>
          <t>CST-05-072</t>
        </is>
      </c>
      <c r="E1616" s="12" t="inlineStr">
        <is>
          <t>Testing &amp; readiness - test management - control account</t>
        </is>
      </c>
      <c r="F1616" s="12" t="inlineStr">
        <is>
          <t>UNSURE</t>
        </is>
      </c>
      <c r="G1616" s="12" t="inlineStr">
        <is>
          <t>APPROVED</t>
        </is>
      </c>
      <c r="H1616" s="12" t="inlineStr">
        <is>
          <t>New</t>
        </is>
      </c>
      <c r="I1616" s="12" t="inlineStr">
        <is>
          <t>Professional decision</t>
        </is>
      </c>
      <c r="J1616" s="12" t="inlineStr">
        <is>
          <t>Maya Chen, Owner Project Controls</t>
        </is>
      </c>
      <c r="K1616" s="12" t="inlineStr">
        <is>
          <t>Professional</t>
        </is>
      </c>
      <c r="L1616" s="12" t="inlineStr"/>
      <c r="M1616" s="12" t="inlineStr">
        <is>
          <t>Initial</t>
        </is>
      </c>
      <c r="N1616" s="12" t="inlineStr">
        <is>
          <t>Rev 0</t>
        </is>
      </c>
      <c r="O1616" s="12" t="inlineStr">
        <is>
          <t>R1474-v2</t>
        </is>
      </c>
      <c r="P1616" s="12" t="inlineStr"/>
      <c r="Q1616" s="12" t="inlineStr"/>
      <c r="R1616" s="12" t="inlineStr"/>
      <c r="S1616" s="12" t="inlineStr"/>
      <c r="T1616" s="12" t="inlineStr">
        <is>
          <t>Group decision (81 records sharing one decision state)</t>
        </is>
      </c>
      <c r="U1616" s="12" t="inlineStr"/>
      <c r="V1616" s="12" t="inlineStr">
        <is>
          <t>Cost Account = CA-5072</t>
        </is>
      </c>
      <c r="W1616" s="12" t="inlineStr"/>
    </row>
    <row r="1617" ht="64" customHeight="1">
      <c r="A1617" s="12" t="inlineStr">
        <is>
          <t>UNSURE</t>
        </is>
      </c>
      <c r="B1617" s="12" t="inlineStr"/>
      <c r="C1617" s="12" t="inlineStr">
        <is>
          <t>Cost &amp; Forecast Control Accounts</t>
        </is>
      </c>
      <c r="D1617" s="12" t="inlineStr">
        <is>
          <t>CST-05-073</t>
        </is>
      </c>
      <c r="E1617" s="12" t="inlineStr">
        <is>
          <t>Testing &amp; readiness - trial running - control account</t>
        </is>
      </c>
      <c r="F1617" s="12" t="inlineStr">
        <is>
          <t>UNSURE</t>
        </is>
      </c>
      <c r="G1617" s="12" t="inlineStr">
        <is>
          <t>APPROVED</t>
        </is>
      </c>
      <c r="H1617" s="12" t="inlineStr">
        <is>
          <t>New</t>
        </is>
      </c>
      <c r="I1617" s="12" t="inlineStr">
        <is>
          <t>Professional decision</t>
        </is>
      </c>
      <c r="J1617" s="12" t="inlineStr">
        <is>
          <t>Maya Chen, Owner Project Controls</t>
        </is>
      </c>
      <c r="K1617" s="12" t="inlineStr">
        <is>
          <t>Professional</t>
        </is>
      </c>
      <c r="L1617" s="12" t="inlineStr"/>
      <c r="M1617" s="12" t="inlineStr">
        <is>
          <t>Initial</t>
        </is>
      </c>
      <c r="N1617" s="12" t="inlineStr">
        <is>
          <t>Rev 0</t>
        </is>
      </c>
      <c r="O1617" s="12" t="inlineStr">
        <is>
          <t>R1475-v2</t>
        </is>
      </c>
      <c r="P1617" s="12" t="inlineStr"/>
      <c r="Q1617" s="12" t="inlineStr"/>
      <c r="R1617" s="12" t="inlineStr"/>
      <c r="S1617" s="12" t="inlineStr"/>
      <c r="T1617" s="12" t="inlineStr">
        <is>
          <t>Group decision (81 records sharing one decision state)</t>
        </is>
      </c>
      <c r="U1617" s="12" t="inlineStr"/>
      <c r="V1617" s="12" t="inlineStr">
        <is>
          <t>Cost Account = CA-5073</t>
        </is>
      </c>
      <c r="W1617" s="12" t="inlineStr"/>
    </row>
    <row r="1618" ht="64" customHeight="1">
      <c r="A1618" s="12" t="inlineStr">
        <is>
          <t>UNSURE</t>
        </is>
      </c>
      <c r="B1618" s="12" t="inlineStr"/>
      <c r="C1618" s="12" t="inlineStr">
        <is>
          <t>Cost &amp; Forecast Control Accounts</t>
        </is>
      </c>
      <c r="D1618" s="12" t="inlineStr">
        <is>
          <t>CST-05-074</t>
        </is>
      </c>
      <c r="E1618" s="12" t="inlineStr">
        <is>
          <t>Testing &amp; readiness - safety certification - control account</t>
        </is>
      </c>
      <c r="F1618" s="12" t="inlineStr">
        <is>
          <t>UNSURE</t>
        </is>
      </c>
      <c r="G1618" s="12" t="inlineStr">
        <is>
          <t>APPROVED</t>
        </is>
      </c>
      <c r="H1618" s="12" t="inlineStr">
        <is>
          <t>New</t>
        </is>
      </c>
      <c r="I1618" s="12" t="inlineStr">
        <is>
          <t>Professional decision</t>
        </is>
      </c>
      <c r="J1618" s="12" t="inlineStr">
        <is>
          <t>Maya Chen, Owner Project Controls</t>
        </is>
      </c>
      <c r="K1618" s="12" t="inlineStr">
        <is>
          <t>Professional</t>
        </is>
      </c>
      <c r="L1618" s="12" t="inlineStr"/>
      <c r="M1618" s="12" t="inlineStr">
        <is>
          <t>Initial</t>
        </is>
      </c>
      <c r="N1618" s="12" t="inlineStr">
        <is>
          <t>Rev 0</t>
        </is>
      </c>
      <c r="O1618" s="12" t="inlineStr">
        <is>
          <t>R1476-v2</t>
        </is>
      </c>
      <c r="P1618" s="12" t="inlineStr"/>
      <c r="Q1618" s="12" t="inlineStr"/>
      <c r="R1618" s="12" t="inlineStr"/>
      <c r="S1618" s="12" t="inlineStr"/>
      <c r="T1618" s="12" t="inlineStr">
        <is>
          <t>Group decision (81 records sharing one decision state)</t>
        </is>
      </c>
      <c r="U1618" s="12" t="inlineStr"/>
      <c r="V1618" s="12" t="inlineStr">
        <is>
          <t>Cost Account = CA-5074</t>
        </is>
      </c>
      <c r="W1618" s="12" t="inlineStr"/>
    </row>
    <row r="1619" ht="64" customHeight="1">
      <c r="A1619" s="12" t="inlineStr">
        <is>
          <t>UNSURE</t>
        </is>
      </c>
      <c r="B1619" s="12" t="inlineStr"/>
      <c r="C1619" s="12" t="inlineStr">
        <is>
          <t>Cost &amp; Forecast Control Accounts</t>
        </is>
      </c>
      <c r="D1619" s="12" t="inlineStr">
        <is>
          <t>CST-05-075</t>
        </is>
      </c>
      <c r="E1619" s="12" t="inlineStr">
        <is>
          <t>Testing &amp; readiness - defect closeout - control account</t>
        </is>
      </c>
      <c r="F1619" s="12" t="inlineStr">
        <is>
          <t>UNSURE</t>
        </is>
      </c>
      <c r="G1619" s="12" t="inlineStr">
        <is>
          <t>APPROVED</t>
        </is>
      </c>
      <c r="H1619" s="12" t="inlineStr">
        <is>
          <t>New</t>
        </is>
      </c>
      <c r="I1619" s="12" t="inlineStr">
        <is>
          <t>Professional decision</t>
        </is>
      </c>
      <c r="J1619" s="12" t="inlineStr">
        <is>
          <t>Maya Chen, Owner Project Controls</t>
        </is>
      </c>
      <c r="K1619" s="12" t="inlineStr">
        <is>
          <t>Professional</t>
        </is>
      </c>
      <c r="L1619" s="12" t="inlineStr"/>
      <c r="M1619" s="12" t="inlineStr">
        <is>
          <t>Initial</t>
        </is>
      </c>
      <c r="N1619" s="12" t="inlineStr">
        <is>
          <t>Rev 0</t>
        </is>
      </c>
      <c r="O1619" s="12" t="inlineStr">
        <is>
          <t>R1477-v2</t>
        </is>
      </c>
      <c r="P1619" s="12" t="inlineStr"/>
      <c r="Q1619" s="12" t="inlineStr"/>
      <c r="R1619" s="12" t="inlineStr"/>
      <c r="S1619" s="12" t="inlineStr"/>
      <c r="T1619" s="12" t="inlineStr">
        <is>
          <t>Group decision (81 records sharing one decision state)</t>
        </is>
      </c>
      <c r="U1619" s="12" t="inlineStr"/>
      <c r="V1619" s="12" t="inlineStr">
        <is>
          <t>Cost Account = CA-5075</t>
        </is>
      </c>
      <c r="W1619" s="12" t="inlineStr"/>
    </row>
    <row r="1620" ht="64" customHeight="1">
      <c r="A1620" s="12" t="inlineStr">
        <is>
          <t>UNSURE</t>
        </is>
      </c>
      <c r="B1620" s="12" t="inlineStr"/>
      <c r="C1620" s="12" t="inlineStr">
        <is>
          <t>Cost &amp; Forecast Control Accounts</t>
        </is>
      </c>
      <c r="D1620" s="12" t="inlineStr">
        <is>
          <t>CST-05-076</t>
        </is>
      </c>
      <c r="E1620" s="12" t="inlineStr">
        <is>
          <t>Testing &amp; readiness - test management - control account</t>
        </is>
      </c>
      <c r="F1620" s="12" t="inlineStr">
        <is>
          <t>UNSURE</t>
        </is>
      </c>
      <c r="G1620" s="12" t="inlineStr">
        <is>
          <t>APPROVED</t>
        </is>
      </c>
      <c r="H1620" s="12" t="inlineStr">
        <is>
          <t>New</t>
        </is>
      </c>
      <c r="I1620" s="12" t="inlineStr">
        <is>
          <t>Professional decision</t>
        </is>
      </c>
      <c r="J1620" s="12" t="inlineStr">
        <is>
          <t>Maya Chen, Owner Project Controls</t>
        </is>
      </c>
      <c r="K1620" s="12" t="inlineStr">
        <is>
          <t>Professional</t>
        </is>
      </c>
      <c r="L1620" s="12" t="inlineStr"/>
      <c r="M1620" s="12" t="inlineStr">
        <is>
          <t>Initial</t>
        </is>
      </c>
      <c r="N1620" s="12" t="inlineStr">
        <is>
          <t>Rev 0</t>
        </is>
      </c>
      <c r="O1620" s="12" t="inlineStr">
        <is>
          <t>R1478-v2</t>
        </is>
      </c>
      <c r="P1620" s="12" t="inlineStr"/>
      <c r="Q1620" s="12" t="inlineStr"/>
      <c r="R1620" s="12" t="inlineStr"/>
      <c r="S1620" s="12" t="inlineStr"/>
      <c r="T1620" s="12" t="inlineStr">
        <is>
          <t>Group decision (81 records sharing one decision state)</t>
        </is>
      </c>
      <c r="U1620" s="12" t="inlineStr"/>
      <c r="V1620" s="12" t="inlineStr">
        <is>
          <t>Cost Account = CA-5076</t>
        </is>
      </c>
      <c r="W1620" s="12" t="inlineStr"/>
    </row>
    <row r="1621" ht="64" customHeight="1">
      <c r="A1621" s="12" t="inlineStr">
        <is>
          <t>UNSURE</t>
        </is>
      </c>
      <c r="B1621" s="12" t="inlineStr"/>
      <c r="C1621" s="12" t="inlineStr">
        <is>
          <t>Cost &amp; Forecast Control Accounts</t>
        </is>
      </c>
      <c r="D1621" s="12" t="inlineStr">
        <is>
          <t>CST-05-077</t>
        </is>
      </c>
      <c r="E1621" s="12" t="inlineStr">
        <is>
          <t>Testing &amp; readiness - trial running - control account</t>
        </is>
      </c>
      <c r="F1621" s="12" t="inlineStr">
        <is>
          <t>UNSURE</t>
        </is>
      </c>
      <c r="G1621" s="12" t="inlineStr">
        <is>
          <t>APPROVED</t>
        </is>
      </c>
      <c r="H1621" s="12" t="inlineStr">
        <is>
          <t>New</t>
        </is>
      </c>
      <c r="I1621" s="12" t="inlineStr">
        <is>
          <t>Professional decision</t>
        </is>
      </c>
      <c r="J1621" s="12" t="inlineStr">
        <is>
          <t>Maya Chen, Owner Project Controls</t>
        </is>
      </c>
      <c r="K1621" s="12" t="inlineStr">
        <is>
          <t>Professional</t>
        </is>
      </c>
      <c r="L1621" s="12" t="inlineStr"/>
      <c r="M1621" s="12" t="inlineStr">
        <is>
          <t>Initial</t>
        </is>
      </c>
      <c r="N1621" s="12" t="inlineStr">
        <is>
          <t>Rev 0</t>
        </is>
      </c>
      <c r="O1621" s="12" t="inlineStr">
        <is>
          <t>R1479-v2</t>
        </is>
      </c>
      <c r="P1621" s="12" t="inlineStr"/>
      <c r="Q1621" s="12" t="inlineStr"/>
      <c r="R1621" s="12" t="inlineStr"/>
      <c r="S1621" s="12" t="inlineStr"/>
      <c r="T1621" s="12" t="inlineStr">
        <is>
          <t>Group decision (81 records sharing one decision state)</t>
        </is>
      </c>
      <c r="U1621" s="12" t="inlineStr"/>
      <c r="V1621" s="12" t="inlineStr">
        <is>
          <t>Cost Account = CA-5077</t>
        </is>
      </c>
      <c r="W1621" s="12" t="inlineStr"/>
    </row>
    <row r="1622" ht="64" customHeight="1">
      <c r="A1622" s="12" t="inlineStr">
        <is>
          <t>UNSURE</t>
        </is>
      </c>
      <c r="B1622" s="12" t="inlineStr"/>
      <c r="C1622" s="12" t="inlineStr">
        <is>
          <t>Cost &amp; Forecast Control Accounts</t>
        </is>
      </c>
      <c r="D1622" s="12" t="inlineStr">
        <is>
          <t>CST-05-078</t>
        </is>
      </c>
      <c r="E1622" s="12" t="inlineStr">
        <is>
          <t>Testing &amp; readiness - safety certification - control account</t>
        </is>
      </c>
      <c r="F1622" s="12" t="inlineStr">
        <is>
          <t>UNSURE</t>
        </is>
      </c>
      <c r="G1622" s="12" t="inlineStr">
        <is>
          <t>APPROVED</t>
        </is>
      </c>
      <c r="H1622" s="12" t="inlineStr">
        <is>
          <t>New</t>
        </is>
      </c>
      <c r="I1622" s="12" t="inlineStr">
        <is>
          <t>Professional decision</t>
        </is>
      </c>
      <c r="J1622" s="12" t="inlineStr">
        <is>
          <t>Maya Chen, Owner Project Controls</t>
        </is>
      </c>
      <c r="K1622" s="12" t="inlineStr">
        <is>
          <t>Professional</t>
        </is>
      </c>
      <c r="L1622" s="12" t="inlineStr"/>
      <c r="M1622" s="12" t="inlineStr">
        <is>
          <t>Initial</t>
        </is>
      </c>
      <c r="N1622" s="12" t="inlineStr">
        <is>
          <t>Rev 0</t>
        </is>
      </c>
      <c r="O1622" s="12" t="inlineStr">
        <is>
          <t>R1480-v2</t>
        </is>
      </c>
      <c r="P1622" s="12" t="inlineStr"/>
      <c r="Q1622" s="12" t="inlineStr"/>
      <c r="R1622" s="12" t="inlineStr"/>
      <c r="S1622" s="12" t="inlineStr"/>
      <c r="T1622" s="12" t="inlineStr">
        <is>
          <t>Group decision (81 records sharing one decision state)</t>
        </is>
      </c>
      <c r="U1622" s="12" t="inlineStr"/>
      <c r="V1622" s="12" t="inlineStr">
        <is>
          <t>Cost Account = CA-5078</t>
        </is>
      </c>
      <c r="W1622" s="12" t="inlineStr"/>
    </row>
    <row r="1623" ht="64" customHeight="1">
      <c r="A1623" s="12" t="inlineStr">
        <is>
          <t>UNSURE</t>
        </is>
      </c>
      <c r="B1623" s="12" t="inlineStr"/>
      <c r="C1623" s="12" t="inlineStr">
        <is>
          <t>Cost &amp; Forecast Control Accounts</t>
        </is>
      </c>
      <c r="D1623" s="12" t="inlineStr">
        <is>
          <t>CST-05-079</t>
        </is>
      </c>
      <c r="E1623" s="12" t="inlineStr">
        <is>
          <t>Testing &amp; readiness - defect closeout - control account</t>
        </is>
      </c>
      <c r="F1623" s="12" t="inlineStr">
        <is>
          <t>UNSURE</t>
        </is>
      </c>
      <c r="G1623" s="12" t="inlineStr">
        <is>
          <t>APPROVED</t>
        </is>
      </c>
      <c r="H1623" s="12" t="inlineStr">
        <is>
          <t>New</t>
        </is>
      </c>
      <c r="I1623" s="12" t="inlineStr">
        <is>
          <t>Professional decision</t>
        </is>
      </c>
      <c r="J1623" s="12" t="inlineStr">
        <is>
          <t>Maya Chen, Owner Project Controls</t>
        </is>
      </c>
      <c r="K1623" s="12" t="inlineStr">
        <is>
          <t>Professional</t>
        </is>
      </c>
      <c r="L1623" s="12" t="inlineStr"/>
      <c r="M1623" s="12" t="inlineStr">
        <is>
          <t>Initial</t>
        </is>
      </c>
      <c r="N1623" s="12" t="inlineStr">
        <is>
          <t>Rev 0</t>
        </is>
      </c>
      <c r="O1623" s="12" t="inlineStr">
        <is>
          <t>R1481-v2</t>
        </is>
      </c>
      <c r="P1623" s="12" t="inlineStr"/>
      <c r="Q1623" s="12" t="inlineStr"/>
      <c r="R1623" s="12" t="inlineStr"/>
      <c r="S1623" s="12" t="inlineStr"/>
      <c r="T1623" s="12" t="inlineStr">
        <is>
          <t>Group decision (81 records sharing one decision state)</t>
        </is>
      </c>
      <c r="U1623" s="12" t="inlineStr"/>
      <c r="V1623" s="12" t="inlineStr">
        <is>
          <t>Cost Account = CA-5079</t>
        </is>
      </c>
      <c r="W1623" s="12" t="inlineStr"/>
    </row>
    <row r="1624" ht="64" customHeight="1">
      <c r="A1624" s="12" t="inlineStr">
        <is>
          <t>UNSURE</t>
        </is>
      </c>
      <c r="B1624" s="12" t="inlineStr"/>
      <c r="C1624" s="12" t="inlineStr">
        <is>
          <t>Cost &amp; Forecast Control Accounts</t>
        </is>
      </c>
      <c r="D1624" s="12" t="inlineStr">
        <is>
          <t>CST-05-080</t>
        </is>
      </c>
      <c r="E1624" s="12" t="inlineStr">
        <is>
          <t>Testing &amp; readiness - test management - control account</t>
        </is>
      </c>
      <c r="F1624" s="12" t="inlineStr">
        <is>
          <t>UNSURE</t>
        </is>
      </c>
      <c r="G1624" s="12" t="inlineStr">
        <is>
          <t>APPROVED</t>
        </is>
      </c>
      <c r="H1624" s="12" t="inlineStr">
        <is>
          <t>New</t>
        </is>
      </c>
      <c r="I1624" s="12" t="inlineStr">
        <is>
          <t>Professional decision</t>
        </is>
      </c>
      <c r="J1624" s="12" t="inlineStr">
        <is>
          <t>Maya Chen, Owner Project Controls</t>
        </is>
      </c>
      <c r="K1624" s="12" t="inlineStr">
        <is>
          <t>Professional</t>
        </is>
      </c>
      <c r="L1624" s="12" t="inlineStr"/>
      <c r="M1624" s="12" t="inlineStr">
        <is>
          <t>Initial</t>
        </is>
      </c>
      <c r="N1624" s="12" t="inlineStr">
        <is>
          <t>Rev 0</t>
        </is>
      </c>
      <c r="O1624" s="12" t="inlineStr">
        <is>
          <t>R1482-v2</t>
        </is>
      </c>
      <c r="P1624" s="12" t="inlineStr"/>
      <c r="Q1624" s="12" t="inlineStr"/>
      <c r="R1624" s="12" t="inlineStr"/>
      <c r="S1624" s="12" t="inlineStr"/>
      <c r="T1624" s="12" t="inlineStr">
        <is>
          <t>Group decision (81 records sharing one decision state)</t>
        </is>
      </c>
      <c r="U1624" s="12" t="inlineStr"/>
      <c r="V1624" s="12" t="inlineStr">
        <is>
          <t>Cost Account = CA-5080</t>
        </is>
      </c>
      <c r="W1624" s="12" t="inlineStr"/>
    </row>
  </sheetData>
  <autoFilter ref="A1:W1624"/>
  <hyperlinks>
    <hyperlink xmlns:r="http://schemas.openxmlformats.org/officeDocument/2006/relationships" ref="A1" r:id="rId1"/>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tabColor rgb="008B8F97"/>
    <outlinePr summaryBelow="0" summaryRight="0"/>
    <pageSetUpPr fitToPage="1"/>
  </sheetPr>
  <dimension ref="A1:H80"/>
  <sheetViews>
    <sheetView showGridLines="0" tabSelected="0" zoomScale="100" zoomScaleNormal="100" workbookViewId="0">
      <pane ySplit="1" topLeftCell="A2" activePane="bottomLeft" state="frozen"/>
      <selection pane="bottomLeft" activeCell="A1" sqref="A1"/>
    </sheetView>
  </sheetViews>
  <sheetFormatPr baseColWidth="8" defaultRowHeight="15"/>
  <cols>
    <col width="13" customWidth="1" min="1" max="1"/>
    <col width="38" customWidth="1" min="2" max="2"/>
    <col width="15" customWidth="1" min="3" max="3"/>
    <col width="25" customWidth="1" min="4" max="4"/>
    <col width="18" customWidth="1" min="5" max="5"/>
    <col width="10" customWidth="1" min="6" max="6"/>
    <col width="24" customWidth="1" min="7" max="7"/>
    <col width="18" customWidth="1" min="8" max="8"/>
  </cols>
  <sheetData>
    <row r="1" ht="34" customHeight="1">
      <c r="A1" s="98" t="inlineStr">
        <is>
          <t>Code</t>
        </is>
      </c>
      <c r="B1" s="11" t="inlineStr">
        <is>
          <t>Name</t>
        </is>
      </c>
      <c r="C1" s="11" t="inlineStr">
        <is>
          <t>Parent Code</t>
        </is>
      </c>
      <c r="D1" s="11" t="inlineStr">
        <is>
          <t>Represented Dimension</t>
        </is>
      </c>
      <c r="E1" s="11" t="inlineStr">
        <is>
          <t>Scope Nature</t>
        </is>
      </c>
      <c r="F1" s="11" t="inlineStr">
        <is>
          <t>Roll-up</t>
        </is>
      </c>
      <c r="G1" s="11" t="inlineStr">
        <is>
          <t>Provenance</t>
        </is>
      </c>
      <c r="H1" s="11" t="inlineStr">
        <is>
          <t>Current Rows Mapped</t>
        </is>
      </c>
    </row>
    <row r="2" ht="94" customHeight="1">
      <c r="A2" s="12" t="inlineStr">
        <is>
          <t>1</t>
        </is>
      </c>
      <c r="B2" s="68" t="inlineStr">
        <is>
          <t>HarbourLink Urban Transit Expansion</t>
        </is>
      </c>
      <c r="C2" s="12" t="inlineStr"/>
      <c r="D2" s="12" t="inlineStr"/>
      <c r="E2" s="12" t="inlineStr">
        <is>
          <t>Deliverable</t>
        </is>
      </c>
      <c r="F2" s="12" t="inlineStr"/>
      <c r="G2" s="12" t="inlineStr">
        <is>
          <t>System Proposed</t>
        </is>
      </c>
      <c r="H2" s="12">
        <f>COUNTIFS('MASTER DATA'!$A$2:$A$1624,A2,'MASTER DATA'!$G$2:$G$1624,"&lt;&gt;RETIRED")</f>
        <v/>
      </c>
    </row>
    <row r="3" ht="94" customHeight="1">
      <c r="A3" s="12" t="inlineStr">
        <is>
          <t>1.1</t>
        </is>
      </c>
      <c r="B3" s="58" t="inlineStr">
        <is>
          <t>Guideway and Civil</t>
        </is>
      </c>
      <c r="C3" s="12" t="inlineStr">
        <is>
          <t>1</t>
        </is>
      </c>
      <c r="D3" s="12" t="inlineStr"/>
      <c r="E3" s="12" t="inlineStr">
        <is>
          <t>Deliverable</t>
        </is>
      </c>
      <c r="F3" s="12" t="inlineStr"/>
      <c r="G3" s="12" t="inlineStr">
        <is>
          <t>System Proposed</t>
        </is>
      </c>
      <c r="H3" s="12">
        <f>COUNTIFS('MASTER DATA'!$A$2:$A$1624,A3,'MASTER DATA'!$G$2:$G$1624,"&lt;&gt;RETIRED")</f>
        <v/>
      </c>
    </row>
    <row r="4" ht="94" customHeight="1">
      <c r="A4" s="12" t="inlineStr">
        <is>
          <t>1.1.1</t>
        </is>
      </c>
      <c r="B4" s="59" t="inlineStr">
        <is>
          <t>Guideway and Civil - Guideway Structures</t>
        </is>
      </c>
      <c r="C4" s="12" t="inlineStr">
        <is>
          <t>1.1</t>
        </is>
      </c>
      <c r="D4" s="12" t="inlineStr"/>
      <c r="E4" s="12" t="inlineStr">
        <is>
          <t>Deliverable</t>
        </is>
      </c>
      <c r="F4" s="12" t="inlineStr"/>
      <c r="G4" s="12" t="inlineStr">
        <is>
          <t>System Proposed</t>
        </is>
      </c>
      <c r="H4" s="12">
        <f>COUNTIFS('MASTER DATA'!$A$2:$A$1624,A4,'MASTER DATA'!$G$2:$G$1624,"&lt;&gt;RETIRED")</f>
        <v/>
      </c>
    </row>
    <row r="5" ht="94" customHeight="1">
      <c r="A5" s="12" t="inlineStr">
        <is>
          <t>1.1.1.1</t>
        </is>
      </c>
      <c r="B5" s="60" t="inlineStr">
        <is>
          <t>Guideway Structures - East Segment</t>
        </is>
      </c>
      <c r="C5" s="12" t="inlineStr">
        <is>
          <t>1.1.1</t>
        </is>
      </c>
      <c r="D5" s="12" t="inlineStr"/>
      <c r="E5" s="12" t="inlineStr">
        <is>
          <t>Deliverable</t>
        </is>
      </c>
      <c r="F5" s="12" t="inlineStr"/>
      <c r="G5" s="12" t="inlineStr">
        <is>
          <t>System Proposed</t>
        </is>
      </c>
      <c r="H5" s="12">
        <f>COUNTIFS('MASTER DATA'!$A$2:$A$1624,A5,'MASTER DATA'!$G$2:$G$1624,"&lt;&gt;RETIRED")</f>
        <v/>
      </c>
    </row>
    <row r="6" ht="94" customHeight="1">
      <c r="A6" s="12" t="inlineStr">
        <is>
          <t>1.1.1.2</t>
        </is>
      </c>
      <c r="B6" s="60" t="inlineStr">
        <is>
          <t>Guideway Structures - West Segment</t>
        </is>
      </c>
      <c r="C6" s="12" t="inlineStr">
        <is>
          <t>1.1.1</t>
        </is>
      </c>
      <c r="D6" s="12" t="inlineStr"/>
      <c r="E6" s="12" t="inlineStr">
        <is>
          <t>Deliverable</t>
        </is>
      </c>
      <c r="F6" s="12" t="inlineStr"/>
      <c r="G6" s="12" t="inlineStr">
        <is>
          <t>System Proposed</t>
        </is>
      </c>
      <c r="H6" s="12">
        <f>COUNTIFS('MASTER DATA'!$A$2:$A$1624,A6,'MASTER DATA'!$G$2:$G$1624,"&lt;&gt;RETIRED")</f>
        <v/>
      </c>
    </row>
    <row r="7" ht="94" customHeight="1">
      <c r="A7" s="12" t="inlineStr">
        <is>
          <t>1.1.2</t>
        </is>
      </c>
      <c r="B7" s="59" t="inlineStr">
        <is>
          <t>Guideway and Civil - Utility &amp; Roadworks</t>
        </is>
      </c>
      <c r="C7" s="12" t="inlineStr">
        <is>
          <t>1.1</t>
        </is>
      </c>
      <c r="D7" s="12" t="inlineStr"/>
      <c r="E7" s="12" t="inlineStr">
        <is>
          <t>Deliverable</t>
        </is>
      </c>
      <c r="F7" s="12" t="inlineStr"/>
      <c r="G7" s="12" t="inlineStr">
        <is>
          <t>System Proposed</t>
        </is>
      </c>
      <c r="H7" s="12">
        <f>COUNTIFS('MASTER DATA'!$A$2:$A$1624,A7,'MASTER DATA'!$G$2:$G$1624,"&lt;&gt;RETIRED")</f>
        <v/>
      </c>
    </row>
    <row r="8" ht="94" customHeight="1">
      <c r="A8" s="12" t="inlineStr">
        <is>
          <t>1.1.2.1</t>
        </is>
      </c>
      <c r="B8" s="60" t="inlineStr">
        <is>
          <t>Utility &amp; Roadworks - East Segment</t>
        </is>
      </c>
      <c r="C8" s="12" t="inlineStr">
        <is>
          <t>1.1.2</t>
        </is>
      </c>
      <c r="D8" s="12" t="inlineStr"/>
      <c r="E8" s="12" t="inlineStr">
        <is>
          <t>Deliverable</t>
        </is>
      </c>
      <c r="F8" s="12" t="inlineStr"/>
      <c r="G8" s="12" t="inlineStr">
        <is>
          <t>System Proposed</t>
        </is>
      </c>
      <c r="H8" s="12">
        <f>COUNTIFS('MASTER DATA'!$A$2:$A$1624,A8,'MASTER DATA'!$G$2:$G$1624,"&lt;&gt;RETIRED")</f>
        <v/>
      </c>
    </row>
    <row r="9" ht="94" customHeight="1">
      <c r="A9" s="12" t="inlineStr">
        <is>
          <t>1.1.2.2</t>
        </is>
      </c>
      <c r="B9" s="60" t="inlineStr">
        <is>
          <t>Utility &amp; Roadworks - West Segment</t>
        </is>
      </c>
      <c r="C9" s="12" t="inlineStr">
        <is>
          <t>1.1.2</t>
        </is>
      </c>
      <c r="D9" s="12" t="inlineStr"/>
      <c r="E9" s="12" t="inlineStr">
        <is>
          <t>Deliverable</t>
        </is>
      </c>
      <c r="F9" s="12" t="inlineStr"/>
      <c r="G9" s="12" t="inlineStr">
        <is>
          <t>System Proposed</t>
        </is>
      </c>
      <c r="H9" s="12">
        <f>COUNTIFS('MASTER DATA'!$A$2:$A$1624,A9,'MASTER DATA'!$G$2:$G$1624,"&lt;&gt;RETIRED")</f>
        <v/>
      </c>
    </row>
    <row r="10" ht="94" customHeight="1">
      <c r="A10" s="12" t="inlineStr">
        <is>
          <t>1.1.3</t>
        </is>
      </c>
      <c r="B10" s="59" t="inlineStr">
        <is>
          <t>Guideway and Civil - Track Support Works</t>
        </is>
      </c>
      <c r="C10" s="12" t="inlineStr">
        <is>
          <t>1.1</t>
        </is>
      </c>
      <c r="D10" s="12" t="inlineStr"/>
      <c r="E10" s="12" t="inlineStr">
        <is>
          <t>Deliverable</t>
        </is>
      </c>
      <c r="F10" s="12" t="inlineStr"/>
      <c r="G10" s="12" t="inlineStr">
        <is>
          <t>System Proposed</t>
        </is>
      </c>
      <c r="H10" s="12">
        <f>COUNTIFS('MASTER DATA'!$A$2:$A$1624,A10,'MASTER DATA'!$G$2:$G$1624,"&lt;&gt;RETIRED")</f>
        <v/>
      </c>
    </row>
    <row r="11" ht="94" customHeight="1">
      <c r="A11" s="12" t="inlineStr">
        <is>
          <t>1.1.3.1</t>
        </is>
      </c>
      <c r="B11" s="60" t="inlineStr">
        <is>
          <t>Track Support Works - East Segment</t>
        </is>
      </c>
      <c r="C11" s="12" t="inlineStr">
        <is>
          <t>1.1.3</t>
        </is>
      </c>
      <c r="D11" s="12" t="inlineStr"/>
      <c r="E11" s="12" t="inlineStr">
        <is>
          <t>Deliverable</t>
        </is>
      </c>
      <c r="F11" s="12" t="inlineStr"/>
      <c r="G11" s="12" t="inlineStr">
        <is>
          <t>System Proposed</t>
        </is>
      </c>
      <c r="H11" s="12">
        <f>COUNTIFS('MASTER DATA'!$A$2:$A$1624,A11,'MASTER DATA'!$G$2:$G$1624,"&lt;&gt;RETIRED")</f>
        <v/>
      </c>
    </row>
    <row r="12" ht="94" customHeight="1">
      <c r="A12" s="12" t="inlineStr">
        <is>
          <t>1.1.3.2</t>
        </is>
      </c>
      <c r="B12" s="60" t="inlineStr">
        <is>
          <t>Track Support Works - West Segment</t>
        </is>
      </c>
      <c r="C12" s="12" t="inlineStr">
        <is>
          <t>1.1.3</t>
        </is>
      </c>
      <c r="D12" s="12" t="inlineStr"/>
      <c r="E12" s="12" t="inlineStr">
        <is>
          <t>Deliverable</t>
        </is>
      </c>
      <c r="F12" s="12" t="inlineStr"/>
      <c r="G12" s="12" t="inlineStr">
        <is>
          <t>System Proposed</t>
        </is>
      </c>
      <c r="H12" s="12">
        <f>COUNTIFS('MASTER DATA'!$A$2:$A$1624,A12,'MASTER DATA'!$G$2:$G$1624,"&lt;&gt;RETIRED")</f>
        <v/>
      </c>
    </row>
    <row r="13" ht="94" customHeight="1">
      <c r="A13" s="12" t="inlineStr">
        <is>
          <t>1.1.4</t>
        </is>
      </c>
      <c r="B13" s="59" t="inlineStr">
        <is>
          <t>Guideway and Civil - Civil Interfaces</t>
        </is>
      </c>
      <c r="C13" s="12" t="inlineStr">
        <is>
          <t>1.1</t>
        </is>
      </c>
      <c r="D13" s="12" t="inlineStr"/>
      <c r="E13" s="12" t="inlineStr">
        <is>
          <t>Deliverable</t>
        </is>
      </c>
      <c r="F13" s="12" t="inlineStr"/>
      <c r="G13" s="12" t="inlineStr">
        <is>
          <t>System Proposed</t>
        </is>
      </c>
      <c r="H13" s="12">
        <f>COUNTIFS('MASTER DATA'!$A$2:$A$1624,A13,'MASTER DATA'!$G$2:$G$1624,"&lt;&gt;RETIRED")</f>
        <v/>
      </c>
    </row>
    <row r="14" ht="94" customHeight="1">
      <c r="A14" s="12" t="inlineStr">
        <is>
          <t>1.1.4.1</t>
        </is>
      </c>
      <c r="B14" s="60" t="inlineStr">
        <is>
          <t>Civil Interfaces - East Segment</t>
        </is>
      </c>
      <c r="C14" s="12" t="inlineStr">
        <is>
          <t>1.1.4</t>
        </is>
      </c>
      <c r="D14" s="12" t="inlineStr"/>
      <c r="E14" s="12" t="inlineStr">
        <is>
          <t>Deliverable</t>
        </is>
      </c>
      <c r="F14" s="12" t="inlineStr"/>
      <c r="G14" s="12" t="inlineStr">
        <is>
          <t>System Proposed</t>
        </is>
      </c>
      <c r="H14" s="12">
        <f>COUNTIFS('MASTER DATA'!$A$2:$A$1624,A14,'MASTER DATA'!$G$2:$G$1624,"&lt;&gt;RETIRED")</f>
        <v/>
      </c>
    </row>
    <row r="15" ht="94" customHeight="1">
      <c r="A15" s="12" t="inlineStr">
        <is>
          <t>1.1.4.2</t>
        </is>
      </c>
      <c r="B15" s="60" t="inlineStr">
        <is>
          <t>Civil Interfaces - West Segment</t>
        </is>
      </c>
      <c r="C15" s="12" t="inlineStr">
        <is>
          <t>1.1.4</t>
        </is>
      </c>
      <c r="D15" s="12" t="inlineStr"/>
      <c r="E15" s="12" t="inlineStr">
        <is>
          <t>Deliverable</t>
        </is>
      </c>
      <c r="F15" s="12" t="inlineStr"/>
      <c r="G15" s="12" t="inlineStr">
        <is>
          <t>System Proposed</t>
        </is>
      </c>
      <c r="H15" s="12">
        <f>COUNTIFS('MASTER DATA'!$A$2:$A$1624,A15,'MASTER DATA'!$G$2:$G$1624,"&lt;&gt;RETIRED")</f>
        <v/>
      </c>
    </row>
    <row r="16" ht="94" customHeight="1">
      <c r="A16" s="12" t="inlineStr">
        <is>
          <t>1.2</t>
        </is>
      </c>
      <c r="B16" s="58" t="inlineStr">
        <is>
          <t>Stations</t>
        </is>
      </c>
      <c r="C16" s="12" t="inlineStr">
        <is>
          <t>1</t>
        </is>
      </c>
      <c r="D16" s="12" t="inlineStr"/>
      <c r="E16" s="12" t="inlineStr">
        <is>
          <t>Deliverable</t>
        </is>
      </c>
      <c r="F16" s="12" t="inlineStr"/>
      <c r="G16" s="12" t="inlineStr">
        <is>
          <t>System Proposed</t>
        </is>
      </c>
      <c r="H16" s="12">
        <f>COUNTIFS('MASTER DATA'!$A$2:$A$1624,A16,'MASTER DATA'!$G$2:$G$1624,"&lt;&gt;RETIRED")</f>
        <v/>
      </c>
    </row>
    <row r="17" ht="94" customHeight="1">
      <c r="A17" s="12" t="inlineStr">
        <is>
          <t>1.2.1</t>
        </is>
      </c>
      <c r="B17" s="59" t="inlineStr">
        <is>
          <t>Stations - Station Structures</t>
        </is>
      </c>
      <c r="C17" s="12" t="inlineStr">
        <is>
          <t>1.2</t>
        </is>
      </c>
      <c r="D17" s="12" t="inlineStr"/>
      <c r="E17" s="12" t="inlineStr">
        <is>
          <t>Deliverable</t>
        </is>
      </c>
      <c r="F17" s="12" t="inlineStr"/>
      <c r="G17" s="12" t="inlineStr">
        <is>
          <t>System Proposed</t>
        </is>
      </c>
      <c r="H17" s="12">
        <f>COUNTIFS('MASTER DATA'!$A$2:$A$1624,A17,'MASTER DATA'!$G$2:$G$1624,"&lt;&gt;RETIRED")</f>
        <v/>
      </c>
    </row>
    <row r="18" ht="94" customHeight="1">
      <c r="A18" s="12" t="inlineStr">
        <is>
          <t>1.2.1.1</t>
        </is>
      </c>
      <c r="B18" s="60" t="inlineStr">
        <is>
          <t>Station Structures - Concourse &amp; Entries</t>
        </is>
      </c>
      <c r="C18" s="12" t="inlineStr">
        <is>
          <t>1.2.1</t>
        </is>
      </c>
      <c r="D18" s="12" t="inlineStr"/>
      <c r="E18" s="12" t="inlineStr">
        <is>
          <t>Deliverable</t>
        </is>
      </c>
      <c r="F18" s="12" t="inlineStr"/>
      <c r="G18" s="12" t="inlineStr">
        <is>
          <t>System Proposed</t>
        </is>
      </c>
      <c r="H18" s="12">
        <f>COUNTIFS('MASTER DATA'!$A$2:$A$1624,A18,'MASTER DATA'!$G$2:$G$1624,"&lt;&gt;RETIRED")</f>
        <v/>
      </c>
    </row>
    <row r="19" ht="94" customHeight="1">
      <c r="A19" s="12" t="inlineStr">
        <is>
          <t>1.2.1.2</t>
        </is>
      </c>
      <c r="B19" s="60" t="inlineStr">
        <is>
          <t>Station Structures - Platforms &amp; Back-of-House</t>
        </is>
      </c>
      <c r="C19" s="12" t="inlineStr">
        <is>
          <t>1.2.1</t>
        </is>
      </c>
      <c r="D19" s="12" t="inlineStr"/>
      <c r="E19" s="12" t="inlineStr">
        <is>
          <t>Deliverable</t>
        </is>
      </c>
      <c r="F19" s="12" t="inlineStr"/>
      <c r="G19" s="12" t="inlineStr">
        <is>
          <t>System Proposed</t>
        </is>
      </c>
      <c r="H19" s="12">
        <f>COUNTIFS('MASTER DATA'!$A$2:$A$1624,A19,'MASTER DATA'!$G$2:$G$1624,"&lt;&gt;RETIRED")</f>
        <v/>
      </c>
    </row>
    <row r="20" ht="94" customHeight="1">
      <c r="A20" s="12" t="inlineStr">
        <is>
          <t>1.2.2</t>
        </is>
      </c>
      <c r="B20" s="59" t="inlineStr">
        <is>
          <t>Stations - Architectural Fit-Out</t>
        </is>
      </c>
      <c r="C20" s="12" t="inlineStr">
        <is>
          <t>1.2</t>
        </is>
      </c>
      <c r="D20" s="12" t="inlineStr"/>
      <c r="E20" s="12" t="inlineStr">
        <is>
          <t>Deliverable</t>
        </is>
      </c>
      <c r="F20" s="12" t="inlineStr"/>
      <c r="G20" s="12" t="inlineStr">
        <is>
          <t>System Proposed</t>
        </is>
      </c>
      <c r="H20" s="12">
        <f>COUNTIFS('MASTER DATA'!$A$2:$A$1624,A20,'MASTER DATA'!$G$2:$G$1624,"&lt;&gt;RETIRED")</f>
        <v/>
      </c>
    </row>
    <row r="21" ht="94" customHeight="1">
      <c r="A21" s="12" t="inlineStr">
        <is>
          <t>1.2.2.1</t>
        </is>
      </c>
      <c r="B21" s="60" t="inlineStr">
        <is>
          <t>Architectural Fit-Out - Concourse &amp; Entries</t>
        </is>
      </c>
      <c r="C21" s="12" t="inlineStr">
        <is>
          <t>1.2.2</t>
        </is>
      </c>
      <c r="D21" s="12" t="inlineStr"/>
      <c r="E21" s="12" t="inlineStr">
        <is>
          <t>Deliverable</t>
        </is>
      </c>
      <c r="F21" s="12" t="inlineStr"/>
      <c r="G21" s="12" t="inlineStr">
        <is>
          <t>System Proposed</t>
        </is>
      </c>
      <c r="H21" s="12">
        <f>COUNTIFS('MASTER DATA'!$A$2:$A$1624,A21,'MASTER DATA'!$G$2:$G$1624,"&lt;&gt;RETIRED")</f>
        <v/>
      </c>
    </row>
    <row r="22" ht="94" customHeight="1">
      <c r="A22" s="12" t="inlineStr">
        <is>
          <t>1.2.2.2</t>
        </is>
      </c>
      <c r="B22" s="60" t="inlineStr">
        <is>
          <t>Architectural Fit-Out - Platforms &amp; Back-of-House</t>
        </is>
      </c>
      <c r="C22" s="12" t="inlineStr">
        <is>
          <t>1.2.2</t>
        </is>
      </c>
      <c r="D22" s="12" t="inlineStr"/>
      <c r="E22" s="12" t="inlineStr">
        <is>
          <t>Deliverable</t>
        </is>
      </c>
      <c r="F22" s="12" t="inlineStr"/>
      <c r="G22" s="12" t="inlineStr">
        <is>
          <t>System Proposed</t>
        </is>
      </c>
      <c r="H22" s="12">
        <f>COUNTIFS('MASTER DATA'!$A$2:$A$1624,A22,'MASTER DATA'!$G$2:$G$1624,"&lt;&gt;RETIRED")</f>
        <v/>
      </c>
    </row>
    <row r="23" ht="94" customHeight="1">
      <c r="A23" s="12" t="inlineStr">
        <is>
          <t>1.2.3</t>
        </is>
      </c>
      <c r="B23" s="59" t="inlineStr">
        <is>
          <t>Stations - Station Building Services</t>
        </is>
      </c>
      <c r="C23" s="12" t="inlineStr">
        <is>
          <t>1.2</t>
        </is>
      </c>
      <c r="D23" s="12" t="inlineStr"/>
      <c r="E23" s="12" t="inlineStr">
        <is>
          <t>Deliverable</t>
        </is>
      </c>
      <c r="F23" s="12" t="inlineStr"/>
      <c r="G23" s="12" t="inlineStr">
        <is>
          <t>System Proposed</t>
        </is>
      </c>
      <c r="H23" s="12">
        <f>COUNTIFS('MASTER DATA'!$A$2:$A$1624,A23,'MASTER DATA'!$G$2:$G$1624,"&lt;&gt;RETIRED")</f>
        <v/>
      </c>
    </row>
    <row r="24" ht="94" customHeight="1">
      <c r="A24" s="12" t="inlineStr">
        <is>
          <t>1.2.3.1</t>
        </is>
      </c>
      <c r="B24" s="60" t="inlineStr">
        <is>
          <t>Station Building Services - Concourse &amp; Entries</t>
        </is>
      </c>
      <c r="C24" s="12" t="inlineStr">
        <is>
          <t>1.2.3</t>
        </is>
      </c>
      <c r="D24" s="12" t="inlineStr"/>
      <c r="E24" s="12" t="inlineStr">
        <is>
          <t>Deliverable</t>
        </is>
      </c>
      <c r="F24" s="12" t="inlineStr"/>
      <c r="G24" s="12" t="inlineStr">
        <is>
          <t>System Proposed</t>
        </is>
      </c>
      <c r="H24" s="12">
        <f>COUNTIFS('MASTER DATA'!$A$2:$A$1624,A24,'MASTER DATA'!$G$2:$G$1624,"&lt;&gt;RETIRED")</f>
        <v/>
      </c>
    </row>
    <row r="25" ht="94" customHeight="1">
      <c r="A25" s="12" t="inlineStr">
        <is>
          <t>1.2.3.2</t>
        </is>
      </c>
      <c r="B25" s="60" t="inlineStr">
        <is>
          <t>Station Building Services - Platforms &amp; Back-of-House</t>
        </is>
      </c>
      <c r="C25" s="12" t="inlineStr">
        <is>
          <t>1.2.3</t>
        </is>
      </c>
      <c r="D25" s="12" t="inlineStr"/>
      <c r="E25" s="12" t="inlineStr">
        <is>
          <t>Deliverable</t>
        </is>
      </c>
      <c r="F25" s="12" t="inlineStr"/>
      <c r="G25" s="12" t="inlineStr">
        <is>
          <t>System Proposed</t>
        </is>
      </c>
      <c r="H25" s="12">
        <f>COUNTIFS('MASTER DATA'!$A$2:$A$1624,A25,'MASTER DATA'!$G$2:$G$1624,"&lt;&gt;RETIRED")</f>
        <v/>
      </c>
    </row>
    <row r="26" ht="94" customHeight="1">
      <c r="A26" s="12" t="inlineStr">
        <is>
          <t>1.2.4</t>
        </is>
      </c>
      <c r="B26" s="59" t="inlineStr">
        <is>
          <t>Stations - Public Realm</t>
        </is>
      </c>
      <c r="C26" s="12" t="inlineStr">
        <is>
          <t>1.2</t>
        </is>
      </c>
      <c r="D26" s="12" t="inlineStr"/>
      <c r="E26" s="12" t="inlineStr">
        <is>
          <t>Deliverable</t>
        </is>
      </c>
      <c r="F26" s="12" t="inlineStr"/>
      <c r="G26" s="12" t="inlineStr">
        <is>
          <t>System Proposed</t>
        </is>
      </c>
      <c r="H26" s="12">
        <f>COUNTIFS('MASTER DATA'!$A$2:$A$1624,A26,'MASTER DATA'!$G$2:$G$1624,"&lt;&gt;RETIRED")</f>
        <v/>
      </c>
    </row>
    <row r="27" ht="94" customHeight="1">
      <c r="A27" s="12" t="inlineStr">
        <is>
          <t>1.2.4.1</t>
        </is>
      </c>
      <c r="B27" s="60" t="inlineStr">
        <is>
          <t>Public Realm - Concourse &amp; Entries</t>
        </is>
      </c>
      <c r="C27" s="12" t="inlineStr">
        <is>
          <t>1.2.4</t>
        </is>
      </c>
      <c r="D27" s="12" t="inlineStr"/>
      <c r="E27" s="12" t="inlineStr">
        <is>
          <t>Deliverable</t>
        </is>
      </c>
      <c r="F27" s="12" t="inlineStr"/>
      <c r="G27" s="12" t="inlineStr">
        <is>
          <t>System Proposed</t>
        </is>
      </c>
      <c r="H27" s="12">
        <f>COUNTIFS('MASTER DATA'!$A$2:$A$1624,A27,'MASTER DATA'!$G$2:$G$1624,"&lt;&gt;RETIRED")</f>
        <v/>
      </c>
    </row>
    <row r="28" ht="94" customHeight="1">
      <c r="A28" s="12" t="inlineStr">
        <is>
          <t>1.2.4.2</t>
        </is>
      </c>
      <c r="B28" s="60" t="inlineStr">
        <is>
          <t>Public Realm - Platforms &amp; Back-of-House</t>
        </is>
      </c>
      <c r="C28" s="12" t="inlineStr">
        <is>
          <t>1.2.4</t>
        </is>
      </c>
      <c r="D28" s="12" t="inlineStr"/>
      <c r="E28" s="12" t="inlineStr">
        <is>
          <t>Deliverable</t>
        </is>
      </c>
      <c r="F28" s="12" t="inlineStr"/>
      <c r="G28" s="12" t="inlineStr">
        <is>
          <t>System Proposed</t>
        </is>
      </c>
      <c r="H28" s="12">
        <f>COUNTIFS('MASTER DATA'!$A$2:$A$1624,A28,'MASTER DATA'!$G$2:$G$1624,"&lt;&gt;RETIRED")</f>
        <v/>
      </c>
    </row>
    <row r="29" ht="94" customHeight="1">
      <c r="A29" s="12" t="inlineStr">
        <is>
          <t>1.3</t>
        </is>
      </c>
      <c r="B29" s="58" t="inlineStr">
        <is>
          <t>Systems</t>
        </is>
      </c>
      <c r="C29" s="12" t="inlineStr">
        <is>
          <t>1</t>
        </is>
      </c>
      <c r="D29" s="12" t="inlineStr"/>
      <c r="E29" s="12" t="inlineStr">
        <is>
          <t>Deliverable</t>
        </is>
      </c>
      <c r="F29" s="12" t="inlineStr"/>
      <c r="G29" s="12" t="inlineStr">
        <is>
          <t>System Proposed</t>
        </is>
      </c>
      <c r="H29" s="12">
        <f>COUNTIFS('MASTER DATA'!$A$2:$A$1624,A29,'MASTER DATA'!$G$2:$G$1624,"&lt;&gt;RETIRED")</f>
        <v/>
      </c>
    </row>
    <row r="30" ht="94" customHeight="1">
      <c r="A30" s="12" t="inlineStr">
        <is>
          <t>1.3.1</t>
        </is>
      </c>
      <c r="B30" s="59" t="inlineStr">
        <is>
          <t>Systems - Traction Power</t>
        </is>
      </c>
      <c r="C30" s="12" t="inlineStr">
        <is>
          <t>1.3</t>
        </is>
      </c>
      <c r="D30" s="12" t="inlineStr"/>
      <c r="E30" s="12" t="inlineStr">
        <is>
          <t>Deliverable</t>
        </is>
      </c>
      <c r="F30" s="12" t="inlineStr"/>
      <c r="G30" s="12" t="inlineStr">
        <is>
          <t>System Proposed</t>
        </is>
      </c>
      <c r="H30" s="12">
        <f>COUNTIFS('MASTER DATA'!$A$2:$A$1624,A30,'MASTER DATA'!$G$2:$G$1624,"&lt;&gt;RETIRED")</f>
        <v/>
      </c>
    </row>
    <row r="31" ht="94" customHeight="1">
      <c r="A31" s="12" t="inlineStr">
        <is>
          <t>1.3.1.1</t>
        </is>
      </c>
      <c r="B31" s="60" t="inlineStr">
        <is>
          <t>Traction Power - Wayside</t>
        </is>
      </c>
      <c r="C31" s="12" t="inlineStr">
        <is>
          <t>1.3.1</t>
        </is>
      </c>
      <c r="D31" s="12" t="inlineStr"/>
      <c r="E31" s="12" t="inlineStr">
        <is>
          <t>Deliverable</t>
        </is>
      </c>
      <c r="F31" s="12" t="inlineStr"/>
      <c r="G31" s="12" t="inlineStr">
        <is>
          <t>System Proposed</t>
        </is>
      </c>
      <c r="H31" s="12">
        <f>COUNTIFS('MASTER DATA'!$A$2:$A$1624,A31,'MASTER DATA'!$G$2:$G$1624,"&lt;&gt;RETIRED")</f>
        <v/>
      </c>
    </row>
    <row r="32" ht="94" customHeight="1">
      <c r="A32" s="12" t="inlineStr">
        <is>
          <t>1.3.1.2</t>
        </is>
      </c>
      <c r="B32" s="60" t="inlineStr">
        <is>
          <t>Traction Power - Control Centre &amp; Stations</t>
        </is>
      </c>
      <c r="C32" s="12" t="inlineStr">
        <is>
          <t>1.3.1</t>
        </is>
      </c>
      <c r="D32" s="12" t="inlineStr"/>
      <c r="E32" s="12" t="inlineStr">
        <is>
          <t>Deliverable</t>
        </is>
      </c>
      <c r="F32" s="12" t="inlineStr"/>
      <c r="G32" s="12" t="inlineStr">
        <is>
          <t>System Proposed</t>
        </is>
      </c>
      <c r="H32" s="12">
        <f>COUNTIFS('MASTER DATA'!$A$2:$A$1624,A32,'MASTER DATA'!$G$2:$G$1624,"&lt;&gt;RETIRED")</f>
        <v/>
      </c>
    </row>
    <row r="33" ht="94" customHeight="1">
      <c r="A33" s="12" t="inlineStr">
        <is>
          <t>1.3.2</t>
        </is>
      </c>
      <c r="B33" s="59" t="inlineStr">
        <is>
          <t>Systems - Signalling &amp; Train Control</t>
        </is>
      </c>
      <c r="C33" s="12" t="inlineStr">
        <is>
          <t>1.3</t>
        </is>
      </c>
      <c r="D33" s="12" t="inlineStr"/>
      <c r="E33" s="12" t="inlineStr">
        <is>
          <t>Deliverable</t>
        </is>
      </c>
      <c r="F33" s="12" t="inlineStr"/>
      <c r="G33" s="12" t="inlineStr">
        <is>
          <t>System Proposed</t>
        </is>
      </c>
      <c r="H33" s="12">
        <f>COUNTIFS('MASTER DATA'!$A$2:$A$1624,A33,'MASTER DATA'!$G$2:$G$1624,"&lt;&gt;RETIRED")</f>
        <v/>
      </c>
    </row>
    <row r="34" ht="94" customHeight="1">
      <c r="A34" s="12" t="inlineStr">
        <is>
          <t>1.3.2.1</t>
        </is>
      </c>
      <c r="B34" s="60" t="inlineStr">
        <is>
          <t>Signalling &amp; Train Control - Wayside</t>
        </is>
      </c>
      <c r="C34" s="12" t="inlineStr">
        <is>
          <t>1.3.2</t>
        </is>
      </c>
      <c r="D34" s="12" t="inlineStr"/>
      <c r="E34" s="12" t="inlineStr">
        <is>
          <t>Deliverable</t>
        </is>
      </c>
      <c r="F34" s="12" t="inlineStr"/>
      <c r="G34" s="12" t="inlineStr">
        <is>
          <t>System Proposed</t>
        </is>
      </c>
      <c r="H34" s="12">
        <f>COUNTIFS('MASTER DATA'!$A$2:$A$1624,A34,'MASTER DATA'!$G$2:$G$1624,"&lt;&gt;RETIRED")</f>
        <v/>
      </c>
    </row>
    <row r="35" ht="94" customHeight="1">
      <c r="A35" s="12" t="inlineStr">
        <is>
          <t>1.3.2.2</t>
        </is>
      </c>
      <c r="B35" s="60" t="inlineStr">
        <is>
          <t>Signalling &amp; Train Control - Control Centre &amp; Stations</t>
        </is>
      </c>
      <c r="C35" s="12" t="inlineStr">
        <is>
          <t>1.3.2</t>
        </is>
      </c>
      <c r="D35" s="12" t="inlineStr"/>
      <c r="E35" s="12" t="inlineStr">
        <is>
          <t>Deliverable</t>
        </is>
      </c>
      <c r="F35" s="12" t="inlineStr"/>
      <c r="G35" s="12" t="inlineStr">
        <is>
          <t>System Proposed</t>
        </is>
      </c>
      <c r="H35" s="12">
        <f>COUNTIFS('MASTER DATA'!$A$2:$A$1624,A35,'MASTER DATA'!$G$2:$G$1624,"&lt;&gt;RETIRED")</f>
        <v/>
      </c>
    </row>
    <row r="36" ht="94" customHeight="1">
      <c r="A36" s="12" t="inlineStr">
        <is>
          <t>1.3.3</t>
        </is>
      </c>
      <c r="B36" s="59" t="inlineStr">
        <is>
          <t>Systems - Communications</t>
        </is>
      </c>
      <c r="C36" s="12" t="inlineStr">
        <is>
          <t>1.3</t>
        </is>
      </c>
      <c r="D36" s="12" t="inlineStr"/>
      <c r="E36" s="12" t="inlineStr">
        <is>
          <t>Deliverable</t>
        </is>
      </c>
      <c r="F36" s="12" t="inlineStr"/>
      <c r="G36" s="12" t="inlineStr">
        <is>
          <t>System Proposed</t>
        </is>
      </c>
      <c r="H36" s="12">
        <f>COUNTIFS('MASTER DATA'!$A$2:$A$1624,A36,'MASTER DATA'!$G$2:$G$1624,"&lt;&gt;RETIRED")</f>
        <v/>
      </c>
    </row>
    <row r="37" ht="94" customHeight="1">
      <c r="A37" s="12" t="inlineStr">
        <is>
          <t>1.3.3.1</t>
        </is>
      </c>
      <c r="B37" s="60" t="inlineStr">
        <is>
          <t>Communications - Wayside</t>
        </is>
      </c>
      <c r="C37" s="12" t="inlineStr">
        <is>
          <t>1.3.3</t>
        </is>
      </c>
      <c r="D37" s="12" t="inlineStr"/>
      <c r="E37" s="12" t="inlineStr">
        <is>
          <t>Deliverable</t>
        </is>
      </c>
      <c r="F37" s="12" t="inlineStr"/>
      <c r="G37" s="12" t="inlineStr">
        <is>
          <t>System Proposed</t>
        </is>
      </c>
      <c r="H37" s="12">
        <f>COUNTIFS('MASTER DATA'!$A$2:$A$1624,A37,'MASTER DATA'!$G$2:$G$1624,"&lt;&gt;RETIRED")</f>
        <v/>
      </c>
    </row>
    <row r="38" ht="94" customHeight="1">
      <c r="A38" s="12" t="inlineStr">
        <is>
          <t>1.3.3.2</t>
        </is>
      </c>
      <c r="B38" s="60" t="inlineStr">
        <is>
          <t>Communications - Control Centre &amp; Stations</t>
        </is>
      </c>
      <c r="C38" s="12" t="inlineStr">
        <is>
          <t>1.3.3</t>
        </is>
      </c>
      <c r="D38" s="12" t="inlineStr"/>
      <c r="E38" s="12" t="inlineStr">
        <is>
          <t>Deliverable</t>
        </is>
      </c>
      <c r="F38" s="12" t="inlineStr"/>
      <c r="G38" s="12" t="inlineStr">
        <is>
          <t>System Proposed</t>
        </is>
      </c>
      <c r="H38" s="12">
        <f>COUNTIFS('MASTER DATA'!$A$2:$A$1624,A38,'MASTER DATA'!$G$2:$G$1624,"&lt;&gt;RETIRED")</f>
        <v/>
      </c>
    </row>
    <row r="39" ht="94" customHeight="1">
      <c r="A39" s="12" t="inlineStr">
        <is>
          <t>1.3.4</t>
        </is>
      </c>
      <c r="B39" s="59" t="inlineStr">
        <is>
          <t>Systems - Systems Integration</t>
        </is>
      </c>
      <c r="C39" s="12" t="inlineStr">
        <is>
          <t>1.3</t>
        </is>
      </c>
      <c r="D39" s="12" t="inlineStr"/>
      <c r="E39" s="12" t="inlineStr">
        <is>
          <t>Deliverable</t>
        </is>
      </c>
      <c r="F39" s="12" t="inlineStr"/>
      <c r="G39" s="12" t="inlineStr">
        <is>
          <t>System Proposed</t>
        </is>
      </c>
      <c r="H39" s="12">
        <f>COUNTIFS('MASTER DATA'!$A$2:$A$1624,A39,'MASTER DATA'!$G$2:$G$1624,"&lt;&gt;RETIRED")</f>
        <v/>
      </c>
    </row>
    <row r="40" ht="94" customHeight="1">
      <c r="A40" s="12" t="inlineStr">
        <is>
          <t>1.3.4.1</t>
        </is>
      </c>
      <c r="B40" s="60" t="inlineStr">
        <is>
          <t>Systems Integration - Wayside</t>
        </is>
      </c>
      <c r="C40" s="12" t="inlineStr">
        <is>
          <t>1.3.4</t>
        </is>
      </c>
      <c r="D40" s="12" t="inlineStr"/>
      <c r="E40" s="12" t="inlineStr">
        <is>
          <t>Deliverable</t>
        </is>
      </c>
      <c r="F40" s="12" t="inlineStr"/>
      <c r="G40" s="12" t="inlineStr">
        <is>
          <t>System Proposed</t>
        </is>
      </c>
      <c r="H40" s="12">
        <f>COUNTIFS('MASTER DATA'!$A$2:$A$1624,A40,'MASTER DATA'!$G$2:$G$1624,"&lt;&gt;RETIRED")</f>
        <v/>
      </c>
    </row>
    <row r="41" ht="94" customHeight="1">
      <c r="A41" s="12" t="inlineStr">
        <is>
          <t>1.3.4.2</t>
        </is>
      </c>
      <c r="B41" s="60" t="inlineStr">
        <is>
          <t>Systems Integration - Control Centre &amp; Stations</t>
        </is>
      </c>
      <c r="C41" s="12" t="inlineStr">
        <is>
          <t>1.3.4</t>
        </is>
      </c>
      <c r="D41" s="12" t="inlineStr"/>
      <c r="E41" s="12" t="inlineStr">
        <is>
          <t>Deliverable</t>
        </is>
      </c>
      <c r="F41" s="12" t="inlineStr"/>
      <c r="G41" s="12" t="inlineStr">
        <is>
          <t>System Proposed</t>
        </is>
      </c>
      <c r="H41" s="12">
        <f>COUNTIFS('MASTER DATA'!$A$2:$A$1624,A41,'MASTER DATA'!$G$2:$G$1624,"&lt;&gt;RETIRED")</f>
        <v/>
      </c>
    </row>
    <row r="42" ht="94" customHeight="1">
      <c r="A42" s="12" t="inlineStr">
        <is>
          <t>1.4</t>
        </is>
      </c>
      <c r="B42" s="58" t="inlineStr">
        <is>
          <t>Vehicles and Depot</t>
        </is>
      </c>
      <c r="C42" s="12" t="inlineStr">
        <is>
          <t>1</t>
        </is>
      </c>
      <c r="D42" s="12" t="inlineStr"/>
      <c r="E42" s="12" t="inlineStr">
        <is>
          <t>Deliverable</t>
        </is>
      </c>
      <c r="F42" s="12" t="inlineStr"/>
      <c r="G42" s="12" t="inlineStr">
        <is>
          <t>System Proposed</t>
        </is>
      </c>
      <c r="H42" s="12">
        <f>COUNTIFS('MASTER DATA'!$A$2:$A$1624,A42,'MASTER DATA'!$G$2:$G$1624,"&lt;&gt;RETIRED")</f>
        <v/>
      </c>
    </row>
    <row r="43" ht="94" customHeight="1">
      <c r="A43" s="12" t="inlineStr">
        <is>
          <t>1.4.1</t>
        </is>
      </c>
      <c r="B43" s="59" t="inlineStr">
        <is>
          <t>Vehicles and Depot - Fleet Supply</t>
        </is>
      </c>
      <c r="C43" s="12" t="inlineStr">
        <is>
          <t>1.4</t>
        </is>
      </c>
      <c r="D43" s="12" t="inlineStr"/>
      <c r="E43" s="12" t="inlineStr">
        <is>
          <t>Deliverable</t>
        </is>
      </c>
      <c r="F43" s="12" t="inlineStr"/>
      <c r="G43" s="12" t="inlineStr">
        <is>
          <t>System Proposed</t>
        </is>
      </c>
      <c r="H43" s="12">
        <f>COUNTIFS('MASTER DATA'!$A$2:$A$1624,A43,'MASTER DATA'!$G$2:$G$1624,"&lt;&gt;RETIRED")</f>
        <v/>
      </c>
    </row>
    <row r="44" ht="94" customHeight="1">
      <c r="A44" s="12" t="inlineStr">
        <is>
          <t>1.4.1.1</t>
        </is>
      </c>
      <c r="B44" s="60" t="inlineStr">
        <is>
          <t>Fleet Supply - Maintenance Facility</t>
        </is>
      </c>
      <c r="C44" s="12" t="inlineStr">
        <is>
          <t>1.4.1</t>
        </is>
      </c>
      <c r="D44" s="12" t="inlineStr"/>
      <c r="E44" s="12" t="inlineStr">
        <is>
          <t>Deliverable</t>
        </is>
      </c>
      <c r="F44" s="12" t="inlineStr"/>
      <c r="G44" s="12" t="inlineStr">
        <is>
          <t>System Proposed</t>
        </is>
      </c>
      <c r="H44" s="12">
        <f>COUNTIFS('MASTER DATA'!$A$2:$A$1624,A44,'MASTER DATA'!$G$2:$G$1624,"&lt;&gt;RETIRED")</f>
        <v/>
      </c>
    </row>
    <row r="45" ht="94" customHeight="1">
      <c r="A45" s="12" t="inlineStr">
        <is>
          <t>1.4.1.2</t>
        </is>
      </c>
      <c r="B45" s="60" t="inlineStr">
        <is>
          <t>Fleet Supply - Storage &amp; Commissioning Yard</t>
        </is>
      </c>
      <c r="C45" s="12" t="inlineStr">
        <is>
          <t>1.4.1</t>
        </is>
      </c>
      <c r="D45" s="12" t="inlineStr"/>
      <c r="E45" s="12" t="inlineStr">
        <is>
          <t>Deliverable</t>
        </is>
      </c>
      <c r="F45" s="12" t="inlineStr"/>
      <c r="G45" s="12" t="inlineStr">
        <is>
          <t>System Proposed</t>
        </is>
      </c>
      <c r="H45" s="12">
        <f>COUNTIFS('MASTER DATA'!$A$2:$A$1624,A45,'MASTER DATA'!$G$2:$G$1624,"&lt;&gt;RETIRED")</f>
        <v/>
      </c>
    </row>
    <row r="46" ht="94" customHeight="1">
      <c r="A46" s="12" t="inlineStr">
        <is>
          <t>1.4.2</t>
        </is>
      </c>
      <c r="B46" s="59" t="inlineStr">
        <is>
          <t>Vehicles and Depot - Depot Buildings</t>
        </is>
      </c>
      <c r="C46" s="12" t="inlineStr">
        <is>
          <t>1.4</t>
        </is>
      </c>
      <c r="D46" s="12" t="inlineStr"/>
      <c r="E46" s="12" t="inlineStr">
        <is>
          <t>Deliverable</t>
        </is>
      </c>
      <c r="F46" s="12" t="inlineStr"/>
      <c r="G46" s="12" t="inlineStr">
        <is>
          <t>System Proposed</t>
        </is>
      </c>
      <c r="H46" s="12">
        <f>COUNTIFS('MASTER DATA'!$A$2:$A$1624,A46,'MASTER DATA'!$G$2:$G$1624,"&lt;&gt;RETIRED")</f>
        <v/>
      </c>
    </row>
    <row r="47" ht="94" customHeight="1">
      <c r="A47" s="12" t="inlineStr">
        <is>
          <t>1.4.2.1</t>
        </is>
      </c>
      <c r="B47" s="60" t="inlineStr">
        <is>
          <t>Depot Buildings - Maintenance Facility</t>
        </is>
      </c>
      <c r="C47" s="12" t="inlineStr">
        <is>
          <t>1.4.2</t>
        </is>
      </c>
      <c r="D47" s="12" t="inlineStr"/>
      <c r="E47" s="12" t="inlineStr">
        <is>
          <t>Deliverable</t>
        </is>
      </c>
      <c r="F47" s="12" t="inlineStr"/>
      <c r="G47" s="12" t="inlineStr">
        <is>
          <t>System Proposed</t>
        </is>
      </c>
      <c r="H47" s="12">
        <f>COUNTIFS('MASTER DATA'!$A$2:$A$1624,A47,'MASTER DATA'!$G$2:$G$1624,"&lt;&gt;RETIRED")</f>
        <v/>
      </c>
    </row>
    <row r="48" ht="94" customHeight="1">
      <c r="A48" s="12" t="inlineStr">
        <is>
          <t>1.4.2.2</t>
        </is>
      </c>
      <c r="B48" s="60" t="inlineStr">
        <is>
          <t>Depot Buildings - Storage &amp; Commissioning Yard</t>
        </is>
      </c>
      <c r="C48" s="12" t="inlineStr">
        <is>
          <t>1.4.2</t>
        </is>
      </c>
      <c r="D48" s="12" t="inlineStr"/>
      <c r="E48" s="12" t="inlineStr">
        <is>
          <t>Deliverable</t>
        </is>
      </c>
      <c r="F48" s="12" t="inlineStr"/>
      <c r="G48" s="12" t="inlineStr">
        <is>
          <t>System Proposed</t>
        </is>
      </c>
      <c r="H48" s="12">
        <f>COUNTIFS('MASTER DATA'!$A$2:$A$1624,A48,'MASTER DATA'!$G$2:$G$1624,"&lt;&gt;RETIRED")</f>
        <v/>
      </c>
    </row>
    <row r="49" ht="94" customHeight="1">
      <c r="A49" s="12" t="inlineStr">
        <is>
          <t>1.4.3</t>
        </is>
      </c>
      <c r="B49" s="59" t="inlineStr">
        <is>
          <t>Vehicles and Depot - Workshop Equipment</t>
        </is>
      </c>
      <c r="C49" s="12" t="inlineStr">
        <is>
          <t>1.4</t>
        </is>
      </c>
      <c r="D49" s="12" t="inlineStr"/>
      <c r="E49" s="12" t="inlineStr">
        <is>
          <t>Deliverable</t>
        </is>
      </c>
      <c r="F49" s="12" t="inlineStr"/>
      <c r="G49" s="12" t="inlineStr">
        <is>
          <t>System Proposed</t>
        </is>
      </c>
      <c r="H49" s="12">
        <f>COUNTIFS('MASTER DATA'!$A$2:$A$1624,A49,'MASTER DATA'!$G$2:$G$1624,"&lt;&gt;RETIRED")</f>
        <v/>
      </c>
    </row>
    <row r="50" ht="94" customHeight="1">
      <c r="A50" s="12" t="inlineStr">
        <is>
          <t>1.4.3.1</t>
        </is>
      </c>
      <c r="B50" s="60" t="inlineStr">
        <is>
          <t>Workshop Equipment - Maintenance Facility</t>
        </is>
      </c>
      <c r="C50" s="12" t="inlineStr">
        <is>
          <t>1.4.3</t>
        </is>
      </c>
      <c r="D50" s="12" t="inlineStr"/>
      <c r="E50" s="12" t="inlineStr">
        <is>
          <t>Deliverable</t>
        </is>
      </c>
      <c r="F50" s="12" t="inlineStr"/>
      <c r="G50" s="12" t="inlineStr">
        <is>
          <t>System Proposed</t>
        </is>
      </c>
      <c r="H50" s="12">
        <f>COUNTIFS('MASTER DATA'!$A$2:$A$1624,A50,'MASTER DATA'!$G$2:$G$1624,"&lt;&gt;RETIRED")</f>
        <v/>
      </c>
    </row>
    <row r="51" ht="94" customHeight="1">
      <c r="A51" s="12" t="inlineStr">
        <is>
          <t>1.4.3.2</t>
        </is>
      </c>
      <c r="B51" s="60" t="inlineStr">
        <is>
          <t>Workshop Equipment - Storage &amp; Commissioning Yard</t>
        </is>
      </c>
      <c r="C51" s="12" t="inlineStr">
        <is>
          <t>1.4.3</t>
        </is>
      </c>
      <c r="D51" s="12" t="inlineStr"/>
      <c r="E51" s="12" t="inlineStr">
        <is>
          <t>Deliverable</t>
        </is>
      </c>
      <c r="F51" s="12" t="inlineStr"/>
      <c r="G51" s="12" t="inlineStr">
        <is>
          <t>System Proposed</t>
        </is>
      </c>
      <c r="H51" s="12">
        <f>COUNTIFS('MASTER DATA'!$A$2:$A$1624,A51,'MASTER DATA'!$G$2:$G$1624,"&lt;&gt;RETIRED")</f>
        <v/>
      </c>
    </row>
    <row r="52" ht="94" customHeight="1">
      <c r="A52" s="12" t="inlineStr">
        <is>
          <t>1.4.4</t>
        </is>
      </c>
      <c r="B52" s="59" t="inlineStr">
        <is>
          <t>Vehicles and Depot - Vehicle Integration</t>
        </is>
      </c>
      <c r="C52" s="12" t="inlineStr">
        <is>
          <t>1.4</t>
        </is>
      </c>
      <c r="D52" s="12" t="inlineStr"/>
      <c r="E52" s="12" t="inlineStr">
        <is>
          <t>Deliverable</t>
        </is>
      </c>
      <c r="F52" s="12" t="inlineStr"/>
      <c r="G52" s="12" t="inlineStr">
        <is>
          <t>System Proposed</t>
        </is>
      </c>
      <c r="H52" s="12">
        <f>COUNTIFS('MASTER DATA'!$A$2:$A$1624,A52,'MASTER DATA'!$G$2:$G$1624,"&lt;&gt;RETIRED")</f>
        <v/>
      </c>
    </row>
    <row r="53" ht="94" customHeight="1">
      <c r="A53" s="12" t="inlineStr">
        <is>
          <t>1.4.4.1</t>
        </is>
      </c>
      <c r="B53" s="60" t="inlineStr">
        <is>
          <t>Vehicle Integration - Maintenance Facility</t>
        </is>
      </c>
      <c r="C53" s="12" t="inlineStr">
        <is>
          <t>1.4.4</t>
        </is>
      </c>
      <c r="D53" s="12" t="inlineStr"/>
      <c r="E53" s="12" t="inlineStr">
        <is>
          <t>Deliverable</t>
        </is>
      </c>
      <c r="F53" s="12" t="inlineStr"/>
      <c r="G53" s="12" t="inlineStr">
        <is>
          <t>System Proposed</t>
        </is>
      </c>
      <c r="H53" s="12">
        <f>COUNTIFS('MASTER DATA'!$A$2:$A$1624,A53,'MASTER DATA'!$G$2:$G$1624,"&lt;&gt;RETIRED")</f>
        <v/>
      </c>
    </row>
    <row r="54" ht="94" customHeight="1">
      <c r="A54" s="12" t="inlineStr">
        <is>
          <t>1.4.4.2</t>
        </is>
      </c>
      <c r="B54" s="60" t="inlineStr">
        <is>
          <t>Vehicle Integration - Storage &amp; Commissioning Yard</t>
        </is>
      </c>
      <c r="C54" s="12" t="inlineStr">
        <is>
          <t>1.4.4</t>
        </is>
      </c>
      <c r="D54" s="12" t="inlineStr"/>
      <c r="E54" s="12" t="inlineStr">
        <is>
          <t>Deliverable</t>
        </is>
      </c>
      <c r="F54" s="12" t="inlineStr"/>
      <c r="G54" s="12" t="inlineStr">
        <is>
          <t>System Proposed</t>
        </is>
      </c>
      <c r="H54" s="12">
        <f>COUNTIFS('MASTER DATA'!$A$2:$A$1624,A54,'MASTER DATA'!$G$2:$G$1624,"&lt;&gt;RETIRED")</f>
        <v/>
      </c>
    </row>
    <row r="55" ht="94" customHeight="1">
      <c r="A55" s="12" t="inlineStr">
        <is>
          <t>1.5</t>
        </is>
      </c>
      <c r="B55" s="58" t="inlineStr">
        <is>
          <t>Testing and Commissioning</t>
        </is>
      </c>
      <c r="C55" s="12" t="inlineStr">
        <is>
          <t>1</t>
        </is>
      </c>
      <c r="D55" s="12" t="inlineStr"/>
      <c r="E55" s="12" t="inlineStr">
        <is>
          <t>Deliverable</t>
        </is>
      </c>
      <c r="F55" s="12" t="inlineStr"/>
      <c r="G55" s="12" t="inlineStr">
        <is>
          <t>System Proposed</t>
        </is>
      </c>
      <c r="H55" s="12">
        <f>COUNTIFS('MASTER DATA'!$A$2:$A$1624,A55,'MASTER DATA'!$G$2:$G$1624,"&lt;&gt;RETIRED")</f>
        <v/>
      </c>
    </row>
    <row r="56" ht="94" customHeight="1">
      <c r="A56" s="12" t="inlineStr">
        <is>
          <t>1.5.1</t>
        </is>
      </c>
      <c r="B56" s="59" t="inlineStr">
        <is>
          <t>Testing and Commissioning - Test Readiness</t>
        </is>
      </c>
      <c r="C56" s="12" t="inlineStr">
        <is>
          <t>1.5</t>
        </is>
      </c>
      <c r="D56" s="12" t="inlineStr"/>
      <c r="E56" s="12" t="inlineStr">
        <is>
          <t>Deliverable</t>
        </is>
      </c>
      <c r="F56" s="12" t="inlineStr"/>
      <c r="G56" s="12" t="inlineStr">
        <is>
          <t>System Proposed</t>
        </is>
      </c>
      <c r="H56" s="12">
        <f>COUNTIFS('MASTER DATA'!$A$2:$A$1624,A56,'MASTER DATA'!$G$2:$G$1624,"&lt;&gt;RETIRED")</f>
        <v/>
      </c>
    </row>
    <row r="57" ht="94" customHeight="1">
      <c r="A57" s="12" t="inlineStr">
        <is>
          <t>1.5.1.1</t>
        </is>
      </c>
      <c r="B57" s="60" t="inlineStr">
        <is>
          <t>Test Readiness - Mainline</t>
        </is>
      </c>
      <c r="C57" s="12" t="inlineStr">
        <is>
          <t>1.5.1</t>
        </is>
      </c>
      <c r="D57" s="12" t="inlineStr"/>
      <c r="E57" s="12" t="inlineStr">
        <is>
          <t>Deliverable</t>
        </is>
      </c>
      <c r="F57" s="12" t="inlineStr"/>
      <c r="G57" s="12" t="inlineStr">
        <is>
          <t>System Proposed</t>
        </is>
      </c>
      <c r="H57" s="12">
        <f>COUNTIFS('MASTER DATA'!$A$2:$A$1624,A57,'MASTER DATA'!$G$2:$G$1624,"&lt;&gt;RETIRED")</f>
        <v/>
      </c>
    </row>
    <row r="58" ht="94" customHeight="1">
      <c r="A58" s="12" t="inlineStr">
        <is>
          <t>1.5.1.2</t>
        </is>
      </c>
      <c r="B58" s="60" t="inlineStr">
        <is>
          <t>Test Readiness - Depot &amp; Stations</t>
        </is>
      </c>
      <c r="C58" s="12" t="inlineStr">
        <is>
          <t>1.5.1</t>
        </is>
      </c>
      <c r="D58" s="12" t="inlineStr"/>
      <c r="E58" s="12" t="inlineStr">
        <is>
          <t>Deliverable</t>
        </is>
      </c>
      <c r="F58" s="12" t="inlineStr"/>
      <c r="G58" s="12" t="inlineStr">
        <is>
          <t>System Proposed</t>
        </is>
      </c>
      <c r="H58" s="12">
        <f>COUNTIFS('MASTER DATA'!$A$2:$A$1624,A58,'MASTER DATA'!$G$2:$G$1624,"&lt;&gt;RETIRED")</f>
        <v/>
      </c>
    </row>
    <row r="59" ht="94" customHeight="1">
      <c r="A59" s="12" t="inlineStr">
        <is>
          <t>1.5.2</t>
        </is>
      </c>
      <c r="B59" s="59" t="inlineStr">
        <is>
          <t>Testing and Commissioning - Dynamic Testing</t>
        </is>
      </c>
      <c r="C59" s="12" t="inlineStr">
        <is>
          <t>1.5</t>
        </is>
      </c>
      <c r="D59" s="12" t="inlineStr"/>
      <c r="E59" s="12" t="inlineStr">
        <is>
          <t>Deliverable</t>
        </is>
      </c>
      <c r="F59" s="12" t="inlineStr"/>
      <c r="G59" s="12" t="inlineStr">
        <is>
          <t>System Proposed</t>
        </is>
      </c>
      <c r="H59" s="12">
        <f>COUNTIFS('MASTER DATA'!$A$2:$A$1624,A59,'MASTER DATA'!$G$2:$G$1624,"&lt;&gt;RETIRED")</f>
        <v/>
      </c>
    </row>
    <row r="60" ht="94" customHeight="1">
      <c r="A60" s="12" t="inlineStr">
        <is>
          <t>1.5.2.1</t>
        </is>
      </c>
      <c r="B60" s="60" t="inlineStr">
        <is>
          <t>Dynamic Testing - Mainline</t>
        </is>
      </c>
      <c r="C60" s="12" t="inlineStr">
        <is>
          <t>1.5.2</t>
        </is>
      </c>
      <c r="D60" s="12" t="inlineStr"/>
      <c r="E60" s="12" t="inlineStr">
        <is>
          <t>Deliverable</t>
        </is>
      </c>
      <c r="F60" s="12" t="inlineStr"/>
      <c r="G60" s="12" t="inlineStr">
        <is>
          <t>System Proposed</t>
        </is>
      </c>
      <c r="H60" s="12">
        <f>COUNTIFS('MASTER DATA'!$A$2:$A$1624,A60,'MASTER DATA'!$G$2:$G$1624,"&lt;&gt;RETIRED")</f>
        <v/>
      </c>
    </row>
    <row r="61" ht="94" customHeight="1">
      <c r="A61" s="12" t="inlineStr">
        <is>
          <t>1.5.2.2</t>
        </is>
      </c>
      <c r="B61" s="60" t="inlineStr">
        <is>
          <t>Dynamic Testing - Depot &amp; Stations</t>
        </is>
      </c>
      <c r="C61" s="12" t="inlineStr">
        <is>
          <t>1.5.2</t>
        </is>
      </c>
      <c r="D61" s="12" t="inlineStr"/>
      <c r="E61" s="12" t="inlineStr">
        <is>
          <t>Deliverable</t>
        </is>
      </c>
      <c r="F61" s="12" t="inlineStr"/>
      <c r="G61" s="12" t="inlineStr">
        <is>
          <t>System Proposed</t>
        </is>
      </c>
      <c r="H61" s="12">
        <f>COUNTIFS('MASTER DATA'!$A$2:$A$1624,A61,'MASTER DATA'!$G$2:$G$1624,"&lt;&gt;RETIRED")</f>
        <v/>
      </c>
    </row>
    <row r="62" ht="94" customHeight="1">
      <c r="A62" s="12" t="inlineStr">
        <is>
          <t>1.5.3</t>
        </is>
      </c>
      <c r="B62" s="59" t="inlineStr">
        <is>
          <t>Testing and Commissioning - Safety Certification</t>
        </is>
      </c>
      <c r="C62" s="12" t="inlineStr">
        <is>
          <t>1.5</t>
        </is>
      </c>
      <c r="D62" s="12" t="inlineStr"/>
      <c r="E62" s="12" t="inlineStr">
        <is>
          <t>Deliverable</t>
        </is>
      </c>
      <c r="F62" s="12" t="inlineStr"/>
      <c r="G62" s="12" t="inlineStr">
        <is>
          <t>System Proposed</t>
        </is>
      </c>
      <c r="H62" s="12">
        <f>COUNTIFS('MASTER DATA'!$A$2:$A$1624,A62,'MASTER DATA'!$G$2:$G$1624,"&lt;&gt;RETIRED")</f>
        <v/>
      </c>
    </row>
    <row r="63" ht="94" customHeight="1">
      <c r="A63" s="12" t="inlineStr">
        <is>
          <t>1.5.3.1</t>
        </is>
      </c>
      <c r="B63" s="60" t="inlineStr">
        <is>
          <t>Safety Certification - Mainline</t>
        </is>
      </c>
      <c r="C63" s="12" t="inlineStr">
        <is>
          <t>1.5.3</t>
        </is>
      </c>
      <c r="D63" s="12" t="inlineStr"/>
      <c r="E63" s="12" t="inlineStr">
        <is>
          <t>Deliverable</t>
        </is>
      </c>
      <c r="F63" s="12" t="inlineStr"/>
      <c r="G63" s="12" t="inlineStr">
        <is>
          <t>System Proposed</t>
        </is>
      </c>
      <c r="H63" s="12">
        <f>COUNTIFS('MASTER DATA'!$A$2:$A$1624,A63,'MASTER DATA'!$G$2:$G$1624,"&lt;&gt;RETIRED")</f>
        <v/>
      </c>
    </row>
    <row r="64" ht="94" customHeight="1">
      <c r="A64" s="12" t="inlineStr">
        <is>
          <t>1.5.3.2</t>
        </is>
      </c>
      <c r="B64" s="60" t="inlineStr">
        <is>
          <t>Safety Certification - Depot &amp; Stations</t>
        </is>
      </c>
      <c r="C64" s="12" t="inlineStr">
        <is>
          <t>1.5.3</t>
        </is>
      </c>
      <c r="D64" s="12" t="inlineStr"/>
      <c r="E64" s="12" t="inlineStr">
        <is>
          <t>Deliverable</t>
        </is>
      </c>
      <c r="F64" s="12" t="inlineStr"/>
      <c r="G64" s="12" t="inlineStr">
        <is>
          <t>System Proposed</t>
        </is>
      </c>
      <c r="H64" s="12">
        <f>COUNTIFS('MASTER DATA'!$A$2:$A$1624,A64,'MASTER DATA'!$G$2:$G$1624,"&lt;&gt;RETIRED")</f>
        <v/>
      </c>
    </row>
    <row r="65" ht="94" customHeight="1">
      <c r="A65" s="12" t="inlineStr">
        <is>
          <t>1.5.4</t>
        </is>
      </c>
      <c r="B65" s="59" t="inlineStr">
        <is>
          <t>Testing and Commissioning - Service Readiness</t>
        </is>
      </c>
      <c r="C65" s="12" t="inlineStr">
        <is>
          <t>1.5</t>
        </is>
      </c>
      <c r="D65" s="12" t="inlineStr"/>
      <c r="E65" s="12" t="inlineStr">
        <is>
          <t>Deliverable</t>
        </is>
      </c>
      <c r="F65" s="12" t="inlineStr"/>
      <c r="G65" s="12" t="inlineStr">
        <is>
          <t>System Proposed</t>
        </is>
      </c>
      <c r="H65" s="12">
        <f>COUNTIFS('MASTER DATA'!$A$2:$A$1624,A65,'MASTER DATA'!$G$2:$G$1624,"&lt;&gt;RETIRED")</f>
        <v/>
      </c>
    </row>
    <row r="66" ht="94" customHeight="1">
      <c r="A66" s="12" t="inlineStr">
        <is>
          <t>1.5.4.1</t>
        </is>
      </c>
      <c r="B66" s="60" t="inlineStr">
        <is>
          <t>Service Readiness - Mainline</t>
        </is>
      </c>
      <c r="C66" s="12" t="inlineStr">
        <is>
          <t>1.5.4</t>
        </is>
      </c>
      <c r="D66" s="12" t="inlineStr"/>
      <c r="E66" s="12" t="inlineStr">
        <is>
          <t>Deliverable</t>
        </is>
      </c>
      <c r="F66" s="12" t="inlineStr"/>
      <c r="G66" s="12" t="inlineStr">
        <is>
          <t>System Proposed</t>
        </is>
      </c>
      <c r="H66" s="12">
        <f>COUNTIFS('MASTER DATA'!$A$2:$A$1624,A66,'MASTER DATA'!$G$2:$G$1624,"&lt;&gt;RETIRED")</f>
        <v/>
      </c>
    </row>
    <row r="67" ht="94" customHeight="1">
      <c r="A67" s="12" t="inlineStr">
        <is>
          <t>1.5.4.2</t>
        </is>
      </c>
      <c r="B67" s="60" t="inlineStr">
        <is>
          <t>Service Readiness - Depot &amp; Stations</t>
        </is>
      </c>
      <c r="C67" s="12" t="inlineStr">
        <is>
          <t>1.5.4</t>
        </is>
      </c>
      <c r="D67" s="12" t="inlineStr"/>
      <c r="E67" s="12" t="inlineStr">
        <is>
          <t>Deliverable</t>
        </is>
      </c>
      <c r="F67" s="12" t="inlineStr"/>
      <c r="G67" s="12" t="inlineStr">
        <is>
          <t>System Proposed</t>
        </is>
      </c>
      <c r="H67" s="12">
        <f>COUNTIFS('MASTER DATA'!$A$2:$A$1624,A67,'MASTER DATA'!$G$2:$G$1624,"&lt;&gt;RETIRED")</f>
        <v/>
      </c>
    </row>
    <row r="68" ht="94" customHeight="1">
      <c r="A68" s="12" t="inlineStr">
        <is>
          <t>1.6</t>
        </is>
      </c>
      <c r="B68" s="58" t="inlineStr">
        <is>
          <t>Program Management</t>
        </is>
      </c>
      <c r="C68" s="12" t="inlineStr">
        <is>
          <t>1</t>
        </is>
      </c>
      <c r="D68" s="12" t="inlineStr"/>
      <c r="E68" s="12" t="inlineStr">
        <is>
          <t>Deliverable</t>
        </is>
      </c>
      <c r="F68" s="12" t="inlineStr"/>
      <c r="G68" s="12" t="inlineStr">
        <is>
          <t>System Proposed</t>
        </is>
      </c>
      <c r="H68" s="12">
        <f>COUNTIFS('MASTER DATA'!$A$2:$A$1624,A68,'MASTER DATA'!$G$2:$G$1624,"&lt;&gt;RETIRED")</f>
        <v/>
      </c>
    </row>
    <row r="69" ht="94" customHeight="1">
      <c r="A69" s="12" t="inlineStr">
        <is>
          <t>1.6.1</t>
        </is>
      </c>
      <c r="B69" s="59" t="inlineStr">
        <is>
          <t>Program Management - Program Controls</t>
        </is>
      </c>
      <c r="C69" s="12" t="inlineStr">
        <is>
          <t>1.6</t>
        </is>
      </c>
      <c r="D69" s="12" t="inlineStr"/>
      <c r="E69" s="12" t="inlineStr">
        <is>
          <t>Deliverable</t>
        </is>
      </c>
      <c r="F69" s="12" t="inlineStr"/>
      <c r="G69" s="12" t="inlineStr">
        <is>
          <t>System Proposed</t>
        </is>
      </c>
      <c r="H69" s="12">
        <f>COUNTIFS('MASTER DATA'!$A$2:$A$1624,A69,'MASTER DATA'!$G$2:$G$1624,"&lt;&gt;RETIRED")</f>
        <v/>
      </c>
    </row>
    <row r="70" ht="94" customHeight="1">
      <c r="A70" s="12" t="inlineStr">
        <is>
          <t>1.6.1.1</t>
        </is>
      </c>
      <c r="B70" s="60" t="inlineStr">
        <is>
          <t>Program Controls - Owner Team</t>
        </is>
      </c>
      <c r="C70" s="12" t="inlineStr">
        <is>
          <t>1.6.1</t>
        </is>
      </c>
      <c r="D70" s="12" t="inlineStr"/>
      <c r="E70" s="12" t="inlineStr">
        <is>
          <t>Deliverable</t>
        </is>
      </c>
      <c r="F70" s="12" t="inlineStr"/>
      <c r="G70" s="12" t="inlineStr">
        <is>
          <t>System Proposed</t>
        </is>
      </c>
      <c r="H70" s="12">
        <f>COUNTIFS('MASTER DATA'!$A$2:$A$1624,A70,'MASTER DATA'!$G$2:$G$1624,"&lt;&gt;RETIRED")</f>
        <v/>
      </c>
    </row>
    <row r="71" ht="94" customHeight="1">
      <c r="A71" s="12" t="inlineStr">
        <is>
          <t>1.6.1.2</t>
        </is>
      </c>
      <c r="B71" s="60" t="inlineStr">
        <is>
          <t>Program Controls - Delivery Partners</t>
        </is>
      </c>
      <c r="C71" s="12" t="inlineStr">
        <is>
          <t>1.6.1</t>
        </is>
      </c>
      <c r="D71" s="12" t="inlineStr"/>
      <c r="E71" s="12" t="inlineStr">
        <is>
          <t>Deliverable</t>
        </is>
      </c>
      <c r="F71" s="12" t="inlineStr"/>
      <c r="G71" s="12" t="inlineStr">
        <is>
          <t>System Proposed</t>
        </is>
      </c>
      <c r="H71" s="12">
        <f>COUNTIFS('MASTER DATA'!$A$2:$A$1624,A71,'MASTER DATA'!$G$2:$G$1624,"&lt;&gt;RETIRED")</f>
        <v/>
      </c>
    </row>
    <row r="72" ht="94" customHeight="1">
      <c r="A72" s="12" t="inlineStr">
        <is>
          <t>1.6.2</t>
        </is>
      </c>
      <c r="B72" s="59" t="inlineStr">
        <is>
          <t>Program Management - Commercial &amp; Procurement</t>
        </is>
      </c>
      <c r="C72" s="12" t="inlineStr">
        <is>
          <t>1.6</t>
        </is>
      </c>
      <c r="D72" s="12" t="inlineStr"/>
      <c r="E72" s="12" t="inlineStr">
        <is>
          <t>Deliverable</t>
        </is>
      </c>
      <c r="F72" s="12" t="inlineStr"/>
      <c r="G72" s="12" t="inlineStr">
        <is>
          <t>System Proposed</t>
        </is>
      </c>
      <c r="H72" s="12">
        <f>COUNTIFS('MASTER DATA'!$A$2:$A$1624,A72,'MASTER DATA'!$G$2:$G$1624,"&lt;&gt;RETIRED")</f>
        <v/>
      </c>
    </row>
    <row r="73" ht="94" customHeight="1">
      <c r="A73" s="12" t="inlineStr">
        <is>
          <t>1.6.2.1</t>
        </is>
      </c>
      <c r="B73" s="60" t="inlineStr">
        <is>
          <t>Commercial &amp; Procurement - Owner Team</t>
        </is>
      </c>
      <c r="C73" s="12" t="inlineStr">
        <is>
          <t>1.6.2</t>
        </is>
      </c>
      <c r="D73" s="12" t="inlineStr"/>
      <c r="E73" s="12" t="inlineStr">
        <is>
          <t>Deliverable</t>
        </is>
      </c>
      <c r="F73" s="12" t="inlineStr"/>
      <c r="G73" s="12" t="inlineStr">
        <is>
          <t>System Proposed</t>
        </is>
      </c>
      <c r="H73" s="12">
        <f>COUNTIFS('MASTER DATA'!$A$2:$A$1624,A73,'MASTER DATA'!$G$2:$G$1624,"&lt;&gt;RETIRED")</f>
        <v/>
      </c>
    </row>
    <row r="74" ht="94" customHeight="1">
      <c r="A74" s="12" t="inlineStr">
        <is>
          <t>1.6.2.2</t>
        </is>
      </c>
      <c r="B74" s="60" t="inlineStr">
        <is>
          <t>Commercial &amp; Procurement - Delivery Partners</t>
        </is>
      </c>
      <c r="C74" s="12" t="inlineStr">
        <is>
          <t>1.6.2</t>
        </is>
      </c>
      <c r="D74" s="12" t="inlineStr"/>
      <c r="E74" s="12" t="inlineStr">
        <is>
          <t>Deliverable</t>
        </is>
      </c>
      <c r="F74" s="12" t="inlineStr"/>
      <c r="G74" s="12" t="inlineStr">
        <is>
          <t>System Proposed</t>
        </is>
      </c>
      <c r="H74" s="12">
        <f>COUNTIFS('MASTER DATA'!$A$2:$A$1624,A74,'MASTER DATA'!$G$2:$G$1624,"&lt;&gt;RETIRED")</f>
        <v/>
      </c>
    </row>
    <row r="75" ht="94" customHeight="1">
      <c r="A75" s="12" t="inlineStr">
        <is>
          <t>1.6.3</t>
        </is>
      </c>
      <c r="B75" s="59" t="inlineStr">
        <is>
          <t>Program Management - Stakeholder &amp; Permits</t>
        </is>
      </c>
      <c r="C75" s="12" t="inlineStr">
        <is>
          <t>1.6</t>
        </is>
      </c>
      <c r="D75" s="12" t="inlineStr"/>
      <c r="E75" s="12" t="inlineStr">
        <is>
          <t>Deliverable</t>
        </is>
      </c>
      <c r="F75" s="12" t="inlineStr"/>
      <c r="G75" s="12" t="inlineStr">
        <is>
          <t>System Proposed</t>
        </is>
      </c>
      <c r="H75" s="12">
        <f>COUNTIFS('MASTER DATA'!$A$2:$A$1624,A75,'MASTER DATA'!$G$2:$G$1624,"&lt;&gt;RETIRED")</f>
        <v/>
      </c>
    </row>
    <row r="76" ht="94" customHeight="1">
      <c r="A76" s="12" t="inlineStr">
        <is>
          <t>1.6.3.1</t>
        </is>
      </c>
      <c r="B76" s="60" t="inlineStr">
        <is>
          <t>Stakeholder &amp; Permits - Owner Team</t>
        </is>
      </c>
      <c r="C76" s="12" t="inlineStr">
        <is>
          <t>1.6.3</t>
        </is>
      </c>
      <c r="D76" s="12" t="inlineStr"/>
      <c r="E76" s="12" t="inlineStr">
        <is>
          <t>Deliverable</t>
        </is>
      </c>
      <c r="F76" s="12" t="inlineStr"/>
      <c r="G76" s="12" t="inlineStr">
        <is>
          <t>System Proposed</t>
        </is>
      </c>
      <c r="H76" s="12">
        <f>COUNTIFS('MASTER DATA'!$A$2:$A$1624,A76,'MASTER DATA'!$G$2:$G$1624,"&lt;&gt;RETIRED")</f>
        <v/>
      </c>
    </row>
    <row r="77" ht="94" customHeight="1">
      <c r="A77" s="12" t="inlineStr">
        <is>
          <t>1.6.3.2</t>
        </is>
      </c>
      <c r="B77" s="60" t="inlineStr">
        <is>
          <t>Stakeholder &amp; Permits - Delivery Partners</t>
        </is>
      </c>
      <c r="C77" s="12" t="inlineStr">
        <is>
          <t>1.6.3</t>
        </is>
      </c>
      <c r="D77" s="12" t="inlineStr"/>
      <c r="E77" s="12" t="inlineStr">
        <is>
          <t>Deliverable</t>
        </is>
      </c>
      <c r="F77" s="12" t="inlineStr"/>
      <c r="G77" s="12" t="inlineStr">
        <is>
          <t>System Proposed</t>
        </is>
      </c>
      <c r="H77" s="12">
        <f>COUNTIFS('MASTER DATA'!$A$2:$A$1624,A77,'MASTER DATA'!$G$2:$G$1624,"&lt;&gt;RETIRED")</f>
        <v/>
      </c>
    </row>
    <row r="78" ht="94" customHeight="1">
      <c r="A78" s="12" t="inlineStr">
        <is>
          <t>1.6.4</t>
        </is>
      </c>
      <c r="B78" s="59" t="inlineStr">
        <is>
          <t>Program Management - Delivery Integration</t>
        </is>
      </c>
      <c r="C78" s="12" t="inlineStr">
        <is>
          <t>1.6</t>
        </is>
      </c>
      <c r="D78" s="12" t="inlineStr"/>
      <c r="E78" s="12" t="inlineStr">
        <is>
          <t>Deliverable</t>
        </is>
      </c>
      <c r="F78" s="12" t="inlineStr"/>
      <c r="G78" s="12" t="inlineStr">
        <is>
          <t>System Proposed</t>
        </is>
      </c>
      <c r="H78" s="12">
        <f>COUNTIFS('MASTER DATA'!$A$2:$A$1624,A78,'MASTER DATA'!$G$2:$G$1624,"&lt;&gt;RETIRED")</f>
        <v/>
      </c>
    </row>
    <row r="79" ht="94" customHeight="1">
      <c r="A79" s="12" t="inlineStr">
        <is>
          <t>1.6.4.1</t>
        </is>
      </c>
      <c r="B79" s="60" t="inlineStr">
        <is>
          <t>Delivery Integration - Owner Team</t>
        </is>
      </c>
      <c r="C79" s="12" t="inlineStr">
        <is>
          <t>1.6.4</t>
        </is>
      </c>
      <c r="D79" s="12" t="inlineStr"/>
      <c r="E79" s="12" t="inlineStr">
        <is>
          <t>Deliverable</t>
        </is>
      </c>
      <c r="F79" s="12" t="inlineStr"/>
      <c r="G79" s="12" t="inlineStr">
        <is>
          <t>System Proposed</t>
        </is>
      </c>
      <c r="H79" s="12">
        <f>COUNTIFS('MASTER DATA'!$A$2:$A$1624,A79,'MASTER DATA'!$G$2:$G$1624,"&lt;&gt;RETIRED")</f>
        <v/>
      </c>
    </row>
    <row r="80" ht="94" customHeight="1">
      <c r="A80" s="12" t="inlineStr">
        <is>
          <t>1.6.4.2</t>
        </is>
      </c>
      <c r="B80" s="60" t="inlineStr">
        <is>
          <t>Delivery Integration - Delivery Partners</t>
        </is>
      </c>
      <c r="C80" s="12" t="inlineStr">
        <is>
          <t>1.6.4</t>
        </is>
      </c>
      <c r="D80" s="12" t="inlineStr"/>
      <c r="E80" s="12" t="inlineStr">
        <is>
          <t>Deliverable</t>
        </is>
      </c>
      <c r="F80" s="12" t="inlineStr"/>
      <c r="G80" s="12" t="inlineStr">
        <is>
          <t>System Proposed</t>
        </is>
      </c>
      <c r="H80" s="12">
        <f>COUNTIFS('MASTER DATA'!$A$2:$A$1624,A80,'MASTER DATA'!$G$2:$G$1624,"&lt;&gt;RETIRED")</f>
        <v/>
      </c>
    </row>
  </sheetData>
  <autoFilter ref="A1:H80"/>
  <hyperlinks>
    <hyperlink xmlns:r="http://schemas.openxmlformats.org/officeDocument/2006/relationships" ref="A1" r:id="rId1"/>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tabColor rgb="008B8F97"/>
    <outlinePr summaryBelow="0" summaryRight="0"/>
    <pageSetUpPr fitToPage="1"/>
  </sheetPr>
  <dimension ref="A1:J81"/>
  <sheetViews>
    <sheetView showGridLines="0" tabSelected="0" zoomScale="100" zoomScaleNormal="10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40" customWidth="1" min="2" max="2"/>
    <col width="8" customWidth="1" min="3" max="3"/>
    <col width="14" customWidth="1" min="4" max="4"/>
    <col width="14" customWidth="1" min="5" max="5"/>
    <col width="20" customWidth="1" min="6" max="6"/>
    <col width="14" customWidth="1" min="7" max="7"/>
    <col width="14" customWidth="1" min="8" max="8"/>
    <col width="18" customWidth="1" min="9" max="9"/>
    <col width="12" customWidth="1" min="10" max="10"/>
  </cols>
  <sheetData>
    <row r="1" ht="34" customHeight="1">
      <c r="A1" s="98" t="inlineStr">
        <is>
          <t>WBS Code</t>
        </is>
      </c>
      <c r="B1" s="11" t="inlineStr">
        <is>
          <t>WBS Element</t>
        </is>
      </c>
      <c r="C1" s="11" t="inlineStr">
        <is>
          <t>Level</t>
        </is>
      </c>
      <c r="D1" s="11" t="inlineStr">
        <is>
          <t>Schedule</t>
        </is>
      </c>
      <c r="E1" s="11" t="inlineStr">
        <is>
          <t>Cost</t>
        </is>
      </c>
      <c r="F1" s="11" t="inlineStr">
        <is>
          <t>Package / Contract</t>
        </is>
      </c>
      <c r="G1" s="11" t="inlineStr">
        <is>
          <t>Other</t>
        </is>
      </c>
      <c r="H1" s="11" t="inlineStr">
        <is>
          <t>Governed</t>
        </is>
      </c>
      <c r="I1" s="11" t="inlineStr">
        <is>
          <t>Needing Attention</t>
        </is>
      </c>
      <c r="J1" s="11" t="inlineStr">
        <is>
          <t>Changed</t>
        </is>
      </c>
    </row>
    <row r="2" ht="42" customHeight="1">
      <c r="A2" s="55" t="inlineStr">
        <is>
          <t>Supporting static scope projection. No formulas are supplied on this sheet; 09 WBS EXPLORER is the primary scope route.</t>
        </is>
      </c>
      <c r="B2" s="55" t="inlineStr">
        <is>
          <t>HarbourLink Urban Transit Expansion</t>
        </is>
      </c>
      <c r="C2" s="56" t="n">
        <v>0</v>
      </c>
      <c r="D2" s="56" t="n">
        <v>898</v>
      </c>
      <c r="E2" s="56" t="n">
        <v>399</v>
      </c>
      <c r="F2" s="56" t="n">
        <v>60</v>
      </c>
      <c r="G2" s="56" t="n">
        <v>0</v>
      </c>
      <c r="H2" s="56" t="n">
        <v>1357</v>
      </c>
      <c r="I2" s="56" t="n">
        <v>0</v>
      </c>
      <c r="J2" s="56" t="n">
        <v>1357</v>
      </c>
    </row>
    <row r="3" ht="34" customHeight="1">
      <c r="A3" s="55" t="inlineStr">
        <is>
          <t>1</t>
        </is>
      </c>
      <c r="B3" s="57" t="inlineStr">
        <is>
          <t>HarbourLink Urban Transit Expansion</t>
        </is>
      </c>
      <c r="C3" s="56" t="n">
        <v>1</v>
      </c>
      <c r="D3" s="56" t="n">
        <v>898</v>
      </c>
      <c r="E3" s="56" t="n">
        <v>399</v>
      </c>
      <c r="F3" s="56" t="n">
        <v>60</v>
      </c>
      <c r="G3" s="56" t="n">
        <v>0</v>
      </c>
      <c r="H3" s="56" t="n">
        <v>1357</v>
      </c>
      <c r="I3" s="56" t="n">
        <v>0</v>
      </c>
      <c r="J3" s="56" t="n">
        <v>1357</v>
      </c>
    </row>
    <row r="4" ht="19" customHeight="1">
      <c r="A4" s="12" t="inlineStr">
        <is>
          <t>1.1</t>
        </is>
      </c>
      <c r="B4" s="58" t="inlineStr">
        <is>
          <t>Guideway and Civil</t>
        </is>
      </c>
      <c r="C4" s="32" t="n">
        <v>2</v>
      </c>
      <c r="D4" s="32" t="n">
        <v>180</v>
      </c>
      <c r="E4" s="32" t="n">
        <v>80</v>
      </c>
      <c r="F4" s="32" t="n">
        <v>10</v>
      </c>
      <c r="G4" s="32" t="n">
        <v>0</v>
      </c>
      <c r="H4" s="32" t="n">
        <v>270</v>
      </c>
      <c r="I4" s="32" t="n">
        <v>0</v>
      </c>
      <c r="J4" s="32" t="n">
        <v>270</v>
      </c>
    </row>
    <row r="5" ht="34" customHeight="1">
      <c r="A5" s="12" t="inlineStr">
        <is>
          <t>1.1.1</t>
        </is>
      </c>
      <c r="B5" s="59" t="inlineStr">
        <is>
          <t>Guideway and Civil - Guideway Structures</t>
        </is>
      </c>
      <c r="C5" s="32" t="n">
        <v>3</v>
      </c>
      <c r="D5" s="32" t="n">
        <v>120</v>
      </c>
      <c r="E5" s="32" t="n">
        <v>40</v>
      </c>
      <c r="F5" s="32" t="n">
        <v>0</v>
      </c>
      <c r="G5" s="32" t="n">
        <v>0</v>
      </c>
      <c r="H5" s="32" t="n">
        <v>160</v>
      </c>
      <c r="I5" s="32" t="n">
        <v>0</v>
      </c>
      <c r="J5" s="32" t="n">
        <v>160</v>
      </c>
    </row>
    <row r="6" ht="19" customHeight="1">
      <c r="A6" s="12" t="inlineStr">
        <is>
          <t>1.1.1.1</t>
        </is>
      </c>
      <c r="B6" s="60" t="inlineStr">
        <is>
          <t>Guideway Structures - East Segment</t>
        </is>
      </c>
      <c r="C6" s="32" t="n">
        <v>4</v>
      </c>
      <c r="D6" s="32" t="n">
        <v>0</v>
      </c>
      <c r="E6" s="32" t="n">
        <v>0</v>
      </c>
      <c r="F6" s="32" t="n">
        <v>0</v>
      </c>
      <c r="G6" s="32" t="n">
        <v>0</v>
      </c>
      <c r="H6" s="32" t="n">
        <v>0</v>
      </c>
      <c r="I6" s="32" t="n">
        <v>0</v>
      </c>
      <c r="J6" s="32" t="n">
        <v>0</v>
      </c>
    </row>
    <row r="7" ht="19" customHeight="1">
      <c r="A7" s="12" t="inlineStr">
        <is>
          <t>1.1.1.2</t>
        </is>
      </c>
      <c r="B7" s="60" t="inlineStr">
        <is>
          <t>Guideway Structures - West Segment</t>
        </is>
      </c>
      <c r="C7" s="32" t="n">
        <v>4</v>
      </c>
      <c r="D7" s="32" t="n">
        <v>0</v>
      </c>
      <c r="E7" s="32" t="n">
        <v>0</v>
      </c>
      <c r="F7" s="32" t="n">
        <v>0</v>
      </c>
      <c r="G7" s="32" t="n">
        <v>0</v>
      </c>
      <c r="H7" s="32" t="n">
        <v>0</v>
      </c>
      <c r="I7" s="32" t="n">
        <v>0</v>
      </c>
      <c r="J7" s="32" t="n">
        <v>0</v>
      </c>
    </row>
    <row r="8" ht="34" customHeight="1">
      <c r="A8" s="12" t="inlineStr">
        <is>
          <t>1.1.2</t>
        </is>
      </c>
      <c r="B8" s="59" t="inlineStr">
        <is>
          <t>Guideway and Civil - Utility &amp; Roadworks</t>
        </is>
      </c>
      <c r="C8" s="32" t="n">
        <v>3</v>
      </c>
      <c r="D8" s="32" t="n">
        <v>60</v>
      </c>
      <c r="E8" s="32" t="n">
        <v>40</v>
      </c>
      <c r="F8" s="32" t="n">
        <v>0</v>
      </c>
      <c r="G8" s="32" t="n">
        <v>0</v>
      </c>
      <c r="H8" s="32" t="n">
        <v>100</v>
      </c>
      <c r="I8" s="32" t="n">
        <v>0</v>
      </c>
      <c r="J8" s="32" t="n">
        <v>100</v>
      </c>
    </row>
    <row r="9" ht="19" customHeight="1">
      <c r="A9" s="12" t="inlineStr">
        <is>
          <t>1.1.2.1</t>
        </is>
      </c>
      <c r="B9" s="60" t="inlineStr">
        <is>
          <t>Utility &amp; Roadworks - East Segment</t>
        </is>
      </c>
      <c r="C9" s="32" t="n">
        <v>4</v>
      </c>
      <c r="D9" s="32" t="n">
        <v>0</v>
      </c>
      <c r="E9" s="32" t="n">
        <v>0</v>
      </c>
      <c r="F9" s="32" t="n">
        <v>0</v>
      </c>
      <c r="G9" s="32" t="n">
        <v>0</v>
      </c>
      <c r="H9" s="32" t="n">
        <v>0</v>
      </c>
      <c r="I9" s="32" t="n">
        <v>0</v>
      </c>
      <c r="J9" s="32" t="n">
        <v>0</v>
      </c>
    </row>
    <row r="10" ht="19" customHeight="1">
      <c r="A10" s="12" t="inlineStr">
        <is>
          <t>1.1.2.2</t>
        </is>
      </c>
      <c r="B10" s="60" t="inlineStr">
        <is>
          <t>Utility &amp; Roadworks - West Segment</t>
        </is>
      </c>
      <c r="C10" s="32" t="n">
        <v>4</v>
      </c>
      <c r="D10" s="32" t="n">
        <v>0</v>
      </c>
      <c r="E10" s="32" t="n">
        <v>0</v>
      </c>
      <c r="F10" s="32" t="n">
        <v>0</v>
      </c>
      <c r="G10" s="32" t="n">
        <v>0</v>
      </c>
      <c r="H10" s="32" t="n">
        <v>0</v>
      </c>
      <c r="I10" s="32" t="n">
        <v>0</v>
      </c>
      <c r="J10" s="32" t="n">
        <v>0</v>
      </c>
    </row>
    <row r="11" ht="34" customHeight="1">
      <c r="A11" s="12" t="inlineStr">
        <is>
          <t>1.1.3</t>
        </is>
      </c>
      <c r="B11" s="59" t="inlineStr">
        <is>
          <t>Guideway and Civil - Track Support Works</t>
        </is>
      </c>
      <c r="C11" s="32" t="n">
        <v>3</v>
      </c>
      <c r="D11" s="32" t="n">
        <v>0</v>
      </c>
      <c r="E11" s="32" t="n">
        <v>0</v>
      </c>
      <c r="F11" s="32" t="n">
        <v>0</v>
      </c>
      <c r="G11" s="32" t="n">
        <v>0</v>
      </c>
      <c r="H11" s="32" t="n">
        <v>0</v>
      </c>
      <c r="I11" s="32" t="n">
        <v>0</v>
      </c>
      <c r="J11" s="32" t="n">
        <v>0</v>
      </c>
    </row>
    <row r="12" ht="19" customHeight="1">
      <c r="A12" s="12" t="inlineStr">
        <is>
          <t>1.1.3.1</t>
        </is>
      </c>
      <c r="B12" s="60" t="inlineStr">
        <is>
          <t>Track Support Works - East Segment</t>
        </is>
      </c>
      <c r="C12" s="32" t="n">
        <v>4</v>
      </c>
      <c r="D12" s="32" t="n">
        <v>0</v>
      </c>
      <c r="E12" s="32" t="n">
        <v>0</v>
      </c>
      <c r="F12" s="32" t="n">
        <v>0</v>
      </c>
      <c r="G12" s="32" t="n">
        <v>0</v>
      </c>
      <c r="H12" s="32" t="n">
        <v>0</v>
      </c>
      <c r="I12" s="32" t="n">
        <v>0</v>
      </c>
      <c r="J12" s="32" t="n">
        <v>0</v>
      </c>
    </row>
    <row r="13" ht="19" customHeight="1">
      <c r="A13" s="12" t="inlineStr">
        <is>
          <t>1.1.3.2</t>
        </is>
      </c>
      <c r="B13" s="60" t="inlineStr">
        <is>
          <t>Track Support Works - West Segment</t>
        </is>
      </c>
      <c r="C13" s="32" t="n">
        <v>4</v>
      </c>
      <c r="D13" s="32" t="n">
        <v>0</v>
      </c>
      <c r="E13" s="32" t="n">
        <v>0</v>
      </c>
      <c r="F13" s="32" t="n">
        <v>0</v>
      </c>
      <c r="G13" s="32" t="n">
        <v>0</v>
      </c>
      <c r="H13" s="32" t="n">
        <v>0</v>
      </c>
      <c r="I13" s="32" t="n">
        <v>0</v>
      </c>
      <c r="J13" s="32" t="n">
        <v>0</v>
      </c>
    </row>
    <row r="14" ht="34" customHeight="1">
      <c r="A14" s="12" t="inlineStr">
        <is>
          <t>1.1.4</t>
        </is>
      </c>
      <c r="B14" s="59" t="inlineStr">
        <is>
          <t>Guideway and Civil - Civil Interfaces</t>
        </is>
      </c>
      <c r="C14" s="32" t="n">
        <v>3</v>
      </c>
      <c r="D14" s="32" t="n">
        <v>0</v>
      </c>
      <c r="E14" s="32" t="n">
        <v>0</v>
      </c>
      <c r="F14" s="32" t="n">
        <v>0</v>
      </c>
      <c r="G14" s="32" t="n">
        <v>0</v>
      </c>
      <c r="H14" s="32" t="n">
        <v>0</v>
      </c>
      <c r="I14" s="32" t="n">
        <v>0</v>
      </c>
      <c r="J14" s="32" t="n">
        <v>0</v>
      </c>
    </row>
    <row r="15" ht="19" customHeight="1">
      <c r="A15" s="12" t="inlineStr">
        <is>
          <t>1.1.4.1</t>
        </is>
      </c>
      <c r="B15" s="60" t="inlineStr">
        <is>
          <t>Civil Interfaces - East Segment</t>
        </is>
      </c>
      <c r="C15" s="32" t="n">
        <v>4</v>
      </c>
      <c r="D15" s="32" t="n">
        <v>0</v>
      </c>
      <c r="E15" s="32" t="n">
        <v>0</v>
      </c>
      <c r="F15" s="32" t="n">
        <v>0</v>
      </c>
      <c r="G15" s="32" t="n">
        <v>0</v>
      </c>
      <c r="H15" s="32" t="n">
        <v>0</v>
      </c>
      <c r="I15" s="32" t="n">
        <v>0</v>
      </c>
      <c r="J15" s="32" t="n">
        <v>0</v>
      </c>
    </row>
    <row r="16" ht="19" customHeight="1">
      <c r="A16" s="12" t="inlineStr">
        <is>
          <t>1.1.4.2</t>
        </is>
      </c>
      <c r="B16" s="60" t="inlineStr">
        <is>
          <t>Civil Interfaces - West Segment</t>
        </is>
      </c>
      <c r="C16" s="32" t="n">
        <v>4</v>
      </c>
      <c r="D16" s="32" t="n">
        <v>0</v>
      </c>
      <c r="E16" s="32" t="n">
        <v>0</v>
      </c>
      <c r="F16" s="32" t="n">
        <v>0</v>
      </c>
      <c r="G16" s="32" t="n">
        <v>0</v>
      </c>
      <c r="H16" s="32" t="n">
        <v>0</v>
      </c>
      <c r="I16" s="32" t="n">
        <v>0</v>
      </c>
      <c r="J16" s="32" t="n">
        <v>0</v>
      </c>
    </row>
    <row r="17" ht="19" customHeight="1">
      <c r="A17" s="12" t="inlineStr">
        <is>
          <t>1.2</t>
        </is>
      </c>
      <c r="B17" s="58" t="inlineStr">
        <is>
          <t>Stations</t>
        </is>
      </c>
      <c r="C17" s="32" t="n">
        <v>2</v>
      </c>
      <c r="D17" s="32" t="n">
        <v>179</v>
      </c>
      <c r="E17" s="32" t="n">
        <v>80</v>
      </c>
      <c r="F17" s="32" t="n">
        <v>11</v>
      </c>
      <c r="G17" s="32" t="n">
        <v>0</v>
      </c>
      <c r="H17" s="32" t="n">
        <v>270</v>
      </c>
      <c r="I17" s="32" t="n">
        <v>0</v>
      </c>
      <c r="J17" s="32" t="n">
        <v>270</v>
      </c>
    </row>
    <row r="18" ht="19" customHeight="1">
      <c r="A18" s="12" t="inlineStr">
        <is>
          <t>1.2.1</t>
        </is>
      </c>
      <c r="B18" s="59" t="inlineStr">
        <is>
          <t>Stations - Station Structures</t>
        </is>
      </c>
      <c r="C18" s="32" t="n">
        <v>3</v>
      </c>
      <c r="D18" s="32" t="n">
        <v>120</v>
      </c>
      <c r="E18" s="32" t="n">
        <v>40</v>
      </c>
      <c r="F18" s="32" t="n">
        <v>0</v>
      </c>
      <c r="G18" s="32" t="n">
        <v>0</v>
      </c>
      <c r="H18" s="32" t="n">
        <v>160</v>
      </c>
      <c r="I18" s="32" t="n">
        <v>0</v>
      </c>
      <c r="J18" s="32" t="n">
        <v>160</v>
      </c>
    </row>
    <row r="19" ht="34" customHeight="1">
      <c r="A19" s="12" t="inlineStr">
        <is>
          <t>1.2.1.1</t>
        </is>
      </c>
      <c r="B19" s="60" t="inlineStr">
        <is>
          <t>Station Structures - Concourse &amp; Entries</t>
        </is>
      </c>
      <c r="C19" s="32" t="n">
        <v>4</v>
      </c>
      <c r="D19" s="32" t="n">
        <v>0</v>
      </c>
      <c r="E19" s="32" t="n">
        <v>0</v>
      </c>
      <c r="F19" s="32" t="n">
        <v>0</v>
      </c>
      <c r="G19" s="32" t="n">
        <v>0</v>
      </c>
      <c r="H19" s="32" t="n">
        <v>0</v>
      </c>
      <c r="I19" s="32" t="n">
        <v>0</v>
      </c>
      <c r="J19" s="32" t="n">
        <v>0</v>
      </c>
    </row>
    <row r="20" ht="34" customHeight="1">
      <c r="A20" s="12" t="inlineStr">
        <is>
          <t>1.2.1.2</t>
        </is>
      </c>
      <c r="B20" s="60" t="inlineStr">
        <is>
          <t>Station Structures - Platforms &amp; Back-of-House</t>
        </is>
      </c>
      <c r="C20" s="32" t="n">
        <v>4</v>
      </c>
      <c r="D20" s="32" t="n">
        <v>0</v>
      </c>
      <c r="E20" s="32" t="n">
        <v>0</v>
      </c>
      <c r="F20" s="32" t="n">
        <v>0</v>
      </c>
      <c r="G20" s="32" t="n">
        <v>0</v>
      </c>
      <c r="H20" s="32" t="n">
        <v>0</v>
      </c>
      <c r="I20" s="32" t="n">
        <v>0</v>
      </c>
      <c r="J20" s="32" t="n">
        <v>0</v>
      </c>
    </row>
    <row r="21" ht="19" customHeight="1">
      <c r="A21" s="12" t="inlineStr">
        <is>
          <t>1.2.2</t>
        </is>
      </c>
      <c r="B21" s="59" t="inlineStr">
        <is>
          <t>Stations - Architectural Fit-Out</t>
        </is>
      </c>
      <c r="C21" s="32" t="n">
        <v>3</v>
      </c>
      <c r="D21" s="32" t="n">
        <v>59</v>
      </c>
      <c r="E21" s="32" t="n">
        <v>40</v>
      </c>
      <c r="F21" s="32" t="n">
        <v>0</v>
      </c>
      <c r="G21" s="32" t="n">
        <v>0</v>
      </c>
      <c r="H21" s="32" t="n">
        <v>99</v>
      </c>
      <c r="I21" s="32" t="n">
        <v>0</v>
      </c>
      <c r="J21" s="32" t="n">
        <v>99</v>
      </c>
    </row>
    <row r="22" ht="34" customHeight="1">
      <c r="A22" s="12" t="inlineStr">
        <is>
          <t>1.2.2.1</t>
        </is>
      </c>
      <c r="B22" s="60" t="inlineStr">
        <is>
          <t>Architectural Fit-Out - Concourse &amp; Entries</t>
        </is>
      </c>
      <c r="C22" s="32" t="n">
        <v>4</v>
      </c>
      <c r="D22" s="32" t="n">
        <v>0</v>
      </c>
      <c r="E22" s="32" t="n">
        <v>0</v>
      </c>
      <c r="F22" s="32" t="n">
        <v>0</v>
      </c>
      <c r="G22" s="32" t="n">
        <v>0</v>
      </c>
      <c r="H22" s="32" t="n">
        <v>0</v>
      </c>
      <c r="I22" s="32" t="n">
        <v>0</v>
      </c>
      <c r="J22" s="32" t="n">
        <v>0</v>
      </c>
    </row>
    <row r="23" ht="34" customHeight="1">
      <c r="A23" s="12" t="inlineStr">
        <is>
          <t>1.2.2.2</t>
        </is>
      </c>
      <c r="B23" s="60" t="inlineStr">
        <is>
          <t>Architectural Fit-Out - Platforms &amp; Back-of-House</t>
        </is>
      </c>
      <c r="C23" s="32" t="n">
        <v>4</v>
      </c>
      <c r="D23" s="32" t="n">
        <v>0</v>
      </c>
      <c r="E23" s="32" t="n">
        <v>0</v>
      </c>
      <c r="F23" s="32" t="n">
        <v>0</v>
      </c>
      <c r="G23" s="32" t="n">
        <v>0</v>
      </c>
      <c r="H23" s="32" t="n">
        <v>0</v>
      </c>
      <c r="I23" s="32" t="n">
        <v>0</v>
      </c>
      <c r="J23" s="32" t="n">
        <v>0</v>
      </c>
    </row>
    <row r="24" ht="34" customHeight="1">
      <c r="A24" s="12" t="inlineStr">
        <is>
          <t>1.2.3</t>
        </is>
      </c>
      <c r="B24" s="59" t="inlineStr">
        <is>
          <t>Stations - Station Building Services</t>
        </is>
      </c>
      <c r="C24" s="32" t="n">
        <v>3</v>
      </c>
      <c r="D24" s="32" t="n">
        <v>0</v>
      </c>
      <c r="E24" s="32" t="n">
        <v>0</v>
      </c>
      <c r="F24" s="32" t="n">
        <v>0</v>
      </c>
      <c r="G24" s="32" t="n">
        <v>0</v>
      </c>
      <c r="H24" s="32" t="n">
        <v>0</v>
      </c>
      <c r="I24" s="32" t="n">
        <v>0</v>
      </c>
      <c r="J24" s="32" t="n">
        <v>0</v>
      </c>
    </row>
    <row r="25" ht="34" customHeight="1">
      <c r="A25" s="12" t="inlineStr">
        <is>
          <t>1.2.3.1</t>
        </is>
      </c>
      <c r="B25" s="60" t="inlineStr">
        <is>
          <t>Station Building Services - Concourse &amp; Entries</t>
        </is>
      </c>
      <c r="C25" s="32" t="n">
        <v>4</v>
      </c>
      <c r="D25" s="32" t="n">
        <v>0</v>
      </c>
      <c r="E25" s="32" t="n">
        <v>0</v>
      </c>
      <c r="F25" s="32" t="n">
        <v>0</v>
      </c>
      <c r="G25" s="32" t="n">
        <v>0</v>
      </c>
      <c r="H25" s="32" t="n">
        <v>0</v>
      </c>
      <c r="I25" s="32" t="n">
        <v>0</v>
      </c>
      <c r="J25" s="32" t="n">
        <v>0</v>
      </c>
    </row>
    <row r="26" ht="34" customHeight="1">
      <c r="A26" s="12" t="inlineStr">
        <is>
          <t>1.2.3.2</t>
        </is>
      </c>
      <c r="B26" s="60" t="inlineStr">
        <is>
          <t>Station Building Services - Platforms &amp; Back-of-House</t>
        </is>
      </c>
      <c r="C26" s="32" t="n">
        <v>4</v>
      </c>
      <c r="D26" s="32" t="n">
        <v>0</v>
      </c>
      <c r="E26" s="32" t="n">
        <v>0</v>
      </c>
      <c r="F26" s="32" t="n">
        <v>0</v>
      </c>
      <c r="G26" s="32" t="n">
        <v>0</v>
      </c>
      <c r="H26" s="32" t="n">
        <v>0</v>
      </c>
      <c r="I26" s="32" t="n">
        <v>0</v>
      </c>
      <c r="J26" s="32" t="n">
        <v>0</v>
      </c>
    </row>
    <row r="27" ht="19" customHeight="1">
      <c r="A27" s="12" t="inlineStr">
        <is>
          <t>1.2.4</t>
        </is>
      </c>
      <c r="B27" s="59" t="inlineStr">
        <is>
          <t>Stations - Public Realm</t>
        </is>
      </c>
      <c r="C27" s="32" t="n">
        <v>3</v>
      </c>
      <c r="D27" s="32" t="n">
        <v>0</v>
      </c>
      <c r="E27" s="32" t="n">
        <v>0</v>
      </c>
      <c r="F27" s="32" t="n">
        <v>0</v>
      </c>
      <c r="G27" s="32" t="n">
        <v>0</v>
      </c>
      <c r="H27" s="32" t="n">
        <v>0</v>
      </c>
      <c r="I27" s="32" t="n">
        <v>0</v>
      </c>
      <c r="J27" s="32" t="n">
        <v>0</v>
      </c>
    </row>
    <row r="28" ht="19" customHeight="1">
      <c r="A28" s="12" t="inlineStr">
        <is>
          <t>1.2.4.1</t>
        </is>
      </c>
      <c r="B28" s="60" t="inlineStr">
        <is>
          <t>Public Realm - Concourse &amp; Entries</t>
        </is>
      </c>
      <c r="C28" s="32" t="n">
        <v>4</v>
      </c>
      <c r="D28" s="32" t="n">
        <v>0</v>
      </c>
      <c r="E28" s="32" t="n">
        <v>0</v>
      </c>
      <c r="F28" s="32" t="n">
        <v>0</v>
      </c>
      <c r="G28" s="32" t="n">
        <v>0</v>
      </c>
      <c r="H28" s="32" t="n">
        <v>0</v>
      </c>
      <c r="I28" s="32" t="n">
        <v>0</v>
      </c>
      <c r="J28" s="32" t="n">
        <v>0</v>
      </c>
    </row>
    <row r="29" ht="34" customHeight="1">
      <c r="A29" s="12" t="inlineStr">
        <is>
          <t>1.2.4.2</t>
        </is>
      </c>
      <c r="B29" s="60" t="inlineStr">
        <is>
          <t>Public Realm - Platforms &amp; Back-of-House</t>
        </is>
      </c>
      <c r="C29" s="32" t="n">
        <v>4</v>
      </c>
      <c r="D29" s="32" t="n">
        <v>0</v>
      </c>
      <c r="E29" s="32" t="n">
        <v>0</v>
      </c>
      <c r="F29" s="32" t="n">
        <v>0</v>
      </c>
      <c r="G29" s="32" t="n">
        <v>0</v>
      </c>
      <c r="H29" s="32" t="n">
        <v>0</v>
      </c>
      <c r="I29" s="32" t="n">
        <v>0</v>
      </c>
      <c r="J29" s="32" t="n">
        <v>0</v>
      </c>
    </row>
    <row r="30" ht="19" customHeight="1">
      <c r="A30" s="12" t="inlineStr">
        <is>
          <t>1.3</t>
        </is>
      </c>
      <c r="B30" s="58" t="inlineStr">
        <is>
          <t>Systems</t>
        </is>
      </c>
      <c r="C30" s="32" t="n">
        <v>2</v>
      </c>
      <c r="D30" s="32" t="n">
        <v>180</v>
      </c>
      <c r="E30" s="32" t="n">
        <v>79</v>
      </c>
      <c r="F30" s="32" t="n">
        <v>10</v>
      </c>
      <c r="G30" s="32" t="n">
        <v>0</v>
      </c>
      <c r="H30" s="32" t="n">
        <v>269</v>
      </c>
      <c r="I30" s="32" t="n">
        <v>0</v>
      </c>
      <c r="J30" s="32" t="n">
        <v>269</v>
      </c>
    </row>
    <row r="31" ht="19" customHeight="1">
      <c r="A31" s="12" t="inlineStr">
        <is>
          <t>1.3.1</t>
        </is>
      </c>
      <c r="B31" s="59" t="inlineStr">
        <is>
          <t>Systems - Traction Power</t>
        </is>
      </c>
      <c r="C31" s="32" t="n">
        <v>3</v>
      </c>
      <c r="D31" s="32" t="n">
        <v>120</v>
      </c>
      <c r="E31" s="32" t="n">
        <v>40</v>
      </c>
      <c r="F31" s="32" t="n">
        <v>0</v>
      </c>
      <c r="G31" s="32" t="n">
        <v>0</v>
      </c>
      <c r="H31" s="32" t="n">
        <v>160</v>
      </c>
      <c r="I31" s="32" t="n">
        <v>0</v>
      </c>
      <c r="J31" s="32" t="n">
        <v>160</v>
      </c>
    </row>
    <row r="32" ht="19" customHeight="1">
      <c r="A32" s="12" t="inlineStr">
        <is>
          <t>1.3.1.1</t>
        </is>
      </c>
      <c r="B32" s="60" t="inlineStr">
        <is>
          <t>Traction Power - Wayside</t>
        </is>
      </c>
      <c r="C32" s="32" t="n">
        <v>4</v>
      </c>
      <c r="D32" s="32" t="n">
        <v>0</v>
      </c>
      <c r="E32" s="32" t="n">
        <v>0</v>
      </c>
      <c r="F32" s="32" t="n">
        <v>0</v>
      </c>
      <c r="G32" s="32" t="n">
        <v>0</v>
      </c>
      <c r="H32" s="32" t="n">
        <v>0</v>
      </c>
      <c r="I32" s="32" t="n">
        <v>0</v>
      </c>
      <c r="J32" s="32" t="n">
        <v>0</v>
      </c>
    </row>
    <row r="33" ht="34" customHeight="1">
      <c r="A33" s="12" t="inlineStr">
        <is>
          <t>1.3.1.2</t>
        </is>
      </c>
      <c r="B33" s="60" t="inlineStr">
        <is>
          <t>Traction Power - Control Centre &amp; Stations</t>
        </is>
      </c>
      <c r="C33" s="32" t="n">
        <v>4</v>
      </c>
      <c r="D33" s="32" t="n">
        <v>0</v>
      </c>
      <c r="E33" s="32" t="n">
        <v>0</v>
      </c>
      <c r="F33" s="32" t="n">
        <v>0</v>
      </c>
      <c r="G33" s="32" t="n">
        <v>0</v>
      </c>
      <c r="H33" s="32" t="n">
        <v>0</v>
      </c>
      <c r="I33" s="32" t="n">
        <v>0</v>
      </c>
      <c r="J33" s="32" t="n">
        <v>0</v>
      </c>
    </row>
    <row r="34" ht="34" customHeight="1">
      <c r="A34" s="12" t="inlineStr">
        <is>
          <t>1.3.2</t>
        </is>
      </c>
      <c r="B34" s="59" t="inlineStr">
        <is>
          <t>Systems - Signalling &amp; Train Control</t>
        </is>
      </c>
      <c r="C34" s="32" t="n">
        <v>3</v>
      </c>
      <c r="D34" s="32" t="n">
        <v>60</v>
      </c>
      <c r="E34" s="32" t="n">
        <v>39</v>
      </c>
      <c r="F34" s="32" t="n">
        <v>0</v>
      </c>
      <c r="G34" s="32" t="n">
        <v>0</v>
      </c>
      <c r="H34" s="32" t="n">
        <v>99</v>
      </c>
      <c r="I34" s="32" t="n">
        <v>0</v>
      </c>
      <c r="J34" s="32" t="n">
        <v>99</v>
      </c>
    </row>
    <row r="35" ht="34" customHeight="1">
      <c r="A35" s="12" t="inlineStr">
        <is>
          <t>1.3.2.1</t>
        </is>
      </c>
      <c r="B35" s="60" t="inlineStr">
        <is>
          <t>Signalling &amp; Train Control - Wayside</t>
        </is>
      </c>
      <c r="C35" s="32" t="n">
        <v>4</v>
      </c>
      <c r="D35" s="32" t="n">
        <v>0</v>
      </c>
      <c r="E35" s="32" t="n">
        <v>0</v>
      </c>
      <c r="F35" s="32" t="n">
        <v>0</v>
      </c>
      <c r="G35" s="32" t="n">
        <v>0</v>
      </c>
      <c r="H35" s="32" t="n">
        <v>0</v>
      </c>
      <c r="I35" s="32" t="n">
        <v>0</v>
      </c>
      <c r="J35" s="32" t="n">
        <v>0</v>
      </c>
    </row>
    <row r="36" ht="34" customHeight="1">
      <c r="A36" s="12" t="inlineStr">
        <is>
          <t>1.3.2.2</t>
        </is>
      </c>
      <c r="B36" s="60" t="inlineStr">
        <is>
          <t>Signalling &amp; Train Control - Control Centre &amp; Stations</t>
        </is>
      </c>
      <c r="C36" s="32" t="n">
        <v>4</v>
      </c>
      <c r="D36" s="32" t="n">
        <v>0</v>
      </c>
      <c r="E36" s="32" t="n">
        <v>0</v>
      </c>
      <c r="F36" s="32" t="n">
        <v>0</v>
      </c>
      <c r="G36" s="32" t="n">
        <v>0</v>
      </c>
      <c r="H36" s="32" t="n">
        <v>0</v>
      </c>
      <c r="I36" s="32" t="n">
        <v>0</v>
      </c>
      <c r="J36" s="32" t="n">
        <v>0</v>
      </c>
    </row>
    <row r="37" ht="19" customHeight="1">
      <c r="A37" s="12" t="inlineStr">
        <is>
          <t>1.3.3</t>
        </is>
      </c>
      <c r="B37" s="59" t="inlineStr">
        <is>
          <t>Systems - Communications</t>
        </is>
      </c>
      <c r="C37" s="32" t="n">
        <v>3</v>
      </c>
      <c r="D37" s="32" t="n">
        <v>0</v>
      </c>
      <c r="E37" s="32" t="n">
        <v>0</v>
      </c>
      <c r="F37" s="32" t="n">
        <v>0</v>
      </c>
      <c r="G37" s="32" t="n">
        <v>0</v>
      </c>
      <c r="H37" s="32" t="n">
        <v>0</v>
      </c>
      <c r="I37" s="32" t="n">
        <v>0</v>
      </c>
      <c r="J37" s="32" t="n">
        <v>0</v>
      </c>
    </row>
    <row r="38" ht="19" customHeight="1">
      <c r="A38" s="12" t="inlineStr">
        <is>
          <t>1.3.3.1</t>
        </is>
      </c>
      <c r="B38" s="60" t="inlineStr">
        <is>
          <t>Communications - Wayside</t>
        </is>
      </c>
      <c r="C38" s="32" t="n">
        <v>4</v>
      </c>
      <c r="D38" s="32" t="n">
        <v>0</v>
      </c>
      <c r="E38" s="32" t="n">
        <v>0</v>
      </c>
      <c r="F38" s="32" t="n">
        <v>0</v>
      </c>
      <c r="G38" s="32" t="n">
        <v>0</v>
      </c>
      <c r="H38" s="32" t="n">
        <v>0</v>
      </c>
      <c r="I38" s="32" t="n">
        <v>0</v>
      </c>
      <c r="J38" s="32" t="n">
        <v>0</v>
      </c>
    </row>
    <row r="39" ht="34" customHeight="1">
      <c r="A39" s="12" t="inlineStr">
        <is>
          <t>1.3.3.2</t>
        </is>
      </c>
      <c r="B39" s="60" t="inlineStr">
        <is>
          <t>Communications - Control Centre &amp; Stations</t>
        </is>
      </c>
      <c r="C39" s="32" t="n">
        <v>4</v>
      </c>
      <c r="D39" s="32" t="n">
        <v>0</v>
      </c>
      <c r="E39" s="32" t="n">
        <v>0</v>
      </c>
      <c r="F39" s="32" t="n">
        <v>0</v>
      </c>
      <c r="G39" s="32" t="n">
        <v>0</v>
      </c>
      <c r="H39" s="32" t="n">
        <v>0</v>
      </c>
      <c r="I39" s="32" t="n">
        <v>0</v>
      </c>
      <c r="J39" s="32" t="n">
        <v>0</v>
      </c>
    </row>
    <row r="40" ht="19" customHeight="1">
      <c r="A40" s="12" t="inlineStr">
        <is>
          <t>1.3.4</t>
        </is>
      </c>
      <c r="B40" s="59" t="inlineStr">
        <is>
          <t>Systems - Systems Integration</t>
        </is>
      </c>
      <c r="C40" s="32" t="n">
        <v>3</v>
      </c>
      <c r="D40" s="32" t="n">
        <v>0</v>
      </c>
      <c r="E40" s="32" t="n">
        <v>0</v>
      </c>
      <c r="F40" s="32" t="n">
        <v>0</v>
      </c>
      <c r="G40" s="32" t="n">
        <v>0</v>
      </c>
      <c r="H40" s="32" t="n">
        <v>0</v>
      </c>
      <c r="I40" s="32" t="n">
        <v>0</v>
      </c>
      <c r="J40" s="32" t="n">
        <v>0</v>
      </c>
    </row>
    <row r="41" ht="19" customHeight="1">
      <c r="A41" s="12" t="inlineStr">
        <is>
          <t>1.3.4.1</t>
        </is>
      </c>
      <c r="B41" s="60" t="inlineStr">
        <is>
          <t>Systems Integration - Wayside</t>
        </is>
      </c>
      <c r="C41" s="32" t="n">
        <v>4</v>
      </c>
      <c r="D41" s="32" t="n">
        <v>0</v>
      </c>
      <c r="E41" s="32" t="n">
        <v>0</v>
      </c>
      <c r="F41" s="32" t="n">
        <v>0</v>
      </c>
      <c r="G41" s="32" t="n">
        <v>0</v>
      </c>
      <c r="H41" s="32" t="n">
        <v>0</v>
      </c>
      <c r="I41" s="32" t="n">
        <v>0</v>
      </c>
      <c r="J41" s="32" t="n">
        <v>0</v>
      </c>
    </row>
    <row r="42" ht="34" customHeight="1">
      <c r="A42" s="12" t="inlineStr">
        <is>
          <t>1.3.4.2</t>
        </is>
      </c>
      <c r="B42" s="60" t="inlineStr">
        <is>
          <t>Systems Integration - Control Centre &amp; Stations</t>
        </is>
      </c>
      <c r="C42" s="32" t="n">
        <v>4</v>
      </c>
      <c r="D42" s="32" t="n">
        <v>0</v>
      </c>
      <c r="E42" s="32" t="n">
        <v>0</v>
      </c>
      <c r="F42" s="32" t="n">
        <v>0</v>
      </c>
      <c r="G42" s="32" t="n">
        <v>0</v>
      </c>
      <c r="H42" s="32" t="n">
        <v>0</v>
      </c>
      <c r="I42" s="32" t="n">
        <v>0</v>
      </c>
      <c r="J42" s="32" t="n">
        <v>0</v>
      </c>
    </row>
    <row r="43" ht="19" customHeight="1">
      <c r="A43" s="12" t="inlineStr">
        <is>
          <t>1.4</t>
        </is>
      </c>
      <c r="B43" s="58" t="inlineStr">
        <is>
          <t>Vehicles and Depot</t>
        </is>
      </c>
      <c r="C43" s="32" t="n">
        <v>2</v>
      </c>
      <c r="D43" s="32" t="n">
        <v>179</v>
      </c>
      <c r="E43" s="32" t="n">
        <v>80</v>
      </c>
      <c r="F43" s="32" t="n">
        <v>10</v>
      </c>
      <c r="G43" s="32" t="n">
        <v>0</v>
      </c>
      <c r="H43" s="32" t="n">
        <v>269</v>
      </c>
      <c r="I43" s="32" t="n">
        <v>0</v>
      </c>
      <c r="J43" s="32" t="n">
        <v>269</v>
      </c>
    </row>
    <row r="44" ht="19" customHeight="1">
      <c r="A44" s="12" t="inlineStr">
        <is>
          <t>1.4.1</t>
        </is>
      </c>
      <c r="B44" s="59" t="inlineStr">
        <is>
          <t>Vehicles and Depot - Fleet Supply</t>
        </is>
      </c>
      <c r="C44" s="32" t="n">
        <v>3</v>
      </c>
      <c r="D44" s="32" t="n">
        <v>120</v>
      </c>
      <c r="E44" s="32" t="n">
        <v>40</v>
      </c>
      <c r="F44" s="32" t="n">
        <v>0</v>
      </c>
      <c r="G44" s="32" t="n">
        <v>0</v>
      </c>
      <c r="H44" s="32" t="n">
        <v>160</v>
      </c>
      <c r="I44" s="32" t="n">
        <v>0</v>
      </c>
      <c r="J44" s="32" t="n">
        <v>160</v>
      </c>
    </row>
    <row r="45" ht="19" customHeight="1">
      <c r="A45" s="12" t="inlineStr">
        <is>
          <t>1.4.1.1</t>
        </is>
      </c>
      <c r="B45" s="60" t="inlineStr">
        <is>
          <t>Fleet Supply - Maintenance Facility</t>
        </is>
      </c>
      <c r="C45" s="32" t="n">
        <v>4</v>
      </c>
      <c r="D45" s="32" t="n">
        <v>0</v>
      </c>
      <c r="E45" s="32" t="n">
        <v>0</v>
      </c>
      <c r="F45" s="32" t="n">
        <v>0</v>
      </c>
      <c r="G45" s="32" t="n">
        <v>0</v>
      </c>
      <c r="H45" s="32" t="n">
        <v>0</v>
      </c>
      <c r="I45" s="32" t="n">
        <v>0</v>
      </c>
      <c r="J45" s="32" t="n">
        <v>0</v>
      </c>
    </row>
    <row r="46" ht="34" customHeight="1">
      <c r="A46" s="12" t="inlineStr">
        <is>
          <t>1.4.1.2</t>
        </is>
      </c>
      <c r="B46" s="60" t="inlineStr">
        <is>
          <t>Fleet Supply - Storage &amp; Commissioning Yard</t>
        </is>
      </c>
      <c r="C46" s="32" t="n">
        <v>4</v>
      </c>
      <c r="D46" s="32" t="n">
        <v>0</v>
      </c>
      <c r="E46" s="32" t="n">
        <v>0</v>
      </c>
      <c r="F46" s="32" t="n">
        <v>0</v>
      </c>
      <c r="G46" s="32" t="n">
        <v>0</v>
      </c>
      <c r="H46" s="32" t="n">
        <v>0</v>
      </c>
      <c r="I46" s="32" t="n">
        <v>0</v>
      </c>
      <c r="J46" s="32" t="n">
        <v>0</v>
      </c>
    </row>
    <row r="47" ht="34" customHeight="1">
      <c r="A47" s="12" t="inlineStr">
        <is>
          <t>1.4.2</t>
        </is>
      </c>
      <c r="B47" s="59" t="inlineStr">
        <is>
          <t>Vehicles and Depot - Depot Buildings</t>
        </is>
      </c>
      <c r="C47" s="32" t="n">
        <v>3</v>
      </c>
      <c r="D47" s="32" t="n">
        <v>59</v>
      </c>
      <c r="E47" s="32" t="n">
        <v>40</v>
      </c>
      <c r="F47" s="32" t="n">
        <v>0</v>
      </c>
      <c r="G47" s="32" t="n">
        <v>0</v>
      </c>
      <c r="H47" s="32" t="n">
        <v>99</v>
      </c>
      <c r="I47" s="32" t="n">
        <v>0</v>
      </c>
      <c r="J47" s="32" t="n">
        <v>99</v>
      </c>
    </row>
    <row r="48" ht="34" customHeight="1">
      <c r="A48" s="12" t="inlineStr">
        <is>
          <t>1.4.2.1</t>
        </is>
      </c>
      <c r="B48" s="60" t="inlineStr">
        <is>
          <t>Depot Buildings - Maintenance Facility</t>
        </is>
      </c>
      <c r="C48" s="32" t="n">
        <v>4</v>
      </c>
      <c r="D48" s="32" t="n">
        <v>0</v>
      </c>
      <c r="E48" s="32" t="n">
        <v>0</v>
      </c>
      <c r="F48" s="32" t="n">
        <v>0</v>
      </c>
      <c r="G48" s="32" t="n">
        <v>0</v>
      </c>
      <c r="H48" s="32" t="n">
        <v>0</v>
      </c>
      <c r="I48" s="32" t="n">
        <v>0</v>
      </c>
      <c r="J48" s="32" t="n">
        <v>0</v>
      </c>
    </row>
    <row r="49" ht="34" customHeight="1">
      <c r="A49" s="12" t="inlineStr">
        <is>
          <t>1.4.2.2</t>
        </is>
      </c>
      <c r="B49" s="60" t="inlineStr">
        <is>
          <t>Depot Buildings - Storage &amp; Commissioning Yard</t>
        </is>
      </c>
      <c r="C49" s="32" t="n">
        <v>4</v>
      </c>
      <c r="D49" s="32" t="n">
        <v>0</v>
      </c>
      <c r="E49" s="32" t="n">
        <v>0</v>
      </c>
      <c r="F49" s="32" t="n">
        <v>0</v>
      </c>
      <c r="G49" s="32" t="n">
        <v>0</v>
      </c>
      <c r="H49" s="32" t="n">
        <v>0</v>
      </c>
      <c r="I49" s="32" t="n">
        <v>0</v>
      </c>
      <c r="J49" s="32" t="n">
        <v>0</v>
      </c>
    </row>
    <row r="50" ht="34" customHeight="1">
      <c r="A50" s="12" t="inlineStr">
        <is>
          <t>1.4.3</t>
        </is>
      </c>
      <c r="B50" s="59" t="inlineStr">
        <is>
          <t>Vehicles and Depot - Workshop Equipment</t>
        </is>
      </c>
      <c r="C50" s="32" t="n">
        <v>3</v>
      </c>
      <c r="D50" s="32" t="n">
        <v>0</v>
      </c>
      <c r="E50" s="32" t="n">
        <v>0</v>
      </c>
      <c r="F50" s="32" t="n">
        <v>0</v>
      </c>
      <c r="G50" s="32" t="n">
        <v>0</v>
      </c>
      <c r="H50" s="32" t="n">
        <v>0</v>
      </c>
      <c r="I50" s="32" t="n">
        <v>0</v>
      </c>
      <c r="J50" s="32" t="n">
        <v>0</v>
      </c>
    </row>
    <row r="51" ht="34" customHeight="1">
      <c r="A51" s="12" t="inlineStr">
        <is>
          <t>1.4.3.1</t>
        </is>
      </c>
      <c r="B51" s="60" t="inlineStr">
        <is>
          <t>Workshop Equipment - Maintenance Facility</t>
        </is>
      </c>
      <c r="C51" s="32" t="n">
        <v>4</v>
      </c>
      <c r="D51" s="32" t="n">
        <v>0</v>
      </c>
      <c r="E51" s="32" t="n">
        <v>0</v>
      </c>
      <c r="F51" s="32" t="n">
        <v>0</v>
      </c>
      <c r="G51" s="32" t="n">
        <v>0</v>
      </c>
      <c r="H51" s="32" t="n">
        <v>0</v>
      </c>
      <c r="I51" s="32" t="n">
        <v>0</v>
      </c>
      <c r="J51" s="32" t="n">
        <v>0</v>
      </c>
    </row>
    <row r="52" ht="34" customHeight="1">
      <c r="A52" s="12" t="inlineStr">
        <is>
          <t>1.4.3.2</t>
        </is>
      </c>
      <c r="B52" s="60" t="inlineStr">
        <is>
          <t>Workshop Equipment - Storage &amp; Commissioning Yard</t>
        </is>
      </c>
      <c r="C52" s="32" t="n">
        <v>4</v>
      </c>
      <c r="D52" s="32" t="n">
        <v>0</v>
      </c>
      <c r="E52" s="32" t="n">
        <v>0</v>
      </c>
      <c r="F52" s="32" t="n">
        <v>0</v>
      </c>
      <c r="G52" s="32" t="n">
        <v>0</v>
      </c>
      <c r="H52" s="32" t="n">
        <v>0</v>
      </c>
      <c r="I52" s="32" t="n">
        <v>0</v>
      </c>
      <c r="J52" s="32" t="n">
        <v>0</v>
      </c>
    </row>
    <row r="53" ht="34" customHeight="1">
      <c r="A53" s="12" t="inlineStr">
        <is>
          <t>1.4.4</t>
        </is>
      </c>
      <c r="B53" s="59" t="inlineStr">
        <is>
          <t>Vehicles and Depot - Vehicle Integration</t>
        </is>
      </c>
      <c r="C53" s="32" t="n">
        <v>3</v>
      </c>
      <c r="D53" s="32" t="n">
        <v>0</v>
      </c>
      <c r="E53" s="32" t="n">
        <v>0</v>
      </c>
      <c r="F53" s="32" t="n">
        <v>0</v>
      </c>
      <c r="G53" s="32" t="n">
        <v>0</v>
      </c>
      <c r="H53" s="32" t="n">
        <v>0</v>
      </c>
      <c r="I53" s="32" t="n">
        <v>0</v>
      </c>
      <c r="J53" s="32" t="n">
        <v>0</v>
      </c>
    </row>
    <row r="54" ht="34" customHeight="1">
      <c r="A54" s="12" t="inlineStr">
        <is>
          <t>1.4.4.1</t>
        </is>
      </c>
      <c r="B54" s="60" t="inlineStr">
        <is>
          <t>Vehicle Integration - Maintenance Facility</t>
        </is>
      </c>
      <c r="C54" s="32" t="n">
        <v>4</v>
      </c>
      <c r="D54" s="32" t="n">
        <v>0</v>
      </c>
      <c r="E54" s="32" t="n">
        <v>0</v>
      </c>
      <c r="F54" s="32" t="n">
        <v>0</v>
      </c>
      <c r="G54" s="32" t="n">
        <v>0</v>
      </c>
      <c r="H54" s="32" t="n">
        <v>0</v>
      </c>
      <c r="I54" s="32" t="n">
        <v>0</v>
      </c>
      <c r="J54" s="32" t="n">
        <v>0</v>
      </c>
    </row>
    <row r="55" ht="34" customHeight="1">
      <c r="A55" s="12" t="inlineStr">
        <is>
          <t>1.4.4.2</t>
        </is>
      </c>
      <c r="B55" s="60" t="inlineStr">
        <is>
          <t>Vehicle Integration - Storage &amp; Commissioning Yard</t>
        </is>
      </c>
      <c r="C55" s="32" t="n">
        <v>4</v>
      </c>
      <c r="D55" s="32" t="n">
        <v>0</v>
      </c>
      <c r="E55" s="32" t="n">
        <v>0</v>
      </c>
      <c r="F55" s="32" t="n">
        <v>0</v>
      </c>
      <c r="G55" s="32" t="n">
        <v>0</v>
      </c>
      <c r="H55" s="32" t="n">
        <v>0</v>
      </c>
      <c r="I55" s="32" t="n">
        <v>0</v>
      </c>
      <c r="J55" s="32" t="n">
        <v>0</v>
      </c>
    </row>
    <row r="56" ht="19" customHeight="1">
      <c r="A56" s="12" t="inlineStr">
        <is>
          <t>1.5</t>
        </is>
      </c>
      <c r="B56" s="58" t="inlineStr">
        <is>
          <t>Testing and Commissioning</t>
        </is>
      </c>
      <c r="C56" s="32" t="n">
        <v>2</v>
      </c>
      <c r="D56" s="32" t="n">
        <v>180</v>
      </c>
      <c r="E56" s="32" t="n">
        <v>0</v>
      </c>
      <c r="F56" s="32" t="n">
        <v>10</v>
      </c>
      <c r="G56" s="32" t="n">
        <v>0</v>
      </c>
      <c r="H56" s="32" t="n">
        <v>190</v>
      </c>
      <c r="I56" s="32" t="n">
        <v>0</v>
      </c>
      <c r="J56" s="32" t="n">
        <v>190</v>
      </c>
    </row>
    <row r="57" ht="34" customHeight="1">
      <c r="A57" s="12" t="inlineStr">
        <is>
          <t>1.5.1</t>
        </is>
      </c>
      <c r="B57" s="59" t="inlineStr">
        <is>
          <t>Testing and Commissioning - Test Readiness</t>
        </is>
      </c>
      <c r="C57" s="32" t="n">
        <v>3</v>
      </c>
      <c r="D57" s="32" t="n">
        <v>120</v>
      </c>
      <c r="E57" s="32" t="n">
        <v>0</v>
      </c>
      <c r="F57" s="32" t="n">
        <v>0</v>
      </c>
      <c r="G57" s="32" t="n">
        <v>0</v>
      </c>
      <c r="H57" s="32" t="n">
        <v>120</v>
      </c>
      <c r="I57" s="32" t="n">
        <v>0</v>
      </c>
      <c r="J57" s="32" t="n">
        <v>120</v>
      </c>
    </row>
    <row r="58" ht="19" customHeight="1">
      <c r="A58" s="12" t="inlineStr">
        <is>
          <t>1.5.1.1</t>
        </is>
      </c>
      <c r="B58" s="60" t="inlineStr">
        <is>
          <t>Test Readiness - Mainline</t>
        </is>
      </c>
      <c r="C58" s="32" t="n">
        <v>4</v>
      </c>
      <c r="D58" s="32" t="n">
        <v>0</v>
      </c>
      <c r="E58" s="32" t="n">
        <v>0</v>
      </c>
      <c r="F58" s="32" t="n">
        <v>0</v>
      </c>
      <c r="G58" s="32" t="n">
        <v>0</v>
      </c>
      <c r="H58" s="32" t="n">
        <v>0</v>
      </c>
      <c r="I58" s="32" t="n">
        <v>0</v>
      </c>
      <c r="J58" s="32" t="n">
        <v>0</v>
      </c>
    </row>
    <row r="59" ht="19" customHeight="1">
      <c r="A59" s="12" t="inlineStr">
        <is>
          <t>1.5.1.2</t>
        </is>
      </c>
      <c r="B59" s="60" t="inlineStr">
        <is>
          <t>Test Readiness - Depot &amp; Stations</t>
        </is>
      </c>
      <c r="C59" s="32" t="n">
        <v>4</v>
      </c>
      <c r="D59" s="32" t="n">
        <v>0</v>
      </c>
      <c r="E59" s="32" t="n">
        <v>0</v>
      </c>
      <c r="F59" s="32" t="n">
        <v>0</v>
      </c>
      <c r="G59" s="32" t="n">
        <v>0</v>
      </c>
      <c r="H59" s="32" t="n">
        <v>0</v>
      </c>
      <c r="I59" s="32" t="n">
        <v>0</v>
      </c>
      <c r="J59" s="32" t="n">
        <v>0</v>
      </c>
    </row>
    <row r="60" ht="34" customHeight="1">
      <c r="A60" s="12" t="inlineStr">
        <is>
          <t>1.5.2</t>
        </is>
      </c>
      <c r="B60" s="59" t="inlineStr">
        <is>
          <t>Testing and Commissioning - Dynamic Testing</t>
        </is>
      </c>
      <c r="C60" s="32" t="n">
        <v>3</v>
      </c>
      <c r="D60" s="32" t="n">
        <v>60</v>
      </c>
      <c r="E60" s="32" t="n">
        <v>0</v>
      </c>
      <c r="F60" s="32" t="n">
        <v>0</v>
      </c>
      <c r="G60" s="32" t="n">
        <v>0</v>
      </c>
      <c r="H60" s="32" t="n">
        <v>60</v>
      </c>
      <c r="I60" s="32" t="n">
        <v>0</v>
      </c>
      <c r="J60" s="32" t="n">
        <v>60</v>
      </c>
    </row>
    <row r="61" ht="19" customHeight="1">
      <c r="A61" s="12" t="inlineStr">
        <is>
          <t>1.5.2.1</t>
        </is>
      </c>
      <c r="B61" s="60" t="inlineStr">
        <is>
          <t>Dynamic Testing - Mainline</t>
        </is>
      </c>
      <c r="C61" s="32" t="n">
        <v>4</v>
      </c>
      <c r="D61" s="32" t="n">
        <v>0</v>
      </c>
      <c r="E61" s="32" t="n">
        <v>0</v>
      </c>
      <c r="F61" s="32" t="n">
        <v>0</v>
      </c>
      <c r="G61" s="32" t="n">
        <v>0</v>
      </c>
      <c r="H61" s="32" t="n">
        <v>0</v>
      </c>
      <c r="I61" s="32" t="n">
        <v>0</v>
      </c>
      <c r="J61" s="32" t="n">
        <v>0</v>
      </c>
    </row>
    <row r="62" ht="19" customHeight="1">
      <c r="A62" s="12" t="inlineStr">
        <is>
          <t>1.5.2.2</t>
        </is>
      </c>
      <c r="B62" s="60" t="inlineStr">
        <is>
          <t>Dynamic Testing - Depot &amp; Stations</t>
        </is>
      </c>
      <c r="C62" s="32" t="n">
        <v>4</v>
      </c>
      <c r="D62" s="32" t="n">
        <v>0</v>
      </c>
      <c r="E62" s="32" t="n">
        <v>0</v>
      </c>
      <c r="F62" s="32" t="n">
        <v>0</v>
      </c>
      <c r="G62" s="32" t="n">
        <v>0</v>
      </c>
      <c r="H62" s="32" t="n">
        <v>0</v>
      </c>
      <c r="I62" s="32" t="n">
        <v>0</v>
      </c>
      <c r="J62" s="32" t="n">
        <v>0</v>
      </c>
    </row>
    <row r="63" ht="34" customHeight="1">
      <c r="A63" s="12" t="inlineStr">
        <is>
          <t>1.5.3</t>
        </is>
      </c>
      <c r="B63" s="59" t="inlineStr">
        <is>
          <t>Testing and Commissioning - Safety Certification</t>
        </is>
      </c>
      <c r="C63" s="32" t="n">
        <v>3</v>
      </c>
      <c r="D63" s="32" t="n">
        <v>0</v>
      </c>
      <c r="E63" s="32" t="n">
        <v>0</v>
      </c>
      <c r="F63" s="32" t="n">
        <v>0</v>
      </c>
      <c r="G63" s="32" t="n">
        <v>0</v>
      </c>
      <c r="H63" s="32" t="n">
        <v>0</v>
      </c>
      <c r="I63" s="32" t="n">
        <v>0</v>
      </c>
      <c r="J63" s="32" t="n">
        <v>0</v>
      </c>
    </row>
    <row r="64" ht="19" customHeight="1">
      <c r="A64" s="12" t="inlineStr">
        <is>
          <t>1.5.3.1</t>
        </is>
      </c>
      <c r="B64" s="60" t="inlineStr">
        <is>
          <t>Safety Certification - Mainline</t>
        </is>
      </c>
      <c r="C64" s="32" t="n">
        <v>4</v>
      </c>
      <c r="D64" s="32" t="n">
        <v>0</v>
      </c>
      <c r="E64" s="32" t="n">
        <v>0</v>
      </c>
      <c r="F64" s="32" t="n">
        <v>0</v>
      </c>
      <c r="G64" s="32" t="n">
        <v>0</v>
      </c>
      <c r="H64" s="32" t="n">
        <v>0</v>
      </c>
      <c r="I64" s="32" t="n">
        <v>0</v>
      </c>
      <c r="J64" s="32" t="n">
        <v>0</v>
      </c>
    </row>
    <row r="65" ht="34" customHeight="1">
      <c r="A65" s="12" t="inlineStr">
        <is>
          <t>1.5.3.2</t>
        </is>
      </c>
      <c r="B65" s="60" t="inlineStr">
        <is>
          <t>Safety Certification - Depot &amp; Stations</t>
        </is>
      </c>
      <c r="C65" s="32" t="n">
        <v>4</v>
      </c>
      <c r="D65" s="32" t="n">
        <v>0</v>
      </c>
      <c r="E65" s="32" t="n">
        <v>0</v>
      </c>
      <c r="F65" s="32" t="n">
        <v>0</v>
      </c>
      <c r="G65" s="32" t="n">
        <v>0</v>
      </c>
      <c r="H65" s="32" t="n">
        <v>0</v>
      </c>
      <c r="I65" s="32" t="n">
        <v>0</v>
      </c>
      <c r="J65" s="32" t="n">
        <v>0</v>
      </c>
    </row>
    <row r="66" ht="34" customHeight="1">
      <c r="A66" s="12" t="inlineStr">
        <is>
          <t>1.5.4</t>
        </is>
      </c>
      <c r="B66" s="59" t="inlineStr">
        <is>
          <t>Testing and Commissioning - Service Readiness</t>
        </is>
      </c>
      <c r="C66" s="32" t="n">
        <v>3</v>
      </c>
      <c r="D66" s="32" t="n">
        <v>0</v>
      </c>
      <c r="E66" s="32" t="n">
        <v>0</v>
      </c>
      <c r="F66" s="32" t="n">
        <v>0</v>
      </c>
      <c r="G66" s="32" t="n">
        <v>0</v>
      </c>
      <c r="H66" s="32" t="n">
        <v>0</v>
      </c>
      <c r="I66" s="32" t="n">
        <v>0</v>
      </c>
      <c r="J66" s="32" t="n">
        <v>0</v>
      </c>
    </row>
    <row r="67" ht="19" customHeight="1">
      <c r="A67" s="12" t="inlineStr">
        <is>
          <t>1.5.4.1</t>
        </is>
      </c>
      <c r="B67" s="60" t="inlineStr">
        <is>
          <t>Service Readiness - Mainline</t>
        </is>
      </c>
      <c r="C67" s="32" t="n">
        <v>4</v>
      </c>
      <c r="D67" s="32" t="n">
        <v>0</v>
      </c>
      <c r="E67" s="32" t="n">
        <v>0</v>
      </c>
      <c r="F67" s="32" t="n">
        <v>0</v>
      </c>
      <c r="G67" s="32" t="n">
        <v>0</v>
      </c>
      <c r="H67" s="32" t="n">
        <v>0</v>
      </c>
      <c r="I67" s="32" t="n">
        <v>0</v>
      </c>
      <c r="J67" s="32" t="n">
        <v>0</v>
      </c>
    </row>
    <row r="68" ht="34" customHeight="1">
      <c r="A68" s="12" t="inlineStr">
        <is>
          <t>1.5.4.2</t>
        </is>
      </c>
      <c r="B68" s="60" t="inlineStr">
        <is>
          <t>Service Readiness - Depot &amp; Stations</t>
        </is>
      </c>
      <c r="C68" s="32" t="n">
        <v>4</v>
      </c>
      <c r="D68" s="32" t="n">
        <v>0</v>
      </c>
      <c r="E68" s="32" t="n">
        <v>0</v>
      </c>
      <c r="F68" s="32" t="n">
        <v>0</v>
      </c>
      <c r="G68" s="32" t="n">
        <v>0</v>
      </c>
      <c r="H68" s="32" t="n">
        <v>0</v>
      </c>
      <c r="I68" s="32" t="n">
        <v>0</v>
      </c>
      <c r="J68" s="32" t="n">
        <v>0</v>
      </c>
    </row>
    <row r="69" ht="19" customHeight="1">
      <c r="A69" s="12" t="inlineStr">
        <is>
          <t>1.6</t>
        </is>
      </c>
      <c r="B69" s="58" t="inlineStr">
        <is>
          <t>Program Management</t>
        </is>
      </c>
      <c r="C69" s="32" t="n">
        <v>2</v>
      </c>
      <c r="D69" s="32" t="n">
        <v>0</v>
      </c>
      <c r="E69" s="32" t="n">
        <v>80</v>
      </c>
      <c r="F69" s="32" t="n">
        <v>10</v>
      </c>
      <c r="G69" s="32" t="n">
        <v>0</v>
      </c>
      <c r="H69" s="32" t="n">
        <v>90</v>
      </c>
      <c r="I69" s="32" t="n">
        <v>0</v>
      </c>
      <c r="J69" s="32" t="n">
        <v>90</v>
      </c>
    </row>
    <row r="70" ht="34" customHeight="1">
      <c r="A70" s="12" t="inlineStr">
        <is>
          <t>1.6.1</t>
        </is>
      </c>
      <c r="B70" s="59" t="inlineStr">
        <is>
          <t>Program Management - Program Controls</t>
        </is>
      </c>
      <c r="C70" s="32" t="n">
        <v>3</v>
      </c>
      <c r="D70" s="32" t="n">
        <v>0</v>
      </c>
      <c r="E70" s="32" t="n">
        <v>40</v>
      </c>
      <c r="F70" s="32" t="n">
        <v>0</v>
      </c>
      <c r="G70" s="32" t="n">
        <v>0</v>
      </c>
      <c r="H70" s="32" t="n">
        <v>40</v>
      </c>
      <c r="I70" s="32" t="n">
        <v>0</v>
      </c>
      <c r="J70" s="32" t="n">
        <v>40</v>
      </c>
    </row>
    <row r="71" ht="19" customHeight="1">
      <c r="A71" s="12" t="inlineStr">
        <is>
          <t>1.6.1.1</t>
        </is>
      </c>
      <c r="B71" s="60" t="inlineStr">
        <is>
          <t>Program Controls - Owner Team</t>
        </is>
      </c>
      <c r="C71" s="32" t="n">
        <v>4</v>
      </c>
      <c r="D71" s="32" t="n">
        <v>0</v>
      </c>
      <c r="E71" s="32" t="n">
        <v>0</v>
      </c>
      <c r="F71" s="32" t="n">
        <v>0</v>
      </c>
      <c r="G71" s="32" t="n">
        <v>0</v>
      </c>
      <c r="H71" s="32" t="n">
        <v>0</v>
      </c>
      <c r="I71" s="32" t="n">
        <v>0</v>
      </c>
      <c r="J71" s="32" t="n">
        <v>0</v>
      </c>
    </row>
    <row r="72" ht="34" customHeight="1">
      <c r="A72" s="12" t="inlineStr">
        <is>
          <t>1.6.1.2</t>
        </is>
      </c>
      <c r="B72" s="60" t="inlineStr">
        <is>
          <t>Program Controls - Delivery Partners</t>
        </is>
      </c>
      <c r="C72" s="32" t="n">
        <v>4</v>
      </c>
      <c r="D72" s="32" t="n">
        <v>0</v>
      </c>
      <c r="E72" s="32" t="n">
        <v>0</v>
      </c>
      <c r="F72" s="32" t="n">
        <v>0</v>
      </c>
      <c r="G72" s="32" t="n">
        <v>0</v>
      </c>
      <c r="H72" s="32" t="n">
        <v>0</v>
      </c>
      <c r="I72" s="32" t="n">
        <v>0</v>
      </c>
      <c r="J72" s="32" t="n">
        <v>0</v>
      </c>
    </row>
    <row r="73" ht="34" customHeight="1">
      <c r="A73" s="12" t="inlineStr">
        <is>
          <t>1.6.2</t>
        </is>
      </c>
      <c r="B73" s="59" t="inlineStr">
        <is>
          <t>Program Management - Commercial &amp; Procurement</t>
        </is>
      </c>
      <c r="C73" s="32" t="n">
        <v>3</v>
      </c>
      <c r="D73" s="32" t="n">
        <v>0</v>
      </c>
      <c r="E73" s="32" t="n">
        <v>40</v>
      </c>
      <c r="F73" s="32" t="n">
        <v>0</v>
      </c>
      <c r="G73" s="32" t="n">
        <v>0</v>
      </c>
      <c r="H73" s="32" t="n">
        <v>40</v>
      </c>
      <c r="I73" s="32" t="n">
        <v>0</v>
      </c>
      <c r="J73" s="32" t="n">
        <v>40</v>
      </c>
    </row>
    <row r="74" ht="34" customHeight="1">
      <c r="A74" s="12" t="inlineStr">
        <is>
          <t>1.6.2.1</t>
        </is>
      </c>
      <c r="B74" s="60" t="inlineStr">
        <is>
          <t>Commercial &amp; Procurement - Owner Team</t>
        </is>
      </c>
      <c r="C74" s="32" t="n">
        <v>4</v>
      </c>
      <c r="D74" s="32" t="n">
        <v>0</v>
      </c>
      <c r="E74" s="32" t="n">
        <v>0</v>
      </c>
      <c r="F74" s="32" t="n">
        <v>0</v>
      </c>
      <c r="G74" s="32" t="n">
        <v>0</v>
      </c>
      <c r="H74" s="32" t="n">
        <v>0</v>
      </c>
      <c r="I74" s="32" t="n">
        <v>0</v>
      </c>
      <c r="J74" s="32" t="n">
        <v>0</v>
      </c>
    </row>
    <row r="75" ht="34" customHeight="1">
      <c r="A75" s="12" t="inlineStr">
        <is>
          <t>1.6.2.2</t>
        </is>
      </c>
      <c r="B75" s="60" t="inlineStr">
        <is>
          <t>Commercial &amp; Procurement - Delivery Partners</t>
        </is>
      </c>
      <c r="C75" s="32" t="n">
        <v>4</v>
      </c>
      <c r="D75" s="32" t="n">
        <v>0</v>
      </c>
      <c r="E75" s="32" t="n">
        <v>0</v>
      </c>
      <c r="F75" s="32" t="n">
        <v>0</v>
      </c>
      <c r="G75" s="32" t="n">
        <v>0</v>
      </c>
      <c r="H75" s="32" t="n">
        <v>0</v>
      </c>
      <c r="I75" s="32" t="n">
        <v>0</v>
      </c>
      <c r="J75" s="32" t="n">
        <v>0</v>
      </c>
    </row>
    <row r="76" ht="34" customHeight="1">
      <c r="A76" s="12" t="inlineStr">
        <is>
          <t>1.6.3</t>
        </is>
      </c>
      <c r="B76" s="59" t="inlineStr">
        <is>
          <t>Program Management - Stakeholder &amp; Permits</t>
        </is>
      </c>
      <c r="C76" s="32" t="n">
        <v>3</v>
      </c>
      <c r="D76" s="32" t="n">
        <v>0</v>
      </c>
      <c r="E76" s="32" t="n">
        <v>0</v>
      </c>
      <c r="F76" s="32" t="n">
        <v>0</v>
      </c>
      <c r="G76" s="32" t="n">
        <v>0</v>
      </c>
      <c r="H76" s="32" t="n">
        <v>0</v>
      </c>
      <c r="I76" s="32" t="n">
        <v>0</v>
      </c>
      <c r="J76" s="32" t="n">
        <v>0</v>
      </c>
    </row>
    <row r="77" ht="19" customHeight="1">
      <c r="A77" s="12" t="inlineStr">
        <is>
          <t>1.6.3.1</t>
        </is>
      </c>
      <c r="B77" s="60" t="inlineStr">
        <is>
          <t>Stakeholder &amp; Permits - Owner Team</t>
        </is>
      </c>
      <c r="C77" s="32" t="n">
        <v>4</v>
      </c>
      <c r="D77" s="32" t="n">
        <v>0</v>
      </c>
      <c r="E77" s="32" t="n">
        <v>0</v>
      </c>
      <c r="F77" s="32" t="n">
        <v>0</v>
      </c>
      <c r="G77" s="32" t="n">
        <v>0</v>
      </c>
      <c r="H77" s="32" t="n">
        <v>0</v>
      </c>
      <c r="I77" s="32" t="n">
        <v>0</v>
      </c>
      <c r="J77" s="32" t="n">
        <v>0</v>
      </c>
    </row>
    <row r="78" ht="34" customHeight="1">
      <c r="A78" s="12" t="inlineStr">
        <is>
          <t>1.6.3.2</t>
        </is>
      </c>
      <c r="B78" s="60" t="inlineStr">
        <is>
          <t>Stakeholder &amp; Permits - Delivery Partners</t>
        </is>
      </c>
      <c r="C78" s="32" t="n">
        <v>4</v>
      </c>
      <c r="D78" s="32" t="n">
        <v>0</v>
      </c>
      <c r="E78" s="32" t="n">
        <v>0</v>
      </c>
      <c r="F78" s="32" t="n">
        <v>0</v>
      </c>
      <c r="G78" s="32" t="n">
        <v>0</v>
      </c>
      <c r="H78" s="32" t="n">
        <v>0</v>
      </c>
      <c r="I78" s="32" t="n">
        <v>0</v>
      </c>
      <c r="J78" s="32" t="n">
        <v>0</v>
      </c>
    </row>
    <row r="79" ht="34" customHeight="1">
      <c r="A79" s="12" t="inlineStr">
        <is>
          <t>1.6.4</t>
        </is>
      </c>
      <c r="B79" s="59" t="inlineStr">
        <is>
          <t>Program Management - Delivery Integration</t>
        </is>
      </c>
      <c r="C79" s="32" t="n">
        <v>3</v>
      </c>
      <c r="D79" s="32" t="n">
        <v>0</v>
      </c>
      <c r="E79" s="32" t="n">
        <v>0</v>
      </c>
      <c r="F79" s="32" t="n">
        <v>0</v>
      </c>
      <c r="G79" s="32" t="n">
        <v>0</v>
      </c>
      <c r="H79" s="32" t="n">
        <v>0</v>
      </c>
      <c r="I79" s="32" t="n">
        <v>0</v>
      </c>
      <c r="J79" s="32" t="n">
        <v>0</v>
      </c>
    </row>
    <row r="80" ht="19" customHeight="1">
      <c r="A80" s="12" t="inlineStr">
        <is>
          <t>1.6.4.1</t>
        </is>
      </c>
      <c r="B80" s="60" t="inlineStr">
        <is>
          <t>Delivery Integration - Owner Team</t>
        </is>
      </c>
      <c r="C80" s="32" t="n">
        <v>4</v>
      </c>
      <c r="D80" s="32" t="n">
        <v>0</v>
      </c>
      <c r="E80" s="32" t="n">
        <v>0</v>
      </c>
      <c r="F80" s="32" t="n">
        <v>0</v>
      </c>
      <c r="G80" s="32" t="n">
        <v>0</v>
      </c>
      <c r="H80" s="32" t="n">
        <v>0</v>
      </c>
      <c r="I80" s="32" t="n">
        <v>0</v>
      </c>
      <c r="J80" s="32" t="n">
        <v>0</v>
      </c>
    </row>
    <row r="81" ht="34" customHeight="1">
      <c r="A81" s="12" t="inlineStr">
        <is>
          <t>1.6.4.2</t>
        </is>
      </c>
      <c r="B81" s="60" t="inlineStr">
        <is>
          <t>Delivery Integration - Delivery Partners</t>
        </is>
      </c>
      <c r="C81" s="32" t="n">
        <v>4</v>
      </c>
      <c r="D81" s="32" t="n">
        <v>0</v>
      </c>
      <c r="E81" s="32" t="n">
        <v>0</v>
      </c>
      <c r="F81" s="32" t="n">
        <v>0</v>
      </c>
      <c r="G81" s="32" t="n">
        <v>0</v>
      </c>
      <c r="H81" s="32" t="n">
        <v>0</v>
      </c>
      <c r="I81" s="32" t="n">
        <v>0</v>
      </c>
      <c r="J81" s="32" t="n">
        <v>0</v>
      </c>
    </row>
  </sheetData>
  <autoFilter ref="A1:J81"/>
  <hyperlinks>
    <hyperlink xmlns:r="http://schemas.openxmlformats.org/officeDocument/2006/relationships" ref="A1" r:id="rId1"/>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tabColor rgb="008B8F97"/>
    <outlinePr summaryBelow="0" summaryRight="0"/>
    <pageSetUpPr fitToPage="1"/>
  </sheetPr>
  <dimension ref="A1:G269"/>
  <sheetViews>
    <sheetView showGridLines="0" tabSelected="0" zoomScale="100" zoomScaleNormal="100" workbookViewId="0">
      <pane ySplit="4" topLeftCell="A5" activePane="bottomLeft" state="frozen"/>
      <selection pane="bottomLeft" activeCell="A1" sqref="A1"/>
    </sheetView>
  </sheetViews>
  <sheetFormatPr baseColWidth="8" defaultRowHeight="15"/>
  <cols>
    <col width="24" customWidth="1" min="1" max="1"/>
    <col width="18" customWidth="1" min="2" max="2"/>
    <col width="48" customWidth="1" min="3" max="3"/>
    <col width="18" customWidth="1" min="4" max="4"/>
    <col width="20" customWidth="1" min="5" max="5"/>
    <col width="38" customWidth="1" min="6" max="6"/>
  </cols>
  <sheetData>
    <row r="1" ht="34" customHeight="1">
      <c r="A1" s="97" t="inlineStr">
        <is>
          <t>SUPPORTING UNRESOLVED AND OUTSIDE-WBS RECORDS</t>
        </is>
      </c>
    </row>
    <row r="2" ht="45" customHeight="1">
      <c r="A2" s="69" t="inlineStr">
        <is>
          <t>Current distinct outcomes requiring follow-up: 265. Retired rows may also be retained below; filter lifecycle status before counting current records.</t>
        </is>
      </c>
    </row>
    <row r="3" ht="34" customHeight="1"/>
    <row r="4" ht="34" customHeight="1">
      <c r="A4" s="11" t="inlineStr">
        <is>
          <t>Source Document</t>
        </is>
      </c>
      <c r="B4" s="11" t="inlineStr">
        <is>
          <t>Source Record ID</t>
        </is>
      </c>
      <c r="C4" s="11" t="inlineStr">
        <is>
          <t>Description</t>
        </is>
      </c>
      <c r="D4" s="11" t="inlineStr">
        <is>
          <t>Relationship Type</t>
        </is>
      </c>
      <c r="E4" s="11" t="inlineStr">
        <is>
          <t>Decided By</t>
        </is>
      </c>
      <c r="F4" s="11" t="inlineStr">
        <is>
          <t>Basis</t>
        </is>
      </c>
      <c r="G4" t="inlineStr">
        <is>
          <t>Reporting lifecycle</t>
        </is>
      </c>
    </row>
    <row r="5" ht="34" customHeight="1">
      <c r="A5" s="12" t="inlineStr">
        <is>
          <t>Contractor Programme</t>
        </is>
      </c>
      <c r="B5" s="12" t="inlineStr">
        <is>
          <t>SCH-90-901</t>
        </is>
      </c>
      <c r="C5" s="12" t="inlineStr">
        <is>
          <t>Temporary offsite logistics compound</t>
        </is>
      </c>
      <c r="D5" s="12" t="inlineStr">
        <is>
          <t>NEW_SCOPE</t>
        </is>
      </c>
      <c r="E5" s="12" t="inlineStr">
        <is>
          <t>Maya Chen, Owner Project Controls</t>
        </is>
      </c>
      <c r="F5" s="12" t="inlineStr">
        <is>
          <t>Professional decision</t>
        </is>
      </c>
      <c r="G5" t="inlineStr">
        <is>
          <t>Current</t>
        </is>
      </c>
    </row>
    <row r="6" ht="34" customHeight="1">
      <c r="A6" s="12" t="inlineStr">
        <is>
          <t>Contractor Programme</t>
        </is>
      </c>
      <c r="B6" s="12" t="inlineStr">
        <is>
          <t>SCH-90-902</t>
        </is>
      </c>
      <c r="C6" s="12" t="inlineStr">
        <is>
          <t>Corporate training unrelated to project delivery scope</t>
        </is>
      </c>
      <c r="D6" s="12" t="inlineStr">
        <is>
          <t>NO_WBS</t>
        </is>
      </c>
      <c r="E6" s="12" t="inlineStr">
        <is>
          <t>Maya Chen, Owner Project Controls</t>
        </is>
      </c>
      <c r="F6" s="12" t="inlineStr">
        <is>
          <t>Professional decision</t>
        </is>
      </c>
      <c r="G6" t="inlineStr">
        <is>
          <t>Current</t>
        </is>
      </c>
    </row>
    <row r="7" ht="34" customHeight="1">
      <c r="A7" s="12" t="inlineStr">
        <is>
          <t>Contractor Programme</t>
        </is>
      </c>
      <c r="B7" s="12" t="inlineStr">
        <is>
          <t>SCH-02-003</t>
        </is>
      </c>
      <c r="C7" s="12" t="inlineStr">
        <is>
          <t>Interface works near stations boundary</t>
        </is>
      </c>
      <c r="D7" s="12" t="inlineStr">
        <is>
          <t>UNSURE</t>
        </is>
      </c>
      <c r="E7" s="12" t="inlineStr">
        <is>
          <t>Maya Chen, Owner Project Controls</t>
        </is>
      </c>
      <c r="F7" s="12" t="inlineStr">
        <is>
          <t>Professional decision</t>
        </is>
      </c>
      <c r="G7" t="inlineStr">
        <is>
          <t>Current</t>
        </is>
      </c>
    </row>
    <row r="8" ht="34" customHeight="1">
      <c r="A8" s="12" t="inlineStr">
        <is>
          <t>Contractor Programme</t>
        </is>
      </c>
      <c r="B8" s="12" t="inlineStr">
        <is>
          <t>SCH-04-003</t>
        </is>
      </c>
      <c r="C8" s="12" t="inlineStr">
        <is>
          <t>Interface works near vehicles and depot boundary</t>
        </is>
      </c>
      <c r="D8" s="12" t="inlineStr">
        <is>
          <t>UNSURE</t>
        </is>
      </c>
      <c r="E8" s="12" t="inlineStr">
        <is>
          <t>Maya Chen, Owner Project Controls</t>
        </is>
      </c>
      <c r="F8" s="12" t="inlineStr">
        <is>
          <t>Professional decision</t>
        </is>
      </c>
      <c r="G8" t="inlineStr">
        <is>
          <t>Current</t>
        </is>
      </c>
    </row>
    <row r="9" ht="34" customHeight="1">
      <c r="A9" s="12" t="inlineStr">
        <is>
          <t>Contractor Programme</t>
        </is>
      </c>
      <c r="B9" s="12" t="inlineStr">
        <is>
          <t>SCH-06-001</t>
        </is>
      </c>
      <c r="C9" s="12" t="inlineStr">
        <is>
          <t>Systems package: commercial change review - installation</t>
        </is>
      </c>
      <c r="D9" s="12" t="inlineStr">
        <is>
          <t>UNSURE</t>
        </is>
      </c>
      <c r="E9" s="12" t="inlineStr">
        <is>
          <t>Maya Chen, Owner Project Controls</t>
        </is>
      </c>
      <c r="F9" s="12" t="inlineStr">
        <is>
          <t>Professional decision</t>
        </is>
      </c>
      <c r="G9" t="inlineStr">
        <is>
          <t>Current</t>
        </is>
      </c>
    </row>
    <row r="10" ht="34" customHeight="1">
      <c r="A10" s="12" t="inlineStr">
        <is>
          <t>Contractor Programme</t>
        </is>
      </c>
      <c r="B10" s="12" t="inlineStr">
        <is>
          <t>SCH-06-002</t>
        </is>
      </c>
      <c r="C10" s="12" t="inlineStr">
        <is>
          <t>Fleet package: design-package integration review - inspection</t>
        </is>
      </c>
      <c r="D10" s="12" t="inlineStr">
        <is>
          <t>UNSURE</t>
        </is>
      </c>
      <c r="E10" s="12" t="inlineStr">
        <is>
          <t>Maya Chen, Owner Project Controls</t>
        </is>
      </c>
      <c r="F10" s="12" t="inlineStr">
        <is>
          <t>Professional decision</t>
        </is>
      </c>
      <c r="G10" t="inlineStr">
        <is>
          <t>Current</t>
        </is>
      </c>
    </row>
    <row r="11" ht="34" customHeight="1">
      <c r="A11" s="12" t="inlineStr">
        <is>
          <t>Contractor Programme</t>
        </is>
      </c>
      <c r="B11" s="12" t="inlineStr">
        <is>
          <t>SCH-06-003</t>
        </is>
      </c>
      <c r="C11" s="12" t="inlineStr">
        <is>
          <t>Interface works near program management boundary</t>
        </is>
      </c>
      <c r="D11" s="12" t="inlineStr">
        <is>
          <t>UNSURE</t>
        </is>
      </c>
      <c r="E11" s="12" t="inlineStr">
        <is>
          <t>Maya Chen, Owner Project Controls</t>
        </is>
      </c>
      <c r="F11" s="12" t="inlineStr">
        <is>
          <t>Professional decision</t>
        </is>
      </c>
      <c r="G11" t="inlineStr">
        <is>
          <t>Current</t>
        </is>
      </c>
    </row>
    <row r="12" ht="34" customHeight="1">
      <c r="A12" s="12" t="inlineStr">
        <is>
          <t>Contractor Programme</t>
        </is>
      </c>
      <c r="B12" s="12" t="inlineStr">
        <is>
          <t>SCH-06-004</t>
        </is>
      </c>
      <c r="C12" s="12" t="inlineStr">
        <is>
          <t>Civil package: permit coordination - release</t>
        </is>
      </c>
      <c r="D12" s="12" t="inlineStr">
        <is>
          <t>UNSURE</t>
        </is>
      </c>
      <c r="E12" s="12" t="inlineStr">
        <is>
          <t>Maya Chen, Owner Project Controls</t>
        </is>
      </c>
      <c r="F12" s="12" t="inlineStr">
        <is>
          <t>Professional decision</t>
        </is>
      </c>
      <c r="G12" t="inlineStr">
        <is>
          <t>Current</t>
        </is>
      </c>
    </row>
    <row r="13" ht="34" customHeight="1">
      <c r="A13" s="12" t="inlineStr">
        <is>
          <t>Contractor Programme</t>
        </is>
      </c>
      <c r="B13" s="12" t="inlineStr">
        <is>
          <t>SCH-06-005</t>
        </is>
      </c>
      <c r="C13" s="12" t="inlineStr">
        <is>
          <t>Stations package: delivery risk workshop - field start</t>
        </is>
      </c>
      <c r="D13" s="12" t="inlineStr">
        <is>
          <t>UNSURE</t>
        </is>
      </c>
      <c r="E13" s="12" t="inlineStr">
        <is>
          <t>Maya Chen, Owner Project Controls</t>
        </is>
      </c>
      <c r="F13" s="12" t="inlineStr">
        <is>
          <t>Professional decision</t>
        </is>
      </c>
      <c r="G13" t="inlineStr">
        <is>
          <t>Current</t>
        </is>
      </c>
    </row>
    <row r="14" ht="34" customHeight="1">
      <c r="A14" s="12" t="inlineStr">
        <is>
          <t>Contractor Programme</t>
        </is>
      </c>
      <c r="B14" s="12" t="inlineStr">
        <is>
          <t>SCH-06-006</t>
        </is>
      </c>
      <c r="C14" s="12" t="inlineStr">
        <is>
          <t>Systems package: monthly controls cut-off - installation</t>
        </is>
      </c>
      <c r="D14" s="12" t="inlineStr">
        <is>
          <t>UNSURE</t>
        </is>
      </c>
      <c r="E14" s="12" t="inlineStr">
        <is>
          <t>Maya Chen, Owner Project Controls</t>
        </is>
      </c>
      <c r="F14" s="12" t="inlineStr">
        <is>
          <t>Professional decision</t>
        </is>
      </c>
      <c r="G14" t="inlineStr">
        <is>
          <t>Current</t>
        </is>
      </c>
    </row>
    <row r="15" ht="34" customHeight="1">
      <c r="A15" s="12" t="inlineStr">
        <is>
          <t>Contractor Programme</t>
        </is>
      </c>
      <c r="B15" s="12" t="inlineStr">
        <is>
          <t>SCH-06-007</t>
        </is>
      </c>
      <c r="C15" s="12" t="inlineStr">
        <is>
          <t>Fleet package: stakeholder interface meeting - inspection</t>
        </is>
      </c>
      <c r="D15" s="12" t="inlineStr">
        <is>
          <t>UNSURE</t>
        </is>
      </c>
      <c r="E15" s="12" t="inlineStr">
        <is>
          <t>Maya Chen, Owner Project Controls</t>
        </is>
      </c>
      <c r="F15" s="12" t="inlineStr">
        <is>
          <t>Professional decision</t>
        </is>
      </c>
      <c r="G15" t="inlineStr">
        <is>
          <t>Current</t>
        </is>
      </c>
    </row>
    <row r="16" ht="34" customHeight="1">
      <c r="A16" s="12" t="inlineStr">
        <is>
          <t>Contractor Programme</t>
        </is>
      </c>
      <c r="B16" s="12" t="inlineStr">
        <is>
          <t>SCH-06-008</t>
        </is>
      </c>
      <c r="C16" s="12" t="inlineStr">
        <is>
          <t>Program office: baseline change control - turnover</t>
        </is>
      </c>
      <c r="D16" s="12" t="inlineStr">
        <is>
          <t>UNSURE</t>
        </is>
      </c>
      <c r="E16" s="12" t="inlineStr">
        <is>
          <t>Maya Chen, Owner Project Controls</t>
        </is>
      </c>
      <c r="F16" s="12" t="inlineStr">
        <is>
          <t>Professional decision</t>
        </is>
      </c>
      <c r="G16" t="inlineStr">
        <is>
          <t>Current</t>
        </is>
      </c>
    </row>
    <row r="17" ht="34" customHeight="1">
      <c r="A17" s="12" t="inlineStr">
        <is>
          <t>Contractor Programme</t>
        </is>
      </c>
      <c r="B17" s="12" t="inlineStr">
        <is>
          <t>SCH-06-009</t>
        </is>
      </c>
      <c r="C17" s="12" t="inlineStr">
        <is>
          <t>Civil package: commercial change review - release</t>
        </is>
      </c>
      <c r="D17" s="12" t="inlineStr">
        <is>
          <t>UNSURE</t>
        </is>
      </c>
      <c r="E17" s="12" t="inlineStr">
        <is>
          <t>Maya Chen, Owner Project Controls</t>
        </is>
      </c>
      <c r="F17" s="12" t="inlineStr">
        <is>
          <t>Professional decision</t>
        </is>
      </c>
      <c r="G17" t="inlineStr">
        <is>
          <t>Current</t>
        </is>
      </c>
    </row>
    <row r="18" ht="34" customHeight="1">
      <c r="A18" s="12" t="inlineStr">
        <is>
          <t>Contractor Programme</t>
        </is>
      </c>
      <c r="B18" s="12" t="inlineStr">
        <is>
          <t>SCH-06-010</t>
        </is>
      </c>
      <c r="C18" s="12" t="inlineStr">
        <is>
          <t>Stations package: design-package integration review - field start</t>
        </is>
      </c>
      <c r="D18" s="12" t="inlineStr">
        <is>
          <t>UNSURE</t>
        </is>
      </c>
      <c r="E18" s="12" t="inlineStr">
        <is>
          <t>Maya Chen, Owner Project Controls</t>
        </is>
      </c>
      <c r="F18" s="12" t="inlineStr">
        <is>
          <t>Professional decision</t>
        </is>
      </c>
      <c r="G18" t="inlineStr">
        <is>
          <t>Current</t>
        </is>
      </c>
    </row>
    <row r="19" ht="34" customHeight="1">
      <c r="A19" s="12" t="inlineStr">
        <is>
          <t>Contractor Programme</t>
        </is>
      </c>
      <c r="B19" s="12" t="inlineStr">
        <is>
          <t>SCH-06-011</t>
        </is>
      </c>
      <c r="C19" s="12" t="inlineStr">
        <is>
          <t>Systems package: executive reporting close - installation</t>
        </is>
      </c>
      <c r="D19" s="12" t="inlineStr">
        <is>
          <t>UNSURE</t>
        </is>
      </c>
      <c r="E19" s="12" t="inlineStr">
        <is>
          <t>Maya Chen, Owner Project Controls</t>
        </is>
      </c>
      <c r="F19" s="12" t="inlineStr">
        <is>
          <t>Professional decision</t>
        </is>
      </c>
      <c r="G19" t="inlineStr">
        <is>
          <t>Current</t>
        </is>
      </c>
    </row>
    <row r="20" ht="34" customHeight="1">
      <c r="A20" s="12" t="inlineStr">
        <is>
          <t>Contractor Programme</t>
        </is>
      </c>
      <c r="B20" s="12" t="inlineStr">
        <is>
          <t>SCH-06-012</t>
        </is>
      </c>
      <c r="C20" s="12" t="inlineStr">
        <is>
          <t>Fleet package: permit coordination - inspection</t>
        </is>
      </c>
      <c r="D20" s="12" t="inlineStr">
        <is>
          <t>UNSURE</t>
        </is>
      </c>
      <c r="E20" s="12" t="inlineStr">
        <is>
          <t>Maya Chen, Owner Project Controls</t>
        </is>
      </c>
      <c r="F20" s="12" t="inlineStr">
        <is>
          <t>Professional decision</t>
        </is>
      </c>
      <c r="G20" t="inlineStr">
        <is>
          <t>Current</t>
        </is>
      </c>
    </row>
    <row r="21" ht="34" customHeight="1">
      <c r="A21" s="12" t="inlineStr">
        <is>
          <t>Contractor Programme</t>
        </is>
      </c>
      <c r="B21" s="12" t="inlineStr">
        <is>
          <t>SCH-06-013</t>
        </is>
      </c>
      <c r="C21" s="12" t="inlineStr">
        <is>
          <t>Program office: delivery risk workshop - turnover</t>
        </is>
      </c>
      <c r="D21" s="12" t="inlineStr">
        <is>
          <t>UNSURE</t>
        </is>
      </c>
      <c r="E21" s="12" t="inlineStr">
        <is>
          <t>Maya Chen, Owner Project Controls</t>
        </is>
      </c>
      <c r="F21" s="12" t="inlineStr">
        <is>
          <t>Professional decision</t>
        </is>
      </c>
      <c r="G21" t="inlineStr">
        <is>
          <t>Current</t>
        </is>
      </c>
    </row>
    <row r="22" ht="34" customHeight="1">
      <c r="A22" s="12" t="inlineStr">
        <is>
          <t>Contractor Programme</t>
        </is>
      </c>
      <c r="B22" s="12" t="inlineStr">
        <is>
          <t>SCH-06-014</t>
        </is>
      </c>
      <c r="C22" s="12" t="inlineStr">
        <is>
          <t>Civil package: monthly controls cut-off - release</t>
        </is>
      </c>
      <c r="D22" s="12" t="inlineStr">
        <is>
          <t>UNSURE</t>
        </is>
      </c>
      <c r="E22" s="12" t="inlineStr">
        <is>
          <t>Maya Chen, Owner Project Controls</t>
        </is>
      </c>
      <c r="F22" s="12" t="inlineStr">
        <is>
          <t>Professional decision</t>
        </is>
      </c>
      <c r="G22" t="inlineStr">
        <is>
          <t>Current</t>
        </is>
      </c>
    </row>
    <row r="23" ht="34" customHeight="1">
      <c r="A23" s="12" t="inlineStr">
        <is>
          <t>Contractor Programme</t>
        </is>
      </c>
      <c r="B23" s="12" t="inlineStr">
        <is>
          <t>SCH-06-015</t>
        </is>
      </c>
      <c r="C23" s="12" t="inlineStr">
        <is>
          <t>Stations package: stakeholder interface meeting - field start</t>
        </is>
      </c>
      <c r="D23" s="12" t="inlineStr">
        <is>
          <t>UNSURE</t>
        </is>
      </c>
      <c r="E23" s="12" t="inlineStr">
        <is>
          <t>Maya Chen, Owner Project Controls</t>
        </is>
      </c>
      <c r="F23" s="12" t="inlineStr">
        <is>
          <t>Professional decision</t>
        </is>
      </c>
      <c r="G23" t="inlineStr">
        <is>
          <t>Current</t>
        </is>
      </c>
    </row>
    <row r="24" ht="34" customHeight="1">
      <c r="A24" s="12" t="inlineStr">
        <is>
          <t>Contractor Programme</t>
        </is>
      </c>
      <c r="B24" s="12" t="inlineStr">
        <is>
          <t>SCH-06-016</t>
        </is>
      </c>
      <c r="C24" s="12" t="inlineStr">
        <is>
          <t>Systems package: baseline change control - installation</t>
        </is>
      </c>
      <c r="D24" s="12" t="inlineStr">
        <is>
          <t>UNSURE</t>
        </is>
      </c>
      <c r="E24" s="12" t="inlineStr">
        <is>
          <t>Maya Chen, Owner Project Controls</t>
        </is>
      </c>
      <c r="F24" s="12" t="inlineStr">
        <is>
          <t>Professional decision</t>
        </is>
      </c>
      <c r="G24" t="inlineStr">
        <is>
          <t>Current</t>
        </is>
      </c>
    </row>
    <row r="25" ht="34" customHeight="1">
      <c r="A25" s="12" t="inlineStr">
        <is>
          <t>Contractor Programme</t>
        </is>
      </c>
      <c r="B25" s="12" t="inlineStr">
        <is>
          <t>SCH-06-017</t>
        </is>
      </c>
      <c r="C25" s="12" t="inlineStr">
        <is>
          <t>Fleet package: commercial change review - inspection</t>
        </is>
      </c>
      <c r="D25" s="12" t="inlineStr">
        <is>
          <t>UNSURE</t>
        </is>
      </c>
      <c r="E25" s="12" t="inlineStr">
        <is>
          <t>Maya Chen, Owner Project Controls</t>
        </is>
      </c>
      <c r="F25" s="12" t="inlineStr">
        <is>
          <t>Professional decision</t>
        </is>
      </c>
      <c r="G25" t="inlineStr">
        <is>
          <t>Current</t>
        </is>
      </c>
    </row>
    <row r="26" ht="34" customHeight="1">
      <c r="A26" s="12" t="inlineStr">
        <is>
          <t>Contractor Programme</t>
        </is>
      </c>
      <c r="B26" s="12" t="inlineStr">
        <is>
          <t>SCH-06-018</t>
        </is>
      </c>
      <c r="C26" s="12" t="inlineStr">
        <is>
          <t>Program office: design-package integration review - turnover</t>
        </is>
      </c>
      <c r="D26" s="12" t="inlineStr">
        <is>
          <t>UNSURE</t>
        </is>
      </c>
      <c r="E26" s="12" t="inlineStr">
        <is>
          <t>Maya Chen, Owner Project Controls</t>
        </is>
      </c>
      <c r="F26" s="12" t="inlineStr">
        <is>
          <t>Professional decision</t>
        </is>
      </c>
      <c r="G26" t="inlineStr">
        <is>
          <t>Current</t>
        </is>
      </c>
    </row>
    <row r="27" ht="34" customHeight="1">
      <c r="A27" s="12" t="inlineStr">
        <is>
          <t>Contractor Programme</t>
        </is>
      </c>
      <c r="B27" s="12" t="inlineStr">
        <is>
          <t>SCH-06-019</t>
        </is>
      </c>
      <c r="C27" s="12" t="inlineStr">
        <is>
          <t>Civil package: executive reporting close - release</t>
        </is>
      </c>
      <c r="D27" s="12" t="inlineStr">
        <is>
          <t>UNSURE</t>
        </is>
      </c>
      <c r="E27" s="12" t="inlineStr">
        <is>
          <t>Maya Chen, Owner Project Controls</t>
        </is>
      </c>
      <c r="F27" s="12" t="inlineStr">
        <is>
          <t>Professional decision</t>
        </is>
      </c>
      <c r="G27" t="inlineStr">
        <is>
          <t>Current</t>
        </is>
      </c>
    </row>
    <row r="28" ht="34" customHeight="1">
      <c r="A28" s="12" t="inlineStr">
        <is>
          <t>Contractor Programme</t>
        </is>
      </c>
      <c r="B28" s="12" t="inlineStr">
        <is>
          <t>SCH-06-020</t>
        </is>
      </c>
      <c r="C28" s="12" t="inlineStr">
        <is>
          <t>Stations package: permit coordination - field start</t>
        </is>
      </c>
      <c r="D28" s="12" t="inlineStr">
        <is>
          <t>UNSURE</t>
        </is>
      </c>
      <c r="E28" s="12" t="inlineStr">
        <is>
          <t>Maya Chen, Owner Project Controls</t>
        </is>
      </c>
      <c r="F28" s="12" t="inlineStr">
        <is>
          <t>Professional decision</t>
        </is>
      </c>
      <c r="G28" t="inlineStr">
        <is>
          <t>Current</t>
        </is>
      </c>
    </row>
    <row r="29" ht="34" customHeight="1">
      <c r="A29" s="12" t="inlineStr">
        <is>
          <t>Contractor Programme</t>
        </is>
      </c>
      <c r="B29" s="12" t="inlineStr">
        <is>
          <t>SCH-06-021</t>
        </is>
      </c>
      <c r="C29" s="12" t="inlineStr">
        <is>
          <t>Systems package: delivery risk workshop - installation</t>
        </is>
      </c>
      <c r="D29" s="12" t="inlineStr">
        <is>
          <t>UNSURE</t>
        </is>
      </c>
      <c r="E29" s="12" t="inlineStr">
        <is>
          <t>Maya Chen, Owner Project Controls</t>
        </is>
      </c>
      <c r="F29" s="12" t="inlineStr">
        <is>
          <t>Professional decision</t>
        </is>
      </c>
      <c r="G29" t="inlineStr">
        <is>
          <t>Current</t>
        </is>
      </c>
    </row>
    <row r="30" ht="34" customHeight="1">
      <c r="A30" s="12" t="inlineStr">
        <is>
          <t>Contractor Programme</t>
        </is>
      </c>
      <c r="B30" s="12" t="inlineStr">
        <is>
          <t>SCH-06-022</t>
        </is>
      </c>
      <c r="C30" s="12" t="inlineStr">
        <is>
          <t>Fleet package: monthly controls cut-off - inspection</t>
        </is>
      </c>
      <c r="D30" s="12" t="inlineStr">
        <is>
          <t>UNSURE</t>
        </is>
      </c>
      <c r="E30" s="12" t="inlineStr">
        <is>
          <t>Maya Chen, Owner Project Controls</t>
        </is>
      </c>
      <c r="F30" s="12" t="inlineStr">
        <is>
          <t>Professional decision</t>
        </is>
      </c>
      <c r="G30" t="inlineStr">
        <is>
          <t>Current</t>
        </is>
      </c>
    </row>
    <row r="31" ht="34" customHeight="1">
      <c r="A31" s="12" t="inlineStr">
        <is>
          <t>Contractor Programme</t>
        </is>
      </c>
      <c r="B31" s="12" t="inlineStr">
        <is>
          <t>SCH-06-023</t>
        </is>
      </c>
      <c r="C31" s="12" t="inlineStr">
        <is>
          <t>Program office: stakeholder interface meeting - turnover</t>
        </is>
      </c>
      <c r="D31" s="12" t="inlineStr">
        <is>
          <t>UNSURE</t>
        </is>
      </c>
      <c r="E31" s="12" t="inlineStr">
        <is>
          <t>Maya Chen, Owner Project Controls</t>
        </is>
      </c>
      <c r="F31" s="12" t="inlineStr">
        <is>
          <t>Professional decision</t>
        </is>
      </c>
      <c r="G31" t="inlineStr">
        <is>
          <t>Current</t>
        </is>
      </c>
    </row>
    <row r="32" ht="34" customHeight="1">
      <c r="A32" s="12" t="inlineStr">
        <is>
          <t>Contractor Programme</t>
        </is>
      </c>
      <c r="B32" s="12" t="inlineStr">
        <is>
          <t>SCH-06-024</t>
        </is>
      </c>
      <c r="C32" s="12" t="inlineStr">
        <is>
          <t>Civil package: baseline change control - release</t>
        </is>
      </c>
      <c r="D32" s="12" t="inlineStr">
        <is>
          <t>UNSURE</t>
        </is>
      </c>
      <c r="E32" s="12" t="inlineStr">
        <is>
          <t>Maya Chen, Owner Project Controls</t>
        </is>
      </c>
      <c r="F32" s="12" t="inlineStr">
        <is>
          <t>Professional decision</t>
        </is>
      </c>
      <c r="G32" t="inlineStr">
        <is>
          <t>Current</t>
        </is>
      </c>
    </row>
    <row r="33" ht="34" customHeight="1">
      <c r="A33" s="12" t="inlineStr">
        <is>
          <t>Contractor Programme</t>
        </is>
      </c>
      <c r="B33" s="12" t="inlineStr">
        <is>
          <t>SCH-06-025</t>
        </is>
      </c>
      <c r="C33" s="12" t="inlineStr">
        <is>
          <t>Stations package: commercial change review - field start</t>
        </is>
      </c>
      <c r="D33" s="12" t="inlineStr">
        <is>
          <t>UNSURE</t>
        </is>
      </c>
      <c r="E33" s="12" t="inlineStr">
        <is>
          <t>Maya Chen, Owner Project Controls</t>
        </is>
      </c>
      <c r="F33" s="12" t="inlineStr">
        <is>
          <t>Professional decision</t>
        </is>
      </c>
      <c r="G33" t="inlineStr">
        <is>
          <t>Current</t>
        </is>
      </c>
    </row>
    <row r="34" ht="34" customHeight="1">
      <c r="A34" s="12" t="inlineStr">
        <is>
          <t>Contractor Programme</t>
        </is>
      </c>
      <c r="B34" s="12" t="inlineStr">
        <is>
          <t>SCH-06-026</t>
        </is>
      </c>
      <c r="C34" s="12" t="inlineStr">
        <is>
          <t>Systems package: design-package integration review - installation</t>
        </is>
      </c>
      <c r="D34" s="12" t="inlineStr">
        <is>
          <t>UNSURE</t>
        </is>
      </c>
      <c r="E34" s="12" t="inlineStr">
        <is>
          <t>Maya Chen, Owner Project Controls</t>
        </is>
      </c>
      <c r="F34" s="12" t="inlineStr">
        <is>
          <t>Professional decision</t>
        </is>
      </c>
      <c r="G34" t="inlineStr">
        <is>
          <t>Current</t>
        </is>
      </c>
    </row>
    <row r="35" ht="34" customHeight="1">
      <c r="A35" s="12" t="inlineStr">
        <is>
          <t>Contractor Programme</t>
        </is>
      </c>
      <c r="B35" s="12" t="inlineStr">
        <is>
          <t>SCH-06-027</t>
        </is>
      </c>
      <c r="C35" s="12" t="inlineStr">
        <is>
          <t>Fleet package: executive reporting close - inspection</t>
        </is>
      </c>
      <c r="D35" s="12" t="inlineStr">
        <is>
          <t>UNSURE</t>
        </is>
      </c>
      <c r="E35" s="12" t="inlineStr">
        <is>
          <t>Maya Chen, Owner Project Controls</t>
        </is>
      </c>
      <c r="F35" s="12" t="inlineStr">
        <is>
          <t>Professional decision</t>
        </is>
      </c>
      <c r="G35" t="inlineStr">
        <is>
          <t>Current</t>
        </is>
      </c>
    </row>
    <row r="36" ht="34" customHeight="1">
      <c r="A36" s="12" t="inlineStr">
        <is>
          <t>Contractor Programme</t>
        </is>
      </c>
      <c r="B36" s="12" t="inlineStr">
        <is>
          <t>SCH-06-028</t>
        </is>
      </c>
      <c r="C36" s="12" t="inlineStr">
        <is>
          <t>Program office: permit coordination - turnover</t>
        </is>
      </c>
      <c r="D36" s="12" t="inlineStr">
        <is>
          <t>UNSURE</t>
        </is>
      </c>
      <c r="E36" s="12" t="inlineStr">
        <is>
          <t>Maya Chen, Owner Project Controls</t>
        </is>
      </c>
      <c r="F36" s="12" t="inlineStr">
        <is>
          <t>Professional decision</t>
        </is>
      </c>
      <c r="G36" t="inlineStr">
        <is>
          <t>Current</t>
        </is>
      </c>
    </row>
    <row r="37" ht="34" customHeight="1">
      <c r="A37" s="12" t="inlineStr">
        <is>
          <t>Contractor Programme</t>
        </is>
      </c>
      <c r="B37" s="12" t="inlineStr">
        <is>
          <t>SCH-06-029</t>
        </is>
      </c>
      <c r="C37" s="12" t="inlineStr">
        <is>
          <t>Civil package: delivery risk workshop - release</t>
        </is>
      </c>
      <c r="D37" s="12" t="inlineStr">
        <is>
          <t>UNSURE</t>
        </is>
      </c>
      <c r="E37" s="12" t="inlineStr">
        <is>
          <t>Maya Chen, Owner Project Controls</t>
        </is>
      </c>
      <c r="F37" s="12" t="inlineStr">
        <is>
          <t>Professional decision</t>
        </is>
      </c>
      <c r="G37" t="inlineStr">
        <is>
          <t>Current</t>
        </is>
      </c>
    </row>
    <row r="38" ht="34" customHeight="1">
      <c r="A38" s="12" t="inlineStr">
        <is>
          <t>Contractor Programme</t>
        </is>
      </c>
      <c r="B38" s="12" t="inlineStr">
        <is>
          <t>SCH-06-030</t>
        </is>
      </c>
      <c r="C38" s="12" t="inlineStr">
        <is>
          <t>Stations package: monthly controls cut-off - field start</t>
        </is>
      </c>
      <c r="D38" s="12" t="inlineStr">
        <is>
          <t>UNSURE</t>
        </is>
      </c>
      <c r="E38" s="12" t="inlineStr">
        <is>
          <t>Maya Chen, Owner Project Controls</t>
        </is>
      </c>
      <c r="F38" s="12" t="inlineStr">
        <is>
          <t>Professional decision</t>
        </is>
      </c>
      <c r="G38" t="inlineStr">
        <is>
          <t>Current</t>
        </is>
      </c>
    </row>
    <row r="39" ht="34" customHeight="1">
      <c r="A39" s="12" t="inlineStr">
        <is>
          <t>Contractor Programme</t>
        </is>
      </c>
      <c r="B39" s="12" t="inlineStr">
        <is>
          <t>SCH-06-031</t>
        </is>
      </c>
      <c r="C39" s="12" t="inlineStr">
        <is>
          <t>Systems package: stakeholder interface meeting - installation</t>
        </is>
      </c>
      <c r="D39" s="12" t="inlineStr">
        <is>
          <t>UNSURE</t>
        </is>
      </c>
      <c r="E39" s="12" t="inlineStr">
        <is>
          <t>Maya Chen, Owner Project Controls</t>
        </is>
      </c>
      <c r="F39" s="12" t="inlineStr">
        <is>
          <t>Professional decision</t>
        </is>
      </c>
      <c r="G39" t="inlineStr">
        <is>
          <t>Current</t>
        </is>
      </c>
    </row>
    <row r="40" ht="34" customHeight="1">
      <c r="A40" s="12" t="inlineStr">
        <is>
          <t>Contractor Programme</t>
        </is>
      </c>
      <c r="B40" s="12" t="inlineStr">
        <is>
          <t>SCH-06-032</t>
        </is>
      </c>
      <c r="C40" s="12" t="inlineStr">
        <is>
          <t>Fleet package: baseline change control - inspection</t>
        </is>
      </c>
      <c r="D40" s="12" t="inlineStr">
        <is>
          <t>UNSURE</t>
        </is>
      </c>
      <c r="E40" s="12" t="inlineStr">
        <is>
          <t>Maya Chen, Owner Project Controls</t>
        </is>
      </c>
      <c r="F40" s="12" t="inlineStr">
        <is>
          <t>Professional decision</t>
        </is>
      </c>
      <c r="G40" t="inlineStr">
        <is>
          <t>Current</t>
        </is>
      </c>
    </row>
    <row r="41" ht="34" customHeight="1">
      <c r="A41" s="12" t="inlineStr">
        <is>
          <t>Contractor Programme</t>
        </is>
      </c>
      <c r="B41" s="12" t="inlineStr">
        <is>
          <t>SCH-06-033</t>
        </is>
      </c>
      <c r="C41" s="12" t="inlineStr">
        <is>
          <t>Program office: commercial change review - turnover</t>
        </is>
      </c>
      <c r="D41" s="12" t="inlineStr">
        <is>
          <t>UNSURE</t>
        </is>
      </c>
      <c r="E41" s="12" t="inlineStr">
        <is>
          <t>Maya Chen, Owner Project Controls</t>
        </is>
      </c>
      <c r="F41" s="12" t="inlineStr">
        <is>
          <t>Professional decision</t>
        </is>
      </c>
      <c r="G41" t="inlineStr">
        <is>
          <t>Current</t>
        </is>
      </c>
    </row>
    <row r="42" ht="34" customHeight="1">
      <c r="A42" s="12" t="inlineStr">
        <is>
          <t>Contractor Programme</t>
        </is>
      </c>
      <c r="B42" s="12" t="inlineStr">
        <is>
          <t>SCH-06-034</t>
        </is>
      </c>
      <c r="C42" s="12" t="inlineStr">
        <is>
          <t>Civil package: design-package integration review - release</t>
        </is>
      </c>
      <c r="D42" s="12" t="inlineStr">
        <is>
          <t>UNSURE</t>
        </is>
      </c>
      <c r="E42" s="12" t="inlineStr">
        <is>
          <t>Maya Chen, Owner Project Controls</t>
        </is>
      </c>
      <c r="F42" s="12" t="inlineStr">
        <is>
          <t>Professional decision</t>
        </is>
      </c>
      <c r="G42" t="inlineStr">
        <is>
          <t>Current</t>
        </is>
      </c>
    </row>
    <row r="43" ht="34" customHeight="1">
      <c r="A43" s="12" t="inlineStr">
        <is>
          <t>Contractor Programme</t>
        </is>
      </c>
      <c r="B43" s="12" t="inlineStr">
        <is>
          <t>SCH-06-035</t>
        </is>
      </c>
      <c r="C43" s="12" t="inlineStr">
        <is>
          <t>Stations package: executive reporting close - field start</t>
        </is>
      </c>
      <c r="D43" s="12" t="inlineStr">
        <is>
          <t>UNSURE</t>
        </is>
      </c>
      <c r="E43" s="12" t="inlineStr">
        <is>
          <t>Maya Chen, Owner Project Controls</t>
        </is>
      </c>
      <c r="F43" s="12" t="inlineStr">
        <is>
          <t>Professional decision</t>
        </is>
      </c>
      <c r="G43" t="inlineStr">
        <is>
          <t>Current</t>
        </is>
      </c>
    </row>
    <row r="44" ht="34" customHeight="1">
      <c r="A44" s="12" t="inlineStr">
        <is>
          <t>Contractor Programme</t>
        </is>
      </c>
      <c r="B44" s="12" t="inlineStr">
        <is>
          <t>SCH-06-036</t>
        </is>
      </c>
      <c r="C44" s="12" t="inlineStr">
        <is>
          <t>Systems package: permit coordination - installation</t>
        </is>
      </c>
      <c r="D44" s="12" t="inlineStr">
        <is>
          <t>UNSURE</t>
        </is>
      </c>
      <c r="E44" s="12" t="inlineStr">
        <is>
          <t>Maya Chen, Owner Project Controls</t>
        </is>
      </c>
      <c r="F44" s="12" t="inlineStr">
        <is>
          <t>Professional decision</t>
        </is>
      </c>
      <c r="G44" t="inlineStr">
        <is>
          <t>Current</t>
        </is>
      </c>
    </row>
    <row r="45" ht="34" customHeight="1">
      <c r="A45" s="12" t="inlineStr">
        <is>
          <t>Contractor Programme</t>
        </is>
      </c>
      <c r="B45" s="12" t="inlineStr">
        <is>
          <t>SCH-06-037</t>
        </is>
      </c>
      <c r="C45" s="12" t="inlineStr">
        <is>
          <t>Fleet package: delivery risk workshop - inspection</t>
        </is>
      </c>
      <c r="D45" s="12" t="inlineStr">
        <is>
          <t>UNSURE</t>
        </is>
      </c>
      <c r="E45" s="12" t="inlineStr">
        <is>
          <t>Maya Chen, Owner Project Controls</t>
        </is>
      </c>
      <c r="F45" s="12" t="inlineStr">
        <is>
          <t>Professional decision</t>
        </is>
      </c>
      <c r="G45" t="inlineStr">
        <is>
          <t>Current</t>
        </is>
      </c>
    </row>
    <row r="46" ht="34" customHeight="1">
      <c r="A46" s="12" t="inlineStr">
        <is>
          <t>Contractor Programme</t>
        </is>
      </c>
      <c r="B46" s="12" t="inlineStr">
        <is>
          <t>SCH-06-038</t>
        </is>
      </c>
      <c r="C46" s="12" t="inlineStr">
        <is>
          <t>Program office: monthly controls cut-off - turnover</t>
        </is>
      </c>
      <c r="D46" s="12" t="inlineStr">
        <is>
          <t>UNSURE</t>
        </is>
      </c>
      <c r="E46" s="12" t="inlineStr">
        <is>
          <t>Maya Chen, Owner Project Controls</t>
        </is>
      </c>
      <c r="F46" s="12" t="inlineStr">
        <is>
          <t>Professional decision</t>
        </is>
      </c>
      <c r="G46" t="inlineStr">
        <is>
          <t>Current</t>
        </is>
      </c>
    </row>
    <row r="47" ht="34" customHeight="1">
      <c r="A47" s="12" t="inlineStr">
        <is>
          <t>Contractor Programme</t>
        </is>
      </c>
      <c r="B47" s="12" t="inlineStr">
        <is>
          <t>SCH-06-039</t>
        </is>
      </c>
      <c r="C47" s="12" t="inlineStr">
        <is>
          <t>Civil package: stakeholder interface meeting - release</t>
        </is>
      </c>
      <c r="D47" s="12" t="inlineStr">
        <is>
          <t>UNSURE</t>
        </is>
      </c>
      <c r="E47" s="12" t="inlineStr">
        <is>
          <t>Maya Chen, Owner Project Controls</t>
        </is>
      </c>
      <c r="F47" s="12" t="inlineStr">
        <is>
          <t>Professional decision</t>
        </is>
      </c>
      <c r="G47" t="inlineStr">
        <is>
          <t>Current</t>
        </is>
      </c>
    </row>
    <row r="48" ht="34" customHeight="1">
      <c r="A48" s="12" t="inlineStr">
        <is>
          <t>Contractor Programme</t>
        </is>
      </c>
      <c r="B48" s="12" t="inlineStr">
        <is>
          <t>SCH-06-040</t>
        </is>
      </c>
      <c r="C48" s="12" t="inlineStr">
        <is>
          <t>Stations package: baseline change control - field start</t>
        </is>
      </c>
      <c r="D48" s="12" t="inlineStr">
        <is>
          <t>UNSURE</t>
        </is>
      </c>
      <c r="E48" s="12" t="inlineStr">
        <is>
          <t>Maya Chen, Owner Project Controls</t>
        </is>
      </c>
      <c r="F48" s="12" t="inlineStr">
        <is>
          <t>Professional decision</t>
        </is>
      </c>
      <c r="G48" t="inlineStr">
        <is>
          <t>Current</t>
        </is>
      </c>
    </row>
    <row r="49" ht="34" customHeight="1">
      <c r="A49" s="12" t="inlineStr">
        <is>
          <t>Contractor Programme</t>
        </is>
      </c>
      <c r="B49" s="12" t="inlineStr">
        <is>
          <t>SCH-06-041</t>
        </is>
      </c>
      <c r="C49" s="12" t="inlineStr">
        <is>
          <t>Systems package: commercial change review - installation</t>
        </is>
      </c>
      <c r="D49" s="12" t="inlineStr">
        <is>
          <t>UNSURE</t>
        </is>
      </c>
      <c r="E49" s="12" t="inlineStr">
        <is>
          <t>Maya Chen, Owner Project Controls</t>
        </is>
      </c>
      <c r="F49" s="12" t="inlineStr">
        <is>
          <t>Professional decision</t>
        </is>
      </c>
      <c r="G49" t="inlineStr">
        <is>
          <t>Current</t>
        </is>
      </c>
    </row>
    <row r="50" ht="34" customHeight="1">
      <c r="A50" s="12" t="inlineStr">
        <is>
          <t>Contractor Programme</t>
        </is>
      </c>
      <c r="B50" s="12" t="inlineStr">
        <is>
          <t>SCH-06-042</t>
        </is>
      </c>
      <c r="C50" s="12" t="inlineStr">
        <is>
          <t>Fleet package: design-package integration review - inspection</t>
        </is>
      </c>
      <c r="D50" s="12" t="inlineStr">
        <is>
          <t>UNSURE</t>
        </is>
      </c>
      <c r="E50" s="12" t="inlineStr">
        <is>
          <t>Maya Chen, Owner Project Controls</t>
        </is>
      </c>
      <c r="F50" s="12" t="inlineStr">
        <is>
          <t>Professional decision</t>
        </is>
      </c>
      <c r="G50" t="inlineStr">
        <is>
          <t>Current</t>
        </is>
      </c>
    </row>
    <row r="51" ht="34" customHeight="1">
      <c r="A51" s="12" t="inlineStr">
        <is>
          <t>Contractor Programme</t>
        </is>
      </c>
      <c r="B51" s="12" t="inlineStr">
        <is>
          <t>SCH-06-043</t>
        </is>
      </c>
      <c r="C51" s="12" t="inlineStr">
        <is>
          <t>Program office: executive reporting close - turnover</t>
        </is>
      </c>
      <c r="D51" s="12" t="inlineStr">
        <is>
          <t>UNSURE</t>
        </is>
      </c>
      <c r="E51" s="12" t="inlineStr">
        <is>
          <t>Maya Chen, Owner Project Controls</t>
        </is>
      </c>
      <c r="F51" s="12" t="inlineStr">
        <is>
          <t>Professional decision</t>
        </is>
      </c>
      <c r="G51" t="inlineStr">
        <is>
          <t>Current</t>
        </is>
      </c>
    </row>
    <row r="52" ht="34" customHeight="1">
      <c r="A52" s="12" t="inlineStr">
        <is>
          <t>Contractor Programme</t>
        </is>
      </c>
      <c r="B52" s="12" t="inlineStr">
        <is>
          <t>SCH-06-044</t>
        </is>
      </c>
      <c r="C52" s="12" t="inlineStr">
        <is>
          <t>Civil package: permit coordination - release</t>
        </is>
      </c>
      <c r="D52" s="12" t="inlineStr">
        <is>
          <t>UNSURE</t>
        </is>
      </c>
      <c r="E52" s="12" t="inlineStr">
        <is>
          <t>Maya Chen, Owner Project Controls</t>
        </is>
      </c>
      <c r="F52" s="12" t="inlineStr">
        <is>
          <t>Professional decision</t>
        </is>
      </c>
      <c r="G52" t="inlineStr">
        <is>
          <t>Current</t>
        </is>
      </c>
    </row>
    <row r="53" ht="34" customHeight="1">
      <c r="A53" s="12" t="inlineStr">
        <is>
          <t>Contractor Programme</t>
        </is>
      </c>
      <c r="B53" s="12" t="inlineStr">
        <is>
          <t>SCH-06-045</t>
        </is>
      </c>
      <c r="C53" s="12" t="inlineStr">
        <is>
          <t>Stations package: delivery risk workshop - field start</t>
        </is>
      </c>
      <c r="D53" s="12" t="inlineStr">
        <is>
          <t>UNSURE</t>
        </is>
      </c>
      <c r="E53" s="12" t="inlineStr">
        <is>
          <t>Maya Chen, Owner Project Controls</t>
        </is>
      </c>
      <c r="F53" s="12" t="inlineStr">
        <is>
          <t>Professional decision</t>
        </is>
      </c>
      <c r="G53" t="inlineStr">
        <is>
          <t>Current</t>
        </is>
      </c>
    </row>
    <row r="54" ht="34" customHeight="1">
      <c r="A54" s="12" t="inlineStr">
        <is>
          <t>Contractor Programme</t>
        </is>
      </c>
      <c r="B54" s="12" t="inlineStr">
        <is>
          <t>SCH-06-046</t>
        </is>
      </c>
      <c r="C54" s="12" t="inlineStr">
        <is>
          <t>Systems package: monthly controls cut-off - installation</t>
        </is>
      </c>
      <c r="D54" s="12" t="inlineStr">
        <is>
          <t>UNSURE</t>
        </is>
      </c>
      <c r="E54" s="12" t="inlineStr">
        <is>
          <t>Maya Chen, Owner Project Controls</t>
        </is>
      </c>
      <c r="F54" s="12" t="inlineStr">
        <is>
          <t>Professional decision</t>
        </is>
      </c>
      <c r="G54" t="inlineStr">
        <is>
          <t>Current</t>
        </is>
      </c>
    </row>
    <row r="55" ht="34" customHeight="1">
      <c r="A55" s="12" t="inlineStr">
        <is>
          <t>Contractor Programme</t>
        </is>
      </c>
      <c r="B55" s="12" t="inlineStr">
        <is>
          <t>SCH-06-047</t>
        </is>
      </c>
      <c r="C55" s="12" t="inlineStr">
        <is>
          <t>Fleet package: stakeholder interface meeting - inspection</t>
        </is>
      </c>
      <c r="D55" s="12" t="inlineStr">
        <is>
          <t>UNSURE</t>
        </is>
      </c>
      <c r="E55" s="12" t="inlineStr">
        <is>
          <t>Maya Chen, Owner Project Controls</t>
        </is>
      </c>
      <c r="F55" s="12" t="inlineStr">
        <is>
          <t>Professional decision</t>
        </is>
      </c>
      <c r="G55" t="inlineStr">
        <is>
          <t>Current</t>
        </is>
      </c>
    </row>
    <row r="56" ht="34" customHeight="1">
      <c r="A56" s="12" t="inlineStr">
        <is>
          <t>Contractor Programme</t>
        </is>
      </c>
      <c r="B56" s="12" t="inlineStr">
        <is>
          <t>SCH-06-048</t>
        </is>
      </c>
      <c r="C56" s="12" t="inlineStr">
        <is>
          <t>Program office: baseline change control - turnover</t>
        </is>
      </c>
      <c r="D56" s="12" t="inlineStr">
        <is>
          <t>UNSURE</t>
        </is>
      </c>
      <c r="E56" s="12" t="inlineStr">
        <is>
          <t>Maya Chen, Owner Project Controls</t>
        </is>
      </c>
      <c r="F56" s="12" t="inlineStr">
        <is>
          <t>Professional decision</t>
        </is>
      </c>
      <c r="G56" t="inlineStr">
        <is>
          <t>Current</t>
        </is>
      </c>
    </row>
    <row r="57" ht="34" customHeight="1">
      <c r="A57" s="12" t="inlineStr">
        <is>
          <t>Contractor Programme</t>
        </is>
      </c>
      <c r="B57" s="12" t="inlineStr">
        <is>
          <t>SCH-06-049</t>
        </is>
      </c>
      <c r="C57" s="12" t="inlineStr">
        <is>
          <t>Civil package: commercial change review - release</t>
        </is>
      </c>
      <c r="D57" s="12" t="inlineStr">
        <is>
          <t>UNSURE</t>
        </is>
      </c>
      <c r="E57" s="12" t="inlineStr">
        <is>
          <t>Maya Chen, Owner Project Controls</t>
        </is>
      </c>
      <c r="F57" s="12" t="inlineStr">
        <is>
          <t>Professional decision</t>
        </is>
      </c>
      <c r="G57" t="inlineStr">
        <is>
          <t>Current</t>
        </is>
      </c>
    </row>
    <row r="58" ht="34" customHeight="1">
      <c r="A58" s="12" t="inlineStr">
        <is>
          <t>Contractor Programme</t>
        </is>
      </c>
      <c r="B58" s="12" t="inlineStr">
        <is>
          <t>SCH-06-050</t>
        </is>
      </c>
      <c r="C58" s="12" t="inlineStr">
        <is>
          <t>Stations package: design-package integration review - field start</t>
        </is>
      </c>
      <c r="D58" s="12" t="inlineStr">
        <is>
          <t>UNSURE</t>
        </is>
      </c>
      <c r="E58" s="12" t="inlineStr">
        <is>
          <t>Maya Chen, Owner Project Controls</t>
        </is>
      </c>
      <c r="F58" s="12" t="inlineStr">
        <is>
          <t>Professional decision</t>
        </is>
      </c>
      <c r="G58" t="inlineStr">
        <is>
          <t>Current</t>
        </is>
      </c>
    </row>
    <row r="59" ht="34" customHeight="1">
      <c r="A59" s="12" t="inlineStr">
        <is>
          <t>Contractor Programme</t>
        </is>
      </c>
      <c r="B59" s="12" t="inlineStr">
        <is>
          <t>SCH-06-051</t>
        </is>
      </c>
      <c r="C59" s="12" t="inlineStr">
        <is>
          <t>Systems package: executive reporting close - installation</t>
        </is>
      </c>
      <c r="D59" s="12" t="inlineStr">
        <is>
          <t>UNSURE</t>
        </is>
      </c>
      <c r="E59" s="12" t="inlineStr">
        <is>
          <t>Maya Chen, Owner Project Controls</t>
        </is>
      </c>
      <c r="F59" s="12" t="inlineStr">
        <is>
          <t>Professional decision</t>
        </is>
      </c>
      <c r="G59" t="inlineStr">
        <is>
          <t>Current</t>
        </is>
      </c>
    </row>
    <row r="60" ht="34" customHeight="1">
      <c r="A60" s="12" t="inlineStr">
        <is>
          <t>Contractor Programme</t>
        </is>
      </c>
      <c r="B60" s="12" t="inlineStr">
        <is>
          <t>SCH-06-052</t>
        </is>
      </c>
      <c r="C60" s="12" t="inlineStr">
        <is>
          <t>Fleet package: permit coordination - inspection</t>
        </is>
      </c>
      <c r="D60" s="12" t="inlineStr">
        <is>
          <t>UNSURE</t>
        </is>
      </c>
      <c r="E60" s="12" t="inlineStr">
        <is>
          <t>Maya Chen, Owner Project Controls</t>
        </is>
      </c>
      <c r="F60" s="12" t="inlineStr">
        <is>
          <t>Professional decision</t>
        </is>
      </c>
      <c r="G60" t="inlineStr">
        <is>
          <t>Current</t>
        </is>
      </c>
    </row>
    <row r="61" ht="34" customHeight="1">
      <c r="A61" s="12" t="inlineStr">
        <is>
          <t>Contractor Programme</t>
        </is>
      </c>
      <c r="B61" s="12" t="inlineStr">
        <is>
          <t>SCH-06-053</t>
        </is>
      </c>
      <c r="C61" s="12" t="inlineStr">
        <is>
          <t>Program office: delivery risk workshop - turnover</t>
        </is>
      </c>
      <c r="D61" s="12" t="inlineStr">
        <is>
          <t>UNSURE</t>
        </is>
      </c>
      <c r="E61" s="12" t="inlineStr">
        <is>
          <t>Maya Chen, Owner Project Controls</t>
        </is>
      </c>
      <c r="F61" s="12" t="inlineStr">
        <is>
          <t>Professional decision</t>
        </is>
      </c>
      <c r="G61" t="inlineStr">
        <is>
          <t>Current</t>
        </is>
      </c>
    </row>
    <row r="62" ht="34" customHeight="1">
      <c r="A62" s="12" t="inlineStr">
        <is>
          <t>Contractor Programme</t>
        </is>
      </c>
      <c r="B62" s="12" t="inlineStr">
        <is>
          <t>SCH-06-054</t>
        </is>
      </c>
      <c r="C62" s="12" t="inlineStr">
        <is>
          <t>Civil package: monthly controls cut-off - release</t>
        </is>
      </c>
      <c r="D62" s="12" t="inlineStr">
        <is>
          <t>UNSURE</t>
        </is>
      </c>
      <c r="E62" s="12" t="inlineStr">
        <is>
          <t>Maya Chen, Owner Project Controls</t>
        </is>
      </c>
      <c r="F62" s="12" t="inlineStr">
        <is>
          <t>Professional decision</t>
        </is>
      </c>
      <c r="G62" t="inlineStr">
        <is>
          <t>Current</t>
        </is>
      </c>
    </row>
    <row r="63" ht="34" customHeight="1">
      <c r="A63" s="12" t="inlineStr">
        <is>
          <t>Contractor Programme</t>
        </is>
      </c>
      <c r="B63" s="12" t="inlineStr">
        <is>
          <t>SCH-06-055</t>
        </is>
      </c>
      <c r="C63" s="12" t="inlineStr">
        <is>
          <t>Stations package: stakeholder interface meeting - field start</t>
        </is>
      </c>
      <c r="D63" s="12" t="inlineStr">
        <is>
          <t>UNSURE</t>
        </is>
      </c>
      <c r="E63" s="12" t="inlineStr">
        <is>
          <t>Maya Chen, Owner Project Controls</t>
        </is>
      </c>
      <c r="F63" s="12" t="inlineStr">
        <is>
          <t>Professional decision</t>
        </is>
      </c>
      <c r="G63" t="inlineStr">
        <is>
          <t>Current</t>
        </is>
      </c>
    </row>
    <row r="64" ht="34" customHeight="1">
      <c r="A64" s="12" t="inlineStr">
        <is>
          <t>Contractor Programme</t>
        </is>
      </c>
      <c r="B64" s="12" t="inlineStr">
        <is>
          <t>SCH-06-056</t>
        </is>
      </c>
      <c r="C64" s="12" t="inlineStr">
        <is>
          <t>Systems package: baseline change control - installation</t>
        </is>
      </c>
      <c r="D64" s="12" t="inlineStr">
        <is>
          <t>UNSURE</t>
        </is>
      </c>
      <c r="E64" s="12" t="inlineStr">
        <is>
          <t>Maya Chen, Owner Project Controls</t>
        </is>
      </c>
      <c r="F64" s="12" t="inlineStr">
        <is>
          <t>Professional decision</t>
        </is>
      </c>
      <c r="G64" t="inlineStr">
        <is>
          <t>Current</t>
        </is>
      </c>
    </row>
    <row r="65" ht="34" customHeight="1">
      <c r="A65" s="12" t="inlineStr">
        <is>
          <t>Contractor Programme</t>
        </is>
      </c>
      <c r="B65" s="12" t="inlineStr">
        <is>
          <t>SCH-06-057</t>
        </is>
      </c>
      <c r="C65" s="12" t="inlineStr">
        <is>
          <t>Fleet package: commercial change review - inspection</t>
        </is>
      </c>
      <c r="D65" s="12" t="inlineStr">
        <is>
          <t>UNSURE</t>
        </is>
      </c>
      <c r="E65" s="12" t="inlineStr">
        <is>
          <t>Maya Chen, Owner Project Controls</t>
        </is>
      </c>
      <c r="F65" s="12" t="inlineStr">
        <is>
          <t>Professional decision</t>
        </is>
      </c>
      <c r="G65" t="inlineStr">
        <is>
          <t>Current</t>
        </is>
      </c>
    </row>
    <row r="66" ht="34" customHeight="1">
      <c r="A66" s="12" t="inlineStr">
        <is>
          <t>Contractor Programme</t>
        </is>
      </c>
      <c r="B66" s="12" t="inlineStr">
        <is>
          <t>SCH-06-058</t>
        </is>
      </c>
      <c r="C66" s="12" t="inlineStr">
        <is>
          <t>Program office: design-package integration review - turnover</t>
        </is>
      </c>
      <c r="D66" s="12" t="inlineStr">
        <is>
          <t>UNSURE</t>
        </is>
      </c>
      <c r="E66" s="12" t="inlineStr">
        <is>
          <t>Maya Chen, Owner Project Controls</t>
        </is>
      </c>
      <c r="F66" s="12" t="inlineStr">
        <is>
          <t>Professional decision</t>
        </is>
      </c>
      <c r="G66" t="inlineStr">
        <is>
          <t>Current</t>
        </is>
      </c>
    </row>
    <row r="67" ht="34" customHeight="1">
      <c r="A67" s="12" t="inlineStr">
        <is>
          <t>Contractor Programme</t>
        </is>
      </c>
      <c r="B67" s="12" t="inlineStr">
        <is>
          <t>SCH-06-059</t>
        </is>
      </c>
      <c r="C67" s="12" t="inlineStr">
        <is>
          <t>Civil package: executive reporting close - release</t>
        </is>
      </c>
      <c r="D67" s="12" t="inlineStr">
        <is>
          <t>UNSURE</t>
        </is>
      </c>
      <c r="E67" s="12" t="inlineStr">
        <is>
          <t>Maya Chen, Owner Project Controls</t>
        </is>
      </c>
      <c r="F67" s="12" t="inlineStr">
        <is>
          <t>Professional decision</t>
        </is>
      </c>
      <c r="G67" t="inlineStr">
        <is>
          <t>Current</t>
        </is>
      </c>
    </row>
    <row r="68" ht="34" customHeight="1">
      <c r="A68" s="12" t="inlineStr">
        <is>
          <t>Contractor Programme</t>
        </is>
      </c>
      <c r="B68" s="12" t="inlineStr">
        <is>
          <t>SCH-06-060</t>
        </is>
      </c>
      <c r="C68" s="12" t="inlineStr">
        <is>
          <t>Stations package: permit coordination - field start</t>
        </is>
      </c>
      <c r="D68" s="12" t="inlineStr">
        <is>
          <t>UNSURE</t>
        </is>
      </c>
      <c r="E68" s="12" t="inlineStr">
        <is>
          <t>Maya Chen, Owner Project Controls</t>
        </is>
      </c>
      <c r="F68" s="12" t="inlineStr">
        <is>
          <t>Professional decision</t>
        </is>
      </c>
      <c r="G68" t="inlineStr">
        <is>
          <t>Current</t>
        </is>
      </c>
    </row>
    <row r="69" ht="34" customHeight="1">
      <c r="A69" s="12" t="inlineStr">
        <is>
          <t>Contractor Programme</t>
        </is>
      </c>
      <c r="B69" s="12" t="inlineStr">
        <is>
          <t>SCH-06-061</t>
        </is>
      </c>
      <c r="C69" s="12" t="inlineStr">
        <is>
          <t>Systems package: delivery risk workshop - installation</t>
        </is>
      </c>
      <c r="D69" s="12" t="inlineStr">
        <is>
          <t>UNSURE</t>
        </is>
      </c>
      <c r="E69" s="12" t="inlineStr">
        <is>
          <t>Maya Chen, Owner Project Controls</t>
        </is>
      </c>
      <c r="F69" s="12" t="inlineStr">
        <is>
          <t>Professional decision</t>
        </is>
      </c>
      <c r="G69" t="inlineStr">
        <is>
          <t>Current</t>
        </is>
      </c>
    </row>
    <row r="70" ht="34" customHeight="1">
      <c r="A70" s="12" t="inlineStr">
        <is>
          <t>Contractor Programme</t>
        </is>
      </c>
      <c r="B70" s="12" t="inlineStr">
        <is>
          <t>SCH-06-062</t>
        </is>
      </c>
      <c r="C70" s="12" t="inlineStr">
        <is>
          <t>Fleet package: monthly controls cut-off - inspection</t>
        </is>
      </c>
      <c r="D70" s="12" t="inlineStr">
        <is>
          <t>UNSURE</t>
        </is>
      </c>
      <c r="E70" s="12" t="inlineStr">
        <is>
          <t>Maya Chen, Owner Project Controls</t>
        </is>
      </c>
      <c r="F70" s="12" t="inlineStr">
        <is>
          <t>Professional decision</t>
        </is>
      </c>
      <c r="G70" t="inlineStr">
        <is>
          <t>Current</t>
        </is>
      </c>
    </row>
    <row r="71" ht="34" customHeight="1">
      <c r="A71" s="12" t="inlineStr">
        <is>
          <t>Contractor Programme</t>
        </is>
      </c>
      <c r="B71" s="12" t="inlineStr">
        <is>
          <t>SCH-06-063</t>
        </is>
      </c>
      <c r="C71" s="12" t="inlineStr">
        <is>
          <t>Program office: stakeholder interface meeting - turnover</t>
        </is>
      </c>
      <c r="D71" s="12" t="inlineStr">
        <is>
          <t>UNSURE</t>
        </is>
      </c>
      <c r="E71" s="12" t="inlineStr">
        <is>
          <t>Maya Chen, Owner Project Controls</t>
        </is>
      </c>
      <c r="F71" s="12" t="inlineStr">
        <is>
          <t>Professional decision</t>
        </is>
      </c>
      <c r="G71" t="inlineStr">
        <is>
          <t>Current</t>
        </is>
      </c>
    </row>
    <row r="72" ht="34" customHeight="1">
      <c r="A72" s="12" t="inlineStr">
        <is>
          <t>Contractor Programme</t>
        </is>
      </c>
      <c r="B72" s="12" t="inlineStr">
        <is>
          <t>SCH-06-064</t>
        </is>
      </c>
      <c r="C72" s="12" t="inlineStr">
        <is>
          <t>Civil package: baseline change control - release</t>
        </is>
      </c>
      <c r="D72" s="12" t="inlineStr">
        <is>
          <t>UNSURE</t>
        </is>
      </c>
      <c r="E72" s="12" t="inlineStr">
        <is>
          <t>Maya Chen, Owner Project Controls</t>
        </is>
      </c>
      <c r="F72" s="12" t="inlineStr">
        <is>
          <t>Professional decision</t>
        </is>
      </c>
      <c r="G72" t="inlineStr">
        <is>
          <t>Current</t>
        </is>
      </c>
    </row>
    <row r="73" ht="34" customHeight="1">
      <c r="A73" s="12" t="inlineStr">
        <is>
          <t>Contractor Programme</t>
        </is>
      </c>
      <c r="B73" s="12" t="inlineStr">
        <is>
          <t>SCH-06-065</t>
        </is>
      </c>
      <c r="C73" s="12" t="inlineStr">
        <is>
          <t>Stations package: commercial change review - field start</t>
        </is>
      </c>
      <c r="D73" s="12" t="inlineStr">
        <is>
          <t>UNSURE</t>
        </is>
      </c>
      <c r="E73" s="12" t="inlineStr">
        <is>
          <t>Maya Chen, Owner Project Controls</t>
        </is>
      </c>
      <c r="F73" s="12" t="inlineStr">
        <is>
          <t>Professional decision</t>
        </is>
      </c>
      <c r="G73" t="inlineStr">
        <is>
          <t>Current</t>
        </is>
      </c>
    </row>
    <row r="74" ht="34" customHeight="1">
      <c r="A74" s="12" t="inlineStr">
        <is>
          <t>Contractor Programme</t>
        </is>
      </c>
      <c r="B74" s="12" t="inlineStr">
        <is>
          <t>SCH-06-066</t>
        </is>
      </c>
      <c r="C74" s="12" t="inlineStr">
        <is>
          <t>Systems package: design-package integration review - installation</t>
        </is>
      </c>
      <c r="D74" s="12" t="inlineStr">
        <is>
          <t>UNSURE</t>
        </is>
      </c>
      <c r="E74" s="12" t="inlineStr">
        <is>
          <t>Maya Chen, Owner Project Controls</t>
        </is>
      </c>
      <c r="F74" s="12" t="inlineStr">
        <is>
          <t>Professional decision</t>
        </is>
      </c>
      <c r="G74" t="inlineStr">
        <is>
          <t>Current</t>
        </is>
      </c>
    </row>
    <row r="75" ht="34" customHeight="1">
      <c r="A75" s="12" t="inlineStr">
        <is>
          <t>Contractor Programme</t>
        </is>
      </c>
      <c r="B75" s="12" t="inlineStr">
        <is>
          <t>SCH-06-067</t>
        </is>
      </c>
      <c r="C75" s="12" t="inlineStr">
        <is>
          <t>Fleet package: executive reporting close - inspection</t>
        </is>
      </c>
      <c r="D75" s="12" t="inlineStr">
        <is>
          <t>UNSURE</t>
        </is>
      </c>
      <c r="E75" s="12" t="inlineStr">
        <is>
          <t>Maya Chen, Owner Project Controls</t>
        </is>
      </c>
      <c r="F75" s="12" t="inlineStr">
        <is>
          <t>Professional decision</t>
        </is>
      </c>
      <c r="G75" t="inlineStr">
        <is>
          <t>Current</t>
        </is>
      </c>
    </row>
    <row r="76" ht="34" customHeight="1">
      <c r="A76" s="12" t="inlineStr">
        <is>
          <t>Contractor Programme</t>
        </is>
      </c>
      <c r="B76" s="12" t="inlineStr">
        <is>
          <t>SCH-06-068</t>
        </is>
      </c>
      <c r="C76" s="12" t="inlineStr">
        <is>
          <t>Program office: permit coordination - turnover</t>
        </is>
      </c>
      <c r="D76" s="12" t="inlineStr">
        <is>
          <t>UNSURE</t>
        </is>
      </c>
      <c r="E76" s="12" t="inlineStr">
        <is>
          <t>Maya Chen, Owner Project Controls</t>
        </is>
      </c>
      <c r="F76" s="12" t="inlineStr">
        <is>
          <t>Professional decision</t>
        </is>
      </c>
      <c r="G76" t="inlineStr">
        <is>
          <t>Current</t>
        </is>
      </c>
    </row>
    <row r="77" ht="34" customHeight="1">
      <c r="A77" s="12" t="inlineStr">
        <is>
          <t>Contractor Programme</t>
        </is>
      </c>
      <c r="B77" s="12" t="inlineStr">
        <is>
          <t>SCH-06-069</t>
        </is>
      </c>
      <c r="C77" s="12" t="inlineStr">
        <is>
          <t>Civil package: delivery risk workshop - release</t>
        </is>
      </c>
      <c r="D77" s="12" t="inlineStr">
        <is>
          <t>UNSURE</t>
        </is>
      </c>
      <c r="E77" s="12" t="inlineStr">
        <is>
          <t>Maya Chen, Owner Project Controls</t>
        </is>
      </c>
      <c r="F77" s="12" t="inlineStr">
        <is>
          <t>Professional decision</t>
        </is>
      </c>
      <c r="G77" t="inlineStr">
        <is>
          <t>Current</t>
        </is>
      </c>
    </row>
    <row r="78" ht="34" customHeight="1">
      <c r="A78" s="12" t="inlineStr">
        <is>
          <t>Contractor Programme</t>
        </is>
      </c>
      <c r="B78" s="12" t="inlineStr">
        <is>
          <t>SCH-06-070</t>
        </is>
      </c>
      <c r="C78" s="12" t="inlineStr">
        <is>
          <t>Stations package: monthly controls cut-off - field start</t>
        </is>
      </c>
      <c r="D78" s="12" t="inlineStr">
        <is>
          <t>UNSURE</t>
        </is>
      </c>
      <c r="E78" s="12" t="inlineStr">
        <is>
          <t>Maya Chen, Owner Project Controls</t>
        </is>
      </c>
      <c r="F78" s="12" t="inlineStr">
        <is>
          <t>Professional decision</t>
        </is>
      </c>
      <c r="G78" t="inlineStr">
        <is>
          <t>Current</t>
        </is>
      </c>
    </row>
    <row r="79" ht="34" customHeight="1">
      <c r="A79" s="12" t="inlineStr">
        <is>
          <t>Contractor Programme</t>
        </is>
      </c>
      <c r="B79" s="12" t="inlineStr">
        <is>
          <t>SCH-06-071</t>
        </is>
      </c>
      <c r="C79" s="12" t="inlineStr">
        <is>
          <t>Systems package: stakeholder interface meeting - installation</t>
        </is>
      </c>
      <c r="D79" s="12" t="inlineStr">
        <is>
          <t>UNSURE</t>
        </is>
      </c>
      <c r="E79" s="12" t="inlineStr">
        <is>
          <t>Maya Chen, Owner Project Controls</t>
        </is>
      </c>
      <c r="F79" s="12" t="inlineStr">
        <is>
          <t>Professional decision</t>
        </is>
      </c>
      <c r="G79" t="inlineStr">
        <is>
          <t>Current</t>
        </is>
      </c>
    </row>
    <row r="80" ht="34" customHeight="1">
      <c r="A80" s="12" t="inlineStr">
        <is>
          <t>Contractor Programme</t>
        </is>
      </c>
      <c r="B80" s="12" t="inlineStr">
        <is>
          <t>SCH-06-072</t>
        </is>
      </c>
      <c r="C80" s="12" t="inlineStr">
        <is>
          <t>Fleet package: baseline change control - inspection</t>
        </is>
      </c>
      <c r="D80" s="12" t="inlineStr">
        <is>
          <t>UNSURE</t>
        </is>
      </c>
      <c r="E80" s="12" t="inlineStr">
        <is>
          <t>Maya Chen, Owner Project Controls</t>
        </is>
      </c>
      <c r="F80" s="12" t="inlineStr">
        <is>
          <t>Professional decision</t>
        </is>
      </c>
      <c r="G80" t="inlineStr">
        <is>
          <t>Current</t>
        </is>
      </c>
    </row>
    <row r="81" ht="34" customHeight="1">
      <c r="A81" s="12" t="inlineStr">
        <is>
          <t>Contractor Programme</t>
        </is>
      </c>
      <c r="B81" s="12" t="inlineStr">
        <is>
          <t>SCH-06-073</t>
        </is>
      </c>
      <c r="C81" s="12" t="inlineStr">
        <is>
          <t>Program office: commercial change review - turnover</t>
        </is>
      </c>
      <c r="D81" s="12" t="inlineStr">
        <is>
          <t>UNSURE</t>
        </is>
      </c>
      <c r="E81" s="12" t="inlineStr">
        <is>
          <t>Maya Chen, Owner Project Controls</t>
        </is>
      </c>
      <c r="F81" s="12" t="inlineStr">
        <is>
          <t>Professional decision</t>
        </is>
      </c>
      <c r="G81" t="inlineStr">
        <is>
          <t>Current</t>
        </is>
      </c>
    </row>
    <row r="82" ht="34" customHeight="1">
      <c r="A82" s="12" t="inlineStr">
        <is>
          <t>Contractor Programme</t>
        </is>
      </c>
      <c r="B82" s="12" t="inlineStr">
        <is>
          <t>SCH-06-074</t>
        </is>
      </c>
      <c r="C82" s="12" t="inlineStr">
        <is>
          <t>Civil package: design-package integration review - release</t>
        </is>
      </c>
      <c r="D82" s="12" t="inlineStr">
        <is>
          <t>UNSURE</t>
        </is>
      </c>
      <c r="E82" s="12" t="inlineStr">
        <is>
          <t>Maya Chen, Owner Project Controls</t>
        </is>
      </c>
      <c r="F82" s="12" t="inlineStr">
        <is>
          <t>Professional decision</t>
        </is>
      </c>
      <c r="G82" t="inlineStr">
        <is>
          <t>Current</t>
        </is>
      </c>
    </row>
    <row r="83" ht="34" customHeight="1">
      <c r="A83" s="12" t="inlineStr">
        <is>
          <t>Contractor Programme</t>
        </is>
      </c>
      <c r="B83" s="12" t="inlineStr">
        <is>
          <t>SCH-06-075</t>
        </is>
      </c>
      <c r="C83" s="12" t="inlineStr">
        <is>
          <t>Stations package: executive reporting close - field start</t>
        </is>
      </c>
      <c r="D83" s="12" t="inlineStr">
        <is>
          <t>UNSURE</t>
        </is>
      </c>
      <c r="E83" s="12" t="inlineStr">
        <is>
          <t>Maya Chen, Owner Project Controls</t>
        </is>
      </c>
      <c r="F83" s="12" t="inlineStr">
        <is>
          <t>Professional decision</t>
        </is>
      </c>
      <c r="G83" t="inlineStr">
        <is>
          <t>Current</t>
        </is>
      </c>
    </row>
    <row r="84" ht="34" customHeight="1">
      <c r="A84" s="12" t="inlineStr">
        <is>
          <t>Contractor Programme</t>
        </is>
      </c>
      <c r="B84" s="12" t="inlineStr">
        <is>
          <t>SCH-06-076</t>
        </is>
      </c>
      <c r="C84" s="12" t="inlineStr">
        <is>
          <t>Systems package: permit coordination - installation</t>
        </is>
      </c>
      <c r="D84" s="12" t="inlineStr">
        <is>
          <t>UNSURE</t>
        </is>
      </c>
      <c r="E84" s="12" t="inlineStr">
        <is>
          <t>Maya Chen, Owner Project Controls</t>
        </is>
      </c>
      <c r="F84" s="12" t="inlineStr">
        <is>
          <t>Professional decision</t>
        </is>
      </c>
      <c r="G84" t="inlineStr">
        <is>
          <t>Current</t>
        </is>
      </c>
    </row>
    <row r="85" ht="34" customHeight="1">
      <c r="A85" s="12" t="inlineStr">
        <is>
          <t>Contractor Programme</t>
        </is>
      </c>
      <c r="B85" s="12" t="inlineStr">
        <is>
          <t>SCH-06-077</t>
        </is>
      </c>
      <c r="C85" s="12" t="inlineStr">
        <is>
          <t>Fleet package: delivery risk workshop - inspection</t>
        </is>
      </c>
      <c r="D85" s="12" t="inlineStr">
        <is>
          <t>UNSURE</t>
        </is>
      </c>
      <c r="E85" s="12" t="inlineStr">
        <is>
          <t>Maya Chen, Owner Project Controls</t>
        </is>
      </c>
      <c r="F85" s="12" t="inlineStr">
        <is>
          <t>Professional decision</t>
        </is>
      </c>
      <c r="G85" t="inlineStr">
        <is>
          <t>Current</t>
        </is>
      </c>
    </row>
    <row r="86" ht="34" customHeight="1">
      <c r="A86" s="12" t="inlineStr">
        <is>
          <t>Contractor Programme</t>
        </is>
      </c>
      <c r="B86" s="12" t="inlineStr">
        <is>
          <t>SCH-06-078</t>
        </is>
      </c>
      <c r="C86" s="12" t="inlineStr">
        <is>
          <t>Program office: monthly controls cut-off - turnover</t>
        </is>
      </c>
      <c r="D86" s="12" t="inlineStr">
        <is>
          <t>UNSURE</t>
        </is>
      </c>
      <c r="E86" s="12" t="inlineStr">
        <is>
          <t>Maya Chen, Owner Project Controls</t>
        </is>
      </c>
      <c r="F86" s="12" t="inlineStr">
        <is>
          <t>Professional decision</t>
        </is>
      </c>
      <c r="G86" t="inlineStr">
        <is>
          <t>Current</t>
        </is>
      </c>
    </row>
    <row r="87" ht="34" customHeight="1">
      <c r="A87" s="12" t="inlineStr">
        <is>
          <t>Contractor Programme</t>
        </is>
      </c>
      <c r="B87" s="12" t="inlineStr">
        <is>
          <t>SCH-06-079</t>
        </is>
      </c>
      <c r="C87" s="12" t="inlineStr">
        <is>
          <t>Civil package: stakeholder interface meeting - release</t>
        </is>
      </c>
      <c r="D87" s="12" t="inlineStr">
        <is>
          <t>UNSURE</t>
        </is>
      </c>
      <c r="E87" s="12" t="inlineStr">
        <is>
          <t>Maya Chen, Owner Project Controls</t>
        </is>
      </c>
      <c r="F87" s="12" t="inlineStr">
        <is>
          <t>Professional decision</t>
        </is>
      </c>
      <c r="G87" t="inlineStr">
        <is>
          <t>Current</t>
        </is>
      </c>
    </row>
    <row r="88" ht="34" customHeight="1">
      <c r="A88" s="12" t="inlineStr">
        <is>
          <t>Contractor Programme</t>
        </is>
      </c>
      <c r="B88" s="12" t="inlineStr">
        <is>
          <t>SCH-06-080</t>
        </is>
      </c>
      <c r="C88" s="12" t="inlineStr">
        <is>
          <t>Stations package: baseline change control - field start</t>
        </is>
      </c>
      <c r="D88" s="12" t="inlineStr">
        <is>
          <t>UNSURE</t>
        </is>
      </c>
      <c r="E88" s="12" t="inlineStr">
        <is>
          <t>Maya Chen, Owner Project Controls</t>
        </is>
      </c>
      <c r="F88" s="12" t="inlineStr">
        <is>
          <t>Professional decision</t>
        </is>
      </c>
      <c r="G88" t="inlineStr">
        <is>
          <t>Current</t>
        </is>
      </c>
    </row>
    <row r="89" ht="34" customHeight="1">
      <c r="A89" s="12" t="inlineStr">
        <is>
          <t>Contractor Programme</t>
        </is>
      </c>
      <c r="B89" s="12" t="inlineStr">
        <is>
          <t>SCH-06-081</t>
        </is>
      </c>
      <c r="C89" s="12" t="inlineStr">
        <is>
          <t>Systems package: commercial change review - installation</t>
        </is>
      </c>
      <c r="D89" s="12" t="inlineStr">
        <is>
          <t>UNSURE</t>
        </is>
      </c>
      <c r="E89" s="12" t="inlineStr">
        <is>
          <t>Maya Chen, Owner Project Controls</t>
        </is>
      </c>
      <c r="F89" s="12" t="inlineStr">
        <is>
          <t>Professional decision</t>
        </is>
      </c>
      <c r="G89" t="inlineStr">
        <is>
          <t>Current</t>
        </is>
      </c>
    </row>
    <row r="90" ht="34" customHeight="1">
      <c r="A90" s="12" t="inlineStr">
        <is>
          <t>Contractor Programme</t>
        </is>
      </c>
      <c r="B90" s="12" t="inlineStr">
        <is>
          <t>SCH-06-082</t>
        </is>
      </c>
      <c r="C90" s="12" t="inlineStr">
        <is>
          <t>Fleet package: design-package integration review - inspection</t>
        </is>
      </c>
      <c r="D90" s="12" t="inlineStr">
        <is>
          <t>UNSURE</t>
        </is>
      </c>
      <c r="E90" s="12" t="inlineStr">
        <is>
          <t>Maya Chen, Owner Project Controls</t>
        </is>
      </c>
      <c r="F90" s="12" t="inlineStr">
        <is>
          <t>Professional decision</t>
        </is>
      </c>
      <c r="G90" t="inlineStr">
        <is>
          <t>Current</t>
        </is>
      </c>
    </row>
    <row r="91" ht="34" customHeight="1">
      <c r="A91" s="12" t="inlineStr">
        <is>
          <t>Contractor Programme</t>
        </is>
      </c>
      <c r="B91" s="12" t="inlineStr">
        <is>
          <t>SCH-06-083</t>
        </is>
      </c>
      <c r="C91" s="12" t="inlineStr">
        <is>
          <t>Program office: executive reporting close - turnover</t>
        </is>
      </c>
      <c r="D91" s="12" t="inlineStr">
        <is>
          <t>UNSURE</t>
        </is>
      </c>
      <c r="E91" s="12" t="inlineStr">
        <is>
          <t>Maya Chen, Owner Project Controls</t>
        </is>
      </c>
      <c r="F91" s="12" t="inlineStr">
        <is>
          <t>Professional decision</t>
        </is>
      </c>
      <c r="G91" t="inlineStr">
        <is>
          <t>Current</t>
        </is>
      </c>
    </row>
    <row r="92" ht="34" customHeight="1">
      <c r="A92" s="12" t="inlineStr">
        <is>
          <t>Contractor Programme</t>
        </is>
      </c>
      <c r="B92" s="12" t="inlineStr">
        <is>
          <t>SCH-06-084</t>
        </is>
      </c>
      <c r="C92" s="12" t="inlineStr">
        <is>
          <t>Civil package: permit coordination - release</t>
        </is>
      </c>
      <c r="D92" s="12" t="inlineStr">
        <is>
          <t>UNSURE</t>
        </is>
      </c>
      <c r="E92" s="12" t="inlineStr">
        <is>
          <t>Maya Chen, Owner Project Controls</t>
        </is>
      </c>
      <c r="F92" s="12" t="inlineStr">
        <is>
          <t>Professional decision</t>
        </is>
      </c>
      <c r="G92" t="inlineStr">
        <is>
          <t>Current</t>
        </is>
      </c>
    </row>
    <row r="93" ht="34" customHeight="1">
      <c r="A93" s="12" t="inlineStr">
        <is>
          <t>Contractor Programme</t>
        </is>
      </c>
      <c r="B93" s="12" t="inlineStr">
        <is>
          <t>SCH-06-085</t>
        </is>
      </c>
      <c r="C93" s="12" t="inlineStr">
        <is>
          <t>Stations package: delivery risk workshop - field start</t>
        </is>
      </c>
      <c r="D93" s="12" t="inlineStr">
        <is>
          <t>UNSURE</t>
        </is>
      </c>
      <c r="E93" s="12" t="inlineStr">
        <is>
          <t>Maya Chen, Owner Project Controls</t>
        </is>
      </c>
      <c r="F93" s="12" t="inlineStr">
        <is>
          <t>Professional decision</t>
        </is>
      </c>
      <c r="G93" t="inlineStr">
        <is>
          <t>Current</t>
        </is>
      </c>
    </row>
    <row r="94" ht="34" customHeight="1">
      <c r="A94" s="12" t="inlineStr">
        <is>
          <t>Contractor Programme</t>
        </is>
      </c>
      <c r="B94" s="12" t="inlineStr">
        <is>
          <t>SCH-06-086</t>
        </is>
      </c>
      <c r="C94" s="12" t="inlineStr">
        <is>
          <t>Systems package: monthly controls cut-off - installation</t>
        </is>
      </c>
      <c r="D94" s="12" t="inlineStr">
        <is>
          <t>UNSURE</t>
        </is>
      </c>
      <c r="E94" s="12" t="inlineStr">
        <is>
          <t>Maya Chen, Owner Project Controls</t>
        </is>
      </c>
      <c r="F94" s="12" t="inlineStr">
        <is>
          <t>Professional decision</t>
        </is>
      </c>
      <c r="G94" t="inlineStr">
        <is>
          <t>Current</t>
        </is>
      </c>
    </row>
    <row r="95" ht="34" customHeight="1">
      <c r="A95" s="12" t="inlineStr">
        <is>
          <t>Contractor Programme</t>
        </is>
      </c>
      <c r="B95" s="12" t="inlineStr">
        <is>
          <t>SCH-06-087</t>
        </is>
      </c>
      <c r="C95" s="12" t="inlineStr">
        <is>
          <t>Fleet package: stakeholder interface meeting - inspection</t>
        </is>
      </c>
      <c r="D95" s="12" t="inlineStr">
        <is>
          <t>UNSURE</t>
        </is>
      </c>
      <c r="E95" s="12" t="inlineStr">
        <is>
          <t>Maya Chen, Owner Project Controls</t>
        </is>
      </c>
      <c r="F95" s="12" t="inlineStr">
        <is>
          <t>Professional decision</t>
        </is>
      </c>
      <c r="G95" t="inlineStr">
        <is>
          <t>Current</t>
        </is>
      </c>
    </row>
    <row r="96" ht="34" customHeight="1">
      <c r="A96" s="12" t="inlineStr">
        <is>
          <t>Contractor Programme</t>
        </is>
      </c>
      <c r="B96" s="12" t="inlineStr">
        <is>
          <t>SCH-06-088</t>
        </is>
      </c>
      <c r="C96" s="12" t="inlineStr">
        <is>
          <t>Program office: baseline change control - turnover</t>
        </is>
      </c>
      <c r="D96" s="12" t="inlineStr">
        <is>
          <t>UNSURE</t>
        </is>
      </c>
      <c r="E96" s="12" t="inlineStr">
        <is>
          <t>Maya Chen, Owner Project Controls</t>
        </is>
      </c>
      <c r="F96" s="12" t="inlineStr">
        <is>
          <t>Professional decision</t>
        </is>
      </c>
      <c r="G96" t="inlineStr">
        <is>
          <t>Current</t>
        </is>
      </c>
    </row>
    <row r="97" ht="34" customHeight="1">
      <c r="A97" s="12" t="inlineStr">
        <is>
          <t>Contractor Programme</t>
        </is>
      </c>
      <c r="B97" s="12" t="inlineStr">
        <is>
          <t>SCH-06-089</t>
        </is>
      </c>
      <c r="C97" s="12" t="inlineStr">
        <is>
          <t>Civil package: commercial change review - release</t>
        </is>
      </c>
      <c r="D97" s="12" t="inlineStr">
        <is>
          <t>UNSURE</t>
        </is>
      </c>
      <c r="E97" s="12" t="inlineStr">
        <is>
          <t>Maya Chen, Owner Project Controls</t>
        </is>
      </c>
      <c r="F97" s="12" t="inlineStr">
        <is>
          <t>Professional decision</t>
        </is>
      </c>
      <c r="G97" t="inlineStr">
        <is>
          <t>Current</t>
        </is>
      </c>
    </row>
    <row r="98" ht="34" customHeight="1">
      <c r="A98" s="12" t="inlineStr">
        <is>
          <t>Contractor Programme</t>
        </is>
      </c>
      <c r="B98" s="12" t="inlineStr">
        <is>
          <t>SCH-06-090</t>
        </is>
      </c>
      <c r="C98" s="12" t="inlineStr">
        <is>
          <t>Stations package: design-package integration review - field start</t>
        </is>
      </c>
      <c r="D98" s="12" t="inlineStr">
        <is>
          <t>UNSURE</t>
        </is>
      </c>
      <c r="E98" s="12" t="inlineStr">
        <is>
          <t>Maya Chen, Owner Project Controls</t>
        </is>
      </c>
      <c r="F98" s="12" t="inlineStr">
        <is>
          <t>Professional decision</t>
        </is>
      </c>
      <c r="G98" t="inlineStr">
        <is>
          <t>Current</t>
        </is>
      </c>
    </row>
    <row r="99" ht="34" customHeight="1">
      <c r="A99" s="12" t="inlineStr">
        <is>
          <t>Contractor Programme</t>
        </is>
      </c>
      <c r="B99" s="12" t="inlineStr">
        <is>
          <t>SCH-06-091</t>
        </is>
      </c>
      <c r="C99" s="12" t="inlineStr">
        <is>
          <t>Systems package: executive reporting close - installation</t>
        </is>
      </c>
      <c r="D99" s="12" t="inlineStr">
        <is>
          <t>UNSURE</t>
        </is>
      </c>
      <c r="E99" s="12" t="inlineStr">
        <is>
          <t>Maya Chen, Owner Project Controls</t>
        </is>
      </c>
      <c r="F99" s="12" t="inlineStr">
        <is>
          <t>Professional decision</t>
        </is>
      </c>
      <c r="G99" t="inlineStr">
        <is>
          <t>Current</t>
        </is>
      </c>
    </row>
    <row r="100" ht="34" customHeight="1">
      <c r="A100" s="12" t="inlineStr">
        <is>
          <t>Contractor Programme</t>
        </is>
      </c>
      <c r="B100" s="12" t="inlineStr">
        <is>
          <t>SCH-06-092</t>
        </is>
      </c>
      <c r="C100" s="12" t="inlineStr">
        <is>
          <t>Fleet package: permit coordination - inspection</t>
        </is>
      </c>
      <c r="D100" s="12" t="inlineStr">
        <is>
          <t>UNSURE</t>
        </is>
      </c>
      <c r="E100" s="12" t="inlineStr">
        <is>
          <t>Maya Chen, Owner Project Controls</t>
        </is>
      </c>
      <c r="F100" s="12" t="inlineStr">
        <is>
          <t>Professional decision</t>
        </is>
      </c>
      <c r="G100" t="inlineStr">
        <is>
          <t>Current</t>
        </is>
      </c>
    </row>
    <row r="101" ht="34" customHeight="1">
      <c r="A101" s="12" t="inlineStr">
        <is>
          <t>Contractor Programme</t>
        </is>
      </c>
      <c r="B101" s="12" t="inlineStr">
        <is>
          <t>SCH-06-093</t>
        </is>
      </c>
      <c r="C101" s="12" t="inlineStr">
        <is>
          <t>Program office: delivery risk workshop - turnover</t>
        </is>
      </c>
      <c r="D101" s="12" t="inlineStr">
        <is>
          <t>UNSURE</t>
        </is>
      </c>
      <c r="E101" s="12" t="inlineStr">
        <is>
          <t>Maya Chen, Owner Project Controls</t>
        </is>
      </c>
      <c r="F101" s="12" t="inlineStr">
        <is>
          <t>Professional decision</t>
        </is>
      </c>
      <c r="G101" t="inlineStr">
        <is>
          <t>Current</t>
        </is>
      </c>
    </row>
    <row r="102" ht="34" customHeight="1">
      <c r="A102" s="12" t="inlineStr">
        <is>
          <t>Contractor Programme</t>
        </is>
      </c>
      <c r="B102" s="12" t="inlineStr">
        <is>
          <t>SCH-06-094</t>
        </is>
      </c>
      <c r="C102" s="12" t="inlineStr">
        <is>
          <t>Civil package: monthly controls cut-off - release</t>
        </is>
      </c>
      <c r="D102" s="12" t="inlineStr">
        <is>
          <t>UNSURE</t>
        </is>
      </c>
      <c r="E102" s="12" t="inlineStr">
        <is>
          <t>Maya Chen, Owner Project Controls</t>
        </is>
      </c>
      <c r="F102" s="12" t="inlineStr">
        <is>
          <t>Professional decision</t>
        </is>
      </c>
      <c r="G102" t="inlineStr">
        <is>
          <t>Current</t>
        </is>
      </c>
    </row>
    <row r="103" ht="34" customHeight="1">
      <c r="A103" s="12" t="inlineStr">
        <is>
          <t>Contractor Programme</t>
        </is>
      </c>
      <c r="B103" s="12" t="inlineStr">
        <is>
          <t>SCH-06-095</t>
        </is>
      </c>
      <c r="C103" s="12" t="inlineStr">
        <is>
          <t>Stations package: stakeholder interface meeting - field start</t>
        </is>
      </c>
      <c r="D103" s="12" t="inlineStr">
        <is>
          <t>UNSURE</t>
        </is>
      </c>
      <c r="E103" s="12" t="inlineStr">
        <is>
          <t>Maya Chen, Owner Project Controls</t>
        </is>
      </c>
      <c r="F103" s="12" t="inlineStr">
        <is>
          <t>Professional decision</t>
        </is>
      </c>
      <c r="G103" t="inlineStr">
        <is>
          <t>Current</t>
        </is>
      </c>
    </row>
    <row r="104" ht="34" customHeight="1">
      <c r="A104" s="12" t="inlineStr">
        <is>
          <t>Contractor Programme</t>
        </is>
      </c>
      <c r="B104" s="12" t="inlineStr">
        <is>
          <t>SCH-06-096</t>
        </is>
      </c>
      <c r="C104" s="12" t="inlineStr">
        <is>
          <t>Systems package: baseline change control - installation</t>
        </is>
      </c>
      <c r="D104" s="12" t="inlineStr">
        <is>
          <t>UNSURE</t>
        </is>
      </c>
      <c r="E104" s="12" t="inlineStr">
        <is>
          <t>Maya Chen, Owner Project Controls</t>
        </is>
      </c>
      <c r="F104" s="12" t="inlineStr">
        <is>
          <t>Professional decision</t>
        </is>
      </c>
      <c r="G104" t="inlineStr">
        <is>
          <t>Current</t>
        </is>
      </c>
    </row>
    <row r="105" ht="34" customHeight="1">
      <c r="A105" s="12" t="inlineStr">
        <is>
          <t>Contractor Programme</t>
        </is>
      </c>
      <c r="B105" s="12" t="inlineStr">
        <is>
          <t>SCH-06-097</t>
        </is>
      </c>
      <c r="C105" s="12" t="inlineStr">
        <is>
          <t>Fleet package: commercial change review - inspection</t>
        </is>
      </c>
      <c r="D105" s="12" t="inlineStr">
        <is>
          <t>UNSURE</t>
        </is>
      </c>
      <c r="E105" s="12" t="inlineStr">
        <is>
          <t>Maya Chen, Owner Project Controls</t>
        </is>
      </c>
      <c r="F105" s="12" t="inlineStr">
        <is>
          <t>Professional decision</t>
        </is>
      </c>
      <c r="G105" t="inlineStr">
        <is>
          <t>Current</t>
        </is>
      </c>
    </row>
    <row r="106" ht="34" customHeight="1">
      <c r="A106" s="12" t="inlineStr">
        <is>
          <t>Contractor Programme</t>
        </is>
      </c>
      <c r="B106" s="12" t="inlineStr">
        <is>
          <t>SCH-06-098</t>
        </is>
      </c>
      <c r="C106" s="12" t="inlineStr">
        <is>
          <t>Program office: design-package integration review - turnover</t>
        </is>
      </c>
      <c r="D106" s="12" t="inlineStr">
        <is>
          <t>UNSURE</t>
        </is>
      </c>
      <c r="E106" s="12" t="inlineStr">
        <is>
          <t>Maya Chen, Owner Project Controls</t>
        </is>
      </c>
      <c r="F106" s="12" t="inlineStr">
        <is>
          <t>Professional decision</t>
        </is>
      </c>
      <c r="G106" t="inlineStr">
        <is>
          <t>Current</t>
        </is>
      </c>
    </row>
    <row r="107" ht="34" customHeight="1">
      <c r="A107" s="12" t="inlineStr">
        <is>
          <t>Contractor Programme</t>
        </is>
      </c>
      <c r="B107" s="12" t="inlineStr">
        <is>
          <t>SCH-06-099</t>
        </is>
      </c>
      <c r="C107" s="12" t="inlineStr">
        <is>
          <t>Civil package: executive reporting close - release</t>
        </is>
      </c>
      <c r="D107" s="12" t="inlineStr">
        <is>
          <t>UNSURE</t>
        </is>
      </c>
      <c r="E107" s="12" t="inlineStr">
        <is>
          <t>Maya Chen, Owner Project Controls</t>
        </is>
      </c>
      <c r="F107" s="12" t="inlineStr">
        <is>
          <t>Professional decision</t>
        </is>
      </c>
      <c r="G107" t="inlineStr">
        <is>
          <t>Current</t>
        </is>
      </c>
    </row>
    <row r="108" ht="34" customHeight="1">
      <c r="A108" s="12" t="inlineStr">
        <is>
          <t>Contractor Programme</t>
        </is>
      </c>
      <c r="B108" s="12" t="inlineStr">
        <is>
          <t>SCH-06-100</t>
        </is>
      </c>
      <c r="C108" s="12" t="inlineStr">
        <is>
          <t>Stations package: permit coordination - field start</t>
        </is>
      </c>
      <c r="D108" s="12" t="inlineStr">
        <is>
          <t>UNSURE</t>
        </is>
      </c>
      <c r="E108" s="12" t="inlineStr">
        <is>
          <t>Maya Chen, Owner Project Controls</t>
        </is>
      </c>
      <c r="F108" s="12" t="inlineStr">
        <is>
          <t>Professional decision</t>
        </is>
      </c>
      <c r="G108" t="inlineStr">
        <is>
          <t>Current</t>
        </is>
      </c>
    </row>
    <row r="109" ht="34" customHeight="1">
      <c r="A109" s="12" t="inlineStr">
        <is>
          <t>Contractor Programme</t>
        </is>
      </c>
      <c r="B109" s="12" t="inlineStr">
        <is>
          <t>SCH-06-101</t>
        </is>
      </c>
      <c r="C109" s="12" t="inlineStr">
        <is>
          <t>Systems package: delivery risk workshop - installation</t>
        </is>
      </c>
      <c r="D109" s="12" t="inlineStr">
        <is>
          <t>UNSURE</t>
        </is>
      </c>
      <c r="E109" s="12" t="inlineStr">
        <is>
          <t>Maya Chen, Owner Project Controls</t>
        </is>
      </c>
      <c r="F109" s="12" t="inlineStr">
        <is>
          <t>Professional decision</t>
        </is>
      </c>
      <c r="G109" t="inlineStr">
        <is>
          <t>Current</t>
        </is>
      </c>
    </row>
    <row r="110" ht="34" customHeight="1">
      <c r="A110" s="12" t="inlineStr">
        <is>
          <t>Contractor Programme</t>
        </is>
      </c>
      <c r="B110" s="12" t="inlineStr">
        <is>
          <t>SCH-06-102</t>
        </is>
      </c>
      <c r="C110" s="12" t="inlineStr">
        <is>
          <t>Fleet package: monthly controls cut-off - inspection</t>
        </is>
      </c>
      <c r="D110" s="12" t="inlineStr">
        <is>
          <t>UNSURE</t>
        </is>
      </c>
      <c r="E110" s="12" t="inlineStr">
        <is>
          <t>Maya Chen, Owner Project Controls</t>
        </is>
      </c>
      <c r="F110" s="12" t="inlineStr">
        <is>
          <t>Professional decision</t>
        </is>
      </c>
      <c r="G110" t="inlineStr">
        <is>
          <t>Current</t>
        </is>
      </c>
    </row>
    <row r="111" ht="34" customHeight="1">
      <c r="A111" s="12" t="inlineStr">
        <is>
          <t>Contractor Programme</t>
        </is>
      </c>
      <c r="B111" s="12" t="inlineStr">
        <is>
          <t>SCH-06-103</t>
        </is>
      </c>
      <c r="C111" s="12" t="inlineStr">
        <is>
          <t>Program office: stakeholder interface meeting - turnover</t>
        </is>
      </c>
      <c r="D111" s="12" t="inlineStr">
        <is>
          <t>UNSURE</t>
        </is>
      </c>
      <c r="E111" s="12" t="inlineStr">
        <is>
          <t>Maya Chen, Owner Project Controls</t>
        </is>
      </c>
      <c r="F111" s="12" t="inlineStr">
        <is>
          <t>Professional decision</t>
        </is>
      </c>
      <c r="G111" t="inlineStr">
        <is>
          <t>Current</t>
        </is>
      </c>
    </row>
    <row r="112" ht="34" customHeight="1">
      <c r="A112" s="12" t="inlineStr">
        <is>
          <t>Contractor Programme</t>
        </is>
      </c>
      <c r="B112" s="12" t="inlineStr">
        <is>
          <t>SCH-06-104</t>
        </is>
      </c>
      <c r="C112" s="12" t="inlineStr">
        <is>
          <t>Civil package: baseline change control - release</t>
        </is>
      </c>
      <c r="D112" s="12" t="inlineStr">
        <is>
          <t>UNSURE</t>
        </is>
      </c>
      <c r="E112" s="12" t="inlineStr">
        <is>
          <t>Maya Chen, Owner Project Controls</t>
        </is>
      </c>
      <c r="F112" s="12" t="inlineStr">
        <is>
          <t>Professional decision</t>
        </is>
      </c>
      <c r="G112" t="inlineStr">
        <is>
          <t>Current</t>
        </is>
      </c>
    </row>
    <row r="113" ht="34" customHeight="1">
      <c r="A113" s="12" t="inlineStr">
        <is>
          <t>Contractor Programme</t>
        </is>
      </c>
      <c r="B113" s="12" t="inlineStr">
        <is>
          <t>SCH-06-105</t>
        </is>
      </c>
      <c r="C113" s="12" t="inlineStr">
        <is>
          <t>Stations package: commercial change review - field start</t>
        </is>
      </c>
      <c r="D113" s="12" t="inlineStr">
        <is>
          <t>UNSURE</t>
        </is>
      </c>
      <c r="E113" s="12" t="inlineStr">
        <is>
          <t>Maya Chen, Owner Project Controls</t>
        </is>
      </c>
      <c r="F113" s="12" t="inlineStr">
        <is>
          <t>Professional decision</t>
        </is>
      </c>
      <c r="G113" t="inlineStr">
        <is>
          <t>Current</t>
        </is>
      </c>
    </row>
    <row r="114" ht="34" customHeight="1">
      <c r="A114" s="12" t="inlineStr">
        <is>
          <t>Contractor Programme</t>
        </is>
      </c>
      <c r="B114" s="12" t="inlineStr">
        <is>
          <t>SCH-06-106</t>
        </is>
      </c>
      <c r="C114" s="12" t="inlineStr">
        <is>
          <t>Systems package: design-package integration review - installation</t>
        </is>
      </c>
      <c r="D114" s="12" t="inlineStr">
        <is>
          <t>UNSURE</t>
        </is>
      </c>
      <c r="E114" s="12" t="inlineStr">
        <is>
          <t>Maya Chen, Owner Project Controls</t>
        </is>
      </c>
      <c r="F114" s="12" t="inlineStr">
        <is>
          <t>Professional decision</t>
        </is>
      </c>
      <c r="G114" t="inlineStr">
        <is>
          <t>Current</t>
        </is>
      </c>
    </row>
    <row r="115" ht="34" customHeight="1">
      <c r="A115" s="12" t="inlineStr">
        <is>
          <t>Contractor Programme</t>
        </is>
      </c>
      <c r="B115" s="12" t="inlineStr">
        <is>
          <t>SCH-06-107</t>
        </is>
      </c>
      <c r="C115" s="12" t="inlineStr">
        <is>
          <t>Fleet package: executive reporting close - inspection</t>
        </is>
      </c>
      <c r="D115" s="12" t="inlineStr">
        <is>
          <t>UNSURE</t>
        </is>
      </c>
      <c r="E115" s="12" t="inlineStr">
        <is>
          <t>Maya Chen, Owner Project Controls</t>
        </is>
      </c>
      <c r="F115" s="12" t="inlineStr">
        <is>
          <t>Professional decision</t>
        </is>
      </c>
      <c r="G115" t="inlineStr">
        <is>
          <t>Current</t>
        </is>
      </c>
    </row>
    <row r="116" ht="34" customHeight="1">
      <c r="A116" s="12" t="inlineStr">
        <is>
          <t>Contractor Programme</t>
        </is>
      </c>
      <c r="B116" s="12" t="inlineStr">
        <is>
          <t>SCH-06-108</t>
        </is>
      </c>
      <c r="C116" s="12" t="inlineStr">
        <is>
          <t>Program office: permit coordination - turnover</t>
        </is>
      </c>
      <c r="D116" s="12" t="inlineStr">
        <is>
          <t>UNSURE</t>
        </is>
      </c>
      <c r="E116" s="12" t="inlineStr">
        <is>
          <t>Maya Chen, Owner Project Controls</t>
        </is>
      </c>
      <c r="F116" s="12" t="inlineStr">
        <is>
          <t>Professional decision</t>
        </is>
      </c>
      <c r="G116" t="inlineStr">
        <is>
          <t>Current</t>
        </is>
      </c>
    </row>
    <row r="117" ht="34" customHeight="1">
      <c r="A117" s="12" t="inlineStr">
        <is>
          <t>Contractor Programme</t>
        </is>
      </c>
      <c r="B117" s="12" t="inlineStr">
        <is>
          <t>SCH-06-109</t>
        </is>
      </c>
      <c r="C117" s="12" t="inlineStr">
        <is>
          <t>Civil package: delivery risk workshop - release</t>
        </is>
      </c>
      <c r="D117" s="12" t="inlineStr">
        <is>
          <t>UNSURE</t>
        </is>
      </c>
      <c r="E117" s="12" t="inlineStr">
        <is>
          <t>Maya Chen, Owner Project Controls</t>
        </is>
      </c>
      <c r="F117" s="12" t="inlineStr">
        <is>
          <t>Professional decision</t>
        </is>
      </c>
      <c r="G117" t="inlineStr">
        <is>
          <t>Current</t>
        </is>
      </c>
    </row>
    <row r="118" ht="34" customHeight="1">
      <c r="A118" s="12" t="inlineStr">
        <is>
          <t>Contractor Programme</t>
        </is>
      </c>
      <c r="B118" s="12" t="inlineStr">
        <is>
          <t>SCH-06-110</t>
        </is>
      </c>
      <c r="C118" s="12" t="inlineStr">
        <is>
          <t>Stations package: monthly controls cut-off - field start</t>
        </is>
      </c>
      <c r="D118" s="12" t="inlineStr">
        <is>
          <t>UNSURE</t>
        </is>
      </c>
      <c r="E118" s="12" t="inlineStr">
        <is>
          <t>Maya Chen, Owner Project Controls</t>
        </is>
      </c>
      <c r="F118" s="12" t="inlineStr">
        <is>
          <t>Professional decision</t>
        </is>
      </c>
      <c r="G118" t="inlineStr">
        <is>
          <t>Current</t>
        </is>
      </c>
    </row>
    <row r="119" ht="34" customHeight="1">
      <c r="A119" s="12" t="inlineStr">
        <is>
          <t>Contractor Programme</t>
        </is>
      </c>
      <c r="B119" s="12" t="inlineStr">
        <is>
          <t>SCH-06-111</t>
        </is>
      </c>
      <c r="C119" s="12" t="inlineStr">
        <is>
          <t>Systems package: stakeholder interface meeting - installation</t>
        </is>
      </c>
      <c r="D119" s="12" t="inlineStr">
        <is>
          <t>UNSURE</t>
        </is>
      </c>
      <c r="E119" s="12" t="inlineStr">
        <is>
          <t>Maya Chen, Owner Project Controls</t>
        </is>
      </c>
      <c r="F119" s="12" t="inlineStr">
        <is>
          <t>Professional decision</t>
        </is>
      </c>
      <c r="G119" t="inlineStr">
        <is>
          <t>Current</t>
        </is>
      </c>
    </row>
    <row r="120" ht="34" customHeight="1">
      <c r="A120" s="12" t="inlineStr">
        <is>
          <t>Contractor Programme</t>
        </is>
      </c>
      <c r="B120" s="12" t="inlineStr">
        <is>
          <t>SCH-06-112</t>
        </is>
      </c>
      <c r="C120" s="12" t="inlineStr">
        <is>
          <t>Fleet package: baseline change control - inspection</t>
        </is>
      </c>
      <c r="D120" s="12" t="inlineStr">
        <is>
          <t>UNSURE</t>
        </is>
      </c>
      <c r="E120" s="12" t="inlineStr">
        <is>
          <t>Maya Chen, Owner Project Controls</t>
        </is>
      </c>
      <c r="F120" s="12" t="inlineStr">
        <is>
          <t>Professional decision</t>
        </is>
      </c>
      <c r="G120" t="inlineStr">
        <is>
          <t>Current</t>
        </is>
      </c>
    </row>
    <row r="121" ht="34" customHeight="1">
      <c r="A121" s="12" t="inlineStr">
        <is>
          <t>Contractor Programme</t>
        </is>
      </c>
      <c r="B121" s="12" t="inlineStr">
        <is>
          <t>SCH-06-113</t>
        </is>
      </c>
      <c r="C121" s="12" t="inlineStr">
        <is>
          <t>Program office: commercial change review - turnover</t>
        </is>
      </c>
      <c r="D121" s="12" t="inlineStr">
        <is>
          <t>UNSURE</t>
        </is>
      </c>
      <c r="E121" s="12" t="inlineStr">
        <is>
          <t>Maya Chen, Owner Project Controls</t>
        </is>
      </c>
      <c r="F121" s="12" t="inlineStr">
        <is>
          <t>Professional decision</t>
        </is>
      </c>
      <c r="G121" t="inlineStr">
        <is>
          <t>Current</t>
        </is>
      </c>
    </row>
    <row r="122" ht="34" customHeight="1">
      <c r="A122" s="12" t="inlineStr">
        <is>
          <t>Contractor Programme</t>
        </is>
      </c>
      <c r="B122" s="12" t="inlineStr">
        <is>
          <t>SCH-06-114</t>
        </is>
      </c>
      <c r="C122" s="12" t="inlineStr">
        <is>
          <t>Civil package: design-package integration review - release</t>
        </is>
      </c>
      <c r="D122" s="12" t="inlineStr">
        <is>
          <t>UNSURE</t>
        </is>
      </c>
      <c r="E122" s="12" t="inlineStr">
        <is>
          <t>Maya Chen, Owner Project Controls</t>
        </is>
      </c>
      <c r="F122" s="12" t="inlineStr">
        <is>
          <t>Professional decision</t>
        </is>
      </c>
      <c r="G122" t="inlineStr">
        <is>
          <t>Current</t>
        </is>
      </c>
    </row>
    <row r="123" ht="34" customHeight="1">
      <c r="A123" s="12" t="inlineStr">
        <is>
          <t>Contractor Programme</t>
        </is>
      </c>
      <c r="B123" s="12" t="inlineStr">
        <is>
          <t>SCH-06-115</t>
        </is>
      </c>
      <c r="C123" s="12" t="inlineStr">
        <is>
          <t>Stations package: executive reporting close - field start</t>
        </is>
      </c>
      <c r="D123" s="12" t="inlineStr">
        <is>
          <t>UNSURE</t>
        </is>
      </c>
      <c r="E123" s="12" t="inlineStr">
        <is>
          <t>Maya Chen, Owner Project Controls</t>
        </is>
      </c>
      <c r="F123" s="12" t="inlineStr">
        <is>
          <t>Professional decision</t>
        </is>
      </c>
      <c r="G123" t="inlineStr">
        <is>
          <t>Current</t>
        </is>
      </c>
    </row>
    <row r="124" ht="34" customHeight="1">
      <c r="A124" s="12" t="inlineStr">
        <is>
          <t>Contractor Programme</t>
        </is>
      </c>
      <c r="B124" s="12" t="inlineStr">
        <is>
          <t>SCH-06-116</t>
        </is>
      </c>
      <c r="C124" s="12" t="inlineStr">
        <is>
          <t>Systems package: permit coordination - installation</t>
        </is>
      </c>
      <c r="D124" s="12" t="inlineStr">
        <is>
          <t>UNSURE</t>
        </is>
      </c>
      <c r="E124" s="12" t="inlineStr">
        <is>
          <t>Maya Chen, Owner Project Controls</t>
        </is>
      </c>
      <c r="F124" s="12" t="inlineStr">
        <is>
          <t>Professional decision</t>
        </is>
      </c>
      <c r="G124" t="inlineStr">
        <is>
          <t>Current</t>
        </is>
      </c>
    </row>
    <row r="125" ht="34" customHeight="1">
      <c r="A125" s="12" t="inlineStr">
        <is>
          <t>Contractor Programme</t>
        </is>
      </c>
      <c r="B125" s="12" t="inlineStr">
        <is>
          <t>SCH-06-117</t>
        </is>
      </c>
      <c r="C125" s="12" t="inlineStr">
        <is>
          <t>Fleet package: delivery risk workshop - inspection</t>
        </is>
      </c>
      <c r="D125" s="12" t="inlineStr">
        <is>
          <t>UNSURE</t>
        </is>
      </c>
      <c r="E125" s="12" t="inlineStr">
        <is>
          <t>Maya Chen, Owner Project Controls</t>
        </is>
      </c>
      <c r="F125" s="12" t="inlineStr">
        <is>
          <t>Professional decision</t>
        </is>
      </c>
      <c r="G125" t="inlineStr">
        <is>
          <t>Current</t>
        </is>
      </c>
    </row>
    <row r="126" ht="34" customHeight="1">
      <c r="A126" s="12" t="inlineStr">
        <is>
          <t>Contractor Programme</t>
        </is>
      </c>
      <c r="B126" s="12" t="inlineStr">
        <is>
          <t>SCH-06-118</t>
        </is>
      </c>
      <c r="C126" s="12" t="inlineStr">
        <is>
          <t>Program office: monthly controls cut-off - turnover</t>
        </is>
      </c>
      <c r="D126" s="12" t="inlineStr">
        <is>
          <t>UNSURE</t>
        </is>
      </c>
      <c r="E126" s="12" t="inlineStr">
        <is>
          <t>Maya Chen, Owner Project Controls</t>
        </is>
      </c>
      <c r="F126" s="12" t="inlineStr">
        <is>
          <t>Professional decision</t>
        </is>
      </c>
      <c r="G126" t="inlineStr">
        <is>
          <t>Current</t>
        </is>
      </c>
    </row>
    <row r="127" ht="34" customHeight="1">
      <c r="A127" s="12" t="inlineStr">
        <is>
          <t>Contractor Programme</t>
        </is>
      </c>
      <c r="B127" s="12" t="inlineStr">
        <is>
          <t>SCH-06-119</t>
        </is>
      </c>
      <c r="C127" s="12" t="inlineStr">
        <is>
          <t>Civil package: stakeholder interface meeting - release</t>
        </is>
      </c>
      <c r="D127" s="12" t="inlineStr">
        <is>
          <t>UNSURE</t>
        </is>
      </c>
      <c r="E127" s="12" t="inlineStr">
        <is>
          <t>Maya Chen, Owner Project Controls</t>
        </is>
      </c>
      <c r="F127" s="12" t="inlineStr">
        <is>
          <t>Professional decision</t>
        </is>
      </c>
      <c r="G127" t="inlineStr">
        <is>
          <t>Current</t>
        </is>
      </c>
    </row>
    <row r="128" ht="34" customHeight="1">
      <c r="A128" s="12" t="inlineStr">
        <is>
          <t>Contractor Programme</t>
        </is>
      </c>
      <c r="B128" s="12" t="inlineStr">
        <is>
          <t>SCH-06-120</t>
        </is>
      </c>
      <c r="C128" s="12" t="inlineStr">
        <is>
          <t>Stations package: baseline change control - field start</t>
        </is>
      </c>
      <c r="D128" s="12" t="inlineStr">
        <is>
          <t>UNSURE</t>
        </is>
      </c>
      <c r="E128" s="12" t="inlineStr">
        <is>
          <t>Maya Chen, Owner Project Controls</t>
        </is>
      </c>
      <c r="F128" s="12" t="inlineStr">
        <is>
          <t>Professional decision</t>
        </is>
      </c>
      <c r="G128" t="inlineStr">
        <is>
          <t>Current</t>
        </is>
      </c>
    </row>
    <row r="129" ht="34" customHeight="1">
      <c r="A129" s="12" t="inlineStr">
        <is>
          <t>Contractor Programme</t>
        </is>
      </c>
      <c r="B129" s="12" t="inlineStr">
        <is>
          <t>SCH-06-121</t>
        </is>
      </c>
      <c r="C129" s="12" t="inlineStr">
        <is>
          <t>Systems package: commercial change review - installation</t>
        </is>
      </c>
      <c r="D129" s="12" t="inlineStr">
        <is>
          <t>UNSURE</t>
        </is>
      </c>
      <c r="E129" s="12" t="inlineStr">
        <is>
          <t>Maya Chen, Owner Project Controls</t>
        </is>
      </c>
      <c r="F129" s="12" t="inlineStr">
        <is>
          <t>Professional decision</t>
        </is>
      </c>
      <c r="G129" t="inlineStr">
        <is>
          <t>Current</t>
        </is>
      </c>
    </row>
    <row r="130" ht="34" customHeight="1">
      <c r="A130" s="12" t="inlineStr">
        <is>
          <t>Contractor Programme</t>
        </is>
      </c>
      <c r="B130" s="12" t="inlineStr">
        <is>
          <t>SCH-06-122</t>
        </is>
      </c>
      <c r="C130" s="12" t="inlineStr">
        <is>
          <t>Fleet package: design-package integration review - inspection</t>
        </is>
      </c>
      <c r="D130" s="12" t="inlineStr">
        <is>
          <t>UNSURE</t>
        </is>
      </c>
      <c r="E130" s="12" t="inlineStr">
        <is>
          <t>Maya Chen, Owner Project Controls</t>
        </is>
      </c>
      <c r="F130" s="12" t="inlineStr">
        <is>
          <t>Professional decision</t>
        </is>
      </c>
      <c r="G130" t="inlineStr">
        <is>
          <t>Current</t>
        </is>
      </c>
    </row>
    <row r="131" ht="34" customHeight="1">
      <c r="A131" s="12" t="inlineStr">
        <is>
          <t>Contractor Programme</t>
        </is>
      </c>
      <c r="B131" s="12" t="inlineStr">
        <is>
          <t>SCH-06-123</t>
        </is>
      </c>
      <c r="C131" s="12" t="inlineStr">
        <is>
          <t>Program office: executive reporting close - turnover</t>
        </is>
      </c>
      <c r="D131" s="12" t="inlineStr">
        <is>
          <t>UNSURE</t>
        </is>
      </c>
      <c r="E131" s="12" t="inlineStr">
        <is>
          <t>Maya Chen, Owner Project Controls</t>
        </is>
      </c>
      <c r="F131" s="12" t="inlineStr">
        <is>
          <t>Professional decision</t>
        </is>
      </c>
      <c r="G131" t="inlineStr">
        <is>
          <t>Current</t>
        </is>
      </c>
    </row>
    <row r="132" ht="34" customHeight="1">
      <c r="A132" s="12" t="inlineStr">
        <is>
          <t>Contractor Programme</t>
        </is>
      </c>
      <c r="B132" s="12" t="inlineStr">
        <is>
          <t>SCH-06-124</t>
        </is>
      </c>
      <c r="C132" s="12" t="inlineStr">
        <is>
          <t>Civil package: permit coordination - release</t>
        </is>
      </c>
      <c r="D132" s="12" t="inlineStr">
        <is>
          <t>UNSURE</t>
        </is>
      </c>
      <c r="E132" s="12" t="inlineStr">
        <is>
          <t>Maya Chen, Owner Project Controls</t>
        </is>
      </c>
      <c r="F132" s="12" t="inlineStr">
        <is>
          <t>Professional decision</t>
        </is>
      </c>
      <c r="G132" t="inlineStr">
        <is>
          <t>Current</t>
        </is>
      </c>
    </row>
    <row r="133" ht="34" customHeight="1">
      <c r="A133" s="12" t="inlineStr">
        <is>
          <t>Contractor Programme</t>
        </is>
      </c>
      <c r="B133" s="12" t="inlineStr">
        <is>
          <t>SCH-06-125</t>
        </is>
      </c>
      <c r="C133" s="12" t="inlineStr">
        <is>
          <t>Stations package: delivery risk workshop - field start</t>
        </is>
      </c>
      <c r="D133" s="12" t="inlineStr">
        <is>
          <t>UNSURE</t>
        </is>
      </c>
      <c r="E133" s="12" t="inlineStr">
        <is>
          <t>Maya Chen, Owner Project Controls</t>
        </is>
      </c>
      <c r="F133" s="12" t="inlineStr">
        <is>
          <t>Professional decision</t>
        </is>
      </c>
      <c r="G133" t="inlineStr">
        <is>
          <t>Current</t>
        </is>
      </c>
    </row>
    <row r="134" ht="34" customHeight="1">
      <c r="A134" s="12" t="inlineStr">
        <is>
          <t>Contractor Programme</t>
        </is>
      </c>
      <c r="B134" s="12" t="inlineStr">
        <is>
          <t>SCH-06-126</t>
        </is>
      </c>
      <c r="C134" s="12" t="inlineStr">
        <is>
          <t>Systems package: monthly controls cut-off - installation</t>
        </is>
      </c>
      <c r="D134" s="12" t="inlineStr">
        <is>
          <t>UNSURE</t>
        </is>
      </c>
      <c r="E134" s="12" t="inlineStr">
        <is>
          <t>Maya Chen, Owner Project Controls</t>
        </is>
      </c>
      <c r="F134" s="12" t="inlineStr">
        <is>
          <t>Professional decision</t>
        </is>
      </c>
      <c r="G134" t="inlineStr">
        <is>
          <t>Current</t>
        </is>
      </c>
    </row>
    <row r="135" ht="34" customHeight="1">
      <c r="A135" s="12" t="inlineStr">
        <is>
          <t>Contractor Programme</t>
        </is>
      </c>
      <c r="B135" s="12" t="inlineStr">
        <is>
          <t>SCH-06-127</t>
        </is>
      </c>
      <c r="C135" s="12" t="inlineStr">
        <is>
          <t>Fleet package: stakeholder interface meeting - inspection</t>
        </is>
      </c>
      <c r="D135" s="12" t="inlineStr">
        <is>
          <t>UNSURE</t>
        </is>
      </c>
      <c r="E135" s="12" t="inlineStr">
        <is>
          <t>Maya Chen, Owner Project Controls</t>
        </is>
      </c>
      <c r="F135" s="12" t="inlineStr">
        <is>
          <t>Professional decision</t>
        </is>
      </c>
      <c r="G135" t="inlineStr">
        <is>
          <t>Current</t>
        </is>
      </c>
    </row>
    <row r="136" ht="34" customHeight="1">
      <c r="A136" s="12" t="inlineStr">
        <is>
          <t>Contractor Programme</t>
        </is>
      </c>
      <c r="B136" s="12" t="inlineStr">
        <is>
          <t>SCH-06-128</t>
        </is>
      </c>
      <c r="C136" s="12" t="inlineStr">
        <is>
          <t>Program office: baseline change control - turnover</t>
        </is>
      </c>
      <c r="D136" s="12" t="inlineStr">
        <is>
          <t>UNSURE</t>
        </is>
      </c>
      <c r="E136" s="12" t="inlineStr">
        <is>
          <t>Maya Chen, Owner Project Controls</t>
        </is>
      </c>
      <c r="F136" s="12" t="inlineStr">
        <is>
          <t>Professional decision</t>
        </is>
      </c>
      <c r="G136" t="inlineStr">
        <is>
          <t>Current</t>
        </is>
      </c>
    </row>
    <row r="137" ht="34" customHeight="1">
      <c r="A137" s="12" t="inlineStr">
        <is>
          <t>Contractor Programme</t>
        </is>
      </c>
      <c r="B137" s="12" t="inlineStr">
        <is>
          <t>SCH-06-129</t>
        </is>
      </c>
      <c r="C137" s="12" t="inlineStr">
        <is>
          <t>Civil package: commercial change review - release</t>
        </is>
      </c>
      <c r="D137" s="12" t="inlineStr">
        <is>
          <t>UNSURE</t>
        </is>
      </c>
      <c r="E137" s="12" t="inlineStr">
        <is>
          <t>Maya Chen, Owner Project Controls</t>
        </is>
      </c>
      <c r="F137" s="12" t="inlineStr">
        <is>
          <t>Professional decision</t>
        </is>
      </c>
      <c r="G137" t="inlineStr">
        <is>
          <t>Current</t>
        </is>
      </c>
    </row>
    <row r="138" ht="34" customHeight="1">
      <c r="A138" s="12" t="inlineStr">
        <is>
          <t>Contractor Programme</t>
        </is>
      </c>
      <c r="B138" s="12" t="inlineStr">
        <is>
          <t>SCH-06-130</t>
        </is>
      </c>
      <c r="C138" s="12" t="inlineStr">
        <is>
          <t>Stations package: design-package integration review - field start</t>
        </is>
      </c>
      <c r="D138" s="12" t="inlineStr">
        <is>
          <t>UNSURE</t>
        </is>
      </c>
      <c r="E138" s="12" t="inlineStr">
        <is>
          <t>Maya Chen, Owner Project Controls</t>
        </is>
      </c>
      <c r="F138" s="12" t="inlineStr">
        <is>
          <t>Professional decision</t>
        </is>
      </c>
      <c r="G138" t="inlineStr">
        <is>
          <t>Current</t>
        </is>
      </c>
    </row>
    <row r="139" ht="34" customHeight="1">
      <c r="A139" s="12" t="inlineStr">
        <is>
          <t>Contractor Programme</t>
        </is>
      </c>
      <c r="B139" s="12" t="inlineStr">
        <is>
          <t>SCH-06-131</t>
        </is>
      </c>
      <c r="C139" s="12" t="inlineStr">
        <is>
          <t>Systems package: executive reporting close - installation</t>
        </is>
      </c>
      <c r="D139" s="12" t="inlineStr">
        <is>
          <t>UNSURE</t>
        </is>
      </c>
      <c r="E139" s="12" t="inlineStr">
        <is>
          <t>Maya Chen, Owner Project Controls</t>
        </is>
      </c>
      <c r="F139" s="12" t="inlineStr">
        <is>
          <t>Professional decision</t>
        </is>
      </c>
      <c r="G139" t="inlineStr">
        <is>
          <t>Current</t>
        </is>
      </c>
    </row>
    <row r="140" ht="34" customHeight="1">
      <c r="A140" s="12" t="inlineStr">
        <is>
          <t>Contractor Programme</t>
        </is>
      </c>
      <c r="B140" s="12" t="inlineStr">
        <is>
          <t>SCH-06-132</t>
        </is>
      </c>
      <c r="C140" s="12" t="inlineStr">
        <is>
          <t>Fleet package: permit coordination - inspection</t>
        </is>
      </c>
      <c r="D140" s="12" t="inlineStr">
        <is>
          <t>UNSURE</t>
        </is>
      </c>
      <c r="E140" s="12" t="inlineStr">
        <is>
          <t>Maya Chen, Owner Project Controls</t>
        </is>
      </c>
      <c r="F140" s="12" t="inlineStr">
        <is>
          <t>Professional decision</t>
        </is>
      </c>
      <c r="G140" t="inlineStr">
        <is>
          <t>Current</t>
        </is>
      </c>
    </row>
    <row r="141" ht="34" customHeight="1">
      <c r="A141" s="12" t="inlineStr">
        <is>
          <t>Contractor Programme</t>
        </is>
      </c>
      <c r="B141" s="12" t="inlineStr">
        <is>
          <t>SCH-06-133</t>
        </is>
      </c>
      <c r="C141" s="12" t="inlineStr">
        <is>
          <t>Program office: delivery risk workshop - turnover</t>
        </is>
      </c>
      <c r="D141" s="12" t="inlineStr">
        <is>
          <t>UNSURE</t>
        </is>
      </c>
      <c r="E141" s="12" t="inlineStr">
        <is>
          <t>Maya Chen, Owner Project Controls</t>
        </is>
      </c>
      <c r="F141" s="12" t="inlineStr">
        <is>
          <t>Professional decision</t>
        </is>
      </c>
      <c r="G141" t="inlineStr">
        <is>
          <t>Current</t>
        </is>
      </c>
    </row>
    <row r="142" ht="34" customHeight="1">
      <c r="A142" s="12" t="inlineStr">
        <is>
          <t>Contractor Programme</t>
        </is>
      </c>
      <c r="B142" s="12" t="inlineStr">
        <is>
          <t>SCH-06-134</t>
        </is>
      </c>
      <c r="C142" s="12" t="inlineStr">
        <is>
          <t>Civil package: monthly controls cut-off - release</t>
        </is>
      </c>
      <c r="D142" s="12" t="inlineStr">
        <is>
          <t>UNSURE</t>
        </is>
      </c>
      <c r="E142" s="12" t="inlineStr">
        <is>
          <t>Maya Chen, Owner Project Controls</t>
        </is>
      </c>
      <c r="F142" s="12" t="inlineStr">
        <is>
          <t>Professional decision</t>
        </is>
      </c>
      <c r="G142" t="inlineStr">
        <is>
          <t>Current</t>
        </is>
      </c>
    </row>
    <row r="143" ht="34" customHeight="1">
      <c r="A143" s="12" t="inlineStr">
        <is>
          <t>Contractor Programme</t>
        </is>
      </c>
      <c r="B143" s="12" t="inlineStr">
        <is>
          <t>SCH-06-135</t>
        </is>
      </c>
      <c r="C143" s="12" t="inlineStr">
        <is>
          <t>Stations package: stakeholder interface meeting - field start</t>
        </is>
      </c>
      <c r="D143" s="12" t="inlineStr">
        <is>
          <t>UNSURE</t>
        </is>
      </c>
      <c r="E143" s="12" t="inlineStr">
        <is>
          <t>Maya Chen, Owner Project Controls</t>
        </is>
      </c>
      <c r="F143" s="12" t="inlineStr">
        <is>
          <t>Professional decision</t>
        </is>
      </c>
      <c r="G143" t="inlineStr">
        <is>
          <t>Current</t>
        </is>
      </c>
    </row>
    <row r="144" ht="34" customHeight="1">
      <c r="A144" s="12" t="inlineStr">
        <is>
          <t>Contractor Programme</t>
        </is>
      </c>
      <c r="B144" s="12" t="inlineStr">
        <is>
          <t>SCH-06-136</t>
        </is>
      </c>
      <c r="C144" s="12" t="inlineStr">
        <is>
          <t>Systems package: baseline change control - installation</t>
        </is>
      </c>
      <c r="D144" s="12" t="inlineStr">
        <is>
          <t>UNSURE</t>
        </is>
      </c>
      <c r="E144" s="12" t="inlineStr">
        <is>
          <t>Maya Chen, Owner Project Controls</t>
        </is>
      </c>
      <c r="F144" s="12" t="inlineStr">
        <is>
          <t>Professional decision</t>
        </is>
      </c>
      <c r="G144" t="inlineStr">
        <is>
          <t>Current</t>
        </is>
      </c>
    </row>
    <row r="145" ht="34" customHeight="1">
      <c r="A145" s="12" t="inlineStr">
        <is>
          <t>Contractor Programme</t>
        </is>
      </c>
      <c r="B145" s="12" t="inlineStr">
        <is>
          <t>SCH-06-137</t>
        </is>
      </c>
      <c r="C145" s="12" t="inlineStr">
        <is>
          <t>Fleet package: commercial change review - inspection</t>
        </is>
      </c>
      <c r="D145" s="12" t="inlineStr">
        <is>
          <t>UNSURE</t>
        </is>
      </c>
      <c r="E145" s="12" t="inlineStr">
        <is>
          <t>Maya Chen, Owner Project Controls</t>
        </is>
      </c>
      <c r="F145" s="12" t="inlineStr">
        <is>
          <t>Professional decision</t>
        </is>
      </c>
      <c r="G145" t="inlineStr">
        <is>
          <t>Current</t>
        </is>
      </c>
    </row>
    <row r="146" ht="34" customHeight="1">
      <c r="A146" s="12" t="inlineStr">
        <is>
          <t>Contractor Programme</t>
        </is>
      </c>
      <c r="B146" s="12" t="inlineStr">
        <is>
          <t>SCH-06-138</t>
        </is>
      </c>
      <c r="C146" s="12" t="inlineStr">
        <is>
          <t>Program office: design-package integration review - turnover</t>
        </is>
      </c>
      <c r="D146" s="12" t="inlineStr">
        <is>
          <t>UNSURE</t>
        </is>
      </c>
      <c r="E146" s="12" t="inlineStr">
        <is>
          <t>Maya Chen, Owner Project Controls</t>
        </is>
      </c>
      <c r="F146" s="12" t="inlineStr">
        <is>
          <t>Professional decision</t>
        </is>
      </c>
      <c r="G146" t="inlineStr">
        <is>
          <t>Current</t>
        </is>
      </c>
    </row>
    <row r="147" ht="34" customHeight="1">
      <c r="A147" s="12" t="inlineStr">
        <is>
          <t>Contractor Programme</t>
        </is>
      </c>
      <c r="B147" s="12" t="inlineStr">
        <is>
          <t>SCH-06-139</t>
        </is>
      </c>
      <c r="C147" s="12" t="inlineStr">
        <is>
          <t>Civil package: executive reporting close - release</t>
        </is>
      </c>
      <c r="D147" s="12" t="inlineStr">
        <is>
          <t>UNSURE</t>
        </is>
      </c>
      <c r="E147" s="12" t="inlineStr">
        <is>
          <t>Maya Chen, Owner Project Controls</t>
        </is>
      </c>
      <c r="F147" s="12" t="inlineStr">
        <is>
          <t>Professional decision</t>
        </is>
      </c>
      <c r="G147" t="inlineStr">
        <is>
          <t>Current</t>
        </is>
      </c>
    </row>
    <row r="148" ht="34" customHeight="1">
      <c r="A148" s="12" t="inlineStr">
        <is>
          <t>Contractor Programme</t>
        </is>
      </c>
      <c r="B148" s="12" t="inlineStr">
        <is>
          <t>SCH-06-140</t>
        </is>
      </c>
      <c r="C148" s="12" t="inlineStr">
        <is>
          <t>Stations package: permit coordination - field start</t>
        </is>
      </c>
      <c r="D148" s="12" t="inlineStr">
        <is>
          <t>UNSURE</t>
        </is>
      </c>
      <c r="E148" s="12" t="inlineStr">
        <is>
          <t>Maya Chen, Owner Project Controls</t>
        </is>
      </c>
      <c r="F148" s="12" t="inlineStr">
        <is>
          <t>Professional decision</t>
        </is>
      </c>
      <c r="G148" t="inlineStr">
        <is>
          <t>Current</t>
        </is>
      </c>
    </row>
    <row r="149" ht="34" customHeight="1">
      <c r="A149" s="12" t="inlineStr">
        <is>
          <t>Contractor Programme</t>
        </is>
      </c>
      <c r="B149" s="12" t="inlineStr">
        <is>
          <t>SCH-06-141</t>
        </is>
      </c>
      <c r="C149" s="12" t="inlineStr">
        <is>
          <t>Systems package: delivery risk workshop - installation</t>
        </is>
      </c>
      <c r="D149" s="12" t="inlineStr">
        <is>
          <t>UNSURE</t>
        </is>
      </c>
      <c r="E149" s="12" t="inlineStr">
        <is>
          <t>Maya Chen, Owner Project Controls</t>
        </is>
      </c>
      <c r="F149" s="12" t="inlineStr">
        <is>
          <t>Professional decision</t>
        </is>
      </c>
      <c r="G149" t="inlineStr">
        <is>
          <t>Current</t>
        </is>
      </c>
    </row>
    <row r="150" ht="34" customHeight="1">
      <c r="A150" s="12" t="inlineStr">
        <is>
          <t>Contractor Programme</t>
        </is>
      </c>
      <c r="B150" s="12" t="inlineStr">
        <is>
          <t>SCH-06-142</t>
        </is>
      </c>
      <c r="C150" s="12" t="inlineStr">
        <is>
          <t>Fleet package: monthly controls cut-off - inspection</t>
        </is>
      </c>
      <c r="D150" s="12" t="inlineStr">
        <is>
          <t>UNSURE</t>
        </is>
      </c>
      <c r="E150" s="12" t="inlineStr">
        <is>
          <t>Maya Chen, Owner Project Controls</t>
        </is>
      </c>
      <c r="F150" s="12" t="inlineStr">
        <is>
          <t>Professional decision</t>
        </is>
      </c>
      <c r="G150" t="inlineStr">
        <is>
          <t>Current</t>
        </is>
      </c>
    </row>
    <row r="151" ht="34" customHeight="1">
      <c r="A151" s="12" t="inlineStr">
        <is>
          <t>Contractor Programme</t>
        </is>
      </c>
      <c r="B151" s="12" t="inlineStr">
        <is>
          <t>SCH-06-143</t>
        </is>
      </c>
      <c r="C151" s="12" t="inlineStr">
        <is>
          <t>Program office: stakeholder interface meeting - turnover</t>
        </is>
      </c>
      <c r="D151" s="12" t="inlineStr">
        <is>
          <t>UNSURE</t>
        </is>
      </c>
      <c r="E151" s="12" t="inlineStr">
        <is>
          <t>Maya Chen, Owner Project Controls</t>
        </is>
      </c>
      <c r="F151" s="12" t="inlineStr">
        <is>
          <t>Professional decision</t>
        </is>
      </c>
      <c r="G151" t="inlineStr">
        <is>
          <t>Current</t>
        </is>
      </c>
    </row>
    <row r="152" ht="34" customHeight="1">
      <c r="A152" s="12" t="inlineStr">
        <is>
          <t>Contractor Programme</t>
        </is>
      </c>
      <c r="B152" s="12" t="inlineStr">
        <is>
          <t>SCH-06-144</t>
        </is>
      </c>
      <c r="C152" s="12" t="inlineStr">
        <is>
          <t>Civil package: baseline change control - release</t>
        </is>
      </c>
      <c r="D152" s="12" t="inlineStr">
        <is>
          <t>UNSURE</t>
        </is>
      </c>
      <c r="E152" s="12" t="inlineStr">
        <is>
          <t>Maya Chen, Owner Project Controls</t>
        </is>
      </c>
      <c r="F152" s="12" t="inlineStr">
        <is>
          <t>Professional decision</t>
        </is>
      </c>
      <c r="G152" t="inlineStr">
        <is>
          <t>Current</t>
        </is>
      </c>
    </row>
    <row r="153" ht="34" customHeight="1">
      <c r="A153" s="12" t="inlineStr">
        <is>
          <t>Contractor Programme</t>
        </is>
      </c>
      <c r="B153" s="12" t="inlineStr">
        <is>
          <t>SCH-06-145</t>
        </is>
      </c>
      <c r="C153" s="12" t="inlineStr">
        <is>
          <t>Stations package: commercial change review - field start</t>
        </is>
      </c>
      <c r="D153" s="12" t="inlineStr">
        <is>
          <t>UNSURE</t>
        </is>
      </c>
      <c r="E153" s="12" t="inlineStr">
        <is>
          <t>Maya Chen, Owner Project Controls</t>
        </is>
      </c>
      <c r="F153" s="12" t="inlineStr">
        <is>
          <t>Professional decision</t>
        </is>
      </c>
      <c r="G153" t="inlineStr">
        <is>
          <t>Current</t>
        </is>
      </c>
    </row>
    <row r="154" ht="34" customHeight="1">
      <c r="A154" s="12" t="inlineStr">
        <is>
          <t>Contractor Programme</t>
        </is>
      </c>
      <c r="B154" s="12" t="inlineStr">
        <is>
          <t>SCH-06-146</t>
        </is>
      </c>
      <c r="C154" s="12" t="inlineStr">
        <is>
          <t>Systems package: design-package integration review - installation</t>
        </is>
      </c>
      <c r="D154" s="12" t="inlineStr">
        <is>
          <t>UNSURE</t>
        </is>
      </c>
      <c r="E154" s="12" t="inlineStr">
        <is>
          <t>Maya Chen, Owner Project Controls</t>
        </is>
      </c>
      <c r="F154" s="12" t="inlineStr">
        <is>
          <t>Professional decision</t>
        </is>
      </c>
      <c r="G154" t="inlineStr">
        <is>
          <t>Current</t>
        </is>
      </c>
    </row>
    <row r="155" ht="34" customHeight="1">
      <c r="A155" s="12" t="inlineStr">
        <is>
          <t>Contractor Programme</t>
        </is>
      </c>
      <c r="B155" s="12" t="inlineStr">
        <is>
          <t>SCH-06-147</t>
        </is>
      </c>
      <c r="C155" s="12" t="inlineStr">
        <is>
          <t>Fleet package: executive reporting close - inspection</t>
        </is>
      </c>
      <c r="D155" s="12" t="inlineStr">
        <is>
          <t>UNSURE</t>
        </is>
      </c>
      <c r="E155" s="12" t="inlineStr">
        <is>
          <t>Maya Chen, Owner Project Controls</t>
        </is>
      </c>
      <c r="F155" s="12" t="inlineStr">
        <is>
          <t>Professional decision</t>
        </is>
      </c>
      <c r="G155" t="inlineStr">
        <is>
          <t>Current</t>
        </is>
      </c>
    </row>
    <row r="156" ht="34" customHeight="1">
      <c r="A156" s="12" t="inlineStr">
        <is>
          <t>Contractor Programme</t>
        </is>
      </c>
      <c r="B156" s="12" t="inlineStr">
        <is>
          <t>SCH-06-148</t>
        </is>
      </c>
      <c r="C156" s="12" t="inlineStr">
        <is>
          <t>Program office: permit coordination - turnover</t>
        </is>
      </c>
      <c r="D156" s="12" t="inlineStr">
        <is>
          <t>UNSURE</t>
        </is>
      </c>
      <c r="E156" s="12" t="inlineStr">
        <is>
          <t>Maya Chen, Owner Project Controls</t>
        </is>
      </c>
      <c r="F156" s="12" t="inlineStr">
        <is>
          <t>Professional decision</t>
        </is>
      </c>
      <c r="G156" t="inlineStr">
        <is>
          <t>Current</t>
        </is>
      </c>
    </row>
    <row r="157" ht="34" customHeight="1">
      <c r="A157" s="12" t="inlineStr">
        <is>
          <t>Contractor Programme</t>
        </is>
      </c>
      <c r="B157" s="12" t="inlineStr">
        <is>
          <t>SCH-06-149</t>
        </is>
      </c>
      <c r="C157" s="12" t="inlineStr">
        <is>
          <t>Civil package: delivery risk workshop - release</t>
        </is>
      </c>
      <c r="D157" s="12" t="inlineStr">
        <is>
          <t>UNSURE</t>
        </is>
      </c>
      <c r="E157" s="12" t="inlineStr">
        <is>
          <t>Maya Chen, Owner Project Controls</t>
        </is>
      </c>
      <c r="F157" s="12" t="inlineStr">
        <is>
          <t>Professional decision</t>
        </is>
      </c>
      <c r="G157" t="inlineStr">
        <is>
          <t>Current</t>
        </is>
      </c>
    </row>
    <row r="158" ht="34" customHeight="1">
      <c r="A158" s="12" t="inlineStr">
        <is>
          <t>Contractor Programme</t>
        </is>
      </c>
      <c r="B158" s="12" t="inlineStr">
        <is>
          <t>SCH-06-150</t>
        </is>
      </c>
      <c r="C158" s="12" t="inlineStr">
        <is>
          <t>Stations package: monthly controls cut-off - field start</t>
        </is>
      </c>
      <c r="D158" s="12" t="inlineStr">
        <is>
          <t>UNSURE</t>
        </is>
      </c>
      <c r="E158" s="12" t="inlineStr">
        <is>
          <t>Maya Chen, Owner Project Controls</t>
        </is>
      </c>
      <c r="F158" s="12" t="inlineStr">
        <is>
          <t>Professional decision</t>
        </is>
      </c>
      <c r="G158" t="inlineStr">
        <is>
          <t>Current</t>
        </is>
      </c>
    </row>
    <row r="159" ht="34" customHeight="1">
      <c r="A159" s="12" t="inlineStr">
        <is>
          <t>Contractor Programme</t>
        </is>
      </c>
      <c r="B159" s="12" t="inlineStr">
        <is>
          <t>SCH-06-151</t>
        </is>
      </c>
      <c r="C159" s="12" t="inlineStr">
        <is>
          <t>Systems package: stakeholder interface meeting - installation</t>
        </is>
      </c>
      <c r="D159" s="12" t="inlineStr">
        <is>
          <t>UNSURE</t>
        </is>
      </c>
      <c r="E159" s="12" t="inlineStr">
        <is>
          <t>Maya Chen, Owner Project Controls</t>
        </is>
      </c>
      <c r="F159" s="12" t="inlineStr">
        <is>
          <t>Professional decision</t>
        </is>
      </c>
      <c r="G159" t="inlineStr">
        <is>
          <t>Current</t>
        </is>
      </c>
    </row>
    <row r="160" ht="34" customHeight="1">
      <c r="A160" s="12" t="inlineStr">
        <is>
          <t>Contractor Programme</t>
        </is>
      </c>
      <c r="B160" s="12" t="inlineStr">
        <is>
          <t>SCH-06-152</t>
        </is>
      </c>
      <c r="C160" s="12" t="inlineStr">
        <is>
          <t>Fleet package: baseline change control - inspection</t>
        </is>
      </c>
      <c r="D160" s="12" t="inlineStr">
        <is>
          <t>UNSURE</t>
        </is>
      </c>
      <c r="E160" s="12" t="inlineStr">
        <is>
          <t>Maya Chen, Owner Project Controls</t>
        </is>
      </c>
      <c r="F160" s="12" t="inlineStr">
        <is>
          <t>Professional decision</t>
        </is>
      </c>
      <c r="G160" t="inlineStr">
        <is>
          <t>Current</t>
        </is>
      </c>
    </row>
    <row r="161" ht="34" customHeight="1">
      <c r="A161" s="12" t="inlineStr">
        <is>
          <t>Contractor Programme</t>
        </is>
      </c>
      <c r="B161" s="12" t="inlineStr">
        <is>
          <t>SCH-06-153</t>
        </is>
      </c>
      <c r="C161" s="12" t="inlineStr">
        <is>
          <t>Program office: commercial change review - turnover</t>
        </is>
      </c>
      <c r="D161" s="12" t="inlineStr">
        <is>
          <t>UNSURE</t>
        </is>
      </c>
      <c r="E161" s="12" t="inlineStr">
        <is>
          <t>Maya Chen, Owner Project Controls</t>
        </is>
      </c>
      <c r="F161" s="12" t="inlineStr">
        <is>
          <t>Professional decision</t>
        </is>
      </c>
      <c r="G161" t="inlineStr">
        <is>
          <t>Current</t>
        </is>
      </c>
    </row>
    <row r="162" ht="34" customHeight="1">
      <c r="A162" s="12" t="inlineStr">
        <is>
          <t>Contractor Programme</t>
        </is>
      </c>
      <c r="B162" s="12" t="inlineStr">
        <is>
          <t>SCH-06-154</t>
        </is>
      </c>
      <c r="C162" s="12" t="inlineStr">
        <is>
          <t>Civil package: design-package integration review - release</t>
        </is>
      </c>
      <c r="D162" s="12" t="inlineStr">
        <is>
          <t>UNSURE</t>
        </is>
      </c>
      <c r="E162" s="12" t="inlineStr">
        <is>
          <t>Maya Chen, Owner Project Controls</t>
        </is>
      </c>
      <c r="F162" s="12" t="inlineStr">
        <is>
          <t>Professional decision</t>
        </is>
      </c>
      <c r="G162" t="inlineStr">
        <is>
          <t>Current</t>
        </is>
      </c>
    </row>
    <row r="163" ht="34" customHeight="1">
      <c r="A163" s="12" t="inlineStr">
        <is>
          <t>Contractor Programme</t>
        </is>
      </c>
      <c r="B163" s="12" t="inlineStr">
        <is>
          <t>SCH-06-155</t>
        </is>
      </c>
      <c r="C163" s="12" t="inlineStr">
        <is>
          <t>Stations package: executive reporting close - field start</t>
        </is>
      </c>
      <c r="D163" s="12" t="inlineStr">
        <is>
          <t>UNSURE</t>
        </is>
      </c>
      <c r="E163" s="12" t="inlineStr">
        <is>
          <t>Maya Chen, Owner Project Controls</t>
        </is>
      </c>
      <c r="F163" s="12" t="inlineStr">
        <is>
          <t>Professional decision</t>
        </is>
      </c>
      <c r="G163" t="inlineStr">
        <is>
          <t>Current</t>
        </is>
      </c>
    </row>
    <row r="164" ht="34" customHeight="1">
      <c r="A164" s="12" t="inlineStr">
        <is>
          <t>Contractor Programme</t>
        </is>
      </c>
      <c r="B164" s="12" t="inlineStr">
        <is>
          <t>SCH-06-156</t>
        </is>
      </c>
      <c r="C164" s="12" t="inlineStr">
        <is>
          <t>Systems package: permit coordination - installation</t>
        </is>
      </c>
      <c r="D164" s="12" t="inlineStr">
        <is>
          <t>UNSURE</t>
        </is>
      </c>
      <c r="E164" s="12" t="inlineStr">
        <is>
          <t>Maya Chen, Owner Project Controls</t>
        </is>
      </c>
      <c r="F164" s="12" t="inlineStr">
        <is>
          <t>Professional decision</t>
        </is>
      </c>
      <c r="G164" t="inlineStr">
        <is>
          <t>Current</t>
        </is>
      </c>
    </row>
    <row r="165" ht="34" customHeight="1">
      <c r="A165" s="12" t="inlineStr">
        <is>
          <t>Contractor Programme</t>
        </is>
      </c>
      <c r="B165" s="12" t="inlineStr">
        <is>
          <t>SCH-06-157</t>
        </is>
      </c>
      <c r="C165" s="12" t="inlineStr">
        <is>
          <t>Fleet package: delivery risk workshop - inspection</t>
        </is>
      </c>
      <c r="D165" s="12" t="inlineStr">
        <is>
          <t>UNSURE</t>
        </is>
      </c>
      <c r="E165" s="12" t="inlineStr">
        <is>
          <t>Maya Chen, Owner Project Controls</t>
        </is>
      </c>
      <c r="F165" s="12" t="inlineStr">
        <is>
          <t>Professional decision</t>
        </is>
      </c>
      <c r="G165" t="inlineStr">
        <is>
          <t>Current</t>
        </is>
      </c>
    </row>
    <row r="166" ht="34" customHeight="1">
      <c r="A166" s="12" t="inlineStr">
        <is>
          <t>Contractor Programme</t>
        </is>
      </c>
      <c r="B166" s="12" t="inlineStr">
        <is>
          <t>SCH-06-158</t>
        </is>
      </c>
      <c r="C166" s="12" t="inlineStr">
        <is>
          <t>Program office: monthly controls cut-off - turnover</t>
        </is>
      </c>
      <c r="D166" s="12" t="inlineStr">
        <is>
          <t>UNSURE</t>
        </is>
      </c>
      <c r="E166" s="12" t="inlineStr">
        <is>
          <t>Maya Chen, Owner Project Controls</t>
        </is>
      </c>
      <c r="F166" s="12" t="inlineStr">
        <is>
          <t>Professional decision</t>
        </is>
      </c>
      <c r="G166" t="inlineStr">
        <is>
          <t>Current</t>
        </is>
      </c>
    </row>
    <row r="167" ht="34" customHeight="1">
      <c r="A167" s="12" t="inlineStr">
        <is>
          <t>Contractor Programme</t>
        </is>
      </c>
      <c r="B167" s="12" t="inlineStr">
        <is>
          <t>SCH-06-159</t>
        </is>
      </c>
      <c r="C167" s="12" t="inlineStr">
        <is>
          <t>Civil package: stakeholder interface meeting - release</t>
        </is>
      </c>
      <c r="D167" s="12" t="inlineStr">
        <is>
          <t>UNSURE</t>
        </is>
      </c>
      <c r="E167" s="12" t="inlineStr">
        <is>
          <t>Maya Chen, Owner Project Controls</t>
        </is>
      </c>
      <c r="F167" s="12" t="inlineStr">
        <is>
          <t>Professional decision</t>
        </is>
      </c>
      <c r="G167" t="inlineStr">
        <is>
          <t>Current</t>
        </is>
      </c>
    </row>
    <row r="168" ht="34" customHeight="1">
      <c r="A168" s="12" t="inlineStr">
        <is>
          <t>Contractor Programme</t>
        </is>
      </c>
      <c r="B168" s="12" t="inlineStr">
        <is>
          <t>SCH-06-160</t>
        </is>
      </c>
      <c r="C168" s="12" t="inlineStr">
        <is>
          <t>Stations package: baseline change control - field start</t>
        </is>
      </c>
      <c r="D168" s="12" t="inlineStr">
        <is>
          <t>UNSURE</t>
        </is>
      </c>
      <c r="E168" s="12" t="inlineStr">
        <is>
          <t>Maya Chen, Owner Project Controls</t>
        </is>
      </c>
      <c r="F168" s="12" t="inlineStr">
        <is>
          <t>Professional decision</t>
        </is>
      </c>
      <c r="G168" t="inlineStr">
        <is>
          <t>Current</t>
        </is>
      </c>
    </row>
    <row r="169" ht="34" customHeight="1">
      <c r="A169" s="12" t="inlineStr">
        <is>
          <t>Contractor Programme</t>
        </is>
      </c>
      <c r="B169" s="12" t="inlineStr">
        <is>
          <t>SCH-06-161</t>
        </is>
      </c>
      <c r="C169" s="12" t="inlineStr">
        <is>
          <t>Systems package: commercial change review - installation</t>
        </is>
      </c>
      <c r="D169" s="12" t="inlineStr">
        <is>
          <t>UNSURE</t>
        </is>
      </c>
      <c r="E169" s="12" t="inlineStr">
        <is>
          <t>Maya Chen, Owner Project Controls</t>
        </is>
      </c>
      <c r="F169" s="12" t="inlineStr">
        <is>
          <t>Professional decision</t>
        </is>
      </c>
      <c r="G169" t="inlineStr">
        <is>
          <t>Current</t>
        </is>
      </c>
    </row>
    <row r="170" ht="34" customHeight="1">
      <c r="A170" s="12" t="inlineStr">
        <is>
          <t>Contractor Programme</t>
        </is>
      </c>
      <c r="B170" s="12" t="inlineStr">
        <is>
          <t>SCH-06-162</t>
        </is>
      </c>
      <c r="C170" s="12" t="inlineStr">
        <is>
          <t>Fleet package: design-package integration review - inspection</t>
        </is>
      </c>
      <c r="D170" s="12" t="inlineStr">
        <is>
          <t>UNSURE</t>
        </is>
      </c>
      <c r="E170" s="12" t="inlineStr">
        <is>
          <t>Maya Chen, Owner Project Controls</t>
        </is>
      </c>
      <c r="F170" s="12" t="inlineStr">
        <is>
          <t>Professional decision</t>
        </is>
      </c>
      <c r="G170" t="inlineStr">
        <is>
          <t>Current</t>
        </is>
      </c>
    </row>
    <row r="171" ht="34" customHeight="1">
      <c r="A171" s="12" t="inlineStr">
        <is>
          <t>Contractor Programme</t>
        </is>
      </c>
      <c r="B171" s="12" t="inlineStr">
        <is>
          <t>SCH-06-163</t>
        </is>
      </c>
      <c r="C171" s="12" t="inlineStr">
        <is>
          <t>Program office: executive reporting close - turnover</t>
        </is>
      </c>
      <c r="D171" s="12" t="inlineStr">
        <is>
          <t>UNSURE</t>
        </is>
      </c>
      <c r="E171" s="12" t="inlineStr">
        <is>
          <t>Maya Chen, Owner Project Controls</t>
        </is>
      </c>
      <c r="F171" s="12" t="inlineStr">
        <is>
          <t>Professional decision</t>
        </is>
      </c>
      <c r="G171" t="inlineStr">
        <is>
          <t>Current</t>
        </is>
      </c>
    </row>
    <row r="172" ht="34" customHeight="1">
      <c r="A172" s="12" t="inlineStr">
        <is>
          <t>Contractor Programme</t>
        </is>
      </c>
      <c r="B172" s="12" t="inlineStr">
        <is>
          <t>SCH-06-164</t>
        </is>
      </c>
      <c r="C172" s="12" t="inlineStr">
        <is>
          <t>Civil package: permit coordination - release</t>
        </is>
      </c>
      <c r="D172" s="12" t="inlineStr">
        <is>
          <t>UNSURE</t>
        </is>
      </c>
      <c r="E172" s="12" t="inlineStr">
        <is>
          <t>Maya Chen, Owner Project Controls</t>
        </is>
      </c>
      <c r="F172" s="12" t="inlineStr">
        <is>
          <t>Professional decision</t>
        </is>
      </c>
      <c r="G172" t="inlineStr">
        <is>
          <t>Current</t>
        </is>
      </c>
    </row>
    <row r="173" ht="34" customHeight="1">
      <c r="A173" s="12" t="inlineStr">
        <is>
          <t>Contractor Programme</t>
        </is>
      </c>
      <c r="B173" s="12" t="inlineStr">
        <is>
          <t>SCH-06-165</t>
        </is>
      </c>
      <c r="C173" s="12" t="inlineStr">
        <is>
          <t>Stations package: delivery risk workshop - field start</t>
        </is>
      </c>
      <c r="D173" s="12" t="inlineStr">
        <is>
          <t>UNSURE</t>
        </is>
      </c>
      <c r="E173" s="12" t="inlineStr">
        <is>
          <t>Maya Chen, Owner Project Controls</t>
        </is>
      </c>
      <c r="F173" s="12" t="inlineStr">
        <is>
          <t>Professional decision</t>
        </is>
      </c>
      <c r="G173" t="inlineStr">
        <is>
          <t>Current</t>
        </is>
      </c>
    </row>
    <row r="174" ht="34" customHeight="1">
      <c r="A174" s="12" t="inlineStr">
        <is>
          <t>Contractor Programme</t>
        </is>
      </c>
      <c r="B174" s="12" t="inlineStr">
        <is>
          <t>SCH-06-166</t>
        </is>
      </c>
      <c r="C174" s="12" t="inlineStr">
        <is>
          <t>Systems package: monthly controls cut-off - installation</t>
        </is>
      </c>
      <c r="D174" s="12" t="inlineStr">
        <is>
          <t>UNSURE</t>
        </is>
      </c>
      <c r="E174" s="12" t="inlineStr">
        <is>
          <t>Maya Chen, Owner Project Controls</t>
        </is>
      </c>
      <c r="F174" s="12" t="inlineStr">
        <is>
          <t>Professional decision</t>
        </is>
      </c>
      <c r="G174" t="inlineStr">
        <is>
          <t>Current</t>
        </is>
      </c>
    </row>
    <row r="175" ht="34" customHeight="1">
      <c r="A175" s="12" t="inlineStr">
        <is>
          <t>Contractor Programme</t>
        </is>
      </c>
      <c r="B175" s="12" t="inlineStr">
        <is>
          <t>SCH-06-167</t>
        </is>
      </c>
      <c r="C175" s="12" t="inlineStr">
        <is>
          <t>Fleet package: stakeholder interface meeting - inspection</t>
        </is>
      </c>
      <c r="D175" s="12" t="inlineStr">
        <is>
          <t>UNSURE</t>
        </is>
      </c>
      <c r="E175" s="12" t="inlineStr">
        <is>
          <t>Maya Chen, Owner Project Controls</t>
        </is>
      </c>
      <c r="F175" s="12" t="inlineStr">
        <is>
          <t>Professional decision</t>
        </is>
      </c>
      <c r="G175" t="inlineStr">
        <is>
          <t>Current</t>
        </is>
      </c>
    </row>
    <row r="176" ht="34" customHeight="1">
      <c r="A176" s="12" t="inlineStr">
        <is>
          <t>Contractor Programme</t>
        </is>
      </c>
      <c r="B176" s="12" t="inlineStr">
        <is>
          <t>SCH-06-168</t>
        </is>
      </c>
      <c r="C176" s="12" t="inlineStr">
        <is>
          <t>Program office: baseline change control - turnover</t>
        </is>
      </c>
      <c r="D176" s="12" t="inlineStr">
        <is>
          <t>UNSURE</t>
        </is>
      </c>
      <c r="E176" s="12" t="inlineStr">
        <is>
          <t>Maya Chen, Owner Project Controls</t>
        </is>
      </c>
      <c r="F176" s="12" t="inlineStr">
        <is>
          <t>Professional decision</t>
        </is>
      </c>
      <c r="G176" t="inlineStr">
        <is>
          <t>Current</t>
        </is>
      </c>
    </row>
    <row r="177" ht="34" customHeight="1">
      <c r="A177" s="12" t="inlineStr">
        <is>
          <t>Contractor Programme</t>
        </is>
      </c>
      <c r="B177" s="12" t="inlineStr">
        <is>
          <t>SCH-06-169</t>
        </is>
      </c>
      <c r="C177" s="12" t="inlineStr">
        <is>
          <t>Civil package: commercial change review - release</t>
        </is>
      </c>
      <c r="D177" s="12" t="inlineStr">
        <is>
          <t>UNSURE</t>
        </is>
      </c>
      <c r="E177" s="12" t="inlineStr">
        <is>
          <t>Maya Chen, Owner Project Controls</t>
        </is>
      </c>
      <c r="F177" s="12" t="inlineStr">
        <is>
          <t>Professional decision</t>
        </is>
      </c>
      <c r="G177" t="inlineStr">
        <is>
          <t>Current</t>
        </is>
      </c>
    </row>
    <row r="178" ht="34" customHeight="1">
      <c r="A178" s="12" t="inlineStr">
        <is>
          <t>Contractor Programme</t>
        </is>
      </c>
      <c r="B178" s="12" t="inlineStr">
        <is>
          <t>SCH-06-170</t>
        </is>
      </c>
      <c r="C178" s="12" t="inlineStr">
        <is>
          <t>Stations package: design-package integration review - field start</t>
        </is>
      </c>
      <c r="D178" s="12" t="inlineStr">
        <is>
          <t>UNSURE</t>
        </is>
      </c>
      <c r="E178" s="12" t="inlineStr">
        <is>
          <t>Maya Chen, Owner Project Controls</t>
        </is>
      </c>
      <c r="F178" s="12" t="inlineStr">
        <is>
          <t>Professional decision</t>
        </is>
      </c>
      <c r="G178" t="inlineStr">
        <is>
          <t>Current</t>
        </is>
      </c>
    </row>
    <row r="179" ht="34" customHeight="1">
      <c r="A179" s="12" t="inlineStr">
        <is>
          <t>Contractor Programme</t>
        </is>
      </c>
      <c r="B179" s="12" t="inlineStr">
        <is>
          <t>SCH-06-171</t>
        </is>
      </c>
      <c r="C179" s="12" t="inlineStr">
        <is>
          <t>Systems package: executive reporting close - installation</t>
        </is>
      </c>
      <c r="D179" s="12" t="inlineStr">
        <is>
          <t>UNSURE</t>
        </is>
      </c>
      <c r="E179" s="12" t="inlineStr">
        <is>
          <t>Maya Chen, Owner Project Controls</t>
        </is>
      </c>
      <c r="F179" s="12" t="inlineStr">
        <is>
          <t>Professional decision</t>
        </is>
      </c>
      <c r="G179" t="inlineStr">
        <is>
          <t>Current</t>
        </is>
      </c>
    </row>
    <row r="180" ht="34" customHeight="1">
      <c r="A180" s="12" t="inlineStr">
        <is>
          <t>Contractor Programme</t>
        </is>
      </c>
      <c r="B180" s="12" t="inlineStr">
        <is>
          <t>SCH-06-172</t>
        </is>
      </c>
      <c r="C180" s="12" t="inlineStr">
        <is>
          <t>Fleet package: permit coordination - inspection</t>
        </is>
      </c>
      <c r="D180" s="12" t="inlineStr">
        <is>
          <t>UNSURE</t>
        </is>
      </c>
      <c r="E180" s="12" t="inlineStr">
        <is>
          <t>Maya Chen, Owner Project Controls</t>
        </is>
      </c>
      <c r="F180" s="12" t="inlineStr">
        <is>
          <t>Professional decision</t>
        </is>
      </c>
      <c r="G180" t="inlineStr">
        <is>
          <t>Current</t>
        </is>
      </c>
    </row>
    <row r="181" ht="34" customHeight="1">
      <c r="A181" s="12" t="inlineStr">
        <is>
          <t>Contractor Programme</t>
        </is>
      </c>
      <c r="B181" s="12" t="inlineStr">
        <is>
          <t>SCH-06-173</t>
        </is>
      </c>
      <c r="C181" s="12" t="inlineStr">
        <is>
          <t>Program office: delivery risk workshop - turnover</t>
        </is>
      </c>
      <c r="D181" s="12" t="inlineStr">
        <is>
          <t>UNSURE</t>
        </is>
      </c>
      <c r="E181" s="12" t="inlineStr">
        <is>
          <t>Maya Chen, Owner Project Controls</t>
        </is>
      </c>
      <c r="F181" s="12" t="inlineStr">
        <is>
          <t>Professional decision</t>
        </is>
      </c>
      <c r="G181" t="inlineStr">
        <is>
          <t>Current</t>
        </is>
      </c>
    </row>
    <row r="182" ht="34" customHeight="1">
      <c r="A182" s="12" t="inlineStr">
        <is>
          <t>Contractor Programme</t>
        </is>
      </c>
      <c r="B182" s="12" t="inlineStr">
        <is>
          <t>SCH-06-174</t>
        </is>
      </c>
      <c r="C182" s="12" t="inlineStr">
        <is>
          <t>Civil package: monthly controls cut-off - release</t>
        </is>
      </c>
      <c r="D182" s="12" t="inlineStr">
        <is>
          <t>UNSURE</t>
        </is>
      </c>
      <c r="E182" s="12" t="inlineStr">
        <is>
          <t>Maya Chen, Owner Project Controls</t>
        </is>
      </c>
      <c r="F182" s="12" t="inlineStr">
        <is>
          <t>Professional decision</t>
        </is>
      </c>
      <c r="G182" t="inlineStr">
        <is>
          <t>Current</t>
        </is>
      </c>
    </row>
    <row r="183" ht="34" customHeight="1">
      <c r="A183" s="12" t="inlineStr">
        <is>
          <t>Contractor Programme</t>
        </is>
      </c>
      <c r="B183" s="12" t="inlineStr">
        <is>
          <t>SCH-06-175</t>
        </is>
      </c>
      <c r="C183" s="12" t="inlineStr">
        <is>
          <t>Stations package: stakeholder interface meeting - field start</t>
        </is>
      </c>
      <c r="D183" s="12" t="inlineStr">
        <is>
          <t>UNSURE</t>
        </is>
      </c>
      <c r="E183" s="12" t="inlineStr">
        <is>
          <t>Maya Chen, Owner Project Controls</t>
        </is>
      </c>
      <c r="F183" s="12" t="inlineStr">
        <is>
          <t>Professional decision</t>
        </is>
      </c>
      <c r="G183" t="inlineStr">
        <is>
          <t>Current</t>
        </is>
      </c>
    </row>
    <row r="184" ht="34" customHeight="1">
      <c r="A184" s="12" t="inlineStr">
        <is>
          <t>Contractor Programme</t>
        </is>
      </c>
      <c r="B184" s="12" t="inlineStr">
        <is>
          <t>SCH-06-176</t>
        </is>
      </c>
      <c r="C184" s="12" t="inlineStr">
        <is>
          <t>Systems package: baseline change control - installation</t>
        </is>
      </c>
      <c r="D184" s="12" t="inlineStr">
        <is>
          <t>UNSURE</t>
        </is>
      </c>
      <c r="E184" s="12" t="inlineStr">
        <is>
          <t>Maya Chen, Owner Project Controls</t>
        </is>
      </c>
      <c r="F184" s="12" t="inlineStr">
        <is>
          <t>Professional decision</t>
        </is>
      </c>
      <c r="G184" t="inlineStr">
        <is>
          <t>Current</t>
        </is>
      </c>
    </row>
    <row r="185" ht="34" customHeight="1">
      <c r="A185" s="12" t="inlineStr">
        <is>
          <t>Contractor Programme</t>
        </is>
      </c>
      <c r="B185" s="12" t="inlineStr">
        <is>
          <t>SCH-06-177</t>
        </is>
      </c>
      <c r="C185" s="12" t="inlineStr">
        <is>
          <t>Fleet package: commercial change review - inspection</t>
        </is>
      </c>
      <c r="D185" s="12" t="inlineStr">
        <is>
          <t>UNSURE</t>
        </is>
      </c>
      <c r="E185" s="12" t="inlineStr">
        <is>
          <t>Maya Chen, Owner Project Controls</t>
        </is>
      </c>
      <c r="F185" s="12" t="inlineStr">
        <is>
          <t>Professional decision</t>
        </is>
      </c>
      <c r="G185" t="inlineStr">
        <is>
          <t>Current</t>
        </is>
      </c>
    </row>
    <row r="186" ht="34" customHeight="1">
      <c r="A186" s="12" t="inlineStr">
        <is>
          <t>Contractor Programme</t>
        </is>
      </c>
      <c r="B186" s="12" t="inlineStr">
        <is>
          <t>SCH-06-178</t>
        </is>
      </c>
      <c r="C186" s="12" t="inlineStr">
        <is>
          <t>Program office: design-package integration review - turnover</t>
        </is>
      </c>
      <c r="D186" s="12" t="inlineStr">
        <is>
          <t>UNSURE</t>
        </is>
      </c>
      <c r="E186" s="12" t="inlineStr">
        <is>
          <t>Maya Chen, Owner Project Controls</t>
        </is>
      </c>
      <c r="F186" s="12" t="inlineStr">
        <is>
          <t>Professional decision</t>
        </is>
      </c>
      <c r="G186" t="inlineStr">
        <is>
          <t>Current</t>
        </is>
      </c>
    </row>
    <row r="187" ht="34" customHeight="1">
      <c r="A187" s="12" t="inlineStr">
        <is>
          <t>Contractor Programme</t>
        </is>
      </c>
      <c r="B187" s="12" t="inlineStr">
        <is>
          <t>SCH-06-179</t>
        </is>
      </c>
      <c r="C187" s="12" t="inlineStr">
        <is>
          <t>Civil package: executive reporting close - release</t>
        </is>
      </c>
      <c r="D187" s="12" t="inlineStr">
        <is>
          <t>UNSURE</t>
        </is>
      </c>
      <c r="E187" s="12" t="inlineStr">
        <is>
          <t>Maya Chen, Owner Project Controls</t>
        </is>
      </c>
      <c r="F187" s="12" t="inlineStr">
        <is>
          <t>Professional decision</t>
        </is>
      </c>
      <c r="G187" t="inlineStr">
        <is>
          <t>Current</t>
        </is>
      </c>
    </row>
    <row r="188" ht="34" customHeight="1">
      <c r="A188" s="12" t="inlineStr">
        <is>
          <t>Contractor Programme</t>
        </is>
      </c>
      <c r="B188" s="12" t="inlineStr">
        <is>
          <t>SCH-06-180</t>
        </is>
      </c>
      <c r="C188" s="12" t="inlineStr">
        <is>
          <t>Stations package: permit coordination - field start</t>
        </is>
      </c>
      <c r="D188" s="12" t="inlineStr">
        <is>
          <t>UNSURE</t>
        </is>
      </c>
      <c r="E188" s="12" t="inlineStr">
        <is>
          <t>Maya Chen, Owner Project Controls</t>
        </is>
      </c>
      <c r="F188" s="12" t="inlineStr">
        <is>
          <t>Professional decision</t>
        </is>
      </c>
      <c r="G188" t="inlineStr">
        <is>
          <t>Current</t>
        </is>
      </c>
    </row>
    <row r="189" ht="34" customHeight="1">
      <c r="A189" s="12" t="inlineStr">
        <is>
          <t>Cost &amp; Forecast Control Accounts</t>
        </is>
      </c>
      <c r="B189" s="12" t="inlineStr">
        <is>
          <t>CST-03-004</t>
        </is>
      </c>
      <c r="C189" s="12" t="inlineStr">
        <is>
          <t>Systems - systems integration - professional services</t>
        </is>
      </c>
      <c r="D189" s="12" t="inlineStr">
        <is>
          <t>UNSURE</t>
        </is>
      </c>
      <c r="E189" s="12" t="inlineStr">
        <is>
          <t>Maya Chen, Owner Project Controls</t>
        </is>
      </c>
      <c r="F189" s="12" t="inlineStr">
        <is>
          <t>Professional decision</t>
        </is>
      </c>
      <c r="G189" t="inlineStr">
        <is>
          <t>Current</t>
        </is>
      </c>
    </row>
    <row r="190" ht="34" customHeight="1">
      <c r="A190" s="12" t="inlineStr">
        <is>
          <t>Cost &amp; Forecast Control Accounts</t>
        </is>
      </c>
      <c r="B190" s="12" t="inlineStr">
        <is>
          <t>CST-05-001</t>
        </is>
      </c>
      <c r="C190" s="12" t="inlineStr">
        <is>
          <t>Testing &amp; readiness - trial running - control account</t>
        </is>
      </c>
      <c r="D190" s="12" t="inlineStr">
        <is>
          <t>UNSURE</t>
        </is>
      </c>
      <c r="E190" s="12" t="inlineStr">
        <is>
          <t>Maya Chen, Owner Project Controls</t>
        </is>
      </c>
      <c r="F190" s="12" t="inlineStr">
        <is>
          <t>Professional decision</t>
        </is>
      </c>
      <c r="G190" t="inlineStr">
        <is>
          <t>Current</t>
        </is>
      </c>
    </row>
    <row r="191" ht="34" customHeight="1">
      <c r="A191" s="12" t="inlineStr">
        <is>
          <t>Cost &amp; Forecast Control Accounts</t>
        </is>
      </c>
      <c r="B191" s="12" t="inlineStr">
        <is>
          <t>CST-05-002</t>
        </is>
      </c>
      <c r="C191" s="12" t="inlineStr">
        <is>
          <t>Testing &amp; readiness - safety certification - control account</t>
        </is>
      </c>
      <c r="D191" s="12" t="inlineStr">
        <is>
          <t>UNSURE</t>
        </is>
      </c>
      <c r="E191" s="12" t="inlineStr">
        <is>
          <t>Maya Chen, Owner Project Controls</t>
        </is>
      </c>
      <c r="F191" s="12" t="inlineStr">
        <is>
          <t>Professional decision</t>
        </is>
      </c>
      <c r="G191" t="inlineStr">
        <is>
          <t>Current</t>
        </is>
      </c>
    </row>
    <row r="192" ht="34" customHeight="1">
      <c r="A192" s="12" t="inlineStr">
        <is>
          <t>Cost &amp; Forecast Control Accounts</t>
        </is>
      </c>
      <c r="B192" s="12" t="inlineStr">
        <is>
          <t>CST-05-003</t>
        </is>
      </c>
      <c r="C192" s="12" t="inlineStr">
        <is>
          <t>Testing &amp; readiness - defect closeout - control account</t>
        </is>
      </c>
      <c r="D192" s="12" t="inlineStr">
        <is>
          <t>UNSURE</t>
        </is>
      </c>
      <c r="E192" s="12" t="inlineStr">
        <is>
          <t>Maya Chen, Owner Project Controls</t>
        </is>
      </c>
      <c r="F192" s="12" t="inlineStr">
        <is>
          <t>Professional decision</t>
        </is>
      </c>
      <c r="G192" t="inlineStr">
        <is>
          <t>Current</t>
        </is>
      </c>
    </row>
    <row r="193" ht="34" customHeight="1">
      <c r="A193" s="12" t="inlineStr">
        <is>
          <t>Cost &amp; Forecast Control Accounts</t>
        </is>
      </c>
      <c r="B193" s="12" t="inlineStr">
        <is>
          <t>CST-05-004</t>
        </is>
      </c>
      <c r="C193" s="12" t="inlineStr">
        <is>
          <t>Testing &amp; readiness - test management - control account</t>
        </is>
      </c>
      <c r="D193" s="12" t="inlineStr">
        <is>
          <t>UNSURE</t>
        </is>
      </c>
      <c r="E193" s="12" t="inlineStr">
        <is>
          <t>Maya Chen, Owner Project Controls</t>
        </is>
      </c>
      <c r="F193" s="12" t="inlineStr">
        <is>
          <t>Professional decision</t>
        </is>
      </c>
      <c r="G193" t="inlineStr">
        <is>
          <t>Current</t>
        </is>
      </c>
    </row>
    <row r="194" ht="34" customHeight="1">
      <c r="A194" s="12" t="inlineStr">
        <is>
          <t>Cost &amp; Forecast Control Accounts</t>
        </is>
      </c>
      <c r="B194" s="12" t="inlineStr">
        <is>
          <t>CST-05-005</t>
        </is>
      </c>
      <c r="C194" s="12" t="inlineStr">
        <is>
          <t>Testing &amp; readiness - trial running - control account</t>
        </is>
      </c>
      <c r="D194" s="12" t="inlineStr">
        <is>
          <t>UNSURE</t>
        </is>
      </c>
      <c r="E194" s="12" t="inlineStr">
        <is>
          <t>Maya Chen, Owner Project Controls</t>
        </is>
      </c>
      <c r="F194" s="12" t="inlineStr">
        <is>
          <t>Professional decision</t>
        </is>
      </c>
      <c r="G194" t="inlineStr">
        <is>
          <t>Current</t>
        </is>
      </c>
    </row>
    <row r="195" ht="34" customHeight="1">
      <c r="A195" s="12" t="inlineStr">
        <is>
          <t>Cost &amp; Forecast Control Accounts</t>
        </is>
      </c>
      <c r="B195" s="12" t="inlineStr">
        <is>
          <t>CST-05-006</t>
        </is>
      </c>
      <c r="C195" s="12" t="inlineStr">
        <is>
          <t>Testing &amp; readiness - safety certification - control account</t>
        </is>
      </c>
      <c r="D195" s="12" t="inlineStr">
        <is>
          <t>UNSURE</t>
        </is>
      </c>
      <c r="E195" s="12" t="inlineStr">
        <is>
          <t>Maya Chen, Owner Project Controls</t>
        </is>
      </c>
      <c r="F195" s="12" t="inlineStr">
        <is>
          <t>Professional decision</t>
        </is>
      </c>
      <c r="G195" t="inlineStr">
        <is>
          <t>Current</t>
        </is>
      </c>
    </row>
    <row r="196" ht="34" customHeight="1">
      <c r="A196" s="12" t="inlineStr">
        <is>
          <t>Cost &amp; Forecast Control Accounts</t>
        </is>
      </c>
      <c r="B196" s="12" t="inlineStr">
        <is>
          <t>CST-05-007</t>
        </is>
      </c>
      <c r="C196" s="12" t="inlineStr">
        <is>
          <t>Testing &amp; readiness - defect closeout - control account</t>
        </is>
      </c>
      <c r="D196" s="12" t="inlineStr">
        <is>
          <t>UNSURE</t>
        </is>
      </c>
      <c r="E196" s="12" t="inlineStr">
        <is>
          <t>Maya Chen, Owner Project Controls</t>
        </is>
      </c>
      <c r="F196" s="12" t="inlineStr">
        <is>
          <t>Professional decision</t>
        </is>
      </c>
      <c r="G196" t="inlineStr">
        <is>
          <t>Current</t>
        </is>
      </c>
    </row>
    <row r="197" ht="34" customHeight="1">
      <c r="A197" s="12" t="inlineStr">
        <is>
          <t>Cost &amp; Forecast Control Accounts</t>
        </is>
      </c>
      <c r="B197" s="12" t="inlineStr">
        <is>
          <t>CST-05-008</t>
        </is>
      </c>
      <c r="C197" s="12" t="inlineStr">
        <is>
          <t>Testing &amp; readiness - test management - control account</t>
        </is>
      </c>
      <c r="D197" s="12" t="inlineStr">
        <is>
          <t>UNSURE</t>
        </is>
      </c>
      <c r="E197" s="12" t="inlineStr">
        <is>
          <t>Maya Chen, Owner Project Controls</t>
        </is>
      </c>
      <c r="F197" s="12" t="inlineStr">
        <is>
          <t>Professional decision</t>
        </is>
      </c>
      <c r="G197" t="inlineStr">
        <is>
          <t>Current</t>
        </is>
      </c>
    </row>
    <row r="198" ht="34" customHeight="1">
      <c r="A198" s="12" t="inlineStr">
        <is>
          <t>Cost &amp; Forecast Control Accounts</t>
        </is>
      </c>
      <c r="B198" s="12" t="inlineStr">
        <is>
          <t>CST-05-009</t>
        </is>
      </c>
      <c r="C198" s="12" t="inlineStr">
        <is>
          <t>Testing &amp; readiness - trial running - control account</t>
        </is>
      </c>
      <c r="D198" s="12" t="inlineStr">
        <is>
          <t>UNSURE</t>
        </is>
      </c>
      <c r="E198" s="12" t="inlineStr">
        <is>
          <t>Maya Chen, Owner Project Controls</t>
        </is>
      </c>
      <c r="F198" s="12" t="inlineStr">
        <is>
          <t>Professional decision</t>
        </is>
      </c>
      <c r="G198" t="inlineStr">
        <is>
          <t>Current</t>
        </is>
      </c>
    </row>
    <row r="199" ht="34" customHeight="1">
      <c r="A199" s="12" t="inlineStr">
        <is>
          <t>Cost &amp; Forecast Control Accounts</t>
        </is>
      </c>
      <c r="B199" s="12" t="inlineStr">
        <is>
          <t>CST-05-010</t>
        </is>
      </c>
      <c r="C199" s="12" t="inlineStr">
        <is>
          <t>Testing &amp; readiness - safety certification - control account</t>
        </is>
      </c>
      <c r="D199" s="12" t="inlineStr">
        <is>
          <t>UNSURE</t>
        </is>
      </c>
      <c r="E199" s="12" t="inlineStr">
        <is>
          <t>Maya Chen, Owner Project Controls</t>
        </is>
      </c>
      <c r="F199" s="12" t="inlineStr">
        <is>
          <t>Professional decision</t>
        </is>
      </c>
      <c r="G199" t="inlineStr">
        <is>
          <t>Current</t>
        </is>
      </c>
    </row>
    <row r="200" ht="34" customHeight="1">
      <c r="A200" s="12" t="inlineStr">
        <is>
          <t>Cost &amp; Forecast Control Accounts</t>
        </is>
      </c>
      <c r="B200" s="12" t="inlineStr">
        <is>
          <t>CST-05-011</t>
        </is>
      </c>
      <c r="C200" s="12" t="inlineStr">
        <is>
          <t>Testing &amp; readiness - defect closeout - control account</t>
        </is>
      </c>
      <c r="D200" s="12" t="inlineStr">
        <is>
          <t>UNSURE</t>
        </is>
      </c>
      <c r="E200" s="12" t="inlineStr">
        <is>
          <t>Maya Chen, Owner Project Controls</t>
        </is>
      </c>
      <c r="F200" s="12" t="inlineStr">
        <is>
          <t>Professional decision</t>
        </is>
      </c>
      <c r="G200" t="inlineStr">
        <is>
          <t>Current</t>
        </is>
      </c>
    </row>
    <row r="201" ht="34" customHeight="1">
      <c r="A201" s="12" t="inlineStr">
        <is>
          <t>Cost &amp; Forecast Control Accounts</t>
        </is>
      </c>
      <c r="B201" s="12" t="inlineStr">
        <is>
          <t>CST-05-012</t>
        </is>
      </c>
      <c r="C201" s="12" t="inlineStr">
        <is>
          <t>Testing &amp; readiness - test management - control account</t>
        </is>
      </c>
      <c r="D201" s="12" t="inlineStr">
        <is>
          <t>UNSURE</t>
        </is>
      </c>
      <c r="E201" s="12" t="inlineStr">
        <is>
          <t>Maya Chen, Owner Project Controls</t>
        </is>
      </c>
      <c r="F201" s="12" t="inlineStr">
        <is>
          <t>Professional decision</t>
        </is>
      </c>
      <c r="G201" t="inlineStr">
        <is>
          <t>Current</t>
        </is>
      </c>
    </row>
    <row r="202" ht="34" customHeight="1">
      <c r="A202" s="12" t="inlineStr">
        <is>
          <t>Cost &amp; Forecast Control Accounts</t>
        </is>
      </c>
      <c r="B202" s="12" t="inlineStr">
        <is>
          <t>CST-05-013</t>
        </is>
      </c>
      <c r="C202" s="12" t="inlineStr">
        <is>
          <t>Testing &amp; readiness - trial running - control account</t>
        </is>
      </c>
      <c r="D202" s="12" t="inlineStr">
        <is>
          <t>UNSURE</t>
        </is>
      </c>
      <c r="E202" s="12" t="inlineStr">
        <is>
          <t>Maya Chen, Owner Project Controls</t>
        </is>
      </c>
      <c r="F202" s="12" t="inlineStr">
        <is>
          <t>Professional decision</t>
        </is>
      </c>
      <c r="G202" t="inlineStr">
        <is>
          <t>Current</t>
        </is>
      </c>
    </row>
    <row r="203" ht="34" customHeight="1">
      <c r="A203" s="12" t="inlineStr">
        <is>
          <t>Cost &amp; Forecast Control Accounts</t>
        </is>
      </c>
      <c r="B203" s="12" t="inlineStr">
        <is>
          <t>CST-05-014</t>
        </is>
      </c>
      <c r="C203" s="12" t="inlineStr">
        <is>
          <t>Testing &amp; readiness - safety certification - control account</t>
        </is>
      </c>
      <c r="D203" s="12" t="inlineStr">
        <is>
          <t>UNSURE</t>
        </is>
      </c>
      <c r="E203" s="12" t="inlineStr">
        <is>
          <t>Maya Chen, Owner Project Controls</t>
        </is>
      </c>
      <c r="F203" s="12" t="inlineStr">
        <is>
          <t>Professional decision</t>
        </is>
      </c>
      <c r="G203" t="inlineStr">
        <is>
          <t>Current</t>
        </is>
      </c>
    </row>
    <row r="204" ht="34" customHeight="1">
      <c r="A204" s="12" t="inlineStr">
        <is>
          <t>Cost &amp; Forecast Control Accounts</t>
        </is>
      </c>
      <c r="B204" s="12" t="inlineStr">
        <is>
          <t>CST-05-015</t>
        </is>
      </c>
      <c r="C204" s="12" t="inlineStr">
        <is>
          <t>Testing &amp; readiness - defect closeout - control account</t>
        </is>
      </c>
      <c r="D204" s="12" t="inlineStr">
        <is>
          <t>UNSURE</t>
        </is>
      </c>
      <c r="E204" s="12" t="inlineStr">
        <is>
          <t>Maya Chen, Owner Project Controls</t>
        </is>
      </c>
      <c r="F204" s="12" t="inlineStr">
        <is>
          <t>Professional decision</t>
        </is>
      </c>
      <c r="G204" t="inlineStr">
        <is>
          <t>Current</t>
        </is>
      </c>
    </row>
    <row r="205" ht="34" customHeight="1">
      <c r="A205" s="12" t="inlineStr">
        <is>
          <t>Cost &amp; Forecast Control Accounts</t>
        </is>
      </c>
      <c r="B205" s="12" t="inlineStr">
        <is>
          <t>CST-05-016</t>
        </is>
      </c>
      <c r="C205" s="12" t="inlineStr">
        <is>
          <t>Testing &amp; readiness - test management - control account</t>
        </is>
      </c>
      <c r="D205" s="12" t="inlineStr">
        <is>
          <t>UNSURE</t>
        </is>
      </c>
      <c r="E205" s="12" t="inlineStr">
        <is>
          <t>Maya Chen, Owner Project Controls</t>
        </is>
      </c>
      <c r="F205" s="12" t="inlineStr">
        <is>
          <t>Professional decision</t>
        </is>
      </c>
      <c r="G205" t="inlineStr">
        <is>
          <t>Current</t>
        </is>
      </c>
    </row>
    <row r="206" ht="34" customHeight="1">
      <c r="A206" s="12" t="inlineStr">
        <is>
          <t>Cost &amp; Forecast Control Accounts</t>
        </is>
      </c>
      <c r="B206" s="12" t="inlineStr">
        <is>
          <t>CST-05-017</t>
        </is>
      </c>
      <c r="C206" s="12" t="inlineStr">
        <is>
          <t>Testing &amp; readiness - trial running - control account</t>
        </is>
      </c>
      <c r="D206" s="12" t="inlineStr">
        <is>
          <t>UNSURE</t>
        </is>
      </c>
      <c r="E206" s="12" t="inlineStr">
        <is>
          <t>Maya Chen, Owner Project Controls</t>
        </is>
      </c>
      <c r="F206" s="12" t="inlineStr">
        <is>
          <t>Professional decision</t>
        </is>
      </c>
      <c r="G206" t="inlineStr">
        <is>
          <t>Current</t>
        </is>
      </c>
    </row>
    <row r="207" ht="34" customHeight="1">
      <c r="A207" s="12" t="inlineStr">
        <is>
          <t>Cost &amp; Forecast Control Accounts</t>
        </is>
      </c>
      <c r="B207" s="12" t="inlineStr">
        <is>
          <t>CST-05-018</t>
        </is>
      </c>
      <c r="C207" s="12" t="inlineStr">
        <is>
          <t>Testing &amp; readiness - safety certification - control account</t>
        </is>
      </c>
      <c r="D207" s="12" t="inlineStr">
        <is>
          <t>UNSURE</t>
        </is>
      </c>
      <c r="E207" s="12" t="inlineStr">
        <is>
          <t>Maya Chen, Owner Project Controls</t>
        </is>
      </c>
      <c r="F207" s="12" t="inlineStr">
        <is>
          <t>Professional decision</t>
        </is>
      </c>
      <c r="G207" t="inlineStr">
        <is>
          <t>Current</t>
        </is>
      </c>
    </row>
    <row r="208" ht="34" customHeight="1">
      <c r="A208" s="12" t="inlineStr">
        <is>
          <t>Cost &amp; Forecast Control Accounts</t>
        </is>
      </c>
      <c r="B208" s="12" t="inlineStr">
        <is>
          <t>CST-05-019</t>
        </is>
      </c>
      <c r="C208" s="12" t="inlineStr">
        <is>
          <t>Testing &amp; readiness - defect closeout - control account</t>
        </is>
      </c>
      <c r="D208" s="12" t="inlineStr">
        <is>
          <t>UNSURE</t>
        </is>
      </c>
      <c r="E208" s="12" t="inlineStr">
        <is>
          <t>Maya Chen, Owner Project Controls</t>
        </is>
      </c>
      <c r="F208" s="12" t="inlineStr">
        <is>
          <t>Professional decision</t>
        </is>
      </c>
      <c r="G208" t="inlineStr">
        <is>
          <t>Current</t>
        </is>
      </c>
    </row>
    <row r="209" ht="34" customHeight="1">
      <c r="A209" s="12" t="inlineStr">
        <is>
          <t>Cost &amp; Forecast Control Accounts</t>
        </is>
      </c>
      <c r="B209" s="12" t="inlineStr">
        <is>
          <t>CST-05-020</t>
        </is>
      </c>
      <c r="C209" s="12" t="inlineStr">
        <is>
          <t>Testing &amp; readiness - test management - control account</t>
        </is>
      </c>
      <c r="D209" s="12" t="inlineStr">
        <is>
          <t>UNSURE</t>
        </is>
      </c>
      <c r="E209" s="12" t="inlineStr">
        <is>
          <t>Maya Chen, Owner Project Controls</t>
        </is>
      </c>
      <c r="F209" s="12" t="inlineStr">
        <is>
          <t>Professional decision</t>
        </is>
      </c>
      <c r="G209" t="inlineStr">
        <is>
          <t>Current</t>
        </is>
      </c>
    </row>
    <row r="210" ht="34" customHeight="1">
      <c r="A210" s="12" t="inlineStr">
        <is>
          <t>Cost &amp; Forecast Control Accounts</t>
        </is>
      </c>
      <c r="B210" s="12" t="inlineStr">
        <is>
          <t>CST-05-021</t>
        </is>
      </c>
      <c r="C210" s="12" t="inlineStr">
        <is>
          <t>Testing &amp; readiness - trial running - control account</t>
        </is>
      </c>
      <c r="D210" s="12" t="inlineStr">
        <is>
          <t>UNSURE</t>
        </is>
      </c>
      <c r="E210" s="12" t="inlineStr">
        <is>
          <t>Maya Chen, Owner Project Controls</t>
        </is>
      </c>
      <c r="F210" s="12" t="inlineStr">
        <is>
          <t>Professional decision</t>
        </is>
      </c>
      <c r="G210" t="inlineStr">
        <is>
          <t>Current</t>
        </is>
      </c>
    </row>
    <row r="211" ht="34" customHeight="1">
      <c r="A211" s="12" t="inlineStr">
        <is>
          <t>Cost &amp; Forecast Control Accounts</t>
        </is>
      </c>
      <c r="B211" s="12" t="inlineStr">
        <is>
          <t>CST-05-022</t>
        </is>
      </c>
      <c r="C211" s="12" t="inlineStr">
        <is>
          <t>Testing &amp; readiness - safety certification - control account</t>
        </is>
      </c>
      <c r="D211" s="12" t="inlineStr">
        <is>
          <t>UNSURE</t>
        </is>
      </c>
      <c r="E211" s="12" t="inlineStr">
        <is>
          <t>Maya Chen, Owner Project Controls</t>
        </is>
      </c>
      <c r="F211" s="12" t="inlineStr">
        <is>
          <t>Professional decision</t>
        </is>
      </c>
      <c r="G211" t="inlineStr">
        <is>
          <t>Current</t>
        </is>
      </c>
    </row>
    <row r="212" ht="34" customHeight="1">
      <c r="A212" s="12" t="inlineStr">
        <is>
          <t>Cost &amp; Forecast Control Accounts</t>
        </is>
      </c>
      <c r="B212" s="12" t="inlineStr">
        <is>
          <t>CST-05-023</t>
        </is>
      </c>
      <c r="C212" s="12" t="inlineStr">
        <is>
          <t>Testing &amp; readiness - defect closeout - control account</t>
        </is>
      </c>
      <c r="D212" s="12" t="inlineStr">
        <is>
          <t>UNSURE</t>
        </is>
      </c>
      <c r="E212" s="12" t="inlineStr">
        <is>
          <t>Maya Chen, Owner Project Controls</t>
        </is>
      </c>
      <c r="F212" s="12" t="inlineStr">
        <is>
          <t>Professional decision</t>
        </is>
      </c>
      <c r="G212" t="inlineStr">
        <is>
          <t>Current</t>
        </is>
      </c>
    </row>
    <row r="213" ht="34" customHeight="1">
      <c r="A213" s="12" t="inlineStr">
        <is>
          <t>Cost &amp; Forecast Control Accounts</t>
        </is>
      </c>
      <c r="B213" s="12" t="inlineStr">
        <is>
          <t>CST-05-024</t>
        </is>
      </c>
      <c r="C213" s="12" t="inlineStr">
        <is>
          <t>Testing &amp; readiness - test management - control account</t>
        </is>
      </c>
      <c r="D213" s="12" t="inlineStr">
        <is>
          <t>UNSURE</t>
        </is>
      </c>
      <c r="E213" s="12" t="inlineStr">
        <is>
          <t>Maya Chen, Owner Project Controls</t>
        </is>
      </c>
      <c r="F213" s="12" t="inlineStr">
        <is>
          <t>Professional decision</t>
        </is>
      </c>
      <c r="G213" t="inlineStr">
        <is>
          <t>Current</t>
        </is>
      </c>
    </row>
    <row r="214" ht="34" customHeight="1">
      <c r="A214" s="12" t="inlineStr">
        <is>
          <t>Cost &amp; Forecast Control Accounts</t>
        </is>
      </c>
      <c r="B214" s="12" t="inlineStr">
        <is>
          <t>CST-05-025</t>
        </is>
      </c>
      <c r="C214" s="12" t="inlineStr">
        <is>
          <t>Testing &amp; readiness - trial running - control account</t>
        </is>
      </c>
      <c r="D214" s="12" t="inlineStr">
        <is>
          <t>UNSURE</t>
        </is>
      </c>
      <c r="E214" s="12" t="inlineStr">
        <is>
          <t>Maya Chen, Owner Project Controls</t>
        </is>
      </c>
      <c r="F214" s="12" t="inlineStr">
        <is>
          <t>Professional decision</t>
        </is>
      </c>
      <c r="G214" t="inlineStr">
        <is>
          <t>Current</t>
        </is>
      </c>
    </row>
    <row r="215" ht="34" customHeight="1">
      <c r="A215" s="12" t="inlineStr">
        <is>
          <t>Cost &amp; Forecast Control Accounts</t>
        </is>
      </c>
      <c r="B215" s="12" t="inlineStr">
        <is>
          <t>CST-05-026</t>
        </is>
      </c>
      <c r="C215" s="12" t="inlineStr">
        <is>
          <t>Testing &amp; readiness - safety certification - control account</t>
        </is>
      </c>
      <c r="D215" s="12" t="inlineStr">
        <is>
          <t>UNSURE</t>
        </is>
      </c>
      <c r="E215" s="12" t="inlineStr">
        <is>
          <t>Maya Chen, Owner Project Controls</t>
        </is>
      </c>
      <c r="F215" s="12" t="inlineStr">
        <is>
          <t>Professional decision</t>
        </is>
      </c>
      <c r="G215" t="inlineStr">
        <is>
          <t>Current</t>
        </is>
      </c>
    </row>
    <row r="216" ht="34" customHeight="1">
      <c r="A216" s="12" t="inlineStr">
        <is>
          <t>Cost &amp; Forecast Control Accounts</t>
        </is>
      </c>
      <c r="B216" s="12" t="inlineStr">
        <is>
          <t>CST-05-027</t>
        </is>
      </c>
      <c r="C216" s="12" t="inlineStr">
        <is>
          <t>Testing &amp; readiness - defect closeout - control account</t>
        </is>
      </c>
      <c r="D216" s="12" t="inlineStr">
        <is>
          <t>UNSURE</t>
        </is>
      </c>
      <c r="E216" s="12" t="inlineStr">
        <is>
          <t>Maya Chen, Owner Project Controls</t>
        </is>
      </c>
      <c r="F216" s="12" t="inlineStr">
        <is>
          <t>Professional decision</t>
        </is>
      </c>
      <c r="G216" t="inlineStr">
        <is>
          <t>Current</t>
        </is>
      </c>
    </row>
    <row r="217" ht="34" customHeight="1">
      <c r="A217" s="12" t="inlineStr">
        <is>
          <t>Cost &amp; Forecast Control Accounts</t>
        </is>
      </c>
      <c r="B217" s="12" t="inlineStr">
        <is>
          <t>CST-05-028</t>
        </is>
      </c>
      <c r="C217" s="12" t="inlineStr">
        <is>
          <t>Testing &amp; readiness - test management - control account</t>
        </is>
      </c>
      <c r="D217" s="12" t="inlineStr">
        <is>
          <t>UNSURE</t>
        </is>
      </c>
      <c r="E217" s="12" t="inlineStr">
        <is>
          <t>Maya Chen, Owner Project Controls</t>
        </is>
      </c>
      <c r="F217" s="12" t="inlineStr">
        <is>
          <t>Professional decision</t>
        </is>
      </c>
      <c r="G217" t="inlineStr">
        <is>
          <t>Current</t>
        </is>
      </c>
    </row>
    <row r="218" ht="34" customHeight="1">
      <c r="A218" s="12" t="inlineStr">
        <is>
          <t>Cost &amp; Forecast Control Accounts</t>
        </is>
      </c>
      <c r="B218" s="12" t="inlineStr">
        <is>
          <t>CST-05-029</t>
        </is>
      </c>
      <c r="C218" s="12" t="inlineStr">
        <is>
          <t>Testing &amp; readiness - trial running - control account</t>
        </is>
      </c>
      <c r="D218" s="12" t="inlineStr">
        <is>
          <t>UNSURE</t>
        </is>
      </c>
      <c r="E218" s="12" t="inlineStr">
        <is>
          <t>Maya Chen, Owner Project Controls</t>
        </is>
      </c>
      <c r="F218" s="12" t="inlineStr">
        <is>
          <t>Professional decision</t>
        </is>
      </c>
      <c r="G218" t="inlineStr">
        <is>
          <t>Current</t>
        </is>
      </c>
    </row>
    <row r="219" ht="34" customHeight="1">
      <c r="A219" s="12" t="inlineStr">
        <is>
          <t>Cost &amp; Forecast Control Accounts</t>
        </is>
      </c>
      <c r="B219" s="12" t="inlineStr">
        <is>
          <t>CST-05-030</t>
        </is>
      </c>
      <c r="C219" s="12" t="inlineStr">
        <is>
          <t>Testing &amp; readiness - safety certification - control account</t>
        </is>
      </c>
      <c r="D219" s="12" t="inlineStr">
        <is>
          <t>UNSURE</t>
        </is>
      </c>
      <c r="E219" s="12" t="inlineStr">
        <is>
          <t>Maya Chen, Owner Project Controls</t>
        </is>
      </c>
      <c r="F219" s="12" t="inlineStr">
        <is>
          <t>Professional decision</t>
        </is>
      </c>
      <c r="G219" t="inlineStr">
        <is>
          <t>Current</t>
        </is>
      </c>
    </row>
    <row r="220" ht="34" customHeight="1">
      <c r="A220" s="12" t="inlineStr">
        <is>
          <t>Cost &amp; Forecast Control Accounts</t>
        </is>
      </c>
      <c r="B220" s="12" t="inlineStr">
        <is>
          <t>CST-05-031</t>
        </is>
      </c>
      <c r="C220" s="12" t="inlineStr">
        <is>
          <t>Testing &amp; readiness - defect closeout - control account</t>
        </is>
      </c>
      <c r="D220" s="12" t="inlineStr">
        <is>
          <t>UNSURE</t>
        </is>
      </c>
      <c r="E220" s="12" t="inlineStr">
        <is>
          <t>Maya Chen, Owner Project Controls</t>
        </is>
      </c>
      <c r="F220" s="12" t="inlineStr">
        <is>
          <t>Professional decision</t>
        </is>
      </c>
      <c r="G220" t="inlineStr">
        <is>
          <t>Current</t>
        </is>
      </c>
    </row>
    <row r="221" ht="34" customHeight="1">
      <c r="A221" s="12" t="inlineStr">
        <is>
          <t>Cost &amp; Forecast Control Accounts</t>
        </is>
      </c>
      <c r="B221" s="12" t="inlineStr">
        <is>
          <t>CST-05-032</t>
        </is>
      </c>
      <c r="C221" s="12" t="inlineStr">
        <is>
          <t>Testing &amp; readiness - test management - control account</t>
        </is>
      </c>
      <c r="D221" s="12" t="inlineStr">
        <is>
          <t>UNSURE</t>
        </is>
      </c>
      <c r="E221" s="12" t="inlineStr">
        <is>
          <t>Maya Chen, Owner Project Controls</t>
        </is>
      </c>
      <c r="F221" s="12" t="inlineStr">
        <is>
          <t>Professional decision</t>
        </is>
      </c>
      <c r="G221" t="inlineStr">
        <is>
          <t>Current</t>
        </is>
      </c>
    </row>
    <row r="222" ht="34" customHeight="1">
      <c r="A222" s="12" t="inlineStr">
        <is>
          <t>Cost &amp; Forecast Control Accounts</t>
        </is>
      </c>
      <c r="B222" s="12" t="inlineStr">
        <is>
          <t>CST-05-033</t>
        </is>
      </c>
      <c r="C222" s="12" t="inlineStr">
        <is>
          <t>Testing &amp; readiness - trial running - control account</t>
        </is>
      </c>
      <c r="D222" s="12" t="inlineStr">
        <is>
          <t>UNSURE</t>
        </is>
      </c>
      <c r="E222" s="12" t="inlineStr">
        <is>
          <t>Maya Chen, Owner Project Controls</t>
        </is>
      </c>
      <c r="F222" s="12" t="inlineStr">
        <is>
          <t>Professional decision</t>
        </is>
      </c>
      <c r="G222" t="inlineStr">
        <is>
          <t>Current</t>
        </is>
      </c>
    </row>
    <row r="223" ht="34" customHeight="1">
      <c r="A223" s="12" t="inlineStr">
        <is>
          <t>Cost &amp; Forecast Control Accounts</t>
        </is>
      </c>
      <c r="B223" s="12" t="inlineStr">
        <is>
          <t>CST-05-034</t>
        </is>
      </c>
      <c r="C223" s="12" t="inlineStr">
        <is>
          <t>Testing &amp; readiness - safety certification - control account</t>
        </is>
      </c>
      <c r="D223" s="12" t="inlineStr">
        <is>
          <t>UNSURE</t>
        </is>
      </c>
      <c r="E223" s="12" t="inlineStr">
        <is>
          <t>Maya Chen, Owner Project Controls</t>
        </is>
      </c>
      <c r="F223" s="12" t="inlineStr">
        <is>
          <t>Professional decision</t>
        </is>
      </c>
      <c r="G223" t="inlineStr">
        <is>
          <t>Current</t>
        </is>
      </c>
    </row>
    <row r="224" ht="34" customHeight="1">
      <c r="A224" s="12" t="inlineStr">
        <is>
          <t>Cost &amp; Forecast Control Accounts</t>
        </is>
      </c>
      <c r="B224" s="12" t="inlineStr">
        <is>
          <t>CST-05-035</t>
        </is>
      </c>
      <c r="C224" s="12" t="inlineStr">
        <is>
          <t>Testing &amp; readiness - defect closeout - control account</t>
        </is>
      </c>
      <c r="D224" s="12" t="inlineStr">
        <is>
          <t>UNSURE</t>
        </is>
      </c>
      <c r="E224" s="12" t="inlineStr">
        <is>
          <t>Maya Chen, Owner Project Controls</t>
        </is>
      </c>
      <c r="F224" s="12" t="inlineStr">
        <is>
          <t>Professional decision</t>
        </is>
      </c>
      <c r="G224" t="inlineStr">
        <is>
          <t>Current</t>
        </is>
      </c>
    </row>
    <row r="225" ht="34" customHeight="1">
      <c r="A225" s="12" t="inlineStr">
        <is>
          <t>Cost &amp; Forecast Control Accounts</t>
        </is>
      </c>
      <c r="B225" s="12" t="inlineStr">
        <is>
          <t>CST-05-036</t>
        </is>
      </c>
      <c r="C225" s="12" t="inlineStr">
        <is>
          <t>Testing &amp; readiness - test management - control account</t>
        </is>
      </c>
      <c r="D225" s="12" t="inlineStr">
        <is>
          <t>UNSURE</t>
        </is>
      </c>
      <c r="E225" s="12" t="inlineStr">
        <is>
          <t>Maya Chen, Owner Project Controls</t>
        </is>
      </c>
      <c r="F225" s="12" t="inlineStr">
        <is>
          <t>Professional decision</t>
        </is>
      </c>
      <c r="G225" t="inlineStr">
        <is>
          <t>Current</t>
        </is>
      </c>
    </row>
    <row r="226" ht="34" customHeight="1">
      <c r="A226" s="12" t="inlineStr">
        <is>
          <t>Cost &amp; Forecast Control Accounts</t>
        </is>
      </c>
      <c r="B226" s="12" t="inlineStr">
        <is>
          <t>CST-05-037</t>
        </is>
      </c>
      <c r="C226" s="12" t="inlineStr">
        <is>
          <t>Testing &amp; readiness - trial running - control account</t>
        </is>
      </c>
      <c r="D226" s="12" t="inlineStr">
        <is>
          <t>UNSURE</t>
        </is>
      </c>
      <c r="E226" s="12" t="inlineStr">
        <is>
          <t>Maya Chen, Owner Project Controls</t>
        </is>
      </c>
      <c r="F226" s="12" t="inlineStr">
        <is>
          <t>Professional decision</t>
        </is>
      </c>
      <c r="G226" t="inlineStr">
        <is>
          <t>Current</t>
        </is>
      </c>
    </row>
    <row r="227" ht="34" customHeight="1">
      <c r="A227" s="12" t="inlineStr">
        <is>
          <t>Cost &amp; Forecast Control Accounts</t>
        </is>
      </c>
      <c r="B227" s="12" t="inlineStr">
        <is>
          <t>CST-05-038</t>
        </is>
      </c>
      <c r="C227" s="12" t="inlineStr">
        <is>
          <t>Testing &amp; readiness - safety certification - control account</t>
        </is>
      </c>
      <c r="D227" s="12" t="inlineStr">
        <is>
          <t>UNSURE</t>
        </is>
      </c>
      <c r="E227" s="12" t="inlineStr">
        <is>
          <t>Maya Chen, Owner Project Controls</t>
        </is>
      </c>
      <c r="F227" s="12" t="inlineStr">
        <is>
          <t>Professional decision</t>
        </is>
      </c>
      <c r="G227" t="inlineStr">
        <is>
          <t>Current</t>
        </is>
      </c>
    </row>
    <row r="228" ht="34" customHeight="1">
      <c r="A228" s="12" t="inlineStr">
        <is>
          <t>Cost &amp; Forecast Control Accounts</t>
        </is>
      </c>
      <c r="B228" s="12" t="inlineStr">
        <is>
          <t>CST-05-039</t>
        </is>
      </c>
      <c r="C228" s="12" t="inlineStr">
        <is>
          <t>Testing &amp; readiness - defect closeout - control account</t>
        </is>
      </c>
      <c r="D228" s="12" t="inlineStr">
        <is>
          <t>UNSURE</t>
        </is>
      </c>
      <c r="E228" s="12" t="inlineStr">
        <is>
          <t>Maya Chen, Owner Project Controls</t>
        </is>
      </c>
      <c r="F228" s="12" t="inlineStr">
        <is>
          <t>Professional decision</t>
        </is>
      </c>
      <c r="G228" t="inlineStr">
        <is>
          <t>Current</t>
        </is>
      </c>
    </row>
    <row r="229" ht="34" customHeight="1">
      <c r="A229" s="12" t="inlineStr">
        <is>
          <t>Cost &amp; Forecast Control Accounts</t>
        </is>
      </c>
      <c r="B229" s="12" t="inlineStr">
        <is>
          <t>CST-05-040</t>
        </is>
      </c>
      <c r="C229" s="12" t="inlineStr">
        <is>
          <t>Testing &amp; readiness - test management - control account</t>
        </is>
      </c>
      <c r="D229" s="12" t="inlineStr">
        <is>
          <t>UNSURE</t>
        </is>
      </c>
      <c r="E229" s="12" t="inlineStr">
        <is>
          <t>Maya Chen, Owner Project Controls</t>
        </is>
      </c>
      <c r="F229" s="12" t="inlineStr">
        <is>
          <t>Professional decision</t>
        </is>
      </c>
      <c r="G229" t="inlineStr">
        <is>
          <t>Current</t>
        </is>
      </c>
    </row>
    <row r="230" ht="34" customHeight="1">
      <c r="A230" s="12" t="inlineStr">
        <is>
          <t>Cost &amp; Forecast Control Accounts</t>
        </is>
      </c>
      <c r="B230" s="12" t="inlineStr">
        <is>
          <t>CST-05-041</t>
        </is>
      </c>
      <c r="C230" s="12" t="inlineStr">
        <is>
          <t>Testing &amp; readiness - trial running - control account</t>
        </is>
      </c>
      <c r="D230" s="12" t="inlineStr">
        <is>
          <t>UNSURE</t>
        </is>
      </c>
      <c r="E230" s="12" t="inlineStr">
        <is>
          <t>Maya Chen, Owner Project Controls</t>
        </is>
      </c>
      <c r="F230" s="12" t="inlineStr">
        <is>
          <t>Professional decision</t>
        </is>
      </c>
      <c r="G230" t="inlineStr">
        <is>
          <t>Current</t>
        </is>
      </c>
    </row>
    <row r="231" ht="34" customHeight="1">
      <c r="A231" s="12" t="inlineStr">
        <is>
          <t>Cost &amp; Forecast Control Accounts</t>
        </is>
      </c>
      <c r="B231" s="12" t="inlineStr">
        <is>
          <t>CST-05-042</t>
        </is>
      </c>
      <c r="C231" s="12" t="inlineStr">
        <is>
          <t>Testing &amp; readiness - safety certification - control account</t>
        </is>
      </c>
      <c r="D231" s="12" t="inlineStr">
        <is>
          <t>UNSURE</t>
        </is>
      </c>
      <c r="E231" s="12" t="inlineStr">
        <is>
          <t>Maya Chen, Owner Project Controls</t>
        </is>
      </c>
      <c r="F231" s="12" t="inlineStr">
        <is>
          <t>Professional decision</t>
        </is>
      </c>
      <c r="G231" t="inlineStr">
        <is>
          <t>Current</t>
        </is>
      </c>
    </row>
    <row r="232" ht="34" customHeight="1">
      <c r="A232" s="12" t="inlineStr">
        <is>
          <t>Cost &amp; Forecast Control Accounts</t>
        </is>
      </c>
      <c r="B232" s="12" t="inlineStr">
        <is>
          <t>CST-05-043</t>
        </is>
      </c>
      <c r="C232" s="12" t="inlineStr">
        <is>
          <t>Testing &amp; readiness - defect closeout - control account</t>
        </is>
      </c>
      <c r="D232" s="12" t="inlineStr">
        <is>
          <t>UNSURE</t>
        </is>
      </c>
      <c r="E232" s="12" t="inlineStr">
        <is>
          <t>Maya Chen, Owner Project Controls</t>
        </is>
      </c>
      <c r="F232" s="12" t="inlineStr">
        <is>
          <t>Professional decision</t>
        </is>
      </c>
      <c r="G232" t="inlineStr">
        <is>
          <t>Current</t>
        </is>
      </c>
    </row>
    <row r="233" ht="34" customHeight="1">
      <c r="A233" s="12" t="inlineStr">
        <is>
          <t>Cost &amp; Forecast Control Accounts</t>
        </is>
      </c>
      <c r="B233" s="12" t="inlineStr">
        <is>
          <t>CST-05-044</t>
        </is>
      </c>
      <c r="C233" s="12" t="inlineStr">
        <is>
          <t>Testing &amp; readiness - test management - control account</t>
        </is>
      </c>
      <c r="D233" s="12" t="inlineStr">
        <is>
          <t>UNSURE</t>
        </is>
      </c>
      <c r="E233" s="12" t="inlineStr">
        <is>
          <t>Maya Chen, Owner Project Controls</t>
        </is>
      </c>
      <c r="F233" s="12" t="inlineStr">
        <is>
          <t>Professional decision</t>
        </is>
      </c>
      <c r="G233" t="inlineStr">
        <is>
          <t>Current</t>
        </is>
      </c>
    </row>
    <row r="234" ht="34" customHeight="1">
      <c r="A234" s="12" t="inlineStr">
        <is>
          <t>Cost &amp; Forecast Control Accounts</t>
        </is>
      </c>
      <c r="B234" s="12" t="inlineStr">
        <is>
          <t>CST-05-045</t>
        </is>
      </c>
      <c r="C234" s="12" t="inlineStr">
        <is>
          <t>Testing &amp; readiness - trial running - control account</t>
        </is>
      </c>
      <c r="D234" s="12" t="inlineStr">
        <is>
          <t>UNSURE</t>
        </is>
      </c>
      <c r="E234" s="12" t="inlineStr">
        <is>
          <t>Maya Chen, Owner Project Controls</t>
        </is>
      </c>
      <c r="F234" s="12" t="inlineStr">
        <is>
          <t>Professional decision</t>
        </is>
      </c>
      <c r="G234" t="inlineStr">
        <is>
          <t>Current</t>
        </is>
      </c>
    </row>
    <row r="235" ht="34" customHeight="1">
      <c r="A235" s="12" t="inlineStr">
        <is>
          <t>Cost &amp; Forecast Control Accounts</t>
        </is>
      </c>
      <c r="B235" s="12" t="inlineStr">
        <is>
          <t>CST-05-046</t>
        </is>
      </c>
      <c r="C235" s="12" t="inlineStr">
        <is>
          <t>Testing &amp; readiness - safety certification - control account</t>
        </is>
      </c>
      <c r="D235" s="12" t="inlineStr">
        <is>
          <t>UNSURE</t>
        </is>
      </c>
      <c r="E235" s="12" t="inlineStr">
        <is>
          <t>Maya Chen, Owner Project Controls</t>
        </is>
      </c>
      <c r="F235" s="12" t="inlineStr">
        <is>
          <t>Professional decision</t>
        </is>
      </c>
      <c r="G235" t="inlineStr">
        <is>
          <t>Current</t>
        </is>
      </c>
    </row>
    <row r="236" ht="34" customHeight="1">
      <c r="A236" s="12" t="inlineStr">
        <is>
          <t>Cost &amp; Forecast Control Accounts</t>
        </is>
      </c>
      <c r="B236" s="12" t="inlineStr">
        <is>
          <t>CST-05-047</t>
        </is>
      </c>
      <c r="C236" s="12" t="inlineStr">
        <is>
          <t>Testing &amp; readiness - defect closeout - control account</t>
        </is>
      </c>
      <c r="D236" s="12" t="inlineStr">
        <is>
          <t>UNSURE</t>
        </is>
      </c>
      <c r="E236" s="12" t="inlineStr">
        <is>
          <t>Maya Chen, Owner Project Controls</t>
        </is>
      </c>
      <c r="F236" s="12" t="inlineStr">
        <is>
          <t>Professional decision</t>
        </is>
      </c>
      <c r="G236" t="inlineStr">
        <is>
          <t>Current</t>
        </is>
      </c>
    </row>
    <row r="237" ht="34" customHeight="1">
      <c r="A237" s="12" t="inlineStr">
        <is>
          <t>Cost &amp; Forecast Control Accounts</t>
        </is>
      </c>
      <c r="B237" s="12" t="inlineStr">
        <is>
          <t>CST-05-048</t>
        </is>
      </c>
      <c r="C237" s="12" t="inlineStr">
        <is>
          <t>Testing &amp; readiness - test management - control account</t>
        </is>
      </c>
      <c r="D237" s="12" t="inlineStr">
        <is>
          <t>UNSURE</t>
        </is>
      </c>
      <c r="E237" s="12" t="inlineStr">
        <is>
          <t>Maya Chen, Owner Project Controls</t>
        </is>
      </c>
      <c r="F237" s="12" t="inlineStr">
        <is>
          <t>Professional decision</t>
        </is>
      </c>
      <c r="G237" t="inlineStr">
        <is>
          <t>Current</t>
        </is>
      </c>
    </row>
    <row r="238" ht="34" customHeight="1">
      <c r="A238" s="12" t="inlineStr">
        <is>
          <t>Cost &amp; Forecast Control Accounts</t>
        </is>
      </c>
      <c r="B238" s="12" t="inlineStr">
        <is>
          <t>CST-05-049</t>
        </is>
      </c>
      <c r="C238" s="12" t="inlineStr">
        <is>
          <t>Testing &amp; readiness - trial running - control account</t>
        </is>
      </c>
      <c r="D238" s="12" t="inlineStr">
        <is>
          <t>UNSURE</t>
        </is>
      </c>
      <c r="E238" s="12" t="inlineStr">
        <is>
          <t>Maya Chen, Owner Project Controls</t>
        </is>
      </c>
      <c r="F238" s="12" t="inlineStr">
        <is>
          <t>Professional decision</t>
        </is>
      </c>
      <c r="G238" t="inlineStr">
        <is>
          <t>Current</t>
        </is>
      </c>
    </row>
    <row r="239" ht="34" customHeight="1">
      <c r="A239" s="12" t="inlineStr">
        <is>
          <t>Cost &amp; Forecast Control Accounts</t>
        </is>
      </c>
      <c r="B239" s="12" t="inlineStr">
        <is>
          <t>CST-05-050</t>
        </is>
      </c>
      <c r="C239" s="12" t="inlineStr">
        <is>
          <t>Testing &amp; readiness - safety certification - control account</t>
        </is>
      </c>
      <c r="D239" s="12" t="inlineStr">
        <is>
          <t>UNSURE</t>
        </is>
      </c>
      <c r="E239" s="12" t="inlineStr">
        <is>
          <t>Maya Chen, Owner Project Controls</t>
        </is>
      </c>
      <c r="F239" s="12" t="inlineStr">
        <is>
          <t>Professional decision</t>
        </is>
      </c>
      <c r="G239" t="inlineStr">
        <is>
          <t>Current</t>
        </is>
      </c>
    </row>
    <row r="240" ht="34" customHeight="1">
      <c r="A240" s="12" t="inlineStr">
        <is>
          <t>Cost &amp; Forecast Control Accounts</t>
        </is>
      </c>
      <c r="B240" s="12" t="inlineStr">
        <is>
          <t>CST-05-051</t>
        </is>
      </c>
      <c r="C240" s="12" t="inlineStr">
        <is>
          <t>Testing &amp; readiness - defect closeout - control account</t>
        </is>
      </c>
      <c r="D240" s="12" t="inlineStr">
        <is>
          <t>UNSURE</t>
        </is>
      </c>
      <c r="E240" s="12" t="inlineStr">
        <is>
          <t>Maya Chen, Owner Project Controls</t>
        </is>
      </c>
      <c r="F240" s="12" t="inlineStr">
        <is>
          <t>Professional decision</t>
        </is>
      </c>
      <c r="G240" t="inlineStr">
        <is>
          <t>Current</t>
        </is>
      </c>
    </row>
    <row r="241" ht="34" customHeight="1">
      <c r="A241" s="12" t="inlineStr">
        <is>
          <t>Cost &amp; Forecast Control Accounts</t>
        </is>
      </c>
      <c r="B241" s="12" t="inlineStr">
        <is>
          <t>CST-05-052</t>
        </is>
      </c>
      <c r="C241" s="12" t="inlineStr">
        <is>
          <t>Testing &amp; readiness - test management - control account</t>
        </is>
      </c>
      <c r="D241" s="12" t="inlineStr">
        <is>
          <t>UNSURE</t>
        </is>
      </c>
      <c r="E241" s="12" t="inlineStr">
        <is>
          <t>Maya Chen, Owner Project Controls</t>
        </is>
      </c>
      <c r="F241" s="12" t="inlineStr">
        <is>
          <t>Professional decision</t>
        </is>
      </c>
      <c r="G241" t="inlineStr">
        <is>
          <t>Current</t>
        </is>
      </c>
    </row>
    <row r="242" ht="34" customHeight="1">
      <c r="A242" s="12" t="inlineStr">
        <is>
          <t>Cost &amp; Forecast Control Accounts</t>
        </is>
      </c>
      <c r="B242" s="12" t="inlineStr">
        <is>
          <t>CST-05-053</t>
        </is>
      </c>
      <c r="C242" s="12" t="inlineStr">
        <is>
          <t>Testing &amp; readiness - trial running - control account</t>
        </is>
      </c>
      <c r="D242" s="12" t="inlineStr">
        <is>
          <t>UNSURE</t>
        </is>
      </c>
      <c r="E242" s="12" t="inlineStr">
        <is>
          <t>Maya Chen, Owner Project Controls</t>
        </is>
      </c>
      <c r="F242" s="12" t="inlineStr">
        <is>
          <t>Professional decision</t>
        </is>
      </c>
      <c r="G242" t="inlineStr">
        <is>
          <t>Current</t>
        </is>
      </c>
    </row>
    <row r="243" ht="34" customHeight="1">
      <c r="A243" s="12" t="inlineStr">
        <is>
          <t>Cost &amp; Forecast Control Accounts</t>
        </is>
      </c>
      <c r="B243" s="12" t="inlineStr">
        <is>
          <t>CST-05-054</t>
        </is>
      </c>
      <c r="C243" s="12" t="inlineStr">
        <is>
          <t>Testing &amp; readiness - safety certification - control account</t>
        </is>
      </c>
      <c r="D243" s="12" t="inlineStr">
        <is>
          <t>UNSURE</t>
        </is>
      </c>
      <c r="E243" s="12" t="inlineStr">
        <is>
          <t>Maya Chen, Owner Project Controls</t>
        </is>
      </c>
      <c r="F243" s="12" t="inlineStr">
        <is>
          <t>Professional decision</t>
        </is>
      </c>
      <c r="G243" t="inlineStr">
        <is>
          <t>Current</t>
        </is>
      </c>
    </row>
    <row r="244" ht="34" customHeight="1">
      <c r="A244" s="12" t="inlineStr">
        <is>
          <t>Cost &amp; Forecast Control Accounts</t>
        </is>
      </c>
      <c r="B244" s="12" t="inlineStr">
        <is>
          <t>CST-05-055</t>
        </is>
      </c>
      <c r="C244" s="12" t="inlineStr">
        <is>
          <t>Testing &amp; readiness - defect closeout - control account</t>
        </is>
      </c>
      <c r="D244" s="12" t="inlineStr">
        <is>
          <t>UNSURE</t>
        </is>
      </c>
      <c r="E244" s="12" t="inlineStr">
        <is>
          <t>Maya Chen, Owner Project Controls</t>
        </is>
      </c>
      <c r="F244" s="12" t="inlineStr">
        <is>
          <t>Professional decision</t>
        </is>
      </c>
      <c r="G244" t="inlineStr">
        <is>
          <t>Current</t>
        </is>
      </c>
    </row>
    <row r="245" ht="34" customHeight="1">
      <c r="A245" s="12" t="inlineStr">
        <is>
          <t>Cost &amp; Forecast Control Accounts</t>
        </is>
      </c>
      <c r="B245" s="12" t="inlineStr">
        <is>
          <t>CST-05-056</t>
        </is>
      </c>
      <c r="C245" s="12" t="inlineStr">
        <is>
          <t>Testing &amp; readiness - test management - control account</t>
        </is>
      </c>
      <c r="D245" s="12" t="inlineStr">
        <is>
          <t>UNSURE</t>
        </is>
      </c>
      <c r="E245" s="12" t="inlineStr">
        <is>
          <t>Maya Chen, Owner Project Controls</t>
        </is>
      </c>
      <c r="F245" s="12" t="inlineStr">
        <is>
          <t>Professional decision</t>
        </is>
      </c>
      <c r="G245" t="inlineStr">
        <is>
          <t>Current</t>
        </is>
      </c>
    </row>
    <row r="246" ht="34" customHeight="1">
      <c r="A246" s="12" t="inlineStr">
        <is>
          <t>Cost &amp; Forecast Control Accounts</t>
        </is>
      </c>
      <c r="B246" s="12" t="inlineStr">
        <is>
          <t>CST-05-057</t>
        </is>
      </c>
      <c r="C246" s="12" t="inlineStr">
        <is>
          <t>Testing &amp; readiness - trial running - control account</t>
        </is>
      </c>
      <c r="D246" s="12" t="inlineStr">
        <is>
          <t>UNSURE</t>
        </is>
      </c>
      <c r="E246" s="12" t="inlineStr">
        <is>
          <t>Maya Chen, Owner Project Controls</t>
        </is>
      </c>
      <c r="F246" s="12" t="inlineStr">
        <is>
          <t>Professional decision</t>
        </is>
      </c>
      <c r="G246" t="inlineStr">
        <is>
          <t>Current</t>
        </is>
      </c>
    </row>
    <row r="247" ht="34" customHeight="1">
      <c r="A247" s="12" t="inlineStr">
        <is>
          <t>Cost &amp; Forecast Control Accounts</t>
        </is>
      </c>
      <c r="B247" s="12" t="inlineStr">
        <is>
          <t>CST-05-058</t>
        </is>
      </c>
      <c r="C247" s="12" t="inlineStr">
        <is>
          <t>Testing &amp; readiness - safety certification - control account</t>
        </is>
      </c>
      <c r="D247" s="12" t="inlineStr">
        <is>
          <t>UNSURE</t>
        </is>
      </c>
      <c r="E247" s="12" t="inlineStr">
        <is>
          <t>Maya Chen, Owner Project Controls</t>
        </is>
      </c>
      <c r="F247" s="12" t="inlineStr">
        <is>
          <t>Professional decision</t>
        </is>
      </c>
      <c r="G247" t="inlineStr">
        <is>
          <t>Current</t>
        </is>
      </c>
    </row>
    <row r="248" ht="34" customHeight="1">
      <c r="A248" s="12" t="inlineStr">
        <is>
          <t>Cost &amp; Forecast Control Accounts</t>
        </is>
      </c>
      <c r="B248" s="12" t="inlineStr">
        <is>
          <t>CST-05-059</t>
        </is>
      </c>
      <c r="C248" s="12" t="inlineStr">
        <is>
          <t>Testing &amp; readiness - defect closeout - control account</t>
        </is>
      </c>
      <c r="D248" s="12" t="inlineStr">
        <is>
          <t>UNSURE</t>
        </is>
      </c>
      <c r="E248" s="12" t="inlineStr">
        <is>
          <t>Maya Chen, Owner Project Controls</t>
        </is>
      </c>
      <c r="F248" s="12" t="inlineStr">
        <is>
          <t>Professional decision</t>
        </is>
      </c>
      <c r="G248" t="inlineStr">
        <is>
          <t>Current</t>
        </is>
      </c>
    </row>
    <row r="249" ht="34" customHeight="1">
      <c r="A249" s="12" t="inlineStr">
        <is>
          <t>Cost &amp; Forecast Control Accounts</t>
        </is>
      </c>
      <c r="B249" s="12" t="inlineStr">
        <is>
          <t>CST-05-060</t>
        </is>
      </c>
      <c r="C249" s="12" t="inlineStr">
        <is>
          <t>Testing &amp; readiness - test management - control account</t>
        </is>
      </c>
      <c r="D249" s="12" t="inlineStr">
        <is>
          <t>UNSURE</t>
        </is>
      </c>
      <c r="E249" s="12" t="inlineStr">
        <is>
          <t>Maya Chen, Owner Project Controls</t>
        </is>
      </c>
      <c r="F249" s="12" t="inlineStr">
        <is>
          <t>Professional decision</t>
        </is>
      </c>
      <c r="G249" t="inlineStr">
        <is>
          <t>Current</t>
        </is>
      </c>
    </row>
    <row r="250" ht="34" customHeight="1">
      <c r="A250" s="12" t="inlineStr">
        <is>
          <t>Cost &amp; Forecast Control Accounts</t>
        </is>
      </c>
      <c r="B250" s="12" t="inlineStr">
        <is>
          <t>CST-05-061</t>
        </is>
      </c>
      <c r="C250" s="12" t="inlineStr">
        <is>
          <t>Testing &amp; readiness - trial running - control account</t>
        </is>
      </c>
      <c r="D250" s="12" t="inlineStr">
        <is>
          <t>UNSURE</t>
        </is>
      </c>
      <c r="E250" s="12" t="inlineStr">
        <is>
          <t>Maya Chen, Owner Project Controls</t>
        </is>
      </c>
      <c r="F250" s="12" t="inlineStr">
        <is>
          <t>Professional decision</t>
        </is>
      </c>
      <c r="G250" t="inlineStr">
        <is>
          <t>Current</t>
        </is>
      </c>
    </row>
    <row r="251" ht="34" customHeight="1">
      <c r="A251" s="12" t="inlineStr">
        <is>
          <t>Cost &amp; Forecast Control Accounts</t>
        </is>
      </c>
      <c r="B251" s="12" t="inlineStr">
        <is>
          <t>CST-05-062</t>
        </is>
      </c>
      <c r="C251" s="12" t="inlineStr">
        <is>
          <t>Testing &amp; readiness - safety certification - control account</t>
        </is>
      </c>
      <c r="D251" s="12" t="inlineStr">
        <is>
          <t>UNSURE</t>
        </is>
      </c>
      <c r="E251" s="12" t="inlineStr">
        <is>
          <t>Maya Chen, Owner Project Controls</t>
        </is>
      </c>
      <c r="F251" s="12" t="inlineStr">
        <is>
          <t>Professional decision</t>
        </is>
      </c>
      <c r="G251" t="inlineStr">
        <is>
          <t>Current</t>
        </is>
      </c>
    </row>
    <row r="252" ht="34" customHeight="1">
      <c r="A252" s="12" t="inlineStr">
        <is>
          <t>Cost &amp; Forecast Control Accounts</t>
        </is>
      </c>
      <c r="B252" s="12" t="inlineStr">
        <is>
          <t>CST-05-063</t>
        </is>
      </c>
      <c r="C252" s="12" t="inlineStr">
        <is>
          <t>Testing &amp; readiness - defect closeout - control account</t>
        </is>
      </c>
      <c r="D252" s="12" t="inlineStr">
        <is>
          <t>UNSURE</t>
        </is>
      </c>
      <c r="E252" s="12" t="inlineStr">
        <is>
          <t>Maya Chen, Owner Project Controls</t>
        </is>
      </c>
      <c r="F252" s="12" t="inlineStr">
        <is>
          <t>Professional decision</t>
        </is>
      </c>
      <c r="G252" t="inlineStr">
        <is>
          <t>Current</t>
        </is>
      </c>
    </row>
    <row r="253" ht="34" customHeight="1">
      <c r="A253" s="12" t="inlineStr">
        <is>
          <t>Cost &amp; Forecast Control Accounts</t>
        </is>
      </c>
      <c r="B253" s="12" t="inlineStr">
        <is>
          <t>CST-05-064</t>
        </is>
      </c>
      <c r="C253" s="12" t="inlineStr">
        <is>
          <t>Testing &amp; readiness - test management - control account</t>
        </is>
      </c>
      <c r="D253" s="12" t="inlineStr">
        <is>
          <t>UNSURE</t>
        </is>
      </c>
      <c r="E253" s="12" t="inlineStr">
        <is>
          <t>Maya Chen, Owner Project Controls</t>
        </is>
      </c>
      <c r="F253" s="12" t="inlineStr">
        <is>
          <t>Professional decision</t>
        </is>
      </c>
      <c r="G253" t="inlineStr">
        <is>
          <t>Current</t>
        </is>
      </c>
    </row>
    <row r="254" ht="34" customHeight="1">
      <c r="A254" s="12" t="inlineStr">
        <is>
          <t>Cost &amp; Forecast Control Accounts</t>
        </is>
      </c>
      <c r="B254" s="12" t="inlineStr">
        <is>
          <t>CST-05-065</t>
        </is>
      </c>
      <c r="C254" s="12" t="inlineStr">
        <is>
          <t>Testing &amp; readiness - trial running - control account</t>
        </is>
      </c>
      <c r="D254" s="12" t="inlineStr">
        <is>
          <t>UNSURE</t>
        </is>
      </c>
      <c r="E254" s="12" t="inlineStr">
        <is>
          <t>Maya Chen, Owner Project Controls</t>
        </is>
      </c>
      <c r="F254" s="12" t="inlineStr">
        <is>
          <t>Professional decision</t>
        </is>
      </c>
      <c r="G254" t="inlineStr">
        <is>
          <t>Current</t>
        </is>
      </c>
    </row>
    <row r="255" ht="34" customHeight="1">
      <c r="A255" s="12" t="inlineStr">
        <is>
          <t>Cost &amp; Forecast Control Accounts</t>
        </is>
      </c>
      <c r="B255" s="12" t="inlineStr">
        <is>
          <t>CST-05-066</t>
        </is>
      </c>
      <c r="C255" s="12" t="inlineStr">
        <is>
          <t>Testing &amp; readiness - safety certification - control account</t>
        </is>
      </c>
      <c r="D255" s="12" t="inlineStr">
        <is>
          <t>UNSURE</t>
        </is>
      </c>
      <c r="E255" s="12" t="inlineStr">
        <is>
          <t>Maya Chen, Owner Project Controls</t>
        </is>
      </c>
      <c r="F255" s="12" t="inlineStr">
        <is>
          <t>Professional decision</t>
        </is>
      </c>
      <c r="G255" t="inlineStr">
        <is>
          <t>Current</t>
        </is>
      </c>
    </row>
    <row r="256" ht="34" customHeight="1">
      <c r="A256" s="12" t="inlineStr">
        <is>
          <t>Cost &amp; Forecast Control Accounts</t>
        </is>
      </c>
      <c r="B256" s="12" t="inlineStr">
        <is>
          <t>CST-05-067</t>
        </is>
      </c>
      <c r="C256" s="12" t="inlineStr">
        <is>
          <t>Testing &amp; readiness - defect closeout - control account</t>
        </is>
      </c>
      <c r="D256" s="12" t="inlineStr">
        <is>
          <t>UNSURE</t>
        </is>
      </c>
      <c r="E256" s="12" t="inlineStr">
        <is>
          <t>Maya Chen, Owner Project Controls</t>
        </is>
      </c>
      <c r="F256" s="12" t="inlineStr">
        <is>
          <t>Professional decision</t>
        </is>
      </c>
      <c r="G256" t="inlineStr">
        <is>
          <t>Current</t>
        </is>
      </c>
    </row>
    <row r="257" ht="34" customHeight="1">
      <c r="A257" s="12" t="inlineStr">
        <is>
          <t>Cost &amp; Forecast Control Accounts</t>
        </is>
      </c>
      <c r="B257" s="12" t="inlineStr">
        <is>
          <t>CST-05-068</t>
        </is>
      </c>
      <c r="C257" s="12" t="inlineStr">
        <is>
          <t>Testing &amp; readiness - test management - control account</t>
        </is>
      </c>
      <c r="D257" s="12" t="inlineStr">
        <is>
          <t>UNSURE</t>
        </is>
      </c>
      <c r="E257" s="12" t="inlineStr">
        <is>
          <t>Maya Chen, Owner Project Controls</t>
        </is>
      </c>
      <c r="F257" s="12" t="inlineStr">
        <is>
          <t>Professional decision</t>
        </is>
      </c>
      <c r="G257" t="inlineStr">
        <is>
          <t>Current</t>
        </is>
      </c>
    </row>
    <row r="258" ht="34" customHeight="1">
      <c r="A258" s="12" t="inlineStr">
        <is>
          <t>Cost &amp; Forecast Control Accounts</t>
        </is>
      </c>
      <c r="B258" s="12" t="inlineStr">
        <is>
          <t>CST-05-069</t>
        </is>
      </c>
      <c r="C258" s="12" t="inlineStr">
        <is>
          <t>Testing &amp; readiness - trial running - control account</t>
        </is>
      </c>
      <c r="D258" s="12" t="inlineStr">
        <is>
          <t>UNSURE</t>
        </is>
      </c>
      <c r="E258" s="12" t="inlineStr">
        <is>
          <t>Maya Chen, Owner Project Controls</t>
        </is>
      </c>
      <c r="F258" s="12" t="inlineStr">
        <is>
          <t>Professional decision</t>
        </is>
      </c>
      <c r="G258" t="inlineStr">
        <is>
          <t>Current</t>
        </is>
      </c>
    </row>
    <row r="259" ht="34" customHeight="1">
      <c r="A259" s="12" t="inlineStr">
        <is>
          <t>Cost &amp; Forecast Control Accounts</t>
        </is>
      </c>
      <c r="B259" s="12" t="inlineStr">
        <is>
          <t>CST-05-070</t>
        </is>
      </c>
      <c r="C259" s="12" t="inlineStr">
        <is>
          <t>Testing &amp; readiness - safety certification - control account</t>
        </is>
      </c>
      <c r="D259" s="12" t="inlineStr">
        <is>
          <t>UNSURE</t>
        </is>
      </c>
      <c r="E259" s="12" t="inlineStr">
        <is>
          <t>Maya Chen, Owner Project Controls</t>
        </is>
      </c>
      <c r="F259" s="12" t="inlineStr">
        <is>
          <t>Professional decision</t>
        </is>
      </c>
      <c r="G259" t="inlineStr">
        <is>
          <t>Current</t>
        </is>
      </c>
    </row>
    <row r="260" ht="34" customHeight="1">
      <c r="A260" s="12" t="inlineStr">
        <is>
          <t>Cost &amp; Forecast Control Accounts</t>
        </is>
      </c>
      <c r="B260" s="12" t="inlineStr">
        <is>
          <t>CST-05-071</t>
        </is>
      </c>
      <c r="C260" s="12" t="inlineStr">
        <is>
          <t>Testing &amp; readiness - defect closeout - control account</t>
        </is>
      </c>
      <c r="D260" s="12" t="inlineStr">
        <is>
          <t>UNSURE</t>
        </is>
      </c>
      <c r="E260" s="12" t="inlineStr">
        <is>
          <t>Maya Chen, Owner Project Controls</t>
        </is>
      </c>
      <c r="F260" s="12" t="inlineStr">
        <is>
          <t>Professional decision</t>
        </is>
      </c>
      <c r="G260" t="inlineStr">
        <is>
          <t>Current</t>
        </is>
      </c>
    </row>
    <row r="261" ht="34" customHeight="1">
      <c r="A261" s="12" t="inlineStr">
        <is>
          <t>Cost &amp; Forecast Control Accounts</t>
        </is>
      </c>
      <c r="B261" s="12" t="inlineStr">
        <is>
          <t>CST-05-072</t>
        </is>
      </c>
      <c r="C261" s="12" t="inlineStr">
        <is>
          <t>Testing &amp; readiness - test management - control account</t>
        </is>
      </c>
      <c r="D261" s="12" t="inlineStr">
        <is>
          <t>UNSURE</t>
        </is>
      </c>
      <c r="E261" s="12" t="inlineStr">
        <is>
          <t>Maya Chen, Owner Project Controls</t>
        </is>
      </c>
      <c r="F261" s="12" t="inlineStr">
        <is>
          <t>Professional decision</t>
        </is>
      </c>
      <c r="G261" t="inlineStr">
        <is>
          <t>Current</t>
        </is>
      </c>
    </row>
    <row r="262" ht="34" customHeight="1">
      <c r="A262" s="12" t="inlineStr">
        <is>
          <t>Cost &amp; Forecast Control Accounts</t>
        </is>
      </c>
      <c r="B262" s="12" t="inlineStr">
        <is>
          <t>CST-05-073</t>
        </is>
      </c>
      <c r="C262" s="12" t="inlineStr">
        <is>
          <t>Testing &amp; readiness - trial running - control account</t>
        </is>
      </c>
      <c r="D262" s="12" t="inlineStr">
        <is>
          <t>UNSURE</t>
        </is>
      </c>
      <c r="E262" s="12" t="inlineStr">
        <is>
          <t>Maya Chen, Owner Project Controls</t>
        </is>
      </c>
      <c r="F262" s="12" t="inlineStr">
        <is>
          <t>Professional decision</t>
        </is>
      </c>
      <c r="G262" t="inlineStr">
        <is>
          <t>Current</t>
        </is>
      </c>
    </row>
    <row r="263" ht="34" customHeight="1">
      <c r="A263" s="12" t="inlineStr">
        <is>
          <t>Cost &amp; Forecast Control Accounts</t>
        </is>
      </c>
      <c r="B263" s="12" t="inlineStr">
        <is>
          <t>CST-05-074</t>
        </is>
      </c>
      <c r="C263" s="12" t="inlineStr">
        <is>
          <t>Testing &amp; readiness - safety certification - control account</t>
        </is>
      </c>
      <c r="D263" s="12" t="inlineStr">
        <is>
          <t>UNSURE</t>
        </is>
      </c>
      <c r="E263" s="12" t="inlineStr">
        <is>
          <t>Maya Chen, Owner Project Controls</t>
        </is>
      </c>
      <c r="F263" s="12" t="inlineStr">
        <is>
          <t>Professional decision</t>
        </is>
      </c>
      <c r="G263" t="inlineStr">
        <is>
          <t>Current</t>
        </is>
      </c>
    </row>
    <row r="264" ht="34" customHeight="1">
      <c r="A264" s="12" t="inlineStr">
        <is>
          <t>Cost &amp; Forecast Control Accounts</t>
        </is>
      </c>
      <c r="B264" s="12" t="inlineStr">
        <is>
          <t>CST-05-075</t>
        </is>
      </c>
      <c r="C264" s="12" t="inlineStr">
        <is>
          <t>Testing &amp; readiness - defect closeout - control account</t>
        </is>
      </c>
      <c r="D264" s="12" t="inlineStr">
        <is>
          <t>UNSURE</t>
        </is>
      </c>
      <c r="E264" s="12" t="inlineStr">
        <is>
          <t>Maya Chen, Owner Project Controls</t>
        </is>
      </c>
      <c r="F264" s="12" t="inlineStr">
        <is>
          <t>Professional decision</t>
        </is>
      </c>
      <c r="G264" t="inlineStr">
        <is>
          <t>Current</t>
        </is>
      </c>
    </row>
    <row r="265" ht="34" customHeight="1">
      <c r="A265" s="12" t="inlineStr">
        <is>
          <t>Cost &amp; Forecast Control Accounts</t>
        </is>
      </c>
      <c r="B265" s="12" t="inlineStr">
        <is>
          <t>CST-05-076</t>
        </is>
      </c>
      <c r="C265" s="12" t="inlineStr">
        <is>
          <t>Testing &amp; readiness - test management - control account</t>
        </is>
      </c>
      <c r="D265" s="12" t="inlineStr">
        <is>
          <t>UNSURE</t>
        </is>
      </c>
      <c r="E265" s="12" t="inlineStr">
        <is>
          <t>Maya Chen, Owner Project Controls</t>
        </is>
      </c>
      <c r="F265" s="12" t="inlineStr">
        <is>
          <t>Professional decision</t>
        </is>
      </c>
      <c r="G265" t="inlineStr">
        <is>
          <t>Current</t>
        </is>
      </c>
    </row>
    <row r="266" ht="34" customHeight="1">
      <c r="A266" s="12" t="inlineStr">
        <is>
          <t>Cost &amp; Forecast Control Accounts</t>
        </is>
      </c>
      <c r="B266" s="12" t="inlineStr">
        <is>
          <t>CST-05-077</t>
        </is>
      </c>
      <c r="C266" s="12" t="inlineStr">
        <is>
          <t>Testing &amp; readiness - trial running - control account</t>
        </is>
      </c>
      <c r="D266" s="12" t="inlineStr">
        <is>
          <t>UNSURE</t>
        </is>
      </c>
      <c r="E266" s="12" t="inlineStr">
        <is>
          <t>Maya Chen, Owner Project Controls</t>
        </is>
      </c>
      <c r="F266" s="12" t="inlineStr">
        <is>
          <t>Professional decision</t>
        </is>
      </c>
      <c r="G266" t="inlineStr">
        <is>
          <t>Current</t>
        </is>
      </c>
    </row>
    <row r="267">
      <c r="A267" s="12" t="inlineStr">
        <is>
          <t>Cost &amp; Forecast Control Accounts</t>
        </is>
      </c>
      <c r="B267" s="12" t="inlineStr">
        <is>
          <t>CST-05-078</t>
        </is>
      </c>
      <c r="C267" s="12" t="inlineStr">
        <is>
          <t>Testing &amp; readiness - safety certification - control account</t>
        </is>
      </c>
      <c r="D267" s="12" t="inlineStr">
        <is>
          <t>UNSURE</t>
        </is>
      </c>
      <c r="E267" s="12" t="inlineStr">
        <is>
          <t>Maya Chen, Owner Project Controls</t>
        </is>
      </c>
      <c r="F267" s="12" t="inlineStr">
        <is>
          <t>Professional decision</t>
        </is>
      </c>
      <c r="G267" t="inlineStr">
        <is>
          <t>Current</t>
        </is>
      </c>
    </row>
    <row r="268">
      <c r="A268" s="12" t="inlineStr">
        <is>
          <t>Cost &amp; Forecast Control Accounts</t>
        </is>
      </c>
      <c r="B268" s="12" t="inlineStr">
        <is>
          <t>CST-05-079</t>
        </is>
      </c>
      <c r="C268" s="12" t="inlineStr">
        <is>
          <t>Testing &amp; readiness - defect closeout - control account</t>
        </is>
      </c>
      <c r="D268" s="12" t="inlineStr">
        <is>
          <t>UNSURE</t>
        </is>
      </c>
      <c r="E268" s="12" t="inlineStr">
        <is>
          <t>Maya Chen, Owner Project Controls</t>
        </is>
      </c>
      <c r="F268" s="12" t="inlineStr">
        <is>
          <t>Professional decision</t>
        </is>
      </c>
      <c r="G268" t="inlineStr">
        <is>
          <t>Current</t>
        </is>
      </c>
    </row>
    <row r="269">
      <c r="A269" s="12" t="inlineStr">
        <is>
          <t>Cost &amp; Forecast Control Accounts</t>
        </is>
      </c>
      <c r="B269" s="12" t="inlineStr">
        <is>
          <t>CST-05-080</t>
        </is>
      </c>
      <c r="C269" s="12" t="inlineStr">
        <is>
          <t>Testing &amp; readiness - test management - control account</t>
        </is>
      </c>
      <c r="D269" s="12" t="inlineStr">
        <is>
          <t>UNSURE</t>
        </is>
      </c>
      <c r="E269" s="12" t="inlineStr">
        <is>
          <t>Maya Chen, Owner Project Controls</t>
        </is>
      </c>
      <c r="F269" s="12" t="inlineStr">
        <is>
          <t>Professional decision</t>
        </is>
      </c>
      <c r="G269" t="inlineStr">
        <is>
          <t>Current</t>
        </is>
      </c>
    </row>
  </sheetData>
  <autoFilter ref="A4:G269"/>
  <mergeCells count="2">
    <mergeCell ref="A2:F2"/>
    <mergeCell ref="A1:F1"/>
  </mergeCells>
  <hyperlinks>
    <hyperlink xmlns:r="http://schemas.openxmlformats.org/officeDocument/2006/relationships" ref="A1" r:id="rId1"/>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tabColor rgb="008B8F97"/>
    <outlinePr summaryBelow="0" summaryRight="0"/>
    <pageSetUpPr fitToPage="1"/>
  </sheetPr>
  <dimension ref="A1:E8"/>
  <sheetViews>
    <sheetView showGridLines="0" tabSelected="0" zoomScale="100" zoomScaleNormal="100" workbookViewId="0">
      <pane ySplit="1" topLeftCell="A2" activePane="bottomLeft" state="frozen"/>
      <selection pane="bottomLeft" activeCell="A1" sqref="A1"/>
    </sheetView>
  </sheetViews>
  <sheetFormatPr baseColWidth="8" defaultRowHeight="15"/>
  <cols>
    <col width="56" customWidth="1" min="1" max="1"/>
    <col width="18" customWidth="1" min="2" max="2"/>
    <col width="18" customWidth="1" min="3" max="3"/>
    <col width="24" customWidth="1" min="4" max="4"/>
    <col width="22" customWidth="1" min="5" max="5"/>
  </cols>
  <sheetData>
    <row r="1" ht="19" customHeight="1">
      <c r="A1" s="97" t="inlineStr">
        <is>
          <t>Mapping versions</t>
        </is>
      </c>
    </row>
    <row r="2" ht="30" customHeight="1">
      <c r="A2" s="11" t="inlineStr">
        <is>
          <t>Approved sequence / stable reference</t>
        </is>
      </c>
      <c r="B2" s="11" t="inlineStr">
        <is>
          <t>Status</t>
        </is>
      </c>
      <c r="C2" s="11" t="inlineStr">
        <is>
          <t>Purpose</t>
        </is>
      </c>
      <c r="D2" s="11" t="inlineStr">
        <is>
          <t>Approved By</t>
        </is>
      </c>
      <c r="E2" s="11" t="inlineStr">
        <is>
          <t>Approved (UTC)</t>
        </is>
      </c>
    </row>
    <row r="3" ht="34" customHeight="1">
      <c r="A3" s="12" t="inlineStr">
        <is>
          <t>Approved version 1 · stable mapping reference MV-1 · APPROVED</t>
        </is>
      </c>
      <c r="B3" s="12" t="inlineStr">
        <is>
          <t>SUPERSEDED</t>
        </is>
      </c>
      <c r="C3" s="12" t="inlineStr">
        <is>
          <t>REPORTING</t>
        </is>
      </c>
      <c r="D3" s="12" t="inlineStr">
        <is>
          <t>Maya Chen, Owner Project Controls</t>
        </is>
      </c>
      <c r="E3" s="12" t="inlineStr">
        <is>
          <t>2026-10-16 14:11</t>
        </is>
      </c>
    </row>
    <row r="4" ht="34" customHeight="1">
      <c r="A4" s="12" t="inlineStr">
        <is>
          <t>Approved version 2 · stable mapping reference MV-2 · APPROVED</t>
        </is>
      </c>
      <c r="B4" s="12" t="inlineStr">
        <is>
          <t>APPROVED</t>
        </is>
      </c>
      <c r="C4" s="12" t="inlineStr">
        <is>
          <t>REPORTING</t>
        </is>
      </c>
      <c r="D4" s="12" t="inlineStr">
        <is>
          <t>Maya Chen, Owner Project Controls</t>
        </is>
      </c>
      <c r="E4" s="12" t="inlineStr">
        <is>
          <t>2026-10-16 14:14</t>
        </is>
      </c>
    </row>
    <row r="5"/>
    <row r="6" ht="19" customHeight="1">
      <c r="A6" s="25" t="inlineStr">
        <is>
          <t>WBS versions</t>
        </is>
      </c>
    </row>
    <row r="7" ht="34" customHeight="1">
      <c r="A7" s="11" t="inlineStr">
        <is>
          <t>WBS Version</t>
        </is>
      </c>
      <c r="B7" s="11" t="inlineStr">
        <is>
          <t>Status</t>
        </is>
      </c>
      <c r="C7" s="11" t="inlineStr">
        <is>
          <t>Approved By</t>
        </is>
      </c>
      <c r="D7" s="11" t="inlineStr">
        <is>
          <t>Effective From (UTC)</t>
        </is>
      </c>
      <c r="E7" s="11" t="inlineStr">
        <is>
          <t>Effective To (UTC)</t>
        </is>
      </c>
    </row>
    <row r="8" ht="49" customHeight="1">
      <c r="A8" s="32" t="n">
        <v>1</v>
      </c>
      <c r="B8" s="12" t="inlineStr">
        <is>
          <t>ACTIVE</t>
        </is>
      </c>
      <c r="C8" s="12" t="inlineStr">
        <is>
          <t>Maya Chen, Owner Project Controls</t>
        </is>
      </c>
      <c r="D8" s="12" t="inlineStr">
        <is>
          <t>2026-10-16 14:10</t>
        </is>
      </c>
      <c r="E8" s="12" t="inlineStr"/>
    </row>
  </sheetData>
  <hyperlinks>
    <hyperlink xmlns:r="http://schemas.openxmlformats.org/officeDocument/2006/relationships" ref="A1" r:id="rId1"/>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tabColor rgb="008B8F97"/>
    <outlinePr summaryBelow="0" summaryRight="0"/>
    <pageSetUpPr fitToPage="1"/>
  </sheetPr>
  <dimension ref="A1:S40"/>
  <sheetViews>
    <sheetView showGridLines="0" tabSelected="0" zoomScale="100" zoomScaleNormal="100" workbookViewId="0">
      <selection activeCell="A1" sqref="A1"/>
    </sheetView>
  </sheetViews>
  <sheetFormatPr baseColWidth="8" defaultRowHeight="15"/>
  <cols>
    <col width="48" customWidth="1" min="1" max="1"/>
    <col width="90" customWidth="1" min="2" max="2"/>
    <col width="18" customWidth="1" min="18" max="18"/>
    <col width="45" customWidth="1" min="19" max="19"/>
  </cols>
  <sheetData>
    <row r="1" ht="19" customHeight="1">
      <c r="A1" s="97" t="inlineStr">
        <is>
          <t>WBS↔LINK by ZP Synergy Group</t>
        </is>
      </c>
      <c r="R1" t="inlineStr">
        <is>
          <t>Advanced original field values</t>
        </is>
      </c>
    </row>
    <row r="2" ht="42" customHeight="1">
      <c r="A2" s="71" t="inlineStr">
        <is>
          <t>Supporting reconciliation calculations. Read the approved management position only on 03 EXECUTIVE VIEW.</t>
        </is>
      </c>
    </row>
    <row r="3" ht="49" customHeight="1">
      <c r="A3" s="27" t="inlineStr">
        <is>
          <t>Reconcile the approved workbook records and formula totals. These calculations support, rather than replace, the executive position.</t>
        </is>
      </c>
      <c r="R3" s="62" t="inlineStr">
        <is>
          <t>P5</t>
        </is>
      </c>
      <c r="S3" s="62" t="inlineStr">
        <is>
          <t>Established: every materially populated supplied region has an established TABLE or CONTEXT interpretation, and every table used has a governed role. Output reconciliation shows that the Crosswalk, XLSX, PDF and JSON consume one governed state. It does not show that the upstream source representation is true: that is the source representation integrity gate.</t>
        </is>
      </c>
    </row>
    <row r="4"/>
    <row r="5" ht="19" customHeight="1">
      <c r="A5" s="4" t="inlineStr">
        <is>
          <t>Project</t>
        </is>
      </c>
      <c r="B5" s="10" t="inlineStr">
        <is>
          <t>HarbourLink Urban Transit Expansion</t>
        </is>
      </c>
      <c r="O5" t="inlineStr">
        <is>
          <t>B15 original source interpretation</t>
        </is>
      </c>
      <c r="P5" t="inlineStr">
        <is>
          <t>Established: every materially populated supplied region has an established Source table or CONTEXT interpretation, and every table used has a governed role. Output reconciliation shows that the Crosswalk, XLSX, PDF and JSON consume one governed state. It does not show that the upstream source representation is true: that is the source representation integrity gate.</t>
        </is>
      </c>
    </row>
    <row r="6" ht="19" customHeight="1">
      <c r="A6" s="4" t="inlineStr">
        <is>
          <t>Approval state</t>
        </is>
      </c>
      <c r="B6" s="10" t="inlineStr">
        <is>
          <t>APPROVED -- Maya Chen, Owner Project Controls, 2026-10-16 14:11 UTC</t>
        </is>
      </c>
    </row>
    <row r="7" ht="34" customHeight="1">
      <c r="A7" s="4" t="inlineStr">
        <is>
          <t>Data date</t>
        </is>
      </c>
      <c r="B7" s="10" t="inlineStr">
        <is>
          <t>2026-06-30 (Contractor Programme Rev 0); 2026-06-30 (Cost &amp; Forecast Control Accounts Rev 0); 2026-06-30 (Commercial Package Register Rev 0)</t>
        </is>
      </c>
    </row>
    <row r="8" ht="19" customHeight="1">
      <c r="A8" s="4" t="inlineStr">
        <is>
          <t>Generated (UTC)</t>
        </is>
      </c>
      <c r="B8" s="10" t="inlineStr">
        <is>
          <t>2026-10-17 18:35</t>
        </is>
      </c>
    </row>
    <row r="9" ht="19" customHeight="1">
      <c r="A9" s="4" t="inlineStr">
        <is>
          <t>Approved output identity</t>
        </is>
      </c>
      <c r="B9" s="10" t="inlineStr">
        <is>
          <t>Approved version 1 · stable mapping reference MV-1 · APPROVED</t>
        </is>
      </c>
    </row>
    <row r="10" ht="19" customHeight="1">
      <c r="A10" s="4" t="inlineStr">
        <is>
          <t>Approved by</t>
        </is>
      </c>
      <c r="B10" s="10" t="inlineStr">
        <is>
          <t>Maya Chen, Owner Project Controls</t>
        </is>
      </c>
    </row>
    <row r="11" ht="19" customHeight="1">
      <c r="A11" s="4" t="inlineStr">
        <is>
          <t>Approved (UTC)</t>
        </is>
      </c>
      <c r="B11" s="10" t="inlineStr">
        <is>
          <t>2026-10-16 14:11</t>
        </is>
      </c>
    </row>
    <row r="12" ht="19" customHeight="1">
      <c r="A12" s="4" t="inlineStr">
        <is>
          <t>Against WBS version</t>
        </is>
      </c>
      <c r="B12" s="10" t="inlineStr">
        <is>
          <t>1, approved by Maya Chen, Owner Project Controls</t>
        </is>
      </c>
    </row>
    <row r="13" ht="34" customHeight="1">
      <c r="A13" s="4" t="inlineStr">
        <is>
          <t>Source documents</t>
        </is>
      </c>
      <c r="B13" s="10" t="inlineStr">
        <is>
          <t>Contractor Programme (Rev 0); Cost &amp; Forecast Control Accounts (Rev 0); Commercial Package Register (Rev 0)</t>
        </is>
      </c>
    </row>
    <row r="14" ht="19" customHeight="1">
      <c r="A14" s="4" t="inlineStr">
        <is>
          <t>WBS generated from</t>
        </is>
      </c>
      <c r="B14" s="10" t="inlineStr">
        <is>
          <t>Owner WBS</t>
        </is>
      </c>
    </row>
    <row r="15" ht="79" customHeight="1">
      <c r="A15" s="4" t="inlineStr">
        <is>
          <t>Source representation</t>
        </is>
      </c>
      <c r="B15" s="10" t="inlineStr">
        <is>
          <t>Established source interpretation and roles. Output consistency does not establish that a source assertion is correct; inspect the original evidence and professional decision separately.</t>
        </is>
      </c>
    </row>
    <row r="16" ht="19" customHeight="1">
      <c r="A16" s="4" t="inlineStr">
        <is>
          <t>Workbook template edition</t>
        </is>
      </c>
      <c r="B16" s="10" t="inlineStr">
        <is>
          <t>Premium Workbook Rev 2</t>
        </is>
      </c>
    </row>
    <row r="17"/>
    <row r="18" ht="34" customHeight="1">
      <c r="A18" s="25" t="inlineStr">
        <is>
          <t>Counts (live formulas over MASTER DATA)</t>
        </is>
      </c>
    </row>
    <row r="19" ht="19" customHeight="1">
      <c r="A19" s="30" t="inlineStr">
        <is>
          <t>By change vs previous version</t>
        </is>
      </c>
      <c r="B19" s="7" t="n"/>
    </row>
    <row r="20" ht="19" customHeight="1">
      <c r="A20" s="10" t="inlineStr">
        <is>
          <t>Carried forward</t>
        </is>
      </c>
      <c r="B20" s="72">
        <f>COUNTIF('MASTER DATA'!$H$2:$H$1624,"Carried forward")</f>
        <v/>
      </c>
    </row>
    <row r="21" ht="19" customHeight="1">
      <c r="A21" s="10" t="inlineStr">
        <is>
          <t>Re-keyed, revalidated</t>
        </is>
      </c>
      <c r="B21" s="72">
        <f>COUNTIF('MASTER DATA'!$H$2:$H$1624,"Re-keyed, revalidated")</f>
        <v/>
      </c>
    </row>
    <row r="22" ht="19" customHeight="1">
      <c r="A22" s="10" t="inlineStr">
        <is>
          <t>Changed, re-decided</t>
        </is>
      </c>
      <c r="B22" s="72">
        <f>COUNTIF('MASTER DATA'!$H$2:$H$1624,"Changed, re-decided")</f>
        <v/>
      </c>
    </row>
    <row r="23" ht="19" customHeight="1">
      <c r="A23" s="10" t="inlineStr">
        <is>
          <t>New</t>
        </is>
      </c>
      <c r="B23" s="72">
        <f>COUNTIF('MASTER DATA'!$H$2:$H$1624,"New")</f>
        <v/>
      </c>
    </row>
    <row r="24" ht="19" customHeight="1">
      <c r="A24" s="10" t="inlineStr">
        <is>
          <t>Retired</t>
        </is>
      </c>
      <c r="B24" s="72">
        <f>COUNTIF('MASTER DATA'!$H$2:$H$1624,"Retired")</f>
        <v/>
      </c>
    </row>
    <row r="25" ht="19" customHeight="1">
      <c r="A25" s="30" t="inlineStr">
        <is>
          <t>By basis</t>
        </is>
      </c>
      <c r="B25" s="7" t="n"/>
    </row>
    <row r="26" ht="19" customHeight="1">
      <c r="A26" s="10" t="inlineStr">
        <is>
          <t>Professional decision</t>
        </is>
      </c>
      <c r="B26" s="72">
        <f>COUNTIF('MASTER DATA'!$I$2:$I$1624,"Professional decision")</f>
        <v/>
      </c>
    </row>
    <row r="27" ht="34" customHeight="1">
      <c r="A27" s="10" t="inlineStr">
        <is>
          <t>Earlier professional decision, carried forward</t>
        </is>
      </c>
      <c r="B27" s="72">
        <f>COUNTIF('MASTER DATA'!$I$2:$I$1624,"Earlier professional decision, carried forward")</f>
        <v/>
      </c>
    </row>
    <row r="28" ht="34" customHeight="1">
      <c r="A28" s="10" t="inlineStr">
        <is>
          <t>Source assignment -- not individually reviewed</t>
        </is>
      </c>
      <c r="B28" s="72">
        <f>COUNTIF('MASTER DATA'!$I$2:$I$1624,"Source assignment -- not individually reviewed")</f>
        <v/>
      </c>
    </row>
    <row r="29" ht="19" customHeight="1">
      <c r="A29" s="10" t="inlineStr">
        <is>
          <t>WBS↔LINK -- not individually reviewed</t>
        </is>
      </c>
      <c r="B29" s="72">
        <f>COUNTIF('MASTER DATA'!$I$2:$I$1624,"WBS↔LINK -- not individually reviewed")</f>
        <v/>
      </c>
    </row>
    <row r="30" ht="19" customHeight="1">
      <c r="A30" s="10" t="inlineStr">
        <is>
          <t>Retired -- no longer reported</t>
        </is>
      </c>
      <c r="B30" s="72">
        <f>COUNTIF('MASTER DATA'!$I$2:$I$1624,"Retired -- no longer reported")</f>
        <v/>
      </c>
    </row>
    <row r="31" ht="19" customHeight="1">
      <c r="A31" s="30" t="inlineStr">
        <is>
          <t>By relationship type</t>
        </is>
      </c>
      <c r="B31" s="7" t="n"/>
    </row>
    <row r="32" ht="19" customHeight="1">
      <c r="A32" s="10" t="inlineStr">
        <is>
          <t>ONE_TO_ONE</t>
        </is>
      </c>
      <c r="B32" s="72">
        <f>COUNTIF('MASTER DATA'!$F$2:$F$1624,"ONE_TO_ONE")</f>
        <v/>
      </c>
    </row>
    <row r="33" ht="19" customHeight="1">
      <c r="A33" s="10" t="inlineStr">
        <is>
          <t>ONE_TO_MANY</t>
        </is>
      </c>
      <c r="B33" s="72">
        <f>COUNTIF('MASTER DATA'!$F$2:$F$1624,"ONE_TO_MANY")</f>
        <v/>
      </c>
    </row>
    <row r="34" ht="19" customHeight="1">
      <c r="A34" s="10" t="inlineStr">
        <is>
          <t>NO_WBS</t>
        </is>
      </c>
      <c r="B34" s="72">
        <f>COUNTIF('MASTER DATA'!$F$2:$F$1624,"NO_WBS")</f>
        <v/>
      </c>
    </row>
    <row r="35" ht="19" customHeight="1">
      <c r="A35" s="10" t="inlineStr">
        <is>
          <t>NEW_SCOPE</t>
        </is>
      </c>
      <c r="B35" s="72">
        <f>COUNTIF('MASTER DATA'!$F$2:$F$1624,"NEW_SCOPE")</f>
        <v/>
      </c>
    </row>
    <row r="36" ht="19" customHeight="1">
      <c r="A36" s="10" t="inlineStr">
        <is>
          <t>UNSURE</t>
        </is>
      </c>
      <c r="B36" s="72">
        <f>COUNTIF('MASTER DATA'!$F$2:$F$1624,"UNSURE")</f>
        <v/>
      </c>
    </row>
    <row r="37" ht="19" customHeight="1">
      <c r="A37" s="25" t="inlineStr">
        <is>
          <t>Total rows</t>
        </is>
      </c>
      <c r="B37" s="25">
        <f>COUNTA('MASTER DATA'!$O$2:$O$1624)</f>
        <v/>
      </c>
    </row>
    <row r="38" ht="94" customHeight="1">
      <c r="A38" s="46" t="inlineStr">
        <is>
          <t>Check: basis rows add up to the total</t>
        </is>
      </c>
      <c r="B38" s="46">
        <f>IF(COUNTIF('MASTER DATA'!$I$2:$I$1624,"Professional decision")+COUNTIF('MASTER DATA'!$I$2:$I$1624,"Earlier professional decision, carried forward")+COUNTIF('MASTER DATA'!$I$2:$I$1624,"Source assignment -- not individually reviewed")+COUNTIF('MASTER DATA'!$I$2:$I$1624,"WBS↔LINK -- not individually reviewed")+COUNTIF('MASTER DATA'!$I$2:$I$1624,"Retired -- no longer reported")=COUNTA('MASTER DATA'!$O$2:$O$1624),"reconciled","DOES NOT RECONCILE")</f>
        <v/>
      </c>
    </row>
    <row r="39"/>
    <row r="40" ht="34" customHeight="1">
      <c r="A40" s="53" t="inlineStr">
        <is>
          <t>Canonical executive position: 03 EXECUTIVE VIEW</t>
        </is>
      </c>
    </row>
  </sheetData>
  <hyperlinks>
    <hyperlink xmlns:r="http://schemas.openxmlformats.org/officeDocument/2006/relationships" ref="A1" r:id="rId1"/>
    <hyperlink xmlns:r="http://schemas.openxmlformats.org/officeDocument/2006/relationships" ref="A40" r:id="rId2"/>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HarbourLink Urban Transit Expansion — Approved version 1 · stable mapping reference MV-1 · APPROVED</dc:title>
  <dc:description xmlns:dc="http://purl.org/dc/elements/1.1/">Approved version 1 · stable mapping reference MV-1 · APPROVED; Workbook template edition: Premium Workbook Rev 2</dc:description>
  <dc:subject xmlns:dc="http://purl.org/dc/elements/1.1/">Approved project output; stable mapping reference and template edition are separate</dc:subject>
  <dcterms:created xmlns:dcterms="http://purl.org/dc/terms/" xmlns:xsi="http://www.w3.org/2001/XMLSchema-instance" xsi:type="dcterms:W3CDTF">2026-10-17T18:35:03Z</dcterms:created>
  <dcterms:modified xmlns:dcterms="http://purl.org/dc/terms/" xmlns:xsi="http://www.w3.org/2001/XMLSchema-instance" xsi:type="dcterms:W3CDTF">2026-10-22T18:16:37Z</dcterms:modified>
</cp:coreProperties>
</file>